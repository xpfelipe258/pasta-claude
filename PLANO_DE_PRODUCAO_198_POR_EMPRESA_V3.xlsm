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omments/comment1.xml" ContentType="application/vnd.openxmlformats-officedocument.spreadsheetml.comments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drawings/drawing2.xml" ContentType="application/vnd.openxmlformats-officedocument.drawing+xml"/>
  <Override PartName="/xl/worksheets/sheet18.xml" ContentType="application/vnd.openxmlformats-officedocument.spreadsheetml.worksheet+xml"/>
  <Override PartName="/xl/drawings/drawing3.xml" ContentType="application/vnd.openxmlformats-officedocument.drawing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08" yWindow="-108" windowWidth="23256" windowHeight="12456" tabRatio="500" firstSheet="9" activeTab="15" autoFilterDateGrouping="1"/>
  </bookViews>
  <sheets>
    <sheet name="CONTROLE PRODUÇÃO POR EMPRESAS" sheetId="1" state="visible" r:id="rId1"/>
    <sheet name="CONTROLE EJ" sheetId="2" state="visible" r:id="rId2"/>
    <sheet name="CONTROLE CMM" sheetId="3" state="visible" r:id="rId3"/>
    <sheet name="CONTROLE GLOBO AÇOS" sheetId="4" state="visible" r:id="rId4"/>
    <sheet name="CONSULTA PRODUÇÃO" sheetId="5" state="visible" r:id="rId5"/>
    <sheet name="USO DE EQUIPAMENTO AGOSTO" sheetId="6" state="hidden" r:id="rId6"/>
    <sheet name="LISTA DE IMPACTO" sheetId="7" state="visible" r:id="rId7"/>
    <sheet name="PLANO ATAQUE + METAS" sheetId="8" state="hidden" r:id="rId8"/>
    <sheet name="USO DE EQUIPAMENTO SETEMBRO" sheetId="9" state="visible" r:id="rId9"/>
    <sheet name="PAINEL KPI" sheetId="10" state="visible" r:id="rId10"/>
    <sheet name="CONTROLE KPI" sheetId="11" state="visible" r:id="rId11"/>
    <sheet name="PARAMETROS KPI" sheetId="12" state="hidden" r:id="rId12"/>
    <sheet name="GUIA KPI" sheetId="13" state="hidden" r:id="rId13"/>
    <sheet name="METAS EMPRESAS" sheetId="14" state="visible" r:id="rId14"/>
    <sheet name="BASE METAS DIÁRIAS" sheetId="15" state="hidden" r:id="rId15"/>
    <sheet name="METAS CLIENTE" sheetId="16" state="visible" r:id="rId16"/>
    <sheet name="CLIENTE - PREV X REAL" sheetId="17" state="visible" r:id="rId17"/>
    <sheet name="DASHBOARD CLIENTE" sheetId="18" state="visible" r:id="rId18"/>
    <sheet name="ESCOPO POR EMPRESA" sheetId="19" state="visible" r:id="rId19"/>
    <sheet name="DASHBOARD EMPRESAS" sheetId="20" state="visible" r:id="rId20"/>
    <sheet name="Planilha1" sheetId="21" state="visible" r:id="rId21"/>
    <sheet name="PROCEDIMENTO" sheetId="22" state="visible" r:id="rId22"/>
  </sheets>
  <definedNames>
    <definedName name="DashDatas">'CONSULTA PRODUÇÃO'!$A$12:INDEX('CONSULTA PRODUÇÃO'!$A$12:$A$111,MAX(1,COUNT('CONSULTA PRODUÇÃO'!$A$12:$A$111)))</definedName>
    <definedName name="DashProducao">'CONSULTA PRODUÇÃO'!$D$12:INDEX('CONSULTA PRODUÇÃO'!$D$12:$D$111,MAX(1,COUNT('CONSULTA PRODUÇÃO'!$A$12:$A$111)))</definedName>
    <definedName name="_xlnm._FilterDatabase" localSheetId="9" hidden="1">'PAINEL KPI'!$A$9:$I$16</definedName>
    <definedName name="_xlnm._FilterDatabase" localSheetId="10" hidden="1">'CONTROLE KPI'!$A$1:$R$2143</definedName>
    <definedName name="_xlnm._FilterDatabase" localSheetId="13" hidden="1">'METAS EMPRESAS'!$A$16:$N$600</definedName>
    <definedName name="_xlnm._FilterDatabase" localSheetId="14" hidden="1">'BASE METAS DIÁRIAS'!$A$1:$T$358</definedName>
  </definedNames>
  <calcPr calcId="191029" fullCalcOnLoad="1"/>
</workbook>
</file>

<file path=xl/styles.xml><?xml version="1.0" encoding="utf-8"?>
<styleSheet xmlns="http://schemas.openxmlformats.org/spreadsheetml/2006/main">
  <numFmts count="8">
    <numFmt numFmtId="164" formatCode="_-&quot;R$ &quot;* #,##0.00_-;&quot;-R$ &quot;* #,##0.00_-;_-&quot;R$ &quot;* \-??_-;_-@_-"/>
    <numFmt numFmtId="165" formatCode="0.0"/>
    <numFmt numFmtId="166" formatCode="m/d/yyyy"/>
    <numFmt numFmtId="167" formatCode="0.0%"/>
    <numFmt numFmtId="168" formatCode="d\-mmm"/>
    <numFmt numFmtId="169" formatCode="m/d/yyyy\ h:mm"/>
    <numFmt numFmtId="170" formatCode="_(\$* #,##0.00_);_(\$* \(#,##0.00\);_(\$* \-??_);_(@_)"/>
    <numFmt numFmtId="171" formatCode="yyyy-mm-dd h:mm:ss"/>
  </numFmts>
  <fonts count="43">
    <font>
      <name val="Aptos Narrow"/>
      <charset val="1"/>
      <color theme="1"/>
      <sz val="11"/>
    </font>
    <font>
      <name val="Arial"/>
      <family val="2"/>
      <sz val="10"/>
    </font>
    <font>
      <name val="Aptos Narrow"/>
      <family val="2"/>
      <b val="1"/>
      <color rgb="FFFFFFFF"/>
      <sz val="16"/>
    </font>
    <font>
      <name val="Aptos Narrow"/>
      <family val="2"/>
      <b val="1"/>
      <color theme="1"/>
      <sz val="11"/>
    </font>
    <font>
      <name val="Aptos Narrow"/>
      <charset val="1"/>
      <family val="2"/>
      <b val="1"/>
      <color theme="1"/>
      <sz val="11"/>
    </font>
    <font>
      <name val="Aptos Narrow"/>
      <charset val="1"/>
      <family val="2"/>
      <color theme="1"/>
      <sz val="11"/>
    </font>
    <font>
      <name val="Aptos Narrow"/>
      <family val="2"/>
      <color rgb="FFA6A6A6"/>
      <sz val="8"/>
    </font>
    <font>
      <name val="Aptos Narrow"/>
      <family val="2"/>
      <b val="1"/>
      <color rgb="FFFFFFFF"/>
      <sz val="11"/>
    </font>
    <font>
      <name val="Aptos Narrow"/>
      <family val="2"/>
      <b val="1"/>
      <color rgb="FF203864"/>
      <sz val="11"/>
    </font>
    <font>
      <name val="Aptos Narrow"/>
      <family val="2"/>
      <b val="1"/>
      <color rgb="FFFFFFFF"/>
      <sz val="18"/>
    </font>
    <font>
      <name val="Aptos Narrow"/>
      <family val="2"/>
      <color rgb="FFFFFFFF"/>
      <sz val="1"/>
    </font>
    <font>
      <name val="Aptos Narrow"/>
      <family val="2"/>
      <i val="1"/>
      <color rgb="FF1F1F1F"/>
      <sz val="10"/>
    </font>
    <font>
      <name val="Aptos Narrow"/>
      <family val="2"/>
      <b val="1"/>
      <color rgb="FF1F1F1F"/>
      <sz val="11"/>
    </font>
    <font>
      <name val="Aptos Narrow"/>
      <family val="2"/>
      <b val="1"/>
      <color rgb="FFFFFFFF"/>
      <sz val="10"/>
    </font>
    <font>
      <name val="Aptos Narrow"/>
      <family val="2"/>
      <b val="1"/>
      <color rgb="FF1F4E78"/>
      <sz val="18"/>
    </font>
    <font>
      <name val="Aptos Narrow"/>
      <family val="2"/>
      <i val="1"/>
      <color rgb="FF385723"/>
      <sz val="11"/>
    </font>
    <font>
      <name val="Aptos Narrow"/>
      <family val="2"/>
      <color rgb="FF1F1F1F"/>
      <sz val="11"/>
    </font>
    <font>
      <name val="Aptos Narrow"/>
      <family val="2"/>
      <b val="1"/>
      <color rgb="FF1F4E78"/>
      <sz val="14"/>
    </font>
    <font>
      <name val="Aptos Narrow"/>
      <family val="2"/>
      <i val="1"/>
      <color rgb="FF44546A"/>
      <sz val="9"/>
    </font>
    <font>
      <name val="Aptos Narrow"/>
      <family val="2"/>
      <b val="1"/>
      <color rgb="FFFFFFFF"/>
      <sz val="14"/>
    </font>
    <font>
      <name val="Aptos Narrow"/>
      <family val="2"/>
      <i val="1"/>
      <color rgb="FF385723"/>
      <sz val="10"/>
    </font>
    <font>
      <name val="Aptos Narrow"/>
      <family val="2"/>
      <b val="1"/>
      <color rgb="FFFFFFFF"/>
      <sz val="9"/>
    </font>
    <font>
      <name val="Aptos Narrow"/>
      <family val="2"/>
      <b val="1"/>
      <color theme="1"/>
      <sz val="14"/>
    </font>
    <font>
      <name val="Aptos Narrow"/>
      <family val="2"/>
      <i val="1"/>
      <color theme="1"/>
      <sz val="11"/>
    </font>
    <font>
      <name val="Aptos Narrow"/>
      <family val="2"/>
      <b val="1"/>
      <color rgb="FF006100"/>
      <sz val="11"/>
    </font>
    <font>
      <name val="Aptos Narrow"/>
      <family val="2"/>
      <b val="1"/>
      <color rgb="FF9C6500"/>
      <sz val="11"/>
    </font>
    <font>
      <name val="Aptos Narrow"/>
      <family val="2"/>
      <b val="1"/>
      <color rgb="FF9C0006"/>
      <sz val="11"/>
    </font>
    <font>
      <name val="Consolas"/>
      <family val="3"/>
      <color theme="1"/>
      <sz val="9"/>
    </font>
    <font>
      <name val="Aptos Narrow"/>
      <family val="2"/>
      <b val="1"/>
      <sz val="11"/>
    </font>
    <font>
      <name val="Calibri"/>
      <family val="2"/>
      <color rgb="FF000000"/>
      <sz val="11"/>
    </font>
    <font>
      <name val="Aptos Narrow"/>
      <family val="2"/>
      <i val="1"/>
      <color rgb="FF1F1F1F"/>
      <sz val="11"/>
    </font>
    <font>
      <name val="Cambria"/>
      <family val="1"/>
      <b val="1"/>
      <color rgb="FFFFFFFF"/>
      <sz val="11"/>
    </font>
    <font>
      <name val="Aptos Narrow"/>
      <family val="2"/>
      <i val="1"/>
      <color rgb="FF1F2937"/>
      <sz val="11"/>
    </font>
    <font>
      <name val="Aptos Narrow"/>
      <family val="2"/>
      <b val="1"/>
      <color rgb="FF17365D"/>
      <sz val="11"/>
    </font>
    <font>
      <name val="Aptos Narrow"/>
      <family val="2"/>
      <b val="1"/>
      <color rgb="FFFFFFFF"/>
      <sz val="12"/>
    </font>
    <font>
      <name val="Aptos Narrow"/>
      <family val="2"/>
      <i val="1"/>
      <color rgb="FF7F6000"/>
      <sz val="9"/>
    </font>
    <font>
      <name val="Aptos Narrow"/>
      <family val="2"/>
      <b val="1"/>
      <color rgb="FF17365D"/>
      <sz val="13"/>
    </font>
    <font>
      <name val="Aptos Narrow"/>
      <family val="2"/>
      <color rgb="FF1F2937"/>
      <sz val="11"/>
    </font>
    <font>
      <name val="Aptos Narrow"/>
      <family val="2"/>
      <i val="1"/>
      <color rgb="FF203864"/>
      <sz val="11"/>
    </font>
    <font>
      <name val="Aptos Narrow"/>
      <family val="2"/>
      <b val="1"/>
      <color rgb="FF7F6000"/>
      <sz val="11"/>
    </font>
    <font>
      <name val="Aptos Narrow"/>
      <family val="2"/>
      <b val="1"/>
      <color rgb="FF203864"/>
      <sz val="15"/>
    </font>
    <font>
      <name val="Arial"/>
      <charset val="1"/>
      <family val="2"/>
      <b val="1"/>
      <color theme="1"/>
      <sz val="10"/>
    </font>
    <font>
      <name val="Aptos Narrow"/>
      <family val="2"/>
      <color theme="1"/>
      <sz val="11"/>
    </font>
  </fonts>
  <fills count="35">
    <fill>
      <patternFill/>
    </fill>
    <fill>
      <patternFill patternType="gray125"/>
    </fill>
    <fill>
      <patternFill patternType="solid">
        <fgColor rgb="FF17365D"/>
        <bgColor rgb="FF203864"/>
      </patternFill>
    </fill>
    <fill>
      <patternFill patternType="solid">
        <fgColor theme="3" tint="0.8998992889187292"/>
        <bgColor rgb="FFDDEBF7"/>
      </patternFill>
    </fill>
    <fill>
      <patternFill patternType="darkGray">
        <fgColor rgb="FF273E58"/>
        <bgColor rgb="FF203864"/>
      </patternFill>
    </fill>
    <fill>
      <patternFill patternType="solid">
        <fgColor theme="2" tint="-0.09997863704336681"/>
        <bgColor rgb="FFC6E0B4"/>
      </patternFill>
    </fill>
    <fill>
      <patternFill patternType="solid">
        <fgColor theme="2" tint="-0.499984740745262"/>
        <bgColor rgb="FF548235"/>
      </patternFill>
    </fill>
    <fill>
      <patternFill patternType="solid">
        <fgColor rgb="FF00B0F0"/>
        <bgColor rgb="FF46B1E1"/>
      </patternFill>
    </fill>
    <fill>
      <patternFill patternType="solid">
        <fgColor rgb="FFFFFF00"/>
        <bgColor rgb="FFFFEB9C"/>
      </patternFill>
    </fill>
    <fill>
      <patternFill patternType="solid">
        <fgColor rgb="FF0070C0"/>
        <bgColor rgb="FF2E75B6"/>
      </patternFill>
    </fill>
    <fill>
      <patternFill patternType="solid">
        <fgColor theme="9" tint="-0.249977111117893"/>
        <bgColor rgb="FF548235"/>
      </patternFill>
    </fill>
    <fill>
      <patternFill patternType="solid">
        <fgColor rgb="FFF2F2F2"/>
        <bgColor rgb="FFF3F6F8"/>
      </patternFill>
    </fill>
    <fill>
      <patternFill patternType="solid">
        <fgColor rgb="FF1F4E78"/>
        <bgColor rgb="FF273E58"/>
      </patternFill>
    </fill>
    <fill>
      <patternFill patternType="solid">
        <fgColor rgb="FFD9EAF7"/>
        <bgColor rgb="FFDCEAF7"/>
      </patternFill>
    </fill>
    <fill>
      <patternFill patternType="solid">
        <fgColor rgb="FFFFFFFF"/>
        <bgColor rgb="FFF8FAFC"/>
      </patternFill>
    </fill>
    <fill>
      <patternFill patternType="solid">
        <fgColor rgb="FFE2F0D9"/>
        <bgColor rgb="FFD9EAD3"/>
      </patternFill>
    </fill>
    <fill>
      <patternFill patternType="solid">
        <fgColor rgb="FFFFF2CC"/>
        <bgColor rgb="FFF2F2F2"/>
      </patternFill>
    </fill>
    <fill>
      <patternFill patternType="solid">
        <fgColor rgb="FF5B9BD5"/>
        <bgColor rgb="FF46B1E1"/>
      </patternFill>
    </fill>
    <fill>
      <patternFill patternType="solid">
        <fgColor rgb="FFF5F9FC"/>
        <bgColor rgb="FFF8FAFC"/>
      </patternFill>
    </fill>
    <fill>
      <patternFill patternType="solid">
        <fgColor rgb="FFEAF2F8"/>
        <bgColor rgb="FFEAF3F8"/>
      </patternFill>
    </fill>
    <fill>
      <patternFill patternType="solid">
        <fgColor rgb="FF548235"/>
        <bgColor rgb="FF3A7D22"/>
      </patternFill>
    </fill>
    <fill>
      <patternFill patternType="solid">
        <fgColor theme="4" tint="0.7998901333658864"/>
        <bgColor rgb="FFCFE8F6"/>
      </patternFill>
    </fill>
    <fill>
      <patternFill patternType="solid">
        <fgColor rgb="FF00B050"/>
        <bgColor rgb="FF3A7D22"/>
      </patternFill>
    </fill>
    <fill>
      <patternFill patternType="solid">
        <fgColor rgb="FFFF0000"/>
        <bgColor rgb="FF9C0006"/>
      </patternFill>
    </fill>
    <fill>
      <patternFill patternType="solid">
        <fgColor rgb="FFEAF3F8"/>
        <bgColor rgb="FFEAF2F8"/>
      </patternFill>
    </fill>
    <fill>
      <patternFill patternType="solid">
        <fgColor rgb="FFF3F6F8"/>
        <bgColor rgb="FFF3F6FA"/>
      </patternFill>
    </fill>
    <fill>
      <patternFill patternType="solid">
        <fgColor rgb="FFFFEB9C"/>
        <bgColor rgb="FFFFF2CC"/>
      </patternFill>
    </fill>
    <fill>
      <patternFill patternType="solid">
        <fgColor rgb="FFC6EFCE"/>
        <bgColor rgb="FFD9EAD3"/>
      </patternFill>
    </fill>
    <fill>
      <patternFill patternType="solid">
        <fgColor rgb="FFFFC7CE"/>
        <bgColor rgb="FFF4CCCC"/>
      </patternFill>
    </fill>
    <fill>
      <patternFill patternType="solid">
        <fgColor rgb="FFD9EAD3"/>
        <bgColor rgb="FFE2F0D9"/>
      </patternFill>
    </fill>
    <fill>
      <patternFill patternType="solid">
        <fgColor rgb="FFDDEBF7"/>
        <bgColor rgb="FFDCEAF7"/>
      </patternFill>
    </fill>
    <fill>
      <patternFill patternType="solid">
        <fgColor rgb="FFF8FAFC"/>
        <bgColor rgb="FFF5F9FC"/>
      </patternFill>
    </fill>
    <fill>
      <patternFill patternType="solid">
        <fgColor rgb="FFF3F6FA"/>
        <bgColor rgb="FFF3F6F8"/>
      </patternFill>
    </fill>
    <fill>
      <patternFill patternType="solid">
        <fgColor theme="5" tint="0.5998718222602009"/>
        <bgColor rgb="FFF4CCCC"/>
      </patternFill>
    </fill>
    <fill>
      <patternFill patternType="solid">
        <fgColor theme="3" tint="0.749870296334727"/>
        <bgColor rgb="FFC1E5F5"/>
      </patternFill>
    </fill>
  </fills>
  <borders count="5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theme="4" tint="0.3998840296639912"/>
      </left>
      <right/>
      <top style="thin">
        <color theme="4" tint="0.3998840296639912"/>
      </top>
      <bottom/>
      <diagonal/>
    </border>
    <border>
      <left/>
      <right/>
      <top style="thin">
        <color theme="4" tint="0.3998840296639912"/>
      </top>
      <bottom/>
      <diagonal/>
    </border>
    <border>
      <left/>
      <right style="thin">
        <color theme="4" tint="0.3998840296639912"/>
      </right>
      <top style="thin">
        <color theme="4" tint="0.3998840296639912"/>
      </top>
      <bottom/>
      <diagonal/>
    </border>
    <border>
      <left style="thin">
        <color theme="4" tint="0.3998840296639912"/>
      </left>
      <right/>
      <top style="thin">
        <color theme="4" tint="0.3998840296639912"/>
      </top>
      <bottom style="thin">
        <color theme="4" tint="0.3998840296639912"/>
      </bottom>
      <diagonal/>
    </border>
    <border>
      <left/>
      <right/>
      <top style="thin">
        <color theme="4" tint="0.3998840296639912"/>
      </top>
      <bottom style="thin">
        <color theme="4" tint="0.3998840296639912"/>
      </bottom>
      <diagonal/>
    </border>
    <border>
      <left/>
      <right style="thin">
        <color theme="4" tint="0.3998840296639912"/>
      </right>
      <top style="thin">
        <color theme="4" tint="0.3998840296639912"/>
      </top>
      <bottom style="thin">
        <color theme="4" tint="0.399884029663991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 style="thin">
        <color rgb="FF9EADBA"/>
      </left>
      <right/>
      <top style="thin">
        <color rgb="FF9EADBA"/>
      </top>
      <bottom style="thin">
        <color rgb="FF9EADBA"/>
      </bottom>
      <diagonal/>
    </border>
    <border>
      <left/>
      <right/>
      <top style="thin">
        <color rgb="FF9EADBA"/>
      </top>
      <bottom style="thin">
        <color rgb="FF9EADBA"/>
      </bottom>
      <diagonal/>
    </border>
    <border>
      <left/>
      <right style="thin">
        <color rgb="FF9EADBA"/>
      </right>
      <top style="thin">
        <color rgb="FF9EADBA"/>
      </top>
      <bottom style="thin">
        <color rgb="FF9EADBA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rgb="FFD9E1F2"/>
      </top>
      <bottom/>
      <diagonal/>
    </border>
    <border>
      <left/>
      <right style="thin">
        <color rgb="FFD9E1F2"/>
      </right>
      <top style="thin">
        <color rgb="FFD9E1F2"/>
      </top>
      <bottom/>
      <diagonal/>
    </border>
    <border>
      <left/>
      <right/>
      <top style="thin">
        <color rgb="FFD9E1F2"/>
      </top>
      <bottom style="thin">
        <color rgb="FFD9E1F2"/>
      </bottom>
      <diagonal/>
    </border>
    <border>
      <left/>
      <right style="thin">
        <color rgb="FFD9E1F2"/>
      </right>
      <top style="thin">
        <color rgb="FFD9E1F2"/>
      </top>
      <bottom style="thin">
        <color rgb="FFD9E1F2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170" fontId="42" fillId="0" borderId="0"/>
    <xf numFmtId="9" fontId="42" fillId="0" borderId="0"/>
  </cellStyleXfs>
  <cellXfs count="343">
    <xf numFmtId="0" fontId="0" fillId="0" borderId="0" pivotButton="0" quotePrefix="0" xfId="0"/>
    <xf numFmtId="0" fontId="0" fillId="3" borderId="1" applyAlignment="1" pivotButton="0" quotePrefix="0" xfId="0">
      <alignment horizontal="center"/>
    </xf>
    <xf numFmtId="0" fontId="5" fillId="0" borderId="9" applyAlignment="1" pivotButton="0" quotePrefix="0" xfId="0">
      <alignment horizontal="center"/>
    </xf>
    <xf numFmtId="0" fontId="0" fillId="0" borderId="8" applyAlignment="1" pivotButton="0" quotePrefix="0" xfId="0">
      <alignment horizontal="center"/>
    </xf>
    <xf numFmtId="0" fontId="0" fillId="0" borderId="7" applyAlignment="1" pivotButton="0" quotePrefix="0" xfId="0">
      <alignment horizontal="center"/>
    </xf>
    <xf numFmtId="0" fontId="4" fillId="0" borderId="6" applyAlignment="1" pivotButton="0" quotePrefix="0" xfId="0">
      <alignment horizontal="center"/>
    </xf>
    <xf numFmtId="0" fontId="3" fillId="0" borderId="3" applyAlignment="1" pivotButton="0" quotePrefix="0" xfId="0">
      <alignment horizontal="center"/>
    </xf>
    <xf numFmtId="0" fontId="0" fillId="0" borderId="4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164" fontId="4" fillId="0" borderId="1" applyAlignment="1" pivotButton="0" quotePrefix="0" xfId="1">
      <alignment horizontal="center"/>
    </xf>
    <xf numFmtId="164" fontId="3" fillId="0" borderId="1" applyAlignment="1" pivotButton="0" quotePrefix="0" xfId="1">
      <alignment horizontal="center"/>
    </xf>
    <xf numFmtId="0" fontId="3" fillId="26" borderId="0" applyAlignment="1" pivotButton="0" quotePrefix="0" xfId="0">
      <alignment wrapText="1"/>
    </xf>
    <xf numFmtId="0" fontId="7" fillId="12" borderId="0" pivotButton="0" quotePrefix="0" xfId="0"/>
    <xf numFmtId="0" fontId="7" fillId="12" borderId="0" applyAlignment="1" pivotButton="0" quotePrefix="0" xfId="0">
      <alignment horizontal="center"/>
    </xf>
    <xf numFmtId="0" fontId="2" fillId="12" borderId="0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0" fontId="0" fillId="3" borderId="1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1" applyAlignment="1" pivotButton="0" quotePrefix="0" xfId="0">
      <alignment horizontal="center"/>
    </xf>
    <xf numFmtId="0" fontId="2" fillId="2" borderId="0" applyAlignment="1" pivotButton="0" quotePrefix="0" xfId="0">
      <alignment horizontal="center" vertical="center"/>
    </xf>
    <xf numFmtId="0" fontId="5" fillId="0" borderId="2" pivotButton="0" quotePrefix="0" xfId="0"/>
    <xf numFmtId="0" fontId="0" fillId="0" borderId="4" applyAlignment="1" pivotButton="0" quotePrefix="0" xfId="0">
      <alignment horizontal="center"/>
    </xf>
    <xf numFmtId="0" fontId="0" fillId="3" borderId="1" applyAlignment="1" pivotButton="0" quotePrefix="0" xfId="0">
      <alignment horizontal="center"/>
    </xf>
    <xf numFmtId="164" fontId="42" fillId="0" borderId="0" pivotButton="0" quotePrefix="0" xfId="1"/>
    <xf numFmtId="0" fontId="5" fillId="3" borderId="1" applyAlignment="1" pivotButton="0" quotePrefix="0" xfId="0">
      <alignment horizontal="center"/>
    </xf>
    <xf numFmtId="0" fontId="0" fillId="0" borderId="5" pivotButton="0" quotePrefix="0" xfId="0"/>
    <xf numFmtId="0" fontId="4" fillId="0" borderId="6" applyAlignment="1" pivotButton="0" quotePrefix="0" xfId="0">
      <alignment horizontal="center"/>
    </xf>
    <xf numFmtId="0" fontId="0" fillId="0" borderId="1" applyAlignment="1" pivotButton="0" quotePrefix="0" xfId="0">
      <alignment horizontal="center" vertical="center"/>
    </xf>
    <xf numFmtId="0" fontId="0" fillId="3" borderId="1" pivotButton="0" quotePrefix="0" xfId="0"/>
    <xf numFmtId="0" fontId="0" fillId="3" borderId="1" applyAlignment="1" pivotButton="0" quotePrefix="0" xfId="0">
      <alignment horizontal="center" vertical="center"/>
    </xf>
    <xf numFmtId="0" fontId="5" fillId="0" borderId="7" applyAlignment="1" pivotButton="0" quotePrefix="0" xfId="0">
      <alignment horizontal="center"/>
    </xf>
    <xf numFmtId="0" fontId="0" fillId="0" borderId="10" pivotButton="0" quotePrefix="0" xfId="0"/>
    <xf numFmtId="0" fontId="0" fillId="0" borderId="11" pivotButton="0" quotePrefix="0" xfId="0"/>
    <xf numFmtId="0" fontId="0" fillId="0" borderId="2" pivotButton="0" quotePrefix="0" xfId="0"/>
    <xf numFmtId="0" fontId="5" fillId="0" borderId="10" pivotButton="0" quotePrefix="0" xfId="0"/>
    <xf numFmtId="165" fontId="0" fillId="0" borderId="1" applyAlignment="1" pivotButton="0" quotePrefix="0" xfId="0">
      <alignment horizontal="center"/>
    </xf>
    <xf numFmtId="1" fontId="0" fillId="0" borderId="1" applyAlignment="1" pivotButton="0" quotePrefix="0" xfId="0">
      <alignment horizontal="center"/>
    </xf>
    <xf numFmtId="165" fontId="0" fillId="0" borderId="1" applyAlignment="1" pivotButton="0" quotePrefix="0" xfId="0">
      <alignment horizontal="center" vertical="center"/>
    </xf>
    <xf numFmtId="0" fontId="6" fillId="0" borderId="0" pivotButton="0" quotePrefix="0" xfId="0"/>
    <xf numFmtId="0" fontId="7" fillId="4" borderId="0" applyAlignment="1" pivotButton="0" quotePrefix="0" xfId="0">
      <alignment horizontal="center" vertical="center" wrapText="1"/>
    </xf>
    <xf numFmtId="166" fontId="0" fillId="0" borderId="1" pivotButton="0" quotePrefix="0" xfId="0"/>
    <xf numFmtId="0" fontId="0" fillId="0" borderId="5" applyAlignment="1" pivotButton="0" quotePrefix="0" xfId="0">
      <alignment horizontal="center"/>
    </xf>
    <xf numFmtId="0" fontId="0" fillId="0" borderId="12" pivotButton="0" quotePrefix="0" xfId="0"/>
    <xf numFmtId="0" fontId="0" fillId="0" borderId="12" applyAlignment="1" pivotButton="0" quotePrefix="0" xfId="0">
      <alignment horizontal="center"/>
    </xf>
    <xf numFmtId="0" fontId="0" fillId="3" borderId="14" applyAlignment="1" pivotButton="0" quotePrefix="0" xfId="0">
      <alignment horizontal="center"/>
    </xf>
    <xf numFmtId="0" fontId="0" fillId="3" borderId="14" applyAlignment="1" pivotButton="0" quotePrefix="0" xfId="0">
      <alignment horizontal="center" vertical="center"/>
    </xf>
    <xf numFmtId="0" fontId="3" fillId="0" borderId="15" pivotButton="0" quotePrefix="0" xfId="0"/>
    <xf numFmtId="0" fontId="3" fillId="0" borderId="16" applyAlignment="1" pivotButton="0" quotePrefix="0" xfId="0">
      <alignment horizontal="center"/>
    </xf>
    <xf numFmtId="0" fontId="3" fillId="0" borderId="17" applyAlignment="1" pivotButton="0" quotePrefix="0" xfId="0">
      <alignment horizontal="center"/>
    </xf>
    <xf numFmtId="0" fontId="3" fillId="0" borderId="18" pivotButton="0" quotePrefix="0" xfId="0"/>
    <xf numFmtId="0" fontId="3" fillId="5" borderId="19" applyAlignment="1" pivotButton="0" quotePrefix="0" xfId="0">
      <alignment horizontal="center"/>
    </xf>
    <xf numFmtId="0" fontId="3" fillId="5" borderId="20" applyAlignment="1" pivotButton="0" quotePrefix="0" xfId="0">
      <alignment horizontal="center"/>
    </xf>
    <xf numFmtId="0" fontId="0" fillId="0" borderId="10" applyAlignment="1" pivotButton="0" quotePrefix="0" xfId="0">
      <alignment horizontal="center"/>
    </xf>
    <xf numFmtId="0" fontId="3" fillId="6" borderId="0" pivotButton="0" quotePrefix="0" xfId="0"/>
    <xf numFmtId="0" fontId="3" fillId="6" borderId="13" applyAlignment="1" pivotButton="0" quotePrefix="0" xfId="0">
      <alignment horizontal="center" vertical="center"/>
    </xf>
    <xf numFmtId="0" fontId="3" fillId="7" borderId="21" applyAlignment="1" pivotButton="0" quotePrefix="0" xfId="0">
      <alignment horizontal="center"/>
    </xf>
    <xf numFmtId="9" fontId="3" fillId="7" borderId="1" applyAlignment="1" pivotButton="0" quotePrefix="0" xfId="2">
      <alignment horizontal="center"/>
    </xf>
    <xf numFmtId="0" fontId="3" fillId="7" borderId="1" pivotButton="0" quotePrefix="0" xfId="0"/>
    <xf numFmtId="9" fontId="3" fillId="7" borderId="1" pivotButton="0" quotePrefix="0" xfId="2"/>
    <xf numFmtId="164" fontId="42" fillId="0" borderId="0" applyAlignment="1" pivotButton="0" quotePrefix="0" xfId="1">
      <alignment horizontal="center" vertical="center"/>
    </xf>
    <xf numFmtId="9" fontId="42" fillId="0" borderId="0" applyAlignment="1" pivotButton="0" quotePrefix="0" xfId="2">
      <alignment horizontal="center" vertical="center"/>
    </xf>
    <xf numFmtId="0" fontId="5" fillId="0" borderId="0" pivotButton="0" quotePrefix="0" xfId="0"/>
    <xf numFmtId="0" fontId="0" fillId="0" borderId="0" applyAlignment="1" pivotButton="0" quotePrefix="0" xfId="0">
      <alignment horizontal="center"/>
    </xf>
    <xf numFmtId="0" fontId="0" fillId="8" borderId="1" pivotButton="0" quotePrefix="0" xfId="0"/>
    <xf numFmtId="0" fontId="0" fillId="8" borderId="1" applyAlignment="1" pivotButton="0" quotePrefix="0" xfId="0">
      <alignment horizontal="center"/>
    </xf>
    <xf numFmtId="0" fontId="0" fillId="9" borderId="1" applyAlignment="1" pivotButton="0" quotePrefix="0" xfId="0">
      <alignment horizontal="center"/>
    </xf>
    <xf numFmtId="0" fontId="0" fillId="10" borderId="1" applyAlignment="1" pivotButton="0" quotePrefix="0" xfId="0">
      <alignment horizontal="center"/>
    </xf>
    <xf numFmtId="0" fontId="5" fillId="0" borderId="12" applyAlignment="1" pivotButton="0" quotePrefix="0" xfId="0">
      <alignment horizontal="center"/>
    </xf>
    <xf numFmtId="0" fontId="5" fillId="0" borderId="1" applyAlignment="1" pivotButton="0" quotePrefix="0" xfId="0">
      <alignment horizont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11" borderId="0" applyAlignment="1" pivotButton="0" quotePrefix="0" xfId="0">
      <alignment vertical="center"/>
    </xf>
    <xf numFmtId="0" fontId="7" fillId="12" borderId="0" applyAlignment="1" pivotButton="0" quotePrefix="0" xfId="0">
      <alignment horizontal="center" vertical="center" wrapText="1"/>
    </xf>
    <xf numFmtId="0" fontId="8" fillId="13" borderId="0" applyAlignment="1" pivotButton="0" quotePrefix="0" xfId="0">
      <alignment horizontal="center" wrapText="1"/>
    </xf>
    <xf numFmtId="2" fontId="8" fillId="13" borderId="0" pivotButton="0" quotePrefix="0" xfId="0"/>
    <xf numFmtId="167" fontId="8" fillId="13" borderId="0" pivotButton="0" quotePrefix="0" xfId="0"/>
    <xf numFmtId="0" fontId="9" fillId="12" borderId="0" applyAlignment="1" pivotButton="0" quotePrefix="0" xfId="0">
      <alignment vertical="center"/>
    </xf>
    <xf numFmtId="0" fontId="10" fillId="14" borderId="0" pivotButton="0" quotePrefix="0" xfId="0"/>
    <xf numFmtId="0" fontId="11" fillId="13" borderId="0" applyAlignment="1" pivotButton="0" quotePrefix="0" xfId="0">
      <alignment vertical="center"/>
    </xf>
    <xf numFmtId="166" fontId="10" fillId="14" borderId="0" pivotButton="0" quotePrefix="0" xfId="0"/>
    <xf numFmtId="0" fontId="0" fillId="15" borderId="0" pivotButton="0" quotePrefix="0" xfId="0"/>
    <xf numFmtId="0" fontId="0" fillId="0" borderId="23" pivotButton="0" quotePrefix="0" xfId="0"/>
    <xf numFmtId="0" fontId="7" fillId="12" borderId="0" applyAlignment="1" pivotButton="0" quotePrefix="0" xfId="0">
      <alignment horizontal="center" vertical="center"/>
    </xf>
    <xf numFmtId="0" fontId="12" fillId="16" borderId="0" applyAlignment="1" pivotButton="0" quotePrefix="0" xfId="0">
      <alignment horizontal="center" vertical="center"/>
    </xf>
    <xf numFmtId="166" fontId="12" fillId="16" borderId="0" applyAlignment="1" pivotButton="0" quotePrefix="0" xfId="0">
      <alignment horizontal="center" vertical="center"/>
    </xf>
    <xf numFmtId="0" fontId="3" fillId="0" borderId="21" applyAlignment="1" pivotButton="0" quotePrefix="0" xfId="0">
      <alignment horizontal="center"/>
    </xf>
    <xf numFmtId="9" fontId="42" fillId="0" borderId="1" pivotButton="0" quotePrefix="0" xfId="2"/>
    <xf numFmtId="9" fontId="42" fillId="0" borderId="1" applyAlignment="1" pivotButton="0" quotePrefix="0" xfId="2">
      <alignment horizontal="center"/>
    </xf>
    <xf numFmtId="0" fontId="7" fillId="12" borderId="0" applyAlignment="1" pivotButton="0" quotePrefix="0" xfId="0">
      <alignment horizontal="center"/>
    </xf>
    <xf numFmtId="166" fontId="16" fillId="14" borderId="0" applyAlignment="1" pivotButton="0" quotePrefix="0" xfId="0">
      <alignment horizontal="center" vertical="center"/>
    </xf>
    <xf numFmtId="0" fontId="16" fillId="14" borderId="0" applyAlignment="1" pivotButton="0" quotePrefix="0" xfId="0">
      <alignment horizontal="center" vertical="center"/>
    </xf>
    <xf numFmtId="1" fontId="16" fillId="14" borderId="0" applyAlignment="1" pivotButton="0" quotePrefix="0" xfId="0">
      <alignment horizontal="center" vertical="center"/>
    </xf>
    <xf numFmtId="168" fontId="0" fillId="0" borderId="1" pivotButton="0" quotePrefix="0" xfId="0"/>
    <xf numFmtId="164" fontId="42" fillId="0" borderId="1" pivotButton="0" quotePrefix="0" xfId="1"/>
    <xf numFmtId="168" fontId="0" fillId="0" borderId="0" pivotButton="0" quotePrefix="0" xfId="0"/>
    <xf numFmtId="168" fontId="0" fillId="0" borderId="0" applyAlignment="1" pivotButton="0" quotePrefix="0" xfId="0">
      <alignment horizontal="center"/>
    </xf>
    <xf numFmtId="1" fontId="0" fillId="0" borderId="0" pivotButton="0" quotePrefix="0" xfId="0"/>
    <xf numFmtId="0" fontId="21" fillId="12" borderId="24" applyAlignment="1" pivotButton="0" quotePrefix="0" xfId="0">
      <alignment horizontal="center" vertical="center" wrapText="1"/>
    </xf>
    <xf numFmtId="0" fontId="21" fillId="12" borderId="25" applyAlignment="1" pivotButton="0" quotePrefix="0" xfId="0">
      <alignment horizontal="center" vertical="center" wrapText="1"/>
    </xf>
    <xf numFmtId="0" fontId="21" fillId="12" borderId="26" applyAlignment="1" pivotButton="0" quotePrefix="0" xfId="0">
      <alignment horizontal="center" vertical="center" wrapText="1"/>
    </xf>
    <xf numFmtId="0" fontId="0" fillId="0" borderId="25" applyAlignment="1" pivotButton="0" quotePrefix="0" xfId="0">
      <alignment horizontal="center" vertical="center"/>
    </xf>
    <xf numFmtId="166" fontId="0" fillId="0" borderId="25" applyAlignment="1" pivotButton="0" quotePrefix="0" xfId="0">
      <alignment horizontal="center" vertical="center"/>
    </xf>
    <xf numFmtId="0" fontId="0" fillId="0" borderId="25" applyAlignment="1" pivotButton="0" quotePrefix="0" xfId="0">
      <alignment horizontal="left" vertical="center"/>
    </xf>
    <xf numFmtId="165" fontId="0" fillId="15" borderId="25" applyAlignment="1" pivotButton="0" quotePrefix="0" xfId="0">
      <alignment horizontal="center" vertical="center"/>
    </xf>
    <xf numFmtId="165" fontId="0" fillId="16" borderId="25" applyAlignment="1" pivotButton="0" quotePrefix="0" xfId="0">
      <alignment horizontal="center" vertical="center"/>
    </xf>
    <xf numFmtId="165" fontId="0" fillId="11" borderId="25" applyAlignment="1" pivotButton="0" quotePrefix="0" xfId="0">
      <alignment horizontal="center" vertical="center"/>
    </xf>
    <xf numFmtId="167" fontId="0" fillId="11" borderId="25" applyAlignment="1" pivotButton="0" quotePrefix="0" xfId="0">
      <alignment horizontal="center" vertical="center"/>
    </xf>
    <xf numFmtId="0" fontId="0" fillId="11" borderId="25" applyAlignment="1" pivotButton="0" quotePrefix="0" xfId="0">
      <alignment horizontal="center" vertical="center"/>
    </xf>
    <xf numFmtId="0" fontId="0" fillId="16" borderId="25" applyAlignment="1" pivotButton="0" quotePrefix="0" xfId="0">
      <alignment horizontal="left" vertical="center" wrapText="1"/>
    </xf>
    <xf numFmtId="0" fontId="0" fillId="16" borderId="25" applyAlignment="1" pivotButton="0" quotePrefix="0" xfId="0">
      <alignment vertical="center"/>
    </xf>
    <xf numFmtId="166" fontId="0" fillId="16" borderId="25" applyAlignment="1" pivotButton="0" quotePrefix="0" xfId="0">
      <alignment vertical="center"/>
    </xf>
    <xf numFmtId="0" fontId="0" fillId="21" borderId="24" applyAlignment="1" pivotButton="0" quotePrefix="0" xfId="0">
      <alignment horizontal="center" vertical="center"/>
    </xf>
    <xf numFmtId="166" fontId="0" fillId="21" borderId="25" applyAlignment="1" pivotButton="0" quotePrefix="0" xfId="0">
      <alignment horizontal="center" vertical="center"/>
    </xf>
    <xf numFmtId="0" fontId="0" fillId="21" borderId="25" applyAlignment="1" pivotButton="0" quotePrefix="0" xfId="0">
      <alignment horizontal="center" vertical="center"/>
    </xf>
    <xf numFmtId="0" fontId="0" fillId="21" borderId="25" applyAlignment="1" pivotButton="0" quotePrefix="0" xfId="0">
      <alignment horizontal="left" vertical="center"/>
    </xf>
    <xf numFmtId="166" fontId="0" fillId="16" borderId="26" applyAlignment="1" pivotButton="0" quotePrefix="0" xfId="0">
      <alignment vertical="center"/>
    </xf>
    <xf numFmtId="0" fontId="0" fillId="0" borderId="24" applyAlignment="1" pivotButton="0" quotePrefix="0" xfId="0">
      <alignment horizontal="center" vertical="center"/>
    </xf>
    <xf numFmtId="0" fontId="0" fillId="0" borderId="27" applyAlignment="1" pivotButton="0" quotePrefix="0" xfId="0">
      <alignment horizontal="center" vertical="center"/>
    </xf>
    <xf numFmtId="166" fontId="0" fillId="0" borderId="28" applyAlignment="1" pivotButton="0" quotePrefix="0" xfId="0">
      <alignment horizontal="center" vertical="center"/>
    </xf>
    <xf numFmtId="0" fontId="0" fillId="0" borderId="28" applyAlignment="1" pivotButton="0" quotePrefix="0" xfId="0">
      <alignment horizontal="center" vertical="center"/>
    </xf>
    <xf numFmtId="0" fontId="0" fillId="0" borderId="28" applyAlignment="1" pivotButton="0" quotePrefix="0" xfId="0">
      <alignment horizontal="left" vertical="center"/>
    </xf>
    <xf numFmtId="165" fontId="0" fillId="15" borderId="28" applyAlignment="1" pivotButton="0" quotePrefix="0" xfId="0">
      <alignment horizontal="center" vertical="center"/>
    </xf>
    <xf numFmtId="165" fontId="0" fillId="16" borderId="28" applyAlignment="1" pivotButton="0" quotePrefix="0" xfId="0">
      <alignment horizontal="center" vertical="center"/>
    </xf>
    <xf numFmtId="165" fontId="0" fillId="11" borderId="28" applyAlignment="1" pivotButton="0" quotePrefix="0" xfId="0">
      <alignment horizontal="center" vertical="center"/>
    </xf>
    <xf numFmtId="167" fontId="0" fillId="11" borderId="28" applyAlignment="1" pivotButton="0" quotePrefix="0" xfId="0">
      <alignment horizontal="center" vertical="center"/>
    </xf>
    <xf numFmtId="0" fontId="0" fillId="11" borderId="28" applyAlignment="1" pivotButton="0" quotePrefix="0" xfId="0">
      <alignment horizontal="center" vertical="center"/>
    </xf>
    <xf numFmtId="0" fontId="0" fillId="16" borderId="28" applyAlignment="1" pivotButton="0" quotePrefix="0" xfId="0">
      <alignment horizontal="left" vertical="center" wrapText="1"/>
    </xf>
    <xf numFmtId="0" fontId="0" fillId="16" borderId="28" applyAlignment="1" pivotButton="0" quotePrefix="0" xfId="0">
      <alignment vertical="center"/>
    </xf>
    <xf numFmtId="166" fontId="0" fillId="16" borderId="29" applyAlignment="1" pivotButton="0" quotePrefix="0" xfId="0">
      <alignment vertical="center"/>
    </xf>
    <xf numFmtId="0" fontId="5" fillId="0" borderId="1" pivotButton="0" quotePrefix="0" xfId="0"/>
    <xf numFmtId="0" fontId="0" fillId="0" borderId="30" pivotButton="0" quotePrefix="0" xfId="0"/>
    <xf numFmtId="0" fontId="0" fillId="22" borderId="0" pivotButton="0" quotePrefix="0" xfId="0"/>
    <xf numFmtId="164" fontId="5" fillId="0" borderId="1" pivotButton="0" quotePrefix="0" xfId="1"/>
    <xf numFmtId="2" fontId="5" fillId="0" borderId="1" pivotButton="0" quotePrefix="0" xfId="1"/>
    <xf numFmtId="168" fontId="0" fillId="14" borderId="1" pivotButton="0" quotePrefix="0" xfId="0"/>
    <xf numFmtId="0" fontId="5" fillId="14" borderId="1" pivotButton="0" quotePrefix="0" xfId="0"/>
    <xf numFmtId="2" fontId="5" fillId="14" borderId="1" pivotButton="0" quotePrefix="0" xfId="1"/>
    <xf numFmtId="164" fontId="5" fillId="14" borderId="1" pivotButton="0" quotePrefix="0" xfId="1"/>
    <xf numFmtId="0" fontId="0" fillId="14" borderId="1" pivotButton="0" quotePrefix="0" xfId="0"/>
    <xf numFmtId="0" fontId="0" fillId="23" borderId="0" pivotButton="0" quotePrefix="0" xfId="0"/>
    <xf numFmtId="168" fontId="0" fillId="23" borderId="1" pivotButton="0" quotePrefix="0" xfId="0"/>
    <xf numFmtId="0" fontId="5" fillId="23" borderId="1" pivotButton="0" quotePrefix="0" xfId="0"/>
    <xf numFmtId="2" fontId="5" fillId="23" borderId="1" pivotButton="0" quotePrefix="0" xfId="1"/>
    <xf numFmtId="164" fontId="5" fillId="23" borderId="1" pivotButton="0" quotePrefix="0" xfId="1"/>
    <xf numFmtId="0" fontId="0" fillId="23" borderId="1" pivotButton="0" quotePrefix="0" xfId="0"/>
    <xf numFmtId="164" fontId="0" fillId="0" borderId="0" pivotButton="0" quotePrefix="0" xfId="0"/>
    <xf numFmtId="168" fontId="0" fillId="22" borderId="1" pivotButton="0" quotePrefix="0" xfId="0"/>
    <xf numFmtId="0" fontId="5" fillId="22" borderId="1" pivotButton="0" quotePrefix="0" xfId="0"/>
    <xf numFmtId="2" fontId="5" fillId="22" borderId="1" pivotButton="0" quotePrefix="0" xfId="1"/>
    <xf numFmtId="164" fontId="5" fillId="22" borderId="1" pivotButton="0" quotePrefix="0" xfId="1"/>
    <xf numFmtId="0" fontId="0" fillId="22" borderId="1" pivotButton="0" quotePrefix="0" xfId="0"/>
    <xf numFmtId="0" fontId="3" fillId="13" borderId="0" pivotButton="0" quotePrefix="0" xfId="0"/>
    <xf numFmtId="166" fontId="0" fillId="0" borderId="0" pivotButton="0" quotePrefix="0" xfId="0"/>
    <xf numFmtId="0" fontId="0" fillId="24" borderId="0" applyAlignment="1" pivotButton="0" quotePrefix="0" xfId="0">
      <alignment horizontal="center"/>
    </xf>
    <xf numFmtId="0" fontId="22" fillId="24" borderId="0" applyAlignment="1" pivotButton="0" quotePrefix="0" xfId="0">
      <alignment horizontal="center"/>
    </xf>
    <xf numFmtId="167" fontId="22" fillId="24" borderId="0" applyAlignment="1" pivotButton="0" quotePrefix="0" xfId="0">
      <alignment horizontal="center"/>
    </xf>
    <xf numFmtId="0" fontId="23" fillId="25" borderId="0" pivotButton="0" quotePrefix="0" xfId="0"/>
    <xf numFmtId="0" fontId="3" fillId="13" borderId="0" applyAlignment="1" pivotButton="0" quotePrefix="0" xfId="0">
      <alignment horizontal="center" wrapText="1"/>
    </xf>
    <xf numFmtId="2" fontId="0" fillId="0" borderId="0" pivotButton="0" quotePrefix="0" xfId="0"/>
    <xf numFmtId="167" fontId="0" fillId="0" borderId="0" pivotButton="0" quotePrefix="0" xfId="0"/>
    <xf numFmtId="0" fontId="7" fillId="12" borderId="0" pivotButton="0" quotePrefix="0" xfId="0"/>
    <xf numFmtId="0" fontId="0" fillId="0" borderId="0" applyAlignment="1" pivotButton="0" quotePrefix="0" xfId="0">
      <alignment wrapText="1"/>
    </xf>
    <xf numFmtId="166" fontId="0" fillId="0" borderId="0" applyAlignment="1" pivotButton="0" quotePrefix="0" xfId="0">
      <alignment wrapText="1"/>
    </xf>
    <xf numFmtId="0" fontId="7" fillId="17" borderId="0" applyAlignment="1" pivotButton="0" quotePrefix="0" xfId="0">
      <alignment horizontal="center" vertical="center" wrapText="1"/>
    </xf>
    <xf numFmtId="2" fontId="0" fillId="15" borderId="0" pivotButton="0" quotePrefix="0" xfId="0"/>
    <xf numFmtId="0" fontId="24" fillId="27" borderId="0" pivotButton="0" quotePrefix="0" xfId="0"/>
    <xf numFmtId="0" fontId="25" fillId="26" borderId="0" pivotButton="0" quotePrefix="0" xfId="0"/>
    <xf numFmtId="0" fontId="26" fillId="28" borderId="0" pivotButton="0" quotePrefix="0" xfId="0"/>
    <xf numFmtId="0" fontId="7" fillId="12" borderId="0" applyAlignment="1" pivotButton="0" quotePrefix="0" xfId="0">
      <alignment wrapText="1"/>
    </xf>
    <xf numFmtId="0" fontId="27" fillId="0" borderId="0" applyAlignment="1" pivotButton="0" quotePrefix="0" xfId="0">
      <alignment wrapText="1"/>
    </xf>
    <xf numFmtId="0" fontId="7" fillId="12" borderId="0" applyAlignment="1" pivotButton="0" quotePrefix="0" xfId="0">
      <alignment horizontal="center" wrapText="1"/>
    </xf>
    <xf numFmtId="0" fontId="3" fillId="13" borderId="0" applyAlignment="1" pivotButton="0" quotePrefix="0" xfId="0">
      <alignment vertical="center" wrapText="1"/>
    </xf>
    <xf numFmtId="0" fontId="28" fillId="0" borderId="0" applyAlignment="1" pivotButton="0" quotePrefix="0" xfId="0">
      <alignment vertical="top" wrapText="1"/>
    </xf>
    <xf numFmtId="0" fontId="0" fillId="0" borderId="0" applyAlignment="1" pivotButton="0" quotePrefix="0" xfId="0">
      <alignment vertical="top" wrapText="1"/>
    </xf>
    <xf numFmtId="0" fontId="29" fillId="0" borderId="0" applyAlignment="1" pivotButton="0" quotePrefix="0" xfId="0">
      <alignment vertical="center"/>
    </xf>
    <xf numFmtId="0" fontId="28" fillId="0" borderId="0" applyAlignment="1" pivotButton="0" quotePrefix="0" xfId="0">
      <alignment vertical="center"/>
    </xf>
    <xf numFmtId="166" fontId="28" fillId="16" borderId="0" applyAlignment="1" pivotButton="0" quotePrefix="0" xfId="0">
      <alignment vertical="center"/>
    </xf>
    <xf numFmtId="0" fontId="7" fillId="12" borderId="31" applyAlignment="1" pivotButton="0" quotePrefix="0" xfId="0">
      <alignment horizontal="center" vertical="center" wrapText="1"/>
    </xf>
    <xf numFmtId="0" fontId="29" fillId="0" borderId="31" applyAlignment="1" pivotButton="0" quotePrefix="0" xfId="0">
      <alignment vertical="center"/>
    </xf>
    <xf numFmtId="2" fontId="29" fillId="13" borderId="31" applyAlignment="1" pivotButton="0" quotePrefix="0" xfId="0">
      <alignment vertical="center"/>
    </xf>
    <xf numFmtId="2" fontId="29" fillId="8" borderId="31" applyAlignment="1" pivotButton="0" quotePrefix="0" xfId="0">
      <alignment vertical="center"/>
    </xf>
    <xf numFmtId="166" fontId="29" fillId="0" borderId="31" applyAlignment="1" pivotButton="0" quotePrefix="0" xfId="0">
      <alignment vertical="center"/>
    </xf>
    <xf numFmtId="2" fontId="29" fillId="0" borderId="31" applyAlignment="1" pivotButton="0" quotePrefix="0" xfId="0">
      <alignment vertical="center"/>
    </xf>
    <xf numFmtId="2" fontId="29" fillId="0" borderId="0" applyAlignment="1" pivotButton="0" quotePrefix="0" xfId="0">
      <alignment vertical="center"/>
    </xf>
    <xf numFmtId="0" fontId="29" fillId="13" borderId="31" applyAlignment="1" pivotButton="0" quotePrefix="0" xfId="0">
      <alignment vertical="center"/>
    </xf>
    <xf numFmtId="0" fontId="29" fillId="8" borderId="31" applyAlignment="1" pivotButton="0" quotePrefix="0" xfId="0">
      <alignment vertical="center"/>
    </xf>
    <xf numFmtId="166" fontId="7" fillId="12" borderId="31" applyAlignment="1" pivotButton="0" quotePrefix="0" xfId="0">
      <alignment horizontal="center" vertical="center" wrapText="1"/>
    </xf>
    <xf numFmtId="2" fontId="7" fillId="12" borderId="31" applyAlignment="1" pivotButton="0" quotePrefix="0" xfId="0">
      <alignment horizontal="center" vertical="center" wrapText="1"/>
    </xf>
    <xf numFmtId="0" fontId="7" fillId="12" borderId="31" applyAlignment="1" pivotButton="0" quotePrefix="0" xfId="0">
      <alignment vertical="center"/>
    </xf>
    <xf numFmtId="166" fontId="7" fillId="12" borderId="31" applyAlignment="1" pivotButton="0" quotePrefix="0" xfId="0">
      <alignment vertical="center"/>
    </xf>
    <xf numFmtId="2" fontId="7" fillId="12" borderId="31" applyAlignment="1" pivotButton="0" quotePrefix="0" xfId="0">
      <alignment vertical="center"/>
    </xf>
    <xf numFmtId="14" fontId="29" fillId="0" borderId="31" applyAlignment="1" pivotButton="0" quotePrefix="0" xfId="0">
      <alignment vertical="center"/>
    </xf>
    <xf numFmtId="2" fontId="29" fillId="16" borderId="31" applyAlignment="1" pivotButton="0" quotePrefix="0" xfId="0">
      <alignment vertical="center"/>
    </xf>
    <xf numFmtId="0" fontId="29" fillId="16" borderId="31" applyAlignment="1" pivotButton="0" quotePrefix="0" xfId="0">
      <alignment vertical="center"/>
    </xf>
    <xf numFmtId="14" fontId="29" fillId="0" borderId="0" applyAlignment="1" pivotButton="0" quotePrefix="0" xfId="0">
      <alignment vertical="center"/>
    </xf>
    <xf numFmtId="0" fontId="29" fillId="16" borderId="0" applyAlignment="1" pivotButton="0" quotePrefix="0" xfId="0">
      <alignment vertical="center"/>
    </xf>
    <xf numFmtId="14" fontId="0" fillId="0" borderId="0" pivotButton="0" quotePrefix="0" xfId="0"/>
    <xf numFmtId="0" fontId="0" fillId="16" borderId="0" pivotButton="0" quotePrefix="0" xfId="0"/>
    <xf numFmtId="2" fontId="0" fillId="16" borderId="0" pivotButton="0" quotePrefix="0" xfId="0"/>
    <xf numFmtId="166" fontId="0" fillId="16" borderId="0" pivotButton="0" quotePrefix="0" xfId="0"/>
    <xf numFmtId="166" fontId="0" fillId="30" borderId="0" pivotButton="0" quotePrefix="0" xfId="0"/>
    <xf numFmtId="1" fontId="0" fillId="16" borderId="0" pivotButton="0" quotePrefix="0" xfId="0"/>
    <xf numFmtId="2" fontId="0" fillId="30" borderId="0" pivotButton="0" quotePrefix="0" xfId="0"/>
    <xf numFmtId="0" fontId="33" fillId="31" borderId="0" applyAlignment="1" pivotButton="0" quotePrefix="0" xfId="0">
      <alignment vertical="center" wrapText="1"/>
    </xf>
    <xf numFmtId="0" fontId="0" fillId="31" borderId="0" applyAlignment="1" pivotButton="0" quotePrefix="0" xfId="0">
      <alignment vertical="center" wrapText="1"/>
    </xf>
    <xf numFmtId="0" fontId="12" fillId="13" borderId="32" applyAlignment="1" pivotButton="0" quotePrefix="0" xfId="0">
      <alignment horizontal="center" vertical="center" wrapText="1"/>
    </xf>
    <xf numFmtId="0" fontId="12" fillId="13" borderId="33" applyAlignment="1" pivotButton="0" quotePrefix="0" xfId="0">
      <alignment horizontal="center" vertical="center" wrapText="1"/>
    </xf>
    <xf numFmtId="0" fontId="12" fillId="13" borderId="34" applyAlignment="1" pivotButton="0" quotePrefix="0" xfId="0">
      <alignment horizontal="center" vertical="center" wrapText="1"/>
    </xf>
    <xf numFmtId="169" fontId="0" fillId="0" borderId="0" pivotButton="0" quotePrefix="0" xfId="0"/>
    <xf numFmtId="166" fontId="8" fillId="16" borderId="0" applyAlignment="1" pivotButton="0" quotePrefix="0" xfId="0">
      <alignment horizontal="center" vertical="center"/>
    </xf>
    <xf numFmtId="0" fontId="8" fillId="33" borderId="0" applyAlignment="1" pivotButton="0" quotePrefix="0" xfId="0">
      <alignment vertical="center"/>
    </xf>
    <xf numFmtId="0" fontId="8" fillId="34" borderId="0" applyAlignment="1" pivotButton="0" quotePrefix="0" xfId="0">
      <alignment vertical="center"/>
    </xf>
    <xf numFmtId="165" fontId="41" fillId="0" borderId="0" applyAlignment="1" pivotButton="0" quotePrefix="0" xfId="0">
      <alignment vertical="center"/>
    </xf>
    <xf numFmtId="0" fontId="8" fillId="13" borderId="0" pivotButton="0" quotePrefix="0" xfId="0"/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164" fontId="42" fillId="0" borderId="1" applyAlignment="1" pivotButton="0" quotePrefix="0" xfId="1">
      <alignment vertical="center"/>
    </xf>
    <xf numFmtId="0" fontId="42" fillId="0" borderId="1" applyAlignment="1" pivotButton="0" quotePrefix="0" xfId="1">
      <alignment horizontal="center" vertical="center"/>
    </xf>
    <xf numFmtId="164" fontId="42" fillId="0" borderId="1" applyAlignment="1" pivotButton="0" quotePrefix="0" xfId="1">
      <alignment horizontal="center" vertical="center"/>
    </xf>
    <xf numFmtId="0" fontId="42" fillId="0" borderId="1" applyAlignment="1" pivotButton="0" quotePrefix="0" xfId="1">
      <alignment horizontal="center"/>
    </xf>
    <xf numFmtId="164" fontId="0" fillId="0" borderId="1" pivotButton="0" quotePrefix="0" xfId="0"/>
    <xf numFmtId="0" fontId="0" fillId="0" borderId="0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1" applyAlignment="1" pivotButton="0" quotePrefix="0" xfId="0">
      <alignment horizontal="center" vertical="center" wrapText="1"/>
    </xf>
    <xf numFmtId="0" fontId="2" fillId="2" borderId="0" applyAlignment="1" pivotButton="0" quotePrefix="0" xfId="0">
      <alignment horizontal="center" vertical="center"/>
    </xf>
    <xf numFmtId="0" fontId="7" fillId="12" borderId="22" applyAlignment="1" pivotButton="0" quotePrefix="0" xfId="0">
      <alignment horizontal="center" vertical="center" wrapText="1"/>
    </xf>
    <xf numFmtId="0" fontId="9" fillId="12" borderId="0" applyAlignment="1" pivotButton="0" quotePrefix="0" xfId="0">
      <alignment horizontal="center" vertical="center"/>
    </xf>
    <xf numFmtId="0" fontId="11" fillId="13" borderId="0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/>
    </xf>
    <xf numFmtId="0" fontId="13" fillId="17" borderId="0" applyAlignment="1" pivotButton="0" quotePrefix="0" xfId="0">
      <alignment horizontal="center" vertical="center"/>
    </xf>
    <xf numFmtId="1" fontId="14" fillId="18" borderId="0" applyAlignment="1" pivotButton="0" quotePrefix="0" xfId="0">
      <alignment horizontal="center" vertical="center"/>
    </xf>
    <xf numFmtId="2" fontId="14" fillId="18" borderId="0" applyAlignment="1" pivotButton="0" quotePrefix="0" xfId="0">
      <alignment horizontal="center" vertical="center"/>
    </xf>
    <xf numFmtId="0" fontId="15" fillId="15" borderId="0" applyAlignment="1" pivotButton="0" quotePrefix="0" xfId="0">
      <alignment horizontal="center" vertical="center"/>
    </xf>
    <xf numFmtId="0" fontId="7" fillId="17" borderId="0" applyAlignment="1" pivotButton="0" quotePrefix="0" xfId="0">
      <alignment horizontal="center" wrapText="1"/>
    </xf>
    <xf numFmtId="2" fontId="17" fillId="19" borderId="0" applyAlignment="1" pivotButton="0" quotePrefix="0" xfId="0">
      <alignment horizontal="center" vertical="center"/>
    </xf>
    <xf numFmtId="167" fontId="17" fillId="19" borderId="0" applyAlignment="1" pivotButton="0" quotePrefix="0" xfId="0">
      <alignment horizontal="center" vertical="center"/>
    </xf>
    <xf numFmtId="0" fontId="18" fillId="0" borderId="0" applyAlignment="1" pivotButton="0" quotePrefix="0" xfId="0">
      <alignment wrapText="1"/>
    </xf>
    <xf numFmtId="0" fontId="19" fillId="20" borderId="0" applyAlignment="1" pivotButton="0" quotePrefix="0" xfId="0">
      <alignment horizontal="center" vertical="center"/>
    </xf>
    <xf numFmtId="0" fontId="20" fillId="15" borderId="0" applyAlignment="1" pivotButton="0" quotePrefix="0" xfId="0">
      <alignment horizontal="left" vertical="center" wrapText="1"/>
    </xf>
    <xf numFmtId="0" fontId="5" fillId="0" borderId="1" applyAlignment="1" pivotButton="0" quotePrefix="0" xfId="0">
      <alignment horizontal="center"/>
    </xf>
    <xf numFmtId="0" fontId="19" fillId="12" borderId="0" applyAlignment="1" pivotButton="0" quotePrefix="0" xfId="0">
      <alignment horizontal="center" vertical="center"/>
    </xf>
    <xf numFmtId="0" fontId="23" fillId="24" borderId="0" applyAlignment="1" pivotButton="0" quotePrefix="0" xfId="0">
      <alignment wrapText="1"/>
    </xf>
    <xf numFmtId="0" fontId="19" fillId="12" borderId="0" applyAlignment="1" pivotButton="0" quotePrefix="0" xfId="0">
      <alignment horizontal="center" wrapText="1"/>
    </xf>
    <xf numFmtId="0" fontId="7" fillId="12" borderId="0" applyAlignment="1" pivotButton="0" quotePrefix="0" xfId="0">
      <alignment horizontal="center" wrapText="1"/>
    </xf>
    <xf numFmtId="0" fontId="19" fillId="2" borderId="0" applyAlignment="1" pivotButton="0" quotePrefix="0" xfId="0">
      <alignment horizontal="center" vertical="center"/>
    </xf>
    <xf numFmtId="0" fontId="30" fillId="29" borderId="0" applyAlignment="1" pivotButton="0" quotePrefix="0" xfId="0">
      <alignment vertical="center" wrapText="1"/>
    </xf>
    <xf numFmtId="0" fontId="29" fillId="0" borderId="0" applyAlignment="1" pivotButton="0" quotePrefix="0" xfId="0">
      <alignment wrapText="1"/>
    </xf>
    <xf numFmtId="0" fontId="31" fillId="12" borderId="31" applyAlignment="1" pivotButton="0" quotePrefix="0" xfId="0">
      <alignment vertical="center"/>
    </xf>
    <xf numFmtId="0" fontId="32" fillId="13" borderId="0" applyAlignment="1" pivotButton="0" quotePrefix="0" xfId="0">
      <alignment vertical="center" wrapText="1"/>
    </xf>
    <xf numFmtId="0" fontId="7" fillId="17" borderId="0" applyAlignment="1" pivotButton="0" quotePrefix="0" xfId="0">
      <alignment horizontal="left"/>
    </xf>
    <xf numFmtId="0" fontId="0" fillId="31" borderId="0" applyAlignment="1" pivotButton="0" quotePrefix="0" xfId="0">
      <alignment vertical="center" wrapText="1"/>
    </xf>
    <xf numFmtId="0" fontId="34" fillId="12" borderId="0" applyAlignment="1" pivotButton="0" quotePrefix="0" xfId="0">
      <alignment horizontal="center" vertical="center"/>
    </xf>
    <xf numFmtId="0" fontId="35" fillId="16" borderId="0" applyAlignment="1" pivotButton="0" quotePrefix="0" xfId="0">
      <alignment vertical="center" wrapText="1"/>
    </xf>
    <xf numFmtId="0" fontId="32" fillId="13" borderId="0" applyAlignment="1" pivotButton="0" quotePrefix="0" xfId="0">
      <alignment wrapText="1"/>
    </xf>
    <xf numFmtId="0" fontId="7" fillId="4" borderId="0" applyAlignment="1" pivotButton="0" quotePrefix="0" xfId="0">
      <alignment horizontal="center" vertical="center" wrapText="1"/>
    </xf>
    <xf numFmtId="166" fontId="36" fillId="16" borderId="0" applyAlignment="1" pivotButton="0" quotePrefix="0" xfId="0">
      <alignment horizontal="center" vertical="center"/>
    </xf>
    <xf numFmtId="166" fontId="36" fillId="32" borderId="0" applyAlignment="1" pivotButton="0" quotePrefix="0" xfId="0">
      <alignment horizontal="center" vertical="center"/>
    </xf>
    <xf numFmtId="1" fontId="36" fillId="32" borderId="0" applyAlignment="1" pivotButton="0" quotePrefix="0" xfId="0">
      <alignment horizontal="center" vertical="center"/>
    </xf>
    <xf numFmtId="2" fontId="36" fillId="32" borderId="0" applyAlignment="1" pivotButton="0" quotePrefix="0" xfId="0">
      <alignment horizontal="center" vertical="center"/>
    </xf>
    <xf numFmtId="167" fontId="36" fillId="32" borderId="0" applyAlignment="1" pivotButton="0" quotePrefix="0" xfId="0">
      <alignment horizontal="center" vertical="center"/>
    </xf>
    <xf numFmtId="0" fontId="37" fillId="19" borderId="0" applyAlignment="1" pivotButton="0" quotePrefix="0" xfId="0">
      <alignment vertical="top" wrapText="1"/>
    </xf>
    <xf numFmtId="0" fontId="38" fillId="19" borderId="0" applyAlignment="1" pivotButton="0" quotePrefix="0" xfId="0">
      <alignment horizontal="center" wrapText="1"/>
    </xf>
    <xf numFmtId="0" fontId="39" fillId="16" borderId="0" applyAlignment="1" pivotButton="0" quotePrefix="0" xfId="0">
      <alignment horizontal="center" vertical="center" wrapText="1"/>
    </xf>
    <xf numFmtId="2" fontId="40" fillId="19" borderId="0" applyAlignment="1" pivotButton="0" quotePrefix="0" xfId="0">
      <alignment horizontal="center" vertical="center"/>
    </xf>
    <xf numFmtId="167" fontId="40" fillId="19" borderId="0" applyAlignment="1" pivotButton="0" quotePrefix="0" xfId="0">
      <alignment horizontal="center" vertical="center"/>
    </xf>
    <xf numFmtId="166" fontId="0" fillId="0" borderId="0" pivotButton="0" quotePrefix="0" xfId="0"/>
    <xf numFmtId="0" fontId="0" fillId="0" borderId="1" applyAlignment="1" pivotButton="0" quotePrefix="0" xfId="0">
      <alignment horizontal="center" wrapText="1"/>
    </xf>
    <xf numFmtId="0" fontId="0" fillId="0" borderId="14" applyAlignment="1" pivotButton="0" quotePrefix="0" xfId="0">
      <alignment horizontal="center"/>
    </xf>
    <xf numFmtId="164" fontId="3" fillId="0" borderId="1" applyAlignment="1" pivotButton="0" quotePrefix="0" xfId="1">
      <alignment horizontal="center"/>
    </xf>
    <xf numFmtId="164" fontId="4" fillId="0" borderId="1" applyAlignment="1" pivotButton="0" quotePrefix="0" xfId="1">
      <alignment horizontal="center"/>
    </xf>
    <xf numFmtId="0" fontId="0" fillId="0" borderId="42" pivotButton="0" quotePrefix="0" xfId="0"/>
    <xf numFmtId="0" fontId="0" fillId="0" borderId="43" pivotButton="0" quotePrefix="0" xfId="0"/>
    <xf numFmtId="0" fontId="0" fillId="0" borderId="15" pivotButton="0" quotePrefix="0" xfId="0"/>
    <xf numFmtId="0" fontId="0" fillId="0" borderId="40" pivotButton="0" quotePrefix="0" xfId="0"/>
    <xf numFmtId="164" fontId="42" fillId="0" borderId="0" pivotButton="0" quotePrefix="0" xfId="1"/>
    <xf numFmtId="0" fontId="0" fillId="0" borderId="44" pivotButton="0" quotePrefix="0" xfId="0"/>
    <xf numFmtId="0" fontId="0" fillId="0" borderId="18" pivotButton="0" quotePrefix="0" xfId="0"/>
    <xf numFmtId="0" fontId="0" fillId="0" borderId="37" pivotButton="0" quotePrefix="0" xfId="0"/>
    <xf numFmtId="0" fontId="0" fillId="0" borderId="39" pivotButton="0" quotePrefix="0" xfId="0"/>
    <xf numFmtId="165" fontId="0" fillId="0" borderId="1" applyAlignment="1" pivotButton="0" quotePrefix="0" xfId="0">
      <alignment horizontal="center"/>
    </xf>
    <xf numFmtId="165" fontId="0" fillId="0" borderId="1" applyAlignment="1" pivotButton="0" quotePrefix="0" xfId="0">
      <alignment horizontal="center" vertical="center"/>
    </xf>
    <xf numFmtId="166" fontId="0" fillId="0" borderId="1" pivotButton="0" quotePrefix="0" xfId="0"/>
    <xf numFmtId="0" fontId="0" fillId="0" borderId="13" pivotButton="0" quotePrefix="0" xfId="0"/>
    <xf numFmtId="164" fontId="42" fillId="0" borderId="0" applyAlignment="1" pivotButton="0" quotePrefix="0" xfId="1">
      <alignment horizontal="center" vertical="center"/>
    </xf>
    <xf numFmtId="0" fontId="0" fillId="0" borderId="22" pivotButton="0" quotePrefix="0" xfId="0"/>
    <xf numFmtId="167" fontId="8" fillId="13" borderId="0" pivotButton="0" quotePrefix="0" xfId="0"/>
    <xf numFmtId="166" fontId="10" fillId="14" borderId="0" pivotButton="0" quotePrefix="0" xfId="0"/>
    <xf numFmtId="166" fontId="12" fillId="16" borderId="0" applyAlignment="1" pivotButton="0" quotePrefix="0" xfId="0">
      <alignment horizontal="center" vertical="center"/>
    </xf>
    <xf numFmtId="166" fontId="16" fillId="14" borderId="0" applyAlignment="1" pivotButton="0" quotePrefix="0" xfId="0">
      <alignment horizontal="center" vertical="center"/>
    </xf>
    <xf numFmtId="167" fontId="17" fillId="19" borderId="0" applyAlignment="1" pivotButton="0" quotePrefix="0" xfId="0">
      <alignment horizontal="center" vertical="center"/>
    </xf>
    <xf numFmtId="168" fontId="0" fillId="0" borderId="1" pivotButton="0" quotePrefix="0" xfId="0"/>
    <xf numFmtId="164" fontId="42" fillId="0" borderId="1" pivotButton="0" quotePrefix="0" xfId="1"/>
    <xf numFmtId="168" fontId="0" fillId="0" borderId="0" pivotButton="0" quotePrefix="0" xfId="0"/>
    <xf numFmtId="168" fontId="0" fillId="0" borderId="0" applyAlignment="1" pivotButton="0" quotePrefix="0" xfId="0">
      <alignment horizontal="center"/>
    </xf>
    <xf numFmtId="166" fontId="0" fillId="0" borderId="25" applyAlignment="1" pivotButton="0" quotePrefix="0" xfId="0">
      <alignment horizontal="center" vertical="center"/>
    </xf>
    <xf numFmtId="165" fontId="0" fillId="15" borderId="25" applyAlignment="1" pivotButton="0" quotePrefix="0" xfId="0">
      <alignment horizontal="center" vertical="center"/>
    </xf>
    <xf numFmtId="165" fontId="0" fillId="16" borderId="25" applyAlignment="1" pivotButton="0" quotePrefix="0" xfId="0">
      <alignment horizontal="center" vertical="center"/>
    </xf>
    <xf numFmtId="165" fontId="0" fillId="11" borderId="25" applyAlignment="1" pivotButton="0" quotePrefix="0" xfId="0">
      <alignment horizontal="center" vertical="center"/>
    </xf>
    <xf numFmtId="167" fontId="0" fillId="11" borderId="25" applyAlignment="1" pivotButton="0" quotePrefix="0" xfId="0">
      <alignment horizontal="center" vertical="center"/>
    </xf>
    <xf numFmtId="166" fontId="0" fillId="16" borderId="25" applyAlignment="1" pivotButton="0" quotePrefix="0" xfId="0">
      <alignment vertical="center"/>
    </xf>
    <xf numFmtId="166" fontId="0" fillId="21" borderId="25" applyAlignment="1" pivotButton="0" quotePrefix="0" xfId="0">
      <alignment horizontal="center" vertical="center"/>
    </xf>
    <xf numFmtId="166" fontId="0" fillId="16" borderId="26" applyAlignment="1" pivotButton="0" quotePrefix="0" xfId="0">
      <alignment vertical="center"/>
    </xf>
    <xf numFmtId="166" fontId="0" fillId="0" borderId="28" applyAlignment="1" pivotButton="0" quotePrefix="0" xfId="0">
      <alignment horizontal="center" vertical="center"/>
    </xf>
    <xf numFmtId="165" fontId="0" fillId="15" borderId="28" applyAlignment="1" pivotButton="0" quotePrefix="0" xfId="0">
      <alignment horizontal="center" vertical="center"/>
    </xf>
    <xf numFmtId="165" fontId="0" fillId="16" borderId="28" applyAlignment="1" pivotButton="0" quotePrefix="0" xfId="0">
      <alignment horizontal="center" vertical="center"/>
    </xf>
    <xf numFmtId="165" fontId="0" fillId="11" borderId="28" applyAlignment="1" pivotButton="0" quotePrefix="0" xfId="0">
      <alignment horizontal="center" vertical="center"/>
    </xf>
    <xf numFmtId="167" fontId="0" fillId="11" borderId="28" applyAlignment="1" pivotButton="0" quotePrefix="0" xfId="0">
      <alignment horizontal="center" vertical="center"/>
    </xf>
    <xf numFmtId="166" fontId="0" fillId="16" borderId="29" applyAlignment="1" pivotButton="0" quotePrefix="0" xfId="0">
      <alignment vertical="center"/>
    </xf>
    <xf numFmtId="164" fontId="5" fillId="0" borderId="1" pivotButton="0" quotePrefix="0" xfId="1"/>
    <xf numFmtId="168" fontId="0" fillId="14" borderId="1" pivotButton="0" quotePrefix="0" xfId="0"/>
    <xf numFmtId="164" fontId="5" fillId="14" borderId="1" pivotButton="0" quotePrefix="0" xfId="1"/>
    <xf numFmtId="168" fontId="0" fillId="23" borderId="1" pivotButton="0" quotePrefix="0" xfId="0"/>
    <xf numFmtId="164" fontId="5" fillId="23" borderId="1" pivotButton="0" quotePrefix="0" xfId="1"/>
    <xf numFmtId="164" fontId="0" fillId="0" borderId="0" pivotButton="0" quotePrefix="0" xfId="0"/>
    <xf numFmtId="168" fontId="0" fillId="22" borderId="1" pivotButton="0" quotePrefix="0" xfId="0"/>
    <xf numFmtId="164" fontId="5" fillId="22" borderId="1" pivotButton="0" quotePrefix="0" xfId="1"/>
    <xf numFmtId="166" fontId="0" fillId="0" borderId="0" pivotButton="0" quotePrefix="0" xfId="0"/>
    <xf numFmtId="167" fontId="22" fillId="24" borderId="0" applyAlignment="1" pivotButton="0" quotePrefix="0" xfId="0">
      <alignment horizontal="center"/>
    </xf>
    <xf numFmtId="167" fontId="0" fillId="0" borderId="0" pivotButton="0" quotePrefix="0" xfId="0"/>
    <xf numFmtId="166" fontId="0" fillId="0" borderId="0" applyAlignment="1" pivotButton="0" quotePrefix="0" xfId="0">
      <alignment wrapText="1"/>
    </xf>
    <xf numFmtId="171" fontId="0" fillId="0" borderId="0" pivotButton="0" quotePrefix="0" xfId="0"/>
    <xf numFmtId="166" fontId="28" fillId="16" borderId="0" applyAlignment="1" pivotButton="0" quotePrefix="0" xfId="0">
      <alignment vertical="center"/>
    </xf>
    <xf numFmtId="166" fontId="29" fillId="0" borderId="31" applyAlignment="1" pivotButton="0" quotePrefix="0" xfId="0">
      <alignment vertical="center"/>
    </xf>
    <xf numFmtId="166" fontId="7" fillId="12" borderId="31" applyAlignment="1" pivotButton="0" quotePrefix="0" xfId="0">
      <alignment horizontal="center" vertical="center" wrapText="1"/>
    </xf>
    <xf numFmtId="0" fontId="0" fillId="0" borderId="47" pivotButton="0" quotePrefix="0" xfId="0"/>
    <xf numFmtId="0" fontId="0" fillId="0" borderId="48" pivotButton="0" quotePrefix="0" xfId="0"/>
    <xf numFmtId="166" fontId="7" fillId="12" borderId="31" applyAlignment="1" pivotButton="0" quotePrefix="0" xfId="0">
      <alignment vertical="center"/>
    </xf>
    <xf numFmtId="166" fontId="0" fillId="16" borderId="0" pivotButton="0" quotePrefix="0" xfId="0"/>
    <xf numFmtId="166" fontId="0" fillId="30" borderId="0" pivotButton="0" quotePrefix="0" xfId="0"/>
    <xf numFmtId="169" fontId="0" fillId="0" borderId="0" pivotButton="0" quotePrefix="0" xfId="0"/>
    <xf numFmtId="166" fontId="36" fillId="16" borderId="0" applyAlignment="1" pivotButton="0" quotePrefix="0" xfId="0">
      <alignment horizontal="center" vertical="center"/>
    </xf>
    <xf numFmtId="166" fontId="36" fillId="32" borderId="0" applyAlignment="1" pivotButton="0" quotePrefix="0" xfId="0">
      <alignment horizontal="center" vertical="center"/>
    </xf>
    <xf numFmtId="167" fontId="36" fillId="32" borderId="0" applyAlignment="1" pivotButton="0" quotePrefix="0" xfId="0">
      <alignment horizontal="center" vertical="center"/>
    </xf>
    <xf numFmtId="166" fontId="8" fillId="16" borderId="0" applyAlignment="1" pivotButton="0" quotePrefix="0" xfId="0">
      <alignment horizontal="center" vertical="center"/>
    </xf>
    <xf numFmtId="167" fontId="40" fillId="19" borderId="0" applyAlignment="1" pivotButton="0" quotePrefix="0" xfId="0">
      <alignment horizontal="center" vertical="center"/>
    </xf>
    <xf numFmtId="165" fontId="41" fillId="0" borderId="0" applyAlignment="1" pivotButton="0" quotePrefix="0" xfId="0">
      <alignment vertical="center"/>
    </xf>
    <xf numFmtId="0" fontId="0" fillId="0" borderId="35" pivotButton="0" quotePrefix="0" xfId="0"/>
    <xf numFmtId="0" fontId="0" fillId="0" borderId="49" pivotButton="0" quotePrefix="0" xfId="0"/>
    <xf numFmtId="0" fontId="0" fillId="0" borderId="50" pivotButton="0" quotePrefix="0" xfId="0"/>
    <xf numFmtId="164" fontId="42" fillId="0" borderId="1" applyAlignment="1" pivotButton="0" quotePrefix="0" xfId="1">
      <alignment vertical="center"/>
    </xf>
    <xf numFmtId="164" fontId="42" fillId="0" borderId="1" applyAlignment="1" pivotButton="0" quotePrefix="0" xfId="1">
      <alignment horizontal="center" vertical="center"/>
    </xf>
    <xf numFmtId="164" fontId="0" fillId="0" borderId="1" pivotButton="0" quotePrefix="0" xfId="0"/>
  </cellXfs>
  <cellStyles count="3">
    <cellStyle name="Normal" xfId="0" builtinId="0"/>
    <cellStyle name="Moeda" xfId="1" builtinId="4"/>
    <cellStyle name="Porcentagem" xfId="2" builtinId="5"/>
  </cellStyles>
  <dxfs count="54">
    <dxf>
      <font>
        <b val="1"/>
        <color rgb="FF7F60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color rgb="FF00000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5" tint="-0.249977111117893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6500"/>
      </font>
      <fill>
        <patternFill>
          <bgColor rgb="FFFFEB9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7F60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color rgb="FF1F1F1F"/>
      </font>
      <fill>
        <patternFill>
          <bgColor rgb="FFE7E6E6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6500"/>
      </font>
      <fill>
        <patternFill>
          <bgColor rgb="FFFFEB9C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6500"/>
      </font>
      <fill>
        <patternFill>
          <bgColor rgb="FFFFEB9C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CCCC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9C65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9C65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9C0006"/>
      </font>
      <fill>
        <patternFill>
          <bgColor rgb="FFF4CCCC"/>
        </patternFill>
      </fill>
    </dxf>
    <dxf>
      <fill>
        <patternFill>
          <bgColor rgb="FFEAF5FB"/>
        </patternFill>
      </fill>
    </dxf>
    <dxf>
      <fill>
        <patternFill>
          <bgColor rgb="FFCFE8F6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DDEBF7"/>
      <rgbColor rgb="FFF3F6FA"/>
      <rgbColor rgb="FFFFFF00"/>
      <rgbColor rgb="FFF2F2F2"/>
      <rgbColor rgb="FFC1E5F5"/>
      <rgbColor rgb="FF9C0006"/>
      <rgbColor rgb="FF006100"/>
      <rgbColor rgb="FFF5F9FC"/>
      <rgbColor rgb="FF7F6000"/>
      <rgbColor rgb="FFEAF3F8"/>
      <rgbColor rgb="FF00B050"/>
      <rgbColor rgb="FF9EADBA"/>
      <rgbColor rgb="FF757575"/>
      <rgbColor rgb="FF5B9BD5"/>
      <rgbColor rgb="FF7030A0"/>
      <rgbColor rgb="FFFFF2CC"/>
      <rgbColor rgb="FFD9EAF7"/>
      <rgbColor rgb="FF305419"/>
      <rgbColor rgb="FFD9E1F2"/>
      <rgbColor rgb="FF0070C0"/>
      <rgbColor rgb="FFD2D2D2"/>
      <rgbColor rgb="FFF8FAFC"/>
      <rgbColor rgb="FFEAF2F8"/>
      <rgbColor rgb="FFE2F0D9"/>
      <rgbColor rgb="FFDCEAF7"/>
      <rgbColor rgb="FFEAF5FB"/>
      <rgbColor rgb="FF3A7D22"/>
      <rgbColor rgb="FF1F4E78"/>
      <rgbColor rgb="FFF3F6F8"/>
      <rgbColor rgb="FF00B0F0"/>
      <rgbColor rgb="FFCFE8F6"/>
      <rgbColor rgb="FFC6EFCE"/>
      <rgbColor rgb="FFFFEB9C"/>
      <rgbColor rgb="FFA6CAEC"/>
      <rgbColor rgb="FFFFC7CE"/>
      <rgbColor rgb="FFF4CCCC"/>
      <rgbColor rgb="FFF6C6AD"/>
      <rgbColor rgb="FF2E75B6"/>
      <rgbColor rgb="FF46B1E1"/>
      <rgbColor rgb="FFC6E0B4"/>
      <rgbColor rgb="FFD9EAD3"/>
      <rgbColor rgb="FFE7E6E6"/>
      <rgbColor rgb="FFD96115"/>
      <rgbColor rgb="FF4F5762"/>
      <rgbColor rgb="FFA6A6A6"/>
      <rgbColor rgb="FF17365D"/>
      <rgbColor rgb="FF548235"/>
      <rgbColor rgb="FF273E58"/>
      <rgbColor rgb="FF1F1F1F"/>
      <rgbColor rgb="FFC04F15"/>
      <rgbColor rgb="FF9C6500"/>
      <rgbColor rgb="FF203864"/>
      <rgbColor rgb="FF1F2937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styles" Target="styles.xml" Id="rId23" /><Relationship Type="http://schemas.openxmlformats.org/officeDocument/2006/relationships/theme" Target="theme/theme1.xml" Id="rId24" /><Relationship Type="http://schemas.microsoft.com/office/2006/relationships/vbaProject" Target="vbaProject.bin" Id="rId2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lang="pt-BR" sz="1800" b="1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lang="pt-BR" sz="1800" b="1" strike="noStrike" spc="-1">
                <a:solidFill>
                  <a:srgbClr val="000000"/>
                </a:solidFill>
                <a:latin typeface="Calibri"/>
                <a:ea typeface="Calibri"/>
              </a:rPr>
              <a:t>PRODUÇÃO DIÁRIA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w="38160">
              <a:solidFill>
                <a:srgbClr val="15608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dLbls>
            <numFmt formatCode="0"/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900" b="0" strike="noStrike" spc="-1">
                    <a:solidFill>
                      <a:srgbClr val="404040"/>
                    </a:solidFill>
                    <a:latin typeface="Calibri"/>
                    <a:ea typeface="Calibri"/>
                  </a:defRPr>
                </a:pPr>
                <a:r>
                  <a:t/>
                </a:r>
                <a:endParaRPr lang="pt-BR"/>
              </a:p>
            </txPr>
            <dLblPos val="ctr"/>
            <showLegendKey val="0"/>
            <showVal val="1"/>
            <showCatName val="0"/>
            <showSerName val="0"/>
            <showPercent val="0"/>
            <showBubbleSize val="1"/>
            <showLeaderLines val="0"/>
          </dLbls>
          <val>
            <numRef>
              <f>0</f>
              <numCache>
                <formatCode>0</formatCode>
                <ptCount val="6"/>
                <pt idx="0">
                  <v>4</v>
                </pt>
                <pt idx="1">
                  <v>5</v>
                </pt>
                <pt idx="2">
                  <v>6</v>
                </pt>
                <pt idx="3">
                  <v>6</v>
                </pt>
                <pt idx="4">
                  <v>6</v>
                </pt>
                <pt idx="5">
                  <v>0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hiLowLines>
          <spPr>
            <a:ln w="0">
              <a:noFill/>
              <a:prstDash val="solid"/>
            </a:ln>
          </spPr>
        </hiLowLines>
        <smooth val="0"/>
        <axId val="59896861"/>
        <axId val="1072591"/>
      </lineChart>
      <catAx>
        <axId val="59896861"/>
        <scaling>
          <orientation val="minMax"/>
        </scaling>
        <delete val="0"/>
        <axPos val="b"/>
        <numFmt formatCode="dd/mm" sourceLinked="0"/>
        <majorTickMark val="out"/>
        <minorTickMark val="none"/>
        <tickLblPos val="nextTo"/>
        <spPr>
          <a:ln w="9360">
            <a:solidFill>
              <a:srgbClr val="D9D9D9"/>
            </a:solidFill>
            <a:prstDash val="solid"/>
            <a:round/>
          </a:ln>
        </spPr>
        <txPr>
          <a:bodyPr/>
          <a:lstStyle/>
          <a:p>
            <a:pPr>
              <a:defRPr sz="750" b="0" strike="noStrike" spc="-1">
                <a:solidFill>
                  <a:srgbClr val="595959"/>
                </a:solidFill>
                <a:latin typeface="Calibri"/>
                <a:ea typeface="Calibri"/>
              </a:defRPr>
            </a:pPr>
            <a:r>
              <a:t/>
            </a:r>
            <a:endParaRPr lang="pt-BR"/>
          </a:p>
        </txPr>
        <crossAx val="1072591"/>
        <crosses val="autoZero"/>
        <auto val="1"/>
        <lblAlgn val="ctr"/>
        <lblOffset val="100"/>
        <noMultiLvlLbl val="0"/>
      </catAx>
      <valAx>
        <axId val="1072591"/>
        <scaling>
          <orientation val="minMax"/>
        </scaling>
        <delete val="0"/>
        <axPos val="l"/>
        <majorGridlines>
          <spPr>
            <a:ln w="9360">
              <a:solidFill>
                <a:srgbClr val="D9D9D9"/>
              </a:solidFill>
              <a:prstDash val="solid"/>
              <a:round/>
            </a:ln>
          </spPr>
        </majorGridlines>
        <minorGridlines>
          <spPr>
            <a:ln w="9360">
              <a:solidFill>
                <a:srgbClr val="F2F2F2"/>
              </a:solidFill>
              <a:prstDash val="solid"/>
              <a:round/>
            </a:ln>
          </spPr>
        </minorGridlines>
        <numFmt formatCode="0" sourceLinked="0"/>
        <majorTickMark val="out"/>
        <minorTickMark val="none"/>
        <tickLblPos val="nextTo"/>
        <spPr>
          <a:ln w="12600">
            <a:noFill/>
            <a:prstDash val="solid"/>
          </a:ln>
        </spPr>
        <txPr>
          <a:bodyPr/>
          <a:lstStyle/>
          <a:p>
            <a:pPr>
              <a:defRPr sz="750" b="0" strike="noStrike" spc="-1">
                <a:solidFill>
                  <a:srgbClr val="595959"/>
                </a:solidFill>
                <a:latin typeface="Calibri"/>
                <a:ea typeface="Calibri"/>
              </a:defRPr>
            </a:pPr>
            <a:r>
              <a:t/>
            </a:r>
            <a:endParaRPr lang="pt-BR"/>
          </a:p>
        </txPr>
        <crossAx val="59896861"/>
        <crosses val="autoZero"/>
        <crossBetween val="between"/>
      </valAx>
    </plotArea>
    <plotVisOnly val="1"/>
    <dispBlanksAs val="zero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lang="pt-BR" sz="1800" b="1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lang="pt-BR" sz="1800" b="1" strike="noStrike" spc="-1">
                <a:solidFill>
                  <a:srgbClr val="000000"/>
                </a:solidFill>
                <a:latin typeface="Calibri"/>
                <a:ea typeface="Calibri"/>
              </a:rPr>
              <a:t>Previsto x Realizado — Cliente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>
              <a:srgbClr val="15608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/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'CLIENTE - PREV X REAL'!$A$59:$A$67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'CLIENTE - PREV X REAL'!$B$59:$B$67</f>
              <numCache>
                <formatCode>0.0%</formatCode>
                <ptCount val="9"/>
                <pt idx="0">
                  <v>0.5272517263956319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1"/>
          <order val="1"/>
          <spPr>
            <a:solidFill>
              <a:srgbClr val="E9713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/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'CLIENTE - PREV X REAL'!$A$59:$A$67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'CLIENTE - PREV X REAL'!$C$59:$C$67</f>
              <numCache>
                <formatCode>0.0%</formatCode>
                <ptCount val="9"/>
                <pt idx="0">
                  <v>0.4559932797193295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68577370"/>
        <axId val="12762196"/>
      </barChart>
      <catAx>
        <axId val="68577370"/>
        <scaling>
          <orientation val="minMax"/>
        </scaling>
        <delete val="0"/>
        <axPos val="b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/>
            </a:r>
            <a:endParaRPr lang="pt-BR"/>
          </a:p>
        </txPr>
        <crossAx val="12762196"/>
        <crosses val="autoZero"/>
        <auto val="1"/>
        <lblAlgn val="ctr"/>
        <lblOffset val="100"/>
        <noMultiLvlLbl val="0"/>
      </catAx>
      <valAx>
        <axId val="12762196"/>
        <scaling>
          <orientation val="minMax"/>
        </scaling>
        <delete val="0"/>
        <axPos val="l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0.0%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/>
            </a:r>
            <a:endParaRPr lang="pt-BR"/>
          </a:p>
        </txPr>
        <crossAx val="68577370"/>
        <crosses val="autoZero"/>
        <crossBetween val="between"/>
      </valAx>
    </plotArea>
    <legend>
      <legendPos val="b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  <a:ea typeface="Calibri"/>
            </a:defRPr>
          </a:pPr>
          <a:r>
            <a:t/>
          </a:r>
          <a:endParaRPr lang="pt-BR"/>
        </a:p>
      </txPr>
    </legend>
    <plotVisOnly val="1"/>
    <dispBlanksAs val="zero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lang="pt-BR" sz="1800" b="1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lang="pt-BR" sz="1800" b="1" strike="noStrike" spc="-1">
                <a:solidFill>
                  <a:srgbClr val="000000"/>
                </a:solidFill>
                <a:latin typeface="Calibri"/>
                <a:ea typeface="Calibri"/>
              </a:rPr>
              <a:t>Previsto Cliente x Realizado EJ/CMM — Período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v>Previsto Cliente</v>
          </tx>
          <spPr>
            <a:solidFill>
              <a:srgbClr val="15608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/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CLIENTE'!$A$64:$A$72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CLIENTE'!$B$64:$B$72</f>
              <numCache>
                <formatCode>0.0%</formatCode>
                <ptCount val="9"/>
                <pt idx="0">
                  <v>0.5272517263956319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1"/>
          <order val="1"/>
          <tx>
            <v>Realizado EJ</v>
          </tx>
          <spPr>
            <a:solidFill>
              <a:srgbClr val="E9713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/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CLIENTE'!$A$64:$A$72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CLIENTE'!$C$64:$C$72</f>
              <numCache>
                <formatCode>0.0%</formatCode>
                <ptCount val="9"/>
                <pt idx="0">
                  <v>0.2572084481175391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2"/>
          <order val="2"/>
          <tx>
            <v>Realizado CMM</v>
          </tx>
          <spPr>
            <a:solidFill>
              <a:srgbClr val="196B24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/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CLIENTE'!$A$64:$A$72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CLIENTE'!$D$64:$D$72</f>
              <numCache>
                <formatCode>0.0%</formatCode>
                <ptCount val="9"/>
                <pt idx="0">
                  <v>0.1978879706152434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3"/>
          <order val="3"/>
          <tx>
            <v>Realizado Total</v>
          </tx>
          <spPr>
            <a:solidFill>
              <a:srgbClr val="0F9ED5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/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CLIENTE'!$A$64:$A$72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CLIENTE'!$E$64:$E$72</f>
              <numCache>
                <formatCode>0.0%</formatCode>
                <ptCount val="9"/>
                <pt idx="0">
                  <v>0.4559932797193295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31625038"/>
        <axId val="98014560"/>
      </barChart>
      <catAx>
        <axId val="31625038"/>
        <scaling>
          <orientation val="minMax"/>
        </scaling>
        <delete val="0"/>
        <axPos val="b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/>
            </a:r>
            <a:endParaRPr lang="pt-BR"/>
          </a:p>
        </txPr>
        <crossAx val="98014560"/>
        <crosses val="autoZero"/>
        <auto val="1"/>
        <lblAlgn val="ctr"/>
        <lblOffset val="100"/>
        <noMultiLvlLbl val="0"/>
      </catAx>
      <valAx>
        <axId val="98014560"/>
        <scaling>
          <orientation val="minMax"/>
        </scaling>
        <delete val="0"/>
        <axPos val="l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0.0%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/>
            </a:r>
            <a:endParaRPr lang="pt-BR"/>
          </a:p>
        </txPr>
        <crossAx val="31625038"/>
        <crosses val="autoZero"/>
        <crossBetween val="between"/>
      </valAx>
    </plotArea>
    <legend>
      <legendPos val="b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  <a:ea typeface="Calibri"/>
            </a:defRPr>
          </a:pPr>
          <a:r>
            <a:t/>
          </a:r>
          <a:endParaRPr lang="pt-BR"/>
        </a:p>
      </txPr>
    </legend>
    <plotVisOnly val="1"/>
    <dispBlanksAs val="zero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lang="pt-BR" sz="1800" b="1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lang="pt-BR" sz="1800" b="1" strike="noStrike" spc="-1">
                <a:solidFill>
                  <a:srgbClr val="000000"/>
                </a:solidFill>
                <a:latin typeface="Calibri"/>
                <a:ea typeface="Calibri"/>
              </a:rPr>
              <a:t>Previsto x Realizado Acumulado até Data Final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v>Previsto Acum.</v>
          </tx>
          <spPr>
            <a:solidFill>
              <a:srgbClr val="15608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/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CLIENTE'!$G$64:$G$72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CLIENTE'!$H$64:$H$72</f>
              <numCache>
                <formatCode>0.0%</formatCode>
                <ptCount val="9"/>
                <pt idx="0">
                  <v>0.5272517263956319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1"/>
          <order val="1"/>
          <tx>
            <v>Realizado Acum.</v>
          </tx>
          <spPr>
            <a:solidFill>
              <a:srgbClr val="E9713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/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CLIENTE'!$G$64:$G$72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CLIENTE'!$I$64:$I$72</f>
              <numCache>
                <formatCode>0.0%</formatCode>
                <ptCount val="9"/>
                <pt idx="0">
                  <v>0.4559932797193295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2"/>
          <order val="2"/>
          <tx>
            <v>GAP Acum.</v>
          </tx>
          <spPr>
            <a:solidFill>
              <a:srgbClr val="196B24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/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CLIENTE'!$G$64:$G$72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CLIENTE'!$J$64:$J$72</f>
              <numCache>
                <formatCode>0.0%</formatCode>
                <ptCount val="9"/>
                <pt idx="0">
                  <v>-0.07125844667630243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78270253"/>
        <axId val="4250812"/>
      </barChart>
      <catAx>
        <axId val="78270253"/>
        <scaling>
          <orientation val="minMax"/>
        </scaling>
        <delete val="0"/>
        <axPos val="b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/>
            </a:r>
            <a:endParaRPr lang="pt-BR"/>
          </a:p>
        </txPr>
        <crossAx val="4250812"/>
        <crosses val="autoZero"/>
        <auto val="1"/>
        <lblAlgn val="ctr"/>
        <lblOffset val="100"/>
        <noMultiLvlLbl val="0"/>
      </catAx>
      <valAx>
        <axId val="4250812"/>
        <scaling>
          <orientation val="minMax"/>
        </scaling>
        <delete val="0"/>
        <axPos val="l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0.0%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/>
            </a:r>
            <a:endParaRPr lang="pt-BR"/>
          </a:p>
        </txPr>
        <crossAx val="78270253"/>
        <crosses val="autoZero"/>
        <crossBetween val="between"/>
      </valAx>
    </plotArea>
    <legend>
      <legendPos val="b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  <a:ea typeface="Calibri"/>
            </a:defRPr>
          </a:pPr>
          <a:r>
            <a:t/>
          </a:r>
          <a:endParaRPr lang="pt-BR"/>
        </a:p>
      </txPr>
    </legend>
    <plotVisOnly val="1"/>
    <dispBlanksAs val="zero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sz="1800" b="1" strike="noStrike" spc="-1">
                <a:solidFill>
                  <a:srgbClr val="000000"/>
                </a:solidFill>
                <a:latin typeface="Calibri"/>
                <a:ea typeface="Calibri"/>
              </a:rPr>
              <a:t>% Previsto acumulado × % Executado — escopo da empresa selecionada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>
              <a:srgbClr val="15608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/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EMPRESAS'!$B$10:$B$39</f>
              <strCache>
                <ptCount val="20"/>
                <pt idx="0">
                  <v>PREMONTAGEM</v>
                </pt>
                <pt idx="1">
                  <v>IÇAMENTO JOIST</v>
                </pt>
                <pt idx="2">
                  <v>VIGAS</v>
                </pt>
                <pt idx="3">
                  <v>FECH. LATERAL – ESTRUTURA</v>
                </pt>
                <pt idx="4">
                  <v>MARQUISE – VIGAS PRINCIPAIS</v>
                </pt>
                <pt idx="5">
                  <v>MARQUISE – PRÉ-MONT. TERÇAS</v>
                </pt>
                <pt idx="6">
                  <v>MARQUISE – TERÇAS</v>
                </pt>
                <pt idx="7">
                  <v>MARQUISE – TESTEIRA</v>
                </pt>
                <pt idx="8">
                  <v>ECLUSA – VIGAS E JOISTS</v>
                </pt>
                <pt idx="9">
                  <v>ECLUSA – PLATIBANDA – ESTRUTURA</v>
                </pt>
                <pt idx="10">
                  <v>PORTARIA – VIGAS E TERÇAS</v>
                </pt>
                <pt idx="11">
                  <v>PORTARIA – PLATIBANDA H=1,90m</v>
                </pt>
                <pt idx="12">
                  <v>REFEITÓRIO – VIGAS E TERÇAS</v>
                </pt>
                <pt idx="13">
                  <v>VESTIÁRIO – VIGAS E TERÇAS</v>
                </pt>
                <pt idx="14">
                  <v>COB. PEDESTRES – PILARES</v>
                </pt>
                <pt idx="15">
                  <v>COB. PEDESTRES – VIGAS E TERÇAS</v>
                </pt>
                <pt idx="16">
                  <v>COB. PEDESTRES – TESTEIRA</v>
                </pt>
                <pt idx="17">
                  <v>COB. PRAÇA VIVÊNCIA – PILARES</v>
                </pt>
                <pt idx="18">
                  <v>COB. PRAÇA VIVÊNCIA – VIGAS E TERÇAS</v>
                </pt>
                <pt idx="19">
                  <v>COB. PRAÇA VIVÊNCIA – TESTEIRA</v>
                </pt>
              </strCache>
            </strRef>
          </cat>
          <val>
            <numRef>
              <f>'DASHBOARD EMPRESAS'!$X$10:$X$39</f>
              <numCache>
                <formatCode>0.0%</formatCode>
                <ptCount val="30"/>
                <pt idx="0">
                  <v>0.7575757575757576</v>
                </pt>
                <pt idx="1">
                  <v>0.5454545454545454</v>
                </pt>
                <pt idx="2">
                  <v>0.6953333333333334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ser>
          <idx val="1"/>
          <order val="1"/>
          <spPr>
            <a:solidFill>
              <a:srgbClr val="E9713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/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EMPRESAS'!$B$10:$B$39</f>
              <strCache>
                <ptCount val="20"/>
                <pt idx="0">
                  <v>PREMONTAGEM</v>
                </pt>
                <pt idx="1">
                  <v>IÇAMENTO JOIST</v>
                </pt>
                <pt idx="2">
                  <v>VIGAS</v>
                </pt>
                <pt idx="3">
                  <v>FECH. LATERAL – ESTRUTURA</v>
                </pt>
                <pt idx="4">
                  <v>MARQUISE – VIGAS PRINCIPAIS</v>
                </pt>
                <pt idx="5">
                  <v>MARQUISE – PRÉ-MONT. TERÇAS</v>
                </pt>
                <pt idx="6">
                  <v>MARQUISE – TERÇAS</v>
                </pt>
                <pt idx="7">
                  <v>MARQUISE – TESTEIRA</v>
                </pt>
                <pt idx="8">
                  <v>ECLUSA – VIGAS E JOISTS</v>
                </pt>
                <pt idx="9">
                  <v>ECLUSA – PLATIBANDA – ESTRUTURA</v>
                </pt>
                <pt idx="10">
                  <v>PORTARIA – VIGAS E TERÇAS</v>
                </pt>
                <pt idx="11">
                  <v>PORTARIA – PLATIBANDA H=1,90m</v>
                </pt>
                <pt idx="12">
                  <v>REFEITÓRIO – VIGAS E TERÇAS</v>
                </pt>
                <pt idx="13">
                  <v>VESTIÁRIO – VIGAS E TERÇAS</v>
                </pt>
                <pt idx="14">
                  <v>COB. PEDESTRES – PILARES</v>
                </pt>
                <pt idx="15">
                  <v>COB. PEDESTRES – VIGAS E TERÇAS</v>
                </pt>
                <pt idx="16">
                  <v>COB. PEDESTRES – TESTEIRA</v>
                </pt>
                <pt idx="17">
                  <v>COB. PRAÇA VIVÊNCIA – PILARES</v>
                </pt>
                <pt idx="18">
                  <v>COB. PRAÇA VIVÊNCIA – VIGAS E TERÇAS</v>
                </pt>
                <pt idx="19">
                  <v>COB. PRAÇA VIVÊNCIA – TESTEIRA</v>
                </pt>
              </strCache>
            </strRef>
          </cat>
          <val>
            <numRef>
              <f>'DASHBOARD EMPRESAS'!$N$10:$N$39</f>
              <numCache>
                <formatCode>0.0%</formatCode>
                <ptCount val="30"/>
                <pt idx="0">
                  <v>0.8636363636363636</v>
                </pt>
                <pt idx="1">
                  <v>0.5202020202020202</v>
                </pt>
                <pt idx="2">
                  <v>0.6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71865135"/>
        <axId val="58995126"/>
      </barChart>
      <catAx>
        <axId val="71865135"/>
        <scaling>
          <orientation val="minMax"/>
        </scaling>
        <delete val="0"/>
        <axPos val="b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/>
            </a:r>
            <a:endParaRPr lang="pt-BR"/>
          </a:p>
        </txPr>
        <crossAx val="58995126"/>
        <crosses val="autoZero"/>
        <auto val="1"/>
        <lblAlgn val="ctr"/>
        <lblOffset val="100"/>
        <noMultiLvlLbl val="0"/>
      </catAx>
      <valAx>
        <axId val="58995126"/>
        <scaling>
          <orientation val="minMax"/>
        </scaling>
        <delete val="0"/>
        <axPos val="l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0.0%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/>
            </a:r>
            <a:endParaRPr lang="pt-BR"/>
          </a:p>
        </txPr>
        <crossAx val="71865135"/>
        <crosses val="autoZero"/>
        <crossBetween val="between"/>
      </valAx>
    </plotArea>
    <legend>
      <legendPos val="b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  <a:ea typeface="Calibri"/>
            </a:defRPr>
          </a:pPr>
          <a:r>
            <a:t/>
          </a:r>
          <a:endParaRPr lang="pt-BR"/>
        </a:p>
      </txPr>
    </legend>
    <plotVisOnly val="1"/>
    <dispBlanksAs val="zero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omments/comment1.xml><?xml version="1.0" encoding="utf-8"?>
<comments xmlns="http://schemas.openxmlformats.org/spreadsheetml/2006/main">
  <authors>
    <author>Unknown Author</author>
  </authors>
  <commentList>
    <comment ref="C14" authorId="0" shapeId="0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HORIMETRO, ERIVALDO CHEGOU COM CARRETA
</t>
      </text>
    </comment>
    <comment ref="C17" authorId="0" shapeId="0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Suponho que Aplicando ao custo do Operador:
R$ 290,00  × 1,80 = R$ 522,00
Então o custo desse Operador num sábado seria R$ 522,00, contra R$ 290,00 (diaria informada por marconi) numa segunda-feira normal.
</t>
      </text>
    </comment>
    <comment ref="C22" authorId="0" shapeId="0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OPERADOR ERIVALDO 12H + CARGA 10H</t>
      </text>
    </comment>
    <comment ref="C23" authorId="0" shapeId="0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USO ATE 10H, CHEGADA ATRASADA DA CARGA 18/09</t>
      </text>
    </comment>
    <comment ref="F26" authorId="0" shapeId="0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INFORMADO AO RONALDO AS 14:00
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Relationship Type="http://schemas.openxmlformats.org/officeDocument/2006/relationships/chart" Target="/xl/charts/chart4.xml" Id="rId2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 editAs="oneCell">
    <from>
      <col>5</col>
      <colOff>0</colOff>
      <row>10</row>
      <rowOff>0</rowOff>
    </from>
    <to>
      <col>10</col>
      <colOff>1599120</colOff>
      <row>27</row>
      <rowOff>122760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 editAs="oneCell">
    <from>
      <col>4</col>
      <colOff>0</colOff>
      <row>68</row>
      <rowOff>2160</rowOff>
    </from>
    <to>
      <col>13</col>
      <colOff>1154520</colOff>
      <row>89</row>
      <rowOff>1080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 editAs="oneCell">
    <from>
      <col>0</col>
      <colOff>0</colOff>
      <row>73</row>
      <rowOff>0</rowOff>
    </from>
    <to>
      <col>6</col>
      <colOff>1243440</colOff>
      <row>91</row>
      <rowOff>180000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 editAs="oneCell">
    <from>
      <col>7</col>
      <colOff>0</colOff>
      <row>73</row>
      <rowOff>0</rowOff>
    </from>
    <to>
      <col>16</col>
      <colOff>1421640</colOff>
      <row>91</row>
      <rowOff>180000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 editAs="oneCell">
    <from>
      <col>1</col>
      <colOff>0</colOff>
      <row>41</row>
      <rowOff>0</rowOff>
    </from>
    <to>
      <col>16</col>
      <colOff>977040</colOff>
      <row>65</row>
      <rowOff>180000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bMetasEmpresas" displayName="tbMetasEmpresas" ref="A4:G10" headerRowCount="1" totalsRowShown="0">
  <tableColumns count="7">
    <tableColumn id="1" name="Empresa"/>
    <tableColumn id="2" name="4"/>
    <tableColumn id="3" name="Meta Vigente/Dia"/>
    <tableColumn id="4" name="Dias Úteis"/>
    <tableColumn id="5" name="Meta Vigente/Semana"/>
    <tableColumn id="6" name="Meta Base/Dia"/>
    <tableColumn id="7" name="GAP Anterior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prstDash val="solid"/>
        </a:ln>
        <a:ln w="19050">
          <a:prstDash val="solid"/>
        </a:ln>
        <a:ln w="25400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20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W489"/>
  <sheetViews>
    <sheetView zoomScale="85" zoomScaleNormal="8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M20" sqref="M20"/>
    </sheetView>
  </sheetViews>
  <sheetFormatPr baseColWidth="8" defaultColWidth="8.5546875" defaultRowHeight="14.4"/>
  <cols>
    <col width="12" customWidth="1" style="18" min="1" max="1"/>
    <col width="14.33203125" customWidth="1" style="18" min="2" max="2"/>
    <col width="15.109375" customWidth="1" style="18" min="3" max="3"/>
    <col width="15.5546875" customWidth="1" style="18" min="4" max="4"/>
    <col width="14.33203125" customWidth="1" style="18" min="5" max="5"/>
    <col width="19.33203125" customWidth="1" style="18" min="6" max="6"/>
    <col width="12.109375" customWidth="1" style="18" min="7" max="7"/>
    <col width="12.109375" customWidth="1" min="8" max="8"/>
    <col width="19.33203125" customWidth="1" min="9" max="9"/>
    <col width="12.109375" customWidth="1" min="10" max="10"/>
    <col width="14.44140625" customWidth="1" min="11" max="11"/>
    <col width="12" customWidth="1" min="15" max="15"/>
    <col width="15.77734375" customWidth="1" min="21" max="21"/>
    <col width="10.21875" customWidth="1" min="22" max="22"/>
    <col width="15.6640625" customWidth="1" min="23" max="23"/>
    <col width="3" customWidth="1" min="30" max="32"/>
    <col width="14" customWidth="1" min="33" max="33"/>
    <col width="16" customWidth="1" style="223" min="34" max="75"/>
  </cols>
  <sheetData>
    <row r="1" ht="21" customHeight="1">
      <c r="A1" s="225" t="inlineStr">
        <is>
          <t>⚠ CONSOLIDADO AUTOMÁTICO — NÃO DIGITAR AQUI. Lance nas abas CONTROLE EJ / CONTROLE CMM / CONTROLE GLOBO AÇOS / CONTROLE OUTROS.</t>
        </is>
      </c>
      <c r="L1" s="269" t="inlineStr">
        <is>
          <t>EJ</t>
        </is>
      </c>
      <c r="M1" s="131" t="n"/>
      <c r="N1" s="71" t="n"/>
      <c r="P1" s="269" t="inlineStr">
        <is>
          <t>CMM</t>
        </is>
      </c>
      <c r="Q1" s="131" t="n"/>
      <c r="R1" s="71" t="n"/>
      <c r="T1" s="270" t="inlineStr">
        <is>
          <t>GLOBO AÇOS</t>
        </is>
      </c>
      <c r="U1" s="131" t="n"/>
      <c r="V1" s="71" t="n"/>
      <c r="AG1" s="18" t="inlineStr">
        <is>
          <t>ID CRONOGRAMA</t>
        </is>
      </c>
      <c r="AH1" s="21" t="inlineStr">
        <is>
          <t>ID 19</t>
        </is>
      </c>
      <c r="AI1" s="21" t="inlineStr">
        <is>
          <t>ID 20</t>
        </is>
      </c>
      <c r="AJ1" s="21" t="inlineStr">
        <is>
          <t>ID 22</t>
        </is>
      </c>
      <c r="AK1" s="21" t="inlineStr">
        <is>
          <t>ID 25</t>
        </is>
      </c>
      <c r="AL1" s="21" t="inlineStr">
        <is>
          <t>ID 26</t>
        </is>
      </c>
      <c r="AM1" s="21" t="inlineStr">
        <is>
          <t>ID 27</t>
        </is>
      </c>
      <c r="AN1" s="21" t="inlineStr">
        <is>
          <t>ID 28</t>
        </is>
      </c>
      <c r="AO1" s="21" t="inlineStr">
        <is>
          <t>ID 29</t>
        </is>
      </c>
      <c r="AP1" s="21" t="inlineStr">
        <is>
          <t>ID 30</t>
        </is>
      </c>
      <c r="AQ1" s="21" t="inlineStr">
        <is>
          <t>ID 39</t>
        </is>
      </c>
      <c r="AR1" s="21" t="inlineStr">
        <is>
          <t>ID 40</t>
        </is>
      </c>
      <c r="AS1" s="21" t="inlineStr">
        <is>
          <t>ID 41</t>
        </is>
      </c>
      <c r="AT1" s="21" t="inlineStr">
        <is>
          <t>ID 42</t>
        </is>
      </c>
      <c r="AU1" s="21" t="inlineStr">
        <is>
          <t>ID 43</t>
        </is>
      </c>
      <c r="AV1" s="21" t="inlineStr">
        <is>
          <t>ID 45</t>
        </is>
      </c>
      <c r="AW1" s="21" t="inlineStr">
        <is>
          <t>ID 46</t>
        </is>
      </c>
      <c r="AX1" s="21" t="inlineStr">
        <is>
          <t>ID 53</t>
        </is>
      </c>
      <c r="AY1" s="21" t="inlineStr">
        <is>
          <t>ID 54</t>
        </is>
      </c>
      <c r="AZ1" s="21" t="inlineStr">
        <is>
          <t>ID 55</t>
        </is>
      </c>
      <c r="BA1" s="21" t="inlineStr">
        <is>
          <t>ID 56</t>
        </is>
      </c>
      <c r="BB1" s="21" t="inlineStr">
        <is>
          <t>ID 57</t>
        </is>
      </c>
      <c r="BC1" s="21" t="inlineStr">
        <is>
          <t>ID 58</t>
        </is>
      </c>
      <c r="BD1" s="21" t="inlineStr">
        <is>
          <t>ID 65</t>
        </is>
      </c>
      <c r="BE1" s="21" t="inlineStr">
        <is>
          <t>ID 66</t>
        </is>
      </c>
      <c r="BF1" s="21" t="inlineStr">
        <is>
          <t>ID 67</t>
        </is>
      </c>
      <c r="BG1" s="21" t="inlineStr">
        <is>
          <t>ID 68</t>
        </is>
      </c>
      <c r="BH1" s="21" t="inlineStr">
        <is>
          <t>ID 75</t>
        </is>
      </c>
      <c r="BI1" s="21" t="inlineStr">
        <is>
          <t>ID 76</t>
        </is>
      </c>
      <c r="BJ1" s="21" t="inlineStr">
        <is>
          <t>ID 77</t>
        </is>
      </c>
      <c r="BK1" s="21" t="inlineStr">
        <is>
          <t>ID 78</t>
        </is>
      </c>
      <c r="BL1" s="21" t="inlineStr">
        <is>
          <t>ID 86</t>
        </is>
      </c>
      <c r="BM1" s="21" t="inlineStr">
        <is>
          <t>ID 87</t>
        </is>
      </c>
      <c r="BN1" s="21" t="inlineStr">
        <is>
          <t>ID 88</t>
        </is>
      </c>
      <c r="BO1" s="21" t="inlineStr">
        <is>
          <t>ID 89</t>
        </is>
      </c>
      <c r="BP1" s="21" t="inlineStr">
        <is>
          <t>ID 90</t>
        </is>
      </c>
      <c r="BQ1" s="21" t="inlineStr">
        <is>
          <t>ID 91</t>
        </is>
      </c>
      <c r="BR1" s="21" t="inlineStr">
        <is>
          <t>ID 98</t>
        </is>
      </c>
      <c r="BS1" s="21" t="inlineStr">
        <is>
          <t>ID 99</t>
        </is>
      </c>
      <c r="BT1" s="21" t="inlineStr">
        <is>
          <t>ID 100</t>
        </is>
      </c>
      <c r="BU1" s="21" t="inlineStr">
        <is>
          <t>ID 101</t>
        </is>
      </c>
      <c r="BV1" s="21" t="inlineStr">
        <is>
          <t>ID 102</t>
        </is>
      </c>
      <c r="BW1" s="21" t="inlineStr">
        <is>
          <t>ID 103</t>
        </is>
      </c>
    </row>
    <row r="2" ht="15" customHeight="1">
      <c r="B2" s="8" t="inlineStr">
        <is>
          <t>CONTROLE JOIST</t>
        </is>
      </c>
      <c r="C2" s="271" t="n"/>
      <c r="D2" s="271" t="n"/>
      <c r="E2" s="271" t="n"/>
      <c r="F2" s="271" t="n"/>
      <c r="G2" s="272" t="n"/>
      <c r="H2" s="22" t="inlineStr">
        <is>
          <t>CONTROLE TELHA</t>
        </is>
      </c>
      <c r="I2" s="273" t="n"/>
      <c r="J2" s="274" t="n"/>
      <c r="L2" s="23" t="inlineStr">
        <is>
          <t>PRE</t>
        </is>
      </c>
      <c r="M2" s="23" t="inlineStr">
        <is>
          <t>IÇA/JOIST</t>
        </is>
      </c>
      <c r="N2" s="23" t="inlineStr">
        <is>
          <t>VIGAS</t>
        </is>
      </c>
      <c r="O2" s="275" t="n"/>
      <c r="P2" s="23" t="inlineStr">
        <is>
          <t>PRE</t>
        </is>
      </c>
      <c r="Q2" s="23" t="inlineStr">
        <is>
          <t>IÇA/JOIST</t>
        </is>
      </c>
      <c r="R2" s="23" t="inlineStr">
        <is>
          <t>VIGAS</t>
        </is>
      </c>
      <c r="S2" s="275" t="n"/>
      <c r="T2" s="25" t="inlineStr">
        <is>
          <t>PERF</t>
        </is>
      </c>
      <c r="U2" s="25" t="inlineStr">
        <is>
          <t>TELHAR</t>
        </is>
      </c>
      <c r="V2" s="25" t="inlineStr">
        <is>
          <t>TP40</t>
        </is>
      </c>
      <c r="AG2" s="18" t="inlineStr">
        <is>
          <t>FRENTE</t>
        </is>
      </c>
      <c r="AH2" s="22" t="inlineStr">
        <is>
          <t>GALPÃO F1 – COBERTURA</t>
        </is>
      </c>
      <c r="AI2" s="274" t="n"/>
      <c r="AJ2" s="22" t="inlineStr">
        <is>
          <t>GALPÃO F1 – FECHAMENTO LATERAL</t>
        </is>
      </c>
      <c r="AK2" s="22" t="inlineStr">
        <is>
          <t>GALPÃO F1 – MARQUISE</t>
        </is>
      </c>
      <c r="AL2" s="273" t="n"/>
      <c r="AM2" s="273" t="n"/>
      <c r="AN2" s="273" t="n"/>
      <c r="AO2" s="273" t="n"/>
      <c r="AP2" s="274" t="n"/>
      <c r="AQ2" s="22" t="inlineStr">
        <is>
          <t>ECLUSA</t>
        </is>
      </c>
      <c r="AR2" s="273" t="n"/>
      <c r="AS2" s="273" t="n"/>
      <c r="AT2" s="273" t="n"/>
      <c r="AU2" s="273" t="n"/>
      <c r="AV2" s="273" t="n"/>
      <c r="AW2" s="274" t="n"/>
      <c r="AX2" s="22" t="inlineStr">
        <is>
          <t>PORTARIA</t>
        </is>
      </c>
      <c r="AY2" s="273" t="n"/>
      <c r="AZ2" s="273" t="n"/>
      <c r="BA2" s="273" t="n"/>
      <c r="BB2" s="273" t="n"/>
      <c r="BC2" s="274" t="n"/>
      <c r="BD2" s="22" t="inlineStr">
        <is>
          <t>REFEITÓRIO</t>
        </is>
      </c>
      <c r="BE2" s="273" t="n"/>
      <c r="BF2" s="273" t="n"/>
      <c r="BG2" s="274" t="n"/>
      <c r="BH2" s="22" t="inlineStr">
        <is>
          <t>VESTIÁRIO</t>
        </is>
      </c>
      <c r="BI2" s="273" t="n"/>
      <c r="BJ2" s="273" t="n"/>
      <c r="BK2" s="274" t="n"/>
      <c r="BL2" s="22" t="inlineStr">
        <is>
          <t>COB. PEDESTRES / ESTAC. ÔNIBUS</t>
        </is>
      </c>
      <c r="BM2" s="273" t="n"/>
      <c r="BN2" s="273" t="n"/>
      <c r="BO2" s="273" t="n"/>
      <c r="BP2" s="273" t="n"/>
      <c r="BQ2" s="274" t="n"/>
      <c r="BR2" s="22" t="inlineStr">
        <is>
          <t>COB. PRAÇA / ÁREA DE VIVÊNCIA</t>
        </is>
      </c>
      <c r="BS2" s="273" t="n"/>
      <c r="BT2" s="273" t="n"/>
      <c r="BU2" s="273" t="n"/>
      <c r="BV2" s="273" t="n"/>
      <c r="BW2" s="274" t="n"/>
    </row>
    <row r="3" ht="15" customHeight="1">
      <c r="A3" s="26" t="n"/>
      <c r="B3" s="6" t="inlineStr">
        <is>
          <t>EJ MONTAGEM</t>
        </is>
      </c>
      <c r="C3" s="271" t="n"/>
      <c r="D3" s="272" t="n"/>
      <c r="E3" s="6" t="inlineStr">
        <is>
          <t>CMM ESTRUTURA</t>
        </is>
      </c>
      <c r="F3" s="271" t="n"/>
      <c r="G3" s="272" t="n"/>
      <c r="H3" s="27" t="inlineStr">
        <is>
          <t>GLOBO AÇOS</t>
        </is>
      </c>
      <c r="I3" s="271" t="n"/>
      <c r="J3" s="276" t="n"/>
      <c r="L3" s="223">
        <f>SUM(B6:B490)</f>
        <v/>
      </c>
      <c r="M3" s="223">
        <f>SUM(C6:C490)</f>
        <v/>
      </c>
      <c r="N3" s="223">
        <f>SUM(D6:D490)</f>
        <v/>
      </c>
      <c r="O3" s="275" t="n"/>
      <c r="P3" s="28">
        <f>SUM(E6:E490)</f>
        <v/>
      </c>
      <c r="Q3" s="28">
        <f>SUM(F6:F490)</f>
        <v/>
      </c>
      <c r="R3" s="28">
        <f>SUM(G6:G490)</f>
        <v/>
      </c>
      <c r="S3" s="275" t="n"/>
      <c r="T3" s="28">
        <f>SUM(H6:H490)</f>
        <v/>
      </c>
      <c r="U3" s="28">
        <f>SUM(I6:I490)</f>
        <v/>
      </c>
      <c r="V3" s="28">
        <f>SUM(J6:J490)</f>
        <v/>
      </c>
      <c r="AG3" s="18" t="inlineStr">
        <is>
          <t>RESPONSÁVEL</t>
        </is>
      </c>
      <c r="AH3" s="27">
        <f>'ESCOPO POR EMPRESA'!C10</f>
        <v/>
      </c>
      <c r="AI3" s="27">
        <f>'ESCOPO POR EMPRESA'!C11</f>
        <v/>
      </c>
      <c r="AJ3" s="27">
        <f>'ESCOPO POR EMPRESA'!C12</f>
        <v/>
      </c>
      <c r="AK3" s="27">
        <f>'ESCOPO POR EMPRESA'!C14</f>
        <v/>
      </c>
      <c r="AL3" s="27">
        <f>'ESCOPO POR EMPRESA'!C15</f>
        <v/>
      </c>
      <c r="AM3" s="27">
        <f>'ESCOPO POR EMPRESA'!C16</f>
        <v/>
      </c>
      <c r="AN3" s="27">
        <f>'ESCOPO POR EMPRESA'!C17</f>
        <v/>
      </c>
      <c r="AO3" s="27">
        <f>'ESCOPO POR EMPRESA'!C18</f>
        <v/>
      </c>
      <c r="AP3" s="27">
        <f>'ESCOPO POR EMPRESA'!C19</f>
        <v/>
      </c>
      <c r="AQ3" s="27">
        <f>'ESCOPO POR EMPRESA'!C20</f>
        <v/>
      </c>
      <c r="AR3" s="27">
        <f>'ESCOPO POR EMPRESA'!C21</f>
        <v/>
      </c>
      <c r="AS3" s="27">
        <f>'ESCOPO POR EMPRESA'!C22</f>
        <v/>
      </c>
      <c r="AT3" s="27">
        <f>'ESCOPO POR EMPRESA'!C23</f>
        <v/>
      </c>
      <c r="AU3" s="27">
        <f>'ESCOPO POR EMPRESA'!C24</f>
        <v/>
      </c>
      <c r="AV3" s="27">
        <f>'ESCOPO POR EMPRESA'!C25</f>
        <v/>
      </c>
      <c r="AW3" s="27">
        <f>'ESCOPO POR EMPRESA'!C26</f>
        <v/>
      </c>
      <c r="AX3" s="27">
        <f>'ESCOPO POR EMPRESA'!C27</f>
        <v/>
      </c>
      <c r="AY3" s="27">
        <f>'ESCOPO POR EMPRESA'!C28</f>
        <v/>
      </c>
      <c r="AZ3" s="27">
        <f>'ESCOPO POR EMPRESA'!C29</f>
        <v/>
      </c>
      <c r="BA3" s="27">
        <f>'ESCOPO POR EMPRESA'!C30</f>
        <v/>
      </c>
      <c r="BB3" s="27">
        <f>'ESCOPO POR EMPRESA'!C31</f>
        <v/>
      </c>
      <c r="BC3" s="27">
        <f>'ESCOPO POR EMPRESA'!C32</f>
        <v/>
      </c>
      <c r="BD3" s="27">
        <f>'ESCOPO POR EMPRESA'!C33</f>
        <v/>
      </c>
      <c r="BE3" s="27">
        <f>'ESCOPO POR EMPRESA'!C34</f>
        <v/>
      </c>
      <c r="BF3" s="27">
        <f>'ESCOPO POR EMPRESA'!C35</f>
        <v/>
      </c>
      <c r="BG3" s="27">
        <f>'ESCOPO POR EMPRESA'!C36</f>
        <v/>
      </c>
      <c r="BH3" s="27">
        <f>'ESCOPO POR EMPRESA'!C37</f>
        <v/>
      </c>
      <c r="BI3" s="27">
        <f>'ESCOPO POR EMPRESA'!C38</f>
        <v/>
      </c>
      <c r="BJ3" s="27">
        <f>'ESCOPO POR EMPRESA'!C39</f>
        <v/>
      </c>
      <c r="BK3" s="27">
        <f>'ESCOPO POR EMPRESA'!C40</f>
        <v/>
      </c>
      <c r="BL3" s="27">
        <f>'ESCOPO POR EMPRESA'!C41</f>
        <v/>
      </c>
      <c r="BM3" s="27">
        <f>'ESCOPO POR EMPRESA'!C42</f>
        <v/>
      </c>
      <c r="BN3" s="27">
        <f>'ESCOPO POR EMPRESA'!C43</f>
        <v/>
      </c>
      <c r="BO3" s="27">
        <f>'ESCOPO POR EMPRESA'!C44</f>
        <v/>
      </c>
      <c r="BP3" s="27">
        <f>'ESCOPO POR EMPRESA'!C45</f>
        <v/>
      </c>
      <c r="BQ3" s="27">
        <f>'ESCOPO POR EMPRESA'!C46</f>
        <v/>
      </c>
      <c r="BR3" s="27">
        <f>'ESCOPO POR EMPRESA'!C47</f>
        <v/>
      </c>
      <c r="BS3" s="27">
        <f>'ESCOPO POR EMPRESA'!C48</f>
        <v/>
      </c>
      <c r="BT3" s="27">
        <f>'ESCOPO POR EMPRESA'!C49</f>
        <v/>
      </c>
      <c r="BU3" s="27">
        <f>'ESCOPO POR EMPRESA'!C50</f>
        <v/>
      </c>
      <c r="BV3" s="27">
        <f>'ESCOPO POR EMPRESA'!C51</f>
        <v/>
      </c>
      <c r="BW3" s="27">
        <f>'ESCOPO POR EMPRESA'!C52</f>
        <v/>
      </c>
    </row>
    <row r="4" ht="15" customHeight="1">
      <c r="A4" s="26" t="n"/>
      <c r="B4" s="4" t="inlineStr">
        <is>
          <t>EJ</t>
        </is>
      </c>
      <c r="C4" s="277" t="n"/>
      <c r="D4" s="277" t="n"/>
      <c r="E4" s="3" t="inlineStr">
        <is>
          <t>CMM</t>
        </is>
      </c>
      <c r="F4" s="277" t="n"/>
      <c r="G4" s="278" t="n"/>
      <c r="H4" s="2" t="inlineStr">
        <is>
          <t>GLOBO AÇOS</t>
        </is>
      </c>
      <c r="I4" s="277" t="n"/>
      <c r="J4" s="279" t="n"/>
      <c r="L4" s="29">
        <f>IFERROR(AVERAGEIF(B6:B490,"&gt;0"),0)</f>
        <v/>
      </c>
      <c r="M4" s="29">
        <f>IFERROR(AVERAGEIF(C6:C490,"&gt;0"),0)</f>
        <v/>
      </c>
      <c r="N4" s="29">
        <f>IFERROR(AVERAGEIF(D6:D490,"&gt;0"),0)</f>
        <v/>
      </c>
      <c r="P4" s="30">
        <f>IFERROR(AVERAGEIF(E6:E490,"&gt;0"),0)</f>
        <v/>
      </c>
      <c r="Q4" s="30">
        <f>IFERROR(AVERAGEIF(F6:F490,"&gt;0"),0)</f>
        <v/>
      </c>
      <c r="R4" s="30">
        <f>IFERROR(AVERAGEIF(G6:G490,"&gt;0"),0)</f>
        <v/>
      </c>
      <c r="T4" s="30">
        <f>IFERROR(AVERAGEIF(H6:H490,"&gt;0"),0)</f>
        <v/>
      </c>
      <c r="U4" s="30">
        <f>IFERROR(AVERAGEIF(I6:I490,"&gt;0"),0)</f>
        <v/>
      </c>
      <c r="V4" s="30">
        <f>IFERROR(AVERAGEIF(J6:J490,"&gt;0"),0)</f>
        <v/>
      </c>
      <c r="AG4" s="18" t="inlineStr">
        <is>
          <t>TOTAL ACUM.</t>
        </is>
      </c>
      <c r="AH4" s="31">
        <f>SUM(AH6:AH490)</f>
        <v/>
      </c>
      <c r="AI4" s="31">
        <f>SUM(AI6:AI490)</f>
        <v/>
      </c>
      <c r="AJ4" s="31">
        <f>SUM(AJ6:AJ490)</f>
        <v/>
      </c>
      <c r="AK4" s="31">
        <f>SUM(AK6:AK490)</f>
        <v/>
      </c>
      <c r="AL4" s="31">
        <f>SUM(AL6:AL490)</f>
        <v/>
      </c>
      <c r="AM4" s="31">
        <f>SUM(AM6:AM490)</f>
        <v/>
      </c>
      <c r="AN4" s="31">
        <f>SUM(AN6:AN490)</f>
        <v/>
      </c>
      <c r="AO4" s="31">
        <f>SUM(AO6:AO490)</f>
        <v/>
      </c>
      <c r="AP4" s="31">
        <f>SUM(AP6:AP490)</f>
        <v/>
      </c>
      <c r="AQ4" s="31">
        <f>SUM(AQ6:AQ490)</f>
        <v/>
      </c>
      <c r="AR4" s="31">
        <f>SUM(AR6:AR490)</f>
        <v/>
      </c>
      <c r="AS4" s="31">
        <f>SUM(AS6:AS490)</f>
        <v/>
      </c>
      <c r="AT4" s="31">
        <f>SUM(AT6:AT490)</f>
        <v/>
      </c>
      <c r="AU4" s="31">
        <f>SUM(AU6:AU490)</f>
        <v/>
      </c>
      <c r="AV4" s="31">
        <f>SUM(AV6:AV490)</f>
        <v/>
      </c>
      <c r="AW4" s="31">
        <f>SUM(AW6:AW490)</f>
        <v/>
      </c>
      <c r="AX4" s="31">
        <f>SUM(AX6:AX490)</f>
        <v/>
      </c>
      <c r="AY4" s="31">
        <f>SUM(AY6:AY490)</f>
        <v/>
      </c>
      <c r="AZ4" s="31">
        <f>SUM(AZ6:AZ490)</f>
        <v/>
      </c>
      <c r="BA4" s="31">
        <f>SUM(BA6:BA490)</f>
        <v/>
      </c>
      <c r="BB4" s="31">
        <f>SUM(BB6:BB490)</f>
        <v/>
      </c>
      <c r="BC4" s="31">
        <f>SUM(BC6:BC490)</f>
        <v/>
      </c>
      <c r="BD4" s="31">
        <f>SUM(BD6:BD490)</f>
        <v/>
      </c>
      <c r="BE4" s="31">
        <f>SUM(BE6:BE490)</f>
        <v/>
      </c>
      <c r="BF4" s="31">
        <f>SUM(BF6:BF490)</f>
        <v/>
      </c>
      <c r="BG4" s="31">
        <f>SUM(BG6:BG490)</f>
        <v/>
      </c>
      <c r="BH4" s="31">
        <f>SUM(BH6:BH490)</f>
        <v/>
      </c>
      <c r="BI4" s="31">
        <f>SUM(BI6:BI490)</f>
        <v/>
      </c>
      <c r="BJ4" s="31">
        <f>SUM(BJ6:BJ490)</f>
        <v/>
      </c>
      <c r="BK4" s="31">
        <f>SUM(BK6:BK490)</f>
        <v/>
      </c>
      <c r="BL4" s="31">
        <f>SUM(BL6:BL490)</f>
        <v/>
      </c>
      <c r="BM4" s="31">
        <f>SUM(BM6:BM490)</f>
        <v/>
      </c>
      <c r="BN4" s="31">
        <f>SUM(BN6:BN490)</f>
        <v/>
      </c>
      <c r="BO4" s="31">
        <f>SUM(BO6:BO490)</f>
        <v/>
      </c>
      <c r="BP4" s="31">
        <f>SUM(BP6:BP490)</f>
        <v/>
      </c>
      <c r="BQ4" s="31">
        <f>SUM(BQ6:BQ490)</f>
        <v/>
      </c>
      <c r="BR4" s="31">
        <f>SUM(BR6:BR490)</f>
        <v/>
      </c>
      <c r="BS4" s="31">
        <f>SUM(BS6:BS490)</f>
        <v/>
      </c>
      <c r="BT4" s="31">
        <f>SUM(BT6:BT490)</f>
        <v/>
      </c>
      <c r="BU4" s="31">
        <f>SUM(BU6:BU490)</f>
        <v/>
      </c>
      <c r="BV4" s="31">
        <f>SUM(BV6:BV490)</f>
        <v/>
      </c>
      <c r="BW4" s="31">
        <f>SUM(BW6:BW490)</f>
        <v/>
      </c>
    </row>
    <row r="5" ht="48" customHeight="1">
      <c r="A5" s="18" t="inlineStr">
        <is>
          <t>DATA</t>
        </is>
      </c>
      <c r="B5" s="32" t="inlineStr">
        <is>
          <t>PREMONTAGEM</t>
        </is>
      </c>
      <c r="C5" s="32" t="inlineStr">
        <is>
          <t>IÇAMENTO JOIST</t>
        </is>
      </c>
      <c r="D5" s="33" t="inlineStr">
        <is>
          <t>VIGAS</t>
        </is>
      </c>
      <c r="E5" s="34" t="inlineStr">
        <is>
          <t>PREMONTAGEM</t>
        </is>
      </c>
      <c r="F5" s="32" t="inlineStr">
        <is>
          <t>IÇAMENTO JOIST</t>
        </is>
      </c>
      <c r="G5" s="33" t="inlineStr">
        <is>
          <t>VIGAS</t>
        </is>
      </c>
      <c r="H5" s="21" t="inlineStr">
        <is>
          <t>PERFILAÇÃO</t>
        </is>
      </c>
      <c r="I5" s="35" t="inlineStr">
        <is>
          <t>MONTAGEM ZIPADA</t>
        </is>
      </c>
      <c r="J5" s="35" t="inlineStr">
        <is>
          <t>MONT PIR30</t>
        </is>
      </c>
      <c r="K5" t="inlineStr">
        <is>
          <t>MÉDIA/DIA</t>
        </is>
      </c>
      <c r="L5" s="280">
        <f>IFERROR(AVERAGEIF(B6:B490,"&gt;0"),0)</f>
        <v/>
      </c>
      <c r="M5" s="37">
        <f>IFERROR(AVERAGEIF(C6:C490,"&gt;0"),0)</f>
        <v/>
      </c>
      <c r="N5" s="37">
        <f>IFERROR(AVERAGEIF(D6:D490,"&gt;0"),0)</f>
        <v/>
      </c>
      <c r="O5" t="inlineStr">
        <is>
          <t>MÉDIA/DIA</t>
        </is>
      </c>
      <c r="P5" s="281">
        <f>IFERROR(AVERAGEIF(E6:E490,"&gt;0"),0)</f>
        <v/>
      </c>
      <c r="Q5" s="28">
        <f>IFERROR(AVERAGEIF(F6:F490,"&gt;0"),0)</f>
        <v/>
      </c>
      <c r="R5" s="28">
        <f>IFERROR(AVERAGEIF(G6:G490,"&gt;0"),0)</f>
        <v/>
      </c>
      <c r="S5" t="inlineStr">
        <is>
          <t>MÉDIA/DIA</t>
        </is>
      </c>
      <c r="T5" s="281">
        <f>IFERROR(AVERAGEIF(H6:H490,"&gt;0"),0)</f>
        <v/>
      </c>
      <c r="U5" s="28">
        <f>IFERROR(AVERAGEIF(I6:I490,"&gt;0"),0)</f>
        <v/>
      </c>
      <c r="V5" s="28">
        <f>IFERROR(AVERAGEIF(J6:J490,"&gt;0"),0)</f>
        <v/>
      </c>
      <c r="AD5" s="39" t="inlineStr">
        <is>
          <t>AUX_DIA_UTIL_EJ</t>
        </is>
      </c>
      <c r="AE5" s="39" t="inlineStr">
        <is>
          <t>AUX_DIA_UTIL_CMM</t>
        </is>
      </c>
      <c r="AF5" s="39" t="inlineStr">
        <is>
          <t>AUX_DIA_UTIL_GERAL</t>
        </is>
      </c>
      <c r="AG5" s="18" t="inlineStr">
        <is>
          <t>SERVIÇO →</t>
        </is>
      </c>
      <c r="AH5" s="255" t="inlineStr">
        <is>
          <t>COBERTURA – CALHAS</t>
        </is>
      </c>
      <c r="AI5" s="255" t="inlineStr">
        <is>
          <t>COBERTURA – ARREMATES</t>
        </is>
      </c>
      <c r="AJ5" s="255" t="inlineStr">
        <is>
          <t>FECH. LATERAL – ESTRUTURA</t>
        </is>
      </c>
      <c r="AK5" s="255" t="inlineStr">
        <is>
          <t>MARQUISE – VIGAS PRINCIPAIS</t>
        </is>
      </c>
      <c r="AL5" s="255" t="inlineStr">
        <is>
          <t>MARQUISE – PRÉ-MONT. TERÇAS</t>
        </is>
      </c>
      <c r="AM5" s="255" t="inlineStr">
        <is>
          <t>MARQUISE – TERÇAS</t>
        </is>
      </c>
      <c r="AN5" s="255" t="inlineStr">
        <is>
          <t>MARQUISE – CALHAS</t>
        </is>
      </c>
      <c r="AO5" s="255" t="inlineStr">
        <is>
          <t>MARQUISE – TELHAS</t>
        </is>
      </c>
      <c r="AP5" s="255" t="inlineStr">
        <is>
          <t>MARQUISE – TESTEIRA</t>
        </is>
      </c>
      <c r="AQ5" s="255" t="inlineStr">
        <is>
          <t>ECLUSA – VIGAS E JOISTS</t>
        </is>
      </c>
      <c r="AR5" s="255" t="inlineStr">
        <is>
          <t>ECLUSA – CALHAS</t>
        </is>
      </c>
      <c r="AS5" s="255" t="inlineStr">
        <is>
          <t>ECLUSA – TELHAS COBERTURA</t>
        </is>
      </c>
      <c r="AT5" s="255" t="inlineStr">
        <is>
          <t>ECLUSA – FECHAMENTO ACM H=2,00m</t>
        </is>
      </c>
      <c r="AU5" s="255" t="inlineStr">
        <is>
          <t>ECLUSA – RUFOS E ARREMATES</t>
        </is>
      </c>
      <c r="AV5" s="255" t="inlineStr">
        <is>
          <t>ECLUSA – PLATIBANDA – ESTRUTURA</t>
        </is>
      </c>
      <c r="AW5" s="255" t="inlineStr">
        <is>
          <t>ECLUSA – PLATIBANDA – TELHAS</t>
        </is>
      </c>
      <c r="AX5" s="255" t="inlineStr">
        <is>
          <t>PORTARIA – VIGAS E TERÇAS</t>
        </is>
      </c>
      <c r="AY5" s="255" t="inlineStr">
        <is>
          <t>PORTARIA – CALHAS</t>
        </is>
      </c>
      <c r="AZ5" s="255" t="inlineStr">
        <is>
          <t>PORTARIA – TELHAS</t>
        </is>
      </c>
      <c r="BA5" s="255" t="inlineStr">
        <is>
          <t>PORTARIA – PLATIBANDA H=1,90m</t>
        </is>
      </c>
      <c r="BB5" s="255" t="inlineStr">
        <is>
          <t>PORTARIA – FECHAMENTO ACM H=2,00m</t>
        </is>
      </c>
      <c r="BC5" s="255" t="inlineStr">
        <is>
          <t>PORTARIA – RUFOS E ARREMATES</t>
        </is>
      </c>
      <c r="BD5" s="255" t="inlineStr">
        <is>
          <t>REFEITÓRIO – VIGAS E TERÇAS</t>
        </is>
      </c>
      <c r="BE5" s="255" t="inlineStr">
        <is>
          <t>REFEITÓRIO – CALHAS</t>
        </is>
      </c>
      <c r="BF5" s="255" t="inlineStr">
        <is>
          <t>REFEITÓRIO – TELHAS</t>
        </is>
      </c>
      <c r="BG5" s="255" t="inlineStr">
        <is>
          <t>REFEITÓRIO – RUFOS E ARREMATES</t>
        </is>
      </c>
      <c r="BH5" s="255" t="inlineStr">
        <is>
          <t>VESTIÁRIO – VIGAS E TERÇAS</t>
        </is>
      </c>
      <c r="BI5" s="255" t="inlineStr">
        <is>
          <t>VESTIÁRIO – CALHAS</t>
        </is>
      </c>
      <c r="BJ5" s="255" t="inlineStr">
        <is>
          <t>VESTIÁRIO – TELHAS</t>
        </is>
      </c>
      <c r="BK5" s="255" t="inlineStr">
        <is>
          <t>VESTIÁRIO – RUFOS E ARREMATES</t>
        </is>
      </c>
      <c r="BL5" s="255" t="inlineStr">
        <is>
          <t>COB. PEDESTRES – PILARES</t>
        </is>
      </c>
      <c r="BM5" s="255" t="inlineStr">
        <is>
          <t>COB. PEDESTRES – VIGAS E TERÇAS</t>
        </is>
      </c>
      <c r="BN5" s="255" t="inlineStr">
        <is>
          <t>COB. PEDESTRES – TELHAS</t>
        </is>
      </c>
      <c r="BO5" s="255" t="inlineStr">
        <is>
          <t>COB. PEDESTRES – CALHAS E DESCIDAS</t>
        </is>
      </c>
      <c r="BP5" s="255" t="inlineStr">
        <is>
          <t>COB. PEDESTRES – TESTEIRA</t>
        </is>
      </c>
      <c r="BQ5" s="255" t="inlineStr">
        <is>
          <t>COB. PEDESTRES – COBERTURA ÁREA VIVÊNCIA</t>
        </is>
      </c>
      <c r="BR5" s="255" t="inlineStr">
        <is>
          <t>COB. PRAÇA VIVÊNCIA – PILARES</t>
        </is>
      </c>
      <c r="BS5" s="255" t="inlineStr">
        <is>
          <t>COB. PRAÇA VIVÊNCIA – VIGAS E TERÇAS</t>
        </is>
      </c>
      <c r="BT5" s="255" t="inlineStr">
        <is>
          <t>COB. PRAÇA VIVÊNCIA – TELHAS</t>
        </is>
      </c>
      <c r="BU5" s="255" t="inlineStr">
        <is>
          <t>COB. PRAÇA VIVÊNCIA – CALHAS E DESCIDAS</t>
        </is>
      </c>
      <c r="BV5" s="255" t="inlineStr">
        <is>
          <t>COB. PRAÇA VIVÊNCIA – TESTEIRA</t>
        </is>
      </c>
      <c r="BW5" s="255" t="inlineStr">
        <is>
          <t>COB. PRAÇA VIVÊNCIA – COBERTURA ÁREA VIVÊNCIA</t>
        </is>
      </c>
    </row>
    <row r="6">
      <c r="A6" s="282" t="n">
        <v>46223</v>
      </c>
      <c r="B6" s="18">
        <f>IF('CONTROLE EJ'!B8="","",'CONTROLE EJ'!B8)</f>
        <v/>
      </c>
      <c r="C6" s="223">
        <f>IF('CONTROLE EJ'!C8="","",'CONTROLE EJ'!C8)</f>
        <v/>
      </c>
      <c r="D6" s="42">
        <f>IF('CONTROLE EJ'!D8="","",'CONTROLE EJ'!D8)</f>
        <v/>
      </c>
      <c r="E6" s="43">
        <f>IF('CONTROLE CMM'!B8="","",'CONTROLE CMM'!B8)</f>
        <v/>
      </c>
      <c r="F6" s="18">
        <f>IF('CONTROLE CMM'!C8="","",'CONTROLE CMM'!C8)</f>
        <v/>
      </c>
      <c r="G6" s="26">
        <f>IF('CONTROLE CMM'!D8="","",'CONTROLE CMM'!D8)</f>
        <v/>
      </c>
      <c r="H6" s="43">
        <f>IF('CONTROLE GLOBO AÇOS'!B8="","",'CONTROLE GLOBO AÇOS'!B8)</f>
        <v/>
      </c>
      <c r="I6" s="18">
        <f>IF('CONTROLE GLOBO AÇOS'!C8="","",'CONTROLE GLOBO AÇOS'!C8)</f>
        <v/>
      </c>
      <c r="J6" s="18">
        <f>IF('CONTROLE GLOBO AÇOS'!D8="","",'CONTROLE GLOBO AÇOS'!D8)</f>
        <v/>
      </c>
      <c r="L6" s="23" t="inlineStr">
        <is>
          <t>DIAS DE PRODUÇÃO</t>
        </is>
      </c>
      <c r="M6" s="131" t="n"/>
      <c r="N6" s="71" t="n"/>
      <c r="O6" s="15" t="n"/>
      <c r="P6" s="30" t="inlineStr">
        <is>
          <t>DIAS DE PRODUÇÃO</t>
        </is>
      </c>
      <c r="Q6" s="131" t="n"/>
      <c r="R6" s="71" t="n"/>
      <c r="S6" s="15" t="n"/>
      <c r="T6" s="30" t="inlineStr">
        <is>
          <t>DIAS DE PRODUÇÃO</t>
        </is>
      </c>
      <c r="U6" s="131" t="n"/>
      <c r="V6" s="71" t="n"/>
      <c r="AD6" s="39">
        <f>IF($A6="",0,IF(AND(WEEKDAY($A6,2)&lt;=5,OR($B6&lt;&gt;"",$C6&lt;&gt;"",$D6&lt;&gt;"")),1,0))</f>
        <v/>
      </c>
      <c r="AE6" s="39">
        <f>IF($A6="",0,IF(AND(WEEKDAY($A6,2)&lt;=5,OR($E6&lt;&gt;"",$F6&lt;&gt;"",$G6&lt;&gt;"")),1,0))</f>
        <v/>
      </c>
      <c r="AF6" s="39">
        <f>MAX(AD6,AE6)</f>
        <v/>
      </c>
      <c r="AH6" s="223">
        <f>IF('CONTROLE GLOBO AÇOS'!E8="","",'CONTROLE GLOBO AÇOS'!E8)</f>
        <v/>
      </c>
      <c r="AI6" s="223">
        <f>IF('CONTROLE GLOBO AÇOS'!F8="","",'CONTROLE GLOBO AÇOS'!F8)</f>
        <v/>
      </c>
      <c r="AJ6" s="223">
        <f>IF(AND('CONTROLE EJ'!E8="",'CONTROLE CMM'!E8=""),"",N('CONTROLE EJ'!E8)+N('CONTROLE CMM'!E8))</f>
        <v/>
      </c>
      <c r="AK6" s="223">
        <f>IF(AND('CONTROLE EJ'!F8="",'CONTROLE CMM'!F8=""),"",N('CONTROLE EJ'!F8)+N('CONTROLE CMM'!F8))</f>
        <v/>
      </c>
      <c r="AL6" s="223">
        <f>IF(AND('CONTROLE EJ'!G8="",'CONTROLE CMM'!G8=""),"",N('CONTROLE EJ'!G8)+N('CONTROLE CMM'!G8))</f>
        <v/>
      </c>
      <c r="AM6" s="223">
        <f>IF(AND('CONTROLE EJ'!H8="",'CONTROLE CMM'!H8=""),"",N('CONTROLE EJ'!H8)+N('CONTROLE CMM'!H8))</f>
        <v/>
      </c>
      <c r="AN6" s="223">
        <f>IF('CONTROLE GLOBO AÇOS'!G8="","",'CONTROLE GLOBO AÇOS'!G8)</f>
        <v/>
      </c>
      <c r="AO6" s="223">
        <f>IF('CONTROLE GLOBO AÇOS'!H8="","",'CONTROLE GLOBO AÇOS'!H8)</f>
        <v/>
      </c>
      <c r="AP6" s="223">
        <f>IF(AND('CONTROLE EJ'!I8="",'CONTROLE CMM'!I8=""),"",N('CONTROLE EJ'!I8)+N('CONTROLE CMM'!I8))</f>
        <v/>
      </c>
      <c r="AQ6" s="223">
        <f>IF(AND('CONTROLE EJ'!J8="",'CONTROLE CMM'!#REF!=""),"",N('CONTROLE EJ'!J8)+N('CONTROLE CMM'!#REF!))</f>
        <v/>
      </c>
      <c r="AR6" s="223">
        <f>IF('CONTROLE GLOBO AÇOS'!I8="","",'CONTROLE GLOBO AÇOS'!I8)</f>
        <v/>
      </c>
      <c r="AS6" s="223">
        <f>IF('CONTROLE GLOBO AÇOS'!J8="","",'CONTROLE GLOBO AÇOS'!J8)</f>
        <v/>
      </c>
      <c r="AT6" s="223">
        <f>IF(#REF!="","",#REF!)</f>
        <v/>
      </c>
      <c r="AU6" s="223">
        <f>IF('CONTROLE GLOBO AÇOS'!K8="","",'CONTROLE GLOBO AÇOS'!K8)</f>
        <v/>
      </c>
      <c r="AV6" s="223">
        <f>IF(AND('CONTROLE EJ'!K8="",'CONTROLE CMM'!#REF!=""),"",N('CONTROLE EJ'!K8)+N('CONTROLE CMM'!#REF!))</f>
        <v/>
      </c>
      <c r="AW6" s="223">
        <f>IF('CONTROLE GLOBO AÇOS'!L8="","",'CONTROLE GLOBO AÇOS'!L8)</f>
        <v/>
      </c>
      <c r="AX6" s="223">
        <f>IF(AND('CONTROLE EJ'!L8="",'CONTROLE CMM'!#REF!=""),"",N('CONTROLE EJ'!L8)+N('CONTROLE CMM'!#REF!))</f>
        <v/>
      </c>
      <c r="AY6" s="223">
        <f>IF('CONTROLE GLOBO AÇOS'!M8="","",'CONTROLE GLOBO AÇOS'!M8)</f>
        <v/>
      </c>
      <c r="AZ6" s="223">
        <f>IF('CONTROLE GLOBO AÇOS'!N8="","",'CONTROLE GLOBO AÇOS'!N8)</f>
        <v/>
      </c>
      <c r="BA6" s="223">
        <f>IF(AND('CONTROLE EJ'!M8="",'CONTROLE CMM'!#REF!=""),"",N('CONTROLE EJ'!M8)+N('CONTROLE CMM'!#REF!))</f>
        <v/>
      </c>
      <c r="BB6" s="223">
        <f>IF(#REF!="","",#REF!)</f>
        <v/>
      </c>
      <c r="BC6" s="223">
        <f>IF('CONTROLE GLOBO AÇOS'!O8="","",'CONTROLE GLOBO AÇOS'!O8)</f>
        <v/>
      </c>
      <c r="BD6" s="223">
        <f>IF(AND('CONTROLE EJ'!N8="",'CONTROLE CMM'!#REF!=""),"",N('CONTROLE EJ'!N8)+N('CONTROLE CMM'!#REF!))</f>
        <v/>
      </c>
      <c r="BE6" s="223">
        <f>IF('CONTROLE GLOBO AÇOS'!P8="","",'CONTROLE GLOBO AÇOS'!P8)</f>
        <v/>
      </c>
      <c r="BF6" s="223">
        <f>IF('CONTROLE GLOBO AÇOS'!Q8="","",'CONTROLE GLOBO AÇOS'!Q8)</f>
        <v/>
      </c>
      <c r="BG6" s="223">
        <f>IF('CONTROLE GLOBO AÇOS'!R8="","",'CONTROLE GLOBO AÇOS'!R8)</f>
        <v/>
      </c>
      <c r="BH6" s="223">
        <f>IF(AND('CONTROLE EJ'!O8="",'CONTROLE CMM'!#REF!=""),"",N('CONTROLE EJ'!O8)+N('CONTROLE CMM'!#REF!))</f>
        <v/>
      </c>
      <c r="BI6" s="223">
        <f>IF('CONTROLE GLOBO AÇOS'!S8="","",'CONTROLE GLOBO AÇOS'!S8)</f>
        <v/>
      </c>
      <c r="BJ6" s="223">
        <f>IF('CONTROLE GLOBO AÇOS'!T8="","",'CONTROLE GLOBO AÇOS'!T8)</f>
        <v/>
      </c>
      <c r="BK6" s="223">
        <f>IF('CONTROLE GLOBO AÇOS'!U8="","",'CONTROLE GLOBO AÇOS'!U8)</f>
        <v/>
      </c>
      <c r="BL6" s="223">
        <f>IF(AND('CONTROLE EJ'!P8="",'CONTROLE CMM'!#REF!=""),"",N('CONTROLE EJ'!P8)+N('CONTROLE CMM'!#REF!))</f>
        <v/>
      </c>
      <c r="BM6" s="223">
        <f>IF(AND('CONTROLE EJ'!Q8="",'CONTROLE CMM'!#REF!=""),"",N('CONTROLE EJ'!Q8)+N('CONTROLE CMM'!#REF!))</f>
        <v/>
      </c>
      <c r="BN6" s="223">
        <f>IF('CONTROLE GLOBO AÇOS'!V8="","",'CONTROLE GLOBO AÇOS'!V8)</f>
        <v/>
      </c>
      <c r="BO6" s="223">
        <f>IF('CONTROLE GLOBO AÇOS'!W8="","",'CONTROLE GLOBO AÇOS'!W8)</f>
        <v/>
      </c>
      <c r="BP6" s="223">
        <f>IF(AND('CONTROLE EJ'!R8="",'CONTROLE CMM'!#REF!=""),"",N('CONTROLE EJ'!R8)+N('CONTROLE CMM'!#REF!))</f>
        <v/>
      </c>
      <c r="BQ6" s="223">
        <f>IF(#REF!="","",#REF!)</f>
        <v/>
      </c>
      <c r="BR6" s="223">
        <f>IF(AND('CONTROLE EJ'!S8="",'CONTROLE CMM'!#REF!=""),"",N('CONTROLE EJ'!S8)+N('CONTROLE CMM'!#REF!))</f>
        <v/>
      </c>
      <c r="BS6" s="223">
        <f>IF(AND('CONTROLE EJ'!T8="",'CONTROLE CMM'!#REF!=""),"",N('CONTROLE EJ'!T8)+N('CONTROLE CMM'!#REF!))</f>
        <v/>
      </c>
      <c r="BT6" s="223">
        <f>IF('CONTROLE GLOBO AÇOS'!X8="","",'CONTROLE GLOBO AÇOS'!X8)</f>
        <v/>
      </c>
      <c r="BU6" s="223">
        <f>IF('CONTROLE GLOBO AÇOS'!Y8="","",'CONTROLE GLOBO AÇOS'!Y8)</f>
        <v/>
      </c>
      <c r="BV6" s="223">
        <f>IF(AND('CONTROLE EJ'!U8="",'CONTROLE CMM'!#REF!=""),"",N('CONTROLE EJ'!U8)+N('CONTROLE CMM'!#REF!))</f>
        <v/>
      </c>
      <c r="BW6" s="223">
        <f>IF(#REF!="","",#REF!)</f>
        <v/>
      </c>
    </row>
    <row r="7">
      <c r="A7" s="282" t="n">
        <v>46224</v>
      </c>
      <c r="B7" s="18">
        <f>IF('CONTROLE EJ'!B9="","",'CONTROLE EJ'!B9)</f>
        <v/>
      </c>
      <c r="C7" s="18">
        <f>IF('CONTROLE EJ'!C9="","",'CONTROLE EJ'!C9)</f>
        <v/>
      </c>
      <c r="D7" s="26">
        <f>IF('CONTROLE EJ'!D9="","",'CONTROLE EJ'!D9)</f>
        <v/>
      </c>
      <c r="E7" s="43">
        <f>IF('CONTROLE CMM'!B9="","",'CONTROLE CMM'!B9)</f>
        <v/>
      </c>
      <c r="F7" s="18">
        <f>IF('CONTROLE CMM'!C9="","",'CONTROLE CMM'!C9)</f>
        <v/>
      </c>
      <c r="G7" s="26">
        <f>IF('CONTROLE CMM'!D9="","",'CONTROLE CMM'!D9)</f>
        <v/>
      </c>
      <c r="H7" s="43">
        <f>IF('CONTROLE GLOBO AÇOS'!B9="","",'CONTROLE GLOBO AÇOS'!B9)</f>
        <v/>
      </c>
      <c r="I7" s="18">
        <f>IF('CONTROLE GLOBO AÇOS'!C9="","",'CONTROLE GLOBO AÇOS'!C9)</f>
        <v/>
      </c>
      <c r="J7" s="18">
        <f>IF('CONTROLE GLOBO AÇOS'!D9="","",'CONTROLE GLOBO AÇOS'!D9)</f>
        <v/>
      </c>
      <c r="L7" s="223">
        <f>COUNTIF(B6:B490,"&gt;0")</f>
        <v/>
      </c>
      <c r="M7" s="223">
        <f>COUNTIF(C6:C490,"&gt;0")</f>
        <v/>
      </c>
      <c r="N7" s="223">
        <f>COUNTIF(D6:D490,"&gt;0")</f>
        <v/>
      </c>
      <c r="O7" s="283" t="n"/>
      <c r="P7" s="28">
        <f>COUNTIF(E6:E490,"&gt;0")</f>
        <v/>
      </c>
      <c r="Q7" s="28">
        <f>COUNTIF(F6:F490,"&gt;0")</f>
        <v/>
      </c>
      <c r="R7" s="28">
        <f>COUNTIF(G6:G490,"&gt;0")</f>
        <v/>
      </c>
      <c r="S7" s="283" t="n"/>
      <c r="T7" s="28">
        <f>COUNTIF(H6:H490,"&gt;0")</f>
        <v/>
      </c>
      <c r="U7" s="28">
        <f>COUNTIF(I6:I490,"&gt;0")</f>
        <v/>
      </c>
      <c r="V7" s="28">
        <f>COUNTIF(J6:J490,"&gt;0")</f>
        <v/>
      </c>
      <c r="AD7" s="39">
        <f>IF($A7="",0,IF(AND(WEEKDAY($A7,2)&lt;=5,OR($B7&lt;&gt;"",$C7&lt;&gt;"",$D7&lt;&gt;"")),1,0))</f>
        <v/>
      </c>
      <c r="AE7" s="39">
        <f>IF($A7="",0,IF(AND(WEEKDAY($A7,2)&lt;=5,OR($E7&lt;&gt;"",$F7&lt;&gt;"",$G7&lt;&gt;"")),1,0))</f>
        <v/>
      </c>
      <c r="AF7" s="39">
        <f>MAX(AD7,AE7)</f>
        <v/>
      </c>
      <c r="AH7" s="223">
        <f>IF('CONTROLE GLOBO AÇOS'!E9="","",'CONTROLE GLOBO AÇOS'!E9)</f>
        <v/>
      </c>
      <c r="AI7" s="223">
        <f>IF('CONTROLE GLOBO AÇOS'!F9="","",'CONTROLE GLOBO AÇOS'!F9)</f>
        <v/>
      </c>
      <c r="AJ7" s="223">
        <f>IF(AND('CONTROLE EJ'!E9="",'CONTROLE CMM'!E9=""),"",N('CONTROLE EJ'!E9)+N('CONTROLE CMM'!E9))</f>
        <v/>
      </c>
      <c r="AK7" s="223">
        <f>IF(AND('CONTROLE EJ'!F9="",'CONTROLE CMM'!F9=""),"",N('CONTROLE EJ'!F9)+N('CONTROLE CMM'!F9))</f>
        <v/>
      </c>
      <c r="AL7" s="223">
        <f>IF(AND('CONTROLE EJ'!G9="",'CONTROLE CMM'!G9=""),"",N('CONTROLE EJ'!G9)+N('CONTROLE CMM'!G9))</f>
        <v/>
      </c>
      <c r="AM7" s="223">
        <f>IF(AND('CONTROLE EJ'!H9="",'CONTROLE CMM'!H9=""),"",N('CONTROLE EJ'!H9)+N('CONTROLE CMM'!H9))</f>
        <v/>
      </c>
      <c r="AN7" s="223">
        <f>IF('CONTROLE GLOBO AÇOS'!G9="","",'CONTROLE GLOBO AÇOS'!G9)</f>
        <v/>
      </c>
      <c r="AO7" s="223">
        <f>IF('CONTROLE GLOBO AÇOS'!H9="","",'CONTROLE GLOBO AÇOS'!H9)</f>
        <v/>
      </c>
      <c r="AP7" s="223">
        <f>IF(AND('CONTROLE EJ'!I9="",'CONTROLE CMM'!I9=""),"",N('CONTROLE EJ'!I9)+N('CONTROLE CMM'!I9))</f>
        <v/>
      </c>
      <c r="AQ7" s="223">
        <f>IF(AND('CONTROLE EJ'!J9="",'CONTROLE CMM'!#REF!=""),"",N('CONTROLE EJ'!J9)+N('CONTROLE CMM'!#REF!))</f>
        <v/>
      </c>
      <c r="AR7" s="223">
        <f>IF('CONTROLE GLOBO AÇOS'!I9="","",'CONTROLE GLOBO AÇOS'!I9)</f>
        <v/>
      </c>
      <c r="AS7" s="223">
        <f>IF('CONTROLE GLOBO AÇOS'!J9="","",'CONTROLE GLOBO AÇOS'!J9)</f>
        <v/>
      </c>
      <c r="AT7" s="223">
        <f>IF(#REF!="","",#REF!)</f>
        <v/>
      </c>
      <c r="AU7" s="223">
        <f>IF('CONTROLE GLOBO AÇOS'!K9="","",'CONTROLE GLOBO AÇOS'!K9)</f>
        <v/>
      </c>
      <c r="AV7" s="223">
        <f>IF(AND('CONTROLE EJ'!K9="",'CONTROLE CMM'!#REF!=""),"",N('CONTROLE EJ'!K9)+N('CONTROLE CMM'!#REF!))</f>
        <v/>
      </c>
      <c r="AW7" s="223">
        <f>IF('CONTROLE GLOBO AÇOS'!L9="","",'CONTROLE GLOBO AÇOS'!L9)</f>
        <v/>
      </c>
      <c r="AX7" s="223">
        <f>IF(AND('CONTROLE EJ'!L9="",'CONTROLE CMM'!#REF!=""),"",N('CONTROLE EJ'!L9)+N('CONTROLE CMM'!#REF!))</f>
        <v/>
      </c>
      <c r="AY7" s="223">
        <f>IF('CONTROLE GLOBO AÇOS'!M9="","",'CONTROLE GLOBO AÇOS'!M9)</f>
        <v/>
      </c>
      <c r="AZ7" s="223">
        <f>IF('CONTROLE GLOBO AÇOS'!N9="","",'CONTROLE GLOBO AÇOS'!N9)</f>
        <v/>
      </c>
      <c r="BA7" s="223">
        <f>IF(AND('CONTROLE EJ'!M9="",'CONTROLE CMM'!#REF!=""),"",N('CONTROLE EJ'!M9)+N('CONTROLE CMM'!#REF!))</f>
        <v/>
      </c>
      <c r="BB7" s="223">
        <f>IF(#REF!="","",#REF!)</f>
        <v/>
      </c>
      <c r="BC7" s="223">
        <f>IF('CONTROLE GLOBO AÇOS'!O9="","",'CONTROLE GLOBO AÇOS'!O9)</f>
        <v/>
      </c>
      <c r="BD7" s="223">
        <f>IF(AND('CONTROLE EJ'!N9="",'CONTROLE CMM'!#REF!=""),"",N('CONTROLE EJ'!N9)+N('CONTROLE CMM'!#REF!))</f>
        <v/>
      </c>
      <c r="BE7" s="223">
        <f>IF('CONTROLE GLOBO AÇOS'!P9="","",'CONTROLE GLOBO AÇOS'!P9)</f>
        <v/>
      </c>
      <c r="BF7" s="223">
        <f>IF('CONTROLE GLOBO AÇOS'!Q9="","",'CONTROLE GLOBO AÇOS'!Q9)</f>
        <v/>
      </c>
      <c r="BG7" s="223">
        <f>IF('CONTROLE GLOBO AÇOS'!R9="","",'CONTROLE GLOBO AÇOS'!R9)</f>
        <v/>
      </c>
      <c r="BH7" s="223">
        <f>IF(AND('CONTROLE EJ'!O9="",'CONTROLE CMM'!#REF!=""),"",N('CONTROLE EJ'!O9)+N('CONTROLE CMM'!#REF!))</f>
        <v/>
      </c>
      <c r="BI7" s="223">
        <f>IF('CONTROLE GLOBO AÇOS'!S9="","",'CONTROLE GLOBO AÇOS'!S9)</f>
        <v/>
      </c>
      <c r="BJ7" s="223">
        <f>IF('CONTROLE GLOBO AÇOS'!T9="","",'CONTROLE GLOBO AÇOS'!T9)</f>
        <v/>
      </c>
      <c r="BK7" s="223">
        <f>IF('CONTROLE GLOBO AÇOS'!U9="","",'CONTROLE GLOBO AÇOS'!U9)</f>
        <v/>
      </c>
      <c r="BL7" s="223">
        <f>IF(AND('CONTROLE EJ'!P9="",'CONTROLE CMM'!#REF!=""),"",N('CONTROLE EJ'!P9)+N('CONTROLE CMM'!#REF!))</f>
        <v/>
      </c>
      <c r="BM7" s="223">
        <f>IF(AND('CONTROLE EJ'!Q9="",'CONTROLE CMM'!#REF!=""),"",N('CONTROLE EJ'!Q9)+N('CONTROLE CMM'!#REF!))</f>
        <v/>
      </c>
      <c r="BN7" s="223">
        <f>IF('CONTROLE GLOBO AÇOS'!V9="","",'CONTROLE GLOBO AÇOS'!V9)</f>
        <v/>
      </c>
      <c r="BO7" s="223">
        <f>IF('CONTROLE GLOBO AÇOS'!W9="","",'CONTROLE GLOBO AÇOS'!W9)</f>
        <v/>
      </c>
      <c r="BP7" s="223">
        <f>IF(AND('CONTROLE EJ'!R9="",'CONTROLE CMM'!#REF!=""),"",N('CONTROLE EJ'!R9)+N('CONTROLE CMM'!#REF!))</f>
        <v/>
      </c>
      <c r="BQ7" s="223">
        <f>IF(#REF!="","",#REF!)</f>
        <v/>
      </c>
      <c r="BR7" s="223">
        <f>IF(AND('CONTROLE EJ'!S9="",'CONTROLE CMM'!#REF!=""),"",N('CONTROLE EJ'!S9)+N('CONTROLE CMM'!#REF!))</f>
        <v/>
      </c>
      <c r="BS7" s="223">
        <f>IF(AND('CONTROLE EJ'!T9="",'CONTROLE CMM'!#REF!=""),"",N('CONTROLE EJ'!T9)+N('CONTROLE CMM'!#REF!))</f>
        <v/>
      </c>
      <c r="BT7" s="223">
        <f>IF('CONTROLE GLOBO AÇOS'!X9="","",'CONTROLE GLOBO AÇOS'!X9)</f>
        <v/>
      </c>
      <c r="BU7" s="223">
        <f>IF('CONTROLE GLOBO AÇOS'!Y9="","",'CONTROLE GLOBO AÇOS'!Y9)</f>
        <v/>
      </c>
      <c r="BV7" s="223">
        <f>IF(AND('CONTROLE EJ'!U9="",'CONTROLE CMM'!#REF!=""),"",N('CONTROLE EJ'!U9)+N('CONTROLE CMM'!#REF!))</f>
        <v/>
      </c>
      <c r="BW7" s="223">
        <f>IF(#REF!="","",#REF!)</f>
        <v/>
      </c>
    </row>
    <row r="8" ht="15" customHeight="1">
      <c r="A8" s="282" t="n">
        <v>46225</v>
      </c>
      <c r="B8" s="223">
        <f>IF('CONTROLE EJ'!B10="","",'CONTROLE EJ'!B10)</f>
        <v/>
      </c>
      <c r="C8" s="223">
        <f>IF('CONTROLE EJ'!C10="","",'CONTROLE EJ'!C10)</f>
        <v/>
      </c>
      <c r="D8" s="42">
        <f>IF('CONTROLE EJ'!D10="","",'CONTROLE EJ'!D10)</f>
        <v/>
      </c>
      <c r="E8" s="44">
        <f>IF('CONTROLE CMM'!B10="","",'CONTROLE CMM'!B10)</f>
        <v/>
      </c>
      <c r="F8" s="223">
        <f>IF('CONTROLE CMM'!C10="","",'CONTROLE CMM'!C10)</f>
        <v/>
      </c>
      <c r="G8" s="42">
        <f>IF('CONTROLE CMM'!D10="","",'CONTROLE CMM'!D10)</f>
        <v/>
      </c>
      <c r="H8" s="44">
        <f>IF('CONTROLE GLOBO AÇOS'!B10="","",'CONTROLE GLOBO AÇOS'!B10)</f>
        <v/>
      </c>
      <c r="I8" s="223">
        <f>IF('CONTROLE GLOBO AÇOS'!C10="","",'CONTROLE GLOBO AÇOS'!C10)</f>
        <v/>
      </c>
      <c r="J8" s="223">
        <f>IF('CONTROLE GLOBO AÇOS'!D10="","",'CONTROLE GLOBO AÇOS'!D10)</f>
        <v/>
      </c>
      <c r="K8" t="inlineStr">
        <is>
          <t>TOTAL</t>
        </is>
      </c>
      <c r="L8" s="45" t="n">
        <v>408</v>
      </c>
      <c r="M8" s="45" t="n">
        <v>408</v>
      </c>
      <c r="N8" s="45" t="n">
        <v>138</v>
      </c>
      <c r="O8" t="inlineStr">
        <is>
          <t>TOTAL</t>
        </is>
      </c>
      <c r="P8" s="46" t="n">
        <v>408</v>
      </c>
      <c r="Q8" s="46" t="n">
        <v>408</v>
      </c>
      <c r="R8" s="46" t="n">
        <v>138</v>
      </c>
      <c r="S8" t="inlineStr">
        <is>
          <t>TOTAL</t>
        </is>
      </c>
      <c r="T8" s="46" t="n">
        <v>893</v>
      </c>
      <c r="U8" s="46" t="n">
        <v>893</v>
      </c>
      <c r="V8" s="46" t="n">
        <v>1612</v>
      </c>
      <c r="AD8" s="39">
        <f>IF($A8="",0,IF(AND(WEEKDAY($A8,2)&lt;=5,OR($B8&lt;&gt;"",$C8&lt;&gt;"",$D8&lt;&gt;"")),1,0))</f>
        <v/>
      </c>
      <c r="AE8" s="39">
        <f>IF($A8="",0,IF(AND(WEEKDAY($A8,2)&lt;=5,OR($E8&lt;&gt;"",$F8&lt;&gt;"",$G8&lt;&gt;"")),1,0))</f>
        <v/>
      </c>
      <c r="AF8" s="39">
        <f>MAX(AD8,AE8)</f>
        <v/>
      </c>
      <c r="AH8" s="223">
        <f>IF('CONTROLE GLOBO AÇOS'!E10="","",'CONTROLE GLOBO AÇOS'!E10)</f>
        <v/>
      </c>
      <c r="AI8" s="223">
        <f>IF('CONTROLE GLOBO AÇOS'!F10="","",'CONTROLE GLOBO AÇOS'!F10)</f>
        <v/>
      </c>
      <c r="AJ8" s="223">
        <f>IF(AND('CONTROLE EJ'!E10="",'CONTROLE CMM'!E10=""),"",N('CONTROLE EJ'!E10)+N('CONTROLE CMM'!E10))</f>
        <v/>
      </c>
      <c r="AK8" s="223">
        <f>IF(AND('CONTROLE EJ'!F10="",'CONTROLE CMM'!F10=""),"",N('CONTROLE EJ'!F10)+N('CONTROLE CMM'!F10))</f>
        <v/>
      </c>
      <c r="AL8" s="223">
        <f>IF(AND('CONTROLE EJ'!G10="",'CONTROLE CMM'!G10=""),"",N('CONTROLE EJ'!G10)+N('CONTROLE CMM'!G10))</f>
        <v/>
      </c>
      <c r="AM8" s="223">
        <f>IF(AND('CONTROLE EJ'!H10="",'CONTROLE CMM'!H10=""),"",N('CONTROLE EJ'!H10)+N('CONTROLE CMM'!H10))</f>
        <v/>
      </c>
      <c r="AN8" s="223">
        <f>IF('CONTROLE GLOBO AÇOS'!G10="","",'CONTROLE GLOBO AÇOS'!G10)</f>
        <v/>
      </c>
      <c r="AO8" s="223">
        <f>IF('CONTROLE GLOBO AÇOS'!H10="","",'CONTROLE GLOBO AÇOS'!H10)</f>
        <v/>
      </c>
      <c r="AP8" s="223">
        <f>IF(AND('CONTROLE EJ'!I10="",'CONTROLE CMM'!I10=""),"",N('CONTROLE EJ'!I10)+N('CONTROLE CMM'!I10))</f>
        <v/>
      </c>
      <c r="AQ8" s="223">
        <f>IF(AND('CONTROLE EJ'!J10="",'CONTROLE CMM'!#REF!=""),"",N('CONTROLE EJ'!J10)+N('CONTROLE CMM'!#REF!))</f>
        <v/>
      </c>
      <c r="AR8" s="223">
        <f>IF('CONTROLE GLOBO AÇOS'!I10="","",'CONTROLE GLOBO AÇOS'!I10)</f>
        <v/>
      </c>
      <c r="AS8" s="223">
        <f>IF('CONTROLE GLOBO AÇOS'!J10="","",'CONTROLE GLOBO AÇOS'!J10)</f>
        <v/>
      </c>
      <c r="AT8" s="223">
        <f>IF(#REF!="","",#REF!)</f>
        <v/>
      </c>
      <c r="AU8" s="223">
        <f>IF('CONTROLE GLOBO AÇOS'!K10="","",'CONTROLE GLOBO AÇOS'!K10)</f>
        <v/>
      </c>
      <c r="AV8" s="223">
        <f>IF(AND('CONTROLE EJ'!K10="",'CONTROLE CMM'!#REF!=""),"",N('CONTROLE EJ'!K10)+N('CONTROLE CMM'!#REF!))</f>
        <v/>
      </c>
      <c r="AW8" s="223">
        <f>IF('CONTROLE GLOBO AÇOS'!L10="","",'CONTROLE GLOBO AÇOS'!L10)</f>
        <v/>
      </c>
      <c r="AX8" s="223">
        <f>IF(AND('CONTROLE EJ'!L10="",'CONTROLE CMM'!#REF!=""),"",N('CONTROLE EJ'!L10)+N('CONTROLE CMM'!#REF!))</f>
        <v/>
      </c>
      <c r="AY8" s="223">
        <f>IF('CONTROLE GLOBO AÇOS'!M10="","",'CONTROLE GLOBO AÇOS'!M10)</f>
        <v/>
      </c>
      <c r="AZ8" s="223">
        <f>IF('CONTROLE GLOBO AÇOS'!N10="","",'CONTROLE GLOBO AÇOS'!N10)</f>
        <v/>
      </c>
      <c r="BA8" s="223">
        <f>IF(AND('CONTROLE EJ'!M10="",'CONTROLE CMM'!#REF!=""),"",N('CONTROLE EJ'!M10)+N('CONTROLE CMM'!#REF!))</f>
        <v/>
      </c>
      <c r="BB8" s="223">
        <f>IF(#REF!="","",#REF!)</f>
        <v/>
      </c>
      <c r="BC8" s="223">
        <f>IF('CONTROLE GLOBO AÇOS'!O10="","",'CONTROLE GLOBO AÇOS'!O10)</f>
        <v/>
      </c>
      <c r="BD8" s="223">
        <f>IF(AND('CONTROLE EJ'!N10="",'CONTROLE CMM'!#REF!=""),"",N('CONTROLE EJ'!N10)+N('CONTROLE CMM'!#REF!))</f>
        <v/>
      </c>
      <c r="BE8" s="223">
        <f>IF('CONTROLE GLOBO AÇOS'!P10="","",'CONTROLE GLOBO AÇOS'!P10)</f>
        <v/>
      </c>
      <c r="BF8" s="223">
        <f>IF('CONTROLE GLOBO AÇOS'!Q10="","",'CONTROLE GLOBO AÇOS'!Q10)</f>
        <v/>
      </c>
      <c r="BG8" s="223">
        <f>IF('CONTROLE GLOBO AÇOS'!R10="","",'CONTROLE GLOBO AÇOS'!R10)</f>
        <v/>
      </c>
      <c r="BH8" s="223">
        <f>IF(AND('CONTROLE EJ'!O10="",'CONTROLE CMM'!#REF!=""),"",N('CONTROLE EJ'!O10)+N('CONTROLE CMM'!#REF!))</f>
        <v/>
      </c>
      <c r="BI8" s="223">
        <f>IF('CONTROLE GLOBO AÇOS'!S10="","",'CONTROLE GLOBO AÇOS'!S10)</f>
        <v/>
      </c>
      <c r="BJ8" s="223">
        <f>IF('CONTROLE GLOBO AÇOS'!T10="","",'CONTROLE GLOBO AÇOS'!T10)</f>
        <v/>
      </c>
      <c r="BK8" s="223">
        <f>IF('CONTROLE GLOBO AÇOS'!U10="","",'CONTROLE GLOBO AÇOS'!U10)</f>
        <v/>
      </c>
      <c r="BL8" s="223">
        <f>IF(AND('CONTROLE EJ'!P10="",'CONTROLE CMM'!#REF!=""),"",N('CONTROLE EJ'!P10)+N('CONTROLE CMM'!#REF!))</f>
        <v/>
      </c>
      <c r="BM8" s="223">
        <f>IF(AND('CONTROLE EJ'!Q10="",'CONTROLE CMM'!#REF!=""),"",N('CONTROLE EJ'!Q10)+N('CONTROLE CMM'!#REF!))</f>
        <v/>
      </c>
      <c r="BN8" s="223">
        <f>IF('CONTROLE GLOBO AÇOS'!V10="","",'CONTROLE GLOBO AÇOS'!V10)</f>
        <v/>
      </c>
      <c r="BO8" s="223">
        <f>IF('CONTROLE GLOBO AÇOS'!W10="","",'CONTROLE GLOBO AÇOS'!W10)</f>
        <v/>
      </c>
      <c r="BP8" s="223">
        <f>IF(AND('CONTROLE EJ'!R10="",'CONTROLE CMM'!#REF!=""),"",N('CONTROLE EJ'!R10)+N('CONTROLE CMM'!#REF!))</f>
        <v/>
      </c>
      <c r="BQ8" s="223">
        <f>IF(#REF!="","",#REF!)</f>
        <v/>
      </c>
      <c r="BR8" s="223">
        <f>IF(AND('CONTROLE EJ'!S10="",'CONTROLE CMM'!#REF!=""),"",N('CONTROLE EJ'!S10)+N('CONTROLE CMM'!#REF!))</f>
        <v/>
      </c>
      <c r="BS8" s="223">
        <f>IF(AND('CONTROLE EJ'!T10="",'CONTROLE CMM'!#REF!=""),"",N('CONTROLE EJ'!T10)+N('CONTROLE CMM'!#REF!))</f>
        <v/>
      </c>
      <c r="BT8" s="223">
        <f>IF('CONTROLE GLOBO AÇOS'!X10="","",'CONTROLE GLOBO AÇOS'!X10)</f>
        <v/>
      </c>
      <c r="BU8" s="223">
        <f>IF('CONTROLE GLOBO AÇOS'!Y10="","",'CONTROLE GLOBO AÇOS'!Y10)</f>
        <v/>
      </c>
      <c r="BV8" s="223">
        <f>IF(AND('CONTROLE EJ'!U10="",'CONTROLE CMM'!#REF!=""),"",N('CONTROLE EJ'!U10)+N('CONTROLE CMM'!#REF!))</f>
        <v/>
      </c>
      <c r="BW8" s="223">
        <f>IF(#REF!="","",#REF!)</f>
        <v/>
      </c>
    </row>
    <row r="9">
      <c r="A9" s="282" t="n">
        <v>46226</v>
      </c>
      <c r="B9" s="223">
        <f>IF('CONTROLE EJ'!B11="","",'CONTROLE EJ'!B11)</f>
        <v/>
      </c>
      <c r="C9" s="223">
        <f>IF('CONTROLE EJ'!C11="","",'CONTROLE EJ'!C11)</f>
        <v/>
      </c>
      <c r="D9" s="42">
        <f>IF('CONTROLE EJ'!D11="","",'CONTROLE EJ'!D11)</f>
        <v/>
      </c>
      <c r="E9" s="44">
        <f>IF('CONTROLE CMM'!B11="","",'CONTROLE CMM'!B11)</f>
        <v/>
      </c>
      <c r="F9" s="223">
        <f>IF('CONTROLE CMM'!C11="","",'CONTROLE CMM'!C11)</f>
        <v/>
      </c>
      <c r="G9" s="42">
        <f>IF('CONTROLE CMM'!D11="","",'CONTROLE CMM'!D11)</f>
        <v/>
      </c>
      <c r="H9" s="44">
        <f>IF('CONTROLE GLOBO AÇOS'!B11="","",'CONTROLE GLOBO AÇOS'!B11)</f>
        <v/>
      </c>
      <c r="I9" s="223">
        <f>IF('CONTROLE GLOBO AÇOS'!C11="","",'CONTROLE GLOBO AÇOS'!C11)</f>
        <v/>
      </c>
      <c r="J9" s="223">
        <f>IF('CONTROLE GLOBO AÇOS'!D11="","",'CONTROLE GLOBO AÇOS'!D11)</f>
        <v/>
      </c>
      <c r="K9" s="47" t="inlineStr">
        <is>
          <t>FASE 1</t>
        </is>
      </c>
      <c r="L9" s="48" t="n">
        <v>193</v>
      </c>
      <c r="M9" s="48" t="n">
        <v>193</v>
      </c>
      <c r="N9" s="48" t="n">
        <v>69</v>
      </c>
      <c r="O9" s="47" t="inlineStr">
        <is>
          <t>FASE 1</t>
        </is>
      </c>
      <c r="P9" s="48" t="n">
        <v>193</v>
      </c>
      <c r="Q9" s="48" t="n">
        <v>193</v>
      </c>
      <c r="R9" s="49" t="n">
        <v>69</v>
      </c>
      <c r="S9" s="47" t="inlineStr">
        <is>
          <t>FASE 1</t>
        </is>
      </c>
      <c r="T9" s="48" t="n">
        <v>446</v>
      </c>
      <c r="U9" s="48" t="n">
        <v>446</v>
      </c>
      <c r="V9" s="49" t="n">
        <v>806</v>
      </c>
      <c r="AD9" s="39">
        <f>IF($A9="",0,IF(AND(WEEKDAY($A9,2)&lt;=5,OR($B9&lt;&gt;"",$C9&lt;&gt;"",$D9&lt;&gt;"")),1,0))</f>
        <v/>
      </c>
      <c r="AE9" s="39">
        <f>IF($A9="",0,IF(AND(WEEKDAY($A9,2)&lt;=5,OR($E9&lt;&gt;"",$F9&lt;&gt;"",$G9&lt;&gt;"")),1,0))</f>
        <v/>
      </c>
      <c r="AF9" s="39">
        <f>MAX(AD9,AE9)</f>
        <v/>
      </c>
      <c r="AH9" s="223">
        <f>IF('CONTROLE GLOBO AÇOS'!E11="","",'CONTROLE GLOBO AÇOS'!E11)</f>
        <v/>
      </c>
      <c r="AI9" s="223">
        <f>IF('CONTROLE GLOBO AÇOS'!F11="","",'CONTROLE GLOBO AÇOS'!F11)</f>
        <v/>
      </c>
      <c r="AJ9" s="223">
        <f>IF(AND('CONTROLE EJ'!E11="",'CONTROLE CMM'!E11=""),"",N('CONTROLE EJ'!E11)+N('CONTROLE CMM'!E11))</f>
        <v/>
      </c>
      <c r="AK9" s="223">
        <f>IF(AND('CONTROLE EJ'!F11="",'CONTROLE CMM'!F11=""),"",N('CONTROLE EJ'!F11)+N('CONTROLE CMM'!F11))</f>
        <v/>
      </c>
      <c r="AL9" s="223">
        <f>IF(AND('CONTROLE EJ'!G11="",'CONTROLE CMM'!G11=""),"",N('CONTROLE EJ'!G11)+N('CONTROLE CMM'!G11))</f>
        <v/>
      </c>
      <c r="AM9" s="223">
        <f>IF(AND('CONTROLE EJ'!H11="",'CONTROLE CMM'!H11=""),"",N('CONTROLE EJ'!H11)+N('CONTROLE CMM'!H11))</f>
        <v/>
      </c>
      <c r="AN9" s="223">
        <f>IF('CONTROLE GLOBO AÇOS'!G11="","",'CONTROLE GLOBO AÇOS'!G11)</f>
        <v/>
      </c>
      <c r="AO9" s="223">
        <f>IF('CONTROLE GLOBO AÇOS'!H11="","",'CONTROLE GLOBO AÇOS'!H11)</f>
        <v/>
      </c>
      <c r="AP9" s="223">
        <f>IF(AND('CONTROLE EJ'!I11="",'CONTROLE CMM'!I11=""),"",N('CONTROLE EJ'!I11)+N('CONTROLE CMM'!I11))</f>
        <v/>
      </c>
      <c r="AQ9" s="223">
        <f>IF(AND('CONTROLE EJ'!J11="",'CONTROLE CMM'!#REF!=""),"",N('CONTROLE EJ'!J11)+N('CONTROLE CMM'!#REF!))</f>
        <v/>
      </c>
      <c r="AR9" s="223">
        <f>IF('CONTROLE GLOBO AÇOS'!I11="","",'CONTROLE GLOBO AÇOS'!I11)</f>
        <v/>
      </c>
      <c r="AS9" s="223">
        <f>IF('CONTROLE GLOBO AÇOS'!J11="","",'CONTROLE GLOBO AÇOS'!J11)</f>
        <v/>
      </c>
      <c r="AT9" s="223">
        <f>IF(#REF!="","",#REF!)</f>
        <v/>
      </c>
      <c r="AU9" s="223">
        <f>IF('CONTROLE GLOBO AÇOS'!K11="","",'CONTROLE GLOBO AÇOS'!K11)</f>
        <v/>
      </c>
      <c r="AV9" s="223">
        <f>IF(AND('CONTROLE EJ'!K11="",'CONTROLE CMM'!#REF!=""),"",N('CONTROLE EJ'!K11)+N('CONTROLE CMM'!#REF!))</f>
        <v/>
      </c>
      <c r="AW9" s="223">
        <f>IF('CONTROLE GLOBO AÇOS'!L11="","",'CONTROLE GLOBO AÇOS'!L11)</f>
        <v/>
      </c>
      <c r="AX9" s="223">
        <f>IF(AND('CONTROLE EJ'!L11="",'CONTROLE CMM'!#REF!=""),"",N('CONTROLE EJ'!L11)+N('CONTROLE CMM'!#REF!))</f>
        <v/>
      </c>
      <c r="AY9" s="223">
        <f>IF('CONTROLE GLOBO AÇOS'!M11="","",'CONTROLE GLOBO AÇOS'!M11)</f>
        <v/>
      </c>
      <c r="AZ9" s="223">
        <f>IF('CONTROLE GLOBO AÇOS'!N11="","",'CONTROLE GLOBO AÇOS'!N11)</f>
        <v/>
      </c>
      <c r="BA9" s="223">
        <f>IF(AND('CONTROLE EJ'!M11="",'CONTROLE CMM'!#REF!=""),"",N('CONTROLE EJ'!M11)+N('CONTROLE CMM'!#REF!))</f>
        <v/>
      </c>
      <c r="BB9" s="223">
        <f>IF(#REF!="","",#REF!)</f>
        <v/>
      </c>
      <c r="BC9" s="223">
        <f>IF('CONTROLE GLOBO AÇOS'!O11="","",'CONTROLE GLOBO AÇOS'!O11)</f>
        <v/>
      </c>
      <c r="BD9" s="223">
        <f>IF(AND('CONTROLE EJ'!N11="",'CONTROLE CMM'!#REF!=""),"",N('CONTROLE EJ'!N11)+N('CONTROLE CMM'!#REF!))</f>
        <v/>
      </c>
      <c r="BE9" s="223">
        <f>IF('CONTROLE GLOBO AÇOS'!P11="","",'CONTROLE GLOBO AÇOS'!P11)</f>
        <v/>
      </c>
      <c r="BF9" s="223">
        <f>IF('CONTROLE GLOBO AÇOS'!Q11="","",'CONTROLE GLOBO AÇOS'!Q11)</f>
        <v/>
      </c>
      <c r="BG9" s="223">
        <f>IF('CONTROLE GLOBO AÇOS'!R11="","",'CONTROLE GLOBO AÇOS'!R11)</f>
        <v/>
      </c>
      <c r="BH9" s="223">
        <f>IF(AND('CONTROLE EJ'!O11="",'CONTROLE CMM'!#REF!=""),"",N('CONTROLE EJ'!O11)+N('CONTROLE CMM'!#REF!))</f>
        <v/>
      </c>
      <c r="BI9" s="223">
        <f>IF('CONTROLE GLOBO AÇOS'!S11="","",'CONTROLE GLOBO AÇOS'!S11)</f>
        <v/>
      </c>
      <c r="BJ9" s="223">
        <f>IF('CONTROLE GLOBO AÇOS'!T11="","",'CONTROLE GLOBO AÇOS'!T11)</f>
        <v/>
      </c>
      <c r="BK9" s="223">
        <f>IF('CONTROLE GLOBO AÇOS'!U11="","",'CONTROLE GLOBO AÇOS'!U11)</f>
        <v/>
      </c>
      <c r="BL9" s="223">
        <f>IF(AND('CONTROLE EJ'!P11="",'CONTROLE CMM'!#REF!=""),"",N('CONTROLE EJ'!P11)+N('CONTROLE CMM'!#REF!))</f>
        <v/>
      </c>
      <c r="BM9" s="223">
        <f>IF(AND('CONTROLE EJ'!Q11="",'CONTROLE CMM'!#REF!=""),"",N('CONTROLE EJ'!Q11)+N('CONTROLE CMM'!#REF!))</f>
        <v/>
      </c>
      <c r="BN9" s="223">
        <f>IF('CONTROLE GLOBO AÇOS'!V11="","",'CONTROLE GLOBO AÇOS'!V11)</f>
        <v/>
      </c>
      <c r="BO9" s="223">
        <f>IF('CONTROLE GLOBO AÇOS'!W11="","",'CONTROLE GLOBO AÇOS'!W11)</f>
        <v/>
      </c>
      <c r="BP9" s="223">
        <f>IF(AND('CONTROLE EJ'!R11="",'CONTROLE CMM'!#REF!=""),"",N('CONTROLE EJ'!R11)+N('CONTROLE CMM'!#REF!))</f>
        <v/>
      </c>
      <c r="BQ9" s="223">
        <f>IF(#REF!="","",#REF!)</f>
        <v/>
      </c>
      <c r="BR9" s="223">
        <f>IF(AND('CONTROLE EJ'!S11="",'CONTROLE CMM'!#REF!=""),"",N('CONTROLE EJ'!S11)+N('CONTROLE CMM'!#REF!))</f>
        <v/>
      </c>
      <c r="BS9" s="223">
        <f>IF(AND('CONTROLE EJ'!T11="",'CONTROLE CMM'!#REF!=""),"",N('CONTROLE EJ'!T11)+N('CONTROLE CMM'!#REF!))</f>
        <v/>
      </c>
      <c r="BT9" s="223">
        <f>IF('CONTROLE GLOBO AÇOS'!X11="","",'CONTROLE GLOBO AÇOS'!X11)</f>
        <v/>
      </c>
      <c r="BU9" s="223">
        <f>IF('CONTROLE GLOBO AÇOS'!Y11="","",'CONTROLE GLOBO AÇOS'!Y11)</f>
        <v/>
      </c>
      <c r="BV9" s="223">
        <f>IF(AND('CONTROLE EJ'!U11="",'CONTROLE CMM'!#REF!=""),"",N('CONTROLE EJ'!U11)+N('CONTROLE CMM'!#REF!))</f>
        <v/>
      </c>
      <c r="BW9" s="223">
        <f>IF(#REF!="","",#REF!)</f>
        <v/>
      </c>
    </row>
    <row r="10" ht="15" customHeight="1">
      <c r="A10" s="282" t="n">
        <v>46227</v>
      </c>
      <c r="B10" s="223">
        <f>IF('CONTROLE EJ'!B12="","",'CONTROLE EJ'!B12)</f>
        <v/>
      </c>
      <c r="C10" s="223">
        <f>IF('CONTROLE EJ'!C12="","",'CONTROLE EJ'!C12)</f>
        <v/>
      </c>
      <c r="D10" s="42">
        <f>IF('CONTROLE EJ'!D12="","",'CONTROLE EJ'!D12)</f>
        <v/>
      </c>
      <c r="E10" s="44">
        <f>IF('CONTROLE CMM'!B12="","",'CONTROLE CMM'!B12)</f>
        <v/>
      </c>
      <c r="F10" s="223">
        <f>IF('CONTROLE CMM'!C12="","",'CONTROLE CMM'!C12)</f>
        <v/>
      </c>
      <c r="G10" s="42">
        <f>IF('CONTROLE CMM'!D12="","",'CONTROLE CMM'!D12)</f>
        <v/>
      </c>
      <c r="H10" s="44">
        <f>IF('CONTROLE GLOBO AÇOS'!B12="","",'CONTROLE GLOBO AÇOS'!B12)</f>
        <v/>
      </c>
      <c r="I10" s="223">
        <f>IF('CONTROLE GLOBO AÇOS'!C12="","",'CONTROLE GLOBO AÇOS'!C12)</f>
        <v/>
      </c>
      <c r="J10" s="223">
        <f>IF('CONTROLE GLOBO AÇOS'!D12="","",'CONTROLE GLOBO AÇOS'!D12)</f>
        <v/>
      </c>
      <c r="K10" s="50" t="inlineStr">
        <is>
          <t>saldo F1</t>
        </is>
      </c>
      <c r="L10" s="51">
        <f>L9-L3</f>
        <v/>
      </c>
      <c r="M10" s="51">
        <f>M9-M3</f>
        <v/>
      </c>
      <c r="N10" s="51">
        <f>N9-N3</f>
        <v/>
      </c>
      <c r="O10" s="50" t="inlineStr">
        <is>
          <t>saldo f1</t>
        </is>
      </c>
      <c r="P10" s="51">
        <f>P9-P3</f>
        <v/>
      </c>
      <c r="Q10" s="51">
        <f>Q9-Q3</f>
        <v/>
      </c>
      <c r="R10" s="52">
        <f>R9-R3</f>
        <v/>
      </c>
      <c r="S10" s="50" t="inlineStr">
        <is>
          <t>saldo f1</t>
        </is>
      </c>
      <c r="T10" s="51">
        <f>T9-T3</f>
        <v/>
      </c>
      <c r="U10" s="51">
        <f>U9-U3</f>
        <v/>
      </c>
      <c r="V10" s="52">
        <f>V9-V3</f>
        <v/>
      </c>
      <c r="AD10" s="39">
        <f>IF($A10="",0,IF(AND(WEEKDAY($A10,2)&lt;=5,OR($B10&lt;&gt;"",$C10&lt;&gt;"",$D10&lt;&gt;"")),1,0))</f>
        <v/>
      </c>
      <c r="AE10" s="39">
        <f>IF($A10="",0,IF(AND(WEEKDAY($A10,2)&lt;=5,OR($E10&lt;&gt;"",$F10&lt;&gt;"",$G10&lt;&gt;"")),1,0))</f>
        <v/>
      </c>
      <c r="AF10" s="39">
        <f>MAX(AD10,AE10)</f>
        <v/>
      </c>
      <c r="AH10" s="223">
        <f>IF('CONTROLE GLOBO AÇOS'!E12="","",'CONTROLE GLOBO AÇOS'!E12)</f>
        <v/>
      </c>
      <c r="AI10" s="223">
        <f>IF('CONTROLE GLOBO AÇOS'!F12="","",'CONTROLE GLOBO AÇOS'!F12)</f>
        <v/>
      </c>
      <c r="AJ10" s="223">
        <f>IF(AND('CONTROLE EJ'!E12="",'CONTROLE CMM'!E12=""),"",N('CONTROLE EJ'!E12)+N('CONTROLE CMM'!E12))</f>
        <v/>
      </c>
      <c r="AK10" s="223">
        <f>IF(AND('CONTROLE EJ'!F12="",'CONTROLE CMM'!F12=""),"",N('CONTROLE EJ'!F12)+N('CONTROLE CMM'!F12))</f>
        <v/>
      </c>
      <c r="AL10" s="223">
        <f>IF(AND('CONTROLE EJ'!G12="",'CONTROLE CMM'!G12=""),"",N('CONTROLE EJ'!G12)+N('CONTROLE CMM'!G12))</f>
        <v/>
      </c>
      <c r="AM10" s="223">
        <f>IF(AND('CONTROLE EJ'!H12="",'CONTROLE CMM'!H12=""),"",N('CONTROLE EJ'!H12)+N('CONTROLE CMM'!H12))</f>
        <v/>
      </c>
      <c r="AN10" s="223">
        <f>IF('CONTROLE GLOBO AÇOS'!G12="","",'CONTROLE GLOBO AÇOS'!G12)</f>
        <v/>
      </c>
      <c r="AO10" s="223">
        <f>IF('CONTROLE GLOBO AÇOS'!H12="","",'CONTROLE GLOBO AÇOS'!H12)</f>
        <v/>
      </c>
      <c r="AP10" s="223">
        <f>IF(AND('CONTROLE EJ'!I12="",'CONTROLE CMM'!I12=""),"",N('CONTROLE EJ'!I12)+N('CONTROLE CMM'!I12))</f>
        <v/>
      </c>
      <c r="AQ10" s="223">
        <f>IF(AND('CONTROLE EJ'!J12="",'CONTROLE CMM'!#REF!=""),"",N('CONTROLE EJ'!J12)+N('CONTROLE CMM'!#REF!))</f>
        <v/>
      </c>
      <c r="AR10" s="223">
        <f>IF('CONTROLE GLOBO AÇOS'!I12="","",'CONTROLE GLOBO AÇOS'!I12)</f>
        <v/>
      </c>
      <c r="AS10" s="223">
        <f>IF('CONTROLE GLOBO AÇOS'!J12="","",'CONTROLE GLOBO AÇOS'!J12)</f>
        <v/>
      </c>
      <c r="AT10" s="223">
        <f>IF(#REF!="","",#REF!)</f>
        <v/>
      </c>
      <c r="AU10" s="223">
        <f>IF('CONTROLE GLOBO AÇOS'!K12="","",'CONTROLE GLOBO AÇOS'!K12)</f>
        <v/>
      </c>
      <c r="AV10" s="223">
        <f>IF(AND('CONTROLE EJ'!K12="",'CONTROLE CMM'!#REF!=""),"",N('CONTROLE EJ'!K12)+N('CONTROLE CMM'!#REF!))</f>
        <v/>
      </c>
      <c r="AW10" s="223">
        <f>IF('CONTROLE GLOBO AÇOS'!L12="","",'CONTROLE GLOBO AÇOS'!L12)</f>
        <v/>
      </c>
      <c r="AX10" s="223">
        <f>IF(AND('CONTROLE EJ'!L12="",'CONTROLE CMM'!#REF!=""),"",N('CONTROLE EJ'!L12)+N('CONTROLE CMM'!#REF!))</f>
        <v/>
      </c>
      <c r="AY10" s="223">
        <f>IF('CONTROLE GLOBO AÇOS'!M12="","",'CONTROLE GLOBO AÇOS'!M12)</f>
        <v/>
      </c>
      <c r="AZ10" s="223">
        <f>IF('CONTROLE GLOBO AÇOS'!N12="","",'CONTROLE GLOBO AÇOS'!N12)</f>
        <v/>
      </c>
      <c r="BA10" s="223">
        <f>IF(AND('CONTROLE EJ'!M12="",'CONTROLE CMM'!#REF!=""),"",N('CONTROLE EJ'!M12)+N('CONTROLE CMM'!#REF!))</f>
        <v/>
      </c>
      <c r="BB10" s="223">
        <f>IF(#REF!="","",#REF!)</f>
        <v/>
      </c>
      <c r="BC10" s="223">
        <f>IF('CONTROLE GLOBO AÇOS'!O12="","",'CONTROLE GLOBO AÇOS'!O12)</f>
        <v/>
      </c>
      <c r="BD10" s="223">
        <f>IF(AND('CONTROLE EJ'!N12="",'CONTROLE CMM'!#REF!=""),"",N('CONTROLE EJ'!N12)+N('CONTROLE CMM'!#REF!))</f>
        <v/>
      </c>
      <c r="BE10" s="223">
        <f>IF('CONTROLE GLOBO AÇOS'!P12="","",'CONTROLE GLOBO AÇOS'!P12)</f>
        <v/>
      </c>
      <c r="BF10" s="223">
        <f>IF('CONTROLE GLOBO AÇOS'!Q12="","",'CONTROLE GLOBO AÇOS'!Q12)</f>
        <v/>
      </c>
      <c r="BG10" s="223">
        <f>IF('CONTROLE GLOBO AÇOS'!R12="","",'CONTROLE GLOBO AÇOS'!R12)</f>
        <v/>
      </c>
      <c r="BH10" s="223">
        <f>IF(AND('CONTROLE EJ'!O12="",'CONTROLE CMM'!#REF!=""),"",N('CONTROLE EJ'!O12)+N('CONTROLE CMM'!#REF!))</f>
        <v/>
      </c>
      <c r="BI10" s="223">
        <f>IF('CONTROLE GLOBO AÇOS'!S12="","",'CONTROLE GLOBO AÇOS'!S12)</f>
        <v/>
      </c>
      <c r="BJ10" s="223">
        <f>IF('CONTROLE GLOBO AÇOS'!T12="","",'CONTROLE GLOBO AÇOS'!T12)</f>
        <v/>
      </c>
      <c r="BK10" s="223">
        <f>IF('CONTROLE GLOBO AÇOS'!U12="","",'CONTROLE GLOBO AÇOS'!U12)</f>
        <v/>
      </c>
      <c r="BL10" s="223">
        <f>IF(AND('CONTROLE EJ'!P12="",'CONTROLE CMM'!#REF!=""),"",N('CONTROLE EJ'!P12)+N('CONTROLE CMM'!#REF!))</f>
        <v/>
      </c>
      <c r="BM10" s="223">
        <f>IF(AND('CONTROLE EJ'!Q12="",'CONTROLE CMM'!#REF!=""),"",N('CONTROLE EJ'!Q12)+N('CONTROLE CMM'!#REF!))</f>
        <v/>
      </c>
      <c r="BN10" s="223">
        <f>IF('CONTROLE GLOBO AÇOS'!V12="","",'CONTROLE GLOBO AÇOS'!V12)</f>
        <v/>
      </c>
      <c r="BO10" s="223">
        <f>IF('CONTROLE GLOBO AÇOS'!W12="","",'CONTROLE GLOBO AÇOS'!W12)</f>
        <v/>
      </c>
      <c r="BP10" s="223">
        <f>IF(AND('CONTROLE EJ'!R12="",'CONTROLE CMM'!#REF!=""),"",N('CONTROLE EJ'!R12)+N('CONTROLE CMM'!#REF!))</f>
        <v/>
      </c>
      <c r="BQ10" s="223">
        <f>IF(#REF!="","",#REF!)</f>
        <v/>
      </c>
      <c r="BR10" s="223">
        <f>IF(AND('CONTROLE EJ'!S12="",'CONTROLE CMM'!#REF!=""),"",N('CONTROLE EJ'!S12)+N('CONTROLE CMM'!#REF!))</f>
        <v/>
      </c>
      <c r="BS10" s="223">
        <f>IF(AND('CONTROLE EJ'!T12="",'CONTROLE CMM'!#REF!=""),"",N('CONTROLE EJ'!T12)+N('CONTROLE CMM'!#REF!))</f>
        <v/>
      </c>
      <c r="BT10" s="223">
        <f>IF('CONTROLE GLOBO AÇOS'!X12="","",'CONTROLE GLOBO AÇOS'!X12)</f>
        <v/>
      </c>
      <c r="BU10" s="223">
        <f>IF('CONTROLE GLOBO AÇOS'!Y12="","",'CONTROLE GLOBO AÇOS'!Y12)</f>
        <v/>
      </c>
      <c r="BV10" s="223">
        <f>IF(AND('CONTROLE EJ'!U12="",'CONTROLE CMM'!#REF!=""),"",N('CONTROLE EJ'!U12)+N('CONTROLE CMM'!#REF!))</f>
        <v/>
      </c>
      <c r="BW10" s="223">
        <f>IF(#REF!="","",#REF!)</f>
        <v/>
      </c>
    </row>
    <row r="11">
      <c r="A11" s="282" t="n">
        <v>46228</v>
      </c>
      <c r="B11" s="223">
        <f>IF('CONTROLE EJ'!B13="","",'CONTROLE EJ'!B13)</f>
        <v/>
      </c>
      <c r="C11" s="223">
        <f>IF('CONTROLE EJ'!C13="","",'CONTROLE EJ'!C13)</f>
        <v/>
      </c>
      <c r="D11" s="42">
        <f>IF('CONTROLE EJ'!D13="","",'CONTROLE EJ'!D13)</f>
        <v/>
      </c>
      <c r="E11" s="44">
        <f>IF('CONTROLE CMM'!B13="","",'CONTROLE CMM'!B13)</f>
        <v/>
      </c>
      <c r="F11" s="223">
        <f>IF('CONTROLE CMM'!C13="","",'CONTROLE CMM'!C13)</f>
        <v/>
      </c>
      <c r="G11" s="42">
        <f>IF('CONTROLE CMM'!D13="","",'CONTROLE CMM'!D13)</f>
        <v/>
      </c>
      <c r="H11" s="44">
        <f>IF('CONTROLE GLOBO AÇOS'!B13="","",'CONTROLE GLOBO AÇOS'!B13)</f>
        <v/>
      </c>
      <c r="I11" s="223">
        <f>IF('CONTROLE GLOBO AÇOS'!C13="","",'CONTROLE GLOBO AÇOS'!C13)</f>
        <v/>
      </c>
      <c r="J11" s="223">
        <f>IF('CONTROLE GLOBO AÇOS'!D13="","",'CONTROLE GLOBO AÇOS'!D13)</f>
        <v/>
      </c>
      <c r="K11" t="inlineStr">
        <is>
          <t>FASE 2</t>
        </is>
      </c>
      <c r="L11" s="53" t="n">
        <v>215</v>
      </c>
      <c r="M11" s="53" t="n">
        <v>215</v>
      </c>
      <c r="N11" s="53" t="n">
        <v>69</v>
      </c>
      <c r="O11" t="inlineStr">
        <is>
          <t>FASE 2</t>
        </is>
      </c>
      <c r="P11" s="53" t="n">
        <v>215</v>
      </c>
      <c r="Q11" s="53" t="n">
        <v>215</v>
      </c>
      <c r="R11" s="53" t="n">
        <v>69</v>
      </c>
      <c r="S11" t="inlineStr">
        <is>
          <t>FASE 2</t>
        </is>
      </c>
      <c r="T11" s="53" t="n">
        <v>447</v>
      </c>
      <c r="U11" s="53" t="n">
        <v>447</v>
      </c>
      <c r="V11" s="53" t="n">
        <v>806</v>
      </c>
      <c r="AD11" s="39">
        <f>IF($A11="",0,IF(AND(WEEKDAY($A11,2)&lt;=5,OR($B11&lt;&gt;"",$C11&lt;&gt;"",$D11&lt;&gt;"")),1,0))</f>
        <v/>
      </c>
      <c r="AE11" s="39">
        <f>IF($A11="",0,IF(AND(WEEKDAY($A11,2)&lt;=5,OR($E11&lt;&gt;"",$F11&lt;&gt;"",$G11&lt;&gt;"")),1,0))</f>
        <v/>
      </c>
      <c r="AF11" s="39">
        <f>MAX(AD11,AE11)</f>
        <v/>
      </c>
      <c r="AH11" s="223">
        <f>IF('CONTROLE GLOBO AÇOS'!E13="","",'CONTROLE GLOBO AÇOS'!E13)</f>
        <v/>
      </c>
      <c r="AI11" s="223">
        <f>IF('CONTROLE GLOBO AÇOS'!F13="","",'CONTROLE GLOBO AÇOS'!F13)</f>
        <v/>
      </c>
      <c r="AJ11" s="223">
        <f>IF(AND('CONTROLE EJ'!E13="",'CONTROLE CMM'!E13=""),"",N('CONTROLE EJ'!E13)+N('CONTROLE CMM'!E13))</f>
        <v/>
      </c>
      <c r="AK11" s="223">
        <f>IF(AND('CONTROLE EJ'!F13="",'CONTROLE CMM'!F13=""),"",N('CONTROLE EJ'!F13)+N('CONTROLE CMM'!F13))</f>
        <v/>
      </c>
      <c r="AL11" s="223">
        <f>IF(AND('CONTROLE EJ'!G13="",'CONTROLE CMM'!G13=""),"",N('CONTROLE EJ'!G13)+N('CONTROLE CMM'!G13))</f>
        <v/>
      </c>
      <c r="AM11" s="223">
        <f>IF(AND('CONTROLE EJ'!H13="",'CONTROLE CMM'!H13=""),"",N('CONTROLE EJ'!H13)+N('CONTROLE CMM'!H13))</f>
        <v/>
      </c>
      <c r="AN11" s="223">
        <f>IF('CONTROLE GLOBO AÇOS'!G13="","",'CONTROLE GLOBO AÇOS'!G13)</f>
        <v/>
      </c>
      <c r="AO11" s="223">
        <f>IF('CONTROLE GLOBO AÇOS'!H13="","",'CONTROLE GLOBO AÇOS'!H13)</f>
        <v/>
      </c>
      <c r="AP11" s="223">
        <f>IF(AND('CONTROLE EJ'!I13="",'CONTROLE CMM'!I13=""),"",N('CONTROLE EJ'!I13)+N('CONTROLE CMM'!I13))</f>
        <v/>
      </c>
      <c r="AQ11" s="223">
        <f>IF(AND('CONTROLE EJ'!J13="",'CONTROLE CMM'!#REF!=""),"",N('CONTROLE EJ'!J13)+N('CONTROLE CMM'!#REF!))</f>
        <v/>
      </c>
      <c r="AR11" s="223">
        <f>IF('CONTROLE GLOBO AÇOS'!I13="","",'CONTROLE GLOBO AÇOS'!I13)</f>
        <v/>
      </c>
      <c r="AS11" s="223">
        <f>IF('CONTROLE GLOBO AÇOS'!J13="","",'CONTROLE GLOBO AÇOS'!J13)</f>
        <v/>
      </c>
      <c r="AT11" s="223">
        <f>IF(#REF!="","",#REF!)</f>
        <v/>
      </c>
      <c r="AU11" s="223">
        <f>IF('CONTROLE GLOBO AÇOS'!K13="","",'CONTROLE GLOBO AÇOS'!K13)</f>
        <v/>
      </c>
      <c r="AV11" s="223">
        <f>IF(AND('CONTROLE EJ'!K13="",'CONTROLE CMM'!#REF!=""),"",N('CONTROLE EJ'!K13)+N('CONTROLE CMM'!#REF!))</f>
        <v/>
      </c>
      <c r="AW11" s="223">
        <f>IF('CONTROLE GLOBO AÇOS'!L13="","",'CONTROLE GLOBO AÇOS'!L13)</f>
        <v/>
      </c>
      <c r="AX11" s="223">
        <f>IF(AND('CONTROLE EJ'!L13="",'CONTROLE CMM'!#REF!=""),"",N('CONTROLE EJ'!L13)+N('CONTROLE CMM'!#REF!))</f>
        <v/>
      </c>
      <c r="AY11" s="223">
        <f>IF('CONTROLE GLOBO AÇOS'!M13="","",'CONTROLE GLOBO AÇOS'!M13)</f>
        <v/>
      </c>
      <c r="AZ11" s="223">
        <f>IF('CONTROLE GLOBO AÇOS'!N13="","",'CONTROLE GLOBO AÇOS'!N13)</f>
        <v/>
      </c>
      <c r="BA11" s="223">
        <f>IF(AND('CONTROLE EJ'!M13="",'CONTROLE CMM'!#REF!=""),"",N('CONTROLE EJ'!M13)+N('CONTROLE CMM'!#REF!))</f>
        <v/>
      </c>
      <c r="BB11" s="223">
        <f>IF(#REF!="","",#REF!)</f>
        <v/>
      </c>
      <c r="BC11" s="223">
        <f>IF('CONTROLE GLOBO AÇOS'!O13="","",'CONTROLE GLOBO AÇOS'!O13)</f>
        <v/>
      </c>
      <c r="BD11" s="223">
        <f>IF(AND('CONTROLE EJ'!N13="",'CONTROLE CMM'!#REF!=""),"",N('CONTROLE EJ'!N13)+N('CONTROLE CMM'!#REF!))</f>
        <v/>
      </c>
      <c r="BE11" s="223">
        <f>IF('CONTROLE GLOBO AÇOS'!P13="","",'CONTROLE GLOBO AÇOS'!P13)</f>
        <v/>
      </c>
      <c r="BF11" s="223">
        <f>IF('CONTROLE GLOBO AÇOS'!Q13="","",'CONTROLE GLOBO AÇOS'!Q13)</f>
        <v/>
      </c>
      <c r="BG11" s="223">
        <f>IF('CONTROLE GLOBO AÇOS'!R13="","",'CONTROLE GLOBO AÇOS'!R13)</f>
        <v/>
      </c>
      <c r="BH11" s="223">
        <f>IF(AND('CONTROLE EJ'!O13="",'CONTROLE CMM'!#REF!=""),"",N('CONTROLE EJ'!O13)+N('CONTROLE CMM'!#REF!))</f>
        <v/>
      </c>
      <c r="BI11" s="223">
        <f>IF('CONTROLE GLOBO AÇOS'!S13="","",'CONTROLE GLOBO AÇOS'!S13)</f>
        <v/>
      </c>
      <c r="BJ11" s="223">
        <f>IF('CONTROLE GLOBO AÇOS'!T13="","",'CONTROLE GLOBO AÇOS'!T13)</f>
        <v/>
      </c>
      <c r="BK11" s="223">
        <f>IF('CONTROLE GLOBO AÇOS'!U13="","",'CONTROLE GLOBO AÇOS'!U13)</f>
        <v/>
      </c>
      <c r="BL11" s="223">
        <f>IF(AND('CONTROLE EJ'!P13="",'CONTROLE CMM'!#REF!=""),"",N('CONTROLE EJ'!P13)+N('CONTROLE CMM'!#REF!))</f>
        <v/>
      </c>
      <c r="BM11" s="223">
        <f>IF(AND('CONTROLE EJ'!Q13="",'CONTROLE CMM'!#REF!=""),"",N('CONTROLE EJ'!Q13)+N('CONTROLE CMM'!#REF!))</f>
        <v/>
      </c>
      <c r="BN11" s="223">
        <f>IF('CONTROLE GLOBO AÇOS'!V13="","",'CONTROLE GLOBO AÇOS'!V13)</f>
        <v/>
      </c>
      <c r="BO11" s="223">
        <f>IF('CONTROLE GLOBO AÇOS'!W13="","",'CONTROLE GLOBO AÇOS'!W13)</f>
        <v/>
      </c>
      <c r="BP11" s="223">
        <f>IF(AND('CONTROLE EJ'!R13="",'CONTROLE CMM'!#REF!=""),"",N('CONTROLE EJ'!R13)+N('CONTROLE CMM'!#REF!))</f>
        <v/>
      </c>
      <c r="BQ11" s="223">
        <f>IF(#REF!="","",#REF!)</f>
        <v/>
      </c>
      <c r="BR11" s="223">
        <f>IF(AND('CONTROLE EJ'!S13="",'CONTROLE CMM'!#REF!=""),"",N('CONTROLE EJ'!S13)+N('CONTROLE CMM'!#REF!))</f>
        <v/>
      </c>
      <c r="BS11" s="223">
        <f>IF(AND('CONTROLE EJ'!T13="",'CONTROLE CMM'!#REF!=""),"",N('CONTROLE EJ'!T13)+N('CONTROLE CMM'!#REF!))</f>
        <v/>
      </c>
      <c r="BT11" s="223">
        <f>IF('CONTROLE GLOBO AÇOS'!X13="","",'CONTROLE GLOBO AÇOS'!X13)</f>
        <v/>
      </c>
      <c r="BU11" s="223">
        <f>IF('CONTROLE GLOBO AÇOS'!Y13="","",'CONTROLE GLOBO AÇOS'!Y13)</f>
        <v/>
      </c>
      <c r="BV11" s="223">
        <f>IF(AND('CONTROLE EJ'!U13="",'CONTROLE CMM'!#REF!=""),"",N('CONTROLE EJ'!U13)+N('CONTROLE CMM'!#REF!))</f>
        <v/>
      </c>
      <c r="BW11" s="223">
        <f>IF(#REF!="","",#REF!)</f>
        <v/>
      </c>
    </row>
    <row r="12">
      <c r="A12" s="282" t="n">
        <v>46229</v>
      </c>
      <c r="B12" s="223">
        <f>IF('CONTROLE EJ'!B14="","",'CONTROLE EJ'!B14)</f>
        <v/>
      </c>
      <c r="C12" s="223">
        <f>IF('CONTROLE EJ'!C14="","",'CONTROLE EJ'!C14)</f>
        <v/>
      </c>
      <c r="D12" s="42">
        <f>IF('CONTROLE EJ'!D14="","",'CONTROLE EJ'!D14)</f>
        <v/>
      </c>
      <c r="E12" s="44">
        <f>IF('CONTROLE CMM'!B14="","",'CONTROLE CMM'!B14)</f>
        <v/>
      </c>
      <c r="F12" s="223">
        <f>IF('CONTROLE CMM'!C14="","",'CONTROLE CMM'!C14)</f>
        <v/>
      </c>
      <c r="G12" s="42">
        <f>IF('CONTROLE CMM'!D14="","",'CONTROLE CMM'!D14)</f>
        <v/>
      </c>
      <c r="H12" s="44">
        <f>IF('CONTROLE GLOBO AÇOS'!B14="","",'CONTROLE GLOBO AÇOS'!B14)</f>
        <v/>
      </c>
      <c r="I12" s="223">
        <f>IF('CONTROLE GLOBO AÇOS'!C14="","",'CONTROLE GLOBO AÇOS'!C14)</f>
        <v/>
      </c>
      <c r="J12" s="223">
        <f>IF('CONTROLE GLOBO AÇOS'!D14="","",'CONTROLE GLOBO AÇOS'!D14)</f>
        <v/>
      </c>
      <c r="K12" t="inlineStr">
        <is>
          <t>saldo F2</t>
        </is>
      </c>
      <c r="L12" s="223">
        <f>L11+L9-L3</f>
        <v/>
      </c>
      <c r="M12" s="223">
        <f>M11+M9-M3</f>
        <v/>
      </c>
      <c r="N12" s="223">
        <f>N11+N9-N3</f>
        <v/>
      </c>
      <c r="O12" t="inlineStr">
        <is>
          <t>saldo f2</t>
        </is>
      </c>
      <c r="P12" s="223">
        <f>P11+P9-P3</f>
        <v/>
      </c>
      <c r="Q12" s="223">
        <f>Q11+Q9-Q3</f>
        <v/>
      </c>
      <c r="R12" s="223">
        <f>R11+R9-R3</f>
        <v/>
      </c>
      <c r="S12" t="inlineStr">
        <is>
          <t>saldo f2</t>
        </is>
      </c>
      <c r="T12" s="223">
        <f>T11+T9-T3</f>
        <v/>
      </c>
      <c r="U12" s="223">
        <f>U11+U9-U3</f>
        <v/>
      </c>
      <c r="V12" s="223">
        <f>V11+V9-V3</f>
        <v/>
      </c>
      <c r="AD12" s="39">
        <f>IF($A12="",0,IF(AND(WEEKDAY($A12,2)&lt;=5,OR($B12&lt;&gt;"",$C12&lt;&gt;"",$D12&lt;&gt;"")),1,0))</f>
        <v/>
      </c>
      <c r="AE12" s="39">
        <f>IF($A12="",0,IF(AND(WEEKDAY($A12,2)&lt;=5,OR($E12&lt;&gt;"",$F12&lt;&gt;"",$G12&lt;&gt;"")),1,0))</f>
        <v/>
      </c>
      <c r="AF12" s="39">
        <f>MAX(AD12,AE12)</f>
        <v/>
      </c>
      <c r="AH12" s="223">
        <f>IF('CONTROLE GLOBO AÇOS'!E14="","",'CONTROLE GLOBO AÇOS'!E14)</f>
        <v/>
      </c>
      <c r="AI12" s="223">
        <f>IF('CONTROLE GLOBO AÇOS'!F14="","",'CONTROLE GLOBO AÇOS'!F14)</f>
        <v/>
      </c>
      <c r="AJ12" s="223">
        <f>IF(AND('CONTROLE EJ'!E14="",'CONTROLE CMM'!E14=""),"",N('CONTROLE EJ'!E14)+N('CONTROLE CMM'!E14))</f>
        <v/>
      </c>
      <c r="AK12" s="223">
        <f>IF(AND('CONTROLE EJ'!F14="",'CONTROLE CMM'!F14=""),"",N('CONTROLE EJ'!F14)+N('CONTROLE CMM'!F14))</f>
        <v/>
      </c>
      <c r="AL12" s="223">
        <f>IF(AND('CONTROLE EJ'!G14="",'CONTROLE CMM'!G14=""),"",N('CONTROLE EJ'!G14)+N('CONTROLE CMM'!G14))</f>
        <v/>
      </c>
      <c r="AM12" s="223">
        <f>IF(AND('CONTROLE EJ'!H14="",'CONTROLE CMM'!H14=""),"",N('CONTROLE EJ'!H14)+N('CONTROLE CMM'!H14))</f>
        <v/>
      </c>
      <c r="AN12" s="223">
        <f>IF('CONTROLE GLOBO AÇOS'!G14="","",'CONTROLE GLOBO AÇOS'!G14)</f>
        <v/>
      </c>
      <c r="AO12" s="223">
        <f>IF('CONTROLE GLOBO AÇOS'!H14="","",'CONTROLE GLOBO AÇOS'!H14)</f>
        <v/>
      </c>
      <c r="AP12" s="223">
        <f>IF(AND('CONTROLE EJ'!I14="",'CONTROLE CMM'!I14=""),"",N('CONTROLE EJ'!I14)+N('CONTROLE CMM'!I14))</f>
        <v/>
      </c>
      <c r="AQ12" s="223">
        <f>IF(AND('CONTROLE EJ'!J14="",'CONTROLE CMM'!#REF!=""),"",N('CONTROLE EJ'!J14)+N('CONTROLE CMM'!#REF!))</f>
        <v/>
      </c>
      <c r="AR12" s="223">
        <f>IF('CONTROLE GLOBO AÇOS'!I14="","",'CONTROLE GLOBO AÇOS'!I14)</f>
        <v/>
      </c>
      <c r="AS12" s="223">
        <f>IF('CONTROLE GLOBO AÇOS'!J14="","",'CONTROLE GLOBO AÇOS'!J14)</f>
        <v/>
      </c>
      <c r="AT12" s="223">
        <f>IF(#REF!="","",#REF!)</f>
        <v/>
      </c>
      <c r="AU12" s="223">
        <f>IF('CONTROLE GLOBO AÇOS'!K14="","",'CONTROLE GLOBO AÇOS'!K14)</f>
        <v/>
      </c>
      <c r="AV12" s="223">
        <f>IF(AND('CONTROLE EJ'!K14="",'CONTROLE CMM'!#REF!=""),"",N('CONTROLE EJ'!K14)+N('CONTROLE CMM'!#REF!))</f>
        <v/>
      </c>
      <c r="AW12" s="223">
        <f>IF('CONTROLE GLOBO AÇOS'!L14="","",'CONTROLE GLOBO AÇOS'!L14)</f>
        <v/>
      </c>
      <c r="AX12" s="223">
        <f>IF(AND('CONTROLE EJ'!L14="",'CONTROLE CMM'!#REF!=""),"",N('CONTROLE EJ'!L14)+N('CONTROLE CMM'!#REF!))</f>
        <v/>
      </c>
      <c r="AY12" s="223">
        <f>IF('CONTROLE GLOBO AÇOS'!M14="","",'CONTROLE GLOBO AÇOS'!M14)</f>
        <v/>
      </c>
      <c r="AZ12" s="223">
        <f>IF('CONTROLE GLOBO AÇOS'!N14="","",'CONTROLE GLOBO AÇOS'!N14)</f>
        <v/>
      </c>
      <c r="BA12" s="223">
        <f>IF(AND('CONTROLE EJ'!M14="",'CONTROLE CMM'!#REF!=""),"",N('CONTROLE EJ'!M14)+N('CONTROLE CMM'!#REF!))</f>
        <v/>
      </c>
      <c r="BB12" s="223">
        <f>IF(#REF!="","",#REF!)</f>
        <v/>
      </c>
      <c r="BC12" s="223">
        <f>IF('CONTROLE GLOBO AÇOS'!O14="","",'CONTROLE GLOBO AÇOS'!O14)</f>
        <v/>
      </c>
      <c r="BD12" s="223">
        <f>IF(AND('CONTROLE EJ'!N14="",'CONTROLE CMM'!#REF!=""),"",N('CONTROLE EJ'!N14)+N('CONTROLE CMM'!#REF!))</f>
        <v/>
      </c>
      <c r="BE12" s="223">
        <f>IF('CONTROLE GLOBO AÇOS'!P14="","",'CONTROLE GLOBO AÇOS'!P14)</f>
        <v/>
      </c>
      <c r="BF12" s="223">
        <f>IF('CONTROLE GLOBO AÇOS'!Q14="","",'CONTROLE GLOBO AÇOS'!Q14)</f>
        <v/>
      </c>
      <c r="BG12" s="223">
        <f>IF('CONTROLE GLOBO AÇOS'!R14="","",'CONTROLE GLOBO AÇOS'!R14)</f>
        <v/>
      </c>
      <c r="BH12" s="223">
        <f>IF(AND('CONTROLE EJ'!O14="",'CONTROLE CMM'!#REF!=""),"",N('CONTROLE EJ'!O14)+N('CONTROLE CMM'!#REF!))</f>
        <v/>
      </c>
      <c r="BI12" s="223">
        <f>IF('CONTROLE GLOBO AÇOS'!S14="","",'CONTROLE GLOBO AÇOS'!S14)</f>
        <v/>
      </c>
      <c r="BJ12" s="223">
        <f>IF('CONTROLE GLOBO AÇOS'!T14="","",'CONTROLE GLOBO AÇOS'!T14)</f>
        <v/>
      </c>
      <c r="BK12" s="223">
        <f>IF('CONTROLE GLOBO AÇOS'!U14="","",'CONTROLE GLOBO AÇOS'!U14)</f>
        <v/>
      </c>
      <c r="BL12" s="223">
        <f>IF(AND('CONTROLE EJ'!P14="",'CONTROLE CMM'!#REF!=""),"",N('CONTROLE EJ'!P14)+N('CONTROLE CMM'!#REF!))</f>
        <v/>
      </c>
      <c r="BM12" s="223">
        <f>IF(AND('CONTROLE EJ'!Q14="",'CONTROLE CMM'!#REF!=""),"",N('CONTROLE EJ'!Q14)+N('CONTROLE CMM'!#REF!))</f>
        <v/>
      </c>
      <c r="BN12" s="223">
        <f>IF('CONTROLE GLOBO AÇOS'!V14="","",'CONTROLE GLOBO AÇOS'!V14)</f>
        <v/>
      </c>
      <c r="BO12" s="223">
        <f>IF('CONTROLE GLOBO AÇOS'!W14="","",'CONTROLE GLOBO AÇOS'!W14)</f>
        <v/>
      </c>
      <c r="BP12" s="223">
        <f>IF(AND('CONTROLE EJ'!R14="",'CONTROLE CMM'!#REF!=""),"",N('CONTROLE EJ'!R14)+N('CONTROLE CMM'!#REF!))</f>
        <v/>
      </c>
      <c r="BQ12" s="223">
        <f>IF(#REF!="","",#REF!)</f>
        <v/>
      </c>
      <c r="BR12" s="223">
        <f>IF(AND('CONTROLE EJ'!S14="",'CONTROLE CMM'!#REF!=""),"",N('CONTROLE EJ'!S14)+N('CONTROLE CMM'!#REF!))</f>
        <v/>
      </c>
      <c r="BS12" s="223">
        <f>IF(AND('CONTROLE EJ'!T14="",'CONTROLE CMM'!#REF!=""),"",N('CONTROLE EJ'!T14)+N('CONTROLE CMM'!#REF!))</f>
        <v/>
      </c>
      <c r="BT12" s="223">
        <f>IF('CONTROLE GLOBO AÇOS'!X14="","",'CONTROLE GLOBO AÇOS'!X14)</f>
        <v/>
      </c>
      <c r="BU12" s="223">
        <f>IF('CONTROLE GLOBO AÇOS'!Y14="","",'CONTROLE GLOBO AÇOS'!Y14)</f>
        <v/>
      </c>
      <c r="BV12" s="223">
        <f>IF(AND('CONTROLE EJ'!U14="",'CONTROLE CMM'!#REF!=""),"",N('CONTROLE EJ'!U14)+N('CONTROLE CMM'!#REF!))</f>
        <v/>
      </c>
      <c r="BW12" s="223">
        <f>IF(#REF!="","",#REF!)</f>
        <v/>
      </c>
    </row>
    <row r="13">
      <c r="A13" s="282" t="n">
        <v>46230</v>
      </c>
      <c r="B13" s="223">
        <f>IF('CONTROLE EJ'!B15="","",'CONTROLE EJ'!B15)</f>
        <v/>
      </c>
      <c r="C13" s="223">
        <f>IF('CONTROLE EJ'!C15="","",'CONTROLE EJ'!C15)</f>
        <v/>
      </c>
      <c r="D13" s="42">
        <f>IF('CONTROLE EJ'!D15="","",'CONTROLE EJ'!D15)</f>
        <v/>
      </c>
      <c r="E13" s="44">
        <f>IF('CONTROLE CMM'!B15="","",'CONTROLE CMM'!B15)</f>
        <v/>
      </c>
      <c r="F13" s="223">
        <f>IF('CONTROLE CMM'!C15="","",'CONTROLE CMM'!C15)</f>
        <v/>
      </c>
      <c r="G13" s="42">
        <f>IF('CONTROLE CMM'!D15="","",'CONTROLE CMM'!D15)</f>
        <v/>
      </c>
      <c r="H13" s="44">
        <f>IF('CONTROLE GLOBO AÇOS'!B15="","",'CONTROLE GLOBO AÇOS'!B15)</f>
        <v/>
      </c>
      <c r="I13" s="223">
        <f>IF('CONTROLE GLOBO AÇOS'!C15="","",'CONTROLE GLOBO AÇOS'!C15)</f>
        <v/>
      </c>
      <c r="J13" s="223">
        <f>IF('CONTROLE GLOBO AÇOS'!D15="","",'CONTROLE GLOBO AÇOS'!D15)</f>
        <v/>
      </c>
      <c r="K13" s="54" t="inlineStr">
        <is>
          <t>SALDO TOTAL</t>
        </is>
      </c>
      <c r="L13" s="55">
        <f>L8-L3</f>
        <v/>
      </c>
      <c r="M13" s="55">
        <f>M8-M3</f>
        <v/>
      </c>
      <c r="N13" s="55">
        <f>N8-N3</f>
        <v/>
      </c>
      <c r="O13" s="54" t="inlineStr">
        <is>
          <t>SALDO</t>
        </is>
      </c>
      <c r="P13" s="55">
        <f>P8-P3</f>
        <v/>
      </c>
      <c r="Q13" s="55">
        <f>Q8-Q3</f>
        <v/>
      </c>
      <c r="R13" s="55">
        <f>R8-R3</f>
        <v/>
      </c>
      <c r="S13" s="54" t="inlineStr">
        <is>
          <t>SALDO</t>
        </is>
      </c>
      <c r="T13" s="55">
        <f>T8-T3</f>
        <v/>
      </c>
      <c r="U13" s="55">
        <f>U8-U3</f>
        <v/>
      </c>
      <c r="V13" s="55">
        <f>V8-V3</f>
        <v/>
      </c>
      <c r="AD13" s="39">
        <f>IF($A13="",0,IF(AND(WEEKDAY($A13,2)&lt;=5,OR($B13&lt;&gt;"",$C13&lt;&gt;"",$D13&lt;&gt;"")),1,0))</f>
        <v/>
      </c>
      <c r="AE13" s="39">
        <f>IF($A13="",0,IF(AND(WEEKDAY($A13,2)&lt;=5,OR($E13&lt;&gt;"",$F13&lt;&gt;"",$G13&lt;&gt;"")),1,0))</f>
        <v/>
      </c>
      <c r="AF13" s="39">
        <f>MAX(AD13,AE13)</f>
        <v/>
      </c>
      <c r="AH13" s="223">
        <f>IF('CONTROLE GLOBO AÇOS'!E15="","",'CONTROLE GLOBO AÇOS'!E15)</f>
        <v/>
      </c>
      <c r="AI13" s="223">
        <f>IF('CONTROLE GLOBO AÇOS'!F15="","",'CONTROLE GLOBO AÇOS'!F15)</f>
        <v/>
      </c>
      <c r="AJ13" s="223">
        <f>IF(AND('CONTROLE EJ'!E15="",'CONTROLE CMM'!E15=""),"",N('CONTROLE EJ'!E15)+N('CONTROLE CMM'!E15))</f>
        <v/>
      </c>
      <c r="AK13" s="223">
        <f>IF(AND('CONTROLE EJ'!F15="",'CONTROLE CMM'!F15=""),"",N('CONTROLE EJ'!F15)+N('CONTROLE CMM'!F15))</f>
        <v/>
      </c>
      <c r="AL13" s="223">
        <f>IF(AND('CONTROLE EJ'!G15="",'CONTROLE CMM'!G15=""),"",N('CONTROLE EJ'!G15)+N('CONTROLE CMM'!G15))</f>
        <v/>
      </c>
      <c r="AM13" s="223">
        <f>IF(AND('CONTROLE EJ'!H15="",'CONTROLE CMM'!H15=""),"",N('CONTROLE EJ'!H15)+N('CONTROLE CMM'!H15))</f>
        <v/>
      </c>
      <c r="AN13" s="223">
        <f>IF('CONTROLE GLOBO AÇOS'!G15="","",'CONTROLE GLOBO AÇOS'!G15)</f>
        <v/>
      </c>
      <c r="AO13" s="223">
        <f>IF('CONTROLE GLOBO AÇOS'!H15="","",'CONTROLE GLOBO AÇOS'!H15)</f>
        <v/>
      </c>
      <c r="AP13" s="223">
        <f>IF(AND('CONTROLE EJ'!I15="",'CONTROLE CMM'!I15=""),"",N('CONTROLE EJ'!I15)+N('CONTROLE CMM'!I15))</f>
        <v/>
      </c>
      <c r="AQ13" s="223">
        <f>IF(AND('CONTROLE EJ'!J15="",'CONTROLE CMM'!#REF!=""),"",N('CONTROLE EJ'!J15)+N('CONTROLE CMM'!#REF!))</f>
        <v/>
      </c>
      <c r="AR13" s="223">
        <f>IF('CONTROLE GLOBO AÇOS'!I15="","",'CONTROLE GLOBO AÇOS'!I15)</f>
        <v/>
      </c>
      <c r="AS13" s="223">
        <f>IF('CONTROLE GLOBO AÇOS'!J15="","",'CONTROLE GLOBO AÇOS'!J15)</f>
        <v/>
      </c>
      <c r="AT13" s="223">
        <f>IF(#REF!="","",#REF!)</f>
        <v/>
      </c>
      <c r="AU13" s="223">
        <f>IF('CONTROLE GLOBO AÇOS'!K15="","",'CONTROLE GLOBO AÇOS'!K15)</f>
        <v/>
      </c>
      <c r="AV13" s="223">
        <f>IF(AND('CONTROLE EJ'!K15="",'CONTROLE CMM'!#REF!=""),"",N('CONTROLE EJ'!K15)+N('CONTROLE CMM'!#REF!))</f>
        <v/>
      </c>
      <c r="AW13" s="223">
        <f>IF('CONTROLE GLOBO AÇOS'!L15="","",'CONTROLE GLOBO AÇOS'!L15)</f>
        <v/>
      </c>
      <c r="AX13" s="223">
        <f>IF(AND('CONTROLE EJ'!L15="",'CONTROLE CMM'!#REF!=""),"",N('CONTROLE EJ'!L15)+N('CONTROLE CMM'!#REF!))</f>
        <v/>
      </c>
      <c r="AY13" s="223">
        <f>IF('CONTROLE GLOBO AÇOS'!M15="","",'CONTROLE GLOBO AÇOS'!M15)</f>
        <v/>
      </c>
      <c r="AZ13" s="223">
        <f>IF('CONTROLE GLOBO AÇOS'!N15="","",'CONTROLE GLOBO AÇOS'!N15)</f>
        <v/>
      </c>
      <c r="BA13" s="223">
        <f>IF(AND('CONTROLE EJ'!M15="",'CONTROLE CMM'!#REF!=""),"",N('CONTROLE EJ'!M15)+N('CONTROLE CMM'!#REF!))</f>
        <v/>
      </c>
      <c r="BB13" s="223">
        <f>IF(#REF!="","",#REF!)</f>
        <v/>
      </c>
      <c r="BC13" s="223">
        <f>IF('CONTROLE GLOBO AÇOS'!O15="","",'CONTROLE GLOBO AÇOS'!O15)</f>
        <v/>
      </c>
      <c r="BD13" s="223">
        <f>IF(AND('CONTROLE EJ'!N15="",'CONTROLE CMM'!#REF!=""),"",N('CONTROLE EJ'!N15)+N('CONTROLE CMM'!#REF!))</f>
        <v/>
      </c>
      <c r="BE13" s="223">
        <f>IF('CONTROLE GLOBO AÇOS'!P15="","",'CONTROLE GLOBO AÇOS'!P15)</f>
        <v/>
      </c>
      <c r="BF13" s="223">
        <f>IF('CONTROLE GLOBO AÇOS'!Q15="","",'CONTROLE GLOBO AÇOS'!Q15)</f>
        <v/>
      </c>
      <c r="BG13" s="223">
        <f>IF('CONTROLE GLOBO AÇOS'!R15="","",'CONTROLE GLOBO AÇOS'!R15)</f>
        <v/>
      </c>
      <c r="BH13" s="223">
        <f>IF(AND('CONTROLE EJ'!O15="",'CONTROLE CMM'!#REF!=""),"",N('CONTROLE EJ'!O15)+N('CONTROLE CMM'!#REF!))</f>
        <v/>
      </c>
      <c r="BI13" s="223">
        <f>IF('CONTROLE GLOBO AÇOS'!S15="","",'CONTROLE GLOBO AÇOS'!S15)</f>
        <v/>
      </c>
      <c r="BJ13" s="223">
        <f>IF('CONTROLE GLOBO AÇOS'!T15="","",'CONTROLE GLOBO AÇOS'!T15)</f>
        <v/>
      </c>
      <c r="BK13" s="223">
        <f>IF('CONTROLE GLOBO AÇOS'!U15="","",'CONTROLE GLOBO AÇOS'!U15)</f>
        <v/>
      </c>
      <c r="BL13" s="223">
        <f>IF(AND('CONTROLE EJ'!P15="",'CONTROLE CMM'!#REF!=""),"",N('CONTROLE EJ'!P15)+N('CONTROLE CMM'!#REF!))</f>
        <v/>
      </c>
      <c r="BM13" s="223">
        <f>IF(AND('CONTROLE EJ'!Q15="",'CONTROLE CMM'!#REF!=""),"",N('CONTROLE EJ'!Q15)+N('CONTROLE CMM'!#REF!))</f>
        <v/>
      </c>
      <c r="BN13" s="223">
        <f>IF('CONTROLE GLOBO AÇOS'!V15="","",'CONTROLE GLOBO AÇOS'!V15)</f>
        <v/>
      </c>
      <c r="BO13" s="223">
        <f>IF('CONTROLE GLOBO AÇOS'!W15="","",'CONTROLE GLOBO AÇOS'!W15)</f>
        <v/>
      </c>
      <c r="BP13" s="223">
        <f>IF(AND('CONTROLE EJ'!R15="",'CONTROLE CMM'!#REF!=""),"",N('CONTROLE EJ'!R15)+N('CONTROLE CMM'!#REF!))</f>
        <v/>
      </c>
      <c r="BQ13" s="223">
        <f>IF(#REF!="","",#REF!)</f>
        <v/>
      </c>
      <c r="BR13" s="223">
        <f>IF(AND('CONTROLE EJ'!S15="",'CONTROLE CMM'!#REF!=""),"",N('CONTROLE EJ'!S15)+N('CONTROLE CMM'!#REF!))</f>
        <v/>
      </c>
      <c r="BS13" s="223">
        <f>IF(AND('CONTROLE EJ'!T15="",'CONTROLE CMM'!#REF!=""),"",N('CONTROLE EJ'!T15)+N('CONTROLE CMM'!#REF!))</f>
        <v/>
      </c>
      <c r="BT13" s="223">
        <f>IF('CONTROLE GLOBO AÇOS'!X15="","",'CONTROLE GLOBO AÇOS'!X15)</f>
        <v/>
      </c>
      <c r="BU13" s="223">
        <f>IF('CONTROLE GLOBO AÇOS'!Y15="","",'CONTROLE GLOBO AÇOS'!Y15)</f>
        <v/>
      </c>
      <c r="BV13" s="223">
        <f>IF(AND('CONTROLE EJ'!U15="",'CONTROLE CMM'!#REF!=""),"",N('CONTROLE EJ'!U15)+N('CONTROLE CMM'!#REF!))</f>
        <v/>
      </c>
      <c r="BW13" s="223">
        <f>IF(#REF!="","",#REF!)</f>
        <v/>
      </c>
    </row>
    <row r="14">
      <c r="A14" s="282" t="n">
        <v>46231</v>
      </c>
      <c r="B14" s="223">
        <f>IF('CONTROLE EJ'!B16="","",'CONTROLE EJ'!B16)</f>
        <v/>
      </c>
      <c r="C14" s="223">
        <f>IF('CONTROLE EJ'!C16="","",'CONTROLE EJ'!C16)</f>
        <v/>
      </c>
      <c r="D14" s="42">
        <f>IF('CONTROLE EJ'!D16="","",'CONTROLE EJ'!D16)</f>
        <v/>
      </c>
      <c r="E14" s="44">
        <f>IF('CONTROLE CMM'!B16="","",'CONTROLE CMM'!B16)</f>
        <v/>
      </c>
      <c r="F14" s="223">
        <f>IF('CONTROLE CMM'!C16="","",'CONTROLE CMM'!C16)</f>
        <v/>
      </c>
      <c r="G14" s="42">
        <f>IF('CONTROLE CMM'!D16="","",'CONTROLE CMM'!D16)</f>
        <v/>
      </c>
      <c r="H14" s="44">
        <f>IF('CONTROLE GLOBO AÇOS'!B16="","",'CONTROLE GLOBO AÇOS'!B16)</f>
        <v/>
      </c>
      <c r="I14" s="223">
        <f>IF('CONTROLE GLOBO AÇOS'!C16="","",'CONTROLE GLOBO AÇOS'!C16)</f>
        <v/>
      </c>
      <c r="J14" s="223">
        <f>IF('CONTROLE GLOBO AÇOS'!D16="","",'CONTROLE GLOBO AÇOS'!D16)</f>
        <v/>
      </c>
      <c r="K14" s="56" t="inlineStr">
        <is>
          <t>% PRDO TOTAL</t>
        </is>
      </c>
      <c r="L14" s="57">
        <f>L3/L8</f>
        <v/>
      </c>
      <c r="M14" s="57">
        <f>M3/M8</f>
        <v/>
      </c>
      <c r="N14" s="57">
        <f>N3/N8</f>
        <v/>
      </c>
      <c r="O14" s="58" t="inlineStr">
        <is>
          <t>%PROD TOTAL</t>
        </is>
      </c>
      <c r="P14" s="59">
        <f>P3/P8</f>
        <v/>
      </c>
      <c r="Q14" s="59">
        <f>Q3/Q8</f>
        <v/>
      </c>
      <c r="R14" s="59">
        <f>R3/R8</f>
        <v/>
      </c>
      <c r="S14" s="58" t="inlineStr">
        <is>
          <t>%PROD TOTAL</t>
        </is>
      </c>
      <c r="T14" s="59">
        <f>T3/T8</f>
        <v/>
      </c>
      <c r="U14" s="59">
        <f>U3/U8</f>
        <v/>
      </c>
      <c r="V14" s="59">
        <f>V3/V8</f>
        <v/>
      </c>
      <c r="AD14" s="39">
        <f>IF($A14="",0,IF(AND(WEEKDAY($A14,2)&lt;=5,OR($B14&lt;&gt;"",$C14&lt;&gt;"",$D14&lt;&gt;"")),1,0))</f>
        <v/>
      </c>
      <c r="AE14" s="39">
        <f>IF($A14="",0,IF(AND(WEEKDAY($A14,2)&lt;=5,OR($E14&lt;&gt;"",$F14&lt;&gt;"",$G14&lt;&gt;"")),1,0))</f>
        <v/>
      </c>
      <c r="AF14" s="39">
        <f>MAX(AD14,AE14)</f>
        <v/>
      </c>
      <c r="AH14" s="223">
        <f>IF('CONTROLE GLOBO AÇOS'!E16="","",'CONTROLE GLOBO AÇOS'!E16)</f>
        <v/>
      </c>
      <c r="AI14" s="223">
        <f>IF('CONTROLE GLOBO AÇOS'!F16="","",'CONTROLE GLOBO AÇOS'!F16)</f>
        <v/>
      </c>
      <c r="AJ14" s="223">
        <f>IF(AND('CONTROLE EJ'!E16="",'CONTROLE CMM'!E16=""),"",N('CONTROLE EJ'!E16)+N('CONTROLE CMM'!E16))</f>
        <v/>
      </c>
      <c r="AK14" s="223">
        <f>IF(AND('CONTROLE EJ'!F16="",'CONTROLE CMM'!F16=""),"",N('CONTROLE EJ'!F16)+N('CONTROLE CMM'!F16))</f>
        <v/>
      </c>
      <c r="AL14" s="223">
        <f>IF(AND('CONTROLE EJ'!G16="",'CONTROLE CMM'!G16=""),"",N('CONTROLE EJ'!G16)+N('CONTROLE CMM'!G16))</f>
        <v/>
      </c>
      <c r="AM14" s="223">
        <f>IF(AND('CONTROLE EJ'!H16="",'CONTROLE CMM'!H16=""),"",N('CONTROLE EJ'!H16)+N('CONTROLE CMM'!H16))</f>
        <v/>
      </c>
      <c r="AN14" s="223">
        <f>IF('CONTROLE GLOBO AÇOS'!G16="","",'CONTROLE GLOBO AÇOS'!G16)</f>
        <v/>
      </c>
      <c r="AO14" s="223">
        <f>IF('CONTROLE GLOBO AÇOS'!H16="","",'CONTROLE GLOBO AÇOS'!H16)</f>
        <v/>
      </c>
      <c r="AP14" s="223">
        <f>IF(AND('CONTROLE EJ'!I16="",'CONTROLE CMM'!I16=""),"",N('CONTROLE EJ'!I16)+N('CONTROLE CMM'!I16))</f>
        <v/>
      </c>
      <c r="AQ14" s="223">
        <f>IF(AND('CONTROLE EJ'!J16="",'CONTROLE CMM'!#REF!=""),"",N('CONTROLE EJ'!J16)+N('CONTROLE CMM'!#REF!))</f>
        <v/>
      </c>
      <c r="AR14" s="223">
        <f>IF('CONTROLE GLOBO AÇOS'!I16="","",'CONTROLE GLOBO AÇOS'!I16)</f>
        <v/>
      </c>
      <c r="AS14" s="223">
        <f>IF('CONTROLE GLOBO AÇOS'!J16="","",'CONTROLE GLOBO AÇOS'!J16)</f>
        <v/>
      </c>
      <c r="AT14" s="223">
        <f>IF(#REF!="","",#REF!)</f>
        <v/>
      </c>
      <c r="AU14" s="223">
        <f>IF('CONTROLE GLOBO AÇOS'!K16="","",'CONTROLE GLOBO AÇOS'!K16)</f>
        <v/>
      </c>
      <c r="AV14" s="223">
        <f>IF(AND('CONTROLE EJ'!K16="",'CONTROLE CMM'!#REF!=""),"",N('CONTROLE EJ'!K16)+N('CONTROLE CMM'!#REF!))</f>
        <v/>
      </c>
      <c r="AW14" s="223">
        <f>IF('CONTROLE GLOBO AÇOS'!L16="","",'CONTROLE GLOBO AÇOS'!L16)</f>
        <v/>
      </c>
      <c r="AX14" s="223">
        <f>IF(AND('CONTROLE EJ'!L16="",'CONTROLE CMM'!#REF!=""),"",N('CONTROLE EJ'!L16)+N('CONTROLE CMM'!#REF!))</f>
        <v/>
      </c>
      <c r="AY14" s="223">
        <f>IF('CONTROLE GLOBO AÇOS'!M16="","",'CONTROLE GLOBO AÇOS'!M16)</f>
        <v/>
      </c>
      <c r="AZ14" s="223">
        <f>IF('CONTROLE GLOBO AÇOS'!N16="","",'CONTROLE GLOBO AÇOS'!N16)</f>
        <v/>
      </c>
      <c r="BA14" s="223">
        <f>IF(AND('CONTROLE EJ'!M16="",'CONTROLE CMM'!#REF!=""),"",N('CONTROLE EJ'!M16)+N('CONTROLE CMM'!#REF!))</f>
        <v/>
      </c>
      <c r="BB14" s="223">
        <f>IF(#REF!="","",#REF!)</f>
        <v/>
      </c>
      <c r="BC14" s="223">
        <f>IF('CONTROLE GLOBO AÇOS'!O16="","",'CONTROLE GLOBO AÇOS'!O16)</f>
        <v/>
      </c>
      <c r="BD14" s="223">
        <f>IF(AND('CONTROLE EJ'!N16="",'CONTROLE CMM'!#REF!=""),"",N('CONTROLE EJ'!N16)+N('CONTROLE CMM'!#REF!))</f>
        <v/>
      </c>
      <c r="BE14" s="223">
        <f>IF('CONTROLE GLOBO AÇOS'!P16="","",'CONTROLE GLOBO AÇOS'!P16)</f>
        <v/>
      </c>
      <c r="BF14" s="223">
        <f>IF('CONTROLE GLOBO AÇOS'!Q16="","",'CONTROLE GLOBO AÇOS'!Q16)</f>
        <v/>
      </c>
      <c r="BG14" s="223">
        <f>IF('CONTROLE GLOBO AÇOS'!R16="","",'CONTROLE GLOBO AÇOS'!R16)</f>
        <v/>
      </c>
      <c r="BH14" s="223">
        <f>IF(AND('CONTROLE EJ'!O16="",'CONTROLE CMM'!#REF!=""),"",N('CONTROLE EJ'!O16)+N('CONTROLE CMM'!#REF!))</f>
        <v/>
      </c>
      <c r="BI14" s="223">
        <f>IF('CONTROLE GLOBO AÇOS'!S16="","",'CONTROLE GLOBO AÇOS'!S16)</f>
        <v/>
      </c>
      <c r="BJ14" s="223">
        <f>IF('CONTROLE GLOBO AÇOS'!T16="","",'CONTROLE GLOBO AÇOS'!T16)</f>
        <v/>
      </c>
      <c r="BK14" s="223">
        <f>IF('CONTROLE GLOBO AÇOS'!U16="","",'CONTROLE GLOBO AÇOS'!U16)</f>
        <v/>
      </c>
      <c r="BL14" s="223">
        <f>IF(AND('CONTROLE EJ'!P16="",'CONTROLE CMM'!#REF!=""),"",N('CONTROLE EJ'!P16)+N('CONTROLE CMM'!#REF!))</f>
        <v/>
      </c>
      <c r="BM14" s="223">
        <f>IF(AND('CONTROLE EJ'!Q16="",'CONTROLE CMM'!#REF!=""),"",N('CONTROLE EJ'!Q16)+N('CONTROLE CMM'!#REF!))</f>
        <v/>
      </c>
      <c r="BN14" s="223">
        <f>IF('CONTROLE GLOBO AÇOS'!V16="","",'CONTROLE GLOBO AÇOS'!V16)</f>
        <v/>
      </c>
      <c r="BO14" s="223">
        <f>IF('CONTROLE GLOBO AÇOS'!W16="","",'CONTROLE GLOBO AÇOS'!W16)</f>
        <v/>
      </c>
      <c r="BP14" s="223">
        <f>IF(AND('CONTROLE EJ'!R16="",'CONTROLE CMM'!#REF!=""),"",N('CONTROLE EJ'!R16)+N('CONTROLE CMM'!#REF!))</f>
        <v/>
      </c>
      <c r="BQ14" s="223">
        <f>IF(#REF!="","",#REF!)</f>
        <v/>
      </c>
      <c r="BR14" s="223">
        <f>IF(AND('CONTROLE EJ'!S16="",'CONTROLE CMM'!#REF!=""),"",N('CONTROLE EJ'!S16)+N('CONTROLE CMM'!#REF!))</f>
        <v/>
      </c>
      <c r="BS14" s="223">
        <f>IF(AND('CONTROLE EJ'!T16="",'CONTROLE CMM'!#REF!=""),"",N('CONTROLE EJ'!T16)+N('CONTROLE CMM'!#REF!))</f>
        <v/>
      </c>
      <c r="BT14" s="223">
        <f>IF('CONTROLE GLOBO AÇOS'!X16="","",'CONTROLE GLOBO AÇOS'!X16)</f>
        <v/>
      </c>
      <c r="BU14" s="223">
        <f>IF('CONTROLE GLOBO AÇOS'!Y16="","",'CONTROLE GLOBO AÇOS'!Y16)</f>
        <v/>
      </c>
      <c r="BV14" s="223">
        <f>IF(AND('CONTROLE EJ'!U16="",'CONTROLE CMM'!#REF!=""),"",N('CONTROLE EJ'!U16)+N('CONTROLE CMM'!#REF!))</f>
        <v/>
      </c>
      <c r="BW14" s="223">
        <f>IF(#REF!="","",#REF!)</f>
        <v/>
      </c>
    </row>
    <row r="15">
      <c r="A15" s="282" t="n">
        <v>46232</v>
      </c>
      <c r="B15" s="223">
        <f>IF('CONTROLE EJ'!B17="","",'CONTROLE EJ'!B17)</f>
        <v/>
      </c>
      <c r="C15" s="223">
        <f>IF('CONTROLE EJ'!C17="","",'CONTROLE EJ'!C17)</f>
        <v/>
      </c>
      <c r="D15" s="42">
        <f>IF('CONTROLE EJ'!D17="","",'CONTROLE EJ'!D17)</f>
        <v/>
      </c>
      <c r="E15" s="44">
        <f>IF('CONTROLE CMM'!B17="","",'CONTROLE CMM'!B17)</f>
        <v/>
      </c>
      <c r="F15" s="223">
        <f>IF('CONTROLE CMM'!C17="","",'CONTROLE CMM'!C17)</f>
        <v/>
      </c>
      <c r="G15" s="42">
        <f>IF('CONTROLE CMM'!D17="","",'CONTROLE CMM'!D17)</f>
        <v/>
      </c>
      <c r="H15" s="44">
        <f>IF('CONTROLE GLOBO AÇOS'!B17="","",'CONTROLE GLOBO AÇOS'!B17)</f>
        <v/>
      </c>
      <c r="I15" s="223">
        <f>IF('CONTROLE GLOBO AÇOS'!C17="","",'CONTROLE GLOBO AÇOS'!C17)</f>
        <v/>
      </c>
      <c r="J15" s="223">
        <f>IF('CONTROLE GLOBO AÇOS'!D17="","",'CONTROLE GLOBO AÇOS'!D17)</f>
        <v/>
      </c>
      <c r="AD15" s="39">
        <f>IF($A15="",0,IF(AND(WEEKDAY($A15,2)&lt;=5,OR($B15&lt;&gt;"",$C15&lt;&gt;"",$D15&lt;&gt;"")),1,0))</f>
        <v/>
      </c>
      <c r="AE15" s="39">
        <f>IF($A15="",0,IF(AND(WEEKDAY($A15,2)&lt;=5,OR($E15&lt;&gt;"",$F15&lt;&gt;"",$G15&lt;&gt;"")),1,0))</f>
        <v/>
      </c>
      <c r="AF15" s="39">
        <f>MAX(AD15,AE15)</f>
        <v/>
      </c>
      <c r="AH15" s="223">
        <f>IF('CONTROLE GLOBO AÇOS'!E17="","",'CONTROLE GLOBO AÇOS'!E17)</f>
        <v/>
      </c>
      <c r="AI15" s="223">
        <f>IF('CONTROLE GLOBO AÇOS'!F17="","",'CONTROLE GLOBO AÇOS'!F17)</f>
        <v/>
      </c>
      <c r="AJ15" s="223">
        <f>IF(AND('CONTROLE EJ'!E17="",'CONTROLE CMM'!E17=""),"",N('CONTROLE EJ'!E17)+N('CONTROLE CMM'!E17))</f>
        <v/>
      </c>
      <c r="AK15" s="223">
        <f>IF(AND('CONTROLE EJ'!F17="",'CONTROLE CMM'!F17=""),"",N('CONTROLE EJ'!F17)+N('CONTROLE CMM'!F17))</f>
        <v/>
      </c>
      <c r="AL15" s="223">
        <f>IF(AND('CONTROLE EJ'!G17="",'CONTROLE CMM'!G17=""),"",N('CONTROLE EJ'!G17)+N('CONTROLE CMM'!G17))</f>
        <v/>
      </c>
      <c r="AM15" s="223">
        <f>IF(AND('CONTROLE EJ'!H17="",'CONTROLE CMM'!H17=""),"",N('CONTROLE EJ'!H17)+N('CONTROLE CMM'!H17))</f>
        <v/>
      </c>
      <c r="AN15" s="223">
        <f>IF('CONTROLE GLOBO AÇOS'!G17="","",'CONTROLE GLOBO AÇOS'!G17)</f>
        <v/>
      </c>
      <c r="AO15" s="223">
        <f>IF('CONTROLE GLOBO AÇOS'!H17="","",'CONTROLE GLOBO AÇOS'!H17)</f>
        <v/>
      </c>
      <c r="AP15" s="223">
        <f>IF(AND('CONTROLE EJ'!I17="",'CONTROLE CMM'!I17=""),"",N('CONTROLE EJ'!I17)+N('CONTROLE CMM'!I17))</f>
        <v/>
      </c>
      <c r="AQ15" s="223">
        <f>IF(AND('CONTROLE EJ'!J17="",'CONTROLE CMM'!#REF!=""),"",N('CONTROLE EJ'!J17)+N('CONTROLE CMM'!#REF!))</f>
        <v/>
      </c>
      <c r="AR15" s="223">
        <f>IF('CONTROLE GLOBO AÇOS'!I17="","",'CONTROLE GLOBO AÇOS'!I17)</f>
        <v/>
      </c>
      <c r="AS15" s="223">
        <f>IF('CONTROLE GLOBO AÇOS'!J17="","",'CONTROLE GLOBO AÇOS'!J17)</f>
        <v/>
      </c>
      <c r="AT15" s="223">
        <f>IF(#REF!="","",#REF!)</f>
        <v/>
      </c>
      <c r="AU15" s="223">
        <f>IF('CONTROLE GLOBO AÇOS'!K17="","",'CONTROLE GLOBO AÇOS'!K17)</f>
        <v/>
      </c>
      <c r="AV15" s="223">
        <f>IF(AND('CONTROLE EJ'!K17="",'CONTROLE CMM'!#REF!=""),"",N('CONTROLE EJ'!K17)+N('CONTROLE CMM'!#REF!))</f>
        <v/>
      </c>
      <c r="AW15" s="223">
        <f>IF('CONTROLE GLOBO AÇOS'!L17="","",'CONTROLE GLOBO AÇOS'!L17)</f>
        <v/>
      </c>
      <c r="AX15" s="223">
        <f>IF(AND('CONTROLE EJ'!L17="",'CONTROLE CMM'!#REF!=""),"",N('CONTROLE EJ'!L17)+N('CONTROLE CMM'!#REF!))</f>
        <v/>
      </c>
      <c r="AY15" s="223">
        <f>IF('CONTROLE GLOBO AÇOS'!M17="","",'CONTROLE GLOBO AÇOS'!M17)</f>
        <v/>
      </c>
      <c r="AZ15" s="223">
        <f>IF('CONTROLE GLOBO AÇOS'!N17="","",'CONTROLE GLOBO AÇOS'!N17)</f>
        <v/>
      </c>
      <c r="BA15" s="223">
        <f>IF(AND('CONTROLE EJ'!M17="",'CONTROLE CMM'!#REF!=""),"",N('CONTROLE EJ'!M17)+N('CONTROLE CMM'!#REF!))</f>
        <v/>
      </c>
      <c r="BB15" s="223">
        <f>IF(#REF!="","",#REF!)</f>
        <v/>
      </c>
      <c r="BC15" s="223">
        <f>IF('CONTROLE GLOBO AÇOS'!O17="","",'CONTROLE GLOBO AÇOS'!O17)</f>
        <v/>
      </c>
      <c r="BD15" s="223">
        <f>IF(AND('CONTROLE EJ'!N17="",'CONTROLE CMM'!#REF!=""),"",N('CONTROLE EJ'!N17)+N('CONTROLE CMM'!#REF!))</f>
        <v/>
      </c>
      <c r="BE15" s="223">
        <f>IF('CONTROLE GLOBO AÇOS'!P17="","",'CONTROLE GLOBO AÇOS'!P17)</f>
        <v/>
      </c>
      <c r="BF15" s="223">
        <f>IF('CONTROLE GLOBO AÇOS'!Q17="","",'CONTROLE GLOBO AÇOS'!Q17)</f>
        <v/>
      </c>
      <c r="BG15" s="223">
        <f>IF('CONTROLE GLOBO AÇOS'!R17="","",'CONTROLE GLOBO AÇOS'!R17)</f>
        <v/>
      </c>
      <c r="BH15" s="223">
        <f>IF(AND('CONTROLE EJ'!O17="",'CONTROLE CMM'!#REF!=""),"",N('CONTROLE EJ'!O17)+N('CONTROLE CMM'!#REF!))</f>
        <v/>
      </c>
      <c r="BI15" s="223">
        <f>IF('CONTROLE GLOBO AÇOS'!S17="","",'CONTROLE GLOBO AÇOS'!S17)</f>
        <v/>
      </c>
      <c r="BJ15" s="223">
        <f>IF('CONTROLE GLOBO AÇOS'!T17="","",'CONTROLE GLOBO AÇOS'!T17)</f>
        <v/>
      </c>
      <c r="BK15" s="223">
        <f>IF('CONTROLE GLOBO AÇOS'!U17="","",'CONTROLE GLOBO AÇOS'!U17)</f>
        <v/>
      </c>
      <c r="BL15" s="223">
        <f>IF(AND('CONTROLE EJ'!P17="",'CONTROLE CMM'!#REF!=""),"",N('CONTROLE EJ'!P17)+N('CONTROLE CMM'!#REF!))</f>
        <v/>
      </c>
      <c r="BM15" s="223">
        <f>IF(AND('CONTROLE EJ'!Q17="",'CONTROLE CMM'!#REF!=""),"",N('CONTROLE EJ'!Q17)+N('CONTROLE CMM'!#REF!))</f>
        <v/>
      </c>
      <c r="BN15" s="223">
        <f>IF('CONTROLE GLOBO AÇOS'!V17="","",'CONTROLE GLOBO AÇOS'!V17)</f>
        <v/>
      </c>
      <c r="BO15" s="223">
        <f>IF('CONTROLE GLOBO AÇOS'!W17="","",'CONTROLE GLOBO AÇOS'!W17)</f>
        <v/>
      </c>
      <c r="BP15" s="223">
        <f>IF(AND('CONTROLE EJ'!R17="",'CONTROLE CMM'!#REF!=""),"",N('CONTROLE EJ'!R17)+N('CONTROLE CMM'!#REF!))</f>
        <v/>
      </c>
      <c r="BQ15" s="223">
        <f>IF(#REF!="","",#REF!)</f>
        <v/>
      </c>
      <c r="BR15" s="223">
        <f>IF(AND('CONTROLE EJ'!S17="",'CONTROLE CMM'!#REF!=""),"",N('CONTROLE EJ'!S17)+N('CONTROLE CMM'!#REF!))</f>
        <v/>
      </c>
      <c r="BS15" s="223">
        <f>IF(AND('CONTROLE EJ'!T17="",'CONTROLE CMM'!#REF!=""),"",N('CONTROLE EJ'!T17)+N('CONTROLE CMM'!#REF!))</f>
        <v/>
      </c>
      <c r="BT15" s="223">
        <f>IF('CONTROLE GLOBO AÇOS'!X17="","",'CONTROLE GLOBO AÇOS'!X17)</f>
        <v/>
      </c>
      <c r="BU15" s="223">
        <f>IF('CONTROLE GLOBO AÇOS'!Y17="","",'CONTROLE GLOBO AÇOS'!Y17)</f>
        <v/>
      </c>
      <c r="BV15" s="223">
        <f>IF(AND('CONTROLE EJ'!U17="",'CONTROLE CMM'!#REF!=""),"",N('CONTROLE EJ'!U17)+N('CONTROLE CMM'!#REF!))</f>
        <v/>
      </c>
      <c r="BW15" s="223">
        <f>IF(#REF!="","",#REF!)</f>
        <v/>
      </c>
    </row>
    <row r="16">
      <c r="A16" s="282" t="n">
        <v>46233</v>
      </c>
      <c r="B16" s="223">
        <f>IF('CONTROLE EJ'!B18="","",'CONTROLE EJ'!B18)</f>
        <v/>
      </c>
      <c r="C16" s="223">
        <f>IF('CONTROLE EJ'!C18="","",'CONTROLE EJ'!C18)</f>
        <v/>
      </c>
      <c r="D16" s="42">
        <f>IF('CONTROLE EJ'!D18="","",'CONTROLE EJ'!D18)</f>
        <v/>
      </c>
      <c r="E16" s="44">
        <f>IF('CONTROLE CMM'!B18="","",'CONTROLE CMM'!B18)</f>
        <v/>
      </c>
      <c r="F16" s="223">
        <f>IF('CONTROLE CMM'!C18="","",'CONTROLE CMM'!C18)</f>
        <v/>
      </c>
      <c r="G16" s="42">
        <f>IF('CONTROLE CMM'!D18="","",'CONTROLE CMM'!D18)</f>
        <v/>
      </c>
      <c r="H16" s="44">
        <f>IF('CONTROLE GLOBO AÇOS'!B18="","",'CONTROLE GLOBO AÇOS'!B18)</f>
        <v/>
      </c>
      <c r="I16" s="223">
        <f>IF('CONTROLE GLOBO AÇOS'!C18="","",'CONTROLE GLOBO AÇOS'!C18)</f>
        <v/>
      </c>
      <c r="J16" s="223">
        <f>IF('CONTROLE GLOBO AÇOS'!D18="","",'CONTROLE GLOBO AÇOS'!D18)</f>
        <v/>
      </c>
      <c r="L16" s="16" t="inlineStr">
        <is>
          <t>FASE 1</t>
        </is>
      </c>
      <c r="P16" s="16" t="inlineStr">
        <is>
          <t>FASE 1</t>
        </is>
      </c>
      <c r="AD16" s="39">
        <f>IF($A16="",0,IF(AND(WEEKDAY($A16,2)&lt;=5,OR($B16&lt;&gt;"",$C16&lt;&gt;"",$D16&lt;&gt;"")),1,0))</f>
        <v/>
      </c>
      <c r="AE16" s="39">
        <f>IF($A16="",0,IF(AND(WEEKDAY($A16,2)&lt;=5,OR($E16&lt;&gt;"",$F16&lt;&gt;"",$G16&lt;&gt;"")),1,0))</f>
        <v/>
      </c>
      <c r="AF16" s="39">
        <f>MAX(AD16,AE16)</f>
        <v/>
      </c>
      <c r="AH16" s="223">
        <f>IF('CONTROLE GLOBO AÇOS'!E18="","",'CONTROLE GLOBO AÇOS'!E18)</f>
        <v/>
      </c>
      <c r="AI16" s="223">
        <f>IF('CONTROLE GLOBO AÇOS'!F18="","",'CONTROLE GLOBO AÇOS'!F18)</f>
        <v/>
      </c>
      <c r="AJ16" s="223">
        <f>IF(AND('CONTROLE EJ'!E18="",'CONTROLE CMM'!E18=""),"",N('CONTROLE EJ'!E18)+N('CONTROLE CMM'!E18))</f>
        <v/>
      </c>
      <c r="AK16" s="223">
        <f>IF(AND('CONTROLE EJ'!F18="",'CONTROLE CMM'!F18=""),"",N('CONTROLE EJ'!F18)+N('CONTROLE CMM'!F18))</f>
        <v/>
      </c>
      <c r="AL16" s="223">
        <f>IF(AND('CONTROLE EJ'!G18="",'CONTROLE CMM'!G18=""),"",N('CONTROLE EJ'!G18)+N('CONTROLE CMM'!G18))</f>
        <v/>
      </c>
      <c r="AM16" s="223">
        <f>IF(AND('CONTROLE EJ'!H18="",'CONTROLE CMM'!H18=""),"",N('CONTROLE EJ'!H18)+N('CONTROLE CMM'!H18))</f>
        <v/>
      </c>
      <c r="AN16" s="223">
        <f>IF('CONTROLE GLOBO AÇOS'!G18="","",'CONTROLE GLOBO AÇOS'!G18)</f>
        <v/>
      </c>
      <c r="AO16" s="223">
        <f>IF('CONTROLE GLOBO AÇOS'!H18="","",'CONTROLE GLOBO AÇOS'!H18)</f>
        <v/>
      </c>
      <c r="AP16" s="223">
        <f>IF(AND('CONTROLE EJ'!I18="",'CONTROLE CMM'!I18=""),"",N('CONTROLE EJ'!I18)+N('CONTROLE CMM'!I18))</f>
        <v/>
      </c>
      <c r="AQ16" s="223">
        <f>IF(AND('CONTROLE EJ'!J18="",'CONTROLE CMM'!#REF!=""),"",N('CONTROLE EJ'!J18)+N('CONTROLE CMM'!#REF!))</f>
        <v/>
      </c>
      <c r="AR16" s="223">
        <f>IF('CONTROLE GLOBO AÇOS'!I18="","",'CONTROLE GLOBO AÇOS'!I18)</f>
        <v/>
      </c>
      <c r="AS16" s="223">
        <f>IF('CONTROLE GLOBO AÇOS'!J18="","",'CONTROLE GLOBO AÇOS'!J18)</f>
        <v/>
      </c>
      <c r="AT16" s="223">
        <f>IF(#REF!="","",#REF!)</f>
        <v/>
      </c>
      <c r="AU16" s="223">
        <f>IF('CONTROLE GLOBO AÇOS'!K18="","",'CONTROLE GLOBO AÇOS'!K18)</f>
        <v/>
      </c>
      <c r="AV16" s="223">
        <f>IF(AND('CONTROLE EJ'!K18="",'CONTROLE CMM'!#REF!=""),"",N('CONTROLE EJ'!K18)+N('CONTROLE CMM'!#REF!))</f>
        <v/>
      </c>
      <c r="AW16" s="223">
        <f>IF('CONTROLE GLOBO AÇOS'!L18="","",'CONTROLE GLOBO AÇOS'!L18)</f>
        <v/>
      </c>
      <c r="AX16" s="223">
        <f>IF(AND('CONTROLE EJ'!L18="",'CONTROLE CMM'!#REF!=""),"",N('CONTROLE EJ'!L18)+N('CONTROLE CMM'!#REF!))</f>
        <v/>
      </c>
      <c r="AY16" s="223">
        <f>IF('CONTROLE GLOBO AÇOS'!M18="","",'CONTROLE GLOBO AÇOS'!M18)</f>
        <v/>
      </c>
      <c r="AZ16" s="223">
        <f>IF('CONTROLE GLOBO AÇOS'!N18="","",'CONTROLE GLOBO AÇOS'!N18)</f>
        <v/>
      </c>
      <c r="BA16" s="223">
        <f>IF(AND('CONTROLE EJ'!M18="",'CONTROLE CMM'!#REF!=""),"",N('CONTROLE EJ'!M18)+N('CONTROLE CMM'!#REF!))</f>
        <v/>
      </c>
      <c r="BB16" s="223">
        <f>IF(#REF!="","",#REF!)</f>
        <v/>
      </c>
      <c r="BC16" s="223">
        <f>IF('CONTROLE GLOBO AÇOS'!O18="","",'CONTROLE GLOBO AÇOS'!O18)</f>
        <v/>
      </c>
      <c r="BD16" s="223">
        <f>IF(AND('CONTROLE EJ'!N18="",'CONTROLE CMM'!#REF!=""),"",N('CONTROLE EJ'!N18)+N('CONTROLE CMM'!#REF!))</f>
        <v/>
      </c>
      <c r="BE16" s="223">
        <f>IF('CONTROLE GLOBO AÇOS'!P18="","",'CONTROLE GLOBO AÇOS'!P18)</f>
        <v/>
      </c>
      <c r="BF16" s="223">
        <f>IF('CONTROLE GLOBO AÇOS'!Q18="","",'CONTROLE GLOBO AÇOS'!Q18)</f>
        <v/>
      </c>
      <c r="BG16" s="223">
        <f>IF('CONTROLE GLOBO AÇOS'!R18="","",'CONTROLE GLOBO AÇOS'!R18)</f>
        <v/>
      </c>
      <c r="BH16" s="223">
        <f>IF(AND('CONTROLE EJ'!O18="",'CONTROLE CMM'!#REF!=""),"",N('CONTROLE EJ'!O18)+N('CONTROLE CMM'!#REF!))</f>
        <v/>
      </c>
      <c r="BI16" s="223">
        <f>IF('CONTROLE GLOBO AÇOS'!S18="","",'CONTROLE GLOBO AÇOS'!S18)</f>
        <v/>
      </c>
      <c r="BJ16" s="223">
        <f>IF('CONTROLE GLOBO AÇOS'!T18="","",'CONTROLE GLOBO AÇOS'!T18)</f>
        <v/>
      </c>
      <c r="BK16" s="223">
        <f>IF('CONTROLE GLOBO AÇOS'!U18="","",'CONTROLE GLOBO AÇOS'!U18)</f>
        <v/>
      </c>
      <c r="BL16" s="223">
        <f>IF(AND('CONTROLE EJ'!P18="",'CONTROLE CMM'!#REF!=""),"",N('CONTROLE EJ'!P18)+N('CONTROLE CMM'!#REF!))</f>
        <v/>
      </c>
      <c r="BM16" s="223">
        <f>IF(AND('CONTROLE EJ'!Q18="",'CONTROLE CMM'!#REF!=""),"",N('CONTROLE EJ'!Q18)+N('CONTROLE CMM'!#REF!))</f>
        <v/>
      </c>
      <c r="BN16" s="223">
        <f>IF('CONTROLE GLOBO AÇOS'!V18="","",'CONTROLE GLOBO AÇOS'!V18)</f>
        <v/>
      </c>
      <c r="BO16" s="223">
        <f>IF('CONTROLE GLOBO AÇOS'!W18="","",'CONTROLE GLOBO AÇOS'!W18)</f>
        <v/>
      </c>
      <c r="BP16" s="223">
        <f>IF(AND('CONTROLE EJ'!R18="",'CONTROLE CMM'!#REF!=""),"",N('CONTROLE EJ'!R18)+N('CONTROLE CMM'!#REF!))</f>
        <v/>
      </c>
      <c r="BQ16" s="223">
        <f>IF(#REF!="","",#REF!)</f>
        <v/>
      </c>
      <c r="BR16" s="223">
        <f>IF(AND('CONTROLE EJ'!S18="",'CONTROLE CMM'!#REF!=""),"",N('CONTROLE EJ'!S18)+N('CONTROLE CMM'!#REF!))</f>
        <v/>
      </c>
      <c r="BS16" s="223">
        <f>IF(AND('CONTROLE EJ'!T18="",'CONTROLE CMM'!#REF!=""),"",N('CONTROLE EJ'!T18)+N('CONTROLE CMM'!#REF!))</f>
        <v/>
      </c>
      <c r="BT16" s="223">
        <f>IF('CONTROLE GLOBO AÇOS'!X18="","",'CONTROLE GLOBO AÇOS'!X18)</f>
        <v/>
      </c>
      <c r="BU16" s="223">
        <f>IF('CONTROLE GLOBO AÇOS'!Y18="","",'CONTROLE GLOBO AÇOS'!Y18)</f>
        <v/>
      </c>
      <c r="BV16" s="223">
        <f>IF(AND('CONTROLE EJ'!U18="",'CONTROLE CMM'!#REF!=""),"",N('CONTROLE EJ'!U18)+N('CONTROLE CMM'!#REF!))</f>
        <v/>
      </c>
      <c r="BW16" s="223">
        <f>IF(#REF!="","",#REF!)</f>
        <v/>
      </c>
    </row>
    <row r="17">
      <c r="A17" s="282" t="n">
        <v>46234</v>
      </c>
      <c r="B17" s="223">
        <f>IF('CONTROLE EJ'!B19="","",'CONTROLE EJ'!B19)</f>
        <v/>
      </c>
      <c r="C17" s="223">
        <f>IF('CONTROLE EJ'!C19="","",'CONTROLE EJ'!C19)</f>
        <v/>
      </c>
      <c r="D17" s="42">
        <f>IF('CONTROLE EJ'!D19="","",'CONTROLE EJ'!D19)</f>
        <v/>
      </c>
      <c r="E17" s="44">
        <f>IF('CONTROLE CMM'!B19="","",'CONTROLE CMM'!B19)</f>
        <v/>
      </c>
      <c r="F17" s="223">
        <f>IF('CONTROLE CMM'!C19="","",'CONTROLE CMM'!C19)</f>
        <v/>
      </c>
      <c r="G17" s="42">
        <f>IF('CONTROLE CMM'!D19="","",'CONTROLE CMM'!D19)</f>
        <v/>
      </c>
      <c r="H17" s="44">
        <f>IF('CONTROLE GLOBO AÇOS'!B19="","",'CONTROLE GLOBO AÇOS'!B19)</f>
        <v/>
      </c>
      <c r="I17" s="223">
        <f>IF('CONTROLE GLOBO AÇOS'!C19="","",'CONTROLE GLOBO AÇOS'!C19)</f>
        <v/>
      </c>
      <c r="J17" s="223">
        <f>IF('CONTROLE GLOBO AÇOS'!D19="","",'CONTROLE GLOBO AÇOS'!D19)</f>
        <v/>
      </c>
      <c r="L17" s="284" t="inlineStr">
        <is>
          <t>PRE</t>
        </is>
      </c>
      <c r="M17" s="284" t="inlineStr">
        <is>
          <t>JOIST</t>
        </is>
      </c>
      <c r="N17" s="284" t="inlineStr">
        <is>
          <t>VIGAS</t>
        </is>
      </c>
      <c r="P17" s="284" t="inlineStr">
        <is>
          <t>PRE</t>
        </is>
      </c>
      <c r="Q17" s="284" t="inlineStr">
        <is>
          <t>JOIST</t>
        </is>
      </c>
      <c r="R17" s="284" t="inlineStr">
        <is>
          <t>VIGAS</t>
        </is>
      </c>
      <c r="V17">
        <f>47*19</f>
        <v/>
      </c>
      <c r="W17" t="n">
        <v>178</v>
      </c>
      <c r="X17" t="n">
        <v>0.48</v>
      </c>
      <c r="AD17" s="39">
        <f>IF($A17="",0,IF(AND(WEEKDAY($A17,2)&lt;=5,OR($B17&lt;&gt;"",$C17&lt;&gt;"",$D17&lt;&gt;"")),1,0))</f>
        <v/>
      </c>
      <c r="AE17" s="39">
        <f>IF($A17="",0,IF(AND(WEEKDAY($A17,2)&lt;=5,OR($E17&lt;&gt;"",$F17&lt;&gt;"",$G17&lt;&gt;"")),1,0))</f>
        <v/>
      </c>
      <c r="AF17" s="39">
        <f>MAX(AD17,AE17)</f>
        <v/>
      </c>
      <c r="AH17" s="223">
        <f>IF('CONTROLE GLOBO AÇOS'!E19="","",'CONTROLE GLOBO AÇOS'!E19)</f>
        <v/>
      </c>
      <c r="AI17" s="223">
        <f>IF('CONTROLE GLOBO AÇOS'!F19="","",'CONTROLE GLOBO AÇOS'!F19)</f>
        <v/>
      </c>
      <c r="AJ17" s="223">
        <f>IF(AND('CONTROLE EJ'!E19="",'CONTROLE CMM'!E19=""),"",N('CONTROLE EJ'!E19)+N('CONTROLE CMM'!E19))</f>
        <v/>
      </c>
      <c r="AK17" s="223">
        <f>IF(AND('CONTROLE EJ'!F19="",'CONTROLE CMM'!F19=""),"",N('CONTROLE EJ'!F19)+N('CONTROLE CMM'!F19))</f>
        <v/>
      </c>
      <c r="AL17" s="223">
        <f>IF(AND('CONTROLE EJ'!G19="",'CONTROLE CMM'!G19=""),"",N('CONTROLE EJ'!G19)+N('CONTROLE CMM'!G19))</f>
        <v/>
      </c>
      <c r="AM17" s="223">
        <f>IF(AND('CONTROLE EJ'!H19="",'CONTROLE CMM'!H19=""),"",N('CONTROLE EJ'!H19)+N('CONTROLE CMM'!H19))</f>
        <v/>
      </c>
      <c r="AN17" s="223">
        <f>IF('CONTROLE GLOBO AÇOS'!G19="","",'CONTROLE GLOBO AÇOS'!G19)</f>
        <v/>
      </c>
      <c r="AO17" s="223">
        <f>IF('CONTROLE GLOBO AÇOS'!H19="","",'CONTROLE GLOBO AÇOS'!H19)</f>
        <v/>
      </c>
      <c r="AP17" s="223">
        <f>IF(AND('CONTROLE EJ'!I19="",'CONTROLE CMM'!I19=""),"",N('CONTROLE EJ'!I19)+N('CONTROLE CMM'!I19))</f>
        <v/>
      </c>
      <c r="AQ17" s="223">
        <f>IF(AND('CONTROLE EJ'!J19="",'CONTROLE CMM'!#REF!=""),"",N('CONTROLE EJ'!J19)+N('CONTROLE CMM'!#REF!))</f>
        <v/>
      </c>
      <c r="AR17" s="223">
        <f>IF('CONTROLE GLOBO AÇOS'!I19="","",'CONTROLE GLOBO AÇOS'!I19)</f>
        <v/>
      </c>
      <c r="AS17" s="223">
        <f>IF('CONTROLE GLOBO AÇOS'!J19="","",'CONTROLE GLOBO AÇOS'!J19)</f>
        <v/>
      </c>
      <c r="AT17" s="223">
        <f>IF(#REF!="","",#REF!)</f>
        <v/>
      </c>
      <c r="AU17" s="223">
        <f>IF('CONTROLE GLOBO AÇOS'!K19="","",'CONTROLE GLOBO AÇOS'!K19)</f>
        <v/>
      </c>
      <c r="AV17" s="223">
        <f>IF(AND('CONTROLE EJ'!K19="",'CONTROLE CMM'!#REF!=""),"",N('CONTROLE EJ'!K19)+N('CONTROLE CMM'!#REF!))</f>
        <v/>
      </c>
      <c r="AW17" s="223">
        <f>IF('CONTROLE GLOBO AÇOS'!L19="","",'CONTROLE GLOBO AÇOS'!L19)</f>
        <v/>
      </c>
      <c r="AX17" s="223">
        <f>IF(AND('CONTROLE EJ'!L19="",'CONTROLE CMM'!#REF!=""),"",N('CONTROLE EJ'!L19)+N('CONTROLE CMM'!#REF!))</f>
        <v/>
      </c>
      <c r="AY17" s="223">
        <f>IF('CONTROLE GLOBO AÇOS'!M19="","",'CONTROLE GLOBO AÇOS'!M19)</f>
        <v/>
      </c>
      <c r="AZ17" s="223">
        <f>IF('CONTROLE GLOBO AÇOS'!N19="","",'CONTROLE GLOBO AÇOS'!N19)</f>
        <v/>
      </c>
      <c r="BA17" s="223">
        <f>IF(AND('CONTROLE EJ'!M19="",'CONTROLE CMM'!#REF!=""),"",N('CONTROLE EJ'!M19)+N('CONTROLE CMM'!#REF!))</f>
        <v/>
      </c>
      <c r="BB17" s="223">
        <f>IF(#REF!="","",#REF!)</f>
        <v/>
      </c>
      <c r="BC17" s="223">
        <f>IF('CONTROLE GLOBO AÇOS'!O19="","",'CONTROLE GLOBO AÇOS'!O19)</f>
        <v/>
      </c>
      <c r="BD17" s="223">
        <f>IF(AND('CONTROLE EJ'!N19="",'CONTROLE CMM'!#REF!=""),"",N('CONTROLE EJ'!N19)+N('CONTROLE CMM'!#REF!))</f>
        <v/>
      </c>
      <c r="BE17" s="223">
        <f>IF('CONTROLE GLOBO AÇOS'!P19="","",'CONTROLE GLOBO AÇOS'!P19)</f>
        <v/>
      </c>
      <c r="BF17" s="223">
        <f>IF('CONTROLE GLOBO AÇOS'!Q19="","",'CONTROLE GLOBO AÇOS'!Q19)</f>
        <v/>
      </c>
      <c r="BG17" s="223">
        <f>IF('CONTROLE GLOBO AÇOS'!R19="","",'CONTROLE GLOBO AÇOS'!R19)</f>
        <v/>
      </c>
      <c r="BH17" s="223">
        <f>IF(AND('CONTROLE EJ'!O19="",'CONTROLE CMM'!#REF!=""),"",N('CONTROLE EJ'!O19)+N('CONTROLE CMM'!#REF!))</f>
        <v/>
      </c>
      <c r="BI17" s="223">
        <f>IF('CONTROLE GLOBO AÇOS'!S19="","",'CONTROLE GLOBO AÇOS'!S19)</f>
        <v/>
      </c>
      <c r="BJ17" s="223">
        <f>IF('CONTROLE GLOBO AÇOS'!T19="","",'CONTROLE GLOBO AÇOS'!T19)</f>
        <v/>
      </c>
      <c r="BK17" s="223">
        <f>IF('CONTROLE GLOBO AÇOS'!U19="","",'CONTROLE GLOBO AÇOS'!U19)</f>
        <v/>
      </c>
      <c r="BL17" s="223">
        <f>IF(AND('CONTROLE EJ'!P19="",'CONTROLE CMM'!#REF!=""),"",N('CONTROLE EJ'!P19)+N('CONTROLE CMM'!#REF!))</f>
        <v/>
      </c>
      <c r="BM17" s="223">
        <f>IF(AND('CONTROLE EJ'!Q19="",'CONTROLE CMM'!#REF!=""),"",N('CONTROLE EJ'!Q19)+N('CONTROLE CMM'!#REF!))</f>
        <v/>
      </c>
      <c r="BN17" s="223">
        <f>IF('CONTROLE GLOBO AÇOS'!V19="","",'CONTROLE GLOBO AÇOS'!V19)</f>
        <v/>
      </c>
      <c r="BO17" s="223">
        <f>IF('CONTROLE GLOBO AÇOS'!W19="","",'CONTROLE GLOBO AÇOS'!W19)</f>
        <v/>
      </c>
      <c r="BP17" s="223">
        <f>IF(AND('CONTROLE EJ'!R19="",'CONTROLE CMM'!#REF!=""),"",N('CONTROLE EJ'!R19)+N('CONTROLE CMM'!#REF!))</f>
        <v/>
      </c>
      <c r="BQ17" s="223">
        <f>IF(#REF!="","",#REF!)</f>
        <v/>
      </c>
      <c r="BR17" s="223">
        <f>IF(AND('CONTROLE EJ'!S19="",'CONTROLE CMM'!#REF!=""),"",N('CONTROLE EJ'!S19)+N('CONTROLE CMM'!#REF!))</f>
        <v/>
      </c>
      <c r="BS17" s="223">
        <f>IF(AND('CONTROLE EJ'!T19="",'CONTROLE CMM'!#REF!=""),"",N('CONTROLE EJ'!T19)+N('CONTROLE CMM'!#REF!))</f>
        <v/>
      </c>
      <c r="BT17" s="223">
        <f>IF('CONTROLE GLOBO AÇOS'!X19="","",'CONTROLE GLOBO AÇOS'!X19)</f>
        <v/>
      </c>
      <c r="BU17" s="223">
        <f>IF('CONTROLE GLOBO AÇOS'!Y19="","",'CONTROLE GLOBO AÇOS'!Y19)</f>
        <v/>
      </c>
      <c r="BV17" s="223">
        <f>IF(AND('CONTROLE EJ'!U19="",'CONTROLE CMM'!#REF!=""),"",N('CONTROLE EJ'!U19)+N('CONTROLE CMM'!#REF!))</f>
        <v/>
      </c>
      <c r="BW17" s="223">
        <f>IF(#REF!="","",#REF!)</f>
        <v/>
      </c>
    </row>
    <row r="18">
      <c r="A18" s="282" t="n">
        <v>46235</v>
      </c>
      <c r="B18" s="223">
        <f>IF('CONTROLE EJ'!B20="","",'CONTROLE EJ'!B20)</f>
        <v/>
      </c>
      <c r="C18" s="223">
        <f>IF('CONTROLE EJ'!C20="","",'CONTROLE EJ'!C20)</f>
        <v/>
      </c>
      <c r="D18" s="42">
        <f>IF('CONTROLE EJ'!D20="","",'CONTROLE EJ'!D20)</f>
        <v/>
      </c>
      <c r="E18" s="44">
        <f>IF('CONTROLE CMM'!B20="","",'CONTROLE CMM'!B20)</f>
        <v/>
      </c>
      <c r="F18" s="223">
        <f>IF('CONTROLE CMM'!C20="","",'CONTROLE CMM'!C20)</f>
        <v/>
      </c>
      <c r="G18" s="42">
        <f>IF('CONTROLE CMM'!D20="","",'CONTROLE CMM'!D20)</f>
        <v/>
      </c>
      <c r="H18" s="44">
        <f>IF('CONTROLE GLOBO AÇOS'!B20="","",'CONTROLE GLOBO AÇOS'!B20)</f>
        <v/>
      </c>
      <c r="I18" s="223">
        <f>IF('CONTROLE GLOBO AÇOS'!C20="","",'CONTROLE GLOBO AÇOS'!C20)</f>
        <v/>
      </c>
      <c r="J18" s="223">
        <f>IF('CONTROLE GLOBO AÇOS'!D20="","",'CONTROLE GLOBO AÇOS'!D20)</f>
        <v/>
      </c>
      <c r="L18" s="61">
        <f>L3/L9</f>
        <v/>
      </c>
      <c r="M18" s="61">
        <f>M3/M9</f>
        <v/>
      </c>
      <c r="N18" s="61">
        <f>N3/N9</f>
        <v/>
      </c>
      <c r="P18" s="61">
        <f>P3/P9</f>
        <v/>
      </c>
      <c r="Q18" s="61">
        <f>Q3/Q9</f>
        <v/>
      </c>
      <c r="R18" s="61">
        <f>R3/R9</f>
        <v/>
      </c>
      <c r="V18">
        <f>V17*W17*X17</f>
        <v/>
      </c>
      <c r="AD18" s="39">
        <f>IF($A18="",0,IF(AND(WEEKDAY($A18,2)&lt;=5,OR($B18&lt;&gt;"",$C18&lt;&gt;"",$D18&lt;&gt;"")),1,0))</f>
        <v/>
      </c>
      <c r="AE18" s="39">
        <f>IF($A18="",0,IF(AND(WEEKDAY($A18,2)&lt;=5,OR($E18&lt;&gt;"",$F18&lt;&gt;"",$G18&lt;&gt;"")),1,0))</f>
        <v/>
      </c>
      <c r="AF18" s="39">
        <f>MAX(AD18,AE18)</f>
        <v/>
      </c>
      <c r="AH18" s="223">
        <f>IF('CONTROLE GLOBO AÇOS'!E20="","",'CONTROLE GLOBO AÇOS'!E20)</f>
        <v/>
      </c>
      <c r="AI18" s="223">
        <f>IF('CONTROLE GLOBO AÇOS'!F20="","",'CONTROLE GLOBO AÇOS'!F20)</f>
        <v/>
      </c>
      <c r="AJ18" s="223">
        <f>IF(AND('CONTROLE EJ'!E20="",'CONTROLE CMM'!E20=""),"",N('CONTROLE EJ'!E20)+N('CONTROLE CMM'!E20))</f>
        <v/>
      </c>
      <c r="AK18" s="223">
        <f>IF(AND('CONTROLE EJ'!F20="",'CONTROLE CMM'!F20=""),"",N('CONTROLE EJ'!F20)+N('CONTROLE CMM'!F20))</f>
        <v/>
      </c>
      <c r="AL18" s="223">
        <f>IF(AND('CONTROLE EJ'!G20="",'CONTROLE CMM'!G20=""),"",N('CONTROLE EJ'!G20)+N('CONTROLE CMM'!G20))</f>
        <v/>
      </c>
      <c r="AM18" s="223">
        <f>IF(AND('CONTROLE EJ'!H20="",'CONTROLE CMM'!H20=""),"",N('CONTROLE EJ'!H20)+N('CONTROLE CMM'!H20))</f>
        <v/>
      </c>
      <c r="AN18" s="223">
        <f>IF('CONTROLE GLOBO AÇOS'!G20="","",'CONTROLE GLOBO AÇOS'!G20)</f>
        <v/>
      </c>
      <c r="AO18" s="223">
        <f>IF('CONTROLE GLOBO AÇOS'!H20="","",'CONTROLE GLOBO AÇOS'!H20)</f>
        <v/>
      </c>
      <c r="AP18" s="223">
        <f>IF(AND('CONTROLE EJ'!I20="",'CONTROLE CMM'!I20=""),"",N('CONTROLE EJ'!I20)+N('CONTROLE CMM'!I20))</f>
        <v/>
      </c>
      <c r="AQ18" s="223">
        <f>IF(AND('CONTROLE EJ'!J20="",'CONTROLE CMM'!#REF!=""),"",N('CONTROLE EJ'!J20)+N('CONTROLE CMM'!#REF!))</f>
        <v/>
      </c>
      <c r="AR18" s="223">
        <f>IF('CONTROLE GLOBO AÇOS'!I20="","",'CONTROLE GLOBO AÇOS'!I20)</f>
        <v/>
      </c>
      <c r="AS18" s="223">
        <f>IF('CONTROLE GLOBO AÇOS'!J20="","",'CONTROLE GLOBO AÇOS'!J20)</f>
        <v/>
      </c>
      <c r="AT18" s="223">
        <f>IF(#REF!="","",#REF!)</f>
        <v/>
      </c>
      <c r="AU18" s="223">
        <f>IF('CONTROLE GLOBO AÇOS'!K20="","",'CONTROLE GLOBO AÇOS'!K20)</f>
        <v/>
      </c>
      <c r="AV18" s="223">
        <f>IF(AND('CONTROLE EJ'!K20="",'CONTROLE CMM'!#REF!=""),"",N('CONTROLE EJ'!K20)+N('CONTROLE CMM'!#REF!))</f>
        <v/>
      </c>
      <c r="AW18" s="223">
        <f>IF('CONTROLE GLOBO AÇOS'!L20="","",'CONTROLE GLOBO AÇOS'!L20)</f>
        <v/>
      </c>
      <c r="AX18" s="223">
        <f>IF(AND('CONTROLE EJ'!L20="",'CONTROLE CMM'!#REF!=""),"",N('CONTROLE EJ'!L20)+N('CONTROLE CMM'!#REF!))</f>
        <v/>
      </c>
      <c r="AY18" s="223">
        <f>IF('CONTROLE GLOBO AÇOS'!M20="","",'CONTROLE GLOBO AÇOS'!M20)</f>
        <v/>
      </c>
      <c r="AZ18" s="223">
        <f>IF('CONTROLE GLOBO AÇOS'!N20="","",'CONTROLE GLOBO AÇOS'!N20)</f>
        <v/>
      </c>
      <c r="BA18" s="223">
        <f>IF(AND('CONTROLE EJ'!M20="",'CONTROLE CMM'!#REF!=""),"",N('CONTROLE EJ'!M20)+N('CONTROLE CMM'!#REF!))</f>
        <v/>
      </c>
      <c r="BB18" s="223">
        <f>IF(#REF!="","",#REF!)</f>
        <v/>
      </c>
      <c r="BC18" s="223">
        <f>IF('CONTROLE GLOBO AÇOS'!O20="","",'CONTROLE GLOBO AÇOS'!O20)</f>
        <v/>
      </c>
      <c r="BD18" s="223">
        <f>IF(AND('CONTROLE EJ'!N20="",'CONTROLE CMM'!#REF!=""),"",N('CONTROLE EJ'!N20)+N('CONTROLE CMM'!#REF!))</f>
        <v/>
      </c>
      <c r="BE18" s="223">
        <f>IF('CONTROLE GLOBO AÇOS'!P20="","",'CONTROLE GLOBO AÇOS'!P20)</f>
        <v/>
      </c>
      <c r="BF18" s="223">
        <f>IF('CONTROLE GLOBO AÇOS'!Q20="","",'CONTROLE GLOBO AÇOS'!Q20)</f>
        <v/>
      </c>
      <c r="BG18" s="223">
        <f>IF('CONTROLE GLOBO AÇOS'!R20="","",'CONTROLE GLOBO AÇOS'!R20)</f>
        <v/>
      </c>
      <c r="BH18" s="223">
        <f>IF(AND('CONTROLE EJ'!O20="",'CONTROLE CMM'!#REF!=""),"",N('CONTROLE EJ'!O20)+N('CONTROLE CMM'!#REF!))</f>
        <v/>
      </c>
      <c r="BI18" s="223">
        <f>IF('CONTROLE GLOBO AÇOS'!S20="","",'CONTROLE GLOBO AÇOS'!S20)</f>
        <v/>
      </c>
      <c r="BJ18" s="223">
        <f>IF('CONTROLE GLOBO AÇOS'!T20="","",'CONTROLE GLOBO AÇOS'!T20)</f>
        <v/>
      </c>
      <c r="BK18" s="223">
        <f>IF('CONTROLE GLOBO AÇOS'!U20="","",'CONTROLE GLOBO AÇOS'!U20)</f>
        <v/>
      </c>
      <c r="BL18" s="223">
        <f>IF(AND('CONTROLE EJ'!P20="",'CONTROLE CMM'!#REF!=""),"",N('CONTROLE EJ'!P20)+N('CONTROLE CMM'!#REF!))</f>
        <v/>
      </c>
      <c r="BM18" s="223">
        <f>IF(AND('CONTROLE EJ'!Q20="",'CONTROLE CMM'!#REF!=""),"",N('CONTROLE EJ'!Q20)+N('CONTROLE CMM'!#REF!))</f>
        <v/>
      </c>
      <c r="BN18" s="223">
        <f>IF('CONTROLE GLOBO AÇOS'!V20="","",'CONTROLE GLOBO AÇOS'!V20)</f>
        <v/>
      </c>
      <c r="BO18" s="223">
        <f>IF('CONTROLE GLOBO AÇOS'!W20="","",'CONTROLE GLOBO AÇOS'!W20)</f>
        <v/>
      </c>
      <c r="BP18" s="223">
        <f>IF(AND('CONTROLE EJ'!R20="",'CONTROLE CMM'!#REF!=""),"",N('CONTROLE EJ'!R20)+N('CONTROLE CMM'!#REF!))</f>
        <v/>
      </c>
      <c r="BQ18" s="223">
        <f>IF(#REF!="","",#REF!)</f>
        <v/>
      </c>
      <c r="BR18" s="223">
        <f>IF(AND('CONTROLE EJ'!S20="",'CONTROLE CMM'!#REF!=""),"",N('CONTROLE EJ'!S20)+N('CONTROLE CMM'!#REF!))</f>
        <v/>
      </c>
      <c r="BS18" s="223">
        <f>IF(AND('CONTROLE EJ'!T20="",'CONTROLE CMM'!#REF!=""),"",N('CONTROLE EJ'!T20)+N('CONTROLE CMM'!#REF!))</f>
        <v/>
      </c>
      <c r="BT18" s="223">
        <f>IF('CONTROLE GLOBO AÇOS'!X20="","",'CONTROLE GLOBO AÇOS'!X20)</f>
        <v/>
      </c>
      <c r="BU18" s="223">
        <f>IF('CONTROLE GLOBO AÇOS'!Y20="","",'CONTROLE GLOBO AÇOS'!Y20)</f>
        <v/>
      </c>
      <c r="BV18" s="223">
        <f>IF(AND('CONTROLE EJ'!U20="",'CONTROLE CMM'!#REF!=""),"",N('CONTROLE EJ'!U20)+N('CONTROLE CMM'!#REF!))</f>
        <v/>
      </c>
      <c r="BW18" s="223">
        <f>IF(#REF!="","",#REF!)</f>
        <v/>
      </c>
    </row>
    <row r="19">
      <c r="A19" s="282" t="n">
        <v>46236</v>
      </c>
      <c r="B19" s="223">
        <f>IF('CONTROLE EJ'!B21="","",'CONTROLE EJ'!B21)</f>
        <v/>
      </c>
      <c r="C19" s="223">
        <f>IF('CONTROLE EJ'!C21="","",'CONTROLE EJ'!C21)</f>
        <v/>
      </c>
      <c r="D19" s="42">
        <f>IF('CONTROLE EJ'!D21="","",'CONTROLE EJ'!D21)</f>
        <v/>
      </c>
      <c r="E19" s="44">
        <f>IF('CONTROLE CMM'!B21="","",'CONTROLE CMM'!B21)</f>
        <v/>
      </c>
      <c r="F19" s="223">
        <f>IF('CONTROLE CMM'!C21="","",'CONTROLE CMM'!C21)</f>
        <v/>
      </c>
      <c r="G19" s="42">
        <f>IF('CONTROLE CMM'!D21="","",'CONTROLE CMM'!D21)</f>
        <v/>
      </c>
      <c r="H19" s="44">
        <f>IF('CONTROLE GLOBO AÇOS'!B21="","",'CONTROLE GLOBO AÇOS'!B21)</f>
        <v/>
      </c>
      <c r="I19" s="223">
        <f>IF('CONTROLE GLOBO AÇOS'!C21="","",'CONTROLE GLOBO AÇOS'!C21)</f>
        <v/>
      </c>
      <c r="J19" s="223">
        <f>IF('CONTROLE GLOBO AÇOS'!D21="","",'CONTROLE GLOBO AÇOS'!D21)</f>
        <v/>
      </c>
      <c r="L19" s="16" t="n"/>
      <c r="U19" s="62" t="inlineStr">
        <is>
          <t xml:space="preserve">FASE1 </t>
        </is>
      </c>
      <c r="V19">
        <f>V17/18*9</f>
        <v/>
      </c>
      <c r="AD19" s="39">
        <f>IF($A19="",0,IF(AND(WEEKDAY($A19,2)&lt;=5,OR($B19&lt;&gt;"",$C19&lt;&gt;"",$D19&lt;&gt;"")),1,0))</f>
        <v/>
      </c>
      <c r="AE19" s="39">
        <f>IF($A19="",0,IF(AND(WEEKDAY($A19,2)&lt;=5,OR($E19&lt;&gt;"",$F19&lt;&gt;"",$G19&lt;&gt;"")),1,0))</f>
        <v/>
      </c>
      <c r="AF19" s="39">
        <f>MAX(AD19,AE19)</f>
        <v/>
      </c>
      <c r="AH19" s="223">
        <f>IF('CONTROLE GLOBO AÇOS'!E21="","",'CONTROLE GLOBO AÇOS'!E21)</f>
        <v/>
      </c>
      <c r="AI19" s="223">
        <f>IF('CONTROLE GLOBO AÇOS'!F21="","",'CONTROLE GLOBO AÇOS'!F21)</f>
        <v/>
      </c>
      <c r="AJ19" s="223">
        <f>IF(AND('CONTROLE EJ'!E21="",'CONTROLE CMM'!E21=""),"",N('CONTROLE EJ'!E21)+N('CONTROLE CMM'!E21))</f>
        <v/>
      </c>
      <c r="AK19" s="223">
        <f>IF(AND('CONTROLE EJ'!F21="",'CONTROLE CMM'!F21=""),"",N('CONTROLE EJ'!F21)+N('CONTROLE CMM'!F21))</f>
        <v/>
      </c>
      <c r="AL19" s="223">
        <f>IF(AND('CONTROLE EJ'!G21="",'CONTROLE CMM'!G21=""),"",N('CONTROLE EJ'!G21)+N('CONTROLE CMM'!G21))</f>
        <v/>
      </c>
      <c r="AM19" s="223">
        <f>IF(AND('CONTROLE EJ'!H21="",'CONTROLE CMM'!H21=""),"",N('CONTROLE EJ'!H21)+N('CONTROLE CMM'!H21))</f>
        <v/>
      </c>
      <c r="AN19" s="223">
        <f>IF('CONTROLE GLOBO AÇOS'!G21="","",'CONTROLE GLOBO AÇOS'!G21)</f>
        <v/>
      </c>
      <c r="AO19" s="223">
        <f>IF('CONTROLE GLOBO AÇOS'!H21="","",'CONTROLE GLOBO AÇOS'!H21)</f>
        <v/>
      </c>
      <c r="AP19" s="223">
        <f>IF(AND('CONTROLE EJ'!I21="",'CONTROLE CMM'!I21=""),"",N('CONTROLE EJ'!I21)+N('CONTROLE CMM'!I21))</f>
        <v/>
      </c>
      <c r="AQ19" s="223">
        <f>IF(AND('CONTROLE EJ'!J21="",'CONTROLE CMM'!#REF!=""),"",N('CONTROLE EJ'!J21)+N('CONTROLE CMM'!#REF!))</f>
        <v/>
      </c>
      <c r="AR19" s="223">
        <f>IF('CONTROLE GLOBO AÇOS'!I21="","",'CONTROLE GLOBO AÇOS'!I21)</f>
        <v/>
      </c>
      <c r="AS19" s="223">
        <f>IF('CONTROLE GLOBO AÇOS'!J21="","",'CONTROLE GLOBO AÇOS'!J21)</f>
        <v/>
      </c>
      <c r="AT19" s="223">
        <f>IF(#REF!="","",#REF!)</f>
        <v/>
      </c>
      <c r="AU19" s="223">
        <f>IF('CONTROLE GLOBO AÇOS'!K21="","",'CONTROLE GLOBO AÇOS'!K21)</f>
        <v/>
      </c>
      <c r="AV19" s="223">
        <f>IF(AND('CONTROLE EJ'!K21="",'CONTROLE CMM'!#REF!=""),"",N('CONTROLE EJ'!K21)+N('CONTROLE CMM'!#REF!))</f>
        <v/>
      </c>
      <c r="AW19" s="223">
        <f>IF('CONTROLE GLOBO AÇOS'!L21="","",'CONTROLE GLOBO AÇOS'!L21)</f>
        <v/>
      </c>
      <c r="AX19" s="223">
        <f>IF(AND('CONTROLE EJ'!L21="",'CONTROLE CMM'!#REF!=""),"",N('CONTROLE EJ'!L21)+N('CONTROLE CMM'!#REF!))</f>
        <v/>
      </c>
      <c r="AY19" s="223">
        <f>IF('CONTROLE GLOBO AÇOS'!M21="","",'CONTROLE GLOBO AÇOS'!M21)</f>
        <v/>
      </c>
      <c r="AZ19" s="223">
        <f>IF('CONTROLE GLOBO AÇOS'!N21="","",'CONTROLE GLOBO AÇOS'!N21)</f>
        <v/>
      </c>
      <c r="BA19" s="223">
        <f>IF(AND('CONTROLE EJ'!M21="",'CONTROLE CMM'!#REF!=""),"",N('CONTROLE EJ'!M21)+N('CONTROLE CMM'!#REF!))</f>
        <v/>
      </c>
      <c r="BB19" s="223">
        <f>IF(#REF!="","",#REF!)</f>
        <v/>
      </c>
      <c r="BC19" s="223">
        <f>IF('CONTROLE GLOBO AÇOS'!O21="","",'CONTROLE GLOBO AÇOS'!O21)</f>
        <v/>
      </c>
      <c r="BD19" s="223">
        <f>IF(AND('CONTROLE EJ'!N21="",'CONTROLE CMM'!#REF!=""),"",N('CONTROLE EJ'!N21)+N('CONTROLE CMM'!#REF!))</f>
        <v/>
      </c>
      <c r="BE19" s="223">
        <f>IF('CONTROLE GLOBO AÇOS'!P21="","",'CONTROLE GLOBO AÇOS'!P21)</f>
        <v/>
      </c>
      <c r="BF19" s="223">
        <f>IF('CONTROLE GLOBO AÇOS'!Q21="","",'CONTROLE GLOBO AÇOS'!Q21)</f>
        <v/>
      </c>
      <c r="BG19" s="223">
        <f>IF('CONTROLE GLOBO AÇOS'!R21="","",'CONTROLE GLOBO AÇOS'!R21)</f>
        <v/>
      </c>
      <c r="BH19" s="223">
        <f>IF(AND('CONTROLE EJ'!O21="",'CONTROLE CMM'!#REF!=""),"",N('CONTROLE EJ'!O21)+N('CONTROLE CMM'!#REF!))</f>
        <v/>
      </c>
      <c r="BI19" s="223">
        <f>IF('CONTROLE GLOBO AÇOS'!S21="","",'CONTROLE GLOBO AÇOS'!S21)</f>
        <v/>
      </c>
      <c r="BJ19" s="223">
        <f>IF('CONTROLE GLOBO AÇOS'!T21="","",'CONTROLE GLOBO AÇOS'!T21)</f>
        <v/>
      </c>
      <c r="BK19" s="223">
        <f>IF('CONTROLE GLOBO AÇOS'!U21="","",'CONTROLE GLOBO AÇOS'!U21)</f>
        <v/>
      </c>
      <c r="BL19" s="223">
        <f>IF(AND('CONTROLE EJ'!P21="",'CONTROLE CMM'!#REF!=""),"",N('CONTROLE EJ'!P21)+N('CONTROLE CMM'!#REF!))</f>
        <v/>
      </c>
      <c r="BM19" s="223">
        <f>IF(AND('CONTROLE EJ'!Q21="",'CONTROLE CMM'!#REF!=""),"",N('CONTROLE EJ'!Q21)+N('CONTROLE CMM'!#REF!))</f>
        <v/>
      </c>
      <c r="BN19" s="223">
        <f>IF('CONTROLE GLOBO AÇOS'!V21="","",'CONTROLE GLOBO AÇOS'!V21)</f>
        <v/>
      </c>
      <c r="BO19" s="223">
        <f>IF('CONTROLE GLOBO AÇOS'!W21="","",'CONTROLE GLOBO AÇOS'!W21)</f>
        <v/>
      </c>
      <c r="BP19" s="223">
        <f>IF(AND('CONTROLE EJ'!R21="",'CONTROLE CMM'!#REF!=""),"",N('CONTROLE EJ'!R21)+N('CONTROLE CMM'!#REF!))</f>
        <v/>
      </c>
      <c r="BQ19" s="223">
        <f>IF(#REF!="","",#REF!)</f>
        <v/>
      </c>
      <c r="BR19" s="223">
        <f>IF(AND('CONTROLE EJ'!S21="",'CONTROLE CMM'!#REF!=""),"",N('CONTROLE EJ'!S21)+N('CONTROLE CMM'!#REF!))</f>
        <v/>
      </c>
      <c r="BS19" s="223">
        <f>IF(AND('CONTROLE EJ'!T21="",'CONTROLE CMM'!#REF!=""),"",N('CONTROLE EJ'!T21)+N('CONTROLE CMM'!#REF!))</f>
        <v/>
      </c>
      <c r="BT19" s="223">
        <f>IF('CONTROLE GLOBO AÇOS'!X21="","",'CONTROLE GLOBO AÇOS'!X21)</f>
        <v/>
      </c>
      <c r="BU19" s="223">
        <f>IF('CONTROLE GLOBO AÇOS'!Y21="","",'CONTROLE GLOBO AÇOS'!Y21)</f>
        <v/>
      </c>
      <c r="BV19" s="223">
        <f>IF(AND('CONTROLE EJ'!U21="",'CONTROLE CMM'!#REF!=""),"",N('CONTROLE EJ'!U21)+N('CONTROLE CMM'!#REF!))</f>
        <v/>
      </c>
      <c r="BW19" s="223">
        <f>IF(#REF!="","",#REF!)</f>
        <v/>
      </c>
    </row>
    <row r="20">
      <c r="A20" s="282" t="n">
        <v>46237</v>
      </c>
      <c r="B20" s="223">
        <f>IF('CONTROLE EJ'!B22="","",'CONTROLE EJ'!B22)</f>
        <v/>
      </c>
      <c r="C20" s="223">
        <f>IF('CONTROLE EJ'!C22="","",'CONTROLE EJ'!C22)</f>
        <v/>
      </c>
      <c r="D20" s="42">
        <f>IF('CONTROLE EJ'!D22="","",'CONTROLE EJ'!D22)</f>
        <v/>
      </c>
      <c r="E20" s="44">
        <f>IF('CONTROLE CMM'!B22="","",'CONTROLE CMM'!B22)</f>
        <v/>
      </c>
      <c r="F20" s="223">
        <f>IF('CONTROLE CMM'!C22="","",'CONTROLE CMM'!C22)</f>
        <v/>
      </c>
      <c r="G20" s="42">
        <f>IF('CONTROLE CMM'!D22="","",'CONTROLE CMM'!D22)</f>
        <v/>
      </c>
      <c r="H20" s="44">
        <f>IF('CONTROLE GLOBO AÇOS'!B22="","",'CONTROLE GLOBO AÇOS'!B22)</f>
        <v/>
      </c>
      <c r="I20" s="223">
        <f>IF('CONTROLE GLOBO AÇOS'!C22="","",'CONTROLE GLOBO AÇOS'!C22)</f>
        <v/>
      </c>
      <c r="J20" s="223">
        <f>IF('CONTROLE GLOBO AÇOS'!D22="","",'CONTROLE GLOBO AÇOS'!D22)</f>
        <v/>
      </c>
      <c r="L20" s="284" t="n"/>
      <c r="M20" s="284" t="n"/>
      <c r="N20" s="284" t="n"/>
      <c r="U20" s="62" t="inlineStr">
        <is>
          <t>FASE2</t>
        </is>
      </c>
      <c r="V20">
        <f>V17-V19</f>
        <v/>
      </c>
      <c r="AD20" s="39">
        <f>IF($A20="",0,IF(AND(WEEKDAY($A20,2)&lt;=5,OR($B20&lt;&gt;"",$C20&lt;&gt;"",$D20&lt;&gt;"")),1,0))</f>
        <v/>
      </c>
      <c r="AE20" s="39">
        <f>IF($A20="",0,IF(AND(WEEKDAY($A20,2)&lt;=5,OR($E20&lt;&gt;"",$F20&lt;&gt;"",$G20&lt;&gt;"")),1,0))</f>
        <v/>
      </c>
      <c r="AF20" s="39">
        <f>MAX(AD20,AE20)</f>
        <v/>
      </c>
      <c r="AH20" s="223">
        <f>IF('CONTROLE GLOBO AÇOS'!E22="","",'CONTROLE GLOBO AÇOS'!E22)</f>
        <v/>
      </c>
      <c r="AI20" s="223">
        <f>IF('CONTROLE GLOBO AÇOS'!F22="","",'CONTROLE GLOBO AÇOS'!F22)</f>
        <v/>
      </c>
      <c r="AJ20" s="223">
        <f>IF(AND('CONTROLE EJ'!E22="",'CONTROLE CMM'!E22=""),"",N('CONTROLE EJ'!E22)+N('CONTROLE CMM'!E22))</f>
        <v/>
      </c>
      <c r="AK20" s="223">
        <f>IF(AND('CONTROLE EJ'!F22="",'CONTROLE CMM'!F22=""),"",N('CONTROLE EJ'!F22)+N('CONTROLE CMM'!F22))</f>
        <v/>
      </c>
      <c r="AL20" s="223">
        <f>IF(AND('CONTROLE EJ'!G22="",'CONTROLE CMM'!G22=""),"",N('CONTROLE EJ'!G22)+N('CONTROLE CMM'!G22))</f>
        <v/>
      </c>
      <c r="AM20" s="223">
        <f>IF(AND('CONTROLE EJ'!H22="",'CONTROLE CMM'!H22=""),"",N('CONTROLE EJ'!H22)+N('CONTROLE CMM'!H22))</f>
        <v/>
      </c>
      <c r="AN20" s="223">
        <f>IF('CONTROLE GLOBO AÇOS'!G22="","",'CONTROLE GLOBO AÇOS'!G22)</f>
        <v/>
      </c>
      <c r="AO20" s="223">
        <f>IF('CONTROLE GLOBO AÇOS'!H22="","",'CONTROLE GLOBO AÇOS'!H22)</f>
        <v/>
      </c>
      <c r="AP20" s="223">
        <f>IF(AND('CONTROLE EJ'!I22="",'CONTROLE CMM'!I22=""),"",N('CONTROLE EJ'!I22)+N('CONTROLE CMM'!I22))</f>
        <v/>
      </c>
      <c r="AQ20" s="223">
        <f>IF(AND('CONTROLE EJ'!J22="",'CONTROLE CMM'!#REF!=""),"",N('CONTROLE EJ'!J22)+N('CONTROLE CMM'!#REF!))</f>
        <v/>
      </c>
      <c r="AR20" s="223">
        <f>IF('CONTROLE GLOBO AÇOS'!I22="","",'CONTROLE GLOBO AÇOS'!I22)</f>
        <v/>
      </c>
      <c r="AS20" s="223">
        <f>IF('CONTROLE GLOBO AÇOS'!J22="","",'CONTROLE GLOBO AÇOS'!J22)</f>
        <v/>
      </c>
      <c r="AT20" s="223">
        <f>IF(#REF!="","",#REF!)</f>
        <v/>
      </c>
      <c r="AU20" s="223">
        <f>IF('CONTROLE GLOBO AÇOS'!K22="","",'CONTROLE GLOBO AÇOS'!K22)</f>
        <v/>
      </c>
      <c r="AV20" s="223">
        <f>IF(AND('CONTROLE EJ'!K22="",'CONTROLE CMM'!#REF!=""),"",N('CONTROLE EJ'!K22)+N('CONTROLE CMM'!#REF!))</f>
        <v/>
      </c>
      <c r="AW20" s="223">
        <f>IF('CONTROLE GLOBO AÇOS'!L22="","",'CONTROLE GLOBO AÇOS'!L22)</f>
        <v/>
      </c>
      <c r="AX20" s="223">
        <f>IF(AND('CONTROLE EJ'!L22="",'CONTROLE CMM'!#REF!=""),"",N('CONTROLE EJ'!L22)+N('CONTROLE CMM'!#REF!))</f>
        <v/>
      </c>
      <c r="AY20" s="223">
        <f>IF('CONTROLE GLOBO AÇOS'!M22="","",'CONTROLE GLOBO AÇOS'!M22)</f>
        <v/>
      </c>
      <c r="AZ20" s="223">
        <f>IF('CONTROLE GLOBO AÇOS'!N22="","",'CONTROLE GLOBO AÇOS'!N22)</f>
        <v/>
      </c>
      <c r="BA20" s="223">
        <f>IF(AND('CONTROLE EJ'!M22="",'CONTROLE CMM'!#REF!=""),"",N('CONTROLE EJ'!M22)+N('CONTROLE CMM'!#REF!))</f>
        <v/>
      </c>
      <c r="BB20" s="223">
        <f>IF(#REF!="","",#REF!)</f>
        <v/>
      </c>
      <c r="BC20" s="223">
        <f>IF('CONTROLE GLOBO AÇOS'!O22="","",'CONTROLE GLOBO AÇOS'!O22)</f>
        <v/>
      </c>
      <c r="BD20" s="223">
        <f>IF(AND('CONTROLE EJ'!N22="",'CONTROLE CMM'!#REF!=""),"",N('CONTROLE EJ'!N22)+N('CONTROLE CMM'!#REF!))</f>
        <v/>
      </c>
      <c r="BE20" s="223">
        <f>IF('CONTROLE GLOBO AÇOS'!P22="","",'CONTROLE GLOBO AÇOS'!P22)</f>
        <v/>
      </c>
      <c r="BF20" s="223">
        <f>IF('CONTROLE GLOBO AÇOS'!Q22="","",'CONTROLE GLOBO AÇOS'!Q22)</f>
        <v/>
      </c>
      <c r="BG20" s="223">
        <f>IF('CONTROLE GLOBO AÇOS'!R22="","",'CONTROLE GLOBO AÇOS'!R22)</f>
        <v/>
      </c>
      <c r="BH20" s="223">
        <f>IF(AND('CONTROLE EJ'!O22="",'CONTROLE CMM'!#REF!=""),"",N('CONTROLE EJ'!O22)+N('CONTROLE CMM'!#REF!))</f>
        <v/>
      </c>
      <c r="BI20" s="223">
        <f>IF('CONTROLE GLOBO AÇOS'!S22="","",'CONTROLE GLOBO AÇOS'!S22)</f>
        <v/>
      </c>
      <c r="BJ20" s="223">
        <f>IF('CONTROLE GLOBO AÇOS'!T22="","",'CONTROLE GLOBO AÇOS'!T22)</f>
        <v/>
      </c>
      <c r="BK20" s="223">
        <f>IF('CONTROLE GLOBO AÇOS'!U22="","",'CONTROLE GLOBO AÇOS'!U22)</f>
        <v/>
      </c>
      <c r="BL20" s="223">
        <f>IF(AND('CONTROLE EJ'!P22="",'CONTROLE CMM'!#REF!=""),"",N('CONTROLE EJ'!P22)+N('CONTROLE CMM'!#REF!))</f>
        <v/>
      </c>
      <c r="BM20" s="223">
        <f>IF(AND('CONTROLE EJ'!Q22="",'CONTROLE CMM'!#REF!=""),"",N('CONTROLE EJ'!Q22)+N('CONTROLE CMM'!#REF!))</f>
        <v/>
      </c>
      <c r="BN20" s="223">
        <f>IF('CONTROLE GLOBO AÇOS'!V22="","",'CONTROLE GLOBO AÇOS'!V22)</f>
        <v/>
      </c>
      <c r="BO20" s="223">
        <f>IF('CONTROLE GLOBO AÇOS'!W22="","",'CONTROLE GLOBO AÇOS'!W22)</f>
        <v/>
      </c>
      <c r="BP20" s="223">
        <f>IF(AND('CONTROLE EJ'!R22="",'CONTROLE CMM'!#REF!=""),"",N('CONTROLE EJ'!R22)+N('CONTROLE CMM'!#REF!))</f>
        <v/>
      </c>
      <c r="BQ20" s="223">
        <f>IF(#REF!="","",#REF!)</f>
        <v/>
      </c>
      <c r="BR20" s="223">
        <f>IF(AND('CONTROLE EJ'!S22="",'CONTROLE CMM'!#REF!=""),"",N('CONTROLE EJ'!S22)+N('CONTROLE CMM'!#REF!))</f>
        <v/>
      </c>
      <c r="BS20" s="223">
        <f>IF(AND('CONTROLE EJ'!T22="",'CONTROLE CMM'!#REF!=""),"",N('CONTROLE EJ'!T22)+N('CONTROLE CMM'!#REF!))</f>
        <v/>
      </c>
      <c r="BT20" s="223">
        <f>IF('CONTROLE GLOBO AÇOS'!X22="","",'CONTROLE GLOBO AÇOS'!X22)</f>
        <v/>
      </c>
      <c r="BU20" s="223">
        <f>IF('CONTROLE GLOBO AÇOS'!Y22="","",'CONTROLE GLOBO AÇOS'!Y22)</f>
        <v/>
      </c>
      <c r="BV20" s="223">
        <f>IF(AND('CONTROLE EJ'!U22="",'CONTROLE CMM'!#REF!=""),"",N('CONTROLE EJ'!U22)+N('CONTROLE CMM'!#REF!))</f>
        <v/>
      </c>
      <c r="BW20" s="223">
        <f>IF(#REF!="","",#REF!)</f>
        <v/>
      </c>
    </row>
    <row r="21">
      <c r="A21" s="282" t="n">
        <v>46238</v>
      </c>
      <c r="B21" s="223">
        <f>IF('CONTROLE EJ'!B23="","",'CONTROLE EJ'!B23)</f>
        <v/>
      </c>
      <c r="C21" s="223">
        <f>IF('CONTROLE EJ'!C23="","",'CONTROLE EJ'!C23)</f>
        <v/>
      </c>
      <c r="D21" s="42">
        <f>IF('CONTROLE EJ'!D23="","",'CONTROLE EJ'!D23)</f>
        <v/>
      </c>
      <c r="E21" s="44">
        <f>IF('CONTROLE CMM'!B23="","",'CONTROLE CMM'!B23)</f>
        <v/>
      </c>
      <c r="F21" s="223">
        <f>IF('CONTROLE CMM'!C23="","",'CONTROLE CMM'!C23)</f>
        <v/>
      </c>
      <c r="G21" s="42">
        <f>IF('CONTROLE CMM'!D23="","",'CONTROLE CMM'!D23)</f>
        <v/>
      </c>
      <c r="H21" s="44">
        <f>IF('CONTROLE GLOBO AÇOS'!B23="","",'CONTROLE GLOBO AÇOS'!B23)</f>
        <v/>
      </c>
      <c r="I21" s="223">
        <f>IF('CONTROLE GLOBO AÇOS'!C23="","",'CONTROLE GLOBO AÇOS'!C23)</f>
        <v/>
      </c>
      <c r="J21" s="223">
        <f>IF('CONTROLE GLOBO AÇOS'!D23="","",'CONTROLE GLOBO AÇOS'!D23)</f>
        <v/>
      </c>
      <c r="L21" s="61" t="n"/>
      <c r="M21" s="61" t="n"/>
      <c r="N21" s="61" t="n"/>
      <c r="R21" t="n">
        <v>274</v>
      </c>
      <c r="AD21" s="39">
        <f>IF($A21="",0,IF(AND(WEEKDAY($A21,2)&lt;=5,OR($B21&lt;&gt;"",$C21&lt;&gt;"",$D21&lt;&gt;"")),1,0))</f>
        <v/>
      </c>
      <c r="AE21" s="39">
        <f>IF($A21="",0,IF(AND(WEEKDAY($A21,2)&lt;=5,OR($E21&lt;&gt;"",$F21&lt;&gt;"",$G21&lt;&gt;"")),1,0))</f>
        <v/>
      </c>
      <c r="AF21" s="39">
        <f>MAX(AD21,AE21)</f>
        <v/>
      </c>
      <c r="AH21" s="223">
        <f>IF('CONTROLE GLOBO AÇOS'!E23="","",'CONTROLE GLOBO AÇOS'!E23)</f>
        <v/>
      </c>
      <c r="AI21" s="223">
        <f>IF('CONTROLE GLOBO AÇOS'!F23="","",'CONTROLE GLOBO AÇOS'!F23)</f>
        <v/>
      </c>
      <c r="AJ21" s="223">
        <f>IF(AND('CONTROLE EJ'!E23="",'CONTROLE CMM'!E23=""),"",N('CONTROLE EJ'!E23)+N('CONTROLE CMM'!E23))</f>
        <v/>
      </c>
      <c r="AK21" s="223">
        <f>IF(AND('CONTROLE EJ'!F23="",'CONTROLE CMM'!F23=""),"",N('CONTROLE EJ'!F23)+N('CONTROLE CMM'!F23))</f>
        <v/>
      </c>
      <c r="AL21" s="223">
        <f>IF(AND('CONTROLE EJ'!G23="",'CONTROLE CMM'!G23=""),"",N('CONTROLE EJ'!G23)+N('CONTROLE CMM'!G23))</f>
        <v/>
      </c>
      <c r="AM21" s="223">
        <f>IF(AND('CONTROLE EJ'!H23="",'CONTROLE CMM'!H23=""),"",N('CONTROLE EJ'!H23)+N('CONTROLE CMM'!H23))</f>
        <v/>
      </c>
      <c r="AN21" s="223">
        <f>IF('CONTROLE GLOBO AÇOS'!G23="","",'CONTROLE GLOBO AÇOS'!G23)</f>
        <v/>
      </c>
      <c r="AO21" s="223">
        <f>IF('CONTROLE GLOBO AÇOS'!H23="","",'CONTROLE GLOBO AÇOS'!H23)</f>
        <v/>
      </c>
      <c r="AP21" s="223">
        <f>IF(AND('CONTROLE EJ'!I23="",'CONTROLE CMM'!I23=""),"",N('CONTROLE EJ'!I23)+N('CONTROLE CMM'!I23))</f>
        <v/>
      </c>
      <c r="AQ21" s="223">
        <f>IF(AND('CONTROLE EJ'!J23="",'CONTROLE CMM'!#REF!=""),"",N('CONTROLE EJ'!J23)+N('CONTROLE CMM'!#REF!))</f>
        <v/>
      </c>
      <c r="AR21" s="223">
        <f>IF('CONTROLE GLOBO AÇOS'!I23="","",'CONTROLE GLOBO AÇOS'!I23)</f>
        <v/>
      </c>
      <c r="AS21" s="223">
        <f>IF('CONTROLE GLOBO AÇOS'!J23="","",'CONTROLE GLOBO AÇOS'!J23)</f>
        <v/>
      </c>
      <c r="AT21" s="223">
        <f>IF(#REF!="","",#REF!)</f>
        <v/>
      </c>
      <c r="AU21" s="223">
        <f>IF('CONTROLE GLOBO AÇOS'!K23="","",'CONTROLE GLOBO AÇOS'!K23)</f>
        <v/>
      </c>
      <c r="AV21" s="223">
        <f>IF(AND('CONTROLE EJ'!K23="",'CONTROLE CMM'!#REF!=""),"",N('CONTROLE EJ'!K23)+N('CONTROLE CMM'!#REF!))</f>
        <v/>
      </c>
      <c r="AW21" s="223">
        <f>IF('CONTROLE GLOBO AÇOS'!L23="","",'CONTROLE GLOBO AÇOS'!L23)</f>
        <v/>
      </c>
      <c r="AX21" s="223">
        <f>IF(AND('CONTROLE EJ'!L23="",'CONTROLE CMM'!#REF!=""),"",N('CONTROLE EJ'!L23)+N('CONTROLE CMM'!#REF!))</f>
        <v/>
      </c>
      <c r="AY21" s="223">
        <f>IF('CONTROLE GLOBO AÇOS'!M23="","",'CONTROLE GLOBO AÇOS'!M23)</f>
        <v/>
      </c>
      <c r="AZ21" s="223">
        <f>IF('CONTROLE GLOBO AÇOS'!N23="","",'CONTROLE GLOBO AÇOS'!N23)</f>
        <v/>
      </c>
      <c r="BA21" s="223">
        <f>IF(AND('CONTROLE EJ'!M23="",'CONTROLE CMM'!#REF!=""),"",N('CONTROLE EJ'!M23)+N('CONTROLE CMM'!#REF!))</f>
        <v/>
      </c>
      <c r="BB21" s="223">
        <f>IF(#REF!="","",#REF!)</f>
        <v/>
      </c>
      <c r="BC21" s="223">
        <f>IF('CONTROLE GLOBO AÇOS'!O23="","",'CONTROLE GLOBO AÇOS'!O23)</f>
        <v/>
      </c>
      <c r="BD21" s="223">
        <f>IF(AND('CONTROLE EJ'!N23="",'CONTROLE CMM'!#REF!=""),"",N('CONTROLE EJ'!N23)+N('CONTROLE CMM'!#REF!))</f>
        <v/>
      </c>
      <c r="BE21" s="223">
        <f>IF('CONTROLE GLOBO AÇOS'!P23="","",'CONTROLE GLOBO AÇOS'!P23)</f>
        <v/>
      </c>
      <c r="BF21" s="223">
        <f>IF('CONTROLE GLOBO AÇOS'!Q23="","",'CONTROLE GLOBO AÇOS'!Q23)</f>
        <v/>
      </c>
      <c r="BG21" s="223">
        <f>IF('CONTROLE GLOBO AÇOS'!R23="","",'CONTROLE GLOBO AÇOS'!R23)</f>
        <v/>
      </c>
      <c r="BH21" s="223">
        <f>IF(AND('CONTROLE EJ'!O23="",'CONTROLE CMM'!#REF!=""),"",N('CONTROLE EJ'!O23)+N('CONTROLE CMM'!#REF!))</f>
        <v/>
      </c>
      <c r="BI21" s="223">
        <f>IF('CONTROLE GLOBO AÇOS'!S23="","",'CONTROLE GLOBO AÇOS'!S23)</f>
        <v/>
      </c>
      <c r="BJ21" s="223">
        <f>IF('CONTROLE GLOBO AÇOS'!T23="","",'CONTROLE GLOBO AÇOS'!T23)</f>
        <v/>
      </c>
      <c r="BK21" s="223">
        <f>IF('CONTROLE GLOBO AÇOS'!U23="","",'CONTROLE GLOBO AÇOS'!U23)</f>
        <v/>
      </c>
      <c r="BL21" s="223">
        <f>IF(AND('CONTROLE EJ'!P23="",'CONTROLE CMM'!#REF!=""),"",N('CONTROLE EJ'!P23)+N('CONTROLE CMM'!#REF!))</f>
        <v/>
      </c>
      <c r="BM21" s="223">
        <f>IF(AND('CONTROLE EJ'!Q23="",'CONTROLE CMM'!#REF!=""),"",N('CONTROLE EJ'!Q23)+N('CONTROLE CMM'!#REF!))</f>
        <v/>
      </c>
      <c r="BN21" s="223">
        <f>IF('CONTROLE GLOBO AÇOS'!V23="","",'CONTROLE GLOBO AÇOS'!V23)</f>
        <v/>
      </c>
      <c r="BO21" s="223">
        <f>IF('CONTROLE GLOBO AÇOS'!W23="","",'CONTROLE GLOBO AÇOS'!W23)</f>
        <v/>
      </c>
      <c r="BP21" s="223">
        <f>IF(AND('CONTROLE EJ'!R23="",'CONTROLE CMM'!#REF!=""),"",N('CONTROLE EJ'!R23)+N('CONTROLE CMM'!#REF!))</f>
        <v/>
      </c>
      <c r="BQ21" s="223">
        <f>IF(#REF!="","",#REF!)</f>
        <v/>
      </c>
      <c r="BR21" s="223">
        <f>IF(AND('CONTROLE EJ'!S23="",'CONTROLE CMM'!#REF!=""),"",N('CONTROLE EJ'!S23)+N('CONTROLE CMM'!#REF!))</f>
        <v/>
      </c>
      <c r="BS21" s="223">
        <f>IF(AND('CONTROLE EJ'!T23="",'CONTROLE CMM'!#REF!=""),"",N('CONTROLE EJ'!T23)+N('CONTROLE CMM'!#REF!))</f>
        <v/>
      </c>
      <c r="BT21" s="223">
        <f>IF('CONTROLE GLOBO AÇOS'!X23="","",'CONTROLE GLOBO AÇOS'!X23)</f>
        <v/>
      </c>
      <c r="BU21" s="223">
        <f>IF('CONTROLE GLOBO AÇOS'!Y23="","",'CONTROLE GLOBO AÇOS'!Y23)</f>
        <v/>
      </c>
      <c r="BV21" s="223">
        <f>IF(AND('CONTROLE EJ'!U23="",'CONTROLE CMM'!#REF!=""),"",N('CONTROLE EJ'!U23)+N('CONTROLE CMM'!#REF!))</f>
        <v/>
      </c>
      <c r="BW21" s="223">
        <f>IF(#REF!="","",#REF!)</f>
        <v/>
      </c>
    </row>
    <row r="22">
      <c r="A22" s="282" t="n">
        <v>46239</v>
      </c>
      <c r="B22" s="223">
        <f>IF('CONTROLE EJ'!B24="","",'CONTROLE EJ'!B24)</f>
        <v/>
      </c>
      <c r="C22" s="223">
        <f>IF('CONTROLE EJ'!C24="","",'CONTROLE EJ'!C24)</f>
        <v/>
      </c>
      <c r="D22" s="42">
        <f>IF('CONTROLE EJ'!D24="","",'CONTROLE EJ'!D24)</f>
        <v/>
      </c>
      <c r="E22" s="44">
        <f>IF('CONTROLE CMM'!B24="","",'CONTROLE CMM'!B24)</f>
        <v/>
      </c>
      <c r="F22" s="223">
        <f>IF('CONTROLE CMM'!C24="","",'CONTROLE CMM'!C24)</f>
        <v/>
      </c>
      <c r="G22" s="42">
        <f>IF('CONTROLE CMM'!D24="","",'CONTROLE CMM'!D24)</f>
        <v/>
      </c>
      <c r="H22" s="44">
        <f>IF('CONTROLE GLOBO AÇOS'!B24="","",'CONTROLE GLOBO AÇOS'!B24)</f>
        <v/>
      </c>
      <c r="I22" s="223">
        <f>IF('CONTROLE GLOBO AÇOS'!C24="","",'CONTROLE GLOBO AÇOS'!C24)</f>
        <v/>
      </c>
      <c r="J22" s="223">
        <f>IF('CONTROLE GLOBO AÇOS'!D24="","",'CONTROLE GLOBO AÇOS'!D24)</f>
        <v/>
      </c>
      <c r="K22">
        <f>L10/L5</f>
        <v/>
      </c>
      <c r="AD22" s="39">
        <f>IF($A22="",0,IF(AND(WEEKDAY($A22,2)&lt;=5,OR($B22&lt;&gt;"",$C22&lt;&gt;"",$D22&lt;&gt;"")),1,0))</f>
        <v/>
      </c>
      <c r="AE22" s="39">
        <f>IF($A22="",0,IF(AND(WEEKDAY($A22,2)&lt;=5,OR($E22&lt;&gt;"",$F22&lt;&gt;"",$G22&lt;&gt;"")),1,0))</f>
        <v/>
      </c>
      <c r="AF22" s="39">
        <f>MAX(AD22,AE22)</f>
        <v/>
      </c>
      <c r="AH22" s="223">
        <f>IF('CONTROLE GLOBO AÇOS'!E24="","",'CONTROLE GLOBO AÇOS'!E24)</f>
        <v/>
      </c>
      <c r="AI22" s="223">
        <f>IF('CONTROLE GLOBO AÇOS'!F24="","",'CONTROLE GLOBO AÇOS'!F24)</f>
        <v/>
      </c>
      <c r="AJ22" s="223">
        <f>IF(AND('CONTROLE EJ'!E24="",'CONTROLE CMM'!E24=""),"",N('CONTROLE EJ'!E24)+N('CONTROLE CMM'!E24))</f>
        <v/>
      </c>
      <c r="AK22" s="223">
        <f>IF(AND('CONTROLE EJ'!F24="",'CONTROLE CMM'!F24=""),"",N('CONTROLE EJ'!F24)+N('CONTROLE CMM'!F24))</f>
        <v/>
      </c>
      <c r="AL22" s="223">
        <f>IF(AND('CONTROLE EJ'!G24="",'CONTROLE CMM'!G24=""),"",N('CONTROLE EJ'!G24)+N('CONTROLE CMM'!G24))</f>
        <v/>
      </c>
      <c r="AM22" s="223">
        <f>IF(AND('CONTROLE EJ'!H24="",'CONTROLE CMM'!H24=""),"",N('CONTROLE EJ'!H24)+N('CONTROLE CMM'!H24))</f>
        <v/>
      </c>
      <c r="AN22" s="223">
        <f>IF('CONTROLE GLOBO AÇOS'!G24="","",'CONTROLE GLOBO AÇOS'!G24)</f>
        <v/>
      </c>
      <c r="AO22" s="223">
        <f>IF('CONTROLE GLOBO AÇOS'!H24="","",'CONTROLE GLOBO AÇOS'!H24)</f>
        <v/>
      </c>
      <c r="AP22" s="223">
        <f>IF(AND('CONTROLE EJ'!I24="",'CONTROLE CMM'!I24=""),"",N('CONTROLE EJ'!I24)+N('CONTROLE CMM'!I24))</f>
        <v/>
      </c>
      <c r="AQ22" s="223">
        <f>IF(AND('CONTROLE EJ'!J24="",'CONTROLE CMM'!#REF!=""),"",N('CONTROLE EJ'!J24)+N('CONTROLE CMM'!#REF!))</f>
        <v/>
      </c>
      <c r="AR22" s="223">
        <f>IF('CONTROLE GLOBO AÇOS'!I24="","",'CONTROLE GLOBO AÇOS'!I24)</f>
        <v/>
      </c>
      <c r="AS22" s="223">
        <f>IF('CONTROLE GLOBO AÇOS'!J24="","",'CONTROLE GLOBO AÇOS'!J24)</f>
        <v/>
      </c>
      <c r="AT22" s="223">
        <f>IF(#REF!="","",#REF!)</f>
        <v/>
      </c>
      <c r="AU22" s="223">
        <f>IF('CONTROLE GLOBO AÇOS'!K24="","",'CONTROLE GLOBO AÇOS'!K24)</f>
        <v/>
      </c>
      <c r="AV22" s="223">
        <f>IF(AND('CONTROLE EJ'!K24="",'CONTROLE CMM'!#REF!=""),"",N('CONTROLE EJ'!K24)+N('CONTROLE CMM'!#REF!))</f>
        <v/>
      </c>
      <c r="AW22" s="223">
        <f>IF('CONTROLE GLOBO AÇOS'!L24="","",'CONTROLE GLOBO AÇOS'!L24)</f>
        <v/>
      </c>
      <c r="AX22" s="223">
        <f>IF(AND('CONTROLE EJ'!L24="",'CONTROLE CMM'!#REF!=""),"",N('CONTROLE EJ'!L24)+N('CONTROLE CMM'!#REF!))</f>
        <v/>
      </c>
      <c r="AY22" s="223">
        <f>IF('CONTROLE GLOBO AÇOS'!M24="","",'CONTROLE GLOBO AÇOS'!M24)</f>
        <v/>
      </c>
      <c r="AZ22" s="223">
        <f>IF('CONTROLE GLOBO AÇOS'!N24="","",'CONTROLE GLOBO AÇOS'!N24)</f>
        <v/>
      </c>
      <c r="BA22" s="223">
        <f>IF(AND('CONTROLE EJ'!M24="",'CONTROLE CMM'!#REF!=""),"",N('CONTROLE EJ'!M24)+N('CONTROLE CMM'!#REF!))</f>
        <v/>
      </c>
      <c r="BB22" s="223">
        <f>IF(#REF!="","",#REF!)</f>
        <v/>
      </c>
      <c r="BC22" s="223">
        <f>IF('CONTROLE GLOBO AÇOS'!O24="","",'CONTROLE GLOBO AÇOS'!O24)</f>
        <v/>
      </c>
      <c r="BD22" s="223">
        <f>IF(AND('CONTROLE EJ'!N24="",'CONTROLE CMM'!#REF!=""),"",N('CONTROLE EJ'!N24)+N('CONTROLE CMM'!#REF!))</f>
        <v/>
      </c>
      <c r="BE22" s="223">
        <f>IF('CONTROLE GLOBO AÇOS'!P24="","",'CONTROLE GLOBO AÇOS'!P24)</f>
        <v/>
      </c>
      <c r="BF22" s="223">
        <f>IF('CONTROLE GLOBO AÇOS'!Q24="","",'CONTROLE GLOBO AÇOS'!Q24)</f>
        <v/>
      </c>
      <c r="BG22" s="223">
        <f>IF('CONTROLE GLOBO AÇOS'!R24="","",'CONTROLE GLOBO AÇOS'!R24)</f>
        <v/>
      </c>
      <c r="BH22" s="223">
        <f>IF(AND('CONTROLE EJ'!O24="",'CONTROLE CMM'!#REF!=""),"",N('CONTROLE EJ'!O24)+N('CONTROLE CMM'!#REF!))</f>
        <v/>
      </c>
      <c r="BI22" s="223">
        <f>IF('CONTROLE GLOBO AÇOS'!S24="","",'CONTROLE GLOBO AÇOS'!S24)</f>
        <v/>
      </c>
      <c r="BJ22" s="223">
        <f>IF('CONTROLE GLOBO AÇOS'!T24="","",'CONTROLE GLOBO AÇOS'!T24)</f>
        <v/>
      </c>
      <c r="BK22" s="223">
        <f>IF('CONTROLE GLOBO AÇOS'!U24="","",'CONTROLE GLOBO AÇOS'!U24)</f>
        <v/>
      </c>
      <c r="BL22" s="223">
        <f>IF(AND('CONTROLE EJ'!P24="",'CONTROLE CMM'!#REF!=""),"",N('CONTROLE EJ'!P24)+N('CONTROLE CMM'!#REF!))</f>
        <v/>
      </c>
      <c r="BM22" s="223">
        <f>IF(AND('CONTROLE EJ'!Q24="",'CONTROLE CMM'!#REF!=""),"",N('CONTROLE EJ'!Q24)+N('CONTROLE CMM'!#REF!))</f>
        <v/>
      </c>
      <c r="BN22" s="223">
        <f>IF('CONTROLE GLOBO AÇOS'!V24="","",'CONTROLE GLOBO AÇOS'!V24)</f>
        <v/>
      </c>
      <c r="BO22" s="223">
        <f>IF('CONTROLE GLOBO AÇOS'!W24="","",'CONTROLE GLOBO AÇOS'!W24)</f>
        <v/>
      </c>
      <c r="BP22" s="223">
        <f>IF(AND('CONTROLE EJ'!R24="",'CONTROLE CMM'!#REF!=""),"",N('CONTROLE EJ'!R24)+N('CONTROLE CMM'!#REF!))</f>
        <v/>
      </c>
      <c r="BQ22" s="223">
        <f>IF(#REF!="","",#REF!)</f>
        <v/>
      </c>
      <c r="BR22" s="223">
        <f>IF(AND('CONTROLE EJ'!S24="",'CONTROLE CMM'!#REF!=""),"",N('CONTROLE EJ'!S24)+N('CONTROLE CMM'!#REF!))</f>
        <v/>
      </c>
      <c r="BS22" s="223">
        <f>IF(AND('CONTROLE EJ'!T24="",'CONTROLE CMM'!#REF!=""),"",N('CONTROLE EJ'!T24)+N('CONTROLE CMM'!#REF!))</f>
        <v/>
      </c>
      <c r="BT22" s="223">
        <f>IF('CONTROLE GLOBO AÇOS'!X24="","",'CONTROLE GLOBO AÇOS'!X24)</f>
        <v/>
      </c>
      <c r="BU22" s="223">
        <f>IF('CONTROLE GLOBO AÇOS'!Y24="","",'CONTROLE GLOBO AÇOS'!Y24)</f>
        <v/>
      </c>
      <c r="BV22" s="223">
        <f>IF(AND('CONTROLE EJ'!U24="",'CONTROLE CMM'!#REF!=""),"",N('CONTROLE EJ'!U24)+N('CONTROLE CMM'!#REF!))</f>
        <v/>
      </c>
      <c r="BW22" s="223">
        <f>IF(#REF!="","",#REF!)</f>
        <v/>
      </c>
    </row>
    <row r="23">
      <c r="A23" s="282" t="n">
        <v>46240</v>
      </c>
      <c r="B23" s="223">
        <f>IF('CONTROLE EJ'!B25="","",'CONTROLE EJ'!B25)</f>
        <v/>
      </c>
      <c r="C23" s="223">
        <f>IF('CONTROLE EJ'!C25="","",'CONTROLE EJ'!C25)</f>
        <v/>
      </c>
      <c r="D23" s="42">
        <f>IF('CONTROLE EJ'!D25="","",'CONTROLE EJ'!D25)</f>
        <v/>
      </c>
      <c r="E23" s="44">
        <f>IF('CONTROLE CMM'!B25="","",'CONTROLE CMM'!B25)</f>
        <v/>
      </c>
      <c r="F23" s="223">
        <f>IF('CONTROLE CMM'!C25="","",'CONTROLE CMM'!C25)</f>
        <v/>
      </c>
      <c r="G23" s="42">
        <f>IF('CONTROLE CMM'!D25="","",'CONTROLE CMM'!D25)</f>
        <v/>
      </c>
      <c r="H23" s="44">
        <f>IF('CONTROLE GLOBO AÇOS'!B25="","",'CONTROLE GLOBO AÇOS'!B25)</f>
        <v/>
      </c>
      <c r="I23" s="223">
        <f>IF('CONTROLE GLOBO AÇOS'!C25="","",'CONTROLE GLOBO AÇOS'!C25)</f>
        <v/>
      </c>
      <c r="J23" s="223">
        <f>IF('CONTROLE GLOBO AÇOS'!D25="","",'CONTROLE GLOBO AÇOS'!D25)</f>
        <v/>
      </c>
      <c r="AD23" s="39">
        <f>IF($A23="",0,IF(AND(WEEKDAY($A23,2)&lt;=5,OR($B23&lt;&gt;"",$C23&lt;&gt;"",$D23&lt;&gt;"")),1,0))</f>
        <v/>
      </c>
      <c r="AE23" s="39">
        <f>IF($A23="",0,IF(AND(WEEKDAY($A23,2)&lt;=5,OR($E23&lt;&gt;"",$F23&lt;&gt;"",$G23&lt;&gt;"")),1,0))</f>
        <v/>
      </c>
      <c r="AF23" s="39">
        <f>MAX(AD23,AE23)</f>
        <v/>
      </c>
      <c r="AH23" s="223">
        <f>IF('CONTROLE GLOBO AÇOS'!E25="","",'CONTROLE GLOBO AÇOS'!E25)</f>
        <v/>
      </c>
      <c r="AI23" s="223">
        <f>IF('CONTROLE GLOBO AÇOS'!F25="","",'CONTROLE GLOBO AÇOS'!F25)</f>
        <v/>
      </c>
      <c r="AJ23" s="223">
        <f>IF(AND('CONTROLE EJ'!E25="",'CONTROLE CMM'!E25=""),"",N('CONTROLE EJ'!E25)+N('CONTROLE CMM'!E25))</f>
        <v/>
      </c>
      <c r="AK23" s="223">
        <f>IF(AND('CONTROLE EJ'!F25="",'CONTROLE CMM'!F25=""),"",N('CONTROLE EJ'!F25)+N('CONTROLE CMM'!F25))</f>
        <v/>
      </c>
      <c r="AL23" s="223">
        <f>IF(AND('CONTROLE EJ'!G25="",'CONTROLE CMM'!G25=""),"",N('CONTROLE EJ'!G25)+N('CONTROLE CMM'!G25))</f>
        <v/>
      </c>
      <c r="AM23" s="223">
        <f>IF(AND('CONTROLE EJ'!H25="",'CONTROLE CMM'!H25=""),"",N('CONTROLE EJ'!H25)+N('CONTROLE CMM'!H25))</f>
        <v/>
      </c>
      <c r="AN23" s="223">
        <f>IF('CONTROLE GLOBO AÇOS'!G25="","",'CONTROLE GLOBO AÇOS'!G25)</f>
        <v/>
      </c>
      <c r="AO23" s="223">
        <f>IF('CONTROLE GLOBO AÇOS'!H25="","",'CONTROLE GLOBO AÇOS'!H25)</f>
        <v/>
      </c>
      <c r="AP23" s="223">
        <f>IF(AND('CONTROLE EJ'!I25="",'CONTROLE CMM'!I25=""),"",N('CONTROLE EJ'!I25)+N('CONTROLE CMM'!I25))</f>
        <v/>
      </c>
      <c r="AQ23" s="223">
        <f>IF(AND('CONTROLE EJ'!J25="",'CONTROLE CMM'!#REF!=""),"",N('CONTROLE EJ'!J25)+N('CONTROLE CMM'!#REF!))</f>
        <v/>
      </c>
      <c r="AR23" s="223">
        <f>IF('CONTROLE GLOBO AÇOS'!I25="","",'CONTROLE GLOBO AÇOS'!I25)</f>
        <v/>
      </c>
      <c r="AS23" s="223">
        <f>IF('CONTROLE GLOBO AÇOS'!J25="","",'CONTROLE GLOBO AÇOS'!J25)</f>
        <v/>
      </c>
      <c r="AT23" s="223">
        <f>IF(#REF!="","",#REF!)</f>
        <v/>
      </c>
      <c r="AU23" s="223">
        <f>IF('CONTROLE GLOBO AÇOS'!K25="","",'CONTROLE GLOBO AÇOS'!K25)</f>
        <v/>
      </c>
      <c r="AV23" s="223">
        <f>IF(AND('CONTROLE EJ'!K25="",'CONTROLE CMM'!#REF!=""),"",N('CONTROLE EJ'!K25)+N('CONTROLE CMM'!#REF!))</f>
        <v/>
      </c>
      <c r="AW23" s="223">
        <f>IF('CONTROLE GLOBO AÇOS'!L25="","",'CONTROLE GLOBO AÇOS'!L25)</f>
        <v/>
      </c>
      <c r="AX23" s="223">
        <f>IF(AND('CONTROLE EJ'!L25="",'CONTROLE CMM'!#REF!=""),"",N('CONTROLE EJ'!L25)+N('CONTROLE CMM'!#REF!))</f>
        <v/>
      </c>
      <c r="AY23" s="223">
        <f>IF('CONTROLE GLOBO AÇOS'!M25="","",'CONTROLE GLOBO AÇOS'!M25)</f>
        <v/>
      </c>
      <c r="AZ23" s="223">
        <f>IF('CONTROLE GLOBO AÇOS'!N25="","",'CONTROLE GLOBO AÇOS'!N25)</f>
        <v/>
      </c>
      <c r="BA23" s="223">
        <f>IF(AND('CONTROLE EJ'!M25="",'CONTROLE CMM'!#REF!=""),"",N('CONTROLE EJ'!M25)+N('CONTROLE CMM'!#REF!))</f>
        <v/>
      </c>
      <c r="BB23" s="223">
        <f>IF(#REF!="","",#REF!)</f>
        <v/>
      </c>
      <c r="BC23" s="223">
        <f>IF('CONTROLE GLOBO AÇOS'!O25="","",'CONTROLE GLOBO AÇOS'!O25)</f>
        <v/>
      </c>
      <c r="BD23" s="223">
        <f>IF(AND('CONTROLE EJ'!N25="",'CONTROLE CMM'!#REF!=""),"",N('CONTROLE EJ'!N25)+N('CONTROLE CMM'!#REF!))</f>
        <v/>
      </c>
      <c r="BE23" s="223">
        <f>IF('CONTROLE GLOBO AÇOS'!P25="","",'CONTROLE GLOBO AÇOS'!P25)</f>
        <v/>
      </c>
      <c r="BF23" s="223">
        <f>IF('CONTROLE GLOBO AÇOS'!Q25="","",'CONTROLE GLOBO AÇOS'!Q25)</f>
        <v/>
      </c>
      <c r="BG23" s="223">
        <f>IF('CONTROLE GLOBO AÇOS'!R25="","",'CONTROLE GLOBO AÇOS'!R25)</f>
        <v/>
      </c>
      <c r="BH23" s="223">
        <f>IF(AND('CONTROLE EJ'!O25="",'CONTROLE CMM'!#REF!=""),"",N('CONTROLE EJ'!O25)+N('CONTROLE CMM'!#REF!))</f>
        <v/>
      </c>
      <c r="BI23" s="223">
        <f>IF('CONTROLE GLOBO AÇOS'!S25="","",'CONTROLE GLOBO AÇOS'!S25)</f>
        <v/>
      </c>
      <c r="BJ23" s="223">
        <f>IF('CONTROLE GLOBO AÇOS'!T25="","",'CONTROLE GLOBO AÇOS'!T25)</f>
        <v/>
      </c>
      <c r="BK23" s="223">
        <f>IF('CONTROLE GLOBO AÇOS'!U25="","",'CONTROLE GLOBO AÇOS'!U25)</f>
        <v/>
      </c>
      <c r="BL23" s="223">
        <f>IF(AND('CONTROLE EJ'!P25="",'CONTROLE CMM'!#REF!=""),"",N('CONTROLE EJ'!P25)+N('CONTROLE CMM'!#REF!))</f>
        <v/>
      </c>
      <c r="BM23" s="223">
        <f>IF(AND('CONTROLE EJ'!Q25="",'CONTROLE CMM'!#REF!=""),"",N('CONTROLE EJ'!Q25)+N('CONTROLE CMM'!#REF!))</f>
        <v/>
      </c>
      <c r="BN23" s="223">
        <f>IF('CONTROLE GLOBO AÇOS'!V25="","",'CONTROLE GLOBO AÇOS'!V25)</f>
        <v/>
      </c>
      <c r="BO23" s="223">
        <f>IF('CONTROLE GLOBO AÇOS'!W25="","",'CONTROLE GLOBO AÇOS'!W25)</f>
        <v/>
      </c>
      <c r="BP23" s="223">
        <f>IF(AND('CONTROLE EJ'!R25="",'CONTROLE CMM'!#REF!=""),"",N('CONTROLE EJ'!R25)+N('CONTROLE CMM'!#REF!))</f>
        <v/>
      </c>
      <c r="BQ23" s="223">
        <f>IF(#REF!="","",#REF!)</f>
        <v/>
      </c>
      <c r="BR23" s="223">
        <f>IF(AND('CONTROLE EJ'!S25="",'CONTROLE CMM'!#REF!=""),"",N('CONTROLE EJ'!S25)+N('CONTROLE CMM'!#REF!))</f>
        <v/>
      </c>
      <c r="BS23" s="223">
        <f>IF(AND('CONTROLE EJ'!T25="",'CONTROLE CMM'!#REF!=""),"",N('CONTROLE EJ'!T25)+N('CONTROLE CMM'!#REF!))</f>
        <v/>
      </c>
      <c r="BT23" s="223">
        <f>IF('CONTROLE GLOBO AÇOS'!X25="","",'CONTROLE GLOBO AÇOS'!X25)</f>
        <v/>
      </c>
      <c r="BU23" s="223">
        <f>IF('CONTROLE GLOBO AÇOS'!Y25="","",'CONTROLE GLOBO AÇOS'!Y25)</f>
        <v/>
      </c>
      <c r="BV23" s="223">
        <f>IF(AND('CONTROLE EJ'!U25="",'CONTROLE CMM'!#REF!=""),"",N('CONTROLE EJ'!U25)+N('CONTROLE CMM'!#REF!))</f>
        <v/>
      </c>
      <c r="BW23" s="223">
        <f>IF(#REF!="","",#REF!)</f>
        <v/>
      </c>
    </row>
    <row r="24">
      <c r="A24" s="282" t="n">
        <v>46241</v>
      </c>
      <c r="B24" s="223">
        <f>IF('CONTROLE EJ'!B26="","",'CONTROLE EJ'!B26)</f>
        <v/>
      </c>
      <c r="C24" s="223">
        <f>IF('CONTROLE EJ'!C26="","",'CONTROLE EJ'!C26)</f>
        <v/>
      </c>
      <c r="D24" s="42">
        <f>IF('CONTROLE EJ'!D26="","",'CONTROLE EJ'!D26)</f>
        <v/>
      </c>
      <c r="E24" s="44">
        <f>IF('CONTROLE CMM'!B26="","",'CONTROLE CMM'!B26)</f>
        <v/>
      </c>
      <c r="F24" s="223">
        <f>IF('CONTROLE CMM'!C26="","",'CONTROLE CMM'!C26)</f>
        <v/>
      </c>
      <c r="G24" s="42">
        <f>IF('CONTROLE CMM'!D26="","",'CONTROLE CMM'!D26)</f>
        <v/>
      </c>
      <c r="H24" s="44">
        <f>IF('CONTROLE GLOBO AÇOS'!B26="","",'CONTROLE GLOBO AÇOS'!B26)</f>
        <v/>
      </c>
      <c r="I24" s="223">
        <f>IF('CONTROLE GLOBO AÇOS'!C26="","",'CONTROLE GLOBO AÇOS'!C26)</f>
        <v/>
      </c>
      <c r="J24" s="223">
        <f>IF('CONTROLE GLOBO AÇOS'!D26="","",'CONTROLE GLOBO AÇOS'!D26)</f>
        <v/>
      </c>
      <c r="L24" s="62">
        <f>142-33</f>
        <v/>
      </c>
      <c r="M24" t="n">
        <v>11</v>
      </c>
      <c r="AD24" s="39">
        <f>IF($A24="",0,IF(AND(WEEKDAY($A24,2)&lt;=5,OR($B24&lt;&gt;"",$C24&lt;&gt;"",$D24&lt;&gt;"")),1,0))</f>
        <v/>
      </c>
      <c r="AE24" s="39">
        <f>IF($A24="",0,IF(AND(WEEKDAY($A24,2)&lt;=5,OR($E24&lt;&gt;"",$F24&lt;&gt;"",$G24&lt;&gt;"")),1,0))</f>
        <v/>
      </c>
      <c r="AF24" s="39">
        <f>MAX(AD24,AE24)</f>
        <v/>
      </c>
      <c r="AH24" s="223">
        <f>IF('CONTROLE GLOBO AÇOS'!E26="","",'CONTROLE GLOBO AÇOS'!E26)</f>
        <v/>
      </c>
      <c r="AI24" s="223">
        <f>IF('CONTROLE GLOBO AÇOS'!F26="","",'CONTROLE GLOBO AÇOS'!F26)</f>
        <v/>
      </c>
      <c r="AJ24" s="223">
        <f>IF(AND('CONTROLE EJ'!E26="",'CONTROLE CMM'!E26=""),"",N('CONTROLE EJ'!E26)+N('CONTROLE CMM'!E26))</f>
        <v/>
      </c>
      <c r="AK24" s="223">
        <f>IF(AND('CONTROLE EJ'!F26="",'CONTROLE CMM'!F26=""),"",N('CONTROLE EJ'!F26)+N('CONTROLE CMM'!F26))</f>
        <v/>
      </c>
      <c r="AL24" s="223">
        <f>IF(AND('CONTROLE EJ'!G26="",'CONTROLE CMM'!G26=""),"",N('CONTROLE EJ'!G26)+N('CONTROLE CMM'!G26))</f>
        <v/>
      </c>
      <c r="AM24" s="223">
        <f>IF(AND('CONTROLE EJ'!H26="",'CONTROLE CMM'!H26=""),"",N('CONTROLE EJ'!H26)+N('CONTROLE CMM'!H26))</f>
        <v/>
      </c>
      <c r="AN24" s="223">
        <f>IF('CONTROLE GLOBO AÇOS'!G26="","",'CONTROLE GLOBO AÇOS'!G26)</f>
        <v/>
      </c>
      <c r="AO24" s="223">
        <f>IF('CONTROLE GLOBO AÇOS'!H26="","",'CONTROLE GLOBO AÇOS'!H26)</f>
        <v/>
      </c>
      <c r="AP24" s="223">
        <f>IF(AND('CONTROLE EJ'!I26="",'CONTROLE CMM'!I26=""),"",N('CONTROLE EJ'!I26)+N('CONTROLE CMM'!I26))</f>
        <v/>
      </c>
      <c r="AQ24" s="223">
        <f>IF(AND('CONTROLE EJ'!J26="",'CONTROLE CMM'!#REF!=""),"",N('CONTROLE EJ'!J26)+N('CONTROLE CMM'!#REF!))</f>
        <v/>
      </c>
      <c r="AR24" s="223">
        <f>IF('CONTROLE GLOBO AÇOS'!I26="","",'CONTROLE GLOBO AÇOS'!I26)</f>
        <v/>
      </c>
      <c r="AS24" s="223">
        <f>IF('CONTROLE GLOBO AÇOS'!J26="","",'CONTROLE GLOBO AÇOS'!J26)</f>
        <v/>
      </c>
      <c r="AT24" s="223">
        <f>IF(#REF!="","",#REF!)</f>
        <v/>
      </c>
      <c r="AU24" s="223">
        <f>IF('CONTROLE GLOBO AÇOS'!K26="","",'CONTROLE GLOBO AÇOS'!K26)</f>
        <v/>
      </c>
      <c r="AV24" s="223">
        <f>IF(AND('CONTROLE EJ'!K26="",'CONTROLE CMM'!#REF!=""),"",N('CONTROLE EJ'!K26)+N('CONTROLE CMM'!#REF!))</f>
        <v/>
      </c>
      <c r="AW24" s="223">
        <f>IF('CONTROLE GLOBO AÇOS'!L26="","",'CONTROLE GLOBO AÇOS'!L26)</f>
        <v/>
      </c>
      <c r="AX24" s="223">
        <f>IF(AND('CONTROLE EJ'!L26="",'CONTROLE CMM'!#REF!=""),"",N('CONTROLE EJ'!L26)+N('CONTROLE CMM'!#REF!))</f>
        <v/>
      </c>
      <c r="AY24" s="223">
        <f>IF('CONTROLE GLOBO AÇOS'!M26="","",'CONTROLE GLOBO AÇOS'!M26)</f>
        <v/>
      </c>
      <c r="AZ24" s="223">
        <f>IF('CONTROLE GLOBO AÇOS'!N26="","",'CONTROLE GLOBO AÇOS'!N26)</f>
        <v/>
      </c>
      <c r="BA24" s="223">
        <f>IF(AND('CONTROLE EJ'!M26="",'CONTROLE CMM'!#REF!=""),"",N('CONTROLE EJ'!M26)+N('CONTROLE CMM'!#REF!))</f>
        <v/>
      </c>
      <c r="BB24" s="223">
        <f>IF(#REF!="","",#REF!)</f>
        <v/>
      </c>
      <c r="BC24" s="223">
        <f>IF('CONTROLE GLOBO AÇOS'!O26="","",'CONTROLE GLOBO AÇOS'!O26)</f>
        <v/>
      </c>
      <c r="BD24" s="223">
        <f>IF(AND('CONTROLE EJ'!N26="",'CONTROLE CMM'!#REF!=""),"",N('CONTROLE EJ'!N26)+N('CONTROLE CMM'!#REF!))</f>
        <v/>
      </c>
      <c r="BE24" s="223">
        <f>IF('CONTROLE GLOBO AÇOS'!P26="","",'CONTROLE GLOBO AÇOS'!P26)</f>
        <v/>
      </c>
      <c r="BF24" s="223">
        <f>IF('CONTROLE GLOBO AÇOS'!Q26="","",'CONTROLE GLOBO AÇOS'!Q26)</f>
        <v/>
      </c>
      <c r="BG24" s="223">
        <f>IF('CONTROLE GLOBO AÇOS'!R26="","",'CONTROLE GLOBO AÇOS'!R26)</f>
        <v/>
      </c>
      <c r="BH24" s="223">
        <f>IF(AND('CONTROLE EJ'!O26="",'CONTROLE CMM'!#REF!=""),"",N('CONTROLE EJ'!O26)+N('CONTROLE CMM'!#REF!))</f>
        <v/>
      </c>
      <c r="BI24" s="223">
        <f>IF('CONTROLE GLOBO AÇOS'!S26="","",'CONTROLE GLOBO AÇOS'!S26)</f>
        <v/>
      </c>
      <c r="BJ24" s="223">
        <f>IF('CONTROLE GLOBO AÇOS'!T26="","",'CONTROLE GLOBO AÇOS'!T26)</f>
        <v/>
      </c>
      <c r="BK24" s="223">
        <f>IF('CONTROLE GLOBO AÇOS'!U26="","",'CONTROLE GLOBO AÇOS'!U26)</f>
        <v/>
      </c>
      <c r="BL24" s="223">
        <f>IF(AND('CONTROLE EJ'!P26="",'CONTROLE CMM'!#REF!=""),"",N('CONTROLE EJ'!P26)+N('CONTROLE CMM'!#REF!))</f>
        <v/>
      </c>
      <c r="BM24" s="223">
        <f>IF(AND('CONTROLE EJ'!Q26="",'CONTROLE CMM'!#REF!=""),"",N('CONTROLE EJ'!Q26)+N('CONTROLE CMM'!#REF!))</f>
        <v/>
      </c>
      <c r="BN24" s="223">
        <f>IF('CONTROLE GLOBO AÇOS'!V26="","",'CONTROLE GLOBO AÇOS'!V26)</f>
        <v/>
      </c>
      <c r="BO24" s="223">
        <f>IF('CONTROLE GLOBO AÇOS'!W26="","",'CONTROLE GLOBO AÇOS'!W26)</f>
        <v/>
      </c>
      <c r="BP24" s="223">
        <f>IF(AND('CONTROLE EJ'!R26="",'CONTROLE CMM'!#REF!=""),"",N('CONTROLE EJ'!R26)+N('CONTROLE CMM'!#REF!))</f>
        <v/>
      </c>
      <c r="BQ24" s="223">
        <f>IF(#REF!="","",#REF!)</f>
        <v/>
      </c>
      <c r="BR24" s="223">
        <f>IF(AND('CONTROLE EJ'!S26="",'CONTROLE CMM'!#REF!=""),"",N('CONTROLE EJ'!S26)+N('CONTROLE CMM'!#REF!))</f>
        <v/>
      </c>
      <c r="BS24" s="223">
        <f>IF(AND('CONTROLE EJ'!T26="",'CONTROLE CMM'!#REF!=""),"",N('CONTROLE EJ'!T26)+N('CONTROLE CMM'!#REF!))</f>
        <v/>
      </c>
      <c r="BT24" s="223">
        <f>IF('CONTROLE GLOBO AÇOS'!X26="","",'CONTROLE GLOBO AÇOS'!X26)</f>
        <v/>
      </c>
      <c r="BU24" s="223">
        <f>IF('CONTROLE GLOBO AÇOS'!Y26="","",'CONTROLE GLOBO AÇOS'!Y26)</f>
        <v/>
      </c>
      <c r="BV24" s="223">
        <f>IF(AND('CONTROLE EJ'!U26="",'CONTROLE CMM'!#REF!=""),"",N('CONTROLE EJ'!U26)+N('CONTROLE CMM'!#REF!))</f>
        <v/>
      </c>
      <c r="BW24" s="223">
        <f>IF(#REF!="","",#REF!)</f>
        <v/>
      </c>
    </row>
    <row r="25">
      <c r="A25" s="282" t="n">
        <v>46242</v>
      </c>
      <c r="B25" s="223">
        <f>IF('CONTROLE EJ'!B27="","",'CONTROLE EJ'!B27)</f>
        <v/>
      </c>
      <c r="C25" s="223">
        <f>IF('CONTROLE EJ'!C27="","",'CONTROLE EJ'!C27)</f>
        <v/>
      </c>
      <c r="D25" s="42">
        <f>IF('CONTROLE EJ'!D27="","",'CONTROLE EJ'!D27)</f>
        <v/>
      </c>
      <c r="E25" s="44">
        <f>IF('CONTROLE CMM'!B27="","",'CONTROLE CMM'!B27)</f>
        <v/>
      </c>
      <c r="F25" s="223">
        <f>IF('CONTROLE CMM'!C27="","",'CONTROLE CMM'!C27)</f>
        <v/>
      </c>
      <c r="G25" s="42">
        <f>IF('CONTROLE CMM'!D27="","",'CONTROLE CMM'!D27)</f>
        <v/>
      </c>
      <c r="H25" s="44">
        <f>IF('CONTROLE GLOBO AÇOS'!B27="","",'CONTROLE GLOBO AÇOS'!B27)</f>
        <v/>
      </c>
      <c r="I25" s="223">
        <f>IF('CONTROLE GLOBO AÇOS'!C27="","",'CONTROLE GLOBO AÇOS'!C27)</f>
        <v/>
      </c>
      <c r="J25" s="223">
        <f>IF('CONTROLE GLOBO AÇOS'!D27="","",'CONTROLE GLOBO AÇOS'!D27)</f>
        <v/>
      </c>
      <c r="N25" s="222" t="inlineStr">
        <is>
          <t>projeção</t>
        </is>
      </c>
      <c r="AD25" s="39">
        <f>IF($A25="",0,IF(AND(WEEKDAY($A25,2)&lt;=5,OR($B25&lt;&gt;"",$C25&lt;&gt;"",$D25&lt;&gt;"")),1,0))</f>
        <v/>
      </c>
      <c r="AE25" s="39">
        <f>IF($A25="",0,IF(AND(WEEKDAY($A25,2)&lt;=5,OR($E25&lt;&gt;"",$F25&lt;&gt;"",$G25&lt;&gt;"")),1,0))</f>
        <v/>
      </c>
      <c r="AF25" s="39">
        <f>MAX(AD25,AE25)</f>
        <v/>
      </c>
      <c r="AH25" s="223">
        <f>IF('CONTROLE GLOBO AÇOS'!E27="","",'CONTROLE GLOBO AÇOS'!E27)</f>
        <v/>
      </c>
      <c r="AI25" s="223">
        <f>IF('CONTROLE GLOBO AÇOS'!F27="","",'CONTROLE GLOBO AÇOS'!F27)</f>
        <v/>
      </c>
      <c r="AJ25" s="223">
        <f>IF(AND('CONTROLE EJ'!E27="",'CONTROLE CMM'!E27=""),"",N('CONTROLE EJ'!E27)+N('CONTROLE CMM'!E27))</f>
        <v/>
      </c>
      <c r="AK25" s="223">
        <f>IF(AND('CONTROLE EJ'!F27="",'CONTROLE CMM'!F27=""),"",N('CONTROLE EJ'!F27)+N('CONTROLE CMM'!F27))</f>
        <v/>
      </c>
      <c r="AL25" s="223">
        <f>IF(AND('CONTROLE EJ'!G27="",'CONTROLE CMM'!G27=""),"",N('CONTROLE EJ'!G27)+N('CONTROLE CMM'!G27))</f>
        <v/>
      </c>
      <c r="AM25" s="223">
        <f>IF(AND('CONTROLE EJ'!H27="",'CONTROLE CMM'!H27=""),"",N('CONTROLE EJ'!H27)+N('CONTROLE CMM'!H27))</f>
        <v/>
      </c>
      <c r="AN25" s="223">
        <f>IF('CONTROLE GLOBO AÇOS'!G27="","",'CONTROLE GLOBO AÇOS'!G27)</f>
        <v/>
      </c>
      <c r="AO25" s="223">
        <f>IF('CONTROLE GLOBO AÇOS'!H27="","",'CONTROLE GLOBO AÇOS'!H27)</f>
        <v/>
      </c>
      <c r="AP25" s="223">
        <f>IF(AND('CONTROLE EJ'!I27="",'CONTROLE CMM'!I27=""),"",N('CONTROLE EJ'!I27)+N('CONTROLE CMM'!I27))</f>
        <v/>
      </c>
      <c r="AQ25" s="223">
        <f>IF(AND('CONTROLE EJ'!J27="",'CONTROLE CMM'!#REF!=""),"",N('CONTROLE EJ'!J27)+N('CONTROLE CMM'!#REF!))</f>
        <v/>
      </c>
      <c r="AR25" s="223">
        <f>IF('CONTROLE GLOBO AÇOS'!I27="","",'CONTROLE GLOBO AÇOS'!I27)</f>
        <v/>
      </c>
      <c r="AS25" s="223">
        <f>IF('CONTROLE GLOBO AÇOS'!J27="","",'CONTROLE GLOBO AÇOS'!J27)</f>
        <v/>
      </c>
      <c r="AT25" s="223">
        <f>IF(#REF!="","",#REF!)</f>
        <v/>
      </c>
      <c r="AU25" s="223">
        <f>IF('CONTROLE GLOBO AÇOS'!K27="","",'CONTROLE GLOBO AÇOS'!K27)</f>
        <v/>
      </c>
      <c r="AV25" s="223">
        <f>IF(AND('CONTROLE EJ'!K27="",'CONTROLE CMM'!#REF!=""),"",N('CONTROLE EJ'!K27)+N('CONTROLE CMM'!#REF!))</f>
        <v/>
      </c>
      <c r="AW25" s="223">
        <f>IF('CONTROLE GLOBO AÇOS'!L27="","",'CONTROLE GLOBO AÇOS'!L27)</f>
        <v/>
      </c>
      <c r="AX25" s="223">
        <f>IF(AND('CONTROLE EJ'!L27="",'CONTROLE CMM'!#REF!=""),"",N('CONTROLE EJ'!L27)+N('CONTROLE CMM'!#REF!))</f>
        <v/>
      </c>
      <c r="AY25" s="223">
        <f>IF('CONTROLE GLOBO AÇOS'!M27="","",'CONTROLE GLOBO AÇOS'!M27)</f>
        <v/>
      </c>
      <c r="AZ25" s="223">
        <f>IF('CONTROLE GLOBO AÇOS'!N27="","",'CONTROLE GLOBO AÇOS'!N27)</f>
        <v/>
      </c>
      <c r="BA25" s="223">
        <f>IF(AND('CONTROLE EJ'!M27="",'CONTROLE CMM'!#REF!=""),"",N('CONTROLE EJ'!M27)+N('CONTROLE CMM'!#REF!))</f>
        <v/>
      </c>
      <c r="BB25" s="223">
        <f>IF(#REF!="","",#REF!)</f>
        <v/>
      </c>
      <c r="BC25" s="223">
        <f>IF('CONTROLE GLOBO AÇOS'!O27="","",'CONTROLE GLOBO AÇOS'!O27)</f>
        <v/>
      </c>
      <c r="BD25" s="223">
        <f>IF(AND('CONTROLE EJ'!N27="",'CONTROLE CMM'!#REF!=""),"",N('CONTROLE EJ'!N27)+N('CONTROLE CMM'!#REF!))</f>
        <v/>
      </c>
      <c r="BE25" s="223">
        <f>IF('CONTROLE GLOBO AÇOS'!P27="","",'CONTROLE GLOBO AÇOS'!P27)</f>
        <v/>
      </c>
      <c r="BF25" s="223">
        <f>IF('CONTROLE GLOBO AÇOS'!Q27="","",'CONTROLE GLOBO AÇOS'!Q27)</f>
        <v/>
      </c>
      <c r="BG25" s="223">
        <f>IF('CONTROLE GLOBO AÇOS'!R27="","",'CONTROLE GLOBO AÇOS'!R27)</f>
        <v/>
      </c>
      <c r="BH25" s="223">
        <f>IF(AND('CONTROLE EJ'!O27="",'CONTROLE CMM'!#REF!=""),"",N('CONTROLE EJ'!O27)+N('CONTROLE CMM'!#REF!))</f>
        <v/>
      </c>
      <c r="BI25" s="223">
        <f>IF('CONTROLE GLOBO AÇOS'!S27="","",'CONTROLE GLOBO AÇOS'!S27)</f>
        <v/>
      </c>
      <c r="BJ25" s="223">
        <f>IF('CONTROLE GLOBO AÇOS'!T27="","",'CONTROLE GLOBO AÇOS'!T27)</f>
        <v/>
      </c>
      <c r="BK25" s="223">
        <f>IF('CONTROLE GLOBO AÇOS'!U27="","",'CONTROLE GLOBO AÇOS'!U27)</f>
        <v/>
      </c>
      <c r="BL25" s="223">
        <f>IF(AND('CONTROLE EJ'!P27="",'CONTROLE CMM'!#REF!=""),"",N('CONTROLE EJ'!P27)+N('CONTROLE CMM'!#REF!))</f>
        <v/>
      </c>
      <c r="BM25" s="223">
        <f>IF(AND('CONTROLE EJ'!Q27="",'CONTROLE CMM'!#REF!=""),"",N('CONTROLE EJ'!Q27)+N('CONTROLE CMM'!#REF!))</f>
        <v/>
      </c>
      <c r="BN25" s="223">
        <f>IF('CONTROLE GLOBO AÇOS'!V27="","",'CONTROLE GLOBO AÇOS'!V27)</f>
        <v/>
      </c>
      <c r="BO25" s="223">
        <f>IF('CONTROLE GLOBO AÇOS'!W27="","",'CONTROLE GLOBO AÇOS'!W27)</f>
        <v/>
      </c>
      <c r="BP25" s="223">
        <f>IF(AND('CONTROLE EJ'!R27="",'CONTROLE CMM'!#REF!=""),"",N('CONTROLE EJ'!R27)+N('CONTROLE CMM'!#REF!))</f>
        <v/>
      </c>
      <c r="BQ25" s="223">
        <f>IF(#REF!="","",#REF!)</f>
        <v/>
      </c>
      <c r="BR25" s="223">
        <f>IF(AND('CONTROLE EJ'!S27="",'CONTROLE CMM'!#REF!=""),"",N('CONTROLE EJ'!S27)+N('CONTROLE CMM'!#REF!))</f>
        <v/>
      </c>
      <c r="BS25" s="223">
        <f>IF(AND('CONTROLE EJ'!T27="",'CONTROLE CMM'!#REF!=""),"",N('CONTROLE EJ'!T27)+N('CONTROLE CMM'!#REF!))</f>
        <v/>
      </c>
      <c r="BT25" s="223">
        <f>IF('CONTROLE GLOBO AÇOS'!X27="","",'CONTROLE GLOBO AÇOS'!X27)</f>
        <v/>
      </c>
      <c r="BU25" s="223">
        <f>IF('CONTROLE GLOBO AÇOS'!Y27="","",'CONTROLE GLOBO AÇOS'!Y27)</f>
        <v/>
      </c>
      <c r="BV25" s="223">
        <f>IF(AND('CONTROLE EJ'!U27="",'CONTROLE CMM'!#REF!=""),"",N('CONTROLE EJ'!U27)+N('CONTROLE CMM'!#REF!))</f>
        <v/>
      </c>
      <c r="BW25" s="223">
        <f>IF(#REF!="","",#REF!)</f>
        <v/>
      </c>
    </row>
    <row r="26">
      <c r="A26" s="282" t="n">
        <v>46243</v>
      </c>
      <c r="B26" s="223">
        <f>IF('CONTROLE EJ'!B28="","",'CONTROLE EJ'!B28)</f>
        <v/>
      </c>
      <c r="C26" s="223">
        <f>IF('CONTROLE EJ'!C28="","",'CONTROLE EJ'!C28)</f>
        <v/>
      </c>
      <c r="D26" s="42">
        <f>IF('CONTROLE EJ'!D28="","",'CONTROLE EJ'!D28)</f>
        <v/>
      </c>
      <c r="E26" s="44">
        <f>IF('CONTROLE CMM'!B28="","",'CONTROLE CMM'!B28)</f>
        <v/>
      </c>
      <c r="F26" s="223">
        <f>IF('CONTROLE CMM'!C28="","",'CONTROLE CMM'!C28)</f>
        <v/>
      </c>
      <c r="G26" s="42">
        <f>IF('CONTROLE CMM'!D28="","",'CONTROLE CMM'!D28)</f>
        <v/>
      </c>
      <c r="H26" s="44">
        <f>IF('CONTROLE GLOBO AÇOS'!B28="","",'CONTROLE GLOBO AÇOS'!B28)</f>
        <v/>
      </c>
      <c r="I26" s="223">
        <f>IF('CONTROLE GLOBO AÇOS'!C28="","",'CONTROLE GLOBO AÇOS'!C28)</f>
        <v/>
      </c>
      <c r="J26" s="223">
        <f>IF('CONTROLE GLOBO AÇOS'!D28="","",'CONTROLE GLOBO AÇOS'!D28)</f>
        <v/>
      </c>
      <c r="N26" t="inlineStr">
        <is>
          <t>ej</t>
        </is>
      </c>
      <c r="O26">
        <f>L10/6</f>
        <v/>
      </c>
      <c r="P26">
        <f>M10/14</f>
        <v/>
      </c>
      <c r="Q26">
        <f>N10/12</f>
        <v/>
      </c>
      <c r="AD26" s="39">
        <f>IF($A26="",0,IF(AND(WEEKDAY($A26,2)&lt;=5,OR($B26&lt;&gt;"",$C26&lt;&gt;"",$D26&lt;&gt;"")),1,0))</f>
        <v/>
      </c>
      <c r="AE26" s="39">
        <f>IF($A26="",0,IF(AND(WEEKDAY($A26,2)&lt;=5,OR($E26&lt;&gt;"",$F26&lt;&gt;"",$G26&lt;&gt;"")),1,0))</f>
        <v/>
      </c>
      <c r="AF26" s="39">
        <f>MAX(AD26,AE26)</f>
        <v/>
      </c>
      <c r="AH26" s="223">
        <f>IF('CONTROLE GLOBO AÇOS'!E28="","",'CONTROLE GLOBO AÇOS'!E28)</f>
        <v/>
      </c>
      <c r="AI26" s="223">
        <f>IF('CONTROLE GLOBO AÇOS'!F28="","",'CONTROLE GLOBO AÇOS'!F28)</f>
        <v/>
      </c>
      <c r="AJ26" s="223">
        <f>IF(AND('CONTROLE EJ'!E28="",'CONTROLE CMM'!E28=""),"",N('CONTROLE EJ'!E28)+N('CONTROLE CMM'!E28))</f>
        <v/>
      </c>
      <c r="AK26" s="223">
        <f>IF(AND('CONTROLE EJ'!F28="",'CONTROLE CMM'!F28=""),"",N('CONTROLE EJ'!F28)+N('CONTROLE CMM'!F28))</f>
        <v/>
      </c>
      <c r="AL26" s="223">
        <f>IF(AND('CONTROLE EJ'!G28="",'CONTROLE CMM'!G28=""),"",N('CONTROLE EJ'!G28)+N('CONTROLE CMM'!G28))</f>
        <v/>
      </c>
      <c r="AM26" s="223">
        <f>IF(AND('CONTROLE EJ'!H28="",'CONTROLE CMM'!H28=""),"",N('CONTROLE EJ'!H28)+N('CONTROLE CMM'!H28))</f>
        <v/>
      </c>
      <c r="AN26" s="223">
        <f>IF('CONTROLE GLOBO AÇOS'!G28="","",'CONTROLE GLOBO AÇOS'!G28)</f>
        <v/>
      </c>
      <c r="AO26" s="223">
        <f>IF('CONTROLE GLOBO AÇOS'!H28="","",'CONTROLE GLOBO AÇOS'!H28)</f>
        <v/>
      </c>
      <c r="AP26" s="223">
        <f>IF(AND('CONTROLE EJ'!I28="",'CONTROLE CMM'!I28=""),"",N('CONTROLE EJ'!I28)+N('CONTROLE CMM'!I28))</f>
        <v/>
      </c>
      <c r="AQ26" s="223">
        <f>IF(AND('CONTROLE EJ'!J28="",'CONTROLE CMM'!#REF!=""),"",N('CONTROLE EJ'!J28)+N('CONTROLE CMM'!#REF!))</f>
        <v/>
      </c>
      <c r="AR26" s="223">
        <f>IF('CONTROLE GLOBO AÇOS'!I28="","",'CONTROLE GLOBO AÇOS'!I28)</f>
        <v/>
      </c>
      <c r="AS26" s="223">
        <f>IF('CONTROLE GLOBO AÇOS'!J28="","",'CONTROLE GLOBO AÇOS'!J28)</f>
        <v/>
      </c>
      <c r="AT26" s="223">
        <f>IF(#REF!="","",#REF!)</f>
        <v/>
      </c>
      <c r="AU26" s="223">
        <f>IF('CONTROLE GLOBO AÇOS'!K28="","",'CONTROLE GLOBO AÇOS'!K28)</f>
        <v/>
      </c>
      <c r="AV26" s="223">
        <f>IF(AND('CONTROLE EJ'!K28="",'CONTROLE CMM'!#REF!=""),"",N('CONTROLE EJ'!K28)+N('CONTROLE CMM'!#REF!))</f>
        <v/>
      </c>
      <c r="AW26" s="223">
        <f>IF('CONTROLE GLOBO AÇOS'!L28="","",'CONTROLE GLOBO AÇOS'!L28)</f>
        <v/>
      </c>
      <c r="AX26" s="223">
        <f>IF(AND('CONTROLE EJ'!L28="",'CONTROLE CMM'!#REF!=""),"",N('CONTROLE EJ'!L28)+N('CONTROLE CMM'!#REF!))</f>
        <v/>
      </c>
      <c r="AY26" s="223">
        <f>IF('CONTROLE GLOBO AÇOS'!M28="","",'CONTROLE GLOBO AÇOS'!M28)</f>
        <v/>
      </c>
      <c r="AZ26" s="223">
        <f>IF('CONTROLE GLOBO AÇOS'!N28="","",'CONTROLE GLOBO AÇOS'!N28)</f>
        <v/>
      </c>
      <c r="BA26" s="223">
        <f>IF(AND('CONTROLE EJ'!M28="",'CONTROLE CMM'!#REF!=""),"",N('CONTROLE EJ'!M28)+N('CONTROLE CMM'!#REF!))</f>
        <v/>
      </c>
      <c r="BB26" s="223">
        <f>IF(#REF!="","",#REF!)</f>
        <v/>
      </c>
      <c r="BC26" s="223">
        <f>IF('CONTROLE GLOBO AÇOS'!O28="","",'CONTROLE GLOBO AÇOS'!O28)</f>
        <v/>
      </c>
      <c r="BD26" s="223">
        <f>IF(AND('CONTROLE EJ'!N28="",'CONTROLE CMM'!#REF!=""),"",N('CONTROLE EJ'!N28)+N('CONTROLE CMM'!#REF!))</f>
        <v/>
      </c>
      <c r="BE26" s="223">
        <f>IF('CONTROLE GLOBO AÇOS'!P28="","",'CONTROLE GLOBO AÇOS'!P28)</f>
        <v/>
      </c>
      <c r="BF26" s="223">
        <f>IF('CONTROLE GLOBO AÇOS'!Q28="","",'CONTROLE GLOBO AÇOS'!Q28)</f>
        <v/>
      </c>
      <c r="BG26" s="223">
        <f>IF('CONTROLE GLOBO AÇOS'!R28="","",'CONTROLE GLOBO AÇOS'!R28)</f>
        <v/>
      </c>
      <c r="BH26" s="223">
        <f>IF(AND('CONTROLE EJ'!O28="",'CONTROLE CMM'!#REF!=""),"",N('CONTROLE EJ'!O28)+N('CONTROLE CMM'!#REF!))</f>
        <v/>
      </c>
      <c r="BI26" s="223">
        <f>IF('CONTROLE GLOBO AÇOS'!S28="","",'CONTROLE GLOBO AÇOS'!S28)</f>
        <v/>
      </c>
      <c r="BJ26" s="223">
        <f>IF('CONTROLE GLOBO AÇOS'!T28="","",'CONTROLE GLOBO AÇOS'!T28)</f>
        <v/>
      </c>
      <c r="BK26" s="223">
        <f>IF('CONTROLE GLOBO AÇOS'!U28="","",'CONTROLE GLOBO AÇOS'!U28)</f>
        <v/>
      </c>
      <c r="BL26" s="223">
        <f>IF(AND('CONTROLE EJ'!P28="",'CONTROLE CMM'!#REF!=""),"",N('CONTROLE EJ'!P28)+N('CONTROLE CMM'!#REF!))</f>
        <v/>
      </c>
      <c r="BM26" s="223">
        <f>IF(AND('CONTROLE EJ'!Q28="",'CONTROLE CMM'!#REF!=""),"",N('CONTROLE EJ'!Q28)+N('CONTROLE CMM'!#REF!))</f>
        <v/>
      </c>
      <c r="BN26" s="223">
        <f>IF('CONTROLE GLOBO AÇOS'!V28="","",'CONTROLE GLOBO AÇOS'!V28)</f>
        <v/>
      </c>
      <c r="BO26" s="223">
        <f>IF('CONTROLE GLOBO AÇOS'!W28="","",'CONTROLE GLOBO AÇOS'!W28)</f>
        <v/>
      </c>
      <c r="BP26" s="223">
        <f>IF(AND('CONTROLE EJ'!R28="",'CONTROLE CMM'!#REF!=""),"",N('CONTROLE EJ'!R28)+N('CONTROLE CMM'!#REF!))</f>
        <v/>
      </c>
      <c r="BQ26" s="223">
        <f>IF(#REF!="","",#REF!)</f>
        <v/>
      </c>
      <c r="BR26" s="223">
        <f>IF(AND('CONTROLE EJ'!S28="",'CONTROLE CMM'!#REF!=""),"",N('CONTROLE EJ'!S28)+N('CONTROLE CMM'!#REF!))</f>
        <v/>
      </c>
      <c r="BS26" s="223">
        <f>IF(AND('CONTROLE EJ'!T28="",'CONTROLE CMM'!#REF!=""),"",N('CONTROLE EJ'!T28)+N('CONTROLE CMM'!#REF!))</f>
        <v/>
      </c>
      <c r="BT26" s="223">
        <f>IF('CONTROLE GLOBO AÇOS'!X28="","",'CONTROLE GLOBO AÇOS'!X28)</f>
        <v/>
      </c>
      <c r="BU26" s="223">
        <f>IF('CONTROLE GLOBO AÇOS'!Y28="","",'CONTROLE GLOBO AÇOS'!Y28)</f>
        <v/>
      </c>
      <c r="BV26" s="223">
        <f>IF(AND('CONTROLE EJ'!U28="",'CONTROLE CMM'!#REF!=""),"",N('CONTROLE EJ'!U28)+N('CONTROLE CMM'!#REF!))</f>
        <v/>
      </c>
      <c r="BW26" s="223">
        <f>IF(#REF!="","",#REF!)</f>
        <v/>
      </c>
    </row>
    <row r="27">
      <c r="A27" s="282" t="n">
        <v>46244</v>
      </c>
      <c r="B27" s="223">
        <f>IF('CONTROLE EJ'!B29="","",'CONTROLE EJ'!B29)</f>
        <v/>
      </c>
      <c r="C27" s="223">
        <f>IF('CONTROLE EJ'!C29="","",'CONTROLE EJ'!C29)</f>
        <v/>
      </c>
      <c r="D27" s="42">
        <f>IF('CONTROLE EJ'!D29="","",'CONTROLE EJ'!D29)</f>
        <v/>
      </c>
      <c r="E27" s="44">
        <f>IF('CONTROLE CMM'!B29="","",'CONTROLE CMM'!B29)</f>
        <v/>
      </c>
      <c r="F27" s="223">
        <f>IF('CONTROLE CMM'!C29="","",'CONTROLE CMM'!C29)</f>
        <v/>
      </c>
      <c r="G27" s="42">
        <f>IF('CONTROLE CMM'!D29="","",'CONTROLE CMM'!D29)</f>
        <v/>
      </c>
      <c r="H27" s="44">
        <f>IF('CONTROLE GLOBO AÇOS'!B29="","",'CONTROLE GLOBO AÇOS'!B29)</f>
        <v/>
      </c>
      <c r="I27" s="223">
        <f>IF('CONTROLE GLOBO AÇOS'!C29="","",'CONTROLE GLOBO AÇOS'!C29)</f>
        <v/>
      </c>
      <c r="J27" s="223">
        <f>IF('CONTROLE GLOBO AÇOS'!D29="","",'CONTROLE GLOBO AÇOS'!D29)</f>
        <v/>
      </c>
      <c r="N27" t="inlineStr">
        <is>
          <t>cmm</t>
        </is>
      </c>
      <c r="O27">
        <f>P10/6</f>
        <v/>
      </c>
      <c r="P27">
        <f>Q10/14</f>
        <v/>
      </c>
      <c r="Q27">
        <f>R10/12</f>
        <v/>
      </c>
      <c r="AD27" s="39">
        <f>IF($A27="",0,IF(AND(WEEKDAY($A27,2)&lt;=5,OR($B27&lt;&gt;"",$C27&lt;&gt;"",$D27&lt;&gt;"")),1,0))</f>
        <v/>
      </c>
      <c r="AE27" s="39">
        <f>IF($A27="",0,IF(AND(WEEKDAY($A27,2)&lt;=5,OR($E27&lt;&gt;"",$F27&lt;&gt;"",$G27&lt;&gt;"")),1,0))</f>
        <v/>
      </c>
      <c r="AF27" s="39">
        <f>MAX(AD27,AE27)</f>
        <v/>
      </c>
      <c r="AH27" s="223">
        <f>IF('CONTROLE GLOBO AÇOS'!E29="","",'CONTROLE GLOBO AÇOS'!E29)</f>
        <v/>
      </c>
      <c r="AI27" s="223">
        <f>IF('CONTROLE GLOBO AÇOS'!F29="","",'CONTROLE GLOBO AÇOS'!F29)</f>
        <v/>
      </c>
      <c r="AJ27" s="223">
        <f>IF(AND('CONTROLE EJ'!E29="",'CONTROLE CMM'!E29=""),"",N('CONTROLE EJ'!E29)+N('CONTROLE CMM'!E29))</f>
        <v/>
      </c>
      <c r="AK27" s="223">
        <f>IF(AND('CONTROLE EJ'!F29="",'CONTROLE CMM'!F29=""),"",N('CONTROLE EJ'!F29)+N('CONTROLE CMM'!F29))</f>
        <v/>
      </c>
      <c r="AL27" s="223">
        <f>IF(AND('CONTROLE EJ'!G29="",'CONTROLE CMM'!G29=""),"",N('CONTROLE EJ'!G29)+N('CONTROLE CMM'!G29))</f>
        <v/>
      </c>
      <c r="AM27" s="223">
        <f>IF(AND('CONTROLE EJ'!H29="",'CONTROLE CMM'!H29=""),"",N('CONTROLE EJ'!H29)+N('CONTROLE CMM'!H29))</f>
        <v/>
      </c>
      <c r="AN27" s="223">
        <f>IF('CONTROLE GLOBO AÇOS'!G29="","",'CONTROLE GLOBO AÇOS'!G29)</f>
        <v/>
      </c>
      <c r="AO27" s="223">
        <f>IF('CONTROLE GLOBO AÇOS'!H29="","",'CONTROLE GLOBO AÇOS'!H29)</f>
        <v/>
      </c>
      <c r="AP27" s="223">
        <f>IF(AND('CONTROLE EJ'!I29="",'CONTROLE CMM'!I29=""),"",N('CONTROLE EJ'!I29)+N('CONTROLE CMM'!I29))</f>
        <v/>
      </c>
      <c r="AQ27" s="223">
        <f>IF(AND('CONTROLE EJ'!J29="",'CONTROLE CMM'!#REF!=""),"",N('CONTROLE EJ'!J29)+N('CONTROLE CMM'!#REF!))</f>
        <v/>
      </c>
      <c r="AR27" s="223">
        <f>IF('CONTROLE GLOBO AÇOS'!I29="","",'CONTROLE GLOBO AÇOS'!I29)</f>
        <v/>
      </c>
      <c r="AS27" s="223">
        <f>IF('CONTROLE GLOBO AÇOS'!J29="","",'CONTROLE GLOBO AÇOS'!J29)</f>
        <v/>
      </c>
      <c r="AT27" s="223">
        <f>IF(#REF!="","",#REF!)</f>
        <v/>
      </c>
      <c r="AU27" s="223">
        <f>IF('CONTROLE GLOBO AÇOS'!K29="","",'CONTROLE GLOBO AÇOS'!K29)</f>
        <v/>
      </c>
      <c r="AV27" s="223">
        <f>IF(AND('CONTROLE EJ'!K29="",'CONTROLE CMM'!#REF!=""),"",N('CONTROLE EJ'!K29)+N('CONTROLE CMM'!#REF!))</f>
        <v/>
      </c>
      <c r="AW27" s="223">
        <f>IF('CONTROLE GLOBO AÇOS'!L29="","",'CONTROLE GLOBO AÇOS'!L29)</f>
        <v/>
      </c>
      <c r="AX27" s="223">
        <f>IF(AND('CONTROLE EJ'!L29="",'CONTROLE CMM'!#REF!=""),"",N('CONTROLE EJ'!L29)+N('CONTROLE CMM'!#REF!))</f>
        <v/>
      </c>
      <c r="AY27" s="223">
        <f>IF('CONTROLE GLOBO AÇOS'!M29="","",'CONTROLE GLOBO AÇOS'!M29)</f>
        <v/>
      </c>
      <c r="AZ27" s="223">
        <f>IF('CONTROLE GLOBO AÇOS'!N29="","",'CONTROLE GLOBO AÇOS'!N29)</f>
        <v/>
      </c>
      <c r="BA27" s="223">
        <f>IF(AND('CONTROLE EJ'!M29="",'CONTROLE CMM'!#REF!=""),"",N('CONTROLE EJ'!M29)+N('CONTROLE CMM'!#REF!))</f>
        <v/>
      </c>
      <c r="BB27" s="223">
        <f>IF(#REF!="","",#REF!)</f>
        <v/>
      </c>
      <c r="BC27" s="223">
        <f>IF('CONTROLE GLOBO AÇOS'!O29="","",'CONTROLE GLOBO AÇOS'!O29)</f>
        <v/>
      </c>
      <c r="BD27" s="223">
        <f>IF(AND('CONTROLE EJ'!N29="",'CONTROLE CMM'!#REF!=""),"",N('CONTROLE EJ'!N29)+N('CONTROLE CMM'!#REF!))</f>
        <v/>
      </c>
      <c r="BE27" s="223">
        <f>IF('CONTROLE GLOBO AÇOS'!P29="","",'CONTROLE GLOBO AÇOS'!P29)</f>
        <v/>
      </c>
      <c r="BF27" s="223">
        <f>IF('CONTROLE GLOBO AÇOS'!Q29="","",'CONTROLE GLOBO AÇOS'!Q29)</f>
        <v/>
      </c>
      <c r="BG27" s="223">
        <f>IF('CONTROLE GLOBO AÇOS'!R29="","",'CONTROLE GLOBO AÇOS'!R29)</f>
        <v/>
      </c>
      <c r="BH27" s="223">
        <f>IF(AND('CONTROLE EJ'!O29="",'CONTROLE CMM'!#REF!=""),"",N('CONTROLE EJ'!O29)+N('CONTROLE CMM'!#REF!))</f>
        <v/>
      </c>
      <c r="BI27" s="223">
        <f>IF('CONTROLE GLOBO AÇOS'!S29="","",'CONTROLE GLOBO AÇOS'!S29)</f>
        <v/>
      </c>
      <c r="BJ27" s="223">
        <f>IF('CONTROLE GLOBO AÇOS'!T29="","",'CONTROLE GLOBO AÇOS'!T29)</f>
        <v/>
      </c>
      <c r="BK27" s="223">
        <f>IF('CONTROLE GLOBO AÇOS'!U29="","",'CONTROLE GLOBO AÇOS'!U29)</f>
        <v/>
      </c>
      <c r="BL27" s="223">
        <f>IF(AND('CONTROLE EJ'!P29="",'CONTROLE CMM'!#REF!=""),"",N('CONTROLE EJ'!P29)+N('CONTROLE CMM'!#REF!))</f>
        <v/>
      </c>
      <c r="BM27" s="223">
        <f>IF(AND('CONTROLE EJ'!Q29="",'CONTROLE CMM'!#REF!=""),"",N('CONTROLE EJ'!Q29)+N('CONTROLE CMM'!#REF!))</f>
        <v/>
      </c>
      <c r="BN27" s="223">
        <f>IF('CONTROLE GLOBO AÇOS'!V29="","",'CONTROLE GLOBO AÇOS'!V29)</f>
        <v/>
      </c>
      <c r="BO27" s="223">
        <f>IF('CONTROLE GLOBO AÇOS'!W29="","",'CONTROLE GLOBO AÇOS'!W29)</f>
        <v/>
      </c>
      <c r="BP27" s="223">
        <f>IF(AND('CONTROLE EJ'!R29="",'CONTROLE CMM'!#REF!=""),"",N('CONTROLE EJ'!R29)+N('CONTROLE CMM'!#REF!))</f>
        <v/>
      </c>
      <c r="BQ27" s="223">
        <f>IF(#REF!="","",#REF!)</f>
        <v/>
      </c>
      <c r="BR27" s="223">
        <f>IF(AND('CONTROLE EJ'!S29="",'CONTROLE CMM'!#REF!=""),"",N('CONTROLE EJ'!S29)+N('CONTROLE CMM'!#REF!))</f>
        <v/>
      </c>
      <c r="BS27" s="223">
        <f>IF(AND('CONTROLE EJ'!T29="",'CONTROLE CMM'!#REF!=""),"",N('CONTROLE EJ'!T29)+N('CONTROLE CMM'!#REF!))</f>
        <v/>
      </c>
      <c r="BT27" s="223">
        <f>IF('CONTROLE GLOBO AÇOS'!X29="","",'CONTROLE GLOBO AÇOS'!X29)</f>
        <v/>
      </c>
      <c r="BU27" s="223">
        <f>IF('CONTROLE GLOBO AÇOS'!Y29="","",'CONTROLE GLOBO AÇOS'!Y29)</f>
        <v/>
      </c>
      <c r="BV27" s="223">
        <f>IF(AND('CONTROLE EJ'!U29="",'CONTROLE CMM'!#REF!=""),"",N('CONTROLE EJ'!U29)+N('CONTROLE CMM'!#REF!))</f>
        <v/>
      </c>
      <c r="BW27" s="223">
        <f>IF(#REF!="","",#REF!)</f>
        <v/>
      </c>
    </row>
    <row r="28">
      <c r="A28" s="282" t="n">
        <v>46245</v>
      </c>
      <c r="B28" s="223">
        <f>IF('CONTROLE EJ'!B30="","",'CONTROLE EJ'!B30)</f>
        <v/>
      </c>
      <c r="C28" s="223">
        <f>IF('CONTROLE EJ'!C30="","",'CONTROLE EJ'!C30)</f>
        <v/>
      </c>
      <c r="D28" s="42">
        <f>IF('CONTROLE EJ'!D30="","",'CONTROLE EJ'!D30)</f>
        <v/>
      </c>
      <c r="E28" s="44">
        <f>IF('CONTROLE CMM'!B30="","",'CONTROLE CMM'!B30)</f>
        <v/>
      </c>
      <c r="F28" s="223">
        <f>IF('CONTROLE CMM'!C30="","",'CONTROLE CMM'!C30)</f>
        <v/>
      </c>
      <c r="G28" s="42">
        <f>IF('CONTROLE CMM'!D30="","",'CONTROLE CMM'!D30)</f>
        <v/>
      </c>
      <c r="H28" s="44">
        <f>IF('CONTROLE GLOBO AÇOS'!B30="","",'CONTROLE GLOBO AÇOS'!B30)</f>
        <v/>
      </c>
      <c r="I28" s="223">
        <f>IF('CONTROLE GLOBO AÇOS'!C30="","",'CONTROLE GLOBO AÇOS'!C30)</f>
        <v/>
      </c>
      <c r="J28" s="223">
        <f>IF('CONTROLE GLOBO AÇOS'!D30="","",'CONTROLE GLOBO AÇOS'!D30)</f>
        <v/>
      </c>
      <c r="N28" t="inlineStr">
        <is>
          <t>total</t>
        </is>
      </c>
      <c r="O28">
        <f>SUM(O26:O27)</f>
        <v/>
      </c>
      <c r="P28">
        <f>SUM(P26:P27)</f>
        <v/>
      </c>
      <c r="Q28">
        <f>SUM(Q26:Q27)</f>
        <v/>
      </c>
      <c r="T28">
        <f>18*13+42</f>
        <v/>
      </c>
      <c r="U28" t="n">
        <v>42</v>
      </c>
      <c r="AD28" s="39">
        <f>IF($A28="",0,IF(AND(WEEKDAY($A28,2)&lt;=5,OR($B28&lt;&gt;"",$C28&lt;&gt;"",$D28&lt;&gt;"")),1,0))</f>
        <v/>
      </c>
      <c r="AE28" s="39">
        <f>IF($A28="",0,IF(AND(WEEKDAY($A28,2)&lt;=5,OR($E28&lt;&gt;"",$F28&lt;&gt;"",$G28&lt;&gt;"")),1,0))</f>
        <v/>
      </c>
      <c r="AF28" s="39">
        <f>MAX(AD28,AE28)</f>
        <v/>
      </c>
      <c r="AH28" s="223">
        <f>IF('CONTROLE GLOBO AÇOS'!E30="","",'CONTROLE GLOBO AÇOS'!E30)</f>
        <v/>
      </c>
      <c r="AI28" s="223">
        <f>IF('CONTROLE GLOBO AÇOS'!F30="","",'CONTROLE GLOBO AÇOS'!F30)</f>
        <v/>
      </c>
      <c r="AJ28" s="223">
        <f>IF(AND('CONTROLE EJ'!E30="",'CONTROLE CMM'!E30=""),"",N('CONTROLE EJ'!E30)+N('CONTROLE CMM'!E30))</f>
        <v/>
      </c>
      <c r="AK28" s="223">
        <f>IF(AND('CONTROLE EJ'!F30="",'CONTROLE CMM'!F30=""),"",N('CONTROLE EJ'!F30)+N('CONTROLE CMM'!F30))</f>
        <v/>
      </c>
      <c r="AL28" s="223">
        <f>IF(AND('CONTROLE EJ'!G30="",'CONTROLE CMM'!G30=""),"",N('CONTROLE EJ'!G30)+N('CONTROLE CMM'!G30))</f>
        <v/>
      </c>
      <c r="AM28" s="223">
        <f>IF(AND('CONTROLE EJ'!H30="",'CONTROLE CMM'!H30=""),"",N('CONTROLE EJ'!H30)+N('CONTROLE CMM'!H30))</f>
        <v/>
      </c>
      <c r="AN28" s="223">
        <f>IF('CONTROLE GLOBO AÇOS'!G30="","",'CONTROLE GLOBO AÇOS'!G30)</f>
        <v/>
      </c>
      <c r="AO28" s="223">
        <f>IF('CONTROLE GLOBO AÇOS'!H30="","",'CONTROLE GLOBO AÇOS'!H30)</f>
        <v/>
      </c>
      <c r="AP28" s="223">
        <f>IF(AND('CONTROLE EJ'!I30="",'CONTROLE CMM'!I30=""),"",N('CONTROLE EJ'!I30)+N('CONTROLE CMM'!I30))</f>
        <v/>
      </c>
      <c r="AQ28" s="223">
        <f>IF(AND('CONTROLE EJ'!J30="",'CONTROLE CMM'!#REF!=""),"",N('CONTROLE EJ'!J30)+N('CONTROLE CMM'!#REF!))</f>
        <v/>
      </c>
      <c r="AR28" s="223">
        <f>IF('CONTROLE GLOBO AÇOS'!I30="","",'CONTROLE GLOBO AÇOS'!I30)</f>
        <v/>
      </c>
      <c r="AS28" s="223">
        <f>IF('CONTROLE GLOBO AÇOS'!J30="","",'CONTROLE GLOBO AÇOS'!J30)</f>
        <v/>
      </c>
      <c r="AT28" s="223">
        <f>IF(#REF!="","",#REF!)</f>
        <v/>
      </c>
      <c r="AU28" s="223">
        <f>IF('CONTROLE GLOBO AÇOS'!K30="","",'CONTROLE GLOBO AÇOS'!K30)</f>
        <v/>
      </c>
      <c r="AV28" s="223">
        <f>IF(AND('CONTROLE EJ'!K30="",'CONTROLE CMM'!#REF!=""),"",N('CONTROLE EJ'!K30)+N('CONTROLE CMM'!#REF!))</f>
        <v/>
      </c>
      <c r="AW28" s="223">
        <f>IF('CONTROLE GLOBO AÇOS'!L30="","",'CONTROLE GLOBO AÇOS'!L30)</f>
        <v/>
      </c>
      <c r="AX28" s="223">
        <f>IF(AND('CONTROLE EJ'!L30="",'CONTROLE CMM'!#REF!=""),"",N('CONTROLE EJ'!L30)+N('CONTROLE CMM'!#REF!))</f>
        <v/>
      </c>
      <c r="AY28" s="223">
        <f>IF('CONTROLE GLOBO AÇOS'!M30="","",'CONTROLE GLOBO AÇOS'!M30)</f>
        <v/>
      </c>
      <c r="AZ28" s="223">
        <f>IF('CONTROLE GLOBO AÇOS'!N30="","",'CONTROLE GLOBO AÇOS'!N30)</f>
        <v/>
      </c>
      <c r="BA28" s="223">
        <f>IF(AND('CONTROLE EJ'!M30="",'CONTROLE CMM'!#REF!=""),"",N('CONTROLE EJ'!M30)+N('CONTROLE CMM'!#REF!))</f>
        <v/>
      </c>
      <c r="BB28" s="223">
        <f>IF(#REF!="","",#REF!)</f>
        <v/>
      </c>
      <c r="BC28" s="223">
        <f>IF('CONTROLE GLOBO AÇOS'!O30="","",'CONTROLE GLOBO AÇOS'!O30)</f>
        <v/>
      </c>
      <c r="BD28" s="223">
        <f>IF(AND('CONTROLE EJ'!N30="",'CONTROLE CMM'!#REF!=""),"",N('CONTROLE EJ'!N30)+N('CONTROLE CMM'!#REF!))</f>
        <v/>
      </c>
      <c r="BE28" s="223">
        <f>IF('CONTROLE GLOBO AÇOS'!P30="","",'CONTROLE GLOBO AÇOS'!P30)</f>
        <v/>
      </c>
      <c r="BF28" s="223">
        <f>IF('CONTROLE GLOBO AÇOS'!Q30="","",'CONTROLE GLOBO AÇOS'!Q30)</f>
        <v/>
      </c>
      <c r="BG28" s="223">
        <f>IF('CONTROLE GLOBO AÇOS'!R30="","",'CONTROLE GLOBO AÇOS'!R30)</f>
        <v/>
      </c>
      <c r="BH28" s="223">
        <f>IF(AND('CONTROLE EJ'!O30="",'CONTROLE CMM'!#REF!=""),"",N('CONTROLE EJ'!O30)+N('CONTROLE CMM'!#REF!))</f>
        <v/>
      </c>
      <c r="BI28" s="223">
        <f>IF('CONTROLE GLOBO AÇOS'!S30="","",'CONTROLE GLOBO AÇOS'!S30)</f>
        <v/>
      </c>
      <c r="BJ28" s="223">
        <f>IF('CONTROLE GLOBO AÇOS'!T30="","",'CONTROLE GLOBO AÇOS'!T30)</f>
        <v/>
      </c>
      <c r="BK28" s="223">
        <f>IF('CONTROLE GLOBO AÇOS'!U30="","",'CONTROLE GLOBO AÇOS'!U30)</f>
        <v/>
      </c>
      <c r="BL28" s="223">
        <f>IF(AND('CONTROLE EJ'!P30="",'CONTROLE CMM'!#REF!=""),"",N('CONTROLE EJ'!P30)+N('CONTROLE CMM'!#REF!))</f>
        <v/>
      </c>
      <c r="BM28" s="223">
        <f>IF(AND('CONTROLE EJ'!Q30="",'CONTROLE CMM'!#REF!=""),"",N('CONTROLE EJ'!Q30)+N('CONTROLE CMM'!#REF!))</f>
        <v/>
      </c>
      <c r="BN28" s="223">
        <f>IF('CONTROLE GLOBO AÇOS'!V30="","",'CONTROLE GLOBO AÇOS'!V30)</f>
        <v/>
      </c>
      <c r="BO28" s="223">
        <f>IF('CONTROLE GLOBO AÇOS'!W30="","",'CONTROLE GLOBO AÇOS'!W30)</f>
        <v/>
      </c>
      <c r="BP28" s="223">
        <f>IF(AND('CONTROLE EJ'!R30="",'CONTROLE CMM'!#REF!=""),"",N('CONTROLE EJ'!R30)+N('CONTROLE CMM'!#REF!))</f>
        <v/>
      </c>
      <c r="BQ28" s="223">
        <f>IF(#REF!="","",#REF!)</f>
        <v/>
      </c>
      <c r="BR28" s="223">
        <f>IF(AND('CONTROLE EJ'!S30="",'CONTROLE CMM'!#REF!=""),"",N('CONTROLE EJ'!S30)+N('CONTROLE CMM'!#REF!))</f>
        <v/>
      </c>
      <c r="BS28" s="223">
        <f>IF(AND('CONTROLE EJ'!T30="",'CONTROLE CMM'!#REF!=""),"",N('CONTROLE EJ'!T30)+N('CONTROLE CMM'!#REF!))</f>
        <v/>
      </c>
      <c r="BT28" s="223">
        <f>IF('CONTROLE GLOBO AÇOS'!X30="","",'CONTROLE GLOBO AÇOS'!X30)</f>
        <v/>
      </c>
      <c r="BU28" s="223">
        <f>IF('CONTROLE GLOBO AÇOS'!Y30="","",'CONTROLE GLOBO AÇOS'!Y30)</f>
        <v/>
      </c>
      <c r="BV28" s="223">
        <f>IF(AND('CONTROLE EJ'!U30="",'CONTROLE CMM'!#REF!=""),"",N('CONTROLE EJ'!U30)+N('CONTROLE CMM'!#REF!))</f>
        <v/>
      </c>
      <c r="BW28" s="223">
        <f>IF(#REF!="","",#REF!)</f>
        <v/>
      </c>
    </row>
    <row r="29">
      <c r="A29" s="282" t="n">
        <v>46246</v>
      </c>
      <c r="B29" s="223">
        <f>IF('CONTROLE EJ'!B31="","",'CONTROLE EJ'!B31)</f>
        <v/>
      </c>
      <c r="C29" s="223">
        <f>IF('CONTROLE EJ'!C31="","",'CONTROLE EJ'!C31)</f>
        <v/>
      </c>
      <c r="D29" s="42">
        <f>IF('CONTROLE EJ'!D31="","",'CONTROLE EJ'!D31)</f>
        <v/>
      </c>
      <c r="E29" s="44">
        <f>IF('CONTROLE CMM'!B31="","",'CONTROLE CMM'!B31)</f>
        <v/>
      </c>
      <c r="F29" s="223">
        <f>IF('CONTROLE CMM'!C31="","",'CONTROLE CMM'!C31)</f>
        <v/>
      </c>
      <c r="G29" s="42">
        <f>IF('CONTROLE CMM'!D31="","",'CONTROLE CMM'!D31)</f>
        <v/>
      </c>
      <c r="H29" s="44">
        <f>IF('CONTROLE GLOBO AÇOS'!B31="","",'CONTROLE GLOBO AÇOS'!B31)</f>
        <v/>
      </c>
      <c r="I29" s="223">
        <f>IF('CONTROLE GLOBO AÇOS'!C31="","",'CONTROLE GLOBO AÇOS'!C31)</f>
        <v/>
      </c>
      <c r="J29" s="223">
        <f>IF('CONTROLE GLOBO AÇOS'!D31="","",'CONTROLE GLOBO AÇOS'!D31)</f>
        <v/>
      </c>
      <c r="T29">
        <f>T28/2</f>
        <v/>
      </c>
      <c r="AD29" s="39">
        <f>IF($A29="",0,IF(AND(WEEKDAY($A29,2)&lt;=5,OR($B29&lt;&gt;"",$C29&lt;&gt;"",$D29&lt;&gt;"")),1,0))</f>
        <v/>
      </c>
      <c r="AE29" s="39">
        <f>IF($A29="",0,IF(AND(WEEKDAY($A29,2)&lt;=5,OR($E29&lt;&gt;"",$F29&lt;&gt;"",$G29&lt;&gt;"")),1,0))</f>
        <v/>
      </c>
      <c r="AF29" s="39">
        <f>MAX(AD29,AE29)</f>
        <v/>
      </c>
      <c r="AH29" s="223">
        <f>IF('CONTROLE GLOBO AÇOS'!E31="","",'CONTROLE GLOBO AÇOS'!E31)</f>
        <v/>
      </c>
      <c r="AI29" s="223">
        <f>IF('CONTROLE GLOBO AÇOS'!F31="","",'CONTROLE GLOBO AÇOS'!F31)</f>
        <v/>
      </c>
      <c r="AJ29" s="223">
        <f>IF(AND('CONTROLE EJ'!E31="",'CONTROLE CMM'!E31=""),"",N('CONTROLE EJ'!E31)+N('CONTROLE CMM'!E31))</f>
        <v/>
      </c>
      <c r="AK29" s="223">
        <f>IF(AND('CONTROLE EJ'!F31="",'CONTROLE CMM'!F31=""),"",N('CONTROLE EJ'!F31)+N('CONTROLE CMM'!F31))</f>
        <v/>
      </c>
      <c r="AL29" s="223">
        <f>IF(AND('CONTROLE EJ'!G31="",'CONTROLE CMM'!G31=""),"",N('CONTROLE EJ'!G31)+N('CONTROLE CMM'!G31))</f>
        <v/>
      </c>
      <c r="AM29" s="223">
        <f>IF(AND('CONTROLE EJ'!H31="",'CONTROLE CMM'!H31=""),"",N('CONTROLE EJ'!H31)+N('CONTROLE CMM'!H31))</f>
        <v/>
      </c>
      <c r="AN29" s="223">
        <f>IF('CONTROLE GLOBO AÇOS'!G31="","",'CONTROLE GLOBO AÇOS'!G31)</f>
        <v/>
      </c>
      <c r="AO29" s="223">
        <f>IF('CONTROLE GLOBO AÇOS'!H31="","",'CONTROLE GLOBO AÇOS'!H31)</f>
        <v/>
      </c>
      <c r="AP29" s="223">
        <f>IF(AND('CONTROLE EJ'!I31="",'CONTROLE CMM'!I31=""),"",N('CONTROLE EJ'!I31)+N('CONTROLE CMM'!I31))</f>
        <v/>
      </c>
      <c r="AQ29" s="223">
        <f>IF(AND('CONTROLE EJ'!J31="",'CONTROLE CMM'!#REF!=""),"",N('CONTROLE EJ'!J31)+N('CONTROLE CMM'!#REF!))</f>
        <v/>
      </c>
      <c r="AR29" s="223">
        <f>IF('CONTROLE GLOBO AÇOS'!I31="","",'CONTROLE GLOBO AÇOS'!I31)</f>
        <v/>
      </c>
      <c r="AS29" s="223">
        <f>IF('CONTROLE GLOBO AÇOS'!J31="","",'CONTROLE GLOBO AÇOS'!J31)</f>
        <v/>
      </c>
      <c r="AT29" s="223">
        <f>IF(#REF!="","",#REF!)</f>
        <v/>
      </c>
      <c r="AU29" s="223">
        <f>IF('CONTROLE GLOBO AÇOS'!K31="","",'CONTROLE GLOBO AÇOS'!K31)</f>
        <v/>
      </c>
      <c r="AV29" s="223">
        <f>IF(AND('CONTROLE EJ'!K31="",'CONTROLE CMM'!#REF!=""),"",N('CONTROLE EJ'!K31)+N('CONTROLE CMM'!#REF!))</f>
        <v/>
      </c>
      <c r="AW29" s="223">
        <f>IF('CONTROLE GLOBO AÇOS'!L31="","",'CONTROLE GLOBO AÇOS'!L31)</f>
        <v/>
      </c>
      <c r="AX29" s="223">
        <f>IF(AND('CONTROLE EJ'!L31="",'CONTROLE CMM'!#REF!=""),"",N('CONTROLE EJ'!L31)+N('CONTROLE CMM'!#REF!))</f>
        <v/>
      </c>
      <c r="AY29" s="223">
        <f>IF('CONTROLE GLOBO AÇOS'!M31="","",'CONTROLE GLOBO AÇOS'!M31)</f>
        <v/>
      </c>
      <c r="AZ29" s="223">
        <f>IF('CONTROLE GLOBO AÇOS'!N31="","",'CONTROLE GLOBO AÇOS'!N31)</f>
        <v/>
      </c>
      <c r="BA29" s="223">
        <f>IF(AND('CONTROLE EJ'!M31="",'CONTROLE CMM'!#REF!=""),"",N('CONTROLE EJ'!M31)+N('CONTROLE CMM'!#REF!))</f>
        <v/>
      </c>
      <c r="BB29" s="223">
        <f>IF(#REF!="","",#REF!)</f>
        <v/>
      </c>
      <c r="BC29" s="223">
        <f>IF('CONTROLE GLOBO AÇOS'!O31="","",'CONTROLE GLOBO AÇOS'!O31)</f>
        <v/>
      </c>
      <c r="BD29" s="223">
        <f>IF(AND('CONTROLE EJ'!N31="",'CONTROLE CMM'!#REF!=""),"",N('CONTROLE EJ'!N31)+N('CONTROLE CMM'!#REF!))</f>
        <v/>
      </c>
      <c r="BE29" s="223">
        <f>IF('CONTROLE GLOBO AÇOS'!P31="","",'CONTROLE GLOBO AÇOS'!P31)</f>
        <v/>
      </c>
      <c r="BF29" s="223">
        <f>IF('CONTROLE GLOBO AÇOS'!Q31="","",'CONTROLE GLOBO AÇOS'!Q31)</f>
        <v/>
      </c>
      <c r="BG29" s="223">
        <f>IF('CONTROLE GLOBO AÇOS'!R31="","",'CONTROLE GLOBO AÇOS'!R31)</f>
        <v/>
      </c>
      <c r="BH29" s="223">
        <f>IF(AND('CONTROLE EJ'!O31="",'CONTROLE CMM'!#REF!=""),"",N('CONTROLE EJ'!O31)+N('CONTROLE CMM'!#REF!))</f>
        <v/>
      </c>
      <c r="BI29" s="223">
        <f>IF('CONTROLE GLOBO AÇOS'!S31="","",'CONTROLE GLOBO AÇOS'!S31)</f>
        <v/>
      </c>
      <c r="BJ29" s="223">
        <f>IF('CONTROLE GLOBO AÇOS'!T31="","",'CONTROLE GLOBO AÇOS'!T31)</f>
        <v/>
      </c>
      <c r="BK29" s="223">
        <f>IF('CONTROLE GLOBO AÇOS'!U31="","",'CONTROLE GLOBO AÇOS'!U31)</f>
        <v/>
      </c>
      <c r="BL29" s="223">
        <f>IF(AND('CONTROLE EJ'!P31="",'CONTROLE CMM'!#REF!=""),"",N('CONTROLE EJ'!P31)+N('CONTROLE CMM'!#REF!))</f>
        <v/>
      </c>
      <c r="BM29" s="223">
        <f>IF(AND('CONTROLE EJ'!Q31="",'CONTROLE CMM'!#REF!=""),"",N('CONTROLE EJ'!Q31)+N('CONTROLE CMM'!#REF!))</f>
        <v/>
      </c>
      <c r="BN29" s="223">
        <f>IF('CONTROLE GLOBO AÇOS'!V31="","",'CONTROLE GLOBO AÇOS'!V31)</f>
        <v/>
      </c>
      <c r="BO29" s="223">
        <f>IF('CONTROLE GLOBO AÇOS'!W31="","",'CONTROLE GLOBO AÇOS'!W31)</f>
        <v/>
      </c>
      <c r="BP29" s="223">
        <f>IF(AND('CONTROLE EJ'!R31="",'CONTROLE CMM'!#REF!=""),"",N('CONTROLE EJ'!R31)+N('CONTROLE CMM'!#REF!))</f>
        <v/>
      </c>
      <c r="BQ29" s="223">
        <f>IF(#REF!="","",#REF!)</f>
        <v/>
      </c>
      <c r="BR29" s="223">
        <f>IF(AND('CONTROLE EJ'!S31="",'CONTROLE CMM'!#REF!=""),"",N('CONTROLE EJ'!S31)+N('CONTROLE CMM'!#REF!))</f>
        <v/>
      </c>
      <c r="BS29" s="223">
        <f>IF(AND('CONTROLE EJ'!T31="",'CONTROLE CMM'!#REF!=""),"",N('CONTROLE EJ'!T31)+N('CONTROLE CMM'!#REF!))</f>
        <v/>
      </c>
      <c r="BT29" s="223">
        <f>IF('CONTROLE GLOBO AÇOS'!X31="","",'CONTROLE GLOBO AÇOS'!X31)</f>
        <v/>
      </c>
      <c r="BU29" s="223">
        <f>IF('CONTROLE GLOBO AÇOS'!Y31="","",'CONTROLE GLOBO AÇOS'!Y31)</f>
        <v/>
      </c>
      <c r="BV29" s="223">
        <f>IF(AND('CONTROLE EJ'!U31="",'CONTROLE CMM'!#REF!=""),"",N('CONTROLE EJ'!U31)+N('CONTROLE CMM'!#REF!))</f>
        <v/>
      </c>
      <c r="BW29" s="223">
        <f>IF(#REF!="","",#REF!)</f>
        <v/>
      </c>
    </row>
    <row r="30">
      <c r="A30" s="282" t="n">
        <v>46247</v>
      </c>
      <c r="B30" s="223">
        <f>IF('CONTROLE EJ'!B32="","",'CONTROLE EJ'!B32)</f>
        <v/>
      </c>
      <c r="C30" s="223">
        <f>IF('CONTROLE EJ'!C32="","",'CONTROLE EJ'!C32)</f>
        <v/>
      </c>
      <c r="D30" s="42">
        <f>IF('CONTROLE EJ'!D32="","",'CONTROLE EJ'!D32)</f>
        <v/>
      </c>
      <c r="E30" s="44">
        <f>IF('CONTROLE CMM'!B32="","",'CONTROLE CMM'!B32)</f>
        <v/>
      </c>
      <c r="F30" s="223">
        <f>IF('CONTROLE CMM'!C32="","",'CONTROLE CMM'!C32)</f>
        <v/>
      </c>
      <c r="G30" s="42">
        <f>IF('CONTROLE CMM'!D32="","",'CONTROLE CMM'!D32)</f>
        <v/>
      </c>
      <c r="H30" s="44">
        <f>IF('CONTROLE GLOBO AÇOS'!B32="","",'CONTROLE GLOBO AÇOS'!B32)</f>
        <v/>
      </c>
      <c r="I30" s="223">
        <f>IF('CONTROLE GLOBO AÇOS'!C32="","",'CONTROLE GLOBO AÇOS'!C32)</f>
        <v/>
      </c>
      <c r="J30" s="223">
        <f>IF('CONTROLE GLOBO AÇOS'!D32="","",'CONTROLE GLOBO AÇOS'!D32)</f>
        <v/>
      </c>
      <c r="Q30">
        <f>T3</f>
        <v/>
      </c>
      <c r="T30" t="n">
        <v>138</v>
      </c>
      <c r="AD30" s="39">
        <f>IF($A30="",0,IF(AND(WEEKDAY($A30,2)&lt;=5,OR($B30&lt;&gt;"",$C30&lt;&gt;"",$D30&lt;&gt;"")),1,0))</f>
        <v/>
      </c>
      <c r="AE30" s="39">
        <f>IF($A30="",0,IF(AND(WEEKDAY($A30,2)&lt;=5,OR($E30&lt;&gt;"",$F30&lt;&gt;"",$G30&lt;&gt;"")),1,0))</f>
        <v/>
      </c>
      <c r="AF30" s="39">
        <f>MAX(AD30,AE30)</f>
        <v/>
      </c>
      <c r="AH30" s="223">
        <f>IF('CONTROLE GLOBO AÇOS'!E32="","",'CONTROLE GLOBO AÇOS'!E32)</f>
        <v/>
      </c>
      <c r="AI30" s="223">
        <f>IF('CONTROLE GLOBO AÇOS'!F32="","",'CONTROLE GLOBO AÇOS'!F32)</f>
        <v/>
      </c>
      <c r="AJ30" s="223">
        <f>IF(AND('CONTROLE EJ'!E32="",'CONTROLE CMM'!E32=""),"",N('CONTROLE EJ'!E32)+N('CONTROLE CMM'!E32))</f>
        <v/>
      </c>
      <c r="AK30" s="223">
        <f>IF(AND('CONTROLE EJ'!F32="",'CONTROLE CMM'!F32=""),"",N('CONTROLE EJ'!F32)+N('CONTROLE CMM'!F32))</f>
        <v/>
      </c>
      <c r="AL30" s="223">
        <f>IF(AND('CONTROLE EJ'!G32="",'CONTROLE CMM'!G32=""),"",N('CONTROLE EJ'!G32)+N('CONTROLE CMM'!G32))</f>
        <v/>
      </c>
      <c r="AM30" s="223">
        <f>IF(AND('CONTROLE EJ'!H32="",'CONTROLE CMM'!H32=""),"",N('CONTROLE EJ'!H32)+N('CONTROLE CMM'!H32))</f>
        <v/>
      </c>
      <c r="AN30" s="223">
        <f>IF('CONTROLE GLOBO AÇOS'!G32="","",'CONTROLE GLOBO AÇOS'!G32)</f>
        <v/>
      </c>
      <c r="AO30" s="223">
        <f>IF('CONTROLE GLOBO AÇOS'!H32="","",'CONTROLE GLOBO AÇOS'!H32)</f>
        <v/>
      </c>
      <c r="AP30" s="223">
        <f>IF(AND('CONTROLE EJ'!I32="",'CONTROLE CMM'!I32=""),"",N('CONTROLE EJ'!I32)+N('CONTROLE CMM'!I32))</f>
        <v/>
      </c>
      <c r="AQ30" s="223">
        <f>IF(AND('CONTROLE EJ'!J32="",'CONTROLE CMM'!#REF!=""),"",N('CONTROLE EJ'!J32)+N('CONTROLE CMM'!#REF!))</f>
        <v/>
      </c>
      <c r="AR30" s="223">
        <f>IF('CONTROLE GLOBO AÇOS'!I32="","",'CONTROLE GLOBO AÇOS'!I32)</f>
        <v/>
      </c>
      <c r="AS30" s="223">
        <f>IF('CONTROLE GLOBO AÇOS'!J32="","",'CONTROLE GLOBO AÇOS'!J32)</f>
        <v/>
      </c>
      <c r="AT30" s="223">
        <f>IF(#REF!="","",#REF!)</f>
        <v/>
      </c>
      <c r="AU30" s="223">
        <f>IF('CONTROLE GLOBO AÇOS'!K32="","",'CONTROLE GLOBO AÇOS'!K32)</f>
        <v/>
      </c>
      <c r="AV30" s="223">
        <f>IF(AND('CONTROLE EJ'!K32="",'CONTROLE CMM'!#REF!=""),"",N('CONTROLE EJ'!K32)+N('CONTROLE CMM'!#REF!))</f>
        <v/>
      </c>
      <c r="AW30" s="223">
        <f>IF('CONTROLE GLOBO AÇOS'!L32="","",'CONTROLE GLOBO AÇOS'!L32)</f>
        <v/>
      </c>
      <c r="AX30" s="223">
        <f>IF(AND('CONTROLE EJ'!L32="",'CONTROLE CMM'!#REF!=""),"",N('CONTROLE EJ'!L32)+N('CONTROLE CMM'!#REF!))</f>
        <v/>
      </c>
      <c r="AY30" s="223">
        <f>IF('CONTROLE GLOBO AÇOS'!M32="","",'CONTROLE GLOBO AÇOS'!M32)</f>
        <v/>
      </c>
      <c r="AZ30" s="223">
        <f>IF('CONTROLE GLOBO AÇOS'!N32="","",'CONTROLE GLOBO AÇOS'!N32)</f>
        <v/>
      </c>
      <c r="BA30" s="223">
        <f>IF(AND('CONTROLE EJ'!M32="",'CONTROLE CMM'!#REF!=""),"",N('CONTROLE EJ'!M32)+N('CONTROLE CMM'!#REF!))</f>
        <v/>
      </c>
      <c r="BB30" s="223">
        <f>IF(#REF!="","",#REF!)</f>
        <v/>
      </c>
      <c r="BC30" s="223">
        <f>IF('CONTROLE GLOBO AÇOS'!O32="","",'CONTROLE GLOBO AÇOS'!O32)</f>
        <v/>
      </c>
      <c r="BD30" s="223">
        <f>IF(AND('CONTROLE EJ'!N32="",'CONTROLE CMM'!#REF!=""),"",N('CONTROLE EJ'!N32)+N('CONTROLE CMM'!#REF!))</f>
        <v/>
      </c>
      <c r="BE30" s="223">
        <f>IF('CONTROLE GLOBO AÇOS'!P32="","",'CONTROLE GLOBO AÇOS'!P32)</f>
        <v/>
      </c>
      <c r="BF30" s="223">
        <f>IF('CONTROLE GLOBO AÇOS'!Q32="","",'CONTROLE GLOBO AÇOS'!Q32)</f>
        <v/>
      </c>
      <c r="BG30" s="223">
        <f>IF('CONTROLE GLOBO AÇOS'!R32="","",'CONTROLE GLOBO AÇOS'!R32)</f>
        <v/>
      </c>
      <c r="BH30" s="223">
        <f>IF(AND('CONTROLE EJ'!O32="",'CONTROLE CMM'!#REF!=""),"",N('CONTROLE EJ'!O32)+N('CONTROLE CMM'!#REF!))</f>
        <v/>
      </c>
      <c r="BI30" s="223">
        <f>IF('CONTROLE GLOBO AÇOS'!S32="","",'CONTROLE GLOBO AÇOS'!S32)</f>
        <v/>
      </c>
      <c r="BJ30" s="223">
        <f>IF('CONTROLE GLOBO AÇOS'!T32="","",'CONTROLE GLOBO AÇOS'!T32)</f>
        <v/>
      </c>
      <c r="BK30" s="223">
        <f>IF('CONTROLE GLOBO AÇOS'!U32="","",'CONTROLE GLOBO AÇOS'!U32)</f>
        <v/>
      </c>
      <c r="BL30" s="223">
        <f>IF(AND('CONTROLE EJ'!P32="",'CONTROLE CMM'!#REF!=""),"",N('CONTROLE EJ'!P32)+N('CONTROLE CMM'!#REF!))</f>
        <v/>
      </c>
      <c r="BM30" s="223">
        <f>IF(AND('CONTROLE EJ'!Q32="",'CONTROLE CMM'!#REF!=""),"",N('CONTROLE EJ'!Q32)+N('CONTROLE CMM'!#REF!))</f>
        <v/>
      </c>
      <c r="BN30" s="223">
        <f>IF('CONTROLE GLOBO AÇOS'!V32="","",'CONTROLE GLOBO AÇOS'!V32)</f>
        <v/>
      </c>
      <c r="BO30" s="223">
        <f>IF('CONTROLE GLOBO AÇOS'!W32="","",'CONTROLE GLOBO AÇOS'!W32)</f>
        <v/>
      </c>
      <c r="BP30" s="223">
        <f>IF(AND('CONTROLE EJ'!R32="",'CONTROLE CMM'!#REF!=""),"",N('CONTROLE EJ'!R32)+N('CONTROLE CMM'!#REF!))</f>
        <v/>
      </c>
      <c r="BQ30" s="223">
        <f>IF(#REF!="","",#REF!)</f>
        <v/>
      </c>
      <c r="BR30" s="223">
        <f>IF(AND('CONTROLE EJ'!S32="",'CONTROLE CMM'!#REF!=""),"",N('CONTROLE EJ'!S32)+N('CONTROLE CMM'!#REF!))</f>
        <v/>
      </c>
      <c r="BS30" s="223">
        <f>IF(AND('CONTROLE EJ'!T32="",'CONTROLE CMM'!#REF!=""),"",N('CONTROLE EJ'!T32)+N('CONTROLE CMM'!#REF!))</f>
        <v/>
      </c>
      <c r="BT30" s="223">
        <f>IF('CONTROLE GLOBO AÇOS'!X32="","",'CONTROLE GLOBO AÇOS'!X32)</f>
        <v/>
      </c>
      <c r="BU30" s="223">
        <f>IF('CONTROLE GLOBO AÇOS'!Y32="","",'CONTROLE GLOBO AÇOS'!Y32)</f>
        <v/>
      </c>
      <c r="BV30" s="223">
        <f>IF(AND('CONTROLE EJ'!U32="",'CONTROLE CMM'!#REF!=""),"",N('CONTROLE EJ'!U32)+N('CONTROLE CMM'!#REF!))</f>
        <v/>
      </c>
      <c r="BW30" s="223">
        <f>IF(#REF!="","",#REF!)</f>
        <v/>
      </c>
    </row>
    <row r="31">
      <c r="A31" s="282" t="n">
        <v>46248</v>
      </c>
      <c r="B31" s="223">
        <f>IF('CONTROLE EJ'!B33="","",'CONTROLE EJ'!B33)</f>
        <v/>
      </c>
      <c r="C31" s="223">
        <f>IF('CONTROLE EJ'!C33="","",'CONTROLE EJ'!C33)</f>
        <v/>
      </c>
      <c r="D31" s="42">
        <f>IF('CONTROLE EJ'!D33="","",'CONTROLE EJ'!D33)</f>
        <v/>
      </c>
      <c r="E31" s="44">
        <f>IF('CONTROLE CMM'!B33="","",'CONTROLE CMM'!B33)</f>
        <v/>
      </c>
      <c r="F31" s="223">
        <f>IF('CONTROLE CMM'!C33="","",'CONTROLE CMM'!C33)</f>
        <v/>
      </c>
      <c r="G31" s="42">
        <f>IF('CONTROLE CMM'!D33="","",'CONTROLE CMM'!D33)</f>
        <v/>
      </c>
      <c r="H31" s="44">
        <f>IF('CONTROLE GLOBO AÇOS'!B33="","",'CONTROLE GLOBO AÇOS'!B33)</f>
        <v/>
      </c>
      <c r="I31" s="223">
        <f>IF('CONTROLE GLOBO AÇOS'!C33="","",'CONTROLE GLOBO AÇOS'!C33)</f>
        <v/>
      </c>
      <c r="J31" s="223">
        <f>IF('CONTROLE GLOBO AÇOS'!D33="","",'CONTROLE GLOBO AÇOS'!D33)</f>
        <v/>
      </c>
      <c r="O31">
        <f>9*13</f>
        <v/>
      </c>
      <c r="P31" t="n">
        <v>21</v>
      </c>
      <c r="AD31" s="39">
        <f>IF($A31="",0,IF(AND(WEEKDAY($A31,2)&lt;=5,OR($B31&lt;&gt;"",$C31&lt;&gt;"",$D31&lt;&gt;"")),1,0))</f>
        <v/>
      </c>
      <c r="AE31" s="39">
        <f>IF($A31="",0,IF(AND(WEEKDAY($A31,2)&lt;=5,OR($E31&lt;&gt;"",$F31&lt;&gt;"",$G31&lt;&gt;"")),1,0))</f>
        <v/>
      </c>
      <c r="AF31" s="39">
        <f>MAX(AD31,AE31)</f>
        <v/>
      </c>
      <c r="AH31" s="223">
        <f>IF('CONTROLE GLOBO AÇOS'!E33="","",'CONTROLE GLOBO AÇOS'!E33)</f>
        <v/>
      </c>
      <c r="AI31" s="223">
        <f>IF('CONTROLE GLOBO AÇOS'!F33="","",'CONTROLE GLOBO AÇOS'!F33)</f>
        <v/>
      </c>
      <c r="AJ31" s="223">
        <f>IF(AND('CONTROLE EJ'!E33="",'CONTROLE CMM'!E33=""),"",N('CONTROLE EJ'!E33)+N('CONTROLE CMM'!E33))</f>
        <v/>
      </c>
      <c r="AK31" s="223">
        <f>IF(AND('CONTROLE EJ'!F33="",'CONTROLE CMM'!F33=""),"",N('CONTROLE EJ'!F33)+N('CONTROLE CMM'!F33))</f>
        <v/>
      </c>
      <c r="AL31" s="223">
        <f>IF(AND('CONTROLE EJ'!G33="",'CONTROLE CMM'!G33=""),"",N('CONTROLE EJ'!G33)+N('CONTROLE CMM'!G33))</f>
        <v/>
      </c>
      <c r="AM31" s="223">
        <f>IF(AND('CONTROLE EJ'!H33="",'CONTROLE CMM'!H33=""),"",N('CONTROLE EJ'!H33)+N('CONTROLE CMM'!H33))</f>
        <v/>
      </c>
      <c r="AN31" s="223">
        <f>IF('CONTROLE GLOBO AÇOS'!G33="","",'CONTROLE GLOBO AÇOS'!G33)</f>
        <v/>
      </c>
      <c r="AO31" s="223">
        <f>IF('CONTROLE GLOBO AÇOS'!H33="","",'CONTROLE GLOBO AÇOS'!H33)</f>
        <v/>
      </c>
      <c r="AP31" s="223">
        <f>IF(AND('CONTROLE EJ'!I33="",'CONTROLE CMM'!I33=""),"",N('CONTROLE EJ'!I33)+N('CONTROLE CMM'!I33))</f>
        <v/>
      </c>
      <c r="AQ31" s="223">
        <f>IF(AND('CONTROLE EJ'!J33="",'CONTROLE CMM'!#REF!=""),"",N('CONTROLE EJ'!J33)+N('CONTROLE CMM'!#REF!))</f>
        <v/>
      </c>
      <c r="AR31" s="223">
        <f>IF('CONTROLE GLOBO AÇOS'!I33="","",'CONTROLE GLOBO AÇOS'!I33)</f>
        <v/>
      </c>
      <c r="AS31" s="223">
        <f>IF('CONTROLE GLOBO AÇOS'!J33="","",'CONTROLE GLOBO AÇOS'!J33)</f>
        <v/>
      </c>
      <c r="AT31" s="223">
        <f>IF(#REF!="","",#REF!)</f>
        <v/>
      </c>
      <c r="AU31" s="223">
        <f>IF('CONTROLE GLOBO AÇOS'!K33="","",'CONTROLE GLOBO AÇOS'!K33)</f>
        <v/>
      </c>
      <c r="AV31" s="223">
        <f>IF(AND('CONTROLE EJ'!K33="",'CONTROLE CMM'!#REF!=""),"",N('CONTROLE EJ'!K33)+N('CONTROLE CMM'!#REF!))</f>
        <v/>
      </c>
      <c r="AW31" s="223">
        <f>IF('CONTROLE GLOBO AÇOS'!L33="","",'CONTROLE GLOBO AÇOS'!L33)</f>
        <v/>
      </c>
      <c r="AX31" s="223">
        <f>IF(AND('CONTROLE EJ'!L33="",'CONTROLE CMM'!#REF!=""),"",N('CONTROLE EJ'!L33)+N('CONTROLE CMM'!#REF!))</f>
        <v/>
      </c>
      <c r="AY31" s="223">
        <f>IF('CONTROLE GLOBO AÇOS'!M33="","",'CONTROLE GLOBO AÇOS'!M33)</f>
        <v/>
      </c>
      <c r="AZ31" s="223">
        <f>IF('CONTROLE GLOBO AÇOS'!N33="","",'CONTROLE GLOBO AÇOS'!N33)</f>
        <v/>
      </c>
      <c r="BA31" s="223">
        <f>IF(AND('CONTROLE EJ'!M33="",'CONTROLE CMM'!#REF!=""),"",N('CONTROLE EJ'!M33)+N('CONTROLE CMM'!#REF!))</f>
        <v/>
      </c>
      <c r="BB31" s="223">
        <f>IF(#REF!="","",#REF!)</f>
        <v/>
      </c>
      <c r="BC31" s="223">
        <f>IF('CONTROLE GLOBO AÇOS'!O33="","",'CONTROLE GLOBO AÇOS'!O33)</f>
        <v/>
      </c>
      <c r="BD31" s="223">
        <f>IF(AND('CONTROLE EJ'!N33="",'CONTROLE CMM'!#REF!=""),"",N('CONTROLE EJ'!N33)+N('CONTROLE CMM'!#REF!))</f>
        <v/>
      </c>
      <c r="BE31" s="223">
        <f>IF('CONTROLE GLOBO AÇOS'!P33="","",'CONTROLE GLOBO AÇOS'!P33)</f>
        <v/>
      </c>
      <c r="BF31" s="223">
        <f>IF('CONTROLE GLOBO AÇOS'!Q33="","",'CONTROLE GLOBO AÇOS'!Q33)</f>
        <v/>
      </c>
      <c r="BG31" s="223">
        <f>IF('CONTROLE GLOBO AÇOS'!R33="","",'CONTROLE GLOBO AÇOS'!R33)</f>
        <v/>
      </c>
      <c r="BH31" s="223">
        <f>IF(AND('CONTROLE EJ'!O33="",'CONTROLE CMM'!#REF!=""),"",N('CONTROLE EJ'!O33)+N('CONTROLE CMM'!#REF!))</f>
        <v/>
      </c>
      <c r="BI31" s="223">
        <f>IF('CONTROLE GLOBO AÇOS'!S33="","",'CONTROLE GLOBO AÇOS'!S33)</f>
        <v/>
      </c>
      <c r="BJ31" s="223">
        <f>IF('CONTROLE GLOBO AÇOS'!T33="","",'CONTROLE GLOBO AÇOS'!T33)</f>
        <v/>
      </c>
      <c r="BK31" s="223">
        <f>IF('CONTROLE GLOBO AÇOS'!U33="","",'CONTROLE GLOBO AÇOS'!U33)</f>
        <v/>
      </c>
      <c r="BL31" s="223">
        <f>IF(AND('CONTROLE EJ'!P33="",'CONTROLE CMM'!#REF!=""),"",N('CONTROLE EJ'!P33)+N('CONTROLE CMM'!#REF!))</f>
        <v/>
      </c>
      <c r="BM31" s="223">
        <f>IF(AND('CONTROLE EJ'!Q33="",'CONTROLE CMM'!#REF!=""),"",N('CONTROLE EJ'!Q33)+N('CONTROLE CMM'!#REF!))</f>
        <v/>
      </c>
      <c r="BN31" s="223">
        <f>IF('CONTROLE GLOBO AÇOS'!V33="","",'CONTROLE GLOBO AÇOS'!V33)</f>
        <v/>
      </c>
      <c r="BO31" s="223">
        <f>IF('CONTROLE GLOBO AÇOS'!W33="","",'CONTROLE GLOBO AÇOS'!W33)</f>
        <v/>
      </c>
      <c r="BP31" s="223">
        <f>IF(AND('CONTROLE EJ'!R33="",'CONTROLE CMM'!#REF!=""),"",N('CONTROLE EJ'!R33)+N('CONTROLE CMM'!#REF!))</f>
        <v/>
      </c>
      <c r="BQ31" s="223">
        <f>IF(#REF!="","",#REF!)</f>
        <v/>
      </c>
      <c r="BR31" s="223">
        <f>IF(AND('CONTROLE EJ'!S33="",'CONTROLE CMM'!#REF!=""),"",N('CONTROLE EJ'!S33)+N('CONTROLE CMM'!#REF!))</f>
        <v/>
      </c>
      <c r="BS31" s="223">
        <f>IF(AND('CONTROLE EJ'!T33="",'CONTROLE CMM'!#REF!=""),"",N('CONTROLE EJ'!T33)+N('CONTROLE CMM'!#REF!))</f>
        <v/>
      </c>
      <c r="BT31" s="223">
        <f>IF('CONTROLE GLOBO AÇOS'!X33="","",'CONTROLE GLOBO AÇOS'!X33)</f>
        <v/>
      </c>
      <c r="BU31" s="223">
        <f>IF('CONTROLE GLOBO AÇOS'!Y33="","",'CONTROLE GLOBO AÇOS'!Y33)</f>
        <v/>
      </c>
      <c r="BV31" s="223">
        <f>IF(AND('CONTROLE EJ'!U33="",'CONTROLE CMM'!#REF!=""),"",N('CONTROLE EJ'!U33)+N('CONTROLE CMM'!#REF!))</f>
        <v/>
      </c>
      <c r="BW31" s="223">
        <f>IF(#REF!="","",#REF!)</f>
        <v/>
      </c>
    </row>
    <row r="32">
      <c r="A32" s="282" t="n">
        <v>46249</v>
      </c>
      <c r="B32" s="223">
        <f>IF('CONTROLE EJ'!B34="","",'CONTROLE EJ'!B34)</f>
        <v/>
      </c>
      <c r="C32" s="223">
        <f>IF('CONTROLE EJ'!C34="","",'CONTROLE EJ'!C34)</f>
        <v/>
      </c>
      <c r="D32" s="42">
        <f>IF('CONTROLE EJ'!D34="","",'CONTROLE EJ'!D34)</f>
        <v/>
      </c>
      <c r="E32" s="44">
        <f>IF('CONTROLE CMM'!B34="","",'CONTROLE CMM'!B34)</f>
        <v/>
      </c>
      <c r="F32" s="223">
        <f>IF('CONTROLE CMM'!C34="","",'CONTROLE CMM'!C34)</f>
        <v/>
      </c>
      <c r="G32" s="42">
        <f>IF('CONTROLE CMM'!D34="","",'CONTROLE CMM'!D34)</f>
        <v/>
      </c>
      <c r="H32" s="44">
        <f>IF('CONTROLE GLOBO AÇOS'!B34="","",'CONTROLE GLOBO AÇOS'!B34)</f>
        <v/>
      </c>
      <c r="I32" s="223">
        <f>IF('CONTROLE GLOBO AÇOS'!C34="","",'CONTROLE GLOBO AÇOS'!C34)</f>
        <v/>
      </c>
      <c r="J32" s="223">
        <f>IF('CONTROLE GLOBO AÇOS'!D34="","",'CONTROLE GLOBO AÇOS'!D34)</f>
        <v/>
      </c>
      <c r="AD32" s="39">
        <f>IF($A32="",0,IF(AND(WEEKDAY($A32,2)&lt;=5,OR($B32&lt;&gt;"",$C32&lt;&gt;"",$D32&lt;&gt;"")),1,0))</f>
        <v/>
      </c>
      <c r="AE32" s="39">
        <f>IF($A32="",0,IF(AND(WEEKDAY($A32,2)&lt;=5,OR($E32&lt;&gt;"",$F32&lt;&gt;"",$G32&lt;&gt;"")),1,0))</f>
        <v/>
      </c>
      <c r="AF32" s="39">
        <f>MAX(AD32,AE32)</f>
        <v/>
      </c>
      <c r="AH32" s="223">
        <f>IF('CONTROLE GLOBO AÇOS'!E34="","",'CONTROLE GLOBO AÇOS'!E34)</f>
        <v/>
      </c>
      <c r="AI32" s="223">
        <f>IF('CONTROLE GLOBO AÇOS'!F34="","",'CONTROLE GLOBO AÇOS'!F34)</f>
        <v/>
      </c>
      <c r="AJ32" s="223">
        <f>IF(AND('CONTROLE EJ'!E34="",'CONTROLE CMM'!E34=""),"",N('CONTROLE EJ'!E34)+N('CONTROLE CMM'!E34))</f>
        <v/>
      </c>
      <c r="AK32" s="223">
        <f>IF(AND('CONTROLE EJ'!F34="",'CONTROLE CMM'!F34=""),"",N('CONTROLE EJ'!F34)+N('CONTROLE CMM'!F34))</f>
        <v/>
      </c>
      <c r="AL32" s="223">
        <f>IF(AND('CONTROLE EJ'!G34="",'CONTROLE CMM'!G34=""),"",N('CONTROLE EJ'!G34)+N('CONTROLE CMM'!G34))</f>
        <v/>
      </c>
      <c r="AM32" s="223">
        <f>IF(AND('CONTROLE EJ'!H34="",'CONTROLE CMM'!H34=""),"",N('CONTROLE EJ'!H34)+N('CONTROLE CMM'!H34))</f>
        <v/>
      </c>
      <c r="AN32" s="223">
        <f>IF('CONTROLE GLOBO AÇOS'!G34="","",'CONTROLE GLOBO AÇOS'!G34)</f>
        <v/>
      </c>
      <c r="AO32" s="223">
        <f>IF('CONTROLE GLOBO AÇOS'!H34="","",'CONTROLE GLOBO AÇOS'!H34)</f>
        <v/>
      </c>
      <c r="AP32" s="223">
        <f>IF(AND('CONTROLE EJ'!I34="",'CONTROLE CMM'!I34=""),"",N('CONTROLE EJ'!I34)+N('CONTROLE CMM'!I34))</f>
        <v/>
      </c>
      <c r="AQ32" s="223">
        <f>IF(AND('CONTROLE EJ'!J34="",'CONTROLE CMM'!#REF!=""),"",N('CONTROLE EJ'!J34)+N('CONTROLE CMM'!#REF!))</f>
        <v/>
      </c>
      <c r="AR32" s="223">
        <f>IF('CONTROLE GLOBO AÇOS'!I34="","",'CONTROLE GLOBO AÇOS'!I34)</f>
        <v/>
      </c>
      <c r="AS32" s="223">
        <f>IF('CONTROLE GLOBO AÇOS'!J34="","",'CONTROLE GLOBO AÇOS'!J34)</f>
        <v/>
      </c>
      <c r="AT32" s="223">
        <f>IF(#REF!="","",#REF!)</f>
        <v/>
      </c>
      <c r="AU32" s="223">
        <f>IF('CONTROLE GLOBO AÇOS'!K34="","",'CONTROLE GLOBO AÇOS'!K34)</f>
        <v/>
      </c>
      <c r="AV32" s="223">
        <f>IF(AND('CONTROLE EJ'!K34="",'CONTROLE CMM'!#REF!=""),"",N('CONTROLE EJ'!K34)+N('CONTROLE CMM'!#REF!))</f>
        <v/>
      </c>
      <c r="AW32" s="223">
        <f>IF('CONTROLE GLOBO AÇOS'!L34="","",'CONTROLE GLOBO AÇOS'!L34)</f>
        <v/>
      </c>
      <c r="AX32" s="223">
        <f>IF(AND('CONTROLE EJ'!L34="",'CONTROLE CMM'!#REF!=""),"",N('CONTROLE EJ'!L34)+N('CONTROLE CMM'!#REF!))</f>
        <v/>
      </c>
      <c r="AY32" s="223">
        <f>IF('CONTROLE GLOBO AÇOS'!M34="","",'CONTROLE GLOBO AÇOS'!M34)</f>
        <v/>
      </c>
      <c r="AZ32" s="223">
        <f>IF('CONTROLE GLOBO AÇOS'!N34="","",'CONTROLE GLOBO AÇOS'!N34)</f>
        <v/>
      </c>
      <c r="BA32" s="223">
        <f>IF(AND('CONTROLE EJ'!M34="",'CONTROLE CMM'!#REF!=""),"",N('CONTROLE EJ'!M34)+N('CONTROLE CMM'!#REF!))</f>
        <v/>
      </c>
      <c r="BB32" s="223">
        <f>IF(#REF!="","",#REF!)</f>
        <v/>
      </c>
      <c r="BC32" s="223">
        <f>IF('CONTROLE GLOBO AÇOS'!O34="","",'CONTROLE GLOBO AÇOS'!O34)</f>
        <v/>
      </c>
      <c r="BD32" s="223">
        <f>IF(AND('CONTROLE EJ'!N34="",'CONTROLE CMM'!#REF!=""),"",N('CONTROLE EJ'!N34)+N('CONTROLE CMM'!#REF!))</f>
        <v/>
      </c>
      <c r="BE32" s="223">
        <f>IF('CONTROLE GLOBO AÇOS'!P34="","",'CONTROLE GLOBO AÇOS'!P34)</f>
        <v/>
      </c>
      <c r="BF32" s="223">
        <f>IF('CONTROLE GLOBO AÇOS'!Q34="","",'CONTROLE GLOBO AÇOS'!Q34)</f>
        <v/>
      </c>
      <c r="BG32" s="223">
        <f>IF('CONTROLE GLOBO AÇOS'!R34="","",'CONTROLE GLOBO AÇOS'!R34)</f>
        <v/>
      </c>
      <c r="BH32" s="223">
        <f>IF(AND('CONTROLE EJ'!O34="",'CONTROLE CMM'!#REF!=""),"",N('CONTROLE EJ'!O34)+N('CONTROLE CMM'!#REF!))</f>
        <v/>
      </c>
      <c r="BI32" s="223">
        <f>IF('CONTROLE GLOBO AÇOS'!S34="","",'CONTROLE GLOBO AÇOS'!S34)</f>
        <v/>
      </c>
      <c r="BJ32" s="223">
        <f>IF('CONTROLE GLOBO AÇOS'!T34="","",'CONTROLE GLOBO AÇOS'!T34)</f>
        <v/>
      </c>
      <c r="BK32" s="223">
        <f>IF('CONTROLE GLOBO AÇOS'!U34="","",'CONTROLE GLOBO AÇOS'!U34)</f>
        <v/>
      </c>
      <c r="BL32" s="223">
        <f>IF(AND('CONTROLE EJ'!P34="",'CONTROLE CMM'!#REF!=""),"",N('CONTROLE EJ'!P34)+N('CONTROLE CMM'!#REF!))</f>
        <v/>
      </c>
      <c r="BM32" s="223">
        <f>IF(AND('CONTROLE EJ'!Q34="",'CONTROLE CMM'!#REF!=""),"",N('CONTROLE EJ'!Q34)+N('CONTROLE CMM'!#REF!))</f>
        <v/>
      </c>
      <c r="BN32" s="223">
        <f>IF('CONTROLE GLOBO AÇOS'!V34="","",'CONTROLE GLOBO AÇOS'!V34)</f>
        <v/>
      </c>
      <c r="BO32" s="223">
        <f>IF('CONTROLE GLOBO AÇOS'!W34="","",'CONTROLE GLOBO AÇOS'!W34)</f>
        <v/>
      </c>
      <c r="BP32" s="223">
        <f>IF(AND('CONTROLE EJ'!R34="",'CONTROLE CMM'!#REF!=""),"",N('CONTROLE EJ'!R34)+N('CONTROLE CMM'!#REF!))</f>
        <v/>
      </c>
      <c r="BQ32" s="223">
        <f>IF(#REF!="","",#REF!)</f>
        <v/>
      </c>
      <c r="BR32" s="223">
        <f>IF(AND('CONTROLE EJ'!S34="",'CONTROLE CMM'!#REF!=""),"",N('CONTROLE EJ'!S34)+N('CONTROLE CMM'!#REF!))</f>
        <v/>
      </c>
      <c r="BS32" s="223">
        <f>IF(AND('CONTROLE EJ'!T34="",'CONTROLE CMM'!#REF!=""),"",N('CONTROLE EJ'!T34)+N('CONTROLE CMM'!#REF!))</f>
        <v/>
      </c>
      <c r="BT32" s="223">
        <f>IF('CONTROLE GLOBO AÇOS'!X34="","",'CONTROLE GLOBO AÇOS'!X34)</f>
        <v/>
      </c>
      <c r="BU32" s="223">
        <f>IF('CONTROLE GLOBO AÇOS'!Y34="","",'CONTROLE GLOBO AÇOS'!Y34)</f>
        <v/>
      </c>
      <c r="BV32" s="223">
        <f>IF(AND('CONTROLE EJ'!U34="",'CONTROLE CMM'!#REF!=""),"",N('CONTROLE EJ'!U34)+N('CONTROLE CMM'!#REF!))</f>
        <v/>
      </c>
      <c r="BW32" s="223">
        <f>IF(#REF!="","",#REF!)</f>
        <v/>
      </c>
    </row>
    <row r="33">
      <c r="A33" s="282" t="n">
        <v>46250</v>
      </c>
      <c r="B33" s="223">
        <f>IF('CONTROLE EJ'!B35="","",'CONTROLE EJ'!B35)</f>
        <v/>
      </c>
      <c r="C33" s="223">
        <f>IF('CONTROLE EJ'!C35="","",'CONTROLE EJ'!C35)</f>
        <v/>
      </c>
      <c r="D33" s="42">
        <f>IF('CONTROLE EJ'!D35="","",'CONTROLE EJ'!D35)</f>
        <v/>
      </c>
      <c r="E33" s="44">
        <f>IF('CONTROLE CMM'!B35="","",'CONTROLE CMM'!B35)</f>
        <v/>
      </c>
      <c r="F33" s="223">
        <f>IF('CONTROLE CMM'!C35="","",'CONTROLE CMM'!C35)</f>
        <v/>
      </c>
      <c r="G33" s="42">
        <f>IF('CONTROLE CMM'!D35="","",'CONTROLE CMM'!D35)</f>
        <v/>
      </c>
      <c r="H33" s="44">
        <f>IF('CONTROLE GLOBO AÇOS'!B35="","",'CONTROLE GLOBO AÇOS'!B35)</f>
        <v/>
      </c>
      <c r="I33" s="223">
        <f>IF('CONTROLE GLOBO AÇOS'!C35="","",'CONTROLE GLOBO AÇOS'!C35)</f>
        <v/>
      </c>
      <c r="J33" s="223">
        <f>IF('CONTROLE GLOBO AÇOS'!D35="","",'CONTROLE GLOBO AÇOS'!D35)</f>
        <v/>
      </c>
      <c r="P33">
        <f>138*2</f>
        <v/>
      </c>
      <c r="AD33" s="39">
        <f>IF($A33="",0,IF(AND(WEEKDAY($A33,2)&lt;=5,OR($B33&lt;&gt;"",$C33&lt;&gt;"",$D33&lt;&gt;"")),1,0))</f>
        <v/>
      </c>
      <c r="AE33" s="39">
        <f>IF($A33="",0,IF(AND(WEEKDAY($A33,2)&lt;=5,OR($E33&lt;&gt;"",$F33&lt;&gt;"",$G33&lt;&gt;"")),1,0))</f>
        <v/>
      </c>
      <c r="AF33" s="39">
        <f>MAX(AD33,AE33)</f>
        <v/>
      </c>
      <c r="AH33" s="223">
        <f>IF('CONTROLE GLOBO AÇOS'!E35="","",'CONTROLE GLOBO AÇOS'!E35)</f>
        <v/>
      </c>
      <c r="AI33" s="223">
        <f>IF('CONTROLE GLOBO AÇOS'!F35="","",'CONTROLE GLOBO AÇOS'!F35)</f>
        <v/>
      </c>
      <c r="AJ33" s="223">
        <f>IF(AND('CONTROLE EJ'!E35="",'CONTROLE CMM'!E35=""),"",N('CONTROLE EJ'!E35)+N('CONTROLE CMM'!E35))</f>
        <v/>
      </c>
      <c r="AK33" s="223">
        <f>IF(AND('CONTROLE EJ'!F35="",'CONTROLE CMM'!F35=""),"",N('CONTROLE EJ'!F35)+N('CONTROLE CMM'!F35))</f>
        <v/>
      </c>
      <c r="AL33" s="223">
        <f>IF(AND('CONTROLE EJ'!G35="",'CONTROLE CMM'!G35=""),"",N('CONTROLE EJ'!G35)+N('CONTROLE CMM'!G35))</f>
        <v/>
      </c>
      <c r="AM33" s="223">
        <f>IF(AND('CONTROLE EJ'!H35="",'CONTROLE CMM'!H35=""),"",N('CONTROLE EJ'!H35)+N('CONTROLE CMM'!H35))</f>
        <v/>
      </c>
      <c r="AN33" s="223">
        <f>IF('CONTROLE GLOBO AÇOS'!G35="","",'CONTROLE GLOBO AÇOS'!G35)</f>
        <v/>
      </c>
      <c r="AO33" s="223">
        <f>IF('CONTROLE GLOBO AÇOS'!H35="","",'CONTROLE GLOBO AÇOS'!H35)</f>
        <v/>
      </c>
      <c r="AP33" s="223">
        <f>IF(AND('CONTROLE EJ'!I35="",'CONTROLE CMM'!I35=""),"",N('CONTROLE EJ'!I35)+N('CONTROLE CMM'!I35))</f>
        <v/>
      </c>
      <c r="AQ33" s="223">
        <f>IF(AND('CONTROLE EJ'!J35="",'CONTROLE CMM'!#REF!=""),"",N('CONTROLE EJ'!J35)+N('CONTROLE CMM'!#REF!))</f>
        <v/>
      </c>
      <c r="AR33" s="223">
        <f>IF('CONTROLE GLOBO AÇOS'!I35="","",'CONTROLE GLOBO AÇOS'!I35)</f>
        <v/>
      </c>
      <c r="AS33" s="223">
        <f>IF('CONTROLE GLOBO AÇOS'!J35="","",'CONTROLE GLOBO AÇOS'!J35)</f>
        <v/>
      </c>
      <c r="AT33" s="223">
        <f>IF(#REF!="","",#REF!)</f>
        <v/>
      </c>
      <c r="AU33" s="223">
        <f>IF('CONTROLE GLOBO AÇOS'!K35="","",'CONTROLE GLOBO AÇOS'!K35)</f>
        <v/>
      </c>
      <c r="AV33" s="223">
        <f>IF(AND('CONTROLE EJ'!K35="",'CONTROLE CMM'!#REF!=""),"",N('CONTROLE EJ'!K35)+N('CONTROLE CMM'!#REF!))</f>
        <v/>
      </c>
      <c r="AW33" s="223">
        <f>IF('CONTROLE GLOBO AÇOS'!L35="","",'CONTROLE GLOBO AÇOS'!L35)</f>
        <v/>
      </c>
      <c r="AX33" s="223">
        <f>IF(AND('CONTROLE EJ'!L35="",'CONTROLE CMM'!#REF!=""),"",N('CONTROLE EJ'!L35)+N('CONTROLE CMM'!#REF!))</f>
        <v/>
      </c>
      <c r="AY33" s="223">
        <f>IF('CONTROLE GLOBO AÇOS'!M35="","",'CONTROLE GLOBO AÇOS'!M35)</f>
        <v/>
      </c>
      <c r="AZ33" s="223">
        <f>IF('CONTROLE GLOBO AÇOS'!N35="","",'CONTROLE GLOBO AÇOS'!N35)</f>
        <v/>
      </c>
      <c r="BA33" s="223">
        <f>IF(AND('CONTROLE EJ'!M35="",'CONTROLE CMM'!#REF!=""),"",N('CONTROLE EJ'!M35)+N('CONTROLE CMM'!#REF!))</f>
        <v/>
      </c>
      <c r="BB33" s="223">
        <f>IF(#REF!="","",#REF!)</f>
        <v/>
      </c>
      <c r="BC33" s="223">
        <f>IF('CONTROLE GLOBO AÇOS'!O35="","",'CONTROLE GLOBO AÇOS'!O35)</f>
        <v/>
      </c>
      <c r="BD33" s="223">
        <f>IF(AND('CONTROLE EJ'!N35="",'CONTROLE CMM'!#REF!=""),"",N('CONTROLE EJ'!N35)+N('CONTROLE CMM'!#REF!))</f>
        <v/>
      </c>
      <c r="BE33" s="223">
        <f>IF('CONTROLE GLOBO AÇOS'!P35="","",'CONTROLE GLOBO AÇOS'!P35)</f>
        <v/>
      </c>
      <c r="BF33" s="223">
        <f>IF('CONTROLE GLOBO AÇOS'!Q35="","",'CONTROLE GLOBO AÇOS'!Q35)</f>
        <v/>
      </c>
      <c r="BG33" s="223">
        <f>IF('CONTROLE GLOBO AÇOS'!R35="","",'CONTROLE GLOBO AÇOS'!R35)</f>
        <v/>
      </c>
      <c r="BH33" s="223">
        <f>IF(AND('CONTROLE EJ'!O35="",'CONTROLE CMM'!#REF!=""),"",N('CONTROLE EJ'!O35)+N('CONTROLE CMM'!#REF!))</f>
        <v/>
      </c>
      <c r="BI33" s="223">
        <f>IF('CONTROLE GLOBO AÇOS'!S35="","",'CONTROLE GLOBO AÇOS'!S35)</f>
        <v/>
      </c>
      <c r="BJ33" s="223">
        <f>IF('CONTROLE GLOBO AÇOS'!T35="","",'CONTROLE GLOBO AÇOS'!T35)</f>
        <v/>
      </c>
      <c r="BK33" s="223">
        <f>IF('CONTROLE GLOBO AÇOS'!U35="","",'CONTROLE GLOBO AÇOS'!U35)</f>
        <v/>
      </c>
      <c r="BL33" s="223">
        <f>IF(AND('CONTROLE EJ'!P35="",'CONTROLE CMM'!#REF!=""),"",N('CONTROLE EJ'!P35)+N('CONTROLE CMM'!#REF!))</f>
        <v/>
      </c>
      <c r="BM33" s="223">
        <f>IF(AND('CONTROLE EJ'!Q35="",'CONTROLE CMM'!#REF!=""),"",N('CONTROLE EJ'!Q35)+N('CONTROLE CMM'!#REF!))</f>
        <v/>
      </c>
      <c r="BN33" s="223">
        <f>IF('CONTROLE GLOBO AÇOS'!V35="","",'CONTROLE GLOBO AÇOS'!V35)</f>
        <v/>
      </c>
      <c r="BO33" s="223">
        <f>IF('CONTROLE GLOBO AÇOS'!W35="","",'CONTROLE GLOBO AÇOS'!W35)</f>
        <v/>
      </c>
      <c r="BP33" s="223">
        <f>IF(AND('CONTROLE EJ'!R35="",'CONTROLE CMM'!#REF!=""),"",N('CONTROLE EJ'!R35)+N('CONTROLE CMM'!#REF!))</f>
        <v/>
      </c>
      <c r="BQ33" s="223">
        <f>IF(#REF!="","",#REF!)</f>
        <v/>
      </c>
      <c r="BR33" s="223">
        <f>IF(AND('CONTROLE EJ'!S35="",'CONTROLE CMM'!#REF!=""),"",N('CONTROLE EJ'!S35)+N('CONTROLE CMM'!#REF!))</f>
        <v/>
      </c>
      <c r="BS33" s="223">
        <f>IF(AND('CONTROLE EJ'!T35="",'CONTROLE CMM'!#REF!=""),"",N('CONTROLE EJ'!T35)+N('CONTROLE CMM'!#REF!))</f>
        <v/>
      </c>
      <c r="BT33" s="223">
        <f>IF('CONTROLE GLOBO AÇOS'!X35="","",'CONTROLE GLOBO AÇOS'!X35)</f>
        <v/>
      </c>
      <c r="BU33" s="223">
        <f>IF('CONTROLE GLOBO AÇOS'!Y35="","",'CONTROLE GLOBO AÇOS'!Y35)</f>
        <v/>
      </c>
      <c r="BV33" s="223">
        <f>IF(AND('CONTROLE EJ'!U35="",'CONTROLE CMM'!#REF!=""),"",N('CONTROLE EJ'!U35)+N('CONTROLE CMM'!#REF!))</f>
        <v/>
      </c>
      <c r="BW33" s="223">
        <f>IF(#REF!="","",#REF!)</f>
        <v/>
      </c>
    </row>
    <row r="34">
      <c r="A34" s="282" t="n">
        <v>46251</v>
      </c>
      <c r="B34" s="223">
        <f>IF('CONTROLE EJ'!B36="","",'CONTROLE EJ'!B36)</f>
        <v/>
      </c>
      <c r="C34" s="223">
        <f>IF('CONTROLE EJ'!C36="","",'CONTROLE EJ'!C36)</f>
        <v/>
      </c>
      <c r="D34" s="42">
        <f>IF('CONTROLE EJ'!D36="","",'CONTROLE EJ'!D36)</f>
        <v/>
      </c>
      <c r="E34" s="44">
        <f>IF('CONTROLE CMM'!B36="","",'CONTROLE CMM'!B36)</f>
        <v/>
      </c>
      <c r="F34" s="223">
        <f>IF('CONTROLE CMM'!C36="","",'CONTROLE CMM'!C36)</f>
        <v/>
      </c>
      <c r="G34" s="42">
        <f>IF('CONTROLE CMM'!D36="","",'CONTROLE CMM'!D36)</f>
        <v/>
      </c>
      <c r="H34" s="44">
        <f>IF('CONTROLE GLOBO AÇOS'!B36="","",'CONTROLE GLOBO AÇOS'!B36)</f>
        <v/>
      </c>
      <c r="I34" s="223">
        <f>IF('CONTROLE GLOBO AÇOS'!C36="","",'CONTROLE GLOBO AÇOS'!C36)</f>
        <v/>
      </c>
      <c r="J34" s="223">
        <f>IF('CONTROLE GLOBO AÇOS'!D36="","",'CONTROLE GLOBO AÇOS'!D36)</f>
        <v/>
      </c>
      <c r="AD34" s="39">
        <f>IF($A34="",0,IF(AND(WEEKDAY($A34,2)&lt;=5,OR($B34&lt;&gt;"",$C34&lt;&gt;"",$D34&lt;&gt;"")),1,0))</f>
        <v/>
      </c>
      <c r="AE34" s="39">
        <f>IF($A34="",0,IF(AND(WEEKDAY($A34,2)&lt;=5,OR($E34&lt;&gt;"",$F34&lt;&gt;"",$G34&lt;&gt;"")),1,0))</f>
        <v/>
      </c>
      <c r="AF34" s="39">
        <f>MAX(AD34,AE34)</f>
        <v/>
      </c>
      <c r="AH34" s="223">
        <f>IF('CONTROLE GLOBO AÇOS'!E36="","",'CONTROLE GLOBO AÇOS'!E36)</f>
        <v/>
      </c>
      <c r="AI34" s="223">
        <f>IF('CONTROLE GLOBO AÇOS'!F36="","",'CONTROLE GLOBO AÇOS'!F36)</f>
        <v/>
      </c>
      <c r="AJ34" s="223">
        <f>IF(AND('CONTROLE EJ'!E36="",'CONTROLE CMM'!E36=""),"",N('CONTROLE EJ'!E36)+N('CONTROLE CMM'!E36))</f>
        <v/>
      </c>
      <c r="AK34" s="223">
        <f>IF(AND('CONTROLE EJ'!F36="",'CONTROLE CMM'!F36=""),"",N('CONTROLE EJ'!F36)+N('CONTROLE CMM'!F36))</f>
        <v/>
      </c>
      <c r="AL34" s="223">
        <f>IF(AND('CONTROLE EJ'!G36="",'CONTROLE CMM'!G36=""),"",N('CONTROLE EJ'!G36)+N('CONTROLE CMM'!G36))</f>
        <v/>
      </c>
      <c r="AM34" s="223">
        <f>IF(AND('CONTROLE EJ'!H36="",'CONTROLE CMM'!H36=""),"",N('CONTROLE EJ'!H36)+N('CONTROLE CMM'!H36))</f>
        <v/>
      </c>
      <c r="AN34" s="223">
        <f>IF('CONTROLE GLOBO AÇOS'!G36="","",'CONTROLE GLOBO AÇOS'!G36)</f>
        <v/>
      </c>
      <c r="AO34" s="223">
        <f>IF('CONTROLE GLOBO AÇOS'!H36="","",'CONTROLE GLOBO AÇOS'!H36)</f>
        <v/>
      </c>
      <c r="AP34" s="223">
        <f>IF(AND('CONTROLE EJ'!I36="",'CONTROLE CMM'!I36=""),"",N('CONTROLE EJ'!I36)+N('CONTROLE CMM'!I36))</f>
        <v/>
      </c>
      <c r="AQ34" s="223">
        <f>IF(AND('CONTROLE EJ'!J36="",'CONTROLE CMM'!#REF!=""),"",N('CONTROLE EJ'!J36)+N('CONTROLE CMM'!#REF!))</f>
        <v/>
      </c>
      <c r="AR34" s="223">
        <f>IF('CONTROLE GLOBO AÇOS'!I36="","",'CONTROLE GLOBO AÇOS'!I36)</f>
        <v/>
      </c>
      <c r="AS34" s="223">
        <f>IF('CONTROLE GLOBO AÇOS'!J36="","",'CONTROLE GLOBO AÇOS'!J36)</f>
        <v/>
      </c>
      <c r="AT34" s="223">
        <f>IF(#REF!="","",#REF!)</f>
        <v/>
      </c>
      <c r="AU34" s="223">
        <f>IF('CONTROLE GLOBO AÇOS'!K36="","",'CONTROLE GLOBO AÇOS'!K36)</f>
        <v/>
      </c>
      <c r="AV34" s="223">
        <f>IF(AND('CONTROLE EJ'!K36="",'CONTROLE CMM'!#REF!=""),"",N('CONTROLE EJ'!K36)+N('CONTROLE CMM'!#REF!))</f>
        <v/>
      </c>
      <c r="AW34" s="223">
        <f>IF('CONTROLE GLOBO AÇOS'!L36="","",'CONTROLE GLOBO AÇOS'!L36)</f>
        <v/>
      </c>
      <c r="AX34" s="223">
        <f>IF(AND('CONTROLE EJ'!L36="",'CONTROLE CMM'!#REF!=""),"",N('CONTROLE EJ'!L36)+N('CONTROLE CMM'!#REF!))</f>
        <v/>
      </c>
      <c r="AY34" s="223">
        <f>IF('CONTROLE GLOBO AÇOS'!M36="","",'CONTROLE GLOBO AÇOS'!M36)</f>
        <v/>
      </c>
      <c r="AZ34" s="223">
        <f>IF('CONTROLE GLOBO AÇOS'!N36="","",'CONTROLE GLOBO AÇOS'!N36)</f>
        <v/>
      </c>
      <c r="BA34" s="223">
        <f>IF(AND('CONTROLE EJ'!M36="",'CONTROLE CMM'!#REF!=""),"",N('CONTROLE EJ'!M36)+N('CONTROLE CMM'!#REF!))</f>
        <v/>
      </c>
      <c r="BB34" s="223">
        <f>IF(#REF!="","",#REF!)</f>
        <v/>
      </c>
      <c r="BC34" s="223">
        <f>IF('CONTROLE GLOBO AÇOS'!O36="","",'CONTROLE GLOBO AÇOS'!O36)</f>
        <v/>
      </c>
      <c r="BD34" s="223">
        <f>IF(AND('CONTROLE EJ'!N36="",'CONTROLE CMM'!#REF!=""),"",N('CONTROLE EJ'!N36)+N('CONTROLE CMM'!#REF!))</f>
        <v/>
      </c>
      <c r="BE34" s="223">
        <f>IF('CONTROLE GLOBO AÇOS'!P36="","",'CONTROLE GLOBO AÇOS'!P36)</f>
        <v/>
      </c>
      <c r="BF34" s="223">
        <f>IF('CONTROLE GLOBO AÇOS'!Q36="","",'CONTROLE GLOBO AÇOS'!Q36)</f>
        <v/>
      </c>
      <c r="BG34" s="223">
        <f>IF('CONTROLE GLOBO AÇOS'!R36="","",'CONTROLE GLOBO AÇOS'!R36)</f>
        <v/>
      </c>
      <c r="BH34" s="223">
        <f>IF(AND('CONTROLE EJ'!O36="",'CONTROLE CMM'!#REF!=""),"",N('CONTROLE EJ'!O36)+N('CONTROLE CMM'!#REF!))</f>
        <v/>
      </c>
      <c r="BI34" s="223">
        <f>IF('CONTROLE GLOBO AÇOS'!S36="","",'CONTROLE GLOBO AÇOS'!S36)</f>
        <v/>
      </c>
      <c r="BJ34" s="223">
        <f>IF('CONTROLE GLOBO AÇOS'!T36="","",'CONTROLE GLOBO AÇOS'!T36)</f>
        <v/>
      </c>
      <c r="BK34" s="223">
        <f>IF('CONTROLE GLOBO AÇOS'!U36="","",'CONTROLE GLOBO AÇOS'!U36)</f>
        <v/>
      </c>
      <c r="BL34" s="223">
        <f>IF(AND('CONTROLE EJ'!P36="",'CONTROLE CMM'!#REF!=""),"",N('CONTROLE EJ'!P36)+N('CONTROLE CMM'!#REF!))</f>
        <v/>
      </c>
      <c r="BM34" s="223">
        <f>IF(AND('CONTROLE EJ'!Q36="",'CONTROLE CMM'!#REF!=""),"",N('CONTROLE EJ'!Q36)+N('CONTROLE CMM'!#REF!))</f>
        <v/>
      </c>
      <c r="BN34" s="223">
        <f>IF('CONTROLE GLOBO AÇOS'!V36="","",'CONTROLE GLOBO AÇOS'!V36)</f>
        <v/>
      </c>
      <c r="BO34" s="223">
        <f>IF('CONTROLE GLOBO AÇOS'!W36="","",'CONTROLE GLOBO AÇOS'!W36)</f>
        <v/>
      </c>
      <c r="BP34" s="223">
        <f>IF(AND('CONTROLE EJ'!R36="",'CONTROLE CMM'!#REF!=""),"",N('CONTROLE EJ'!R36)+N('CONTROLE CMM'!#REF!))</f>
        <v/>
      </c>
      <c r="BQ34" s="223">
        <f>IF(#REF!="","",#REF!)</f>
        <v/>
      </c>
      <c r="BR34" s="223">
        <f>IF(AND('CONTROLE EJ'!S36="",'CONTROLE CMM'!#REF!=""),"",N('CONTROLE EJ'!S36)+N('CONTROLE CMM'!#REF!))</f>
        <v/>
      </c>
      <c r="BS34" s="223">
        <f>IF(AND('CONTROLE EJ'!T36="",'CONTROLE CMM'!#REF!=""),"",N('CONTROLE EJ'!T36)+N('CONTROLE CMM'!#REF!))</f>
        <v/>
      </c>
      <c r="BT34" s="223">
        <f>IF('CONTROLE GLOBO AÇOS'!X36="","",'CONTROLE GLOBO AÇOS'!X36)</f>
        <v/>
      </c>
      <c r="BU34" s="223">
        <f>IF('CONTROLE GLOBO AÇOS'!Y36="","",'CONTROLE GLOBO AÇOS'!Y36)</f>
        <v/>
      </c>
      <c r="BV34" s="223">
        <f>IF(AND('CONTROLE EJ'!U36="",'CONTROLE CMM'!#REF!=""),"",N('CONTROLE EJ'!U36)+N('CONTROLE CMM'!#REF!))</f>
        <v/>
      </c>
      <c r="BW34" s="223">
        <f>IF(#REF!="","",#REF!)</f>
        <v/>
      </c>
    </row>
    <row r="35">
      <c r="A35" s="282" t="n">
        <v>46252</v>
      </c>
      <c r="B35" s="223">
        <f>IF('CONTROLE EJ'!B37="","",'CONTROLE EJ'!B37)</f>
        <v/>
      </c>
      <c r="C35" s="223">
        <f>IF('CONTROLE EJ'!C37="","",'CONTROLE EJ'!C37)</f>
        <v/>
      </c>
      <c r="D35" s="42">
        <f>IF('CONTROLE EJ'!D37="","",'CONTROLE EJ'!D37)</f>
        <v/>
      </c>
      <c r="E35" s="44">
        <f>IF('CONTROLE CMM'!B37="","",'CONTROLE CMM'!B37)</f>
        <v/>
      </c>
      <c r="F35" s="223">
        <f>IF('CONTROLE CMM'!C37="","",'CONTROLE CMM'!C37)</f>
        <v/>
      </c>
      <c r="G35" s="42">
        <f>IF('CONTROLE CMM'!D37="","",'CONTROLE CMM'!D37)</f>
        <v/>
      </c>
      <c r="H35" s="44">
        <f>IF('CONTROLE GLOBO AÇOS'!B37="","",'CONTROLE GLOBO AÇOS'!B37)</f>
        <v/>
      </c>
      <c r="I35" s="223">
        <f>IF('CONTROLE GLOBO AÇOS'!C37="","",'CONTROLE GLOBO AÇOS'!C37)</f>
        <v/>
      </c>
      <c r="J35" s="223">
        <f>IF('CONTROLE GLOBO AÇOS'!D37="","",'CONTROLE GLOBO AÇOS'!D37)</f>
        <v/>
      </c>
      <c r="AD35" s="39">
        <f>IF($A35="",0,IF(AND(WEEKDAY($A35,2)&lt;=5,OR($B35&lt;&gt;"",$C35&lt;&gt;"",$D35&lt;&gt;"")),1,0))</f>
        <v/>
      </c>
      <c r="AE35" s="39">
        <f>IF($A35="",0,IF(AND(WEEKDAY($A35,2)&lt;=5,OR($E35&lt;&gt;"",$F35&lt;&gt;"",$G35&lt;&gt;"")),1,0))</f>
        <v/>
      </c>
      <c r="AF35" s="39">
        <f>MAX(AD35,AE35)</f>
        <v/>
      </c>
      <c r="AH35" s="223">
        <f>IF('CONTROLE GLOBO AÇOS'!E37="","",'CONTROLE GLOBO AÇOS'!E37)</f>
        <v/>
      </c>
      <c r="AI35" s="223">
        <f>IF('CONTROLE GLOBO AÇOS'!F37="","",'CONTROLE GLOBO AÇOS'!F37)</f>
        <v/>
      </c>
      <c r="AJ35" s="223">
        <f>IF(AND('CONTROLE EJ'!E37="",'CONTROLE CMM'!E37=""),"",N('CONTROLE EJ'!E37)+N('CONTROLE CMM'!E37))</f>
        <v/>
      </c>
      <c r="AK35" s="223">
        <f>IF(AND('CONTROLE EJ'!F37="",'CONTROLE CMM'!F37=""),"",N('CONTROLE EJ'!F37)+N('CONTROLE CMM'!F37))</f>
        <v/>
      </c>
      <c r="AL35" s="223">
        <f>IF(AND('CONTROLE EJ'!G37="",'CONTROLE CMM'!G37=""),"",N('CONTROLE EJ'!G37)+N('CONTROLE CMM'!G37))</f>
        <v/>
      </c>
      <c r="AM35" s="223">
        <f>IF(AND('CONTROLE EJ'!H37="",'CONTROLE CMM'!H37=""),"",N('CONTROLE EJ'!H37)+N('CONTROLE CMM'!H37))</f>
        <v/>
      </c>
      <c r="AN35" s="223">
        <f>IF('CONTROLE GLOBO AÇOS'!G37="","",'CONTROLE GLOBO AÇOS'!G37)</f>
        <v/>
      </c>
      <c r="AO35" s="223">
        <f>IF('CONTROLE GLOBO AÇOS'!H37="","",'CONTROLE GLOBO AÇOS'!H37)</f>
        <v/>
      </c>
      <c r="AP35" s="223">
        <f>IF(AND('CONTROLE EJ'!I37="",'CONTROLE CMM'!I37=""),"",N('CONTROLE EJ'!I37)+N('CONTROLE CMM'!I37))</f>
        <v/>
      </c>
      <c r="AQ35" s="223">
        <f>IF(AND('CONTROLE EJ'!J37="",'CONTROLE CMM'!#REF!=""),"",N('CONTROLE EJ'!J37)+N('CONTROLE CMM'!#REF!))</f>
        <v/>
      </c>
      <c r="AR35" s="223">
        <f>IF('CONTROLE GLOBO AÇOS'!I37="","",'CONTROLE GLOBO AÇOS'!I37)</f>
        <v/>
      </c>
      <c r="AS35" s="223">
        <f>IF('CONTROLE GLOBO AÇOS'!J37="","",'CONTROLE GLOBO AÇOS'!J37)</f>
        <v/>
      </c>
      <c r="AT35" s="223">
        <f>IF(#REF!="","",#REF!)</f>
        <v/>
      </c>
      <c r="AU35" s="223">
        <f>IF('CONTROLE GLOBO AÇOS'!K37="","",'CONTROLE GLOBO AÇOS'!K37)</f>
        <v/>
      </c>
      <c r="AV35" s="223">
        <f>IF(AND('CONTROLE EJ'!K37="",'CONTROLE CMM'!#REF!=""),"",N('CONTROLE EJ'!K37)+N('CONTROLE CMM'!#REF!))</f>
        <v/>
      </c>
      <c r="AW35" s="223">
        <f>IF('CONTROLE GLOBO AÇOS'!L37="","",'CONTROLE GLOBO AÇOS'!L37)</f>
        <v/>
      </c>
      <c r="AX35" s="223">
        <f>IF(AND('CONTROLE EJ'!L37="",'CONTROLE CMM'!#REF!=""),"",N('CONTROLE EJ'!L37)+N('CONTROLE CMM'!#REF!))</f>
        <v/>
      </c>
      <c r="AY35" s="223">
        <f>IF('CONTROLE GLOBO AÇOS'!M37="","",'CONTROLE GLOBO AÇOS'!M37)</f>
        <v/>
      </c>
      <c r="AZ35" s="223">
        <f>IF('CONTROLE GLOBO AÇOS'!N37="","",'CONTROLE GLOBO AÇOS'!N37)</f>
        <v/>
      </c>
      <c r="BA35" s="223">
        <f>IF(AND('CONTROLE EJ'!M37="",'CONTROLE CMM'!#REF!=""),"",N('CONTROLE EJ'!M37)+N('CONTROLE CMM'!#REF!))</f>
        <v/>
      </c>
      <c r="BB35" s="223">
        <f>IF(#REF!="","",#REF!)</f>
        <v/>
      </c>
      <c r="BC35" s="223">
        <f>IF('CONTROLE GLOBO AÇOS'!O37="","",'CONTROLE GLOBO AÇOS'!O37)</f>
        <v/>
      </c>
      <c r="BD35" s="223">
        <f>IF(AND('CONTROLE EJ'!N37="",'CONTROLE CMM'!#REF!=""),"",N('CONTROLE EJ'!N37)+N('CONTROLE CMM'!#REF!))</f>
        <v/>
      </c>
      <c r="BE35" s="223">
        <f>IF('CONTROLE GLOBO AÇOS'!P37="","",'CONTROLE GLOBO AÇOS'!P37)</f>
        <v/>
      </c>
      <c r="BF35" s="223">
        <f>IF('CONTROLE GLOBO AÇOS'!Q37="","",'CONTROLE GLOBO AÇOS'!Q37)</f>
        <v/>
      </c>
      <c r="BG35" s="223">
        <f>IF('CONTROLE GLOBO AÇOS'!R37="","",'CONTROLE GLOBO AÇOS'!R37)</f>
        <v/>
      </c>
      <c r="BH35" s="223">
        <f>IF(AND('CONTROLE EJ'!O37="",'CONTROLE CMM'!#REF!=""),"",N('CONTROLE EJ'!O37)+N('CONTROLE CMM'!#REF!))</f>
        <v/>
      </c>
      <c r="BI35" s="223">
        <f>IF('CONTROLE GLOBO AÇOS'!S37="","",'CONTROLE GLOBO AÇOS'!S37)</f>
        <v/>
      </c>
      <c r="BJ35" s="223">
        <f>IF('CONTROLE GLOBO AÇOS'!T37="","",'CONTROLE GLOBO AÇOS'!T37)</f>
        <v/>
      </c>
      <c r="BK35" s="223">
        <f>IF('CONTROLE GLOBO AÇOS'!U37="","",'CONTROLE GLOBO AÇOS'!U37)</f>
        <v/>
      </c>
      <c r="BL35" s="223">
        <f>IF(AND('CONTROLE EJ'!P37="",'CONTROLE CMM'!#REF!=""),"",N('CONTROLE EJ'!P37)+N('CONTROLE CMM'!#REF!))</f>
        <v/>
      </c>
      <c r="BM35" s="223">
        <f>IF(AND('CONTROLE EJ'!Q37="",'CONTROLE CMM'!#REF!=""),"",N('CONTROLE EJ'!Q37)+N('CONTROLE CMM'!#REF!))</f>
        <v/>
      </c>
      <c r="BN35" s="223">
        <f>IF('CONTROLE GLOBO AÇOS'!V37="","",'CONTROLE GLOBO AÇOS'!V37)</f>
        <v/>
      </c>
      <c r="BO35" s="223">
        <f>IF('CONTROLE GLOBO AÇOS'!W37="","",'CONTROLE GLOBO AÇOS'!W37)</f>
        <v/>
      </c>
      <c r="BP35" s="223">
        <f>IF(AND('CONTROLE EJ'!R37="",'CONTROLE CMM'!#REF!=""),"",N('CONTROLE EJ'!R37)+N('CONTROLE CMM'!#REF!))</f>
        <v/>
      </c>
      <c r="BQ35" s="223">
        <f>IF(#REF!="","",#REF!)</f>
        <v/>
      </c>
      <c r="BR35" s="223">
        <f>IF(AND('CONTROLE EJ'!S37="",'CONTROLE CMM'!#REF!=""),"",N('CONTROLE EJ'!S37)+N('CONTROLE CMM'!#REF!))</f>
        <v/>
      </c>
      <c r="BS35" s="223">
        <f>IF(AND('CONTROLE EJ'!T37="",'CONTROLE CMM'!#REF!=""),"",N('CONTROLE EJ'!T37)+N('CONTROLE CMM'!#REF!))</f>
        <v/>
      </c>
      <c r="BT35" s="223">
        <f>IF('CONTROLE GLOBO AÇOS'!X37="","",'CONTROLE GLOBO AÇOS'!X37)</f>
        <v/>
      </c>
      <c r="BU35" s="223">
        <f>IF('CONTROLE GLOBO AÇOS'!Y37="","",'CONTROLE GLOBO AÇOS'!Y37)</f>
        <v/>
      </c>
      <c r="BV35" s="223">
        <f>IF(AND('CONTROLE EJ'!U37="",'CONTROLE CMM'!#REF!=""),"",N('CONTROLE EJ'!U37)+N('CONTROLE CMM'!#REF!))</f>
        <v/>
      </c>
      <c r="BW35" s="223">
        <f>IF(#REF!="","",#REF!)</f>
        <v/>
      </c>
    </row>
    <row r="36">
      <c r="A36" s="282" t="n">
        <v>46253</v>
      </c>
      <c r="B36" s="223">
        <f>IF('CONTROLE EJ'!B38="","",'CONTROLE EJ'!B38)</f>
        <v/>
      </c>
      <c r="C36" s="223">
        <f>IF('CONTROLE EJ'!C38="","",'CONTROLE EJ'!C38)</f>
        <v/>
      </c>
      <c r="D36" s="42">
        <f>IF('CONTROLE EJ'!D38="","",'CONTROLE EJ'!D38)</f>
        <v/>
      </c>
      <c r="E36" s="44">
        <f>IF('CONTROLE CMM'!B38="","",'CONTROLE CMM'!B38)</f>
        <v/>
      </c>
      <c r="F36" s="223">
        <f>IF('CONTROLE CMM'!C38="","",'CONTROLE CMM'!C38)</f>
        <v/>
      </c>
      <c r="G36" s="42">
        <f>IF('CONTROLE CMM'!D38="","",'CONTROLE CMM'!D38)</f>
        <v/>
      </c>
      <c r="H36" s="44">
        <f>IF('CONTROLE GLOBO AÇOS'!B38="","",'CONTROLE GLOBO AÇOS'!B38)</f>
        <v/>
      </c>
      <c r="I36" s="223">
        <f>IF('CONTROLE GLOBO AÇOS'!C38="","",'CONTROLE GLOBO AÇOS'!C38)</f>
        <v/>
      </c>
      <c r="J36" s="223">
        <f>IF('CONTROLE GLOBO AÇOS'!D38="","",'CONTROLE GLOBO AÇOS'!D38)</f>
        <v/>
      </c>
      <c r="U36" s="18" t="n"/>
      <c r="V36" s="223" t="inlineStr">
        <is>
          <t>FASE 1</t>
        </is>
      </c>
      <c r="W36" s="131" t="n"/>
      <c r="X36" s="131" t="n"/>
      <c r="Y36" s="131" t="n"/>
      <c r="Z36" s="131" t="n"/>
      <c r="AA36" s="71" t="n"/>
      <c r="AD36" s="39">
        <f>IF($A36="",0,IF(AND(WEEKDAY($A36,2)&lt;=5,OR($B36&lt;&gt;"",$C36&lt;&gt;"",$D36&lt;&gt;"")),1,0))</f>
        <v/>
      </c>
      <c r="AE36" s="39">
        <f>IF($A36="",0,IF(AND(WEEKDAY($A36,2)&lt;=5,OR($E36&lt;&gt;"",$F36&lt;&gt;"",$G36&lt;&gt;"")),1,0))</f>
        <v/>
      </c>
      <c r="AF36" s="39">
        <f>MAX(AD36,AE36)</f>
        <v/>
      </c>
      <c r="AH36" s="223">
        <f>IF('CONTROLE GLOBO AÇOS'!E38="","",'CONTROLE GLOBO AÇOS'!E38)</f>
        <v/>
      </c>
      <c r="AI36" s="223">
        <f>IF('CONTROLE GLOBO AÇOS'!F38="","",'CONTROLE GLOBO AÇOS'!F38)</f>
        <v/>
      </c>
      <c r="AJ36" s="223">
        <f>IF(AND('CONTROLE EJ'!E38="",'CONTROLE CMM'!E38=""),"",N('CONTROLE EJ'!E38)+N('CONTROLE CMM'!E38))</f>
        <v/>
      </c>
      <c r="AK36" s="223">
        <f>IF(AND('CONTROLE EJ'!F38="",'CONTROLE CMM'!F38=""),"",N('CONTROLE EJ'!F38)+N('CONTROLE CMM'!F38))</f>
        <v/>
      </c>
      <c r="AL36" s="223">
        <f>IF(AND('CONTROLE EJ'!G38="",'CONTROLE CMM'!G38=""),"",N('CONTROLE EJ'!G38)+N('CONTROLE CMM'!G38))</f>
        <v/>
      </c>
      <c r="AM36" s="223">
        <f>IF(AND('CONTROLE EJ'!H38="",'CONTROLE CMM'!H38=""),"",N('CONTROLE EJ'!H38)+N('CONTROLE CMM'!H38))</f>
        <v/>
      </c>
      <c r="AN36" s="223">
        <f>IF('CONTROLE GLOBO AÇOS'!G38="","",'CONTROLE GLOBO AÇOS'!G38)</f>
        <v/>
      </c>
      <c r="AO36" s="223">
        <f>IF('CONTROLE GLOBO AÇOS'!H38="","",'CONTROLE GLOBO AÇOS'!H38)</f>
        <v/>
      </c>
      <c r="AP36" s="223">
        <f>IF(AND('CONTROLE EJ'!I38="",'CONTROLE CMM'!I38=""),"",N('CONTROLE EJ'!I38)+N('CONTROLE CMM'!I38))</f>
        <v/>
      </c>
      <c r="AQ36" s="223">
        <f>IF(AND('CONTROLE EJ'!J38="",'CONTROLE CMM'!#REF!=""),"",N('CONTROLE EJ'!J38)+N('CONTROLE CMM'!#REF!))</f>
        <v/>
      </c>
      <c r="AR36" s="223">
        <f>IF('CONTROLE GLOBO AÇOS'!I38="","",'CONTROLE GLOBO AÇOS'!I38)</f>
        <v/>
      </c>
      <c r="AS36" s="223">
        <f>IF('CONTROLE GLOBO AÇOS'!J38="","",'CONTROLE GLOBO AÇOS'!J38)</f>
        <v/>
      </c>
      <c r="AT36" s="223">
        <f>IF(#REF!="","",#REF!)</f>
        <v/>
      </c>
      <c r="AU36" s="223">
        <f>IF('CONTROLE GLOBO AÇOS'!K38="","",'CONTROLE GLOBO AÇOS'!K38)</f>
        <v/>
      </c>
      <c r="AV36" s="223">
        <f>IF(AND('CONTROLE EJ'!K38="",'CONTROLE CMM'!#REF!=""),"",N('CONTROLE EJ'!K38)+N('CONTROLE CMM'!#REF!))</f>
        <v/>
      </c>
      <c r="AW36" s="223">
        <f>IF('CONTROLE GLOBO AÇOS'!L38="","",'CONTROLE GLOBO AÇOS'!L38)</f>
        <v/>
      </c>
      <c r="AX36" s="223">
        <f>IF(AND('CONTROLE EJ'!L38="",'CONTROLE CMM'!#REF!=""),"",N('CONTROLE EJ'!L38)+N('CONTROLE CMM'!#REF!))</f>
        <v/>
      </c>
      <c r="AY36" s="223">
        <f>IF('CONTROLE GLOBO AÇOS'!M38="","",'CONTROLE GLOBO AÇOS'!M38)</f>
        <v/>
      </c>
      <c r="AZ36" s="223">
        <f>IF('CONTROLE GLOBO AÇOS'!N38="","",'CONTROLE GLOBO AÇOS'!N38)</f>
        <v/>
      </c>
      <c r="BA36" s="223">
        <f>IF(AND('CONTROLE EJ'!M38="",'CONTROLE CMM'!#REF!=""),"",N('CONTROLE EJ'!M38)+N('CONTROLE CMM'!#REF!))</f>
        <v/>
      </c>
      <c r="BB36" s="223">
        <f>IF(#REF!="","",#REF!)</f>
        <v/>
      </c>
      <c r="BC36" s="223">
        <f>IF('CONTROLE GLOBO AÇOS'!O38="","",'CONTROLE GLOBO AÇOS'!O38)</f>
        <v/>
      </c>
      <c r="BD36" s="223">
        <f>IF(AND('CONTROLE EJ'!N38="",'CONTROLE CMM'!#REF!=""),"",N('CONTROLE EJ'!N38)+N('CONTROLE CMM'!#REF!))</f>
        <v/>
      </c>
      <c r="BE36" s="223">
        <f>IF('CONTROLE GLOBO AÇOS'!P38="","",'CONTROLE GLOBO AÇOS'!P38)</f>
        <v/>
      </c>
      <c r="BF36" s="223">
        <f>IF('CONTROLE GLOBO AÇOS'!Q38="","",'CONTROLE GLOBO AÇOS'!Q38)</f>
        <v/>
      </c>
      <c r="BG36" s="223">
        <f>IF('CONTROLE GLOBO AÇOS'!R38="","",'CONTROLE GLOBO AÇOS'!R38)</f>
        <v/>
      </c>
      <c r="BH36" s="223">
        <f>IF(AND('CONTROLE EJ'!O38="",'CONTROLE CMM'!#REF!=""),"",N('CONTROLE EJ'!O38)+N('CONTROLE CMM'!#REF!))</f>
        <v/>
      </c>
      <c r="BI36" s="223">
        <f>IF('CONTROLE GLOBO AÇOS'!S38="","",'CONTROLE GLOBO AÇOS'!S38)</f>
        <v/>
      </c>
      <c r="BJ36" s="223">
        <f>IF('CONTROLE GLOBO AÇOS'!T38="","",'CONTROLE GLOBO AÇOS'!T38)</f>
        <v/>
      </c>
      <c r="BK36" s="223">
        <f>IF('CONTROLE GLOBO AÇOS'!U38="","",'CONTROLE GLOBO AÇOS'!U38)</f>
        <v/>
      </c>
      <c r="BL36" s="223">
        <f>IF(AND('CONTROLE EJ'!P38="",'CONTROLE CMM'!#REF!=""),"",N('CONTROLE EJ'!P38)+N('CONTROLE CMM'!#REF!))</f>
        <v/>
      </c>
      <c r="BM36" s="223">
        <f>IF(AND('CONTROLE EJ'!Q38="",'CONTROLE CMM'!#REF!=""),"",N('CONTROLE EJ'!Q38)+N('CONTROLE CMM'!#REF!))</f>
        <v/>
      </c>
      <c r="BN36" s="223">
        <f>IF('CONTROLE GLOBO AÇOS'!V38="","",'CONTROLE GLOBO AÇOS'!V38)</f>
        <v/>
      </c>
      <c r="BO36" s="223">
        <f>IF('CONTROLE GLOBO AÇOS'!W38="","",'CONTROLE GLOBO AÇOS'!W38)</f>
        <v/>
      </c>
      <c r="BP36" s="223">
        <f>IF(AND('CONTROLE EJ'!R38="",'CONTROLE CMM'!#REF!=""),"",N('CONTROLE EJ'!R38)+N('CONTROLE CMM'!#REF!))</f>
        <v/>
      </c>
      <c r="BQ36" s="223">
        <f>IF(#REF!="","",#REF!)</f>
        <v/>
      </c>
      <c r="BR36" s="223">
        <f>IF(AND('CONTROLE EJ'!S38="",'CONTROLE CMM'!#REF!=""),"",N('CONTROLE EJ'!S38)+N('CONTROLE CMM'!#REF!))</f>
        <v/>
      </c>
      <c r="BS36" s="223">
        <f>IF(AND('CONTROLE EJ'!T38="",'CONTROLE CMM'!#REF!=""),"",N('CONTROLE EJ'!T38)+N('CONTROLE CMM'!#REF!))</f>
        <v/>
      </c>
      <c r="BT36" s="223">
        <f>IF('CONTROLE GLOBO AÇOS'!X38="","",'CONTROLE GLOBO AÇOS'!X38)</f>
        <v/>
      </c>
      <c r="BU36" s="223">
        <f>IF('CONTROLE GLOBO AÇOS'!Y38="","",'CONTROLE GLOBO AÇOS'!Y38)</f>
        <v/>
      </c>
      <c r="BV36" s="223">
        <f>IF(AND('CONTROLE EJ'!U38="",'CONTROLE CMM'!#REF!=""),"",N('CONTROLE EJ'!U38)+N('CONTROLE CMM'!#REF!))</f>
        <v/>
      </c>
      <c r="BW36" s="223">
        <f>IF(#REF!="","",#REF!)</f>
        <v/>
      </c>
    </row>
    <row r="37">
      <c r="A37" s="282" t="n">
        <v>46254</v>
      </c>
      <c r="B37" s="223">
        <f>IF('CONTROLE EJ'!B39="","",'CONTROLE EJ'!B39)</f>
        <v/>
      </c>
      <c r="C37" s="223">
        <f>IF('CONTROLE EJ'!C39="","",'CONTROLE EJ'!C39)</f>
        <v/>
      </c>
      <c r="D37" s="42">
        <f>IF('CONTROLE EJ'!D39="","",'CONTROLE EJ'!D39)</f>
        <v/>
      </c>
      <c r="E37" s="44">
        <f>IF('CONTROLE CMM'!B39="","",'CONTROLE CMM'!B39)</f>
        <v/>
      </c>
      <c r="F37" s="223">
        <f>IF('CONTROLE CMM'!C39="","",'CONTROLE CMM'!C39)</f>
        <v/>
      </c>
      <c r="G37" s="42">
        <f>IF('CONTROLE CMM'!D39="","",'CONTROLE CMM'!D39)</f>
        <v/>
      </c>
      <c r="H37" s="44">
        <f>IF('CONTROLE GLOBO AÇOS'!B39="","",'CONTROLE GLOBO AÇOS'!B39)</f>
        <v/>
      </c>
      <c r="I37" s="223">
        <f>IF('CONTROLE GLOBO AÇOS'!C39="","",'CONTROLE GLOBO AÇOS'!C39)</f>
        <v/>
      </c>
      <c r="J37" s="223">
        <f>IF('CONTROLE GLOBO AÇOS'!D39="","",'CONTROLE GLOBO AÇOS'!D39)</f>
        <v/>
      </c>
      <c r="O37" t="inlineStr">
        <is>
          <t>41*9</t>
        </is>
      </c>
      <c r="U37" s="223" t="inlineStr">
        <is>
          <t>PREVISTO</t>
        </is>
      </c>
      <c r="V37" s="18" t="inlineStr">
        <is>
          <t>REALIZADO</t>
        </is>
      </c>
      <c r="W37" s="18" t="inlineStr">
        <is>
          <t>SALDO</t>
        </is>
      </c>
      <c r="X37" s="18" t="inlineStr">
        <is>
          <t>J01</t>
        </is>
      </c>
      <c r="Y37" s="18" t="inlineStr">
        <is>
          <t>J02</t>
        </is>
      </c>
      <c r="Z37" s="18" t="inlineStr">
        <is>
          <t>J03</t>
        </is>
      </c>
      <c r="AA37" s="18" t="inlineStr">
        <is>
          <t>J04</t>
        </is>
      </c>
      <c r="AD37" s="39">
        <f>IF($A37="",0,IF(AND(WEEKDAY($A37,2)&lt;=5,OR($B37&lt;&gt;"",$C37&lt;&gt;"",$D37&lt;&gt;"")),1,0))</f>
        <v/>
      </c>
      <c r="AE37" s="39">
        <f>IF($A37="",0,IF(AND(WEEKDAY($A37,2)&lt;=5,OR($E37&lt;&gt;"",$F37&lt;&gt;"",$G37&lt;&gt;"")),1,0))</f>
        <v/>
      </c>
      <c r="AF37" s="39">
        <f>MAX(AD37,AE37)</f>
        <v/>
      </c>
      <c r="AH37" s="223">
        <f>IF('CONTROLE GLOBO AÇOS'!E39="","",'CONTROLE GLOBO AÇOS'!E39)</f>
        <v/>
      </c>
      <c r="AI37" s="223">
        <f>IF('CONTROLE GLOBO AÇOS'!F39="","",'CONTROLE GLOBO AÇOS'!F39)</f>
        <v/>
      </c>
      <c r="AJ37" s="223">
        <f>IF(AND('CONTROLE EJ'!E39="",'CONTROLE CMM'!E39=""),"",N('CONTROLE EJ'!E39)+N('CONTROLE CMM'!E39))</f>
        <v/>
      </c>
      <c r="AK37" s="223">
        <f>IF(AND('CONTROLE EJ'!F39="",'CONTROLE CMM'!F39=""),"",N('CONTROLE EJ'!F39)+N('CONTROLE CMM'!F39))</f>
        <v/>
      </c>
      <c r="AL37" s="223">
        <f>IF(AND('CONTROLE EJ'!G39="",'CONTROLE CMM'!G39=""),"",N('CONTROLE EJ'!G39)+N('CONTROLE CMM'!G39))</f>
        <v/>
      </c>
      <c r="AM37" s="223">
        <f>IF(AND('CONTROLE EJ'!H39="",'CONTROLE CMM'!H39=""),"",N('CONTROLE EJ'!H39)+N('CONTROLE CMM'!H39))</f>
        <v/>
      </c>
      <c r="AN37" s="223">
        <f>IF('CONTROLE GLOBO AÇOS'!G39="","",'CONTROLE GLOBO AÇOS'!G39)</f>
        <v/>
      </c>
      <c r="AO37" s="223">
        <f>IF('CONTROLE GLOBO AÇOS'!H39="","",'CONTROLE GLOBO AÇOS'!H39)</f>
        <v/>
      </c>
      <c r="AP37" s="223">
        <f>IF(AND('CONTROLE EJ'!I39="",'CONTROLE CMM'!I39=""),"",N('CONTROLE EJ'!I39)+N('CONTROLE CMM'!I39))</f>
        <v/>
      </c>
      <c r="AQ37" s="223">
        <f>IF(AND('CONTROLE EJ'!J39="",'CONTROLE CMM'!#REF!=""),"",N('CONTROLE EJ'!J39)+N('CONTROLE CMM'!#REF!))</f>
        <v/>
      </c>
      <c r="AR37" s="223">
        <f>IF('CONTROLE GLOBO AÇOS'!I39="","",'CONTROLE GLOBO AÇOS'!I39)</f>
        <v/>
      </c>
      <c r="AS37" s="223">
        <f>IF('CONTROLE GLOBO AÇOS'!J39="","",'CONTROLE GLOBO AÇOS'!J39)</f>
        <v/>
      </c>
      <c r="AT37" s="223">
        <f>IF(#REF!="","",#REF!)</f>
        <v/>
      </c>
      <c r="AU37" s="223">
        <f>IF('CONTROLE GLOBO AÇOS'!K39="","",'CONTROLE GLOBO AÇOS'!K39)</f>
        <v/>
      </c>
      <c r="AV37" s="223">
        <f>IF(AND('CONTROLE EJ'!K39="",'CONTROLE CMM'!#REF!=""),"",N('CONTROLE EJ'!K39)+N('CONTROLE CMM'!#REF!))</f>
        <v/>
      </c>
      <c r="AW37" s="223">
        <f>IF('CONTROLE GLOBO AÇOS'!L39="","",'CONTROLE GLOBO AÇOS'!L39)</f>
        <v/>
      </c>
      <c r="AX37" s="223">
        <f>IF(AND('CONTROLE EJ'!L39="",'CONTROLE CMM'!#REF!=""),"",N('CONTROLE EJ'!L39)+N('CONTROLE CMM'!#REF!))</f>
        <v/>
      </c>
      <c r="AY37" s="223">
        <f>IF('CONTROLE GLOBO AÇOS'!M39="","",'CONTROLE GLOBO AÇOS'!M39)</f>
        <v/>
      </c>
      <c r="AZ37" s="223">
        <f>IF('CONTROLE GLOBO AÇOS'!N39="","",'CONTROLE GLOBO AÇOS'!N39)</f>
        <v/>
      </c>
      <c r="BA37" s="223">
        <f>IF(AND('CONTROLE EJ'!M39="",'CONTROLE CMM'!#REF!=""),"",N('CONTROLE EJ'!M39)+N('CONTROLE CMM'!#REF!))</f>
        <v/>
      </c>
      <c r="BB37" s="223">
        <f>IF(#REF!="","",#REF!)</f>
        <v/>
      </c>
      <c r="BC37" s="223">
        <f>IF('CONTROLE GLOBO AÇOS'!O39="","",'CONTROLE GLOBO AÇOS'!O39)</f>
        <v/>
      </c>
      <c r="BD37" s="223">
        <f>IF(AND('CONTROLE EJ'!N39="",'CONTROLE CMM'!#REF!=""),"",N('CONTROLE EJ'!N39)+N('CONTROLE CMM'!#REF!))</f>
        <v/>
      </c>
      <c r="BE37" s="223">
        <f>IF('CONTROLE GLOBO AÇOS'!P39="","",'CONTROLE GLOBO AÇOS'!P39)</f>
        <v/>
      </c>
      <c r="BF37" s="223">
        <f>IF('CONTROLE GLOBO AÇOS'!Q39="","",'CONTROLE GLOBO AÇOS'!Q39)</f>
        <v/>
      </c>
      <c r="BG37" s="223">
        <f>IF('CONTROLE GLOBO AÇOS'!R39="","",'CONTROLE GLOBO AÇOS'!R39)</f>
        <v/>
      </c>
      <c r="BH37" s="223">
        <f>IF(AND('CONTROLE EJ'!O39="",'CONTROLE CMM'!#REF!=""),"",N('CONTROLE EJ'!O39)+N('CONTROLE CMM'!#REF!))</f>
        <v/>
      </c>
      <c r="BI37" s="223">
        <f>IF('CONTROLE GLOBO AÇOS'!S39="","",'CONTROLE GLOBO AÇOS'!S39)</f>
        <v/>
      </c>
      <c r="BJ37" s="223">
        <f>IF('CONTROLE GLOBO AÇOS'!T39="","",'CONTROLE GLOBO AÇOS'!T39)</f>
        <v/>
      </c>
      <c r="BK37" s="223">
        <f>IF('CONTROLE GLOBO AÇOS'!U39="","",'CONTROLE GLOBO AÇOS'!U39)</f>
        <v/>
      </c>
      <c r="BL37" s="223">
        <f>IF(AND('CONTROLE EJ'!P39="",'CONTROLE CMM'!#REF!=""),"",N('CONTROLE EJ'!P39)+N('CONTROLE CMM'!#REF!))</f>
        <v/>
      </c>
      <c r="BM37" s="223">
        <f>IF(AND('CONTROLE EJ'!Q39="",'CONTROLE CMM'!#REF!=""),"",N('CONTROLE EJ'!Q39)+N('CONTROLE CMM'!#REF!))</f>
        <v/>
      </c>
      <c r="BN37" s="223">
        <f>IF('CONTROLE GLOBO AÇOS'!V39="","",'CONTROLE GLOBO AÇOS'!V39)</f>
        <v/>
      </c>
      <c r="BO37" s="223">
        <f>IF('CONTROLE GLOBO AÇOS'!W39="","",'CONTROLE GLOBO AÇOS'!W39)</f>
        <v/>
      </c>
      <c r="BP37" s="223">
        <f>IF(AND('CONTROLE EJ'!R39="",'CONTROLE CMM'!#REF!=""),"",N('CONTROLE EJ'!R39)+N('CONTROLE CMM'!#REF!))</f>
        <v/>
      </c>
      <c r="BQ37" s="223">
        <f>IF(#REF!="","",#REF!)</f>
        <v/>
      </c>
      <c r="BR37" s="223">
        <f>IF(AND('CONTROLE EJ'!S39="",'CONTROLE CMM'!#REF!=""),"",N('CONTROLE EJ'!S39)+N('CONTROLE CMM'!#REF!))</f>
        <v/>
      </c>
      <c r="BS37" s="223">
        <f>IF(AND('CONTROLE EJ'!T39="",'CONTROLE CMM'!#REF!=""),"",N('CONTROLE EJ'!T39)+N('CONTROLE CMM'!#REF!))</f>
        <v/>
      </c>
      <c r="BT37" s="223">
        <f>IF('CONTROLE GLOBO AÇOS'!X39="","",'CONTROLE GLOBO AÇOS'!X39)</f>
        <v/>
      </c>
      <c r="BU37" s="223">
        <f>IF('CONTROLE GLOBO AÇOS'!Y39="","",'CONTROLE GLOBO AÇOS'!Y39)</f>
        <v/>
      </c>
      <c r="BV37" s="223">
        <f>IF(AND('CONTROLE EJ'!U39="",'CONTROLE CMM'!#REF!=""),"",N('CONTROLE EJ'!U39)+N('CONTROLE CMM'!#REF!))</f>
        <v/>
      </c>
      <c r="BW37" s="223">
        <f>IF(#REF!="","",#REF!)</f>
        <v/>
      </c>
    </row>
    <row r="38" hidden="1">
      <c r="A38" s="282" t="n">
        <v>46255</v>
      </c>
      <c r="B38" s="223">
        <f>IF('CONTROLE EJ'!B40="","",'CONTROLE EJ'!B40)</f>
        <v/>
      </c>
      <c r="C38" s="223">
        <f>IF('CONTROLE EJ'!C40="","",'CONTROLE EJ'!C40)</f>
        <v/>
      </c>
      <c r="D38" s="42">
        <f>IF('CONTROLE EJ'!D40="","",'CONTROLE EJ'!D40)</f>
        <v/>
      </c>
      <c r="E38" s="44">
        <f>IF('CONTROLE CMM'!B40="","",'CONTROLE CMM'!B40)</f>
        <v/>
      </c>
      <c r="F38" s="223">
        <f>IF('CONTROLE CMM'!C40="","",'CONTROLE CMM'!C40)</f>
        <v/>
      </c>
      <c r="G38" s="42">
        <f>IF('CONTROLE CMM'!D40="","",'CONTROLE CMM'!D40)</f>
        <v/>
      </c>
      <c r="H38" s="44">
        <f>IF('CONTROLE GLOBO AÇOS'!B40="","",'CONTROLE GLOBO AÇOS'!B40)</f>
        <v/>
      </c>
      <c r="I38" s="223">
        <f>IF('CONTROLE GLOBO AÇOS'!C40="","",'CONTROLE GLOBO AÇOS'!C40)</f>
        <v/>
      </c>
      <c r="J38" s="223">
        <f>IF('CONTROLE GLOBO AÇOS'!D40="","",'CONTROLE GLOBO AÇOS'!D40)</f>
        <v/>
      </c>
      <c r="U38" s="18" t="n"/>
      <c r="V38" s="18" t="n">
        <v>386</v>
      </c>
      <c r="W38" s="223" t="inlineStr">
        <is>
          <t>PRE</t>
        </is>
      </c>
      <c r="X38" s="18" t="n">
        <v>327</v>
      </c>
      <c r="Y38" s="18" t="n">
        <v>16</v>
      </c>
      <c r="Z38" s="18" t="n">
        <v>41</v>
      </c>
      <c r="AA38" s="18" t="n">
        <v>2</v>
      </c>
      <c r="AD38" s="39">
        <f>IF($A38="",0,IF(AND(WEEKDAY($A38,2)&lt;=5,OR($B38&lt;&gt;"",$C38&lt;&gt;"",$D38&lt;&gt;"")),1,0))</f>
        <v/>
      </c>
      <c r="AE38" s="39">
        <f>IF($A38="",0,IF(AND(WEEKDAY($A38,2)&lt;=5,OR($E38&lt;&gt;"",$F38&lt;&gt;"",$G38&lt;&gt;"")),1,0))</f>
        <v/>
      </c>
      <c r="AF38" s="39">
        <f>MAX(AD38,AE38)</f>
        <v/>
      </c>
      <c r="AH38" s="223">
        <f>IF('CONTROLE GLOBO AÇOS'!E40="","",'CONTROLE GLOBO AÇOS'!E40)</f>
        <v/>
      </c>
      <c r="AI38" s="223">
        <f>IF('CONTROLE GLOBO AÇOS'!F40="","",'CONTROLE GLOBO AÇOS'!F40)</f>
        <v/>
      </c>
      <c r="AJ38" s="223">
        <f>IF(AND('CONTROLE EJ'!E40="",'CONTROLE CMM'!E40=""),"",N('CONTROLE EJ'!E40)+N('CONTROLE CMM'!E40))</f>
        <v/>
      </c>
      <c r="AK38" s="223">
        <f>IF(AND('CONTROLE EJ'!F40="",'CONTROLE CMM'!F40=""),"",N('CONTROLE EJ'!F40)+N('CONTROLE CMM'!F40))</f>
        <v/>
      </c>
      <c r="AL38" s="223">
        <f>IF(AND('CONTROLE EJ'!G40="",'CONTROLE CMM'!G40=""),"",N('CONTROLE EJ'!G40)+N('CONTROLE CMM'!G40))</f>
        <v/>
      </c>
      <c r="AM38" s="223">
        <f>IF(AND('CONTROLE EJ'!H40="",'CONTROLE CMM'!H40=""),"",N('CONTROLE EJ'!H40)+N('CONTROLE CMM'!H40))</f>
        <v/>
      </c>
      <c r="AN38" s="223">
        <f>IF('CONTROLE GLOBO AÇOS'!G40="","",'CONTROLE GLOBO AÇOS'!G40)</f>
        <v/>
      </c>
      <c r="AO38" s="223">
        <f>IF('CONTROLE GLOBO AÇOS'!H40="","",'CONTROLE GLOBO AÇOS'!H40)</f>
        <v/>
      </c>
      <c r="AP38" s="223">
        <f>IF(AND('CONTROLE EJ'!I40="",'CONTROLE CMM'!I40=""),"",N('CONTROLE EJ'!I40)+N('CONTROLE CMM'!I40))</f>
        <v/>
      </c>
      <c r="AQ38" s="223">
        <f>IF(AND('CONTROLE EJ'!J40="",'CONTROLE CMM'!#REF!=""),"",N('CONTROLE EJ'!J40)+N('CONTROLE CMM'!#REF!))</f>
        <v/>
      </c>
      <c r="AR38" s="223">
        <f>IF('CONTROLE GLOBO AÇOS'!I40="","",'CONTROLE GLOBO AÇOS'!I40)</f>
        <v/>
      </c>
      <c r="AS38" s="223">
        <f>IF('CONTROLE GLOBO AÇOS'!J40="","",'CONTROLE GLOBO AÇOS'!J40)</f>
        <v/>
      </c>
      <c r="AT38" s="223">
        <f>IF(#REF!="","",#REF!)</f>
        <v/>
      </c>
      <c r="AU38" s="223">
        <f>IF('CONTROLE GLOBO AÇOS'!K40="","",'CONTROLE GLOBO AÇOS'!K40)</f>
        <v/>
      </c>
      <c r="AV38" s="223">
        <f>IF(AND('CONTROLE EJ'!K40="",'CONTROLE CMM'!#REF!=""),"",N('CONTROLE EJ'!K40)+N('CONTROLE CMM'!#REF!))</f>
        <v/>
      </c>
      <c r="AW38" s="223">
        <f>IF('CONTROLE GLOBO AÇOS'!L40="","",'CONTROLE GLOBO AÇOS'!L40)</f>
        <v/>
      </c>
      <c r="AX38" s="223">
        <f>IF(AND('CONTROLE EJ'!L40="",'CONTROLE CMM'!#REF!=""),"",N('CONTROLE EJ'!L40)+N('CONTROLE CMM'!#REF!))</f>
        <v/>
      </c>
      <c r="AY38" s="223">
        <f>IF('CONTROLE GLOBO AÇOS'!M40="","",'CONTROLE GLOBO AÇOS'!M40)</f>
        <v/>
      </c>
      <c r="AZ38" s="223">
        <f>IF('CONTROLE GLOBO AÇOS'!N40="","",'CONTROLE GLOBO AÇOS'!N40)</f>
        <v/>
      </c>
      <c r="BA38" s="223">
        <f>IF(AND('CONTROLE EJ'!M40="",'CONTROLE CMM'!#REF!=""),"",N('CONTROLE EJ'!M40)+N('CONTROLE CMM'!#REF!))</f>
        <v/>
      </c>
      <c r="BB38" s="223">
        <f>IF(#REF!="","",#REF!)</f>
        <v/>
      </c>
      <c r="BC38" s="223">
        <f>IF('CONTROLE GLOBO AÇOS'!O40="","",'CONTROLE GLOBO AÇOS'!O40)</f>
        <v/>
      </c>
      <c r="BD38" s="223">
        <f>IF(AND('CONTROLE EJ'!N40="",'CONTROLE CMM'!#REF!=""),"",N('CONTROLE EJ'!N40)+N('CONTROLE CMM'!#REF!))</f>
        <v/>
      </c>
      <c r="BE38" s="223">
        <f>IF('CONTROLE GLOBO AÇOS'!P40="","",'CONTROLE GLOBO AÇOS'!P40)</f>
        <v/>
      </c>
      <c r="BF38" s="223">
        <f>IF('CONTROLE GLOBO AÇOS'!Q40="","",'CONTROLE GLOBO AÇOS'!Q40)</f>
        <v/>
      </c>
      <c r="BG38" s="223">
        <f>IF('CONTROLE GLOBO AÇOS'!R40="","",'CONTROLE GLOBO AÇOS'!R40)</f>
        <v/>
      </c>
      <c r="BH38" s="223">
        <f>IF(AND('CONTROLE EJ'!O40="",'CONTROLE CMM'!#REF!=""),"",N('CONTROLE EJ'!O40)+N('CONTROLE CMM'!#REF!))</f>
        <v/>
      </c>
      <c r="BI38" s="223">
        <f>IF('CONTROLE GLOBO AÇOS'!S40="","",'CONTROLE GLOBO AÇOS'!S40)</f>
        <v/>
      </c>
      <c r="BJ38" s="223">
        <f>IF('CONTROLE GLOBO AÇOS'!T40="","",'CONTROLE GLOBO AÇOS'!T40)</f>
        <v/>
      </c>
      <c r="BK38" s="223">
        <f>IF('CONTROLE GLOBO AÇOS'!U40="","",'CONTROLE GLOBO AÇOS'!U40)</f>
        <v/>
      </c>
      <c r="BL38" s="223">
        <f>IF(AND('CONTROLE EJ'!P40="",'CONTROLE CMM'!#REF!=""),"",N('CONTROLE EJ'!P40)+N('CONTROLE CMM'!#REF!))</f>
        <v/>
      </c>
      <c r="BM38" s="223">
        <f>IF(AND('CONTROLE EJ'!Q40="",'CONTROLE CMM'!#REF!=""),"",N('CONTROLE EJ'!Q40)+N('CONTROLE CMM'!#REF!))</f>
        <v/>
      </c>
      <c r="BN38" s="223">
        <f>IF('CONTROLE GLOBO AÇOS'!V40="","",'CONTROLE GLOBO AÇOS'!V40)</f>
        <v/>
      </c>
      <c r="BO38" s="223">
        <f>IF('CONTROLE GLOBO AÇOS'!W40="","",'CONTROLE GLOBO AÇOS'!W40)</f>
        <v/>
      </c>
      <c r="BP38" s="223">
        <f>IF(AND('CONTROLE EJ'!R40="",'CONTROLE CMM'!#REF!=""),"",N('CONTROLE EJ'!R40)+N('CONTROLE CMM'!#REF!))</f>
        <v/>
      </c>
      <c r="BQ38" s="223">
        <f>IF(#REF!="","",#REF!)</f>
        <v/>
      </c>
      <c r="BR38" s="223">
        <f>IF(AND('CONTROLE EJ'!S40="",'CONTROLE CMM'!#REF!=""),"",N('CONTROLE EJ'!S40)+N('CONTROLE CMM'!#REF!))</f>
        <v/>
      </c>
      <c r="BS38" s="223">
        <f>IF(AND('CONTROLE EJ'!T40="",'CONTROLE CMM'!#REF!=""),"",N('CONTROLE EJ'!T40)+N('CONTROLE CMM'!#REF!))</f>
        <v/>
      </c>
      <c r="BT38" s="223">
        <f>IF('CONTROLE GLOBO AÇOS'!X40="","",'CONTROLE GLOBO AÇOS'!X40)</f>
        <v/>
      </c>
      <c r="BU38" s="223">
        <f>IF('CONTROLE GLOBO AÇOS'!Y40="","",'CONTROLE GLOBO AÇOS'!Y40)</f>
        <v/>
      </c>
      <c r="BV38" s="223">
        <f>IF(AND('CONTROLE EJ'!U40="",'CONTROLE CMM'!#REF!=""),"",N('CONTROLE EJ'!U40)+N('CONTROLE CMM'!#REF!))</f>
        <v/>
      </c>
      <c r="BW38" s="223">
        <f>IF(#REF!="","",#REF!)</f>
        <v/>
      </c>
    </row>
    <row r="39" hidden="1">
      <c r="A39" s="282" t="n">
        <v>46256</v>
      </c>
      <c r="B39" s="223">
        <f>IF('CONTROLE EJ'!B41="","",'CONTROLE EJ'!B41)</f>
        <v/>
      </c>
      <c r="C39" s="223">
        <f>IF('CONTROLE EJ'!C41="","",'CONTROLE EJ'!C41)</f>
        <v/>
      </c>
      <c r="D39" s="42">
        <f>IF('CONTROLE EJ'!D41="","",'CONTROLE EJ'!D41)</f>
        <v/>
      </c>
      <c r="E39" s="44">
        <f>IF('CONTROLE CMM'!B41="","",'CONTROLE CMM'!B41)</f>
        <v/>
      </c>
      <c r="F39" s="223">
        <f>IF('CONTROLE CMM'!C41="","",'CONTROLE CMM'!C41)</f>
        <v/>
      </c>
      <c r="G39" s="42">
        <f>IF('CONTROLE CMM'!D41="","",'CONTROLE CMM'!D41)</f>
        <v/>
      </c>
      <c r="H39" s="44">
        <f>IF('CONTROLE GLOBO AÇOS'!B41="","",'CONTROLE GLOBO AÇOS'!B41)</f>
        <v/>
      </c>
      <c r="I39" s="223">
        <f>IF('CONTROLE GLOBO AÇOS'!C41="","",'CONTROLE GLOBO AÇOS'!C41)</f>
        <v/>
      </c>
      <c r="J39" s="223">
        <f>IF('CONTROLE GLOBO AÇOS'!D41="","",'CONTROLE GLOBO AÇOS'!D41)</f>
        <v/>
      </c>
      <c r="U39" s="18" t="n"/>
      <c r="V39" s="18">
        <f>SUM(X39:AA39)</f>
        <v/>
      </c>
      <c r="W39" s="223" t="inlineStr">
        <is>
          <t>MONT</t>
        </is>
      </c>
      <c r="X39" s="18" t="n">
        <v>257</v>
      </c>
      <c r="Y39" s="18" t="n">
        <v>8</v>
      </c>
      <c r="Z39" s="18" t="n">
        <v>0</v>
      </c>
      <c r="AA39" s="18" t="n">
        <v>0</v>
      </c>
      <c r="AD39" s="39">
        <f>IF($A39="",0,IF(AND(WEEKDAY($A39,2)&lt;=5,OR($B39&lt;&gt;"",$C39&lt;&gt;"",$D39&lt;&gt;"")),1,0))</f>
        <v/>
      </c>
      <c r="AE39" s="39">
        <f>IF($A39="",0,IF(AND(WEEKDAY($A39,2)&lt;=5,OR($E39&lt;&gt;"",$F39&lt;&gt;"",$G39&lt;&gt;"")),1,0))</f>
        <v/>
      </c>
      <c r="AF39" s="39">
        <f>MAX(AD39,AE39)</f>
        <v/>
      </c>
      <c r="AH39" s="223">
        <f>IF('CONTROLE GLOBO AÇOS'!E41="","",'CONTROLE GLOBO AÇOS'!E41)</f>
        <v/>
      </c>
      <c r="AI39" s="223">
        <f>IF('CONTROLE GLOBO AÇOS'!F41="","",'CONTROLE GLOBO AÇOS'!F41)</f>
        <v/>
      </c>
      <c r="AJ39" s="223">
        <f>IF(AND('CONTROLE EJ'!E41="",'CONTROLE CMM'!E41=""),"",N('CONTROLE EJ'!E41)+N('CONTROLE CMM'!E41))</f>
        <v/>
      </c>
      <c r="AK39" s="223">
        <f>IF(AND('CONTROLE EJ'!F41="",'CONTROLE CMM'!F41=""),"",N('CONTROLE EJ'!F41)+N('CONTROLE CMM'!F41))</f>
        <v/>
      </c>
      <c r="AL39" s="223">
        <f>IF(AND('CONTROLE EJ'!G41="",'CONTROLE CMM'!G41=""),"",N('CONTROLE EJ'!G41)+N('CONTROLE CMM'!G41))</f>
        <v/>
      </c>
      <c r="AM39" s="223">
        <f>IF(AND('CONTROLE EJ'!H41="",'CONTROLE CMM'!H41=""),"",N('CONTROLE EJ'!H41)+N('CONTROLE CMM'!H41))</f>
        <v/>
      </c>
      <c r="AN39" s="223">
        <f>IF('CONTROLE GLOBO AÇOS'!G41="","",'CONTROLE GLOBO AÇOS'!G41)</f>
        <v/>
      </c>
      <c r="AO39" s="223">
        <f>IF('CONTROLE GLOBO AÇOS'!H41="","",'CONTROLE GLOBO AÇOS'!H41)</f>
        <v/>
      </c>
      <c r="AP39" s="223">
        <f>IF(AND('CONTROLE EJ'!I41="",'CONTROLE CMM'!I41=""),"",N('CONTROLE EJ'!I41)+N('CONTROLE CMM'!I41))</f>
        <v/>
      </c>
      <c r="AQ39" s="223">
        <f>IF(AND('CONTROLE EJ'!J41="",'CONTROLE CMM'!#REF!=""),"",N('CONTROLE EJ'!J41)+N('CONTROLE CMM'!#REF!))</f>
        <v/>
      </c>
      <c r="AR39" s="223">
        <f>IF('CONTROLE GLOBO AÇOS'!I41="","",'CONTROLE GLOBO AÇOS'!I41)</f>
        <v/>
      </c>
      <c r="AS39" s="223">
        <f>IF('CONTROLE GLOBO AÇOS'!J41="","",'CONTROLE GLOBO AÇOS'!J41)</f>
        <v/>
      </c>
      <c r="AT39" s="223">
        <f>IF(#REF!="","",#REF!)</f>
        <v/>
      </c>
      <c r="AU39" s="223">
        <f>IF('CONTROLE GLOBO AÇOS'!K41="","",'CONTROLE GLOBO AÇOS'!K41)</f>
        <v/>
      </c>
      <c r="AV39" s="223">
        <f>IF(AND('CONTROLE EJ'!K41="",'CONTROLE CMM'!#REF!=""),"",N('CONTROLE EJ'!K41)+N('CONTROLE CMM'!#REF!))</f>
        <v/>
      </c>
      <c r="AW39" s="223">
        <f>IF('CONTROLE GLOBO AÇOS'!L41="","",'CONTROLE GLOBO AÇOS'!L41)</f>
        <v/>
      </c>
      <c r="AX39" s="223">
        <f>IF(AND('CONTROLE EJ'!L41="",'CONTROLE CMM'!#REF!=""),"",N('CONTROLE EJ'!L41)+N('CONTROLE CMM'!#REF!))</f>
        <v/>
      </c>
      <c r="AY39" s="223">
        <f>IF('CONTROLE GLOBO AÇOS'!M41="","",'CONTROLE GLOBO AÇOS'!M41)</f>
        <v/>
      </c>
      <c r="AZ39" s="223">
        <f>IF('CONTROLE GLOBO AÇOS'!N41="","",'CONTROLE GLOBO AÇOS'!N41)</f>
        <v/>
      </c>
      <c r="BA39" s="223">
        <f>IF(AND('CONTROLE EJ'!M41="",'CONTROLE CMM'!#REF!=""),"",N('CONTROLE EJ'!M41)+N('CONTROLE CMM'!#REF!))</f>
        <v/>
      </c>
      <c r="BB39" s="223">
        <f>IF(#REF!="","",#REF!)</f>
        <v/>
      </c>
      <c r="BC39" s="223">
        <f>IF('CONTROLE GLOBO AÇOS'!O41="","",'CONTROLE GLOBO AÇOS'!O41)</f>
        <v/>
      </c>
      <c r="BD39" s="223">
        <f>IF(AND('CONTROLE EJ'!N41="",'CONTROLE CMM'!#REF!=""),"",N('CONTROLE EJ'!N41)+N('CONTROLE CMM'!#REF!))</f>
        <v/>
      </c>
      <c r="BE39" s="223">
        <f>IF('CONTROLE GLOBO AÇOS'!P41="","",'CONTROLE GLOBO AÇOS'!P41)</f>
        <v/>
      </c>
      <c r="BF39" s="223">
        <f>IF('CONTROLE GLOBO AÇOS'!Q41="","",'CONTROLE GLOBO AÇOS'!Q41)</f>
        <v/>
      </c>
      <c r="BG39" s="223">
        <f>IF('CONTROLE GLOBO AÇOS'!R41="","",'CONTROLE GLOBO AÇOS'!R41)</f>
        <v/>
      </c>
      <c r="BH39" s="223">
        <f>IF(AND('CONTROLE EJ'!O41="",'CONTROLE CMM'!#REF!=""),"",N('CONTROLE EJ'!O41)+N('CONTROLE CMM'!#REF!))</f>
        <v/>
      </c>
      <c r="BI39" s="223">
        <f>IF('CONTROLE GLOBO AÇOS'!S41="","",'CONTROLE GLOBO AÇOS'!S41)</f>
        <v/>
      </c>
      <c r="BJ39" s="223">
        <f>IF('CONTROLE GLOBO AÇOS'!T41="","",'CONTROLE GLOBO AÇOS'!T41)</f>
        <v/>
      </c>
      <c r="BK39" s="223">
        <f>IF('CONTROLE GLOBO AÇOS'!U41="","",'CONTROLE GLOBO AÇOS'!U41)</f>
        <v/>
      </c>
      <c r="BL39" s="223">
        <f>IF(AND('CONTROLE EJ'!P41="",'CONTROLE CMM'!#REF!=""),"",N('CONTROLE EJ'!P41)+N('CONTROLE CMM'!#REF!))</f>
        <v/>
      </c>
      <c r="BM39" s="223">
        <f>IF(AND('CONTROLE EJ'!Q41="",'CONTROLE CMM'!#REF!=""),"",N('CONTROLE EJ'!Q41)+N('CONTROLE CMM'!#REF!))</f>
        <v/>
      </c>
      <c r="BN39" s="223">
        <f>IF('CONTROLE GLOBO AÇOS'!V41="","",'CONTROLE GLOBO AÇOS'!V41)</f>
        <v/>
      </c>
      <c r="BO39" s="223">
        <f>IF('CONTROLE GLOBO AÇOS'!W41="","",'CONTROLE GLOBO AÇOS'!W41)</f>
        <v/>
      </c>
      <c r="BP39" s="223">
        <f>IF(AND('CONTROLE EJ'!R41="",'CONTROLE CMM'!#REF!=""),"",N('CONTROLE EJ'!R41)+N('CONTROLE CMM'!#REF!))</f>
        <v/>
      </c>
      <c r="BQ39" s="223">
        <f>IF(#REF!="","",#REF!)</f>
        <v/>
      </c>
      <c r="BR39" s="223">
        <f>IF(AND('CONTROLE EJ'!S41="",'CONTROLE CMM'!#REF!=""),"",N('CONTROLE EJ'!S41)+N('CONTROLE CMM'!#REF!))</f>
        <v/>
      </c>
      <c r="BS39" s="223">
        <f>IF(AND('CONTROLE EJ'!T41="",'CONTROLE CMM'!#REF!=""),"",N('CONTROLE EJ'!T41)+N('CONTROLE CMM'!#REF!))</f>
        <v/>
      </c>
      <c r="BT39" s="223">
        <f>IF('CONTROLE GLOBO AÇOS'!X41="","",'CONTROLE GLOBO AÇOS'!X41)</f>
        <v/>
      </c>
      <c r="BU39" s="223">
        <f>IF('CONTROLE GLOBO AÇOS'!Y41="","",'CONTROLE GLOBO AÇOS'!Y41)</f>
        <v/>
      </c>
      <c r="BV39" s="223">
        <f>IF(AND('CONTROLE EJ'!U41="",'CONTROLE CMM'!#REF!=""),"",N('CONTROLE EJ'!U41)+N('CONTROLE CMM'!#REF!))</f>
        <v/>
      </c>
      <c r="BW39" s="223">
        <f>IF(#REF!="","",#REF!)</f>
        <v/>
      </c>
    </row>
    <row r="40" hidden="1">
      <c r="A40" s="282" t="n">
        <v>46257</v>
      </c>
      <c r="B40" s="223">
        <f>IF('CONTROLE EJ'!B42="","",'CONTROLE EJ'!B42)</f>
        <v/>
      </c>
      <c r="C40" s="223">
        <f>IF('CONTROLE EJ'!C42="","",'CONTROLE EJ'!C42)</f>
        <v/>
      </c>
      <c r="D40" s="42">
        <f>IF('CONTROLE EJ'!D42="","",'CONTROLE EJ'!D42)</f>
        <v/>
      </c>
      <c r="E40" s="44">
        <f>IF('CONTROLE CMM'!B42="","",'CONTROLE CMM'!B42)</f>
        <v/>
      </c>
      <c r="F40" s="223">
        <f>IF('CONTROLE CMM'!C42="","",'CONTROLE CMM'!C42)</f>
        <v/>
      </c>
      <c r="G40" s="42">
        <f>IF('CONTROLE CMM'!D42="","",'CONTROLE CMM'!D42)</f>
        <v/>
      </c>
      <c r="H40" s="44">
        <f>IF('CONTROLE GLOBO AÇOS'!B42="","",'CONTROLE GLOBO AÇOS'!B42)</f>
        <v/>
      </c>
      <c r="I40" s="223">
        <f>IF('CONTROLE GLOBO AÇOS'!C42="","",'CONTROLE GLOBO AÇOS'!C42)</f>
        <v/>
      </c>
      <c r="J40" s="223">
        <f>IF('CONTROLE GLOBO AÇOS'!D42="","",'CONTROLE GLOBO AÇOS'!D42)</f>
        <v/>
      </c>
      <c r="U40" s="18" t="n"/>
      <c r="V40" s="64">
        <f>V38-V39</f>
        <v/>
      </c>
      <c r="W40" s="65" t="inlineStr">
        <is>
          <t>SALD A MONTAR</t>
        </is>
      </c>
      <c r="X40" s="64">
        <f>X38-X39</f>
        <v/>
      </c>
      <c r="Y40" s="64">
        <f>Y38-Y39</f>
        <v/>
      </c>
      <c r="Z40" s="64">
        <f>Z38-Z39</f>
        <v/>
      </c>
      <c r="AA40" s="64">
        <f>AA38-AA39</f>
        <v/>
      </c>
      <c r="AD40" s="39">
        <f>IF($A40="",0,IF(AND(WEEKDAY($A40,2)&lt;=5,OR($B40&lt;&gt;"",$C40&lt;&gt;"",$D40&lt;&gt;"")),1,0))</f>
        <v/>
      </c>
      <c r="AE40" s="39">
        <f>IF($A40="",0,IF(AND(WEEKDAY($A40,2)&lt;=5,OR($E40&lt;&gt;"",$F40&lt;&gt;"",$G40&lt;&gt;"")),1,0))</f>
        <v/>
      </c>
      <c r="AF40" s="39">
        <f>MAX(AD40,AE40)</f>
        <v/>
      </c>
      <c r="AH40" s="223">
        <f>IF('CONTROLE GLOBO AÇOS'!E42="","",'CONTROLE GLOBO AÇOS'!E42)</f>
        <v/>
      </c>
      <c r="AI40" s="223">
        <f>IF('CONTROLE GLOBO AÇOS'!F42="","",'CONTROLE GLOBO AÇOS'!F42)</f>
        <v/>
      </c>
      <c r="AJ40" s="223">
        <f>IF(AND('CONTROLE EJ'!E42="",'CONTROLE CMM'!E42=""),"",N('CONTROLE EJ'!E42)+N('CONTROLE CMM'!E42))</f>
        <v/>
      </c>
      <c r="AK40" s="223">
        <f>IF(AND('CONTROLE EJ'!F42="",'CONTROLE CMM'!F42=""),"",N('CONTROLE EJ'!F42)+N('CONTROLE CMM'!F42))</f>
        <v/>
      </c>
      <c r="AL40" s="223">
        <f>IF(AND('CONTROLE EJ'!G42="",'CONTROLE CMM'!G42=""),"",N('CONTROLE EJ'!G42)+N('CONTROLE CMM'!G42))</f>
        <v/>
      </c>
      <c r="AM40" s="223">
        <f>IF(AND('CONTROLE EJ'!H42="",'CONTROLE CMM'!H42=""),"",N('CONTROLE EJ'!H42)+N('CONTROLE CMM'!H42))</f>
        <v/>
      </c>
      <c r="AN40" s="223">
        <f>IF('CONTROLE GLOBO AÇOS'!G42="","",'CONTROLE GLOBO AÇOS'!G42)</f>
        <v/>
      </c>
      <c r="AO40" s="223">
        <f>IF('CONTROLE GLOBO AÇOS'!H42="","",'CONTROLE GLOBO AÇOS'!H42)</f>
        <v/>
      </c>
      <c r="AP40" s="223">
        <f>IF(AND('CONTROLE EJ'!I42="",'CONTROLE CMM'!I42=""),"",N('CONTROLE EJ'!I42)+N('CONTROLE CMM'!I42))</f>
        <v/>
      </c>
      <c r="AQ40" s="223">
        <f>IF(AND('CONTROLE EJ'!J42="",'CONTROLE CMM'!#REF!=""),"",N('CONTROLE EJ'!J42)+N('CONTROLE CMM'!#REF!))</f>
        <v/>
      </c>
      <c r="AR40" s="223">
        <f>IF('CONTROLE GLOBO AÇOS'!I42="","",'CONTROLE GLOBO AÇOS'!I42)</f>
        <v/>
      </c>
      <c r="AS40" s="223">
        <f>IF('CONTROLE GLOBO AÇOS'!J42="","",'CONTROLE GLOBO AÇOS'!J42)</f>
        <v/>
      </c>
      <c r="AT40" s="223">
        <f>IF(#REF!="","",#REF!)</f>
        <v/>
      </c>
      <c r="AU40" s="223">
        <f>IF('CONTROLE GLOBO AÇOS'!K42="","",'CONTROLE GLOBO AÇOS'!K42)</f>
        <v/>
      </c>
      <c r="AV40" s="223">
        <f>IF(AND('CONTROLE EJ'!K42="",'CONTROLE CMM'!#REF!=""),"",N('CONTROLE EJ'!K42)+N('CONTROLE CMM'!#REF!))</f>
        <v/>
      </c>
      <c r="AW40" s="223">
        <f>IF('CONTROLE GLOBO AÇOS'!L42="","",'CONTROLE GLOBO AÇOS'!L42)</f>
        <v/>
      </c>
      <c r="AX40" s="223">
        <f>IF(AND('CONTROLE EJ'!L42="",'CONTROLE CMM'!#REF!=""),"",N('CONTROLE EJ'!L42)+N('CONTROLE CMM'!#REF!))</f>
        <v/>
      </c>
      <c r="AY40" s="223">
        <f>IF('CONTROLE GLOBO AÇOS'!M42="","",'CONTROLE GLOBO AÇOS'!M42)</f>
        <v/>
      </c>
      <c r="AZ40" s="223">
        <f>IF('CONTROLE GLOBO AÇOS'!N42="","",'CONTROLE GLOBO AÇOS'!N42)</f>
        <v/>
      </c>
      <c r="BA40" s="223">
        <f>IF(AND('CONTROLE EJ'!M42="",'CONTROLE CMM'!#REF!=""),"",N('CONTROLE EJ'!M42)+N('CONTROLE CMM'!#REF!))</f>
        <v/>
      </c>
      <c r="BB40" s="223">
        <f>IF(#REF!="","",#REF!)</f>
        <v/>
      </c>
      <c r="BC40" s="223">
        <f>IF('CONTROLE GLOBO AÇOS'!O42="","",'CONTROLE GLOBO AÇOS'!O42)</f>
        <v/>
      </c>
      <c r="BD40" s="223">
        <f>IF(AND('CONTROLE EJ'!N42="",'CONTROLE CMM'!#REF!=""),"",N('CONTROLE EJ'!N42)+N('CONTROLE CMM'!#REF!))</f>
        <v/>
      </c>
      <c r="BE40" s="223">
        <f>IF('CONTROLE GLOBO AÇOS'!P42="","",'CONTROLE GLOBO AÇOS'!P42)</f>
        <v/>
      </c>
      <c r="BF40" s="223">
        <f>IF('CONTROLE GLOBO AÇOS'!Q42="","",'CONTROLE GLOBO AÇOS'!Q42)</f>
        <v/>
      </c>
      <c r="BG40" s="223">
        <f>IF('CONTROLE GLOBO AÇOS'!R42="","",'CONTROLE GLOBO AÇOS'!R42)</f>
        <v/>
      </c>
      <c r="BH40" s="223">
        <f>IF(AND('CONTROLE EJ'!O42="",'CONTROLE CMM'!#REF!=""),"",N('CONTROLE EJ'!O42)+N('CONTROLE CMM'!#REF!))</f>
        <v/>
      </c>
      <c r="BI40" s="223">
        <f>IF('CONTROLE GLOBO AÇOS'!S42="","",'CONTROLE GLOBO AÇOS'!S42)</f>
        <v/>
      </c>
      <c r="BJ40" s="223">
        <f>IF('CONTROLE GLOBO AÇOS'!T42="","",'CONTROLE GLOBO AÇOS'!T42)</f>
        <v/>
      </c>
      <c r="BK40" s="223">
        <f>IF('CONTROLE GLOBO AÇOS'!U42="","",'CONTROLE GLOBO AÇOS'!U42)</f>
        <v/>
      </c>
      <c r="BL40" s="223">
        <f>IF(AND('CONTROLE EJ'!P42="",'CONTROLE CMM'!#REF!=""),"",N('CONTROLE EJ'!P42)+N('CONTROLE CMM'!#REF!))</f>
        <v/>
      </c>
      <c r="BM40" s="223">
        <f>IF(AND('CONTROLE EJ'!Q42="",'CONTROLE CMM'!#REF!=""),"",N('CONTROLE EJ'!Q42)+N('CONTROLE CMM'!#REF!))</f>
        <v/>
      </c>
      <c r="BN40" s="223">
        <f>IF('CONTROLE GLOBO AÇOS'!V42="","",'CONTROLE GLOBO AÇOS'!V42)</f>
        <v/>
      </c>
      <c r="BO40" s="223">
        <f>IF('CONTROLE GLOBO AÇOS'!W42="","",'CONTROLE GLOBO AÇOS'!W42)</f>
        <v/>
      </c>
      <c r="BP40" s="223">
        <f>IF(AND('CONTROLE EJ'!R42="",'CONTROLE CMM'!#REF!=""),"",N('CONTROLE EJ'!R42)+N('CONTROLE CMM'!#REF!))</f>
        <v/>
      </c>
      <c r="BQ40" s="223">
        <f>IF(#REF!="","",#REF!)</f>
        <v/>
      </c>
      <c r="BR40" s="223">
        <f>IF(AND('CONTROLE EJ'!S42="",'CONTROLE CMM'!#REF!=""),"",N('CONTROLE EJ'!S42)+N('CONTROLE CMM'!#REF!))</f>
        <v/>
      </c>
      <c r="BS40" s="223">
        <f>IF(AND('CONTROLE EJ'!T42="",'CONTROLE CMM'!#REF!=""),"",N('CONTROLE EJ'!T42)+N('CONTROLE CMM'!#REF!))</f>
        <v/>
      </c>
      <c r="BT40" s="223">
        <f>IF('CONTROLE GLOBO AÇOS'!X42="","",'CONTROLE GLOBO AÇOS'!X42)</f>
        <v/>
      </c>
      <c r="BU40" s="223">
        <f>IF('CONTROLE GLOBO AÇOS'!Y42="","",'CONTROLE GLOBO AÇOS'!Y42)</f>
        <v/>
      </c>
      <c r="BV40" s="223">
        <f>IF(AND('CONTROLE EJ'!U42="",'CONTROLE CMM'!#REF!=""),"",N('CONTROLE EJ'!U42)+N('CONTROLE CMM'!#REF!))</f>
        <v/>
      </c>
      <c r="BW40" s="223">
        <f>IF(#REF!="","",#REF!)</f>
        <v/>
      </c>
    </row>
    <row r="41" hidden="1">
      <c r="A41" s="282" t="n">
        <v>46258</v>
      </c>
      <c r="B41" s="223">
        <f>IF('CONTROLE EJ'!B43="","",'CONTROLE EJ'!B43)</f>
        <v/>
      </c>
      <c r="C41" s="223">
        <f>IF('CONTROLE EJ'!C43="","",'CONTROLE EJ'!C43)</f>
        <v/>
      </c>
      <c r="D41" s="42">
        <f>IF('CONTROLE EJ'!D43="","",'CONTROLE EJ'!D43)</f>
        <v/>
      </c>
      <c r="E41" s="44">
        <f>IF('CONTROLE CMM'!B43="","",'CONTROLE CMM'!B43)</f>
        <v/>
      </c>
      <c r="F41" s="223">
        <f>IF('CONTROLE CMM'!C43="","",'CONTROLE CMM'!C43)</f>
        <v/>
      </c>
      <c r="G41" s="42">
        <f>IF('CONTROLE CMM'!D43="","",'CONTROLE CMM'!D43)</f>
        <v/>
      </c>
      <c r="H41" s="44">
        <f>IF('CONTROLE GLOBO AÇOS'!B43="","",'CONTROLE GLOBO AÇOS'!B43)</f>
        <v/>
      </c>
      <c r="I41" s="223">
        <f>IF('CONTROLE GLOBO AÇOS'!C43="","",'CONTROLE GLOBO AÇOS'!C43)</f>
        <v/>
      </c>
      <c r="J41" s="223">
        <f>IF('CONTROLE GLOBO AÇOS'!D43="","",'CONTROLE GLOBO AÇOS'!D43)</f>
        <v/>
      </c>
      <c r="U41" s="18" t="n"/>
      <c r="V41" s="18" t="n">
        <v>299</v>
      </c>
      <c r="W41" s="18" t="inlineStr">
        <is>
          <t xml:space="preserve">PREMONTADAS </t>
        </is>
      </c>
      <c r="X41" s="18" t="n">
        <v>291</v>
      </c>
      <c r="Y41" s="18" t="n">
        <v>8</v>
      </c>
      <c r="Z41" s="18" t="n">
        <v>0</v>
      </c>
      <c r="AA41" s="18" t="n">
        <v>0</v>
      </c>
      <c r="AD41" s="39">
        <f>IF($A41="",0,IF(AND(WEEKDAY($A41,2)&lt;=5,OR($B41&lt;&gt;"",$C41&lt;&gt;"",$D41&lt;&gt;"")),1,0))</f>
        <v/>
      </c>
      <c r="AE41" s="39">
        <f>IF($A41="",0,IF(AND(WEEKDAY($A41,2)&lt;=5,OR($E41&lt;&gt;"",$F41&lt;&gt;"",$G41&lt;&gt;"")),1,0))</f>
        <v/>
      </c>
      <c r="AF41" s="39">
        <f>MAX(AD41,AE41)</f>
        <v/>
      </c>
      <c r="AH41" s="223">
        <f>IF('CONTROLE GLOBO AÇOS'!E43="","",'CONTROLE GLOBO AÇOS'!E43)</f>
        <v/>
      </c>
      <c r="AI41" s="223">
        <f>IF('CONTROLE GLOBO AÇOS'!F43="","",'CONTROLE GLOBO AÇOS'!F43)</f>
        <v/>
      </c>
      <c r="AJ41" s="223">
        <f>IF(AND('CONTROLE EJ'!E43="",'CONTROLE CMM'!E43=""),"",N('CONTROLE EJ'!E43)+N('CONTROLE CMM'!E43))</f>
        <v/>
      </c>
      <c r="AK41" s="223">
        <f>IF(AND('CONTROLE EJ'!F43="",'CONTROLE CMM'!F43=""),"",N('CONTROLE EJ'!F43)+N('CONTROLE CMM'!F43))</f>
        <v/>
      </c>
      <c r="AL41" s="223">
        <f>IF(AND('CONTROLE EJ'!G43="",'CONTROLE CMM'!G43=""),"",N('CONTROLE EJ'!G43)+N('CONTROLE CMM'!G43))</f>
        <v/>
      </c>
      <c r="AM41" s="223">
        <f>IF(AND('CONTROLE EJ'!H43="",'CONTROLE CMM'!H43=""),"",N('CONTROLE EJ'!H43)+N('CONTROLE CMM'!H43))</f>
        <v/>
      </c>
      <c r="AN41" s="223">
        <f>IF('CONTROLE GLOBO AÇOS'!G43="","",'CONTROLE GLOBO AÇOS'!G43)</f>
        <v/>
      </c>
      <c r="AO41" s="223">
        <f>IF('CONTROLE GLOBO AÇOS'!H43="","",'CONTROLE GLOBO AÇOS'!H43)</f>
        <v/>
      </c>
      <c r="AP41" s="223">
        <f>IF(AND('CONTROLE EJ'!I43="",'CONTROLE CMM'!I43=""),"",N('CONTROLE EJ'!I43)+N('CONTROLE CMM'!I43))</f>
        <v/>
      </c>
      <c r="AQ41" s="223">
        <f>IF(AND('CONTROLE EJ'!J43="",'CONTROLE CMM'!#REF!=""),"",N('CONTROLE EJ'!J43)+N('CONTROLE CMM'!#REF!))</f>
        <v/>
      </c>
      <c r="AR41" s="223">
        <f>IF('CONTROLE GLOBO AÇOS'!I43="","",'CONTROLE GLOBO AÇOS'!I43)</f>
        <v/>
      </c>
      <c r="AS41" s="223">
        <f>IF('CONTROLE GLOBO AÇOS'!J43="","",'CONTROLE GLOBO AÇOS'!J43)</f>
        <v/>
      </c>
      <c r="AT41" s="223">
        <f>IF(#REF!="","",#REF!)</f>
        <v/>
      </c>
      <c r="AU41" s="223">
        <f>IF('CONTROLE GLOBO AÇOS'!K43="","",'CONTROLE GLOBO AÇOS'!K43)</f>
        <v/>
      </c>
      <c r="AV41" s="223">
        <f>IF(AND('CONTROLE EJ'!K43="",'CONTROLE CMM'!#REF!=""),"",N('CONTROLE EJ'!K43)+N('CONTROLE CMM'!#REF!))</f>
        <v/>
      </c>
      <c r="AW41" s="223">
        <f>IF('CONTROLE GLOBO AÇOS'!L43="","",'CONTROLE GLOBO AÇOS'!L43)</f>
        <v/>
      </c>
      <c r="AX41" s="223">
        <f>IF(AND('CONTROLE EJ'!L43="",'CONTROLE CMM'!#REF!=""),"",N('CONTROLE EJ'!L43)+N('CONTROLE CMM'!#REF!))</f>
        <v/>
      </c>
      <c r="AY41" s="223">
        <f>IF('CONTROLE GLOBO AÇOS'!M43="","",'CONTROLE GLOBO AÇOS'!M43)</f>
        <v/>
      </c>
      <c r="AZ41" s="223">
        <f>IF('CONTROLE GLOBO AÇOS'!N43="","",'CONTROLE GLOBO AÇOS'!N43)</f>
        <v/>
      </c>
      <c r="BA41" s="223">
        <f>IF(AND('CONTROLE EJ'!M43="",'CONTROLE CMM'!#REF!=""),"",N('CONTROLE EJ'!M43)+N('CONTROLE CMM'!#REF!))</f>
        <v/>
      </c>
      <c r="BB41" s="223">
        <f>IF(#REF!="","",#REF!)</f>
        <v/>
      </c>
      <c r="BC41" s="223">
        <f>IF('CONTROLE GLOBO AÇOS'!O43="","",'CONTROLE GLOBO AÇOS'!O43)</f>
        <v/>
      </c>
      <c r="BD41" s="223">
        <f>IF(AND('CONTROLE EJ'!N43="",'CONTROLE CMM'!#REF!=""),"",N('CONTROLE EJ'!N43)+N('CONTROLE CMM'!#REF!))</f>
        <v/>
      </c>
      <c r="BE41" s="223">
        <f>IF('CONTROLE GLOBO AÇOS'!P43="","",'CONTROLE GLOBO AÇOS'!P43)</f>
        <v/>
      </c>
      <c r="BF41" s="223">
        <f>IF('CONTROLE GLOBO AÇOS'!Q43="","",'CONTROLE GLOBO AÇOS'!Q43)</f>
        <v/>
      </c>
      <c r="BG41" s="223">
        <f>IF('CONTROLE GLOBO AÇOS'!R43="","",'CONTROLE GLOBO AÇOS'!R43)</f>
        <v/>
      </c>
      <c r="BH41" s="223">
        <f>IF(AND('CONTROLE EJ'!O43="",'CONTROLE CMM'!#REF!=""),"",N('CONTROLE EJ'!O43)+N('CONTROLE CMM'!#REF!))</f>
        <v/>
      </c>
      <c r="BI41" s="223">
        <f>IF('CONTROLE GLOBO AÇOS'!S43="","",'CONTROLE GLOBO AÇOS'!S43)</f>
        <v/>
      </c>
      <c r="BJ41" s="223">
        <f>IF('CONTROLE GLOBO AÇOS'!T43="","",'CONTROLE GLOBO AÇOS'!T43)</f>
        <v/>
      </c>
      <c r="BK41" s="223">
        <f>IF('CONTROLE GLOBO AÇOS'!U43="","",'CONTROLE GLOBO AÇOS'!U43)</f>
        <v/>
      </c>
      <c r="BL41" s="223">
        <f>IF(AND('CONTROLE EJ'!P43="",'CONTROLE CMM'!#REF!=""),"",N('CONTROLE EJ'!P43)+N('CONTROLE CMM'!#REF!))</f>
        <v/>
      </c>
      <c r="BM41" s="223">
        <f>IF(AND('CONTROLE EJ'!Q43="",'CONTROLE CMM'!#REF!=""),"",N('CONTROLE EJ'!Q43)+N('CONTROLE CMM'!#REF!))</f>
        <v/>
      </c>
      <c r="BN41" s="223">
        <f>IF('CONTROLE GLOBO AÇOS'!V43="","",'CONTROLE GLOBO AÇOS'!V43)</f>
        <v/>
      </c>
      <c r="BO41" s="223">
        <f>IF('CONTROLE GLOBO AÇOS'!W43="","",'CONTROLE GLOBO AÇOS'!W43)</f>
        <v/>
      </c>
      <c r="BP41" s="223">
        <f>IF(AND('CONTROLE EJ'!R43="",'CONTROLE CMM'!#REF!=""),"",N('CONTROLE EJ'!R43)+N('CONTROLE CMM'!#REF!))</f>
        <v/>
      </c>
      <c r="BQ41" s="223">
        <f>IF(#REF!="","",#REF!)</f>
        <v/>
      </c>
      <c r="BR41" s="223">
        <f>IF(AND('CONTROLE EJ'!S43="",'CONTROLE CMM'!#REF!=""),"",N('CONTROLE EJ'!S43)+N('CONTROLE CMM'!#REF!))</f>
        <v/>
      </c>
      <c r="BS41" s="223">
        <f>IF(AND('CONTROLE EJ'!T43="",'CONTROLE CMM'!#REF!=""),"",N('CONTROLE EJ'!T43)+N('CONTROLE CMM'!#REF!))</f>
        <v/>
      </c>
      <c r="BT41" s="223">
        <f>IF('CONTROLE GLOBO AÇOS'!X43="","",'CONTROLE GLOBO AÇOS'!X43)</f>
        <v/>
      </c>
      <c r="BU41" s="223">
        <f>IF('CONTROLE GLOBO AÇOS'!Y43="","",'CONTROLE GLOBO AÇOS'!Y43)</f>
        <v/>
      </c>
      <c r="BV41" s="223">
        <f>IF(AND('CONTROLE EJ'!U43="",'CONTROLE CMM'!#REF!=""),"",N('CONTROLE EJ'!U43)+N('CONTROLE CMM'!#REF!))</f>
        <v/>
      </c>
      <c r="BW41" s="223">
        <f>IF(#REF!="","",#REF!)</f>
        <v/>
      </c>
    </row>
    <row r="42">
      <c r="A42" s="282" t="n">
        <v>46259</v>
      </c>
      <c r="B42" s="223">
        <f>IF('CONTROLE EJ'!B44="","",'CONTROLE EJ'!B44)</f>
        <v/>
      </c>
      <c r="C42" s="223">
        <f>IF('CONTROLE EJ'!C44="","",'CONTROLE EJ'!C44)</f>
        <v/>
      </c>
      <c r="D42" s="42">
        <f>IF('CONTROLE EJ'!D44="","",'CONTROLE EJ'!D44)</f>
        <v/>
      </c>
      <c r="E42" s="44">
        <f>IF('CONTROLE CMM'!B44="","",'CONTROLE CMM'!B44)</f>
        <v/>
      </c>
      <c r="F42" s="223">
        <f>IF('CONTROLE CMM'!C44="","",'CONTROLE CMM'!C44)</f>
        <v/>
      </c>
      <c r="G42" s="42">
        <f>IF('CONTROLE CMM'!D44="","",'CONTROLE CMM'!D44)</f>
        <v/>
      </c>
      <c r="H42" s="44">
        <f>IF('CONTROLE GLOBO AÇOS'!B44="","",'CONTROLE GLOBO AÇOS'!B44)</f>
        <v/>
      </c>
      <c r="I42" s="223">
        <f>IF('CONTROLE GLOBO AÇOS'!C44="","",'CONTROLE GLOBO AÇOS'!C44)</f>
        <v/>
      </c>
      <c r="J42" s="223">
        <f>IF('CONTROLE GLOBO AÇOS'!D44="","",'CONTROLE GLOBO AÇOS'!D44)</f>
        <v/>
      </c>
      <c r="U42" s="66">
        <f>SUM(V42:W42)</f>
        <v/>
      </c>
      <c r="V42" s="67" t="n">
        <v>299</v>
      </c>
      <c r="W42" s="65">
        <f>SUM(X42:AA42)</f>
        <v/>
      </c>
      <c r="X42" s="18">
        <f>X38-X41</f>
        <v/>
      </c>
      <c r="Y42" s="18">
        <f>Y38-Y41</f>
        <v/>
      </c>
      <c r="Z42" s="18">
        <f>Z38-Z41</f>
        <v/>
      </c>
      <c r="AA42" s="18">
        <f>AA38-AA41</f>
        <v/>
      </c>
      <c r="AD42" s="39">
        <f>IF($A42="",0,IF(AND(WEEKDAY($A42,2)&lt;=5,OR($B42&lt;&gt;"",$C42&lt;&gt;"",$D42&lt;&gt;"")),1,0))</f>
        <v/>
      </c>
      <c r="AE42" s="39">
        <f>IF($A42="",0,IF(AND(WEEKDAY($A42,2)&lt;=5,OR($E42&lt;&gt;"",$F42&lt;&gt;"",$G42&lt;&gt;"")),1,0))</f>
        <v/>
      </c>
      <c r="AF42" s="39">
        <f>MAX(AD42,AE42)</f>
        <v/>
      </c>
      <c r="AH42" s="223">
        <f>IF('CONTROLE GLOBO AÇOS'!E44="","",'CONTROLE GLOBO AÇOS'!E44)</f>
        <v/>
      </c>
      <c r="AI42" s="223">
        <f>IF('CONTROLE GLOBO AÇOS'!F44="","",'CONTROLE GLOBO AÇOS'!F44)</f>
        <v/>
      </c>
      <c r="AJ42" s="223">
        <f>IF(AND('CONTROLE EJ'!E44="",'CONTROLE CMM'!E44=""),"",N('CONTROLE EJ'!E44)+N('CONTROLE CMM'!E44))</f>
        <v/>
      </c>
      <c r="AK42" s="223">
        <f>IF(AND('CONTROLE EJ'!F44="",'CONTROLE CMM'!F44=""),"",N('CONTROLE EJ'!F44)+N('CONTROLE CMM'!F44))</f>
        <v/>
      </c>
      <c r="AL42" s="223">
        <f>IF(AND('CONTROLE EJ'!G44="",'CONTROLE CMM'!G44=""),"",N('CONTROLE EJ'!G44)+N('CONTROLE CMM'!G44))</f>
        <v/>
      </c>
      <c r="AM42" s="223">
        <f>IF(AND('CONTROLE EJ'!H44="",'CONTROLE CMM'!H44=""),"",N('CONTROLE EJ'!H44)+N('CONTROLE CMM'!H44))</f>
        <v/>
      </c>
      <c r="AN42" s="223">
        <f>IF('CONTROLE GLOBO AÇOS'!G44="","",'CONTROLE GLOBO AÇOS'!G44)</f>
        <v/>
      </c>
      <c r="AO42" s="223">
        <f>IF('CONTROLE GLOBO AÇOS'!H44="","",'CONTROLE GLOBO AÇOS'!H44)</f>
        <v/>
      </c>
      <c r="AP42" s="223">
        <f>IF(AND('CONTROLE EJ'!I44="",'CONTROLE CMM'!I44=""),"",N('CONTROLE EJ'!I44)+N('CONTROLE CMM'!I44))</f>
        <v/>
      </c>
      <c r="AQ42" s="223">
        <f>IF(AND('CONTROLE EJ'!J44="",'CONTROLE CMM'!#REF!=""),"",N('CONTROLE EJ'!J44)+N('CONTROLE CMM'!#REF!))</f>
        <v/>
      </c>
      <c r="AR42" s="223">
        <f>IF('CONTROLE GLOBO AÇOS'!I44="","",'CONTROLE GLOBO AÇOS'!I44)</f>
        <v/>
      </c>
      <c r="AS42" s="223">
        <f>IF('CONTROLE GLOBO AÇOS'!J44="","",'CONTROLE GLOBO AÇOS'!J44)</f>
        <v/>
      </c>
      <c r="AT42" s="223">
        <f>IF(#REF!="","",#REF!)</f>
        <v/>
      </c>
      <c r="AU42" s="223">
        <f>IF('CONTROLE GLOBO AÇOS'!K44="","",'CONTROLE GLOBO AÇOS'!K44)</f>
        <v/>
      </c>
      <c r="AV42" s="223">
        <f>IF(AND('CONTROLE EJ'!K44="",'CONTROLE CMM'!#REF!=""),"",N('CONTROLE EJ'!K44)+N('CONTROLE CMM'!#REF!))</f>
        <v/>
      </c>
      <c r="AW42" s="223">
        <f>IF('CONTROLE GLOBO AÇOS'!L44="","",'CONTROLE GLOBO AÇOS'!L44)</f>
        <v/>
      </c>
      <c r="AX42" s="223">
        <f>IF(AND('CONTROLE EJ'!L44="",'CONTROLE CMM'!#REF!=""),"",N('CONTROLE EJ'!L44)+N('CONTROLE CMM'!#REF!))</f>
        <v/>
      </c>
      <c r="AY42" s="223">
        <f>IF('CONTROLE GLOBO AÇOS'!M44="","",'CONTROLE GLOBO AÇOS'!M44)</f>
        <v/>
      </c>
      <c r="AZ42" s="223">
        <f>IF('CONTROLE GLOBO AÇOS'!N44="","",'CONTROLE GLOBO AÇOS'!N44)</f>
        <v/>
      </c>
      <c r="BA42" s="223">
        <f>IF(AND('CONTROLE EJ'!M44="",'CONTROLE CMM'!#REF!=""),"",N('CONTROLE EJ'!M44)+N('CONTROLE CMM'!#REF!))</f>
        <v/>
      </c>
      <c r="BB42" s="223">
        <f>IF(#REF!="","",#REF!)</f>
        <v/>
      </c>
      <c r="BC42" s="223">
        <f>IF('CONTROLE GLOBO AÇOS'!O44="","",'CONTROLE GLOBO AÇOS'!O44)</f>
        <v/>
      </c>
      <c r="BD42" s="223">
        <f>IF(AND('CONTROLE EJ'!N44="",'CONTROLE CMM'!#REF!=""),"",N('CONTROLE EJ'!N44)+N('CONTROLE CMM'!#REF!))</f>
        <v/>
      </c>
      <c r="BE42" s="223">
        <f>IF('CONTROLE GLOBO AÇOS'!P44="","",'CONTROLE GLOBO AÇOS'!P44)</f>
        <v/>
      </c>
      <c r="BF42" s="223">
        <f>IF('CONTROLE GLOBO AÇOS'!Q44="","",'CONTROLE GLOBO AÇOS'!Q44)</f>
        <v/>
      </c>
      <c r="BG42" s="223">
        <f>IF('CONTROLE GLOBO AÇOS'!R44="","",'CONTROLE GLOBO AÇOS'!R44)</f>
        <v/>
      </c>
      <c r="BH42" s="223">
        <f>IF(AND('CONTROLE EJ'!O44="",'CONTROLE CMM'!#REF!=""),"",N('CONTROLE EJ'!O44)+N('CONTROLE CMM'!#REF!))</f>
        <v/>
      </c>
      <c r="BI42" s="223">
        <f>IF('CONTROLE GLOBO AÇOS'!S44="","",'CONTROLE GLOBO AÇOS'!S44)</f>
        <v/>
      </c>
      <c r="BJ42" s="223">
        <f>IF('CONTROLE GLOBO AÇOS'!T44="","",'CONTROLE GLOBO AÇOS'!T44)</f>
        <v/>
      </c>
      <c r="BK42" s="223">
        <f>IF('CONTROLE GLOBO AÇOS'!U44="","",'CONTROLE GLOBO AÇOS'!U44)</f>
        <v/>
      </c>
      <c r="BL42" s="223">
        <f>IF(AND('CONTROLE EJ'!P44="",'CONTROLE CMM'!#REF!=""),"",N('CONTROLE EJ'!P44)+N('CONTROLE CMM'!#REF!))</f>
        <v/>
      </c>
      <c r="BM42" s="223">
        <f>IF(AND('CONTROLE EJ'!Q44="",'CONTROLE CMM'!#REF!=""),"",N('CONTROLE EJ'!Q44)+N('CONTROLE CMM'!#REF!))</f>
        <v/>
      </c>
      <c r="BN42" s="223">
        <f>IF('CONTROLE GLOBO AÇOS'!V44="","",'CONTROLE GLOBO AÇOS'!V44)</f>
        <v/>
      </c>
      <c r="BO42" s="223">
        <f>IF('CONTROLE GLOBO AÇOS'!W44="","",'CONTROLE GLOBO AÇOS'!W44)</f>
        <v/>
      </c>
      <c r="BP42" s="223">
        <f>IF(AND('CONTROLE EJ'!R44="",'CONTROLE CMM'!#REF!=""),"",N('CONTROLE EJ'!R44)+N('CONTROLE CMM'!#REF!))</f>
        <v/>
      </c>
      <c r="BQ42" s="223">
        <f>IF(#REF!="","",#REF!)</f>
        <v/>
      </c>
      <c r="BR42" s="223">
        <f>IF(AND('CONTROLE EJ'!S44="",'CONTROLE CMM'!#REF!=""),"",N('CONTROLE EJ'!S44)+N('CONTROLE CMM'!#REF!))</f>
        <v/>
      </c>
      <c r="BS42" s="223">
        <f>IF(AND('CONTROLE EJ'!T44="",'CONTROLE CMM'!#REF!=""),"",N('CONTROLE EJ'!T44)+N('CONTROLE CMM'!#REF!))</f>
        <v/>
      </c>
      <c r="BT42" s="223">
        <f>IF('CONTROLE GLOBO AÇOS'!X44="","",'CONTROLE GLOBO AÇOS'!X44)</f>
        <v/>
      </c>
      <c r="BU42" s="223">
        <f>IF('CONTROLE GLOBO AÇOS'!Y44="","",'CONTROLE GLOBO AÇOS'!Y44)</f>
        <v/>
      </c>
      <c r="BV42" s="223">
        <f>IF(AND('CONTROLE EJ'!U44="",'CONTROLE CMM'!#REF!=""),"",N('CONTROLE EJ'!U44)+N('CONTROLE CMM'!#REF!))</f>
        <v/>
      </c>
      <c r="BW42" s="223">
        <f>IF(#REF!="","",#REF!)</f>
        <v/>
      </c>
    </row>
    <row r="43" ht="14.25" customHeight="1">
      <c r="A43" s="282" t="n">
        <v>46260</v>
      </c>
      <c r="B43" s="223">
        <f>IF('CONTROLE EJ'!B45="","",'CONTROLE EJ'!B45)</f>
        <v/>
      </c>
      <c r="C43" s="223">
        <f>IF('CONTROLE EJ'!C45="","",'CONTROLE EJ'!C45)</f>
        <v/>
      </c>
      <c r="D43" s="42">
        <f>IF('CONTROLE EJ'!D45="","",'CONTROLE EJ'!D45)</f>
        <v/>
      </c>
      <c r="E43" s="44">
        <f>IF('CONTROLE CMM'!B45="","",'CONTROLE CMM'!B45)</f>
        <v/>
      </c>
      <c r="F43" s="223">
        <f>IF('CONTROLE CMM'!C45="","",'CONTROLE CMM'!C45)</f>
        <v/>
      </c>
      <c r="G43" s="42">
        <f>IF('CONTROLE CMM'!D45="","",'CONTROLE CMM'!D45)</f>
        <v/>
      </c>
      <c r="H43" s="44">
        <f>IF('CONTROLE GLOBO AÇOS'!B45="","",'CONTROLE GLOBO AÇOS'!B45)</f>
        <v/>
      </c>
      <c r="I43" s="223">
        <f>IF('CONTROLE GLOBO AÇOS'!C45="","",'CONTROLE GLOBO AÇOS'!C45)</f>
        <v/>
      </c>
      <c r="J43" s="223">
        <f>IF('CONTROLE GLOBO AÇOS'!D45="","",'CONTROLE GLOBO AÇOS'!D45)</f>
        <v/>
      </c>
      <c r="U43" s="224" t="inlineStr">
        <is>
          <t>PREMONTAEGEM</t>
        </is>
      </c>
      <c r="V43" s="18" t="inlineStr">
        <is>
          <t>CMM</t>
        </is>
      </c>
      <c r="W43" s="223">
        <f>P3</f>
        <v/>
      </c>
      <c r="X43" s="18" t="n">
        <v>0</v>
      </c>
      <c r="Y43" s="18" t="n">
        <v>0</v>
      </c>
      <c r="Z43" s="18" t="n">
        <v>21</v>
      </c>
      <c r="AA43" s="18" t="n">
        <v>1</v>
      </c>
      <c r="AB43" s="16">
        <f>SUM(X42:AA42)</f>
        <v/>
      </c>
      <c r="AD43" s="39">
        <f>IF($A43="",0,IF(AND(WEEKDAY($A43,2)&lt;=5,OR($B43&lt;&gt;"",$C43&lt;&gt;"",$D43&lt;&gt;"")),1,0))</f>
        <v/>
      </c>
      <c r="AE43" s="39">
        <f>IF($A43="",0,IF(AND(WEEKDAY($A43,2)&lt;=5,OR($E43&lt;&gt;"",$F43&lt;&gt;"",$G43&lt;&gt;"")),1,0))</f>
        <v/>
      </c>
      <c r="AF43" s="39">
        <f>MAX(AD43,AE43)</f>
        <v/>
      </c>
      <c r="AH43" s="223">
        <f>IF('CONTROLE GLOBO AÇOS'!E45="","",'CONTROLE GLOBO AÇOS'!E45)</f>
        <v/>
      </c>
      <c r="AI43" s="223">
        <f>IF('CONTROLE GLOBO AÇOS'!F45="","",'CONTROLE GLOBO AÇOS'!F45)</f>
        <v/>
      </c>
      <c r="AJ43" s="223">
        <f>IF(AND('CONTROLE EJ'!E45="",'CONTROLE CMM'!E45=""),"",N('CONTROLE EJ'!E45)+N('CONTROLE CMM'!E45))</f>
        <v/>
      </c>
      <c r="AK43" s="223">
        <f>IF(AND('CONTROLE EJ'!F45="",'CONTROLE CMM'!F45=""),"",N('CONTROLE EJ'!F45)+N('CONTROLE CMM'!F45))</f>
        <v/>
      </c>
      <c r="AL43" s="223">
        <f>IF(AND('CONTROLE EJ'!G45="",'CONTROLE CMM'!G45=""),"",N('CONTROLE EJ'!G45)+N('CONTROLE CMM'!G45))</f>
        <v/>
      </c>
      <c r="AM43" s="223">
        <f>IF(AND('CONTROLE EJ'!H45="",'CONTROLE CMM'!H45=""),"",N('CONTROLE EJ'!H45)+N('CONTROLE CMM'!H45))</f>
        <v/>
      </c>
      <c r="AN43" s="223">
        <f>IF('CONTROLE GLOBO AÇOS'!G45="","",'CONTROLE GLOBO AÇOS'!G45)</f>
        <v/>
      </c>
      <c r="AO43" s="223">
        <f>IF('CONTROLE GLOBO AÇOS'!H45="","",'CONTROLE GLOBO AÇOS'!H45)</f>
        <v/>
      </c>
      <c r="AP43" s="223">
        <f>IF(AND('CONTROLE EJ'!I45="",'CONTROLE CMM'!I45=""),"",N('CONTROLE EJ'!I45)+N('CONTROLE CMM'!I45))</f>
        <v/>
      </c>
      <c r="AQ43" s="223">
        <f>IF(AND('CONTROLE EJ'!J45="",'CONTROLE CMM'!#REF!=""),"",N('CONTROLE EJ'!J45)+N('CONTROLE CMM'!#REF!))</f>
        <v/>
      </c>
      <c r="AR43" s="223">
        <f>IF('CONTROLE GLOBO AÇOS'!I45="","",'CONTROLE GLOBO AÇOS'!I45)</f>
        <v/>
      </c>
      <c r="AS43" s="223">
        <f>IF('CONTROLE GLOBO AÇOS'!J45="","",'CONTROLE GLOBO AÇOS'!J45)</f>
        <v/>
      </c>
      <c r="AT43" s="223">
        <f>IF(#REF!="","",#REF!)</f>
        <v/>
      </c>
      <c r="AU43" s="223">
        <f>IF('CONTROLE GLOBO AÇOS'!K45="","",'CONTROLE GLOBO AÇOS'!K45)</f>
        <v/>
      </c>
      <c r="AV43" s="223">
        <f>IF(AND('CONTROLE EJ'!K45="",'CONTROLE CMM'!#REF!=""),"",N('CONTROLE EJ'!K45)+N('CONTROLE CMM'!#REF!))</f>
        <v/>
      </c>
      <c r="AW43" s="223">
        <f>IF('CONTROLE GLOBO AÇOS'!L45="","",'CONTROLE GLOBO AÇOS'!L45)</f>
        <v/>
      </c>
      <c r="AX43" s="223">
        <f>IF(AND('CONTROLE EJ'!L45="",'CONTROLE CMM'!#REF!=""),"",N('CONTROLE EJ'!L45)+N('CONTROLE CMM'!#REF!))</f>
        <v/>
      </c>
      <c r="AY43" s="223">
        <f>IF('CONTROLE GLOBO AÇOS'!M45="","",'CONTROLE GLOBO AÇOS'!M45)</f>
        <v/>
      </c>
      <c r="AZ43" s="223">
        <f>IF('CONTROLE GLOBO AÇOS'!N45="","",'CONTROLE GLOBO AÇOS'!N45)</f>
        <v/>
      </c>
      <c r="BA43" s="223">
        <f>IF(AND('CONTROLE EJ'!M45="",'CONTROLE CMM'!#REF!=""),"",N('CONTROLE EJ'!M45)+N('CONTROLE CMM'!#REF!))</f>
        <v/>
      </c>
      <c r="BB43" s="223">
        <f>IF(#REF!="","",#REF!)</f>
        <v/>
      </c>
      <c r="BC43" s="223">
        <f>IF('CONTROLE GLOBO AÇOS'!O45="","",'CONTROLE GLOBO AÇOS'!O45)</f>
        <v/>
      </c>
      <c r="BD43" s="223">
        <f>IF(AND('CONTROLE EJ'!N45="",'CONTROLE CMM'!#REF!=""),"",N('CONTROLE EJ'!N45)+N('CONTROLE CMM'!#REF!))</f>
        <v/>
      </c>
      <c r="BE43" s="223">
        <f>IF('CONTROLE GLOBO AÇOS'!P45="","",'CONTROLE GLOBO AÇOS'!P45)</f>
        <v/>
      </c>
      <c r="BF43" s="223">
        <f>IF('CONTROLE GLOBO AÇOS'!Q45="","",'CONTROLE GLOBO AÇOS'!Q45)</f>
        <v/>
      </c>
      <c r="BG43" s="223">
        <f>IF('CONTROLE GLOBO AÇOS'!R45="","",'CONTROLE GLOBO AÇOS'!R45)</f>
        <v/>
      </c>
      <c r="BH43" s="223">
        <f>IF(AND('CONTROLE EJ'!O45="",'CONTROLE CMM'!#REF!=""),"",N('CONTROLE EJ'!O45)+N('CONTROLE CMM'!#REF!))</f>
        <v/>
      </c>
      <c r="BI43" s="223">
        <f>IF('CONTROLE GLOBO AÇOS'!S45="","",'CONTROLE GLOBO AÇOS'!S45)</f>
        <v/>
      </c>
      <c r="BJ43" s="223">
        <f>IF('CONTROLE GLOBO AÇOS'!T45="","",'CONTROLE GLOBO AÇOS'!T45)</f>
        <v/>
      </c>
      <c r="BK43" s="223">
        <f>IF('CONTROLE GLOBO AÇOS'!U45="","",'CONTROLE GLOBO AÇOS'!U45)</f>
        <v/>
      </c>
      <c r="BL43" s="223">
        <f>IF(AND('CONTROLE EJ'!P45="",'CONTROLE CMM'!#REF!=""),"",N('CONTROLE EJ'!P45)+N('CONTROLE CMM'!#REF!))</f>
        <v/>
      </c>
      <c r="BM43" s="223">
        <f>IF(AND('CONTROLE EJ'!Q45="",'CONTROLE CMM'!#REF!=""),"",N('CONTROLE EJ'!Q45)+N('CONTROLE CMM'!#REF!))</f>
        <v/>
      </c>
      <c r="BN43" s="223">
        <f>IF('CONTROLE GLOBO AÇOS'!V45="","",'CONTROLE GLOBO AÇOS'!V45)</f>
        <v/>
      </c>
      <c r="BO43" s="223">
        <f>IF('CONTROLE GLOBO AÇOS'!W45="","",'CONTROLE GLOBO AÇOS'!W45)</f>
        <v/>
      </c>
      <c r="BP43" s="223">
        <f>IF(AND('CONTROLE EJ'!R45="",'CONTROLE CMM'!#REF!=""),"",N('CONTROLE EJ'!R45)+N('CONTROLE CMM'!#REF!))</f>
        <v/>
      </c>
      <c r="BQ43" s="223">
        <f>IF(#REF!="","",#REF!)</f>
        <v/>
      </c>
      <c r="BR43" s="223">
        <f>IF(AND('CONTROLE EJ'!S45="",'CONTROLE CMM'!#REF!=""),"",N('CONTROLE EJ'!S45)+N('CONTROLE CMM'!#REF!))</f>
        <v/>
      </c>
      <c r="BS43" s="223">
        <f>IF(AND('CONTROLE EJ'!T45="",'CONTROLE CMM'!#REF!=""),"",N('CONTROLE EJ'!T45)+N('CONTROLE CMM'!#REF!))</f>
        <v/>
      </c>
      <c r="BT43" s="223">
        <f>IF('CONTROLE GLOBO AÇOS'!X45="","",'CONTROLE GLOBO AÇOS'!X45)</f>
        <v/>
      </c>
      <c r="BU43" s="223">
        <f>IF('CONTROLE GLOBO AÇOS'!Y45="","",'CONTROLE GLOBO AÇOS'!Y45)</f>
        <v/>
      </c>
      <c r="BV43" s="223">
        <f>IF(AND('CONTROLE EJ'!U45="",'CONTROLE CMM'!#REF!=""),"",N('CONTROLE EJ'!U45)+N('CONTROLE CMM'!#REF!))</f>
        <v/>
      </c>
      <c r="BW43" s="223">
        <f>IF(#REF!="","",#REF!)</f>
        <v/>
      </c>
    </row>
    <row r="44">
      <c r="A44" s="282" t="n">
        <v>46261</v>
      </c>
      <c r="B44" s="223">
        <f>IF('CONTROLE EJ'!B46="","",'CONTROLE EJ'!B46)</f>
        <v/>
      </c>
      <c r="C44" s="223">
        <f>IF('CONTROLE EJ'!C46="","",'CONTROLE EJ'!C46)</f>
        <v/>
      </c>
      <c r="D44" s="42">
        <f>IF('CONTROLE EJ'!D46="","",'CONTROLE EJ'!D46)</f>
        <v/>
      </c>
      <c r="E44" s="44">
        <f>IF('CONTROLE CMM'!B46="","",'CONTROLE CMM'!B46)</f>
        <v/>
      </c>
      <c r="F44" s="223">
        <f>IF('CONTROLE CMM'!C46="","",'CONTROLE CMM'!C46)</f>
        <v/>
      </c>
      <c r="G44" s="42">
        <f>IF('CONTROLE CMM'!D46="","",'CONTROLE CMM'!D46)</f>
        <v/>
      </c>
      <c r="H44" s="44">
        <f>IF('CONTROLE GLOBO AÇOS'!B46="","",'CONTROLE GLOBO AÇOS'!B46)</f>
        <v/>
      </c>
      <c r="I44" s="223">
        <f>IF('CONTROLE GLOBO AÇOS'!C46="","",'CONTROLE GLOBO AÇOS'!C46)</f>
        <v/>
      </c>
      <c r="J44" s="223">
        <f>IF('CONTROLE GLOBO AÇOS'!D46="","",'CONTROLE GLOBO AÇOS'!D46)</f>
        <v/>
      </c>
      <c r="U44" s="32" t="n"/>
      <c r="V44" s="18" t="inlineStr">
        <is>
          <t>EJ</t>
        </is>
      </c>
      <c r="W44" s="223">
        <f>L3</f>
        <v/>
      </c>
      <c r="X44" s="18" t="n">
        <v>36</v>
      </c>
      <c r="Y44" s="18" t="n">
        <v>8</v>
      </c>
      <c r="Z44" s="18" t="n">
        <v>20</v>
      </c>
      <c r="AA44" s="18" t="n">
        <v>1</v>
      </c>
      <c r="AD44" s="39">
        <f>IF($A44="",0,IF(AND(WEEKDAY($A44,2)&lt;=5,OR($B44&lt;&gt;"",$C44&lt;&gt;"",$D44&lt;&gt;"")),1,0))</f>
        <v/>
      </c>
      <c r="AE44" s="39">
        <f>IF($A44="",0,IF(AND(WEEKDAY($A44,2)&lt;=5,OR($E44&lt;&gt;"",$F44&lt;&gt;"",$G44&lt;&gt;"")),1,0))</f>
        <v/>
      </c>
      <c r="AF44" s="39">
        <f>MAX(AD44,AE44)</f>
        <v/>
      </c>
      <c r="AH44" s="223">
        <f>IF('CONTROLE GLOBO AÇOS'!E46="","",'CONTROLE GLOBO AÇOS'!E46)</f>
        <v/>
      </c>
      <c r="AI44" s="223">
        <f>IF('CONTROLE GLOBO AÇOS'!F46="","",'CONTROLE GLOBO AÇOS'!F46)</f>
        <v/>
      </c>
      <c r="AJ44" s="223">
        <f>IF(AND('CONTROLE EJ'!E46="",'CONTROLE CMM'!E46=""),"",N('CONTROLE EJ'!E46)+N('CONTROLE CMM'!E46))</f>
        <v/>
      </c>
      <c r="AK44" s="223">
        <f>IF(AND('CONTROLE EJ'!F46="",'CONTROLE CMM'!F46=""),"",N('CONTROLE EJ'!F46)+N('CONTROLE CMM'!F46))</f>
        <v/>
      </c>
      <c r="AL44" s="223">
        <f>IF(AND('CONTROLE EJ'!G46="",'CONTROLE CMM'!G46=""),"",N('CONTROLE EJ'!G46)+N('CONTROLE CMM'!G46))</f>
        <v/>
      </c>
      <c r="AM44" s="223">
        <f>IF(AND('CONTROLE EJ'!H46="",'CONTROLE CMM'!H46=""),"",N('CONTROLE EJ'!H46)+N('CONTROLE CMM'!H46))</f>
        <v/>
      </c>
      <c r="AN44" s="223">
        <f>IF('CONTROLE GLOBO AÇOS'!G46="","",'CONTROLE GLOBO AÇOS'!G46)</f>
        <v/>
      </c>
      <c r="AO44" s="223">
        <f>IF('CONTROLE GLOBO AÇOS'!H46="","",'CONTROLE GLOBO AÇOS'!H46)</f>
        <v/>
      </c>
      <c r="AP44" s="223">
        <f>IF(AND('CONTROLE EJ'!I46="",'CONTROLE CMM'!I46=""),"",N('CONTROLE EJ'!I46)+N('CONTROLE CMM'!I46))</f>
        <v/>
      </c>
      <c r="AQ44" s="223">
        <f>IF(AND('CONTROLE EJ'!J46="",'CONTROLE CMM'!#REF!=""),"",N('CONTROLE EJ'!J46)+N('CONTROLE CMM'!#REF!))</f>
        <v/>
      </c>
      <c r="AR44" s="223">
        <f>IF('CONTROLE GLOBO AÇOS'!I46="","",'CONTROLE GLOBO AÇOS'!I46)</f>
        <v/>
      </c>
      <c r="AS44" s="223">
        <f>IF('CONTROLE GLOBO AÇOS'!J46="","",'CONTROLE GLOBO AÇOS'!J46)</f>
        <v/>
      </c>
      <c r="AT44" s="223">
        <f>IF(#REF!="","",#REF!)</f>
        <v/>
      </c>
      <c r="AU44" s="223">
        <f>IF('CONTROLE GLOBO AÇOS'!K46="","",'CONTROLE GLOBO AÇOS'!K46)</f>
        <v/>
      </c>
      <c r="AV44" s="223">
        <f>IF(AND('CONTROLE EJ'!K46="",'CONTROLE CMM'!#REF!=""),"",N('CONTROLE EJ'!K46)+N('CONTROLE CMM'!#REF!))</f>
        <v/>
      </c>
      <c r="AW44" s="223">
        <f>IF('CONTROLE GLOBO AÇOS'!L46="","",'CONTROLE GLOBO AÇOS'!L46)</f>
        <v/>
      </c>
      <c r="AX44" s="223">
        <f>IF(AND('CONTROLE EJ'!L46="",'CONTROLE CMM'!#REF!=""),"",N('CONTROLE EJ'!L46)+N('CONTROLE CMM'!#REF!))</f>
        <v/>
      </c>
      <c r="AY44" s="223">
        <f>IF('CONTROLE GLOBO AÇOS'!M46="","",'CONTROLE GLOBO AÇOS'!M46)</f>
        <v/>
      </c>
      <c r="AZ44" s="223">
        <f>IF('CONTROLE GLOBO AÇOS'!N46="","",'CONTROLE GLOBO AÇOS'!N46)</f>
        <v/>
      </c>
      <c r="BA44" s="223">
        <f>IF(AND('CONTROLE EJ'!M46="",'CONTROLE CMM'!#REF!=""),"",N('CONTROLE EJ'!M46)+N('CONTROLE CMM'!#REF!))</f>
        <v/>
      </c>
      <c r="BB44" s="223">
        <f>IF(#REF!="","",#REF!)</f>
        <v/>
      </c>
      <c r="BC44" s="223">
        <f>IF('CONTROLE GLOBO AÇOS'!O46="","",'CONTROLE GLOBO AÇOS'!O46)</f>
        <v/>
      </c>
      <c r="BD44" s="223">
        <f>IF(AND('CONTROLE EJ'!N46="",'CONTROLE CMM'!#REF!=""),"",N('CONTROLE EJ'!N46)+N('CONTROLE CMM'!#REF!))</f>
        <v/>
      </c>
      <c r="BE44" s="223">
        <f>IF('CONTROLE GLOBO AÇOS'!P46="","",'CONTROLE GLOBO AÇOS'!P46)</f>
        <v/>
      </c>
      <c r="BF44" s="223">
        <f>IF('CONTROLE GLOBO AÇOS'!Q46="","",'CONTROLE GLOBO AÇOS'!Q46)</f>
        <v/>
      </c>
      <c r="BG44" s="223">
        <f>IF('CONTROLE GLOBO AÇOS'!R46="","",'CONTROLE GLOBO AÇOS'!R46)</f>
        <v/>
      </c>
      <c r="BH44" s="223">
        <f>IF(AND('CONTROLE EJ'!O46="",'CONTROLE CMM'!#REF!=""),"",N('CONTROLE EJ'!O46)+N('CONTROLE CMM'!#REF!))</f>
        <v/>
      </c>
      <c r="BI44" s="223">
        <f>IF('CONTROLE GLOBO AÇOS'!S46="","",'CONTROLE GLOBO AÇOS'!S46)</f>
        <v/>
      </c>
      <c r="BJ44" s="223">
        <f>IF('CONTROLE GLOBO AÇOS'!T46="","",'CONTROLE GLOBO AÇOS'!T46)</f>
        <v/>
      </c>
      <c r="BK44" s="223">
        <f>IF('CONTROLE GLOBO AÇOS'!U46="","",'CONTROLE GLOBO AÇOS'!U46)</f>
        <v/>
      </c>
      <c r="BL44" s="223">
        <f>IF(AND('CONTROLE EJ'!P46="",'CONTROLE CMM'!#REF!=""),"",N('CONTROLE EJ'!P46)+N('CONTROLE CMM'!#REF!))</f>
        <v/>
      </c>
      <c r="BM44" s="223">
        <f>IF(AND('CONTROLE EJ'!Q46="",'CONTROLE CMM'!#REF!=""),"",N('CONTROLE EJ'!Q46)+N('CONTROLE CMM'!#REF!))</f>
        <v/>
      </c>
      <c r="BN44" s="223">
        <f>IF('CONTROLE GLOBO AÇOS'!V46="","",'CONTROLE GLOBO AÇOS'!V46)</f>
        <v/>
      </c>
      <c r="BO44" s="223">
        <f>IF('CONTROLE GLOBO AÇOS'!W46="","",'CONTROLE GLOBO AÇOS'!W46)</f>
        <v/>
      </c>
      <c r="BP44" s="223">
        <f>IF(AND('CONTROLE EJ'!R46="",'CONTROLE CMM'!#REF!=""),"",N('CONTROLE EJ'!R46)+N('CONTROLE CMM'!#REF!))</f>
        <v/>
      </c>
      <c r="BQ44" s="223">
        <f>IF(#REF!="","",#REF!)</f>
        <v/>
      </c>
      <c r="BR44" s="223">
        <f>IF(AND('CONTROLE EJ'!S46="",'CONTROLE CMM'!#REF!=""),"",N('CONTROLE EJ'!S46)+N('CONTROLE CMM'!#REF!))</f>
        <v/>
      </c>
      <c r="BS44" s="223">
        <f>IF(AND('CONTROLE EJ'!T46="",'CONTROLE CMM'!#REF!=""),"",N('CONTROLE EJ'!T46)+N('CONTROLE CMM'!#REF!))</f>
        <v/>
      </c>
      <c r="BT44" s="223">
        <f>IF('CONTROLE GLOBO AÇOS'!X46="","",'CONTROLE GLOBO AÇOS'!X46)</f>
        <v/>
      </c>
      <c r="BU44" s="223">
        <f>IF('CONTROLE GLOBO AÇOS'!Y46="","",'CONTROLE GLOBO AÇOS'!Y46)</f>
        <v/>
      </c>
      <c r="BV44" s="223">
        <f>IF(AND('CONTROLE EJ'!U46="",'CONTROLE CMM'!#REF!=""),"",N('CONTROLE EJ'!U46)+N('CONTROLE CMM'!#REF!))</f>
        <v/>
      </c>
      <c r="BW44" s="223">
        <f>IF(#REF!="","",#REF!)</f>
        <v/>
      </c>
    </row>
    <row r="45">
      <c r="A45" s="282" t="n">
        <v>46262</v>
      </c>
      <c r="B45" s="223">
        <f>IF('CONTROLE EJ'!B47="","",'CONTROLE EJ'!B47)</f>
        <v/>
      </c>
      <c r="C45" s="223">
        <f>IF('CONTROLE EJ'!C47="","",'CONTROLE EJ'!C47)</f>
        <v/>
      </c>
      <c r="D45" s="42">
        <f>IF('CONTROLE EJ'!D47="","",'CONTROLE EJ'!D47)</f>
        <v/>
      </c>
      <c r="E45" s="44">
        <f>IF('CONTROLE CMM'!B47="","",'CONTROLE CMM'!B47)</f>
        <v/>
      </c>
      <c r="F45" s="223">
        <f>IF('CONTROLE CMM'!C47="","",'CONTROLE CMM'!C47)</f>
        <v/>
      </c>
      <c r="G45" s="42">
        <f>IF('CONTROLE CMM'!D47="","",'CONTROLE CMM'!D47)</f>
        <v/>
      </c>
      <c r="H45" s="44">
        <f>IF('CONTROLE GLOBO AÇOS'!B47="","",'CONTROLE GLOBO AÇOS'!B47)</f>
        <v/>
      </c>
      <c r="I45" s="223">
        <f>IF('CONTROLE GLOBO AÇOS'!C47="","",'CONTROLE GLOBO AÇOS'!C47)</f>
        <v/>
      </c>
      <c r="J45" s="223">
        <f>IF('CONTROLE GLOBO AÇOS'!D47="","",'CONTROLE GLOBO AÇOS'!D47)</f>
        <v/>
      </c>
      <c r="AD45" s="39">
        <f>IF($A45="",0,IF(AND(WEEKDAY($A45,2)&lt;=5,OR($B45&lt;&gt;"",$C45&lt;&gt;"",$D45&lt;&gt;"")),1,0))</f>
        <v/>
      </c>
      <c r="AE45" s="39">
        <f>IF($A45="",0,IF(AND(WEEKDAY($A45,2)&lt;=5,OR($E45&lt;&gt;"",$F45&lt;&gt;"",$G45&lt;&gt;"")),1,0))</f>
        <v/>
      </c>
      <c r="AF45" s="39">
        <f>MAX(AD45,AE45)</f>
        <v/>
      </c>
      <c r="AH45" s="223">
        <f>IF('CONTROLE GLOBO AÇOS'!E47="","",'CONTROLE GLOBO AÇOS'!E47)</f>
        <v/>
      </c>
      <c r="AI45" s="223">
        <f>IF('CONTROLE GLOBO AÇOS'!F47="","",'CONTROLE GLOBO AÇOS'!F47)</f>
        <v/>
      </c>
      <c r="AJ45" s="223">
        <f>IF(AND('CONTROLE EJ'!E47="",'CONTROLE CMM'!E47=""),"",N('CONTROLE EJ'!E47)+N('CONTROLE CMM'!E47))</f>
        <v/>
      </c>
      <c r="AK45" s="223">
        <f>IF(AND('CONTROLE EJ'!F47="",'CONTROLE CMM'!F47=""),"",N('CONTROLE EJ'!F47)+N('CONTROLE CMM'!F47))</f>
        <v/>
      </c>
      <c r="AL45" s="223">
        <f>IF(AND('CONTROLE EJ'!G47="",'CONTROLE CMM'!G47=""),"",N('CONTROLE EJ'!G47)+N('CONTROLE CMM'!G47))</f>
        <v/>
      </c>
      <c r="AM45" s="223">
        <f>IF(AND('CONTROLE EJ'!H47="",'CONTROLE CMM'!H47=""),"",N('CONTROLE EJ'!H47)+N('CONTROLE CMM'!H47))</f>
        <v/>
      </c>
      <c r="AN45" s="223">
        <f>IF('CONTROLE GLOBO AÇOS'!G47="","",'CONTROLE GLOBO AÇOS'!G47)</f>
        <v/>
      </c>
      <c r="AO45" s="223">
        <f>IF('CONTROLE GLOBO AÇOS'!H47="","",'CONTROLE GLOBO AÇOS'!H47)</f>
        <v/>
      </c>
      <c r="AP45" s="223">
        <f>IF(AND('CONTROLE EJ'!I47="",'CONTROLE CMM'!I47=""),"",N('CONTROLE EJ'!I47)+N('CONTROLE CMM'!I47))</f>
        <v/>
      </c>
      <c r="AQ45" s="223">
        <f>IF(AND('CONTROLE EJ'!J47="",'CONTROLE CMM'!#REF!=""),"",N('CONTROLE EJ'!J47)+N('CONTROLE CMM'!#REF!))</f>
        <v/>
      </c>
      <c r="AR45" s="223">
        <f>IF('CONTROLE GLOBO AÇOS'!I47="","",'CONTROLE GLOBO AÇOS'!I47)</f>
        <v/>
      </c>
      <c r="AS45" s="223">
        <f>IF('CONTROLE GLOBO AÇOS'!J47="","",'CONTROLE GLOBO AÇOS'!J47)</f>
        <v/>
      </c>
      <c r="AT45" s="223">
        <f>IF(#REF!="","",#REF!)</f>
        <v/>
      </c>
      <c r="AU45" s="223">
        <f>IF('CONTROLE GLOBO AÇOS'!K47="","",'CONTROLE GLOBO AÇOS'!K47)</f>
        <v/>
      </c>
      <c r="AV45" s="223">
        <f>IF(AND('CONTROLE EJ'!K47="",'CONTROLE CMM'!#REF!=""),"",N('CONTROLE EJ'!K47)+N('CONTROLE CMM'!#REF!))</f>
        <v/>
      </c>
      <c r="AW45" s="223">
        <f>IF('CONTROLE GLOBO AÇOS'!L47="","",'CONTROLE GLOBO AÇOS'!L47)</f>
        <v/>
      </c>
      <c r="AX45" s="223">
        <f>IF(AND('CONTROLE EJ'!L47="",'CONTROLE CMM'!#REF!=""),"",N('CONTROLE EJ'!L47)+N('CONTROLE CMM'!#REF!))</f>
        <v/>
      </c>
      <c r="AY45" s="223">
        <f>IF('CONTROLE GLOBO AÇOS'!M47="","",'CONTROLE GLOBO AÇOS'!M47)</f>
        <v/>
      </c>
      <c r="AZ45" s="223">
        <f>IF('CONTROLE GLOBO AÇOS'!N47="","",'CONTROLE GLOBO AÇOS'!N47)</f>
        <v/>
      </c>
      <c r="BA45" s="223">
        <f>IF(AND('CONTROLE EJ'!M47="",'CONTROLE CMM'!#REF!=""),"",N('CONTROLE EJ'!M47)+N('CONTROLE CMM'!#REF!))</f>
        <v/>
      </c>
      <c r="BB45" s="223">
        <f>IF(#REF!="","",#REF!)</f>
        <v/>
      </c>
      <c r="BC45" s="223">
        <f>IF('CONTROLE GLOBO AÇOS'!O47="","",'CONTROLE GLOBO AÇOS'!O47)</f>
        <v/>
      </c>
      <c r="BD45" s="223">
        <f>IF(AND('CONTROLE EJ'!N47="",'CONTROLE CMM'!#REF!=""),"",N('CONTROLE EJ'!N47)+N('CONTROLE CMM'!#REF!))</f>
        <v/>
      </c>
      <c r="BE45" s="223">
        <f>IF('CONTROLE GLOBO AÇOS'!P47="","",'CONTROLE GLOBO AÇOS'!P47)</f>
        <v/>
      </c>
      <c r="BF45" s="223">
        <f>IF('CONTROLE GLOBO AÇOS'!Q47="","",'CONTROLE GLOBO AÇOS'!Q47)</f>
        <v/>
      </c>
      <c r="BG45" s="223">
        <f>IF('CONTROLE GLOBO AÇOS'!R47="","",'CONTROLE GLOBO AÇOS'!R47)</f>
        <v/>
      </c>
      <c r="BH45" s="223">
        <f>IF(AND('CONTROLE EJ'!O47="",'CONTROLE CMM'!#REF!=""),"",N('CONTROLE EJ'!O47)+N('CONTROLE CMM'!#REF!))</f>
        <v/>
      </c>
      <c r="BI45" s="223">
        <f>IF('CONTROLE GLOBO AÇOS'!S47="","",'CONTROLE GLOBO AÇOS'!S47)</f>
        <v/>
      </c>
      <c r="BJ45" s="223">
        <f>IF('CONTROLE GLOBO AÇOS'!T47="","",'CONTROLE GLOBO AÇOS'!T47)</f>
        <v/>
      </c>
      <c r="BK45" s="223">
        <f>IF('CONTROLE GLOBO AÇOS'!U47="","",'CONTROLE GLOBO AÇOS'!U47)</f>
        <v/>
      </c>
      <c r="BL45" s="223">
        <f>IF(AND('CONTROLE EJ'!P47="",'CONTROLE CMM'!#REF!=""),"",N('CONTROLE EJ'!P47)+N('CONTROLE CMM'!#REF!))</f>
        <v/>
      </c>
      <c r="BM45" s="223">
        <f>IF(AND('CONTROLE EJ'!Q47="",'CONTROLE CMM'!#REF!=""),"",N('CONTROLE EJ'!Q47)+N('CONTROLE CMM'!#REF!))</f>
        <v/>
      </c>
      <c r="BN45" s="223">
        <f>IF('CONTROLE GLOBO AÇOS'!V47="","",'CONTROLE GLOBO AÇOS'!V47)</f>
        <v/>
      </c>
      <c r="BO45" s="223">
        <f>IF('CONTROLE GLOBO AÇOS'!W47="","",'CONTROLE GLOBO AÇOS'!W47)</f>
        <v/>
      </c>
      <c r="BP45" s="223">
        <f>IF(AND('CONTROLE EJ'!R47="",'CONTROLE CMM'!#REF!=""),"",N('CONTROLE EJ'!R47)+N('CONTROLE CMM'!#REF!))</f>
        <v/>
      </c>
      <c r="BQ45" s="223">
        <f>IF(#REF!="","",#REF!)</f>
        <v/>
      </c>
      <c r="BR45" s="223">
        <f>IF(AND('CONTROLE EJ'!S47="",'CONTROLE CMM'!#REF!=""),"",N('CONTROLE EJ'!S47)+N('CONTROLE CMM'!#REF!))</f>
        <v/>
      </c>
      <c r="BS45" s="223">
        <f>IF(AND('CONTROLE EJ'!T47="",'CONTROLE CMM'!#REF!=""),"",N('CONTROLE EJ'!T47)+N('CONTROLE CMM'!#REF!))</f>
        <v/>
      </c>
      <c r="BT45" s="223">
        <f>IF('CONTROLE GLOBO AÇOS'!X47="","",'CONTROLE GLOBO AÇOS'!X47)</f>
        <v/>
      </c>
      <c r="BU45" s="223">
        <f>IF('CONTROLE GLOBO AÇOS'!Y47="","",'CONTROLE GLOBO AÇOS'!Y47)</f>
        <v/>
      </c>
      <c r="BV45" s="223">
        <f>IF(AND('CONTROLE EJ'!U47="",'CONTROLE CMM'!#REF!=""),"",N('CONTROLE EJ'!U47)+N('CONTROLE CMM'!#REF!))</f>
        <v/>
      </c>
      <c r="BW45" s="223">
        <f>IF(#REF!="","",#REF!)</f>
        <v/>
      </c>
    </row>
    <row r="46">
      <c r="A46" s="282" t="n">
        <v>46263</v>
      </c>
      <c r="B46" s="223">
        <f>IF('CONTROLE EJ'!B48="","",'CONTROLE EJ'!B48)</f>
        <v/>
      </c>
      <c r="C46" s="223">
        <f>IF('CONTROLE EJ'!C48="","",'CONTROLE EJ'!C48)</f>
        <v/>
      </c>
      <c r="D46" s="42">
        <f>IF('CONTROLE EJ'!D48="","",'CONTROLE EJ'!D48)</f>
        <v/>
      </c>
      <c r="E46" s="44">
        <f>IF('CONTROLE CMM'!B48="","",'CONTROLE CMM'!B48)</f>
        <v/>
      </c>
      <c r="F46" s="223">
        <f>IF('CONTROLE CMM'!C48="","",'CONTROLE CMM'!C48)</f>
        <v/>
      </c>
      <c r="G46" s="42">
        <f>IF('CONTROLE CMM'!D48="","",'CONTROLE CMM'!D48)</f>
        <v/>
      </c>
      <c r="H46" s="44">
        <f>IF('CONTROLE GLOBO AÇOS'!B48="","",'CONTROLE GLOBO AÇOS'!B48)</f>
        <v/>
      </c>
      <c r="I46" s="223">
        <f>IF('CONTROLE GLOBO AÇOS'!C48="","",'CONTROLE GLOBO AÇOS'!C48)</f>
        <v/>
      </c>
      <c r="J46" s="223">
        <f>IF('CONTROLE GLOBO AÇOS'!D48="","",'CONTROLE GLOBO AÇOS'!D48)</f>
        <v/>
      </c>
      <c r="AD46" s="39">
        <f>IF($A46="",0,IF(AND(WEEKDAY($A46,2)&lt;=5,OR($B46&lt;&gt;"",$C46&lt;&gt;"",$D46&lt;&gt;"")),1,0))</f>
        <v/>
      </c>
      <c r="AE46" s="39">
        <f>IF($A46="",0,IF(AND(WEEKDAY($A46,2)&lt;=5,OR($E46&lt;&gt;"",$F46&lt;&gt;"",$G46&lt;&gt;"")),1,0))</f>
        <v/>
      </c>
      <c r="AF46" s="39">
        <f>MAX(AD46,AE46)</f>
        <v/>
      </c>
      <c r="AH46" s="223">
        <f>IF('CONTROLE GLOBO AÇOS'!E48="","",'CONTROLE GLOBO AÇOS'!E48)</f>
        <v/>
      </c>
      <c r="AI46" s="223">
        <f>IF('CONTROLE GLOBO AÇOS'!F48="","",'CONTROLE GLOBO AÇOS'!F48)</f>
        <v/>
      </c>
      <c r="AJ46" s="223">
        <f>IF(AND('CONTROLE EJ'!E48="",'CONTROLE CMM'!E48=""),"",N('CONTROLE EJ'!E48)+N('CONTROLE CMM'!E48))</f>
        <v/>
      </c>
      <c r="AK46" s="223">
        <f>IF(AND('CONTROLE EJ'!F48="",'CONTROLE CMM'!F48=""),"",N('CONTROLE EJ'!F48)+N('CONTROLE CMM'!F48))</f>
        <v/>
      </c>
      <c r="AL46" s="223">
        <f>IF(AND('CONTROLE EJ'!G48="",'CONTROLE CMM'!G48=""),"",N('CONTROLE EJ'!G48)+N('CONTROLE CMM'!G48))</f>
        <v/>
      </c>
      <c r="AM46" s="223">
        <f>IF(AND('CONTROLE EJ'!H48="",'CONTROLE CMM'!H48=""),"",N('CONTROLE EJ'!H48)+N('CONTROLE CMM'!H48))</f>
        <v/>
      </c>
      <c r="AN46" s="223">
        <f>IF('CONTROLE GLOBO AÇOS'!G48="","",'CONTROLE GLOBO AÇOS'!G48)</f>
        <v/>
      </c>
      <c r="AO46" s="223">
        <f>IF('CONTROLE GLOBO AÇOS'!H48="","",'CONTROLE GLOBO AÇOS'!H48)</f>
        <v/>
      </c>
      <c r="AP46" s="223">
        <f>IF(AND('CONTROLE EJ'!I48="",'CONTROLE CMM'!I48=""),"",N('CONTROLE EJ'!I48)+N('CONTROLE CMM'!I48))</f>
        <v/>
      </c>
      <c r="AQ46" s="223">
        <f>IF(AND('CONTROLE EJ'!J48="",'CONTROLE CMM'!#REF!=""),"",N('CONTROLE EJ'!J48)+N('CONTROLE CMM'!#REF!))</f>
        <v/>
      </c>
      <c r="AR46" s="223">
        <f>IF('CONTROLE GLOBO AÇOS'!I48="","",'CONTROLE GLOBO AÇOS'!I48)</f>
        <v/>
      </c>
      <c r="AS46" s="223">
        <f>IF('CONTROLE GLOBO AÇOS'!J48="","",'CONTROLE GLOBO AÇOS'!J48)</f>
        <v/>
      </c>
      <c r="AT46" s="223">
        <f>IF(#REF!="","",#REF!)</f>
        <v/>
      </c>
      <c r="AU46" s="223">
        <f>IF('CONTROLE GLOBO AÇOS'!K48="","",'CONTROLE GLOBO AÇOS'!K48)</f>
        <v/>
      </c>
      <c r="AV46" s="223">
        <f>IF(AND('CONTROLE EJ'!K48="",'CONTROLE CMM'!#REF!=""),"",N('CONTROLE EJ'!K48)+N('CONTROLE CMM'!#REF!))</f>
        <v/>
      </c>
      <c r="AW46" s="223">
        <f>IF('CONTROLE GLOBO AÇOS'!L48="","",'CONTROLE GLOBO AÇOS'!L48)</f>
        <v/>
      </c>
      <c r="AX46" s="223">
        <f>IF(AND('CONTROLE EJ'!L48="",'CONTROLE CMM'!#REF!=""),"",N('CONTROLE EJ'!L48)+N('CONTROLE CMM'!#REF!))</f>
        <v/>
      </c>
      <c r="AY46" s="223">
        <f>IF('CONTROLE GLOBO AÇOS'!M48="","",'CONTROLE GLOBO AÇOS'!M48)</f>
        <v/>
      </c>
      <c r="AZ46" s="223">
        <f>IF('CONTROLE GLOBO AÇOS'!N48="","",'CONTROLE GLOBO AÇOS'!N48)</f>
        <v/>
      </c>
      <c r="BA46" s="223">
        <f>IF(AND('CONTROLE EJ'!M48="",'CONTROLE CMM'!#REF!=""),"",N('CONTROLE EJ'!M48)+N('CONTROLE CMM'!#REF!))</f>
        <v/>
      </c>
      <c r="BB46" s="223">
        <f>IF(#REF!="","",#REF!)</f>
        <v/>
      </c>
      <c r="BC46" s="223">
        <f>IF('CONTROLE GLOBO AÇOS'!O48="","",'CONTROLE GLOBO AÇOS'!O48)</f>
        <v/>
      </c>
      <c r="BD46" s="223">
        <f>IF(AND('CONTROLE EJ'!N48="",'CONTROLE CMM'!#REF!=""),"",N('CONTROLE EJ'!N48)+N('CONTROLE CMM'!#REF!))</f>
        <v/>
      </c>
      <c r="BE46" s="223">
        <f>IF('CONTROLE GLOBO AÇOS'!P48="","",'CONTROLE GLOBO AÇOS'!P48)</f>
        <v/>
      </c>
      <c r="BF46" s="223">
        <f>IF('CONTROLE GLOBO AÇOS'!Q48="","",'CONTROLE GLOBO AÇOS'!Q48)</f>
        <v/>
      </c>
      <c r="BG46" s="223">
        <f>IF('CONTROLE GLOBO AÇOS'!R48="","",'CONTROLE GLOBO AÇOS'!R48)</f>
        <v/>
      </c>
      <c r="BH46" s="223">
        <f>IF(AND('CONTROLE EJ'!O48="",'CONTROLE CMM'!#REF!=""),"",N('CONTROLE EJ'!O48)+N('CONTROLE CMM'!#REF!))</f>
        <v/>
      </c>
      <c r="BI46" s="223">
        <f>IF('CONTROLE GLOBO AÇOS'!S48="","",'CONTROLE GLOBO AÇOS'!S48)</f>
        <v/>
      </c>
      <c r="BJ46" s="223">
        <f>IF('CONTROLE GLOBO AÇOS'!T48="","",'CONTROLE GLOBO AÇOS'!T48)</f>
        <v/>
      </c>
      <c r="BK46" s="223">
        <f>IF('CONTROLE GLOBO AÇOS'!U48="","",'CONTROLE GLOBO AÇOS'!U48)</f>
        <v/>
      </c>
      <c r="BL46" s="223">
        <f>IF(AND('CONTROLE EJ'!P48="",'CONTROLE CMM'!#REF!=""),"",N('CONTROLE EJ'!P48)+N('CONTROLE CMM'!#REF!))</f>
        <v/>
      </c>
      <c r="BM46" s="223">
        <f>IF(AND('CONTROLE EJ'!Q48="",'CONTROLE CMM'!#REF!=""),"",N('CONTROLE EJ'!Q48)+N('CONTROLE CMM'!#REF!))</f>
        <v/>
      </c>
      <c r="BN46" s="223">
        <f>IF('CONTROLE GLOBO AÇOS'!V48="","",'CONTROLE GLOBO AÇOS'!V48)</f>
        <v/>
      </c>
      <c r="BO46" s="223">
        <f>IF('CONTROLE GLOBO AÇOS'!W48="","",'CONTROLE GLOBO AÇOS'!W48)</f>
        <v/>
      </c>
      <c r="BP46" s="223">
        <f>IF(AND('CONTROLE EJ'!R48="",'CONTROLE CMM'!#REF!=""),"",N('CONTROLE EJ'!R48)+N('CONTROLE CMM'!#REF!))</f>
        <v/>
      </c>
      <c r="BQ46" s="223">
        <f>IF(#REF!="","",#REF!)</f>
        <v/>
      </c>
      <c r="BR46" s="223">
        <f>IF(AND('CONTROLE EJ'!S48="",'CONTROLE CMM'!#REF!=""),"",N('CONTROLE EJ'!S48)+N('CONTROLE CMM'!#REF!))</f>
        <v/>
      </c>
      <c r="BS46" s="223">
        <f>IF(AND('CONTROLE EJ'!T48="",'CONTROLE CMM'!#REF!=""),"",N('CONTROLE EJ'!T48)+N('CONTROLE CMM'!#REF!))</f>
        <v/>
      </c>
      <c r="BT46" s="223">
        <f>IF('CONTROLE GLOBO AÇOS'!X48="","",'CONTROLE GLOBO AÇOS'!X48)</f>
        <v/>
      </c>
      <c r="BU46" s="223">
        <f>IF('CONTROLE GLOBO AÇOS'!Y48="","",'CONTROLE GLOBO AÇOS'!Y48)</f>
        <v/>
      </c>
      <c r="BV46" s="223">
        <f>IF(AND('CONTROLE EJ'!U48="",'CONTROLE CMM'!#REF!=""),"",N('CONTROLE EJ'!U48)+N('CONTROLE CMM'!#REF!))</f>
        <v/>
      </c>
      <c r="BW46" s="223">
        <f>IF(#REF!="","",#REF!)</f>
        <v/>
      </c>
    </row>
    <row r="47">
      <c r="A47" s="282" t="n">
        <v>46264</v>
      </c>
      <c r="B47" s="223">
        <f>IF('CONTROLE EJ'!B49="","",'CONTROLE EJ'!B49)</f>
        <v/>
      </c>
      <c r="C47" s="223">
        <f>IF('CONTROLE EJ'!C49="","",'CONTROLE EJ'!C49)</f>
        <v/>
      </c>
      <c r="D47" s="42">
        <f>IF('CONTROLE EJ'!D49="","",'CONTROLE EJ'!D49)</f>
        <v/>
      </c>
      <c r="E47" s="44">
        <f>IF('CONTROLE CMM'!B49="","",'CONTROLE CMM'!B49)</f>
        <v/>
      </c>
      <c r="F47" s="223">
        <f>IF('CONTROLE CMM'!C49="","",'CONTROLE CMM'!C49)</f>
        <v/>
      </c>
      <c r="G47" s="42">
        <f>IF('CONTROLE CMM'!D49="","",'CONTROLE CMM'!D49)</f>
        <v/>
      </c>
      <c r="H47" s="44">
        <f>IF('CONTROLE GLOBO AÇOS'!B49="","",'CONTROLE GLOBO AÇOS'!B49)</f>
        <v/>
      </c>
      <c r="I47" s="223">
        <f>IF('CONTROLE GLOBO AÇOS'!C49="","",'CONTROLE GLOBO AÇOS'!C49)</f>
        <v/>
      </c>
      <c r="J47" s="223">
        <f>IF('CONTROLE GLOBO AÇOS'!D49="","",'CONTROLE GLOBO AÇOS'!D49)</f>
        <v/>
      </c>
      <c r="AD47" s="39">
        <f>IF($A47="",0,IF(AND(WEEKDAY($A47,2)&lt;=5,OR($B47&lt;&gt;"",$C47&lt;&gt;"",$D47&lt;&gt;"")),1,0))</f>
        <v/>
      </c>
      <c r="AE47" s="39">
        <f>IF($A47="",0,IF(AND(WEEKDAY($A47,2)&lt;=5,OR($E47&lt;&gt;"",$F47&lt;&gt;"",$G47&lt;&gt;"")),1,0))</f>
        <v/>
      </c>
      <c r="AF47" s="39">
        <f>MAX(AD47,AE47)</f>
        <v/>
      </c>
      <c r="AH47" s="223">
        <f>IF('CONTROLE GLOBO AÇOS'!E49="","",'CONTROLE GLOBO AÇOS'!E49)</f>
        <v/>
      </c>
      <c r="AI47" s="223">
        <f>IF('CONTROLE GLOBO AÇOS'!F49="","",'CONTROLE GLOBO AÇOS'!F49)</f>
        <v/>
      </c>
      <c r="AJ47" s="223">
        <f>IF(AND('CONTROLE EJ'!E49="",'CONTROLE CMM'!E49=""),"",N('CONTROLE EJ'!E49)+N('CONTROLE CMM'!E49))</f>
        <v/>
      </c>
      <c r="AK47" s="223">
        <f>IF(AND('CONTROLE EJ'!F49="",'CONTROLE CMM'!F49=""),"",N('CONTROLE EJ'!F49)+N('CONTROLE CMM'!F49))</f>
        <v/>
      </c>
      <c r="AL47" s="223">
        <f>IF(AND('CONTROLE EJ'!G49="",'CONTROLE CMM'!G49=""),"",N('CONTROLE EJ'!G49)+N('CONTROLE CMM'!G49))</f>
        <v/>
      </c>
      <c r="AM47" s="223">
        <f>IF(AND('CONTROLE EJ'!H49="",'CONTROLE CMM'!H49=""),"",N('CONTROLE EJ'!H49)+N('CONTROLE CMM'!H49))</f>
        <v/>
      </c>
      <c r="AN47" s="223">
        <f>IF('CONTROLE GLOBO AÇOS'!G49="","",'CONTROLE GLOBO AÇOS'!G49)</f>
        <v/>
      </c>
      <c r="AO47" s="223">
        <f>IF('CONTROLE GLOBO AÇOS'!H49="","",'CONTROLE GLOBO AÇOS'!H49)</f>
        <v/>
      </c>
      <c r="AP47" s="223">
        <f>IF(AND('CONTROLE EJ'!I49="",'CONTROLE CMM'!I49=""),"",N('CONTROLE EJ'!I49)+N('CONTROLE CMM'!I49))</f>
        <v/>
      </c>
      <c r="AQ47" s="223">
        <f>IF(AND('CONTROLE EJ'!J49="",'CONTROLE CMM'!#REF!=""),"",N('CONTROLE EJ'!J49)+N('CONTROLE CMM'!#REF!))</f>
        <v/>
      </c>
      <c r="AR47" s="223">
        <f>IF('CONTROLE GLOBO AÇOS'!I49="","",'CONTROLE GLOBO AÇOS'!I49)</f>
        <v/>
      </c>
      <c r="AS47" s="223">
        <f>IF('CONTROLE GLOBO AÇOS'!J49="","",'CONTROLE GLOBO AÇOS'!J49)</f>
        <v/>
      </c>
      <c r="AT47" s="223">
        <f>IF(#REF!="","",#REF!)</f>
        <v/>
      </c>
      <c r="AU47" s="223">
        <f>IF('CONTROLE GLOBO AÇOS'!K49="","",'CONTROLE GLOBO AÇOS'!K49)</f>
        <v/>
      </c>
      <c r="AV47" s="223">
        <f>IF(AND('CONTROLE EJ'!K49="",'CONTROLE CMM'!#REF!=""),"",N('CONTROLE EJ'!K49)+N('CONTROLE CMM'!#REF!))</f>
        <v/>
      </c>
      <c r="AW47" s="223">
        <f>IF('CONTROLE GLOBO AÇOS'!L49="","",'CONTROLE GLOBO AÇOS'!L49)</f>
        <v/>
      </c>
      <c r="AX47" s="223">
        <f>IF(AND('CONTROLE EJ'!L49="",'CONTROLE CMM'!#REF!=""),"",N('CONTROLE EJ'!L49)+N('CONTROLE CMM'!#REF!))</f>
        <v/>
      </c>
      <c r="AY47" s="223">
        <f>IF('CONTROLE GLOBO AÇOS'!M49="","",'CONTROLE GLOBO AÇOS'!M49)</f>
        <v/>
      </c>
      <c r="AZ47" s="223">
        <f>IF('CONTROLE GLOBO AÇOS'!N49="","",'CONTROLE GLOBO AÇOS'!N49)</f>
        <v/>
      </c>
      <c r="BA47" s="223">
        <f>IF(AND('CONTROLE EJ'!M49="",'CONTROLE CMM'!#REF!=""),"",N('CONTROLE EJ'!M49)+N('CONTROLE CMM'!#REF!))</f>
        <v/>
      </c>
      <c r="BB47" s="223">
        <f>IF(#REF!="","",#REF!)</f>
        <v/>
      </c>
      <c r="BC47" s="223">
        <f>IF('CONTROLE GLOBO AÇOS'!O49="","",'CONTROLE GLOBO AÇOS'!O49)</f>
        <v/>
      </c>
      <c r="BD47" s="223">
        <f>IF(AND('CONTROLE EJ'!N49="",'CONTROLE CMM'!#REF!=""),"",N('CONTROLE EJ'!N49)+N('CONTROLE CMM'!#REF!))</f>
        <v/>
      </c>
      <c r="BE47" s="223">
        <f>IF('CONTROLE GLOBO AÇOS'!P49="","",'CONTROLE GLOBO AÇOS'!P49)</f>
        <v/>
      </c>
      <c r="BF47" s="223">
        <f>IF('CONTROLE GLOBO AÇOS'!Q49="","",'CONTROLE GLOBO AÇOS'!Q49)</f>
        <v/>
      </c>
      <c r="BG47" s="223">
        <f>IF('CONTROLE GLOBO AÇOS'!R49="","",'CONTROLE GLOBO AÇOS'!R49)</f>
        <v/>
      </c>
      <c r="BH47" s="223">
        <f>IF(AND('CONTROLE EJ'!O49="",'CONTROLE CMM'!#REF!=""),"",N('CONTROLE EJ'!O49)+N('CONTROLE CMM'!#REF!))</f>
        <v/>
      </c>
      <c r="BI47" s="223">
        <f>IF('CONTROLE GLOBO AÇOS'!S49="","",'CONTROLE GLOBO AÇOS'!S49)</f>
        <v/>
      </c>
      <c r="BJ47" s="223">
        <f>IF('CONTROLE GLOBO AÇOS'!T49="","",'CONTROLE GLOBO AÇOS'!T49)</f>
        <v/>
      </c>
      <c r="BK47" s="223">
        <f>IF('CONTROLE GLOBO AÇOS'!U49="","",'CONTROLE GLOBO AÇOS'!U49)</f>
        <v/>
      </c>
      <c r="BL47" s="223">
        <f>IF(AND('CONTROLE EJ'!P49="",'CONTROLE CMM'!#REF!=""),"",N('CONTROLE EJ'!P49)+N('CONTROLE CMM'!#REF!))</f>
        <v/>
      </c>
      <c r="BM47" s="223">
        <f>IF(AND('CONTROLE EJ'!Q49="",'CONTROLE CMM'!#REF!=""),"",N('CONTROLE EJ'!Q49)+N('CONTROLE CMM'!#REF!))</f>
        <v/>
      </c>
      <c r="BN47" s="223">
        <f>IF('CONTROLE GLOBO AÇOS'!V49="","",'CONTROLE GLOBO AÇOS'!V49)</f>
        <v/>
      </c>
      <c r="BO47" s="223">
        <f>IF('CONTROLE GLOBO AÇOS'!W49="","",'CONTROLE GLOBO AÇOS'!W49)</f>
        <v/>
      </c>
      <c r="BP47" s="223">
        <f>IF(AND('CONTROLE EJ'!R49="",'CONTROLE CMM'!#REF!=""),"",N('CONTROLE EJ'!R49)+N('CONTROLE CMM'!#REF!))</f>
        <v/>
      </c>
      <c r="BQ47" s="223">
        <f>IF(#REF!="","",#REF!)</f>
        <v/>
      </c>
      <c r="BR47" s="223">
        <f>IF(AND('CONTROLE EJ'!S49="",'CONTROLE CMM'!#REF!=""),"",N('CONTROLE EJ'!S49)+N('CONTROLE CMM'!#REF!))</f>
        <v/>
      </c>
      <c r="BS47" s="223">
        <f>IF(AND('CONTROLE EJ'!T49="",'CONTROLE CMM'!#REF!=""),"",N('CONTROLE EJ'!T49)+N('CONTROLE CMM'!#REF!))</f>
        <v/>
      </c>
      <c r="BT47" s="223">
        <f>IF('CONTROLE GLOBO AÇOS'!X49="","",'CONTROLE GLOBO AÇOS'!X49)</f>
        <v/>
      </c>
      <c r="BU47" s="223">
        <f>IF('CONTROLE GLOBO AÇOS'!Y49="","",'CONTROLE GLOBO AÇOS'!Y49)</f>
        <v/>
      </c>
      <c r="BV47" s="223">
        <f>IF(AND('CONTROLE EJ'!U49="",'CONTROLE CMM'!#REF!=""),"",N('CONTROLE EJ'!U49)+N('CONTROLE CMM'!#REF!))</f>
        <v/>
      </c>
      <c r="BW47" s="223">
        <f>IF(#REF!="","",#REF!)</f>
        <v/>
      </c>
    </row>
    <row r="48">
      <c r="A48" s="282" t="n">
        <v>46265</v>
      </c>
      <c r="B48" s="223">
        <f>IF('CONTROLE EJ'!B50="","",'CONTROLE EJ'!B50)</f>
        <v/>
      </c>
      <c r="C48" s="223">
        <f>IF('CONTROLE EJ'!C50="","",'CONTROLE EJ'!C50)</f>
        <v/>
      </c>
      <c r="D48" s="42">
        <f>IF('CONTROLE EJ'!D50="","",'CONTROLE EJ'!D50)</f>
        <v/>
      </c>
      <c r="E48" s="44">
        <f>IF('CONTROLE CMM'!B50="","",'CONTROLE CMM'!B50)</f>
        <v/>
      </c>
      <c r="F48" s="223">
        <f>IF('CONTROLE CMM'!C50="","",'CONTROLE CMM'!C50)</f>
        <v/>
      </c>
      <c r="G48" s="42">
        <f>IF('CONTROLE CMM'!D50="","",'CONTROLE CMM'!D50)</f>
        <v/>
      </c>
      <c r="H48" s="44">
        <f>IF('CONTROLE GLOBO AÇOS'!B50="","",'CONTROLE GLOBO AÇOS'!B50)</f>
        <v/>
      </c>
      <c r="I48" s="223">
        <f>IF('CONTROLE GLOBO AÇOS'!C50="","",'CONTROLE GLOBO AÇOS'!C50)</f>
        <v/>
      </c>
      <c r="J48" s="223">
        <f>IF('CONTROLE GLOBO AÇOS'!D50="","",'CONTROLE GLOBO AÇOS'!D50)</f>
        <v/>
      </c>
      <c r="AD48" s="39">
        <f>IF($A48="",0,IF(AND(WEEKDAY($A48,2)&lt;=5,OR($B48&lt;&gt;"",$C48&lt;&gt;"",$D48&lt;&gt;"")),1,0))</f>
        <v/>
      </c>
      <c r="AE48" s="39">
        <f>IF($A48="",0,IF(AND(WEEKDAY($A48,2)&lt;=5,OR($E48&lt;&gt;"",$F48&lt;&gt;"",$G48&lt;&gt;"")),1,0))</f>
        <v/>
      </c>
      <c r="AF48" s="39">
        <f>MAX(AD48,AE48)</f>
        <v/>
      </c>
      <c r="AH48" s="223">
        <f>IF('CONTROLE GLOBO AÇOS'!E50="","",'CONTROLE GLOBO AÇOS'!E50)</f>
        <v/>
      </c>
      <c r="AI48" s="223">
        <f>IF('CONTROLE GLOBO AÇOS'!F50="","",'CONTROLE GLOBO AÇOS'!F50)</f>
        <v/>
      </c>
      <c r="AJ48" s="223">
        <f>IF(AND('CONTROLE EJ'!E50="",'CONTROLE CMM'!E50=""),"",N('CONTROLE EJ'!E50)+N('CONTROLE CMM'!E50))</f>
        <v/>
      </c>
      <c r="AK48" s="223">
        <f>IF(AND('CONTROLE EJ'!F50="",'CONTROLE CMM'!F50=""),"",N('CONTROLE EJ'!F50)+N('CONTROLE CMM'!F50))</f>
        <v/>
      </c>
      <c r="AL48" s="223">
        <f>IF(AND('CONTROLE EJ'!G50="",'CONTROLE CMM'!G50=""),"",N('CONTROLE EJ'!G50)+N('CONTROLE CMM'!G50))</f>
        <v/>
      </c>
      <c r="AM48" s="223">
        <f>IF(AND('CONTROLE EJ'!H50="",'CONTROLE CMM'!H50=""),"",N('CONTROLE EJ'!H50)+N('CONTROLE CMM'!H50))</f>
        <v/>
      </c>
      <c r="AN48" s="223">
        <f>IF('CONTROLE GLOBO AÇOS'!G50="","",'CONTROLE GLOBO AÇOS'!G50)</f>
        <v/>
      </c>
      <c r="AO48" s="223">
        <f>IF('CONTROLE GLOBO AÇOS'!H50="","",'CONTROLE GLOBO AÇOS'!H50)</f>
        <v/>
      </c>
      <c r="AP48" s="223">
        <f>IF(AND('CONTROLE EJ'!I50="",'CONTROLE CMM'!I50=""),"",N('CONTROLE EJ'!I50)+N('CONTROLE CMM'!I50))</f>
        <v/>
      </c>
      <c r="AQ48" s="223">
        <f>IF(AND('CONTROLE EJ'!J50="",'CONTROLE CMM'!#REF!=""),"",N('CONTROLE EJ'!J50)+N('CONTROLE CMM'!#REF!))</f>
        <v/>
      </c>
      <c r="AR48" s="223">
        <f>IF('CONTROLE GLOBO AÇOS'!I50="","",'CONTROLE GLOBO AÇOS'!I50)</f>
        <v/>
      </c>
      <c r="AS48" s="223">
        <f>IF('CONTROLE GLOBO AÇOS'!J50="","",'CONTROLE GLOBO AÇOS'!J50)</f>
        <v/>
      </c>
      <c r="AT48" s="223">
        <f>IF(#REF!="","",#REF!)</f>
        <v/>
      </c>
      <c r="AU48" s="223">
        <f>IF('CONTROLE GLOBO AÇOS'!K50="","",'CONTROLE GLOBO AÇOS'!K50)</f>
        <v/>
      </c>
      <c r="AV48" s="223">
        <f>IF(AND('CONTROLE EJ'!K50="",'CONTROLE CMM'!#REF!=""),"",N('CONTROLE EJ'!K50)+N('CONTROLE CMM'!#REF!))</f>
        <v/>
      </c>
      <c r="AW48" s="223">
        <f>IF('CONTROLE GLOBO AÇOS'!L50="","",'CONTROLE GLOBO AÇOS'!L50)</f>
        <v/>
      </c>
      <c r="AX48" s="223">
        <f>IF(AND('CONTROLE EJ'!L50="",'CONTROLE CMM'!#REF!=""),"",N('CONTROLE EJ'!L50)+N('CONTROLE CMM'!#REF!))</f>
        <v/>
      </c>
      <c r="AY48" s="223">
        <f>IF('CONTROLE GLOBO AÇOS'!M50="","",'CONTROLE GLOBO AÇOS'!M50)</f>
        <v/>
      </c>
      <c r="AZ48" s="223">
        <f>IF('CONTROLE GLOBO AÇOS'!N50="","",'CONTROLE GLOBO AÇOS'!N50)</f>
        <v/>
      </c>
      <c r="BA48" s="223">
        <f>IF(AND('CONTROLE EJ'!M50="",'CONTROLE CMM'!#REF!=""),"",N('CONTROLE EJ'!M50)+N('CONTROLE CMM'!#REF!))</f>
        <v/>
      </c>
      <c r="BB48" s="223">
        <f>IF(#REF!="","",#REF!)</f>
        <v/>
      </c>
      <c r="BC48" s="223">
        <f>IF('CONTROLE GLOBO AÇOS'!O50="","",'CONTROLE GLOBO AÇOS'!O50)</f>
        <v/>
      </c>
      <c r="BD48" s="223">
        <f>IF(AND('CONTROLE EJ'!N50="",'CONTROLE CMM'!#REF!=""),"",N('CONTROLE EJ'!N50)+N('CONTROLE CMM'!#REF!))</f>
        <v/>
      </c>
      <c r="BE48" s="223">
        <f>IF('CONTROLE GLOBO AÇOS'!P50="","",'CONTROLE GLOBO AÇOS'!P50)</f>
        <v/>
      </c>
      <c r="BF48" s="223">
        <f>IF('CONTROLE GLOBO AÇOS'!Q50="","",'CONTROLE GLOBO AÇOS'!Q50)</f>
        <v/>
      </c>
      <c r="BG48" s="223">
        <f>IF('CONTROLE GLOBO AÇOS'!R50="","",'CONTROLE GLOBO AÇOS'!R50)</f>
        <v/>
      </c>
      <c r="BH48" s="223">
        <f>IF(AND('CONTROLE EJ'!O50="",'CONTROLE CMM'!#REF!=""),"",N('CONTROLE EJ'!O50)+N('CONTROLE CMM'!#REF!))</f>
        <v/>
      </c>
      <c r="BI48" s="223">
        <f>IF('CONTROLE GLOBO AÇOS'!S50="","",'CONTROLE GLOBO AÇOS'!S50)</f>
        <v/>
      </c>
      <c r="BJ48" s="223">
        <f>IF('CONTROLE GLOBO AÇOS'!T50="","",'CONTROLE GLOBO AÇOS'!T50)</f>
        <v/>
      </c>
      <c r="BK48" s="223">
        <f>IF('CONTROLE GLOBO AÇOS'!U50="","",'CONTROLE GLOBO AÇOS'!U50)</f>
        <v/>
      </c>
      <c r="BL48" s="223">
        <f>IF(AND('CONTROLE EJ'!P50="",'CONTROLE CMM'!#REF!=""),"",N('CONTROLE EJ'!P50)+N('CONTROLE CMM'!#REF!))</f>
        <v/>
      </c>
      <c r="BM48" s="223">
        <f>IF(AND('CONTROLE EJ'!Q50="",'CONTROLE CMM'!#REF!=""),"",N('CONTROLE EJ'!Q50)+N('CONTROLE CMM'!#REF!))</f>
        <v/>
      </c>
      <c r="BN48" s="223">
        <f>IF('CONTROLE GLOBO AÇOS'!V50="","",'CONTROLE GLOBO AÇOS'!V50)</f>
        <v/>
      </c>
      <c r="BO48" s="223">
        <f>IF('CONTROLE GLOBO AÇOS'!W50="","",'CONTROLE GLOBO AÇOS'!W50)</f>
        <v/>
      </c>
      <c r="BP48" s="223">
        <f>IF(AND('CONTROLE EJ'!R50="",'CONTROLE CMM'!#REF!=""),"",N('CONTROLE EJ'!R50)+N('CONTROLE CMM'!#REF!))</f>
        <v/>
      </c>
      <c r="BQ48" s="223">
        <f>IF(#REF!="","",#REF!)</f>
        <v/>
      </c>
      <c r="BR48" s="223">
        <f>IF(AND('CONTROLE EJ'!S50="",'CONTROLE CMM'!#REF!=""),"",N('CONTROLE EJ'!S50)+N('CONTROLE CMM'!#REF!))</f>
        <v/>
      </c>
      <c r="BS48" s="223">
        <f>IF(AND('CONTROLE EJ'!T50="",'CONTROLE CMM'!#REF!=""),"",N('CONTROLE EJ'!T50)+N('CONTROLE CMM'!#REF!))</f>
        <v/>
      </c>
      <c r="BT48" s="223">
        <f>IF('CONTROLE GLOBO AÇOS'!X50="","",'CONTROLE GLOBO AÇOS'!X50)</f>
        <v/>
      </c>
      <c r="BU48" s="223">
        <f>IF('CONTROLE GLOBO AÇOS'!Y50="","",'CONTROLE GLOBO AÇOS'!Y50)</f>
        <v/>
      </c>
      <c r="BV48" s="223">
        <f>IF(AND('CONTROLE EJ'!U50="",'CONTROLE CMM'!#REF!=""),"",N('CONTROLE EJ'!U50)+N('CONTROLE CMM'!#REF!))</f>
        <v/>
      </c>
      <c r="BW48" s="223">
        <f>IF(#REF!="","",#REF!)</f>
        <v/>
      </c>
    </row>
    <row r="49">
      <c r="A49" s="282" t="n">
        <v>46266</v>
      </c>
      <c r="B49" s="223">
        <f>IF('CONTROLE EJ'!B51="","",'CONTROLE EJ'!B51)</f>
        <v/>
      </c>
      <c r="C49" s="223">
        <f>IF('CONTROLE EJ'!C51="","",'CONTROLE EJ'!C51)</f>
        <v/>
      </c>
      <c r="D49" s="42">
        <f>IF('CONTROLE EJ'!D51="","",'CONTROLE EJ'!D51)</f>
        <v/>
      </c>
      <c r="E49" s="44">
        <f>IF('CONTROLE CMM'!B51="","",'CONTROLE CMM'!B51)</f>
        <v/>
      </c>
      <c r="F49" s="223">
        <f>IF('CONTROLE CMM'!C51="","",'CONTROLE CMM'!C51)</f>
        <v/>
      </c>
      <c r="G49" s="42">
        <f>IF('CONTROLE CMM'!D51="","",'CONTROLE CMM'!D51)</f>
        <v/>
      </c>
      <c r="H49" s="44">
        <f>IF('CONTROLE GLOBO AÇOS'!B51="","",'CONTROLE GLOBO AÇOS'!B51)</f>
        <v/>
      </c>
      <c r="I49" s="223">
        <f>IF('CONTROLE GLOBO AÇOS'!C51="","",'CONTROLE GLOBO AÇOS'!C51)</f>
        <v/>
      </c>
      <c r="J49" s="223">
        <f>IF('CONTROLE GLOBO AÇOS'!D51="","",'CONTROLE GLOBO AÇOS'!D51)</f>
        <v/>
      </c>
      <c r="AD49" s="39">
        <f>IF($A49="",0,IF(AND(WEEKDAY($A49,2)&lt;=5,OR($B49&lt;&gt;"",$C49&lt;&gt;"",$D49&lt;&gt;"")),1,0))</f>
        <v/>
      </c>
      <c r="AE49" s="39">
        <f>IF($A49="",0,IF(AND(WEEKDAY($A49,2)&lt;=5,OR($E49&lt;&gt;"",$F49&lt;&gt;"",$G49&lt;&gt;"")),1,0))</f>
        <v/>
      </c>
      <c r="AF49" s="39">
        <f>MAX(AD49,AE49)</f>
        <v/>
      </c>
      <c r="AH49" s="223">
        <f>IF('CONTROLE GLOBO AÇOS'!E51="","",'CONTROLE GLOBO AÇOS'!E51)</f>
        <v/>
      </c>
      <c r="AI49" s="223">
        <f>IF('CONTROLE GLOBO AÇOS'!F51="","",'CONTROLE GLOBO AÇOS'!F51)</f>
        <v/>
      </c>
      <c r="AJ49" s="223">
        <f>IF(AND('CONTROLE EJ'!E51="",'CONTROLE CMM'!E51=""),"",N('CONTROLE EJ'!E51)+N('CONTROLE CMM'!E51))</f>
        <v/>
      </c>
      <c r="AK49" s="223">
        <f>IF(AND('CONTROLE EJ'!F51="",'CONTROLE CMM'!F51=""),"",N('CONTROLE EJ'!F51)+N('CONTROLE CMM'!F51))</f>
        <v/>
      </c>
      <c r="AL49" s="223">
        <f>IF(AND('CONTROLE EJ'!G51="",'CONTROLE CMM'!G51=""),"",N('CONTROLE EJ'!G51)+N('CONTROLE CMM'!G51))</f>
        <v/>
      </c>
      <c r="AM49" s="223">
        <f>IF(AND('CONTROLE EJ'!H51="",'CONTROLE CMM'!H51=""),"",N('CONTROLE EJ'!H51)+N('CONTROLE CMM'!H51))</f>
        <v/>
      </c>
      <c r="AN49" s="223">
        <f>IF('CONTROLE GLOBO AÇOS'!G51="","",'CONTROLE GLOBO AÇOS'!G51)</f>
        <v/>
      </c>
      <c r="AO49" s="223">
        <f>IF('CONTROLE GLOBO AÇOS'!H51="","",'CONTROLE GLOBO AÇOS'!H51)</f>
        <v/>
      </c>
      <c r="AP49" s="223">
        <f>IF(AND('CONTROLE EJ'!I51="",'CONTROLE CMM'!I51=""),"",N('CONTROLE EJ'!I51)+N('CONTROLE CMM'!I51))</f>
        <v/>
      </c>
      <c r="AQ49" s="223">
        <f>IF(AND('CONTROLE EJ'!J51="",'CONTROLE CMM'!#REF!=""),"",N('CONTROLE EJ'!J51)+N('CONTROLE CMM'!#REF!))</f>
        <v/>
      </c>
      <c r="AR49" s="223">
        <f>IF('CONTROLE GLOBO AÇOS'!I51="","",'CONTROLE GLOBO AÇOS'!I51)</f>
        <v/>
      </c>
      <c r="AS49" s="223">
        <f>IF('CONTROLE GLOBO AÇOS'!J51="","",'CONTROLE GLOBO AÇOS'!J51)</f>
        <v/>
      </c>
      <c r="AT49" s="223">
        <f>IF(#REF!="","",#REF!)</f>
        <v/>
      </c>
      <c r="AU49" s="223">
        <f>IF('CONTROLE GLOBO AÇOS'!K51="","",'CONTROLE GLOBO AÇOS'!K51)</f>
        <v/>
      </c>
      <c r="AV49" s="223">
        <f>IF(AND('CONTROLE EJ'!K51="",'CONTROLE CMM'!#REF!=""),"",N('CONTROLE EJ'!K51)+N('CONTROLE CMM'!#REF!))</f>
        <v/>
      </c>
      <c r="AW49" s="223">
        <f>IF('CONTROLE GLOBO AÇOS'!L51="","",'CONTROLE GLOBO AÇOS'!L51)</f>
        <v/>
      </c>
      <c r="AX49" s="223">
        <f>IF(AND('CONTROLE EJ'!L51="",'CONTROLE CMM'!#REF!=""),"",N('CONTROLE EJ'!L51)+N('CONTROLE CMM'!#REF!))</f>
        <v/>
      </c>
      <c r="AY49" s="223">
        <f>IF('CONTROLE GLOBO AÇOS'!M51="","",'CONTROLE GLOBO AÇOS'!M51)</f>
        <v/>
      </c>
      <c r="AZ49" s="223">
        <f>IF('CONTROLE GLOBO AÇOS'!N51="","",'CONTROLE GLOBO AÇOS'!N51)</f>
        <v/>
      </c>
      <c r="BA49" s="223">
        <f>IF(AND('CONTROLE EJ'!M51="",'CONTROLE CMM'!#REF!=""),"",N('CONTROLE EJ'!M51)+N('CONTROLE CMM'!#REF!))</f>
        <v/>
      </c>
      <c r="BB49" s="223">
        <f>IF(#REF!="","",#REF!)</f>
        <v/>
      </c>
      <c r="BC49" s="223">
        <f>IF('CONTROLE GLOBO AÇOS'!O51="","",'CONTROLE GLOBO AÇOS'!O51)</f>
        <v/>
      </c>
      <c r="BD49" s="223">
        <f>IF(AND('CONTROLE EJ'!N51="",'CONTROLE CMM'!#REF!=""),"",N('CONTROLE EJ'!N51)+N('CONTROLE CMM'!#REF!))</f>
        <v/>
      </c>
      <c r="BE49" s="223">
        <f>IF('CONTROLE GLOBO AÇOS'!P51="","",'CONTROLE GLOBO AÇOS'!P51)</f>
        <v/>
      </c>
      <c r="BF49" s="223">
        <f>IF('CONTROLE GLOBO AÇOS'!Q51="","",'CONTROLE GLOBO AÇOS'!Q51)</f>
        <v/>
      </c>
      <c r="BG49" s="223">
        <f>IF('CONTROLE GLOBO AÇOS'!R51="","",'CONTROLE GLOBO AÇOS'!R51)</f>
        <v/>
      </c>
      <c r="BH49" s="223">
        <f>IF(AND('CONTROLE EJ'!O51="",'CONTROLE CMM'!#REF!=""),"",N('CONTROLE EJ'!O51)+N('CONTROLE CMM'!#REF!))</f>
        <v/>
      </c>
      <c r="BI49" s="223">
        <f>IF('CONTROLE GLOBO AÇOS'!S51="","",'CONTROLE GLOBO AÇOS'!S51)</f>
        <v/>
      </c>
      <c r="BJ49" s="223">
        <f>IF('CONTROLE GLOBO AÇOS'!T51="","",'CONTROLE GLOBO AÇOS'!T51)</f>
        <v/>
      </c>
      <c r="BK49" s="223">
        <f>IF('CONTROLE GLOBO AÇOS'!U51="","",'CONTROLE GLOBO AÇOS'!U51)</f>
        <v/>
      </c>
      <c r="BL49" s="223">
        <f>IF(AND('CONTROLE EJ'!P51="",'CONTROLE CMM'!#REF!=""),"",N('CONTROLE EJ'!P51)+N('CONTROLE CMM'!#REF!))</f>
        <v/>
      </c>
      <c r="BM49" s="223">
        <f>IF(AND('CONTROLE EJ'!Q51="",'CONTROLE CMM'!#REF!=""),"",N('CONTROLE EJ'!Q51)+N('CONTROLE CMM'!#REF!))</f>
        <v/>
      </c>
      <c r="BN49" s="223">
        <f>IF('CONTROLE GLOBO AÇOS'!V51="","",'CONTROLE GLOBO AÇOS'!V51)</f>
        <v/>
      </c>
      <c r="BO49" s="223">
        <f>IF('CONTROLE GLOBO AÇOS'!W51="","",'CONTROLE GLOBO AÇOS'!W51)</f>
        <v/>
      </c>
      <c r="BP49" s="223">
        <f>IF(AND('CONTROLE EJ'!R51="",'CONTROLE CMM'!#REF!=""),"",N('CONTROLE EJ'!R51)+N('CONTROLE CMM'!#REF!))</f>
        <v/>
      </c>
      <c r="BQ49" s="223">
        <f>IF(#REF!="","",#REF!)</f>
        <v/>
      </c>
      <c r="BR49" s="223">
        <f>IF(AND('CONTROLE EJ'!S51="",'CONTROLE CMM'!#REF!=""),"",N('CONTROLE EJ'!S51)+N('CONTROLE CMM'!#REF!))</f>
        <v/>
      </c>
      <c r="BS49" s="223">
        <f>IF(AND('CONTROLE EJ'!T51="",'CONTROLE CMM'!#REF!=""),"",N('CONTROLE EJ'!T51)+N('CONTROLE CMM'!#REF!))</f>
        <v/>
      </c>
      <c r="BT49" s="223">
        <f>IF('CONTROLE GLOBO AÇOS'!X51="","",'CONTROLE GLOBO AÇOS'!X51)</f>
        <v/>
      </c>
      <c r="BU49" s="223">
        <f>IF('CONTROLE GLOBO AÇOS'!Y51="","",'CONTROLE GLOBO AÇOS'!Y51)</f>
        <v/>
      </c>
      <c r="BV49" s="223">
        <f>IF(AND('CONTROLE EJ'!U51="",'CONTROLE CMM'!#REF!=""),"",N('CONTROLE EJ'!U51)+N('CONTROLE CMM'!#REF!))</f>
        <v/>
      </c>
      <c r="BW49" s="223">
        <f>IF(#REF!="","",#REF!)</f>
        <v/>
      </c>
    </row>
    <row r="50">
      <c r="A50" s="282" t="n">
        <v>46267</v>
      </c>
      <c r="B50" s="223">
        <f>IF('CONTROLE EJ'!B52="","",'CONTROLE EJ'!B52)</f>
        <v/>
      </c>
      <c r="C50" s="223">
        <f>IF('CONTROLE EJ'!C52="","",'CONTROLE EJ'!C52)</f>
        <v/>
      </c>
      <c r="D50" s="42">
        <f>IF('CONTROLE EJ'!D52="","",'CONTROLE EJ'!D52)</f>
        <v/>
      </c>
      <c r="E50" s="44">
        <f>IF('CONTROLE CMM'!B52="","",'CONTROLE CMM'!B52)</f>
        <v/>
      </c>
      <c r="F50" s="223">
        <f>IF('CONTROLE CMM'!C52="","",'CONTROLE CMM'!C52)</f>
        <v/>
      </c>
      <c r="G50" s="42">
        <f>IF('CONTROLE CMM'!D52="","",'CONTROLE CMM'!D52)</f>
        <v/>
      </c>
      <c r="H50" s="44">
        <f>IF('CONTROLE GLOBO AÇOS'!B52="","",'CONTROLE GLOBO AÇOS'!B52)</f>
        <v/>
      </c>
      <c r="I50" s="223">
        <f>IF('CONTROLE GLOBO AÇOS'!C52="","",'CONTROLE GLOBO AÇOS'!C52)</f>
        <v/>
      </c>
      <c r="J50" s="223">
        <f>IF('CONTROLE GLOBO AÇOS'!D52="","",'CONTROLE GLOBO AÇOS'!D52)</f>
        <v/>
      </c>
      <c r="AD50" s="39">
        <f>IF($A50="",0,IF(AND(WEEKDAY($A50,2)&lt;=5,OR($B50&lt;&gt;"",$C50&lt;&gt;"",$D50&lt;&gt;"")),1,0))</f>
        <v/>
      </c>
      <c r="AE50" s="39">
        <f>IF($A50="",0,IF(AND(WEEKDAY($A50,2)&lt;=5,OR($E50&lt;&gt;"",$F50&lt;&gt;"",$G50&lt;&gt;"")),1,0))</f>
        <v/>
      </c>
      <c r="AF50" s="39">
        <f>MAX(AD50,AE50)</f>
        <v/>
      </c>
      <c r="AH50" s="223">
        <f>IF('CONTROLE GLOBO AÇOS'!E52="","",'CONTROLE GLOBO AÇOS'!E52)</f>
        <v/>
      </c>
      <c r="AI50" s="223">
        <f>IF('CONTROLE GLOBO AÇOS'!F52="","",'CONTROLE GLOBO AÇOS'!F52)</f>
        <v/>
      </c>
      <c r="AJ50" s="223">
        <f>IF(AND('CONTROLE EJ'!E52="",'CONTROLE CMM'!E52=""),"",N('CONTROLE EJ'!E52)+N('CONTROLE CMM'!E52))</f>
        <v/>
      </c>
      <c r="AK50" s="223">
        <f>IF(AND('CONTROLE EJ'!F52="",'CONTROLE CMM'!F52=""),"",N('CONTROLE EJ'!F52)+N('CONTROLE CMM'!F52))</f>
        <v/>
      </c>
      <c r="AL50" s="223">
        <f>IF(AND('CONTROLE EJ'!G52="",'CONTROLE CMM'!G52=""),"",N('CONTROLE EJ'!G52)+N('CONTROLE CMM'!G52))</f>
        <v/>
      </c>
      <c r="AM50" s="223">
        <f>IF(AND('CONTROLE EJ'!H52="",'CONTROLE CMM'!H52=""),"",N('CONTROLE EJ'!H52)+N('CONTROLE CMM'!H52))</f>
        <v/>
      </c>
      <c r="AN50" s="223">
        <f>IF('CONTROLE GLOBO AÇOS'!G52="","",'CONTROLE GLOBO AÇOS'!G52)</f>
        <v/>
      </c>
      <c r="AO50" s="223">
        <f>IF('CONTROLE GLOBO AÇOS'!H52="","",'CONTROLE GLOBO AÇOS'!H52)</f>
        <v/>
      </c>
      <c r="AP50" s="223">
        <f>IF(AND('CONTROLE EJ'!I52="",'CONTROLE CMM'!I52=""),"",N('CONTROLE EJ'!I52)+N('CONTROLE CMM'!I52))</f>
        <v/>
      </c>
      <c r="AQ50" s="223">
        <f>IF(AND('CONTROLE EJ'!J52="",'CONTROLE CMM'!#REF!=""),"",N('CONTROLE EJ'!J52)+N('CONTROLE CMM'!#REF!))</f>
        <v/>
      </c>
      <c r="AR50" s="223">
        <f>IF('CONTROLE GLOBO AÇOS'!I52="","",'CONTROLE GLOBO AÇOS'!I52)</f>
        <v/>
      </c>
      <c r="AS50" s="223">
        <f>IF('CONTROLE GLOBO AÇOS'!J52="","",'CONTROLE GLOBO AÇOS'!J52)</f>
        <v/>
      </c>
      <c r="AT50" s="223">
        <f>IF(#REF!="","",#REF!)</f>
        <v/>
      </c>
      <c r="AU50" s="223">
        <f>IF('CONTROLE GLOBO AÇOS'!K52="","",'CONTROLE GLOBO AÇOS'!K52)</f>
        <v/>
      </c>
      <c r="AV50" s="223">
        <f>IF(AND('CONTROLE EJ'!K52="",'CONTROLE CMM'!#REF!=""),"",N('CONTROLE EJ'!K52)+N('CONTROLE CMM'!#REF!))</f>
        <v/>
      </c>
      <c r="AW50" s="223">
        <f>IF('CONTROLE GLOBO AÇOS'!L52="","",'CONTROLE GLOBO AÇOS'!L52)</f>
        <v/>
      </c>
      <c r="AX50" s="223">
        <f>IF(AND('CONTROLE EJ'!L52="",'CONTROLE CMM'!#REF!=""),"",N('CONTROLE EJ'!L52)+N('CONTROLE CMM'!#REF!))</f>
        <v/>
      </c>
      <c r="AY50" s="223">
        <f>IF('CONTROLE GLOBO AÇOS'!M52="","",'CONTROLE GLOBO AÇOS'!M52)</f>
        <v/>
      </c>
      <c r="AZ50" s="223">
        <f>IF('CONTROLE GLOBO AÇOS'!N52="","",'CONTROLE GLOBO AÇOS'!N52)</f>
        <v/>
      </c>
      <c r="BA50" s="223">
        <f>IF(AND('CONTROLE EJ'!M52="",'CONTROLE CMM'!#REF!=""),"",N('CONTROLE EJ'!M52)+N('CONTROLE CMM'!#REF!))</f>
        <v/>
      </c>
      <c r="BB50" s="223">
        <f>IF(#REF!="","",#REF!)</f>
        <v/>
      </c>
      <c r="BC50" s="223">
        <f>IF('CONTROLE GLOBO AÇOS'!O52="","",'CONTROLE GLOBO AÇOS'!O52)</f>
        <v/>
      </c>
      <c r="BD50" s="223">
        <f>IF(AND('CONTROLE EJ'!N52="",'CONTROLE CMM'!#REF!=""),"",N('CONTROLE EJ'!N52)+N('CONTROLE CMM'!#REF!))</f>
        <v/>
      </c>
      <c r="BE50" s="223">
        <f>IF('CONTROLE GLOBO AÇOS'!P52="","",'CONTROLE GLOBO AÇOS'!P52)</f>
        <v/>
      </c>
      <c r="BF50" s="223">
        <f>IF('CONTROLE GLOBO AÇOS'!Q52="","",'CONTROLE GLOBO AÇOS'!Q52)</f>
        <v/>
      </c>
      <c r="BG50" s="223">
        <f>IF('CONTROLE GLOBO AÇOS'!R52="","",'CONTROLE GLOBO AÇOS'!R52)</f>
        <v/>
      </c>
      <c r="BH50" s="223">
        <f>IF(AND('CONTROLE EJ'!O52="",'CONTROLE CMM'!#REF!=""),"",N('CONTROLE EJ'!O52)+N('CONTROLE CMM'!#REF!))</f>
        <v/>
      </c>
      <c r="BI50" s="223">
        <f>IF('CONTROLE GLOBO AÇOS'!S52="","",'CONTROLE GLOBO AÇOS'!S52)</f>
        <v/>
      </c>
      <c r="BJ50" s="223">
        <f>IF('CONTROLE GLOBO AÇOS'!T52="","",'CONTROLE GLOBO AÇOS'!T52)</f>
        <v/>
      </c>
      <c r="BK50" s="223">
        <f>IF('CONTROLE GLOBO AÇOS'!U52="","",'CONTROLE GLOBO AÇOS'!U52)</f>
        <v/>
      </c>
      <c r="BL50" s="223">
        <f>IF(AND('CONTROLE EJ'!P52="",'CONTROLE CMM'!#REF!=""),"",N('CONTROLE EJ'!P52)+N('CONTROLE CMM'!#REF!))</f>
        <v/>
      </c>
      <c r="BM50" s="223">
        <f>IF(AND('CONTROLE EJ'!Q52="",'CONTROLE CMM'!#REF!=""),"",N('CONTROLE EJ'!Q52)+N('CONTROLE CMM'!#REF!))</f>
        <v/>
      </c>
      <c r="BN50" s="223">
        <f>IF('CONTROLE GLOBO AÇOS'!V52="","",'CONTROLE GLOBO AÇOS'!V52)</f>
        <v/>
      </c>
      <c r="BO50" s="223">
        <f>IF('CONTROLE GLOBO AÇOS'!W52="","",'CONTROLE GLOBO AÇOS'!W52)</f>
        <v/>
      </c>
      <c r="BP50" s="223">
        <f>IF(AND('CONTROLE EJ'!R52="",'CONTROLE CMM'!#REF!=""),"",N('CONTROLE EJ'!R52)+N('CONTROLE CMM'!#REF!))</f>
        <v/>
      </c>
      <c r="BQ50" s="223">
        <f>IF(#REF!="","",#REF!)</f>
        <v/>
      </c>
      <c r="BR50" s="223">
        <f>IF(AND('CONTROLE EJ'!S52="",'CONTROLE CMM'!#REF!=""),"",N('CONTROLE EJ'!S52)+N('CONTROLE CMM'!#REF!))</f>
        <v/>
      </c>
      <c r="BS50" s="223">
        <f>IF(AND('CONTROLE EJ'!T52="",'CONTROLE CMM'!#REF!=""),"",N('CONTROLE EJ'!T52)+N('CONTROLE CMM'!#REF!))</f>
        <v/>
      </c>
      <c r="BT50" s="223">
        <f>IF('CONTROLE GLOBO AÇOS'!X52="","",'CONTROLE GLOBO AÇOS'!X52)</f>
        <v/>
      </c>
      <c r="BU50" s="223">
        <f>IF('CONTROLE GLOBO AÇOS'!Y52="","",'CONTROLE GLOBO AÇOS'!Y52)</f>
        <v/>
      </c>
      <c r="BV50" s="223">
        <f>IF(AND('CONTROLE EJ'!U52="",'CONTROLE CMM'!#REF!=""),"",N('CONTROLE EJ'!U52)+N('CONTROLE CMM'!#REF!))</f>
        <v/>
      </c>
      <c r="BW50" s="223">
        <f>IF(#REF!="","",#REF!)</f>
        <v/>
      </c>
    </row>
    <row r="51">
      <c r="A51" s="282" t="n">
        <v>46268</v>
      </c>
      <c r="B51" s="223">
        <f>IF('CONTROLE EJ'!B53="","",'CONTROLE EJ'!B53)</f>
        <v/>
      </c>
      <c r="C51" s="223">
        <f>IF('CONTROLE EJ'!C53="","",'CONTROLE EJ'!C53)</f>
        <v/>
      </c>
      <c r="D51" s="42">
        <f>IF('CONTROLE EJ'!D53="","",'CONTROLE EJ'!D53)</f>
        <v/>
      </c>
      <c r="E51" s="44">
        <f>IF('CONTROLE CMM'!B53="","",'CONTROLE CMM'!B53)</f>
        <v/>
      </c>
      <c r="F51" s="223">
        <f>IF('CONTROLE CMM'!C53="","",'CONTROLE CMM'!C53)</f>
        <v/>
      </c>
      <c r="G51" s="42">
        <f>IF('CONTROLE CMM'!D53="","",'CONTROLE CMM'!D53)</f>
        <v/>
      </c>
      <c r="H51" s="44">
        <f>IF('CONTROLE GLOBO AÇOS'!B53="","",'CONTROLE GLOBO AÇOS'!B53)</f>
        <v/>
      </c>
      <c r="I51" s="223">
        <f>IF('CONTROLE GLOBO AÇOS'!C53="","",'CONTROLE GLOBO AÇOS'!C53)</f>
        <v/>
      </c>
      <c r="J51" s="223">
        <f>IF('CONTROLE GLOBO AÇOS'!D53="","",'CONTROLE GLOBO AÇOS'!D53)</f>
        <v/>
      </c>
      <c r="AD51" s="39">
        <f>IF($A51="",0,IF(AND(WEEKDAY($A51,2)&lt;=5,OR($B51&lt;&gt;"",$C51&lt;&gt;"",$D51&lt;&gt;"")),1,0))</f>
        <v/>
      </c>
      <c r="AE51" s="39">
        <f>IF($A51="",0,IF(AND(WEEKDAY($A51,2)&lt;=5,OR($E51&lt;&gt;"",$F51&lt;&gt;"",$G51&lt;&gt;"")),1,0))</f>
        <v/>
      </c>
      <c r="AF51" s="39">
        <f>MAX(AD51,AE51)</f>
        <v/>
      </c>
      <c r="AH51" s="223">
        <f>IF('CONTROLE GLOBO AÇOS'!E53="","",'CONTROLE GLOBO AÇOS'!E53)</f>
        <v/>
      </c>
      <c r="AI51" s="223">
        <f>IF('CONTROLE GLOBO AÇOS'!F53="","",'CONTROLE GLOBO AÇOS'!F53)</f>
        <v/>
      </c>
      <c r="AJ51" s="223">
        <f>IF(AND('CONTROLE EJ'!E53="",'CONTROLE CMM'!E53=""),"",N('CONTROLE EJ'!E53)+N('CONTROLE CMM'!E53))</f>
        <v/>
      </c>
      <c r="AK51" s="223">
        <f>IF(AND('CONTROLE EJ'!F53="",'CONTROLE CMM'!F53=""),"",N('CONTROLE EJ'!F53)+N('CONTROLE CMM'!F53))</f>
        <v/>
      </c>
      <c r="AL51" s="223">
        <f>IF(AND('CONTROLE EJ'!G53="",'CONTROLE CMM'!G53=""),"",N('CONTROLE EJ'!G53)+N('CONTROLE CMM'!G53))</f>
        <v/>
      </c>
      <c r="AM51" s="223">
        <f>IF(AND('CONTROLE EJ'!H53="",'CONTROLE CMM'!H53=""),"",N('CONTROLE EJ'!H53)+N('CONTROLE CMM'!H53))</f>
        <v/>
      </c>
      <c r="AN51" s="223">
        <f>IF('CONTROLE GLOBO AÇOS'!G53="","",'CONTROLE GLOBO AÇOS'!G53)</f>
        <v/>
      </c>
      <c r="AO51" s="223">
        <f>IF('CONTROLE GLOBO AÇOS'!H53="","",'CONTROLE GLOBO AÇOS'!H53)</f>
        <v/>
      </c>
      <c r="AP51" s="223">
        <f>IF(AND('CONTROLE EJ'!I53="",'CONTROLE CMM'!I53=""),"",N('CONTROLE EJ'!I53)+N('CONTROLE CMM'!I53))</f>
        <v/>
      </c>
      <c r="AQ51" s="223">
        <f>IF(AND('CONTROLE EJ'!J53="",'CONTROLE CMM'!#REF!=""),"",N('CONTROLE EJ'!J53)+N('CONTROLE CMM'!#REF!))</f>
        <v/>
      </c>
      <c r="AR51" s="223">
        <f>IF('CONTROLE GLOBO AÇOS'!I53="","",'CONTROLE GLOBO AÇOS'!I53)</f>
        <v/>
      </c>
      <c r="AS51" s="223">
        <f>IF('CONTROLE GLOBO AÇOS'!J53="","",'CONTROLE GLOBO AÇOS'!J53)</f>
        <v/>
      </c>
      <c r="AT51" s="223">
        <f>IF(#REF!="","",#REF!)</f>
        <v/>
      </c>
      <c r="AU51" s="223">
        <f>IF('CONTROLE GLOBO AÇOS'!K53="","",'CONTROLE GLOBO AÇOS'!K53)</f>
        <v/>
      </c>
      <c r="AV51" s="223">
        <f>IF(AND('CONTROLE EJ'!K53="",'CONTROLE CMM'!#REF!=""),"",N('CONTROLE EJ'!K53)+N('CONTROLE CMM'!#REF!))</f>
        <v/>
      </c>
      <c r="AW51" s="223">
        <f>IF('CONTROLE GLOBO AÇOS'!L53="","",'CONTROLE GLOBO AÇOS'!L53)</f>
        <v/>
      </c>
      <c r="AX51" s="223">
        <f>IF(AND('CONTROLE EJ'!L53="",'CONTROLE CMM'!#REF!=""),"",N('CONTROLE EJ'!L53)+N('CONTROLE CMM'!#REF!))</f>
        <v/>
      </c>
      <c r="AY51" s="223">
        <f>IF('CONTROLE GLOBO AÇOS'!M53="","",'CONTROLE GLOBO AÇOS'!M53)</f>
        <v/>
      </c>
      <c r="AZ51" s="223">
        <f>IF('CONTROLE GLOBO AÇOS'!N53="","",'CONTROLE GLOBO AÇOS'!N53)</f>
        <v/>
      </c>
      <c r="BA51" s="223">
        <f>IF(AND('CONTROLE EJ'!M53="",'CONTROLE CMM'!#REF!=""),"",N('CONTROLE EJ'!M53)+N('CONTROLE CMM'!#REF!))</f>
        <v/>
      </c>
      <c r="BB51" s="223">
        <f>IF(#REF!="","",#REF!)</f>
        <v/>
      </c>
      <c r="BC51" s="223">
        <f>IF('CONTROLE GLOBO AÇOS'!O53="","",'CONTROLE GLOBO AÇOS'!O53)</f>
        <v/>
      </c>
      <c r="BD51" s="223">
        <f>IF(AND('CONTROLE EJ'!N53="",'CONTROLE CMM'!#REF!=""),"",N('CONTROLE EJ'!N53)+N('CONTROLE CMM'!#REF!))</f>
        <v/>
      </c>
      <c r="BE51" s="223">
        <f>IF('CONTROLE GLOBO AÇOS'!P53="","",'CONTROLE GLOBO AÇOS'!P53)</f>
        <v/>
      </c>
      <c r="BF51" s="223">
        <f>IF('CONTROLE GLOBO AÇOS'!Q53="","",'CONTROLE GLOBO AÇOS'!Q53)</f>
        <v/>
      </c>
      <c r="BG51" s="223">
        <f>IF('CONTROLE GLOBO AÇOS'!R53="","",'CONTROLE GLOBO AÇOS'!R53)</f>
        <v/>
      </c>
      <c r="BH51" s="223">
        <f>IF(AND('CONTROLE EJ'!O53="",'CONTROLE CMM'!#REF!=""),"",N('CONTROLE EJ'!O53)+N('CONTROLE CMM'!#REF!))</f>
        <v/>
      </c>
      <c r="BI51" s="223">
        <f>IF('CONTROLE GLOBO AÇOS'!S53="","",'CONTROLE GLOBO AÇOS'!S53)</f>
        <v/>
      </c>
      <c r="BJ51" s="223">
        <f>IF('CONTROLE GLOBO AÇOS'!T53="","",'CONTROLE GLOBO AÇOS'!T53)</f>
        <v/>
      </c>
      <c r="BK51" s="223">
        <f>IF('CONTROLE GLOBO AÇOS'!U53="","",'CONTROLE GLOBO AÇOS'!U53)</f>
        <v/>
      </c>
      <c r="BL51" s="223">
        <f>IF(AND('CONTROLE EJ'!P53="",'CONTROLE CMM'!#REF!=""),"",N('CONTROLE EJ'!P53)+N('CONTROLE CMM'!#REF!))</f>
        <v/>
      </c>
      <c r="BM51" s="223">
        <f>IF(AND('CONTROLE EJ'!Q53="",'CONTROLE CMM'!#REF!=""),"",N('CONTROLE EJ'!Q53)+N('CONTROLE CMM'!#REF!))</f>
        <v/>
      </c>
      <c r="BN51" s="223">
        <f>IF('CONTROLE GLOBO AÇOS'!V53="","",'CONTROLE GLOBO AÇOS'!V53)</f>
        <v/>
      </c>
      <c r="BO51" s="223">
        <f>IF('CONTROLE GLOBO AÇOS'!W53="","",'CONTROLE GLOBO AÇOS'!W53)</f>
        <v/>
      </c>
      <c r="BP51" s="223">
        <f>IF(AND('CONTROLE EJ'!R53="",'CONTROLE CMM'!#REF!=""),"",N('CONTROLE EJ'!R53)+N('CONTROLE CMM'!#REF!))</f>
        <v/>
      </c>
      <c r="BQ51" s="223">
        <f>IF(#REF!="","",#REF!)</f>
        <v/>
      </c>
      <c r="BR51" s="223">
        <f>IF(AND('CONTROLE EJ'!S53="",'CONTROLE CMM'!#REF!=""),"",N('CONTROLE EJ'!S53)+N('CONTROLE CMM'!#REF!))</f>
        <v/>
      </c>
      <c r="BS51" s="223">
        <f>IF(AND('CONTROLE EJ'!T53="",'CONTROLE CMM'!#REF!=""),"",N('CONTROLE EJ'!T53)+N('CONTROLE CMM'!#REF!))</f>
        <v/>
      </c>
      <c r="BT51" s="223">
        <f>IF('CONTROLE GLOBO AÇOS'!X53="","",'CONTROLE GLOBO AÇOS'!X53)</f>
        <v/>
      </c>
      <c r="BU51" s="223">
        <f>IF('CONTROLE GLOBO AÇOS'!Y53="","",'CONTROLE GLOBO AÇOS'!Y53)</f>
        <v/>
      </c>
      <c r="BV51" s="223">
        <f>IF(AND('CONTROLE EJ'!U53="",'CONTROLE CMM'!#REF!=""),"",N('CONTROLE EJ'!U53)+N('CONTROLE CMM'!#REF!))</f>
        <v/>
      </c>
      <c r="BW51" s="223">
        <f>IF(#REF!="","",#REF!)</f>
        <v/>
      </c>
    </row>
    <row r="52">
      <c r="A52" s="282" t="n">
        <v>46269</v>
      </c>
      <c r="B52" s="223">
        <f>IF('CONTROLE EJ'!B54="","",'CONTROLE EJ'!B54)</f>
        <v/>
      </c>
      <c r="C52" s="223">
        <f>IF('CONTROLE EJ'!C54="","",'CONTROLE EJ'!C54)</f>
        <v/>
      </c>
      <c r="D52" s="42">
        <f>IF('CONTROLE EJ'!D54="","",'CONTROLE EJ'!D54)</f>
        <v/>
      </c>
      <c r="E52" s="44">
        <f>IF('CONTROLE CMM'!B54="","",'CONTROLE CMM'!B54)</f>
        <v/>
      </c>
      <c r="F52" s="223">
        <f>IF('CONTROLE CMM'!C54="","",'CONTROLE CMM'!C54)</f>
        <v/>
      </c>
      <c r="G52" s="42">
        <f>IF('CONTROLE CMM'!D54="","",'CONTROLE CMM'!D54)</f>
        <v/>
      </c>
      <c r="H52" s="44">
        <f>IF('CONTROLE GLOBO AÇOS'!B54="","",'CONTROLE GLOBO AÇOS'!B54)</f>
        <v/>
      </c>
      <c r="I52" s="223">
        <f>IF('CONTROLE GLOBO AÇOS'!C54="","",'CONTROLE GLOBO AÇOS'!C54)</f>
        <v/>
      </c>
      <c r="J52" s="223">
        <f>IF('CONTROLE GLOBO AÇOS'!D54="","",'CONTROLE GLOBO AÇOS'!D54)</f>
        <v/>
      </c>
      <c r="AD52" s="39">
        <f>IF($A52="",0,IF(AND(WEEKDAY($A52,2)&lt;=5,OR($B52&lt;&gt;"",$C52&lt;&gt;"",$D52&lt;&gt;"")),1,0))</f>
        <v/>
      </c>
      <c r="AE52" s="39">
        <f>IF($A52="",0,IF(AND(WEEKDAY($A52,2)&lt;=5,OR($E52&lt;&gt;"",$F52&lt;&gt;"",$G52&lt;&gt;"")),1,0))</f>
        <v/>
      </c>
      <c r="AF52" s="39">
        <f>MAX(AD52,AE52)</f>
        <v/>
      </c>
      <c r="AH52" s="223">
        <f>IF('CONTROLE GLOBO AÇOS'!E54="","",'CONTROLE GLOBO AÇOS'!E54)</f>
        <v/>
      </c>
      <c r="AI52" s="223">
        <f>IF('CONTROLE GLOBO AÇOS'!F54="","",'CONTROLE GLOBO AÇOS'!F54)</f>
        <v/>
      </c>
      <c r="AJ52" s="223">
        <f>IF(AND('CONTROLE EJ'!E54="",'CONTROLE CMM'!E54=""),"",N('CONTROLE EJ'!E54)+N('CONTROLE CMM'!E54))</f>
        <v/>
      </c>
      <c r="AK52" s="223">
        <f>IF(AND('CONTROLE EJ'!F54="",'CONTROLE CMM'!F54=""),"",N('CONTROLE EJ'!F54)+N('CONTROLE CMM'!F54))</f>
        <v/>
      </c>
      <c r="AL52" s="223">
        <f>IF(AND('CONTROLE EJ'!G54="",'CONTROLE CMM'!G54=""),"",N('CONTROLE EJ'!G54)+N('CONTROLE CMM'!G54))</f>
        <v/>
      </c>
      <c r="AM52" s="223">
        <f>IF(AND('CONTROLE EJ'!H54="",'CONTROLE CMM'!H54=""),"",N('CONTROLE EJ'!H54)+N('CONTROLE CMM'!H54))</f>
        <v/>
      </c>
      <c r="AN52" s="223">
        <f>IF('CONTROLE GLOBO AÇOS'!G54="","",'CONTROLE GLOBO AÇOS'!G54)</f>
        <v/>
      </c>
      <c r="AO52" s="223">
        <f>IF('CONTROLE GLOBO AÇOS'!H54="","",'CONTROLE GLOBO AÇOS'!H54)</f>
        <v/>
      </c>
      <c r="AP52" s="223">
        <f>IF(AND('CONTROLE EJ'!I54="",'CONTROLE CMM'!I54=""),"",N('CONTROLE EJ'!I54)+N('CONTROLE CMM'!I54))</f>
        <v/>
      </c>
      <c r="AQ52" s="223">
        <f>IF(AND('CONTROLE EJ'!J54="",'CONTROLE CMM'!#REF!=""),"",N('CONTROLE EJ'!J54)+N('CONTROLE CMM'!#REF!))</f>
        <v/>
      </c>
      <c r="AR52" s="223">
        <f>IF('CONTROLE GLOBO AÇOS'!I54="","",'CONTROLE GLOBO AÇOS'!I54)</f>
        <v/>
      </c>
      <c r="AS52" s="223">
        <f>IF('CONTROLE GLOBO AÇOS'!J54="","",'CONTROLE GLOBO AÇOS'!J54)</f>
        <v/>
      </c>
      <c r="AT52" s="223">
        <f>IF(#REF!="","",#REF!)</f>
        <v/>
      </c>
      <c r="AU52" s="223">
        <f>IF('CONTROLE GLOBO AÇOS'!K54="","",'CONTROLE GLOBO AÇOS'!K54)</f>
        <v/>
      </c>
      <c r="AV52" s="223">
        <f>IF(AND('CONTROLE EJ'!K54="",'CONTROLE CMM'!#REF!=""),"",N('CONTROLE EJ'!K54)+N('CONTROLE CMM'!#REF!))</f>
        <v/>
      </c>
      <c r="AW52" s="223">
        <f>IF('CONTROLE GLOBO AÇOS'!L54="","",'CONTROLE GLOBO AÇOS'!L54)</f>
        <v/>
      </c>
      <c r="AX52" s="223">
        <f>IF(AND('CONTROLE EJ'!L54="",'CONTROLE CMM'!#REF!=""),"",N('CONTROLE EJ'!L54)+N('CONTROLE CMM'!#REF!))</f>
        <v/>
      </c>
      <c r="AY52" s="223">
        <f>IF('CONTROLE GLOBO AÇOS'!M54="","",'CONTROLE GLOBO AÇOS'!M54)</f>
        <v/>
      </c>
      <c r="AZ52" s="223">
        <f>IF('CONTROLE GLOBO AÇOS'!N54="","",'CONTROLE GLOBO AÇOS'!N54)</f>
        <v/>
      </c>
      <c r="BA52" s="223">
        <f>IF(AND('CONTROLE EJ'!M54="",'CONTROLE CMM'!#REF!=""),"",N('CONTROLE EJ'!M54)+N('CONTROLE CMM'!#REF!))</f>
        <v/>
      </c>
      <c r="BB52" s="223">
        <f>IF(#REF!="","",#REF!)</f>
        <v/>
      </c>
      <c r="BC52" s="223">
        <f>IF('CONTROLE GLOBO AÇOS'!O54="","",'CONTROLE GLOBO AÇOS'!O54)</f>
        <v/>
      </c>
      <c r="BD52" s="223">
        <f>IF(AND('CONTROLE EJ'!N54="",'CONTROLE CMM'!#REF!=""),"",N('CONTROLE EJ'!N54)+N('CONTROLE CMM'!#REF!))</f>
        <v/>
      </c>
      <c r="BE52" s="223">
        <f>IF('CONTROLE GLOBO AÇOS'!P54="","",'CONTROLE GLOBO AÇOS'!P54)</f>
        <v/>
      </c>
      <c r="BF52" s="223">
        <f>IF('CONTROLE GLOBO AÇOS'!Q54="","",'CONTROLE GLOBO AÇOS'!Q54)</f>
        <v/>
      </c>
      <c r="BG52" s="223">
        <f>IF('CONTROLE GLOBO AÇOS'!R54="","",'CONTROLE GLOBO AÇOS'!R54)</f>
        <v/>
      </c>
      <c r="BH52" s="223">
        <f>IF(AND('CONTROLE EJ'!O54="",'CONTROLE CMM'!#REF!=""),"",N('CONTROLE EJ'!O54)+N('CONTROLE CMM'!#REF!))</f>
        <v/>
      </c>
      <c r="BI52" s="223">
        <f>IF('CONTROLE GLOBO AÇOS'!S54="","",'CONTROLE GLOBO AÇOS'!S54)</f>
        <v/>
      </c>
      <c r="BJ52" s="223">
        <f>IF('CONTROLE GLOBO AÇOS'!T54="","",'CONTROLE GLOBO AÇOS'!T54)</f>
        <v/>
      </c>
      <c r="BK52" s="223">
        <f>IF('CONTROLE GLOBO AÇOS'!U54="","",'CONTROLE GLOBO AÇOS'!U54)</f>
        <v/>
      </c>
      <c r="BL52" s="223">
        <f>IF(AND('CONTROLE EJ'!P54="",'CONTROLE CMM'!#REF!=""),"",N('CONTROLE EJ'!P54)+N('CONTROLE CMM'!#REF!))</f>
        <v/>
      </c>
      <c r="BM52" s="223">
        <f>IF(AND('CONTROLE EJ'!Q54="",'CONTROLE CMM'!#REF!=""),"",N('CONTROLE EJ'!Q54)+N('CONTROLE CMM'!#REF!))</f>
        <v/>
      </c>
      <c r="BN52" s="223">
        <f>IF('CONTROLE GLOBO AÇOS'!V54="","",'CONTROLE GLOBO AÇOS'!V54)</f>
        <v/>
      </c>
      <c r="BO52" s="223">
        <f>IF('CONTROLE GLOBO AÇOS'!W54="","",'CONTROLE GLOBO AÇOS'!W54)</f>
        <v/>
      </c>
      <c r="BP52" s="223">
        <f>IF(AND('CONTROLE EJ'!R54="",'CONTROLE CMM'!#REF!=""),"",N('CONTROLE EJ'!R54)+N('CONTROLE CMM'!#REF!))</f>
        <v/>
      </c>
      <c r="BQ52" s="223">
        <f>IF(#REF!="","",#REF!)</f>
        <v/>
      </c>
      <c r="BR52" s="223">
        <f>IF(AND('CONTROLE EJ'!S54="",'CONTROLE CMM'!#REF!=""),"",N('CONTROLE EJ'!S54)+N('CONTROLE CMM'!#REF!))</f>
        <v/>
      </c>
      <c r="BS52" s="223">
        <f>IF(AND('CONTROLE EJ'!T54="",'CONTROLE CMM'!#REF!=""),"",N('CONTROLE EJ'!T54)+N('CONTROLE CMM'!#REF!))</f>
        <v/>
      </c>
      <c r="BT52" s="223">
        <f>IF('CONTROLE GLOBO AÇOS'!X54="","",'CONTROLE GLOBO AÇOS'!X54)</f>
        <v/>
      </c>
      <c r="BU52" s="223">
        <f>IF('CONTROLE GLOBO AÇOS'!Y54="","",'CONTROLE GLOBO AÇOS'!Y54)</f>
        <v/>
      </c>
      <c r="BV52" s="223">
        <f>IF(AND('CONTROLE EJ'!U54="",'CONTROLE CMM'!#REF!=""),"",N('CONTROLE EJ'!U54)+N('CONTROLE CMM'!#REF!))</f>
        <v/>
      </c>
      <c r="BW52" s="223">
        <f>IF(#REF!="","",#REF!)</f>
        <v/>
      </c>
    </row>
    <row r="53">
      <c r="A53" s="282" t="n">
        <v>46270</v>
      </c>
      <c r="B53" s="223">
        <f>IF('CONTROLE EJ'!B55="","",'CONTROLE EJ'!B55)</f>
        <v/>
      </c>
      <c r="C53" s="223">
        <f>IF('CONTROLE EJ'!C55="","",'CONTROLE EJ'!C55)</f>
        <v/>
      </c>
      <c r="D53" s="42">
        <f>IF('CONTROLE EJ'!D55="","",'CONTROLE EJ'!D55)</f>
        <v/>
      </c>
      <c r="E53" s="44">
        <f>IF('CONTROLE CMM'!B55="","",'CONTROLE CMM'!B55)</f>
        <v/>
      </c>
      <c r="F53" s="223">
        <f>IF('CONTROLE CMM'!C55="","",'CONTROLE CMM'!C55)</f>
        <v/>
      </c>
      <c r="G53" s="42">
        <f>IF('CONTROLE CMM'!D55="","",'CONTROLE CMM'!D55)</f>
        <v/>
      </c>
      <c r="H53" s="44">
        <f>IF('CONTROLE GLOBO AÇOS'!B55="","",'CONTROLE GLOBO AÇOS'!B55)</f>
        <v/>
      </c>
      <c r="I53" s="223">
        <f>IF('CONTROLE GLOBO AÇOS'!C55="","",'CONTROLE GLOBO AÇOS'!C55)</f>
        <v/>
      </c>
      <c r="J53" s="223">
        <f>IF('CONTROLE GLOBO AÇOS'!D55="","",'CONTROLE GLOBO AÇOS'!D55)</f>
        <v/>
      </c>
      <c r="AD53" s="39">
        <f>IF($A53="",0,IF(AND(WEEKDAY($A53,2)&lt;=5,OR($B53&lt;&gt;"",$C53&lt;&gt;"",$D53&lt;&gt;"")),1,0))</f>
        <v/>
      </c>
      <c r="AE53" s="39">
        <f>IF($A53="",0,IF(AND(WEEKDAY($A53,2)&lt;=5,OR($E53&lt;&gt;"",$F53&lt;&gt;"",$G53&lt;&gt;"")),1,0))</f>
        <v/>
      </c>
      <c r="AF53" s="39">
        <f>MAX(AD53,AE53)</f>
        <v/>
      </c>
      <c r="AH53" s="223">
        <f>IF('CONTROLE GLOBO AÇOS'!E55="","",'CONTROLE GLOBO AÇOS'!E55)</f>
        <v/>
      </c>
      <c r="AI53" s="223">
        <f>IF('CONTROLE GLOBO AÇOS'!F55="","",'CONTROLE GLOBO AÇOS'!F55)</f>
        <v/>
      </c>
      <c r="AJ53" s="223">
        <f>IF(AND('CONTROLE EJ'!E55="",'CONTROLE CMM'!E55=""),"",N('CONTROLE EJ'!E55)+N('CONTROLE CMM'!E55))</f>
        <v/>
      </c>
      <c r="AK53" s="223">
        <f>IF(AND('CONTROLE EJ'!F55="",'CONTROLE CMM'!F55=""),"",N('CONTROLE EJ'!F55)+N('CONTROLE CMM'!F55))</f>
        <v/>
      </c>
      <c r="AL53" s="223">
        <f>IF(AND('CONTROLE EJ'!G55="",'CONTROLE CMM'!G55=""),"",N('CONTROLE EJ'!G55)+N('CONTROLE CMM'!G55))</f>
        <v/>
      </c>
      <c r="AM53" s="223">
        <f>IF(AND('CONTROLE EJ'!H55="",'CONTROLE CMM'!H55=""),"",N('CONTROLE EJ'!H55)+N('CONTROLE CMM'!H55))</f>
        <v/>
      </c>
      <c r="AN53" s="223">
        <f>IF('CONTROLE GLOBO AÇOS'!G55="","",'CONTROLE GLOBO AÇOS'!G55)</f>
        <v/>
      </c>
      <c r="AO53" s="223">
        <f>IF('CONTROLE GLOBO AÇOS'!H55="","",'CONTROLE GLOBO AÇOS'!H55)</f>
        <v/>
      </c>
      <c r="AP53" s="223">
        <f>IF(AND('CONTROLE EJ'!I55="",'CONTROLE CMM'!I55=""),"",N('CONTROLE EJ'!I55)+N('CONTROLE CMM'!I55))</f>
        <v/>
      </c>
      <c r="AQ53" s="223">
        <f>IF(AND('CONTROLE EJ'!J55="",'CONTROLE CMM'!#REF!=""),"",N('CONTROLE EJ'!J55)+N('CONTROLE CMM'!#REF!))</f>
        <v/>
      </c>
      <c r="AR53" s="223">
        <f>IF('CONTROLE GLOBO AÇOS'!I55="","",'CONTROLE GLOBO AÇOS'!I55)</f>
        <v/>
      </c>
      <c r="AS53" s="223">
        <f>IF('CONTROLE GLOBO AÇOS'!J55="","",'CONTROLE GLOBO AÇOS'!J55)</f>
        <v/>
      </c>
      <c r="AT53" s="223">
        <f>IF(#REF!="","",#REF!)</f>
        <v/>
      </c>
      <c r="AU53" s="223">
        <f>IF('CONTROLE GLOBO AÇOS'!K55="","",'CONTROLE GLOBO AÇOS'!K55)</f>
        <v/>
      </c>
      <c r="AV53" s="223">
        <f>IF(AND('CONTROLE EJ'!K55="",'CONTROLE CMM'!#REF!=""),"",N('CONTROLE EJ'!K55)+N('CONTROLE CMM'!#REF!))</f>
        <v/>
      </c>
      <c r="AW53" s="223">
        <f>IF('CONTROLE GLOBO AÇOS'!L55="","",'CONTROLE GLOBO AÇOS'!L55)</f>
        <v/>
      </c>
      <c r="AX53" s="223">
        <f>IF(AND('CONTROLE EJ'!L55="",'CONTROLE CMM'!#REF!=""),"",N('CONTROLE EJ'!L55)+N('CONTROLE CMM'!#REF!))</f>
        <v/>
      </c>
      <c r="AY53" s="223">
        <f>IF('CONTROLE GLOBO AÇOS'!M55="","",'CONTROLE GLOBO AÇOS'!M55)</f>
        <v/>
      </c>
      <c r="AZ53" s="223">
        <f>IF('CONTROLE GLOBO AÇOS'!N55="","",'CONTROLE GLOBO AÇOS'!N55)</f>
        <v/>
      </c>
      <c r="BA53" s="223">
        <f>IF(AND('CONTROLE EJ'!M55="",'CONTROLE CMM'!#REF!=""),"",N('CONTROLE EJ'!M55)+N('CONTROLE CMM'!#REF!))</f>
        <v/>
      </c>
      <c r="BB53" s="223">
        <f>IF(#REF!="","",#REF!)</f>
        <v/>
      </c>
      <c r="BC53" s="223">
        <f>IF('CONTROLE GLOBO AÇOS'!O55="","",'CONTROLE GLOBO AÇOS'!O55)</f>
        <v/>
      </c>
      <c r="BD53" s="223">
        <f>IF(AND('CONTROLE EJ'!N55="",'CONTROLE CMM'!#REF!=""),"",N('CONTROLE EJ'!N55)+N('CONTROLE CMM'!#REF!))</f>
        <v/>
      </c>
      <c r="BE53" s="223">
        <f>IF('CONTROLE GLOBO AÇOS'!P55="","",'CONTROLE GLOBO AÇOS'!P55)</f>
        <v/>
      </c>
      <c r="BF53" s="223">
        <f>IF('CONTROLE GLOBO AÇOS'!Q55="","",'CONTROLE GLOBO AÇOS'!Q55)</f>
        <v/>
      </c>
      <c r="BG53" s="223">
        <f>IF('CONTROLE GLOBO AÇOS'!R55="","",'CONTROLE GLOBO AÇOS'!R55)</f>
        <v/>
      </c>
      <c r="BH53" s="223">
        <f>IF(AND('CONTROLE EJ'!O55="",'CONTROLE CMM'!#REF!=""),"",N('CONTROLE EJ'!O55)+N('CONTROLE CMM'!#REF!))</f>
        <v/>
      </c>
      <c r="BI53" s="223">
        <f>IF('CONTROLE GLOBO AÇOS'!S55="","",'CONTROLE GLOBO AÇOS'!S55)</f>
        <v/>
      </c>
      <c r="BJ53" s="223">
        <f>IF('CONTROLE GLOBO AÇOS'!T55="","",'CONTROLE GLOBO AÇOS'!T55)</f>
        <v/>
      </c>
      <c r="BK53" s="223">
        <f>IF('CONTROLE GLOBO AÇOS'!U55="","",'CONTROLE GLOBO AÇOS'!U55)</f>
        <v/>
      </c>
      <c r="BL53" s="223">
        <f>IF(AND('CONTROLE EJ'!P55="",'CONTROLE CMM'!#REF!=""),"",N('CONTROLE EJ'!P55)+N('CONTROLE CMM'!#REF!))</f>
        <v/>
      </c>
      <c r="BM53" s="223">
        <f>IF(AND('CONTROLE EJ'!Q55="",'CONTROLE CMM'!#REF!=""),"",N('CONTROLE EJ'!Q55)+N('CONTROLE CMM'!#REF!))</f>
        <v/>
      </c>
      <c r="BN53" s="223">
        <f>IF('CONTROLE GLOBO AÇOS'!V55="","",'CONTROLE GLOBO AÇOS'!V55)</f>
        <v/>
      </c>
      <c r="BO53" s="223">
        <f>IF('CONTROLE GLOBO AÇOS'!W55="","",'CONTROLE GLOBO AÇOS'!W55)</f>
        <v/>
      </c>
      <c r="BP53" s="223">
        <f>IF(AND('CONTROLE EJ'!R55="",'CONTROLE CMM'!#REF!=""),"",N('CONTROLE EJ'!R55)+N('CONTROLE CMM'!#REF!))</f>
        <v/>
      </c>
      <c r="BQ53" s="223">
        <f>IF(#REF!="","",#REF!)</f>
        <v/>
      </c>
      <c r="BR53" s="223">
        <f>IF(AND('CONTROLE EJ'!S55="",'CONTROLE CMM'!#REF!=""),"",N('CONTROLE EJ'!S55)+N('CONTROLE CMM'!#REF!))</f>
        <v/>
      </c>
      <c r="BS53" s="223">
        <f>IF(AND('CONTROLE EJ'!T55="",'CONTROLE CMM'!#REF!=""),"",N('CONTROLE EJ'!T55)+N('CONTROLE CMM'!#REF!))</f>
        <v/>
      </c>
      <c r="BT53" s="223">
        <f>IF('CONTROLE GLOBO AÇOS'!X55="","",'CONTROLE GLOBO AÇOS'!X55)</f>
        <v/>
      </c>
      <c r="BU53" s="223">
        <f>IF('CONTROLE GLOBO AÇOS'!Y55="","",'CONTROLE GLOBO AÇOS'!Y55)</f>
        <v/>
      </c>
      <c r="BV53" s="223">
        <f>IF(AND('CONTROLE EJ'!U55="",'CONTROLE CMM'!#REF!=""),"",N('CONTROLE EJ'!U55)+N('CONTROLE CMM'!#REF!))</f>
        <v/>
      </c>
      <c r="BW53" s="223">
        <f>IF(#REF!="","",#REF!)</f>
        <v/>
      </c>
    </row>
    <row r="54">
      <c r="A54" s="282" t="n">
        <v>46271</v>
      </c>
      <c r="B54" s="223">
        <f>IF('CONTROLE EJ'!B56="","",'CONTROLE EJ'!B56)</f>
        <v/>
      </c>
      <c r="C54" s="223">
        <f>IF('CONTROLE EJ'!C56="","",'CONTROLE EJ'!C56)</f>
        <v/>
      </c>
      <c r="D54" s="42">
        <f>IF('CONTROLE EJ'!D56="","",'CONTROLE EJ'!D56)</f>
        <v/>
      </c>
      <c r="E54" s="44">
        <f>IF('CONTROLE CMM'!B56="","",'CONTROLE CMM'!B56)</f>
        <v/>
      </c>
      <c r="F54" s="223">
        <f>IF('CONTROLE CMM'!C56="","",'CONTROLE CMM'!C56)</f>
        <v/>
      </c>
      <c r="G54" s="42">
        <f>IF('CONTROLE CMM'!D56="","",'CONTROLE CMM'!D56)</f>
        <v/>
      </c>
      <c r="H54" s="44">
        <f>IF('CONTROLE GLOBO AÇOS'!B56="","",'CONTROLE GLOBO AÇOS'!B56)</f>
        <v/>
      </c>
      <c r="I54" s="223">
        <f>IF('CONTROLE GLOBO AÇOS'!C56="","",'CONTROLE GLOBO AÇOS'!C56)</f>
        <v/>
      </c>
      <c r="J54" s="223">
        <f>IF('CONTROLE GLOBO AÇOS'!D56="","",'CONTROLE GLOBO AÇOS'!D56)</f>
        <v/>
      </c>
      <c r="AD54" s="39">
        <f>IF($A54="",0,IF(AND(WEEKDAY($A54,2)&lt;=5,OR($B54&lt;&gt;"",$C54&lt;&gt;"",$D54&lt;&gt;"")),1,0))</f>
        <v/>
      </c>
      <c r="AE54" s="39">
        <f>IF($A54="",0,IF(AND(WEEKDAY($A54,2)&lt;=5,OR($E54&lt;&gt;"",$F54&lt;&gt;"",$G54&lt;&gt;"")),1,0))</f>
        <v/>
      </c>
      <c r="AF54" s="39">
        <f>MAX(AD54,AE54)</f>
        <v/>
      </c>
      <c r="AH54" s="223">
        <f>IF('CONTROLE GLOBO AÇOS'!E56="","",'CONTROLE GLOBO AÇOS'!E56)</f>
        <v/>
      </c>
      <c r="AI54" s="223">
        <f>IF('CONTROLE GLOBO AÇOS'!F56="","",'CONTROLE GLOBO AÇOS'!F56)</f>
        <v/>
      </c>
      <c r="AJ54" s="223">
        <f>IF(AND('CONTROLE EJ'!E56="",'CONTROLE CMM'!E56=""),"",N('CONTROLE EJ'!E56)+N('CONTROLE CMM'!E56))</f>
        <v/>
      </c>
      <c r="AK54" s="223">
        <f>IF(AND('CONTROLE EJ'!F56="",'CONTROLE CMM'!F56=""),"",N('CONTROLE EJ'!F56)+N('CONTROLE CMM'!F56))</f>
        <v/>
      </c>
      <c r="AL54" s="223">
        <f>IF(AND('CONTROLE EJ'!G56="",'CONTROLE CMM'!G56=""),"",N('CONTROLE EJ'!G56)+N('CONTROLE CMM'!G56))</f>
        <v/>
      </c>
      <c r="AM54" s="223">
        <f>IF(AND('CONTROLE EJ'!H56="",'CONTROLE CMM'!H56=""),"",N('CONTROLE EJ'!H56)+N('CONTROLE CMM'!H56))</f>
        <v/>
      </c>
      <c r="AN54" s="223">
        <f>IF('CONTROLE GLOBO AÇOS'!G56="","",'CONTROLE GLOBO AÇOS'!G56)</f>
        <v/>
      </c>
      <c r="AO54" s="223">
        <f>IF('CONTROLE GLOBO AÇOS'!H56="","",'CONTROLE GLOBO AÇOS'!H56)</f>
        <v/>
      </c>
      <c r="AP54" s="223">
        <f>IF(AND('CONTROLE EJ'!I56="",'CONTROLE CMM'!I56=""),"",N('CONTROLE EJ'!I56)+N('CONTROLE CMM'!I56))</f>
        <v/>
      </c>
      <c r="AQ54" s="223">
        <f>IF(AND('CONTROLE EJ'!J56="",'CONTROLE CMM'!#REF!=""),"",N('CONTROLE EJ'!J56)+N('CONTROLE CMM'!#REF!))</f>
        <v/>
      </c>
      <c r="AR54" s="223">
        <f>IF('CONTROLE GLOBO AÇOS'!I56="","",'CONTROLE GLOBO AÇOS'!I56)</f>
        <v/>
      </c>
      <c r="AS54" s="223">
        <f>IF('CONTROLE GLOBO AÇOS'!J56="","",'CONTROLE GLOBO AÇOS'!J56)</f>
        <v/>
      </c>
      <c r="AT54" s="223">
        <f>IF(#REF!="","",#REF!)</f>
        <v/>
      </c>
      <c r="AU54" s="223">
        <f>IF('CONTROLE GLOBO AÇOS'!K56="","",'CONTROLE GLOBO AÇOS'!K56)</f>
        <v/>
      </c>
      <c r="AV54" s="223">
        <f>IF(AND('CONTROLE EJ'!K56="",'CONTROLE CMM'!#REF!=""),"",N('CONTROLE EJ'!K56)+N('CONTROLE CMM'!#REF!))</f>
        <v/>
      </c>
      <c r="AW54" s="223">
        <f>IF('CONTROLE GLOBO AÇOS'!L56="","",'CONTROLE GLOBO AÇOS'!L56)</f>
        <v/>
      </c>
      <c r="AX54" s="223">
        <f>IF(AND('CONTROLE EJ'!L56="",'CONTROLE CMM'!#REF!=""),"",N('CONTROLE EJ'!L56)+N('CONTROLE CMM'!#REF!))</f>
        <v/>
      </c>
      <c r="AY54" s="223">
        <f>IF('CONTROLE GLOBO AÇOS'!M56="","",'CONTROLE GLOBO AÇOS'!M56)</f>
        <v/>
      </c>
      <c r="AZ54" s="223">
        <f>IF('CONTROLE GLOBO AÇOS'!N56="","",'CONTROLE GLOBO AÇOS'!N56)</f>
        <v/>
      </c>
      <c r="BA54" s="223">
        <f>IF(AND('CONTROLE EJ'!M56="",'CONTROLE CMM'!#REF!=""),"",N('CONTROLE EJ'!M56)+N('CONTROLE CMM'!#REF!))</f>
        <v/>
      </c>
      <c r="BB54" s="223">
        <f>IF(#REF!="","",#REF!)</f>
        <v/>
      </c>
      <c r="BC54" s="223">
        <f>IF('CONTROLE GLOBO AÇOS'!O56="","",'CONTROLE GLOBO AÇOS'!O56)</f>
        <v/>
      </c>
      <c r="BD54" s="223">
        <f>IF(AND('CONTROLE EJ'!N56="",'CONTROLE CMM'!#REF!=""),"",N('CONTROLE EJ'!N56)+N('CONTROLE CMM'!#REF!))</f>
        <v/>
      </c>
      <c r="BE54" s="223">
        <f>IF('CONTROLE GLOBO AÇOS'!P56="","",'CONTROLE GLOBO AÇOS'!P56)</f>
        <v/>
      </c>
      <c r="BF54" s="223">
        <f>IF('CONTROLE GLOBO AÇOS'!Q56="","",'CONTROLE GLOBO AÇOS'!Q56)</f>
        <v/>
      </c>
      <c r="BG54" s="223">
        <f>IF('CONTROLE GLOBO AÇOS'!R56="","",'CONTROLE GLOBO AÇOS'!R56)</f>
        <v/>
      </c>
      <c r="BH54" s="223">
        <f>IF(AND('CONTROLE EJ'!O56="",'CONTROLE CMM'!#REF!=""),"",N('CONTROLE EJ'!O56)+N('CONTROLE CMM'!#REF!))</f>
        <v/>
      </c>
      <c r="BI54" s="223">
        <f>IF('CONTROLE GLOBO AÇOS'!S56="","",'CONTROLE GLOBO AÇOS'!S56)</f>
        <v/>
      </c>
      <c r="BJ54" s="223">
        <f>IF('CONTROLE GLOBO AÇOS'!T56="","",'CONTROLE GLOBO AÇOS'!T56)</f>
        <v/>
      </c>
      <c r="BK54" s="223">
        <f>IF('CONTROLE GLOBO AÇOS'!U56="","",'CONTROLE GLOBO AÇOS'!U56)</f>
        <v/>
      </c>
      <c r="BL54" s="223">
        <f>IF(AND('CONTROLE EJ'!P56="",'CONTROLE CMM'!#REF!=""),"",N('CONTROLE EJ'!P56)+N('CONTROLE CMM'!#REF!))</f>
        <v/>
      </c>
      <c r="BM54" s="223">
        <f>IF(AND('CONTROLE EJ'!Q56="",'CONTROLE CMM'!#REF!=""),"",N('CONTROLE EJ'!Q56)+N('CONTROLE CMM'!#REF!))</f>
        <v/>
      </c>
      <c r="BN54" s="223">
        <f>IF('CONTROLE GLOBO AÇOS'!V56="","",'CONTROLE GLOBO AÇOS'!V56)</f>
        <v/>
      </c>
      <c r="BO54" s="223">
        <f>IF('CONTROLE GLOBO AÇOS'!W56="","",'CONTROLE GLOBO AÇOS'!W56)</f>
        <v/>
      </c>
      <c r="BP54" s="223">
        <f>IF(AND('CONTROLE EJ'!R56="",'CONTROLE CMM'!#REF!=""),"",N('CONTROLE EJ'!R56)+N('CONTROLE CMM'!#REF!))</f>
        <v/>
      </c>
      <c r="BQ54" s="223">
        <f>IF(#REF!="","",#REF!)</f>
        <v/>
      </c>
      <c r="BR54" s="223">
        <f>IF(AND('CONTROLE EJ'!S56="",'CONTROLE CMM'!#REF!=""),"",N('CONTROLE EJ'!S56)+N('CONTROLE CMM'!#REF!))</f>
        <v/>
      </c>
      <c r="BS54" s="223">
        <f>IF(AND('CONTROLE EJ'!T56="",'CONTROLE CMM'!#REF!=""),"",N('CONTROLE EJ'!T56)+N('CONTROLE CMM'!#REF!))</f>
        <v/>
      </c>
      <c r="BT54" s="223">
        <f>IF('CONTROLE GLOBO AÇOS'!X56="","",'CONTROLE GLOBO AÇOS'!X56)</f>
        <v/>
      </c>
      <c r="BU54" s="223">
        <f>IF('CONTROLE GLOBO AÇOS'!Y56="","",'CONTROLE GLOBO AÇOS'!Y56)</f>
        <v/>
      </c>
      <c r="BV54" s="223">
        <f>IF(AND('CONTROLE EJ'!U56="",'CONTROLE CMM'!#REF!=""),"",N('CONTROLE EJ'!U56)+N('CONTROLE CMM'!#REF!))</f>
        <v/>
      </c>
      <c r="BW54" s="223">
        <f>IF(#REF!="","",#REF!)</f>
        <v/>
      </c>
    </row>
    <row r="55">
      <c r="A55" s="282" t="n">
        <v>46272</v>
      </c>
      <c r="B55" s="223">
        <f>IF('CONTROLE EJ'!B57="","",'CONTROLE EJ'!B57)</f>
        <v/>
      </c>
      <c r="C55" s="223">
        <f>IF('CONTROLE EJ'!C57="","",'CONTROLE EJ'!C57)</f>
        <v/>
      </c>
      <c r="D55" s="42">
        <f>IF('CONTROLE EJ'!D57="","",'CONTROLE EJ'!D57)</f>
        <v/>
      </c>
      <c r="E55" s="44">
        <f>IF('CONTROLE CMM'!B57="","",'CONTROLE CMM'!B57)</f>
        <v/>
      </c>
      <c r="F55" s="223">
        <f>IF('CONTROLE CMM'!C57="","",'CONTROLE CMM'!C57)</f>
        <v/>
      </c>
      <c r="G55" s="42">
        <f>IF('CONTROLE CMM'!D57="","",'CONTROLE CMM'!D57)</f>
        <v/>
      </c>
      <c r="H55" s="44">
        <f>IF('CONTROLE GLOBO AÇOS'!B57="","",'CONTROLE GLOBO AÇOS'!B57)</f>
        <v/>
      </c>
      <c r="I55" s="223">
        <f>IF('CONTROLE GLOBO AÇOS'!C57="","",'CONTROLE GLOBO AÇOS'!C57)</f>
        <v/>
      </c>
      <c r="J55" s="223">
        <f>IF('CONTROLE GLOBO AÇOS'!D57="","",'CONTROLE GLOBO AÇOS'!D57)</f>
        <v/>
      </c>
      <c r="AD55" s="39">
        <f>IF($A55="",0,IF(AND(WEEKDAY($A55,2)&lt;=5,OR($B55&lt;&gt;"",$C55&lt;&gt;"",$D55&lt;&gt;"")),1,0))</f>
        <v/>
      </c>
      <c r="AE55" s="39">
        <f>IF($A55="",0,IF(AND(WEEKDAY($A55,2)&lt;=5,OR($E55&lt;&gt;"",$F55&lt;&gt;"",$G55&lt;&gt;"")),1,0))</f>
        <v/>
      </c>
      <c r="AF55" s="39">
        <f>MAX(AD55,AE55)</f>
        <v/>
      </c>
      <c r="AH55" s="223">
        <f>IF('CONTROLE GLOBO AÇOS'!E57="","",'CONTROLE GLOBO AÇOS'!E57)</f>
        <v/>
      </c>
      <c r="AI55" s="223">
        <f>IF('CONTROLE GLOBO AÇOS'!F57="","",'CONTROLE GLOBO AÇOS'!F57)</f>
        <v/>
      </c>
      <c r="AJ55" s="223">
        <f>IF(AND('CONTROLE EJ'!E57="",'CONTROLE CMM'!E57=""),"",N('CONTROLE EJ'!E57)+N('CONTROLE CMM'!E57))</f>
        <v/>
      </c>
      <c r="AK55" s="223">
        <f>IF(AND('CONTROLE EJ'!F57="",'CONTROLE CMM'!F57=""),"",N('CONTROLE EJ'!F57)+N('CONTROLE CMM'!F57))</f>
        <v/>
      </c>
      <c r="AL55" s="223">
        <f>IF(AND('CONTROLE EJ'!G57="",'CONTROLE CMM'!G57=""),"",N('CONTROLE EJ'!G57)+N('CONTROLE CMM'!G57))</f>
        <v/>
      </c>
      <c r="AM55" s="223">
        <f>IF(AND('CONTROLE EJ'!H57="",'CONTROLE CMM'!H57=""),"",N('CONTROLE EJ'!H57)+N('CONTROLE CMM'!H57))</f>
        <v/>
      </c>
      <c r="AN55" s="223">
        <f>IF('CONTROLE GLOBO AÇOS'!G57="","",'CONTROLE GLOBO AÇOS'!G57)</f>
        <v/>
      </c>
      <c r="AO55" s="223">
        <f>IF('CONTROLE GLOBO AÇOS'!H57="","",'CONTROLE GLOBO AÇOS'!H57)</f>
        <v/>
      </c>
      <c r="AP55" s="223">
        <f>IF(AND('CONTROLE EJ'!I57="",'CONTROLE CMM'!I57=""),"",N('CONTROLE EJ'!I57)+N('CONTROLE CMM'!I57))</f>
        <v/>
      </c>
      <c r="AQ55" s="223">
        <f>IF(AND('CONTROLE EJ'!J57="",'CONTROLE CMM'!#REF!=""),"",N('CONTROLE EJ'!J57)+N('CONTROLE CMM'!#REF!))</f>
        <v/>
      </c>
      <c r="AR55" s="223">
        <f>IF('CONTROLE GLOBO AÇOS'!I57="","",'CONTROLE GLOBO AÇOS'!I57)</f>
        <v/>
      </c>
      <c r="AS55" s="223">
        <f>IF('CONTROLE GLOBO AÇOS'!J57="","",'CONTROLE GLOBO AÇOS'!J57)</f>
        <v/>
      </c>
      <c r="AT55" s="223">
        <f>IF(#REF!="","",#REF!)</f>
        <v/>
      </c>
      <c r="AU55" s="223">
        <f>IF('CONTROLE GLOBO AÇOS'!K57="","",'CONTROLE GLOBO AÇOS'!K57)</f>
        <v/>
      </c>
      <c r="AV55" s="223">
        <f>IF(AND('CONTROLE EJ'!K57="",'CONTROLE CMM'!#REF!=""),"",N('CONTROLE EJ'!K57)+N('CONTROLE CMM'!#REF!))</f>
        <v/>
      </c>
      <c r="AW55" s="223">
        <f>IF('CONTROLE GLOBO AÇOS'!L57="","",'CONTROLE GLOBO AÇOS'!L57)</f>
        <v/>
      </c>
      <c r="AX55" s="223">
        <f>IF(AND('CONTROLE EJ'!L57="",'CONTROLE CMM'!#REF!=""),"",N('CONTROLE EJ'!L57)+N('CONTROLE CMM'!#REF!))</f>
        <v/>
      </c>
      <c r="AY55" s="223">
        <f>IF('CONTROLE GLOBO AÇOS'!M57="","",'CONTROLE GLOBO AÇOS'!M57)</f>
        <v/>
      </c>
      <c r="AZ55" s="223">
        <f>IF('CONTROLE GLOBO AÇOS'!N57="","",'CONTROLE GLOBO AÇOS'!N57)</f>
        <v/>
      </c>
      <c r="BA55" s="223">
        <f>IF(AND('CONTROLE EJ'!M57="",'CONTROLE CMM'!#REF!=""),"",N('CONTROLE EJ'!M57)+N('CONTROLE CMM'!#REF!))</f>
        <v/>
      </c>
      <c r="BB55" s="223">
        <f>IF(#REF!="","",#REF!)</f>
        <v/>
      </c>
      <c r="BC55" s="223">
        <f>IF('CONTROLE GLOBO AÇOS'!O57="","",'CONTROLE GLOBO AÇOS'!O57)</f>
        <v/>
      </c>
      <c r="BD55" s="223">
        <f>IF(AND('CONTROLE EJ'!N57="",'CONTROLE CMM'!#REF!=""),"",N('CONTROLE EJ'!N57)+N('CONTROLE CMM'!#REF!))</f>
        <v/>
      </c>
      <c r="BE55" s="223">
        <f>IF('CONTROLE GLOBO AÇOS'!P57="","",'CONTROLE GLOBO AÇOS'!P57)</f>
        <v/>
      </c>
      <c r="BF55" s="223">
        <f>IF('CONTROLE GLOBO AÇOS'!Q57="","",'CONTROLE GLOBO AÇOS'!Q57)</f>
        <v/>
      </c>
      <c r="BG55" s="223">
        <f>IF('CONTROLE GLOBO AÇOS'!R57="","",'CONTROLE GLOBO AÇOS'!R57)</f>
        <v/>
      </c>
      <c r="BH55" s="223">
        <f>IF(AND('CONTROLE EJ'!O57="",'CONTROLE CMM'!#REF!=""),"",N('CONTROLE EJ'!O57)+N('CONTROLE CMM'!#REF!))</f>
        <v/>
      </c>
      <c r="BI55" s="223">
        <f>IF('CONTROLE GLOBO AÇOS'!S57="","",'CONTROLE GLOBO AÇOS'!S57)</f>
        <v/>
      </c>
      <c r="BJ55" s="223">
        <f>IF('CONTROLE GLOBO AÇOS'!T57="","",'CONTROLE GLOBO AÇOS'!T57)</f>
        <v/>
      </c>
      <c r="BK55" s="223">
        <f>IF('CONTROLE GLOBO AÇOS'!U57="","",'CONTROLE GLOBO AÇOS'!U57)</f>
        <v/>
      </c>
      <c r="BL55" s="223">
        <f>IF(AND('CONTROLE EJ'!P57="",'CONTROLE CMM'!#REF!=""),"",N('CONTROLE EJ'!P57)+N('CONTROLE CMM'!#REF!))</f>
        <v/>
      </c>
      <c r="BM55" s="223">
        <f>IF(AND('CONTROLE EJ'!Q57="",'CONTROLE CMM'!#REF!=""),"",N('CONTROLE EJ'!Q57)+N('CONTROLE CMM'!#REF!))</f>
        <v/>
      </c>
      <c r="BN55" s="223">
        <f>IF('CONTROLE GLOBO AÇOS'!V57="","",'CONTROLE GLOBO AÇOS'!V57)</f>
        <v/>
      </c>
      <c r="BO55" s="223">
        <f>IF('CONTROLE GLOBO AÇOS'!W57="","",'CONTROLE GLOBO AÇOS'!W57)</f>
        <v/>
      </c>
      <c r="BP55" s="223">
        <f>IF(AND('CONTROLE EJ'!R57="",'CONTROLE CMM'!#REF!=""),"",N('CONTROLE EJ'!R57)+N('CONTROLE CMM'!#REF!))</f>
        <v/>
      </c>
      <c r="BQ55" s="223">
        <f>IF(#REF!="","",#REF!)</f>
        <v/>
      </c>
      <c r="BR55" s="223">
        <f>IF(AND('CONTROLE EJ'!S57="",'CONTROLE CMM'!#REF!=""),"",N('CONTROLE EJ'!S57)+N('CONTROLE CMM'!#REF!))</f>
        <v/>
      </c>
      <c r="BS55" s="223">
        <f>IF(AND('CONTROLE EJ'!T57="",'CONTROLE CMM'!#REF!=""),"",N('CONTROLE EJ'!T57)+N('CONTROLE CMM'!#REF!))</f>
        <v/>
      </c>
      <c r="BT55" s="223">
        <f>IF('CONTROLE GLOBO AÇOS'!X57="","",'CONTROLE GLOBO AÇOS'!X57)</f>
        <v/>
      </c>
      <c r="BU55" s="223">
        <f>IF('CONTROLE GLOBO AÇOS'!Y57="","",'CONTROLE GLOBO AÇOS'!Y57)</f>
        <v/>
      </c>
      <c r="BV55" s="223">
        <f>IF(AND('CONTROLE EJ'!U57="",'CONTROLE CMM'!#REF!=""),"",N('CONTROLE EJ'!U57)+N('CONTROLE CMM'!#REF!))</f>
        <v/>
      </c>
      <c r="BW55" s="223">
        <f>IF(#REF!="","",#REF!)</f>
        <v/>
      </c>
    </row>
    <row r="56">
      <c r="A56" s="282" t="n">
        <v>46273</v>
      </c>
      <c r="B56" s="223">
        <f>IF('CONTROLE EJ'!B58="","",'CONTROLE EJ'!B58)</f>
        <v/>
      </c>
      <c r="C56" s="223">
        <f>IF('CONTROLE EJ'!C58="","",'CONTROLE EJ'!C58)</f>
        <v/>
      </c>
      <c r="D56" s="42">
        <f>IF('CONTROLE EJ'!D58="","",'CONTROLE EJ'!D58)</f>
        <v/>
      </c>
      <c r="E56" s="44">
        <f>IF('CONTROLE CMM'!B58="","",'CONTROLE CMM'!B58)</f>
        <v/>
      </c>
      <c r="F56" s="223">
        <f>IF('CONTROLE CMM'!C58="","",'CONTROLE CMM'!C58)</f>
        <v/>
      </c>
      <c r="G56" s="42">
        <f>IF('CONTROLE CMM'!D58="","",'CONTROLE CMM'!D58)</f>
        <v/>
      </c>
      <c r="H56" s="44">
        <f>IF('CONTROLE GLOBO AÇOS'!B58="","",'CONTROLE GLOBO AÇOS'!B58)</f>
        <v/>
      </c>
      <c r="I56" s="223">
        <f>IF('CONTROLE GLOBO AÇOS'!C58="","",'CONTROLE GLOBO AÇOS'!C58)</f>
        <v/>
      </c>
      <c r="J56" s="223">
        <f>IF('CONTROLE GLOBO AÇOS'!D58="","",'CONTROLE GLOBO AÇOS'!D58)</f>
        <v/>
      </c>
      <c r="AD56" s="39">
        <f>IF($A56="",0,IF(AND(WEEKDAY($A56,2)&lt;=5,OR($B56&lt;&gt;"",$C56&lt;&gt;"",$D56&lt;&gt;"")),1,0))</f>
        <v/>
      </c>
      <c r="AE56" s="39">
        <f>IF($A56="",0,IF(AND(WEEKDAY($A56,2)&lt;=5,OR($E56&lt;&gt;"",$F56&lt;&gt;"",$G56&lt;&gt;"")),1,0))</f>
        <v/>
      </c>
      <c r="AF56" s="39">
        <f>MAX(AD56,AE56)</f>
        <v/>
      </c>
      <c r="AH56" s="223">
        <f>IF('CONTROLE GLOBO AÇOS'!E58="","",'CONTROLE GLOBO AÇOS'!E58)</f>
        <v/>
      </c>
      <c r="AI56" s="223">
        <f>IF('CONTROLE GLOBO AÇOS'!F58="","",'CONTROLE GLOBO AÇOS'!F58)</f>
        <v/>
      </c>
      <c r="AJ56" s="223">
        <f>IF(AND('CONTROLE EJ'!E58="",'CONTROLE CMM'!E58=""),"",N('CONTROLE EJ'!E58)+N('CONTROLE CMM'!E58))</f>
        <v/>
      </c>
      <c r="AK56" s="223">
        <f>IF(AND('CONTROLE EJ'!F58="",'CONTROLE CMM'!F58=""),"",N('CONTROLE EJ'!F58)+N('CONTROLE CMM'!F58))</f>
        <v/>
      </c>
      <c r="AL56" s="223">
        <f>IF(AND('CONTROLE EJ'!G58="",'CONTROLE CMM'!G58=""),"",N('CONTROLE EJ'!G58)+N('CONTROLE CMM'!G58))</f>
        <v/>
      </c>
      <c r="AM56" s="223">
        <f>IF(AND('CONTROLE EJ'!H58="",'CONTROLE CMM'!H58=""),"",N('CONTROLE EJ'!H58)+N('CONTROLE CMM'!H58))</f>
        <v/>
      </c>
      <c r="AN56" s="223">
        <f>IF('CONTROLE GLOBO AÇOS'!G58="","",'CONTROLE GLOBO AÇOS'!G58)</f>
        <v/>
      </c>
      <c r="AO56" s="223">
        <f>IF('CONTROLE GLOBO AÇOS'!H58="","",'CONTROLE GLOBO AÇOS'!H58)</f>
        <v/>
      </c>
      <c r="AP56" s="223">
        <f>IF(AND('CONTROLE EJ'!I58="",'CONTROLE CMM'!I58=""),"",N('CONTROLE EJ'!I58)+N('CONTROLE CMM'!I58))</f>
        <v/>
      </c>
      <c r="AQ56" s="223">
        <f>IF(AND('CONTROLE EJ'!J58="",'CONTROLE CMM'!#REF!=""),"",N('CONTROLE EJ'!J58)+N('CONTROLE CMM'!#REF!))</f>
        <v/>
      </c>
      <c r="AR56" s="223">
        <f>IF('CONTROLE GLOBO AÇOS'!I58="","",'CONTROLE GLOBO AÇOS'!I58)</f>
        <v/>
      </c>
      <c r="AS56" s="223">
        <f>IF('CONTROLE GLOBO AÇOS'!J58="","",'CONTROLE GLOBO AÇOS'!J58)</f>
        <v/>
      </c>
      <c r="AT56" s="223">
        <f>IF(#REF!="","",#REF!)</f>
        <v/>
      </c>
      <c r="AU56" s="223">
        <f>IF('CONTROLE GLOBO AÇOS'!K58="","",'CONTROLE GLOBO AÇOS'!K58)</f>
        <v/>
      </c>
      <c r="AV56" s="223">
        <f>IF(AND('CONTROLE EJ'!K58="",'CONTROLE CMM'!#REF!=""),"",N('CONTROLE EJ'!K58)+N('CONTROLE CMM'!#REF!))</f>
        <v/>
      </c>
      <c r="AW56" s="223">
        <f>IF('CONTROLE GLOBO AÇOS'!L58="","",'CONTROLE GLOBO AÇOS'!L58)</f>
        <v/>
      </c>
      <c r="AX56" s="223">
        <f>IF(AND('CONTROLE EJ'!L58="",'CONTROLE CMM'!#REF!=""),"",N('CONTROLE EJ'!L58)+N('CONTROLE CMM'!#REF!))</f>
        <v/>
      </c>
      <c r="AY56" s="223">
        <f>IF('CONTROLE GLOBO AÇOS'!M58="","",'CONTROLE GLOBO AÇOS'!M58)</f>
        <v/>
      </c>
      <c r="AZ56" s="223">
        <f>IF('CONTROLE GLOBO AÇOS'!N58="","",'CONTROLE GLOBO AÇOS'!N58)</f>
        <v/>
      </c>
      <c r="BA56" s="223">
        <f>IF(AND('CONTROLE EJ'!M58="",'CONTROLE CMM'!#REF!=""),"",N('CONTROLE EJ'!M58)+N('CONTROLE CMM'!#REF!))</f>
        <v/>
      </c>
      <c r="BB56" s="223">
        <f>IF(#REF!="","",#REF!)</f>
        <v/>
      </c>
      <c r="BC56" s="223">
        <f>IF('CONTROLE GLOBO AÇOS'!O58="","",'CONTROLE GLOBO AÇOS'!O58)</f>
        <v/>
      </c>
      <c r="BD56" s="223">
        <f>IF(AND('CONTROLE EJ'!N58="",'CONTROLE CMM'!#REF!=""),"",N('CONTROLE EJ'!N58)+N('CONTROLE CMM'!#REF!))</f>
        <v/>
      </c>
      <c r="BE56" s="223">
        <f>IF('CONTROLE GLOBO AÇOS'!P58="","",'CONTROLE GLOBO AÇOS'!P58)</f>
        <v/>
      </c>
      <c r="BF56" s="223">
        <f>IF('CONTROLE GLOBO AÇOS'!Q58="","",'CONTROLE GLOBO AÇOS'!Q58)</f>
        <v/>
      </c>
      <c r="BG56" s="223">
        <f>IF('CONTROLE GLOBO AÇOS'!R58="","",'CONTROLE GLOBO AÇOS'!R58)</f>
        <v/>
      </c>
      <c r="BH56" s="223">
        <f>IF(AND('CONTROLE EJ'!O58="",'CONTROLE CMM'!#REF!=""),"",N('CONTROLE EJ'!O58)+N('CONTROLE CMM'!#REF!))</f>
        <v/>
      </c>
      <c r="BI56" s="223">
        <f>IF('CONTROLE GLOBO AÇOS'!S58="","",'CONTROLE GLOBO AÇOS'!S58)</f>
        <v/>
      </c>
      <c r="BJ56" s="223">
        <f>IF('CONTROLE GLOBO AÇOS'!T58="","",'CONTROLE GLOBO AÇOS'!T58)</f>
        <v/>
      </c>
      <c r="BK56" s="223">
        <f>IF('CONTROLE GLOBO AÇOS'!U58="","",'CONTROLE GLOBO AÇOS'!U58)</f>
        <v/>
      </c>
      <c r="BL56" s="223">
        <f>IF(AND('CONTROLE EJ'!P58="",'CONTROLE CMM'!#REF!=""),"",N('CONTROLE EJ'!P58)+N('CONTROLE CMM'!#REF!))</f>
        <v/>
      </c>
      <c r="BM56" s="223">
        <f>IF(AND('CONTROLE EJ'!Q58="",'CONTROLE CMM'!#REF!=""),"",N('CONTROLE EJ'!Q58)+N('CONTROLE CMM'!#REF!))</f>
        <v/>
      </c>
      <c r="BN56" s="223">
        <f>IF('CONTROLE GLOBO AÇOS'!V58="","",'CONTROLE GLOBO AÇOS'!V58)</f>
        <v/>
      </c>
      <c r="BO56" s="223">
        <f>IF('CONTROLE GLOBO AÇOS'!W58="","",'CONTROLE GLOBO AÇOS'!W58)</f>
        <v/>
      </c>
      <c r="BP56" s="223">
        <f>IF(AND('CONTROLE EJ'!R58="",'CONTROLE CMM'!#REF!=""),"",N('CONTROLE EJ'!R58)+N('CONTROLE CMM'!#REF!))</f>
        <v/>
      </c>
      <c r="BQ56" s="223">
        <f>IF(#REF!="","",#REF!)</f>
        <v/>
      </c>
      <c r="BR56" s="223">
        <f>IF(AND('CONTROLE EJ'!S58="",'CONTROLE CMM'!#REF!=""),"",N('CONTROLE EJ'!S58)+N('CONTROLE CMM'!#REF!))</f>
        <v/>
      </c>
      <c r="BS56" s="223">
        <f>IF(AND('CONTROLE EJ'!T58="",'CONTROLE CMM'!#REF!=""),"",N('CONTROLE EJ'!T58)+N('CONTROLE CMM'!#REF!))</f>
        <v/>
      </c>
      <c r="BT56" s="223">
        <f>IF('CONTROLE GLOBO AÇOS'!X58="","",'CONTROLE GLOBO AÇOS'!X58)</f>
        <v/>
      </c>
      <c r="BU56" s="223">
        <f>IF('CONTROLE GLOBO AÇOS'!Y58="","",'CONTROLE GLOBO AÇOS'!Y58)</f>
        <v/>
      </c>
      <c r="BV56" s="223">
        <f>IF(AND('CONTROLE EJ'!U58="",'CONTROLE CMM'!#REF!=""),"",N('CONTROLE EJ'!U58)+N('CONTROLE CMM'!#REF!))</f>
        <v/>
      </c>
      <c r="BW56" s="223">
        <f>IF(#REF!="","",#REF!)</f>
        <v/>
      </c>
    </row>
    <row r="57">
      <c r="A57" s="282" t="n">
        <v>46274</v>
      </c>
      <c r="B57" s="223">
        <f>IF('CONTROLE EJ'!B59="","",'CONTROLE EJ'!B59)</f>
        <v/>
      </c>
      <c r="C57" s="223">
        <f>IF('CONTROLE EJ'!C59="","",'CONTROLE EJ'!C59)</f>
        <v/>
      </c>
      <c r="D57" s="42">
        <f>IF('CONTROLE EJ'!D59="","",'CONTROLE EJ'!D59)</f>
        <v/>
      </c>
      <c r="E57" s="44">
        <f>IF('CONTROLE CMM'!B59="","",'CONTROLE CMM'!B59)</f>
        <v/>
      </c>
      <c r="F57" s="223">
        <f>IF('CONTROLE CMM'!C59="","",'CONTROLE CMM'!C59)</f>
        <v/>
      </c>
      <c r="G57" s="42">
        <f>IF('CONTROLE CMM'!D59="","",'CONTROLE CMM'!D59)</f>
        <v/>
      </c>
      <c r="H57" s="44">
        <f>IF('CONTROLE GLOBO AÇOS'!B59="","",'CONTROLE GLOBO AÇOS'!B59)</f>
        <v/>
      </c>
      <c r="I57" s="223">
        <f>IF('CONTROLE GLOBO AÇOS'!C59="","",'CONTROLE GLOBO AÇOS'!C59)</f>
        <v/>
      </c>
      <c r="J57" s="223">
        <f>IF('CONTROLE GLOBO AÇOS'!D59="","",'CONTROLE GLOBO AÇOS'!D59)</f>
        <v/>
      </c>
      <c r="AD57" s="39">
        <f>IF($A57="",0,IF(AND(WEEKDAY($A57,2)&lt;=5,OR($B57&lt;&gt;"",$C57&lt;&gt;"",$D57&lt;&gt;"")),1,0))</f>
        <v/>
      </c>
      <c r="AE57" s="39">
        <f>IF($A57="",0,IF(AND(WEEKDAY($A57,2)&lt;=5,OR($E57&lt;&gt;"",$F57&lt;&gt;"",$G57&lt;&gt;"")),1,0))</f>
        <v/>
      </c>
      <c r="AF57" s="39">
        <f>MAX(AD57,AE57)</f>
        <v/>
      </c>
      <c r="AH57" s="223">
        <f>IF('CONTROLE GLOBO AÇOS'!E59="","",'CONTROLE GLOBO AÇOS'!E59)</f>
        <v/>
      </c>
      <c r="AI57" s="223">
        <f>IF('CONTROLE GLOBO AÇOS'!F59="","",'CONTROLE GLOBO AÇOS'!F59)</f>
        <v/>
      </c>
      <c r="AJ57" s="223">
        <f>IF(AND('CONTROLE EJ'!E59="",'CONTROLE CMM'!E59=""),"",N('CONTROLE EJ'!E59)+N('CONTROLE CMM'!E59))</f>
        <v/>
      </c>
      <c r="AK57" s="223">
        <f>IF(AND('CONTROLE EJ'!F59="",'CONTROLE CMM'!F59=""),"",N('CONTROLE EJ'!F59)+N('CONTROLE CMM'!F59))</f>
        <v/>
      </c>
      <c r="AL57" s="223">
        <f>IF(AND('CONTROLE EJ'!G59="",'CONTROLE CMM'!G59=""),"",N('CONTROLE EJ'!G59)+N('CONTROLE CMM'!G59))</f>
        <v/>
      </c>
      <c r="AM57" s="223">
        <f>IF(AND('CONTROLE EJ'!H59="",'CONTROLE CMM'!H59=""),"",N('CONTROLE EJ'!H59)+N('CONTROLE CMM'!H59))</f>
        <v/>
      </c>
      <c r="AN57" s="223">
        <f>IF('CONTROLE GLOBO AÇOS'!G59="","",'CONTROLE GLOBO AÇOS'!G59)</f>
        <v/>
      </c>
      <c r="AO57" s="223">
        <f>IF('CONTROLE GLOBO AÇOS'!H59="","",'CONTROLE GLOBO AÇOS'!H59)</f>
        <v/>
      </c>
      <c r="AP57" s="223">
        <f>IF(AND('CONTROLE EJ'!I59="",'CONTROLE CMM'!I59=""),"",N('CONTROLE EJ'!I59)+N('CONTROLE CMM'!I59))</f>
        <v/>
      </c>
      <c r="AQ57" s="223">
        <f>IF(AND('CONTROLE EJ'!J59="",'CONTROLE CMM'!#REF!=""),"",N('CONTROLE EJ'!J59)+N('CONTROLE CMM'!#REF!))</f>
        <v/>
      </c>
      <c r="AR57" s="223">
        <f>IF('CONTROLE GLOBO AÇOS'!I59="","",'CONTROLE GLOBO AÇOS'!I59)</f>
        <v/>
      </c>
      <c r="AS57" s="223">
        <f>IF('CONTROLE GLOBO AÇOS'!J59="","",'CONTROLE GLOBO AÇOS'!J59)</f>
        <v/>
      </c>
      <c r="AT57" s="223">
        <f>IF(#REF!="","",#REF!)</f>
        <v/>
      </c>
      <c r="AU57" s="223">
        <f>IF('CONTROLE GLOBO AÇOS'!K59="","",'CONTROLE GLOBO AÇOS'!K59)</f>
        <v/>
      </c>
      <c r="AV57" s="223">
        <f>IF(AND('CONTROLE EJ'!K59="",'CONTROLE CMM'!#REF!=""),"",N('CONTROLE EJ'!K59)+N('CONTROLE CMM'!#REF!))</f>
        <v/>
      </c>
      <c r="AW57" s="223">
        <f>IF('CONTROLE GLOBO AÇOS'!L59="","",'CONTROLE GLOBO AÇOS'!L59)</f>
        <v/>
      </c>
      <c r="AX57" s="223">
        <f>IF(AND('CONTROLE EJ'!L59="",'CONTROLE CMM'!#REF!=""),"",N('CONTROLE EJ'!L59)+N('CONTROLE CMM'!#REF!))</f>
        <v/>
      </c>
      <c r="AY57" s="223">
        <f>IF('CONTROLE GLOBO AÇOS'!M59="","",'CONTROLE GLOBO AÇOS'!M59)</f>
        <v/>
      </c>
      <c r="AZ57" s="223">
        <f>IF('CONTROLE GLOBO AÇOS'!N59="","",'CONTROLE GLOBO AÇOS'!N59)</f>
        <v/>
      </c>
      <c r="BA57" s="223">
        <f>IF(AND('CONTROLE EJ'!M59="",'CONTROLE CMM'!#REF!=""),"",N('CONTROLE EJ'!M59)+N('CONTROLE CMM'!#REF!))</f>
        <v/>
      </c>
      <c r="BB57" s="223">
        <f>IF(#REF!="","",#REF!)</f>
        <v/>
      </c>
      <c r="BC57" s="223">
        <f>IF('CONTROLE GLOBO AÇOS'!O59="","",'CONTROLE GLOBO AÇOS'!O59)</f>
        <v/>
      </c>
      <c r="BD57" s="223">
        <f>IF(AND('CONTROLE EJ'!N59="",'CONTROLE CMM'!#REF!=""),"",N('CONTROLE EJ'!N59)+N('CONTROLE CMM'!#REF!))</f>
        <v/>
      </c>
      <c r="BE57" s="223">
        <f>IF('CONTROLE GLOBO AÇOS'!P59="","",'CONTROLE GLOBO AÇOS'!P59)</f>
        <v/>
      </c>
      <c r="BF57" s="223">
        <f>IF('CONTROLE GLOBO AÇOS'!Q59="","",'CONTROLE GLOBO AÇOS'!Q59)</f>
        <v/>
      </c>
      <c r="BG57" s="223">
        <f>IF('CONTROLE GLOBO AÇOS'!R59="","",'CONTROLE GLOBO AÇOS'!R59)</f>
        <v/>
      </c>
      <c r="BH57" s="223">
        <f>IF(AND('CONTROLE EJ'!O59="",'CONTROLE CMM'!#REF!=""),"",N('CONTROLE EJ'!O59)+N('CONTROLE CMM'!#REF!))</f>
        <v/>
      </c>
      <c r="BI57" s="223">
        <f>IF('CONTROLE GLOBO AÇOS'!S59="","",'CONTROLE GLOBO AÇOS'!S59)</f>
        <v/>
      </c>
      <c r="BJ57" s="223">
        <f>IF('CONTROLE GLOBO AÇOS'!T59="","",'CONTROLE GLOBO AÇOS'!T59)</f>
        <v/>
      </c>
      <c r="BK57" s="223">
        <f>IF('CONTROLE GLOBO AÇOS'!U59="","",'CONTROLE GLOBO AÇOS'!U59)</f>
        <v/>
      </c>
      <c r="BL57" s="223">
        <f>IF(AND('CONTROLE EJ'!P59="",'CONTROLE CMM'!#REF!=""),"",N('CONTROLE EJ'!P59)+N('CONTROLE CMM'!#REF!))</f>
        <v/>
      </c>
      <c r="BM57" s="223">
        <f>IF(AND('CONTROLE EJ'!Q59="",'CONTROLE CMM'!#REF!=""),"",N('CONTROLE EJ'!Q59)+N('CONTROLE CMM'!#REF!))</f>
        <v/>
      </c>
      <c r="BN57" s="223">
        <f>IF('CONTROLE GLOBO AÇOS'!V59="","",'CONTROLE GLOBO AÇOS'!V59)</f>
        <v/>
      </c>
      <c r="BO57" s="223">
        <f>IF('CONTROLE GLOBO AÇOS'!W59="","",'CONTROLE GLOBO AÇOS'!W59)</f>
        <v/>
      </c>
      <c r="BP57" s="223">
        <f>IF(AND('CONTROLE EJ'!R59="",'CONTROLE CMM'!#REF!=""),"",N('CONTROLE EJ'!R59)+N('CONTROLE CMM'!#REF!))</f>
        <v/>
      </c>
      <c r="BQ57" s="223">
        <f>IF(#REF!="","",#REF!)</f>
        <v/>
      </c>
      <c r="BR57" s="223">
        <f>IF(AND('CONTROLE EJ'!S59="",'CONTROLE CMM'!#REF!=""),"",N('CONTROLE EJ'!S59)+N('CONTROLE CMM'!#REF!))</f>
        <v/>
      </c>
      <c r="BS57" s="223">
        <f>IF(AND('CONTROLE EJ'!T59="",'CONTROLE CMM'!#REF!=""),"",N('CONTROLE EJ'!T59)+N('CONTROLE CMM'!#REF!))</f>
        <v/>
      </c>
      <c r="BT57" s="223">
        <f>IF('CONTROLE GLOBO AÇOS'!X59="","",'CONTROLE GLOBO AÇOS'!X59)</f>
        <v/>
      </c>
      <c r="BU57" s="223">
        <f>IF('CONTROLE GLOBO AÇOS'!Y59="","",'CONTROLE GLOBO AÇOS'!Y59)</f>
        <v/>
      </c>
      <c r="BV57" s="223">
        <f>IF(AND('CONTROLE EJ'!U59="",'CONTROLE CMM'!#REF!=""),"",N('CONTROLE EJ'!U59)+N('CONTROLE CMM'!#REF!))</f>
        <v/>
      </c>
      <c r="BW57" s="223">
        <f>IF(#REF!="","",#REF!)</f>
        <v/>
      </c>
    </row>
    <row r="58">
      <c r="A58" s="282" t="n">
        <v>46275</v>
      </c>
      <c r="B58" s="223">
        <f>IF('CONTROLE EJ'!B60="","",'CONTROLE EJ'!B60)</f>
        <v/>
      </c>
      <c r="C58" s="223">
        <f>IF('CONTROLE EJ'!C60="","",'CONTROLE EJ'!C60)</f>
        <v/>
      </c>
      <c r="D58" s="42">
        <f>IF('CONTROLE EJ'!D60="","",'CONTROLE EJ'!D60)</f>
        <v/>
      </c>
      <c r="E58" s="44">
        <f>IF('CONTROLE CMM'!B60="","",'CONTROLE CMM'!B60)</f>
        <v/>
      </c>
      <c r="F58" s="223">
        <f>IF('CONTROLE CMM'!C60="","",'CONTROLE CMM'!C60)</f>
        <v/>
      </c>
      <c r="G58" s="42">
        <f>IF('CONTROLE CMM'!D60="","",'CONTROLE CMM'!D60)</f>
        <v/>
      </c>
      <c r="H58" s="44">
        <f>IF('CONTROLE GLOBO AÇOS'!B60="","",'CONTROLE GLOBO AÇOS'!B60)</f>
        <v/>
      </c>
      <c r="I58" s="223">
        <f>IF('CONTROLE GLOBO AÇOS'!C60="","",'CONTROLE GLOBO AÇOS'!C60)</f>
        <v/>
      </c>
      <c r="J58" s="223">
        <f>IF('CONTROLE GLOBO AÇOS'!D60="","",'CONTROLE GLOBO AÇOS'!D60)</f>
        <v/>
      </c>
      <c r="AD58" s="39">
        <f>IF($A58="",0,IF(AND(WEEKDAY($A58,2)&lt;=5,OR($B58&lt;&gt;"",$C58&lt;&gt;"",$D58&lt;&gt;"")),1,0))</f>
        <v/>
      </c>
      <c r="AE58" s="39">
        <f>IF($A58="",0,IF(AND(WEEKDAY($A58,2)&lt;=5,OR($E58&lt;&gt;"",$F58&lt;&gt;"",$G58&lt;&gt;"")),1,0))</f>
        <v/>
      </c>
      <c r="AF58" s="39">
        <f>MAX(AD58,AE58)</f>
        <v/>
      </c>
      <c r="AH58" s="223">
        <f>IF('CONTROLE GLOBO AÇOS'!E60="","",'CONTROLE GLOBO AÇOS'!E60)</f>
        <v/>
      </c>
      <c r="AI58" s="223">
        <f>IF('CONTROLE GLOBO AÇOS'!F60="","",'CONTROLE GLOBO AÇOS'!F60)</f>
        <v/>
      </c>
      <c r="AJ58" s="223">
        <f>IF(AND('CONTROLE EJ'!E60="",'CONTROLE CMM'!E60=""),"",N('CONTROLE EJ'!E60)+N('CONTROLE CMM'!E60))</f>
        <v/>
      </c>
      <c r="AK58" s="223">
        <f>IF(AND('CONTROLE EJ'!F60="",'CONTROLE CMM'!F60=""),"",N('CONTROLE EJ'!F60)+N('CONTROLE CMM'!F60))</f>
        <v/>
      </c>
      <c r="AL58" s="223">
        <f>IF(AND('CONTROLE EJ'!G60="",'CONTROLE CMM'!G60=""),"",N('CONTROLE EJ'!G60)+N('CONTROLE CMM'!G60))</f>
        <v/>
      </c>
      <c r="AM58" s="223">
        <f>IF(AND('CONTROLE EJ'!H60="",'CONTROLE CMM'!H60=""),"",N('CONTROLE EJ'!H60)+N('CONTROLE CMM'!H60))</f>
        <v/>
      </c>
      <c r="AN58" s="223">
        <f>IF('CONTROLE GLOBO AÇOS'!G60="","",'CONTROLE GLOBO AÇOS'!G60)</f>
        <v/>
      </c>
      <c r="AO58" s="223">
        <f>IF('CONTROLE GLOBO AÇOS'!H60="","",'CONTROLE GLOBO AÇOS'!H60)</f>
        <v/>
      </c>
      <c r="AP58" s="223">
        <f>IF(AND('CONTROLE EJ'!I60="",'CONTROLE CMM'!I60=""),"",N('CONTROLE EJ'!I60)+N('CONTROLE CMM'!I60))</f>
        <v/>
      </c>
      <c r="AQ58" s="223">
        <f>IF(AND('CONTROLE EJ'!J60="",'CONTROLE CMM'!#REF!=""),"",N('CONTROLE EJ'!J60)+N('CONTROLE CMM'!#REF!))</f>
        <v/>
      </c>
      <c r="AR58" s="223">
        <f>IF('CONTROLE GLOBO AÇOS'!I60="","",'CONTROLE GLOBO AÇOS'!I60)</f>
        <v/>
      </c>
      <c r="AS58" s="223">
        <f>IF('CONTROLE GLOBO AÇOS'!J60="","",'CONTROLE GLOBO AÇOS'!J60)</f>
        <v/>
      </c>
      <c r="AT58" s="223">
        <f>IF(#REF!="","",#REF!)</f>
        <v/>
      </c>
      <c r="AU58" s="223">
        <f>IF('CONTROLE GLOBO AÇOS'!K60="","",'CONTROLE GLOBO AÇOS'!K60)</f>
        <v/>
      </c>
      <c r="AV58" s="223">
        <f>IF(AND('CONTROLE EJ'!K60="",'CONTROLE CMM'!#REF!=""),"",N('CONTROLE EJ'!K60)+N('CONTROLE CMM'!#REF!))</f>
        <v/>
      </c>
      <c r="AW58" s="223">
        <f>IF('CONTROLE GLOBO AÇOS'!L60="","",'CONTROLE GLOBO AÇOS'!L60)</f>
        <v/>
      </c>
      <c r="AX58" s="223">
        <f>IF(AND('CONTROLE EJ'!L60="",'CONTROLE CMM'!#REF!=""),"",N('CONTROLE EJ'!L60)+N('CONTROLE CMM'!#REF!))</f>
        <v/>
      </c>
      <c r="AY58" s="223">
        <f>IF('CONTROLE GLOBO AÇOS'!M60="","",'CONTROLE GLOBO AÇOS'!M60)</f>
        <v/>
      </c>
      <c r="AZ58" s="223">
        <f>IF('CONTROLE GLOBO AÇOS'!N60="","",'CONTROLE GLOBO AÇOS'!N60)</f>
        <v/>
      </c>
      <c r="BA58" s="223">
        <f>IF(AND('CONTROLE EJ'!M60="",'CONTROLE CMM'!#REF!=""),"",N('CONTROLE EJ'!M60)+N('CONTROLE CMM'!#REF!))</f>
        <v/>
      </c>
      <c r="BB58" s="223">
        <f>IF(#REF!="","",#REF!)</f>
        <v/>
      </c>
      <c r="BC58" s="223">
        <f>IF('CONTROLE GLOBO AÇOS'!O60="","",'CONTROLE GLOBO AÇOS'!O60)</f>
        <v/>
      </c>
      <c r="BD58" s="223">
        <f>IF(AND('CONTROLE EJ'!N60="",'CONTROLE CMM'!#REF!=""),"",N('CONTROLE EJ'!N60)+N('CONTROLE CMM'!#REF!))</f>
        <v/>
      </c>
      <c r="BE58" s="223">
        <f>IF('CONTROLE GLOBO AÇOS'!P60="","",'CONTROLE GLOBO AÇOS'!P60)</f>
        <v/>
      </c>
      <c r="BF58" s="223">
        <f>IF('CONTROLE GLOBO AÇOS'!Q60="","",'CONTROLE GLOBO AÇOS'!Q60)</f>
        <v/>
      </c>
      <c r="BG58" s="223">
        <f>IF('CONTROLE GLOBO AÇOS'!R60="","",'CONTROLE GLOBO AÇOS'!R60)</f>
        <v/>
      </c>
      <c r="BH58" s="223">
        <f>IF(AND('CONTROLE EJ'!O60="",'CONTROLE CMM'!#REF!=""),"",N('CONTROLE EJ'!O60)+N('CONTROLE CMM'!#REF!))</f>
        <v/>
      </c>
      <c r="BI58" s="223">
        <f>IF('CONTROLE GLOBO AÇOS'!S60="","",'CONTROLE GLOBO AÇOS'!S60)</f>
        <v/>
      </c>
      <c r="BJ58" s="223">
        <f>IF('CONTROLE GLOBO AÇOS'!T60="","",'CONTROLE GLOBO AÇOS'!T60)</f>
        <v/>
      </c>
      <c r="BK58" s="223">
        <f>IF('CONTROLE GLOBO AÇOS'!U60="","",'CONTROLE GLOBO AÇOS'!U60)</f>
        <v/>
      </c>
      <c r="BL58" s="223">
        <f>IF(AND('CONTROLE EJ'!P60="",'CONTROLE CMM'!#REF!=""),"",N('CONTROLE EJ'!P60)+N('CONTROLE CMM'!#REF!))</f>
        <v/>
      </c>
      <c r="BM58" s="223">
        <f>IF(AND('CONTROLE EJ'!Q60="",'CONTROLE CMM'!#REF!=""),"",N('CONTROLE EJ'!Q60)+N('CONTROLE CMM'!#REF!))</f>
        <v/>
      </c>
      <c r="BN58" s="223">
        <f>IF('CONTROLE GLOBO AÇOS'!V60="","",'CONTROLE GLOBO AÇOS'!V60)</f>
        <v/>
      </c>
      <c r="BO58" s="223">
        <f>IF('CONTROLE GLOBO AÇOS'!W60="","",'CONTROLE GLOBO AÇOS'!W60)</f>
        <v/>
      </c>
      <c r="BP58" s="223">
        <f>IF(AND('CONTROLE EJ'!R60="",'CONTROLE CMM'!#REF!=""),"",N('CONTROLE EJ'!R60)+N('CONTROLE CMM'!#REF!))</f>
        <v/>
      </c>
      <c r="BQ58" s="223">
        <f>IF(#REF!="","",#REF!)</f>
        <v/>
      </c>
      <c r="BR58" s="223">
        <f>IF(AND('CONTROLE EJ'!S60="",'CONTROLE CMM'!#REF!=""),"",N('CONTROLE EJ'!S60)+N('CONTROLE CMM'!#REF!))</f>
        <v/>
      </c>
      <c r="BS58" s="223">
        <f>IF(AND('CONTROLE EJ'!T60="",'CONTROLE CMM'!#REF!=""),"",N('CONTROLE EJ'!T60)+N('CONTROLE CMM'!#REF!))</f>
        <v/>
      </c>
      <c r="BT58" s="223">
        <f>IF('CONTROLE GLOBO AÇOS'!X60="","",'CONTROLE GLOBO AÇOS'!X60)</f>
        <v/>
      </c>
      <c r="BU58" s="223">
        <f>IF('CONTROLE GLOBO AÇOS'!Y60="","",'CONTROLE GLOBO AÇOS'!Y60)</f>
        <v/>
      </c>
      <c r="BV58" s="223">
        <f>IF(AND('CONTROLE EJ'!U60="",'CONTROLE CMM'!#REF!=""),"",N('CONTROLE EJ'!U60)+N('CONTROLE CMM'!#REF!))</f>
        <v/>
      </c>
      <c r="BW58" s="223">
        <f>IF(#REF!="","",#REF!)</f>
        <v/>
      </c>
    </row>
    <row r="59">
      <c r="A59" s="282" t="n">
        <v>46276</v>
      </c>
      <c r="B59" s="223">
        <f>IF('CONTROLE EJ'!B61="","",'CONTROLE EJ'!B61)</f>
        <v/>
      </c>
      <c r="C59" s="223">
        <f>IF('CONTROLE EJ'!C61="","",'CONTROLE EJ'!C61)</f>
        <v/>
      </c>
      <c r="D59" s="42">
        <f>IF('CONTROLE EJ'!D61="","",'CONTROLE EJ'!D61)</f>
        <v/>
      </c>
      <c r="E59" s="44">
        <f>IF('CONTROLE CMM'!B61="","",'CONTROLE CMM'!B61)</f>
        <v/>
      </c>
      <c r="F59" s="223">
        <f>IF('CONTROLE CMM'!C61="","",'CONTROLE CMM'!C61)</f>
        <v/>
      </c>
      <c r="G59" s="42">
        <f>IF('CONTROLE CMM'!D61="","",'CONTROLE CMM'!D61)</f>
        <v/>
      </c>
      <c r="H59" s="44">
        <f>IF('CONTROLE GLOBO AÇOS'!B61="","",'CONTROLE GLOBO AÇOS'!B61)</f>
        <v/>
      </c>
      <c r="I59" s="223">
        <f>IF('CONTROLE GLOBO AÇOS'!C61="","",'CONTROLE GLOBO AÇOS'!C61)</f>
        <v/>
      </c>
      <c r="J59" s="223">
        <f>IF('CONTROLE GLOBO AÇOS'!D61="","",'CONTROLE GLOBO AÇOS'!D61)</f>
        <v/>
      </c>
      <c r="AD59" s="39">
        <f>IF($A59="",0,IF(AND(WEEKDAY($A59,2)&lt;=5,OR($B59&lt;&gt;"",$C59&lt;&gt;"",$D59&lt;&gt;"")),1,0))</f>
        <v/>
      </c>
      <c r="AE59" s="39">
        <f>IF($A59="",0,IF(AND(WEEKDAY($A59,2)&lt;=5,OR($E59&lt;&gt;"",$F59&lt;&gt;"",$G59&lt;&gt;"")),1,0))</f>
        <v/>
      </c>
      <c r="AF59" s="39">
        <f>MAX(AD59,AE59)</f>
        <v/>
      </c>
      <c r="AH59" s="223">
        <f>IF('CONTROLE GLOBO AÇOS'!E61="","",'CONTROLE GLOBO AÇOS'!E61)</f>
        <v/>
      </c>
      <c r="AI59" s="223">
        <f>IF('CONTROLE GLOBO AÇOS'!F61="","",'CONTROLE GLOBO AÇOS'!F61)</f>
        <v/>
      </c>
      <c r="AJ59" s="223">
        <f>IF(AND('CONTROLE EJ'!E61="",'CONTROLE CMM'!E61=""),"",N('CONTROLE EJ'!E61)+N('CONTROLE CMM'!E61))</f>
        <v/>
      </c>
      <c r="AK59" s="223">
        <f>IF(AND('CONTROLE EJ'!F61="",'CONTROLE CMM'!F61=""),"",N('CONTROLE EJ'!F61)+N('CONTROLE CMM'!F61))</f>
        <v/>
      </c>
      <c r="AL59" s="223">
        <f>IF(AND('CONTROLE EJ'!G61="",'CONTROLE CMM'!G61=""),"",N('CONTROLE EJ'!G61)+N('CONTROLE CMM'!G61))</f>
        <v/>
      </c>
      <c r="AM59" s="223">
        <f>IF(AND('CONTROLE EJ'!H61="",'CONTROLE CMM'!H61=""),"",N('CONTROLE EJ'!H61)+N('CONTROLE CMM'!H61))</f>
        <v/>
      </c>
      <c r="AN59" s="223">
        <f>IF('CONTROLE GLOBO AÇOS'!G61="","",'CONTROLE GLOBO AÇOS'!G61)</f>
        <v/>
      </c>
      <c r="AO59" s="223">
        <f>IF('CONTROLE GLOBO AÇOS'!H61="","",'CONTROLE GLOBO AÇOS'!H61)</f>
        <v/>
      </c>
      <c r="AP59" s="223">
        <f>IF(AND('CONTROLE EJ'!I61="",'CONTROLE CMM'!I61=""),"",N('CONTROLE EJ'!I61)+N('CONTROLE CMM'!I61))</f>
        <v/>
      </c>
      <c r="AQ59" s="223">
        <f>IF(AND('CONTROLE EJ'!J61="",'CONTROLE CMM'!#REF!=""),"",N('CONTROLE EJ'!J61)+N('CONTROLE CMM'!#REF!))</f>
        <v/>
      </c>
      <c r="AR59" s="223">
        <f>IF('CONTROLE GLOBO AÇOS'!I61="","",'CONTROLE GLOBO AÇOS'!I61)</f>
        <v/>
      </c>
      <c r="AS59" s="223">
        <f>IF('CONTROLE GLOBO AÇOS'!J61="","",'CONTROLE GLOBO AÇOS'!J61)</f>
        <v/>
      </c>
      <c r="AT59" s="223">
        <f>IF(#REF!="","",#REF!)</f>
        <v/>
      </c>
      <c r="AU59" s="223">
        <f>IF('CONTROLE GLOBO AÇOS'!K61="","",'CONTROLE GLOBO AÇOS'!K61)</f>
        <v/>
      </c>
      <c r="AV59" s="223">
        <f>IF(AND('CONTROLE EJ'!K61="",'CONTROLE CMM'!#REF!=""),"",N('CONTROLE EJ'!K61)+N('CONTROLE CMM'!#REF!))</f>
        <v/>
      </c>
      <c r="AW59" s="223">
        <f>IF('CONTROLE GLOBO AÇOS'!L61="","",'CONTROLE GLOBO AÇOS'!L61)</f>
        <v/>
      </c>
      <c r="AX59" s="223">
        <f>IF(AND('CONTROLE EJ'!L61="",'CONTROLE CMM'!#REF!=""),"",N('CONTROLE EJ'!L61)+N('CONTROLE CMM'!#REF!))</f>
        <v/>
      </c>
      <c r="AY59" s="223">
        <f>IF('CONTROLE GLOBO AÇOS'!M61="","",'CONTROLE GLOBO AÇOS'!M61)</f>
        <v/>
      </c>
      <c r="AZ59" s="223">
        <f>IF('CONTROLE GLOBO AÇOS'!N61="","",'CONTROLE GLOBO AÇOS'!N61)</f>
        <v/>
      </c>
      <c r="BA59" s="223">
        <f>IF(AND('CONTROLE EJ'!M61="",'CONTROLE CMM'!#REF!=""),"",N('CONTROLE EJ'!M61)+N('CONTROLE CMM'!#REF!))</f>
        <v/>
      </c>
      <c r="BB59" s="223">
        <f>IF(#REF!="","",#REF!)</f>
        <v/>
      </c>
      <c r="BC59" s="223">
        <f>IF('CONTROLE GLOBO AÇOS'!O61="","",'CONTROLE GLOBO AÇOS'!O61)</f>
        <v/>
      </c>
      <c r="BD59" s="223">
        <f>IF(AND('CONTROLE EJ'!N61="",'CONTROLE CMM'!#REF!=""),"",N('CONTROLE EJ'!N61)+N('CONTROLE CMM'!#REF!))</f>
        <v/>
      </c>
      <c r="BE59" s="223">
        <f>IF('CONTROLE GLOBO AÇOS'!P61="","",'CONTROLE GLOBO AÇOS'!P61)</f>
        <v/>
      </c>
      <c r="BF59" s="223">
        <f>IF('CONTROLE GLOBO AÇOS'!Q61="","",'CONTROLE GLOBO AÇOS'!Q61)</f>
        <v/>
      </c>
      <c r="BG59" s="223">
        <f>IF('CONTROLE GLOBO AÇOS'!R61="","",'CONTROLE GLOBO AÇOS'!R61)</f>
        <v/>
      </c>
      <c r="BH59" s="223">
        <f>IF(AND('CONTROLE EJ'!O61="",'CONTROLE CMM'!#REF!=""),"",N('CONTROLE EJ'!O61)+N('CONTROLE CMM'!#REF!))</f>
        <v/>
      </c>
      <c r="BI59" s="223">
        <f>IF('CONTROLE GLOBO AÇOS'!S61="","",'CONTROLE GLOBO AÇOS'!S61)</f>
        <v/>
      </c>
      <c r="BJ59" s="223">
        <f>IF('CONTROLE GLOBO AÇOS'!T61="","",'CONTROLE GLOBO AÇOS'!T61)</f>
        <v/>
      </c>
      <c r="BK59" s="223">
        <f>IF('CONTROLE GLOBO AÇOS'!U61="","",'CONTROLE GLOBO AÇOS'!U61)</f>
        <v/>
      </c>
      <c r="BL59" s="223">
        <f>IF(AND('CONTROLE EJ'!P61="",'CONTROLE CMM'!#REF!=""),"",N('CONTROLE EJ'!P61)+N('CONTROLE CMM'!#REF!))</f>
        <v/>
      </c>
      <c r="BM59" s="223">
        <f>IF(AND('CONTROLE EJ'!Q61="",'CONTROLE CMM'!#REF!=""),"",N('CONTROLE EJ'!Q61)+N('CONTROLE CMM'!#REF!))</f>
        <v/>
      </c>
      <c r="BN59" s="223">
        <f>IF('CONTROLE GLOBO AÇOS'!V61="","",'CONTROLE GLOBO AÇOS'!V61)</f>
        <v/>
      </c>
      <c r="BO59" s="223">
        <f>IF('CONTROLE GLOBO AÇOS'!W61="","",'CONTROLE GLOBO AÇOS'!W61)</f>
        <v/>
      </c>
      <c r="BP59" s="223">
        <f>IF(AND('CONTROLE EJ'!R61="",'CONTROLE CMM'!#REF!=""),"",N('CONTROLE EJ'!R61)+N('CONTROLE CMM'!#REF!))</f>
        <v/>
      </c>
      <c r="BQ59" s="223">
        <f>IF(#REF!="","",#REF!)</f>
        <v/>
      </c>
      <c r="BR59" s="223">
        <f>IF(AND('CONTROLE EJ'!S61="",'CONTROLE CMM'!#REF!=""),"",N('CONTROLE EJ'!S61)+N('CONTROLE CMM'!#REF!))</f>
        <v/>
      </c>
      <c r="BS59" s="223">
        <f>IF(AND('CONTROLE EJ'!T61="",'CONTROLE CMM'!#REF!=""),"",N('CONTROLE EJ'!T61)+N('CONTROLE CMM'!#REF!))</f>
        <v/>
      </c>
      <c r="BT59" s="223">
        <f>IF('CONTROLE GLOBO AÇOS'!X61="","",'CONTROLE GLOBO AÇOS'!X61)</f>
        <v/>
      </c>
      <c r="BU59" s="223">
        <f>IF('CONTROLE GLOBO AÇOS'!Y61="","",'CONTROLE GLOBO AÇOS'!Y61)</f>
        <v/>
      </c>
      <c r="BV59" s="223">
        <f>IF(AND('CONTROLE EJ'!U61="",'CONTROLE CMM'!#REF!=""),"",N('CONTROLE EJ'!U61)+N('CONTROLE CMM'!#REF!))</f>
        <v/>
      </c>
      <c r="BW59" s="223">
        <f>IF(#REF!="","",#REF!)</f>
        <v/>
      </c>
    </row>
    <row r="60">
      <c r="A60" s="282" t="n">
        <v>46277</v>
      </c>
      <c r="B60" s="223">
        <f>IF('CONTROLE EJ'!B62="","",'CONTROLE EJ'!B62)</f>
        <v/>
      </c>
      <c r="C60" s="223">
        <f>IF('CONTROLE EJ'!C62="","",'CONTROLE EJ'!C62)</f>
        <v/>
      </c>
      <c r="D60" s="42">
        <f>IF('CONTROLE EJ'!D62="","",'CONTROLE EJ'!D62)</f>
        <v/>
      </c>
      <c r="E60" s="44">
        <f>IF('CONTROLE CMM'!B62="","",'CONTROLE CMM'!B62)</f>
        <v/>
      </c>
      <c r="F60" s="223">
        <f>IF('CONTROLE CMM'!C62="","",'CONTROLE CMM'!C62)</f>
        <v/>
      </c>
      <c r="G60" s="42">
        <f>IF('CONTROLE CMM'!D62="","",'CONTROLE CMM'!D62)</f>
        <v/>
      </c>
      <c r="H60" s="44">
        <f>IF('CONTROLE GLOBO AÇOS'!B62="","",'CONTROLE GLOBO AÇOS'!B62)</f>
        <v/>
      </c>
      <c r="I60" s="223">
        <f>IF('CONTROLE GLOBO AÇOS'!C62="","",'CONTROLE GLOBO AÇOS'!C62)</f>
        <v/>
      </c>
      <c r="J60" s="223">
        <f>IF('CONTROLE GLOBO AÇOS'!D62="","",'CONTROLE GLOBO AÇOS'!D62)</f>
        <v/>
      </c>
      <c r="AD60" s="39">
        <f>IF($A60="",0,IF(AND(WEEKDAY($A60,2)&lt;=5,OR($B60&lt;&gt;"",$C60&lt;&gt;"",$D60&lt;&gt;"")),1,0))</f>
        <v/>
      </c>
      <c r="AE60" s="39">
        <f>IF($A60="",0,IF(AND(WEEKDAY($A60,2)&lt;=5,OR($E60&lt;&gt;"",$F60&lt;&gt;"",$G60&lt;&gt;"")),1,0))</f>
        <v/>
      </c>
      <c r="AF60" s="39">
        <f>MAX(AD60,AE60)</f>
        <v/>
      </c>
      <c r="AH60" s="223">
        <f>IF('CONTROLE GLOBO AÇOS'!E62="","",'CONTROLE GLOBO AÇOS'!E62)</f>
        <v/>
      </c>
      <c r="AI60" s="223">
        <f>IF('CONTROLE GLOBO AÇOS'!F62="","",'CONTROLE GLOBO AÇOS'!F62)</f>
        <v/>
      </c>
      <c r="AJ60" s="223">
        <f>IF(AND('CONTROLE EJ'!E62="",'CONTROLE CMM'!E62=""),"",N('CONTROLE EJ'!E62)+N('CONTROLE CMM'!E62))</f>
        <v/>
      </c>
      <c r="AK60" s="223">
        <f>IF(AND('CONTROLE EJ'!F62="",'CONTROLE CMM'!F62=""),"",N('CONTROLE EJ'!F62)+N('CONTROLE CMM'!F62))</f>
        <v/>
      </c>
      <c r="AL60" s="223">
        <f>IF(AND('CONTROLE EJ'!G62="",'CONTROLE CMM'!G62=""),"",N('CONTROLE EJ'!G62)+N('CONTROLE CMM'!G62))</f>
        <v/>
      </c>
      <c r="AM60" s="223">
        <f>IF(AND('CONTROLE EJ'!H62="",'CONTROLE CMM'!H62=""),"",N('CONTROLE EJ'!H62)+N('CONTROLE CMM'!H62))</f>
        <v/>
      </c>
      <c r="AN60" s="223">
        <f>IF('CONTROLE GLOBO AÇOS'!G62="","",'CONTROLE GLOBO AÇOS'!G62)</f>
        <v/>
      </c>
      <c r="AO60" s="223">
        <f>IF('CONTROLE GLOBO AÇOS'!H62="","",'CONTROLE GLOBO AÇOS'!H62)</f>
        <v/>
      </c>
      <c r="AP60" s="223">
        <f>IF(AND('CONTROLE EJ'!I62="",'CONTROLE CMM'!I62=""),"",N('CONTROLE EJ'!I62)+N('CONTROLE CMM'!I62))</f>
        <v/>
      </c>
      <c r="AQ60" s="223">
        <f>IF(AND('CONTROLE EJ'!J62="",'CONTROLE CMM'!#REF!=""),"",N('CONTROLE EJ'!J62)+N('CONTROLE CMM'!#REF!))</f>
        <v/>
      </c>
      <c r="AR60" s="223">
        <f>IF('CONTROLE GLOBO AÇOS'!I62="","",'CONTROLE GLOBO AÇOS'!I62)</f>
        <v/>
      </c>
      <c r="AS60" s="223">
        <f>IF('CONTROLE GLOBO AÇOS'!J62="","",'CONTROLE GLOBO AÇOS'!J62)</f>
        <v/>
      </c>
      <c r="AT60" s="223">
        <f>IF(#REF!="","",#REF!)</f>
        <v/>
      </c>
      <c r="AU60" s="223">
        <f>IF('CONTROLE GLOBO AÇOS'!K62="","",'CONTROLE GLOBO AÇOS'!K62)</f>
        <v/>
      </c>
      <c r="AV60" s="223">
        <f>IF(AND('CONTROLE EJ'!K62="",'CONTROLE CMM'!#REF!=""),"",N('CONTROLE EJ'!K62)+N('CONTROLE CMM'!#REF!))</f>
        <v/>
      </c>
      <c r="AW60" s="223">
        <f>IF('CONTROLE GLOBO AÇOS'!L62="","",'CONTROLE GLOBO AÇOS'!L62)</f>
        <v/>
      </c>
      <c r="AX60" s="223">
        <f>IF(AND('CONTROLE EJ'!L62="",'CONTROLE CMM'!#REF!=""),"",N('CONTROLE EJ'!L62)+N('CONTROLE CMM'!#REF!))</f>
        <v/>
      </c>
      <c r="AY60" s="223">
        <f>IF('CONTROLE GLOBO AÇOS'!M62="","",'CONTROLE GLOBO AÇOS'!M62)</f>
        <v/>
      </c>
      <c r="AZ60" s="223">
        <f>IF('CONTROLE GLOBO AÇOS'!N62="","",'CONTROLE GLOBO AÇOS'!N62)</f>
        <v/>
      </c>
      <c r="BA60" s="223">
        <f>IF(AND('CONTROLE EJ'!M62="",'CONTROLE CMM'!#REF!=""),"",N('CONTROLE EJ'!M62)+N('CONTROLE CMM'!#REF!))</f>
        <v/>
      </c>
      <c r="BB60" s="223">
        <f>IF(#REF!="","",#REF!)</f>
        <v/>
      </c>
      <c r="BC60" s="223">
        <f>IF('CONTROLE GLOBO AÇOS'!O62="","",'CONTROLE GLOBO AÇOS'!O62)</f>
        <v/>
      </c>
      <c r="BD60" s="223">
        <f>IF(AND('CONTROLE EJ'!N62="",'CONTROLE CMM'!#REF!=""),"",N('CONTROLE EJ'!N62)+N('CONTROLE CMM'!#REF!))</f>
        <v/>
      </c>
      <c r="BE60" s="223">
        <f>IF('CONTROLE GLOBO AÇOS'!P62="","",'CONTROLE GLOBO AÇOS'!P62)</f>
        <v/>
      </c>
      <c r="BF60" s="223">
        <f>IF('CONTROLE GLOBO AÇOS'!Q62="","",'CONTROLE GLOBO AÇOS'!Q62)</f>
        <v/>
      </c>
      <c r="BG60" s="223">
        <f>IF('CONTROLE GLOBO AÇOS'!R62="","",'CONTROLE GLOBO AÇOS'!R62)</f>
        <v/>
      </c>
      <c r="BH60" s="223">
        <f>IF(AND('CONTROLE EJ'!O62="",'CONTROLE CMM'!#REF!=""),"",N('CONTROLE EJ'!O62)+N('CONTROLE CMM'!#REF!))</f>
        <v/>
      </c>
      <c r="BI60" s="223">
        <f>IF('CONTROLE GLOBO AÇOS'!S62="","",'CONTROLE GLOBO AÇOS'!S62)</f>
        <v/>
      </c>
      <c r="BJ60" s="223">
        <f>IF('CONTROLE GLOBO AÇOS'!T62="","",'CONTROLE GLOBO AÇOS'!T62)</f>
        <v/>
      </c>
      <c r="BK60" s="223">
        <f>IF('CONTROLE GLOBO AÇOS'!U62="","",'CONTROLE GLOBO AÇOS'!U62)</f>
        <v/>
      </c>
      <c r="BL60" s="223">
        <f>IF(AND('CONTROLE EJ'!P62="",'CONTROLE CMM'!#REF!=""),"",N('CONTROLE EJ'!P62)+N('CONTROLE CMM'!#REF!))</f>
        <v/>
      </c>
      <c r="BM60" s="223">
        <f>IF(AND('CONTROLE EJ'!Q62="",'CONTROLE CMM'!#REF!=""),"",N('CONTROLE EJ'!Q62)+N('CONTROLE CMM'!#REF!))</f>
        <v/>
      </c>
      <c r="BN60" s="223">
        <f>IF('CONTROLE GLOBO AÇOS'!V62="","",'CONTROLE GLOBO AÇOS'!V62)</f>
        <v/>
      </c>
      <c r="BO60" s="223">
        <f>IF('CONTROLE GLOBO AÇOS'!W62="","",'CONTROLE GLOBO AÇOS'!W62)</f>
        <v/>
      </c>
      <c r="BP60" s="223">
        <f>IF(AND('CONTROLE EJ'!R62="",'CONTROLE CMM'!#REF!=""),"",N('CONTROLE EJ'!R62)+N('CONTROLE CMM'!#REF!))</f>
        <v/>
      </c>
      <c r="BQ60" s="223">
        <f>IF(#REF!="","",#REF!)</f>
        <v/>
      </c>
      <c r="BR60" s="223">
        <f>IF(AND('CONTROLE EJ'!S62="",'CONTROLE CMM'!#REF!=""),"",N('CONTROLE EJ'!S62)+N('CONTROLE CMM'!#REF!))</f>
        <v/>
      </c>
      <c r="BS60" s="223">
        <f>IF(AND('CONTROLE EJ'!T62="",'CONTROLE CMM'!#REF!=""),"",N('CONTROLE EJ'!T62)+N('CONTROLE CMM'!#REF!))</f>
        <v/>
      </c>
      <c r="BT60" s="223">
        <f>IF('CONTROLE GLOBO AÇOS'!X62="","",'CONTROLE GLOBO AÇOS'!X62)</f>
        <v/>
      </c>
      <c r="BU60" s="223">
        <f>IF('CONTROLE GLOBO AÇOS'!Y62="","",'CONTROLE GLOBO AÇOS'!Y62)</f>
        <v/>
      </c>
      <c r="BV60" s="223">
        <f>IF(AND('CONTROLE EJ'!U62="",'CONTROLE CMM'!#REF!=""),"",N('CONTROLE EJ'!U62)+N('CONTROLE CMM'!#REF!))</f>
        <v/>
      </c>
      <c r="BW60" s="223">
        <f>IF(#REF!="","",#REF!)</f>
        <v/>
      </c>
    </row>
    <row r="61">
      <c r="A61" s="282" t="n">
        <v>46278</v>
      </c>
      <c r="B61" s="223">
        <f>IF('CONTROLE EJ'!B63="","",'CONTROLE EJ'!B63)</f>
        <v/>
      </c>
      <c r="C61" s="223">
        <f>IF('CONTROLE EJ'!C63="","",'CONTROLE EJ'!C63)</f>
        <v/>
      </c>
      <c r="D61" s="42">
        <f>IF('CONTROLE EJ'!D63="","",'CONTROLE EJ'!D63)</f>
        <v/>
      </c>
      <c r="E61" s="44">
        <f>IF('CONTROLE CMM'!B63="","",'CONTROLE CMM'!B63)</f>
        <v/>
      </c>
      <c r="F61" s="223">
        <f>IF('CONTROLE CMM'!C63="","",'CONTROLE CMM'!C63)</f>
        <v/>
      </c>
      <c r="G61" s="42">
        <f>IF('CONTROLE CMM'!D63="","",'CONTROLE CMM'!D63)</f>
        <v/>
      </c>
      <c r="H61" s="44">
        <f>IF('CONTROLE GLOBO AÇOS'!B63="","",'CONTROLE GLOBO AÇOS'!B63)</f>
        <v/>
      </c>
      <c r="I61" s="223">
        <f>IF('CONTROLE GLOBO AÇOS'!C63="","",'CONTROLE GLOBO AÇOS'!C63)</f>
        <v/>
      </c>
      <c r="J61" s="223">
        <f>IF('CONTROLE GLOBO AÇOS'!D63="","",'CONTROLE GLOBO AÇOS'!D63)</f>
        <v/>
      </c>
      <c r="AD61" s="39">
        <f>IF($A61="",0,IF(AND(WEEKDAY($A61,2)&lt;=5,OR($B61&lt;&gt;"",$C61&lt;&gt;"",$D61&lt;&gt;"")),1,0))</f>
        <v/>
      </c>
      <c r="AE61" s="39">
        <f>IF($A61="",0,IF(AND(WEEKDAY($A61,2)&lt;=5,OR($E61&lt;&gt;"",$F61&lt;&gt;"",$G61&lt;&gt;"")),1,0))</f>
        <v/>
      </c>
      <c r="AF61" s="39">
        <f>MAX(AD61,AE61)</f>
        <v/>
      </c>
      <c r="AH61" s="223">
        <f>IF('CONTROLE GLOBO AÇOS'!E63="","",'CONTROLE GLOBO AÇOS'!E63)</f>
        <v/>
      </c>
      <c r="AI61" s="223">
        <f>IF('CONTROLE GLOBO AÇOS'!F63="","",'CONTROLE GLOBO AÇOS'!F63)</f>
        <v/>
      </c>
      <c r="AJ61" s="223">
        <f>IF(AND('CONTROLE EJ'!E63="",'CONTROLE CMM'!E63=""),"",N('CONTROLE EJ'!E63)+N('CONTROLE CMM'!E63))</f>
        <v/>
      </c>
      <c r="AK61" s="223">
        <f>IF(AND('CONTROLE EJ'!F63="",'CONTROLE CMM'!F63=""),"",N('CONTROLE EJ'!F63)+N('CONTROLE CMM'!F63))</f>
        <v/>
      </c>
      <c r="AL61" s="223">
        <f>IF(AND('CONTROLE EJ'!G63="",'CONTROLE CMM'!G63=""),"",N('CONTROLE EJ'!G63)+N('CONTROLE CMM'!G63))</f>
        <v/>
      </c>
      <c r="AM61" s="223">
        <f>IF(AND('CONTROLE EJ'!H63="",'CONTROLE CMM'!H63=""),"",N('CONTROLE EJ'!H63)+N('CONTROLE CMM'!H63))</f>
        <v/>
      </c>
      <c r="AN61" s="223">
        <f>IF('CONTROLE GLOBO AÇOS'!G63="","",'CONTROLE GLOBO AÇOS'!G63)</f>
        <v/>
      </c>
      <c r="AO61" s="223">
        <f>IF('CONTROLE GLOBO AÇOS'!H63="","",'CONTROLE GLOBO AÇOS'!H63)</f>
        <v/>
      </c>
      <c r="AP61" s="223">
        <f>IF(AND('CONTROLE EJ'!I63="",'CONTROLE CMM'!I63=""),"",N('CONTROLE EJ'!I63)+N('CONTROLE CMM'!I63))</f>
        <v/>
      </c>
      <c r="AQ61" s="223">
        <f>IF(AND('CONTROLE EJ'!J63="",'CONTROLE CMM'!#REF!=""),"",N('CONTROLE EJ'!J63)+N('CONTROLE CMM'!#REF!))</f>
        <v/>
      </c>
      <c r="AR61" s="223">
        <f>IF('CONTROLE GLOBO AÇOS'!I63="","",'CONTROLE GLOBO AÇOS'!I63)</f>
        <v/>
      </c>
      <c r="AS61" s="223">
        <f>IF('CONTROLE GLOBO AÇOS'!J63="","",'CONTROLE GLOBO AÇOS'!J63)</f>
        <v/>
      </c>
      <c r="AT61" s="223">
        <f>IF(#REF!="","",#REF!)</f>
        <v/>
      </c>
      <c r="AU61" s="223">
        <f>IF('CONTROLE GLOBO AÇOS'!K63="","",'CONTROLE GLOBO AÇOS'!K63)</f>
        <v/>
      </c>
      <c r="AV61" s="223">
        <f>IF(AND('CONTROLE EJ'!K63="",'CONTROLE CMM'!#REF!=""),"",N('CONTROLE EJ'!K63)+N('CONTROLE CMM'!#REF!))</f>
        <v/>
      </c>
      <c r="AW61" s="223">
        <f>IF('CONTROLE GLOBO AÇOS'!L63="","",'CONTROLE GLOBO AÇOS'!L63)</f>
        <v/>
      </c>
      <c r="AX61" s="223">
        <f>IF(AND('CONTROLE EJ'!L63="",'CONTROLE CMM'!#REF!=""),"",N('CONTROLE EJ'!L63)+N('CONTROLE CMM'!#REF!))</f>
        <v/>
      </c>
      <c r="AY61" s="223">
        <f>IF('CONTROLE GLOBO AÇOS'!M63="","",'CONTROLE GLOBO AÇOS'!M63)</f>
        <v/>
      </c>
      <c r="AZ61" s="223">
        <f>IF('CONTROLE GLOBO AÇOS'!N63="","",'CONTROLE GLOBO AÇOS'!N63)</f>
        <v/>
      </c>
      <c r="BA61" s="223">
        <f>IF(AND('CONTROLE EJ'!M63="",'CONTROLE CMM'!#REF!=""),"",N('CONTROLE EJ'!M63)+N('CONTROLE CMM'!#REF!))</f>
        <v/>
      </c>
      <c r="BB61" s="223">
        <f>IF(#REF!="","",#REF!)</f>
        <v/>
      </c>
      <c r="BC61" s="223">
        <f>IF('CONTROLE GLOBO AÇOS'!O63="","",'CONTROLE GLOBO AÇOS'!O63)</f>
        <v/>
      </c>
      <c r="BD61" s="223">
        <f>IF(AND('CONTROLE EJ'!N63="",'CONTROLE CMM'!#REF!=""),"",N('CONTROLE EJ'!N63)+N('CONTROLE CMM'!#REF!))</f>
        <v/>
      </c>
      <c r="BE61" s="223">
        <f>IF('CONTROLE GLOBO AÇOS'!P63="","",'CONTROLE GLOBO AÇOS'!P63)</f>
        <v/>
      </c>
      <c r="BF61" s="223">
        <f>IF('CONTROLE GLOBO AÇOS'!Q63="","",'CONTROLE GLOBO AÇOS'!Q63)</f>
        <v/>
      </c>
      <c r="BG61" s="223">
        <f>IF('CONTROLE GLOBO AÇOS'!R63="","",'CONTROLE GLOBO AÇOS'!R63)</f>
        <v/>
      </c>
      <c r="BH61" s="223">
        <f>IF(AND('CONTROLE EJ'!O63="",'CONTROLE CMM'!#REF!=""),"",N('CONTROLE EJ'!O63)+N('CONTROLE CMM'!#REF!))</f>
        <v/>
      </c>
      <c r="BI61" s="223">
        <f>IF('CONTROLE GLOBO AÇOS'!S63="","",'CONTROLE GLOBO AÇOS'!S63)</f>
        <v/>
      </c>
      <c r="BJ61" s="223">
        <f>IF('CONTROLE GLOBO AÇOS'!T63="","",'CONTROLE GLOBO AÇOS'!T63)</f>
        <v/>
      </c>
      <c r="BK61" s="223">
        <f>IF('CONTROLE GLOBO AÇOS'!U63="","",'CONTROLE GLOBO AÇOS'!U63)</f>
        <v/>
      </c>
      <c r="BL61" s="223">
        <f>IF(AND('CONTROLE EJ'!P63="",'CONTROLE CMM'!#REF!=""),"",N('CONTROLE EJ'!P63)+N('CONTROLE CMM'!#REF!))</f>
        <v/>
      </c>
      <c r="BM61" s="223">
        <f>IF(AND('CONTROLE EJ'!Q63="",'CONTROLE CMM'!#REF!=""),"",N('CONTROLE EJ'!Q63)+N('CONTROLE CMM'!#REF!))</f>
        <v/>
      </c>
      <c r="BN61" s="223">
        <f>IF('CONTROLE GLOBO AÇOS'!V63="","",'CONTROLE GLOBO AÇOS'!V63)</f>
        <v/>
      </c>
      <c r="BO61" s="223">
        <f>IF('CONTROLE GLOBO AÇOS'!W63="","",'CONTROLE GLOBO AÇOS'!W63)</f>
        <v/>
      </c>
      <c r="BP61" s="223">
        <f>IF(AND('CONTROLE EJ'!R63="",'CONTROLE CMM'!#REF!=""),"",N('CONTROLE EJ'!R63)+N('CONTROLE CMM'!#REF!))</f>
        <v/>
      </c>
      <c r="BQ61" s="223">
        <f>IF(#REF!="","",#REF!)</f>
        <v/>
      </c>
      <c r="BR61" s="223">
        <f>IF(AND('CONTROLE EJ'!S63="",'CONTROLE CMM'!#REF!=""),"",N('CONTROLE EJ'!S63)+N('CONTROLE CMM'!#REF!))</f>
        <v/>
      </c>
      <c r="BS61" s="223">
        <f>IF(AND('CONTROLE EJ'!T63="",'CONTROLE CMM'!#REF!=""),"",N('CONTROLE EJ'!T63)+N('CONTROLE CMM'!#REF!))</f>
        <v/>
      </c>
      <c r="BT61" s="223">
        <f>IF('CONTROLE GLOBO AÇOS'!X63="","",'CONTROLE GLOBO AÇOS'!X63)</f>
        <v/>
      </c>
      <c r="BU61" s="223">
        <f>IF('CONTROLE GLOBO AÇOS'!Y63="","",'CONTROLE GLOBO AÇOS'!Y63)</f>
        <v/>
      </c>
      <c r="BV61" s="223">
        <f>IF(AND('CONTROLE EJ'!U63="",'CONTROLE CMM'!#REF!=""),"",N('CONTROLE EJ'!U63)+N('CONTROLE CMM'!#REF!))</f>
        <v/>
      </c>
      <c r="BW61" s="223">
        <f>IF(#REF!="","",#REF!)</f>
        <v/>
      </c>
    </row>
    <row r="62">
      <c r="A62" s="282" t="n">
        <v>46279</v>
      </c>
      <c r="B62" s="223">
        <f>IF('CONTROLE EJ'!B64="","",'CONTROLE EJ'!B64)</f>
        <v/>
      </c>
      <c r="C62" s="223">
        <f>IF('CONTROLE EJ'!C64="","",'CONTROLE EJ'!C64)</f>
        <v/>
      </c>
      <c r="D62" s="42">
        <f>IF('CONTROLE EJ'!D64="","",'CONTROLE EJ'!D64)</f>
        <v/>
      </c>
      <c r="E62" s="44">
        <f>IF('CONTROLE CMM'!B64="","",'CONTROLE CMM'!B64)</f>
        <v/>
      </c>
      <c r="F62" s="223">
        <f>IF('CONTROLE CMM'!C64="","",'CONTROLE CMM'!C64)</f>
        <v/>
      </c>
      <c r="G62" s="42">
        <f>IF('CONTROLE CMM'!D64="","",'CONTROLE CMM'!D64)</f>
        <v/>
      </c>
      <c r="H62" s="44">
        <f>IF('CONTROLE GLOBO AÇOS'!B64="","",'CONTROLE GLOBO AÇOS'!B64)</f>
        <v/>
      </c>
      <c r="I62" s="223">
        <f>IF('CONTROLE GLOBO AÇOS'!C64="","",'CONTROLE GLOBO AÇOS'!C64)</f>
        <v/>
      </c>
      <c r="J62" s="223">
        <f>IF('CONTROLE GLOBO AÇOS'!D64="","",'CONTROLE GLOBO AÇOS'!D64)</f>
        <v/>
      </c>
      <c r="AD62" s="39">
        <f>IF($A62="",0,IF(AND(WEEKDAY($A62,2)&lt;=5,OR($B62&lt;&gt;"",$C62&lt;&gt;"",$D62&lt;&gt;"")),1,0))</f>
        <v/>
      </c>
      <c r="AE62" s="39">
        <f>IF($A62="",0,IF(AND(WEEKDAY($A62,2)&lt;=5,OR($E62&lt;&gt;"",$F62&lt;&gt;"",$G62&lt;&gt;"")),1,0))</f>
        <v/>
      </c>
      <c r="AF62" s="39">
        <f>MAX(AD62,AE62)</f>
        <v/>
      </c>
      <c r="AH62" s="223">
        <f>IF('CONTROLE GLOBO AÇOS'!E64="","",'CONTROLE GLOBO AÇOS'!E64)</f>
        <v/>
      </c>
      <c r="AI62" s="223">
        <f>IF('CONTROLE GLOBO AÇOS'!F64="","",'CONTROLE GLOBO AÇOS'!F64)</f>
        <v/>
      </c>
      <c r="AJ62" s="223">
        <f>IF(AND('CONTROLE EJ'!E64="",'CONTROLE CMM'!E64=""),"",N('CONTROLE EJ'!E64)+N('CONTROLE CMM'!E64))</f>
        <v/>
      </c>
      <c r="AK62" s="223">
        <f>IF(AND('CONTROLE EJ'!F64="",'CONTROLE CMM'!F64=""),"",N('CONTROLE EJ'!F64)+N('CONTROLE CMM'!F64))</f>
        <v/>
      </c>
      <c r="AL62" s="223">
        <f>IF(AND('CONTROLE EJ'!G64="",'CONTROLE CMM'!G64=""),"",N('CONTROLE EJ'!G64)+N('CONTROLE CMM'!G64))</f>
        <v/>
      </c>
      <c r="AM62" s="223">
        <f>IF(AND('CONTROLE EJ'!H64="",'CONTROLE CMM'!H64=""),"",N('CONTROLE EJ'!H64)+N('CONTROLE CMM'!H64))</f>
        <v/>
      </c>
      <c r="AN62" s="223">
        <f>IF('CONTROLE GLOBO AÇOS'!G64="","",'CONTROLE GLOBO AÇOS'!G64)</f>
        <v/>
      </c>
      <c r="AO62" s="223">
        <f>IF('CONTROLE GLOBO AÇOS'!H64="","",'CONTROLE GLOBO AÇOS'!H64)</f>
        <v/>
      </c>
      <c r="AP62" s="223">
        <f>IF(AND('CONTROLE EJ'!I64="",'CONTROLE CMM'!I64=""),"",N('CONTROLE EJ'!I64)+N('CONTROLE CMM'!I64))</f>
        <v/>
      </c>
      <c r="AQ62" s="223">
        <f>IF(AND('CONTROLE EJ'!J64="",'CONTROLE CMM'!#REF!=""),"",N('CONTROLE EJ'!J64)+N('CONTROLE CMM'!#REF!))</f>
        <v/>
      </c>
      <c r="AR62" s="223">
        <f>IF('CONTROLE GLOBO AÇOS'!I64="","",'CONTROLE GLOBO AÇOS'!I64)</f>
        <v/>
      </c>
      <c r="AS62" s="223">
        <f>IF('CONTROLE GLOBO AÇOS'!J64="","",'CONTROLE GLOBO AÇOS'!J64)</f>
        <v/>
      </c>
      <c r="AT62" s="223">
        <f>IF(#REF!="","",#REF!)</f>
        <v/>
      </c>
      <c r="AU62" s="223">
        <f>IF('CONTROLE GLOBO AÇOS'!K64="","",'CONTROLE GLOBO AÇOS'!K64)</f>
        <v/>
      </c>
      <c r="AV62" s="223">
        <f>IF(AND('CONTROLE EJ'!K64="",'CONTROLE CMM'!#REF!=""),"",N('CONTROLE EJ'!K64)+N('CONTROLE CMM'!#REF!))</f>
        <v/>
      </c>
      <c r="AW62" s="223">
        <f>IF('CONTROLE GLOBO AÇOS'!L64="","",'CONTROLE GLOBO AÇOS'!L64)</f>
        <v/>
      </c>
      <c r="AX62" s="223">
        <f>IF(AND('CONTROLE EJ'!L64="",'CONTROLE CMM'!#REF!=""),"",N('CONTROLE EJ'!L64)+N('CONTROLE CMM'!#REF!))</f>
        <v/>
      </c>
      <c r="AY62" s="223">
        <f>IF('CONTROLE GLOBO AÇOS'!M64="","",'CONTROLE GLOBO AÇOS'!M64)</f>
        <v/>
      </c>
      <c r="AZ62" s="223">
        <f>IF('CONTROLE GLOBO AÇOS'!N64="","",'CONTROLE GLOBO AÇOS'!N64)</f>
        <v/>
      </c>
      <c r="BA62" s="223">
        <f>IF(AND('CONTROLE EJ'!M64="",'CONTROLE CMM'!#REF!=""),"",N('CONTROLE EJ'!M64)+N('CONTROLE CMM'!#REF!))</f>
        <v/>
      </c>
      <c r="BB62" s="223">
        <f>IF(#REF!="","",#REF!)</f>
        <v/>
      </c>
      <c r="BC62" s="223">
        <f>IF('CONTROLE GLOBO AÇOS'!O64="","",'CONTROLE GLOBO AÇOS'!O64)</f>
        <v/>
      </c>
      <c r="BD62" s="223">
        <f>IF(AND('CONTROLE EJ'!N64="",'CONTROLE CMM'!#REF!=""),"",N('CONTROLE EJ'!N64)+N('CONTROLE CMM'!#REF!))</f>
        <v/>
      </c>
      <c r="BE62" s="223">
        <f>IF('CONTROLE GLOBO AÇOS'!P64="","",'CONTROLE GLOBO AÇOS'!P64)</f>
        <v/>
      </c>
      <c r="BF62" s="223">
        <f>IF('CONTROLE GLOBO AÇOS'!Q64="","",'CONTROLE GLOBO AÇOS'!Q64)</f>
        <v/>
      </c>
      <c r="BG62" s="223">
        <f>IF('CONTROLE GLOBO AÇOS'!R64="","",'CONTROLE GLOBO AÇOS'!R64)</f>
        <v/>
      </c>
      <c r="BH62" s="223">
        <f>IF(AND('CONTROLE EJ'!O64="",'CONTROLE CMM'!#REF!=""),"",N('CONTROLE EJ'!O64)+N('CONTROLE CMM'!#REF!))</f>
        <v/>
      </c>
      <c r="BI62" s="223">
        <f>IF('CONTROLE GLOBO AÇOS'!S64="","",'CONTROLE GLOBO AÇOS'!S64)</f>
        <v/>
      </c>
      <c r="BJ62" s="223">
        <f>IF('CONTROLE GLOBO AÇOS'!T64="","",'CONTROLE GLOBO AÇOS'!T64)</f>
        <v/>
      </c>
      <c r="BK62" s="223">
        <f>IF('CONTROLE GLOBO AÇOS'!U64="","",'CONTROLE GLOBO AÇOS'!U64)</f>
        <v/>
      </c>
      <c r="BL62" s="223">
        <f>IF(AND('CONTROLE EJ'!P64="",'CONTROLE CMM'!#REF!=""),"",N('CONTROLE EJ'!P64)+N('CONTROLE CMM'!#REF!))</f>
        <v/>
      </c>
      <c r="BM62" s="223">
        <f>IF(AND('CONTROLE EJ'!Q64="",'CONTROLE CMM'!#REF!=""),"",N('CONTROLE EJ'!Q64)+N('CONTROLE CMM'!#REF!))</f>
        <v/>
      </c>
      <c r="BN62" s="223">
        <f>IF('CONTROLE GLOBO AÇOS'!V64="","",'CONTROLE GLOBO AÇOS'!V64)</f>
        <v/>
      </c>
      <c r="BO62" s="223">
        <f>IF('CONTROLE GLOBO AÇOS'!W64="","",'CONTROLE GLOBO AÇOS'!W64)</f>
        <v/>
      </c>
      <c r="BP62" s="223">
        <f>IF(AND('CONTROLE EJ'!R64="",'CONTROLE CMM'!#REF!=""),"",N('CONTROLE EJ'!R64)+N('CONTROLE CMM'!#REF!))</f>
        <v/>
      </c>
      <c r="BQ62" s="223">
        <f>IF(#REF!="","",#REF!)</f>
        <v/>
      </c>
      <c r="BR62" s="223">
        <f>IF(AND('CONTROLE EJ'!S64="",'CONTROLE CMM'!#REF!=""),"",N('CONTROLE EJ'!S64)+N('CONTROLE CMM'!#REF!))</f>
        <v/>
      </c>
      <c r="BS62" s="223">
        <f>IF(AND('CONTROLE EJ'!T64="",'CONTROLE CMM'!#REF!=""),"",N('CONTROLE EJ'!T64)+N('CONTROLE CMM'!#REF!))</f>
        <v/>
      </c>
      <c r="BT62" s="223">
        <f>IF('CONTROLE GLOBO AÇOS'!X64="","",'CONTROLE GLOBO AÇOS'!X64)</f>
        <v/>
      </c>
      <c r="BU62" s="223">
        <f>IF('CONTROLE GLOBO AÇOS'!Y64="","",'CONTROLE GLOBO AÇOS'!Y64)</f>
        <v/>
      </c>
      <c r="BV62" s="223">
        <f>IF(AND('CONTROLE EJ'!U64="",'CONTROLE CMM'!#REF!=""),"",N('CONTROLE EJ'!U64)+N('CONTROLE CMM'!#REF!))</f>
        <v/>
      </c>
      <c r="BW62" s="223">
        <f>IF(#REF!="","",#REF!)</f>
        <v/>
      </c>
    </row>
    <row r="63">
      <c r="A63" s="282" t="n">
        <v>46280</v>
      </c>
      <c r="B63" s="223">
        <f>IF('CONTROLE EJ'!B65="","",'CONTROLE EJ'!B65)</f>
        <v/>
      </c>
      <c r="C63" s="223">
        <f>IF('CONTROLE EJ'!C65="","",'CONTROLE EJ'!C65)</f>
        <v/>
      </c>
      <c r="D63" s="42">
        <f>IF('CONTROLE EJ'!D65="","",'CONTROLE EJ'!D65)</f>
        <v/>
      </c>
      <c r="E63" s="44">
        <f>IF('CONTROLE CMM'!B65="","",'CONTROLE CMM'!B65)</f>
        <v/>
      </c>
      <c r="F63" s="223">
        <f>IF('CONTROLE CMM'!C65="","",'CONTROLE CMM'!C65)</f>
        <v/>
      </c>
      <c r="G63" s="42">
        <f>IF('CONTROLE CMM'!D65="","",'CONTROLE CMM'!D65)</f>
        <v/>
      </c>
      <c r="H63" s="68">
        <f>IF('CONTROLE GLOBO AÇOS'!B65="","",'CONTROLE GLOBO AÇOS'!B65)</f>
        <v/>
      </c>
      <c r="I63" s="240">
        <f>IF('CONTROLE GLOBO AÇOS'!C65="","",'CONTROLE GLOBO AÇOS'!C65)</f>
        <v/>
      </c>
      <c r="J63" s="240">
        <f>IF('CONTROLE GLOBO AÇOS'!D65="","",'CONTROLE GLOBO AÇOS'!D65)</f>
        <v/>
      </c>
      <c r="AD63" s="39">
        <f>IF($A63="",0,IF(AND(WEEKDAY($A63,2)&lt;=5,OR($B63&lt;&gt;"",$C63&lt;&gt;"",$D63&lt;&gt;"")),1,0))</f>
        <v/>
      </c>
      <c r="AE63" s="39">
        <f>IF($A63="",0,IF(AND(WEEKDAY($A63,2)&lt;=5,OR($E63&lt;&gt;"",$F63&lt;&gt;"",$G63&lt;&gt;"")),1,0))</f>
        <v/>
      </c>
      <c r="AF63" s="39">
        <f>MAX(AD63,AE63)</f>
        <v/>
      </c>
      <c r="AH63" s="223">
        <f>IF('CONTROLE GLOBO AÇOS'!E65="","",'CONTROLE GLOBO AÇOS'!E65)</f>
        <v/>
      </c>
      <c r="AI63" s="223">
        <f>IF('CONTROLE GLOBO AÇOS'!F65="","",'CONTROLE GLOBO AÇOS'!F65)</f>
        <v/>
      </c>
      <c r="AJ63" s="223">
        <f>IF(AND('CONTROLE EJ'!E65="",'CONTROLE CMM'!E65=""),"",N('CONTROLE EJ'!E65)+N('CONTROLE CMM'!E65))</f>
        <v/>
      </c>
      <c r="AK63" s="223">
        <f>IF(AND('CONTROLE EJ'!F65="",'CONTROLE CMM'!F65=""),"",N('CONTROLE EJ'!F65)+N('CONTROLE CMM'!F65))</f>
        <v/>
      </c>
      <c r="AL63" s="223">
        <f>IF(AND('CONTROLE EJ'!G65="",'CONTROLE CMM'!G65=""),"",N('CONTROLE EJ'!G65)+N('CONTROLE CMM'!G65))</f>
        <v/>
      </c>
      <c r="AM63" s="223">
        <f>IF(AND('CONTROLE EJ'!H65="",'CONTROLE CMM'!H65=""),"",N('CONTROLE EJ'!H65)+N('CONTROLE CMM'!H65))</f>
        <v/>
      </c>
      <c r="AN63" s="223">
        <f>IF('CONTROLE GLOBO AÇOS'!G65="","",'CONTROLE GLOBO AÇOS'!G65)</f>
        <v/>
      </c>
      <c r="AO63" s="223">
        <f>IF('CONTROLE GLOBO AÇOS'!H65="","",'CONTROLE GLOBO AÇOS'!H65)</f>
        <v/>
      </c>
      <c r="AP63" s="223">
        <f>IF(AND('CONTROLE EJ'!I65="",'CONTROLE CMM'!I65=""),"",N('CONTROLE EJ'!I65)+N('CONTROLE CMM'!I65))</f>
        <v/>
      </c>
      <c r="AQ63" s="223">
        <f>IF(AND('CONTROLE EJ'!J65="",'CONTROLE CMM'!#REF!=""),"",N('CONTROLE EJ'!J65)+N('CONTROLE CMM'!#REF!))</f>
        <v/>
      </c>
      <c r="AR63" s="223">
        <f>IF('CONTROLE GLOBO AÇOS'!I65="","",'CONTROLE GLOBO AÇOS'!I65)</f>
        <v/>
      </c>
      <c r="AS63" s="223">
        <f>IF('CONTROLE GLOBO AÇOS'!J65="","",'CONTROLE GLOBO AÇOS'!J65)</f>
        <v/>
      </c>
      <c r="AT63" s="223">
        <f>IF(#REF!="","",#REF!)</f>
        <v/>
      </c>
      <c r="AU63" s="223">
        <f>IF('CONTROLE GLOBO AÇOS'!K65="","",'CONTROLE GLOBO AÇOS'!K65)</f>
        <v/>
      </c>
      <c r="AV63" s="223">
        <f>IF(AND('CONTROLE EJ'!K65="",'CONTROLE CMM'!#REF!=""),"",N('CONTROLE EJ'!K65)+N('CONTROLE CMM'!#REF!))</f>
        <v/>
      </c>
      <c r="AW63" s="223">
        <f>IF('CONTROLE GLOBO AÇOS'!L65="","",'CONTROLE GLOBO AÇOS'!L65)</f>
        <v/>
      </c>
      <c r="AX63" s="223">
        <f>IF(AND('CONTROLE EJ'!L65="",'CONTROLE CMM'!#REF!=""),"",N('CONTROLE EJ'!L65)+N('CONTROLE CMM'!#REF!))</f>
        <v/>
      </c>
      <c r="AY63" s="223">
        <f>IF('CONTROLE GLOBO AÇOS'!M65="","",'CONTROLE GLOBO AÇOS'!M65)</f>
        <v/>
      </c>
      <c r="AZ63" s="223">
        <f>IF('CONTROLE GLOBO AÇOS'!N65="","",'CONTROLE GLOBO AÇOS'!N65)</f>
        <v/>
      </c>
      <c r="BA63" s="223">
        <f>IF(AND('CONTROLE EJ'!M65="",'CONTROLE CMM'!#REF!=""),"",N('CONTROLE EJ'!M65)+N('CONTROLE CMM'!#REF!))</f>
        <v/>
      </c>
      <c r="BB63" s="223">
        <f>IF(#REF!="","",#REF!)</f>
        <v/>
      </c>
      <c r="BC63" s="223">
        <f>IF('CONTROLE GLOBO AÇOS'!O65="","",'CONTROLE GLOBO AÇOS'!O65)</f>
        <v/>
      </c>
      <c r="BD63" s="223">
        <f>IF(AND('CONTROLE EJ'!N65="",'CONTROLE CMM'!#REF!=""),"",N('CONTROLE EJ'!N65)+N('CONTROLE CMM'!#REF!))</f>
        <v/>
      </c>
      <c r="BE63" s="223">
        <f>IF('CONTROLE GLOBO AÇOS'!P65="","",'CONTROLE GLOBO AÇOS'!P65)</f>
        <v/>
      </c>
      <c r="BF63" s="223">
        <f>IF('CONTROLE GLOBO AÇOS'!Q65="","",'CONTROLE GLOBO AÇOS'!Q65)</f>
        <v/>
      </c>
      <c r="BG63" s="223">
        <f>IF('CONTROLE GLOBO AÇOS'!R65="","",'CONTROLE GLOBO AÇOS'!R65)</f>
        <v/>
      </c>
      <c r="BH63" s="223">
        <f>IF(AND('CONTROLE EJ'!O65="",'CONTROLE CMM'!#REF!=""),"",N('CONTROLE EJ'!O65)+N('CONTROLE CMM'!#REF!))</f>
        <v/>
      </c>
      <c r="BI63" s="223">
        <f>IF('CONTROLE GLOBO AÇOS'!S65="","",'CONTROLE GLOBO AÇOS'!S65)</f>
        <v/>
      </c>
      <c r="BJ63" s="223">
        <f>IF('CONTROLE GLOBO AÇOS'!T65="","",'CONTROLE GLOBO AÇOS'!T65)</f>
        <v/>
      </c>
      <c r="BK63" s="223">
        <f>IF('CONTROLE GLOBO AÇOS'!U65="","",'CONTROLE GLOBO AÇOS'!U65)</f>
        <v/>
      </c>
      <c r="BL63" s="223">
        <f>IF(AND('CONTROLE EJ'!P65="",'CONTROLE CMM'!#REF!=""),"",N('CONTROLE EJ'!P65)+N('CONTROLE CMM'!#REF!))</f>
        <v/>
      </c>
      <c r="BM63" s="223">
        <f>IF(AND('CONTROLE EJ'!Q65="",'CONTROLE CMM'!#REF!=""),"",N('CONTROLE EJ'!Q65)+N('CONTROLE CMM'!#REF!))</f>
        <v/>
      </c>
      <c r="BN63" s="223">
        <f>IF('CONTROLE GLOBO AÇOS'!V65="","",'CONTROLE GLOBO AÇOS'!V65)</f>
        <v/>
      </c>
      <c r="BO63" s="223">
        <f>IF('CONTROLE GLOBO AÇOS'!W65="","",'CONTROLE GLOBO AÇOS'!W65)</f>
        <v/>
      </c>
      <c r="BP63" s="223">
        <f>IF(AND('CONTROLE EJ'!R65="",'CONTROLE CMM'!#REF!=""),"",N('CONTROLE EJ'!R65)+N('CONTROLE CMM'!#REF!))</f>
        <v/>
      </c>
      <c r="BQ63" s="223">
        <f>IF(#REF!="","",#REF!)</f>
        <v/>
      </c>
      <c r="BR63" s="223">
        <f>IF(AND('CONTROLE EJ'!S65="",'CONTROLE CMM'!#REF!=""),"",N('CONTROLE EJ'!S65)+N('CONTROLE CMM'!#REF!))</f>
        <v/>
      </c>
      <c r="BS63" s="223">
        <f>IF(AND('CONTROLE EJ'!T65="",'CONTROLE CMM'!#REF!=""),"",N('CONTROLE EJ'!T65)+N('CONTROLE CMM'!#REF!))</f>
        <v/>
      </c>
      <c r="BT63" s="223">
        <f>IF('CONTROLE GLOBO AÇOS'!X65="","",'CONTROLE GLOBO AÇOS'!X65)</f>
        <v/>
      </c>
      <c r="BU63" s="223">
        <f>IF('CONTROLE GLOBO AÇOS'!Y65="","",'CONTROLE GLOBO AÇOS'!Y65)</f>
        <v/>
      </c>
      <c r="BV63" s="223">
        <f>IF(AND('CONTROLE EJ'!U65="",'CONTROLE CMM'!#REF!=""),"",N('CONTROLE EJ'!U65)+N('CONTROLE CMM'!#REF!))</f>
        <v/>
      </c>
      <c r="BW63" s="223">
        <f>IF(#REF!="","",#REF!)</f>
        <v/>
      </c>
    </row>
    <row r="64">
      <c r="A64" s="282" t="n">
        <v>46281</v>
      </c>
      <c r="B64" s="223">
        <f>IF('CONTROLE EJ'!B66="","",'CONTROLE EJ'!B66)</f>
        <v/>
      </c>
      <c r="C64" s="223">
        <f>IF('CONTROLE EJ'!C66="","",'CONTROLE EJ'!C66)</f>
        <v/>
      </c>
      <c r="D64" s="42">
        <f>IF('CONTROLE EJ'!D66="","",'CONTROLE EJ'!D66)</f>
        <v/>
      </c>
      <c r="E64" s="44">
        <f>IF('CONTROLE CMM'!B66="","",'CONTROLE CMM'!B66)</f>
        <v/>
      </c>
      <c r="F64" s="223">
        <f>IF('CONTROLE CMM'!C66="","",'CONTROLE CMM'!C66)</f>
        <v/>
      </c>
      <c r="G64" s="42">
        <f>IF('CONTROLE CMM'!D66="","",'CONTROLE CMM'!D66)</f>
        <v/>
      </c>
      <c r="H64" s="44">
        <f>IF('CONTROLE GLOBO AÇOS'!B66="","",'CONTROLE GLOBO AÇOS'!B66)</f>
        <v/>
      </c>
      <c r="I64" s="223">
        <f>IF('CONTROLE GLOBO AÇOS'!C66="","",'CONTROLE GLOBO AÇOS'!C66)</f>
        <v/>
      </c>
      <c r="J64" s="223">
        <f>IF('CONTROLE GLOBO AÇOS'!D66="","",'CONTROLE GLOBO AÇOS'!D66)</f>
        <v/>
      </c>
      <c r="AD64" s="39">
        <f>IF($A64="",0,IF(AND(WEEKDAY($A64,2)&lt;=5,OR($B64&lt;&gt;"",$C64&lt;&gt;"",$D64&lt;&gt;"")),1,0))</f>
        <v/>
      </c>
      <c r="AE64" s="39">
        <f>IF($A64="",0,IF(AND(WEEKDAY($A64,2)&lt;=5,OR($E64&lt;&gt;"",$F64&lt;&gt;"",$G64&lt;&gt;"")),1,0))</f>
        <v/>
      </c>
      <c r="AF64" s="39">
        <f>MAX(AD64,AE64)</f>
        <v/>
      </c>
      <c r="AH64" s="223">
        <f>IF('CONTROLE GLOBO AÇOS'!E66="","",'CONTROLE GLOBO AÇOS'!E66)</f>
        <v/>
      </c>
      <c r="AI64" s="223">
        <f>IF('CONTROLE GLOBO AÇOS'!F66="","",'CONTROLE GLOBO AÇOS'!F66)</f>
        <v/>
      </c>
      <c r="AJ64" s="223">
        <f>IF(AND('CONTROLE EJ'!E66="",'CONTROLE CMM'!E66=""),"",N('CONTROLE EJ'!E66)+N('CONTROLE CMM'!E66))</f>
        <v/>
      </c>
      <c r="AK64" s="223">
        <f>IF(AND('CONTROLE EJ'!F66="",'CONTROLE CMM'!F66=""),"",N('CONTROLE EJ'!F66)+N('CONTROLE CMM'!F66))</f>
        <v/>
      </c>
      <c r="AL64" s="223">
        <f>IF(AND('CONTROLE EJ'!G66="",'CONTROLE CMM'!G66=""),"",N('CONTROLE EJ'!G66)+N('CONTROLE CMM'!G66))</f>
        <v/>
      </c>
      <c r="AM64" s="223">
        <f>IF(AND('CONTROLE EJ'!H66="",'CONTROLE CMM'!H66=""),"",N('CONTROLE EJ'!H66)+N('CONTROLE CMM'!H66))</f>
        <v/>
      </c>
      <c r="AN64" s="223">
        <f>IF('CONTROLE GLOBO AÇOS'!G66="","",'CONTROLE GLOBO AÇOS'!G66)</f>
        <v/>
      </c>
      <c r="AO64" s="223">
        <f>IF('CONTROLE GLOBO AÇOS'!H66="","",'CONTROLE GLOBO AÇOS'!H66)</f>
        <v/>
      </c>
      <c r="AP64" s="223">
        <f>IF(AND('CONTROLE EJ'!I66="",'CONTROLE CMM'!I66=""),"",N('CONTROLE EJ'!I66)+N('CONTROLE CMM'!I66))</f>
        <v/>
      </c>
      <c r="AQ64" s="223">
        <f>IF(AND('CONTROLE EJ'!J66="",'CONTROLE CMM'!#REF!=""),"",N('CONTROLE EJ'!J66)+N('CONTROLE CMM'!#REF!))</f>
        <v/>
      </c>
      <c r="AR64" s="223">
        <f>IF('CONTROLE GLOBO AÇOS'!I66="","",'CONTROLE GLOBO AÇOS'!I66)</f>
        <v/>
      </c>
      <c r="AS64" s="223">
        <f>IF('CONTROLE GLOBO AÇOS'!J66="","",'CONTROLE GLOBO AÇOS'!J66)</f>
        <v/>
      </c>
      <c r="AT64" s="223">
        <f>IF(#REF!="","",#REF!)</f>
        <v/>
      </c>
      <c r="AU64" s="223">
        <f>IF('CONTROLE GLOBO AÇOS'!K66="","",'CONTROLE GLOBO AÇOS'!K66)</f>
        <v/>
      </c>
      <c r="AV64" s="223">
        <f>IF(AND('CONTROLE EJ'!K66="",'CONTROLE CMM'!#REF!=""),"",N('CONTROLE EJ'!K66)+N('CONTROLE CMM'!#REF!))</f>
        <v/>
      </c>
      <c r="AW64" s="223">
        <f>IF('CONTROLE GLOBO AÇOS'!L66="","",'CONTROLE GLOBO AÇOS'!L66)</f>
        <v/>
      </c>
      <c r="AX64" s="223">
        <f>IF(AND('CONTROLE EJ'!L66="",'CONTROLE CMM'!#REF!=""),"",N('CONTROLE EJ'!L66)+N('CONTROLE CMM'!#REF!))</f>
        <v/>
      </c>
      <c r="AY64" s="223">
        <f>IF('CONTROLE GLOBO AÇOS'!M66="","",'CONTROLE GLOBO AÇOS'!M66)</f>
        <v/>
      </c>
      <c r="AZ64" s="223">
        <f>IF('CONTROLE GLOBO AÇOS'!N66="","",'CONTROLE GLOBO AÇOS'!N66)</f>
        <v/>
      </c>
      <c r="BA64" s="223">
        <f>IF(AND('CONTROLE EJ'!M66="",'CONTROLE CMM'!#REF!=""),"",N('CONTROLE EJ'!M66)+N('CONTROLE CMM'!#REF!))</f>
        <v/>
      </c>
      <c r="BB64" s="223">
        <f>IF(#REF!="","",#REF!)</f>
        <v/>
      </c>
      <c r="BC64" s="223">
        <f>IF('CONTROLE GLOBO AÇOS'!O66="","",'CONTROLE GLOBO AÇOS'!O66)</f>
        <v/>
      </c>
      <c r="BD64" s="223">
        <f>IF(AND('CONTROLE EJ'!N66="",'CONTROLE CMM'!#REF!=""),"",N('CONTROLE EJ'!N66)+N('CONTROLE CMM'!#REF!))</f>
        <v/>
      </c>
      <c r="BE64" s="223">
        <f>IF('CONTROLE GLOBO AÇOS'!P66="","",'CONTROLE GLOBO AÇOS'!P66)</f>
        <v/>
      </c>
      <c r="BF64" s="223">
        <f>IF('CONTROLE GLOBO AÇOS'!Q66="","",'CONTROLE GLOBO AÇOS'!Q66)</f>
        <v/>
      </c>
      <c r="BG64" s="223">
        <f>IF('CONTROLE GLOBO AÇOS'!R66="","",'CONTROLE GLOBO AÇOS'!R66)</f>
        <v/>
      </c>
      <c r="BH64" s="223">
        <f>IF(AND('CONTROLE EJ'!O66="",'CONTROLE CMM'!#REF!=""),"",N('CONTROLE EJ'!O66)+N('CONTROLE CMM'!#REF!))</f>
        <v/>
      </c>
      <c r="BI64" s="223">
        <f>IF('CONTROLE GLOBO AÇOS'!S66="","",'CONTROLE GLOBO AÇOS'!S66)</f>
        <v/>
      </c>
      <c r="BJ64" s="223">
        <f>IF('CONTROLE GLOBO AÇOS'!T66="","",'CONTROLE GLOBO AÇOS'!T66)</f>
        <v/>
      </c>
      <c r="BK64" s="223">
        <f>IF('CONTROLE GLOBO AÇOS'!U66="","",'CONTROLE GLOBO AÇOS'!U66)</f>
        <v/>
      </c>
      <c r="BL64" s="223">
        <f>IF(AND('CONTROLE EJ'!P66="",'CONTROLE CMM'!#REF!=""),"",N('CONTROLE EJ'!P66)+N('CONTROLE CMM'!#REF!))</f>
        <v/>
      </c>
      <c r="BM64" s="223">
        <f>IF(AND('CONTROLE EJ'!Q66="",'CONTROLE CMM'!#REF!=""),"",N('CONTROLE EJ'!Q66)+N('CONTROLE CMM'!#REF!))</f>
        <v/>
      </c>
      <c r="BN64" s="223">
        <f>IF('CONTROLE GLOBO AÇOS'!V66="","",'CONTROLE GLOBO AÇOS'!V66)</f>
        <v/>
      </c>
      <c r="BO64" s="223">
        <f>IF('CONTROLE GLOBO AÇOS'!W66="","",'CONTROLE GLOBO AÇOS'!W66)</f>
        <v/>
      </c>
      <c r="BP64" s="223">
        <f>IF(AND('CONTROLE EJ'!R66="",'CONTROLE CMM'!#REF!=""),"",N('CONTROLE EJ'!R66)+N('CONTROLE CMM'!#REF!))</f>
        <v/>
      </c>
      <c r="BQ64" s="223">
        <f>IF(#REF!="","",#REF!)</f>
        <v/>
      </c>
      <c r="BR64" s="223">
        <f>IF(AND('CONTROLE EJ'!S66="",'CONTROLE CMM'!#REF!=""),"",N('CONTROLE EJ'!S66)+N('CONTROLE CMM'!#REF!))</f>
        <v/>
      </c>
      <c r="BS64" s="223">
        <f>IF(AND('CONTROLE EJ'!T66="",'CONTROLE CMM'!#REF!=""),"",N('CONTROLE EJ'!T66)+N('CONTROLE CMM'!#REF!))</f>
        <v/>
      </c>
      <c r="BT64" s="223">
        <f>IF('CONTROLE GLOBO AÇOS'!X66="","",'CONTROLE GLOBO AÇOS'!X66)</f>
        <v/>
      </c>
      <c r="BU64" s="223">
        <f>IF('CONTROLE GLOBO AÇOS'!Y66="","",'CONTROLE GLOBO AÇOS'!Y66)</f>
        <v/>
      </c>
      <c r="BV64" s="223">
        <f>IF(AND('CONTROLE EJ'!U66="",'CONTROLE CMM'!#REF!=""),"",N('CONTROLE EJ'!U66)+N('CONTROLE CMM'!#REF!))</f>
        <v/>
      </c>
      <c r="BW64" s="223">
        <f>IF(#REF!="","",#REF!)</f>
        <v/>
      </c>
    </row>
    <row r="65">
      <c r="A65" s="282" t="n">
        <v>46282</v>
      </c>
      <c r="B65" s="223">
        <f>IF('CONTROLE EJ'!B67="","",'CONTROLE EJ'!B67)</f>
        <v/>
      </c>
      <c r="C65" s="223">
        <f>IF('CONTROLE EJ'!C67="","",'CONTROLE EJ'!C67)</f>
        <v/>
      </c>
      <c r="D65" s="42">
        <f>IF('CONTROLE EJ'!D67="","",'CONTROLE EJ'!D67)</f>
        <v/>
      </c>
      <c r="E65" s="44">
        <f>IF('CONTROLE CMM'!B67="","",'CONTROLE CMM'!B67)</f>
        <v/>
      </c>
      <c r="F65" s="223">
        <f>IF('CONTROLE CMM'!C67="","",'CONTROLE CMM'!C67)</f>
        <v/>
      </c>
      <c r="G65" s="42">
        <f>IF('CONTROLE CMM'!D67="","",'CONTROLE CMM'!D67)</f>
        <v/>
      </c>
      <c r="H65" s="44">
        <f>IF('CONTROLE GLOBO AÇOS'!B67="","",'CONTROLE GLOBO AÇOS'!B67)</f>
        <v/>
      </c>
      <c r="I65" s="223">
        <f>IF('CONTROLE GLOBO AÇOS'!C67="","",'CONTROLE GLOBO AÇOS'!C67)</f>
        <v/>
      </c>
      <c r="J65" s="223">
        <f>IF('CONTROLE GLOBO AÇOS'!D67="","",'CONTROLE GLOBO AÇOS'!D67)</f>
        <v/>
      </c>
      <c r="AD65" s="39">
        <f>IF($A65="",0,IF(AND(WEEKDAY($A65,2)&lt;=5,OR($B65&lt;&gt;"",$C65&lt;&gt;"",$D65&lt;&gt;"")),1,0))</f>
        <v/>
      </c>
      <c r="AE65" s="39">
        <f>IF($A65="",0,IF(AND(WEEKDAY($A65,2)&lt;=5,OR($E65&lt;&gt;"",$F65&lt;&gt;"",$G65&lt;&gt;"")),1,0))</f>
        <v/>
      </c>
      <c r="AF65" s="39">
        <f>MAX(AD65,AE65)</f>
        <v/>
      </c>
      <c r="AH65" s="223">
        <f>IF('CONTROLE GLOBO AÇOS'!E67="","",'CONTROLE GLOBO AÇOS'!E67)</f>
        <v/>
      </c>
      <c r="AI65" s="223">
        <f>IF('CONTROLE GLOBO AÇOS'!F67="","",'CONTROLE GLOBO AÇOS'!F67)</f>
        <v/>
      </c>
      <c r="AJ65" s="223">
        <f>IF(AND('CONTROLE EJ'!E67="",'CONTROLE CMM'!E67=""),"",N('CONTROLE EJ'!E67)+N('CONTROLE CMM'!E67))</f>
        <v/>
      </c>
      <c r="AK65" s="223">
        <f>IF(AND('CONTROLE EJ'!F67="",'CONTROLE CMM'!F67=""),"",N('CONTROLE EJ'!F67)+N('CONTROLE CMM'!F67))</f>
        <v/>
      </c>
      <c r="AL65" s="223">
        <f>IF(AND('CONTROLE EJ'!G67="",'CONTROLE CMM'!G67=""),"",N('CONTROLE EJ'!G67)+N('CONTROLE CMM'!G67))</f>
        <v/>
      </c>
      <c r="AM65" s="223">
        <f>IF(AND('CONTROLE EJ'!H67="",'CONTROLE CMM'!H67=""),"",N('CONTROLE EJ'!H67)+N('CONTROLE CMM'!H67))</f>
        <v/>
      </c>
      <c r="AN65" s="223">
        <f>IF('CONTROLE GLOBO AÇOS'!G67="","",'CONTROLE GLOBO AÇOS'!G67)</f>
        <v/>
      </c>
      <c r="AO65" s="223">
        <f>IF('CONTROLE GLOBO AÇOS'!H67="","",'CONTROLE GLOBO AÇOS'!H67)</f>
        <v/>
      </c>
      <c r="AP65" s="223">
        <f>IF(AND('CONTROLE EJ'!I67="",'CONTROLE CMM'!I67=""),"",N('CONTROLE EJ'!I67)+N('CONTROLE CMM'!I67))</f>
        <v/>
      </c>
      <c r="AQ65" s="223">
        <f>IF(AND('CONTROLE EJ'!J67="",'CONTROLE CMM'!#REF!=""),"",N('CONTROLE EJ'!J67)+N('CONTROLE CMM'!#REF!))</f>
        <v/>
      </c>
      <c r="AR65" s="223">
        <f>IF('CONTROLE GLOBO AÇOS'!I67="","",'CONTROLE GLOBO AÇOS'!I67)</f>
        <v/>
      </c>
      <c r="AS65" s="223">
        <f>IF('CONTROLE GLOBO AÇOS'!J67="","",'CONTROLE GLOBO AÇOS'!J67)</f>
        <v/>
      </c>
      <c r="AT65" s="223">
        <f>IF(#REF!="","",#REF!)</f>
        <v/>
      </c>
      <c r="AU65" s="223">
        <f>IF('CONTROLE GLOBO AÇOS'!K67="","",'CONTROLE GLOBO AÇOS'!K67)</f>
        <v/>
      </c>
      <c r="AV65" s="223">
        <f>IF(AND('CONTROLE EJ'!K67="",'CONTROLE CMM'!#REF!=""),"",N('CONTROLE EJ'!K67)+N('CONTROLE CMM'!#REF!))</f>
        <v/>
      </c>
      <c r="AW65" s="223">
        <f>IF('CONTROLE GLOBO AÇOS'!L67="","",'CONTROLE GLOBO AÇOS'!L67)</f>
        <v/>
      </c>
      <c r="AX65" s="223">
        <f>IF(AND('CONTROLE EJ'!L67="",'CONTROLE CMM'!#REF!=""),"",N('CONTROLE EJ'!L67)+N('CONTROLE CMM'!#REF!))</f>
        <v/>
      </c>
      <c r="AY65" s="223">
        <f>IF('CONTROLE GLOBO AÇOS'!M67="","",'CONTROLE GLOBO AÇOS'!M67)</f>
        <v/>
      </c>
      <c r="AZ65" s="223">
        <f>IF('CONTROLE GLOBO AÇOS'!N67="","",'CONTROLE GLOBO AÇOS'!N67)</f>
        <v/>
      </c>
      <c r="BA65" s="223">
        <f>IF(AND('CONTROLE EJ'!M67="",'CONTROLE CMM'!#REF!=""),"",N('CONTROLE EJ'!M67)+N('CONTROLE CMM'!#REF!))</f>
        <v/>
      </c>
      <c r="BB65" s="223">
        <f>IF(#REF!="","",#REF!)</f>
        <v/>
      </c>
      <c r="BC65" s="223">
        <f>IF('CONTROLE GLOBO AÇOS'!O67="","",'CONTROLE GLOBO AÇOS'!O67)</f>
        <v/>
      </c>
      <c r="BD65" s="223">
        <f>IF(AND('CONTROLE EJ'!N67="",'CONTROLE CMM'!#REF!=""),"",N('CONTROLE EJ'!N67)+N('CONTROLE CMM'!#REF!))</f>
        <v/>
      </c>
      <c r="BE65" s="223">
        <f>IF('CONTROLE GLOBO AÇOS'!P67="","",'CONTROLE GLOBO AÇOS'!P67)</f>
        <v/>
      </c>
      <c r="BF65" s="223">
        <f>IF('CONTROLE GLOBO AÇOS'!Q67="","",'CONTROLE GLOBO AÇOS'!Q67)</f>
        <v/>
      </c>
      <c r="BG65" s="223">
        <f>IF('CONTROLE GLOBO AÇOS'!R67="","",'CONTROLE GLOBO AÇOS'!R67)</f>
        <v/>
      </c>
      <c r="BH65" s="223">
        <f>IF(AND('CONTROLE EJ'!O67="",'CONTROLE CMM'!#REF!=""),"",N('CONTROLE EJ'!O67)+N('CONTROLE CMM'!#REF!))</f>
        <v/>
      </c>
      <c r="BI65" s="223">
        <f>IF('CONTROLE GLOBO AÇOS'!S67="","",'CONTROLE GLOBO AÇOS'!S67)</f>
        <v/>
      </c>
      <c r="BJ65" s="223">
        <f>IF('CONTROLE GLOBO AÇOS'!T67="","",'CONTROLE GLOBO AÇOS'!T67)</f>
        <v/>
      </c>
      <c r="BK65" s="223">
        <f>IF('CONTROLE GLOBO AÇOS'!U67="","",'CONTROLE GLOBO AÇOS'!U67)</f>
        <v/>
      </c>
      <c r="BL65" s="223">
        <f>IF(AND('CONTROLE EJ'!P67="",'CONTROLE CMM'!#REF!=""),"",N('CONTROLE EJ'!P67)+N('CONTROLE CMM'!#REF!))</f>
        <v/>
      </c>
      <c r="BM65" s="223">
        <f>IF(AND('CONTROLE EJ'!Q67="",'CONTROLE CMM'!#REF!=""),"",N('CONTROLE EJ'!Q67)+N('CONTROLE CMM'!#REF!))</f>
        <v/>
      </c>
      <c r="BN65" s="223">
        <f>IF('CONTROLE GLOBO AÇOS'!V67="","",'CONTROLE GLOBO AÇOS'!V67)</f>
        <v/>
      </c>
      <c r="BO65" s="223">
        <f>IF('CONTROLE GLOBO AÇOS'!W67="","",'CONTROLE GLOBO AÇOS'!W67)</f>
        <v/>
      </c>
      <c r="BP65" s="223">
        <f>IF(AND('CONTROLE EJ'!R67="",'CONTROLE CMM'!#REF!=""),"",N('CONTROLE EJ'!R67)+N('CONTROLE CMM'!#REF!))</f>
        <v/>
      </c>
      <c r="BQ65" s="223">
        <f>IF(#REF!="","",#REF!)</f>
        <v/>
      </c>
      <c r="BR65" s="223">
        <f>IF(AND('CONTROLE EJ'!S67="",'CONTROLE CMM'!#REF!=""),"",N('CONTROLE EJ'!S67)+N('CONTROLE CMM'!#REF!))</f>
        <v/>
      </c>
      <c r="BS65" s="223">
        <f>IF(AND('CONTROLE EJ'!T67="",'CONTROLE CMM'!#REF!=""),"",N('CONTROLE EJ'!T67)+N('CONTROLE CMM'!#REF!))</f>
        <v/>
      </c>
      <c r="BT65" s="223">
        <f>IF('CONTROLE GLOBO AÇOS'!X67="","",'CONTROLE GLOBO AÇOS'!X67)</f>
        <v/>
      </c>
      <c r="BU65" s="223">
        <f>IF('CONTROLE GLOBO AÇOS'!Y67="","",'CONTROLE GLOBO AÇOS'!Y67)</f>
        <v/>
      </c>
      <c r="BV65" s="223">
        <f>IF(AND('CONTROLE EJ'!U67="",'CONTROLE CMM'!#REF!=""),"",N('CONTROLE EJ'!U67)+N('CONTROLE CMM'!#REF!))</f>
        <v/>
      </c>
      <c r="BW65" s="223">
        <f>IF(#REF!="","",#REF!)</f>
        <v/>
      </c>
    </row>
    <row r="66">
      <c r="A66" s="282" t="n">
        <v>46283</v>
      </c>
      <c r="B66" s="223">
        <f>IF('CONTROLE EJ'!B68="","",'CONTROLE EJ'!B68)</f>
        <v/>
      </c>
      <c r="C66" s="223">
        <f>IF('CONTROLE EJ'!C68="","",'CONTROLE EJ'!C68)</f>
        <v/>
      </c>
      <c r="D66" s="42">
        <f>IF('CONTROLE EJ'!D68="","",'CONTROLE EJ'!D68)</f>
        <v/>
      </c>
      <c r="E66" s="44">
        <f>IF('CONTROLE CMM'!B68="","",'CONTROLE CMM'!B68)</f>
        <v/>
      </c>
      <c r="F66" s="223">
        <f>IF('CONTROLE CMM'!C68="","",'CONTROLE CMM'!C68)</f>
        <v/>
      </c>
      <c r="G66" s="42">
        <f>IF('CONTROLE CMM'!D68="","",'CONTROLE CMM'!D68)</f>
        <v/>
      </c>
      <c r="H66" s="44">
        <f>IF('CONTROLE GLOBO AÇOS'!B68="","",'CONTROLE GLOBO AÇOS'!B68)</f>
        <v/>
      </c>
      <c r="I66" s="223">
        <f>IF('CONTROLE GLOBO AÇOS'!C68="","",'CONTROLE GLOBO AÇOS'!C68)</f>
        <v/>
      </c>
      <c r="J66" s="223">
        <f>IF('CONTROLE GLOBO AÇOS'!D68="","",'CONTROLE GLOBO AÇOS'!D68)</f>
        <v/>
      </c>
      <c r="AD66" s="39">
        <f>IF($A66="",0,IF(AND(WEEKDAY($A66,2)&lt;=5,OR($B66&lt;&gt;"",$C66&lt;&gt;"",$D66&lt;&gt;"")),1,0))</f>
        <v/>
      </c>
      <c r="AE66" s="39">
        <f>IF($A66="",0,IF(AND(WEEKDAY($A66,2)&lt;=5,OR($E66&lt;&gt;"",$F66&lt;&gt;"",$G66&lt;&gt;"")),1,0))</f>
        <v/>
      </c>
      <c r="AF66" s="39">
        <f>MAX(AD66,AE66)</f>
        <v/>
      </c>
      <c r="AH66" s="223">
        <f>IF('CONTROLE GLOBO AÇOS'!E68="","",'CONTROLE GLOBO AÇOS'!E68)</f>
        <v/>
      </c>
      <c r="AI66" s="223">
        <f>IF('CONTROLE GLOBO AÇOS'!F68="","",'CONTROLE GLOBO AÇOS'!F68)</f>
        <v/>
      </c>
      <c r="AJ66" s="223">
        <f>IF(AND('CONTROLE EJ'!E68="",'CONTROLE CMM'!E68=""),"",N('CONTROLE EJ'!E68)+N('CONTROLE CMM'!E68))</f>
        <v/>
      </c>
      <c r="AK66" s="223">
        <f>IF(AND('CONTROLE EJ'!F68="",'CONTROLE CMM'!F68=""),"",N('CONTROLE EJ'!F68)+N('CONTROLE CMM'!F68))</f>
        <v/>
      </c>
      <c r="AL66" s="223">
        <f>IF(AND('CONTROLE EJ'!G68="",'CONTROLE CMM'!G68=""),"",N('CONTROLE EJ'!G68)+N('CONTROLE CMM'!G68))</f>
        <v/>
      </c>
      <c r="AM66" s="223">
        <f>IF(AND('CONTROLE EJ'!H68="",'CONTROLE CMM'!H68=""),"",N('CONTROLE EJ'!H68)+N('CONTROLE CMM'!H68))</f>
        <v/>
      </c>
      <c r="AN66" s="223">
        <f>IF('CONTROLE GLOBO AÇOS'!G68="","",'CONTROLE GLOBO AÇOS'!G68)</f>
        <v/>
      </c>
      <c r="AO66" s="223">
        <f>IF('CONTROLE GLOBO AÇOS'!H68="","",'CONTROLE GLOBO AÇOS'!H68)</f>
        <v/>
      </c>
      <c r="AP66" s="223">
        <f>IF(AND('CONTROLE EJ'!I68="",'CONTROLE CMM'!I68=""),"",N('CONTROLE EJ'!I68)+N('CONTROLE CMM'!I68))</f>
        <v/>
      </c>
      <c r="AQ66" s="223">
        <f>IF(AND('CONTROLE EJ'!J68="",'CONTROLE CMM'!#REF!=""),"",N('CONTROLE EJ'!J68)+N('CONTROLE CMM'!#REF!))</f>
        <v/>
      </c>
      <c r="AR66" s="223">
        <f>IF('CONTROLE GLOBO AÇOS'!I68="","",'CONTROLE GLOBO AÇOS'!I68)</f>
        <v/>
      </c>
      <c r="AS66" s="223">
        <f>IF('CONTROLE GLOBO AÇOS'!J68="","",'CONTROLE GLOBO AÇOS'!J68)</f>
        <v/>
      </c>
      <c r="AT66" s="223">
        <f>IF(#REF!="","",#REF!)</f>
        <v/>
      </c>
      <c r="AU66" s="223">
        <f>IF('CONTROLE GLOBO AÇOS'!K68="","",'CONTROLE GLOBO AÇOS'!K68)</f>
        <v/>
      </c>
      <c r="AV66" s="223">
        <f>IF(AND('CONTROLE EJ'!K68="",'CONTROLE CMM'!#REF!=""),"",N('CONTROLE EJ'!K68)+N('CONTROLE CMM'!#REF!))</f>
        <v/>
      </c>
      <c r="AW66" s="223">
        <f>IF('CONTROLE GLOBO AÇOS'!L68="","",'CONTROLE GLOBO AÇOS'!L68)</f>
        <v/>
      </c>
      <c r="AX66" s="223">
        <f>IF(AND('CONTROLE EJ'!L68="",'CONTROLE CMM'!#REF!=""),"",N('CONTROLE EJ'!L68)+N('CONTROLE CMM'!#REF!))</f>
        <v/>
      </c>
      <c r="AY66" s="223">
        <f>IF('CONTROLE GLOBO AÇOS'!M68="","",'CONTROLE GLOBO AÇOS'!M68)</f>
        <v/>
      </c>
      <c r="AZ66" s="223">
        <f>IF('CONTROLE GLOBO AÇOS'!N68="","",'CONTROLE GLOBO AÇOS'!N68)</f>
        <v/>
      </c>
      <c r="BA66" s="223">
        <f>IF(AND('CONTROLE EJ'!M68="",'CONTROLE CMM'!#REF!=""),"",N('CONTROLE EJ'!M68)+N('CONTROLE CMM'!#REF!))</f>
        <v/>
      </c>
      <c r="BB66" s="223">
        <f>IF(#REF!="","",#REF!)</f>
        <v/>
      </c>
      <c r="BC66" s="223">
        <f>IF('CONTROLE GLOBO AÇOS'!O68="","",'CONTROLE GLOBO AÇOS'!O68)</f>
        <v/>
      </c>
      <c r="BD66" s="223">
        <f>IF(AND('CONTROLE EJ'!N68="",'CONTROLE CMM'!#REF!=""),"",N('CONTROLE EJ'!N68)+N('CONTROLE CMM'!#REF!))</f>
        <v/>
      </c>
      <c r="BE66" s="223">
        <f>IF('CONTROLE GLOBO AÇOS'!P68="","",'CONTROLE GLOBO AÇOS'!P68)</f>
        <v/>
      </c>
      <c r="BF66" s="223">
        <f>IF('CONTROLE GLOBO AÇOS'!Q68="","",'CONTROLE GLOBO AÇOS'!Q68)</f>
        <v/>
      </c>
      <c r="BG66" s="223">
        <f>IF('CONTROLE GLOBO AÇOS'!R68="","",'CONTROLE GLOBO AÇOS'!R68)</f>
        <v/>
      </c>
      <c r="BH66" s="223">
        <f>IF(AND('CONTROLE EJ'!O68="",'CONTROLE CMM'!#REF!=""),"",N('CONTROLE EJ'!O68)+N('CONTROLE CMM'!#REF!))</f>
        <v/>
      </c>
      <c r="BI66" s="223">
        <f>IF('CONTROLE GLOBO AÇOS'!S68="","",'CONTROLE GLOBO AÇOS'!S68)</f>
        <v/>
      </c>
      <c r="BJ66" s="223">
        <f>IF('CONTROLE GLOBO AÇOS'!T68="","",'CONTROLE GLOBO AÇOS'!T68)</f>
        <v/>
      </c>
      <c r="BK66" s="223">
        <f>IF('CONTROLE GLOBO AÇOS'!U68="","",'CONTROLE GLOBO AÇOS'!U68)</f>
        <v/>
      </c>
      <c r="BL66" s="223">
        <f>IF(AND('CONTROLE EJ'!P68="",'CONTROLE CMM'!#REF!=""),"",N('CONTROLE EJ'!P68)+N('CONTROLE CMM'!#REF!))</f>
        <v/>
      </c>
      <c r="BM66" s="223">
        <f>IF(AND('CONTROLE EJ'!Q68="",'CONTROLE CMM'!#REF!=""),"",N('CONTROLE EJ'!Q68)+N('CONTROLE CMM'!#REF!))</f>
        <v/>
      </c>
      <c r="BN66" s="223">
        <f>IF('CONTROLE GLOBO AÇOS'!V68="","",'CONTROLE GLOBO AÇOS'!V68)</f>
        <v/>
      </c>
      <c r="BO66" s="223">
        <f>IF('CONTROLE GLOBO AÇOS'!W68="","",'CONTROLE GLOBO AÇOS'!W68)</f>
        <v/>
      </c>
      <c r="BP66" s="223">
        <f>IF(AND('CONTROLE EJ'!R68="",'CONTROLE CMM'!#REF!=""),"",N('CONTROLE EJ'!R68)+N('CONTROLE CMM'!#REF!))</f>
        <v/>
      </c>
      <c r="BQ66" s="223">
        <f>IF(#REF!="","",#REF!)</f>
        <v/>
      </c>
      <c r="BR66" s="223">
        <f>IF(AND('CONTROLE EJ'!S68="",'CONTROLE CMM'!#REF!=""),"",N('CONTROLE EJ'!S68)+N('CONTROLE CMM'!#REF!))</f>
        <v/>
      </c>
      <c r="BS66" s="223">
        <f>IF(AND('CONTROLE EJ'!T68="",'CONTROLE CMM'!#REF!=""),"",N('CONTROLE EJ'!T68)+N('CONTROLE CMM'!#REF!))</f>
        <v/>
      </c>
      <c r="BT66" s="223">
        <f>IF('CONTROLE GLOBO AÇOS'!X68="","",'CONTROLE GLOBO AÇOS'!X68)</f>
        <v/>
      </c>
      <c r="BU66" s="223">
        <f>IF('CONTROLE GLOBO AÇOS'!Y68="","",'CONTROLE GLOBO AÇOS'!Y68)</f>
        <v/>
      </c>
      <c r="BV66" s="223">
        <f>IF(AND('CONTROLE EJ'!U68="",'CONTROLE CMM'!#REF!=""),"",N('CONTROLE EJ'!U68)+N('CONTROLE CMM'!#REF!))</f>
        <v/>
      </c>
      <c r="BW66" s="223">
        <f>IF(#REF!="","",#REF!)</f>
        <v/>
      </c>
    </row>
    <row r="67">
      <c r="A67" s="282" t="n">
        <v>46284</v>
      </c>
      <c r="B67" s="223">
        <f>IF('CONTROLE EJ'!B69="","",'CONTROLE EJ'!B69)</f>
        <v/>
      </c>
      <c r="C67" s="223">
        <f>IF('CONTROLE EJ'!C69="","",'CONTROLE EJ'!C69)</f>
        <v/>
      </c>
      <c r="D67" s="42">
        <f>IF('CONTROLE EJ'!D69="","",'CONTROLE EJ'!D69)</f>
        <v/>
      </c>
      <c r="E67" s="44">
        <f>IF('CONTROLE CMM'!B69="","",'CONTROLE CMM'!B69)</f>
        <v/>
      </c>
      <c r="F67" s="223">
        <f>IF('CONTROLE CMM'!C69="","",'CONTROLE CMM'!C69)</f>
        <v/>
      </c>
      <c r="G67" s="42">
        <f>IF('CONTROLE CMM'!D69="","",'CONTROLE CMM'!D69)</f>
        <v/>
      </c>
      <c r="H67" s="44">
        <f>IF('CONTROLE GLOBO AÇOS'!B69="","",'CONTROLE GLOBO AÇOS'!B69)</f>
        <v/>
      </c>
      <c r="I67" s="223">
        <f>IF('CONTROLE GLOBO AÇOS'!C69="","",'CONTROLE GLOBO AÇOS'!C69)</f>
        <v/>
      </c>
      <c r="J67" s="223">
        <f>IF('CONTROLE GLOBO AÇOS'!D69="","",'CONTROLE GLOBO AÇOS'!D69)</f>
        <v/>
      </c>
      <c r="AD67" s="39">
        <f>IF($A67="",0,IF(AND(WEEKDAY($A67,2)&lt;=5,OR($B67&lt;&gt;"",$C67&lt;&gt;"",$D67&lt;&gt;"")),1,0))</f>
        <v/>
      </c>
      <c r="AE67" s="39">
        <f>IF($A67="",0,IF(AND(WEEKDAY($A67,2)&lt;=5,OR($E67&lt;&gt;"",$F67&lt;&gt;"",$G67&lt;&gt;"")),1,0))</f>
        <v/>
      </c>
      <c r="AF67" s="39">
        <f>MAX(AD67,AE67)</f>
        <v/>
      </c>
      <c r="AH67" s="223">
        <f>IF('CONTROLE GLOBO AÇOS'!E69="","",'CONTROLE GLOBO AÇOS'!E69)</f>
        <v/>
      </c>
      <c r="AI67" s="223">
        <f>IF('CONTROLE GLOBO AÇOS'!F69="","",'CONTROLE GLOBO AÇOS'!F69)</f>
        <v/>
      </c>
      <c r="AJ67" s="223">
        <f>IF(AND('CONTROLE EJ'!E69="",'CONTROLE CMM'!E69=""),"",N('CONTROLE EJ'!E69)+N('CONTROLE CMM'!E69))</f>
        <v/>
      </c>
      <c r="AK67" s="223">
        <f>IF(AND('CONTROLE EJ'!F69="",'CONTROLE CMM'!F69=""),"",N('CONTROLE EJ'!F69)+N('CONTROLE CMM'!F69))</f>
        <v/>
      </c>
      <c r="AL67" s="223">
        <f>IF(AND('CONTROLE EJ'!G69="",'CONTROLE CMM'!G69=""),"",N('CONTROLE EJ'!G69)+N('CONTROLE CMM'!G69))</f>
        <v/>
      </c>
      <c r="AM67" s="223">
        <f>IF(AND('CONTROLE EJ'!H69="",'CONTROLE CMM'!H69=""),"",N('CONTROLE EJ'!H69)+N('CONTROLE CMM'!H69))</f>
        <v/>
      </c>
      <c r="AN67" s="223">
        <f>IF('CONTROLE GLOBO AÇOS'!G69="","",'CONTROLE GLOBO AÇOS'!G69)</f>
        <v/>
      </c>
      <c r="AO67" s="223">
        <f>IF('CONTROLE GLOBO AÇOS'!H69="","",'CONTROLE GLOBO AÇOS'!H69)</f>
        <v/>
      </c>
      <c r="AP67" s="223">
        <f>IF(AND('CONTROLE EJ'!I69="",'CONTROLE CMM'!I69=""),"",N('CONTROLE EJ'!I69)+N('CONTROLE CMM'!I69))</f>
        <v/>
      </c>
      <c r="AQ67" s="223">
        <f>IF(AND('CONTROLE EJ'!J69="",'CONTROLE CMM'!#REF!=""),"",N('CONTROLE EJ'!J69)+N('CONTROLE CMM'!#REF!))</f>
        <v/>
      </c>
      <c r="AR67" s="223">
        <f>IF('CONTROLE GLOBO AÇOS'!I69="","",'CONTROLE GLOBO AÇOS'!I69)</f>
        <v/>
      </c>
      <c r="AS67" s="223">
        <f>IF('CONTROLE GLOBO AÇOS'!J69="","",'CONTROLE GLOBO AÇOS'!J69)</f>
        <v/>
      </c>
      <c r="AT67" s="223">
        <f>IF(#REF!="","",#REF!)</f>
        <v/>
      </c>
      <c r="AU67" s="223">
        <f>IF('CONTROLE GLOBO AÇOS'!K69="","",'CONTROLE GLOBO AÇOS'!K69)</f>
        <v/>
      </c>
      <c r="AV67" s="223">
        <f>IF(AND('CONTROLE EJ'!K69="",'CONTROLE CMM'!#REF!=""),"",N('CONTROLE EJ'!K69)+N('CONTROLE CMM'!#REF!))</f>
        <v/>
      </c>
      <c r="AW67" s="223">
        <f>IF('CONTROLE GLOBO AÇOS'!L69="","",'CONTROLE GLOBO AÇOS'!L69)</f>
        <v/>
      </c>
      <c r="AX67" s="223">
        <f>IF(AND('CONTROLE EJ'!L69="",'CONTROLE CMM'!#REF!=""),"",N('CONTROLE EJ'!L69)+N('CONTROLE CMM'!#REF!))</f>
        <v/>
      </c>
      <c r="AY67" s="223">
        <f>IF('CONTROLE GLOBO AÇOS'!M69="","",'CONTROLE GLOBO AÇOS'!M69)</f>
        <v/>
      </c>
      <c r="AZ67" s="223">
        <f>IF('CONTROLE GLOBO AÇOS'!N69="","",'CONTROLE GLOBO AÇOS'!N69)</f>
        <v/>
      </c>
      <c r="BA67" s="223">
        <f>IF(AND('CONTROLE EJ'!M69="",'CONTROLE CMM'!#REF!=""),"",N('CONTROLE EJ'!M69)+N('CONTROLE CMM'!#REF!))</f>
        <v/>
      </c>
      <c r="BB67" s="223">
        <f>IF(#REF!="","",#REF!)</f>
        <v/>
      </c>
      <c r="BC67" s="223">
        <f>IF('CONTROLE GLOBO AÇOS'!O69="","",'CONTROLE GLOBO AÇOS'!O69)</f>
        <v/>
      </c>
      <c r="BD67" s="223">
        <f>IF(AND('CONTROLE EJ'!N69="",'CONTROLE CMM'!#REF!=""),"",N('CONTROLE EJ'!N69)+N('CONTROLE CMM'!#REF!))</f>
        <v/>
      </c>
      <c r="BE67" s="223">
        <f>IF('CONTROLE GLOBO AÇOS'!P69="","",'CONTROLE GLOBO AÇOS'!P69)</f>
        <v/>
      </c>
      <c r="BF67" s="223">
        <f>IF('CONTROLE GLOBO AÇOS'!Q69="","",'CONTROLE GLOBO AÇOS'!Q69)</f>
        <v/>
      </c>
      <c r="BG67" s="223">
        <f>IF('CONTROLE GLOBO AÇOS'!R69="","",'CONTROLE GLOBO AÇOS'!R69)</f>
        <v/>
      </c>
      <c r="BH67" s="223">
        <f>IF(AND('CONTROLE EJ'!O69="",'CONTROLE CMM'!#REF!=""),"",N('CONTROLE EJ'!O69)+N('CONTROLE CMM'!#REF!))</f>
        <v/>
      </c>
      <c r="BI67" s="223">
        <f>IF('CONTROLE GLOBO AÇOS'!S69="","",'CONTROLE GLOBO AÇOS'!S69)</f>
        <v/>
      </c>
      <c r="BJ67" s="223">
        <f>IF('CONTROLE GLOBO AÇOS'!T69="","",'CONTROLE GLOBO AÇOS'!T69)</f>
        <v/>
      </c>
      <c r="BK67" s="223">
        <f>IF('CONTROLE GLOBO AÇOS'!U69="","",'CONTROLE GLOBO AÇOS'!U69)</f>
        <v/>
      </c>
      <c r="BL67" s="223">
        <f>IF(AND('CONTROLE EJ'!P69="",'CONTROLE CMM'!#REF!=""),"",N('CONTROLE EJ'!P69)+N('CONTROLE CMM'!#REF!))</f>
        <v/>
      </c>
      <c r="BM67" s="223">
        <f>IF(AND('CONTROLE EJ'!Q69="",'CONTROLE CMM'!#REF!=""),"",N('CONTROLE EJ'!Q69)+N('CONTROLE CMM'!#REF!))</f>
        <v/>
      </c>
      <c r="BN67" s="223">
        <f>IF('CONTROLE GLOBO AÇOS'!V69="","",'CONTROLE GLOBO AÇOS'!V69)</f>
        <v/>
      </c>
      <c r="BO67" s="223">
        <f>IF('CONTROLE GLOBO AÇOS'!W69="","",'CONTROLE GLOBO AÇOS'!W69)</f>
        <v/>
      </c>
      <c r="BP67" s="223">
        <f>IF(AND('CONTROLE EJ'!R69="",'CONTROLE CMM'!#REF!=""),"",N('CONTROLE EJ'!R69)+N('CONTROLE CMM'!#REF!))</f>
        <v/>
      </c>
      <c r="BQ67" s="223">
        <f>IF(#REF!="","",#REF!)</f>
        <v/>
      </c>
      <c r="BR67" s="223">
        <f>IF(AND('CONTROLE EJ'!S69="",'CONTROLE CMM'!#REF!=""),"",N('CONTROLE EJ'!S69)+N('CONTROLE CMM'!#REF!))</f>
        <v/>
      </c>
      <c r="BS67" s="223">
        <f>IF(AND('CONTROLE EJ'!T69="",'CONTROLE CMM'!#REF!=""),"",N('CONTROLE EJ'!T69)+N('CONTROLE CMM'!#REF!))</f>
        <v/>
      </c>
      <c r="BT67" s="223">
        <f>IF('CONTROLE GLOBO AÇOS'!X69="","",'CONTROLE GLOBO AÇOS'!X69)</f>
        <v/>
      </c>
      <c r="BU67" s="223">
        <f>IF('CONTROLE GLOBO AÇOS'!Y69="","",'CONTROLE GLOBO AÇOS'!Y69)</f>
        <v/>
      </c>
      <c r="BV67" s="223">
        <f>IF(AND('CONTROLE EJ'!U69="",'CONTROLE CMM'!#REF!=""),"",N('CONTROLE EJ'!U69)+N('CONTROLE CMM'!#REF!))</f>
        <v/>
      </c>
      <c r="BW67" s="223">
        <f>IF(#REF!="","",#REF!)</f>
        <v/>
      </c>
    </row>
    <row r="68">
      <c r="A68" s="282" t="n">
        <v>46285</v>
      </c>
      <c r="B68" s="223">
        <f>IF('CONTROLE EJ'!B70="","",'CONTROLE EJ'!B70)</f>
        <v/>
      </c>
      <c r="C68" s="223">
        <f>IF('CONTROLE EJ'!C70="","",'CONTROLE EJ'!C70)</f>
        <v/>
      </c>
      <c r="D68" s="42">
        <f>IF('CONTROLE EJ'!D70="","",'CONTROLE EJ'!D70)</f>
        <v/>
      </c>
      <c r="E68" s="44">
        <f>IF('CONTROLE CMM'!B70="","",'CONTROLE CMM'!B70)</f>
        <v/>
      </c>
      <c r="F68" s="223">
        <f>IF('CONTROLE CMM'!C70="","",'CONTROLE CMM'!C70)</f>
        <v/>
      </c>
      <c r="G68" s="42">
        <f>IF('CONTROLE CMM'!D70="","",'CONTROLE CMM'!D70)</f>
        <v/>
      </c>
      <c r="H68" s="44">
        <f>IF('CONTROLE GLOBO AÇOS'!B70="","",'CONTROLE GLOBO AÇOS'!B70)</f>
        <v/>
      </c>
      <c r="I68" s="223">
        <f>IF('CONTROLE GLOBO AÇOS'!C70="","",'CONTROLE GLOBO AÇOS'!C70)</f>
        <v/>
      </c>
      <c r="J68" s="223">
        <f>IF('CONTROLE GLOBO AÇOS'!D70="","",'CONTROLE GLOBO AÇOS'!D70)</f>
        <v/>
      </c>
      <c r="AD68" s="39">
        <f>IF($A68="",0,IF(AND(WEEKDAY($A68,2)&lt;=5,OR($B68&lt;&gt;"",$C68&lt;&gt;"",$D68&lt;&gt;"")),1,0))</f>
        <v/>
      </c>
      <c r="AE68" s="39">
        <f>IF($A68="",0,IF(AND(WEEKDAY($A68,2)&lt;=5,OR($E68&lt;&gt;"",$F68&lt;&gt;"",$G68&lt;&gt;"")),1,0))</f>
        <v/>
      </c>
      <c r="AF68" s="39">
        <f>MAX(AD68,AE68)</f>
        <v/>
      </c>
      <c r="AH68" s="223">
        <f>IF('CONTROLE GLOBO AÇOS'!E70="","",'CONTROLE GLOBO AÇOS'!E70)</f>
        <v/>
      </c>
      <c r="AI68" s="223">
        <f>IF('CONTROLE GLOBO AÇOS'!F70="","",'CONTROLE GLOBO AÇOS'!F70)</f>
        <v/>
      </c>
      <c r="AJ68" s="223">
        <f>IF(AND('CONTROLE EJ'!E70="",'CONTROLE CMM'!E70=""),"",N('CONTROLE EJ'!E70)+N('CONTROLE CMM'!E70))</f>
        <v/>
      </c>
      <c r="AK68" s="223">
        <f>IF(AND('CONTROLE EJ'!F70="",'CONTROLE CMM'!F70=""),"",N('CONTROLE EJ'!F70)+N('CONTROLE CMM'!F70))</f>
        <v/>
      </c>
      <c r="AL68" s="223">
        <f>IF(AND('CONTROLE EJ'!G70="",'CONTROLE CMM'!G70=""),"",N('CONTROLE EJ'!G70)+N('CONTROLE CMM'!G70))</f>
        <v/>
      </c>
      <c r="AM68" s="223">
        <f>IF(AND('CONTROLE EJ'!H70="",'CONTROLE CMM'!H70=""),"",N('CONTROLE EJ'!H70)+N('CONTROLE CMM'!H70))</f>
        <v/>
      </c>
      <c r="AN68" s="223">
        <f>IF('CONTROLE GLOBO AÇOS'!G70="","",'CONTROLE GLOBO AÇOS'!G70)</f>
        <v/>
      </c>
      <c r="AO68" s="223">
        <f>IF('CONTROLE GLOBO AÇOS'!H70="","",'CONTROLE GLOBO AÇOS'!H70)</f>
        <v/>
      </c>
      <c r="AP68" s="223">
        <f>IF(AND('CONTROLE EJ'!I70="",'CONTROLE CMM'!I70=""),"",N('CONTROLE EJ'!I70)+N('CONTROLE CMM'!I70))</f>
        <v/>
      </c>
      <c r="AQ68" s="223">
        <f>IF(AND('CONTROLE EJ'!J70="",'CONTROLE CMM'!#REF!=""),"",N('CONTROLE EJ'!J70)+N('CONTROLE CMM'!#REF!))</f>
        <v/>
      </c>
      <c r="AR68" s="223">
        <f>IF('CONTROLE GLOBO AÇOS'!I70="","",'CONTROLE GLOBO AÇOS'!I70)</f>
        <v/>
      </c>
      <c r="AS68" s="223">
        <f>IF('CONTROLE GLOBO AÇOS'!J70="","",'CONTROLE GLOBO AÇOS'!J70)</f>
        <v/>
      </c>
      <c r="AT68" s="223">
        <f>IF(#REF!="","",#REF!)</f>
        <v/>
      </c>
      <c r="AU68" s="223">
        <f>IF('CONTROLE GLOBO AÇOS'!K70="","",'CONTROLE GLOBO AÇOS'!K70)</f>
        <v/>
      </c>
      <c r="AV68" s="223">
        <f>IF(AND('CONTROLE EJ'!K70="",'CONTROLE CMM'!#REF!=""),"",N('CONTROLE EJ'!K70)+N('CONTROLE CMM'!#REF!))</f>
        <v/>
      </c>
      <c r="AW68" s="223">
        <f>IF('CONTROLE GLOBO AÇOS'!L70="","",'CONTROLE GLOBO AÇOS'!L70)</f>
        <v/>
      </c>
      <c r="AX68" s="223">
        <f>IF(AND('CONTROLE EJ'!L70="",'CONTROLE CMM'!#REF!=""),"",N('CONTROLE EJ'!L70)+N('CONTROLE CMM'!#REF!))</f>
        <v/>
      </c>
      <c r="AY68" s="223">
        <f>IF('CONTROLE GLOBO AÇOS'!M70="","",'CONTROLE GLOBO AÇOS'!M70)</f>
        <v/>
      </c>
      <c r="AZ68" s="223">
        <f>IF('CONTROLE GLOBO AÇOS'!N70="","",'CONTROLE GLOBO AÇOS'!N70)</f>
        <v/>
      </c>
      <c r="BA68" s="223">
        <f>IF(AND('CONTROLE EJ'!M70="",'CONTROLE CMM'!#REF!=""),"",N('CONTROLE EJ'!M70)+N('CONTROLE CMM'!#REF!))</f>
        <v/>
      </c>
      <c r="BB68" s="223">
        <f>IF(#REF!="","",#REF!)</f>
        <v/>
      </c>
      <c r="BC68" s="223">
        <f>IF('CONTROLE GLOBO AÇOS'!O70="","",'CONTROLE GLOBO AÇOS'!O70)</f>
        <v/>
      </c>
      <c r="BD68" s="223">
        <f>IF(AND('CONTROLE EJ'!N70="",'CONTROLE CMM'!#REF!=""),"",N('CONTROLE EJ'!N70)+N('CONTROLE CMM'!#REF!))</f>
        <v/>
      </c>
      <c r="BE68" s="223">
        <f>IF('CONTROLE GLOBO AÇOS'!P70="","",'CONTROLE GLOBO AÇOS'!P70)</f>
        <v/>
      </c>
      <c r="BF68" s="223">
        <f>IF('CONTROLE GLOBO AÇOS'!Q70="","",'CONTROLE GLOBO AÇOS'!Q70)</f>
        <v/>
      </c>
      <c r="BG68" s="223">
        <f>IF('CONTROLE GLOBO AÇOS'!R70="","",'CONTROLE GLOBO AÇOS'!R70)</f>
        <v/>
      </c>
      <c r="BH68" s="223">
        <f>IF(AND('CONTROLE EJ'!O70="",'CONTROLE CMM'!#REF!=""),"",N('CONTROLE EJ'!O70)+N('CONTROLE CMM'!#REF!))</f>
        <v/>
      </c>
      <c r="BI68" s="223">
        <f>IF('CONTROLE GLOBO AÇOS'!S70="","",'CONTROLE GLOBO AÇOS'!S70)</f>
        <v/>
      </c>
      <c r="BJ68" s="223">
        <f>IF('CONTROLE GLOBO AÇOS'!T70="","",'CONTROLE GLOBO AÇOS'!T70)</f>
        <v/>
      </c>
      <c r="BK68" s="223">
        <f>IF('CONTROLE GLOBO AÇOS'!U70="","",'CONTROLE GLOBO AÇOS'!U70)</f>
        <v/>
      </c>
      <c r="BL68" s="223">
        <f>IF(AND('CONTROLE EJ'!P70="",'CONTROLE CMM'!#REF!=""),"",N('CONTROLE EJ'!P70)+N('CONTROLE CMM'!#REF!))</f>
        <v/>
      </c>
      <c r="BM68" s="223">
        <f>IF(AND('CONTROLE EJ'!Q70="",'CONTROLE CMM'!#REF!=""),"",N('CONTROLE EJ'!Q70)+N('CONTROLE CMM'!#REF!))</f>
        <v/>
      </c>
      <c r="BN68" s="223">
        <f>IF('CONTROLE GLOBO AÇOS'!V70="","",'CONTROLE GLOBO AÇOS'!V70)</f>
        <v/>
      </c>
      <c r="BO68" s="223">
        <f>IF('CONTROLE GLOBO AÇOS'!W70="","",'CONTROLE GLOBO AÇOS'!W70)</f>
        <v/>
      </c>
      <c r="BP68" s="223">
        <f>IF(AND('CONTROLE EJ'!R70="",'CONTROLE CMM'!#REF!=""),"",N('CONTROLE EJ'!R70)+N('CONTROLE CMM'!#REF!))</f>
        <v/>
      </c>
      <c r="BQ68" s="223">
        <f>IF(#REF!="","",#REF!)</f>
        <v/>
      </c>
      <c r="BR68" s="223">
        <f>IF(AND('CONTROLE EJ'!S70="",'CONTROLE CMM'!#REF!=""),"",N('CONTROLE EJ'!S70)+N('CONTROLE CMM'!#REF!))</f>
        <v/>
      </c>
      <c r="BS68" s="223">
        <f>IF(AND('CONTROLE EJ'!T70="",'CONTROLE CMM'!#REF!=""),"",N('CONTROLE EJ'!T70)+N('CONTROLE CMM'!#REF!))</f>
        <v/>
      </c>
      <c r="BT68" s="223">
        <f>IF('CONTROLE GLOBO AÇOS'!X70="","",'CONTROLE GLOBO AÇOS'!X70)</f>
        <v/>
      </c>
      <c r="BU68" s="223">
        <f>IF('CONTROLE GLOBO AÇOS'!Y70="","",'CONTROLE GLOBO AÇOS'!Y70)</f>
        <v/>
      </c>
      <c r="BV68" s="223">
        <f>IF(AND('CONTROLE EJ'!U70="",'CONTROLE CMM'!#REF!=""),"",N('CONTROLE EJ'!U70)+N('CONTROLE CMM'!#REF!))</f>
        <v/>
      </c>
      <c r="BW68" s="223">
        <f>IF(#REF!="","",#REF!)</f>
        <v/>
      </c>
    </row>
    <row r="69">
      <c r="A69" s="282" t="n">
        <v>46286</v>
      </c>
      <c r="B69" s="223">
        <f>IF('CONTROLE EJ'!B71="","",'CONTROLE EJ'!B71)</f>
        <v/>
      </c>
      <c r="C69" s="223">
        <f>IF('CONTROLE EJ'!C71="","",'CONTROLE EJ'!C71)</f>
        <v/>
      </c>
      <c r="D69" s="42">
        <f>IF('CONTROLE EJ'!D71="","",'CONTROLE EJ'!D71)</f>
        <v/>
      </c>
      <c r="E69" s="44">
        <f>IF('CONTROLE CMM'!B71="","",'CONTROLE CMM'!B71)</f>
        <v/>
      </c>
      <c r="F69" s="223">
        <f>IF('CONTROLE CMM'!C71="","",'CONTROLE CMM'!C71)</f>
        <v/>
      </c>
      <c r="G69" s="42">
        <f>IF('CONTROLE CMM'!D71="","",'CONTROLE CMM'!D71)</f>
        <v/>
      </c>
      <c r="H69" s="44">
        <f>IF('CONTROLE GLOBO AÇOS'!B71="","",'CONTROLE GLOBO AÇOS'!B71)</f>
        <v/>
      </c>
      <c r="I69" s="223">
        <f>IF('CONTROLE GLOBO AÇOS'!C71="","",'CONTROLE GLOBO AÇOS'!C71)</f>
        <v/>
      </c>
      <c r="J69" s="223">
        <f>IF('CONTROLE GLOBO AÇOS'!D71="","",'CONTROLE GLOBO AÇOS'!D71)</f>
        <v/>
      </c>
      <c r="AD69" s="39">
        <f>IF($A69="",0,IF(AND(WEEKDAY($A69,2)&lt;=5,OR($B69&lt;&gt;"",$C69&lt;&gt;"",$D69&lt;&gt;"")),1,0))</f>
        <v/>
      </c>
      <c r="AE69" s="39">
        <f>IF($A69="",0,IF(AND(WEEKDAY($A69,2)&lt;=5,OR($E69&lt;&gt;"",$F69&lt;&gt;"",$G69&lt;&gt;"")),1,0))</f>
        <v/>
      </c>
      <c r="AF69" s="39">
        <f>MAX(AD69,AE69)</f>
        <v/>
      </c>
      <c r="AH69" s="223">
        <f>IF('CONTROLE GLOBO AÇOS'!E71="","",'CONTROLE GLOBO AÇOS'!E71)</f>
        <v/>
      </c>
      <c r="AI69" s="223">
        <f>IF('CONTROLE GLOBO AÇOS'!F71="","",'CONTROLE GLOBO AÇOS'!F71)</f>
        <v/>
      </c>
      <c r="AJ69" s="223">
        <f>IF(AND('CONTROLE EJ'!E71="",'CONTROLE CMM'!E71=""),"",N('CONTROLE EJ'!E71)+N('CONTROLE CMM'!E71))</f>
        <v/>
      </c>
      <c r="AK69" s="223">
        <f>IF(AND('CONTROLE EJ'!F71="",'CONTROLE CMM'!F71=""),"",N('CONTROLE EJ'!F71)+N('CONTROLE CMM'!F71))</f>
        <v/>
      </c>
      <c r="AL69" s="223">
        <f>IF(AND('CONTROLE EJ'!G71="",'CONTROLE CMM'!G71=""),"",N('CONTROLE EJ'!G71)+N('CONTROLE CMM'!G71))</f>
        <v/>
      </c>
      <c r="AM69" s="223">
        <f>IF(AND('CONTROLE EJ'!H71="",'CONTROLE CMM'!H71=""),"",N('CONTROLE EJ'!H71)+N('CONTROLE CMM'!H71))</f>
        <v/>
      </c>
      <c r="AN69" s="223">
        <f>IF('CONTROLE GLOBO AÇOS'!G71="","",'CONTROLE GLOBO AÇOS'!G71)</f>
        <v/>
      </c>
      <c r="AO69" s="223">
        <f>IF('CONTROLE GLOBO AÇOS'!H71="","",'CONTROLE GLOBO AÇOS'!H71)</f>
        <v/>
      </c>
      <c r="AP69" s="223">
        <f>IF(AND('CONTROLE EJ'!I71="",'CONTROLE CMM'!I71=""),"",N('CONTROLE EJ'!I71)+N('CONTROLE CMM'!I71))</f>
        <v/>
      </c>
      <c r="AQ69" s="223">
        <f>IF(AND('CONTROLE EJ'!J71="",'CONTROLE CMM'!#REF!=""),"",N('CONTROLE EJ'!J71)+N('CONTROLE CMM'!#REF!))</f>
        <v/>
      </c>
      <c r="AR69" s="223">
        <f>IF('CONTROLE GLOBO AÇOS'!I71="","",'CONTROLE GLOBO AÇOS'!I71)</f>
        <v/>
      </c>
      <c r="AS69" s="223">
        <f>IF('CONTROLE GLOBO AÇOS'!J71="","",'CONTROLE GLOBO AÇOS'!J71)</f>
        <v/>
      </c>
      <c r="AT69" s="223">
        <f>IF(#REF!="","",#REF!)</f>
        <v/>
      </c>
      <c r="AU69" s="223">
        <f>IF('CONTROLE GLOBO AÇOS'!K71="","",'CONTROLE GLOBO AÇOS'!K71)</f>
        <v/>
      </c>
      <c r="AV69" s="223">
        <f>IF(AND('CONTROLE EJ'!K71="",'CONTROLE CMM'!#REF!=""),"",N('CONTROLE EJ'!K71)+N('CONTROLE CMM'!#REF!))</f>
        <v/>
      </c>
      <c r="AW69" s="223">
        <f>IF('CONTROLE GLOBO AÇOS'!L71="","",'CONTROLE GLOBO AÇOS'!L71)</f>
        <v/>
      </c>
      <c r="AX69" s="223">
        <f>IF(AND('CONTROLE EJ'!L71="",'CONTROLE CMM'!#REF!=""),"",N('CONTROLE EJ'!L71)+N('CONTROLE CMM'!#REF!))</f>
        <v/>
      </c>
      <c r="AY69" s="223">
        <f>IF('CONTROLE GLOBO AÇOS'!M71="","",'CONTROLE GLOBO AÇOS'!M71)</f>
        <v/>
      </c>
      <c r="AZ69" s="223">
        <f>IF('CONTROLE GLOBO AÇOS'!N71="","",'CONTROLE GLOBO AÇOS'!N71)</f>
        <v/>
      </c>
      <c r="BA69" s="223">
        <f>IF(AND('CONTROLE EJ'!M71="",'CONTROLE CMM'!#REF!=""),"",N('CONTROLE EJ'!M71)+N('CONTROLE CMM'!#REF!))</f>
        <v/>
      </c>
      <c r="BB69" s="223">
        <f>IF(#REF!="","",#REF!)</f>
        <v/>
      </c>
      <c r="BC69" s="223">
        <f>IF('CONTROLE GLOBO AÇOS'!O71="","",'CONTROLE GLOBO AÇOS'!O71)</f>
        <v/>
      </c>
      <c r="BD69" s="223">
        <f>IF(AND('CONTROLE EJ'!N71="",'CONTROLE CMM'!#REF!=""),"",N('CONTROLE EJ'!N71)+N('CONTROLE CMM'!#REF!))</f>
        <v/>
      </c>
      <c r="BE69" s="223">
        <f>IF('CONTROLE GLOBO AÇOS'!P71="","",'CONTROLE GLOBO AÇOS'!P71)</f>
        <v/>
      </c>
      <c r="BF69" s="223">
        <f>IF('CONTROLE GLOBO AÇOS'!Q71="","",'CONTROLE GLOBO AÇOS'!Q71)</f>
        <v/>
      </c>
      <c r="BG69" s="223">
        <f>IF('CONTROLE GLOBO AÇOS'!R71="","",'CONTROLE GLOBO AÇOS'!R71)</f>
        <v/>
      </c>
      <c r="BH69" s="223">
        <f>IF(AND('CONTROLE EJ'!O71="",'CONTROLE CMM'!#REF!=""),"",N('CONTROLE EJ'!O71)+N('CONTROLE CMM'!#REF!))</f>
        <v/>
      </c>
      <c r="BI69" s="223">
        <f>IF('CONTROLE GLOBO AÇOS'!S71="","",'CONTROLE GLOBO AÇOS'!S71)</f>
        <v/>
      </c>
      <c r="BJ69" s="223">
        <f>IF('CONTROLE GLOBO AÇOS'!T71="","",'CONTROLE GLOBO AÇOS'!T71)</f>
        <v/>
      </c>
      <c r="BK69" s="223">
        <f>IF('CONTROLE GLOBO AÇOS'!U71="","",'CONTROLE GLOBO AÇOS'!U71)</f>
        <v/>
      </c>
      <c r="BL69" s="223">
        <f>IF(AND('CONTROLE EJ'!P71="",'CONTROLE CMM'!#REF!=""),"",N('CONTROLE EJ'!P71)+N('CONTROLE CMM'!#REF!))</f>
        <v/>
      </c>
      <c r="BM69" s="223">
        <f>IF(AND('CONTROLE EJ'!Q71="",'CONTROLE CMM'!#REF!=""),"",N('CONTROLE EJ'!Q71)+N('CONTROLE CMM'!#REF!))</f>
        <v/>
      </c>
      <c r="BN69" s="223">
        <f>IF('CONTROLE GLOBO AÇOS'!V71="","",'CONTROLE GLOBO AÇOS'!V71)</f>
        <v/>
      </c>
      <c r="BO69" s="223">
        <f>IF('CONTROLE GLOBO AÇOS'!W71="","",'CONTROLE GLOBO AÇOS'!W71)</f>
        <v/>
      </c>
      <c r="BP69" s="223">
        <f>IF(AND('CONTROLE EJ'!R71="",'CONTROLE CMM'!#REF!=""),"",N('CONTROLE EJ'!R71)+N('CONTROLE CMM'!#REF!))</f>
        <v/>
      </c>
      <c r="BQ69" s="223">
        <f>IF(#REF!="","",#REF!)</f>
        <v/>
      </c>
      <c r="BR69" s="223">
        <f>IF(AND('CONTROLE EJ'!S71="",'CONTROLE CMM'!#REF!=""),"",N('CONTROLE EJ'!S71)+N('CONTROLE CMM'!#REF!))</f>
        <v/>
      </c>
      <c r="BS69" s="223">
        <f>IF(AND('CONTROLE EJ'!T71="",'CONTROLE CMM'!#REF!=""),"",N('CONTROLE EJ'!T71)+N('CONTROLE CMM'!#REF!))</f>
        <v/>
      </c>
      <c r="BT69" s="223">
        <f>IF('CONTROLE GLOBO AÇOS'!X71="","",'CONTROLE GLOBO AÇOS'!X71)</f>
        <v/>
      </c>
      <c r="BU69" s="223">
        <f>IF('CONTROLE GLOBO AÇOS'!Y71="","",'CONTROLE GLOBO AÇOS'!Y71)</f>
        <v/>
      </c>
      <c r="BV69" s="223">
        <f>IF(AND('CONTROLE EJ'!U71="",'CONTROLE CMM'!#REF!=""),"",N('CONTROLE EJ'!U71)+N('CONTROLE CMM'!#REF!))</f>
        <v/>
      </c>
      <c r="BW69" s="223">
        <f>IF(#REF!="","",#REF!)</f>
        <v/>
      </c>
    </row>
    <row r="70">
      <c r="A70" s="282" t="n">
        <v>46287</v>
      </c>
      <c r="B70" s="223">
        <f>IF('CONTROLE EJ'!B72="","",'CONTROLE EJ'!B72)</f>
        <v/>
      </c>
      <c r="C70" s="223">
        <f>IF('CONTROLE EJ'!C72="","",'CONTROLE EJ'!C72)</f>
        <v/>
      </c>
      <c r="D70" s="42">
        <f>IF('CONTROLE EJ'!D72="","",'CONTROLE EJ'!D72)</f>
        <v/>
      </c>
      <c r="E70" s="44">
        <f>IF('CONTROLE CMM'!B72="","",'CONTROLE CMM'!B72)</f>
        <v/>
      </c>
      <c r="F70" s="223">
        <f>IF('CONTROLE CMM'!C72="","",'CONTROLE CMM'!C72)</f>
        <v/>
      </c>
      <c r="G70" s="42">
        <f>IF('CONTROLE CMM'!D72="","",'CONTROLE CMM'!D72)</f>
        <v/>
      </c>
      <c r="H70" s="44">
        <f>IF('CONTROLE GLOBO AÇOS'!B72="","",'CONTROLE GLOBO AÇOS'!B72)</f>
        <v/>
      </c>
      <c r="I70" s="223">
        <f>IF('CONTROLE GLOBO AÇOS'!C72="","",'CONTROLE GLOBO AÇOS'!C72)</f>
        <v/>
      </c>
      <c r="J70" s="223">
        <f>IF('CONTROLE GLOBO AÇOS'!D72="","",'CONTROLE GLOBO AÇOS'!D72)</f>
        <v/>
      </c>
      <c r="AD70" s="39">
        <f>IF($A70="",0,IF(AND(WEEKDAY($A70,2)&lt;=5,OR($B70&lt;&gt;"",$C70&lt;&gt;"",$D70&lt;&gt;"")),1,0))</f>
        <v/>
      </c>
      <c r="AE70" s="39">
        <f>IF($A70="",0,IF(AND(WEEKDAY($A70,2)&lt;=5,OR($E70&lt;&gt;"",$F70&lt;&gt;"",$G70&lt;&gt;"")),1,0))</f>
        <v/>
      </c>
      <c r="AF70" s="39">
        <f>MAX(AD70,AE70)</f>
        <v/>
      </c>
      <c r="AH70" s="223">
        <f>IF('CONTROLE GLOBO AÇOS'!E72="","",'CONTROLE GLOBO AÇOS'!E72)</f>
        <v/>
      </c>
      <c r="AI70" s="223">
        <f>IF('CONTROLE GLOBO AÇOS'!F72="","",'CONTROLE GLOBO AÇOS'!F72)</f>
        <v/>
      </c>
      <c r="AJ70" s="223">
        <f>IF(AND('CONTROLE EJ'!E72="",'CONTROLE CMM'!E72=""),"",N('CONTROLE EJ'!E72)+N('CONTROLE CMM'!E72))</f>
        <v/>
      </c>
      <c r="AK70" s="223">
        <f>IF(AND('CONTROLE EJ'!F72="",'CONTROLE CMM'!F72=""),"",N('CONTROLE EJ'!F72)+N('CONTROLE CMM'!F72))</f>
        <v/>
      </c>
      <c r="AL70" s="223">
        <f>IF(AND('CONTROLE EJ'!G72="",'CONTROLE CMM'!G72=""),"",N('CONTROLE EJ'!G72)+N('CONTROLE CMM'!G72))</f>
        <v/>
      </c>
      <c r="AM70" s="223">
        <f>IF(AND('CONTROLE EJ'!H72="",'CONTROLE CMM'!H72=""),"",N('CONTROLE EJ'!H72)+N('CONTROLE CMM'!H72))</f>
        <v/>
      </c>
      <c r="AN70" s="223">
        <f>IF('CONTROLE GLOBO AÇOS'!G72="","",'CONTROLE GLOBO AÇOS'!G72)</f>
        <v/>
      </c>
      <c r="AO70" s="223">
        <f>IF('CONTROLE GLOBO AÇOS'!H72="","",'CONTROLE GLOBO AÇOS'!H72)</f>
        <v/>
      </c>
      <c r="AP70" s="223">
        <f>IF(AND('CONTROLE EJ'!I72="",'CONTROLE CMM'!I72=""),"",N('CONTROLE EJ'!I72)+N('CONTROLE CMM'!I72))</f>
        <v/>
      </c>
      <c r="AQ70" s="223">
        <f>IF(AND('CONTROLE EJ'!J72="",'CONTROLE CMM'!#REF!=""),"",N('CONTROLE EJ'!J72)+N('CONTROLE CMM'!#REF!))</f>
        <v/>
      </c>
      <c r="AR70" s="223">
        <f>IF('CONTROLE GLOBO AÇOS'!I72="","",'CONTROLE GLOBO AÇOS'!I72)</f>
        <v/>
      </c>
      <c r="AS70" s="223">
        <f>IF('CONTROLE GLOBO AÇOS'!J72="","",'CONTROLE GLOBO AÇOS'!J72)</f>
        <v/>
      </c>
      <c r="AT70" s="223">
        <f>IF(#REF!="","",#REF!)</f>
        <v/>
      </c>
      <c r="AU70" s="223">
        <f>IF('CONTROLE GLOBO AÇOS'!K72="","",'CONTROLE GLOBO AÇOS'!K72)</f>
        <v/>
      </c>
      <c r="AV70" s="223">
        <f>IF(AND('CONTROLE EJ'!K72="",'CONTROLE CMM'!#REF!=""),"",N('CONTROLE EJ'!K72)+N('CONTROLE CMM'!#REF!))</f>
        <v/>
      </c>
      <c r="AW70" s="223">
        <f>IF('CONTROLE GLOBO AÇOS'!L72="","",'CONTROLE GLOBO AÇOS'!L72)</f>
        <v/>
      </c>
      <c r="AX70" s="223">
        <f>IF(AND('CONTROLE EJ'!L72="",'CONTROLE CMM'!#REF!=""),"",N('CONTROLE EJ'!L72)+N('CONTROLE CMM'!#REF!))</f>
        <v/>
      </c>
      <c r="AY70" s="223">
        <f>IF('CONTROLE GLOBO AÇOS'!M72="","",'CONTROLE GLOBO AÇOS'!M72)</f>
        <v/>
      </c>
      <c r="AZ70" s="223">
        <f>IF('CONTROLE GLOBO AÇOS'!N72="","",'CONTROLE GLOBO AÇOS'!N72)</f>
        <v/>
      </c>
      <c r="BA70" s="223">
        <f>IF(AND('CONTROLE EJ'!M72="",'CONTROLE CMM'!#REF!=""),"",N('CONTROLE EJ'!M72)+N('CONTROLE CMM'!#REF!))</f>
        <v/>
      </c>
      <c r="BB70" s="223">
        <f>IF(#REF!="","",#REF!)</f>
        <v/>
      </c>
      <c r="BC70" s="223">
        <f>IF('CONTROLE GLOBO AÇOS'!O72="","",'CONTROLE GLOBO AÇOS'!O72)</f>
        <v/>
      </c>
      <c r="BD70" s="223">
        <f>IF(AND('CONTROLE EJ'!N72="",'CONTROLE CMM'!#REF!=""),"",N('CONTROLE EJ'!N72)+N('CONTROLE CMM'!#REF!))</f>
        <v/>
      </c>
      <c r="BE70" s="223">
        <f>IF('CONTROLE GLOBO AÇOS'!P72="","",'CONTROLE GLOBO AÇOS'!P72)</f>
        <v/>
      </c>
      <c r="BF70" s="223">
        <f>IF('CONTROLE GLOBO AÇOS'!Q72="","",'CONTROLE GLOBO AÇOS'!Q72)</f>
        <v/>
      </c>
      <c r="BG70" s="223">
        <f>IF('CONTROLE GLOBO AÇOS'!R72="","",'CONTROLE GLOBO AÇOS'!R72)</f>
        <v/>
      </c>
      <c r="BH70" s="223">
        <f>IF(AND('CONTROLE EJ'!O72="",'CONTROLE CMM'!#REF!=""),"",N('CONTROLE EJ'!O72)+N('CONTROLE CMM'!#REF!))</f>
        <v/>
      </c>
      <c r="BI70" s="223">
        <f>IF('CONTROLE GLOBO AÇOS'!S72="","",'CONTROLE GLOBO AÇOS'!S72)</f>
        <v/>
      </c>
      <c r="BJ70" s="223">
        <f>IF('CONTROLE GLOBO AÇOS'!T72="","",'CONTROLE GLOBO AÇOS'!T72)</f>
        <v/>
      </c>
      <c r="BK70" s="223">
        <f>IF('CONTROLE GLOBO AÇOS'!U72="","",'CONTROLE GLOBO AÇOS'!U72)</f>
        <v/>
      </c>
      <c r="BL70" s="223">
        <f>IF(AND('CONTROLE EJ'!P72="",'CONTROLE CMM'!#REF!=""),"",N('CONTROLE EJ'!P72)+N('CONTROLE CMM'!#REF!))</f>
        <v/>
      </c>
      <c r="BM70" s="223">
        <f>IF(AND('CONTROLE EJ'!Q72="",'CONTROLE CMM'!#REF!=""),"",N('CONTROLE EJ'!Q72)+N('CONTROLE CMM'!#REF!))</f>
        <v/>
      </c>
      <c r="BN70" s="223">
        <f>IF('CONTROLE GLOBO AÇOS'!V72="","",'CONTROLE GLOBO AÇOS'!V72)</f>
        <v/>
      </c>
      <c r="BO70" s="223">
        <f>IF('CONTROLE GLOBO AÇOS'!W72="","",'CONTROLE GLOBO AÇOS'!W72)</f>
        <v/>
      </c>
      <c r="BP70" s="223">
        <f>IF(AND('CONTROLE EJ'!R72="",'CONTROLE CMM'!#REF!=""),"",N('CONTROLE EJ'!R72)+N('CONTROLE CMM'!#REF!))</f>
        <v/>
      </c>
      <c r="BQ70" s="223">
        <f>IF(#REF!="","",#REF!)</f>
        <v/>
      </c>
      <c r="BR70" s="223">
        <f>IF(AND('CONTROLE EJ'!S72="",'CONTROLE CMM'!#REF!=""),"",N('CONTROLE EJ'!S72)+N('CONTROLE CMM'!#REF!))</f>
        <v/>
      </c>
      <c r="BS70" s="223">
        <f>IF(AND('CONTROLE EJ'!T72="",'CONTROLE CMM'!#REF!=""),"",N('CONTROLE EJ'!T72)+N('CONTROLE CMM'!#REF!))</f>
        <v/>
      </c>
      <c r="BT70" s="223">
        <f>IF('CONTROLE GLOBO AÇOS'!X72="","",'CONTROLE GLOBO AÇOS'!X72)</f>
        <v/>
      </c>
      <c r="BU70" s="223">
        <f>IF('CONTROLE GLOBO AÇOS'!Y72="","",'CONTROLE GLOBO AÇOS'!Y72)</f>
        <v/>
      </c>
      <c r="BV70" s="223">
        <f>IF(AND('CONTROLE EJ'!U72="",'CONTROLE CMM'!#REF!=""),"",N('CONTROLE EJ'!U72)+N('CONTROLE CMM'!#REF!))</f>
        <v/>
      </c>
      <c r="BW70" s="223">
        <f>IF(#REF!="","",#REF!)</f>
        <v/>
      </c>
    </row>
    <row r="71">
      <c r="A71" s="282" t="n">
        <v>46288</v>
      </c>
      <c r="B71" s="223">
        <f>IF('CONTROLE EJ'!B73="","",'CONTROLE EJ'!B73)</f>
        <v/>
      </c>
      <c r="C71" s="223">
        <f>IF('CONTROLE EJ'!C73="","",'CONTROLE EJ'!C73)</f>
        <v/>
      </c>
      <c r="D71" s="42">
        <f>IF('CONTROLE EJ'!D73="","",'CONTROLE EJ'!D73)</f>
        <v/>
      </c>
      <c r="E71" s="44">
        <f>IF('CONTROLE CMM'!B73="","",'CONTROLE CMM'!B73)</f>
        <v/>
      </c>
      <c r="F71" s="223">
        <f>IF('CONTROLE CMM'!C73="","",'CONTROLE CMM'!C73)</f>
        <v/>
      </c>
      <c r="G71" s="42">
        <f>IF('CONTROLE CMM'!D73="","",'CONTROLE CMM'!D73)</f>
        <v/>
      </c>
      <c r="H71" s="44">
        <f>IF('CONTROLE GLOBO AÇOS'!B73="","",'CONTROLE GLOBO AÇOS'!B73)</f>
        <v/>
      </c>
      <c r="I71" s="223">
        <f>IF('CONTROLE GLOBO AÇOS'!C73="","",'CONTROLE GLOBO AÇOS'!C73)</f>
        <v/>
      </c>
      <c r="J71" s="223">
        <f>IF('CONTROLE GLOBO AÇOS'!D73="","",'CONTROLE GLOBO AÇOS'!D73)</f>
        <v/>
      </c>
      <c r="AD71" s="39">
        <f>IF($A71="",0,IF(AND(WEEKDAY($A71,2)&lt;=5,OR($B71&lt;&gt;"",$C71&lt;&gt;"",$D71&lt;&gt;"")),1,0))</f>
        <v/>
      </c>
      <c r="AE71" s="39">
        <f>IF($A71="",0,IF(AND(WEEKDAY($A71,2)&lt;=5,OR($E71&lt;&gt;"",$F71&lt;&gt;"",$G71&lt;&gt;"")),1,0))</f>
        <v/>
      </c>
      <c r="AF71" s="39">
        <f>MAX(AD71,AE71)</f>
        <v/>
      </c>
      <c r="AH71" s="223">
        <f>IF('CONTROLE GLOBO AÇOS'!E73="","",'CONTROLE GLOBO AÇOS'!E73)</f>
        <v/>
      </c>
      <c r="AI71" s="223">
        <f>IF('CONTROLE GLOBO AÇOS'!F73="","",'CONTROLE GLOBO AÇOS'!F73)</f>
        <v/>
      </c>
      <c r="AJ71" s="223">
        <f>IF(AND('CONTROLE EJ'!E73="",'CONTROLE CMM'!E73=""),"",N('CONTROLE EJ'!E73)+N('CONTROLE CMM'!E73))</f>
        <v/>
      </c>
      <c r="AK71" s="223">
        <f>IF(AND('CONTROLE EJ'!F73="",'CONTROLE CMM'!F73=""),"",N('CONTROLE EJ'!F73)+N('CONTROLE CMM'!F73))</f>
        <v/>
      </c>
      <c r="AL71" s="223">
        <f>IF(AND('CONTROLE EJ'!G73="",'CONTROLE CMM'!G73=""),"",N('CONTROLE EJ'!G73)+N('CONTROLE CMM'!G73))</f>
        <v/>
      </c>
      <c r="AM71" s="223">
        <f>IF(AND('CONTROLE EJ'!H73="",'CONTROLE CMM'!H73=""),"",N('CONTROLE EJ'!H73)+N('CONTROLE CMM'!H73))</f>
        <v/>
      </c>
      <c r="AN71" s="223">
        <f>IF('CONTROLE GLOBO AÇOS'!G73="","",'CONTROLE GLOBO AÇOS'!G73)</f>
        <v/>
      </c>
      <c r="AO71" s="223">
        <f>IF('CONTROLE GLOBO AÇOS'!H73="","",'CONTROLE GLOBO AÇOS'!H73)</f>
        <v/>
      </c>
      <c r="AP71" s="223">
        <f>IF(AND('CONTROLE EJ'!I73="",'CONTROLE CMM'!I73=""),"",N('CONTROLE EJ'!I73)+N('CONTROLE CMM'!I73))</f>
        <v/>
      </c>
      <c r="AQ71" s="223">
        <f>IF(AND('CONTROLE EJ'!J73="",'CONTROLE CMM'!#REF!=""),"",N('CONTROLE EJ'!J73)+N('CONTROLE CMM'!#REF!))</f>
        <v/>
      </c>
      <c r="AR71" s="223">
        <f>IF('CONTROLE GLOBO AÇOS'!I73="","",'CONTROLE GLOBO AÇOS'!I73)</f>
        <v/>
      </c>
      <c r="AS71" s="223">
        <f>IF('CONTROLE GLOBO AÇOS'!J73="","",'CONTROLE GLOBO AÇOS'!J73)</f>
        <v/>
      </c>
      <c r="AT71" s="223">
        <f>IF(#REF!="","",#REF!)</f>
        <v/>
      </c>
      <c r="AU71" s="223">
        <f>IF('CONTROLE GLOBO AÇOS'!K73="","",'CONTROLE GLOBO AÇOS'!K73)</f>
        <v/>
      </c>
      <c r="AV71" s="223">
        <f>IF(AND('CONTROLE EJ'!K73="",'CONTROLE CMM'!#REF!=""),"",N('CONTROLE EJ'!K73)+N('CONTROLE CMM'!#REF!))</f>
        <v/>
      </c>
      <c r="AW71" s="223">
        <f>IF('CONTROLE GLOBO AÇOS'!L73="","",'CONTROLE GLOBO AÇOS'!L73)</f>
        <v/>
      </c>
      <c r="AX71" s="223">
        <f>IF(AND('CONTROLE EJ'!L73="",'CONTROLE CMM'!#REF!=""),"",N('CONTROLE EJ'!L73)+N('CONTROLE CMM'!#REF!))</f>
        <v/>
      </c>
      <c r="AY71" s="223">
        <f>IF('CONTROLE GLOBO AÇOS'!M73="","",'CONTROLE GLOBO AÇOS'!M73)</f>
        <v/>
      </c>
      <c r="AZ71" s="223">
        <f>IF('CONTROLE GLOBO AÇOS'!N73="","",'CONTROLE GLOBO AÇOS'!N73)</f>
        <v/>
      </c>
      <c r="BA71" s="223">
        <f>IF(AND('CONTROLE EJ'!M73="",'CONTROLE CMM'!#REF!=""),"",N('CONTROLE EJ'!M73)+N('CONTROLE CMM'!#REF!))</f>
        <v/>
      </c>
      <c r="BB71" s="223">
        <f>IF(#REF!="","",#REF!)</f>
        <v/>
      </c>
      <c r="BC71" s="223">
        <f>IF('CONTROLE GLOBO AÇOS'!O73="","",'CONTROLE GLOBO AÇOS'!O73)</f>
        <v/>
      </c>
      <c r="BD71" s="223">
        <f>IF(AND('CONTROLE EJ'!N73="",'CONTROLE CMM'!#REF!=""),"",N('CONTROLE EJ'!N73)+N('CONTROLE CMM'!#REF!))</f>
        <v/>
      </c>
      <c r="BE71" s="223">
        <f>IF('CONTROLE GLOBO AÇOS'!P73="","",'CONTROLE GLOBO AÇOS'!P73)</f>
        <v/>
      </c>
      <c r="BF71" s="223">
        <f>IF('CONTROLE GLOBO AÇOS'!Q73="","",'CONTROLE GLOBO AÇOS'!Q73)</f>
        <v/>
      </c>
      <c r="BG71" s="223">
        <f>IF('CONTROLE GLOBO AÇOS'!R73="","",'CONTROLE GLOBO AÇOS'!R73)</f>
        <v/>
      </c>
      <c r="BH71" s="223">
        <f>IF(AND('CONTROLE EJ'!O73="",'CONTROLE CMM'!#REF!=""),"",N('CONTROLE EJ'!O73)+N('CONTROLE CMM'!#REF!))</f>
        <v/>
      </c>
      <c r="BI71" s="223">
        <f>IF('CONTROLE GLOBO AÇOS'!S73="","",'CONTROLE GLOBO AÇOS'!S73)</f>
        <v/>
      </c>
      <c r="BJ71" s="223">
        <f>IF('CONTROLE GLOBO AÇOS'!T73="","",'CONTROLE GLOBO AÇOS'!T73)</f>
        <v/>
      </c>
      <c r="BK71" s="223">
        <f>IF('CONTROLE GLOBO AÇOS'!U73="","",'CONTROLE GLOBO AÇOS'!U73)</f>
        <v/>
      </c>
      <c r="BL71" s="223">
        <f>IF(AND('CONTROLE EJ'!P73="",'CONTROLE CMM'!#REF!=""),"",N('CONTROLE EJ'!P73)+N('CONTROLE CMM'!#REF!))</f>
        <v/>
      </c>
      <c r="BM71" s="223">
        <f>IF(AND('CONTROLE EJ'!Q73="",'CONTROLE CMM'!#REF!=""),"",N('CONTROLE EJ'!Q73)+N('CONTROLE CMM'!#REF!))</f>
        <v/>
      </c>
      <c r="BN71" s="223">
        <f>IF('CONTROLE GLOBO AÇOS'!V73="","",'CONTROLE GLOBO AÇOS'!V73)</f>
        <v/>
      </c>
      <c r="BO71" s="223">
        <f>IF('CONTROLE GLOBO AÇOS'!W73="","",'CONTROLE GLOBO AÇOS'!W73)</f>
        <v/>
      </c>
      <c r="BP71" s="223">
        <f>IF(AND('CONTROLE EJ'!R73="",'CONTROLE CMM'!#REF!=""),"",N('CONTROLE EJ'!R73)+N('CONTROLE CMM'!#REF!))</f>
        <v/>
      </c>
      <c r="BQ71" s="223">
        <f>IF(#REF!="","",#REF!)</f>
        <v/>
      </c>
      <c r="BR71" s="223">
        <f>IF(AND('CONTROLE EJ'!S73="",'CONTROLE CMM'!#REF!=""),"",N('CONTROLE EJ'!S73)+N('CONTROLE CMM'!#REF!))</f>
        <v/>
      </c>
      <c r="BS71" s="223">
        <f>IF(AND('CONTROLE EJ'!T73="",'CONTROLE CMM'!#REF!=""),"",N('CONTROLE EJ'!T73)+N('CONTROLE CMM'!#REF!))</f>
        <v/>
      </c>
      <c r="BT71" s="223">
        <f>IF('CONTROLE GLOBO AÇOS'!X73="","",'CONTROLE GLOBO AÇOS'!X73)</f>
        <v/>
      </c>
      <c r="BU71" s="223">
        <f>IF('CONTROLE GLOBO AÇOS'!Y73="","",'CONTROLE GLOBO AÇOS'!Y73)</f>
        <v/>
      </c>
      <c r="BV71" s="223">
        <f>IF(AND('CONTROLE EJ'!U73="",'CONTROLE CMM'!#REF!=""),"",N('CONTROLE EJ'!U73)+N('CONTROLE CMM'!#REF!))</f>
        <v/>
      </c>
      <c r="BW71" s="223">
        <f>IF(#REF!="","",#REF!)</f>
        <v/>
      </c>
    </row>
    <row r="72">
      <c r="A72" s="282" t="n">
        <v>46289</v>
      </c>
      <c r="B72" s="223">
        <f>IF('CONTROLE EJ'!B74="","",'CONTROLE EJ'!B74)</f>
        <v/>
      </c>
      <c r="C72" s="223">
        <f>IF('CONTROLE EJ'!C74="","",'CONTROLE EJ'!C74)</f>
        <v/>
      </c>
      <c r="D72" s="42">
        <f>IF('CONTROLE EJ'!D74="","",'CONTROLE EJ'!D74)</f>
        <v/>
      </c>
      <c r="E72" s="44">
        <f>IF('CONTROLE CMM'!B74="","",'CONTROLE CMM'!B74)</f>
        <v/>
      </c>
      <c r="F72" s="223">
        <f>IF('CONTROLE CMM'!C74="","",'CONTROLE CMM'!C74)</f>
        <v/>
      </c>
      <c r="G72" s="42">
        <f>IF('CONTROLE CMM'!D74="","",'CONTROLE CMM'!D74)</f>
        <v/>
      </c>
      <c r="H72" s="44">
        <f>IF('CONTROLE GLOBO AÇOS'!B74="","",'CONTROLE GLOBO AÇOS'!B74)</f>
        <v/>
      </c>
      <c r="I72" s="223">
        <f>IF('CONTROLE GLOBO AÇOS'!C74="","",'CONTROLE GLOBO AÇOS'!C74)</f>
        <v/>
      </c>
      <c r="J72" s="223">
        <f>IF('CONTROLE GLOBO AÇOS'!D74="","",'CONTROLE GLOBO AÇOS'!D74)</f>
        <v/>
      </c>
      <c r="AD72" s="39">
        <f>IF($A72="",0,IF(AND(WEEKDAY($A72,2)&lt;=5,OR($B72&lt;&gt;"",$C72&lt;&gt;"",$D72&lt;&gt;"")),1,0))</f>
        <v/>
      </c>
      <c r="AE72" s="39">
        <f>IF($A72="",0,IF(AND(WEEKDAY($A72,2)&lt;=5,OR($E72&lt;&gt;"",$F72&lt;&gt;"",$G72&lt;&gt;"")),1,0))</f>
        <v/>
      </c>
      <c r="AF72" s="39">
        <f>MAX(AD72,AE72)</f>
        <v/>
      </c>
      <c r="AH72" s="223">
        <f>IF('CONTROLE GLOBO AÇOS'!E74="","",'CONTROLE GLOBO AÇOS'!E74)</f>
        <v/>
      </c>
      <c r="AI72" s="223">
        <f>IF('CONTROLE GLOBO AÇOS'!F74="","",'CONTROLE GLOBO AÇOS'!F74)</f>
        <v/>
      </c>
      <c r="AJ72" s="223">
        <f>IF(AND('CONTROLE EJ'!E74="",'CONTROLE CMM'!E74=""),"",N('CONTROLE EJ'!E74)+N('CONTROLE CMM'!E74))</f>
        <v/>
      </c>
      <c r="AK72" s="223">
        <f>IF(AND('CONTROLE EJ'!F74="",'CONTROLE CMM'!F74=""),"",N('CONTROLE EJ'!F74)+N('CONTROLE CMM'!F74))</f>
        <v/>
      </c>
      <c r="AL72" s="223">
        <f>IF(AND('CONTROLE EJ'!G74="",'CONTROLE CMM'!G74=""),"",N('CONTROLE EJ'!G74)+N('CONTROLE CMM'!G74))</f>
        <v/>
      </c>
      <c r="AM72" s="223">
        <f>IF(AND('CONTROLE EJ'!H74="",'CONTROLE CMM'!H74=""),"",N('CONTROLE EJ'!H74)+N('CONTROLE CMM'!H74))</f>
        <v/>
      </c>
      <c r="AN72" s="223">
        <f>IF('CONTROLE GLOBO AÇOS'!G74="","",'CONTROLE GLOBO AÇOS'!G74)</f>
        <v/>
      </c>
      <c r="AO72" s="223">
        <f>IF('CONTROLE GLOBO AÇOS'!H74="","",'CONTROLE GLOBO AÇOS'!H74)</f>
        <v/>
      </c>
      <c r="AP72" s="223">
        <f>IF(AND('CONTROLE EJ'!I74="",'CONTROLE CMM'!I74=""),"",N('CONTROLE EJ'!I74)+N('CONTROLE CMM'!I74))</f>
        <v/>
      </c>
      <c r="AQ72" s="223">
        <f>IF(AND('CONTROLE EJ'!J74="",'CONTROLE CMM'!#REF!=""),"",N('CONTROLE EJ'!J74)+N('CONTROLE CMM'!#REF!))</f>
        <v/>
      </c>
      <c r="AR72" s="223">
        <f>IF('CONTROLE GLOBO AÇOS'!I74="","",'CONTROLE GLOBO AÇOS'!I74)</f>
        <v/>
      </c>
      <c r="AS72" s="223">
        <f>IF('CONTROLE GLOBO AÇOS'!J74="","",'CONTROLE GLOBO AÇOS'!J74)</f>
        <v/>
      </c>
      <c r="AT72" s="223">
        <f>IF(#REF!="","",#REF!)</f>
        <v/>
      </c>
      <c r="AU72" s="223">
        <f>IF('CONTROLE GLOBO AÇOS'!K74="","",'CONTROLE GLOBO AÇOS'!K74)</f>
        <v/>
      </c>
      <c r="AV72" s="223">
        <f>IF(AND('CONTROLE EJ'!K74="",'CONTROLE CMM'!#REF!=""),"",N('CONTROLE EJ'!K74)+N('CONTROLE CMM'!#REF!))</f>
        <v/>
      </c>
      <c r="AW72" s="223">
        <f>IF('CONTROLE GLOBO AÇOS'!L74="","",'CONTROLE GLOBO AÇOS'!L74)</f>
        <v/>
      </c>
      <c r="AX72" s="223">
        <f>IF(AND('CONTROLE EJ'!L74="",'CONTROLE CMM'!#REF!=""),"",N('CONTROLE EJ'!L74)+N('CONTROLE CMM'!#REF!))</f>
        <v/>
      </c>
      <c r="AY72" s="223">
        <f>IF('CONTROLE GLOBO AÇOS'!M74="","",'CONTROLE GLOBO AÇOS'!M74)</f>
        <v/>
      </c>
      <c r="AZ72" s="223">
        <f>IF('CONTROLE GLOBO AÇOS'!N74="","",'CONTROLE GLOBO AÇOS'!N74)</f>
        <v/>
      </c>
      <c r="BA72" s="223">
        <f>IF(AND('CONTROLE EJ'!M74="",'CONTROLE CMM'!#REF!=""),"",N('CONTROLE EJ'!M74)+N('CONTROLE CMM'!#REF!))</f>
        <v/>
      </c>
      <c r="BB72" s="223">
        <f>IF(#REF!="","",#REF!)</f>
        <v/>
      </c>
      <c r="BC72" s="223">
        <f>IF('CONTROLE GLOBO AÇOS'!O74="","",'CONTROLE GLOBO AÇOS'!O74)</f>
        <v/>
      </c>
      <c r="BD72" s="223">
        <f>IF(AND('CONTROLE EJ'!N74="",'CONTROLE CMM'!#REF!=""),"",N('CONTROLE EJ'!N74)+N('CONTROLE CMM'!#REF!))</f>
        <v/>
      </c>
      <c r="BE72" s="223">
        <f>IF('CONTROLE GLOBO AÇOS'!P74="","",'CONTROLE GLOBO AÇOS'!P74)</f>
        <v/>
      </c>
      <c r="BF72" s="223">
        <f>IF('CONTROLE GLOBO AÇOS'!Q74="","",'CONTROLE GLOBO AÇOS'!Q74)</f>
        <v/>
      </c>
      <c r="BG72" s="223">
        <f>IF('CONTROLE GLOBO AÇOS'!R74="","",'CONTROLE GLOBO AÇOS'!R74)</f>
        <v/>
      </c>
      <c r="BH72" s="223">
        <f>IF(AND('CONTROLE EJ'!O74="",'CONTROLE CMM'!#REF!=""),"",N('CONTROLE EJ'!O74)+N('CONTROLE CMM'!#REF!))</f>
        <v/>
      </c>
      <c r="BI72" s="223">
        <f>IF('CONTROLE GLOBO AÇOS'!S74="","",'CONTROLE GLOBO AÇOS'!S74)</f>
        <v/>
      </c>
      <c r="BJ72" s="223">
        <f>IF('CONTROLE GLOBO AÇOS'!T74="","",'CONTROLE GLOBO AÇOS'!T74)</f>
        <v/>
      </c>
      <c r="BK72" s="223">
        <f>IF('CONTROLE GLOBO AÇOS'!U74="","",'CONTROLE GLOBO AÇOS'!U74)</f>
        <v/>
      </c>
      <c r="BL72" s="223">
        <f>IF(AND('CONTROLE EJ'!P74="",'CONTROLE CMM'!#REF!=""),"",N('CONTROLE EJ'!P74)+N('CONTROLE CMM'!#REF!))</f>
        <v/>
      </c>
      <c r="BM72" s="223">
        <f>IF(AND('CONTROLE EJ'!Q74="",'CONTROLE CMM'!#REF!=""),"",N('CONTROLE EJ'!Q74)+N('CONTROLE CMM'!#REF!))</f>
        <v/>
      </c>
      <c r="BN72" s="223">
        <f>IF('CONTROLE GLOBO AÇOS'!V74="","",'CONTROLE GLOBO AÇOS'!V74)</f>
        <v/>
      </c>
      <c r="BO72" s="223">
        <f>IF('CONTROLE GLOBO AÇOS'!W74="","",'CONTROLE GLOBO AÇOS'!W74)</f>
        <v/>
      </c>
      <c r="BP72" s="223">
        <f>IF(AND('CONTROLE EJ'!R74="",'CONTROLE CMM'!#REF!=""),"",N('CONTROLE EJ'!R74)+N('CONTROLE CMM'!#REF!))</f>
        <v/>
      </c>
      <c r="BQ72" s="223">
        <f>IF(#REF!="","",#REF!)</f>
        <v/>
      </c>
      <c r="BR72" s="223">
        <f>IF(AND('CONTROLE EJ'!S74="",'CONTROLE CMM'!#REF!=""),"",N('CONTROLE EJ'!S74)+N('CONTROLE CMM'!#REF!))</f>
        <v/>
      </c>
      <c r="BS72" s="223">
        <f>IF(AND('CONTROLE EJ'!T74="",'CONTROLE CMM'!#REF!=""),"",N('CONTROLE EJ'!T74)+N('CONTROLE CMM'!#REF!))</f>
        <v/>
      </c>
      <c r="BT72" s="223">
        <f>IF('CONTROLE GLOBO AÇOS'!X74="","",'CONTROLE GLOBO AÇOS'!X74)</f>
        <v/>
      </c>
      <c r="BU72" s="223">
        <f>IF('CONTROLE GLOBO AÇOS'!Y74="","",'CONTROLE GLOBO AÇOS'!Y74)</f>
        <v/>
      </c>
      <c r="BV72" s="223">
        <f>IF(AND('CONTROLE EJ'!U74="",'CONTROLE CMM'!#REF!=""),"",N('CONTROLE EJ'!U74)+N('CONTROLE CMM'!#REF!))</f>
        <v/>
      </c>
      <c r="BW72" s="223">
        <f>IF(#REF!="","",#REF!)</f>
        <v/>
      </c>
    </row>
    <row r="73">
      <c r="A73" s="282" t="n">
        <v>46290</v>
      </c>
      <c r="B73" s="223">
        <f>IF('CONTROLE EJ'!B75="","",'CONTROLE EJ'!B75)</f>
        <v/>
      </c>
      <c r="C73" s="223">
        <f>IF('CONTROLE EJ'!C75="","",'CONTROLE EJ'!C75)</f>
        <v/>
      </c>
      <c r="D73" s="42">
        <f>IF('CONTROLE EJ'!D75="","",'CONTROLE EJ'!D75)</f>
        <v/>
      </c>
      <c r="E73" s="44">
        <f>IF('CONTROLE CMM'!B75="","",'CONTROLE CMM'!B75)</f>
        <v/>
      </c>
      <c r="F73" s="223">
        <f>IF('CONTROLE CMM'!C75="","",'CONTROLE CMM'!C75)</f>
        <v/>
      </c>
      <c r="G73" s="42">
        <f>IF('CONTROLE CMM'!D75="","",'CONTROLE CMM'!D75)</f>
        <v/>
      </c>
      <c r="H73" s="44">
        <f>IF('CONTROLE GLOBO AÇOS'!B75="","",'CONTROLE GLOBO AÇOS'!B75)</f>
        <v/>
      </c>
      <c r="I73" s="223">
        <f>IF('CONTROLE GLOBO AÇOS'!C75="","",'CONTROLE GLOBO AÇOS'!C75)</f>
        <v/>
      </c>
      <c r="J73" s="223">
        <f>IF('CONTROLE GLOBO AÇOS'!D75="","",'CONTROLE GLOBO AÇOS'!D75)</f>
        <v/>
      </c>
      <c r="AD73" s="39">
        <f>IF($A73="",0,IF(AND(WEEKDAY($A73,2)&lt;=5,OR($B73&lt;&gt;"",$C73&lt;&gt;"",$D73&lt;&gt;"")),1,0))</f>
        <v/>
      </c>
      <c r="AE73" s="39">
        <f>IF($A73="",0,IF(AND(WEEKDAY($A73,2)&lt;=5,OR($E73&lt;&gt;"",$F73&lt;&gt;"",$G73&lt;&gt;"")),1,0))</f>
        <v/>
      </c>
      <c r="AF73" s="39">
        <f>MAX(AD73,AE73)</f>
        <v/>
      </c>
      <c r="AH73" s="223">
        <f>IF('CONTROLE GLOBO AÇOS'!E75="","",'CONTROLE GLOBO AÇOS'!E75)</f>
        <v/>
      </c>
      <c r="AI73" s="223">
        <f>IF('CONTROLE GLOBO AÇOS'!F75="","",'CONTROLE GLOBO AÇOS'!F75)</f>
        <v/>
      </c>
      <c r="AJ73" s="223">
        <f>IF(AND('CONTROLE EJ'!E75="",'CONTROLE CMM'!E75=""),"",N('CONTROLE EJ'!E75)+N('CONTROLE CMM'!E75))</f>
        <v/>
      </c>
      <c r="AK73" s="223">
        <f>IF(AND('CONTROLE EJ'!F75="",'CONTROLE CMM'!F75=""),"",N('CONTROLE EJ'!F75)+N('CONTROLE CMM'!F75))</f>
        <v/>
      </c>
      <c r="AL73" s="223">
        <f>IF(AND('CONTROLE EJ'!G75="",'CONTROLE CMM'!G75=""),"",N('CONTROLE EJ'!G75)+N('CONTROLE CMM'!G75))</f>
        <v/>
      </c>
      <c r="AM73" s="223">
        <f>IF(AND('CONTROLE EJ'!H75="",'CONTROLE CMM'!H75=""),"",N('CONTROLE EJ'!H75)+N('CONTROLE CMM'!H75))</f>
        <v/>
      </c>
      <c r="AN73" s="223">
        <f>IF('CONTROLE GLOBO AÇOS'!G75="","",'CONTROLE GLOBO AÇOS'!G75)</f>
        <v/>
      </c>
      <c r="AO73" s="223">
        <f>IF('CONTROLE GLOBO AÇOS'!H75="","",'CONTROLE GLOBO AÇOS'!H75)</f>
        <v/>
      </c>
      <c r="AP73" s="223">
        <f>IF(AND('CONTROLE EJ'!I75="",'CONTROLE CMM'!I75=""),"",N('CONTROLE EJ'!I75)+N('CONTROLE CMM'!I75))</f>
        <v/>
      </c>
      <c r="AQ73" s="223">
        <f>IF(AND('CONTROLE EJ'!J75="",'CONTROLE CMM'!#REF!=""),"",N('CONTROLE EJ'!J75)+N('CONTROLE CMM'!#REF!))</f>
        <v/>
      </c>
      <c r="AR73" s="223">
        <f>IF('CONTROLE GLOBO AÇOS'!I75="","",'CONTROLE GLOBO AÇOS'!I75)</f>
        <v/>
      </c>
      <c r="AS73" s="223">
        <f>IF('CONTROLE GLOBO AÇOS'!J75="","",'CONTROLE GLOBO AÇOS'!J75)</f>
        <v/>
      </c>
      <c r="AT73" s="223">
        <f>IF(#REF!="","",#REF!)</f>
        <v/>
      </c>
      <c r="AU73" s="223">
        <f>IF('CONTROLE GLOBO AÇOS'!K75="","",'CONTROLE GLOBO AÇOS'!K75)</f>
        <v/>
      </c>
      <c r="AV73" s="223">
        <f>IF(AND('CONTROLE EJ'!K75="",'CONTROLE CMM'!#REF!=""),"",N('CONTROLE EJ'!K75)+N('CONTROLE CMM'!#REF!))</f>
        <v/>
      </c>
      <c r="AW73" s="223">
        <f>IF('CONTROLE GLOBO AÇOS'!L75="","",'CONTROLE GLOBO AÇOS'!L75)</f>
        <v/>
      </c>
      <c r="AX73" s="223">
        <f>IF(AND('CONTROLE EJ'!L75="",'CONTROLE CMM'!#REF!=""),"",N('CONTROLE EJ'!L75)+N('CONTROLE CMM'!#REF!))</f>
        <v/>
      </c>
      <c r="AY73" s="223">
        <f>IF('CONTROLE GLOBO AÇOS'!M75="","",'CONTROLE GLOBO AÇOS'!M75)</f>
        <v/>
      </c>
      <c r="AZ73" s="223">
        <f>IF('CONTROLE GLOBO AÇOS'!N75="","",'CONTROLE GLOBO AÇOS'!N75)</f>
        <v/>
      </c>
      <c r="BA73" s="223">
        <f>IF(AND('CONTROLE EJ'!M75="",'CONTROLE CMM'!#REF!=""),"",N('CONTROLE EJ'!M75)+N('CONTROLE CMM'!#REF!))</f>
        <v/>
      </c>
      <c r="BB73" s="223">
        <f>IF(#REF!="","",#REF!)</f>
        <v/>
      </c>
      <c r="BC73" s="223">
        <f>IF('CONTROLE GLOBO AÇOS'!O75="","",'CONTROLE GLOBO AÇOS'!O75)</f>
        <v/>
      </c>
      <c r="BD73" s="223">
        <f>IF(AND('CONTROLE EJ'!N75="",'CONTROLE CMM'!#REF!=""),"",N('CONTROLE EJ'!N75)+N('CONTROLE CMM'!#REF!))</f>
        <v/>
      </c>
      <c r="BE73" s="223">
        <f>IF('CONTROLE GLOBO AÇOS'!P75="","",'CONTROLE GLOBO AÇOS'!P75)</f>
        <v/>
      </c>
      <c r="BF73" s="223">
        <f>IF('CONTROLE GLOBO AÇOS'!Q75="","",'CONTROLE GLOBO AÇOS'!Q75)</f>
        <v/>
      </c>
      <c r="BG73" s="223">
        <f>IF('CONTROLE GLOBO AÇOS'!R75="","",'CONTROLE GLOBO AÇOS'!R75)</f>
        <v/>
      </c>
      <c r="BH73" s="223">
        <f>IF(AND('CONTROLE EJ'!O75="",'CONTROLE CMM'!#REF!=""),"",N('CONTROLE EJ'!O75)+N('CONTROLE CMM'!#REF!))</f>
        <v/>
      </c>
      <c r="BI73" s="223">
        <f>IF('CONTROLE GLOBO AÇOS'!S75="","",'CONTROLE GLOBO AÇOS'!S75)</f>
        <v/>
      </c>
      <c r="BJ73" s="223">
        <f>IF('CONTROLE GLOBO AÇOS'!T75="","",'CONTROLE GLOBO AÇOS'!T75)</f>
        <v/>
      </c>
      <c r="BK73" s="223">
        <f>IF('CONTROLE GLOBO AÇOS'!U75="","",'CONTROLE GLOBO AÇOS'!U75)</f>
        <v/>
      </c>
      <c r="BL73" s="223">
        <f>IF(AND('CONTROLE EJ'!P75="",'CONTROLE CMM'!#REF!=""),"",N('CONTROLE EJ'!P75)+N('CONTROLE CMM'!#REF!))</f>
        <v/>
      </c>
      <c r="BM73" s="223">
        <f>IF(AND('CONTROLE EJ'!Q75="",'CONTROLE CMM'!#REF!=""),"",N('CONTROLE EJ'!Q75)+N('CONTROLE CMM'!#REF!))</f>
        <v/>
      </c>
      <c r="BN73" s="223">
        <f>IF('CONTROLE GLOBO AÇOS'!V75="","",'CONTROLE GLOBO AÇOS'!V75)</f>
        <v/>
      </c>
      <c r="BO73" s="223">
        <f>IF('CONTROLE GLOBO AÇOS'!W75="","",'CONTROLE GLOBO AÇOS'!W75)</f>
        <v/>
      </c>
      <c r="BP73" s="223">
        <f>IF(AND('CONTROLE EJ'!R75="",'CONTROLE CMM'!#REF!=""),"",N('CONTROLE EJ'!R75)+N('CONTROLE CMM'!#REF!))</f>
        <v/>
      </c>
      <c r="BQ73" s="223">
        <f>IF(#REF!="","",#REF!)</f>
        <v/>
      </c>
      <c r="BR73" s="223">
        <f>IF(AND('CONTROLE EJ'!S75="",'CONTROLE CMM'!#REF!=""),"",N('CONTROLE EJ'!S75)+N('CONTROLE CMM'!#REF!))</f>
        <v/>
      </c>
      <c r="BS73" s="223">
        <f>IF(AND('CONTROLE EJ'!T75="",'CONTROLE CMM'!#REF!=""),"",N('CONTROLE EJ'!T75)+N('CONTROLE CMM'!#REF!))</f>
        <v/>
      </c>
      <c r="BT73" s="223">
        <f>IF('CONTROLE GLOBO AÇOS'!X75="","",'CONTROLE GLOBO AÇOS'!X75)</f>
        <v/>
      </c>
      <c r="BU73" s="223">
        <f>IF('CONTROLE GLOBO AÇOS'!Y75="","",'CONTROLE GLOBO AÇOS'!Y75)</f>
        <v/>
      </c>
      <c r="BV73" s="223">
        <f>IF(AND('CONTROLE EJ'!U75="",'CONTROLE CMM'!#REF!=""),"",N('CONTROLE EJ'!U75)+N('CONTROLE CMM'!#REF!))</f>
        <v/>
      </c>
      <c r="BW73" s="223">
        <f>IF(#REF!="","",#REF!)</f>
        <v/>
      </c>
    </row>
    <row r="74">
      <c r="A74" s="282" t="n">
        <v>46291</v>
      </c>
      <c r="B74" s="223">
        <f>IF('CONTROLE EJ'!B76="","",'CONTROLE EJ'!B76)</f>
        <v/>
      </c>
      <c r="C74" s="223">
        <f>IF('CONTROLE EJ'!C76="","",'CONTROLE EJ'!C76)</f>
        <v/>
      </c>
      <c r="D74" s="42">
        <f>IF('CONTROLE EJ'!D76="","",'CONTROLE EJ'!D76)</f>
        <v/>
      </c>
      <c r="E74" s="44">
        <f>IF('CONTROLE CMM'!B76="","",'CONTROLE CMM'!B76)</f>
        <v/>
      </c>
      <c r="F74" s="223">
        <f>IF('CONTROLE CMM'!C76="","",'CONTROLE CMM'!C76)</f>
        <v/>
      </c>
      <c r="G74" s="42">
        <f>IF('CONTROLE CMM'!D76="","",'CONTROLE CMM'!D76)</f>
        <v/>
      </c>
      <c r="H74" s="44">
        <f>IF('CONTROLE GLOBO AÇOS'!B76="","",'CONTROLE GLOBO AÇOS'!B76)</f>
        <v/>
      </c>
      <c r="I74" s="223">
        <f>IF('CONTROLE GLOBO AÇOS'!C76="","",'CONTROLE GLOBO AÇOS'!C76)</f>
        <v/>
      </c>
      <c r="J74" s="223">
        <f>IF('CONTROLE GLOBO AÇOS'!D76="","",'CONTROLE GLOBO AÇOS'!D76)</f>
        <v/>
      </c>
      <c r="AD74" s="39">
        <f>IF($A74="",0,IF(AND(WEEKDAY($A74,2)&lt;=5,OR($B74&lt;&gt;"",$C74&lt;&gt;"",$D74&lt;&gt;"")),1,0))</f>
        <v/>
      </c>
      <c r="AE74" s="39">
        <f>IF($A74="",0,IF(AND(WEEKDAY($A74,2)&lt;=5,OR($E74&lt;&gt;"",$F74&lt;&gt;"",$G74&lt;&gt;"")),1,0))</f>
        <v/>
      </c>
      <c r="AF74" s="39">
        <f>MAX(AD74,AE74)</f>
        <v/>
      </c>
      <c r="AH74" s="223">
        <f>IF('CONTROLE GLOBO AÇOS'!E76="","",'CONTROLE GLOBO AÇOS'!E76)</f>
        <v/>
      </c>
      <c r="AI74" s="223">
        <f>IF('CONTROLE GLOBO AÇOS'!F76="","",'CONTROLE GLOBO AÇOS'!F76)</f>
        <v/>
      </c>
      <c r="AJ74" s="223">
        <f>IF(AND('CONTROLE EJ'!E76="",'CONTROLE CMM'!E76=""),"",N('CONTROLE EJ'!E76)+N('CONTROLE CMM'!E76))</f>
        <v/>
      </c>
      <c r="AK74" s="223">
        <f>IF(AND('CONTROLE EJ'!F76="",'CONTROLE CMM'!F76=""),"",N('CONTROLE EJ'!F76)+N('CONTROLE CMM'!F76))</f>
        <v/>
      </c>
      <c r="AL74" s="223">
        <f>IF(AND('CONTROLE EJ'!G76="",'CONTROLE CMM'!G76=""),"",N('CONTROLE EJ'!G76)+N('CONTROLE CMM'!G76))</f>
        <v/>
      </c>
      <c r="AM74" s="223">
        <f>IF(AND('CONTROLE EJ'!H76="",'CONTROLE CMM'!H76=""),"",N('CONTROLE EJ'!H76)+N('CONTROLE CMM'!H76))</f>
        <v/>
      </c>
      <c r="AN74" s="223">
        <f>IF('CONTROLE GLOBO AÇOS'!G76="","",'CONTROLE GLOBO AÇOS'!G76)</f>
        <v/>
      </c>
      <c r="AO74" s="223">
        <f>IF('CONTROLE GLOBO AÇOS'!H76="","",'CONTROLE GLOBO AÇOS'!H76)</f>
        <v/>
      </c>
      <c r="AP74" s="223">
        <f>IF(AND('CONTROLE EJ'!I76="",'CONTROLE CMM'!I76=""),"",N('CONTROLE EJ'!I76)+N('CONTROLE CMM'!I76))</f>
        <v/>
      </c>
      <c r="AQ74" s="223">
        <f>IF(AND('CONTROLE EJ'!J76="",'CONTROLE CMM'!#REF!=""),"",N('CONTROLE EJ'!J76)+N('CONTROLE CMM'!#REF!))</f>
        <v/>
      </c>
      <c r="AR74" s="223">
        <f>IF('CONTROLE GLOBO AÇOS'!I76="","",'CONTROLE GLOBO AÇOS'!I76)</f>
        <v/>
      </c>
      <c r="AS74" s="223">
        <f>IF('CONTROLE GLOBO AÇOS'!J76="","",'CONTROLE GLOBO AÇOS'!J76)</f>
        <v/>
      </c>
      <c r="AT74" s="223">
        <f>IF(#REF!="","",#REF!)</f>
        <v/>
      </c>
      <c r="AU74" s="223">
        <f>IF('CONTROLE GLOBO AÇOS'!K76="","",'CONTROLE GLOBO AÇOS'!K76)</f>
        <v/>
      </c>
      <c r="AV74" s="223">
        <f>IF(AND('CONTROLE EJ'!K76="",'CONTROLE CMM'!#REF!=""),"",N('CONTROLE EJ'!K76)+N('CONTROLE CMM'!#REF!))</f>
        <v/>
      </c>
      <c r="AW74" s="223">
        <f>IF('CONTROLE GLOBO AÇOS'!L76="","",'CONTROLE GLOBO AÇOS'!L76)</f>
        <v/>
      </c>
      <c r="AX74" s="223">
        <f>IF(AND('CONTROLE EJ'!L76="",'CONTROLE CMM'!#REF!=""),"",N('CONTROLE EJ'!L76)+N('CONTROLE CMM'!#REF!))</f>
        <v/>
      </c>
      <c r="AY74" s="223">
        <f>IF('CONTROLE GLOBO AÇOS'!M76="","",'CONTROLE GLOBO AÇOS'!M76)</f>
        <v/>
      </c>
      <c r="AZ74" s="223">
        <f>IF('CONTROLE GLOBO AÇOS'!N76="","",'CONTROLE GLOBO AÇOS'!N76)</f>
        <v/>
      </c>
      <c r="BA74" s="223">
        <f>IF(AND('CONTROLE EJ'!M76="",'CONTROLE CMM'!#REF!=""),"",N('CONTROLE EJ'!M76)+N('CONTROLE CMM'!#REF!))</f>
        <v/>
      </c>
      <c r="BB74" s="223">
        <f>IF(#REF!="","",#REF!)</f>
        <v/>
      </c>
      <c r="BC74" s="223">
        <f>IF('CONTROLE GLOBO AÇOS'!O76="","",'CONTROLE GLOBO AÇOS'!O76)</f>
        <v/>
      </c>
      <c r="BD74" s="223">
        <f>IF(AND('CONTROLE EJ'!N76="",'CONTROLE CMM'!#REF!=""),"",N('CONTROLE EJ'!N76)+N('CONTROLE CMM'!#REF!))</f>
        <v/>
      </c>
      <c r="BE74" s="223">
        <f>IF('CONTROLE GLOBO AÇOS'!P76="","",'CONTROLE GLOBO AÇOS'!P76)</f>
        <v/>
      </c>
      <c r="BF74" s="223">
        <f>IF('CONTROLE GLOBO AÇOS'!Q76="","",'CONTROLE GLOBO AÇOS'!Q76)</f>
        <v/>
      </c>
      <c r="BG74" s="223">
        <f>IF('CONTROLE GLOBO AÇOS'!R76="","",'CONTROLE GLOBO AÇOS'!R76)</f>
        <v/>
      </c>
      <c r="BH74" s="223">
        <f>IF(AND('CONTROLE EJ'!O76="",'CONTROLE CMM'!#REF!=""),"",N('CONTROLE EJ'!O76)+N('CONTROLE CMM'!#REF!))</f>
        <v/>
      </c>
      <c r="BI74" s="223">
        <f>IF('CONTROLE GLOBO AÇOS'!S76="","",'CONTROLE GLOBO AÇOS'!S76)</f>
        <v/>
      </c>
      <c r="BJ74" s="223">
        <f>IF('CONTROLE GLOBO AÇOS'!T76="","",'CONTROLE GLOBO AÇOS'!T76)</f>
        <v/>
      </c>
      <c r="BK74" s="223">
        <f>IF('CONTROLE GLOBO AÇOS'!U76="","",'CONTROLE GLOBO AÇOS'!U76)</f>
        <v/>
      </c>
      <c r="BL74" s="223">
        <f>IF(AND('CONTROLE EJ'!P76="",'CONTROLE CMM'!#REF!=""),"",N('CONTROLE EJ'!P76)+N('CONTROLE CMM'!#REF!))</f>
        <v/>
      </c>
      <c r="BM74" s="223">
        <f>IF(AND('CONTROLE EJ'!Q76="",'CONTROLE CMM'!#REF!=""),"",N('CONTROLE EJ'!Q76)+N('CONTROLE CMM'!#REF!))</f>
        <v/>
      </c>
      <c r="BN74" s="223">
        <f>IF('CONTROLE GLOBO AÇOS'!V76="","",'CONTROLE GLOBO AÇOS'!V76)</f>
        <v/>
      </c>
      <c r="BO74" s="223">
        <f>IF('CONTROLE GLOBO AÇOS'!W76="","",'CONTROLE GLOBO AÇOS'!W76)</f>
        <v/>
      </c>
      <c r="BP74" s="223">
        <f>IF(AND('CONTROLE EJ'!R76="",'CONTROLE CMM'!#REF!=""),"",N('CONTROLE EJ'!R76)+N('CONTROLE CMM'!#REF!))</f>
        <v/>
      </c>
      <c r="BQ74" s="223">
        <f>IF(#REF!="","",#REF!)</f>
        <v/>
      </c>
      <c r="BR74" s="223">
        <f>IF(AND('CONTROLE EJ'!S76="",'CONTROLE CMM'!#REF!=""),"",N('CONTROLE EJ'!S76)+N('CONTROLE CMM'!#REF!))</f>
        <v/>
      </c>
      <c r="BS74" s="223">
        <f>IF(AND('CONTROLE EJ'!T76="",'CONTROLE CMM'!#REF!=""),"",N('CONTROLE EJ'!T76)+N('CONTROLE CMM'!#REF!))</f>
        <v/>
      </c>
      <c r="BT74" s="223">
        <f>IF('CONTROLE GLOBO AÇOS'!X76="","",'CONTROLE GLOBO AÇOS'!X76)</f>
        <v/>
      </c>
      <c r="BU74" s="223">
        <f>IF('CONTROLE GLOBO AÇOS'!Y76="","",'CONTROLE GLOBO AÇOS'!Y76)</f>
        <v/>
      </c>
      <c r="BV74" s="223">
        <f>IF(AND('CONTROLE EJ'!U76="",'CONTROLE CMM'!#REF!=""),"",N('CONTROLE EJ'!U76)+N('CONTROLE CMM'!#REF!))</f>
        <v/>
      </c>
      <c r="BW74" s="223">
        <f>IF(#REF!="","",#REF!)</f>
        <v/>
      </c>
    </row>
    <row r="75">
      <c r="A75" s="282" t="n">
        <v>46292</v>
      </c>
      <c r="B75" s="223">
        <f>IF('CONTROLE EJ'!B77="","",'CONTROLE EJ'!B77)</f>
        <v/>
      </c>
      <c r="C75" s="223">
        <f>IF('CONTROLE EJ'!C77="","",'CONTROLE EJ'!C77)</f>
        <v/>
      </c>
      <c r="D75" s="42">
        <f>IF('CONTROLE EJ'!D77="","",'CONTROLE EJ'!D77)</f>
        <v/>
      </c>
      <c r="E75" s="44">
        <f>IF('CONTROLE CMM'!B77="","",'CONTROLE CMM'!B77)</f>
        <v/>
      </c>
      <c r="F75" s="223">
        <f>IF('CONTROLE CMM'!C77="","",'CONTROLE CMM'!C77)</f>
        <v/>
      </c>
      <c r="G75" s="42">
        <f>IF('CONTROLE CMM'!D77="","",'CONTROLE CMM'!D77)</f>
        <v/>
      </c>
      <c r="H75" s="44">
        <f>IF('CONTROLE GLOBO AÇOS'!B77="","",'CONTROLE GLOBO AÇOS'!B77)</f>
        <v/>
      </c>
      <c r="I75" s="223">
        <f>IF('CONTROLE GLOBO AÇOS'!C77="","",'CONTROLE GLOBO AÇOS'!C77)</f>
        <v/>
      </c>
      <c r="J75" s="223">
        <f>IF('CONTROLE GLOBO AÇOS'!D77="","",'CONTROLE GLOBO AÇOS'!D77)</f>
        <v/>
      </c>
      <c r="AD75" s="39">
        <f>IF($A75="",0,IF(AND(WEEKDAY($A75,2)&lt;=5,OR($B75&lt;&gt;"",$C75&lt;&gt;"",$D75&lt;&gt;"")),1,0))</f>
        <v/>
      </c>
      <c r="AE75" s="39">
        <f>IF($A75="",0,IF(AND(WEEKDAY($A75,2)&lt;=5,OR($E75&lt;&gt;"",$F75&lt;&gt;"",$G75&lt;&gt;"")),1,0))</f>
        <v/>
      </c>
      <c r="AF75" s="39">
        <f>MAX(AD75,AE75)</f>
        <v/>
      </c>
      <c r="AH75" s="223">
        <f>IF('CONTROLE GLOBO AÇOS'!E77="","",'CONTROLE GLOBO AÇOS'!E77)</f>
        <v/>
      </c>
      <c r="AI75" s="223">
        <f>IF('CONTROLE GLOBO AÇOS'!F77="","",'CONTROLE GLOBO AÇOS'!F77)</f>
        <v/>
      </c>
      <c r="AJ75" s="223">
        <f>IF(AND('CONTROLE EJ'!E77="",'CONTROLE CMM'!E77=""),"",N('CONTROLE EJ'!E77)+N('CONTROLE CMM'!E77))</f>
        <v/>
      </c>
      <c r="AK75" s="223">
        <f>IF(AND('CONTROLE EJ'!F77="",'CONTROLE CMM'!F77=""),"",N('CONTROLE EJ'!F77)+N('CONTROLE CMM'!F77))</f>
        <v/>
      </c>
      <c r="AL75" s="223">
        <f>IF(AND('CONTROLE EJ'!G77="",'CONTROLE CMM'!G77=""),"",N('CONTROLE EJ'!G77)+N('CONTROLE CMM'!G77))</f>
        <v/>
      </c>
      <c r="AM75" s="223">
        <f>IF(AND('CONTROLE EJ'!H77="",'CONTROLE CMM'!H77=""),"",N('CONTROLE EJ'!H77)+N('CONTROLE CMM'!H77))</f>
        <v/>
      </c>
      <c r="AN75" s="223">
        <f>IF('CONTROLE GLOBO AÇOS'!G77="","",'CONTROLE GLOBO AÇOS'!G77)</f>
        <v/>
      </c>
      <c r="AO75" s="223">
        <f>IF('CONTROLE GLOBO AÇOS'!H77="","",'CONTROLE GLOBO AÇOS'!H77)</f>
        <v/>
      </c>
      <c r="AP75" s="223">
        <f>IF(AND('CONTROLE EJ'!I77="",'CONTROLE CMM'!I77=""),"",N('CONTROLE EJ'!I77)+N('CONTROLE CMM'!I77))</f>
        <v/>
      </c>
      <c r="AQ75" s="223">
        <f>IF(AND('CONTROLE EJ'!J77="",'CONTROLE CMM'!#REF!=""),"",N('CONTROLE EJ'!J77)+N('CONTROLE CMM'!#REF!))</f>
        <v/>
      </c>
      <c r="AR75" s="223">
        <f>IF('CONTROLE GLOBO AÇOS'!I77="","",'CONTROLE GLOBO AÇOS'!I77)</f>
        <v/>
      </c>
      <c r="AS75" s="223">
        <f>IF('CONTROLE GLOBO AÇOS'!J77="","",'CONTROLE GLOBO AÇOS'!J77)</f>
        <v/>
      </c>
      <c r="AT75" s="223">
        <f>IF(#REF!="","",#REF!)</f>
        <v/>
      </c>
      <c r="AU75" s="223">
        <f>IF('CONTROLE GLOBO AÇOS'!K77="","",'CONTROLE GLOBO AÇOS'!K77)</f>
        <v/>
      </c>
      <c r="AV75" s="223">
        <f>IF(AND('CONTROLE EJ'!K77="",'CONTROLE CMM'!#REF!=""),"",N('CONTROLE EJ'!K77)+N('CONTROLE CMM'!#REF!))</f>
        <v/>
      </c>
      <c r="AW75" s="223">
        <f>IF('CONTROLE GLOBO AÇOS'!L77="","",'CONTROLE GLOBO AÇOS'!L77)</f>
        <v/>
      </c>
      <c r="AX75" s="223">
        <f>IF(AND('CONTROLE EJ'!L77="",'CONTROLE CMM'!#REF!=""),"",N('CONTROLE EJ'!L77)+N('CONTROLE CMM'!#REF!))</f>
        <v/>
      </c>
      <c r="AY75" s="223">
        <f>IF('CONTROLE GLOBO AÇOS'!M77="","",'CONTROLE GLOBO AÇOS'!M77)</f>
        <v/>
      </c>
      <c r="AZ75" s="223">
        <f>IF('CONTROLE GLOBO AÇOS'!N77="","",'CONTROLE GLOBO AÇOS'!N77)</f>
        <v/>
      </c>
      <c r="BA75" s="223">
        <f>IF(AND('CONTROLE EJ'!M77="",'CONTROLE CMM'!#REF!=""),"",N('CONTROLE EJ'!M77)+N('CONTROLE CMM'!#REF!))</f>
        <v/>
      </c>
      <c r="BB75" s="223">
        <f>IF(#REF!="","",#REF!)</f>
        <v/>
      </c>
      <c r="BC75" s="223">
        <f>IF('CONTROLE GLOBO AÇOS'!O77="","",'CONTROLE GLOBO AÇOS'!O77)</f>
        <v/>
      </c>
      <c r="BD75" s="223">
        <f>IF(AND('CONTROLE EJ'!N77="",'CONTROLE CMM'!#REF!=""),"",N('CONTROLE EJ'!N77)+N('CONTROLE CMM'!#REF!))</f>
        <v/>
      </c>
      <c r="BE75" s="223">
        <f>IF('CONTROLE GLOBO AÇOS'!P77="","",'CONTROLE GLOBO AÇOS'!P77)</f>
        <v/>
      </c>
      <c r="BF75" s="223">
        <f>IF('CONTROLE GLOBO AÇOS'!Q77="","",'CONTROLE GLOBO AÇOS'!Q77)</f>
        <v/>
      </c>
      <c r="BG75" s="223">
        <f>IF('CONTROLE GLOBO AÇOS'!R77="","",'CONTROLE GLOBO AÇOS'!R77)</f>
        <v/>
      </c>
      <c r="BH75" s="223">
        <f>IF(AND('CONTROLE EJ'!O77="",'CONTROLE CMM'!#REF!=""),"",N('CONTROLE EJ'!O77)+N('CONTROLE CMM'!#REF!))</f>
        <v/>
      </c>
      <c r="BI75" s="223">
        <f>IF('CONTROLE GLOBO AÇOS'!S77="","",'CONTROLE GLOBO AÇOS'!S77)</f>
        <v/>
      </c>
      <c r="BJ75" s="223">
        <f>IF('CONTROLE GLOBO AÇOS'!T77="","",'CONTROLE GLOBO AÇOS'!T77)</f>
        <v/>
      </c>
      <c r="BK75" s="223">
        <f>IF('CONTROLE GLOBO AÇOS'!U77="","",'CONTROLE GLOBO AÇOS'!U77)</f>
        <v/>
      </c>
      <c r="BL75" s="223">
        <f>IF(AND('CONTROLE EJ'!P77="",'CONTROLE CMM'!#REF!=""),"",N('CONTROLE EJ'!P77)+N('CONTROLE CMM'!#REF!))</f>
        <v/>
      </c>
      <c r="BM75" s="223">
        <f>IF(AND('CONTROLE EJ'!Q77="",'CONTROLE CMM'!#REF!=""),"",N('CONTROLE EJ'!Q77)+N('CONTROLE CMM'!#REF!))</f>
        <v/>
      </c>
      <c r="BN75" s="223">
        <f>IF('CONTROLE GLOBO AÇOS'!V77="","",'CONTROLE GLOBO AÇOS'!V77)</f>
        <v/>
      </c>
      <c r="BO75" s="223">
        <f>IF('CONTROLE GLOBO AÇOS'!W77="","",'CONTROLE GLOBO AÇOS'!W77)</f>
        <v/>
      </c>
      <c r="BP75" s="223">
        <f>IF(AND('CONTROLE EJ'!R77="",'CONTROLE CMM'!#REF!=""),"",N('CONTROLE EJ'!R77)+N('CONTROLE CMM'!#REF!))</f>
        <v/>
      </c>
      <c r="BQ75" s="223">
        <f>IF(#REF!="","",#REF!)</f>
        <v/>
      </c>
      <c r="BR75" s="223">
        <f>IF(AND('CONTROLE EJ'!S77="",'CONTROLE CMM'!#REF!=""),"",N('CONTROLE EJ'!S77)+N('CONTROLE CMM'!#REF!))</f>
        <v/>
      </c>
      <c r="BS75" s="223">
        <f>IF(AND('CONTROLE EJ'!T77="",'CONTROLE CMM'!#REF!=""),"",N('CONTROLE EJ'!T77)+N('CONTROLE CMM'!#REF!))</f>
        <v/>
      </c>
      <c r="BT75" s="223">
        <f>IF('CONTROLE GLOBO AÇOS'!X77="","",'CONTROLE GLOBO AÇOS'!X77)</f>
        <v/>
      </c>
      <c r="BU75" s="223">
        <f>IF('CONTROLE GLOBO AÇOS'!Y77="","",'CONTROLE GLOBO AÇOS'!Y77)</f>
        <v/>
      </c>
      <c r="BV75" s="223">
        <f>IF(AND('CONTROLE EJ'!U77="",'CONTROLE CMM'!#REF!=""),"",N('CONTROLE EJ'!U77)+N('CONTROLE CMM'!#REF!))</f>
        <v/>
      </c>
      <c r="BW75" s="223">
        <f>IF(#REF!="","",#REF!)</f>
        <v/>
      </c>
    </row>
    <row r="76">
      <c r="A76" s="282" t="n">
        <v>46293</v>
      </c>
      <c r="B76" s="223">
        <f>IF('CONTROLE EJ'!B78="","",'CONTROLE EJ'!B78)</f>
        <v/>
      </c>
      <c r="C76" s="223">
        <f>IF('CONTROLE EJ'!C78="","",'CONTROLE EJ'!C78)</f>
        <v/>
      </c>
      <c r="D76" s="42">
        <f>IF('CONTROLE EJ'!D78="","",'CONTROLE EJ'!D78)</f>
        <v/>
      </c>
      <c r="E76" s="44">
        <f>IF('CONTROLE CMM'!B78="","",'CONTROLE CMM'!B78)</f>
        <v/>
      </c>
      <c r="F76" s="223">
        <f>IF('CONTROLE CMM'!C78="","",'CONTROLE CMM'!C78)</f>
        <v/>
      </c>
      <c r="G76" s="42">
        <f>IF('CONTROLE CMM'!D78="","",'CONTROLE CMM'!D78)</f>
        <v/>
      </c>
      <c r="H76" s="44">
        <f>IF('CONTROLE GLOBO AÇOS'!B78="","",'CONTROLE GLOBO AÇOS'!B78)</f>
        <v/>
      </c>
      <c r="I76" s="223">
        <f>IF('CONTROLE GLOBO AÇOS'!C78="","",'CONTROLE GLOBO AÇOS'!C78)</f>
        <v/>
      </c>
      <c r="J76" s="223">
        <f>IF('CONTROLE GLOBO AÇOS'!D78="","",'CONTROLE GLOBO AÇOS'!D78)</f>
        <v/>
      </c>
      <c r="AD76" s="39">
        <f>IF($A76="",0,IF(AND(WEEKDAY($A76,2)&lt;=5,OR($B76&lt;&gt;"",$C76&lt;&gt;"",$D76&lt;&gt;"")),1,0))</f>
        <v/>
      </c>
      <c r="AE76" s="39">
        <f>IF($A76="",0,IF(AND(WEEKDAY($A76,2)&lt;=5,OR($E76&lt;&gt;"",$F76&lt;&gt;"",$G76&lt;&gt;"")),1,0))</f>
        <v/>
      </c>
      <c r="AF76" s="39">
        <f>MAX(AD76,AE76)</f>
        <v/>
      </c>
      <c r="AH76" s="223">
        <f>IF('CONTROLE GLOBO AÇOS'!E78="","",'CONTROLE GLOBO AÇOS'!E78)</f>
        <v/>
      </c>
      <c r="AI76" s="223">
        <f>IF('CONTROLE GLOBO AÇOS'!F78="","",'CONTROLE GLOBO AÇOS'!F78)</f>
        <v/>
      </c>
      <c r="AJ76" s="223">
        <f>IF(AND('CONTROLE EJ'!E78="",'CONTROLE CMM'!E78=""),"",N('CONTROLE EJ'!E78)+N('CONTROLE CMM'!E78))</f>
        <v/>
      </c>
      <c r="AK76" s="223">
        <f>IF(AND('CONTROLE EJ'!F78="",'CONTROLE CMM'!F78=""),"",N('CONTROLE EJ'!F78)+N('CONTROLE CMM'!F78))</f>
        <v/>
      </c>
      <c r="AL76" s="223">
        <f>IF(AND('CONTROLE EJ'!G78="",'CONTROLE CMM'!G78=""),"",N('CONTROLE EJ'!G78)+N('CONTROLE CMM'!G78))</f>
        <v/>
      </c>
      <c r="AM76" s="223">
        <f>IF(AND('CONTROLE EJ'!H78="",'CONTROLE CMM'!H78=""),"",N('CONTROLE EJ'!H78)+N('CONTROLE CMM'!H78))</f>
        <v/>
      </c>
      <c r="AN76" s="223">
        <f>IF('CONTROLE GLOBO AÇOS'!G78="","",'CONTROLE GLOBO AÇOS'!G78)</f>
        <v/>
      </c>
      <c r="AO76" s="223">
        <f>IF('CONTROLE GLOBO AÇOS'!H78="","",'CONTROLE GLOBO AÇOS'!H78)</f>
        <v/>
      </c>
      <c r="AP76" s="223">
        <f>IF(AND('CONTROLE EJ'!I78="",'CONTROLE CMM'!I78=""),"",N('CONTROLE EJ'!I78)+N('CONTROLE CMM'!I78))</f>
        <v/>
      </c>
      <c r="AQ76" s="223">
        <f>IF(AND('CONTROLE EJ'!J78="",'CONTROLE CMM'!#REF!=""),"",N('CONTROLE EJ'!J78)+N('CONTROLE CMM'!#REF!))</f>
        <v/>
      </c>
      <c r="AR76" s="223">
        <f>IF('CONTROLE GLOBO AÇOS'!I78="","",'CONTROLE GLOBO AÇOS'!I78)</f>
        <v/>
      </c>
      <c r="AS76" s="223">
        <f>IF('CONTROLE GLOBO AÇOS'!J78="","",'CONTROLE GLOBO AÇOS'!J78)</f>
        <v/>
      </c>
      <c r="AT76" s="223">
        <f>IF(#REF!="","",#REF!)</f>
        <v/>
      </c>
      <c r="AU76" s="223">
        <f>IF('CONTROLE GLOBO AÇOS'!K78="","",'CONTROLE GLOBO AÇOS'!K78)</f>
        <v/>
      </c>
      <c r="AV76" s="223">
        <f>IF(AND('CONTROLE EJ'!K78="",'CONTROLE CMM'!#REF!=""),"",N('CONTROLE EJ'!K78)+N('CONTROLE CMM'!#REF!))</f>
        <v/>
      </c>
      <c r="AW76" s="223">
        <f>IF('CONTROLE GLOBO AÇOS'!L78="","",'CONTROLE GLOBO AÇOS'!L78)</f>
        <v/>
      </c>
      <c r="AX76" s="223">
        <f>IF(AND('CONTROLE EJ'!L78="",'CONTROLE CMM'!#REF!=""),"",N('CONTROLE EJ'!L78)+N('CONTROLE CMM'!#REF!))</f>
        <v/>
      </c>
      <c r="AY76" s="223">
        <f>IF('CONTROLE GLOBO AÇOS'!M78="","",'CONTROLE GLOBO AÇOS'!M78)</f>
        <v/>
      </c>
      <c r="AZ76" s="223">
        <f>IF('CONTROLE GLOBO AÇOS'!N78="","",'CONTROLE GLOBO AÇOS'!N78)</f>
        <v/>
      </c>
      <c r="BA76" s="223">
        <f>IF(AND('CONTROLE EJ'!M78="",'CONTROLE CMM'!#REF!=""),"",N('CONTROLE EJ'!M78)+N('CONTROLE CMM'!#REF!))</f>
        <v/>
      </c>
      <c r="BB76" s="223">
        <f>IF(#REF!="","",#REF!)</f>
        <v/>
      </c>
      <c r="BC76" s="223">
        <f>IF('CONTROLE GLOBO AÇOS'!O78="","",'CONTROLE GLOBO AÇOS'!O78)</f>
        <v/>
      </c>
      <c r="BD76" s="223">
        <f>IF(AND('CONTROLE EJ'!N78="",'CONTROLE CMM'!#REF!=""),"",N('CONTROLE EJ'!N78)+N('CONTROLE CMM'!#REF!))</f>
        <v/>
      </c>
      <c r="BE76" s="223">
        <f>IF('CONTROLE GLOBO AÇOS'!P78="","",'CONTROLE GLOBO AÇOS'!P78)</f>
        <v/>
      </c>
      <c r="BF76" s="223">
        <f>IF('CONTROLE GLOBO AÇOS'!Q78="","",'CONTROLE GLOBO AÇOS'!Q78)</f>
        <v/>
      </c>
      <c r="BG76" s="223">
        <f>IF('CONTROLE GLOBO AÇOS'!R78="","",'CONTROLE GLOBO AÇOS'!R78)</f>
        <v/>
      </c>
      <c r="BH76" s="223">
        <f>IF(AND('CONTROLE EJ'!O78="",'CONTROLE CMM'!#REF!=""),"",N('CONTROLE EJ'!O78)+N('CONTROLE CMM'!#REF!))</f>
        <v/>
      </c>
      <c r="BI76" s="223">
        <f>IF('CONTROLE GLOBO AÇOS'!S78="","",'CONTROLE GLOBO AÇOS'!S78)</f>
        <v/>
      </c>
      <c r="BJ76" s="223">
        <f>IF('CONTROLE GLOBO AÇOS'!T78="","",'CONTROLE GLOBO AÇOS'!T78)</f>
        <v/>
      </c>
      <c r="BK76" s="223">
        <f>IF('CONTROLE GLOBO AÇOS'!U78="","",'CONTROLE GLOBO AÇOS'!U78)</f>
        <v/>
      </c>
      <c r="BL76" s="223">
        <f>IF(AND('CONTROLE EJ'!P78="",'CONTROLE CMM'!#REF!=""),"",N('CONTROLE EJ'!P78)+N('CONTROLE CMM'!#REF!))</f>
        <v/>
      </c>
      <c r="BM76" s="223">
        <f>IF(AND('CONTROLE EJ'!Q78="",'CONTROLE CMM'!#REF!=""),"",N('CONTROLE EJ'!Q78)+N('CONTROLE CMM'!#REF!))</f>
        <v/>
      </c>
      <c r="BN76" s="223">
        <f>IF('CONTROLE GLOBO AÇOS'!V78="","",'CONTROLE GLOBO AÇOS'!V78)</f>
        <v/>
      </c>
      <c r="BO76" s="223">
        <f>IF('CONTROLE GLOBO AÇOS'!W78="","",'CONTROLE GLOBO AÇOS'!W78)</f>
        <v/>
      </c>
      <c r="BP76" s="223">
        <f>IF(AND('CONTROLE EJ'!R78="",'CONTROLE CMM'!#REF!=""),"",N('CONTROLE EJ'!R78)+N('CONTROLE CMM'!#REF!))</f>
        <v/>
      </c>
      <c r="BQ76" s="223">
        <f>IF(#REF!="","",#REF!)</f>
        <v/>
      </c>
      <c r="BR76" s="223">
        <f>IF(AND('CONTROLE EJ'!S78="",'CONTROLE CMM'!#REF!=""),"",N('CONTROLE EJ'!S78)+N('CONTROLE CMM'!#REF!))</f>
        <v/>
      </c>
      <c r="BS76" s="223">
        <f>IF(AND('CONTROLE EJ'!T78="",'CONTROLE CMM'!#REF!=""),"",N('CONTROLE EJ'!T78)+N('CONTROLE CMM'!#REF!))</f>
        <v/>
      </c>
      <c r="BT76" s="223">
        <f>IF('CONTROLE GLOBO AÇOS'!X78="","",'CONTROLE GLOBO AÇOS'!X78)</f>
        <v/>
      </c>
      <c r="BU76" s="223">
        <f>IF('CONTROLE GLOBO AÇOS'!Y78="","",'CONTROLE GLOBO AÇOS'!Y78)</f>
        <v/>
      </c>
      <c r="BV76" s="223">
        <f>IF(AND('CONTROLE EJ'!U78="",'CONTROLE CMM'!#REF!=""),"",N('CONTROLE EJ'!U78)+N('CONTROLE CMM'!#REF!))</f>
        <v/>
      </c>
      <c r="BW76" s="223">
        <f>IF(#REF!="","",#REF!)</f>
        <v/>
      </c>
    </row>
    <row r="77">
      <c r="A77" s="282" t="n">
        <v>46294</v>
      </c>
      <c r="B77" s="223">
        <f>IF('CONTROLE EJ'!B79="","",'CONTROLE EJ'!B79)</f>
        <v/>
      </c>
      <c r="C77" s="223">
        <f>IF('CONTROLE EJ'!C79="","",'CONTROLE EJ'!C79)</f>
        <v/>
      </c>
      <c r="D77" s="42">
        <f>IF('CONTROLE EJ'!D79="","",'CONTROLE EJ'!D79)</f>
        <v/>
      </c>
      <c r="E77" s="44">
        <f>IF('CONTROLE CMM'!B79="","",'CONTROLE CMM'!B79)</f>
        <v/>
      </c>
      <c r="F77" s="223">
        <f>IF('CONTROLE CMM'!C79="","",'CONTROLE CMM'!C79)</f>
        <v/>
      </c>
      <c r="G77" s="42">
        <f>IF('CONTROLE CMM'!D79="","",'CONTROLE CMM'!D79)</f>
        <v/>
      </c>
      <c r="H77" s="44">
        <f>IF('CONTROLE GLOBO AÇOS'!B79="","",'CONTROLE GLOBO AÇOS'!B79)</f>
        <v/>
      </c>
      <c r="I77" s="223">
        <f>IF('CONTROLE GLOBO AÇOS'!C79="","",'CONTROLE GLOBO AÇOS'!C79)</f>
        <v/>
      </c>
      <c r="J77" s="223">
        <f>IF('CONTROLE GLOBO AÇOS'!D79="","",'CONTROLE GLOBO AÇOS'!D79)</f>
        <v/>
      </c>
      <c r="AD77" s="39">
        <f>IF($A77="",0,IF(AND(WEEKDAY($A77,2)&lt;=5,OR($B77&lt;&gt;"",$C77&lt;&gt;"",$D77&lt;&gt;"")),1,0))</f>
        <v/>
      </c>
      <c r="AE77" s="39">
        <f>IF($A77="",0,IF(AND(WEEKDAY($A77,2)&lt;=5,OR($E77&lt;&gt;"",$F77&lt;&gt;"",$G77&lt;&gt;"")),1,0))</f>
        <v/>
      </c>
      <c r="AF77" s="39">
        <f>MAX(AD77,AE77)</f>
        <v/>
      </c>
      <c r="AH77" s="223">
        <f>IF('CONTROLE GLOBO AÇOS'!E79="","",'CONTROLE GLOBO AÇOS'!E79)</f>
        <v/>
      </c>
      <c r="AI77" s="223">
        <f>IF('CONTROLE GLOBO AÇOS'!F79="","",'CONTROLE GLOBO AÇOS'!F79)</f>
        <v/>
      </c>
      <c r="AJ77" s="223">
        <f>IF(AND('CONTROLE EJ'!E79="",'CONTROLE CMM'!E79=""),"",N('CONTROLE EJ'!E79)+N('CONTROLE CMM'!E79))</f>
        <v/>
      </c>
      <c r="AK77" s="223">
        <f>IF(AND('CONTROLE EJ'!F79="",'CONTROLE CMM'!F79=""),"",N('CONTROLE EJ'!F79)+N('CONTROLE CMM'!F79))</f>
        <v/>
      </c>
      <c r="AL77" s="223">
        <f>IF(AND('CONTROLE EJ'!G79="",'CONTROLE CMM'!G79=""),"",N('CONTROLE EJ'!G79)+N('CONTROLE CMM'!G79))</f>
        <v/>
      </c>
      <c r="AM77" s="223">
        <f>IF(AND('CONTROLE EJ'!H79="",'CONTROLE CMM'!H79=""),"",N('CONTROLE EJ'!H79)+N('CONTROLE CMM'!H79))</f>
        <v/>
      </c>
      <c r="AN77" s="223">
        <f>IF('CONTROLE GLOBO AÇOS'!G79="","",'CONTROLE GLOBO AÇOS'!G79)</f>
        <v/>
      </c>
      <c r="AO77" s="223">
        <f>IF('CONTROLE GLOBO AÇOS'!H79="","",'CONTROLE GLOBO AÇOS'!H79)</f>
        <v/>
      </c>
      <c r="AP77" s="223">
        <f>IF(AND('CONTROLE EJ'!I79="",'CONTROLE CMM'!I79=""),"",N('CONTROLE EJ'!I79)+N('CONTROLE CMM'!I79))</f>
        <v/>
      </c>
      <c r="AQ77" s="223">
        <f>IF(AND('CONTROLE EJ'!J79="",'CONTROLE CMM'!#REF!=""),"",N('CONTROLE EJ'!J79)+N('CONTROLE CMM'!#REF!))</f>
        <v/>
      </c>
      <c r="AR77" s="223">
        <f>IF('CONTROLE GLOBO AÇOS'!I79="","",'CONTROLE GLOBO AÇOS'!I79)</f>
        <v/>
      </c>
      <c r="AS77" s="223">
        <f>IF('CONTROLE GLOBO AÇOS'!J79="","",'CONTROLE GLOBO AÇOS'!J79)</f>
        <v/>
      </c>
      <c r="AT77" s="223">
        <f>IF(#REF!="","",#REF!)</f>
        <v/>
      </c>
      <c r="AU77" s="223">
        <f>IF('CONTROLE GLOBO AÇOS'!K79="","",'CONTROLE GLOBO AÇOS'!K79)</f>
        <v/>
      </c>
      <c r="AV77" s="223">
        <f>IF(AND('CONTROLE EJ'!K79="",'CONTROLE CMM'!#REF!=""),"",N('CONTROLE EJ'!K79)+N('CONTROLE CMM'!#REF!))</f>
        <v/>
      </c>
      <c r="AW77" s="223">
        <f>IF('CONTROLE GLOBO AÇOS'!L79="","",'CONTROLE GLOBO AÇOS'!L79)</f>
        <v/>
      </c>
      <c r="AX77" s="223">
        <f>IF(AND('CONTROLE EJ'!L79="",'CONTROLE CMM'!#REF!=""),"",N('CONTROLE EJ'!L79)+N('CONTROLE CMM'!#REF!))</f>
        <v/>
      </c>
      <c r="AY77" s="223">
        <f>IF('CONTROLE GLOBO AÇOS'!M79="","",'CONTROLE GLOBO AÇOS'!M79)</f>
        <v/>
      </c>
      <c r="AZ77" s="223">
        <f>IF('CONTROLE GLOBO AÇOS'!N79="","",'CONTROLE GLOBO AÇOS'!N79)</f>
        <v/>
      </c>
      <c r="BA77" s="223">
        <f>IF(AND('CONTROLE EJ'!M79="",'CONTROLE CMM'!#REF!=""),"",N('CONTROLE EJ'!M79)+N('CONTROLE CMM'!#REF!))</f>
        <v/>
      </c>
      <c r="BB77" s="223">
        <f>IF(#REF!="","",#REF!)</f>
        <v/>
      </c>
      <c r="BC77" s="223">
        <f>IF('CONTROLE GLOBO AÇOS'!O79="","",'CONTROLE GLOBO AÇOS'!O79)</f>
        <v/>
      </c>
      <c r="BD77" s="223">
        <f>IF(AND('CONTROLE EJ'!N79="",'CONTROLE CMM'!#REF!=""),"",N('CONTROLE EJ'!N79)+N('CONTROLE CMM'!#REF!))</f>
        <v/>
      </c>
      <c r="BE77" s="223">
        <f>IF('CONTROLE GLOBO AÇOS'!P79="","",'CONTROLE GLOBO AÇOS'!P79)</f>
        <v/>
      </c>
      <c r="BF77" s="223">
        <f>IF('CONTROLE GLOBO AÇOS'!Q79="","",'CONTROLE GLOBO AÇOS'!Q79)</f>
        <v/>
      </c>
      <c r="BG77" s="223">
        <f>IF('CONTROLE GLOBO AÇOS'!R79="","",'CONTROLE GLOBO AÇOS'!R79)</f>
        <v/>
      </c>
      <c r="BH77" s="223">
        <f>IF(AND('CONTROLE EJ'!O79="",'CONTROLE CMM'!#REF!=""),"",N('CONTROLE EJ'!O79)+N('CONTROLE CMM'!#REF!))</f>
        <v/>
      </c>
      <c r="BI77" s="223">
        <f>IF('CONTROLE GLOBO AÇOS'!S79="","",'CONTROLE GLOBO AÇOS'!S79)</f>
        <v/>
      </c>
      <c r="BJ77" s="223">
        <f>IF('CONTROLE GLOBO AÇOS'!T79="","",'CONTROLE GLOBO AÇOS'!T79)</f>
        <v/>
      </c>
      <c r="BK77" s="223">
        <f>IF('CONTROLE GLOBO AÇOS'!U79="","",'CONTROLE GLOBO AÇOS'!U79)</f>
        <v/>
      </c>
      <c r="BL77" s="223">
        <f>IF(AND('CONTROLE EJ'!P79="",'CONTROLE CMM'!#REF!=""),"",N('CONTROLE EJ'!P79)+N('CONTROLE CMM'!#REF!))</f>
        <v/>
      </c>
      <c r="BM77" s="223">
        <f>IF(AND('CONTROLE EJ'!Q79="",'CONTROLE CMM'!#REF!=""),"",N('CONTROLE EJ'!Q79)+N('CONTROLE CMM'!#REF!))</f>
        <v/>
      </c>
      <c r="BN77" s="223">
        <f>IF('CONTROLE GLOBO AÇOS'!V79="","",'CONTROLE GLOBO AÇOS'!V79)</f>
        <v/>
      </c>
      <c r="BO77" s="223">
        <f>IF('CONTROLE GLOBO AÇOS'!W79="","",'CONTROLE GLOBO AÇOS'!W79)</f>
        <v/>
      </c>
      <c r="BP77" s="223">
        <f>IF(AND('CONTROLE EJ'!R79="",'CONTROLE CMM'!#REF!=""),"",N('CONTROLE EJ'!R79)+N('CONTROLE CMM'!#REF!))</f>
        <v/>
      </c>
      <c r="BQ77" s="223">
        <f>IF(#REF!="","",#REF!)</f>
        <v/>
      </c>
      <c r="BR77" s="223">
        <f>IF(AND('CONTROLE EJ'!S79="",'CONTROLE CMM'!#REF!=""),"",N('CONTROLE EJ'!S79)+N('CONTROLE CMM'!#REF!))</f>
        <v/>
      </c>
      <c r="BS77" s="223">
        <f>IF(AND('CONTROLE EJ'!T79="",'CONTROLE CMM'!#REF!=""),"",N('CONTROLE EJ'!T79)+N('CONTROLE CMM'!#REF!))</f>
        <v/>
      </c>
      <c r="BT77" s="223">
        <f>IF('CONTROLE GLOBO AÇOS'!X79="","",'CONTROLE GLOBO AÇOS'!X79)</f>
        <v/>
      </c>
      <c r="BU77" s="223">
        <f>IF('CONTROLE GLOBO AÇOS'!Y79="","",'CONTROLE GLOBO AÇOS'!Y79)</f>
        <v/>
      </c>
      <c r="BV77" s="223">
        <f>IF(AND('CONTROLE EJ'!U79="",'CONTROLE CMM'!#REF!=""),"",N('CONTROLE EJ'!U79)+N('CONTROLE CMM'!#REF!))</f>
        <v/>
      </c>
      <c r="BW77" s="223">
        <f>IF(#REF!="","",#REF!)</f>
        <v/>
      </c>
    </row>
    <row r="78">
      <c r="A78" s="282" t="n">
        <v>46295</v>
      </c>
      <c r="B78" s="223">
        <f>IF('CONTROLE EJ'!B80="","",'CONTROLE EJ'!B80)</f>
        <v/>
      </c>
      <c r="C78" s="42">
        <f>IF('CONTROLE EJ'!C80="","",'CONTROLE EJ'!C80)</f>
        <v/>
      </c>
      <c r="D78" s="42">
        <f>IF('CONTROLE EJ'!D80="","",'CONTROLE EJ'!D80)</f>
        <v/>
      </c>
      <c r="E78" s="70">
        <f>IF('CONTROLE CMM'!B80="","",'CONTROLE CMM'!B80)</f>
        <v/>
      </c>
      <c r="F78" s="223">
        <f>IF('CONTROLE CMM'!C80="","",'CONTROLE CMM'!C80)</f>
        <v/>
      </c>
      <c r="G78" s="42">
        <f>IF('CONTROLE CMM'!D80="","",'CONTROLE CMM'!D80)</f>
        <v/>
      </c>
      <c r="H78" s="44">
        <f>IF('CONTROLE GLOBO AÇOS'!B80="","",'CONTROLE GLOBO AÇOS'!B80)</f>
        <v/>
      </c>
      <c r="I78" s="223">
        <f>IF('CONTROLE GLOBO AÇOS'!C80="","",'CONTROLE GLOBO AÇOS'!C80)</f>
        <v/>
      </c>
      <c r="J78" s="223">
        <f>IF('CONTROLE GLOBO AÇOS'!D80="","",'CONTROLE GLOBO AÇOS'!D80)</f>
        <v/>
      </c>
      <c r="AD78" s="39">
        <f>IF($A78="",0,IF(AND(WEEKDAY($A78,2)&lt;=5,OR($B78&lt;&gt;"",$C78&lt;&gt;"",$D78&lt;&gt;"")),1,0))</f>
        <v/>
      </c>
      <c r="AE78" s="39">
        <f>IF($A78="",0,IF(AND(WEEKDAY($A78,2)&lt;=5,OR($E78&lt;&gt;"",$F78&lt;&gt;"",$G78&lt;&gt;"")),1,0))</f>
        <v/>
      </c>
      <c r="AF78" s="39">
        <f>MAX(AD78,AE78)</f>
        <v/>
      </c>
      <c r="AH78" s="223">
        <f>IF('CONTROLE GLOBO AÇOS'!E80="","",'CONTROLE GLOBO AÇOS'!E80)</f>
        <v/>
      </c>
      <c r="AI78" s="223">
        <f>IF('CONTROLE GLOBO AÇOS'!F80="","",'CONTROLE GLOBO AÇOS'!F80)</f>
        <v/>
      </c>
      <c r="AJ78" s="223">
        <f>IF(AND('CONTROLE EJ'!E80="",'CONTROLE CMM'!E80=""),"",N('CONTROLE EJ'!E80)+N('CONTROLE CMM'!E80))</f>
        <v/>
      </c>
      <c r="AK78" s="223">
        <f>IF(AND('CONTROLE EJ'!F80="",'CONTROLE CMM'!F80=""),"",N('CONTROLE EJ'!F80)+N('CONTROLE CMM'!F80))</f>
        <v/>
      </c>
      <c r="AL78" s="223">
        <f>IF(AND('CONTROLE EJ'!G80="",'CONTROLE CMM'!G80=""),"",N('CONTROLE EJ'!G80)+N('CONTROLE CMM'!G80))</f>
        <v/>
      </c>
      <c r="AM78" s="223">
        <f>IF(AND('CONTROLE EJ'!H80="",'CONTROLE CMM'!H80=""),"",N('CONTROLE EJ'!H80)+N('CONTROLE CMM'!H80))</f>
        <v/>
      </c>
      <c r="AN78" s="223">
        <f>IF('CONTROLE GLOBO AÇOS'!G80="","",'CONTROLE GLOBO AÇOS'!G80)</f>
        <v/>
      </c>
      <c r="AO78" s="223">
        <f>IF('CONTROLE GLOBO AÇOS'!H80="","",'CONTROLE GLOBO AÇOS'!H80)</f>
        <v/>
      </c>
      <c r="AP78" s="223">
        <f>IF(AND('CONTROLE EJ'!I80="",'CONTROLE CMM'!I80=""),"",N('CONTROLE EJ'!I80)+N('CONTROLE CMM'!I80))</f>
        <v/>
      </c>
      <c r="AQ78" s="223">
        <f>IF(AND('CONTROLE EJ'!J80="",'CONTROLE CMM'!#REF!=""),"",N('CONTROLE EJ'!J80)+N('CONTROLE CMM'!#REF!))</f>
        <v/>
      </c>
      <c r="AR78" s="223">
        <f>IF('CONTROLE GLOBO AÇOS'!I80="","",'CONTROLE GLOBO AÇOS'!I80)</f>
        <v/>
      </c>
      <c r="AS78" s="223">
        <f>IF('CONTROLE GLOBO AÇOS'!J80="","",'CONTROLE GLOBO AÇOS'!J80)</f>
        <v/>
      </c>
      <c r="AT78" s="223">
        <f>IF(#REF!="","",#REF!)</f>
        <v/>
      </c>
      <c r="AU78" s="223">
        <f>IF('CONTROLE GLOBO AÇOS'!K80="","",'CONTROLE GLOBO AÇOS'!K80)</f>
        <v/>
      </c>
      <c r="AV78" s="223">
        <f>IF(AND('CONTROLE EJ'!K80="",'CONTROLE CMM'!#REF!=""),"",N('CONTROLE EJ'!K80)+N('CONTROLE CMM'!#REF!))</f>
        <v/>
      </c>
      <c r="AW78" s="223">
        <f>IF('CONTROLE GLOBO AÇOS'!L80="","",'CONTROLE GLOBO AÇOS'!L80)</f>
        <v/>
      </c>
      <c r="AX78" s="223">
        <f>IF(AND('CONTROLE EJ'!L80="",'CONTROLE CMM'!#REF!=""),"",N('CONTROLE EJ'!L80)+N('CONTROLE CMM'!#REF!))</f>
        <v/>
      </c>
      <c r="AY78" s="223">
        <f>IF('CONTROLE GLOBO AÇOS'!M80="","",'CONTROLE GLOBO AÇOS'!M80)</f>
        <v/>
      </c>
      <c r="AZ78" s="223">
        <f>IF('CONTROLE GLOBO AÇOS'!N80="","",'CONTROLE GLOBO AÇOS'!N80)</f>
        <v/>
      </c>
      <c r="BA78" s="223">
        <f>IF(AND('CONTROLE EJ'!M80="",'CONTROLE CMM'!#REF!=""),"",N('CONTROLE EJ'!M80)+N('CONTROLE CMM'!#REF!))</f>
        <v/>
      </c>
      <c r="BB78" s="223">
        <f>IF(#REF!="","",#REF!)</f>
        <v/>
      </c>
      <c r="BC78" s="223">
        <f>IF('CONTROLE GLOBO AÇOS'!O80="","",'CONTROLE GLOBO AÇOS'!O80)</f>
        <v/>
      </c>
      <c r="BD78" s="223">
        <f>IF(AND('CONTROLE EJ'!N80="",'CONTROLE CMM'!#REF!=""),"",N('CONTROLE EJ'!N80)+N('CONTROLE CMM'!#REF!))</f>
        <v/>
      </c>
      <c r="BE78" s="223">
        <f>IF('CONTROLE GLOBO AÇOS'!P80="","",'CONTROLE GLOBO AÇOS'!P80)</f>
        <v/>
      </c>
      <c r="BF78" s="223">
        <f>IF('CONTROLE GLOBO AÇOS'!Q80="","",'CONTROLE GLOBO AÇOS'!Q80)</f>
        <v/>
      </c>
      <c r="BG78" s="223">
        <f>IF('CONTROLE GLOBO AÇOS'!R80="","",'CONTROLE GLOBO AÇOS'!R80)</f>
        <v/>
      </c>
      <c r="BH78" s="223">
        <f>IF(AND('CONTROLE EJ'!O80="",'CONTROLE CMM'!#REF!=""),"",N('CONTROLE EJ'!O80)+N('CONTROLE CMM'!#REF!))</f>
        <v/>
      </c>
      <c r="BI78" s="223">
        <f>IF('CONTROLE GLOBO AÇOS'!S80="","",'CONTROLE GLOBO AÇOS'!S80)</f>
        <v/>
      </c>
      <c r="BJ78" s="223">
        <f>IF('CONTROLE GLOBO AÇOS'!T80="","",'CONTROLE GLOBO AÇOS'!T80)</f>
        <v/>
      </c>
      <c r="BK78" s="223">
        <f>IF('CONTROLE GLOBO AÇOS'!U80="","",'CONTROLE GLOBO AÇOS'!U80)</f>
        <v/>
      </c>
      <c r="BL78" s="223">
        <f>IF(AND('CONTROLE EJ'!P80="",'CONTROLE CMM'!#REF!=""),"",N('CONTROLE EJ'!P80)+N('CONTROLE CMM'!#REF!))</f>
        <v/>
      </c>
      <c r="BM78" s="223">
        <f>IF(AND('CONTROLE EJ'!Q80="",'CONTROLE CMM'!#REF!=""),"",N('CONTROLE EJ'!Q80)+N('CONTROLE CMM'!#REF!))</f>
        <v/>
      </c>
      <c r="BN78" s="223">
        <f>IF('CONTROLE GLOBO AÇOS'!V80="","",'CONTROLE GLOBO AÇOS'!V80)</f>
        <v/>
      </c>
      <c r="BO78" s="223">
        <f>IF('CONTROLE GLOBO AÇOS'!W80="","",'CONTROLE GLOBO AÇOS'!W80)</f>
        <v/>
      </c>
      <c r="BP78" s="223">
        <f>IF(AND('CONTROLE EJ'!R80="",'CONTROLE CMM'!#REF!=""),"",N('CONTROLE EJ'!R80)+N('CONTROLE CMM'!#REF!))</f>
        <v/>
      </c>
      <c r="BQ78" s="223">
        <f>IF(#REF!="","",#REF!)</f>
        <v/>
      </c>
      <c r="BR78" s="223">
        <f>IF(AND('CONTROLE EJ'!S80="",'CONTROLE CMM'!#REF!=""),"",N('CONTROLE EJ'!S80)+N('CONTROLE CMM'!#REF!))</f>
        <v/>
      </c>
      <c r="BS78" s="223">
        <f>IF(AND('CONTROLE EJ'!T80="",'CONTROLE CMM'!#REF!=""),"",N('CONTROLE EJ'!T80)+N('CONTROLE CMM'!#REF!))</f>
        <v/>
      </c>
      <c r="BT78" s="223">
        <f>IF('CONTROLE GLOBO AÇOS'!X80="","",'CONTROLE GLOBO AÇOS'!X80)</f>
        <v/>
      </c>
      <c r="BU78" s="223">
        <f>IF('CONTROLE GLOBO AÇOS'!Y80="","",'CONTROLE GLOBO AÇOS'!Y80)</f>
        <v/>
      </c>
      <c r="BV78" s="223">
        <f>IF(AND('CONTROLE EJ'!U80="",'CONTROLE CMM'!#REF!=""),"",N('CONTROLE EJ'!U80)+N('CONTROLE CMM'!#REF!))</f>
        <v/>
      </c>
      <c r="BW78" s="223">
        <f>IF(#REF!="","",#REF!)</f>
        <v/>
      </c>
    </row>
    <row r="79">
      <c r="A79" s="282" t="n">
        <v>46296</v>
      </c>
      <c r="B79" s="223">
        <f>IF('CONTROLE EJ'!B81="","",'CONTROLE EJ'!B81)</f>
        <v/>
      </c>
      <c r="C79" s="42">
        <f>IF('CONTROLE EJ'!C81="","",'CONTROLE EJ'!C81)</f>
        <v/>
      </c>
      <c r="D79" s="42">
        <f>IF('CONTROLE EJ'!D81="","",'CONTROLE EJ'!D81)</f>
        <v/>
      </c>
      <c r="E79" s="70">
        <f>IF('CONTROLE CMM'!B81="","",'CONTROLE CMM'!B81)</f>
        <v/>
      </c>
      <c r="F79" s="223">
        <f>IF('CONTROLE CMM'!C81="","",'CONTROLE CMM'!C81)</f>
        <v/>
      </c>
      <c r="G79" s="42">
        <f>IF('CONTROLE CMM'!D81="","",'CONTROLE CMM'!D81)</f>
        <v/>
      </c>
      <c r="H79" s="44">
        <f>IF('CONTROLE GLOBO AÇOS'!B81="","",'CONTROLE GLOBO AÇOS'!B81)</f>
        <v/>
      </c>
      <c r="I79" s="223">
        <f>IF('CONTROLE GLOBO AÇOS'!C81="","",'CONTROLE GLOBO AÇOS'!C81)</f>
        <v/>
      </c>
      <c r="J79" s="223">
        <f>IF('CONTROLE GLOBO AÇOS'!D81="","",'CONTROLE GLOBO AÇOS'!D81)</f>
        <v/>
      </c>
      <c r="AD79" s="39">
        <f>IF($A79="",0,IF(AND(WEEKDAY($A79,2)&lt;=5,OR($B79&lt;&gt;"",$C79&lt;&gt;"",$D79&lt;&gt;"")),1,0))</f>
        <v/>
      </c>
      <c r="AE79" s="39">
        <f>IF($A79="",0,IF(AND(WEEKDAY($A79,2)&lt;=5,OR($E79&lt;&gt;"",$F79&lt;&gt;"",$G79&lt;&gt;"")),1,0))</f>
        <v/>
      </c>
      <c r="AF79" s="39">
        <f>MAX(AD79,AE79)</f>
        <v/>
      </c>
      <c r="AH79" s="223">
        <f>IF('CONTROLE GLOBO AÇOS'!E81="","",'CONTROLE GLOBO AÇOS'!E81)</f>
        <v/>
      </c>
      <c r="AI79" s="223">
        <f>IF('CONTROLE GLOBO AÇOS'!F81="","",'CONTROLE GLOBO AÇOS'!F81)</f>
        <v/>
      </c>
      <c r="AJ79" s="223">
        <f>IF(AND('CONTROLE EJ'!E81="",'CONTROLE CMM'!E81=""),"",N('CONTROLE EJ'!E81)+N('CONTROLE CMM'!E81))</f>
        <v/>
      </c>
      <c r="AK79" s="223">
        <f>IF(AND('CONTROLE EJ'!F81="",'CONTROLE CMM'!F81=""),"",N('CONTROLE EJ'!F81)+N('CONTROLE CMM'!F81))</f>
        <v/>
      </c>
      <c r="AL79" s="223">
        <f>IF(AND('CONTROLE EJ'!G81="",'CONTROLE CMM'!G81=""),"",N('CONTROLE EJ'!G81)+N('CONTROLE CMM'!G81))</f>
        <v/>
      </c>
      <c r="AM79" s="223">
        <f>IF(AND('CONTROLE EJ'!H81="",'CONTROLE CMM'!H81=""),"",N('CONTROLE EJ'!H81)+N('CONTROLE CMM'!H81))</f>
        <v/>
      </c>
      <c r="AN79" s="223">
        <f>IF('CONTROLE GLOBO AÇOS'!G81="","",'CONTROLE GLOBO AÇOS'!G81)</f>
        <v/>
      </c>
      <c r="AO79" s="223">
        <f>IF('CONTROLE GLOBO AÇOS'!H81="","",'CONTROLE GLOBO AÇOS'!H81)</f>
        <v/>
      </c>
      <c r="AP79" s="223">
        <f>IF(AND('CONTROLE EJ'!I81="",'CONTROLE CMM'!I81=""),"",N('CONTROLE EJ'!I81)+N('CONTROLE CMM'!I81))</f>
        <v/>
      </c>
      <c r="AQ79" s="223">
        <f>IF(AND('CONTROLE EJ'!J81="",'CONTROLE CMM'!#REF!=""),"",N('CONTROLE EJ'!J81)+N('CONTROLE CMM'!#REF!))</f>
        <v/>
      </c>
      <c r="AR79" s="223">
        <f>IF('CONTROLE GLOBO AÇOS'!I81="","",'CONTROLE GLOBO AÇOS'!I81)</f>
        <v/>
      </c>
      <c r="AS79" s="223">
        <f>IF('CONTROLE GLOBO AÇOS'!J81="","",'CONTROLE GLOBO AÇOS'!J81)</f>
        <v/>
      </c>
      <c r="AT79" s="223">
        <f>IF(#REF!="","",#REF!)</f>
        <v/>
      </c>
      <c r="AU79" s="223">
        <f>IF('CONTROLE GLOBO AÇOS'!K81="","",'CONTROLE GLOBO AÇOS'!K81)</f>
        <v/>
      </c>
      <c r="AV79" s="223">
        <f>IF(AND('CONTROLE EJ'!K81="",'CONTROLE CMM'!#REF!=""),"",N('CONTROLE EJ'!K81)+N('CONTROLE CMM'!#REF!))</f>
        <v/>
      </c>
      <c r="AW79" s="223">
        <f>IF('CONTROLE GLOBO AÇOS'!L81="","",'CONTROLE GLOBO AÇOS'!L81)</f>
        <v/>
      </c>
      <c r="AX79" s="223">
        <f>IF(AND('CONTROLE EJ'!L81="",'CONTROLE CMM'!#REF!=""),"",N('CONTROLE EJ'!L81)+N('CONTROLE CMM'!#REF!))</f>
        <v/>
      </c>
      <c r="AY79" s="223">
        <f>IF('CONTROLE GLOBO AÇOS'!M81="","",'CONTROLE GLOBO AÇOS'!M81)</f>
        <v/>
      </c>
      <c r="AZ79" s="223">
        <f>IF('CONTROLE GLOBO AÇOS'!N81="","",'CONTROLE GLOBO AÇOS'!N81)</f>
        <v/>
      </c>
      <c r="BA79" s="223">
        <f>IF(AND('CONTROLE EJ'!M81="",'CONTROLE CMM'!#REF!=""),"",N('CONTROLE EJ'!M81)+N('CONTROLE CMM'!#REF!))</f>
        <v/>
      </c>
      <c r="BB79" s="223">
        <f>IF(#REF!="","",#REF!)</f>
        <v/>
      </c>
      <c r="BC79" s="223">
        <f>IF('CONTROLE GLOBO AÇOS'!O81="","",'CONTROLE GLOBO AÇOS'!O81)</f>
        <v/>
      </c>
      <c r="BD79" s="223">
        <f>IF(AND('CONTROLE EJ'!N81="",'CONTROLE CMM'!#REF!=""),"",N('CONTROLE EJ'!N81)+N('CONTROLE CMM'!#REF!))</f>
        <v/>
      </c>
      <c r="BE79" s="223">
        <f>IF('CONTROLE GLOBO AÇOS'!P81="","",'CONTROLE GLOBO AÇOS'!P81)</f>
        <v/>
      </c>
      <c r="BF79" s="223">
        <f>IF('CONTROLE GLOBO AÇOS'!Q81="","",'CONTROLE GLOBO AÇOS'!Q81)</f>
        <v/>
      </c>
      <c r="BG79" s="223">
        <f>IF('CONTROLE GLOBO AÇOS'!R81="","",'CONTROLE GLOBO AÇOS'!R81)</f>
        <v/>
      </c>
      <c r="BH79" s="223">
        <f>IF(AND('CONTROLE EJ'!O81="",'CONTROLE CMM'!#REF!=""),"",N('CONTROLE EJ'!O81)+N('CONTROLE CMM'!#REF!))</f>
        <v/>
      </c>
      <c r="BI79" s="223">
        <f>IF('CONTROLE GLOBO AÇOS'!S81="","",'CONTROLE GLOBO AÇOS'!S81)</f>
        <v/>
      </c>
      <c r="BJ79" s="223">
        <f>IF('CONTROLE GLOBO AÇOS'!T81="","",'CONTROLE GLOBO AÇOS'!T81)</f>
        <v/>
      </c>
      <c r="BK79" s="223">
        <f>IF('CONTROLE GLOBO AÇOS'!U81="","",'CONTROLE GLOBO AÇOS'!U81)</f>
        <v/>
      </c>
      <c r="BL79" s="223">
        <f>IF(AND('CONTROLE EJ'!P81="",'CONTROLE CMM'!#REF!=""),"",N('CONTROLE EJ'!P81)+N('CONTROLE CMM'!#REF!))</f>
        <v/>
      </c>
      <c r="BM79" s="223">
        <f>IF(AND('CONTROLE EJ'!Q81="",'CONTROLE CMM'!#REF!=""),"",N('CONTROLE EJ'!Q81)+N('CONTROLE CMM'!#REF!))</f>
        <v/>
      </c>
      <c r="BN79" s="223">
        <f>IF('CONTROLE GLOBO AÇOS'!V81="","",'CONTROLE GLOBO AÇOS'!V81)</f>
        <v/>
      </c>
      <c r="BO79" s="223">
        <f>IF('CONTROLE GLOBO AÇOS'!W81="","",'CONTROLE GLOBO AÇOS'!W81)</f>
        <v/>
      </c>
      <c r="BP79" s="223">
        <f>IF(AND('CONTROLE EJ'!R81="",'CONTROLE CMM'!#REF!=""),"",N('CONTROLE EJ'!R81)+N('CONTROLE CMM'!#REF!))</f>
        <v/>
      </c>
      <c r="BQ79" s="223">
        <f>IF(#REF!="","",#REF!)</f>
        <v/>
      </c>
      <c r="BR79" s="223">
        <f>IF(AND('CONTROLE EJ'!S81="",'CONTROLE CMM'!#REF!=""),"",N('CONTROLE EJ'!S81)+N('CONTROLE CMM'!#REF!))</f>
        <v/>
      </c>
      <c r="BS79" s="223">
        <f>IF(AND('CONTROLE EJ'!T81="",'CONTROLE CMM'!#REF!=""),"",N('CONTROLE EJ'!T81)+N('CONTROLE CMM'!#REF!))</f>
        <v/>
      </c>
      <c r="BT79" s="223">
        <f>IF('CONTROLE GLOBO AÇOS'!X81="","",'CONTROLE GLOBO AÇOS'!X81)</f>
        <v/>
      </c>
      <c r="BU79" s="223">
        <f>IF('CONTROLE GLOBO AÇOS'!Y81="","",'CONTROLE GLOBO AÇOS'!Y81)</f>
        <v/>
      </c>
      <c r="BV79" s="223">
        <f>IF(AND('CONTROLE EJ'!U81="",'CONTROLE CMM'!#REF!=""),"",N('CONTROLE EJ'!U81)+N('CONTROLE CMM'!#REF!))</f>
        <v/>
      </c>
      <c r="BW79" s="223">
        <f>IF(#REF!="","",#REF!)</f>
        <v/>
      </c>
    </row>
    <row r="80">
      <c r="A80" s="282" t="n">
        <v>46297</v>
      </c>
      <c r="B80" s="223">
        <f>IF('CONTROLE EJ'!B82="","",'CONTROLE EJ'!B82)</f>
        <v/>
      </c>
      <c r="C80" s="42">
        <f>IF('CONTROLE EJ'!C82="","",'CONTROLE EJ'!C82)</f>
        <v/>
      </c>
      <c r="D80" s="42">
        <f>IF('CONTROLE EJ'!D82="","",'CONTROLE EJ'!D82)</f>
        <v/>
      </c>
      <c r="E80" s="70">
        <f>IF('CONTROLE CMM'!B82="","",'CONTROLE CMM'!B82)</f>
        <v/>
      </c>
      <c r="F80" s="223">
        <f>IF('CONTROLE CMM'!C82="","",'CONTROLE CMM'!C82)</f>
        <v/>
      </c>
      <c r="G80" s="42">
        <f>IF('CONTROLE CMM'!D82="","",'CONTROLE CMM'!D82)</f>
        <v/>
      </c>
      <c r="H80" s="44">
        <f>IF('CONTROLE GLOBO AÇOS'!B82="","",'CONTROLE GLOBO AÇOS'!B82)</f>
        <v/>
      </c>
      <c r="I80" s="223">
        <f>IF('CONTROLE GLOBO AÇOS'!C82="","",'CONTROLE GLOBO AÇOS'!C82)</f>
        <v/>
      </c>
      <c r="J80" s="223">
        <f>IF('CONTROLE GLOBO AÇOS'!D82="","",'CONTROLE GLOBO AÇOS'!D82)</f>
        <v/>
      </c>
      <c r="AD80" s="39">
        <f>IF($A80="",0,IF(AND(WEEKDAY($A80,2)&lt;=5,OR($B80&lt;&gt;"",$C80&lt;&gt;"",$D80&lt;&gt;"")),1,0))</f>
        <v/>
      </c>
      <c r="AE80" s="39">
        <f>IF($A80="",0,IF(AND(WEEKDAY($A80,2)&lt;=5,OR($E80&lt;&gt;"",$F80&lt;&gt;"",$G80&lt;&gt;"")),1,0))</f>
        <v/>
      </c>
      <c r="AF80" s="39">
        <f>MAX(AD80,AE80)</f>
        <v/>
      </c>
      <c r="AH80" s="223">
        <f>IF('CONTROLE GLOBO AÇOS'!E82="","",'CONTROLE GLOBO AÇOS'!E82)</f>
        <v/>
      </c>
      <c r="AI80" s="223">
        <f>IF('CONTROLE GLOBO AÇOS'!F82="","",'CONTROLE GLOBO AÇOS'!F82)</f>
        <v/>
      </c>
      <c r="AJ80" s="223">
        <f>IF(AND('CONTROLE EJ'!E82="",'CONTROLE CMM'!E82=""),"",N('CONTROLE EJ'!E82)+N('CONTROLE CMM'!E82))</f>
        <v/>
      </c>
      <c r="AK80" s="223">
        <f>IF(AND('CONTROLE EJ'!F82="",'CONTROLE CMM'!F82=""),"",N('CONTROLE EJ'!F82)+N('CONTROLE CMM'!F82))</f>
        <v/>
      </c>
      <c r="AL80" s="223">
        <f>IF(AND('CONTROLE EJ'!G82="",'CONTROLE CMM'!G82=""),"",N('CONTROLE EJ'!G82)+N('CONTROLE CMM'!G82))</f>
        <v/>
      </c>
      <c r="AM80" s="223">
        <f>IF(AND('CONTROLE EJ'!H82="",'CONTROLE CMM'!H82=""),"",N('CONTROLE EJ'!H82)+N('CONTROLE CMM'!H82))</f>
        <v/>
      </c>
      <c r="AN80" s="223">
        <f>IF('CONTROLE GLOBO AÇOS'!G82="","",'CONTROLE GLOBO AÇOS'!G82)</f>
        <v/>
      </c>
      <c r="AO80" s="223">
        <f>IF('CONTROLE GLOBO AÇOS'!H82="","",'CONTROLE GLOBO AÇOS'!H82)</f>
        <v/>
      </c>
      <c r="AP80" s="223">
        <f>IF(AND('CONTROLE EJ'!I82="",'CONTROLE CMM'!I82=""),"",N('CONTROLE EJ'!I82)+N('CONTROLE CMM'!I82))</f>
        <v/>
      </c>
      <c r="AQ80" s="223">
        <f>IF(AND('CONTROLE EJ'!J82="",'CONTROLE CMM'!#REF!=""),"",N('CONTROLE EJ'!J82)+N('CONTROLE CMM'!#REF!))</f>
        <v/>
      </c>
      <c r="AR80" s="223">
        <f>IF('CONTROLE GLOBO AÇOS'!I82="","",'CONTROLE GLOBO AÇOS'!I82)</f>
        <v/>
      </c>
      <c r="AS80" s="223">
        <f>IF('CONTROLE GLOBO AÇOS'!J82="","",'CONTROLE GLOBO AÇOS'!J82)</f>
        <v/>
      </c>
      <c r="AT80" s="223">
        <f>IF(#REF!="","",#REF!)</f>
        <v/>
      </c>
      <c r="AU80" s="223">
        <f>IF('CONTROLE GLOBO AÇOS'!K82="","",'CONTROLE GLOBO AÇOS'!K82)</f>
        <v/>
      </c>
      <c r="AV80" s="223">
        <f>IF(AND('CONTROLE EJ'!K82="",'CONTROLE CMM'!#REF!=""),"",N('CONTROLE EJ'!K82)+N('CONTROLE CMM'!#REF!))</f>
        <v/>
      </c>
      <c r="AW80" s="223">
        <f>IF('CONTROLE GLOBO AÇOS'!L82="","",'CONTROLE GLOBO AÇOS'!L82)</f>
        <v/>
      </c>
      <c r="AX80" s="223">
        <f>IF(AND('CONTROLE EJ'!L82="",'CONTROLE CMM'!#REF!=""),"",N('CONTROLE EJ'!L82)+N('CONTROLE CMM'!#REF!))</f>
        <v/>
      </c>
      <c r="AY80" s="223">
        <f>IF('CONTROLE GLOBO AÇOS'!M82="","",'CONTROLE GLOBO AÇOS'!M82)</f>
        <v/>
      </c>
      <c r="AZ80" s="223">
        <f>IF('CONTROLE GLOBO AÇOS'!N82="","",'CONTROLE GLOBO AÇOS'!N82)</f>
        <v/>
      </c>
      <c r="BA80" s="223">
        <f>IF(AND('CONTROLE EJ'!M82="",'CONTROLE CMM'!#REF!=""),"",N('CONTROLE EJ'!M82)+N('CONTROLE CMM'!#REF!))</f>
        <v/>
      </c>
      <c r="BB80" s="223">
        <f>IF(#REF!="","",#REF!)</f>
        <v/>
      </c>
      <c r="BC80" s="223">
        <f>IF('CONTROLE GLOBO AÇOS'!O82="","",'CONTROLE GLOBO AÇOS'!O82)</f>
        <v/>
      </c>
      <c r="BD80" s="223">
        <f>IF(AND('CONTROLE EJ'!N82="",'CONTROLE CMM'!#REF!=""),"",N('CONTROLE EJ'!N82)+N('CONTROLE CMM'!#REF!))</f>
        <v/>
      </c>
      <c r="BE80" s="223">
        <f>IF('CONTROLE GLOBO AÇOS'!P82="","",'CONTROLE GLOBO AÇOS'!P82)</f>
        <v/>
      </c>
      <c r="BF80" s="223">
        <f>IF('CONTROLE GLOBO AÇOS'!Q82="","",'CONTROLE GLOBO AÇOS'!Q82)</f>
        <v/>
      </c>
      <c r="BG80" s="223">
        <f>IF('CONTROLE GLOBO AÇOS'!R82="","",'CONTROLE GLOBO AÇOS'!R82)</f>
        <v/>
      </c>
      <c r="BH80" s="223">
        <f>IF(AND('CONTROLE EJ'!O82="",'CONTROLE CMM'!#REF!=""),"",N('CONTROLE EJ'!O82)+N('CONTROLE CMM'!#REF!))</f>
        <v/>
      </c>
      <c r="BI80" s="223">
        <f>IF('CONTROLE GLOBO AÇOS'!S82="","",'CONTROLE GLOBO AÇOS'!S82)</f>
        <v/>
      </c>
      <c r="BJ80" s="223">
        <f>IF('CONTROLE GLOBO AÇOS'!T82="","",'CONTROLE GLOBO AÇOS'!T82)</f>
        <v/>
      </c>
      <c r="BK80" s="223">
        <f>IF('CONTROLE GLOBO AÇOS'!U82="","",'CONTROLE GLOBO AÇOS'!U82)</f>
        <v/>
      </c>
      <c r="BL80" s="223">
        <f>IF(AND('CONTROLE EJ'!P82="",'CONTROLE CMM'!#REF!=""),"",N('CONTROLE EJ'!P82)+N('CONTROLE CMM'!#REF!))</f>
        <v/>
      </c>
      <c r="BM80" s="223">
        <f>IF(AND('CONTROLE EJ'!Q82="",'CONTROLE CMM'!#REF!=""),"",N('CONTROLE EJ'!Q82)+N('CONTROLE CMM'!#REF!))</f>
        <v/>
      </c>
      <c r="BN80" s="223">
        <f>IF('CONTROLE GLOBO AÇOS'!V82="","",'CONTROLE GLOBO AÇOS'!V82)</f>
        <v/>
      </c>
      <c r="BO80" s="223">
        <f>IF('CONTROLE GLOBO AÇOS'!W82="","",'CONTROLE GLOBO AÇOS'!W82)</f>
        <v/>
      </c>
      <c r="BP80" s="223">
        <f>IF(AND('CONTROLE EJ'!R82="",'CONTROLE CMM'!#REF!=""),"",N('CONTROLE EJ'!R82)+N('CONTROLE CMM'!#REF!))</f>
        <v/>
      </c>
      <c r="BQ80" s="223">
        <f>IF(#REF!="","",#REF!)</f>
        <v/>
      </c>
      <c r="BR80" s="223">
        <f>IF(AND('CONTROLE EJ'!S82="",'CONTROLE CMM'!#REF!=""),"",N('CONTROLE EJ'!S82)+N('CONTROLE CMM'!#REF!))</f>
        <v/>
      </c>
      <c r="BS80" s="223">
        <f>IF(AND('CONTROLE EJ'!T82="",'CONTROLE CMM'!#REF!=""),"",N('CONTROLE EJ'!T82)+N('CONTROLE CMM'!#REF!))</f>
        <v/>
      </c>
      <c r="BT80" s="223">
        <f>IF('CONTROLE GLOBO AÇOS'!X82="","",'CONTROLE GLOBO AÇOS'!X82)</f>
        <v/>
      </c>
      <c r="BU80" s="223">
        <f>IF('CONTROLE GLOBO AÇOS'!Y82="","",'CONTROLE GLOBO AÇOS'!Y82)</f>
        <v/>
      </c>
      <c r="BV80" s="223">
        <f>IF(AND('CONTROLE EJ'!U82="",'CONTROLE CMM'!#REF!=""),"",N('CONTROLE EJ'!U82)+N('CONTROLE CMM'!#REF!))</f>
        <v/>
      </c>
      <c r="BW80" s="223">
        <f>IF(#REF!="","",#REF!)</f>
        <v/>
      </c>
    </row>
    <row r="81">
      <c r="A81" s="282" t="n">
        <v>46298</v>
      </c>
      <c r="B81" s="223">
        <f>IF('CONTROLE EJ'!B83="","",'CONTROLE EJ'!B83)</f>
        <v/>
      </c>
      <c r="C81" s="42">
        <f>IF('CONTROLE EJ'!C83="","",'CONTROLE EJ'!C83)</f>
        <v/>
      </c>
      <c r="D81" s="42">
        <f>IF('CONTROLE EJ'!D83="","",'CONTROLE EJ'!D83)</f>
        <v/>
      </c>
      <c r="E81" s="70">
        <f>IF('CONTROLE CMM'!B83="","",'CONTROLE CMM'!B83)</f>
        <v/>
      </c>
      <c r="F81" s="223">
        <f>IF('CONTROLE CMM'!C83="","",'CONTROLE CMM'!C83)</f>
        <v/>
      </c>
      <c r="G81" s="42">
        <f>IF('CONTROLE CMM'!D83="","",'CONTROLE CMM'!D83)</f>
        <v/>
      </c>
      <c r="H81" s="44">
        <f>IF('CONTROLE GLOBO AÇOS'!B83="","",'CONTROLE GLOBO AÇOS'!B83)</f>
        <v/>
      </c>
      <c r="I81" s="223">
        <f>IF('CONTROLE GLOBO AÇOS'!C83="","",'CONTROLE GLOBO AÇOS'!C83)</f>
        <v/>
      </c>
      <c r="J81" s="223">
        <f>IF('CONTROLE GLOBO AÇOS'!D83="","",'CONTROLE GLOBO AÇOS'!D83)</f>
        <v/>
      </c>
      <c r="AD81" s="39">
        <f>IF($A81="",0,IF(AND(WEEKDAY($A81,2)&lt;=5,OR($B81&lt;&gt;"",$C81&lt;&gt;"",$D81&lt;&gt;"")),1,0))</f>
        <v/>
      </c>
      <c r="AE81" s="39">
        <f>IF($A81="",0,IF(AND(WEEKDAY($A81,2)&lt;=5,OR($E81&lt;&gt;"",$F81&lt;&gt;"",$G81&lt;&gt;"")),1,0))</f>
        <v/>
      </c>
      <c r="AF81" s="39">
        <f>MAX(AD81,AE81)</f>
        <v/>
      </c>
      <c r="AH81" s="223">
        <f>IF('CONTROLE GLOBO AÇOS'!E83="","",'CONTROLE GLOBO AÇOS'!E83)</f>
        <v/>
      </c>
      <c r="AI81" s="223">
        <f>IF('CONTROLE GLOBO AÇOS'!F83="","",'CONTROLE GLOBO AÇOS'!F83)</f>
        <v/>
      </c>
      <c r="AJ81" s="223">
        <f>IF(AND('CONTROLE EJ'!E83="",'CONTROLE CMM'!E83=""),"",N('CONTROLE EJ'!E83)+N('CONTROLE CMM'!E83))</f>
        <v/>
      </c>
      <c r="AK81" s="223">
        <f>IF(AND('CONTROLE EJ'!F83="",'CONTROLE CMM'!F83=""),"",N('CONTROLE EJ'!F83)+N('CONTROLE CMM'!F83))</f>
        <v/>
      </c>
      <c r="AL81" s="223">
        <f>IF(AND('CONTROLE EJ'!G83="",'CONTROLE CMM'!G83=""),"",N('CONTROLE EJ'!G83)+N('CONTROLE CMM'!G83))</f>
        <v/>
      </c>
      <c r="AM81" s="223">
        <f>IF(AND('CONTROLE EJ'!H83="",'CONTROLE CMM'!H83=""),"",N('CONTROLE EJ'!H83)+N('CONTROLE CMM'!H83))</f>
        <v/>
      </c>
      <c r="AN81" s="223">
        <f>IF('CONTROLE GLOBO AÇOS'!G83="","",'CONTROLE GLOBO AÇOS'!G83)</f>
        <v/>
      </c>
      <c r="AO81" s="223">
        <f>IF('CONTROLE GLOBO AÇOS'!H83="","",'CONTROLE GLOBO AÇOS'!H83)</f>
        <v/>
      </c>
      <c r="AP81" s="223">
        <f>IF(AND('CONTROLE EJ'!I83="",'CONTROLE CMM'!I83=""),"",N('CONTROLE EJ'!I83)+N('CONTROLE CMM'!I83))</f>
        <v/>
      </c>
      <c r="AQ81" s="223">
        <f>IF(AND('CONTROLE EJ'!J83="",'CONTROLE CMM'!#REF!=""),"",N('CONTROLE EJ'!J83)+N('CONTROLE CMM'!#REF!))</f>
        <v/>
      </c>
      <c r="AR81" s="223">
        <f>IF('CONTROLE GLOBO AÇOS'!I83="","",'CONTROLE GLOBO AÇOS'!I83)</f>
        <v/>
      </c>
      <c r="AS81" s="223">
        <f>IF('CONTROLE GLOBO AÇOS'!J83="","",'CONTROLE GLOBO AÇOS'!J83)</f>
        <v/>
      </c>
      <c r="AT81" s="223">
        <f>IF(#REF!="","",#REF!)</f>
        <v/>
      </c>
      <c r="AU81" s="223">
        <f>IF('CONTROLE GLOBO AÇOS'!K83="","",'CONTROLE GLOBO AÇOS'!K83)</f>
        <v/>
      </c>
      <c r="AV81" s="223">
        <f>IF(AND('CONTROLE EJ'!K83="",'CONTROLE CMM'!#REF!=""),"",N('CONTROLE EJ'!K83)+N('CONTROLE CMM'!#REF!))</f>
        <v/>
      </c>
      <c r="AW81" s="223">
        <f>IF('CONTROLE GLOBO AÇOS'!L83="","",'CONTROLE GLOBO AÇOS'!L83)</f>
        <v/>
      </c>
      <c r="AX81" s="223">
        <f>IF(AND('CONTROLE EJ'!L83="",'CONTROLE CMM'!#REF!=""),"",N('CONTROLE EJ'!L83)+N('CONTROLE CMM'!#REF!))</f>
        <v/>
      </c>
      <c r="AY81" s="223">
        <f>IF('CONTROLE GLOBO AÇOS'!M83="","",'CONTROLE GLOBO AÇOS'!M83)</f>
        <v/>
      </c>
      <c r="AZ81" s="223">
        <f>IF('CONTROLE GLOBO AÇOS'!N83="","",'CONTROLE GLOBO AÇOS'!N83)</f>
        <v/>
      </c>
      <c r="BA81" s="223">
        <f>IF(AND('CONTROLE EJ'!M83="",'CONTROLE CMM'!#REF!=""),"",N('CONTROLE EJ'!M83)+N('CONTROLE CMM'!#REF!))</f>
        <v/>
      </c>
      <c r="BB81" s="223">
        <f>IF(#REF!="","",#REF!)</f>
        <v/>
      </c>
      <c r="BC81" s="223">
        <f>IF('CONTROLE GLOBO AÇOS'!O83="","",'CONTROLE GLOBO AÇOS'!O83)</f>
        <v/>
      </c>
      <c r="BD81" s="223">
        <f>IF(AND('CONTROLE EJ'!N83="",'CONTROLE CMM'!#REF!=""),"",N('CONTROLE EJ'!N83)+N('CONTROLE CMM'!#REF!))</f>
        <v/>
      </c>
      <c r="BE81" s="223">
        <f>IF('CONTROLE GLOBO AÇOS'!P83="","",'CONTROLE GLOBO AÇOS'!P83)</f>
        <v/>
      </c>
      <c r="BF81" s="223">
        <f>IF('CONTROLE GLOBO AÇOS'!Q83="","",'CONTROLE GLOBO AÇOS'!Q83)</f>
        <v/>
      </c>
      <c r="BG81" s="223">
        <f>IF('CONTROLE GLOBO AÇOS'!R83="","",'CONTROLE GLOBO AÇOS'!R83)</f>
        <v/>
      </c>
      <c r="BH81" s="223">
        <f>IF(AND('CONTROLE EJ'!O83="",'CONTROLE CMM'!#REF!=""),"",N('CONTROLE EJ'!O83)+N('CONTROLE CMM'!#REF!))</f>
        <v/>
      </c>
      <c r="BI81" s="223">
        <f>IF('CONTROLE GLOBO AÇOS'!S83="","",'CONTROLE GLOBO AÇOS'!S83)</f>
        <v/>
      </c>
      <c r="BJ81" s="223">
        <f>IF('CONTROLE GLOBO AÇOS'!T83="","",'CONTROLE GLOBO AÇOS'!T83)</f>
        <v/>
      </c>
      <c r="BK81" s="223">
        <f>IF('CONTROLE GLOBO AÇOS'!U83="","",'CONTROLE GLOBO AÇOS'!U83)</f>
        <v/>
      </c>
      <c r="BL81" s="223">
        <f>IF(AND('CONTROLE EJ'!P83="",'CONTROLE CMM'!#REF!=""),"",N('CONTROLE EJ'!P83)+N('CONTROLE CMM'!#REF!))</f>
        <v/>
      </c>
      <c r="BM81" s="223">
        <f>IF(AND('CONTROLE EJ'!Q83="",'CONTROLE CMM'!#REF!=""),"",N('CONTROLE EJ'!Q83)+N('CONTROLE CMM'!#REF!))</f>
        <v/>
      </c>
      <c r="BN81" s="223">
        <f>IF('CONTROLE GLOBO AÇOS'!V83="","",'CONTROLE GLOBO AÇOS'!V83)</f>
        <v/>
      </c>
      <c r="BO81" s="223">
        <f>IF('CONTROLE GLOBO AÇOS'!W83="","",'CONTROLE GLOBO AÇOS'!W83)</f>
        <v/>
      </c>
      <c r="BP81" s="223">
        <f>IF(AND('CONTROLE EJ'!R83="",'CONTROLE CMM'!#REF!=""),"",N('CONTROLE EJ'!R83)+N('CONTROLE CMM'!#REF!))</f>
        <v/>
      </c>
      <c r="BQ81" s="223">
        <f>IF(#REF!="","",#REF!)</f>
        <v/>
      </c>
      <c r="BR81" s="223">
        <f>IF(AND('CONTROLE EJ'!S83="",'CONTROLE CMM'!#REF!=""),"",N('CONTROLE EJ'!S83)+N('CONTROLE CMM'!#REF!))</f>
        <v/>
      </c>
      <c r="BS81" s="223">
        <f>IF(AND('CONTROLE EJ'!T83="",'CONTROLE CMM'!#REF!=""),"",N('CONTROLE EJ'!T83)+N('CONTROLE CMM'!#REF!))</f>
        <v/>
      </c>
      <c r="BT81" s="223">
        <f>IF('CONTROLE GLOBO AÇOS'!X83="","",'CONTROLE GLOBO AÇOS'!X83)</f>
        <v/>
      </c>
      <c r="BU81" s="223">
        <f>IF('CONTROLE GLOBO AÇOS'!Y83="","",'CONTROLE GLOBO AÇOS'!Y83)</f>
        <v/>
      </c>
      <c r="BV81" s="223">
        <f>IF(AND('CONTROLE EJ'!U83="",'CONTROLE CMM'!#REF!=""),"",N('CONTROLE EJ'!U83)+N('CONTROLE CMM'!#REF!))</f>
        <v/>
      </c>
      <c r="BW81" s="223">
        <f>IF(#REF!="","",#REF!)</f>
        <v/>
      </c>
    </row>
    <row r="82">
      <c r="A82" s="282" t="n">
        <v>46299</v>
      </c>
      <c r="B82" s="223">
        <f>IF('CONTROLE EJ'!B84="","",'CONTROLE EJ'!B84)</f>
        <v/>
      </c>
      <c r="C82" s="42">
        <f>IF('CONTROLE EJ'!C84="","",'CONTROLE EJ'!C84)</f>
        <v/>
      </c>
      <c r="D82" s="42">
        <f>IF('CONTROLE EJ'!D84="","",'CONTROLE EJ'!D84)</f>
        <v/>
      </c>
      <c r="E82" s="70">
        <f>IF('CONTROLE CMM'!B84="","",'CONTROLE CMM'!B84)</f>
        <v/>
      </c>
      <c r="F82" s="223">
        <f>IF('CONTROLE CMM'!C84="","",'CONTROLE CMM'!C84)</f>
        <v/>
      </c>
      <c r="G82" s="42">
        <f>IF('CONTROLE CMM'!D84="","",'CONTROLE CMM'!D84)</f>
        <v/>
      </c>
      <c r="H82" s="44">
        <f>IF('CONTROLE GLOBO AÇOS'!B84="","",'CONTROLE GLOBO AÇOS'!B84)</f>
        <v/>
      </c>
      <c r="I82" s="223">
        <f>IF('CONTROLE GLOBO AÇOS'!C84="","",'CONTROLE GLOBO AÇOS'!C84)</f>
        <v/>
      </c>
      <c r="J82" s="223">
        <f>IF('CONTROLE GLOBO AÇOS'!D84="","",'CONTROLE GLOBO AÇOS'!D84)</f>
        <v/>
      </c>
      <c r="AD82" s="39">
        <f>IF($A82="",0,IF(AND(WEEKDAY($A82,2)&lt;=5,OR($B82&lt;&gt;"",$C82&lt;&gt;"",$D82&lt;&gt;"")),1,0))</f>
        <v/>
      </c>
      <c r="AE82" s="39">
        <f>IF($A82="",0,IF(AND(WEEKDAY($A82,2)&lt;=5,OR($E82&lt;&gt;"",$F82&lt;&gt;"",$G82&lt;&gt;"")),1,0))</f>
        <v/>
      </c>
      <c r="AF82" s="39">
        <f>MAX(AD82,AE82)</f>
        <v/>
      </c>
      <c r="AH82" s="223">
        <f>IF('CONTROLE GLOBO AÇOS'!E84="","",'CONTROLE GLOBO AÇOS'!E84)</f>
        <v/>
      </c>
      <c r="AI82" s="223">
        <f>IF('CONTROLE GLOBO AÇOS'!F84="","",'CONTROLE GLOBO AÇOS'!F84)</f>
        <v/>
      </c>
      <c r="AJ82" s="223">
        <f>IF(AND('CONTROLE EJ'!E84="",'CONTROLE CMM'!E84=""),"",N('CONTROLE EJ'!E84)+N('CONTROLE CMM'!E84))</f>
        <v/>
      </c>
      <c r="AK82" s="223">
        <f>IF(AND('CONTROLE EJ'!F84="",'CONTROLE CMM'!F84=""),"",N('CONTROLE EJ'!F84)+N('CONTROLE CMM'!F84))</f>
        <v/>
      </c>
      <c r="AL82" s="223">
        <f>IF(AND('CONTROLE EJ'!G84="",'CONTROLE CMM'!G84=""),"",N('CONTROLE EJ'!G84)+N('CONTROLE CMM'!G84))</f>
        <v/>
      </c>
      <c r="AM82" s="223">
        <f>IF(AND('CONTROLE EJ'!H84="",'CONTROLE CMM'!H84=""),"",N('CONTROLE EJ'!H84)+N('CONTROLE CMM'!H84))</f>
        <v/>
      </c>
      <c r="AN82" s="223">
        <f>IF('CONTROLE GLOBO AÇOS'!G84="","",'CONTROLE GLOBO AÇOS'!G84)</f>
        <v/>
      </c>
      <c r="AO82" s="223">
        <f>IF('CONTROLE GLOBO AÇOS'!H84="","",'CONTROLE GLOBO AÇOS'!H84)</f>
        <v/>
      </c>
      <c r="AP82" s="223">
        <f>IF(AND('CONTROLE EJ'!I84="",'CONTROLE CMM'!I84=""),"",N('CONTROLE EJ'!I84)+N('CONTROLE CMM'!I84))</f>
        <v/>
      </c>
      <c r="AQ82" s="223">
        <f>IF(AND('CONTROLE EJ'!J84="",'CONTROLE CMM'!#REF!=""),"",N('CONTROLE EJ'!J84)+N('CONTROLE CMM'!#REF!))</f>
        <v/>
      </c>
      <c r="AR82" s="223">
        <f>IF('CONTROLE GLOBO AÇOS'!I84="","",'CONTROLE GLOBO AÇOS'!I84)</f>
        <v/>
      </c>
      <c r="AS82" s="223">
        <f>IF('CONTROLE GLOBO AÇOS'!J84="","",'CONTROLE GLOBO AÇOS'!J84)</f>
        <v/>
      </c>
      <c r="AT82" s="223">
        <f>IF(#REF!="","",#REF!)</f>
        <v/>
      </c>
      <c r="AU82" s="223">
        <f>IF('CONTROLE GLOBO AÇOS'!K84="","",'CONTROLE GLOBO AÇOS'!K84)</f>
        <v/>
      </c>
      <c r="AV82" s="223">
        <f>IF(AND('CONTROLE EJ'!K84="",'CONTROLE CMM'!#REF!=""),"",N('CONTROLE EJ'!K84)+N('CONTROLE CMM'!#REF!))</f>
        <v/>
      </c>
      <c r="AW82" s="223">
        <f>IF('CONTROLE GLOBO AÇOS'!L84="","",'CONTROLE GLOBO AÇOS'!L84)</f>
        <v/>
      </c>
      <c r="AX82" s="223">
        <f>IF(AND('CONTROLE EJ'!L84="",'CONTROLE CMM'!#REF!=""),"",N('CONTROLE EJ'!L84)+N('CONTROLE CMM'!#REF!))</f>
        <v/>
      </c>
      <c r="AY82" s="223">
        <f>IF('CONTROLE GLOBO AÇOS'!M84="","",'CONTROLE GLOBO AÇOS'!M84)</f>
        <v/>
      </c>
      <c r="AZ82" s="223">
        <f>IF('CONTROLE GLOBO AÇOS'!N84="","",'CONTROLE GLOBO AÇOS'!N84)</f>
        <v/>
      </c>
      <c r="BA82" s="223">
        <f>IF(AND('CONTROLE EJ'!M84="",'CONTROLE CMM'!#REF!=""),"",N('CONTROLE EJ'!M84)+N('CONTROLE CMM'!#REF!))</f>
        <v/>
      </c>
      <c r="BB82" s="223">
        <f>IF(#REF!="","",#REF!)</f>
        <v/>
      </c>
      <c r="BC82" s="223">
        <f>IF('CONTROLE GLOBO AÇOS'!O84="","",'CONTROLE GLOBO AÇOS'!O84)</f>
        <v/>
      </c>
      <c r="BD82" s="223">
        <f>IF(AND('CONTROLE EJ'!N84="",'CONTROLE CMM'!#REF!=""),"",N('CONTROLE EJ'!N84)+N('CONTROLE CMM'!#REF!))</f>
        <v/>
      </c>
      <c r="BE82" s="223">
        <f>IF('CONTROLE GLOBO AÇOS'!P84="","",'CONTROLE GLOBO AÇOS'!P84)</f>
        <v/>
      </c>
      <c r="BF82" s="223">
        <f>IF('CONTROLE GLOBO AÇOS'!Q84="","",'CONTROLE GLOBO AÇOS'!Q84)</f>
        <v/>
      </c>
      <c r="BG82" s="223">
        <f>IF('CONTROLE GLOBO AÇOS'!R84="","",'CONTROLE GLOBO AÇOS'!R84)</f>
        <v/>
      </c>
      <c r="BH82" s="223">
        <f>IF(AND('CONTROLE EJ'!O84="",'CONTROLE CMM'!#REF!=""),"",N('CONTROLE EJ'!O84)+N('CONTROLE CMM'!#REF!))</f>
        <v/>
      </c>
      <c r="BI82" s="223">
        <f>IF('CONTROLE GLOBO AÇOS'!S84="","",'CONTROLE GLOBO AÇOS'!S84)</f>
        <v/>
      </c>
      <c r="BJ82" s="223">
        <f>IF('CONTROLE GLOBO AÇOS'!T84="","",'CONTROLE GLOBO AÇOS'!T84)</f>
        <v/>
      </c>
      <c r="BK82" s="223">
        <f>IF('CONTROLE GLOBO AÇOS'!U84="","",'CONTROLE GLOBO AÇOS'!U84)</f>
        <v/>
      </c>
      <c r="BL82" s="223">
        <f>IF(AND('CONTROLE EJ'!P84="",'CONTROLE CMM'!#REF!=""),"",N('CONTROLE EJ'!P84)+N('CONTROLE CMM'!#REF!))</f>
        <v/>
      </c>
      <c r="BM82" s="223">
        <f>IF(AND('CONTROLE EJ'!Q84="",'CONTROLE CMM'!#REF!=""),"",N('CONTROLE EJ'!Q84)+N('CONTROLE CMM'!#REF!))</f>
        <v/>
      </c>
      <c r="BN82" s="223">
        <f>IF('CONTROLE GLOBO AÇOS'!V84="","",'CONTROLE GLOBO AÇOS'!V84)</f>
        <v/>
      </c>
      <c r="BO82" s="223">
        <f>IF('CONTROLE GLOBO AÇOS'!W84="","",'CONTROLE GLOBO AÇOS'!W84)</f>
        <v/>
      </c>
      <c r="BP82" s="223">
        <f>IF(AND('CONTROLE EJ'!R84="",'CONTROLE CMM'!#REF!=""),"",N('CONTROLE EJ'!R84)+N('CONTROLE CMM'!#REF!))</f>
        <v/>
      </c>
      <c r="BQ82" s="223">
        <f>IF(#REF!="","",#REF!)</f>
        <v/>
      </c>
      <c r="BR82" s="223">
        <f>IF(AND('CONTROLE EJ'!S84="",'CONTROLE CMM'!#REF!=""),"",N('CONTROLE EJ'!S84)+N('CONTROLE CMM'!#REF!))</f>
        <v/>
      </c>
      <c r="BS82" s="223">
        <f>IF(AND('CONTROLE EJ'!T84="",'CONTROLE CMM'!#REF!=""),"",N('CONTROLE EJ'!T84)+N('CONTROLE CMM'!#REF!))</f>
        <v/>
      </c>
      <c r="BT82" s="223">
        <f>IF('CONTROLE GLOBO AÇOS'!X84="","",'CONTROLE GLOBO AÇOS'!X84)</f>
        <v/>
      </c>
      <c r="BU82" s="223">
        <f>IF('CONTROLE GLOBO AÇOS'!Y84="","",'CONTROLE GLOBO AÇOS'!Y84)</f>
        <v/>
      </c>
      <c r="BV82" s="223">
        <f>IF(AND('CONTROLE EJ'!U84="",'CONTROLE CMM'!#REF!=""),"",N('CONTROLE EJ'!U84)+N('CONTROLE CMM'!#REF!))</f>
        <v/>
      </c>
      <c r="BW82" s="223">
        <f>IF(#REF!="","",#REF!)</f>
        <v/>
      </c>
    </row>
    <row r="83">
      <c r="A83" s="282" t="n">
        <v>46300</v>
      </c>
      <c r="B83" s="223">
        <f>IF('CONTROLE EJ'!B85="","",'CONTROLE EJ'!B85)</f>
        <v/>
      </c>
      <c r="C83" s="42">
        <f>IF('CONTROLE EJ'!C85="","",'CONTROLE EJ'!C85)</f>
        <v/>
      </c>
      <c r="D83" s="42">
        <f>IF('CONTROLE EJ'!D85="","",'CONTROLE EJ'!D85)</f>
        <v/>
      </c>
      <c r="E83" s="70">
        <f>IF('CONTROLE CMM'!B85="","",'CONTROLE CMM'!B85)</f>
        <v/>
      </c>
      <c r="F83" s="223">
        <f>IF('CONTROLE CMM'!C85="","",'CONTROLE CMM'!C85)</f>
        <v/>
      </c>
      <c r="G83" s="42">
        <f>IF('CONTROLE CMM'!D85="","",'CONTROLE CMM'!D85)</f>
        <v/>
      </c>
      <c r="H83" s="44">
        <f>IF('CONTROLE GLOBO AÇOS'!B85="","",'CONTROLE GLOBO AÇOS'!B85)</f>
        <v/>
      </c>
      <c r="I83" s="223">
        <f>IF('CONTROLE GLOBO AÇOS'!C85="","",'CONTROLE GLOBO AÇOS'!C85)</f>
        <v/>
      </c>
      <c r="J83" s="223">
        <f>IF('CONTROLE GLOBO AÇOS'!D85="","",'CONTROLE GLOBO AÇOS'!D85)</f>
        <v/>
      </c>
      <c r="AD83" s="39">
        <f>IF($A83="",0,IF(AND(WEEKDAY($A83,2)&lt;=5,OR($B83&lt;&gt;"",$C83&lt;&gt;"",$D83&lt;&gt;"")),1,0))</f>
        <v/>
      </c>
      <c r="AE83" s="39">
        <f>IF($A83="",0,IF(AND(WEEKDAY($A83,2)&lt;=5,OR($E83&lt;&gt;"",$F83&lt;&gt;"",$G83&lt;&gt;"")),1,0))</f>
        <v/>
      </c>
      <c r="AF83" s="39">
        <f>MAX(AD83,AE83)</f>
        <v/>
      </c>
      <c r="AH83" s="223">
        <f>IF('CONTROLE GLOBO AÇOS'!E85="","",'CONTROLE GLOBO AÇOS'!E85)</f>
        <v/>
      </c>
      <c r="AI83" s="223">
        <f>IF('CONTROLE GLOBO AÇOS'!F85="","",'CONTROLE GLOBO AÇOS'!F85)</f>
        <v/>
      </c>
      <c r="AJ83" s="223">
        <f>IF(AND('CONTROLE EJ'!E85="",'CONTROLE CMM'!E85=""),"",N('CONTROLE EJ'!E85)+N('CONTROLE CMM'!E85))</f>
        <v/>
      </c>
      <c r="AK83" s="223">
        <f>IF(AND('CONTROLE EJ'!F85="",'CONTROLE CMM'!F85=""),"",N('CONTROLE EJ'!F85)+N('CONTROLE CMM'!F85))</f>
        <v/>
      </c>
      <c r="AL83" s="223">
        <f>IF(AND('CONTROLE EJ'!G85="",'CONTROLE CMM'!G85=""),"",N('CONTROLE EJ'!G85)+N('CONTROLE CMM'!G85))</f>
        <v/>
      </c>
      <c r="AM83" s="223">
        <f>IF(AND('CONTROLE EJ'!H85="",'CONTROLE CMM'!H85=""),"",N('CONTROLE EJ'!H85)+N('CONTROLE CMM'!H85))</f>
        <v/>
      </c>
      <c r="AN83" s="223">
        <f>IF('CONTROLE GLOBO AÇOS'!G85="","",'CONTROLE GLOBO AÇOS'!G85)</f>
        <v/>
      </c>
      <c r="AO83" s="223">
        <f>IF('CONTROLE GLOBO AÇOS'!H85="","",'CONTROLE GLOBO AÇOS'!H85)</f>
        <v/>
      </c>
      <c r="AP83" s="223">
        <f>IF(AND('CONTROLE EJ'!I85="",'CONTROLE CMM'!I85=""),"",N('CONTROLE EJ'!I85)+N('CONTROLE CMM'!I85))</f>
        <v/>
      </c>
      <c r="AQ83" s="223">
        <f>IF(AND('CONTROLE EJ'!J85="",'CONTROLE CMM'!#REF!=""),"",N('CONTROLE EJ'!J85)+N('CONTROLE CMM'!#REF!))</f>
        <v/>
      </c>
      <c r="AR83" s="223">
        <f>IF('CONTROLE GLOBO AÇOS'!I85="","",'CONTROLE GLOBO AÇOS'!I85)</f>
        <v/>
      </c>
      <c r="AS83" s="223">
        <f>IF('CONTROLE GLOBO AÇOS'!J85="","",'CONTROLE GLOBO AÇOS'!J85)</f>
        <v/>
      </c>
      <c r="AT83" s="223">
        <f>IF(#REF!="","",#REF!)</f>
        <v/>
      </c>
      <c r="AU83" s="223">
        <f>IF('CONTROLE GLOBO AÇOS'!K85="","",'CONTROLE GLOBO AÇOS'!K85)</f>
        <v/>
      </c>
      <c r="AV83" s="223">
        <f>IF(AND('CONTROLE EJ'!K85="",'CONTROLE CMM'!#REF!=""),"",N('CONTROLE EJ'!K85)+N('CONTROLE CMM'!#REF!))</f>
        <v/>
      </c>
      <c r="AW83" s="223">
        <f>IF('CONTROLE GLOBO AÇOS'!L85="","",'CONTROLE GLOBO AÇOS'!L85)</f>
        <v/>
      </c>
      <c r="AX83" s="223">
        <f>IF(AND('CONTROLE EJ'!L85="",'CONTROLE CMM'!#REF!=""),"",N('CONTROLE EJ'!L85)+N('CONTROLE CMM'!#REF!))</f>
        <v/>
      </c>
      <c r="AY83" s="223">
        <f>IF('CONTROLE GLOBO AÇOS'!M85="","",'CONTROLE GLOBO AÇOS'!M85)</f>
        <v/>
      </c>
      <c r="AZ83" s="223">
        <f>IF('CONTROLE GLOBO AÇOS'!N85="","",'CONTROLE GLOBO AÇOS'!N85)</f>
        <v/>
      </c>
      <c r="BA83" s="223">
        <f>IF(AND('CONTROLE EJ'!M85="",'CONTROLE CMM'!#REF!=""),"",N('CONTROLE EJ'!M85)+N('CONTROLE CMM'!#REF!))</f>
        <v/>
      </c>
      <c r="BB83" s="223">
        <f>IF(#REF!="","",#REF!)</f>
        <v/>
      </c>
      <c r="BC83" s="223">
        <f>IF('CONTROLE GLOBO AÇOS'!O85="","",'CONTROLE GLOBO AÇOS'!O85)</f>
        <v/>
      </c>
      <c r="BD83" s="223">
        <f>IF(AND('CONTROLE EJ'!N85="",'CONTROLE CMM'!#REF!=""),"",N('CONTROLE EJ'!N85)+N('CONTROLE CMM'!#REF!))</f>
        <v/>
      </c>
      <c r="BE83" s="223">
        <f>IF('CONTROLE GLOBO AÇOS'!P85="","",'CONTROLE GLOBO AÇOS'!P85)</f>
        <v/>
      </c>
      <c r="BF83" s="223">
        <f>IF('CONTROLE GLOBO AÇOS'!Q85="","",'CONTROLE GLOBO AÇOS'!Q85)</f>
        <v/>
      </c>
      <c r="BG83" s="223">
        <f>IF('CONTROLE GLOBO AÇOS'!R85="","",'CONTROLE GLOBO AÇOS'!R85)</f>
        <v/>
      </c>
      <c r="BH83" s="223">
        <f>IF(AND('CONTROLE EJ'!O85="",'CONTROLE CMM'!#REF!=""),"",N('CONTROLE EJ'!O85)+N('CONTROLE CMM'!#REF!))</f>
        <v/>
      </c>
      <c r="BI83" s="223">
        <f>IF('CONTROLE GLOBO AÇOS'!S85="","",'CONTROLE GLOBO AÇOS'!S85)</f>
        <v/>
      </c>
      <c r="BJ83" s="223">
        <f>IF('CONTROLE GLOBO AÇOS'!T85="","",'CONTROLE GLOBO AÇOS'!T85)</f>
        <v/>
      </c>
      <c r="BK83" s="223">
        <f>IF('CONTROLE GLOBO AÇOS'!U85="","",'CONTROLE GLOBO AÇOS'!U85)</f>
        <v/>
      </c>
      <c r="BL83" s="223">
        <f>IF(AND('CONTROLE EJ'!P85="",'CONTROLE CMM'!#REF!=""),"",N('CONTROLE EJ'!P85)+N('CONTROLE CMM'!#REF!))</f>
        <v/>
      </c>
      <c r="BM83" s="223">
        <f>IF(AND('CONTROLE EJ'!Q85="",'CONTROLE CMM'!#REF!=""),"",N('CONTROLE EJ'!Q85)+N('CONTROLE CMM'!#REF!))</f>
        <v/>
      </c>
      <c r="BN83" s="223">
        <f>IF('CONTROLE GLOBO AÇOS'!V85="","",'CONTROLE GLOBO AÇOS'!V85)</f>
        <v/>
      </c>
      <c r="BO83" s="223">
        <f>IF('CONTROLE GLOBO AÇOS'!W85="","",'CONTROLE GLOBO AÇOS'!W85)</f>
        <v/>
      </c>
      <c r="BP83" s="223">
        <f>IF(AND('CONTROLE EJ'!R85="",'CONTROLE CMM'!#REF!=""),"",N('CONTROLE EJ'!R85)+N('CONTROLE CMM'!#REF!))</f>
        <v/>
      </c>
      <c r="BQ83" s="223">
        <f>IF(#REF!="","",#REF!)</f>
        <v/>
      </c>
      <c r="BR83" s="223">
        <f>IF(AND('CONTROLE EJ'!S85="",'CONTROLE CMM'!#REF!=""),"",N('CONTROLE EJ'!S85)+N('CONTROLE CMM'!#REF!))</f>
        <v/>
      </c>
      <c r="BS83" s="223">
        <f>IF(AND('CONTROLE EJ'!T85="",'CONTROLE CMM'!#REF!=""),"",N('CONTROLE EJ'!T85)+N('CONTROLE CMM'!#REF!))</f>
        <v/>
      </c>
      <c r="BT83" s="223">
        <f>IF('CONTROLE GLOBO AÇOS'!X85="","",'CONTROLE GLOBO AÇOS'!X85)</f>
        <v/>
      </c>
      <c r="BU83" s="223">
        <f>IF('CONTROLE GLOBO AÇOS'!Y85="","",'CONTROLE GLOBO AÇOS'!Y85)</f>
        <v/>
      </c>
      <c r="BV83" s="223">
        <f>IF(AND('CONTROLE EJ'!U85="",'CONTROLE CMM'!#REF!=""),"",N('CONTROLE EJ'!U85)+N('CONTROLE CMM'!#REF!))</f>
        <v/>
      </c>
      <c r="BW83" s="223">
        <f>IF(#REF!="","",#REF!)</f>
        <v/>
      </c>
    </row>
    <row r="84">
      <c r="A84" s="282" t="n">
        <v>46301</v>
      </c>
      <c r="B84" s="223">
        <f>IF('CONTROLE EJ'!B86="","",'CONTROLE EJ'!B86)</f>
        <v/>
      </c>
      <c r="C84" s="42">
        <f>IF('CONTROLE EJ'!C86="","",'CONTROLE EJ'!C86)</f>
        <v/>
      </c>
      <c r="D84" s="42">
        <f>IF('CONTROLE EJ'!D86="","",'CONTROLE EJ'!D86)</f>
        <v/>
      </c>
      <c r="E84" s="70">
        <f>IF('CONTROLE CMM'!B86="","",'CONTROLE CMM'!B86)</f>
        <v/>
      </c>
      <c r="F84" s="223">
        <f>IF('CONTROLE CMM'!C86="","",'CONTROLE CMM'!C86)</f>
        <v/>
      </c>
      <c r="G84" s="42">
        <f>IF('CONTROLE CMM'!D86="","",'CONTROLE CMM'!D86)</f>
        <v/>
      </c>
      <c r="H84" s="44">
        <f>IF('CONTROLE GLOBO AÇOS'!B86="","",'CONTROLE GLOBO AÇOS'!B86)</f>
        <v/>
      </c>
      <c r="I84" s="223">
        <f>IF('CONTROLE GLOBO AÇOS'!C86="","",'CONTROLE GLOBO AÇOS'!C86)</f>
        <v/>
      </c>
      <c r="J84" s="223">
        <f>IF('CONTROLE GLOBO AÇOS'!D86="","",'CONTROLE GLOBO AÇOS'!D86)</f>
        <v/>
      </c>
      <c r="AD84" s="39">
        <f>IF($A84="",0,IF(AND(WEEKDAY($A84,2)&lt;=5,OR($B84&lt;&gt;"",$C84&lt;&gt;"",$D84&lt;&gt;"")),1,0))</f>
        <v/>
      </c>
      <c r="AE84" s="39">
        <f>IF($A84="",0,IF(AND(WEEKDAY($A84,2)&lt;=5,OR($E84&lt;&gt;"",$F84&lt;&gt;"",$G84&lt;&gt;"")),1,0))</f>
        <v/>
      </c>
      <c r="AF84" s="39">
        <f>MAX(AD84,AE84)</f>
        <v/>
      </c>
      <c r="AH84" s="223">
        <f>IF('CONTROLE GLOBO AÇOS'!E86="","",'CONTROLE GLOBO AÇOS'!E86)</f>
        <v/>
      </c>
      <c r="AI84" s="223">
        <f>IF('CONTROLE GLOBO AÇOS'!F86="","",'CONTROLE GLOBO AÇOS'!F86)</f>
        <v/>
      </c>
      <c r="AJ84" s="223">
        <f>IF(AND('CONTROLE EJ'!E86="",'CONTROLE CMM'!E86=""),"",N('CONTROLE EJ'!E86)+N('CONTROLE CMM'!E86))</f>
        <v/>
      </c>
      <c r="AK84" s="223">
        <f>IF(AND('CONTROLE EJ'!F86="",'CONTROLE CMM'!F86=""),"",N('CONTROLE EJ'!F86)+N('CONTROLE CMM'!F86))</f>
        <v/>
      </c>
      <c r="AL84" s="223">
        <f>IF(AND('CONTROLE EJ'!G86="",'CONTROLE CMM'!G86=""),"",N('CONTROLE EJ'!G86)+N('CONTROLE CMM'!G86))</f>
        <v/>
      </c>
      <c r="AM84" s="223">
        <f>IF(AND('CONTROLE EJ'!H86="",'CONTROLE CMM'!H86=""),"",N('CONTROLE EJ'!H86)+N('CONTROLE CMM'!H86))</f>
        <v/>
      </c>
      <c r="AN84" s="223">
        <f>IF('CONTROLE GLOBO AÇOS'!G86="","",'CONTROLE GLOBO AÇOS'!G86)</f>
        <v/>
      </c>
      <c r="AO84" s="223">
        <f>IF('CONTROLE GLOBO AÇOS'!H86="","",'CONTROLE GLOBO AÇOS'!H86)</f>
        <v/>
      </c>
      <c r="AP84" s="223">
        <f>IF(AND('CONTROLE EJ'!I86="",'CONTROLE CMM'!I86=""),"",N('CONTROLE EJ'!I86)+N('CONTROLE CMM'!I86))</f>
        <v/>
      </c>
      <c r="AQ84" s="223">
        <f>IF(AND('CONTROLE EJ'!J86="",'CONTROLE CMM'!#REF!=""),"",N('CONTROLE EJ'!J86)+N('CONTROLE CMM'!#REF!))</f>
        <v/>
      </c>
      <c r="AR84" s="223">
        <f>IF('CONTROLE GLOBO AÇOS'!I86="","",'CONTROLE GLOBO AÇOS'!I86)</f>
        <v/>
      </c>
      <c r="AS84" s="223">
        <f>IF('CONTROLE GLOBO AÇOS'!J86="","",'CONTROLE GLOBO AÇOS'!J86)</f>
        <v/>
      </c>
      <c r="AT84" s="223">
        <f>IF(#REF!="","",#REF!)</f>
        <v/>
      </c>
      <c r="AU84" s="223">
        <f>IF('CONTROLE GLOBO AÇOS'!K86="","",'CONTROLE GLOBO AÇOS'!K86)</f>
        <v/>
      </c>
      <c r="AV84" s="223">
        <f>IF(AND('CONTROLE EJ'!K86="",'CONTROLE CMM'!#REF!=""),"",N('CONTROLE EJ'!K86)+N('CONTROLE CMM'!#REF!))</f>
        <v/>
      </c>
      <c r="AW84" s="223">
        <f>IF('CONTROLE GLOBO AÇOS'!L86="","",'CONTROLE GLOBO AÇOS'!L86)</f>
        <v/>
      </c>
      <c r="AX84" s="223">
        <f>IF(AND('CONTROLE EJ'!L86="",'CONTROLE CMM'!#REF!=""),"",N('CONTROLE EJ'!L86)+N('CONTROLE CMM'!#REF!))</f>
        <v/>
      </c>
      <c r="AY84" s="223">
        <f>IF('CONTROLE GLOBO AÇOS'!M86="","",'CONTROLE GLOBO AÇOS'!M86)</f>
        <v/>
      </c>
      <c r="AZ84" s="223">
        <f>IF('CONTROLE GLOBO AÇOS'!N86="","",'CONTROLE GLOBO AÇOS'!N86)</f>
        <v/>
      </c>
      <c r="BA84" s="223">
        <f>IF(AND('CONTROLE EJ'!M86="",'CONTROLE CMM'!#REF!=""),"",N('CONTROLE EJ'!M86)+N('CONTROLE CMM'!#REF!))</f>
        <v/>
      </c>
      <c r="BB84" s="223">
        <f>IF(#REF!="","",#REF!)</f>
        <v/>
      </c>
      <c r="BC84" s="223">
        <f>IF('CONTROLE GLOBO AÇOS'!O86="","",'CONTROLE GLOBO AÇOS'!O86)</f>
        <v/>
      </c>
      <c r="BD84" s="223">
        <f>IF(AND('CONTROLE EJ'!N86="",'CONTROLE CMM'!#REF!=""),"",N('CONTROLE EJ'!N86)+N('CONTROLE CMM'!#REF!))</f>
        <v/>
      </c>
      <c r="BE84" s="223">
        <f>IF('CONTROLE GLOBO AÇOS'!P86="","",'CONTROLE GLOBO AÇOS'!P86)</f>
        <v/>
      </c>
      <c r="BF84" s="223">
        <f>IF('CONTROLE GLOBO AÇOS'!Q86="","",'CONTROLE GLOBO AÇOS'!Q86)</f>
        <v/>
      </c>
      <c r="BG84" s="223">
        <f>IF('CONTROLE GLOBO AÇOS'!R86="","",'CONTROLE GLOBO AÇOS'!R86)</f>
        <v/>
      </c>
      <c r="BH84" s="223">
        <f>IF(AND('CONTROLE EJ'!O86="",'CONTROLE CMM'!#REF!=""),"",N('CONTROLE EJ'!O86)+N('CONTROLE CMM'!#REF!))</f>
        <v/>
      </c>
      <c r="BI84" s="223">
        <f>IF('CONTROLE GLOBO AÇOS'!S86="","",'CONTROLE GLOBO AÇOS'!S86)</f>
        <v/>
      </c>
      <c r="BJ84" s="223">
        <f>IF('CONTROLE GLOBO AÇOS'!T86="","",'CONTROLE GLOBO AÇOS'!T86)</f>
        <v/>
      </c>
      <c r="BK84" s="223">
        <f>IF('CONTROLE GLOBO AÇOS'!U86="","",'CONTROLE GLOBO AÇOS'!U86)</f>
        <v/>
      </c>
      <c r="BL84" s="223">
        <f>IF(AND('CONTROLE EJ'!P86="",'CONTROLE CMM'!#REF!=""),"",N('CONTROLE EJ'!P86)+N('CONTROLE CMM'!#REF!))</f>
        <v/>
      </c>
      <c r="BM84" s="223">
        <f>IF(AND('CONTROLE EJ'!Q86="",'CONTROLE CMM'!#REF!=""),"",N('CONTROLE EJ'!Q86)+N('CONTROLE CMM'!#REF!))</f>
        <v/>
      </c>
      <c r="BN84" s="223">
        <f>IF('CONTROLE GLOBO AÇOS'!V86="","",'CONTROLE GLOBO AÇOS'!V86)</f>
        <v/>
      </c>
      <c r="BO84" s="223">
        <f>IF('CONTROLE GLOBO AÇOS'!W86="","",'CONTROLE GLOBO AÇOS'!W86)</f>
        <v/>
      </c>
      <c r="BP84" s="223">
        <f>IF(AND('CONTROLE EJ'!R86="",'CONTROLE CMM'!#REF!=""),"",N('CONTROLE EJ'!R86)+N('CONTROLE CMM'!#REF!))</f>
        <v/>
      </c>
      <c r="BQ84" s="223">
        <f>IF(#REF!="","",#REF!)</f>
        <v/>
      </c>
      <c r="BR84" s="223">
        <f>IF(AND('CONTROLE EJ'!S86="",'CONTROLE CMM'!#REF!=""),"",N('CONTROLE EJ'!S86)+N('CONTROLE CMM'!#REF!))</f>
        <v/>
      </c>
      <c r="BS84" s="223">
        <f>IF(AND('CONTROLE EJ'!T86="",'CONTROLE CMM'!#REF!=""),"",N('CONTROLE EJ'!T86)+N('CONTROLE CMM'!#REF!))</f>
        <v/>
      </c>
      <c r="BT84" s="223">
        <f>IF('CONTROLE GLOBO AÇOS'!X86="","",'CONTROLE GLOBO AÇOS'!X86)</f>
        <v/>
      </c>
      <c r="BU84" s="223">
        <f>IF('CONTROLE GLOBO AÇOS'!Y86="","",'CONTROLE GLOBO AÇOS'!Y86)</f>
        <v/>
      </c>
      <c r="BV84" s="223">
        <f>IF(AND('CONTROLE EJ'!U86="",'CONTROLE CMM'!#REF!=""),"",N('CONTROLE EJ'!U86)+N('CONTROLE CMM'!#REF!))</f>
        <v/>
      </c>
      <c r="BW84" s="223">
        <f>IF(#REF!="","",#REF!)</f>
        <v/>
      </c>
    </row>
    <row r="85">
      <c r="A85" s="282" t="n">
        <v>46302</v>
      </c>
      <c r="B85" s="223">
        <f>IF('CONTROLE EJ'!B87="","",'CONTROLE EJ'!B87)</f>
        <v/>
      </c>
      <c r="C85" s="42">
        <f>IF('CONTROLE EJ'!C87="","",'CONTROLE EJ'!C87)</f>
        <v/>
      </c>
      <c r="D85" s="42">
        <f>IF('CONTROLE EJ'!D87="","",'CONTROLE EJ'!D87)</f>
        <v/>
      </c>
      <c r="E85" s="70">
        <f>IF('CONTROLE CMM'!B87="","",'CONTROLE CMM'!B87)</f>
        <v/>
      </c>
      <c r="F85" s="223">
        <f>IF('CONTROLE CMM'!C87="","",'CONTROLE CMM'!C87)</f>
        <v/>
      </c>
      <c r="G85" s="42">
        <f>IF('CONTROLE CMM'!D87="","",'CONTROLE CMM'!D87)</f>
        <v/>
      </c>
      <c r="H85" s="44">
        <f>IF('CONTROLE GLOBO AÇOS'!B87="","",'CONTROLE GLOBO AÇOS'!B87)</f>
        <v/>
      </c>
      <c r="I85" s="223">
        <f>IF('CONTROLE GLOBO AÇOS'!C87="","",'CONTROLE GLOBO AÇOS'!C87)</f>
        <v/>
      </c>
      <c r="J85" s="223">
        <f>IF('CONTROLE GLOBO AÇOS'!D87="","",'CONTROLE GLOBO AÇOS'!D87)</f>
        <v/>
      </c>
      <c r="AD85" s="39">
        <f>IF($A85="",0,IF(AND(WEEKDAY($A85,2)&lt;=5,OR($B85&lt;&gt;"",$C85&lt;&gt;"",$D85&lt;&gt;"")),1,0))</f>
        <v/>
      </c>
      <c r="AE85" s="39">
        <f>IF($A85="",0,IF(AND(WEEKDAY($A85,2)&lt;=5,OR($E85&lt;&gt;"",$F85&lt;&gt;"",$G85&lt;&gt;"")),1,0))</f>
        <v/>
      </c>
      <c r="AF85" s="39">
        <f>MAX(AD85,AE85)</f>
        <v/>
      </c>
      <c r="AH85" s="223">
        <f>IF('CONTROLE GLOBO AÇOS'!E87="","",'CONTROLE GLOBO AÇOS'!E87)</f>
        <v/>
      </c>
      <c r="AI85" s="223">
        <f>IF('CONTROLE GLOBO AÇOS'!F87="","",'CONTROLE GLOBO AÇOS'!F87)</f>
        <v/>
      </c>
      <c r="AJ85" s="223">
        <f>IF(AND('CONTROLE EJ'!E87="",'CONTROLE CMM'!E87=""),"",N('CONTROLE EJ'!E87)+N('CONTROLE CMM'!E87))</f>
        <v/>
      </c>
      <c r="AK85" s="223">
        <f>IF(AND('CONTROLE EJ'!F87="",'CONTROLE CMM'!F87=""),"",N('CONTROLE EJ'!F87)+N('CONTROLE CMM'!F87))</f>
        <v/>
      </c>
      <c r="AL85" s="223">
        <f>IF(AND('CONTROLE EJ'!G87="",'CONTROLE CMM'!G87=""),"",N('CONTROLE EJ'!G87)+N('CONTROLE CMM'!G87))</f>
        <v/>
      </c>
      <c r="AM85" s="223">
        <f>IF(AND('CONTROLE EJ'!H87="",'CONTROLE CMM'!H87=""),"",N('CONTROLE EJ'!H87)+N('CONTROLE CMM'!H87))</f>
        <v/>
      </c>
      <c r="AN85" s="223">
        <f>IF('CONTROLE GLOBO AÇOS'!G87="","",'CONTROLE GLOBO AÇOS'!G87)</f>
        <v/>
      </c>
      <c r="AO85" s="223">
        <f>IF('CONTROLE GLOBO AÇOS'!H87="","",'CONTROLE GLOBO AÇOS'!H87)</f>
        <v/>
      </c>
      <c r="AP85" s="223">
        <f>IF(AND('CONTROLE EJ'!I87="",'CONTROLE CMM'!I87=""),"",N('CONTROLE EJ'!I87)+N('CONTROLE CMM'!I87))</f>
        <v/>
      </c>
      <c r="AQ85" s="223">
        <f>IF(AND('CONTROLE EJ'!J87="",'CONTROLE CMM'!#REF!=""),"",N('CONTROLE EJ'!J87)+N('CONTROLE CMM'!#REF!))</f>
        <v/>
      </c>
      <c r="AR85" s="223">
        <f>IF('CONTROLE GLOBO AÇOS'!I87="","",'CONTROLE GLOBO AÇOS'!I87)</f>
        <v/>
      </c>
      <c r="AS85" s="223">
        <f>IF('CONTROLE GLOBO AÇOS'!J87="","",'CONTROLE GLOBO AÇOS'!J87)</f>
        <v/>
      </c>
      <c r="AT85" s="223">
        <f>IF(#REF!="","",#REF!)</f>
        <v/>
      </c>
      <c r="AU85" s="223">
        <f>IF('CONTROLE GLOBO AÇOS'!K87="","",'CONTROLE GLOBO AÇOS'!K87)</f>
        <v/>
      </c>
      <c r="AV85" s="223">
        <f>IF(AND('CONTROLE EJ'!K87="",'CONTROLE CMM'!#REF!=""),"",N('CONTROLE EJ'!K87)+N('CONTROLE CMM'!#REF!))</f>
        <v/>
      </c>
      <c r="AW85" s="223">
        <f>IF('CONTROLE GLOBO AÇOS'!L87="","",'CONTROLE GLOBO AÇOS'!L87)</f>
        <v/>
      </c>
      <c r="AX85" s="223">
        <f>IF(AND('CONTROLE EJ'!L87="",'CONTROLE CMM'!#REF!=""),"",N('CONTROLE EJ'!L87)+N('CONTROLE CMM'!#REF!))</f>
        <v/>
      </c>
      <c r="AY85" s="223">
        <f>IF('CONTROLE GLOBO AÇOS'!M87="","",'CONTROLE GLOBO AÇOS'!M87)</f>
        <v/>
      </c>
      <c r="AZ85" s="223">
        <f>IF('CONTROLE GLOBO AÇOS'!N87="","",'CONTROLE GLOBO AÇOS'!N87)</f>
        <v/>
      </c>
      <c r="BA85" s="223">
        <f>IF(AND('CONTROLE EJ'!M87="",'CONTROLE CMM'!#REF!=""),"",N('CONTROLE EJ'!M87)+N('CONTROLE CMM'!#REF!))</f>
        <v/>
      </c>
      <c r="BB85" s="223">
        <f>IF(#REF!="","",#REF!)</f>
        <v/>
      </c>
      <c r="BC85" s="223">
        <f>IF('CONTROLE GLOBO AÇOS'!O87="","",'CONTROLE GLOBO AÇOS'!O87)</f>
        <v/>
      </c>
      <c r="BD85" s="223">
        <f>IF(AND('CONTROLE EJ'!N87="",'CONTROLE CMM'!#REF!=""),"",N('CONTROLE EJ'!N87)+N('CONTROLE CMM'!#REF!))</f>
        <v/>
      </c>
      <c r="BE85" s="223">
        <f>IF('CONTROLE GLOBO AÇOS'!P87="","",'CONTROLE GLOBO AÇOS'!P87)</f>
        <v/>
      </c>
      <c r="BF85" s="223">
        <f>IF('CONTROLE GLOBO AÇOS'!Q87="","",'CONTROLE GLOBO AÇOS'!Q87)</f>
        <v/>
      </c>
      <c r="BG85" s="223">
        <f>IF('CONTROLE GLOBO AÇOS'!R87="","",'CONTROLE GLOBO AÇOS'!R87)</f>
        <v/>
      </c>
      <c r="BH85" s="223">
        <f>IF(AND('CONTROLE EJ'!O87="",'CONTROLE CMM'!#REF!=""),"",N('CONTROLE EJ'!O87)+N('CONTROLE CMM'!#REF!))</f>
        <v/>
      </c>
      <c r="BI85" s="223">
        <f>IF('CONTROLE GLOBO AÇOS'!S87="","",'CONTROLE GLOBO AÇOS'!S87)</f>
        <v/>
      </c>
      <c r="BJ85" s="223">
        <f>IF('CONTROLE GLOBO AÇOS'!T87="","",'CONTROLE GLOBO AÇOS'!T87)</f>
        <v/>
      </c>
      <c r="BK85" s="223">
        <f>IF('CONTROLE GLOBO AÇOS'!U87="","",'CONTROLE GLOBO AÇOS'!U87)</f>
        <v/>
      </c>
      <c r="BL85" s="223">
        <f>IF(AND('CONTROLE EJ'!P87="",'CONTROLE CMM'!#REF!=""),"",N('CONTROLE EJ'!P87)+N('CONTROLE CMM'!#REF!))</f>
        <v/>
      </c>
      <c r="BM85" s="223">
        <f>IF(AND('CONTROLE EJ'!Q87="",'CONTROLE CMM'!#REF!=""),"",N('CONTROLE EJ'!Q87)+N('CONTROLE CMM'!#REF!))</f>
        <v/>
      </c>
      <c r="BN85" s="223">
        <f>IF('CONTROLE GLOBO AÇOS'!V87="","",'CONTROLE GLOBO AÇOS'!V87)</f>
        <v/>
      </c>
      <c r="BO85" s="223">
        <f>IF('CONTROLE GLOBO AÇOS'!W87="","",'CONTROLE GLOBO AÇOS'!W87)</f>
        <v/>
      </c>
      <c r="BP85" s="223">
        <f>IF(AND('CONTROLE EJ'!R87="",'CONTROLE CMM'!#REF!=""),"",N('CONTROLE EJ'!R87)+N('CONTROLE CMM'!#REF!))</f>
        <v/>
      </c>
      <c r="BQ85" s="223">
        <f>IF(#REF!="","",#REF!)</f>
        <v/>
      </c>
      <c r="BR85" s="223">
        <f>IF(AND('CONTROLE EJ'!S87="",'CONTROLE CMM'!#REF!=""),"",N('CONTROLE EJ'!S87)+N('CONTROLE CMM'!#REF!))</f>
        <v/>
      </c>
      <c r="BS85" s="223">
        <f>IF(AND('CONTROLE EJ'!T87="",'CONTROLE CMM'!#REF!=""),"",N('CONTROLE EJ'!T87)+N('CONTROLE CMM'!#REF!))</f>
        <v/>
      </c>
      <c r="BT85" s="223">
        <f>IF('CONTROLE GLOBO AÇOS'!X87="","",'CONTROLE GLOBO AÇOS'!X87)</f>
        <v/>
      </c>
      <c r="BU85" s="223">
        <f>IF('CONTROLE GLOBO AÇOS'!Y87="","",'CONTROLE GLOBO AÇOS'!Y87)</f>
        <v/>
      </c>
      <c r="BV85" s="223">
        <f>IF(AND('CONTROLE EJ'!U87="",'CONTROLE CMM'!#REF!=""),"",N('CONTROLE EJ'!U87)+N('CONTROLE CMM'!#REF!))</f>
        <v/>
      </c>
      <c r="BW85" s="223">
        <f>IF(#REF!="","",#REF!)</f>
        <v/>
      </c>
    </row>
    <row r="86">
      <c r="A86" s="282" t="n">
        <v>46303</v>
      </c>
      <c r="B86" s="223">
        <f>IF('CONTROLE EJ'!B88="","",'CONTROLE EJ'!B88)</f>
        <v/>
      </c>
      <c r="C86" s="42">
        <f>IF('CONTROLE EJ'!C88="","",'CONTROLE EJ'!C88)</f>
        <v/>
      </c>
      <c r="D86" s="42">
        <f>IF('CONTROLE EJ'!D88="","",'CONTROLE EJ'!D88)</f>
        <v/>
      </c>
      <c r="E86" s="70">
        <f>IF('CONTROLE CMM'!B88="","",'CONTROLE CMM'!B88)</f>
        <v/>
      </c>
      <c r="F86" s="223">
        <f>IF('CONTROLE CMM'!C88="","",'CONTROLE CMM'!C88)</f>
        <v/>
      </c>
      <c r="G86" s="42">
        <f>IF('CONTROLE CMM'!D88="","",'CONTROLE CMM'!D88)</f>
        <v/>
      </c>
      <c r="H86" s="44">
        <f>IF('CONTROLE GLOBO AÇOS'!B88="","",'CONTROLE GLOBO AÇOS'!B88)</f>
        <v/>
      </c>
      <c r="I86" s="223">
        <f>IF('CONTROLE GLOBO AÇOS'!C88="","",'CONTROLE GLOBO AÇOS'!C88)</f>
        <v/>
      </c>
      <c r="J86" s="223">
        <f>IF('CONTROLE GLOBO AÇOS'!D88="","",'CONTROLE GLOBO AÇOS'!D88)</f>
        <v/>
      </c>
      <c r="AD86" s="39">
        <f>IF($A86="",0,IF(AND(WEEKDAY($A86,2)&lt;=5,OR($B86&lt;&gt;"",$C86&lt;&gt;"",$D86&lt;&gt;"")),1,0))</f>
        <v/>
      </c>
      <c r="AE86" s="39">
        <f>IF($A86="",0,IF(AND(WEEKDAY($A86,2)&lt;=5,OR($E86&lt;&gt;"",$F86&lt;&gt;"",$G86&lt;&gt;"")),1,0))</f>
        <v/>
      </c>
      <c r="AF86" s="39">
        <f>MAX(AD86,AE86)</f>
        <v/>
      </c>
      <c r="AH86" s="223">
        <f>IF('CONTROLE GLOBO AÇOS'!E88="","",'CONTROLE GLOBO AÇOS'!E88)</f>
        <v/>
      </c>
      <c r="AI86" s="223">
        <f>IF('CONTROLE GLOBO AÇOS'!F88="","",'CONTROLE GLOBO AÇOS'!F88)</f>
        <v/>
      </c>
      <c r="AJ86" s="223">
        <f>IF(AND('CONTROLE EJ'!E88="",'CONTROLE CMM'!E88=""),"",N('CONTROLE EJ'!E88)+N('CONTROLE CMM'!E88))</f>
        <v/>
      </c>
      <c r="AK86" s="223">
        <f>IF(AND('CONTROLE EJ'!F88="",'CONTROLE CMM'!F88=""),"",N('CONTROLE EJ'!F88)+N('CONTROLE CMM'!F88))</f>
        <v/>
      </c>
      <c r="AL86" s="223">
        <f>IF(AND('CONTROLE EJ'!G88="",'CONTROLE CMM'!G88=""),"",N('CONTROLE EJ'!G88)+N('CONTROLE CMM'!G88))</f>
        <v/>
      </c>
      <c r="AM86" s="223">
        <f>IF(AND('CONTROLE EJ'!H88="",'CONTROLE CMM'!H88=""),"",N('CONTROLE EJ'!H88)+N('CONTROLE CMM'!H88))</f>
        <v/>
      </c>
      <c r="AN86" s="223">
        <f>IF('CONTROLE GLOBO AÇOS'!G88="","",'CONTROLE GLOBO AÇOS'!G88)</f>
        <v/>
      </c>
      <c r="AO86" s="223">
        <f>IF('CONTROLE GLOBO AÇOS'!H88="","",'CONTROLE GLOBO AÇOS'!H88)</f>
        <v/>
      </c>
      <c r="AP86" s="223">
        <f>IF(AND('CONTROLE EJ'!I88="",'CONTROLE CMM'!I88=""),"",N('CONTROLE EJ'!I88)+N('CONTROLE CMM'!I88))</f>
        <v/>
      </c>
      <c r="AQ86" s="223">
        <f>IF(AND('CONTROLE EJ'!J88="",'CONTROLE CMM'!#REF!=""),"",N('CONTROLE EJ'!J88)+N('CONTROLE CMM'!#REF!))</f>
        <v/>
      </c>
      <c r="AR86" s="223">
        <f>IF('CONTROLE GLOBO AÇOS'!I88="","",'CONTROLE GLOBO AÇOS'!I88)</f>
        <v/>
      </c>
      <c r="AS86" s="223">
        <f>IF('CONTROLE GLOBO AÇOS'!J88="","",'CONTROLE GLOBO AÇOS'!J88)</f>
        <v/>
      </c>
      <c r="AT86" s="223">
        <f>IF(#REF!="","",#REF!)</f>
        <v/>
      </c>
      <c r="AU86" s="223">
        <f>IF('CONTROLE GLOBO AÇOS'!K88="","",'CONTROLE GLOBO AÇOS'!K88)</f>
        <v/>
      </c>
      <c r="AV86" s="223">
        <f>IF(AND('CONTROLE EJ'!K88="",'CONTROLE CMM'!#REF!=""),"",N('CONTROLE EJ'!K88)+N('CONTROLE CMM'!#REF!))</f>
        <v/>
      </c>
      <c r="AW86" s="223">
        <f>IF('CONTROLE GLOBO AÇOS'!L88="","",'CONTROLE GLOBO AÇOS'!L88)</f>
        <v/>
      </c>
      <c r="AX86" s="223">
        <f>IF(AND('CONTROLE EJ'!L88="",'CONTROLE CMM'!#REF!=""),"",N('CONTROLE EJ'!L88)+N('CONTROLE CMM'!#REF!))</f>
        <v/>
      </c>
      <c r="AY86" s="223">
        <f>IF('CONTROLE GLOBO AÇOS'!M88="","",'CONTROLE GLOBO AÇOS'!M88)</f>
        <v/>
      </c>
      <c r="AZ86" s="223">
        <f>IF('CONTROLE GLOBO AÇOS'!N88="","",'CONTROLE GLOBO AÇOS'!N88)</f>
        <v/>
      </c>
      <c r="BA86" s="223">
        <f>IF(AND('CONTROLE EJ'!M88="",'CONTROLE CMM'!#REF!=""),"",N('CONTROLE EJ'!M88)+N('CONTROLE CMM'!#REF!))</f>
        <v/>
      </c>
      <c r="BB86" s="223">
        <f>IF(#REF!="","",#REF!)</f>
        <v/>
      </c>
      <c r="BC86" s="223">
        <f>IF('CONTROLE GLOBO AÇOS'!O88="","",'CONTROLE GLOBO AÇOS'!O88)</f>
        <v/>
      </c>
      <c r="BD86" s="223">
        <f>IF(AND('CONTROLE EJ'!N88="",'CONTROLE CMM'!#REF!=""),"",N('CONTROLE EJ'!N88)+N('CONTROLE CMM'!#REF!))</f>
        <v/>
      </c>
      <c r="BE86" s="223">
        <f>IF('CONTROLE GLOBO AÇOS'!P88="","",'CONTROLE GLOBO AÇOS'!P88)</f>
        <v/>
      </c>
      <c r="BF86" s="223">
        <f>IF('CONTROLE GLOBO AÇOS'!Q88="","",'CONTROLE GLOBO AÇOS'!Q88)</f>
        <v/>
      </c>
      <c r="BG86" s="223">
        <f>IF('CONTROLE GLOBO AÇOS'!R88="","",'CONTROLE GLOBO AÇOS'!R88)</f>
        <v/>
      </c>
      <c r="BH86" s="223">
        <f>IF(AND('CONTROLE EJ'!O88="",'CONTROLE CMM'!#REF!=""),"",N('CONTROLE EJ'!O88)+N('CONTROLE CMM'!#REF!))</f>
        <v/>
      </c>
      <c r="BI86" s="223">
        <f>IF('CONTROLE GLOBO AÇOS'!S88="","",'CONTROLE GLOBO AÇOS'!S88)</f>
        <v/>
      </c>
      <c r="BJ86" s="223">
        <f>IF('CONTROLE GLOBO AÇOS'!T88="","",'CONTROLE GLOBO AÇOS'!T88)</f>
        <v/>
      </c>
      <c r="BK86" s="223">
        <f>IF('CONTROLE GLOBO AÇOS'!U88="","",'CONTROLE GLOBO AÇOS'!U88)</f>
        <v/>
      </c>
      <c r="BL86" s="223">
        <f>IF(AND('CONTROLE EJ'!P88="",'CONTROLE CMM'!#REF!=""),"",N('CONTROLE EJ'!P88)+N('CONTROLE CMM'!#REF!))</f>
        <v/>
      </c>
      <c r="BM86" s="223">
        <f>IF(AND('CONTROLE EJ'!Q88="",'CONTROLE CMM'!#REF!=""),"",N('CONTROLE EJ'!Q88)+N('CONTROLE CMM'!#REF!))</f>
        <v/>
      </c>
      <c r="BN86" s="223">
        <f>IF('CONTROLE GLOBO AÇOS'!V88="","",'CONTROLE GLOBO AÇOS'!V88)</f>
        <v/>
      </c>
      <c r="BO86" s="223">
        <f>IF('CONTROLE GLOBO AÇOS'!W88="","",'CONTROLE GLOBO AÇOS'!W88)</f>
        <v/>
      </c>
      <c r="BP86" s="223">
        <f>IF(AND('CONTROLE EJ'!R88="",'CONTROLE CMM'!#REF!=""),"",N('CONTROLE EJ'!R88)+N('CONTROLE CMM'!#REF!))</f>
        <v/>
      </c>
      <c r="BQ86" s="223">
        <f>IF(#REF!="","",#REF!)</f>
        <v/>
      </c>
      <c r="BR86" s="223">
        <f>IF(AND('CONTROLE EJ'!S88="",'CONTROLE CMM'!#REF!=""),"",N('CONTROLE EJ'!S88)+N('CONTROLE CMM'!#REF!))</f>
        <v/>
      </c>
      <c r="BS86" s="223">
        <f>IF(AND('CONTROLE EJ'!T88="",'CONTROLE CMM'!#REF!=""),"",N('CONTROLE EJ'!T88)+N('CONTROLE CMM'!#REF!))</f>
        <v/>
      </c>
      <c r="BT86" s="223">
        <f>IF('CONTROLE GLOBO AÇOS'!X88="","",'CONTROLE GLOBO AÇOS'!X88)</f>
        <v/>
      </c>
      <c r="BU86" s="223">
        <f>IF('CONTROLE GLOBO AÇOS'!Y88="","",'CONTROLE GLOBO AÇOS'!Y88)</f>
        <v/>
      </c>
      <c r="BV86" s="223">
        <f>IF(AND('CONTROLE EJ'!U88="",'CONTROLE CMM'!#REF!=""),"",N('CONTROLE EJ'!U88)+N('CONTROLE CMM'!#REF!))</f>
        <v/>
      </c>
      <c r="BW86" s="223">
        <f>IF(#REF!="","",#REF!)</f>
        <v/>
      </c>
    </row>
    <row r="87">
      <c r="A87" s="282" t="n">
        <v>46304</v>
      </c>
      <c r="B87" s="223">
        <f>IF('CONTROLE EJ'!B89="","",'CONTROLE EJ'!B89)</f>
        <v/>
      </c>
      <c r="C87" s="42">
        <f>IF('CONTROLE EJ'!C89="","",'CONTROLE EJ'!C89)</f>
        <v/>
      </c>
      <c r="D87" s="42">
        <f>IF('CONTROLE EJ'!D89="","",'CONTROLE EJ'!D89)</f>
        <v/>
      </c>
      <c r="E87" s="70">
        <f>IF('CONTROLE CMM'!B89="","",'CONTROLE CMM'!B89)</f>
        <v/>
      </c>
      <c r="F87" s="223">
        <f>IF('CONTROLE CMM'!C89="","",'CONTROLE CMM'!C89)</f>
        <v/>
      </c>
      <c r="G87" s="42">
        <f>IF('CONTROLE CMM'!D89="","",'CONTROLE CMM'!D89)</f>
        <v/>
      </c>
      <c r="H87" s="44">
        <f>IF('CONTROLE GLOBO AÇOS'!B89="","",'CONTROLE GLOBO AÇOS'!B89)</f>
        <v/>
      </c>
      <c r="I87" s="223">
        <f>IF('CONTROLE GLOBO AÇOS'!C89="","",'CONTROLE GLOBO AÇOS'!C89)</f>
        <v/>
      </c>
      <c r="J87" s="223">
        <f>IF('CONTROLE GLOBO AÇOS'!D89="","",'CONTROLE GLOBO AÇOS'!D89)</f>
        <v/>
      </c>
      <c r="AD87" s="39">
        <f>IF($A87="",0,IF(AND(WEEKDAY($A87,2)&lt;=5,OR($B87&lt;&gt;"",$C87&lt;&gt;"",$D87&lt;&gt;"")),1,0))</f>
        <v/>
      </c>
      <c r="AE87" s="39">
        <f>IF($A87="",0,IF(AND(WEEKDAY($A87,2)&lt;=5,OR($E87&lt;&gt;"",$F87&lt;&gt;"",$G87&lt;&gt;"")),1,0))</f>
        <v/>
      </c>
      <c r="AF87" s="39">
        <f>MAX(AD87,AE87)</f>
        <v/>
      </c>
      <c r="AH87" s="223">
        <f>IF('CONTROLE GLOBO AÇOS'!E89="","",'CONTROLE GLOBO AÇOS'!E89)</f>
        <v/>
      </c>
      <c r="AI87" s="223">
        <f>IF('CONTROLE GLOBO AÇOS'!F89="","",'CONTROLE GLOBO AÇOS'!F89)</f>
        <v/>
      </c>
      <c r="AJ87" s="223">
        <f>IF(AND('CONTROLE EJ'!E89="",'CONTROLE CMM'!E89=""),"",N('CONTROLE EJ'!E89)+N('CONTROLE CMM'!E89))</f>
        <v/>
      </c>
      <c r="AK87" s="223">
        <f>IF(AND('CONTROLE EJ'!F89="",'CONTROLE CMM'!F89=""),"",N('CONTROLE EJ'!F89)+N('CONTROLE CMM'!F89))</f>
        <v/>
      </c>
      <c r="AL87" s="223">
        <f>IF(AND('CONTROLE EJ'!G89="",'CONTROLE CMM'!G89=""),"",N('CONTROLE EJ'!G89)+N('CONTROLE CMM'!G89))</f>
        <v/>
      </c>
      <c r="AM87" s="223">
        <f>IF(AND('CONTROLE EJ'!H89="",'CONTROLE CMM'!H89=""),"",N('CONTROLE EJ'!H89)+N('CONTROLE CMM'!H89))</f>
        <v/>
      </c>
      <c r="AN87" s="223">
        <f>IF('CONTROLE GLOBO AÇOS'!G89="","",'CONTROLE GLOBO AÇOS'!G89)</f>
        <v/>
      </c>
      <c r="AO87" s="223">
        <f>IF('CONTROLE GLOBO AÇOS'!H89="","",'CONTROLE GLOBO AÇOS'!H89)</f>
        <v/>
      </c>
      <c r="AP87" s="223">
        <f>IF(AND('CONTROLE EJ'!I89="",'CONTROLE CMM'!I89=""),"",N('CONTROLE EJ'!I89)+N('CONTROLE CMM'!I89))</f>
        <v/>
      </c>
      <c r="AQ87" s="223">
        <f>IF(AND('CONTROLE EJ'!J89="",'CONTROLE CMM'!#REF!=""),"",N('CONTROLE EJ'!J89)+N('CONTROLE CMM'!#REF!))</f>
        <v/>
      </c>
      <c r="AR87" s="223">
        <f>IF('CONTROLE GLOBO AÇOS'!I89="","",'CONTROLE GLOBO AÇOS'!I89)</f>
        <v/>
      </c>
      <c r="AS87" s="223">
        <f>IF('CONTROLE GLOBO AÇOS'!J89="","",'CONTROLE GLOBO AÇOS'!J89)</f>
        <v/>
      </c>
      <c r="AT87" s="223">
        <f>IF(#REF!="","",#REF!)</f>
        <v/>
      </c>
      <c r="AU87" s="223">
        <f>IF('CONTROLE GLOBO AÇOS'!K89="","",'CONTROLE GLOBO AÇOS'!K89)</f>
        <v/>
      </c>
      <c r="AV87" s="223">
        <f>IF(AND('CONTROLE EJ'!K89="",'CONTROLE CMM'!#REF!=""),"",N('CONTROLE EJ'!K89)+N('CONTROLE CMM'!#REF!))</f>
        <v/>
      </c>
      <c r="AW87" s="223">
        <f>IF('CONTROLE GLOBO AÇOS'!L89="","",'CONTROLE GLOBO AÇOS'!L89)</f>
        <v/>
      </c>
      <c r="AX87" s="223">
        <f>IF(AND('CONTROLE EJ'!L89="",'CONTROLE CMM'!#REF!=""),"",N('CONTROLE EJ'!L89)+N('CONTROLE CMM'!#REF!))</f>
        <v/>
      </c>
      <c r="AY87" s="223">
        <f>IF('CONTROLE GLOBO AÇOS'!M89="","",'CONTROLE GLOBO AÇOS'!M89)</f>
        <v/>
      </c>
      <c r="AZ87" s="223">
        <f>IF('CONTROLE GLOBO AÇOS'!N89="","",'CONTROLE GLOBO AÇOS'!N89)</f>
        <v/>
      </c>
      <c r="BA87" s="223">
        <f>IF(AND('CONTROLE EJ'!M89="",'CONTROLE CMM'!#REF!=""),"",N('CONTROLE EJ'!M89)+N('CONTROLE CMM'!#REF!))</f>
        <v/>
      </c>
      <c r="BB87" s="223">
        <f>IF(#REF!="","",#REF!)</f>
        <v/>
      </c>
      <c r="BC87" s="223">
        <f>IF('CONTROLE GLOBO AÇOS'!O89="","",'CONTROLE GLOBO AÇOS'!O89)</f>
        <v/>
      </c>
      <c r="BD87" s="223">
        <f>IF(AND('CONTROLE EJ'!N89="",'CONTROLE CMM'!#REF!=""),"",N('CONTROLE EJ'!N89)+N('CONTROLE CMM'!#REF!))</f>
        <v/>
      </c>
      <c r="BE87" s="223">
        <f>IF('CONTROLE GLOBO AÇOS'!P89="","",'CONTROLE GLOBO AÇOS'!P89)</f>
        <v/>
      </c>
      <c r="BF87" s="223">
        <f>IF('CONTROLE GLOBO AÇOS'!Q89="","",'CONTROLE GLOBO AÇOS'!Q89)</f>
        <v/>
      </c>
      <c r="BG87" s="223">
        <f>IF('CONTROLE GLOBO AÇOS'!R89="","",'CONTROLE GLOBO AÇOS'!R89)</f>
        <v/>
      </c>
      <c r="BH87" s="223">
        <f>IF(AND('CONTROLE EJ'!O89="",'CONTROLE CMM'!#REF!=""),"",N('CONTROLE EJ'!O89)+N('CONTROLE CMM'!#REF!))</f>
        <v/>
      </c>
      <c r="BI87" s="223">
        <f>IF('CONTROLE GLOBO AÇOS'!S89="","",'CONTROLE GLOBO AÇOS'!S89)</f>
        <v/>
      </c>
      <c r="BJ87" s="223">
        <f>IF('CONTROLE GLOBO AÇOS'!T89="","",'CONTROLE GLOBO AÇOS'!T89)</f>
        <v/>
      </c>
      <c r="BK87" s="223">
        <f>IF('CONTROLE GLOBO AÇOS'!U89="","",'CONTROLE GLOBO AÇOS'!U89)</f>
        <v/>
      </c>
      <c r="BL87" s="223">
        <f>IF(AND('CONTROLE EJ'!P89="",'CONTROLE CMM'!#REF!=""),"",N('CONTROLE EJ'!P89)+N('CONTROLE CMM'!#REF!))</f>
        <v/>
      </c>
      <c r="BM87" s="223">
        <f>IF(AND('CONTROLE EJ'!Q89="",'CONTROLE CMM'!#REF!=""),"",N('CONTROLE EJ'!Q89)+N('CONTROLE CMM'!#REF!))</f>
        <v/>
      </c>
      <c r="BN87" s="223">
        <f>IF('CONTROLE GLOBO AÇOS'!V89="","",'CONTROLE GLOBO AÇOS'!V89)</f>
        <v/>
      </c>
      <c r="BO87" s="223">
        <f>IF('CONTROLE GLOBO AÇOS'!W89="","",'CONTROLE GLOBO AÇOS'!W89)</f>
        <v/>
      </c>
      <c r="BP87" s="223">
        <f>IF(AND('CONTROLE EJ'!R89="",'CONTROLE CMM'!#REF!=""),"",N('CONTROLE EJ'!R89)+N('CONTROLE CMM'!#REF!))</f>
        <v/>
      </c>
      <c r="BQ87" s="223">
        <f>IF(#REF!="","",#REF!)</f>
        <v/>
      </c>
      <c r="BR87" s="223">
        <f>IF(AND('CONTROLE EJ'!S89="",'CONTROLE CMM'!#REF!=""),"",N('CONTROLE EJ'!S89)+N('CONTROLE CMM'!#REF!))</f>
        <v/>
      </c>
      <c r="BS87" s="223">
        <f>IF(AND('CONTROLE EJ'!T89="",'CONTROLE CMM'!#REF!=""),"",N('CONTROLE EJ'!T89)+N('CONTROLE CMM'!#REF!))</f>
        <v/>
      </c>
      <c r="BT87" s="223">
        <f>IF('CONTROLE GLOBO AÇOS'!X89="","",'CONTROLE GLOBO AÇOS'!X89)</f>
        <v/>
      </c>
      <c r="BU87" s="223">
        <f>IF('CONTROLE GLOBO AÇOS'!Y89="","",'CONTROLE GLOBO AÇOS'!Y89)</f>
        <v/>
      </c>
      <c r="BV87" s="223">
        <f>IF(AND('CONTROLE EJ'!U89="",'CONTROLE CMM'!#REF!=""),"",N('CONTROLE EJ'!U89)+N('CONTROLE CMM'!#REF!))</f>
        <v/>
      </c>
      <c r="BW87" s="223">
        <f>IF(#REF!="","",#REF!)</f>
        <v/>
      </c>
    </row>
    <row r="88">
      <c r="A88" s="282" t="n">
        <v>46305</v>
      </c>
      <c r="B88" s="223">
        <f>IF('CONTROLE EJ'!B90="","",'CONTROLE EJ'!B90)</f>
        <v/>
      </c>
      <c r="C88" s="42">
        <f>IF('CONTROLE EJ'!C90="","",'CONTROLE EJ'!C90)</f>
        <v/>
      </c>
      <c r="D88" s="42">
        <f>IF('CONTROLE EJ'!D90="","",'CONTROLE EJ'!D90)</f>
        <v/>
      </c>
      <c r="E88" s="70">
        <f>IF('CONTROLE CMM'!B90="","",'CONTROLE CMM'!B90)</f>
        <v/>
      </c>
      <c r="F88" s="223">
        <f>IF('CONTROLE CMM'!C90="","",'CONTROLE CMM'!C90)</f>
        <v/>
      </c>
      <c r="G88" s="42">
        <f>IF('CONTROLE CMM'!D90="","",'CONTROLE CMM'!D90)</f>
        <v/>
      </c>
      <c r="H88" s="44">
        <f>IF('CONTROLE GLOBO AÇOS'!B90="","",'CONTROLE GLOBO AÇOS'!B90)</f>
        <v/>
      </c>
      <c r="I88" s="223">
        <f>IF('CONTROLE GLOBO AÇOS'!C90="","",'CONTROLE GLOBO AÇOS'!C90)</f>
        <v/>
      </c>
      <c r="J88" s="223">
        <f>IF('CONTROLE GLOBO AÇOS'!D90="","",'CONTROLE GLOBO AÇOS'!D90)</f>
        <v/>
      </c>
      <c r="AD88" s="39">
        <f>IF($A88="",0,IF(AND(WEEKDAY($A88,2)&lt;=5,OR($B88&lt;&gt;"",$C88&lt;&gt;"",$D88&lt;&gt;"")),1,0))</f>
        <v/>
      </c>
      <c r="AE88" s="39">
        <f>IF($A88="",0,IF(AND(WEEKDAY($A88,2)&lt;=5,OR($E88&lt;&gt;"",$F88&lt;&gt;"",$G88&lt;&gt;"")),1,0))</f>
        <v/>
      </c>
      <c r="AF88" s="39">
        <f>MAX(AD88,AE88)</f>
        <v/>
      </c>
      <c r="AH88" s="223">
        <f>IF('CONTROLE GLOBO AÇOS'!E90="","",'CONTROLE GLOBO AÇOS'!E90)</f>
        <v/>
      </c>
      <c r="AI88" s="223">
        <f>IF('CONTROLE GLOBO AÇOS'!F90="","",'CONTROLE GLOBO AÇOS'!F90)</f>
        <v/>
      </c>
      <c r="AJ88" s="223">
        <f>IF(AND('CONTROLE EJ'!E90="",'CONTROLE CMM'!E90=""),"",N('CONTROLE EJ'!E90)+N('CONTROLE CMM'!E90))</f>
        <v/>
      </c>
      <c r="AK88" s="223">
        <f>IF(AND('CONTROLE EJ'!F90="",'CONTROLE CMM'!F90=""),"",N('CONTROLE EJ'!F90)+N('CONTROLE CMM'!F90))</f>
        <v/>
      </c>
      <c r="AL88" s="223">
        <f>IF(AND('CONTROLE EJ'!G90="",'CONTROLE CMM'!G90=""),"",N('CONTROLE EJ'!G90)+N('CONTROLE CMM'!G90))</f>
        <v/>
      </c>
      <c r="AM88" s="223">
        <f>IF(AND('CONTROLE EJ'!H90="",'CONTROLE CMM'!H90=""),"",N('CONTROLE EJ'!H90)+N('CONTROLE CMM'!H90))</f>
        <v/>
      </c>
      <c r="AN88" s="223">
        <f>IF('CONTROLE GLOBO AÇOS'!G90="","",'CONTROLE GLOBO AÇOS'!G90)</f>
        <v/>
      </c>
      <c r="AO88" s="223">
        <f>IF('CONTROLE GLOBO AÇOS'!H90="","",'CONTROLE GLOBO AÇOS'!H90)</f>
        <v/>
      </c>
      <c r="AP88" s="223">
        <f>IF(AND('CONTROLE EJ'!I90="",'CONTROLE CMM'!I90=""),"",N('CONTROLE EJ'!I90)+N('CONTROLE CMM'!I90))</f>
        <v/>
      </c>
      <c r="AQ88" s="223">
        <f>IF(AND('CONTROLE EJ'!J90="",'CONTROLE CMM'!#REF!=""),"",N('CONTROLE EJ'!J90)+N('CONTROLE CMM'!#REF!))</f>
        <v/>
      </c>
      <c r="AR88" s="223">
        <f>IF('CONTROLE GLOBO AÇOS'!I90="","",'CONTROLE GLOBO AÇOS'!I90)</f>
        <v/>
      </c>
      <c r="AS88" s="223">
        <f>IF('CONTROLE GLOBO AÇOS'!J90="","",'CONTROLE GLOBO AÇOS'!J90)</f>
        <v/>
      </c>
      <c r="AT88" s="223">
        <f>IF(#REF!="","",#REF!)</f>
        <v/>
      </c>
      <c r="AU88" s="223">
        <f>IF('CONTROLE GLOBO AÇOS'!K90="","",'CONTROLE GLOBO AÇOS'!K90)</f>
        <v/>
      </c>
      <c r="AV88" s="223">
        <f>IF(AND('CONTROLE EJ'!K90="",'CONTROLE CMM'!#REF!=""),"",N('CONTROLE EJ'!K90)+N('CONTROLE CMM'!#REF!))</f>
        <v/>
      </c>
      <c r="AW88" s="223">
        <f>IF('CONTROLE GLOBO AÇOS'!L90="","",'CONTROLE GLOBO AÇOS'!L90)</f>
        <v/>
      </c>
      <c r="AX88" s="223">
        <f>IF(AND('CONTROLE EJ'!L90="",'CONTROLE CMM'!#REF!=""),"",N('CONTROLE EJ'!L90)+N('CONTROLE CMM'!#REF!))</f>
        <v/>
      </c>
      <c r="AY88" s="223">
        <f>IF('CONTROLE GLOBO AÇOS'!M90="","",'CONTROLE GLOBO AÇOS'!M90)</f>
        <v/>
      </c>
      <c r="AZ88" s="223">
        <f>IF('CONTROLE GLOBO AÇOS'!N90="","",'CONTROLE GLOBO AÇOS'!N90)</f>
        <v/>
      </c>
      <c r="BA88" s="223">
        <f>IF(AND('CONTROLE EJ'!M90="",'CONTROLE CMM'!#REF!=""),"",N('CONTROLE EJ'!M90)+N('CONTROLE CMM'!#REF!))</f>
        <v/>
      </c>
      <c r="BB88" s="223">
        <f>IF(#REF!="","",#REF!)</f>
        <v/>
      </c>
      <c r="BC88" s="223">
        <f>IF('CONTROLE GLOBO AÇOS'!O90="","",'CONTROLE GLOBO AÇOS'!O90)</f>
        <v/>
      </c>
      <c r="BD88" s="223">
        <f>IF(AND('CONTROLE EJ'!N90="",'CONTROLE CMM'!#REF!=""),"",N('CONTROLE EJ'!N90)+N('CONTROLE CMM'!#REF!))</f>
        <v/>
      </c>
      <c r="BE88" s="223">
        <f>IF('CONTROLE GLOBO AÇOS'!P90="","",'CONTROLE GLOBO AÇOS'!P90)</f>
        <v/>
      </c>
      <c r="BF88" s="223">
        <f>IF('CONTROLE GLOBO AÇOS'!Q90="","",'CONTROLE GLOBO AÇOS'!Q90)</f>
        <v/>
      </c>
      <c r="BG88" s="223">
        <f>IF('CONTROLE GLOBO AÇOS'!R90="","",'CONTROLE GLOBO AÇOS'!R90)</f>
        <v/>
      </c>
      <c r="BH88" s="223">
        <f>IF(AND('CONTROLE EJ'!O90="",'CONTROLE CMM'!#REF!=""),"",N('CONTROLE EJ'!O90)+N('CONTROLE CMM'!#REF!))</f>
        <v/>
      </c>
      <c r="BI88" s="223">
        <f>IF('CONTROLE GLOBO AÇOS'!S90="","",'CONTROLE GLOBO AÇOS'!S90)</f>
        <v/>
      </c>
      <c r="BJ88" s="223">
        <f>IF('CONTROLE GLOBO AÇOS'!T90="","",'CONTROLE GLOBO AÇOS'!T90)</f>
        <v/>
      </c>
      <c r="BK88" s="223">
        <f>IF('CONTROLE GLOBO AÇOS'!U90="","",'CONTROLE GLOBO AÇOS'!U90)</f>
        <v/>
      </c>
      <c r="BL88" s="223">
        <f>IF(AND('CONTROLE EJ'!P90="",'CONTROLE CMM'!#REF!=""),"",N('CONTROLE EJ'!P90)+N('CONTROLE CMM'!#REF!))</f>
        <v/>
      </c>
      <c r="BM88" s="223">
        <f>IF(AND('CONTROLE EJ'!Q90="",'CONTROLE CMM'!#REF!=""),"",N('CONTROLE EJ'!Q90)+N('CONTROLE CMM'!#REF!))</f>
        <v/>
      </c>
      <c r="BN88" s="223">
        <f>IF('CONTROLE GLOBO AÇOS'!V90="","",'CONTROLE GLOBO AÇOS'!V90)</f>
        <v/>
      </c>
      <c r="BO88" s="223">
        <f>IF('CONTROLE GLOBO AÇOS'!W90="","",'CONTROLE GLOBO AÇOS'!W90)</f>
        <v/>
      </c>
      <c r="BP88" s="223">
        <f>IF(AND('CONTROLE EJ'!R90="",'CONTROLE CMM'!#REF!=""),"",N('CONTROLE EJ'!R90)+N('CONTROLE CMM'!#REF!))</f>
        <v/>
      </c>
      <c r="BQ88" s="223">
        <f>IF(#REF!="","",#REF!)</f>
        <v/>
      </c>
      <c r="BR88" s="223">
        <f>IF(AND('CONTROLE EJ'!S90="",'CONTROLE CMM'!#REF!=""),"",N('CONTROLE EJ'!S90)+N('CONTROLE CMM'!#REF!))</f>
        <v/>
      </c>
      <c r="BS88" s="223">
        <f>IF(AND('CONTROLE EJ'!T90="",'CONTROLE CMM'!#REF!=""),"",N('CONTROLE EJ'!T90)+N('CONTROLE CMM'!#REF!))</f>
        <v/>
      </c>
      <c r="BT88" s="223">
        <f>IF('CONTROLE GLOBO AÇOS'!X90="","",'CONTROLE GLOBO AÇOS'!X90)</f>
        <v/>
      </c>
      <c r="BU88" s="223">
        <f>IF('CONTROLE GLOBO AÇOS'!Y90="","",'CONTROLE GLOBO AÇOS'!Y90)</f>
        <v/>
      </c>
      <c r="BV88" s="223">
        <f>IF(AND('CONTROLE EJ'!U90="",'CONTROLE CMM'!#REF!=""),"",N('CONTROLE EJ'!U90)+N('CONTROLE CMM'!#REF!))</f>
        <v/>
      </c>
      <c r="BW88" s="223">
        <f>IF(#REF!="","",#REF!)</f>
        <v/>
      </c>
    </row>
    <row r="89">
      <c r="A89" s="282" t="n">
        <v>46306</v>
      </c>
      <c r="B89" s="223">
        <f>IF('CONTROLE EJ'!B91="","",'CONTROLE EJ'!B91)</f>
        <v/>
      </c>
      <c r="C89" s="42">
        <f>IF('CONTROLE EJ'!C91="","",'CONTROLE EJ'!C91)</f>
        <v/>
      </c>
      <c r="D89" s="42">
        <f>IF('CONTROLE EJ'!D91="","",'CONTROLE EJ'!D91)</f>
        <v/>
      </c>
      <c r="E89" s="70">
        <f>IF('CONTROLE CMM'!B91="","",'CONTROLE CMM'!B91)</f>
        <v/>
      </c>
      <c r="F89" s="223">
        <f>IF('CONTROLE CMM'!C91="","",'CONTROLE CMM'!C91)</f>
        <v/>
      </c>
      <c r="G89" s="42">
        <f>IF('CONTROLE CMM'!D91="","",'CONTROLE CMM'!D91)</f>
        <v/>
      </c>
      <c r="H89" s="44">
        <f>IF('CONTROLE GLOBO AÇOS'!B91="","",'CONTROLE GLOBO AÇOS'!B91)</f>
        <v/>
      </c>
      <c r="I89" s="223">
        <f>IF('CONTROLE GLOBO AÇOS'!C91="","",'CONTROLE GLOBO AÇOS'!C91)</f>
        <v/>
      </c>
      <c r="J89" s="223">
        <f>IF('CONTROLE GLOBO AÇOS'!D91="","",'CONTROLE GLOBO AÇOS'!D91)</f>
        <v/>
      </c>
      <c r="AD89" s="39">
        <f>IF($A89="",0,IF(AND(WEEKDAY($A89,2)&lt;=5,OR($B89&lt;&gt;"",$C89&lt;&gt;"",$D89&lt;&gt;"")),1,0))</f>
        <v/>
      </c>
      <c r="AE89" s="39">
        <f>IF($A89="",0,IF(AND(WEEKDAY($A89,2)&lt;=5,OR($E89&lt;&gt;"",$F89&lt;&gt;"",$G89&lt;&gt;"")),1,0))</f>
        <v/>
      </c>
      <c r="AF89" s="39">
        <f>MAX(AD89,AE89)</f>
        <v/>
      </c>
      <c r="AH89" s="223">
        <f>IF('CONTROLE GLOBO AÇOS'!E91="","",'CONTROLE GLOBO AÇOS'!E91)</f>
        <v/>
      </c>
      <c r="AI89" s="223">
        <f>IF('CONTROLE GLOBO AÇOS'!F91="","",'CONTROLE GLOBO AÇOS'!F91)</f>
        <v/>
      </c>
      <c r="AJ89" s="223">
        <f>IF(AND('CONTROLE EJ'!E91="",'CONTROLE CMM'!E91=""),"",N('CONTROLE EJ'!E91)+N('CONTROLE CMM'!E91))</f>
        <v/>
      </c>
      <c r="AK89" s="223">
        <f>IF(AND('CONTROLE EJ'!F91="",'CONTROLE CMM'!F91=""),"",N('CONTROLE EJ'!F91)+N('CONTROLE CMM'!F91))</f>
        <v/>
      </c>
      <c r="AL89" s="223">
        <f>IF(AND('CONTROLE EJ'!G91="",'CONTROLE CMM'!G91=""),"",N('CONTROLE EJ'!G91)+N('CONTROLE CMM'!G91))</f>
        <v/>
      </c>
      <c r="AM89" s="223">
        <f>IF(AND('CONTROLE EJ'!H91="",'CONTROLE CMM'!H91=""),"",N('CONTROLE EJ'!H91)+N('CONTROLE CMM'!H91))</f>
        <v/>
      </c>
      <c r="AN89" s="223">
        <f>IF('CONTROLE GLOBO AÇOS'!G91="","",'CONTROLE GLOBO AÇOS'!G91)</f>
        <v/>
      </c>
      <c r="AO89" s="223">
        <f>IF('CONTROLE GLOBO AÇOS'!H91="","",'CONTROLE GLOBO AÇOS'!H91)</f>
        <v/>
      </c>
      <c r="AP89" s="223">
        <f>IF(AND('CONTROLE EJ'!I91="",'CONTROLE CMM'!I91=""),"",N('CONTROLE EJ'!I91)+N('CONTROLE CMM'!I91))</f>
        <v/>
      </c>
      <c r="AQ89" s="223">
        <f>IF(AND('CONTROLE EJ'!J91="",'CONTROLE CMM'!#REF!=""),"",N('CONTROLE EJ'!J91)+N('CONTROLE CMM'!#REF!))</f>
        <v/>
      </c>
      <c r="AR89" s="223">
        <f>IF('CONTROLE GLOBO AÇOS'!I91="","",'CONTROLE GLOBO AÇOS'!I91)</f>
        <v/>
      </c>
      <c r="AS89" s="223">
        <f>IF('CONTROLE GLOBO AÇOS'!J91="","",'CONTROLE GLOBO AÇOS'!J91)</f>
        <v/>
      </c>
      <c r="AT89" s="223">
        <f>IF(#REF!="","",#REF!)</f>
        <v/>
      </c>
      <c r="AU89" s="223">
        <f>IF('CONTROLE GLOBO AÇOS'!K91="","",'CONTROLE GLOBO AÇOS'!K91)</f>
        <v/>
      </c>
      <c r="AV89" s="223">
        <f>IF(AND('CONTROLE EJ'!K91="",'CONTROLE CMM'!#REF!=""),"",N('CONTROLE EJ'!K91)+N('CONTROLE CMM'!#REF!))</f>
        <v/>
      </c>
      <c r="AW89" s="223">
        <f>IF('CONTROLE GLOBO AÇOS'!L91="","",'CONTROLE GLOBO AÇOS'!L91)</f>
        <v/>
      </c>
      <c r="AX89" s="223">
        <f>IF(AND('CONTROLE EJ'!L91="",'CONTROLE CMM'!#REF!=""),"",N('CONTROLE EJ'!L91)+N('CONTROLE CMM'!#REF!))</f>
        <v/>
      </c>
      <c r="AY89" s="223">
        <f>IF('CONTROLE GLOBO AÇOS'!M91="","",'CONTROLE GLOBO AÇOS'!M91)</f>
        <v/>
      </c>
      <c r="AZ89" s="223">
        <f>IF('CONTROLE GLOBO AÇOS'!N91="","",'CONTROLE GLOBO AÇOS'!N91)</f>
        <v/>
      </c>
      <c r="BA89" s="223">
        <f>IF(AND('CONTROLE EJ'!M91="",'CONTROLE CMM'!#REF!=""),"",N('CONTROLE EJ'!M91)+N('CONTROLE CMM'!#REF!))</f>
        <v/>
      </c>
      <c r="BB89" s="223">
        <f>IF(#REF!="","",#REF!)</f>
        <v/>
      </c>
      <c r="BC89" s="223">
        <f>IF('CONTROLE GLOBO AÇOS'!O91="","",'CONTROLE GLOBO AÇOS'!O91)</f>
        <v/>
      </c>
      <c r="BD89" s="223">
        <f>IF(AND('CONTROLE EJ'!N91="",'CONTROLE CMM'!#REF!=""),"",N('CONTROLE EJ'!N91)+N('CONTROLE CMM'!#REF!))</f>
        <v/>
      </c>
      <c r="BE89" s="223">
        <f>IF('CONTROLE GLOBO AÇOS'!P91="","",'CONTROLE GLOBO AÇOS'!P91)</f>
        <v/>
      </c>
      <c r="BF89" s="223">
        <f>IF('CONTROLE GLOBO AÇOS'!Q91="","",'CONTROLE GLOBO AÇOS'!Q91)</f>
        <v/>
      </c>
      <c r="BG89" s="223">
        <f>IF('CONTROLE GLOBO AÇOS'!R91="","",'CONTROLE GLOBO AÇOS'!R91)</f>
        <v/>
      </c>
      <c r="BH89" s="223">
        <f>IF(AND('CONTROLE EJ'!O91="",'CONTROLE CMM'!#REF!=""),"",N('CONTROLE EJ'!O91)+N('CONTROLE CMM'!#REF!))</f>
        <v/>
      </c>
      <c r="BI89" s="223">
        <f>IF('CONTROLE GLOBO AÇOS'!S91="","",'CONTROLE GLOBO AÇOS'!S91)</f>
        <v/>
      </c>
      <c r="BJ89" s="223">
        <f>IF('CONTROLE GLOBO AÇOS'!T91="","",'CONTROLE GLOBO AÇOS'!T91)</f>
        <v/>
      </c>
      <c r="BK89" s="223">
        <f>IF('CONTROLE GLOBO AÇOS'!U91="","",'CONTROLE GLOBO AÇOS'!U91)</f>
        <v/>
      </c>
      <c r="BL89" s="223">
        <f>IF(AND('CONTROLE EJ'!P91="",'CONTROLE CMM'!#REF!=""),"",N('CONTROLE EJ'!P91)+N('CONTROLE CMM'!#REF!))</f>
        <v/>
      </c>
      <c r="BM89" s="223">
        <f>IF(AND('CONTROLE EJ'!Q91="",'CONTROLE CMM'!#REF!=""),"",N('CONTROLE EJ'!Q91)+N('CONTROLE CMM'!#REF!))</f>
        <v/>
      </c>
      <c r="BN89" s="223">
        <f>IF('CONTROLE GLOBO AÇOS'!V91="","",'CONTROLE GLOBO AÇOS'!V91)</f>
        <v/>
      </c>
      <c r="BO89" s="223">
        <f>IF('CONTROLE GLOBO AÇOS'!W91="","",'CONTROLE GLOBO AÇOS'!W91)</f>
        <v/>
      </c>
      <c r="BP89" s="223">
        <f>IF(AND('CONTROLE EJ'!R91="",'CONTROLE CMM'!#REF!=""),"",N('CONTROLE EJ'!R91)+N('CONTROLE CMM'!#REF!))</f>
        <v/>
      </c>
      <c r="BQ89" s="223">
        <f>IF(#REF!="","",#REF!)</f>
        <v/>
      </c>
      <c r="BR89" s="223">
        <f>IF(AND('CONTROLE EJ'!S91="",'CONTROLE CMM'!#REF!=""),"",N('CONTROLE EJ'!S91)+N('CONTROLE CMM'!#REF!))</f>
        <v/>
      </c>
      <c r="BS89" s="223">
        <f>IF(AND('CONTROLE EJ'!T91="",'CONTROLE CMM'!#REF!=""),"",N('CONTROLE EJ'!T91)+N('CONTROLE CMM'!#REF!))</f>
        <v/>
      </c>
      <c r="BT89" s="223">
        <f>IF('CONTROLE GLOBO AÇOS'!X91="","",'CONTROLE GLOBO AÇOS'!X91)</f>
        <v/>
      </c>
      <c r="BU89" s="223">
        <f>IF('CONTROLE GLOBO AÇOS'!Y91="","",'CONTROLE GLOBO AÇOS'!Y91)</f>
        <v/>
      </c>
      <c r="BV89" s="223">
        <f>IF(AND('CONTROLE EJ'!U91="",'CONTROLE CMM'!#REF!=""),"",N('CONTROLE EJ'!U91)+N('CONTROLE CMM'!#REF!))</f>
        <v/>
      </c>
      <c r="BW89" s="223">
        <f>IF(#REF!="","",#REF!)</f>
        <v/>
      </c>
    </row>
    <row r="90">
      <c r="A90" s="282" t="n">
        <v>46307</v>
      </c>
      <c r="B90" s="223">
        <f>IF('CONTROLE EJ'!B92="","",'CONTROLE EJ'!B92)</f>
        <v/>
      </c>
      <c r="C90" s="42">
        <f>IF('CONTROLE EJ'!C92="","",'CONTROLE EJ'!C92)</f>
        <v/>
      </c>
      <c r="D90" s="42">
        <f>IF('CONTROLE EJ'!D92="","",'CONTROLE EJ'!D92)</f>
        <v/>
      </c>
      <c r="E90" s="70">
        <f>IF('CONTROLE CMM'!B92="","",'CONTROLE CMM'!B92)</f>
        <v/>
      </c>
      <c r="F90" s="223">
        <f>IF('CONTROLE CMM'!C92="","",'CONTROLE CMM'!C92)</f>
        <v/>
      </c>
      <c r="G90" s="42">
        <f>IF('CONTROLE CMM'!D92="","",'CONTROLE CMM'!D92)</f>
        <v/>
      </c>
      <c r="H90" s="44">
        <f>IF('CONTROLE GLOBO AÇOS'!B92="","",'CONTROLE GLOBO AÇOS'!B92)</f>
        <v/>
      </c>
      <c r="I90" s="223">
        <f>IF('CONTROLE GLOBO AÇOS'!C92="","",'CONTROLE GLOBO AÇOS'!C92)</f>
        <v/>
      </c>
      <c r="J90" s="223">
        <f>IF('CONTROLE GLOBO AÇOS'!D92="","",'CONTROLE GLOBO AÇOS'!D92)</f>
        <v/>
      </c>
      <c r="AD90" s="39">
        <f>IF($A90="",0,IF(AND(WEEKDAY($A90,2)&lt;=5,OR($B90&lt;&gt;"",$C90&lt;&gt;"",$D90&lt;&gt;"")),1,0))</f>
        <v/>
      </c>
      <c r="AE90" s="39">
        <f>IF($A90="",0,IF(AND(WEEKDAY($A90,2)&lt;=5,OR($E90&lt;&gt;"",$F90&lt;&gt;"",$G90&lt;&gt;"")),1,0))</f>
        <v/>
      </c>
      <c r="AF90" s="39">
        <f>MAX(AD90,AE90)</f>
        <v/>
      </c>
      <c r="AH90" s="223">
        <f>IF('CONTROLE GLOBO AÇOS'!E92="","",'CONTROLE GLOBO AÇOS'!E92)</f>
        <v/>
      </c>
      <c r="AI90" s="223">
        <f>IF('CONTROLE GLOBO AÇOS'!F92="","",'CONTROLE GLOBO AÇOS'!F92)</f>
        <v/>
      </c>
      <c r="AJ90" s="223">
        <f>IF(AND('CONTROLE EJ'!E92="",'CONTROLE CMM'!E92=""),"",N('CONTROLE EJ'!E92)+N('CONTROLE CMM'!E92))</f>
        <v/>
      </c>
      <c r="AK90" s="223">
        <f>IF(AND('CONTROLE EJ'!F92="",'CONTROLE CMM'!F92=""),"",N('CONTROLE EJ'!F92)+N('CONTROLE CMM'!F92))</f>
        <v/>
      </c>
      <c r="AL90" s="223">
        <f>IF(AND('CONTROLE EJ'!G92="",'CONTROLE CMM'!G92=""),"",N('CONTROLE EJ'!G92)+N('CONTROLE CMM'!G92))</f>
        <v/>
      </c>
      <c r="AM90" s="223">
        <f>IF(AND('CONTROLE EJ'!H92="",'CONTROLE CMM'!H92=""),"",N('CONTROLE EJ'!H92)+N('CONTROLE CMM'!H92))</f>
        <v/>
      </c>
      <c r="AN90" s="223">
        <f>IF('CONTROLE GLOBO AÇOS'!G92="","",'CONTROLE GLOBO AÇOS'!G92)</f>
        <v/>
      </c>
      <c r="AO90" s="223">
        <f>IF('CONTROLE GLOBO AÇOS'!H92="","",'CONTROLE GLOBO AÇOS'!H92)</f>
        <v/>
      </c>
      <c r="AP90" s="223">
        <f>IF(AND('CONTROLE EJ'!I92="",'CONTROLE CMM'!I92=""),"",N('CONTROLE EJ'!I92)+N('CONTROLE CMM'!I92))</f>
        <v/>
      </c>
      <c r="AQ90" s="223">
        <f>IF(AND('CONTROLE EJ'!J92="",'CONTROLE CMM'!#REF!=""),"",N('CONTROLE EJ'!J92)+N('CONTROLE CMM'!#REF!))</f>
        <v/>
      </c>
      <c r="AR90" s="223">
        <f>IF('CONTROLE GLOBO AÇOS'!I92="","",'CONTROLE GLOBO AÇOS'!I92)</f>
        <v/>
      </c>
      <c r="AS90" s="223">
        <f>IF('CONTROLE GLOBO AÇOS'!J92="","",'CONTROLE GLOBO AÇOS'!J92)</f>
        <v/>
      </c>
      <c r="AT90" s="223">
        <f>IF(#REF!="","",#REF!)</f>
        <v/>
      </c>
      <c r="AU90" s="223">
        <f>IF('CONTROLE GLOBO AÇOS'!K92="","",'CONTROLE GLOBO AÇOS'!K92)</f>
        <v/>
      </c>
      <c r="AV90" s="223">
        <f>IF(AND('CONTROLE EJ'!K92="",'CONTROLE CMM'!#REF!=""),"",N('CONTROLE EJ'!K92)+N('CONTROLE CMM'!#REF!))</f>
        <v/>
      </c>
      <c r="AW90" s="223">
        <f>IF('CONTROLE GLOBO AÇOS'!L92="","",'CONTROLE GLOBO AÇOS'!L92)</f>
        <v/>
      </c>
      <c r="AX90" s="223">
        <f>IF(AND('CONTROLE EJ'!L92="",'CONTROLE CMM'!#REF!=""),"",N('CONTROLE EJ'!L92)+N('CONTROLE CMM'!#REF!))</f>
        <v/>
      </c>
      <c r="AY90" s="223">
        <f>IF('CONTROLE GLOBO AÇOS'!M92="","",'CONTROLE GLOBO AÇOS'!M92)</f>
        <v/>
      </c>
      <c r="AZ90" s="223">
        <f>IF('CONTROLE GLOBO AÇOS'!N92="","",'CONTROLE GLOBO AÇOS'!N92)</f>
        <v/>
      </c>
      <c r="BA90" s="223">
        <f>IF(AND('CONTROLE EJ'!M92="",'CONTROLE CMM'!#REF!=""),"",N('CONTROLE EJ'!M92)+N('CONTROLE CMM'!#REF!))</f>
        <v/>
      </c>
      <c r="BB90" s="223">
        <f>IF(#REF!="","",#REF!)</f>
        <v/>
      </c>
      <c r="BC90" s="223">
        <f>IF('CONTROLE GLOBO AÇOS'!O92="","",'CONTROLE GLOBO AÇOS'!O92)</f>
        <v/>
      </c>
      <c r="BD90" s="223">
        <f>IF(AND('CONTROLE EJ'!N92="",'CONTROLE CMM'!#REF!=""),"",N('CONTROLE EJ'!N92)+N('CONTROLE CMM'!#REF!))</f>
        <v/>
      </c>
      <c r="BE90" s="223">
        <f>IF('CONTROLE GLOBO AÇOS'!P92="","",'CONTROLE GLOBO AÇOS'!P92)</f>
        <v/>
      </c>
      <c r="BF90" s="223">
        <f>IF('CONTROLE GLOBO AÇOS'!Q92="","",'CONTROLE GLOBO AÇOS'!Q92)</f>
        <v/>
      </c>
      <c r="BG90" s="223">
        <f>IF('CONTROLE GLOBO AÇOS'!R92="","",'CONTROLE GLOBO AÇOS'!R92)</f>
        <v/>
      </c>
      <c r="BH90" s="223">
        <f>IF(AND('CONTROLE EJ'!O92="",'CONTROLE CMM'!#REF!=""),"",N('CONTROLE EJ'!O92)+N('CONTROLE CMM'!#REF!))</f>
        <v/>
      </c>
      <c r="BI90" s="223">
        <f>IF('CONTROLE GLOBO AÇOS'!S92="","",'CONTROLE GLOBO AÇOS'!S92)</f>
        <v/>
      </c>
      <c r="BJ90" s="223">
        <f>IF('CONTROLE GLOBO AÇOS'!T92="","",'CONTROLE GLOBO AÇOS'!T92)</f>
        <v/>
      </c>
      <c r="BK90" s="223">
        <f>IF('CONTROLE GLOBO AÇOS'!U92="","",'CONTROLE GLOBO AÇOS'!U92)</f>
        <v/>
      </c>
      <c r="BL90" s="223">
        <f>IF(AND('CONTROLE EJ'!P92="",'CONTROLE CMM'!#REF!=""),"",N('CONTROLE EJ'!P92)+N('CONTROLE CMM'!#REF!))</f>
        <v/>
      </c>
      <c r="BM90" s="223">
        <f>IF(AND('CONTROLE EJ'!Q92="",'CONTROLE CMM'!#REF!=""),"",N('CONTROLE EJ'!Q92)+N('CONTROLE CMM'!#REF!))</f>
        <v/>
      </c>
      <c r="BN90" s="223">
        <f>IF('CONTROLE GLOBO AÇOS'!V92="","",'CONTROLE GLOBO AÇOS'!V92)</f>
        <v/>
      </c>
      <c r="BO90" s="223">
        <f>IF('CONTROLE GLOBO AÇOS'!W92="","",'CONTROLE GLOBO AÇOS'!W92)</f>
        <v/>
      </c>
      <c r="BP90" s="223">
        <f>IF(AND('CONTROLE EJ'!R92="",'CONTROLE CMM'!#REF!=""),"",N('CONTROLE EJ'!R92)+N('CONTROLE CMM'!#REF!))</f>
        <v/>
      </c>
      <c r="BQ90" s="223">
        <f>IF(#REF!="","",#REF!)</f>
        <v/>
      </c>
      <c r="BR90" s="223">
        <f>IF(AND('CONTROLE EJ'!S92="",'CONTROLE CMM'!#REF!=""),"",N('CONTROLE EJ'!S92)+N('CONTROLE CMM'!#REF!))</f>
        <v/>
      </c>
      <c r="BS90" s="223">
        <f>IF(AND('CONTROLE EJ'!T92="",'CONTROLE CMM'!#REF!=""),"",N('CONTROLE EJ'!T92)+N('CONTROLE CMM'!#REF!))</f>
        <v/>
      </c>
      <c r="BT90" s="223">
        <f>IF('CONTROLE GLOBO AÇOS'!X92="","",'CONTROLE GLOBO AÇOS'!X92)</f>
        <v/>
      </c>
      <c r="BU90" s="223">
        <f>IF('CONTROLE GLOBO AÇOS'!Y92="","",'CONTROLE GLOBO AÇOS'!Y92)</f>
        <v/>
      </c>
      <c r="BV90" s="223">
        <f>IF(AND('CONTROLE EJ'!U92="",'CONTROLE CMM'!#REF!=""),"",N('CONTROLE EJ'!U92)+N('CONTROLE CMM'!#REF!))</f>
        <v/>
      </c>
      <c r="BW90" s="223">
        <f>IF(#REF!="","",#REF!)</f>
        <v/>
      </c>
    </row>
    <row r="91">
      <c r="A91" s="282" t="n">
        <v>46308</v>
      </c>
      <c r="B91" s="223">
        <f>IF('CONTROLE EJ'!B93="","",'CONTROLE EJ'!B93)</f>
        <v/>
      </c>
      <c r="C91" s="42">
        <f>IF('CONTROLE EJ'!C93="","",'CONTROLE EJ'!C93)</f>
        <v/>
      </c>
      <c r="D91" s="42">
        <f>IF('CONTROLE EJ'!D93="","",'CONTROLE EJ'!D93)</f>
        <v/>
      </c>
      <c r="E91" s="70">
        <f>IF('CONTROLE CMM'!B93="","",'CONTROLE CMM'!B93)</f>
        <v/>
      </c>
      <c r="F91" s="223">
        <f>IF('CONTROLE CMM'!C93="","",'CONTROLE CMM'!C93)</f>
        <v/>
      </c>
      <c r="G91" s="42">
        <f>IF('CONTROLE CMM'!D93="","",'CONTROLE CMM'!D93)</f>
        <v/>
      </c>
      <c r="H91" s="44">
        <f>IF('CONTROLE GLOBO AÇOS'!B93="","",'CONTROLE GLOBO AÇOS'!B93)</f>
        <v/>
      </c>
      <c r="I91" s="223">
        <f>IF('CONTROLE GLOBO AÇOS'!C93="","",'CONTROLE GLOBO AÇOS'!C93)</f>
        <v/>
      </c>
      <c r="J91" s="223">
        <f>IF('CONTROLE GLOBO AÇOS'!D93="","",'CONTROLE GLOBO AÇOS'!D93)</f>
        <v/>
      </c>
      <c r="AD91" s="39">
        <f>IF($A91="",0,IF(AND(WEEKDAY($A91,2)&lt;=5,OR($B91&lt;&gt;"",$C91&lt;&gt;"",$D91&lt;&gt;"")),1,0))</f>
        <v/>
      </c>
      <c r="AE91" s="39">
        <f>IF($A91="",0,IF(AND(WEEKDAY($A91,2)&lt;=5,OR($E91&lt;&gt;"",$F91&lt;&gt;"",$G91&lt;&gt;"")),1,0))</f>
        <v/>
      </c>
      <c r="AF91" s="39">
        <f>MAX(AD91,AE91)</f>
        <v/>
      </c>
      <c r="AH91" s="223">
        <f>IF('CONTROLE GLOBO AÇOS'!E93="","",'CONTROLE GLOBO AÇOS'!E93)</f>
        <v/>
      </c>
      <c r="AI91" s="223">
        <f>IF('CONTROLE GLOBO AÇOS'!F93="","",'CONTROLE GLOBO AÇOS'!F93)</f>
        <v/>
      </c>
      <c r="AJ91" s="223">
        <f>IF(AND('CONTROLE EJ'!E93="",'CONTROLE CMM'!E93=""),"",N('CONTROLE EJ'!E93)+N('CONTROLE CMM'!E93))</f>
        <v/>
      </c>
      <c r="AK91" s="223">
        <f>IF(AND('CONTROLE EJ'!F93="",'CONTROLE CMM'!F93=""),"",N('CONTROLE EJ'!F93)+N('CONTROLE CMM'!F93))</f>
        <v/>
      </c>
      <c r="AL91" s="223">
        <f>IF(AND('CONTROLE EJ'!G93="",'CONTROLE CMM'!G93=""),"",N('CONTROLE EJ'!G93)+N('CONTROLE CMM'!G93))</f>
        <v/>
      </c>
      <c r="AM91" s="223">
        <f>IF(AND('CONTROLE EJ'!H93="",'CONTROLE CMM'!H93=""),"",N('CONTROLE EJ'!H93)+N('CONTROLE CMM'!H93))</f>
        <v/>
      </c>
      <c r="AN91" s="223">
        <f>IF('CONTROLE GLOBO AÇOS'!G93="","",'CONTROLE GLOBO AÇOS'!G93)</f>
        <v/>
      </c>
      <c r="AO91" s="223">
        <f>IF('CONTROLE GLOBO AÇOS'!H93="","",'CONTROLE GLOBO AÇOS'!H93)</f>
        <v/>
      </c>
      <c r="AP91" s="223">
        <f>IF(AND('CONTROLE EJ'!I93="",'CONTROLE CMM'!I93=""),"",N('CONTROLE EJ'!I93)+N('CONTROLE CMM'!I93))</f>
        <v/>
      </c>
      <c r="AQ91" s="223">
        <f>IF(AND('CONTROLE EJ'!J93="",'CONTROLE CMM'!#REF!=""),"",N('CONTROLE EJ'!J93)+N('CONTROLE CMM'!#REF!))</f>
        <v/>
      </c>
      <c r="AR91" s="223">
        <f>IF('CONTROLE GLOBO AÇOS'!I93="","",'CONTROLE GLOBO AÇOS'!I93)</f>
        <v/>
      </c>
      <c r="AS91" s="223">
        <f>IF('CONTROLE GLOBO AÇOS'!J93="","",'CONTROLE GLOBO AÇOS'!J93)</f>
        <v/>
      </c>
      <c r="AT91" s="223">
        <f>IF(#REF!="","",#REF!)</f>
        <v/>
      </c>
      <c r="AU91" s="223">
        <f>IF('CONTROLE GLOBO AÇOS'!K93="","",'CONTROLE GLOBO AÇOS'!K93)</f>
        <v/>
      </c>
      <c r="AV91" s="223">
        <f>IF(AND('CONTROLE EJ'!K93="",'CONTROLE CMM'!#REF!=""),"",N('CONTROLE EJ'!K93)+N('CONTROLE CMM'!#REF!))</f>
        <v/>
      </c>
      <c r="AW91" s="223">
        <f>IF('CONTROLE GLOBO AÇOS'!L93="","",'CONTROLE GLOBO AÇOS'!L93)</f>
        <v/>
      </c>
      <c r="AX91" s="223">
        <f>IF(AND('CONTROLE EJ'!L93="",'CONTROLE CMM'!#REF!=""),"",N('CONTROLE EJ'!L93)+N('CONTROLE CMM'!#REF!))</f>
        <v/>
      </c>
      <c r="AY91" s="223">
        <f>IF('CONTROLE GLOBO AÇOS'!M93="","",'CONTROLE GLOBO AÇOS'!M93)</f>
        <v/>
      </c>
      <c r="AZ91" s="223">
        <f>IF('CONTROLE GLOBO AÇOS'!N93="","",'CONTROLE GLOBO AÇOS'!N93)</f>
        <v/>
      </c>
      <c r="BA91" s="223">
        <f>IF(AND('CONTROLE EJ'!M93="",'CONTROLE CMM'!#REF!=""),"",N('CONTROLE EJ'!M93)+N('CONTROLE CMM'!#REF!))</f>
        <v/>
      </c>
      <c r="BB91" s="223">
        <f>IF(#REF!="","",#REF!)</f>
        <v/>
      </c>
      <c r="BC91" s="223">
        <f>IF('CONTROLE GLOBO AÇOS'!O93="","",'CONTROLE GLOBO AÇOS'!O93)</f>
        <v/>
      </c>
      <c r="BD91" s="223">
        <f>IF(AND('CONTROLE EJ'!N93="",'CONTROLE CMM'!#REF!=""),"",N('CONTROLE EJ'!N93)+N('CONTROLE CMM'!#REF!))</f>
        <v/>
      </c>
      <c r="BE91" s="223">
        <f>IF('CONTROLE GLOBO AÇOS'!P93="","",'CONTROLE GLOBO AÇOS'!P93)</f>
        <v/>
      </c>
      <c r="BF91" s="223">
        <f>IF('CONTROLE GLOBO AÇOS'!Q93="","",'CONTROLE GLOBO AÇOS'!Q93)</f>
        <v/>
      </c>
      <c r="BG91" s="223">
        <f>IF('CONTROLE GLOBO AÇOS'!R93="","",'CONTROLE GLOBO AÇOS'!R93)</f>
        <v/>
      </c>
      <c r="BH91" s="223">
        <f>IF(AND('CONTROLE EJ'!O93="",'CONTROLE CMM'!#REF!=""),"",N('CONTROLE EJ'!O93)+N('CONTROLE CMM'!#REF!))</f>
        <v/>
      </c>
      <c r="BI91" s="223">
        <f>IF('CONTROLE GLOBO AÇOS'!S93="","",'CONTROLE GLOBO AÇOS'!S93)</f>
        <v/>
      </c>
      <c r="BJ91" s="223">
        <f>IF('CONTROLE GLOBO AÇOS'!T93="","",'CONTROLE GLOBO AÇOS'!T93)</f>
        <v/>
      </c>
      <c r="BK91" s="223">
        <f>IF('CONTROLE GLOBO AÇOS'!U93="","",'CONTROLE GLOBO AÇOS'!U93)</f>
        <v/>
      </c>
      <c r="BL91" s="223">
        <f>IF(AND('CONTROLE EJ'!P93="",'CONTROLE CMM'!#REF!=""),"",N('CONTROLE EJ'!P93)+N('CONTROLE CMM'!#REF!))</f>
        <v/>
      </c>
      <c r="BM91" s="223">
        <f>IF(AND('CONTROLE EJ'!Q93="",'CONTROLE CMM'!#REF!=""),"",N('CONTROLE EJ'!Q93)+N('CONTROLE CMM'!#REF!))</f>
        <v/>
      </c>
      <c r="BN91" s="223">
        <f>IF('CONTROLE GLOBO AÇOS'!V93="","",'CONTROLE GLOBO AÇOS'!V93)</f>
        <v/>
      </c>
      <c r="BO91" s="223">
        <f>IF('CONTROLE GLOBO AÇOS'!W93="","",'CONTROLE GLOBO AÇOS'!W93)</f>
        <v/>
      </c>
      <c r="BP91" s="223">
        <f>IF(AND('CONTROLE EJ'!R93="",'CONTROLE CMM'!#REF!=""),"",N('CONTROLE EJ'!R93)+N('CONTROLE CMM'!#REF!))</f>
        <v/>
      </c>
      <c r="BQ91" s="223">
        <f>IF(#REF!="","",#REF!)</f>
        <v/>
      </c>
      <c r="BR91" s="223">
        <f>IF(AND('CONTROLE EJ'!S93="",'CONTROLE CMM'!#REF!=""),"",N('CONTROLE EJ'!S93)+N('CONTROLE CMM'!#REF!))</f>
        <v/>
      </c>
      <c r="BS91" s="223">
        <f>IF(AND('CONTROLE EJ'!T93="",'CONTROLE CMM'!#REF!=""),"",N('CONTROLE EJ'!T93)+N('CONTROLE CMM'!#REF!))</f>
        <v/>
      </c>
      <c r="BT91" s="223">
        <f>IF('CONTROLE GLOBO AÇOS'!X93="","",'CONTROLE GLOBO AÇOS'!X93)</f>
        <v/>
      </c>
      <c r="BU91" s="223">
        <f>IF('CONTROLE GLOBO AÇOS'!Y93="","",'CONTROLE GLOBO AÇOS'!Y93)</f>
        <v/>
      </c>
      <c r="BV91" s="223">
        <f>IF(AND('CONTROLE EJ'!U93="",'CONTROLE CMM'!#REF!=""),"",N('CONTROLE EJ'!U93)+N('CONTROLE CMM'!#REF!))</f>
        <v/>
      </c>
      <c r="BW91" s="223">
        <f>IF(#REF!="","",#REF!)</f>
        <v/>
      </c>
    </row>
    <row r="92">
      <c r="A92" s="282" t="n">
        <v>46309</v>
      </c>
      <c r="B92" s="223">
        <f>IF('CONTROLE EJ'!B94="","",'CONTROLE EJ'!B94)</f>
        <v/>
      </c>
      <c r="C92" s="42">
        <f>IF('CONTROLE EJ'!C94="","",'CONTROLE EJ'!C94)</f>
        <v/>
      </c>
      <c r="D92" s="42">
        <f>IF('CONTROLE EJ'!D94="","",'CONTROLE EJ'!D94)</f>
        <v/>
      </c>
      <c r="E92" s="70">
        <f>IF('CONTROLE CMM'!B94="","",'CONTROLE CMM'!B94)</f>
        <v/>
      </c>
      <c r="F92" s="223">
        <f>IF('CONTROLE CMM'!C94="","",'CONTROLE CMM'!C94)</f>
        <v/>
      </c>
      <c r="G92" s="42">
        <f>IF('CONTROLE CMM'!D94="","",'CONTROLE CMM'!D94)</f>
        <v/>
      </c>
      <c r="H92" s="44">
        <f>IF('CONTROLE GLOBO AÇOS'!B94="","",'CONTROLE GLOBO AÇOS'!B94)</f>
        <v/>
      </c>
      <c r="I92" s="223">
        <f>IF('CONTROLE GLOBO AÇOS'!C94="","",'CONTROLE GLOBO AÇOS'!C94)</f>
        <v/>
      </c>
      <c r="J92" s="223">
        <f>IF('CONTROLE GLOBO AÇOS'!D94="","",'CONTROLE GLOBO AÇOS'!D94)</f>
        <v/>
      </c>
      <c r="AD92" s="39">
        <f>IF($A92="",0,IF(AND(WEEKDAY($A92,2)&lt;=5,OR($B92&lt;&gt;"",$C92&lt;&gt;"",$D92&lt;&gt;"")),1,0))</f>
        <v/>
      </c>
      <c r="AE92" s="39">
        <f>IF($A92="",0,IF(AND(WEEKDAY($A92,2)&lt;=5,OR($E92&lt;&gt;"",$F92&lt;&gt;"",$G92&lt;&gt;"")),1,0))</f>
        <v/>
      </c>
      <c r="AF92" s="39">
        <f>MAX(AD92,AE92)</f>
        <v/>
      </c>
      <c r="AH92" s="223">
        <f>IF('CONTROLE GLOBO AÇOS'!E94="","",'CONTROLE GLOBO AÇOS'!E94)</f>
        <v/>
      </c>
      <c r="AI92" s="223">
        <f>IF('CONTROLE GLOBO AÇOS'!F94="","",'CONTROLE GLOBO AÇOS'!F94)</f>
        <v/>
      </c>
      <c r="AJ92" s="223">
        <f>IF(AND('CONTROLE EJ'!E94="",'CONTROLE CMM'!E94=""),"",N('CONTROLE EJ'!E94)+N('CONTROLE CMM'!E94))</f>
        <v/>
      </c>
      <c r="AK92" s="223">
        <f>IF(AND('CONTROLE EJ'!F94="",'CONTROLE CMM'!F94=""),"",N('CONTROLE EJ'!F94)+N('CONTROLE CMM'!F94))</f>
        <v/>
      </c>
      <c r="AL92" s="223">
        <f>IF(AND('CONTROLE EJ'!G94="",'CONTROLE CMM'!G94=""),"",N('CONTROLE EJ'!G94)+N('CONTROLE CMM'!G94))</f>
        <v/>
      </c>
      <c r="AM92" s="223">
        <f>IF(AND('CONTROLE EJ'!H94="",'CONTROLE CMM'!H94=""),"",N('CONTROLE EJ'!H94)+N('CONTROLE CMM'!H94))</f>
        <v/>
      </c>
      <c r="AN92" s="223">
        <f>IF('CONTROLE GLOBO AÇOS'!G94="","",'CONTROLE GLOBO AÇOS'!G94)</f>
        <v/>
      </c>
      <c r="AO92" s="223">
        <f>IF('CONTROLE GLOBO AÇOS'!H94="","",'CONTROLE GLOBO AÇOS'!H94)</f>
        <v/>
      </c>
      <c r="AP92" s="223">
        <f>IF(AND('CONTROLE EJ'!I94="",'CONTROLE CMM'!I94=""),"",N('CONTROLE EJ'!I94)+N('CONTROLE CMM'!I94))</f>
        <v/>
      </c>
      <c r="AQ92" s="223">
        <f>IF(AND('CONTROLE EJ'!J94="",'CONTROLE CMM'!#REF!=""),"",N('CONTROLE EJ'!J94)+N('CONTROLE CMM'!#REF!))</f>
        <v/>
      </c>
      <c r="AR92" s="223">
        <f>IF('CONTROLE GLOBO AÇOS'!I94="","",'CONTROLE GLOBO AÇOS'!I94)</f>
        <v/>
      </c>
      <c r="AS92" s="223">
        <f>IF('CONTROLE GLOBO AÇOS'!J94="","",'CONTROLE GLOBO AÇOS'!J94)</f>
        <v/>
      </c>
      <c r="AT92" s="223">
        <f>IF(#REF!="","",#REF!)</f>
        <v/>
      </c>
      <c r="AU92" s="223">
        <f>IF('CONTROLE GLOBO AÇOS'!K94="","",'CONTROLE GLOBO AÇOS'!K94)</f>
        <v/>
      </c>
      <c r="AV92" s="223">
        <f>IF(AND('CONTROLE EJ'!K94="",'CONTROLE CMM'!#REF!=""),"",N('CONTROLE EJ'!K94)+N('CONTROLE CMM'!#REF!))</f>
        <v/>
      </c>
      <c r="AW92" s="223">
        <f>IF('CONTROLE GLOBO AÇOS'!L94="","",'CONTROLE GLOBO AÇOS'!L94)</f>
        <v/>
      </c>
      <c r="AX92" s="223">
        <f>IF(AND('CONTROLE EJ'!L94="",'CONTROLE CMM'!#REF!=""),"",N('CONTROLE EJ'!L94)+N('CONTROLE CMM'!#REF!))</f>
        <v/>
      </c>
      <c r="AY92" s="223">
        <f>IF('CONTROLE GLOBO AÇOS'!M94="","",'CONTROLE GLOBO AÇOS'!M94)</f>
        <v/>
      </c>
      <c r="AZ92" s="223">
        <f>IF('CONTROLE GLOBO AÇOS'!N94="","",'CONTROLE GLOBO AÇOS'!N94)</f>
        <v/>
      </c>
      <c r="BA92" s="223">
        <f>IF(AND('CONTROLE EJ'!M94="",'CONTROLE CMM'!#REF!=""),"",N('CONTROLE EJ'!M94)+N('CONTROLE CMM'!#REF!))</f>
        <v/>
      </c>
      <c r="BB92" s="223">
        <f>IF(#REF!="","",#REF!)</f>
        <v/>
      </c>
      <c r="BC92" s="223">
        <f>IF('CONTROLE GLOBO AÇOS'!O94="","",'CONTROLE GLOBO AÇOS'!O94)</f>
        <v/>
      </c>
      <c r="BD92" s="223">
        <f>IF(AND('CONTROLE EJ'!N94="",'CONTROLE CMM'!#REF!=""),"",N('CONTROLE EJ'!N94)+N('CONTROLE CMM'!#REF!))</f>
        <v/>
      </c>
      <c r="BE92" s="223">
        <f>IF('CONTROLE GLOBO AÇOS'!P94="","",'CONTROLE GLOBO AÇOS'!P94)</f>
        <v/>
      </c>
      <c r="BF92" s="223">
        <f>IF('CONTROLE GLOBO AÇOS'!Q94="","",'CONTROLE GLOBO AÇOS'!Q94)</f>
        <v/>
      </c>
      <c r="BG92" s="223">
        <f>IF('CONTROLE GLOBO AÇOS'!R94="","",'CONTROLE GLOBO AÇOS'!R94)</f>
        <v/>
      </c>
      <c r="BH92" s="223">
        <f>IF(AND('CONTROLE EJ'!O94="",'CONTROLE CMM'!#REF!=""),"",N('CONTROLE EJ'!O94)+N('CONTROLE CMM'!#REF!))</f>
        <v/>
      </c>
      <c r="BI92" s="223">
        <f>IF('CONTROLE GLOBO AÇOS'!S94="","",'CONTROLE GLOBO AÇOS'!S94)</f>
        <v/>
      </c>
      <c r="BJ92" s="223">
        <f>IF('CONTROLE GLOBO AÇOS'!T94="","",'CONTROLE GLOBO AÇOS'!T94)</f>
        <v/>
      </c>
      <c r="BK92" s="223">
        <f>IF('CONTROLE GLOBO AÇOS'!U94="","",'CONTROLE GLOBO AÇOS'!U94)</f>
        <v/>
      </c>
      <c r="BL92" s="223">
        <f>IF(AND('CONTROLE EJ'!P94="",'CONTROLE CMM'!#REF!=""),"",N('CONTROLE EJ'!P94)+N('CONTROLE CMM'!#REF!))</f>
        <v/>
      </c>
      <c r="BM92" s="223">
        <f>IF(AND('CONTROLE EJ'!Q94="",'CONTROLE CMM'!#REF!=""),"",N('CONTROLE EJ'!Q94)+N('CONTROLE CMM'!#REF!))</f>
        <v/>
      </c>
      <c r="BN92" s="223">
        <f>IF('CONTROLE GLOBO AÇOS'!V94="","",'CONTROLE GLOBO AÇOS'!V94)</f>
        <v/>
      </c>
      <c r="BO92" s="223">
        <f>IF('CONTROLE GLOBO AÇOS'!W94="","",'CONTROLE GLOBO AÇOS'!W94)</f>
        <v/>
      </c>
      <c r="BP92" s="223">
        <f>IF(AND('CONTROLE EJ'!R94="",'CONTROLE CMM'!#REF!=""),"",N('CONTROLE EJ'!R94)+N('CONTROLE CMM'!#REF!))</f>
        <v/>
      </c>
      <c r="BQ92" s="223">
        <f>IF(#REF!="","",#REF!)</f>
        <v/>
      </c>
      <c r="BR92" s="223">
        <f>IF(AND('CONTROLE EJ'!S94="",'CONTROLE CMM'!#REF!=""),"",N('CONTROLE EJ'!S94)+N('CONTROLE CMM'!#REF!))</f>
        <v/>
      </c>
      <c r="BS92" s="223">
        <f>IF(AND('CONTROLE EJ'!T94="",'CONTROLE CMM'!#REF!=""),"",N('CONTROLE EJ'!T94)+N('CONTROLE CMM'!#REF!))</f>
        <v/>
      </c>
      <c r="BT92" s="223">
        <f>IF('CONTROLE GLOBO AÇOS'!X94="","",'CONTROLE GLOBO AÇOS'!X94)</f>
        <v/>
      </c>
      <c r="BU92" s="223">
        <f>IF('CONTROLE GLOBO AÇOS'!Y94="","",'CONTROLE GLOBO AÇOS'!Y94)</f>
        <v/>
      </c>
      <c r="BV92" s="223">
        <f>IF(AND('CONTROLE EJ'!U94="",'CONTROLE CMM'!#REF!=""),"",N('CONTROLE EJ'!U94)+N('CONTROLE CMM'!#REF!))</f>
        <v/>
      </c>
      <c r="BW92" s="223">
        <f>IF(#REF!="","",#REF!)</f>
        <v/>
      </c>
    </row>
    <row r="93">
      <c r="A93" s="282" t="n">
        <v>46310</v>
      </c>
      <c r="B93" s="223">
        <f>IF('CONTROLE EJ'!B95="","",'CONTROLE EJ'!B95)</f>
        <v/>
      </c>
      <c r="C93" s="42">
        <f>IF('CONTROLE EJ'!C95="","",'CONTROLE EJ'!C95)</f>
        <v/>
      </c>
      <c r="D93" s="42">
        <f>IF('CONTROLE EJ'!D95="","",'CONTROLE EJ'!D95)</f>
        <v/>
      </c>
      <c r="E93" s="70">
        <f>IF('CONTROLE CMM'!B95="","",'CONTROLE CMM'!B95)</f>
        <v/>
      </c>
      <c r="F93" s="223">
        <f>IF('CONTROLE CMM'!C95="","",'CONTROLE CMM'!C95)</f>
        <v/>
      </c>
      <c r="G93" s="42">
        <f>IF('CONTROLE CMM'!D95="","",'CONTROLE CMM'!D95)</f>
        <v/>
      </c>
      <c r="H93" s="44">
        <f>IF('CONTROLE GLOBO AÇOS'!B95="","",'CONTROLE GLOBO AÇOS'!B95)</f>
        <v/>
      </c>
      <c r="I93" s="223">
        <f>IF('CONTROLE GLOBO AÇOS'!C95="","",'CONTROLE GLOBO AÇOS'!C95)</f>
        <v/>
      </c>
      <c r="J93" s="223">
        <f>IF('CONTROLE GLOBO AÇOS'!D95="","",'CONTROLE GLOBO AÇOS'!D95)</f>
        <v/>
      </c>
      <c r="AD93" s="39">
        <f>IF($A93="",0,IF(AND(WEEKDAY($A93,2)&lt;=5,OR($B93&lt;&gt;"",$C93&lt;&gt;"",$D93&lt;&gt;"")),1,0))</f>
        <v/>
      </c>
      <c r="AE93" s="39">
        <f>IF($A93="",0,IF(AND(WEEKDAY($A93,2)&lt;=5,OR($E93&lt;&gt;"",$F93&lt;&gt;"",$G93&lt;&gt;"")),1,0))</f>
        <v/>
      </c>
      <c r="AF93" s="39">
        <f>MAX(AD93,AE93)</f>
        <v/>
      </c>
      <c r="AH93" s="223">
        <f>IF('CONTROLE GLOBO AÇOS'!E95="","",'CONTROLE GLOBO AÇOS'!E95)</f>
        <v/>
      </c>
      <c r="AI93" s="223">
        <f>IF('CONTROLE GLOBO AÇOS'!F95="","",'CONTROLE GLOBO AÇOS'!F95)</f>
        <v/>
      </c>
      <c r="AJ93" s="223">
        <f>IF(AND('CONTROLE EJ'!E95="",'CONTROLE CMM'!E95=""),"",N('CONTROLE EJ'!E95)+N('CONTROLE CMM'!E95))</f>
        <v/>
      </c>
      <c r="AK93" s="223">
        <f>IF(AND('CONTROLE EJ'!F95="",'CONTROLE CMM'!F95=""),"",N('CONTROLE EJ'!F95)+N('CONTROLE CMM'!F95))</f>
        <v/>
      </c>
      <c r="AL93" s="223">
        <f>IF(AND('CONTROLE EJ'!G95="",'CONTROLE CMM'!G95=""),"",N('CONTROLE EJ'!G95)+N('CONTROLE CMM'!G95))</f>
        <v/>
      </c>
      <c r="AM93" s="223">
        <f>IF(AND('CONTROLE EJ'!H95="",'CONTROLE CMM'!H95=""),"",N('CONTROLE EJ'!H95)+N('CONTROLE CMM'!H95))</f>
        <v/>
      </c>
      <c r="AN93" s="223">
        <f>IF('CONTROLE GLOBO AÇOS'!G95="","",'CONTROLE GLOBO AÇOS'!G95)</f>
        <v/>
      </c>
      <c r="AO93" s="223">
        <f>IF('CONTROLE GLOBO AÇOS'!H95="","",'CONTROLE GLOBO AÇOS'!H95)</f>
        <v/>
      </c>
      <c r="AP93" s="223">
        <f>IF(AND('CONTROLE EJ'!I95="",'CONTROLE CMM'!I95=""),"",N('CONTROLE EJ'!I95)+N('CONTROLE CMM'!I95))</f>
        <v/>
      </c>
      <c r="AQ93" s="223">
        <f>IF(AND('CONTROLE EJ'!J95="",'CONTROLE CMM'!#REF!=""),"",N('CONTROLE EJ'!J95)+N('CONTROLE CMM'!#REF!))</f>
        <v/>
      </c>
      <c r="AR93" s="223">
        <f>IF('CONTROLE GLOBO AÇOS'!I95="","",'CONTROLE GLOBO AÇOS'!I95)</f>
        <v/>
      </c>
      <c r="AS93" s="223">
        <f>IF('CONTROLE GLOBO AÇOS'!J95="","",'CONTROLE GLOBO AÇOS'!J95)</f>
        <v/>
      </c>
      <c r="AT93" s="223">
        <f>IF(#REF!="","",#REF!)</f>
        <v/>
      </c>
      <c r="AU93" s="223">
        <f>IF('CONTROLE GLOBO AÇOS'!K95="","",'CONTROLE GLOBO AÇOS'!K95)</f>
        <v/>
      </c>
      <c r="AV93" s="223">
        <f>IF(AND('CONTROLE EJ'!K95="",'CONTROLE CMM'!#REF!=""),"",N('CONTROLE EJ'!K95)+N('CONTROLE CMM'!#REF!))</f>
        <v/>
      </c>
      <c r="AW93" s="223">
        <f>IF('CONTROLE GLOBO AÇOS'!L95="","",'CONTROLE GLOBO AÇOS'!L95)</f>
        <v/>
      </c>
      <c r="AX93" s="223">
        <f>IF(AND('CONTROLE EJ'!L95="",'CONTROLE CMM'!#REF!=""),"",N('CONTROLE EJ'!L95)+N('CONTROLE CMM'!#REF!))</f>
        <v/>
      </c>
      <c r="AY93" s="223">
        <f>IF('CONTROLE GLOBO AÇOS'!M95="","",'CONTROLE GLOBO AÇOS'!M95)</f>
        <v/>
      </c>
      <c r="AZ93" s="223">
        <f>IF('CONTROLE GLOBO AÇOS'!N95="","",'CONTROLE GLOBO AÇOS'!N95)</f>
        <v/>
      </c>
      <c r="BA93" s="223">
        <f>IF(AND('CONTROLE EJ'!M95="",'CONTROLE CMM'!#REF!=""),"",N('CONTROLE EJ'!M95)+N('CONTROLE CMM'!#REF!))</f>
        <v/>
      </c>
      <c r="BB93" s="223">
        <f>IF(#REF!="","",#REF!)</f>
        <v/>
      </c>
      <c r="BC93" s="223">
        <f>IF('CONTROLE GLOBO AÇOS'!O95="","",'CONTROLE GLOBO AÇOS'!O95)</f>
        <v/>
      </c>
      <c r="BD93" s="223">
        <f>IF(AND('CONTROLE EJ'!N95="",'CONTROLE CMM'!#REF!=""),"",N('CONTROLE EJ'!N95)+N('CONTROLE CMM'!#REF!))</f>
        <v/>
      </c>
      <c r="BE93" s="223">
        <f>IF('CONTROLE GLOBO AÇOS'!P95="","",'CONTROLE GLOBO AÇOS'!P95)</f>
        <v/>
      </c>
      <c r="BF93" s="223">
        <f>IF('CONTROLE GLOBO AÇOS'!Q95="","",'CONTROLE GLOBO AÇOS'!Q95)</f>
        <v/>
      </c>
      <c r="BG93" s="223">
        <f>IF('CONTROLE GLOBO AÇOS'!R95="","",'CONTROLE GLOBO AÇOS'!R95)</f>
        <v/>
      </c>
      <c r="BH93" s="223">
        <f>IF(AND('CONTROLE EJ'!O95="",'CONTROLE CMM'!#REF!=""),"",N('CONTROLE EJ'!O95)+N('CONTROLE CMM'!#REF!))</f>
        <v/>
      </c>
      <c r="BI93" s="223">
        <f>IF('CONTROLE GLOBO AÇOS'!S95="","",'CONTROLE GLOBO AÇOS'!S95)</f>
        <v/>
      </c>
      <c r="BJ93" s="223">
        <f>IF('CONTROLE GLOBO AÇOS'!T95="","",'CONTROLE GLOBO AÇOS'!T95)</f>
        <v/>
      </c>
      <c r="BK93" s="223">
        <f>IF('CONTROLE GLOBO AÇOS'!U95="","",'CONTROLE GLOBO AÇOS'!U95)</f>
        <v/>
      </c>
      <c r="BL93" s="223">
        <f>IF(AND('CONTROLE EJ'!P95="",'CONTROLE CMM'!#REF!=""),"",N('CONTROLE EJ'!P95)+N('CONTROLE CMM'!#REF!))</f>
        <v/>
      </c>
      <c r="BM93" s="223">
        <f>IF(AND('CONTROLE EJ'!Q95="",'CONTROLE CMM'!#REF!=""),"",N('CONTROLE EJ'!Q95)+N('CONTROLE CMM'!#REF!))</f>
        <v/>
      </c>
      <c r="BN93" s="223">
        <f>IF('CONTROLE GLOBO AÇOS'!V95="","",'CONTROLE GLOBO AÇOS'!V95)</f>
        <v/>
      </c>
      <c r="BO93" s="223">
        <f>IF('CONTROLE GLOBO AÇOS'!W95="","",'CONTROLE GLOBO AÇOS'!W95)</f>
        <v/>
      </c>
      <c r="BP93" s="223">
        <f>IF(AND('CONTROLE EJ'!R95="",'CONTROLE CMM'!#REF!=""),"",N('CONTROLE EJ'!R95)+N('CONTROLE CMM'!#REF!))</f>
        <v/>
      </c>
      <c r="BQ93" s="223">
        <f>IF(#REF!="","",#REF!)</f>
        <v/>
      </c>
      <c r="BR93" s="223">
        <f>IF(AND('CONTROLE EJ'!S95="",'CONTROLE CMM'!#REF!=""),"",N('CONTROLE EJ'!S95)+N('CONTROLE CMM'!#REF!))</f>
        <v/>
      </c>
      <c r="BS93" s="223">
        <f>IF(AND('CONTROLE EJ'!T95="",'CONTROLE CMM'!#REF!=""),"",N('CONTROLE EJ'!T95)+N('CONTROLE CMM'!#REF!))</f>
        <v/>
      </c>
      <c r="BT93" s="223">
        <f>IF('CONTROLE GLOBO AÇOS'!X95="","",'CONTROLE GLOBO AÇOS'!X95)</f>
        <v/>
      </c>
      <c r="BU93" s="223">
        <f>IF('CONTROLE GLOBO AÇOS'!Y95="","",'CONTROLE GLOBO AÇOS'!Y95)</f>
        <v/>
      </c>
      <c r="BV93" s="223">
        <f>IF(AND('CONTROLE EJ'!U95="",'CONTROLE CMM'!#REF!=""),"",N('CONTROLE EJ'!U95)+N('CONTROLE CMM'!#REF!))</f>
        <v/>
      </c>
      <c r="BW93" s="223">
        <f>IF(#REF!="","",#REF!)</f>
        <v/>
      </c>
    </row>
    <row r="94">
      <c r="A94" s="282" t="n">
        <v>46311</v>
      </c>
      <c r="B94" s="223">
        <f>IF('CONTROLE EJ'!B96="","",'CONTROLE EJ'!B96)</f>
        <v/>
      </c>
      <c r="C94" s="42">
        <f>IF('CONTROLE EJ'!C96="","",'CONTROLE EJ'!C96)</f>
        <v/>
      </c>
      <c r="D94" s="42">
        <f>IF('CONTROLE EJ'!D96="","",'CONTROLE EJ'!D96)</f>
        <v/>
      </c>
      <c r="E94" s="70">
        <f>IF('CONTROLE CMM'!B96="","",'CONTROLE CMM'!B96)</f>
        <v/>
      </c>
      <c r="F94" s="223">
        <f>IF('CONTROLE CMM'!C96="","",'CONTROLE CMM'!C96)</f>
        <v/>
      </c>
      <c r="G94" s="42">
        <f>IF('CONTROLE CMM'!D96="","",'CONTROLE CMM'!D96)</f>
        <v/>
      </c>
      <c r="H94" s="44">
        <f>IF('CONTROLE GLOBO AÇOS'!B96="","",'CONTROLE GLOBO AÇOS'!B96)</f>
        <v/>
      </c>
      <c r="I94" s="223">
        <f>IF('CONTROLE GLOBO AÇOS'!C96="","",'CONTROLE GLOBO AÇOS'!C96)</f>
        <v/>
      </c>
      <c r="J94" s="223">
        <f>IF('CONTROLE GLOBO AÇOS'!D96="","",'CONTROLE GLOBO AÇOS'!D96)</f>
        <v/>
      </c>
      <c r="AD94" s="39">
        <f>IF($A94="",0,IF(AND(WEEKDAY($A94,2)&lt;=5,OR($B94&lt;&gt;"",$C94&lt;&gt;"",$D94&lt;&gt;"")),1,0))</f>
        <v/>
      </c>
      <c r="AE94" s="39">
        <f>IF($A94="",0,IF(AND(WEEKDAY($A94,2)&lt;=5,OR($E94&lt;&gt;"",$F94&lt;&gt;"",$G94&lt;&gt;"")),1,0))</f>
        <v/>
      </c>
      <c r="AF94" s="39">
        <f>MAX(AD94,AE94)</f>
        <v/>
      </c>
      <c r="AH94" s="223">
        <f>IF('CONTROLE GLOBO AÇOS'!E96="","",'CONTROLE GLOBO AÇOS'!E96)</f>
        <v/>
      </c>
      <c r="AI94" s="223">
        <f>IF('CONTROLE GLOBO AÇOS'!F96="","",'CONTROLE GLOBO AÇOS'!F96)</f>
        <v/>
      </c>
      <c r="AJ94" s="223">
        <f>IF(AND('CONTROLE EJ'!E96="",'CONTROLE CMM'!E96=""),"",N('CONTROLE EJ'!E96)+N('CONTROLE CMM'!E96))</f>
        <v/>
      </c>
      <c r="AK94" s="223">
        <f>IF(AND('CONTROLE EJ'!F96="",'CONTROLE CMM'!F96=""),"",N('CONTROLE EJ'!F96)+N('CONTROLE CMM'!F96))</f>
        <v/>
      </c>
      <c r="AL94" s="223">
        <f>IF(AND('CONTROLE EJ'!G96="",'CONTROLE CMM'!G96=""),"",N('CONTROLE EJ'!G96)+N('CONTROLE CMM'!G96))</f>
        <v/>
      </c>
      <c r="AM94" s="223">
        <f>IF(AND('CONTROLE EJ'!H96="",'CONTROLE CMM'!H96=""),"",N('CONTROLE EJ'!H96)+N('CONTROLE CMM'!H96))</f>
        <v/>
      </c>
      <c r="AN94" s="223">
        <f>IF('CONTROLE GLOBO AÇOS'!G96="","",'CONTROLE GLOBO AÇOS'!G96)</f>
        <v/>
      </c>
      <c r="AO94" s="223">
        <f>IF('CONTROLE GLOBO AÇOS'!H96="","",'CONTROLE GLOBO AÇOS'!H96)</f>
        <v/>
      </c>
      <c r="AP94" s="223">
        <f>IF(AND('CONTROLE EJ'!I96="",'CONTROLE CMM'!I96=""),"",N('CONTROLE EJ'!I96)+N('CONTROLE CMM'!I96))</f>
        <v/>
      </c>
      <c r="AQ94" s="223">
        <f>IF(AND('CONTROLE EJ'!J96="",'CONTROLE CMM'!#REF!=""),"",N('CONTROLE EJ'!J96)+N('CONTROLE CMM'!#REF!))</f>
        <v/>
      </c>
      <c r="AR94" s="223">
        <f>IF('CONTROLE GLOBO AÇOS'!I96="","",'CONTROLE GLOBO AÇOS'!I96)</f>
        <v/>
      </c>
      <c r="AS94" s="223">
        <f>IF('CONTROLE GLOBO AÇOS'!J96="","",'CONTROLE GLOBO AÇOS'!J96)</f>
        <v/>
      </c>
      <c r="AT94" s="223">
        <f>IF(#REF!="","",#REF!)</f>
        <v/>
      </c>
      <c r="AU94" s="223">
        <f>IF('CONTROLE GLOBO AÇOS'!K96="","",'CONTROLE GLOBO AÇOS'!K96)</f>
        <v/>
      </c>
      <c r="AV94" s="223">
        <f>IF(AND('CONTROLE EJ'!K96="",'CONTROLE CMM'!#REF!=""),"",N('CONTROLE EJ'!K96)+N('CONTROLE CMM'!#REF!))</f>
        <v/>
      </c>
      <c r="AW94" s="223">
        <f>IF('CONTROLE GLOBO AÇOS'!L96="","",'CONTROLE GLOBO AÇOS'!L96)</f>
        <v/>
      </c>
      <c r="AX94" s="223">
        <f>IF(AND('CONTROLE EJ'!L96="",'CONTROLE CMM'!#REF!=""),"",N('CONTROLE EJ'!L96)+N('CONTROLE CMM'!#REF!))</f>
        <v/>
      </c>
      <c r="AY94" s="223">
        <f>IF('CONTROLE GLOBO AÇOS'!M96="","",'CONTROLE GLOBO AÇOS'!M96)</f>
        <v/>
      </c>
      <c r="AZ94" s="223">
        <f>IF('CONTROLE GLOBO AÇOS'!N96="","",'CONTROLE GLOBO AÇOS'!N96)</f>
        <v/>
      </c>
      <c r="BA94" s="223">
        <f>IF(AND('CONTROLE EJ'!M96="",'CONTROLE CMM'!#REF!=""),"",N('CONTROLE EJ'!M96)+N('CONTROLE CMM'!#REF!))</f>
        <v/>
      </c>
      <c r="BB94" s="223">
        <f>IF(#REF!="","",#REF!)</f>
        <v/>
      </c>
      <c r="BC94" s="223">
        <f>IF('CONTROLE GLOBO AÇOS'!O96="","",'CONTROLE GLOBO AÇOS'!O96)</f>
        <v/>
      </c>
      <c r="BD94" s="223">
        <f>IF(AND('CONTROLE EJ'!N96="",'CONTROLE CMM'!#REF!=""),"",N('CONTROLE EJ'!N96)+N('CONTROLE CMM'!#REF!))</f>
        <v/>
      </c>
      <c r="BE94" s="223">
        <f>IF('CONTROLE GLOBO AÇOS'!P96="","",'CONTROLE GLOBO AÇOS'!P96)</f>
        <v/>
      </c>
      <c r="BF94" s="223">
        <f>IF('CONTROLE GLOBO AÇOS'!Q96="","",'CONTROLE GLOBO AÇOS'!Q96)</f>
        <v/>
      </c>
      <c r="BG94" s="223">
        <f>IF('CONTROLE GLOBO AÇOS'!R96="","",'CONTROLE GLOBO AÇOS'!R96)</f>
        <v/>
      </c>
      <c r="BH94" s="223">
        <f>IF(AND('CONTROLE EJ'!O96="",'CONTROLE CMM'!#REF!=""),"",N('CONTROLE EJ'!O96)+N('CONTROLE CMM'!#REF!))</f>
        <v/>
      </c>
      <c r="BI94" s="223">
        <f>IF('CONTROLE GLOBO AÇOS'!S96="","",'CONTROLE GLOBO AÇOS'!S96)</f>
        <v/>
      </c>
      <c r="BJ94" s="223">
        <f>IF('CONTROLE GLOBO AÇOS'!T96="","",'CONTROLE GLOBO AÇOS'!T96)</f>
        <v/>
      </c>
      <c r="BK94" s="223">
        <f>IF('CONTROLE GLOBO AÇOS'!U96="","",'CONTROLE GLOBO AÇOS'!U96)</f>
        <v/>
      </c>
      <c r="BL94" s="223">
        <f>IF(AND('CONTROLE EJ'!P96="",'CONTROLE CMM'!#REF!=""),"",N('CONTROLE EJ'!P96)+N('CONTROLE CMM'!#REF!))</f>
        <v/>
      </c>
      <c r="BM94" s="223">
        <f>IF(AND('CONTROLE EJ'!Q96="",'CONTROLE CMM'!#REF!=""),"",N('CONTROLE EJ'!Q96)+N('CONTROLE CMM'!#REF!))</f>
        <v/>
      </c>
      <c r="BN94" s="223">
        <f>IF('CONTROLE GLOBO AÇOS'!V96="","",'CONTROLE GLOBO AÇOS'!V96)</f>
        <v/>
      </c>
      <c r="BO94" s="223">
        <f>IF('CONTROLE GLOBO AÇOS'!W96="","",'CONTROLE GLOBO AÇOS'!W96)</f>
        <v/>
      </c>
      <c r="BP94" s="223">
        <f>IF(AND('CONTROLE EJ'!R96="",'CONTROLE CMM'!#REF!=""),"",N('CONTROLE EJ'!R96)+N('CONTROLE CMM'!#REF!))</f>
        <v/>
      </c>
      <c r="BQ94" s="223">
        <f>IF(#REF!="","",#REF!)</f>
        <v/>
      </c>
      <c r="BR94" s="223">
        <f>IF(AND('CONTROLE EJ'!S96="",'CONTROLE CMM'!#REF!=""),"",N('CONTROLE EJ'!S96)+N('CONTROLE CMM'!#REF!))</f>
        <v/>
      </c>
      <c r="BS94" s="223">
        <f>IF(AND('CONTROLE EJ'!T96="",'CONTROLE CMM'!#REF!=""),"",N('CONTROLE EJ'!T96)+N('CONTROLE CMM'!#REF!))</f>
        <v/>
      </c>
      <c r="BT94" s="223">
        <f>IF('CONTROLE GLOBO AÇOS'!X96="","",'CONTROLE GLOBO AÇOS'!X96)</f>
        <v/>
      </c>
      <c r="BU94" s="223">
        <f>IF('CONTROLE GLOBO AÇOS'!Y96="","",'CONTROLE GLOBO AÇOS'!Y96)</f>
        <v/>
      </c>
      <c r="BV94" s="223">
        <f>IF(AND('CONTROLE EJ'!U96="",'CONTROLE CMM'!#REF!=""),"",N('CONTROLE EJ'!U96)+N('CONTROLE CMM'!#REF!))</f>
        <v/>
      </c>
      <c r="BW94" s="223">
        <f>IF(#REF!="","",#REF!)</f>
        <v/>
      </c>
    </row>
    <row r="95">
      <c r="A95" s="282" t="n">
        <v>46312</v>
      </c>
      <c r="B95" s="223">
        <f>IF('CONTROLE EJ'!B97="","",'CONTROLE EJ'!B97)</f>
        <v/>
      </c>
      <c r="C95" s="42">
        <f>IF('CONTROLE EJ'!C97="","",'CONTROLE EJ'!C97)</f>
        <v/>
      </c>
      <c r="D95" s="42">
        <f>IF('CONTROLE EJ'!D97="","",'CONTROLE EJ'!D97)</f>
        <v/>
      </c>
      <c r="E95" s="70">
        <f>IF('CONTROLE CMM'!B97="","",'CONTROLE CMM'!B97)</f>
        <v/>
      </c>
      <c r="F95" s="223">
        <f>IF('CONTROLE CMM'!C97="","",'CONTROLE CMM'!C97)</f>
        <v/>
      </c>
      <c r="G95" s="42">
        <f>IF('CONTROLE CMM'!D97="","",'CONTROLE CMM'!D97)</f>
        <v/>
      </c>
      <c r="H95" s="44">
        <f>IF('CONTROLE GLOBO AÇOS'!B97="","",'CONTROLE GLOBO AÇOS'!B97)</f>
        <v/>
      </c>
      <c r="I95" s="223">
        <f>IF('CONTROLE GLOBO AÇOS'!C97="","",'CONTROLE GLOBO AÇOS'!C97)</f>
        <v/>
      </c>
      <c r="J95" s="223">
        <f>IF('CONTROLE GLOBO AÇOS'!D97="","",'CONTROLE GLOBO AÇOS'!D97)</f>
        <v/>
      </c>
      <c r="AD95" s="39">
        <f>IF($A95="",0,IF(AND(WEEKDAY($A95,2)&lt;=5,OR($B95&lt;&gt;"",$C95&lt;&gt;"",$D95&lt;&gt;"")),1,0))</f>
        <v/>
      </c>
      <c r="AE95" s="39">
        <f>IF($A95="",0,IF(AND(WEEKDAY($A95,2)&lt;=5,OR($E95&lt;&gt;"",$F95&lt;&gt;"",$G95&lt;&gt;"")),1,0))</f>
        <v/>
      </c>
      <c r="AF95" s="39">
        <f>MAX(AD95,AE95)</f>
        <v/>
      </c>
      <c r="AH95" s="223">
        <f>IF('CONTROLE GLOBO AÇOS'!E97="","",'CONTROLE GLOBO AÇOS'!E97)</f>
        <v/>
      </c>
      <c r="AI95" s="223">
        <f>IF('CONTROLE GLOBO AÇOS'!F97="","",'CONTROLE GLOBO AÇOS'!F97)</f>
        <v/>
      </c>
      <c r="AJ95" s="223">
        <f>IF(AND('CONTROLE EJ'!E97="",'CONTROLE CMM'!E97=""),"",N('CONTROLE EJ'!E97)+N('CONTROLE CMM'!E97))</f>
        <v/>
      </c>
      <c r="AK95" s="223">
        <f>IF(AND('CONTROLE EJ'!F97="",'CONTROLE CMM'!F97=""),"",N('CONTROLE EJ'!F97)+N('CONTROLE CMM'!F97))</f>
        <v/>
      </c>
      <c r="AL95" s="223">
        <f>IF(AND('CONTROLE EJ'!G97="",'CONTROLE CMM'!G97=""),"",N('CONTROLE EJ'!G97)+N('CONTROLE CMM'!G97))</f>
        <v/>
      </c>
      <c r="AM95" s="223">
        <f>IF(AND('CONTROLE EJ'!H97="",'CONTROLE CMM'!H97=""),"",N('CONTROLE EJ'!H97)+N('CONTROLE CMM'!H97))</f>
        <v/>
      </c>
      <c r="AN95" s="223">
        <f>IF('CONTROLE GLOBO AÇOS'!G97="","",'CONTROLE GLOBO AÇOS'!G97)</f>
        <v/>
      </c>
      <c r="AO95" s="223">
        <f>IF('CONTROLE GLOBO AÇOS'!H97="","",'CONTROLE GLOBO AÇOS'!H97)</f>
        <v/>
      </c>
      <c r="AP95" s="223">
        <f>IF(AND('CONTROLE EJ'!I97="",'CONTROLE CMM'!I97=""),"",N('CONTROLE EJ'!I97)+N('CONTROLE CMM'!I97))</f>
        <v/>
      </c>
      <c r="AQ95" s="223">
        <f>IF(AND('CONTROLE EJ'!J97="",'CONTROLE CMM'!#REF!=""),"",N('CONTROLE EJ'!J97)+N('CONTROLE CMM'!#REF!))</f>
        <v/>
      </c>
      <c r="AR95" s="223">
        <f>IF('CONTROLE GLOBO AÇOS'!I97="","",'CONTROLE GLOBO AÇOS'!I97)</f>
        <v/>
      </c>
      <c r="AS95" s="223">
        <f>IF('CONTROLE GLOBO AÇOS'!J97="","",'CONTROLE GLOBO AÇOS'!J97)</f>
        <v/>
      </c>
      <c r="AT95" s="223">
        <f>IF(#REF!="","",#REF!)</f>
        <v/>
      </c>
      <c r="AU95" s="223">
        <f>IF('CONTROLE GLOBO AÇOS'!K97="","",'CONTROLE GLOBO AÇOS'!K97)</f>
        <v/>
      </c>
      <c r="AV95" s="223">
        <f>IF(AND('CONTROLE EJ'!K97="",'CONTROLE CMM'!#REF!=""),"",N('CONTROLE EJ'!K97)+N('CONTROLE CMM'!#REF!))</f>
        <v/>
      </c>
      <c r="AW95" s="223">
        <f>IF('CONTROLE GLOBO AÇOS'!L97="","",'CONTROLE GLOBO AÇOS'!L97)</f>
        <v/>
      </c>
      <c r="AX95" s="223">
        <f>IF(AND('CONTROLE EJ'!L97="",'CONTROLE CMM'!#REF!=""),"",N('CONTROLE EJ'!L97)+N('CONTROLE CMM'!#REF!))</f>
        <v/>
      </c>
      <c r="AY95" s="223">
        <f>IF('CONTROLE GLOBO AÇOS'!M97="","",'CONTROLE GLOBO AÇOS'!M97)</f>
        <v/>
      </c>
      <c r="AZ95" s="223">
        <f>IF('CONTROLE GLOBO AÇOS'!N97="","",'CONTROLE GLOBO AÇOS'!N97)</f>
        <v/>
      </c>
      <c r="BA95" s="223">
        <f>IF(AND('CONTROLE EJ'!M97="",'CONTROLE CMM'!#REF!=""),"",N('CONTROLE EJ'!M97)+N('CONTROLE CMM'!#REF!))</f>
        <v/>
      </c>
      <c r="BB95" s="223">
        <f>IF(#REF!="","",#REF!)</f>
        <v/>
      </c>
      <c r="BC95" s="223">
        <f>IF('CONTROLE GLOBO AÇOS'!O97="","",'CONTROLE GLOBO AÇOS'!O97)</f>
        <v/>
      </c>
      <c r="BD95" s="223">
        <f>IF(AND('CONTROLE EJ'!N97="",'CONTROLE CMM'!#REF!=""),"",N('CONTROLE EJ'!N97)+N('CONTROLE CMM'!#REF!))</f>
        <v/>
      </c>
      <c r="BE95" s="223">
        <f>IF('CONTROLE GLOBO AÇOS'!P97="","",'CONTROLE GLOBO AÇOS'!P97)</f>
        <v/>
      </c>
      <c r="BF95" s="223">
        <f>IF('CONTROLE GLOBO AÇOS'!Q97="","",'CONTROLE GLOBO AÇOS'!Q97)</f>
        <v/>
      </c>
      <c r="BG95" s="223">
        <f>IF('CONTROLE GLOBO AÇOS'!R97="","",'CONTROLE GLOBO AÇOS'!R97)</f>
        <v/>
      </c>
      <c r="BH95" s="223">
        <f>IF(AND('CONTROLE EJ'!O97="",'CONTROLE CMM'!#REF!=""),"",N('CONTROLE EJ'!O97)+N('CONTROLE CMM'!#REF!))</f>
        <v/>
      </c>
      <c r="BI95" s="223">
        <f>IF('CONTROLE GLOBO AÇOS'!S97="","",'CONTROLE GLOBO AÇOS'!S97)</f>
        <v/>
      </c>
      <c r="BJ95" s="223">
        <f>IF('CONTROLE GLOBO AÇOS'!T97="","",'CONTROLE GLOBO AÇOS'!T97)</f>
        <v/>
      </c>
      <c r="BK95" s="223">
        <f>IF('CONTROLE GLOBO AÇOS'!U97="","",'CONTROLE GLOBO AÇOS'!U97)</f>
        <v/>
      </c>
      <c r="BL95" s="223">
        <f>IF(AND('CONTROLE EJ'!P97="",'CONTROLE CMM'!#REF!=""),"",N('CONTROLE EJ'!P97)+N('CONTROLE CMM'!#REF!))</f>
        <v/>
      </c>
      <c r="BM95" s="223">
        <f>IF(AND('CONTROLE EJ'!Q97="",'CONTROLE CMM'!#REF!=""),"",N('CONTROLE EJ'!Q97)+N('CONTROLE CMM'!#REF!))</f>
        <v/>
      </c>
      <c r="BN95" s="223">
        <f>IF('CONTROLE GLOBO AÇOS'!V97="","",'CONTROLE GLOBO AÇOS'!V97)</f>
        <v/>
      </c>
      <c r="BO95" s="223">
        <f>IF('CONTROLE GLOBO AÇOS'!W97="","",'CONTROLE GLOBO AÇOS'!W97)</f>
        <v/>
      </c>
      <c r="BP95" s="223">
        <f>IF(AND('CONTROLE EJ'!R97="",'CONTROLE CMM'!#REF!=""),"",N('CONTROLE EJ'!R97)+N('CONTROLE CMM'!#REF!))</f>
        <v/>
      </c>
      <c r="BQ95" s="223">
        <f>IF(#REF!="","",#REF!)</f>
        <v/>
      </c>
      <c r="BR95" s="223">
        <f>IF(AND('CONTROLE EJ'!S97="",'CONTROLE CMM'!#REF!=""),"",N('CONTROLE EJ'!S97)+N('CONTROLE CMM'!#REF!))</f>
        <v/>
      </c>
      <c r="BS95" s="223">
        <f>IF(AND('CONTROLE EJ'!T97="",'CONTROLE CMM'!#REF!=""),"",N('CONTROLE EJ'!T97)+N('CONTROLE CMM'!#REF!))</f>
        <v/>
      </c>
      <c r="BT95" s="223">
        <f>IF('CONTROLE GLOBO AÇOS'!X97="","",'CONTROLE GLOBO AÇOS'!X97)</f>
        <v/>
      </c>
      <c r="BU95" s="223">
        <f>IF('CONTROLE GLOBO AÇOS'!Y97="","",'CONTROLE GLOBO AÇOS'!Y97)</f>
        <v/>
      </c>
      <c r="BV95" s="223">
        <f>IF(AND('CONTROLE EJ'!U97="",'CONTROLE CMM'!#REF!=""),"",N('CONTROLE EJ'!U97)+N('CONTROLE CMM'!#REF!))</f>
        <v/>
      </c>
      <c r="BW95" s="223">
        <f>IF(#REF!="","",#REF!)</f>
        <v/>
      </c>
    </row>
    <row r="96">
      <c r="A96" s="282" t="n">
        <v>46313</v>
      </c>
      <c r="B96" s="223">
        <f>IF('CONTROLE EJ'!B98="","",'CONTROLE EJ'!B98)</f>
        <v/>
      </c>
      <c r="C96" s="42">
        <f>IF('CONTROLE EJ'!C98="","",'CONTROLE EJ'!C98)</f>
        <v/>
      </c>
      <c r="D96" s="42">
        <f>IF('CONTROLE EJ'!D98="","",'CONTROLE EJ'!D98)</f>
        <v/>
      </c>
      <c r="E96" s="70">
        <f>IF('CONTROLE CMM'!B98="","",'CONTROLE CMM'!B98)</f>
        <v/>
      </c>
      <c r="F96" s="223">
        <f>IF('CONTROLE CMM'!C98="","",'CONTROLE CMM'!C98)</f>
        <v/>
      </c>
      <c r="G96" s="42">
        <f>IF('CONTROLE CMM'!D98="","",'CONTROLE CMM'!D98)</f>
        <v/>
      </c>
      <c r="H96" s="44">
        <f>IF('CONTROLE GLOBO AÇOS'!B98="","",'CONTROLE GLOBO AÇOS'!B98)</f>
        <v/>
      </c>
      <c r="I96" s="223">
        <f>IF('CONTROLE GLOBO AÇOS'!C98="","",'CONTROLE GLOBO AÇOS'!C98)</f>
        <v/>
      </c>
      <c r="J96" s="223">
        <f>IF('CONTROLE GLOBO AÇOS'!D98="","",'CONTROLE GLOBO AÇOS'!D98)</f>
        <v/>
      </c>
      <c r="AD96" s="39">
        <f>IF($A96="",0,IF(AND(WEEKDAY($A96,2)&lt;=5,OR($B96&lt;&gt;"",$C96&lt;&gt;"",$D96&lt;&gt;"")),1,0))</f>
        <v/>
      </c>
      <c r="AE96" s="39">
        <f>IF($A96="",0,IF(AND(WEEKDAY($A96,2)&lt;=5,OR($E96&lt;&gt;"",$F96&lt;&gt;"",$G96&lt;&gt;"")),1,0))</f>
        <v/>
      </c>
      <c r="AF96" s="39">
        <f>MAX(AD96,AE96)</f>
        <v/>
      </c>
      <c r="AH96" s="223">
        <f>IF('CONTROLE GLOBO AÇOS'!E98="","",'CONTROLE GLOBO AÇOS'!E98)</f>
        <v/>
      </c>
      <c r="AI96" s="223">
        <f>IF('CONTROLE GLOBO AÇOS'!F98="","",'CONTROLE GLOBO AÇOS'!F98)</f>
        <v/>
      </c>
      <c r="AJ96" s="223">
        <f>IF(AND('CONTROLE EJ'!E98="",'CONTROLE CMM'!E98=""),"",N('CONTROLE EJ'!E98)+N('CONTROLE CMM'!E98))</f>
        <v/>
      </c>
      <c r="AK96" s="223">
        <f>IF(AND('CONTROLE EJ'!F98="",'CONTROLE CMM'!F98=""),"",N('CONTROLE EJ'!F98)+N('CONTROLE CMM'!F98))</f>
        <v/>
      </c>
      <c r="AL96" s="223">
        <f>IF(AND('CONTROLE EJ'!G98="",'CONTROLE CMM'!G98=""),"",N('CONTROLE EJ'!G98)+N('CONTROLE CMM'!G98))</f>
        <v/>
      </c>
      <c r="AM96" s="223">
        <f>IF(AND('CONTROLE EJ'!H98="",'CONTROLE CMM'!H98=""),"",N('CONTROLE EJ'!H98)+N('CONTROLE CMM'!H98))</f>
        <v/>
      </c>
      <c r="AN96" s="223">
        <f>IF('CONTROLE GLOBO AÇOS'!G98="","",'CONTROLE GLOBO AÇOS'!G98)</f>
        <v/>
      </c>
      <c r="AO96" s="223">
        <f>IF('CONTROLE GLOBO AÇOS'!H98="","",'CONTROLE GLOBO AÇOS'!H98)</f>
        <v/>
      </c>
      <c r="AP96" s="223">
        <f>IF(AND('CONTROLE EJ'!I98="",'CONTROLE CMM'!I98=""),"",N('CONTROLE EJ'!I98)+N('CONTROLE CMM'!I98))</f>
        <v/>
      </c>
      <c r="AQ96" s="223">
        <f>IF(AND('CONTROLE EJ'!J98="",'CONTROLE CMM'!#REF!=""),"",N('CONTROLE EJ'!J98)+N('CONTROLE CMM'!#REF!))</f>
        <v/>
      </c>
      <c r="AR96" s="223">
        <f>IF('CONTROLE GLOBO AÇOS'!I98="","",'CONTROLE GLOBO AÇOS'!I98)</f>
        <v/>
      </c>
      <c r="AS96" s="223">
        <f>IF('CONTROLE GLOBO AÇOS'!J98="","",'CONTROLE GLOBO AÇOS'!J98)</f>
        <v/>
      </c>
      <c r="AT96" s="223">
        <f>IF(#REF!="","",#REF!)</f>
        <v/>
      </c>
      <c r="AU96" s="223">
        <f>IF('CONTROLE GLOBO AÇOS'!K98="","",'CONTROLE GLOBO AÇOS'!K98)</f>
        <v/>
      </c>
      <c r="AV96" s="223">
        <f>IF(AND('CONTROLE EJ'!K98="",'CONTROLE CMM'!#REF!=""),"",N('CONTROLE EJ'!K98)+N('CONTROLE CMM'!#REF!))</f>
        <v/>
      </c>
      <c r="AW96" s="223">
        <f>IF('CONTROLE GLOBO AÇOS'!L98="","",'CONTROLE GLOBO AÇOS'!L98)</f>
        <v/>
      </c>
      <c r="AX96" s="223">
        <f>IF(AND('CONTROLE EJ'!L98="",'CONTROLE CMM'!#REF!=""),"",N('CONTROLE EJ'!L98)+N('CONTROLE CMM'!#REF!))</f>
        <v/>
      </c>
      <c r="AY96" s="223">
        <f>IF('CONTROLE GLOBO AÇOS'!M98="","",'CONTROLE GLOBO AÇOS'!M98)</f>
        <v/>
      </c>
      <c r="AZ96" s="223">
        <f>IF('CONTROLE GLOBO AÇOS'!N98="","",'CONTROLE GLOBO AÇOS'!N98)</f>
        <v/>
      </c>
      <c r="BA96" s="223">
        <f>IF(AND('CONTROLE EJ'!M98="",'CONTROLE CMM'!#REF!=""),"",N('CONTROLE EJ'!M98)+N('CONTROLE CMM'!#REF!))</f>
        <v/>
      </c>
      <c r="BB96" s="223">
        <f>IF(#REF!="","",#REF!)</f>
        <v/>
      </c>
      <c r="BC96" s="223">
        <f>IF('CONTROLE GLOBO AÇOS'!O98="","",'CONTROLE GLOBO AÇOS'!O98)</f>
        <v/>
      </c>
      <c r="BD96" s="223">
        <f>IF(AND('CONTROLE EJ'!N98="",'CONTROLE CMM'!#REF!=""),"",N('CONTROLE EJ'!N98)+N('CONTROLE CMM'!#REF!))</f>
        <v/>
      </c>
      <c r="BE96" s="223">
        <f>IF('CONTROLE GLOBO AÇOS'!P98="","",'CONTROLE GLOBO AÇOS'!P98)</f>
        <v/>
      </c>
      <c r="BF96" s="223">
        <f>IF('CONTROLE GLOBO AÇOS'!Q98="","",'CONTROLE GLOBO AÇOS'!Q98)</f>
        <v/>
      </c>
      <c r="BG96" s="223">
        <f>IF('CONTROLE GLOBO AÇOS'!R98="","",'CONTROLE GLOBO AÇOS'!R98)</f>
        <v/>
      </c>
      <c r="BH96" s="223">
        <f>IF(AND('CONTROLE EJ'!O98="",'CONTROLE CMM'!#REF!=""),"",N('CONTROLE EJ'!O98)+N('CONTROLE CMM'!#REF!))</f>
        <v/>
      </c>
      <c r="BI96" s="223">
        <f>IF('CONTROLE GLOBO AÇOS'!S98="","",'CONTROLE GLOBO AÇOS'!S98)</f>
        <v/>
      </c>
      <c r="BJ96" s="223">
        <f>IF('CONTROLE GLOBO AÇOS'!T98="","",'CONTROLE GLOBO AÇOS'!T98)</f>
        <v/>
      </c>
      <c r="BK96" s="223">
        <f>IF('CONTROLE GLOBO AÇOS'!U98="","",'CONTROLE GLOBO AÇOS'!U98)</f>
        <v/>
      </c>
      <c r="BL96" s="223">
        <f>IF(AND('CONTROLE EJ'!P98="",'CONTROLE CMM'!#REF!=""),"",N('CONTROLE EJ'!P98)+N('CONTROLE CMM'!#REF!))</f>
        <v/>
      </c>
      <c r="BM96" s="223">
        <f>IF(AND('CONTROLE EJ'!Q98="",'CONTROLE CMM'!#REF!=""),"",N('CONTROLE EJ'!Q98)+N('CONTROLE CMM'!#REF!))</f>
        <v/>
      </c>
      <c r="BN96" s="223">
        <f>IF('CONTROLE GLOBO AÇOS'!V98="","",'CONTROLE GLOBO AÇOS'!V98)</f>
        <v/>
      </c>
      <c r="BO96" s="223">
        <f>IF('CONTROLE GLOBO AÇOS'!W98="","",'CONTROLE GLOBO AÇOS'!W98)</f>
        <v/>
      </c>
      <c r="BP96" s="223">
        <f>IF(AND('CONTROLE EJ'!R98="",'CONTROLE CMM'!#REF!=""),"",N('CONTROLE EJ'!R98)+N('CONTROLE CMM'!#REF!))</f>
        <v/>
      </c>
      <c r="BQ96" s="223">
        <f>IF(#REF!="","",#REF!)</f>
        <v/>
      </c>
      <c r="BR96" s="223">
        <f>IF(AND('CONTROLE EJ'!S98="",'CONTROLE CMM'!#REF!=""),"",N('CONTROLE EJ'!S98)+N('CONTROLE CMM'!#REF!))</f>
        <v/>
      </c>
      <c r="BS96" s="223">
        <f>IF(AND('CONTROLE EJ'!T98="",'CONTROLE CMM'!#REF!=""),"",N('CONTROLE EJ'!T98)+N('CONTROLE CMM'!#REF!))</f>
        <v/>
      </c>
      <c r="BT96" s="223">
        <f>IF('CONTROLE GLOBO AÇOS'!X98="","",'CONTROLE GLOBO AÇOS'!X98)</f>
        <v/>
      </c>
      <c r="BU96" s="223">
        <f>IF('CONTROLE GLOBO AÇOS'!Y98="","",'CONTROLE GLOBO AÇOS'!Y98)</f>
        <v/>
      </c>
      <c r="BV96" s="223">
        <f>IF(AND('CONTROLE EJ'!U98="",'CONTROLE CMM'!#REF!=""),"",N('CONTROLE EJ'!U98)+N('CONTROLE CMM'!#REF!))</f>
        <v/>
      </c>
      <c r="BW96" s="223">
        <f>IF(#REF!="","",#REF!)</f>
        <v/>
      </c>
    </row>
    <row r="97">
      <c r="A97" s="282" t="n">
        <v>46314</v>
      </c>
      <c r="B97" s="223">
        <f>IF('CONTROLE EJ'!B99="","",'CONTROLE EJ'!B99)</f>
        <v/>
      </c>
      <c r="C97" s="42">
        <f>IF('CONTROLE EJ'!C99="","",'CONTROLE EJ'!C99)</f>
        <v/>
      </c>
      <c r="D97" s="42">
        <f>IF('CONTROLE EJ'!D99="","",'CONTROLE EJ'!D99)</f>
        <v/>
      </c>
      <c r="E97" s="70">
        <f>IF('CONTROLE CMM'!B99="","",'CONTROLE CMM'!B99)</f>
        <v/>
      </c>
      <c r="F97" s="223">
        <f>IF('CONTROLE CMM'!C99="","",'CONTROLE CMM'!C99)</f>
        <v/>
      </c>
      <c r="G97" s="42">
        <f>IF('CONTROLE CMM'!D99="","",'CONTROLE CMM'!D99)</f>
        <v/>
      </c>
      <c r="H97" s="44">
        <f>IF('CONTROLE GLOBO AÇOS'!B99="","",'CONTROLE GLOBO AÇOS'!B99)</f>
        <v/>
      </c>
      <c r="I97" s="223">
        <f>IF('CONTROLE GLOBO AÇOS'!C99="","",'CONTROLE GLOBO AÇOS'!C99)</f>
        <v/>
      </c>
      <c r="J97" s="223">
        <f>IF('CONTROLE GLOBO AÇOS'!D99="","",'CONTROLE GLOBO AÇOS'!D99)</f>
        <v/>
      </c>
      <c r="AD97" s="39">
        <f>IF($A97="",0,IF(AND(WEEKDAY($A97,2)&lt;=5,OR($B97&lt;&gt;"",$C97&lt;&gt;"",$D97&lt;&gt;"")),1,0))</f>
        <v/>
      </c>
      <c r="AE97" s="39">
        <f>IF($A97="",0,IF(AND(WEEKDAY($A97,2)&lt;=5,OR($E97&lt;&gt;"",$F97&lt;&gt;"",$G97&lt;&gt;"")),1,0))</f>
        <v/>
      </c>
      <c r="AF97" s="39">
        <f>MAX(AD97,AE97)</f>
        <v/>
      </c>
      <c r="AH97" s="223">
        <f>IF('CONTROLE GLOBO AÇOS'!E99="","",'CONTROLE GLOBO AÇOS'!E99)</f>
        <v/>
      </c>
      <c r="AI97" s="223">
        <f>IF('CONTROLE GLOBO AÇOS'!F99="","",'CONTROLE GLOBO AÇOS'!F99)</f>
        <v/>
      </c>
      <c r="AJ97" s="223">
        <f>IF(AND('CONTROLE EJ'!E99="",'CONTROLE CMM'!E99=""),"",N('CONTROLE EJ'!E99)+N('CONTROLE CMM'!E99))</f>
        <v/>
      </c>
      <c r="AK97" s="223">
        <f>IF(AND('CONTROLE EJ'!F99="",'CONTROLE CMM'!F99=""),"",N('CONTROLE EJ'!F99)+N('CONTROLE CMM'!F99))</f>
        <v/>
      </c>
      <c r="AL97" s="223">
        <f>IF(AND('CONTROLE EJ'!G99="",'CONTROLE CMM'!G99=""),"",N('CONTROLE EJ'!G99)+N('CONTROLE CMM'!G99))</f>
        <v/>
      </c>
      <c r="AM97" s="223">
        <f>IF(AND('CONTROLE EJ'!H99="",'CONTROLE CMM'!H99=""),"",N('CONTROLE EJ'!H99)+N('CONTROLE CMM'!H99))</f>
        <v/>
      </c>
      <c r="AN97" s="223">
        <f>IF('CONTROLE GLOBO AÇOS'!G99="","",'CONTROLE GLOBO AÇOS'!G99)</f>
        <v/>
      </c>
      <c r="AO97" s="223">
        <f>IF('CONTROLE GLOBO AÇOS'!H99="","",'CONTROLE GLOBO AÇOS'!H99)</f>
        <v/>
      </c>
      <c r="AP97" s="223">
        <f>IF(AND('CONTROLE EJ'!I99="",'CONTROLE CMM'!I99=""),"",N('CONTROLE EJ'!I99)+N('CONTROLE CMM'!I99))</f>
        <v/>
      </c>
      <c r="AQ97" s="223">
        <f>IF(AND('CONTROLE EJ'!J99="",'CONTROLE CMM'!#REF!=""),"",N('CONTROLE EJ'!J99)+N('CONTROLE CMM'!#REF!))</f>
        <v/>
      </c>
      <c r="AR97" s="223">
        <f>IF('CONTROLE GLOBO AÇOS'!I99="","",'CONTROLE GLOBO AÇOS'!I99)</f>
        <v/>
      </c>
      <c r="AS97" s="223">
        <f>IF('CONTROLE GLOBO AÇOS'!J99="","",'CONTROLE GLOBO AÇOS'!J99)</f>
        <v/>
      </c>
      <c r="AT97" s="223">
        <f>IF(#REF!="","",#REF!)</f>
        <v/>
      </c>
      <c r="AU97" s="223">
        <f>IF('CONTROLE GLOBO AÇOS'!K99="","",'CONTROLE GLOBO AÇOS'!K99)</f>
        <v/>
      </c>
      <c r="AV97" s="223">
        <f>IF(AND('CONTROLE EJ'!K99="",'CONTROLE CMM'!#REF!=""),"",N('CONTROLE EJ'!K99)+N('CONTROLE CMM'!#REF!))</f>
        <v/>
      </c>
      <c r="AW97" s="223">
        <f>IF('CONTROLE GLOBO AÇOS'!L99="","",'CONTROLE GLOBO AÇOS'!L99)</f>
        <v/>
      </c>
      <c r="AX97" s="223">
        <f>IF(AND('CONTROLE EJ'!L99="",'CONTROLE CMM'!#REF!=""),"",N('CONTROLE EJ'!L99)+N('CONTROLE CMM'!#REF!))</f>
        <v/>
      </c>
      <c r="AY97" s="223">
        <f>IF('CONTROLE GLOBO AÇOS'!M99="","",'CONTROLE GLOBO AÇOS'!M99)</f>
        <v/>
      </c>
      <c r="AZ97" s="223">
        <f>IF('CONTROLE GLOBO AÇOS'!N99="","",'CONTROLE GLOBO AÇOS'!N99)</f>
        <v/>
      </c>
      <c r="BA97" s="223">
        <f>IF(AND('CONTROLE EJ'!M99="",'CONTROLE CMM'!#REF!=""),"",N('CONTROLE EJ'!M99)+N('CONTROLE CMM'!#REF!))</f>
        <v/>
      </c>
      <c r="BB97" s="223">
        <f>IF(#REF!="","",#REF!)</f>
        <v/>
      </c>
      <c r="BC97" s="223">
        <f>IF('CONTROLE GLOBO AÇOS'!O99="","",'CONTROLE GLOBO AÇOS'!O99)</f>
        <v/>
      </c>
      <c r="BD97" s="223">
        <f>IF(AND('CONTROLE EJ'!N99="",'CONTROLE CMM'!#REF!=""),"",N('CONTROLE EJ'!N99)+N('CONTROLE CMM'!#REF!))</f>
        <v/>
      </c>
      <c r="BE97" s="223">
        <f>IF('CONTROLE GLOBO AÇOS'!P99="","",'CONTROLE GLOBO AÇOS'!P99)</f>
        <v/>
      </c>
      <c r="BF97" s="223">
        <f>IF('CONTROLE GLOBO AÇOS'!Q99="","",'CONTROLE GLOBO AÇOS'!Q99)</f>
        <v/>
      </c>
      <c r="BG97" s="223">
        <f>IF('CONTROLE GLOBO AÇOS'!R99="","",'CONTROLE GLOBO AÇOS'!R99)</f>
        <v/>
      </c>
      <c r="BH97" s="223">
        <f>IF(AND('CONTROLE EJ'!O99="",'CONTROLE CMM'!#REF!=""),"",N('CONTROLE EJ'!O99)+N('CONTROLE CMM'!#REF!))</f>
        <v/>
      </c>
      <c r="BI97" s="223">
        <f>IF('CONTROLE GLOBO AÇOS'!S99="","",'CONTROLE GLOBO AÇOS'!S99)</f>
        <v/>
      </c>
      <c r="BJ97" s="223">
        <f>IF('CONTROLE GLOBO AÇOS'!T99="","",'CONTROLE GLOBO AÇOS'!T99)</f>
        <v/>
      </c>
      <c r="BK97" s="223">
        <f>IF('CONTROLE GLOBO AÇOS'!U99="","",'CONTROLE GLOBO AÇOS'!U99)</f>
        <v/>
      </c>
      <c r="BL97" s="223">
        <f>IF(AND('CONTROLE EJ'!P99="",'CONTROLE CMM'!#REF!=""),"",N('CONTROLE EJ'!P99)+N('CONTROLE CMM'!#REF!))</f>
        <v/>
      </c>
      <c r="BM97" s="223">
        <f>IF(AND('CONTROLE EJ'!Q99="",'CONTROLE CMM'!#REF!=""),"",N('CONTROLE EJ'!Q99)+N('CONTROLE CMM'!#REF!))</f>
        <v/>
      </c>
      <c r="BN97" s="223">
        <f>IF('CONTROLE GLOBO AÇOS'!V99="","",'CONTROLE GLOBO AÇOS'!V99)</f>
        <v/>
      </c>
      <c r="BO97" s="223">
        <f>IF('CONTROLE GLOBO AÇOS'!W99="","",'CONTROLE GLOBO AÇOS'!W99)</f>
        <v/>
      </c>
      <c r="BP97" s="223">
        <f>IF(AND('CONTROLE EJ'!R99="",'CONTROLE CMM'!#REF!=""),"",N('CONTROLE EJ'!R99)+N('CONTROLE CMM'!#REF!))</f>
        <v/>
      </c>
      <c r="BQ97" s="223">
        <f>IF(#REF!="","",#REF!)</f>
        <v/>
      </c>
      <c r="BR97" s="223">
        <f>IF(AND('CONTROLE EJ'!S99="",'CONTROLE CMM'!#REF!=""),"",N('CONTROLE EJ'!S99)+N('CONTROLE CMM'!#REF!))</f>
        <v/>
      </c>
      <c r="BS97" s="223">
        <f>IF(AND('CONTROLE EJ'!T99="",'CONTROLE CMM'!#REF!=""),"",N('CONTROLE EJ'!T99)+N('CONTROLE CMM'!#REF!))</f>
        <v/>
      </c>
      <c r="BT97" s="223">
        <f>IF('CONTROLE GLOBO AÇOS'!X99="","",'CONTROLE GLOBO AÇOS'!X99)</f>
        <v/>
      </c>
      <c r="BU97" s="223">
        <f>IF('CONTROLE GLOBO AÇOS'!Y99="","",'CONTROLE GLOBO AÇOS'!Y99)</f>
        <v/>
      </c>
      <c r="BV97" s="223">
        <f>IF(AND('CONTROLE EJ'!U99="",'CONTROLE CMM'!#REF!=""),"",N('CONTROLE EJ'!U99)+N('CONTROLE CMM'!#REF!))</f>
        <v/>
      </c>
      <c r="BW97" s="223">
        <f>IF(#REF!="","",#REF!)</f>
        <v/>
      </c>
    </row>
    <row r="98">
      <c r="A98" s="282" t="n">
        <v>46315</v>
      </c>
      <c r="B98" s="223">
        <f>IF('CONTROLE EJ'!B100="","",'CONTROLE EJ'!B100)</f>
        <v/>
      </c>
      <c r="C98" s="42">
        <f>IF('CONTROLE EJ'!C100="","",'CONTROLE EJ'!C100)</f>
        <v/>
      </c>
      <c r="D98" s="42">
        <f>IF('CONTROLE EJ'!D100="","",'CONTROLE EJ'!D100)</f>
        <v/>
      </c>
      <c r="E98" s="70">
        <f>IF('CONTROLE CMM'!B100="","",'CONTROLE CMM'!B100)</f>
        <v/>
      </c>
      <c r="F98" s="223">
        <f>IF('CONTROLE CMM'!C100="","",'CONTROLE CMM'!C100)</f>
        <v/>
      </c>
      <c r="G98" s="42">
        <f>IF('CONTROLE CMM'!D100="","",'CONTROLE CMM'!D100)</f>
        <v/>
      </c>
      <c r="H98" s="44">
        <f>IF('CONTROLE GLOBO AÇOS'!B100="","",'CONTROLE GLOBO AÇOS'!B100)</f>
        <v/>
      </c>
      <c r="I98" s="223">
        <f>IF('CONTROLE GLOBO AÇOS'!C100="","",'CONTROLE GLOBO AÇOS'!C100)</f>
        <v/>
      </c>
      <c r="J98" s="223">
        <f>IF('CONTROLE GLOBO AÇOS'!D100="","",'CONTROLE GLOBO AÇOS'!D100)</f>
        <v/>
      </c>
      <c r="AD98" s="39">
        <f>IF($A98="",0,IF(AND(WEEKDAY($A98,2)&lt;=5,OR($B98&lt;&gt;"",$C98&lt;&gt;"",$D98&lt;&gt;"")),1,0))</f>
        <v/>
      </c>
      <c r="AE98" s="39">
        <f>IF($A98="",0,IF(AND(WEEKDAY($A98,2)&lt;=5,OR($E98&lt;&gt;"",$F98&lt;&gt;"",$G98&lt;&gt;"")),1,0))</f>
        <v/>
      </c>
      <c r="AF98" s="39">
        <f>MAX(AD98,AE98)</f>
        <v/>
      </c>
      <c r="AH98" s="223">
        <f>IF('CONTROLE GLOBO AÇOS'!E100="","",'CONTROLE GLOBO AÇOS'!E100)</f>
        <v/>
      </c>
      <c r="AI98" s="223">
        <f>IF('CONTROLE GLOBO AÇOS'!F100="","",'CONTROLE GLOBO AÇOS'!F100)</f>
        <v/>
      </c>
      <c r="AJ98" s="223">
        <f>IF(AND('CONTROLE EJ'!E100="",'CONTROLE CMM'!E100=""),"",N('CONTROLE EJ'!E100)+N('CONTROLE CMM'!E100))</f>
        <v/>
      </c>
      <c r="AK98" s="223">
        <f>IF(AND('CONTROLE EJ'!F100="",'CONTROLE CMM'!F100=""),"",N('CONTROLE EJ'!F100)+N('CONTROLE CMM'!F100))</f>
        <v/>
      </c>
      <c r="AL98" s="223">
        <f>IF(AND('CONTROLE EJ'!G100="",'CONTROLE CMM'!G100=""),"",N('CONTROLE EJ'!G100)+N('CONTROLE CMM'!G100))</f>
        <v/>
      </c>
      <c r="AM98" s="223">
        <f>IF(AND('CONTROLE EJ'!H100="",'CONTROLE CMM'!H100=""),"",N('CONTROLE EJ'!H100)+N('CONTROLE CMM'!H100))</f>
        <v/>
      </c>
      <c r="AN98" s="223">
        <f>IF('CONTROLE GLOBO AÇOS'!G100="","",'CONTROLE GLOBO AÇOS'!G100)</f>
        <v/>
      </c>
      <c r="AO98" s="223">
        <f>IF('CONTROLE GLOBO AÇOS'!H100="","",'CONTROLE GLOBO AÇOS'!H100)</f>
        <v/>
      </c>
      <c r="AP98" s="223">
        <f>IF(AND('CONTROLE EJ'!I100="",'CONTROLE CMM'!I100=""),"",N('CONTROLE EJ'!I100)+N('CONTROLE CMM'!I100))</f>
        <v/>
      </c>
      <c r="AQ98" s="223">
        <f>IF(AND('CONTROLE EJ'!J100="",'CONTROLE CMM'!#REF!=""),"",N('CONTROLE EJ'!J100)+N('CONTROLE CMM'!#REF!))</f>
        <v/>
      </c>
      <c r="AR98" s="223">
        <f>IF('CONTROLE GLOBO AÇOS'!I100="","",'CONTROLE GLOBO AÇOS'!I100)</f>
        <v/>
      </c>
      <c r="AS98" s="223">
        <f>IF('CONTROLE GLOBO AÇOS'!J100="","",'CONTROLE GLOBO AÇOS'!J100)</f>
        <v/>
      </c>
      <c r="AT98" s="223">
        <f>IF(#REF!="","",#REF!)</f>
        <v/>
      </c>
      <c r="AU98" s="223">
        <f>IF('CONTROLE GLOBO AÇOS'!K100="","",'CONTROLE GLOBO AÇOS'!K100)</f>
        <v/>
      </c>
      <c r="AV98" s="223">
        <f>IF(AND('CONTROLE EJ'!K100="",'CONTROLE CMM'!#REF!=""),"",N('CONTROLE EJ'!K100)+N('CONTROLE CMM'!#REF!))</f>
        <v/>
      </c>
      <c r="AW98" s="223">
        <f>IF('CONTROLE GLOBO AÇOS'!L100="","",'CONTROLE GLOBO AÇOS'!L100)</f>
        <v/>
      </c>
      <c r="AX98" s="223">
        <f>IF(AND('CONTROLE EJ'!L100="",'CONTROLE CMM'!#REF!=""),"",N('CONTROLE EJ'!L100)+N('CONTROLE CMM'!#REF!))</f>
        <v/>
      </c>
      <c r="AY98" s="223">
        <f>IF('CONTROLE GLOBO AÇOS'!M100="","",'CONTROLE GLOBO AÇOS'!M100)</f>
        <v/>
      </c>
      <c r="AZ98" s="223">
        <f>IF('CONTROLE GLOBO AÇOS'!N100="","",'CONTROLE GLOBO AÇOS'!N100)</f>
        <v/>
      </c>
      <c r="BA98" s="223">
        <f>IF(AND('CONTROLE EJ'!M100="",'CONTROLE CMM'!#REF!=""),"",N('CONTROLE EJ'!M100)+N('CONTROLE CMM'!#REF!))</f>
        <v/>
      </c>
      <c r="BB98" s="223">
        <f>IF(#REF!="","",#REF!)</f>
        <v/>
      </c>
      <c r="BC98" s="223">
        <f>IF('CONTROLE GLOBO AÇOS'!O100="","",'CONTROLE GLOBO AÇOS'!O100)</f>
        <v/>
      </c>
      <c r="BD98" s="223">
        <f>IF(AND('CONTROLE EJ'!N100="",'CONTROLE CMM'!#REF!=""),"",N('CONTROLE EJ'!N100)+N('CONTROLE CMM'!#REF!))</f>
        <v/>
      </c>
      <c r="BE98" s="223">
        <f>IF('CONTROLE GLOBO AÇOS'!P100="","",'CONTROLE GLOBO AÇOS'!P100)</f>
        <v/>
      </c>
      <c r="BF98" s="223">
        <f>IF('CONTROLE GLOBO AÇOS'!Q100="","",'CONTROLE GLOBO AÇOS'!Q100)</f>
        <v/>
      </c>
      <c r="BG98" s="223">
        <f>IF('CONTROLE GLOBO AÇOS'!R100="","",'CONTROLE GLOBO AÇOS'!R100)</f>
        <v/>
      </c>
      <c r="BH98" s="223">
        <f>IF(AND('CONTROLE EJ'!O100="",'CONTROLE CMM'!#REF!=""),"",N('CONTROLE EJ'!O100)+N('CONTROLE CMM'!#REF!))</f>
        <v/>
      </c>
      <c r="BI98" s="223">
        <f>IF('CONTROLE GLOBO AÇOS'!S100="","",'CONTROLE GLOBO AÇOS'!S100)</f>
        <v/>
      </c>
      <c r="BJ98" s="223">
        <f>IF('CONTROLE GLOBO AÇOS'!T100="","",'CONTROLE GLOBO AÇOS'!T100)</f>
        <v/>
      </c>
      <c r="BK98" s="223">
        <f>IF('CONTROLE GLOBO AÇOS'!U100="","",'CONTROLE GLOBO AÇOS'!U100)</f>
        <v/>
      </c>
      <c r="BL98" s="223">
        <f>IF(AND('CONTROLE EJ'!P100="",'CONTROLE CMM'!#REF!=""),"",N('CONTROLE EJ'!P100)+N('CONTROLE CMM'!#REF!))</f>
        <v/>
      </c>
      <c r="BM98" s="223">
        <f>IF(AND('CONTROLE EJ'!Q100="",'CONTROLE CMM'!#REF!=""),"",N('CONTROLE EJ'!Q100)+N('CONTROLE CMM'!#REF!))</f>
        <v/>
      </c>
      <c r="BN98" s="223">
        <f>IF('CONTROLE GLOBO AÇOS'!V100="","",'CONTROLE GLOBO AÇOS'!V100)</f>
        <v/>
      </c>
      <c r="BO98" s="223">
        <f>IF('CONTROLE GLOBO AÇOS'!W100="","",'CONTROLE GLOBO AÇOS'!W100)</f>
        <v/>
      </c>
      <c r="BP98" s="223">
        <f>IF(AND('CONTROLE EJ'!R100="",'CONTROLE CMM'!#REF!=""),"",N('CONTROLE EJ'!R100)+N('CONTROLE CMM'!#REF!))</f>
        <v/>
      </c>
      <c r="BQ98" s="223">
        <f>IF(#REF!="","",#REF!)</f>
        <v/>
      </c>
      <c r="BR98" s="223">
        <f>IF(AND('CONTROLE EJ'!S100="",'CONTROLE CMM'!#REF!=""),"",N('CONTROLE EJ'!S100)+N('CONTROLE CMM'!#REF!))</f>
        <v/>
      </c>
      <c r="BS98" s="223">
        <f>IF(AND('CONTROLE EJ'!T100="",'CONTROLE CMM'!#REF!=""),"",N('CONTROLE EJ'!T100)+N('CONTROLE CMM'!#REF!))</f>
        <v/>
      </c>
      <c r="BT98" s="223">
        <f>IF('CONTROLE GLOBO AÇOS'!X100="","",'CONTROLE GLOBO AÇOS'!X100)</f>
        <v/>
      </c>
      <c r="BU98" s="223">
        <f>IF('CONTROLE GLOBO AÇOS'!Y100="","",'CONTROLE GLOBO AÇOS'!Y100)</f>
        <v/>
      </c>
      <c r="BV98" s="223">
        <f>IF(AND('CONTROLE EJ'!U100="",'CONTROLE CMM'!#REF!=""),"",N('CONTROLE EJ'!U100)+N('CONTROLE CMM'!#REF!))</f>
        <v/>
      </c>
      <c r="BW98" s="223">
        <f>IF(#REF!="","",#REF!)</f>
        <v/>
      </c>
    </row>
    <row r="99">
      <c r="A99" s="282" t="n">
        <v>46316</v>
      </c>
      <c r="B99" s="223">
        <f>IF('CONTROLE EJ'!B101="","",'CONTROLE EJ'!B101)</f>
        <v/>
      </c>
      <c r="C99" s="42">
        <f>IF('CONTROLE EJ'!C101="","",'CONTROLE EJ'!C101)</f>
        <v/>
      </c>
      <c r="D99" s="42">
        <f>IF('CONTROLE EJ'!D101="","",'CONTROLE EJ'!D101)</f>
        <v/>
      </c>
      <c r="E99" s="70">
        <f>IF('CONTROLE CMM'!B101="","",'CONTROLE CMM'!B101)</f>
        <v/>
      </c>
      <c r="F99" s="223">
        <f>IF('CONTROLE CMM'!C101="","",'CONTROLE CMM'!C101)</f>
        <v/>
      </c>
      <c r="G99" s="42">
        <f>IF('CONTROLE CMM'!D101="","",'CONTROLE CMM'!D101)</f>
        <v/>
      </c>
      <c r="H99" s="44">
        <f>IF('CONTROLE GLOBO AÇOS'!B101="","",'CONTROLE GLOBO AÇOS'!B101)</f>
        <v/>
      </c>
      <c r="I99" s="223">
        <f>IF('CONTROLE GLOBO AÇOS'!C101="","",'CONTROLE GLOBO AÇOS'!C101)</f>
        <v/>
      </c>
      <c r="J99" s="223">
        <f>IF('CONTROLE GLOBO AÇOS'!D101="","",'CONTROLE GLOBO AÇOS'!D101)</f>
        <v/>
      </c>
      <c r="AD99" s="39">
        <f>IF($A99="",0,IF(AND(WEEKDAY($A99,2)&lt;=5,OR($B99&lt;&gt;"",$C99&lt;&gt;"",$D99&lt;&gt;"")),1,0))</f>
        <v/>
      </c>
      <c r="AE99" s="39">
        <f>IF($A99="",0,IF(AND(WEEKDAY($A99,2)&lt;=5,OR($E99&lt;&gt;"",$F99&lt;&gt;"",$G99&lt;&gt;"")),1,0))</f>
        <v/>
      </c>
      <c r="AF99" s="39">
        <f>MAX(AD99,AE99)</f>
        <v/>
      </c>
      <c r="AH99" s="223">
        <f>IF('CONTROLE GLOBO AÇOS'!E101="","",'CONTROLE GLOBO AÇOS'!E101)</f>
        <v/>
      </c>
      <c r="AI99" s="223">
        <f>IF('CONTROLE GLOBO AÇOS'!F101="","",'CONTROLE GLOBO AÇOS'!F101)</f>
        <v/>
      </c>
      <c r="AJ99" s="223">
        <f>IF(AND('CONTROLE EJ'!E101="",'CONTROLE CMM'!E101=""),"",N('CONTROLE EJ'!E101)+N('CONTROLE CMM'!E101))</f>
        <v/>
      </c>
      <c r="AK99" s="223">
        <f>IF(AND('CONTROLE EJ'!F101="",'CONTROLE CMM'!F101=""),"",N('CONTROLE EJ'!F101)+N('CONTROLE CMM'!F101))</f>
        <v/>
      </c>
      <c r="AL99" s="223">
        <f>IF(AND('CONTROLE EJ'!G101="",'CONTROLE CMM'!G101=""),"",N('CONTROLE EJ'!G101)+N('CONTROLE CMM'!G101))</f>
        <v/>
      </c>
      <c r="AM99" s="223">
        <f>IF(AND('CONTROLE EJ'!H101="",'CONTROLE CMM'!H101=""),"",N('CONTROLE EJ'!H101)+N('CONTROLE CMM'!H101))</f>
        <v/>
      </c>
      <c r="AN99" s="223">
        <f>IF('CONTROLE GLOBO AÇOS'!G101="","",'CONTROLE GLOBO AÇOS'!G101)</f>
        <v/>
      </c>
      <c r="AO99" s="223">
        <f>IF('CONTROLE GLOBO AÇOS'!H101="","",'CONTROLE GLOBO AÇOS'!H101)</f>
        <v/>
      </c>
      <c r="AP99" s="223">
        <f>IF(AND('CONTROLE EJ'!I101="",'CONTROLE CMM'!I101=""),"",N('CONTROLE EJ'!I101)+N('CONTROLE CMM'!I101))</f>
        <v/>
      </c>
      <c r="AQ99" s="223">
        <f>IF(AND('CONTROLE EJ'!J101="",'CONTROLE CMM'!#REF!=""),"",N('CONTROLE EJ'!J101)+N('CONTROLE CMM'!#REF!))</f>
        <v/>
      </c>
      <c r="AR99" s="223">
        <f>IF('CONTROLE GLOBO AÇOS'!I101="","",'CONTROLE GLOBO AÇOS'!I101)</f>
        <v/>
      </c>
      <c r="AS99" s="223">
        <f>IF('CONTROLE GLOBO AÇOS'!J101="","",'CONTROLE GLOBO AÇOS'!J101)</f>
        <v/>
      </c>
      <c r="AT99" s="223">
        <f>IF(#REF!="","",#REF!)</f>
        <v/>
      </c>
      <c r="AU99" s="223">
        <f>IF('CONTROLE GLOBO AÇOS'!K101="","",'CONTROLE GLOBO AÇOS'!K101)</f>
        <v/>
      </c>
      <c r="AV99" s="223">
        <f>IF(AND('CONTROLE EJ'!K101="",'CONTROLE CMM'!#REF!=""),"",N('CONTROLE EJ'!K101)+N('CONTROLE CMM'!#REF!))</f>
        <v/>
      </c>
      <c r="AW99" s="223">
        <f>IF('CONTROLE GLOBO AÇOS'!L101="","",'CONTROLE GLOBO AÇOS'!L101)</f>
        <v/>
      </c>
      <c r="AX99" s="223">
        <f>IF(AND('CONTROLE EJ'!L101="",'CONTROLE CMM'!#REF!=""),"",N('CONTROLE EJ'!L101)+N('CONTROLE CMM'!#REF!))</f>
        <v/>
      </c>
      <c r="AY99" s="223">
        <f>IF('CONTROLE GLOBO AÇOS'!M101="","",'CONTROLE GLOBO AÇOS'!M101)</f>
        <v/>
      </c>
      <c r="AZ99" s="223">
        <f>IF('CONTROLE GLOBO AÇOS'!N101="","",'CONTROLE GLOBO AÇOS'!N101)</f>
        <v/>
      </c>
      <c r="BA99" s="223">
        <f>IF(AND('CONTROLE EJ'!M101="",'CONTROLE CMM'!#REF!=""),"",N('CONTROLE EJ'!M101)+N('CONTROLE CMM'!#REF!))</f>
        <v/>
      </c>
      <c r="BB99" s="223">
        <f>IF(#REF!="","",#REF!)</f>
        <v/>
      </c>
      <c r="BC99" s="223">
        <f>IF('CONTROLE GLOBO AÇOS'!O101="","",'CONTROLE GLOBO AÇOS'!O101)</f>
        <v/>
      </c>
      <c r="BD99" s="223">
        <f>IF(AND('CONTROLE EJ'!N101="",'CONTROLE CMM'!#REF!=""),"",N('CONTROLE EJ'!N101)+N('CONTROLE CMM'!#REF!))</f>
        <v/>
      </c>
      <c r="BE99" s="223">
        <f>IF('CONTROLE GLOBO AÇOS'!P101="","",'CONTROLE GLOBO AÇOS'!P101)</f>
        <v/>
      </c>
      <c r="BF99" s="223">
        <f>IF('CONTROLE GLOBO AÇOS'!Q101="","",'CONTROLE GLOBO AÇOS'!Q101)</f>
        <v/>
      </c>
      <c r="BG99" s="223">
        <f>IF('CONTROLE GLOBO AÇOS'!R101="","",'CONTROLE GLOBO AÇOS'!R101)</f>
        <v/>
      </c>
      <c r="BH99" s="223">
        <f>IF(AND('CONTROLE EJ'!O101="",'CONTROLE CMM'!#REF!=""),"",N('CONTROLE EJ'!O101)+N('CONTROLE CMM'!#REF!))</f>
        <v/>
      </c>
      <c r="BI99" s="223">
        <f>IF('CONTROLE GLOBO AÇOS'!S101="","",'CONTROLE GLOBO AÇOS'!S101)</f>
        <v/>
      </c>
      <c r="BJ99" s="223">
        <f>IF('CONTROLE GLOBO AÇOS'!T101="","",'CONTROLE GLOBO AÇOS'!T101)</f>
        <v/>
      </c>
      <c r="BK99" s="223">
        <f>IF('CONTROLE GLOBO AÇOS'!U101="","",'CONTROLE GLOBO AÇOS'!U101)</f>
        <v/>
      </c>
      <c r="BL99" s="223">
        <f>IF(AND('CONTROLE EJ'!P101="",'CONTROLE CMM'!#REF!=""),"",N('CONTROLE EJ'!P101)+N('CONTROLE CMM'!#REF!))</f>
        <v/>
      </c>
      <c r="BM99" s="223">
        <f>IF(AND('CONTROLE EJ'!Q101="",'CONTROLE CMM'!#REF!=""),"",N('CONTROLE EJ'!Q101)+N('CONTROLE CMM'!#REF!))</f>
        <v/>
      </c>
      <c r="BN99" s="223">
        <f>IF('CONTROLE GLOBO AÇOS'!V101="","",'CONTROLE GLOBO AÇOS'!V101)</f>
        <v/>
      </c>
      <c r="BO99" s="223">
        <f>IF('CONTROLE GLOBO AÇOS'!W101="","",'CONTROLE GLOBO AÇOS'!W101)</f>
        <v/>
      </c>
      <c r="BP99" s="223">
        <f>IF(AND('CONTROLE EJ'!R101="",'CONTROLE CMM'!#REF!=""),"",N('CONTROLE EJ'!R101)+N('CONTROLE CMM'!#REF!))</f>
        <v/>
      </c>
      <c r="BQ99" s="223">
        <f>IF(#REF!="","",#REF!)</f>
        <v/>
      </c>
      <c r="BR99" s="223">
        <f>IF(AND('CONTROLE EJ'!S101="",'CONTROLE CMM'!#REF!=""),"",N('CONTROLE EJ'!S101)+N('CONTROLE CMM'!#REF!))</f>
        <v/>
      </c>
      <c r="BS99" s="223">
        <f>IF(AND('CONTROLE EJ'!T101="",'CONTROLE CMM'!#REF!=""),"",N('CONTROLE EJ'!T101)+N('CONTROLE CMM'!#REF!))</f>
        <v/>
      </c>
      <c r="BT99" s="223">
        <f>IF('CONTROLE GLOBO AÇOS'!X101="","",'CONTROLE GLOBO AÇOS'!X101)</f>
        <v/>
      </c>
      <c r="BU99" s="223">
        <f>IF('CONTROLE GLOBO AÇOS'!Y101="","",'CONTROLE GLOBO AÇOS'!Y101)</f>
        <v/>
      </c>
      <c r="BV99" s="223">
        <f>IF(AND('CONTROLE EJ'!U101="",'CONTROLE CMM'!#REF!=""),"",N('CONTROLE EJ'!U101)+N('CONTROLE CMM'!#REF!))</f>
        <v/>
      </c>
      <c r="BW99" s="223">
        <f>IF(#REF!="","",#REF!)</f>
        <v/>
      </c>
    </row>
    <row r="100">
      <c r="A100" s="282" t="n">
        <v>46317</v>
      </c>
      <c r="B100" s="223">
        <f>IF('CONTROLE EJ'!B102="","",'CONTROLE EJ'!B102)</f>
        <v/>
      </c>
      <c r="C100" s="42">
        <f>IF('CONTROLE EJ'!C102="","",'CONTROLE EJ'!C102)</f>
        <v/>
      </c>
      <c r="D100" s="42">
        <f>IF('CONTROLE EJ'!D102="","",'CONTROLE EJ'!D102)</f>
        <v/>
      </c>
      <c r="E100" s="70">
        <f>IF('CONTROLE CMM'!B102="","",'CONTROLE CMM'!B102)</f>
        <v/>
      </c>
      <c r="F100" s="223">
        <f>IF('CONTROLE CMM'!C102="","",'CONTROLE CMM'!C102)</f>
        <v/>
      </c>
      <c r="G100" s="42">
        <f>IF('CONTROLE CMM'!D102="","",'CONTROLE CMM'!D102)</f>
        <v/>
      </c>
      <c r="H100" s="44">
        <f>IF('CONTROLE GLOBO AÇOS'!B102="","",'CONTROLE GLOBO AÇOS'!B102)</f>
        <v/>
      </c>
      <c r="I100" s="223">
        <f>IF('CONTROLE GLOBO AÇOS'!C102="","",'CONTROLE GLOBO AÇOS'!C102)</f>
        <v/>
      </c>
      <c r="J100" s="223">
        <f>IF('CONTROLE GLOBO AÇOS'!D102="","",'CONTROLE GLOBO AÇOS'!D102)</f>
        <v/>
      </c>
      <c r="AD100" s="39">
        <f>IF($A100="",0,IF(AND(WEEKDAY($A100,2)&lt;=5,OR($B100&lt;&gt;"",$C100&lt;&gt;"",$D100&lt;&gt;"")),1,0))</f>
        <v/>
      </c>
      <c r="AE100" s="39">
        <f>IF($A100="",0,IF(AND(WEEKDAY($A100,2)&lt;=5,OR($E100&lt;&gt;"",$F100&lt;&gt;"",$G100&lt;&gt;"")),1,0))</f>
        <v/>
      </c>
      <c r="AF100" s="39">
        <f>MAX(AD100,AE100)</f>
        <v/>
      </c>
      <c r="AH100" s="223">
        <f>IF('CONTROLE GLOBO AÇOS'!E102="","",'CONTROLE GLOBO AÇOS'!E102)</f>
        <v/>
      </c>
      <c r="AI100" s="223">
        <f>IF('CONTROLE GLOBO AÇOS'!F102="","",'CONTROLE GLOBO AÇOS'!F102)</f>
        <v/>
      </c>
      <c r="AJ100" s="223">
        <f>IF(AND('CONTROLE EJ'!E102="",'CONTROLE CMM'!E102=""),"",N('CONTROLE EJ'!E102)+N('CONTROLE CMM'!E102))</f>
        <v/>
      </c>
      <c r="AK100" s="223">
        <f>IF(AND('CONTROLE EJ'!F102="",'CONTROLE CMM'!F102=""),"",N('CONTROLE EJ'!F102)+N('CONTROLE CMM'!F102))</f>
        <v/>
      </c>
      <c r="AL100" s="223">
        <f>IF(AND('CONTROLE EJ'!G102="",'CONTROLE CMM'!G102=""),"",N('CONTROLE EJ'!G102)+N('CONTROLE CMM'!G102))</f>
        <v/>
      </c>
      <c r="AM100" s="223">
        <f>IF(AND('CONTROLE EJ'!H102="",'CONTROLE CMM'!H102=""),"",N('CONTROLE EJ'!H102)+N('CONTROLE CMM'!H102))</f>
        <v/>
      </c>
      <c r="AN100" s="223">
        <f>IF('CONTROLE GLOBO AÇOS'!G102="","",'CONTROLE GLOBO AÇOS'!G102)</f>
        <v/>
      </c>
      <c r="AO100" s="223">
        <f>IF('CONTROLE GLOBO AÇOS'!H102="","",'CONTROLE GLOBO AÇOS'!H102)</f>
        <v/>
      </c>
      <c r="AP100" s="223">
        <f>IF(AND('CONTROLE EJ'!I102="",'CONTROLE CMM'!I102=""),"",N('CONTROLE EJ'!I102)+N('CONTROLE CMM'!I102))</f>
        <v/>
      </c>
      <c r="AQ100" s="223">
        <f>IF(AND('CONTROLE EJ'!J102="",'CONTROLE CMM'!#REF!=""),"",N('CONTROLE EJ'!J102)+N('CONTROLE CMM'!#REF!))</f>
        <v/>
      </c>
      <c r="AR100" s="223">
        <f>IF('CONTROLE GLOBO AÇOS'!I102="","",'CONTROLE GLOBO AÇOS'!I102)</f>
        <v/>
      </c>
      <c r="AS100" s="223">
        <f>IF('CONTROLE GLOBO AÇOS'!J102="","",'CONTROLE GLOBO AÇOS'!J102)</f>
        <v/>
      </c>
      <c r="AT100" s="223">
        <f>IF(#REF!="","",#REF!)</f>
        <v/>
      </c>
      <c r="AU100" s="223">
        <f>IF('CONTROLE GLOBO AÇOS'!K102="","",'CONTROLE GLOBO AÇOS'!K102)</f>
        <v/>
      </c>
      <c r="AV100" s="223">
        <f>IF(AND('CONTROLE EJ'!K102="",'CONTROLE CMM'!#REF!=""),"",N('CONTROLE EJ'!K102)+N('CONTROLE CMM'!#REF!))</f>
        <v/>
      </c>
      <c r="AW100" s="223">
        <f>IF('CONTROLE GLOBO AÇOS'!L102="","",'CONTROLE GLOBO AÇOS'!L102)</f>
        <v/>
      </c>
      <c r="AX100" s="223">
        <f>IF(AND('CONTROLE EJ'!L102="",'CONTROLE CMM'!#REF!=""),"",N('CONTROLE EJ'!L102)+N('CONTROLE CMM'!#REF!))</f>
        <v/>
      </c>
      <c r="AY100" s="223">
        <f>IF('CONTROLE GLOBO AÇOS'!M102="","",'CONTROLE GLOBO AÇOS'!M102)</f>
        <v/>
      </c>
      <c r="AZ100" s="223">
        <f>IF('CONTROLE GLOBO AÇOS'!N102="","",'CONTROLE GLOBO AÇOS'!N102)</f>
        <v/>
      </c>
      <c r="BA100" s="223">
        <f>IF(AND('CONTROLE EJ'!M102="",'CONTROLE CMM'!#REF!=""),"",N('CONTROLE EJ'!M102)+N('CONTROLE CMM'!#REF!))</f>
        <v/>
      </c>
      <c r="BB100" s="223">
        <f>IF(#REF!="","",#REF!)</f>
        <v/>
      </c>
      <c r="BC100" s="223">
        <f>IF('CONTROLE GLOBO AÇOS'!O102="","",'CONTROLE GLOBO AÇOS'!O102)</f>
        <v/>
      </c>
      <c r="BD100" s="223">
        <f>IF(AND('CONTROLE EJ'!N102="",'CONTROLE CMM'!#REF!=""),"",N('CONTROLE EJ'!N102)+N('CONTROLE CMM'!#REF!))</f>
        <v/>
      </c>
      <c r="BE100" s="223">
        <f>IF('CONTROLE GLOBO AÇOS'!P102="","",'CONTROLE GLOBO AÇOS'!P102)</f>
        <v/>
      </c>
      <c r="BF100" s="223">
        <f>IF('CONTROLE GLOBO AÇOS'!Q102="","",'CONTROLE GLOBO AÇOS'!Q102)</f>
        <v/>
      </c>
      <c r="BG100" s="223">
        <f>IF('CONTROLE GLOBO AÇOS'!R102="","",'CONTROLE GLOBO AÇOS'!R102)</f>
        <v/>
      </c>
      <c r="BH100" s="223">
        <f>IF(AND('CONTROLE EJ'!O102="",'CONTROLE CMM'!#REF!=""),"",N('CONTROLE EJ'!O102)+N('CONTROLE CMM'!#REF!))</f>
        <v/>
      </c>
      <c r="BI100" s="223">
        <f>IF('CONTROLE GLOBO AÇOS'!S102="","",'CONTROLE GLOBO AÇOS'!S102)</f>
        <v/>
      </c>
      <c r="BJ100" s="223">
        <f>IF('CONTROLE GLOBO AÇOS'!T102="","",'CONTROLE GLOBO AÇOS'!T102)</f>
        <v/>
      </c>
      <c r="BK100" s="223">
        <f>IF('CONTROLE GLOBO AÇOS'!U102="","",'CONTROLE GLOBO AÇOS'!U102)</f>
        <v/>
      </c>
      <c r="BL100" s="223">
        <f>IF(AND('CONTROLE EJ'!P102="",'CONTROLE CMM'!#REF!=""),"",N('CONTROLE EJ'!P102)+N('CONTROLE CMM'!#REF!))</f>
        <v/>
      </c>
      <c r="BM100" s="223">
        <f>IF(AND('CONTROLE EJ'!Q102="",'CONTROLE CMM'!#REF!=""),"",N('CONTROLE EJ'!Q102)+N('CONTROLE CMM'!#REF!))</f>
        <v/>
      </c>
      <c r="BN100" s="223">
        <f>IF('CONTROLE GLOBO AÇOS'!V102="","",'CONTROLE GLOBO AÇOS'!V102)</f>
        <v/>
      </c>
      <c r="BO100" s="223">
        <f>IF('CONTROLE GLOBO AÇOS'!W102="","",'CONTROLE GLOBO AÇOS'!W102)</f>
        <v/>
      </c>
      <c r="BP100" s="223">
        <f>IF(AND('CONTROLE EJ'!R102="",'CONTROLE CMM'!#REF!=""),"",N('CONTROLE EJ'!R102)+N('CONTROLE CMM'!#REF!))</f>
        <v/>
      </c>
      <c r="BQ100" s="223">
        <f>IF(#REF!="","",#REF!)</f>
        <v/>
      </c>
      <c r="BR100" s="223">
        <f>IF(AND('CONTROLE EJ'!S102="",'CONTROLE CMM'!#REF!=""),"",N('CONTROLE EJ'!S102)+N('CONTROLE CMM'!#REF!))</f>
        <v/>
      </c>
      <c r="BS100" s="223">
        <f>IF(AND('CONTROLE EJ'!T102="",'CONTROLE CMM'!#REF!=""),"",N('CONTROLE EJ'!T102)+N('CONTROLE CMM'!#REF!))</f>
        <v/>
      </c>
      <c r="BT100" s="223">
        <f>IF('CONTROLE GLOBO AÇOS'!X102="","",'CONTROLE GLOBO AÇOS'!X102)</f>
        <v/>
      </c>
      <c r="BU100" s="223">
        <f>IF('CONTROLE GLOBO AÇOS'!Y102="","",'CONTROLE GLOBO AÇOS'!Y102)</f>
        <v/>
      </c>
      <c r="BV100" s="223">
        <f>IF(AND('CONTROLE EJ'!U102="",'CONTROLE CMM'!#REF!=""),"",N('CONTROLE EJ'!U102)+N('CONTROLE CMM'!#REF!))</f>
        <v/>
      </c>
      <c r="BW100" s="223">
        <f>IF(#REF!="","",#REF!)</f>
        <v/>
      </c>
    </row>
    <row r="101">
      <c r="A101" s="282" t="n">
        <v>46318</v>
      </c>
      <c r="B101" s="223">
        <f>IF('CONTROLE EJ'!B103="","",'CONTROLE EJ'!B103)</f>
        <v/>
      </c>
      <c r="C101" s="42">
        <f>IF('CONTROLE EJ'!C103="","",'CONTROLE EJ'!C103)</f>
        <v/>
      </c>
      <c r="D101" s="42">
        <f>IF('CONTROLE EJ'!D103="","",'CONTROLE EJ'!D103)</f>
        <v/>
      </c>
      <c r="E101" s="70">
        <f>IF('CONTROLE CMM'!B103="","",'CONTROLE CMM'!B103)</f>
        <v/>
      </c>
      <c r="F101" s="223">
        <f>IF('CONTROLE CMM'!C103="","",'CONTROLE CMM'!C103)</f>
        <v/>
      </c>
      <c r="G101" s="42">
        <f>IF('CONTROLE CMM'!D103="","",'CONTROLE CMM'!D103)</f>
        <v/>
      </c>
      <c r="H101" s="44">
        <f>IF('CONTROLE GLOBO AÇOS'!B103="","",'CONTROLE GLOBO AÇOS'!B103)</f>
        <v/>
      </c>
      <c r="I101" s="223">
        <f>IF('CONTROLE GLOBO AÇOS'!C103="","",'CONTROLE GLOBO AÇOS'!C103)</f>
        <v/>
      </c>
      <c r="J101" s="223">
        <f>IF('CONTROLE GLOBO AÇOS'!D103="","",'CONTROLE GLOBO AÇOS'!D103)</f>
        <v/>
      </c>
      <c r="AD101" s="39">
        <f>IF($A101="",0,IF(AND(WEEKDAY($A101,2)&lt;=5,OR($B101&lt;&gt;"",$C101&lt;&gt;"",$D101&lt;&gt;"")),1,0))</f>
        <v/>
      </c>
      <c r="AE101" s="39">
        <f>IF($A101="",0,IF(AND(WEEKDAY($A101,2)&lt;=5,OR($E101&lt;&gt;"",$F101&lt;&gt;"",$G101&lt;&gt;"")),1,0))</f>
        <v/>
      </c>
      <c r="AF101" s="39">
        <f>MAX(AD101,AE101)</f>
        <v/>
      </c>
      <c r="AH101" s="223">
        <f>IF('CONTROLE GLOBO AÇOS'!E103="","",'CONTROLE GLOBO AÇOS'!E103)</f>
        <v/>
      </c>
      <c r="AI101" s="223">
        <f>IF('CONTROLE GLOBO AÇOS'!F103="","",'CONTROLE GLOBO AÇOS'!F103)</f>
        <v/>
      </c>
      <c r="AJ101" s="223">
        <f>IF(AND('CONTROLE EJ'!E103="",'CONTROLE CMM'!E103=""),"",N('CONTROLE EJ'!E103)+N('CONTROLE CMM'!E103))</f>
        <v/>
      </c>
      <c r="AK101" s="223">
        <f>IF(AND('CONTROLE EJ'!F103="",'CONTROLE CMM'!F103=""),"",N('CONTROLE EJ'!F103)+N('CONTROLE CMM'!F103))</f>
        <v/>
      </c>
      <c r="AL101" s="223">
        <f>IF(AND('CONTROLE EJ'!G103="",'CONTROLE CMM'!G103=""),"",N('CONTROLE EJ'!G103)+N('CONTROLE CMM'!G103))</f>
        <v/>
      </c>
      <c r="AM101" s="223">
        <f>IF(AND('CONTROLE EJ'!H103="",'CONTROLE CMM'!H103=""),"",N('CONTROLE EJ'!H103)+N('CONTROLE CMM'!H103))</f>
        <v/>
      </c>
      <c r="AN101" s="223">
        <f>IF('CONTROLE GLOBO AÇOS'!G103="","",'CONTROLE GLOBO AÇOS'!G103)</f>
        <v/>
      </c>
      <c r="AO101" s="223">
        <f>IF('CONTROLE GLOBO AÇOS'!H103="","",'CONTROLE GLOBO AÇOS'!H103)</f>
        <v/>
      </c>
      <c r="AP101" s="223">
        <f>IF(AND('CONTROLE EJ'!I103="",'CONTROLE CMM'!I103=""),"",N('CONTROLE EJ'!I103)+N('CONTROLE CMM'!I103))</f>
        <v/>
      </c>
      <c r="AQ101" s="223">
        <f>IF(AND('CONTROLE EJ'!J103="",'CONTROLE CMM'!#REF!=""),"",N('CONTROLE EJ'!J103)+N('CONTROLE CMM'!#REF!))</f>
        <v/>
      </c>
      <c r="AR101" s="223">
        <f>IF('CONTROLE GLOBO AÇOS'!I103="","",'CONTROLE GLOBO AÇOS'!I103)</f>
        <v/>
      </c>
      <c r="AS101" s="223">
        <f>IF('CONTROLE GLOBO AÇOS'!J103="","",'CONTROLE GLOBO AÇOS'!J103)</f>
        <v/>
      </c>
      <c r="AT101" s="223">
        <f>IF(#REF!="","",#REF!)</f>
        <v/>
      </c>
      <c r="AU101" s="223">
        <f>IF('CONTROLE GLOBO AÇOS'!K103="","",'CONTROLE GLOBO AÇOS'!K103)</f>
        <v/>
      </c>
      <c r="AV101" s="223">
        <f>IF(AND('CONTROLE EJ'!K103="",'CONTROLE CMM'!#REF!=""),"",N('CONTROLE EJ'!K103)+N('CONTROLE CMM'!#REF!))</f>
        <v/>
      </c>
      <c r="AW101" s="223">
        <f>IF('CONTROLE GLOBO AÇOS'!L103="","",'CONTROLE GLOBO AÇOS'!L103)</f>
        <v/>
      </c>
      <c r="AX101" s="223">
        <f>IF(AND('CONTROLE EJ'!L103="",'CONTROLE CMM'!#REF!=""),"",N('CONTROLE EJ'!L103)+N('CONTROLE CMM'!#REF!))</f>
        <v/>
      </c>
      <c r="AY101" s="223">
        <f>IF('CONTROLE GLOBO AÇOS'!M103="","",'CONTROLE GLOBO AÇOS'!M103)</f>
        <v/>
      </c>
      <c r="AZ101" s="223">
        <f>IF('CONTROLE GLOBO AÇOS'!N103="","",'CONTROLE GLOBO AÇOS'!N103)</f>
        <v/>
      </c>
      <c r="BA101" s="223">
        <f>IF(AND('CONTROLE EJ'!M103="",'CONTROLE CMM'!#REF!=""),"",N('CONTROLE EJ'!M103)+N('CONTROLE CMM'!#REF!))</f>
        <v/>
      </c>
      <c r="BB101" s="223">
        <f>IF(#REF!="","",#REF!)</f>
        <v/>
      </c>
      <c r="BC101" s="223">
        <f>IF('CONTROLE GLOBO AÇOS'!O103="","",'CONTROLE GLOBO AÇOS'!O103)</f>
        <v/>
      </c>
      <c r="BD101" s="223">
        <f>IF(AND('CONTROLE EJ'!N103="",'CONTROLE CMM'!#REF!=""),"",N('CONTROLE EJ'!N103)+N('CONTROLE CMM'!#REF!))</f>
        <v/>
      </c>
      <c r="BE101" s="223">
        <f>IF('CONTROLE GLOBO AÇOS'!P103="","",'CONTROLE GLOBO AÇOS'!P103)</f>
        <v/>
      </c>
      <c r="BF101" s="223">
        <f>IF('CONTROLE GLOBO AÇOS'!Q103="","",'CONTROLE GLOBO AÇOS'!Q103)</f>
        <v/>
      </c>
      <c r="BG101" s="223">
        <f>IF('CONTROLE GLOBO AÇOS'!R103="","",'CONTROLE GLOBO AÇOS'!R103)</f>
        <v/>
      </c>
      <c r="BH101" s="223">
        <f>IF(AND('CONTROLE EJ'!O103="",'CONTROLE CMM'!#REF!=""),"",N('CONTROLE EJ'!O103)+N('CONTROLE CMM'!#REF!))</f>
        <v/>
      </c>
      <c r="BI101" s="223">
        <f>IF('CONTROLE GLOBO AÇOS'!S103="","",'CONTROLE GLOBO AÇOS'!S103)</f>
        <v/>
      </c>
      <c r="BJ101" s="223">
        <f>IF('CONTROLE GLOBO AÇOS'!T103="","",'CONTROLE GLOBO AÇOS'!T103)</f>
        <v/>
      </c>
      <c r="BK101" s="223">
        <f>IF('CONTROLE GLOBO AÇOS'!U103="","",'CONTROLE GLOBO AÇOS'!U103)</f>
        <v/>
      </c>
      <c r="BL101" s="223">
        <f>IF(AND('CONTROLE EJ'!P103="",'CONTROLE CMM'!#REF!=""),"",N('CONTROLE EJ'!P103)+N('CONTROLE CMM'!#REF!))</f>
        <v/>
      </c>
      <c r="BM101" s="223">
        <f>IF(AND('CONTROLE EJ'!Q103="",'CONTROLE CMM'!#REF!=""),"",N('CONTROLE EJ'!Q103)+N('CONTROLE CMM'!#REF!))</f>
        <v/>
      </c>
      <c r="BN101" s="223">
        <f>IF('CONTROLE GLOBO AÇOS'!V103="","",'CONTROLE GLOBO AÇOS'!V103)</f>
        <v/>
      </c>
      <c r="BO101" s="223">
        <f>IF('CONTROLE GLOBO AÇOS'!W103="","",'CONTROLE GLOBO AÇOS'!W103)</f>
        <v/>
      </c>
      <c r="BP101" s="223">
        <f>IF(AND('CONTROLE EJ'!R103="",'CONTROLE CMM'!#REF!=""),"",N('CONTROLE EJ'!R103)+N('CONTROLE CMM'!#REF!))</f>
        <v/>
      </c>
      <c r="BQ101" s="223">
        <f>IF(#REF!="","",#REF!)</f>
        <v/>
      </c>
      <c r="BR101" s="223">
        <f>IF(AND('CONTROLE EJ'!S103="",'CONTROLE CMM'!#REF!=""),"",N('CONTROLE EJ'!S103)+N('CONTROLE CMM'!#REF!))</f>
        <v/>
      </c>
      <c r="BS101" s="223">
        <f>IF(AND('CONTROLE EJ'!T103="",'CONTROLE CMM'!#REF!=""),"",N('CONTROLE EJ'!T103)+N('CONTROLE CMM'!#REF!))</f>
        <v/>
      </c>
      <c r="BT101" s="223">
        <f>IF('CONTROLE GLOBO AÇOS'!X103="","",'CONTROLE GLOBO AÇOS'!X103)</f>
        <v/>
      </c>
      <c r="BU101" s="223">
        <f>IF('CONTROLE GLOBO AÇOS'!Y103="","",'CONTROLE GLOBO AÇOS'!Y103)</f>
        <v/>
      </c>
      <c r="BV101" s="223">
        <f>IF(AND('CONTROLE EJ'!U103="",'CONTROLE CMM'!#REF!=""),"",N('CONTROLE EJ'!U103)+N('CONTROLE CMM'!#REF!))</f>
        <v/>
      </c>
      <c r="BW101" s="223">
        <f>IF(#REF!="","",#REF!)</f>
        <v/>
      </c>
    </row>
    <row r="102">
      <c r="A102" s="282" t="n">
        <v>46319</v>
      </c>
      <c r="B102" s="223">
        <f>IF('CONTROLE EJ'!B104="","",'CONTROLE EJ'!B104)</f>
        <v/>
      </c>
      <c r="C102" s="42">
        <f>IF('CONTROLE EJ'!C104="","",'CONTROLE EJ'!C104)</f>
        <v/>
      </c>
      <c r="D102" s="42">
        <f>IF('CONTROLE EJ'!D104="","",'CONTROLE EJ'!D104)</f>
        <v/>
      </c>
      <c r="E102" s="70">
        <f>IF('CONTROLE CMM'!B104="","",'CONTROLE CMM'!B104)</f>
        <v/>
      </c>
      <c r="F102" s="223">
        <f>IF('CONTROLE CMM'!C104="","",'CONTROLE CMM'!C104)</f>
        <v/>
      </c>
      <c r="G102" s="42">
        <f>IF('CONTROLE CMM'!D104="","",'CONTROLE CMM'!D104)</f>
        <v/>
      </c>
      <c r="H102" s="44">
        <f>IF('CONTROLE GLOBO AÇOS'!B104="","",'CONTROLE GLOBO AÇOS'!B104)</f>
        <v/>
      </c>
      <c r="I102" s="223">
        <f>IF('CONTROLE GLOBO AÇOS'!C104="","",'CONTROLE GLOBO AÇOS'!C104)</f>
        <v/>
      </c>
      <c r="J102" s="223">
        <f>IF('CONTROLE GLOBO AÇOS'!D104="","",'CONTROLE GLOBO AÇOS'!D104)</f>
        <v/>
      </c>
      <c r="AD102" s="39">
        <f>IF($A102="",0,IF(AND(WEEKDAY($A102,2)&lt;=5,OR($B102&lt;&gt;"",$C102&lt;&gt;"",$D102&lt;&gt;"")),1,0))</f>
        <v/>
      </c>
      <c r="AE102" s="39">
        <f>IF($A102="",0,IF(AND(WEEKDAY($A102,2)&lt;=5,OR($E102&lt;&gt;"",$F102&lt;&gt;"",$G102&lt;&gt;"")),1,0))</f>
        <v/>
      </c>
      <c r="AF102" s="39">
        <f>MAX(AD102,AE102)</f>
        <v/>
      </c>
      <c r="AH102" s="223">
        <f>IF('CONTROLE GLOBO AÇOS'!E104="","",'CONTROLE GLOBO AÇOS'!E104)</f>
        <v/>
      </c>
      <c r="AI102" s="223">
        <f>IF('CONTROLE GLOBO AÇOS'!F104="","",'CONTROLE GLOBO AÇOS'!F104)</f>
        <v/>
      </c>
      <c r="AJ102" s="223">
        <f>IF(AND('CONTROLE EJ'!E104="",'CONTROLE CMM'!E104=""),"",N('CONTROLE EJ'!E104)+N('CONTROLE CMM'!E104))</f>
        <v/>
      </c>
      <c r="AK102" s="223">
        <f>IF(AND('CONTROLE EJ'!F104="",'CONTROLE CMM'!F104=""),"",N('CONTROLE EJ'!F104)+N('CONTROLE CMM'!F104))</f>
        <v/>
      </c>
      <c r="AL102" s="223">
        <f>IF(AND('CONTROLE EJ'!G104="",'CONTROLE CMM'!G104=""),"",N('CONTROLE EJ'!G104)+N('CONTROLE CMM'!G104))</f>
        <v/>
      </c>
      <c r="AM102" s="223">
        <f>IF(AND('CONTROLE EJ'!H104="",'CONTROLE CMM'!H104=""),"",N('CONTROLE EJ'!H104)+N('CONTROLE CMM'!H104))</f>
        <v/>
      </c>
      <c r="AN102" s="223">
        <f>IF('CONTROLE GLOBO AÇOS'!G104="","",'CONTROLE GLOBO AÇOS'!G104)</f>
        <v/>
      </c>
      <c r="AO102" s="223">
        <f>IF('CONTROLE GLOBO AÇOS'!H104="","",'CONTROLE GLOBO AÇOS'!H104)</f>
        <v/>
      </c>
      <c r="AP102" s="223">
        <f>IF(AND('CONTROLE EJ'!I104="",'CONTROLE CMM'!I104=""),"",N('CONTROLE EJ'!I104)+N('CONTROLE CMM'!I104))</f>
        <v/>
      </c>
      <c r="AQ102" s="223">
        <f>IF(AND('CONTROLE EJ'!J104="",'CONTROLE CMM'!#REF!=""),"",N('CONTROLE EJ'!J104)+N('CONTROLE CMM'!#REF!))</f>
        <v/>
      </c>
      <c r="AR102" s="223">
        <f>IF('CONTROLE GLOBO AÇOS'!I104="","",'CONTROLE GLOBO AÇOS'!I104)</f>
        <v/>
      </c>
      <c r="AS102" s="223">
        <f>IF('CONTROLE GLOBO AÇOS'!J104="","",'CONTROLE GLOBO AÇOS'!J104)</f>
        <v/>
      </c>
      <c r="AT102" s="223">
        <f>IF(#REF!="","",#REF!)</f>
        <v/>
      </c>
      <c r="AU102" s="223">
        <f>IF('CONTROLE GLOBO AÇOS'!K104="","",'CONTROLE GLOBO AÇOS'!K104)</f>
        <v/>
      </c>
      <c r="AV102" s="223">
        <f>IF(AND('CONTROLE EJ'!K104="",'CONTROLE CMM'!#REF!=""),"",N('CONTROLE EJ'!K104)+N('CONTROLE CMM'!#REF!))</f>
        <v/>
      </c>
      <c r="AW102" s="223">
        <f>IF('CONTROLE GLOBO AÇOS'!L104="","",'CONTROLE GLOBO AÇOS'!L104)</f>
        <v/>
      </c>
      <c r="AX102" s="223">
        <f>IF(AND('CONTROLE EJ'!L104="",'CONTROLE CMM'!#REF!=""),"",N('CONTROLE EJ'!L104)+N('CONTROLE CMM'!#REF!))</f>
        <v/>
      </c>
      <c r="AY102" s="223">
        <f>IF('CONTROLE GLOBO AÇOS'!M104="","",'CONTROLE GLOBO AÇOS'!M104)</f>
        <v/>
      </c>
      <c r="AZ102" s="223">
        <f>IF('CONTROLE GLOBO AÇOS'!N104="","",'CONTROLE GLOBO AÇOS'!N104)</f>
        <v/>
      </c>
      <c r="BA102" s="223">
        <f>IF(AND('CONTROLE EJ'!M104="",'CONTROLE CMM'!#REF!=""),"",N('CONTROLE EJ'!M104)+N('CONTROLE CMM'!#REF!))</f>
        <v/>
      </c>
      <c r="BB102" s="223">
        <f>IF(#REF!="","",#REF!)</f>
        <v/>
      </c>
      <c r="BC102" s="223">
        <f>IF('CONTROLE GLOBO AÇOS'!O104="","",'CONTROLE GLOBO AÇOS'!O104)</f>
        <v/>
      </c>
      <c r="BD102" s="223">
        <f>IF(AND('CONTROLE EJ'!N104="",'CONTROLE CMM'!#REF!=""),"",N('CONTROLE EJ'!N104)+N('CONTROLE CMM'!#REF!))</f>
        <v/>
      </c>
      <c r="BE102" s="223">
        <f>IF('CONTROLE GLOBO AÇOS'!P104="","",'CONTROLE GLOBO AÇOS'!P104)</f>
        <v/>
      </c>
      <c r="BF102" s="223">
        <f>IF('CONTROLE GLOBO AÇOS'!Q104="","",'CONTROLE GLOBO AÇOS'!Q104)</f>
        <v/>
      </c>
      <c r="BG102" s="223">
        <f>IF('CONTROLE GLOBO AÇOS'!R104="","",'CONTROLE GLOBO AÇOS'!R104)</f>
        <v/>
      </c>
      <c r="BH102" s="223">
        <f>IF(AND('CONTROLE EJ'!O104="",'CONTROLE CMM'!#REF!=""),"",N('CONTROLE EJ'!O104)+N('CONTROLE CMM'!#REF!))</f>
        <v/>
      </c>
      <c r="BI102" s="223">
        <f>IF('CONTROLE GLOBO AÇOS'!S104="","",'CONTROLE GLOBO AÇOS'!S104)</f>
        <v/>
      </c>
      <c r="BJ102" s="223">
        <f>IF('CONTROLE GLOBO AÇOS'!T104="","",'CONTROLE GLOBO AÇOS'!T104)</f>
        <v/>
      </c>
      <c r="BK102" s="223">
        <f>IF('CONTROLE GLOBO AÇOS'!U104="","",'CONTROLE GLOBO AÇOS'!U104)</f>
        <v/>
      </c>
      <c r="BL102" s="223">
        <f>IF(AND('CONTROLE EJ'!P104="",'CONTROLE CMM'!#REF!=""),"",N('CONTROLE EJ'!P104)+N('CONTROLE CMM'!#REF!))</f>
        <v/>
      </c>
      <c r="BM102" s="223">
        <f>IF(AND('CONTROLE EJ'!Q104="",'CONTROLE CMM'!#REF!=""),"",N('CONTROLE EJ'!Q104)+N('CONTROLE CMM'!#REF!))</f>
        <v/>
      </c>
      <c r="BN102" s="223">
        <f>IF('CONTROLE GLOBO AÇOS'!V104="","",'CONTROLE GLOBO AÇOS'!V104)</f>
        <v/>
      </c>
      <c r="BO102" s="223">
        <f>IF('CONTROLE GLOBO AÇOS'!W104="","",'CONTROLE GLOBO AÇOS'!W104)</f>
        <v/>
      </c>
      <c r="BP102" s="223">
        <f>IF(AND('CONTROLE EJ'!R104="",'CONTROLE CMM'!#REF!=""),"",N('CONTROLE EJ'!R104)+N('CONTROLE CMM'!#REF!))</f>
        <v/>
      </c>
      <c r="BQ102" s="223">
        <f>IF(#REF!="","",#REF!)</f>
        <v/>
      </c>
      <c r="BR102" s="223">
        <f>IF(AND('CONTROLE EJ'!S104="",'CONTROLE CMM'!#REF!=""),"",N('CONTROLE EJ'!S104)+N('CONTROLE CMM'!#REF!))</f>
        <v/>
      </c>
      <c r="BS102" s="223">
        <f>IF(AND('CONTROLE EJ'!T104="",'CONTROLE CMM'!#REF!=""),"",N('CONTROLE EJ'!T104)+N('CONTROLE CMM'!#REF!))</f>
        <v/>
      </c>
      <c r="BT102" s="223">
        <f>IF('CONTROLE GLOBO AÇOS'!X104="","",'CONTROLE GLOBO AÇOS'!X104)</f>
        <v/>
      </c>
      <c r="BU102" s="223">
        <f>IF('CONTROLE GLOBO AÇOS'!Y104="","",'CONTROLE GLOBO AÇOS'!Y104)</f>
        <v/>
      </c>
      <c r="BV102" s="223">
        <f>IF(AND('CONTROLE EJ'!U104="",'CONTROLE CMM'!#REF!=""),"",N('CONTROLE EJ'!U104)+N('CONTROLE CMM'!#REF!))</f>
        <v/>
      </c>
      <c r="BW102" s="223">
        <f>IF(#REF!="","",#REF!)</f>
        <v/>
      </c>
    </row>
    <row r="103">
      <c r="A103" s="282" t="n">
        <v>46320</v>
      </c>
      <c r="B103" s="223">
        <f>IF('CONTROLE EJ'!B105="","",'CONTROLE EJ'!B105)</f>
        <v/>
      </c>
      <c r="C103" s="42">
        <f>IF('CONTROLE EJ'!C105="","",'CONTROLE EJ'!C105)</f>
        <v/>
      </c>
      <c r="D103" s="42">
        <f>IF('CONTROLE EJ'!D105="","",'CONTROLE EJ'!D105)</f>
        <v/>
      </c>
      <c r="E103" s="70">
        <f>IF('CONTROLE CMM'!B105="","",'CONTROLE CMM'!B105)</f>
        <v/>
      </c>
      <c r="F103" s="223">
        <f>IF('CONTROLE CMM'!C105="","",'CONTROLE CMM'!C105)</f>
        <v/>
      </c>
      <c r="G103" s="42">
        <f>IF('CONTROLE CMM'!D105="","",'CONTROLE CMM'!D105)</f>
        <v/>
      </c>
      <c r="H103" s="44">
        <f>IF('CONTROLE GLOBO AÇOS'!B105="","",'CONTROLE GLOBO AÇOS'!B105)</f>
        <v/>
      </c>
      <c r="I103" s="223">
        <f>IF('CONTROLE GLOBO AÇOS'!C105="","",'CONTROLE GLOBO AÇOS'!C105)</f>
        <v/>
      </c>
      <c r="J103" s="223">
        <f>IF('CONTROLE GLOBO AÇOS'!D105="","",'CONTROLE GLOBO AÇOS'!D105)</f>
        <v/>
      </c>
      <c r="AD103" s="39">
        <f>IF($A103="",0,IF(AND(WEEKDAY($A103,2)&lt;=5,OR($B103&lt;&gt;"",$C103&lt;&gt;"",$D103&lt;&gt;"")),1,0))</f>
        <v/>
      </c>
      <c r="AE103" s="39">
        <f>IF($A103="",0,IF(AND(WEEKDAY($A103,2)&lt;=5,OR($E103&lt;&gt;"",$F103&lt;&gt;"",$G103&lt;&gt;"")),1,0))</f>
        <v/>
      </c>
      <c r="AF103" s="39">
        <f>MAX(AD103,AE103)</f>
        <v/>
      </c>
      <c r="AH103" s="223">
        <f>IF('CONTROLE GLOBO AÇOS'!E105="","",'CONTROLE GLOBO AÇOS'!E105)</f>
        <v/>
      </c>
      <c r="AI103" s="223">
        <f>IF('CONTROLE GLOBO AÇOS'!F105="","",'CONTROLE GLOBO AÇOS'!F105)</f>
        <v/>
      </c>
      <c r="AJ103" s="223">
        <f>IF(AND('CONTROLE EJ'!E105="",'CONTROLE CMM'!E105=""),"",N('CONTROLE EJ'!E105)+N('CONTROLE CMM'!E105))</f>
        <v/>
      </c>
      <c r="AK103" s="223">
        <f>IF(AND('CONTROLE EJ'!F105="",'CONTROLE CMM'!F105=""),"",N('CONTROLE EJ'!F105)+N('CONTROLE CMM'!F105))</f>
        <v/>
      </c>
      <c r="AL103" s="223">
        <f>IF(AND('CONTROLE EJ'!G105="",'CONTROLE CMM'!G105=""),"",N('CONTROLE EJ'!G105)+N('CONTROLE CMM'!G105))</f>
        <v/>
      </c>
      <c r="AM103" s="223">
        <f>IF(AND('CONTROLE EJ'!H105="",'CONTROLE CMM'!H105=""),"",N('CONTROLE EJ'!H105)+N('CONTROLE CMM'!H105))</f>
        <v/>
      </c>
      <c r="AN103" s="223">
        <f>IF('CONTROLE GLOBO AÇOS'!G105="","",'CONTROLE GLOBO AÇOS'!G105)</f>
        <v/>
      </c>
      <c r="AO103" s="223">
        <f>IF('CONTROLE GLOBO AÇOS'!H105="","",'CONTROLE GLOBO AÇOS'!H105)</f>
        <v/>
      </c>
      <c r="AP103" s="223">
        <f>IF(AND('CONTROLE EJ'!I105="",'CONTROLE CMM'!I105=""),"",N('CONTROLE EJ'!I105)+N('CONTROLE CMM'!I105))</f>
        <v/>
      </c>
      <c r="AQ103" s="223">
        <f>IF(AND('CONTROLE EJ'!J105="",'CONTROLE CMM'!#REF!=""),"",N('CONTROLE EJ'!J105)+N('CONTROLE CMM'!#REF!))</f>
        <v/>
      </c>
      <c r="AR103" s="223">
        <f>IF('CONTROLE GLOBO AÇOS'!I105="","",'CONTROLE GLOBO AÇOS'!I105)</f>
        <v/>
      </c>
      <c r="AS103" s="223">
        <f>IF('CONTROLE GLOBO AÇOS'!J105="","",'CONTROLE GLOBO AÇOS'!J105)</f>
        <v/>
      </c>
      <c r="AT103" s="223">
        <f>IF(#REF!="","",#REF!)</f>
        <v/>
      </c>
      <c r="AU103" s="223">
        <f>IF('CONTROLE GLOBO AÇOS'!K105="","",'CONTROLE GLOBO AÇOS'!K105)</f>
        <v/>
      </c>
      <c r="AV103" s="223">
        <f>IF(AND('CONTROLE EJ'!K105="",'CONTROLE CMM'!#REF!=""),"",N('CONTROLE EJ'!K105)+N('CONTROLE CMM'!#REF!))</f>
        <v/>
      </c>
      <c r="AW103" s="223">
        <f>IF('CONTROLE GLOBO AÇOS'!L105="","",'CONTROLE GLOBO AÇOS'!L105)</f>
        <v/>
      </c>
      <c r="AX103" s="223">
        <f>IF(AND('CONTROLE EJ'!L105="",'CONTROLE CMM'!#REF!=""),"",N('CONTROLE EJ'!L105)+N('CONTROLE CMM'!#REF!))</f>
        <v/>
      </c>
      <c r="AY103" s="223">
        <f>IF('CONTROLE GLOBO AÇOS'!M105="","",'CONTROLE GLOBO AÇOS'!M105)</f>
        <v/>
      </c>
      <c r="AZ103" s="223">
        <f>IF('CONTROLE GLOBO AÇOS'!N105="","",'CONTROLE GLOBO AÇOS'!N105)</f>
        <v/>
      </c>
      <c r="BA103" s="223">
        <f>IF(AND('CONTROLE EJ'!M105="",'CONTROLE CMM'!#REF!=""),"",N('CONTROLE EJ'!M105)+N('CONTROLE CMM'!#REF!))</f>
        <v/>
      </c>
      <c r="BB103" s="223">
        <f>IF(#REF!="","",#REF!)</f>
        <v/>
      </c>
      <c r="BC103" s="223">
        <f>IF('CONTROLE GLOBO AÇOS'!O105="","",'CONTROLE GLOBO AÇOS'!O105)</f>
        <v/>
      </c>
      <c r="BD103" s="223">
        <f>IF(AND('CONTROLE EJ'!N105="",'CONTROLE CMM'!#REF!=""),"",N('CONTROLE EJ'!N105)+N('CONTROLE CMM'!#REF!))</f>
        <v/>
      </c>
      <c r="BE103" s="223">
        <f>IF('CONTROLE GLOBO AÇOS'!P105="","",'CONTROLE GLOBO AÇOS'!P105)</f>
        <v/>
      </c>
      <c r="BF103" s="223">
        <f>IF('CONTROLE GLOBO AÇOS'!Q105="","",'CONTROLE GLOBO AÇOS'!Q105)</f>
        <v/>
      </c>
      <c r="BG103" s="223">
        <f>IF('CONTROLE GLOBO AÇOS'!R105="","",'CONTROLE GLOBO AÇOS'!R105)</f>
        <v/>
      </c>
      <c r="BH103" s="223">
        <f>IF(AND('CONTROLE EJ'!O105="",'CONTROLE CMM'!#REF!=""),"",N('CONTROLE EJ'!O105)+N('CONTROLE CMM'!#REF!))</f>
        <v/>
      </c>
      <c r="BI103" s="223">
        <f>IF('CONTROLE GLOBO AÇOS'!S105="","",'CONTROLE GLOBO AÇOS'!S105)</f>
        <v/>
      </c>
      <c r="BJ103" s="223">
        <f>IF('CONTROLE GLOBO AÇOS'!T105="","",'CONTROLE GLOBO AÇOS'!T105)</f>
        <v/>
      </c>
      <c r="BK103" s="223">
        <f>IF('CONTROLE GLOBO AÇOS'!U105="","",'CONTROLE GLOBO AÇOS'!U105)</f>
        <v/>
      </c>
      <c r="BL103" s="223">
        <f>IF(AND('CONTROLE EJ'!P105="",'CONTROLE CMM'!#REF!=""),"",N('CONTROLE EJ'!P105)+N('CONTROLE CMM'!#REF!))</f>
        <v/>
      </c>
      <c r="BM103" s="223">
        <f>IF(AND('CONTROLE EJ'!Q105="",'CONTROLE CMM'!#REF!=""),"",N('CONTROLE EJ'!Q105)+N('CONTROLE CMM'!#REF!))</f>
        <v/>
      </c>
      <c r="BN103" s="223">
        <f>IF('CONTROLE GLOBO AÇOS'!V105="","",'CONTROLE GLOBO AÇOS'!V105)</f>
        <v/>
      </c>
      <c r="BO103" s="223">
        <f>IF('CONTROLE GLOBO AÇOS'!W105="","",'CONTROLE GLOBO AÇOS'!W105)</f>
        <v/>
      </c>
      <c r="BP103" s="223">
        <f>IF(AND('CONTROLE EJ'!R105="",'CONTROLE CMM'!#REF!=""),"",N('CONTROLE EJ'!R105)+N('CONTROLE CMM'!#REF!))</f>
        <v/>
      </c>
      <c r="BQ103" s="223">
        <f>IF(#REF!="","",#REF!)</f>
        <v/>
      </c>
      <c r="BR103" s="223">
        <f>IF(AND('CONTROLE EJ'!S105="",'CONTROLE CMM'!#REF!=""),"",N('CONTROLE EJ'!S105)+N('CONTROLE CMM'!#REF!))</f>
        <v/>
      </c>
      <c r="BS103" s="223">
        <f>IF(AND('CONTROLE EJ'!T105="",'CONTROLE CMM'!#REF!=""),"",N('CONTROLE EJ'!T105)+N('CONTROLE CMM'!#REF!))</f>
        <v/>
      </c>
      <c r="BT103" s="223">
        <f>IF('CONTROLE GLOBO AÇOS'!X105="","",'CONTROLE GLOBO AÇOS'!X105)</f>
        <v/>
      </c>
      <c r="BU103" s="223">
        <f>IF('CONTROLE GLOBO AÇOS'!Y105="","",'CONTROLE GLOBO AÇOS'!Y105)</f>
        <v/>
      </c>
      <c r="BV103" s="223">
        <f>IF(AND('CONTROLE EJ'!U105="",'CONTROLE CMM'!#REF!=""),"",N('CONTROLE EJ'!U105)+N('CONTROLE CMM'!#REF!))</f>
        <v/>
      </c>
      <c r="BW103" s="223">
        <f>IF(#REF!="","",#REF!)</f>
        <v/>
      </c>
    </row>
    <row r="104">
      <c r="A104" s="282" t="n">
        <v>46321</v>
      </c>
      <c r="B104" s="223">
        <f>IF('CONTROLE EJ'!B106="","",'CONTROLE EJ'!B106)</f>
        <v/>
      </c>
      <c r="C104" s="42">
        <f>IF('CONTROLE EJ'!C106="","",'CONTROLE EJ'!C106)</f>
        <v/>
      </c>
      <c r="D104" s="42">
        <f>IF('CONTROLE EJ'!D106="","",'CONTROLE EJ'!D106)</f>
        <v/>
      </c>
      <c r="E104" s="70">
        <f>IF('CONTROLE CMM'!B106="","",'CONTROLE CMM'!B106)</f>
        <v/>
      </c>
      <c r="F104" s="223">
        <f>IF('CONTROLE CMM'!C106="","",'CONTROLE CMM'!C106)</f>
        <v/>
      </c>
      <c r="G104" s="42">
        <f>IF('CONTROLE CMM'!D106="","",'CONTROLE CMM'!D106)</f>
        <v/>
      </c>
      <c r="H104" s="44">
        <f>IF('CONTROLE GLOBO AÇOS'!B106="","",'CONTROLE GLOBO AÇOS'!B106)</f>
        <v/>
      </c>
      <c r="I104" s="223">
        <f>IF('CONTROLE GLOBO AÇOS'!C106="","",'CONTROLE GLOBO AÇOS'!C106)</f>
        <v/>
      </c>
      <c r="J104" s="223">
        <f>IF('CONTROLE GLOBO AÇOS'!D106="","",'CONTROLE GLOBO AÇOS'!D106)</f>
        <v/>
      </c>
      <c r="AD104" s="39">
        <f>IF($A104="",0,IF(AND(WEEKDAY($A104,2)&lt;=5,OR($B104&lt;&gt;"",$C104&lt;&gt;"",$D104&lt;&gt;"")),1,0))</f>
        <v/>
      </c>
      <c r="AE104" s="39">
        <f>IF($A104="",0,IF(AND(WEEKDAY($A104,2)&lt;=5,OR($E104&lt;&gt;"",$F104&lt;&gt;"",$G104&lt;&gt;"")),1,0))</f>
        <v/>
      </c>
      <c r="AF104" s="39">
        <f>MAX(AD104,AE104)</f>
        <v/>
      </c>
      <c r="AH104" s="223">
        <f>IF('CONTROLE GLOBO AÇOS'!E106="","",'CONTROLE GLOBO AÇOS'!E106)</f>
        <v/>
      </c>
      <c r="AI104" s="223">
        <f>IF('CONTROLE GLOBO AÇOS'!F106="","",'CONTROLE GLOBO AÇOS'!F106)</f>
        <v/>
      </c>
      <c r="AJ104" s="223">
        <f>IF(AND('CONTROLE EJ'!E106="",'CONTROLE CMM'!E106=""),"",N('CONTROLE EJ'!E106)+N('CONTROLE CMM'!E106))</f>
        <v/>
      </c>
      <c r="AK104" s="223">
        <f>IF(AND('CONTROLE EJ'!F106="",'CONTROLE CMM'!F106=""),"",N('CONTROLE EJ'!F106)+N('CONTROLE CMM'!F106))</f>
        <v/>
      </c>
      <c r="AL104" s="223">
        <f>IF(AND('CONTROLE EJ'!G106="",'CONTROLE CMM'!G106=""),"",N('CONTROLE EJ'!G106)+N('CONTROLE CMM'!G106))</f>
        <v/>
      </c>
      <c r="AM104" s="223">
        <f>IF(AND('CONTROLE EJ'!H106="",'CONTROLE CMM'!H106=""),"",N('CONTROLE EJ'!H106)+N('CONTROLE CMM'!H106))</f>
        <v/>
      </c>
      <c r="AN104" s="223">
        <f>IF('CONTROLE GLOBO AÇOS'!G106="","",'CONTROLE GLOBO AÇOS'!G106)</f>
        <v/>
      </c>
      <c r="AO104" s="223">
        <f>IF('CONTROLE GLOBO AÇOS'!H106="","",'CONTROLE GLOBO AÇOS'!H106)</f>
        <v/>
      </c>
      <c r="AP104" s="223">
        <f>IF(AND('CONTROLE EJ'!I106="",'CONTROLE CMM'!I106=""),"",N('CONTROLE EJ'!I106)+N('CONTROLE CMM'!I106))</f>
        <v/>
      </c>
      <c r="AQ104" s="223">
        <f>IF(AND('CONTROLE EJ'!J106="",'CONTROLE CMM'!#REF!=""),"",N('CONTROLE EJ'!J106)+N('CONTROLE CMM'!#REF!))</f>
        <v/>
      </c>
      <c r="AR104" s="223">
        <f>IF('CONTROLE GLOBO AÇOS'!I106="","",'CONTROLE GLOBO AÇOS'!I106)</f>
        <v/>
      </c>
      <c r="AS104" s="223">
        <f>IF('CONTROLE GLOBO AÇOS'!J106="","",'CONTROLE GLOBO AÇOS'!J106)</f>
        <v/>
      </c>
      <c r="AT104" s="223">
        <f>IF(#REF!="","",#REF!)</f>
        <v/>
      </c>
      <c r="AU104" s="223">
        <f>IF('CONTROLE GLOBO AÇOS'!K106="","",'CONTROLE GLOBO AÇOS'!K106)</f>
        <v/>
      </c>
      <c r="AV104" s="223">
        <f>IF(AND('CONTROLE EJ'!K106="",'CONTROLE CMM'!#REF!=""),"",N('CONTROLE EJ'!K106)+N('CONTROLE CMM'!#REF!))</f>
        <v/>
      </c>
      <c r="AW104" s="223">
        <f>IF('CONTROLE GLOBO AÇOS'!L106="","",'CONTROLE GLOBO AÇOS'!L106)</f>
        <v/>
      </c>
      <c r="AX104" s="223">
        <f>IF(AND('CONTROLE EJ'!L106="",'CONTROLE CMM'!#REF!=""),"",N('CONTROLE EJ'!L106)+N('CONTROLE CMM'!#REF!))</f>
        <v/>
      </c>
      <c r="AY104" s="223">
        <f>IF('CONTROLE GLOBO AÇOS'!M106="","",'CONTROLE GLOBO AÇOS'!M106)</f>
        <v/>
      </c>
      <c r="AZ104" s="223">
        <f>IF('CONTROLE GLOBO AÇOS'!N106="","",'CONTROLE GLOBO AÇOS'!N106)</f>
        <v/>
      </c>
      <c r="BA104" s="223">
        <f>IF(AND('CONTROLE EJ'!M106="",'CONTROLE CMM'!#REF!=""),"",N('CONTROLE EJ'!M106)+N('CONTROLE CMM'!#REF!))</f>
        <v/>
      </c>
      <c r="BB104" s="223">
        <f>IF(#REF!="","",#REF!)</f>
        <v/>
      </c>
      <c r="BC104" s="223">
        <f>IF('CONTROLE GLOBO AÇOS'!O106="","",'CONTROLE GLOBO AÇOS'!O106)</f>
        <v/>
      </c>
      <c r="BD104" s="223">
        <f>IF(AND('CONTROLE EJ'!N106="",'CONTROLE CMM'!#REF!=""),"",N('CONTROLE EJ'!N106)+N('CONTROLE CMM'!#REF!))</f>
        <v/>
      </c>
      <c r="BE104" s="223">
        <f>IF('CONTROLE GLOBO AÇOS'!P106="","",'CONTROLE GLOBO AÇOS'!P106)</f>
        <v/>
      </c>
      <c r="BF104" s="223">
        <f>IF('CONTROLE GLOBO AÇOS'!Q106="","",'CONTROLE GLOBO AÇOS'!Q106)</f>
        <v/>
      </c>
      <c r="BG104" s="223">
        <f>IF('CONTROLE GLOBO AÇOS'!R106="","",'CONTROLE GLOBO AÇOS'!R106)</f>
        <v/>
      </c>
      <c r="BH104" s="223">
        <f>IF(AND('CONTROLE EJ'!O106="",'CONTROLE CMM'!#REF!=""),"",N('CONTROLE EJ'!O106)+N('CONTROLE CMM'!#REF!))</f>
        <v/>
      </c>
      <c r="BI104" s="223">
        <f>IF('CONTROLE GLOBO AÇOS'!S106="","",'CONTROLE GLOBO AÇOS'!S106)</f>
        <v/>
      </c>
      <c r="BJ104" s="223">
        <f>IF('CONTROLE GLOBO AÇOS'!T106="","",'CONTROLE GLOBO AÇOS'!T106)</f>
        <v/>
      </c>
      <c r="BK104" s="223">
        <f>IF('CONTROLE GLOBO AÇOS'!U106="","",'CONTROLE GLOBO AÇOS'!U106)</f>
        <v/>
      </c>
      <c r="BL104" s="223">
        <f>IF(AND('CONTROLE EJ'!P106="",'CONTROLE CMM'!#REF!=""),"",N('CONTROLE EJ'!P106)+N('CONTROLE CMM'!#REF!))</f>
        <v/>
      </c>
      <c r="BM104" s="223">
        <f>IF(AND('CONTROLE EJ'!Q106="",'CONTROLE CMM'!#REF!=""),"",N('CONTROLE EJ'!Q106)+N('CONTROLE CMM'!#REF!))</f>
        <v/>
      </c>
      <c r="BN104" s="223">
        <f>IF('CONTROLE GLOBO AÇOS'!V106="","",'CONTROLE GLOBO AÇOS'!V106)</f>
        <v/>
      </c>
      <c r="BO104" s="223">
        <f>IF('CONTROLE GLOBO AÇOS'!W106="","",'CONTROLE GLOBO AÇOS'!W106)</f>
        <v/>
      </c>
      <c r="BP104" s="223">
        <f>IF(AND('CONTROLE EJ'!R106="",'CONTROLE CMM'!#REF!=""),"",N('CONTROLE EJ'!R106)+N('CONTROLE CMM'!#REF!))</f>
        <v/>
      </c>
      <c r="BQ104" s="223">
        <f>IF(#REF!="","",#REF!)</f>
        <v/>
      </c>
      <c r="BR104" s="223">
        <f>IF(AND('CONTROLE EJ'!S106="",'CONTROLE CMM'!#REF!=""),"",N('CONTROLE EJ'!S106)+N('CONTROLE CMM'!#REF!))</f>
        <v/>
      </c>
      <c r="BS104" s="223">
        <f>IF(AND('CONTROLE EJ'!T106="",'CONTROLE CMM'!#REF!=""),"",N('CONTROLE EJ'!T106)+N('CONTROLE CMM'!#REF!))</f>
        <v/>
      </c>
      <c r="BT104" s="223">
        <f>IF('CONTROLE GLOBO AÇOS'!X106="","",'CONTROLE GLOBO AÇOS'!X106)</f>
        <v/>
      </c>
      <c r="BU104" s="223">
        <f>IF('CONTROLE GLOBO AÇOS'!Y106="","",'CONTROLE GLOBO AÇOS'!Y106)</f>
        <v/>
      </c>
      <c r="BV104" s="223">
        <f>IF(AND('CONTROLE EJ'!U106="",'CONTROLE CMM'!#REF!=""),"",N('CONTROLE EJ'!U106)+N('CONTROLE CMM'!#REF!))</f>
        <v/>
      </c>
      <c r="BW104" s="223">
        <f>IF(#REF!="","",#REF!)</f>
        <v/>
      </c>
    </row>
    <row r="105">
      <c r="A105" s="282" t="n">
        <v>46322</v>
      </c>
      <c r="B105" s="223">
        <f>IF('CONTROLE EJ'!B107="","",'CONTROLE EJ'!B107)</f>
        <v/>
      </c>
      <c r="C105" s="42">
        <f>IF('CONTROLE EJ'!C107="","",'CONTROLE EJ'!C107)</f>
        <v/>
      </c>
      <c r="D105" s="42">
        <f>IF('CONTROLE EJ'!D107="","",'CONTROLE EJ'!D107)</f>
        <v/>
      </c>
      <c r="E105" s="70">
        <f>IF('CONTROLE CMM'!B107="","",'CONTROLE CMM'!B107)</f>
        <v/>
      </c>
      <c r="F105" s="223">
        <f>IF('CONTROLE CMM'!C107="","",'CONTROLE CMM'!C107)</f>
        <v/>
      </c>
      <c r="G105" s="42">
        <f>IF('CONTROLE CMM'!D107="","",'CONTROLE CMM'!D107)</f>
        <v/>
      </c>
      <c r="H105" s="44">
        <f>IF('CONTROLE GLOBO AÇOS'!B107="","",'CONTROLE GLOBO AÇOS'!B107)</f>
        <v/>
      </c>
      <c r="I105" s="223">
        <f>IF('CONTROLE GLOBO AÇOS'!C107="","",'CONTROLE GLOBO AÇOS'!C107)</f>
        <v/>
      </c>
      <c r="J105" s="223">
        <f>IF('CONTROLE GLOBO AÇOS'!D107="","",'CONTROLE GLOBO AÇOS'!D107)</f>
        <v/>
      </c>
      <c r="AD105" s="39">
        <f>IF($A105="",0,IF(AND(WEEKDAY($A105,2)&lt;=5,OR($B105&lt;&gt;"",$C105&lt;&gt;"",$D105&lt;&gt;"")),1,0))</f>
        <v/>
      </c>
      <c r="AE105" s="39">
        <f>IF($A105="",0,IF(AND(WEEKDAY($A105,2)&lt;=5,OR($E105&lt;&gt;"",$F105&lt;&gt;"",$G105&lt;&gt;"")),1,0))</f>
        <v/>
      </c>
      <c r="AF105" s="39">
        <f>MAX(AD105,AE105)</f>
        <v/>
      </c>
      <c r="AH105" s="223">
        <f>IF('CONTROLE GLOBO AÇOS'!E107="","",'CONTROLE GLOBO AÇOS'!E107)</f>
        <v/>
      </c>
      <c r="AI105" s="223">
        <f>IF('CONTROLE GLOBO AÇOS'!F107="","",'CONTROLE GLOBO AÇOS'!F107)</f>
        <v/>
      </c>
      <c r="AJ105" s="223">
        <f>IF(AND('CONTROLE EJ'!E107="",'CONTROLE CMM'!E107=""),"",N('CONTROLE EJ'!E107)+N('CONTROLE CMM'!E107))</f>
        <v/>
      </c>
      <c r="AK105" s="223">
        <f>IF(AND('CONTROLE EJ'!F107="",'CONTROLE CMM'!F107=""),"",N('CONTROLE EJ'!F107)+N('CONTROLE CMM'!F107))</f>
        <v/>
      </c>
      <c r="AL105" s="223">
        <f>IF(AND('CONTROLE EJ'!G107="",'CONTROLE CMM'!G107=""),"",N('CONTROLE EJ'!G107)+N('CONTROLE CMM'!G107))</f>
        <v/>
      </c>
      <c r="AM105" s="223">
        <f>IF(AND('CONTROLE EJ'!H107="",'CONTROLE CMM'!H107=""),"",N('CONTROLE EJ'!H107)+N('CONTROLE CMM'!H107))</f>
        <v/>
      </c>
      <c r="AN105" s="223">
        <f>IF('CONTROLE GLOBO AÇOS'!G107="","",'CONTROLE GLOBO AÇOS'!G107)</f>
        <v/>
      </c>
      <c r="AO105" s="223">
        <f>IF('CONTROLE GLOBO AÇOS'!H107="","",'CONTROLE GLOBO AÇOS'!H107)</f>
        <v/>
      </c>
      <c r="AP105" s="223">
        <f>IF(AND('CONTROLE EJ'!I107="",'CONTROLE CMM'!I107=""),"",N('CONTROLE EJ'!I107)+N('CONTROLE CMM'!I107))</f>
        <v/>
      </c>
      <c r="AQ105" s="223">
        <f>IF(AND('CONTROLE EJ'!J107="",'CONTROLE CMM'!#REF!=""),"",N('CONTROLE EJ'!J107)+N('CONTROLE CMM'!#REF!))</f>
        <v/>
      </c>
      <c r="AR105" s="223">
        <f>IF('CONTROLE GLOBO AÇOS'!I107="","",'CONTROLE GLOBO AÇOS'!I107)</f>
        <v/>
      </c>
      <c r="AS105" s="223">
        <f>IF('CONTROLE GLOBO AÇOS'!J107="","",'CONTROLE GLOBO AÇOS'!J107)</f>
        <v/>
      </c>
      <c r="AT105" s="223">
        <f>IF(#REF!="","",#REF!)</f>
        <v/>
      </c>
      <c r="AU105" s="223">
        <f>IF('CONTROLE GLOBO AÇOS'!K107="","",'CONTROLE GLOBO AÇOS'!K107)</f>
        <v/>
      </c>
      <c r="AV105" s="223">
        <f>IF(AND('CONTROLE EJ'!K107="",'CONTROLE CMM'!#REF!=""),"",N('CONTROLE EJ'!K107)+N('CONTROLE CMM'!#REF!))</f>
        <v/>
      </c>
      <c r="AW105" s="223">
        <f>IF('CONTROLE GLOBO AÇOS'!L107="","",'CONTROLE GLOBO AÇOS'!L107)</f>
        <v/>
      </c>
      <c r="AX105" s="223">
        <f>IF(AND('CONTROLE EJ'!L107="",'CONTROLE CMM'!#REF!=""),"",N('CONTROLE EJ'!L107)+N('CONTROLE CMM'!#REF!))</f>
        <v/>
      </c>
      <c r="AY105" s="223">
        <f>IF('CONTROLE GLOBO AÇOS'!M107="","",'CONTROLE GLOBO AÇOS'!M107)</f>
        <v/>
      </c>
      <c r="AZ105" s="223">
        <f>IF('CONTROLE GLOBO AÇOS'!N107="","",'CONTROLE GLOBO AÇOS'!N107)</f>
        <v/>
      </c>
      <c r="BA105" s="223">
        <f>IF(AND('CONTROLE EJ'!M107="",'CONTROLE CMM'!#REF!=""),"",N('CONTROLE EJ'!M107)+N('CONTROLE CMM'!#REF!))</f>
        <v/>
      </c>
      <c r="BB105" s="223">
        <f>IF(#REF!="","",#REF!)</f>
        <v/>
      </c>
      <c r="BC105" s="223">
        <f>IF('CONTROLE GLOBO AÇOS'!O107="","",'CONTROLE GLOBO AÇOS'!O107)</f>
        <v/>
      </c>
      <c r="BD105" s="223">
        <f>IF(AND('CONTROLE EJ'!N107="",'CONTROLE CMM'!#REF!=""),"",N('CONTROLE EJ'!N107)+N('CONTROLE CMM'!#REF!))</f>
        <v/>
      </c>
      <c r="BE105" s="223">
        <f>IF('CONTROLE GLOBO AÇOS'!P107="","",'CONTROLE GLOBO AÇOS'!P107)</f>
        <v/>
      </c>
      <c r="BF105" s="223">
        <f>IF('CONTROLE GLOBO AÇOS'!Q107="","",'CONTROLE GLOBO AÇOS'!Q107)</f>
        <v/>
      </c>
      <c r="BG105" s="223">
        <f>IF('CONTROLE GLOBO AÇOS'!R107="","",'CONTROLE GLOBO AÇOS'!R107)</f>
        <v/>
      </c>
      <c r="BH105" s="223">
        <f>IF(AND('CONTROLE EJ'!O107="",'CONTROLE CMM'!#REF!=""),"",N('CONTROLE EJ'!O107)+N('CONTROLE CMM'!#REF!))</f>
        <v/>
      </c>
      <c r="BI105" s="223">
        <f>IF('CONTROLE GLOBO AÇOS'!S107="","",'CONTROLE GLOBO AÇOS'!S107)</f>
        <v/>
      </c>
      <c r="BJ105" s="223">
        <f>IF('CONTROLE GLOBO AÇOS'!T107="","",'CONTROLE GLOBO AÇOS'!T107)</f>
        <v/>
      </c>
      <c r="BK105" s="223">
        <f>IF('CONTROLE GLOBO AÇOS'!U107="","",'CONTROLE GLOBO AÇOS'!U107)</f>
        <v/>
      </c>
      <c r="BL105" s="223">
        <f>IF(AND('CONTROLE EJ'!P107="",'CONTROLE CMM'!#REF!=""),"",N('CONTROLE EJ'!P107)+N('CONTROLE CMM'!#REF!))</f>
        <v/>
      </c>
      <c r="BM105" s="223">
        <f>IF(AND('CONTROLE EJ'!Q107="",'CONTROLE CMM'!#REF!=""),"",N('CONTROLE EJ'!Q107)+N('CONTROLE CMM'!#REF!))</f>
        <v/>
      </c>
      <c r="BN105" s="223">
        <f>IF('CONTROLE GLOBO AÇOS'!V107="","",'CONTROLE GLOBO AÇOS'!V107)</f>
        <v/>
      </c>
      <c r="BO105" s="223">
        <f>IF('CONTROLE GLOBO AÇOS'!W107="","",'CONTROLE GLOBO AÇOS'!W107)</f>
        <v/>
      </c>
      <c r="BP105" s="223">
        <f>IF(AND('CONTROLE EJ'!R107="",'CONTROLE CMM'!#REF!=""),"",N('CONTROLE EJ'!R107)+N('CONTROLE CMM'!#REF!))</f>
        <v/>
      </c>
      <c r="BQ105" s="223">
        <f>IF(#REF!="","",#REF!)</f>
        <v/>
      </c>
      <c r="BR105" s="223">
        <f>IF(AND('CONTROLE EJ'!S107="",'CONTROLE CMM'!#REF!=""),"",N('CONTROLE EJ'!S107)+N('CONTROLE CMM'!#REF!))</f>
        <v/>
      </c>
      <c r="BS105" s="223">
        <f>IF(AND('CONTROLE EJ'!T107="",'CONTROLE CMM'!#REF!=""),"",N('CONTROLE EJ'!T107)+N('CONTROLE CMM'!#REF!))</f>
        <v/>
      </c>
      <c r="BT105" s="223">
        <f>IF('CONTROLE GLOBO AÇOS'!X107="","",'CONTROLE GLOBO AÇOS'!X107)</f>
        <v/>
      </c>
      <c r="BU105" s="223">
        <f>IF('CONTROLE GLOBO AÇOS'!Y107="","",'CONTROLE GLOBO AÇOS'!Y107)</f>
        <v/>
      </c>
      <c r="BV105" s="223">
        <f>IF(AND('CONTROLE EJ'!U107="",'CONTROLE CMM'!#REF!=""),"",N('CONTROLE EJ'!U107)+N('CONTROLE CMM'!#REF!))</f>
        <v/>
      </c>
      <c r="BW105" s="223">
        <f>IF(#REF!="","",#REF!)</f>
        <v/>
      </c>
    </row>
    <row r="106">
      <c r="A106" s="282" t="n">
        <v>46323</v>
      </c>
      <c r="B106" s="223">
        <f>IF('CONTROLE EJ'!B108="","",'CONTROLE EJ'!B108)</f>
        <v/>
      </c>
      <c r="C106" s="26">
        <f>IF('CONTROLE EJ'!C108="","",'CONTROLE EJ'!C108)</f>
        <v/>
      </c>
      <c r="D106" s="42">
        <f>IF('CONTROLE EJ'!D108="","",'CONTROLE EJ'!D108)</f>
        <v/>
      </c>
      <c r="E106" s="70">
        <f>IF('CONTROLE CMM'!B108="","",'CONTROLE CMM'!B108)</f>
        <v/>
      </c>
      <c r="F106" s="18">
        <f>IF('CONTROLE CMM'!C108="","",'CONTROLE CMM'!C108)</f>
        <v/>
      </c>
      <c r="G106" s="26">
        <f>IF('CONTROLE CMM'!D108="","",'CONTROLE CMM'!D108)</f>
        <v/>
      </c>
      <c r="H106" s="43">
        <f>IF('CONTROLE GLOBO AÇOS'!B108="","",'CONTROLE GLOBO AÇOS'!B108)</f>
        <v/>
      </c>
      <c r="I106" s="18">
        <f>IF('CONTROLE GLOBO AÇOS'!C108="","",'CONTROLE GLOBO AÇOS'!C108)</f>
        <v/>
      </c>
      <c r="J106" s="18">
        <f>IF('CONTROLE GLOBO AÇOS'!D108="","",'CONTROLE GLOBO AÇOS'!D108)</f>
        <v/>
      </c>
      <c r="AD106" s="39">
        <f>IF($A106="",0,IF(AND(WEEKDAY($A106,2)&lt;=5,OR($B106&lt;&gt;"",$C106&lt;&gt;"",$D106&lt;&gt;"")),1,0))</f>
        <v/>
      </c>
      <c r="AE106" s="39">
        <f>IF($A106="",0,IF(AND(WEEKDAY($A106,2)&lt;=5,OR($E106&lt;&gt;"",$F106&lt;&gt;"",$G106&lt;&gt;"")),1,0))</f>
        <v/>
      </c>
      <c r="AF106" s="39">
        <f>MAX(AD106,AE106)</f>
        <v/>
      </c>
      <c r="AH106" s="223">
        <f>IF('CONTROLE GLOBO AÇOS'!E108="","",'CONTROLE GLOBO AÇOS'!E108)</f>
        <v/>
      </c>
      <c r="AI106" s="223">
        <f>IF('CONTROLE GLOBO AÇOS'!F108="","",'CONTROLE GLOBO AÇOS'!F108)</f>
        <v/>
      </c>
      <c r="AJ106" s="223">
        <f>IF(AND('CONTROLE EJ'!E108="",'CONTROLE CMM'!E108=""),"",N('CONTROLE EJ'!E108)+N('CONTROLE CMM'!E108))</f>
        <v/>
      </c>
      <c r="AK106" s="223">
        <f>IF(AND('CONTROLE EJ'!F108="",'CONTROLE CMM'!F108=""),"",N('CONTROLE EJ'!F108)+N('CONTROLE CMM'!F108))</f>
        <v/>
      </c>
      <c r="AL106" s="223">
        <f>IF(AND('CONTROLE EJ'!G108="",'CONTROLE CMM'!G108=""),"",N('CONTROLE EJ'!G108)+N('CONTROLE CMM'!G108))</f>
        <v/>
      </c>
      <c r="AM106" s="223">
        <f>IF(AND('CONTROLE EJ'!H108="",'CONTROLE CMM'!H108=""),"",N('CONTROLE EJ'!H108)+N('CONTROLE CMM'!H108))</f>
        <v/>
      </c>
      <c r="AN106" s="223">
        <f>IF('CONTROLE GLOBO AÇOS'!G108="","",'CONTROLE GLOBO AÇOS'!G108)</f>
        <v/>
      </c>
      <c r="AO106" s="223">
        <f>IF('CONTROLE GLOBO AÇOS'!H108="","",'CONTROLE GLOBO AÇOS'!H108)</f>
        <v/>
      </c>
      <c r="AP106" s="223">
        <f>IF(AND('CONTROLE EJ'!I108="",'CONTROLE CMM'!I108=""),"",N('CONTROLE EJ'!I108)+N('CONTROLE CMM'!I108))</f>
        <v/>
      </c>
      <c r="AQ106" s="223">
        <f>IF(AND('CONTROLE EJ'!J108="",'CONTROLE CMM'!#REF!=""),"",N('CONTROLE EJ'!J108)+N('CONTROLE CMM'!#REF!))</f>
        <v/>
      </c>
      <c r="AR106" s="223">
        <f>IF('CONTROLE GLOBO AÇOS'!I108="","",'CONTROLE GLOBO AÇOS'!I108)</f>
        <v/>
      </c>
      <c r="AS106" s="223">
        <f>IF('CONTROLE GLOBO AÇOS'!J108="","",'CONTROLE GLOBO AÇOS'!J108)</f>
        <v/>
      </c>
      <c r="AT106" s="223">
        <f>IF(#REF!="","",#REF!)</f>
        <v/>
      </c>
      <c r="AU106" s="223">
        <f>IF('CONTROLE GLOBO AÇOS'!K108="","",'CONTROLE GLOBO AÇOS'!K108)</f>
        <v/>
      </c>
      <c r="AV106" s="223">
        <f>IF(AND('CONTROLE EJ'!K108="",'CONTROLE CMM'!#REF!=""),"",N('CONTROLE EJ'!K108)+N('CONTROLE CMM'!#REF!))</f>
        <v/>
      </c>
      <c r="AW106" s="223">
        <f>IF('CONTROLE GLOBO AÇOS'!L108="","",'CONTROLE GLOBO AÇOS'!L108)</f>
        <v/>
      </c>
      <c r="AX106" s="223">
        <f>IF(AND('CONTROLE EJ'!L108="",'CONTROLE CMM'!#REF!=""),"",N('CONTROLE EJ'!L108)+N('CONTROLE CMM'!#REF!))</f>
        <v/>
      </c>
      <c r="AY106" s="223">
        <f>IF('CONTROLE GLOBO AÇOS'!M108="","",'CONTROLE GLOBO AÇOS'!M108)</f>
        <v/>
      </c>
      <c r="AZ106" s="223">
        <f>IF('CONTROLE GLOBO AÇOS'!N108="","",'CONTROLE GLOBO AÇOS'!N108)</f>
        <v/>
      </c>
      <c r="BA106" s="223">
        <f>IF(AND('CONTROLE EJ'!M108="",'CONTROLE CMM'!#REF!=""),"",N('CONTROLE EJ'!M108)+N('CONTROLE CMM'!#REF!))</f>
        <v/>
      </c>
      <c r="BB106" s="223">
        <f>IF(#REF!="","",#REF!)</f>
        <v/>
      </c>
      <c r="BC106" s="223">
        <f>IF('CONTROLE GLOBO AÇOS'!O108="","",'CONTROLE GLOBO AÇOS'!O108)</f>
        <v/>
      </c>
      <c r="BD106" s="223">
        <f>IF(AND('CONTROLE EJ'!N108="",'CONTROLE CMM'!#REF!=""),"",N('CONTROLE EJ'!N108)+N('CONTROLE CMM'!#REF!))</f>
        <v/>
      </c>
      <c r="BE106" s="223">
        <f>IF('CONTROLE GLOBO AÇOS'!P108="","",'CONTROLE GLOBO AÇOS'!P108)</f>
        <v/>
      </c>
      <c r="BF106" s="223">
        <f>IF('CONTROLE GLOBO AÇOS'!Q108="","",'CONTROLE GLOBO AÇOS'!Q108)</f>
        <v/>
      </c>
      <c r="BG106" s="223">
        <f>IF('CONTROLE GLOBO AÇOS'!R108="","",'CONTROLE GLOBO AÇOS'!R108)</f>
        <v/>
      </c>
      <c r="BH106" s="223">
        <f>IF(AND('CONTROLE EJ'!O108="",'CONTROLE CMM'!#REF!=""),"",N('CONTROLE EJ'!O108)+N('CONTROLE CMM'!#REF!))</f>
        <v/>
      </c>
      <c r="BI106" s="223">
        <f>IF('CONTROLE GLOBO AÇOS'!S108="","",'CONTROLE GLOBO AÇOS'!S108)</f>
        <v/>
      </c>
      <c r="BJ106" s="223">
        <f>IF('CONTROLE GLOBO AÇOS'!T108="","",'CONTROLE GLOBO AÇOS'!T108)</f>
        <v/>
      </c>
      <c r="BK106" s="223">
        <f>IF('CONTROLE GLOBO AÇOS'!U108="","",'CONTROLE GLOBO AÇOS'!U108)</f>
        <v/>
      </c>
      <c r="BL106" s="223">
        <f>IF(AND('CONTROLE EJ'!P108="",'CONTROLE CMM'!#REF!=""),"",N('CONTROLE EJ'!P108)+N('CONTROLE CMM'!#REF!))</f>
        <v/>
      </c>
      <c r="BM106" s="223">
        <f>IF(AND('CONTROLE EJ'!Q108="",'CONTROLE CMM'!#REF!=""),"",N('CONTROLE EJ'!Q108)+N('CONTROLE CMM'!#REF!))</f>
        <v/>
      </c>
      <c r="BN106" s="223">
        <f>IF('CONTROLE GLOBO AÇOS'!V108="","",'CONTROLE GLOBO AÇOS'!V108)</f>
        <v/>
      </c>
      <c r="BO106" s="223">
        <f>IF('CONTROLE GLOBO AÇOS'!W108="","",'CONTROLE GLOBO AÇOS'!W108)</f>
        <v/>
      </c>
      <c r="BP106" s="223">
        <f>IF(AND('CONTROLE EJ'!R108="",'CONTROLE CMM'!#REF!=""),"",N('CONTROLE EJ'!R108)+N('CONTROLE CMM'!#REF!))</f>
        <v/>
      </c>
      <c r="BQ106" s="223">
        <f>IF(#REF!="","",#REF!)</f>
        <v/>
      </c>
      <c r="BR106" s="223">
        <f>IF(AND('CONTROLE EJ'!S108="",'CONTROLE CMM'!#REF!=""),"",N('CONTROLE EJ'!S108)+N('CONTROLE CMM'!#REF!))</f>
        <v/>
      </c>
      <c r="BS106" s="223">
        <f>IF(AND('CONTROLE EJ'!T108="",'CONTROLE CMM'!#REF!=""),"",N('CONTROLE EJ'!T108)+N('CONTROLE CMM'!#REF!))</f>
        <v/>
      </c>
      <c r="BT106" s="223">
        <f>IF('CONTROLE GLOBO AÇOS'!X108="","",'CONTROLE GLOBO AÇOS'!X108)</f>
        <v/>
      </c>
      <c r="BU106" s="223">
        <f>IF('CONTROLE GLOBO AÇOS'!Y108="","",'CONTROLE GLOBO AÇOS'!Y108)</f>
        <v/>
      </c>
      <c r="BV106" s="223">
        <f>IF(AND('CONTROLE EJ'!U108="",'CONTROLE CMM'!#REF!=""),"",N('CONTROLE EJ'!U108)+N('CONTROLE CMM'!#REF!))</f>
        <v/>
      </c>
      <c r="BW106" s="223">
        <f>IF(#REF!="","",#REF!)</f>
        <v/>
      </c>
    </row>
    <row r="107">
      <c r="A107" s="282" t="n">
        <v>46324</v>
      </c>
      <c r="B107" s="43">
        <f>IF('CONTROLE EJ'!B109="","",'CONTROLE EJ'!B109)</f>
        <v/>
      </c>
      <c r="C107" s="26">
        <f>IF('CONTROLE EJ'!C109="","",'CONTROLE EJ'!C109)</f>
        <v/>
      </c>
      <c r="D107" s="42">
        <f>IF('CONTROLE EJ'!D109="","",'CONTROLE EJ'!D109)</f>
        <v/>
      </c>
      <c r="E107" s="71">
        <f>IF('CONTROLE CMM'!B109="","",'CONTROLE CMM'!B109)</f>
        <v/>
      </c>
      <c r="F107" s="18">
        <f>IF('CONTROLE CMM'!C109="","",'CONTROLE CMM'!C109)</f>
        <v/>
      </c>
      <c r="G107" s="26">
        <f>IF('CONTROLE CMM'!D109="","",'CONTROLE CMM'!D109)</f>
        <v/>
      </c>
      <c r="H107" s="43">
        <f>IF('CONTROLE GLOBO AÇOS'!B109="","",'CONTROLE GLOBO AÇOS'!B109)</f>
        <v/>
      </c>
      <c r="I107" s="18">
        <f>IF('CONTROLE GLOBO AÇOS'!C109="","",'CONTROLE GLOBO AÇOS'!C109)</f>
        <v/>
      </c>
      <c r="J107" s="18">
        <f>IF('CONTROLE GLOBO AÇOS'!D109="","",'CONTROLE GLOBO AÇOS'!D109)</f>
        <v/>
      </c>
      <c r="AD107" s="39">
        <f>IF($A107="",0,IF(AND(WEEKDAY($A107,2)&lt;=5,OR($B107&lt;&gt;"",$C107&lt;&gt;"",$D107&lt;&gt;"")),1,0))</f>
        <v/>
      </c>
      <c r="AE107" s="39">
        <f>IF($A107="",0,IF(AND(WEEKDAY($A107,2)&lt;=5,OR($E107&lt;&gt;"",$F107&lt;&gt;"",$G107&lt;&gt;"")),1,0))</f>
        <v/>
      </c>
      <c r="AF107" s="39">
        <f>MAX(AD107,AE107)</f>
        <v/>
      </c>
      <c r="AH107" s="223">
        <f>IF('CONTROLE GLOBO AÇOS'!E109="","",'CONTROLE GLOBO AÇOS'!E109)</f>
        <v/>
      </c>
      <c r="AI107" s="223">
        <f>IF('CONTROLE GLOBO AÇOS'!F109="","",'CONTROLE GLOBO AÇOS'!F109)</f>
        <v/>
      </c>
      <c r="AJ107" s="223">
        <f>IF(AND('CONTROLE EJ'!E109="",'CONTROLE CMM'!E109=""),"",N('CONTROLE EJ'!E109)+N('CONTROLE CMM'!E109))</f>
        <v/>
      </c>
      <c r="AK107" s="223">
        <f>IF(AND('CONTROLE EJ'!F109="",'CONTROLE CMM'!F109=""),"",N('CONTROLE EJ'!F109)+N('CONTROLE CMM'!F109))</f>
        <v/>
      </c>
      <c r="AL107" s="223">
        <f>IF(AND('CONTROLE EJ'!G109="",'CONTROLE CMM'!G109=""),"",N('CONTROLE EJ'!G109)+N('CONTROLE CMM'!G109))</f>
        <v/>
      </c>
      <c r="AM107" s="223">
        <f>IF(AND('CONTROLE EJ'!H109="",'CONTROLE CMM'!H109=""),"",N('CONTROLE EJ'!H109)+N('CONTROLE CMM'!H109))</f>
        <v/>
      </c>
      <c r="AN107" s="223">
        <f>IF('CONTROLE GLOBO AÇOS'!G109="","",'CONTROLE GLOBO AÇOS'!G109)</f>
        <v/>
      </c>
      <c r="AO107" s="223">
        <f>IF('CONTROLE GLOBO AÇOS'!H109="","",'CONTROLE GLOBO AÇOS'!H109)</f>
        <v/>
      </c>
      <c r="AP107" s="223">
        <f>IF(AND('CONTROLE EJ'!I109="",'CONTROLE CMM'!I109=""),"",N('CONTROLE EJ'!I109)+N('CONTROLE CMM'!I109))</f>
        <v/>
      </c>
      <c r="AQ107" s="223">
        <f>IF(AND('CONTROLE EJ'!J109="",'CONTROLE CMM'!#REF!=""),"",N('CONTROLE EJ'!J109)+N('CONTROLE CMM'!#REF!))</f>
        <v/>
      </c>
      <c r="AR107" s="223">
        <f>IF('CONTROLE GLOBO AÇOS'!I109="","",'CONTROLE GLOBO AÇOS'!I109)</f>
        <v/>
      </c>
      <c r="AS107" s="223">
        <f>IF('CONTROLE GLOBO AÇOS'!J109="","",'CONTROLE GLOBO AÇOS'!J109)</f>
        <v/>
      </c>
      <c r="AT107" s="223">
        <f>IF(#REF!="","",#REF!)</f>
        <v/>
      </c>
      <c r="AU107" s="223">
        <f>IF('CONTROLE GLOBO AÇOS'!K109="","",'CONTROLE GLOBO AÇOS'!K109)</f>
        <v/>
      </c>
      <c r="AV107" s="223">
        <f>IF(AND('CONTROLE EJ'!K109="",'CONTROLE CMM'!#REF!=""),"",N('CONTROLE EJ'!K109)+N('CONTROLE CMM'!#REF!))</f>
        <v/>
      </c>
      <c r="AW107" s="223">
        <f>IF('CONTROLE GLOBO AÇOS'!L109="","",'CONTROLE GLOBO AÇOS'!L109)</f>
        <v/>
      </c>
      <c r="AX107" s="223">
        <f>IF(AND('CONTROLE EJ'!L109="",'CONTROLE CMM'!#REF!=""),"",N('CONTROLE EJ'!L109)+N('CONTROLE CMM'!#REF!))</f>
        <v/>
      </c>
      <c r="AY107" s="223">
        <f>IF('CONTROLE GLOBO AÇOS'!M109="","",'CONTROLE GLOBO AÇOS'!M109)</f>
        <v/>
      </c>
      <c r="AZ107" s="223">
        <f>IF('CONTROLE GLOBO AÇOS'!N109="","",'CONTROLE GLOBO AÇOS'!N109)</f>
        <v/>
      </c>
      <c r="BA107" s="223">
        <f>IF(AND('CONTROLE EJ'!M109="",'CONTROLE CMM'!#REF!=""),"",N('CONTROLE EJ'!M109)+N('CONTROLE CMM'!#REF!))</f>
        <v/>
      </c>
      <c r="BB107" s="223">
        <f>IF(#REF!="","",#REF!)</f>
        <v/>
      </c>
      <c r="BC107" s="223">
        <f>IF('CONTROLE GLOBO AÇOS'!O109="","",'CONTROLE GLOBO AÇOS'!O109)</f>
        <v/>
      </c>
      <c r="BD107" s="223">
        <f>IF(AND('CONTROLE EJ'!N109="",'CONTROLE CMM'!#REF!=""),"",N('CONTROLE EJ'!N109)+N('CONTROLE CMM'!#REF!))</f>
        <v/>
      </c>
      <c r="BE107" s="223">
        <f>IF('CONTROLE GLOBO AÇOS'!P109="","",'CONTROLE GLOBO AÇOS'!P109)</f>
        <v/>
      </c>
      <c r="BF107" s="223">
        <f>IF('CONTROLE GLOBO AÇOS'!Q109="","",'CONTROLE GLOBO AÇOS'!Q109)</f>
        <v/>
      </c>
      <c r="BG107" s="223">
        <f>IF('CONTROLE GLOBO AÇOS'!R109="","",'CONTROLE GLOBO AÇOS'!R109)</f>
        <v/>
      </c>
      <c r="BH107" s="223">
        <f>IF(AND('CONTROLE EJ'!O109="",'CONTROLE CMM'!#REF!=""),"",N('CONTROLE EJ'!O109)+N('CONTROLE CMM'!#REF!))</f>
        <v/>
      </c>
      <c r="BI107" s="223">
        <f>IF('CONTROLE GLOBO AÇOS'!S109="","",'CONTROLE GLOBO AÇOS'!S109)</f>
        <v/>
      </c>
      <c r="BJ107" s="223">
        <f>IF('CONTROLE GLOBO AÇOS'!T109="","",'CONTROLE GLOBO AÇOS'!T109)</f>
        <v/>
      </c>
      <c r="BK107" s="223">
        <f>IF('CONTROLE GLOBO AÇOS'!U109="","",'CONTROLE GLOBO AÇOS'!U109)</f>
        <v/>
      </c>
      <c r="BL107" s="223">
        <f>IF(AND('CONTROLE EJ'!P109="",'CONTROLE CMM'!#REF!=""),"",N('CONTROLE EJ'!P109)+N('CONTROLE CMM'!#REF!))</f>
        <v/>
      </c>
      <c r="BM107" s="223">
        <f>IF(AND('CONTROLE EJ'!Q109="",'CONTROLE CMM'!#REF!=""),"",N('CONTROLE EJ'!Q109)+N('CONTROLE CMM'!#REF!))</f>
        <v/>
      </c>
      <c r="BN107" s="223">
        <f>IF('CONTROLE GLOBO AÇOS'!V109="","",'CONTROLE GLOBO AÇOS'!V109)</f>
        <v/>
      </c>
      <c r="BO107" s="223">
        <f>IF('CONTROLE GLOBO AÇOS'!W109="","",'CONTROLE GLOBO AÇOS'!W109)</f>
        <v/>
      </c>
      <c r="BP107" s="223">
        <f>IF(AND('CONTROLE EJ'!R109="",'CONTROLE CMM'!#REF!=""),"",N('CONTROLE EJ'!R109)+N('CONTROLE CMM'!#REF!))</f>
        <v/>
      </c>
      <c r="BQ107" s="223">
        <f>IF(#REF!="","",#REF!)</f>
        <v/>
      </c>
      <c r="BR107" s="223">
        <f>IF(AND('CONTROLE EJ'!S109="",'CONTROLE CMM'!#REF!=""),"",N('CONTROLE EJ'!S109)+N('CONTROLE CMM'!#REF!))</f>
        <v/>
      </c>
      <c r="BS107" s="223">
        <f>IF(AND('CONTROLE EJ'!T109="",'CONTROLE CMM'!#REF!=""),"",N('CONTROLE EJ'!T109)+N('CONTROLE CMM'!#REF!))</f>
        <v/>
      </c>
      <c r="BT107" s="223">
        <f>IF('CONTROLE GLOBO AÇOS'!X109="","",'CONTROLE GLOBO AÇOS'!X109)</f>
        <v/>
      </c>
      <c r="BU107" s="223">
        <f>IF('CONTROLE GLOBO AÇOS'!Y109="","",'CONTROLE GLOBO AÇOS'!Y109)</f>
        <v/>
      </c>
      <c r="BV107" s="223">
        <f>IF(AND('CONTROLE EJ'!U109="",'CONTROLE CMM'!#REF!=""),"",N('CONTROLE EJ'!U109)+N('CONTROLE CMM'!#REF!))</f>
        <v/>
      </c>
      <c r="BW107" s="223">
        <f>IF(#REF!="","",#REF!)</f>
        <v/>
      </c>
    </row>
    <row r="108">
      <c r="A108" s="282" t="n">
        <v>46325</v>
      </c>
      <c r="B108" s="223">
        <f>IF('CONTROLE EJ'!B110="","",'CONTROLE EJ'!B110)</f>
        <v/>
      </c>
      <c r="C108" s="26">
        <f>IF('CONTROLE EJ'!C110="","",'CONTROLE EJ'!C110)</f>
        <v/>
      </c>
      <c r="D108" s="42">
        <f>IF('CONTROLE EJ'!D110="","",'CONTROLE EJ'!D110)</f>
        <v/>
      </c>
      <c r="E108" s="70">
        <f>IF('CONTROLE CMM'!B110="","",'CONTROLE CMM'!B110)</f>
        <v/>
      </c>
      <c r="F108" s="18">
        <f>IF('CONTROLE CMM'!C110="","",'CONTROLE CMM'!C110)</f>
        <v/>
      </c>
      <c r="G108" s="26">
        <f>IF('CONTROLE CMM'!D110="","",'CONTROLE CMM'!D110)</f>
        <v/>
      </c>
      <c r="H108" s="43">
        <f>IF('CONTROLE GLOBO AÇOS'!B110="","",'CONTROLE GLOBO AÇOS'!B110)</f>
        <v/>
      </c>
      <c r="I108" s="18">
        <f>IF('CONTROLE GLOBO AÇOS'!C110="","",'CONTROLE GLOBO AÇOS'!C110)</f>
        <v/>
      </c>
      <c r="J108" s="18">
        <f>IF('CONTROLE GLOBO AÇOS'!D110="","",'CONTROLE GLOBO AÇOS'!D110)</f>
        <v/>
      </c>
      <c r="AD108" s="39">
        <f>IF($A108="",0,IF(AND(WEEKDAY($A108,2)&lt;=5,OR($B108&lt;&gt;"",$C108&lt;&gt;"",$D108&lt;&gt;"")),1,0))</f>
        <v/>
      </c>
      <c r="AE108" s="39">
        <f>IF($A108="",0,IF(AND(WEEKDAY($A108,2)&lt;=5,OR($E108&lt;&gt;"",$F108&lt;&gt;"",$G108&lt;&gt;"")),1,0))</f>
        <v/>
      </c>
      <c r="AF108" s="39">
        <f>MAX(AD108,AE108)</f>
        <v/>
      </c>
      <c r="AH108" s="223">
        <f>IF('CONTROLE GLOBO AÇOS'!E110="","",'CONTROLE GLOBO AÇOS'!E110)</f>
        <v/>
      </c>
      <c r="AI108" s="223">
        <f>IF('CONTROLE GLOBO AÇOS'!F110="","",'CONTROLE GLOBO AÇOS'!F110)</f>
        <v/>
      </c>
      <c r="AJ108" s="223">
        <f>IF(AND('CONTROLE EJ'!E110="",'CONTROLE CMM'!E110=""),"",N('CONTROLE EJ'!E110)+N('CONTROLE CMM'!E110))</f>
        <v/>
      </c>
      <c r="AK108" s="223">
        <f>IF(AND('CONTROLE EJ'!F110="",'CONTROLE CMM'!F110=""),"",N('CONTROLE EJ'!F110)+N('CONTROLE CMM'!F110))</f>
        <v/>
      </c>
      <c r="AL108" s="223">
        <f>IF(AND('CONTROLE EJ'!G110="",'CONTROLE CMM'!G110=""),"",N('CONTROLE EJ'!G110)+N('CONTROLE CMM'!G110))</f>
        <v/>
      </c>
      <c r="AM108" s="223">
        <f>IF(AND('CONTROLE EJ'!H110="",'CONTROLE CMM'!H110=""),"",N('CONTROLE EJ'!H110)+N('CONTROLE CMM'!H110))</f>
        <v/>
      </c>
      <c r="AN108" s="223">
        <f>IF('CONTROLE GLOBO AÇOS'!G110="","",'CONTROLE GLOBO AÇOS'!G110)</f>
        <v/>
      </c>
      <c r="AO108" s="223">
        <f>IF('CONTROLE GLOBO AÇOS'!H110="","",'CONTROLE GLOBO AÇOS'!H110)</f>
        <v/>
      </c>
      <c r="AP108" s="223">
        <f>IF(AND('CONTROLE EJ'!I110="",'CONTROLE CMM'!I110=""),"",N('CONTROLE EJ'!I110)+N('CONTROLE CMM'!I110))</f>
        <v/>
      </c>
      <c r="AQ108" s="223">
        <f>IF(AND('CONTROLE EJ'!J110="",'CONTROLE CMM'!#REF!=""),"",N('CONTROLE EJ'!J110)+N('CONTROLE CMM'!#REF!))</f>
        <v/>
      </c>
      <c r="AR108" s="223">
        <f>IF('CONTROLE GLOBO AÇOS'!I110="","",'CONTROLE GLOBO AÇOS'!I110)</f>
        <v/>
      </c>
      <c r="AS108" s="223">
        <f>IF('CONTROLE GLOBO AÇOS'!J110="","",'CONTROLE GLOBO AÇOS'!J110)</f>
        <v/>
      </c>
      <c r="AT108" s="223">
        <f>IF(#REF!="","",#REF!)</f>
        <v/>
      </c>
      <c r="AU108" s="223">
        <f>IF('CONTROLE GLOBO AÇOS'!K110="","",'CONTROLE GLOBO AÇOS'!K110)</f>
        <v/>
      </c>
      <c r="AV108" s="223">
        <f>IF(AND('CONTROLE EJ'!K110="",'CONTROLE CMM'!#REF!=""),"",N('CONTROLE EJ'!K110)+N('CONTROLE CMM'!#REF!))</f>
        <v/>
      </c>
      <c r="AW108" s="223">
        <f>IF('CONTROLE GLOBO AÇOS'!L110="","",'CONTROLE GLOBO AÇOS'!L110)</f>
        <v/>
      </c>
      <c r="AX108" s="223">
        <f>IF(AND('CONTROLE EJ'!L110="",'CONTROLE CMM'!#REF!=""),"",N('CONTROLE EJ'!L110)+N('CONTROLE CMM'!#REF!))</f>
        <v/>
      </c>
      <c r="AY108" s="223">
        <f>IF('CONTROLE GLOBO AÇOS'!M110="","",'CONTROLE GLOBO AÇOS'!M110)</f>
        <v/>
      </c>
      <c r="AZ108" s="223">
        <f>IF('CONTROLE GLOBO AÇOS'!N110="","",'CONTROLE GLOBO AÇOS'!N110)</f>
        <v/>
      </c>
      <c r="BA108" s="223">
        <f>IF(AND('CONTROLE EJ'!M110="",'CONTROLE CMM'!#REF!=""),"",N('CONTROLE EJ'!M110)+N('CONTROLE CMM'!#REF!))</f>
        <v/>
      </c>
      <c r="BB108" s="223">
        <f>IF(#REF!="","",#REF!)</f>
        <v/>
      </c>
      <c r="BC108" s="223">
        <f>IF('CONTROLE GLOBO AÇOS'!O110="","",'CONTROLE GLOBO AÇOS'!O110)</f>
        <v/>
      </c>
      <c r="BD108" s="223">
        <f>IF(AND('CONTROLE EJ'!N110="",'CONTROLE CMM'!#REF!=""),"",N('CONTROLE EJ'!N110)+N('CONTROLE CMM'!#REF!))</f>
        <v/>
      </c>
      <c r="BE108" s="223">
        <f>IF('CONTROLE GLOBO AÇOS'!P110="","",'CONTROLE GLOBO AÇOS'!P110)</f>
        <v/>
      </c>
      <c r="BF108" s="223">
        <f>IF('CONTROLE GLOBO AÇOS'!Q110="","",'CONTROLE GLOBO AÇOS'!Q110)</f>
        <v/>
      </c>
      <c r="BG108" s="223">
        <f>IF('CONTROLE GLOBO AÇOS'!R110="","",'CONTROLE GLOBO AÇOS'!R110)</f>
        <v/>
      </c>
      <c r="BH108" s="223">
        <f>IF(AND('CONTROLE EJ'!O110="",'CONTROLE CMM'!#REF!=""),"",N('CONTROLE EJ'!O110)+N('CONTROLE CMM'!#REF!))</f>
        <v/>
      </c>
      <c r="BI108" s="223">
        <f>IF('CONTROLE GLOBO AÇOS'!S110="","",'CONTROLE GLOBO AÇOS'!S110)</f>
        <v/>
      </c>
      <c r="BJ108" s="223">
        <f>IF('CONTROLE GLOBO AÇOS'!T110="","",'CONTROLE GLOBO AÇOS'!T110)</f>
        <v/>
      </c>
      <c r="BK108" s="223">
        <f>IF('CONTROLE GLOBO AÇOS'!U110="","",'CONTROLE GLOBO AÇOS'!U110)</f>
        <v/>
      </c>
      <c r="BL108" s="223">
        <f>IF(AND('CONTROLE EJ'!P110="",'CONTROLE CMM'!#REF!=""),"",N('CONTROLE EJ'!P110)+N('CONTROLE CMM'!#REF!))</f>
        <v/>
      </c>
      <c r="BM108" s="223">
        <f>IF(AND('CONTROLE EJ'!Q110="",'CONTROLE CMM'!#REF!=""),"",N('CONTROLE EJ'!Q110)+N('CONTROLE CMM'!#REF!))</f>
        <v/>
      </c>
      <c r="BN108" s="223">
        <f>IF('CONTROLE GLOBO AÇOS'!V110="","",'CONTROLE GLOBO AÇOS'!V110)</f>
        <v/>
      </c>
      <c r="BO108" s="223">
        <f>IF('CONTROLE GLOBO AÇOS'!W110="","",'CONTROLE GLOBO AÇOS'!W110)</f>
        <v/>
      </c>
      <c r="BP108" s="223">
        <f>IF(AND('CONTROLE EJ'!R110="",'CONTROLE CMM'!#REF!=""),"",N('CONTROLE EJ'!R110)+N('CONTROLE CMM'!#REF!))</f>
        <v/>
      </c>
      <c r="BQ108" s="223">
        <f>IF(#REF!="","",#REF!)</f>
        <v/>
      </c>
      <c r="BR108" s="223">
        <f>IF(AND('CONTROLE EJ'!S110="",'CONTROLE CMM'!#REF!=""),"",N('CONTROLE EJ'!S110)+N('CONTROLE CMM'!#REF!))</f>
        <v/>
      </c>
      <c r="BS108" s="223">
        <f>IF(AND('CONTROLE EJ'!T110="",'CONTROLE CMM'!#REF!=""),"",N('CONTROLE EJ'!T110)+N('CONTROLE CMM'!#REF!))</f>
        <v/>
      </c>
      <c r="BT108" s="223">
        <f>IF('CONTROLE GLOBO AÇOS'!X110="","",'CONTROLE GLOBO AÇOS'!X110)</f>
        <v/>
      </c>
      <c r="BU108" s="223">
        <f>IF('CONTROLE GLOBO AÇOS'!Y110="","",'CONTROLE GLOBO AÇOS'!Y110)</f>
        <v/>
      </c>
      <c r="BV108" s="223">
        <f>IF(AND('CONTROLE EJ'!U110="",'CONTROLE CMM'!#REF!=""),"",N('CONTROLE EJ'!U110)+N('CONTROLE CMM'!#REF!))</f>
        <v/>
      </c>
      <c r="BW108" s="223">
        <f>IF(#REF!="","",#REF!)</f>
        <v/>
      </c>
    </row>
    <row r="109">
      <c r="A109" s="282" t="n">
        <v>46326</v>
      </c>
      <c r="B109" s="223">
        <f>IF('CONTROLE EJ'!B111="","",'CONTROLE EJ'!B111)</f>
        <v/>
      </c>
      <c r="C109" s="26">
        <f>IF('CONTROLE EJ'!C111="","",'CONTROLE EJ'!C111)</f>
        <v/>
      </c>
      <c r="D109" s="42">
        <f>IF('CONTROLE EJ'!D111="","",'CONTROLE EJ'!D111)</f>
        <v/>
      </c>
      <c r="E109" s="70">
        <f>IF('CONTROLE CMM'!B111="","",'CONTROLE CMM'!B111)</f>
        <v/>
      </c>
      <c r="F109" s="18">
        <f>IF('CONTROLE CMM'!C111="","",'CONTROLE CMM'!C111)</f>
        <v/>
      </c>
      <c r="G109" s="26">
        <f>IF('CONTROLE CMM'!D111="","",'CONTROLE CMM'!D111)</f>
        <v/>
      </c>
      <c r="H109" s="43">
        <f>IF('CONTROLE GLOBO AÇOS'!B111="","",'CONTROLE GLOBO AÇOS'!B111)</f>
        <v/>
      </c>
      <c r="I109" s="18">
        <f>IF('CONTROLE GLOBO AÇOS'!C111="","",'CONTROLE GLOBO AÇOS'!C111)</f>
        <v/>
      </c>
      <c r="J109" s="18">
        <f>IF('CONTROLE GLOBO AÇOS'!D111="","",'CONTROLE GLOBO AÇOS'!D111)</f>
        <v/>
      </c>
      <c r="AD109" s="39">
        <f>IF($A109="",0,IF(AND(WEEKDAY($A109,2)&lt;=5,OR($B109&lt;&gt;"",$C109&lt;&gt;"",$D109&lt;&gt;"")),1,0))</f>
        <v/>
      </c>
      <c r="AE109" s="39">
        <f>IF($A109="",0,IF(AND(WEEKDAY($A109,2)&lt;=5,OR($E109&lt;&gt;"",$F109&lt;&gt;"",$G109&lt;&gt;"")),1,0))</f>
        <v/>
      </c>
      <c r="AF109" s="39">
        <f>MAX(AD109,AE109)</f>
        <v/>
      </c>
      <c r="AH109" s="223">
        <f>IF('CONTROLE GLOBO AÇOS'!E111="","",'CONTROLE GLOBO AÇOS'!E111)</f>
        <v/>
      </c>
      <c r="AI109" s="223">
        <f>IF('CONTROLE GLOBO AÇOS'!F111="","",'CONTROLE GLOBO AÇOS'!F111)</f>
        <v/>
      </c>
      <c r="AJ109" s="223">
        <f>IF(AND('CONTROLE EJ'!E111="",'CONTROLE CMM'!E111=""),"",N('CONTROLE EJ'!E111)+N('CONTROLE CMM'!E111))</f>
        <v/>
      </c>
      <c r="AK109" s="223">
        <f>IF(AND('CONTROLE EJ'!F111="",'CONTROLE CMM'!F111=""),"",N('CONTROLE EJ'!F111)+N('CONTROLE CMM'!F111))</f>
        <v/>
      </c>
      <c r="AL109" s="223">
        <f>IF(AND('CONTROLE EJ'!G111="",'CONTROLE CMM'!G111=""),"",N('CONTROLE EJ'!G111)+N('CONTROLE CMM'!G111))</f>
        <v/>
      </c>
      <c r="AM109" s="223">
        <f>IF(AND('CONTROLE EJ'!H111="",'CONTROLE CMM'!H111=""),"",N('CONTROLE EJ'!H111)+N('CONTROLE CMM'!H111))</f>
        <v/>
      </c>
      <c r="AN109" s="223">
        <f>IF('CONTROLE GLOBO AÇOS'!G111="","",'CONTROLE GLOBO AÇOS'!G111)</f>
        <v/>
      </c>
      <c r="AO109" s="223">
        <f>IF('CONTROLE GLOBO AÇOS'!H111="","",'CONTROLE GLOBO AÇOS'!H111)</f>
        <v/>
      </c>
      <c r="AP109" s="223">
        <f>IF(AND('CONTROLE EJ'!I111="",'CONTROLE CMM'!I111=""),"",N('CONTROLE EJ'!I111)+N('CONTROLE CMM'!I111))</f>
        <v/>
      </c>
      <c r="AQ109" s="223">
        <f>IF(AND('CONTROLE EJ'!J111="",'CONTROLE CMM'!#REF!=""),"",N('CONTROLE EJ'!J111)+N('CONTROLE CMM'!#REF!))</f>
        <v/>
      </c>
      <c r="AR109" s="223">
        <f>IF('CONTROLE GLOBO AÇOS'!I111="","",'CONTROLE GLOBO AÇOS'!I111)</f>
        <v/>
      </c>
      <c r="AS109" s="223">
        <f>IF('CONTROLE GLOBO AÇOS'!J111="","",'CONTROLE GLOBO AÇOS'!J111)</f>
        <v/>
      </c>
      <c r="AT109" s="223">
        <f>IF(#REF!="","",#REF!)</f>
        <v/>
      </c>
      <c r="AU109" s="223">
        <f>IF('CONTROLE GLOBO AÇOS'!K111="","",'CONTROLE GLOBO AÇOS'!K111)</f>
        <v/>
      </c>
      <c r="AV109" s="223">
        <f>IF(AND('CONTROLE EJ'!K111="",'CONTROLE CMM'!#REF!=""),"",N('CONTROLE EJ'!K111)+N('CONTROLE CMM'!#REF!))</f>
        <v/>
      </c>
      <c r="AW109" s="223">
        <f>IF('CONTROLE GLOBO AÇOS'!L111="","",'CONTROLE GLOBO AÇOS'!L111)</f>
        <v/>
      </c>
      <c r="AX109" s="223">
        <f>IF(AND('CONTROLE EJ'!L111="",'CONTROLE CMM'!#REF!=""),"",N('CONTROLE EJ'!L111)+N('CONTROLE CMM'!#REF!))</f>
        <v/>
      </c>
      <c r="AY109" s="223">
        <f>IF('CONTROLE GLOBO AÇOS'!M111="","",'CONTROLE GLOBO AÇOS'!M111)</f>
        <v/>
      </c>
      <c r="AZ109" s="223">
        <f>IF('CONTROLE GLOBO AÇOS'!N111="","",'CONTROLE GLOBO AÇOS'!N111)</f>
        <v/>
      </c>
      <c r="BA109" s="223">
        <f>IF(AND('CONTROLE EJ'!M111="",'CONTROLE CMM'!#REF!=""),"",N('CONTROLE EJ'!M111)+N('CONTROLE CMM'!#REF!))</f>
        <v/>
      </c>
      <c r="BB109" s="223">
        <f>IF(#REF!="","",#REF!)</f>
        <v/>
      </c>
      <c r="BC109" s="223">
        <f>IF('CONTROLE GLOBO AÇOS'!O111="","",'CONTROLE GLOBO AÇOS'!O111)</f>
        <v/>
      </c>
      <c r="BD109" s="223">
        <f>IF(AND('CONTROLE EJ'!N111="",'CONTROLE CMM'!#REF!=""),"",N('CONTROLE EJ'!N111)+N('CONTROLE CMM'!#REF!))</f>
        <v/>
      </c>
      <c r="BE109" s="223">
        <f>IF('CONTROLE GLOBO AÇOS'!P111="","",'CONTROLE GLOBO AÇOS'!P111)</f>
        <v/>
      </c>
      <c r="BF109" s="223">
        <f>IF('CONTROLE GLOBO AÇOS'!Q111="","",'CONTROLE GLOBO AÇOS'!Q111)</f>
        <v/>
      </c>
      <c r="BG109" s="223">
        <f>IF('CONTROLE GLOBO AÇOS'!R111="","",'CONTROLE GLOBO AÇOS'!R111)</f>
        <v/>
      </c>
      <c r="BH109" s="223">
        <f>IF(AND('CONTROLE EJ'!O111="",'CONTROLE CMM'!#REF!=""),"",N('CONTROLE EJ'!O111)+N('CONTROLE CMM'!#REF!))</f>
        <v/>
      </c>
      <c r="BI109" s="223">
        <f>IF('CONTROLE GLOBO AÇOS'!S111="","",'CONTROLE GLOBO AÇOS'!S111)</f>
        <v/>
      </c>
      <c r="BJ109" s="223">
        <f>IF('CONTROLE GLOBO AÇOS'!T111="","",'CONTROLE GLOBO AÇOS'!T111)</f>
        <v/>
      </c>
      <c r="BK109" s="223">
        <f>IF('CONTROLE GLOBO AÇOS'!U111="","",'CONTROLE GLOBO AÇOS'!U111)</f>
        <v/>
      </c>
      <c r="BL109" s="223">
        <f>IF(AND('CONTROLE EJ'!P111="",'CONTROLE CMM'!#REF!=""),"",N('CONTROLE EJ'!P111)+N('CONTROLE CMM'!#REF!))</f>
        <v/>
      </c>
      <c r="BM109" s="223">
        <f>IF(AND('CONTROLE EJ'!Q111="",'CONTROLE CMM'!#REF!=""),"",N('CONTROLE EJ'!Q111)+N('CONTROLE CMM'!#REF!))</f>
        <v/>
      </c>
      <c r="BN109" s="223">
        <f>IF('CONTROLE GLOBO AÇOS'!V111="","",'CONTROLE GLOBO AÇOS'!V111)</f>
        <v/>
      </c>
      <c r="BO109" s="223">
        <f>IF('CONTROLE GLOBO AÇOS'!W111="","",'CONTROLE GLOBO AÇOS'!W111)</f>
        <v/>
      </c>
      <c r="BP109" s="223">
        <f>IF(AND('CONTROLE EJ'!R111="",'CONTROLE CMM'!#REF!=""),"",N('CONTROLE EJ'!R111)+N('CONTROLE CMM'!#REF!))</f>
        <v/>
      </c>
      <c r="BQ109" s="223">
        <f>IF(#REF!="","",#REF!)</f>
        <v/>
      </c>
      <c r="BR109" s="223">
        <f>IF(AND('CONTROLE EJ'!S111="",'CONTROLE CMM'!#REF!=""),"",N('CONTROLE EJ'!S111)+N('CONTROLE CMM'!#REF!))</f>
        <v/>
      </c>
      <c r="BS109" s="223">
        <f>IF(AND('CONTROLE EJ'!T111="",'CONTROLE CMM'!#REF!=""),"",N('CONTROLE EJ'!T111)+N('CONTROLE CMM'!#REF!))</f>
        <v/>
      </c>
      <c r="BT109" s="223">
        <f>IF('CONTROLE GLOBO AÇOS'!X111="","",'CONTROLE GLOBO AÇOS'!X111)</f>
        <v/>
      </c>
      <c r="BU109" s="223">
        <f>IF('CONTROLE GLOBO AÇOS'!Y111="","",'CONTROLE GLOBO AÇOS'!Y111)</f>
        <v/>
      </c>
      <c r="BV109" s="223">
        <f>IF(AND('CONTROLE EJ'!U111="",'CONTROLE CMM'!#REF!=""),"",N('CONTROLE EJ'!U111)+N('CONTROLE CMM'!#REF!))</f>
        <v/>
      </c>
      <c r="BW109" s="223">
        <f>IF(#REF!="","",#REF!)</f>
        <v/>
      </c>
    </row>
    <row r="110">
      <c r="A110" s="282" t="n">
        <v>46327</v>
      </c>
      <c r="B110" s="223">
        <f>IF('CONTROLE EJ'!B112="","",'CONTROLE EJ'!B112)</f>
        <v/>
      </c>
      <c r="C110" s="26">
        <f>IF('CONTROLE EJ'!C112="","",'CONTROLE EJ'!C112)</f>
        <v/>
      </c>
      <c r="D110" s="42">
        <f>IF('CONTROLE EJ'!D112="","",'CONTROLE EJ'!D112)</f>
        <v/>
      </c>
      <c r="E110" s="70">
        <f>IF('CONTROLE CMM'!B112="","",'CONTROLE CMM'!B112)</f>
        <v/>
      </c>
      <c r="F110" s="18">
        <f>IF('CONTROLE CMM'!C112="","",'CONTROLE CMM'!C112)</f>
        <v/>
      </c>
      <c r="G110" s="26">
        <f>IF('CONTROLE CMM'!D112="","",'CONTROLE CMM'!D112)</f>
        <v/>
      </c>
      <c r="H110" s="43">
        <f>IF('CONTROLE GLOBO AÇOS'!B112="","",'CONTROLE GLOBO AÇOS'!B112)</f>
        <v/>
      </c>
      <c r="I110" s="18">
        <f>IF('CONTROLE GLOBO AÇOS'!C112="","",'CONTROLE GLOBO AÇOS'!C112)</f>
        <v/>
      </c>
      <c r="J110" s="18">
        <f>IF('CONTROLE GLOBO AÇOS'!D112="","",'CONTROLE GLOBO AÇOS'!D112)</f>
        <v/>
      </c>
      <c r="AD110" s="39">
        <f>IF($A110="",0,IF(AND(WEEKDAY($A110,2)&lt;=5,OR($B110&lt;&gt;"",$C110&lt;&gt;"",$D110&lt;&gt;"")),1,0))</f>
        <v/>
      </c>
      <c r="AE110" s="39">
        <f>IF($A110="",0,IF(AND(WEEKDAY($A110,2)&lt;=5,OR($E110&lt;&gt;"",$F110&lt;&gt;"",$G110&lt;&gt;"")),1,0))</f>
        <v/>
      </c>
      <c r="AF110" s="39">
        <f>MAX(AD110,AE110)</f>
        <v/>
      </c>
      <c r="AH110" s="223">
        <f>IF('CONTROLE GLOBO AÇOS'!E112="","",'CONTROLE GLOBO AÇOS'!E112)</f>
        <v/>
      </c>
      <c r="AI110" s="223">
        <f>IF('CONTROLE GLOBO AÇOS'!F112="","",'CONTROLE GLOBO AÇOS'!F112)</f>
        <v/>
      </c>
      <c r="AJ110" s="223">
        <f>IF(AND('CONTROLE EJ'!E112="",'CONTROLE CMM'!E112=""),"",N('CONTROLE EJ'!E112)+N('CONTROLE CMM'!E112))</f>
        <v/>
      </c>
      <c r="AK110" s="223">
        <f>IF(AND('CONTROLE EJ'!F112="",'CONTROLE CMM'!F112=""),"",N('CONTROLE EJ'!F112)+N('CONTROLE CMM'!F112))</f>
        <v/>
      </c>
      <c r="AL110" s="223">
        <f>IF(AND('CONTROLE EJ'!G112="",'CONTROLE CMM'!G112=""),"",N('CONTROLE EJ'!G112)+N('CONTROLE CMM'!G112))</f>
        <v/>
      </c>
      <c r="AM110" s="223">
        <f>IF(AND('CONTROLE EJ'!H112="",'CONTROLE CMM'!H112=""),"",N('CONTROLE EJ'!H112)+N('CONTROLE CMM'!H112))</f>
        <v/>
      </c>
      <c r="AN110" s="223">
        <f>IF('CONTROLE GLOBO AÇOS'!G112="","",'CONTROLE GLOBO AÇOS'!G112)</f>
        <v/>
      </c>
      <c r="AO110" s="223">
        <f>IF('CONTROLE GLOBO AÇOS'!H112="","",'CONTROLE GLOBO AÇOS'!H112)</f>
        <v/>
      </c>
      <c r="AP110" s="223">
        <f>IF(AND('CONTROLE EJ'!I112="",'CONTROLE CMM'!I112=""),"",N('CONTROLE EJ'!I112)+N('CONTROLE CMM'!I112))</f>
        <v/>
      </c>
      <c r="AQ110" s="223">
        <f>IF(AND('CONTROLE EJ'!J112="",'CONTROLE CMM'!#REF!=""),"",N('CONTROLE EJ'!J112)+N('CONTROLE CMM'!#REF!))</f>
        <v/>
      </c>
      <c r="AR110" s="223">
        <f>IF('CONTROLE GLOBO AÇOS'!I112="","",'CONTROLE GLOBO AÇOS'!I112)</f>
        <v/>
      </c>
      <c r="AS110" s="223">
        <f>IF('CONTROLE GLOBO AÇOS'!J112="","",'CONTROLE GLOBO AÇOS'!J112)</f>
        <v/>
      </c>
      <c r="AT110" s="223">
        <f>IF(#REF!="","",#REF!)</f>
        <v/>
      </c>
      <c r="AU110" s="223">
        <f>IF('CONTROLE GLOBO AÇOS'!K112="","",'CONTROLE GLOBO AÇOS'!K112)</f>
        <v/>
      </c>
      <c r="AV110" s="223">
        <f>IF(AND('CONTROLE EJ'!K112="",'CONTROLE CMM'!#REF!=""),"",N('CONTROLE EJ'!K112)+N('CONTROLE CMM'!#REF!))</f>
        <v/>
      </c>
      <c r="AW110" s="223">
        <f>IF('CONTROLE GLOBO AÇOS'!L112="","",'CONTROLE GLOBO AÇOS'!L112)</f>
        <v/>
      </c>
      <c r="AX110" s="223">
        <f>IF(AND('CONTROLE EJ'!L112="",'CONTROLE CMM'!#REF!=""),"",N('CONTROLE EJ'!L112)+N('CONTROLE CMM'!#REF!))</f>
        <v/>
      </c>
      <c r="AY110" s="223">
        <f>IF('CONTROLE GLOBO AÇOS'!M112="","",'CONTROLE GLOBO AÇOS'!M112)</f>
        <v/>
      </c>
      <c r="AZ110" s="223">
        <f>IF('CONTROLE GLOBO AÇOS'!N112="","",'CONTROLE GLOBO AÇOS'!N112)</f>
        <v/>
      </c>
      <c r="BA110" s="223">
        <f>IF(AND('CONTROLE EJ'!M112="",'CONTROLE CMM'!#REF!=""),"",N('CONTROLE EJ'!M112)+N('CONTROLE CMM'!#REF!))</f>
        <v/>
      </c>
      <c r="BB110" s="223">
        <f>IF(#REF!="","",#REF!)</f>
        <v/>
      </c>
      <c r="BC110" s="223">
        <f>IF('CONTROLE GLOBO AÇOS'!O112="","",'CONTROLE GLOBO AÇOS'!O112)</f>
        <v/>
      </c>
      <c r="BD110" s="223">
        <f>IF(AND('CONTROLE EJ'!N112="",'CONTROLE CMM'!#REF!=""),"",N('CONTROLE EJ'!N112)+N('CONTROLE CMM'!#REF!))</f>
        <v/>
      </c>
      <c r="BE110" s="223">
        <f>IF('CONTROLE GLOBO AÇOS'!P112="","",'CONTROLE GLOBO AÇOS'!P112)</f>
        <v/>
      </c>
      <c r="BF110" s="223">
        <f>IF('CONTROLE GLOBO AÇOS'!Q112="","",'CONTROLE GLOBO AÇOS'!Q112)</f>
        <v/>
      </c>
      <c r="BG110" s="223">
        <f>IF('CONTROLE GLOBO AÇOS'!R112="","",'CONTROLE GLOBO AÇOS'!R112)</f>
        <v/>
      </c>
      <c r="BH110" s="223">
        <f>IF(AND('CONTROLE EJ'!O112="",'CONTROLE CMM'!#REF!=""),"",N('CONTROLE EJ'!O112)+N('CONTROLE CMM'!#REF!))</f>
        <v/>
      </c>
      <c r="BI110" s="223">
        <f>IF('CONTROLE GLOBO AÇOS'!S112="","",'CONTROLE GLOBO AÇOS'!S112)</f>
        <v/>
      </c>
      <c r="BJ110" s="223">
        <f>IF('CONTROLE GLOBO AÇOS'!T112="","",'CONTROLE GLOBO AÇOS'!T112)</f>
        <v/>
      </c>
      <c r="BK110" s="223">
        <f>IF('CONTROLE GLOBO AÇOS'!U112="","",'CONTROLE GLOBO AÇOS'!U112)</f>
        <v/>
      </c>
      <c r="BL110" s="223">
        <f>IF(AND('CONTROLE EJ'!P112="",'CONTROLE CMM'!#REF!=""),"",N('CONTROLE EJ'!P112)+N('CONTROLE CMM'!#REF!))</f>
        <v/>
      </c>
      <c r="BM110" s="223">
        <f>IF(AND('CONTROLE EJ'!Q112="",'CONTROLE CMM'!#REF!=""),"",N('CONTROLE EJ'!Q112)+N('CONTROLE CMM'!#REF!))</f>
        <v/>
      </c>
      <c r="BN110" s="223">
        <f>IF('CONTROLE GLOBO AÇOS'!V112="","",'CONTROLE GLOBO AÇOS'!V112)</f>
        <v/>
      </c>
      <c r="BO110" s="223">
        <f>IF('CONTROLE GLOBO AÇOS'!W112="","",'CONTROLE GLOBO AÇOS'!W112)</f>
        <v/>
      </c>
      <c r="BP110" s="223">
        <f>IF(AND('CONTROLE EJ'!R112="",'CONTROLE CMM'!#REF!=""),"",N('CONTROLE EJ'!R112)+N('CONTROLE CMM'!#REF!))</f>
        <v/>
      </c>
      <c r="BQ110" s="223">
        <f>IF(#REF!="","",#REF!)</f>
        <v/>
      </c>
      <c r="BR110" s="223">
        <f>IF(AND('CONTROLE EJ'!S112="",'CONTROLE CMM'!#REF!=""),"",N('CONTROLE EJ'!S112)+N('CONTROLE CMM'!#REF!))</f>
        <v/>
      </c>
      <c r="BS110" s="223">
        <f>IF(AND('CONTROLE EJ'!T112="",'CONTROLE CMM'!#REF!=""),"",N('CONTROLE EJ'!T112)+N('CONTROLE CMM'!#REF!))</f>
        <v/>
      </c>
      <c r="BT110" s="223">
        <f>IF('CONTROLE GLOBO AÇOS'!X112="","",'CONTROLE GLOBO AÇOS'!X112)</f>
        <v/>
      </c>
      <c r="BU110" s="223">
        <f>IF('CONTROLE GLOBO AÇOS'!Y112="","",'CONTROLE GLOBO AÇOS'!Y112)</f>
        <v/>
      </c>
      <c r="BV110" s="223">
        <f>IF(AND('CONTROLE EJ'!U112="",'CONTROLE CMM'!#REF!=""),"",N('CONTROLE EJ'!U112)+N('CONTROLE CMM'!#REF!))</f>
        <v/>
      </c>
      <c r="BW110" s="223">
        <f>IF(#REF!="","",#REF!)</f>
        <v/>
      </c>
    </row>
    <row r="111">
      <c r="A111" s="282" t="n">
        <v>46328</v>
      </c>
      <c r="B111" s="223">
        <f>IF('CONTROLE EJ'!B113="","",'CONTROLE EJ'!B113)</f>
        <v/>
      </c>
      <c r="C111" s="26">
        <f>IF('CONTROLE EJ'!C113="","",'CONTROLE EJ'!C113)</f>
        <v/>
      </c>
      <c r="D111" s="42">
        <f>IF('CONTROLE EJ'!D113="","",'CONTROLE EJ'!D113)</f>
        <v/>
      </c>
      <c r="E111" s="70">
        <f>IF('CONTROLE CMM'!B113="","",'CONTROLE CMM'!B113)</f>
        <v/>
      </c>
      <c r="F111" s="18">
        <f>IF('CONTROLE CMM'!C113="","",'CONTROLE CMM'!C113)</f>
        <v/>
      </c>
      <c r="G111" s="26">
        <f>IF('CONTROLE CMM'!D113="","",'CONTROLE CMM'!D113)</f>
        <v/>
      </c>
      <c r="H111" s="43">
        <f>IF('CONTROLE GLOBO AÇOS'!B113="","",'CONTROLE GLOBO AÇOS'!B113)</f>
        <v/>
      </c>
      <c r="I111" s="18">
        <f>IF('CONTROLE GLOBO AÇOS'!C113="","",'CONTROLE GLOBO AÇOS'!C113)</f>
        <v/>
      </c>
      <c r="J111" s="18">
        <f>IF('CONTROLE GLOBO AÇOS'!D113="","",'CONTROLE GLOBO AÇOS'!D113)</f>
        <v/>
      </c>
      <c r="AD111" s="39">
        <f>IF($A111="",0,IF(AND(WEEKDAY($A111,2)&lt;=5,OR($B111&lt;&gt;"",$C111&lt;&gt;"",$D111&lt;&gt;"")),1,0))</f>
        <v/>
      </c>
      <c r="AE111" s="39">
        <f>IF($A111="",0,IF(AND(WEEKDAY($A111,2)&lt;=5,OR($E111&lt;&gt;"",$F111&lt;&gt;"",$G111&lt;&gt;"")),1,0))</f>
        <v/>
      </c>
      <c r="AF111" s="39">
        <f>MAX(AD111,AE111)</f>
        <v/>
      </c>
      <c r="AH111" s="223">
        <f>IF('CONTROLE GLOBO AÇOS'!E113="","",'CONTROLE GLOBO AÇOS'!E113)</f>
        <v/>
      </c>
      <c r="AI111" s="223">
        <f>IF('CONTROLE GLOBO AÇOS'!F113="","",'CONTROLE GLOBO AÇOS'!F113)</f>
        <v/>
      </c>
      <c r="AJ111" s="223">
        <f>IF(AND('CONTROLE EJ'!E113="",'CONTROLE CMM'!E113=""),"",N('CONTROLE EJ'!E113)+N('CONTROLE CMM'!E113))</f>
        <v/>
      </c>
      <c r="AK111" s="223">
        <f>IF(AND('CONTROLE EJ'!F113="",'CONTROLE CMM'!F113=""),"",N('CONTROLE EJ'!F113)+N('CONTROLE CMM'!F113))</f>
        <v/>
      </c>
      <c r="AL111" s="223">
        <f>IF(AND('CONTROLE EJ'!G113="",'CONTROLE CMM'!G113=""),"",N('CONTROLE EJ'!G113)+N('CONTROLE CMM'!G113))</f>
        <v/>
      </c>
      <c r="AM111" s="223">
        <f>IF(AND('CONTROLE EJ'!H113="",'CONTROLE CMM'!H113=""),"",N('CONTROLE EJ'!H113)+N('CONTROLE CMM'!H113))</f>
        <v/>
      </c>
      <c r="AN111" s="223">
        <f>IF('CONTROLE GLOBO AÇOS'!G113="","",'CONTROLE GLOBO AÇOS'!G113)</f>
        <v/>
      </c>
      <c r="AO111" s="223">
        <f>IF('CONTROLE GLOBO AÇOS'!H113="","",'CONTROLE GLOBO AÇOS'!H113)</f>
        <v/>
      </c>
      <c r="AP111" s="223">
        <f>IF(AND('CONTROLE EJ'!I113="",'CONTROLE CMM'!I113=""),"",N('CONTROLE EJ'!I113)+N('CONTROLE CMM'!I113))</f>
        <v/>
      </c>
      <c r="AQ111" s="223">
        <f>IF(AND('CONTROLE EJ'!J113="",'CONTROLE CMM'!#REF!=""),"",N('CONTROLE EJ'!J113)+N('CONTROLE CMM'!#REF!))</f>
        <v/>
      </c>
      <c r="AR111" s="223">
        <f>IF('CONTROLE GLOBO AÇOS'!I113="","",'CONTROLE GLOBO AÇOS'!I113)</f>
        <v/>
      </c>
      <c r="AS111" s="223">
        <f>IF('CONTROLE GLOBO AÇOS'!J113="","",'CONTROLE GLOBO AÇOS'!J113)</f>
        <v/>
      </c>
      <c r="AT111" s="223">
        <f>IF(#REF!="","",#REF!)</f>
        <v/>
      </c>
      <c r="AU111" s="223">
        <f>IF('CONTROLE GLOBO AÇOS'!K113="","",'CONTROLE GLOBO AÇOS'!K113)</f>
        <v/>
      </c>
      <c r="AV111" s="223">
        <f>IF(AND('CONTROLE EJ'!K113="",'CONTROLE CMM'!#REF!=""),"",N('CONTROLE EJ'!K113)+N('CONTROLE CMM'!#REF!))</f>
        <v/>
      </c>
      <c r="AW111" s="223">
        <f>IF('CONTROLE GLOBO AÇOS'!L113="","",'CONTROLE GLOBO AÇOS'!L113)</f>
        <v/>
      </c>
      <c r="AX111" s="223">
        <f>IF(AND('CONTROLE EJ'!L113="",'CONTROLE CMM'!#REF!=""),"",N('CONTROLE EJ'!L113)+N('CONTROLE CMM'!#REF!))</f>
        <v/>
      </c>
      <c r="AY111" s="223">
        <f>IF('CONTROLE GLOBO AÇOS'!M113="","",'CONTROLE GLOBO AÇOS'!M113)</f>
        <v/>
      </c>
      <c r="AZ111" s="223">
        <f>IF('CONTROLE GLOBO AÇOS'!N113="","",'CONTROLE GLOBO AÇOS'!N113)</f>
        <v/>
      </c>
      <c r="BA111" s="223">
        <f>IF(AND('CONTROLE EJ'!M113="",'CONTROLE CMM'!#REF!=""),"",N('CONTROLE EJ'!M113)+N('CONTROLE CMM'!#REF!))</f>
        <v/>
      </c>
      <c r="BB111" s="223">
        <f>IF(#REF!="","",#REF!)</f>
        <v/>
      </c>
      <c r="BC111" s="223">
        <f>IF('CONTROLE GLOBO AÇOS'!O113="","",'CONTROLE GLOBO AÇOS'!O113)</f>
        <v/>
      </c>
      <c r="BD111" s="223">
        <f>IF(AND('CONTROLE EJ'!N113="",'CONTROLE CMM'!#REF!=""),"",N('CONTROLE EJ'!N113)+N('CONTROLE CMM'!#REF!))</f>
        <v/>
      </c>
      <c r="BE111" s="223">
        <f>IF('CONTROLE GLOBO AÇOS'!P113="","",'CONTROLE GLOBO AÇOS'!P113)</f>
        <v/>
      </c>
      <c r="BF111" s="223">
        <f>IF('CONTROLE GLOBO AÇOS'!Q113="","",'CONTROLE GLOBO AÇOS'!Q113)</f>
        <v/>
      </c>
      <c r="BG111" s="223">
        <f>IF('CONTROLE GLOBO AÇOS'!R113="","",'CONTROLE GLOBO AÇOS'!R113)</f>
        <v/>
      </c>
      <c r="BH111" s="223">
        <f>IF(AND('CONTROLE EJ'!O113="",'CONTROLE CMM'!#REF!=""),"",N('CONTROLE EJ'!O113)+N('CONTROLE CMM'!#REF!))</f>
        <v/>
      </c>
      <c r="BI111" s="223">
        <f>IF('CONTROLE GLOBO AÇOS'!S113="","",'CONTROLE GLOBO AÇOS'!S113)</f>
        <v/>
      </c>
      <c r="BJ111" s="223">
        <f>IF('CONTROLE GLOBO AÇOS'!T113="","",'CONTROLE GLOBO AÇOS'!T113)</f>
        <v/>
      </c>
      <c r="BK111" s="223">
        <f>IF('CONTROLE GLOBO AÇOS'!U113="","",'CONTROLE GLOBO AÇOS'!U113)</f>
        <v/>
      </c>
      <c r="BL111" s="223">
        <f>IF(AND('CONTROLE EJ'!P113="",'CONTROLE CMM'!#REF!=""),"",N('CONTROLE EJ'!P113)+N('CONTROLE CMM'!#REF!))</f>
        <v/>
      </c>
      <c r="BM111" s="223">
        <f>IF(AND('CONTROLE EJ'!Q113="",'CONTROLE CMM'!#REF!=""),"",N('CONTROLE EJ'!Q113)+N('CONTROLE CMM'!#REF!))</f>
        <v/>
      </c>
      <c r="BN111" s="223">
        <f>IF('CONTROLE GLOBO AÇOS'!V113="","",'CONTROLE GLOBO AÇOS'!V113)</f>
        <v/>
      </c>
      <c r="BO111" s="223">
        <f>IF('CONTROLE GLOBO AÇOS'!W113="","",'CONTROLE GLOBO AÇOS'!W113)</f>
        <v/>
      </c>
      <c r="BP111" s="223">
        <f>IF(AND('CONTROLE EJ'!R113="",'CONTROLE CMM'!#REF!=""),"",N('CONTROLE EJ'!R113)+N('CONTROLE CMM'!#REF!))</f>
        <v/>
      </c>
      <c r="BQ111" s="223">
        <f>IF(#REF!="","",#REF!)</f>
        <v/>
      </c>
      <c r="BR111" s="223">
        <f>IF(AND('CONTROLE EJ'!S113="",'CONTROLE CMM'!#REF!=""),"",N('CONTROLE EJ'!S113)+N('CONTROLE CMM'!#REF!))</f>
        <v/>
      </c>
      <c r="BS111" s="223">
        <f>IF(AND('CONTROLE EJ'!T113="",'CONTROLE CMM'!#REF!=""),"",N('CONTROLE EJ'!T113)+N('CONTROLE CMM'!#REF!))</f>
        <v/>
      </c>
      <c r="BT111" s="223">
        <f>IF('CONTROLE GLOBO AÇOS'!X113="","",'CONTROLE GLOBO AÇOS'!X113)</f>
        <v/>
      </c>
      <c r="BU111" s="223">
        <f>IF('CONTROLE GLOBO AÇOS'!Y113="","",'CONTROLE GLOBO AÇOS'!Y113)</f>
        <v/>
      </c>
      <c r="BV111" s="223">
        <f>IF(AND('CONTROLE EJ'!U113="",'CONTROLE CMM'!#REF!=""),"",N('CONTROLE EJ'!U113)+N('CONTROLE CMM'!#REF!))</f>
        <v/>
      </c>
      <c r="BW111" s="223">
        <f>IF(#REF!="","",#REF!)</f>
        <v/>
      </c>
    </row>
    <row r="112">
      <c r="A112" s="282" t="n">
        <v>46329</v>
      </c>
      <c r="B112" s="223">
        <f>IF('CONTROLE EJ'!B114="","",'CONTROLE EJ'!B114)</f>
        <v/>
      </c>
      <c r="C112" s="26">
        <f>IF('CONTROLE EJ'!C114="","",'CONTROLE EJ'!C114)</f>
        <v/>
      </c>
      <c r="D112" s="42">
        <f>IF('CONTROLE EJ'!D114="","",'CONTROLE EJ'!D114)</f>
        <v/>
      </c>
      <c r="E112" s="70">
        <f>IF('CONTROLE CMM'!B114="","",'CONTROLE CMM'!B114)</f>
        <v/>
      </c>
      <c r="F112" s="18">
        <f>IF('CONTROLE CMM'!C114="","",'CONTROLE CMM'!C114)</f>
        <v/>
      </c>
      <c r="G112" s="26">
        <f>IF('CONTROLE CMM'!D114="","",'CONTROLE CMM'!D114)</f>
        <v/>
      </c>
      <c r="H112" s="43">
        <f>IF('CONTROLE GLOBO AÇOS'!B114="","",'CONTROLE GLOBO AÇOS'!B114)</f>
        <v/>
      </c>
      <c r="I112" s="18">
        <f>IF('CONTROLE GLOBO AÇOS'!C114="","",'CONTROLE GLOBO AÇOS'!C114)</f>
        <v/>
      </c>
      <c r="J112" s="18">
        <f>IF('CONTROLE GLOBO AÇOS'!D114="","",'CONTROLE GLOBO AÇOS'!D114)</f>
        <v/>
      </c>
      <c r="AD112" s="39">
        <f>IF($A112="",0,IF(AND(WEEKDAY($A112,2)&lt;=5,OR($B112&lt;&gt;"",$C112&lt;&gt;"",$D112&lt;&gt;"")),1,0))</f>
        <v/>
      </c>
      <c r="AE112" s="39">
        <f>IF($A112="",0,IF(AND(WEEKDAY($A112,2)&lt;=5,OR($E112&lt;&gt;"",$F112&lt;&gt;"",$G112&lt;&gt;"")),1,0))</f>
        <v/>
      </c>
      <c r="AF112" s="39">
        <f>MAX(AD112,AE112)</f>
        <v/>
      </c>
      <c r="AH112" s="223">
        <f>IF('CONTROLE GLOBO AÇOS'!E114="","",'CONTROLE GLOBO AÇOS'!E114)</f>
        <v/>
      </c>
      <c r="AI112" s="223">
        <f>IF('CONTROLE GLOBO AÇOS'!F114="","",'CONTROLE GLOBO AÇOS'!F114)</f>
        <v/>
      </c>
      <c r="AJ112" s="223">
        <f>IF(AND('CONTROLE EJ'!E114="",'CONTROLE CMM'!E114=""),"",N('CONTROLE EJ'!E114)+N('CONTROLE CMM'!E114))</f>
        <v/>
      </c>
      <c r="AK112" s="223">
        <f>IF(AND('CONTROLE EJ'!F114="",'CONTROLE CMM'!F114=""),"",N('CONTROLE EJ'!F114)+N('CONTROLE CMM'!F114))</f>
        <v/>
      </c>
      <c r="AL112" s="223">
        <f>IF(AND('CONTROLE EJ'!G114="",'CONTROLE CMM'!G114=""),"",N('CONTROLE EJ'!G114)+N('CONTROLE CMM'!G114))</f>
        <v/>
      </c>
      <c r="AM112" s="223">
        <f>IF(AND('CONTROLE EJ'!H114="",'CONTROLE CMM'!H114=""),"",N('CONTROLE EJ'!H114)+N('CONTROLE CMM'!H114))</f>
        <v/>
      </c>
      <c r="AN112" s="223">
        <f>IF('CONTROLE GLOBO AÇOS'!G114="","",'CONTROLE GLOBO AÇOS'!G114)</f>
        <v/>
      </c>
      <c r="AO112" s="223">
        <f>IF('CONTROLE GLOBO AÇOS'!H114="","",'CONTROLE GLOBO AÇOS'!H114)</f>
        <v/>
      </c>
      <c r="AP112" s="223">
        <f>IF(AND('CONTROLE EJ'!I114="",'CONTROLE CMM'!I114=""),"",N('CONTROLE EJ'!I114)+N('CONTROLE CMM'!I114))</f>
        <v/>
      </c>
      <c r="AQ112" s="223">
        <f>IF(AND('CONTROLE EJ'!J114="",'CONTROLE CMM'!#REF!=""),"",N('CONTROLE EJ'!J114)+N('CONTROLE CMM'!#REF!))</f>
        <v/>
      </c>
      <c r="AR112" s="223">
        <f>IF('CONTROLE GLOBO AÇOS'!I114="","",'CONTROLE GLOBO AÇOS'!I114)</f>
        <v/>
      </c>
      <c r="AS112" s="223">
        <f>IF('CONTROLE GLOBO AÇOS'!J114="","",'CONTROLE GLOBO AÇOS'!J114)</f>
        <v/>
      </c>
      <c r="AT112" s="223">
        <f>IF(#REF!="","",#REF!)</f>
        <v/>
      </c>
      <c r="AU112" s="223">
        <f>IF('CONTROLE GLOBO AÇOS'!K114="","",'CONTROLE GLOBO AÇOS'!K114)</f>
        <v/>
      </c>
      <c r="AV112" s="223">
        <f>IF(AND('CONTROLE EJ'!K114="",'CONTROLE CMM'!#REF!=""),"",N('CONTROLE EJ'!K114)+N('CONTROLE CMM'!#REF!))</f>
        <v/>
      </c>
      <c r="AW112" s="223">
        <f>IF('CONTROLE GLOBO AÇOS'!L114="","",'CONTROLE GLOBO AÇOS'!L114)</f>
        <v/>
      </c>
      <c r="AX112" s="223">
        <f>IF(AND('CONTROLE EJ'!L114="",'CONTROLE CMM'!#REF!=""),"",N('CONTROLE EJ'!L114)+N('CONTROLE CMM'!#REF!))</f>
        <v/>
      </c>
      <c r="AY112" s="223">
        <f>IF('CONTROLE GLOBO AÇOS'!M114="","",'CONTROLE GLOBO AÇOS'!M114)</f>
        <v/>
      </c>
      <c r="AZ112" s="223">
        <f>IF('CONTROLE GLOBO AÇOS'!N114="","",'CONTROLE GLOBO AÇOS'!N114)</f>
        <v/>
      </c>
      <c r="BA112" s="223">
        <f>IF(AND('CONTROLE EJ'!M114="",'CONTROLE CMM'!#REF!=""),"",N('CONTROLE EJ'!M114)+N('CONTROLE CMM'!#REF!))</f>
        <v/>
      </c>
      <c r="BB112" s="223">
        <f>IF(#REF!="","",#REF!)</f>
        <v/>
      </c>
      <c r="BC112" s="223">
        <f>IF('CONTROLE GLOBO AÇOS'!O114="","",'CONTROLE GLOBO AÇOS'!O114)</f>
        <v/>
      </c>
      <c r="BD112" s="223">
        <f>IF(AND('CONTROLE EJ'!N114="",'CONTROLE CMM'!#REF!=""),"",N('CONTROLE EJ'!N114)+N('CONTROLE CMM'!#REF!))</f>
        <v/>
      </c>
      <c r="BE112" s="223">
        <f>IF('CONTROLE GLOBO AÇOS'!P114="","",'CONTROLE GLOBO AÇOS'!P114)</f>
        <v/>
      </c>
      <c r="BF112" s="223">
        <f>IF('CONTROLE GLOBO AÇOS'!Q114="","",'CONTROLE GLOBO AÇOS'!Q114)</f>
        <v/>
      </c>
      <c r="BG112" s="223">
        <f>IF('CONTROLE GLOBO AÇOS'!R114="","",'CONTROLE GLOBO AÇOS'!R114)</f>
        <v/>
      </c>
      <c r="BH112" s="223">
        <f>IF(AND('CONTROLE EJ'!O114="",'CONTROLE CMM'!#REF!=""),"",N('CONTROLE EJ'!O114)+N('CONTROLE CMM'!#REF!))</f>
        <v/>
      </c>
      <c r="BI112" s="223">
        <f>IF('CONTROLE GLOBO AÇOS'!S114="","",'CONTROLE GLOBO AÇOS'!S114)</f>
        <v/>
      </c>
      <c r="BJ112" s="223">
        <f>IF('CONTROLE GLOBO AÇOS'!T114="","",'CONTROLE GLOBO AÇOS'!T114)</f>
        <v/>
      </c>
      <c r="BK112" s="223">
        <f>IF('CONTROLE GLOBO AÇOS'!U114="","",'CONTROLE GLOBO AÇOS'!U114)</f>
        <v/>
      </c>
      <c r="BL112" s="223">
        <f>IF(AND('CONTROLE EJ'!P114="",'CONTROLE CMM'!#REF!=""),"",N('CONTROLE EJ'!P114)+N('CONTROLE CMM'!#REF!))</f>
        <v/>
      </c>
      <c r="BM112" s="223">
        <f>IF(AND('CONTROLE EJ'!Q114="",'CONTROLE CMM'!#REF!=""),"",N('CONTROLE EJ'!Q114)+N('CONTROLE CMM'!#REF!))</f>
        <v/>
      </c>
      <c r="BN112" s="223">
        <f>IF('CONTROLE GLOBO AÇOS'!V114="","",'CONTROLE GLOBO AÇOS'!V114)</f>
        <v/>
      </c>
      <c r="BO112" s="223">
        <f>IF('CONTROLE GLOBO AÇOS'!W114="","",'CONTROLE GLOBO AÇOS'!W114)</f>
        <v/>
      </c>
      <c r="BP112" s="223">
        <f>IF(AND('CONTROLE EJ'!R114="",'CONTROLE CMM'!#REF!=""),"",N('CONTROLE EJ'!R114)+N('CONTROLE CMM'!#REF!))</f>
        <v/>
      </c>
      <c r="BQ112" s="223">
        <f>IF(#REF!="","",#REF!)</f>
        <v/>
      </c>
      <c r="BR112" s="223">
        <f>IF(AND('CONTROLE EJ'!S114="",'CONTROLE CMM'!#REF!=""),"",N('CONTROLE EJ'!S114)+N('CONTROLE CMM'!#REF!))</f>
        <v/>
      </c>
      <c r="BS112" s="223">
        <f>IF(AND('CONTROLE EJ'!T114="",'CONTROLE CMM'!#REF!=""),"",N('CONTROLE EJ'!T114)+N('CONTROLE CMM'!#REF!))</f>
        <v/>
      </c>
      <c r="BT112" s="223">
        <f>IF('CONTROLE GLOBO AÇOS'!X114="","",'CONTROLE GLOBO AÇOS'!X114)</f>
        <v/>
      </c>
      <c r="BU112" s="223">
        <f>IF('CONTROLE GLOBO AÇOS'!Y114="","",'CONTROLE GLOBO AÇOS'!Y114)</f>
        <v/>
      </c>
      <c r="BV112" s="223">
        <f>IF(AND('CONTROLE EJ'!U114="",'CONTROLE CMM'!#REF!=""),"",N('CONTROLE EJ'!U114)+N('CONTROLE CMM'!#REF!))</f>
        <v/>
      </c>
      <c r="BW112" s="223">
        <f>IF(#REF!="","",#REF!)</f>
        <v/>
      </c>
    </row>
    <row r="113">
      <c r="A113" s="282" t="n">
        <v>46330</v>
      </c>
      <c r="B113" s="223">
        <f>IF('CONTROLE EJ'!B115="","",'CONTROLE EJ'!B115)</f>
        <v/>
      </c>
      <c r="C113" s="26">
        <f>IF('CONTROLE EJ'!C115="","",'CONTROLE EJ'!C115)</f>
        <v/>
      </c>
      <c r="D113" s="42">
        <f>IF('CONTROLE EJ'!D115="","",'CONTROLE EJ'!D115)</f>
        <v/>
      </c>
      <c r="E113" s="71">
        <f>IF('CONTROLE CMM'!B115="","",'CONTROLE CMM'!B115)</f>
        <v/>
      </c>
      <c r="F113" s="18">
        <f>IF('CONTROLE CMM'!C115="","",'CONTROLE CMM'!C115)</f>
        <v/>
      </c>
      <c r="G113" s="26">
        <f>IF('CONTROLE CMM'!D115="","",'CONTROLE CMM'!D115)</f>
        <v/>
      </c>
      <c r="H113" s="43">
        <f>IF('CONTROLE GLOBO AÇOS'!B115="","",'CONTROLE GLOBO AÇOS'!B115)</f>
        <v/>
      </c>
      <c r="I113" s="18">
        <f>IF('CONTROLE GLOBO AÇOS'!C115="","",'CONTROLE GLOBO AÇOS'!C115)</f>
        <v/>
      </c>
      <c r="J113" s="18">
        <f>IF('CONTROLE GLOBO AÇOS'!D115="","",'CONTROLE GLOBO AÇOS'!D115)</f>
        <v/>
      </c>
      <c r="AD113" s="39">
        <f>IF($A113="",0,IF(AND(WEEKDAY($A113,2)&lt;=5,OR($B113&lt;&gt;"",$C113&lt;&gt;"",$D113&lt;&gt;"")),1,0))</f>
        <v/>
      </c>
      <c r="AE113" s="39">
        <f>IF($A113="",0,IF(AND(WEEKDAY($A113,2)&lt;=5,OR($E113&lt;&gt;"",$F113&lt;&gt;"",$G113&lt;&gt;"")),1,0))</f>
        <v/>
      </c>
      <c r="AF113" s="39">
        <f>MAX(AD113,AE113)</f>
        <v/>
      </c>
      <c r="AH113" s="223">
        <f>IF('CONTROLE GLOBO AÇOS'!E115="","",'CONTROLE GLOBO AÇOS'!E115)</f>
        <v/>
      </c>
      <c r="AI113" s="223">
        <f>IF('CONTROLE GLOBO AÇOS'!F115="","",'CONTROLE GLOBO AÇOS'!F115)</f>
        <v/>
      </c>
      <c r="AJ113" s="223">
        <f>IF(AND('CONTROLE EJ'!E115="",'CONTROLE CMM'!E115=""),"",N('CONTROLE EJ'!E115)+N('CONTROLE CMM'!E115))</f>
        <v/>
      </c>
      <c r="AK113" s="223">
        <f>IF(AND('CONTROLE EJ'!F115="",'CONTROLE CMM'!F115=""),"",N('CONTROLE EJ'!F115)+N('CONTROLE CMM'!F115))</f>
        <v/>
      </c>
      <c r="AL113" s="223">
        <f>IF(AND('CONTROLE EJ'!G115="",'CONTROLE CMM'!G115=""),"",N('CONTROLE EJ'!G115)+N('CONTROLE CMM'!G115))</f>
        <v/>
      </c>
      <c r="AM113" s="223">
        <f>IF(AND('CONTROLE EJ'!H115="",'CONTROLE CMM'!H115=""),"",N('CONTROLE EJ'!H115)+N('CONTROLE CMM'!H115))</f>
        <v/>
      </c>
      <c r="AN113" s="223">
        <f>IF('CONTROLE GLOBO AÇOS'!G115="","",'CONTROLE GLOBO AÇOS'!G115)</f>
        <v/>
      </c>
      <c r="AO113" s="223">
        <f>IF('CONTROLE GLOBO AÇOS'!H115="","",'CONTROLE GLOBO AÇOS'!H115)</f>
        <v/>
      </c>
      <c r="AP113" s="223">
        <f>IF(AND('CONTROLE EJ'!I115="",'CONTROLE CMM'!I115=""),"",N('CONTROLE EJ'!I115)+N('CONTROLE CMM'!I115))</f>
        <v/>
      </c>
      <c r="AQ113" s="223">
        <f>IF(AND('CONTROLE EJ'!J115="",'CONTROLE CMM'!#REF!=""),"",N('CONTROLE EJ'!J115)+N('CONTROLE CMM'!#REF!))</f>
        <v/>
      </c>
      <c r="AR113" s="223">
        <f>IF('CONTROLE GLOBO AÇOS'!I115="","",'CONTROLE GLOBO AÇOS'!I115)</f>
        <v/>
      </c>
      <c r="AS113" s="223">
        <f>IF('CONTROLE GLOBO AÇOS'!J115="","",'CONTROLE GLOBO AÇOS'!J115)</f>
        <v/>
      </c>
      <c r="AT113" s="223">
        <f>IF(#REF!="","",#REF!)</f>
        <v/>
      </c>
      <c r="AU113" s="223">
        <f>IF('CONTROLE GLOBO AÇOS'!K115="","",'CONTROLE GLOBO AÇOS'!K115)</f>
        <v/>
      </c>
      <c r="AV113" s="223">
        <f>IF(AND('CONTROLE EJ'!K115="",'CONTROLE CMM'!#REF!=""),"",N('CONTROLE EJ'!K115)+N('CONTROLE CMM'!#REF!))</f>
        <v/>
      </c>
      <c r="AW113" s="223">
        <f>IF('CONTROLE GLOBO AÇOS'!L115="","",'CONTROLE GLOBO AÇOS'!L115)</f>
        <v/>
      </c>
      <c r="AX113" s="223">
        <f>IF(AND('CONTROLE EJ'!L115="",'CONTROLE CMM'!#REF!=""),"",N('CONTROLE EJ'!L115)+N('CONTROLE CMM'!#REF!))</f>
        <v/>
      </c>
      <c r="AY113" s="223">
        <f>IF('CONTROLE GLOBO AÇOS'!M115="","",'CONTROLE GLOBO AÇOS'!M115)</f>
        <v/>
      </c>
      <c r="AZ113" s="223">
        <f>IF('CONTROLE GLOBO AÇOS'!N115="","",'CONTROLE GLOBO AÇOS'!N115)</f>
        <v/>
      </c>
      <c r="BA113" s="223">
        <f>IF(AND('CONTROLE EJ'!M115="",'CONTROLE CMM'!#REF!=""),"",N('CONTROLE EJ'!M115)+N('CONTROLE CMM'!#REF!))</f>
        <v/>
      </c>
      <c r="BB113" s="223">
        <f>IF(#REF!="","",#REF!)</f>
        <v/>
      </c>
      <c r="BC113" s="223">
        <f>IF('CONTROLE GLOBO AÇOS'!O115="","",'CONTROLE GLOBO AÇOS'!O115)</f>
        <v/>
      </c>
      <c r="BD113" s="223">
        <f>IF(AND('CONTROLE EJ'!N115="",'CONTROLE CMM'!#REF!=""),"",N('CONTROLE EJ'!N115)+N('CONTROLE CMM'!#REF!))</f>
        <v/>
      </c>
      <c r="BE113" s="223">
        <f>IF('CONTROLE GLOBO AÇOS'!P115="","",'CONTROLE GLOBO AÇOS'!P115)</f>
        <v/>
      </c>
      <c r="BF113" s="223">
        <f>IF('CONTROLE GLOBO AÇOS'!Q115="","",'CONTROLE GLOBO AÇOS'!Q115)</f>
        <v/>
      </c>
      <c r="BG113" s="223">
        <f>IF('CONTROLE GLOBO AÇOS'!R115="","",'CONTROLE GLOBO AÇOS'!R115)</f>
        <v/>
      </c>
      <c r="BH113" s="223">
        <f>IF(AND('CONTROLE EJ'!O115="",'CONTROLE CMM'!#REF!=""),"",N('CONTROLE EJ'!O115)+N('CONTROLE CMM'!#REF!))</f>
        <v/>
      </c>
      <c r="BI113" s="223">
        <f>IF('CONTROLE GLOBO AÇOS'!S115="","",'CONTROLE GLOBO AÇOS'!S115)</f>
        <v/>
      </c>
      <c r="BJ113" s="223">
        <f>IF('CONTROLE GLOBO AÇOS'!T115="","",'CONTROLE GLOBO AÇOS'!T115)</f>
        <v/>
      </c>
      <c r="BK113" s="223">
        <f>IF('CONTROLE GLOBO AÇOS'!U115="","",'CONTROLE GLOBO AÇOS'!U115)</f>
        <v/>
      </c>
      <c r="BL113" s="223">
        <f>IF(AND('CONTROLE EJ'!P115="",'CONTROLE CMM'!#REF!=""),"",N('CONTROLE EJ'!P115)+N('CONTROLE CMM'!#REF!))</f>
        <v/>
      </c>
      <c r="BM113" s="223">
        <f>IF(AND('CONTROLE EJ'!Q115="",'CONTROLE CMM'!#REF!=""),"",N('CONTROLE EJ'!Q115)+N('CONTROLE CMM'!#REF!))</f>
        <v/>
      </c>
      <c r="BN113" s="223">
        <f>IF('CONTROLE GLOBO AÇOS'!V115="","",'CONTROLE GLOBO AÇOS'!V115)</f>
        <v/>
      </c>
      <c r="BO113" s="223">
        <f>IF('CONTROLE GLOBO AÇOS'!W115="","",'CONTROLE GLOBO AÇOS'!W115)</f>
        <v/>
      </c>
      <c r="BP113" s="223">
        <f>IF(AND('CONTROLE EJ'!R115="",'CONTROLE CMM'!#REF!=""),"",N('CONTROLE EJ'!R115)+N('CONTROLE CMM'!#REF!))</f>
        <v/>
      </c>
      <c r="BQ113" s="223">
        <f>IF(#REF!="","",#REF!)</f>
        <v/>
      </c>
      <c r="BR113" s="223">
        <f>IF(AND('CONTROLE EJ'!S115="",'CONTROLE CMM'!#REF!=""),"",N('CONTROLE EJ'!S115)+N('CONTROLE CMM'!#REF!))</f>
        <v/>
      </c>
      <c r="BS113" s="223">
        <f>IF(AND('CONTROLE EJ'!T115="",'CONTROLE CMM'!#REF!=""),"",N('CONTROLE EJ'!T115)+N('CONTROLE CMM'!#REF!))</f>
        <v/>
      </c>
      <c r="BT113" s="223">
        <f>IF('CONTROLE GLOBO AÇOS'!X115="","",'CONTROLE GLOBO AÇOS'!X115)</f>
        <v/>
      </c>
      <c r="BU113" s="223">
        <f>IF('CONTROLE GLOBO AÇOS'!Y115="","",'CONTROLE GLOBO AÇOS'!Y115)</f>
        <v/>
      </c>
      <c r="BV113" s="223">
        <f>IF(AND('CONTROLE EJ'!U115="",'CONTROLE CMM'!#REF!=""),"",N('CONTROLE EJ'!U115)+N('CONTROLE CMM'!#REF!))</f>
        <v/>
      </c>
      <c r="BW113" s="223">
        <f>IF(#REF!="","",#REF!)</f>
        <v/>
      </c>
    </row>
    <row r="114">
      <c r="A114" s="282" t="n">
        <v>46331</v>
      </c>
      <c r="B114" s="43">
        <f>IF('CONTROLE EJ'!B116="","",'CONTROLE EJ'!B116)</f>
        <v/>
      </c>
      <c r="C114" s="26">
        <f>IF('CONTROLE EJ'!C116="","",'CONTROLE EJ'!C116)</f>
        <v/>
      </c>
      <c r="D114" s="42">
        <f>IF('CONTROLE EJ'!D116="","",'CONTROLE EJ'!D116)</f>
        <v/>
      </c>
      <c r="E114" s="70">
        <f>IF('CONTROLE CMM'!B116="","",'CONTROLE CMM'!B116)</f>
        <v/>
      </c>
      <c r="F114" s="18">
        <f>IF('CONTROLE CMM'!C116="","",'CONTROLE CMM'!C116)</f>
        <v/>
      </c>
      <c r="G114" s="26">
        <f>IF('CONTROLE CMM'!D116="","",'CONTROLE CMM'!D116)</f>
        <v/>
      </c>
      <c r="H114" s="43">
        <f>IF('CONTROLE GLOBO AÇOS'!B116="","",'CONTROLE GLOBO AÇOS'!B116)</f>
        <v/>
      </c>
      <c r="I114" s="18">
        <f>IF('CONTROLE GLOBO AÇOS'!C116="","",'CONTROLE GLOBO AÇOS'!C116)</f>
        <v/>
      </c>
      <c r="J114" s="18">
        <f>IF('CONTROLE GLOBO AÇOS'!D116="","",'CONTROLE GLOBO AÇOS'!D116)</f>
        <v/>
      </c>
      <c r="AD114" s="39">
        <f>IF($A114="",0,IF(AND(WEEKDAY($A114,2)&lt;=5,OR($B114&lt;&gt;"",$C114&lt;&gt;"",$D114&lt;&gt;"")),1,0))</f>
        <v/>
      </c>
      <c r="AE114" s="39">
        <f>IF($A114="",0,IF(AND(WEEKDAY($A114,2)&lt;=5,OR($E114&lt;&gt;"",$F114&lt;&gt;"",$G114&lt;&gt;"")),1,0))</f>
        <v/>
      </c>
      <c r="AF114" s="39">
        <f>MAX(AD114,AE114)</f>
        <v/>
      </c>
      <c r="AH114" s="223">
        <f>IF('CONTROLE GLOBO AÇOS'!E116="","",'CONTROLE GLOBO AÇOS'!E116)</f>
        <v/>
      </c>
      <c r="AI114" s="223">
        <f>IF('CONTROLE GLOBO AÇOS'!F116="","",'CONTROLE GLOBO AÇOS'!F116)</f>
        <v/>
      </c>
      <c r="AJ114" s="223">
        <f>IF(AND('CONTROLE EJ'!E116="",'CONTROLE CMM'!E116=""),"",N('CONTROLE EJ'!E116)+N('CONTROLE CMM'!E116))</f>
        <v/>
      </c>
      <c r="AK114" s="223">
        <f>IF(AND('CONTROLE EJ'!F116="",'CONTROLE CMM'!F116=""),"",N('CONTROLE EJ'!F116)+N('CONTROLE CMM'!F116))</f>
        <v/>
      </c>
      <c r="AL114" s="223">
        <f>IF(AND('CONTROLE EJ'!G116="",'CONTROLE CMM'!G116=""),"",N('CONTROLE EJ'!G116)+N('CONTROLE CMM'!G116))</f>
        <v/>
      </c>
      <c r="AM114" s="223">
        <f>IF(AND('CONTROLE EJ'!H116="",'CONTROLE CMM'!H116=""),"",N('CONTROLE EJ'!H116)+N('CONTROLE CMM'!H116))</f>
        <v/>
      </c>
      <c r="AN114" s="223">
        <f>IF('CONTROLE GLOBO AÇOS'!G116="","",'CONTROLE GLOBO AÇOS'!G116)</f>
        <v/>
      </c>
      <c r="AO114" s="223">
        <f>IF('CONTROLE GLOBO AÇOS'!H116="","",'CONTROLE GLOBO AÇOS'!H116)</f>
        <v/>
      </c>
      <c r="AP114" s="223">
        <f>IF(AND('CONTROLE EJ'!I116="",'CONTROLE CMM'!I116=""),"",N('CONTROLE EJ'!I116)+N('CONTROLE CMM'!I116))</f>
        <v/>
      </c>
      <c r="AQ114" s="223">
        <f>IF(AND('CONTROLE EJ'!J116="",'CONTROLE CMM'!#REF!=""),"",N('CONTROLE EJ'!J116)+N('CONTROLE CMM'!#REF!))</f>
        <v/>
      </c>
      <c r="AR114" s="223">
        <f>IF('CONTROLE GLOBO AÇOS'!I116="","",'CONTROLE GLOBO AÇOS'!I116)</f>
        <v/>
      </c>
      <c r="AS114" s="223">
        <f>IF('CONTROLE GLOBO AÇOS'!J116="","",'CONTROLE GLOBO AÇOS'!J116)</f>
        <v/>
      </c>
      <c r="AT114" s="223">
        <f>IF(#REF!="","",#REF!)</f>
        <v/>
      </c>
      <c r="AU114" s="223">
        <f>IF('CONTROLE GLOBO AÇOS'!K116="","",'CONTROLE GLOBO AÇOS'!K116)</f>
        <v/>
      </c>
      <c r="AV114" s="223">
        <f>IF(AND('CONTROLE EJ'!K116="",'CONTROLE CMM'!#REF!=""),"",N('CONTROLE EJ'!K116)+N('CONTROLE CMM'!#REF!))</f>
        <v/>
      </c>
      <c r="AW114" s="223">
        <f>IF('CONTROLE GLOBO AÇOS'!L116="","",'CONTROLE GLOBO AÇOS'!L116)</f>
        <v/>
      </c>
      <c r="AX114" s="223">
        <f>IF(AND('CONTROLE EJ'!L116="",'CONTROLE CMM'!#REF!=""),"",N('CONTROLE EJ'!L116)+N('CONTROLE CMM'!#REF!))</f>
        <v/>
      </c>
      <c r="AY114" s="223">
        <f>IF('CONTROLE GLOBO AÇOS'!M116="","",'CONTROLE GLOBO AÇOS'!M116)</f>
        <v/>
      </c>
      <c r="AZ114" s="223">
        <f>IF('CONTROLE GLOBO AÇOS'!N116="","",'CONTROLE GLOBO AÇOS'!N116)</f>
        <v/>
      </c>
      <c r="BA114" s="223">
        <f>IF(AND('CONTROLE EJ'!M116="",'CONTROLE CMM'!#REF!=""),"",N('CONTROLE EJ'!M116)+N('CONTROLE CMM'!#REF!))</f>
        <v/>
      </c>
      <c r="BB114" s="223">
        <f>IF(#REF!="","",#REF!)</f>
        <v/>
      </c>
      <c r="BC114" s="223">
        <f>IF('CONTROLE GLOBO AÇOS'!O116="","",'CONTROLE GLOBO AÇOS'!O116)</f>
        <v/>
      </c>
      <c r="BD114" s="223">
        <f>IF(AND('CONTROLE EJ'!N116="",'CONTROLE CMM'!#REF!=""),"",N('CONTROLE EJ'!N116)+N('CONTROLE CMM'!#REF!))</f>
        <v/>
      </c>
      <c r="BE114" s="223">
        <f>IF('CONTROLE GLOBO AÇOS'!P116="","",'CONTROLE GLOBO AÇOS'!P116)</f>
        <v/>
      </c>
      <c r="BF114" s="223">
        <f>IF('CONTROLE GLOBO AÇOS'!Q116="","",'CONTROLE GLOBO AÇOS'!Q116)</f>
        <v/>
      </c>
      <c r="BG114" s="223">
        <f>IF('CONTROLE GLOBO AÇOS'!R116="","",'CONTROLE GLOBO AÇOS'!R116)</f>
        <v/>
      </c>
      <c r="BH114" s="223">
        <f>IF(AND('CONTROLE EJ'!O116="",'CONTROLE CMM'!#REF!=""),"",N('CONTROLE EJ'!O116)+N('CONTROLE CMM'!#REF!))</f>
        <v/>
      </c>
      <c r="BI114" s="223">
        <f>IF('CONTROLE GLOBO AÇOS'!S116="","",'CONTROLE GLOBO AÇOS'!S116)</f>
        <v/>
      </c>
      <c r="BJ114" s="223">
        <f>IF('CONTROLE GLOBO AÇOS'!T116="","",'CONTROLE GLOBO AÇOS'!T116)</f>
        <v/>
      </c>
      <c r="BK114" s="223">
        <f>IF('CONTROLE GLOBO AÇOS'!U116="","",'CONTROLE GLOBO AÇOS'!U116)</f>
        <v/>
      </c>
      <c r="BL114" s="223">
        <f>IF(AND('CONTROLE EJ'!P116="",'CONTROLE CMM'!#REF!=""),"",N('CONTROLE EJ'!P116)+N('CONTROLE CMM'!#REF!))</f>
        <v/>
      </c>
      <c r="BM114" s="223">
        <f>IF(AND('CONTROLE EJ'!Q116="",'CONTROLE CMM'!#REF!=""),"",N('CONTROLE EJ'!Q116)+N('CONTROLE CMM'!#REF!))</f>
        <v/>
      </c>
      <c r="BN114" s="223">
        <f>IF('CONTROLE GLOBO AÇOS'!V116="","",'CONTROLE GLOBO AÇOS'!V116)</f>
        <v/>
      </c>
      <c r="BO114" s="223">
        <f>IF('CONTROLE GLOBO AÇOS'!W116="","",'CONTROLE GLOBO AÇOS'!W116)</f>
        <v/>
      </c>
      <c r="BP114" s="223">
        <f>IF(AND('CONTROLE EJ'!R116="",'CONTROLE CMM'!#REF!=""),"",N('CONTROLE EJ'!R116)+N('CONTROLE CMM'!#REF!))</f>
        <v/>
      </c>
      <c r="BQ114" s="223">
        <f>IF(#REF!="","",#REF!)</f>
        <v/>
      </c>
      <c r="BR114" s="223">
        <f>IF(AND('CONTROLE EJ'!S116="",'CONTROLE CMM'!#REF!=""),"",N('CONTROLE EJ'!S116)+N('CONTROLE CMM'!#REF!))</f>
        <v/>
      </c>
      <c r="BS114" s="223">
        <f>IF(AND('CONTROLE EJ'!T116="",'CONTROLE CMM'!#REF!=""),"",N('CONTROLE EJ'!T116)+N('CONTROLE CMM'!#REF!))</f>
        <v/>
      </c>
      <c r="BT114" s="223">
        <f>IF('CONTROLE GLOBO AÇOS'!X116="","",'CONTROLE GLOBO AÇOS'!X116)</f>
        <v/>
      </c>
      <c r="BU114" s="223">
        <f>IF('CONTROLE GLOBO AÇOS'!Y116="","",'CONTROLE GLOBO AÇOS'!Y116)</f>
        <v/>
      </c>
      <c r="BV114" s="223">
        <f>IF(AND('CONTROLE EJ'!U116="",'CONTROLE CMM'!#REF!=""),"",N('CONTROLE EJ'!U116)+N('CONTROLE CMM'!#REF!))</f>
        <v/>
      </c>
      <c r="BW114" s="223">
        <f>IF(#REF!="","",#REF!)</f>
        <v/>
      </c>
    </row>
    <row r="115">
      <c r="A115" s="282" t="n">
        <v>46332</v>
      </c>
      <c r="B115" s="223">
        <f>IF('CONTROLE EJ'!B117="","",'CONTROLE EJ'!B117)</f>
        <v/>
      </c>
      <c r="C115" s="26">
        <f>IF('CONTROLE EJ'!C117="","",'CONTROLE EJ'!C117)</f>
        <v/>
      </c>
      <c r="D115" s="42">
        <f>IF('CONTROLE EJ'!D117="","",'CONTROLE EJ'!D117)</f>
        <v/>
      </c>
      <c r="E115" s="70">
        <f>IF('CONTROLE CMM'!B117="","",'CONTROLE CMM'!B117)</f>
        <v/>
      </c>
      <c r="F115" s="18">
        <f>IF('CONTROLE CMM'!C117="","",'CONTROLE CMM'!C117)</f>
        <v/>
      </c>
      <c r="G115" s="26">
        <f>IF('CONTROLE CMM'!D117="","",'CONTROLE CMM'!D117)</f>
        <v/>
      </c>
      <c r="H115" s="43">
        <f>IF('CONTROLE GLOBO AÇOS'!B117="","",'CONTROLE GLOBO AÇOS'!B117)</f>
        <v/>
      </c>
      <c r="I115" s="18">
        <f>IF('CONTROLE GLOBO AÇOS'!C117="","",'CONTROLE GLOBO AÇOS'!C117)</f>
        <v/>
      </c>
      <c r="J115" s="18">
        <f>IF('CONTROLE GLOBO AÇOS'!D117="","",'CONTROLE GLOBO AÇOS'!D117)</f>
        <v/>
      </c>
      <c r="AD115" s="39">
        <f>IF($A115="",0,IF(AND(WEEKDAY($A115,2)&lt;=5,OR($B115&lt;&gt;"",$C115&lt;&gt;"",$D115&lt;&gt;"")),1,0))</f>
        <v/>
      </c>
      <c r="AE115" s="39">
        <f>IF($A115="",0,IF(AND(WEEKDAY($A115,2)&lt;=5,OR($E115&lt;&gt;"",$F115&lt;&gt;"",$G115&lt;&gt;"")),1,0))</f>
        <v/>
      </c>
      <c r="AF115" s="39">
        <f>MAX(AD115,AE115)</f>
        <v/>
      </c>
      <c r="AH115" s="223">
        <f>IF('CONTROLE GLOBO AÇOS'!E117="","",'CONTROLE GLOBO AÇOS'!E117)</f>
        <v/>
      </c>
      <c r="AI115" s="223">
        <f>IF('CONTROLE GLOBO AÇOS'!F117="","",'CONTROLE GLOBO AÇOS'!F117)</f>
        <v/>
      </c>
      <c r="AJ115" s="223">
        <f>IF(AND('CONTROLE EJ'!E117="",'CONTROLE CMM'!E117=""),"",N('CONTROLE EJ'!E117)+N('CONTROLE CMM'!E117))</f>
        <v/>
      </c>
      <c r="AK115" s="223">
        <f>IF(AND('CONTROLE EJ'!F117="",'CONTROLE CMM'!F117=""),"",N('CONTROLE EJ'!F117)+N('CONTROLE CMM'!F117))</f>
        <v/>
      </c>
      <c r="AL115" s="223">
        <f>IF(AND('CONTROLE EJ'!G117="",'CONTROLE CMM'!G117=""),"",N('CONTROLE EJ'!G117)+N('CONTROLE CMM'!G117))</f>
        <v/>
      </c>
      <c r="AM115" s="223">
        <f>IF(AND('CONTROLE EJ'!H117="",'CONTROLE CMM'!H117=""),"",N('CONTROLE EJ'!H117)+N('CONTROLE CMM'!H117))</f>
        <v/>
      </c>
      <c r="AN115" s="223">
        <f>IF('CONTROLE GLOBO AÇOS'!G117="","",'CONTROLE GLOBO AÇOS'!G117)</f>
        <v/>
      </c>
      <c r="AO115" s="223">
        <f>IF('CONTROLE GLOBO AÇOS'!H117="","",'CONTROLE GLOBO AÇOS'!H117)</f>
        <v/>
      </c>
      <c r="AP115" s="223">
        <f>IF(AND('CONTROLE EJ'!I117="",'CONTROLE CMM'!I117=""),"",N('CONTROLE EJ'!I117)+N('CONTROLE CMM'!I117))</f>
        <v/>
      </c>
      <c r="AQ115" s="223">
        <f>IF(AND('CONTROLE EJ'!J117="",'CONTROLE CMM'!#REF!=""),"",N('CONTROLE EJ'!J117)+N('CONTROLE CMM'!#REF!))</f>
        <v/>
      </c>
      <c r="AR115" s="223">
        <f>IF('CONTROLE GLOBO AÇOS'!I117="","",'CONTROLE GLOBO AÇOS'!I117)</f>
        <v/>
      </c>
      <c r="AS115" s="223">
        <f>IF('CONTROLE GLOBO AÇOS'!J117="","",'CONTROLE GLOBO AÇOS'!J117)</f>
        <v/>
      </c>
      <c r="AT115" s="223">
        <f>IF(#REF!="","",#REF!)</f>
        <v/>
      </c>
      <c r="AU115" s="223">
        <f>IF('CONTROLE GLOBO AÇOS'!K117="","",'CONTROLE GLOBO AÇOS'!K117)</f>
        <v/>
      </c>
      <c r="AV115" s="223">
        <f>IF(AND('CONTROLE EJ'!K117="",'CONTROLE CMM'!#REF!=""),"",N('CONTROLE EJ'!K117)+N('CONTROLE CMM'!#REF!))</f>
        <v/>
      </c>
      <c r="AW115" s="223">
        <f>IF('CONTROLE GLOBO AÇOS'!L117="","",'CONTROLE GLOBO AÇOS'!L117)</f>
        <v/>
      </c>
      <c r="AX115" s="223">
        <f>IF(AND('CONTROLE EJ'!L117="",'CONTROLE CMM'!#REF!=""),"",N('CONTROLE EJ'!L117)+N('CONTROLE CMM'!#REF!))</f>
        <v/>
      </c>
      <c r="AY115" s="223">
        <f>IF('CONTROLE GLOBO AÇOS'!M117="","",'CONTROLE GLOBO AÇOS'!M117)</f>
        <v/>
      </c>
      <c r="AZ115" s="223">
        <f>IF('CONTROLE GLOBO AÇOS'!N117="","",'CONTROLE GLOBO AÇOS'!N117)</f>
        <v/>
      </c>
      <c r="BA115" s="223">
        <f>IF(AND('CONTROLE EJ'!M117="",'CONTROLE CMM'!#REF!=""),"",N('CONTROLE EJ'!M117)+N('CONTROLE CMM'!#REF!))</f>
        <v/>
      </c>
      <c r="BB115" s="223">
        <f>IF(#REF!="","",#REF!)</f>
        <v/>
      </c>
      <c r="BC115" s="223">
        <f>IF('CONTROLE GLOBO AÇOS'!O117="","",'CONTROLE GLOBO AÇOS'!O117)</f>
        <v/>
      </c>
      <c r="BD115" s="223">
        <f>IF(AND('CONTROLE EJ'!N117="",'CONTROLE CMM'!#REF!=""),"",N('CONTROLE EJ'!N117)+N('CONTROLE CMM'!#REF!))</f>
        <v/>
      </c>
      <c r="BE115" s="223">
        <f>IF('CONTROLE GLOBO AÇOS'!P117="","",'CONTROLE GLOBO AÇOS'!P117)</f>
        <v/>
      </c>
      <c r="BF115" s="223">
        <f>IF('CONTROLE GLOBO AÇOS'!Q117="","",'CONTROLE GLOBO AÇOS'!Q117)</f>
        <v/>
      </c>
      <c r="BG115" s="223">
        <f>IF('CONTROLE GLOBO AÇOS'!R117="","",'CONTROLE GLOBO AÇOS'!R117)</f>
        <v/>
      </c>
      <c r="BH115" s="223">
        <f>IF(AND('CONTROLE EJ'!O117="",'CONTROLE CMM'!#REF!=""),"",N('CONTROLE EJ'!O117)+N('CONTROLE CMM'!#REF!))</f>
        <v/>
      </c>
      <c r="BI115" s="223">
        <f>IF('CONTROLE GLOBO AÇOS'!S117="","",'CONTROLE GLOBO AÇOS'!S117)</f>
        <v/>
      </c>
      <c r="BJ115" s="223">
        <f>IF('CONTROLE GLOBO AÇOS'!T117="","",'CONTROLE GLOBO AÇOS'!T117)</f>
        <v/>
      </c>
      <c r="BK115" s="223">
        <f>IF('CONTROLE GLOBO AÇOS'!U117="","",'CONTROLE GLOBO AÇOS'!U117)</f>
        <v/>
      </c>
      <c r="BL115" s="223">
        <f>IF(AND('CONTROLE EJ'!P117="",'CONTROLE CMM'!#REF!=""),"",N('CONTROLE EJ'!P117)+N('CONTROLE CMM'!#REF!))</f>
        <v/>
      </c>
      <c r="BM115" s="223">
        <f>IF(AND('CONTROLE EJ'!Q117="",'CONTROLE CMM'!#REF!=""),"",N('CONTROLE EJ'!Q117)+N('CONTROLE CMM'!#REF!))</f>
        <v/>
      </c>
      <c r="BN115" s="223">
        <f>IF('CONTROLE GLOBO AÇOS'!V117="","",'CONTROLE GLOBO AÇOS'!V117)</f>
        <v/>
      </c>
      <c r="BO115" s="223">
        <f>IF('CONTROLE GLOBO AÇOS'!W117="","",'CONTROLE GLOBO AÇOS'!W117)</f>
        <v/>
      </c>
      <c r="BP115" s="223">
        <f>IF(AND('CONTROLE EJ'!R117="",'CONTROLE CMM'!#REF!=""),"",N('CONTROLE EJ'!R117)+N('CONTROLE CMM'!#REF!))</f>
        <v/>
      </c>
      <c r="BQ115" s="223">
        <f>IF(#REF!="","",#REF!)</f>
        <v/>
      </c>
      <c r="BR115" s="223">
        <f>IF(AND('CONTROLE EJ'!S117="",'CONTROLE CMM'!#REF!=""),"",N('CONTROLE EJ'!S117)+N('CONTROLE CMM'!#REF!))</f>
        <v/>
      </c>
      <c r="BS115" s="223">
        <f>IF(AND('CONTROLE EJ'!T117="",'CONTROLE CMM'!#REF!=""),"",N('CONTROLE EJ'!T117)+N('CONTROLE CMM'!#REF!))</f>
        <v/>
      </c>
      <c r="BT115" s="223">
        <f>IF('CONTROLE GLOBO AÇOS'!X117="","",'CONTROLE GLOBO AÇOS'!X117)</f>
        <v/>
      </c>
      <c r="BU115" s="223">
        <f>IF('CONTROLE GLOBO AÇOS'!Y117="","",'CONTROLE GLOBO AÇOS'!Y117)</f>
        <v/>
      </c>
      <c r="BV115" s="223">
        <f>IF(AND('CONTROLE EJ'!U117="",'CONTROLE CMM'!#REF!=""),"",N('CONTROLE EJ'!U117)+N('CONTROLE CMM'!#REF!))</f>
        <v/>
      </c>
      <c r="BW115" s="223">
        <f>IF(#REF!="","",#REF!)</f>
        <v/>
      </c>
    </row>
    <row r="116">
      <c r="A116" s="282" t="n">
        <v>46333</v>
      </c>
      <c r="B116" s="223">
        <f>IF('CONTROLE EJ'!B118="","",'CONTROLE EJ'!B118)</f>
        <v/>
      </c>
      <c r="C116" s="26">
        <f>IF('CONTROLE EJ'!C118="","",'CONTROLE EJ'!C118)</f>
        <v/>
      </c>
      <c r="D116" s="42">
        <f>IF('CONTROLE EJ'!D118="","",'CONTROLE EJ'!D118)</f>
        <v/>
      </c>
      <c r="E116" s="70">
        <f>IF('CONTROLE CMM'!B118="","",'CONTROLE CMM'!B118)</f>
        <v/>
      </c>
      <c r="F116" s="18">
        <f>IF('CONTROLE CMM'!C118="","",'CONTROLE CMM'!C118)</f>
        <v/>
      </c>
      <c r="G116" s="26">
        <f>IF('CONTROLE CMM'!D118="","",'CONTROLE CMM'!D118)</f>
        <v/>
      </c>
      <c r="H116" s="43">
        <f>IF('CONTROLE GLOBO AÇOS'!B118="","",'CONTROLE GLOBO AÇOS'!B118)</f>
        <v/>
      </c>
      <c r="I116" s="18">
        <f>IF('CONTROLE GLOBO AÇOS'!C118="","",'CONTROLE GLOBO AÇOS'!C118)</f>
        <v/>
      </c>
      <c r="J116" s="18">
        <f>IF('CONTROLE GLOBO AÇOS'!D118="","",'CONTROLE GLOBO AÇOS'!D118)</f>
        <v/>
      </c>
      <c r="AD116" s="39">
        <f>IF($A116="",0,IF(AND(WEEKDAY($A116,2)&lt;=5,OR($B116&lt;&gt;"",$C116&lt;&gt;"",$D116&lt;&gt;"")),1,0))</f>
        <v/>
      </c>
      <c r="AE116" s="39">
        <f>IF($A116="",0,IF(AND(WEEKDAY($A116,2)&lt;=5,OR($E116&lt;&gt;"",$F116&lt;&gt;"",$G116&lt;&gt;"")),1,0))</f>
        <v/>
      </c>
      <c r="AF116" s="39">
        <f>MAX(AD116,AE116)</f>
        <v/>
      </c>
      <c r="AH116" s="223">
        <f>IF('CONTROLE GLOBO AÇOS'!E118="","",'CONTROLE GLOBO AÇOS'!E118)</f>
        <v/>
      </c>
      <c r="AI116" s="223">
        <f>IF('CONTROLE GLOBO AÇOS'!F118="","",'CONTROLE GLOBO AÇOS'!F118)</f>
        <v/>
      </c>
      <c r="AJ116" s="223">
        <f>IF(AND('CONTROLE EJ'!E118="",'CONTROLE CMM'!E118=""),"",N('CONTROLE EJ'!E118)+N('CONTROLE CMM'!E118))</f>
        <v/>
      </c>
      <c r="AK116" s="223">
        <f>IF(AND('CONTROLE EJ'!F118="",'CONTROLE CMM'!F118=""),"",N('CONTROLE EJ'!F118)+N('CONTROLE CMM'!F118))</f>
        <v/>
      </c>
      <c r="AL116" s="223">
        <f>IF(AND('CONTROLE EJ'!G118="",'CONTROLE CMM'!G118=""),"",N('CONTROLE EJ'!G118)+N('CONTROLE CMM'!G118))</f>
        <v/>
      </c>
      <c r="AM116" s="223">
        <f>IF(AND('CONTROLE EJ'!H118="",'CONTROLE CMM'!H118=""),"",N('CONTROLE EJ'!H118)+N('CONTROLE CMM'!H118))</f>
        <v/>
      </c>
      <c r="AN116" s="223">
        <f>IF('CONTROLE GLOBO AÇOS'!G118="","",'CONTROLE GLOBO AÇOS'!G118)</f>
        <v/>
      </c>
      <c r="AO116" s="223">
        <f>IF('CONTROLE GLOBO AÇOS'!H118="","",'CONTROLE GLOBO AÇOS'!H118)</f>
        <v/>
      </c>
      <c r="AP116" s="223">
        <f>IF(AND('CONTROLE EJ'!I118="",'CONTROLE CMM'!I118=""),"",N('CONTROLE EJ'!I118)+N('CONTROLE CMM'!I118))</f>
        <v/>
      </c>
      <c r="AQ116" s="223">
        <f>IF(AND('CONTROLE EJ'!J118="",'CONTROLE CMM'!#REF!=""),"",N('CONTROLE EJ'!J118)+N('CONTROLE CMM'!#REF!))</f>
        <v/>
      </c>
      <c r="AR116" s="223">
        <f>IF('CONTROLE GLOBO AÇOS'!I118="","",'CONTROLE GLOBO AÇOS'!I118)</f>
        <v/>
      </c>
      <c r="AS116" s="223">
        <f>IF('CONTROLE GLOBO AÇOS'!J118="","",'CONTROLE GLOBO AÇOS'!J118)</f>
        <v/>
      </c>
      <c r="AT116" s="223">
        <f>IF(#REF!="","",#REF!)</f>
        <v/>
      </c>
      <c r="AU116" s="223">
        <f>IF('CONTROLE GLOBO AÇOS'!K118="","",'CONTROLE GLOBO AÇOS'!K118)</f>
        <v/>
      </c>
      <c r="AV116" s="223">
        <f>IF(AND('CONTROLE EJ'!K118="",'CONTROLE CMM'!#REF!=""),"",N('CONTROLE EJ'!K118)+N('CONTROLE CMM'!#REF!))</f>
        <v/>
      </c>
      <c r="AW116" s="223">
        <f>IF('CONTROLE GLOBO AÇOS'!L118="","",'CONTROLE GLOBO AÇOS'!L118)</f>
        <v/>
      </c>
      <c r="AX116" s="223">
        <f>IF(AND('CONTROLE EJ'!L118="",'CONTROLE CMM'!#REF!=""),"",N('CONTROLE EJ'!L118)+N('CONTROLE CMM'!#REF!))</f>
        <v/>
      </c>
      <c r="AY116" s="223">
        <f>IF('CONTROLE GLOBO AÇOS'!M118="","",'CONTROLE GLOBO AÇOS'!M118)</f>
        <v/>
      </c>
      <c r="AZ116" s="223">
        <f>IF('CONTROLE GLOBO AÇOS'!N118="","",'CONTROLE GLOBO AÇOS'!N118)</f>
        <v/>
      </c>
      <c r="BA116" s="223">
        <f>IF(AND('CONTROLE EJ'!M118="",'CONTROLE CMM'!#REF!=""),"",N('CONTROLE EJ'!M118)+N('CONTROLE CMM'!#REF!))</f>
        <v/>
      </c>
      <c r="BB116" s="223">
        <f>IF(#REF!="","",#REF!)</f>
        <v/>
      </c>
      <c r="BC116" s="223">
        <f>IF('CONTROLE GLOBO AÇOS'!O118="","",'CONTROLE GLOBO AÇOS'!O118)</f>
        <v/>
      </c>
      <c r="BD116" s="223">
        <f>IF(AND('CONTROLE EJ'!N118="",'CONTROLE CMM'!#REF!=""),"",N('CONTROLE EJ'!N118)+N('CONTROLE CMM'!#REF!))</f>
        <v/>
      </c>
      <c r="BE116" s="223">
        <f>IF('CONTROLE GLOBO AÇOS'!P118="","",'CONTROLE GLOBO AÇOS'!P118)</f>
        <v/>
      </c>
      <c r="BF116" s="223">
        <f>IF('CONTROLE GLOBO AÇOS'!Q118="","",'CONTROLE GLOBO AÇOS'!Q118)</f>
        <v/>
      </c>
      <c r="BG116" s="223">
        <f>IF('CONTROLE GLOBO AÇOS'!R118="","",'CONTROLE GLOBO AÇOS'!R118)</f>
        <v/>
      </c>
      <c r="BH116" s="223">
        <f>IF(AND('CONTROLE EJ'!O118="",'CONTROLE CMM'!#REF!=""),"",N('CONTROLE EJ'!O118)+N('CONTROLE CMM'!#REF!))</f>
        <v/>
      </c>
      <c r="BI116" s="223">
        <f>IF('CONTROLE GLOBO AÇOS'!S118="","",'CONTROLE GLOBO AÇOS'!S118)</f>
        <v/>
      </c>
      <c r="BJ116" s="223">
        <f>IF('CONTROLE GLOBO AÇOS'!T118="","",'CONTROLE GLOBO AÇOS'!T118)</f>
        <v/>
      </c>
      <c r="BK116" s="223">
        <f>IF('CONTROLE GLOBO AÇOS'!U118="","",'CONTROLE GLOBO AÇOS'!U118)</f>
        <v/>
      </c>
      <c r="BL116" s="223">
        <f>IF(AND('CONTROLE EJ'!P118="",'CONTROLE CMM'!#REF!=""),"",N('CONTROLE EJ'!P118)+N('CONTROLE CMM'!#REF!))</f>
        <v/>
      </c>
      <c r="BM116" s="223">
        <f>IF(AND('CONTROLE EJ'!Q118="",'CONTROLE CMM'!#REF!=""),"",N('CONTROLE EJ'!Q118)+N('CONTROLE CMM'!#REF!))</f>
        <v/>
      </c>
      <c r="BN116" s="223">
        <f>IF('CONTROLE GLOBO AÇOS'!V118="","",'CONTROLE GLOBO AÇOS'!V118)</f>
        <v/>
      </c>
      <c r="BO116" s="223">
        <f>IF('CONTROLE GLOBO AÇOS'!W118="","",'CONTROLE GLOBO AÇOS'!W118)</f>
        <v/>
      </c>
      <c r="BP116" s="223">
        <f>IF(AND('CONTROLE EJ'!R118="",'CONTROLE CMM'!#REF!=""),"",N('CONTROLE EJ'!R118)+N('CONTROLE CMM'!#REF!))</f>
        <v/>
      </c>
      <c r="BQ116" s="223">
        <f>IF(#REF!="","",#REF!)</f>
        <v/>
      </c>
      <c r="BR116" s="223">
        <f>IF(AND('CONTROLE EJ'!S118="",'CONTROLE CMM'!#REF!=""),"",N('CONTROLE EJ'!S118)+N('CONTROLE CMM'!#REF!))</f>
        <v/>
      </c>
      <c r="BS116" s="223">
        <f>IF(AND('CONTROLE EJ'!T118="",'CONTROLE CMM'!#REF!=""),"",N('CONTROLE EJ'!T118)+N('CONTROLE CMM'!#REF!))</f>
        <v/>
      </c>
      <c r="BT116" s="223">
        <f>IF('CONTROLE GLOBO AÇOS'!X118="","",'CONTROLE GLOBO AÇOS'!X118)</f>
        <v/>
      </c>
      <c r="BU116" s="223">
        <f>IF('CONTROLE GLOBO AÇOS'!Y118="","",'CONTROLE GLOBO AÇOS'!Y118)</f>
        <v/>
      </c>
      <c r="BV116" s="223">
        <f>IF(AND('CONTROLE EJ'!U118="",'CONTROLE CMM'!#REF!=""),"",N('CONTROLE EJ'!U118)+N('CONTROLE CMM'!#REF!))</f>
        <v/>
      </c>
      <c r="BW116" s="223">
        <f>IF(#REF!="","",#REF!)</f>
        <v/>
      </c>
    </row>
    <row r="117">
      <c r="A117" s="282" t="n">
        <v>46334</v>
      </c>
      <c r="B117" s="223">
        <f>IF('CONTROLE EJ'!B119="","",'CONTROLE EJ'!B119)</f>
        <v/>
      </c>
      <c r="C117" s="26">
        <f>IF('CONTROLE EJ'!C119="","",'CONTROLE EJ'!C119)</f>
        <v/>
      </c>
      <c r="D117" s="42">
        <f>IF('CONTROLE EJ'!D119="","",'CONTROLE EJ'!D119)</f>
        <v/>
      </c>
      <c r="E117" s="70">
        <f>IF('CONTROLE CMM'!B119="","",'CONTROLE CMM'!B119)</f>
        <v/>
      </c>
      <c r="F117" s="18">
        <f>IF('CONTROLE CMM'!C119="","",'CONTROLE CMM'!C119)</f>
        <v/>
      </c>
      <c r="G117" s="26">
        <f>IF('CONTROLE CMM'!D119="","",'CONTROLE CMM'!D119)</f>
        <v/>
      </c>
      <c r="H117" s="43">
        <f>IF('CONTROLE GLOBO AÇOS'!B119="","",'CONTROLE GLOBO AÇOS'!B119)</f>
        <v/>
      </c>
      <c r="I117" s="18">
        <f>IF('CONTROLE GLOBO AÇOS'!C119="","",'CONTROLE GLOBO AÇOS'!C119)</f>
        <v/>
      </c>
      <c r="J117" s="18">
        <f>IF('CONTROLE GLOBO AÇOS'!D119="","",'CONTROLE GLOBO AÇOS'!D119)</f>
        <v/>
      </c>
      <c r="AD117" s="39">
        <f>IF($A117="",0,IF(AND(WEEKDAY($A117,2)&lt;=5,OR($B117&lt;&gt;"",$C117&lt;&gt;"",$D117&lt;&gt;"")),1,0))</f>
        <v/>
      </c>
      <c r="AE117" s="39">
        <f>IF($A117="",0,IF(AND(WEEKDAY($A117,2)&lt;=5,OR($E117&lt;&gt;"",$F117&lt;&gt;"",$G117&lt;&gt;"")),1,0))</f>
        <v/>
      </c>
      <c r="AF117" s="39">
        <f>MAX(AD117,AE117)</f>
        <v/>
      </c>
      <c r="AH117" s="223">
        <f>IF('CONTROLE GLOBO AÇOS'!E119="","",'CONTROLE GLOBO AÇOS'!E119)</f>
        <v/>
      </c>
      <c r="AI117" s="223">
        <f>IF('CONTROLE GLOBO AÇOS'!F119="","",'CONTROLE GLOBO AÇOS'!F119)</f>
        <v/>
      </c>
      <c r="AJ117" s="223">
        <f>IF(AND('CONTROLE EJ'!E119="",'CONTROLE CMM'!E119=""),"",N('CONTROLE EJ'!E119)+N('CONTROLE CMM'!E119))</f>
        <v/>
      </c>
      <c r="AK117" s="223">
        <f>IF(AND('CONTROLE EJ'!F119="",'CONTROLE CMM'!F119=""),"",N('CONTROLE EJ'!F119)+N('CONTROLE CMM'!F119))</f>
        <v/>
      </c>
      <c r="AL117" s="223">
        <f>IF(AND('CONTROLE EJ'!G119="",'CONTROLE CMM'!G119=""),"",N('CONTROLE EJ'!G119)+N('CONTROLE CMM'!G119))</f>
        <v/>
      </c>
      <c r="AM117" s="223">
        <f>IF(AND('CONTROLE EJ'!H119="",'CONTROLE CMM'!H119=""),"",N('CONTROLE EJ'!H119)+N('CONTROLE CMM'!H119))</f>
        <v/>
      </c>
      <c r="AN117" s="223">
        <f>IF('CONTROLE GLOBO AÇOS'!G119="","",'CONTROLE GLOBO AÇOS'!G119)</f>
        <v/>
      </c>
      <c r="AO117" s="223">
        <f>IF('CONTROLE GLOBO AÇOS'!H119="","",'CONTROLE GLOBO AÇOS'!H119)</f>
        <v/>
      </c>
      <c r="AP117" s="223">
        <f>IF(AND('CONTROLE EJ'!I119="",'CONTROLE CMM'!I119=""),"",N('CONTROLE EJ'!I119)+N('CONTROLE CMM'!I119))</f>
        <v/>
      </c>
      <c r="AQ117" s="223">
        <f>IF(AND('CONTROLE EJ'!J119="",'CONTROLE CMM'!#REF!=""),"",N('CONTROLE EJ'!J119)+N('CONTROLE CMM'!#REF!))</f>
        <v/>
      </c>
      <c r="AR117" s="223">
        <f>IF('CONTROLE GLOBO AÇOS'!I119="","",'CONTROLE GLOBO AÇOS'!I119)</f>
        <v/>
      </c>
      <c r="AS117" s="223">
        <f>IF('CONTROLE GLOBO AÇOS'!J119="","",'CONTROLE GLOBO AÇOS'!J119)</f>
        <v/>
      </c>
      <c r="AT117" s="223">
        <f>IF(#REF!="","",#REF!)</f>
        <v/>
      </c>
      <c r="AU117" s="223">
        <f>IF('CONTROLE GLOBO AÇOS'!K119="","",'CONTROLE GLOBO AÇOS'!K119)</f>
        <v/>
      </c>
      <c r="AV117" s="223">
        <f>IF(AND('CONTROLE EJ'!K119="",'CONTROLE CMM'!#REF!=""),"",N('CONTROLE EJ'!K119)+N('CONTROLE CMM'!#REF!))</f>
        <v/>
      </c>
      <c r="AW117" s="223">
        <f>IF('CONTROLE GLOBO AÇOS'!L119="","",'CONTROLE GLOBO AÇOS'!L119)</f>
        <v/>
      </c>
      <c r="AX117" s="223">
        <f>IF(AND('CONTROLE EJ'!L119="",'CONTROLE CMM'!#REF!=""),"",N('CONTROLE EJ'!L119)+N('CONTROLE CMM'!#REF!))</f>
        <v/>
      </c>
      <c r="AY117" s="223">
        <f>IF('CONTROLE GLOBO AÇOS'!M119="","",'CONTROLE GLOBO AÇOS'!M119)</f>
        <v/>
      </c>
      <c r="AZ117" s="223">
        <f>IF('CONTROLE GLOBO AÇOS'!N119="","",'CONTROLE GLOBO AÇOS'!N119)</f>
        <v/>
      </c>
      <c r="BA117" s="223">
        <f>IF(AND('CONTROLE EJ'!M119="",'CONTROLE CMM'!#REF!=""),"",N('CONTROLE EJ'!M119)+N('CONTROLE CMM'!#REF!))</f>
        <v/>
      </c>
      <c r="BB117" s="223">
        <f>IF(#REF!="","",#REF!)</f>
        <v/>
      </c>
      <c r="BC117" s="223">
        <f>IF('CONTROLE GLOBO AÇOS'!O119="","",'CONTROLE GLOBO AÇOS'!O119)</f>
        <v/>
      </c>
      <c r="BD117" s="223">
        <f>IF(AND('CONTROLE EJ'!N119="",'CONTROLE CMM'!#REF!=""),"",N('CONTROLE EJ'!N119)+N('CONTROLE CMM'!#REF!))</f>
        <v/>
      </c>
      <c r="BE117" s="223">
        <f>IF('CONTROLE GLOBO AÇOS'!P119="","",'CONTROLE GLOBO AÇOS'!P119)</f>
        <v/>
      </c>
      <c r="BF117" s="223">
        <f>IF('CONTROLE GLOBO AÇOS'!Q119="","",'CONTROLE GLOBO AÇOS'!Q119)</f>
        <v/>
      </c>
      <c r="BG117" s="223">
        <f>IF('CONTROLE GLOBO AÇOS'!R119="","",'CONTROLE GLOBO AÇOS'!R119)</f>
        <v/>
      </c>
      <c r="BH117" s="223">
        <f>IF(AND('CONTROLE EJ'!O119="",'CONTROLE CMM'!#REF!=""),"",N('CONTROLE EJ'!O119)+N('CONTROLE CMM'!#REF!))</f>
        <v/>
      </c>
      <c r="BI117" s="223">
        <f>IF('CONTROLE GLOBO AÇOS'!S119="","",'CONTROLE GLOBO AÇOS'!S119)</f>
        <v/>
      </c>
      <c r="BJ117" s="223">
        <f>IF('CONTROLE GLOBO AÇOS'!T119="","",'CONTROLE GLOBO AÇOS'!T119)</f>
        <v/>
      </c>
      <c r="BK117" s="223">
        <f>IF('CONTROLE GLOBO AÇOS'!U119="","",'CONTROLE GLOBO AÇOS'!U119)</f>
        <v/>
      </c>
      <c r="BL117" s="223">
        <f>IF(AND('CONTROLE EJ'!P119="",'CONTROLE CMM'!#REF!=""),"",N('CONTROLE EJ'!P119)+N('CONTROLE CMM'!#REF!))</f>
        <v/>
      </c>
      <c r="BM117" s="223">
        <f>IF(AND('CONTROLE EJ'!Q119="",'CONTROLE CMM'!#REF!=""),"",N('CONTROLE EJ'!Q119)+N('CONTROLE CMM'!#REF!))</f>
        <v/>
      </c>
      <c r="BN117" s="223">
        <f>IF('CONTROLE GLOBO AÇOS'!V119="","",'CONTROLE GLOBO AÇOS'!V119)</f>
        <v/>
      </c>
      <c r="BO117" s="223">
        <f>IF('CONTROLE GLOBO AÇOS'!W119="","",'CONTROLE GLOBO AÇOS'!W119)</f>
        <v/>
      </c>
      <c r="BP117" s="223">
        <f>IF(AND('CONTROLE EJ'!R119="",'CONTROLE CMM'!#REF!=""),"",N('CONTROLE EJ'!R119)+N('CONTROLE CMM'!#REF!))</f>
        <v/>
      </c>
      <c r="BQ117" s="223">
        <f>IF(#REF!="","",#REF!)</f>
        <v/>
      </c>
      <c r="BR117" s="223">
        <f>IF(AND('CONTROLE EJ'!S119="",'CONTROLE CMM'!#REF!=""),"",N('CONTROLE EJ'!S119)+N('CONTROLE CMM'!#REF!))</f>
        <v/>
      </c>
      <c r="BS117" s="223">
        <f>IF(AND('CONTROLE EJ'!T119="",'CONTROLE CMM'!#REF!=""),"",N('CONTROLE EJ'!T119)+N('CONTROLE CMM'!#REF!))</f>
        <v/>
      </c>
      <c r="BT117" s="223">
        <f>IF('CONTROLE GLOBO AÇOS'!X119="","",'CONTROLE GLOBO AÇOS'!X119)</f>
        <v/>
      </c>
      <c r="BU117" s="223">
        <f>IF('CONTROLE GLOBO AÇOS'!Y119="","",'CONTROLE GLOBO AÇOS'!Y119)</f>
        <v/>
      </c>
      <c r="BV117" s="223">
        <f>IF(AND('CONTROLE EJ'!U119="",'CONTROLE CMM'!#REF!=""),"",N('CONTROLE EJ'!U119)+N('CONTROLE CMM'!#REF!))</f>
        <v/>
      </c>
      <c r="BW117" s="223">
        <f>IF(#REF!="","",#REF!)</f>
        <v/>
      </c>
    </row>
    <row r="118">
      <c r="A118" s="282" t="n">
        <v>46335</v>
      </c>
      <c r="B118" s="223">
        <f>IF('CONTROLE EJ'!B120="","",'CONTROLE EJ'!B120)</f>
        <v/>
      </c>
      <c r="C118" s="26">
        <f>IF('CONTROLE EJ'!C120="","",'CONTROLE EJ'!C120)</f>
        <v/>
      </c>
      <c r="D118" s="42">
        <f>IF('CONTROLE EJ'!D120="","",'CONTROLE EJ'!D120)</f>
        <v/>
      </c>
      <c r="E118" s="70">
        <f>IF('CONTROLE CMM'!B120="","",'CONTROLE CMM'!B120)</f>
        <v/>
      </c>
      <c r="F118" s="18">
        <f>IF('CONTROLE CMM'!C120="","",'CONTROLE CMM'!C120)</f>
        <v/>
      </c>
      <c r="G118" s="26">
        <f>IF('CONTROLE CMM'!D120="","",'CONTROLE CMM'!D120)</f>
        <v/>
      </c>
      <c r="H118" s="43">
        <f>IF('CONTROLE GLOBO AÇOS'!B120="","",'CONTROLE GLOBO AÇOS'!B120)</f>
        <v/>
      </c>
      <c r="I118" s="18">
        <f>IF('CONTROLE GLOBO AÇOS'!C120="","",'CONTROLE GLOBO AÇOS'!C120)</f>
        <v/>
      </c>
      <c r="J118" s="18">
        <f>IF('CONTROLE GLOBO AÇOS'!D120="","",'CONTROLE GLOBO AÇOS'!D120)</f>
        <v/>
      </c>
      <c r="AD118" s="39">
        <f>IF($A118="",0,IF(AND(WEEKDAY($A118,2)&lt;=5,OR($B118&lt;&gt;"",$C118&lt;&gt;"",$D118&lt;&gt;"")),1,0))</f>
        <v/>
      </c>
      <c r="AE118" s="39">
        <f>IF($A118="",0,IF(AND(WEEKDAY($A118,2)&lt;=5,OR($E118&lt;&gt;"",$F118&lt;&gt;"",$G118&lt;&gt;"")),1,0))</f>
        <v/>
      </c>
      <c r="AF118" s="39">
        <f>MAX(AD118,AE118)</f>
        <v/>
      </c>
      <c r="AH118" s="223">
        <f>IF('CONTROLE GLOBO AÇOS'!E120="","",'CONTROLE GLOBO AÇOS'!E120)</f>
        <v/>
      </c>
      <c r="AI118" s="223">
        <f>IF('CONTROLE GLOBO AÇOS'!F120="","",'CONTROLE GLOBO AÇOS'!F120)</f>
        <v/>
      </c>
      <c r="AJ118" s="223">
        <f>IF(AND('CONTROLE EJ'!E120="",'CONTROLE CMM'!E120=""),"",N('CONTROLE EJ'!E120)+N('CONTROLE CMM'!E120))</f>
        <v/>
      </c>
      <c r="AK118" s="223">
        <f>IF(AND('CONTROLE EJ'!F120="",'CONTROLE CMM'!F120=""),"",N('CONTROLE EJ'!F120)+N('CONTROLE CMM'!F120))</f>
        <v/>
      </c>
      <c r="AL118" s="223">
        <f>IF(AND('CONTROLE EJ'!G120="",'CONTROLE CMM'!G120=""),"",N('CONTROLE EJ'!G120)+N('CONTROLE CMM'!G120))</f>
        <v/>
      </c>
      <c r="AM118" s="223">
        <f>IF(AND('CONTROLE EJ'!H120="",'CONTROLE CMM'!H120=""),"",N('CONTROLE EJ'!H120)+N('CONTROLE CMM'!H120))</f>
        <v/>
      </c>
      <c r="AN118" s="223">
        <f>IF('CONTROLE GLOBO AÇOS'!G120="","",'CONTROLE GLOBO AÇOS'!G120)</f>
        <v/>
      </c>
      <c r="AO118" s="223">
        <f>IF('CONTROLE GLOBO AÇOS'!H120="","",'CONTROLE GLOBO AÇOS'!H120)</f>
        <v/>
      </c>
      <c r="AP118" s="223">
        <f>IF(AND('CONTROLE EJ'!I120="",'CONTROLE CMM'!I120=""),"",N('CONTROLE EJ'!I120)+N('CONTROLE CMM'!I120))</f>
        <v/>
      </c>
      <c r="AQ118" s="223">
        <f>IF(AND('CONTROLE EJ'!J120="",'CONTROLE CMM'!#REF!=""),"",N('CONTROLE EJ'!J120)+N('CONTROLE CMM'!#REF!))</f>
        <v/>
      </c>
      <c r="AR118" s="223">
        <f>IF('CONTROLE GLOBO AÇOS'!I120="","",'CONTROLE GLOBO AÇOS'!I120)</f>
        <v/>
      </c>
      <c r="AS118" s="223">
        <f>IF('CONTROLE GLOBO AÇOS'!J120="","",'CONTROLE GLOBO AÇOS'!J120)</f>
        <v/>
      </c>
      <c r="AT118" s="223">
        <f>IF(#REF!="","",#REF!)</f>
        <v/>
      </c>
      <c r="AU118" s="223">
        <f>IF('CONTROLE GLOBO AÇOS'!K120="","",'CONTROLE GLOBO AÇOS'!K120)</f>
        <v/>
      </c>
      <c r="AV118" s="223">
        <f>IF(AND('CONTROLE EJ'!K120="",'CONTROLE CMM'!#REF!=""),"",N('CONTROLE EJ'!K120)+N('CONTROLE CMM'!#REF!))</f>
        <v/>
      </c>
      <c r="AW118" s="223">
        <f>IF('CONTROLE GLOBO AÇOS'!L120="","",'CONTROLE GLOBO AÇOS'!L120)</f>
        <v/>
      </c>
      <c r="AX118" s="223">
        <f>IF(AND('CONTROLE EJ'!L120="",'CONTROLE CMM'!#REF!=""),"",N('CONTROLE EJ'!L120)+N('CONTROLE CMM'!#REF!))</f>
        <v/>
      </c>
      <c r="AY118" s="223">
        <f>IF('CONTROLE GLOBO AÇOS'!M120="","",'CONTROLE GLOBO AÇOS'!M120)</f>
        <v/>
      </c>
      <c r="AZ118" s="223">
        <f>IF('CONTROLE GLOBO AÇOS'!N120="","",'CONTROLE GLOBO AÇOS'!N120)</f>
        <v/>
      </c>
      <c r="BA118" s="223">
        <f>IF(AND('CONTROLE EJ'!M120="",'CONTROLE CMM'!#REF!=""),"",N('CONTROLE EJ'!M120)+N('CONTROLE CMM'!#REF!))</f>
        <v/>
      </c>
      <c r="BB118" s="223">
        <f>IF(#REF!="","",#REF!)</f>
        <v/>
      </c>
      <c r="BC118" s="223">
        <f>IF('CONTROLE GLOBO AÇOS'!O120="","",'CONTROLE GLOBO AÇOS'!O120)</f>
        <v/>
      </c>
      <c r="BD118" s="223">
        <f>IF(AND('CONTROLE EJ'!N120="",'CONTROLE CMM'!#REF!=""),"",N('CONTROLE EJ'!N120)+N('CONTROLE CMM'!#REF!))</f>
        <v/>
      </c>
      <c r="BE118" s="223">
        <f>IF('CONTROLE GLOBO AÇOS'!P120="","",'CONTROLE GLOBO AÇOS'!P120)</f>
        <v/>
      </c>
      <c r="BF118" s="223">
        <f>IF('CONTROLE GLOBO AÇOS'!Q120="","",'CONTROLE GLOBO AÇOS'!Q120)</f>
        <v/>
      </c>
      <c r="BG118" s="223">
        <f>IF('CONTROLE GLOBO AÇOS'!R120="","",'CONTROLE GLOBO AÇOS'!R120)</f>
        <v/>
      </c>
      <c r="BH118" s="223">
        <f>IF(AND('CONTROLE EJ'!O120="",'CONTROLE CMM'!#REF!=""),"",N('CONTROLE EJ'!O120)+N('CONTROLE CMM'!#REF!))</f>
        <v/>
      </c>
      <c r="BI118" s="223">
        <f>IF('CONTROLE GLOBO AÇOS'!S120="","",'CONTROLE GLOBO AÇOS'!S120)</f>
        <v/>
      </c>
      <c r="BJ118" s="223">
        <f>IF('CONTROLE GLOBO AÇOS'!T120="","",'CONTROLE GLOBO AÇOS'!T120)</f>
        <v/>
      </c>
      <c r="BK118" s="223">
        <f>IF('CONTROLE GLOBO AÇOS'!U120="","",'CONTROLE GLOBO AÇOS'!U120)</f>
        <v/>
      </c>
      <c r="BL118" s="223">
        <f>IF(AND('CONTROLE EJ'!P120="",'CONTROLE CMM'!#REF!=""),"",N('CONTROLE EJ'!P120)+N('CONTROLE CMM'!#REF!))</f>
        <v/>
      </c>
      <c r="BM118" s="223">
        <f>IF(AND('CONTROLE EJ'!Q120="",'CONTROLE CMM'!#REF!=""),"",N('CONTROLE EJ'!Q120)+N('CONTROLE CMM'!#REF!))</f>
        <v/>
      </c>
      <c r="BN118" s="223">
        <f>IF('CONTROLE GLOBO AÇOS'!V120="","",'CONTROLE GLOBO AÇOS'!V120)</f>
        <v/>
      </c>
      <c r="BO118" s="223">
        <f>IF('CONTROLE GLOBO AÇOS'!W120="","",'CONTROLE GLOBO AÇOS'!W120)</f>
        <v/>
      </c>
      <c r="BP118" s="223">
        <f>IF(AND('CONTROLE EJ'!R120="",'CONTROLE CMM'!#REF!=""),"",N('CONTROLE EJ'!R120)+N('CONTROLE CMM'!#REF!))</f>
        <v/>
      </c>
      <c r="BQ118" s="223">
        <f>IF(#REF!="","",#REF!)</f>
        <v/>
      </c>
      <c r="BR118" s="223">
        <f>IF(AND('CONTROLE EJ'!S120="",'CONTROLE CMM'!#REF!=""),"",N('CONTROLE EJ'!S120)+N('CONTROLE CMM'!#REF!))</f>
        <v/>
      </c>
      <c r="BS118" s="223">
        <f>IF(AND('CONTROLE EJ'!T120="",'CONTROLE CMM'!#REF!=""),"",N('CONTROLE EJ'!T120)+N('CONTROLE CMM'!#REF!))</f>
        <v/>
      </c>
      <c r="BT118" s="223">
        <f>IF('CONTROLE GLOBO AÇOS'!X120="","",'CONTROLE GLOBO AÇOS'!X120)</f>
        <v/>
      </c>
      <c r="BU118" s="223">
        <f>IF('CONTROLE GLOBO AÇOS'!Y120="","",'CONTROLE GLOBO AÇOS'!Y120)</f>
        <v/>
      </c>
      <c r="BV118" s="223">
        <f>IF(AND('CONTROLE EJ'!U120="",'CONTROLE CMM'!#REF!=""),"",N('CONTROLE EJ'!U120)+N('CONTROLE CMM'!#REF!))</f>
        <v/>
      </c>
      <c r="BW118" s="223">
        <f>IF(#REF!="","",#REF!)</f>
        <v/>
      </c>
    </row>
    <row r="119">
      <c r="A119" s="282" t="n">
        <v>46336</v>
      </c>
      <c r="B119" s="223">
        <f>IF('CONTROLE EJ'!B121="","",'CONTROLE EJ'!B121)</f>
        <v/>
      </c>
      <c r="C119" s="26">
        <f>IF('CONTROLE EJ'!C121="","",'CONTROLE EJ'!C121)</f>
        <v/>
      </c>
      <c r="D119" s="42">
        <f>IF('CONTROLE EJ'!D121="","",'CONTROLE EJ'!D121)</f>
        <v/>
      </c>
      <c r="E119" s="71">
        <f>IF('CONTROLE CMM'!B121="","",'CONTROLE CMM'!B121)</f>
        <v/>
      </c>
      <c r="F119" s="18">
        <f>IF('CONTROLE CMM'!C121="","",'CONTROLE CMM'!C121)</f>
        <v/>
      </c>
      <c r="G119" s="26">
        <f>IF('CONTROLE CMM'!D121="","",'CONTROLE CMM'!D121)</f>
        <v/>
      </c>
      <c r="H119" s="43">
        <f>IF('CONTROLE GLOBO AÇOS'!B121="","",'CONTROLE GLOBO AÇOS'!B121)</f>
        <v/>
      </c>
      <c r="I119" s="18">
        <f>IF('CONTROLE GLOBO AÇOS'!C121="","",'CONTROLE GLOBO AÇOS'!C121)</f>
        <v/>
      </c>
      <c r="J119" s="18">
        <f>IF('CONTROLE GLOBO AÇOS'!D121="","",'CONTROLE GLOBO AÇOS'!D121)</f>
        <v/>
      </c>
      <c r="AD119" s="39">
        <f>IF($A119="",0,IF(AND(WEEKDAY($A119,2)&lt;=5,OR($B119&lt;&gt;"",$C119&lt;&gt;"",$D119&lt;&gt;"")),1,0))</f>
        <v/>
      </c>
      <c r="AE119" s="39">
        <f>IF($A119="",0,IF(AND(WEEKDAY($A119,2)&lt;=5,OR($E119&lt;&gt;"",$F119&lt;&gt;"",$G119&lt;&gt;"")),1,0))</f>
        <v/>
      </c>
      <c r="AF119" s="39">
        <f>MAX(AD119,AE119)</f>
        <v/>
      </c>
      <c r="AH119" s="223">
        <f>IF('CONTROLE GLOBO AÇOS'!E121="","",'CONTROLE GLOBO AÇOS'!E121)</f>
        <v/>
      </c>
      <c r="AI119" s="223">
        <f>IF('CONTROLE GLOBO AÇOS'!F121="","",'CONTROLE GLOBO AÇOS'!F121)</f>
        <v/>
      </c>
      <c r="AJ119" s="223">
        <f>IF(AND('CONTROLE EJ'!E121="",'CONTROLE CMM'!E121=""),"",N('CONTROLE EJ'!E121)+N('CONTROLE CMM'!E121))</f>
        <v/>
      </c>
      <c r="AK119" s="223">
        <f>IF(AND('CONTROLE EJ'!F121="",'CONTROLE CMM'!F121=""),"",N('CONTROLE EJ'!F121)+N('CONTROLE CMM'!F121))</f>
        <v/>
      </c>
      <c r="AL119" s="223">
        <f>IF(AND('CONTROLE EJ'!G121="",'CONTROLE CMM'!G121=""),"",N('CONTROLE EJ'!G121)+N('CONTROLE CMM'!G121))</f>
        <v/>
      </c>
      <c r="AM119" s="223">
        <f>IF(AND('CONTROLE EJ'!H121="",'CONTROLE CMM'!H121=""),"",N('CONTROLE EJ'!H121)+N('CONTROLE CMM'!H121))</f>
        <v/>
      </c>
      <c r="AN119" s="223">
        <f>IF('CONTROLE GLOBO AÇOS'!G121="","",'CONTROLE GLOBO AÇOS'!G121)</f>
        <v/>
      </c>
      <c r="AO119" s="223">
        <f>IF('CONTROLE GLOBO AÇOS'!H121="","",'CONTROLE GLOBO AÇOS'!H121)</f>
        <v/>
      </c>
      <c r="AP119" s="223">
        <f>IF(AND('CONTROLE EJ'!I121="",'CONTROLE CMM'!I121=""),"",N('CONTROLE EJ'!I121)+N('CONTROLE CMM'!I121))</f>
        <v/>
      </c>
      <c r="AQ119" s="223">
        <f>IF(AND('CONTROLE EJ'!J121="",'CONTROLE CMM'!#REF!=""),"",N('CONTROLE EJ'!J121)+N('CONTROLE CMM'!#REF!))</f>
        <v/>
      </c>
      <c r="AR119" s="223">
        <f>IF('CONTROLE GLOBO AÇOS'!I121="","",'CONTROLE GLOBO AÇOS'!I121)</f>
        <v/>
      </c>
      <c r="AS119" s="223">
        <f>IF('CONTROLE GLOBO AÇOS'!J121="","",'CONTROLE GLOBO AÇOS'!J121)</f>
        <v/>
      </c>
      <c r="AT119" s="223">
        <f>IF(#REF!="","",#REF!)</f>
        <v/>
      </c>
      <c r="AU119" s="223">
        <f>IF('CONTROLE GLOBO AÇOS'!K121="","",'CONTROLE GLOBO AÇOS'!K121)</f>
        <v/>
      </c>
      <c r="AV119" s="223">
        <f>IF(AND('CONTROLE EJ'!K121="",'CONTROLE CMM'!#REF!=""),"",N('CONTROLE EJ'!K121)+N('CONTROLE CMM'!#REF!))</f>
        <v/>
      </c>
      <c r="AW119" s="223">
        <f>IF('CONTROLE GLOBO AÇOS'!L121="","",'CONTROLE GLOBO AÇOS'!L121)</f>
        <v/>
      </c>
      <c r="AX119" s="223">
        <f>IF(AND('CONTROLE EJ'!L121="",'CONTROLE CMM'!#REF!=""),"",N('CONTROLE EJ'!L121)+N('CONTROLE CMM'!#REF!))</f>
        <v/>
      </c>
      <c r="AY119" s="223">
        <f>IF('CONTROLE GLOBO AÇOS'!M121="","",'CONTROLE GLOBO AÇOS'!M121)</f>
        <v/>
      </c>
      <c r="AZ119" s="223">
        <f>IF('CONTROLE GLOBO AÇOS'!N121="","",'CONTROLE GLOBO AÇOS'!N121)</f>
        <v/>
      </c>
      <c r="BA119" s="223">
        <f>IF(AND('CONTROLE EJ'!M121="",'CONTROLE CMM'!#REF!=""),"",N('CONTROLE EJ'!M121)+N('CONTROLE CMM'!#REF!))</f>
        <v/>
      </c>
      <c r="BB119" s="223">
        <f>IF(#REF!="","",#REF!)</f>
        <v/>
      </c>
      <c r="BC119" s="223">
        <f>IF('CONTROLE GLOBO AÇOS'!O121="","",'CONTROLE GLOBO AÇOS'!O121)</f>
        <v/>
      </c>
      <c r="BD119" s="223">
        <f>IF(AND('CONTROLE EJ'!N121="",'CONTROLE CMM'!#REF!=""),"",N('CONTROLE EJ'!N121)+N('CONTROLE CMM'!#REF!))</f>
        <v/>
      </c>
      <c r="BE119" s="223">
        <f>IF('CONTROLE GLOBO AÇOS'!P121="","",'CONTROLE GLOBO AÇOS'!P121)</f>
        <v/>
      </c>
      <c r="BF119" s="223">
        <f>IF('CONTROLE GLOBO AÇOS'!Q121="","",'CONTROLE GLOBO AÇOS'!Q121)</f>
        <v/>
      </c>
      <c r="BG119" s="223">
        <f>IF('CONTROLE GLOBO AÇOS'!R121="","",'CONTROLE GLOBO AÇOS'!R121)</f>
        <v/>
      </c>
      <c r="BH119" s="223">
        <f>IF(AND('CONTROLE EJ'!O121="",'CONTROLE CMM'!#REF!=""),"",N('CONTROLE EJ'!O121)+N('CONTROLE CMM'!#REF!))</f>
        <v/>
      </c>
      <c r="BI119" s="223">
        <f>IF('CONTROLE GLOBO AÇOS'!S121="","",'CONTROLE GLOBO AÇOS'!S121)</f>
        <v/>
      </c>
      <c r="BJ119" s="223">
        <f>IF('CONTROLE GLOBO AÇOS'!T121="","",'CONTROLE GLOBO AÇOS'!T121)</f>
        <v/>
      </c>
      <c r="BK119" s="223">
        <f>IF('CONTROLE GLOBO AÇOS'!U121="","",'CONTROLE GLOBO AÇOS'!U121)</f>
        <v/>
      </c>
      <c r="BL119" s="223">
        <f>IF(AND('CONTROLE EJ'!P121="",'CONTROLE CMM'!#REF!=""),"",N('CONTROLE EJ'!P121)+N('CONTROLE CMM'!#REF!))</f>
        <v/>
      </c>
      <c r="BM119" s="223">
        <f>IF(AND('CONTROLE EJ'!Q121="",'CONTROLE CMM'!#REF!=""),"",N('CONTROLE EJ'!Q121)+N('CONTROLE CMM'!#REF!))</f>
        <v/>
      </c>
      <c r="BN119" s="223">
        <f>IF('CONTROLE GLOBO AÇOS'!V121="","",'CONTROLE GLOBO AÇOS'!V121)</f>
        <v/>
      </c>
      <c r="BO119" s="223">
        <f>IF('CONTROLE GLOBO AÇOS'!W121="","",'CONTROLE GLOBO AÇOS'!W121)</f>
        <v/>
      </c>
      <c r="BP119" s="223">
        <f>IF(AND('CONTROLE EJ'!R121="",'CONTROLE CMM'!#REF!=""),"",N('CONTROLE EJ'!R121)+N('CONTROLE CMM'!#REF!))</f>
        <v/>
      </c>
      <c r="BQ119" s="223">
        <f>IF(#REF!="","",#REF!)</f>
        <v/>
      </c>
      <c r="BR119" s="223">
        <f>IF(AND('CONTROLE EJ'!S121="",'CONTROLE CMM'!#REF!=""),"",N('CONTROLE EJ'!S121)+N('CONTROLE CMM'!#REF!))</f>
        <v/>
      </c>
      <c r="BS119" s="223">
        <f>IF(AND('CONTROLE EJ'!T121="",'CONTROLE CMM'!#REF!=""),"",N('CONTROLE EJ'!T121)+N('CONTROLE CMM'!#REF!))</f>
        <v/>
      </c>
      <c r="BT119" s="223">
        <f>IF('CONTROLE GLOBO AÇOS'!X121="","",'CONTROLE GLOBO AÇOS'!X121)</f>
        <v/>
      </c>
      <c r="BU119" s="223">
        <f>IF('CONTROLE GLOBO AÇOS'!Y121="","",'CONTROLE GLOBO AÇOS'!Y121)</f>
        <v/>
      </c>
      <c r="BV119" s="223">
        <f>IF(AND('CONTROLE EJ'!U121="",'CONTROLE CMM'!#REF!=""),"",N('CONTROLE EJ'!U121)+N('CONTROLE CMM'!#REF!))</f>
        <v/>
      </c>
      <c r="BW119" s="223">
        <f>IF(#REF!="","",#REF!)</f>
        <v/>
      </c>
    </row>
    <row r="120">
      <c r="A120" s="282" t="n">
        <v>46337</v>
      </c>
      <c r="B120" s="223">
        <f>IF('CONTROLE EJ'!B122="","",'CONTROLE EJ'!B122)</f>
        <v/>
      </c>
      <c r="C120" s="26">
        <f>IF('CONTROLE EJ'!C122="","",'CONTROLE EJ'!C122)</f>
        <v/>
      </c>
      <c r="D120" s="42">
        <f>IF('CONTROLE EJ'!D122="","",'CONTROLE EJ'!D122)</f>
        <v/>
      </c>
      <c r="E120" s="71">
        <f>IF('CONTROLE CMM'!B122="","",'CONTROLE CMM'!B122)</f>
        <v/>
      </c>
      <c r="F120" s="18">
        <f>IF('CONTROLE CMM'!C122="","",'CONTROLE CMM'!C122)</f>
        <v/>
      </c>
      <c r="G120" s="26">
        <f>IF('CONTROLE CMM'!D122="","",'CONTROLE CMM'!D122)</f>
        <v/>
      </c>
      <c r="H120" s="43">
        <f>IF('CONTROLE GLOBO AÇOS'!B122="","",'CONTROLE GLOBO AÇOS'!B122)</f>
        <v/>
      </c>
      <c r="I120" s="18">
        <f>IF('CONTROLE GLOBO AÇOS'!C122="","",'CONTROLE GLOBO AÇOS'!C122)</f>
        <v/>
      </c>
      <c r="J120" s="18">
        <f>IF('CONTROLE GLOBO AÇOS'!D122="","",'CONTROLE GLOBO AÇOS'!D122)</f>
        <v/>
      </c>
      <c r="AD120" s="39">
        <f>IF($A120="",0,IF(AND(WEEKDAY($A120,2)&lt;=5,OR($B120&lt;&gt;"",$C120&lt;&gt;"",$D120&lt;&gt;"")),1,0))</f>
        <v/>
      </c>
      <c r="AE120" s="39">
        <f>IF($A120="",0,IF(AND(WEEKDAY($A120,2)&lt;=5,OR($E120&lt;&gt;"",$F120&lt;&gt;"",$G120&lt;&gt;"")),1,0))</f>
        <v/>
      </c>
      <c r="AF120" s="39">
        <f>MAX(AD120,AE120)</f>
        <v/>
      </c>
      <c r="AH120" s="223">
        <f>IF('CONTROLE GLOBO AÇOS'!E122="","",'CONTROLE GLOBO AÇOS'!E122)</f>
        <v/>
      </c>
      <c r="AI120" s="223">
        <f>IF('CONTROLE GLOBO AÇOS'!F122="","",'CONTROLE GLOBO AÇOS'!F122)</f>
        <v/>
      </c>
      <c r="AJ120" s="223">
        <f>IF(AND('CONTROLE EJ'!E122="",'CONTROLE CMM'!E122=""),"",N('CONTROLE EJ'!E122)+N('CONTROLE CMM'!E122))</f>
        <v/>
      </c>
      <c r="AK120" s="223">
        <f>IF(AND('CONTROLE EJ'!F122="",'CONTROLE CMM'!F122=""),"",N('CONTROLE EJ'!F122)+N('CONTROLE CMM'!F122))</f>
        <v/>
      </c>
      <c r="AL120" s="223">
        <f>IF(AND('CONTROLE EJ'!G122="",'CONTROLE CMM'!G122=""),"",N('CONTROLE EJ'!G122)+N('CONTROLE CMM'!G122))</f>
        <v/>
      </c>
      <c r="AM120" s="223">
        <f>IF(AND('CONTROLE EJ'!H122="",'CONTROLE CMM'!H122=""),"",N('CONTROLE EJ'!H122)+N('CONTROLE CMM'!H122))</f>
        <v/>
      </c>
      <c r="AN120" s="223">
        <f>IF('CONTROLE GLOBO AÇOS'!G122="","",'CONTROLE GLOBO AÇOS'!G122)</f>
        <v/>
      </c>
      <c r="AO120" s="223">
        <f>IF('CONTROLE GLOBO AÇOS'!H122="","",'CONTROLE GLOBO AÇOS'!H122)</f>
        <v/>
      </c>
      <c r="AP120" s="223">
        <f>IF(AND('CONTROLE EJ'!I122="",'CONTROLE CMM'!I122=""),"",N('CONTROLE EJ'!I122)+N('CONTROLE CMM'!I122))</f>
        <v/>
      </c>
      <c r="AQ120" s="223">
        <f>IF(AND('CONTROLE EJ'!J122="",'CONTROLE CMM'!#REF!=""),"",N('CONTROLE EJ'!J122)+N('CONTROLE CMM'!#REF!))</f>
        <v/>
      </c>
      <c r="AR120" s="223">
        <f>IF('CONTROLE GLOBO AÇOS'!I122="","",'CONTROLE GLOBO AÇOS'!I122)</f>
        <v/>
      </c>
      <c r="AS120" s="223">
        <f>IF('CONTROLE GLOBO AÇOS'!J122="","",'CONTROLE GLOBO AÇOS'!J122)</f>
        <v/>
      </c>
      <c r="AT120" s="223">
        <f>IF(#REF!="","",#REF!)</f>
        <v/>
      </c>
      <c r="AU120" s="223">
        <f>IF('CONTROLE GLOBO AÇOS'!K122="","",'CONTROLE GLOBO AÇOS'!K122)</f>
        <v/>
      </c>
      <c r="AV120" s="223">
        <f>IF(AND('CONTROLE EJ'!K122="",'CONTROLE CMM'!#REF!=""),"",N('CONTROLE EJ'!K122)+N('CONTROLE CMM'!#REF!))</f>
        <v/>
      </c>
      <c r="AW120" s="223">
        <f>IF('CONTROLE GLOBO AÇOS'!L122="","",'CONTROLE GLOBO AÇOS'!L122)</f>
        <v/>
      </c>
      <c r="AX120" s="223">
        <f>IF(AND('CONTROLE EJ'!L122="",'CONTROLE CMM'!#REF!=""),"",N('CONTROLE EJ'!L122)+N('CONTROLE CMM'!#REF!))</f>
        <v/>
      </c>
      <c r="AY120" s="223">
        <f>IF('CONTROLE GLOBO AÇOS'!M122="","",'CONTROLE GLOBO AÇOS'!M122)</f>
        <v/>
      </c>
      <c r="AZ120" s="223">
        <f>IF('CONTROLE GLOBO AÇOS'!N122="","",'CONTROLE GLOBO AÇOS'!N122)</f>
        <v/>
      </c>
      <c r="BA120" s="223">
        <f>IF(AND('CONTROLE EJ'!M122="",'CONTROLE CMM'!#REF!=""),"",N('CONTROLE EJ'!M122)+N('CONTROLE CMM'!#REF!))</f>
        <v/>
      </c>
      <c r="BB120" s="223">
        <f>IF(#REF!="","",#REF!)</f>
        <v/>
      </c>
      <c r="BC120" s="223">
        <f>IF('CONTROLE GLOBO AÇOS'!O122="","",'CONTROLE GLOBO AÇOS'!O122)</f>
        <v/>
      </c>
      <c r="BD120" s="223">
        <f>IF(AND('CONTROLE EJ'!N122="",'CONTROLE CMM'!#REF!=""),"",N('CONTROLE EJ'!N122)+N('CONTROLE CMM'!#REF!))</f>
        <v/>
      </c>
      <c r="BE120" s="223">
        <f>IF('CONTROLE GLOBO AÇOS'!P122="","",'CONTROLE GLOBO AÇOS'!P122)</f>
        <v/>
      </c>
      <c r="BF120" s="223">
        <f>IF('CONTROLE GLOBO AÇOS'!Q122="","",'CONTROLE GLOBO AÇOS'!Q122)</f>
        <v/>
      </c>
      <c r="BG120" s="223">
        <f>IF('CONTROLE GLOBO AÇOS'!R122="","",'CONTROLE GLOBO AÇOS'!R122)</f>
        <v/>
      </c>
      <c r="BH120" s="223">
        <f>IF(AND('CONTROLE EJ'!O122="",'CONTROLE CMM'!#REF!=""),"",N('CONTROLE EJ'!O122)+N('CONTROLE CMM'!#REF!))</f>
        <v/>
      </c>
      <c r="BI120" s="223">
        <f>IF('CONTROLE GLOBO AÇOS'!S122="","",'CONTROLE GLOBO AÇOS'!S122)</f>
        <v/>
      </c>
      <c r="BJ120" s="223">
        <f>IF('CONTROLE GLOBO AÇOS'!T122="","",'CONTROLE GLOBO AÇOS'!T122)</f>
        <v/>
      </c>
      <c r="BK120" s="223">
        <f>IF('CONTROLE GLOBO AÇOS'!U122="","",'CONTROLE GLOBO AÇOS'!U122)</f>
        <v/>
      </c>
      <c r="BL120" s="223">
        <f>IF(AND('CONTROLE EJ'!P122="",'CONTROLE CMM'!#REF!=""),"",N('CONTROLE EJ'!P122)+N('CONTROLE CMM'!#REF!))</f>
        <v/>
      </c>
      <c r="BM120" s="223">
        <f>IF(AND('CONTROLE EJ'!Q122="",'CONTROLE CMM'!#REF!=""),"",N('CONTROLE EJ'!Q122)+N('CONTROLE CMM'!#REF!))</f>
        <v/>
      </c>
      <c r="BN120" s="223">
        <f>IF('CONTROLE GLOBO AÇOS'!V122="","",'CONTROLE GLOBO AÇOS'!V122)</f>
        <v/>
      </c>
      <c r="BO120" s="223">
        <f>IF('CONTROLE GLOBO AÇOS'!W122="","",'CONTROLE GLOBO AÇOS'!W122)</f>
        <v/>
      </c>
      <c r="BP120" s="223">
        <f>IF(AND('CONTROLE EJ'!R122="",'CONTROLE CMM'!#REF!=""),"",N('CONTROLE EJ'!R122)+N('CONTROLE CMM'!#REF!))</f>
        <v/>
      </c>
      <c r="BQ120" s="223">
        <f>IF(#REF!="","",#REF!)</f>
        <v/>
      </c>
      <c r="BR120" s="223">
        <f>IF(AND('CONTROLE EJ'!S122="",'CONTROLE CMM'!#REF!=""),"",N('CONTROLE EJ'!S122)+N('CONTROLE CMM'!#REF!))</f>
        <v/>
      </c>
      <c r="BS120" s="223">
        <f>IF(AND('CONTROLE EJ'!T122="",'CONTROLE CMM'!#REF!=""),"",N('CONTROLE EJ'!T122)+N('CONTROLE CMM'!#REF!))</f>
        <v/>
      </c>
      <c r="BT120" s="223">
        <f>IF('CONTROLE GLOBO AÇOS'!X122="","",'CONTROLE GLOBO AÇOS'!X122)</f>
        <v/>
      </c>
      <c r="BU120" s="223">
        <f>IF('CONTROLE GLOBO AÇOS'!Y122="","",'CONTROLE GLOBO AÇOS'!Y122)</f>
        <v/>
      </c>
      <c r="BV120" s="223">
        <f>IF(AND('CONTROLE EJ'!U122="",'CONTROLE CMM'!#REF!=""),"",N('CONTROLE EJ'!U122)+N('CONTROLE CMM'!#REF!))</f>
        <v/>
      </c>
      <c r="BW120" s="223">
        <f>IF(#REF!="","",#REF!)</f>
        <v/>
      </c>
    </row>
    <row r="121">
      <c r="A121" s="282" t="n">
        <v>46338</v>
      </c>
      <c r="B121" s="43">
        <f>IF('CONTROLE EJ'!B123="","",'CONTROLE EJ'!B123)</f>
        <v/>
      </c>
      <c r="C121" s="26">
        <f>IF('CONTROLE EJ'!C123="","",'CONTROLE EJ'!C123)</f>
        <v/>
      </c>
      <c r="D121" s="42">
        <f>IF('CONTROLE EJ'!D123="","",'CONTROLE EJ'!D123)</f>
        <v/>
      </c>
      <c r="E121" s="71">
        <f>IF('CONTROLE CMM'!B123="","",'CONTROLE CMM'!B123)</f>
        <v/>
      </c>
      <c r="F121" s="18">
        <f>IF('CONTROLE CMM'!C123="","",'CONTROLE CMM'!C123)</f>
        <v/>
      </c>
      <c r="G121" s="26">
        <f>IF('CONTROLE CMM'!D123="","",'CONTROLE CMM'!D123)</f>
        <v/>
      </c>
      <c r="H121" s="43">
        <f>IF('CONTROLE GLOBO AÇOS'!B123="","",'CONTROLE GLOBO AÇOS'!B123)</f>
        <v/>
      </c>
      <c r="I121" s="18">
        <f>IF('CONTROLE GLOBO AÇOS'!C123="","",'CONTROLE GLOBO AÇOS'!C123)</f>
        <v/>
      </c>
      <c r="J121" s="18">
        <f>IF('CONTROLE GLOBO AÇOS'!D123="","",'CONTROLE GLOBO AÇOS'!D123)</f>
        <v/>
      </c>
      <c r="AD121" s="39">
        <f>IF($A121="",0,IF(AND(WEEKDAY($A121,2)&lt;=5,OR($B121&lt;&gt;"",$C121&lt;&gt;"",$D121&lt;&gt;"")),1,0))</f>
        <v/>
      </c>
      <c r="AE121" s="39">
        <f>IF($A121="",0,IF(AND(WEEKDAY($A121,2)&lt;=5,OR($E121&lt;&gt;"",$F121&lt;&gt;"",$G121&lt;&gt;"")),1,0))</f>
        <v/>
      </c>
      <c r="AF121" s="39">
        <f>MAX(AD121,AE121)</f>
        <v/>
      </c>
      <c r="AH121" s="223">
        <f>IF('CONTROLE GLOBO AÇOS'!E123="","",'CONTROLE GLOBO AÇOS'!E123)</f>
        <v/>
      </c>
      <c r="AI121" s="223">
        <f>IF('CONTROLE GLOBO AÇOS'!F123="","",'CONTROLE GLOBO AÇOS'!F123)</f>
        <v/>
      </c>
      <c r="AJ121" s="223">
        <f>IF(AND('CONTROLE EJ'!E123="",'CONTROLE CMM'!E123=""),"",N('CONTROLE EJ'!E123)+N('CONTROLE CMM'!E123))</f>
        <v/>
      </c>
      <c r="AK121" s="223">
        <f>IF(AND('CONTROLE EJ'!F123="",'CONTROLE CMM'!F123=""),"",N('CONTROLE EJ'!F123)+N('CONTROLE CMM'!F123))</f>
        <v/>
      </c>
      <c r="AL121" s="223">
        <f>IF(AND('CONTROLE EJ'!G123="",'CONTROLE CMM'!G123=""),"",N('CONTROLE EJ'!G123)+N('CONTROLE CMM'!G123))</f>
        <v/>
      </c>
      <c r="AM121" s="223">
        <f>IF(AND('CONTROLE EJ'!H123="",'CONTROLE CMM'!H123=""),"",N('CONTROLE EJ'!H123)+N('CONTROLE CMM'!H123))</f>
        <v/>
      </c>
      <c r="AN121" s="223">
        <f>IF('CONTROLE GLOBO AÇOS'!G123="","",'CONTROLE GLOBO AÇOS'!G123)</f>
        <v/>
      </c>
      <c r="AO121" s="223">
        <f>IF('CONTROLE GLOBO AÇOS'!H123="","",'CONTROLE GLOBO AÇOS'!H123)</f>
        <v/>
      </c>
      <c r="AP121" s="223">
        <f>IF(AND('CONTROLE EJ'!I123="",'CONTROLE CMM'!I123=""),"",N('CONTROLE EJ'!I123)+N('CONTROLE CMM'!I123))</f>
        <v/>
      </c>
      <c r="AQ121" s="223">
        <f>IF(AND('CONTROLE EJ'!J123="",'CONTROLE CMM'!#REF!=""),"",N('CONTROLE EJ'!J123)+N('CONTROLE CMM'!#REF!))</f>
        <v/>
      </c>
      <c r="AR121" s="223">
        <f>IF('CONTROLE GLOBO AÇOS'!I123="","",'CONTROLE GLOBO AÇOS'!I123)</f>
        <v/>
      </c>
      <c r="AS121" s="223">
        <f>IF('CONTROLE GLOBO AÇOS'!J123="","",'CONTROLE GLOBO AÇOS'!J123)</f>
        <v/>
      </c>
      <c r="AT121" s="223">
        <f>IF(#REF!="","",#REF!)</f>
        <v/>
      </c>
      <c r="AU121" s="223">
        <f>IF('CONTROLE GLOBO AÇOS'!K123="","",'CONTROLE GLOBO AÇOS'!K123)</f>
        <v/>
      </c>
      <c r="AV121" s="223">
        <f>IF(AND('CONTROLE EJ'!K123="",'CONTROLE CMM'!#REF!=""),"",N('CONTROLE EJ'!K123)+N('CONTROLE CMM'!#REF!))</f>
        <v/>
      </c>
      <c r="AW121" s="223">
        <f>IF('CONTROLE GLOBO AÇOS'!L123="","",'CONTROLE GLOBO AÇOS'!L123)</f>
        <v/>
      </c>
      <c r="AX121" s="223">
        <f>IF(AND('CONTROLE EJ'!L123="",'CONTROLE CMM'!#REF!=""),"",N('CONTROLE EJ'!L123)+N('CONTROLE CMM'!#REF!))</f>
        <v/>
      </c>
      <c r="AY121" s="223">
        <f>IF('CONTROLE GLOBO AÇOS'!M123="","",'CONTROLE GLOBO AÇOS'!M123)</f>
        <v/>
      </c>
      <c r="AZ121" s="223">
        <f>IF('CONTROLE GLOBO AÇOS'!N123="","",'CONTROLE GLOBO AÇOS'!N123)</f>
        <v/>
      </c>
      <c r="BA121" s="223">
        <f>IF(AND('CONTROLE EJ'!M123="",'CONTROLE CMM'!#REF!=""),"",N('CONTROLE EJ'!M123)+N('CONTROLE CMM'!#REF!))</f>
        <v/>
      </c>
      <c r="BB121" s="223">
        <f>IF(#REF!="","",#REF!)</f>
        <v/>
      </c>
      <c r="BC121" s="223">
        <f>IF('CONTROLE GLOBO AÇOS'!O123="","",'CONTROLE GLOBO AÇOS'!O123)</f>
        <v/>
      </c>
      <c r="BD121" s="223">
        <f>IF(AND('CONTROLE EJ'!N123="",'CONTROLE CMM'!#REF!=""),"",N('CONTROLE EJ'!N123)+N('CONTROLE CMM'!#REF!))</f>
        <v/>
      </c>
      <c r="BE121" s="223">
        <f>IF('CONTROLE GLOBO AÇOS'!P123="","",'CONTROLE GLOBO AÇOS'!P123)</f>
        <v/>
      </c>
      <c r="BF121" s="223">
        <f>IF('CONTROLE GLOBO AÇOS'!Q123="","",'CONTROLE GLOBO AÇOS'!Q123)</f>
        <v/>
      </c>
      <c r="BG121" s="223">
        <f>IF('CONTROLE GLOBO AÇOS'!R123="","",'CONTROLE GLOBO AÇOS'!R123)</f>
        <v/>
      </c>
      <c r="BH121" s="223">
        <f>IF(AND('CONTROLE EJ'!O123="",'CONTROLE CMM'!#REF!=""),"",N('CONTROLE EJ'!O123)+N('CONTROLE CMM'!#REF!))</f>
        <v/>
      </c>
      <c r="BI121" s="223">
        <f>IF('CONTROLE GLOBO AÇOS'!S123="","",'CONTROLE GLOBO AÇOS'!S123)</f>
        <v/>
      </c>
      <c r="BJ121" s="223">
        <f>IF('CONTROLE GLOBO AÇOS'!T123="","",'CONTROLE GLOBO AÇOS'!T123)</f>
        <v/>
      </c>
      <c r="BK121" s="223">
        <f>IF('CONTROLE GLOBO AÇOS'!U123="","",'CONTROLE GLOBO AÇOS'!U123)</f>
        <v/>
      </c>
      <c r="BL121" s="223">
        <f>IF(AND('CONTROLE EJ'!P123="",'CONTROLE CMM'!#REF!=""),"",N('CONTROLE EJ'!P123)+N('CONTROLE CMM'!#REF!))</f>
        <v/>
      </c>
      <c r="BM121" s="223">
        <f>IF(AND('CONTROLE EJ'!Q123="",'CONTROLE CMM'!#REF!=""),"",N('CONTROLE EJ'!Q123)+N('CONTROLE CMM'!#REF!))</f>
        <v/>
      </c>
      <c r="BN121" s="223">
        <f>IF('CONTROLE GLOBO AÇOS'!V123="","",'CONTROLE GLOBO AÇOS'!V123)</f>
        <v/>
      </c>
      <c r="BO121" s="223">
        <f>IF('CONTROLE GLOBO AÇOS'!W123="","",'CONTROLE GLOBO AÇOS'!W123)</f>
        <v/>
      </c>
      <c r="BP121" s="223">
        <f>IF(AND('CONTROLE EJ'!R123="",'CONTROLE CMM'!#REF!=""),"",N('CONTROLE EJ'!R123)+N('CONTROLE CMM'!#REF!))</f>
        <v/>
      </c>
      <c r="BQ121" s="223">
        <f>IF(#REF!="","",#REF!)</f>
        <v/>
      </c>
      <c r="BR121" s="223">
        <f>IF(AND('CONTROLE EJ'!S123="",'CONTROLE CMM'!#REF!=""),"",N('CONTROLE EJ'!S123)+N('CONTROLE CMM'!#REF!))</f>
        <v/>
      </c>
      <c r="BS121" s="223">
        <f>IF(AND('CONTROLE EJ'!T123="",'CONTROLE CMM'!#REF!=""),"",N('CONTROLE EJ'!T123)+N('CONTROLE CMM'!#REF!))</f>
        <v/>
      </c>
      <c r="BT121" s="223">
        <f>IF('CONTROLE GLOBO AÇOS'!X123="","",'CONTROLE GLOBO AÇOS'!X123)</f>
        <v/>
      </c>
      <c r="BU121" s="223">
        <f>IF('CONTROLE GLOBO AÇOS'!Y123="","",'CONTROLE GLOBO AÇOS'!Y123)</f>
        <v/>
      </c>
      <c r="BV121" s="223">
        <f>IF(AND('CONTROLE EJ'!U123="",'CONTROLE CMM'!#REF!=""),"",N('CONTROLE EJ'!U123)+N('CONTROLE CMM'!#REF!))</f>
        <v/>
      </c>
      <c r="BW121" s="223">
        <f>IF(#REF!="","",#REF!)</f>
        <v/>
      </c>
    </row>
    <row r="122">
      <c r="A122" s="282" t="n">
        <v>46339</v>
      </c>
      <c r="B122" s="18">
        <f>IF('CONTROLE EJ'!B124="","",'CONTROLE EJ'!B124)</f>
        <v/>
      </c>
      <c r="C122" s="26">
        <f>IF('CONTROLE EJ'!C124="","",'CONTROLE EJ'!C124)</f>
        <v/>
      </c>
      <c r="D122" s="42">
        <f>IF('CONTROLE EJ'!D124="","",'CONTROLE EJ'!D124)</f>
        <v/>
      </c>
      <c r="E122" s="71">
        <f>IF('CONTROLE CMM'!B124="","",'CONTROLE CMM'!B124)</f>
        <v/>
      </c>
      <c r="F122" s="18">
        <f>IF('CONTROLE CMM'!C124="","",'CONTROLE CMM'!C124)</f>
        <v/>
      </c>
      <c r="G122" s="26">
        <f>IF('CONTROLE CMM'!D124="","",'CONTROLE CMM'!D124)</f>
        <v/>
      </c>
      <c r="H122" s="43">
        <f>IF('CONTROLE GLOBO AÇOS'!B124="","",'CONTROLE GLOBO AÇOS'!B124)</f>
        <v/>
      </c>
      <c r="I122" s="18">
        <f>IF('CONTROLE GLOBO AÇOS'!C124="","",'CONTROLE GLOBO AÇOS'!C124)</f>
        <v/>
      </c>
      <c r="J122" s="18">
        <f>IF('CONTROLE GLOBO AÇOS'!D124="","",'CONTROLE GLOBO AÇOS'!D124)</f>
        <v/>
      </c>
      <c r="AD122" s="39">
        <f>IF($A122="",0,IF(AND(WEEKDAY($A122,2)&lt;=5,OR($B122&lt;&gt;"",$C122&lt;&gt;"",$D122&lt;&gt;"")),1,0))</f>
        <v/>
      </c>
      <c r="AE122" s="39">
        <f>IF($A122="",0,IF(AND(WEEKDAY($A122,2)&lt;=5,OR($E122&lt;&gt;"",$F122&lt;&gt;"",$G122&lt;&gt;"")),1,0))</f>
        <v/>
      </c>
      <c r="AF122" s="39">
        <f>MAX(AD122,AE122)</f>
        <v/>
      </c>
      <c r="AH122" s="223">
        <f>IF('CONTROLE GLOBO AÇOS'!E124="","",'CONTROLE GLOBO AÇOS'!E124)</f>
        <v/>
      </c>
      <c r="AI122" s="223">
        <f>IF('CONTROLE GLOBO AÇOS'!F124="","",'CONTROLE GLOBO AÇOS'!F124)</f>
        <v/>
      </c>
      <c r="AJ122" s="223">
        <f>IF(AND('CONTROLE EJ'!E124="",'CONTROLE CMM'!E124=""),"",N('CONTROLE EJ'!E124)+N('CONTROLE CMM'!E124))</f>
        <v/>
      </c>
      <c r="AK122" s="223">
        <f>IF(AND('CONTROLE EJ'!F124="",'CONTROLE CMM'!F124=""),"",N('CONTROLE EJ'!F124)+N('CONTROLE CMM'!F124))</f>
        <v/>
      </c>
      <c r="AL122" s="223">
        <f>IF(AND('CONTROLE EJ'!G124="",'CONTROLE CMM'!G124=""),"",N('CONTROLE EJ'!G124)+N('CONTROLE CMM'!G124))</f>
        <v/>
      </c>
      <c r="AM122" s="223">
        <f>IF(AND('CONTROLE EJ'!H124="",'CONTROLE CMM'!H124=""),"",N('CONTROLE EJ'!H124)+N('CONTROLE CMM'!H124))</f>
        <v/>
      </c>
      <c r="AN122" s="223">
        <f>IF('CONTROLE GLOBO AÇOS'!G124="","",'CONTROLE GLOBO AÇOS'!G124)</f>
        <v/>
      </c>
      <c r="AO122" s="223">
        <f>IF('CONTROLE GLOBO AÇOS'!H124="","",'CONTROLE GLOBO AÇOS'!H124)</f>
        <v/>
      </c>
      <c r="AP122" s="223">
        <f>IF(AND('CONTROLE EJ'!I124="",'CONTROLE CMM'!I124=""),"",N('CONTROLE EJ'!I124)+N('CONTROLE CMM'!I124))</f>
        <v/>
      </c>
      <c r="AQ122" s="223">
        <f>IF(AND('CONTROLE EJ'!J124="",'CONTROLE CMM'!#REF!=""),"",N('CONTROLE EJ'!J124)+N('CONTROLE CMM'!#REF!))</f>
        <v/>
      </c>
      <c r="AR122" s="223">
        <f>IF('CONTROLE GLOBO AÇOS'!I124="","",'CONTROLE GLOBO AÇOS'!I124)</f>
        <v/>
      </c>
      <c r="AS122" s="223">
        <f>IF('CONTROLE GLOBO AÇOS'!J124="","",'CONTROLE GLOBO AÇOS'!J124)</f>
        <v/>
      </c>
      <c r="AT122" s="223">
        <f>IF(#REF!="","",#REF!)</f>
        <v/>
      </c>
      <c r="AU122" s="223">
        <f>IF('CONTROLE GLOBO AÇOS'!K124="","",'CONTROLE GLOBO AÇOS'!K124)</f>
        <v/>
      </c>
      <c r="AV122" s="223">
        <f>IF(AND('CONTROLE EJ'!K124="",'CONTROLE CMM'!#REF!=""),"",N('CONTROLE EJ'!K124)+N('CONTROLE CMM'!#REF!))</f>
        <v/>
      </c>
      <c r="AW122" s="223">
        <f>IF('CONTROLE GLOBO AÇOS'!L124="","",'CONTROLE GLOBO AÇOS'!L124)</f>
        <v/>
      </c>
      <c r="AX122" s="223">
        <f>IF(AND('CONTROLE EJ'!L124="",'CONTROLE CMM'!#REF!=""),"",N('CONTROLE EJ'!L124)+N('CONTROLE CMM'!#REF!))</f>
        <v/>
      </c>
      <c r="AY122" s="223">
        <f>IF('CONTROLE GLOBO AÇOS'!M124="","",'CONTROLE GLOBO AÇOS'!M124)</f>
        <v/>
      </c>
      <c r="AZ122" s="223">
        <f>IF('CONTROLE GLOBO AÇOS'!N124="","",'CONTROLE GLOBO AÇOS'!N124)</f>
        <v/>
      </c>
      <c r="BA122" s="223">
        <f>IF(AND('CONTROLE EJ'!M124="",'CONTROLE CMM'!#REF!=""),"",N('CONTROLE EJ'!M124)+N('CONTROLE CMM'!#REF!))</f>
        <v/>
      </c>
      <c r="BB122" s="223">
        <f>IF(#REF!="","",#REF!)</f>
        <v/>
      </c>
      <c r="BC122" s="223">
        <f>IF('CONTROLE GLOBO AÇOS'!O124="","",'CONTROLE GLOBO AÇOS'!O124)</f>
        <v/>
      </c>
      <c r="BD122" s="223">
        <f>IF(AND('CONTROLE EJ'!N124="",'CONTROLE CMM'!#REF!=""),"",N('CONTROLE EJ'!N124)+N('CONTROLE CMM'!#REF!))</f>
        <v/>
      </c>
      <c r="BE122" s="223">
        <f>IF('CONTROLE GLOBO AÇOS'!P124="","",'CONTROLE GLOBO AÇOS'!P124)</f>
        <v/>
      </c>
      <c r="BF122" s="223">
        <f>IF('CONTROLE GLOBO AÇOS'!Q124="","",'CONTROLE GLOBO AÇOS'!Q124)</f>
        <v/>
      </c>
      <c r="BG122" s="223">
        <f>IF('CONTROLE GLOBO AÇOS'!R124="","",'CONTROLE GLOBO AÇOS'!R124)</f>
        <v/>
      </c>
      <c r="BH122" s="223">
        <f>IF(AND('CONTROLE EJ'!O124="",'CONTROLE CMM'!#REF!=""),"",N('CONTROLE EJ'!O124)+N('CONTROLE CMM'!#REF!))</f>
        <v/>
      </c>
      <c r="BI122" s="223">
        <f>IF('CONTROLE GLOBO AÇOS'!S124="","",'CONTROLE GLOBO AÇOS'!S124)</f>
        <v/>
      </c>
      <c r="BJ122" s="223">
        <f>IF('CONTROLE GLOBO AÇOS'!T124="","",'CONTROLE GLOBO AÇOS'!T124)</f>
        <v/>
      </c>
      <c r="BK122" s="223">
        <f>IF('CONTROLE GLOBO AÇOS'!U124="","",'CONTROLE GLOBO AÇOS'!U124)</f>
        <v/>
      </c>
      <c r="BL122" s="223">
        <f>IF(AND('CONTROLE EJ'!P124="",'CONTROLE CMM'!#REF!=""),"",N('CONTROLE EJ'!P124)+N('CONTROLE CMM'!#REF!))</f>
        <v/>
      </c>
      <c r="BM122" s="223">
        <f>IF(AND('CONTROLE EJ'!Q124="",'CONTROLE CMM'!#REF!=""),"",N('CONTROLE EJ'!Q124)+N('CONTROLE CMM'!#REF!))</f>
        <v/>
      </c>
      <c r="BN122" s="223">
        <f>IF('CONTROLE GLOBO AÇOS'!V124="","",'CONTROLE GLOBO AÇOS'!V124)</f>
        <v/>
      </c>
      <c r="BO122" s="223">
        <f>IF('CONTROLE GLOBO AÇOS'!W124="","",'CONTROLE GLOBO AÇOS'!W124)</f>
        <v/>
      </c>
      <c r="BP122" s="223">
        <f>IF(AND('CONTROLE EJ'!R124="",'CONTROLE CMM'!#REF!=""),"",N('CONTROLE EJ'!R124)+N('CONTROLE CMM'!#REF!))</f>
        <v/>
      </c>
      <c r="BQ122" s="223">
        <f>IF(#REF!="","",#REF!)</f>
        <v/>
      </c>
      <c r="BR122" s="223">
        <f>IF(AND('CONTROLE EJ'!S124="",'CONTROLE CMM'!#REF!=""),"",N('CONTROLE EJ'!S124)+N('CONTROLE CMM'!#REF!))</f>
        <v/>
      </c>
      <c r="BS122" s="223">
        <f>IF(AND('CONTROLE EJ'!T124="",'CONTROLE CMM'!#REF!=""),"",N('CONTROLE EJ'!T124)+N('CONTROLE CMM'!#REF!))</f>
        <v/>
      </c>
      <c r="BT122" s="223">
        <f>IF('CONTROLE GLOBO AÇOS'!X124="","",'CONTROLE GLOBO AÇOS'!X124)</f>
        <v/>
      </c>
      <c r="BU122" s="223">
        <f>IF('CONTROLE GLOBO AÇOS'!Y124="","",'CONTROLE GLOBO AÇOS'!Y124)</f>
        <v/>
      </c>
      <c r="BV122" s="223">
        <f>IF(AND('CONTROLE EJ'!U124="",'CONTROLE CMM'!#REF!=""),"",N('CONTROLE EJ'!U124)+N('CONTROLE CMM'!#REF!))</f>
        <v/>
      </c>
      <c r="BW122" s="223">
        <f>IF(#REF!="","",#REF!)</f>
        <v/>
      </c>
    </row>
    <row r="123">
      <c r="A123" s="282" t="n">
        <v>46340</v>
      </c>
      <c r="B123" s="18">
        <f>IF('CONTROLE EJ'!B125="","",'CONTROLE EJ'!B125)</f>
        <v/>
      </c>
      <c r="C123" s="26">
        <f>IF('CONTROLE EJ'!C125="","",'CONTROLE EJ'!C125)</f>
        <v/>
      </c>
      <c r="D123" s="42">
        <f>IF('CONTROLE EJ'!D125="","",'CONTROLE EJ'!D125)</f>
        <v/>
      </c>
      <c r="E123" s="71">
        <f>IF('CONTROLE CMM'!B125="","",'CONTROLE CMM'!B125)</f>
        <v/>
      </c>
      <c r="F123" s="18">
        <f>IF('CONTROLE CMM'!C125="","",'CONTROLE CMM'!C125)</f>
        <v/>
      </c>
      <c r="G123" s="26">
        <f>IF('CONTROLE CMM'!D125="","",'CONTROLE CMM'!D125)</f>
        <v/>
      </c>
      <c r="H123" s="43">
        <f>IF('CONTROLE GLOBO AÇOS'!B125="","",'CONTROLE GLOBO AÇOS'!B125)</f>
        <v/>
      </c>
      <c r="I123" s="18">
        <f>IF('CONTROLE GLOBO AÇOS'!C125="","",'CONTROLE GLOBO AÇOS'!C125)</f>
        <v/>
      </c>
      <c r="J123" s="18">
        <f>IF('CONTROLE GLOBO AÇOS'!D125="","",'CONTROLE GLOBO AÇOS'!D125)</f>
        <v/>
      </c>
      <c r="AD123" s="39">
        <f>IF($A123="",0,IF(AND(WEEKDAY($A123,2)&lt;=5,OR($B123&lt;&gt;"",$C123&lt;&gt;"",$D123&lt;&gt;"")),1,0))</f>
        <v/>
      </c>
      <c r="AE123" s="39">
        <f>IF($A123="",0,IF(AND(WEEKDAY($A123,2)&lt;=5,OR($E123&lt;&gt;"",$F123&lt;&gt;"",$G123&lt;&gt;"")),1,0))</f>
        <v/>
      </c>
      <c r="AF123" s="39">
        <f>MAX(AD123,AE123)</f>
        <v/>
      </c>
      <c r="AH123" s="223">
        <f>IF('CONTROLE GLOBO AÇOS'!E125="","",'CONTROLE GLOBO AÇOS'!E125)</f>
        <v/>
      </c>
      <c r="AI123" s="223">
        <f>IF('CONTROLE GLOBO AÇOS'!F125="","",'CONTROLE GLOBO AÇOS'!F125)</f>
        <v/>
      </c>
      <c r="AJ123" s="223">
        <f>IF(AND('CONTROLE EJ'!E125="",'CONTROLE CMM'!E125=""),"",N('CONTROLE EJ'!E125)+N('CONTROLE CMM'!E125))</f>
        <v/>
      </c>
      <c r="AK123" s="223">
        <f>IF(AND('CONTROLE EJ'!F125="",'CONTROLE CMM'!F125=""),"",N('CONTROLE EJ'!F125)+N('CONTROLE CMM'!F125))</f>
        <v/>
      </c>
      <c r="AL123" s="223">
        <f>IF(AND('CONTROLE EJ'!G125="",'CONTROLE CMM'!G125=""),"",N('CONTROLE EJ'!G125)+N('CONTROLE CMM'!G125))</f>
        <v/>
      </c>
      <c r="AM123" s="223">
        <f>IF(AND('CONTROLE EJ'!H125="",'CONTROLE CMM'!H125=""),"",N('CONTROLE EJ'!H125)+N('CONTROLE CMM'!H125))</f>
        <v/>
      </c>
      <c r="AN123" s="223">
        <f>IF('CONTROLE GLOBO AÇOS'!G125="","",'CONTROLE GLOBO AÇOS'!G125)</f>
        <v/>
      </c>
      <c r="AO123" s="223">
        <f>IF('CONTROLE GLOBO AÇOS'!H125="","",'CONTROLE GLOBO AÇOS'!H125)</f>
        <v/>
      </c>
      <c r="AP123" s="223">
        <f>IF(AND('CONTROLE EJ'!I125="",'CONTROLE CMM'!I125=""),"",N('CONTROLE EJ'!I125)+N('CONTROLE CMM'!I125))</f>
        <v/>
      </c>
      <c r="AQ123" s="223">
        <f>IF(AND('CONTROLE EJ'!J125="",'CONTROLE CMM'!#REF!=""),"",N('CONTROLE EJ'!J125)+N('CONTROLE CMM'!#REF!))</f>
        <v/>
      </c>
      <c r="AR123" s="223">
        <f>IF('CONTROLE GLOBO AÇOS'!I125="","",'CONTROLE GLOBO AÇOS'!I125)</f>
        <v/>
      </c>
      <c r="AS123" s="223">
        <f>IF('CONTROLE GLOBO AÇOS'!J125="","",'CONTROLE GLOBO AÇOS'!J125)</f>
        <v/>
      </c>
      <c r="AT123" s="223">
        <f>IF(#REF!="","",#REF!)</f>
        <v/>
      </c>
      <c r="AU123" s="223">
        <f>IF('CONTROLE GLOBO AÇOS'!K125="","",'CONTROLE GLOBO AÇOS'!K125)</f>
        <v/>
      </c>
      <c r="AV123" s="223">
        <f>IF(AND('CONTROLE EJ'!K125="",'CONTROLE CMM'!#REF!=""),"",N('CONTROLE EJ'!K125)+N('CONTROLE CMM'!#REF!))</f>
        <v/>
      </c>
      <c r="AW123" s="223">
        <f>IF('CONTROLE GLOBO AÇOS'!L125="","",'CONTROLE GLOBO AÇOS'!L125)</f>
        <v/>
      </c>
      <c r="AX123" s="223">
        <f>IF(AND('CONTROLE EJ'!L125="",'CONTROLE CMM'!#REF!=""),"",N('CONTROLE EJ'!L125)+N('CONTROLE CMM'!#REF!))</f>
        <v/>
      </c>
      <c r="AY123" s="223">
        <f>IF('CONTROLE GLOBO AÇOS'!M125="","",'CONTROLE GLOBO AÇOS'!M125)</f>
        <v/>
      </c>
      <c r="AZ123" s="223">
        <f>IF('CONTROLE GLOBO AÇOS'!N125="","",'CONTROLE GLOBO AÇOS'!N125)</f>
        <v/>
      </c>
      <c r="BA123" s="223">
        <f>IF(AND('CONTROLE EJ'!M125="",'CONTROLE CMM'!#REF!=""),"",N('CONTROLE EJ'!M125)+N('CONTROLE CMM'!#REF!))</f>
        <v/>
      </c>
      <c r="BB123" s="223">
        <f>IF(#REF!="","",#REF!)</f>
        <v/>
      </c>
      <c r="BC123" s="223">
        <f>IF('CONTROLE GLOBO AÇOS'!O125="","",'CONTROLE GLOBO AÇOS'!O125)</f>
        <v/>
      </c>
      <c r="BD123" s="223">
        <f>IF(AND('CONTROLE EJ'!N125="",'CONTROLE CMM'!#REF!=""),"",N('CONTROLE EJ'!N125)+N('CONTROLE CMM'!#REF!))</f>
        <v/>
      </c>
      <c r="BE123" s="223">
        <f>IF('CONTROLE GLOBO AÇOS'!P125="","",'CONTROLE GLOBO AÇOS'!P125)</f>
        <v/>
      </c>
      <c r="BF123" s="223">
        <f>IF('CONTROLE GLOBO AÇOS'!Q125="","",'CONTROLE GLOBO AÇOS'!Q125)</f>
        <v/>
      </c>
      <c r="BG123" s="223">
        <f>IF('CONTROLE GLOBO AÇOS'!R125="","",'CONTROLE GLOBO AÇOS'!R125)</f>
        <v/>
      </c>
      <c r="BH123" s="223">
        <f>IF(AND('CONTROLE EJ'!O125="",'CONTROLE CMM'!#REF!=""),"",N('CONTROLE EJ'!O125)+N('CONTROLE CMM'!#REF!))</f>
        <v/>
      </c>
      <c r="BI123" s="223">
        <f>IF('CONTROLE GLOBO AÇOS'!S125="","",'CONTROLE GLOBO AÇOS'!S125)</f>
        <v/>
      </c>
      <c r="BJ123" s="223">
        <f>IF('CONTROLE GLOBO AÇOS'!T125="","",'CONTROLE GLOBO AÇOS'!T125)</f>
        <v/>
      </c>
      <c r="BK123" s="223">
        <f>IF('CONTROLE GLOBO AÇOS'!U125="","",'CONTROLE GLOBO AÇOS'!U125)</f>
        <v/>
      </c>
      <c r="BL123" s="223">
        <f>IF(AND('CONTROLE EJ'!P125="",'CONTROLE CMM'!#REF!=""),"",N('CONTROLE EJ'!P125)+N('CONTROLE CMM'!#REF!))</f>
        <v/>
      </c>
      <c r="BM123" s="223">
        <f>IF(AND('CONTROLE EJ'!Q125="",'CONTROLE CMM'!#REF!=""),"",N('CONTROLE EJ'!Q125)+N('CONTROLE CMM'!#REF!))</f>
        <v/>
      </c>
      <c r="BN123" s="223">
        <f>IF('CONTROLE GLOBO AÇOS'!V125="","",'CONTROLE GLOBO AÇOS'!V125)</f>
        <v/>
      </c>
      <c r="BO123" s="223">
        <f>IF('CONTROLE GLOBO AÇOS'!W125="","",'CONTROLE GLOBO AÇOS'!W125)</f>
        <v/>
      </c>
      <c r="BP123" s="223">
        <f>IF(AND('CONTROLE EJ'!R125="",'CONTROLE CMM'!#REF!=""),"",N('CONTROLE EJ'!R125)+N('CONTROLE CMM'!#REF!))</f>
        <v/>
      </c>
      <c r="BQ123" s="223">
        <f>IF(#REF!="","",#REF!)</f>
        <v/>
      </c>
      <c r="BR123" s="223">
        <f>IF(AND('CONTROLE EJ'!S125="",'CONTROLE CMM'!#REF!=""),"",N('CONTROLE EJ'!S125)+N('CONTROLE CMM'!#REF!))</f>
        <v/>
      </c>
      <c r="BS123" s="223">
        <f>IF(AND('CONTROLE EJ'!T125="",'CONTROLE CMM'!#REF!=""),"",N('CONTROLE EJ'!T125)+N('CONTROLE CMM'!#REF!))</f>
        <v/>
      </c>
      <c r="BT123" s="223">
        <f>IF('CONTROLE GLOBO AÇOS'!X125="","",'CONTROLE GLOBO AÇOS'!X125)</f>
        <v/>
      </c>
      <c r="BU123" s="223">
        <f>IF('CONTROLE GLOBO AÇOS'!Y125="","",'CONTROLE GLOBO AÇOS'!Y125)</f>
        <v/>
      </c>
      <c r="BV123" s="223">
        <f>IF(AND('CONTROLE EJ'!U125="",'CONTROLE CMM'!#REF!=""),"",N('CONTROLE EJ'!U125)+N('CONTROLE CMM'!#REF!))</f>
        <v/>
      </c>
      <c r="BW123" s="223">
        <f>IF(#REF!="","",#REF!)</f>
        <v/>
      </c>
    </row>
    <row r="124">
      <c r="A124" s="282" t="n">
        <v>46341</v>
      </c>
      <c r="B124" s="18">
        <f>IF('CONTROLE EJ'!B126="","",'CONTROLE EJ'!B126)</f>
        <v/>
      </c>
      <c r="C124" s="26">
        <f>IF('CONTROLE EJ'!C126="","",'CONTROLE EJ'!C126)</f>
        <v/>
      </c>
      <c r="D124" s="42">
        <f>IF('CONTROLE EJ'!D126="","",'CONTROLE EJ'!D126)</f>
        <v/>
      </c>
      <c r="E124" s="71">
        <f>IF('CONTROLE CMM'!B126="","",'CONTROLE CMM'!B126)</f>
        <v/>
      </c>
      <c r="F124" s="18">
        <f>IF('CONTROLE CMM'!C126="","",'CONTROLE CMM'!C126)</f>
        <v/>
      </c>
      <c r="G124" s="26">
        <f>IF('CONTROLE CMM'!D126="","",'CONTROLE CMM'!D126)</f>
        <v/>
      </c>
      <c r="H124" s="43">
        <f>IF('CONTROLE GLOBO AÇOS'!B126="","",'CONTROLE GLOBO AÇOS'!B126)</f>
        <v/>
      </c>
      <c r="I124" s="18">
        <f>IF('CONTROLE GLOBO AÇOS'!C126="","",'CONTROLE GLOBO AÇOS'!C126)</f>
        <v/>
      </c>
      <c r="J124" s="18">
        <f>IF('CONTROLE GLOBO AÇOS'!D126="","",'CONTROLE GLOBO AÇOS'!D126)</f>
        <v/>
      </c>
      <c r="AD124" s="39">
        <f>IF($A124="",0,IF(AND(WEEKDAY($A124,2)&lt;=5,OR($B124&lt;&gt;"",$C124&lt;&gt;"",$D124&lt;&gt;"")),1,0))</f>
        <v/>
      </c>
      <c r="AE124" s="39">
        <f>IF($A124="",0,IF(AND(WEEKDAY($A124,2)&lt;=5,OR($E124&lt;&gt;"",$F124&lt;&gt;"",$G124&lt;&gt;"")),1,0))</f>
        <v/>
      </c>
      <c r="AF124" s="39">
        <f>MAX(AD124,AE124)</f>
        <v/>
      </c>
      <c r="AH124" s="223">
        <f>IF('CONTROLE GLOBO AÇOS'!E126="","",'CONTROLE GLOBO AÇOS'!E126)</f>
        <v/>
      </c>
      <c r="AI124" s="223">
        <f>IF('CONTROLE GLOBO AÇOS'!F126="","",'CONTROLE GLOBO AÇOS'!F126)</f>
        <v/>
      </c>
      <c r="AJ124" s="223">
        <f>IF(AND('CONTROLE EJ'!E126="",'CONTROLE CMM'!E126=""),"",N('CONTROLE EJ'!E126)+N('CONTROLE CMM'!E126))</f>
        <v/>
      </c>
      <c r="AK124" s="223">
        <f>IF(AND('CONTROLE EJ'!F126="",'CONTROLE CMM'!F126=""),"",N('CONTROLE EJ'!F126)+N('CONTROLE CMM'!F126))</f>
        <v/>
      </c>
      <c r="AL124" s="223">
        <f>IF(AND('CONTROLE EJ'!G126="",'CONTROLE CMM'!G126=""),"",N('CONTROLE EJ'!G126)+N('CONTROLE CMM'!G126))</f>
        <v/>
      </c>
      <c r="AM124" s="223">
        <f>IF(AND('CONTROLE EJ'!H126="",'CONTROLE CMM'!H126=""),"",N('CONTROLE EJ'!H126)+N('CONTROLE CMM'!H126))</f>
        <v/>
      </c>
      <c r="AN124" s="223">
        <f>IF('CONTROLE GLOBO AÇOS'!G126="","",'CONTROLE GLOBO AÇOS'!G126)</f>
        <v/>
      </c>
      <c r="AO124" s="223">
        <f>IF('CONTROLE GLOBO AÇOS'!H126="","",'CONTROLE GLOBO AÇOS'!H126)</f>
        <v/>
      </c>
      <c r="AP124" s="223">
        <f>IF(AND('CONTROLE EJ'!I126="",'CONTROLE CMM'!I126=""),"",N('CONTROLE EJ'!I126)+N('CONTROLE CMM'!I126))</f>
        <v/>
      </c>
      <c r="AQ124" s="223">
        <f>IF(AND('CONTROLE EJ'!J126="",'CONTROLE CMM'!#REF!=""),"",N('CONTROLE EJ'!J126)+N('CONTROLE CMM'!#REF!))</f>
        <v/>
      </c>
      <c r="AR124" s="223">
        <f>IF('CONTROLE GLOBO AÇOS'!I126="","",'CONTROLE GLOBO AÇOS'!I126)</f>
        <v/>
      </c>
      <c r="AS124" s="223">
        <f>IF('CONTROLE GLOBO AÇOS'!J126="","",'CONTROLE GLOBO AÇOS'!J126)</f>
        <v/>
      </c>
      <c r="AT124" s="223">
        <f>IF(#REF!="","",#REF!)</f>
        <v/>
      </c>
      <c r="AU124" s="223">
        <f>IF('CONTROLE GLOBO AÇOS'!K126="","",'CONTROLE GLOBO AÇOS'!K126)</f>
        <v/>
      </c>
      <c r="AV124" s="223">
        <f>IF(AND('CONTROLE EJ'!K126="",'CONTROLE CMM'!#REF!=""),"",N('CONTROLE EJ'!K126)+N('CONTROLE CMM'!#REF!))</f>
        <v/>
      </c>
      <c r="AW124" s="223">
        <f>IF('CONTROLE GLOBO AÇOS'!L126="","",'CONTROLE GLOBO AÇOS'!L126)</f>
        <v/>
      </c>
      <c r="AX124" s="223">
        <f>IF(AND('CONTROLE EJ'!L126="",'CONTROLE CMM'!#REF!=""),"",N('CONTROLE EJ'!L126)+N('CONTROLE CMM'!#REF!))</f>
        <v/>
      </c>
      <c r="AY124" s="223">
        <f>IF('CONTROLE GLOBO AÇOS'!M126="","",'CONTROLE GLOBO AÇOS'!M126)</f>
        <v/>
      </c>
      <c r="AZ124" s="223">
        <f>IF('CONTROLE GLOBO AÇOS'!N126="","",'CONTROLE GLOBO AÇOS'!N126)</f>
        <v/>
      </c>
      <c r="BA124" s="223">
        <f>IF(AND('CONTROLE EJ'!M126="",'CONTROLE CMM'!#REF!=""),"",N('CONTROLE EJ'!M126)+N('CONTROLE CMM'!#REF!))</f>
        <v/>
      </c>
      <c r="BB124" s="223">
        <f>IF(#REF!="","",#REF!)</f>
        <v/>
      </c>
      <c r="BC124" s="223">
        <f>IF('CONTROLE GLOBO AÇOS'!O126="","",'CONTROLE GLOBO AÇOS'!O126)</f>
        <v/>
      </c>
      <c r="BD124" s="223">
        <f>IF(AND('CONTROLE EJ'!N126="",'CONTROLE CMM'!#REF!=""),"",N('CONTROLE EJ'!N126)+N('CONTROLE CMM'!#REF!))</f>
        <v/>
      </c>
      <c r="BE124" s="223">
        <f>IF('CONTROLE GLOBO AÇOS'!P126="","",'CONTROLE GLOBO AÇOS'!P126)</f>
        <v/>
      </c>
      <c r="BF124" s="223">
        <f>IF('CONTROLE GLOBO AÇOS'!Q126="","",'CONTROLE GLOBO AÇOS'!Q126)</f>
        <v/>
      </c>
      <c r="BG124" s="223">
        <f>IF('CONTROLE GLOBO AÇOS'!R126="","",'CONTROLE GLOBO AÇOS'!R126)</f>
        <v/>
      </c>
      <c r="BH124" s="223">
        <f>IF(AND('CONTROLE EJ'!O126="",'CONTROLE CMM'!#REF!=""),"",N('CONTROLE EJ'!O126)+N('CONTROLE CMM'!#REF!))</f>
        <v/>
      </c>
      <c r="BI124" s="223">
        <f>IF('CONTROLE GLOBO AÇOS'!S126="","",'CONTROLE GLOBO AÇOS'!S126)</f>
        <v/>
      </c>
      <c r="BJ124" s="223">
        <f>IF('CONTROLE GLOBO AÇOS'!T126="","",'CONTROLE GLOBO AÇOS'!T126)</f>
        <v/>
      </c>
      <c r="BK124" s="223">
        <f>IF('CONTROLE GLOBO AÇOS'!U126="","",'CONTROLE GLOBO AÇOS'!U126)</f>
        <v/>
      </c>
      <c r="BL124" s="223">
        <f>IF(AND('CONTROLE EJ'!P126="",'CONTROLE CMM'!#REF!=""),"",N('CONTROLE EJ'!P126)+N('CONTROLE CMM'!#REF!))</f>
        <v/>
      </c>
      <c r="BM124" s="223">
        <f>IF(AND('CONTROLE EJ'!Q126="",'CONTROLE CMM'!#REF!=""),"",N('CONTROLE EJ'!Q126)+N('CONTROLE CMM'!#REF!))</f>
        <v/>
      </c>
      <c r="BN124" s="223">
        <f>IF('CONTROLE GLOBO AÇOS'!V126="","",'CONTROLE GLOBO AÇOS'!V126)</f>
        <v/>
      </c>
      <c r="BO124" s="223">
        <f>IF('CONTROLE GLOBO AÇOS'!W126="","",'CONTROLE GLOBO AÇOS'!W126)</f>
        <v/>
      </c>
      <c r="BP124" s="223">
        <f>IF(AND('CONTROLE EJ'!R126="",'CONTROLE CMM'!#REF!=""),"",N('CONTROLE EJ'!R126)+N('CONTROLE CMM'!#REF!))</f>
        <v/>
      </c>
      <c r="BQ124" s="223">
        <f>IF(#REF!="","",#REF!)</f>
        <v/>
      </c>
      <c r="BR124" s="223">
        <f>IF(AND('CONTROLE EJ'!S126="",'CONTROLE CMM'!#REF!=""),"",N('CONTROLE EJ'!S126)+N('CONTROLE CMM'!#REF!))</f>
        <v/>
      </c>
      <c r="BS124" s="223">
        <f>IF(AND('CONTROLE EJ'!T126="",'CONTROLE CMM'!#REF!=""),"",N('CONTROLE EJ'!T126)+N('CONTROLE CMM'!#REF!))</f>
        <v/>
      </c>
      <c r="BT124" s="223">
        <f>IF('CONTROLE GLOBO AÇOS'!X126="","",'CONTROLE GLOBO AÇOS'!X126)</f>
        <v/>
      </c>
      <c r="BU124" s="223">
        <f>IF('CONTROLE GLOBO AÇOS'!Y126="","",'CONTROLE GLOBO AÇOS'!Y126)</f>
        <v/>
      </c>
      <c r="BV124" s="223">
        <f>IF(AND('CONTROLE EJ'!U126="",'CONTROLE CMM'!#REF!=""),"",N('CONTROLE EJ'!U126)+N('CONTROLE CMM'!#REF!))</f>
        <v/>
      </c>
      <c r="BW124" s="223">
        <f>IF(#REF!="","",#REF!)</f>
        <v/>
      </c>
    </row>
    <row r="125">
      <c r="A125" s="282" t="n">
        <v>46342</v>
      </c>
      <c r="B125" s="18">
        <f>IF('CONTROLE EJ'!B127="","",'CONTROLE EJ'!B127)</f>
        <v/>
      </c>
      <c r="C125" s="26">
        <f>IF('CONTROLE EJ'!C127="","",'CONTROLE EJ'!C127)</f>
        <v/>
      </c>
      <c r="D125" s="42">
        <f>IF('CONTROLE EJ'!D127="","",'CONTROLE EJ'!D127)</f>
        <v/>
      </c>
      <c r="E125" s="71">
        <f>IF('CONTROLE CMM'!B127="","",'CONTROLE CMM'!B127)</f>
        <v/>
      </c>
      <c r="F125" s="18">
        <f>IF('CONTROLE CMM'!C127="","",'CONTROLE CMM'!C127)</f>
        <v/>
      </c>
      <c r="G125" s="26">
        <f>IF('CONTROLE CMM'!D127="","",'CONTROLE CMM'!D127)</f>
        <v/>
      </c>
      <c r="H125" s="43">
        <f>IF('CONTROLE GLOBO AÇOS'!B127="","",'CONTROLE GLOBO AÇOS'!B127)</f>
        <v/>
      </c>
      <c r="I125" s="18">
        <f>IF('CONTROLE GLOBO AÇOS'!C127="","",'CONTROLE GLOBO AÇOS'!C127)</f>
        <v/>
      </c>
      <c r="J125" s="18">
        <f>IF('CONTROLE GLOBO AÇOS'!D127="","",'CONTROLE GLOBO AÇOS'!D127)</f>
        <v/>
      </c>
      <c r="AD125" s="39">
        <f>IF($A125="",0,IF(AND(WEEKDAY($A125,2)&lt;=5,OR($B125&lt;&gt;"",$C125&lt;&gt;"",$D125&lt;&gt;"")),1,0))</f>
        <v/>
      </c>
      <c r="AE125" s="39">
        <f>IF($A125="",0,IF(AND(WEEKDAY($A125,2)&lt;=5,OR($E125&lt;&gt;"",$F125&lt;&gt;"",$G125&lt;&gt;"")),1,0))</f>
        <v/>
      </c>
      <c r="AF125" s="39">
        <f>MAX(AD125,AE125)</f>
        <v/>
      </c>
      <c r="AH125" s="223">
        <f>IF('CONTROLE GLOBO AÇOS'!E127="","",'CONTROLE GLOBO AÇOS'!E127)</f>
        <v/>
      </c>
      <c r="AI125" s="223">
        <f>IF('CONTROLE GLOBO AÇOS'!F127="","",'CONTROLE GLOBO AÇOS'!F127)</f>
        <v/>
      </c>
      <c r="AJ125" s="223">
        <f>IF(AND('CONTROLE EJ'!E127="",'CONTROLE CMM'!E127=""),"",N('CONTROLE EJ'!E127)+N('CONTROLE CMM'!E127))</f>
        <v/>
      </c>
      <c r="AK125" s="223">
        <f>IF(AND('CONTROLE EJ'!F127="",'CONTROLE CMM'!F127=""),"",N('CONTROLE EJ'!F127)+N('CONTROLE CMM'!F127))</f>
        <v/>
      </c>
      <c r="AL125" s="223">
        <f>IF(AND('CONTROLE EJ'!G127="",'CONTROLE CMM'!G127=""),"",N('CONTROLE EJ'!G127)+N('CONTROLE CMM'!G127))</f>
        <v/>
      </c>
      <c r="AM125" s="223">
        <f>IF(AND('CONTROLE EJ'!H127="",'CONTROLE CMM'!H127=""),"",N('CONTROLE EJ'!H127)+N('CONTROLE CMM'!H127))</f>
        <v/>
      </c>
      <c r="AN125" s="223">
        <f>IF('CONTROLE GLOBO AÇOS'!G127="","",'CONTROLE GLOBO AÇOS'!G127)</f>
        <v/>
      </c>
      <c r="AO125" s="223">
        <f>IF('CONTROLE GLOBO AÇOS'!H127="","",'CONTROLE GLOBO AÇOS'!H127)</f>
        <v/>
      </c>
      <c r="AP125" s="223">
        <f>IF(AND('CONTROLE EJ'!I127="",'CONTROLE CMM'!I127=""),"",N('CONTROLE EJ'!I127)+N('CONTROLE CMM'!I127))</f>
        <v/>
      </c>
      <c r="AQ125" s="223">
        <f>IF(AND('CONTROLE EJ'!J127="",'CONTROLE CMM'!#REF!=""),"",N('CONTROLE EJ'!J127)+N('CONTROLE CMM'!#REF!))</f>
        <v/>
      </c>
      <c r="AR125" s="223">
        <f>IF('CONTROLE GLOBO AÇOS'!I127="","",'CONTROLE GLOBO AÇOS'!I127)</f>
        <v/>
      </c>
      <c r="AS125" s="223">
        <f>IF('CONTROLE GLOBO AÇOS'!J127="","",'CONTROLE GLOBO AÇOS'!J127)</f>
        <v/>
      </c>
      <c r="AT125" s="223">
        <f>IF(#REF!="","",#REF!)</f>
        <v/>
      </c>
      <c r="AU125" s="223">
        <f>IF('CONTROLE GLOBO AÇOS'!K127="","",'CONTROLE GLOBO AÇOS'!K127)</f>
        <v/>
      </c>
      <c r="AV125" s="223">
        <f>IF(AND('CONTROLE EJ'!K127="",'CONTROLE CMM'!#REF!=""),"",N('CONTROLE EJ'!K127)+N('CONTROLE CMM'!#REF!))</f>
        <v/>
      </c>
      <c r="AW125" s="223">
        <f>IF('CONTROLE GLOBO AÇOS'!L127="","",'CONTROLE GLOBO AÇOS'!L127)</f>
        <v/>
      </c>
      <c r="AX125" s="223">
        <f>IF(AND('CONTROLE EJ'!L127="",'CONTROLE CMM'!#REF!=""),"",N('CONTROLE EJ'!L127)+N('CONTROLE CMM'!#REF!))</f>
        <v/>
      </c>
      <c r="AY125" s="223">
        <f>IF('CONTROLE GLOBO AÇOS'!M127="","",'CONTROLE GLOBO AÇOS'!M127)</f>
        <v/>
      </c>
      <c r="AZ125" s="223">
        <f>IF('CONTROLE GLOBO AÇOS'!N127="","",'CONTROLE GLOBO AÇOS'!N127)</f>
        <v/>
      </c>
      <c r="BA125" s="223">
        <f>IF(AND('CONTROLE EJ'!M127="",'CONTROLE CMM'!#REF!=""),"",N('CONTROLE EJ'!M127)+N('CONTROLE CMM'!#REF!))</f>
        <v/>
      </c>
      <c r="BB125" s="223">
        <f>IF(#REF!="","",#REF!)</f>
        <v/>
      </c>
      <c r="BC125" s="223">
        <f>IF('CONTROLE GLOBO AÇOS'!O127="","",'CONTROLE GLOBO AÇOS'!O127)</f>
        <v/>
      </c>
      <c r="BD125" s="223">
        <f>IF(AND('CONTROLE EJ'!N127="",'CONTROLE CMM'!#REF!=""),"",N('CONTROLE EJ'!N127)+N('CONTROLE CMM'!#REF!))</f>
        <v/>
      </c>
      <c r="BE125" s="223">
        <f>IF('CONTROLE GLOBO AÇOS'!P127="","",'CONTROLE GLOBO AÇOS'!P127)</f>
        <v/>
      </c>
      <c r="BF125" s="223">
        <f>IF('CONTROLE GLOBO AÇOS'!Q127="","",'CONTROLE GLOBO AÇOS'!Q127)</f>
        <v/>
      </c>
      <c r="BG125" s="223">
        <f>IF('CONTROLE GLOBO AÇOS'!R127="","",'CONTROLE GLOBO AÇOS'!R127)</f>
        <v/>
      </c>
      <c r="BH125" s="223">
        <f>IF(AND('CONTROLE EJ'!O127="",'CONTROLE CMM'!#REF!=""),"",N('CONTROLE EJ'!O127)+N('CONTROLE CMM'!#REF!))</f>
        <v/>
      </c>
      <c r="BI125" s="223">
        <f>IF('CONTROLE GLOBO AÇOS'!S127="","",'CONTROLE GLOBO AÇOS'!S127)</f>
        <v/>
      </c>
      <c r="BJ125" s="223">
        <f>IF('CONTROLE GLOBO AÇOS'!T127="","",'CONTROLE GLOBO AÇOS'!T127)</f>
        <v/>
      </c>
      <c r="BK125" s="223">
        <f>IF('CONTROLE GLOBO AÇOS'!U127="","",'CONTROLE GLOBO AÇOS'!U127)</f>
        <v/>
      </c>
      <c r="BL125" s="223">
        <f>IF(AND('CONTROLE EJ'!P127="",'CONTROLE CMM'!#REF!=""),"",N('CONTROLE EJ'!P127)+N('CONTROLE CMM'!#REF!))</f>
        <v/>
      </c>
      <c r="BM125" s="223">
        <f>IF(AND('CONTROLE EJ'!Q127="",'CONTROLE CMM'!#REF!=""),"",N('CONTROLE EJ'!Q127)+N('CONTROLE CMM'!#REF!))</f>
        <v/>
      </c>
      <c r="BN125" s="223">
        <f>IF('CONTROLE GLOBO AÇOS'!V127="","",'CONTROLE GLOBO AÇOS'!V127)</f>
        <v/>
      </c>
      <c r="BO125" s="223">
        <f>IF('CONTROLE GLOBO AÇOS'!W127="","",'CONTROLE GLOBO AÇOS'!W127)</f>
        <v/>
      </c>
      <c r="BP125" s="223">
        <f>IF(AND('CONTROLE EJ'!R127="",'CONTROLE CMM'!#REF!=""),"",N('CONTROLE EJ'!R127)+N('CONTROLE CMM'!#REF!))</f>
        <v/>
      </c>
      <c r="BQ125" s="223">
        <f>IF(#REF!="","",#REF!)</f>
        <v/>
      </c>
      <c r="BR125" s="223">
        <f>IF(AND('CONTROLE EJ'!S127="",'CONTROLE CMM'!#REF!=""),"",N('CONTROLE EJ'!S127)+N('CONTROLE CMM'!#REF!))</f>
        <v/>
      </c>
      <c r="BS125" s="223">
        <f>IF(AND('CONTROLE EJ'!T127="",'CONTROLE CMM'!#REF!=""),"",N('CONTROLE EJ'!T127)+N('CONTROLE CMM'!#REF!))</f>
        <v/>
      </c>
      <c r="BT125" s="223">
        <f>IF('CONTROLE GLOBO AÇOS'!X127="","",'CONTROLE GLOBO AÇOS'!X127)</f>
        <v/>
      </c>
      <c r="BU125" s="223">
        <f>IF('CONTROLE GLOBO AÇOS'!Y127="","",'CONTROLE GLOBO AÇOS'!Y127)</f>
        <v/>
      </c>
      <c r="BV125" s="223">
        <f>IF(AND('CONTROLE EJ'!U127="",'CONTROLE CMM'!#REF!=""),"",N('CONTROLE EJ'!U127)+N('CONTROLE CMM'!#REF!))</f>
        <v/>
      </c>
      <c r="BW125" s="223">
        <f>IF(#REF!="","",#REF!)</f>
        <v/>
      </c>
    </row>
    <row r="126">
      <c r="A126" s="282" t="n">
        <v>46343</v>
      </c>
      <c r="B126" s="18">
        <f>IF('CONTROLE EJ'!B128="","",'CONTROLE EJ'!B128)</f>
        <v/>
      </c>
      <c r="C126" s="26">
        <f>IF('CONTROLE EJ'!C128="","",'CONTROLE EJ'!C128)</f>
        <v/>
      </c>
      <c r="D126" s="42">
        <f>IF('CONTROLE EJ'!D128="","",'CONTROLE EJ'!D128)</f>
        <v/>
      </c>
      <c r="E126" s="71">
        <f>IF('CONTROLE CMM'!B128="","",'CONTROLE CMM'!B128)</f>
        <v/>
      </c>
      <c r="F126" s="18">
        <f>IF('CONTROLE CMM'!C128="","",'CONTROLE CMM'!C128)</f>
        <v/>
      </c>
      <c r="G126" s="26">
        <f>IF('CONTROLE CMM'!D128="","",'CONTROLE CMM'!D128)</f>
        <v/>
      </c>
      <c r="H126" s="43">
        <f>IF('CONTROLE GLOBO AÇOS'!B128="","",'CONTROLE GLOBO AÇOS'!B128)</f>
        <v/>
      </c>
      <c r="I126" s="18">
        <f>IF('CONTROLE GLOBO AÇOS'!C128="","",'CONTROLE GLOBO AÇOS'!C128)</f>
        <v/>
      </c>
      <c r="J126" s="18">
        <f>IF('CONTROLE GLOBO AÇOS'!D128="","",'CONTROLE GLOBO AÇOS'!D128)</f>
        <v/>
      </c>
      <c r="AD126" s="39">
        <f>IF($A126="",0,IF(AND(WEEKDAY($A126,2)&lt;=5,OR($B126&lt;&gt;"",$C126&lt;&gt;"",$D126&lt;&gt;"")),1,0))</f>
        <v/>
      </c>
      <c r="AE126" s="39">
        <f>IF($A126="",0,IF(AND(WEEKDAY($A126,2)&lt;=5,OR($E126&lt;&gt;"",$F126&lt;&gt;"",$G126&lt;&gt;"")),1,0))</f>
        <v/>
      </c>
      <c r="AF126" s="39">
        <f>MAX(AD126,AE126)</f>
        <v/>
      </c>
      <c r="AH126" s="223">
        <f>IF('CONTROLE GLOBO AÇOS'!E128="","",'CONTROLE GLOBO AÇOS'!E128)</f>
        <v/>
      </c>
      <c r="AI126" s="223">
        <f>IF('CONTROLE GLOBO AÇOS'!F128="","",'CONTROLE GLOBO AÇOS'!F128)</f>
        <v/>
      </c>
      <c r="AJ126" s="223">
        <f>IF(AND('CONTROLE EJ'!E128="",'CONTROLE CMM'!E128=""),"",N('CONTROLE EJ'!E128)+N('CONTROLE CMM'!E128))</f>
        <v/>
      </c>
      <c r="AK126" s="223">
        <f>IF(AND('CONTROLE EJ'!F128="",'CONTROLE CMM'!F128=""),"",N('CONTROLE EJ'!F128)+N('CONTROLE CMM'!F128))</f>
        <v/>
      </c>
      <c r="AL126" s="223">
        <f>IF(AND('CONTROLE EJ'!G128="",'CONTROLE CMM'!G128=""),"",N('CONTROLE EJ'!G128)+N('CONTROLE CMM'!G128))</f>
        <v/>
      </c>
      <c r="AM126" s="223">
        <f>IF(AND('CONTROLE EJ'!H128="",'CONTROLE CMM'!H128=""),"",N('CONTROLE EJ'!H128)+N('CONTROLE CMM'!H128))</f>
        <v/>
      </c>
      <c r="AN126" s="223">
        <f>IF('CONTROLE GLOBO AÇOS'!G128="","",'CONTROLE GLOBO AÇOS'!G128)</f>
        <v/>
      </c>
      <c r="AO126" s="223">
        <f>IF('CONTROLE GLOBO AÇOS'!H128="","",'CONTROLE GLOBO AÇOS'!H128)</f>
        <v/>
      </c>
      <c r="AP126" s="223">
        <f>IF(AND('CONTROLE EJ'!I128="",'CONTROLE CMM'!I128=""),"",N('CONTROLE EJ'!I128)+N('CONTROLE CMM'!I128))</f>
        <v/>
      </c>
      <c r="AQ126" s="223">
        <f>IF(AND('CONTROLE EJ'!J128="",'CONTROLE CMM'!#REF!=""),"",N('CONTROLE EJ'!J128)+N('CONTROLE CMM'!#REF!))</f>
        <v/>
      </c>
      <c r="AR126" s="223">
        <f>IF('CONTROLE GLOBO AÇOS'!I128="","",'CONTROLE GLOBO AÇOS'!I128)</f>
        <v/>
      </c>
      <c r="AS126" s="223">
        <f>IF('CONTROLE GLOBO AÇOS'!J128="","",'CONTROLE GLOBO AÇOS'!J128)</f>
        <v/>
      </c>
      <c r="AT126" s="223">
        <f>IF(#REF!="","",#REF!)</f>
        <v/>
      </c>
      <c r="AU126" s="223">
        <f>IF('CONTROLE GLOBO AÇOS'!K128="","",'CONTROLE GLOBO AÇOS'!K128)</f>
        <v/>
      </c>
      <c r="AV126" s="223">
        <f>IF(AND('CONTROLE EJ'!K128="",'CONTROLE CMM'!#REF!=""),"",N('CONTROLE EJ'!K128)+N('CONTROLE CMM'!#REF!))</f>
        <v/>
      </c>
      <c r="AW126" s="223">
        <f>IF('CONTROLE GLOBO AÇOS'!L128="","",'CONTROLE GLOBO AÇOS'!L128)</f>
        <v/>
      </c>
      <c r="AX126" s="223">
        <f>IF(AND('CONTROLE EJ'!L128="",'CONTROLE CMM'!#REF!=""),"",N('CONTROLE EJ'!L128)+N('CONTROLE CMM'!#REF!))</f>
        <v/>
      </c>
      <c r="AY126" s="223">
        <f>IF('CONTROLE GLOBO AÇOS'!M128="","",'CONTROLE GLOBO AÇOS'!M128)</f>
        <v/>
      </c>
      <c r="AZ126" s="223">
        <f>IF('CONTROLE GLOBO AÇOS'!N128="","",'CONTROLE GLOBO AÇOS'!N128)</f>
        <v/>
      </c>
      <c r="BA126" s="223">
        <f>IF(AND('CONTROLE EJ'!M128="",'CONTROLE CMM'!#REF!=""),"",N('CONTROLE EJ'!M128)+N('CONTROLE CMM'!#REF!))</f>
        <v/>
      </c>
      <c r="BB126" s="223">
        <f>IF(#REF!="","",#REF!)</f>
        <v/>
      </c>
      <c r="BC126" s="223">
        <f>IF('CONTROLE GLOBO AÇOS'!O128="","",'CONTROLE GLOBO AÇOS'!O128)</f>
        <v/>
      </c>
      <c r="BD126" s="223">
        <f>IF(AND('CONTROLE EJ'!N128="",'CONTROLE CMM'!#REF!=""),"",N('CONTROLE EJ'!N128)+N('CONTROLE CMM'!#REF!))</f>
        <v/>
      </c>
      <c r="BE126" s="223">
        <f>IF('CONTROLE GLOBO AÇOS'!P128="","",'CONTROLE GLOBO AÇOS'!P128)</f>
        <v/>
      </c>
      <c r="BF126" s="223">
        <f>IF('CONTROLE GLOBO AÇOS'!Q128="","",'CONTROLE GLOBO AÇOS'!Q128)</f>
        <v/>
      </c>
      <c r="BG126" s="223">
        <f>IF('CONTROLE GLOBO AÇOS'!R128="","",'CONTROLE GLOBO AÇOS'!R128)</f>
        <v/>
      </c>
      <c r="BH126" s="223">
        <f>IF(AND('CONTROLE EJ'!O128="",'CONTROLE CMM'!#REF!=""),"",N('CONTROLE EJ'!O128)+N('CONTROLE CMM'!#REF!))</f>
        <v/>
      </c>
      <c r="BI126" s="223">
        <f>IF('CONTROLE GLOBO AÇOS'!S128="","",'CONTROLE GLOBO AÇOS'!S128)</f>
        <v/>
      </c>
      <c r="BJ126" s="223">
        <f>IF('CONTROLE GLOBO AÇOS'!T128="","",'CONTROLE GLOBO AÇOS'!T128)</f>
        <v/>
      </c>
      <c r="BK126" s="223">
        <f>IF('CONTROLE GLOBO AÇOS'!U128="","",'CONTROLE GLOBO AÇOS'!U128)</f>
        <v/>
      </c>
      <c r="BL126" s="223">
        <f>IF(AND('CONTROLE EJ'!P128="",'CONTROLE CMM'!#REF!=""),"",N('CONTROLE EJ'!P128)+N('CONTROLE CMM'!#REF!))</f>
        <v/>
      </c>
      <c r="BM126" s="223">
        <f>IF(AND('CONTROLE EJ'!Q128="",'CONTROLE CMM'!#REF!=""),"",N('CONTROLE EJ'!Q128)+N('CONTROLE CMM'!#REF!))</f>
        <v/>
      </c>
      <c r="BN126" s="223">
        <f>IF('CONTROLE GLOBO AÇOS'!V128="","",'CONTROLE GLOBO AÇOS'!V128)</f>
        <v/>
      </c>
      <c r="BO126" s="223">
        <f>IF('CONTROLE GLOBO AÇOS'!W128="","",'CONTROLE GLOBO AÇOS'!W128)</f>
        <v/>
      </c>
      <c r="BP126" s="223">
        <f>IF(AND('CONTROLE EJ'!R128="",'CONTROLE CMM'!#REF!=""),"",N('CONTROLE EJ'!R128)+N('CONTROLE CMM'!#REF!))</f>
        <v/>
      </c>
      <c r="BQ126" s="223">
        <f>IF(#REF!="","",#REF!)</f>
        <v/>
      </c>
      <c r="BR126" s="223">
        <f>IF(AND('CONTROLE EJ'!S128="",'CONTROLE CMM'!#REF!=""),"",N('CONTROLE EJ'!S128)+N('CONTROLE CMM'!#REF!))</f>
        <v/>
      </c>
      <c r="BS126" s="223">
        <f>IF(AND('CONTROLE EJ'!T128="",'CONTROLE CMM'!#REF!=""),"",N('CONTROLE EJ'!T128)+N('CONTROLE CMM'!#REF!))</f>
        <v/>
      </c>
      <c r="BT126" s="223">
        <f>IF('CONTROLE GLOBO AÇOS'!X128="","",'CONTROLE GLOBO AÇOS'!X128)</f>
        <v/>
      </c>
      <c r="BU126" s="223">
        <f>IF('CONTROLE GLOBO AÇOS'!Y128="","",'CONTROLE GLOBO AÇOS'!Y128)</f>
        <v/>
      </c>
      <c r="BV126" s="223">
        <f>IF(AND('CONTROLE EJ'!U128="",'CONTROLE CMM'!#REF!=""),"",N('CONTROLE EJ'!U128)+N('CONTROLE CMM'!#REF!))</f>
        <v/>
      </c>
      <c r="BW126" s="223">
        <f>IF(#REF!="","",#REF!)</f>
        <v/>
      </c>
    </row>
    <row r="127">
      <c r="A127" s="282" t="n">
        <v>46344</v>
      </c>
      <c r="B127" s="18">
        <f>IF('CONTROLE EJ'!B129="","",'CONTROLE EJ'!B129)</f>
        <v/>
      </c>
      <c r="C127" s="26">
        <f>IF('CONTROLE EJ'!C129="","",'CONTROLE EJ'!C129)</f>
        <v/>
      </c>
      <c r="D127" s="42">
        <f>IF('CONTROLE EJ'!D129="","",'CONTROLE EJ'!D129)</f>
        <v/>
      </c>
      <c r="E127" s="71">
        <f>IF('CONTROLE CMM'!B129="","",'CONTROLE CMM'!B129)</f>
        <v/>
      </c>
      <c r="F127" s="18">
        <f>IF('CONTROLE CMM'!C129="","",'CONTROLE CMM'!C129)</f>
        <v/>
      </c>
      <c r="G127" s="26">
        <f>IF('CONTROLE CMM'!D129="","",'CONTROLE CMM'!D129)</f>
        <v/>
      </c>
      <c r="H127" s="43">
        <f>IF('CONTROLE GLOBO AÇOS'!B129="","",'CONTROLE GLOBO AÇOS'!B129)</f>
        <v/>
      </c>
      <c r="I127" s="18">
        <f>IF('CONTROLE GLOBO AÇOS'!C129="","",'CONTROLE GLOBO AÇOS'!C129)</f>
        <v/>
      </c>
      <c r="J127" s="18">
        <f>IF('CONTROLE GLOBO AÇOS'!D129="","",'CONTROLE GLOBO AÇOS'!D129)</f>
        <v/>
      </c>
      <c r="AD127" s="39">
        <f>IF($A127="",0,IF(AND(WEEKDAY($A127,2)&lt;=5,OR($B127&lt;&gt;"",$C127&lt;&gt;"",$D127&lt;&gt;"")),1,0))</f>
        <v/>
      </c>
      <c r="AE127" s="39">
        <f>IF($A127="",0,IF(AND(WEEKDAY($A127,2)&lt;=5,OR($E127&lt;&gt;"",$F127&lt;&gt;"",$G127&lt;&gt;"")),1,0))</f>
        <v/>
      </c>
      <c r="AF127" s="39">
        <f>MAX(AD127,AE127)</f>
        <v/>
      </c>
      <c r="AH127" s="223">
        <f>IF('CONTROLE GLOBO AÇOS'!E129="","",'CONTROLE GLOBO AÇOS'!E129)</f>
        <v/>
      </c>
      <c r="AI127" s="223">
        <f>IF('CONTROLE GLOBO AÇOS'!F129="","",'CONTROLE GLOBO AÇOS'!F129)</f>
        <v/>
      </c>
      <c r="AJ127" s="223">
        <f>IF(AND('CONTROLE EJ'!E129="",'CONTROLE CMM'!E129=""),"",N('CONTROLE EJ'!E129)+N('CONTROLE CMM'!E129))</f>
        <v/>
      </c>
      <c r="AK127" s="223">
        <f>IF(AND('CONTROLE EJ'!F129="",'CONTROLE CMM'!F129=""),"",N('CONTROLE EJ'!F129)+N('CONTROLE CMM'!F129))</f>
        <v/>
      </c>
      <c r="AL127" s="223">
        <f>IF(AND('CONTROLE EJ'!G129="",'CONTROLE CMM'!G129=""),"",N('CONTROLE EJ'!G129)+N('CONTROLE CMM'!G129))</f>
        <v/>
      </c>
      <c r="AM127" s="223">
        <f>IF(AND('CONTROLE EJ'!H129="",'CONTROLE CMM'!H129=""),"",N('CONTROLE EJ'!H129)+N('CONTROLE CMM'!H129))</f>
        <v/>
      </c>
      <c r="AN127" s="223">
        <f>IF('CONTROLE GLOBO AÇOS'!G129="","",'CONTROLE GLOBO AÇOS'!G129)</f>
        <v/>
      </c>
      <c r="AO127" s="223">
        <f>IF('CONTROLE GLOBO AÇOS'!H129="","",'CONTROLE GLOBO AÇOS'!H129)</f>
        <v/>
      </c>
      <c r="AP127" s="223">
        <f>IF(AND('CONTROLE EJ'!I129="",'CONTROLE CMM'!I129=""),"",N('CONTROLE EJ'!I129)+N('CONTROLE CMM'!I129))</f>
        <v/>
      </c>
      <c r="AQ127" s="223">
        <f>IF(AND('CONTROLE EJ'!J129="",'CONTROLE CMM'!#REF!=""),"",N('CONTROLE EJ'!J129)+N('CONTROLE CMM'!#REF!))</f>
        <v/>
      </c>
      <c r="AR127" s="223">
        <f>IF('CONTROLE GLOBO AÇOS'!I129="","",'CONTROLE GLOBO AÇOS'!I129)</f>
        <v/>
      </c>
      <c r="AS127" s="223">
        <f>IF('CONTROLE GLOBO AÇOS'!J129="","",'CONTROLE GLOBO AÇOS'!J129)</f>
        <v/>
      </c>
      <c r="AT127" s="223">
        <f>IF(#REF!="","",#REF!)</f>
        <v/>
      </c>
      <c r="AU127" s="223">
        <f>IF('CONTROLE GLOBO AÇOS'!K129="","",'CONTROLE GLOBO AÇOS'!K129)</f>
        <v/>
      </c>
      <c r="AV127" s="223">
        <f>IF(AND('CONTROLE EJ'!K129="",'CONTROLE CMM'!#REF!=""),"",N('CONTROLE EJ'!K129)+N('CONTROLE CMM'!#REF!))</f>
        <v/>
      </c>
      <c r="AW127" s="223">
        <f>IF('CONTROLE GLOBO AÇOS'!L129="","",'CONTROLE GLOBO AÇOS'!L129)</f>
        <v/>
      </c>
      <c r="AX127" s="223">
        <f>IF(AND('CONTROLE EJ'!L129="",'CONTROLE CMM'!#REF!=""),"",N('CONTROLE EJ'!L129)+N('CONTROLE CMM'!#REF!))</f>
        <v/>
      </c>
      <c r="AY127" s="223">
        <f>IF('CONTROLE GLOBO AÇOS'!M129="","",'CONTROLE GLOBO AÇOS'!M129)</f>
        <v/>
      </c>
      <c r="AZ127" s="223">
        <f>IF('CONTROLE GLOBO AÇOS'!N129="","",'CONTROLE GLOBO AÇOS'!N129)</f>
        <v/>
      </c>
      <c r="BA127" s="223">
        <f>IF(AND('CONTROLE EJ'!M129="",'CONTROLE CMM'!#REF!=""),"",N('CONTROLE EJ'!M129)+N('CONTROLE CMM'!#REF!))</f>
        <v/>
      </c>
      <c r="BB127" s="223">
        <f>IF(#REF!="","",#REF!)</f>
        <v/>
      </c>
      <c r="BC127" s="223">
        <f>IF('CONTROLE GLOBO AÇOS'!O129="","",'CONTROLE GLOBO AÇOS'!O129)</f>
        <v/>
      </c>
      <c r="BD127" s="223">
        <f>IF(AND('CONTROLE EJ'!N129="",'CONTROLE CMM'!#REF!=""),"",N('CONTROLE EJ'!N129)+N('CONTROLE CMM'!#REF!))</f>
        <v/>
      </c>
      <c r="BE127" s="223">
        <f>IF('CONTROLE GLOBO AÇOS'!P129="","",'CONTROLE GLOBO AÇOS'!P129)</f>
        <v/>
      </c>
      <c r="BF127" s="223">
        <f>IF('CONTROLE GLOBO AÇOS'!Q129="","",'CONTROLE GLOBO AÇOS'!Q129)</f>
        <v/>
      </c>
      <c r="BG127" s="223">
        <f>IF('CONTROLE GLOBO AÇOS'!R129="","",'CONTROLE GLOBO AÇOS'!R129)</f>
        <v/>
      </c>
      <c r="BH127" s="223">
        <f>IF(AND('CONTROLE EJ'!O129="",'CONTROLE CMM'!#REF!=""),"",N('CONTROLE EJ'!O129)+N('CONTROLE CMM'!#REF!))</f>
        <v/>
      </c>
      <c r="BI127" s="223">
        <f>IF('CONTROLE GLOBO AÇOS'!S129="","",'CONTROLE GLOBO AÇOS'!S129)</f>
        <v/>
      </c>
      <c r="BJ127" s="223">
        <f>IF('CONTROLE GLOBO AÇOS'!T129="","",'CONTROLE GLOBO AÇOS'!T129)</f>
        <v/>
      </c>
      <c r="BK127" s="223">
        <f>IF('CONTROLE GLOBO AÇOS'!U129="","",'CONTROLE GLOBO AÇOS'!U129)</f>
        <v/>
      </c>
      <c r="BL127" s="223">
        <f>IF(AND('CONTROLE EJ'!P129="",'CONTROLE CMM'!#REF!=""),"",N('CONTROLE EJ'!P129)+N('CONTROLE CMM'!#REF!))</f>
        <v/>
      </c>
      <c r="BM127" s="223">
        <f>IF(AND('CONTROLE EJ'!Q129="",'CONTROLE CMM'!#REF!=""),"",N('CONTROLE EJ'!Q129)+N('CONTROLE CMM'!#REF!))</f>
        <v/>
      </c>
      <c r="BN127" s="223">
        <f>IF('CONTROLE GLOBO AÇOS'!V129="","",'CONTROLE GLOBO AÇOS'!V129)</f>
        <v/>
      </c>
      <c r="BO127" s="223">
        <f>IF('CONTROLE GLOBO AÇOS'!W129="","",'CONTROLE GLOBO AÇOS'!W129)</f>
        <v/>
      </c>
      <c r="BP127" s="223">
        <f>IF(AND('CONTROLE EJ'!R129="",'CONTROLE CMM'!#REF!=""),"",N('CONTROLE EJ'!R129)+N('CONTROLE CMM'!#REF!))</f>
        <v/>
      </c>
      <c r="BQ127" s="223">
        <f>IF(#REF!="","",#REF!)</f>
        <v/>
      </c>
      <c r="BR127" s="223">
        <f>IF(AND('CONTROLE EJ'!S129="",'CONTROLE CMM'!#REF!=""),"",N('CONTROLE EJ'!S129)+N('CONTROLE CMM'!#REF!))</f>
        <v/>
      </c>
      <c r="BS127" s="223">
        <f>IF(AND('CONTROLE EJ'!T129="",'CONTROLE CMM'!#REF!=""),"",N('CONTROLE EJ'!T129)+N('CONTROLE CMM'!#REF!))</f>
        <v/>
      </c>
      <c r="BT127" s="223">
        <f>IF('CONTROLE GLOBO AÇOS'!X129="","",'CONTROLE GLOBO AÇOS'!X129)</f>
        <v/>
      </c>
      <c r="BU127" s="223">
        <f>IF('CONTROLE GLOBO AÇOS'!Y129="","",'CONTROLE GLOBO AÇOS'!Y129)</f>
        <v/>
      </c>
      <c r="BV127" s="223">
        <f>IF(AND('CONTROLE EJ'!U129="",'CONTROLE CMM'!#REF!=""),"",N('CONTROLE EJ'!U129)+N('CONTROLE CMM'!#REF!))</f>
        <v/>
      </c>
      <c r="BW127" s="223">
        <f>IF(#REF!="","",#REF!)</f>
        <v/>
      </c>
    </row>
    <row r="128">
      <c r="A128" s="282" t="n">
        <v>46345</v>
      </c>
      <c r="B128" s="18">
        <f>IF('CONTROLE EJ'!B130="","",'CONTROLE EJ'!B130)</f>
        <v/>
      </c>
      <c r="C128" s="26">
        <f>IF('CONTROLE EJ'!C130="","",'CONTROLE EJ'!C130)</f>
        <v/>
      </c>
      <c r="D128" s="42">
        <f>IF('CONTROLE EJ'!D130="","",'CONTROLE EJ'!D130)</f>
        <v/>
      </c>
      <c r="E128" s="71">
        <f>IF('CONTROLE CMM'!B130="","",'CONTROLE CMM'!B130)</f>
        <v/>
      </c>
      <c r="F128" s="18">
        <f>IF('CONTROLE CMM'!C130="","",'CONTROLE CMM'!C130)</f>
        <v/>
      </c>
      <c r="G128" s="26">
        <f>IF('CONTROLE CMM'!D130="","",'CONTROLE CMM'!D130)</f>
        <v/>
      </c>
      <c r="H128" s="43">
        <f>IF('CONTROLE GLOBO AÇOS'!B130="","",'CONTROLE GLOBO AÇOS'!B130)</f>
        <v/>
      </c>
      <c r="I128" s="18">
        <f>IF('CONTROLE GLOBO AÇOS'!C130="","",'CONTROLE GLOBO AÇOS'!C130)</f>
        <v/>
      </c>
      <c r="J128" s="18">
        <f>IF('CONTROLE GLOBO AÇOS'!D130="","",'CONTROLE GLOBO AÇOS'!D130)</f>
        <v/>
      </c>
      <c r="AD128" s="39">
        <f>IF($A128="",0,IF(AND(WEEKDAY($A128,2)&lt;=5,OR($B128&lt;&gt;"",$C128&lt;&gt;"",$D128&lt;&gt;"")),1,0))</f>
        <v/>
      </c>
      <c r="AE128" s="39">
        <f>IF($A128="",0,IF(AND(WEEKDAY($A128,2)&lt;=5,OR($E128&lt;&gt;"",$F128&lt;&gt;"",$G128&lt;&gt;"")),1,0))</f>
        <v/>
      </c>
      <c r="AF128" s="39">
        <f>MAX(AD128,AE128)</f>
        <v/>
      </c>
      <c r="AH128" s="223">
        <f>IF('CONTROLE GLOBO AÇOS'!E130="","",'CONTROLE GLOBO AÇOS'!E130)</f>
        <v/>
      </c>
      <c r="AI128" s="223">
        <f>IF('CONTROLE GLOBO AÇOS'!F130="","",'CONTROLE GLOBO AÇOS'!F130)</f>
        <v/>
      </c>
      <c r="AJ128" s="223">
        <f>IF(AND('CONTROLE EJ'!E130="",'CONTROLE CMM'!E130=""),"",N('CONTROLE EJ'!E130)+N('CONTROLE CMM'!E130))</f>
        <v/>
      </c>
      <c r="AK128" s="223">
        <f>IF(AND('CONTROLE EJ'!F130="",'CONTROLE CMM'!F130=""),"",N('CONTROLE EJ'!F130)+N('CONTROLE CMM'!F130))</f>
        <v/>
      </c>
      <c r="AL128" s="223">
        <f>IF(AND('CONTROLE EJ'!G130="",'CONTROLE CMM'!G130=""),"",N('CONTROLE EJ'!G130)+N('CONTROLE CMM'!G130))</f>
        <v/>
      </c>
      <c r="AM128" s="223">
        <f>IF(AND('CONTROLE EJ'!H130="",'CONTROLE CMM'!H130=""),"",N('CONTROLE EJ'!H130)+N('CONTROLE CMM'!H130))</f>
        <v/>
      </c>
      <c r="AN128" s="223">
        <f>IF('CONTROLE GLOBO AÇOS'!G130="","",'CONTROLE GLOBO AÇOS'!G130)</f>
        <v/>
      </c>
      <c r="AO128" s="223">
        <f>IF('CONTROLE GLOBO AÇOS'!H130="","",'CONTROLE GLOBO AÇOS'!H130)</f>
        <v/>
      </c>
      <c r="AP128" s="223">
        <f>IF(AND('CONTROLE EJ'!I130="",'CONTROLE CMM'!I130=""),"",N('CONTROLE EJ'!I130)+N('CONTROLE CMM'!I130))</f>
        <v/>
      </c>
      <c r="AQ128" s="223">
        <f>IF(AND('CONTROLE EJ'!J130="",'CONTROLE CMM'!#REF!=""),"",N('CONTROLE EJ'!J130)+N('CONTROLE CMM'!#REF!))</f>
        <v/>
      </c>
      <c r="AR128" s="223">
        <f>IF('CONTROLE GLOBO AÇOS'!I130="","",'CONTROLE GLOBO AÇOS'!I130)</f>
        <v/>
      </c>
      <c r="AS128" s="223">
        <f>IF('CONTROLE GLOBO AÇOS'!J130="","",'CONTROLE GLOBO AÇOS'!J130)</f>
        <v/>
      </c>
      <c r="AT128" s="223">
        <f>IF(#REF!="","",#REF!)</f>
        <v/>
      </c>
      <c r="AU128" s="223">
        <f>IF('CONTROLE GLOBO AÇOS'!K130="","",'CONTROLE GLOBO AÇOS'!K130)</f>
        <v/>
      </c>
      <c r="AV128" s="223">
        <f>IF(AND('CONTROLE EJ'!K130="",'CONTROLE CMM'!#REF!=""),"",N('CONTROLE EJ'!K130)+N('CONTROLE CMM'!#REF!))</f>
        <v/>
      </c>
      <c r="AW128" s="223">
        <f>IF('CONTROLE GLOBO AÇOS'!L130="","",'CONTROLE GLOBO AÇOS'!L130)</f>
        <v/>
      </c>
      <c r="AX128" s="223">
        <f>IF(AND('CONTROLE EJ'!L130="",'CONTROLE CMM'!#REF!=""),"",N('CONTROLE EJ'!L130)+N('CONTROLE CMM'!#REF!))</f>
        <v/>
      </c>
      <c r="AY128" s="223">
        <f>IF('CONTROLE GLOBO AÇOS'!M130="","",'CONTROLE GLOBO AÇOS'!M130)</f>
        <v/>
      </c>
      <c r="AZ128" s="223">
        <f>IF('CONTROLE GLOBO AÇOS'!N130="","",'CONTROLE GLOBO AÇOS'!N130)</f>
        <v/>
      </c>
      <c r="BA128" s="223">
        <f>IF(AND('CONTROLE EJ'!M130="",'CONTROLE CMM'!#REF!=""),"",N('CONTROLE EJ'!M130)+N('CONTROLE CMM'!#REF!))</f>
        <v/>
      </c>
      <c r="BB128" s="223">
        <f>IF(#REF!="","",#REF!)</f>
        <v/>
      </c>
      <c r="BC128" s="223">
        <f>IF('CONTROLE GLOBO AÇOS'!O130="","",'CONTROLE GLOBO AÇOS'!O130)</f>
        <v/>
      </c>
      <c r="BD128" s="223">
        <f>IF(AND('CONTROLE EJ'!N130="",'CONTROLE CMM'!#REF!=""),"",N('CONTROLE EJ'!N130)+N('CONTROLE CMM'!#REF!))</f>
        <v/>
      </c>
      <c r="BE128" s="223">
        <f>IF('CONTROLE GLOBO AÇOS'!P130="","",'CONTROLE GLOBO AÇOS'!P130)</f>
        <v/>
      </c>
      <c r="BF128" s="223">
        <f>IF('CONTROLE GLOBO AÇOS'!Q130="","",'CONTROLE GLOBO AÇOS'!Q130)</f>
        <v/>
      </c>
      <c r="BG128" s="223">
        <f>IF('CONTROLE GLOBO AÇOS'!R130="","",'CONTROLE GLOBO AÇOS'!R130)</f>
        <v/>
      </c>
      <c r="BH128" s="223">
        <f>IF(AND('CONTROLE EJ'!O130="",'CONTROLE CMM'!#REF!=""),"",N('CONTROLE EJ'!O130)+N('CONTROLE CMM'!#REF!))</f>
        <v/>
      </c>
      <c r="BI128" s="223">
        <f>IF('CONTROLE GLOBO AÇOS'!S130="","",'CONTROLE GLOBO AÇOS'!S130)</f>
        <v/>
      </c>
      <c r="BJ128" s="223">
        <f>IF('CONTROLE GLOBO AÇOS'!T130="","",'CONTROLE GLOBO AÇOS'!T130)</f>
        <v/>
      </c>
      <c r="BK128" s="223">
        <f>IF('CONTROLE GLOBO AÇOS'!U130="","",'CONTROLE GLOBO AÇOS'!U130)</f>
        <v/>
      </c>
      <c r="BL128" s="223">
        <f>IF(AND('CONTROLE EJ'!P130="",'CONTROLE CMM'!#REF!=""),"",N('CONTROLE EJ'!P130)+N('CONTROLE CMM'!#REF!))</f>
        <v/>
      </c>
      <c r="BM128" s="223">
        <f>IF(AND('CONTROLE EJ'!Q130="",'CONTROLE CMM'!#REF!=""),"",N('CONTROLE EJ'!Q130)+N('CONTROLE CMM'!#REF!))</f>
        <v/>
      </c>
      <c r="BN128" s="223">
        <f>IF('CONTROLE GLOBO AÇOS'!V130="","",'CONTROLE GLOBO AÇOS'!V130)</f>
        <v/>
      </c>
      <c r="BO128" s="223">
        <f>IF('CONTROLE GLOBO AÇOS'!W130="","",'CONTROLE GLOBO AÇOS'!W130)</f>
        <v/>
      </c>
      <c r="BP128" s="223">
        <f>IF(AND('CONTROLE EJ'!R130="",'CONTROLE CMM'!#REF!=""),"",N('CONTROLE EJ'!R130)+N('CONTROLE CMM'!#REF!))</f>
        <v/>
      </c>
      <c r="BQ128" s="223">
        <f>IF(#REF!="","",#REF!)</f>
        <v/>
      </c>
      <c r="BR128" s="223">
        <f>IF(AND('CONTROLE EJ'!S130="",'CONTROLE CMM'!#REF!=""),"",N('CONTROLE EJ'!S130)+N('CONTROLE CMM'!#REF!))</f>
        <v/>
      </c>
      <c r="BS128" s="223">
        <f>IF(AND('CONTROLE EJ'!T130="",'CONTROLE CMM'!#REF!=""),"",N('CONTROLE EJ'!T130)+N('CONTROLE CMM'!#REF!))</f>
        <v/>
      </c>
      <c r="BT128" s="223">
        <f>IF('CONTROLE GLOBO AÇOS'!X130="","",'CONTROLE GLOBO AÇOS'!X130)</f>
        <v/>
      </c>
      <c r="BU128" s="223">
        <f>IF('CONTROLE GLOBO AÇOS'!Y130="","",'CONTROLE GLOBO AÇOS'!Y130)</f>
        <v/>
      </c>
      <c r="BV128" s="223">
        <f>IF(AND('CONTROLE EJ'!U130="",'CONTROLE CMM'!#REF!=""),"",N('CONTROLE EJ'!U130)+N('CONTROLE CMM'!#REF!))</f>
        <v/>
      </c>
      <c r="BW128" s="223">
        <f>IF(#REF!="","",#REF!)</f>
        <v/>
      </c>
    </row>
    <row r="129">
      <c r="A129" s="282" t="n">
        <v>46346</v>
      </c>
      <c r="B129" s="18">
        <f>IF('CONTROLE EJ'!B131="","",'CONTROLE EJ'!B131)</f>
        <v/>
      </c>
      <c r="C129" s="26">
        <f>IF('CONTROLE EJ'!C131="","",'CONTROLE EJ'!C131)</f>
        <v/>
      </c>
      <c r="D129" s="42">
        <f>IF('CONTROLE EJ'!D131="","",'CONTROLE EJ'!D131)</f>
        <v/>
      </c>
      <c r="E129" s="71">
        <f>IF('CONTROLE CMM'!B131="","",'CONTROLE CMM'!B131)</f>
        <v/>
      </c>
      <c r="F129" s="18">
        <f>IF('CONTROLE CMM'!C131="","",'CONTROLE CMM'!C131)</f>
        <v/>
      </c>
      <c r="G129" s="26">
        <f>IF('CONTROLE CMM'!D131="","",'CONTROLE CMM'!D131)</f>
        <v/>
      </c>
      <c r="H129" s="43">
        <f>IF('CONTROLE GLOBO AÇOS'!B131="","",'CONTROLE GLOBO AÇOS'!B131)</f>
        <v/>
      </c>
      <c r="I129" s="18">
        <f>IF('CONTROLE GLOBO AÇOS'!C131="","",'CONTROLE GLOBO AÇOS'!C131)</f>
        <v/>
      </c>
      <c r="J129" s="18">
        <f>IF('CONTROLE GLOBO AÇOS'!D131="","",'CONTROLE GLOBO AÇOS'!D131)</f>
        <v/>
      </c>
      <c r="AD129" s="39">
        <f>IF($A129="",0,IF(AND(WEEKDAY($A129,2)&lt;=5,OR($B129&lt;&gt;"",$C129&lt;&gt;"",$D129&lt;&gt;"")),1,0))</f>
        <v/>
      </c>
      <c r="AE129" s="39">
        <f>IF($A129="",0,IF(AND(WEEKDAY($A129,2)&lt;=5,OR($E129&lt;&gt;"",$F129&lt;&gt;"",$G129&lt;&gt;"")),1,0))</f>
        <v/>
      </c>
      <c r="AF129" s="39">
        <f>MAX(AD129,AE129)</f>
        <v/>
      </c>
      <c r="AH129" s="223">
        <f>IF('CONTROLE GLOBO AÇOS'!E131="","",'CONTROLE GLOBO AÇOS'!E131)</f>
        <v/>
      </c>
      <c r="AI129" s="223">
        <f>IF('CONTROLE GLOBO AÇOS'!F131="","",'CONTROLE GLOBO AÇOS'!F131)</f>
        <v/>
      </c>
      <c r="AJ129" s="223">
        <f>IF(AND('CONTROLE EJ'!E131="",'CONTROLE CMM'!E131=""),"",N('CONTROLE EJ'!E131)+N('CONTROLE CMM'!E131))</f>
        <v/>
      </c>
      <c r="AK129" s="223">
        <f>IF(AND('CONTROLE EJ'!F131="",'CONTROLE CMM'!F131=""),"",N('CONTROLE EJ'!F131)+N('CONTROLE CMM'!F131))</f>
        <v/>
      </c>
      <c r="AL129" s="223">
        <f>IF(AND('CONTROLE EJ'!G131="",'CONTROLE CMM'!G131=""),"",N('CONTROLE EJ'!G131)+N('CONTROLE CMM'!G131))</f>
        <v/>
      </c>
      <c r="AM129" s="223">
        <f>IF(AND('CONTROLE EJ'!H131="",'CONTROLE CMM'!H131=""),"",N('CONTROLE EJ'!H131)+N('CONTROLE CMM'!H131))</f>
        <v/>
      </c>
      <c r="AN129" s="223">
        <f>IF('CONTROLE GLOBO AÇOS'!G131="","",'CONTROLE GLOBO AÇOS'!G131)</f>
        <v/>
      </c>
      <c r="AO129" s="223">
        <f>IF('CONTROLE GLOBO AÇOS'!H131="","",'CONTROLE GLOBO AÇOS'!H131)</f>
        <v/>
      </c>
      <c r="AP129" s="223">
        <f>IF(AND('CONTROLE EJ'!I131="",'CONTROLE CMM'!I131=""),"",N('CONTROLE EJ'!I131)+N('CONTROLE CMM'!I131))</f>
        <v/>
      </c>
      <c r="AQ129" s="223">
        <f>IF(AND('CONTROLE EJ'!J131="",'CONTROLE CMM'!#REF!=""),"",N('CONTROLE EJ'!J131)+N('CONTROLE CMM'!#REF!))</f>
        <v/>
      </c>
      <c r="AR129" s="223">
        <f>IF('CONTROLE GLOBO AÇOS'!I131="","",'CONTROLE GLOBO AÇOS'!I131)</f>
        <v/>
      </c>
      <c r="AS129" s="223">
        <f>IF('CONTROLE GLOBO AÇOS'!J131="","",'CONTROLE GLOBO AÇOS'!J131)</f>
        <v/>
      </c>
      <c r="AT129" s="223">
        <f>IF(#REF!="","",#REF!)</f>
        <v/>
      </c>
      <c r="AU129" s="223">
        <f>IF('CONTROLE GLOBO AÇOS'!K131="","",'CONTROLE GLOBO AÇOS'!K131)</f>
        <v/>
      </c>
      <c r="AV129" s="223">
        <f>IF(AND('CONTROLE EJ'!K131="",'CONTROLE CMM'!#REF!=""),"",N('CONTROLE EJ'!K131)+N('CONTROLE CMM'!#REF!))</f>
        <v/>
      </c>
      <c r="AW129" s="223">
        <f>IF('CONTROLE GLOBO AÇOS'!L131="","",'CONTROLE GLOBO AÇOS'!L131)</f>
        <v/>
      </c>
      <c r="AX129" s="223">
        <f>IF(AND('CONTROLE EJ'!L131="",'CONTROLE CMM'!#REF!=""),"",N('CONTROLE EJ'!L131)+N('CONTROLE CMM'!#REF!))</f>
        <v/>
      </c>
      <c r="AY129" s="223">
        <f>IF('CONTROLE GLOBO AÇOS'!M131="","",'CONTROLE GLOBO AÇOS'!M131)</f>
        <v/>
      </c>
      <c r="AZ129" s="223">
        <f>IF('CONTROLE GLOBO AÇOS'!N131="","",'CONTROLE GLOBO AÇOS'!N131)</f>
        <v/>
      </c>
      <c r="BA129" s="223">
        <f>IF(AND('CONTROLE EJ'!M131="",'CONTROLE CMM'!#REF!=""),"",N('CONTROLE EJ'!M131)+N('CONTROLE CMM'!#REF!))</f>
        <v/>
      </c>
      <c r="BB129" s="223">
        <f>IF(#REF!="","",#REF!)</f>
        <v/>
      </c>
      <c r="BC129" s="223">
        <f>IF('CONTROLE GLOBO AÇOS'!O131="","",'CONTROLE GLOBO AÇOS'!O131)</f>
        <v/>
      </c>
      <c r="BD129" s="223">
        <f>IF(AND('CONTROLE EJ'!N131="",'CONTROLE CMM'!#REF!=""),"",N('CONTROLE EJ'!N131)+N('CONTROLE CMM'!#REF!))</f>
        <v/>
      </c>
      <c r="BE129" s="223">
        <f>IF('CONTROLE GLOBO AÇOS'!P131="","",'CONTROLE GLOBO AÇOS'!P131)</f>
        <v/>
      </c>
      <c r="BF129" s="223">
        <f>IF('CONTROLE GLOBO AÇOS'!Q131="","",'CONTROLE GLOBO AÇOS'!Q131)</f>
        <v/>
      </c>
      <c r="BG129" s="223">
        <f>IF('CONTROLE GLOBO AÇOS'!R131="","",'CONTROLE GLOBO AÇOS'!R131)</f>
        <v/>
      </c>
      <c r="BH129" s="223">
        <f>IF(AND('CONTROLE EJ'!O131="",'CONTROLE CMM'!#REF!=""),"",N('CONTROLE EJ'!O131)+N('CONTROLE CMM'!#REF!))</f>
        <v/>
      </c>
      <c r="BI129" s="223">
        <f>IF('CONTROLE GLOBO AÇOS'!S131="","",'CONTROLE GLOBO AÇOS'!S131)</f>
        <v/>
      </c>
      <c r="BJ129" s="223">
        <f>IF('CONTROLE GLOBO AÇOS'!T131="","",'CONTROLE GLOBO AÇOS'!T131)</f>
        <v/>
      </c>
      <c r="BK129" s="223">
        <f>IF('CONTROLE GLOBO AÇOS'!U131="","",'CONTROLE GLOBO AÇOS'!U131)</f>
        <v/>
      </c>
      <c r="BL129" s="223">
        <f>IF(AND('CONTROLE EJ'!P131="",'CONTROLE CMM'!#REF!=""),"",N('CONTROLE EJ'!P131)+N('CONTROLE CMM'!#REF!))</f>
        <v/>
      </c>
      <c r="BM129" s="223">
        <f>IF(AND('CONTROLE EJ'!Q131="",'CONTROLE CMM'!#REF!=""),"",N('CONTROLE EJ'!Q131)+N('CONTROLE CMM'!#REF!))</f>
        <v/>
      </c>
      <c r="BN129" s="223">
        <f>IF('CONTROLE GLOBO AÇOS'!V131="","",'CONTROLE GLOBO AÇOS'!V131)</f>
        <v/>
      </c>
      <c r="BO129" s="223">
        <f>IF('CONTROLE GLOBO AÇOS'!W131="","",'CONTROLE GLOBO AÇOS'!W131)</f>
        <v/>
      </c>
      <c r="BP129" s="223">
        <f>IF(AND('CONTROLE EJ'!R131="",'CONTROLE CMM'!#REF!=""),"",N('CONTROLE EJ'!R131)+N('CONTROLE CMM'!#REF!))</f>
        <v/>
      </c>
      <c r="BQ129" s="223">
        <f>IF(#REF!="","",#REF!)</f>
        <v/>
      </c>
      <c r="BR129" s="223">
        <f>IF(AND('CONTROLE EJ'!S131="",'CONTROLE CMM'!#REF!=""),"",N('CONTROLE EJ'!S131)+N('CONTROLE CMM'!#REF!))</f>
        <v/>
      </c>
      <c r="BS129" s="223">
        <f>IF(AND('CONTROLE EJ'!T131="",'CONTROLE CMM'!#REF!=""),"",N('CONTROLE EJ'!T131)+N('CONTROLE CMM'!#REF!))</f>
        <v/>
      </c>
      <c r="BT129" s="223">
        <f>IF('CONTROLE GLOBO AÇOS'!X131="","",'CONTROLE GLOBO AÇOS'!X131)</f>
        <v/>
      </c>
      <c r="BU129" s="223">
        <f>IF('CONTROLE GLOBO AÇOS'!Y131="","",'CONTROLE GLOBO AÇOS'!Y131)</f>
        <v/>
      </c>
      <c r="BV129" s="223">
        <f>IF(AND('CONTROLE EJ'!U131="",'CONTROLE CMM'!#REF!=""),"",N('CONTROLE EJ'!U131)+N('CONTROLE CMM'!#REF!))</f>
        <v/>
      </c>
      <c r="BW129" s="223">
        <f>IF(#REF!="","",#REF!)</f>
        <v/>
      </c>
    </row>
    <row r="130">
      <c r="A130" s="282" t="n">
        <v>46347</v>
      </c>
      <c r="B130" s="18">
        <f>IF('CONTROLE EJ'!B132="","",'CONTROLE EJ'!B132)</f>
        <v/>
      </c>
      <c r="C130" s="26">
        <f>IF('CONTROLE EJ'!C132="","",'CONTROLE EJ'!C132)</f>
        <v/>
      </c>
      <c r="D130" s="42">
        <f>IF('CONTROLE EJ'!D132="","",'CONTROLE EJ'!D132)</f>
        <v/>
      </c>
      <c r="E130" s="71">
        <f>IF('CONTROLE CMM'!B132="","",'CONTROLE CMM'!B132)</f>
        <v/>
      </c>
      <c r="F130" s="18">
        <f>IF('CONTROLE CMM'!C132="","",'CONTROLE CMM'!C132)</f>
        <v/>
      </c>
      <c r="G130" s="26">
        <f>IF('CONTROLE CMM'!D132="","",'CONTROLE CMM'!D132)</f>
        <v/>
      </c>
      <c r="H130" s="43">
        <f>IF('CONTROLE GLOBO AÇOS'!B132="","",'CONTROLE GLOBO AÇOS'!B132)</f>
        <v/>
      </c>
      <c r="I130" s="18">
        <f>IF('CONTROLE GLOBO AÇOS'!C132="","",'CONTROLE GLOBO AÇOS'!C132)</f>
        <v/>
      </c>
      <c r="J130" s="18">
        <f>IF('CONTROLE GLOBO AÇOS'!D132="","",'CONTROLE GLOBO AÇOS'!D132)</f>
        <v/>
      </c>
      <c r="AD130" s="39">
        <f>IF($A130="",0,IF(AND(WEEKDAY($A130,2)&lt;=5,OR($B130&lt;&gt;"",$C130&lt;&gt;"",$D130&lt;&gt;"")),1,0))</f>
        <v/>
      </c>
      <c r="AE130" s="39">
        <f>IF($A130="",0,IF(AND(WEEKDAY($A130,2)&lt;=5,OR($E130&lt;&gt;"",$F130&lt;&gt;"",$G130&lt;&gt;"")),1,0))</f>
        <v/>
      </c>
      <c r="AF130" s="39">
        <f>MAX(AD130,AE130)</f>
        <v/>
      </c>
      <c r="AH130" s="223">
        <f>IF('CONTROLE GLOBO AÇOS'!E132="","",'CONTROLE GLOBO AÇOS'!E132)</f>
        <v/>
      </c>
      <c r="AI130" s="223">
        <f>IF('CONTROLE GLOBO AÇOS'!F132="","",'CONTROLE GLOBO AÇOS'!F132)</f>
        <v/>
      </c>
      <c r="AJ130" s="223">
        <f>IF(AND('CONTROLE EJ'!E132="",'CONTROLE CMM'!E132=""),"",N('CONTROLE EJ'!E132)+N('CONTROLE CMM'!E132))</f>
        <v/>
      </c>
      <c r="AK130" s="223">
        <f>IF(AND('CONTROLE EJ'!F132="",'CONTROLE CMM'!F132=""),"",N('CONTROLE EJ'!F132)+N('CONTROLE CMM'!F132))</f>
        <v/>
      </c>
      <c r="AL130" s="223">
        <f>IF(AND('CONTROLE EJ'!G132="",'CONTROLE CMM'!G132=""),"",N('CONTROLE EJ'!G132)+N('CONTROLE CMM'!G132))</f>
        <v/>
      </c>
      <c r="AM130" s="223">
        <f>IF(AND('CONTROLE EJ'!H132="",'CONTROLE CMM'!H132=""),"",N('CONTROLE EJ'!H132)+N('CONTROLE CMM'!H132))</f>
        <v/>
      </c>
      <c r="AN130" s="223">
        <f>IF('CONTROLE GLOBO AÇOS'!G132="","",'CONTROLE GLOBO AÇOS'!G132)</f>
        <v/>
      </c>
      <c r="AO130" s="223">
        <f>IF('CONTROLE GLOBO AÇOS'!H132="","",'CONTROLE GLOBO AÇOS'!H132)</f>
        <v/>
      </c>
      <c r="AP130" s="223">
        <f>IF(AND('CONTROLE EJ'!I132="",'CONTROLE CMM'!I132=""),"",N('CONTROLE EJ'!I132)+N('CONTROLE CMM'!I132))</f>
        <v/>
      </c>
      <c r="AQ130" s="223">
        <f>IF(AND('CONTROLE EJ'!J132="",'CONTROLE CMM'!#REF!=""),"",N('CONTROLE EJ'!J132)+N('CONTROLE CMM'!#REF!))</f>
        <v/>
      </c>
      <c r="AR130" s="223">
        <f>IF('CONTROLE GLOBO AÇOS'!I132="","",'CONTROLE GLOBO AÇOS'!I132)</f>
        <v/>
      </c>
      <c r="AS130" s="223">
        <f>IF('CONTROLE GLOBO AÇOS'!J132="","",'CONTROLE GLOBO AÇOS'!J132)</f>
        <v/>
      </c>
      <c r="AT130" s="223">
        <f>IF(#REF!="","",#REF!)</f>
        <v/>
      </c>
      <c r="AU130" s="223">
        <f>IF('CONTROLE GLOBO AÇOS'!K132="","",'CONTROLE GLOBO AÇOS'!K132)</f>
        <v/>
      </c>
      <c r="AV130" s="223">
        <f>IF(AND('CONTROLE EJ'!K132="",'CONTROLE CMM'!#REF!=""),"",N('CONTROLE EJ'!K132)+N('CONTROLE CMM'!#REF!))</f>
        <v/>
      </c>
      <c r="AW130" s="223">
        <f>IF('CONTROLE GLOBO AÇOS'!L132="","",'CONTROLE GLOBO AÇOS'!L132)</f>
        <v/>
      </c>
      <c r="AX130" s="223">
        <f>IF(AND('CONTROLE EJ'!L132="",'CONTROLE CMM'!#REF!=""),"",N('CONTROLE EJ'!L132)+N('CONTROLE CMM'!#REF!))</f>
        <v/>
      </c>
      <c r="AY130" s="223">
        <f>IF('CONTROLE GLOBO AÇOS'!M132="","",'CONTROLE GLOBO AÇOS'!M132)</f>
        <v/>
      </c>
      <c r="AZ130" s="223">
        <f>IF('CONTROLE GLOBO AÇOS'!N132="","",'CONTROLE GLOBO AÇOS'!N132)</f>
        <v/>
      </c>
      <c r="BA130" s="223">
        <f>IF(AND('CONTROLE EJ'!M132="",'CONTROLE CMM'!#REF!=""),"",N('CONTROLE EJ'!M132)+N('CONTROLE CMM'!#REF!))</f>
        <v/>
      </c>
      <c r="BB130" s="223">
        <f>IF(#REF!="","",#REF!)</f>
        <v/>
      </c>
      <c r="BC130" s="223">
        <f>IF('CONTROLE GLOBO AÇOS'!O132="","",'CONTROLE GLOBO AÇOS'!O132)</f>
        <v/>
      </c>
      <c r="BD130" s="223">
        <f>IF(AND('CONTROLE EJ'!N132="",'CONTROLE CMM'!#REF!=""),"",N('CONTROLE EJ'!N132)+N('CONTROLE CMM'!#REF!))</f>
        <v/>
      </c>
      <c r="BE130" s="223">
        <f>IF('CONTROLE GLOBO AÇOS'!P132="","",'CONTROLE GLOBO AÇOS'!P132)</f>
        <v/>
      </c>
      <c r="BF130" s="223">
        <f>IF('CONTROLE GLOBO AÇOS'!Q132="","",'CONTROLE GLOBO AÇOS'!Q132)</f>
        <v/>
      </c>
      <c r="BG130" s="223">
        <f>IF('CONTROLE GLOBO AÇOS'!R132="","",'CONTROLE GLOBO AÇOS'!R132)</f>
        <v/>
      </c>
      <c r="BH130" s="223">
        <f>IF(AND('CONTROLE EJ'!O132="",'CONTROLE CMM'!#REF!=""),"",N('CONTROLE EJ'!O132)+N('CONTROLE CMM'!#REF!))</f>
        <v/>
      </c>
      <c r="BI130" s="223">
        <f>IF('CONTROLE GLOBO AÇOS'!S132="","",'CONTROLE GLOBO AÇOS'!S132)</f>
        <v/>
      </c>
      <c r="BJ130" s="223">
        <f>IF('CONTROLE GLOBO AÇOS'!T132="","",'CONTROLE GLOBO AÇOS'!T132)</f>
        <v/>
      </c>
      <c r="BK130" s="223">
        <f>IF('CONTROLE GLOBO AÇOS'!U132="","",'CONTROLE GLOBO AÇOS'!U132)</f>
        <v/>
      </c>
      <c r="BL130" s="223">
        <f>IF(AND('CONTROLE EJ'!P132="",'CONTROLE CMM'!#REF!=""),"",N('CONTROLE EJ'!P132)+N('CONTROLE CMM'!#REF!))</f>
        <v/>
      </c>
      <c r="BM130" s="223">
        <f>IF(AND('CONTROLE EJ'!Q132="",'CONTROLE CMM'!#REF!=""),"",N('CONTROLE EJ'!Q132)+N('CONTROLE CMM'!#REF!))</f>
        <v/>
      </c>
      <c r="BN130" s="223">
        <f>IF('CONTROLE GLOBO AÇOS'!V132="","",'CONTROLE GLOBO AÇOS'!V132)</f>
        <v/>
      </c>
      <c r="BO130" s="223">
        <f>IF('CONTROLE GLOBO AÇOS'!W132="","",'CONTROLE GLOBO AÇOS'!W132)</f>
        <v/>
      </c>
      <c r="BP130" s="223">
        <f>IF(AND('CONTROLE EJ'!R132="",'CONTROLE CMM'!#REF!=""),"",N('CONTROLE EJ'!R132)+N('CONTROLE CMM'!#REF!))</f>
        <v/>
      </c>
      <c r="BQ130" s="223">
        <f>IF(#REF!="","",#REF!)</f>
        <v/>
      </c>
      <c r="BR130" s="223">
        <f>IF(AND('CONTROLE EJ'!S132="",'CONTROLE CMM'!#REF!=""),"",N('CONTROLE EJ'!S132)+N('CONTROLE CMM'!#REF!))</f>
        <v/>
      </c>
      <c r="BS130" s="223">
        <f>IF(AND('CONTROLE EJ'!T132="",'CONTROLE CMM'!#REF!=""),"",N('CONTROLE EJ'!T132)+N('CONTROLE CMM'!#REF!))</f>
        <v/>
      </c>
      <c r="BT130" s="223">
        <f>IF('CONTROLE GLOBO AÇOS'!X132="","",'CONTROLE GLOBO AÇOS'!X132)</f>
        <v/>
      </c>
      <c r="BU130" s="223">
        <f>IF('CONTROLE GLOBO AÇOS'!Y132="","",'CONTROLE GLOBO AÇOS'!Y132)</f>
        <v/>
      </c>
      <c r="BV130" s="223">
        <f>IF(AND('CONTROLE EJ'!U132="",'CONTROLE CMM'!#REF!=""),"",N('CONTROLE EJ'!U132)+N('CONTROLE CMM'!#REF!))</f>
        <v/>
      </c>
      <c r="BW130" s="223">
        <f>IF(#REF!="","",#REF!)</f>
        <v/>
      </c>
    </row>
    <row r="131">
      <c r="A131" s="282" t="n">
        <v>46348</v>
      </c>
      <c r="B131" s="18">
        <f>IF('CONTROLE EJ'!B133="","",'CONTROLE EJ'!B133)</f>
        <v/>
      </c>
      <c r="C131" s="26">
        <f>IF('CONTROLE EJ'!C133="","",'CONTROLE EJ'!C133)</f>
        <v/>
      </c>
      <c r="D131" s="42">
        <f>IF('CONTROLE EJ'!D133="","",'CONTROLE EJ'!D133)</f>
        <v/>
      </c>
      <c r="E131" s="71">
        <f>IF('CONTROLE CMM'!B133="","",'CONTROLE CMM'!B133)</f>
        <v/>
      </c>
      <c r="F131" s="18">
        <f>IF('CONTROLE CMM'!C133="","",'CONTROLE CMM'!C133)</f>
        <v/>
      </c>
      <c r="G131" s="26">
        <f>IF('CONTROLE CMM'!D133="","",'CONTROLE CMM'!D133)</f>
        <v/>
      </c>
      <c r="H131" s="43">
        <f>IF('CONTROLE GLOBO AÇOS'!B133="","",'CONTROLE GLOBO AÇOS'!B133)</f>
        <v/>
      </c>
      <c r="I131" s="18">
        <f>IF('CONTROLE GLOBO AÇOS'!C133="","",'CONTROLE GLOBO AÇOS'!C133)</f>
        <v/>
      </c>
      <c r="J131" s="18">
        <f>IF('CONTROLE GLOBO AÇOS'!D133="","",'CONTROLE GLOBO AÇOS'!D133)</f>
        <v/>
      </c>
      <c r="AD131" s="39">
        <f>IF($A131="",0,IF(AND(WEEKDAY($A131,2)&lt;=5,OR($B131&lt;&gt;"",$C131&lt;&gt;"",$D131&lt;&gt;"")),1,0))</f>
        <v/>
      </c>
      <c r="AE131" s="39">
        <f>IF($A131="",0,IF(AND(WEEKDAY($A131,2)&lt;=5,OR($E131&lt;&gt;"",$F131&lt;&gt;"",$G131&lt;&gt;"")),1,0))</f>
        <v/>
      </c>
      <c r="AF131" s="39">
        <f>MAX(AD131,AE131)</f>
        <v/>
      </c>
      <c r="AH131" s="223">
        <f>IF('CONTROLE GLOBO AÇOS'!E133="","",'CONTROLE GLOBO AÇOS'!E133)</f>
        <v/>
      </c>
      <c r="AI131" s="223">
        <f>IF('CONTROLE GLOBO AÇOS'!F133="","",'CONTROLE GLOBO AÇOS'!F133)</f>
        <v/>
      </c>
      <c r="AJ131" s="223">
        <f>IF(AND('CONTROLE EJ'!E133="",'CONTROLE CMM'!E133=""),"",N('CONTROLE EJ'!E133)+N('CONTROLE CMM'!E133))</f>
        <v/>
      </c>
      <c r="AK131" s="223">
        <f>IF(AND('CONTROLE EJ'!F133="",'CONTROLE CMM'!F133=""),"",N('CONTROLE EJ'!F133)+N('CONTROLE CMM'!F133))</f>
        <v/>
      </c>
      <c r="AL131" s="223">
        <f>IF(AND('CONTROLE EJ'!G133="",'CONTROLE CMM'!G133=""),"",N('CONTROLE EJ'!G133)+N('CONTROLE CMM'!G133))</f>
        <v/>
      </c>
      <c r="AM131" s="223">
        <f>IF(AND('CONTROLE EJ'!H133="",'CONTROLE CMM'!H133=""),"",N('CONTROLE EJ'!H133)+N('CONTROLE CMM'!H133))</f>
        <v/>
      </c>
      <c r="AN131" s="223">
        <f>IF('CONTROLE GLOBO AÇOS'!G133="","",'CONTROLE GLOBO AÇOS'!G133)</f>
        <v/>
      </c>
      <c r="AO131" s="223">
        <f>IF('CONTROLE GLOBO AÇOS'!H133="","",'CONTROLE GLOBO AÇOS'!H133)</f>
        <v/>
      </c>
      <c r="AP131" s="223">
        <f>IF(AND('CONTROLE EJ'!I133="",'CONTROLE CMM'!I133=""),"",N('CONTROLE EJ'!I133)+N('CONTROLE CMM'!I133))</f>
        <v/>
      </c>
      <c r="AQ131" s="223">
        <f>IF(AND('CONTROLE EJ'!J133="",'CONTROLE CMM'!#REF!=""),"",N('CONTROLE EJ'!J133)+N('CONTROLE CMM'!#REF!))</f>
        <v/>
      </c>
      <c r="AR131" s="223">
        <f>IF('CONTROLE GLOBO AÇOS'!I133="","",'CONTROLE GLOBO AÇOS'!I133)</f>
        <v/>
      </c>
      <c r="AS131" s="223">
        <f>IF('CONTROLE GLOBO AÇOS'!J133="","",'CONTROLE GLOBO AÇOS'!J133)</f>
        <v/>
      </c>
      <c r="AT131" s="223">
        <f>IF(#REF!="","",#REF!)</f>
        <v/>
      </c>
      <c r="AU131" s="223">
        <f>IF('CONTROLE GLOBO AÇOS'!K133="","",'CONTROLE GLOBO AÇOS'!K133)</f>
        <v/>
      </c>
      <c r="AV131" s="223">
        <f>IF(AND('CONTROLE EJ'!K133="",'CONTROLE CMM'!#REF!=""),"",N('CONTROLE EJ'!K133)+N('CONTROLE CMM'!#REF!))</f>
        <v/>
      </c>
      <c r="AW131" s="223">
        <f>IF('CONTROLE GLOBO AÇOS'!L133="","",'CONTROLE GLOBO AÇOS'!L133)</f>
        <v/>
      </c>
      <c r="AX131" s="223">
        <f>IF(AND('CONTROLE EJ'!L133="",'CONTROLE CMM'!#REF!=""),"",N('CONTROLE EJ'!L133)+N('CONTROLE CMM'!#REF!))</f>
        <v/>
      </c>
      <c r="AY131" s="223">
        <f>IF('CONTROLE GLOBO AÇOS'!M133="","",'CONTROLE GLOBO AÇOS'!M133)</f>
        <v/>
      </c>
      <c r="AZ131" s="223">
        <f>IF('CONTROLE GLOBO AÇOS'!N133="","",'CONTROLE GLOBO AÇOS'!N133)</f>
        <v/>
      </c>
      <c r="BA131" s="223">
        <f>IF(AND('CONTROLE EJ'!M133="",'CONTROLE CMM'!#REF!=""),"",N('CONTROLE EJ'!M133)+N('CONTROLE CMM'!#REF!))</f>
        <v/>
      </c>
      <c r="BB131" s="223">
        <f>IF(#REF!="","",#REF!)</f>
        <v/>
      </c>
      <c r="BC131" s="223">
        <f>IF('CONTROLE GLOBO AÇOS'!O133="","",'CONTROLE GLOBO AÇOS'!O133)</f>
        <v/>
      </c>
      <c r="BD131" s="223">
        <f>IF(AND('CONTROLE EJ'!N133="",'CONTROLE CMM'!#REF!=""),"",N('CONTROLE EJ'!N133)+N('CONTROLE CMM'!#REF!))</f>
        <v/>
      </c>
      <c r="BE131" s="223">
        <f>IF('CONTROLE GLOBO AÇOS'!P133="","",'CONTROLE GLOBO AÇOS'!P133)</f>
        <v/>
      </c>
      <c r="BF131" s="223">
        <f>IF('CONTROLE GLOBO AÇOS'!Q133="","",'CONTROLE GLOBO AÇOS'!Q133)</f>
        <v/>
      </c>
      <c r="BG131" s="223">
        <f>IF('CONTROLE GLOBO AÇOS'!R133="","",'CONTROLE GLOBO AÇOS'!R133)</f>
        <v/>
      </c>
      <c r="BH131" s="223">
        <f>IF(AND('CONTROLE EJ'!O133="",'CONTROLE CMM'!#REF!=""),"",N('CONTROLE EJ'!O133)+N('CONTROLE CMM'!#REF!))</f>
        <v/>
      </c>
      <c r="BI131" s="223">
        <f>IF('CONTROLE GLOBO AÇOS'!S133="","",'CONTROLE GLOBO AÇOS'!S133)</f>
        <v/>
      </c>
      <c r="BJ131" s="223">
        <f>IF('CONTROLE GLOBO AÇOS'!T133="","",'CONTROLE GLOBO AÇOS'!T133)</f>
        <v/>
      </c>
      <c r="BK131" s="223">
        <f>IF('CONTROLE GLOBO AÇOS'!U133="","",'CONTROLE GLOBO AÇOS'!U133)</f>
        <v/>
      </c>
      <c r="BL131" s="223">
        <f>IF(AND('CONTROLE EJ'!P133="",'CONTROLE CMM'!#REF!=""),"",N('CONTROLE EJ'!P133)+N('CONTROLE CMM'!#REF!))</f>
        <v/>
      </c>
      <c r="BM131" s="223">
        <f>IF(AND('CONTROLE EJ'!Q133="",'CONTROLE CMM'!#REF!=""),"",N('CONTROLE EJ'!Q133)+N('CONTROLE CMM'!#REF!))</f>
        <v/>
      </c>
      <c r="BN131" s="223">
        <f>IF('CONTROLE GLOBO AÇOS'!V133="","",'CONTROLE GLOBO AÇOS'!V133)</f>
        <v/>
      </c>
      <c r="BO131" s="223">
        <f>IF('CONTROLE GLOBO AÇOS'!W133="","",'CONTROLE GLOBO AÇOS'!W133)</f>
        <v/>
      </c>
      <c r="BP131" s="223">
        <f>IF(AND('CONTROLE EJ'!R133="",'CONTROLE CMM'!#REF!=""),"",N('CONTROLE EJ'!R133)+N('CONTROLE CMM'!#REF!))</f>
        <v/>
      </c>
      <c r="BQ131" s="223">
        <f>IF(#REF!="","",#REF!)</f>
        <v/>
      </c>
      <c r="BR131" s="223">
        <f>IF(AND('CONTROLE EJ'!S133="",'CONTROLE CMM'!#REF!=""),"",N('CONTROLE EJ'!S133)+N('CONTROLE CMM'!#REF!))</f>
        <v/>
      </c>
      <c r="BS131" s="223">
        <f>IF(AND('CONTROLE EJ'!T133="",'CONTROLE CMM'!#REF!=""),"",N('CONTROLE EJ'!T133)+N('CONTROLE CMM'!#REF!))</f>
        <v/>
      </c>
      <c r="BT131" s="223">
        <f>IF('CONTROLE GLOBO AÇOS'!X133="","",'CONTROLE GLOBO AÇOS'!X133)</f>
        <v/>
      </c>
      <c r="BU131" s="223">
        <f>IF('CONTROLE GLOBO AÇOS'!Y133="","",'CONTROLE GLOBO AÇOS'!Y133)</f>
        <v/>
      </c>
      <c r="BV131" s="223">
        <f>IF(AND('CONTROLE EJ'!U133="",'CONTROLE CMM'!#REF!=""),"",N('CONTROLE EJ'!U133)+N('CONTROLE CMM'!#REF!))</f>
        <v/>
      </c>
      <c r="BW131" s="223">
        <f>IF(#REF!="","",#REF!)</f>
        <v/>
      </c>
    </row>
    <row r="132">
      <c r="A132" s="282" t="n">
        <v>46349</v>
      </c>
      <c r="B132" s="18">
        <f>IF('CONTROLE EJ'!B134="","",'CONTROLE EJ'!B134)</f>
        <v/>
      </c>
      <c r="C132" s="26">
        <f>IF('CONTROLE EJ'!C134="","",'CONTROLE EJ'!C134)</f>
        <v/>
      </c>
      <c r="D132" s="42">
        <f>IF('CONTROLE EJ'!D134="","",'CONTROLE EJ'!D134)</f>
        <v/>
      </c>
      <c r="E132" s="71">
        <f>IF('CONTROLE CMM'!B134="","",'CONTROLE CMM'!B134)</f>
        <v/>
      </c>
      <c r="F132" s="18">
        <f>IF('CONTROLE CMM'!C134="","",'CONTROLE CMM'!C134)</f>
        <v/>
      </c>
      <c r="G132" s="26">
        <f>IF('CONTROLE CMM'!D134="","",'CONTROLE CMM'!D134)</f>
        <v/>
      </c>
      <c r="H132" s="43">
        <f>IF('CONTROLE GLOBO AÇOS'!B134="","",'CONTROLE GLOBO AÇOS'!B134)</f>
        <v/>
      </c>
      <c r="I132" s="18">
        <f>IF('CONTROLE GLOBO AÇOS'!C134="","",'CONTROLE GLOBO AÇOS'!C134)</f>
        <v/>
      </c>
      <c r="J132" s="18">
        <f>IF('CONTROLE GLOBO AÇOS'!D134="","",'CONTROLE GLOBO AÇOS'!D134)</f>
        <v/>
      </c>
      <c r="AD132" s="39">
        <f>IF($A132="",0,IF(AND(WEEKDAY($A132,2)&lt;=5,OR($B132&lt;&gt;"",$C132&lt;&gt;"",$D132&lt;&gt;"")),1,0))</f>
        <v/>
      </c>
      <c r="AE132" s="39">
        <f>IF($A132="",0,IF(AND(WEEKDAY($A132,2)&lt;=5,OR($E132&lt;&gt;"",$F132&lt;&gt;"",$G132&lt;&gt;"")),1,0))</f>
        <v/>
      </c>
      <c r="AF132" s="39">
        <f>MAX(AD132,AE132)</f>
        <v/>
      </c>
      <c r="AH132" s="223">
        <f>IF('CONTROLE GLOBO AÇOS'!E134="","",'CONTROLE GLOBO AÇOS'!E134)</f>
        <v/>
      </c>
      <c r="AI132" s="223">
        <f>IF('CONTROLE GLOBO AÇOS'!F134="","",'CONTROLE GLOBO AÇOS'!F134)</f>
        <v/>
      </c>
      <c r="AJ132" s="223">
        <f>IF(AND('CONTROLE EJ'!E134="",'CONTROLE CMM'!E134=""),"",N('CONTROLE EJ'!E134)+N('CONTROLE CMM'!E134))</f>
        <v/>
      </c>
      <c r="AK132" s="223">
        <f>IF(AND('CONTROLE EJ'!F134="",'CONTROLE CMM'!F134=""),"",N('CONTROLE EJ'!F134)+N('CONTROLE CMM'!F134))</f>
        <v/>
      </c>
      <c r="AL132" s="223">
        <f>IF(AND('CONTROLE EJ'!G134="",'CONTROLE CMM'!G134=""),"",N('CONTROLE EJ'!G134)+N('CONTROLE CMM'!G134))</f>
        <v/>
      </c>
      <c r="AM132" s="223">
        <f>IF(AND('CONTROLE EJ'!H134="",'CONTROLE CMM'!H134=""),"",N('CONTROLE EJ'!H134)+N('CONTROLE CMM'!H134))</f>
        <v/>
      </c>
      <c r="AN132" s="223">
        <f>IF('CONTROLE GLOBO AÇOS'!G134="","",'CONTROLE GLOBO AÇOS'!G134)</f>
        <v/>
      </c>
      <c r="AO132" s="223">
        <f>IF('CONTROLE GLOBO AÇOS'!H134="","",'CONTROLE GLOBO AÇOS'!H134)</f>
        <v/>
      </c>
      <c r="AP132" s="223">
        <f>IF(AND('CONTROLE EJ'!I134="",'CONTROLE CMM'!I134=""),"",N('CONTROLE EJ'!I134)+N('CONTROLE CMM'!I134))</f>
        <v/>
      </c>
      <c r="AQ132" s="223">
        <f>IF(AND('CONTROLE EJ'!J134="",'CONTROLE CMM'!#REF!=""),"",N('CONTROLE EJ'!J134)+N('CONTROLE CMM'!#REF!))</f>
        <v/>
      </c>
      <c r="AR132" s="223">
        <f>IF('CONTROLE GLOBO AÇOS'!I134="","",'CONTROLE GLOBO AÇOS'!I134)</f>
        <v/>
      </c>
      <c r="AS132" s="223">
        <f>IF('CONTROLE GLOBO AÇOS'!J134="","",'CONTROLE GLOBO AÇOS'!J134)</f>
        <v/>
      </c>
      <c r="AT132" s="223">
        <f>IF(#REF!="","",#REF!)</f>
        <v/>
      </c>
      <c r="AU132" s="223">
        <f>IF('CONTROLE GLOBO AÇOS'!K134="","",'CONTROLE GLOBO AÇOS'!K134)</f>
        <v/>
      </c>
      <c r="AV132" s="223">
        <f>IF(AND('CONTROLE EJ'!K134="",'CONTROLE CMM'!#REF!=""),"",N('CONTROLE EJ'!K134)+N('CONTROLE CMM'!#REF!))</f>
        <v/>
      </c>
      <c r="AW132" s="223">
        <f>IF('CONTROLE GLOBO AÇOS'!L134="","",'CONTROLE GLOBO AÇOS'!L134)</f>
        <v/>
      </c>
      <c r="AX132" s="223">
        <f>IF(AND('CONTROLE EJ'!L134="",'CONTROLE CMM'!#REF!=""),"",N('CONTROLE EJ'!L134)+N('CONTROLE CMM'!#REF!))</f>
        <v/>
      </c>
      <c r="AY132" s="223">
        <f>IF('CONTROLE GLOBO AÇOS'!M134="","",'CONTROLE GLOBO AÇOS'!M134)</f>
        <v/>
      </c>
      <c r="AZ132" s="223">
        <f>IF('CONTROLE GLOBO AÇOS'!N134="","",'CONTROLE GLOBO AÇOS'!N134)</f>
        <v/>
      </c>
      <c r="BA132" s="223">
        <f>IF(AND('CONTROLE EJ'!M134="",'CONTROLE CMM'!#REF!=""),"",N('CONTROLE EJ'!M134)+N('CONTROLE CMM'!#REF!))</f>
        <v/>
      </c>
      <c r="BB132" s="223">
        <f>IF(#REF!="","",#REF!)</f>
        <v/>
      </c>
      <c r="BC132" s="223">
        <f>IF('CONTROLE GLOBO AÇOS'!O134="","",'CONTROLE GLOBO AÇOS'!O134)</f>
        <v/>
      </c>
      <c r="BD132" s="223">
        <f>IF(AND('CONTROLE EJ'!N134="",'CONTROLE CMM'!#REF!=""),"",N('CONTROLE EJ'!N134)+N('CONTROLE CMM'!#REF!))</f>
        <v/>
      </c>
      <c r="BE132" s="223">
        <f>IF('CONTROLE GLOBO AÇOS'!P134="","",'CONTROLE GLOBO AÇOS'!P134)</f>
        <v/>
      </c>
      <c r="BF132" s="223">
        <f>IF('CONTROLE GLOBO AÇOS'!Q134="","",'CONTROLE GLOBO AÇOS'!Q134)</f>
        <v/>
      </c>
      <c r="BG132" s="223">
        <f>IF('CONTROLE GLOBO AÇOS'!R134="","",'CONTROLE GLOBO AÇOS'!R134)</f>
        <v/>
      </c>
      <c r="BH132" s="223">
        <f>IF(AND('CONTROLE EJ'!O134="",'CONTROLE CMM'!#REF!=""),"",N('CONTROLE EJ'!O134)+N('CONTROLE CMM'!#REF!))</f>
        <v/>
      </c>
      <c r="BI132" s="223">
        <f>IF('CONTROLE GLOBO AÇOS'!S134="","",'CONTROLE GLOBO AÇOS'!S134)</f>
        <v/>
      </c>
      <c r="BJ132" s="223">
        <f>IF('CONTROLE GLOBO AÇOS'!T134="","",'CONTROLE GLOBO AÇOS'!T134)</f>
        <v/>
      </c>
      <c r="BK132" s="223">
        <f>IF('CONTROLE GLOBO AÇOS'!U134="","",'CONTROLE GLOBO AÇOS'!U134)</f>
        <v/>
      </c>
      <c r="BL132" s="223">
        <f>IF(AND('CONTROLE EJ'!P134="",'CONTROLE CMM'!#REF!=""),"",N('CONTROLE EJ'!P134)+N('CONTROLE CMM'!#REF!))</f>
        <v/>
      </c>
      <c r="BM132" s="223">
        <f>IF(AND('CONTROLE EJ'!Q134="",'CONTROLE CMM'!#REF!=""),"",N('CONTROLE EJ'!Q134)+N('CONTROLE CMM'!#REF!))</f>
        <v/>
      </c>
      <c r="BN132" s="223">
        <f>IF('CONTROLE GLOBO AÇOS'!V134="","",'CONTROLE GLOBO AÇOS'!V134)</f>
        <v/>
      </c>
      <c r="BO132" s="223">
        <f>IF('CONTROLE GLOBO AÇOS'!W134="","",'CONTROLE GLOBO AÇOS'!W134)</f>
        <v/>
      </c>
      <c r="BP132" s="223">
        <f>IF(AND('CONTROLE EJ'!R134="",'CONTROLE CMM'!#REF!=""),"",N('CONTROLE EJ'!R134)+N('CONTROLE CMM'!#REF!))</f>
        <v/>
      </c>
      <c r="BQ132" s="223">
        <f>IF(#REF!="","",#REF!)</f>
        <v/>
      </c>
      <c r="BR132" s="223">
        <f>IF(AND('CONTROLE EJ'!S134="",'CONTROLE CMM'!#REF!=""),"",N('CONTROLE EJ'!S134)+N('CONTROLE CMM'!#REF!))</f>
        <v/>
      </c>
      <c r="BS132" s="223">
        <f>IF(AND('CONTROLE EJ'!T134="",'CONTROLE CMM'!#REF!=""),"",N('CONTROLE EJ'!T134)+N('CONTROLE CMM'!#REF!))</f>
        <v/>
      </c>
      <c r="BT132" s="223">
        <f>IF('CONTROLE GLOBO AÇOS'!X134="","",'CONTROLE GLOBO AÇOS'!X134)</f>
        <v/>
      </c>
      <c r="BU132" s="223">
        <f>IF('CONTROLE GLOBO AÇOS'!Y134="","",'CONTROLE GLOBO AÇOS'!Y134)</f>
        <v/>
      </c>
      <c r="BV132" s="223">
        <f>IF(AND('CONTROLE EJ'!U134="",'CONTROLE CMM'!#REF!=""),"",N('CONTROLE EJ'!U134)+N('CONTROLE CMM'!#REF!))</f>
        <v/>
      </c>
      <c r="BW132" s="223">
        <f>IF(#REF!="","",#REF!)</f>
        <v/>
      </c>
    </row>
    <row r="133">
      <c r="A133" s="282" t="n">
        <v>46350</v>
      </c>
      <c r="B133" s="18">
        <f>IF('CONTROLE EJ'!B135="","",'CONTROLE EJ'!B135)</f>
        <v/>
      </c>
      <c r="C133" s="26">
        <f>IF('CONTROLE EJ'!C135="","",'CONTROLE EJ'!C135)</f>
        <v/>
      </c>
      <c r="D133" s="42">
        <f>IF('CONTROLE EJ'!D135="","",'CONTROLE EJ'!D135)</f>
        <v/>
      </c>
      <c r="E133" s="71">
        <f>IF('CONTROLE CMM'!B135="","",'CONTROLE CMM'!B135)</f>
        <v/>
      </c>
      <c r="F133" s="18">
        <f>IF('CONTROLE CMM'!C135="","",'CONTROLE CMM'!C135)</f>
        <v/>
      </c>
      <c r="G133" s="26">
        <f>IF('CONTROLE CMM'!D135="","",'CONTROLE CMM'!D135)</f>
        <v/>
      </c>
      <c r="H133" s="43">
        <f>IF('CONTROLE GLOBO AÇOS'!B135="","",'CONTROLE GLOBO AÇOS'!B135)</f>
        <v/>
      </c>
      <c r="I133" s="18">
        <f>IF('CONTROLE GLOBO AÇOS'!C135="","",'CONTROLE GLOBO AÇOS'!C135)</f>
        <v/>
      </c>
      <c r="J133" s="18">
        <f>IF('CONTROLE GLOBO AÇOS'!D135="","",'CONTROLE GLOBO AÇOS'!D135)</f>
        <v/>
      </c>
      <c r="AD133" s="39">
        <f>IF($A133="",0,IF(AND(WEEKDAY($A133,2)&lt;=5,OR($B133&lt;&gt;"",$C133&lt;&gt;"",$D133&lt;&gt;"")),1,0))</f>
        <v/>
      </c>
      <c r="AE133" s="39">
        <f>IF($A133="",0,IF(AND(WEEKDAY($A133,2)&lt;=5,OR($E133&lt;&gt;"",$F133&lt;&gt;"",$G133&lt;&gt;"")),1,0))</f>
        <v/>
      </c>
      <c r="AF133" s="39">
        <f>MAX(AD133,AE133)</f>
        <v/>
      </c>
      <c r="AH133" s="223">
        <f>IF('CONTROLE GLOBO AÇOS'!E135="","",'CONTROLE GLOBO AÇOS'!E135)</f>
        <v/>
      </c>
      <c r="AI133" s="223">
        <f>IF('CONTROLE GLOBO AÇOS'!F135="","",'CONTROLE GLOBO AÇOS'!F135)</f>
        <v/>
      </c>
      <c r="AJ133" s="223">
        <f>IF(AND('CONTROLE EJ'!E135="",'CONTROLE CMM'!E135=""),"",N('CONTROLE EJ'!E135)+N('CONTROLE CMM'!E135))</f>
        <v/>
      </c>
      <c r="AK133" s="223">
        <f>IF(AND('CONTROLE EJ'!F135="",'CONTROLE CMM'!F135=""),"",N('CONTROLE EJ'!F135)+N('CONTROLE CMM'!F135))</f>
        <v/>
      </c>
      <c r="AL133" s="223">
        <f>IF(AND('CONTROLE EJ'!G135="",'CONTROLE CMM'!G135=""),"",N('CONTROLE EJ'!G135)+N('CONTROLE CMM'!G135))</f>
        <v/>
      </c>
      <c r="AM133" s="223">
        <f>IF(AND('CONTROLE EJ'!H135="",'CONTROLE CMM'!H135=""),"",N('CONTROLE EJ'!H135)+N('CONTROLE CMM'!H135))</f>
        <v/>
      </c>
      <c r="AN133" s="223">
        <f>IF('CONTROLE GLOBO AÇOS'!G135="","",'CONTROLE GLOBO AÇOS'!G135)</f>
        <v/>
      </c>
      <c r="AO133" s="223">
        <f>IF('CONTROLE GLOBO AÇOS'!H135="","",'CONTROLE GLOBO AÇOS'!H135)</f>
        <v/>
      </c>
      <c r="AP133" s="223">
        <f>IF(AND('CONTROLE EJ'!I135="",'CONTROLE CMM'!I135=""),"",N('CONTROLE EJ'!I135)+N('CONTROLE CMM'!I135))</f>
        <v/>
      </c>
      <c r="AQ133" s="223">
        <f>IF(AND('CONTROLE EJ'!J135="",'CONTROLE CMM'!#REF!=""),"",N('CONTROLE EJ'!J135)+N('CONTROLE CMM'!#REF!))</f>
        <v/>
      </c>
      <c r="AR133" s="223">
        <f>IF('CONTROLE GLOBO AÇOS'!I135="","",'CONTROLE GLOBO AÇOS'!I135)</f>
        <v/>
      </c>
      <c r="AS133" s="223">
        <f>IF('CONTROLE GLOBO AÇOS'!J135="","",'CONTROLE GLOBO AÇOS'!J135)</f>
        <v/>
      </c>
      <c r="AT133" s="223">
        <f>IF(#REF!="","",#REF!)</f>
        <v/>
      </c>
      <c r="AU133" s="223">
        <f>IF('CONTROLE GLOBO AÇOS'!K135="","",'CONTROLE GLOBO AÇOS'!K135)</f>
        <v/>
      </c>
      <c r="AV133" s="223">
        <f>IF(AND('CONTROLE EJ'!K135="",'CONTROLE CMM'!#REF!=""),"",N('CONTROLE EJ'!K135)+N('CONTROLE CMM'!#REF!))</f>
        <v/>
      </c>
      <c r="AW133" s="223">
        <f>IF('CONTROLE GLOBO AÇOS'!L135="","",'CONTROLE GLOBO AÇOS'!L135)</f>
        <v/>
      </c>
      <c r="AX133" s="223">
        <f>IF(AND('CONTROLE EJ'!L135="",'CONTROLE CMM'!#REF!=""),"",N('CONTROLE EJ'!L135)+N('CONTROLE CMM'!#REF!))</f>
        <v/>
      </c>
      <c r="AY133" s="223">
        <f>IF('CONTROLE GLOBO AÇOS'!M135="","",'CONTROLE GLOBO AÇOS'!M135)</f>
        <v/>
      </c>
      <c r="AZ133" s="223">
        <f>IF('CONTROLE GLOBO AÇOS'!N135="","",'CONTROLE GLOBO AÇOS'!N135)</f>
        <v/>
      </c>
      <c r="BA133" s="223">
        <f>IF(AND('CONTROLE EJ'!M135="",'CONTROLE CMM'!#REF!=""),"",N('CONTROLE EJ'!M135)+N('CONTROLE CMM'!#REF!))</f>
        <v/>
      </c>
      <c r="BB133" s="223">
        <f>IF(#REF!="","",#REF!)</f>
        <v/>
      </c>
      <c r="BC133" s="223">
        <f>IF('CONTROLE GLOBO AÇOS'!O135="","",'CONTROLE GLOBO AÇOS'!O135)</f>
        <v/>
      </c>
      <c r="BD133" s="223">
        <f>IF(AND('CONTROLE EJ'!N135="",'CONTROLE CMM'!#REF!=""),"",N('CONTROLE EJ'!N135)+N('CONTROLE CMM'!#REF!))</f>
        <v/>
      </c>
      <c r="BE133" s="223">
        <f>IF('CONTROLE GLOBO AÇOS'!P135="","",'CONTROLE GLOBO AÇOS'!P135)</f>
        <v/>
      </c>
      <c r="BF133" s="223">
        <f>IF('CONTROLE GLOBO AÇOS'!Q135="","",'CONTROLE GLOBO AÇOS'!Q135)</f>
        <v/>
      </c>
      <c r="BG133" s="223">
        <f>IF('CONTROLE GLOBO AÇOS'!R135="","",'CONTROLE GLOBO AÇOS'!R135)</f>
        <v/>
      </c>
      <c r="BH133" s="223">
        <f>IF(AND('CONTROLE EJ'!O135="",'CONTROLE CMM'!#REF!=""),"",N('CONTROLE EJ'!O135)+N('CONTROLE CMM'!#REF!))</f>
        <v/>
      </c>
      <c r="BI133" s="223">
        <f>IF('CONTROLE GLOBO AÇOS'!S135="","",'CONTROLE GLOBO AÇOS'!S135)</f>
        <v/>
      </c>
      <c r="BJ133" s="223">
        <f>IF('CONTROLE GLOBO AÇOS'!T135="","",'CONTROLE GLOBO AÇOS'!T135)</f>
        <v/>
      </c>
      <c r="BK133" s="223">
        <f>IF('CONTROLE GLOBO AÇOS'!U135="","",'CONTROLE GLOBO AÇOS'!U135)</f>
        <v/>
      </c>
      <c r="BL133" s="223">
        <f>IF(AND('CONTROLE EJ'!P135="",'CONTROLE CMM'!#REF!=""),"",N('CONTROLE EJ'!P135)+N('CONTROLE CMM'!#REF!))</f>
        <v/>
      </c>
      <c r="BM133" s="223">
        <f>IF(AND('CONTROLE EJ'!Q135="",'CONTROLE CMM'!#REF!=""),"",N('CONTROLE EJ'!Q135)+N('CONTROLE CMM'!#REF!))</f>
        <v/>
      </c>
      <c r="BN133" s="223">
        <f>IF('CONTROLE GLOBO AÇOS'!V135="","",'CONTROLE GLOBO AÇOS'!V135)</f>
        <v/>
      </c>
      <c r="BO133" s="223">
        <f>IF('CONTROLE GLOBO AÇOS'!W135="","",'CONTROLE GLOBO AÇOS'!W135)</f>
        <v/>
      </c>
      <c r="BP133" s="223">
        <f>IF(AND('CONTROLE EJ'!R135="",'CONTROLE CMM'!#REF!=""),"",N('CONTROLE EJ'!R135)+N('CONTROLE CMM'!#REF!))</f>
        <v/>
      </c>
      <c r="BQ133" s="223">
        <f>IF(#REF!="","",#REF!)</f>
        <v/>
      </c>
      <c r="BR133" s="223">
        <f>IF(AND('CONTROLE EJ'!S135="",'CONTROLE CMM'!#REF!=""),"",N('CONTROLE EJ'!S135)+N('CONTROLE CMM'!#REF!))</f>
        <v/>
      </c>
      <c r="BS133" s="223">
        <f>IF(AND('CONTROLE EJ'!T135="",'CONTROLE CMM'!#REF!=""),"",N('CONTROLE EJ'!T135)+N('CONTROLE CMM'!#REF!))</f>
        <v/>
      </c>
      <c r="BT133" s="223">
        <f>IF('CONTROLE GLOBO AÇOS'!X135="","",'CONTROLE GLOBO AÇOS'!X135)</f>
        <v/>
      </c>
      <c r="BU133" s="223">
        <f>IF('CONTROLE GLOBO AÇOS'!Y135="","",'CONTROLE GLOBO AÇOS'!Y135)</f>
        <v/>
      </c>
      <c r="BV133" s="223">
        <f>IF(AND('CONTROLE EJ'!U135="",'CONTROLE CMM'!#REF!=""),"",N('CONTROLE EJ'!U135)+N('CONTROLE CMM'!#REF!))</f>
        <v/>
      </c>
      <c r="BW133" s="223">
        <f>IF(#REF!="","",#REF!)</f>
        <v/>
      </c>
    </row>
    <row r="134">
      <c r="A134" s="282" t="n">
        <v>46351</v>
      </c>
      <c r="B134" s="18">
        <f>IF('CONTROLE EJ'!B136="","",'CONTROLE EJ'!B136)</f>
        <v/>
      </c>
      <c r="C134" s="26">
        <f>IF('CONTROLE EJ'!C136="","",'CONTROLE EJ'!C136)</f>
        <v/>
      </c>
      <c r="D134" s="42">
        <f>IF('CONTROLE EJ'!D136="","",'CONTROLE EJ'!D136)</f>
        <v/>
      </c>
      <c r="E134" s="71">
        <f>IF('CONTROLE CMM'!B136="","",'CONTROLE CMM'!B136)</f>
        <v/>
      </c>
      <c r="F134" s="18">
        <f>IF('CONTROLE CMM'!C136="","",'CONTROLE CMM'!C136)</f>
        <v/>
      </c>
      <c r="G134" s="26">
        <f>IF('CONTROLE CMM'!D136="","",'CONTROLE CMM'!D136)</f>
        <v/>
      </c>
      <c r="H134" s="43">
        <f>IF('CONTROLE GLOBO AÇOS'!B136="","",'CONTROLE GLOBO AÇOS'!B136)</f>
        <v/>
      </c>
      <c r="I134" s="18">
        <f>IF('CONTROLE GLOBO AÇOS'!C136="","",'CONTROLE GLOBO AÇOS'!C136)</f>
        <v/>
      </c>
      <c r="J134" s="18">
        <f>IF('CONTROLE GLOBO AÇOS'!D136="","",'CONTROLE GLOBO AÇOS'!D136)</f>
        <v/>
      </c>
      <c r="AD134" s="39">
        <f>IF($A134="",0,IF(AND(WEEKDAY($A134,2)&lt;=5,OR($B134&lt;&gt;"",$C134&lt;&gt;"",$D134&lt;&gt;"")),1,0))</f>
        <v/>
      </c>
      <c r="AE134" s="39">
        <f>IF($A134="",0,IF(AND(WEEKDAY($A134,2)&lt;=5,OR($E134&lt;&gt;"",$F134&lt;&gt;"",$G134&lt;&gt;"")),1,0))</f>
        <v/>
      </c>
      <c r="AF134" s="39">
        <f>MAX(AD134,AE134)</f>
        <v/>
      </c>
      <c r="AH134" s="223">
        <f>IF('CONTROLE GLOBO AÇOS'!E136="","",'CONTROLE GLOBO AÇOS'!E136)</f>
        <v/>
      </c>
      <c r="AI134" s="223">
        <f>IF('CONTROLE GLOBO AÇOS'!F136="","",'CONTROLE GLOBO AÇOS'!F136)</f>
        <v/>
      </c>
      <c r="AJ134" s="223">
        <f>IF(AND('CONTROLE EJ'!E136="",'CONTROLE CMM'!E136=""),"",N('CONTROLE EJ'!E136)+N('CONTROLE CMM'!E136))</f>
        <v/>
      </c>
      <c r="AK134" s="223">
        <f>IF(AND('CONTROLE EJ'!F136="",'CONTROLE CMM'!F136=""),"",N('CONTROLE EJ'!F136)+N('CONTROLE CMM'!F136))</f>
        <v/>
      </c>
      <c r="AL134" s="223">
        <f>IF(AND('CONTROLE EJ'!G136="",'CONTROLE CMM'!G136=""),"",N('CONTROLE EJ'!G136)+N('CONTROLE CMM'!G136))</f>
        <v/>
      </c>
      <c r="AM134" s="223">
        <f>IF(AND('CONTROLE EJ'!H136="",'CONTROLE CMM'!H136=""),"",N('CONTROLE EJ'!H136)+N('CONTROLE CMM'!H136))</f>
        <v/>
      </c>
      <c r="AN134" s="223">
        <f>IF('CONTROLE GLOBO AÇOS'!G136="","",'CONTROLE GLOBO AÇOS'!G136)</f>
        <v/>
      </c>
      <c r="AO134" s="223">
        <f>IF('CONTROLE GLOBO AÇOS'!H136="","",'CONTROLE GLOBO AÇOS'!H136)</f>
        <v/>
      </c>
      <c r="AP134" s="223">
        <f>IF(AND('CONTROLE EJ'!I136="",'CONTROLE CMM'!I136=""),"",N('CONTROLE EJ'!I136)+N('CONTROLE CMM'!I136))</f>
        <v/>
      </c>
      <c r="AQ134" s="223">
        <f>IF(AND('CONTROLE EJ'!J136="",'CONTROLE CMM'!#REF!=""),"",N('CONTROLE EJ'!J136)+N('CONTROLE CMM'!#REF!))</f>
        <v/>
      </c>
      <c r="AR134" s="223">
        <f>IF('CONTROLE GLOBO AÇOS'!I136="","",'CONTROLE GLOBO AÇOS'!I136)</f>
        <v/>
      </c>
      <c r="AS134" s="223">
        <f>IF('CONTROLE GLOBO AÇOS'!J136="","",'CONTROLE GLOBO AÇOS'!J136)</f>
        <v/>
      </c>
      <c r="AT134" s="223">
        <f>IF(#REF!="","",#REF!)</f>
        <v/>
      </c>
      <c r="AU134" s="223">
        <f>IF('CONTROLE GLOBO AÇOS'!K136="","",'CONTROLE GLOBO AÇOS'!K136)</f>
        <v/>
      </c>
      <c r="AV134" s="223">
        <f>IF(AND('CONTROLE EJ'!K136="",'CONTROLE CMM'!#REF!=""),"",N('CONTROLE EJ'!K136)+N('CONTROLE CMM'!#REF!))</f>
        <v/>
      </c>
      <c r="AW134" s="223">
        <f>IF('CONTROLE GLOBO AÇOS'!L136="","",'CONTROLE GLOBO AÇOS'!L136)</f>
        <v/>
      </c>
      <c r="AX134" s="223">
        <f>IF(AND('CONTROLE EJ'!L136="",'CONTROLE CMM'!#REF!=""),"",N('CONTROLE EJ'!L136)+N('CONTROLE CMM'!#REF!))</f>
        <v/>
      </c>
      <c r="AY134" s="223">
        <f>IF('CONTROLE GLOBO AÇOS'!M136="","",'CONTROLE GLOBO AÇOS'!M136)</f>
        <v/>
      </c>
      <c r="AZ134" s="223">
        <f>IF('CONTROLE GLOBO AÇOS'!N136="","",'CONTROLE GLOBO AÇOS'!N136)</f>
        <v/>
      </c>
      <c r="BA134" s="223">
        <f>IF(AND('CONTROLE EJ'!M136="",'CONTROLE CMM'!#REF!=""),"",N('CONTROLE EJ'!M136)+N('CONTROLE CMM'!#REF!))</f>
        <v/>
      </c>
      <c r="BB134" s="223">
        <f>IF(#REF!="","",#REF!)</f>
        <v/>
      </c>
      <c r="BC134" s="223">
        <f>IF('CONTROLE GLOBO AÇOS'!O136="","",'CONTROLE GLOBO AÇOS'!O136)</f>
        <v/>
      </c>
      <c r="BD134" s="223">
        <f>IF(AND('CONTROLE EJ'!N136="",'CONTROLE CMM'!#REF!=""),"",N('CONTROLE EJ'!N136)+N('CONTROLE CMM'!#REF!))</f>
        <v/>
      </c>
      <c r="BE134" s="223">
        <f>IF('CONTROLE GLOBO AÇOS'!P136="","",'CONTROLE GLOBO AÇOS'!P136)</f>
        <v/>
      </c>
      <c r="BF134" s="223">
        <f>IF('CONTROLE GLOBO AÇOS'!Q136="","",'CONTROLE GLOBO AÇOS'!Q136)</f>
        <v/>
      </c>
      <c r="BG134" s="223">
        <f>IF('CONTROLE GLOBO AÇOS'!R136="","",'CONTROLE GLOBO AÇOS'!R136)</f>
        <v/>
      </c>
      <c r="BH134" s="223">
        <f>IF(AND('CONTROLE EJ'!O136="",'CONTROLE CMM'!#REF!=""),"",N('CONTROLE EJ'!O136)+N('CONTROLE CMM'!#REF!))</f>
        <v/>
      </c>
      <c r="BI134" s="223">
        <f>IF('CONTROLE GLOBO AÇOS'!S136="","",'CONTROLE GLOBO AÇOS'!S136)</f>
        <v/>
      </c>
      <c r="BJ134" s="223">
        <f>IF('CONTROLE GLOBO AÇOS'!T136="","",'CONTROLE GLOBO AÇOS'!T136)</f>
        <v/>
      </c>
      <c r="BK134" s="223">
        <f>IF('CONTROLE GLOBO AÇOS'!U136="","",'CONTROLE GLOBO AÇOS'!U136)</f>
        <v/>
      </c>
      <c r="BL134" s="223">
        <f>IF(AND('CONTROLE EJ'!P136="",'CONTROLE CMM'!#REF!=""),"",N('CONTROLE EJ'!P136)+N('CONTROLE CMM'!#REF!))</f>
        <v/>
      </c>
      <c r="BM134" s="223">
        <f>IF(AND('CONTROLE EJ'!Q136="",'CONTROLE CMM'!#REF!=""),"",N('CONTROLE EJ'!Q136)+N('CONTROLE CMM'!#REF!))</f>
        <v/>
      </c>
      <c r="BN134" s="223">
        <f>IF('CONTROLE GLOBO AÇOS'!V136="","",'CONTROLE GLOBO AÇOS'!V136)</f>
        <v/>
      </c>
      <c r="BO134" s="223">
        <f>IF('CONTROLE GLOBO AÇOS'!W136="","",'CONTROLE GLOBO AÇOS'!W136)</f>
        <v/>
      </c>
      <c r="BP134" s="223">
        <f>IF(AND('CONTROLE EJ'!R136="",'CONTROLE CMM'!#REF!=""),"",N('CONTROLE EJ'!R136)+N('CONTROLE CMM'!#REF!))</f>
        <v/>
      </c>
      <c r="BQ134" s="223">
        <f>IF(#REF!="","",#REF!)</f>
        <v/>
      </c>
      <c r="BR134" s="223">
        <f>IF(AND('CONTROLE EJ'!S136="",'CONTROLE CMM'!#REF!=""),"",N('CONTROLE EJ'!S136)+N('CONTROLE CMM'!#REF!))</f>
        <v/>
      </c>
      <c r="BS134" s="223">
        <f>IF(AND('CONTROLE EJ'!T136="",'CONTROLE CMM'!#REF!=""),"",N('CONTROLE EJ'!T136)+N('CONTROLE CMM'!#REF!))</f>
        <v/>
      </c>
      <c r="BT134" s="223">
        <f>IF('CONTROLE GLOBO AÇOS'!X136="","",'CONTROLE GLOBO AÇOS'!X136)</f>
        <v/>
      </c>
      <c r="BU134" s="223">
        <f>IF('CONTROLE GLOBO AÇOS'!Y136="","",'CONTROLE GLOBO AÇOS'!Y136)</f>
        <v/>
      </c>
      <c r="BV134" s="223">
        <f>IF(AND('CONTROLE EJ'!U136="",'CONTROLE CMM'!#REF!=""),"",N('CONTROLE EJ'!U136)+N('CONTROLE CMM'!#REF!))</f>
        <v/>
      </c>
      <c r="BW134" s="223">
        <f>IF(#REF!="","",#REF!)</f>
        <v/>
      </c>
    </row>
    <row r="135">
      <c r="A135" s="282" t="n">
        <v>46352</v>
      </c>
      <c r="B135" s="18">
        <f>IF('CONTROLE EJ'!B137="","",'CONTROLE EJ'!B137)</f>
        <v/>
      </c>
      <c r="C135" s="18">
        <f>IF('CONTROLE EJ'!C137="","",'CONTROLE EJ'!C137)</f>
        <v/>
      </c>
      <c r="D135" s="42">
        <f>IF('CONTROLE EJ'!D137="","",'CONTROLE EJ'!D137)</f>
        <v/>
      </c>
      <c r="E135" s="43">
        <f>IF('CONTROLE CMM'!B137="","",'CONTROLE CMM'!B137)</f>
        <v/>
      </c>
      <c r="F135" s="18">
        <f>IF('CONTROLE CMM'!C137="","",'CONTROLE CMM'!C137)</f>
        <v/>
      </c>
      <c r="G135" s="26">
        <f>IF('CONTROLE CMM'!D137="","",'CONTROLE CMM'!D137)</f>
        <v/>
      </c>
      <c r="H135" s="43">
        <f>IF('CONTROLE GLOBO AÇOS'!B137="","",'CONTROLE GLOBO AÇOS'!B137)</f>
        <v/>
      </c>
      <c r="I135" s="18">
        <f>IF('CONTROLE GLOBO AÇOS'!C137="","",'CONTROLE GLOBO AÇOS'!C137)</f>
        <v/>
      </c>
      <c r="J135" s="18">
        <f>IF('CONTROLE GLOBO AÇOS'!D137="","",'CONTROLE GLOBO AÇOS'!D137)</f>
        <v/>
      </c>
      <c r="AD135" s="39">
        <f>IF($A135="",0,IF(AND(WEEKDAY($A135,2)&lt;=5,OR($B135&lt;&gt;"",$C135&lt;&gt;"",$D135&lt;&gt;"")),1,0))</f>
        <v/>
      </c>
      <c r="AE135" s="39">
        <f>IF($A135="",0,IF(AND(WEEKDAY($A135,2)&lt;=5,OR($E135&lt;&gt;"",$F135&lt;&gt;"",$G135&lt;&gt;"")),1,0))</f>
        <v/>
      </c>
      <c r="AF135" s="39">
        <f>MAX(AD135,AE135)</f>
        <v/>
      </c>
      <c r="AH135" s="223">
        <f>IF('CONTROLE GLOBO AÇOS'!E137="","",'CONTROLE GLOBO AÇOS'!E137)</f>
        <v/>
      </c>
      <c r="AI135" s="223">
        <f>IF('CONTROLE GLOBO AÇOS'!F137="","",'CONTROLE GLOBO AÇOS'!F137)</f>
        <v/>
      </c>
      <c r="AJ135" s="223">
        <f>IF(AND('CONTROLE EJ'!E137="",'CONTROLE CMM'!E137=""),"",N('CONTROLE EJ'!E137)+N('CONTROLE CMM'!E137))</f>
        <v/>
      </c>
      <c r="AK135" s="223">
        <f>IF(AND('CONTROLE EJ'!F137="",'CONTROLE CMM'!F137=""),"",N('CONTROLE EJ'!F137)+N('CONTROLE CMM'!F137))</f>
        <v/>
      </c>
      <c r="AL135" s="223">
        <f>IF(AND('CONTROLE EJ'!G137="",'CONTROLE CMM'!G137=""),"",N('CONTROLE EJ'!G137)+N('CONTROLE CMM'!G137))</f>
        <v/>
      </c>
      <c r="AM135" s="223">
        <f>IF(AND('CONTROLE EJ'!H137="",'CONTROLE CMM'!H137=""),"",N('CONTROLE EJ'!H137)+N('CONTROLE CMM'!H137))</f>
        <v/>
      </c>
      <c r="AN135" s="223">
        <f>IF('CONTROLE GLOBO AÇOS'!G137="","",'CONTROLE GLOBO AÇOS'!G137)</f>
        <v/>
      </c>
      <c r="AO135" s="223">
        <f>IF('CONTROLE GLOBO AÇOS'!H137="","",'CONTROLE GLOBO AÇOS'!H137)</f>
        <v/>
      </c>
      <c r="AP135" s="223">
        <f>IF(AND('CONTROLE EJ'!I137="",'CONTROLE CMM'!I137=""),"",N('CONTROLE EJ'!I137)+N('CONTROLE CMM'!I137))</f>
        <v/>
      </c>
      <c r="AQ135" s="223">
        <f>IF(AND('CONTROLE EJ'!J137="",'CONTROLE CMM'!#REF!=""),"",N('CONTROLE EJ'!J137)+N('CONTROLE CMM'!#REF!))</f>
        <v/>
      </c>
      <c r="AR135" s="223">
        <f>IF('CONTROLE GLOBO AÇOS'!I137="","",'CONTROLE GLOBO AÇOS'!I137)</f>
        <v/>
      </c>
      <c r="AS135" s="223">
        <f>IF('CONTROLE GLOBO AÇOS'!J137="","",'CONTROLE GLOBO AÇOS'!J137)</f>
        <v/>
      </c>
      <c r="AT135" s="223">
        <f>IF(#REF!="","",#REF!)</f>
        <v/>
      </c>
      <c r="AU135" s="223">
        <f>IF('CONTROLE GLOBO AÇOS'!K137="","",'CONTROLE GLOBO AÇOS'!K137)</f>
        <v/>
      </c>
      <c r="AV135" s="223">
        <f>IF(AND('CONTROLE EJ'!K137="",'CONTROLE CMM'!#REF!=""),"",N('CONTROLE EJ'!K137)+N('CONTROLE CMM'!#REF!))</f>
        <v/>
      </c>
      <c r="AW135" s="223">
        <f>IF('CONTROLE GLOBO AÇOS'!L137="","",'CONTROLE GLOBO AÇOS'!L137)</f>
        <v/>
      </c>
      <c r="AX135" s="223">
        <f>IF(AND('CONTROLE EJ'!L137="",'CONTROLE CMM'!#REF!=""),"",N('CONTROLE EJ'!L137)+N('CONTROLE CMM'!#REF!))</f>
        <v/>
      </c>
      <c r="AY135" s="223">
        <f>IF('CONTROLE GLOBO AÇOS'!M137="","",'CONTROLE GLOBO AÇOS'!M137)</f>
        <v/>
      </c>
      <c r="AZ135" s="223">
        <f>IF('CONTROLE GLOBO AÇOS'!N137="","",'CONTROLE GLOBO AÇOS'!N137)</f>
        <v/>
      </c>
      <c r="BA135" s="223">
        <f>IF(AND('CONTROLE EJ'!M137="",'CONTROLE CMM'!#REF!=""),"",N('CONTROLE EJ'!M137)+N('CONTROLE CMM'!#REF!))</f>
        <v/>
      </c>
      <c r="BB135" s="223">
        <f>IF(#REF!="","",#REF!)</f>
        <v/>
      </c>
      <c r="BC135" s="223">
        <f>IF('CONTROLE GLOBO AÇOS'!O137="","",'CONTROLE GLOBO AÇOS'!O137)</f>
        <v/>
      </c>
      <c r="BD135" s="223">
        <f>IF(AND('CONTROLE EJ'!N137="",'CONTROLE CMM'!#REF!=""),"",N('CONTROLE EJ'!N137)+N('CONTROLE CMM'!#REF!))</f>
        <v/>
      </c>
      <c r="BE135" s="223">
        <f>IF('CONTROLE GLOBO AÇOS'!P137="","",'CONTROLE GLOBO AÇOS'!P137)</f>
        <v/>
      </c>
      <c r="BF135" s="223">
        <f>IF('CONTROLE GLOBO AÇOS'!Q137="","",'CONTROLE GLOBO AÇOS'!Q137)</f>
        <v/>
      </c>
      <c r="BG135" s="223">
        <f>IF('CONTROLE GLOBO AÇOS'!R137="","",'CONTROLE GLOBO AÇOS'!R137)</f>
        <v/>
      </c>
      <c r="BH135" s="223">
        <f>IF(AND('CONTROLE EJ'!O137="",'CONTROLE CMM'!#REF!=""),"",N('CONTROLE EJ'!O137)+N('CONTROLE CMM'!#REF!))</f>
        <v/>
      </c>
      <c r="BI135" s="223">
        <f>IF('CONTROLE GLOBO AÇOS'!S137="","",'CONTROLE GLOBO AÇOS'!S137)</f>
        <v/>
      </c>
      <c r="BJ135" s="223">
        <f>IF('CONTROLE GLOBO AÇOS'!T137="","",'CONTROLE GLOBO AÇOS'!T137)</f>
        <v/>
      </c>
      <c r="BK135" s="223">
        <f>IF('CONTROLE GLOBO AÇOS'!U137="","",'CONTROLE GLOBO AÇOS'!U137)</f>
        <v/>
      </c>
      <c r="BL135" s="223">
        <f>IF(AND('CONTROLE EJ'!P137="",'CONTROLE CMM'!#REF!=""),"",N('CONTROLE EJ'!P137)+N('CONTROLE CMM'!#REF!))</f>
        <v/>
      </c>
      <c r="BM135" s="223">
        <f>IF(AND('CONTROLE EJ'!Q137="",'CONTROLE CMM'!#REF!=""),"",N('CONTROLE EJ'!Q137)+N('CONTROLE CMM'!#REF!))</f>
        <v/>
      </c>
      <c r="BN135" s="223">
        <f>IF('CONTROLE GLOBO AÇOS'!V137="","",'CONTROLE GLOBO AÇOS'!V137)</f>
        <v/>
      </c>
      <c r="BO135" s="223">
        <f>IF('CONTROLE GLOBO AÇOS'!W137="","",'CONTROLE GLOBO AÇOS'!W137)</f>
        <v/>
      </c>
      <c r="BP135" s="223">
        <f>IF(AND('CONTROLE EJ'!R137="",'CONTROLE CMM'!#REF!=""),"",N('CONTROLE EJ'!R137)+N('CONTROLE CMM'!#REF!))</f>
        <v/>
      </c>
      <c r="BQ135" s="223">
        <f>IF(#REF!="","",#REF!)</f>
        <v/>
      </c>
      <c r="BR135" s="223">
        <f>IF(AND('CONTROLE EJ'!S137="",'CONTROLE CMM'!#REF!=""),"",N('CONTROLE EJ'!S137)+N('CONTROLE CMM'!#REF!))</f>
        <v/>
      </c>
      <c r="BS135" s="223">
        <f>IF(AND('CONTROLE EJ'!T137="",'CONTROLE CMM'!#REF!=""),"",N('CONTROLE EJ'!T137)+N('CONTROLE CMM'!#REF!))</f>
        <v/>
      </c>
      <c r="BT135" s="223">
        <f>IF('CONTROLE GLOBO AÇOS'!X137="","",'CONTROLE GLOBO AÇOS'!X137)</f>
        <v/>
      </c>
      <c r="BU135" s="223">
        <f>IF('CONTROLE GLOBO AÇOS'!Y137="","",'CONTROLE GLOBO AÇOS'!Y137)</f>
        <v/>
      </c>
      <c r="BV135" s="223">
        <f>IF(AND('CONTROLE EJ'!U137="",'CONTROLE CMM'!#REF!=""),"",N('CONTROLE EJ'!U137)+N('CONTROLE CMM'!#REF!))</f>
        <v/>
      </c>
      <c r="BW135" s="223">
        <f>IF(#REF!="","",#REF!)</f>
        <v/>
      </c>
    </row>
    <row r="136">
      <c r="A136" s="282" t="n">
        <v>46353</v>
      </c>
      <c r="B136" s="18">
        <f>IF('CONTROLE EJ'!B138="","",'CONTROLE EJ'!B138)</f>
        <v/>
      </c>
      <c r="C136" s="18">
        <f>IF('CONTROLE EJ'!C138="","",'CONTROLE EJ'!C138)</f>
        <v/>
      </c>
      <c r="D136" s="42">
        <f>IF('CONTROLE EJ'!D138="","",'CONTROLE EJ'!D138)</f>
        <v/>
      </c>
      <c r="E136" s="43">
        <f>IF('CONTROLE CMM'!B138="","",'CONTROLE CMM'!B138)</f>
        <v/>
      </c>
      <c r="F136" s="18">
        <f>IF('CONTROLE CMM'!C138="","",'CONTROLE CMM'!C138)</f>
        <v/>
      </c>
      <c r="G136" s="26">
        <f>IF('CONTROLE CMM'!D138="","",'CONTROLE CMM'!D138)</f>
        <v/>
      </c>
      <c r="H136" s="43">
        <f>IF('CONTROLE GLOBO AÇOS'!B138="","",'CONTROLE GLOBO AÇOS'!B138)</f>
        <v/>
      </c>
      <c r="I136" s="18">
        <f>IF('CONTROLE GLOBO AÇOS'!C138="","",'CONTROLE GLOBO AÇOS'!C138)</f>
        <v/>
      </c>
      <c r="J136" s="18">
        <f>IF('CONTROLE GLOBO AÇOS'!D138="","",'CONTROLE GLOBO AÇOS'!D138)</f>
        <v/>
      </c>
      <c r="AD136" s="39">
        <f>IF($A136="",0,IF(AND(WEEKDAY($A136,2)&lt;=5,OR($B136&lt;&gt;"",$C136&lt;&gt;"",$D136&lt;&gt;"")),1,0))</f>
        <v/>
      </c>
      <c r="AE136" s="39">
        <f>IF($A136="",0,IF(AND(WEEKDAY($A136,2)&lt;=5,OR($E136&lt;&gt;"",$F136&lt;&gt;"",$G136&lt;&gt;"")),1,0))</f>
        <v/>
      </c>
      <c r="AF136" s="39">
        <f>MAX(AD136,AE136)</f>
        <v/>
      </c>
      <c r="AH136" s="223">
        <f>IF('CONTROLE GLOBO AÇOS'!E138="","",'CONTROLE GLOBO AÇOS'!E138)</f>
        <v/>
      </c>
      <c r="AI136" s="223">
        <f>IF('CONTROLE GLOBO AÇOS'!F138="","",'CONTROLE GLOBO AÇOS'!F138)</f>
        <v/>
      </c>
      <c r="AJ136" s="223">
        <f>IF(AND('CONTROLE EJ'!E138="",'CONTROLE CMM'!E138=""),"",N('CONTROLE EJ'!E138)+N('CONTROLE CMM'!E138))</f>
        <v/>
      </c>
      <c r="AK136" s="223">
        <f>IF(AND('CONTROLE EJ'!F138="",'CONTROLE CMM'!F138=""),"",N('CONTROLE EJ'!F138)+N('CONTROLE CMM'!F138))</f>
        <v/>
      </c>
      <c r="AL136" s="223">
        <f>IF(AND('CONTROLE EJ'!G138="",'CONTROLE CMM'!G138=""),"",N('CONTROLE EJ'!G138)+N('CONTROLE CMM'!G138))</f>
        <v/>
      </c>
      <c r="AM136" s="223">
        <f>IF(AND('CONTROLE EJ'!H138="",'CONTROLE CMM'!H138=""),"",N('CONTROLE EJ'!H138)+N('CONTROLE CMM'!H138))</f>
        <v/>
      </c>
      <c r="AN136" s="223">
        <f>IF('CONTROLE GLOBO AÇOS'!G138="","",'CONTROLE GLOBO AÇOS'!G138)</f>
        <v/>
      </c>
      <c r="AO136" s="223">
        <f>IF('CONTROLE GLOBO AÇOS'!H138="","",'CONTROLE GLOBO AÇOS'!H138)</f>
        <v/>
      </c>
      <c r="AP136" s="223">
        <f>IF(AND('CONTROLE EJ'!I138="",'CONTROLE CMM'!I138=""),"",N('CONTROLE EJ'!I138)+N('CONTROLE CMM'!I138))</f>
        <v/>
      </c>
      <c r="AQ136" s="223">
        <f>IF(AND('CONTROLE EJ'!J138="",'CONTROLE CMM'!#REF!=""),"",N('CONTROLE EJ'!J138)+N('CONTROLE CMM'!#REF!))</f>
        <v/>
      </c>
      <c r="AR136" s="223">
        <f>IF('CONTROLE GLOBO AÇOS'!I138="","",'CONTROLE GLOBO AÇOS'!I138)</f>
        <v/>
      </c>
      <c r="AS136" s="223">
        <f>IF('CONTROLE GLOBO AÇOS'!J138="","",'CONTROLE GLOBO AÇOS'!J138)</f>
        <v/>
      </c>
      <c r="AT136" s="223">
        <f>IF(#REF!="","",#REF!)</f>
        <v/>
      </c>
      <c r="AU136" s="223">
        <f>IF('CONTROLE GLOBO AÇOS'!K138="","",'CONTROLE GLOBO AÇOS'!K138)</f>
        <v/>
      </c>
      <c r="AV136" s="223">
        <f>IF(AND('CONTROLE EJ'!K138="",'CONTROLE CMM'!#REF!=""),"",N('CONTROLE EJ'!K138)+N('CONTROLE CMM'!#REF!))</f>
        <v/>
      </c>
      <c r="AW136" s="223">
        <f>IF('CONTROLE GLOBO AÇOS'!L138="","",'CONTROLE GLOBO AÇOS'!L138)</f>
        <v/>
      </c>
      <c r="AX136" s="223">
        <f>IF(AND('CONTROLE EJ'!L138="",'CONTROLE CMM'!#REF!=""),"",N('CONTROLE EJ'!L138)+N('CONTROLE CMM'!#REF!))</f>
        <v/>
      </c>
      <c r="AY136" s="223">
        <f>IF('CONTROLE GLOBO AÇOS'!M138="","",'CONTROLE GLOBO AÇOS'!M138)</f>
        <v/>
      </c>
      <c r="AZ136" s="223">
        <f>IF('CONTROLE GLOBO AÇOS'!N138="","",'CONTROLE GLOBO AÇOS'!N138)</f>
        <v/>
      </c>
      <c r="BA136" s="223">
        <f>IF(AND('CONTROLE EJ'!M138="",'CONTROLE CMM'!#REF!=""),"",N('CONTROLE EJ'!M138)+N('CONTROLE CMM'!#REF!))</f>
        <v/>
      </c>
      <c r="BB136" s="223">
        <f>IF(#REF!="","",#REF!)</f>
        <v/>
      </c>
      <c r="BC136" s="223">
        <f>IF('CONTROLE GLOBO AÇOS'!O138="","",'CONTROLE GLOBO AÇOS'!O138)</f>
        <v/>
      </c>
      <c r="BD136" s="223">
        <f>IF(AND('CONTROLE EJ'!N138="",'CONTROLE CMM'!#REF!=""),"",N('CONTROLE EJ'!N138)+N('CONTROLE CMM'!#REF!))</f>
        <v/>
      </c>
      <c r="BE136" s="223">
        <f>IF('CONTROLE GLOBO AÇOS'!P138="","",'CONTROLE GLOBO AÇOS'!P138)</f>
        <v/>
      </c>
      <c r="BF136" s="223">
        <f>IF('CONTROLE GLOBO AÇOS'!Q138="","",'CONTROLE GLOBO AÇOS'!Q138)</f>
        <v/>
      </c>
      <c r="BG136" s="223">
        <f>IF('CONTROLE GLOBO AÇOS'!R138="","",'CONTROLE GLOBO AÇOS'!R138)</f>
        <v/>
      </c>
      <c r="BH136" s="223">
        <f>IF(AND('CONTROLE EJ'!O138="",'CONTROLE CMM'!#REF!=""),"",N('CONTROLE EJ'!O138)+N('CONTROLE CMM'!#REF!))</f>
        <v/>
      </c>
      <c r="BI136" s="223">
        <f>IF('CONTROLE GLOBO AÇOS'!S138="","",'CONTROLE GLOBO AÇOS'!S138)</f>
        <v/>
      </c>
      <c r="BJ136" s="223">
        <f>IF('CONTROLE GLOBO AÇOS'!T138="","",'CONTROLE GLOBO AÇOS'!T138)</f>
        <v/>
      </c>
      <c r="BK136" s="223">
        <f>IF('CONTROLE GLOBO AÇOS'!U138="","",'CONTROLE GLOBO AÇOS'!U138)</f>
        <v/>
      </c>
      <c r="BL136" s="223">
        <f>IF(AND('CONTROLE EJ'!P138="",'CONTROLE CMM'!#REF!=""),"",N('CONTROLE EJ'!P138)+N('CONTROLE CMM'!#REF!))</f>
        <v/>
      </c>
      <c r="BM136" s="223">
        <f>IF(AND('CONTROLE EJ'!Q138="",'CONTROLE CMM'!#REF!=""),"",N('CONTROLE EJ'!Q138)+N('CONTROLE CMM'!#REF!))</f>
        <v/>
      </c>
      <c r="BN136" s="223">
        <f>IF('CONTROLE GLOBO AÇOS'!V138="","",'CONTROLE GLOBO AÇOS'!V138)</f>
        <v/>
      </c>
      <c r="BO136" s="223">
        <f>IF('CONTROLE GLOBO AÇOS'!W138="","",'CONTROLE GLOBO AÇOS'!W138)</f>
        <v/>
      </c>
      <c r="BP136" s="223">
        <f>IF(AND('CONTROLE EJ'!R138="",'CONTROLE CMM'!#REF!=""),"",N('CONTROLE EJ'!R138)+N('CONTROLE CMM'!#REF!))</f>
        <v/>
      </c>
      <c r="BQ136" s="223">
        <f>IF(#REF!="","",#REF!)</f>
        <v/>
      </c>
      <c r="BR136" s="223">
        <f>IF(AND('CONTROLE EJ'!S138="",'CONTROLE CMM'!#REF!=""),"",N('CONTROLE EJ'!S138)+N('CONTROLE CMM'!#REF!))</f>
        <v/>
      </c>
      <c r="BS136" s="223">
        <f>IF(AND('CONTROLE EJ'!T138="",'CONTROLE CMM'!#REF!=""),"",N('CONTROLE EJ'!T138)+N('CONTROLE CMM'!#REF!))</f>
        <v/>
      </c>
      <c r="BT136" s="223">
        <f>IF('CONTROLE GLOBO AÇOS'!X138="","",'CONTROLE GLOBO AÇOS'!X138)</f>
        <v/>
      </c>
      <c r="BU136" s="223">
        <f>IF('CONTROLE GLOBO AÇOS'!Y138="","",'CONTROLE GLOBO AÇOS'!Y138)</f>
        <v/>
      </c>
      <c r="BV136" s="223">
        <f>IF(AND('CONTROLE EJ'!U138="",'CONTROLE CMM'!#REF!=""),"",N('CONTROLE EJ'!U138)+N('CONTROLE CMM'!#REF!))</f>
        <v/>
      </c>
      <c r="BW136" s="223">
        <f>IF(#REF!="","",#REF!)</f>
        <v/>
      </c>
    </row>
    <row r="137">
      <c r="A137" s="282" t="n">
        <v>46354</v>
      </c>
      <c r="B137" s="18">
        <f>IF('CONTROLE EJ'!B139="","",'CONTROLE EJ'!B139)</f>
        <v/>
      </c>
      <c r="C137" s="18">
        <f>IF('CONTROLE EJ'!C139="","",'CONTROLE EJ'!C139)</f>
        <v/>
      </c>
      <c r="D137" s="42">
        <f>IF('CONTROLE EJ'!D139="","",'CONTROLE EJ'!D139)</f>
        <v/>
      </c>
      <c r="E137" s="43">
        <f>IF('CONTROLE CMM'!B139="","",'CONTROLE CMM'!B139)</f>
        <v/>
      </c>
      <c r="F137" s="18">
        <f>IF('CONTROLE CMM'!C139="","",'CONTROLE CMM'!C139)</f>
        <v/>
      </c>
      <c r="G137" s="26">
        <f>IF('CONTROLE CMM'!D139="","",'CONTROLE CMM'!D139)</f>
        <v/>
      </c>
      <c r="H137" s="43">
        <f>IF('CONTROLE GLOBO AÇOS'!B139="","",'CONTROLE GLOBO AÇOS'!B139)</f>
        <v/>
      </c>
      <c r="I137" s="18">
        <f>IF('CONTROLE GLOBO AÇOS'!C139="","",'CONTROLE GLOBO AÇOS'!C139)</f>
        <v/>
      </c>
      <c r="J137" s="18">
        <f>IF('CONTROLE GLOBO AÇOS'!D139="","",'CONTROLE GLOBO AÇOS'!D139)</f>
        <v/>
      </c>
      <c r="AD137" s="39">
        <f>IF($A137="",0,IF(AND(WEEKDAY($A137,2)&lt;=5,OR($B137&lt;&gt;"",$C137&lt;&gt;"",$D137&lt;&gt;"")),1,0))</f>
        <v/>
      </c>
      <c r="AE137" s="39">
        <f>IF($A137="",0,IF(AND(WEEKDAY($A137,2)&lt;=5,OR($E137&lt;&gt;"",$F137&lt;&gt;"",$G137&lt;&gt;"")),1,0))</f>
        <v/>
      </c>
      <c r="AF137" s="39">
        <f>MAX(AD137,AE137)</f>
        <v/>
      </c>
      <c r="AH137" s="223">
        <f>IF('CONTROLE GLOBO AÇOS'!E139="","",'CONTROLE GLOBO AÇOS'!E139)</f>
        <v/>
      </c>
      <c r="AI137" s="223">
        <f>IF('CONTROLE GLOBO AÇOS'!F139="","",'CONTROLE GLOBO AÇOS'!F139)</f>
        <v/>
      </c>
      <c r="AJ137" s="223">
        <f>IF(AND('CONTROLE EJ'!E139="",'CONTROLE CMM'!E139=""),"",N('CONTROLE EJ'!E139)+N('CONTROLE CMM'!E139))</f>
        <v/>
      </c>
      <c r="AK137" s="223">
        <f>IF(AND('CONTROLE EJ'!F139="",'CONTROLE CMM'!F139=""),"",N('CONTROLE EJ'!F139)+N('CONTROLE CMM'!F139))</f>
        <v/>
      </c>
      <c r="AL137" s="223">
        <f>IF(AND('CONTROLE EJ'!G139="",'CONTROLE CMM'!G139=""),"",N('CONTROLE EJ'!G139)+N('CONTROLE CMM'!G139))</f>
        <v/>
      </c>
      <c r="AM137" s="223">
        <f>IF(AND('CONTROLE EJ'!H139="",'CONTROLE CMM'!H139=""),"",N('CONTROLE EJ'!H139)+N('CONTROLE CMM'!H139))</f>
        <v/>
      </c>
      <c r="AN137" s="223">
        <f>IF('CONTROLE GLOBO AÇOS'!G139="","",'CONTROLE GLOBO AÇOS'!G139)</f>
        <v/>
      </c>
      <c r="AO137" s="223">
        <f>IF('CONTROLE GLOBO AÇOS'!H139="","",'CONTROLE GLOBO AÇOS'!H139)</f>
        <v/>
      </c>
      <c r="AP137" s="223">
        <f>IF(AND('CONTROLE EJ'!I139="",'CONTROLE CMM'!I139=""),"",N('CONTROLE EJ'!I139)+N('CONTROLE CMM'!I139))</f>
        <v/>
      </c>
      <c r="AQ137" s="223">
        <f>IF(AND('CONTROLE EJ'!J139="",'CONTROLE CMM'!#REF!=""),"",N('CONTROLE EJ'!J139)+N('CONTROLE CMM'!#REF!))</f>
        <v/>
      </c>
      <c r="AR137" s="223">
        <f>IF('CONTROLE GLOBO AÇOS'!I139="","",'CONTROLE GLOBO AÇOS'!I139)</f>
        <v/>
      </c>
      <c r="AS137" s="223">
        <f>IF('CONTROLE GLOBO AÇOS'!J139="","",'CONTROLE GLOBO AÇOS'!J139)</f>
        <v/>
      </c>
      <c r="AT137" s="223">
        <f>IF(#REF!="","",#REF!)</f>
        <v/>
      </c>
      <c r="AU137" s="223">
        <f>IF('CONTROLE GLOBO AÇOS'!K139="","",'CONTROLE GLOBO AÇOS'!K139)</f>
        <v/>
      </c>
      <c r="AV137" s="223">
        <f>IF(AND('CONTROLE EJ'!K139="",'CONTROLE CMM'!#REF!=""),"",N('CONTROLE EJ'!K139)+N('CONTROLE CMM'!#REF!))</f>
        <v/>
      </c>
      <c r="AW137" s="223">
        <f>IF('CONTROLE GLOBO AÇOS'!L139="","",'CONTROLE GLOBO AÇOS'!L139)</f>
        <v/>
      </c>
      <c r="AX137" s="223">
        <f>IF(AND('CONTROLE EJ'!L139="",'CONTROLE CMM'!#REF!=""),"",N('CONTROLE EJ'!L139)+N('CONTROLE CMM'!#REF!))</f>
        <v/>
      </c>
      <c r="AY137" s="223">
        <f>IF('CONTROLE GLOBO AÇOS'!M139="","",'CONTROLE GLOBO AÇOS'!M139)</f>
        <v/>
      </c>
      <c r="AZ137" s="223">
        <f>IF('CONTROLE GLOBO AÇOS'!N139="","",'CONTROLE GLOBO AÇOS'!N139)</f>
        <v/>
      </c>
      <c r="BA137" s="223">
        <f>IF(AND('CONTROLE EJ'!M139="",'CONTROLE CMM'!#REF!=""),"",N('CONTROLE EJ'!M139)+N('CONTROLE CMM'!#REF!))</f>
        <v/>
      </c>
      <c r="BB137" s="223">
        <f>IF(#REF!="","",#REF!)</f>
        <v/>
      </c>
      <c r="BC137" s="223">
        <f>IF('CONTROLE GLOBO AÇOS'!O139="","",'CONTROLE GLOBO AÇOS'!O139)</f>
        <v/>
      </c>
      <c r="BD137" s="223">
        <f>IF(AND('CONTROLE EJ'!N139="",'CONTROLE CMM'!#REF!=""),"",N('CONTROLE EJ'!N139)+N('CONTROLE CMM'!#REF!))</f>
        <v/>
      </c>
      <c r="BE137" s="223">
        <f>IF('CONTROLE GLOBO AÇOS'!P139="","",'CONTROLE GLOBO AÇOS'!P139)</f>
        <v/>
      </c>
      <c r="BF137" s="223">
        <f>IF('CONTROLE GLOBO AÇOS'!Q139="","",'CONTROLE GLOBO AÇOS'!Q139)</f>
        <v/>
      </c>
      <c r="BG137" s="223">
        <f>IF('CONTROLE GLOBO AÇOS'!R139="","",'CONTROLE GLOBO AÇOS'!R139)</f>
        <v/>
      </c>
      <c r="BH137" s="223">
        <f>IF(AND('CONTROLE EJ'!O139="",'CONTROLE CMM'!#REF!=""),"",N('CONTROLE EJ'!O139)+N('CONTROLE CMM'!#REF!))</f>
        <v/>
      </c>
      <c r="BI137" s="223">
        <f>IF('CONTROLE GLOBO AÇOS'!S139="","",'CONTROLE GLOBO AÇOS'!S139)</f>
        <v/>
      </c>
      <c r="BJ137" s="223">
        <f>IF('CONTROLE GLOBO AÇOS'!T139="","",'CONTROLE GLOBO AÇOS'!T139)</f>
        <v/>
      </c>
      <c r="BK137" s="223">
        <f>IF('CONTROLE GLOBO AÇOS'!U139="","",'CONTROLE GLOBO AÇOS'!U139)</f>
        <v/>
      </c>
      <c r="BL137" s="223">
        <f>IF(AND('CONTROLE EJ'!P139="",'CONTROLE CMM'!#REF!=""),"",N('CONTROLE EJ'!P139)+N('CONTROLE CMM'!#REF!))</f>
        <v/>
      </c>
      <c r="BM137" s="223">
        <f>IF(AND('CONTROLE EJ'!Q139="",'CONTROLE CMM'!#REF!=""),"",N('CONTROLE EJ'!Q139)+N('CONTROLE CMM'!#REF!))</f>
        <v/>
      </c>
      <c r="BN137" s="223">
        <f>IF('CONTROLE GLOBO AÇOS'!V139="","",'CONTROLE GLOBO AÇOS'!V139)</f>
        <v/>
      </c>
      <c r="BO137" s="223">
        <f>IF('CONTROLE GLOBO AÇOS'!W139="","",'CONTROLE GLOBO AÇOS'!W139)</f>
        <v/>
      </c>
      <c r="BP137" s="223">
        <f>IF(AND('CONTROLE EJ'!R139="",'CONTROLE CMM'!#REF!=""),"",N('CONTROLE EJ'!R139)+N('CONTROLE CMM'!#REF!))</f>
        <v/>
      </c>
      <c r="BQ137" s="223">
        <f>IF(#REF!="","",#REF!)</f>
        <v/>
      </c>
      <c r="BR137" s="223">
        <f>IF(AND('CONTROLE EJ'!S139="",'CONTROLE CMM'!#REF!=""),"",N('CONTROLE EJ'!S139)+N('CONTROLE CMM'!#REF!))</f>
        <v/>
      </c>
      <c r="BS137" s="223">
        <f>IF(AND('CONTROLE EJ'!T139="",'CONTROLE CMM'!#REF!=""),"",N('CONTROLE EJ'!T139)+N('CONTROLE CMM'!#REF!))</f>
        <v/>
      </c>
      <c r="BT137" s="223">
        <f>IF('CONTROLE GLOBO AÇOS'!X139="","",'CONTROLE GLOBO AÇOS'!X139)</f>
        <v/>
      </c>
      <c r="BU137" s="223">
        <f>IF('CONTROLE GLOBO AÇOS'!Y139="","",'CONTROLE GLOBO AÇOS'!Y139)</f>
        <v/>
      </c>
      <c r="BV137" s="223">
        <f>IF(AND('CONTROLE EJ'!U139="",'CONTROLE CMM'!#REF!=""),"",N('CONTROLE EJ'!U139)+N('CONTROLE CMM'!#REF!))</f>
        <v/>
      </c>
      <c r="BW137" s="223">
        <f>IF(#REF!="","",#REF!)</f>
        <v/>
      </c>
    </row>
    <row r="138">
      <c r="A138" s="282" t="n">
        <v>46355</v>
      </c>
      <c r="B138" s="18">
        <f>IF('CONTROLE EJ'!B140="","",'CONTROLE EJ'!B140)</f>
        <v/>
      </c>
      <c r="C138" s="18">
        <f>IF('CONTROLE EJ'!C140="","",'CONTROLE EJ'!C140)</f>
        <v/>
      </c>
      <c r="D138" s="42">
        <f>IF('CONTROLE EJ'!D140="","",'CONTROLE EJ'!D140)</f>
        <v/>
      </c>
      <c r="E138" s="43">
        <f>IF('CONTROLE CMM'!B140="","",'CONTROLE CMM'!B140)</f>
        <v/>
      </c>
      <c r="F138" s="18">
        <f>IF('CONTROLE CMM'!C140="","",'CONTROLE CMM'!C140)</f>
        <v/>
      </c>
      <c r="G138" s="26">
        <f>IF('CONTROLE CMM'!D140="","",'CONTROLE CMM'!D140)</f>
        <v/>
      </c>
      <c r="H138" s="43">
        <f>IF('CONTROLE GLOBO AÇOS'!B140="","",'CONTROLE GLOBO AÇOS'!B140)</f>
        <v/>
      </c>
      <c r="I138" s="18">
        <f>IF('CONTROLE GLOBO AÇOS'!C140="","",'CONTROLE GLOBO AÇOS'!C140)</f>
        <v/>
      </c>
      <c r="J138" s="18">
        <f>IF('CONTROLE GLOBO AÇOS'!D140="","",'CONTROLE GLOBO AÇOS'!D140)</f>
        <v/>
      </c>
      <c r="AD138" s="39">
        <f>IF($A138="",0,IF(AND(WEEKDAY($A138,2)&lt;=5,OR($B138&lt;&gt;"",$C138&lt;&gt;"",$D138&lt;&gt;"")),1,0))</f>
        <v/>
      </c>
      <c r="AE138" s="39">
        <f>IF($A138="",0,IF(AND(WEEKDAY($A138,2)&lt;=5,OR($E138&lt;&gt;"",$F138&lt;&gt;"",$G138&lt;&gt;"")),1,0))</f>
        <v/>
      </c>
      <c r="AF138" s="39">
        <f>MAX(AD138,AE138)</f>
        <v/>
      </c>
      <c r="AH138" s="223">
        <f>IF('CONTROLE GLOBO AÇOS'!E140="","",'CONTROLE GLOBO AÇOS'!E140)</f>
        <v/>
      </c>
      <c r="AI138" s="223">
        <f>IF('CONTROLE GLOBO AÇOS'!F140="","",'CONTROLE GLOBO AÇOS'!F140)</f>
        <v/>
      </c>
      <c r="AJ138" s="223">
        <f>IF(AND('CONTROLE EJ'!E140="",'CONTROLE CMM'!E140=""),"",N('CONTROLE EJ'!E140)+N('CONTROLE CMM'!E140))</f>
        <v/>
      </c>
      <c r="AK138" s="223">
        <f>IF(AND('CONTROLE EJ'!F140="",'CONTROLE CMM'!F140=""),"",N('CONTROLE EJ'!F140)+N('CONTROLE CMM'!F140))</f>
        <v/>
      </c>
      <c r="AL138" s="223">
        <f>IF(AND('CONTROLE EJ'!G140="",'CONTROLE CMM'!G140=""),"",N('CONTROLE EJ'!G140)+N('CONTROLE CMM'!G140))</f>
        <v/>
      </c>
      <c r="AM138" s="223">
        <f>IF(AND('CONTROLE EJ'!H140="",'CONTROLE CMM'!H140=""),"",N('CONTROLE EJ'!H140)+N('CONTROLE CMM'!H140))</f>
        <v/>
      </c>
      <c r="AN138" s="223">
        <f>IF('CONTROLE GLOBO AÇOS'!G140="","",'CONTROLE GLOBO AÇOS'!G140)</f>
        <v/>
      </c>
      <c r="AO138" s="223">
        <f>IF('CONTROLE GLOBO AÇOS'!H140="","",'CONTROLE GLOBO AÇOS'!H140)</f>
        <v/>
      </c>
      <c r="AP138" s="223">
        <f>IF(AND('CONTROLE EJ'!I140="",'CONTROLE CMM'!I140=""),"",N('CONTROLE EJ'!I140)+N('CONTROLE CMM'!I140))</f>
        <v/>
      </c>
      <c r="AQ138" s="223">
        <f>IF(AND('CONTROLE EJ'!J140="",'CONTROLE CMM'!#REF!=""),"",N('CONTROLE EJ'!J140)+N('CONTROLE CMM'!#REF!))</f>
        <v/>
      </c>
      <c r="AR138" s="223">
        <f>IF('CONTROLE GLOBO AÇOS'!I140="","",'CONTROLE GLOBO AÇOS'!I140)</f>
        <v/>
      </c>
      <c r="AS138" s="223">
        <f>IF('CONTROLE GLOBO AÇOS'!J140="","",'CONTROLE GLOBO AÇOS'!J140)</f>
        <v/>
      </c>
      <c r="AT138" s="223">
        <f>IF(#REF!="","",#REF!)</f>
        <v/>
      </c>
      <c r="AU138" s="223">
        <f>IF('CONTROLE GLOBO AÇOS'!K140="","",'CONTROLE GLOBO AÇOS'!K140)</f>
        <v/>
      </c>
      <c r="AV138" s="223">
        <f>IF(AND('CONTROLE EJ'!K140="",'CONTROLE CMM'!#REF!=""),"",N('CONTROLE EJ'!K140)+N('CONTROLE CMM'!#REF!))</f>
        <v/>
      </c>
      <c r="AW138" s="223">
        <f>IF('CONTROLE GLOBO AÇOS'!L140="","",'CONTROLE GLOBO AÇOS'!L140)</f>
        <v/>
      </c>
      <c r="AX138" s="223">
        <f>IF(AND('CONTROLE EJ'!L140="",'CONTROLE CMM'!#REF!=""),"",N('CONTROLE EJ'!L140)+N('CONTROLE CMM'!#REF!))</f>
        <v/>
      </c>
      <c r="AY138" s="223">
        <f>IF('CONTROLE GLOBO AÇOS'!M140="","",'CONTROLE GLOBO AÇOS'!M140)</f>
        <v/>
      </c>
      <c r="AZ138" s="223">
        <f>IF('CONTROLE GLOBO AÇOS'!N140="","",'CONTROLE GLOBO AÇOS'!N140)</f>
        <v/>
      </c>
      <c r="BA138" s="223">
        <f>IF(AND('CONTROLE EJ'!M140="",'CONTROLE CMM'!#REF!=""),"",N('CONTROLE EJ'!M140)+N('CONTROLE CMM'!#REF!))</f>
        <v/>
      </c>
      <c r="BB138" s="223">
        <f>IF(#REF!="","",#REF!)</f>
        <v/>
      </c>
      <c r="BC138" s="223">
        <f>IF('CONTROLE GLOBO AÇOS'!O140="","",'CONTROLE GLOBO AÇOS'!O140)</f>
        <v/>
      </c>
      <c r="BD138" s="223">
        <f>IF(AND('CONTROLE EJ'!N140="",'CONTROLE CMM'!#REF!=""),"",N('CONTROLE EJ'!N140)+N('CONTROLE CMM'!#REF!))</f>
        <v/>
      </c>
      <c r="BE138" s="223">
        <f>IF('CONTROLE GLOBO AÇOS'!P140="","",'CONTROLE GLOBO AÇOS'!P140)</f>
        <v/>
      </c>
      <c r="BF138" s="223">
        <f>IF('CONTROLE GLOBO AÇOS'!Q140="","",'CONTROLE GLOBO AÇOS'!Q140)</f>
        <v/>
      </c>
      <c r="BG138" s="223">
        <f>IF('CONTROLE GLOBO AÇOS'!R140="","",'CONTROLE GLOBO AÇOS'!R140)</f>
        <v/>
      </c>
      <c r="BH138" s="223">
        <f>IF(AND('CONTROLE EJ'!O140="",'CONTROLE CMM'!#REF!=""),"",N('CONTROLE EJ'!O140)+N('CONTROLE CMM'!#REF!))</f>
        <v/>
      </c>
      <c r="BI138" s="223">
        <f>IF('CONTROLE GLOBO AÇOS'!S140="","",'CONTROLE GLOBO AÇOS'!S140)</f>
        <v/>
      </c>
      <c r="BJ138" s="223">
        <f>IF('CONTROLE GLOBO AÇOS'!T140="","",'CONTROLE GLOBO AÇOS'!T140)</f>
        <v/>
      </c>
      <c r="BK138" s="223">
        <f>IF('CONTROLE GLOBO AÇOS'!U140="","",'CONTROLE GLOBO AÇOS'!U140)</f>
        <v/>
      </c>
      <c r="BL138" s="223">
        <f>IF(AND('CONTROLE EJ'!P140="",'CONTROLE CMM'!#REF!=""),"",N('CONTROLE EJ'!P140)+N('CONTROLE CMM'!#REF!))</f>
        <v/>
      </c>
      <c r="BM138" s="223">
        <f>IF(AND('CONTROLE EJ'!Q140="",'CONTROLE CMM'!#REF!=""),"",N('CONTROLE EJ'!Q140)+N('CONTROLE CMM'!#REF!))</f>
        <v/>
      </c>
      <c r="BN138" s="223">
        <f>IF('CONTROLE GLOBO AÇOS'!V140="","",'CONTROLE GLOBO AÇOS'!V140)</f>
        <v/>
      </c>
      <c r="BO138" s="223">
        <f>IF('CONTROLE GLOBO AÇOS'!W140="","",'CONTROLE GLOBO AÇOS'!W140)</f>
        <v/>
      </c>
      <c r="BP138" s="223">
        <f>IF(AND('CONTROLE EJ'!R140="",'CONTROLE CMM'!#REF!=""),"",N('CONTROLE EJ'!R140)+N('CONTROLE CMM'!#REF!))</f>
        <v/>
      </c>
      <c r="BQ138" s="223">
        <f>IF(#REF!="","",#REF!)</f>
        <v/>
      </c>
      <c r="BR138" s="223">
        <f>IF(AND('CONTROLE EJ'!S140="",'CONTROLE CMM'!#REF!=""),"",N('CONTROLE EJ'!S140)+N('CONTROLE CMM'!#REF!))</f>
        <v/>
      </c>
      <c r="BS138" s="223">
        <f>IF(AND('CONTROLE EJ'!T140="",'CONTROLE CMM'!#REF!=""),"",N('CONTROLE EJ'!T140)+N('CONTROLE CMM'!#REF!))</f>
        <v/>
      </c>
      <c r="BT138" s="223">
        <f>IF('CONTROLE GLOBO AÇOS'!X140="","",'CONTROLE GLOBO AÇOS'!X140)</f>
        <v/>
      </c>
      <c r="BU138" s="223">
        <f>IF('CONTROLE GLOBO AÇOS'!Y140="","",'CONTROLE GLOBO AÇOS'!Y140)</f>
        <v/>
      </c>
      <c r="BV138" s="223">
        <f>IF(AND('CONTROLE EJ'!U140="",'CONTROLE CMM'!#REF!=""),"",N('CONTROLE EJ'!U140)+N('CONTROLE CMM'!#REF!))</f>
        <v/>
      </c>
      <c r="BW138" s="223">
        <f>IF(#REF!="","",#REF!)</f>
        <v/>
      </c>
    </row>
    <row r="139">
      <c r="A139" s="282" t="n">
        <v>46356</v>
      </c>
      <c r="B139" s="18">
        <f>IF('CONTROLE EJ'!B141="","",'CONTROLE EJ'!B141)</f>
        <v/>
      </c>
      <c r="C139" s="18">
        <f>IF('CONTROLE EJ'!C141="","",'CONTROLE EJ'!C141)</f>
        <v/>
      </c>
      <c r="D139" s="42">
        <f>IF('CONTROLE EJ'!D141="","",'CONTROLE EJ'!D141)</f>
        <v/>
      </c>
      <c r="E139" s="43">
        <f>IF('CONTROLE CMM'!B141="","",'CONTROLE CMM'!B141)</f>
        <v/>
      </c>
      <c r="F139" s="18">
        <f>IF('CONTROLE CMM'!C141="","",'CONTROLE CMM'!C141)</f>
        <v/>
      </c>
      <c r="G139" s="26">
        <f>IF('CONTROLE CMM'!D141="","",'CONTROLE CMM'!D141)</f>
        <v/>
      </c>
      <c r="H139" s="43">
        <f>IF('CONTROLE GLOBO AÇOS'!B141="","",'CONTROLE GLOBO AÇOS'!B141)</f>
        <v/>
      </c>
      <c r="I139" s="18">
        <f>IF('CONTROLE GLOBO AÇOS'!C141="","",'CONTROLE GLOBO AÇOS'!C141)</f>
        <v/>
      </c>
      <c r="J139" s="18">
        <f>IF('CONTROLE GLOBO AÇOS'!D141="","",'CONTROLE GLOBO AÇOS'!D141)</f>
        <v/>
      </c>
      <c r="AD139" s="39">
        <f>IF($A139="",0,IF(AND(WEEKDAY($A139,2)&lt;=5,OR($B139&lt;&gt;"",$C139&lt;&gt;"",$D139&lt;&gt;"")),1,0))</f>
        <v/>
      </c>
      <c r="AE139" s="39">
        <f>IF($A139="",0,IF(AND(WEEKDAY($A139,2)&lt;=5,OR($E139&lt;&gt;"",$F139&lt;&gt;"",$G139&lt;&gt;"")),1,0))</f>
        <v/>
      </c>
      <c r="AF139" s="39">
        <f>MAX(AD139,AE139)</f>
        <v/>
      </c>
      <c r="AH139" s="223">
        <f>IF('CONTROLE GLOBO AÇOS'!E141="","",'CONTROLE GLOBO AÇOS'!E141)</f>
        <v/>
      </c>
      <c r="AI139" s="223">
        <f>IF('CONTROLE GLOBO AÇOS'!F141="","",'CONTROLE GLOBO AÇOS'!F141)</f>
        <v/>
      </c>
      <c r="AJ139" s="223">
        <f>IF(AND('CONTROLE EJ'!E141="",'CONTROLE CMM'!E141=""),"",N('CONTROLE EJ'!E141)+N('CONTROLE CMM'!E141))</f>
        <v/>
      </c>
      <c r="AK139" s="223">
        <f>IF(AND('CONTROLE EJ'!F141="",'CONTROLE CMM'!F141=""),"",N('CONTROLE EJ'!F141)+N('CONTROLE CMM'!F141))</f>
        <v/>
      </c>
      <c r="AL139" s="223">
        <f>IF(AND('CONTROLE EJ'!G141="",'CONTROLE CMM'!G141=""),"",N('CONTROLE EJ'!G141)+N('CONTROLE CMM'!G141))</f>
        <v/>
      </c>
      <c r="AM139" s="223">
        <f>IF(AND('CONTROLE EJ'!H141="",'CONTROLE CMM'!H141=""),"",N('CONTROLE EJ'!H141)+N('CONTROLE CMM'!H141))</f>
        <v/>
      </c>
      <c r="AN139" s="223">
        <f>IF('CONTROLE GLOBO AÇOS'!G141="","",'CONTROLE GLOBO AÇOS'!G141)</f>
        <v/>
      </c>
      <c r="AO139" s="223">
        <f>IF('CONTROLE GLOBO AÇOS'!H141="","",'CONTROLE GLOBO AÇOS'!H141)</f>
        <v/>
      </c>
      <c r="AP139" s="223">
        <f>IF(AND('CONTROLE EJ'!I141="",'CONTROLE CMM'!I141=""),"",N('CONTROLE EJ'!I141)+N('CONTROLE CMM'!I141))</f>
        <v/>
      </c>
      <c r="AQ139" s="223">
        <f>IF(AND('CONTROLE EJ'!J141="",'CONTROLE CMM'!#REF!=""),"",N('CONTROLE EJ'!J141)+N('CONTROLE CMM'!#REF!))</f>
        <v/>
      </c>
      <c r="AR139" s="223">
        <f>IF('CONTROLE GLOBO AÇOS'!I141="","",'CONTROLE GLOBO AÇOS'!I141)</f>
        <v/>
      </c>
      <c r="AS139" s="223">
        <f>IF('CONTROLE GLOBO AÇOS'!J141="","",'CONTROLE GLOBO AÇOS'!J141)</f>
        <v/>
      </c>
      <c r="AT139" s="223">
        <f>IF(#REF!="","",#REF!)</f>
        <v/>
      </c>
      <c r="AU139" s="223">
        <f>IF('CONTROLE GLOBO AÇOS'!K141="","",'CONTROLE GLOBO AÇOS'!K141)</f>
        <v/>
      </c>
      <c r="AV139" s="223">
        <f>IF(AND('CONTROLE EJ'!K141="",'CONTROLE CMM'!#REF!=""),"",N('CONTROLE EJ'!K141)+N('CONTROLE CMM'!#REF!))</f>
        <v/>
      </c>
      <c r="AW139" s="223">
        <f>IF('CONTROLE GLOBO AÇOS'!L141="","",'CONTROLE GLOBO AÇOS'!L141)</f>
        <v/>
      </c>
      <c r="AX139" s="223">
        <f>IF(AND('CONTROLE EJ'!L141="",'CONTROLE CMM'!#REF!=""),"",N('CONTROLE EJ'!L141)+N('CONTROLE CMM'!#REF!))</f>
        <v/>
      </c>
      <c r="AY139" s="223">
        <f>IF('CONTROLE GLOBO AÇOS'!M141="","",'CONTROLE GLOBO AÇOS'!M141)</f>
        <v/>
      </c>
      <c r="AZ139" s="223">
        <f>IF('CONTROLE GLOBO AÇOS'!N141="","",'CONTROLE GLOBO AÇOS'!N141)</f>
        <v/>
      </c>
      <c r="BA139" s="223">
        <f>IF(AND('CONTROLE EJ'!M141="",'CONTROLE CMM'!#REF!=""),"",N('CONTROLE EJ'!M141)+N('CONTROLE CMM'!#REF!))</f>
        <v/>
      </c>
      <c r="BB139" s="223">
        <f>IF(#REF!="","",#REF!)</f>
        <v/>
      </c>
      <c r="BC139" s="223">
        <f>IF('CONTROLE GLOBO AÇOS'!O141="","",'CONTROLE GLOBO AÇOS'!O141)</f>
        <v/>
      </c>
      <c r="BD139" s="223">
        <f>IF(AND('CONTROLE EJ'!N141="",'CONTROLE CMM'!#REF!=""),"",N('CONTROLE EJ'!N141)+N('CONTROLE CMM'!#REF!))</f>
        <v/>
      </c>
      <c r="BE139" s="223">
        <f>IF('CONTROLE GLOBO AÇOS'!P141="","",'CONTROLE GLOBO AÇOS'!P141)</f>
        <v/>
      </c>
      <c r="BF139" s="223">
        <f>IF('CONTROLE GLOBO AÇOS'!Q141="","",'CONTROLE GLOBO AÇOS'!Q141)</f>
        <v/>
      </c>
      <c r="BG139" s="223">
        <f>IF('CONTROLE GLOBO AÇOS'!R141="","",'CONTROLE GLOBO AÇOS'!R141)</f>
        <v/>
      </c>
      <c r="BH139" s="223">
        <f>IF(AND('CONTROLE EJ'!O141="",'CONTROLE CMM'!#REF!=""),"",N('CONTROLE EJ'!O141)+N('CONTROLE CMM'!#REF!))</f>
        <v/>
      </c>
      <c r="BI139" s="223">
        <f>IF('CONTROLE GLOBO AÇOS'!S141="","",'CONTROLE GLOBO AÇOS'!S141)</f>
        <v/>
      </c>
      <c r="BJ139" s="223">
        <f>IF('CONTROLE GLOBO AÇOS'!T141="","",'CONTROLE GLOBO AÇOS'!T141)</f>
        <v/>
      </c>
      <c r="BK139" s="223">
        <f>IF('CONTROLE GLOBO AÇOS'!U141="","",'CONTROLE GLOBO AÇOS'!U141)</f>
        <v/>
      </c>
      <c r="BL139" s="223">
        <f>IF(AND('CONTROLE EJ'!P141="",'CONTROLE CMM'!#REF!=""),"",N('CONTROLE EJ'!P141)+N('CONTROLE CMM'!#REF!))</f>
        <v/>
      </c>
      <c r="BM139" s="223">
        <f>IF(AND('CONTROLE EJ'!Q141="",'CONTROLE CMM'!#REF!=""),"",N('CONTROLE EJ'!Q141)+N('CONTROLE CMM'!#REF!))</f>
        <v/>
      </c>
      <c r="BN139" s="223">
        <f>IF('CONTROLE GLOBO AÇOS'!V141="","",'CONTROLE GLOBO AÇOS'!V141)</f>
        <v/>
      </c>
      <c r="BO139" s="223">
        <f>IF('CONTROLE GLOBO AÇOS'!W141="","",'CONTROLE GLOBO AÇOS'!W141)</f>
        <v/>
      </c>
      <c r="BP139" s="223">
        <f>IF(AND('CONTROLE EJ'!R141="",'CONTROLE CMM'!#REF!=""),"",N('CONTROLE EJ'!R141)+N('CONTROLE CMM'!#REF!))</f>
        <v/>
      </c>
      <c r="BQ139" s="223">
        <f>IF(#REF!="","",#REF!)</f>
        <v/>
      </c>
      <c r="BR139" s="223">
        <f>IF(AND('CONTROLE EJ'!S141="",'CONTROLE CMM'!#REF!=""),"",N('CONTROLE EJ'!S141)+N('CONTROLE CMM'!#REF!))</f>
        <v/>
      </c>
      <c r="BS139" s="223">
        <f>IF(AND('CONTROLE EJ'!T141="",'CONTROLE CMM'!#REF!=""),"",N('CONTROLE EJ'!T141)+N('CONTROLE CMM'!#REF!))</f>
        <v/>
      </c>
      <c r="BT139" s="223">
        <f>IF('CONTROLE GLOBO AÇOS'!X141="","",'CONTROLE GLOBO AÇOS'!X141)</f>
        <v/>
      </c>
      <c r="BU139" s="223">
        <f>IF('CONTROLE GLOBO AÇOS'!Y141="","",'CONTROLE GLOBO AÇOS'!Y141)</f>
        <v/>
      </c>
      <c r="BV139" s="223">
        <f>IF(AND('CONTROLE EJ'!U141="",'CONTROLE CMM'!#REF!=""),"",N('CONTROLE EJ'!U141)+N('CONTROLE CMM'!#REF!))</f>
        <v/>
      </c>
      <c r="BW139" s="223">
        <f>IF(#REF!="","",#REF!)</f>
        <v/>
      </c>
    </row>
    <row r="140">
      <c r="A140" s="282" t="n">
        <v>46357</v>
      </c>
      <c r="B140" s="18">
        <f>IF('CONTROLE EJ'!B142="","",'CONTROLE EJ'!B142)</f>
        <v/>
      </c>
      <c r="C140" s="18">
        <f>IF('CONTROLE EJ'!C142="","",'CONTROLE EJ'!C142)</f>
        <v/>
      </c>
      <c r="D140" s="42">
        <f>IF('CONTROLE EJ'!D142="","",'CONTROLE EJ'!D142)</f>
        <v/>
      </c>
      <c r="E140" s="43">
        <f>IF('CONTROLE CMM'!B142="","",'CONTROLE CMM'!B142)</f>
        <v/>
      </c>
      <c r="F140" s="18">
        <f>IF('CONTROLE CMM'!C142="","",'CONTROLE CMM'!C142)</f>
        <v/>
      </c>
      <c r="G140" s="26">
        <f>IF('CONTROLE CMM'!D142="","",'CONTROLE CMM'!D142)</f>
        <v/>
      </c>
      <c r="H140" s="43">
        <f>IF('CONTROLE GLOBO AÇOS'!B142="","",'CONTROLE GLOBO AÇOS'!B142)</f>
        <v/>
      </c>
      <c r="I140" s="18">
        <f>IF('CONTROLE GLOBO AÇOS'!C142="","",'CONTROLE GLOBO AÇOS'!C142)</f>
        <v/>
      </c>
      <c r="J140" s="18">
        <f>IF('CONTROLE GLOBO AÇOS'!D142="","",'CONTROLE GLOBO AÇOS'!D142)</f>
        <v/>
      </c>
      <c r="AD140" s="39">
        <f>IF($A140="",0,IF(AND(WEEKDAY($A140,2)&lt;=5,OR($B140&lt;&gt;"",$C140&lt;&gt;"",$D140&lt;&gt;"")),1,0))</f>
        <v/>
      </c>
      <c r="AE140" s="39">
        <f>IF($A140="",0,IF(AND(WEEKDAY($A140,2)&lt;=5,OR($E140&lt;&gt;"",$F140&lt;&gt;"",$G140&lt;&gt;"")),1,0))</f>
        <v/>
      </c>
      <c r="AF140" s="39">
        <f>MAX(AD140,AE140)</f>
        <v/>
      </c>
      <c r="AH140" s="223">
        <f>IF('CONTROLE GLOBO AÇOS'!E142="","",'CONTROLE GLOBO AÇOS'!E142)</f>
        <v/>
      </c>
      <c r="AI140" s="223">
        <f>IF('CONTROLE GLOBO AÇOS'!F142="","",'CONTROLE GLOBO AÇOS'!F142)</f>
        <v/>
      </c>
      <c r="AJ140" s="223">
        <f>IF(AND('CONTROLE EJ'!E142="",'CONTROLE CMM'!E142=""),"",N('CONTROLE EJ'!E142)+N('CONTROLE CMM'!E142))</f>
        <v/>
      </c>
      <c r="AK140" s="223">
        <f>IF(AND('CONTROLE EJ'!F142="",'CONTROLE CMM'!F142=""),"",N('CONTROLE EJ'!F142)+N('CONTROLE CMM'!F142))</f>
        <v/>
      </c>
      <c r="AL140" s="223">
        <f>IF(AND('CONTROLE EJ'!G142="",'CONTROLE CMM'!G142=""),"",N('CONTROLE EJ'!G142)+N('CONTROLE CMM'!G142))</f>
        <v/>
      </c>
      <c r="AM140" s="223">
        <f>IF(AND('CONTROLE EJ'!H142="",'CONTROLE CMM'!H142=""),"",N('CONTROLE EJ'!H142)+N('CONTROLE CMM'!H142))</f>
        <v/>
      </c>
      <c r="AN140" s="223">
        <f>IF('CONTROLE GLOBO AÇOS'!G142="","",'CONTROLE GLOBO AÇOS'!G142)</f>
        <v/>
      </c>
      <c r="AO140" s="223">
        <f>IF('CONTROLE GLOBO AÇOS'!H142="","",'CONTROLE GLOBO AÇOS'!H142)</f>
        <v/>
      </c>
      <c r="AP140" s="223">
        <f>IF(AND('CONTROLE EJ'!I142="",'CONTROLE CMM'!I142=""),"",N('CONTROLE EJ'!I142)+N('CONTROLE CMM'!I142))</f>
        <v/>
      </c>
      <c r="AQ140" s="223">
        <f>IF(AND('CONTROLE EJ'!J142="",'CONTROLE CMM'!#REF!=""),"",N('CONTROLE EJ'!J142)+N('CONTROLE CMM'!#REF!))</f>
        <v/>
      </c>
      <c r="AR140" s="223">
        <f>IF('CONTROLE GLOBO AÇOS'!I142="","",'CONTROLE GLOBO AÇOS'!I142)</f>
        <v/>
      </c>
      <c r="AS140" s="223">
        <f>IF('CONTROLE GLOBO AÇOS'!J142="","",'CONTROLE GLOBO AÇOS'!J142)</f>
        <v/>
      </c>
      <c r="AT140" s="223">
        <f>IF(#REF!="","",#REF!)</f>
        <v/>
      </c>
      <c r="AU140" s="223">
        <f>IF('CONTROLE GLOBO AÇOS'!K142="","",'CONTROLE GLOBO AÇOS'!K142)</f>
        <v/>
      </c>
      <c r="AV140" s="223">
        <f>IF(AND('CONTROLE EJ'!K142="",'CONTROLE CMM'!#REF!=""),"",N('CONTROLE EJ'!K142)+N('CONTROLE CMM'!#REF!))</f>
        <v/>
      </c>
      <c r="AW140" s="223">
        <f>IF('CONTROLE GLOBO AÇOS'!L142="","",'CONTROLE GLOBO AÇOS'!L142)</f>
        <v/>
      </c>
      <c r="AX140" s="223">
        <f>IF(AND('CONTROLE EJ'!L142="",'CONTROLE CMM'!#REF!=""),"",N('CONTROLE EJ'!L142)+N('CONTROLE CMM'!#REF!))</f>
        <v/>
      </c>
      <c r="AY140" s="223">
        <f>IF('CONTROLE GLOBO AÇOS'!M142="","",'CONTROLE GLOBO AÇOS'!M142)</f>
        <v/>
      </c>
      <c r="AZ140" s="223">
        <f>IF('CONTROLE GLOBO AÇOS'!N142="","",'CONTROLE GLOBO AÇOS'!N142)</f>
        <v/>
      </c>
      <c r="BA140" s="223">
        <f>IF(AND('CONTROLE EJ'!M142="",'CONTROLE CMM'!#REF!=""),"",N('CONTROLE EJ'!M142)+N('CONTROLE CMM'!#REF!))</f>
        <v/>
      </c>
      <c r="BB140" s="223">
        <f>IF(#REF!="","",#REF!)</f>
        <v/>
      </c>
      <c r="BC140" s="223">
        <f>IF('CONTROLE GLOBO AÇOS'!O142="","",'CONTROLE GLOBO AÇOS'!O142)</f>
        <v/>
      </c>
      <c r="BD140" s="223">
        <f>IF(AND('CONTROLE EJ'!N142="",'CONTROLE CMM'!#REF!=""),"",N('CONTROLE EJ'!N142)+N('CONTROLE CMM'!#REF!))</f>
        <v/>
      </c>
      <c r="BE140" s="223">
        <f>IF('CONTROLE GLOBO AÇOS'!P142="","",'CONTROLE GLOBO AÇOS'!P142)</f>
        <v/>
      </c>
      <c r="BF140" s="223">
        <f>IF('CONTROLE GLOBO AÇOS'!Q142="","",'CONTROLE GLOBO AÇOS'!Q142)</f>
        <v/>
      </c>
      <c r="BG140" s="223">
        <f>IF('CONTROLE GLOBO AÇOS'!R142="","",'CONTROLE GLOBO AÇOS'!R142)</f>
        <v/>
      </c>
      <c r="BH140" s="223">
        <f>IF(AND('CONTROLE EJ'!O142="",'CONTROLE CMM'!#REF!=""),"",N('CONTROLE EJ'!O142)+N('CONTROLE CMM'!#REF!))</f>
        <v/>
      </c>
      <c r="BI140" s="223">
        <f>IF('CONTROLE GLOBO AÇOS'!S142="","",'CONTROLE GLOBO AÇOS'!S142)</f>
        <v/>
      </c>
      <c r="BJ140" s="223">
        <f>IF('CONTROLE GLOBO AÇOS'!T142="","",'CONTROLE GLOBO AÇOS'!T142)</f>
        <v/>
      </c>
      <c r="BK140" s="223">
        <f>IF('CONTROLE GLOBO AÇOS'!U142="","",'CONTROLE GLOBO AÇOS'!U142)</f>
        <v/>
      </c>
      <c r="BL140" s="223">
        <f>IF(AND('CONTROLE EJ'!P142="",'CONTROLE CMM'!#REF!=""),"",N('CONTROLE EJ'!P142)+N('CONTROLE CMM'!#REF!))</f>
        <v/>
      </c>
      <c r="BM140" s="223">
        <f>IF(AND('CONTROLE EJ'!Q142="",'CONTROLE CMM'!#REF!=""),"",N('CONTROLE EJ'!Q142)+N('CONTROLE CMM'!#REF!))</f>
        <v/>
      </c>
      <c r="BN140" s="223">
        <f>IF('CONTROLE GLOBO AÇOS'!V142="","",'CONTROLE GLOBO AÇOS'!V142)</f>
        <v/>
      </c>
      <c r="BO140" s="223">
        <f>IF('CONTROLE GLOBO AÇOS'!W142="","",'CONTROLE GLOBO AÇOS'!W142)</f>
        <v/>
      </c>
      <c r="BP140" s="223">
        <f>IF(AND('CONTROLE EJ'!R142="",'CONTROLE CMM'!#REF!=""),"",N('CONTROLE EJ'!R142)+N('CONTROLE CMM'!#REF!))</f>
        <v/>
      </c>
      <c r="BQ140" s="223">
        <f>IF(#REF!="","",#REF!)</f>
        <v/>
      </c>
      <c r="BR140" s="223">
        <f>IF(AND('CONTROLE EJ'!S142="",'CONTROLE CMM'!#REF!=""),"",N('CONTROLE EJ'!S142)+N('CONTROLE CMM'!#REF!))</f>
        <v/>
      </c>
      <c r="BS140" s="223">
        <f>IF(AND('CONTROLE EJ'!T142="",'CONTROLE CMM'!#REF!=""),"",N('CONTROLE EJ'!T142)+N('CONTROLE CMM'!#REF!))</f>
        <v/>
      </c>
      <c r="BT140" s="223">
        <f>IF('CONTROLE GLOBO AÇOS'!X142="","",'CONTROLE GLOBO AÇOS'!X142)</f>
        <v/>
      </c>
      <c r="BU140" s="223">
        <f>IF('CONTROLE GLOBO AÇOS'!Y142="","",'CONTROLE GLOBO AÇOS'!Y142)</f>
        <v/>
      </c>
      <c r="BV140" s="223">
        <f>IF(AND('CONTROLE EJ'!U142="",'CONTROLE CMM'!#REF!=""),"",N('CONTROLE EJ'!U142)+N('CONTROLE CMM'!#REF!))</f>
        <v/>
      </c>
      <c r="BW140" s="223">
        <f>IF(#REF!="","",#REF!)</f>
        <v/>
      </c>
    </row>
    <row r="141">
      <c r="A141" s="282" t="n">
        <v>46358</v>
      </c>
      <c r="B141" s="18">
        <f>IF('CONTROLE EJ'!B143="","",'CONTROLE EJ'!B143)</f>
        <v/>
      </c>
      <c r="C141" s="18">
        <f>IF('CONTROLE EJ'!C143="","",'CONTROLE EJ'!C143)</f>
        <v/>
      </c>
      <c r="D141" s="42">
        <f>IF('CONTROLE EJ'!D143="","",'CONTROLE EJ'!D143)</f>
        <v/>
      </c>
      <c r="E141" s="43">
        <f>IF('CONTROLE CMM'!B143="","",'CONTROLE CMM'!B143)</f>
        <v/>
      </c>
      <c r="F141" s="18">
        <f>IF('CONTROLE CMM'!C143="","",'CONTROLE CMM'!C143)</f>
        <v/>
      </c>
      <c r="G141" s="26">
        <f>IF('CONTROLE CMM'!D143="","",'CONTROLE CMM'!D143)</f>
        <v/>
      </c>
      <c r="H141" s="43">
        <f>IF('CONTROLE GLOBO AÇOS'!B143="","",'CONTROLE GLOBO AÇOS'!B143)</f>
        <v/>
      </c>
      <c r="I141" s="18">
        <f>IF('CONTROLE GLOBO AÇOS'!C143="","",'CONTROLE GLOBO AÇOS'!C143)</f>
        <v/>
      </c>
      <c r="J141" s="18">
        <f>IF('CONTROLE GLOBO AÇOS'!D143="","",'CONTROLE GLOBO AÇOS'!D143)</f>
        <v/>
      </c>
      <c r="AD141" s="39">
        <f>IF($A141="",0,IF(AND(WEEKDAY($A141,2)&lt;=5,OR($B141&lt;&gt;"",$C141&lt;&gt;"",$D141&lt;&gt;"")),1,0))</f>
        <v/>
      </c>
      <c r="AE141" s="39">
        <f>IF($A141="",0,IF(AND(WEEKDAY($A141,2)&lt;=5,OR($E141&lt;&gt;"",$F141&lt;&gt;"",$G141&lt;&gt;"")),1,0))</f>
        <v/>
      </c>
      <c r="AF141" s="39">
        <f>MAX(AD141,AE141)</f>
        <v/>
      </c>
      <c r="AH141" s="223">
        <f>IF('CONTROLE GLOBO AÇOS'!E143="","",'CONTROLE GLOBO AÇOS'!E143)</f>
        <v/>
      </c>
      <c r="AI141" s="223">
        <f>IF('CONTROLE GLOBO AÇOS'!F143="","",'CONTROLE GLOBO AÇOS'!F143)</f>
        <v/>
      </c>
      <c r="AJ141" s="223">
        <f>IF(AND('CONTROLE EJ'!E143="",'CONTROLE CMM'!E143=""),"",N('CONTROLE EJ'!E143)+N('CONTROLE CMM'!E143))</f>
        <v/>
      </c>
      <c r="AK141" s="223">
        <f>IF(AND('CONTROLE EJ'!F143="",'CONTROLE CMM'!F143=""),"",N('CONTROLE EJ'!F143)+N('CONTROLE CMM'!F143))</f>
        <v/>
      </c>
      <c r="AL141" s="223">
        <f>IF(AND('CONTROLE EJ'!G143="",'CONTROLE CMM'!G143=""),"",N('CONTROLE EJ'!G143)+N('CONTROLE CMM'!G143))</f>
        <v/>
      </c>
      <c r="AM141" s="223">
        <f>IF(AND('CONTROLE EJ'!H143="",'CONTROLE CMM'!H143=""),"",N('CONTROLE EJ'!H143)+N('CONTROLE CMM'!H143))</f>
        <v/>
      </c>
      <c r="AN141" s="223">
        <f>IF('CONTROLE GLOBO AÇOS'!G143="","",'CONTROLE GLOBO AÇOS'!G143)</f>
        <v/>
      </c>
      <c r="AO141" s="223">
        <f>IF('CONTROLE GLOBO AÇOS'!H143="","",'CONTROLE GLOBO AÇOS'!H143)</f>
        <v/>
      </c>
      <c r="AP141" s="223">
        <f>IF(AND('CONTROLE EJ'!I143="",'CONTROLE CMM'!I143=""),"",N('CONTROLE EJ'!I143)+N('CONTROLE CMM'!I143))</f>
        <v/>
      </c>
      <c r="AQ141" s="223">
        <f>IF(AND('CONTROLE EJ'!J143="",'CONTROLE CMM'!#REF!=""),"",N('CONTROLE EJ'!J143)+N('CONTROLE CMM'!#REF!))</f>
        <v/>
      </c>
      <c r="AR141" s="223">
        <f>IF('CONTROLE GLOBO AÇOS'!I143="","",'CONTROLE GLOBO AÇOS'!I143)</f>
        <v/>
      </c>
      <c r="AS141" s="223">
        <f>IF('CONTROLE GLOBO AÇOS'!J143="","",'CONTROLE GLOBO AÇOS'!J143)</f>
        <v/>
      </c>
      <c r="AT141" s="223">
        <f>IF(#REF!="","",#REF!)</f>
        <v/>
      </c>
      <c r="AU141" s="223">
        <f>IF('CONTROLE GLOBO AÇOS'!K143="","",'CONTROLE GLOBO AÇOS'!K143)</f>
        <v/>
      </c>
      <c r="AV141" s="223">
        <f>IF(AND('CONTROLE EJ'!K143="",'CONTROLE CMM'!#REF!=""),"",N('CONTROLE EJ'!K143)+N('CONTROLE CMM'!#REF!))</f>
        <v/>
      </c>
      <c r="AW141" s="223">
        <f>IF('CONTROLE GLOBO AÇOS'!L143="","",'CONTROLE GLOBO AÇOS'!L143)</f>
        <v/>
      </c>
      <c r="AX141" s="223">
        <f>IF(AND('CONTROLE EJ'!L143="",'CONTROLE CMM'!#REF!=""),"",N('CONTROLE EJ'!L143)+N('CONTROLE CMM'!#REF!))</f>
        <v/>
      </c>
      <c r="AY141" s="223">
        <f>IF('CONTROLE GLOBO AÇOS'!M143="","",'CONTROLE GLOBO AÇOS'!M143)</f>
        <v/>
      </c>
      <c r="AZ141" s="223">
        <f>IF('CONTROLE GLOBO AÇOS'!N143="","",'CONTROLE GLOBO AÇOS'!N143)</f>
        <v/>
      </c>
      <c r="BA141" s="223">
        <f>IF(AND('CONTROLE EJ'!M143="",'CONTROLE CMM'!#REF!=""),"",N('CONTROLE EJ'!M143)+N('CONTROLE CMM'!#REF!))</f>
        <v/>
      </c>
      <c r="BB141" s="223">
        <f>IF(#REF!="","",#REF!)</f>
        <v/>
      </c>
      <c r="BC141" s="223">
        <f>IF('CONTROLE GLOBO AÇOS'!O143="","",'CONTROLE GLOBO AÇOS'!O143)</f>
        <v/>
      </c>
      <c r="BD141" s="223">
        <f>IF(AND('CONTROLE EJ'!N143="",'CONTROLE CMM'!#REF!=""),"",N('CONTROLE EJ'!N143)+N('CONTROLE CMM'!#REF!))</f>
        <v/>
      </c>
      <c r="BE141" s="223">
        <f>IF('CONTROLE GLOBO AÇOS'!P143="","",'CONTROLE GLOBO AÇOS'!P143)</f>
        <v/>
      </c>
      <c r="BF141" s="223">
        <f>IF('CONTROLE GLOBO AÇOS'!Q143="","",'CONTROLE GLOBO AÇOS'!Q143)</f>
        <v/>
      </c>
      <c r="BG141" s="223">
        <f>IF('CONTROLE GLOBO AÇOS'!R143="","",'CONTROLE GLOBO AÇOS'!R143)</f>
        <v/>
      </c>
      <c r="BH141" s="223">
        <f>IF(AND('CONTROLE EJ'!O143="",'CONTROLE CMM'!#REF!=""),"",N('CONTROLE EJ'!O143)+N('CONTROLE CMM'!#REF!))</f>
        <v/>
      </c>
      <c r="BI141" s="223">
        <f>IF('CONTROLE GLOBO AÇOS'!S143="","",'CONTROLE GLOBO AÇOS'!S143)</f>
        <v/>
      </c>
      <c r="BJ141" s="223">
        <f>IF('CONTROLE GLOBO AÇOS'!T143="","",'CONTROLE GLOBO AÇOS'!T143)</f>
        <v/>
      </c>
      <c r="BK141" s="223">
        <f>IF('CONTROLE GLOBO AÇOS'!U143="","",'CONTROLE GLOBO AÇOS'!U143)</f>
        <v/>
      </c>
      <c r="BL141" s="223">
        <f>IF(AND('CONTROLE EJ'!P143="",'CONTROLE CMM'!#REF!=""),"",N('CONTROLE EJ'!P143)+N('CONTROLE CMM'!#REF!))</f>
        <v/>
      </c>
      <c r="BM141" s="223">
        <f>IF(AND('CONTROLE EJ'!Q143="",'CONTROLE CMM'!#REF!=""),"",N('CONTROLE EJ'!Q143)+N('CONTROLE CMM'!#REF!))</f>
        <v/>
      </c>
      <c r="BN141" s="223">
        <f>IF('CONTROLE GLOBO AÇOS'!V143="","",'CONTROLE GLOBO AÇOS'!V143)</f>
        <v/>
      </c>
      <c r="BO141" s="223">
        <f>IF('CONTROLE GLOBO AÇOS'!W143="","",'CONTROLE GLOBO AÇOS'!W143)</f>
        <v/>
      </c>
      <c r="BP141" s="223">
        <f>IF(AND('CONTROLE EJ'!R143="",'CONTROLE CMM'!#REF!=""),"",N('CONTROLE EJ'!R143)+N('CONTROLE CMM'!#REF!))</f>
        <v/>
      </c>
      <c r="BQ141" s="223">
        <f>IF(#REF!="","",#REF!)</f>
        <v/>
      </c>
      <c r="BR141" s="223">
        <f>IF(AND('CONTROLE EJ'!S143="",'CONTROLE CMM'!#REF!=""),"",N('CONTROLE EJ'!S143)+N('CONTROLE CMM'!#REF!))</f>
        <v/>
      </c>
      <c r="BS141" s="223">
        <f>IF(AND('CONTROLE EJ'!T143="",'CONTROLE CMM'!#REF!=""),"",N('CONTROLE EJ'!T143)+N('CONTROLE CMM'!#REF!))</f>
        <v/>
      </c>
      <c r="BT141" s="223">
        <f>IF('CONTROLE GLOBO AÇOS'!X143="","",'CONTROLE GLOBO AÇOS'!X143)</f>
        <v/>
      </c>
      <c r="BU141" s="223">
        <f>IF('CONTROLE GLOBO AÇOS'!Y143="","",'CONTROLE GLOBO AÇOS'!Y143)</f>
        <v/>
      </c>
      <c r="BV141" s="223">
        <f>IF(AND('CONTROLE EJ'!U143="",'CONTROLE CMM'!#REF!=""),"",N('CONTROLE EJ'!U143)+N('CONTROLE CMM'!#REF!))</f>
        <v/>
      </c>
      <c r="BW141" s="223">
        <f>IF(#REF!="","",#REF!)</f>
        <v/>
      </c>
    </row>
    <row r="142">
      <c r="A142" s="282" t="n">
        <v>46359</v>
      </c>
      <c r="B142" s="18">
        <f>IF('CONTROLE EJ'!B144="","",'CONTROLE EJ'!B144)</f>
        <v/>
      </c>
      <c r="C142" s="18">
        <f>IF('CONTROLE EJ'!C144="","",'CONTROLE EJ'!C144)</f>
        <v/>
      </c>
      <c r="D142" s="42">
        <f>IF('CONTROLE EJ'!D144="","",'CONTROLE EJ'!D144)</f>
        <v/>
      </c>
      <c r="E142" s="43">
        <f>IF('CONTROLE CMM'!B144="","",'CONTROLE CMM'!B144)</f>
        <v/>
      </c>
      <c r="F142" s="18">
        <f>IF('CONTROLE CMM'!C144="","",'CONTROLE CMM'!C144)</f>
        <v/>
      </c>
      <c r="G142" s="26">
        <f>IF('CONTROLE CMM'!D144="","",'CONTROLE CMM'!D144)</f>
        <v/>
      </c>
      <c r="H142" s="43">
        <f>IF('CONTROLE GLOBO AÇOS'!B144="","",'CONTROLE GLOBO AÇOS'!B144)</f>
        <v/>
      </c>
      <c r="I142" s="18">
        <f>IF('CONTROLE GLOBO AÇOS'!C144="","",'CONTROLE GLOBO AÇOS'!C144)</f>
        <v/>
      </c>
      <c r="J142" s="18">
        <f>IF('CONTROLE GLOBO AÇOS'!D144="","",'CONTROLE GLOBO AÇOS'!D144)</f>
        <v/>
      </c>
      <c r="AD142" s="39">
        <f>IF($A142="",0,IF(AND(WEEKDAY($A142,2)&lt;=5,OR($B142&lt;&gt;"",$C142&lt;&gt;"",$D142&lt;&gt;"")),1,0))</f>
        <v/>
      </c>
      <c r="AE142" s="39">
        <f>IF($A142="",0,IF(AND(WEEKDAY($A142,2)&lt;=5,OR($E142&lt;&gt;"",$F142&lt;&gt;"",$G142&lt;&gt;"")),1,0))</f>
        <v/>
      </c>
      <c r="AF142" s="39">
        <f>MAX(AD142,AE142)</f>
        <v/>
      </c>
      <c r="AH142" s="223">
        <f>IF('CONTROLE GLOBO AÇOS'!E144="","",'CONTROLE GLOBO AÇOS'!E144)</f>
        <v/>
      </c>
      <c r="AI142" s="223">
        <f>IF('CONTROLE GLOBO AÇOS'!F144="","",'CONTROLE GLOBO AÇOS'!F144)</f>
        <v/>
      </c>
      <c r="AJ142" s="223">
        <f>IF(AND('CONTROLE EJ'!E144="",'CONTROLE CMM'!E144=""),"",N('CONTROLE EJ'!E144)+N('CONTROLE CMM'!E144))</f>
        <v/>
      </c>
      <c r="AK142" s="223">
        <f>IF(AND('CONTROLE EJ'!F144="",'CONTROLE CMM'!F144=""),"",N('CONTROLE EJ'!F144)+N('CONTROLE CMM'!F144))</f>
        <v/>
      </c>
      <c r="AL142" s="223">
        <f>IF(AND('CONTROLE EJ'!G144="",'CONTROLE CMM'!G144=""),"",N('CONTROLE EJ'!G144)+N('CONTROLE CMM'!G144))</f>
        <v/>
      </c>
      <c r="AM142" s="223">
        <f>IF(AND('CONTROLE EJ'!H144="",'CONTROLE CMM'!H144=""),"",N('CONTROLE EJ'!H144)+N('CONTROLE CMM'!H144))</f>
        <v/>
      </c>
      <c r="AN142" s="223">
        <f>IF('CONTROLE GLOBO AÇOS'!G144="","",'CONTROLE GLOBO AÇOS'!G144)</f>
        <v/>
      </c>
      <c r="AO142" s="223">
        <f>IF('CONTROLE GLOBO AÇOS'!H144="","",'CONTROLE GLOBO AÇOS'!H144)</f>
        <v/>
      </c>
      <c r="AP142" s="223">
        <f>IF(AND('CONTROLE EJ'!I144="",'CONTROLE CMM'!I144=""),"",N('CONTROLE EJ'!I144)+N('CONTROLE CMM'!I144))</f>
        <v/>
      </c>
      <c r="AQ142" s="223">
        <f>IF(AND('CONTROLE EJ'!J144="",'CONTROLE CMM'!#REF!=""),"",N('CONTROLE EJ'!J144)+N('CONTROLE CMM'!#REF!))</f>
        <v/>
      </c>
      <c r="AR142" s="223">
        <f>IF('CONTROLE GLOBO AÇOS'!I144="","",'CONTROLE GLOBO AÇOS'!I144)</f>
        <v/>
      </c>
      <c r="AS142" s="223">
        <f>IF('CONTROLE GLOBO AÇOS'!J144="","",'CONTROLE GLOBO AÇOS'!J144)</f>
        <v/>
      </c>
      <c r="AT142" s="223">
        <f>IF(#REF!="","",#REF!)</f>
        <v/>
      </c>
      <c r="AU142" s="223">
        <f>IF('CONTROLE GLOBO AÇOS'!K144="","",'CONTROLE GLOBO AÇOS'!K144)</f>
        <v/>
      </c>
      <c r="AV142" s="223">
        <f>IF(AND('CONTROLE EJ'!K144="",'CONTROLE CMM'!#REF!=""),"",N('CONTROLE EJ'!K144)+N('CONTROLE CMM'!#REF!))</f>
        <v/>
      </c>
      <c r="AW142" s="223">
        <f>IF('CONTROLE GLOBO AÇOS'!L144="","",'CONTROLE GLOBO AÇOS'!L144)</f>
        <v/>
      </c>
      <c r="AX142" s="223">
        <f>IF(AND('CONTROLE EJ'!L144="",'CONTROLE CMM'!#REF!=""),"",N('CONTROLE EJ'!L144)+N('CONTROLE CMM'!#REF!))</f>
        <v/>
      </c>
      <c r="AY142" s="223">
        <f>IF('CONTROLE GLOBO AÇOS'!M144="","",'CONTROLE GLOBO AÇOS'!M144)</f>
        <v/>
      </c>
      <c r="AZ142" s="223">
        <f>IF('CONTROLE GLOBO AÇOS'!N144="","",'CONTROLE GLOBO AÇOS'!N144)</f>
        <v/>
      </c>
      <c r="BA142" s="223">
        <f>IF(AND('CONTROLE EJ'!M144="",'CONTROLE CMM'!#REF!=""),"",N('CONTROLE EJ'!M144)+N('CONTROLE CMM'!#REF!))</f>
        <v/>
      </c>
      <c r="BB142" s="223">
        <f>IF(#REF!="","",#REF!)</f>
        <v/>
      </c>
      <c r="BC142" s="223">
        <f>IF('CONTROLE GLOBO AÇOS'!O144="","",'CONTROLE GLOBO AÇOS'!O144)</f>
        <v/>
      </c>
      <c r="BD142" s="223">
        <f>IF(AND('CONTROLE EJ'!N144="",'CONTROLE CMM'!#REF!=""),"",N('CONTROLE EJ'!N144)+N('CONTROLE CMM'!#REF!))</f>
        <v/>
      </c>
      <c r="BE142" s="223">
        <f>IF('CONTROLE GLOBO AÇOS'!P144="","",'CONTROLE GLOBO AÇOS'!P144)</f>
        <v/>
      </c>
      <c r="BF142" s="223">
        <f>IF('CONTROLE GLOBO AÇOS'!Q144="","",'CONTROLE GLOBO AÇOS'!Q144)</f>
        <v/>
      </c>
      <c r="BG142" s="223">
        <f>IF('CONTROLE GLOBO AÇOS'!R144="","",'CONTROLE GLOBO AÇOS'!R144)</f>
        <v/>
      </c>
      <c r="BH142" s="223">
        <f>IF(AND('CONTROLE EJ'!O144="",'CONTROLE CMM'!#REF!=""),"",N('CONTROLE EJ'!O144)+N('CONTROLE CMM'!#REF!))</f>
        <v/>
      </c>
      <c r="BI142" s="223">
        <f>IF('CONTROLE GLOBO AÇOS'!S144="","",'CONTROLE GLOBO AÇOS'!S144)</f>
        <v/>
      </c>
      <c r="BJ142" s="223">
        <f>IF('CONTROLE GLOBO AÇOS'!T144="","",'CONTROLE GLOBO AÇOS'!T144)</f>
        <v/>
      </c>
      <c r="BK142" s="223">
        <f>IF('CONTROLE GLOBO AÇOS'!U144="","",'CONTROLE GLOBO AÇOS'!U144)</f>
        <v/>
      </c>
      <c r="BL142" s="223">
        <f>IF(AND('CONTROLE EJ'!P144="",'CONTROLE CMM'!#REF!=""),"",N('CONTROLE EJ'!P144)+N('CONTROLE CMM'!#REF!))</f>
        <v/>
      </c>
      <c r="BM142" s="223">
        <f>IF(AND('CONTROLE EJ'!Q144="",'CONTROLE CMM'!#REF!=""),"",N('CONTROLE EJ'!Q144)+N('CONTROLE CMM'!#REF!))</f>
        <v/>
      </c>
      <c r="BN142" s="223">
        <f>IF('CONTROLE GLOBO AÇOS'!V144="","",'CONTROLE GLOBO AÇOS'!V144)</f>
        <v/>
      </c>
      <c r="BO142" s="223">
        <f>IF('CONTROLE GLOBO AÇOS'!W144="","",'CONTROLE GLOBO AÇOS'!W144)</f>
        <v/>
      </c>
      <c r="BP142" s="223">
        <f>IF(AND('CONTROLE EJ'!R144="",'CONTROLE CMM'!#REF!=""),"",N('CONTROLE EJ'!R144)+N('CONTROLE CMM'!#REF!))</f>
        <v/>
      </c>
      <c r="BQ142" s="223">
        <f>IF(#REF!="","",#REF!)</f>
        <v/>
      </c>
      <c r="BR142" s="223">
        <f>IF(AND('CONTROLE EJ'!S144="",'CONTROLE CMM'!#REF!=""),"",N('CONTROLE EJ'!S144)+N('CONTROLE CMM'!#REF!))</f>
        <v/>
      </c>
      <c r="BS142" s="223">
        <f>IF(AND('CONTROLE EJ'!T144="",'CONTROLE CMM'!#REF!=""),"",N('CONTROLE EJ'!T144)+N('CONTROLE CMM'!#REF!))</f>
        <v/>
      </c>
      <c r="BT142" s="223">
        <f>IF('CONTROLE GLOBO AÇOS'!X144="","",'CONTROLE GLOBO AÇOS'!X144)</f>
        <v/>
      </c>
      <c r="BU142" s="223">
        <f>IF('CONTROLE GLOBO AÇOS'!Y144="","",'CONTROLE GLOBO AÇOS'!Y144)</f>
        <v/>
      </c>
      <c r="BV142" s="223">
        <f>IF(AND('CONTROLE EJ'!U144="",'CONTROLE CMM'!#REF!=""),"",N('CONTROLE EJ'!U144)+N('CONTROLE CMM'!#REF!))</f>
        <v/>
      </c>
      <c r="BW142" s="223">
        <f>IF(#REF!="","",#REF!)</f>
        <v/>
      </c>
    </row>
    <row r="143">
      <c r="A143" s="282" t="n">
        <v>46360</v>
      </c>
      <c r="B143" s="18">
        <f>IF('CONTROLE EJ'!B145="","",'CONTROLE EJ'!B145)</f>
        <v/>
      </c>
      <c r="C143" s="18">
        <f>IF('CONTROLE EJ'!C145="","",'CONTROLE EJ'!C145)</f>
        <v/>
      </c>
      <c r="D143" s="42">
        <f>IF('CONTROLE EJ'!D145="","",'CONTROLE EJ'!D145)</f>
        <v/>
      </c>
      <c r="E143" s="43">
        <f>IF('CONTROLE CMM'!B145="","",'CONTROLE CMM'!B145)</f>
        <v/>
      </c>
      <c r="F143" s="18">
        <f>IF('CONTROLE CMM'!C145="","",'CONTROLE CMM'!C145)</f>
        <v/>
      </c>
      <c r="G143" s="26">
        <f>IF('CONTROLE CMM'!D145="","",'CONTROLE CMM'!D145)</f>
        <v/>
      </c>
      <c r="H143" s="43">
        <f>IF('CONTROLE GLOBO AÇOS'!B145="","",'CONTROLE GLOBO AÇOS'!B145)</f>
        <v/>
      </c>
      <c r="I143" s="18">
        <f>IF('CONTROLE GLOBO AÇOS'!C145="","",'CONTROLE GLOBO AÇOS'!C145)</f>
        <v/>
      </c>
      <c r="J143" s="18">
        <f>IF('CONTROLE GLOBO AÇOS'!D145="","",'CONTROLE GLOBO AÇOS'!D145)</f>
        <v/>
      </c>
      <c r="AD143" s="39">
        <f>IF($A143="",0,IF(AND(WEEKDAY($A143,2)&lt;=5,OR($B143&lt;&gt;"",$C143&lt;&gt;"",$D143&lt;&gt;"")),1,0))</f>
        <v/>
      </c>
      <c r="AE143" s="39">
        <f>IF($A143="",0,IF(AND(WEEKDAY($A143,2)&lt;=5,OR($E143&lt;&gt;"",$F143&lt;&gt;"",$G143&lt;&gt;"")),1,0))</f>
        <v/>
      </c>
      <c r="AF143" s="39">
        <f>MAX(AD143,AE143)</f>
        <v/>
      </c>
      <c r="AH143" s="223">
        <f>IF('CONTROLE GLOBO AÇOS'!E145="","",'CONTROLE GLOBO AÇOS'!E145)</f>
        <v/>
      </c>
      <c r="AI143" s="223">
        <f>IF('CONTROLE GLOBO AÇOS'!F145="","",'CONTROLE GLOBO AÇOS'!F145)</f>
        <v/>
      </c>
      <c r="AJ143" s="223">
        <f>IF(AND('CONTROLE EJ'!E145="",'CONTROLE CMM'!E145=""),"",N('CONTROLE EJ'!E145)+N('CONTROLE CMM'!E145))</f>
        <v/>
      </c>
      <c r="AK143" s="223">
        <f>IF(AND('CONTROLE EJ'!F145="",'CONTROLE CMM'!F145=""),"",N('CONTROLE EJ'!F145)+N('CONTROLE CMM'!F145))</f>
        <v/>
      </c>
      <c r="AL143" s="223">
        <f>IF(AND('CONTROLE EJ'!G145="",'CONTROLE CMM'!G145=""),"",N('CONTROLE EJ'!G145)+N('CONTROLE CMM'!G145))</f>
        <v/>
      </c>
      <c r="AM143" s="223">
        <f>IF(AND('CONTROLE EJ'!H145="",'CONTROLE CMM'!H145=""),"",N('CONTROLE EJ'!H145)+N('CONTROLE CMM'!H145))</f>
        <v/>
      </c>
      <c r="AN143" s="223">
        <f>IF('CONTROLE GLOBO AÇOS'!G145="","",'CONTROLE GLOBO AÇOS'!G145)</f>
        <v/>
      </c>
      <c r="AO143" s="223">
        <f>IF('CONTROLE GLOBO AÇOS'!H145="","",'CONTROLE GLOBO AÇOS'!H145)</f>
        <v/>
      </c>
      <c r="AP143" s="223">
        <f>IF(AND('CONTROLE EJ'!I145="",'CONTROLE CMM'!I145=""),"",N('CONTROLE EJ'!I145)+N('CONTROLE CMM'!I145))</f>
        <v/>
      </c>
      <c r="AQ143" s="223">
        <f>IF(AND('CONTROLE EJ'!J145="",'CONTROLE CMM'!#REF!=""),"",N('CONTROLE EJ'!J145)+N('CONTROLE CMM'!#REF!))</f>
        <v/>
      </c>
      <c r="AR143" s="223">
        <f>IF('CONTROLE GLOBO AÇOS'!I145="","",'CONTROLE GLOBO AÇOS'!I145)</f>
        <v/>
      </c>
      <c r="AS143" s="223">
        <f>IF('CONTROLE GLOBO AÇOS'!J145="","",'CONTROLE GLOBO AÇOS'!J145)</f>
        <v/>
      </c>
      <c r="AT143" s="223">
        <f>IF(#REF!="","",#REF!)</f>
        <v/>
      </c>
      <c r="AU143" s="223">
        <f>IF('CONTROLE GLOBO AÇOS'!K145="","",'CONTROLE GLOBO AÇOS'!K145)</f>
        <v/>
      </c>
      <c r="AV143" s="223">
        <f>IF(AND('CONTROLE EJ'!K145="",'CONTROLE CMM'!#REF!=""),"",N('CONTROLE EJ'!K145)+N('CONTROLE CMM'!#REF!))</f>
        <v/>
      </c>
      <c r="AW143" s="223">
        <f>IF('CONTROLE GLOBO AÇOS'!L145="","",'CONTROLE GLOBO AÇOS'!L145)</f>
        <v/>
      </c>
      <c r="AX143" s="223">
        <f>IF(AND('CONTROLE EJ'!L145="",'CONTROLE CMM'!#REF!=""),"",N('CONTROLE EJ'!L145)+N('CONTROLE CMM'!#REF!))</f>
        <v/>
      </c>
      <c r="AY143" s="223">
        <f>IF('CONTROLE GLOBO AÇOS'!M145="","",'CONTROLE GLOBO AÇOS'!M145)</f>
        <v/>
      </c>
      <c r="AZ143" s="223">
        <f>IF('CONTROLE GLOBO AÇOS'!N145="","",'CONTROLE GLOBO AÇOS'!N145)</f>
        <v/>
      </c>
      <c r="BA143" s="223">
        <f>IF(AND('CONTROLE EJ'!M145="",'CONTROLE CMM'!#REF!=""),"",N('CONTROLE EJ'!M145)+N('CONTROLE CMM'!#REF!))</f>
        <v/>
      </c>
      <c r="BB143" s="223">
        <f>IF(#REF!="","",#REF!)</f>
        <v/>
      </c>
      <c r="BC143" s="223">
        <f>IF('CONTROLE GLOBO AÇOS'!O145="","",'CONTROLE GLOBO AÇOS'!O145)</f>
        <v/>
      </c>
      <c r="BD143" s="223">
        <f>IF(AND('CONTROLE EJ'!N145="",'CONTROLE CMM'!#REF!=""),"",N('CONTROLE EJ'!N145)+N('CONTROLE CMM'!#REF!))</f>
        <v/>
      </c>
      <c r="BE143" s="223">
        <f>IF('CONTROLE GLOBO AÇOS'!P145="","",'CONTROLE GLOBO AÇOS'!P145)</f>
        <v/>
      </c>
      <c r="BF143" s="223">
        <f>IF('CONTROLE GLOBO AÇOS'!Q145="","",'CONTROLE GLOBO AÇOS'!Q145)</f>
        <v/>
      </c>
      <c r="BG143" s="223">
        <f>IF('CONTROLE GLOBO AÇOS'!R145="","",'CONTROLE GLOBO AÇOS'!R145)</f>
        <v/>
      </c>
      <c r="BH143" s="223">
        <f>IF(AND('CONTROLE EJ'!O145="",'CONTROLE CMM'!#REF!=""),"",N('CONTROLE EJ'!O145)+N('CONTROLE CMM'!#REF!))</f>
        <v/>
      </c>
      <c r="BI143" s="223">
        <f>IF('CONTROLE GLOBO AÇOS'!S145="","",'CONTROLE GLOBO AÇOS'!S145)</f>
        <v/>
      </c>
      <c r="BJ143" s="223">
        <f>IF('CONTROLE GLOBO AÇOS'!T145="","",'CONTROLE GLOBO AÇOS'!T145)</f>
        <v/>
      </c>
      <c r="BK143" s="223">
        <f>IF('CONTROLE GLOBO AÇOS'!U145="","",'CONTROLE GLOBO AÇOS'!U145)</f>
        <v/>
      </c>
      <c r="BL143" s="223">
        <f>IF(AND('CONTROLE EJ'!P145="",'CONTROLE CMM'!#REF!=""),"",N('CONTROLE EJ'!P145)+N('CONTROLE CMM'!#REF!))</f>
        <v/>
      </c>
      <c r="BM143" s="223">
        <f>IF(AND('CONTROLE EJ'!Q145="",'CONTROLE CMM'!#REF!=""),"",N('CONTROLE EJ'!Q145)+N('CONTROLE CMM'!#REF!))</f>
        <v/>
      </c>
      <c r="BN143" s="223">
        <f>IF('CONTROLE GLOBO AÇOS'!V145="","",'CONTROLE GLOBO AÇOS'!V145)</f>
        <v/>
      </c>
      <c r="BO143" s="223">
        <f>IF('CONTROLE GLOBO AÇOS'!W145="","",'CONTROLE GLOBO AÇOS'!W145)</f>
        <v/>
      </c>
      <c r="BP143" s="223">
        <f>IF(AND('CONTROLE EJ'!R145="",'CONTROLE CMM'!#REF!=""),"",N('CONTROLE EJ'!R145)+N('CONTROLE CMM'!#REF!))</f>
        <v/>
      </c>
      <c r="BQ143" s="223">
        <f>IF(#REF!="","",#REF!)</f>
        <v/>
      </c>
      <c r="BR143" s="223">
        <f>IF(AND('CONTROLE EJ'!S145="",'CONTROLE CMM'!#REF!=""),"",N('CONTROLE EJ'!S145)+N('CONTROLE CMM'!#REF!))</f>
        <v/>
      </c>
      <c r="BS143" s="223">
        <f>IF(AND('CONTROLE EJ'!T145="",'CONTROLE CMM'!#REF!=""),"",N('CONTROLE EJ'!T145)+N('CONTROLE CMM'!#REF!))</f>
        <v/>
      </c>
      <c r="BT143" s="223">
        <f>IF('CONTROLE GLOBO AÇOS'!X145="","",'CONTROLE GLOBO AÇOS'!X145)</f>
        <v/>
      </c>
      <c r="BU143" s="223">
        <f>IF('CONTROLE GLOBO AÇOS'!Y145="","",'CONTROLE GLOBO AÇOS'!Y145)</f>
        <v/>
      </c>
      <c r="BV143" s="223">
        <f>IF(AND('CONTROLE EJ'!U145="",'CONTROLE CMM'!#REF!=""),"",N('CONTROLE EJ'!U145)+N('CONTROLE CMM'!#REF!))</f>
        <v/>
      </c>
      <c r="BW143" s="223">
        <f>IF(#REF!="","",#REF!)</f>
        <v/>
      </c>
    </row>
    <row r="144">
      <c r="A144" s="282" t="n">
        <v>46361</v>
      </c>
      <c r="B144" s="18">
        <f>IF('CONTROLE EJ'!B146="","",'CONTROLE EJ'!B146)</f>
        <v/>
      </c>
      <c r="C144" s="18">
        <f>IF('CONTROLE EJ'!C146="","",'CONTROLE EJ'!C146)</f>
        <v/>
      </c>
      <c r="D144" s="42">
        <f>IF('CONTROLE EJ'!D146="","",'CONTROLE EJ'!D146)</f>
        <v/>
      </c>
      <c r="E144" s="43">
        <f>IF('CONTROLE CMM'!B146="","",'CONTROLE CMM'!B146)</f>
        <v/>
      </c>
      <c r="F144" s="18">
        <f>IF('CONTROLE CMM'!C146="","",'CONTROLE CMM'!C146)</f>
        <v/>
      </c>
      <c r="G144" s="26">
        <f>IF('CONTROLE CMM'!D146="","",'CONTROLE CMM'!D146)</f>
        <v/>
      </c>
      <c r="H144" s="43">
        <f>IF('CONTROLE GLOBO AÇOS'!B146="","",'CONTROLE GLOBO AÇOS'!B146)</f>
        <v/>
      </c>
      <c r="I144" s="18">
        <f>IF('CONTROLE GLOBO AÇOS'!C146="","",'CONTROLE GLOBO AÇOS'!C146)</f>
        <v/>
      </c>
      <c r="J144" s="18">
        <f>IF('CONTROLE GLOBO AÇOS'!D146="","",'CONTROLE GLOBO AÇOS'!D146)</f>
        <v/>
      </c>
      <c r="AD144" s="39">
        <f>IF($A144="",0,IF(AND(WEEKDAY($A144,2)&lt;=5,OR($B144&lt;&gt;"",$C144&lt;&gt;"",$D144&lt;&gt;"")),1,0))</f>
        <v/>
      </c>
      <c r="AE144" s="39">
        <f>IF($A144="",0,IF(AND(WEEKDAY($A144,2)&lt;=5,OR($E144&lt;&gt;"",$F144&lt;&gt;"",$G144&lt;&gt;"")),1,0))</f>
        <v/>
      </c>
      <c r="AF144" s="39">
        <f>MAX(AD144,AE144)</f>
        <v/>
      </c>
      <c r="AH144" s="223">
        <f>IF('CONTROLE GLOBO AÇOS'!E146="","",'CONTROLE GLOBO AÇOS'!E146)</f>
        <v/>
      </c>
      <c r="AI144" s="223">
        <f>IF('CONTROLE GLOBO AÇOS'!F146="","",'CONTROLE GLOBO AÇOS'!F146)</f>
        <v/>
      </c>
      <c r="AJ144" s="223">
        <f>IF(AND('CONTROLE EJ'!E146="",'CONTROLE CMM'!E146=""),"",N('CONTROLE EJ'!E146)+N('CONTROLE CMM'!E146))</f>
        <v/>
      </c>
      <c r="AK144" s="223">
        <f>IF(AND('CONTROLE EJ'!F146="",'CONTROLE CMM'!F146=""),"",N('CONTROLE EJ'!F146)+N('CONTROLE CMM'!F146))</f>
        <v/>
      </c>
      <c r="AL144" s="223">
        <f>IF(AND('CONTROLE EJ'!G146="",'CONTROLE CMM'!G146=""),"",N('CONTROLE EJ'!G146)+N('CONTROLE CMM'!G146))</f>
        <v/>
      </c>
      <c r="AM144" s="223">
        <f>IF(AND('CONTROLE EJ'!H146="",'CONTROLE CMM'!H146=""),"",N('CONTROLE EJ'!H146)+N('CONTROLE CMM'!H146))</f>
        <v/>
      </c>
      <c r="AN144" s="223">
        <f>IF('CONTROLE GLOBO AÇOS'!G146="","",'CONTROLE GLOBO AÇOS'!G146)</f>
        <v/>
      </c>
      <c r="AO144" s="223">
        <f>IF('CONTROLE GLOBO AÇOS'!H146="","",'CONTROLE GLOBO AÇOS'!H146)</f>
        <v/>
      </c>
      <c r="AP144" s="223">
        <f>IF(AND('CONTROLE EJ'!I146="",'CONTROLE CMM'!I146=""),"",N('CONTROLE EJ'!I146)+N('CONTROLE CMM'!I146))</f>
        <v/>
      </c>
      <c r="AQ144" s="223">
        <f>IF(AND('CONTROLE EJ'!J146="",'CONTROLE CMM'!#REF!=""),"",N('CONTROLE EJ'!J146)+N('CONTROLE CMM'!#REF!))</f>
        <v/>
      </c>
      <c r="AR144" s="223">
        <f>IF('CONTROLE GLOBO AÇOS'!I146="","",'CONTROLE GLOBO AÇOS'!I146)</f>
        <v/>
      </c>
      <c r="AS144" s="223">
        <f>IF('CONTROLE GLOBO AÇOS'!J146="","",'CONTROLE GLOBO AÇOS'!J146)</f>
        <v/>
      </c>
      <c r="AT144" s="223">
        <f>IF(#REF!="","",#REF!)</f>
        <v/>
      </c>
      <c r="AU144" s="223">
        <f>IF('CONTROLE GLOBO AÇOS'!K146="","",'CONTROLE GLOBO AÇOS'!K146)</f>
        <v/>
      </c>
      <c r="AV144" s="223">
        <f>IF(AND('CONTROLE EJ'!K146="",'CONTROLE CMM'!#REF!=""),"",N('CONTROLE EJ'!K146)+N('CONTROLE CMM'!#REF!))</f>
        <v/>
      </c>
      <c r="AW144" s="223">
        <f>IF('CONTROLE GLOBO AÇOS'!L146="","",'CONTROLE GLOBO AÇOS'!L146)</f>
        <v/>
      </c>
      <c r="AX144" s="223">
        <f>IF(AND('CONTROLE EJ'!L146="",'CONTROLE CMM'!#REF!=""),"",N('CONTROLE EJ'!L146)+N('CONTROLE CMM'!#REF!))</f>
        <v/>
      </c>
      <c r="AY144" s="223">
        <f>IF('CONTROLE GLOBO AÇOS'!M146="","",'CONTROLE GLOBO AÇOS'!M146)</f>
        <v/>
      </c>
      <c r="AZ144" s="223">
        <f>IF('CONTROLE GLOBO AÇOS'!N146="","",'CONTROLE GLOBO AÇOS'!N146)</f>
        <v/>
      </c>
      <c r="BA144" s="223">
        <f>IF(AND('CONTROLE EJ'!M146="",'CONTROLE CMM'!#REF!=""),"",N('CONTROLE EJ'!M146)+N('CONTROLE CMM'!#REF!))</f>
        <v/>
      </c>
      <c r="BB144" s="223">
        <f>IF(#REF!="","",#REF!)</f>
        <v/>
      </c>
      <c r="BC144" s="223">
        <f>IF('CONTROLE GLOBO AÇOS'!O146="","",'CONTROLE GLOBO AÇOS'!O146)</f>
        <v/>
      </c>
      <c r="BD144" s="223">
        <f>IF(AND('CONTROLE EJ'!N146="",'CONTROLE CMM'!#REF!=""),"",N('CONTROLE EJ'!N146)+N('CONTROLE CMM'!#REF!))</f>
        <v/>
      </c>
      <c r="BE144" s="223">
        <f>IF('CONTROLE GLOBO AÇOS'!P146="","",'CONTROLE GLOBO AÇOS'!P146)</f>
        <v/>
      </c>
      <c r="BF144" s="223">
        <f>IF('CONTROLE GLOBO AÇOS'!Q146="","",'CONTROLE GLOBO AÇOS'!Q146)</f>
        <v/>
      </c>
      <c r="BG144" s="223">
        <f>IF('CONTROLE GLOBO AÇOS'!R146="","",'CONTROLE GLOBO AÇOS'!R146)</f>
        <v/>
      </c>
      <c r="BH144" s="223">
        <f>IF(AND('CONTROLE EJ'!O146="",'CONTROLE CMM'!#REF!=""),"",N('CONTROLE EJ'!O146)+N('CONTROLE CMM'!#REF!))</f>
        <v/>
      </c>
      <c r="BI144" s="223">
        <f>IF('CONTROLE GLOBO AÇOS'!S146="","",'CONTROLE GLOBO AÇOS'!S146)</f>
        <v/>
      </c>
      <c r="BJ144" s="223">
        <f>IF('CONTROLE GLOBO AÇOS'!T146="","",'CONTROLE GLOBO AÇOS'!T146)</f>
        <v/>
      </c>
      <c r="BK144" s="223">
        <f>IF('CONTROLE GLOBO AÇOS'!U146="","",'CONTROLE GLOBO AÇOS'!U146)</f>
        <v/>
      </c>
      <c r="BL144" s="223">
        <f>IF(AND('CONTROLE EJ'!P146="",'CONTROLE CMM'!#REF!=""),"",N('CONTROLE EJ'!P146)+N('CONTROLE CMM'!#REF!))</f>
        <v/>
      </c>
      <c r="BM144" s="223">
        <f>IF(AND('CONTROLE EJ'!Q146="",'CONTROLE CMM'!#REF!=""),"",N('CONTROLE EJ'!Q146)+N('CONTROLE CMM'!#REF!))</f>
        <v/>
      </c>
      <c r="BN144" s="223">
        <f>IF('CONTROLE GLOBO AÇOS'!V146="","",'CONTROLE GLOBO AÇOS'!V146)</f>
        <v/>
      </c>
      <c r="BO144" s="223">
        <f>IF('CONTROLE GLOBO AÇOS'!W146="","",'CONTROLE GLOBO AÇOS'!W146)</f>
        <v/>
      </c>
      <c r="BP144" s="223">
        <f>IF(AND('CONTROLE EJ'!R146="",'CONTROLE CMM'!#REF!=""),"",N('CONTROLE EJ'!R146)+N('CONTROLE CMM'!#REF!))</f>
        <v/>
      </c>
      <c r="BQ144" s="223">
        <f>IF(#REF!="","",#REF!)</f>
        <v/>
      </c>
      <c r="BR144" s="223">
        <f>IF(AND('CONTROLE EJ'!S146="",'CONTROLE CMM'!#REF!=""),"",N('CONTROLE EJ'!S146)+N('CONTROLE CMM'!#REF!))</f>
        <v/>
      </c>
      <c r="BS144" s="223">
        <f>IF(AND('CONTROLE EJ'!T146="",'CONTROLE CMM'!#REF!=""),"",N('CONTROLE EJ'!T146)+N('CONTROLE CMM'!#REF!))</f>
        <v/>
      </c>
      <c r="BT144" s="223">
        <f>IF('CONTROLE GLOBO AÇOS'!X146="","",'CONTROLE GLOBO AÇOS'!X146)</f>
        <v/>
      </c>
      <c r="BU144" s="223">
        <f>IF('CONTROLE GLOBO AÇOS'!Y146="","",'CONTROLE GLOBO AÇOS'!Y146)</f>
        <v/>
      </c>
      <c r="BV144" s="223">
        <f>IF(AND('CONTROLE EJ'!U146="",'CONTROLE CMM'!#REF!=""),"",N('CONTROLE EJ'!U146)+N('CONTROLE CMM'!#REF!))</f>
        <v/>
      </c>
      <c r="BW144" s="223">
        <f>IF(#REF!="","",#REF!)</f>
        <v/>
      </c>
    </row>
    <row r="145">
      <c r="A145" s="282" t="n">
        <v>46362</v>
      </c>
      <c r="B145" s="18">
        <f>IF('CONTROLE EJ'!B147="","",'CONTROLE EJ'!B147)</f>
        <v/>
      </c>
      <c r="C145" s="18">
        <f>IF('CONTROLE EJ'!C147="","",'CONTROLE EJ'!C147)</f>
        <v/>
      </c>
      <c r="D145" s="42">
        <f>IF('CONTROLE EJ'!D147="","",'CONTROLE EJ'!D147)</f>
        <v/>
      </c>
      <c r="E145" s="43">
        <f>IF('CONTROLE CMM'!B147="","",'CONTROLE CMM'!B147)</f>
        <v/>
      </c>
      <c r="F145" s="18">
        <f>IF('CONTROLE CMM'!C147="","",'CONTROLE CMM'!C147)</f>
        <v/>
      </c>
      <c r="G145" s="26">
        <f>IF('CONTROLE CMM'!D147="","",'CONTROLE CMM'!D147)</f>
        <v/>
      </c>
      <c r="H145" s="43">
        <f>IF('CONTROLE GLOBO AÇOS'!B147="","",'CONTROLE GLOBO AÇOS'!B147)</f>
        <v/>
      </c>
      <c r="I145" s="18">
        <f>IF('CONTROLE GLOBO AÇOS'!C147="","",'CONTROLE GLOBO AÇOS'!C147)</f>
        <v/>
      </c>
      <c r="J145" s="18">
        <f>IF('CONTROLE GLOBO AÇOS'!D147="","",'CONTROLE GLOBO AÇOS'!D147)</f>
        <v/>
      </c>
      <c r="AD145" s="39">
        <f>IF($A145="",0,IF(AND(WEEKDAY($A145,2)&lt;=5,OR($B145&lt;&gt;"",$C145&lt;&gt;"",$D145&lt;&gt;"")),1,0))</f>
        <v/>
      </c>
      <c r="AE145" s="39">
        <f>IF($A145="",0,IF(AND(WEEKDAY($A145,2)&lt;=5,OR($E145&lt;&gt;"",$F145&lt;&gt;"",$G145&lt;&gt;"")),1,0))</f>
        <v/>
      </c>
      <c r="AF145" s="39">
        <f>MAX(AD145,AE145)</f>
        <v/>
      </c>
      <c r="AH145" s="223">
        <f>IF('CONTROLE GLOBO AÇOS'!E147="","",'CONTROLE GLOBO AÇOS'!E147)</f>
        <v/>
      </c>
      <c r="AI145" s="223">
        <f>IF('CONTROLE GLOBO AÇOS'!F147="","",'CONTROLE GLOBO AÇOS'!F147)</f>
        <v/>
      </c>
      <c r="AJ145" s="223">
        <f>IF(AND('CONTROLE EJ'!E147="",'CONTROLE CMM'!E147=""),"",N('CONTROLE EJ'!E147)+N('CONTROLE CMM'!E147))</f>
        <v/>
      </c>
      <c r="AK145" s="223">
        <f>IF(AND('CONTROLE EJ'!F147="",'CONTROLE CMM'!F147=""),"",N('CONTROLE EJ'!F147)+N('CONTROLE CMM'!F147))</f>
        <v/>
      </c>
      <c r="AL145" s="223">
        <f>IF(AND('CONTROLE EJ'!G147="",'CONTROLE CMM'!G147=""),"",N('CONTROLE EJ'!G147)+N('CONTROLE CMM'!G147))</f>
        <v/>
      </c>
      <c r="AM145" s="223">
        <f>IF(AND('CONTROLE EJ'!H147="",'CONTROLE CMM'!H147=""),"",N('CONTROLE EJ'!H147)+N('CONTROLE CMM'!H147))</f>
        <v/>
      </c>
      <c r="AN145" s="223">
        <f>IF('CONTROLE GLOBO AÇOS'!G147="","",'CONTROLE GLOBO AÇOS'!G147)</f>
        <v/>
      </c>
      <c r="AO145" s="223">
        <f>IF('CONTROLE GLOBO AÇOS'!H147="","",'CONTROLE GLOBO AÇOS'!H147)</f>
        <v/>
      </c>
      <c r="AP145" s="223">
        <f>IF(AND('CONTROLE EJ'!I147="",'CONTROLE CMM'!I147=""),"",N('CONTROLE EJ'!I147)+N('CONTROLE CMM'!I147))</f>
        <v/>
      </c>
      <c r="AQ145" s="223">
        <f>IF(AND('CONTROLE EJ'!J147="",'CONTROLE CMM'!#REF!=""),"",N('CONTROLE EJ'!J147)+N('CONTROLE CMM'!#REF!))</f>
        <v/>
      </c>
      <c r="AR145" s="223">
        <f>IF('CONTROLE GLOBO AÇOS'!I147="","",'CONTROLE GLOBO AÇOS'!I147)</f>
        <v/>
      </c>
      <c r="AS145" s="223">
        <f>IF('CONTROLE GLOBO AÇOS'!J147="","",'CONTROLE GLOBO AÇOS'!J147)</f>
        <v/>
      </c>
      <c r="AT145" s="223">
        <f>IF(#REF!="","",#REF!)</f>
        <v/>
      </c>
      <c r="AU145" s="223">
        <f>IF('CONTROLE GLOBO AÇOS'!K147="","",'CONTROLE GLOBO AÇOS'!K147)</f>
        <v/>
      </c>
      <c r="AV145" s="223">
        <f>IF(AND('CONTROLE EJ'!K147="",'CONTROLE CMM'!#REF!=""),"",N('CONTROLE EJ'!K147)+N('CONTROLE CMM'!#REF!))</f>
        <v/>
      </c>
      <c r="AW145" s="223">
        <f>IF('CONTROLE GLOBO AÇOS'!L147="","",'CONTROLE GLOBO AÇOS'!L147)</f>
        <v/>
      </c>
      <c r="AX145" s="223">
        <f>IF(AND('CONTROLE EJ'!L147="",'CONTROLE CMM'!#REF!=""),"",N('CONTROLE EJ'!L147)+N('CONTROLE CMM'!#REF!))</f>
        <v/>
      </c>
      <c r="AY145" s="223">
        <f>IF('CONTROLE GLOBO AÇOS'!M147="","",'CONTROLE GLOBO AÇOS'!M147)</f>
        <v/>
      </c>
      <c r="AZ145" s="223">
        <f>IF('CONTROLE GLOBO AÇOS'!N147="","",'CONTROLE GLOBO AÇOS'!N147)</f>
        <v/>
      </c>
      <c r="BA145" s="223">
        <f>IF(AND('CONTROLE EJ'!M147="",'CONTROLE CMM'!#REF!=""),"",N('CONTROLE EJ'!M147)+N('CONTROLE CMM'!#REF!))</f>
        <v/>
      </c>
      <c r="BB145" s="223">
        <f>IF(#REF!="","",#REF!)</f>
        <v/>
      </c>
      <c r="BC145" s="223">
        <f>IF('CONTROLE GLOBO AÇOS'!O147="","",'CONTROLE GLOBO AÇOS'!O147)</f>
        <v/>
      </c>
      <c r="BD145" s="223">
        <f>IF(AND('CONTROLE EJ'!N147="",'CONTROLE CMM'!#REF!=""),"",N('CONTROLE EJ'!N147)+N('CONTROLE CMM'!#REF!))</f>
        <v/>
      </c>
      <c r="BE145" s="223">
        <f>IF('CONTROLE GLOBO AÇOS'!P147="","",'CONTROLE GLOBO AÇOS'!P147)</f>
        <v/>
      </c>
      <c r="BF145" s="223">
        <f>IF('CONTROLE GLOBO AÇOS'!Q147="","",'CONTROLE GLOBO AÇOS'!Q147)</f>
        <v/>
      </c>
      <c r="BG145" s="223">
        <f>IF('CONTROLE GLOBO AÇOS'!R147="","",'CONTROLE GLOBO AÇOS'!R147)</f>
        <v/>
      </c>
      <c r="BH145" s="223">
        <f>IF(AND('CONTROLE EJ'!O147="",'CONTROLE CMM'!#REF!=""),"",N('CONTROLE EJ'!O147)+N('CONTROLE CMM'!#REF!))</f>
        <v/>
      </c>
      <c r="BI145" s="223">
        <f>IF('CONTROLE GLOBO AÇOS'!S147="","",'CONTROLE GLOBO AÇOS'!S147)</f>
        <v/>
      </c>
      <c r="BJ145" s="223">
        <f>IF('CONTROLE GLOBO AÇOS'!T147="","",'CONTROLE GLOBO AÇOS'!T147)</f>
        <v/>
      </c>
      <c r="BK145" s="223">
        <f>IF('CONTROLE GLOBO AÇOS'!U147="","",'CONTROLE GLOBO AÇOS'!U147)</f>
        <v/>
      </c>
      <c r="BL145" s="223">
        <f>IF(AND('CONTROLE EJ'!P147="",'CONTROLE CMM'!#REF!=""),"",N('CONTROLE EJ'!P147)+N('CONTROLE CMM'!#REF!))</f>
        <v/>
      </c>
      <c r="BM145" s="223">
        <f>IF(AND('CONTROLE EJ'!Q147="",'CONTROLE CMM'!#REF!=""),"",N('CONTROLE EJ'!Q147)+N('CONTROLE CMM'!#REF!))</f>
        <v/>
      </c>
      <c r="BN145" s="223">
        <f>IF('CONTROLE GLOBO AÇOS'!V147="","",'CONTROLE GLOBO AÇOS'!V147)</f>
        <v/>
      </c>
      <c r="BO145" s="223">
        <f>IF('CONTROLE GLOBO AÇOS'!W147="","",'CONTROLE GLOBO AÇOS'!W147)</f>
        <v/>
      </c>
      <c r="BP145" s="223">
        <f>IF(AND('CONTROLE EJ'!R147="",'CONTROLE CMM'!#REF!=""),"",N('CONTROLE EJ'!R147)+N('CONTROLE CMM'!#REF!))</f>
        <v/>
      </c>
      <c r="BQ145" s="223">
        <f>IF(#REF!="","",#REF!)</f>
        <v/>
      </c>
      <c r="BR145" s="223">
        <f>IF(AND('CONTROLE EJ'!S147="",'CONTROLE CMM'!#REF!=""),"",N('CONTROLE EJ'!S147)+N('CONTROLE CMM'!#REF!))</f>
        <v/>
      </c>
      <c r="BS145" s="223">
        <f>IF(AND('CONTROLE EJ'!T147="",'CONTROLE CMM'!#REF!=""),"",N('CONTROLE EJ'!T147)+N('CONTROLE CMM'!#REF!))</f>
        <v/>
      </c>
      <c r="BT145" s="223">
        <f>IF('CONTROLE GLOBO AÇOS'!X147="","",'CONTROLE GLOBO AÇOS'!X147)</f>
        <v/>
      </c>
      <c r="BU145" s="223">
        <f>IF('CONTROLE GLOBO AÇOS'!Y147="","",'CONTROLE GLOBO AÇOS'!Y147)</f>
        <v/>
      </c>
      <c r="BV145" s="223">
        <f>IF(AND('CONTROLE EJ'!U147="",'CONTROLE CMM'!#REF!=""),"",N('CONTROLE EJ'!U147)+N('CONTROLE CMM'!#REF!))</f>
        <v/>
      </c>
      <c r="BW145" s="223">
        <f>IF(#REF!="","",#REF!)</f>
        <v/>
      </c>
    </row>
    <row r="146">
      <c r="A146" s="282" t="n">
        <v>46363</v>
      </c>
      <c r="B146" s="18">
        <f>IF('CONTROLE EJ'!B148="","",'CONTROLE EJ'!B148)</f>
        <v/>
      </c>
      <c r="C146" s="18">
        <f>IF('CONTROLE EJ'!C148="","",'CONTROLE EJ'!C148)</f>
        <v/>
      </c>
      <c r="D146" s="42">
        <f>IF('CONTROLE EJ'!D148="","",'CONTROLE EJ'!D148)</f>
        <v/>
      </c>
      <c r="E146" s="43">
        <f>IF('CONTROLE CMM'!B148="","",'CONTROLE CMM'!B148)</f>
        <v/>
      </c>
      <c r="F146" s="18">
        <f>IF('CONTROLE CMM'!C148="","",'CONTROLE CMM'!C148)</f>
        <v/>
      </c>
      <c r="G146" s="26">
        <f>IF('CONTROLE CMM'!D148="","",'CONTROLE CMM'!D148)</f>
        <v/>
      </c>
      <c r="H146" s="43">
        <f>IF('CONTROLE GLOBO AÇOS'!B148="","",'CONTROLE GLOBO AÇOS'!B148)</f>
        <v/>
      </c>
      <c r="I146" s="18">
        <f>IF('CONTROLE GLOBO AÇOS'!C148="","",'CONTROLE GLOBO AÇOS'!C148)</f>
        <v/>
      </c>
      <c r="J146" s="18">
        <f>IF('CONTROLE GLOBO AÇOS'!D148="","",'CONTROLE GLOBO AÇOS'!D148)</f>
        <v/>
      </c>
      <c r="AD146" s="39">
        <f>IF($A146="",0,IF(AND(WEEKDAY($A146,2)&lt;=5,OR($B146&lt;&gt;"",$C146&lt;&gt;"",$D146&lt;&gt;"")),1,0))</f>
        <v/>
      </c>
      <c r="AE146" s="39">
        <f>IF($A146="",0,IF(AND(WEEKDAY($A146,2)&lt;=5,OR($E146&lt;&gt;"",$F146&lt;&gt;"",$G146&lt;&gt;"")),1,0))</f>
        <v/>
      </c>
      <c r="AF146" s="39">
        <f>MAX(AD146,AE146)</f>
        <v/>
      </c>
      <c r="AH146" s="223">
        <f>IF('CONTROLE GLOBO AÇOS'!E148="","",'CONTROLE GLOBO AÇOS'!E148)</f>
        <v/>
      </c>
      <c r="AI146" s="223">
        <f>IF('CONTROLE GLOBO AÇOS'!F148="","",'CONTROLE GLOBO AÇOS'!F148)</f>
        <v/>
      </c>
      <c r="AJ146" s="223">
        <f>IF(AND('CONTROLE EJ'!E148="",'CONTROLE CMM'!E148=""),"",N('CONTROLE EJ'!E148)+N('CONTROLE CMM'!E148))</f>
        <v/>
      </c>
      <c r="AK146" s="223">
        <f>IF(AND('CONTROLE EJ'!F148="",'CONTROLE CMM'!F148=""),"",N('CONTROLE EJ'!F148)+N('CONTROLE CMM'!F148))</f>
        <v/>
      </c>
      <c r="AL146" s="223">
        <f>IF(AND('CONTROLE EJ'!G148="",'CONTROLE CMM'!G148=""),"",N('CONTROLE EJ'!G148)+N('CONTROLE CMM'!G148))</f>
        <v/>
      </c>
      <c r="AM146" s="223">
        <f>IF(AND('CONTROLE EJ'!H148="",'CONTROLE CMM'!H148=""),"",N('CONTROLE EJ'!H148)+N('CONTROLE CMM'!H148))</f>
        <v/>
      </c>
      <c r="AN146" s="223">
        <f>IF('CONTROLE GLOBO AÇOS'!G148="","",'CONTROLE GLOBO AÇOS'!G148)</f>
        <v/>
      </c>
      <c r="AO146" s="223">
        <f>IF('CONTROLE GLOBO AÇOS'!H148="","",'CONTROLE GLOBO AÇOS'!H148)</f>
        <v/>
      </c>
      <c r="AP146" s="223">
        <f>IF(AND('CONTROLE EJ'!I148="",'CONTROLE CMM'!I148=""),"",N('CONTROLE EJ'!I148)+N('CONTROLE CMM'!I148))</f>
        <v/>
      </c>
      <c r="AQ146" s="223">
        <f>IF(AND('CONTROLE EJ'!J148="",'CONTROLE CMM'!#REF!=""),"",N('CONTROLE EJ'!J148)+N('CONTROLE CMM'!#REF!))</f>
        <v/>
      </c>
      <c r="AR146" s="223">
        <f>IF('CONTROLE GLOBO AÇOS'!I148="","",'CONTROLE GLOBO AÇOS'!I148)</f>
        <v/>
      </c>
      <c r="AS146" s="223">
        <f>IF('CONTROLE GLOBO AÇOS'!J148="","",'CONTROLE GLOBO AÇOS'!J148)</f>
        <v/>
      </c>
      <c r="AT146" s="223">
        <f>IF(#REF!="","",#REF!)</f>
        <v/>
      </c>
      <c r="AU146" s="223">
        <f>IF('CONTROLE GLOBO AÇOS'!K148="","",'CONTROLE GLOBO AÇOS'!K148)</f>
        <v/>
      </c>
      <c r="AV146" s="223">
        <f>IF(AND('CONTROLE EJ'!K148="",'CONTROLE CMM'!#REF!=""),"",N('CONTROLE EJ'!K148)+N('CONTROLE CMM'!#REF!))</f>
        <v/>
      </c>
      <c r="AW146" s="223">
        <f>IF('CONTROLE GLOBO AÇOS'!L148="","",'CONTROLE GLOBO AÇOS'!L148)</f>
        <v/>
      </c>
      <c r="AX146" s="223">
        <f>IF(AND('CONTROLE EJ'!L148="",'CONTROLE CMM'!#REF!=""),"",N('CONTROLE EJ'!L148)+N('CONTROLE CMM'!#REF!))</f>
        <v/>
      </c>
      <c r="AY146" s="223">
        <f>IF('CONTROLE GLOBO AÇOS'!M148="","",'CONTROLE GLOBO AÇOS'!M148)</f>
        <v/>
      </c>
      <c r="AZ146" s="223">
        <f>IF('CONTROLE GLOBO AÇOS'!N148="","",'CONTROLE GLOBO AÇOS'!N148)</f>
        <v/>
      </c>
      <c r="BA146" s="223">
        <f>IF(AND('CONTROLE EJ'!M148="",'CONTROLE CMM'!#REF!=""),"",N('CONTROLE EJ'!M148)+N('CONTROLE CMM'!#REF!))</f>
        <v/>
      </c>
      <c r="BB146" s="223">
        <f>IF(#REF!="","",#REF!)</f>
        <v/>
      </c>
      <c r="BC146" s="223">
        <f>IF('CONTROLE GLOBO AÇOS'!O148="","",'CONTROLE GLOBO AÇOS'!O148)</f>
        <v/>
      </c>
      <c r="BD146" s="223">
        <f>IF(AND('CONTROLE EJ'!N148="",'CONTROLE CMM'!#REF!=""),"",N('CONTROLE EJ'!N148)+N('CONTROLE CMM'!#REF!))</f>
        <v/>
      </c>
      <c r="BE146" s="223">
        <f>IF('CONTROLE GLOBO AÇOS'!P148="","",'CONTROLE GLOBO AÇOS'!P148)</f>
        <v/>
      </c>
      <c r="BF146" s="223">
        <f>IF('CONTROLE GLOBO AÇOS'!Q148="","",'CONTROLE GLOBO AÇOS'!Q148)</f>
        <v/>
      </c>
      <c r="BG146" s="223">
        <f>IF('CONTROLE GLOBO AÇOS'!R148="","",'CONTROLE GLOBO AÇOS'!R148)</f>
        <v/>
      </c>
      <c r="BH146" s="223">
        <f>IF(AND('CONTROLE EJ'!O148="",'CONTROLE CMM'!#REF!=""),"",N('CONTROLE EJ'!O148)+N('CONTROLE CMM'!#REF!))</f>
        <v/>
      </c>
      <c r="BI146" s="223">
        <f>IF('CONTROLE GLOBO AÇOS'!S148="","",'CONTROLE GLOBO AÇOS'!S148)</f>
        <v/>
      </c>
      <c r="BJ146" s="223">
        <f>IF('CONTROLE GLOBO AÇOS'!T148="","",'CONTROLE GLOBO AÇOS'!T148)</f>
        <v/>
      </c>
      <c r="BK146" s="223">
        <f>IF('CONTROLE GLOBO AÇOS'!U148="","",'CONTROLE GLOBO AÇOS'!U148)</f>
        <v/>
      </c>
      <c r="BL146" s="223">
        <f>IF(AND('CONTROLE EJ'!P148="",'CONTROLE CMM'!#REF!=""),"",N('CONTROLE EJ'!P148)+N('CONTROLE CMM'!#REF!))</f>
        <v/>
      </c>
      <c r="BM146" s="223">
        <f>IF(AND('CONTROLE EJ'!Q148="",'CONTROLE CMM'!#REF!=""),"",N('CONTROLE EJ'!Q148)+N('CONTROLE CMM'!#REF!))</f>
        <v/>
      </c>
      <c r="BN146" s="223">
        <f>IF('CONTROLE GLOBO AÇOS'!V148="","",'CONTROLE GLOBO AÇOS'!V148)</f>
        <v/>
      </c>
      <c r="BO146" s="223">
        <f>IF('CONTROLE GLOBO AÇOS'!W148="","",'CONTROLE GLOBO AÇOS'!W148)</f>
        <v/>
      </c>
      <c r="BP146" s="223">
        <f>IF(AND('CONTROLE EJ'!R148="",'CONTROLE CMM'!#REF!=""),"",N('CONTROLE EJ'!R148)+N('CONTROLE CMM'!#REF!))</f>
        <v/>
      </c>
      <c r="BQ146" s="223">
        <f>IF(#REF!="","",#REF!)</f>
        <v/>
      </c>
      <c r="BR146" s="223">
        <f>IF(AND('CONTROLE EJ'!S148="",'CONTROLE CMM'!#REF!=""),"",N('CONTROLE EJ'!S148)+N('CONTROLE CMM'!#REF!))</f>
        <v/>
      </c>
      <c r="BS146" s="223">
        <f>IF(AND('CONTROLE EJ'!T148="",'CONTROLE CMM'!#REF!=""),"",N('CONTROLE EJ'!T148)+N('CONTROLE CMM'!#REF!))</f>
        <v/>
      </c>
      <c r="BT146" s="223">
        <f>IF('CONTROLE GLOBO AÇOS'!X148="","",'CONTROLE GLOBO AÇOS'!X148)</f>
        <v/>
      </c>
      <c r="BU146" s="223">
        <f>IF('CONTROLE GLOBO AÇOS'!Y148="","",'CONTROLE GLOBO AÇOS'!Y148)</f>
        <v/>
      </c>
      <c r="BV146" s="223">
        <f>IF(AND('CONTROLE EJ'!U148="",'CONTROLE CMM'!#REF!=""),"",N('CONTROLE EJ'!U148)+N('CONTROLE CMM'!#REF!))</f>
        <v/>
      </c>
      <c r="BW146" s="223">
        <f>IF(#REF!="","",#REF!)</f>
        <v/>
      </c>
    </row>
    <row r="147">
      <c r="A147" s="282" t="n">
        <v>46364</v>
      </c>
      <c r="B147" s="18">
        <f>IF('CONTROLE EJ'!B149="","",'CONTROLE EJ'!B149)</f>
        <v/>
      </c>
      <c r="C147" s="18">
        <f>IF('CONTROLE EJ'!C149="","",'CONTROLE EJ'!C149)</f>
        <v/>
      </c>
      <c r="D147" s="42">
        <f>IF('CONTROLE EJ'!D149="","",'CONTROLE EJ'!D149)</f>
        <v/>
      </c>
      <c r="E147" s="43">
        <f>IF('CONTROLE CMM'!B149="","",'CONTROLE CMM'!B149)</f>
        <v/>
      </c>
      <c r="F147" s="18">
        <f>IF('CONTROLE CMM'!C149="","",'CONTROLE CMM'!C149)</f>
        <v/>
      </c>
      <c r="G147" s="26">
        <f>IF('CONTROLE CMM'!D149="","",'CONTROLE CMM'!D149)</f>
        <v/>
      </c>
      <c r="H147" s="43">
        <f>IF('CONTROLE GLOBO AÇOS'!B149="","",'CONTROLE GLOBO AÇOS'!B149)</f>
        <v/>
      </c>
      <c r="I147" s="18">
        <f>IF('CONTROLE GLOBO AÇOS'!C149="","",'CONTROLE GLOBO AÇOS'!C149)</f>
        <v/>
      </c>
      <c r="J147" s="18">
        <f>IF('CONTROLE GLOBO AÇOS'!D149="","",'CONTROLE GLOBO AÇOS'!D149)</f>
        <v/>
      </c>
      <c r="AD147" s="39">
        <f>IF($A147="",0,IF(AND(WEEKDAY($A147,2)&lt;=5,OR($B147&lt;&gt;"",$C147&lt;&gt;"",$D147&lt;&gt;"")),1,0))</f>
        <v/>
      </c>
      <c r="AE147" s="39">
        <f>IF($A147="",0,IF(AND(WEEKDAY($A147,2)&lt;=5,OR($E147&lt;&gt;"",$F147&lt;&gt;"",$G147&lt;&gt;"")),1,0))</f>
        <v/>
      </c>
      <c r="AF147" s="39">
        <f>MAX(AD147,AE147)</f>
        <v/>
      </c>
      <c r="AH147" s="223">
        <f>IF('CONTROLE GLOBO AÇOS'!E149="","",'CONTROLE GLOBO AÇOS'!E149)</f>
        <v/>
      </c>
      <c r="AI147" s="223">
        <f>IF('CONTROLE GLOBO AÇOS'!F149="","",'CONTROLE GLOBO AÇOS'!F149)</f>
        <v/>
      </c>
      <c r="AJ147" s="223">
        <f>IF(AND('CONTROLE EJ'!E149="",'CONTROLE CMM'!E149=""),"",N('CONTROLE EJ'!E149)+N('CONTROLE CMM'!E149))</f>
        <v/>
      </c>
      <c r="AK147" s="223">
        <f>IF(AND('CONTROLE EJ'!F149="",'CONTROLE CMM'!F149=""),"",N('CONTROLE EJ'!F149)+N('CONTROLE CMM'!F149))</f>
        <v/>
      </c>
      <c r="AL147" s="223">
        <f>IF(AND('CONTROLE EJ'!G149="",'CONTROLE CMM'!G149=""),"",N('CONTROLE EJ'!G149)+N('CONTROLE CMM'!G149))</f>
        <v/>
      </c>
      <c r="AM147" s="223">
        <f>IF(AND('CONTROLE EJ'!H149="",'CONTROLE CMM'!H149=""),"",N('CONTROLE EJ'!H149)+N('CONTROLE CMM'!H149))</f>
        <v/>
      </c>
      <c r="AN147" s="223">
        <f>IF('CONTROLE GLOBO AÇOS'!G149="","",'CONTROLE GLOBO AÇOS'!G149)</f>
        <v/>
      </c>
      <c r="AO147" s="223">
        <f>IF('CONTROLE GLOBO AÇOS'!H149="","",'CONTROLE GLOBO AÇOS'!H149)</f>
        <v/>
      </c>
      <c r="AP147" s="223">
        <f>IF(AND('CONTROLE EJ'!I149="",'CONTROLE CMM'!I149=""),"",N('CONTROLE EJ'!I149)+N('CONTROLE CMM'!I149))</f>
        <v/>
      </c>
      <c r="AQ147" s="223">
        <f>IF(AND('CONTROLE EJ'!J149="",'CONTROLE CMM'!#REF!=""),"",N('CONTROLE EJ'!J149)+N('CONTROLE CMM'!#REF!))</f>
        <v/>
      </c>
      <c r="AR147" s="223">
        <f>IF('CONTROLE GLOBO AÇOS'!I149="","",'CONTROLE GLOBO AÇOS'!I149)</f>
        <v/>
      </c>
      <c r="AS147" s="223">
        <f>IF('CONTROLE GLOBO AÇOS'!J149="","",'CONTROLE GLOBO AÇOS'!J149)</f>
        <v/>
      </c>
      <c r="AT147" s="223">
        <f>IF(#REF!="","",#REF!)</f>
        <v/>
      </c>
      <c r="AU147" s="223">
        <f>IF('CONTROLE GLOBO AÇOS'!K149="","",'CONTROLE GLOBO AÇOS'!K149)</f>
        <v/>
      </c>
      <c r="AV147" s="223">
        <f>IF(AND('CONTROLE EJ'!K149="",'CONTROLE CMM'!#REF!=""),"",N('CONTROLE EJ'!K149)+N('CONTROLE CMM'!#REF!))</f>
        <v/>
      </c>
      <c r="AW147" s="223">
        <f>IF('CONTROLE GLOBO AÇOS'!L149="","",'CONTROLE GLOBO AÇOS'!L149)</f>
        <v/>
      </c>
      <c r="AX147" s="223">
        <f>IF(AND('CONTROLE EJ'!L149="",'CONTROLE CMM'!#REF!=""),"",N('CONTROLE EJ'!L149)+N('CONTROLE CMM'!#REF!))</f>
        <v/>
      </c>
      <c r="AY147" s="223">
        <f>IF('CONTROLE GLOBO AÇOS'!M149="","",'CONTROLE GLOBO AÇOS'!M149)</f>
        <v/>
      </c>
      <c r="AZ147" s="223">
        <f>IF('CONTROLE GLOBO AÇOS'!N149="","",'CONTROLE GLOBO AÇOS'!N149)</f>
        <v/>
      </c>
      <c r="BA147" s="223">
        <f>IF(AND('CONTROLE EJ'!M149="",'CONTROLE CMM'!#REF!=""),"",N('CONTROLE EJ'!M149)+N('CONTROLE CMM'!#REF!))</f>
        <v/>
      </c>
      <c r="BB147" s="223">
        <f>IF(#REF!="","",#REF!)</f>
        <v/>
      </c>
      <c r="BC147" s="223">
        <f>IF('CONTROLE GLOBO AÇOS'!O149="","",'CONTROLE GLOBO AÇOS'!O149)</f>
        <v/>
      </c>
      <c r="BD147" s="223">
        <f>IF(AND('CONTROLE EJ'!N149="",'CONTROLE CMM'!#REF!=""),"",N('CONTROLE EJ'!N149)+N('CONTROLE CMM'!#REF!))</f>
        <v/>
      </c>
      <c r="BE147" s="223">
        <f>IF('CONTROLE GLOBO AÇOS'!P149="","",'CONTROLE GLOBO AÇOS'!P149)</f>
        <v/>
      </c>
      <c r="BF147" s="223">
        <f>IF('CONTROLE GLOBO AÇOS'!Q149="","",'CONTROLE GLOBO AÇOS'!Q149)</f>
        <v/>
      </c>
      <c r="BG147" s="223">
        <f>IF('CONTROLE GLOBO AÇOS'!R149="","",'CONTROLE GLOBO AÇOS'!R149)</f>
        <v/>
      </c>
      <c r="BH147" s="223">
        <f>IF(AND('CONTROLE EJ'!O149="",'CONTROLE CMM'!#REF!=""),"",N('CONTROLE EJ'!O149)+N('CONTROLE CMM'!#REF!))</f>
        <v/>
      </c>
      <c r="BI147" s="223">
        <f>IF('CONTROLE GLOBO AÇOS'!S149="","",'CONTROLE GLOBO AÇOS'!S149)</f>
        <v/>
      </c>
      <c r="BJ147" s="223">
        <f>IF('CONTROLE GLOBO AÇOS'!T149="","",'CONTROLE GLOBO AÇOS'!T149)</f>
        <v/>
      </c>
      <c r="BK147" s="223">
        <f>IF('CONTROLE GLOBO AÇOS'!U149="","",'CONTROLE GLOBO AÇOS'!U149)</f>
        <v/>
      </c>
      <c r="BL147" s="223">
        <f>IF(AND('CONTROLE EJ'!P149="",'CONTROLE CMM'!#REF!=""),"",N('CONTROLE EJ'!P149)+N('CONTROLE CMM'!#REF!))</f>
        <v/>
      </c>
      <c r="BM147" s="223">
        <f>IF(AND('CONTROLE EJ'!Q149="",'CONTROLE CMM'!#REF!=""),"",N('CONTROLE EJ'!Q149)+N('CONTROLE CMM'!#REF!))</f>
        <v/>
      </c>
      <c r="BN147" s="223">
        <f>IF('CONTROLE GLOBO AÇOS'!V149="","",'CONTROLE GLOBO AÇOS'!V149)</f>
        <v/>
      </c>
      <c r="BO147" s="223">
        <f>IF('CONTROLE GLOBO AÇOS'!W149="","",'CONTROLE GLOBO AÇOS'!W149)</f>
        <v/>
      </c>
      <c r="BP147" s="223">
        <f>IF(AND('CONTROLE EJ'!R149="",'CONTROLE CMM'!#REF!=""),"",N('CONTROLE EJ'!R149)+N('CONTROLE CMM'!#REF!))</f>
        <v/>
      </c>
      <c r="BQ147" s="223">
        <f>IF(#REF!="","",#REF!)</f>
        <v/>
      </c>
      <c r="BR147" s="223">
        <f>IF(AND('CONTROLE EJ'!S149="",'CONTROLE CMM'!#REF!=""),"",N('CONTROLE EJ'!S149)+N('CONTROLE CMM'!#REF!))</f>
        <v/>
      </c>
      <c r="BS147" s="223">
        <f>IF(AND('CONTROLE EJ'!T149="",'CONTROLE CMM'!#REF!=""),"",N('CONTROLE EJ'!T149)+N('CONTROLE CMM'!#REF!))</f>
        <v/>
      </c>
      <c r="BT147" s="223">
        <f>IF('CONTROLE GLOBO AÇOS'!X149="","",'CONTROLE GLOBO AÇOS'!X149)</f>
        <v/>
      </c>
      <c r="BU147" s="223">
        <f>IF('CONTROLE GLOBO AÇOS'!Y149="","",'CONTROLE GLOBO AÇOS'!Y149)</f>
        <v/>
      </c>
      <c r="BV147" s="223">
        <f>IF(AND('CONTROLE EJ'!U149="",'CONTROLE CMM'!#REF!=""),"",N('CONTROLE EJ'!U149)+N('CONTROLE CMM'!#REF!))</f>
        <v/>
      </c>
      <c r="BW147" s="223">
        <f>IF(#REF!="","",#REF!)</f>
        <v/>
      </c>
    </row>
    <row r="148">
      <c r="A148" s="282" t="n">
        <v>46365</v>
      </c>
      <c r="B148" s="18">
        <f>IF('CONTROLE EJ'!B150="","",'CONTROLE EJ'!B150)</f>
        <v/>
      </c>
      <c r="C148" s="18">
        <f>IF('CONTROLE EJ'!C150="","",'CONTROLE EJ'!C150)</f>
        <v/>
      </c>
      <c r="D148" s="42">
        <f>IF('CONTROLE EJ'!D150="","",'CONTROLE EJ'!D150)</f>
        <v/>
      </c>
      <c r="E148" s="43">
        <f>IF('CONTROLE CMM'!B150="","",'CONTROLE CMM'!B150)</f>
        <v/>
      </c>
      <c r="F148" s="18">
        <f>IF('CONTROLE CMM'!C150="","",'CONTROLE CMM'!C150)</f>
        <v/>
      </c>
      <c r="G148" s="26">
        <f>IF('CONTROLE CMM'!D150="","",'CONTROLE CMM'!D150)</f>
        <v/>
      </c>
      <c r="H148" s="43">
        <f>IF('CONTROLE GLOBO AÇOS'!B150="","",'CONTROLE GLOBO AÇOS'!B150)</f>
        <v/>
      </c>
      <c r="I148" s="18">
        <f>IF('CONTROLE GLOBO AÇOS'!C150="","",'CONTROLE GLOBO AÇOS'!C150)</f>
        <v/>
      </c>
      <c r="J148" s="18">
        <f>IF('CONTROLE GLOBO AÇOS'!D150="","",'CONTROLE GLOBO AÇOS'!D150)</f>
        <v/>
      </c>
      <c r="AD148" s="39">
        <f>IF($A148="",0,IF(AND(WEEKDAY($A148,2)&lt;=5,OR($B148&lt;&gt;"",$C148&lt;&gt;"",$D148&lt;&gt;"")),1,0))</f>
        <v/>
      </c>
      <c r="AE148" s="39">
        <f>IF($A148="",0,IF(AND(WEEKDAY($A148,2)&lt;=5,OR($E148&lt;&gt;"",$F148&lt;&gt;"",$G148&lt;&gt;"")),1,0))</f>
        <v/>
      </c>
      <c r="AF148" s="39">
        <f>MAX(AD148,AE148)</f>
        <v/>
      </c>
      <c r="AH148" s="223">
        <f>IF('CONTROLE GLOBO AÇOS'!E150="","",'CONTROLE GLOBO AÇOS'!E150)</f>
        <v/>
      </c>
      <c r="AI148" s="223">
        <f>IF('CONTROLE GLOBO AÇOS'!F150="","",'CONTROLE GLOBO AÇOS'!F150)</f>
        <v/>
      </c>
      <c r="AJ148" s="223">
        <f>IF(AND('CONTROLE EJ'!E150="",'CONTROLE CMM'!E150=""),"",N('CONTROLE EJ'!E150)+N('CONTROLE CMM'!E150))</f>
        <v/>
      </c>
      <c r="AK148" s="223">
        <f>IF(AND('CONTROLE EJ'!F150="",'CONTROLE CMM'!F150=""),"",N('CONTROLE EJ'!F150)+N('CONTROLE CMM'!F150))</f>
        <v/>
      </c>
      <c r="AL148" s="223">
        <f>IF(AND('CONTROLE EJ'!G150="",'CONTROLE CMM'!G150=""),"",N('CONTROLE EJ'!G150)+N('CONTROLE CMM'!G150))</f>
        <v/>
      </c>
      <c r="AM148" s="223">
        <f>IF(AND('CONTROLE EJ'!H150="",'CONTROLE CMM'!H150=""),"",N('CONTROLE EJ'!H150)+N('CONTROLE CMM'!H150))</f>
        <v/>
      </c>
      <c r="AN148" s="223">
        <f>IF('CONTROLE GLOBO AÇOS'!G150="","",'CONTROLE GLOBO AÇOS'!G150)</f>
        <v/>
      </c>
      <c r="AO148" s="223">
        <f>IF('CONTROLE GLOBO AÇOS'!H150="","",'CONTROLE GLOBO AÇOS'!H150)</f>
        <v/>
      </c>
      <c r="AP148" s="223">
        <f>IF(AND('CONTROLE EJ'!I150="",'CONTROLE CMM'!I150=""),"",N('CONTROLE EJ'!I150)+N('CONTROLE CMM'!I150))</f>
        <v/>
      </c>
      <c r="AQ148" s="223">
        <f>IF(AND('CONTROLE EJ'!J150="",'CONTROLE CMM'!#REF!=""),"",N('CONTROLE EJ'!J150)+N('CONTROLE CMM'!#REF!))</f>
        <v/>
      </c>
      <c r="AR148" s="223">
        <f>IF('CONTROLE GLOBO AÇOS'!I150="","",'CONTROLE GLOBO AÇOS'!I150)</f>
        <v/>
      </c>
      <c r="AS148" s="223">
        <f>IF('CONTROLE GLOBO AÇOS'!J150="","",'CONTROLE GLOBO AÇOS'!J150)</f>
        <v/>
      </c>
      <c r="AT148" s="223">
        <f>IF(#REF!="","",#REF!)</f>
        <v/>
      </c>
      <c r="AU148" s="223">
        <f>IF('CONTROLE GLOBO AÇOS'!K150="","",'CONTROLE GLOBO AÇOS'!K150)</f>
        <v/>
      </c>
      <c r="AV148" s="223">
        <f>IF(AND('CONTROLE EJ'!K150="",'CONTROLE CMM'!#REF!=""),"",N('CONTROLE EJ'!K150)+N('CONTROLE CMM'!#REF!))</f>
        <v/>
      </c>
      <c r="AW148" s="223">
        <f>IF('CONTROLE GLOBO AÇOS'!L150="","",'CONTROLE GLOBO AÇOS'!L150)</f>
        <v/>
      </c>
      <c r="AX148" s="223">
        <f>IF(AND('CONTROLE EJ'!L150="",'CONTROLE CMM'!#REF!=""),"",N('CONTROLE EJ'!L150)+N('CONTROLE CMM'!#REF!))</f>
        <v/>
      </c>
      <c r="AY148" s="223">
        <f>IF('CONTROLE GLOBO AÇOS'!M150="","",'CONTROLE GLOBO AÇOS'!M150)</f>
        <v/>
      </c>
      <c r="AZ148" s="223">
        <f>IF('CONTROLE GLOBO AÇOS'!N150="","",'CONTROLE GLOBO AÇOS'!N150)</f>
        <v/>
      </c>
      <c r="BA148" s="223">
        <f>IF(AND('CONTROLE EJ'!M150="",'CONTROLE CMM'!#REF!=""),"",N('CONTROLE EJ'!M150)+N('CONTROLE CMM'!#REF!))</f>
        <v/>
      </c>
      <c r="BB148" s="223">
        <f>IF(#REF!="","",#REF!)</f>
        <v/>
      </c>
      <c r="BC148" s="223">
        <f>IF('CONTROLE GLOBO AÇOS'!O150="","",'CONTROLE GLOBO AÇOS'!O150)</f>
        <v/>
      </c>
      <c r="BD148" s="223">
        <f>IF(AND('CONTROLE EJ'!N150="",'CONTROLE CMM'!#REF!=""),"",N('CONTROLE EJ'!N150)+N('CONTROLE CMM'!#REF!))</f>
        <v/>
      </c>
      <c r="BE148" s="223">
        <f>IF('CONTROLE GLOBO AÇOS'!P150="","",'CONTROLE GLOBO AÇOS'!P150)</f>
        <v/>
      </c>
      <c r="BF148" s="223">
        <f>IF('CONTROLE GLOBO AÇOS'!Q150="","",'CONTROLE GLOBO AÇOS'!Q150)</f>
        <v/>
      </c>
      <c r="BG148" s="223">
        <f>IF('CONTROLE GLOBO AÇOS'!R150="","",'CONTROLE GLOBO AÇOS'!R150)</f>
        <v/>
      </c>
      <c r="BH148" s="223">
        <f>IF(AND('CONTROLE EJ'!O150="",'CONTROLE CMM'!#REF!=""),"",N('CONTROLE EJ'!O150)+N('CONTROLE CMM'!#REF!))</f>
        <v/>
      </c>
      <c r="BI148" s="223">
        <f>IF('CONTROLE GLOBO AÇOS'!S150="","",'CONTROLE GLOBO AÇOS'!S150)</f>
        <v/>
      </c>
      <c r="BJ148" s="223">
        <f>IF('CONTROLE GLOBO AÇOS'!T150="","",'CONTROLE GLOBO AÇOS'!T150)</f>
        <v/>
      </c>
      <c r="BK148" s="223">
        <f>IF('CONTROLE GLOBO AÇOS'!U150="","",'CONTROLE GLOBO AÇOS'!U150)</f>
        <v/>
      </c>
      <c r="BL148" s="223">
        <f>IF(AND('CONTROLE EJ'!P150="",'CONTROLE CMM'!#REF!=""),"",N('CONTROLE EJ'!P150)+N('CONTROLE CMM'!#REF!))</f>
        <v/>
      </c>
      <c r="BM148" s="223">
        <f>IF(AND('CONTROLE EJ'!Q150="",'CONTROLE CMM'!#REF!=""),"",N('CONTROLE EJ'!Q150)+N('CONTROLE CMM'!#REF!))</f>
        <v/>
      </c>
      <c r="BN148" s="223">
        <f>IF('CONTROLE GLOBO AÇOS'!V150="","",'CONTROLE GLOBO AÇOS'!V150)</f>
        <v/>
      </c>
      <c r="BO148" s="223">
        <f>IF('CONTROLE GLOBO AÇOS'!W150="","",'CONTROLE GLOBO AÇOS'!W150)</f>
        <v/>
      </c>
      <c r="BP148" s="223">
        <f>IF(AND('CONTROLE EJ'!R150="",'CONTROLE CMM'!#REF!=""),"",N('CONTROLE EJ'!R150)+N('CONTROLE CMM'!#REF!))</f>
        <v/>
      </c>
      <c r="BQ148" s="223">
        <f>IF(#REF!="","",#REF!)</f>
        <v/>
      </c>
      <c r="BR148" s="223">
        <f>IF(AND('CONTROLE EJ'!S150="",'CONTROLE CMM'!#REF!=""),"",N('CONTROLE EJ'!S150)+N('CONTROLE CMM'!#REF!))</f>
        <v/>
      </c>
      <c r="BS148" s="223">
        <f>IF(AND('CONTROLE EJ'!T150="",'CONTROLE CMM'!#REF!=""),"",N('CONTROLE EJ'!T150)+N('CONTROLE CMM'!#REF!))</f>
        <v/>
      </c>
      <c r="BT148" s="223">
        <f>IF('CONTROLE GLOBO AÇOS'!X150="","",'CONTROLE GLOBO AÇOS'!X150)</f>
        <v/>
      </c>
      <c r="BU148" s="223">
        <f>IF('CONTROLE GLOBO AÇOS'!Y150="","",'CONTROLE GLOBO AÇOS'!Y150)</f>
        <v/>
      </c>
      <c r="BV148" s="223">
        <f>IF(AND('CONTROLE EJ'!U150="",'CONTROLE CMM'!#REF!=""),"",N('CONTROLE EJ'!U150)+N('CONTROLE CMM'!#REF!))</f>
        <v/>
      </c>
      <c r="BW148" s="223">
        <f>IF(#REF!="","",#REF!)</f>
        <v/>
      </c>
    </row>
    <row r="149">
      <c r="A149" s="282" t="n">
        <v>46366</v>
      </c>
      <c r="B149" s="18">
        <f>IF('CONTROLE EJ'!B151="","",'CONTROLE EJ'!B151)</f>
        <v/>
      </c>
      <c r="C149" s="18">
        <f>IF('CONTROLE EJ'!C151="","",'CONTROLE EJ'!C151)</f>
        <v/>
      </c>
      <c r="D149" s="42">
        <f>IF('CONTROLE EJ'!D151="","",'CONTROLE EJ'!D151)</f>
        <v/>
      </c>
      <c r="E149" s="43">
        <f>IF('CONTROLE CMM'!B151="","",'CONTROLE CMM'!B151)</f>
        <v/>
      </c>
      <c r="F149" s="18">
        <f>IF('CONTROLE CMM'!C151="","",'CONTROLE CMM'!C151)</f>
        <v/>
      </c>
      <c r="G149" s="26">
        <f>IF('CONTROLE CMM'!D151="","",'CONTROLE CMM'!D151)</f>
        <v/>
      </c>
      <c r="H149" s="43">
        <f>IF('CONTROLE GLOBO AÇOS'!B151="","",'CONTROLE GLOBO AÇOS'!B151)</f>
        <v/>
      </c>
      <c r="I149" s="18">
        <f>IF('CONTROLE GLOBO AÇOS'!C151="","",'CONTROLE GLOBO AÇOS'!C151)</f>
        <v/>
      </c>
      <c r="J149" s="18">
        <f>IF('CONTROLE GLOBO AÇOS'!D151="","",'CONTROLE GLOBO AÇOS'!D151)</f>
        <v/>
      </c>
      <c r="AD149" s="39">
        <f>IF($A149="",0,IF(AND(WEEKDAY($A149,2)&lt;=5,OR($B149&lt;&gt;"",$C149&lt;&gt;"",$D149&lt;&gt;"")),1,0))</f>
        <v/>
      </c>
      <c r="AE149" s="39">
        <f>IF($A149="",0,IF(AND(WEEKDAY($A149,2)&lt;=5,OR($E149&lt;&gt;"",$F149&lt;&gt;"",$G149&lt;&gt;"")),1,0))</f>
        <v/>
      </c>
      <c r="AF149" s="39">
        <f>MAX(AD149,AE149)</f>
        <v/>
      </c>
      <c r="AH149" s="223">
        <f>IF('CONTROLE GLOBO AÇOS'!E151="","",'CONTROLE GLOBO AÇOS'!E151)</f>
        <v/>
      </c>
      <c r="AI149" s="223">
        <f>IF('CONTROLE GLOBO AÇOS'!F151="","",'CONTROLE GLOBO AÇOS'!F151)</f>
        <v/>
      </c>
      <c r="AJ149" s="223">
        <f>IF(AND('CONTROLE EJ'!E151="",'CONTROLE CMM'!E151=""),"",N('CONTROLE EJ'!E151)+N('CONTROLE CMM'!E151))</f>
        <v/>
      </c>
      <c r="AK149" s="223">
        <f>IF(AND('CONTROLE EJ'!F151="",'CONTROLE CMM'!F151=""),"",N('CONTROLE EJ'!F151)+N('CONTROLE CMM'!F151))</f>
        <v/>
      </c>
      <c r="AL149" s="223">
        <f>IF(AND('CONTROLE EJ'!G151="",'CONTROLE CMM'!G151=""),"",N('CONTROLE EJ'!G151)+N('CONTROLE CMM'!G151))</f>
        <v/>
      </c>
      <c r="AM149" s="223">
        <f>IF(AND('CONTROLE EJ'!H151="",'CONTROLE CMM'!H151=""),"",N('CONTROLE EJ'!H151)+N('CONTROLE CMM'!H151))</f>
        <v/>
      </c>
      <c r="AN149" s="223">
        <f>IF('CONTROLE GLOBO AÇOS'!G151="","",'CONTROLE GLOBO AÇOS'!G151)</f>
        <v/>
      </c>
      <c r="AO149" s="223">
        <f>IF('CONTROLE GLOBO AÇOS'!H151="","",'CONTROLE GLOBO AÇOS'!H151)</f>
        <v/>
      </c>
      <c r="AP149" s="223">
        <f>IF(AND('CONTROLE EJ'!I151="",'CONTROLE CMM'!I151=""),"",N('CONTROLE EJ'!I151)+N('CONTROLE CMM'!I151))</f>
        <v/>
      </c>
      <c r="AQ149" s="223">
        <f>IF(AND('CONTROLE EJ'!J151="",'CONTROLE CMM'!#REF!=""),"",N('CONTROLE EJ'!J151)+N('CONTROLE CMM'!#REF!))</f>
        <v/>
      </c>
      <c r="AR149" s="223">
        <f>IF('CONTROLE GLOBO AÇOS'!I151="","",'CONTROLE GLOBO AÇOS'!I151)</f>
        <v/>
      </c>
      <c r="AS149" s="223">
        <f>IF('CONTROLE GLOBO AÇOS'!J151="","",'CONTROLE GLOBO AÇOS'!J151)</f>
        <v/>
      </c>
      <c r="AT149" s="223">
        <f>IF(#REF!="","",#REF!)</f>
        <v/>
      </c>
      <c r="AU149" s="223">
        <f>IF('CONTROLE GLOBO AÇOS'!K151="","",'CONTROLE GLOBO AÇOS'!K151)</f>
        <v/>
      </c>
      <c r="AV149" s="223">
        <f>IF(AND('CONTROLE EJ'!K151="",'CONTROLE CMM'!#REF!=""),"",N('CONTROLE EJ'!K151)+N('CONTROLE CMM'!#REF!))</f>
        <v/>
      </c>
      <c r="AW149" s="223">
        <f>IF('CONTROLE GLOBO AÇOS'!L151="","",'CONTROLE GLOBO AÇOS'!L151)</f>
        <v/>
      </c>
      <c r="AX149" s="223">
        <f>IF(AND('CONTROLE EJ'!L151="",'CONTROLE CMM'!#REF!=""),"",N('CONTROLE EJ'!L151)+N('CONTROLE CMM'!#REF!))</f>
        <v/>
      </c>
      <c r="AY149" s="223">
        <f>IF('CONTROLE GLOBO AÇOS'!M151="","",'CONTROLE GLOBO AÇOS'!M151)</f>
        <v/>
      </c>
      <c r="AZ149" s="223">
        <f>IF('CONTROLE GLOBO AÇOS'!N151="","",'CONTROLE GLOBO AÇOS'!N151)</f>
        <v/>
      </c>
      <c r="BA149" s="223">
        <f>IF(AND('CONTROLE EJ'!M151="",'CONTROLE CMM'!#REF!=""),"",N('CONTROLE EJ'!M151)+N('CONTROLE CMM'!#REF!))</f>
        <v/>
      </c>
      <c r="BB149" s="223">
        <f>IF(#REF!="","",#REF!)</f>
        <v/>
      </c>
      <c r="BC149" s="223">
        <f>IF('CONTROLE GLOBO AÇOS'!O151="","",'CONTROLE GLOBO AÇOS'!O151)</f>
        <v/>
      </c>
      <c r="BD149" s="223">
        <f>IF(AND('CONTROLE EJ'!N151="",'CONTROLE CMM'!#REF!=""),"",N('CONTROLE EJ'!N151)+N('CONTROLE CMM'!#REF!))</f>
        <v/>
      </c>
      <c r="BE149" s="223">
        <f>IF('CONTROLE GLOBO AÇOS'!P151="","",'CONTROLE GLOBO AÇOS'!P151)</f>
        <v/>
      </c>
      <c r="BF149" s="223">
        <f>IF('CONTROLE GLOBO AÇOS'!Q151="","",'CONTROLE GLOBO AÇOS'!Q151)</f>
        <v/>
      </c>
      <c r="BG149" s="223">
        <f>IF('CONTROLE GLOBO AÇOS'!R151="","",'CONTROLE GLOBO AÇOS'!R151)</f>
        <v/>
      </c>
      <c r="BH149" s="223">
        <f>IF(AND('CONTROLE EJ'!O151="",'CONTROLE CMM'!#REF!=""),"",N('CONTROLE EJ'!O151)+N('CONTROLE CMM'!#REF!))</f>
        <v/>
      </c>
      <c r="BI149" s="223">
        <f>IF('CONTROLE GLOBO AÇOS'!S151="","",'CONTROLE GLOBO AÇOS'!S151)</f>
        <v/>
      </c>
      <c r="BJ149" s="223">
        <f>IF('CONTROLE GLOBO AÇOS'!T151="","",'CONTROLE GLOBO AÇOS'!T151)</f>
        <v/>
      </c>
      <c r="BK149" s="223">
        <f>IF('CONTROLE GLOBO AÇOS'!U151="","",'CONTROLE GLOBO AÇOS'!U151)</f>
        <v/>
      </c>
      <c r="BL149" s="223">
        <f>IF(AND('CONTROLE EJ'!P151="",'CONTROLE CMM'!#REF!=""),"",N('CONTROLE EJ'!P151)+N('CONTROLE CMM'!#REF!))</f>
        <v/>
      </c>
      <c r="BM149" s="223">
        <f>IF(AND('CONTROLE EJ'!Q151="",'CONTROLE CMM'!#REF!=""),"",N('CONTROLE EJ'!Q151)+N('CONTROLE CMM'!#REF!))</f>
        <v/>
      </c>
      <c r="BN149" s="223">
        <f>IF('CONTROLE GLOBO AÇOS'!V151="","",'CONTROLE GLOBO AÇOS'!V151)</f>
        <v/>
      </c>
      <c r="BO149" s="223">
        <f>IF('CONTROLE GLOBO AÇOS'!W151="","",'CONTROLE GLOBO AÇOS'!W151)</f>
        <v/>
      </c>
      <c r="BP149" s="223">
        <f>IF(AND('CONTROLE EJ'!R151="",'CONTROLE CMM'!#REF!=""),"",N('CONTROLE EJ'!R151)+N('CONTROLE CMM'!#REF!))</f>
        <v/>
      </c>
      <c r="BQ149" s="223">
        <f>IF(#REF!="","",#REF!)</f>
        <v/>
      </c>
      <c r="BR149" s="223">
        <f>IF(AND('CONTROLE EJ'!S151="",'CONTROLE CMM'!#REF!=""),"",N('CONTROLE EJ'!S151)+N('CONTROLE CMM'!#REF!))</f>
        <v/>
      </c>
      <c r="BS149" s="223">
        <f>IF(AND('CONTROLE EJ'!T151="",'CONTROLE CMM'!#REF!=""),"",N('CONTROLE EJ'!T151)+N('CONTROLE CMM'!#REF!))</f>
        <v/>
      </c>
      <c r="BT149" s="223">
        <f>IF('CONTROLE GLOBO AÇOS'!X151="","",'CONTROLE GLOBO AÇOS'!X151)</f>
        <v/>
      </c>
      <c r="BU149" s="223">
        <f>IF('CONTROLE GLOBO AÇOS'!Y151="","",'CONTROLE GLOBO AÇOS'!Y151)</f>
        <v/>
      </c>
      <c r="BV149" s="223">
        <f>IF(AND('CONTROLE EJ'!U151="",'CONTROLE CMM'!#REF!=""),"",N('CONTROLE EJ'!U151)+N('CONTROLE CMM'!#REF!))</f>
        <v/>
      </c>
      <c r="BW149" s="223">
        <f>IF(#REF!="","",#REF!)</f>
        <v/>
      </c>
    </row>
    <row r="150">
      <c r="A150" s="282" t="n">
        <v>46367</v>
      </c>
      <c r="B150" s="18">
        <f>IF('CONTROLE EJ'!B152="","",'CONTROLE EJ'!B152)</f>
        <v/>
      </c>
      <c r="C150" s="18">
        <f>IF('CONTROLE EJ'!C152="","",'CONTROLE EJ'!C152)</f>
        <v/>
      </c>
      <c r="D150" s="42">
        <f>IF('CONTROLE EJ'!D152="","",'CONTROLE EJ'!D152)</f>
        <v/>
      </c>
      <c r="E150" s="43">
        <f>IF('CONTROLE CMM'!B152="","",'CONTROLE CMM'!B152)</f>
        <v/>
      </c>
      <c r="F150" s="18">
        <f>IF('CONTROLE CMM'!C152="","",'CONTROLE CMM'!C152)</f>
        <v/>
      </c>
      <c r="G150" s="26">
        <f>IF('CONTROLE CMM'!D152="","",'CONTROLE CMM'!D152)</f>
        <v/>
      </c>
      <c r="H150" s="43">
        <f>IF('CONTROLE GLOBO AÇOS'!B152="","",'CONTROLE GLOBO AÇOS'!B152)</f>
        <v/>
      </c>
      <c r="I150" s="18">
        <f>IF('CONTROLE GLOBO AÇOS'!C152="","",'CONTROLE GLOBO AÇOS'!C152)</f>
        <v/>
      </c>
      <c r="J150" s="18">
        <f>IF('CONTROLE GLOBO AÇOS'!D152="","",'CONTROLE GLOBO AÇOS'!D152)</f>
        <v/>
      </c>
      <c r="AD150" s="39">
        <f>IF($A150="",0,IF(AND(WEEKDAY($A150,2)&lt;=5,OR($B150&lt;&gt;"",$C150&lt;&gt;"",$D150&lt;&gt;"")),1,0))</f>
        <v/>
      </c>
      <c r="AE150" s="39">
        <f>IF($A150="",0,IF(AND(WEEKDAY($A150,2)&lt;=5,OR($E150&lt;&gt;"",$F150&lt;&gt;"",$G150&lt;&gt;"")),1,0))</f>
        <v/>
      </c>
      <c r="AF150" s="39">
        <f>MAX(AD150,AE150)</f>
        <v/>
      </c>
      <c r="AH150" s="223">
        <f>IF('CONTROLE GLOBO AÇOS'!E152="","",'CONTROLE GLOBO AÇOS'!E152)</f>
        <v/>
      </c>
      <c r="AI150" s="223">
        <f>IF('CONTROLE GLOBO AÇOS'!F152="","",'CONTROLE GLOBO AÇOS'!F152)</f>
        <v/>
      </c>
      <c r="AJ150" s="223">
        <f>IF(AND('CONTROLE EJ'!E152="",'CONTROLE CMM'!E152=""),"",N('CONTROLE EJ'!E152)+N('CONTROLE CMM'!E152))</f>
        <v/>
      </c>
      <c r="AK150" s="223">
        <f>IF(AND('CONTROLE EJ'!F152="",'CONTROLE CMM'!F152=""),"",N('CONTROLE EJ'!F152)+N('CONTROLE CMM'!F152))</f>
        <v/>
      </c>
      <c r="AL150" s="223">
        <f>IF(AND('CONTROLE EJ'!G152="",'CONTROLE CMM'!G152=""),"",N('CONTROLE EJ'!G152)+N('CONTROLE CMM'!G152))</f>
        <v/>
      </c>
      <c r="AM150" s="223">
        <f>IF(AND('CONTROLE EJ'!H152="",'CONTROLE CMM'!H152=""),"",N('CONTROLE EJ'!H152)+N('CONTROLE CMM'!H152))</f>
        <v/>
      </c>
      <c r="AN150" s="223">
        <f>IF('CONTROLE GLOBO AÇOS'!G152="","",'CONTROLE GLOBO AÇOS'!G152)</f>
        <v/>
      </c>
      <c r="AO150" s="223">
        <f>IF('CONTROLE GLOBO AÇOS'!H152="","",'CONTROLE GLOBO AÇOS'!H152)</f>
        <v/>
      </c>
      <c r="AP150" s="223">
        <f>IF(AND('CONTROLE EJ'!I152="",'CONTROLE CMM'!I152=""),"",N('CONTROLE EJ'!I152)+N('CONTROLE CMM'!I152))</f>
        <v/>
      </c>
      <c r="AQ150" s="223">
        <f>IF(AND('CONTROLE EJ'!J152="",'CONTROLE CMM'!#REF!=""),"",N('CONTROLE EJ'!J152)+N('CONTROLE CMM'!#REF!))</f>
        <v/>
      </c>
      <c r="AR150" s="223">
        <f>IF('CONTROLE GLOBO AÇOS'!I152="","",'CONTROLE GLOBO AÇOS'!I152)</f>
        <v/>
      </c>
      <c r="AS150" s="223">
        <f>IF('CONTROLE GLOBO AÇOS'!J152="","",'CONTROLE GLOBO AÇOS'!J152)</f>
        <v/>
      </c>
      <c r="AT150" s="223">
        <f>IF(#REF!="","",#REF!)</f>
        <v/>
      </c>
      <c r="AU150" s="223">
        <f>IF('CONTROLE GLOBO AÇOS'!K152="","",'CONTROLE GLOBO AÇOS'!K152)</f>
        <v/>
      </c>
      <c r="AV150" s="223">
        <f>IF(AND('CONTROLE EJ'!K152="",'CONTROLE CMM'!#REF!=""),"",N('CONTROLE EJ'!K152)+N('CONTROLE CMM'!#REF!))</f>
        <v/>
      </c>
      <c r="AW150" s="223">
        <f>IF('CONTROLE GLOBO AÇOS'!L152="","",'CONTROLE GLOBO AÇOS'!L152)</f>
        <v/>
      </c>
      <c r="AX150" s="223">
        <f>IF(AND('CONTROLE EJ'!L152="",'CONTROLE CMM'!#REF!=""),"",N('CONTROLE EJ'!L152)+N('CONTROLE CMM'!#REF!))</f>
        <v/>
      </c>
      <c r="AY150" s="223">
        <f>IF('CONTROLE GLOBO AÇOS'!M152="","",'CONTROLE GLOBO AÇOS'!M152)</f>
        <v/>
      </c>
      <c r="AZ150" s="223">
        <f>IF('CONTROLE GLOBO AÇOS'!N152="","",'CONTROLE GLOBO AÇOS'!N152)</f>
        <v/>
      </c>
      <c r="BA150" s="223">
        <f>IF(AND('CONTROLE EJ'!M152="",'CONTROLE CMM'!#REF!=""),"",N('CONTROLE EJ'!M152)+N('CONTROLE CMM'!#REF!))</f>
        <v/>
      </c>
      <c r="BB150" s="223">
        <f>IF(#REF!="","",#REF!)</f>
        <v/>
      </c>
      <c r="BC150" s="223">
        <f>IF('CONTROLE GLOBO AÇOS'!O152="","",'CONTROLE GLOBO AÇOS'!O152)</f>
        <v/>
      </c>
      <c r="BD150" s="223">
        <f>IF(AND('CONTROLE EJ'!N152="",'CONTROLE CMM'!#REF!=""),"",N('CONTROLE EJ'!N152)+N('CONTROLE CMM'!#REF!))</f>
        <v/>
      </c>
      <c r="BE150" s="223">
        <f>IF('CONTROLE GLOBO AÇOS'!P152="","",'CONTROLE GLOBO AÇOS'!P152)</f>
        <v/>
      </c>
      <c r="BF150" s="223">
        <f>IF('CONTROLE GLOBO AÇOS'!Q152="","",'CONTROLE GLOBO AÇOS'!Q152)</f>
        <v/>
      </c>
      <c r="BG150" s="223">
        <f>IF('CONTROLE GLOBO AÇOS'!R152="","",'CONTROLE GLOBO AÇOS'!R152)</f>
        <v/>
      </c>
      <c r="BH150" s="223">
        <f>IF(AND('CONTROLE EJ'!O152="",'CONTROLE CMM'!#REF!=""),"",N('CONTROLE EJ'!O152)+N('CONTROLE CMM'!#REF!))</f>
        <v/>
      </c>
      <c r="BI150" s="223">
        <f>IF('CONTROLE GLOBO AÇOS'!S152="","",'CONTROLE GLOBO AÇOS'!S152)</f>
        <v/>
      </c>
      <c r="BJ150" s="223">
        <f>IF('CONTROLE GLOBO AÇOS'!T152="","",'CONTROLE GLOBO AÇOS'!T152)</f>
        <v/>
      </c>
      <c r="BK150" s="223">
        <f>IF('CONTROLE GLOBO AÇOS'!U152="","",'CONTROLE GLOBO AÇOS'!U152)</f>
        <v/>
      </c>
      <c r="BL150" s="223">
        <f>IF(AND('CONTROLE EJ'!P152="",'CONTROLE CMM'!#REF!=""),"",N('CONTROLE EJ'!P152)+N('CONTROLE CMM'!#REF!))</f>
        <v/>
      </c>
      <c r="BM150" s="223">
        <f>IF(AND('CONTROLE EJ'!Q152="",'CONTROLE CMM'!#REF!=""),"",N('CONTROLE EJ'!Q152)+N('CONTROLE CMM'!#REF!))</f>
        <v/>
      </c>
      <c r="BN150" s="223">
        <f>IF('CONTROLE GLOBO AÇOS'!V152="","",'CONTROLE GLOBO AÇOS'!V152)</f>
        <v/>
      </c>
      <c r="BO150" s="223">
        <f>IF('CONTROLE GLOBO AÇOS'!W152="","",'CONTROLE GLOBO AÇOS'!W152)</f>
        <v/>
      </c>
      <c r="BP150" s="223">
        <f>IF(AND('CONTROLE EJ'!R152="",'CONTROLE CMM'!#REF!=""),"",N('CONTROLE EJ'!R152)+N('CONTROLE CMM'!#REF!))</f>
        <v/>
      </c>
      <c r="BQ150" s="223">
        <f>IF(#REF!="","",#REF!)</f>
        <v/>
      </c>
      <c r="BR150" s="223">
        <f>IF(AND('CONTROLE EJ'!S152="",'CONTROLE CMM'!#REF!=""),"",N('CONTROLE EJ'!S152)+N('CONTROLE CMM'!#REF!))</f>
        <v/>
      </c>
      <c r="BS150" s="223">
        <f>IF(AND('CONTROLE EJ'!T152="",'CONTROLE CMM'!#REF!=""),"",N('CONTROLE EJ'!T152)+N('CONTROLE CMM'!#REF!))</f>
        <v/>
      </c>
      <c r="BT150" s="223">
        <f>IF('CONTROLE GLOBO AÇOS'!X152="","",'CONTROLE GLOBO AÇOS'!X152)</f>
        <v/>
      </c>
      <c r="BU150" s="223">
        <f>IF('CONTROLE GLOBO AÇOS'!Y152="","",'CONTROLE GLOBO AÇOS'!Y152)</f>
        <v/>
      </c>
      <c r="BV150" s="223">
        <f>IF(AND('CONTROLE EJ'!U152="",'CONTROLE CMM'!#REF!=""),"",N('CONTROLE EJ'!U152)+N('CONTROLE CMM'!#REF!))</f>
        <v/>
      </c>
      <c r="BW150" s="223">
        <f>IF(#REF!="","",#REF!)</f>
        <v/>
      </c>
    </row>
    <row r="151">
      <c r="A151" s="282" t="n">
        <v>46368</v>
      </c>
      <c r="B151" s="18">
        <f>IF('CONTROLE EJ'!B153="","",'CONTROLE EJ'!B153)</f>
        <v/>
      </c>
      <c r="C151" s="18">
        <f>IF('CONTROLE EJ'!C153="","",'CONTROLE EJ'!C153)</f>
        <v/>
      </c>
      <c r="D151" s="42">
        <f>IF('CONTROLE EJ'!D153="","",'CONTROLE EJ'!D153)</f>
        <v/>
      </c>
      <c r="E151" s="43">
        <f>IF('CONTROLE CMM'!B153="","",'CONTROLE CMM'!B153)</f>
        <v/>
      </c>
      <c r="F151" s="18">
        <f>IF('CONTROLE CMM'!C153="","",'CONTROLE CMM'!C153)</f>
        <v/>
      </c>
      <c r="G151" s="26">
        <f>IF('CONTROLE CMM'!D153="","",'CONTROLE CMM'!D153)</f>
        <v/>
      </c>
      <c r="H151" s="43">
        <f>IF('CONTROLE GLOBO AÇOS'!B153="","",'CONTROLE GLOBO AÇOS'!B153)</f>
        <v/>
      </c>
      <c r="I151" s="18">
        <f>IF('CONTROLE GLOBO AÇOS'!C153="","",'CONTROLE GLOBO AÇOS'!C153)</f>
        <v/>
      </c>
      <c r="J151" s="18">
        <f>IF('CONTROLE GLOBO AÇOS'!D153="","",'CONTROLE GLOBO AÇOS'!D153)</f>
        <v/>
      </c>
      <c r="AD151" s="39">
        <f>IF($A151="",0,IF(AND(WEEKDAY($A151,2)&lt;=5,OR($B151&lt;&gt;"",$C151&lt;&gt;"",$D151&lt;&gt;"")),1,0))</f>
        <v/>
      </c>
      <c r="AE151" s="39">
        <f>IF($A151="",0,IF(AND(WEEKDAY($A151,2)&lt;=5,OR($E151&lt;&gt;"",$F151&lt;&gt;"",$G151&lt;&gt;"")),1,0))</f>
        <v/>
      </c>
      <c r="AF151" s="39">
        <f>MAX(AD151,AE151)</f>
        <v/>
      </c>
      <c r="AH151" s="223">
        <f>IF('CONTROLE GLOBO AÇOS'!E153="","",'CONTROLE GLOBO AÇOS'!E153)</f>
        <v/>
      </c>
      <c r="AI151" s="223">
        <f>IF('CONTROLE GLOBO AÇOS'!F153="","",'CONTROLE GLOBO AÇOS'!F153)</f>
        <v/>
      </c>
      <c r="AJ151" s="223">
        <f>IF(AND('CONTROLE EJ'!E153="",'CONTROLE CMM'!E153=""),"",N('CONTROLE EJ'!E153)+N('CONTROLE CMM'!E153))</f>
        <v/>
      </c>
      <c r="AK151" s="223">
        <f>IF(AND('CONTROLE EJ'!F153="",'CONTROLE CMM'!F153=""),"",N('CONTROLE EJ'!F153)+N('CONTROLE CMM'!F153))</f>
        <v/>
      </c>
      <c r="AL151" s="223">
        <f>IF(AND('CONTROLE EJ'!G153="",'CONTROLE CMM'!G153=""),"",N('CONTROLE EJ'!G153)+N('CONTROLE CMM'!G153))</f>
        <v/>
      </c>
      <c r="AM151" s="223">
        <f>IF(AND('CONTROLE EJ'!H153="",'CONTROLE CMM'!H153=""),"",N('CONTROLE EJ'!H153)+N('CONTROLE CMM'!H153))</f>
        <v/>
      </c>
      <c r="AN151" s="223">
        <f>IF('CONTROLE GLOBO AÇOS'!G153="","",'CONTROLE GLOBO AÇOS'!G153)</f>
        <v/>
      </c>
      <c r="AO151" s="223">
        <f>IF('CONTROLE GLOBO AÇOS'!H153="","",'CONTROLE GLOBO AÇOS'!H153)</f>
        <v/>
      </c>
      <c r="AP151" s="223">
        <f>IF(AND('CONTROLE EJ'!I153="",'CONTROLE CMM'!I153=""),"",N('CONTROLE EJ'!I153)+N('CONTROLE CMM'!I153))</f>
        <v/>
      </c>
      <c r="AQ151" s="223">
        <f>IF(AND('CONTROLE EJ'!J153="",'CONTROLE CMM'!#REF!=""),"",N('CONTROLE EJ'!J153)+N('CONTROLE CMM'!#REF!))</f>
        <v/>
      </c>
      <c r="AR151" s="223">
        <f>IF('CONTROLE GLOBO AÇOS'!I153="","",'CONTROLE GLOBO AÇOS'!I153)</f>
        <v/>
      </c>
      <c r="AS151" s="223">
        <f>IF('CONTROLE GLOBO AÇOS'!J153="","",'CONTROLE GLOBO AÇOS'!J153)</f>
        <v/>
      </c>
      <c r="AT151" s="223">
        <f>IF(#REF!="","",#REF!)</f>
        <v/>
      </c>
      <c r="AU151" s="223">
        <f>IF('CONTROLE GLOBO AÇOS'!K153="","",'CONTROLE GLOBO AÇOS'!K153)</f>
        <v/>
      </c>
      <c r="AV151" s="223">
        <f>IF(AND('CONTROLE EJ'!K153="",'CONTROLE CMM'!#REF!=""),"",N('CONTROLE EJ'!K153)+N('CONTROLE CMM'!#REF!))</f>
        <v/>
      </c>
      <c r="AW151" s="223">
        <f>IF('CONTROLE GLOBO AÇOS'!L153="","",'CONTROLE GLOBO AÇOS'!L153)</f>
        <v/>
      </c>
      <c r="AX151" s="223">
        <f>IF(AND('CONTROLE EJ'!L153="",'CONTROLE CMM'!#REF!=""),"",N('CONTROLE EJ'!L153)+N('CONTROLE CMM'!#REF!))</f>
        <v/>
      </c>
      <c r="AY151" s="223">
        <f>IF('CONTROLE GLOBO AÇOS'!M153="","",'CONTROLE GLOBO AÇOS'!M153)</f>
        <v/>
      </c>
      <c r="AZ151" s="223">
        <f>IF('CONTROLE GLOBO AÇOS'!N153="","",'CONTROLE GLOBO AÇOS'!N153)</f>
        <v/>
      </c>
      <c r="BA151" s="223">
        <f>IF(AND('CONTROLE EJ'!M153="",'CONTROLE CMM'!#REF!=""),"",N('CONTROLE EJ'!M153)+N('CONTROLE CMM'!#REF!))</f>
        <v/>
      </c>
      <c r="BB151" s="223">
        <f>IF(#REF!="","",#REF!)</f>
        <v/>
      </c>
      <c r="BC151" s="223">
        <f>IF('CONTROLE GLOBO AÇOS'!O153="","",'CONTROLE GLOBO AÇOS'!O153)</f>
        <v/>
      </c>
      <c r="BD151" s="223">
        <f>IF(AND('CONTROLE EJ'!N153="",'CONTROLE CMM'!#REF!=""),"",N('CONTROLE EJ'!N153)+N('CONTROLE CMM'!#REF!))</f>
        <v/>
      </c>
      <c r="BE151" s="223">
        <f>IF('CONTROLE GLOBO AÇOS'!P153="","",'CONTROLE GLOBO AÇOS'!P153)</f>
        <v/>
      </c>
      <c r="BF151" s="223">
        <f>IF('CONTROLE GLOBO AÇOS'!Q153="","",'CONTROLE GLOBO AÇOS'!Q153)</f>
        <v/>
      </c>
      <c r="BG151" s="223">
        <f>IF('CONTROLE GLOBO AÇOS'!R153="","",'CONTROLE GLOBO AÇOS'!R153)</f>
        <v/>
      </c>
      <c r="BH151" s="223">
        <f>IF(AND('CONTROLE EJ'!O153="",'CONTROLE CMM'!#REF!=""),"",N('CONTROLE EJ'!O153)+N('CONTROLE CMM'!#REF!))</f>
        <v/>
      </c>
      <c r="BI151" s="223">
        <f>IF('CONTROLE GLOBO AÇOS'!S153="","",'CONTROLE GLOBO AÇOS'!S153)</f>
        <v/>
      </c>
      <c r="BJ151" s="223">
        <f>IF('CONTROLE GLOBO AÇOS'!T153="","",'CONTROLE GLOBO AÇOS'!T153)</f>
        <v/>
      </c>
      <c r="BK151" s="223">
        <f>IF('CONTROLE GLOBO AÇOS'!U153="","",'CONTROLE GLOBO AÇOS'!U153)</f>
        <v/>
      </c>
      <c r="BL151" s="223">
        <f>IF(AND('CONTROLE EJ'!P153="",'CONTROLE CMM'!#REF!=""),"",N('CONTROLE EJ'!P153)+N('CONTROLE CMM'!#REF!))</f>
        <v/>
      </c>
      <c r="BM151" s="223">
        <f>IF(AND('CONTROLE EJ'!Q153="",'CONTROLE CMM'!#REF!=""),"",N('CONTROLE EJ'!Q153)+N('CONTROLE CMM'!#REF!))</f>
        <v/>
      </c>
      <c r="BN151" s="223">
        <f>IF('CONTROLE GLOBO AÇOS'!V153="","",'CONTROLE GLOBO AÇOS'!V153)</f>
        <v/>
      </c>
      <c r="BO151" s="223">
        <f>IF('CONTROLE GLOBO AÇOS'!W153="","",'CONTROLE GLOBO AÇOS'!W153)</f>
        <v/>
      </c>
      <c r="BP151" s="223">
        <f>IF(AND('CONTROLE EJ'!R153="",'CONTROLE CMM'!#REF!=""),"",N('CONTROLE EJ'!R153)+N('CONTROLE CMM'!#REF!))</f>
        <v/>
      </c>
      <c r="BQ151" s="223">
        <f>IF(#REF!="","",#REF!)</f>
        <v/>
      </c>
      <c r="BR151" s="223">
        <f>IF(AND('CONTROLE EJ'!S153="",'CONTROLE CMM'!#REF!=""),"",N('CONTROLE EJ'!S153)+N('CONTROLE CMM'!#REF!))</f>
        <v/>
      </c>
      <c r="BS151" s="223">
        <f>IF(AND('CONTROLE EJ'!T153="",'CONTROLE CMM'!#REF!=""),"",N('CONTROLE EJ'!T153)+N('CONTROLE CMM'!#REF!))</f>
        <v/>
      </c>
      <c r="BT151" s="223">
        <f>IF('CONTROLE GLOBO AÇOS'!X153="","",'CONTROLE GLOBO AÇOS'!X153)</f>
        <v/>
      </c>
      <c r="BU151" s="223">
        <f>IF('CONTROLE GLOBO AÇOS'!Y153="","",'CONTROLE GLOBO AÇOS'!Y153)</f>
        <v/>
      </c>
      <c r="BV151" s="223">
        <f>IF(AND('CONTROLE EJ'!U153="",'CONTROLE CMM'!#REF!=""),"",N('CONTROLE EJ'!U153)+N('CONTROLE CMM'!#REF!))</f>
        <v/>
      </c>
      <c r="BW151" s="223">
        <f>IF(#REF!="","",#REF!)</f>
        <v/>
      </c>
    </row>
    <row r="152">
      <c r="A152" s="282" t="n">
        <v>46369</v>
      </c>
      <c r="B152" s="18">
        <f>IF('CONTROLE EJ'!B154="","",'CONTROLE EJ'!B154)</f>
        <v/>
      </c>
      <c r="C152" s="18">
        <f>IF('CONTROLE EJ'!C154="","",'CONTROLE EJ'!C154)</f>
        <v/>
      </c>
      <c r="D152" s="42">
        <f>IF('CONTROLE EJ'!D154="","",'CONTROLE EJ'!D154)</f>
        <v/>
      </c>
      <c r="E152" s="43">
        <f>IF('CONTROLE CMM'!B154="","",'CONTROLE CMM'!B154)</f>
        <v/>
      </c>
      <c r="F152" s="18">
        <f>IF('CONTROLE CMM'!C154="","",'CONTROLE CMM'!C154)</f>
        <v/>
      </c>
      <c r="G152" s="26">
        <f>IF('CONTROLE CMM'!D154="","",'CONTROLE CMM'!D154)</f>
        <v/>
      </c>
      <c r="H152" s="43">
        <f>IF('CONTROLE GLOBO AÇOS'!B154="","",'CONTROLE GLOBO AÇOS'!B154)</f>
        <v/>
      </c>
      <c r="I152" s="18">
        <f>IF('CONTROLE GLOBO AÇOS'!C154="","",'CONTROLE GLOBO AÇOS'!C154)</f>
        <v/>
      </c>
      <c r="J152" s="18">
        <f>IF('CONTROLE GLOBO AÇOS'!D154="","",'CONTROLE GLOBO AÇOS'!D154)</f>
        <v/>
      </c>
      <c r="AD152" s="39">
        <f>IF($A152="",0,IF(AND(WEEKDAY($A152,2)&lt;=5,OR($B152&lt;&gt;"",$C152&lt;&gt;"",$D152&lt;&gt;"")),1,0))</f>
        <v/>
      </c>
      <c r="AE152" s="39">
        <f>IF($A152="",0,IF(AND(WEEKDAY($A152,2)&lt;=5,OR($E152&lt;&gt;"",$F152&lt;&gt;"",$G152&lt;&gt;"")),1,0))</f>
        <v/>
      </c>
      <c r="AF152" s="39">
        <f>MAX(AD152,AE152)</f>
        <v/>
      </c>
      <c r="AH152" s="223">
        <f>IF('CONTROLE GLOBO AÇOS'!E154="","",'CONTROLE GLOBO AÇOS'!E154)</f>
        <v/>
      </c>
      <c r="AI152" s="223">
        <f>IF('CONTROLE GLOBO AÇOS'!F154="","",'CONTROLE GLOBO AÇOS'!F154)</f>
        <v/>
      </c>
      <c r="AJ152" s="223">
        <f>IF(AND('CONTROLE EJ'!E154="",'CONTROLE CMM'!E154=""),"",N('CONTROLE EJ'!E154)+N('CONTROLE CMM'!E154))</f>
        <v/>
      </c>
      <c r="AK152" s="223">
        <f>IF(AND('CONTROLE EJ'!F154="",'CONTROLE CMM'!F154=""),"",N('CONTROLE EJ'!F154)+N('CONTROLE CMM'!F154))</f>
        <v/>
      </c>
      <c r="AL152" s="223">
        <f>IF(AND('CONTROLE EJ'!G154="",'CONTROLE CMM'!G154=""),"",N('CONTROLE EJ'!G154)+N('CONTROLE CMM'!G154))</f>
        <v/>
      </c>
      <c r="AM152" s="223">
        <f>IF(AND('CONTROLE EJ'!H154="",'CONTROLE CMM'!H154=""),"",N('CONTROLE EJ'!H154)+N('CONTROLE CMM'!H154))</f>
        <v/>
      </c>
      <c r="AN152" s="223">
        <f>IF('CONTROLE GLOBO AÇOS'!G154="","",'CONTROLE GLOBO AÇOS'!G154)</f>
        <v/>
      </c>
      <c r="AO152" s="223">
        <f>IF('CONTROLE GLOBO AÇOS'!H154="","",'CONTROLE GLOBO AÇOS'!H154)</f>
        <v/>
      </c>
      <c r="AP152" s="223">
        <f>IF(AND('CONTROLE EJ'!I154="",'CONTROLE CMM'!I154=""),"",N('CONTROLE EJ'!I154)+N('CONTROLE CMM'!I154))</f>
        <v/>
      </c>
      <c r="AQ152" s="223">
        <f>IF(AND('CONTROLE EJ'!J154="",'CONTROLE CMM'!#REF!=""),"",N('CONTROLE EJ'!J154)+N('CONTROLE CMM'!#REF!))</f>
        <v/>
      </c>
      <c r="AR152" s="223">
        <f>IF('CONTROLE GLOBO AÇOS'!I154="","",'CONTROLE GLOBO AÇOS'!I154)</f>
        <v/>
      </c>
      <c r="AS152" s="223">
        <f>IF('CONTROLE GLOBO AÇOS'!J154="","",'CONTROLE GLOBO AÇOS'!J154)</f>
        <v/>
      </c>
      <c r="AT152" s="223">
        <f>IF(#REF!="","",#REF!)</f>
        <v/>
      </c>
      <c r="AU152" s="223">
        <f>IF('CONTROLE GLOBO AÇOS'!K154="","",'CONTROLE GLOBO AÇOS'!K154)</f>
        <v/>
      </c>
      <c r="AV152" s="223">
        <f>IF(AND('CONTROLE EJ'!K154="",'CONTROLE CMM'!#REF!=""),"",N('CONTROLE EJ'!K154)+N('CONTROLE CMM'!#REF!))</f>
        <v/>
      </c>
      <c r="AW152" s="223">
        <f>IF('CONTROLE GLOBO AÇOS'!L154="","",'CONTROLE GLOBO AÇOS'!L154)</f>
        <v/>
      </c>
      <c r="AX152" s="223">
        <f>IF(AND('CONTROLE EJ'!L154="",'CONTROLE CMM'!#REF!=""),"",N('CONTROLE EJ'!L154)+N('CONTROLE CMM'!#REF!))</f>
        <v/>
      </c>
      <c r="AY152" s="223">
        <f>IF('CONTROLE GLOBO AÇOS'!M154="","",'CONTROLE GLOBO AÇOS'!M154)</f>
        <v/>
      </c>
      <c r="AZ152" s="223">
        <f>IF('CONTROLE GLOBO AÇOS'!N154="","",'CONTROLE GLOBO AÇOS'!N154)</f>
        <v/>
      </c>
      <c r="BA152" s="223">
        <f>IF(AND('CONTROLE EJ'!M154="",'CONTROLE CMM'!#REF!=""),"",N('CONTROLE EJ'!M154)+N('CONTROLE CMM'!#REF!))</f>
        <v/>
      </c>
      <c r="BB152" s="223">
        <f>IF(#REF!="","",#REF!)</f>
        <v/>
      </c>
      <c r="BC152" s="223">
        <f>IF('CONTROLE GLOBO AÇOS'!O154="","",'CONTROLE GLOBO AÇOS'!O154)</f>
        <v/>
      </c>
      <c r="BD152" s="223">
        <f>IF(AND('CONTROLE EJ'!N154="",'CONTROLE CMM'!#REF!=""),"",N('CONTROLE EJ'!N154)+N('CONTROLE CMM'!#REF!))</f>
        <v/>
      </c>
      <c r="BE152" s="223">
        <f>IF('CONTROLE GLOBO AÇOS'!P154="","",'CONTROLE GLOBO AÇOS'!P154)</f>
        <v/>
      </c>
      <c r="BF152" s="223">
        <f>IF('CONTROLE GLOBO AÇOS'!Q154="","",'CONTROLE GLOBO AÇOS'!Q154)</f>
        <v/>
      </c>
      <c r="BG152" s="223">
        <f>IF('CONTROLE GLOBO AÇOS'!R154="","",'CONTROLE GLOBO AÇOS'!R154)</f>
        <v/>
      </c>
      <c r="BH152" s="223">
        <f>IF(AND('CONTROLE EJ'!O154="",'CONTROLE CMM'!#REF!=""),"",N('CONTROLE EJ'!O154)+N('CONTROLE CMM'!#REF!))</f>
        <v/>
      </c>
      <c r="BI152" s="223">
        <f>IF('CONTROLE GLOBO AÇOS'!S154="","",'CONTROLE GLOBO AÇOS'!S154)</f>
        <v/>
      </c>
      <c r="BJ152" s="223">
        <f>IF('CONTROLE GLOBO AÇOS'!T154="","",'CONTROLE GLOBO AÇOS'!T154)</f>
        <v/>
      </c>
      <c r="BK152" s="223">
        <f>IF('CONTROLE GLOBO AÇOS'!U154="","",'CONTROLE GLOBO AÇOS'!U154)</f>
        <v/>
      </c>
      <c r="BL152" s="223">
        <f>IF(AND('CONTROLE EJ'!P154="",'CONTROLE CMM'!#REF!=""),"",N('CONTROLE EJ'!P154)+N('CONTROLE CMM'!#REF!))</f>
        <v/>
      </c>
      <c r="BM152" s="223">
        <f>IF(AND('CONTROLE EJ'!Q154="",'CONTROLE CMM'!#REF!=""),"",N('CONTROLE EJ'!Q154)+N('CONTROLE CMM'!#REF!))</f>
        <v/>
      </c>
      <c r="BN152" s="223">
        <f>IF('CONTROLE GLOBO AÇOS'!V154="","",'CONTROLE GLOBO AÇOS'!V154)</f>
        <v/>
      </c>
      <c r="BO152" s="223">
        <f>IF('CONTROLE GLOBO AÇOS'!W154="","",'CONTROLE GLOBO AÇOS'!W154)</f>
        <v/>
      </c>
      <c r="BP152" s="223">
        <f>IF(AND('CONTROLE EJ'!R154="",'CONTROLE CMM'!#REF!=""),"",N('CONTROLE EJ'!R154)+N('CONTROLE CMM'!#REF!))</f>
        <v/>
      </c>
      <c r="BQ152" s="223">
        <f>IF(#REF!="","",#REF!)</f>
        <v/>
      </c>
      <c r="BR152" s="223">
        <f>IF(AND('CONTROLE EJ'!S154="",'CONTROLE CMM'!#REF!=""),"",N('CONTROLE EJ'!S154)+N('CONTROLE CMM'!#REF!))</f>
        <v/>
      </c>
      <c r="BS152" s="223">
        <f>IF(AND('CONTROLE EJ'!T154="",'CONTROLE CMM'!#REF!=""),"",N('CONTROLE EJ'!T154)+N('CONTROLE CMM'!#REF!))</f>
        <v/>
      </c>
      <c r="BT152" s="223">
        <f>IF('CONTROLE GLOBO AÇOS'!X154="","",'CONTROLE GLOBO AÇOS'!X154)</f>
        <v/>
      </c>
      <c r="BU152" s="223">
        <f>IF('CONTROLE GLOBO AÇOS'!Y154="","",'CONTROLE GLOBO AÇOS'!Y154)</f>
        <v/>
      </c>
      <c r="BV152" s="223">
        <f>IF(AND('CONTROLE EJ'!U154="",'CONTROLE CMM'!#REF!=""),"",N('CONTROLE EJ'!U154)+N('CONTROLE CMM'!#REF!))</f>
        <v/>
      </c>
      <c r="BW152" s="223">
        <f>IF(#REF!="","",#REF!)</f>
        <v/>
      </c>
    </row>
    <row r="153">
      <c r="A153" s="282" t="n">
        <v>46370</v>
      </c>
      <c r="B153" s="18">
        <f>IF('CONTROLE EJ'!B155="","",'CONTROLE EJ'!B155)</f>
        <v/>
      </c>
      <c r="C153" s="18">
        <f>IF('CONTROLE EJ'!C155="","",'CONTROLE EJ'!C155)</f>
        <v/>
      </c>
      <c r="D153" s="42">
        <f>IF('CONTROLE EJ'!D155="","",'CONTROLE EJ'!D155)</f>
        <v/>
      </c>
      <c r="E153" s="43">
        <f>IF('CONTROLE CMM'!B155="","",'CONTROLE CMM'!B155)</f>
        <v/>
      </c>
      <c r="F153" s="18">
        <f>IF('CONTROLE CMM'!C155="","",'CONTROLE CMM'!C155)</f>
        <v/>
      </c>
      <c r="G153" s="26">
        <f>IF('CONTROLE CMM'!D155="","",'CONTROLE CMM'!D155)</f>
        <v/>
      </c>
      <c r="H153" s="43">
        <f>IF('CONTROLE GLOBO AÇOS'!B155="","",'CONTROLE GLOBO AÇOS'!B155)</f>
        <v/>
      </c>
      <c r="I153" s="18">
        <f>IF('CONTROLE GLOBO AÇOS'!C155="","",'CONTROLE GLOBO AÇOS'!C155)</f>
        <v/>
      </c>
      <c r="J153" s="18">
        <f>IF('CONTROLE GLOBO AÇOS'!D155="","",'CONTROLE GLOBO AÇOS'!D155)</f>
        <v/>
      </c>
      <c r="AD153" s="39">
        <f>IF($A153="",0,IF(AND(WEEKDAY($A153,2)&lt;=5,OR($B153&lt;&gt;"",$C153&lt;&gt;"",$D153&lt;&gt;"")),1,0))</f>
        <v/>
      </c>
      <c r="AE153" s="39">
        <f>IF($A153="",0,IF(AND(WEEKDAY($A153,2)&lt;=5,OR($E153&lt;&gt;"",$F153&lt;&gt;"",$G153&lt;&gt;"")),1,0))</f>
        <v/>
      </c>
      <c r="AF153" s="39">
        <f>MAX(AD153,AE153)</f>
        <v/>
      </c>
      <c r="AH153" s="223">
        <f>IF('CONTROLE GLOBO AÇOS'!E155="","",'CONTROLE GLOBO AÇOS'!E155)</f>
        <v/>
      </c>
      <c r="AI153" s="223">
        <f>IF('CONTROLE GLOBO AÇOS'!F155="","",'CONTROLE GLOBO AÇOS'!F155)</f>
        <v/>
      </c>
      <c r="AJ153" s="223">
        <f>IF(AND('CONTROLE EJ'!E155="",'CONTROLE CMM'!E155=""),"",N('CONTROLE EJ'!E155)+N('CONTROLE CMM'!E155))</f>
        <v/>
      </c>
      <c r="AK153" s="223">
        <f>IF(AND('CONTROLE EJ'!F155="",'CONTROLE CMM'!F155=""),"",N('CONTROLE EJ'!F155)+N('CONTROLE CMM'!F155))</f>
        <v/>
      </c>
      <c r="AL153" s="223">
        <f>IF(AND('CONTROLE EJ'!G155="",'CONTROLE CMM'!G155=""),"",N('CONTROLE EJ'!G155)+N('CONTROLE CMM'!G155))</f>
        <v/>
      </c>
      <c r="AM153" s="223">
        <f>IF(AND('CONTROLE EJ'!H155="",'CONTROLE CMM'!H155=""),"",N('CONTROLE EJ'!H155)+N('CONTROLE CMM'!H155))</f>
        <v/>
      </c>
      <c r="AN153" s="223">
        <f>IF('CONTROLE GLOBO AÇOS'!G155="","",'CONTROLE GLOBO AÇOS'!G155)</f>
        <v/>
      </c>
      <c r="AO153" s="223">
        <f>IF('CONTROLE GLOBO AÇOS'!H155="","",'CONTROLE GLOBO AÇOS'!H155)</f>
        <v/>
      </c>
      <c r="AP153" s="223">
        <f>IF(AND('CONTROLE EJ'!I155="",'CONTROLE CMM'!I155=""),"",N('CONTROLE EJ'!I155)+N('CONTROLE CMM'!I155))</f>
        <v/>
      </c>
      <c r="AQ153" s="223">
        <f>IF(AND('CONTROLE EJ'!J155="",'CONTROLE CMM'!#REF!=""),"",N('CONTROLE EJ'!J155)+N('CONTROLE CMM'!#REF!))</f>
        <v/>
      </c>
      <c r="AR153" s="223">
        <f>IF('CONTROLE GLOBO AÇOS'!I155="","",'CONTROLE GLOBO AÇOS'!I155)</f>
        <v/>
      </c>
      <c r="AS153" s="223">
        <f>IF('CONTROLE GLOBO AÇOS'!J155="","",'CONTROLE GLOBO AÇOS'!J155)</f>
        <v/>
      </c>
      <c r="AT153" s="223">
        <f>IF(#REF!="","",#REF!)</f>
        <v/>
      </c>
      <c r="AU153" s="223">
        <f>IF('CONTROLE GLOBO AÇOS'!K155="","",'CONTROLE GLOBO AÇOS'!K155)</f>
        <v/>
      </c>
      <c r="AV153" s="223">
        <f>IF(AND('CONTROLE EJ'!K155="",'CONTROLE CMM'!#REF!=""),"",N('CONTROLE EJ'!K155)+N('CONTROLE CMM'!#REF!))</f>
        <v/>
      </c>
      <c r="AW153" s="223">
        <f>IF('CONTROLE GLOBO AÇOS'!L155="","",'CONTROLE GLOBO AÇOS'!L155)</f>
        <v/>
      </c>
      <c r="AX153" s="223">
        <f>IF(AND('CONTROLE EJ'!L155="",'CONTROLE CMM'!#REF!=""),"",N('CONTROLE EJ'!L155)+N('CONTROLE CMM'!#REF!))</f>
        <v/>
      </c>
      <c r="AY153" s="223">
        <f>IF('CONTROLE GLOBO AÇOS'!M155="","",'CONTROLE GLOBO AÇOS'!M155)</f>
        <v/>
      </c>
      <c r="AZ153" s="223">
        <f>IF('CONTROLE GLOBO AÇOS'!N155="","",'CONTROLE GLOBO AÇOS'!N155)</f>
        <v/>
      </c>
      <c r="BA153" s="223">
        <f>IF(AND('CONTROLE EJ'!M155="",'CONTROLE CMM'!#REF!=""),"",N('CONTROLE EJ'!M155)+N('CONTROLE CMM'!#REF!))</f>
        <v/>
      </c>
      <c r="BB153" s="223">
        <f>IF(#REF!="","",#REF!)</f>
        <v/>
      </c>
      <c r="BC153" s="223">
        <f>IF('CONTROLE GLOBO AÇOS'!O155="","",'CONTROLE GLOBO AÇOS'!O155)</f>
        <v/>
      </c>
      <c r="BD153" s="223">
        <f>IF(AND('CONTROLE EJ'!N155="",'CONTROLE CMM'!#REF!=""),"",N('CONTROLE EJ'!N155)+N('CONTROLE CMM'!#REF!))</f>
        <v/>
      </c>
      <c r="BE153" s="223">
        <f>IF('CONTROLE GLOBO AÇOS'!P155="","",'CONTROLE GLOBO AÇOS'!P155)</f>
        <v/>
      </c>
      <c r="BF153" s="223">
        <f>IF('CONTROLE GLOBO AÇOS'!Q155="","",'CONTROLE GLOBO AÇOS'!Q155)</f>
        <v/>
      </c>
      <c r="BG153" s="223">
        <f>IF('CONTROLE GLOBO AÇOS'!R155="","",'CONTROLE GLOBO AÇOS'!R155)</f>
        <v/>
      </c>
      <c r="BH153" s="223">
        <f>IF(AND('CONTROLE EJ'!O155="",'CONTROLE CMM'!#REF!=""),"",N('CONTROLE EJ'!O155)+N('CONTROLE CMM'!#REF!))</f>
        <v/>
      </c>
      <c r="BI153" s="223">
        <f>IF('CONTROLE GLOBO AÇOS'!S155="","",'CONTROLE GLOBO AÇOS'!S155)</f>
        <v/>
      </c>
      <c r="BJ153" s="223">
        <f>IF('CONTROLE GLOBO AÇOS'!T155="","",'CONTROLE GLOBO AÇOS'!T155)</f>
        <v/>
      </c>
      <c r="BK153" s="223">
        <f>IF('CONTROLE GLOBO AÇOS'!U155="","",'CONTROLE GLOBO AÇOS'!U155)</f>
        <v/>
      </c>
      <c r="BL153" s="223">
        <f>IF(AND('CONTROLE EJ'!P155="",'CONTROLE CMM'!#REF!=""),"",N('CONTROLE EJ'!P155)+N('CONTROLE CMM'!#REF!))</f>
        <v/>
      </c>
      <c r="BM153" s="223">
        <f>IF(AND('CONTROLE EJ'!Q155="",'CONTROLE CMM'!#REF!=""),"",N('CONTROLE EJ'!Q155)+N('CONTROLE CMM'!#REF!))</f>
        <v/>
      </c>
      <c r="BN153" s="223">
        <f>IF('CONTROLE GLOBO AÇOS'!V155="","",'CONTROLE GLOBO AÇOS'!V155)</f>
        <v/>
      </c>
      <c r="BO153" s="223">
        <f>IF('CONTROLE GLOBO AÇOS'!W155="","",'CONTROLE GLOBO AÇOS'!W155)</f>
        <v/>
      </c>
      <c r="BP153" s="223">
        <f>IF(AND('CONTROLE EJ'!R155="",'CONTROLE CMM'!#REF!=""),"",N('CONTROLE EJ'!R155)+N('CONTROLE CMM'!#REF!))</f>
        <v/>
      </c>
      <c r="BQ153" s="223">
        <f>IF(#REF!="","",#REF!)</f>
        <v/>
      </c>
      <c r="BR153" s="223">
        <f>IF(AND('CONTROLE EJ'!S155="",'CONTROLE CMM'!#REF!=""),"",N('CONTROLE EJ'!S155)+N('CONTROLE CMM'!#REF!))</f>
        <v/>
      </c>
      <c r="BS153" s="223">
        <f>IF(AND('CONTROLE EJ'!T155="",'CONTROLE CMM'!#REF!=""),"",N('CONTROLE EJ'!T155)+N('CONTROLE CMM'!#REF!))</f>
        <v/>
      </c>
      <c r="BT153" s="223">
        <f>IF('CONTROLE GLOBO AÇOS'!X155="","",'CONTROLE GLOBO AÇOS'!X155)</f>
        <v/>
      </c>
      <c r="BU153" s="223">
        <f>IF('CONTROLE GLOBO AÇOS'!Y155="","",'CONTROLE GLOBO AÇOS'!Y155)</f>
        <v/>
      </c>
      <c r="BV153" s="223">
        <f>IF(AND('CONTROLE EJ'!U155="",'CONTROLE CMM'!#REF!=""),"",N('CONTROLE EJ'!U155)+N('CONTROLE CMM'!#REF!))</f>
        <v/>
      </c>
      <c r="BW153" s="223">
        <f>IF(#REF!="","",#REF!)</f>
        <v/>
      </c>
    </row>
    <row r="154">
      <c r="A154" s="282" t="n">
        <v>46371</v>
      </c>
      <c r="B154" s="18">
        <f>IF('CONTROLE EJ'!B156="","",'CONTROLE EJ'!B156)</f>
        <v/>
      </c>
      <c r="C154" s="18">
        <f>IF('CONTROLE EJ'!C156="","",'CONTROLE EJ'!C156)</f>
        <v/>
      </c>
      <c r="D154" s="42">
        <f>IF('CONTROLE EJ'!D156="","",'CONTROLE EJ'!D156)</f>
        <v/>
      </c>
      <c r="E154" s="43">
        <f>IF('CONTROLE CMM'!B156="","",'CONTROLE CMM'!B156)</f>
        <v/>
      </c>
      <c r="F154" s="18">
        <f>IF('CONTROLE CMM'!C156="","",'CONTROLE CMM'!C156)</f>
        <v/>
      </c>
      <c r="G154" s="26">
        <f>IF('CONTROLE CMM'!D156="","",'CONTROLE CMM'!D156)</f>
        <v/>
      </c>
      <c r="H154" s="43">
        <f>IF('CONTROLE GLOBO AÇOS'!B156="","",'CONTROLE GLOBO AÇOS'!B156)</f>
        <v/>
      </c>
      <c r="I154" s="18">
        <f>IF('CONTROLE GLOBO AÇOS'!C156="","",'CONTROLE GLOBO AÇOS'!C156)</f>
        <v/>
      </c>
      <c r="J154" s="18">
        <f>IF('CONTROLE GLOBO AÇOS'!D156="","",'CONTROLE GLOBO AÇOS'!D156)</f>
        <v/>
      </c>
      <c r="AD154" s="39">
        <f>IF($A154="",0,IF(AND(WEEKDAY($A154,2)&lt;=5,OR($B154&lt;&gt;"",$C154&lt;&gt;"",$D154&lt;&gt;"")),1,0))</f>
        <v/>
      </c>
      <c r="AE154" s="39">
        <f>IF($A154="",0,IF(AND(WEEKDAY($A154,2)&lt;=5,OR($E154&lt;&gt;"",$F154&lt;&gt;"",$G154&lt;&gt;"")),1,0))</f>
        <v/>
      </c>
      <c r="AF154" s="39">
        <f>MAX(AD154,AE154)</f>
        <v/>
      </c>
      <c r="AH154" s="223">
        <f>IF('CONTROLE GLOBO AÇOS'!E156="","",'CONTROLE GLOBO AÇOS'!E156)</f>
        <v/>
      </c>
      <c r="AI154" s="223">
        <f>IF('CONTROLE GLOBO AÇOS'!F156="","",'CONTROLE GLOBO AÇOS'!F156)</f>
        <v/>
      </c>
      <c r="AJ154" s="223">
        <f>IF(AND('CONTROLE EJ'!E156="",'CONTROLE CMM'!E156=""),"",N('CONTROLE EJ'!E156)+N('CONTROLE CMM'!E156))</f>
        <v/>
      </c>
      <c r="AK154" s="223">
        <f>IF(AND('CONTROLE EJ'!F156="",'CONTROLE CMM'!F156=""),"",N('CONTROLE EJ'!F156)+N('CONTROLE CMM'!F156))</f>
        <v/>
      </c>
      <c r="AL154" s="223">
        <f>IF(AND('CONTROLE EJ'!G156="",'CONTROLE CMM'!G156=""),"",N('CONTROLE EJ'!G156)+N('CONTROLE CMM'!G156))</f>
        <v/>
      </c>
      <c r="AM154" s="223">
        <f>IF(AND('CONTROLE EJ'!H156="",'CONTROLE CMM'!H156=""),"",N('CONTROLE EJ'!H156)+N('CONTROLE CMM'!H156))</f>
        <v/>
      </c>
      <c r="AN154" s="223">
        <f>IF('CONTROLE GLOBO AÇOS'!G156="","",'CONTROLE GLOBO AÇOS'!G156)</f>
        <v/>
      </c>
      <c r="AO154" s="223">
        <f>IF('CONTROLE GLOBO AÇOS'!H156="","",'CONTROLE GLOBO AÇOS'!H156)</f>
        <v/>
      </c>
      <c r="AP154" s="223">
        <f>IF(AND('CONTROLE EJ'!I156="",'CONTROLE CMM'!I156=""),"",N('CONTROLE EJ'!I156)+N('CONTROLE CMM'!I156))</f>
        <v/>
      </c>
      <c r="AQ154" s="223">
        <f>IF(AND('CONTROLE EJ'!J156="",'CONTROLE CMM'!#REF!=""),"",N('CONTROLE EJ'!J156)+N('CONTROLE CMM'!#REF!))</f>
        <v/>
      </c>
      <c r="AR154" s="223">
        <f>IF('CONTROLE GLOBO AÇOS'!I156="","",'CONTROLE GLOBO AÇOS'!I156)</f>
        <v/>
      </c>
      <c r="AS154" s="223">
        <f>IF('CONTROLE GLOBO AÇOS'!J156="","",'CONTROLE GLOBO AÇOS'!J156)</f>
        <v/>
      </c>
      <c r="AT154" s="223">
        <f>IF(#REF!="","",#REF!)</f>
        <v/>
      </c>
      <c r="AU154" s="223">
        <f>IF('CONTROLE GLOBO AÇOS'!K156="","",'CONTROLE GLOBO AÇOS'!K156)</f>
        <v/>
      </c>
      <c r="AV154" s="223">
        <f>IF(AND('CONTROLE EJ'!K156="",'CONTROLE CMM'!#REF!=""),"",N('CONTROLE EJ'!K156)+N('CONTROLE CMM'!#REF!))</f>
        <v/>
      </c>
      <c r="AW154" s="223">
        <f>IF('CONTROLE GLOBO AÇOS'!L156="","",'CONTROLE GLOBO AÇOS'!L156)</f>
        <v/>
      </c>
      <c r="AX154" s="223">
        <f>IF(AND('CONTROLE EJ'!L156="",'CONTROLE CMM'!#REF!=""),"",N('CONTROLE EJ'!L156)+N('CONTROLE CMM'!#REF!))</f>
        <v/>
      </c>
      <c r="AY154" s="223">
        <f>IF('CONTROLE GLOBO AÇOS'!M156="","",'CONTROLE GLOBO AÇOS'!M156)</f>
        <v/>
      </c>
      <c r="AZ154" s="223">
        <f>IF('CONTROLE GLOBO AÇOS'!N156="","",'CONTROLE GLOBO AÇOS'!N156)</f>
        <v/>
      </c>
      <c r="BA154" s="223">
        <f>IF(AND('CONTROLE EJ'!M156="",'CONTROLE CMM'!#REF!=""),"",N('CONTROLE EJ'!M156)+N('CONTROLE CMM'!#REF!))</f>
        <v/>
      </c>
      <c r="BB154" s="223">
        <f>IF(#REF!="","",#REF!)</f>
        <v/>
      </c>
      <c r="BC154" s="223">
        <f>IF('CONTROLE GLOBO AÇOS'!O156="","",'CONTROLE GLOBO AÇOS'!O156)</f>
        <v/>
      </c>
      <c r="BD154" s="223">
        <f>IF(AND('CONTROLE EJ'!N156="",'CONTROLE CMM'!#REF!=""),"",N('CONTROLE EJ'!N156)+N('CONTROLE CMM'!#REF!))</f>
        <v/>
      </c>
      <c r="BE154" s="223">
        <f>IF('CONTROLE GLOBO AÇOS'!P156="","",'CONTROLE GLOBO AÇOS'!P156)</f>
        <v/>
      </c>
      <c r="BF154" s="223">
        <f>IF('CONTROLE GLOBO AÇOS'!Q156="","",'CONTROLE GLOBO AÇOS'!Q156)</f>
        <v/>
      </c>
      <c r="BG154" s="223">
        <f>IF('CONTROLE GLOBO AÇOS'!R156="","",'CONTROLE GLOBO AÇOS'!R156)</f>
        <v/>
      </c>
      <c r="BH154" s="223">
        <f>IF(AND('CONTROLE EJ'!O156="",'CONTROLE CMM'!#REF!=""),"",N('CONTROLE EJ'!O156)+N('CONTROLE CMM'!#REF!))</f>
        <v/>
      </c>
      <c r="BI154" s="223">
        <f>IF('CONTROLE GLOBO AÇOS'!S156="","",'CONTROLE GLOBO AÇOS'!S156)</f>
        <v/>
      </c>
      <c r="BJ154" s="223">
        <f>IF('CONTROLE GLOBO AÇOS'!T156="","",'CONTROLE GLOBO AÇOS'!T156)</f>
        <v/>
      </c>
      <c r="BK154" s="223">
        <f>IF('CONTROLE GLOBO AÇOS'!U156="","",'CONTROLE GLOBO AÇOS'!U156)</f>
        <v/>
      </c>
      <c r="BL154" s="223">
        <f>IF(AND('CONTROLE EJ'!P156="",'CONTROLE CMM'!#REF!=""),"",N('CONTROLE EJ'!P156)+N('CONTROLE CMM'!#REF!))</f>
        <v/>
      </c>
      <c r="BM154" s="223">
        <f>IF(AND('CONTROLE EJ'!Q156="",'CONTROLE CMM'!#REF!=""),"",N('CONTROLE EJ'!Q156)+N('CONTROLE CMM'!#REF!))</f>
        <v/>
      </c>
      <c r="BN154" s="223">
        <f>IF('CONTROLE GLOBO AÇOS'!V156="","",'CONTROLE GLOBO AÇOS'!V156)</f>
        <v/>
      </c>
      <c r="BO154" s="223">
        <f>IF('CONTROLE GLOBO AÇOS'!W156="","",'CONTROLE GLOBO AÇOS'!W156)</f>
        <v/>
      </c>
      <c r="BP154" s="223">
        <f>IF(AND('CONTROLE EJ'!R156="",'CONTROLE CMM'!#REF!=""),"",N('CONTROLE EJ'!R156)+N('CONTROLE CMM'!#REF!))</f>
        <v/>
      </c>
      <c r="BQ154" s="223">
        <f>IF(#REF!="","",#REF!)</f>
        <v/>
      </c>
      <c r="BR154" s="223">
        <f>IF(AND('CONTROLE EJ'!S156="",'CONTROLE CMM'!#REF!=""),"",N('CONTROLE EJ'!S156)+N('CONTROLE CMM'!#REF!))</f>
        <v/>
      </c>
      <c r="BS154" s="223">
        <f>IF(AND('CONTROLE EJ'!T156="",'CONTROLE CMM'!#REF!=""),"",N('CONTROLE EJ'!T156)+N('CONTROLE CMM'!#REF!))</f>
        <v/>
      </c>
      <c r="BT154" s="223">
        <f>IF('CONTROLE GLOBO AÇOS'!X156="","",'CONTROLE GLOBO AÇOS'!X156)</f>
        <v/>
      </c>
      <c r="BU154" s="223">
        <f>IF('CONTROLE GLOBO AÇOS'!Y156="","",'CONTROLE GLOBO AÇOS'!Y156)</f>
        <v/>
      </c>
      <c r="BV154" s="223">
        <f>IF(AND('CONTROLE EJ'!U156="",'CONTROLE CMM'!#REF!=""),"",N('CONTROLE EJ'!U156)+N('CONTROLE CMM'!#REF!))</f>
        <v/>
      </c>
      <c r="BW154" s="223">
        <f>IF(#REF!="","",#REF!)</f>
        <v/>
      </c>
    </row>
    <row r="155">
      <c r="A155" s="282" t="n">
        <v>46372</v>
      </c>
      <c r="B155" s="18">
        <f>IF('CONTROLE EJ'!B157="","",'CONTROLE EJ'!B157)</f>
        <v/>
      </c>
      <c r="C155" s="18">
        <f>IF('CONTROLE EJ'!C157="","",'CONTROLE EJ'!C157)</f>
        <v/>
      </c>
      <c r="D155" s="42">
        <f>IF('CONTROLE EJ'!D157="","",'CONTROLE EJ'!D157)</f>
        <v/>
      </c>
      <c r="E155" s="43">
        <f>IF('CONTROLE CMM'!B157="","",'CONTROLE CMM'!B157)</f>
        <v/>
      </c>
      <c r="F155" s="18">
        <f>IF('CONTROLE CMM'!C157="","",'CONTROLE CMM'!C157)</f>
        <v/>
      </c>
      <c r="G155" s="26">
        <f>IF('CONTROLE CMM'!D157="","",'CONTROLE CMM'!D157)</f>
        <v/>
      </c>
      <c r="H155" s="43">
        <f>IF('CONTROLE GLOBO AÇOS'!B157="","",'CONTROLE GLOBO AÇOS'!B157)</f>
        <v/>
      </c>
      <c r="I155" s="18">
        <f>IF('CONTROLE GLOBO AÇOS'!C157="","",'CONTROLE GLOBO AÇOS'!C157)</f>
        <v/>
      </c>
      <c r="J155" s="18">
        <f>IF('CONTROLE GLOBO AÇOS'!D157="","",'CONTROLE GLOBO AÇOS'!D157)</f>
        <v/>
      </c>
      <c r="AD155" s="39">
        <f>IF($A155="",0,IF(AND(WEEKDAY($A155,2)&lt;=5,OR($B155&lt;&gt;"",$C155&lt;&gt;"",$D155&lt;&gt;"")),1,0))</f>
        <v/>
      </c>
      <c r="AE155" s="39">
        <f>IF($A155="",0,IF(AND(WEEKDAY($A155,2)&lt;=5,OR($E155&lt;&gt;"",$F155&lt;&gt;"",$G155&lt;&gt;"")),1,0))</f>
        <v/>
      </c>
      <c r="AF155" s="39">
        <f>MAX(AD155,AE155)</f>
        <v/>
      </c>
      <c r="AH155" s="223">
        <f>IF('CONTROLE GLOBO AÇOS'!E157="","",'CONTROLE GLOBO AÇOS'!E157)</f>
        <v/>
      </c>
      <c r="AI155" s="223">
        <f>IF('CONTROLE GLOBO AÇOS'!F157="","",'CONTROLE GLOBO AÇOS'!F157)</f>
        <v/>
      </c>
      <c r="AJ155" s="223">
        <f>IF(AND('CONTROLE EJ'!E157="",'CONTROLE CMM'!E157=""),"",N('CONTROLE EJ'!E157)+N('CONTROLE CMM'!E157))</f>
        <v/>
      </c>
      <c r="AK155" s="223">
        <f>IF(AND('CONTROLE EJ'!F157="",'CONTROLE CMM'!F157=""),"",N('CONTROLE EJ'!F157)+N('CONTROLE CMM'!F157))</f>
        <v/>
      </c>
      <c r="AL155" s="223">
        <f>IF(AND('CONTROLE EJ'!G157="",'CONTROLE CMM'!G157=""),"",N('CONTROLE EJ'!G157)+N('CONTROLE CMM'!G157))</f>
        <v/>
      </c>
      <c r="AM155" s="223">
        <f>IF(AND('CONTROLE EJ'!H157="",'CONTROLE CMM'!H157=""),"",N('CONTROLE EJ'!H157)+N('CONTROLE CMM'!H157))</f>
        <v/>
      </c>
      <c r="AN155" s="223">
        <f>IF('CONTROLE GLOBO AÇOS'!G157="","",'CONTROLE GLOBO AÇOS'!G157)</f>
        <v/>
      </c>
      <c r="AO155" s="223">
        <f>IF('CONTROLE GLOBO AÇOS'!H157="","",'CONTROLE GLOBO AÇOS'!H157)</f>
        <v/>
      </c>
      <c r="AP155" s="223">
        <f>IF(AND('CONTROLE EJ'!I157="",'CONTROLE CMM'!I157=""),"",N('CONTROLE EJ'!I157)+N('CONTROLE CMM'!I157))</f>
        <v/>
      </c>
      <c r="AQ155" s="223">
        <f>IF(AND('CONTROLE EJ'!J157="",'CONTROLE CMM'!#REF!=""),"",N('CONTROLE EJ'!J157)+N('CONTROLE CMM'!#REF!))</f>
        <v/>
      </c>
      <c r="AR155" s="223">
        <f>IF('CONTROLE GLOBO AÇOS'!I157="","",'CONTROLE GLOBO AÇOS'!I157)</f>
        <v/>
      </c>
      <c r="AS155" s="223">
        <f>IF('CONTROLE GLOBO AÇOS'!J157="","",'CONTROLE GLOBO AÇOS'!J157)</f>
        <v/>
      </c>
      <c r="AT155" s="223">
        <f>IF(#REF!="","",#REF!)</f>
        <v/>
      </c>
      <c r="AU155" s="223">
        <f>IF('CONTROLE GLOBO AÇOS'!K157="","",'CONTROLE GLOBO AÇOS'!K157)</f>
        <v/>
      </c>
      <c r="AV155" s="223">
        <f>IF(AND('CONTROLE EJ'!K157="",'CONTROLE CMM'!#REF!=""),"",N('CONTROLE EJ'!K157)+N('CONTROLE CMM'!#REF!))</f>
        <v/>
      </c>
      <c r="AW155" s="223">
        <f>IF('CONTROLE GLOBO AÇOS'!L157="","",'CONTROLE GLOBO AÇOS'!L157)</f>
        <v/>
      </c>
      <c r="AX155" s="223">
        <f>IF(AND('CONTROLE EJ'!L157="",'CONTROLE CMM'!#REF!=""),"",N('CONTROLE EJ'!L157)+N('CONTROLE CMM'!#REF!))</f>
        <v/>
      </c>
      <c r="AY155" s="223">
        <f>IF('CONTROLE GLOBO AÇOS'!M157="","",'CONTROLE GLOBO AÇOS'!M157)</f>
        <v/>
      </c>
      <c r="AZ155" s="223">
        <f>IF('CONTROLE GLOBO AÇOS'!N157="","",'CONTROLE GLOBO AÇOS'!N157)</f>
        <v/>
      </c>
      <c r="BA155" s="223">
        <f>IF(AND('CONTROLE EJ'!M157="",'CONTROLE CMM'!#REF!=""),"",N('CONTROLE EJ'!M157)+N('CONTROLE CMM'!#REF!))</f>
        <v/>
      </c>
      <c r="BB155" s="223">
        <f>IF(#REF!="","",#REF!)</f>
        <v/>
      </c>
      <c r="BC155" s="223">
        <f>IF('CONTROLE GLOBO AÇOS'!O157="","",'CONTROLE GLOBO AÇOS'!O157)</f>
        <v/>
      </c>
      <c r="BD155" s="223">
        <f>IF(AND('CONTROLE EJ'!N157="",'CONTROLE CMM'!#REF!=""),"",N('CONTROLE EJ'!N157)+N('CONTROLE CMM'!#REF!))</f>
        <v/>
      </c>
      <c r="BE155" s="223">
        <f>IF('CONTROLE GLOBO AÇOS'!P157="","",'CONTROLE GLOBO AÇOS'!P157)</f>
        <v/>
      </c>
      <c r="BF155" s="223">
        <f>IF('CONTROLE GLOBO AÇOS'!Q157="","",'CONTROLE GLOBO AÇOS'!Q157)</f>
        <v/>
      </c>
      <c r="BG155" s="223">
        <f>IF('CONTROLE GLOBO AÇOS'!R157="","",'CONTROLE GLOBO AÇOS'!R157)</f>
        <v/>
      </c>
      <c r="BH155" s="223">
        <f>IF(AND('CONTROLE EJ'!O157="",'CONTROLE CMM'!#REF!=""),"",N('CONTROLE EJ'!O157)+N('CONTROLE CMM'!#REF!))</f>
        <v/>
      </c>
      <c r="BI155" s="223">
        <f>IF('CONTROLE GLOBO AÇOS'!S157="","",'CONTROLE GLOBO AÇOS'!S157)</f>
        <v/>
      </c>
      <c r="BJ155" s="223">
        <f>IF('CONTROLE GLOBO AÇOS'!T157="","",'CONTROLE GLOBO AÇOS'!T157)</f>
        <v/>
      </c>
      <c r="BK155" s="223">
        <f>IF('CONTROLE GLOBO AÇOS'!U157="","",'CONTROLE GLOBO AÇOS'!U157)</f>
        <v/>
      </c>
      <c r="BL155" s="223">
        <f>IF(AND('CONTROLE EJ'!P157="",'CONTROLE CMM'!#REF!=""),"",N('CONTROLE EJ'!P157)+N('CONTROLE CMM'!#REF!))</f>
        <v/>
      </c>
      <c r="BM155" s="223">
        <f>IF(AND('CONTROLE EJ'!Q157="",'CONTROLE CMM'!#REF!=""),"",N('CONTROLE EJ'!Q157)+N('CONTROLE CMM'!#REF!))</f>
        <v/>
      </c>
      <c r="BN155" s="223">
        <f>IF('CONTROLE GLOBO AÇOS'!V157="","",'CONTROLE GLOBO AÇOS'!V157)</f>
        <v/>
      </c>
      <c r="BO155" s="223">
        <f>IF('CONTROLE GLOBO AÇOS'!W157="","",'CONTROLE GLOBO AÇOS'!W157)</f>
        <v/>
      </c>
      <c r="BP155" s="223">
        <f>IF(AND('CONTROLE EJ'!R157="",'CONTROLE CMM'!#REF!=""),"",N('CONTROLE EJ'!R157)+N('CONTROLE CMM'!#REF!))</f>
        <v/>
      </c>
      <c r="BQ155" s="223">
        <f>IF(#REF!="","",#REF!)</f>
        <v/>
      </c>
      <c r="BR155" s="223">
        <f>IF(AND('CONTROLE EJ'!S157="",'CONTROLE CMM'!#REF!=""),"",N('CONTROLE EJ'!S157)+N('CONTROLE CMM'!#REF!))</f>
        <v/>
      </c>
      <c r="BS155" s="223">
        <f>IF(AND('CONTROLE EJ'!T157="",'CONTROLE CMM'!#REF!=""),"",N('CONTROLE EJ'!T157)+N('CONTROLE CMM'!#REF!))</f>
        <v/>
      </c>
      <c r="BT155" s="223">
        <f>IF('CONTROLE GLOBO AÇOS'!X157="","",'CONTROLE GLOBO AÇOS'!X157)</f>
        <v/>
      </c>
      <c r="BU155" s="223">
        <f>IF('CONTROLE GLOBO AÇOS'!Y157="","",'CONTROLE GLOBO AÇOS'!Y157)</f>
        <v/>
      </c>
      <c r="BV155" s="223">
        <f>IF(AND('CONTROLE EJ'!U157="",'CONTROLE CMM'!#REF!=""),"",N('CONTROLE EJ'!U157)+N('CONTROLE CMM'!#REF!))</f>
        <v/>
      </c>
      <c r="BW155" s="223">
        <f>IF(#REF!="","",#REF!)</f>
        <v/>
      </c>
    </row>
    <row r="156">
      <c r="A156" s="282" t="n">
        <v>46373</v>
      </c>
      <c r="B156" s="18">
        <f>IF('CONTROLE EJ'!B158="","",'CONTROLE EJ'!B158)</f>
        <v/>
      </c>
      <c r="C156" s="18">
        <f>IF('CONTROLE EJ'!C158="","",'CONTROLE EJ'!C158)</f>
        <v/>
      </c>
      <c r="D156" s="42">
        <f>IF('CONTROLE EJ'!D158="","",'CONTROLE EJ'!D158)</f>
        <v/>
      </c>
      <c r="E156" s="43">
        <f>IF('CONTROLE CMM'!B158="","",'CONTROLE CMM'!B158)</f>
        <v/>
      </c>
      <c r="F156" s="18">
        <f>IF('CONTROLE CMM'!C158="","",'CONTROLE CMM'!C158)</f>
        <v/>
      </c>
      <c r="G156" s="26">
        <f>IF('CONTROLE CMM'!D158="","",'CONTROLE CMM'!D158)</f>
        <v/>
      </c>
      <c r="H156" s="43">
        <f>IF('CONTROLE GLOBO AÇOS'!B158="","",'CONTROLE GLOBO AÇOS'!B158)</f>
        <v/>
      </c>
      <c r="I156" s="18">
        <f>IF('CONTROLE GLOBO AÇOS'!C158="","",'CONTROLE GLOBO AÇOS'!C158)</f>
        <v/>
      </c>
      <c r="J156" s="18">
        <f>IF('CONTROLE GLOBO AÇOS'!D158="","",'CONTROLE GLOBO AÇOS'!D158)</f>
        <v/>
      </c>
      <c r="AD156" s="39">
        <f>IF($A156="",0,IF(AND(WEEKDAY($A156,2)&lt;=5,OR($B156&lt;&gt;"",$C156&lt;&gt;"",$D156&lt;&gt;"")),1,0))</f>
        <v/>
      </c>
      <c r="AE156" s="39">
        <f>IF($A156="",0,IF(AND(WEEKDAY($A156,2)&lt;=5,OR($E156&lt;&gt;"",$F156&lt;&gt;"",$G156&lt;&gt;"")),1,0))</f>
        <v/>
      </c>
      <c r="AF156" s="39">
        <f>MAX(AD156,AE156)</f>
        <v/>
      </c>
      <c r="AH156" s="223">
        <f>IF('CONTROLE GLOBO AÇOS'!E158="","",'CONTROLE GLOBO AÇOS'!E158)</f>
        <v/>
      </c>
      <c r="AI156" s="223">
        <f>IF('CONTROLE GLOBO AÇOS'!F158="","",'CONTROLE GLOBO AÇOS'!F158)</f>
        <v/>
      </c>
      <c r="AJ156" s="223">
        <f>IF(AND('CONTROLE EJ'!E158="",'CONTROLE CMM'!E158=""),"",N('CONTROLE EJ'!E158)+N('CONTROLE CMM'!E158))</f>
        <v/>
      </c>
      <c r="AK156" s="223">
        <f>IF(AND('CONTROLE EJ'!F158="",'CONTROLE CMM'!F158=""),"",N('CONTROLE EJ'!F158)+N('CONTROLE CMM'!F158))</f>
        <v/>
      </c>
      <c r="AL156" s="223">
        <f>IF(AND('CONTROLE EJ'!G158="",'CONTROLE CMM'!G158=""),"",N('CONTROLE EJ'!G158)+N('CONTROLE CMM'!G158))</f>
        <v/>
      </c>
      <c r="AM156" s="223">
        <f>IF(AND('CONTROLE EJ'!H158="",'CONTROLE CMM'!H158=""),"",N('CONTROLE EJ'!H158)+N('CONTROLE CMM'!H158))</f>
        <v/>
      </c>
      <c r="AN156" s="223">
        <f>IF('CONTROLE GLOBO AÇOS'!G158="","",'CONTROLE GLOBO AÇOS'!G158)</f>
        <v/>
      </c>
      <c r="AO156" s="223">
        <f>IF('CONTROLE GLOBO AÇOS'!H158="","",'CONTROLE GLOBO AÇOS'!H158)</f>
        <v/>
      </c>
      <c r="AP156" s="223">
        <f>IF(AND('CONTROLE EJ'!I158="",'CONTROLE CMM'!I158=""),"",N('CONTROLE EJ'!I158)+N('CONTROLE CMM'!I158))</f>
        <v/>
      </c>
      <c r="AQ156" s="223">
        <f>IF(AND('CONTROLE EJ'!J158="",'CONTROLE CMM'!#REF!=""),"",N('CONTROLE EJ'!J158)+N('CONTROLE CMM'!#REF!))</f>
        <v/>
      </c>
      <c r="AR156" s="223">
        <f>IF('CONTROLE GLOBO AÇOS'!I158="","",'CONTROLE GLOBO AÇOS'!I158)</f>
        <v/>
      </c>
      <c r="AS156" s="223">
        <f>IF('CONTROLE GLOBO AÇOS'!J158="","",'CONTROLE GLOBO AÇOS'!J158)</f>
        <v/>
      </c>
      <c r="AT156" s="223">
        <f>IF(#REF!="","",#REF!)</f>
        <v/>
      </c>
      <c r="AU156" s="223">
        <f>IF('CONTROLE GLOBO AÇOS'!K158="","",'CONTROLE GLOBO AÇOS'!K158)</f>
        <v/>
      </c>
      <c r="AV156" s="223">
        <f>IF(AND('CONTROLE EJ'!K158="",'CONTROLE CMM'!#REF!=""),"",N('CONTROLE EJ'!K158)+N('CONTROLE CMM'!#REF!))</f>
        <v/>
      </c>
      <c r="AW156" s="223">
        <f>IF('CONTROLE GLOBO AÇOS'!L158="","",'CONTROLE GLOBO AÇOS'!L158)</f>
        <v/>
      </c>
      <c r="AX156" s="223">
        <f>IF(AND('CONTROLE EJ'!L158="",'CONTROLE CMM'!#REF!=""),"",N('CONTROLE EJ'!L158)+N('CONTROLE CMM'!#REF!))</f>
        <v/>
      </c>
      <c r="AY156" s="223">
        <f>IF('CONTROLE GLOBO AÇOS'!M158="","",'CONTROLE GLOBO AÇOS'!M158)</f>
        <v/>
      </c>
      <c r="AZ156" s="223">
        <f>IF('CONTROLE GLOBO AÇOS'!N158="","",'CONTROLE GLOBO AÇOS'!N158)</f>
        <v/>
      </c>
      <c r="BA156" s="223">
        <f>IF(AND('CONTROLE EJ'!M158="",'CONTROLE CMM'!#REF!=""),"",N('CONTROLE EJ'!M158)+N('CONTROLE CMM'!#REF!))</f>
        <v/>
      </c>
      <c r="BB156" s="223">
        <f>IF(#REF!="","",#REF!)</f>
        <v/>
      </c>
      <c r="BC156" s="223">
        <f>IF('CONTROLE GLOBO AÇOS'!O158="","",'CONTROLE GLOBO AÇOS'!O158)</f>
        <v/>
      </c>
      <c r="BD156" s="223">
        <f>IF(AND('CONTROLE EJ'!N158="",'CONTROLE CMM'!#REF!=""),"",N('CONTROLE EJ'!N158)+N('CONTROLE CMM'!#REF!))</f>
        <v/>
      </c>
      <c r="BE156" s="223">
        <f>IF('CONTROLE GLOBO AÇOS'!P158="","",'CONTROLE GLOBO AÇOS'!P158)</f>
        <v/>
      </c>
      <c r="BF156" s="223">
        <f>IF('CONTROLE GLOBO AÇOS'!Q158="","",'CONTROLE GLOBO AÇOS'!Q158)</f>
        <v/>
      </c>
      <c r="BG156" s="223">
        <f>IF('CONTROLE GLOBO AÇOS'!R158="","",'CONTROLE GLOBO AÇOS'!R158)</f>
        <v/>
      </c>
      <c r="BH156" s="223">
        <f>IF(AND('CONTROLE EJ'!O158="",'CONTROLE CMM'!#REF!=""),"",N('CONTROLE EJ'!O158)+N('CONTROLE CMM'!#REF!))</f>
        <v/>
      </c>
      <c r="BI156" s="223">
        <f>IF('CONTROLE GLOBO AÇOS'!S158="","",'CONTROLE GLOBO AÇOS'!S158)</f>
        <v/>
      </c>
      <c r="BJ156" s="223">
        <f>IF('CONTROLE GLOBO AÇOS'!T158="","",'CONTROLE GLOBO AÇOS'!T158)</f>
        <v/>
      </c>
      <c r="BK156" s="223">
        <f>IF('CONTROLE GLOBO AÇOS'!U158="","",'CONTROLE GLOBO AÇOS'!U158)</f>
        <v/>
      </c>
      <c r="BL156" s="223">
        <f>IF(AND('CONTROLE EJ'!P158="",'CONTROLE CMM'!#REF!=""),"",N('CONTROLE EJ'!P158)+N('CONTROLE CMM'!#REF!))</f>
        <v/>
      </c>
      <c r="BM156" s="223">
        <f>IF(AND('CONTROLE EJ'!Q158="",'CONTROLE CMM'!#REF!=""),"",N('CONTROLE EJ'!Q158)+N('CONTROLE CMM'!#REF!))</f>
        <v/>
      </c>
      <c r="BN156" s="223">
        <f>IF('CONTROLE GLOBO AÇOS'!V158="","",'CONTROLE GLOBO AÇOS'!V158)</f>
        <v/>
      </c>
      <c r="BO156" s="223">
        <f>IF('CONTROLE GLOBO AÇOS'!W158="","",'CONTROLE GLOBO AÇOS'!W158)</f>
        <v/>
      </c>
      <c r="BP156" s="223">
        <f>IF(AND('CONTROLE EJ'!R158="",'CONTROLE CMM'!#REF!=""),"",N('CONTROLE EJ'!R158)+N('CONTROLE CMM'!#REF!))</f>
        <v/>
      </c>
      <c r="BQ156" s="223">
        <f>IF(#REF!="","",#REF!)</f>
        <v/>
      </c>
      <c r="BR156" s="223">
        <f>IF(AND('CONTROLE EJ'!S158="",'CONTROLE CMM'!#REF!=""),"",N('CONTROLE EJ'!S158)+N('CONTROLE CMM'!#REF!))</f>
        <v/>
      </c>
      <c r="BS156" s="223">
        <f>IF(AND('CONTROLE EJ'!T158="",'CONTROLE CMM'!#REF!=""),"",N('CONTROLE EJ'!T158)+N('CONTROLE CMM'!#REF!))</f>
        <v/>
      </c>
      <c r="BT156" s="223">
        <f>IF('CONTROLE GLOBO AÇOS'!X158="","",'CONTROLE GLOBO AÇOS'!X158)</f>
        <v/>
      </c>
      <c r="BU156" s="223">
        <f>IF('CONTROLE GLOBO AÇOS'!Y158="","",'CONTROLE GLOBO AÇOS'!Y158)</f>
        <v/>
      </c>
      <c r="BV156" s="223">
        <f>IF(AND('CONTROLE EJ'!U158="",'CONTROLE CMM'!#REF!=""),"",N('CONTROLE EJ'!U158)+N('CONTROLE CMM'!#REF!))</f>
        <v/>
      </c>
      <c r="BW156" s="223">
        <f>IF(#REF!="","",#REF!)</f>
        <v/>
      </c>
    </row>
    <row r="157">
      <c r="A157" s="282" t="n">
        <v>46374</v>
      </c>
      <c r="B157" s="18">
        <f>IF('CONTROLE EJ'!B159="","",'CONTROLE EJ'!B159)</f>
        <v/>
      </c>
      <c r="C157" s="18">
        <f>IF('CONTROLE EJ'!C159="","",'CONTROLE EJ'!C159)</f>
        <v/>
      </c>
      <c r="D157" s="42">
        <f>IF('CONTROLE EJ'!D159="","",'CONTROLE EJ'!D159)</f>
        <v/>
      </c>
      <c r="E157" s="43">
        <f>IF('CONTROLE CMM'!B159="","",'CONTROLE CMM'!B159)</f>
        <v/>
      </c>
      <c r="F157" s="18">
        <f>IF('CONTROLE CMM'!C159="","",'CONTROLE CMM'!C159)</f>
        <v/>
      </c>
      <c r="G157" s="26">
        <f>IF('CONTROLE CMM'!D159="","",'CONTROLE CMM'!D159)</f>
        <v/>
      </c>
      <c r="H157" s="43">
        <f>IF('CONTROLE GLOBO AÇOS'!B159="","",'CONTROLE GLOBO AÇOS'!B159)</f>
        <v/>
      </c>
      <c r="I157" s="18">
        <f>IF('CONTROLE GLOBO AÇOS'!C159="","",'CONTROLE GLOBO AÇOS'!C159)</f>
        <v/>
      </c>
      <c r="J157" s="18">
        <f>IF('CONTROLE GLOBO AÇOS'!D159="","",'CONTROLE GLOBO AÇOS'!D159)</f>
        <v/>
      </c>
      <c r="AD157" s="39">
        <f>IF($A157="",0,IF(AND(WEEKDAY($A157,2)&lt;=5,OR($B157&lt;&gt;"",$C157&lt;&gt;"",$D157&lt;&gt;"")),1,0))</f>
        <v/>
      </c>
      <c r="AE157" s="39">
        <f>IF($A157="",0,IF(AND(WEEKDAY($A157,2)&lt;=5,OR($E157&lt;&gt;"",$F157&lt;&gt;"",$G157&lt;&gt;"")),1,0))</f>
        <v/>
      </c>
      <c r="AF157" s="39">
        <f>MAX(AD157,AE157)</f>
        <v/>
      </c>
      <c r="AH157" s="223">
        <f>IF('CONTROLE GLOBO AÇOS'!E159="","",'CONTROLE GLOBO AÇOS'!E159)</f>
        <v/>
      </c>
      <c r="AI157" s="223">
        <f>IF('CONTROLE GLOBO AÇOS'!F159="","",'CONTROLE GLOBO AÇOS'!F159)</f>
        <v/>
      </c>
      <c r="AJ157" s="223">
        <f>IF(AND('CONTROLE EJ'!E159="",'CONTROLE CMM'!E159=""),"",N('CONTROLE EJ'!E159)+N('CONTROLE CMM'!E159))</f>
        <v/>
      </c>
      <c r="AK157" s="223">
        <f>IF(AND('CONTROLE EJ'!F159="",'CONTROLE CMM'!F159=""),"",N('CONTROLE EJ'!F159)+N('CONTROLE CMM'!F159))</f>
        <v/>
      </c>
      <c r="AL157" s="223">
        <f>IF(AND('CONTROLE EJ'!G159="",'CONTROLE CMM'!G159=""),"",N('CONTROLE EJ'!G159)+N('CONTROLE CMM'!G159))</f>
        <v/>
      </c>
      <c r="AM157" s="223">
        <f>IF(AND('CONTROLE EJ'!H159="",'CONTROLE CMM'!H159=""),"",N('CONTROLE EJ'!H159)+N('CONTROLE CMM'!H159))</f>
        <v/>
      </c>
      <c r="AN157" s="223">
        <f>IF('CONTROLE GLOBO AÇOS'!G159="","",'CONTROLE GLOBO AÇOS'!G159)</f>
        <v/>
      </c>
      <c r="AO157" s="223">
        <f>IF('CONTROLE GLOBO AÇOS'!H159="","",'CONTROLE GLOBO AÇOS'!H159)</f>
        <v/>
      </c>
      <c r="AP157" s="223">
        <f>IF(AND('CONTROLE EJ'!I159="",'CONTROLE CMM'!I159=""),"",N('CONTROLE EJ'!I159)+N('CONTROLE CMM'!I159))</f>
        <v/>
      </c>
      <c r="AQ157" s="223">
        <f>IF(AND('CONTROLE EJ'!J159="",'CONTROLE CMM'!#REF!=""),"",N('CONTROLE EJ'!J159)+N('CONTROLE CMM'!#REF!))</f>
        <v/>
      </c>
      <c r="AR157" s="223">
        <f>IF('CONTROLE GLOBO AÇOS'!I159="","",'CONTROLE GLOBO AÇOS'!I159)</f>
        <v/>
      </c>
      <c r="AS157" s="223">
        <f>IF('CONTROLE GLOBO AÇOS'!J159="","",'CONTROLE GLOBO AÇOS'!J159)</f>
        <v/>
      </c>
      <c r="AT157" s="223">
        <f>IF(#REF!="","",#REF!)</f>
        <v/>
      </c>
      <c r="AU157" s="223">
        <f>IF('CONTROLE GLOBO AÇOS'!K159="","",'CONTROLE GLOBO AÇOS'!K159)</f>
        <v/>
      </c>
      <c r="AV157" s="223">
        <f>IF(AND('CONTROLE EJ'!K159="",'CONTROLE CMM'!#REF!=""),"",N('CONTROLE EJ'!K159)+N('CONTROLE CMM'!#REF!))</f>
        <v/>
      </c>
      <c r="AW157" s="223">
        <f>IF('CONTROLE GLOBO AÇOS'!L159="","",'CONTROLE GLOBO AÇOS'!L159)</f>
        <v/>
      </c>
      <c r="AX157" s="223">
        <f>IF(AND('CONTROLE EJ'!L159="",'CONTROLE CMM'!#REF!=""),"",N('CONTROLE EJ'!L159)+N('CONTROLE CMM'!#REF!))</f>
        <v/>
      </c>
      <c r="AY157" s="223">
        <f>IF('CONTROLE GLOBO AÇOS'!M159="","",'CONTROLE GLOBO AÇOS'!M159)</f>
        <v/>
      </c>
      <c r="AZ157" s="223">
        <f>IF('CONTROLE GLOBO AÇOS'!N159="","",'CONTROLE GLOBO AÇOS'!N159)</f>
        <v/>
      </c>
      <c r="BA157" s="223">
        <f>IF(AND('CONTROLE EJ'!M159="",'CONTROLE CMM'!#REF!=""),"",N('CONTROLE EJ'!M159)+N('CONTROLE CMM'!#REF!))</f>
        <v/>
      </c>
      <c r="BB157" s="223">
        <f>IF(#REF!="","",#REF!)</f>
        <v/>
      </c>
      <c r="BC157" s="223">
        <f>IF('CONTROLE GLOBO AÇOS'!O159="","",'CONTROLE GLOBO AÇOS'!O159)</f>
        <v/>
      </c>
      <c r="BD157" s="223">
        <f>IF(AND('CONTROLE EJ'!N159="",'CONTROLE CMM'!#REF!=""),"",N('CONTROLE EJ'!N159)+N('CONTROLE CMM'!#REF!))</f>
        <v/>
      </c>
      <c r="BE157" s="223">
        <f>IF('CONTROLE GLOBO AÇOS'!P159="","",'CONTROLE GLOBO AÇOS'!P159)</f>
        <v/>
      </c>
      <c r="BF157" s="223">
        <f>IF('CONTROLE GLOBO AÇOS'!Q159="","",'CONTROLE GLOBO AÇOS'!Q159)</f>
        <v/>
      </c>
      <c r="BG157" s="223">
        <f>IF('CONTROLE GLOBO AÇOS'!R159="","",'CONTROLE GLOBO AÇOS'!R159)</f>
        <v/>
      </c>
      <c r="BH157" s="223">
        <f>IF(AND('CONTROLE EJ'!O159="",'CONTROLE CMM'!#REF!=""),"",N('CONTROLE EJ'!O159)+N('CONTROLE CMM'!#REF!))</f>
        <v/>
      </c>
      <c r="BI157" s="223">
        <f>IF('CONTROLE GLOBO AÇOS'!S159="","",'CONTROLE GLOBO AÇOS'!S159)</f>
        <v/>
      </c>
      <c r="BJ157" s="223">
        <f>IF('CONTROLE GLOBO AÇOS'!T159="","",'CONTROLE GLOBO AÇOS'!T159)</f>
        <v/>
      </c>
      <c r="BK157" s="223">
        <f>IF('CONTROLE GLOBO AÇOS'!U159="","",'CONTROLE GLOBO AÇOS'!U159)</f>
        <v/>
      </c>
      <c r="BL157" s="223">
        <f>IF(AND('CONTROLE EJ'!P159="",'CONTROLE CMM'!#REF!=""),"",N('CONTROLE EJ'!P159)+N('CONTROLE CMM'!#REF!))</f>
        <v/>
      </c>
      <c r="BM157" s="223">
        <f>IF(AND('CONTROLE EJ'!Q159="",'CONTROLE CMM'!#REF!=""),"",N('CONTROLE EJ'!Q159)+N('CONTROLE CMM'!#REF!))</f>
        <v/>
      </c>
      <c r="BN157" s="223">
        <f>IF('CONTROLE GLOBO AÇOS'!V159="","",'CONTROLE GLOBO AÇOS'!V159)</f>
        <v/>
      </c>
      <c r="BO157" s="223">
        <f>IF('CONTROLE GLOBO AÇOS'!W159="","",'CONTROLE GLOBO AÇOS'!W159)</f>
        <v/>
      </c>
      <c r="BP157" s="223">
        <f>IF(AND('CONTROLE EJ'!R159="",'CONTROLE CMM'!#REF!=""),"",N('CONTROLE EJ'!R159)+N('CONTROLE CMM'!#REF!))</f>
        <v/>
      </c>
      <c r="BQ157" s="223">
        <f>IF(#REF!="","",#REF!)</f>
        <v/>
      </c>
      <c r="BR157" s="223">
        <f>IF(AND('CONTROLE EJ'!S159="",'CONTROLE CMM'!#REF!=""),"",N('CONTROLE EJ'!S159)+N('CONTROLE CMM'!#REF!))</f>
        <v/>
      </c>
      <c r="BS157" s="223">
        <f>IF(AND('CONTROLE EJ'!T159="",'CONTROLE CMM'!#REF!=""),"",N('CONTROLE EJ'!T159)+N('CONTROLE CMM'!#REF!))</f>
        <v/>
      </c>
      <c r="BT157" s="223">
        <f>IF('CONTROLE GLOBO AÇOS'!X159="","",'CONTROLE GLOBO AÇOS'!X159)</f>
        <v/>
      </c>
      <c r="BU157" s="223">
        <f>IF('CONTROLE GLOBO AÇOS'!Y159="","",'CONTROLE GLOBO AÇOS'!Y159)</f>
        <v/>
      </c>
      <c r="BV157" s="223">
        <f>IF(AND('CONTROLE EJ'!U159="",'CONTROLE CMM'!#REF!=""),"",N('CONTROLE EJ'!U159)+N('CONTROLE CMM'!#REF!))</f>
        <v/>
      </c>
      <c r="BW157" s="223">
        <f>IF(#REF!="","",#REF!)</f>
        <v/>
      </c>
    </row>
    <row r="158">
      <c r="A158" s="282" t="n">
        <v>46375</v>
      </c>
      <c r="B158" s="18">
        <f>IF('CONTROLE EJ'!B160="","",'CONTROLE EJ'!B160)</f>
        <v/>
      </c>
      <c r="C158" s="18">
        <f>IF('CONTROLE EJ'!C160="","",'CONTROLE EJ'!C160)</f>
        <v/>
      </c>
      <c r="D158" s="42">
        <f>IF('CONTROLE EJ'!D160="","",'CONTROLE EJ'!D160)</f>
        <v/>
      </c>
      <c r="E158" s="43">
        <f>IF('CONTROLE CMM'!B160="","",'CONTROLE CMM'!B160)</f>
        <v/>
      </c>
      <c r="F158" s="18">
        <f>IF('CONTROLE CMM'!C160="","",'CONTROLE CMM'!C160)</f>
        <v/>
      </c>
      <c r="G158" s="26">
        <f>IF('CONTROLE CMM'!D160="","",'CONTROLE CMM'!D160)</f>
        <v/>
      </c>
      <c r="H158" s="43">
        <f>IF('CONTROLE GLOBO AÇOS'!B160="","",'CONTROLE GLOBO AÇOS'!B160)</f>
        <v/>
      </c>
      <c r="I158" s="18">
        <f>IF('CONTROLE GLOBO AÇOS'!C160="","",'CONTROLE GLOBO AÇOS'!C160)</f>
        <v/>
      </c>
      <c r="J158" s="18">
        <f>IF('CONTROLE GLOBO AÇOS'!D160="","",'CONTROLE GLOBO AÇOS'!D160)</f>
        <v/>
      </c>
      <c r="AD158" s="39">
        <f>IF($A158="",0,IF(AND(WEEKDAY($A158,2)&lt;=5,OR($B158&lt;&gt;"",$C158&lt;&gt;"",$D158&lt;&gt;"")),1,0))</f>
        <v/>
      </c>
      <c r="AE158" s="39">
        <f>IF($A158="",0,IF(AND(WEEKDAY($A158,2)&lt;=5,OR($E158&lt;&gt;"",$F158&lt;&gt;"",$G158&lt;&gt;"")),1,0))</f>
        <v/>
      </c>
      <c r="AF158" s="39">
        <f>MAX(AD158,AE158)</f>
        <v/>
      </c>
      <c r="AH158" s="223">
        <f>IF('CONTROLE GLOBO AÇOS'!E160="","",'CONTROLE GLOBO AÇOS'!E160)</f>
        <v/>
      </c>
      <c r="AI158" s="223">
        <f>IF('CONTROLE GLOBO AÇOS'!F160="","",'CONTROLE GLOBO AÇOS'!F160)</f>
        <v/>
      </c>
      <c r="AJ158" s="223">
        <f>IF(AND('CONTROLE EJ'!E160="",'CONTROLE CMM'!E160=""),"",N('CONTROLE EJ'!E160)+N('CONTROLE CMM'!E160))</f>
        <v/>
      </c>
      <c r="AK158" s="223">
        <f>IF(AND('CONTROLE EJ'!F160="",'CONTROLE CMM'!F160=""),"",N('CONTROLE EJ'!F160)+N('CONTROLE CMM'!F160))</f>
        <v/>
      </c>
      <c r="AL158" s="223">
        <f>IF(AND('CONTROLE EJ'!G160="",'CONTROLE CMM'!G160=""),"",N('CONTROLE EJ'!G160)+N('CONTROLE CMM'!G160))</f>
        <v/>
      </c>
      <c r="AM158" s="223">
        <f>IF(AND('CONTROLE EJ'!H160="",'CONTROLE CMM'!H160=""),"",N('CONTROLE EJ'!H160)+N('CONTROLE CMM'!H160))</f>
        <v/>
      </c>
      <c r="AN158" s="223">
        <f>IF('CONTROLE GLOBO AÇOS'!G160="","",'CONTROLE GLOBO AÇOS'!G160)</f>
        <v/>
      </c>
      <c r="AO158" s="223">
        <f>IF('CONTROLE GLOBO AÇOS'!H160="","",'CONTROLE GLOBO AÇOS'!H160)</f>
        <v/>
      </c>
      <c r="AP158" s="223">
        <f>IF(AND('CONTROLE EJ'!I160="",'CONTROLE CMM'!I160=""),"",N('CONTROLE EJ'!I160)+N('CONTROLE CMM'!I160))</f>
        <v/>
      </c>
      <c r="AQ158" s="223">
        <f>IF(AND('CONTROLE EJ'!J160="",'CONTROLE CMM'!#REF!=""),"",N('CONTROLE EJ'!J160)+N('CONTROLE CMM'!#REF!))</f>
        <v/>
      </c>
      <c r="AR158" s="223">
        <f>IF('CONTROLE GLOBO AÇOS'!I160="","",'CONTROLE GLOBO AÇOS'!I160)</f>
        <v/>
      </c>
      <c r="AS158" s="223">
        <f>IF('CONTROLE GLOBO AÇOS'!J160="","",'CONTROLE GLOBO AÇOS'!J160)</f>
        <v/>
      </c>
      <c r="AT158" s="223">
        <f>IF(#REF!="","",#REF!)</f>
        <v/>
      </c>
      <c r="AU158" s="223">
        <f>IF('CONTROLE GLOBO AÇOS'!K160="","",'CONTROLE GLOBO AÇOS'!K160)</f>
        <v/>
      </c>
      <c r="AV158" s="223">
        <f>IF(AND('CONTROLE EJ'!K160="",'CONTROLE CMM'!#REF!=""),"",N('CONTROLE EJ'!K160)+N('CONTROLE CMM'!#REF!))</f>
        <v/>
      </c>
      <c r="AW158" s="223">
        <f>IF('CONTROLE GLOBO AÇOS'!L160="","",'CONTROLE GLOBO AÇOS'!L160)</f>
        <v/>
      </c>
      <c r="AX158" s="223">
        <f>IF(AND('CONTROLE EJ'!L160="",'CONTROLE CMM'!#REF!=""),"",N('CONTROLE EJ'!L160)+N('CONTROLE CMM'!#REF!))</f>
        <v/>
      </c>
      <c r="AY158" s="223">
        <f>IF('CONTROLE GLOBO AÇOS'!M160="","",'CONTROLE GLOBO AÇOS'!M160)</f>
        <v/>
      </c>
      <c r="AZ158" s="223">
        <f>IF('CONTROLE GLOBO AÇOS'!N160="","",'CONTROLE GLOBO AÇOS'!N160)</f>
        <v/>
      </c>
      <c r="BA158" s="223">
        <f>IF(AND('CONTROLE EJ'!M160="",'CONTROLE CMM'!#REF!=""),"",N('CONTROLE EJ'!M160)+N('CONTROLE CMM'!#REF!))</f>
        <v/>
      </c>
      <c r="BB158" s="223">
        <f>IF(#REF!="","",#REF!)</f>
        <v/>
      </c>
      <c r="BC158" s="223">
        <f>IF('CONTROLE GLOBO AÇOS'!O160="","",'CONTROLE GLOBO AÇOS'!O160)</f>
        <v/>
      </c>
      <c r="BD158" s="223">
        <f>IF(AND('CONTROLE EJ'!N160="",'CONTROLE CMM'!#REF!=""),"",N('CONTROLE EJ'!N160)+N('CONTROLE CMM'!#REF!))</f>
        <v/>
      </c>
      <c r="BE158" s="223">
        <f>IF('CONTROLE GLOBO AÇOS'!P160="","",'CONTROLE GLOBO AÇOS'!P160)</f>
        <v/>
      </c>
      <c r="BF158" s="223">
        <f>IF('CONTROLE GLOBO AÇOS'!Q160="","",'CONTROLE GLOBO AÇOS'!Q160)</f>
        <v/>
      </c>
      <c r="BG158" s="223">
        <f>IF('CONTROLE GLOBO AÇOS'!R160="","",'CONTROLE GLOBO AÇOS'!R160)</f>
        <v/>
      </c>
      <c r="BH158" s="223">
        <f>IF(AND('CONTROLE EJ'!O160="",'CONTROLE CMM'!#REF!=""),"",N('CONTROLE EJ'!O160)+N('CONTROLE CMM'!#REF!))</f>
        <v/>
      </c>
      <c r="BI158" s="223">
        <f>IF('CONTROLE GLOBO AÇOS'!S160="","",'CONTROLE GLOBO AÇOS'!S160)</f>
        <v/>
      </c>
      <c r="BJ158" s="223">
        <f>IF('CONTROLE GLOBO AÇOS'!T160="","",'CONTROLE GLOBO AÇOS'!T160)</f>
        <v/>
      </c>
      <c r="BK158" s="223">
        <f>IF('CONTROLE GLOBO AÇOS'!U160="","",'CONTROLE GLOBO AÇOS'!U160)</f>
        <v/>
      </c>
      <c r="BL158" s="223">
        <f>IF(AND('CONTROLE EJ'!P160="",'CONTROLE CMM'!#REF!=""),"",N('CONTROLE EJ'!P160)+N('CONTROLE CMM'!#REF!))</f>
        <v/>
      </c>
      <c r="BM158" s="223">
        <f>IF(AND('CONTROLE EJ'!Q160="",'CONTROLE CMM'!#REF!=""),"",N('CONTROLE EJ'!Q160)+N('CONTROLE CMM'!#REF!))</f>
        <v/>
      </c>
      <c r="BN158" s="223">
        <f>IF('CONTROLE GLOBO AÇOS'!V160="","",'CONTROLE GLOBO AÇOS'!V160)</f>
        <v/>
      </c>
      <c r="BO158" s="223">
        <f>IF('CONTROLE GLOBO AÇOS'!W160="","",'CONTROLE GLOBO AÇOS'!W160)</f>
        <v/>
      </c>
      <c r="BP158" s="223">
        <f>IF(AND('CONTROLE EJ'!R160="",'CONTROLE CMM'!#REF!=""),"",N('CONTROLE EJ'!R160)+N('CONTROLE CMM'!#REF!))</f>
        <v/>
      </c>
      <c r="BQ158" s="223">
        <f>IF(#REF!="","",#REF!)</f>
        <v/>
      </c>
      <c r="BR158" s="223">
        <f>IF(AND('CONTROLE EJ'!S160="",'CONTROLE CMM'!#REF!=""),"",N('CONTROLE EJ'!S160)+N('CONTROLE CMM'!#REF!))</f>
        <v/>
      </c>
      <c r="BS158" s="223">
        <f>IF(AND('CONTROLE EJ'!T160="",'CONTROLE CMM'!#REF!=""),"",N('CONTROLE EJ'!T160)+N('CONTROLE CMM'!#REF!))</f>
        <v/>
      </c>
      <c r="BT158" s="223">
        <f>IF('CONTROLE GLOBO AÇOS'!X160="","",'CONTROLE GLOBO AÇOS'!X160)</f>
        <v/>
      </c>
      <c r="BU158" s="223">
        <f>IF('CONTROLE GLOBO AÇOS'!Y160="","",'CONTROLE GLOBO AÇOS'!Y160)</f>
        <v/>
      </c>
      <c r="BV158" s="223">
        <f>IF(AND('CONTROLE EJ'!U160="",'CONTROLE CMM'!#REF!=""),"",N('CONTROLE EJ'!U160)+N('CONTROLE CMM'!#REF!))</f>
        <v/>
      </c>
      <c r="BW158" s="223">
        <f>IF(#REF!="","",#REF!)</f>
        <v/>
      </c>
    </row>
    <row r="159">
      <c r="A159" s="282" t="n">
        <v>46376</v>
      </c>
      <c r="B159" s="18">
        <f>IF('CONTROLE EJ'!B161="","",'CONTROLE EJ'!B161)</f>
        <v/>
      </c>
      <c r="C159" s="18">
        <f>IF('CONTROLE EJ'!C161="","",'CONTROLE EJ'!C161)</f>
        <v/>
      </c>
      <c r="D159" s="42">
        <f>IF('CONTROLE EJ'!D161="","",'CONTROLE EJ'!D161)</f>
        <v/>
      </c>
      <c r="E159" s="43">
        <f>IF('CONTROLE CMM'!B161="","",'CONTROLE CMM'!B161)</f>
        <v/>
      </c>
      <c r="F159" s="18">
        <f>IF('CONTROLE CMM'!C161="","",'CONTROLE CMM'!C161)</f>
        <v/>
      </c>
      <c r="G159" s="26">
        <f>IF('CONTROLE CMM'!D161="","",'CONTROLE CMM'!D161)</f>
        <v/>
      </c>
      <c r="H159" s="43">
        <f>IF('CONTROLE GLOBO AÇOS'!B161="","",'CONTROLE GLOBO AÇOS'!B161)</f>
        <v/>
      </c>
      <c r="I159" s="18">
        <f>IF('CONTROLE GLOBO AÇOS'!C161="","",'CONTROLE GLOBO AÇOS'!C161)</f>
        <v/>
      </c>
      <c r="J159" s="18">
        <f>IF('CONTROLE GLOBO AÇOS'!D161="","",'CONTROLE GLOBO AÇOS'!D161)</f>
        <v/>
      </c>
      <c r="AD159" s="39">
        <f>IF($A159="",0,IF(AND(WEEKDAY($A159,2)&lt;=5,OR($B159&lt;&gt;"",$C159&lt;&gt;"",$D159&lt;&gt;"")),1,0))</f>
        <v/>
      </c>
      <c r="AE159" s="39">
        <f>IF($A159="",0,IF(AND(WEEKDAY($A159,2)&lt;=5,OR($E159&lt;&gt;"",$F159&lt;&gt;"",$G159&lt;&gt;"")),1,0))</f>
        <v/>
      </c>
      <c r="AF159" s="39">
        <f>MAX(AD159,AE159)</f>
        <v/>
      </c>
      <c r="AH159" s="223">
        <f>IF('CONTROLE GLOBO AÇOS'!E161="","",'CONTROLE GLOBO AÇOS'!E161)</f>
        <v/>
      </c>
      <c r="AI159" s="223">
        <f>IF('CONTROLE GLOBO AÇOS'!F161="","",'CONTROLE GLOBO AÇOS'!F161)</f>
        <v/>
      </c>
      <c r="AJ159" s="223">
        <f>IF(AND('CONTROLE EJ'!E161="",'CONTROLE CMM'!E161=""),"",N('CONTROLE EJ'!E161)+N('CONTROLE CMM'!E161))</f>
        <v/>
      </c>
      <c r="AK159" s="223">
        <f>IF(AND('CONTROLE EJ'!F161="",'CONTROLE CMM'!F161=""),"",N('CONTROLE EJ'!F161)+N('CONTROLE CMM'!F161))</f>
        <v/>
      </c>
      <c r="AL159" s="223">
        <f>IF(AND('CONTROLE EJ'!G161="",'CONTROLE CMM'!G161=""),"",N('CONTROLE EJ'!G161)+N('CONTROLE CMM'!G161))</f>
        <v/>
      </c>
      <c r="AM159" s="223">
        <f>IF(AND('CONTROLE EJ'!H161="",'CONTROLE CMM'!H161=""),"",N('CONTROLE EJ'!H161)+N('CONTROLE CMM'!H161))</f>
        <v/>
      </c>
      <c r="AN159" s="223">
        <f>IF('CONTROLE GLOBO AÇOS'!G161="","",'CONTROLE GLOBO AÇOS'!G161)</f>
        <v/>
      </c>
      <c r="AO159" s="223">
        <f>IF('CONTROLE GLOBO AÇOS'!H161="","",'CONTROLE GLOBO AÇOS'!H161)</f>
        <v/>
      </c>
      <c r="AP159" s="223">
        <f>IF(AND('CONTROLE EJ'!I161="",'CONTROLE CMM'!I161=""),"",N('CONTROLE EJ'!I161)+N('CONTROLE CMM'!I161))</f>
        <v/>
      </c>
      <c r="AQ159" s="223">
        <f>IF(AND('CONTROLE EJ'!J161="",'CONTROLE CMM'!#REF!=""),"",N('CONTROLE EJ'!J161)+N('CONTROLE CMM'!#REF!))</f>
        <v/>
      </c>
      <c r="AR159" s="223">
        <f>IF('CONTROLE GLOBO AÇOS'!I161="","",'CONTROLE GLOBO AÇOS'!I161)</f>
        <v/>
      </c>
      <c r="AS159" s="223">
        <f>IF('CONTROLE GLOBO AÇOS'!J161="","",'CONTROLE GLOBO AÇOS'!J161)</f>
        <v/>
      </c>
      <c r="AT159" s="223">
        <f>IF(#REF!="","",#REF!)</f>
        <v/>
      </c>
      <c r="AU159" s="223">
        <f>IF('CONTROLE GLOBO AÇOS'!K161="","",'CONTROLE GLOBO AÇOS'!K161)</f>
        <v/>
      </c>
      <c r="AV159" s="223">
        <f>IF(AND('CONTROLE EJ'!K161="",'CONTROLE CMM'!#REF!=""),"",N('CONTROLE EJ'!K161)+N('CONTROLE CMM'!#REF!))</f>
        <v/>
      </c>
      <c r="AW159" s="223">
        <f>IF('CONTROLE GLOBO AÇOS'!L161="","",'CONTROLE GLOBO AÇOS'!L161)</f>
        <v/>
      </c>
      <c r="AX159" s="223">
        <f>IF(AND('CONTROLE EJ'!L161="",'CONTROLE CMM'!#REF!=""),"",N('CONTROLE EJ'!L161)+N('CONTROLE CMM'!#REF!))</f>
        <v/>
      </c>
      <c r="AY159" s="223">
        <f>IF('CONTROLE GLOBO AÇOS'!M161="","",'CONTROLE GLOBO AÇOS'!M161)</f>
        <v/>
      </c>
      <c r="AZ159" s="223">
        <f>IF('CONTROLE GLOBO AÇOS'!N161="","",'CONTROLE GLOBO AÇOS'!N161)</f>
        <v/>
      </c>
      <c r="BA159" s="223">
        <f>IF(AND('CONTROLE EJ'!M161="",'CONTROLE CMM'!#REF!=""),"",N('CONTROLE EJ'!M161)+N('CONTROLE CMM'!#REF!))</f>
        <v/>
      </c>
      <c r="BB159" s="223">
        <f>IF(#REF!="","",#REF!)</f>
        <v/>
      </c>
      <c r="BC159" s="223">
        <f>IF('CONTROLE GLOBO AÇOS'!O161="","",'CONTROLE GLOBO AÇOS'!O161)</f>
        <v/>
      </c>
      <c r="BD159" s="223">
        <f>IF(AND('CONTROLE EJ'!N161="",'CONTROLE CMM'!#REF!=""),"",N('CONTROLE EJ'!N161)+N('CONTROLE CMM'!#REF!))</f>
        <v/>
      </c>
      <c r="BE159" s="223">
        <f>IF('CONTROLE GLOBO AÇOS'!P161="","",'CONTROLE GLOBO AÇOS'!P161)</f>
        <v/>
      </c>
      <c r="BF159" s="223">
        <f>IF('CONTROLE GLOBO AÇOS'!Q161="","",'CONTROLE GLOBO AÇOS'!Q161)</f>
        <v/>
      </c>
      <c r="BG159" s="223">
        <f>IF('CONTROLE GLOBO AÇOS'!R161="","",'CONTROLE GLOBO AÇOS'!R161)</f>
        <v/>
      </c>
      <c r="BH159" s="223">
        <f>IF(AND('CONTROLE EJ'!O161="",'CONTROLE CMM'!#REF!=""),"",N('CONTROLE EJ'!O161)+N('CONTROLE CMM'!#REF!))</f>
        <v/>
      </c>
      <c r="BI159" s="223">
        <f>IF('CONTROLE GLOBO AÇOS'!S161="","",'CONTROLE GLOBO AÇOS'!S161)</f>
        <v/>
      </c>
      <c r="BJ159" s="223">
        <f>IF('CONTROLE GLOBO AÇOS'!T161="","",'CONTROLE GLOBO AÇOS'!T161)</f>
        <v/>
      </c>
      <c r="BK159" s="223">
        <f>IF('CONTROLE GLOBO AÇOS'!U161="","",'CONTROLE GLOBO AÇOS'!U161)</f>
        <v/>
      </c>
      <c r="BL159" s="223">
        <f>IF(AND('CONTROLE EJ'!P161="",'CONTROLE CMM'!#REF!=""),"",N('CONTROLE EJ'!P161)+N('CONTROLE CMM'!#REF!))</f>
        <v/>
      </c>
      <c r="BM159" s="223">
        <f>IF(AND('CONTROLE EJ'!Q161="",'CONTROLE CMM'!#REF!=""),"",N('CONTROLE EJ'!Q161)+N('CONTROLE CMM'!#REF!))</f>
        <v/>
      </c>
      <c r="BN159" s="223">
        <f>IF('CONTROLE GLOBO AÇOS'!V161="","",'CONTROLE GLOBO AÇOS'!V161)</f>
        <v/>
      </c>
      <c r="BO159" s="223">
        <f>IF('CONTROLE GLOBO AÇOS'!W161="","",'CONTROLE GLOBO AÇOS'!W161)</f>
        <v/>
      </c>
      <c r="BP159" s="223">
        <f>IF(AND('CONTROLE EJ'!R161="",'CONTROLE CMM'!#REF!=""),"",N('CONTROLE EJ'!R161)+N('CONTROLE CMM'!#REF!))</f>
        <v/>
      </c>
      <c r="BQ159" s="223">
        <f>IF(#REF!="","",#REF!)</f>
        <v/>
      </c>
      <c r="BR159" s="223">
        <f>IF(AND('CONTROLE EJ'!S161="",'CONTROLE CMM'!#REF!=""),"",N('CONTROLE EJ'!S161)+N('CONTROLE CMM'!#REF!))</f>
        <v/>
      </c>
      <c r="BS159" s="223">
        <f>IF(AND('CONTROLE EJ'!T161="",'CONTROLE CMM'!#REF!=""),"",N('CONTROLE EJ'!T161)+N('CONTROLE CMM'!#REF!))</f>
        <v/>
      </c>
      <c r="BT159" s="223">
        <f>IF('CONTROLE GLOBO AÇOS'!X161="","",'CONTROLE GLOBO AÇOS'!X161)</f>
        <v/>
      </c>
      <c r="BU159" s="223">
        <f>IF('CONTROLE GLOBO AÇOS'!Y161="","",'CONTROLE GLOBO AÇOS'!Y161)</f>
        <v/>
      </c>
      <c r="BV159" s="223">
        <f>IF(AND('CONTROLE EJ'!U161="",'CONTROLE CMM'!#REF!=""),"",N('CONTROLE EJ'!U161)+N('CONTROLE CMM'!#REF!))</f>
        <v/>
      </c>
      <c r="BW159" s="223">
        <f>IF(#REF!="","",#REF!)</f>
        <v/>
      </c>
    </row>
    <row r="160">
      <c r="A160" s="282" t="n">
        <v>46377</v>
      </c>
      <c r="B160" s="18">
        <f>IF('CONTROLE EJ'!B162="","",'CONTROLE EJ'!B162)</f>
        <v/>
      </c>
      <c r="C160" s="18">
        <f>IF('CONTROLE EJ'!C162="","",'CONTROLE EJ'!C162)</f>
        <v/>
      </c>
      <c r="D160" s="42">
        <f>IF('CONTROLE EJ'!D162="","",'CONTROLE EJ'!D162)</f>
        <v/>
      </c>
      <c r="E160" s="43">
        <f>IF('CONTROLE CMM'!B162="","",'CONTROLE CMM'!B162)</f>
        <v/>
      </c>
      <c r="F160" s="18">
        <f>IF('CONTROLE CMM'!C162="","",'CONTROLE CMM'!C162)</f>
        <v/>
      </c>
      <c r="G160" s="26">
        <f>IF('CONTROLE CMM'!D162="","",'CONTROLE CMM'!D162)</f>
        <v/>
      </c>
      <c r="H160" s="43">
        <f>IF('CONTROLE GLOBO AÇOS'!B162="","",'CONTROLE GLOBO AÇOS'!B162)</f>
        <v/>
      </c>
      <c r="I160" s="18">
        <f>IF('CONTROLE GLOBO AÇOS'!C162="","",'CONTROLE GLOBO AÇOS'!C162)</f>
        <v/>
      </c>
      <c r="J160" s="18">
        <f>IF('CONTROLE GLOBO AÇOS'!D162="","",'CONTROLE GLOBO AÇOS'!D162)</f>
        <v/>
      </c>
      <c r="AD160" s="39">
        <f>IF($A160="",0,IF(AND(WEEKDAY($A160,2)&lt;=5,OR($B160&lt;&gt;"",$C160&lt;&gt;"",$D160&lt;&gt;"")),1,0))</f>
        <v/>
      </c>
      <c r="AE160" s="39">
        <f>IF($A160="",0,IF(AND(WEEKDAY($A160,2)&lt;=5,OR($E160&lt;&gt;"",$F160&lt;&gt;"",$G160&lt;&gt;"")),1,0))</f>
        <v/>
      </c>
      <c r="AF160" s="39">
        <f>MAX(AD160,AE160)</f>
        <v/>
      </c>
      <c r="AH160" s="223">
        <f>IF('CONTROLE GLOBO AÇOS'!E162="","",'CONTROLE GLOBO AÇOS'!E162)</f>
        <v/>
      </c>
      <c r="AI160" s="223">
        <f>IF('CONTROLE GLOBO AÇOS'!F162="","",'CONTROLE GLOBO AÇOS'!F162)</f>
        <v/>
      </c>
      <c r="AJ160" s="223">
        <f>IF(AND('CONTROLE EJ'!E162="",'CONTROLE CMM'!E162=""),"",N('CONTROLE EJ'!E162)+N('CONTROLE CMM'!E162))</f>
        <v/>
      </c>
      <c r="AK160" s="223">
        <f>IF(AND('CONTROLE EJ'!F162="",'CONTROLE CMM'!F162=""),"",N('CONTROLE EJ'!F162)+N('CONTROLE CMM'!F162))</f>
        <v/>
      </c>
      <c r="AL160" s="223">
        <f>IF(AND('CONTROLE EJ'!G162="",'CONTROLE CMM'!G162=""),"",N('CONTROLE EJ'!G162)+N('CONTROLE CMM'!G162))</f>
        <v/>
      </c>
      <c r="AM160" s="223">
        <f>IF(AND('CONTROLE EJ'!H162="",'CONTROLE CMM'!H162=""),"",N('CONTROLE EJ'!H162)+N('CONTROLE CMM'!H162))</f>
        <v/>
      </c>
      <c r="AN160" s="223">
        <f>IF('CONTROLE GLOBO AÇOS'!G162="","",'CONTROLE GLOBO AÇOS'!G162)</f>
        <v/>
      </c>
      <c r="AO160" s="223">
        <f>IF('CONTROLE GLOBO AÇOS'!H162="","",'CONTROLE GLOBO AÇOS'!H162)</f>
        <v/>
      </c>
      <c r="AP160" s="223">
        <f>IF(AND('CONTROLE EJ'!I162="",'CONTROLE CMM'!I162=""),"",N('CONTROLE EJ'!I162)+N('CONTROLE CMM'!I162))</f>
        <v/>
      </c>
      <c r="AQ160" s="223">
        <f>IF(AND('CONTROLE EJ'!J162="",'CONTROLE CMM'!#REF!=""),"",N('CONTROLE EJ'!J162)+N('CONTROLE CMM'!#REF!))</f>
        <v/>
      </c>
      <c r="AR160" s="223">
        <f>IF('CONTROLE GLOBO AÇOS'!I162="","",'CONTROLE GLOBO AÇOS'!I162)</f>
        <v/>
      </c>
      <c r="AS160" s="223">
        <f>IF('CONTROLE GLOBO AÇOS'!J162="","",'CONTROLE GLOBO AÇOS'!J162)</f>
        <v/>
      </c>
      <c r="AT160" s="223">
        <f>IF(#REF!="","",#REF!)</f>
        <v/>
      </c>
      <c r="AU160" s="223">
        <f>IF('CONTROLE GLOBO AÇOS'!K162="","",'CONTROLE GLOBO AÇOS'!K162)</f>
        <v/>
      </c>
      <c r="AV160" s="223">
        <f>IF(AND('CONTROLE EJ'!K162="",'CONTROLE CMM'!#REF!=""),"",N('CONTROLE EJ'!K162)+N('CONTROLE CMM'!#REF!))</f>
        <v/>
      </c>
      <c r="AW160" s="223">
        <f>IF('CONTROLE GLOBO AÇOS'!L162="","",'CONTROLE GLOBO AÇOS'!L162)</f>
        <v/>
      </c>
      <c r="AX160" s="223">
        <f>IF(AND('CONTROLE EJ'!L162="",'CONTROLE CMM'!#REF!=""),"",N('CONTROLE EJ'!L162)+N('CONTROLE CMM'!#REF!))</f>
        <v/>
      </c>
      <c r="AY160" s="223">
        <f>IF('CONTROLE GLOBO AÇOS'!M162="","",'CONTROLE GLOBO AÇOS'!M162)</f>
        <v/>
      </c>
      <c r="AZ160" s="223">
        <f>IF('CONTROLE GLOBO AÇOS'!N162="","",'CONTROLE GLOBO AÇOS'!N162)</f>
        <v/>
      </c>
      <c r="BA160" s="223">
        <f>IF(AND('CONTROLE EJ'!M162="",'CONTROLE CMM'!#REF!=""),"",N('CONTROLE EJ'!M162)+N('CONTROLE CMM'!#REF!))</f>
        <v/>
      </c>
      <c r="BB160" s="223">
        <f>IF(#REF!="","",#REF!)</f>
        <v/>
      </c>
      <c r="BC160" s="223">
        <f>IF('CONTROLE GLOBO AÇOS'!O162="","",'CONTROLE GLOBO AÇOS'!O162)</f>
        <v/>
      </c>
      <c r="BD160" s="223">
        <f>IF(AND('CONTROLE EJ'!N162="",'CONTROLE CMM'!#REF!=""),"",N('CONTROLE EJ'!N162)+N('CONTROLE CMM'!#REF!))</f>
        <v/>
      </c>
      <c r="BE160" s="223">
        <f>IF('CONTROLE GLOBO AÇOS'!P162="","",'CONTROLE GLOBO AÇOS'!P162)</f>
        <v/>
      </c>
      <c r="BF160" s="223">
        <f>IF('CONTROLE GLOBO AÇOS'!Q162="","",'CONTROLE GLOBO AÇOS'!Q162)</f>
        <v/>
      </c>
      <c r="BG160" s="223">
        <f>IF('CONTROLE GLOBO AÇOS'!R162="","",'CONTROLE GLOBO AÇOS'!R162)</f>
        <v/>
      </c>
      <c r="BH160" s="223">
        <f>IF(AND('CONTROLE EJ'!O162="",'CONTROLE CMM'!#REF!=""),"",N('CONTROLE EJ'!O162)+N('CONTROLE CMM'!#REF!))</f>
        <v/>
      </c>
      <c r="BI160" s="223">
        <f>IF('CONTROLE GLOBO AÇOS'!S162="","",'CONTROLE GLOBO AÇOS'!S162)</f>
        <v/>
      </c>
      <c r="BJ160" s="223">
        <f>IF('CONTROLE GLOBO AÇOS'!T162="","",'CONTROLE GLOBO AÇOS'!T162)</f>
        <v/>
      </c>
      <c r="BK160" s="223">
        <f>IF('CONTROLE GLOBO AÇOS'!U162="","",'CONTROLE GLOBO AÇOS'!U162)</f>
        <v/>
      </c>
      <c r="BL160" s="223">
        <f>IF(AND('CONTROLE EJ'!P162="",'CONTROLE CMM'!#REF!=""),"",N('CONTROLE EJ'!P162)+N('CONTROLE CMM'!#REF!))</f>
        <v/>
      </c>
      <c r="BM160" s="223">
        <f>IF(AND('CONTROLE EJ'!Q162="",'CONTROLE CMM'!#REF!=""),"",N('CONTROLE EJ'!Q162)+N('CONTROLE CMM'!#REF!))</f>
        <v/>
      </c>
      <c r="BN160" s="223">
        <f>IF('CONTROLE GLOBO AÇOS'!V162="","",'CONTROLE GLOBO AÇOS'!V162)</f>
        <v/>
      </c>
      <c r="BO160" s="223">
        <f>IF('CONTROLE GLOBO AÇOS'!W162="","",'CONTROLE GLOBO AÇOS'!W162)</f>
        <v/>
      </c>
      <c r="BP160" s="223">
        <f>IF(AND('CONTROLE EJ'!R162="",'CONTROLE CMM'!#REF!=""),"",N('CONTROLE EJ'!R162)+N('CONTROLE CMM'!#REF!))</f>
        <v/>
      </c>
      <c r="BQ160" s="223">
        <f>IF(#REF!="","",#REF!)</f>
        <v/>
      </c>
      <c r="BR160" s="223">
        <f>IF(AND('CONTROLE EJ'!S162="",'CONTROLE CMM'!#REF!=""),"",N('CONTROLE EJ'!S162)+N('CONTROLE CMM'!#REF!))</f>
        <v/>
      </c>
      <c r="BS160" s="223">
        <f>IF(AND('CONTROLE EJ'!T162="",'CONTROLE CMM'!#REF!=""),"",N('CONTROLE EJ'!T162)+N('CONTROLE CMM'!#REF!))</f>
        <v/>
      </c>
      <c r="BT160" s="223">
        <f>IF('CONTROLE GLOBO AÇOS'!X162="","",'CONTROLE GLOBO AÇOS'!X162)</f>
        <v/>
      </c>
      <c r="BU160" s="223">
        <f>IF('CONTROLE GLOBO AÇOS'!Y162="","",'CONTROLE GLOBO AÇOS'!Y162)</f>
        <v/>
      </c>
      <c r="BV160" s="223">
        <f>IF(AND('CONTROLE EJ'!U162="",'CONTROLE CMM'!#REF!=""),"",N('CONTROLE EJ'!U162)+N('CONTROLE CMM'!#REF!))</f>
        <v/>
      </c>
      <c r="BW160" s="223">
        <f>IF(#REF!="","",#REF!)</f>
        <v/>
      </c>
    </row>
    <row r="161">
      <c r="A161" s="282" t="n">
        <v>46378</v>
      </c>
      <c r="B161" s="18">
        <f>IF('CONTROLE EJ'!B163="","",'CONTROLE EJ'!B163)</f>
        <v/>
      </c>
      <c r="C161" s="18">
        <f>IF('CONTROLE EJ'!C163="","",'CONTROLE EJ'!C163)</f>
        <v/>
      </c>
      <c r="D161" s="42">
        <f>IF('CONTROLE EJ'!D163="","",'CONTROLE EJ'!D163)</f>
        <v/>
      </c>
      <c r="E161" s="43">
        <f>IF('CONTROLE CMM'!B163="","",'CONTROLE CMM'!B163)</f>
        <v/>
      </c>
      <c r="F161" s="18">
        <f>IF('CONTROLE CMM'!C163="","",'CONTROLE CMM'!C163)</f>
        <v/>
      </c>
      <c r="G161" s="26">
        <f>IF('CONTROLE CMM'!D163="","",'CONTROLE CMM'!D163)</f>
        <v/>
      </c>
      <c r="H161" s="43">
        <f>IF('CONTROLE GLOBO AÇOS'!B163="","",'CONTROLE GLOBO AÇOS'!B163)</f>
        <v/>
      </c>
      <c r="I161" s="18">
        <f>IF('CONTROLE GLOBO AÇOS'!C163="","",'CONTROLE GLOBO AÇOS'!C163)</f>
        <v/>
      </c>
      <c r="J161" s="18">
        <f>IF('CONTROLE GLOBO AÇOS'!D163="","",'CONTROLE GLOBO AÇOS'!D163)</f>
        <v/>
      </c>
      <c r="AD161" s="39">
        <f>IF($A161="",0,IF(AND(WEEKDAY($A161,2)&lt;=5,OR($B161&lt;&gt;"",$C161&lt;&gt;"",$D161&lt;&gt;"")),1,0))</f>
        <v/>
      </c>
      <c r="AE161" s="39">
        <f>IF($A161="",0,IF(AND(WEEKDAY($A161,2)&lt;=5,OR($E161&lt;&gt;"",$F161&lt;&gt;"",$G161&lt;&gt;"")),1,0))</f>
        <v/>
      </c>
      <c r="AF161" s="39">
        <f>MAX(AD161,AE161)</f>
        <v/>
      </c>
      <c r="AH161" s="223">
        <f>IF('CONTROLE GLOBO AÇOS'!E163="","",'CONTROLE GLOBO AÇOS'!E163)</f>
        <v/>
      </c>
      <c r="AI161" s="223">
        <f>IF('CONTROLE GLOBO AÇOS'!F163="","",'CONTROLE GLOBO AÇOS'!F163)</f>
        <v/>
      </c>
      <c r="AJ161" s="223">
        <f>IF(AND('CONTROLE EJ'!E163="",'CONTROLE CMM'!E163=""),"",N('CONTROLE EJ'!E163)+N('CONTROLE CMM'!E163))</f>
        <v/>
      </c>
      <c r="AK161" s="223">
        <f>IF(AND('CONTROLE EJ'!F163="",'CONTROLE CMM'!F163=""),"",N('CONTROLE EJ'!F163)+N('CONTROLE CMM'!F163))</f>
        <v/>
      </c>
      <c r="AL161" s="223">
        <f>IF(AND('CONTROLE EJ'!G163="",'CONTROLE CMM'!G163=""),"",N('CONTROLE EJ'!G163)+N('CONTROLE CMM'!G163))</f>
        <v/>
      </c>
      <c r="AM161" s="223">
        <f>IF(AND('CONTROLE EJ'!H163="",'CONTROLE CMM'!H163=""),"",N('CONTROLE EJ'!H163)+N('CONTROLE CMM'!H163))</f>
        <v/>
      </c>
      <c r="AN161" s="223">
        <f>IF('CONTROLE GLOBO AÇOS'!G163="","",'CONTROLE GLOBO AÇOS'!G163)</f>
        <v/>
      </c>
      <c r="AO161" s="223">
        <f>IF('CONTROLE GLOBO AÇOS'!H163="","",'CONTROLE GLOBO AÇOS'!H163)</f>
        <v/>
      </c>
      <c r="AP161" s="223">
        <f>IF(AND('CONTROLE EJ'!I163="",'CONTROLE CMM'!I163=""),"",N('CONTROLE EJ'!I163)+N('CONTROLE CMM'!I163))</f>
        <v/>
      </c>
      <c r="AQ161" s="223">
        <f>IF(AND('CONTROLE EJ'!J163="",'CONTROLE CMM'!#REF!=""),"",N('CONTROLE EJ'!J163)+N('CONTROLE CMM'!#REF!))</f>
        <v/>
      </c>
      <c r="AR161" s="223">
        <f>IF('CONTROLE GLOBO AÇOS'!I163="","",'CONTROLE GLOBO AÇOS'!I163)</f>
        <v/>
      </c>
      <c r="AS161" s="223">
        <f>IF('CONTROLE GLOBO AÇOS'!J163="","",'CONTROLE GLOBO AÇOS'!J163)</f>
        <v/>
      </c>
      <c r="AT161" s="223">
        <f>IF(#REF!="","",#REF!)</f>
        <v/>
      </c>
      <c r="AU161" s="223">
        <f>IF('CONTROLE GLOBO AÇOS'!K163="","",'CONTROLE GLOBO AÇOS'!K163)</f>
        <v/>
      </c>
      <c r="AV161" s="223">
        <f>IF(AND('CONTROLE EJ'!K163="",'CONTROLE CMM'!#REF!=""),"",N('CONTROLE EJ'!K163)+N('CONTROLE CMM'!#REF!))</f>
        <v/>
      </c>
      <c r="AW161" s="223">
        <f>IF('CONTROLE GLOBO AÇOS'!L163="","",'CONTROLE GLOBO AÇOS'!L163)</f>
        <v/>
      </c>
      <c r="AX161" s="223">
        <f>IF(AND('CONTROLE EJ'!L163="",'CONTROLE CMM'!#REF!=""),"",N('CONTROLE EJ'!L163)+N('CONTROLE CMM'!#REF!))</f>
        <v/>
      </c>
      <c r="AY161" s="223">
        <f>IF('CONTROLE GLOBO AÇOS'!M163="","",'CONTROLE GLOBO AÇOS'!M163)</f>
        <v/>
      </c>
      <c r="AZ161" s="223">
        <f>IF('CONTROLE GLOBO AÇOS'!N163="","",'CONTROLE GLOBO AÇOS'!N163)</f>
        <v/>
      </c>
      <c r="BA161" s="223">
        <f>IF(AND('CONTROLE EJ'!M163="",'CONTROLE CMM'!#REF!=""),"",N('CONTROLE EJ'!M163)+N('CONTROLE CMM'!#REF!))</f>
        <v/>
      </c>
      <c r="BB161" s="223">
        <f>IF(#REF!="","",#REF!)</f>
        <v/>
      </c>
      <c r="BC161" s="223">
        <f>IF('CONTROLE GLOBO AÇOS'!O163="","",'CONTROLE GLOBO AÇOS'!O163)</f>
        <v/>
      </c>
      <c r="BD161" s="223">
        <f>IF(AND('CONTROLE EJ'!N163="",'CONTROLE CMM'!#REF!=""),"",N('CONTROLE EJ'!N163)+N('CONTROLE CMM'!#REF!))</f>
        <v/>
      </c>
      <c r="BE161" s="223">
        <f>IF('CONTROLE GLOBO AÇOS'!P163="","",'CONTROLE GLOBO AÇOS'!P163)</f>
        <v/>
      </c>
      <c r="BF161" s="223">
        <f>IF('CONTROLE GLOBO AÇOS'!Q163="","",'CONTROLE GLOBO AÇOS'!Q163)</f>
        <v/>
      </c>
      <c r="BG161" s="223">
        <f>IF('CONTROLE GLOBO AÇOS'!R163="","",'CONTROLE GLOBO AÇOS'!R163)</f>
        <v/>
      </c>
      <c r="BH161" s="223">
        <f>IF(AND('CONTROLE EJ'!O163="",'CONTROLE CMM'!#REF!=""),"",N('CONTROLE EJ'!O163)+N('CONTROLE CMM'!#REF!))</f>
        <v/>
      </c>
      <c r="BI161" s="223">
        <f>IF('CONTROLE GLOBO AÇOS'!S163="","",'CONTROLE GLOBO AÇOS'!S163)</f>
        <v/>
      </c>
      <c r="BJ161" s="223">
        <f>IF('CONTROLE GLOBO AÇOS'!T163="","",'CONTROLE GLOBO AÇOS'!T163)</f>
        <v/>
      </c>
      <c r="BK161" s="223">
        <f>IF('CONTROLE GLOBO AÇOS'!U163="","",'CONTROLE GLOBO AÇOS'!U163)</f>
        <v/>
      </c>
      <c r="BL161" s="223">
        <f>IF(AND('CONTROLE EJ'!P163="",'CONTROLE CMM'!#REF!=""),"",N('CONTROLE EJ'!P163)+N('CONTROLE CMM'!#REF!))</f>
        <v/>
      </c>
      <c r="BM161" s="223">
        <f>IF(AND('CONTROLE EJ'!Q163="",'CONTROLE CMM'!#REF!=""),"",N('CONTROLE EJ'!Q163)+N('CONTROLE CMM'!#REF!))</f>
        <v/>
      </c>
      <c r="BN161" s="223">
        <f>IF('CONTROLE GLOBO AÇOS'!V163="","",'CONTROLE GLOBO AÇOS'!V163)</f>
        <v/>
      </c>
      <c r="BO161" s="223">
        <f>IF('CONTROLE GLOBO AÇOS'!W163="","",'CONTROLE GLOBO AÇOS'!W163)</f>
        <v/>
      </c>
      <c r="BP161" s="223">
        <f>IF(AND('CONTROLE EJ'!R163="",'CONTROLE CMM'!#REF!=""),"",N('CONTROLE EJ'!R163)+N('CONTROLE CMM'!#REF!))</f>
        <v/>
      </c>
      <c r="BQ161" s="223">
        <f>IF(#REF!="","",#REF!)</f>
        <v/>
      </c>
      <c r="BR161" s="223">
        <f>IF(AND('CONTROLE EJ'!S163="",'CONTROLE CMM'!#REF!=""),"",N('CONTROLE EJ'!S163)+N('CONTROLE CMM'!#REF!))</f>
        <v/>
      </c>
      <c r="BS161" s="223">
        <f>IF(AND('CONTROLE EJ'!T163="",'CONTROLE CMM'!#REF!=""),"",N('CONTROLE EJ'!T163)+N('CONTROLE CMM'!#REF!))</f>
        <v/>
      </c>
      <c r="BT161" s="223">
        <f>IF('CONTROLE GLOBO AÇOS'!X163="","",'CONTROLE GLOBO AÇOS'!X163)</f>
        <v/>
      </c>
      <c r="BU161" s="223">
        <f>IF('CONTROLE GLOBO AÇOS'!Y163="","",'CONTROLE GLOBO AÇOS'!Y163)</f>
        <v/>
      </c>
      <c r="BV161" s="223">
        <f>IF(AND('CONTROLE EJ'!U163="",'CONTROLE CMM'!#REF!=""),"",N('CONTROLE EJ'!U163)+N('CONTROLE CMM'!#REF!))</f>
        <v/>
      </c>
      <c r="BW161" s="223">
        <f>IF(#REF!="","",#REF!)</f>
        <v/>
      </c>
    </row>
    <row r="162">
      <c r="A162" s="282" t="n">
        <v>46379</v>
      </c>
      <c r="B162" s="18">
        <f>IF('CONTROLE EJ'!B164="","",'CONTROLE EJ'!B164)</f>
        <v/>
      </c>
      <c r="C162" s="18">
        <f>IF('CONTROLE EJ'!C164="","",'CONTROLE EJ'!C164)</f>
        <v/>
      </c>
      <c r="D162" s="42">
        <f>IF('CONTROLE EJ'!D164="","",'CONTROLE EJ'!D164)</f>
        <v/>
      </c>
      <c r="E162" s="43">
        <f>IF('CONTROLE CMM'!B164="","",'CONTROLE CMM'!B164)</f>
        <v/>
      </c>
      <c r="F162" s="18">
        <f>IF('CONTROLE CMM'!C164="","",'CONTROLE CMM'!C164)</f>
        <v/>
      </c>
      <c r="G162" s="26">
        <f>IF('CONTROLE CMM'!D164="","",'CONTROLE CMM'!D164)</f>
        <v/>
      </c>
      <c r="H162" s="43">
        <f>IF('CONTROLE GLOBO AÇOS'!B164="","",'CONTROLE GLOBO AÇOS'!B164)</f>
        <v/>
      </c>
      <c r="I162" s="18">
        <f>IF('CONTROLE GLOBO AÇOS'!C164="","",'CONTROLE GLOBO AÇOS'!C164)</f>
        <v/>
      </c>
      <c r="J162" s="18">
        <f>IF('CONTROLE GLOBO AÇOS'!D164="","",'CONTROLE GLOBO AÇOS'!D164)</f>
        <v/>
      </c>
      <c r="AD162" s="39">
        <f>IF($A162="",0,IF(AND(WEEKDAY($A162,2)&lt;=5,OR($B162&lt;&gt;"",$C162&lt;&gt;"",$D162&lt;&gt;"")),1,0))</f>
        <v/>
      </c>
      <c r="AE162" s="39">
        <f>IF($A162="",0,IF(AND(WEEKDAY($A162,2)&lt;=5,OR($E162&lt;&gt;"",$F162&lt;&gt;"",$G162&lt;&gt;"")),1,0))</f>
        <v/>
      </c>
      <c r="AF162" s="39">
        <f>MAX(AD162,AE162)</f>
        <v/>
      </c>
      <c r="AH162" s="223">
        <f>IF('CONTROLE GLOBO AÇOS'!E164="","",'CONTROLE GLOBO AÇOS'!E164)</f>
        <v/>
      </c>
      <c r="AI162" s="223">
        <f>IF('CONTROLE GLOBO AÇOS'!F164="","",'CONTROLE GLOBO AÇOS'!F164)</f>
        <v/>
      </c>
      <c r="AJ162" s="223">
        <f>IF(AND('CONTROLE EJ'!E164="",'CONTROLE CMM'!E164=""),"",N('CONTROLE EJ'!E164)+N('CONTROLE CMM'!E164))</f>
        <v/>
      </c>
      <c r="AK162" s="223">
        <f>IF(AND('CONTROLE EJ'!F164="",'CONTROLE CMM'!F164=""),"",N('CONTROLE EJ'!F164)+N('CONTROLE CMM'!F164))</f>
        <v/>
      </c>
      <c r="AL162" s="223">
        <f>IF(AND('CONTROLE EJ'!G164="",'CONTROLE CMM'!G164=""),"",N('CONTROLE EJ'!G164)+N('CONTROLE CMM'!G164))</f>
        <v/>
      </c>
      <c r="AM162" s="223">
        <f>IF(AND('CONTROLE EJ'!H164="",'CONTROLE CMM'!H164=""),"",N('CONTROLE EJ'!H164)+N('CONTROLE CMM'!H164))</f>
        <v/>
      </c>
      <c r="AN162" s="223">
        <f>IF('CONTROLE GLOBO AÇOS'!G164="","",'CONTROLE GLOBO AÇOS'!G164)</f>
        <v/>
      </c>
      <c r="AO162" s="223">
        <f>IF('CONTROLE GLOBO AÇOS'!H164="","",'CONTROLE GLOBO AÇOS'!H164)</f>
        <v/>
      </c>
      <c r="AP162" s="223">
        <f>IF(AND('CONTROLE EJ'!I164="",'CONTROLE CMM'!I164=""),"",N('CONTROLE EJ'!I164)+N('CONTROLE CMM'!I164))</f>
        <v/>
      </c>
      <c r="AQ162" s="223">
        <f>IF(AND('CONTROLE EJ'!J164="",'CONTROLE CMM'!#REF!=""),"",N('CONTROLE EJ'!J164)+N('CONTROLE CMM'!#REF!))</f>
        <v/>
      </c>
      <c r="AR162" s="223">
        <f>IF('CONTROLE GLOBO AÇOS'!I164="","",'CONTROLE GLOBO AÇOS'!I164)</f>
        <v/>
      </c>
      <c r="AS162" s="223">
        <f>IF('CONTROLE GLOBO AÇOS'!J164="","",'CONTROLE GLOBO AÇOS'!J164)</f>
        <v/>
      </c>
      <c r="AT162" s="223">
        <f>IF(#REF!="","",#REF!)</f>
        <v/>
      </c>
      <c r="AU162" s="223">
        <f>IF('CONTROLE GLOBO AÇOS'!K164="","",'CONTROLE GLOBO AÇOS'!K164)</f>
        <v/>
      </c>
      <c r="AV162" s="223">
        <f>IF(AND('CONTROLE EJ'!K164="",'CONTROLE CMM'!#REF!=""),"",N('CONTROLE EJ'!K164)+N('CONTROLE CMM'!#REF!))</f>
        <v/>
      </c>
      <c r="AW162" s="223">
        <f>IF('CONTROLE GLOBO AÇOS'!L164="","",'CONTROLE GLOBO AÇOS'!L164)</f>
        <v/>
      </c>
      <c r="AX162" s="223">
        <f>IF(AND('CONTROLE EJ'!L164="",'CONTROLE CMM'!#REF!=""),"",N('CONTROLE EJ'!L164)+N('CONTROLE CMM'!#REF!))</f>
        <v/>
      </c>
      <c r="AY162" s="223">
        <f>IF('CONTROLE GLOBO AÇOS'!M164="","",'CONTROLE GLOBO AÇOS'!M164)</f>
        <v/>
      </c>
      <c r="AZ162" s="223">
        <f>IF('CONTROLE GLOBO AÇOS'!N164="","",'CONTROLE GLOBO AÇOS'!N164)</f>
        <v/>
      </c>
      <c r="BA162" s="223">
        <f>IF(AND('CONTROLE EJ'!M164="",'CONTROLE CMM'!#REF!=""),"",N('CONTROLE EJ'!M164)+N('CONTROLE CMM'!#REF!))</f>
        <v/>
      </c>
      <c r="BB162" s="223">
        <f>IF(#REF!="","",#REF!)</f>
        <v/>
      </c>
      <c r="BC162" s="223">
        <f>IF('CONTROLE GLOBO AÇOS'!O164="","",'CONTROLE GLOBO AÇOS'!O164)</f>
        <v/>
      </c>
      <c r="BD162" s="223">
        <f>IF(AND('CONTROLE EJ'!N164="",'CONTROLE CMM'!#REF!=""),"",N('CONTROLE EJ'!N164)+N('CONTROLE CMM'!#REF!))</f>
        <v/>
      </c>
      <c r="BE162" s="223">
        <f>IF('CONTROLE GLOBO AÇOS'!P164="","",'CONTROLE GLOBO AÇOS'!P164)</f>
        <v/>
      </c>
      <c r="BF162" s="223">
        <f>IF('CONTROLE GLOBO AÇOS'!Q164="","",'CONTROLE GLOBO AÇOS'!Q164)</f>
        <v/>
      </c>
      <c r="BG162" s="223">
        <f>IF('CONTROLE GLOBO AÇOS'!R164="","",'CONTROLE GLOBO AÇOS'!R164)</f>
        <v/>
      </c>
      <c r="BH162" s="223">
        <f>IF(AND('CONTROLE EJ'!O164="",'CONTROLE CMM'!#REF!=""),"",N('CONTROLE EJ'!O164)+N('CONTROLE CMM'!#REF!))</f>
        <v/>
      </c>
      <c r="BI162" s="223">
        <f>IF('CONTROLE GLOBO AÇOS'!S164="","",'CONTROLE GLOBO AÇOS'!S164)</f>
        <v/>
      </c>
      <c r="BJ162" s="223">
        <f>IF('CONTROLE GLOBO AÇOS'!T164="","",'CONTROLE GLOBO AÇOS'!T164)</f>
        <v/>
      </c>
      <c r="BK162" s="223">
        <f>IF('CONTROLE GLOBO AÇOS'!U164="","",'CONTROLE GLOBO AÇOS'!U164)</f>
        <v/>
      </c>
      <c r="BL162" s="223">
        <f>IF(AND('CONTROLE EJ'!P164="",'CONTROLE CMM'!#REF!=""),"",N('CONTROLE EJ'!P164)+N('CONTROLE CMM'!#REF!))</f>
        <v/>
      </c>
      <c r="BM162" s="223">
        <f>IF(AND('CONTROLE EJ'!Q164="",'CONTROLE CMM'!#REF!=""),"",N('CONTROLE EJ'!Q164)+N('CONTROLE CMM'!#REF!))</f>
        <v/>
      </c>
      <c r="BN162" s="223">
        <f>IF('CONTROLE GLOBO AÇOS'!V164="","",'CONTROLE GLOBO AÇOS'!V164)</f>
        <v/>
      </c>
      <c r="BO162" s="223">
        <f>IF('CONTROLE GLOBO AÇOS'!W164="","",'CONTROLE GLOBO AÇOS'!W164)</f>
        <v/>
      </c>
      <c r="BP162" s="223">
        <f>IF(AND('CONTROLE EJ'!R164="",'CONTROLE CMM'!#REF!=""),"",N('CONTROLE EJ'!R164)+N('CONTROLE CMM'!#REF!))</f>
        <v/>
      </c>
      <c r="BQ162" s="223">
        <f>IF(#REF!="","",#REF!)</f>
        <v/>
      </c>
      <c r="BR162" s="223">
        <f>IF(AND('CONTROLE EJ'!S164="",'CONTROLE CMM'!#REF!=""),"",N('CONTROLE EJ'!S164)+N('CONTROLE CMM'!#REF!))</f>
        <v/>
      </c>
      <c r="BS162" s="223">
        <f>IF(AND('CONTROLE EJ'!T164="",'CONTROLE CMM'!#REF!=""),"",N('CONTROLE EJ'!T164)+N('CONTROLE CMM'!#REF!))</f>
        <v/>
      </c>
      <c r="BT162" s="223">
        <f>IF('CONTROLE GLOBO AÇOS'!X164="","",'CONTROLE GLOBO AÇOS'!X164)</f>
        <v/>
      </c>
      <c r="BU162" s="223">
        <f>IF('CONTROLE GLOBO AÇOS'!Y164="","",'CONTROLE GLOBO AÇOS'!Y164)</f>
        <v/>
      </c>
      <c r="BV162" s="223">
        <f>IF(AND('CONTROLE EJ'!U164="",'CONTROLE CMM'!#REF!=""),"",N('CONTROLE EJ'!U164)+N('CONTROLE CMM'!#REF!))</f>
        <v/>
      </c>
      <c r="BW162" s="223">
        <f>IF(#REF!="","",#REF!)</f>
        <v/>
      </c>
    </row>
    <row r="163">
      <c r="A163" s="282" t="n">
        <v>46380</v>
      </c>
      <c r="B163" s="18">
        <f>IF('CONTROLE EJ'!B165="","",'CONTROLE EJ'!B165)</f>
        <v/>
      </c>
      <c r="C163" s="18">
        <f>IF('CONTROLE EJ'!C165="","",'CONTROLE EJ'!C165)</f>
        <v/>
      </c>
      <c r="D163" s="42">
        <f>IF('CONTROLE EJ'!D165="","",'CONTROLE EJ'!D165)</f>
        <v/>
      </c>
      <c r="E163" s="43">
        <f>IF('CONTROLE CMM'!B165="","",'CONTROLE CMM'!B165)</f>
        <v/>
      </c>
      <c r="F163" s="18">
        <f>IF('CONTROLE CMM'!C165="","",'CONTROLE CMM'!C165)</f>
        <v/>
      </c>
      <c r="G163" s="26">
        <f>IF('CONTROLE CMM'!D165="","",'CONTROLE CMM'!D165)</f>
        <v/>
      </c>
      <c r="H163" s="43">
        <f>IF('CONTROLE GLOBO AÇOS'!B165="","",'CONTROLE GLOBO AÇOS'!B165)</f>
        <v/>
      </c>
      <c r="I163" s="18">
        <f>IF('CONTROLE GLOBO AÇOS'!C165="","",'CONTROLE GLOBO AÇOS'!C165)</f>
        <v/>
      </c>
      <c r="J163" s="18">
        <f>IF('CONTROLE GLOBO AÇOS'!D165="","",'CONTROLE GLOBO AÇOS'!D165)</f>
        <v/>
      </c>
      <c r="AD163" s="39">
        <f>IF($A163="",0,IF(AND(WEEKDAY($A163,2)&lt;=5,OR($B163&lt;&gt;"",$C163&lt;&gt;"",$D163&lt;&gt;"")),1,0))</f>
        <v/>
      </c>
      <c r="AE163" s="39">
        <f>IF($A163="",0,IF(AND(WEEKDAY($A163,2)&lt;=5,OR($E163&lt;&gt;"",$F163&lt;&gt;"",$G163&lt;&gt;"")),1,0))</f>
        <v/>
      </c>
      <c r="AF163" s="39">
        <f>MAX(AD163,AE163)</f>
        <v/>
      </c>
      <c r="AH163" s="223">
        <f>IF('CONTROLE GLOBO AÇOS'!E165="","",'CONTROLE GLOBO AÇOS'!E165)</f>
        <v/>
      </c>
      <c r="AI163" s="223">
        <f>IF('CONTROLE GLOBO AÇOS'!F165="","",'CONTROLE GLOBO AÇOS'!F165)</f>
        <v/>
      </c>
      <c r="AJ163" s="223">
        <f>IF(AND('CONTROLE EJ'!E165="",'CONTROLE CMM'!E165=""),"",N('CONTROLE EJ'!E165)+N('CONTROLE CMM'!E165))</f>
        <v/>
      </c>
      <c r="AK163" s="223">
        <f>IF(AND('CONTROLE EJ'!F165="",'CONTROLE CMM'!F165=""),"",N('CONTROLE EJ'!F165)+N('CONTROLE CMM'!F165))</f>
        <v/>
      </c>
      <c r="AL163" s="223">
        <f>IF(AND('CONTROLE EJ'!G165="",'CONTROLE CMM'!G165=""),"",N('CONTROLE EJ'!G165)+N('CONTROLE CMM'!G165))</f>
        <v/>
      </c>
      <c r="AM163" s="223">
        <f>IF(AND('CONTROLE EJ'!H165="",'CONTROLE CMM'!H165=""),"",N('CONTROLE EJ'!H165)+N('CONTROLE CMM'!H165))</f>
        <v/>
      </c>
      <c r="AN163" s="223">
        <f>IF('CONTROLE GLOBO AÇOS'!G165="","",'CONTROLE GLOBO AÇOS'!G165)</f>
        <v/>
      </c>
      <c r="AO163" s="223">
        <f>IF('CONTROLE GLOBO AÇOS'!H165="","",'CONTROLE GLOBO AÇOS'!H165)</f>
        <v/>
      </c>
      <c r="AP163" s="223">
        <f>IF(AND('CONTROLE EJ'!I165="",'CONTROLE CMM'!I165=""),"",N('CONTROLE EJ'!I165)+N('CONTROLE CMM'!I165))</f>
        <v/>
      </c>
      <c r="AQ163" s="223">
        <f>IF(AND('CONTROLE EJ'!J165="",'CONTROLE CMM'!#REF!=""),"",N('CONTROLE EJ'!J165)+N('CONTROLE CMM'!#REF!))</f>
        <v/>
      </c>
      <c r="AR163" s="223">
        <f>IF('CONTROLE GLOBO AÇOS'!I165="","",'CONTROLE GLOBO AÇOS'!I165)</f>
        <v/>
      </c>
      <c r="AS163" s="223">
        <f>IF('CONTROLE GLOBO AÇOS'!J165="","",'CONTROLE GLOBO AÇOS'!J165)</f>
        <v/>
      </c>
      <c r="AT163" s="223">
        <f>IF(#REF!="","",#REF!)</f>
        <v/>
      </c>
      <c r="AU163" s="223">
        <f>IF('CONTROLE GLOBO AÇOS'!K165="","",'CONTROLE GLOBO AÇOS'!K165)</f>
        <v/>
      </c>
      <c r="AV163" s="223">
        <f>IF(AND('CONTROLE EJ'!K165="",'CONTROLE CMM'!#REF!=""),"",N('CONTROLE EJ'!K165)+N('CONTROLE CMM'!#REF!))</f>
        <v/>
      </c>
      <c r="AW163" s="223">
        <f>IF('CONTROLE GLOBO AÇOS'!L165="","",'CONTROLE GLOBO AÇOS'!L165)</f>
        <v/>
      </c>
      <c r="AX163" s="223">
        <f>IF(AND('CONTROLE EJ'!L165="",'CONTROLE CMM'!#REF!=""),"",N('CONTROLE EJ'!L165)+N('CONTROLE CMM'!#REF!))</f>
        <v/>
      </c>
      <c r="AY163" s="223">
        <f>IF('CONTROLE GLOBO AÇOS'!M165="","",'CONTROLE GLOBO AÇOS'!M165)</f>
        <v/>
      </c>
      <c r="AZ163" s="223">
        <f>IF('CONTROLE GLOBO AÇOS'!N165="","",'CONTROLE GLOBO AÇOS'!N165)</f>
        <v/>
      </c>
      <c r="BA163" s="223">
        <f>IF(AND('CONTROLE EJ'!M165="",'CONTROLE CMM'!#REF!=""),"",N('CONTROLE EJ'!M165)+N('CONTROLE CMM'!#REF!))</f>
        <v/>
      </c>
      <c r="BB163" s="223">
        <f>IF(#REF!="","",#REF!)</f>
        <v/>
      </c>
      <c r="BC163" s="223">
        <f>IF('CONTROLE GLOBO AÇOS'!O165="","",'CONTROLE GLOBO AÇOS'!O165)</f>
        <v/>
      </c>
      <c r="BD163" s="223">
        <f>IF(AND('CONTROLE EJ'!N165="",'CONTROLE CMM'!#REF!=""),"",N('CONTROLE EJ'!N165)+N('CONTROLE CMM'!#REF!))</f>
        <v/>
      </c>
      <c r="BE163" s="223">
        <f>IF('CONTROLE GLOBO AÇOS'!P165="","",'CONTROLE GLOBO AÇOS'!P165)</f>
        <v/>
      </c>
      <c r="BF163" s="223">
        <f>IF('CONTROLE GLOBO AÇOS'!Q165="","",'CONTROLE GLOBO AÇOS'!Q165)</f>
        <v/>
      </c>
      <c r="BG163" s="223">
        <f>IF('CONTROLE GLOBO AÇOS'!R165="","",'CONTROLE GLOBO AÇOS'!R165)</f>
        <v/>
      </c>
      <c r="BH163" s="223">
        <f>IF(AND('CONTROLE EJ'!O165="",'CONTROLE CMM'!#REF!=""),"",N('CONTROLE EJ'!O165)+N('CONTROLE CMM'!#REF!))</f>
        <v/>
      </c>
      <c r="BI163" s="223">
        <f>IF('CONTROLE GLOBO AÇOS'!S165="","",'CONTROLE GLOBO AÇOS'!S165)</f>
        <v/>
      </c>
      <c r="BJ163" s="223">
        <f>IF('CONTROLE GLOBO AÇOS'!T165="","",'CONTROLE GLOBO AÇOS'!T165)</f>
        <v/>
      </c>
      <c r="BK163" s="223">
        <f>IF('CONTROLE GLOBO AÇOS'!U165="","",'CONTROLE GLOBO AÇOS'!U165)</f>
        <v/>
      </c>
      <c r="BL163" s="223">
        <f>IF(AND('CONTROLE EJ'!P165="",'CONTROLE CMM'!#REF!=""),"",N('CONTROLE EJ'!P165)+N('CONTROLE CMM'!#REF!))</f>
        <v/>
      </c>
      <c r="BM163" s="223">
        <f>IF(AND('CONTROLE EJ'!Q165="",'CONTROLE CMM'!#REF!=""),"",N('CONTROLE EJ'!Q165)+N('CONTROLE CMM'!#REF!))</f>
        <v/>
      </c>
      <c r="BN163" s="223">
        <f>IF('CONTROLE GLOBO AÇOS'!V165="","",'CONTROLE GLOBO AÇOS'!V165)</f>
        <v/>
      </c>
      <c r="BO163" s="223">
        <f>IF('CONTROLE GLOBO AÇOS'!W165="","",'CONTROLE GLOBO AÇOS'!W165)</f>
        <v/>
      </c>
      <c r="BP163" s="223">
        <f>IF(AND('CONTROLE EJ'!R165="",'CONTROLE CMM'!#REF!=""),"",N('CONTROLE EJ'!R165)+N('CONTROLE CMM'!#REF!))</f>
        <v/>
      </c>
      <c r="BQ163" s="223">
        <f>IF(#REF!="","",#REF!)</f>
        <v/>
      </c>
      <c r="BR163" s="223">
        <f>IF(AND('CONTROLE EJ'!S165="",'CONTROLE CMM'!#REF!=""),"",N('CONTROLE EJ'!S165)+N('CONTROLE CMM'!#REF!))</f>
        <v/>
      </c>
      <c r="BS163" s="223">
        <f>IF(AND('CONTROLE EJ'!T165="",'CONTROLE CMM'!#REF!=""),"",N('CONTROLE EJ'!T165)+N('CONTROLE CMM'!#REF!))</f>
        <v/>
      </c>
      <c r="BT163" s="223">
        <f>IF('CONTROLE GLOBO AÇOS'!X165="","",'CONTROLE GLOBO AÇOS'!X165)</f>
        <v/>
      </c>
      <c r="BU163" s="223">
        <f>IF('CONTROLE GLOBO AÇOS'!Y165="","",'CONTROLE GLOBO AÇOS'!Y165)</f>
        <v/>
      </c>
      <c r="BV163" s="223">
        <f>IF(AND('CONTROLE EJ'!U165="",'CONTROLE CMM'!#REF!=""),"",N('CONTROLE EJ'!U165)+N('CONTROLE CMM'!#REF!))</f>
        <v/>
      </c>
      <c r="BW163" s="223">
        <f>IF(#REF!="","",#REF!)</f>
        <v/>
      </c>
    </row>
    <row r="164">
      <c r="A164" s="282" t="n">
        <v>46381</v>
      </c>
      <c r="B164" s="18">
        <f>IF('CONTROLE EJ'!B166="","",'CONTROLE EJ'!B166)</f>
        <v/>
      </c>
      <c r="C164" s="18">
        <f>IF('CONTROLE EJ'!C166="","",'CONTROLE EJ'!C166)</f>
        <v/>
      </c>
      <c r="D164" s="42">
        <f>IF('CONTROLE EJ'!D166="","",'CONTROLE EJ'!D166)</f>
        <v/>
      </c>
      <c r="E164" s="43">
        <f>IF('CONTROLE CMM'!B166="","",'CONTROLE CMM'!B166)</f>
        <v/>
      </c>
      <c r="F164" s="18">
        <f>IF('CONTROLE CMM'!C166="","",'CONTROLE CMM'!C166)</f>
        <v/>
      </c>
      <c r="G164" s="26">
        <f>IF('CONTROLE CMM'!D166="","",'CONTROLE CMM'!D166)</f>
        <v/>
      </c>
      <c r="H164" s="43">
        <f>IF('CONTROLE GLOBO AÇOS'!B166="","",'CONTROLE GLOBO AÇOS'!B166)</f>
        <v/>
      </c>
      <c r="I164" s="18">
        <f>IF('CONTROLE GLOBO AÇOS'!C166="","",'CONTROLE GLOBO AÇOS'!C166)</f>
        <v/>
      </c>
      <c r="J164" s="18">
        <f>IF('CONTROLE GLOBO AÇOS'!D166="","",'CONTROLE GLOBO AÇOS'!D166)</f>
        <v/>
      </c>
      <c r="AD164" s="39">
        <f>IF($A164="",0,IF(AND(WEEKDAY($A164,2)&lt;=5,OR($B164&lt;&gt;"",$C164&lt;&gt;"",$D164&lt;&gt;"")),1,0))</f>
        <v/>
      </c>
      <c r="AE164" s="39">
        <f>IF($A164="",0,IF(AND(WEEKDAY($A164,2)&lt;=5,OR($E164&lt;&gt;"",$F164&lt;&gt;"",$G164&lt;&gt;"")),1,0))</f>
        <v/>
      </c>
      <c r="AF164" s="39">
        <f>MAX(AD164,AE164)</f>
        <v/>
      </c>
      <c r="AH164" s="223">
        <f>IF('CONTROLE GLOBO AÇOS'!E166="","",'CONTROLE GLOBO AÇOS'!E166)</f>
        <v/>
      </c>
      <c r="AI164" s="223">
        <f>IF('CONTROLE GLOBO AÇOS'!F166="","",'CONTROLE GLOBO AÇOS'!F166)</f>
        <v/>
      </c>
      <c r="AJ164" s="223">
        <f>IF(AND('CONTROLE EJ'!E166="",'CONTROLE CMM'!E166=""),"",N('CONTROLE EJ'!E166)+N('CONTROLE CMM'!E166))</f>
        <v/>
      </c>
      <c r="AK164" s="223">
        <f>IF(AND('CONTROLE EJ'!F166="",'CONTROLE CMM'!F166=""),"",N('CONTROLE EJ'!F166)+N('CONTROLE CMM'!F166))</f>
        <v/>
      </c>
      <c r="AL164" s="223">
        <f>IF(AND('CONTROLE EJ'!G166="",'CONTROLE CMM'!G166=""),"",N('CONTROLE EJ'!G166)+N('CONTROLE CMM'!G166))</f>
        <v/>
      </c>
      <c r="AM164" s="223">
        <f>IF(AND('CONTROLE EJ'!H166="",'CONTROLE CMM'!H166=""),"",N('CONTROLE EJ'!H166)+N('CONTROLE CMM'!H166))</f>
        <v/>
      </c>
      <c r="AN164" s="223">
        <f>IF('CONTROLE GLOBO AÇOS'!G166="","",'CONTROLE GLOBO AÇOS'!G166)</f>
        <v/>
      </c>
      <c r="AO164" s="223">
        <f>IF('CONTROLE GLOBO AÇOS'!H166="","",'CONTROLE GLOBO AÇOS'!H166)</f>
        <v/>
      </c>
      <c r="AP164" s="223">
        <f>IF(AND('CONTROLE EJ'!I166="",'CONTROLE CMM'!I166=""),"",N('CONTROLE EJ'!I166)+N('CONTROLE CMM'!I166))</f>
        <v/>
      </c>
      <c r="AQ164" s="223">
        <f>IF(AND('CONTROLE EJ'!J166="",'CONTROLE CMM'!#REF!=""),"",N('CONTROLE EJ'!J166)+N('CONTROLE CMM'!#REF!))</f>
        <v/>
      </c>
      <c r="AR164" s="223">
        <f>IF('CONTROLE GLOBO AÇOS'!I166="","",'CONTROLE GLOBO AÇOS'!I166)</f>
        <v/>
      </c>
      <c r="AS164" s="223">
        <f>IF('CONTROLE GLOBO AÇOS'!J166="","",'CONTROLE GLOBO AÇOS'!J166)</f>
        <v/>
      </c>
      <c r="AT164" s="223">
        <f>IF(#REF!="","",#REF!)</f>
        <v/>
      </c>
      <c r="AU164" s="223">
        <f>IF('CONTROLE GLOBO AÇOS'!K166="","",'CONTROLE GLOBO AÇOS'!K166)</f>
        <v/>
      </c>
      <c r="AV164" s="223">
        <f>IF(AND('CONTROLE EJ'!K166="",'CONTROLE CMM'!#REF!=""),"",N('CONTROLE EJ'!K166)+N('CONTROLE CMM'!#REF!))</f>
        <v/>
      </c>
      <c r="AW164" s="223">
        <f>IF('CONTROLE GLOBO AÇOS'!L166="","",'CONTROLE GLOBO AÇOS'!L166)</f>
        <v/>
      </c>
      <c r="AX164" s="223">
        <f>IF(AND('CONTROLE EJ'!L166="",'CONTROLE CMM'!#REF!=""),"",N('CONTROLE EJ'!L166)+N('CONTROLE CMM'!#REF!))</f>
        <v/>
      </c>
      <c r="AY164" s="223">
        <f>IF('CONTROLE GLOBO AÇOS'!M166="","",'CONTROLE GLOBO AÇOS'!M166)</f>
        <v/>
      </c>
      <c r="AZ164" s="223">
        <f>IF('CONTROLE GLOBO AÇOS'!N166="","",'CONTROLE GLOBO AÇOS'!N166)</f>
        <v/>
      </c>
      <c r="BA164" s="223">
        <f>IF(AND('CONTROLE EJ'!M166="",'CONTROLE CMM'!#REF!=""),"",N('CONTROLE EJ'!M166)+N('CONTROLE CMM'!#REF!))</f>
        <v/>
      </c>
      <c r="BB164" s="223">
        <f>IF(#REF!="","",#REF!)</f>
        <v/>
      </c>
      <c r="BC164" s="223">
        <f>IF('CONTROLE GLOBO AÇOS'!O166="","",'CONTROLE GLOBO AÇOS'!O166)</f>
        <v/>
      </c>
      <c r="BD164" s="223">
        <f>IF(AND('CONTROLE EJ'!N166="",'CONTROLE CMM'!#REF!=""),"",N('CONTROLE EJ'!N166)+N('CONTROLE CMM'!#REF!))</f>
        <v/>
      </c>
      <c r="BE164" s="223">
        <f>IF('CONTROLE GLOBO AÇOS'!P166="","",'CONTROLE GLOBO AÇOS'!P166)</f>
        <v/>
      </c>
      <c r="BF164" s="223">
        <f>IF('CONTROLE GLOBO AÇOS'!Q166="","",'CONTROLE GLOBO AÇOS'!Q166)</f>
        <v/>
      </c>
      <c r="BG164" s="223">
        <f>IF('CONTROLE GLOBO AÇOS'!R166="","",'CONTROLE GLOBO AÇOS'!R166)</f>
        <v/>
      </c>
      <c r="BH164" s="223">
        <f>IF(AND('CONTROLE EJ'!O166="",'CONTROLE CMM'!#REF!=""),"",N('CONTROLE EJ'!O166)+N('CONTROLE CMM'!#REF!))</f>
        <v/>
      </c>
      <c r="BI164" s="223">
        <f>IF('CONTROLE GLOBO AÇOS'!S166="","",'CONTROLE GLOBO AÇOS'!S166)</f>
        <v/>
      </c>
      <c r="BJ164" s="223">
        <f>IF('CONTROLE GLOBO AÇOS'!T166="","",'CONTROLE GLOBO AÇOS'!T166)</f>
        <v/>
      </c>
      <c r="BK164" s="223">
        <f>IF('CONTROLE GLOBO AÇOS'!U166="","",'CONTROLE GLOBO AÇOS'!U166)</f>
        <v/>
      </c>
      <c r="BL164" s="223">
        <f>IF(AND('CONTROLE EJ'!P166="",'CONTROLE CMM'!#REF!=""),"",N('CONTROLE EJ'!P166)+N('CONTROLE CMM'!#REF!))</f>
        <v/>
      </c>
      <c r="BM164" s="223">
        <f>IF(AND('CONTROLE EJ'!Q166="",'CONTROLE CMM'!#REF!=""),"",N('CONTROLE EJ'!Q166)+N('CONTROLE CMM'!#REF!))</f>
        <v/>
      </c>
      <c r="BN164" s="223">
        <f>IF('CONTROLE GLOBO AÇOS'!V166="","",'CONTROLE GLOBO AÇOS'!V166)</f>
        <v/>
      </c>
      <c r="BO164" s="223">
        <f>IF('CONTROLE GLOBO AÇOS'!W166="","",'CONTROLE GLOBO AÇOS'!W166)</f>
        <v/>
      </c>
      <c r="BP164" s="223">
        <f>IF(AND('CONTROLE EJ'!R166="",'CONTROLE CMM'!#REF!=""),"",N('CONTROLE EJ'!R166)+N('CONTROLE CMM'!#REF!))</f>
        <v/>
      </c>
      <c r="BQ164" s="223">
        <f>IF(#REF!="","",#REF!)</f>
        <v/>
      </c>
      <c r="BR164" s="223">
        <f>IF(AND('CONTROLE EJ'!S166="",'CONTROLE CMM'!#REF!=""),"",N('CONTROLE EJ'!S166)+N('CONTROLE CMM'!#REF!))</f>
        <v/>
      </c>
      <c r="BS164" s="223">
        <f>IF(AND('CONTROLE EJ'!T166="",'CONTROLE CMM'!#REF!=""),"",N('CONTROLE EJ'!T166)+N('CONTROLE CMM'!#REF!))</f>
        <v/>
      </c>
      <c r="BT164" s="223">
        <f>IF('CONTROLE GLOBO AÇOS'!X166="","",'CONTROLE GLOBO AÇOS'!X166)</f>
        <v/>
      </c>
      <c r="BU164" s="223">
        <f>IF('CONTROLE GLOBO AÇOS'!Y166="","",'CONTROLE GLOBO AÇOS'!Y166)</f>
        <v/>
      </c>
      <c r="BV164" s="223">
        <f>IF(AND('CONTROLE EJ'!U166="",'CONTROLE CMM'!#REF!=""),"",N('CONTROLE EJ'!U166)+N('CONTROLE CMM'!#REF!))</f>
        <v/>
      </c>
      <c r="BW164" s="223">
        <f>IF(#REF!="","",#REF!)</f>
        <v/>
      </c>
    </row>
    <row r="165">
      <c r="A165" s="282" t="n">
        <v>46382</v>
      </c>
      <c r="B165" s="18">
        <f>IF('CONTROLE EJ'!B167="","",'CONTROLE EJ'!B167)</f>
        <v/>
      </c>
      <c r="C165" s="18">
        <f>IF('CONTROLE EJ'!C167="","",'CONTROLE EJ'!C167)</f>
        <v/>
      </c>
      <c r="D165" s="42">
        <f>IF('CONTROLE EJ'!D167="","",'CONTROLE EJ'!D167)</f>
        <v/>
      </c>
      <c r="E165" s="43">
        <f>IF('CONTROLE CMM'!B167="","",'CONTROLE CMM'!B167)</f>
        <v/>
      </c>
      <c r="F165" s="18">
        <f>IF('CONTROLE CMM'!C167="","",'CONTROLE CMM'!C167)</f>
        <v/>
      </c>
      <c r="G165" s="26">
        <f>IF('CONTROLE CMM'!D167="","",'CONTROLE CMM'!D167)</f>
        <v/>
      </c>
      <c r="H165" s="43">
        <f>IF('CONTROLE GLOBO AÇOS'!B167="","",'CONTROLE GLOBO AÇOS'!B167)</f>
        <v/>
      </c>
      <c r="I165" s="18">
        <f>IF('CONTROLE GLOBO AÇOS'!C167="","",'CONTROLE GLOBO AÇOS'!C167)</f>
        <v/>
      </c>
      <c r="J165" s="18">
        <f>IF('CONTROLE GLOBO AÇOS'!D167="","",'CONTROLE GLOBO AÇOS'!D167)</f>
        <v/>
      </c>
      <c r="AD165" s="39">
        <f>IF($A165="",0,IF(AND(WEEKDAY($A165,2)&lt;=5,OR($B165&lt;&gt;"",$C165&lt;&gt;"",$D165&lt;&gt;"")),1,0))</f>
        <v/>
      </c>
      <c r="AE165" s="39">
        <f>IF($A165="",0,IF(AND(WEEKDAY($A165,2)&lt;=5,OR($E165&lt;&gt;"",$F165&lt;&gt;"",$G165&lt;&gt;"")),1,0))</f>
        <v/>
      </c>
      <c r="AF165" s="39">
        <f>MAX(AD165,AE165)</f>
        <v/>
      </c>
      <c r="AH165" s="223">
        <f>IF('CONTROLE GLOBO AÇOS'!E167="","",'CONTROLE GLOBO AÇOS'!E167)</f>
        <v/>
      </c>
      <c r="AI165" s="223">
        <f>IF('CONTROLE GLOBO AÇOS'!F167="","",'CONTROLE GLOBO AÇOS'!F167)</f>
        <v/>
      </c>
      <c r="AJ165" s="223">
        <f>IF(AND('CONTROLE EJ'!E167="",'CONTROLE CMM'!E167=""),"",N('CONTROLE EJ'!E167)+N('CONTROLE CMM'!E167))</f>
        <v/>
      </c>
      <c r="AK165" s="223">
        <f>IF(AND('CONTROLE EJ'!F167="",'CONTROLE CMM'!F167=""),"",N('CONTROLE EJ'!F167)+N('CONTROLE CMM'!F167))</f>
        <v/>
      </c>
      <c r="AL165" s="223">
        <f>IF(AND('CONTROLE EJ'!G167="",'CONTROLE CMM'!G167=""),"",N('CONTROLE EJ'!G167)+N('CONTROLE CMM'!G167))</f>
        <v/>
      </c>
      <c r="AM165" s="223">
        <f>IF(AND('CONTROLE EJ'!H167="",'CONTROLE CMM'!H167=""),"",N('CONTROLE EJ'!H167)+N('CONTROLE CMM'!H167))</f>
        <v/>
      </c>
      <c r="AN165" s="223">
        <f>IF('CONTROLE GLOBO AÇOS'!G167="","",'CONTROLE GLOBO AÇOS'!G167)</f>
        <v/>
      </c>
      <c r="AO165" s="223">
        <f>IF('CONTROLE GLOBO AÇOS'!H167="","",'CONTROLE GLOBO AÇOS'!H167)</f>
        <v/>
      </c>
      <c r="AP165" s="223">
        <f>IF(AND('CONTROLE EJ'!I167="",'CONTROLE CMM'!I167=""),"",N('CONTROLE EJ'!I167)+N('CONTROLE CMM'!I167))</f>
        <v/>
      </c>
      <c r="AQ165" s="223">
        <f>IF(AND('CONTROLE EJ'!J167="",'CONTROLE CMM'!#REF!=""),"",N('CONTROLE EJ'!J167)+N('CONTROLE CMM'!#REF!))</f>
        <v/>
      </c>
      <c r="AR165" s="223">
        <f>IF('CONTROLE GLOBO AÇOS'!I167="","",'CONTROLE GLOBO AÇOS'!I167)</f>
        <v/>
      </c>
      <c r="AS165" s="223">
        <f>IF('CONTROLE GLOBO AÇOS'!J167="","",'CONTROLE GLOBO AÇOS'!J167)</f>
        <v/>
      </c>
      <c r="AT165" s="223">
        <f>IF(#REF!="","",#REF!)</f>
        <v/>
      </c>
      <c r="AU165" s="223">
        <f>IF('CONTROLE GLOBO AÇOS'!K167="","",'CONTROLE GLOBO AÇOS'!K167)</f>
        <v/>
      </c>
      <c r="AV165" s="223">
        <f>IF(AND('CONTROLE EJ'!K167="",'CONTROLE CMM'!#REF!=""),"",N('CONTROLE EJ'!K167)+N('CONTROLE CMM'!#REF!))</f>
        <v/>
      </c>
      <c r="AW165" s="223">
        <f>IF('CONTROLE GLOBO AÇOS'!L167="","",'CONTROLE GLOBO AÇOS'!L167)</f>
        <v/>
      </c>
      <c r="AX165" s="223">
        <f>IF(AND('CONTROLE EJ'!L167="",'CONTROLE CMM'!#REF!=""),"",N('CONTROLE EJ'!L167)+N('CONTROLE CMM'!#REF!))</f>
        <v/>
      </c>
      <c r="AY165" s="223">
        <f>IF('CONTROLE GLOBO AÇOS'!M167="","",'CONTROLE GLOBO AÇOS'!M167)</f>
        <v/>
      </c>
      <c r="AZ165" s="223">
        <f>IF('CONTROLE GLOBO AÇOS'!N167="","",'CONTROLE GLOBO AÇOS'!N167)</f>
        <v/>
      </c>
      <c r="BA165" s="223">
        <f>IF(AND('CONTROLE EJ'!M167="",'CONTROLE CMM'!#REF!=""),"",N('CONTROLE EJ'!M167)+N('CONTROLE CMM'!#REF!))</f>
        <v/>
      </c>
      <c r="BB165" s="223">
        <f>IF(#REF!="","",#REF!)</f>
        <v/>
      </c>
      <c r="BC165" s="223">
        <f>IF('CONTROLE GLOBO AÇOS'!O167="","",'CONTROLE GLOBO AÇOS'!O167)</f>
        <v/>
      </c>
      <c r="BD165" s="223">
        <f>IF(AND('CONTROLE EJ'!N167="",'CONTROLE CMM'!#REF!=""),"",N('CONTROLE EJ'!N167)+N('CONTROLE CMM'!#REF!))</f>
        <v/>
      </c>
      <c r="BE165" s="223">
        <f>IF('CONTROLE GLOBO AÇOS'!P167="","",'CONTROLE GLOBO AÇOS'!P167)</f>
        <v/>
      </c>
      <c r="BF165" s="223">
        <f>IF('CONTROLE GLOBO AÇOS'!Q167="","",'CONTROLE GLOBO AÇOS'!Q167)</f>
        <v/>
      </c>
      <c r="BG165" s="223">
        <f>IF('CONTROLE GLOBO AÇOS'!R167="","",'CONTROLE GLOBO AÇOS'!R167)</f>
        <v/>
      </c>
      <c r="BH165" s="223">
        <f>IF(AND('CONTROLE EJ'!O167="",'CONTROLE CMM'!#REF!=""),"",N('CONTROLE EJ'!O167)+N('CONTROLE CMM'!#REF!))</f>
        <v/>
      </c>
      <c r="BI165" s="223">
        <f>IF('CONTROLE GLOBO AÇOS'!S167="","",'CONTROLE GLOBO AÇOS'!S167)</f>
        <v/>
      </c>
      <c r="BJ165" s="223">
        <f>IF('CONTROLE GLOBO AÇOS'!T167="","",'CONTROLE GLOBO AÇOS'!T167)</f>
        <v/>
      </c>
      <c r="BK165" s="223">
        <f>IF('CONTROLE GLOBO AÇOS'!U167="","",'CONTROLE GLOBO AÇOS'!U167)</f>
        <v/>
      </c>
      <c r="BL165" s="223">
        <f>IF(AND('CONTROLE EJ'!P167="",'CONTROLE CMM'!#REF!=""),"",N('CONTROLE EJ'!P167)+N('CONTROLE CMM'!#REF!))</f>
        <v/>
      </c>
      <c r="BM165" s="223">
        <f>IF(AND('CONTROLE EJ'!Q167="",'CONTROLE CMM'!#REF!=""),"",N('CONTROLE EJ'!Q167)+N('CONTROLE CMM'!#REF!))</f>
        <v/>
      </c>
      <c r="BN165" s="223">
        <f>IF('CONTROLE GLOBO AÇOS'!V167="","",'CONTROLE GLOBO AÇOS'!V167)</f>
        <v/>
      </c>
      <c r="BO165" s="223">
        <f>IF('CONTROLE GLOBO AÇOS'!W167="","",'CONTROLE GLOBO AÇOS'!W167)</f>
        <v/>
      </c>
      <c r="BP165" s="223">
        <f>IF(AND('CONTROLE EJ'!R167="",'CONTROLE CMM'!#REF!=""),"",N('CONTROLE EJ'!R167)+N('CONTROLE CMM'!#REF!))</f>
        <v/>
      </c>
      <c r="BQ165" s="223">
        <f>IF(#REF!="","",#REF!)</f>
        <v/>
      </c>
      <c r="BR165" s="223">
        <f>IF(AND('CONTROLE EJ'!S167="",'CONTROLE CMM'!#REF!=""),"",N('CONTROLE EJ'!S167)+N('CONTROLE CMM'!#REF!))</f>
        <v/>
      </c>
      <c r="BS165" s="223">
        <f>IF(AND('CONTROLE EJ'!T167="",'CONTROLE CMM'!#REF!=""),"",N('CONTROLE EJ'!T167)+N('CONTROLE CMM'!#REF!))</f>
        <v/>
      </c>
      <c r="BT165" s="223">
        <f>IF('CONTROLE GLOBO AÇOS'!X167="","",'CONTROLE GLOBO AÇOS'!X167)</f>
        <v/>
      </c>
      <c r="BU165" s="223">
        <f>IF('CONTROLE GLOBO AÇOS'!Y167="","",'CONTROLE GLOBO AÇOS'!Y167)</f>
        <v/>
      </c>
      <c r="BV165" s="223">
        <f>IF(AND('CONTROLE EJ'!U167="",'CONTROLE CMM'!#REF!=""),"",N('CONTROLE EJ'!U167)+N('CONTROLE CMM'!#REF!))</f>
        <v/>
      </c>
      <c r="BW165" s="223">
        <f>IF(#REF!="","",#REF!)</f>
        <v/>
      </c>
    </row>
    <row r="166">
      <c r="A166" s="282" t="n">
        <v>46383</v>
      </c>
      <c r="B166" s="18">
        <f>IF('CONTROLE EJ'!B168="","",'CONTROLE EJ'!B168)</f>
        <v/>
      </c>
      <c r="C166" s="18">
        <f>IF('CONTROLE EJ'!C168="","",'CONTROLE EJ'!C168)</f>
        <v/>
      </c>
      <c r="D166" s="42">
        <f>IF('CONTROLE EJ'!D168="","",'CONTROLE EJ'!D168)</f>
        <v/>
      </c>
      <c r="E166" s="43">
        <f>IF('CONTROLE CMM'!B168="","",'CONTROLE CMM'!B168)</f>
        <v/>
      </c>
      <c r="F166" s="18">
        <f>IF('CONTROLE CMM'!C168="","",'CONTROLE CMM'!C168)</f>
        <v/>
      </c>
      <c r="G166" s="26">
        <f>IF('CONTROLE CMM'!D168="","",'CONTROLE CMM'!D168)</f>
        <v/>
      </c>
      <c r="H166" s="43">
        <f>IF('CONTROLE GLOBO AÇOS'!B168="","",'CONTROLE GLOBO AÇOS'!B168)</f>
        <v/>
      </c>
      <c r="I166" s="18">
        <f>IF('CONTROLE GLOBO AÇOS'!C168="","",'CONTROLE GLOBO AÇOS'!C168)</f>
        <v/>
      </c>
      <c r="J166" s="18">
        <f>IF('CONTROLE GLOBO AÇOS'!D168="","",'CONTROLE GLOBO AÇOS'!D168)</f>
        <v/>
      </c>
      <c r="AD166" s="39">
        <f>IF($A166="",0,IF(AND(WEEKDAY($A166,2)&lt;=5,OR($B166&lt;&gt;"",$C166&lt;&gt;"",$D166&lt;&gt;"")),1,0))</f>
        <v/>
      </c>
      <c r="AE166" s="39">
        <f>IF($A166="",0,IF(AND(WEEKDAY($A166,2)&lt;=5,OR($E166&lt;&gt;"",$F166&lt;&gt;"",$G166&lt;&gt;"")),1,0))</f>
        <v/>
      </c>
      <c r="AF166" s="39">
        <f>MAX(AD166,AE166)</f>
        <v/>
      </c>
      <c r="AH166" s="223">
        <f>IF('CONTROLE GLOBO AÇOS'!E168="","",'CONTROLE GLOBO AÇOS'!E168)</f>
        <v/>
      </c>
      <c r="AI166" s="223">
        <f>IF('CONTROLE GLOBO AÇOS'!F168="","",'CONTROLE GLOBO AÇOS'!F168)</f>
        <v/>
      </c>
      <c r="AJ166" s="223">
        <f>IF(AND('CONTROLE EJ'!E168="",'CONTROLE CMM'!E168=""),"",N('CONTROLE EJ'!E168)+N('CONTROLE CMM'!E168))</f>
        <v/>
      </c>
      <c r="AK166" s="223">
        <f>IF(AND('CONTROLE EJ'!F168="",'CONTROLE CMM'!F168=""),"",N('CONTROLE EJ'!F168)+N('CONTROLE CMM'!F168))</f>
        <v/>
      </c>
      <c r="AL166" s="223">
        <f>IF(AND('CONTROLE EJ'!G168="",'CONTROLE CMM'!G168=""),"",N('CONTROLE EJ'!G168)+N('CONTROLE CMM'!G168))</f>
        <v/>
      </c>
      <c r="AM166" s="223">
        <f>IF(AND('CONTROLE EJ'!H168="",'CONTROLE CMM'!H168=""),"",N('CONTROLE EJ'!H168)+N('CONTROLE CMM'!H168))</f>
        <v/>
      </c>
      <c r="AN166" s="223">
        <f>IF('CONTROLE GLOBO AÇOS'!G168="","",'CONTROLE GLOBO AÇOS'!G168)</f>
        <v/>
      </c>
      <c r="AO166" s="223">
        <f>IF('CONTROLE GLOBO AÇOS'!H168="","",'CONTROLE GLOBO AÇOS'!H168)</f>
        <v/>
      </c>
      <c r="AP166" s="223">
        <f>IF(AND('CONTROLE EJ'!I168="",'CONTROLE CMM'!I168=""),"",N('CONTROLE EJ'!I168)+N('CONTROLE CMM'!I168))</f>
        <v/>
      </c>
      <c r="AQ166" s="223">
        <f>IF(AND('CONTROLE EJ'!J168="",'CONTROLE CMM'!#REF!=""),"",N('CONTROLE EJ'!J168)+N('CONTROLE CMM'!#REF!))</f>
        <v/>
      </c>
      <c r="AR166" s="223">
        <f>IF('CONTROLE GLOBO AÇOS'!I168="","",'CONTROLE GLOBO AÇOS'!I168)</f>
        <v/>
      </c>
      <c r="AS166" s="223">
        <f>IF('CONTROLE GLOBO AÇOS'!J168="","",'CONTROLE GLOBO AÇOS'!J168)</f>
        <v/>
      </c>
      <c r="AT166" s="223">
        <f>IF(#REF!="","",#REF!)</f>
        <v/>
      </c>
      <c r="AU166" s="223">
        <f>IF('CONTROLE GLOBO AÇOS'!K168="","",'CONTROLE GLOBO AÇOS'!K168)</f>
        <v/>
      </c>
      <c r="AV166" s="223">
        <f>IF(AND('CONTROLE EJ'!K168="",'CONTROLE CMM'!#REF!=""),"",N('CONTROLE EJ'!K168)+N('CONTROLE CMM'!#REF!))</f>
        <v/>
      </c>
      <c r="AW166" s="223">
        <f>IF('CONTROLE GLOBO AÇOS'!L168="","",'CONTROLE GLOBO AÇOS'!L168)</f>
        <v/>
      </c>
      <c r="AX166" s="223">
        <f>IF(AND('CONTROLE EJ'!L168="",'CONTROLE CMM'!#REF!=""),"",N('CONTROLE EJ'!L168)+N('CONTROLE CMM'!#REF!))</f>
        <v/>
      </c>
      <c r="AY166" s="223">
        <f>IF('CONTROLE GLOBO AÇOS'!M168="","",'CONTROLE GLOBO AÇOS'!M168)</f>
        <v/>
      </c>
      <c r="AZ166" s="223">
        <f>IF('CONTROLE GLOBO AÇOS'!N168="","",'CONTROLE GLOBO AÇOS'!N168)</f>
        <v/>
      </c>
      <c r="BA166" s="223">
        <f>IF(AND('CONTROLE EJ'!M168="",'CONTROLE CMM'!#REF!=""),"",N('CONTROLE EJ'!M168)+N('CONTROLE CMM'!#REF!))</f>
        <v/>
      </c>
      <c r="BB166" s="223">
        <f>IF(#REF!="","",#REF!)</f>
        <v/>
      </c>
      <c r="BC166" s="223">
        <f>IF('CONTROLE GLOBO AÇOS'!O168="","",'CONTROLE GLOBO AÇOS'!O168)</f>
        <v/>
      </c>
      <c r="BD166" s="223">
        <f>IF(AND('CONTROLE EJ'!N168="",'CONTROLE CMM'!#REF!=""),"",N('CONTROLE EJ'!N168)+N('CONTROLE CMM'!#REF!))</f>
        <v/>
      </c>
      <c r="BE166" s="223">
        <f>IF('CONTROLE GLOBO AÇOS'!P168="","",'CONTROLE GLOBO AÇOS'!P168)</f>
        <v/>
      </c>
      <c r="BF166" s="223">
        <f>IF('CONTROLE GLOBO AÇOS'!Q168="","",'CONTROLE GLOBO AÇOS'!Q168)</f>
        <v/>
      </c>
      <c r="BG166" s="223">
        <f>IF('CONTROLE GLOBO AÇOS'!R168="","",'CONTROLE GLOBO AÇOS'!R168)</f>
        <v/>
      </c>
      <c r="BH166" s="223">
        <f>IF(AND('CONTROLE EJ'!O168="",'CONTROLE CMM'!#REF!=""),"",N('CONTROLE EJ'!O168)+N('CONTROLE CMM'!#REF!))</f>
        <v/>
      </c>
      <c r="BI166" s="223">
        <f>IF('CONTROLE GLOBO AÇOS'!S168="","",'CONTROLE GLOBO AÇOS'!S168)</f>
        <v/>
      </c>
      <c r="BJ166" s="223">
        <f>IF('CONTROLE GLOBO AÇOS'!T168="","",'CONTROLE GLOBO AÇOS'!T168)</f>
        <v/>
      </c>
      <c r="BK166" s="223">
        <f>IF('CONTROLE GLOBO AÇOS'!U168="","",'CONTROLE GLOBO AÇOS'!U168)</f>
        <v/>
      </c>
      <c r="BL166" s="223">
        <f>IF(AND('CONTROLE EJ'!P168="",'CONTROLE CMM'!#REF!=""),"",N('CONTROLE EJ'!P168)+N('CONTROLE CMM'!#REF!))</f>
        <v/>
      </c>
      <c r="BM166" s="223">
        <f>IF(AND('CONTROLE EJ'!Q168="",'CONTROLE CMM'!#REF!=""),"",N('CONTROLE EJ'!Q168)+N('CONTROLE CMM'!#REF!))</f>
        <v/>
      </c>
      <c r="BN166" s="223">
        <f>IF('CONTROLE GLOBO AÇOS'!V168="","",'CONTROLE GLOBO AÇOS'!V168)</f>
        <v/>
      </c>
      <c r="BO166" s="223">
        <f>IF('CONTROLE GLOBO AÇOS'!W168="","",'CONTROLE GLOBO AÇOS'!W168)</f>
        <v/>
      </c>
      <c r="BP166" s="223">
        <f>IF(AND('CONTROLE EJ'!R168="",'CONTROLE CMM'!#REF!=""),"",N('CONTROLE EJ'!R168)+N('CONTROLE CMM'!#REF!))</f>
        <v/>
      </c>
      <c r="BQ166" s="223">
        <f>IF(#REF!="","",#REF!)</f>
        <v/>
      </c>
      <c r="BR166" s="223">
        <f>IF(AND('CONTROLE EJ'!S168="",'CONTROLE CMM'!#REF!=""),"",N('CONTROLE EJ'!S168)+N('CONTROLE CMM'!#REF!))</f>
        <v/>
      </c>
      <c r="BS166" s="223">
        <f>IF(AND('CONTROLE EJ'!T168="",'CONTROLE CMM'!#REF!=""),"",N('CONTROLE EJ'!T168)+N('CONTROLE CMM'!#REF!))</f>
        <v/>
      </c>
      <c r="BT166" s="223">
        <f>IF('CONTROLE GLOBO AÇOS'!X168="","",'CONTROLE GLOBO AÇOS'!X168)</f>
        <v/>
      </c>
      <c r="BU166" s="223">
        <f>IF('CONTROLE GLOBO AÇOS'!Y168="","",'CONTROLE GLOBO AÇOS'!Y168)</f>
        <v/>
      </c>
      <c r="BV166" s="223">
        <f>IF(AND('CONTROLE EJ'!U168="",'CONTROLE CMM'!#REF!=""),"",N('CONTROLE EJ'!U168)+N('CONTROLE CMM'!#REF!))</f>
        <v/>
      </c>
      <c r="BW166" s="223">
        <f>IF(#REF!="","",#REF!)</f>
        <v/>
      </c>
    </row>
    <row r="167">
      <c r="A167" s="282" t="n">
        <v>46384</v>
      </c>
      <c r="B167" s="18">
        <f>IF('CONTROLE EJ'!B169="","",'CONTROLE EJ'!B169)</f>
        <v/>
      </c>
      <c r="C167" s="18">
        <f>IF('CONTROLE EJ'!C169="","",'CONTROLE EJ'!C169)</f>
        <v/>
      </c>
      <c r="D167" s="42">
        <f>IF('CONTROLE EJ'!D169="","",'CONTROLE EJ'!D169)</f>
        <v/>
      </c>
      <c r="E167" s="43">
        <f>IF('CONTROLE CMM'!B169="","",'CONTROLE CMM'!B169)</f>
        <v/>
      </c>
      <c r="F167" s="18">
        <f>IF('CONTROLE CMM'!C169="","",'CONTROLE CMM'!C169)</f>
        <v/>
      </c>
      <c r="G167" s="26">
        <f>IF('CONTROLE CMM'!D169="","",'CONTROLE CMM'!D169)</f>
        <v/>
      </c>
      <c r="H167" s="43">
        <f>IF('CONTROLE GLOBO AÇOS'!B169="","",'CONTROLE GLOBO AÇOS'!B169)</f>
        <v/>
      </c>
      <c r="I167" s="18">
        <f>IF('CONTROLE GLOBO AÇOS'!C169="","",'CONTROLE GLOBO AÇOS'!C169)</f>
        <v/>
      </c>
      <c r="J167" s="18">
        <f>IF('CONTROLE GLOBO AÇOS'!D169="","",'CONTROLE GLOBO AÇOS'!D169)</f>
        <v/>
      </c>
      <c r="AD167" s="39">
        <f>IF($A167="",0,IF(AND(WEEKDAY($A167,2)&lt;=5,OR($B167&lt;&gt;"",$C167&lt;&gt;"",$D167&lt;&gt;"")),1,0))</f>
        <v/>
      </c>
      <c r="AE167" s="39">
        <f>IF($A167="",0,IF(AND(WEEKDAY($A167,2)&lt;=5,OR($E167&lt;&gt;"",$F167&lt;&gt;"",$G167&lt;&gt;"")),1,0))</f>
        <v/>
      </c>
      <c r="AF167" s="39">
        <f>MAX(AD167,AE167)</f>
        <v/>
      </c>
      <c r="AH167" s="223">
        <f>IF('CONTROLE GLOBO AÇOS'!E169="","",'CONTROLE GLOBO AÇOS'!E169)</f>
        <v/>
      </c>
      <c r="AI167" s="223">
        <f>IF('CONTROLE GLOBO AÇOS'!F169="","",'CONTROLE GLOBO AÇOS'!F169)</f>
        <v/>
      </c>
      <c r="AJ167" s="223">
        <f>IF(AND('CONTROLE EJ'!E169="",'CONTROLE CMM'!E169=""),"",N('CONTROLE EJ'!E169)+N('CONTROLE CMM'!E169))</f>
        <v/>
      </c>
      <c r="AK167" s="223">
        <f>IF(AND('CONTROLE EJ'!F169="",'CONTROLE CMM'!F169=""),"",N('CONTROLE EJ'!F169)+N('CONTROLE CMM'!F169))</f>
        <v/>
      </c>
      <c r="AL167" s="223">
        <f>IF(AND('CONTROLE EJ'!G169="",'CONTROLE CMM'!G169=""),"",N('CONTROLE EJ'!G169)+N('CONTROLE CMM'!G169))</f>
        <v/>
      </c>
      <c r="AM167" s="223">
        <f>IF(AND('CONTROLE EJ'!H169="",'CONTROLE CMM'!H169=""),"",N('CONTROLE EJ'!H169)+N('CONTROLE CMM'!H169))</f>
        <v/>
      </c>
      <c r="AN167" s="223">
        <f>IF('CONTROLE GLOBO AÇOS'!G169="","",'CONTROLE GLOBO AÇOS'!G169)</f>
        <v/>
      </c>
      <c r="AO167" s="223">
        <f>IF('CONTROLE GLOBO AÇOS'!H169="","",'CONTROLE GLOBO AÇOS'!H169)</f>
        <v/>
      </c>
      <c r="AP167" s="223">
        <f>IF(AND('CONTROLE EJ'!I169="",'CONTROLE CMM'!I169=""),"",N('CONTROLE EJ'!I169)+N('CONTROLE CMM'!I169))</f>
        <v/>
      </c>
      <c r="AQ167" s="223">
        <f>IF(AND('CONTROLE EJ'!J169="",'CONTROLE CMM'!#REF!=""),"",N('CONTROLE EJ'!J169)+N('CONTROLE CMM'!#REF!))</f>
        <v/>
      </c>
      <c r="AR167" s="223">
        <f>IF('CONTROLE GLOBO AÇOS'!I169="","",'CONTROLE GLOBO AÇOS'!I169)</f>
        <v/>
      </c>
      <c r="AS167" s="223">
        <f>IF('CONTROLE GLOBO AÇOS'!J169="","",'CONTROLE GLOBO AÇOS'!J169)</f>
        <v/>
      </c>
      <c r="AT167" s="223">
        <f>IF(#REF!="","",#REF!)</f>
        <v/>
      </c>
      <c r="AU167" s="223">
        <f>IF('CONTROLE GLOBO AÇOS'!K169="","",'CONTROLE GLOBO AÇOS'!K169)</f>
        <v/>
      </c>
      <c r="AV167" s="223">
        <f>IF(AND('CONTROLE EJ'!K169="",'CONTROLE CMM'!#REF!=""),"",N('CONTROLE EJ'!K169)+N('CONTROLE CMM'!#REF!))</f>
        <v/>
      </c>
      <c r="AW167" s="223">
        <f>IF('CONTROLE GLOBO AÇOS'!L169="","",'CONTROLE GLOBO AÇOS'!L169)</f>
        <v/>
      </c>
      <c r="AX167" s="223">
        <f>IF(AND('CONTROLE EJ'!L169="",'CONTROLE CMM'!#REF!=""),"",N('CONTROLE EJ'!L169)+N('CONTROLE CMM'!#REF!))</f>
        <v/>
      </c>
      <c r="AY167" s="223">
        <f>IF('CONTROLE GLOBO AÇOS'!M169="","",'CONTROLE GLOBO AÇOS'!M169)</f>
        <v/>
      </c>
      <c r="AZ167" s="223">
        <f>IF('CONTROLE GLOBO AÇOS'!N169="","",'CONTROLE GLOBO AÇOS'!N169)</f>
        <v/>
      </c>
      <c r="BA167" s="223">
        <f>IF(AND('CONTROLE EJ'!M169="",'CONTROLE CMM'!#REF!=""),"",N('CONTROLE EJ'!M169)+N('CONTROLE CMM'!#REF!))</f>
        <v/>
      </c>
      <c r="BB167" s="223">
        <f>IF(#REF!="","",#REF!)</f>
        <v/>
      </c>
      <c r="BC167" s="223">
        <f>IF('CONTROLE GLOBO AÇOS'!O169="","",'CONTROLE GLOBO AÇOS'!O169)</f>
        <v/>
      </c>
      <c r="BD167" s="223">
        <f>IF(AND('CONTROLE EJ'!N169="",'CONTROLE CMM'!#REF!=""),"",N('CONTROLE EJ'!N169)+N('CONTROLE CMM'!#REF!))</f>
        <v/>
      </c>
      <c r="BE167" s="223">
        <f>IF('CONTROLE GLOBO AÇOS'!P169="","",'CONTROLE GLOBO AÇOS'!P169)</f>
        <v/>
      </c>
      <c r="BF167" s="223">
        <f>IF('CONTROLE GLOBO AÇOS'!Q169="","",'CONTROLE GLOBO AÇOS'!Q169)</f>
        <v/>
      </c>
      <c r="BG167" s="223">
        <f>IF('CONTROLE GLOBO AÇOS'!R169="","",'CONTROLE GLOBO AÇOS'!R169)</f>
        <v/>
      </c>
      <c r="BH167" s="223">
        <f>IF(AND('CONTROLE EJ'!O169="",'CONTROLE CMM'!#REF!=""),"",N('CONTROLE EJ'!O169)+N('CONTROLE CMM'!#REF!))</f>
        <v/>
      </c>
      <c r="BI167" s="223">
        <f>IF('CONTROLE GLOBO AÇOS'!S169="","",'CONTROLE GLOBO AÇOS'!S169)</f>
        <v/>
      </c>
      <c r="BJ167" s="223">
        <f>IF('CONTROLE GLOBO AÇOS'!T169="","",'CONTROLE GLOBO AÇOS'!T169)</f>
        <v/>
      </c>
      <c r="BK167" s="223">
        <f>IF('CONTROLE GLOBO AÇOS'!U169="","",'CONTROLE GLOBO AÇOS'!U169)</f>
        <v/>
      </c>
      <c r="BL167" s="223">
        <f>IF(AND('CONTROLE EJ'!P169="",'CONTROLE CMM'!#REF!=""),"",N('CONTROLE EJ'!P169)+N('CONTROLE CMM'!#REF!))</f>
        <v/>
      </c>
      <c r="BM167" s="223">
        <f>IF(AND('CONTROLE EJ'!Q169="",'CONTROLE CMM'!#REF!=""),"",N('CONTROLE EJ'!Q169)+N('CONTROLE CMM'!#REF!))</f>
        <v/>
      </c>
      <c r="BN167" s="223">
        <f>IF('CONTROLE GLOBO AÇOS'!V169="","",'CONTROLE GLOBO AÇOS'!V169)</f>
        <v/>
      </c>
      <c r="BO167" s="223">
        <f>IF('CONTROLE GLOBO AÇOS'!W169="","",'CONTROLE GLOBO AÇOS'!W169)</f>
        <v/>
      </c>
      <c r="BP167" s="223">
        <f>IF(AND('CONTROLE EJ'!R169="",'CONTROLE CMM'!#REF!=""),"",N('CONTROLE EJ'!R169)+N('CONTROLE CMM'!#REF!))</f>
        <v/>
      </c>
      <c r="BQ167" s="223">
        <f>IF(#REF!="","",#REF!)</f>
        <v/>
      </c>
      <c r="BR167" s="223">
        <f>IF(AND('CONTROLE EJ'!S169="",'CONTROLE CMM'!#REF!=""),"",N('CONTROLE EJ'!S169)+N('CONTROLE CMM'!#REF!))</f>
        <v/>
      </c>
      <c r="BS167" s="223">
        <f>IF(AND('CONTROLE EJ'!T169="",'CONTROLE CMM'!#REF!=""),"",N('CONTROLE EJ'!T169)+N('CONTROLE CMM'!#REF!))</f>
        <v/>
      </c>
      <c r="BT167" s="223">
        <f>IF('CONTROLE GLOBO AÇOS'!X169="","",'CONTROLE GLOBO AÇOS'!X169)</f>
        <v/>
      </c>
      <c r="BU167" s="223">
        <f>IF('CONTROLE GLOBO AÇOS'!Y169="","",'CONTROLE GLOBO AÇOS'!Y169)</f>
        <v/>
      </c>
      <c r="BV167" s="223">
        <f>IF(AND('CONTROLE EJ'!U169="",'CONTROLE CMM'!#REF!=""),"",N('CONTROLE EJ'!U169)+N('CONTROLE CMM'!#REF!))</f>
        <v/>
      </c>
      <c r="BW167" s="223">
        <f>IF(#REF!="","",#REF!)</f>
        <v/>
      </c>
    </row>
    <row r="168">
      <c r="A168" s="282" t="n">
        <v>46385</v>
      </c>
      <c r="B168" s="18">
        <f>IF('CONTROLE EJ'!B170="","",'CONTROLE EJ'!B170)</f>
        <v/>
      </c>
      <c r="C168" s="18">
        <f>IF('CONTROLE EJ'!C170="","",'CONTROLE EJ'!C170)</f>
        <v/>
      </c>
      <c r="D168" s="42">
        <f>IF('CONTROLE EJ'!D170="","",'CONTROLE EJ'!D170)</f>
        <v/>
      </c>
      <c r="E168" s="43">
        <f>IF('CONTROLE CMM'!B170="","",'CONTROLE CMM'!B170)</f>
        <v/>
      </c>
      <c r="F168" s="18">
        <f>IF('CONTROLE CMM'!C170="","",'CONTROLE CMM'!C170)</f>
        <v/>
      </c>
      <c r="G168" s="26">
        <f>IF('CONTROLE CMM'!D170="","",'CONTROLE CMM'!D170)</f>
        <v/>
      </c>
      <c r="H168" s="43">
        <f>IF('CONTROLE GLOBO AÇOS'!B170="","",'CONTROLE GLOBO AÇOS'!B170)</f>
        <v/>
      </c>
      <c r="I168" s="18">
        <f>IF('CONTROLE GLOBO AÇOS'!C170="","",'CONTROLE GLOBO AÇOS'!C170)</f>
        <v/>
      </c>
      <c r="J168" s="18">
        <f>IF('CONTROLE GLOBO AÇOS'!D170="","",'CONTROLE GLOBO AÇOS'!D170)</f>
        <v/>
      </c>
      <c r="AD168" s="39">
        <f>IF($A168="",0,IF(AND(WEEKDAY($A168,2)&lt;=5,OR($B168&lt;&gt;"",$C168&lt;&gt;"",$D168&lt;&gt;"")),1,0))</f>
        <v/>
      </c>
      <c r="AE168" s="39">
        <f>IF($A168="",0,IF(AND(WEEKDAY($A168,2)&lt;=5,OR($E168&lt;&gt;"",$F168&lt;&gt;"",$G168&lt;&gt;"")),1,0))</f>
        <v/>
      </c>
      <c r="AF168" s="39">
        <f>MAX(AD168,AE168)</f>
        <v/>
      </c>
      <c r="AH168" s="223">
        <f>IF('CONTROLE GLOBO AÇOS'!E170="","",'CONTROLE GLOBO AÇOS'!E170)</f>
        <v/>
      </c>
      <c r="AI168" s="223">
        <f>IF('CONTROLE GLOBO AÇOS'!F170="","",'CONTROLE GLOBO AÇOS'!F170)</f>
        <v/>
      </c>
      <c r="AJ168" s="223">
        <f>IF(AND('CONTROLE EJ'!E170="",'CONTROLE CMM'!E170=""),"",N('CONTROLE EJ'!E170)+N('CONTROLE CMM'!E170))</f>
        <v/>
      </c>
      <c r="AK168" s="223">
        <f>IF(AND('CONTROLE EJ'!F170="",'CONTROLE CMM'!F170=""),"",N('CONTROLE EJ'!F170)+N('CONTROLE CMM'!F170))</f>
        <v/>
      </c>
      <c r="AL168" s="223">
        <f>IF(AND('CONTROLE EJ'!G170="",'CONTROLE CMM'!G170=""),"",N('CONTROLE EJ'!G170)+N('CONTROLE CMM'!G170))</f>
        <v/>
      </c>
      <c r="AM168" s="223">
        <f>IF(AND('CONTROLE EJ'!H170="",'CONTROLE CMM'!H170=""),"",N('CONTROLE EJ'!H170)+N('CONTROLE CMM'!H170))</f>
        <v/>
      </c>
      <c r="AN168" s="223">
        <f>IF('CONTROLE GLOBO AÇOS'!G170="","",'CONTROLE GLOBO AÇOS'!G170)</f>
        <v/>
      </c>
      <c r="AO168" s="223">
        <f>IF('CONTROLE GLOBO AÇOS'!H170="","",'CONTROLE GLOBO AÇOS'!H170)</f>
        <v/>
      </c>
      <c r="AP168" s="223">
        <f>IF(AND('CONTROLE EJ'!I170="",'CONTROLE CMM'!I170=""),"",N('CONTROLE EJ'!I170)+N('CONTROLE CMM'!I170))</f>
        <v/>
      </c>
      <c r="AQ168" s="223">
        <f>IF(AND('CONTROLE EJ'!J170="",'CONTROLE CMM'!#REF!=""),"",N('CONTROLE EJ'!J170)+N('CONTROLE CMM'!#REF!))</f>
        <v/>
      </c>
      <c r="AR168" s="223">
        <f>IF('CONTROLE GLOBO AÇOS'!I170="","",'CONTROLE GLOBO AÇOS'!I170)</f>
        <v/>
      </c>
      <c r="AS168" s="223">
        <f>IF('CONTROLE GLOBO AÇOS'!J170="","",'CONTROLE GLOBO AÇOS'!J170)</f>
        <v/>
      </c>
      <c r="AT168" s="223">
        <f>IF(#REF!="","",#REF!)</f>
        <v/>
      </c>
      <c r="AU168" s="223">
        <f>IF('CONTROLE GLOBO AÇOS'!K170="","",'CONTROLE GLOBO AÇOS'!K170)</f>
        <v/>
      </c>
      <c r="AV168" s="223">
        <f>IF(AND('CONTROLE EJ'!K170="",'CONTROLE CMM'!#REF!=""),"",N('CONTROLE EJ'!K170)+N('CONTROLE CMM'!#REF!))</f>
        <v/>
      </c>
      <c r="AW168" s="223">
        <f>IF('CONTROLE GLOBO AÇOS'!L170="","",'CONTROLE GLOBO AÇOS'!L170)</f>
        <v/>
      </c>
      <c r="AX168" s="223">
        <f>IF(AND('CONTROLE EJ'!L170="",'CONTROLE CMM'!#REF!=""),"",N('CONTROLE EJ'!L170)+N('CONTROLE CMM'!#REF!))</f>
        <v/>
      </c>
      <c r="AY168" s="223">
        <f>IF('CONTROLE GLOBO AÇOS'!M170="","",'CONTROLE GLOBO AÇOS'!M170)</f>
        <v/>
      </c>
      <c r="AZ168" s="223">
        <f>IF('CONTROLE GLOBO AÇOS'!N170="","",'CONTROLE GLOBO AÇOS'!N170)</f>
        <v/>
      </c>
      <c r="BA168" s="223">
        <f>IF(AND('CONTROLE EJ'!M170="",'CONTROLE CMM'!#REF!=""),"",N('CONTROLE EJ'!M170)+N('CONTROLE CMM'!#REF!))</f>
        <v/>
      </c>
      <c r="BB168" s="223">
        <f>IF(#REF!="","",#REF!)</f>
        <v/>
      </c>
      <c r="BC168" s="223">
        <f>IF('CONTROLE GLOBO AÇOS'!O170="","",'CONTROLE GLOBO AÇOS'!O170)</f>
        <v/>
      </c>
      <c r="BD168" s="223">
        <f>IF(AND('CONTROLE EJ'!N170="",'CONTROLE CMM'!#REF!=""),"",N('CONTROLE EJ'!N170)+N('CONTROLE CMM'!#REF!))</f>
        <v/>
      </c>
      <c r="BE168" s="223">
        <f>IF('CONTROLE GLOBO AÇOS'!P170="","",'CONTROLE GLOBO AÇOS'!P170)</f>
        <v/>
      </c>
      <c r="BF168" s="223">
        <f>IF('CONTROLE GLOBO AÇOS'!Q170="","",'CONTROLE GLOBO AÇOS'!Q170)</f>
        <v/>
      </c>
      <c r="BG168" s="223">
        <f>IF('CONTROLE GLOBO AÇOS'!R170="","",'CONTROLE GLOBO AÇOS'!R170)</f>
        <v/>
      </c>
      <c r="BH168" s="223">
        <f>IF(AND('CONTROLE EJ'!O170="",'CONTROLE CMM'!#REF!=""),"",N('CONTROLE EJ'!O170)+N('CONTROLE CMM'!#REF!))</f>
        <v/>
      </c>
      <c r="BI168" s="223">
        <f>IF('CONTROLE GLOBO AÇOS'!S170="","",'CONTROLE GLOBO AÇOS'!S170)</f>
        <v/>
      </c>
      <c r="BJ168" s="223">
        <f>IF('CONTROLE GLOBO AÇOS'!T170="","",'CONTROLE GLOBO AÇOS'!T170)</f>
        <v/>
      </c>
      <c r="BK168" s="223">
        <f>IF('CONTROLE GLOBO AÇOS'!U170="","",'CONTROLE GLOBO AÇOS'!U170)</f>
        <v/>
      </c>
      <c r="BL168" s="223">
        <f>IF(AND('CONTROLE EJ'!P170="",'CONTROLE CMM'!#REF!=""),"",N('CONTROLE EJ'!P170)+N('CONTROLE CMM'!#REF!))</f>
        <v/>
      </c>
      <c r="BM168" s="223">
        <f>IF(AND('CONTROLE EJ'!Q170="",'CONTROLE CMM'!#REF!=""),"",N('CONTROLE EJ'!Q170)+N('CONTROLE CMM'!#REF!))</f>
        <v/>
      </c>
      <c r="BN168" s="223">
        <f>IF('CONTROLE GLOBO AÇOS'!V170="","",'CONTROLE GLOBO AÇOS'!V170)</f>
        <v/>
      </c>
      <c r="BO168" s="223">
        <f>IF('CONTROLE GLOBO AÇOS'!W170="","",'CONTROLE GLOBO AÇOS'!W170)</f>
        <v/>
      </c>
      <c r="BP168" s="223">
        <f>IF(AND('CONTROLE EJ'!R170="",'CONTROLE CMM'!#REF!=""),"",N('CONTROLE EJ'!R170)+N('CONTROLE CMM'!#REF!))</f>
        <v/>
      </c>
      <c r="BQ168" s="223">
        <f>IF(#REF!="","",#REF!)</f>
        <v/>
      </c>
      <c r="BR168" s="223">
        <f>IF(AND('CONTROLE EJ'!S170="",'CONTROLE CMM'!#REF!=""),"",N('CONTROLE EJ'!S170)+N('CONTROLE CMM'!#REF!))</f>
        <v/>
      </c>
      <c r="BS168" s="223">
        <f>IF(AND('CONTROLE EJ'!T170="",'CONTROLE CMM'!#REF!=""),"",N('CONTROLE EJ'!T170)+N('CONTROLE CMM'!#REF!))</f>
        <v/>
      </c>
      <c r="BT168" s="223">
        <f>IF('CONTROLE GLOBO AÇOS'!X170="","",'CONTROLE GLOBO AÇOS'!X170)</f>
        <v/>
      </c>
      <c r="BU168" s="223">
        <f>IF('CONTROLE GLOBO AÇOS'!Y170="","",'CONTROLE GLOBO AÇOS'!Y170)</f>
        <v/>
      </c>
      <c r="BV168" s="223">
        <f>IF(AND('CONTROLE EJ'!U170="",'CONTROLE CMM'!#REF!=""),"",N('CONTROLE EJ'!U170)+N('CONTROLE CMM'!#REF!))</f>
        <v/>
      </c>
      <c r="BW168" s="223">
        <f>IF(#REF!="","",#REF!)</f>
        <v/>
      </c>
    </row>
    <row r="169">
      <c r="A169" s="282" t="n">
        <v>46386</v>
      </c>
      <c r="B169" s="18">
        <f>IF('CONTROLE EJ'!B171="","",'CONTROLE EJ'!B171)</f>
        <v/>
      </c>
      <c r="C169" s="18">
        <f>IF('CONTROLE EJ'!C171="","",'CONTROLE EJ'!C171)</f>
        <v/>
      </c>
      <c r="D169" s="42">
        <f>IF('CONTROLE EJ'!D171="","",'CONTROLE EJ'!D171)</f>
        <v/>
      </c>
      <c r="E169" s="43">
        <f>IF('CONTROLE CMM'!B171="","",'CONTROLE CMM'!B171)</f>
        <v/>
      </c>
      <c r="F169" s="18">
        <f>IF('CONTROLE CMM'!C171="","",'CONTROLE CMM'!C171)</f>
        <v/>
      </c>
      <c r="G169" s="26">
        <f>IF('CONTROLE CMM'!D171="","",'CONTROLE CMM'!D171)</f>
        <v/>
      </c>
      <c r="H169" s="43">
        <f>IF('CONTROLE GLOBO AÇOS'!B171="","",'CONTROLE GLOBO AÇOS'!B171)</f>
        <v/>
      </c>
      <c r="I169" s="18">
        <f>IF('CONTROLE GLOBO AÇOS'!C171="","",'CONTROLE GLOBO AÇOS'!C171)</f>
        <v/>
      </c>
      <c r="J169" s="18">
        <f>IF('CONTROLE GLOBO AÇOS'!D171="","",'CONTROLE GLOBO AÇOS'!D171)</f>
        <v/>
      </c>
      <c r="AD169" s="39">
        <f>IF($A169="",0,IF(AND(WEEKDAY($A169,2)&lt;=5,OR($B169&lt;&gt;"",$C169&lt;&gt;"",$D169&lt;&gt;"")),1,0))</f>
        <v/>
      </c>
      <c r="AE169" s="39">
        <f>IF($A169="",0,IF(AND(WEEKDAY($A169,2)&lt;=5,OR($E169&lt;&gt;"",$F169&lt;&gt;"",$G169&lt;&gt;"")),1,0))</f>
        <v/>
      </c>
      <c r="AF169" s="39">
        <f>MAX(AD169,AE169)</f>
        <v/>
      </c>
      <c r="AH169" s="223">
        <f>IF('CONTROLE GLOBO AÇOS'!E171="","",'CONTROLE GLOBO AÇOS'!E171)</f>
        <v/>
      </c>
      <c r="AI169" s="223">
        <f>IF('CONTROLE GLOBO AÇOS'!F171="","",'CONTROLE GLOBO AÇOS'!F171)</f>
        <v/>
      </c>
      <c r="AJ169" s="223">
        <f>IF(AND('CONTROLE EJ'!E171="",'CONTROLE CMM'!E171=""),"",N('CONTROLE EJ'!E171)+N('CONTROLE CMM'!E171))</f>
        <v/>
      </c>
      <c r="AK169" s="223">
        <f>IF(AND('CONTROLE EJ'!F171="",'CONTROLE CMM'!F171=""),"",N('CONTROLE EJ'!F171)+N('CONTROLE CMM'!F171))</f>
        <v/>
      </c>
      <c r="AL169" s="223">
        <f>IF(AND('CONTROLE EJ'!G171="",'CONTROLE CMM'!G171=""),"",N('CONTROLE EJ'!G171)+N('CONTROLE CMM'!G171))</f>
        <v/>
      </c>
      <c r="AM169" s="223">
        <f>IF(AND('CONTROLE EJ'!H171="",'CONTROLE CMM'!H171=""),"",N('CONTROLE EJ'!H171)+N('CONTROLE CMM'!H171))</f>
        <v/>
      </c>
      <c r="AN169" s="223">
        <f>IF('CONTROLE GLOBO AÇOS'!G171="","",'CONTROLE GLOBO AÇOS'!G171)</f>
        <v/>
      </c>
      <c r="AO169" s="223">
        <f>IF('CONTROLE GLOBO AÇOS'!H171="","",'CONTROLE GLOBO AÇOS'!H171)</f>
        <v/>
      </c>
      <c r="AP169" s="223">
        <f>IF(AND('CONTROLE EJ'!I171="",'CONTROLE CMM'!I171=""),"",N('CONTROLE EJ'!I171)+N('CONTROLE CMM'!I171))</f>
        <v/>
      </c>
      <c r="AQ169" s="223">
        <f>IF(AND('CONTROLE EJ'!J171="",'CONTROLE CMM'!#REF!=""),"",N('CONTROLE EJ'!J171)+N('CONTROLE CMM'!#REF!))</f>
        <v/>
      </c>
      <c r="AR169" s="223">
        <f>IF('CONTROLE GLOBO AÇOS'!I171="","",'CONTROLE GLOBO AÇOS'!I171)</f>
        <v/>
      </c>
      <c r="AS169" s="223">
        <f>IF('CONTROLE GLOBO AÇOS'!J171="","",'CONTROLE GLOBO AÇOS'!J171)</f>
        <v/>
      </c>
      <c r="AT169" s="223">
        <f>IF(#REF!="","",#REF!)</f>
        <v/>
      </c>
      <c r="AU169" s="223">
        <f>IF('CONTROLE GLOBO AÇOS'!K171="","",'CONTROLE GLOBO AÇOS'!K171)</f>
        <v/>
      </c>
      <c r="AV169" s="223">
        <f>IF(AND('CONTROLE EJ'!K171="",'CONTROLE CMM'!#REF!=""),"",N('CONTROLE EJ'!K171)+N('CONTROLE CMM'!#REF!))</f>
        <v/>
      </c>
      <c r="AW169" s="223">
        <f>IF('CONTROLE GLOBO AÇOS'!L171="","",'CONTROLE GLOBO AÇOS'!L171)</f>
        <v/>
      </c>
      <c r="AX169" s="223">
        <f>IF(AND('CONTROLE EJ'!L171="",'CONTROLE CMM'!#REF!=""),"",N('CONTROLE EJ'!L171)+N('CONTROLE CMM'!#REF!))</f>
        <v/>
      </c>
      <c r="AY169" s="223">
        <f>IF('CONTROLE GLOBO AÇOS'!M171="","",'CONTROLE GLOBO AÇOS'!M171)</f>
        <v/>
      </c>
      <c r="AZ169" s="223">
        <f>IF('CONTROLE GLOBO AÇOS'!N171="","",'CONTROLE GLOBO AÇOS'!N171)</f>
        <v/>
      </c>
      <c r="BA169" s="223">
        <f>IF(AND('CONTROLE EJ'!M171="",'CONTROLE CMM'!#REF!=""),"",N('CONTROLE EJ'!M171)+N('CONTROLE CMM'!#REF!))</f>
        <v/>
      </c>
      <c r="BB169" s="223">
        <f>IF(#REF!="","",#REF!)</f>
        <v/>
      </c>
      <c r="BC169" s="223">
        <f>IF('CONTROLE GLOBO AÇOS'!O171="","",'CONTROLE GLOBO AÇOS'!O171)</f>
        <v/>
      </c>
      <c r="BD169" s="223">
        <f>IF(AND('CONTROLE EJ'!N171="",'CONTROLE CMM'!#REF!=""),"",N('CONTROLE EJ'!N171)+N('CONTROLE CMM'!#REF!))</f>
        <v/>
      </c>
      <c r="BE169" s="223">
        <f>IF('CONTROLE GLOBO AÇOS'!P171="","",'CONTROLE GLOBO AÇOS'!P171)</f>
        <v/>
      </c>
      <c r="BF169" s="223">
        <f>IF('CONTROLE GLOBO AÇOS'!Q171="","",'CONTROLE GLOBO AÇOS'!Q171)</f>
        <v/>
      </c>
      <c r="BG169" s="223">
        <f>IF('CONTROLE GLOBO AÇOS'!R171="","",'CONTROLE GLOBO AÇOS'!R171)</f>
        <v/>
      </c>
      <c r="BH169" s="223">
        <f>IF(AND('CONTROLE EJ'!O171="",'CONTROLE CMM'!#REF!=""),"",N('CONTROLE EJ'!O171)+N('CONTROLE CMM'!#REF!))</f>
        <v/>
      </c>
      <c r="BI169" s="223">
        <f>IF('CONTROLE GLOBO AÇOS'!S171="","",'CONTROLE GLOBO AÇOS'!S171)</f>
        <v/>
      </c>
      <c r="BJ169" s="223">
        <f>IF('CONTROLE GLOBO AÇOS'!T171="","",'CONTROLE GLOBO AÇOS'!T171)</f>
        <v/>
      </c>
      <c r="BK169" s="223">
        <f>IF('CONTROLE GLOBO AÇOS'!U171="","",'CONTROLE GLOBO AÇOS'!U171)</f>
        <v/>
      </c>
      <c r="BL169" s="223">
        <f>IF(AND('CONTROLE EJ'!P171="",'CONTROLE CMM'!#REF!=""),"",N('CONTROLE EJ'!P171)+N('CONTROLE CMM'!#REF!))</f>
        <v/>
      </c>
      <c r="BM169" s="223">
        <f>IF(AND('CONTROLE EJ'!Q171="",'CONTROLE CMM'!#REF!=""),"",N('CONTROLE EJ'!Q171)+N('CONTROLE CMM'!#REF!))</f>
        <v/>
      </c>
      <c r="BN169" s="223">
        <f>IF('CONTROLE GLOBO AÇOS'!V171="","",'CONTROLE GLOBO AÇOS'!V171)</f>
        <v/>
      </c>
      <c r="BO169" s="223">
        <f>IF('CONTROLE GLOBO AÇOS'!W171="","",'CONTROLE GLOBO AÇOS'!W171)</f>
        <v/>
      </c>
      <c r="BP169" s="223">
        <f>IF(AND('CONTROLE EJ'!R171="",'CONTROLE CMM'!#REF!=""),"",N('CONTROLE EJ'!R171)+N('CONTROLE CMM'!#REF!))</f>
        <v/>
      </c>
      <c r="BQ169" s="223">
        <f>IF(#REF!="","",#REF!)</f>
        <v/>
      </c>
      <c r="BR169" s="223">
        <f>IF(AND('CONTROLE EJ'!S171="",'CONTROLE CMM'!#REF!=""),"",N('CONTROLE EJ'!S171)+N('CONTROLE CMM'!#REF!))</f>
        <v/>
      </c>
      <c r="BS169" s="223">
        <f>IF(AND('CONTROLE EJ'!T171="",'CONTROLE CMM'!#REF!=""),"",N('CONTROLE EJ'!T171)+N('CONTROLE CMM'!#REF!))</f>
        <v/>
      </c>
      <c r="BT169" s="223">
        <f>IF('CONTROLE GLOBO AÇOS'!X171="","",'CONTROLE GLOBO AÇOS'!X171)</f>
        <v/>
      </c>
      <c r="BU169" s="223">
        <f>IF('CONTROLE GLOBO AÇOS'!Y171="","",'CONTROLE GLOBO AÇOS'!Y171)</f>
        <v/>
      </c>
      <c r="BV169" s="223">
        <f>IF(AND('CONTROLE EJ'!U171="",'CONTROLE CMM'!#REF!=""),"",N('CONTROLE EJ'!U171)+N('CONTROLE CMM'!#REF!))</f>
        <v/>
      </c>
      <c r="BW169" s="223">
        <f>IF(#REF!="","",#REF!)</f>
        <v/>
      </c>
    </row>
    <row r="170">
      <c r="A170" s="282" t="n">
        <v>46387</v>
      </c>
      <c r="B170" s="18">
        <f>IF('CONTROLE EJ'!B172="","",'CONTROLE EJ'!B172)</f>
        <v/>
      </c>
      <c r="C170" s="18">
        <f>IF('CONTROLE EJ'!C172="","",'CONTROLE EJ'!C172)</f>
        <v/>
      </c>
      <c r="D170" s="42">
        <f>IF('CONTROLE EJ'!D172="","",'CONTROLE EJ'!D172)</f>
        <v/>
      </c>
      <c r="E170" s="43">
        <f>IF('CONTROLE CMM'!B172="","",'CONTROLE CMM'!B172)</f>
        <v/>
      </c>
      <c r="F170" s="18">
        <f>IF('CONTROLE CMM'!C172="","",'CONTROLE CMM'!C172)</f>
        <v/>
      </c>
      <c r="G170" s="26">
        <f>IF('CONTROLE CMM'!D172="","",'CONTROLE CMM'!D172)</f>
        <v/>
      </c>
      <c r="H170" s="43">
        <f>IF('CONTROLE GLOBO AÇOS'!B172="","",'CONTROLE GLOBO AÇOS'!B172)</f>
        <v/>
      </c>
      <c r="I170" s="18">
        <f>IF('CONTROLE GLOBO AÇOS'!C172="","",'CONTROLE GLOBO AÇOS'!C172)</f>
        <v/>
      </c>
      <c r="J170" s="18">
        <f>IF('CONTROLE GLOBO AÇOS'!D172="","",'CONTROLE GLOBO AÇOS'!D172)</f>
        <v/>
      </c>
      <c r="AD170" s="39">
        <f>IF($A170="",0,IF(AND(WEEKDAY($A170,2)&lt;=5,OR($B170&lt;&gt;"",$C170&lt;&gt;"",$D170&lt;&gt;"")),1,0))</f>
        <v/>
      </c>
      <c r="AE170" s="39">
        <f>IF($A170="",0,IF(AND(WEEKDAY($A170,2)&lt;=5,OR($E170&lt;&gt;"",$F170&lt;&gt;"",$G170&lt;&gt;"")),1,0))</f>
        <v/>
      </c>
      <c r="AF170" s="39">
        <f>MAX(AD170,AE170)</f>
        <v/>
      </c>
      <c r="AH170" s="223">
        <f>IF('CONTROLE GLOBO AÇOS'!E172="","",'CONTROLE GLOBO AÇOS'!E172)</f>
        <v/>
      </c>
      <c r="AI170" s="223">
        <f>IF('CONTROLE GLOBO AÇOS'!F172="","",'CONTROLE GLOBO AÇOS'!F172)</f>
        <v/>
      </c>
      <c r="AJ170" s="223">
        <f>IF(AND('CONTROLE EJ'!E172="",'CONTROLE CMM'!E172=""),"",N('CONTROLE EJ'!E172)+N('CONTROLE CMM'!E172))</f>
        <v/>
      </c>
      <c r="AK170" s="223">
        <f>IF(AND('CONTROLE EJ'!F172="",'CONTROLE CMM'!F172=""),"",N('CONTROLE EJ'!F172)+N('CONTROLE CMM'!F172))</f>
        <v/>
      </c>
      <c r="AL170" s="223">
        <f>IF(AND('CONTROLE EJ'!G172="",'CONTROLE CMM'!G172=""),"",N('CONTROLE EJ'!G172)+N('CONTROLE CMM'!G172))</f>
        <v/>
      </c>
      <c r="AM170" s="223">
        <f>IF(AND('CONTROLE EJ'!H172="",'CONTROLE CMM'!H172=""),"",N('CONTROLE EJ'!H172)+N('CONTROLE CMM'!H172))</f>
        <v/>
      </c>
      <c r="AN170" s="223">
        <f>IF('CONTROLE GLOBO AÇOS'!G172="","",'CONTROLE GLOBO AÇOS'!G172)</f>
        <v/>
      </c>
      <c r="AO170" s="223">
        <f>IF('CONTROLE GLOBO AÇOS'!H172="","",'CONTROLE GLOBO AÇOS'!H172)</f>
        <v/>
      </c>
      <c r="AP170" s="223">
        <f>IF(AND('CONTROLE EJ'!I172="",'CONTROLE CMM'!I172=""),"",N('CONTROLE EJ'!I172)+N('CONTROLE CMM'!I172))</f>
        <v/>
      </c>
      <c r="AQ170" s="223">
        <f>IF(AND('CONTROLE EJ'!J172="",'CONTROLE CMM'!#REF!=""),"",N('CONTROLE EJ'!J172)+N('CONTROLE CMM'!#REF!))</f>
        <v/>
      </c>
      <c r="AR170" s="223">
        <f>IF('CONTROLE GLOBO AÇOS'!I172="","",'CONTROLE GLOBO AÇOS'!I172)</f>
        <v/>
      </c>
      <c r="AS170" s="223">
        <f>IF('CONTROLE GLOBO AÇOS'!J172="","",'CONTROLE GLOBO AÇOS'!J172)</f>
        <v/>
      </c>
      <c r="AT170" s="223">
        <f>IF(#REF!="","",#REF!)</f>
        <v/>
      </c>
      <c r="AU170" s="223">
        <f>IF('CONTROLE GLOBO AÇOS'!K172="","",'CONTROLE GLOBO AÇOS'!K172)</f>
        <v/>
      </c>
      <c r="AV170" s="223">
        <f>IF(AND('CONTROLE EJ'!K172="",'CONTROLE CMM'!#REF!=""),"",N('CONTROLE EJ'!K172)+N('CONTROLE CMM'!#REF!))</f>
        <v/>
      </c>
      <c r="AW170" s="223">
        <f>IF('CONTROLE GLOBO AÇOS'!L172="","",'CONTROLE GLOBO AÇOS'!L172)</f>
        <v/>
      </c>
      <c r="AX170" s="223">
        <f>IF(AND('CONTROLE EJ'!L172="",'CONTROLE CMM'!#REF!=""),"",N('CONTROLE EJ'!L172)+N('CONTROLE CMM'!#REF!))</f>
        <v/>
      </c>
      <c r="AY170" s="223">
        <f>IF('CONTROLE GLOBO AÇOS'!M172="","",'CONTROLE GLOBO AÇOS'!M172)</f>
        <v/>
      </c>
      <c r="AZ170" s="223">
        <f>IF('CONTROLE GLOBO AÇOS'!N172="","",'CONTROLE GLOBO AÇOS'!N172)</f>
        <v/>
      </c>
      <c r="BA170" s="223">
        <f>IF(AND('CONTROLE EJ'!M172="",'CONTROLE CMM'!#REF!=""),"",N('CONTROLE EJ'!M172)+N('CONTROLE CMM'!#REF!))</f>
        <v/>
      </c>
      <c r="BB170" s="223">
        <f>IF(#REF!="","",#REF!)</f>
        <v/>
      </c>
      <c r="BC170" s="223">
        <f>IF('CONTROLE GLOBO AÇOS'!O172="","",'CONTROLE GLOBO AÇOS'!O172)</f>
        <v/>
      </c>
      <c r="BD170" s="223">
        <f>IF(AND('CONTROLE EJ'!N172="",'CONTROLE CMM'!#REF!=""),"",N('CONTROLE EJ'!N172)+N('CONTROLE CMM'!#REF!))</f>
        <v/>
      </c>
      <c r="BE170" s="223">
        <f>IF('CONTROLE GLOBO AÇOS'!P172="","",'CONTROLE GLOBO AÇOS'!P172)</f>
        <v/>
      </c>
      <c r="BF170" s="223">
        <f>IF('CONTROLE GLOBO AÇOS'!Q172="","",'CONTROLE GLOBO AÇOS'!Q172)</f>
        <v/>
      </c>
      <c r="BG170" s="223">
        <f>IF('CONTROLE GLOBO AÇOS'!R172="","",'CONTROLE GLOBO AÇOS'!R172)</f>
        <v/>
      </c>
      <c r="BH170" s="223">
        <f>IF(AND('CONTROLE EJ'!O172="",'CONTROLE CMM'!#REF!=""),"",N('CONTROLE EJ'!O172)+N('CONTROLE CMM'!#REF!))</f>
        <v/>
      </c>
      <c r="BI170" s="223">
        <f>IF('CONTROLE GLOBO AÇOS'!S172="","",'CONTROLE GLOBO AÇOS'!S172)</f>
        <v/>
      </c>
      <c r="BJ170" s="223">
        <f>IF('CONTROLE GLOBO AÇOS'!T172="","",'CONTROLE GLOBO AÇOS'!T172)</f>
        <v/>
      </c>
      <c r="BK170" s="223">
        <f>IF('CONTROLE GLOBO AÇOS'!U172="","",'CONTROLE GLOBO AÇOS'!U172)</f>
        <v/>
      </c>
      <c r="BL170" s="223">
        <f>IF(AND('CONTROLE EJ'!P172="",'CONTROLE CMM'!#REF!=""),"",N('CONTROLE EJ'!P172)+N('CONTROLE CMM'!#REF!))</f>
        <v/>
      </c>
      <c r="BM170" s="223">
        <f>IF(AND('CONTROLE EJ'!Q172="",'CONTROLE CMM'!#REF!=""),"",N('CONTROLE EJ'!Q172)+N('CONTROLE CMM'!#REF!))</f>
        <v/>
      </c>
      <c r="BN170" s="223">
        <f>IF('CONTROLE GLOBO AÇOS'!V172="","",'CONTROLE GLOBO AÇOS'!V172)</f>
        <v/>
      </c>
      <c r="BO170" s="223">
        <f>IF('CONTROLE GLOBO AÇOS'!W172="","",'CONTROLE GLOBO AÇOS'!W172)</f>
        <v/>
      </c>
      <c r="BP170" s="223">
        <f>IF(AND('CONTROLE EJ'!R172="",'CONTROLE CMM'!#REF!=""),"",N('CONTROLE EJ'!R172)+N('CONTROLE CMM'!#REF!))</f>
        <v/>
      </c>
      <c r="BQ170" s="223">
        <f>IF(#REF!="","",#REF!)</f>
        <v/>
      </c>
      <c r="BR170" s="223">
        <f>IF(AND('CONTROLE EJ'!S172="",'CONTROLE CMM'!#REF!=""),"",N('CONTROLE EJ'!S172)+N('CONTROLE CMM'!#REF!))</f>
        <v/>
      </c>
      <c r="BS170" s="223">
        <f>IF(AND('CONTROLE EJ'!T172="",'CONTROLE CMM'!#REF!=""),"",N('CONTROLE EJ'!T172)+N('CONTROLE CMM'!#REF!))</f>
        <v/>
      </c>
      <c r="BT170" s="223">
        <f>IF('CONTROLE GLOBO AÇOS'!X172="","",'CONTROLE GLOBO AÇOS'!X172)</f>
        <v/>
      </c>
      <c r="BU170" s="223">
        <f>IF('CONTROLE GLOBO AÇOS'!Y172="","",'CONTROLE GLOBO AÇOS'!Y172)</f>
        <v/>
      </c>
      <c r="BV170" s="223">
        <f>IF(AND('CONTROLE EJ'!U172="",'CONTROLE CMM'!#REF!=""),"",N('CONTROLE EJ'!U172)+N('CONTROLE CMM'!#REF!))</f>
        <v/>
      </c>
      <c r="BW170" s="223">
        <f>IF(#REF!="","",#REF!)</f>
        <v/>
      </c>
    </row>
    <row r="171">
      <c r="A171" s="282" t="n">
        <v>46388</v>
      </c>
      <c r="B171" s="18">
        <f>IF('CONTROLE EJ'!B173="","",'CONTROLE EJ'!B173)</f>
        <v/>
      </c>
      <c r="C171" s="18">
        <f>IF('CONTROLE EJ'!C173="","",'CONTROLE EJ'!C173)</f>
        <v/>
      </c>
      <c r="D171" s="42">
        <f>IF('CONTROLE EJ'!D173="","",'CONTROLE EJ'!D173)</f>
        <v/>
      </c>
      <c r="E171" s="43">
        <f>IF('CONTROLE CMM'!B173="","",'CONTROLE CMM'!B173)</f>
        <v/>
      </c>
      <c r="F171" s="18">
        <f>IF('CONTROLE CMM'!C173="","",'CONTROLE CMM'!C173)</f>
        <v/>
      </c>
      <c r="G171" s="26">
        <f>IF('CONTROLE CMM'!D173="","",'CONTROLE CMM'!D173)</f>
        <v/>
      </c>
      <c r="H171" s="43">
        <f>IF('CONTROLE GLOBO AÇOS'!B173="","",'CONTROLE GLOBO AÇOS'!B173)</f>
        <v/>
      </c>
      <c r="I171" s="18">
        <f>IF('CONTROLE GLOBO AÇOS'!C173="","",'CONTROLE GLOBO AÇOS'!C173)</f>
        <v/>
      </c>
      <c r="J171" s="18">
        <f>IF('CONTROLE GLOBO AÇOS'!D173="","",'CONTROLE GLOBO AÇOS'!D173)</f>
        <v/>
      </c>
      <c r="AD171" s="39">
        <f>IF($A171="",0,IF(AND(WEEKDAY($A171,2)&lt;=5,OR($B171&lt;&gt;"",$C171&lt;&gt;"",$D171&lt;&gt;"")),1,0))</f>
        <v/>
      </c>
      <c r="AE171" s="39">
        <f>IF($A171="",0,IF(AND(WEEKDAY($A171,2)&lt;=5,OR($E171&lt;&gt;"",$F171&lt;&gt;"",$G171&lt;&gt;"")),1,0))</f>
        <v/>
      </c>
      <c r="AF171" s="39">
        <f>MAX(AD171,AE171)</f>
        <v/>
      </c>
      <c r="AH171" s="223">
        <f>IF('CONTROLE GLOBO AÇOS'!E173="","",'CONTROLE GLOBO AÇOS'!E173)</f>
        <v/>
      </c>
      <c r="AI171" s="223">
        <f>IF('CONTROLE GLOBO AÇOS'!F173="","",'CONTROLE GLOBO AÇOS'!F173)</f>
        <v/>
      </c>
      <c r="AJ171" s="223">
        <f>IF(AND('CONTROLE EJ'!E173="",'CONTROLE CMM'!E173=""),"",N('CONTROLE EJ'!E173)+N('CONTROLE CMM'!E173))</f>
        <v/>
      </c>
      <c r="AK171" s="223">
        <f>IF(AND('CONTROLE EJ'!F173="",'CONTROLE CMM'!F173=""),"",N('CONTROLE EJ'!F173)+N('CONTROLE CMM'!F173))</f>
        <v/>
      </c>
      <c r="AL171" s="223">
        <f>IF(AND('CONTROLE EJ'!G173="",'CONTROLE CMM'!G173=""),"",N('CONTROLE EJ'!G173)+N('CONTROLE CMM'!G173))</f>
        <v/>
      </c>
      <c r="AM171" s="223">
        <f>IF(AND('CONTROLE EJ'!H173="",'CONTROLE CMM'!H173=""),"",N('CONTROLE EJ'!H173)+N('CONTROLE CMM'!H173))</f>
        <v/>
      </c>
      <c r="AN171" s="223">
        <f>IF('CONTROLE GLOBO AÇOS'!G173="","",'CONTROLE GLOBO AÇOS'!G173)</f>
        <v/>
      </c>
      <c r="AO171" s="223">
        <f>IF('CONTROLE GLOBO AÇOS'!H173="","",'CONTROLE GLOBO AÇOS'!H173)</f>
        <v/>
      </c>
      <c r="AP171" s="223">
        <f>IF(AND('CONTROLE EJ'!I173="",'CONTROLE CMM'!I173=""),"",N('CONTROLE EJ'!I173)+N('CONTROLE CMM'!I173))</f>
        <v/>
      </c>
      <c r="AQ171" s="223">
        <f>IF(AND('CONTROLE EJ'!J173="",'CONTROLE CMM'!#REF!=""),"",N('CONTROLE EJ'!J173)+N('CONTROLE CMM'!#REF!))</f>
        <v/>
      </c>
      <c r="AR171" s="223">
        <f>IF('CONTROLE GLOBO AÇOS'!I173="","",'CONTROLE GLOBO AÇOS'!I173)</f>
        <v/>
      </c>
      <c r="AS171" s="223">
        <f>IF('CONTROLE GLOBO AÇOS'!J173="","",'CONTROLE GLOBO AÇOS'!J173)</f>
        <v/>
      </c>
      <c r="AT171" s="223">
        <f>IF(#REF!="","",#REF!)</f>
        <v/>
      </c>
      <c r="AU171" s="223">
        <f>IF('CONTROLE GLOBO AÇOS'!K173="","",'CONTROLE GLOBO AÇOS'!K173)</f>
        <v/>
      </c>
      <c r="AV171" s="223">
        <f>IF(AND('CONTROLE EJ'!K173="",'CONTROLE CMM'!#REF!=""),"",N('CONTROLE EJ'!K173)+N('CONTROLE CMM'!#REF!))</f>
        <v/>
      </c>
      <c r="AW171" s="223">
        <f>IF('CONTROLE GLOBO AÇOS'!L173="","",'CONTROLE GLOBO AÇOS'!L173)</f>
        <v/>
      </c>
      <c r="AX171" s="223">
        <f>IF(AND('CONTROLE EJ'!L173="",'CONTROLE CMM'!#REF!=""),"",N('CONTROLE EJ'!L173)+N('CONTROLE CMM'!#REF!))</f>
        <v/>
      </c>
      <c r="AY171" s="223">
        <f>IF('CONTROLE GLOBO AÇOS'!M173="","",'CONTROLE GLOBO AÇOS'!M173)</f>
        <v/>
      </c>
      <c r="AZ171" s="223">
        <f>IF('CONTROLE GLOBO AÇOS'!N173="","",'CONTROLE GLOBO AÇOS'!N173)</f>
        <v/>
      </c>
      <c r="BA171" s="223">
        <f>IF(AND('CONTROLE EJ'!M173="",'CONTROLE CMM'!#REF!=""),"",N('CONTROLE EJ'!M173)+N('CONTROLE CMM'!#REF!))</f>
        <v/>
      </c>
      <c r="BB171" s="223">
        <f>IF(#REF!="","",#REF!)</f>
        <v/>
      </c>
      <c r="BC171" s="223">
        <f>IF('CONTROLE GLOBO AÇOS'!O173="","",'CONTROLE GLOBO AÇOS'!O173)</f>
        <v/>
      </c>
      <c r="BD171" s="223">
        <f>IF(AND('CONTROLE EJ'!N173="",'CONTROLE CMM'!#REF!=""),"",N('CONTROLE EJ'!N173)+N('CONTROLE CMM'!#REF!))</f>
        <v/>
      </c>
      <c r="BE171" s="223">
        <f>IF('CONTROLE GLOBO AÇOS'!P173="","",'CONTROLE GLOBO AÇOS'!P173)</f>
        <v/>
      </c>
      <c r="BF171" s="223">
        <f>IF('CONTROLE GLOBO AÇOS'!Q173="","",'CONTROLE GLOBO AÇOS'!Q173)</f>
        <v/>
      </c>
      <c r="BG171" s="223">
        <f>IF('CONTROLE GLOBO AÇOS'!R173="","",'CONTROLE GLOBO AÇOS'!R173)</f>
        <v/>
      </c>
      <c r="BH171" s="223">
        <f>IF(AND('CONTROLE EJ'!O173="",'CONTROLE CMM'!#REF!=""),"",N('CONTROLE EJ'!O173)+N('CONTROLE CMM'!#REF!))</f>
        <v/>
      </c>
      <c r="BI171" s="223">
        <f>IF('CONTROLE GLOBO AÇOS'!S173="","",'CONTROLE GLOBO AÇOS'!S173)</f>
        <v/>
      </c>
      <c r="BJ171" s="223">
        <f>IF('CONTROLE GLOBO AÇOS'!T173="","",'CONTROLE GLOBO AÇOS'!T173)</f>
        <v/>
      </c>
      <c r="BK171" s="223">
        <f>IF('CONTROLE GLOBO AÇOS'!U173="","",'CONTROLE GLOBO AÇOS'!U173)</f>
        <v/>
      </c>
      <c r="BL171" s="223">
        <f>IF(AND('CONTROLE EJ'!P173="",'CONTROLE CMM'!#REF!=""),"",N('CONTROLE EJ'!P173)+N('CONTROLE CMM'!#REF!))</f>
        <v/>
      </c>
      <c r="BM171" s="223">
        <f>IF(AND('CONTROLE EJ'!Q173="",'CONTROLE CMM'!#REF!=""),"",N('CONTROLE EJ'!Q173)+N('CONTROLE CMM'!#REF!))</f>
        <v/>
      </c>
      <c r="BN171" s="223">
        <f>IF('CONTROLE GLOBO AÇOS'!V173="","",'CONTROLE GLOBO AÇOS'!V173)</f>
        <v/>
      </c>
      <c r="BO171" s="223">
        <f>IF('CONTROLE GLOBO AÇOS'!W173="","",'CONTROLE GLOBO AÇOS'!W173)</f>
        <v/>
      </c>
      <c r="BP171" s="223">
        <f>IF(AND('CONTROLE EJ'!R173="",'CONTROLE CMM'!#REF!=""),"",N('CONTROLE EJ'!R173)+N('CONTROLE CMM'!#REF!))</f>
        <v/>
      </c>
      <c r="BQ171" s="223">
        <f>IF(#REF!="","",#REF!)</f>
        <v/>
      </c>
      <c r="BR171" s="223">
        <f>IF(AND('CONTROLE EJ'!S173="",'CONTROLE CMM'!#REF!=""),"",N('CONTROLE EJ'!S173)+N('CONTROLE CMM'!#REF!))</f>
        <v/>
      </c>
      <c r="BS171" s="223">
        <f>IF(AND('CONTROLE EJ'!T173="",'CONTROLE CMM'!#REF!=""),"",N('CONTROLE EJ'!T173)+N('CONTROLE CMM'!#REF!))</f>
        <v/>
      </c>
      <c r="BT171" s="223">
        <f>IF('CONTROLE GLOBO AÇOS'!X173="","",'CONTROLE GLOBO AÇOS'!X173)</f>
        <v/>
      </c>
      <c r="BU171" s="223">
        <f>IF('CONTROLE GLOBO AÇOS'!Y173="","",'CONTROLE GLOBO AÇOS'!Y173)</f>
        <v/>
      </c>
      <c r="BV171" s="223">
        <f>IF(AND('CONTROLE EJ'!U173="",'CONTROLE CMM'!#REF!=""),"",N('CONTROLE EJ'!U173)+N('CONTROLE CMM'!#REF!))</f>
        <v/>
      </c>
      <c r="BW171" s="223">
        <f>IF(#REF!="","",#REF!)</f>
        <v/>
      </c>
    </row>
    <row r="172">
      <c r="A172" s="282" t="n">
        <v>46389</v>
      </c>
      <c r="B172" s="18">
        <f>IF('CONTROLE EJ'!B174="","",'CONTROLE EJ'!B174)</f>
        <v/>
      </c>
      <c r="C172" s="18">
        <f>IF('CONTROLE EJ'!C174="","",'CONTROLE EJ'!C174)</f>
        <v/>
      </c>
      <c r="D172" s="42">
        <f>IF('CONTROLE EJ'!D174="","",'CONTROLE EJ'!D174)</f>
        <v/>
      </c>
      <c r="E172" s="43">
        <f>IF('CONTROLE CMM'!B174="","",'CONTROLE CMM'!B174)</f>
        <v/>
      </c>
      <c r="F172" s="18">
        <f>IF('CONTROLE CMM'!C174="","",'CONTROLE CMM'!C174)</f>
        <v/>
      </c>
      <c r="G172" s="26">
        <f>IF('CONTROLE CMM'!D174="","",'CONTROLE CMM'!D174)</f>
        <v/>
      </c>
      <c r="H172" s="43">
        <f>IF('CONTROLE GLOBO AÇOS'!B174="","",'CONTROLE GLOBO AÇOS'!B174)</f>
        <v/>
      </c>
      <c r="I172" s="18">
        <f>IF('CONTROLE GLOBO AÇOS'!C174="","",'CONTROLE GLOBO AÇOS'!C174)</f>
        <v/>
      </c>
      <c r="J172" s="18">
        <f>IF('CONTROLE GLOBO AÇOS'!D174="","",'CONTROLE GLOBO AÇOS'!D174)</f>
        <v/>
      </c>
      <c r="AD172" s="39">
        <f>IF($A172="",0,IF(AND(WEEKDAY($A172,2)&lt;=5,OR($B172&lt;&gt;"",$C172&lt;&gt;"",$D172&lt;&gt;"")),1,0))</f>
        <v/>
      </c>
      <c r="AE172" s="39">
        <f>IF($A172="",0,IF(AND(WEEKDAY($A172,2)&lt;=5,OR($E172&lt;&gt;"",$F172&lt;&gt;"",$G172&lt;&gt;"")),1,0))</f>
        <v/>
      </c>
      <c r="AF172" s="39">
        <f>MAX(AD172,AE172)</f>
        <v/>
      </c>
      <c r="AH172" s="223">
        <f>IF('CONTROLE GLOBO AÇOS'!E174="","",'CONTROLE GLOBO AÇOS'!E174)</f>
        <v/>
      </c>
      <c r="AI172" s="223">
        <f>IF('CONTROLE GLOBO AÇOS'!F174="","",'CONTROLE GLOBO AÇOS'!F174)</f>
        <v/>
      </c>
      <c r="AJ172" s="223">
        <f>IF(AND('CONTROLE EJ'!E174="",'CONTROLE CMM'!E174=""),"",N('CONTROLE EJ'!E174)+N('CONTROLE CMM'!E174))</f>
        <v/>
      </c>
      <c r="AK172" s="223">
        <f>IF(AND('CONTROLE EJ'!F174="",'CONTROLE CMM'!F174=""),"",N('CONTROLE EJ'!F174)+N('CONTROLE CMM'!F174))</f>
        <v/>
      </c>
      <c r="AL172" s="223">
        <f>IF(AND('CONTROLE EJ'!G174="",'CONTROLE CMM'!G174=""),"",N('CONTROLE EJ'!G174)+N('CONTROLE CMM'!G174))</f>
        <v/>
      </c>
      <c r="AM172" s="223">
        <f>IF(AND('CONTROLE EJ'!H174="",'CONTROLE CMM'!H174=""),"",N('CONTROLE EJ'!H174)+N('CONTROLE CMM'!H174))</f>
        <v/>
      </c>
      <c r="AN172" s="223">
        <f>IF('CONTROLE GLOBO AÇOS'!G174="","",'CONTROLE GLOBO AÇOS'!G174)</f>
        <v/>
      </c>
      <c r="AO172" s="223">
        <f>IF('CONTROLE GLOBO AÇOS'!H174="","",'CONTROLE GLOBO AÇOS'!H174)</f>
        <v/>
      </c>
      <c r="AP172" s="223">
        <f>IF(AND('CONTROLE EJ'!I174="",'CONTROLE CMM'!I174=""),"",N('CONTROLE EJ'!I174)+N('CONTROLE CMM'!I174))</f>
        <v/>
      </c>
      <c r="AQ172" s="223">
        <f>IF(AND('CONTROLE EJ'!J174="",'CONTROLE CMM'!#REF!=""),"",N('CONTROLE EJ'!J174)+N('CONTROLE CMM'!#REF!))</f>
        <v/>
      </c>
      <c r="AR172" s="223">
        <f>IF('CONTROLE GLOBO AÇOS'!I174="","",'CONTROLE GLOBO AÇOS'!I174)</f>
        <v/>
      </c>
      <c r="AS172" s="223">
        <f>IF('CONTROLE GLOBO AÇOS'!J174="","",'CONTROLE GLOBO AÇOS'!J174)</f>
        <v/>
      </c>
      <c r="AT172" s="223">
        <f>IF(#REF!="","",#REF!)</f>
        <v/>
      </c>
      <c r="AU172" s="223">
        <f>IF('CONTROLE GLOBO AÇOS'!K174="","",'CONTROLE GLOBO AÇOS'!K174)</f>
        <v/>
      </c>
      <c r="AV172" s="223">
        <f>IF(AND('CONTROLE EJ'!K174="",'CONTROLE CMM'!#REF!=""),"",N('CONTROLE EJ'!K174)+N('CONTROLE CMM'!#REF!))</f>
        <v/>
      </c>
      <c r="AW172" s="223">
        <f>IF('CONTROLE GLOBO AÇOS'!L174="","",'CONTROLE GLOBO AÇOS'!L174)</f>
        <v/>
      </c>
      <c r="AX172" s="223">
        <f>IF(AND('CONTROLE EJ'!L174="",'CONTROLE CMM'!#REF!=""),"",N('CONTROLE EJ'!L174)+N('CONTROLE CMM'!#REF!))</f>
        <v/>
      </c>
      <c r="AY172" s="223">
        <f>IF('CONTROLE GLOBO AÇOS'!M174="","",'CONTROLE GLOBO AÇOS'!M174)</f>
        <v/>
      </c>
      <c r="AZ172" s="223">
        <f>IF('CONTROLE GLOBO AÇOS'!N174="","",'CONTROLE GLOBO AÇOS'!N174)</f>
        <v/>
      </c>
      <c r="BA172" s="223">
        <f>IF(AND('CONTROLE EJ'!M174="",'CONTROLE CMM'!#REF!=""),"",N('CONTROLE EJ'!M174)+N('CONTROLE CMM'!#REF!))</f>
        <v/>
      </c>
      <c r="BB172" s="223">
        <f>IF(#REF!="","",#REF!)</f>
        <v/>
      </c>
      <c r="BC172" s="223">
        <f>IF('CONTROLE GLOBO AÇOS'!O174="","",'CONTROLE GLOBO AÇOS'!O174)</f>
        <v/>
      </c>
      <c r="BD172" s="223">
        <f>IF(AND('CONTROLE EJ'!N174="",'CONTROLE CMM'!#REF!=""),"",N('CONTROLE EJ'!N174)+N('CONTROLE CMM'!#REF!))</f>
        <v/>
      </c>
      <c r="BE172" s="223">
        <f>IF('CONTROLE GLOBO AÇOS'!P174="","",'CONTROLE GLOBO AÇOS'!P174)</f>
        <v/>
      </c>
      <c r="BF172" s="223">
        <f>IF('CONTROLE GLOBO AÇOS'!Q174="","",'CONTROLE GLOBO AÇOS'!Q174)</f>
        <v/>
      </c>
      <c r="BG172" s="223">
        <f>IF('CONTROLE GLOBO AÇOS'!R174="","",'CONTROLE GLOBO AÇOS'!R174)</f>
        <v/>
      </c>
      <c r="BH172" s="223">
        <f>IF(AND('CONTROLE EJ'!O174="",'CONTROLE CMM'!#REF!=""),"",N('CONTROLE EJ'!O174)+N('CONTROLE CMM'!#REF!))</f>
        <v/>
      </c>
      <c r="BI172" s="223">
        <f>IF('CONTROLE GLOBO AÇOS'!S174="","",'CONTROLE GLOBO AÇOS'!S174)</f>
        <v/>
      </c>
      <c r="BJ172" s="223">
        <f>IF('CONTROLE GLOBO AÇOS'!T174="","",'CONTROLE GLOBO AÇOS'!T174)</f>
        <v/>
      </c>
      <c r="BK172" s="223">
        <f>IF('CONTROLE GLOBO AÇOS'!U174="","",'CONTROLE GLOBO AÇOS'!U174)</f>
        <v/>
      </c>
      <c r="BL172" s="223">
        <f>IF(AND('CONTROLE EJ'!P174="",'CONTROLE CMM'!#REF!=""),"",N('CONTROLE EJ'!P174)+N('CONTROLE CMM'!#REF!))</f>
        <v/>
      </c>
      <c r="BM172" s="223">
        <f>IF(AND('CONTROLE EJ'!Q174="",'CONTROLE CMM'!#REF!=""),"",N('CONTROLE EJ'!Q174)+N('CONTROLE CMM'!#REF!))</f>
        <v/>
      </c>
      <c r="BN172" s="223">
        <f>IF('CONTROLE GLOBO AÇOS'!V174="","",'CONTROLE GLOBO AÇOS'!V174)</f>
        <v/>
      </c>
      <c r="BO172" s="223">
        <f>IF('CONTROLE GLOBO AÇOS'!W174="","",'CONTROLE GLOBO AÇOS'!W174)</f>
        <v/>
      </c>
      <c r="BP172" s="223">
        <f>IF(AND('CONTROLE EJ'!R174="",'CONTROLE CMM'!#REF!=""),"",N('CONTROLE EJ'!R174)+N('CONTROLE CMM'!#REF!))</f>
        <v/>
      </c>
      <c r="BQ172" s="223">
        <f>IF(#REF!="","",#REF!)</f>
        <v/>
      </c>
      <c r="BR172" s="223">
        <f>IF(AND('CONTROLE EJ'!S174="",'CONTROLE CMM'!#REF!=""),"",N('CONTROLE EJ'!S174)+N('CONTROLE CMM'!#REF!))</f>
        <v/>
      </c>
      <c r="BS172" s="223">
        <f>IF(AND('CONTROLE EJ'!T174="",'CONTROLE CMM'!#REF!=""),"",N('CONTROLE EJ'!T174)+N('CONTROLE CMM'!#REF!))</f>
        <v/>
      </c>
      <c r="BT172" s="223">
        <f>IF('CONTROLE GLOBO AÇOS'!X174="","",'CONTROLE GLOBO AÇOS'!X174)</f>
        <v/>
      </c>
      <c r="BU172" s="223">
        <f>IF('CONTROLE GLOBO AÇOS'!Y174="","",'CONTROLE GLOBO AÇOS'!Y174)</f>
        <v/>
      </c>
      <c r="BV172" s="223">
        <f>IF(AND('CONTROLE EJ'!U174="",'CONTROLE CMM'!#REF!=""),"",N('CONTROLE EJ'!U174)+N('CONTROLE CMM'!#REF!))</f>
        <v/>
      </c>
      <c r="BW172" s="223">
        <f>IF(#REF!="","",#REF!)</f>
        <v/>
      </c>
    </row>
    <row r="173">
      <c r="A173" s="282" t="n">
        <v>46390</v>
      </c>
      <c r="B173" s="18">
        <f>IF('CONTROLE EJ'!B175="","",'CONTROLE EJ'!B175)</f>
        <v/>
      </c>
      <c r="C173" s="18">
        <f>IF('CONTROLE EJ'!C175="","",'CONTROLE EJ'!C175)</f>
        <v/>
      </c>
      <c r="D173" s="42">
        <f>IF('CONTROLE EJ'!D175="","",'CONTROLE EJ'!D175)</f>
        <v/>
      </c>
      <c r="E173" s="43">
        <f>IF('CONTROLE CMM'!B175="","",'CONTROLE CMM'!B175)</f>
        <v/>
      </c>
      <c r="F173" s="18">
        <f>IF('CONTROLE CMM'!C175="","",'CONTROLE CMM'!C175)</f>
        <v/>
      </c>
      <c r="G173" s="26">
        <f>IF('CONTROLE CMM'!D175="","",'CONTROLE CMM'!D175)</f>
        <v/>
      </c>
      <c r="H173" s="43">
        <f>IF('CONTROLE GLOBO AÇOS'!B175="","",'CONTROLE GLOBO AÇOS'!B175)</f>
        <v/>
      </c>
      <c r="I173" s="18">
        <f>IF('CONTROLE GLOBO AÇOS'!C175="","",'CONTROLE GLOBO AÇOS'!C175)</f>
        <v/>
      </c>
      <c r="J173" s="18">
        <f>IF('CONTROLE GLOBO AÇOS'!D175="","",'CONTROLE GLOBO AÇOS'!D175)</f>
        <v/>
      </c>
      <c r="AD173" s="39">
        <f>IF($A173="",0,IF(AND(WEEKDAY($A173,2)&lt;=5,OR($B173&lt;&gt;"",$C173&lt;&gt;"",$D173&lt;&gt;"")),1,0))</f>
        <v/>
      </c>
      <c r="AE173" s="39">
        <f>IF($A173="",0,IF(AND(WEEKDAY($A173,2)&lt;=5,OR($E173&lt;&gt;"",$F173&lt;&gt;"",$G173&lt;&gt;"")),1,0))</f>
        <v/>
      </c>
      <c r="AF173" s="39">
        <f>MAX(AD173,AE173)</f>
        <v/>
      </c>
      <c r="AH173" s="223">
        <f>IF('CONTROLE GLOBO AÇOS'!E175="","",'CONTROLE GLOBO AÇOS'!E175)</f>
        <v/>
      </c>
      <c r="AI173" s="223">
        <f>IF('CONTROLE GLOBO AÇOS'!F175="","",'CONTROLE GLOBO AÇOS'!F175)</f>
        <v/>
      </c>
      <c r="AJ173" s="223">
        <f>IF(AND('CONTROLE EJ'!E175="",'CONTROLE CMM'!E175=""),"",N('CONTROLE EJ'!E175)+N('CONTROLE CMM'!E175))</f>
        <v/>
      </c>
      <c r="AK173" s="223">
        <f>IF(AND('CONTROLE EJ'!F175="",'CONTROLE CMM'!F175=""),"",N('CONTROLE EJ'!F175)+N('CONTROLE CMM'!F175))</f>
        <v/>
      </c>
      <c r="AL173" s="223">
        <f>IF(AND('CONTROLE EJ'!G175="",'CONTROLE CMM'!G175=""),"",N('CONTROLE EJ'!G175)+N('CONTROLE CMM'!G175))</f>
        <v/>
      </c>
      <c r="AM173" s="223">
        <f>IF(AND('CONTROLE EJ'!H175="",'CONTROLE CMM'!H175=""),"",N('CONTROLE EJ'!H175)+N('CONTROLE CMM'!H175))</f>
        <v/>
      </c>
      <c r="AN173" s="223">
        <f>IF('CONTROLE GLOBO AÇOS'!G175="","",'CONTROLE GLOBO AÇOS'!G175)</f>
        <v/>
      </c>
      <c r="AO173" s="223">
        <f>IF('CONTROLE GLOBO AÇOS'!H175="","",'CONTROLE GLOBO AÇOS'!H175)</f>
        <v/>
      </c>
      <c r="AP173" s="223">
        <f>IF(AND('CONTROLE EJ'!I175="",'CONTROLE CMM'!I175=""),"",N('CONTROLE EJ'!I175)+N('CONTROLE CMM'!I175))</f>
        <v/>
      </c>
      <c r="AQ173" s="223">
        <f>IF(AND('CONTROLE EJ'!J175="",'CONTROLE CMM'!#REF!=""),"",N('CONTROLE EJ'!J175)+N('CONTROLE CMM'!#REF!))</f>
        <v/>
      </c>
      <c r="AR173" s="223">
        <f>IF('CONTROLE GLOBO AÇOS'!I175="","",'CONTROLE GLOBO AÇOS'!I175)</f>
        <v/>
      </c>
      <c r="AS173" s="223">
        <f>IF('CONTROLE GLOBO AÇOS'!J175="","",'CONTROLE GLOBO AÇOS'!J175)</f>
        <v/>
      </c>
      <c r="AT173" s="223">
        <f>IF(#REF!="","",#REF!)</f>
        <v/>
      </c>
      <c r="AU173" s="223">
        <f>IF('CONTROLE GLOBO AÇOS'!K175="","",'CONTROLE GLOBO AÇOS'!K175)</f>
        <v/>
      </c>
      <c r="AV173" s="223">
        <f>IF(AND('CONTROLE EJ'!K175="",'CONTROLE CMM'!#REF!=""),"",N('CONTROLE EJ'!K175)+N('CONTROLE CMM'!#REF!))</f>
        <v/>
      </c>
      <c r="AW173" s="223">
        <f>IF('CONTROLE GLOBO AÇOS'!L175="","",'CONTROLE GLOBO AÇOS'!L175)</f>
        <v/>
      </c>
      <c r="AX173" s="223">
        <f>IF(AND('CONTROLE EJ'!L175="",'CONTROLE CMM'!#REF!=""),"",N('CONTROLE EJ'!L175)+N('CONTROLE CMM'!#REF!))</f>
        <v/>
      </c>
      <c r="AY173" s="223">
        <f>IF('CONTROLE GLOBO AÇOS'!M175="","",'CONTROLE GLOBO AÇOS'!M175)</f>
        <v/>
      </c>
      <c r="AZ173" s="223">
        <f>IF('CONTROLE GLOBO AÇOS'!N175="","",'CONTROLE GLOBO AÇOS'!N175)</f>
        <v/>
      </c>
      <c r="BA173" s="223">
        <f>IF(AND('CONTROLE EJ'!M175="",'CONTROLE CMM'!#REF!=""),"",N('CONTROLE EJ'!M175)+N('CONTROLE CMM'!#REF!))</f>
        <v/>
      </c>
      <c r="BB173" s="223">
        <f>IF(#REF!="","",#REF!)</f>
        <v/>
      </c>
      <c r="BC173" s="223">
        <f>IF('CONTROLE GLOBO AÇOS'!O175="","",'CONTROLE GLOBO AÇOS'!O175)</f>
        <v/>
      </c>
      <c r="BD173" s="223">
        <f>IF(AND('CONTROLE EJ'!N175="",'CONTROLE CMM'!#REF!=""),"",N('CONTROLE EJ'!N175)+N('CONTROLE CMM'!#REF!))</f>
        <v/>
      </c>
      <c r="BE173" s="223">
        <f>IF('CONTROLE GLOBO AÇOS'!P175="","",'CONTROLE GLOBO AÇOS'!P175)</f>
        <v/>
      </c>
      <c r="BF173" s="223">
        <f>IF('CONTROLE GLOBO AÇOS'!Q175="","",'CONTROLE GLOBO AÇOS'!Q175)</f>
        <v/>
      </c>
      <c r="BG173" s="223">
        <f>IF('CONTROLE GLOBO AÇOS'!R175="","",'CONTROLE GLOBO AÇOS'!R175)</f>
        <v/>
      </c>
      <c r="BH173" s="223">
        <f>IF(AND('CONTROLE EJ'!O175="",'CONTROLE CMM'!#REF!=""),"",N('CONTROLE EJ'!O175)+N('CONTROLE CMM'!#REF!))</f>
        <v/>
      </c>
      <c r="BI173" s="223">
        <f>IF('CONTROLE GLOBO AÇOS'!S175="","",'CONTROLE GLOBO AÇOS'!S175)</f>
        <v/>
      </c>
      <c r="BJ173" s="223">
        <f>IF('CONTROLE GLOBO AÇOS'!T175="","",'CONTROLE GLOBO AÇOS'!T175)</f>
        <v/>
      </c>
      <c r="BK173" s="223">
        <f>IF('CONTROLE GLOBO AÇOS'!U175="","",'CONTROLE GLOBO AÇOS'!U175)</f>
        <v/>
      </c>
      <c r="BL173" s="223">
        <f>IF(AND('CONTROLE EJ'!P175="",'CONTROLE CMM'!#REF!=""),"",N('CONTROLE EJ'!P175)+N('CONTROLE CMM'!#REF!))</f>
        <v/>
      </c>
      <c r="BM173" s="223">
        <f>IF(AND('CONTROLE EJ'!Q175="",'CONTROLE CMM'!#REF!=""),"",N('CONTROLE EJ'!Q175)+N('CONTROLE CMM'!#REF!))</f>
        <v/>
      </c>
      <c r="BN173" s="223">
        <f>IF('CONTROLE GLOBO AÇOS'!V175="","",'CONTROLE GLOBO AÇOS'!V175)</f>
        <v/>
      </c>
      <c r="BO173" s="223">
        <f>IF('CONTROLE GLOBO AÇOS'!W175="","",'CONTROLE GLOBO AÇOS'!W175)</f>
        <v/>
      </c>
      <c r="BP173" s="223">
        <f>IF(AND('CONTROLE EJ'!R175="",'CONTROLE CMM'!#REF!=""),"",N('CONTROLE EJ'!R175)+N('CONTROLE CMM'!#REF!))</f>
        <v/>
      </c>
      <c r="BQ173" s="223">
        <f>IF(#REF!="","",#REF!)</f>
        <v/>
      </c>
      <c r="BR173" s="223">
        <f>IF(AND('CONTROLE EJ'!S175="",'CONTROLE CMM'!#REF!=""),"",N('CONTROLE EJ'!S175)+N('CONTROLE CMM'!#REF!))</f>
        <v/>
      </c>
      <c r="BS173" s="223">
        <f>IF(AND('CONTROLE EJ'!T175="",'CONTROLE CMM'!#REF!=""),"",N('CONTROLE EJ'!T175)+N('CONTROLE CMM'!#REF!))</f>
        <v/>
      </c>
      <c r="BT173" s="223">
        <f>IF('CONTROLE GLOBO AÇOS'!X175="","",'CONTROLE GLOBO AÇOS'!X175)</f>
        <v/>
      </c>
      <c r="BU173" s="223">
        <f>IF('CONTROLE GLOBO AÇOS'!Y175="","",'CONTROLE GLOBO AÇOS'!Y175)</f>
        <v/>
      </c>
      <c r="BV173" s="223">
        <f>IF(AND('CONTROLE EJ'!U175="",'CONTROLE CMM'!#REF!=""),"",N('CONTROLE EJ'!U175)+N('CONTROLE CMM'!#REF!))</f>
        <v/>
      </c>
      <c r="BW173" s="223">
        <f>IF(#REF!="","",#REF!)</f>
        <v/>
      </c>
    </row>
    <row r="174">
      <c r="A174" s="282" t="n">
        <v>46391</v>
      </c>
      <c r="B174" s="18">
        <f>IF('CONTROLE EJ'!B176="","",'CONTROLE EJ'!B176)</f>
        <v/>
      </c>
      <c r="C174" s="18">
        <f>IF('CONTROLE EJ'!C176="","",'CONTROLE EJ'!C176)</f>
        <v/>
      </c>
      <c r="D174" s="42">
        <f>IF('CONTROLE EJ'!D176="","",'CONTROLE EJ'!D176)</f>
        <v/>
      </c>
      <c r="E174" s="43">
        <f>IF('CONTROLE CMM'!B176="","",'CONTROLE CMM'!B176)</f>
        <v/>
      </c>
      <c r="F174" s="18">
        <f>IF('CONTROLE CMM'!C176="","",'CONTROLE CMM'!C176)</f>
        <v/>
      </c>
      <c r="G174" s="26">
        <f>IF('CONTROLE CMM'!D176="","",'CONTROLE CMM'!D176)</f>
        <v/>
      </c>
      <c r="H174" s="43">
        <f>IF('CONTROLE GLOBO AÇOS'!B176="","",'CONTROLE GLOBO AÇOS'!B176)</f>
        <v/>
      </c>
      <c r="I174" s="18">
        <f>IF('CONTROLE GLOBO AÇOS'!C176="","",'CONTROLE GLOBO AÇOS'!C176)</f>
        <v/>
      </c>
      <c r="J174" s="18">
        <f>IF('CONTROLE GLOBO AÇOS'!D176="","",'CONTROLE GLOBO AÇOS'!D176)</f>
        <v/>
      </c>
      <c r="AD174" s="39">
        <f>IF($A174="",0,IF(AND(WEEKDAY($A174,2)&lt;=5,OR($B174&lt;&gt;"",$C174&lt;&gt;"",$D174&lt;&gt;"")),1,0))</f>
        <v/>
      </c>
      <c r="AE174" s="39">
        <f>IF($A174="",0,IF(AND(WEEKDAY($A174,2)&lt;=5,OR($E174&lt;&gt;"",$F174&lt;&gt;"",$G174&lt;&gt;"")),1,0))</f>
        <v/>
      </c>
      <c r="AF174" s="39">
        <f>MAX(AD174,AE174)</f>
        <v/>
      </c>
      <c r="AH174" s="223">
        <f>IF('CONTROLE GLOBO AÇOS'!E176="","",'CONTROLE GLOBO AÇOS'!E176)</f>
        <v/>
      </c>
      <c r="AI174" s="223">
        <f>IF('CONTROLE GLOBO AÇOS'!F176="","",'CONTROLE GLOBO AÇOS'!F176)</f>
        <v/>
      </c>
      <c r="AJ174" s="223">
        <f>IF(AND('CONTROLE EJ'!E176="",'CONTROLE CMM'!E176=""),"",N('CONTROLE EJ'!E176)+N('CONTROLE CMM'!E176))</f>
        <v/>
      </c>
      <c r="AK174" s="223">
        <f>IF(AND('CONTROLE EJ'!F176="",'CONTROLE CMM'!F176=""),"",N('CONTROLE EJ'!F176)+N('CONTROLE CMM'!F176))</f>
        <v/>
      </c>
      <c r="AL174" s="223">
        <f>IF(AND('CONTROLE EJ'!G176="",'CONTROLE CMM'!G176=""),"",N('CONTROLE EJ'!G176)+N('CONTROLE CMM'!G176))</f>
        <v/>
      </c>
      <c r="AM174" s="223">
        <f>IF(AND('CONTROLE EJ'!H176="",'CONTROLE CMM'!H176=""),"",N('CONTROLE EJ'!H176)+N('CONTROLE CMM'!H176))</f>
        <v/>
      </c>
      <c r="AN174" s="223">
        <f>IF('CONTROLE GLOBO AÇOS'!G176="","",'CONTROLE GLOBO AÇOS'!G176)</f>
        <v/>
      </c>
      <c r="AO174" s="223">
        <f>IF('CONTROLE GLOBO AÇOS'!H176="","",'CONTROLE GLOBO AÇOS'!H176)</f>
        <v/>
      </c>
      <c r="AP174" s="223">
        <f>IF(AND('CONTROLE EJ'!I176="",'CONTROLE CMM'!I176=""),"",N('CONTROLE EJ'!I176)+N('CONTROLE CMM'!I176))</f>
        <v/>
      </c>
      <c r="AQ174" s="223">
        <f>IF(AND('CONTROLE EJ'!J176="",'CONTROLE CMM'!#REF!=""),"",N('CONTROLE EJ'!J176)+N('CONTROLE CMM'!#REF!))</f>
        <v/>
      </c>
      <c r="AR174" s="223">
        <f>IF('CONTROLE GLOBO AÇOS'!I176="","",'CONTROLE GLOBO AÇOS'!I176)</f>
        <v/>
      </c>
      <c r="AS174" s="223">
        <f>IF('CONTROLE GLOBO AÇOS'!J176="","",'CONTROLE GLOBO AÇOS'!J176)</f>
        <v/>
      </c>
      <c r="AT174" s="223">
        <f>IF(#REF!="","",#REF!)</f>
        <v/>
      </c>
      <c r="AU174" s="223">
        <f>IF('CONTROLE GLOBO AÇOS'!K176="","",'CONTROLE GLOBO AÇOS'!K176)</f>
        <v/>
      </c>
      <c r="AV174" s="223">
        <f>IF(AND('CONTROLE EJ'!K176="",'CONTROLE CMM'!#REF!=""),"",N('CONTROLE EJ'!K176)+N('CONTROLE CMM'!#REF!))</f>
        <v/>
      </c>
      <c r="AW174" s="223">
        <f>IF('CONTROLE GLOBO AÇOS'!L176="","",'CONTROLE GLOBO AÇOS'!L176)</f>
        <v/>
      </c>
      <c r="AX174" s="223">
        <f>IF(AND('CONTROLE EJ'!L176="",'CONTROLE CMM'!#REF!=""),"",N('CONTROLE EJ'!L176)+N('CONTROLE CMM'!#REF!))</f>
        <v/>
      </c>
      <c r="AY174" s="223">
        <f>IF('CONTROLE GLOBO AÇOS'!M176="","",'CONTROLE GLOBO AÇOS'!M176)</f>
        <v/>
      </c>
      <c r="AZ174" s="223">
        <f>IF('CONTROLE GLOBO AÇOS'!N176="","",'CONTROLE GLOBO AÇOS'!N176)</f>
        <v/>
      </c>
      <c r="BA174" s="223">
        <f>IF(AND('CONTROLE EJ'!M176="",'CONTROLE CMM'!#REF!=""),"",N('CONTROLE EJ'!M176)+N('CONTROLE CMM'!#REF!))</f>
        <v/>
      </c>
      <c r="BB174" s="223">
        <f>IF(#REF!="","",#REF!)</f>
        <v/>
      </c>
      <c r="BC174" s="223">
        <f>IF('CONTROLE GLOBO AÇOS'!O176="","",'CONTROLE GLOBO AÇOS'!O176)</f>
        <v/>
      </c>
      <c r="BD174" s="223">
        <f>IF(AND('CONTROLE EJ'!N176="",'CONTROLE CMM'!#REF!=""),"",N('CONTROLE EJ'!N176)+N('CONTROLE CMM'!#REF!))</f>
        <v/>
      </c>
      <c r="BE174" s="223">
        <f>IF('CONTROLE GLOBO AÇOS'!P176="","",'CONTROLE GLOBO AÇOS'!P176)</f>
        <v/>
      </c>
      <c r="BF174" s="223">
        <f>IF('CONTROLE GLOBO AÇOS'!Q176="","",'CONTROLE GLOBO AÇOS'!Q176)</f>
        <v/>
      </c>
      <c r="BG174" s="223">
        <f>IF('CONTROLE GLOBO AÇOS'!R176="","",'CONTROLE GLOBO AÇOS'!R176)</f>
        <v/>
      </c>
      <c r="BH174" s="223">
        <f>IF(AND('CONTROLE EJ'!O176="",'CONTROLE CMM'!#REF!=""),"",N('CONTROLE EJ'!O176)+N('CONTROLE CMM'!#REF!))</f>
        <v/>
      </c>
      <c r="BI174" s="223">
        <f>IF('CONTROLE GLOBO AÇOS'!S176="","",'CONTROLE GLOBO AÇOS'!S176)</f>
        <v/>
      </c>
      <c r="BJ174" s="223">
        <f>IF('CONTROLE GLOBO AÇOS'!T176="","",'CONTROLE GLOBO AÇOS'!T176)</f>
        <v/>
      </c>
      <c r="BK174" s="223">
        <f>IF('CONTROLE GLOBO AÇOS'!U176="","",'CONTROLE GLOBO AÇOS'!U176)</f>
        <v/>
      </c>
      <c r="BL174" s="223">
        <f>IF(AND('CONTROLE EJ'!P176="",'CONTROLE CMM'!#REF!=""),"",N('CONTROLE EJ'!P176)+N('CONTROLE CMM'!#REF!))</f>
        <v/>
      </c>
      <c r="BM174" s="223">
        <f>IF(AND('CONTROLE EJ'!Q176="",'CONTROLE CMM'!#REF!=""),"",N('CONTROLE EJ'!Q176)+N('CONTROLE CMM'!#REF!))</f>
        <v/>
      </c>
      <c r="BN174" s="223">
        <f>IF('CONTROLE GLOBO AÇOS'!V176="","",'CONTROLE GLOBO AÇOS'!V176)</f>
        <v/>
      </c>
      <c r="BO174" s="223">
        <f>IF('CONTROLE GLOBO AÇOS'!W176="","",'CONTROLE GLOBO AÇOS'!W176)</f>
        <v/>
      </c>
      <c r="BP174" s="223">
        <f>IF(AND('CONTROLE EJ'!R176="",'CONTROLE CMM'!#REF!=""),"",N('CONTROLE EJ'!R176)+N('CONTROLE CMM'!#REF!))</f>
        <v/>
      </c>
      <c r="BQ174" s="223">
        <f>IF(#REF!="","",#REF!)</f>
        <v/>
      </c>
      <c r="BR174" s="223">
        <f>IF(AND('CONTROLE EJ'!S176="",'CONTROLE CMM'!#REF!=""),"",N('CONTROLE EJ'!S176)+N('CONTROLE CMM'!#REF!))</f>
        <v/>
      </c>
      <c r="BS174" s="223">
        <f>IF(AND('CONTROLE EJ'!T176="",'CONTROLE CMM'!#REF!=""),"",N('CONTROLE EJ'!T176)+N('CONTROLE CMM'!#REF!))</f>
        <v/>
      </c>
      <c r="BT174" s="223">
        <f>IF('CONTROLE GLOBO AÇOS'!X176="","",'CONTROLE GLOBO AÇOS'!X176)</f>
        <v/>
      </c>
      <c r="BU174" s="223">
        <f>IF('CONTROLE GLOBO AÇOS'!Y176="","",'CONTROLE GLOBO AÇOS'!Y176)</f>
        <v/>
      </c>
      <c r="BV174" s="223">
        <f>IF(AND('CONTROLE EJ'!U176="",'CONTROLE CMM'!#REF!=""),"",N('CONTROLE EJ'!U176)+N('CONTROLE CMM'!#REF!))</f>
        <v/>
      </c>
      <c r="BW174" s="223">
        <f>IF(#REF!="","",#REF!)</f>
        <v/>
      </c>
    </row>
    <row r="175">
      <c r="A175" s="282" t="n">
        <v>46392</v>
      </c>
      <c r="B175" s="18">
        <f>IF('CONTROLE EJ'!B177="","",'CONTROLE EJ'!B177)</f>
        <v/>
      </c>
      <c r="C175" s="18">
        <f>IF('CONTROLE EJ'!C177="","",'CONTROLE EJ'!C177)</f>
        <v/>
      </c>
      <c r="D175" s="42">
        <f>IF('CONTROLE EJ'!D177="","",'CONTROLE EJ'!D177)</f>
        <v/>
      </c>
      <c r="E175" s="43">
        <f>IF('CONTROLE CMM'!B177="","",'CONTROLE CMM'!B177)</f>
        <v/>
      </c>
      <c r="F175" s="18">
        <f>IF('CONTROLE CMM'!C177="","",'CONTROLE CMM'!C177)</f>
        <v/>
      </c>
      <c r="G175" s="26">
        <f>IF('CONTROLE CMM'!D177="","",'CONTROLE CMM'!D177)</f>
        <v/>
      </c>
      <c r="H175" s="43">
        <f>IF('CONTROLE GLOBO AÇOS'!B177="","",'CONTROLE GLOBO AÇOS'!B177)</f>
        <v/>
      </c>
      <c r="I175" s="18">
        <f>IF('CONTROLE GLOBO AÇOS'!C177="","",'CONTROLE GLOBO AÇOS'!C177)</f>
        <v/>
      </c>
      <c r="J175" s="18">
        <f>IF('CONTROLE GLOBO AÇOS'!D177="","",'CONTROLE GLOBO AÇOS'!D177)</f>
        <v/>
      </c>
      <c r="AD175" s="39">
        <f>IF($A175="",0,IF(AND(WEEKDAY($A175,2)&lt;=5,OR($B175&lt;&gt;"",$C175&lt;&gt;"",$D175&lt;&gt;"")),1,0))</f>
        <v/>
      </c>
      <c r="AE175" s="39">
        <f>IF($A175="",0,IF(AND(WEEKDAY($A175,2)&lt;=5,OR($E175&lt;&gt;"",$F175&lt;&gt;"",$G175&lt;&gt;"")),1,0))</f>
        <v/>
      </c>
      <c r="AF175" s="39">
        <f>MAX(AD175,AE175)</f>
        <v/>
      </c>
      <c r="AH175" s="223">
        <f>IF('CONTROLE GLOBO AÇOS'!E177="","",'CONTROLE GLOBO AÇOS'!E177)</f>
        <v/>
      </c>
      <c r="AI175" s="223">
        <f>IF('CONTROLE GLOBO AÇOS'!F177="","",'CONTROLE GLOBO AÇOS'!F177)</f>
        <v/>
      </c>
      <c r="AJ175" s="223">
        <f>IF(AND('CONTROLE EJ'!E177="",'CONTROLE CMM'!E177=""),"",N('CONTROLE EJ'!E177)+N('CONTROLE CMM'!E177))</f>
        <v/>
      </c>
      <c r="AK175" s="223">
        <f>IF(AND('CONTROLE EJ'!F177="",'CONTROLE CMM'!F177=""),"",N('CONTROLE EJ'!F177)+N('CONTROLE CMM'!F177))</f>
        <v/>
      </c>
      <c r="AL175" s="223">
        <f>IF(AND('CONTROLE EJ'!G177="",'CONTROLE CMM'!G177=""),"",N('CONTROLE EJ'!G177)+N('CONTROLE CMM'!G177))</f>
        <v/>
      </c>
      <c r="AM175" s="223">
        <f>IF(AND('CONTROLE EJ'!H177="",'CONTROLE CMM'!H177=""),"",N('CONTROLE EJ'!H177)+N('CONTROLE CMM'!H177))</f>
        <v/>
      </c>
      <c r="AN175" s="223">
        <f>IF('CONTROLE GLOBO AÇOS'!G177="","",'CONTROLE GLOBO AÇOS'!G177)</f>
        <v/>
      </c>
      <c r="AO175" s="223">
        <f>IF('CONTROLE GLOBO AÇOS'!H177="","",'CONTROLE GLOBO AÇOS'!H177)</f>
        <v/>
      </c>
      <c r="AP175" s="223">
        <f>IF(AND('CONTROLE EJ'!I177="",'CONTROLE CMM'!I177=""),"",N('CONTROLE EJ'!I177)+N('CONTROLE CMM'!I177))</f>
        <v/>
      </c>
      <c r="AQ175" s="223">
        <f>IF(AND('CONTROLE EJ'!J177="",'CONTROLE CMM'!#REF!=""),"",N('CONTROLE EJ'!J177)+N('CONTROLE CMM'!#REF!))</f>
        <v/>
      </c>
      <c r="AR175" s="223">
        <f>IF('CONTROLE GLOBO AÇOS'!I177="","",'CONTROLE GLOBO AÇOS'!I177)</f>
        <v/>
      </c>
      <c r="AS175" s="223">
        <f>IF('CONTROLE GLOBO AÇOS'!J177="","",'CONTROLE GLOBO AÇOS'!J177)</f>
        <v/>
      </c>
      <c r="AT175" s="223">
        <f>IF(#REF!="","",#REF!)</f>
        <v/>
      </c>
      <c r="AU175" s="223">
        <f>IF('CONTROLE GLOBO AÇOS'!K177="","",'CONTROLE GLOBO AÇOS'!K177)</f>
        <v/>
      </c>
      <c r="AV175" s="223">
        <f>IF(AND('CONTROLE EJ'!K177="",'CONTROLE CMM'!#REF!=""),"",N('CONTROLE EJ'!K177)+N('CONTROLE CMM'!#REF!))</f>
        <v/>
      </c>
      <c r="AW175" s="223">
        <f>IF('CONTROLE GLOBO AÇOS'!L177="","",'CONTROLE GLOBO AÇOS'!L177)</f>
        <v/>
      </c>
      <c r="AX175" s="223">
        <f>IF(AND('CONTROLE EJ'!L177="",'CONTROLE CMM'!#REF!=""),"",N('CONTROLE EJ'!L177)+N('CONTROLE CMM'!#REF!))</f>
        <v/>
      </c>
      <c r="AY175" s="223">
        <f>IF('CONTROLE GLOBO AÇOS'!M177="","",'CONTROLE GLOBO AÇOS'!M177)</f>
        <v/>
      </c>
      <c r="AZ175" s="223">
        <f>IF('CONTROLE GLOBO AÇOS'!N177="","",'CONTROLE GLOBO AÇOS'!N177)</f>
        <v/>
      </c>
      <c r="BA175" s="223">
        <f>IF(AND('CONTROLE EJ'!M177="",'CONTROLE CMM'!#REF!=""),"",N('CONTROLE EJ'!M177)+N('CONTROLE CMM'!#REF!))</f>
        <v/>
      </c>
      <c r="BB175" s="223">
        <f>IF(#REF!="","",#REF!)</f>
        <v/>
      </c>
      <c r="BC175" s="223">
        <f>IF('CONTROLE GLOBO AÇOS'!O177="","",'CONTROLE GLOBO AÇOS'!O177)</f>
        <v/>
      </c>
      <c r="BD175" s="223">
        <f>IF(AND('CONTROLE EJ'!N177="",'CONTROLE CMM'!#REF!=""),"",N('CONTROLE EJ'!N177)+N('CONTROLE CMM'!#REF!))</f>
        <v/>
      </c>
      <c r="BE175" s="223">
        <f>IF('CONTROLE GLOBO AÇOS'!P177="","",'CONTROLE GLOBO AÇOS'!P177)</f>
        <v/>
      </c>
      <c r="BF175" s="223">
        <f>IF('CONTROLE GLOBO AÇOS'!Q177="","",'CONTROLE GLOBO AÇOS'!Q177)</f>
        <v/>
      </c>
      <c r="BG175" s="223">
        <f>IF('CONTROLE GLOBO AÇOS'!R177="","",'CONTROLE GLOBO AÇOS'!R177)</f>
        <v/>
      </c>
      <c r="BH175" s="223">
        <f>IF(AND('CONTROLE EJ'!O177="",'CONTROLE CMM'!#REF!=""),"",N('CONTROLE EJ'!O177)+N('CONTROLE CMM'!#REF!))</f>
        <v/>
      </c>
      <c r="BI175" s="223">
        <f>IF('CONTROLE GLOBO AÇOS'!S177="","",'CONTROLE GLOBO AÇOS'!S177)</f>
        <v/>
      </c>
      <c r="BJ175" s="223">
        <f>IF('CONTROLE GLOBO AÇOS'!T177="","",'CONTROLE GLOBO AÇOS'!T177)</f>
        <v/>
      </c>
      <c r="BK175" s="223">
        <f>IF('CONTROLE GLOBO AÇOS'!U177="","",'CONTROLE GLOBO AÇOS'!U177)</f>
        <v/>
      </c>
      <c r="BL175" s="223">
        <f>IF(AND('CONTROLE EJ'!P177="",'CONTROLE CMM'!#REF!=""),"",N('CONTROLE EJ'!P177)+N('CONTROLE CMM'!#REF!))</f>
        <v/>
      </c>
      <c r="BM175" s="223">
        <f>IF(AND('CONTROLE EJ'!Q177="",'CONTROLE CMM'!#REF!=""),"",N('CONTROLE EJ'!Q177)+N('CONTROLE CMM'!#REF!))</f>
        <v/>
      </c>
      <c r="BN175" s="223">
        <f>IF('CONTROLE GLOBO AÇOS'!V177="","",'CONTROLE GLOBO AÇOS'!V177)</f>
        <v/>
      </c>
      <c r="BO175" s="223">
        <f>IF('CONTROLE GLOBO AÇOS'!W177="","",'CONTROLE GLOBO AÇOS'!W177)</f>
        <v/>
      </c>
      <c r="BP175" s="223">
        <f>IF(AND('CONTROLE EJ'!R177="",'CONTROLE CMM'!#REF!=""),"",N('CONTROLE EJ'!R177)+N('CONTROLE CMM'!#REF!))</f>
        <v/>
      </c>
      <c r="BQ175" s="223">
        <f>IF(#REF!="","",#REF!)</f>
        <v/>
      </c>
      <c r="BR175" s="223">
        <f>IF(AND('CONTROLE EJ'!S177="",'CONTROLE CMM'!#REF!=""),"",N('CONTROLE EJ'!S177)+N('CONTROLE CMM'!#REF!))</f>
        <v/>
      </c>
      <c r="BS175" s="223">
        <f>IF(AND('CONTROLE EJ'!T177="",'CONTROLE CMM'!#REF!=""),"",N('CONTROLE EJ'!T177)+N('CONTROLE CMM'!#REF!))</f>
        <v/>
      </c>
      <c r="BT175" s="223">
        <f>IF('CONTROLE GLOBO AÇOS'!X177="","",'CONTROLE GLOBO AÇOS'!X177)</f>
        <v/>
      </c>
      <c r="BU175" s="223">
        <f>IF('CONTROLE GLOBO AÇOS'!Y177="","",'CONTROLE GLOBO AÇOS'!Y177)</f>
        <v/>
      </c>
      <c r="BV175" s="223">
        <f>IF(AND('CONTROLE EJ'!U177="",'CONTROLE CMM'!#REF!=""),"",N('CONTROLE EJ'!U177)+N('CONTROLE CMM'!#REF!))</f>
        <v/>
      </c>
      <c r="BW175" s="223">
        <f>IF(#REF!="","",#REF!)</f>
        <v/>
      </c>
    </row>
    <row r="176">
      <c r="A176" s="282" t="n">
        <v>46393</v>
      </c>
      <c r="B176" s="18">
        <f>IF('CONTROLE EJ'!B178="","",'CONTROLE EJ'!B178)</f>
        <v/>
      </c>
      <c r="C176" s="18">
        <f>IF('CONTROLE EJ'!C178="","",'CONTROLE EJ'!C178)</f>
        <v/>
      </c>
      <c r="D176" s="42">
        <f>IF('CONTROLE EJ'!D178="","",'CONTROLE EJ'!D178)</f>
        <v/>
      </c>
      <c r="E176" s="43">
        <f>IF('CONTROLE CMM'!B178="","",'CONTROLE CMM'!B178)</f>
        <v/>
      </c>
      <c r="F176" s="18">
        <f>IF('CONTROLE CMM'!C178="","",'CONTROLE CMM'!C178)</f>
        <v/>
      </c>
      <c r="G176" s="26">
        <f>IF('CONTROLE CMM'!D178="","",'CONTROLE CMM'!D178)</f>
        <v/>
      </c>
      <c r="H176" s="43">
        <f>IF('CONTROLE GLOBO AÇOS'!B178="","",'CONTROLE GLOBO AÇOS'!B178)</f>
        <v/>
      </c>
      <c r="I176" s="18">
        <f>IF('CONTROLE GLOBO AÇOS'!C178="","",'CONTROLE GLOBO AÇOS'!C178)</f>
        <v/>
      </c>
      <c r="J176" s="18">
        <f>IF('CONTROLE GLOBO AÇOS'!D178="","",'CONTROLE GLOBO AÇOS'!D178)</f>
        <v/>
      </c>
      <c r="AD176" s="39">
        <f>IF($A176="",0,IF(AND(WEEKDAY($A176,2)&lt;=5,OR($B176&lt;&gt;"",$C176&lt;&gt;"",$D176&lt;&gt;"")),1,0))</f>
        <v/>
      </c>
      <c r="AE176" s="39">
        <f>IF($A176="",0,IF(AND(WEEKDAY($A176,2)&lt;=5,OR($E176&lt;&gt;"",$F176&lt;&gt;"",$G176&lt;&gt;"")),1,0))</f>
        <v/>
      </c>
      <c r="AF176" s="39">
        <f>MAX(AD176,AE176)</f>
        <v/>
      </c>
      <c r="AH176" s="223">
        <f>IF('CONTROLE GLOBO AÇOS'!E178="","",'CONTROLE GLOBO AÇOS'!E178)</f>
        <v/>
      </c>
      <c r="AI176" s="223">
        <f>IF('CONTROLE GLOBO AÇOS'!F178="","",'CONTROLE GLOBO AÇOS'!F178)</f>
        <v/>
      </c>
      <c r="AJ176" s="223">
        <f>IF(AND('CONTROLE EJ'!E178="",'CONTROLE CMM'!E178=""),"",N('CONTROLE EJ'!E178)+N('CONTROLE CMM'!E178))</f>
        <v/>
      </c>
      <c r="AK176" s="223">
        <f>IF(AND('CONTROLE EJ'!F178="",'CONTROLE CMM'!F178=""),"",N('CONTROLE EJ'!F178)+N('CONTROLE CMM'!F178))</f>
        <v/>
      </c>
      <c r="AL176" s="223">
        <f>IF(AND('CONTROLE EJ'!G178="",'CONTROLE CMM'!G178=""),"",N('CONTROLE EJ'!G178)+N('CONTROLE CMM'!G178))</f>
        <v/>
      </c>
      <c r="AM176" s="223">
        <f>IF(AND('CONTROLE EJ'!H178="",'CONTROLE CMM'!H178=""),"",N('CONTROLE EJ'!H178)+N('CONTROLE CMM'!H178))</f>
        <v/>
      </c>
      <c r="AN176" s="223">
        <f>IF('CONTROLE GLOBO AÇOS'!G178="","",'CONTROLE GLOBO AÇOS'!G178)</f>
        <v/>
      </c>
      <c r="AO176" s="223">
        <f>IF('CONTROLE GLOBO AÇOS'!H178="","",'CONTROLE GLOBO AÇOS'!H178)</f>
        <v/>
      </c>
      <c r="AP176" s="223">
        <f>IF(AND('CONTROLE EJ'!I178="",'CONTROLE CMM'!I178=""),"",N('CONTROLE EJ'!I178)+N('CONTROLE CMM'!I178))</f>
        <v/>
      </c>
      <c r="AQ176" s="223">
        <f>IF(AND('CONTROLE EJ'!J178="",'CONTROLE CMM'!#REF!=""),"",N('CONTROLE EJ'!J178)+N('CONTROLE CMM'!#REF!))</f>
        <v/>
      </c>
      <c r="AR176" s="223">
        <f>IF('CONTROLE GLOBO AÇOS'!I178="","",'CONTROLE GLOBO AÇOS'!I178)</f>
        <v/>
      </c>
      <c r="AS176" s="223">
        <f>IF('CONTROLE GLOBO AÇOS'!J178="","",'CONTROLE GLOBO AÇOS'!J178)</f>
        <v/>
      </c>
      <c r="AT176" s="223">
        <f>IF(#REF!="","",#REF!)</f>
        <v/>
      </c>
      <c r="AU176" s="223">
        <f>IF('CONTROLE GLOBO AÇOS'!K178="","",'CONTROLE GLOBO AÇOS'!K178)</f>
        <v/>
      </c>
      <c r="AV176" s="223">
        <f>IF(AND('CONTROLE EJ'!K178="",'CONTROLE CMM'!#REF!=""),"",N('CONTROLE EJ'!K178)+N('CONTROLE CMM'!#REF!))</f>
        <v/>
      </c>
      <c r="AW176" s="223">
        <f>IF('CONTROLE GLOBO AÇOS'!L178="","",'CONTROLE GLOBO AÇOS'!L178)</f>
        <v/>
      </c>
      <c r="AX176" s="223">
        <f>IF(AND('CONTROLE EJ'!L178="",'CONTROLE CMM'!#REF!=""),"",N('CONTROLE EJ'!L178)+N('CONTROLE CMM'!#REF!))</f>
        <v/>
      </c>
      <c r="AY176" s="223">
        <f>IF('CONTROLE GLOBO AÇOS'!M178="","",'CONTROLE GLOBO AÇOS'!M178)</f>
        <v/>
      </c>
      <c r="AZ176" s="223">
        <f>IF('CONTROLE GLOBO AÇOS'!N178="","",'CONTROLE GLOBO AÇOS'!N178)</f>
        <v/>
      </c>
      <c r="BA176" s="223">
        <f>IF(AND('CONTROLE EJ'!M178="",'CONTROLE CMM'!#REF!=""),"",N('CONTROLE EJ'!M178)+N('CONTROLE CMM'!#REF!))</f>
        <v/>
      </c>
      <c r="BB176" s="223">
        <f>IF(#REF!="","",#REF!)</f>
        <v/>
      </c>
      <c r="BC176" s="223">
        <f>IF('CONTROLE GLOBO AÇOS'!O178="","",'CONTROLE GLOBO AÇOS'!O178)</f>
        <v/>
      </c>
      <c r="BD176" s="223">
        <f>IF(AND('CONTROLE EJ'!N178="",'CONTROLE CMM'!#REF!=""),"",N('CONTROLE EJ'!N178)+N('CONTROLE CMM'!#REF!))</f>
        <v/>
      </c>
      <c r="BE176" s="223">
        <f>IF('CONTROLE GLOBO AÇOS'!P178="","",'CONTROLE GLOBO AÇOS'!P178)</f>
        <v/>
      </c>
      <c r="BF176" s="223">
        <f>IF('CONTROLE GLOBO AÇOS'!Q178="","",'CONTROLE GLOBO AÇOS'!Q178)</f>
        <v/>
      </c>
      <c r="BG176" s="223">
        <f>IF('CONTROLE GLOBO AÇOS'!R178="","",'CONTROLE GLOBO AÇOS'!R178)</f>
        <v/>
      </c>
      <c r="BH176" s="223">
        <f>IF(AND('CONTROLE EJ'!O178="",'CONTROLE CMM'!#REF!=""),"",N('CONTROLE EJ'!O178)+N('CONTROLE CMM'!#REF!))</f>
        <v/>
      </c>
      <c r="BI176" s="223">
        <f>IF('CONTROLE GLOBO AÇOS'!S178="","",'CONTROLE GLOBO AÇOS'!S178)</f>
        <v/>
      </c>
      <c r="BJ176" s="223">
        <f>IF('CONTROLE GLOBO AÇOS'!T178="","",'CONTROLE GLOBO AÇOS'!T178)</f>
        <v/>
      </c>
      <c r="BK176" s="223">
        <f>IF('CONTROLE GLOBO AÇOS'!U178="","",'CONTROLE GLOBO AÇOS'!U178)</f>
        <v/>
      </c>
      <c r="BL176" s="223">
        <f>IF(AND('CONTROLE EJ'!P178="",'CONTROLE CMM'!#REF!=""),"",N('CONTROLE EJ'!P178)+N('CONTROLE CMM'!#REF!))</f>
        <v/>
      </c>
      <c r="BM176" s="223">
        <f>IF(AND('CONTROLE EJ'!Q178="",'CONTROLE CMM'!#REF!=""),"",N('CONTROLE EJ'!Q178)+N('CONTROLE CMM'!#REF!))</f>
        <v/>
      </c>
      <c r="BN176" s="223">
        <f>IF('CONTROLE GLOBO AÇOS'!V178="","",'CONTROLE GLOBO AÇOS'!V178)</f>
        <v/>
      </c>
      <c r="BO176" s="223">
        <f>IF('CONTROLE GLOBO AÇOS'!W178="","",'CONTROLE GLOBO AÇOS'!W178)</f>
        <v/>
      </c>
      <c r="BP176" s="223">
        <f>IF(AND('CONTROLE EJ'!R178="",'CONTROLE CMM'!#REF!=""),"",N('CONTROLE EJ'!R178)+N('CONTROLE CMM'!#REF!))</f>
        <v/>
      </c>
      <c r="BQ176" s="223">
        <f>IF(#REF!="","",#REF!)</f>
        <v/>
      </c>
      <c r="BR176" s="223">
        <f>IF(AND('CONTROLE EJ'!S178="",'CONTROLE CMM'!#REF!=""),"",N('CONTROLE EJ'!S178)+N('CONTROLE CMM'!#REF!))</f>
        <v/>
      </c>
      <c r="BS176" s="223">
        <f>IF(AND('CONTROLE EJ'!T178="",'CONTROLE CMM'!#REF!=""),"",N('CONTROLE EJ'!T178)+N('CONTROLE CMM'!#REF!))</f>
        <v/>
      </c>
      <c r="BT176" s="223">
        <f>IF('CONTROLE GLOBO AÇOS'!X178="","",'CONTROLE GLOBO AÇOS'!X178)</f>
        <v/>
      </c>
      <c r="BU176" s="223">
        <f>IF('CONTROLE GLOBO AÇOS'!Y178="","",'CONTROLE GLOBO AÇOS'!Y178)</f>
        <v/>
      </c>
      <c r="BV176" s="223">
        <f>IF(AND('CONTROLE EJ'!U178="",'CONTROLE CMM'!#REF!=""),"",N('CONTROLE EJ'!U178)+N('CONTROLE CMM'!#REF!))</f>
        <v/>
      </c>
      <c r="BW176" s="223">
        <f>IF(#REF!="","",#REF!)</f>
        <v/>
      </c>
    </row>
    <row r="177">
      <c r="A177" s="282" t="n">
        <v>46394</v>
      </c>
      <c r="B177" s="18">
        <f>IF('CONTROLE EJ'!B179="","",'CONTROLE EJ'!B179)</f>
        <v/>
      </c>
      <c r="C177" s="18">
        <f>IF('CONTROLE EJ'!C179="","",'CONTROLE EJ'!C179)</f>
        <v/>
      </c>
      <c r="D177" s="42">
        <f>IF('CONTROLE EJ'!D179="","",'CONTROLE EJ'!D179)</f>
        <v/>
      </c>
      <c r="E177" s="43">
        <f>IF('CONTROLE CMM'!B179="","",'CONTROLE CMM'!B179)</f>
        <v/>
      </c>
      <c r="F177" s="18">
        <f>IF('CONTROLE CMM'!C179="","",'CONTROLE CMM'!C179)</f>
        <v/>
      </c>
      <c r="G177" s="26">
        <f>IF('CONTROLE CMM'!D179="","",'CONTROLE CMM'!D179)</f>
        <v/>
      </c>
      <c r="H177" s="43">
        <f>IF('CONTROLE GLOBO AÇOS'!B179="","",'CONTROLE GLOBO AÇOS'!B179)</f>
        <v/>
      </c>
      <c r="I177" s="18">
        <f>IF('CONTROLE GLOBO AÇOS'!C179="","",'CONTROLE GLOBO AÇOS'!C179)</f>
        <v/>
      </c>
      <c r="J177" s="18">
        <f>IF('CONTROLE GLOBO AÇOS'!D179="","",'CONTROLE GLOBO AÇOS'!D179)</f>
        <v/>
      </c>
      <c r="AD177" s="39">
        <f>IF($A177="",0,IF(AND(WEEKDAY($A177,2)&lt;=5,OR($B177&lt;&gt;"",$C177&lt;&gt;"",$D177&lt;&gt;"")),1,0))</f>
        <v/>
      </c>
      <c r="AE177" s="39">
        <f>IF($A177="",0,IF(AND(WEEKDAY($A177,2)&lt;=5,OR($E177&lt;&gt;"",$F177&lt;&gt;"",$G177&lt;&gt;"")),1,0))</f>
        <v/>
      </c>
      <c r="AF177" s="39">
        <f>MAX(AD177,AE177)</f>
        <v/>
      </c>
      <c r="AH177" s="223">
        <f>IF('CONTROLE GLOBO AÇOS'!E179="","",'CONTROLE GLOBO AÇOS'!E179)</f>
        <v/>
      </c>
      <c r="AI177" s="223">
        <f>IF('CONTROLE GLOBO AÇOS'!F179="","",'CONTROLE GLOBO AÇOS'!F179)</f>
        <v/>
      </c>
      <c r="AJ177" s="223">
        <f>IF(AND('CONTROLE EJ'!E179="",'CONTROLE CMM'!E179=""),"",N('CONTROLE EJ'!E179)+N('CONTROLE CMM'!E179))</f>
        <v/>
      </c>
      <c r="AK177" s="223">
        <f>IF(AND('CONTROLE EJ'!F179="",'CONTROLE CMM'!F179=""),"",N('CONTROLE EJ'!F179)+N('CONTROLE CMM'!F179))</f>
        <v/>
      </c>
      <c r="AL177" s="223">
        <f>IF(AND('CONTROLE EJ'!G179="",'CONTROLE CMM'!G179=""),"",N('CONTROLE EJ'!G179)+N('CONTROLE CMM'!G179))</f>
        <v/>
      </c>
      <c r="AM177" s="223">
        <f>IF(AND('CONTROLE EJ'!H179="",'CONTROLE CMM'!H179=""),"",N('CONTROLE EJ'!H179)+N('CONTROLE CMM'!H179))</f>
        <v/>
      </c>
      <c r="AN177" s="223">
        <f>IF('CONTROLE GLOBO AÇOS'!G179="","",'CONTROLE GLOBO AÇOS'!G179)</f>
        <v/>
      </c>
      <c r="AO177" s="223">
        <f>IF('CONTROLE GLOBO AÇOS'!H179="","",'CONTROLE GLOBO AÇOS'!H179)</f>
        <v/>
      </c>
      <c r="AP177" s="223">
        <f>IF(AND('CONTROLE EJ'!I179="",'CONTROLE CMM'!I179=""),"",N('CONTROLE EJ'!I179)+N('CONTROLE CMM'!I179))</f>
        <v/>
      </c>
      <c r="AQ177" s="223">
        <f>IF(AND('CONTROLE EJ'!J179="",'CONTROLE CMM'!#REF!=""),"",N('CONTROLE EJ'!J179)+N('CONTROLE CMM'!#REF!))</f>
        <v/>
      </c>
      <c r="AR177" s="223">
        <f>IF('CONTROLE GLOBO AÇOS'!I179="","",'CONTROLE GLOBO AÇOS'!I179)</f>
        <v/>
      </c>
      <c r="AS177" s="223">
        <f>IF('CONTROLE GLOBO AÇOS'!J179="","",'CONTROLE GLOBO AÇOS'!J179)</f>
        <v/>
      </c>
      <c r="AT177" s="223">
        <f>IF(#REF!="","",#REF!)</f>
        <v/>
      </c>
      <c r="AU177" s="223">
        <f>IF('CONTROLE GLOBO AÇOS'!K179="","",'CONTROLE GLOBO AÇOS'!K179)</f>
        <v/>
      </c>
      <c r="AV177" s="223">
        <f>IF(AND('CONTROLE EJ'!K179="",'CONTROLE CMM'!#REF!=""),"",N('CONTROLE EJ'!K179)+N('CONTROLE CMM'!#REF!))</f>
        <v/>
      </c>
      <c r="AW177" s="223">
        <f>IF('CONTROLE GLOBO AÇOS'!L179="","",'CONTROLE GLOBO AÇOS'!L179)</f>
        <v/>
      </c>
      <c r="AX177" s="223">
        <f>IF(AND('CONTROLE EJ'!L179="",'CONTROLE CMM'!#REF!=""),"",N('CONTROLE EJ'!L179)+N('CONTROLE CMM'!#REF!))</f>
        <v/>
      </c>
      <c r="AY177" s="223">
        <f>IF('CONTROLE GLOBO AÇOS'!M179="","",'CONTROLE GLOBO AÇOS'!M179)</f>
        <v/>
      </c>
      <c r="AZ177" s="223">
        <f>IF('CONTROLE GLOBO AÇOS'!N179="","",'CONTROLE GLOBO AÇOS'!N179)</f>
        <v/>
      </c>
      <c r="BA177" s="223">
        <f>IF(AND('CONTROLE EJ'!M179="",'CONTROLE CMM'!#REF!=""),"",N('CONTROLE EJ'!M179)+N('CONTROLE CMM'!#REF!))</f>
        <v/>
      </c>
      <c r="BB177" s="223">
        <f>IF(#REF!="","",#REF!)</f>
        <v/>
      </c>
      <c r="BC177" s="223">
        <f>IF('CONTROLE GLOBO AÇOS'!O179="","",'CONTROLE GLOBO AÇOS'!O179)</f>
        <v/>
      </c>
      <c r="BD177" s="223">
        <f>IF(AND('CONTROLE EJ'!N179="",'CONTROLE CMM'!#REF!=""),"",N('CONTROLE EJ'!N179)+N('CONTROLE CMM'!#REF!))</f>
        <v/>
      </c>
      <c r="BE177" s="223">
        <f>IF('CONTROLE GLOBO AÇOS'!P179="","",'CONTROLE GLOBO AÇOS'!P179)</f>
        <v/>
      </c>
      <c r="BF177" s="223">
        <f>IF('CONTROLE GLOBO AÇOS'!Q179="","",'CONTROLE GLOBO AÇOS'!Q179)</f>
        <v/>
      </c>
      <c r="BG177" s="223">
        <f>IF('CONTROLE GLOBO AÇOS'!R179="","",'CONTROLE GLOBO AÇOS'!R179)</f>
        <v/>
      </c>
      <c r="BH177" s="223">
        <f>IF(AND('CONTROLE EJ'!O179="",'CONTROLE CMM'!#REF!=""),"",N('CONTROLE EJ'!O179)+N('CONTROLE CMM'!#REF!))</f>
        <v/>
      </c>
      <c r="BI177" s="223">
        <f>IF('CONTROLE GLOBO AÇOS'!S179="","",'CONTROLE GLOBO AÇOS'!S179)</f>
        <v/>
      </c>
      <c r="BJ177" s="223">
        <f>IF('CONTROLE GLOBO AÇOS'!T179="","",'CONTROLE GLOBO AÇOS'!T179)</f>
        <v/>
      </c>
      <c r="BK177" s="223">
        <f>IF('CONTROLE GLOBO AÇOS'!U179="","",'CONTROLE GLOBO AÇOS'!U179)</f>
        <v/>
      </c>
      <c r="BL177" s="223">
        <f>IF(AND('CONTROLE EJ'!P179="",'CONTROLE CMM'!#REF!=""),"",N('CONTROLE EJ'!P179)+N('CONTROLE CMM'!#REF!))</f>
        <v/>
      </c>
      <c r="BM177" s="223">
        <f>IF(AND('CONTROLE EJ'!Q179="",'CONTROLE CMM'!#REF!=""),"",N('CONTROLE EJ'!Q179)+N('CONTROLE CMM'!#REF!))</f>
        <v/>
      </c>
      <c r="BN177" s="223">
        <f>IF('CONTROLE GLOBO AÇOS'!V179="","",'CONTROLE GLOBO AÇOS'!V179)</f>
        <v/>
      </c>
      <c r="BO177" s="223">
        <f>IF('CONTROLE GLOBO AÇOS'!W179="","",'CONTROLE GLOBO AÇOS'!W179)</f>
        <v/>
      </c>
      <c r="BP177" s="223">
        <f>IF(AND('CONTROLE EJ'!R179="",'CONTROLE CMM'!#REF!=""),"",N('CONTROLE EJ'!R179)+N('CONTROLE CMM'!#REF!))</f>
        <v/>
      </c>
      <c r="BQ177" s="223">
        <f>IF(#REF!="","",#REF!)</f>
        <v/>
      </c>
      <c r="BR177" s="223">
        <f>IF(AND('CONTROLE EJ'!S179="",'CONTROLE CMM'!#REF!=""),"",N('CONTROLE EJ'!S179)+N('CONTROLE CMM'!#REF!))</f>
        <v/>
      </c>
      <c r="BS177" s="223">
        <f>IF(AND('CONTROLE EJ'!T179="",'CONTROLE CMM'!#REF!=""),"",N('CONTROLE EJ'!T179)+N('CONTROLE CMM'!#REF!))</f>
        <v/>
      </c>
      <c r="BT177" s="223">
        <f>IF('CONTROLE GLOBO AÇOS'!X179="","",'CONTROLE GLOBO AÇOS'!X179)</f>
        <v/>
      </c>
      <c r="BU177" s="223">
        <f>IF('CONTROLE GLOBO AÇOS'!Y179="","",'CONTROLE GLOBO AÇOS'!Y179)</f>
        <v/>
      </c>
      <c r="BV177" s="223">
        <f>IF(AND('CONTROLE EJ'!U179="",'CONTROLE CMM'!#REF!=""),"",N('CONTROLE EJ'!U179)+N('CONTROLE CMM'!#REF!))</f>
        <v/>
      </c>
      <c r="BW177" s="223">
        <f>IF(#REF!="","",#REF!)</f>
        <v/>
      </c>
    </row>
    <row r="178">
      <c r="A178" s="282" t="n">
        <v>46395</v>
      </c>
      <c r="B178" s="18">
        <f>IF('CONTROLE EJ'!B180="","",'CONTROLE EJ'!B180)</f>
        <v/>
      </c>
      <c r="C178" s="18">
        <f>IF('CONTROLE EJ'!C180="","",'CONTROLE EJ'!C180)</f>
        <v/>
      </c>
      <c r="D178" s="42">
        <f>IF('CONTROLE EJ'!D180="","",'CONTROLE EJ'!D180)</f>
        <v/>
      </c>
      <c r="E178" s="43">
        <f>IF('CONTROLE CMM'!B180="","",'CONTROLE CMM'!B180)</f>
        <v/>
      </c>
      <c r="F178" s="18">
        <f>IF('CONTROLE CMM'!C180="","",'CONTROLE CMM'!C180)</f>
        <v/>
      </c>
      <c r="G178" s="26">
        <f>IF('CONTROLE CMM'!D180="","",'CONTROLE CMM'!D180)</f>
        <v/>
      </c>
      <c r="H178" s="43">
        <f>IF('CONTROLE GLOBO AÇOS'!B180="","",'CONTROLE GLOBO AÇOS'!B180)</f>
        <v/>
      </c>
      <c r="I178" s="18">
        <f>IF('CONTROLE GLOBO AÇOS'!C180="","",'CONTROLE GLOBO AÇOS'!C180)</f>
        <v/>
      </c>
      <c r="J178" s="18">
        <f>IF('CONTROLE GLOBO AÇOS'!D180="","",'CONTROLE GLOBO AÇOS'!D180)</f>
        <v/>
      </c>
      <c r="AD178" s="39">
        <f>IF($A178="",0,IF(AND(WEEKDAY($A178,2)&lt;=5,OR($B178&lt;&gt;"",$C178&lt;&gt;"",$D178&lt;&gt;"")),1,0))</f>
        <v/>
      </c>
      <c r="AE178" s="39">
        <f>IF($A178="",0,IF(AND(WEEKDAY($A178,2)&lt;=5,OR($E178&lt;&gt;"",$F178&lt;&gt;"",$G178&lt;&gt;"")),1,0))</f>
        <v/>
      </c>
      <c r="AF178" s="39">
        <f>MAX(AD178,AE178)</f>
        <v/>
      </c>
      <c r="AH178" s="223">
        <f>IF('CONTROLE GLOBO AÇOS'!E180="","",'CONTROLE GLOBO AÇOS'!E180)</f>
        <v/>
      </c>
      <c r="AI178" s="223">
        <f>IF('CONTROLE GLOBO AÇOS'!F180="","",'CONTROLE GLOBO AÇOS'!F180)</f>
        <v/>
      </c>
      <c r="AJ178" s="223">
        <f>IF(AND('CONTROLE EJ'!E180="",'CONTROLE CMM'!E180=""),"",N('CONTROLE EJ'!E180)+N('CONTROLE CMM'!E180))</f>
        <v/>
      </c>
      <c r="AK178" s="223">
        <f>IF(AND('CONTROLE EJ'!F180="",'CONTROLE CMM'!F180=""),"",N('CONTROLE EJ'!F180)+N('CONTROLE CMM'!F180))</f>
        <v/>
      </c>
      <c r="AL178" s="223">
        <f>IF(AND('CONTROLE EJ'!G180="",'CONTROLE CMM'!G180=""),"",N('CONTROLE EJ'!G180)+N('CONTROLE CMM'!G180))</f>
        <v/>
      </c>
      <c r="AM178" s="223">
        <f>IF(AND('CONTROLE EJ'!H180="",'CONTROLE CMM'!H180=""),"",N('CONTROLE EJ'!H180)+N('CONTROLE CMM'!H180))</f>
        <v/>
      </c>
      <c r="AN178" s="223">
        <f>IF('CONTROLE GLOBO AÇOS'!G180="","",'CONTROLE GLOBO AÇOS'!G180)</f>
        <v/>
      </c>
      <c r="AO178" s="223">
        <f>IF('CONTROLE GLOBO AÇOS'!H180="","",'CONTROLE GLOBO AÇOS'!H180)</f>
        <v/>
      </c>
      <c r="AP178" s="223">
        <f>IF(AND('CONTROLE EJ'!I180="",'CONTROLE CMM'!I180=""),"",N('CONTROLE EJ'!I180)+N('CONTROLE CMM'!I180))</f>
        <v/>
      </c>
      <c r="AQ178" s="223">
        <f>IF(AND('CONTROLE EJ'!J180="",'CONTROLE CMM'!#REF!=""),"",N('CONTROLE EJ'!J180)+N('CONTROLE CMM'!#REF!))</f>
        <v/>
      </c>
      <c r="AR178" s="223">
        <f>IF('CONTROLE GLOBO AÇOS'!I180="","",'CONTROLE GLOBO AÇOS'!I180)</f>
        <v/>
      </c>
      <c r="AS178" s="223">
        <f>IF('CONTROLE GLOBO AÇOS'!J180="","",'CONTROLE GLOBO AÇOS'!J180)</f>
        <v/>
      </c>
      <c r="AT178" s="223">
        <f>IF(#REF!="","",#REF!)</f>
        <v/>
      </c>
      <c r="AU178" s="223">
        <f>IF('CONTROLE GLOBO AÇOS'!K180="","",'CONTROLE GLOBO AÇOS'!K180)</f>
        <v/>
      </c>
      <c r="AV178" s="223">
        <f>IF(AND('CONTROLE EJ'!K180="",'CONTROLE CMM'!#REF!=""),"",N('CONTROLE EJ'!K180)+N('CONTROLE CMM'!#REF!))</f>
        <v/>
      </c>
      <c r="AW178" s="223">
        <f>IF('CONTROLE GLOBO AÇOS'!L180="","",'CONTROLE GLOBO AÇOS'!L180)</f>
        <v/>
      </c>
      <c r="AX178" s="223">
        <f>IF(AND('CONTROLE EJ'!L180="",'CONTROLE CMM'!#REF!=""),"",N('CONTROLE EJ'!L180)+N('CONTROLE CMM'!#REF!))</f>
        <v/>
      </c>
      <c r="AY178" s="223">
        <f>IF('CONTROLE GLOBO AÇOS'!M180="","",'CONTROLE GLOBO AÇOS'!M180)</f>
        <v/>
      </c>
      <c r="AZ178" s="223">
        <f>IF('CONTROLE GLOBO AÇOS'!N180="","",'CONTROLE GLOBO AÇOS'!N180)</f>
        <v/>
      </c>
      <c r="BA178" s="223">
        <f>IF(AND('CONTROLE EJ'!M180="",'CONTROLE CMM'!#REF!=""),"",N('CONTROLE EJ'!M180)+N('CONTROLE CMM'!#REF!))</f>
        <v/>
      </c>
      <c r="BB178" s="223">
        <f>IF(#REF!="","",#REF!)</f>
        <v/>
      </c>
      <c r="BC178" s="223">
        <f>IF('CONTROLE GLOBO AÇOS'!O180="","",'CONTROLE GLOBO AÇOS'!O180)</f>
        <v/>
      </c>
      <c r="BD178" s="223">
        <f>IF(AND('CONTROLE EJ'!N180="",'CONTROLE CMM'!#REF!=""),"",N('CONTROLE EJ'!N180)+N('CONTROLE CMM'!#REF!))</f>
        <v/>
      </c>
      <c r="BE178" s="223">
        <f>IF('CONTROLE GLOBO AÇOS'!P180="","",'CONTROLE GLOBO AÇOS'!P180)</f>
        <v/>
      </c>
      <c r="BF178" s="223">
        <f>IF('CONTROLE GLOBO AÇOS'!Q180="","",'CONTROLE GLOBO AÇOS'!Q180)</f>
        <v/>
      </c>
      <c r="BG178" s="223">
        <f>IF('CONTROLE GLOBO AÇOS'!R180="","",'CONTROLE GLOBO AÇOS'!R180)</f>
        <v/>
      </c>
      <c r="BH178" s="223">
        <f>IF(AND('CONTROLE EJ'!O180="",'CONTROLE CMM'!#REF!=""),"",N('CONTROLE EJ'!O180)+N('CONTROLE CMM'!#REF!))</f>
        <v/>
      </c>
      <c r="BI178" s="223">
        <f>IF('CONTROLE GLOBO AÇOS'!S180="","",'CONTROLE GLOBO AÇOS'!S180)</f>
        <v/>
      </c>
      <c r="BJ178" s="223">
        <f>IF('CONTROLE GLOBO AÇOS'!T180="","",'CONTROLE GLOBO AÇOS'!T180)</f>
        <v/>
      </c>
      <c r="BK178" s="223">
        <f>IF('CONTROLE GLOBO AÇOS'!U180="","",'CONTROLE GLOBO AÇOS'!U180)</f>
        <v/>
      </c>
      <c r="BL178" s="223">
        <f>IF(AND('CONTROLE EJ'!P180="",'CONTROLE CMM'!#REF!=""),"",N('CONTROLE EJ'!P180)+N('CONTROLE CMM'!#REF!))</f>
        <v/>
      </c>
      <c r="BM178" s="223">
        <f>IF(AND('CONTROLE EJ'!Q180="",'CONTROLE CMM'!#REF!=""),"",N('CONTROLE EJ'!Q180)+N('CONTROLE CMM'!#REF!))</f>
        <v/>
      </c>
      <c r="BN178" s="223">
        <f>IF('CONTROLE GLOBO AÇOS'!V180="","",'CONTROLE GLOBO AÇOS'!V180)</f>
        <v/>
      </c>
      <c r="BO178" s="223">
        <f>IF('CONTROLE GLOBO AÇOS'!W180="","",'CONTROLE GLOBO AÇOS'!W180)</f>
        <v/>
      </c>
      <c r="BP178" s="223">
        <f>IF(AND('CONTROLE EJ'!R180="",'CONTROLE CMM'!#REF!=""),"",N('CONTROLE EJ'!R180)+N('CONTROLE CMM'!#REF!))</f>
        <v/>
      </c>
      <c r="BQ178" s="223">
        <f>IF(#REF!="","",#REF!)</f>
        <v/>
      </c>
      <c r="BR178" s="223">
        <f>IF(AND('CONTROLE EJ'!S180="",'CONTROLE CMM'!#REF!=""),"",N('CONTROLE EJ'!S180)+N('CONTROLE CMM'!#REF!))</f>
        <v/>
      </c>
      <c r="BS178" s="223">
        <f>IF(AND('CONTROLE EJ'!T180="",'CONTROLE CMM'!#REF!=""),"",N('CONTROLE EJ'!T180)+N('CONTROLE CMM'!#REF!))</f>
        <v/>
      </c>
      <c r="BT178" s="223">
        <f>IF('CONTROLE GLOBO AÇOS'!X180="","",'CONTROLE GLOBO AÇOS'!X180)</f>
        <v/>
      </c>
      <c r="BU178" s="223">
        <f>IF('CONTROLE GLOBO AÇOS'!Y180="","",'CONTROLE GLOBO AÇOS'!Y180)</f>
        <v/>
      </c>
      <c r="BV178" s="223">
        <f>IF(AND('CONTROLE EJ'!U180="",'CONTROLE CMM'!#REF!=""),"",N('CONTROLE EJ'!U180)+N('CONTROLE CMM'!#REF!))</f>
        <v/>
      </c>
      <c r="BW178" s="223">
        <f>IF(#REF!="","",#REF!)</f>
        <v/>
      </c>
    </row>
    <row r="179">
      <c r="A179" s="282" t="n">
        <v>46396</v>
      </c>
      <c r="B179" s="18">
        <f>IF('CONTROLE EJ'!B181="","",'CONTROLE EJ'!B181)</f>
        <v/>
      </c>
      <c r="C179" s="18">
        <f>IF('CONTROLE EJ'!C181="","",'CONTROLE EJ'!C181)</f>
        <v/>
      </c>
      <c r="D179" s="42">
        <f>IF('CONTROLE EJ'!D181="","",'CONTROLE EJ'!D181)</f>
        <v/>
      </c>
      <c r="E179" s="43">
        <f>IF('CONTROLE CMM'!B181="","",'CONTROLE CMM'!B181)</f>
        <v/>
      </c>
      <c r="F179" s="18">
        <f>IF('CONTROLE CMM'!C181="","",'CONTROLE CMM'!C181)</f>
        <v/>
      </c>
      <c r="G179" s="26">
        <f>IF('CONTROLE CMM'!D181="","",'CONTROLE CMM'!D181)</f>
        <v/>
      </c>
      <c r="H179" s="43">
        <f>IF('CONTROLE GLOBO AÇOS'!B181="","",'CONTROLE GLOBO AÇOS'!B181)</f>
        <v/>
      </c>
      <c r="I179" s="18">
        <f>IF('CONTROLE GLOBO AÇOS'!C181="","",'CONTROLE GLOBO AÇOS'!C181)</f>
        <v/>
      </c>
      <c r="J179" s="18">
        <f>IF('CONTROLE GLOBO AÇOS'!D181="","",'CONTROLE GLOBO AÇOS'!D181)</f>
        <v/>
      </c>
      <c r="AD179" s="39">
        <f>IF($A179="",0,IF(AND(WEEKDAY($A179,2)&lt;=5,OR($B179&lt;&gt;"",$C179&lt;&gt;"",$D179&lt;&gt;"")),1,0))</f>
        <v/>
      </c>
      <c r="AE179" s="39">
        <f>IF($A179="",0,IF(AND(WEEKDAY($A179,2)&lt;=5,OR($E179&lt;&gt;"",$F179&lt;&gt;"",$G179&lt;&gt;"")),1,0))</f>
        <v/>
      </c>
      <c r="AF179" s="39">
        <f>MAX(AD179,AE179)</f>
        <v/>
      </c>
      <c r="AH179" s="223">
        <f>IF('CONTROLE GLOBO AÇOS'!E181="","",'CONTROLE GLOBO AÇOS'!E181)</f>
        <v/>
      </c>
      <c r="AI179" s="223">
        <f>IF('CONTROLE GLOBO AÇOS'!F181="","",'CONTROLE GLOBO AÇOS'!F181)</f>
        <v/>
      </c>
      <c r="AJ179" s="223">
        <f>IF(AND('CONTROLE EJ'!E181="",'CONTROLE CMM'!E181=""),"",N('CONTROLE EJ'!E181)+N('CONTROLE CMM'!E181))</f>
        <v/>
      </c>
      <c r="AK179" s="223">
        <f>IF(AND('CONTROLE EJ'!F181="",'CONTROLE CMM'!F181=""),"",N('CONTROLE EJ'!F181)+N('CONTROLE CMM'!F181))</f>
        <v/>
      </c>
      <c r="AL179" s="223">
        <f>IF(AND('CONTROLE EJ'!G181="",'CONTROLE CMM'!G181=""),"",N('CONTROLE EJ'!G181)+N('CONTROLE CMM'!G181))</f>
        <v/>
      </c>
      <c r="AM179" s="223">
        <f>IF(AND('CONTROLE EJ'!H181="",'CONTROLE CMM'!H181=""),"",N('CONTROLE EJ'!H181)+N('CONTROLE CMM'!H181))</f>
        <v/>
      </c>
      <c r="AN179" s="223">
        <f>IF('CONTROLE GLOBO AÇOS'!G181="","",'CONTROLE GLOBO AÇOS'!G181)</f>
        <v/>
      </c>
      <c r="AO179" s="223">
        <f>IF('CONTROLE GLOBO AÇOS'!H181="","",'CONTROLE GLOBO AÇOS'!H181)</f>
        <v/>
      </c>
      <c r="AP179" s="223">
        <f>IF(AND('CONTROLE EJ'!I181="",'CONTROLE CMM'!I181=""),"",N('CONTROLE EJ'!I181)+N('CONTROLE CMM'!I181))</f>
        <v/>
      </c>
      <c r="AQ179" s="223">
        <f>IF(AND('CONTROLE EJ'!J181="",'CONTROLE CMM'!#REF!=""),"",N('CONTROLE EJ'!J181)+N('CONTROLE CMM'!#REF!))</f>
        <v/>
      </c>
      <c r="AR179" s="223">
        <f>IF('CONTROLE GLOBO AÇOS'!I181="","",'CONTROLE GLOBO AÇOS'!I181)</f>
        <v/>
      </c>
      <c r="AS179" s="223">
        <f>IF('CONTROLE GLOBO AÇOS'!J181="","",'CONTROLE GLOBO AÇOS'!J181)</f>
        <v/>
      </c>
      <c r="AT179" s="223">
        <f>IF(#REF!="","",#REF!)</f>
        <v/>
      </c>
      <c r="AU179" s="223">
        <f>IF('CONTROLE GLOBO AÇOS'!K181="","",'CONTROLE GLOBO AÇOS'!K181)</f>
        <v/>
      </c>
      <c r="AV179" s="223">
        <f>IF(AND('CONTROLE EJ'!K181="",'CONTROLE CMM'!#REF!=""),"",N('CONTROLE EJ'!K181)+N('CONTROLE CMM'!#REF!))</f>
        <v/>
      </c>
      <c r="AW179" s="223">
        <f>IF('CONTROLE GLOBO AÇOS'!L181="","",'CONTROLE GLOBO AÇOS'!L181)</f>
        <v/>
      </c>
      <c r="AX179" s="223">
        <f>IF(AND('CONTROLE EJ'!L181="",'CONTROLE CMM'!#REF!=""),"",N('CONTROLE EJ'!L181)+N('CONTROLE CMM'!#REF!))</f>
        <v/>
      </c>
      <c r="AY179" s="223">
        <f>IF('CONTROLE GLOBO AÇOS'!M181="","",'CONTROLE GLOBO AÇOS'!M181)</f>
        <v/>
      </c>
      <c r="AZ179" s="223">
        <f>IF('CONTROLE GLOBO AÇOS'!N181="","",'CONTROLE GLOBO AÇOS'!N181)</f>
        <v/>
      </c>
      <c r="BA179" s="223">
        <f>IF(AND('CONTROLE EJ'!M181="",'CONTROLE CMM'!#REF!=""),"",N('CONTROLE EJ'!M181)+N('CONTROLE CMM'!#REF!))</f>
        <v/>
      </c>
      <c r="BB179" s="223">
        <f>IF(#REF!="","",#REF!)</f>
        <v/>
      </c>
      <c r="BC179" s="223">
        <f>IF('CONTROLE GLOBO AÇOS'!O181="","",'CONTROLE GLOBO AÇOS'!O181)</f>
        <v/>
      </c>
      <c r="BD179" s="223">
        <f>IF(AND('CONTROLE EJ'!N181="",'CONTROLE CMM'!#REF!=""),"",N('CONTROLE EJ'!N181)+N('CONTROLE CMM'!#REF!))</f>
        <v/>
      </c>
      <c r="BE179" s="223">
        <f>IF('CONTROLE GLOBO AÇOS'!P181="","",'CONTROLE GLOBO AÇOS'!P181)</f>
        <v/>
      </c>
      <c r="BF179" s="223">
        <f>IF('CONTROLE GLOBO AÇOS'!Q181="","",'CONTROLE GLOBO AÇOS'!Q181)</f>
        <v/>
      </c>
      <c r="BG179" s="223">
        <f>IF('CONTROLE GLOBO AÇOS'!R181="","",'CONTROLE GLOBO AÇOS'!R181)</f>
        <v/>
      </c>
      <c r="BH179" s="223">
        <f>IF(AND('CONTROLE EJ'!O181="",'CONTROLE CMM'!#REF!=""),"",N('CONTROLE EJ'!O181)+N('CONTROLE CMM'!#REF!))</f>
        <v/>
      </c>
      <c r="BI179" s="223">
        <f>IF('CONTROLE GLOBO AÇOS'!S181="","",'CONTROLE GLOBO AÇOS'!S181)</f>
        <v/>
      </c>
      <c r="BJ179" s="223">
        <f>IF('CONTROLE GLOBO AÇOS'!T181="","",'CONTROLE GLOBO AÇOS'!T181)</f>
        <v/>
      </c>
      <c r="BK179" s="223">
        <f>IF('CONTROLE GLOBO AÇOS'!U181="","",'CONTROLE GLOBO AÇOS'!U181)</f>
        <v/>
      </c>
      <c r="BL179" s="223">
        <f>IF(AND('CONTROLE EJ'!P181="",'CONTROLE CMM'!#REF!=""),"",N('CONTROLE EJ'!P181)+N('CONTROLE CMM'!#REF!))</f>
        <v/>
      </c>
      <c r="BM179" s="223">
        <f>IF(AND('CONTROLE EJ'!Q181="",'CONTROLE CMM'!#REF!=""),"",N('CONTROLE EJ'!Q181)+N('CONTROLE CMM'!#REF!))</f>
        <v/>
      </c>
      <c r="BN179" s="223">
        <f>IF('CONTROLE GLOBO AÇOS'!V181="","",'CONTROLE GLOBO AÇOS'!V181)</f>
        <v/>
      </c>
      <c r="BO179" s="223">
        <f>IF('CONTROLE GLOBO AÇOS'!W181="","",'CONTROLE GLOBO AÇOS'!W181)</f>
        <v/>
      </c>
      <c r="BP179" s="223">
        <f>IF(AND('CONTROLE EJ'!R181="",'CONTROLE CMM'!#REF!=""),"",N('CONTROLE EJ'!R181)+N('CONTROLE CMM'!#REF!))</f>
        <v/>
      </c>
      <c r="BQ179" s="223">
        <f>IF(#REF!="","",#REF!)</f>
        <v/>
      </c>
      <c r="BR179" s="223">
        <f>IF(AND('CONTROLE EJ'!S181="",'CONTROLE CMM'!#REF!=""),"",N('CONTROLE EJ'!S181)+N('CONTROLE CMM'!#REF!))</f>
        <v/>
      </c>
      <c r="BS179" s="223">
        <f>IF(AND('CONTROLE EJ'!T181="",'CONTROLE CMM'!#REF!=""),"",N('CONTROLE EJ'!T181)+N('CONTROLE CMM'!#REF!))</f>
        <v/>
      </c>
      <c r="BT179" s="223">
        <f>IF('CONTROLE GLOBO AÇOS'!X181="","",'CONTROLE GLOBO AÇOS'!X181)</f>
        <v/>
      </c>
      <c r="BU179" s="223">
        <f>IF('CONTROLE GLOBO AÇOS'!Y181="","",'CONTROLE GLOBO AÇOS'!Y181)</f>
        <v/>
      </c>
      <c r="BV179" s="223">
        <f>IF(AND('CONTROLE EJ'!U181="",'CONTROLE CMM'!#REF!=""),"",N('CONTROLE EJ'!U181)+N('CONTROLE CMM'!#REF!))</f>
        <v/>
      </c>
      <c r="BW179" s="223">
        <f>IF(#REF!="","",#REF!)</f>
        <v/>
      </c>
    </row>
    <row r="180">
      <c r="A180" s="282" t="n">
        <v>46397</v>
      </c>
      <c r="B180" s="18">
        <f>IF('CONTROLE EJ'!B182="","",'CONTROLE EJ'!B182)</f>
        <v/>
      </c>
      <c r="C180" s="18">
        <f>IF('CONTROLE EJ'!C182="","",'CONTROLE EJ'!C182)</f>
        <v/>
      </c>
      <c r="D180" s="42">
        <f>IF('CONTROLE EJ'!D182="","",'CONTROLE EJ'!D182)</f>
        <v/>
      </c>
      <c r="E180" s="43">
        <f>IF('CONTROLE CMM'!B182="","",'CONTROLE CMM'!B182)</f>
        <v/>
      </c>
      <c r="F180" s="18">
        <f>IF('CONTROLE CMM'!C182="","",'CONTROLE CMM'!C182)</f>
        <v/>
      </c>
      <c r="G180" s="26">
        <f>IF('CONTROLE CMM'!D182="","",'CONTROLE CMM'!D182)</f>
        <v/>
      </c>
      <c r="H180" s="43">
        <f>IF('CONTROLE GLOBO AÇOS'!B182="","",'CONTROLE GLOBO AÇOS'!B182)</f>
        <v/>
      </c>
      <c r="I180" s="18">
        <f>IF('CONTROLE GLOBO AÇOS'!C182="","",'CONTROLE GLOBO AÇOS'!C182)</f>
        <v/>
      </c>
      <c r="J180" s="18">
        <f>IF('CONTROLE GLOBO AÇOS'!D182="","",'CONTROLE GLOBO AÇOS'!D182)</f>
        <v/>
      </c>
      <c r="AD180" s="39">
        <f>IF($A180="",0,IF(AND(WEEKDAY($A180,2)&lt;=5,OR($B180&lt;&gt;"",$C180&lt;&gt;"",$D180&lt;&gt;"")),1,0))</f>
        <v/>
      </c>
      <c r="AE180" s="39">
        <f>IF($A180="",0,IF(AND(WEEKDAY($A180,2)&lt;=5,OR($E180&lt;&gt;"",$F180&lt;&gt;"",$G180&lt;&gt;"")),1,0))</f>
        <v/>
      </c>
      <c r="AF180" s="39">
        <f>MAX(AD180,AE180)</f>
        <v/>
      </c>
      <c r="AH180" s="223">
        <f>IF('CONTROLE GLOBO AÇOS'!E182="","",'CONTROLE GLOBO AÇOS'!E182)</f>
        <v/>
      </c>
      <c r="AI180" s="223">
        <f>IF('CONTROLE GLOBO AÇOS'!F182="","",'CONTROLE GLOBO AÇOS'!F182)</f>
        <v/>
      </c>
      <c r="AJ180" s="223">
        <f>IF(AND('CONTROLE EJ'!E182="",'CONTROLE CMM'!E182=""),"",N('CONTROLE EJ'!E182)+N('CONTROLE CMM'!E182))</f>
        <v/>
      </c>
      <c r="AK180" s="223">
        <f>IF(AND('CONTROLE EJ'!F182="",'CONTROLE CMM'!F182=""),"",N('CONTROLE EJ'!F182)+N('CONTROLE CMM'!F182))</f>
        <v/>
      </c>
      <c r="AL180" s="223">
        <f>IF(AND('CONTROLE EJ'!G182="",'CONTROLE CMM'!G182=""),"",N('CONTROLE EJ'!G182)+N('CONTROLE CMM'!G182))</f>
        <v/>
      </c>
      <c r="AM180" s="223">
        <f>IF(AND('CONTROLE EJ'!H182="",'CONTROLE CMM'!H182=""),"",N('CONTROLE EJ'!H182)+N('CONTROLE CMM'!H182))</f>
        <v/>
      </c>
      <c r="AN180" s="223">
        <f>IF('CONTROLE GLOBO AÇOS'!G182="","",'CONTROLE GLOBO AÇOS'!G182)</f>
        <v/>
      </c>
      <c r="AO180" s="223">
        <f>IF('CONTROLE GLOBO AÇOS'!H182="","",'CONTROLE GLOBO AÇOS'!H182)</f>
        <v/>
      </c>
      <c r="AP180" s="223">
        <f>IF(AND('CONTROLE EJ'!I182="",'CONTROLE CMM'!I182=""),"",N('CONTROLE EJ'!I182)+N('CONTROLE CMM'!I182))</f>
        <v/>
      </c>
      <c r="AQ180" s="223">
        <f>IF(AND('CONTROLE EJ'!J182="",'CONTROLE CMM'!#REF!=""),"",N('CONTROLE EJ'!J182)+N('CONTROLE CMM'!#REF!))</f>
        <v/>
      </c>
      <c r="AR180" s="223">
        <f>IF('CONTROLE GLOBO AÇOS'!I182="","",'CONTROLE GLOBO AÇOS'!I182)</f>
        <v/>
      </c>
      <c r="AS180" s="223">
        <f>IF('CONTROLE GLOBO AÇOS'!J182="","",'CONTROLE GLOBO AÇOS'!J182)</f>
        <v/>
      </c>
      <c r="AT180" s="223">
        <f>IF(#REF!="","",#REF!)</f>
        <v/>
      </c>
      <c r="AU180" s="223">
        <f>IF('CONTROLE GLOBO AÇOS'!K182="","",'CONTROLE GLOBO AÇOS'!K182)</f>
        <v/>
      </c>
      <c r="AV180" s="223">
        <f>IF(AND('CONTROLE EJ'!K182="",'CONTROLE CMM'!#REF!=""),"",N('CONTROLE EJ'!K182)+N('CONTROLE CMM'!#REF!))</f>
        <v/>
      </c>
      <c r="AW180" s="223">
        <f>IF('CONTROLE GLOBO AÇOS'!L182="","",'CONTROLE GLOBO AÇOS'!L182)</f>
        <v/>
      </c>
      <c r="AX180" s="223">
        <f>IF(AND('CONTROLE EJ'!L182="",'CONTROLE CMM'!#REF!=""),"",N('CONTROLE EJ'!L182)+N('CONTROLE CMM'!#REF!))</f>
        <v/>
      </c>
      <c r="AY180" s="223">
        <f>IF('CONTROLE GLOBO AÇOS'!M182="","",'CONTROLE GLOBO AÇOS'!M182)</f>
        <v/>
      </c>
      <c r="AZ180" s="223">
        <f>IF('CONTROLE GLOBO AÇOS'!N182="","",'CONTROLE GLOBO AÇOS'!N182)</f>
        <v/>
      </c>
      <c r="BA180" s="223">
        <f>IF(AND('CONTROLE EJ'!M182="",'CONTROLE CMM'!#REF!=""),"",N('CONTROLE EJ'!M182)+N('CONTROLE CMM'!#REF!))</f>
        <v/>
      </c>
      <c r="BB180" s="223">
        <f>IF(#REF!="","",#REF!)</f>
        <v/>
      </c>
      <c r="BC180" s="223">
        <f>IF('CONTROLE GLOBO AÇOS'!O182="","",'CONTROLE GLOBO AÇOS'!O182)</f>
        <v/>
      </c>
      <c r="BD180" s="223">
        <f>IF(AND('CONTROLE EJ'!N182="",'CONTROLE CMM'!#REF!=""),"",N('CONTROLE EJ'!N182)+N('CONTROLE CMM'!#REF!))</f>
        <v/>
      </c>
      <c r="BE180" s="223">
        <f>IF('CONTROLE GLOBO AÇOS'!P182="","",'CONTROLE GLOBO AÇOS'!P182)</f>
        <v/>
      </c>
      <c r="BF180" s="223">
        <f>IF('CONTROLE GLOBO AÇOS'!Q182="","",'CONTROLE GLOBO AÇOS'!Q182)</f>
        <v/>
      </c>
      <c r="BG180" s="223">
        <f>IF('CONTROLE GLOBO AÇOS'!R182="","",'CONTROLE GLOBO AÇOS'!R182)</f>
        <v/>
      </c>
      <c r="BH180" s="223">
        <f>IF(AND('CONTROLE EJ'!O182="",'CONTROLE CMM'!#REF!=""),"",N('CONTROLE EJ'!O182)+N('CONTROLE CMM'!#REF!))</f>
        <v/>
      </c>
      <c r="BI180" s="223">
        <f>IF('CONTROLE GLOBO AÇOS'!S182="","",'CONTROLE GLOBO AÇOS'!S182)</f>
        <v/>
      </c>
      <c r="BJ180" s="223">
        <f>IF('CONTROLE GLOBO AÇOS'!T182="","",'CONTROLE GLOBO AÇOS'!T182)</f>
        <v/>
      </c>
      <c r="BK180" s="223">
        <f>IF('CONTROLE GLOBO AÇOS'!U182="","",'CONTROLE GLOBO AÇOS'!U182)</f>
        <v/>
      </c>
      <c r="BL180" s="223">
        <f>IF(AND('CONTROLE EJ'!P182="",'CONTROLE CMM'!#REF!=""),"",N('CONTROLE EJ'!P182)+N('CONTROLE CMM'!#REF!))</f>
        <v/>
      </c>
      <c r="BM180" s="223">
        <f>IF(AND('CONTROLE EJ'!Q182="",'CONTROLE CMM'!#REF!=""),"",N('CONTROLE EJ'!Q182)+N('CONTROLE CMM'!#REF!))</f>
        <v/>
      </c>
      <c r="BN180" s="223">
        <f>IF('CONTROLE GLOBO AÇOS'!V182="","",'CONTROLE GLOBO AÇOS'!V182)</f>
        <v/>
      </c>
      <c r="BO180" s="223">
        <f>IF('CONTROLE GLOBO AÇOS'!W182="","",'CONTROLE GLOBO AÇOS'!W182)</f>
        <v/>
      </c>
      <c r="BP180" s="223">
        <f>IF(AND('CONTROLE EJ'!R182="",'CONTROLE CMM'!#REF!=""),"",N('CONTROLE EJ'!R182)+N('CONTROLE CMM'!#REF!))</f>
        <v/>
      </c>
      <c r="BQ180" s="223">
        <f>IF(#REF!="","",#REF!)</f>
        <v/>
      </c>
      <c r="BR180" s="223">
        <f>IF(AND('CONTROLE EJ'!S182="",'CONTROLE CMM'!#REF!=""),"",N('CONTROLE EJ'!S182)+N('CONTROLE CMM'!#REF!))</f>
        <v/>
      </c>
      <c r="BS180" s="223">
        <f>IF(AND('CONTROLE EJ'!T182="",'CONTROLE CMM'!#REF!=""),"",N('CONTROLE EJ'!T182)+N('CONTROLE CMM'!#REF!))</f>
        <v/>
      </c>
      <c r="BT180" s="223">
        <f>IF('CONTROLE GLOBO AÇOS'!X182="","",'CONTROLE GLOBO AÇOS'!X182)</f>
        <v/>
      </c>
      <c r="BU180" s="223">
        <f>IF('CONTROLE GLOBO AÇOS'!Y182="","",'CONTROLE GLOBO AÇOS'!Y182)</f>
        <v/>
      </c>
      <c r="BV180" s="223">
        <f>IF(AND('CONTROLE EJ'!U182="",'CONTROLE CMM'!#REF!=""),"",N('CONTROLE EJ'!U182)+N('CONTROLE CMM'!#REF!))</f>
        <v/>
      </c>
      <c r="BW180" s="223">
        <f>IF(#REF!="","",#REF!)</f>
        <v/>
      </c>
    </row>
    <row r="181">
      <c r="A181" s="282" t="n">
        <v>46398</v>
      </c>
      <c r="B181" s="18">
        <f>IF('CONTROLE EJ'!B183="","",'CONTROLE EJ'!B183)</f>
        <v/>
      </c>
      <c r="C181" s="18">
        <f>IF('CONTROLE EJ'!C183="","",'CONTROLE EJ'!C183)</f>
        <v/>
      </c>
      <c r="D181" s="42">
        <f>IF('CONTROLE EJ'!D183="","",'CONTROLE EJ'!D183)</f>
        <v/>
      </c>
      <c r="E181" s="43">
        <f>IF('CONTROLE CMM'!B183="","",'CONTROLE CMM'!B183)</f>
        <v/>
      </c>
      <c r="F181" s="18">
        <f>IF('CONTROLE CMM'!C183="","",'CONTROLE CMM'!C183)</f>
        <v/>
      </c>
      <c r="G181" s="26">
        <f>IF('CONTROLE CMM'!D183="","",'CONTROLE CMM'!D183)</f>
        <v/>
      </c>
      <c r="H181" s="43">
        <f>IF('CONTROLE GLOBO AÇOS'!B183="","",'CONTROLE GLOBO AÇOS'!B183)</f>
        <v/>
      </c>
      <c r="I181" s="18">
        <f>IF('CONTROLE GLOBO AÇOS'!C183="","",'CONTROLE GLOBO AÇOS'!C183)</f>
        <v/>
      </c>
      <c r="J181" s="18">
        <f>IF('CONTROLE GLOBO AÇOS'!D183="","",'CONTROLE GLOBO AÇOS'!D183)</f>
        <v/>
      </c>
      <c r="AD181" s="39">
        <f>IF($A181="",0,IF(AND(WEEKDAY($A181,2)&lt;=5,OR($B181&lt;&gt;"",$C181&lt;&gt;"",$D181&lt;&gt;"")),1,0))</f>
        <v/>
      </c>
      <c r="AE181" s="39">
        <f>IF($A181="",0,IF(AND(WEEKDAY($A181,2)&lt;=5,OR($E181&lt;&gt;"",$F181&lt;&gt;"",$G181&lt;&gt;"")),1,0))</f>
        <v/>
      </c>
      <c r="AF181" s="39">
        <f>MAX(AD181,AE181)</f>
        <v/>
      </c>
      <c r="AH181" s="223">
        <f>IF('CONTROLE GLOBO AÇOS'!E183="","",'CONTROLE GLOBO AÇOS'!E183)</f>
        <v/>
      </c>
      <c r="AI181" s="223">
        <f>IF('CONTROLE GLOBO AÇOS'!F183="","",'CONTROLE GLOBO AÇOS'!F183)</f>
        <v/>
      </c>
      <c r="AJ181" s="223">
        <f>IF(AND('CONTROLE EJ'!E183="",'CONTROLE CMM'!E183=""),"",N('CONTROLE EJ'!E183)+N('CONTROLE CMM'!E183))</f>
        <v/>
      </c>
      <c r="AK181" s="223">
        <f>IF(AND('CONTROLE EJ'!F183="",'CONTROLE CMM'!F183=""),"",N('CONTROLE EJ'!F183)+N('CONTROLE CMM'!F183))</f>
        <v/>
      </c>
      <c r="AL181" s="223">
        <f>IF(AND('CONTROLE EJ'!G183="",'CONTROLE CMM'!G183=""),"",N('CONTROLE EJ'!G183)+N('CONTROLE CMM'!G183))</f>
        <v/>
      </c>
      <c r="AM181" s="223">
        <f>IF(AND('CONTROLE EJ'!H183="",'CONTROLE CMM'!H183=""),"",N('CONTROLE EJ'!H183)+N('CONTROLE CMM'!H183))</f>
        <v/>
      </c>
      <c r="AN181" s="223">
        <f>IF('CONTROLE GLOBO AÇOS'!G183="","",'CONTROLE GLOBO AÇOS'!G183)</f>
        <v/>
      </c>
      <c r="AO181" s="223">
        <f>IF('CONTROLE GLOBO AÇOS'!H183="","",'CONTROLE GLOBO AÇOS'!H183)</f>
        <v/>
      </c>
      <c r="AP181" s="223">
        <f>IF(AND('CONTROLE EJ'!I183="",'CONTROLE CMM'!I183=""),"",N('CONTROLE EJ'!I183)+N('CONTROLE CMM'!I183))</f>
        <v/>
      </c>
      <c r="AQ181" s="223">
        <f>IF(AND('CONTROLE EJ'!J183="",'CONTROLE CMM'!#REF!=""),"",N('CONTROLE EJ'!J183)+N('CONTROLE CMM'!#REF!))</f>
        <v/>
      </c>
      <c r="AR181" s="223">
        <f>IF('CONTROLE GLOBO AÇOS'!I183="","",'CONTROLE GLOBO AÇOS'!I183)</f>
        <v/>
      </c>
      <c r="AS181" s="223">
        <f>IF('CONTROLE GLOBO AÇOS'!J183="","",'CONTROLE GLOBO AÇOS'!J183)</f>
        <v/>
      </c>
      <c r="AT181" s="223">
        <f>IF(#REF!="","",#REF!)</f>
        <v/>
      </c>
      <c r="AU181" s="223">
        <f>IF('CONTROLE GLOBO AÇOS'!K183="","",'CONTROLE GLOBO AÇOS'!K183)</f>
        <v/>
      </c>
      <c r="AV181" s="223">
        <f>IF(AND('CONTROLE EJ'!K183="",'CONTROLE CMM'!#REF!=""),"",N('CONTROLE EJ'!K183)+N('CONTROLE CMM'!#REF!))</f>
        <v/>
      </c>
      <c r="AW181" s="223">
        <f>IF('CONTROLE GLOBO AÇOS'!L183="","",'CONTROLE GLOBO AÇOS'!L183)</f>
        <v/>
      </c>
      <c r="AX181" s="223">
        <f>IF(AND('CONTROLE EJ'!L183="",'CONTROLE CMM'!#REF!=""),"",N('CONTROLE EJ'!L183)+N('CONTROLE CMM'!#REF!))</f>
        <v/>
      </c>
      <c r="AY181" s="223">
        <f>IF('CONTROLE GLOBO AÇOS'!M183="","",'CONTROLE GLOBO AÇOS'!M183)</f>
        <v/>
      </c>
      <c r="AZ181" s="223">
        <f>IF('CONTROLE GLOBO AÇOS'!N183="","",'CONTROLE GLOBO AÇOS'!N183)</f>
        <v/>
      </c>
      <c r="BA181" s="223">
        <f>IF(AND('CONTROLE EJ'!M183="",'CONTROLE CMM'!#REF!=""),"",N('CONTROLE EJ'!M183)+N('CONTROLE CMM'!#REF!))</f>
        <v/>
      </c>
      <c r="BB181" s="223">
        <f>IF(#REF!="","",#REF!)</f>
        <v/>
      </c>
      <c r="BC181" s="223">
        <f>IF('CONTROLE GLOBO AÇOS'!O183="","",'CONTROLE GLOBO AÇOS'!O183)</f>
        <v/>
      </c>
      <c r="BD181" s="223">
        <f>IF(AND('CONTROLE EJ'!N183="",'CONTROLE CMM'!#REF!=""),"",N('CONTROLE EJ'!N183)+N('CONTROLE CMM'!#REF!))</f>
        <v/>
      </c>
      <c r="BE181" s="223">
        <f>IF('CONTROLE GLOBO AÇOS'!P183="","",'CONTROLE GLOBO AÇOS'!P183)</f>
        <v/>
      </c>
      <c r="BF181" s="223">
        <f>IF('CONTROLE GLOBO AÇOS'!Q183="","",'CONTROLE GLOBO AÇOS'!Q183)</f>
        <v/>
      </c>
      <c r="BG181" s="223">
        <f>IF('CONTROLE GLOBO AÇOS'!R183="","",'CONTROLE GLOBO AÇOS'!R183)</f>
        <v/>
      </c>
      <c r="BH181" s="223">
        <f>IF(AND('CONTROLE EJ'!O183="",'CONTROLE CMM'!#REF!=""),"",N('CONTROLE EJ'!O183)+N('CONTROLE CMM'!#REF!))</f>
        <v/>
      </c>
      <c r="BI181" s="223">
        <f>IF('CONTROLE GLOBO AÇOS'!S183="","",'CONTROLE GLOBO AÇOS'!S183)</f>
        <v/>
      </c>
      <c r="BJ181" s="223">
        <f>IF('CONTROLE GLOBO AÇOS'!T183="","",'CONTROLE GLOBO AÇOS'!T183)</f>
        <v/>
      </c>
      <c r="BK181" s="223">
        <f>IF('CONTROLE GLOBO AÇOS'!U183="","",'CONTROLE GLOBO AÇOS'!U183)</f>
        <v/>
      </c>
      <c r="BL181" s="223">
        <f>IF(AND('CONTROLE EJ'!P183="",'CONTROLE CMM'!#REF!=""),"",N('CONTROLE EJ'!P183)+N('CONTROLE CMM'!#REF!))</f>
        <v/>
      </c>
      <c r="BM181" s="223">
        <f>IF(AND('CONTROLE EJ'!Q183="",'CONTROLE CMM'!#REF!=""),"",N('CONTROLE EJ'!Q183)+N('CONTROLE CMM'!#REF!))</f>
        <v/>
      </c>
      <c r="BN181" s="223">
        <f>IF('CONTROLE GLOBO AÇOS'!V183="","",'CONTROLE GLOBO AÇOS'!V183)</f>
        <v/>
      </c>
      <c r="BO181" s="223">
        <f>IF('CONTROLE GLOBO AÇOS'!W183="","",'CONTROLE GLOBO AÇOS'!W183)</f>
        <v/>
      </c>
      <c r="BP181" s="223">
        <f>IF(AND('CONTROLE EJ'!R183="",'CONTROLE CMM'!#REF!=""),"",N('CONTROLE EJ'!R183)+N('CONTROLE CMM'!#REF!))</f>
        <v/>
      </c>
      <c r="BQ181" s="223">
        <f>IF(#REF!="","",#REF!)</f>
        <v/>
      </c>
      <c r="BR181" s="223">
        <f>IF(AND('CONTROLE EJ'!S183="",'CONTROLE CMM'!#REF!=""),"",N('CONTROLE EJ'!S183)+N('CONTROLE CMM'!#REF!))</f>
        <v/>
      </c>
      <c r="BS181" s="223">
        <f>IF(AND('CONTROLE EJ'!T183="",'CONTROLE CMM'!#REF!=""),"",N('CONTROLE EJ'!T183)+N('CONTROLE CMM'!#REF!))</f>
        <v/>
      </c>
      <c r="BT181" s="223">
        <f>IF('CONTROLE GLOBO AÇOS'!X183="","",'CONTROLE GLOBO AÇOS'!X183)</f>
        <v/>
      </c>
      <c r="BU181" s="223">
        <f>IF('CONTROLE GLOBO AÇOS'!Y183="","",'CONTROLE GLOBO AÇOS'!Y183)</f>
        <v/>
      </c>
      <c r="BV181" s="223">
        <f>IF(AND('CONTROLE EJ'!U183="",'CONTROLE CMM'!#REF!=""),"",N('CONTROLE EJ'!U183)+N('CONTROLE CMM'!#REF!))</f>
        <v/>
      </c>
      <c r="BW181" s="223">
        <f>IF(#REF!="","",#REF!)</f>
        <v/>
      </c>
    </row>
    <row r="182">
      <c r="A182" s="282" t="n">
        <v>46399</v>
      </c>
      <c r="B182" s="18">
        <f>IF('CONTROLE EJ'!B184="","",'CONTROLE EJ'!B184)</f>
        <v/>
      </c>
      <c r="C182" s="18">
        <f>IF('CONTROLE EJ'!C184="","",'CONTROLE EJ'!C184)</f>
        <v/>
      </c>
      <c r="D182" s="42">
        <f>IF('CONTROLE EJ'!D184="","",'CONTROLE EJ'!D184)</f>
        <v/>
      </c>
      <c r="E182" s="43">
        <f>IF('CONTROLE CMM'!B184="","",'CONTROLE CMM'!B184)</f>
        <v/>
      </c>
      <c r="F182" s="18">
        <f>IF('CONTROLE CMM'!C184="","",'CONTROLE CMM'!C184)</f>
        <v/>
      </c>
      <c r="G182" s="26">
        <f>IF('CONTROLE CMM'!D184="","",'CONTROLE CMM'!D184)</f>
        <v/>
      </c>
      <c r="H182" s="43">
        <f>IF('CONTROLE GLOBO AÇOS'!B184="","",'CONTROLE GLOBO AÇOS'!B184)</f>
        <v/>
      </c>
      <c r="I182" s="18">
        <f>IF('CONTROLE GLOBO AÇOS'!C184="","",'CONTROLE GLOBO AÇOS'!C184)</f>
        <v/>
      </c>
      <c r="J182" s="18">
        <f>IF('CONTROLE GLOBO AÇOS'!D184="","",'CONTROLE GLOBO AÇOS'!D184)</f>
        <v/>
      </c>
      <c r="AD182" s="39">
        <f>IF($A182="",0,IF(AND(WEEKDAY($A182,2)&lt;=5,OR($B182&lt;&gt;"",$C182&lt;&gt;"",$D182&lt;&gt;"")),1,0))</f>
        <v/>
      </c>
      <c r="AE182" s="39">
        <f>IF($A182="",0,IF(AND(WEEKDAY($A182,2)&lt;=5,OR($E182&lt;&gt;"",$F182&lt;&gt;"",$G182&lt;&gt;"")),1,0))</f>
        <v/>
      </c>
      <c r="AF182" s="39">
        <f>MAX(AD182,AE182)</f>
        <v/>
      </c>
      <c r="AH182" s="223">
        <f>IF('CONTROLE GLOBO AÇOS'!E184="","",'CONTROLE GLOBO AÇOS'!E184)</f>
        <v/>
      </c>
      <c r="AI182" s="223">
        <f>IF('CONTROLE GLOBO AÇOS'!F184="","",'CONTROLE GLOBO AÇOS'!F184)</f>
        <v/>
      </c>
      <c r="AJ182" s="223">
        <f>IF(AND('CONTROLE EJ'!E184="",'CONTROLE CMM'!E184=""),"",N('CONTROLE EJ'!E184)+N('CONTROLE CMM'!E184))</f>
        <v/>
      </c>
      <c r="AK182" s="223">
        <f>IF(AND('CONTROLE EJ'!F184="",'CONTROLE CMM'!F184=""),"",N('CONTROLE EJ'!F184)+N('CONTROLE CMM'!F184))</f>
        <v/>
      </c>
      <c r="AL182" s="223">
        <f>IF(AND('CONTROLE EJ'!G184="",'CONTROLE CMM'!G184=""),"",N('CONTROLE EJ'!G184)+N('CONTROLE CMM'!G184))</f>
        <v/>
      </c>
      <c r="AM182" s="223">
        <f>IF(AND('CONTROLE EJ'!H184="",'CONTROLE CMM'!H184=""),"",N('CONTROLE EJ'!H184)+N('CONTROLE CMM'!H184))</f>
        <v/>
      </c>
      <c r="AN182" s="223">
        <f>IF('CONTROLE GLOBO AÇOS'!G184="","",'CONTROLE GLOBO AÇOS'!G184)</f>
        <v/>
      </c>
      <c r="AO182" s="223">
        <f>IF('CONTROLE GLOBO AÇOS'!H184="","",'CONTROLE GLOBO AÇOS'!H184)</f>
        <v/>
      </c>
      <c r="AP182" s="223">
        <f>IF(AND('CONTROLE EJ'!I184="",'CONTROLE CMM'!I184=""),"",N('CONTROLE EJ'!I184)+N('CONTROLE CMM'!I184))</f>
        <v/>
      </c>
      <c r="AQ182" s="223">
        <f>IF(AND('CONTROLE EJ'!J184="",'CONTROLE CMM'!#REF!=""),"",N('CONTROLE EJ'!J184)+N('CONTROLE CMM'!#REF!))</f>
        <v/>
      </c>
      <c r="AR182" s="223">
        <f>IF('CONTROLE GLOBO AÇOS'!I184="","",'CONTROLE GLOBO AÇOS'!I184)</f>
        <v/>
      </c>
      <c r="AS182" s="223">
        <f>IF('CONTROLE GLOBO AÇOS'!J184="","",'CONTROLE GLOBO AÇOS'!J184)</f>
        <v/>
      </c>
      <c r="AT182" s="223">
        <f>IF(#REF!="","",#REF!)</f>
        <v/>
      </c>
      <c r="AU182" s="223">
        <f>IF('CONTROLE GLOBO AÇOS'!K184="","",'CONTROLE GLOBO AÇOS'!K184)</f>
        <v/>
      </c>
      <c r="AV182" s="223">
        <f>IF(AND('CONTROLE EJ'!K184="",'CONTROLE CMM'!#REF!=""),"",N('CONTROLE EJ'!K184)+N('CONTROLE CMM'!#REF!))</f>
        <v/>
      </c>
      <c r="AW182" s="223">
        <f>IF('CONTROLE GLOBO AÇOS'!L184="","",'CONTROLE GLOBO AÇOS'!L184)</f>
        <v/>
      </c>
      <c r="AX182" s="223">
        <f>IF(AND('CONTROLE EJ'!L184="",'CONTROLE CMM'!#REF!=""),"",N('CONTROLE EJ'!L184)+N('CONTROLE CMM'!#REF!))</f>
        <v/>
      </c>
      <c r="AY182" s="223">
        <f>IF('CONTROLE GLOBO AÇOS'!M184="","",'CONTROLE GLOBO AÇOS'!M184)</f>
        <v/>
      </c>
      <c r="AZ182" s="223">
        <f>IF('CONTROLE GLOBO AÇOS'!N184="","",'CONTROLE GLOBO AÇOS'!N184)</f>
        <v/>
      </c>
      <c r="BA182" s="223">
        <f>IF(AND('CONTROLE EJ'!M184="",'CONTROLE CMM'!#REF!=""),"",N('CONTROLE EJ'!M184)+N('CONTROLE CMM'!#REF!))</f>
        <v/>
      </c>
      <c r="BB182" s="223">
        <f>IF(#REF!="","",#REF!)</f>
        <v/>
      </c>
      <c r="BC182" s="223">
        <f>IF('CONTROLE GLOBO AÇOS'!O184="","",'CONTROLE GLOBO AÇOS'!O184)</f>
        <v/>
      </c>
      <c r="BD182" s="223">
        <f>IF(AND('CONTROLE EJ'!N184="",'CONTROLE CMM'!#REF!=""),"",N('CONTROLE EJ'!N184)+N('CONTROLE CMM'!#REF!))</f>
        <v/>
      </c>
      <c r="BE182" s="223">
        <f>IF('CONTROLE GLOBO AÇOS'!P184="","",'CONTROLE GLOBO AÇOS'!P184)</f>
        <v/>
      </c>
      <c r="BF182" s="223">
        <f>IF('CONTROLE GLOBO AÇOS'!Q184="","",'CONTROLE GLOBO AÇOS'!Q184)</f>
        <v/>
      </c>
      <c r="BG182" s="223">
        <f>IF('CONTROLE GLOBO AÇOS'!R184="","",'CONTROLE GLOBO AÇOS'!R184)</f>
        <v/>
      </c>
      <c r="BH182" s="223">
        <f>IF(AND('CONTROLE EJ'!O184="",'CONTROLE CMM'!#REF!=""),"",N('CONTROLE EJ'!O184)+N('CONTROLE CMM'!#REF!))</f>
        <v/>
      </c>
      <c r="BI182" s="223">
        <f>IF('CONTROLE GLOBO AÇOS'!S184="","",'CONTROLE GLOBO AÇOS'!S184)</f>
        <v/>
      </c>
      <c r="BJ182" s="223">
        <f>IF('CONTROLE GLOBO AÇOS'!T184="","",'CONTROLE GLOBO AÇOS'!T184)</f>
        <v/>
      </c>
      <c r="BK182" s="223">
        <f>IF('CONTROLE GLOBO AÇOS'!U184="","",'CONTROLE GLOBO AÇOS'!U184)</f>
        <v/>
      </c>
      <c r="BL182" s="223">
        <f>IF(AND('CONTROLE EJ'!P184="",'CONTROLE CMM'!#REF!=""),"",N('CONTROLE EJ'!P184)+N('CONTROLE CMM'!#REF!))</f>
        <v/>
      </c>
      <c r="BM182" s="223">
        <f>IF(AND('CONTROLE EJ'!Q184="",'CONTROLE CMM'!#REF!=""),"",N('CONTROLE EJ'!Q184)+N('CONTROLE CMM'!#REF!))</f>
        <v/>
      </c>
      <c r="BN182" s="223">
        <f>IF('CONTROLE GLOBO AÇOS'!V184="","",'CONTROLE GLOBO AÇOS'!V184)</f>
        <v/>
      </c>
      <c r="BO182" s="223">
        <f>IF('CONTROLE GLOBO AÇOS'!W184="","",'CONTROLE GLOBO AÇOS'!W184)</f>
        <v/>
      </c>
      <c r="BP182" s="223">
        <f>IF(AND('CONTROLE EJ'!R184="",'CONTROLE CMM'!#REF!=""),"",N('CONTROLE EJ'!R184)+N('CONTROLE CMM'!#REF!))</f>
        <v/>
      </c>
      <c r="BQ182" s="223">
        <f>IF(#REF!="","",#REF!)</f>
        <v/>
      </c>
      <c r="BR182" s="223">
        <f>IF(AND('CONTROLE EJ'!S184="",'CONTROLE CMM'!#REF!=""),"",N('CONTROLE EJ'!S184)+N('CONTROLE CMM'!#REF!))</f>
        <v/>
      </c>
      <c r="BS182" s="223">
        <f>IF(AND('CONTROLE EJ'!T184="",'CONTROLE CMM'!#REF!=""),"",N('CONTROLE EJ'!T184)+N('CONTROLE CMM'!#REF!))</f>
        <v/>
      </c>
      <c r="BT182" s="223">
        <f>IF('CONTROLE GLOBO AÇOS'!X184="","",'CONTROLE GLOBO AÇOS'!X184)</f>
        <v/>
      </c>
      <c r="BU182" s="223">
        <f>IF('CONTROLE GLOBO AÇOS'!Y184="","",'CONTROLE GLOBO AÇOS'!Y184)</f>
        <v/>
      </c>
      <c r="BV182" s="223">
        <f>IF(AND('CONTROLE EJ'!U184="",'CONTROLE CMM'!#REF!=""),"",N('CONTROLE EJ'!U184)+N('CONTROLE CMM'!#REF!))</f>
        <v/>
      </c>
      <c r="BW182" s="223">
        <f>IF(#REF!="","",#REF!)</f>
        <v/>
      </c>
    </row>
    <row r="183">
      <c r="A183" s="282" t="n">
        <v>46400</v>
      </c>
      <c r="B183" s="18">
        <f>IF('CONTROLE EJ'!B185="","",'CONTROLE EJ'!B185)</f>
        <v/>
      </c>
      <c r="C183" s="18">
        <f>IF('CONTROLE EJ'!C185="","",'CONTROLE EJ'!C185)</f>
        <v/>
      </c>
      <c r="D183" s="42">
        <f>IF('CONTROLE EJ'!D185="","",'CONTROLE EJ'!D185)</f>
        <v/>
      </c>
      <c r="E183" s="43">
        <f>IF('CONTROLE CMM'!B185="","",'CONTROLE CMM'!B185)</f>
        <v/>
      </c>
      <c r="F183" s="18">
        <f>IF('CONTROLE CMM'!C185="","",'CONTROLE CMM'!C185)</f>
        <v/>
      </c>
      <c r="G183" s="26">
        <f>IF('CONTROLE CMM'!D185="","",'CONTROLE CMM'!D185)</f>
        <v/>
      </c>
      <c r="H183" s="43">
        <f>IF('CONTROLE GLOBO AÇOS'!B185="","",'CONTROLE GLOBO AÇOS'!B185)</f>
        <v/>
      </c>
      <c r="I183" s="18">
        <f>IF('CONTROLE GLOBO AÇOS'!C185="","",'CONTROLE GLOBO AÇOS'!C185)</f>
        <v/>
      </c>
      <c r="J183" s="18">
        <f>IF('CONTROLE GLOBO AÇOS'!D185="","",'CONTROLE GLOBO AÇOS'!D185)</f>
        <v/>
      </c>
      <c r="AD183" s="39">
        <f>IF($A183="",0,IF(AND(WEEKDAY($A183,2)&lt;=5,OR($B183&lt;&gt;"",$C183&lt;&gt;"",$D183&lt;&gt;"")),1,0))</f>
        <v/>
      </c>
      <c r="AE183" s="39">
        <f>IF($A183="",0,IF(AND(WEEKDAY($A183,2)&lt;=5,OR($E183&lt;&gt;"",$F183&lt;&gt;"",$G183&lt;&gt;"")),1,0))</f>
        <v/>
      </c>
      <c r="AF183" s="39">
        <f>MAX(AD183,AE183)</f>
        <v/>
      </c>
      <c r="AH183" s="223">
        <f>IF('CONTROLE GLOBO AÇOS'!E185="","",'CONTROLE GLOBO AÇOS'!E185)</f>
        <v/>
      </c>
      <c r="AI183" s="223">
        <f>IF('CONTROLE GLOBO AÇOS'!F185="","",'CONTROLE GLOBO AÇOS'!F185)</f>
        <v/>
      </c>
      <c r="AJ183" s="223">
        <f>IF(AND('CONTROLE EJ'!E185="",'CONTROLE CMM'!E185=""),"",N('CONTROLE EJ'!E185)+N('CONTROLE CMM'!E185))</f>
        <v/>
      </c>
      <c r="AK183" s="223">
        <f>IF(AND('CONTROLE EJ'!F185="",'CONTROLE CMM'!F185=""),"",N('CONTROLE EJ'!F185)+N('CONTROLE CMM'!F185))</f>
        <v/>
      </c>
      <c r="AL183" s="223">
        <f>IF(AND('CONTROLE EJ'!G185="",'CONTROLE CMM'!G185=""),"",N('CONTROLE EJ'!G185)+N('CONTROLE CMM'!G185))</f>
        <v/>
      </c>
      <c r="AM183" s="223">
        <f>IF(AND('CONTROLE EJ'!H185="",'CONTROLE CMM'!H185=""),"",N('CONTROLE EJ'!H185)+N('CONTROLE CMM'!H185))</f>
        <v/>
      </c>
      <c r="AN183" s="223">
        <f>IF('CONTROLE GLOBO AÇOS'!G185="","",'CONTROLE GLOBO AÇOS'!G185)</f>
        <v/>
      </c>
      <c r="AO183" s="223">
        <f>IF('CONTROLE GLOBO AÇOS'!H185="","",'CONTROLE GLOBO AÇOS'!H185)</f>
        <v/>
      </c>
      <c r="AP183" s="223">
        <f>IF(AND('CONTROLE EJ'!I185="",'CONTROLE CMM'!I185=""),"",N('CONTROLE EJ'!I185)+N('CONTROLE CMM'!I185))</f>
        <v/>
      </c>
      <c r="AQ183" s="223">
        <f>IF(AND('CONTROLE EJ'!J185="",'CONTROLE CMM'!#REF!=""),"",N('CONTROLE EJ'!J185)+N('CONTROLE CMM'!#REF!))</f>
        <v/>
      </c>
      <c r="AR183" s="223">
        <f>IF('CONTROLE GLOBO AÇOS'!I185="","",'CONTROLE GLOBO AÇOS'!I185)</f>
        <v/>
      </c>
      <c r="AS183" s="223">
        <f>IF('CONTROLE GLOBO AÇOS'!J185="","",'CONTROLE GLOBO AÇOS'!J185)</f>
        <v/>
      </c>
      <c r="AT183" s="223">
        <f>IF(#REF!="","",#REF!)</f>
        <v/>
      </c>
      <c r="AU183" s="223">
        <f>IF('CONTROLE GLOBO AÇOS'!K185="","",'CONTROLE GLOBO AÇOS'!K185)</f>
        <v/>
      </c>
      <c r="AV183" s="223">
        <f>IF(AND('CONTROLE EJ'!K185="",'CONTROLE CMM'!#REF!=""),"",N('CONTROLE EJ'!K185)+N('CONTROLE CMM'!#REF!))</f>
        <v/>
      </c>
      <c r="AW183" s="223">
        <f>IF('CONTROLE GLOBO AÇOS'!L185="","",'CONTROLE GLOBO AÇOS'!L185)</f>
        <v/>
      </c>
      <c r="AX183" s="223">
        <f>IF(AND('CONTROLE EJ'!L185="",'CONTROLE CMM'!#REF!=""),"",N('CONTROLE EJ'!L185)+N('CONTROLE CMM'!#REF!))</f>
        <v/>
      </c>
      <c r="AY183" s="223">
        <f>IF('CONTROLE GLOBO AÇOS'!M185="","",'CONTROLE GLOBO AÇOS'!M185)</f>
        <v/>
      </c>
      <c r="AZ183" s="223">
        <f>IF('CONTROLE GLOBO AÇOS'!N185="","",'CONTROLE GLOBO AÇOS'!N185)</f>
        <v/>
      </c>
      <c r="BA183" s="223">
        <f>IF(AND('CONTROLE EJ'!M185="",'CONTROLE CMM'!#REF!=""),"",N('CONTROLE EJ'!M185)+N('CONTROLE CMM'!#REF!))</f>
        <v/>
      </c>
      <c r="BB183" s="223">
        <f>IF(#REF!="","",#REF!)</f>
        <v/>
      </c>
      <c r="BC183" s="223">
        <f>IF('CONTROLE GLOBO AÇOS'!O185="","",'CONTROLE GLOBO AÇOS'!O185)</f>
        <v/>
      </c>
      <c r="BD183" s="223">
        <f>IF(AND('CONTROLE EJ'!N185="",'CONTROLE CMM'!#REF!=""),"",N('CONTROLE EJ'!N185)+N('CONTROLE CMM'!#REF!))</f>
        <v/>
      </c>
      <c r="BE183" s="223">
        <f>IF('CONTROLE GLOBO AÇOS'!P185="","",'CONTROLE GLOBO AÇOS'!P185)</f>
        <v/>
      </c>
      <c r="BF183" s="223">
        <f>IF('CONTROLE GLOBO AÇOS'!Q185="","",'CONTROLE GLOBO AÇOS'!Q185)</f>
        <v/>
      </c>
      <c r="BG183" s="223">
        <f>IF('CONTROLE GLOBO AÇOS'!R185="","",'CONTROLE GLOBO AÇOS'!R185)</f>
        <v/>
      </c>
      <c r="BH183" s="223">
        <f>IF(AND('CONTROLE EJ'!O185="",'CONTROLE CMM'!#REF!=""),"",N('CONTROLE EJ'!O185)+N('CONTROLE CMM'!#REF!))</f>
        <v/>
      </c>
      <c r="BI183" s="223">
        <f>IF('CONTROLE GLOBO AÇOS'!S185="","",'CONTROLE GLOBO AÇOS'!S185)</f>
        <v/>
      </c>
      <c r="BJ183" s="223">
        <f>IF('CONTROLE GLOBO AÇOS'!T185="","",'CONTROLE GLOBO AÇOS'!T185)</f>
        <v/>
      </c>
      <c r="BK183" s="223">
        <f>IF('CONTROLE GLOBO AÇOS'!U185="","",'CONTROLE GLOBO AÇOS'!U185)</f>
        <v/>
      </c>
      <c r="BL183" s="223">
        <f>IF(AND('CONTROLE EJ'!P185="",'CONTROLE CMM'!#REF!=""),"",N('CONTROLE EJ'!P185)+N('CONTROLE CMM'!#REF!))</f>
        <v/>
      </c>
      <c r="BM183" s="223">
        <f>IF(AND('CONTROLE EJ'!Q185="",'CONTROLE CMM'!#REF!=""),"",N('CONTROLE EJ'!Q185)+N('CONTROLE CMM'!#REF!))</f>
        <v/>
      </c>
      <c r="BN183" s="223">
        <f>IF('CONTROLE GLOBO AÇOS'!V185="","",'CONTROLE GLOBO AÇOS'!V185)</f>
        <v/>
      </c>
      <c r="BO183" s="223">
        <f>IF('CONTROLE GLOBO AÇOS'!W185="","",'CONTROLE GLOBO AÇOS'!W185)</f>
        <v/>
      </c>
      <c r="BP183" s="223">
        <f>IF(AND('CONTROLE EJ'!R185="",'CONTROLE CMM'!#REF!=""),"",N('CONTROLE EJ'!R185)+N('CONTROLE CMM'!#REF!))</f>
        <v/>
      </c>
      <c r="BQ183" s="223">
        <f>IF(#REF!="","",#REF!)</f>
        <v/>
      </c>
      <c r="BR183" s="223">
        <f>IF(AND('CONTROLE EJ'!S185="",'CONTROLE CMM'!#REF!=""),"",N('CONTROLE EJ'!S185)+N('CONTROLE CMM'!#REF!))</f>
        <v/>
      </c>
      <c r="BS183" s="223">
        <f>IF(AND('CONTROLE EJ'!T185="",'CONTROLE CMM'!#REF!=""),"",N('CONTROLE EJ'!T185)+N('CONTROLE CMM'!#REF!))</f>
        <v/>
      </c>
      <c r="BT183" s="223">
        <f>IF('CONTROLE GLOBO AÇOS'!X185="","",'CONTROLE GLOBO AÇOS'!X185)</f>
        <v/>
      </c>
      <c r="BU183" s="223">
        <f>IF('CONTROLE GLOBO AÇOS'!Y185="","",'CONTROLE GLOBO AÇOS'!Y185)</f>
        <v/>
      </c>
      <c r="BV183" s="223">
        <f>IF(AND('CONTROLE EJ'!U185="",'CONTROLE CMM'!#REF!=""),"",N('CONTROLE EJ'!U185)+N('CONTROLE CMM'!#REF!))</f>
        <v/>
      </c>
      <c r="BW183" s="223">
        <f>IF(#REF!="","",#REF!)</f>
        <v/>
      </c>
    </row>
    <row r="184">
      <c r="A184" s="282" t="n">
        <v>46401</v>
      </c>
      <c r="B184" s="18">
        <f>IF('CONTROLE EJ'!B186="","",'CONTROLE EJ'!B186)</f>
        <v/>
      </c>
      <c r="C184" s="18">
        <f>IF('CONTROLE EJ'!C186="","",'CONTROLE EJ'!C186)</f>
        <v/>
      </c>
      <c r="D184" s="42">
        <f>IF('CONTROLE EJ'!D186="","",'CONTROLE EJ'!D186)</f>
        <v/>
      </c>
      <c r="E184" s="43">
        <f>IF('CONTROLE CMM'!B186="","",'CONTROLE CMM'!B186)</f>
        <v/>
      </c>
      <c r="F184" s="18">
        <f>IF('CONTROLE CMM'!C186="","",'CONTROLE CMM'!C186)</f>
        <v/>
      </c>
      <c r="G184" s="26">
        <f>IF('CONTROLE CMM'!D186="","",'CONTROLE CMM'!D186)</f>
        <v/>
      </c>
      <c r="H184" s="43">
        <f>IF('CONTROLE GLOBO AÇOS'!B186="","",'CONTROLE GLOBO AÇOS'!B186)</f>
        <v/>
      </c>
      <c r="I184" s="18">
        <f>IF('CONTROLE GLOBO AÇOS'!C186="","",'CONTROLE GLOBO AÇOS'!C186)</f>
        <v/>
      </c>
      <c r="J184" s="18">
        <f>IF('CONTROLE GLOBO AÇOS'!D186="","",'CONTROLE GLOBO AÇOS'!D186)</f>
        <v/>
      </c>
      <c r="AD184" s="39">
        <f>IF($A184="",0,IF(AND(WEEKDAY($A184,2)&lt;=5,OR($B184&lt;&gt;"",$C184&lt;&gt;"",$D184&lt;&gt;"")),1,0))</f>
        <v/>
      </c>
      <c r="AE184" s="39">
        <f>IF($A184="",0,IF(AND(WEEKDAY($A184,2)&lt;=5,OR($E184&lt;&gt;"",$F184&lt;&gt;"",$G184&lt;&gt;"")),1,0))</f>
        <v/>
      </c>
      <c r="AF184" s="39">
        <f>MAX(AD184,AE184)</f>
        <v/>
      </c>
      <c r="AH184" s="223">
        <f>IF('CONTROLE GLOBO AÇOS'!E186="","",'CONTROLE GLOBO AÇOS'!E186)</f>
        <v/>
      </c>
      <c r="AI184" s="223">
        <f>IF('CONTROLE GLOBO AÇOS'!F186="","",'CONTROLE GLOBO AÇOS'!F186)</f>
        <v/>
      </c>
      <c r="AJ184" s="223">
        <f>IF(AND('CONTROLE EJ'!E186="",'CONTROLE CMM'!E186=""),"",N('CONTROLE EJ'!E186)+N('CONTROLE CMM'!E186))</f>
        <v/>
      </c>
      <c r="AK184" s="223">
        <f>IF(AND('CONTROLE EJ'!F186="",'CONTROLE CMM'!F186=""),"",N('CONTROLE EJ'!F186)+N('CONTROLE CMM'!F186))</f>
        <v/>
      </c>
      <c r="AL184" s="223">
        <f>IF(AND('CONTROLE EJ'!G186="",'CONTROLE CMM'!G186=""),"",N('CONTROLE EJ'!G186)+N('CONTROLE CMM'!G186))</f>
        <v/>
      </c>
      <c r="AM184" s="223">
        <f>IF(AND('CONTROLE EJ'!H186="",'CONTROLE CMM'!H186=""),"",N('CONTROLE EJ'!H186)+N('CONTROLE CMM'!H186))</f>
        <v/>
      </c>
      <c r="AN184" s="223">
        <f>IF('CONTROLE GLOBO AÇOS'!G186="","",'CONTROLE GLOBO AÇOS'!G186)</f>
        <v/>
      </c>
      <c r="AO184" s="223">
        <f>IF('CONTROLE GLOBO AÇOS'!H186="","",'CONTROLE GLOBO AÇOS'!H186)</f>
        <v/>
      </c>
      <c r="AP184" s="223">
        <f>IF(AND('CONTROLE EJ'!I186="",'CONTROLE CMM'!I186=""),"",N('CONTROLE EJ'!I186)+N('CONTROLE CMM'!I186))</f>
        <v/>
      </c>
      <c r="AQ184" s="223">
        <f>IF(AND('CONTROLE EJ'!J186="",'CONTROLE CMM'!#REF!=""),"",N('CONTROLE EJ'!J186)+N('CONTROLE CMM'!#REF!))</f>
        <v/>
      </c>
      <c r="AR184" s="223">
        <f>IF('CONTROLE GLOBO AÇOS'!I186="","",'CONTROLE GLOBO AÇOS'!I186)</f>
        <v/>
      </c>
      <c r="AS184" s="223">
        <f>IF('CONTROLE GLOBO AÇOS'!J186="","",'CONTROLE GLOBO AÇOS'!J186)</f>
        <v/>
      </c>
      <c r="AT184" s="223">
        <f>IF(#REF!="","",#REF!)</f>
        <v/>
      </c>
      <c r="AU184" s="223">
        <f>IF('CONTROLE GLOBO AÇOS'!K186="","",'CONTROLE GLOBO AÇOS'!K186)</f>
        <v/>
      </c>
      <c r="AV184" s="223">
        <f>IF(AND('CONTROLE EJ'!K186="",'CONTROLE CMM'!#REF!=""),"",N('CONTROLE EJ'!K186)+N('CONTROLE CMM'!#REF!))</f>
        <v/>
      </c>
      <c r="AW184" s="223">
        <f>IF('CONTROLE GLOBO AÇOS'!L186="","",'CONTROLE GLOBO AÇOS'!L186)</f>
        <v/>
      </c>
      <c r="AX184" s="223">
        <f>IF(AND('CONTROLE EJ'!L186="",'CONTROLE CMM'!#REF!=""),"",N('CONTROLE EJ'!L186)+N('CONTROLE CMM'!#REF!))</f>
        <v/>
      </c>
      <c r="AY184" s="223">
        <f>IF('CONTROLE GLOBO AÇOS'!M186="","",'CONTROLE GLOBO AÇOS'!M186)</f>
        <v/>
      </c>
      <c r="AZ184" s="223">
        <f>IF('CONTROLE GLOBO AÇOS'!N186="","",'CONTROLE GLOBO AÇOS'!N186)</f>
        <v/>
      </c>
      <c r="BA184" s="223">
        <f>IF(AND('CONTROLE EJ'!M186="",'CONTROLE CMM'!#REF!=""),"",N('CONTROLE EJ'!M186)+N('CONTROLE CMM'!#REF!))</f>
        <v/>
      </c>
      <c r="BB184" s="223">
        <f>IF(#REF!="","",#REF!)</f>
        <v/>
      </c>
      <c r="BC184" s="223">
        <f>IF('CONTROLE GLOBO AÇOS'!O186="","",'CONTROLE GLOBO AÇOS'!O186)</f>
        <v/>
      </c>
      <c r="BD184" s="223">
        <f>IF(AND('CONTROLE EJ'!N186="",'CONTROLE CMM'!#REF!=""),"",N('CONTROLE EJ'!N186)+N('CONTROLE CMM'!#REF!))</f>
        <v/>
      </c>
      <c r="BE184" s="223">
        <f>IF('CONTROLE GLOBO AÇOS'!P186="","",'CONTROLE GLOBO AÇOS'!P186)</f>
        <v/>
      </c>
      <c r="BF184" s="223">
        <f>IF('CONTROLE GLOBO AÇOS'!Q186="","",'CONTROLE GLOBO AÇOS'!Q186)</f>
        <v/>
      </c>
      <c r="BG184" s="223">
        <f>IF('CONTROLE GLOBO AÇOS'!R186="","",'CONTROLE GLOBO AÇOS'!R186)</f>
        <v/>
      </c>
      <c r="BH184" s="223">
        <f>IF(AND('CONTROLE EJ'!O186="",'CONTROLE CMM'!#REF!=""),"",N('CONTROLE EJ'!O186)+N('CONTROLE CMM'!#REF!))</f>
        <v/>
      </c>
      <c r="BI184" s="223">
        <f>IF('CONTROLE GLOBO AÇOS'!S186="","",'CONTROLE GLOBO AÇOS'!S186)</f>
        <v/>
      </c>
      <c r="BJ184" s="223">
        <f>IF('CONTROLE GLOBO AÇOS'!T186="","",'CONTROLE GLOBO AÇOS'!T186)</f>
        <v/>
      </c>
      <c r="BK184" s="223">
        <f>IF('CONTROLE GLOBO AÇOS'!U186="","",'CONTROLE GLOBO AÇOS'!U186)</f>
        <v/>
      </c>
      <c r="BL184" s="223">
        <f>IF(AND('CONTROLE EJ'!P186="",'CONTROLE CMM'!#REF!=""),"",N('CONTROLE EJ'!P186)+N('CONTROLE CMM'!#REF!))</f>
        <v/>
      </c>
      <c r="BM184" s="223">
        <f>IF(AND('CONTROLE EJ'!Q186="",'CONTROLE CMM'!#REF!=""),"",N('CONTROLE EJ'!Q186)+N('CONTROLE CMM'!#REF!))</f>
        <v/>
      </c>
      <c r="BN184" s="223">
        <f>IF('CONTROLE GLOBO AÇOS'!V186="","",'CONTROLE GLOBO AÇOS'!V186)</f>
        <v/>
      </c>
      <c r="BO184" s="223">
        <f>IF('CONTROLE GLOBO AÇOS'!W186="","",'CONTROLE GLOBO AÇOS'!W186)</f>
        <v/>
      </c>
      <c r="BP184" s="223">
        <f>IF(AND('CONTROLE EJ'!R186="",'CONTROLE CMM'!#REF!=""),"",N('CONTROLE EJ'!R186)+N('CONTROLE CMM'!#REF!))</f>
        <v/>
      </c>
      <c r="BQ184" s="223">
        <f>IF(#REF!="","",#REF!)</f>
        <v/>
      </c>
      <c r="BR184" s="223">
        <f>IF(AND('CONTROLE EJ'!S186="",'CONTROLE CMM'!#REF!=""),"",N('CONTROLE EJ'!S186)+N('CONTROLE CMM'!#REF!))</f>
        <v/>
      </c>
      <c r="BS184" s="223">
        <f>IF(AND('CONTROLE EJ'!T186="",'CONTROLE CMM'!#REF!=""),"",N('CONTROLE EJ'!T186)+N('CONTROLE CMM'!#REF!))</f>
        <v/>
      </c>
      <c r="BT184" s="223">
        <f>IF('CONTROLE GLOBO AÇOS'!X186="","",'CONTROLE GLOBO AÇOS'!X186)</f>
        <v/>
      </c>
      <c r="BU184" s="223">
        <f>IF('CONTROLE GLOBO AÇOS'!Y186="","",'CONTROLE GLOBO AÇOS'!Y186)</f>
        <v/>
      </c>
      <c r="BV184" s="223">
        <f>IF(AND('CONTROLE EJ'!U186="",'CONTROLE CMM'!#REF!=""),"",N('CONTROLE EJ'!U186)+N('CONTROLE CMM'!#REF!))</f>
        <v/>
      </c>
      <c r="BW184" s="223">
        <f>IF(#REF!="","",#REF!)</f>
        <v/>
      </c>
    </row>
    <row r="185">
      <c r="A185" s="282" t="n">
        <v>46402</v>
      </c>
      <c r="B185" s="18">
        <f>IF('CONTROLE EJ'!B187="","",'CONTROLE EJ'!B187)</f>
        <v/>
      </c>
      <c r="C185" s="18">
        <f>IF('CONTROLE EJ'!C187="","",'CONTROLE EJ'!C187)</f>
        <v/>
      </c>
      <c r="D185" s="42">
        <f>IF('CONTROLE EJ'!D187="","",'CONTROLE EJ'!D187)</f>
        <v/>
      </c>
      <c r="E185" s="43">
        <f>IF('CONTROLE CMM'!B187="","",'CONTROLE CMM'!B187)</f>
        <v/>
      </c>
      <c r="F185" s="18">
        <f>IF('CONTROLE CMM'!C187="","",'CONTROLE CMM'!C187)</f>
        <v/>
      </c>
      <c r="G185" s="26">
        <f>IF('CONTROLE CMM'!D187="","",'CONTROLE CMM'!D187)</f>
        <v/>
      </c>
      <c r="H185" s="43">
        <f>IF('CONTROLE GLOBO AÇOS'!B187="","",'CONTROLE GLOBO AÇOS'!B187)</f>
        <v/>
      </c>
      <c r="I185" s="18">
        <f>IF('CONTROLE GLOBO AÇOS'!C187="","",'CONTROLE GLOBO AÇOS'!C187)</f>
        <v/>
      </c>
      <c r="J185" s="18">
        <f>IF('CONTROLE GLOBO AÇOS'!D187="","",'CONTROLE GLOBO AÇOS'!D187)</f>
        <v/>
      </c>
      <c r="AD185" s="39">
        <f>IF($A185="",0,IF(AND(WEEKDAY($A185,2)&lt;=5,OR($B185&lt;&gt;"",$C185&lt;&gt;"",$D185&lt;&gt;"")),1,0))</f>
        <v/>
      </c>
      <c r="AE185" s="39">
        <f>IF($A185="",0,IF(AND(WEEKDAY($A185,2)&lt;=5,OR($E185&lt;&gt;"",$F185&lt;&gt;"",$G185&lt;&gt;"")),1,0))</f>
        <v/>
      </c>
      <c r="AF185" s="39">
        <f>MAX(AD185,AE185)</f>
        <v/>
      </c>
      <c r="AH185" s="223">
        <f>IF('CONTROLE GLOBO AÇOS'!E187="","",'CONTROLE GLOBO AÇOS'!E187)</f>
        <v/>
      </c>
      <c r="AI185" s="223">
        <f>IF('CONTROLE GLOBO AÇOS'!F187="","",'CONTROLE GLOBO AÇOS'!F187)</f>
        <v/>
      </c>
      <c r="AJ185" s="223">
        <f>IF(AND('CONTROLE EJ'!E187="",'CONTROLE CMM'!E187=""),"",N('CONTROLE EJ'!E187)+N('CONTROLE CMM'!E187))</f>
        <v/>
      </c>
      <c r="AK185" s="223">
        <f>IF(AND('CONTROLE EJ'!F187="",'CONTROLE CMM'!F187=""),"",N('CONTROLE EJ'!F187)+N('CONTROLE CMM'!F187))</f>
        <v/>
      </c>
      <c r="AL185" s="223">
        <f>IF(AND('CONTROLE EJ'!G187="",'CONTROLE CMM'!G187=""),"",N('CONTROLE EJ'!G187)+N('CONTROLE CMM'!G187))</f>
        <v/>
      </c>
      <c r="AM185" s="223">
        <f>IF(AND('CONTROLE EJ'!H187="",'CONTROLE CMM'!H187=""),"",N('CONTROLE EJ'!H187)+N('CONTROLE CMM'!H187))</f>
        <v/>
      </c>
      <c r="AN185" s="223">
        <f>IF('CONTROLE GLOBO AÇOS'!G187="","",'CONTROLE GLOBO AÇOS'!G187)</f>
        <v/>
      </c>
      <c r="AO185" s="223">
        <f>IF('CONTROLE GLOBO AÇOS'!H187="","",'CONTROLE GLOBO AÇOS'!H187)</f>
        <v/>
      </c>
      <c r="AP185" s="223">
        <f>IF(AND('CONTROLE EJ'!I187="",'CONTROLE CMM'!I187=""),"",N('CONTROLE EJ'!I187)+N('CONTROLE CMM'!I187))</f>
        <v/>
      </c>
      <c r="AQ185" s="223">
        <f>IF(AND('CONTROLE EJ'!J187="",'CONTROLE CMM'!#REF!=""),"",N('CONTROLE EJ'!J187)+N('CONTROLE CMM'!#REF!))</f>
        <v/>
      </c>
      <c r="AR185" s="223">
        <f>IF('CONTROLE GLOBO AÇOS'!I187="","",'CONTROLE GLOBO AÇOS'!I187)</f>
        <v/>
      </c>
      <c r="AS185" s="223">
        <f>IF('CONTROLE GLOBO AÇOS'!J187="","",'CONTROLE GLOBO AÇOS'!J187)</f>
        <v/>
      </c>
      <c r="AT185" s="223">
        <f>IF(#REF!="","",#REF!)</f>
        <v/>
      </c>
      <c r="AU185" s="223">
        <f>IF('CONTROLE GLOBO AÇOS'!K187="","",'CONTROLE GLOBO AÇOS'!K187)</f>
        <v/>
      </c>
      <c r="AV185" s="223">
        <f>IF(AND('CONTROLE EJ'!K187="",'CONTROLE CMM'!#REF!=""),"",N('CONTROLE EJ'!K187)+N('CONTROLE CMM'!#REF!))</f>
        <v/>
      </c>
      <c r="AW185" s="223">
        <f>IF('CONTROLE GLOBO AÇOS'!L187="","",'CONTROLE GLOBO AÇOS'!L187)</f>
        <v/>
      </c>
      <c r="AX185" s="223">
        <f>IF(AND('CONTROLE EJ'!L187="",'CONTROLE CMM'!#REF!=""),"",N('CONTROLE EJ'!L187)+N('CONTROLE CMM'!#REF!))</f>
        <v/>
      </c>
      <c r="AY185" s="223">
        <f>IF('CONTROLE GLOBO AÇOS'!M187="","",'CONTROLE GLOBO AÇOS'!M187)</f>
        <v/>
      </c>
      <c r="AZ185" s="223">
        <f>IF('CONTROLE GLOBO AÇOS'!N187="","",'CONTROLE GLOBO AÇOS'!N187)</f>
        <v/>
      </c>
      <c r="BA185" s="223">
        <f>IF(AND('CONTROLE EJ'!M187="",'CONTROLE CMM'!#REF!=""),"",N('CONTROLE EJ'!M187)+N('CONTROLE CMM'!#REF!))</f>
        <v/>
      </c>
      <c r="BB185" s="223">
        <f>IF(#REF!="","",#REF!)</f>
        <v/>
      </c>
      <c r="BC185" s="223">
        <f>IF('CONTROLE GLOBO AÇOS'!O187="","",'CONTROLE GLOBO AÇOS'!O187)</f>
        <v/>
      </c>
      <c r="BD185" s="223">
        <f>IF(AND('CONTROLE EJ'!N187="",'CONTROLE CMM'!#REF!=""),"",N('CONTROLE EJ'!N187)+N('CONTROLE CMM'!#REF!))</f>
        <v/>
      </c>
      <c r="BE185" s="223">
        <f>IF('CONTROLE GLOBO AÇOS'!P187="","",'CONTROLE GLOBO AÇOS'!P187)</f>
        <v/>
      </c>
      <c r="BF185" s="223">
        <f>IF('CONTROLE GLOBO AÇOS'!Q187="","",'CONTROLE GLOBO AÇOS'!Q187)</f>
        <v/>
      </c>
      <c r="BG185" s="223">
        <f>IF('CONTROLE GLOBO AÇOS'!R187="","",'CONTROLE GLOBO AÇOS'!R187)</f>
        <v/>
      </c>
      <c r="BH185" s="223">
        <f>IF(AND('CONTROLE EJ'!O187="",'CONTROLE CMM'!#REF!=""),"",N('CONTROLE EJ'!O187)+N('CONTROLE CMM'!#REF!))</f>
        <v/>
      </c>
      <c r="BI185" s="223">
        <f>IF('CONTROLE GLOBO AÇOS'!S187="","",'CONTROLE GLOBO AÇOS'!S187)</f>
        <v/>
      </c>
      <c r="BJ185" s="223">
        <f>IF('CONTROLE GLOBO AÇOS'!T187="","",'CONTROLE GLOBO AÇOS'!T187)</f>
        <v/>
      </c>
      <c r="BK185" s="223">
        <f>IF('CONTROLE GLOBO AÇOS'!U187="","",'CONTROLE GLOBO AÇOS'!U187)</f>
        <v/>
      </c>
      <c r="BL185" s="223">
        <f>IF(AND('CONTROLE EJ'!P187="",'CONTROLE CMM'!#REF!=""),"",N('CONTROLE EJ'!P187)+N('CONTROLE CMM'!#REF!))</f>
        <v/>
      </c>
      <c r="BM185" s="223">
        <f>IF(AND('CONTROLE EJ'!Q187="",'CONTROLE CMM'!#REF!=""),"",N('CONTROLE EJ'!Q187)+N('CONTROLE CMM'!#REF!))</f>
        <v/>
      </c>
      <c r="BN185" s="223">
        <f>IF('CONTROLE GLOBO AÇOS'!V187="","",'CONTROLE GLOBO AÇOS'!V187)</f>
        <v/>
      </c>
      <c r="BO185" s="223">
        <f>IF('CONTROLE GLOBO AÇOS'!W187="","",'CONTROLE GLOBO AÇOS'!W187)</f>
        <v/>
      </c>
      <c r="BP185" s="223">
        <f>IF(AND('CONTROLE EJ'!R187="",'CONTROLE CMM'!#REF!=""),"",N('CONTROLE EJ'!R187)+N('CONTROLE CMM'!#REF!))</f>
        <v/>
      </c>
      <c r="BQ185" s="223">
        <f>IF(#REF!="","",#REF!)</f>
        <v/>
      </c>
      <c r="BR185" s="223">
        <f>IF(AND('CONTROLE EJ'!S187="",'CONTROLE CMM'!#REF!=""),"",N('CONTROLE EJ'!S187)+N('CONTROLE CMM'!#REF!))</f>
        <v/>
      </c>
      <c r="BS185" s="223">
        <f>IF(AND('CONTROLE EJ'!T187="",'CONTROLE CMM'!#REF!=""),"",N('CONTROLE EJ'!T187)+N('CONTROLE CMM'!#REF!))</f>
        <v/>
      </c>
      <c r="BT185" s="223">
        <f>IF('CONTROLE GLOBO AÇOS'!X187="","",'CONTROLE GLOBO AÇOS'!X187)</f>
        <v/>
      </c>
      <c r="BU185" s="223">
        <f>IF('CONTROLE GLOBO AÇOS'!Y187="","",'CONTROLE GLOBO AÇOS'!Y187)</f>
        <v/>
      </c>
      <c r="BV185" s="223">
        <f>IF(AND('CONTROLE EJ'!U187="",'CONTROLE CMM'!#REF!=""),"",N('CONTROLE EJ'!U187)+N('CONTROLE CMM'!#REF!))</f>
        <v/>
      </c>
      <c r="BW185" s="223">
        <f>IF(#REF!="","",#REF!)</f>
        <v/>
      </c>
    </row>
    <row r="186">
      <c r="A186" s="282" t="n">
        <v>46403</v>
      </c>
      <c r="B186" s="18">
        <f>IF('CONTROLE EJ'!B188="","",'CONTROLE EJ'!B188)</f>
        <v/>
      </c>
      <c r="C186" s="18">
        <f>IF('CONTROLE EJ'!C188="","",'CONTROLE EJ'!C188)</f>
        <v/>
      </c>
      <c r="D186" s="42">
        <f>IF('CONTROLE EJ'!D188="","",'CONTROLE EJ'!D188)</f>
        <v/>
      </c>
      <c r="E186" s="43">
        <f>IF('CONTROLE CMM'!B188="","",'CONTROLE CMM'!B188)</f>
        <v/>
      </c>
      <c r="F186" s="18">
        <f>IF('CONTROLE CMM'!C188="","",'CONTROLE CMM'!C188)</f>
        <v/>
      </c>
      <c r="G186" s="26">
        <f>IF('CONTROLE CMM'!D188="","",'CONTROLE CMM'!D188)</f>
        <v/>
      </c>
      <c r="H186" s="43">
        <f>IF('CONTROLE GLOBO AÇOS'!B188="","",'CONTROLE GLOBO AÇOS'!B188)</f>
        <v/>
      </c>
      <c r="I186" s="18">
        <f>IF('CONTROLE GLOBO AÇOS'!C188="","",'CONTROLE GLOBO AÇOS'!C188)</f>
        <v/>
      </c>
      <c r="J186" s="18">
        <f>IF('CONTROLE GLOBO AÇOS'!D188="","",'CONTROLE GLOBO AÇOS'!D188)</f>
        <v/>
      </c>
      <c r="AD186" s="39">
        <f>IF($A186="",0,IF(AND(WEEKDAY($A186,2)&lt;=5,OR($B186&lt;&gt;"",$C186&lt;&gt;"",$D186&lt;&gt;"")),1,0))</f>
        <v/>
      </c>
      <c r="AE186" s="39">
        <f>IF($A186="",0,IF(AND(WEEKDAY($A186,2)&lt;=5,OR($E186&lt;&gt;"",$F186&lt;&gt;"",$G186&lt;&gt;"")),1,0))</f>
        <v/>
      </c>
      <c r="AF186" s="39">
        <f>MAX(AD186,AE186)</f>
        <v/>
      </c>
      <c r="AH186" s="223">
        <f>IF('CONTROLE GLOBO AÇOS'!E188="","",'CONTROLE GLOBO AÇOS'!E188)</f>
        <v/>
      </c>
      <c r="AI186" s="223">
        <f>IF('CONTROLE GLOBO AÇOS'!F188="","",'CONTROLE GLOBO AÇOS'!F188)</f>
        <v/>
      </c>
      <c r="AJ186" s="223">
        <f>IF(AND('CONTROLE EJ'!E188="",'CONTROLE CMM'!E188=""),"",N('CONTROLE EJ'!E188)+N('CONTROLE CMM'!E188))</f>
        <v/>
      </c>
      <c r="AK186" s="223">
        <f>IF(AND('CONTROLE EJ'!F188="",'CONTROLE CMM'!F188=""),"",N('CONTROLE EJ'!F188)+N('CONTROLE CMM'!F188))</f>
        <v/>
      </c>
      <c r="AL186" s="223">
        <f>IF(AND('CONTROLE EJ'!G188="",'CONTROLE CMM'!G188=""),"",N('CONTROLE EJ'!G188)+N('CONTROLE CMM'!G188))</f>
        <v/>
      </c>
      <c r="AM186" s="223">
        <f>IF(AND('CONTROLE EJ'!H188="",'CONTROLE CMM'!H188=""),"",N('CONTROLE EJ'!H188)+N('CONTROLE CMM'!H188))</f>
        <v/>
      </c>
      <c r="AN186" s="223">
        <f>IF('CONTROLE GLOBO AÇOS'!G188="","",'CONTROLE GLOBO AÇOS'!G188)</f>
        <v/>
      </c>
      <c r="AO186" s="223">
        <f>IF('CONTROLE GLOBO AÇOS'!H188="","",'CONTROLE GLOBO AÇOS'!H188)</f>
        <v/>
      </c>
      <c r="AP186" s="223">
        <f>IF(AND('CONTROLE EJ'!I188="",'CONTROLE CMM'!I188=""),"",N('CONTROLE EJ'!I188)+N('CONTROLE CMM'!I188))</f>
        <v/>
      </c>
      <c r="AQ186" s="223">
        <f>IF(AND('CONTROLE EJ'!J188="",'CONTROLE CMM'!#REF!=""),"",N('CONTROLE EJ'!J188)+N('CONTROLE CMM'!#REF!))</f>
        <v/>
      </c>
      <c r="AR186" s="223">
        <f>IF('CONTROLE GLOBO AÇOS'!I188="","",'CONTROLE GLOBO AÇOS'!I188)</f>
        <v/>
      </c>
      <c r="AS186" s="223">
        <f>IF('CONTROLE GLOBO AÇOS'!J188="","",'CONTROLE GLOBO AÇOS'!J188)</f>
        <v/>
      </c>
      <c r="AT186" s="223">
        <f>IF(#REF!="","",#REF!)</f>
        <v/>
      </c>
      <c r="AU186" s="223">
        <f>IF('CONTROLE GLOBO AÇOS'!K188="","",'CONTROLE GLOBO AÇOS'!K188)</f>
        <v/>
      </c>
      <c r="AV186" s="223">
        <f>IF(AND('CONTROLE EJ'!K188="",'CONTROLE CMM'!#REF!=""),"",N('CONTROLE EJ'!K188)+N('CONTROLE CMM'!#REF!))</f>
        <v/>
      </c>
      <c r="AW186" s="223">
        <f>IF('CONTROLE GLOBO AÇOS'!L188="","",'CONTROLE GLOBO AÇOS'!L188)</f>
        <v/>
      </c>
      <c r="AX186" s="223">
        <f>IF(AND('CONTROLE EJ'!L188="",'CONTROLE CMM'!#REF!=""),"",N('CONTROLE EJ'!L188)+N('CONTROLE CMM'!#REF!))</f>
        <v/>
      </c>
      <c r="AY186" s="223">
        <f>IF('CONTROLE GLOBO AÇOS'!M188="","",'CONTROLE GLOBO AÇOS'!M188)</f>
        <v/>
      </c>
      <c r="AZ186" s="223">
        <f>IF('CONTROLE GLOBO AÇOS'!N188="","",'CONTROLE GLOBO AÇOS'!N188)</f>
        <v/>
      </c>
      <c r="BA186" s="223">
        <f>IF(AND('CONTROLE EJ'!M188="",'CONTROLE CMM'!#REF!=""),"",N('CONTROLE EJ'!M188)+N('CONTROLE CMM'!#REF!))</f>
        <v/>
      </c>
      <c r="BB186" s="223">
        <f>IF(#REF!="","",#REF!)</f>
        <v/>
      </c>
      <c r="BC186" s="223">
        <f>IF('CONTROLE GLOBO AÇOS'!O188="","",'CONTROLE GLOBO AÇOS'!O188)</f>
        <v/>
      </c>
      <c r="BD186" s="223">
        <f>IF(AND('CONTROLE EJ'!N188="",'CONTROLE CMM'!#REF!=""),"",N('CONTROLE EJ'!N188)+N('CONTROLE CMM'!#REF!))</f>
        <v/>
      </c>
      <c r="BE186" s="223">
        <f>IF('CONTROLE GLOBO AÇOS'!P188="","",'CONTROLE GLOBO AÇOS'!P188)</f>
        <v/>
      </c>
      <c r="BF186" s="223">
        <f>IF('CONTROLE GLOBO AÇOS'!Q188="","",'CONTROLE GLOBO AÇOS'!Q188)</f>
        <v/>
      </c>
      <c r="BG186" s="223">
        <f>IF('CONTROLE GLOBO AÇOS'!R188="","",'CONTROLE GLOBO AÇOS'!R188)</f>
        <v/>
      </c>
      <c r="BH186" s="223">
        <f>IF(AND('CONTROLE EJ'!O188="",'CONTROLE CMM'!#REF!=""),"",N('CONTROLE EJ'!O188)+N('CONTROLE CMM'!#REF!))</f>
        <v/>
      </c>
      <c r="BI186" s="223">
        <f>IF('CONTROLE GLOBO AÇOS'!S188="","",'CONTROLE GLOBO AÇOS'!S188)</f>
        <v/>
      </c>
      <c r="BJ186" s="223">
        <f>IF('CONTROLE GLOBO AÇOS'!T188="","",'CONTROLE GLOBO AÇOS'!T188)</f>
        <v/>
      </c>
      <c r="BK186" s="223">
        <f>IF('CONTROLE GLOBO AÇOS'!U188="","",'CONTROLE GLOBO AÇOS'!U188)</f>
        <v/>
      </c>
      <c r="BL186" s="223">
        <f>IF(AND('CONTROLE EJ'!P188="",'CONTROLE CMM'!#REF!=""),"",N('CONTROLE EJ'!P188)+N('CONTROLE CMM'!#REF!))</f>
        <v/>
      </c>
      <c r="BM186" s="223">
        <f>IF(AND('CONTROLE EJ'!Q188="",'CONTROLE CMM'!#REF!=""),"",N('CONTROLE EJ'!Q188)+N('CONTROLE CMM'!#REF!))</f>
        <v/>
      </c>
      <c r="BN186" s="223">
        <f>IF('CONTROLE GLOBO AÇOS'!V188="","",'CONTROLE GLOBO AÇOS'!V188)</f>
        <v/>
      </c>
      <c r="BO186" s="223">
        <f>IF('CONTROLE GLOBO AÇOS'!W188="","",'CONTROLE GLOBO AÇOS'!W188)</f>
        <v/>
      </c>
      <c r="BP186" s="223">
        <f>IF(AND('CONTROLE EJ'!R188="",'CONTROLE CMM'!#REF!=""),"",N('CONTROLE EJ'!R188)+N('CONTROLE CMM'!#REF!))</f>
        <v/>
      </c>
      <c r="BQ186" s="223">
        <f>IF(#REF!="","",#REF!)</f>
        <v/>
      </c>
      <c r="BR186" s="223">
        <f>IF(AND('CONTROLE EJ'!S188="",'CONTROLE CMM'!#REF!=""),"",N('CONTROLE EJ'!S188)+N('CONTROLE CMM'!#REF!))</f>
        <v/>
      </c>
      <c r="BS186" s="223">
        <f>IF(AND('CONTROLE EJ'!T188="",'CONTROLE CMM'!#REF!=""),"",N('CONTROLE EJ'!T188)+N('CONTROLE CMM'!#REF!))</f>
        <v/>
      </c>
      <c r="BT186" s="223">
        <f>IF('CONTROLE GLOBO AÇOS'!X188="","",'CONTROLE GLOBO AÇOS'!X188)</f>
        <v/>
      </c>
      <c r="BU186" s="223">
        <f>IF('CONTROLE GLOBO AÇOS'!Y188="","",'CONTROLE GLOBO AÇOS'!Y188)</f>
        <v/>
      </c>
      <c r="BV186" s="223">
        <f>IF(AND('CONTROLE EJ'!U188="",'CONTROLE CMM'!#REF!=""),"",N('CONTROLE EJ'!U188)+N('CONTROLE CMM'!#REF!))</f>
        <v/>
      </c>
      <c r="BW186" s="223">
        <f>IF(#REF!="","",#REF!)</f>
        <v/>
      </c>
    </row>
    <row r="187">
      <c r="A187" s="282" t="n">
        <v>46404</v>
      </c>
      <c r="B187" s="18">
        <f>IF('CONTROLE EJ'!B189="","",'CONTROLE EJ'!B189)</f>
        <v/>
      </c>
      <c r="C187" s="18">
        <f>IF('CONTROLE EJ'!C189="","",'CONTROLE EJ'!C189)</f>
        <v/>
      </c>
      <c r="D187" s="42">
        <f>IF('CONTROLE EJ'!D189="","",'CONTROLE EJ'!D189)</f>
        <v/>
      </c>
      <c r="E187" s="43">
        <f>IF('CONTROLE CMM'!B189="","",'CONTROLE CMM'!B189)</f>
        <v/>
      </c>
      <c r="F187" s="18">
        <f>IF('CONTROLE CMM'!C189="","",'CONTROLE CMM'!C189)</f>
        <v/>
      </c>
      <c r="G187" s="26">
        <f>IF('CONTROLE CMM'!D189="","",'CONTROLE CMM'!D189)</f>
        <v/>
      </c>
      <c r="H187" s="43">
        <f>IF('CONTROLE GLOBO AÇOS'!B189="","",'CONTROLE GLOBO AÇOS'!B189)</f>
        <v/>
      </c>
      <c r="I187" s="18">
        <f>IF('CONTROLE GLOBO AÇOS'!C189="","",'CONTROLE GLOBO AÇOS'!C189)</f>
        <v/>
      </c>
      <c r="J187" s="18">
        <f>IF('CONTROLE GLOBO AÇOS'!D189="","",'CONTROLE GLOBO AÇOS'!D189)</f>
        <v/>
      </c>
      <c r="AD187" s="39">
        <f>IF($A187="",0,IF(AND(WEEKDAY($A187,2)&lt;=5,OR($B187&lt;&gt;"",$C187&lt;&gt;"",$D187&lt;&gt;"")),1,0))</f>
        <v/>
      </c>
      <c r="AE187" s="39">
        <f>IF($A187="",0,IF(AND(WEEKDAY($A187,2)&lt;=5,OR($E187&lt;&gt;"",$F187&lt;&gt;"",$G187&lt;&gt;"")),1,0))</f>
        <v/>
      </c>
      <c r="AF187" s="39">
        <f>MAX(AD187,AE187)</f>
        <v/>
      </c>
      <c r="AH187" s="223">
        <f>IF('CONTROLE GLOBO AÇOS'!E189="","",'CONTROLE GLOBO AÇOS'!E189)</f>
        <v/>
      </c>
      <c r="AI187" s="223">
        <f>IF('CONTROLE GLOBO AÇOS'!F189="","",'CONTROLE GLOBO AÇOS'!F189)</f>
        <v/>
      </c>
      <c r="AJ187" s="223">
        <f>IF(AND('CONTROLE EJ'!E189="",'CONTROLE CMM'!E189=""),"",N('CONTROLE EJ'!E189)+N('CONTROLE CMM'!E189))</f>
        <v/>
      </c>
      <c r="AK187" s="223">
        <f>IF(AND('CONTROLE EJ'!F189="",'CONTROLE CMM'!F189=""),"",N('CONTROLE EJ'!F189)+N('CONTROLE CMM'!F189))</f>
        <v/>
      </c>
      <c r="AL187" s="223">
        <f>IF(AND('CONTROLE EJ'!G189="",'CONTROLE CMM'!G189=""),"",N('CONTROLE EJ'!G189)+N('CONTROLE CMM'!G189))</f>
        <v/>
      </c>
      <c r="AM187" s="223">
        <f>IF(AND('CONTROLE EJ'!H189="",'CONTROLE CMM'!H189=""),"",N('CONTROLE EJ'!H189)+N('CONTROLE CMM'!H189))</f>
        <v/>
      </c>
      <c r="AN187" s="223">
        <f>IF('CONTROLE GLOBO AÇOS'!G189="","",'CONTROLE GLOBO AÇOS'!G189)</f>
        <v/>
      </c>
      <c r="AO187" s="223">
        <f>IF('CONTROLE GLOBO AÇOS'!H189="","",'CONTROLE GLOBO AÇOS'!H189)</f>
        <v/>
      </c>
      <c r="AP187" s="223">
        <f>IF(AND('CONTROLE EJ'!I189="",'CONTROLE CMM'!I189=""),"",N('CONTROLE EJ'!I189)+N('CONTROLE CMM'!I189))</f>
        <v/>
      </c>
      <c r="AQ187" s="223">
        <f>IF(AND('CONTROLE EJ'!J189="",'CONTROLE CMM'!#REF!=""),"",N('CONTROLE EJ'!J189)+N('CONTROLE CMM'!#REF!))</f>
        <v/>
      </c>
      <c r="AR187" s="223">
        <f>IF('CONTROLE GLOBO AÇOS'!I189="","",'CONTROLE GLOBO AÇOS'!I189)</f>
        <v/>
      </c>
      <c r="AS187" s="223">
        <f>IF('CONTROLE GLOBO AÇOS'!J189="","",'CONTROLE GLOBO AÇOS'!J189)</f>
        <v/>
      </c>
      <c r="AT187" s="223">
        <f>IF(#REF!="","",#REF!)</f>
        <v/>
      </c>
      <c r="AU187" s="223">
        <f>IF('CONTROLE GLOBO AÇOS'!K189="","",'CONTROLE GLOBO AÇOS'!K189)</f>
        <v/>
      </c>
      <c r="AV187" s="223">
        <f>IF(AND('CONTROLE EJ'!K189="",'CONTROLE CMM'!#REF!=""),"",N('CONTROLE EJ'!K189)+N('CONTROLE CMM'!#REF!))</f>
        <v/>
      </c>
      <c r="AW187" s="223">
        <f>IF('CONTROLE GLOBO AÇOS'!L189="","",'CONTROLE GLOBO AÇOS'!L189)</f>
        <v/>
      </c>
      <c r="AX187" s="223">
        <f>IF(AND('CONTROLE EJ'!L189="",'CONTROLE CMM'!#REF!=""),"",N('CONTROLE EJ'!L189)+N('CONTROLE CMM'!#REF!))</f>
        <v/>
      </c>
      <c r="AY187" s="223">
        <f>IF('CONTROLE GLOBO AÇOS'!M189="","",'CONTROLE GLOBO AÇOS'!M189)</f>
        <v/>
      </c>
      <c r="AZ187" s="223">
        <f>IF('CONTROLE GLOBO AÇOS'!N189="","",'CONTROLE GLOBO AÇOS'!N189)</f>
        <v/>
      </c>
      <c r="BA187" s="223">
        <f>IF(AND('CONTROLE EJ'!M189="",'CONTROLE CMM'!#REF!=""),"",N('CONTROLE EJ'!M189)+N('CONTROLE CMM'!#REF!))</f>
        <v/>
      </c>
      <c r="BB187" s="223">
        <f>IF(#REF!="","",#REF!)</f>
        <v/>
      </c>
      <c r="BC187" s="223">
        <f>IF('CONTROLE GLOBO AÇOS'!O189="","",'CONTROLE GLOBO AÇOS'!O189)</f>
        <v/>
      </c>
      <c r="BD187" s="223">
        <f>IF(AND('CONTROLE EJ'!N189="",'CONTROLE CMM'!#REF!=""),"",N('CONTROLE EJ'!N189)+N('CONTROLE CMM'!#REF!))</f>
        <v/>
      </c>
      <c r="BE187" s="223">
        <f>IF('CONTROLE GLOBO AÇOS'!P189="","",'CONTROLE GLOBO AÇOS'!P189)</f>
        <v/>
      </c>
      <c r="BF187" s="223">
        <f>IF('CONTROLE GLOBO AÇOS'!Q189="","",'CONTROLE GLOBO AÇOS'!Q189)</f>
        <v/>
      </c>
      <c r="BG187" s="223">
        <f>IF('CONTROLE GLOBO AÇOS'!R189="","",'CONTROLE GLOBO AÇOS'!R189)</f>
        <v/>
      </c>
      <c r="BH187" s="223">
        <f>IF(AND('CONTROLE EJ'!O189="",'CONTROLE CMM'!#REF!=""),"",N('CONTROLE EJ'!O189)+N('CONTROLE CMM'!#REF!))</f>
        <v/>
      </c>
      <c r="BI187" s="223">
        <f>IF('CONTROLE GLOBO AÇOS'!S189="","",'CONTROLE GLOBO AÇOS'!S189)</f>
        <v/>
      </c>
      <c r="BJ187" s="223">
        <f>IF('CONTROLE GLOBO AÇOS'!T189="","",'CONTROLE GLOBO AÇOS'!T189)</f>
        <v/>
      </c>
      <c r="BK187" s="223">
        <f>IF('CONTROLE GLOBO AÇOS'!U189="","",'CONTROLE GLOBO AÇOS'!U189)</f>
        <v/>
      </c>
      <c r="BL187" s="223">
        <f>IF(AND('CONTROLE EJ'!P189="",'CONTROLE CMM'!#REF!=""),"",N('CONTROLE EJ'!P189)+N('CONTROLE CMM'!#REF!))</f>
        <v/>
      </c>
      <c r="BM187" s="223">
        <f>IF(AND('CONTROLE EJ'!Q189="",'CONTROLE CMM'!#REF!=""),"",N('CONTROLE EJ'!Q189)+N('CONTROLE CMM'!#REF!))</f>
        <v/>
      </c>
      <c r="BN187" s="223">
        <f>IF('CONTROLE GLOBO AÇOS'!V189="","",'CONTROLE GLOBO AÇOS'!V189)</f>
        <v/>
      </c>
      <c r="BO187" s="223">
        <f>IF('CONTROLE GLOBO AÇOS'!W189="","",'CONTROLE GLOBO AÇOS'!W189)</f>
        <v/>
      </c>
      <c r="BP187" s="223">
        <f>IF(AND('CONTROLE EJ'!R189="",'CONTROLE CMM'!#REF!=""),"",N('CONTROLE EJ'!R189)+N('CONTROLE CMM'!#REF!))</f>
        <v/>
      </c>
      <c r="BQ187" s="223">
        <f>IF(#REF!="","",#REF!)</f>
        <v/>
      </c>
      <c r="BR187" s="223">
        <f>IF(AND('CONTROLE EJ'!S189="",'CONTROLE CMM'!#REF!=""),"",N('CONTROLE EJ'!S189)+N('CONTROLE CMM'!#REF!))</f>
        <v/>
      </c>
      <c r="BS187" s="223">
        <f>IF(AND('CONTROLE EJ'!T189="",'CONTROLE CMM'!#REF!=""),"",N('CONTROLE EJ'!T189)+N('CONTROLE CMM'!#REF!))</f>
        <v/>
      </c>
      <c r="BT187" s="223">
        <f>IF('CONTROLE GLOBO AÇOS'!X189="","",'CONTROLE GLOBO AÇOS'!X189)</f>
        <v/>
      </c>
      <c r="BU187" s="223">
        <f>IF('CONTROLE GLOBO AÇOS'!Y189="","",'CONTROLE GLOBO AÇOS'!Y189)</f>
        <v/>
      </c>
      <c r="BV187" s="223">
        <f>IF(AND('CONTROLE EJ'!U189="",'CONTROLE CMM'!#REF!=""),"",N('CONTROLE EJ'!U189)+N('CONTROLE CMM'!#REF!))</f>
        <v/>
      </c>
      <c r="BW187" s="223">
        <f>IF(#REF!="","",#REF!)</f>
        <v/>
      </c>
    </row>
    <row r="188">
      <c r="A188" s="282" t="n">
        <v>46405</v>
      </c>
      <c r="B188" s="18">
        <f>IF('CONTROLE EJ'!B190="","",'CONTROLE EJ'!B190)</f>
        <v/>
      </c>
      <c r="C188" s="18">
        <f>IF('CONTROLE EJ'!C190="","",'CONTROLE EJ'!C190)</f>
        <v/>
      </c>
      <c r="D188" s="42">
        <f>IF('CONTROLE EJ'!D190="","",'CONTROLE EJ'!D190)</f>
        <v/>
      </c>
      <c r="E188" s="43">
        <f>IF('CONTROLE CMM'!B190="","",'CONTROLE CMM'!B190)</f>
        <v/>
      </c>
      <c r="F188" s="18">
        <f>IF('CONTROLE CMM'!C190="","",'CONTROLE CMM'!C190)</f>
        <v/>
      </c>
      <c r="G188" s="26">
        <f>IF('CONTROLE CMM'!D190="","",'CONTROLE CMM'!D190)</f>
        <v/>
      </c>
      <c r="H188" s="43">
        <f>IF('CONTROLE GLOBO AÇOS'!B190="","",'CONTROLE GLOBO AÇOS'!B190)</f>
        <v/>
      </c>
      <c r="I188" s="18">
        <f>IF('CONTROLE GLOBO AÇOS'!C190="","",'CONTROLE GLOBO AÇOS'!C190)</f>
        <v/>
      </c>
      <c r="J188" s="18">
        <f>IF('CONTROLE GLOBO AÇOS'!D190="","",'CONTROLE GLOBO AÇOS'!D190)</f>
        <v/>
      </c>
      <c r="AD188" s="39">
        <f>IF($A188="",0,IF(AND(WEEKDAY($A188,2)&lt;=5,OR($B188&lt;&gt;"",$C188&lt;&gt;"",$D188&lt;&gt;"")),1,0))</f>
        <v/>
      </c>
      <c r="AE188" s="39">
        <f>IF($A188="",0,IF(AND(WEEKDAY($A188,2)&lt;=5,OR($E188&lt;&gt;"",$F188&lt;&gt;"",$G188&lt;&gt;"")),1,0))</f>
        <v/>
      </c>
      <c r="AF188" s="39">
        <f>MAX(AD188,AE188)</f>
        <v/>
      </c>
      <c r="AH188" s="223">
        <f>IF('CONTROLE GLOBO AÇOS'!E190="","",'CONTROLE GLOBO AÇOS'!E190)</f>
        <v/>
      </c>
      <c r="AI188" s="223">
        <f>IF('CONTROLE GLOBO AÇOS'!F190="","",'CONTROLE GLOBO AÇOS'!F190)</f>
        <v/>
      </c>
      <c r="AJ188" s="223">
        <f>IF(AND('CONTROLE EJ'!E190="",'CONTROLE CMM'!E190=""),"",N('CONTROLE EJ'!E190)+N('CONTROLE CMM'!E190))</f>
        <v/>
      </c>
      <c r="AK188" s="223">
        <f>IF(AND('CONTROLE EJ'!F190="",'CONTROLE CMM'!F190=""),"",N('CONTROLE EJ'!F190)+N('CONTROLE CMM'!F190))</f>
        <v/>
      </c>
      <c r="AL188" s="223">
        <f>IF(AND('CONTROLE EJ'!G190="",'CONTROLE CMM'!G190=""),"",N('CONTROLE EJ'!G190)+N('CONTROLE CMM'!G190))</f>
        <v/>
      </c>
      <c r="AM188" s="223">
        <f>IF(AND('CONTROLE EJ'!H190="",'CONTROLE CMM'!H190=""),"",N('CONTROLE EJ'!H190)+N('CONTROLE CMM'!H190))</f>
        <v/>
      </c>
      <c r="AN188" s="223">
        <f>IF('CONTROLE GLOBO AÇOS'!G190="","",'CONTROLE GLOBO AÇOS'!G190)</f>
        <v/>
      </c>
      <c r="AO188" s="223">
        <f>IF('CONTROLE GLOBO AÇOS'!H190="","",'CONTROLE GLOBO AÇOS'!H190)</f>
        <v/>
      </c>
      <c r="AP188" s="223">
        <f>IF(AND('CONTROLE EJ'!I190="",'CONTROLE CMM'!I190=""),"",N('CONTROLE EJ'!I190)+N('CONTROLE CMM'!I190))</f>
        <v/>
      </c>
      <c r="AQ188" s="223">
        <f>IF(AND('CONTROLE EJ'!J190="",'CONTROLE CMM'!#REF!=""),"",N('CONTROLE EJ'!J190)+N('CONTROLE CMM'!#REF!))</f>
        <v/>
      </c>
      <c r="AR188" s="223">
        <f>IF('CONTROLE GLOBO AÇOS'!I190="","",'CONTROLE GLOBO AÇOS'!I190)</f>
        <v/>
      </c>
      <c r="AS188" s="223">
        <f>IF('CONTROLE GLOBO AÇOS'!J190="","",'CONTROLE GLOBO AÇOS'!J190)</f>
        <v/>
      </c>
      <c r="AT188" s="223">
        <f>IF(#REF!="","",#REF!)</f>
        <v/>
      </c>
      <c r="AU188" s="223">
        <f>IF('CONTROLE GLOBO AÇOS'!K190="","",'CONTROLE GLOBO AÇOS'!K190)</f>
        <v/>
      </c>
      <c r="AV188" s="223">
        <f>IF(AND('CONTROLE EJ'!K190="",'CONTROLE CMM'!#REF!=""),"",N('CONTROLE EJ'!K190)+N('CONTROLE CMM'!#REF!))</f>
        <v/>
      </c>
      <c r="AW188" s="223">
        <f>IF('CONTROLE GLOBO AÇOS'!L190="","",'CONTROLE GLOBO AÇOS'!L190)</f>
        <v/>
      </c>
      <c r="AX188" s="223">
        <f>IF(AND('CONTROLE EJ'!L190="",'CONTROLE CMM'!#REF!=""),"",N('CONTROLE EJ'!L190)+N('CONTROLE CMM'!#REF!))</f>
        <v/>
      </c>
      <c r="AY188" s="223">
        <f>IF('CONTROLE GLOBO AÇOS'!M190="","",'CONTROLE GLOBO AÇOS'!M190)</f>
        <v/>
      </c>
      <c r="AZ188" s="223">
        <f>IF('CONTROLE GLOBO AÇOS'!N190="","",'CONTROLE GLOBO AÇOS'!N190)</f>
        <v/>
      </c>
      <c r="BA188" s="223">
        <f>IF(AND('CONTROLE EJ'!M190="",'CONTROLE CMM'!#REF!=""),"",N('CONTROLE EJ'!M190)+N('CONTROLE CMM'!#REF!))</f>
        <v/>
      </c>
      <c r="BB188" s="223">
        <f>IF(#REF!="","",#REF!)</f>
        <v/>
      </c>
      <c r="BC188" s="223">
        <f>IF('CONTROLE GLOBO AÇOS'!O190="","",'CONTROLE GLOBO AÇOS'!O190)</f>
        <v/>
      </c>
      <c r="BD188" s="223">
        <f>IF(AND('CONTROLE EJ'!N190="",'CONTROLE CMM'!#REF!=""),"",N('CONTROLE EJ'!N190)+N('CONTROLE CMM'!#REF!))</f>
        <v/>
      </c>
      <c r="BE188" s="223">
        <f>IF('CONTROLE GLOBO AÇOS'!P190="","",'CONTROLE GLOBO AÇOS'!P190)</f>
        <v/>
      </c>
      <c r="BF188" s="223">
        <f>IF('CONTROLE GLOBO AÇOS'!Q190="","",'CONTROLE GLOBO AÇOS'!Q190)</f>
        <v/>
      </c>
      <c r="BG188" s="223">
        <f>IF('CONTROLE GLOBO AÇOS'!R190="","",'CONTROLE GLOBO AÇOS'!R190)</f>
        <v/>
      </c>
      <c r="BH188" s="223">
        <f>IF(AND('CONTROLE EJ'!O190="",'CONTROLE CMM'!#REF!=""),"",N('CONTROLE EJ'!O190)+N('CONTROLE CMM'!#REF!))</f>
        <v/>
      </c>
      <c r="BI188" s="223">
        <f>IF('CONTROLE GLOBO AÇOS'!S190="","",'CONTROLE GLOBO AÇOS'!S190)</f>
        <v/>
      </c>
      <c r="BJ188" s="223">
        <f>IF('CONTROLE GLOBO AÇOS'!T190="","",'CONTROLE GLOBO AÇOS'!T190)</f>
        <v/>
      </c>
      <c r="BK188" s="223">
        <f>IF('CONTROLE GLOBO AÇOS'!U190="","",'CONTROLE GLOBO AÇOS'!U190)</f>
        <v/>
      </c>
      <c r="BL188" s="223">
        <f>IF(AND('CONTROLE EJ'!P190="",'CONTROLE CMM'!#REF!=""),"",N('CONTROLE EJ'!P190)+N('CONTROLE CMM'!#REF!))</f>
        <v/>
      </c>
      <c r="BM188" s="223">
        <f>IF(AND('CONTROLE EJ'!Q190="",'CONTROLE CMM'!#REF!=""),"",N('CONTROLE EJ'!Q190)+N('CONTROLE CMM'!#REF!))</f>
        <v/>
      </c>
      <c r="BN188" s="223">
        <f>IF('CONTROLE GLOBO AÇOS'!V190="","",'CONTROLE GLOBO AÇOS'!V190)</f>
        <v/>
      </c>
      <c r="BO188" s="223">
        <f>IF('CONTROLE GLOBO AÇOS'!W190="","",'CONTROLE GLOBO AÇOS'!W190)</f>
        <v/>
      </c>
      <c r="BP188" s="223">
        <f>IF(AND('CONTROLE EJ'!R190="",'CONTROLE CMM'!#REF!=""),"",N('CONTROLE EJ'!R190)+N('CONTROLE CMM'!#REF!))</f>
        <v/>
      </c>
      <c r="BQ188" s="223">
        <f>IF(#REF!="","",#REF!)</f>
        <v/>
      </c>
      <c r="BR188" s="223">
        <f>IF(AND('CONTROLE EJ'!S190="",'CONTROLE CMM'!#REF!=""),"",N('CONTROLE EJ'!S190)+N('CONTROLE CMM'!#REF!))</f>
        <v/>
      </c>
      <c r="BS188" s="223">
        <f>IF(AND('CONTROLE EJ'!T190="",'CONTROLE CMM'!#REF!=""),"",N('CONTROLE EJ'!T190)+N('CONTROLE CMM'!#REF!))</f>
        <v/>
      </c>
      <c r="BT188" s="223">
        <f>IF('CONTROLE GLOBO AÇOS'!X190="","",'CONTROLE GLOBO AÇOS'!X190)</f>
        <v/>
      </c>
      <c r="BU188" s="223">
        <f>IF('CONTROLE GLOBO AÇOS'!Y190="","",'CONTROLE GLOBO AÇOS'!Y190)</f>
        <v/>
      </c>
      <c r="BV188" s="223">
        <f>IF(AND('CONTROLE EJ'!U190="",'CONTROLE CMM'!#REF!=""),"",N('CONTROLE EJ'!U190)+N('CONTROLE CMM'!#REF!))</f>
        <v/>
      </c>
      <c r="BW188" s="223">
        <f>IF(#REF!="","",#REF!)</f>
        <v/>
      </c>
    </row>
    <row r="189">
      <c r="A189" s="282" t="n">
        <v>46406</v>
      </c>
      <c r="B189" s="18">
        <f>IF('CONTROLE EJ'!B191="","",'CONTROLE EJ'!B191)</f>
        <v/>
      </c>
      <c r="C189" s="18">
        <f>IF('CONTROLE EJ'!C191="","",'CONTROLE EJ'!C191)</f>
        <v/>
      </c>
      <c r="D189" s="42">
        <f>IF('CONTROLE EJ'!D191="","",'CONTROLE EJ'!D191)</f>
        <v/>
      </c>
      <c r="E189" s="43">
        <f>IF('CONTROLE CMM'!B191="","",'CONTROLE CMM'!B191)</f>
        <v/>
      </c>
      <c r="F189" s="18">
        <f>IF('CONTROLE CMM'!C191="","",'CONTROLE CMM'!C191)</f>
        <v/>
      </c>
      <c r="G189" s="26">
        <f>IF('CONTROLE CMM'!D191="","",'CONTROLE CMM'!D191)</f>
        <v/>
      </c>
      <c r="H189" s="43">
        <f>IF('CONTROLE GLOBO AÇOS'!B191="","",'CONTROLE GLOBO AÇOS'!B191)</f>
        <v/>
      </c>
      <c r="I189" s="18">
        <f>IF('CONTROLE GLOBO AÇOS'!C191="","",'CONTROLE GLOBO AÇOS'!C191)</f>
        <v/>
      </c>
      <c r="J189" s="18">
        <f>IF('CONTROLE GLOBO AÇOS'!D191="","",'CONTROLE GLOBO AÇOS'!D191)</f>
        <v/>
      </c>
      <c r="AD189" s="39">
        <f>IF($A189="",0,IF(AND(WEEKDAY($A189,2)&lt;=5,OR($B189&lt;&gt;"",$C189&lt;&gt;"",$D189&lt;&gt;"")),1,0))</f>
        <v/>
      </c>
      <c r="AE189" s="39">
        <f>IF($A189="",0,IF(AND(WEEKDAY($A189,2)&lt;=5,OR($E189&lt;&gt;"",$F189&lt;&gt;"",$G189&lt;&gt;"")),1,0))</f>
        <v/>
      </c>
      <c r="AF189" s="39">
        <f>MAX(AD189,AE189)</f>
        <v/>
      </c>
      <c r="AH189" s="223">
        <f>IF('CONTROLE GLOBO AÇOS'!E191="","",'CONTROLE GLOBO AÇOS'!E191)</f>
        <v/>
      </c>
      <c r="AI189" s="223">
        <f>IF('CONTROLE GLOBO AÇOS'!F191="","",'CONTROLE GLOBO AÇOS'!F191)</f>
        <v/>
      </c>
      <c r="AJ189" s="223">
        <f>IF(AND('CONTROLE EJ'!E191="",'CONTROLE CMM'!E191=""),"",N('CONTROLE EJ'!E191)+N('CONTROLE CMM'!E191))</f>
        <v/>
      </c>
      <c r="AK189" s="223">
        <f>IF(AND('CONTROLE EJ'!F191="",'CONTROLE CMM'!F191=""),"",N('CONTROLE EJ'!F191)+N('CONTROLE CMM'!F191))</f>
        <v/>
      </c>
      <c r="AL189" s="223">
        <f>IF(AND('CONTROLE EJ'!G191="",'CONTROLE CMM'!G191=""),"",N('CONTROLE EJ'!G191)+N('CONTROLE CMM'!G191))</f>
        <v/>
      </c>
      <c r="AM189" s="223">
        <f>IF(AND('CONTROLE EJ'!H191="",'CONTROLE CMM'!H191=""),"",N('CONTROLE EJ'!H191)+N('CONTROLE CMM'!H191))</f>
        <v/>
      </c>
      <c r="AN189" s="223">
        <f>IF('CONTROLE GLOBO AÇOS'!G191="","",'CONTROLE GLOBO AÇOS'!G191)</f>
        <v/>
      </c>
      <c r="AO189" s="223">
        <f>IF('CONTROLE GLOBO AÇOS'!H191="","",'CONTROLE GLOBO AÇOS'!H191)</f>
        <v/>
      </c>
      <c r="AP189" s="223">
        <f>IF(AND('CONTROLE EJ'!I191="",'CONTROLE CMM'!I191=""),"",N('CONTROLE EJ'!I191)+N('CONTROLE CMM'!I191))</f>
        <v/>
      </c>
      <c r="AQ189" s="223">
        <f>IF(AND('CONTROLE EJ'!J191="",'CONTROLE CMM'!#REF!=""),"",N('CONTROLE EJ'!J191)+N('CONTROLE CMM'!#REF!))</f>
        <v/>
      </c>
      <c r="AR189" s="223">
        <f>IF('CONTROLE GLOBO AÇOS'!I191="","",'CONTROLE GLOBO AÇOS'!I191)</f>
        <v/>
      </c>
      <c r="AS189" s="223">
        <f>IF('CONTROLE GLOBO AÇOS'!J191="","",'CONTROLE GLOBO AÇOS'!J191)</f>
        <v/>
      </c>
      <c r="AT189" s="223">
        <f>IF(#REF!="","",#REF!)</f>
        <v/>
      </c>
      <c r="AU189" s="223">
        <f>IF('CONTROLE GLOBO AÇOS'!K191="","",'CONTROLE GLOBO AÇOS'!K191)</f>
        <v/>
      </c>
      <c r="AV189" s="223">
        <f>IF(AND('CONTROLE EJ'!K191="",'CONTROLE CMM'!#REF!=""),"",N('CONTROLE EJ'!K191)+N('CONTROLE CMM'!#REF!))</f>
        <v/>
      </c>
      <c r="AW189" s="223">
        <f>IF('CONTROLE GLOBO AÇOS'!L191="","",'CONTROLE GLOBO AÇOS'!L191)</f>
        <v/>
      </c>
      <c r="AX189" s="223">
        <f>IF(AND('CONTROLE EJ'!L191="",'CONTROLE CMM'!#REF!=""),"",N('CONTROLE EJ'!L191)+N('CONTROLE CMM'!#REF!))</f>
        <v/>
      </c>
      <c r="AY189" s="223">
        <f>IF('CONTROLE GLOBO AÇOS'!M191="","",'CONTROLE GLOBO AÇOS'!M191)</f>
        <v/>
      </c>
      <c r="AZ189" s="223">
        <f>IF('CONTROLE GLOBO AÇOS'!N191="","",'CONTROLE GLOBO AÇOS'!N191)</f>
        <v/>
      </c>
      <c r="BA189" s="223">
        <f>IF(AND('CONTROLE EJ'!M191="",'CONTROLE CMM'!#REF!=""),"",N('CONTROLE EJ'!M191)+N('CONTROLE CMM'!#REF!))</f>
        <v/>
      </c>
      <c r="BB189" s="223">
        <f>IF(#REF!="","",#REF!)</f>
        <v/>
      </c>
      <c r="BC189" s="223">
        <f>IF('CONTROLE GLOBO AÇOS'!O191="","",'CONTROLE GLOBO AÇOS'!O191)</f>
        <v/>
      </c>
      <c r="BD189" s="223">
        <f>IF(AND('CONTROLE EJ'!N191="",'CONTROLE CMM'!#REF!=""),"",N('CONTROLE EJ'!N191)+N('CONTROLE CMM'!#REF!))</f>
        <v/>
      </c>
      <c r="BE189" s="223">
        <f>IF('CONTROLE GLOBO AÇOS'!P191="","",'CONTROLE GLOBO AÇOS'!P191)</f>
        <v/>
      </c>
      <c r="BF189" s="223">
        <f>IF('CONTROLE GLOBO AÇOS'!Q191="","",'CONTROLE GLOBO AÇOS'!Q191)</f>
        <v/>
      </c>
      <c r="BG189" s="223">
        <f>IF('CONTROLE GLOBO AÇOS'!R191="","",'CONTROLE GLOBO AÇOS'!R191)</f>
        <v/>
      </c>
      <c r="BH189" s="223">
        <f>IF(AND('CONTROLE EJ'!O191="",'CONTROLE CMM'!#REF!=""),"",N('CONTROLE EJ'!O191)+N('CONTROLE CMM'!#REF!))</f>
        <v/>
      </c>
      <c r="BI189" s="223">
        <f>IF('CONTROLE GLOBO AÇOS'!S191="","",'CONTROLE GLOBO AÇOS'!S191)</f>
        <v/>
      </c>
      <c r="BJ189" s="223">
        <f>IF('CONTROLE GLOBO AÇOS'!T191="","",'CONTROLE GLOBO AÇOS'!T191)</f>
        <v/>
      </c>
      <c r="BK189" s="223">
        <f>IF('CONTROLE GLOBO AÇOS'!U191="","",'CONTROLE GLOBO AÇOS'!U191)</f>
        <v/>
      </c>
      <c r="BL189" s="223">
        <f>IF(AND('CONTROLE EJ'!P191="",'CONTROLE CMM'!#REF!=""),"",N('CONTROLE EJ'!P191)+N('CONTROLE CMM'!#REF!))</f>
        <v/>
      </c>
      <c r="BM189" s="223">
        <f>IF(AND('CONTROLE EJ'!Q191="",'CONTROLE CMM'!#REF!=""),"",N('CONTROLE EJ'!Q191)+N('CONTROLE CMM'!#REF!))</f>
        <v/>
      </c>
      <c r="BN189" s="223">
        <f>IF('CONTROLE GLOBO AÇOS'!V191="","",'CONTROLE GLOBO AÇOS'!V191)</f>
        <v/>
      </c>
      <c r="BO189" s="223">
        <f>IF('CONTROLE GLOBO AÇOS'!W191="","",'CONTROLE GLOBO AÇOS'!W191)</f>
        <v/>
      </c>
      <c r="BP189" s="223">
        <f>IF(AND('CONTROLE EJ'!R191="",'CONTROLE CMM'!#REF!=""),"",N('CONTROLE EJ'!R191)+N('CONTROLE CMM'!#REF!))</f>
        <v/>
      </c>
      <c r="BQ189" s="223">
        <f>IF(#REF!="","",#REF!)</f>
        <v/>
      </c>
      <c r="BR189" s="223">
        <f>IF(AND('CONTROLE EJ'!S191="",'CONTROLE CMM'!#REF!=""),"",N('CONTROLE EJ'!S191)+N('CONTROLE CMM'!#REF!))</f>
        <v/>
      </c>
      <c r="BS189" s="223">
        <f>IF(AND('CONTROLE EJ'!T191="",'CONTROLE CMM'!#REF!=""),"",N('CONTROLE EJ'!T191)+N('CONTROLE CMM'!#REF!))</f>
        <v/>
      </c>
      <c r="BT189" s="223">
        <f>IF('CONTROLE GLOBO AÇOS'!X191="","",'CONTROLE GLOBO AÇOS'!X191)</f>
        <v/>
      </c>
      <c r="BU189" s="223">
        <f>IF('CONTROLE GLOBO AÇOS'!Y191="","",'CONTROLE GLOBO AÇOS'!Y191)</f>
        <v/>
      </c>
      <c r="BV189" s="223">
        <f>IF(AND('CONTROLE EJ'!U191="",'CONTROLE CMM'!#REF!=""),"",N('CONTROLE EJ'!U191)+N('CONTROLE CMM'!#REF!))</f>
        <v/>
      </c>
      <c r="BW189" s="223">
        <f>IF(#REF!="","",#REF!)</f>
        <v/>
      </c>
    </row>
    <row r="190">
      <c r="A190" s="282" t="n">
        <v>46407</v>
      </c>
      <c r="B190" s="18">
        <f>IF('CONTROLE EJ'!B192="","",'CONTROLE EJ'!B192)</f>
        <v/>
      </c>
      <c r="C190" s="18">
        <f>IF('CONTROLE EJ'!C192="","",'CONTROLE EJ'!C192)</f>
        <v/>
      </c>
      <c r="D190" s="42">
        <f>IF('CONTROLE EJ'!D192="","",'CONTROLE EJ'!D192)</f>
        <v/>
      </c>
      <c r="E190" s="43">
        <f>IF('CONTROLE CMM'!B192="","",'CONTROLE CMM'!B192)</f>
        <v/>
      </c>
      <c r="F190" s="18">
        <f>IF('CONTROLE CMM'!C192="","",'CONTROLE CMM'!C192)</f>
        <v/>
      </c>
      <c r="G190" s="26">
        <f>IF('CONTROLE CMM'!D192="","",'CONTROLE CMM'!D192)</f>
        <v/>
      </c>
      <c r="H190" s="43">
        <f>IF('CONTROLE GLOBO AÇOS'!B192="","",'CONTROLE GLOBO AÇOS'!B192)</f>
        <v/>
      </c>
      <c r="I190" s="18">
        <f>IF('CONTROLE GLOBO AÇOS'!C192="","",'CONTROLE GLOBO AÇOS'!C192)</f>
        <v/>
      </c>
      <c r="J190" s="18">
        <f>IF('CONTROLE GLOBO AÇOS'!D192="","",'CONTROLE GLOBO AÇOS'!D192)</f>
        <v/>
      </c>
      <c r="AD190" s="39">
        <f>IF($A190="",0,IF(AND(WEEKDAY($A190,2)&lt;=5,OR($B190&lt;&gt;"",$C190&lt;&gt;"",$D190&lt;&gt;"")),1,0))</f>
        <v/>
      </c>
      <c r="AE190" s="39">
        <f>IF($A190="",0,IF(AND(WEEKDAY($A190,2)&lt;=5,OR($E190&lt;&gt;"",$F190&lt;&gt;"",$G190&lt;&gt;"")),1,0))</f>
        <v/>
      </c>
      <c r="AF190" s="39">
        <f>MAX(AD190,AE190)</f>
        <v/>
      </c>
      <c r="AH190" s="223">
        <f>IF('CONTROLE GLOBO AÇOS'!E192="","",'CONTROLE GLOBO AÇOS'!E192)</f>
        <v/>
      </c>
      <c r="AI190" s="223">
        <f>IF('CONTROLE GLOBO AÇOS'!F192="","",'CONTROLE GLOBO AÇOS'!F192)</f>
        <v/>
      </c>
      <c r="AJ190" s="223">
        <f>IF(AND('CONTROLE EJ'!E192="",'CONTROLE CMM'!E192=""),"",N('CONTROLE EJ'!E192)+N('CONTROLE CMM'!E192))</f>
        <v/>
      </c>
      <c r="AK190" s="223">
        <f>IF(AND('CONTROLE EJ'!F192="",'CONTROLE CMM'!F192=""),"",N('CONTROLE EJ'!F192)+N('CONTROLE CMM'!F192))</f>
        <v/>
      </c>
      <c r="AL190" s="223">
        <f>IF(AND('CONTROLE EJ'!G192="",'CONTROLE CMM'!G192=""),"",N('CONTROLE EJ'!G192)+N('CONTROLE CMM'!G192))</f>
        <v/>
      </c>
      <c r="AM190" s="223">
        <f>IF(AND('CONTROLE EJ'!H192="",'CONTROLE CMM'!H192=""),"",N('CONTROLE EJ'!H192)+N('CONTROLE CMM'!H192))</f>
        <v/>
      </c>
      <c r="AN190" s="223">
        <f>IF('CONTROLE GLOBO AÇOS'!G192="","",'CONTROLE GLOBO AÇOS'!G192)</f>
        <v/>
      </c>
      <c r="AO190" s="223">
        <f>IF('CONTROLE GLOBO AÇOS'!H192="","",'CONTROLE GLOBO AÇOS'!H192)</f>
        <v/>
      </c>
      <c r="AP190" s="223">
        <f>IF(AND('CONTROLE EJ'!I192="",'CONTROLE CMM'!I192=""),"",N('CONTROLE EJ'!I192)+N('CONTROLE CMM'!I192))</f>
        <v/>
      </c>
      <c r="AQ190" s="223">
        <f>IF(AND('CONTROLE EJ'!J192="",'CONTROLE CMM'!#REF!=""),"",N('CONTROLE EJ'!J192)+N('CONTROLE CMM'!#REF!))</f>
        <v/>
      </c>
      <c r="AR190" s="223">
        <f>IF('CONTROLE GLOBO AÇOS'!I192="","",'CONTROLE GLOBO AÇOS'!I192)</f>
        <v/>
      </c>
      <c r="AS190" s="223">
        <f>IF('CONTROLE GLOBO AÇOS'!J192="","",'CONTROLE GLOBO AÇOS'!J192)</f>
        <v/>
      </c>
      <c r="AT190" s="223">
        <f>IF(#REF!="","",#REF!)</f>
        <v/>
      </c>
      <c r="AU190" s="223">
        <f>IF('CONTROLE GLOBO AÇOS'!K192="","",'CONTROLE GLOBO AÇOS'!K192)</f>
        <v/>
      </c>
      <c r="AV190" s="223">
        <f>IF(AND('CONTROLE EJ'!K192="",'CONTROLE CMM'!#REF!=""),"",N('CONTROLE EJ'!K192)+N('CONTROLE CMM'!#REF!))</f>
        <v/>
      </c>
      <c r="AW190" s="223">
        <f>IF('CONTROLE GLOBO AÇOS'!L192="","",'CONTROLE GLOBO AÇOS'!L192)</f>
        <v/>
      </c>
      <c r="AX190" s="223">
        <f>IF(AND('CONTROLE EJ'!L192="",'CONTROLE CMM'!#REF!=""),"",N('CONTROLE EJ'!L192)+N('CONTROLE CMM'!#REF!))</f>
        <v/>
      </c>
      <c r="AY190" s="223">
        <f>IF('CONTROLE GLOBO AÇOS'!M192="","",'CONTROLE GLOBO AÇOS'!M192)</f>
        <v/>
      </c>
      <c r="AZ190" s="223">
        <f>IF('CONTROLE GLOBO AÇOS'!N192="","",'CONTROLE GLOBO AÇOS'!N192)</f>
        <v/>
      </c>
      <c r="BA190" s="223">
        <f>IF(AND('CONTROLE EJ'!M192="",'CONTROLE CMM'!#REF!=""),"",N('CONTROLE EJ'!M192)+N('CONTROLE CMM'!#REF!))</f>
        <v/>
      </c>
      <c r="BB190" s="223">
        <f>IF(#REF!="","",#REF!)</f>
        <v/>
      </c>
      <c r="BC190" s="223">
        <f>IF('CONTROLE GLOBO AÇOS'!O192="","",'CONTROLE GLOBO AÇOS'!O192)</f>
        <v/>
      </c>
      <c r="BD190" s="223">
        <f>IF(AND('CONTROLE EJ'!N192="",'CONTROLE CMM'!#REF!=""),"",N('CONTROLE EJ'!N192)+N('CONTROLE CMM'!#REF!))</f>
        <v/>
      </c>
      <c r="BE190" s="223">
        <f>IF('CONTROLE GLOBO AÇOS'!P192="","",'CONTROLE GLOBO AÇOS'!P192)</f>
        <v/>
      </c>
      <c r="BF190" s="223">
        <f>IF('CONTROLE GLOBO AÇOS'!Q192="","",'CONTROLE GLOBO AÇOS'!Q192)</f>
        <v/>
      </c>
      <c r="BG190" s="223">
        <f>IF('CONTROLE GLOBO AÇOS'!R192="","",'CONTROLE GLOBO AÇOS'!R192)</f>
        <v/>
      </c>
      <c r="BH190" s="223">
        <f>IF(AND('CONTROLE EJ'!O192="",'CONTROLE CMM'!#REF!=""),"",N('CONTROLE EJ'!O192)+N('CONTROLE CMM'!#REF!))</f>
        <v/>
      </c>
      <c r="BI190" s="223">
        <f>IF('CONTROLE GLOBO AÇOS'!S192="","",'CONTROLE GLOBO AÇOS'!S192)</f>
        <v/>
      </c>
      <c r="BJ190" s="223">
        <f>IF('CONTROLE GLOBO AÇOS'!T192="","",'CONTROLE GLOBO AÇOS'!T192)</f>
        <v/>
      </c>
      <c r="BK190" s="223">
        <f>IF('CONTROLE GLOBO AÇOS'!U192="","",'CONTROLE GLOBO AÇOS'!U192)</f>
        <v/>
      </c>
      <c r="BL190" s="223">
        <f>IF(AND('CONTROLE EJ'!P192="",'CONTROLE CMM'!#REF!=""),"",N('CONTROLE EJ'!P192)+N('CONTROLE CMM'!#REF!))</f>
        <v/>
      </c>
      <c r="BM190" s="223">
        <f>IF(AND('CONTROLE EJ'!Q192="",'CONTROLE CMM'!#REF!=""),"",N('CONTROLE EJ'!Q192)+N('CONTROLE CMM'!#REF!))</f>
        <v/>
      </c>
      <c r="BN190" s="223">
        <f>IF('CONTROLE GLOBO AÇOS'!V192="","",'CONTROLE GLOBO AÇOS'!V192)</f>
        <v/>
      </c>
      <c r="BO190" s="223">
        <f>IF('CONTROLE GLOBO AÇOS'!W192="","",'CONTROLE GLOBO AÇOS'!W192)</f>
        <v/>
      </c>
      <c r="BP190" s="223">
        <f>IF(AND('CONTROLE EJ'!R192="",'CONTROLE CMM'!#REF!=""),"",N('CONTROLE EJ'!R192)+N('CONTROLE CMM'!#REF!))</f>
        <v/>
      </c>
      <c r="BQ190" s="223">
        <f>IF(#REF!="","",#REF!)</f>
        <v/>
      </c>
      <c r="BR190" s="223">
        <f>IF(AND('CONTROLE EJ'!S192="",'CONTROLE CMM'!#REF!=""),"",N('CONTROLE EJ'!S192)+N('CONTROLE CMM'!#REF!))</f>
        <v/>
      </c>
      <c r="BS190" s="223">
        <f>IF(AND('CONTROLE EJ'!T192="",'CONTROLE CMM'!#REF!=""),"",N('CONTROLE EJ'!T192)+N('CONTROLE CMM'!#REF!))</f>
        <v/>
      </c>
      <c r="BT190" s="223">
        <f>IF('CONTROLE GLOBO AÇOS'!X192="","",'CONTROLE GLOBO AÇOS'!X192)</f>
        <v/>
      </c>
      <c r="BU190" s="223">
        <f>IF('CONTROLE GLOBO AÇOS'!Y192="","",'CONTROLE GLOBO AÇOS'!Y192)</f>
        <v/>
      </c>
      <c r="BV190" s="223">
        <f>IF(AND('CONTROLE EJ'!U192="",'CONTROLE CMM'!#REF!=""),"",N('CONTROLE EJ'!U192)+N('CONTROLE CMM'!#REF!))</f>
        <v/>
      </c>
      <c r="BW190" s="223">
        <f>IF(#REF!="","",#REF!)</f>
        <v/>
      </c>
    </row>
    <row r="191">
      <c r="A191" s="282" t="n">
        <v>46408</v>
      </c>
      <c r="B191" s="18">
        <f>IF('CONTROLE EJ'!B193="","",'CONTROLE EJ'!B193)</f>
        <v/>
      </c>
      <c r="C191" s="18">
        <f>IF('CONTROLE EJ'!C193="","",'CONTROLE EJ'!C193)</f>
        <v/>
      </c>
      <c r="D191" s="42">
        <f>IF('CONTROLE EJ'!D193="","",'CONTROLE EJ'!D193)</f>
        <v/>
      </c>
      <c r="E191" s="43">
        <f>IF('CONTROLE CMM'!B193="","",'CONTROLE CMM'!B193)</f>
        <v/>
      </c>
      <c r="F191" s="18">
        <f>IF('CONTROLE CMM'!C193="","",'CONTROLE CMM'!C193)</f>
        <v/>
      </c>
      <c r="G191" s="26">
        <f>IF('CONTROLE CMM'!D193="","",'CONTROLE CMM'!D193)</f>
        <v/>
      </c>
      <c r="H191" s="43">
        <f>IF('CONTROLE GLOBO AÇOS'!B193="","",'CONTROLE GLOBO AÇOS'!B193)</f>
        <v/>
      </c>
      <c r="I191" s="18">
        <f>IF('CONTROLE GLOBO AÇOS'!C193="","",'CONTROLE GLOBO AÇOS'!C193)</f>
        <v/>
      </c>
      <c r="J191" s="18">
        <f>IF('CONTROLE GLOBO AÇOS'!D193="","",'CONTROLE GLOBO AÇOS'!D193)</f>
        <v/>
      </c>
      <c r="AD191" s="39">
        <f>IF($A191="",0,IF(AND(WEEKDAY($A191,2)&lt;=5,OR($B191&lt;&gt;"",$C191&lt;&gt;"",$D191&lt;&gt;"")),1,0))</f>
        <v/>
      </c>
      <c r="AE191" s="39">
        <f>IF($A191="",0,IF(AND(WEEKDAY($A191,2)&lt;=5,OR($E191&lt;&gt;"",$F191&lt;&gt;"",$G191&lt;&gt;"")),1,0))</f>
        <v/>
      </c>
      <c r="AF191" s="39">
        <f>MAX(AD191,AE191)</f>
        <v/>
      </c>
      <c r="AH191" s="223">
        <f>IF('CONTROLE GLOBO AÇOS'!E193="","",'CONTROLE GLOBO AÇOS'!E193)</f>
        <v/>
      </c>
      <c r="AI191" s="223">
        <f>IF('CONTROLE GLOBO AÇOS'!F193="","",'CONTROLE GLOBO AÇOS'!F193)</f>
        <v/>
      </c>
      <c r="AJ191" s="223">
        <f>IF(AND('CONTROLE EJ'!E193="",'CONTROLE CMM'!E193=""),"",N('CONTROLE EJ'!E193)+N('CONTROLE CMM'!E193))</f>
        <v/>
      </c>
      <c r="AK191" s="223">
        <f>IF(AND('CONTROLE EJ'!F193="",'CONTROLE CMM'!F193=""),"",N('CONTROLE EJ'!F193)+N('CONTROLE CMM'!F193))</f>
        <v/>
      </c>
      <c r="AL191" s="223">
        <f>IF(AND('CONTROLE EJ'!G193="",'CONTROLE CMM'!G193=""),"",N('CONTROLE EJ'!G193)+N('CONTROLE CMM'!G193))</f>
        <v/>
      </c>
      <c r="AM191" s="223">
        <f>IF(AND('CONTROLE EJ'!H193="",'CONTROLE CMM'!H193=""),"",N('CONTROLE EJ'!H193)+N('CONTROLE CMM'!H193))</f>
        <v/>
      </c>
      <c r="AN191" s="223">
        <f>IF('CONTROLE GLOBO AÇOS'!G193="","",'CONTROLE GLOBO AÇOS'!G193)</f>
        <v/>
      </c>
      <c r="AO191" s="223">
        <f>IF('CONTROLE GLOBO AÇOS'!H193="","",'CONTROLE GLOBO AÇOS'!H193)</f>
        <v/>
      </c>
      <c r="AP191" s="223">
        <f>IF(AND('CONTROLE EJ'!I193="",'CONTROLE CMM'!I193=""),"",N('CONTROLE EJ'!I193)+N('CONTROLE CMM'!I193))</f>
        <v/>
      </c>
      <c r="AQ191" s="223">
        <f>IF(AND('CONTROLE EJ'!J193="",'CONTROLE CMM'!#REF!=""),"",N('CONTROLE EJ'!J193)+N('CONTROLE CMM'!#REF!))</f>
        <v/>
      </c>
      <c r="AR191" s="223">
        <f>IF('CONTROLE GLOBO AÇOS'!I193="","",'CONTROLE GLOBO AÇOS'!I193)</f>
        <v/>
      </c>
      <c r="AS191" s="223">
        <f>IF('CONTROLE GLOBO AÇOS'!J193="","",'CONTROLE GLOBO AÇOS'!J193)</f>
        <v/>
      </c>
      <c r="AT191" s="223">
        <f>IF(#REF!="","",#REF!)</f>
        <v/>
      </c>
      <c r="AU191" s="223">
        <f>IF('CONTROLE GLOBO AÇOS'!K193="","",'CONTROLE GLOBO AÇOS'!K193)</f>
        <v/>
      </c>
      <c r="AV191" s="223">
        <f>IF(AND('CONTROLE EJ'!K193="",'CONTROLE CMM'!#REF!=""),"",N('CONTROLE EJ'!K193)+N('CONTROLE CMM'!#REF!))</f>
        <v/>
      </c>
      <c r="AW191" s="223">
        <f>IF('CONTROLE GLOBO AÇOS'!L193="","",'CONTROLE GLOBO AÇOS'!L193)</f>
        <v/>
      </c>
      <c r="AX191" s="223">
        <f>IF(AND('CONTROLE EJ'!L193="",'CONTROLE CMM'!#REF!=""),"",N('CONTROLE EJ'!L193)+N('CONTROLE CMM'!#REF!))</f>
        <v/>
      </c>
      <c r="AY191" s="223">
        <f>IF('CONTROLE GLOBO AÇOS'!M193="","",'CONTROLE GLOBO AÇOS'!M193)</f>
        <v/>
      </c>
      <c r="AZ191" s="223">
        <f>IF('CONTROLE GLOBO AÇOS'!N193="","",'CONTROLE GLOBO AÇOS'!N193)</f>
        <v/>
      </c>
      <c r="BA191" s="223">
        <f>IF(AND('CONTROLE EJ'!M193="",'CONTROLE CMM'!#REF!=""),"",N('CONTROLE EJ'!M193)+N('CONTROLE CMM'!#REF!))</f>
        <v/>
      </c>
      <c r="BB191" s="223">
        <f>IF(#REF!="","",#REF!)</f>
        <v/>
      </c>
      <c r="BC191" s="223">
        <f>IF('CONTROLE GLOBO AÇOS'!O193="","",'CONTROLE GLOBO AÇOS'!O193)</f>
        <v/>
      </c>
      <c r="BD191" s="223">
        <f>IF(AND('CONTROLE EJ'!N193="",'CONTROLE CMM'!#REF!=""),"",N('CONTROLE EJ'!N193)+N('CONTROLE CMM'!#REF!))</f>
        <v/>
      </c>
      <c r="BE191" s="223">
        <f>IF('CONTROLE GLOBO AÇOS'!P193="","",'CONTROLE GLOBO AÇOS'!P193)</f>
        <v/>
      </c>
      <c r="BF191" s="223">
        <f>IF('CONTROLE GLOBO AÇOS'!Q193="","",'CONTROLE GLOBO AÇOS'!Q193)</f>
        <v/>
      </c>
      <c r="BG191" s="223">
        <f>IF('CONTROLE GLOBO AÇOS'!R193="","",'CONTROLE GLOBO AÇOS'!R193)</f>
        <v/>
      </c>
      <c r="BH191" s="223">
        <f>IF(AND('CONTROLE EJ'!O193="",'CONTROLE CMM'!#REF!=""),"",N('CONTROLE EJ'!O193)+N('CONTROLE CMM'!#REF!))</f>
        <v/>
      </c>
      <c r="BI191" s="223">
        <f>IF('CONTROLE GLOBO AÇOS'!S193="","",'CONTROLE GLOBO AÇOS'!S193)</f>
        <v/>
      </c>
      <c r="BJ191" s="223">
        <f>IF('CONTROLE GLOBO AÇOS'!T193="","",'CONTROLE GLOBO AÇOS'!T193)</f>
        <v/>
      </c>
      <c r="BK191" s="223">
        <f>IF('CONTROLE GLOBO AÇOS'!U193="","",'CONTROLE GLOBO AÇOS'!U193)</f>
        <v/>
      </c>
      <c r="BL191" s="223">
        <f>IF(AND('CONTROLE EJ'!P193="",'CONTROLE CMM'!#REF!=""),"",N('CONTROLE EJ'!P193)+N('CONTROLE CMM'!#REF!))</f>
        <v/>
      </c>
      <c r="BM191" s="223">
        <f>IF(AND('CONTROLE EJ'!Q193="",'CONTROLE CMM'!#REF!=""),"",N('CONTROLE EJ'!Q193)+N('CONTROLE CMM'!#REF!))</f>
        <v/>
      </c>
      <c r="BN191" s="223">
        <f>IF('CONTROLE GLOBO AÇOS'!V193="","",'CONTROLE GLOBO AÇOS'!V193)</f>
        <v/>
      </c>
      <c r="BO191" s="223">
        <f>IF('CONTROLE GLOBO AÇOS'!W193="","",'CONTROLE GLOBO AÇOS'!W193)</f>
        <v/>
      </c>
      <c r="BP191" s="223">
        <f>IF(AND('CONTROLE EJ'!R193="",'CONTROLE CMM'!#REF!=""),"",N('CONTROLE EJ'!R193)+N('CONTROLE CMM'!#REF!))</f>
        <v/>
      </c>
      <c r="BQ191" s="223">
        <f>IF(#REF!="","",#REF!)</f>
        <v/>
      </c>
      <c r="BR191" s="223">
        <f>IF(AND('CONTROLE EJ'!S193="",'CONTROLE CMM'!#REF!=""),"",N('CONTROLE EJ'!S193)+N('CONTROLE CMM'!#REF!))</f>
        <v/>
      </c>
      <c r="BS191" s="223">
        <f>IF(AND('CONTROLE EJ'!T193="",'CONTROLE CMM'!#REF!=""),"",N('CONTROLE EJ'!T193)+N('CONTROLE CMM'!#REF!))</f>
        <v/>
      </c>
      <c r="BT191" s="223">
        <f>IF('CONTROLE GLOBO AÇOS'!X193="","",'CONTROLE GLOBO AÇOS'!X193)</f>
        <v/>
      </c>
      <c r="BU191" s="223">
        <f>IF('CONTROLE GLOBO AÇOS'!Y193="","",'CONTROLE GLOBO AÇOS'!Y193)</f>
        <v/>
      </c>
      <c r="BV191" s="223">
        <f>IF(AND('CONTROLE EJ'!U193="",'CONTROLE CMM'!#REF!=""),"",N('CONTROLE EJ'!U193)+N('CONTROLE CMM'!#REF!))</f>
        <v/>
      </c>
      <c r="BW191" s="223">
        <f>IF(#REF!="","",#REF!)</f>
        <v/>
      </c>
    </row>
    <row r="192">
      <c r="A192" s="282" t="n">
        <v>46409</v>
      </c>
      <c r="B192" s="18">
        <f>IF('CONTROLE EJ'!B194="","",'CONTROLE EJ'!B194)</f>
        <v/>
      </c>
      <c r="C192" s="18">
        <f>IF('CONTROLE EJ'!C194="","",'CONTROLE EJ'!C194)</f>
        <v/>
      </c>
      <c r="D192" s="42">
        <f>IF('CONTROLE EJ'!D194="","",'CONTROLE EJ'!D194)</f>
        <v/>
      </c>
      <c r="E192" s="43">
        <f>IF('CONTROLE CMM'!B194="","",'CONTROLE CMM'!B194)</f>
        <v/>
      </c>
      <c r="F192" s="18">
        <f>IF('CONTROLE CMM'!C194="","",'CONTROLE CMM'!C194)</f>
        <v/>
      </c>
      <c r="G192" s="26">
        <f>IF('CONTROLE CMM'!D194="","",'CONTROLE CMM'!D194)</f>
        <v/>
      </c>
      <c r="H192" s="43">
        <f>IF('CONTROLE GLOBO AÇOS'!B194="","",'CONTROLE GLOBO AÇOS'!B194)</f>
        <v/>
      </c>
      <c r="I192" s="18">
        <f>IF('CONTROLE GLOBO AÇOS'!C194="","",'CONTROLE GLOBO AÇOS'!C194)</f>
        <v/>
      </c>
      <c r="J192" s="18">
        <f>IF('CONTROLE GLOBO AÇOS'!D194="","",'CONTROLE GLOBO AÇOS'!D194)</f>
        <v/>
      </c>
      <c r="AD192" s="39">
        <f>IF($A192="",0,IF(AND(WEEKDAY($A192,2)&lt;=5,OR($B192&lt;&gt;"",$C192&lt;&gt;"",$D192&lt;&gt;"")),1,0))</f>
        <v/>
      </c>
      <c r="AE192" s="39">
        <f>IF($A192="",0,IF(AND(WEEKDAY($A192,2)&lt;=5,OR($E192&lt;&gt;"",$F192&lt;&gt;"",$G192&lt;&gt;"")),1,0))</f>
        <v/>
      </c>
      <c r="AF192" s="39">
        <f>MAX(AD192,AE192)</f>
        <v/>
      </c>
      <c r="AH192" s="223">
        <f>IF('CONTROLE GLOBO AÇOS'!E194="","",'CONTROLE GLOBO AÇOS'!E194)</f>
        <v/>
      </c>
      <c r="AI192" s="223">
        <f>IF('CONTROLE GLOBO AÇOS'!F194="","",'CONTROLE GLOBO AÇOS'!F194)</f>
        <v/>
      </c>
      <c r="AJ192" s="223">
        <f>IF(AND('CONTROLE EJ'!E194="",'CONTROLE CMM'!E194=""),"",N('CONTROLE EJ'!E194)+N('CONTROLE CMM'!E194))</f>
        <v/>
      </c>
      <c r="AK192" s="223">
        <f>IF(AND('CONTROLE EJ'!F194="",'CONTROLE CMM'!F194=""),"",N('CONTROLE EJ'!F194)+N('CONTROLE CMM'!F194))</f>
        <v/>
      </c>
      <c r="AL192" s="223">
        <f>IF(AND('CONTROLE EJ'!G194="",'CONTROLE CMM'!G194=""),"",N('CONTROLE EJ'!G194)+N('CONTROLE CMM'!G194))</f>
        <v/>
      </c>
      <c r="AM192" s="223">
        <f>IF(AND('CONTROLE EJ'!H194="",'CONTROLE CMM'!H194=""),"",N('CONTROLE EJ'!H194)+N('CONTROLE CMM'!H194))</f>
        <v/>
      </c>
      <c r="AN192" s="223">
        <f>IF('CONTROLE GLOBO AÇOS'!G194="","",'CONTROLE GLOBO AÇOS'!G194)</f>
        <v/>
      </c>
      <c r="AO192" s="223">
        <f>IF('CONTROLE GLOBO AÇOS'!H194="","",'CONTROLE GLOBO AÇOS'!H194)</f>
        <v/>
      </c>
      <c r="AP192" s="223">
        <f>IF(AND('CONTROLE EJ'!I194="",'CONTROLE CMM'!I194=""),"",N('CONTROLE EJ'!I194)+N('CONTROLE CMM'!I194))</f>
        <v/>
      </c>
      <c r="AQ192" s="223">
        <f>IF(AND('CONTROLE EJ'!J194="",'CONTROLE CMM'!#REF!=""),"",N('CONTROLE EJ'!J194)+N('CONTROLE CMM'!#REF!))</f>
        <v/>
      </c>
      <c r="AR192" s="223">
        <f>IF('CONTROLE GLOBO AÇOS'!I194="","",'CONTROLE GLOBO AÇOS'!I194)</f>
        <v/>
      </c>
      <c r="AS192" s="223">
        <f>IF('CONTROLE GLOBO AÇOS'!J194="","",'CONTROLE GLOBO AÇOS'!J194)</f>
        <v/>
      </c>
      <c r="AT192" s="223">
        <f>IF(#REF!="","",#REF!)</f>
        <v/>
      </c>
      <c r="AU192" s="223">
        <f>IF('CONTROLE GLOBO AÇOS'!K194="","",'CONTROLE GLOBO AÇOS'!K194)</f>
        <v/>
      </c>
      <c r="AV192" s="223">
        <f>IF(AND('CONTROLE EJ'!K194="",'CONTROLE CMM'!#REF!=""),"",N('CONTROLE EJ'!K194)+N('CONTROLE CMM'!#REF!))</f>
        <v/>
      </c>
      <c r="AW192" s="223">
        <f>IF('CONTROLE GLOBO AÇOS'!L194="","",'CONTROLE GLOBO AÇOS'!L194)</f>
        <v/>
      </c>
      <c r="AX192" s="223">
        <f>IF(AND('CONTROLE EJ'!L194="",'CONTROLE CMM'!#REF!=""),"",N('CONTROLE EJ'!L194)+N('CONTROLE CMM'!#REF!))</f>
        <v/>
      </c>
      <c r="AY192" s="223">
        <f>IF('CONTROLE GLOBO AÇOS'!M194="","",'CONTROLE GLOBO AÇOS'!M194)</f>
        <v/>
      </c>
      <c r="AZ192" s="223">
        <f>IF('CONTROLE GLOBO AÇOS'!N194="","",'CONTROLE GLOBO AÇOS'!N194)</f>
        <v/>
      </c>
      <c r="BA192" s="223">
        <f>IF(AND('CONTROLE EJ'!M194="",'CONTROLE CMM'!#REF!=""),"",N('CONTROLE EJ'!M194)+N('CONTROLE CMM'!#REF!))</f>
        <v/>
      </c>
      <c r="BB192" s="223">
        <f>IF(#REF!="","",#REF!)</f>
        <v/>
      </c>
      <c r="BC192" s="223">
        <f>IF('CONTROLE GLOBO AÇOS'!O194="","",'CONTROLE GLOBO AÇOS'!O194)</f>
        <v/>
      </c>
      <c r="BD192" s="223">
        <f>IF(AND('CONTROLE EJ'!N194="",'CONTROLE CMM'!#REF!=""),"",N('CONTROLE EJ'!N194)+N('CONTROLE CMM'!#REF!))</f>
        <v/>
      </c>
      <c r="BE192" s="223">
        <f>IF('CONTROLE GLOBO AÇOS'!P194="","",'CONTROLE GLOBO AÇOS'!P194)</f>
        <v/>
      </c>
      <c r="BF192" s="223">
        <f>IF('CONTROLE GLOBO AÇOS'!Q194="","",'CONTROLE GLOBO AÇOS'!Q194)</f>
        <v/>
      </c>
      <c r="BG192" s="223">
        <f>IF('CONTROLE GLOBO AÇOS'!R194="","",'CONTROLE GLOBO AÇOS'!R194)</f>
        <v/>
      </c>
      <c r="BH192" s="223">
        <f>IF(AND('CONTROLE EJ'!O194="",'CONTROLE CMM'!#REF!=""),"",N('CONTROLE EJ'!O194)+N('CONTROLE CMM'!#REF!))</f>
        <v/>
      </c>
      <c r="BI192" s="223">
        <f>IF('CONTROLE GLOBO AÇOS'!S194="","",'CONTROLE GLOBO AÇOS'!S194)</f>
        <v/>
      </c>
      <c r="BJ192" s="223">
        <f>IF('CONTROLE GLOBO AÇOS'!T194="","",'CONTROLE GLOBO AÇOS'!T194)</f>
        <v/>
      </c>
      <c r="BK192" s="223">
        <f>IF('CONTROLE GLOBO AÇOS'!U194="","",'CONTROLE GLOBO AÇOS'!U194)</f>
        <v/>
      </c>
      <c r="BL192" s="223">
        <f>IF(AND('CONTROLE EJ'!P194="",'CONTROLE CMM'!#REF!=""),"",N('CONTROLE EJ'!P194)+N('CONTROLE CMM'!#REF!))</f>
        <v/>
      </c>
      <c r="BM192" s="223">
        <f>IF(AND('CONTROLE EJ'!Q194="",'CONTROLE CMM'!#REF!=""),"",N('CONTROLE EJ'!Q194)+N('CONTROLE CMM'!#REF!))</f>
        <v/>
      </c>
      <c r="BN192" s="223">
        <f>IF('CONTROLE GLOBO AÇOS'!V194="","",'CONTROLE GLOBO AÇOS'!V194)</f>
        <v/>
      </c>
      <c r="BO192" s="223">
        <f>IF('CONTROLE GLOBO AÇOS'!W194="","",'CONTROLE GLOBO AÇOS'!W194)</f>
        <v/>
      </c>
      <c r="BP192" s="223">
        <f>IF(AND('CONTROLE EJ'!R194="",'CONTROLE CMM'!#REF!=""),"",N('CONTROLE EJ'!R194)+N('CONTROLE CMM'!#REF!))</f>
        <v/>
      </c>
      <c r="BQ192" s="223">
        <f>IF(#REF!="","",#REF!)</f>
        <v/>
      </c>
      <c r="BR192" s="223">
        <f>IF(AND('CONTROLE EJ'!S194="",'CONTROLE CMM'!#REF!=""),"",N('CONTROLE EJ'!S194)+N('CONTROLE CMM'!#REF!))</f>
        <v/>
      </c>
      <c r="BS192" s="223">
        <f>IF(AND('CONTROLE EJ'!T194="",'CONTROLE CMM'!#REF!=""),"",N('CONTROLE EJ'!T194)+N('CONTROLE CMM'!#REF!))</f>
        <v/>
      </c>
      <c r="BT192" s="223">
        <f>IF('CONTROLE GLOBO AÇOS'!X194="","",'CONTROLE GLOBO AÇOS'!X194)</f>
        <v/>
      </c>
      <c r="BU192" s="223">
        <f>IF('CONTROLE GLOBO AÇOS'!Y194="","",'CONTROLE GLOBO AÇOS'!Y194)</f>
        <v/>
      </c>
      <c r="BV192" s="223">
        <f>IF(AND('CONTROLE EJ'!U194="",'CONTROLE CMM'!#REF!=""),"",N('CONTROLE EJ'!U194)+N('CONTROLE CMM'!#REF!))</f>
        <v/>
      </c>
      <c r="BW192" s="223">
        <f>IF(#REF!="","",#REF!)</f>
        <v/>
      </c>
    </row>
    <row r="193">
      <c r="A193" s="282" t="n">
        <v>46410</v>
      </c>
      <c r="B193" s="18">
        <f>IF('CONTROLE EJ'!B195="","",'CONTROLE EJ'!B195)</f>
        <v/>
      </c>
      <c r="C193" s="18">
        <f>IF('CONTROLE EJ'!C195="","",'CONTROLE EJ'!C195)</f>
        <v/>
      </c>
      <c r="D193" s="42">
        <f>IF('CONTROLE EJ'!D195="","",'CONTROLE EJ'!D195)</f>
        <v/>
      </c>
      <c r="E193" s="43">
        <f>IF('CONTROLE CMM'!B195="","",'CONTROLE CMM'!B195)</f>
        <v/>
      </c>
      <c r="F193" s="18">
        <f>IF('CONTROLE CMM'!C195="","",'CONTROLE CMM'!C195)</f>
        <v/>
      </c>
      <c r="G193" s="26">
        <f>IF('CONTROLE CMM'!D195="","",'CONTROLE CMM'!D195)</f>
        <v/>
      </c>
      <c r="H193" s="43">
        <f>IF('CONTROLE GLOBO AÇOS'!B195="","",'CONTROLE GLOBO AÇOS'!B195)</f>
        <v/>
      </c>
      <c r="I193" s="18">
        <f>IF('CONTROLE GLOBO AÇOS'!C195="","",'CONTROLE GLOBO AÇOS'!C195)</f>
        <v/>
      </c>
      <c r="J193" s="18">
        <f>IF('CONTROLE GLOBO AÇOS'!D195="","",'CONTROLE GLOBO AÇOS'!D195)</f>
        <v/>
      </c>
      <c r="AD193" s="39">
        <f>IF($A193="",0,IF(AND(WEEKDAY($A193,2)&lt;=5,OR($B193&lt;&gt;"",$C193&lt;&gt;"",$D193&lt;&gt;"")),1,0))</f>
        <v/>
      </c>
      <c r="AE193" s="39">
        <f>IF($A193="",0,IF(AND(WEEKDAY($A193,2)&lt;=5,OR($E193&lt;&gt;"",$F193&lt;&gt;"",$G193&lt;&gt;"")),1,0))</f>
        <v/>
      </c>
      <c r="AF193" s="39">
        <f>MAX(AD193,AE193)</f>
        <v/>
      </c>
      <c r="AH193" s="223">
        <f>IF('CONTROLE GLOBO AÇOS'!E195="","",'CONTROLE GLOBO AÇOS'!E195)</f>
        <v/>
      </c>
      <c r="AI193" s="223">
        <f>IF('CONTROLE GLOBO AÇOS'!F195="","",'CONTROLE GLOBO AÇOS'!F195)</f>
        <v/>
      </c>
      <c r="AJ193" s="223">
        <f>IF(AND('CONTROLE EJ'!E195="",'CONTROLE CMM'!E195=""),"",N('CONTROLE EJ'!E195)+N('CONTROLE CMM'!E195))</f>
        <v/>
      </c>
      <c r="AK193" s="223">
        <f>IF(AND('CONTROLE EJ'!F195="",'CONTROLE CMM'!F195=""),"",N('CONTROLE EJ'!F195)+N('CONTROLE CMM'!F195))</f>
        <v/>
      </c>
      <c r="AL193" s="223">
        <f>IF(AND('CONTROLE EJ'!G195="",'CONTROLE CMM'!G195=""),"",N('CONTROLE EJ'!G195)+N('CONTROLE CMM'!G195))</f>
        <v/>
      </c>
      <c r="AM193" s="223">
        <f>IF(AND('CONTROLE EJ'!H195="",'CONTROLE CMM'!H195=""),"",N('CONTROLE EJ'!H195)+N('CONTROLE CMM'!H195))</f>
        <v/>
      </c>
      <c r="AN193" s="223">
        <f>IF('CONTROLE GLOBO AÇOS'!G195="","",'CONTROLE GLOBO AÇOS'!G195)</f>
        <v/>
      </c>
      <c r="AO193" s="223">
        <f>IF('CONTROLE GLOBO AÇOS'!H195="","",'CONTROLE GLOBO AÇOS'!H195)</f>
        <v/>
      </c>
      <c r="AP193" s="223">
        <f>IF(AND('CONTROLE EJ'!I195="",'CONTROLE CMM'!I195=""),"",N('CONTROLE EJ'!I195)+N('CONTROLE CMM'!I195))</f>
        <v/>
      </c>
      <c r="AQ193" s="223">
        <f>IF(AND('CONTROLE EJ'!J195="",'CONTROLE CMM'!#REF!=""),"",N('CONTROLE EJ'!J195)+N('CONTROLE CMM'!#REF!))</f>
        <v/>
      </c>
      <c r="AR193" s="223">
        <f>IF('CONTROLE GLOBO AÇOS'!I195="","",'CONTROLE GLOBO AÇOS'!I195)</f>
        <v/>
      </c>
      <c r="AS193" s="223">
        <f>IF('CONTROLE GLOBO AÇOS'!J195="","",'CONTROLE GLOBO AÇOS'!J195)</f>
        <v/>
      </c>
      <c r="AT193" s="223">
        <f>IF(#REF!="","",#REF!)</f>
        <v/>
      </c>
      <c r="AU193" s="223">
        <f>IF('CONTROLE GLOBO AÇOS'!K195="","",'CONTROLE GLOBO AÇOS'!K195)</f>
        <v/>
      </c>
      <c r="AV193" s="223">
        <f>IF(AND('CONTROLE EJ'!K195="",'CONTROLE CMM'!#REF!=""),"",N('CONTROLE EJ'!K195)+N('CONTROLE CMM'!#REF!))</f>
        <v/>
      </c>
      <c r="AW193" s="223">
        <f>IF('CONTROLE GLOBO AÇOS'!L195="","",'CONTROLE GLOBO AÇOS'!L195)</f>
        <v/>
      </c>
      <c r="AX193" s="223">
        <f>IF(AND('CONTROLE EJ'!L195="",'CONTROLE CMM'!#REF!=""),"",N('CONTROLE EJ'!L195)+N('CONTROLE CMM'!#REF!))</f>
        <v/>
      </c>
      <c r="AY193" s="223">
        <f>IF('CONTROLE GLOBO AÇOS'!M195="","",'CONTROLE GLOBO AÇOS'!M195)</f>
        <v/>
      </c>
      <c r="AZ193" s="223">
        <f>IF('CONTROLE GLOBO AÇOS'!N195="","",'CONTROLE GLOBO AÇOS'!N195)</f>
        <v/>
      </c>
      <c r="BA193" s="223">
        <f>IF(AND('CONTROLE EJ'!M195="",'CONTROLE CMM'!#REF!=""),"",N('CONTROLE EJ'!M195)+N('CONTROLE CMM'!#REF!))</f>
        <v/>
      </c>
      <c r="BB193" s="223">
        <f>IF(#REF!="","",#REF!)</f>
        <v/>
      </c>
      <c r="BC193" s="223">
        <f>IF('CONTROLE GLOBO AÇOS'!O195="","",'CONTROLE GLOBO AÇOS'!O195)</f>
        <v/>
      </c>
      <c r="BD193" s="223">
        <f>IF(AND('CONTROLE EJ'!N195="",'CONTROLE CMM'!#REF!=""),"",N('CONTROLE EJ'!N195)+N('CONTROLE CMM'!#REF!))</f>
        <v/>
      </c>
      <c r="BE193" s="223">
        <f>IF('CONTROLE GLOBO AÇOS'!P195="","",'CONTROLE GLOBO AÇOS'!P195)</f>
        <v/>
      </c>
      <c r="BF193" s="223">
        <f>IF('CONTROLE GLOBO AÇOS'!Q195="","",'CONTROLE GLOBO AÇOS'!Q195)</f>
        <v/>
      </c>
      <c r="BG193" s="223">
        <f>IF('CONTROLE GLOBO AÇOS'!R195="","",'CONTROLE GLOBO AÇOS'!R195)</f>
        <v/>
      </c>
      <c r="BH193" s="223">
        <f>IF(AND('CONTROLE EJ'!O195="",'CONTROLE CMM'!#REF!=""),"",N('CONTROLE EJ'!O195)+N('CONTROLE CMM'!#REF!))</f>
        <v/>
      </c>
      <c r="BI193" s="223">
        <f>IF('CONTROLE GLOBO AÇOS'!S195="","",'CONTROLE GLOBO AÇOS'!S195)</f>
        <v/>
      </c>
      <c r="BJ193" s="223">
        <f>IF('CONTROLE GLOBO AÇOS'!T195="","",'CONTROLE GLOBO AÇOS'!T195)</f>
        <v/>
      </c>
      <c r="BK193" s="223">
        <f>IF('CONTROLE GLOBO AÇOS'!U195="","",'CONTROLE GLOBO AÇOS'!U195)</f>
        <v/>
      </c>
      <c r="BL193" s="223">
        <f>IF(AND('CONTROLE EJ'!P195="",'CONTROLE CMM'!#REF!=""),"",N('CONTROLE EJ'!P195)+N('CONTROLE CMM'!#REF!))</f>
        <v/>
      </c>
      <c r="BM193" s="223">
        <f>IF(AND('CONTROLE EJ'!Q195="",'CONTROLE CMM'!#REF!=""),"",N('CONTROLE EJ'!Q195)+N('CONTROLE CMM'!#REF!))</f>
        <v/>
      </c>
      <c r="BN193" s="223">
        <f>IF('CONTROLE GLOBO AÇOS'!V195="","",'CONTROLE GLOBO AÇOS'!V195)</f>
        <v/>
      </c>
      <c r="BO193" s="223">
        <f>IF('CONTROLE GLOBO AÇOS'!W195="","",'CONTROLE GLOBO AÇOS'!W195)</f>
        <v/>
      </c>
      <c r="BP193" s="223">
        <f>IF(AND('CONTROLE EJ'!R195="",'CONTROLE CMM'!#REF!=""),"",N('CONTROLE EJ'!R195)+N('CONTROLE CMM'!#REF!))</f>
        <v/>
      </c>
      <c r="BQ193" s="223">
        <f>IF(#REF!="","",#REF!)</f>
        <v/>
      </c>
      <c r="BR193" s="223">
        <f>IF(AND('CONTROLE EJ'!S195="",'CONTROLE CMM'!#REF!=""),"",N('CONTROLE EJ'!S195)+N('CONTROLE CMM'!#REF!))</f>
        <v/>
      </c>
      <c r="BS193" s="223">
        <f>IF(AND('CONTROLE EJ'!T195="",'CONTROLE CMM'!#REF!=""),"",N('CONTROLE EJ'!T195)+N('CONTROLE CMM'!#REF!))</f>
        <v/>
      </c>
      <c r="BT193" s="223">
        <f>IF('CONTROLE GLOBO AÇOS'!X195="","",'CONTROLE GLOBO AÇOS'!X195)</f>
        <v/>
      </c>
      <c r="BU193" s="223">
        <f>IF('CONTROLE GLOBO AÇOS'!Y195="","",'CONTROLE GLOBO AÇOS'!Y195)</f>
        <v/>
      </c>
      <c r="BV193" s="223">
        <f>IF(AND('CONTROLE EJ'!U195="",'CONTROLE CMM'!#REF!=""),"",N('CONTROLE EJ'!U195)+N('CONTROLE CMM'!#REF!))</f>
        <v/>
      </c>
      <c r="BW193" s="223">
        <f>IF(#REF!="","",#REF!)</f>
        <v/>
      </c>
    </row>
    <row r="194">
      <c r="A194" s="282" t="n">
        <v>46411</v>
      </c>
      <c r="B194" s="18">
        <f>IF('CONTROLE EJ'!B196="","",'CONTROLE EJ'!B196)</f>
        <v/>
      </c>
      <c r="C194" s="18">
        <f>IF('CONTROLE EJ'!C196="","",'CONTROLE EJ'!C196)</f>
        <v/>
      </c>
      <c r="D194" s="42">
        <f>IF('CONTROLE EJ'!D196="","",'CONTROLE EJ'!D196)</f>
        <v/>
      </c>
      <c r="E194" s="43">
        <f>IF('CONTROLE CMM'!B196="","",'CONTROLE CMM'!B196)</f>
        <v/>
      </c>
      <c r="F194" s="18">
        <f>IF('CONTROLE CMM'!C196="","",'CONTROLE CMM'!C196)</f>
        <v/>
      </c>
      <c r="G194" s="26">
        <f>IF('CONTROLE CMM'!D196="","",'CONTROLE CMM'!D196)</f>
        <v/>
      </c>
      <c r="H194" s="43">
        <f>IF('CONTROLE GLOBO AÇOS'!B196="","",'CONTROLE GLOBO AÇOS'!B196)</f>
        <v/>
      </c>
      <c r="I194" s="18">
        <f>IF('CONTROLE GLOBO AÇOS'!C196="","",'CONTROLE GLOBO AÇOS'!C196)</f>
        <v/>
      </c>
      <c r="J194" s="18">
        <f>IF('CONTROLE GLOBO AÇOS'!D196="","",'CONTROLE GLOBO AÇOS'!D196)</f>
        <v/>
      </c>
      <c r="AD194" s="39">
        <f>IF($A194="",0,IF(AND(WEEKDAY($A194,2)&lt;=5,OR($B194&lt;&gt;"",$C194&lt;&gt;"",$D194&lt;&gt;"")),1,0))</f>
        <v/>
      </c>
      <c r="AE194" s="39">
        <f>IF($A194="",0,IF(AND(WEEKDAY($A194,2)&lt;=5,OR($E194&lt;&gt;"",$F194&lt;&gt;"",$G194&lt;&gt;"")),1,0))</f>
        <v/>
      </c>
      <c r="AF194" s="39">
        <f>MAX(AD194,AE194)</f>
        <v/>
      </c>
      <c r="AH194" s="223">
        <f>IF('CONTROLE GLOBO AÇOS'!E196="","",'CONTROLE GLOBO AÇOS'!E196)</f>
        <v/>
      </c>
      <c r="AI194" s="223">
        <f>IF('CONTROLE GLOBO AÇOS'!F196="","",'CONTROLE GLOBO AÇOS'!F196)</f>
        <v/>
      </c>
      <c r="AJ194" s="223">
        <f>IF(AND('CONTROLE EJ'!E196="",'CONTROLE CMM'!E196=""),"",N('CONTROLE EJ'!E196)+N('CONTROLE CMM'!E196))</f>
        <v/>
      </c>
      <c r="AK194" s="223">
        <f>IF(AND('CONTROLE EJ'!F196="",'CONTROLE CMM'!F196=""),"",N('CONTROLE EJ'!F196)+N('CONTROLE CMM'!F196))</f>
        <v/>
      </c>
      <c r="AL194" s="223">
        <f>IF(AND('CONTROLE EJ'!G196="",'CONTROLE CMM'!G196=""),"",N('CONTROLE EJ'!G196)+N('CONTROLE CMM'!G196))</f>
        <v/>
      </c>
      <c r="AM194" s="223">
        <f>IF(AND('CONTROLE EJ'!H196="",'CONTROLE CMM'!H196=""),"",N('CONTROLE EJ'!H196)+N('CONTROLE CMM'!H196))</f>
        <v/>
      </c>
      <c r="AN194" s="223">
        <f>IF('CONTROLE GLOBO AÇOS'!G196="","",'CONTROLE GLOBO AÇOS'!G196)</f>
        <v/>
      </c>
      <c r="AO194" s="223">
        <f>IF('CONTROLE GLOBO AÇOS'!H196="","",'CONTROLE GLOBO AÇOS'!H196)</f>
        <v/>
      </c>
      <c r="AP194" s="223">
        <f>IF(AND('CONTROLE EJ'!I196="",'CONTROLE CMM'!I196=""),"",N('CONTROLE EJ'!I196)+N('CONTROLE CMM'!I196))</f>
        <v/>
      </c>
      <c r="AQ194" s="223">
        <f>IF(AND('CONTROLE EJ'!J196="",'CONTROLE CMM'!#REF!=""),"",N('CONTROLE EJ'!J196)+N('CONTROLE CMM'!#REF!))</f>
        <v/>
      </c>
      <c r="AR194" s="223">
        <f>IF('CONTROLE GLOBO AÇOS'!I196="","",'CONTROLE GLOBO AÇOS'!I196)</f>
        <v/>
      </c>
      <c r="AS194" s="223">
        <f>IF('CONTROLE GLOBO AÇOS'!J196="","",'CONTROLE GLOBO AÇOS'!J196)</f>
        <v/>
      </c>
      <c r="AT194" s="223">
        <f>IF(#REF!="","",#REF!)</f>
        <v/>
      </c>
      <c r="AU194" s="223">
        <f>IF('CONTROLE GLOBO AÇOS'!K196="","",'CONTROLE GLOBO AÇOS'!K196)</f>
        <v/>
      </c>
      <c r="AV194" s="223">
        <f>IF(AND('CONTROLE EJ'!K196="",'CONTROLE CMM'!#REF!=""),"",N('CONTROLE EJ'!K196)+N('CONTROLE CMM'!#REF!))</f>
        <v/>
      </c>
      <c r="AW194" s="223">
        <f>IF('CONTROLE GLOBO AÇOS'!L196="","",'CONTROLE GLOBO AÇOS'!L196)</f>
        <v/>
      </c>
      <c r="AX194" s="223">
        <f>IF(AND('CONTROLE EJ'!L196="",'CONTROLE CMM'!#REF!=""),"",N('CONTROLE EJ'!L196)+N('CONTROLE CMM'!#REF!))</f>
        <v/>
      </c>
      <c r="AY194" s="223">
        <f>IF('CONTROLE GLOBO AÇOS'!M196="","",'CONTROLE GLOBO AÇOS'!M196)</f>
        <v/>
      </c>
      <c r="AZ194" s="223">
        <f>IF('CONTROLE GLOBO AÇOS'!N196="","",'CONTROLE GLOBO AÇOS'!N196)</f>
        <v/>
      </c>
      <c r="BA194" s="223">
        <f>IF(AND('CONTROLE EJ'!M196="",'CONTROLE CMM'!#REF!=""),"",N('CONTROLE EJ'!M196)+N('CONTROLE CMM'!#REF!))</f>
        <v/>
      </c>
      <c r="BB194" s="223">
        <f>IF(#REF!="","",#REF!)</f>
        <v/>
      </c>
      <c r="BC194" s="223">
        <f>IF('CONTROLE GLOBO AÇOS'!O196="","",'CONTROLE GLOBO AÇOS'!O196)</f>
        <v/>
      </c>
      <c r="BD194" s="223">
        <f>IF(AND('CONTROLE EJ'!N196="",'CONTROLE CMM'!#REF!=""),"",N('CONTROLE EJ'!N196)+N('CONTROLE CMM'!#REF!))</f>
        <v/>
      </c>
      <c r="BE194" s="223">
        <f>IF('CONTROLE GLOBO AÇOS'!P196="","",'CONTROLE GLOBO AÇOS'!P196)</f>
        <v/>
      </c>
      <c r="BF194" s="223">
        <f>IF('CONTROLE GLOBO AÇOS'!Q196="","",'CONTROLE GLOBO AÇOS'!Q196)</f>
        <v/>
      </c>
      <c r="BG194" s="223">
        <f>IF('CONTROLE GLOBO AÇOS'!R196="","",'CONTROLE GLOBO AÇOS'!R196)</f>
        <v/>
      </c>
      <c r="BH194" s="223">
        <f>IF(AND('CONTROLE EJ'!O196="",'CONTROLE CMM'!#REF!=""),"",N('CONTROLE EJ'!O196)+N('CONTROLE CMM'!#REF!))</f>
        <v/>
      </c>
      <c r="BI194" s="223">
        <f>IF('CONTROLE GLOBO AÇOS'!S196="","",'CONTROLE GLOBO AÇOS'!S196)</f>
        <v/>
      </c>
      <c r="BJ194" s="223">
        <f>IF('CONTROLE GLOBO AÇOS'!T196="","",'CONTROLE GLOBO AÇOS'!T196)</f>
        <v/>
      </c>
      <c r="BK194" s="223">
        <f>IF('CONTROLE GLOBO AÇOS'!U196="","",'CONTROLE GLOBO AÇOS'!U196)</f>
        <v/>
      </c>
      <c r="BL194" s="223">
        <f>IF(AND('CONTROLE EJ'!P196="",'CONTROLE CMM'!#REF!=""),"",N('CONTROLE EJ'!P196)+N('CONTROLE CMM'!#REF!))</f>
        <v/>
      </c>
      <c r="BM194" s="223">
        <f>IF(AND('CONTROLE EJ'!Q196="",'CONTROLE CMM'!#REF!=""),"",N('CONTROLE EJ'!Q196)+N('CONTROLE CMM'!#REF!))</f>
        <v/>
      </c>
      <c r="BN194" s="223">
        <f>IF('CONTROLE GLOBO AÇOS'!V196="","",'CONTROLE GLOBO AÇOS'!V196)</f>
        <v/>
      </c>
      <c r="BO194" s="223">
        <f>IF('CONTROLE GLOBO AÇOS'!W196="","",'CONTROLE GLOBO AÇOS'!W196)</f>
        <v/>
      </c>
      <c r="BP194" s="223">
        <f>IF(AND('CONTROLE EJ'!R196="",'CONTROLE CMM'!#REF!=""),"",N('CONTROLE EJ'!R196)+N('CONTROLE CMM'!#REF!))</f>
        <v/>
      </c>
      <c r="BQ194" s="223">
        <f>IF(#REF!="","",#REF!)</f>
        <v/>
      </c>
      <c r="BR194" s="223">
        <f>IF(AND('CONTROLE EJ'!S196="",'CONTROLE CMM'!#REF!=""),"",N('CONTROLE EJ'!S196)+N('CONTROLE CMM'!#REF!))</f>
        <v/>
      </c>
      <c r="BS194" s="223">
        <f>IF(AND('CONTROLE EJ'!T196="",'CONTROLE CMM'!#REF!=""),"",N('CONTROLE EJ'!T196)+N('CONTROLE CMM'!#REF!))</f>
        <v/>
      </c>
      <c r="BT194" s="223">
        <f>IF('CONTROLE GLOBO AÇOS'!X196="","",'CONTROLE GLOBO AÇOS'!X196)</f>
        <v/>
      </c>
      <c r="BU194" s="223">
        <f>IF('CONTROLE GLOBO AÇOS'!Y196="","",'CONTROLE GLOBO AÇOS'!Y196)</f>
        <v/>
      </c>
      <c r="BV194" s="223">
        <f>IF(AND('CONTROLE EJ'!U196="",'CONTROLE CMM'!#REF!=""),"",N('CONTROLE EJ'!U196)+N('CONTROLE CMM'!#REF!))</f>
        <v/>
      </c>
      <c r="BW194" s="223">
        <f>IF(#REF!="","",#REF!)</f>
        <v/>
      </c>
    </row>
    <row r="195">
      <c r="A195" s="282" t="n">
        <v>46412</v>
      </c>
      <c r="B195" s="18">
        <f>IF('CONTROLE EJ'!B197="","",'CONTROLE EJ'!B197)</f>
        <v/>
      </c>
      <c r="C195" s="18">
        <f>IF('CONTROLE EJ'!C197="","",'CONTROLE EJ'!C197)</f>
        <v/>
      </c>
      <c r="D195" s="42">
        <f>IF('CONTROLE EJ'!D197="","",'CONTROLE EJ'!D197)</f>
        <v/>
      </c>
      <c r="E195" s="43">
        <f>IF('CONTROLE CMM'!B197="","",'CONTROLE CMM'!B197)</f>
        <v/>
      </c>
      <c r="F195" s="18">
        <f>IF('CONTROLE CMM'!C197="","",'CONTROLE CMM'!C197)</f>
        <v/>
      </c>
      <c r="G195" s="26">
        <f>IF('CONTROLE CMM'!D197="","",'CONTROLE CMM'!D197)</f>
        <v/>
      </c>
      <c r="H195" s="43">
        <f>IF('CONTROLE GLOBO AÇOS'!B197="","",'CONTROLE GLOBO AÇOS'!B197)</f>
        <v/>
      </c>
      <c r="I195" s="18">
        <f>IF('CONTROLE GLOBO AÇOS'!C197="","",'CONTROLE GLOBO AÇOS'!C197)</f>
        <v/>
      </c>
      <c r="J195" s="18">
        <f>IF('CONTROLE GLOBO AÇOS'!D197="","",'CONTROLE GLOBO AÇOS'!D197)</f>
        <v/>
      </c>
      <c r="AD195" s="39">
        <f>IF($A195="",0,IF(AND(WEEKDAY($A195,2)&lt;=5,OR($B195&lt;&gt;"",$C195&lt;&gt;"",$D195&lt;&gt;"")),1,0))</f>
        <v/>
      </c>
      <c r="AE195" s="39">
        <f>IF($A195="",0,IF(AND(WEEKDAY($A195,2)&lt;=5,OR($E195&lt;&gt;"",$F195&lt;&gt;"",$G195&lt;&gt;"")),1,0))</f>
        <v/>
      </c>
      <c r="AF195" s="39">
        <f>MAX(AD195,AE195)</f>
        <v/>
      </c>
      <c r="AH195" s="223">
        <f>IF('CONTROLE GLOBO AÇOS'!E197="","",'CONTROLE GLOBO AÇOS'!E197)</f>
        <v/>
      </c>
      <c r="AI195" s="223">
        <f>IF('CONTROLE GLOBO AÇOS'!F197="","",'CONTROLE GLOBO AÇOS'!F197)</f>
        <v/>
      </c>
      <c r="AJ195" s="223">
        <f>IF(AND('CONTROLE EJ'!E197="",'CONTROLE CMM'!E197=""),"",N('CONTROLE EJ'!E197)+N('CONTROLE CMM'!E197))</f>
        <v/>
      </c>
      <c r="AK195" s="223">
        <f>IF(AND('CONTROLE EJ'!F197="",'CONTROLE CMM'!F197=""),"",N('CONTROLE EJ'!F197)+N('CONTROLE CMM'!F197))</f>
        <v/>
      </c>
      <c r="AL195" s="223">
        <f>IF(AND('CONTROLE EJ'!G197="",'CONTROLE CMM'!G197=""),"",N('CONTROLE EJ'!G197)+N('CONTROLE CMM'!G197))</f>
        <v/>
      </c>
      <c r="AM195" s="223">
        <f>IF(AND('CONTROLE EJ'!H197="",'CONTROLE CMM'!H197=""),"",N('CONTROLE EJ'!H197)+N('CONTROLE CMM'!H197))</f>
        <v/>
      </c>
      <c r="AN195" s="223">
        <f>IF('CONTROLE GLOBO AÇOS'!G197="","",'CONTROLE GLOBO AÇOS'!G197)</f>
        <v/>
      </c>
      <c r="AO195" s="223">
        <f>IF('CONTROLE GLOBO AÇOS'!H197="","",'CONTROLE GLOBO AÇOS'!H197)</f>
        <v/>
      </c>
      <c r="AP195" s="223">
        <f>IF(AND('CONTROLE EJ'!I197="",'CONTROLE CMM'!I197=""),"",N('CONTROLE EJ'!I197)+N('CONTROLE CMM'!I197))</f>
        <v/>
      </c>
      <c r="AQ195" s="223">
        <f>IF(AND('CONTROLE EJ'!J197="",'CONTROLE CMM'!#REF!=""),"",N('CONTROLE EJ'!J197)+N('CONTROLE CMM'!#REF!))</f>
        <v/>
      </c>
      <c r="AR195" s="223">
        <f>IF('CONTROLE GLOBO AÇOS'!I197="","",'CONTROLE GLOBO AÇOS'!I197)</f>
        <v/>
      </c>
      <c r="AS195" s="223">
        <f>IF('CONTROLE GLOBO AÇOS'!J197="","",'CONTROLE GLOBO AÇOS'!J197)</f>
        <v/>
      </c>
      <c r="AT195" s="223">
        <f>IF(#REF!="","",#REF!)</f>
        <v/>
      </c>
      <c r="AU195" s="223">
        <f>IF('CONTROLE GLOBO AÇOS'!K197="","",'CONTROLE GLOBO AÇOS'!K197)</f>
        <v/>
      </c>
      <c r="AV195" s="223">
        <f>IF(AND('CONTROLE EJ'!K197="",'CONTROLE CMM'!#REF!=""),"",N('CONTROLE EJ'!K197)+N('CONTROLE CMM'!#REF!))</f>
        <v/>
      </c>
      <c r="AW195" s="223">
        <f>IF('CONTROLE GLOBO AÇOS'!L197="","",'CONTROLE GLOBO AÇOS'!L197)</f>
        <v/>
      </c>
      <c r="AX195" s="223">
        <f>IF(AND('CONTROLE EJ'!L197="",'CONTROLE CMM'!#REF!=""),"",N('CONTROLE EJ'!L197)+N('CONTROLE CMM'!#REF!))</f>
        <v/>
      </c>
      <c r="AY195" s="223">
        <f>IF('CONTROLE GLOBO AÇOS'!M197="","",'CONTROLE GLOBO AÇOS'!M197)</f>
        <v/>
      </c>
      <c r="AZ195" s="223">
        <f>IF('CONTROLE GLOBO AÇOS'!N197="","",'CONTROLE GLOBO AÇOS'!N197)</f>
        <v/>
      </c>
      <c r="BA195" s="223">
        <f>IF(AND('CONTROLE EJ'!M197="",'CONTROLE CMM'!#REF!=""),"",N('CONTROLE EJ'!M197)+N('CONTROLE CMM'!#REF!))</f>
        <v/>
      </c>
      <c r="BB195" s="223">
        <f>IF(#REF!="","",#REF!)</f>
        <v/>
      </c>
      <c r="BC195" s="223">
        <f>IF('CONTROLE GLOBO AÇOS'!O197="","",'CONTROLE GLOBO AÇOS'!O197)</f>
        <v/>
      </c>
      <c r="BD195" s="223">
        <f>IF(AND('CONTROLE EJ'!N197="",'CONTROLE CMM'!#REF!=""),"",N('CONTROLE EJ'!N197)+N('CONTROLE CMM'!#REF!))</f>
        <v/>
      </c>
      <c r="BE195" s="223">
        <f>IF('CONTROLE GLOBO AÇOS'!P197="","",'CONTROLE GLOBO AÇOS'!P197)</f>
        <v/>
      </c>
      <c r="BF195" s="223">
        <f>IF('CONTROLE GLOBO AÇOS'!Q197="","",'CONTROLE GLOBO AÇOS'!Q197)</f>
        <v/>
      </c>
      <c r="BG195" s="223">
        <f>IF('CONTROLE GLOBO AÇOS'!R197="","",'CONTROLE GLOBO AÇOS'!R197)</f>
        <v/>
      </c>
      <c r="BH195" s="223">
        <f>IF(AND('CONTROLE EJ'!O197="",'CONTROLE CMM'!#REF!=""),"",N('CONTROLE EJ'!O197)+N('CONTROLE CMM'!#REF!))</f>
        <v/>
      </c>
      <c r="BI195" s="223">
        <f>IF('CONTROLE GLOBO AÇOS'!S197="","",'CONTROLE GLOBO AÇOS'!S197)</f>
        <v/>
      </c>
      <c r="BJ195" s="223">
        <f>IF('CONTROLE GLOBO AÇOS'!T197="","",'CONTROLE GLOBO AÇOS'!T197)</f>
        <v/>
      </c>
      <c r="BK195" s="223">
        <f>IF('CONTROLE GLOBO AÇOS'!U197="","",'CONTROLE GLOBO AÇOS'!U197)</f>
        <v/>
      </c>
      <c r="BL195" s="223">
        <f>IF(AND('CONTROLE EJ'!P197="",'CONTROLE CMM'!#REF!=""),"",N('CONTROLE EJ'!P197)+N('CONTROLE CMM'!#REF!))</f>
        <v/>
      </c>
      <c r="BM195" s="223">
        <f>IF(AND('CONTROLE EJ'!Q197="",'CONTROLE CMM'!#REF!=""),"",N('CONTROLE EJ'!Q197)+N('CONTROLE CMM'!#REF!))</f>
        <v/>
      </c>
      <c r="BN195" s="223">
        <f>IF('CONTROLE GLOBO AÇOS'!V197="","",'CONTROLE GLOBO AÇOS'!V197)</f>
        <v/>
      </c>
      <c r="BO195" s="223">
        <f>IF('CONTROLE GLOBO AÇOS'!W197="","",'CONTROLE GLOBO AÇOS'!W197)</f>
        <v/>
      </c>
      <c r="BP195" s="223">
        <f>IF(AND('CONTROLE EJ'!R197="",'CONTROLE CMM'!#REF!=""),"",N('CONTROLE EJ'!R197)+N('CONTROLE CMM'!#REF!))</f>
        <v/>
      </c>
      <c r="BQ195" s="223">
        <f>IF(#REF!="","",#REF!)</f>
        <v/>
      </c>
      <c r="BR195" s="223">
        <f>IF(AND('CONTROLE EJ'!S197="",'CONTROLE CMM'!#REF!=""),"",N('CONTROLE EJ'!S197)+N('CONTROLE CMM'!#REF!))</f>
        <v/>
      </c>
      <c r="BS195" s="223">
        <f>IF(AND('CONTROLE EJ'!T197="",'CONTROLE CMM'!#REF!=""),"",N('CONTROLE EJ'!T197)+N('CONTROLE CMM'!#REF!))</f>
        <v/>
      </c>
      <c r="BT195" s="223">
        <f>IF('CONTROLE GLOBO AÇOS'!X197="","",'CONTROLE GLOBO AÇOS'!X197)</f>
        <v/>
      </c>
      <c r="BU195" s="223">
        <f>IF('CONTROLE GLOBO AÇOS'!Y197="","",'CONTROLE GLOBO AÇOS'!Y197)</f>
        <v/>
      </c>
      <c r="BV195" s="223">
        <f>IF(AND('CONTROLE EJ'!U197="",'CONTROLE CMM'!#REF!=""),"",N('CONTROLE EJ'!U197)+N('CONTROLE CMM'!#REF!))</f>
        <v/>
      </c>
      <c r="BW195" s="223">
        <f>IF(#REF!="","",#REF!)</f>
        <v/>
      </c>
    </row>
    <row r="196">
      <c r="A196" s="282" t="n">
        <v>46413</v>
      </c>
      <c r="B196" s="18">
        <f>IF('CONTROLE EJ'!B198="","",'CONTROLE EJ'!B198)</f>
        <v/>
      </c>
      <c r="C196" s="18">
        <f>IF('CONTROLE EJ'!C198="","",'CONTROLE EJ'!C198)</f>
        <v/>
      </c>
      <c r="D196" s="42">
        <f>IF('CONTROLE EJ'!D198="","",'CONTROLE EJ'!D198)</f>
        <v/>
      </c>
      <c r="E196" s="43">
        <f>IF('CONTROLE CMM'!B198="","",'CONTROLE CMM'!B198)</f>
        <v/>
      </c>
      <c r="F196" s="18">
        <f>IF('CONTROLE CMM'!C198="","",'CONTROLE CMM'!C198)</f>
        <v/>
      </c>
      <c r="G196" s="26">
        <f>IF('CONTROLE CMM'!D198="","",'CONTROLE CMM'!D198)</f>
        <v/>
      </c>
      <c r="H196" s="43">
        <f>IF('CONTROLE GLOBO AÇOS'!B198="","",'CONTROLE GLOBO AÇOS'!B198)</f>
        <v/>
      </c>
      <c r="I196" s="18">
        <f>IF('CONTROLE GLOBO AÇOS'!C198="","",'CONTROLE GLOBO AÇOS'!C198)</f>
        <v/>
      </c>
      <c r="J196" s="18">
        <f>IF('CONTROLE GLOBO AÇOS'!D198="","",'CONTROLE GLOBO AÇOS'!D198)</f>
        <v/>
      </c>
      <c r="AD196" s="39">
        <f>IF($A196="",0,IF(AND(WEEKDAY($A196,2)&lt;=5,OR($B196&lt;&gt;"",$C196&lt;&gt;"",$D196&lt;&gt;"")),1,0))</f>
        <v/>
      </c>
      <c r="AE196" s="39">
        <f>IF($A196="",0,IF(AND(WEEKDAY($A196,2)&lt;=5,OR($E196&lt;&gt;"",$F196&lt;&gt;"",$G196&lt;&gt;"")),1,0))</f>
        <v/>
      </c>
      <c r="AF196" s="39">
        <f>MAX(AD196,AE196)</f>
        <v/>
      </c>
      <c r="AH196" s="223">
        <f>IF('CONTROLE GLOBO AÇOS'!E198="","",'CONTROLE GLOBO AÇOS'!E198)</f>
        <v/>
      </c>
      <c r="AI196" s="223">
        <f>IF('CONTROLE GLOBO AÇOS'!F198="","",'CONTROLE GLOBO AÇOS'!F198)</f>
        <v/>
      </c>
      <c r="AJ196" s="223">
        <f>IF(AND('CONTROLE EJ'!E198="",'CONTROLE CMM'!E198=""),"",N('CONTROLE EJ'!E198)+N('CONTROLE CMM'!E198))</f>
        <v/>
      </c>
      <c r="AK196" s="223">
        <f>IF(AND('CONTROLE EJ'!F198="",'CONTROLE CMM'!F198=""),"",N('CONTROLE EJ'!F198)+N('CONTROLE CMM'!F198))</f>
        <v/>
      </c>
      <c r="AL196" s="223">
        <f>IF(AND('CONTROLE EJ'!G198="",'CONTROLE CMM'!G198=""),"",N('CONTROLE EJ'!G198)+N('CONTROLE CMM'!G198))</f>
        <v/>
      </c>
      <c r="AM196" s="223">
        <f>IF(AND('CONTROLE EJ'!H198="",'CONTROLE CMM'!H198=""),"",N('CONTROLE EJ'!H198)+N('CONTROLE CMM'!H198))</f>
        <v/>
      </c>
      <c r="AN196" s="223">
        <f>IF('CONTROLE GLOBO AÇOS'!G198="","",'CONTROLE GLOBO AÇOS'!G198)</f>
        <v/>
      </c>
      <c r="AO196" s="223">
        <f>IF('CONTROLE GLOBO AÇOS'!H198="","",'CONTROLE GLOBO AÇOS'!H198)</f>
        <v/>
      </c>
      <c r="AP196" s="223">
        <f>IF(AND('CONTROLE EJ'!I198="",'CONTROLE CMM'!I198=""),"",N('CONTROLE EJ'!I198)+N('CONTROLE CMM'!I198))</f>
        <v/>
      </c>
      <c r="AQ196" s="223">
        <f>IF(AND('CONTROLE EJ'!J198="",'CONTROLE CMM'!#REF!=""),"",N('CONTROLE EJ'!J198)+N('CONTROLE CMM'!#REF!))</f>
        <v/>
      </c>
      <c r="AR196" s="223">
        <f>IF('CONTROLE GLOBO AÇOS'!I198="","",'CONTROLE GLOBO AÇOS'!I198)</f>
        <v/>
      </c>
      <c r="AS196" s="223">
        <f>IF('CONTROLE GLOBO AÇOS'!J198="","",'CONTROLE GLOBO AÇOS'!J198)</f>
        <v/>
      </c>
      <c r="AT196" s="223">
        <f>IF(#REF!="","",#REF!)</f>
        <v/>
      </c>
      <c r="AU196" s="223">
        <f>IF('CONTROLE GLOBO AÇOS'!K198="","",'CONTROLE GLOBO AÇOS'!K198)</f>
        <v/>
      </c>
      <c r="AV196" s="223">
        <f>IF(AND('CONTROLE EJ'!K198="",'CONTROLE CMM'!#REF!=""),"",N('CONTROLE EJ'!K198)+N('CONTROLE CMM'!#REF!))</f>
        <v/>
      </c>
      <c r="AW196" s="223">
        <f>IF('CONTROLE GLOBO AÇOS'!L198="","",'CONTROLE GLOBO AÇOS'!L198)</f>
        <v/>
      </c>
      <c r="AX196" s="223">
        <f>IF(AND('CONTROLE EJ'!L198="",'CONTROLE CMM'!#REF!=""),"",N('CONTROLE EJ'!L198)+N('CONTROLE CMM'!#REF!))</f>
        <v/>
      </c>
      <c r="AY196" s="223">
        <f>IF('CONTROLE GLOBO AÇOS'!M198="","",'CONTROLE GLOBO AÇOS'!M198)</f>
        <v/>
      </c>
      <c r="AZ196" s="223">
        <f>IF('CONTROLE GLOBO AÇOS'!N198="","",'CONTROLE GLOBO AÇOS'!N198)</f>
        <v/>
      </c>
      <c r="BA196" s="223">
        <f>IF(AND('CONTROLE EJ'!M198="",'CONTROLE CMM'!#REF!=""),"",N('CONTROLE EJ'!M198)+N('CONTROLE CMM'!#REF!))</f>
        <v/>
      </c>
      <c r="BB196" s="223">
        <f>IF(#REF!="","",#REF!)</f>
        <v/>
      </c>
      <c r="BC196" s="223">
        <f>IF('CONTROLE GLOBO AÇOS'!O198="","",'CONTROLE GLOBO AÇOS'!O198)</f>
        <v/>
      </c>
      <c r="BD196" s="223">
        <f>IF(AND('CONTROLE EJ'!N198="",'CONTROLE CMM'!#REF!=""),"",N('CONTROLE EJ'!N198)+N('CONTROLE CMM'!#REF!))</f>
        <v/>
      </c>
      <c r="BE196" s="223">
        <f>IF('CONTROLE GLOBO AÇOS'!P198="","",'CONTROLE GLOBO AÇOS'!P198)</f>
        <v/>
      </c>
      <c r="BF196" s="223">
        <f>IF('CONTROLE GLOBO AÇOS'!Q198="","",'CONTROLE GLOBO AÇOS'!Q198)</f>
        <v/>
      </c>
      <c r="BG196" s="223">
        <f>IF('CONTROLE GLOBO AÇOS'!R198="","",'CONTROLE GLOBO AÇOS'!R198)</f>
        <v/>
      </c>
      <c r="BH196" s="223">
        <f>IF(AND('CONTROLE EJ'!O198="",'CONTROLE CMM'!#REF!=""),"",N('CONTROLE EJ'!O198)+N('CONTROLE CMM'!#REF!))</f>
        <v/>
      </c>
      <c r="BI196" s="223">
        <f>IF('CONTROLE GLOBO AÇOS'!S198="","",'CONTROLE GLOBO AÇOS'!S198)</f>
        <v/>
      </c>
      <c r="BJ196" s="223">
        <f>IF('CONTROLE GLOBO AÇOS'!T198="","",'CONTROLE GLOBO AÇOS'!T198)</f>
        <v/>
      </c>
      <c r="BK196" s="223">
        <f>IF('CONTROLE GLOBO AÇOS'!U198="","",'CONTROLE GLOBO AÇOS'!U198)</f>
        <v/>
      </c>
      <c r="BL196" s="223">
        <f>IF(AND('CONTROLE EJ'!P198="",'CONTROLE CMM'!#REF!=""),"",N('CONTROLE EJ'!P198)+N('CONTROLE CMM'!#REF!))</f>
        <v/>
      </c>
      <c r="BM196" s="223">
        <f>IF(AND('CONTROLE EJ'!Q198="",'CONTROLE CMM'!#REF!=""),"",N('CONTROLE EJ'!Q198)+N('CONTROLE CMM'!#REF!))</f>
        <v/>
      </c>
      <c r="BN196" s="223">
        <f>IF('CONTROLE GLOBO AÇOS'!V198="","",'CONTROLE GLOBO AÇOS'!V198)</f>
        <v/>
      </c>
      <c r="BO196" s="223">
        <f>IF('CONTROLE GLOBO AÇOS'!W198="","",'CONTROLE GLOBO AÇOS'!W198)</f>
        <v/>
      </c>
      <c r="BP196" s="223">
        <f>IF(AND('CONTROLE EJ'!R198="",'CONTROLE CMM'!#REF!=""),"",N('CONTROLE EJ'!R198)+N('CONTROLE CMM'!#REF!))</f>
        <v/>
      </c>
      <c r="BQ196" s="223">
        <f>IF(#REF!="","",#REF!)</f>
        <v/>
      </c>
      <c r="BR196" s="223">
        <f>IF(AND('CONTROLE EJ'!S198="",'CONTROLE CMM'!#REF!=""),"",N('CONTROLE EJ'!S198)+N('CONTROLE CMM'!#REF!))</f>
        <v/>
      </c>
      <c r="BS196" s="223">
        <f>IF(AND('CONTROLE EJ'!T198="",'CONTROLE CMM'!#REF!=""),"",N('CONTROLE EJ'!T198)+N('CONTROLE CMM'!#REF!))</f>
        <v/>
      </c>
      <c r="BT196" s="223">
        <f>IF('CONTROLE GLOBO AÇOS'!X198="","",'CONTROLE GLOBO AÇOS'!X198)</f>
        <v/>
      </c>
      <c r="BU196" s="223">
        <f>IF('CONTROLE GLOBO AÇOS'!Y198="","",'CONTROLE GLOBO AÇOS'!Y198)</f>
        <v/>
      </c>
      <c r="BV196" s="223">
        <f>IF(AND('CONTROLE EJ'!U198="",'CONTROLE CMM'!#REF!=""),"",N('CONTROLE EJ'!U198)+N('CONTROLE CMM'!#REF!))</f>
        <v/>
      </c>
      <c r="BW196" s="223">
        <f>IF(#REF!="","",#REF!)</f>
        <v/>
      </c>
    </row>
    <row r="197">
      <c r="A197" s="282" t="n">
        <v>46414</v>
      </c>
      <c r="B197" s="18">
        <f>IF('CONTROLE EJ'!B199="","",'CONTROLE EJ'!B199)</f>
        <v/>
      </c>
      <c r="C197" s="18">
        <f>IF('CONTROLE EJ'!C199="","",'CONTROLE EJ'!C199)</f>
        <v/>
      </c>
      <c r="D197" s="42">
        <f>IF('CONTROLE EJ'!D199="","",'CONTROLE EJ'!D199)</f>
        <v/>
      </c>
      <c r="E197" s="43">
        <f>IF('CONTROLE CMM'!B199="","",'CONTROLE CMM'!B199)</f>
        <v/>
      </c>
      <c r="F197" s="18">
        <f>IF('CONTROLE CMM'!C199="","",'CONTROLE CMM'!C199)</f>
        <v/>
      </c>
      <c r="G197" s="26">
        <f>IF('CONTROLE CMM'!D199="","",'CONTROLE CMM'!D199)</f>
        <v/>
      </c>
      <c r="H197" s="43">
        <f>IF('CONTROLE GLOBO AÇOS'!B199="","",'CONTROLE GLOBO AÇOS'!B199)</f>
        <v/>
      </c>
      <c r="I197" s="18">
        <f>IF('CONTROLE GLOBO AÇOS'!C199="","",'CONTROLE GLOBO AÇOS'!C199)</f>
        <v/>
      </c>
      <c r="J197" s="18">
        <f>IF('CONTROLE GLOBO AÇOS'!D199="","",'CONTROLE GLOBO AÇOS'!D199)</f>
        <v/>
      </c>
      <c r="AD197" s="39">
        <f>IF($A197="",0,IF(AND(WEEKDAY($A197,2)&lt;=5,OR($B197&lt;&gt;"",$C197&lt;&gt;"",$D197&lt;&gt;"")),1,0))</f>
        <v/>
      </c>
      <c r="AE197" s="39">
        <f>IF($A197="",0,IF(AND(WEEKDAY($A197,2)&lt;=5,OR($E197&lt;&gt;"",$F197&lt;&gt;"",$G197&lt;&gt;"")),1,0))</f>
        <v/>
      </c>
      <c r="AF197" s="39">
        <f>MAX(AD197,AE197)</f>
        <v/>
      </c>
      <c r="AH197" s="223">
        <f>IF('CONTROLE GLOBO AÇOS'!E199="","",'CONTROLE GLOBO AÇOS'!E199)</f>
        <v/>
      </c>
      <c r="AI197" s="223">
        <f>IF('CONTROLE GLOBO AÇOS'!F199="","",'CONTROLE GLOBO AÇOS'!F199)</f>
        <v/>
      </c>
      <c r="AJ197" s="223">
        <f>IF(AND('CONTROLE EJ'!E199="",'CONTROLE CMM'!E199=""),"",N('CONTROLE EJ'!E199)+N('CONTROLE CMM'!E199))</f>
        <v/>
      </c>
      <c r="AK197" s="223">
        <f>IF(AND('CONTROLE EJ'!F199="",'CONTROLE CMM'!F199=""),"",N('CONTROLE EJ'!F199)+N('CONTROLE CMM'!F199))</f>
        <v/>
      </c>
      <c r="AL197" s="223">
        <f>IF(AND('CONTROLE EJ'!G199="",'CONTROLE CMM'!G199=""),"",N('CONTROLE EJ'!G199)+N('CONTROLE CMM'!G199))</f>
        <v/>
      </c>
      <c r="AM197" s="223">
        <f>IF(AND('CONTROLE EJ'!H199="",'CONTROLE CMM'!H199=""),"",N('CONTROLE EJ'!H199)+N('CONTROLE CMM'!H199))</f>
        <v/>
      </c>
      <c r="AN197" s="223">
        <f>IF('CONTROLE GLOBO AÇOS'!G199="","",'CONTROLE GLOBO AÇOS'!G199)</f>
        <v/>
      </c>
      <c r="AO197" s="223">
        <f>IF('CONTROLE GLOBO AÇOS'!H199="","",'CONTROLE GLOBO AÇOS'!H199)</f>
        <v/>
      </c>
      <c r="AP197" s="223">
        <f>IF(AND('CONTROLE EJ'!I199="",'CONTROLE CMM'!I199=""),"",N('CONTROLE EJ'!I199)+N('CONTROLE CMM'!I199))</f>
        <v/>
      </c>
      <c r="AQ197" s="223">
        <f>IF(AND('CONTROLE EJ'!J199="",'CONTROLE CMM'!#REF!=""),"",N('CONTROLE EJ'!J199)+N('CONTROLE CMM'!#REF!))</f>
        <v/>
      </c>
      <c r="AR197" s="223">
        <f>IF('CONTROLE GLOBO AÇOS'!I199="","",'CONTROLE GLOBO AÇOS'!I199)</f>
        <v/>
      </c>
      <c r="AS197" s="223">
        <f>IF('CONTROLE GLOBO AÇOS'!J199="","",'CONTROLE GLOBO AÇOS'!J199)</f>
        <v/>
      </c>
      <c r="AT197" s="223">
        <f>IF(#REF!="","",#REF!)</f>
        <v/>
      </c>
      <c r="AU197" s="223">
        <f>IF('CONTROLE GLOBO AÇOS'!K199="","",'CONTROLE GLOBO AÇOS'!K199)</f>
        <v/>
      </c>
      <c r="AV197" s="223">
        <f>IF(AND('CONTROLE EJ'!K199="",'CONTROLE CMM'!#REF!=""),"",N('CONTROLE EJ'!K199)+N('CONTROLE CMM'!#REF!))</f>
        <v/>
      </c>
      <c r="AW197" s="223">
        <f>IF('CONTROLE GLOBO AÇOS'!L199="","",'CONTROLE GLOBO AÇOS'!L199)</f>
        <v/>
      </c>
      <c r="AX197" s="223">
        <f>IF(AND('CONTROLE EJ'!L199="",'CONTROLE CMM'!#REF!=""),"",N('CONTROLE EJ'!L199)+N('CONTROLE CMM'!#REF!))</f>
        <v/>
      </c>
      <c r="AY197" s="223">
        <f>IF('CONTROLE GLOBO AÇOS'!M199="","",'CONTROLE GLOBO AÇOS'!M199)</f>
        <v/>
      </c>
      <c r="AZ197" s="223">
        <f>IF('CONTROLE GLOBO AÇOS'!N199="","",'CONTROLE GLOBO AÇOS'!N199)</f>
        <v/>
      </c>
      <c r="BA197" s="223">
        <f>IF(AND('CONTROLE EJ'!M199="",'CONTROLE CMM'!#REF!=""),"",N('CONTROLE EJ'!M199)+N('CONTROLE CMM'!#REF!))</f>
        <v/>
      </c>
      <c r="BB197" s="223">
        <f>IF(#REF!="","",#REF!)</f>
        <v/>
      </c>
      <c r="BC197" s="223">
        <f>IF('CONTROLE GLOBO AÇOS'!O199="","",'CONTROLE GLOBO AÇOS'!O199)</f>
        <v/>
      </c>
      <c r="BD197" s="223">
        <f>IF(AND('CONTROLE EJ'!N199="",'CONTROLE CMM'!#REF!=""),"",N('CONTROLE EJ'!N199)+N('CONTROLE CMM'!#REF!))</f>
        <v/>
      </c>
      <c r="BE197" s="223">
        <f>IF('CONTROLE GLOBO AÇOS'!P199="","",'CONTROLE GLOBO AÇOS'!P199)</f>
        <v/>
      </c>
      <c r="BF197" s="223">
        <f>IF('CONTROLE GLOBO AÇOS'!Q199="","",'CONTROLE GLOBO AÇOS'!Q199)</f>
        <v/>
      </c>
      <c r="BG197" s="223">
        <f>IF('CONTROLE GLOBO AÇOS'!R199="","",'CONTROLE GLOBO AÇOS'!R199)</f>
        <v/>
      </c>
      <c r="BH197" s="223">
        <f>IF(AND('CONTROLE EJ'!O199="",'CONTROLE CMM'!#REF!=""),"",N('CONTROLE EJ'!O199)+N('CONTROLE CMM'!#REF!))</f>
        <v/>
      </c>
      <c r="BI197" s="223">
        <f>IF('CONTROLE GLOBO AÇOS'!S199="","",'CONTROLE GLOBO AÇOS'!S199)</f>
        <v/>
      </c>
      <c r="BJ197" s="223">
        <f>IF('CONTROLE GLOBO AÇOS'!T199="","",'CONTROLE GLOBO AÇOS'!T199)</f>
        <v/>
      </c>
      <c r="BK197" s="223">
        <f>IF('CONTROLE GLOBO AÇOS'!U199="","",'CONTROLE GLOBO AÇOS'!U199)</f>
        <v/>
      </c>
      <c r="BL197" s="223">
        <f>IF(AND('CONTROLE EJ'!P199="",'CONTROLE CMM'!#REF!=""),"",N('CONTROLE EJ'!P199)+N('CONTROLE CMM'!#REF!))</f>
        <v/>
      </c>
      <c r="BM197" s="223">
        <f>IF(AND('CONTROLE EJ'!Q199="",'CONTROLE CMM'!#REF!=""),"",N('CONTROLE EJ'!Q199)+N('CONTROLE CMM'!#REF!))</f>
        <v/>
      </c>
      <c r="BN197" s="223">
        <f>IF('CONTROLE GLOBO AÇOS'!V199="","",'CONTROLE GLOBO AÇOS'!V199)</f>
        <v/>
      </c>
      <c r="BO197" s="223">
        <f>IF('CONTROLE GLOBO AÇOS'!W199="","",'CONTROLE GLOBO AÇOS'!W199)</f>
        <v/>
      </c>
      <c r="BP197" s="223">
        <f>IF(AND('CONTROLE EJ'!R199="",'CONTROLE CMM'!#REF!=""),"",N('CONTROLE EJ'!R199)+N('CONTROLE CMM'!#REF!))</f>
        <v/>
      </c>
      <c r="BQ197" s="223">
        <f>IF(#REF!="","",#REF!)</f>
        <v/>
      </c>
      <c r="BR197" s="223">
        <f>IF(AND('CONTROLE EJ'!S199="",'CONTROLE CMM'!#REF!=""),"",N('CONTROLE EJ'!S199)+N('CONTROLE CMM'!#REF!))</f>
        <v/>
      </c>
      <c r="BS197" s="223">
        <f>IF(AND('CONTROLE EJ'!T199="",'CONTROLE CMM'!#REF!=""),"",N('CONTROLE EJ'!T199)+N('CONTROLE CMM'!#REF!))</f>
        <v/>
      </c>
      <c r="BT197" s="223">
        <f>IF('CONTROLE GLOBO AÇOS'!X199="","",'CONTROLE GLOBO AÇOS'!X199)</f>
        <v/>
      </c>
      <c r="BU197" s="223">
        <f>IF('CONTROLE GLOBO AÇOS'!Y199="","",'CONTROLE GLOBO AÇOS'!Y199)</f>
        <v/>
      </c>
      <c r="BV197" s="223">
        <f>IF(AND('CONTROLE EJ'!U199="",'CONTROLE CMM'!#REF!=""),"",N('CONTROLE EJ'!U199)+N('CONTROLE CMM'!#REF!))</f>
        <v/>
      </c>
      <c r="BW197" s="223">
        <f>IF(#REF!="","",#REF!)</f>
        <v/>
      </c>
    </row>
    <row r="198">
      <c r="A198" s="282" t="n">
        <v>46415</v>
      </c>
      <c r="B198" s="18">
        <f>IF('CONTROLE EJ'!B200="","",'CONTROLE EJ'!B200)</f>
        <v/>
      </c>
      <c r="C198" s="18">
        <f>IF('CONTROLE EJ'!C200="","",'CONTROLE EJ'!C200)</f>
        <v/>
      </c>
      <c r="D198" s="42">
        <f>IF('CONTROLE EJ'!D200="","",'CONTROLE EJ'!D200)</f>
        <v/>
      </c>
      <c r="E198" s="43">
        <f>IF('CONTROLE CMM'!B200="","",'CONTROLE CMM'!B200)</f>
        <v/>
      </c>
      <c r="F198" s="18">
        <f>IF('CONTROLE CMM'!C200="","",'CONTROLE CMM'!C200)</f>
        <v/>
      </c>
      <c r="G198" s="26">
        <f>IF('CONTROLE CMM'!D200="","",'CONTROLE CMM'!D200)</f>
        <v/>
      </c>
      <c r="H198" s="43">
        <f>IF('CONTROLE GLOBO AÇOS'!B200="","",'CONTROLE GLOBO AÇOS'!B200)</f>
        <v/>
      </c>
      <c r="I198" s="18">
        <f>IF('CONTROLE GLOBO AÇOS'!C200="","",'CONTROLE GLOBO AÇOS'!C200)</f>
        <v/>
      </c>
      <c r="J198" s="18">
        <f>IF('CONTROLE GLOBO AÇOS'!D200="","",'CONTROLE GLOBO AÇOS'!D200)</f>
        <v/>
      </c>
      <c r="AD198" s="39">
        <f>IF($A198="",0,IF(AND(WEEKDAY($A198,2)&lt;=5,OR($B198&lt;&gt;"",$C198&lt;&gt;"",$D198&lt;&gt;"")),1,0))</f>
        <v/>
      </c>
      <c r="AE198" s="39">
        <f>IF($A198="",0,IF(AND(WEEKDAY($A198,2)&lt;=5,OR($E198&lt;&gt;"",$F198&lt;&gt;"",$G198&lt;&gt;"")),1,0))</f>
        <v/>
      </c>
      <c r="AF198" s="39">
        <f>MAX(AD198,AE198)</f>
        <v/>
      </c>
      <c r="AH198" s="223">
        <f>IF('CONTROLE GLOBO AÇOS'!E200="","",'CONTROLE GLOBO AÇOS'!E200)</f>
        <v/>
      </c>
      <c r="AI198" s="223">
        <f>IF('CONTROLE GLOBO AÇOS'!F200="","",'CONTROLE GLOBO AÇOS'!F200)</f>
        <v/>
      </c>
      <c r="AJ198" s="223">
        <f>IF(AND('CONTROLE EJ'!E200="",'CONTROLE CMM'!E200=""),"",N('CONTROLE EJ'!E200)+N('CONTROLE CMM'!E200))</f>
        <v/>
      </c>
      <c r="AK198" s="223">
        <f>IF(AND('CONTROLE EJ'!F200="",'CONTROLE CMM'!F200=""),"",N('CONTROLE EJ'!F200)+N('CONTROLE CMM'!F200))</f>
        <v/>
      </c>
      <c r="AL198" s="223">
        <f>IF(AND('CONTROLE EJ'!G200="",'CONTROLE CMM'!G200=""),"",N('CONTROLE EJ'!G200)+N('CONTROLE CMM'!G200))</f>
        <v/>
      </c>
      <c r="AM198" s="223">
        <f>IF(AND('CONTROLE EJ'!H200="",'CONTROLE CMM'!H200=""),"",N('CONTROLE EJ'!H200)+N('CONTROLE CMM'!H200))</f>
        <v/>
      </c>
      <c r="AN198" s="223">
        <f>IF('CONTROLE GLOBO AÇOS'!G200="","",'CONTROLE GLOBO AÇOS'!G200)</f>
        <v/>
      </c>
      <c r="AO198" s="223">
        <f>IF('CONTROLE GLOBO AÇOS'!H200="","",'CONTROLE GLOBO AÇOS'!H200)</f>
        <v/>
      </c>
      <c r="AP198" s="223">
        <f>IF(AND('CONTROLE EJ'!I200="",'CONTROLE CMM'!I200=""),"",N('CONTROLE EJ'!I200)+N('CONTROLE CMM'!I200))</f>
        <v/>
      </c>
      <c r="AQ198" s="223">
        <f>IF(AND('CONTROLE EJ'!J200="",'CONTROLE CMM'!#REF!=""),"",N('CONTROLE EJ'!J200)+N('CONTROLE CMM'!#REF!))</f>
        <v/>
      </c>
      <c r="AR198" s="223">
        <f>IF('CONTROLE GLOBO AÇOS'!I200="","",'CONTROLE GLOBO AÇOS'!I200)</f>
        <v/>
      </c>
      <c r="AS198" s="223">
        <f>IF('CONTROLE GLOBO AÇOS'!J200="","",'CONTROLE GLOBO AÇOS'!J200)</f>
        <v/>
      </c>
      <c r="AT198" s="223">
        <f>IF(#REF!="","",#REF!)</f>
        <v/>
      </c>
      <c r="AU198" s="223">
        <f>IF('CONTROLE GLOBO AÇOS'!K200="","",'CONTROLE GLOBO AÇOS'!K200)</f>
        <v/>
      </c>
      <c r="AV198" s="223">
        <f>IF(AND('CONTROLE EJ'!K200="",'CONTROLE CMM'!#REF!=""),"",N('CONTROLE EJ'!K200)+N('CONTROLE CMM'!#REF!))</f>
        <v/>
      </c>
      <c r="AW198" s="223">
        <f>IF('CONTROLE GLOBO AÇOS'!L200="","",'CONTROLE GLOBO AÇOS'!L200)</f>
        <v/>
      </c>
      <c r="AX198" s="223">
        <f>IF(AND('CONTROLE EJ'!L200="",'CONTROLE CMM'!#REF!=""),"",N('CONTROLE EJ'!L200)+N('CONTROLE CMM'!#REF!))</f>
        <v/>
      </c>
      <c r="AY198" s="223">
        <f>IF('CONTROLE GLOBO AÇOS'!M200="","",'CONTROLE GLOBO AÇOS'!M200)</f>
        <v/>
      </c>
      <c r="AZ198" s="223">
        <f>IF('CONTROLE GLOBO AÇOS'!N200="","",'CONTROLE GLOBO AÇOS'!N200)</f>
        <v/>
      </c>
      <c r="BA198" s="223">
        <f>IF(AND('CONTROLE EJ'!M200="",'CONTROLE CMM'!#REF!=""),"",N('CONTROLE EJ'!M200)+N('CONTROLE CMM'!#REF!))</f>
        <v/>
      </c>
      <c r="BB198" s="223">
        <f>IF(#REF!="","",#REF!)</f>
        <v/>
      </c>
      <c r="BC198" s="223">
        <f>IF('CONTROLE GLOBO AÇOS'!O200="","",'CONTROLE GLOBO AÇOS'!O200)</f>
        <v/>
      </c>
      <c r="BD198" s="223">
        <f>IF(AND('CONTROLE EJ'!N200="",'CONTROLE CMM'!#REF!=""),"",N('CONTROLE EJ'!N200)+N('CONTROLE CMM'!#REF!))</f>
        <v/>
      </c>
      <c r="BE198" s="223">
        <f>IF('CONTROLE GLOBO AÇOS'!P200="","",'CONTROLE GLOBO AÇOS'!P200)</f>
        <v/>
      </c>
      <c r="BF198" s="223">
        <f>IF('CONTROLE GLOBO AÇOS'!Q200="","",'CONTROLE GLOBO AÇOS'!Q200)</f>
        <v/>
      </c>
      <c r="BG198" s="223">
        <f>IF('CONTROLE GLOBO AÇOS'!R200="","",'CONTROLE GLOBO AÇOS'!R200)</f>
        <v/>
      </c>
      <c r="BH198" s="223">
        <f>IF(AND('CONTROLE EJ'!O200="",'CONTROLE CMM'!#REF!=""),"",N('CONTROLE EJ'!O200)+N('CONTROLE CMM'!#REF!))</f>
        <v/>
      </c>
      <c r="BI198" s="223">
        <f>IF('CONTROLE GLOBO AÇOS'!S200="","",'CONTROLE GLOBO AÇOS'!S200)</f>
        <v/>
      </c>
      <c r="BJ198" s="223">
        <f>IF('CONTROLE GLOBO AÇOS'!T200="","",'CONTROLE GLOBO AÇOS'!T200)</f>
        <v/>
      </c>
      <c r="BK198" s="223">
        <f>IF('CONTROLE GLOBO AÇOS'!U200="","",'CONTROLE GLOBO AÇOS'!U200)</f>
        <v/>
      </c>
      <c r="BL198" s="223">
        <f>IF(AND('CONTROLE EJ'!P200="",'CONTROLE CMM'!#REF!=""),"",N('CONTROLE EJ'!P200)+N('CONTROLE CMM'!#REF!))</f>
        <v/>
      </c>
      <c r="BM198" s="223">
        <f>IF(AND('CONTROLE EJ'!Q200="",'CONTROLE CMM'!#REF!=""),"",N('CONTROLE EJ'!Q200)+N('CONTROLE CMM'!#REF!))</f>
        <v/>
      </c>
      <c r="BN198" s="223">
        <f>IF('CONTROLE GLOBO AÇOS'!V200="","",'CONTROLE GLOBO AÇOS'!V200)</f>
        <v/>
      </c>
      <c r="BO198" s="223">
        <f>IF('CONTROLE GLOBO AÇOS'!W200="","",'CONTROLE GLOBO AÇOS'!W200)</f>
        <v/>
      </c>
      <c r="BP198" s="223">
        <f>IF(AND('CONTROLE EJ'!R200="",'CONTROLE CMM'!#REF!=""),"",N('CONTROLE EJ'!R200)+N('CONTROLE CMM'!#REF!))</f>
        <v/>
      </c>
      <c r="BQ198" s="223">
        <f>IF(#REF!="","",#REF!)</f>
        <v/>
      </c>
      <c r="BR198" s="223">
        <f>IF(AND('CONTROLE EJ'!S200="",'CONTROLE CMM'!#REF!=""),"",N('CONTROLE EJ'!S200)+N('CONTROLE CMM'!#REF!))</f>
        <v/>
      </c>
      <c r="BS198" s="223">
        <f>IF(AND('CONTROLE EJ'!T200="",'CONTROLE CMM'!#REF!=""),"",N('CONTROLE EJ'!T200)+N('CONTROLE CMM'!#REF!))</f>
        <v/>
      </c>
      <c r="BT198" s="223">
        <f>IF('CONTROLE GLOBO AÇOS'!X200="","",'CONTROLE GLOBO AÇOS'!X200)</f>
        <v/>
      </c>
      <c r="BU198" s="223">
        <f>IF('CONTROLE GLOBO AÇOS'!Y200="","",'CONTROLE GLOBO AÇOS'!Y200)</f>
        <v/>
      </c>
      <c r="BV198" s="223">
        <f>IF(AND('CONTROLE EJ'!U200="",'CONTROLE CMM'!#REF!=""),"",N('CONTROLE EJ'!U200)+N('CONTROLE CMM'!#REF!))</f>
        <v/>
      </c>
      <c r="BW198" s="223">
        <f>IF(#REF!="","",#REF!)</f>
        <v/>
      </c>
    </row>
    <row r="199">
      <c r="A199" s="282" t="n">
        <v>46416</v>
      </c>
      <c r="B199" s="18">
        <f>IF('CONTROLE EJ'!B201="","",'CONTROLE EJ'!B201)</f>
        <v/>
      </c>
      <c r="C199" s="18">
        <f>IF('CONTROLE EJ'!C201="","",'CONTROLE EJ'!C201)</f>
        <v/>
      </c>
      <c r="D199" s="42">
        <f>IF('CONTROLE EJ'!D201="","",'CONTROLE EJ'!D201)</f>
        <v/>
      </c>
      <c r="E199" s="43">
        <f>IF('CONTROLE CMM'!B201="","",'CONTROLE CMM'!B201)</f>
        <v/>
      </c>
      <c r="F199" s="18">
        <f>IF('CONTROLE CMM'!C201="","",'CONTROLE CMM'!C201)</f>
        <v/>
      </c>
      <c r="G199" s="26">
        <f>IF('CONTROLE CMM'!D201="","",'CONTROLE CMM'!D201)</f>
        <v/>
      </c>
      <c r="H199" s="43">
        <f>IF('CONTROLE GLOBO AÇOS'!B201="","",'CONTROLE GLOBO AÇOS'!B201)</f>
        <v/>
      </c>
      <c r="I199" s="18">
        <f>IF('CONTROLE GLOBO AÇOS'!C201="","",'CONTROLE GLOBO AÇOS'!C201)</f>
        <v/>
      </c>
      <c r="J199" s="18">
        <f>IF('CONTROLE GLOBO AÇOS'!D201="","",'CONTROLE GLOBO AÇOS'!D201)</f>
        <v/>
      </c>
      <c r="AD199" s="39">
        <f>IF($A199="",0,IF(AND(WEEKDAY($A199,2)&lt;=5,OR($B199&lt;&gt;"",$C199&lt;&gt;"",$D199&lt;&gt;"")),1,0))</f>
        <v/>
      </c>
      <c r="AE199" s="39">
        <f>IF($A199="",0,IF(AND(WEEKDAY($A199,2)&lt;=5,OR($E199&lt;&gt;"",$F199&lt;&gt;"",$G199&lt;&gt;"")),1,0))</f>
        <v/>
      </c>
      <c r="AF199" s="39">
        <f>MAX(AD199,AE199)</f>
        <v/>
      </c>
      <c r="AH199" s="223">
        <f>IF('CONTROLE GLOBO AÇOS'!E201="","",'CONTROLE GLOBO AÇOS'!E201)</f>
        <v/>
      </c>
      <c r="AI199" s="223">
        <f>IF('CONTROLE GLOBO AÇOS'!F201="","",'CONTROLE GLOBO AÇOS'!F201)</f>
        <v/>
      </c>
      <c r="AJ199" s="223">
        <f>IF(AND('CONTROLE EJ'!E201="",'CONTROLE CMM'!E201=""),"",N('CONTROLE EJ'!E201)+N('CONTROLE CMM'!E201))</f>
        <v/>
      </c>
      <c r="AK199" s="223">
        <f>IF(AND('CONTROLE EJ'!F201="",'CONTROLE CMM'!F201=""),"",N('CONTROLE EJ'!F201)+N('CONTROLE CMM'!F201))</f>
        <v/>
      </c>
      <c r="AL199" s="223">
        <f>IF(AND('CONTROLE EJ'!G201="",'CONTROLE CMM'!G201=""),"",N('CONTROLE EJ'!G201)+N('CONTROLE CMM'!G201))</f>
        <v/>
      </c>
      <c r="AM199" s="223">
        <f>IF(AND('CONTROLE EJ'!H201="",'CONTROLE CMM'!H201=""),"",N('CONTROLE EJ'!H201)+N('CONTROLE CMM'!H201))</f>
        <v/>
      </c>
      <c r="AN199" s="223">
        <f>IF('CONTROLE GLOBO AÇOS'!G201="","",'CONTROLE GLOBO AÇOS'!G201)</f>
        <v/>
      </c>
      <c r="AO199" s="223">
        <f>IF('CONTROLE GLOBO AÇOS'!H201="","",'CONTROLE GLOBO AÇOS'!H201)</f>
        <v/>
      </c>
      <c r="AP199" s="223">
        <f>IF(AND('CONTROLE EJ'!I201="",'CONTROLE CMM'!I201=""),"",N('CONTROLE EJ'!I201)+N('CONTROLE CMM'!I201))</f>
        <v/>
      </c>
      <c r="AQ199" s="223">
        <f>IF(AND('CONTROLE EJ'!J201="",'CONTROLE CMM'!#REF!=""),"",N('CONTROLE EJ'!J201)+N('CONTROLE CMM'!#REF!))</f>
        <v/>
      </c>
      <c r="AR199" s="223">
        <f>IF('CONTROLE GLOBO AÇOS'!I201="","",'CONTROLE GLOBO AÇOS'!I201)</f>
        <v/>
      </c>
      <c r="AS199" s="223">
        <f>IF('CONTROLE GLOBO AÇOS'!J201="","",'CONTROLE GLOBO AÇOS'!J201)</f>
        <v/>
      </c>
      <c r="AT199" s="223">
        <f>IF(#REF!="","",#REF!)</f>
        <v/>
      </c>
      <c r="AU199" s="223">
        <f>IF('CONTROLE GLOBO AÇOS'!K201="","",'CONTROLE GLOBO AÇOS'!K201)</f>
        <v/>
      </c>
      <c r="AV199" s="223">
        <f>IF(AND('CONTROLE EJ'!K201="",'CONTROLE CMM'!#REF!=""),"",N('CONTROLE EJ'!K201)+N('CONTROLE CMM'!#REF!))</f>
        <v/>
      </c>
      <c r="AW199" s="223">
        <f>IF('CONTROLE GLOBO AÇOS'!L201="","",'CONTROLE GLOBO AÇOS'!L201)</f>
        <v/>
      </c>
      <c r="AX199" s="223">
        <f>IF(AND('CONTROLE EJ'!L201="",'CONTROLE CMM'!#REF!=""),"",N('CONTROLE EJ'!L201)+N('CONTROLE CMM'!#REF!))</f>
        <v/>
      </c>
      <c r="AY199" s="223">
        <f>IF('CONTROLE GLOBO AÇOS'!M201="","",'CONTROLE GLOBO AÇOS'!M201)</f>
        <v/>
      </c>
      <c r="AZ199" s="223">
        <f>IF('CONTROLE GLOBO AÇOS'!N201="","",'CONTROLE GLOBO AÇOS'!N201)</f>
        <v/>
      </c>
      <c r="BA199" s="223">
        <f>IF(AND('CONTROLE EJ'!M201="",'CONTROLE CMM'!#REF!=""),"",N('CONTROLE EJ'!M201)+N('CONTROLE CMM'!#REF!))</f>
        <v/>
      </c>
      <c r="BB199" s="223">
        <f>IF(#REF!="","",#REF!)</f>
        <v/>
      </c>
      <c r="BC199" s="223">
        <f>IF('CONTROLE GLOBO AÇOS'!O201="","",'CONTROLE GLOBO AÇOS'!O201)</f>
        <v/>
      </c>
      <c r="BD199" s="223">
        <f>IF(AND('CONTROLE EJ'!N201="",'CONTROLE CMM'!#REF!=""),"",N('CONTROLE EJ'!N201)+N('CONTROLE CMM'!#REF!))</f>
        <v/>
      </c>
      <c r="BE199" s="223">
        <f>IF('CONTROLE GLOBO AÇOS'!P201="","",'CONTROLE GLOBO AÇOS'!P201)</f>
        <v/>
      </c>
      <c r="BF199" s="223">
        <f>IF('CONTROLE GLOBO AÇOS'!Q201="","",'CONTROLE GLOBO AÇOS'!Q201)</f>
        <v/>
      </c>
      <c r="BG199" s="223">
        <f>IF('CONTROLE GLOBO AÇOS'!R201="","",'CONTROLE GLOBO AÇOS'!R201)</f>
        <v/>
      </c>
      <c r="BH199" s="223">
        <f>IF(AND('CONTROLE EJ'!O201="",'CONTROLE CMM'!#REF!=""),"",N('CONTROLE EJ'!O201)+N('CONTROLE CMM'!#REF!))</f>
        <v/>
      </c>
      <c r="BI199" s="223">
        <f>IF('CONTROLE GLOBO AÇOS'!S201="","",'CONTROLE GLOBO AÇOS'!S201)</f>
        <v/>
      </c>
      <c r="BJ199" s="223">
        <f>IF('CONTROLE GLOBO AÇOS'!T201="","",'CONTROLE GLOBO AÇOS'!T201)</f>
        <v/>
      </c>
      <c r="BK199" s="223">
        <f>IF('CONTROLE GLOBO AÇOS'!U201="","",'CONTROLE GLOBO AÇOS'!U201)</f>
        <v/>
      </c>
      <c r="BL199" s="223">
        <f>IF(AND('CONTROLE EJ'!P201="",'CONTROLE CMM'!#REF!=""),"",N('CONTROLE EJ'!P201)+N('CONTROLE CMM'!#REF!))</f>
        <v/>
      </c>
      <c r="BM199" s="223">
        <f>IF(AND('CONTROLE EJ'!Q201="",'CONTROLE CMM'!#REF!=""),"",N('CONTROLE EJ'!Q201)+N('CONTROLE CMM'!#REF!))</f>
        <v/>
      </c>
      <c r="BN199" s="223">
        <f>IF('CONTROLE GLOBO AÇOS'!V201="","",'CONTROLE GLOBO AÇOS'!V201)</f>
        <v/>
      </c>
      <c r="BO199" s="223">
        <f>IF('CONTROLE GLOBO AÇOS'!W201="","",'CONTROLE GLOBO AÇOS'!W201)</f>
        <v/>
      </c>
      <c r="BP199" s="223">
        <f>IF(AND('CONTROLE EJ'!R201="",'CONTROLE CMM'!#REF!=""),"",N('CONTROLE EJ'!R201)+N('CONTROLE CMM'!#REF!))</f>
        <v/>
      </c>
      <c r="BQ199" s="223">
        <f>IF(#REF!="","",#REF!)</f>
        <v/>
      </c>
      <c r="BR199" s="223">
        <f>IF(AND('CONTROLE EJ'!S201="",'CONTROLE CMM'!#REF!=""),"",N('CONTROLE EJ'!S201)+N('CONTROLE CMM'!#REF!))</f>
        <v/>
      </c>
      <c r="BS199" s="223">
        <f>IF(AND('CONTROLE EJ'!T201="",'CONTROLE CMM'!#REF!=""),"",N('CONTROLE EJ'!T201)+N('CONTROLE CMM'!#REF!))</f>
        <v/>
      </c>
      <c r="BT199" s="223">
        <f>IF('CONTROLE GLOBO AÇOS'!X201="","",'CONTROLE GLOBO AÇOS'!X201)</f>
        <v/>
      </c>
      <c r="BU199" s="223">
        <f>IF('CONTROLE GLOBO AÇOS'!Y201="","",'CONTROLE GLOBO AÇOS'!Y201)</f>
        <v/>
      </c>
      <c r="BV199" s="223">
        <f>IF(AND('CONTROLE EJ'!U201="",'CONTROLE CMM'!#REF!=""),"",N('CONTROLE EJ'!U201)+N('CONTROLE CMM'!#REF!))</f>
        <v/>
      </c>
      <c r="BW199" s="223">
        <f>IF(#REF!="","",#REF!)</f>
        <v/>
      </c>
    </row>
    <row r="200">
      <c r="A200" s="282" t="n">
        <v>46417</v>
      </c>
      <c r="B200" s="18">
        <f>IF('CONTROLE EJ'!B202="","",'CONTROLE EJ'!B202)</f>
        <v/>
      </c>
      <c r="C200" s="18">
        <f>IF('CONTROLE EJ'!C202="","",'CONTROLE EJ'!C202)</f>
        <v/>
      </c>
      <c r="D200" s="42">
        <f>IF('CONTROLE EJ'!D202="","",'CONTROLE EJ'!D202)</f>
        <v/>
      </c>
      <c r="E200" s="43">
        <f>IF('CONTROLE CMM'!B202="","",'CONTROLE CMM'!B202)</f>
        <v/>
      </c>
      <c r="F200" s="18">
        <f>IF('CONTROLE CMM'!C202="","",'CONTROLE CMM'!C202)</f>
        <v/>
      </c>
      <c r="G200" s="26">
        <f>IF('CONTROLE CMM'!D202="","",'CONTROLE CMM'!D202)</f>
        <v/>
      </c>
      <c r="H200" s="43">
        <f>IF('CONTROLE GLOBO AÇOS'!B202="","",'CONTROLE GLOBO AÇOS'!B202)</f>
        <v/>
      </c>
      <c r="I200" s="18">
        <f>IF('CONTROLE GLOBO AÇOS'!C202="","",'CONTROLE GLOBO AÇOS'!C202)</f>
        <v/>
      </c>
      <c r="J200" s="18">
        <f>IF('CONTROLE GLOBO AÇOS'!D202="","",'CONTROLE GLOBO AÇOS'!D202)</f>
        <v/>
      </c>
      <c r="AD200" s="39">
        <f>IF($A200="",0,IF(AND(WEEKDAY($A200,2)&lt;=5,OR($B200&lt;&gt;"",$C200&lt;&gt;"",$D200&lt;&gt;"")),1,0))</f>
        <v/>
      </c>
      <c r="AE200" s="39">
        <f>IF($A200="",0,IF(AND(WEEKDAY($A200,2)&lt;=5,OR($E200&lt;&gt;"",$F200&lt;&gt;"",$G200&lt;&gt;"")),1,0))</f>
        <v/>
      </c>
      <c r="AF200" s="39">
        <f>MAX(AD200,AE200)</f>
        <v/>
      </c>
      <c r="AH200" s="223">
        <f>IF('CONTROLE GLOBO AÇOS'!E202="","",'CONTROLE GLOBO AÇOS'!E202)</f>
        <v/>
      </c>
      <c r="AI200" s="223">
        <f>IF('CONTROLE GLOBO AÇOS'!F202="","",'CONTROLE GLOBO AÇOS'!F202)</f>
        <v/>
      </c>
      <c r="AJ200" s="223">
        <f>IF(AND('CONTROLE EJ'!E202="",'CONTROLE CMM'!E202=""),"",N('CONTROLE EJ'!E202)+N('CONTROLE CMM'!E202))</f>
        <v/>
      </c>
      <c r="AK200" s="223">
        <f>IF(AND('CONTROLE EJ'!F202="",'CONTROLE CMM'!F202=""),"",N('CONTROLE EJ'!F202)+N('CONTROLE CMM'!F202))</f>
        <v/>
      </c>
      <c r="AL200" s="223">
        <f>IF(AND('CONTROLE EJ'!G202="",'CONTROLE CMM'!G202=""),"",N('CONTROLE EJ'!G202)+N('CONTROLE CMM'!G202))</f>
        <v/>
      </c>
      <c r="AM200" s="223">
        <f>IF(AND('CONTROLE EJ'!H202="",'CONTROLE CMM'!H202=""),"",N('CONTROLE EJ'!H202)+N('CONTROLE CMM'!H202))</f>
        <v/>
      </c>
      <c r="AN200" s="223">
        <f>IF('CONTROLE GLOBO AÇOS'!G202="","",'CONTROLE GLOBO AÇOS'!G202)</f>
        <v/>
      </c>
      <c r="AO200" s="223">
        <f>IF('CONTROLE GLOBO AÇOS'!H202="","",'CONTROLE GLOBO AÇOS'!H202)</f>
        <v/>
      </c>
      <c r="AP200" s="223">
        <f>IF(AND('CONTROLE EJ'!I202="",'CONTROLE CMM'!I202=""),"",N('CONTROLE EJ'!I202)+N('CONTROLE CMM'!I202))</f>
        <v/>
      </c>
      <c r="AQ200" s="223">
        <f>IF(AND('CONTROLE EJ'!J202="",'CONTROLE CMM'!#REF!=""),"",N('CONTROLE EJ'!J202)+N('CONTROLE CMM'!#REF!))</f>
        <v/>
      </c>
      <c r="AR200" s="223">
        <f>IF('CONTROLE GLOBO AÇOS'!I202="","",'CONTROLE GLOBO AÇOS'!I202)</f>
        <v/>
      </c>
      <c r="AS200" s="223">
        <f>IF('CONTROLE GLOBO AÇOS'!J202="","",'CONTROLE GLOBO AÇOS'!J202)</f>
        <v/>
      </c>
      <c r="AT200" s="223">
        <f>IF(#REF!="","",#REF!)</f>
        <v/>
      </c>
      <c r="AU200" s="223">
        <f>IF('CONTROLE GLOBO AÇOS'!K202="","",'CONTROLE GLOBO AÇOS'!K202)</f>
        <v/>
      </c>
      <c r="AV200" s="223">
        <f>IF(AND('CONTROLE EJ'!K202="",'CONTROLE CMM'!#REF!=""),"",N('CONTROLE EJ'!K202)+N('CONTROLE CMM'!#REF!))</f>
        <v/>
      </c>
      <c r="AW200" s="223">
        <f>IF('CONTROLE GLOBO AÇOS'!L202="","",'CONTROLE GLOBO AÇOS'!L202)</f>
        <v/>
      </c>
      <c r="AX200" s="223">
        <f>IF(AND('CONTROLE EJ'!L202="",'CONTROLE CMM'!#REF!=""),"",N('CONTROLE EJ'!L202)+N('CONTROLE CMM'!#REF!))</f>
        <v/>
      </c>
      <c r="AY200" s="223">
        <f>IF('CONTROLE GLOBO AÇOS'!M202="","",'CONTROLE GLOBO AÇOS'!M202)</f>
        <v/>
      </c>
      <c r="AZ200" s="223">
        <f>IF('CONTROLE GLOBO AÇOS'!N202="","",'CONTROLE GLOBO AÇOS'!N202)</f>
        <v/>
      </c>
      <c r="BA200" s="223">
        <f>IF(AND('CONTROLE EJ'!M202="",'CONTROLE CMM'!#REF!=""),"",N('CONTROLE EJ'!M202)+N('CONTROLE CMM'!#REF!))</f>
        <v/>
      </c>
      <c r="BB200" s="223">
        <f>IF(#REF!="","",#REF!)</f>
        <v/>
      </c>
      <c r="BC200" s="223">
        <f>IF('CONTROLE GLOBO AÇOS'!O202="","",'CONTROLE GLOBO AÇOS'!O202)</f>
        <v/>
      </c>
      <c r="BD200" s="223">
        <f>IF(AND('CONTROLE EJ'!N202="",'CONTROLE CMM'!#REF!=""),"",N('CONTROLE EJ'!N202)+N('CONTROLE CMM'!#REF!))</f>
        <v/>
      </c>
      <c r="BE200" s="223">
        <f>IF('CONTROLE GLOBO AÇOS'!P202="","",'CONTROLE GLOBO AÇOS'!P202)</f>
        <v/>
      </c>
      <c r="BF200" s="223">
        <f>IF('CONTROLE GLOBO AÇOS'!Q202="","",'CONTROLE GLOBO AÇOS'!Q202)</f>
        <v/>
      </c>
      <c r="BG200" s="223">
        <f>IF('CONTROLE GLOBO AÇOS'!R202="","",'CONTROLE GLOBO AÇOS'!R202)</f>
        <v/>
      </c>
      <c r="BH200" s="223">
        <f>IF(AND('CONTROLE EJ'!O202="",'CONTROLE CMM'!#REF!=""),"",N('CONTROLE EJ'!O202)+N('CONTROLE CMM'!#REF!))</f>
        <v/>
      </c>
      <c r="BI200" s="223">
        <f>IF('CONTROLE GLOBO AÇOS'!S202="","",'CONTROLE GLOBO AÇOS'!S202)</f>
        <v/>
      </c>
      <c r="BJ200" s="223">
        <f>IF('CONTROLE GLOBO AÇOS'!T202="","",'CONTROLE GLOBO AÇOS'!T202)</f>
        <v/>
      </c>
      <c r="BK200" s="223">
        <f>IF('CONTROLE GLOBO AÇOS'!U202="","",'CONTROLE GLOBO AÇOS'!U202)</f>
        <v/>
      </c>
      <c r="BL200" s="223">
        <f>IF(AND('CONTROLE EJ'!P202="",'CONTROLE CMM'!#REF!=""),"",N('CONTROLE EJ'!P202)+N('CONTROLE CMM'!#REF!))</f>
        <v/>
      </c>
      <c r="BM200" s="223">
        <f>IF(AND('CONTROLE EJ'!Q202="",'CONTROLE CMM'!#REF!=""),"",N('CONTROLE EJ'!Q202)+N('CONTROLE CMM'!#REF!))</f>
        <v/>
      </c>
      <c r="BN200" s="223">
        <f>IF('CONTROLE GLOBO AÇOS'!V202="","",'CONTROLE GLOBO AÇOS'!V202)</f>
        <v/>
      </c>
      <c r="BO200" s="223">
        <f>IF('CONTROLE GLOBO AÇOS'!W202="","",'CONTROLE GLOBO AÇOS'!W202)</f>
        <v/>
      </c>
      <c r="BP200" s="223">
        <f>IF(AND('CONTROLE EJ'!R202="",'CONTROLE CMM'!#REF!=""),"",N('CONTROLE EJ'!R202)+N('CONTROLE CMM'!#REF!))</f>
        <v/>
      </c>
      <c r="BQ200" s="223">
        <f>IF(#REF!="","",#REF!)</f>
        <v/>
      </c>
      <c r="BR200" s="223">
        <f>IF(AND('CONTROLE EJ'!S202="",'CONTROLE CMM'!#REF!=""),"",N('CONTROLE EJ'!S202)+N('CONTROLE CMM'!#REF!))</f>
        <v/>
      </c>
      <c r="BS200" s="223">
        <f>IF(AND('CONTROLE EJ'!T202="",'CONTROLE CMM'!#REF!=""),"",N('CONTROLE EJ'!T202)+N('CONTROLE CMM'!#REF!))</f>
        <v/>
      </c>
      <c r="BT200" s="223">
        <f>IF('CONTROLE GLOBO AÇOS'!X202="","",'CONTROLE GLOBO AÇOS'!X202)</f>
        <v/>
      </c>
      <c r="BU200" s="223">
        <f>IF('CONTROLE GLOBO AÇOS'!Y202="","",'CONTROLE GLOBO AÇOS'!Y202)</f>
        <v/>
      </c>
      <c r="BV200" s="223">
        <f>IF(AND('CONTROLE EJ'!U202="",'CONTROLE CMM'!#REF!=""),"",N('CONTROLE EJ'!U202)+N('CONTROLE CMM'!#REF!))</f>
        <v/>
      </c>
      <c r="BW200" s="223">
        <f>IF(#REF!="","",#REF!)</f>
        <v/>
      </c>
    </row>
    <row r="201">
      <c r="A201" s="282" t="n">
        <v>46418</v>
      </c>
      <c r="B201" s="18">
        <f>IF('CONTROLE EJ'!B203="","",'CONTROLE EJ'!B203)</f>
        <v/>
      </c>
      <c r="C201" s="18">
        <f>IF('CONTROLE EJ'!C203="","",'CONTROLE EJ'!C203)</f>
        <v/>
      </c>
      <c r="D201" s="42">
        <f>IF('CONTROLE EJ'!D203="","",'CONTROLE EJ'!D203)</f>
        <v/>
      </c>
      <c r="E201" s="43">
        <f>IF('CONTROLE CMM'!B203="","",'CONTROLE CMM'!B203)</f>
        <v/>
      </c>
      <c r="F201" s="18">
        <f>IF('CONTROLE CMM'!C203="","",'CONTROLE CMM'!C203)</f>
        <v/>
      </c>
      <c r="G201" s="26">
        <f>IF('CONTROLE CMM'!D203="","",'CONTROLE CMM'!D203)</f>
        <v/>
      </c>
      <c r="H201" s="43">
        <f>IF('CONTROLE GLOBO AÇOS'!B203="","",'CONTROLE GLOBO AÇOS'!B203)</f>
        <v/>
      </c>
      <c r="I201" s="18">
        <f>IF('CONTROLE GLOBO AÇOS'!C203="","",'CONTROLE GLOBO AÇOS'!C203)</f>
        <v/>
      </c>
      <c r="J201" s="18">
        <f>IF('CONTROLE GLOBO AÇOS'!D203="","",'CONTROLE GLOBO AÇOS'!D203)</f>
        <v/>
      </c>
      <c r="AD201" s="39">
        <f>IF($A201="",0,IF(AND(WEEKDAY($A201,2)&lt;=5,OR($B201&lt;&gt;"",$C201&lt;&gt;"",$D201&lt;&gt;"")),1,0))</f>
        <v/>
      </c>
      <c r="AE201" s="39">
        <f>IF($A201="",0,IF(AND(WEEKDAY($A201,2)&lt;=5,OR($E201&lt;&gt;"",$F201&lt;&gt;"",$G201&lt;&gt;"")),1,0))</f>
        <v/>
      </c>
      <c r="AF201" s="39">
        <f>MAX(AD201,AE201)</f>
        <v/>
      </c>
      <c r="AH201" s="223">
        <f>IF('CONTROLE GLOBO AÇOS'!E203="","",'CONTROLE GLOBO AÇOS'!E203)</f>
        <v/>
      </c>
      <c r="AI201" s="223">
        <f>IF('CONTROLE GLOBO AÇOS'!F203="","",'CONTROLE GLOBO AÇOS'!F203)</f>
        <v/>
      </c>
      <c r="AJ201" s="223">
        <f>IF(AND('CONTROLE EJ'!E203="",'CONTROLE CMM'!E203=""),"",N('CONTROLE EJ'!E203)+N('CONTROLE CMM'!E203))</f>
        <v/>
      </c>
      <c r="AK201" s="223">
        <f>IF(AND('CONTROLE EJ'!F203="",'CONTROLE CMM'!F203=""),"",N('CONTROLE EJ'!F203)+N('CONTROLE CMM'!F203))</f>
        <v/>
      </c>
      <c r="AL201" s="223">
        <f>IF(AND('CONTROLE EJ'!G203="",'CONTROLE CMM'!G203=""),"",N('CONTROLE EJ'!G203)+N('CONTROLE CMM'!G203))</f>
        <v/>
      </c>
      <c r="AM201" s="223">
        <f>IF(AND('CONTROLE EJ'!H203="",'CONTROLE CMM'!H203=""),"",N('CONTROLE EJ'!H203)+N('CONTROLE CMM'!H203))</f>
        <v/>
      </c>
      <c r="AN201" s="223">
        <f>IF('CONTROLE GLOBO AÇOS'!G203="","",'CONTROLE GLOBO AÇOS'!G203)</f>
        <v/>
      </c>
      <c r="AO201" s="223">
        <f>IF('CONTROLE GLOBO AÇOS'!H203="","",'CONTROLE GLOBO AÇOS'!H203)</f>
        <v/>
      </c>
      <c r="AP201" s="223">
        <f>IF(AND('CONTROLE EJ'!I203="",'CONTROLE CMM'!I203=""),"",N('CONTROLE EJ'!I203)+N('CONTROLE CMM'!I203))</f>
        <v/>
      </c>
      <c r="AQ201" s="223">
        <f>IF(AND('CONTROLE EJ'!J203="",'CONTROLE CMM'!#REF!=""),"",N('CONTROLE EJ'!J203)+N('CONTROLE CMM'!#REF!))</f>
        <v/>
      </c>
      <c r="AR201" s="223">
        <f>IF('CONTROLE GLOBO AÇOS'!I203="","",'CONTROLE GLOBO AÇOS'!I203)</f>
        <v/>
      </c>
      <c r="AS201" s="223">
        <f>IF('CONTROLE GLOBO AÇOS'!J203="","",'CONTROLE GLOBO AÇOS'!J203)</f>
        <v/>
      </c>
      <c r="AT201" s="223">
        <f>IF(#REF!="","",#REF!)</f>
        <v/>
      </c>
      <c r="AU201" s="223">
        <f>IF('CONTROLE GLOBO AÇOS'!K203="","",'CONTROLE GLOBO AÇOS'!K203)</f>
        <v/>
      </c>
      <c r="AV201" s="223">
        <f>IF(AND('CONTROLE EJ'!K203="",'CONTROLE CMM'!#REF!=""),"",N('CONTROLE EJ'!K203)+N('CONTROLE CMM'!#REF!))</f>
        <v/>
      </c>
      <c r="AW201" s="223">
        <f>IF('CONTROLE GLOBO AÇOS'!L203="","",'CONTROLE GLOBO AÇOS'!L203)</f>
        <v/>
      </c>
      <c r="AX201" s="223">
        <f>IF(AND('CONTROLE EJ'!L203="",'CONTROLE CMM'!#REF!=""),"",N('CONTROLE EJ'!L203)+N('CONTROLE CMM'!#REF!))</f>
        <v/>
      </c>
      <c r="AY201" s="223">
        <f>IF('CONTROLE GLOBO AÇOS'!M203="","",'CONTROLE GLOBO AÇOS'!M203)</f>
        <v/>
      </c>
      <c r="AZ201" s="223">
        <f>IF('CONTROLE GLOBO AÇOS'!N203="","",'CONTROLE GLOBO AÇOS'!N203)</f>
        <v/>
      </c>
      <c r="BA201" s="223">
        <f>IF(AND('CONTROLE EJ'!M203="",'CONTROLE CMM'!#REF!=""),"",N('CONTROLE EJ'!M203)+N('CONTROLE CMM'!#REF!))</f>
        <v/>
      </c>
      <c r="BB201" s="223">
        <f>IF(#REF!="","",#REF!)</f>
        <v/>
      </c>
      <c r="BC201" s="223">
        <f>IF('CONTROLE GLOBO AÇOS'!O203="","",'CONTROLE GLOBO AÇOS'!O203)</f>
        <v/>
      </c>
      <c r="BD201" s="223">
        <f>IF(AND('CONTROLE EJ'!N203="",'CONTROLE CMM'!#REF!=""),"",N('CONTROLE EJ'!N203)+N('CONTROLE CMM'!#REF!))</f>
        <v/>
      </c>
      <c r="BE201" s="223">
        <f>IF('CONTROLE GLOBO AÇOS'!P203="","",'CONTROLE GLOBO AÇOS'!P203)</f>
        <v/>
      </c>
      <c r="BF201" s="223">
        <f>IF('CONTROLE GLOBO AÇOS'!Q203="","",'CONTROLE GLOBO AÇOS'!Q203)</f>
        <v/>
      </c>
      <c r="BG201" s="223">
        <f>IF('CONTROLE GLOBO AÇOS'!R203="","",'CONTROLE GLOBO AÇOS'!R203)</f>
        <v/>
      </c>
      <c r="BH201" s="223">
        <f>IF(AND('CONTROLE EJ'!O203="",'CONTROLE CMM'!#REF!=""),"",N('CONTROLE EJ'!O203)+N('CONTROLE CMM'!#REF!))</f>
        <v/>
      </c>
      <c r="BI201" s="223">
        <f>IF('CONTROLE GLOBO AÇOS'!S203="","",'CONTROLE GLOBO AÇOS'!S203)</f>
        <v/>
      </c>
      <c r="BJ201" s="223">
        <f>IF('CONTROLE GLOBO AÇOS'!T203="","",'CONTROLE GLOBO AÇOS'!T203)</f>
        <v/>
      </c>
      <c r="BK201" s="223">
        <f>IF('CONTROLE GLOBO AÇOS'!U203="","",'CONTROLE GLOBO AÇOS'!U203)</f>
        <v/>
      </c>
      <c r="BL201" s="223">
        <f>IF(AND('CONTROLE EJ'!P203="",'CONTROLE CMM'!#REF!=""),"",N('CONTROLE EJ'!P203)+N('CONTROLE CMM'!#REF!))</f>
        <v/>
      </c>
      <c r="BM201" s="223">
        <f>IF(AND('CONTROLE EJ'!Q203="",'CONTROLE CMM'!#REF!=""),"",N('CONTROLE EJ'!Q203)+N('CONTROLE CMM'!#REF!))</f>
        <v/>
      </c>
      <c r="BN201" s="223">
        <f>IF('CONTROLE GLOBO AÇOS'!V203="","",'CONTROLE GLOBO AÇOS'!V203)</f>
        <v/>
      </c>
      <c r="BO201" s="223">
        <f>IF('CONTROLE GLOBO AÇOS'!W203="","",'CONTROLE GLOBO AÇOS'!W203)</f>
        <v/>
      </c>
      <c r="BP201" s="223">
        <f>IF(AND('CONTROLE EJ'!R203="",'CONTROLE CMM'!#REF!=""),"",N('CONTROLE EJ'!R203)+N('CONTROLE CMM'!#REF!))</f>
        <v/>
      </c>
      <c r="BQ201" s="223">
        <f>IF(#REF!="","",#REF!)</f>
        <v/>
      </c>
      <c r="BR201" s="223">
        <f>IF(AND('CONTROLE EJ'!S203="",'CONTROLE CMM'!#REF!=""),"",N('CONTROLE EJ'!S203)+N('CONTROLE CMM'!#REF!))</f>
        <v/>
      </c>
      <c r="BS201" s="223">
        <f>IF(AND('CONTROLE EJ'!T203="",'CONTROLE CMM'!#REF!=""),"",N('CONTROLE EJ'!T203)+N('CONTROLE CMM'!#REF!))</f>
        <v/>
      </c>
      <c r="BT201" s="223">
        <f>IF('CONTROLE GLOBO AÇOS'!X203="","",'CONTROLE GLOBO AÇOS'!X203)</f>
        <v/>
      </c>
      <c r="BU201" s="223">
        <f>IF('CONTROLE GLOBO AÇOS'!Y203="","",'CONTROLE GLOBO AÇOS'!Y203)</f>
        <v/>
      </c>
      <c r="BV201" s="223">
        <f>IF(AND('CONTROLE EJ'!U203="",'CONTROLE CMM'!#REF!=""),"",N('CONTROLE EJ'!U203)+N('CONTROLE CMM'!#REF!))</f>
        <v/>
      </c>
      <c r="BW201" s="223">
        <f>IF(#REF!="","",#REF!)</f>
        <v/>
      </c>
    </row>
    <row r="202">
      <c r="A202" s="282" t="n">
        <v>46419</v>
      </c>
      <c r="B202" s="18">
        <f>IF('CONTROLE EJ'!B204="","",'CONTROLE EJ'!B204)</f>
        <v/>
      </c>
      <c r="C202" s="18">
        <f>IF('CONTROLE EJ'!C204="","",'CONTROLE EJ'!C204)</f>
        <v/>
      </c>
      <c r="D202" s="42">
        <f>IF('CONTROLE EJ'!D204="","",'CONTROLE EJ'!D204)</f>
        <v/>
      </c>
      <c r="E202" s="43">
        <f>IF('CONTROLE CMM'!B204="","",'CONTROLE CMM'!B204)</f>
        <v/>
      </c>
      <c r="F202" s="18">
        <f>IF('CONTROLE CMM'!C204="","",'CONTROLE CMM'!C204)</f>
        <v/>
      </c>
      <c r="G202" s="26">
        <f>IF('CONTROLE CMM'!D204="","",'CONTROLE CMM'!D204)</f>
        <v/>
      </c>
      <c r="H202" s="43">
        <f>IF('CONTROLE GLOBO AÇOS'!B204="","",'CONTROLE GLOBO AÇOS'!B204)</f>
        <v/>
      </c>
      <c r="I202" s="18">
        <f>IF('CONTROLE GLOBO AÇOS'!C204="","",'CONTROLE GLOBO AÇOS'!C204)</f>
        <v/>
      </c>
      <c r="J202" s="18">
        <f>IF('CONTROLE GLOBO AÇOS'!D204="","",'CONTROLE GLOBO AÇOS'!D204)</f>
        <v/>
      </c>
      <c r="AD202" s="39">
        <f>IF($A202="",0,IF(AND(WEEKDAY($A202,2)&lt;=5,OR($B202&lt;&gt;"",$C202&lt;&gt;"",$D202&lt;&gt;"")),1,0))</f>
        <v/>
      </c>
      <c r="AE202" s="39">
        <f>IF($A202="",0,IF(AND(WEEKDAY($A202,2)&lt;=5,OR($E202&lt;&gt;"",$F202&lt;&gt;"",$G202&lt;&gt;"")),1,0))</f>
        <v/>
      </c>
      <c r="AF202" s="39">
        <f>MAX(AD202,AE202)</f>
        <v/>
      </c>
      <c r="AH202" s="223">
        <f>IF('CONTROLE GLOBO AÇOS'!E204="","",'CONTROLE GLOBO AÇOS'!E204)</f>
        <v/>
      </c>
      <c r="AI202" s="223">
        <f>IF('CONTROLE GLOBO AÇOS'!F204="","",'CONTROLE GLOBO AÇOS'!F204)</f>
        <v/>
      </c>
      <c r="AJ202" s="223">
        <f>IF(AND('CONTROLE EJ'!E204="",'CONTROLE CMM'!E204=""),"",N('CONTROLE EJ'!E204)+N('CONTROLE CMM'!E204))</f>
        <v/>
      </c>
      <c r="AK202" s="223">
        <f>IF(AND('CONTROLE EJ'!F204="",'CONTROLE CMM'!F204=""),"",N('CONTROLE EJ'!F204)+N('CONTROLE CMM'!F204))</f>
        <v/>
      </c>
      <c r="AL202" s="223">
        <f>IF(AND('CONTROLE EJ'!G204="",'CONTROLE CMM'!G204=""),"",N('CONTROLE EJ'!G204)+N('CONTROLE CMM'!G204))</f>
        <v/>
      </c>
      <c r="AM202" s="223">
        <f>IF(AND('CONTROLE EJ'!H204="",'CONTROLE CMM'!H204=""),"",N('CONTROLE EJ'!H204)+N('CONTROLE CMM'!H204))</f>
        <v/>
      </c>
      <c r="AN202" s="223">
        <f>IF('CONTROLE GLOBO AÇOS'!G204="","",'CONTROLE GLOBO AÇOS'!G204)</f>
        <v/>
      </c>
      <c r="AO202" s="223">
        <f>IF('CONTROLE GLOBO AÇOS'!H204="","",'CONTROLE GLOBO AÇOS'!H204)</f>
        <v/>
      </c>
      <c r="AP202" s="223">
        <f>IF(AND('CONTROLE EJ'!I204="",'CONTROLE CMM'!I204=""),"",N('CONTROLE EJ'!I204)+N('CONTROLE CMM'!I204))</f>
        <v/>
      </c>
      <c r="AQ202" s="223">
        <f>IF(AND('CONTROLE EJ'!J204="",'CONTROLE CMM'!#REF!=""),"",N('CONTROLE EJ'!J204)+N('CONTROLE CMM'!#REF!))</f>
        <v/>
      </c>
      <c r="AR202" s="223">
        <f>IF('CONTROLE GLOBO AÇOS'!I204="","",'CONTROLE GLOBO AÇOS'!I204)</f>
        <v/>
      </c>
      <c r="AS202" s="223">
        <f>IF('CONTROLE GLOBO AÇOS'!J204="","",'CONTROLE GLOBO AÇOS'!J204)</f>
        <v/>
      </c>
      <c r="AT202" s="223">
        <f>IF(#REF!="","",#REF!)</f>
        <v/>
      </c>
      <c r="AU202" s="223">
        <f>IF('CONTROLE GLOBO AÇOS'!K204="","",'CONTROLE GLOBO AÇOS'!K204)</f>
        <v/>
      </c>
      <c r="AV202" s="223">
        <f>IF(AND('CONTROLE EJ'!K204="",'CONTROLE CMM'!#REF!=""),"",N('CONTROLE EJ'!K204)+N('CONTROLE CMM'!#REF!))</f>
        <v/>
      </c>
      <c r="AW202" s="223">
        <f>IF('CONTROLE GLOBO AÇOS'!L204="","",'CONTROLE GLOBO AÇOS'!L204)</f>
        <v/>
      </c>
      <c r="AX202" s="223">
        <f>IF(AND('CONTROLE EJ'!L204="",'CONTROLE CMM'!#REF!=""),"",N('CONTROLE EJ'!L204)+N('CONTROLE CMM'!#REF!))</f>
        <v/>
      </c>
      <c r="AY202" s="223">
        <f>IF('CONTROLE GLOBO AÇOS'!M204="","",'CONTROLE GLOBO AÇOS'!M204)</f>
        <v/>
      </c>
      <c r="AZ202" s="223">
        <f>IF('CONTROLE GLOBO AÇOS'!N204="","",'CONTROLE GLOBO AÇOS'!N204)</f>
        <v/>
      </c>
      <c r="BA202" s="223">
        <f>IF(AND('CONTROLE EJ'!M204="",'CONTROLE CMM'!#REF!=""),"",N('CONTROLE EJ'!M204)+N('CONTROLE CMM'!#REF!))</f>
        <v/>
      </c>
      <c r="BB202" s="223">
        <f>IF(#REF!="","",#REF!)</f>
        <v/>
      </c>
      <c r="BC202" s="223">
        <f>IF('CONTROLE GLOBO AÇOS'!O204="","",'CONTROLE GLOBO AÇOS'!O204)</f>
        <v/>
      </c>
      <c r="BD202" s="223">
        <f>IF(AND('CONTROLE EJ'!N204="",'CONTROLE CMM'!#REF!=""),"",N('CONTROLE EJ'!N204)+N('CONTROLE CMM'!#REF!))</f>
        <v/>
      </c>
      <c r="BE202" s="223">
        <f>IF('CONTROLE GLOBO AÇOS'!P204="","",'CONTROLE GLOBO AÇOS'!P204)</f>
        <v/>
      </c>
      <c r="BF202" s="223">
        <f>IF('CONTROLE GLOBO AÇOS'!Q204="","",'CONTROLE GLOBO AÇOS'!Q204)</f>
        <v/>
      </c>
      <c r="BG202" s="223">
        <f>IF('CONTROLE GLOBO AÇOS'!R204="","",'CONTROLE GLOBO AÇOS'!R204)</f>
        <v/>
      </c>
      <c r="BH202" s="223">
        <f>IF(AND('CONTROLE EJ'!O204="",'CONTROLE CMM'!#REF!=""),"",N('CONTROLE EJ'!O204)+N('CONTROLE CMM'!#REF!))</f>
        <v/>
      </c>
      <c r="BI202" s="223">
        <f>IF('CONTROLE GLOBO AÇOS'!S204="","",'CONTROLE GLOBO AÇOS'!S204)</f>
        <v/>
      </c>
      <c r="BJ202" s="223">
        <f>IF('CONTROLE GLOBO AÇOS'!T204="","",'CONTROLE GLOBO AÇOS'!T204)</f>
        <v/>
      </c>
      <c r="BK202" s="223">
        <f>IF('CONTROLE GLOBO AÇOS'!U204="","",'CONTROLE GLOBO AÇOS'!U204)</f>
        <v/>
      </c>
      <c r="BL202" s="223">
        <f>IF(AND('CONTROLE EJ'!P204="",'CONTROLE CMM'!#REF!=""),"",N('CONTROLE EJ'!P204)+N('CONTROLE CMM'!#REF!))</f>
        <v/>
      </c>
      <c r="BM202" s="223">
        <f>IF(AND('CONTROLE EJ'!Q204="",'CONTROLE CMM'!#REF!=""),"",N('CONTROLE EJ'!Q204)+N('CONTROLE CMM'!#REF!))</f>
        <v/>
      </c>
      <c r="BN202" s="223">
        <f>IF('CONTROLE GLOBO AÇOS'!V204="","",'CONTROLE GLOBO AÇOS'!V204)</f>
        <v/>
      </c>
      <c r="BO202" s="223">
        <f>IF('CONTROLE GLOBO AÇOS'!W204="","",'CONTROLE GLOBO AÇOS'!W204)</f>
        <v/>
      </c>
      <c r="BP202" s="223">
        <f>IF(AND('CONTROLE EJ'!R204="",'CONTROLE CMM'!#REF!=""),"",N('CONTROLE EJ'!R204)+N('CONTROLE CMM'!#REF!))</f>
        <v/>
      </c>
      <c r="BQ202" s="223">
        <f>IF(#REF!="","",#REF!)</f>
        <v/>
      </c>
      <c r="BR202" s="223">
        <f>IF(AND('CONTROLE EJ'!S204="",'CONTROLE CMM'!#REF!=""),"",N('CONTROLE EJ'!S204)+N('CONTROLE CMM'!#REF!))</f>
        <v/>
      </c>
      <c r="BS202" s="223">
        <f>IF(AND('CONTROLE EJ'!T204="",'CONTROLE CMM'!#REF!=""),"",N('CONTROLE EJ'!T204)+N('CONTROLE CMM'!#REF!))</f>
        <v/>
      </c>
      <c r="BT202" s="223">
        <f>IF('CONTROLE GLOBO AÇOS'!X204="","",'CONTROLE GLOBO AÇOS'!X204)</f>
        <v/>
      </c>
      <c r="BU202" s="223">
        <f>IF('CONTROLE GLOBO AÇOS'!Y204="","",'CONTROLE GLOBO AÇOS'!Y204)</f>
        <v/>
      </c>
      <c r="BV202" s="223">
        <f>IF(AND('CONTROLE EJ'!U204="",'CONTROLE CMM'!#REF!=""),"",N('CONTROLE EJ'!U204)+N('CONTROLE CMM'!#REF!))</f>
        <v/>
      </c>
      <c r="BW202" s="223">
        <f>IF(#REF!="","",#REF!)</f>
        <v/>
      </c>
    </row>
    <row r="203">
      <c r="A203" s="282" t="n">
        <v>46420</v>
      </c>
      <c r="B203" s="18">
        <f>IF('CONTROLE EJ'!B205="","",'CONTROLE EJ'!B205)</f>
        <v/>
      </c>
      <c r="C203" s="18">
        <f>IF('CONTROLE EJ'!C205="","",'CONTROLE EJ'!C205)</f>
        <v/>
      </c>
      <c r="D203" s="42">
        <f>IF('CONTROLE EJ'!D205="","",'CONTROLE EJ'!D205)</f>
        <v/>
      </c>
      <c r="E203" s="43">
        <f>IF('CONTROLE CMM'!B205="","",'CONTROLE CMM'!B205)</f>
        <v/>
      </c>
      <c r="F203" s="18">
        <f>IF('CONTROLE CMM'!C205="","",'CONTROLE CMM'!C205)</f>
        <v/>
      </c>
      <c r="G203" s="26">
        <f>IF('CONTROLE CMM'!D205="","",'CONTROLE CMM'!D205)</f>
        <v/>
      </c>
      <c r="H203" s="43">
        <f>IF('CONTROLE GLOBO AÇOS'!B205="","",'CONTROLE GLOBO AÇOS'!B205)</f>
        <v/>
      </c>
      <c r="I203" s="18">
        <f>IF('CONTROLE GLOBO AÇOS'!C205="","",'CONTROLE GLOBO AÇOS'!C205)</f>
        <v/>
      </c>
      <c r="J203" s="18">
        <f>IF('CONTROLE GLOBO AÇOS'!D205="","",'CONTROLE GLOBO AÇOS'!D205)</f>
        <v/>
      </c>
      <c r="AD203" s="39">
        <f>IF($A203="",0,IF(AND(WEEKDAY($A203,2)&lt;=5,OR($B203&lt;&gt;"",$C203&lt;&gt;"",$D203&lt;&gt;"")),1,0))</f>
        <v/>
      </c>
      <c r="AE203" s="39">
        <f>IF($A203="",0,IF(AND(WEEKDAY($A203,2)&lt;=5,OR($E203&lt;&gt;"",$F203&lt;&gt;"",$G203&lt;&gt;"")),1,0))</f>
        <v/>
      </c>
      <c r="AF203" s="39">
        <f>MAX(AD203,AE203)</f>
        <v/>
      </c>
      <c r="AH203" s="223">
        <f>IF('CONTROLE GLOBO AÇOS'!E205="","",'CONTROLE GLOBO AÇOS'!E205)</f>
        <v/>
      </c>
      <c r="AI203" s="223">
        <f>IF('CONTROLE GLOBO AÇOS'!F205="","",'CONTROLE GLOBO AÇOS'!F205)</f>
        <v/>
      </c>
      <c r="AJ203" s="223">
        <f>IF(AND('CONTROLE EJ'!E205="",'CONTROLE CMM'!E205=""),"",N('CONTROLE EJ'!E205)+N('CONTROLE CMM'!E205))</f>
        <v/>
      </c>
      <c r="AK203" s="223">
        <f>IF(AND('CONTROLE EJ'!F205="",'CONTROLE CMM'!F205=""),"",N('CONTROLE EJ'!F205)+N('CONTROLE CMM'!F205))</f>
        <v/>
      </c>
      <c r="AL203" s="223">
        <f>IF(AND('CONTROLE EJ'!G205="",'CONTROLE CMM'!G205=""),"",N('CONTROLE EJ'!G205)+N('CONTROLE CMM'!G205))</f>
        <v/>
      </c>
      <c r="AM203" s="223">
        <f>IF(AND('CONTROLE EJ'!H205="",'CONTROLE CMM'!H205=""),"",N('CONTROLE EJ'!H205)+N('CONTROLE CMM'!H205))</f>
        <v/>
      </c>
      <c r="AN203" s="223">
        <f>IF('CONTROLE GLOBO AÇOS'!G205="","",'CONTROLE GLOBO AÇOS'!G205)</f>
        <v/>
      </c>
      <c r="AO203" s="223">
        <f>IF('CONTROLE GLOBO AÇOS'!H205="","",'CONTROLE GLOBO AÇOS'!H205)</f>
        <v/>
      </c>
      <c r="AP203" s="223">
        <f>IF(AND('CONTROLE EJ'!I205="",'CONTROLE CMM'!I205=""),"",N('CONTROLE EJ'!I205)+N('CONTROLE CMM'!I205))</f>
        <v/>
      </c>
      <c r="AQ203" s="223">
        <f>IF(AND('CONTROLE EJ'!J205="",'CONTROLE CMM'!#REF!=""),"",N('CONTROLE EJ'!J205)+N('CONTROLE CMM'!#REF!))</f>
        <v/>
      </c>
      <c r="AR203" s="223">
        <f>IF('CONTROLE GLOBO AÇOS'!I205="","",'CONTROLE GLOBO AÇOS'!I205)</f>
        <v/>
      </c>
      <c r="AS203" s="223">
        <f>IF('CONTROLE GLOBO AÇOS'!J205="","",'CONTROLE GLOBO AÇOS'!J205)</f>
        <v/>
      </c>
      <c r="AT203" s="223">
        <f>IF(#REF!="","",#REF!)</f>
        <v/>
      </c>
      <c r="AU203" s="223">
        <f>IF('CONTROLE GLOBO AÇOS'!K205="","",'CONTROLE GLOBO AÇOS'!K205)</f>
        <v/>
      </c>
      <c r="AV203" s="223">
        <f>IF(AND('CONTROLE EJ'!K205="",'CONTROLE CMM'!#REF!=""),"",N('CONTROLE EJ'!K205)+N('CONTROLE CMM'!#REF!))</f>
        <v/>
      </c>
      <c r="AW203" s="223">
        <f>IF('CONTROLE GLOBO AÇOS'!L205="","",'CONTROLE GLOBO AÇOS'!L205)</f>
        <v/>
      </c>
      <c r="AX203" s="223">
        <f>IF(AND('CONTROLE EJ'!L205="",'CONTROLE CMM'!#REF!=""),"",N('CONTROLE EJ'!L205)+N('CONTROLE CMM'!#REF!))</f>
        <v/>
      </c>
      <c r="AY203" s="223">
        <f>IF('CONTROLE GLOBO AÇOS'!M205="","",'CONTROLE GLOBO AÇOS'!M205)</f>
        <v/>
      </c>
      <c r="AZ203" s="223">
        <f>IF('CONTROLE GLOBO AÇOS'!N205="","",'CONTROLE GLOBO AÇOS'!N205)</f>
        <v/>
      </c>
      <c r="BA203" s="223">
        <f>IF(AND('CONTROLE EJ'!M205="",'CONTROLE CMM'!#REF!=""),"",N('CONTROLE EJ'!M205)+N('CONTROLE CMM'!#REF!))</f>
        <v/>
      </c>
      <c r="BB203" s="223">
        <f>IF(#REF!="","",#REF!)</f>
        <v/>
      </c>
      <c r="BC203" s="223">
        <f>IF('CONTROLE GLOBO AÇOS'!O205="","",'CONTROLE GLOBO AÇOS'!O205)</f>
        <v/>
      </c>
      <c r="BD203" s="223">
        <f>IF(AND('CONTROLE EJ'!N205="",'CONTROLE CMM'!#REF!=""),"",N('CONTROLE EJ'!N205)+N('CONTROLE CMM'!#REF!))</f>
        <v/>
      </c>
      <c r="BE203" s="223">
        <f>IF('CONTROLE GLOBO AÇOS'!P205="","",'CONTROLE GLOBO AÇOS'!P205)</f>
        <v/>
      </c>
      <c r="BF203" s="223">
        <f>IF('CONTROLE GLOBO AÇOS'!Q205="","",'CONTROLE GLOBO AÇOS'!Q205)</f>
        <v/>
      </c>
      <c r="BG203" s="223">
        <f>IF('CONTROLE GLOBO AÇOS'!R205="","",'CONTROLE GLOBO AÇOS'!R205)</f>
        <v/>
      </c>
      <c r="BH203" s="223">
        <f>IF(AND('CONTROLE EJ'!O205="",'CONTROLE CMM'!#REF!=""),"",N('CONTROLE EJ'!O205)+N('CONTROLE CMM'!#REF!))</f>
        <v/>
      </c>
      <c r="BI203" s="223">
        <f>IF('CONTROLE GLOBO AÇOS'!S205="","",'CONTROLE GLOBO AÇOS'!S205)</f>
        <v/>
      </c>
      <c r="BJ203" s="223">
        <f>IF('CONTROLE GLOBO AÇOS'!T205="","",'CONTROLE GLOBO AÇOS'!T205)</f>
        <v/>
      </c>
      <c r="BK203" s="223">
        <f>IF('CONTROLE GLOBO AÇOS'!U205="","",'CONTROLE GLOBO AÇOS'!U205)</f>
        <v/>
      </c>
      <c r="BL203" s="223">
        <f>IF(AND('CONTROLE EJ'!P205="",'CONTROLE CMM'!#REF!=""),"",N('CONTROLE EJ'!P205)+N('CONTROLE CMM'!#REF!))</f>
        <v/>
      </c>
      <c r="BM203" s="223">
        <f>IF(AND('CONTROLE EJ'!Q205="",'CONTROLE CMM'!#REF!=""),"",N('CONTROLE EJ'!Q205)+N('CONTROLE CMM'!#REF!))</f>
        <v/>
      </c>
      <c r="BN203" s="223">
        <f>IF('CONTROLE GLOBO AÇOS'!V205="","",'CONTROLE GLOBO AÇOS'!V205)</f>
        <v/>
      </c>
      <c r="BO203" s="223">
        <f>IF('CONTROLE GLOBO AÇOS'!W205="","",'CONTROLE GLOBO AÇOS'!W205)</f>
        <v/>
      </c>
      <c r="BP203" s="223">
        <f>IF(AND('CONTROLE EJ'!R205="",'CONTROLE CMM'!#REF!=""),"",N('CONTROLE EJ'!R205)+N('CONTROLE CMM'!#REF!))</f>
        <v/>
      </c>
      <c r="BQ203" s="223">
        <f>IF(#REF!="","",#REF!)</f>
        <v/>
      </c>
      <c r="BR203" s="223">
        <f>IF(AND('CONTROLE EJ'!S205="",'CONTROLE CMM'!#REF!=""),"",N('CONTROLE EJ'!S205)+N('CONTROLE CMM'!#REF!))</f>
        <v/>
      </c>
      <c r="BS203" s="223">
        <f>IF(AND('CONTROLE EJ'!T205="",'CONTROLE CMM'!#REF!=""),"",N('CONTROLE EJ'!T205)+N('CONTROLE CMM'!#REF!))</f>
        <v/>
      </c>
      <c r="BT203" s="223">
        <f>IF('CONTROLE GLOBO AÇOS'!X205="","",'CONTROLE GLOBO AÇOS'!X205)</f>
        <v/>
      </c>
      <c r="BU203" s="223">
        <f>IF('CONTROLE GLOBO AÇOS'!Y205="","",'CONTROLE GLOBO AÇOS'!Y205)</f>
        <v/>
      </c>
      <c r="BV203" s="223">
        <f>IF(AND('CONTROLE EJ'!U205="",'CONTROLE CMM'!#REF!=""),"",N('CONTROLE EJ'!U205)+N('CONTROLE CMM'!#REF!))</f>
        <v/>
      </c>
      <c r="BW203" s="223">
        <f>IF(#REF!="","",#REF!)</f>
        <v/>
      </c>
    </row>
    <row r="204">
      <c r="A204" s="282" t="n">
        <v>46421</v>
      </c>
      <c r="B204" s="18">
        <f>IF('CONTROLE EJ'!B206="","",'CONTROLE EJ'!B206)</f>
        <v/>
      </c>
      <c r="C204" s="18">
        <f>IF('CONTROLE EJ'!C206="","",'CONTROLE EJ'!C206)</f>
        <v/>
      </c>
      <c r="D204" s="42">
        <f>IF('CONTROLE EJ'!D206="","",'CONTROLE EJ'!D206)</f>
        <v/>
      </c>
      <c r="E204" s="43">
        <f>IF('CONTROLE CMM'!B206="","",'CONTROLE CMM'!B206)</f>
        <v/>
      </c>
      <c r="F204" s="18">
        <f>IF('CONTROLE CMM'!C206="","",'CONTROLE CMM'!C206)</f>
        <v/>
      </c>
      <c r="G204" s="26">
        <f>IF('CONTROLE CMM'!D206="","",'CONTROLE CMM'!D206)</f>
        <v/>
      </c>
      <c r="H204" s="43">
        <f>IF('CONTROLE GLOBO AÇOS'!B206="","",'CONTROLE GLOBO AÇOS'!B206)</f>
        <v/>
      </c>
      <c r="I204" s="18">
        <f>IF('CONTROLE GLOBO AÇOS'!C206="","",'CONTROLE GLOBO AÇOS'!C206)</f>
        <v/>
      </c>
      <c r="J204" s="18">
        <f>IF('CONTROLE GLOBO AÇOS'!D206="","",'CONTROLE GLOBO AÇOS'!D206)</f>
        <v/>
      </c>
      <c r="AD204" s="39">
        <f>IF($A204="",0,IF(AND(WEEKDAY($A204,2)&lt;=5,OR($B204&lt;&gt;"",$C204&lt;&gt;"",$D204&lt;&gt;"")),1,0))</f>
        <v/>
      </c>
      <c r="AE204" s="39">
        <f>IF($A204="",0,IF(AND(WEEKDAY($A204,2)&lt;=5,OR($E204&lt;&gt;"",$F204&lt;&gt;"",$G204&lt;&gt;"")),1,0))</f>
        <v/>
      </c>
      <c r="AF204" s="39">
        <f>MAX(AD204,AE204)</f>
        <v/>
      </c>
      <c r="AH204" s="223">
        <f>IF('CONTROLE GLOBO AÇOS'!E206="","",'CONTROLE GLOBO AÇOS'!E206)</f>
        <v/>
      </c>
      <c r="AI204" s="223">
        <f>IF('CONTROLE GLOBO AÇOS'!F206="","",'CONTROLE GLOBO AÇOS'!F206)</f>
        <v/>
      </c>
      <c r="AJ204" s="223">
        <f>IF(AND('CONTROLE EJ'!E206="",'CONTROLE CMM'!E206=""),"",N('CONTROLE EJ'!E206)+N('CONTROLE CMM'!E206))</f>
        <v/>
      </c>
      <c r="AK204" s="223">
        <f>IF(AND('CONTROLE EJ'!F206="",'CONTROLE CMM'!F206=""),"",N('CONTROLE EJ'!F206)+N('CONTROLE CMM'!F206))</f>
        <v/>
      </c>
      <c r="AL204" s="223">
        <f>IF(AND('CONTROLE EJ'!G206="",'CONTROLE CMM'!G206=""),"",N('CONTROLE EJ'!G206)+N('CONTROLE CMM'!G206))</f>
        <v/>
      </c>
      <c r="AM204" s="223">
        <f>IF(AND('CONTROLE EJ'!H206="",'CONTROLE CMM'!H206=""),"",N('CONTROLE EJ'!H206)+N('CONTROLE CMM'!H206))</f>
        <v/>
      </c>
      <c r="AN204" s="223">
        <f>IF('CONTROLE GLOBO AÇOS'!G206="","",'CONTROLE GLOBO AÇOS'!G206)</f>
        <v/>
      </c>
      <c r="AO204" s="223">
        <f>IF('CONTROLE GLOBO AÇOS'!H206="","",'CONTROLE GLOBO AÇOS'!H206)</f>
        <v/>
      </c>
      <c r="AP204" s="223">
        <f>IF(AND('CONTROLE EJ'!I206="",'CONTROLE CMM'!I206=""),"",N('CONTROLE EJ'!I206)+N('CONTROLE CMM'!I206))</f>
        <v/>
      </c>
      <c r="AQ204" s="223">
        <f>IF(AND('CONTROLE EJ'!J206="",'CONTROLE CMM'!#REF!=""),"",N('CONTROLE EJ'!J206)+N('CONTROLE CMM'!#REF!))</f>
        <v/>
      </c>
      <c r="AR204" s="223">
        <f>IF('CONTROLE GLOBO AÇOS'!I206="","",'CONTROLE GLOBO AÇOS'!I206)</f>
        <v/>
      </c>
      <c r="AS204" s="223">
        <f>IF('CONTROLE GLOBO AÇOS'!J206="","",'CONTROLE GLOBO AÇOS'!J206)</f>
        <v/>
      </c>
      <c r="AT204" s="223">
        <f>IF(#REF!="","",#REF!)</f>
        <v/>
      </c>
      <c r="AU204" s="223">
        <f>IF('CONTROLE GLOBO AÇOS'!K206="","",'CONTROLE GLOBO AÇOS'!K206)</f>
        <v/>
      </c>
      <c r="AV204" s="223">
        <f>IF(AND('CONTROLE EJ'!K206="",'CONTROLE CMM'!#REF!=""),"",N('CONTROLE EJ'!K206)+N('CONTROLE CMM'!#REF!))</f>
        <v/>
      </c>
      <c r="AW204" s="223">
        <f>IF('CONTROLE GLOBO AÇOS'!L206="","",'CONTROLE GLOBO AÇOS'!L206)</f>
        <v/>
      </c>
      <c r="AX204" s="223">
        <f>IF(AND('CONTROLE EJ'!L206="",'CONTROLE CMM'!#REF!=""),"",N('CONTROLE EJ'!L206)+N('CONTROLE CMM'!#REF!))</f>
        <v/>
      </c>
      <c r="AY204" s="223">
        <f>IF('CONTROLE GLOBO AÇOS'!M206="","",'CONTROLE GLOBO AÇOS'!M206)</f>
        <v/>
      </c>
      <c r="AZ204" s="223">
        <f>IF('CONTROLE GLOBO AÇOS'!N206="","",'CONTROLE GLOBO AÇOS'!N206)</f>
        <v/>
      </c>
      <c r="BA204" s="223">
        <f>IF(AND('CONTROLE EJ'!M206="",'CONTROLE CMM'!#REF!=""),"",N('CONTROLE EJ'!M206)+N('CONTROLE CMM'!#REF!))</f>
        <v/>
      </c>
      <c r="BB204" s="223">
        <f>IF(#REF!="","",#REF!)</f>
        <v/>
      </c>
      <c r="BC204" s="223">
        <f>IF('CONTROLE GLOBO AÇOS'!O206="","",'CONTROLE GLOBO AÇOS'!O206)</f>
        <v/>
      </c>
      <c r="BD204" s="223">
        <f>IF(AND('CONTROLE EJ'!N206="",'CONTROLE CMM'!#REF!=""),"",N('CONTROLE EJ'!N206)+N('CONTROLE CMM'!#REF!))</f>
        <v/>
      </c>
      <c r="BE204" s="223">
        <f>IF('CONTROLE GLOBO AÇOS'!P206="","",'CONTROLE GLOBO AÇOS'!P206)</f>
        <v/>
      </c>
      <c r="BF204" s="223">
        <f>IF('CONTROLE GLOBO AÇOS'!Q206="","",'CONTROLE GLOBO AÇOS'!Q206)</f>
        <v/>
      </c>
      <c r="BG204" s="223">
        <f>IF('CONTROLE GLOBO AÇOS'!R206="","",'CONTROLE GLOBO AÇOS'!R206)</f>
        <v/>
      </c>
      <c r="BH204" s="223">
        <f>IF(AND('CONTROLE EJ'!O206="",'CONTROLE CMM'!#REF!=""),"",N('CONTROLE EJ'!O206)+N('CONTROLE CMM'!#REF!))</f>
        <v/>
      </c>
      <c r="BI204" s="223">
        <f>IF('CONTROLE GLOBO AÇOS'!S206="","",'CONTROLE GLOBO AÇOS'!S206)</f>
        <v/>
      </c>
      <c r="BJ204" s="223">
        <f>IF('CONTROLE GLOBO AÇOS'!T206="","",'CONTROLE GLOBO AÇOS'!T206)</f>
        <v/>
      </c>
      <c r="BK204" s="223">
        <f>IF('CONTROLE GLOBO AÇOS'!U206="","",'CONTROLE GLOBO AÇOS'!U206)</f>
        <v/>
      </c>
      <c r="BL204" s="223">
        <f>IF(AND('CONTROLE EJ'!P206="",'CONTROLE CMM'!#REF!=""),"",N('CONTROLE EJ'!P206)+N('CONTROLE CMM'!#REF!))</f>
        <v/>
      </c>
      <c r="BM204" s="223">
        <f>IF(AND('CONTROLE EJ'!Q206="",'CONTROLE CMM'!#REF!=""),"",N('CONTROLE EJ'!Q206)+N('CONTROLE CMM'!#REF!))</f>
        <v/>
      </c>
      <c r="BN204" s="223">
        <f>IF('CONTROLE GLOBO AÇOS'!V206="","",'CONTROLE GLOBO AÇOS'!V206)</f>
        <v/>
      </c>
      <c r="BO204" s="223">
        <f>IF('CONTROLE GLOBO AÇOS'!W206="","",'CONTROLE GLOBO AÇOS'!W206)</f>
        <v/>
      </c>
      <c r="BP204" s="223">
        <f>IF(AND('CONTROLE EJ'!R206="",'CONTROLE CMM'!#REF!=""),"",N('CONTROLE EJ'!R206)+N('CONTROLE CMM'!#REF!))</f>
        <v/>
      </c>
      <c r="BQ204" s="223">
        <f>IF(#REF!="","",#REF!)</f>
        <v/>
      </c>
      <c r="BR204" s="223">
        <f>IF(AND('CONTROLE EJ'!S206="",'CONTROLE CMM'!#REF!=""),"",N('CONTROLE EJ'!S206)+N('CONTROLE CMM'!#REF!))</f>
        <v/>
      </c>
      <c r="BS204" s="223">
        <f>IF(AND('CONTROLE EJ'!T206="",'CONTROLE CMM'!#REF!=""),"",N('CONTROLE EJ'!T206)+N('CONTROLE CMM'!#REF!))</f>
        <v/>
      </c>
      <c r="BT204" s="223">
        <f>IF('CONTROLE GLOBO AÇOS'!X206="","",'CONTROLE GLOBO AÇOS'!X206)</f>
        <v/>
      </c>
      <c r="BU204" s="223">
        <f>IF('CONTROLE GLOBO AÇOS'!Y206="","",'CONTROLE GLOBO AÇOS'!Y206)</f>
        <v/>
      </c>
      <c r="BV204" s="223">
        <f>IF(AND('CONTROLE EJ'!U206="",'CONTROLE CMM'!#REF!=""),"",N('CONTROLE EJ'!U206)+N('CONTROLE CMM'!#REF!))</f>
        <v/>
      </c>
      <c r="BW204" s="223">
        <f>IF(#REF!="","",#REF!)</f>
        <v/>
      </c>
    </row>
    <row r="205">
      <c r="A205" s="282" t="n">
        <v>46422</v>
      </c>
      <c r="B205" s="18">
        <f>IF('CONTROLE EJ'!B207="","",'CONTROLE EJ'!B207)</f>
        <v/>
      </c>
      <c r="C205" s="18">
        <f>IF('CONTROLE EJ'!C207="","",'CONTROLE EJ'!C207)</f>
        <v/>
      </c>
      <c r="D205" s="42">
        <f>IF('CONTROLE EJ'!D207="","",'CONTROLE EJ'!D207)</f>
        <v/>
      </c>
      <c r="E205" s="43">
        <f>IF('CONTROLE CMM'!B207="","",'CONTROLE CMM'!B207)</f>
        <v/>
      </c>
      <c r="F205" s="18">
        <f>IF('CONTROLE CMM'!C207="","",'CONTROLE CMM'!C207)</f>
        <v/>
      </c>
      <c r="G205" s="26">
        <f>IF('CONTROLE CMM'!D207="","",'CONTROLE CMM'!D207)</f>
        <v/>
      </c>
      <c r="H205" s="43">
        <f>IF('CONTROLE GLOBO AÇOS'!B207="","",'CONTROLE GLOBO AÇOS'!B207)</f>
        <v/>
      </c>
      <c r="I205" s="18">
        <f>IF('CONTROLE GLOBO AÇOS'!C207="","",'CONTROLE GLOBO AÇOS'!C207)</f>
        <v/>
      </c>
      <c r="J205" s="18">
        <f>IF('CONTROLE GLOBO AÇOS'!D207="","",'CONTROLE GLOBO AÇOS'!D207)</f>
        <v/>
      </c>
      <c r="AD205" s="39">
        <f>IF($A205="",0,IF(AND(WEEKDAY($A205,2)&lt;=5,OR($B205&lt;&gt;"",$C205&lt;&gt;"",$D205&lt;&gt;"")),1,0))</f>
        <v/>
      </c>
      <c r="AE205" s="39">
        <f>IF($A205="",0,IF(AND(WEEKDAY($A205,2)&lt;=5,OR($E205&lt;&gt;"",$F205&lt;&gt;"",$G205&lt;&gt;"")),1,0))</f>
        <v/>
      </c>
      <c r="AF205" s="39">
        <f>MAX(AD205,AE205)</f>
        <v/>
      </c>
      <c r="AH205" s="223">
        <f>IF('CONTROLE GLOBO AÇOS'!E207="","",'CONTROLE GLOBO AÇOS'!E207)</f>
        <v/>
      </c>
      <c r="AI205" s="223">
        <f>IF('CONTROLE GLOBO AÇOS'!F207="","",'CONTROLE GLOBO AÇOS'!F207)</f>
        <v/>
      </c>
      <c r="AJ205" s="223">
        <f>IF(AND('CONTROLE EJ'!E207="",'CONTROLE CMM'!E207=""),"",N('CONTROLE EJ'!E207)+N('CONTROLE CMM'!E207))</f>
        <v/>
      </c>
      <c r="AK205" s="223">
        <f>IF(AND('CONTROLE EJ'!F207="",'CONTROLE CMM'!F207=""),"",N('CONTROLE EJ'!F207)+N('CONTROLE CMM'!F207))</f>
        <v/>
      </c>
      <c r="AL205" s="223">
        <f>IF(AND('CONTROLE EJ'!G207="",'CONTROLE CMM'!G207=""),"",N('CONTROLE EJ'!G207)+N('CONTROLE CMM'!G207))</f>
        <v/>
      </c>
      <c r="AM205" s="223">
        <f>IF(AND('CONTROLE EJ'!H207="",'CONTROLE CMM'!H207=""),"",N('CONTROLE EJ'!H207)+N('CONTROLE CMM'!H207))</f>
        <v/>
      </c>
      <c r="AN205" s="223">
        <f>IF('CONTROLE GLOBO AÇOS'!G207="","",'CONTROLE GLOBO AÇOS'!G207)</f>
        <v/>
      </c>
      <c r="AO205" s="223">
        <f>IF('CONTROLE GLOBO AÇOS'!H207="","",'CONTROLE GLOBO AÇOS'!H207)</f>
        <v/>
      </c>
      <c r="AP205" s="223">
        <f>IF(AND('CONTROLE EJ'!I207="",'CONTROLE CMM'!I207=""),"",N('CONTROLE EJ'!I207)+N('CONTROLE CMM'!I207))</f>
        <v/>
      </c>
      <c r="AQ205" s="223">
        <f>IF(AND('CONTROLE EJ'!J207="",'CONTROLE CMM'!#REF!=""),"",N('CONTROLE EJ'!J207)+N('CONTROLE CMM'!#REF!))</f>
        <v/>
      </c>
      <c r="AR205" s="223">
        <f>IF('CONTROLE GLOBO AÇOS'!I207="","",'CONTROLE GLOBO AÇOS'!I207)</f>
        <v/>
      </c>
      <c r="AS205" s="223">
        <f>IF('CONTROLE GLOBO AÇOS'!J207="","",'CONTROLE GLOBO AÇOS'!J207)</f>
        <v/>
      </c>
      <c r="AT205" s="223">
        <f>IF(#REF!="","",#REF!)</f>
        <v/>
      </c>
      <c r="AU205" s="223">
        <f>IF('CONTROLE GLOBO AÇOS'!K207="","",'CONTROLE GLOBO AÇOS'!K207)</f>
        <v/>
      </c>
      <c r="AV205" s="223">
        <f>IF(AND('CONTROLE EJ'!K207="",'CONTROLE CMM'!#REF!=""),"",N('CONTROLE EJ'!K207)+N('CONTROLE CMM'!#REF!))</f>
        <v/>
      </c>
      <c r="AW205" s="223">
        <f>IF('CONTROLE GLOBO AÇOS'!L207="","",'CONTROLE GLOBO AÇOS'!L207)</f>
        <v/>
      </c>
      <c r="AX205" s="223">
        <f>IF(AND('CONTROLE EJ'!L207="",'CONTROLE CMM'!#REF!=""),"",N('CONTROLE EJ'!L207)+N('CONTROLE CMM'!#REF!))</f>
        <v/>
      </c>
      <c r="AY205" s="223">
        <f>IF('CONTROLE GLOBO AÇOS'!M207="","",'CONTROLE GLOBO AÇOS'!M207)</f>
        <v/>
      </c>
      <c r="AZ205" s="223">
        <f>IF('CONTROLE GLOBO AÇOS'!N207="","",'CONTROLE GLOBO AÇOS'!N207)</f>
        <v/>
      </c>
      <c r="BA205" s="223">
        <f>IF(AND('CONTROLE EJ'!M207="",'CONTROLE CMM'!#REF!=""),"",N('CONTROLE EJ'!M207)+N('CONTROLE CMM'!#REF!))</f>
        <v/>
      </c>
      <c r="BB205" s="223">
        <f>IF(#REF!="","",#REF!)</f>
        <v/>
      </c>
      <c r="BC205" s="223">
        <f>IF('CONTROLE GLOBO AÇOS'!O207="","",'CONTROLE GLOBO AÇOS'!O207)</f>
        <v/>
      </c>
      <c r="BD205" s="223">
        <f>IF(AND('CONTROLE EJ'!N207="",'CONTROLE CMM'!#REF!=""),"",N('CONTROLE EJ'!N207)+N('CONTROLE CMM'!#REF!))</f>
        <v/>
      </c>
      <c r="BE205" s="223">
        <f>IF('CONTROLE GLOBO AÇOS'!P207="","",'CONTROLE GLOBO AÇOS'!P207)</f>
        <v/>
      </c>
      <c r="BF205" s="223">
        <f>IF('CONTROLE GLOBO AÇOS'!Q207="","",'CONTROLE GLOBO AÇOS'!Q207)</f>
        <v/>
      </c>
      <c r="BG205" s="223">
        <f>IF('CONTROLE GLOBO AÇOS'!R207="","",'CONTROLE GLOBO AÇOS'!R207)</f>
        <v/>
      </c>
      <c r="BH205" s="223">
        <f>IF(AND('CONTROLE EJ'!O207="",'CONTROLE CMM'!#REF!=""),"",N('CONTROLE EJ'!O207)+N('CONTROLE CMM'!#REF!))</f>
        <v/>
      </c>
      <c r="BI205" s="223">
        <f>IF('CONTROLE GLOBO AÇOS'!S207="","",'CONTROLE GLOBO AÇOS'!S207)</f>
        <v/>
      </c>
      <c r="BJ205" s="223">
        <f>IF('CONTROLE GLOBO AÇOS'!T207="","",'CONTROLE GLOBO AÇOS'!T207)</f>
        <v/>
      </c>
      <c r="BK205" s="223">
        <f>IF('CONTROLE GLOBO AÇOS'!U207="","",'CONTROLE GLOBO AÇOS'!U207)</f>
        <v/>
      </c>
      <c r="BL205" s="223">
        <f>IF(AND('CONTROLE EJ'!P207="",'CONTROLE CMM'!#REF!=""),"",N('CONTROLE EJ'!P207)+N('CONTROLE CMM'!#REF!))</f>
        <v/>
      </c>
      <c r="BM205" s="223">
        <f>IF(AND('CONTROLE EJ'!Q207="",'CONTROLE CMM'!#REF!=""),"",N('CONTROLE EJ'!Q207)+N('CONTROLE CMM'!#REF!))</f>
        <v/>
      </c>
      <c r="BN205" s="223">
        <f>IF('CONTROLE GLOBO AÇOS'!V207="","",'CONTROLE GLOBO AÇOS'!V207)</f>
        <v/>
      </c>
      <c r="BO205" s="223">
        <f>IF('CONTROLE GLOBO AÇOS'!W207="","",'CONTROLE GLOBO AÇOS'!W207)</f>
        <v/>
      </c>
      <c r="BP205" s="223">
        <f>IF(AND('CONTROLE EJ'!R207="",'CONTROLE CMM'!#REF!=""),"",N('CONTROLE EJ'!R207)+N('CONTROLE CMM'!#REF!))</f>
        <v/>
      </c>
      <c r="BQ205" s="223">
        <f>IF(#REF!="","",#REF!)</f>
        <v/>
      </c>
      <c r="BR205" s="223">
        <f>IF(AND('CONTROLE EJ'!S207="",'CONTROLE CMM'!#REF!=""),"",N('CONTROLE EJ'!S207)+N('CONTROLE CMM'!#REF!))</f>
        <v/>
      </c>
      <c r="BS205" s="223">
        <f>IF(AND('CONTROLE EJ'!T207="",'CONTROLE CMM'!#REF!=""),"",N('CONTROLE EJ'!T207)+N('CONTROLE CMM'!#REF!))</f>
        <v/>
      </c>
      <c r="BT205" s="223">
        <f>IF('CONTROLE GLOBO AÇOS'!X207="","",'CONTROLE GLOBO AÇOS'!X207)</f>
        <v/>
      </c>
      <c r="BU205" s="223">
        <f>IF('CONTROLE GLOBO AÇOS'!Y207="","",'CONTROLE GLOBO AÇOS'!Y207)</f>
        <v/>
      </c>
      <c r="BV205" s="223">
        <f>IF(AND('CONTROLE EJ'!U207="",'CONTROLE CMM'!#REF!=""),"",N('CONTROLE EJ'!U207)+N('CONTROLE CMM'!#REF!))</f>
        <v/>
      </c>
      <c r="BW205" s="223">
        <f>IF(#REF!="","",#REF!)</f>
        <v/>
      </c>
    </row>
    <row r="206">
      <c r="A206" s="282" t="n">
        <v>46423</v>
      </c>
      <c r="B206" s="18">
        <f>IF('CONTROLE EJ'!B208="","",'CONTROLE EJ'!B208)</f>
        <v/>
      </c>
      <c r="C206" s="18">
        <f>IF('CONTROLE EJ'!C208="","",'CONTROLE EJ'!C208)</f>
        <v/>
      </c>
      <c r="D206" s="42">
        <f>IF('CONTROLE EJ'!D208="","",'CONTROLE EJ'!D208)</f>
        <v/>
      </c>
      <c r="E206" s="43">
        <f>IF('CONTROLE CMM'!B208="","",'CONTROLE CMM'!B208)</f>
        <v/>
      </c>
      <c r="F206" s="18">
        <f>IF('CONTROLE CMM'!C208="","",'CONTROLE CMM'!C208)</f>
        <v/>
      </c>
      <c r="G206" s="26">
        <f>IF('CONTROLE CMM'!D208="","",'CONTROLE CMM'!D208)</f>
        <v/>
      </c>
      <c r="H206" s="43">
        <f>IF('CONTROLE GLOBO AÇOS'!B208="","",'CONTROLE GLOBO AÇOS'!B208)</f>
        <v/>
      </c>
      <c r="I206" s="18">
        <f>IF('CONTROLE GLOBO AÇOS'!C208="","",'CONTROLE GLOBO AÇOS'!C208)</f>
        <v/>
      </c>
      <c r="J206" s="18">
        <f>IF('CONTROLE GLOBO AÇOS'!D208="","",'CONTROLE GLOBO AÇOS'!D208)</f>
        <v/>
      </c>
      <c r="AD206" s="39">
        <f>IF($A206="",0,IF(AND(WEEKDAY($A206,2)&lt;=5,OR($B206&lt;&gt;"",$C206&lt;&gt;"",$D206&lt;&gt;"")),1,0))</f>
        <v/>
      </c>
      <c r="AE206" s="39">
        <f>IF($A206="",0,IF(AND(WEEKDAY($A206,2)&lt;=5,OR($E206&lt;&gt;"",$F206&lt;&gt;"",$G206&lt;&gt;"")),1,0))</f>
        <v/>
      </c>
      <c r="AF206" s="39">
        <f>MAX(AD206,AE206)</f>
        <v/>
      </c>
      <c r="AH206" s="223">
        <f>IF('CONTROLE GLOBO AÇOS'!E208="","",'CONTROLE GLOBO AÇOS'!E208)</f>
        <v/>
      </c>
      <c r="AI206" s="223">
        <f>IF('CONTROLE GLOBO AÇOS'!F208="","",'CONTROLE GLOBO AÇOS'!F208)</f>
        <v/>
      </c>
      <c r="AJ206" s="223">
        <f>IF(AND('CONTROLE EJ'!E208="",'CONTROLE CMM'!E208=""),"",N('CONTROLE EJ'!E208)+N('CONTROLE CMM'!E208))</f>
        <v/>
      </c>
      <c r="AK206" s="223">
        <f>IF(AND('CONTROLE EJ'!F208="",'CONTROLE CMM'!F208=""),"",N('CONTROLE EJ'!F208)+N('CONTROLE CMM'!F208))</f>
        <v/>
      </c>
      <c r="AL206" s="223">
        <f>IF(AND('CONTROLE EJ'!G208="",'CONTROLE CMM'!G208=""),"",N('CONTROLE EJ'!G208)+N('CONTROLE CMM'!G208))</f>
        <v/>
      </c>
      <c r="AM206" s="223">
        <f>IF(AND('CONTROLE EJ'!H208="",'CONTROLE CMM'!H208=""),"",N('CONTROLE EJ'!H208)+N('CONTROLE CMM'!H208))</f>
        <v/>
      </c>
      <c r="AN206" s="223">
        <f>IF('CONTROLE GLOBO AÇOS'!G208="","",'CONTROLE GLOBO AÇOS'!G208)</f>
        <v/>
      </c>
      <c r="AO206" s="223">
        <f>IF('CONTROLE GLOBO AÇOS'!H208="","",'CONTROLE GLOBO AÇOS'!H208)</f>
        <v/>
      </c>
      <c r="AP206" s="223">
        <f>IF(AND('CONTROLE EJ'!I208="",'CONTROLE CMM'!I208=""),"",N('CONTROLE EJ'!I208)+N('CONTROLE CMM'!I208))</f>
        <v/>
      </c>
      <c r="AQ206" s="223">
        <f>IF(AND('CONTROLE EJ'!J208="",'CONTROLE CMM'!#REF!=""),"",N('CONTROLE EJ'!J208)+N('CONTROLE CMM'!#REF!))</f>
        <v/>
      </c>
      <c r="AR206" s="223">
        <f>IF('CONTROLE GLOBO AÇOS'!I208="","",'CONTROLE GLOBO AÇOS'!I208)</f>
        <v/>
      </c>
      <c r="AS206" s="223">
        <f>IF('CONTROLE GLOBO AÇOS'!J208="","",'CONTROLE GLOBO AÇOS'!J208)</f>
        <v/>
      </c>
      <c r="AT206" s="223">
        <f>IF(#REF!="","",#REF!)</f>
        <v/>
      </c>
      <c r="AU206" s="223">
        <f>IF('CONTROLE GLOBO AÇOS'!K208="","",'CONTROLE GLOBO AÇOS'!K208)</f>
        <v/>
      </c>
      <c r="AV206" s="223">
        <f>IF(AND('CONTROLE EJ'!K208="",'CONTROLE CMM'!#REF!=""),"",N('CONTROLE EJ'!K208)+N('CONTROLE CMM'!#REF!))</f>
        <v/>
      </c>
      <c r="AW206" s="223">
        <f>IF('CONTROLE GLOBO AÇOS'!L208="","",'CONTROLE GLOBO AÇOS'!L208)</f>
        <v/>
      </c>
      <c r="AX206" s="223">
        <f>IF(AND('CONTROLE EJ'!L208="",'CONTROLE CMM'!#REF!=""),"",N('CONTROLE EJ'!L208)+N('CONTROLE CMM'!#REF!))</f>
        <v/>
      </c>
      <c r="AY206" s="223">
        <f>IF('CONTROLE GLOBO AÇOS'!M208="","",'CONTROLE GLOBO AÇOS'!M208)</f>
        <v/>
      </c>
      <c r="AZ206" s="223">
        <f>IF('CONTROLE GLOBO AÇOS'!N208="","",'CONTROLE GLOBO AÇOS'!N208)</f>
        <v/>
      </c>
      <c r="BA206" s="223">
        <f>IF(AND('CONTROLE EJ'!M208="",'CONTROLE CMM'!#REF!=""),"",N('CONTROLE EJ'!M208)+N('CONTROLE CMM'!#REF!))</f>
        <v/>
      </c>
      <c r="BB206" s="223">
        <f>IF(#REF!="","",#REF!)</f>
        <v/>
      </c>
      <c r="BC206" s="223">
        <f>IF('CONTROLE GLOBO AÇOS'!O208="","",'CONTROLE GLOBO AÇOS'!O208)</f>
        <v/>
      </c>
      <c r="BD206" s="223">
        <f>IF(AND('CONTROLE EJ'!N208="",'CONTROLE CMM'!#REF!=""),"",N('CONTROLE EJ'!N208)+N('CONTROLE CMM'!#REF!))</f>
        <v/>
      </c>
      <c r="BE206" s="223">
        <f>IF('CONTROLE GLOBO AÇOS'!P208="","",'CONTROLE GLOBO AÇOS'!P208)</f>
        <v/>
      </c>
      <c r="BF206" s="223">
        <f>IF('CONTROLE GLOBO AÇOS'!Q208="","",'CONTROLE GLOBO AÇOS'!Q208)</f>
        <v/>
      </c>
      <c r="BG206" s="223">
        <f>IF('CONTROLE GLOBO AÇOS'!R208="","",'CONTROLE GLOBO AÇOS'!R208)</f>
        <v/>
      </c>
      <c r="BH206" s="223">
        <f>IF(AND('CONTROLE EJ'!O208="",'CONTROLE CMM'!#REF!=""),"",N('CONTROLE EJ'!O208)+N('CONTROLE CMM'!#REF!))</f>
        <v/>
      </c>
      <c r="BI206" s="223">
        <f>IF('CONTROLE GLOBO AÇOS'!S208="","",'CONTROLE GLOBO AÇOS'!S208)</f>
        <v/>
      </c>
      <c r="BJ206" s="223">
        <f>IF('CONTROLE GLOBO AÇOS'!T208="","",'CONTROLE GLOBO AÇOS'!T208)</f>
        <v/>
      </c>
      <c r="BK206" s="223">
        <f>IF('CONTROLE GLOBO AÇOS'!U208="","",'CONTROLE GLOBO AÇOS'!U208)</f>
        <v/>
      </c>
      <c r="BL206" s="223">
        <f>IF(AND('CONTROLE EJ'!P208="",'CONTROLE CMM'!#REF!=""),"",N('CONTROLE EJ'!P208)+N('CONTROLE CMM'!#REF!))</f>
        <v/>
      </c>
      <c r="BM206" s="223">
        <f>IF(AND('CONTROLE EJ'!Q208="",'CONTROLE CMM'!#REF!=""),"",N('CONTROLE EJ'!Q208)+N('CONTROLE CMM'!#REF!))</f>
        <v/>
      </c>
      <c r="BN206" s="223">
        <f>IF('CONTROLE GLOBO AÇOS'!V208="","",'CONTROLE GLOBO AÇOS'!V208)</f>
        <v/>
      </c>
      <c r="BO206" s="223">
        <f>IF('CONTROLE GLOBO AÇOS'!W208="","",'CONTROLE GLOBO AÇOS'!W208)</f>
        <v/>
      </c>
      <c r="BP206" s="223">
        <f>IF(AND('CONTROLE EJ'!R208="",'CONTROLE CMM'!#REF!=""),"",N('CONTROLE EJ'!R208)+N('CONTROLE CMM'!#REF!))</f>
        <v/>
      </c>
      <c r="BQ206" s="223">
        <f>IF(#REF!="","",#REF!)</f>
        <v/>
      </c>
      <c r="BR206" s="223">
        <f>IF(AND('CONTROLE EJ'!S208="",'CONTROLE CMM'!#REF!=""),"",N('CONTROLE EJ'!S208)+N('CONTROLE CMM'!#REF!))</f>
        <v/>
      </c>
      <c r="BS206" s="223">
        <f>IF(AND('CONTROLE EJ'!T208="",'CONTROLE CMM'!#REF!=""),"",N('CONTROLE EJ'!T208)+N('CONTROLE CMM'!#REF!))</f>
        <v/>
      </c>
      <c r="BT206" s="223">
        <f>IF('CONTROLE GLOBO AÇOS'!X208="","",'CONTROLE GLOBO AÇOS'!X208)</f>
        <v/>
      </c>
      <c r="BU206" s="223">
        <f>IF('CONTROLE GLOBO AÇOS'!Y208="","",'CONTROLE GLOBO AÇOS'!Y208)</f>
        <v/>
      </c>
      <c r="BV206" s="223">
        <f>IF(AND('CONTROLE EJ'!U208="",'CONTROLE CMM'!#REF!=""),"",N('CONTROLE EJ'!U208)+N('CONTROLE CMM'!#REF!))</f>
        <v/>
      </c>
      <c r="BW206" s="223">
        <f>IF(#REF!="","",#REF!)</f>
        <v/>
      </c>
    </row>
    <row r="207">
      <c r="A207" s="282" t="n">
        <v>46424</v>
      </c>
      <c r="B207" s="18">
        <f>IF('CONTROLE EJ'!B209="","",'CONTROLE EJ'!B209)</f>
        <v/>
      </c>
      <c r="C207" s="18">
        <f>IF('CONTROLE EJ'!C209="","",'CONTROLE EJ'!C209)</f>
        <v/>
      </c>
      <c r="D207" s="42">
        <f>IF('CONTROLE EJ'!D209="","",'CONTROLE EJ'!D209)</f>
        <v/>
      </c>
      <c r="E207" s="43">
        <f>IF('CONTROLE CMM'!B209="","",'CONTROLE CMM'!B209)</f>
        <v/>
      </c>
      <c r="F207" s="18">
        <f>IF('CONTROLE CMM'!C209="","",'CONTROLE CMM'!C209)</f>
        <v/>
      </c>
      <c r="G207" s="26">
        <f>IF('CONTROLE CMM'!D209="","",'CONTROLE CMM'!D209)</f>
        <v/>
      </c>
      <c r="H207" s="43">
        <f>IF('CONTROLE GLOBO AÇOS'!B209="","",'CONTROLE GLOBO AÇOS'!B209)</f>
        <v/>
      </c>
      <c r="I207" s="18">
        <f>IF('CONTROLE GLOBO AÇOS'!C209="","",'CONTROLE GLOBO AÇOS'!C209)</f>
        <v/>
      </c>
      <c r="J207" s="18">
        <f>IF('CONTROLE GLOBO AÇOS'!D209="","",'CONTROLE GLOBO AÇOS'!D209)</f>
        <v/>
      </c>
      <c r="AD207" s="39">
        <f>IF($A207="",0,IF(AND(WEEKDAY($A207,2)&lt;=5,OR($B207&lt;&gt;"",$C207&lt;&gt;"",$D207&lt;&gt;"")),1,0))</f>
        <v/>
      </c>
      <c r="AE207" s="39">
        <f>IF($A207="",0,IF(AND(WEEKDAY($A207,2)&lt;=5,OR($E207&lt;&gt;"",$F207&lt;&gt;"",$G207&lt;&gt;"")),1,0))</f>
        <v/>
      </c>
      <c r="AF207" s="39">
        <f>MAX(AD207,AE207)</f>
        <v/>
      </c>
      <c r="AH207" s="223">
        <f>IF('CONTROLE GLOBO AÇOS'!E209="","",'CONTROLE GLOBO AÇOS'!E209)</f>
        <v/>
      </c>
      <c r="AI207" s="223">
        <f>IF('CONTROLE GLOBO AÇOS'!F209="","",'CONTROLE GLOBO AÇOS'!F209)</f>
        <v/>
      </c>
      <c r="AJ207" s="223">
        <f>IF(AND('CONTROLE EJ'!E209="",'CONTROLE CMM'!E209=""),"",N('CONTROLE EJ'!E209)+N('CONTROLE CMM'!E209))</f>
        <v/>
      </c>
      <c r="AK207" s="223">
        <f>IF(AND('CONTROLE EJ'!F209="",'CONTROLE CMM'!F209=""),"",N('CONTROLE EJ'!F209)+N('CONTROLE CMM'!F209))</f>
        <v/>
      </c>
      <c r="AL207" s="223">
        <f>IF(AND('CONTROLE EJ'!G209="",'CONTROLE CMM'!G209=""),"",N('CONTROLE EJ'!G209)+N('CONTROLE CMM'!G209))</f>
        <v/>
      </c>
      <c r="AM207" s="223">
        <f>IF(AND('CONTROLE EJ'!H209="",'CONTROLE CMM'!H209=""),"",N('CONTROLE EJ'!H209)+N('CONTROLE CMM'!H209))</f>
        <v/>
      </c>
      <c r="AN207" s="223">
        <f>IF('CONTROLE GLOBO AÇOS'!G209="","",'CONTROLE GLOBO AÇOS'!G209)</f>
        <v/>
      </c>
      <c r="AO207" s="223">
        <f>IF('CONTROLE GLOBO AÇOS'!H209="","",'CONTROLE GLOBO AÇOS'!H209)</f>
        <v/>
      </c>
      <c r="AP207" s="223">
        <f>IF(AND('CONTROLE EJ'!I209="",'CONTROLE CMM'!I209=""),"",N('CONTROLE EJ'!I209)+N('CONTROLE CMM'!I209))</f>
        <v/>
      </c>
      <c r="AQ207" s="223">
        <f>IF(AND('CONTROLE EJ'!J209="",'CONTROLE CMM'!#REF!=""),"",N('CONTROLE EJ'!J209)+N('CONTROLE CMM'!#REF!))</f>
        <v/>
      </c>
      <c r="AR207" s="223">
        <f>IF('CONTROLE GLOBO AÇOS'!I209="","",'CONTROLE GLOBO AÇOS'!I209)</f>
        <v/>
      </c>
      <c r="AS207" s="223">
        <f>IF('CONTROLE GLOBO AÇOS'!J209="","",'CONTROLE GLOBO AÇOS'!J209)</f>
        <v/>
      </c>
      <c r="AT207" s="223">
        <f>IF(#REF!="","",#REF!)</f>
        <v/>
      </c>
      <c r="AU207" s="223">
        <f>IF('CONTROLE GLOBO AÇOS'!K209="","",'CONTROLE GLOBO AÇOS'!K209)</f>
        <v/>
      </c>
      <c r="AV207" s="223">
        <f>IF(AND('CONTROLE EJ'!K209="",'CONTROLE CMM'!#REF!=""),"",N('CONTROLE EJ'!K209)+N('CONTROLE CMM'!#REF!))</f>
        <v/>
      </c>
      <c r="AW207" s="223">
        <f>IF('CONTROLE GLOBO AÇOS'!L209="","",'CONTROLE GLOBO AÇOS'!L209)</f>
        <v/>
      </c>
      <c r="AX207" s="223">
        <f>IF(AND('CONTROLE EJ'!L209="",'CONTROLE CMM'!#REF!=""),"",N('CONTROLE EJ'!L209)+N('CONTROLE CMM'!#REF!))</f>
        <v/>
      </c>
      <c r="AY207" s="223">
        <f>IF('CONTROLE GLOBO AÇOS'!M209="","",'CONTROLE GLOBO AÇOS'!M209)</f>
        <v/>
      </c>
      <c r="AZ207" s="223">
        <f>IF('CONTROLE GLOBO AÇOS'!N209="","",'CONTROLE GLOBO AÇOS'!N209)</f>
        <v/>
      </c>
      <c r="BA207" s="223">
        <f>IF(AND('CONTROLE EJ'!M209="",'CONTROLE CMM'!#REF!=""),"",N('CONTROLE EJ'!M209)+N('CONTROLE CMM'!#REF!))</f>
        <v/>
      </c>
      <c r="BB207" s="223">
        <f>IF(#REF!="","",#REF!)</f>
        <v/>
      </c>
      <c r="BC207" s="223">
        <f>IF('CONTROLE GLOBO AÇOS'!O209="","",'CONTROLE GLOBO AÇOS'!O209)</f>
        <v/>
      </c>
      <c r="BD207" s="223">
        <f>IF(AND('CONTROLE EJ'!N209="",'CONTROLE CMM'!#REF!=""),"",N('CONTROLE EJ'!N209)+N('CONTROLE CMM'!#REF!))</f>
        <v/>
      </c>
      <c r="BE207" s="223">
        <f>IF('CONTROLE GLOBO AÇOS'!P209="","",'CONTROLE GLOBO AÇOS'!P209)</f>
        <v/>
      </c>
      <c r="BF207" s="223">
        <f>IF('CONTROLE GLOBO AÇOS'!Q209="","",'CONTROLE GLOBO AÇOS'!Q209)</f>
        <v/>
      </c>
      <c r="BG207" s="223">
        <f>IF('CONTROLE GLOBO AÇOS'!R209="","",'CONTROLE GLOBO AÇOS'!R209)</f>
        <v/>
      </c>
      <c r="BH207" s="223">
        <f>IF(AND('CONTROLE EJ'!O209="",'CONTROLE CMM'!#REF!=""),"",N('CONTROLE EJ'!O209)+N('CONTROLE CMM'!#REF!))</f>
        <v/>
      </c>
      <c r="BI207" s="223">
        <f>IF('CONTROLE GLOBO AÇOS'!S209="","",'CONTROLE GLOBO AÇOS'!S209)</f>
        <v/>
      </c>
      <c r="BJ207" s="223">
        <f>IF('CONTROLE GLOBO AÇOS'!T209="","",'CONTROLE GLOBO AÇOS'!T209)</f>
        <v/>
      </c>
      <c r="BK207" s="223">
        <f>IF('CONTROLE GLOBO AÇOS'!U209="","",'CONTROLE GLOBO AÇOS'!U209)</f>
        <v/>
      </c>
      <c r="BL207" s="223">
        <f>IF(AND('CONTROLE EJ'!P209="",'CONTROLE CMM'!#REF!=""),"",N('CONTROLE EJ'!P209)+N('CONTROLE CMM'!#REF!))</f>
        <v/>
      </c>
      <c r="BM207" s="223">
        <f>IF(AND('CONTROLE EJ'!Q209="",'CONTROLE CMM'!#REF!=""),"",N('CONTROLE EJ'!Q209)+N('CONTROLE CMM'!#REF!))</f>
        <v/>
      </c>
      <c r="BN207" s="223">
        <f>IF('CONTROLE GLOBO AÇOS'!V209="","",'CONTROLE GLOBO AÇOS'!V209)</f>
        <v/>
      </c>
      <c r="BO207" s="223">
        <f>IF('CONTROLE GLOBO AÇOS'!W209="","",'CONTROLE GLOBO AÇOS'!W209)</f>
        <v/>
      </c>
      <c r="BP207" s="223">
        <f>IF(AND('CONTROLE EJ'!R209="",'CONTROLE CMM'!#REF!=""),"",N('CONTROLE EJ'!R209)+N('CONTROLE CMM'!#REF!))</f>
        <v/>
      </c>
      <c r="BQ207" s="223">
        <f>IF(#REF!="","",#REF!)</f>
        <v/>
      </c>
      <c r="BR207" s="223">
        <f>IF(AND('CONTROLE EJ'!S209="",'CONTROLE CMM'!#REF!=""),"",N('CONTROLE EJ'!S209)+N('CONTROLE CMM'!#REF!))</f>
        <v/>
      </c>
      <c r="BS207" s="223">
        <f>IF(AND('CONTROLE EJ'!T209="",'CONTROLE CMM'!#REF!=""),"",N('CONTROLE EJ'!T209)+N('CONTROLE CMM'!#REF!))</f>
        <v/>
      </c>
      <c r="BT207" s="223">
        <f>IF('CONTROLE GLOBO AÇOS'!X209="","",'CONTROLE GLOBO AÇOS'!X209)</f>
        <v/>
      </c>
      <c r="BU207" s="223">
        <f>IF('CONTROLE GLOBO AÇOS'!Y209="","",'CONTROLE GLOBO AÇOS'!Y209)</f>
        <v/>
      </c>
      <c r="BV207" s="223">
        <f>IF(AND('CONTROLE EJ'!U209="",'CONTROLE CMM'!#REF!=""),"",N('CONTROLE EJ'!U209)+N('CONTROLE CMM'!#REF!))</f>
        <v/>
      </c>
      <c r="BW207" s="223">
        <f>IF(#REF!="","",#REF!)</f>
        <v/>
      </c>
    </row>
    <row r="208">
      <c r="A208" s="282" t="n">
        <v>46425</v>
      </c>
      <c r="B208" s="18">
        <f>IF('CONTROLE EJ'!B210="","",'CONTROLE EJ'!B210)</f>
        <v/>
      </c>
      <c r="C208" s="18">
        <f>IF('CONTROLE EJ'!C210="","",'CONTROLE EJ'!C210)</f>
        <v/>
      </c>
      <c r="D208" s="42">
        <f>IF('CONTROLE EJ'!D210="","",'CONTROLE EJ'!D210)</f>
        <v/>
      </c>
      <c r="E208" s="43">
        <f>IF('CONTROLE CMM'!B210="","",'CONTROLE CMM'!B210)</f>
        <v/>
      </c>
      <c r="F208" s="18">
        <f>IF('CONTROLE CMM'!C210="","",'CONTROLE CMM'!C210)</f>
        <v/>
      </c>
      <c r="G208" s="26">
        <f>IF('CONTROLE CMM'!D210="","",'CONTROLE CMM'!D210)</f>
        <v/>
      </c>
      <c r="H208" s="43">
        <f>IF('CONTROLE GLOBO AÇOS'!B210="","",'CONTROLE GLOBO AÇOS'!B210)</f>
        <v/>
      </c>
      <c r="I208" s="18">
        <f>IF('CONTROLE GLOBO AÇOS'!C210="","",'CONTROLE GLOBO AÇOS'!C210)</f>
        <v/>
      </c>
      <c r="J208" s="18">
        <f>IF('CONTROLE GLOBO AÇOS'!D210="","",'CONTROLE GLOBO AÇOS'!D210)</f>
        <v/>
      </c>
      <c r="AD208" s="39">
        <f>IF($A208="",0,IF(AND(WEEKDAY($A208,2)&lt;=5,OR($B208&lt;&gt;"",$C208&lt;&gt;"",$D208&lt;&gt;"")),1,0))</f>
        <v/>
      </c>
      <c r="AE208" s="39">
        <f>IF($A208="",0,IF(AND(WEEKDAY($A208,2)&lt;=5,OR($E208&lt;&gt;"",$F208&lt;&gt;"",$G208&lt;&gt;"")),1,0))</f>
        <v/>
      </c>
      <c r="AF208" s="39">
        <f>MAX(AD208,AE208)</f>
        <v/>
      </c>
      <c r="AH208" s="223">
        <f>IF('CONTROLE GLOBO AÇOS'!E210="","",'CONTROLE GLOBO AÇOS'!E210)</f>
        <v/>
      </c>
      <c r="AI208" s="223">
        <f>IF('CONTROLE GLOBO AÇOS'!F210="","",'CONTROLE GLOBO AÇOS'!F210)</f>
        <v/>
      </c>
      <c r="AJ208" s="223">
        <f>IF(AND('CONTROLE EJ'!E210="",'CONTROLE CMM'!E210=""),"",N('CONTROLE EJ'!E210)+N('CONTROLE CMM'!E210))</f>
        <v/>
      </c>
      <c r="AK208" s="223">
        <f>IF(AND('CONTROLE EJ'!F210="",'CONTROLE CMM'!F210=""),"",N('CONTROLE EJ'!F210)+N('CONTROLE CMM'!F210))</f>
        <v/>
      </c>
      <c r="AL208" s="223">
        <f>IF(AND('CONTROLE EJ'!G210="",'CONTROLE CMM'!G210=""),"",N('CONTROLE EJ'!G210)+N('CONTROLE CMM'!G210))</f>
        <v/>
      </c>
      <c r="AM208" s="223">
        <f>IF(AND('CONTROLE EJ'!H210="",'CONTROLE CMM'!H210=""),"",N('CONTROLE EJ'!H210)+N('CONTROLE CMM'!H210))</f>
        <v/>
      </c>
      <c r="AN208" s="223">
        <f>IF('CONTROLE GLOBO AÇOS'!G210="","",'CONTROLE GLOBO AÇOS'!G210)</f>
        <v/>
      </c>
      <c r="AO208" s="223">
        <f>IF('CONTROLE GLOBO AÇOS'!H210="","",'CONTROLE GLOBO AÇOS'!H210)</f>
        <v/>
      </c>
      <c r="AP208" s="223">
        <f>IF(AND('CONTROLE EJ'!I210="",'CONTROLE CMM'!I210=""),"",N('CONTROLE EJ'!I210)+N('CONTROLE CMM'!I210))</f>
        <v/>
      </c>
      <c r="AQ208" s="223">
        <f>IF(AND('CONTROLE EJ'!J210="",'CONTROLE CMM'!#REF!=""),"",N('CONTROLE EJ'!J210)+N('CONTROLE CMM'!#REF!))</f>
        <v/>
      </c>
      <c r="AR208" s="223">
        <f>IF('CONTROLE GLOBO AÇOS'!I210="","",'CONTROLE GLOBO AÇOS'!I210)</f>
        <v/>
      </c>
      <c r="AS208" s="223">
        <f>IF('CONTROLE GLOBO AÇOS'!J210="","",'CONTROLE GLOBO AÇOS'!J210)</f>
        <v/>
      </c>
      <c r="AT208" s="223">
        <f>IF(#REF!="","",#REF!)</f>
        <v/>
      </c>
      <c r="AU208" s="223">
        <f>IF('CONTROLE GLOBO AÇOS'!K210="","",'CONTROLE GLOBO AÇOS'!K210)</f>
        <v/>
      </c>
      <c r="AV208" s="223">
        <f>IF(AND('CONTROLE EJ'!K210="",'CONTROLE CMM'!#REF!=""),"",N('CONTROLE EJ'!K210)+N('CONTROLE CMM'!#REF!))</f>
        <v/>
      </c>
      <c r="AW208" s="223">
        <f>IF('CONTROLE GLOBO AÇOS'!L210="","",'CONTROLE GLOBO AÇOS'!L210)</f>
        <v/>
      </c>
      <c r="AX208" s="223">
        <f>IF(AND('CONTROLE EJ'!L210="",'CONTROLE CMM'!#REF!=""),"",N('CONTROLE EJ'!L210)+N('CONTROLE CMM'!#REF!))</f>
        <v/>
      </c>
      <c r="AY208" s="223">
        <f>IF('CONTROLE GLOBO AÇOS'!M210="","",'CONTROLE GLOBO AÇOS'!M210)</f>
        <v/>
      </c>
      <c r="AZ208" s="223">
        <f>IF('CONTROLE GLOBO AÇOS'!N210="","",'CONTROLE GLOBO AÇOS'!N210)</f>
        <v/>
      </c>
      <c r="BA208" s="223">
        <f>IF(AND('CONTROLE EJ'!M210="",'CONTROLE CMM'!#REF!=""),"",N('CONTROLE EJ'!M210)+N('CONTROLE CMM'!#REF!))</f>
        <v/>
      </c>
      <c r="BB208" s="223">
        <f>IF(#REF!="","",#REF!)</f>
        <v/>
      </c>
      <c r="BC208" s="223">
        <f>IF('CONTROLE GLOBO AÇOS'!O210="","",'CONTROLE GLOBO AÇOS'!O210)</f>
        <v/>
      </c>
      <c r="BD208" s="223">
        <f>IF(AND('CONTROLE EJ'!N210="",'CONTROLE CMM'!#REF!=""),"",N('CONTROLE EJ'!N210)+N('CONTROLE CMM'!#REF!))</f>
        <v/>
      </c>
      <c r="BE208" s="223">
        <f>IF('CONTROLE GLOBO AÇOS'!P210="","",'CONTROLE GLOBO AÇOS'!P210)</f>
        <v/>
      </c>
      <c r="BF208" s="223">
        <f>IF('CONTROLE GLOBO AÇOS'!Q210="","",'CONTROLE GLOBO AÇOS'!Q210)</f>
        <v/>
      </c>
      <c r="BG208" s="223">
        <f>IF('CONTROLE GLOBO AÇOS'!R210="","",'CONTROLE GLOBO AÇOS'!R210)</f>
        <v/>
      </c>
      <c r="BH208" s="223">
        <f>IF(AND('CONTROLE EJ'!O210="",'CONTROLE CMM'!#REF!=""),"",N('CONTROLE EJ'!O210)+N('CONTROLE CMM'!#REF!))</f>
        <v/>
      </c>
      <c r="BI208" s="223">
        <f>IF('CONTROLE GLOBO AÇOS'!S210="","",'CONTROLE GLOBO AÇOS'!S210)</f>
        <v/>
      </c>
      <c r="BJ208" s="223">
        <f>IF('CONTROLE GLOBO AÇOS'!T210="","",'CONTROLE GLOBO AÇOS'!T210)</f>
        <v/>
      </c>
      <c r="BK208" s="223">
        <f>IF('CONTROLE GLOBO AÇOS'!U210="","",'CONTROLE GLOBO AÇOS'!U210)</f>
        <v/>
      </c>
      <c r="BL208" s="223">
        <f>IF(AND('CONTROLE EJ'!P210="",'CONTROLE CMM'!#REF!=""),"",N('CONTROLE EJ'!P210)+N('CONTROLE CMM'!#REF!))</f>
        <v/>
      </c>
      <c r="BM208" s="223">
        <f>IF(AND('CONTROLE EJ'!Q210="",'CONTROLE CMM'!#REF!=""),"",N('CONTROLE EJ'!Q210)+N('CONTROLE CMM'!#REF!))</f>
        <v/>
      </c>
      <c r="BN208" s="223">
        <f>IF('CONTROLE GLOBO AÇOS'!V210="","",'CONTROLE GLOBO AÇOS'!V210)</f>
        <v/>
      </c>
      <c r="BO208" s="223">
        <f>IF('CONTROLE GLOBO AÇOS'!W210="","",'CONTROLE GLOBO AÇOS'!W210)</f>
        <v/>
      </c>
      <c r="BP208" s="223">
        <f>IF(AND('CONTROLE EJ'!R210="",'CONTROLE CMM'!#REF!=""),"",N('CONTROLE EJ'!R210)+N('CONTROLE CMM'!#REF!))</f>
        <v/>
      </c>
      <c r="BQ208" s="223">
        <f>IF(#REF!="","",#REF!)</f>
        <v/>
      </c>
      <c r="BR208" s="223">
        <f>IF(AND('CONTROLE EJ'!S210="",'CONTROLE CMM'!#REF!=""),"",N('CONTROLE EJ'!S210)+N('CONTROLE CMM'!#REF!))</f>
        <v/>
      </c>
      <c r="BS208" s="223">
        <f>IF(AND('CONTROLE EJ'!T210="",'CONTROLE CMM'!#REF!=""),"",N('CONTROLE EJ'!T210)+N('CONTROLE CMM'!#REF!))</f>
        <v/>
      </c>
      <c r="BT208" s="223">
        <f>IF('CONTROLE GLOBO AÇOS'!X210="","",'CONTROLE GLOBO AÇOS'!X210)</f>
        <v/>
      </c>
      <c r="BU208" s="223">
        <f>IF('CONTROLE GLOBO AÇOS'!Y210="","",'CONTROLE GLOBO AÇOS'!Y210)</f>
        <v/>
      </c>
      <c r="BV208" s="223">
        <f>IF(AND('CONTROLE EJ'!U210="",'CONTROLE CMM'!#REF!=""),"",N('CONTROLE EJ'!U210)+N('CONTROLE CMM'!#REF!))</f>
        <v/>
      </c>
      <c r="BW208" s="223">
        <f>IF(#REF!="","",#REF!)</f>
        <v/>
      </c>
    </row>
    <row r="209">
      <c r="A209" s="282" t="n">
        <v>46426</v>
      </c>
      <c r="B209" s="18">
        <f>IF('CONTROLE EJ'!B211="","",'CONTROLE EJ'!B211)</f>
        <v/>
      </c>
      <c r="C209" s="18">
        <f>IF('CONTROLE EJ'!C211="","",'CONTROLE EJ'!C211)</f>
        <v/>
      </c>
      <c r="D209" s="42">
        <f>IF('CONTROLE EJ'!D211="","",'CONTROLE EJ'!D211)</f>
        <v/>
      </c>
      <c r="E209" s="43">
        <f>IF('CONTROLE CMM'!B211="","",'CONTROLE CMM'!B211)</f>
        <v/>
      </c>
      <c r="F209" s="18">
        <f>IF('CONTROLE CMM'!C211="","",'CONTROLE CMM'!C211)</f>
        <v/>
      </c>
      <c r="G209" s="26">
        <f>IF('CONTROLE CMM'!D211="","",'CONTROLE CMM'!D211)</f>
        <v/>
      </c>
      <c r="H209" s="43">
        <f>IF('CONTROLE GLOBO AÇOS'!B211="","",'CONTROLE GLOBO AÇOS'!B211)</f>
        <v/>
      </c>
      <c r="I209" s="18">
        <f>IF('CONTROLE GLOBO AÇOS'!C211="","",'CONTROLE GLOBO AÇOS'!C211)</f>
        <v/>
      </c>
      <c r="J209" s="18">
        <f>IF('CONTROLE GLOBO AÇOS'!D211="","",'CONTROLE GLOBO AÇOS'!D211)</f>
        <v/>
      </c>
      <c r="AD209" s="39">
        <f>IF($A209="",0,IF(AND(WEEKDAY($A209,2)&lt;=5,OR($B209&lt;&gt;"",$C209&lt;&gt;"",$D209&lt;&gt;"")),1,0))</f>
        <v/>
      </c>
      <c r="AE209" s="39">
        <f>IF($A209="",0,IF(AND(WEEKDAY($A209,2)&lt;=5,OR($E209&lt;&gt;"",$F209&lt;&gt;"",$G209&lt;&gt;"")),1,0))</f>
        <v/>
      </c>
      <c r="AF209" s="39">
        <f>MAX(AD209,AE209)</f>
        <v/>
      </c>
      <c r="AH209" s="223">
        <f>IF('CONTROLE GLOBO AÇOS'!E211="","",'CONTROLE GLOBO AÇOS'!E211)</f>
        <v/>
      </c>
      <c r="AI209" s="223">
        <f>IF('CONTROLE GLOBO AÇOS'!F211="","",'CONTROLE GLOBO AÇOS'!F211)</f>
        <v/>
      </c>
      <c r="AJ209" s="223">
        <f>IF(AND('CONTROLE EJ'!E211="",'CONTROLE CMM'!E211=""),"",N('CONTROLE EJ'!E211)+N('CONTROLE CMM'!E211))</f>
        <v/>
      </c>
      <c r="AK209" s="223">
        <f>IF(AND('CONTROLE EJ'!F211="",'CONTROLE CMM'!F211=""),"",N('CONTROLE EJ'!F211)+N('CONTROLE CMM'!F211))</f>
        <v/>
      </c>
      <c r="AL209" s="223">
        <f>IF(AND('CONTROLE EJ'!G211="",'CONTROLE CMM'!G211=""),"",N('CONTROLE EJ'!G211)+N('CONTROLE CMM'!G211))</f>
        <v/>
      </c>
      <c r="AM209" s="223">
        <f>IF(AND('CONTROLE EJ'!H211="",'CONTROLE CMM'!H211=""),"",N('CONTROLE EJ'!H211)+N('CONTROLE CMM'!H211))</f>
        <v/>
      </c>
      <c r="AN209" s="223">
        <f>IF('CONTROLE GLOBO AÇOS'!G211="","",'CONTROLE GLOBO AÇOS'!G211)</f>
        <v/>
      </c>
      <c r="AO209" s="223">
        <f>IF('CONTROLE GLOBO AÇOS'!H211="","",'CONTROLE GLOBO AÇOS'!H211)</f>
        <v/>
      </c>
      <c r="AP209" s="223">
        <f>IF(AND('CONTROLE EJ'!I211="",'CONTROLE CMM'!I211=""),"",N('CONTROLE EJ'!I211)+N('CONTROLE CMM'!I211))</f>
        <v/>
      </c>
      <c r="AQ209" s="223">
        <f>IF(AND('CONTROLE EJ'!J211="",'CONTROLE CMM'!#REF!=""),"",N('CONTROLE EJ'!J211)+N('CONTROLE CMM'!#REF!))</f>
        <v/>
      </c>
      <c r="AR209" s="223">
        <f>IF('CONTROLE GLOBO AÇOS'!I211="","",'CONTROLE GLOBO AÇOS'!I211)</f>
        <v/>
      </c>
      <c r="AS209" s="223">
        <f>IF('CONTROLE GLOBO AÇOS'!J211="","",'CONTROLE GLOBO AÇOS'!J211)</f>
        <v/>
      </c>
      <c r="AT209" s="223">
        <f>IF(#REF!="","",#REF!)</f>
        <v/>
      </c>
      <c r="AU209" s="223">
        <f>IF('CONTROLE GLOBO AÇOS'!K211="","",'CONTROLE GLOBO AÇOS'!K211)</f>
        <v/>
      </c>
      <c r="AV209" s="223">
        <f>IF(AND('CONTROLE EJ'!K211="",'CONTROLE CMM'!#REF!=""),"",N('CONTROLE EJ'!K211)+N('CONTROLE CMM'!#REF!))</f>
        <v/>
      </c>
      <c r="AW209" s="223">
        <f>IF('CONTROLE GLOBO AÇOS'!L211="","",'CONTROLE GLOBO AÇOS'!L211)</f>
        <v/>
      </c>
      <c r="AX209" s="223">
        <f>IF(AND('CONTROLE EJ'!L211="",'CONTROLE CMM'!#REF!=""),"",N('CONTROLE EJ'!L211)+N('CONTROLE CMM'!#REF!))</f>
        <v/>
      </c>
      <c r="AY209" s="223">
        <f>IF('CONTROLE GLOBO AÇOS'!M211="","",'CONTROLE GLOBO AÇOS'!M211)</f>
        <v/>
      </c>
      <c r="AZ209" s="223">
        <f>IF('CONTROLE GLOBO AÇOS'!N211="","",'CONTROLE GLOBO AÇOS'!N211)</f>
        <v/>
      </c>
      <c r="BA209" s="223">
        <f>IF(AND('CONTROLE EJ'!M211="",'CONTROLE CMM'!#REF!=""),"",N('CONTROLE EJ'!M211)+N('CONTROLE CMM'!#REF!))</f>
        <v/>
      </c>
      <c r="BB209" s="223">
        <f>IF(#REF!="","",#REF!)</f>
        <v/>
      </c>
      <c r="BC209" s="223">
        <f>IF('CONTROLE GLOBO AÇOS'!O211="","",'CONTROLE GLOBO AÇOS'!O211)</f>
        <v/>
      </c>
      <c r="BD209" s="223">
        <f>IF(AND('CONTROLE EJ'!N211="",'CONTROLE CMM'!#REF!=""),"",N('CONTROLE EJ'!N211)+N('CONTROLE CMM'!#REF!))</f>
        <v/>
      </c>
      <c r="BE209" s="223">
        <f>IF('CONTROLE GLOBO AÇOS'!P211="","",'CONTROLE GLOBO AÇOS'!P211)</f>
        <v/>
      </c>
      <c r="BF209" s="223">
        <f>IF('CONTROLE GLOBO AÇOS'!Q211="","",'CONTROLE GLOBO AÇOS'!Q211)</f>
        <v/>
      </c>
      <c r="BG209" s="223">
        <f>IF('CONTROLE GLOBO AÇOS'!R211="","",'CONTROLE GLOBO AÇOS'!R211)</f>
        <v/>
      </c>
      <c r="BH209" s="223">
        <f>IF(AND('CONTROLE EJ'!O211="",'CONTROLE CMM'!#REF!=""),"",N('CONTROLE EJ'!O211)+N('CONTROLE CMM'!#REF!))</f>
        <v/>
      </c>
      <c r="BI209" s="223">
        <f>IF('CONTROLE GLOBO AÇOS'!S211="","",'CONTROLE GLOBO AÇOS'!S211)</f>
        <v/>
      </c>
      <c r="BJ209" s="223">
        <f>IF('CONTROLE GLOBO AÇOS'!T211="","",'CONTROLE GLOBO AÇOS'!T211)</f>
        <v/>
      </c>
      <c r="BK209" s="223">
        <f>IF('CONTROLE GLOBO AÇOS'!U211="","",'CONTROLE GLOBO AÇOS'!U211)</f>
        <v/>
      </c>
      <c r="BL209" s="223">
        <f>IF(AND('CONTROLE EJ'!P211="",'CONTROLE CMM'!#REF!=""),"",N('CONTROLE EJ'!P211)+N('CONTROLE CMM'!#REF!))</f>
        <v/>
      </c>
      <c r="BM209" s="223">
        <f>IF(AND('CONTROLE EJ'!Q211="",'CONTROLE CMM'!#REF!=""),"",N('CONTROLE EJ'!Q211)+N('CONTROLE CMM'!#REF!))</f>
        <v/>
      </c>
      <c r="BN209" s="223">
        <f>IF('CONTROLE GLOBO AÇOS'!V211="","",'CONTROLE GLOBO AÇOS'!V211)</f>
        <v/>
      </c>
      <c r="BO209" s="223">
        <f>IF('CONTROLE GLOBO AÇOS'!W211="","",'CONTROLE GLOBO AÇOS'!W211)</f>
        <v/>
      </c>
      <c r="BP209" s="223">
        <f>IF(AND('CONTROLE EJ'!R211="",'CONTROLE CMM'!#REF!=""),"",N('CONTROLE EJ'!R211)+N('CONTROLE CMM'!#REF!))</f>
        <v/>
      </c>
      <c r="BQ209" s="223">
        <f>IF(#REF!="","",#REF!)</f>
        <v/>
      </c>
      <c r="BR209" s="223">
        <f>IF(AND('CONTROLE EJ'!S211="",'CONTROLE CMM'!#REF!=""),"",N('CONTROLE EJ'!S211)+N('CONTROLE CMM'!#REF!))</f>
        <v/>
      </c>
      <c r="BS209" s="223">
        <f>IF(AND('CONTROLE EJ'!T211="",'CONTROLE CMM'!#REF!=""),"",N('CONTROLE EJ'!T211)+N('CONTROLE CMM'!#REF!))</f>
        <v/>
      </c>
      <c r="BT209" s="223">
        <f>IF('CONTROLE GLOBO AÇOS'!X211="","",'CONTROLE GLOBO AÇOS'!X211)</f>
        <v/>
      </c>
      <c r="BU209" s="223">
        <f>IF('CONTROLE GLOBO AÇOS'!Y211="","",'CONTROLE GLOBO AÇOS'!Y211)</f>
        <v/>
      </c>
      <c r="BV209" s="223">
        <f>IF(AND('CONTROLE EJ'!U211="",'CONTROLE CMM'!#REF!=""),"",N('CONTROLE EJ'!U211)+N('CONTROLE CMM'!#REF!))</f>
        <v/>
      </c>
      <c r="BW209" s="223">
        <f>IF(#REF!="","",#REF!)</f>
        <v/>
      </c>
    </row>
    <row r="210">
      <c r="A210" s="282" t="n">
        <v>46427</v>
      </c>
      <c r="B210" s="18">
        <f>IF('CONTROLE EJ'!B212="","",'CONTROLE EJ'!B212)</f>
        <v/>
      </c>
      <c r="C210" s="18">
        <f>IF('CONTROLE EJ'!C212="","",'CONTROLE EJ'!C212)</f>
        <v/>
      </c>
      <c r="D210" s="42">
        <f>IF('CONTROLE EJ'!D212="","",'CONTROLE EJ'!D212)</f>
        <v/>
      </c>
      <c r="E210" s="43">
        <f>IF('CONTROLE CMM'!B212="","",'CONTROLE CMM'!B212)</f>
        <v/>
      </c>
      <c r="F210" s="18">
        <f>IF('CONTROLE CMM'!C212="","",'CONTROLE CMM'!C212)</f>
        <v/>
      </c>
      <c r="G210" s="26">
        <f>IF('CONTROLE CMM'!D212="","",'CONTROLE CMM'!D212)</f>
        <v/>
      </c>
      <c r="H210" s="43">
        <f>IF('CONTROLE GLOBO AÇOS'!B212="","",'CONTROLE GLOBO AÇOS'!B212)</f>
        <v/>
      </c>
      <c r="I210" s="18">
        <f>IF('CONTROLE GLOBO AÇOS'!C212="","",'CONTROLE GLOBO AÇOS'!C212)</f>
        <v/>
      </c>
      <c r="J210" s="18">
        <f>IF('CONTROLE GLOBO AÇOS'!D212="","",'CONTROLE GLOBO AÇOS'!D212)</f>
        <v/>
      </c>
      <c r="AD210" s="39">
        <f>IF($A210="",0,IF(AND(WEEKDAY($A210,2)&lt;=5,OR($B210&lt;&gt;"",$C210&lt;&gt;"",$D210&lt;&gt;"")),1,0))</f>
        <v/>
      </c>
      <c r="AE210" s="39">
        <f>IF($A210="",0,IF(AND(WEEKDAY($A210,2)&lt;=5,OR($E210&lt;&gt;"",$F210&lt;&gt;"",$G210&lt;&gt;"")),1,0))</f>
        <v/>
      </c>
      <c r="AF210" s="39">
        <f>MAX(AD210,AE210)</f>
        <v/>
      </c>
      <c r="AH210" s="223">
        <f>IF('CONTROLE GLOBO AÇOS'!E212="","",'CONTROLE GLOBO AÇOS'!E212)</f>
        <v/>
      </c>
      <c r="AI210" s="223">
        <f>IF('CONTROLE GLOBO AÇOS'!F212="","",'CONTROLE GLOBO AÇOS'!F212)</f>
        <v/>
      </c>
      <c r="AJ210" s="223">
        <f>IF(AND('CONTROLE EJ'!E212="",'CONTROLE CMM'!E212=""),"",N('CONTROLE EJ'!E212)+N('CONTROLE CMM'!E212))</f>
        <v/>
      </c>
      <c r="AK210" s="223">
        <f>IF(AND('CONTROLE EJ'!F212="",'CONTROLE CMM'!F212=""),"",N('CONTROLE EJ'!F212)+N('CONTROLE CMM'!F212))</f>
        <v/>
      </c>
      <c r="AL210" s="223">
        <f>IF(AND('CONTROLE EJ'!G212="",'CONTROLE CMM'!G212=""),"",N('CONTROLE EJ'!G212)+N('CONTROLE CMM'!G212))</f>
        <v/>
      </c>
      <c r="AM210" s="223">
        <f>IF(AND('CONTROLE EJ'!H212="",'CONTROLE CMM'!H212=""),"",N('CONTROLE EJ'!H212)+N('CONTROLE CMM'!H212))</f>
        <v/>
      </c>
      <c r="AN210" s="223">
        <f>IF('CONTROLE GLOBO AÇOS'!G212="","",'CONTROLE GLOBO AÇOS'!G212)</f>
        <v/>
      </c>
      <c r="AO210" s="223">
        <f>IF('CONTROLE GLOBO AÇOS'!H212="","",'CONTROLE GLOBO AÇOS'!H212)</f>
        <v/>
      </c>
      <c r="AP210" s="223">
        <f>IF(AND('CONTROLE EJ'!I212="",'CONTROLE CMM'!I212=""),"",N('CONTROLE EJ'!I212)+N('CONTROLE CMM'!I212))</f>
        <v/>
      </c>
      <c r="AQ210" s="223">
        <f>IF(AND('CONTROLE EJ'!J212="",'CONTROLE CMM'!#REF!=""),"",N('CONTROLE EJ'!J212)+N('CONTROLE CMM'!#REF!))</f>
        <v/>
      </c>
      <c r="AR210" s="223">
        <f>IF('CONTROLE GLOBO AÇOS'!I212="","",'CONTROLE GLOBO AÇOS'!I212)</f>
        <v/>
      </c>
      <c r="AS210" s="223">
        <f>IF('CONTROLE GLOBO AÇOS'!J212="","",'CONTROLE GLOBO AÇOS'!J212)</f>
        <v/>
      </c>
      <c r="AT210" s="223">
        <f>IF(#REF!="","",#REF!)</f>
        <v/>
      </c>
      <c r="AU210" s="223">
        <f>IF('CONTROLE GLOBO AÇOS'!K212="","",'CONTROLE GLOBO AÇOS'!K212)</f>
        <v/>
      </c>
      <c r="AV210" s="223">
        <f>IF(AND('CONTROLE EJ'!K212="",'CONTROLE CMM'!#REF!=""),"",N('CONTROLE EJ'!K212)+N('CONTROLE CMM'!#REF!))</f>
        <v/>
      </c>
      <c r="AW210" s="223">
        <f>IF('CONTROLE GLOBO AÇOS'!L212="","",'CONTROLE GLOBO AÇOS'!L212)</f>
        <v/>
      </c>
      <c r="AX210" s="223">
        <f>IF(AND('CONTROLE EJ'!L212="",'CONTROLE CMM'!#REF!=""),"",N('CONTROLE EJ'!L212)+N('CONTROLE CMM'!#REF!))</f>
        <v/>
      </c>
      <c r="AY210" s="223">
        <f>IF('CONTROLE GLOBO AÇOS'!M212="","",'CONTROLE GLOBO AÇOS'!M212)</f>
        <v/>
      </c>
      <c r="AZ210" s="223">
        <f>IF('CONTROLE GLOBO AÇOS'!N212="","",'CONTROLE GLOBO AÇOS'!N212)</f>
        <v/>
      </c>
      <c r="BA210" s="223">
        <f>IF(AND('CONTROLE EJ'!M212="",'CONTROLE CMM'!#REF!=""),"",N('CONTROLE EJ'!M212)+N('CONTROLE CMM'!#REF!))</f>
        <v/>
      </c>
      <c r="BB210" s="223">
        <f>IF(#REF!="","",#REF!)</f>
        <v/>
      </c>
      <c r="BC210" s="223">
        <f>IF('CONTROLE GLOBO AÇOS'!O212="","",'CONTROLE GLOBO AÇOS'!O212)</f>
        <v/>
      </c>
      <c r="BD210" s="223">
        <f>IF(AND('CONTROLE EJ'!N212="",'CONTROLE CMM'!#REF!=""),"",N('CONTROLE EJ'!N212)+N('CONTROLE CMM'!#REF!))</f>
        <v/>
      </c>
      <c r="BE210" s="223">
        <f>IF('CONTROLE GLOBO AÇOS'!P212="","",'CONTROLE GLOBO AÇOS'!P212)</f>
        <v/>
      </c>
      <c r="BF210" s="223">
        <f>IF('CONTROLE GLOBO AÇOS'!Q212="","",'CONTROLE GLOBO AÇOS'!Q212)</f>
        <v/>
      </c>
      <c r="BG210" s="223">
        <f>IF('CONTROLE GLOBO AÇOS'!R212="","",'CONTROLE GLOBO AÇOS'!R212)</f>
        <v/>
      </c>
      <c r="BH210" s="223">
        <f>IF(AND('CONTROLE EJ'!O212="",'CONTROLE CMM'!#REF!=""),"",N('CONTROLE EJ'!O212)+N('CONTROLE CMM'!#REF!))</f>
        <v/>
      </c>
      <c r="BI210" s="223">
        <f>IF('CONTROLE GLOBO AÇOS'!S212="","",'CONTROLE GLOBO AÇOS'!S212)</f>
        <v/>
      </c>
      <c r="BJ210" s="223">
        <f>IF('CONTROLE GLOBO AÇOS'!T212="","",'CONTROLE GLOBO AÇOS'!T212)</f>
        <v/>
      </c>
      <c r="BK210" s="223">
        <f>IF('CONTROLE GLOBO AÇOS'!U212="","",'CONTROLE GLOBO AÇOS'!U212)</f>
        <v/>
      </c>
      <c r="BL210" s="223">
        <f>IF(AND('CONTROLE EJ'!P212="",'CONTROLE CMM'!#REF!=""),"",N('CONTROLE EJ'!P212)+N('CONTROLE CMM'!#REF!))</f>
        <v/>
      </c>
      <c r="BM210" s="223">
        <f>IF(AND('CONTROLE EJ'!Q212="",'CONTROLE CMM'!#REF!=""),"",N('CONTROLE EJ'!Q212)+N('CONTROLE CMM'!#REF!))</f>
        <v/>
      </c>
      <c r="BN210" s="223">
        <f>IF('CONTROLE GLOBO AÇOS'!V212="","",'CONTROLE GLOBO AÇOS'!V212)</f>
        <v/>
      </c>
      <c r="BO210" s="223">
        <f>IF('CONTROLE GLOBO AÇOS'!W212="","",'CONTROLE GLOBO AÇOS'!W212)</f>
        <v/>
      </c>
      <c r="BP210" s="223">
        <f>IF(AND('CONTROLE EJ'!R212="",'CONTROLE CMM'!#REF!=""),"",N('CONTROLE EJ'!R212)+N('CONTROLE CMM'!#REF!))</f>
        <v/>
      </c>
      <c r="BQ210" s="223">
        <f>IF(#REF!="","",#REF!)</f>
        <v/>
      </c>
      <c r="BR210" s="223">
        <f>IF(AND('CONTROLE EJ'!S212="",'CONTROLE CMM'!#REF!=""),"",N('CONTROLE EJ'!S212)+N('CONTROLE CMM'!#REF!))</f>
        <v/>
      </c>
      <c r="BS210" s="223">
        <f>IF(AND('CONTROLE EJ'!T212="",'CONTROLE CMM'!#REF!=""),"",N('CONTROLE EJ'!T212)+N('CONTROLE CMM'!#REF!))</f>
        <v/>
      </c>
      <c r="BT210" s="223">
        <f>IF('CONTROLE GLOBO AÇOS'!X212="","",'CONTROLE GLOBO AÇOS'!X212)</f>
        <v/>
      </c>
      <c r="BU210" s="223">
        <f>IF('CONTROLE GLOBO AÇOS'!Y212="","",'CONTROLE GLOBO AÇOS'!Y212)</f>
        <v/>
      </c>
      <c r="BV210" s="223">
        <f>IF(AND('CONTROLE EJ'!U212="",'CONTROLE CMM'!#REF!=""),"",N('CONTROLE EJ'!U212)+N('CONTROLE CMM'!#REF!))</f>
        <v/>
      </c>
      <c r="BW210" s="223">
        <f>IF(#REF!="","",#REF!)</f>
        <v/>
      </c>
    </row>
    <row r="211">
      <c r="A211" s="282" t="n">
        <v>46428</v>
      </c>
      <c r="B211" s="18">
        <f>IF('CONTROLE EJ'!B213="","",'CONTROLE EJ'!B213)</f>
        <v/>
      </c>
      <c r="C211" s="18">
        <f>IF('CONTROLE EJ'!C213="","",'CONTROLE EJ'!C213)</f>
        <v/>
      </c>
      <c r="D211" s="42">
        <f>IF('CONTROLE EJ'!D213="","",'CONTROLE EJ'!D213)</f>
        <v/>
      </c>
      <c r="E211" s="43">
        <f>IF('CONTROLE CMM'!B213="","",'CONTROLE CMM'!B213)</f>
        <v/>
      </c>
      <c r="F211" s="18">
        <f>IF('CONTROLE CMM'!C213="","",'CONTROLE CMM'!C213)</f>
        <v/>
      </c>
      <c r="G211" s="26">
        <f>IF('CONTROLE CMM'!D213="","",'CONTROLE CMM'!D213)</f>
        <v/>
      </c>
      <c r="H211" s="43">
        <f>IF('CONTROLE GLOBO AÇOS'!B213="","",'CONTROLE GLOBO AÇOS'!B213)</f>
        <v/>
      </c>
      <c r="I211" s="18">
        <f>IF('CONTROLE GLOBO AÇOS'!C213="","",'CONTROLE GLOBO AÇOS'!C213)</f>
        <v/>
      </c>
      <c r="J211" s="18">
        <f>IF('CONTROLE GLOBO AÇOS'!D213="","",'CONTROLE GLOBO AÇOS'!D213)</f>
        <v/>
      </c>
      <c r="AD211" s="39">
        <f>IF($A211="",0,IF(AND(WEEKDAY($A211,2)&lt;=5,OR($B211&lt;&gt;"",$C211&lt;&gt;"",$D211&lt;&gt;"")),1,0))</f>
        <v/>
      </c>
      <c r="AE211" s="39">
        <f>IF($A211="",0,IF(AND(WEEKDAY($A211,2)&lt;=5,OR($E211&lt;&gt;"",$F211&lt;&gt;"",$G211&lt;&gt;"")),1,0))</f>
        <v/>
      </c>
      <c r="AF211" s="39">
        <f>MAX(AD211,AE211)</f>
        <v/>
      </c>
      <c r="AH211" s="223">
        <f>IF('CONTROLE GLOBO AÇOS'!E213="","",'CONTROLE GLOBO AÇOS'!E213)</f>
        <v/>
      </c>
      <c r="AI211" s="223">
        <f>IF('CONTROLE GLOBO AÇOS'!F213="","",'CONTROLE GLOBO AÇOS'!F213)</f>
        <v/>
      </c>
      <c r="AJ211" s="223">
        <f>IF(AND('CONTROLE EJ'!E213="",'CONTROLE CMM'!E213=""),"",N('CONTROLE EJ'!E213)+N('CONTROLE CMM'!E213))</f>
        <v/>
      </c>
      <c r="AK211" s="223">
        <f>IF(AND('CONTROLE EJ'!F213="",'CONTROLE CMM'!F213=""),"",N('CONTROLE EJ'!F213)+N('CONTROLE CMM'!F213))</f>
        <v/>
      </c>
      <c r="AL211" s="223">
        <f>IF(AND('CONTROLE EJ'!G213="",'CONTROLE CMM'!G213=""),"",N('CONTROLE EJ'!G213)+N('CONTROLE CMM'!G213))</f>
        <v/>
      </c>
      <c r="AM211" s="223">
        <f>IF(AND('CONTROLE EJ'!H213="",'CONTROLE CMM'!H213=""),"",N('CONTROLE EJ'!H213)+N('CONTROLE CMM'!H213))</f>
        <v/>
      </c>
      <c r="AN211" s="223">
        <f>IF('CONTROLE GLOBO AÇOS'!G213="","",'CONTROLE GLOBO AÇOS'!G213)</f>
        <v/>
      </c>
      <c r="AO211" s="223">
        <f>IF('CONTROLE GLOBO AÇOS'!H213="","",'CONTROLE GLOBO AÇOS'!H213)</f>
        <v/>
      </c>
      <c r="AP211" s="223">
        <f>IF(AND('CONTROLE EJ'!I213="",'CONTROLE CMM'!I213=""),"",N('CONTROLE EJ'!I213)+N('CONTROLE CMM'!I213))</f>
        <v/>
      </c>
      <c r="AQ211" s="223">
        <f>IF(AND('CONTROLE EJ'!J213="",'CONTROLE CMM'!#REF!=""),"",N('CONTROLE EJ'!J213)+N('CONTROLE CMM'!#REF!))</f>
        <v/>
      </c>
      <c r="AR211" s="223">
        <f>IF('CONTROLE GLOBO AÇOS'!I213="","",'CONTROLE GLOBO AÇOS'!I213)</f>
        <v/>
      </c>
      <c r="AS211" s="223">
        <f>IF('CONTROLE GLOBO AÇOS'!J213="","",'CONTROLE GLOBO AÇOS'!J213)</f>
        <v/>
      </c>
      <c r="AT211" s="223">
        <f>IF(#REF!="","",#REF!)</f>
        <v/>
      </c>
      <c r="AU211" s="223">
        <f>IF('CONTROLE GLOBO AÇOS'!K213="","",'CONTROLE GLOBO AÇOS'!K213)</f>
        <v/>
      </c>
      <c r="AV211" s="223">
        <f>IF(AND('CONTROLE EJ'!K213="",'CONTROLE CMM'!#REF!=""),"",N('CONTROLE EJ'!K213)+N('CONTROLE CMM'!#REF!))</f>
        <v/>
      </c>
      <c r="AW211" s="223">
        <f>IF('CONTROLE GLOBO AÇOS'!L213="","",'CONTROLE GLOBO AÇOS'!L213)</f>
        <v/>
      </c>
      <c r="AX211" s="223">
        <f>IF(AND('CONTROLE EJ'!L213="",'CONTROLE CMM'!#REF!=""),"",N('CONTROLE EJ'!L213)+N('CONTROLE CMM'!#REF!))</f>
        <v/>
      </c>
      <c r="AY211" s="223">
        <f>IF('CONTROLE GLOBO AÇOS'!M213="","",'CONTROLE GLOBO AÇOS'!M213)</f>
        <v/>
      </c>
      <c r="AZ211" s="223">
        <f>IF('CONTROLE GLOBO AÇOS'!N213="","",'CONTROLE GLOBO AÇOS'!N213)</f>
        <v/>
      </c>
      <c r="BA211" s="223">
        <f>IF(AND('CONTROLE EJ'!M213="",'CONTROLE CMM'!#REF!=""),"",N('CONTROLE EJ'!M213)+N('CONTROLE CMM'!#REF!))</f>
        <v/>
      </c>
      <c r="BB211" s="223">
        <f>IF(#REF!="","",#REF!)</f>
        <v/>
      </c>
      <c r="BC211" s="223">
        <f>IF('CONTROLE GLOBO AÇOS'!O213="","",'CONTROLE GLOBO AÇOS'!O213)</f>
        <v/>
      </c>
      <c r="BD211" s="223">
        <f>IF(AND('CONTROLE EJ'!N213="",'CONTROLE CMM'!#REF!=""),"",N('CONTROLE EJ'!N213)+N('CONTROLE CMM'!#REF!))</f>
        <v/>
      </c>
      <c r="BE211" s="223">
        <f>IF('CONTROLE GLOBO AÇOS'!P213="","",'CONTROLE GLOBO AÇOS'!P213)</f>
        <v/>
      </c>
      <c r="BF211" s="223">
        <f>IF('CONTROLE GLOBO AÇOS'!Q213="","",'CONTROLE GLOBO AÇOS'!Q213)</f>
        <v/>
      </c>
      <c r="BG211" s="223">
        <f>IF('CONTROLE GLOBO AÇOS'!R213="","",'CONTROLE GLOBO AÇOS'!R213)</f>
        <v/>
      </c>
      <c r="BH211" s="223">
        <f>IF(AND('CONTROLE EJ'!O213="",'CONTROLE CMM'!#REF!=""),"",N('CONTROLE EJ'!O213)+N('CONTROLE CMM'!#REF!))</f>
        <v/>
      </c>
      <c r="BI211" s="223">
        <f>IF('CONTROLE GLOBO AÇOS'!S213="","",'CONTROLE GLOBO AÇOS'!S213)</f>
        <v/>
      </c>
      <c r="BJ211" s="223">
        <f>IF('CONTROLE GLOBO AÇOS'!T213="","",'CONTROLE GLOBO AÇOS'!T213)</f>
        <v/>
      </c>
      <c r="BK211" s="223">
        <f>IF('CONTROLE GLOBO AÇOS'!U213="","",'CONTROLE GLOBO AÇOS'!U213)</f>
        <v/>
      </c>
      <c r="BL211" s="223">
        <f>IF(AND('CONTROLE EJ'!P213="",'CONTROLE CMM'!#REF!=""),"",N('CONTROLE EJ'!P213)+N('CONTROLE CMM'!#REF!))</f>
        <v/>
      </c>
      <c r="BM211" s="223">
        <f>IF(AND('CONTROLE EJ'!Q213="",'CONTROLE CMM'!#REF!=""),"",N('CONTROLE EJ'!Q213)+N('CONTROLE CMM'!#REF!))</f>
        <v/>
      </c>
      <c r="BN211" s="223">
        <f>IF('CONTROLE GLOBO AÇOS'!V213="","",'CONTROLE GLOBO AÇOS'!V213)</f>
        <v/>
      </c>
      <c r="BO211" s="223">
        <f>IF('CONTROLE GLOBO AÇOS'!W213="","",'CONTROLE GLOBO AÇOS'!W213)</f>
        <v/>
      </c>
      <c r="BP211" s="223">
        <f>IF(AND('CONTROLE EJ'!R213="",'CONTROLE CMM'!#REF!=""),"",N('CONTROLE EJ'!R213)+N('CONTROLE CMM'!#REF!))</f>
        <v/>
      </c>
      <c r="BQ211" s="223">
        <f>IF(#REF!="","",#REF!)</f>
        <v/>
      </c>
      <c r="BR211" s="223">
        <f>IF(AND('CONTROLE EJ'!S213="",'CONTROLE CMM'!#REF!=""),"",N('CONTROLE EJ'!S213)+N('CONTROLE CMM'!#REF!))</f>
        <v/>
      </c>
      <c r="BS211" s="223">
        <f>IF(AND('CONTROLE EJ'!T213="",'CONTROLE CMM'!#REF!=""),"",N('CONTROLE EJ'!T213)+N('CONTROLE CMM'!#REF!))</f>
        <v/>
      </c>
      <c r="BT211" s="223">
        <f>IF('CONTROLE GLOBO AÇOS'!X213="","",'CONTROLE GLOBO AÇOS'!X213)</f>
        <v/>
      </c>
      <c r="BU211" s="223">
        <f>IF('CONTROLE GLOBO AÇOS'!Y213="","",'CONTROLE GLOBO AÇOS'!Y213)</f>
        <v/>
      </c>
      <c r="BV211" s="223">
        <f>IF(AND('CONTROLE EJ'!U213="",'CONTROLE CMM'!#REF!=""),"",N('CONTROLE EJ'!U213)+N('CONTROLE CMM'!#REF!))</f>
        <v/>
      </c>
      <c r="BW211" s="223">
        <f>IF(#REF!="","",#REF!)</f>
        <v/>
      </c>
    </row>
    <row r="212">
      <c r="A212" s="282" t="n">
        <v>46429</v>
      </c>
      <c r="B212" s="18">
        <f>IF('CONTROLE EJ'!B214="","",'CONTROLE EJ'!B214)</f>
        <v/>
      </c>
      <c r="C212" s="18">
        <f>IF('CONTROLE EJ'!C214="","",'CONTROLE EJ'!C214)</f>
        <v/>
      </c>
      <c r="D212" s="42">
        <f>IF('CONTROLE EJ'!D214="","",'CONTROLE EJ'!D214)</f>
        <v/>
      </c>
      <c r="E212" s="43">
        <f>IF('CONTROLE CMM'!B214="","",'CONTROLE CMM'!B214)</f>
        <v/>
      </c>
      <c r="F212" s="18">
        <f>IF('CONTROLE CMM'!C214="","",'CONTROLE CMM'!C214)</f>
        <v/>
      </c>
      <c r="G212" s="26">
        <f>IF('CONTROLE CMM'!D214="","",'CONTROLE CMM'!D214)</f>
        <v/>
      </c>
      <c r="H212" s="43">
        <f>IF('CONTROLE GLOBO AÇOS'!B214="","",'CONTROLE GLOBO AÇOS'!B214)</f>
        <v/>
      </c>
      <c r="I212" s="18">
        <f>IF('CONTROLE GLOBO AÇOS'!C214="","",'CONTROLE GLOBO AÇOS'!C214)</f>
        <v/>
      </c>
      <c r="J212" s="18">
        <f>IF('CONTROLE GLOBO AÇOS'!D214="","",'CONTROLE GLOBO AÇOS'!D214)</f>
        <v/>
      </c>
      <c r="AD212" s="39">
        <f>IF($A212="",0,IF(AND(WEEKDAY($A212,2)&lt;=5,OR($B212&lt;&gt;"",$C212&lt;&gt;"",$D212&lt;&gt;"")),1,0))</f>
        <v/>
      </c>
      <c r="AE212" s="39">
        <f>IF($A212="",0,IF(AND(WEEKDAY($A212,2)&lt;=5,OR($E212&lt;&gt;"",$F212&lt;&gt;"",$G212&lt;&gt;"")),1,0))</f>
        <v/>
      </c>
      <c r="AF212" s="39">
        <f>MAX(AD212,AE212)</f>
        <v/>
      </c>
      <c r="AH212" s="223">
        <f>IF('CONTROLE GLOBO AÇOS'!E214="","",'CONTROLE GLOBO AÇOS'!E214)</f>
        <v/>
      </c>
      <c r="AI212" s="223">
        <f>IF('CONTROLE GLOBO AÇOS'!F214="","",'CONTROLE GLOBO AÇOS'!F214)</f>
        <v/>
      </c>
      <c r="AJ212" s="223">
        <f>IF(AND('CONTROLE EJ'!E214="",'CONTROLE CMM'!E214=""),"",N('CONTROLE EJ'!E214)+N('CONTROLE CMM'!E214))</f>
        <v/>
      </c>
      <c r="AK212" s="223">
        <f>IF(AND('CONTROLE EJ'!F214="",'CONTROLE CMM'!F214=""),"",N('CONTROLE EJ'!F214)+N('CONTROLE CMM'!F214))</f>
        <v/>
      </c>
      <c r="AL212" s="223">
        <f>IF(AND('CONTROLE EJ'!G214="",'CONTROLE CMM'!G214=""),"",N('CONTROLE EJ'!G214)+N('CONTROLE CMM'!G214))</f>
        <v/>
      </c>
      <c r="AM212" s="223">
        <f>IF(AND('CONTROLE EJ'!H214="",'CONTROLE CMM'!H214=""),"",N('CONTROLE EJ'!H214)+N('CONTROLE CMM'!H214))</f>
        <v/>
      </c>
      <c r="AN212" s="223">
        <f>IF('CONTROLE GLOBO AÇOS'!G214="","",'CONTROLE GLOBO AÇOS'!G214)</f>
        <v/>
      </c>
      <c r="AO212" s="223">
        <f>IF('CONTROLE GLOBO AÇOS'!H214="","",'CONTROLE GLOBO AÇOS'!H214)</f>
        <v/>
      </c>
      <c r="AP212" s="223">
        <f>IF(AND('CONTROLE EJ'!I214="",'CONTROLE CMM'!I214=""),"",N('CONTROLE EJ'!I214)+N('CONTROLE CMM'!I214))</f>
        <v/>
      </c>
      <c r="AQ212" s="223">
        <f>IF(AND('CONTROLE EJ'!J214="",'CONTROLE CMM'!#REF!=""),"",N('CONTROLE EJ'!J214)+N('CONTROLE CMM'!#REF!))</f>
        <v/>
      </c>
      <c r="AR212" s="223">
        <f>IF('CONTROLE GLOBO AÇOS'!I214="","",'CONTROLE GLOBO AÇOS'!I214)</f>
        <v/>
      </c>
      <c r="AS212" s="223">
        <f>IF('CONTROLE GLOBO AÇOS'!J214="","",'CONTROLE GLOBO AÇOS'!J214)</f>
        <v/>
      </c>
      <c r="AT212" s="223">
        <f>IF(#REF!="","",#REF!)</f>
        <v/>
      </c>
      <c r="AU212" s="223">
        <f>IF('CONTROLE GLOBO AÇOS'!K214="","",'CONTROLE GLOBO AÇOS'!K214)</f>
        <v/>
      </c>
      <c r="AV212" s="223">
        <f>IF(AND('CONTROLE EJ'!K214="",'CONTROLE CMM'!#REF!=""),"",N('CONTROLE EJ'!K214)+N('CONTROLE CMM'!#REF!))</f>
        <v/>
      </c>
      <c r="AW212" s="223">
        <f>IF('CONTROLE GLOBO AÇOS'!L214="","",'CONTROLE GLOBO AÇOS'!L214)</f>
        <v/>
      </c>
      <c r="AX212" s="223">
        <f>IF(AND('CONTROLE EJ'!L214="",'CONTROLE CMM'!#REF!=""),"",N('CONTROLE EJ'!L214)+N('CONTROLE CMM'!#REF!))</f>
        <v/>
      </c>
      <c r="AY212" s="223">
        <f>IF('CONTROLE GLOBO AÇOS'!M214="","",'CONTROLE GLOBO AÇOS'!M214)</f>
        <v/>
      </c>
      <c r="AZ212" s="223">
        <f>IF('CONTROLE GLOBO AÇOS'!N214="","",'CONTROLE GLOBO AÇOS'!N214)</f>
        <v/>
      </c>
      <c r="BA212" s="223">
        <f>IF(AND('CONTROLE EJ'!M214="",'CONTROLE CMM'!#REF!=""),"",N('CONTROLE EJ'!M214)+N('CONTROLE CMM'!#REF!))</f>
        <v/>
      </c>
      <c r="BB212" s="223">
        <f>IF(#REF!="","",#REF!)</f>
        <v/>
      </c>
      <c r="BC212" s="223">
        <f>IF('CONTROLE GLOBO AÇOS'!O214="","",'CONTROLE GLOBO AÇOS'!O214)</f>
        <v/>
      </c>
      <c r="BD212" s="223">
        <f>IF(AND('CONTROLE EJ'!N214="",'CONTROLE CMM'!#REF!=""),"",N('CONTROLE EJ'!N214)+N('CONTROLE CMM'!#REF!))</f>
        <v/>
      </c>
      <c r="BE212" s="223">
        <f>IF('CONTROLE GLOBO AÇOS'!P214="","",'CONTROLE GLOBO AÇOS'!P214)</f>
        <v/>
      </c>
      <c r="BF212" s="223">
        <f>IF('CONTROLE GLOBO AÇOS'!Q214="","",'CONTROLE GLOBO AÇOS'!Q214)</f>
        <v/>
      </c>
      <c r="BG212" s="223">
        <f>IF('CONTROLE GLOBO AÇOS'!R214="","",'CONTROLE GLOBO AÇOS'!R214)</f>
        <v/>
      </c>
      <c r="BH212" s="223">
        <f>IF(AND('CONTROLE EJ'!O214="",'CONTROLE CMM'!#REF!=""),"",N('CONTROLE EJ'!O214)+N('CONTROLE CMM'!#REF!))</f>
        <v/>
      </c>
      <c r="BI212" s="223">
        <f>IF('CONTROLE GLOBO AÇOS'!S214="","",'CONTROLE GLOBO AÇOS'!S214)</f>
        <v/>
      </c>
      <c r="BJ212" s="223">
        <f>IF('CONTROLE GLOBO AÇOS'!T214="","",'CONTROLE GLOBO AÇOS'!T214)</f>
        <v/>
      </c>
      <c r="BK212" s="223">
        <f>IF('CONTROLE GLOBO AÇOS'!U214="","",'CONTROLE GLOBO AÇOS'!U214)</f>
        <v/>
      </c>
      <c r="BL212" s="223">
        <f>IF(AND('CONTROLE EJ'!P214="",'CONTROLE CMM'!#REF!=""),"",N('CONTROLE EJ'!P214)+N('CONTROLE CMM'!#REF!))</f>
        <v/>
      </c>
      <c r="BM212" s="223">
        <f>IF(AND('CONTROLE EJ'!Q214="",'CONTROLE CMM'!#REF!=""),"",N('CONTROLE EJ'!Q214)+N('CONTROLE CMM'!#REF!))</f>
        <v/>
      </c>
      <c r="BN212" s="223">
        <f>IF('CONTROLE GLOBO AÇOS'!V214="","",'CONTROLE GLOBO AÇOS'!V214)</f>
        <v/>
      </c>
      <c r="BO212" s="223">
        <f>IF('CONTROLE GLOBO AÇOS'!W214="","",'CONTROLE GLOBO AÇOS'!W214)</f>
        <v/>
      </c>
      <c r="BP212" s="223">
        <f>IF(AND('CONTROLE EJ'!R214="",'CONTROLE CMM'!#REF!=""),"",N('CONTROLE EJ'!R214)+N('CONTROLE CMM'!#REF!))</f>
        <v/>
      </c>
      <c r="BQ212" s="223">
        <f>IF(#REF!="","",#REF!)</f>
        <v/>
      </c>
      <c r="BR212" s="223">
        <f>IF(AND('CONTROLE EJ'!S214="",'CONTROLE CMM'!#REF!=""),"",N('CONTROLE EJ'!S214)+N('CONTROLE CMM'!#REF!))</f>
        <v/>
      </c>
      <c r="BS212" s="223">
        <f>IF(AND('CONTROLE EJ'!T214="",'CONTROLE CMM'!#REF!=""),"",N('CONTROLE EJ'!T214)+N('CONTROLE CMM'!#REF!))</f>
        <v/>
      </c>
      <c r="BT212" s="223">
        <f>IF('CONTROLE GLOBO AÇOS'!X214="","",'CONTROLE GLOBO AÇOS'!X214)</f>
        <v/>
      </c>
      <c r="BU212" s="223">
        <f>IF('CONTROLE GLOBO AÇOS'!Y214="","",'CONTROLE GLOBO AÇOS'!Y214)</f>
        <v/>
      </c>
      <c r="BV212" s="223">
        <f>IF(AND('CONTROLE EJ'!U214="",'CONTROLE CMM'!#REF!=""),"",N('CONTROLE EJ'!U214)+N('CONTROLE CMM'!#REF!))</f>
        <v/>
      </c>
      <c r="BW212" s="223">
        <f>IF(#REF!="","",#REF!)</f>
        <v/>
      </c>
    </row>
    <row r="213">
      <c r="A213" s="282" t="n">
        <v>46430</v>
      </c>
      <c r="B213" s="18">
        <f>IF('CONTROLE EJ'!B215="","",'CONTROLE EJ'!B215)</f>
        <v/>
      </c>
      <c r="C213" s="18">
        <f>IF('CONTROLE EJ'!C215="","",'CONTROLE EJ'!C215)</f>
        <v/>
      </c>
      <c r="D213" s="42">
        <f>IF('CONTROLE EJ'!D215="","",'CONTROLE EJ'!D215)</f>
        <v/>
      </c>
      <c r="E213" s="43">
        <f>IF('CONTROLE CMM'!B215="","",'CONTROLE CMM'!B215)</f>
        <v/>
      </c>
      <c r="F213" s="18">
        <f>IF('CONTROLE CMM'!C215="","",'CONTROLE CMM'!C215)</f>
        <v/>
      </c>
      <c r="G213" s="26">
        <f>IF('CONTROLE CMM'!D215="","",'CONTROLE CMM'!D215)</f>
        <v/>
      </c>
      <c r="H213" s="43">
        <f>IF('CONTROLE GLOBO AÇOS'!B215="","",'CONTROLE GLOBO AÇOS'!B215)</f>
        <v/>
      </c>
      <c r="I213" s="18">
        <f>IF('CONTROLE GLOBO AÇOS'!C215="","",'CONTROLE GLOBO AÇOS'!C215)</f>
        <v/>
      </c>
      <c r="J213" s="18">
        <f>IF('CONTROLE GLOBO AÇOS'!D215="","",'CONTROLE GLOBO AÇOS'!D215)</f>
        <v/>
      </c>
      <c r="AD213" s="39">
        <f>IF($A213="",0,IF(AND(WEEKDAY($A213,2)&lt;=5,OR($B213&lt;&gt;"",$C213&lt;&gt;"",$D213&lt;&gt;"")),1,0))</f>
        <v/>
      </c>
      <c r="AE213" s="39">
        <f>IF($A213="",0,IF(AND(WEEKDAY($A213,2)&lt;=5,OR($E213&lt;&gt;"",$F213&lt;&gt;"",$G213&lt;&gt;"")),1,0))</f>
        <v/>
      </c>
      <c r="AF213" s="39">
        <f>MAX(AD213,AE213)</f>
        <v/>
      </c>
      <c r="AH213" s="223">
        <f>IF('CONTROLE GLOBO AÇOS'!E215="","",'CONTROLE GLOBO AÇOS'!E215)</f>
        <v/>
      </c>
      <c r="AI213" s="223">
        <f>IF('CONTROLE GLOBO AÇOS'!F215="","",'CONTROLE GLOBO AÇOS'!F215)</f>
        <v/>
      </c>
      <c r="AJ213" s="223">
        <f>IF(AND('CONTROLE EJ'!E215="",'CONTROLE CMM'!E215=""),"",N('CONTROLE EJ'!E215)+N('CONTROLE CMM'!E215))</f>
        <v/>
      </c>
      <c r="AK213" s="223">
        <f>IF(AND('CONTROLE EJ'!F215="",'CONTROLE CMM'!F215=""),"",N('CONTROLE EJ'!F215)+N('CONTROLE CMM'!F215))</f>
        <v/>
      </c>
      <c r="AL213" s="223">
        <f>IF(AND('CONTROLE EJ'!G215="",'CONTROLE CMM'!G215=""),"",N('CONTROLE EJ'!G215)+N('CONTROLE CMM'!G215))</f>
        <v/>
      </c>
      <c r="AM213" s="223">
        <f>IF(AND('CONTROLE EJ'!H215="",'CONTROLE CMM'!H215=""),"",N('CONTROLE EJ'!H215)+N('CONTROLE CMM'!H215))</f>
        <v/>
      </c>
      <c r="AN213" s="223">
        <f>IF('CONTROLE GLOBO AÇOS'!G215="","",'CONTROLE GLOBO AÇOS'!G215)</f>
        <v/>
      </c>
      <c r="AO213" s="223">
        <f>IF('CONTROLE GLOBO AÇOS'!H215="","",'CONTROLE GLOBO AÇOS'!H215)</f>
        <v/>
      </c>
      <c r="AP213" s="223">
        <f>IF(AND('CONTROLE EJ'!I215="",'CONTROLE CMM'!I215=""),"",N('CONTROLE EJ'!I215)+N('CONTROLE CMM'!I215))</f>
        <v/>
      </c>
      <c r="AQ213" s="223">
        <f>IF(AND('CONTROLE EJ'!J215="",'CONTROLE CMM'!#REF!=""),"",N('CONTROLE EJ'!J215)+N('CONTROLE CMM'!#REF!))</f>
        <v/>
      </c>
      <c r="AR213" s="223">
        <f>IF('CONTROLE GLOBO AÇOS'!I215="","",'CONTROLE GLOBO AÇOS'!I215)</f>
        <v/>
      </c>
      <c r="AS213" s="223">
        <f>IF('CONTROLE GLOBO AÇOS'!J215="","",'CONTROLE GLOBO AÇOS'!J215)</f>
        <v/>
      </c>
      <c r="AT213" s="223">
        <f>IF(#REF!="","",#REF!)</f>
        <v/>
      </c>
      <c r="AU213" s="223">
        <f>IF('CONTROLE GLOBO AÇOS'!K215="","",'CONTROLE GLOBO AÇOS'!K215)</f>
        <v/>
      </c>
      <c r="AV213" s="223">
        <f>IF(AND('CONTROLE EJ'!K215="",'CONTROLE CMM'!#REF!=""),"",N('CONTROLE EJ'!K215)+N('CONTROLE CMM'!#REF!))</f>
        <v/>
      </c>
      <c r="AW213" s="223">
        <f>IF('CONTROLE GLOBO AÇOS'!L215="","",'CONTROLE GLOBO AÇOS'!L215)</f>
        <v/>
      </c>
      <c r="AX213" s="223">
        <f>IF(AND('CONTROLE EJ'!L215="",'CONTROLE CMM'!#REF!=""),"",N('CONTROLE EJ'!L215)+N('CONTROLE CMM'!#REF!))</f>
        <v/>
      </c>
      <c r="AY213" s="223">
        <f>IF('CONTROLE GLOBO AÇOS'!M215="","",'CONTROLE GLOBO AÇOS'!M215)</f>
        <v/>
      </c>
      <c r="AZ213" s="223">
        <f>IF('CONTROLE GLOBO AÇOS'!N215="","",'CONTROLE GLOBO AÇOS'!N215)</f>
        <v/>
      </c>
      <c r="BA213" s="223">
        <f>IF(AND('CONTROLE EJ'!M215="",'CONTROLE CMM'!#REF!=""),"",N('CONTROLE EJ'!M215)+N('CONTROLE CMM'!#REF!))</f>
        <v/>
      </c>
      <c r="BB213" s="223">
        <f>IF(#REF!="","",#REF!)</f>
        <v/>
      </c>
      <c r="BC213" s="223">
        <f>IF('CONTROLE GLOBO AÇOS'!O215="","",'CONTROLE GLOBO AÇOS'!O215)</f>
        <v/>
      </c>
      <c r="BD213" s="223">
        <f>IF(AND('CONTROLE EJ'!N215="",'CONTROLE CMM'!#REF!=""),"",N('CONTROLE EJ'!N215)+N('CONTROLE CMM'!#REF!))</f>
        <v/>
      </c>
      <c r="BE213" s="223">
        <f>IF('CONTROLE GLOBO AÇOS'!P215="","",'CONTROLE GLOBO AÇOS'!P215)</f>
        <v/>
      </c>
      <c r="BF213" s="223">
        <f>IF('CONTROLE GLOBO AÇOS'!Q215="","",'CONTROLE GLOBO AÇOS'!Q215)</f>
        <v/>
      </c>
      <c r="BG213" s="223">
        <f>IF('CONTROLE GLOBO AÇOS'!R215="","",'CONTROLE GLOBO AÇOS'!R215)</f>
        <v/>
      </c>
      <c r="BH213" s="223">
        <f>IF(AND('CONTROLE EJ'!O215="",'CONTROLE CMM'!#REF!=""),"",N('CONTROLE EJ'!O215)+N('CONTROLE CMM'!#REF!))</f>
        <v/>
      </c>
      <c r="BI213" s="223">
        <f>IF('CONTROLE GLOBO AÇOS'!S215="","",'CONTROLE GLOBO AÇOS'!S215)</f>
        <v/>
      </c>
      <c r="BJ213" s="223">
        <f>IF('CONTROLE GLOBO AÇOS'!T215="","",'CONTROLE GLOBO AÇOS'!T215)</f>
        <v/>
      </c>
      <c r="BK213" s="223">
        <f>IF('CONTROLE GLOBO AÇOS'!U215="","",'CONTROLE GLOBO AÇOS'!U215)</f>
        <v/>
      </c>
      <c r="BL213" s="223">
        <f>IF(AND('CONTROLE EJ'!P215="",'CONTROLE CMM'!#REF!=""),"",N('CONTROLE EJ'!P215)+N('CONTROLE CMM'!#REF!))</f>
        <v/>
      </c>
      <c r="BM213" s="223">
        <f>IF(AND('CONTROLE EJ'!Q215="",'CONTROLE CMM'!#REF!=""),"",N('CONTROLE EJ'!Q215)+N('CONTROLE CMM'!#REF!))</f>
        <v/>
      </c>
      <c r="BN213" s="223">
        <f>IF('CONTROLE GLOBO AÇOS'!V215="","",'CONTROLE GLOBO AÇOS'!V215)</f>
        <v/>
      </c>
      <c r="BO213" s="223">
        <f>IF('CONTROLE GLOBO AÇOS'!W215="","",'CONTROLE GLOBO AÇOS'!W215)</f>
        <v/>
      </c>
      <c r="BP213" s="223">
        <f>IF(AND('CONTROLE EJ'!R215="",'CONTROLE CMM'!#REF!=""),"",N('CONTROLE EJ'!R215)+N('CONTROLE CMM'!#REF!))</f>
        <v/>
      </c>
      <c r="BQ213" s="223">
        <f>IF(#REF!="","",#REF!)</f>
        <v/>
      </c>
      <c r="BR213" s="223">
        <f>IF(AND('CONTROLE EJ'!S215="",'CONTROLE CMM'!#REF!=""),"",N('CONTROLE EJ'!S215)+N('CONTROLE CMM'!#REF!))</f>
        <v/>
      </c>
      <c r="BS213" s="223">
        <f>IF(AND('CONTROLE EJ'!T215="",'CONTROLE CMM'!#REF!=""),"",N('CONTROLE EJ'!T215)+N('CONTROLE CMM'!#REF!))</f>
        <v/>
      </c>
      <c r="BT213" s="223">
        <f>IF('CONTROLE GLOBO AÇOS'!X215="","",'CONTROLE GLOBO AÇOS'!X215)</f>
        <v/>
      </c>
      <c r="BU213" s="223">
        <f>IF('CONTROLE GLOBO AÇOS'!Y215="","",'CONTROLE GLOBO AÇOS'!Y215)</f>
        <v/>
      </c>
      <c r="BV213" s="223">
        <f>IF(AND('CONTROLE EJ'!U215="",'CONTROLE CMM'!#REF!=""),"",N('CONTROLE EJ'!U215)+N('CONTROLE CMM'!#REF!))</f>
        <v/>
      </c>
      <c r="BW213" s="223">
        <f>IF(#REF!="","",#REF!)</f>
        <v/>
      </c>
    </row>
    <row r="214">
      <c r="A214" s="282" t="n">
        <v>46431</v>
      </c>
      <c r="B214" s="18">
        <f>IF('CONTROLE EJ'!B216="","",'CONTROLE EJ'!B216)</f>
        <v/>
      </c>
      <c r="C214" s="18">
        <f>IF('CONTROLE EJ'!C216="","",'CONTROLE EJ'!C216)</f>
        <v/>
      </c>
      <c r="D214" s="42">
        <f>IF('CONTROLE EJ'!D216="","",'CONTROLE EJ'!D216)</f>
        <v/>
      </c>
      <c r="E214" s="43">
        <f>IF('CONTROLE CMM'!B216="","",'CONTROLE CMM'!B216)</f>
        <v/>
      </c>
      <c r="F214" s="18">
        <f>IF('CONTROLE CMM'!C216="","",'CONTROLE CMM'!C216)</f>
        <v/>
      </c>
      <c r="G214" s="26">
        <f>IF('CONTROLE CMM'!D216="","",'CONTROLE CMM'!D216)</f>
        <v/>
      </c>
      <c r="H214" s="43">
        <f>IF('CONTROLE GLOBO AÇOS'!B216="","",'CONTROLE GLOBO AÇOS'!B216)</f>
        <v/>
      </c>
      <c r="I214" s="18">
        <f>IF('CONTROLE GLOBO AÇOS'!C216="","",'CONTROLE GLOBO AÇOS'!C216)</f>
        <v/>
      </c>
      <c r="J214" s="18">
        <f>IF('CONTROLE GLOBO AÇOS'!D216="","",'CONTROLE GLOBO AÇOS'!D216)</f>
        <v/>
      </c>
      <c r="AD214" s="39">
        <f>IF($A214="",0,IF(AND(WEEKDAY($A214,2)&lt;=5,OR($B214&lt;&gt;"",$C214&lt;&gt;"",$D214&lt;&gt;"")),1,0))</f>
        <v/>
      </c>
      <c r="AE214" s="39">
        <f>IF($A214="",0,IF(AND(WEEKDAY($A214,2)&lt;=5,OR($E214&lt;&gt;"",$F214&lt;&gt;"",$G214&lt;&gt;"")),1,0))</f>
        <v/>
      </c>
      <c r="AF214" s="39">
        <f>MAX(AD214,AE214)</f>
        <v/>
      </c>
      <c r="AH214" s="223">
        <f>IF('CONTROLE GLOBO AÇOS'!E216="","",'CONTROLE GLOBO AÇOS'!E216)</f>
        <v/>
      </c>
      <c r="AI214" s="223">
        <f>IF('CONTROLE GLOBO AÇOS'!F216="","",'CONTROLE GLOBO AÇOS'!F216)</f>
        <v/>
      </c>
      <c r="AJ214" s="223">
        <f>IF(AND('CONTROLE EJ'!E216="",'CONTROLE CMM'!E216=""),"",N('CONTROLE EJ'!E216)+N('CONTROLE CMM'!E216))</f>
        <v/>
      </c>
      <c r="AK214" s="223">
        <f>IF(AND('CONTROLE EJ'!F216="",'CONTROLE CMM'!F216=""),"",N('CONTROLE EJ'!F216)+N('CONTROLE CMM'!F216))</f>
        <v/>
      </c>
      <c r="AL214" s="223">
        <f>IF(AND('CONTROLE EJ'!G216="",'CONTROLE CMM'!G216=""),"",N('CONTROLE EJ'!G216)+N('CONTROLE CMM'!G216))</f>
        <v/>
      </c>
      <c r="AM214" s="223">
        <f>IF(AND('CONTROLE EJ'!H216="",'CONTROLE CMM'!H216=""),"",N('CONTROLE EJ'!H216)+N('CONTROLE CMM'!H216))</f>
        <v/>
      </c>
      <c r="AN214" s="223">
        <f>IF('CONTROLE GLOBO AÇOS'!G216="","",'CONTROLE GLOBO AÇOS'!G216)</f>
        <v/>
      </c>
      <c r="AO214" s="223">
        <f>IF('CONTROLE GLOBO AÇOS'!H216="","",'CONTROLE GLOBO AÇOS'!H216)</f>
        <v/>
      </c>
      <c r="AP214" s="223">
        <f>IF(AND('CONTROLE EJ'!I216="",'CONTROLE CMM'!I216=""),"",N('CONTROLE EJ'!I216)+N('CONTROLE CMM'!I216))</f>
        <v/>
      </c>
      <c r="AQ214" s="223">
        <f>IF(AND('CONTROLE EJ'!J216="",'CONTROLE CMM'!#REF!=""),"",N('CONTROLE EJ'!J216)+N('CONTROLE CMM'!#REF!))</f>
        <v/>
      </c>
      <c r="AR214" s="223">
        <f>IF('CONTROLE GLOBO AÇOS'!I216="","",'CONTROLE GLOBO AÇOS'!I216)</f>
        <v/>
      </c>
      <c r="AS214" s="223">
        <f>IF('CONTROLE GLOBO AÇOS'!J216="","",'CONTROLE GLOBO AÇOS'!J216)</f>
        <v/>
      </c>
      <c r="AT214" s="223">
        <f>IF(#REF!="","",#REF!)</f>
        <v/>
      </c>
      <c r="AU214" s="223">
        <f>IF('CONTROLE GLOBO AÇOS'!K216="","",'CONTROLE GLOBO AÇOS'!K216)</f>
        <v/>
      </c>
      <c r="AV214" s="223">
        <f>IF(AND('CONTROLE EJ'!K216="",'CONTROLE CMM'!#REF!=""),"",N('CONTROLE EJ'!K216)+N('CONTROLE CMM'!#REF!))</f>
        <v/>
      </c>
      <c r="AW214" s="223">
        <f>IF('CONTROLE GLOBO AÇOS'!L216="","",'CONTROLE GLOBO AÇOS'!L216)</f>
        <v/>
      </c>
      <c r="AX214" s="223">
        <f>IF(AND('CONTROLE EJ'!L216="",'CONTROLE CMM'!#REF!=""),"",N('CONTROLE EJ'!L216)+N('CONTROLE CMM'!#REF!))</f>
        <v/>
      </c>
      <c r="AY214" s="223">
        <f>IF('CONTROLE GLOBO AÇOS'!M216="","",'CONTROLE GLOBO AÇOS'!M216)</f>
        <v/>
      </c>
      <c r="AZ214" s="223">
        <f>IF('CONTROLE GLOBO AÇOS'!N216="","",'CONTROLE GLOBO AÇOS'!N216)</f>
        <v/>
      </c>
      <c r="BA214" s="223">
        <f>IF(AND('CONTROLE EJ'!M216="",'CONTROLE CMM'!#REF!=""),"",N('CONTROLE EJ'!M216)+N('CONTROLE CMM'!#REF!))</f>
        <v/>
      </c>
      <c r="BB214" s="223">
        <f>IF(#REF!="","",#REF!)</f>
        <v/>
      </c>
      <c r="BC214" s="223">
        <f>IF('CONTROLE GLOBO AÇOS'!O216="","",'CONTROLE GLOBO AÇOS'!O216)</f>
        <v/>
      </c>
      <c r="BD214" s="223">
        <f>IF(AND('CONTROLE EJ'!N216="",'CONTROLE CMM'!#REF!=""),"",N('CONTROLE EJ'!N216)+N('CONTROLE CMM'!#REF!))</f>
        <v/>
      </c>
      <c r="BE214" s="223">
        <f>IF('CONTROLE GLOBO AÇOS'!P216="","",'CONTROLE GLOBO AÇOS'!P216)</f>
        <v/>
      </c>
      <c r="BF214" s="223">
        <f>IF('CONTROLE GLOBO AÇOS'!Q216="","",'CONTROLE GLOBO AÇOS'!Q216)</f>
        <v/>
      </c>
      <c r="BG214" s="223">
        <f>IF('CONTROLE GLOBO AÇOS'!R216="","",'CONTROLE GLOBO AÇOS'!R216)</f>
        <v/>
      </c>
      <c r="BH214" s="223">
        <f>IF(AND('CONTROLE EJ'!O216="",'CONTROLE CMM'!#REF!=""),"",N('CONTROLE EJ'!O216)+N('CONTROLE CMM'!#REF!))</f>
        <v/>
      </c>
      <c r="BI214" s="223">
        <f>IF('CONTROLE GLOBO AÇOS'!S216="","",'CONTROLE GLOBO AÇOS'!S216)</f>
        <v/>
      </c>
      <c r="BJ214" s="223">
        <f>IF('CONTROLE GLOBO AÇOS'!T216="","",'CONTROLE GLOBO AÇOS'!T216)</f>
        <v/>
      </c>
      <c r="BK214" s="223">
        <f>IF('CONTROLE GLOBO AÇOS'!U216="","",'CONTROLE GLOBO AÇOS'!U216)</f>
        <v/>
      </c>
      <c r="BL214" s="223">
        <f>IF(AND('CONTROLE EJ'!P216="",'CONTROLE CMM'!#REF!=""),"",N('CONTROLE EJ'!P216)+N('CONTROLE CMM'!#REF!))</f>
        <v/>
      </c>
      <c r="BM214" s="223">
        <f>IF(AND('CONTROLE EJ'!Q216="",'CONTROLE CMM'!#REF!=""),"",N('CONTROLE EJ'!Q216)+N('CONTROLE CMM'!#REF!))</f>
        <v/>
      </c>
      <c r="BN214" s="223">
        <f>IF('CONTROLE GLOBO AÇOS'!V216="","",'CONTROLE GLOBO AÇOS'!V216)</f>
        <v/>
      </c>
      <c r="BO214" s="223">
        <f>IF('CONTROLE GLOBO AÇOS'!W216="","",'CONTROLE GLOBO AÇOS'!W216)</f>
        <v/>
      </c>
      <c r="BP214" s="223">
        <f>IF(AND('CONTROLE EJ'!R216="",'CONTROLE CMM'!#REF!=""),"",N('CONTROLE EJ'!R216)+N('CONTROLE CMM'!#REF!))</f>
        <v/>
      </c>
      <c r="BQ214" s="223">
        <f>IF(#REF!="","",#REF!)</f>
        <v/>
      </c>
      <c r="BR214" s="223">
        <f>IF(AND('CONTROLE EJ'!S216="",'CONTROLE CMM'!#REF!=""),"",N('CONTROLE EJ'!S216)+N('CONTROLE CMM'!#REF!))</f>
        <v/>
      </c>
      <c r="BS214" s="223">
        <f>IF(AND('CONTROLE EJ'!T216="",'CONTROLE CMM'!#REF!=""),"",N('CONTROLE EJ'!T216)+N('CONTROLE CMM'!#REF!))</f>
        <v/>
      </c>
      <c r="BT214" s="223">
        <f>IF('CONTROLE GLOBO AÇOS'!X216="","",'CONTROLE GLOBO AÇOS'!X216)</f>
        <v/>
      </c>
      <c r="BU214" s="223">
        <f>IF('CONTROLE GLOBO AÇOS'!Y216="","",'CONTROLE GLOBO AÇOS'!Y216)</f>
        <v/>
      </c>
      <c r="BV214" s="223">
        <f>IF(AND('CONTROLE EJ'!U216="",'CONTROLE CMM'!#REF!=""),"",N('CONTROLE EJ'!U216)+N('CONTROLE CMM'!#REF!))</f>
        <v/>
      </c>
      <c r="BW214" s="223">
        <f>IF(#REF!="","",#REF!)</f>
        <v/>
      </c>
    </row>
    <row r="215">
      <c r="A215" s="282" t="n">
        <v>46432</v>
      </c>
      <c r="B215" s="18">
        <f>IF('CONTROLE EJ'!B217="","",'CONTROLE EJ'!B217)</f>
        <v/>
      </c>
      <c r="C215" s="18">
        <f>IF('CONTROLE EJ'!C217="","",'CONTROLE EJ'!C217)</f>
        <v/>
      </c>
      <c r="D215" s="42">
        <f>IF('CONTROLE EJ'!D217="","",'CONTROLE EJ'!D217)</f>
        <v/>
      </c>
      <c r="E215" s="43">
        <f>IF('CONTROLE CMM'!B217="","",'CONTROLE CMM'!B217)</f>
        <v/>
      </c>
      <c r="F215" s="18">
        <f>IF('CONTROLE CMM'!C217="","",'CONTROLE CMM'!C217)</f>
        <v/>
      </c>
      <c r="G215" s="26">
        <f>IF('CONTROLE CMM'!D217="","",'CONTROLE CMM'!D217)</f>
        <v/>
      </c>
      <c r="H215" s="43">
        <f>IF('CONTROLE GLOBO AÇOS'!B217="","",'CONTROLE GLOBO AÇOS'!B217)</f>
        <v/>
      </c>
      <c r="I215" s="18">
        <f>IF('CONTROLE GLOBO AÇOS'!C217="","",'CONTROLE GLOBO AÇOS'!C217)</f>
        <v/>
      </c>
      <c r="J215" s="18">
        <f>IF('CONTROLE GLOBO AÇOS'!D217="","",'CONTROLE GLOBO AÇOS'!D217)</f>
        <v/>
      </c>
      <c r="AD215" s="39">
        <f>IF($A215="",0,IF(AND(WEEKDAY($A215,2)&lt;=5,OR($B215&lt;&gt;"",$C215&lt;&gt;"",$D215&lt;&gt;"")),1,0))</f>
        <v/>
      </c>
      <c r="AE215" s="39">
        <f>IF($A215="",0,IF(AND(WEEKDAY($A215,2)&lt;=5,OR($E215&lt;&gt;"",$F215&lt;&gt;"",$G215&lt;&gt;"")),1,0))</f>
        <v/>
      </c>
      <c r="AF215" s="39">
        <f>MAX(AD215,AE215)</f>
        <v/>
      </c>
      <c r="AH215" s="223">
        <f>IF('CONTROLE GLOBO AÇOS'!E217="","",'CONTROLE GLOBO AÇOS'!E217)</f>
        <v/>
      </c>
      <c r="AI215" s="223">
        <f>IF('CONTROLE GLOBO AÇOS'!F217="","",'CONTROLE GLOBO AÇOS'!F217)</f>
        <v/>
      </c>
      <c r="AJ215" s="223">
        <f>IF(AND('CONTROLE EJ'!E217="",'CONTROLE CMM'!E217=""),"",N('CONTROLE EJ'!E217)+N('CONTROLE CMM'!E217))</f>
        <v/>
      </c>
      <c r="AK215" s="223">
        <f>IF(AND('CONTROLE EJ'!F217="",'CONTROLE CMM'!F217=""),"",N('CONTROLE EJ'!F217)+N('CONTROLE CMM'!F217))</f>
        <v/>
      </c>
      <c r="AL215" s="223">
        <f>IF(AND('CONTROLE EJ'!G217="",'CONTROLE CMM'!G217=""),"",N('CONTROLE EJ'!G217)+N('CONTROLE CMM'!G217))</f>
        <v/>
      </c>
      <c r="AM215" s="223">
        <f>IF(AND('CONTROLE EJ'!H217="",'CONTROLE CMM'!H217=""),"",N('CONTROLE EJ'!H217)+N('CONTROLE CMM'!H217))</f>
        <v/>
      </c>
      <c r="AN215" s="223">
        <f>IF('CONTROLE GLOBO AÇOS'!G217="","",'CONTROLE GLOBO AÇOS'!G217)</f>
        <v/>
      </c>
      <c r="AO215" s="223">
        <f>IF('CONTROLE GLOBO AÇOS'!H217="","",'CONTROLE GLOBO AÇOS'!H217)</f>
        <v/>
      </c>
      <c r="AP215" s="223">
        <f>IF(AND('CONTROLE EJ'!I217="",'CONTROLE CMM'!I217=""),"",N('CONTROLE EJ'!I217)+N('CONTROLE CMM'!I217))</f>
        <v/>
      </c>
      <c r="AQ215" s="223">
        <f>IF(AND('CONTROLE EJ'!J217="",'CONTROLE CMM'!#REF!=""),"",N('CONTROLE EJ'!J217)+N('CONTROLE CMM'!#REF!))</f>
        <v/>
      </c>
      <c r="AR215" s="223">
        <f>IF('CONTROLE GLOBO AÇOS'!I217="","",'CONTROLE GLOBO AÇOS'!I217)</f>
        <v/>
      </c>
      <c r="AS215" s="223">
        <f>IF('CONTROLE GLOBO AÇOS'!J217="","",'CONTROLE GLOBO AÇOS'!J217)</f>
        <v/>
      </c>
      <c r="AT215" s="223">
        <f>IF(#REF!="","",#REF!)</f>
        <v/>
      </c>
      <c r="AU215" s="223">
        <f>IF('CONTROLE GLOBO AÇOS'!K217="","",'CONTROLE GLOBO AÇOS'!K217)</f>
        <v/>
      </c>
      <c r="AV215" s="223">
        <f>IF(AND('CONTROLE EJ'!K217="",'CONTROLE CMM'!#REF!=""),"",N('CONTROLE EJ'!K217)+N('CONTROLE CMM'!#REF!))</f>
        <v/>
      </c>
      <c r="AW215" s="223">
        <f>IF('CONTROLE GLOBO AÇOS'!L217="","",'CONTROLE GLOBO AÇOS'!L217)</f>
        <v/>
      </c>
      <c r="AX215" s="223">
        <f>IF(AND('CONTROLE EJ'!L217="",'CONTROLE CMM'!#REF!=""),"",N('CONTROLE EJ'!L217)+N('CONTROLE CMM'!#REF!))</f>
        <v/>
      </c>
      <c r="AY215" s="223">
        <f>IF('CONTROLE GLOBO AÇOS'!M217="","",'CONTROLE GLOBO AÇOS'!M217)</f>
        <v/>
      </c>
      <c r="AZ215" s="223">
        <f>IF('CONTROLE GLOBO AÇOS'!N217="","",'CONTROLE GLOBO AÇOS'!N217)</f>
        <v/>
      </c>
      <c r="BA215" s="223">
        <f>IF(AND('CONTROLE EJ'!M217="",'CONTROLE CMM'!#REF!=""),"",N('CONTROLE EJ'!M217)+N('CONTROLE CMM'!#REF!))</f>
        <v/>
      </c>
      <c r="BB215" s="223">
        <f>IF(#REF!="","",#REF!)</f>
        <v/>
      </c>
      <c r="BC215" s="223">
        <f>IF('CONTROLE GLOBO AÇOS'!O217="","",'CONTROLE GLOBO AÇOS'!O217)</f>
        <v/>
      </c>
      <c r="BD215" s="223">
        <f>IF(AND('CONTROLE EJ'!N217="",'CONTROLE CMM'!#REF!=""),"",N('CONTROLE EJ'!N217)+N('CONTROLE CMM'!#REF!))</f>
        <v/>
      </c>
      <c r="BE215" s="223">
        <f>IF('CONTROLE GLOBO AÇOS'!P217="","",'CONTROLE GLOBO AÇOS'!P217)</f>
        <v/>
      </c>
      <c r="BF215" s="223">
        <f>IF('CONTROLE GLOBO AÇOS'!Q217="","",'CONTROLE GLOBO AÇOS'!Q217)</f>
        <v/>
      </c>
      <c r="BG215" s="223">
        <f>IF('CONTROLE GLOBO AÇOS'!R217="","",'CONTROLE GLOBO AÇOS'!R217)</f>
        <v/>
      </c>
      <c r="BH215" s="223">
        <f>IF(AND('CONTROLE EJ'!O217="",'CONTROLE CMM'!#REF!=""),"",N('CONTROLE EJ'!O217)+N('CONTROLE CMM'!#REF!))</f>
        <v/>
      </c>
      <c r="BI215" s="223">
        <f>IF('CONTROLE GLOBO AÇOS'!S217="","",'CONTROLE GLOBO AÇOS'!S217)</f>
        <v/>
      </c>
      <c r="BJ215" s="223">
        <f>IF('CONTROLE GLOBO AÇOS'!T217="","",'CONTROLE GLOBO AÇOS'!T217)</f>
        <v/>
      </c>
      <c r="BK215" s="223">
        <f>IF('CONTROLE GLOBO AÇOS'!U217="","",'CONTROLE GLOBO AÇOS'!U217)</f>
        <v/>
      </c>
      <c r="BL215" s="223">
        <f>IF(AND('CONTROLE EJ'!P217="",'CONTROLE CMM'!#REF!=""),"",N('CONTROLE EJ'!P217)+N('CONTROLE CMM'!#REF!))</f>
        <v/>
      </c>
      <c r="BM215" s="223">
        <f>IF(AND('CONTROLE EJ'!Q217="",'CONTROLE CMM'!#REF!=""),"",N('CONTROLE EJ'!Q217)+N('CONTROLE CMM'!#REF!))</f>
        <v/>
      </c>
      <c r="BN215" s="223">
        <f>IF('CONTROLE GLOBO AÇOS'!V217="","",'CONTROLE GLOBO AÇOS'!V217)</f>
        <v/>
      </c>
      <c r="BO215" s="223">
        <f>IF('CONTROLE GLOBO AÇOS'!W217="","",'CONTROLE GLOBO AÇOS'!W217)</f>
        <v/>
      </c>
      <c r="BP215" s="223">
        <f>IF(AND('CONTROLE EJ'!R217="",'CONTROLE CMM'!#REF!=""),"",N('CONTROLE EJ'!R217)+N('CONTROLE CMM'!#REF!))</f>
        <v/>
      </c>
      <c r="BQ215" s="223">
        <f>IF(#REF!="","",#REF!)</f>
        <v/>
      </c>
      <c r="BR215" s="223">
        <f>IF(AND('CONTROLE EJ'!S217="",'CONTROLE CMM'!#REF!=""),"",N('CONTROLE EJ'!S217)+N('CONTROLE CMM'!#REF!))</f>
        <v/>
      </c>
      <c r="BS215" s="223">
        <f>IF(AND('CONTROLE EJ'!T217="",'CONTROLE CMM'!#REF!=""),"",N('CONTROLE EJ'!T217)+N('CONTROLE CMM'!#REF!))</f>
        <v/>
      </c>
      <c r="BT215" s="223">
        <f>IF('CONTROLE GLOBO AÇOS'!X217="","",'CONTROLE GLOBO AÇOS'!X217)</f>
        <v/>
      </c>
      <c r="BU215" s="223">
        <f>IF('CONTROLE GLOBO AÇOS'!Y217="","",'CONTROLE GLOBO AÇOS'!Y217)</f>
        <v/>
      </c>
      <c r="BV215" s="223">
        <f>IF(AND('CONTROLE EJ'!U217="",'CONTROLE CMM'!#REF!=""),"",N('CONTROLE EJ'!U217)+N('CONTROLE CMM'!#REF!))</f>
        <v/>
      </c>
      <c r="BW215" s="223">
        <f>IF(#REF!="","",#REF!)</f>
        <v/>
      </c>
    </row>
    <row r="216">
      <c r="A216" s="282" t="n">
        <v>46433</v>
      </c>
      <c r="B216" s="18">
        <f>IF('CONTROLE EJ'!B218="","",'CONTROLE EJ'!B218)</f>
        <v/>
      </c>
      <c r="C216" s="18">
        <f>IF('CONTROLE EJ'!C218="","",'CONTROLE EJ'!C218)</f>
        <v/>
      </c>
      <c r="D216" s="42">
        <f>IF('CONTROLE EJ'!D218="","",'CONTROLE EJ'!D218)</f>
        <v/>
      </c>
      <c r="E216" s="43">
        <f>IF('CONTROLE CMM'!B218="","",'CONTROLE CMM'!B218)</f>
        <v/>
      </c>
      <c r="F216" s="18">
        <f>IF('CONTROLE CMM'!C218="","",'CONTROLE CMM'!C218)</f>
        <v/>
      </c>
      <c r="G216" s="26">
        <f>IF('CONTROLE CMM'!D218="","",'CONTROLE CMM'!D218)</f>
        <v/>
      </c>
      <c r="H216" s="43">
        <f>IF('CONTROLE GLOBO AÇOS'!B218="","",'CONTROLE GLOBO AÇOS'!B218)</f>
        <v/>
      </c>
      <c r="I216" s="18">
        <f>IF('CONTROLE GLOBO AÇOS'!C218="","",'CONTROLE GLOBO AÇOS'!C218)</f>
        <v/>
      </c>
      <c r="J216" s="18">
        <f>IF('CONTROLE GLOBO AÇOS'!D218="","",'CONTROLE GLOBO AÇOS'!D218)</f>
        <v/>
      </c>
      <c r="AD216" s="39">
        <f>IF($A216="",0,IF(AND(WEEKDAY($A216,2)&lt;=5,OR($B216&lt;&gt;"",$C216&lt;&gt;"",$D216&lt;&gt;"")),1,0))</f>
        <v/>
      </c>
      <c r="AE216" s="39">
        <f>IF($A216="",0,IF(AND(WEEKDAY($A216,2)&lt;=5,OR($E216&lt;&gt;"",$F216&lt;&gt;"",$G216&lt;&gt;"")),1,0))</f>
        <v/>
      </c>
      <c r="AF216" s="39">
        <f>MAX(AD216,AE216)</f>
        <v/>
      </c>
      <c r="AH216" s="223">
        <f>IF('CONTROLE GLOBO AÇOS'!E218="","",'CONTROLE GLOBO AÇOS'!E218)</f>
        <v/>
      </c>
      <c r="AI216" s="223">
        <f>IF('CONTROLE GLOBO AÇOS'!F218="","",'CONTROLE GLOBO AÇOS'!F218)</f>
        <v/>
      </c>
      <c r="AJ216" s="223">
        <f>IF(AND('CONTROLE EJ'!E218="",'CONTROLE CMM'!E218=""),"",N('CONTROLE EJ'!E218)+N('CONTROLE CMM'!E218))</f>
        <v/>
      </c>
      <c r="AK216" s="223">
        <f>IF(AND('CONTROLE EJ'!F218="",'CONTROLE CMM'!F218=""),"",N('CONTROLE EJ'!F218)+N('CONTROLE CMM'!F218))</f>
        <v/>
      </c>
      <c r="AL216" s="223">
        <f>IF(AND('CONTROLE EJ'!G218="",'CONTROLE CMM'!G218=""),"",N('CONTROLE EJ'!G218)+N('CONTROLE CMM'!G218))</f>
        <v/>
      </c>
      <c r="AM216" s="223">
        <f>IF(AND('CONTROLE EJ'!H218="",'CONTROLE CMM'!H218=""),"",N('CONTROLE EJ'!H218)+N('CONTROLE CMM'!H218))</f>
        <v/>
      </c>
      <c r="AN216" s="223">
        <f>IF('CONTROLE GLOBO AÇOS'!G218="","",'CONTROLE GLOBO AÇOS'!G218)</f>
        <v/>
      </c>
      <c r="AO216" s="223">
        <f>IF('CONTROLE GLOBO AÇOS'!H218="","",'CONTROLE GLOBO AÇOS'!H218)</f>
        <v/>
      </c>
      <c r="AP216" s="223">
        <f>IF(AND('CONTROLE EJ'!I218="",'CONTROLE CMM'!I218=""),"",N('CONTROLE EJ'!I218)+N('CONTROLE CMM'!I218))</f>
        <v/>
      </c>
      <c r="AQ216" s="223">
        <f>IF(AND('CONTROLE EJ'!J218="",'CONTROLE CMM'!#REF!=""),"",N('CONTROLE EJ'!J218)+N('CONTROLE CMM'!#REF!))</f>
        <v/>
      </c>
      <c r="AR216" s="223">
        <f>IF('CONTROLE GLOBO AÇOS'!I218="","",'CONTROLE GLOBO AÇOS'!I218)</f>
        <v/>
      </c>
      <c r="AS216" s="223">
        <f>IF('CONTROLE GLOBO AÇOS'!J218="","",'CONTROLE GLOBO AÇOS'!J218)</f>
        <v/>
      </c>
      <c r="AT216" s="223">
        <f>IF(#REF!="","",#REF!)</f>
        <v/>
      </c>
      <c r="AU216" s="223">
        <f>IF('CONTROLE GLOBO AÇOS'!K218="","",'CONTROLE GLOBO AÇOS'!K218)</f>
        <v/>
      </c>
      <c r="AV216" s="223">
        <f>IF(AND('CONTROLE EJ'!K218="",'CONTROLE CMM'!#REF!=""),"",N('CONTROLE EJ'!K218)+N('CONTROLE CMM'!#REF!))</f>
        <v/>
      </c>
      <c r="AW216" s="223">
        <f>IF('CONTROLE GLOBO AÇOS'!L218="","",'CONTROLE GLOBO AÇOS'!L218)</f>
        <v/>
      </c>
      <c r="AX216" s="223">
        <f>IF(AND('CONTROLE EJ'!L218="",'CONTROLE CMM'!#REF!=""),"",N('CONTROLE EJ'!L218)+N('CONTROLE CMM'!#REF!))</f>
        <v/>
      </c>
      <c r="AY216" s="223">
        <f>IF('CONTROLE GLOBO AÇOS'!M218="","",'CONTROLE GLOBO AÇOS'!M218)</f>
        <v/>
      </c>
      <c r="AZ216" s="223">
        <f>IF('CONTROLE GLOBO AÇOS'!N218="","",'CONTROLE GLOBO AÇOS'!N218)</f>
        <v/>
      </c>
      <c r="BA216" s="223">
        <f>IF(AND('CONTROLE EJ'!M218="",'CONTROLE CMM'!#REF!=""),"",N('CONTROLE EJ'!M218)+N('CONTROLE CMM'!#REF!))</f>
        <v/>
      </c>
      <c r="BB216" s="223">
        <f>IF(#REF!="","",#REF!)</f>
        <v/>
      </c>
      <c r="BC216" s="223">
        <f>IF('CONTROLE GLOBO AÇOS'!O218="","",'CONTROLE GLOBO AÇOS'!O218)</f>
        <v/>
      </c>
      <c r="BD216" s="223">
        <f>IF(AND('CONTROLE EJ'!N218="",'CONTROLE CMM'!#REF!=""),"",N('CONTROLE EJ'!N218)+N('CONTROLE CMM'!#REF!))</f>
        <v/>
      </c>
      <c r="BE216" s="223">
        <f>IF('CONTROLE GLOBO AÇOS'!P218="","",'CONTROLE GLOBO AÇOS'!P218)</f>
        <v/>
      </c>
      <c r="BF216" s="223">
        <f>IF('CONTROLE GLOBO AÇOS'!Q218="","",'CONTROLE GLOBO AÇOS'!Q218)</f>
        <v/>
      </c>
      <c r="BG216" s="223">
        <f>IF('CONTROLE GLOBO AÇOS'!R218="","",'CONTROLE GLOBO AÇOS'!R218)</f>
        <v/>
      </c>
      <c r="BH216" s="223">
        <f>IF(AND('CONTROLE EJ'!O218="",'CONTROLE CMM'!#REF!=""),"",N('CONTROLE EJ'!O218)+N('CONTROLE CMM'!#REF!))</f>
        <v/>
      </c>
      <c r="BI216" s="223">
        <f>IF('CONTROLE GLOBO AÇOS'!S218="","",'CONTROLE GLOBO AÇOS'!S218)</f>
        <v/>
      </c>
      <c r="BJ216" s="223">
        <f>IF('CONTROLE GLOBO AÇOS'!T218="","",'CONTROLE GLOBO AÇOS'!T218)</f>
        <v/>
      </c>
      <c r="BK216" s="223">
        <f>IF('CONTROLE GLOBO AÇOS'!U218="","",'CONTROLE GLOBO AÇOS'!U218)</f>
        <v/>
      </c>
      <c r="BL216" s="223">
        <f>IF(AND('CONTROLE EJ'!P218="",'CONTROLE CMM'!#REF!=""),"",N('CONTROLE EJ'!P218)+N('CONTROLE CMM'!#REF!))</f>
        <v/>
      </c>
      <c r="BM216" s="223">
        <f>IF(AND('CONTROLE EJ'!Q218="",'CONTROLE CMM'!#REF!=""),"",N('CONTROLE EJ'!Q218)+N('CONTROLE CMM'!#REF!))</f>
        <v/>
      </c>
      <c r="BN216" s="223">
        <f>IF('CONTROLE GLOBO AÇOS'!V218="","",'CONTROLE GLOBO AÇOS'!V218)</f>
        <v/>
      </c>
      <c r="BO216" s="223">
        <f>IF('CONTROLE GLOBO AÇOS'!W218="","",'CONTROLE GLOBO AÇOS'!W218)</f>
        <v/>
      </c>
      <c r="BP216" s="223">
        <f>IF(AND('CONTROLE EJ'!R218="",'CONTROLE CMM'!#REF!=""),"",N('CONTROLE EJ'!R218)+N('CONTROLE CMM'!#REF!))</f>
        <v/>
      </c>
      <c r="BQ216" s="223">
        <f>IF(#REF!="","",#REF!)</f>
        <v/>
      </c>
      <c r="BR216" s="223">
        <f>IF(AND('CONTROLE EJ'!S218="",'CONTROLE CMM'!#REF!=""),"",N('CONTROLE EJ'!S218)+N('CONTROLE CMM'!#REF!))</f>
        <v/>
      </c>
      <c r="BS216" s="223">
        <f>IF(AND('CONTROLE EJ'!T218="",'CONTROLE CMM'!#REF!=""),"",N('CONTROLE EJ'!T218)+N('CONTROLE CMM'!#REF!))</f>
        <v/>
      </c>
      <c r="BT216" s="223">
        <f>IF('CONTROLE GLOBO AÇOS'!X218="","",'CONTROLE GLOBO AÇOS'!X218)</f>
        <v/>
      </c>
      <c r="BU216" s="223">
        <f>IF('CONTROLE GLOBO AÇOS'!Y218="","",'CONTROLE GLOBO AÇOS'!Y218)</f>
        <v/>
      </c>
      <c r="BV216" s="223">
        <f>IF(AND('CONTROLE EJ'!U218="",'CONTROLE CMM'!#REF!=""),"",N('CONTROLE EJ'!U218)+N('CONTROLE CMM'!#REF!))</f>
        <v/>
      </c>
      <c r="BW216" s="223">
        <f>IF(#REF!="","",#REF!)</f>
        <v/>
      </c>
    </row>
    <row r="217">
      <c r="A217" s="282" t="n">
        <v>46434</v>
      </c>
      <c r="B217" s="18">
        <f>IF('CONTROLE EJ'!B219="","",'CONTROLE EJ'!B219)</f>
        <v/>
      </c>
      <c r="C217" s="18">
        <f>IF('CONTROLE EJ'!C219="","",'CONTROLE EJ'!C219)</f>
        <v/>
      </c>
      <c r="D217" s="42">
        <f>IF('CONTROLE EJ'!D219="","",'CONTROLE EJ'!D219)</f>
        <v/>
      </c>
      <c r="E217" s="43">
        <f>IF('CONTROLE CMM'!B219="","",'CONTROLE CMM'!B219)</f>
        <v/>
      </c>
      <c r="F217" s="18">
        <f>IF('CONTROLE CMM'!C219="","",'CONTROLE CMM'!C219)</f>
        <v/>
      </c>
      <c r="G217" s="26">
        <f>IF('CONTROLE CMM'!D219="","",'CONTROLE CMM'!D219)</f>
        <v/>
      </c>
      <c r="H217" s="43">
        <f>IF('CONTROLE GLOBO AÇOS'!B219="","",'CONTROLE GLOBO AÇOS'!B219)</f>
        <v/>
      </c>
      <c r="I217" s="18">
        <f>IF('CONTROLE GLOBO AÇOS'!C219="","",'CONTROLE GLOBO AÇOS'!C219)</f>
        <v/>
      </c>
      <c r="J217" s="18">
        <f>IF('CONTROLE GLOBO AÇOS'!D219="","",'CONTROLE GLOBO AÇOS'!D219)</f>
        <v/>
      </c>
      <c r="AD217" s="39">
        <f>IF($A217="",0,IF(AND(WEEKDAY($A217,2)&lt;=5,OR($B217&lt;&gt;"",$C217&lt;&gt;"",$D217&lt;&gt;"")),1,0))</f>
        <v/>
      </c>
      <c r="AE217" s="39">
        <f>IF($A217="",0,IF(AND(WEEKDAY($A217,2)&lt;=5,OR($E217&lt;&gt;"",$F217&lt;&gt;"",$G217&lt;&gt;"")),1,0))</f>
        <v/>
      </c>
      <c r="AF217" s="39">
        <f>MAX(AD217,AE217)</f>
        <v/>
      </c>
      <c r="AH217" s="223">
        <f>IF('CONTROLE GLOBO AÇOS'!E219="","",'CONTROLE GLOBO AÇOS'!E219)</f>
        <v/>
      </c>
      <c r="AI217" s="223">
        <f>IF('CONTROLE GLOBO AÇOS'!F219="","",'CONTROLE GLOBO AÇOS'!F219)</f>
        <v/>
      </c>
      <c r="AJ217" s="223">
        <f>IF(AND('CONTROLE EJ'!E219="",'CONTROLE CMM'!E219=""),"",N('CONTROLE EJ'!E219)+N('CONTROLE CMM'!E219))</f>
        <v/>
      </c>
      <c r="AK217" s="223">
        <f>IF(AND('CONTROLE EJ'!F219="",'CONTROLE CMM'!F219=""),"",N('CONTROLE EJ'!F219)+N('CONTROLE CMM'!F219))</f>
        <v/>
      </c>
      <c r="AL217" s="223">
        <f>IF(AND('CONTROLE EJ'!G219="",'CONTROLE CMM'!G219=""),"",N('CONTROLE EJ'!G219)+N('CONTROLE CMM'!G219))</f>
        <v/>
      </c>
      <c r="AM217" s="223">
        <f>IF(AND('CONTROLE EJ'!H219="",'CONTROLE CMM'!H219=""),"",N('CONTROLE EJ'!H219)+N('CONTROLE CMM'!H219))</f>
        <v/>
      </c>
      <c r="AN217" s="223">
        <f>IF('CONTROLE GLOBO AÇOS'!G219="","",'CONTROLE GLOBO AÇOS'!G219)</f>
        <v/>
      </c>
      <c r="AO217" s="223">
        <f>IF('CONTROLE GLOBO AÇOS'!H219="","",'CONTROLE GLOBO AÇOS'!H219)</f>
        <v/>
      </c>
      <c r="AP217" s="223">
        <f>IF(AND('CONTROLE EJ'!I219="",'CONTROLE CMM'!I219=""),"",N('CONTROLE EJ'!I219)+N('CONTROLE CMM'!I219))</f>
        <v/>
      </c>
      <c r="AQ217" s="223">
        <f>IF(AND('CONTROLE EJ'!J219="",'CONTROLE CMM'!#REF!=""),"",N('CONTROLE EJ'!J219)+N('CONTROLE CMM'!#REF!))</f>
        <v/>
      </c>
      <c r="AR217" s="223">
        <f>IF('CONTROLE GLOBO AÇOS'!I219="","",'CONTROLE GLOBO AÇOS'!I219)</f>
        <v/>
      </c>
      <c r="AS217" s="223">
        <f>IF('CONTROLE GLOBO AÇOS'!J219="","",'CONTROLE GLOBO AÇOS'!J219)</f>
        <v/>
      </c>
      <c r="AT217" s="223">
        <f>IF(#REF!="","",#REF!)</f>
        <v/>
      </c>
      <c r="AU217" s="223">
        <f>IF('CONTROLE GLOBO AÇOS'!K219="","",'CONTROLE GLOBO AÇOS'!K219)</f>
        <v/>
      </c>
      <c r="AV217" s="223">
        <f>IF(AND('CONTROLE EJ'!K219="",'CONTROLE CMM'!#REF!=""),"",N('CONTROLE EJ'!K219)+N('CONTROLE CMM'!#REF!))</f>
        <v/>
      </c>
      <c r="AW217" s="223">
        <f>IF('CONTROLE GLOBO AÇOS'!L219="","",'CONTROLE GLOBO AÇOS'!L219)</f>
        <v/>
      </c>
      <c r="AX217" s="223">
        <f>IF(AND('CONTROLE EJ'!L219="",'CONTROLE CMM'!#REF!=""),"",N('CONTROLE EJ'!L219)+N('CONTROLE CMM'!#REF!))</f>
        <v/>
      </c>
      <c r="AY217" s="223">
        <f>IF('CONTROLE GLOBO AÇOS'!M219="","",'CONTROLE GLOBO AÇOS'!M219)</f>
        <v/>
      </c>
      <c r="AZ217" s="223">
        <f>IF('CONTROLE GLOBO AÇOS'!N219="","",'CONTROLE GLOBO AÇOS'!N219)</f>
        <v/>
      </c>
      <c r="BA217" s="223">
        <f>IF(AND('CONTROLE EJ'!M219="",'CONTROLE CMM'!#REF!=""),"",N('CONTROLE EJ'!M219)+N('CONTROLE CMM'!#REF!))</f>
        <v/>
      </c>
      <c r="BB217" s="223">
        <f>IF(#REF!="","",#REF!)</f>
        <v/>
      </c>
      <c r="BC217" s="223">
        <f>IF('CONTROLE GLOBO AÇOS'!O219="","",'CONTROLE GLOBO AÇOS'!O219)</f>
        <v/>
      </c>
      <c r="BD217" s="223">
        <f>IF(AND('CONTROLE EJ'!N219="",'CONTROLE CMM'!#REF!=""),"",N('CONTROLE EJ'!N219)+N('CONTROLE CMM'!#REF!))</f>
        <v/>
      </c>
      <c r="BE217" s="223">
        <f>IF('CONTROLE GLOBO AÇOS'!P219="","",'CONTROLE GLOBO AÇOS'!P219)</f>
        <v/>
      </c>
      <c r="BF217" s="223">
        <f>IF('CONTROLE GLOBO AÇOS'!Q219="","",'CONTROLE GLOBO AÇOS'!Q219)</f>
        <v/>
      </c>
      <c r="BG217" s="223">
        <f>IF('CONTROLE GLOBO AÇOS'!R219="","",'CONTROLE GLOBO AÇOS'!R219)</f>
        <v/>
      </c>
      <c r="BH217" s="223">
        <f>IF(AND('CONTROLE EJ'!O219="",'CONTROLE CMM'!#REF!=""),"",N('CONTROLE EJ'!O219)+N('CONTROLE CMM'!#REF!))</f>
        <v/>
      </c>
      <c r="BI217" s="223">
        <f>IF('CONTROLE GLOBO AÇOS'!S219="","",'CONTROLE GLOBO AÇOS'!S219)</f>
        <v/>
      </c>
      <c r="BJ217" s="223">
        <f>IF('CONTROLE GLOBO AÇOS'!T219="","",'CONTROLE GLOBO AÇOS'!T219)</f>
        <v/>
      </c>
      <c r="BK217" s="223">
        <f>IF('CONTROLE GLOBO AÇOS'!U219="","",'CONTROLE GLOBO AÇOS'!U219)</f>
        <v/>
      </c>
      <c r="BL217" s="223">
        <f>IF(AND('CONTROLE EJ'!P219="",'CONTROLE CMM'!#REF!=""),"",N('CONTROLE EJ'!P219)+N('CONTROLE CMM'!#REF!))</f>
        <v/>
      </c>
      <c r="BM217" s="223">
        <f>IF(AND('CONTROLE EJ'!Q219="",'CONTROLE CMM'!#REF!=""),"",N('CONTROLE EJ'!Q219)+N('CONTROLE CMM'!#REF!))</f>
        <v/>
      </c>
      <c r="BN217" s="223">
        <f>IF('CONTROLE GLOBO AÇOS'!V219="","",'CONTROLE GLOBO AÇOS'!V219)</f>
        <v/>
      </c>
      <c r="BO217" s="223">
        <f>IF('CONTROLE GLOBO AÇOS'!W219="","",'CONTROLE GLOBO AÇOS'!W219)</f>
        <v/>
      </c>
      <c r="BP217" s="223">
        <f>IF(AND('CONTROLE EJ'!R219="",'CONTROLE CMM'!#REF!=""),"",N('CONTROLE EJ'!R219)+N('CONTROLE CMM'!#REF!))</f>
        <v/>
      </c>
      <c r="BQ217" s="223">
        <f>IF(#REF!="","",#REF!)</f>
        <v/>
      </c>
      <c r="BR217" s="223">
        <f>IF(AND('CONTROLE EJ'!S219="",'CONTROLE CMM'!#REF!=""),"",N('CONTROLE EJ'!S219)+N('CONTROLE CMM'!#REF!))</f>
        <v/>
      </c>
      <c r="BS217" s="223">
        <f>IF(AND('CONTROLE EJ'!T219="",'CONTROLE CMM'!#REF!=""),"",N('CONTROLE EJ'!T219)+N('CONTROLE CMM'!#REF!))</f>
        <v/>
      </c>
      <c r="BT217" s="223">
        <f>IF('CONTROLE GLOBO AÇOS'!X219="","",'CONTROLE GLOBO AÇOS'!X219)</f>
        <v/>
      </c>
      <c r="BU217" s="223">
        <f>IF('CONTROLE GLOBO AÇOS'!Y219="","",'CONTROLE GLOBO AÇOS'!Y219)</f>
        <v/>
      </c>
      <c r="BV217" s="223">
        <f>IF(AND('CONTROLE EJ'!U219="",'CONTROLE CMM'!#REF!=""),"",N('CONTROLE EJ'!U219)+N('CONTROLE CMM'!#REF!))</f>
        <v/>
      </c>
      <c r="BW217" s="223">
        <f>IF(#REF!="","",#REF!)</f>
        <v/>
      </c>
    </row>
    <row r="218">
      <c r="A218" s="282" t="n">
        <v>46435</v>
      </c>
      <c r="B218" s="18">
        <f>IF('CONTROLE EJ'!B220="","",'CONTROLE EJ'!B220)</f>
        <v/>
      </c>
      <c r="C218" s="18">
        <f>IF('CONTROLE EJ'!C220="","",'CONTROLE EJ'!C220)</f>
        <v/>
      </c>
      <c r="D218" s="42">
        <f>IF('CONTROLE EJ'!D220="","",'CONTROLE EJ'!D220)</f>
        <v/>
      </c>
      <c r="E218" s="43">
        <f>IF('CONTROLE CMM'!B220="","",'CONTROLE CMM'!B220)</f>
        <v/>
      </c>
      <c r="F218" s="18">
        <f>IF('CONTROLE CMM'!C220="","",'CONTROLE CMM'!C220)</f>
        <v/>
      </c>
      <c r="G218" s="26">
        <f>IF('CONTROLE CMM'!D220="","",'CONTROLE CMM'!D220)</f>
        <v/>
      </c>
      <c r="H218" s="43">
        <f>IF('CONTROLE GLOBO AÇOS'!B220="","",'CONTROLE GLOBO AÇOS'!B220)</f>
        <v/>
      </c>
      <c r="I218" s="18">
        <f>IF('CONTROLE GLOBO AÇOS'!C220="","",'CONTROLE GLOBO AÇOS'!C220)</f>
        <v/>
      </c>
      <c r="J218" s="18">
        <f>IF('CONTROLE GLOBO AÇOS'!D220="","",'CONTROLE GLOBO AÇOS'!D220)</f>
        <v/>
      </c>
      <c r="AD218" s="39">
        <f>IF($A218="",0,IF(AND(WEEKDAY($A218,2)&lt;=5,OR($B218&lt;&gt;"",$C218&lt;&gt;"",$D218&lt;&gt;"")),1,0))</f>
        <v/>
      </c>
      <c r="AE218" s="39">
        <f>IF($A218="",0,IF(AND(WEEKDAY($A218,2)&lt;=5,OR($E218&lt;&gt;"",$F218&lt;&gt;"",$G218&lt;&gt;"")),1,0))</f>
        <v/>
      </c>
      <c r="AF218" s="39">
        <f>MAX(AD218,AE218)</f>
        <v/>
      </c>
      <c r="AH218" s="223">
        <f>IF('CONTROLE GLOBO AÇOS'!E220="","",'CONTROLE GLOBO AÇOS'!E220)</f>
        <v/>
      </c>
      <c r="AI218" s="223">
        <f>IF('CONTROLE GLOBO AÇOS'!F220="","",'CONTROLE GLOBO AÇOS'!F220)</f>
        <v/>
      </c>
      <c r="AJ218" s="223">
        <f>IF(AND('CONTROLE EJ'!E220="",'CONTROLE CMM'!E220=""),"",N('CONTROLE EJ'!E220)+N('CONTROLE CMM'!E220))</f>
        <v/>
      </c>
      <c r="AK218" s="223">
        <f>IF(AND('CONTROLE EJ'!F220="",'CONTROLE CMM'!F220=""),"",N('CONTROLE EJ'!F220)+N('CONTROLE CMM'!F220))</f>
        <v/>
      </c>
      <c r="AL218" s="223">
        <f>IF(AND('CONTROLE EJ'!G220="",'CONTROLE CMM'!G220=""),"",N('CONTROLE EJ'!G220)+N('CONTROLE CMM'!G220))</f>
        <v/>
      </c>
      <c r="AM218" s="223">
        <f>IF(AND('CONTROLE EJ'!H220="",'CONTROLE CMM'!H220=""),"",N('CONTROLE EJ'!H220)+N('CONTROLE CMM'!H220))</f>
        <v/>
      </c>
      <c r="AN218" s="223">
        <f>IF('CONTROLE GLOBO AÇOS'!G220="","",'CONTROLE GLOBO AÇOS'!G220)</f>
        <v/>
      </c>
      <c r="AO218" s="223">
        <f>IF('CONTROLE GLOBO AÇOS'!H220="","",'CONTROLE GLOBO AÇOS'!H220)</f>
        <v/>
      </c>
      <c r="AP218" s="223">
        <f>IF(AND('CONTROLE EJ'!I220="",'CONTROLE CMM'!I220=""),"",N('CONTROLE EJ'!I220)+N('CONTROLE CMM'!I220))</f>
        <v/>
      </c>
      <c r="AQ218" s="223">
        <f>IF(AND('CONTROLE EJ'!J220="",'CONTROLE CMM'!#REF!=""),"",N('CONTROLE EJ'!J220)+N('CONTROLE CMM'!#REF!))</f>
        <v/>
      </c>
      <c r="AR218" s="223">
        <f>IF('CONTROLE GLOBO AÇOS'!I220="","",'CONTROLE GLOBO AÇOS'!I220)</f>
        <v/>
      </c>
      <c r="AS218" s="223">
        <f>IF('CONTROLE GLOBO AÇOS'!J220="","",'CONTROLE GLOBO AÇOS'!J220)</f>
        <v/>
      </c>
      <c r="AT218" s="223">
        <f>IF(#REF!="","",#REF!)</f>
        <v/>
      </c>
      <c r="AU218" s="223">
        <f>IF('CONTROLE GLOBO AÇOS'!K220="","",'CONTROLE GLOBO AÇOS'!K220)</f>
        <v/>
      </c>
      <c r="AV218" s="223">
        <f>IF(AND('CONTROLE EJ'!K220="",'CONTROLE CMM'!#REF!=""),"",N('CONTROLE EJ'!K220)+N('CONTROLE CMM'!#REF!))</f>
        <v/>
      </c>
      <c r="AW218" s="223">
        <f>IF('CONTROLE GLOBO AÇOS'!L220="","",'CONTROLE GLOBO AÇOS'!L220)</f>
        <v/>
      </c>
      <c r="AX218" s="223">
        <f>IF(AND('CONTROLE EJ'!L220="",'CONTROLE CMM'!#REF!=""),"",N('CONTROLE EJ'!L220)+N('CONTROLE CMM'!#REF!))</f>
        <v/>
      </c>
      <c r="AY218" s="223">
        <f>IF('CONTROLE GLOBO AÇOS'!M220="","",'CONTROLE GLOBO AÇOS'!M220)</f>
        <v/>
      </c>
      <c r="AZ218" s="223">
        <f>IF('CONTROLE GLOBO AÇOS'!N220="","",'CONTROLE GLOBO AÇOS'!N220)</f>
        <v/>
      </c>
      <c r="BA218" s="223">
        <f>IF(AND('CONTROLE EJ'!M220="",'CONTROLE CMM'!#REF!=""),"",N('CONTROLE EJ'!M220)+N('CONTROLE CMM'!#REF!))</f>
        <v/>
      </c>
      <c r="BB218" s="223">
        <f>IF(#REF!="","",#REF!)</f>
        <v/>
      </c>
      <c r="BC218" s="223">
        <f>IF('CONTROLE GLOBO AÇOS'!O220="","",'CONTROLE GLOBO AÇOS'!O220)</f>
        <v/>
      </c>
      <c r="BD218" s="223">
        <f>IF(AND('CONTROLE EJ'!N220="",'CONTROLE CMM'!#REF!=""),"",N('CONTROLE EJ'!N220)+N('CONTROLE CMM'!#REF!))</f>
        <v/>
      </c>
      <c r="BE218" s="223">
        <f>IF('CONTROLE GLOBO AÇOS'!P220="","",'CONTROLE GLOBO AÇOS'!P220)</f>
        <v/>
      </c>
      <c r="BF218" s="223">
        <f>IF('CONTROLE GLOBO AÇOS'!Q220="","",'CONTROLE GLOBO AÇOS'!Q220)</f>
        <v/>
      </c>
      <c r="BG218" s="223">
        <f>IF('CONTROLE GLOBO AÇOS'!R220="","",'CONTROLE GLOBO AÇOS'!R220)</f>
        <v/>
      </c>
      <c r="BH218" s="223">
        <f>IF(AND('CONTROLE EJ'!O220="",'CONTROLE CMM'!#REF!=""),"",N('CONTROLE EJ'!O220)+N('CONTROLE CMM'!#REF!))</f>
        <v/>
      </c>
      <c r="BI218" s="223">
        <f>IF('CONTROLE GLOBO AÇOS'!S220="","",'CONTROLE GLOBO AÇOS'!S220)</f>
        <v/>
      </c>
      <c r="BJ218" s="223">
        <f>IF('CONTROLE GLOBO AÇOS'!T220="","",'CONTROLE GLOBO AÇOS'!T220)</f>
        <v/>
      </c>
      <c r="BK218" s="223">
        <f>IF('CONTROLE GLOBO AÇOS'!U220="","",'CONTROLE GLOBO AÇOS'!U220)</f>
        <v/>
      </c>
      <c r="BL218" s="223">
        <f>IF(AND('CONTROLE EJ'!P220="",'CONTROLE CMM'!#REF!=""),"",N('CONTROLE EJ'!P220)+N('CONTROLE CMM'!#REF!))</f>
        <v/>
      </c>
      <c r="BM218" s="223">
        <f>IF(AND('CONTROLE EJ'!Q220="",'CONTROLE CMM'!#REF!=""),"",N('CONTROLE EJ'!Q220)+N('CONTROLE CMM'!#REF!))</f>
        <v/>
      </c>
      <c r="BN218" s="223">
        <f>IF('CONTROLE GLOBO AÇOS'!V220="","",'CONTROLE GLOBO AÇOS'!V220)</f>
        <v/>
      </c>
      <c r="BO218" s="223">
        <f>IF('CONTROLE GLOBO AÇOS'!W220="","",'CONTROLE GLOBO AÇOS'!W220)</f>
        <v/>
      </c>
      <c r="BP218" s="223">
        <f>IF(AND('CONTROLE EJ'!R220="",'CONTROLE CMM'!#REF!=""),"",N('CONTROLE EJ'!R220)+N('CONTROLE CMM'!#REF!))</f>
        <v/>
      </c>
      <c r="BQ218" s="223">
        <f>IF(#REF!="","",#REF!)</f>
        <v/>
      </c>
      <c r="BR218" s="223">
        <f>IF(AND('CONTROLE EJ'!S220="",'CONTROLE CMM'!#REF!=""),"",N('CONTROLE EJ'!S220)+N('CONTROLE CMM'!#REF!))</f>
        <v/>
      </c>
      <c r="BS218" s="223">
        <f>IF(AND('CONTROLE EJ'!T220="",'CONTROLE CMM'!#REF!=""),"",N('CONTROLE EJ'!T220)+N('CONTROLE CMM'!#REF!))</f>
        <v/>
      </c>
      <c r="BT218" s="223">
        <f>IF('CONTROLE GLOBO AÇOS'!X220="","",'CONTROLE GLOBO AÇOS'!X220)</f>
        <v/>
      </c>
      <c r="BU218" s="223">
        <f>IF('CONTROLE GLOBO AÇOS'!Y220="","",'CONTROLE GLOBO AÇOS'!Y220)</f>
        <v/>
      </c>
      <c r="BV218" s="223">
        <f>IF(AND('CONTROLE EJ'!U220="",'CONTROLE CMM'!#REF!=""),"",N('CONTROLE EJ'!U220)+N('CONTROLE CMM'!#REF!))</f>
        <v/>
      </c>
      <c r="BW218" s="223">
        <f>IF(#REF!="","",#REF!)</f>
        <v/>
      </c>
    </row>
    <row r="219">
      <c r="A219" s="282" t="n">
        <v>46436</v>
      </c>
      <c r="B219" s="18">
        <f>IF('CONTROLE EJ'!B221="","",'CONTROLE EJ'!B221)</f>
        <v/>
      </c>
      <c r="C219" s="18">
        <f>IF('CONTROLE EJ'!C221="","",'CONTROLE EJ'!C221)</f>
        <v/>
      </c>
      <c r="D219" s="42">
        <f>IF('CONTROLE EJ'!D221="","",'CONTROLE EJ'!D221)</f>
        <v/>
      </c>
      <c r="E219" s="43">
        <f>IF('CONTROLE CMM'!B221="","",'CONTROLE CMM'!B221)</f>
        <v/>
      </c>
      <c r="F219" s="18">
        <f>IF('CONTROLE CMM'!C221="","",'CONTROLE CMM'!C221)</f>
        <v/>
      </c>
      <c r="G219" s="26">
        <f>IF('CONTROLE CMM'!D221="","",'CONTROLE CMM'!D221)</f>
        <v/>
      </c>
      <c r="H219" s="43">
        <f>IF('CONTROLE GLOBO AÇOS'!B221="","",'CONTROLE GLOBO AÇOS'!B221)</f>
        <v/>
      </c>
      <c r="I219" s="18">
        <f>IF('CONTROLE GLOBO AÇOS'!C221="","",'CONTROLE GLOBO AÇOS'!C221)</f>
        <v/>
      </c>
      <c r="J219" s="18">
        <f>IF('CONTROLE GLOBO AÇOS'!D221="","",'CONTROLE GLOBO AÇOS'!D221)</f>
        <v/>
      </c>
      <c r="AD219" s="39">
        <f>IF($A219="",0,IF(AND(WEEKDAY($A219,2)&lt;=5,OR($B219&lt;&gt;"",$C219&lt;&gt;"",$D219&lt;&gt;"")),1,0))</f>
        <v/>
      </c>
      <c r="AE219" s="39">
        <f>IF($A219="",0,IF(AND(WEEKDAY($A219,2)&lt;=5,OR($E219&lt;&gt;"",$F219&lt;&gt;"",$G219&lt;&gt;"")),1,0))</f>
        <v/>
      </c>
      <c r="AF219" s="39">
        <f>MAX(AD219,AE219)</f>
        <v/>
      </c>
      <c r="AH219" s="223">
        <f>IF('CONTROLE GLOBO AÇOS'!E221="","",'CONTROLE GLOBO AÇOS'!E221)</f>
        <v/>
      </c>
      <c r="AI219" s="223">
        <f>IF('CONTROLE GLOBO AÇOS'!F221="","",'CONTROLE GLOBO AÇOS'!F221)</f>
        <v/>
      </c>
      <c r="AJ219" s="223">
        <f>IF(AND('CONTROLE EJ'!E221="",'CONTROLE CMM'!E221=""),"",N('CONTROLE EJ'!E221)+N('CONTROLE CMM'!E221))</f>
        <v/>
      </c>
      <c r="AK219" s="223">
        <f>IF(AND('CONTROLE EJ'!F221="",'CONTROLE CMM'!F221=""),"",N('CONTROLE EJ'!F221)+N('CONTROLE CMM'!F221))</f>
        <v/>
      </c>
      <c r="AL219" s="223">
        <f>IF(AND('CONTROLE EJ'!G221="",'CONTROLE CMM'!G221=""),"",N('CONTROLE EJ'!G221)+N('CONTROLE CMM'!G221))</f>
        <v/>
      </c>
      <c r="AM219" s="223">
        <f>IF(AND('CONTROLE EJ'!H221="",'CONTROLE CMM'!H221=""),"",N('CONTROLE EJ'!H221)+N('CONTROLE CMM'!H221))</f>
        <v/>
      </c>
      <c r="AN219" s="223">
        <f>IF('CONTROLE GLOBO AÇOS'!G221="","",'CONTROLE GLOBO AÇOS'!G221)</f>
        <v/>
      </c>
      <c r="AO219" s="223">
        <f>IF('CONTROLE GLOBO AÇOS'!H221="","",'CONTROLE GLOBO AÇOS'!H221)</f>
        <v/>
      </c>
      <c r="AP219" s="223">
        <f>IF(AND('CONTROLE EJ'!I221="",'CONTROLE CMM'!I221=""),"",N('CONTROLE EJ'!I221)+N('CONTROLE CMM'!I221))</f>
        <v/>
      </c>
      <c r="AQ219" s="223">
        <f>IF(AND('CONTROLE EJ'!J221="",'CONTROLE CMM'!#REF!=""),"",N('CONTROLE EJ'!J221)+N('CONTROLE CMM'!#REF!))</f>
        <v/>
      </c>
      <c r="AR219" s="223">
        <f>IF('CONTROLE GLOBO AÇOS'!I221="","",'CONTROLE GLOBO AÇOS'!I221)</f>
        <v/>
      </c>
      <c r="AS219" s="223">
        <f>IF('CONTROLE GLOBO AÇOS'!J221="","",'CONTROLE GLOBO AÇOS'!J221)</f>
        <v/>
      </c>
      <c r="AT219" s="223">
        <f>IF(#REF!="","",#REF!)</f>
        <v/>
      </c>
      <c r="AU219" s="223">
        <f>IF('CONTROLE GLOBO AÇOS'!K221="","",'CONTROLE GLOBO AÇOS'!K221)</f>
        <v/>
      </c>
      <c r="AV219" s="223">
        <f>IF(AND('CONTROLE EJ'!K221="",'CONTROLE CMM'!#REF!=""),"",N('CONTROLE EJ'!K221)+N('CONTROLE CMM'!#REF!))</f>
        <v/>
      </c>
      <c r="AW219" s="223">
        <f>IF('CONTROLE GLOBO AÇOS'!L221="","",'CONTROLE GLOBO AÇOS'!L221)</f>
        <v/>
      </c>
      <c r="AX219" s="223">
        <f>IF(AND('CONTROLE EJ'!L221="",'CONTROLE CMM'!#REF!=""),"",N('CONTROLE EJ'!L221)+N('CONTROLE CMM'!#REF!))</f>
        <v/>
      </c>
      <c r="AY219" s="223">
        <f>IF('CONTROLE GLOBO AÇOS'!M221="","",'CONTROLE GLOBO AÇOS'!M221)</f>
        <v/>
      </c>
      <c r="AZ219" s="223">
        <f>IF('CONTROLE GLOBO AÇOS'!N221="","",'CONTROLE GLOBO AÇOS'!N221)</f>
        <v/>
      </c>
      <c r="BA219" s="223">
        <f>IF(AND('CONTROLE EJ'!M221="",'CONTROLE CMM'!#REF!=""),"",N('CONTROLE EJ'!M221)+N('CONTROLE CMM'!#REF!))</f>
        <v/>
      </c>
      <c r="BB219" s="223">
        <f>IF(#REF!="","",#REF!)</f>
        <v/>
      </c>
      <c r="BC219" s="223">
        <f>IF('CONTROLE GLOBO AÇOS'!O221="","",'CONTROLE GLOBO AÇOS'!O221)</f>
        <v/>
      </c>
      <c r="BD219" s="223">
        <f>IF(AND('CONTROLE EJ'!N221="",'CONTROLE CMM'!#REF!=""),"",N('CONTROLE EJ'!N221)+N('CONTROLE CMM'!#REF!))</f>
        <v/>
      </c>
      <c r="BE219" s="223">
        <f>IF('CONTROLE GLOBO AÇOS'!P221="","",'CONTROLE GLOBO AÇOS'!P221)</f>
        <v/>
      </c>
      <c r="BF219" s="223">
        <f>IF('CONTROLE GLOBO AÇOS'!Q221="","",'CONTROLE GLOBO AÇOS'!Q221)</f>
        <v/>
      </c>
      <c r="BG219" s="223">
        <f>IF('CONTROLE GLOBO AÇOS'!R221="","",'CONTROLE GLOBO AÇOS'!R221)</f>
        <v/>
      </c>
      <c r="BH219" s="223">
        <f>IF(AND('CONTROLE EJ'!O221="",'CONTROLE CMM'!#REF!=""),"",N('CONTROLE EJ'!O221)+N('CONTROLE CMM'!#REF!))</f>
        <v/>
      </c>
      <c r="BI219" s="223">
        <f>IF('CONTROLE GLOBO AÇOS'!S221="","",'CONTROLE GLOBO AÇOS'!S221)</f>
        <v/>
      </c>
      <c r="BJ219" s="223">
        <f>IF('CONTROLE GLOBO AÇOS'!T221="","",'CONTROLE GLOBO AÇOS'!T221)</f>
        <v/>
      </c>
      <c r="BK219" s="223">
        <f>IF('CONTROLE GLOBO AÇOS'!U221="","",'CONTROLE GLOBO AÇOS'!U221)</f>
        <v/>
      </c>
      <c r="BL219" s="223">
        <f>IF(AND('CONTROLE EJ'!P221="",'CONTROLE CMM'!#REF!=""),"",N('CONTROLE EJ'!P221)+N('CONTROLE CMM'!#REF!))</f>
        <v/>
      </c>
      <c r="BM219" s="223">
        <f>IF(AND('CONTROLE EJ'!Q221="",'CONTROLE CMM'!#REF!=""),"",N('CONTROLE EJ'!Q221)+N('CONTROLE CMM'!#REF!))</f>
        <v/>
      </c>
      <c r="BN219" s="223">
        <f>IF('CONTROLE GLOBO AÇOS'!V221="","",'CONTROLE GLOBO AÇOS'!V221)</f>
        <v/>
      </c>
      <c r="BO219" s="223">
        <f>IF('CONTROLE GLOBO AÇOS'!W221="","",'CONTROLE GLOBO AÇOS'!W221)</f>
        <v/>
      </c>
      <c r="BP219" s="223">
        <f>IF(AND('CONTROLE EJ'!R221="",'CONTROLE CMM'!#REF!=""),"",N('CONTROLE EJ'!R221)+N('CONTROLE CMM'!#REF!))</f>
        <v/>
      </c>
      <c r="BQ219" s="223">
        <f>IF(#REF!="","",#REF!)</f>
        <v/>
      </c>
      <c r="BR219" s="223">
        <f>IF(AND('CONTROLE EJ'!S221="",'CONTROLE CMM'!#REF!=""),"",N('CONTROLE EJ'!S221)+N('CONTROLE CMM'!#REF!))</f>
        <v/>
      </c>
      <c r="BS219" s="223">
        <f>IF(AND('CONTROLE EJ'!T221="",'CONTROLE CMM'!#REF!=""),"",N('CONTROLE EJ'!T221)+N('CONTROLE CMM'!#REF!))</f>
        <v/>
      </c>
      <c r="BT219" s="223">
        <f>IF('CONTROLE GLOBO AÇOS'!X221="","",'CONTROLE GLOBO AÇOS'!X221)</f>
        <v/>
      </c>
      <c r="BU219" s="223">
        <f>IF('CONTROLE GLOBO AÇOS'!Y221="","",'CONTROLE GLOBO AÇOS'!Y221)</f>
        <v/>
      </c>
      <c r="BV219" s="223">
        <f>IF(AND('CONTROLE EJ'!U221="",'CONTROLE CMM'!#REF!=""),"",N('CONTROLE EJ'!U221)+N('CONTROLE CMM'!#REF!))</f>
        <v/>
      </c>
      <c r="BW219" s="223">
        <f>IF(#REF!="","",#REF!)</f>
        <v/>
      </c>
    </row>
    <row r="220">
      <c r="A220" s="282" t="n">
        <v>46437</v>
      </c>
      <c r="B220" s="18">
        <f>IF('CONTROLE EJ'!B222="","",'CONTROLE EJ'!B222)</f>
        <v/>
      </c>
      <c r="C220" s="18">
        <f>IF('CONTROLE EJ'!C222="","",'CONTROLE EJ'!C222)</f>
        <v/>
      </c>
      <c r="D220" s="42">
        <f>IF('CONTROLE EJ'!D222="","",'CONTROLE EJ'!D222)</f>
        <v/>
      </c>
      <c r="E220" s="43">
        <f>IF('CONTROLE CMM'!B222="","",'CONTROLE CMM'!B222)</f>
        <v/>
      </c>
      <c r="F220" s="18">
        <f>IF('CONTROLE CMM'!C222="","",'CONTROLE CMM'!C222)</f>
        <v/>
      </c>
      <c r="G220" s="26">
        <f>IF('CONTROLE CMM'!D222="","",'CONTROLE CMM'!D222)</f>
        <v/>
      </c>
      <c r="H220" s="43">
        <f>IF('CONTROLE GLOBO AÇOS'!B222="","",'CONTROLE GLOBO AÇOS'!B222)</f>
        <v/>
      </c>
      <c r="I220" s="18">
        <f>IF('CONTROLE GLOBO AÇOS'!C222="","",'CONTROLE GLOBO AÇOS'!C222)</f>
        <v/>
      </c>
      <c r="J220" s="18">
        <f>IF('CONTROLE GLOBO AÇOS'!D222="","",'CONTROLE GLOBO AÇOS'!D222)</f>
        <v/>
      </c>
      <c r="AD220" s="39">
        <f>IF($A220="",0,IF(AND(WEEKDAY($A220,2)&lt;=5,OR($B220&lt;&gt;"",$C220&lt;&gt;"",$D220&lt;&gt;"")),1,0))</f>
        <v/>
      </c>
      <c r="AE220" s="39">
        <f>IF($A220="",0,IF(AND(WEEKDAY($A220,2)&lt;=5,OR($E220&lt;&gt;"",$F220&lt;&gt;"",$G220&lt;&gt;"")),1,0))</f>
        <v/>
      </c>
      <c r="AF220" s="39">
        <f>MAX(AD220,AE220)</f>
        <v/>
      </c>
      <c r="AH220" s="223">
        <f>IF('CONTROLE GLOBO AÇOS'!E222="","",'CONTROLE GLOBO AÇOS'!E222)</f>
        <v/>
      </c>
      <c r="AI220" s="223">
        <f>IF('CONTROLE GLOBO AÇOS'!F222="","",'CONTROLE GLOBO AÇOS'!F222)</f>
        <v/>
      </c>
      <c r="AJ220" s="223">
        <f>IF(AND('CONTROLE EJ'!E222="",'CONTROLE CMM'!E222=""),"",N('CONTROLE EJ'!E222)+N('CONTROLE CMM'!E222))</f>
        <v/>
      </c>
      <c r="AK220" s="223">
        <f>IF(AND('CONTROLE EJ'!F222="",'CONTROLE CMM'!F222=""),"",N('CONTROLE EJ'!F222)+N('CONTROLE CMM'!F222))</f>
        <v/>
      </c>
      <c r="AL220" s="223">
        <f>IF(AND('CONTROLE EJ'!G222="",'CONTROLE CMM'!G222=""),"",N('CONTROLE EJ'!G222)+N('CONTROLE CMM'!G222))</f>
        <v/>
      </c>
      <c r="AM220" s="223">
        <f>IF(AND('CONTROLE EJ'!H222="",'CONTROLE CMM'!H222=""),"",N('CONTROLE EJ'!H222)+N('CONTROLE CMM'!H222))</f>
        <v/>
      </c>
      <c r="AN220" s="223">
        <f>IF('CONTROLE GLOBO AÇOS'!G222="","",'CONTROLE GLOBO AÇOS'!G222)</f>
        <v/>
      </c>
      <c r="AO220" s="223">
        <f>IF('CONTROLE GLOBO AÇOS'!H222="","",'CONTROLE GLOBO AÇOS'!H222)</f>
        <v/>
      </c>
      <c r="AP220" s="223">
        <f>IF(AND('CONTROLE EJ'!I222="",'CONTROLE CMM'!I222=""),"",N('CONTROLE EJ'!I222)+N('CONTROLE CMM'!I222))</f>
        <v/>
      </c>
      <c r="AQ220" s="223">
        <f>IF(AND('CONTROLE EJ'!J222="",'CONTROLE CMM'!#REF!=""),"",N('CONTROLE EJ'!J222)+N('CONTROLE CMM'!#REF!))</f>
        <v/>
      </c>
      <c r="AR220" s="223">
        <f>IF('CONTROLE GLOBO AÇOS'!I222="","",'CONTROLE GLOBO AÇOS'!I222)</f>
        <v/>
      </c>
      <c r="AS220" s="223">
        <f>IF('CONTROLE GLOBO AÇOS'!J222="","",'CONTROLE GLOBO AÇOS'!J222)</f>
        <v/>
      </c>
      <c r="AT220" s="223">
        <f>IF(#REF!="","",#REF!)</f>
        <v/>
      </c>
      <c r="AU220" s="223">
        <f>IF('CONTROLE GLOBO AÇOS'!K222="","",'CONTROLE GLOBO AÇOS'!K222)</f>
        <v/>
      </c>
      <c r="AV220" s="223">
        <f>IF(AND('CONTROLE EJ'!K222="",'CONTROLE CMM'!#REF!=""),"",N('CONTROLE EJ'!K222)+N('CONTROLE CMM'!#REF!))</f>
        <v/>
      </c>
      <c r="AW220" s="223">
        <f>IF('CONTROLE GLOBO AÇOS'!L222="","",'CONTROLE GLOBO AÇOS'!L222)</f>
        <v/>
      </c>
      <c r="AX220" s="223">
        <f>IF(AND('CONTROLE EJ'!L222="",'CONTROLE CMM'!#REF!=""),"",N('CONTROLE EJ'!L222)+N('CONTROLE CMM'!#REF!))</f>
        <v/>
      </c>
      <c r="AY220" s="223">
        <f>IF('CONTROLE GLOBO AÇOS'!M222="","",'CONTROLE GLOBO AÇOS'!M222)</f>
        <v/>
      </c>
      <c r="AZ220" s="223">
        <f>IF('CONTROLE GLOBO AÇOS'!N222="","",'CONTROLE GLOBO AÇOS'!N222)</f>
        <v/>
      </c>
      <c r="BA220" s="223">
        <f>IF(AND('CONTROLE EJ'!M222="",'CONTROLE CMM'!#REF!=""),"",N('CONTROLE EJ'!M222)+N('CONTROLE CMM'!#REF!))</f>
        <v/>
      </c>
      <c r="BB220" s="223">
        <f>IF(#REF!="","",#REF!)</f>
        <v/>
      </c>
      <c r="BC220" s="223">
        <f>IF('CONTROLE GLOBO AÇOS'!O222="","",'CONTROLE GLOBO AÇOS'!O222)</f>
        <v/>
      </c>
      <c r="BD220" s="223">
        <f>IF(AND('CONTROLE EJ'!N222="",'CONTROLE CMM'!#REF!=""),"",N('CONTROLE EJ'!N222)+N('CONTROLE CMM'!#REF!))</f>
        <v/>
      </c>
      <c r="BE220" s="223">
        <f>IF('CONTROLE GLOBO AÇOS'!P222="","",'CONTROLE GLOBO AÇOS'!P222)</f>
        <v/>
      </c>
      <c r="BF220" s="223">
        <f>IF('CONTROLE GLOBO AÇOS'!Q222="","",'CONTROLE GLOBO AÇOS'!Q222)</f>
        <v/>
      </c>
      <c r="BG220" s="223">
        <f>IF('CONTROLE GLOBO AÇOS'!R222="","",'CONTROLE GLOBO AÇOS'!R222)</f>
        <v/>
      </c>
      <c r="BH220" s="223">
        <f>IF(AND('CONTROLE EJ'!O222="",'CONTROLE CMM'!#REF!=""),"",N('CONTROLE EJ'!O222)+N('CONTROLE CMM'!#REF!))</f>
        <v/>
      </c>
      <c r="BI220" s="223">
        <f>IF('CONTROLE GLOBO AÇOS'!S222="","",'CONTROLE GLOBO AÇOS'!S222)</f>
        <v/>
      </c>
      <c r="BJ220" s="223">
        <f>IF('CONTROLE GLOBO AÇOS'!T222="","",'CONTROLE GLOBO AÇOS'!T222)</f>
        <v/>
      </c>
      <c r="BK220" s="223">
        <f>IF('CONTROLE GLOBO AÇOS'!U222="","",'CONTROLE GLOBO AÇOS'!U222)</f>
        <v/>
      </c>
      <c r="BL220" s="223">
        <f>IF(AND('CONTROLE EJ'!P222="",'CONTROLE CMM'!#REF!=""),"",N('CONTROLE EJ'!P222)+N('CONTROLE CMM'!#REF!))</f>
        <v/>
      </c>
      <c r="BM220" s="223">
        <f>IF(AND('CONTROLE EJ'!Q222="",'CONTROLE CMM'!#REF!=""),"",N('CONTROLE EJ'!Q222)+N('CONTROLE CMM'!#REF!))</f>
        <v/>
      </c>
      <c r="BN220" s="223">
        <f>IF('CONTROLE GLOBO AÇOS'!V222="","",'CONTROLE GLOBO AÇOS'!V222)</f>
        <v/>
      </c>
      <c r="BO220" s="223">
        <f>IF('CONTROLE GLOBO AÇOS'!W222="","",'CONTROLE GLOBO AÇOS'!W222)</f>
        <v/>
      </c>
      <c r="BP220" s="223">
        <f>IF(AND('CONTROLE EJ'!R222="",'CONTROLE CMM'!#REF!=""),"",N('CONTROLE EJ'!R222)+N('CONTROLE CMM'!#REF!))</f>
        <v/>
      </c>
      <c r="BQ220" s="223">
        <f>IF(#REF!="","",#REF!)</f>
        <v/>
      </c>
      <c r="BR220" s="223">
        <f>IF(AND('CONTROLE EJ'!S222="",'CONTROLE CMM'!#REF!=""),"",N('CONTROLE EJ'!S222)+N('CONTROLE CMM'!#REF!))</f>
        <v/>
      </c>
      <c r="BS220" s="223">
        <f>IF(AND('CONTROLE EJ'!T222="",'CONTROLE CMM'!#REF!=""),"",N('CONTROLE EJ'!T222)+N('CONTROLE CMM'!#REF!))</f>
        <v/>
      </c>
      <c r="BT220" s="223">
        <f>IF('CONTROLE GLOBO AÇOS'!X222="","",'CONTROLE GLOBO AÇOS'!X222)</f>
        <v/>
      </c>
      <c r="BU220" s="223">
        <f>IF('CONTROLE GLOBO AÇOS'!Y222="","",'CONTROLE GLOBO AÇOS'!Y222)</f>
        <v/>
      </c>
      <c r="BV220" s="223">
        <f>IF(AND('CONTROLE EJ'!U222="",'CONTROLE CMM'!#REF!=""),"",N('CONTROLE EJ'!U222)+N('CONTROLE CMM'!#REF!))</f>
        <v/>
      </c>
      <c r="BW220" s="223">
        <f>IF(#REF!="","",#REF!)</f>
        <v/>
      </c>
    </row>
    <row r="221">
      <c r="A221" s="282" t="n">
        <v>46438</v>
      </c>
      <c r="B221" s="18">
        <f>IF('CONTROLE EJ'!B223="","",'CONTROLE EJ'!B223)</f>
        <v/>
      </c>
      <c r="C221" s="18">
        <f>IF('CONTROLE EJ'!C223="","",'CONTROLE EJ'!C223)</f>
        <v/>
      </c>
      <c r="D221" s="42">
        <f>IF('CONTROLE EJ'!D223="","",'CONTROLE EJ'!D223)</f>
        <v/>
      </c>
      <c r="E221" s="43">
        <f>IF('CONTROLE CMM'!B223="","",'CONTROLE CMM'!B223)</f>
        <v/>
      </c>
      <c r="F221" s="18">
        <f>IF('CONTROLE CMM'!C223="","",'CONTROLE CMM'!C223)</f>
        <v/>
      </c>
      <c r="G221" s="26">
        <f>IF('CONTROLE CMM'!D223="","",'CONTROLE CMM'!D223)</f>
        <v/>
      </c>
      <c r="H221" s="43">
        <f>IF('CONTROLE GLOBO AÇOS'!B223="","",'CONTROLE GLOBO AÇOS'!B223)</f>
        <v/>
      </c>
      <c r="I221" s="18">
        <f>IF('CONTROLE GLOBO AÇOS'!C223="","",'CONTROLE GLOBO AÇOS'!C223)</f>
        <v/>
      </c>
      <c r="J221" s="18">
        <f>IF('CONTROLE GLOBO AÇOS'!D223="","",'CONTROLE GLOBO AÇOS'!D223)</f>
        <v/>
      </c>
      <c r="AD221" s="39">
        <f>IF($A221="",0,IF(AND(WEEKDAY($A221,2)&lt;=5,OR($B221&lt;&gt;"",$C221&lt;&gt;"",$D221&lt;&gt;"")),1,0))</f>
        <v/>
      </c>
      <c r="AE221" s="39">
        <f>IF($A221="",0,IF(AND(WEEKDAY($A221,2)&lt;=5,OR($E221&lt;&gt;"",$F221&lt;&gt;"",$G221&lt;&gt;"")),1,0))</f>
        <v/>
      </c>
      <c r="AF221" s="39">
        <f>MAX(AD221,AE221)</f>
        <v/>
      </c>
      <c r="AH221" s="223">
        <f>IF('CONTROLE GLOBO AÇOS'!E223="","",'CONTROLE GLOBO AÇOS'!E223)</f>
        <v/>
      </c>
      <c r="AI221" s="223">
        <f>IF('CONTROLE GLOBO AÇOS'!F223="","",'CONTROLE GLOBO AÇOS'!F223)</f>
        <v/>
      </c>
      <c r="AJ221" s="223">
        <f>IF(AND('CONTROLE EJ'!E223="",'CONTROLE CMM'!E223=""),"",N('CONTROLE EJ'!E223)+N('CONTROLE CMM'!E223))</f>
        <v/>
      </c>
      <c r="AK221" s="223">
        <f>IF(AND('CONTROLE EJ'!F223="",'CONTROLE CMM'!F223=""),"",N('CONTROLE EJ'!F223)+N('CONTROLE CMM'!F223))</f>
        <v/>
      </c>
      <c r="AL221" s="223">
        <f>IF(AND('CONTROLE EJ'!G223="",'CONTROLE CMM'!G223=""),"",N('CONTROLE EJ'!G223)+N('CONTROLE CMM'!G223))</f>
        <v/>
      </c>
      <c r="AM221" s="223">
        <f>IF(AND('CONTROLE EJ'!H223="",'CONTROLE CMM'!H223=""),"",N('CONTROLE EJ'!H223)+N('CONTROLE CMM'!H223))</f>
        <v/>
      </c>
      <c r="AN221" s="223">
        <f>IF('CONTROLE GLOBO AÇOS'!G223="","",'CONTROLE GLOBO AÇOS'!G223)</f>
        <v/>
      </c>
      <c r="AO221" s="223">
        <f>IF('CONTROLE GLOBO AÇOS'!H223="","",'CONTROLE GLOBO AÇOS'!H223)</f>
        <v/>
      </c>
      <c r="AP221" s="223">
        <f>IF(AND('CONTROLE EJ'!I223="",'CONTROLE CMM'!I223=""),"",N('CONTROLE EJ'!I223)+N('CONTROLE CMM'!I223))</f>
        <v/>
      </c>
      <c r="AQ221" s="223">
        <f>IF(AND('CONTROLE EJ'!J223="",'CONTROLE CMM'!#REF!=""),"",N('CONTROLE EJ'!J223)+N('CONTROLE CMM'!#REF!))</f>
        <v/>
      </c>
      <c r="AR221" s="223">
        <f>IF('CONTROLE GLOBO AÇOS'!I223="","",'CONTROLE GLOBO AÇOS'!I223)</f>
        <v/>
      </c>
      <c r="AS221" s="223">
        <f>IF('CONTROLE GLOBO AÇOS'!J223="","",'CONTROLE GLOBO AÇOS'!J223)</f>
        <v/>
      </c>
      <c r="AT221" s="223">
        <f>IF(#REF!="","",#REF!)</f>
        <v/>
      </c>
      <c r="AU221" s="223">
        <f>IF('CONTROLE GLOBO AÇOS'!K223="","",'CONTROLE GLOBO AÇOS'!K223)</f>
        <v/>
      </c>
      <c r="AV221" s="223">
        <f>IF(AND('CONTROLE EJ'!K223="",'CONTROLE CMM'!#REF!=""),"",N('CONTROLE EJ'!K223)+N('CONTROLE CMM'!#REF!))</f>
        <v/>
      </c>
      <c r="AW221" s="223">
        <f>IF('CONTROLE GLOBO AÇOS'!L223="","",'CONTROLE GLOBO AÇOS'!L223)</f>
        <v/>
      </c>
      <c r="AX221" s="223">
        <f>IF(AND('CONTROLE EJ'!L223="",'CONTROLE CMM'!#REF!=""),"",N('CONTROLE EJ'!L223)+N('CONTROLE CMM'!#REF!))</f>
        <v/>
      </c>
      <c r="AY221" s="223">
        <f>IF('CONTROLE GLOBO AÇOS'!M223="","",'CONTROLE GLOBO AÇOS'!M223)</f>
        <v/>
      </c>
      <c r="AZ221" s="223">
        <f>IF('CONTROLE GLOBO AÇOS'!N223="","",'CONTROLE GLOBO AÇOS'!N223)</f>
        <v/>
      </c>
      <c r="BA221" s="223">
        <f>IF(AND('CONTROLE EJ'!M223="",'CONTROLE CMM'!#REF!=""),"",N('CONTROLE EJ'!M223)+N('CONTROLE CMM'!#REF!))</f>
        <v/>
      </c>
      <c r="BB221" s="223">
        <f>IF(#REF!="","",#REF!)</f>
        <v/>
      </c>
      <c r="BC221" s="223">
        <f>IF('CONTROLE GLOBO AÇOS'!O223="","",'CONTROLE GLOBO AÇOS'!O223)</f>
        <v/>
      </c>
      <c r="BD221" s="223">
        <f>IF(AND('CONTROLE EJ'!N223="",'CONTROLE CMM'!#REF!=""),"",N('CONTROLE EJ'!N223)+N('CONTROLE CMM'!#REF!))</f>
        <v/>
      </c>
      <c r="BE221" s="223">
        <f>IF('CONTROLE GLOBO AÇOS'!P223="","",'CONTROLE GLOBO AÇOS'!P223)</f>
        <v/>
      </c>
      <c r="BF221" s="223">
        <f>IF('CONTROLE GLOBO AÇOS'!Q223="","",'CONTROLE GLOBO AÇOS'!Q223)</f>
        <v/>
      </c>
      <c r="BG221" s="223">
        <f>IF('CONTROLE GLOBO AÇOS'!R223="","",'CONTROLE GLOBO AÇOS'!R223)</f>
        <v/>
      </c>
      <c r="BH221" s="223">
        <f>IF(AND('CONTROLE EJ'!O223="",'CONTROLE CMM'!#REF!=""),"",N('CONTROLE EJ'!O223)+N('CONTROLE CMM'!#REF!))</f>
        <v/>
      </c>
      <c r="BI221" s="223">
        <f>IF('CONTROLE GLOBO AÇOS'!S223="","",'CONTROLE GLOBO AÇOS'!S223)</f>
        <v/>
      </c>
      <c r="BJ221" s="223">
        <f>IF('CONTROLE GLOBO AÇOS'!T223="","",'CONTROLE GLOBO AÇOS'!T223)</f>
        <v/>
      </c>
      <c r="BK221" s="223">
        <f>IF('CONTROLE GLOBO AÇOS'!U223="","",'CONTROLE GLOBO AÇOS'!U223)</f>
        <v/>
      </c>
      <c r="BL221" s="223">
        <f>IF(AND('CONTROLE EJ'!P223="",'CONTROLE CMM'!#REF!=""),"",N('CONTROLE EJ'!P223)+N('CONTROLE CMM'!#REF!))</f>
        <v/>
      </c>
      <c r="BM221" s="223">
        <f>IF(AND('CONTROLE EJ'!Q223="",'CONTROLE CMM'!#REF!=""),"",N('CONTROLE EJ'!Q223)+N('CONTROLE CMM'!#REF!))</f>
        <v/>
      </c>
      <c r="BN221" s="223">
        <f>IF('CONTROLE GLOBO AÇOS'!V223="","",'CONTROLE GLOBO AÇOS'!V223)</f>
        <v/>
      </c>
      <c r="BO221" s="223">
        <f>IF('CONTROLE GLOBO AÇOS'!W223="","",'CONTROLE GLOBO AÇOS'!W223)</f>
        <v/>
      </c>
      <c r="BP221" s="223">
        <f>IF(AND('CONTROLE EJ'!R223="",'CONTROLE CMM'!#REF!=""),"",N('CONTROLE EJ'!R223)+N('CONTROLE CMM'!#REF!))</f>
        <v/>
      </c>
      <c r="BQ221" s="223">
        <f>IF(#REF!="","",#REF!)</f>
        <v/>
      </c>
      <c r="BR221" s="223">
        <f>IF(AND('CONTROLE EJ'!S223="",'CONTROLE CMM'!#REF!=""),"",N('CONTROLE EJ'!S223)+N('CONTROLE CMM'!#REF!))</f>
        <v/>
      </c>
      <c r="BS221" s="223">
        <f>IF(AND('CONTROLE EJ'!T223="",'CONTROLE CMM'!#REF!=""),"",N('CONTROLE EJ'!T223)+N('CONTROLE CMM'!#REF!))</f>
        <v/>
      </c>
      <c r="BT221" s="223">
        <f>IF('CONTROLE GLOBO AÇOS'!X223="","",'CONTROLE GLOBO AÇOS'!X223)</f>
        <v/>
      </c>
      <c r="BU221" s="223">
        <f>IF('CONTROLE GLOBO AÇOS'!Y223="","",'CONTROLE GLOBO AÇOS'!Y223)</f>
        <v/>
      </c>
      <c r="BV221" s="223">
        <f>IF(AND('CONTROLE EJ'!U223="",'CONTROLE CMM'!#REF!=""),"",N('CONTROLE EJ'!U223)+N('CONTROLE CMM'!#REF!))</f>
        <v/>
      </c>
      <c r="BW221" s="223">
        <f>IF(#REF!="","",#REF!)</f>
        <v/>
      </c>
    </row>
    <row r="222">
      <c r="A222" s="282" t="n">
        <v>46439</v>
      </c>
      <c r="B222" s="18">
        <f>IF('CONTROLE EJ'!B224="","",'CONTROLE EJ'!B224)</f>
        <v/>
      </c>
      <c r="C222" s="18">
        <f>IF('CONTROLE EJ'!C224="","",'CONTROLE EJ'!C224)</f>
        <v/>
      </c>
      <c r="D222" s="42">
        <f>IF('CONTROLE EJ'!D224="","",'CONTROLE EJ'!D224)</f>
        <v/>
      </c>
      <c r="E222" s="43">
        <f>IF('CONTROLE CMM'!B224="","",'CONTROLE CMM'!B224)</f>
        <v/>
      </c>
      <c r="F222" s="18">
        <f>IF('CONTROLE CMM'!C224="","",'CONTROLE CMM'!C224)</f>
        <v/>
      </c>
      <c r="G222" s="26">
        <f>IF('CONTROLE CMM'!D224="","",'CONTROLE CMM'!D224)</f>
        <v/>
      </c>
      <c r="H222" s="43">
        <f>IF('CONTROLE GLOBO AÇOS'!B224="","",'CONTROLE GLOBO AÇOS'!B224)</f>
        <v/>
      </c>
      <c r="I222" s="18">
        <f>IF('CONTROLE GLOBO AÇOS'!C224="","",'CONTROLE GLOBO AÇOS'!C224)</f>
        <v/>
      </c>
      <c r="J222" s="18">
        <f>IF('CONTROLE GLOBO AÇOS'!D224="","",'CONTROLE GLOBO AÇOS'!D224)</f>
        <v/>
      </c>
      <c r="AD222" s="39">
        <f>IF($A222="",0,IF(AND(WEEKDAY($A222,2)&lt;=5,OR($B222&lt;&gt;"",$C222&lt;&gt;"",$D222&lt;&gt;"")),1,0))</f>
        <v/>
      </c>
      <c r="AE222" s="39">
        <f>IF($A222="",0,IF(AND(WEEKDAY($A222,2)&lt;=5,OR($E222&lt;&gt;"",$F222&lt;&gt;"",$G222&lt;&gt;"")),1,0))</f>
        <v/>
      </c>
      <c r="AF222" s="39">
        <f>MAX(AD222,AE222)</f>
        <v/>
      </c>
      <c r="AH222" s="223">
        <f>IF('CONTROLE GLOBO AÇOS'!E224="","",'CONTROLE GLOBO AÇOS'!E224)</f>
        <v/>
      </c>
      <c r="AI222" s="223">
        <f>IF('CONTROLE GLOBO AÇOS'!F224="","",'CONTROLE GLOBO AÇOS'!F224)</f>
        <v/>
      </c>
      <c r="AJ222" s="223">
        <f>IF(AND('CONTROLE EJ'!E224="",'CONTROLE CMM'!E224=""),"",N('CONTROLE EJ'!E224)+N('CONTROLE CMM'!E224))</f>
        <v/>
      </c>
      <c r="AK222" s="223">
        <f>IF(AND('CONTROLE EJ'!F224="",'CONTROLE CMM'!F224=""),"",N('CONTROLE EJ'!F224)+N('CONTROLE CMM'!F224))</f>
        <v/>
      </c>
      <c r="AL222" s="223">
        <f>IF(AND('CONTROLE EJ'!G224="",'CONTROLE CMM'!G224=""),"",N('CONTROLE EJ'!G224)+N('CONTROLE CMM'!G224))</f>
        <v/>
      </c>
      <c r="AM222" s="223">
        <f>IF(AND('CONTROLE EJ'!H224="",'CONTROLE CMM'!H224=""),"",N('CONTROLE EJ'!H224)+N('CONTROLE CMM'!H224))</f>
        <v/>
      </c>
      <c r="AN222" s="223">
        <f>IF('CONTROLE GLOBO AÇOS'!G224="","",'CONTROLE GLOBO AÇOS'!G224)</f>
        <v/>
      </c>
      <c r="AO222" s="223">
        <f>IF('CONTROLE GLOBO AÇOS'!H224="","",'CONTROLE GLOBO AÇOS'!H224)</f>
        <v/>
      </c>
      <c r="AP222" s="223">
        <f>IF(AND('CONTROLE EJ'!I224="",'CONTROLE CMM'!I224=""),"",N('CONTROLE EJ'!I224)+N('CONTROLE CMM'!I224))</f>
        <v/>
      </c>
      <c r="AQ222" s="223">
        <f>IF(AND('CONTROLE EJ'!J224="",'CONTROLE CMM'!#REF!=""),"",N('CONTROLE EJ'!J224)+N('CONTROLE CMM'!#REF!))</f>
        <v/>
      </c>
      <c r="AR222" s="223">
        <f>IF('CONTROLE GLOBO AÇOS'!I224="","",'CONTROLE GLOBO AÇOS'!I224)</f>
        <v/>
      </c>
      <c r="AS222" s="223">
        <f>IF('CONTROLE GLOBO AÇOS'!J224="","",'CONTROLE GLOBO AÇOS'!J224)</f>
        <v/>
      </c>
      <c r="AT222" s="223">
        <f>IF(#REF!="","",#REF!)</f>
        <v/>
      </c>
      <c r="AU222" s="223">
        <f>IF('CONTROLE GLOBO AÇOS'!K224="","",'CONTROLE GLOBO AÇOS'!K224)</f>
        <v/>
      </c>
      <c r="AV222" s="223">
        <f>IF(AND('CONTROLE EJ'!K224="",'CONTROLE CMM'!#REF!=""),"",N('CONTROLE EJ'!K224)+N('CONTROLE CMM'!#REF!))</f>
        <v/>
      </c>
      <c r="AW222" s="223">
        <f>IF('CONTROLE GLOBO AÇOS'!L224="","",'CONTROLE GLOBO AÇOS'!L224)</f>
        <v/>
      </c>
      <c r="AX222" s="223">
        <f>IF(AND('CONTROLE EJ'!L224="",'CONTROLE CMM'!#REF!=""),"",N('CONTROLE EJ'!L224)+N('CONTROLE CMM'!#REF!))</f>
        <v/>
      </c>
      <c r="AY222" s="223">
        <f>IF('CONTROLE GLOBO AÇOS'!M224="","",'CONTROLE GLOBO AÇOS'!M224)</f>
        <v/>
      </c>
      <c r="AZ222" s="223">
        <f>IF('CONTROLE GLOBO AÇOS'!N224="","",'CONTROLE GLOBO AÇOS'!N224)</f>
        <v/>
      </c>
      <c r="BA222" s="223">
        <f>IF(AND('CONTROLE EJ'!M224="",'CONTROLE CMM'!#REF!=""),"",N('CONTROLE EJ'!M224)+N('CONTROLE CMM'!#REF!))</f>
        <v/>
      </c>
      <c r="BB222" s="223">
        <f>IF(#REF!="","",#REF!)</f>
        <v/>
      </c>
      <c r="BC222" s="223">
        <f>IF('CONTROLE GLOBO AÇOS'!O224="","",'CONTROLE GLOBO AÇOS'!O224)</f>
        <v/>
      </c>
      <c r="BD222" s="223">
        <f>IF(AND('CONTROLE EJ'!N224="",'CONTROLE CMM'!#REF!=""),"",N('CONTROLE EJ'!N224)+N('CONTROLE CMM'!#REF!))</f>
        <v/>
      </c>
      <c r="BE222" s="223">
        <f>IF('CONTROLE GLOBO AÇOS'!P224="","",'CONTROLE GLOBO AÇOS'!P224)</f>
        <v/>
      </c>
      <c r="BF222" s="223">
        <f>IF('CONTROLE GLOBO AÇOS'!Q224="","",'CONTROLE GLOBO AÇOS'!Q224)</f>
        <v/>
      </c>
      <c r="BG222" s="223">
        <f>IF('CONTROLE GLOBO AÇOS'!R224="","",'CONTROLE GLOBO AÇOS'!R224)</f>
        <v/>
      </c>
      <c r="BH222" s="223">
        <f>IF(AND('CONTROLE EJ'!O224="",'CONTROLE CMM'!#REF!=""),"",N('CONTROLE EJ'!O224)+N('CONTROLE CMM'!#REF!))</f>
        <v/>
      </c>
      <c r="BI222" s="223">
        <f>IF('CONTROLE GLOBO AÇOS'!S224="","",'CONTROLE GLOBO AÇOS'!S224)</f>
        <v/>
      </c>
      <c r="BJ222" s="223">
        <f>IF('CONTROLE GLOBO AÇOS'!T224="","",'CONTROLE GLOBO AÇOS'!T224)</f>
        <v/>
      </c>
      <c r="BK222" s="223">
        <f>IF('CONTROLE GLOBO AÇOS'!U224="","",'CONTROLE GLOBO AÇOS'!U224)</f>
        <v/>
      </c>
      <c r="BL222" s="223">
        <f>IF(AND('CONTROLE EJ'!P224="",'CONTROLE CMM'!#REF!=""),"",N('CONTROLE EJ'!P224)+N('CONTROLE CMM'!#REF!))</f>
        <v/>
      </c>
      <c r="BM222" s="223">
        <f>IF(AND('CONTROLE EJ'!Q224="",'CONTROLE CMM'!#REF!=""),"",N('CONTROLE EJ'!Q224)+N('CONTROLE CMM'!#REF!))</f>
        <v/>
      </c>
      <c r="BN222" s="223">
        <f>IF('CONTROLE GLOBO AÇOS'!V224="","",'CONTROLE GLOBO AÇOS'!V224)</f>
        <v/>
      </c>
      <c r="BO222" s="223">
        <f>IF('CONTROLE GLOBO AÇOS'!W224="","",'CONTROLE GLOBO AÇOS'!W224)</f>
        <v/>
      </c>
      <c r="BP222" s="223">
        <f>IF(AND('CONTROLE EJ'!R224="",'CONTROLE CMM'!#REF!=""),"",N('CONTROLE EJ'!R224)+N('CONTROLE CMM'!#REF!))</f>
        <v/>
      </c>
      <c r="BQ222" s="223">
        <f>IF(#REF!="","",#REF!)</f>
        <v/>
      </c>
      <c r="BR222" s="223">
        <f>IF(AND('CONTROLE EJ'!S224="",'CONTROLE CMM'!#REF!=""),"",N('CONTROLE EJ'!S224)+N('CONTROLE CMM'!#REF!))</f>
        <v/>
      </c>
      <c r="BS222" s="223">
        <f>IF(AND('CONTROLE EJ'!T224="",'CONTROLE CMM'!#REF!=""),"",N('CONTROLE EJ'!T224)+N('CONTROLE CMM'!#REF!))</f>
        <v/>
      </c>
      <c r="BT222" s="223">
        <f>IF('CONTROLE GLOBO AÇOS'!X224="","",'CONTROLE GLOBO AÇOS'!X224)</f>
        <v/>
      </c>
      <c r="BU222" s="223">
        <f>IF('CONTROLE GLOBO AÇOS'!Y224="","",'CONTROLE GLOBO AÇOS'!Y224)</f>
        <v/>
      </c>
      <c r="BV222" s="223">
        <f>IF(AND('CONTROLE EJ'!U224="",'CONTROLE CMM'!#REF!=""),"",N('CONTROLE EJ'!U224)+N('CONTROLE CMM'!#REF!))</f>
        <v/>
      </c>
      <c r="BW222" s="223">
        <f>IF(#REF!="","",#REF!)</f>
        <v/>
      </c>
    </row>
    <row r="223">
      <c r="A223" s="282" t="n">
        <v>46440</v>
      </c>
      <c r="B223" s="18">
        <f>IF('CONTROLE EJ'!B225="","",'CONTROLE EJ'!B225)</f>
        <v/>
      </c>
      <c r="C223" s="18">
        <f>IF('CONTROLE EJ'!C225="","",'CONTROLE EJ'!C225)</f>
        <v/>
      </c>
      <c r="D223" s="42">
        <f>IF('CONTROLE EJ'!D225="","",'CONTROLE EJ'!D225)</f>
        <v/>
      </c>
      <c r="E223" s="43">
        <f>IF('CONTROLE CMM'!B225="","",'CONTROLE CMM'!B225)</f>
        <v/>
      </c>
      <c r="F223" s="18">
        <f>IF('CONTROLE CMM'!C225="","",'CONTROLE CMM'!C225)</f>
        <v/>
      </c>
      <c r="G223" s="26">
        <f>IF('CONTROLE CMM'!D225="","",'CONTROLE CMM'!D225)</f>
        <v/>
      </c>
      <c r="H223" s="43">
        <f>IF('CONTROLE GLOBO AÇOS'!B225="","",'CONTROLE GLOBO AÇOS'!B225)</f>
        <v/>
      </c>
      <c r="I223" s="18">
        <f>IF('CONTROLE GLOBO AÇOS'!C225="","",'CONTROLE GLOBO AÇOS'!C225)</f>
        <v/>
      </c>
      <c r="J223" s="18">
        <f>IF('CONTROLE GLOBO AÇOS'!D225="","",'CONTROLE GLOBO AÇOS'!D225)</f>
        <v/>
      </c>
      <c r="AD223" s="39">
        <f>IF($A223="",0,IF(AND(WEEKDAY($A223,2)&lt;=5,OR($B223&lt;&gt;"",$C223&lt;&gt;"",$D223&lt;&gt;"")),1,0))</f>
        <v/>
      </c>
      <c r="AE223" s="39">
        <f>IF($A223="",0,IF(AND(WEEKDAY($A223,2)&lt;=5,OR($E223&lt;&gt;"",$F223&lt;&gt;"",$G223&lt;&gt;"")),1,0))</f>
        <v/>
      </c>
      <c r="AF223" s="39">
        <f>MAX(AD223,AE223)</f>
        <v/>
      </c>
      <c r="AH223" s="223">
        <f>IF('CONTROLE GLOBO AÇOS'!E225="","",'CONTROLE GLOBO AÇOS'!E225)</f>
        <v/>
      </c>
      <c r="AI223" s="223">
        <f>IF('CONTROLE GLOBO AÇOS'!F225="","",'CONTROLE GLOBO AÇOS'!F225)</f>
        <v/>
      </c>
      <c r="AJ223" s="223">
        <f>IF(AND('CONTROLE EJ'!E225="",'CONTROLE CMM'!E225=""),"",N('CONTROLE EJ'!E225)+N('CONTROLE CMM'!E225))</f>
        <v/>
      </c>
      <c r="AK223" s="223">
        <f>IF(AND('CONTROLE EJ'!F225="",'CONTROLE CMM'!F225=""),"",N('CONTROLE EJ'!F225)+N('CONTROLE CMM'!F225))</f>
        <v/>
      </c>
      <c r="AL223" s="223">
        <f>IF(AND('CONTROLE EJ'!G225="",'CONTROLE CMM'!G225=""),"",N('CONTROLE EJ'!G225)+N('CONTROLE CMM'!G225))</f>
        <v/>
      </c>
      <c r="AM223" s="223">
        <f>IF(AND('CONTROLE EJ'!H225="",'CONTROLE CMM'!H225=""),"",N('CONTROLE EJ'!H225)+N('CONTROLE CMM'!H225))</f>
        <v/>
      </c>
      <c r="AN223" s="223">
        <f>IF('CONTROLE GLOBO AÇOS'!G225="","",'CONTROLE GLOBO AÇOS'!G225)</f>
        <v/>
      </c>
      <c r="AO223" s="223">
        <f>IF('CONTROLE GLOBO AÇOS'!H225="","",'CONTROLE GLOBO AÇOS'!H225)</f>
        <v/>
      </c>
      <c r="AP223" s="223">
        <f>IF(AND('CONTROLE EJ'!I225="",'CONTROLE CMM'!I225=""),"",N('CONTROLE EJ'!I225)+N('CONTROLE CMM'!I225))</f>
        <v/>
      </c>
      <c r="AQ223" s="223">
        <f>IF(AND('CONTROLE EJ'!J225="",'CONTROLE CMM'!#REF!=""),"",N('CONTROLE EJ'!J225)+N('CONTROLE CMM'!#REF!))</f>
        <v/>
      </c>
      <c r="AR223" s="223">
        <f>IF('CONTROLE GLOBO AÇOS'!I225="","",'CONTROLE GLOBO AÇOS'!I225)</f>
        <v/>
      </c>
      <c r="AS223" s="223">
        <f>IF('CONTROLE GLOBO AÇOS'!J225="","",'CONTROLE GLOBO AÇOS'!J225)</f>
        <v/>
      </c>
      <c r="AT223" s="223">
        <f>IF(#REF!="","",#REF!)</f>
        <v/>
      </c>
      <c r="AU223" s="223">
        <f>IF('CONTROLE GLOBO AÇOS'!K225="","",'CONTROLE GLOBO AÇOS'!K225)</f>
        <v/>
      </c>
      <c r="AV223" s="223">
        <f>IF(AND('CONTROLE EJ'!K225="",'CONTROLE CMM'!#REF!=""),"",N('CONTROLE EJ'!K225)+N('CONTROLE CMM'!#REF!))</f>
        <v/>
      </c>
      <c r="AW223" s="223">
        <f>IF('CONTROLE GLOBO AÇOS'!L225="","",'CONTROLE GLOBO AÇOS'!L225)</f>
        <v/>
      </c>
      <c r="AX223" s="223">
        <f>IF(AND('CONTROLE EJ'!L225="",'CONTROLE CMM'!#REF!=""),"",N('CONTROLE EJ'!L225)+N('CONTROLE CMM'!#REF!))</f>
        <v/>
      </c>
      <c r="AY223" s="223">
        <f>IF('CONTROLE GLOBO AÇOS'!M225="","",'CONTROLE GLOBO AÇOS'!M225)</f>
        <v/>
      </c>
      <c r="AZ223" s="223">
        <f>IF('CONTROLE GLOBO AÇOS'!N225="","",'CONTROLE GLOBO AÇOS'!N225)</f>
        <v/>
      </c>
      <c r="BA223" s="223">
        <f>IF(AND('CONTROLE EJ'!M225="",'CONTROLE CMM'!#REF!=""),"",N('CONTROLE EJ'!M225)+N('CONTROLE CMM'!#REF!))</f>
        <v/>
      </c>
      <c r="BB223" s="223">
        <f>IF(#REF!="","",#REF!)</f>
        <v/>
      </c>
      <c r="BC223" s="223">
        <f>IF('CONTROLE GLOBO AÇOS'!O225="","",'CONTROLE GLOBO AÇOS'!O225)</f>
        <v/>
      </c>
      <c r="BD223" s="223">
        <f>IF(AND('CONTROLE EJ'!N225="",'CONTROLE CMM'!#REF!=""),"",N('CONTROLE EJ'!N225)+N('CONTROLE CMM'!#REF!))</f>
        <v/>
      </c>
      <c r="BE223" s="223">
        <f>IF('CONTROLE GLOBO AÇOS'!P225="","",'CONTROLE GLOBO AÇOS'!P225)</f>
        <v/>
      </c>
      <c r="BF223" s="223">
        <f>IF('CONTROLE GLOBO AÇOS'!Q225="","",'CONTROLE GLOBO AÇOS'!Q225)</f>
        <v/>
      </c>
      <c r="BG223" s="223">
        <f>IF('CONTROLE GLOBO AÇOS'!R225="","",'CONTROLE GLOBO AÇOS'!R225)</f>
        <v/>
      </c>
      <c r="BH223" s="223">
        <f>IF(AND('CONTROLE EJ'!O225="",'CONTROLE CMM'!#REF!=""),"",N('CONTROLE EJ'!O225)+N('CONTROLE CMM'!#REF!))</f>
        <v/>
      </c>
      <c r="BI223" s="223">
        <f>IF('CONTROLE GLOBO AÇOS'!S225="","",'CONTROLE GLOBO AÇOS'!S225)</f>
        <v/>
      </c>
      <c r="BJ223" s="223">
        <f>IF('CONTROLE GLOBO AÇOS'!T225="","",'CONTROLE GLOBO AÇOS'!T225)</f>
        <v/>
      </c>
      <c r="BK223" s="223">
        <f>IF('CONTROLE GLOBO AÇOS'!U225="","",'CONTROLE GLOBO AÇOS'!U225)</f>
        <v/>
      </c>
      <c r="BL223" s="223">
        <f>IF(AND('CONTROLE EJ'!P225="",'CONTROLE CMM'!#REF!=""),"",N('CONTROLE EJ'!P225)+N('CONTROLE CMM'!#REF!))</f>
        <v/>
      </c>
      <c r="BM223" s="223">
        <f>IF(AND('CONTROLE EJ'!Q225="",'CONTROLE CMM'!#REF!=""),"",N('CONTROLE EJ'!Q225)+N('CONTROLE CMM'!#REF!))</f>
        <v/>
      </c>
      <c r="BN223" s="223">
        <f>IF('CONTROLE GLOBO AÇOS'!V225="","",'CONTROLE GLOBO AÇOS'!V225)</f>
        <v/>
      </c>
      <c r="BO223" s="223">
        <f>IF('CONTROLE GLOBO AÇOS'!W225="","",'CONTROLE GLOBO AÇOS'!W225)</f>
        <v/>
      </c>
      <c r="BP223" s="223">
        <f>IF(AND('CONTROLE EJ'!R225="",'CONTROLE CMM'!#REF!=""),"",N('CONTROLE EJ'!R225)+N('CONTROLE CMM'!#REF!))</f>
        <v/>
      </c>
      <c r="BQ223" s="223">
        <f>IF(#REF!="","",#REF!)</f>
        <v/>
      </c>
      <c r="BR223" s="223">
        <f>IF(AND('CONTROLE EJ'!S225="",'CONTROLE CMM'!#REF!=""),"",N('CONTROLE EJ'!S225)+N('CONTROLE CMM'!#REF!))</f>
        <v/>
      </c>
      <c r="BS223" s="223">
        <f>IF(AND('CONTROLE EJ'!T225="",'CONTROLE CMM'!#REF!=""),"",N('CONTROLE EJ'!T225)+N('CONTROLE CMM'!#REF!))</f>
        <v/>
      </c>
      <c r="BT223" s="223">
        <f>IF('CONTROLE GLOBO AÇOS'!X225="","",'CONTROLE GLOBO AÇOS'!X225)</f>
        <v/>
      </c>
      <c r="BU223" s="223">
        <f>IF('CONTROLE GLOBO AÇOS'!Y225="","",'CONTROLE GLOBO AÇOS'!Y225)</f>
        <v/>
      </c>
      <c r="BV223" s="223">
        <f>IF(AND('CONTROLE EJ'!U225="",'CONTROLE CMM'!#REF!=""),"",N('CONTROLE EJ'!U225)+N('CONTROLE CMM'!#REF!))</f>
        <v/>
      </c>
      <c r="BW223" s="223">
        <f>IF(#REF!="","",#REF!)</f>
        <v/>
      </c>
    </row>
    <row r="224">
      <c r="A224" s="282" t="n">
        <v>46441</v>
      </c>
      <c r="B224" s="18">
        <f>IF('CONTROLE EJ'!B226="","",'CONTROLE EJ'!B226)</f>
        <v/>
      </c>
      <c r="C224" s="18">
        <f>IF('CONTROLE EJ'!C226="","",'CONTROLE EJ'!C226)</f>
        <v/>
      </c>
      <c r="D224" s="42">
        <f>IF('CONTROLE EJ'!D226="","",'CONTROLE EJ'!D226)</f>
        <v/>
      </c>
      <c r="E224" s="43">
        <f>IF('CONTROLE CMM'!B226="","",'CONTROLE CMM'!B226)</f>
        <v/>
      </c>
      <c r="F224" s="18">
        <f>IF('CONTROLE CMM'!C226="","",'CONTROLE CMM'!C226)</f>
        <v/>
      </c>
      <c r="G224" s="26">
        <f>IF('CONTROLE CMM'!D226="","",'CONTROLE CMM'!D226)</f>
        <v/>
      </c>
      <c r="H224" s="43">
        <f>IF('CONTROLE GLOBO AÇOS'!B226="","",'CONTROLE GLOBO AÇOS'!B226)</f>
        <v/>
      </c>
      <c r="I224" s="18">
        <f>IF('CONTROLE GLOBO AÇOS'!C226="","",'CONTROLE GLOBO AÇOS'!C226)</f>
        <v/>
      </c>
      <c r="J224" s="18">
        <f>IF('CONTROLE GLOBO AÇOS'!D226="","",'CONTROLE GLOBO AÇOS'!D226)</f>
        <v/>
      </c>
      <c r="AD224" s="39">
        <f>IF($A224="",0,IF(AND(WEEKDAY($A224,2)&lt;=5,OR($B224&lt;&gt;"",$C224&lt;&gt;"",$D224&lt;&gt;"")),1,0))</f>
        <v/>
      </c>
      <c r="AE224" s="39">
        <f>IF($A224="",0,IF(AND(WEEKDAY($A224,2)&lt;=5,OR($E224&lt;&gt;"",$F224&lt;&gt;"",$G224&lt;&gt;"")),1,0))</f>
        <v/>
      </c>
      <c r="AF224" s="39">
        <f>MAX(AD224,AE224)</f>
        <v/>
      </c>
      <c r="AH224" s="223">
        <f>IF('CONTROLE GLOBO AÇOS'!E226="","",'CONTROLE GLOBO AÇOS'!E226)</f>
        <v/>
      </c>
      <c r="AI224" s="223">
        <f>IF('CONTROLE GLOBO AÇOS'!F226="","",'CONTROLE GLOBO AÇOS'!F226)</f>
        <v/>
      </c>
      <c r="AJ224" s="223">
        <f>IF(AND('CONTROLE EJ'!E226="",'CONTROLE CMM'!E226=""),"",N('CONTROLE EJ'!E226)+N('CONTROLE CMM'!E226))</f>
        <v/>
      </c>
      <c r="AK224" s="223">
        <f>IF(AND('CONTROLE EJ'!F226="",'CONTROLE CMM'!F226=""),"",N('CONTROLE EJ'!F226)+N('CONTROLE CMM'!F226))</f>
        <v/>
      </c>
      <c r="AL224" s="223">
        <f>IF(AND('CONTROLE EJ'!G226="",'CONTROLE CMM'!G226=""),"",N('CONTROLE EJ'!G226)+N('CONTROLE CMM'!G226))</f>
        <v/>
      </c>
      <c r="AM224" s="223">
        <f>IF(AND('CONTROLE EJ'!H226="",'CONTROLE CMM'!H226=""),"",N('CONTROLE EJ'!H226)+N('CONTROLE CMM'!H226))</f>
        <v/>
      </c>
      <c r="AN224" s="223">
        <f>IF('CONTROLE GLOBO AÇOS'!G226="","",'CONTROLE GLOBO AÇOS'!G226)</f>
        <v/>
      </c>
      <c r="AO224" s="223">
        <f>IF('CONTROLE GLOBO AÇOS'!H226="","",'CONTROLE GLOBO AÇOS'!H226)</f>
        <v/>
      </c>
      <c r="AP224" s="223">
        <f>IF(AND('CONTROLE EJ'!I226="",'CONTROLE CMM'!I226=""),"",N('CONTROLE EJ'!I226)+N('CONTROLE CMM'!I226))</f>
        <v/>
      </c>
      <c r="AQ224" s="223">
        <f>IF(AND('CONTROLE EJ'!J226="",'CONTROLE CMM'!#REF!=""),"",N('CONTROLE EJ'!J226)+N('CONTROLE CMM'!#REF!))</f>
        <v/>
      </c>
      <c r="AR224" s="223">
        <f>IF('CONTROLE GLOBO AÇOS'!I226="","",'CONTROLE GLOBO AÇOS'!I226)</f>
        <v/>
      </c>
      <c r="AS224" s="223">
        <f>IF('CONTROLE GLOBO AÇOS'!J226="","",'CONTROLE GLOBO AÇOS'!J226)</f>
        <v/>
      </c>
      <c r="AT224" s="223">
        <f>IF(#REF!="","",#REF!)</f>
        <v/>
      </c>
      <c r="AU224" s="223">
        <f>IF('CONTROLE GLOBO AÇOS'!K226="","",'CONTROLE GLOBO AÇOS'!K226)</f>
        <v/>
      </c>
      <c r="AV224" s="223">
        <f>IF(AND('CONTROLE EJ'!K226="",'CONTROLE CMM'!#REF!=""),"",N('CONTROLE EJ'!K226)+N('CONTROLE CMM'!#REF!))</f>
        <v/>
      </c>
      <c r="AW224" s="223">
        <f>IF('CONTROLE GLOBO AÇOS'!L226="","",'CONTROLE GLOBO AÇOS'!L226)</f>
        <v/>
      </c>
      <c r="AX224" s="223">
        <f>IF(AND('CONTROLE EJ'!L226="",'CONTROLE CMM'!#REF!=""),"",N('CONTROLE EJ'!L226)+N('CONTROLE CMM'!#REF!))</f>
        <v/>
      </c>
      <c r="AY224" s="223">
        <f>IF('CONTROLE GLOBO AÇOS'!M226="","",'CONTROLE GLOBO AÇOS'!M226)</f>
        <v/>
      </c>
      <c r="AZ224" s="223">
        <f>IF('CONTROLE GLOBO AÇOS'!N226="","",'CONTROLE GLOBO AÇOS'!N226)</f>
        <v/>
      </c>
      <c r="BA224" s="223">
        <f>IF(AND('CONTROLE EJ'!M226="",'CONTROLE CMM'!#REF!=""),"",N('CONTROLE EJ'!M226)+N('CONTROLE CMM'!#REF!))</f>
        <v/>
      </c>
      <c r="BB224" s="223">
        <f>IF(#REF!="","",#REF!)</f>
        <v/>
      </c>
      <c r="BC224" s="223">
        <f>IF('CONTROLE GLOBO AÇOS'!O226="","",'CONTROLE GLOBO AÇOS'!O226)</f>
        <v/>
      </c>
      <c r="BD224" s="223">
        <f>IF(AND('CONTROLE EJ'!N226="",'CONTROLE CMM'!#REF!=""),"",N('CONTROLE EJ'!N226)+N('CONTROLE CMM'!#REF!))</f>
        <v/>
      </c>
      <c r="BE224" s="223">
        <f>IF('CONTROLE GLOBO AÇOS'!P226="","",'CONTROLE GLOBO AÇOS'!P226)</f>
        <v/>
      </c>
      <c r="BF224" s="223">
        <f>IF('CONTROLE GLOBO AÇOS'!Q226="","",'CONTROLE GLOBO AÇOS'!Q226)</f>
        <v/>
      </c>
      <c r="BG224" s="223">
        <f>IF('CONTROLE GLOBO AÇOS'!R226="","",'CONTROLE GLOBO AÇOS'!R226)</f>
        <v/>
      </c>
      <c r="BH224" s="223">
        <f>IF(AND('CONTROLE EJ'!O226="",'CONTROLE CMM'!#REF!=""),"",N('CONTROLE EJ'!O226)+N('CONTROLE CMM'!#REF!))</f>
        <v/>
      </c>
      <c r="BI224" s="223">
        <f>IF('CONTROLE GLOBO AÇOS'!S226="","",'CONTROLE GLOBO AÇOS'!S226)</f>
        <v/>
      </c>
      <c r="BJ224" s="223">
        <f>IF('CONTROLE GLOBO AÇOS'!T226="","",'CONTROLE GLOBO AÇOS'!T226)</f>
        <v/>
      </c>
      <c r="BK224" s="223">
        <f>IF('CONTROLE GLOBO AÇOS'!U226="","",'CONTROLE GLOBO AÇOS'!U226)</f>
        <v/>
      </c>
      <c r="BL224" s="223">
        <f>IF(AND('CONTROLE EJ'!P226="",'CONTROLE CMM'!#REF!=""),"",N('CONTROLE EJ'!P226)+N('CONTROLE CMM'!#REF!))</f>
        <v/>
      </c>
      <c r="BM224" s="223">
        <f>IF(AND('CONTROLE EJ'!Q226="",'CONTROLE CMM'!#REF!=""),"",N('CONTROLE EJ'!Q226)+N('CONTROLE CMM'!#REF!))</f>
        <v/>
      </c>
      <c r="BN224" s="223">
        <f>IF('CONTROLE GLOBO AÇOS'!V226="","",'CONTROLE GLOBO AÇOS'!V226)</f>
        <v/>
      </c>
      <c r="BO224" s="223">
        <f>IF('CONTROLE GLOBO AÇOS'!W226="","",'CONTROLE GLOBO AÇOS'!W226)</f>
        <v/>
      </c>
      <c r="BP224" s="223">
        <f>IF(AND('CONTROLE EJ'!R226="",'CONTROLE CMM'!#REF!=""),"",N('CONTROLE EJ'!R226)+N('CONTROLE CMM'!#REF!))</f>
        <v/>
      </c>
      <c r="BQ224" s="223">
        <f>IF(#REF!="","",#REF!)</f>
        <v/>
      </c>
      <c r="BR224" s="223">
        <f>IF(AND('CONTROLE EJ'!S226="",'CONTROLE CMM'!#REF!=""),"",N('CONTROLE EJ'!S226)+N('CONTROLE CMM'!#REF!))</f>
        <v/>
      </c>
      <c r="BS224" s="223">
        <f>IF(AND('CONTROLE EJ'!T226="",'CONTROLE CMM'!#REF!=""),"",N('CONTROLE EJ'!T226)+N('CONTROLE CMM'!#REF!))</f>
        <v/>
      </c>
      <c r="BT224" s="223">
        <f>IF('CONTROLE GLOBO AÇOS'!X226="","",'CONTROLE GLOBO AÇOS'!X226)</f>
        <v/>
      </c>
      <c r="BU224" s="223">
        <f>IF('CONTROLE GLOBO AÇOS'!Y226="","",'CONTROLE GLOBO AÇOS'!Y226)</f>
        <v/>
      </c>
      <c r="BV224" s="223">
        <f>IF(AND('CONTROLE EJ'!U226="",'CONTROLE CMM'!#REF!=""),"",N('CONTROLE EJ'!U226)+N('CONTROLE CMM'!#REF!))</f>
        <v/>
      </c>
      <c r="BW224" s="223">
        <f>IF(#REF!="","",#REF!)</f>
        <v/>
      </c>
    </row>
    <row r="225">
      <c r="A225" s="282" t="n">
        <v>46442</v>
      </c>
      <c r="B225" s="18">
        <f>IF('CONTROLE EJ'!B227="","",'CONTROLE EJ'!B227)</f>
        <v/>
      </c>
      <c r="C225" s="18">
        <f>IF('CONTROLE EJ'!C227="","",'CONTROLE EJ'!C227)</f>
        <v/>
      </c>
      <c r="D225" s="42">
        <f>IF('CONTROLE EJ'!D227="","",'CONTROLE EJ'!D227)</f>
        <v/>
      </c>
      <c r="E225" s="43">
        <f>IF('CONTROLE CMM'!B227="","",'CONTROLE CMM'!B227)</f>
        <v/>
      </c>
      <c r="F225" s="18">
        <f>IF('CONTROLE CMM'!C227="","",'CONTROLE CMM'!C227)</f>
        <v/>
      </c>
      <c r="G225" s="26">
        <f>IF('CONTROLE CMM'!D227="","",'CONTROLE CMM'!D227)</f>
        <v/>
      </c>
      <c r="H225" s="43">
        <f>IF('CONTROLE GLOBO AÇOS'!B227="","",'CONTROLE GLOBO AÇOS'!B227)</f>
        <v/>
      </c>
      <c r="I225" s="18">
        <f>IF('CONTROLE GLOBO AÇOS'!C227="","",'CONTROLE GLOBO AÇOS'!C227)</f>
        <v/>
      </c>
      <c r="J225" s="18">
        <f>IF('CONTROLE GLOBO AÇOS'!D227="","",'CONTROLE GLOBO AÇOS'!D227)</f>
        <v/>
      </c>
      <c r="AD225" s="39">
        <f>IF($A225="",0,IF(AND(WEEKDAY($A225,2)&lt;=5,OR($B225&lt;&gt;"",$C225&lt;&gt;"",$D225&lt;&gt;"")),1,0))</f>
        <v/>
      </c>
      <c r="AE225" s="39">
        <f>IF($A225="",0,IF(AND(WEEKDAY($A225,2)&lt;=5,OR($E225&lt;&gt;"",$F225&lt;&gt;"",$G225&lt;&gt;"")),1,0))</f>
        <v/>
      </c>
      <c r="AF225" s="39">
        <f>MAX(AD225,AE225)</f>
        <v/>
      </c>
      <c r="AH225" s="223">
        <f>IF('CONTROLE GLOBO AÇOS'!E227="","",'CONTROLE GLOBO AÇOS'!E227)</f>
        <v/>
      </c>
      <c r="AI225" s="223">
        <f>IF('CONTROLE GLOBO AÇOS'!F227="","",'CONTROLE GLOBO AÇOS'!F227)</f>
        <v/>
      </c>
      <c r="AJ225" s="223">
        <f>IF(AND('CONTROLE EJ'!E227="",'CONTROLE CMM'!E227=""),"",N('CONTROLE EJ'!E227)+N('CONTROLE CMM'!E227))</f>
        <v/>
      </c>
      <c r="AK225" s="223">
        <f>IF(AND('CONTROLE EJ'!F227="",'CONTROLE CMM'!F227=""),"",N('CONTROLE EJ'!F227)+N('CONTROLE CMM'!F227))</f>
        <v/>
      </c>
      <c r="AL225" s="223">
        <f>IF(AND('CONTROLE EJ'!G227="",'CONTROLE CMM'!G227=""),"",N('CONTROLE EJ'!G227)+N('CONTROLE CMM'!G227))</f>
        <v/>
      </c>
      <c r="AM225" s="223">
        <f>IF(AND('CONTROLE EJ'!H227="",'CONTROLE CMM'!H227=""),"",N('CONTROLE EJ'!H227)+N('CONTROLE CMM'!H227))</f>
        <v/>
      </c>
      <c r="AN225" s="223">
        <f>IF('CONTROLE GLOBO AÇOS'!G227="","",'CONTROLE GLOBO AÇOS'!G227)</f>
        <v/>
      </c>
      <c r="AO225" s="223">
        <f>IF('CONTROLE GLOBO AÇOS'!H227="","",'CONTROLE GLOBO AÇOS'!H227)</f>
        <v/>
      </c>
      <c r="AP225" s="223">
        <f>IF(AND('CONTROLE EJ'!I227="",'CONTROLE CMM'!I227=""),"",N('CONTROLE EJ'!I227)+N('CONTROLE CMM'!I227))</f>
        <v/>
      </c>
      <c r="AQ225" s="223">
        <f>IF(AND('CONTROLE EJ'!J227="",'CONTROLE CMM'!#REF!=""),"",N('CONTROLE EJ'!J227)+N('CONTROLE CMM'!#REF!))</f>
        <v/>
      </c>
      <c r="AR225" s="223">
        <f>IF('CONTROLE GLOBO AÇOS'!I227="","",'CONTROLE GLOBO AÇOS'!I227)</f>
        <v/>
      </c>
      <c r="AS225" s="223">
        <f>IF('CONTROLE GLOBO AÇOS'!J227="","",'CONTROLE GLOBO AÇOS'!J227)</f>
        <v/>
      </c>
      <c r="AT225" s="223">
        <f>IF(#REF!="","",#REF!)</f>
        <v/>
      </c>
      <c r="AU225" s="223">
        <f>IF('CONTROLE GLOBO AÇOS'!K227="","",'CONTROLE GLOBO AÇOS'!K227)</f>
        <v/>
      </c>
      <c r="AV225" s="223">
        <f>IF(AND('CONTROLE EJ'!K227="",'CONTROLE CMM'!#REF!=""),"",N('CONTROLE EJ'!K227)+N('CONTROLE CMM'!#REF!))</f>
        <v/>
      </c>
      <c r="AW225" s="223">
        <f>IF('CONTROLE GLOBO AÇOS'!L227="","",'CONTROLE GLOBO AÇOS'!L227)</f>
        <v/>
      </c>
      <c r="AX225" s="223">
        <f>IF(AND('CONTROLE EJ'!L227="",'CONTROLE CMM'!#REF!=""),"",N('CONTROLE EJ'!L227)+N('CONTROLE CMM'!#REF!))</f>
        <v/>
      </c>
      <c r="AY225" s="223">
        <f>IF('CONTROLE GLOBO AÇOS'!M227="","",'CONTROLE GLOBO AÇOS'!M227)</f>
        <v/>
      </c>
      <c r="AZ225" s="223">
        <f>IF('CONTROLE GLOBO AÇOS'!N227="","",'CONTROLE GLOBO AÇOS'!N227)</f>
        <v/>
      </c>
      <c r="BA225" s="223">
        <f>IF(AND('CONTROLE EJ'!M227="",'CONTROLE CMM'!#REF!=""),"",N('CONTROLE EJ'!M227)+N('CONTROLE CMM'!#REF!))</f>
        <v/>
      </c>
      <c r="BB225" s="223">
        <f>IF(#REF!="","",#REF!)</f>
        <v/>
      </c>
      <c r="BC225" s="223">
        <f>IF('CONTROLE GLOBO AÇOS'!O227="","",'CONTROLE GLOBO AÇOS'!O227)</f>
        <v/>
      </c>
      <c r="BD225" s="223">
        <f>IF(AND('CONTROLE EJ'!N227="",'CONTROLE CMM'!#REF!=""),"",N('CONTROLE EJ'!N227)+N('CONTROLE CMM'!#REF!))</f>
        <v/>
      </c>
      <c r="BE225" s="223">
        <f>IF('CONTROLE GLOBO AÇOS'!P227="","",'CONTROLE GLOBO AÇOS'!P227)</f>
        <v/>
      </c>
      <c r="BF225" s="223">
        <f>IF('CONTROLE GLOBO AÇOS'!Q227="","",'CONTROLE GLOBO AÇOS'!Q227)</f>
        <v/>
      </c>
      <c r="BG225" s="223">
        <f>IF('CONTROLE GLOBO AÇOS'!R227="","",'CONTROLE GLOBO AÇOS'!R227)</f>
        <v/>
      </c>
      <c r="BH225" s="223">
        <f>IF(AND('CONTROLE EJ'!O227="",'CONTROLE CMM'!#REF!=""),"",N('CONTROLE EJ'!O227)+N('CONTROLE CMM'!#REF!))</f>
        <v/>
      </c>
      <c r="BI225" s="223">
        <f>IF('CONTROLE GLOBO AÇOS'!S227="","",'CONTROLE GLOBO AÇOS'!S227)</f>
        <v/>
      </c>
      <c r="BJ225" s="223">
        <f>IF('CONTROLE GLOBO AÇOS'!T227="","",'CONTROLE GLOBO AÇOS'!T227)</f>
        <v/>
      </c>
      <c r="BK225" s="223">
        <f>IF('CONTROLE GLOBO AÇOS'!U227="","",'CONTROLE GLOBO AÇOS'!U227)</f>
        <v/>
      </c>
      <c r="BL225" s="223">
        <f>IF(AND('CONTROLE EJ'!P227="",'CONTROLE CMM'!#REF!=""),"",N('CONTROLE EJ'!P227)+N('CONTROLE CMM'!#REF!))</f>
        <v/>
      </c>
      <c r="BM225" s="223">
        <f>IF(AND('CONTROLE EJ'!Q227="",'CONTROLE CMM'!#REF!=""),"",N('CONTROLE EJ'!Q227)+N('CONTROLE CMM'!#REF!))</f>
        <v/>
      </c>
      <c r="BN225" s="223">
        <f>IF('CONTROLE GLOBO AÇOS'!V227="","",'CONTROLE GLOBO AÇOS'!V227)</f>
        <v/>
      </c>
      <c r="BO225" s="223">
        <f>IF('CONTROLE GLOBO AÇOS'!W227="","",'CONTROLE GLOBO AÇOS'!W227)</f>
        <v/>
      </c>
      <c r="BP225" s="223">
        <f>IF(AND('CONTROLE EJ'!R227="",'CONTROLE CMM'!#REF!=""),"",N('CONTROLE EJ'!R227)+N('CONTROLE CMM'!#REF!))</f>
        <v/>
      </c>
      <c r="BQ225" s="223">
        <f>IF(#REF!="","",#REF!)</f>
        <v/>
      </c>
      <c r="BR225" s="223">
        <f>IF(AND('CONTROLE EJ'!S227="",'CONTROLE CMM'!#REF!=""),"",N('CONTROLE EJ'!S227)+N('CONTROLE CMM'!#REF!))</f>
        <v/>
      </c>
      <c r="BS225" s="223">
        <f>IF(AND('CONTROLE EJ'!T227="",'CONTROLE CMM'!#REF!=""),"",N('CONTROLE EJ'!T227)+N('CONTROLE CMM'!#REF!))</f>
        <v/>
      </c>
      <c r="BT225" s="223">
        <f>IF('CONTROLE GLOBO AÇOS'!X227="","",'CONTROLE GLOBO AÇOS'!X227)</f>
        <v/>
      </c>
      <c r="BU225" s="223">
        <f>IF('CONTROLE GLOBO AÇOS'!Y227="","",'CONTROLE GLOBO AÇOS'!Y227)</f>
        <v/>
      </c>
      <c r="BV225" s="223">
        <f>IF(AND('CONTROLE EJ'!U227="",'CONTROLE CMM'!#REF!=""),"",N('CONTROLE EJ'!U227)+N('CONTROLE CMM'!#REF!))</f>
        <v/>
      </c>
      <c r="BW225" s="223">
        <f>IF(#REF!="","",#REF!)</f>
        <v/>
      </c>
    </row>
    <row r="226">
      <c r="A226" s="282" t="n">
        <v>46443</v>
      </c>
      <c r="B226" s="18">
        <f>IF('CONTROLE EJ'!B228="","",'CONTROLE EJ'!B228)</f>
        <v/>
      </c>
      <c r="C226" s="18">
        <f>IF('CONTROLE EJ'!C228="","",'CONTROLE EJ'!C228)</f>
        <v/>
      </c>
      <c r="D226" s="42">
        <f>IF('CONTROLE EJ'!D228="","",'CONTROLE EJ'!D228)</f>
        <v/>
      </c>
      <c r="E226" s="43">
        <f>IF('CONTROLE CMM'!B228="","",'CONTROLE CMM'!B228)</f>
        <v/>
      </c>
      <c r="F226" s="18">
        <f>IF('CONTROLE CMM'!C228="","",'CONTROLE CMM'!C228)</f>
        <v/>
      </c>
      <c r="G226" s="26">
        <f>IF('CONTROLE CMM'!D228="","",'CONTROLE CMM'!D228)</f>
        <v/>
      </c>
      <c r="H226" s="43">
        <f>IF('CONTROLE GLOBO AÇOS'!B228="","",'CONTROLE GLOBO AÇOS'!B228)</f>
        <v/>
      </c>
      <c r="I226" s="18">
        <f>IF('CONTROLE GLOBO AÇOS'!C228="","",'CONTROLE GLOBO AÇOS'!C228)</f>
        <v/>
      </c>
      <c r="J226" s="18">
        <f>IF('CONTROLE GLOBO AÇOS'!D228="","",'CONTROLE GLOBO AÇOS'!D228)</f>
        <v/>
      </c>
      <c r="AD226" s="39">
        <f>IF($A226="",0,IF(AND(WEEKDAY($A226,2)&lt;=5,OR($B226&lt;&gt;"",$C226&lt;&gt;"",$D226&lt;&gt;"")),1,0))</f>
        <v/>
      </c>
      <c r="AE226" s="39">
        <f>IF($A226="",0,IF(AND(WEEKDAY($A226,2)&lt;=5,OR($E226&lt;&gt;"",$F226&lt;&gt;"",$G226&lt;&gt;"")),1,0))</f>
        <v/>
      </c>
      <c r="AF226" s="39">
        <f>MAX(AD226,AE226)</f>
        <v/>
      </c>
      <c r="AH226" s="223">
        <f>IF('CONTROLE GLOBO AÇOS'!E228="","",'CONTROLE GLOBO AÇOS'!E228)</f>
        <v/>
      </c>
      <c r="AI226" s="223">
        <f>IF('CONTROLE GLOBO AÇOS'!F228="","",'CONTROLE GLOBO AÇOS'!F228)</f>
        <v/>
      </c>
      <c r="AJ226" s="223">
        <f>IF(AND('CONTROLE EJ'!E228="",'CONTROLE CMM'!E228=""),"",N('CONTROLE EJ'!E228)+N('CONTROLE CMM'!E228))</f>
        <v/>
      </c>
      <c r="AK226" s="223">
        <f>IF(AND('CONTROLE EJ'!F228="",'CONTROLE CMM'!F228=""),"",N('CONTROLE EJ'!F228)+N('CONTROLE CMM'!F228))</f>
        <v/>
      </c>
      <c r="AL226" s="223">
        <f>IF(AND('CONTROLE EJ'!G228="",'CONTROLE CMM'!G228=""),"",N('CONTROLE EJ'!G228)+N('CONTROLE CMM'!G228))</f>
        <v/>
      </c>
      <c r="AM226" s="223">
        <f>IF(AND('CONTROLE EJ'!H228="",'CONTROLE CMM'!H228=""),"",N('CONTROLE EJ'!H228)+N('CONTROLE CMM'!H228))</f>
        <v/>
      </c>
      <c r="AN226" s="223">
        <f>IF('CONTROLE GLOBO AÇOS'!G228="","",'CONTROLE GLOBO AÇOS'!G228)</f>
        <v/>
      </c>
      <c r="AO226" s="223">
        <f>IF('CONTROLE GLOBO AÇOS'!H228="","",'CONTROLE GLOBO AÇOS'!H228)</f>
        <v/>
      </c>
      <c r="AP226" s="223">
        <f>IF(AND('CONTROLE EJ'!I228="",'CONTROLE CMM'!I228=""),"",N('CONTROLE EJ'!I228)+N('CONTROLE CMM'!I228))</f>
        <v/>
      </c>
      <c r="AQ226" s="223">
        <f>IF(AND('CONTROLE EJ'!J228="",'CONTROLE CMM'!#REF!=""),"",N('CONTROLE EJ'!J228)+N('CONTROLE CMM'!#REF!))</f>
        <v/>
      </c>
      <c r="AR226" s="223">
        <f>IF('CONTROLE GLOBO AÇOS'!I228="","",'CONTROLE GLOBO AÇOS'!I228)</f>
        <v/>
      </c>
      <c r="AS226" s="223">
        <f>IF('CONTROLE GLOBO AÇOS'!J228="","",'CONTROLE GLOBO AÇOS'!J228)</f>
        <v/>
      </c>
      <c r="AT226" s="223">
        <f>IF(#REF!="","",#REF!)</f>
        <v/>
      </c>
      <c r="AU226" s="223">
        <f>IF('CONTROLE GLOBO AÇOS'!K228="","",'CONTROLE GLOBO AÇOS'!K228)</f>
        <v/>
      </c>
      <c r="AV226" s="223">
        <f>IF(AND('CONTROLE EJ'!K228="",'CONTROLE CMM'!#REF!=""),"",N('CONTROLE EJ'!K228)+N('CONTROLE CMM'!#REF!))</f>
        <v/>
      </c>
      <c r="AW226" s="223">
        <f>IF('CONTROLE GLOBO AÇOS'!L228="","",'CONTROLE GLOBO AÇOS'!L228)</f>
        <v/>
      </c>
      <c r="AX226" s="223">
        <f>IF(AND('CONTROLE EJ'!L228="",'CONTROLE CMM'!#REF!=""),"",N('CONTROLE EJ'!L228)+N('CONTROLE CMM'!#REF!))</f>
        <v/>
      </c>
      <c r="AY226" s="223">
        <f>IF('CONTROLE GLOBO AÇOS'!M228="","",'CONTROLE GLOBO AÇOS'!M228)</f>
        <v/>
      </c>
      <c r="AZ226" s="223">
        <f>IF('CONTROLE GLOBO AÇOS'!N228="","",'CONTROLE GLOBO AÇOS'!N228)</f>
        <v/>
      </c>
      <c r="BA226" s="223">
        <f>IF(AND('CONTROLE EJ'!M228="",'CONTROLE CMM'!#REF!=""),"",N('CONTROLE EJ'!M228)+N('CONTROLE CMM'!#REF!))</f>
        <v/>
      </c>
      <c r="BB226" s="223">
        <f>IF(#REF!="","",#REF!)</f>
        <v/>
      </c>
      <c r="BC226" s="223">
        <f>IF('CONTROLE GLOBO AÇOS'!O228="","",'CONTROLE GLOBO AÇOS'!O228)</f>
        <v/>
      </c>
      <c r="BD226" s="223">
        <f>IF(AND('CONTROLE EJ'!N228="",'CONTROLE CMM'!#REF!=""),"",N('CONTROLE EJ'!N228)+N('CONTROLE CMM'!#REF!))</f>
        <v/>
      </c>
      <c r="BE226" s="223">
        <f>IF('CONTROLE GLOBO AÇOS'!P228="","",'CONTROLE GLOBO AÇOS'!P228)</f>
        <v/>
      </c>
      <c r="BF226" s="223">
        <f>IF('CONTROLE GLOBO AÇOS'!Q228="","",'CONTROLE GLOBO AÇOS'!Q228)</f>
        <v/>
      </c>
      <c r="BG226" s="223">
        <f>IF('CONTROLE GLOBO AÇOS'!R228="","",'CONTROLE GLOBO AÇOS'!R228)</f>
        <v/>
      </c>
      <c r="BH226" s="223">
        <f>IF(AND('CONTROLE EJ'!O228="",'CONTROLE CMM'!#REF!=""),"",N('CONTROLE EJ'!O228)+N('CONTROLE CMM'!#REF!))</f>
        <v/>
      </c>
      <c r="BI226" s="223">
        <f>IF('CONTROLE GLOBO AÇOS'!S228="","",'CONTROLE GLOBO AÇOS'!S228)</f>
        <v/>
      </c>
      <c r="BJ226" s="223">
        <f>IF('CONTROLE GLOBO AÇOS'!T228="","",'CONTROLE GLOBO AÇOS'!T228)</f>
        <v/>
      </c>
      <c r="BK226" s="223">
        <f>IF('CONTROLE GLOBO AÇOS'!U228="","",'CONTROLE GLOBO AÇOS'!U228)</f>
        <v/>
      </c>
      <c r="BL226" s="223">
        <f>IF(AND('CONTROLE EJ'!P228="",'CONTROLE CMM'!#REF!=""),"",N('CONTROLE EJ'!P228)+N('CONTROLE CMM'!#REF!))</f>
        <v/>
      </c>
      <c r="BM226" s="223">
        <f>IF(AND('CONTROLE EJ'!Q228="",'CONTROLE CMM'!#REF!=""),"",N('CONTROLE EJ'!Q228)+N('CONTROLE CMM'!#REF!))</f>
        <v/>
      </c>
      <c r="BN226" s="223">
        <f>IF('CONTROLE GLOBO AÇOS'!V228="","",'CONTROLE GLOBO AÇOS'!V228)</f>
        <v/>
      </c>
      <c r="BO226" s="223">
        <f>IF('CONTROLE GLOBO AÇOS'!W228="","",'CONTROLE GLOBO AÇOS'!W228)</f>
        <v/>
      </c>
      <c r="BP226" s="223">
        <f>IF(AND('CONTROLE EJ'!R228="",'CONTROLE CMM'!#REF!=""),"",N('CONTROLE EJ'!R228)+N('CONTROLE CMM'!#REF!))</f>
        <v/>
      </c>
      <c r="BQ226" s="223">
        <f>IF(#REF!="","",#REF!)</f>
        <v/>
      </c>
      <c r="BR226" s="223">
        <f>IF(AND('CONTROLE EJ'!S228="",'CONTROLE CMM'!#REF!=""),"",N('CONTROLE EJ'!S228)+N('CONTROLE CMM'!#REF!))</f>
        <v/>
      </c>
      <c r="BS226" s="223">
        <f>IF(AND('CONTROLE EJ'!T228="",'CONTROLE CMM'!#REF!=""),"",N('CONTROLE EJ'!T228)+N('CONTROLE CMM'!#REF!))</f>
        <v/>
      </c>
      <c r="BT226" s="223">
        <f>IF('CONTROLE GLOBO AÇOS'!X228="","",'CONTROLE GLOBO AÇOS'!X228)</f>
        <v/>
      </c>
      <c r="BU226" s="223">
        <f>IF('CONTROLE GLOBO AÇOS'!Y228="","",'CONTROLE GLOBO AÇOS'!Y228)</f>
        <v/>
      </c>
      <c r="BV226" s="223">
        <f>IF(AND('CONTROLE EJ'!U228="",'CONTROLE CMM'!#REF!=""),"",N('CONTROLE EJ'!U228)+N('CONTROLE CMM'!#REF!))</f>
        <v/>
      </c>
      <c r="BW226" s="223">
        <f>IF(#REF!="","",#REF!)</f>
        <v/>
      </c>
    </row>
    <row r="227">
      <c r="A227" s="282" t="n">
        <v>46444</v>
      </c>
      <c r="B227" s="18">
        <f>IF('CONTROLE EJ'!B229="","",'CONTROLE EJ'!B229)</f>
        <v/>
      </c>
      <c r="C227" s="18">
        <f>IF('CONTROLE EJ'!C229="","",'CONTROLE EJ'!C229)</f>
        <v/>
      </c>
      <c r="D227" s="42">
        <f>IF('CONTROLE EJ'!D229="","",'CONTROLE EJ'!D229)</f>
        <v/>
      </c>
      <c r="E227" s="43">
        <f>IF('CONTROLE CMM'!B229="","",'CONTROLE CMM'!B229)</f>
        <v/>
      </c>
      <c r="F227" s="18">
        <f>IF('CONTROLE CMM'!C229="","",'CONTROLE CMM'!C229)</f>
        <v/>
      </c>
      <c r="G227" s="26">
        <f>IF('CONTROLE CMM'!D229="","",'CONTROLE CMM'!D229)</f>
        <v/>
      </c>
      <c r="H227" s="43">
        <f>IF('CONTROLE GLOBO AÇOS'!B229="","",'CONTROLE GLOBO AÇOS'!B229)</f>
        <v/>
      </c>
      <c r="I227" s="18">
        <f>IF('CONTROLE GLOBO AÇOS'!C229="","",'CONTROLE GLOBO AÇOS'!C229)</f>
        <v/>
      </c>
      <c r="J227" s="18">
        <f>IF('CONTROLE GLOBO AÇOS'!D229="","",'CONTROLE GLOBO AÇOS'!D229)</f>
        <v/>
      </c>
      <c r="AD227" s="39">
        <f>IF($A227="",0,IF(AND(WEEKDAY($A227,2)&lt;=5,OR($B227&lt;&gt;"",$C227&lt;&gt;"",$D227&lt;&gt;"")),1,0))</f>
        <v/>
      </c>
      <c r="AE227" s="39">
        <f>IF($A227="",0,IF(AND(WEEKDAY($A227,2)&lt;=5,OR($E227&lt;&gt;"",$F227&lt;&gt;"",$G227&lt;&gt;"")),1,0))</f>
        <v/>
      </c>
      <c r="AF227" s="39">
        <f>MAX(AD227,AE227)</f>
        <v/>
      </c>
      <c r="AH227" s="223">
        <f>IF('CONTROLE GLOBO AÇOS'!E229="","",'CONTROLE GLOBO AÇOS'!E229)</f>
        <v/>
      </c>
      <c r="AI227" s="223">
        <f>IF('CONTROLE GLOBO AÇOS'!F229="","",'CONTROLE GLOBO AÇOS'!F229)</f>
        <v/>
      </c>
      <c r="AJ227" s="223">
        <f>IF(AND('CONTROLE EJ'!E229="",'CONTROLE CMM'!E229=""),"",N('CONTROLE EJ'!E229)+N('CONTROLE CMM'!E229))</f>
        <v/>
      </c>
      <c r="AK227" s="223">
        <f>IF(AND('CONTROLE EJ'!F229="",'CONTROLE CMM'!F229=""),"",N('CONTROLE EJ'!F229)+N('CONTROLE CMM'!F229))</f>
        <v/>
      </c>
      <c r="AL227" s="223">
        <f>IF(AND('CONTROLE EJ'!G229="",'CONTROLE CMM'!G229=""),"",N('CONTROLE EJ'!G229)+N('CONTROLE CMM'!G229))</f>
        <v/>
      </c>
      <c r="AM227" s="223">
        <f>IF(AND('CONTROLE EJ'!H229="",'CONTROLE CMM'!H229=""),"",N('CONTROLE EJ'!H229)+N('CONTROLE CMM'!H229))</f>
        <v/>
      </c>
      <c r="AN227" s="223">
        <f>IF('CONTROLE GLOBO AÇOS'!G229="","",'CONTROLE GLOBO AÇOS'!G229)</f>
        <v/>
      </c>
      <c r="AO227" s="223">
        <f>IF('CONTROLE GLOBO AÇOS'!H229="","",'CONTROLE GLOBO AÇOS'!H229)</f>
        <v/>
      </c>
      <c r="AP227" s="223">
        <f>IF(AND('CONTROLE EJ'!I229="",'CONTROLE CMM'!I229=""),"",N('CONTROLE EJ'!I229)+N('CONTROLE CMM'!I229))</f>
        <v/>
      </c>
      <c r="AQ227" s="223">
        <f>IF(AND('CONTROLE EJ'!J229="",'CONTROLE CMM'!#REF!=""),"",N('CONTROLE EJ'!J229)+N('CONTROLE CMM'!#REF!))</f>
        <v/>
      </c>
      <c r="AR227" s="223">
        <f>IF('CONTROLE GLOBO AÇOS'!I229="","",'CONTROLE GLOBO AÇOS'!I229)</f>
        <v/>
      </c>
      <c r="AS227" s="223">
        <f>IF('CONTROLE GLOBO AÇOS'!J229="","",'CONTROLE GLOBO AÇOS'!J229)</f>
        <v/>
      </c>
      <c r="AT227" s="223">
        <f>IF(#REF!="","",#REF!)</f>
        <v/>
      </c>
      <c r="AU227" s="223">
        <f>IF('CONTROLE GLOBO AÇOS'!K229="","",'CONTROLE GLOBO AÇOS'!K229)</f>
        <v/>
      </c>
      <c r="AV227" s="223">
        <f>IF(AND('CONTROLE EJ'!K229="",'CONTROLE CMM'!#REF!=""),"",N('CONTROLE EJ'!K229)+N('CONTROLE CMM'!#REF!))</f>
        <v/>
      </c>
      <c r="AW227" s="223">
        <f>IF('CONTROLE GLOBO AÇOS'!L229="","",'CONTROLE GLOBO AÇOS'!L229)</f>
        <v/>
      </c>
      <c r="AX227" s="223">
        <f>IF(AND('CONTROLE EJ'!L229="",'CONTROLE CMM'!#REF!=""),"",N('CONTROLE EJ'!L229)+N('CONTROLE CMM'!#REF!))</f>
        <v/>
      </c>
      <c r="AY227" s="223">
        <f>IF('CONTROLE GLOBO AÇOS'!M229="","",'CONTROLE GLOBO AÇOS'!M229)</f>
        <v/>
      </c>
      <c r="AZ227" s="223">
        <f>IF('CONTROLE GLOBO AÇOS'!N229="","",'CONTROLE GLOBO AÇOS'!N229)</f>
        <v/>
      </c>
      <c r="BA227" s="223">
        <f>IF(AND('CONTROLE EJ'!M229="",'CONTROLE CMM'!#REF!=""),"",N('CONTROLE EJ'!M229)+N('CONTROLE CMM'!#REF!))</f>
        <v/>
      </c>
      <c r="BB227" s="223">
        <f>IF(#REF!="","",#REF!)</f>
        <v/>
      </c>
      <c r="BC227" s="223">
        <f>IF('CONTROLE GLOBO AÇOS'!O229="","",'CONTROLE GLOBO AÇOS'!O229)</f>
        <v/>
      </c>
      <c r="BD227" s="223">
        <f>IF(AND('CONTROLE EJ'!N229="",'CONTROLE CMM'!#REF!=""),"",N('CONTROLE EJ'!N229)+N('CONTROLE CMM'!#REF!))</f>
        <v/>
      </c>
      <c r="BE227" s="223">
        <f>IF('CONTROLE GLOBO AÇOS'!P229="","",'CONTROLE GLOBO AÇOS'!P229)</f>
        <v/>
      </c>
      <c r="BF227" s="223">
        <f>IF('CONTROLE GLOBO AÇOS'!Q229="","",'CONTROLE GLOBO AÇOS'!Q229)</f>
        <v/>
      </c>
      <c r="BG227" s="223">
        <f>IF('CONTROLE GLOBO AÇOS'!R229="","",'CONTROLE GLOBO AÇOS'!R229)</f>
        <v/>
      </c>
      <c r="BH227" s="223">
        <f>IF(AND('CONTROLE EJ'!O229="",'CONTROLE CMM'!#REF!=""),"",N('CONTROLE EJ'!O229)+N('CONTROLE CMM'!#REF!))</f>
        <v/>
      </c>
      <c r="BI227" s="223">
        <f>IF('CONTROLE GLOBO AÇOS'!S229="","",'CONTROLE GLOBO AÇOS'!S229)</f>
        <v/>
      </c>
      <c r="BJ227" s="223">
        <f>IF('CONTROLE GLOBO AÇOS'!T229="","",'CONTROLE GLOBO AÇOS'!T229)</f>
        <v/>
      </c>
      <c r="BK227" s="223">
        <f>IF('CONTROLE GLOBO AÇOS'!U229="","",'CONTROLE GLOBO AÇOS'!U229)</f>
        <v/>
      </c>
      <c r="BL227" s="223">
        <f>IF(AND('CONTROLE EJ'!P229="",'CONTROLE CMM'!#REF!=""),"",N('CONTROLE EJ'!P229)+N('CONTROLE CMM'!#REF!))</f>
        <v/>
      </c>
      <c r="BM227" s="223">
        <f>IF(AND('CONTROLE EJ'!Q229="",'CONTROLE CMM'!#REF!=""),"",N('CONTROLE EJ'!Q229)+N('CONTROLE CMM'!#REF!))</f>
        <v/>
      </c>
      <c r="BN227" s="223">
        <f>IF('CONTROLE GLOBO AÇOS'!V229="","",'CONTROLE GLOBO AÇOS'!V229)</f>
        <v/>
      </c>
      <c r="BO227" s="223">
        <f>IF('CONTROLE GLOBO AÇOS'!W229="","",'CONTROLE GLOBO AÇOS'!W229)</f>
        <v/>
      </c>
      <c r="BP227" s="223">
        <f>IF(AND('CONTROLE EJ'!R229="",'CONTROLE CMM'!#REF!=""),"",N('CONTROLE EJ'!R229)+N('CONTROLE CMM'!#REF!))</f>
        <v/>
      </c>
      <c r="BQ227" s="223">
        <f>IF(#REF!="","",#REF!)</f>
        <v/>
      </c>
      <c r="BR227" s="223">
        <f>IF(AND('CONTROLE EJ'!S229="",'CONTROLE CMM'!#REF!=""),"",N('CONTROLE EJ'!S229)+N('CONTROLE CMM'!#REF!))</f>
        <v/>
      </c>
      <c r="BS227" s="223">
        <f>IF(AND('CONTROLE EJ'!T229="",'CONTROLE CMM'!#REF!=""),"",N('CONTROLE EJ'!T229)+N('CONTROLE CMM'!#REF!))</f>
        <v/>
      </c>
      <c r="BT227" s="223">
        <f>IF('CONTROLE GLOBO AÇOS'!X229="","",'CONTROLE GLOBO AÇOS'!X229)</f>
        <v/>
      </c>
      <c r="BU227" s="223">
        <f>IF('CONTROLE GLOBO AÇOS'!Y229="","",'CONTROLE GLOBO AÇOS'!Y229)</f>
        <v/>
      </c>
      <c r="BV227" s="223">
        <f>IF(AND('CONTROLE EJ'!U229="",'CONTROLE CMM'!#REF!=""),"",N('CONTROLE EJ'!U229)+N('CONTROLE CMM'!#REF!))</f>
        <v/>
      </c>
      <c r="BW227" s="223">
        <f>IF(#REF!="","",#REF!)</f>
        <v/>
      </c>
    </row>
    <row r="228">
      <c r="A228" s="282" t="n">
        <v>46445</v>
      </c>
      <c r="B228" s="18">
        <f>IF('CONTROLE EJ'!B230="","",'CONTROLE EJ'!B230)</f>
        <v/>
      </c>
      <c r="C228" s="18">
        <f>IF('CONTROLE EJ'!C230="","",'CONTROLE EJ'!C230)</f>
        <v/>
      </c>
      <c r="D228" s="42">
        <f>IF('CONTROLE EJ'!D230="","",'CONTROLE EJ'!D230)</f>
        <v/>
      </c>
      <c r="E228" s="43">
        <f>IF('CONTROLE CMM'!B230="","",'CONTROLE CMM'!B230)</f>
        <v/>
      </c>
      <c r="F228" s="18">
        <f>IF('CONTROLE CMM'!C230="","",'CONTROLE CMM'!C230)</f>
        <v/>
      </c>
      <c r="G228" s="26">
        <f>IF('CONTROLE CMM'!D230="","",'CONTROLE CMM'!D230)</f>
        <v/>
      </c>
      <c r="H228" s="43">
        <f>IF('CONTROLE GLOBO AÇOS'!B230="","",'CONTROLE GLOBO AÇOS'!B230)</f>
        <v/>
      </c>
      <c r="I228" s="18">
        <f>IF('CONTROLE GLOBO AÇOS'!C230="","",'CONTROLE GLOBO AÇOS'!C230)</f>
        <v/>
      </c>
      <c r="J228" s="18">
        <f>IF('CONTROLE GLOBO AÇOS'!D230="","",'CONTROLE GLOBO AÇOS'!D230)</f>
        <v/>
      </c>
      <c r="AD228" s="39">
        <f>IF($A228="",0,IF(AND(WEEKDAY($A228,2)&lt;=5,OR($B228&lt;&gt;"",$C228&lt;&gt;"",$D228&lt;&gt;"")),1,0))</f>
        <v/>
      </c>
      <c r="AE228" s="39">
        <f>IF($A228="",0,IF(AND(WEEKDAY($A228,2)&lt;=5,OR($E228&lt;&gt;"",$F228&lt;&gt;"",$G228&lt;&gt;"")),1,0))</f>
        <v/>
      </c>
      <c r="AF228" s="39">
        <f>MAX(AD228,AE228)</f>
        <v/>
      </c>
      <c r="AH228" s="223">
        <f>IF('CONTROLE GLOBO AÇOS'!E230="","",'CONTROLE GLOBO AÇOS'!E230)</f>
        <v/>
      </c>
      <c r="AI228" s="223">
        <f>IF('CONTROLE GLOBO AÇOS'!F230="","",'CONTROLE GLOBO AÇOS'!F230)</f>
        <v/>
      </c>
      <c r="AJ228" s="223">
        <f>IF(AND('CONTROLE EJ'!E230="",'CONTROLE CMM'!E230=""),"",N('CONTROLE EJ'!E230)+N('CONTROLE CMM'!E230))</f>
        <v/>
      </c>
      <c r="AK228" s="223">
        <f>IF(AND('CONTROLE EJ'!F230="",'CONTROLE CMM'!F230=""),"",N('CONTROLE EJ'!F230)+N('CONTROLE CMM'!F230))</f>
        <v/>
      </c>
      <c r="AL228" s="223">
        <f>IF(AND('CONTROLE EJ'!G230="",'CONTROLE CMM'!G230=""),"",N('CONTROLE EJ'!G230)+N('CONTROLE CMM'!G230))</f>
        <v/>
      </c>
      <c r="AM228" s="223">
        <f>IF(AND('CONTROLE EJ'!H230="",'CONTROLE CMM'!H230=""),"",N('CONTROLE EJ'!H230)+N('CONTROLE CMM'!H230))</f>
        <v/>
      </c>
      <c r="AN228" s="223">
        <f>IF('CONTROLE GLOBO AÇOS'!G230="","",'CONTROLE GLOBO AÇOS'!G230)</f>
        <v/>
      </c>
      <c r="AO228" s="223">
        <f>IF('CONTROLE GLOBO AÇOS'!H230="","",'CONTROLE GLOBO AÇOS'!H230)</f>
        <v/>
      </c>
      <c r="AP228" s="223">
        <f>IF(AND('CONTROLE EJ'!I230="",'CONTROLE CMM'!I230=""),"",N('CONTROLE EJ'!I230)+N('CONTROLE CMM'!I230))</f>
        <v/>
      </c>
      <c r="AQ228" s="223">
        <f>IF(AND('CONTROLE EJ'!J230="",'CONTROLE CMM'!#REF!=""),"",N('CONTROLE EJ'!J230)+N('CONTROLE CMM'!#REF!))</f>
        <v/>
      </c>
      <c r="AR228" s="223">
        <f>IF('CONTROLE GLOBO AÇOS'!I230="","",'CONTROLE GLOBO AÇOS'!I230)</f>
        <v/>
      </c>
      <c r="AS228" s="223">
        <f>IF('CONTROLE GLOBO AÇOS'!J230="","",'CONTROLE GLOBO AÇOS'!J230)</f>
        <v/>
      </c>
      <c r="AT228" s="223">
        <f>IF(#REF!="","",#REF!)</f>
        <v/>
      </c>
      <c r="AU228" s="223">
        <f>IF('CONTROLE GLOBO AÇOS'!K230="","",'CONTROLE GLOBO AÇOS'!K230)</f>
        <v/>
      </c>
      <c r="AV228" s="223">
        <f>IF(AND('CONTROLE EJ'!K230="",'CONTROLE CMM'!#REF!=""),"",N('CONTROLE EJ'!K230)+N('CONTROLE CMM'!#REF!))</f>
        <v/>
      </c>
      <c r="AW228" s="223">
        <f>IF('CONTROLE GLOBO AÇOS'!L230="","",'CONTROLE GLOBO AÇOS'!L230)</f>
        <v/>
      </c>
      <c r="AX228" s="223">
        <f>IF(AND('CONTROLE EJ'!L230="",'CONTROLE CMM'!#REF!=""),"",N('CONTROLE EJ'!L230)+N('CONTROLE CMM'!#REF!))</f>
        <v/>
      </c>
      <c r="AY228" s="223">
        <f>IF('CONTROLE GLOBO AÇOS'!M230="","",'CONTROLE GLOBO AÇOS'!M230)</f>
        <v/>
      </c>
      <c r="AZ228" s="223">
        <f>IF('CONTROLE GLOBO AÇOS'!N230="","",'CONTROLE GLOBO AÇOS'!N230)</f>
        <v/>
      </c>
      <c r="BA228" s="223">
        <f>IF(AND('CONTROLE EJ'!M230="",'CONTROLE CMM'!#REF!=""),"",N('CONTROLE EJ'!M230)+N('CONTROLE CMM'!#REF!))</f>
        <v/>
      </c>
      <c r="BB228" s="223">
        <f>IF(#REF!="","",#REF!)</f>
        <v/>
      </c>
      <c r="BC228" s="223">
        <f>IF('CONTROLE GLOBO AÇOS'!O230="","",'CONTROLE GLOBO AÇOS'!O230)</f>
        <v/>
      </c>
      <c r="BD228" s="223">
        <f>IF(AND('CONTROLE EJ'!N230="",'CONTROLE CMM'!#REF!=""),"",N('CONTROLE EJ'!N230)+N('CONTROLE CMM'!#REF!))</f>
        <v/>
      </c>
      <c r="BE228" s="223">
        <f>IF('CONTROLE GLOBO AÇOS'!P230="","",'CONTROLE GLOBO AÇOS'!P230)</f>
        <v/>
      </c>
      <c r="BF228" s="223">
        <f>IF('CONTROLE GLOBO AÇOS'!Q230="","",'CONTROLE GLOBO AÇOS'!Q230)</f>
        <v/>
      </c>
      <c r="BG228" s="223">
        <f>IF('CONTROLE GLOBO AÇOS'!R230="","",'CONTROLE GLOBO AÇOS'!R230)</f>
        <v/>
      </c>
      <c r="BH228" s="223">
        <f>IF(AND('CONTROLE EJ'!O230="",'CONTROLE CMM'!#REF!=""),"",N('CONTROLE EJ'!O230)+N('CONTROLE CMM'!#REF!))</f>
        <v/>
      </c>
      <c r="BI228" s="223">
        <f>IF('CONTROLE GLOBO AÇOS'!S230="","",'CONTROLE GLOBO AÇOS'!S230)</f>
        <v/>
      </c>
      <c r="BJ228" s="223">
        <f>IF('CONTROLE GLOBO AÇOS'!T230="","",'CONTROLE GLOBO AÇOS'!T230)</f>
        <v/>
      </c>
      <c r="BK228" s="223">
        <f>IF('CONTROLE GLOBO AÇOS'!U230="","",'CONTROLE GLOBO AÇOS'!U230)</f>
        <v/>
      </c>
      <c r="BL228" s="223">
        <f>IF(AND('CONTROLE EJ'!P230="",'CONTROLE CMM'!#REF!=""),"",N('CONTROLE EJ'!P230)+N('CONTROLE CMM'!#REF!))</f>
        <v/>
      </c>
      <c r="BM228" s="223">
        <f>IF(AND('CONTROLE EJ'!Q230="",'CONTROLE CMM'!#REF!=""),"",N('CONTROLE EJ'!Q230)+N('CONTROLE CMM'!#REF!))</f>
        <v/>
      </c>
      <c r="BN228" s="223">
        <f>IF('CONTROLE GLOBO AÇOS'!V230="","",'CONTROLE GLOBO AÇOS'!V230)</f>
        <v/>
      </c>
      <c r="BO228" s="223">
        <f>IF('CONTROLE GLOBO AÇOS'!W230="","",'CONTROLE GLOBO AÇOS'!W230)</f>
        <v/>
      </c>
      <c r="BP228" s="223">
        <f>IF(AND('CONTROLE EJ'!R230="",'CONTROLE CMM'!#REF!=""),"",N('CONTROLE EJ'!R230)+N('CONTROLE CMM'!#REF!))</f>
        <v/>
      </c>
      <c r="BQ228" s="223">
        <f>IF(#REF!="","",#REF!)</f>
        <v/>
      </c>
      <c r="BR228" s="223">
        <f>IF(AND('CONTROLE EJ'!S230="",'CONTROLE CMM'!#REF!=""),"",N('CONTROLE EJ'!S230)+N('CONTROLE CMM'!#REF!))</f>
        <v/>
      </c>
      <c r="BS228" s="223">
        <f>IF(AND('CONTROLE EJ'!T230="",'CONTROLE CMM'!#REF!=""),"",N('CONTROLE EJ'!T230)+N('CONTROLE CMM'!#REF!))</f>
        <v/>
      </c>
      <c r="BT228" s="223">
        <f>IF('CONTROLE GLOBO AÇOS'!X230="","",'CONTROLE GLOBO AÇOS'!X230)</f>
        <v/>
      </c>
      <c r="BU228" s="223">
        <f>IF('CONTROLE GLOBO AÇOS'!Y230="","",'CONTROLE GLOBO AÇOS'!Y230)</f>
        <v/>
      </c>
      <c r="BV228" s="223">
        <f>IF(AND('CONTROLE EJ'!U230="",'CONTROLE CMM'!#REF!=""),"",N('CONTROLE EJ'!U230)+N('CONTROLE CMM'!#REF!))</f>
        <v/>
      </c>
      <c r="BW228" s="223">
        <f>IF(#REF!="","",#REF!)</f>
        <v/>
      </c>
    </row>
    <row r="229">
      <c r="A229" s="282" t="n">
        <v>46446</v>
      </c>
      <c r="B229" s="18">
        <f>IF('CONTROLE EJ'!B231="","",'CONTROLE EJ'!B231)</f>
        <v/>
      </c>
      <c r="C229" s="18">
        <f>IF('CONTROLE EJ'!C231="","",'CONTROLE EJ'!C231)</f>
        <v/>
      </c>
      <c r="D229" s="42">
        <f>IF('CONTROLE EJ'!D231="","",'CONTROLE EJ'!D231)</f>
        <v/>
      </c>
      <c r="E229" s="43">
        <f>IF('CONTROLE CMM'!B231="","",'CONTROLE CMM'!B231)</f>
        <v/>
      </c>
      <c r="F229" s="18">
        <f>IF('CONTROLE CMM'!C231="","",'CONTROLE CMM'!C231)</f>
        <v/>
      </c>
      <c r="G229" s="26">
        <f>IF('CONTROLE CMM'!D231="","",'CONTROLE CMM'!D231)</f>
        <v/>
      </c>
      <c r="H229" s="43">
        <f>IF('CONTROLE GLOBO AÇOS'!B231="","",'CONTROLE GLOBO AÇOS'!B231)</f>
        <v/>
      </c>
      <c r="I229" s="18">
        <f>IF('CONTROLE GLOBO AÇOS'!C231="","",'CONTROLE GLOBO AÇOS'!C231)</f>
        <v/>
      </c>
      <c r="J229" s="18">
        <f>IF('CONTROLE GLOBO AÇOS'!D231="","",'CONTROLE GLOBO AÇOS'!D231)</f>
        <v/>
      </c>
      <c r="AD229" s="39">
        <f>IF($A229="",0,IF(AND(WEEKDAY($A229,2)&lt;=5,OR($B229&lt;&gt;"",$C229&lt;&gt;"",$D229&lt;&gt;"")),1,0))</f>
        <v/>
      </c>
      <c r="AE229" s="39">
        <f>IF($A229="",0,IF(AND(WEEKDAY($A229,2)&lt;=5,OR($E229&lt;&gt;"",$F229&lt;&gt;"",$G229&lt;&gt;"")),1,0))</f>
        <v/>
      </c>
      <c r="AF229" s="39">
        <f>MAX(AD229,AE229)</f>
        <v/>
      </c>
      <c r="AH229" s="223">
        <f>IF('CONTROLE GLOBO AÇOS'!E231="","",'CONTROLE GLOBO AÇOS'!E231)</f>
        <v/>
      </c>
      <c r="AI229" s="223">
        <f>IF('CONTROLE GLOBO AÇOS'!F231="","",'CONTROLE GLOBO AÇOS'!F231)</f>
        <v/>
      </c>
      <c r="AJ229" s="223">
        <f>IF(AND('CONTROLE EJ'!E231="",'CONTROLE CMM'!E231=""),"",N('CONTROLE EJ'!E231)+N('CONTROLE CMM'!E231))</f>
        <v/>
      </c>
      <c r="AK229" s="223">
        <f>IF(AND('CONTROLE EJ'!F231="",'CONTROLE CMM'!F231=""),"",N('CONTROLE EJ'!F231)+N('CONTROLE CMM'!F231))</f>
        <v/>
      </c>
      <c r="AL229" s="223">
        <f>IF(AND('CONTROLE EJ'!G231="",'CONTROLE CMM'!G231=""),"",N('CONTROLE EJ'!G231)+N('CONTROLE CMM'!G231))</f>
        <v/>
      </c>
      <c r="AM229" s="223">
        <f>IF(AND('CONTROLE EJ'!H231="",'CONTROLE CMM'!H231=""),"",N('CONTROLE EJ'!H231)+N('CONTROLE CMM'!H231))</f>
        <v/>
      </c>
      <c r="AN229" s="223">
        <f>IF('CONTROLE GLOBO AÇOS'!G231="","",'CONTROLE GLOBO AÇOS'!G231)</f>
        <v/>
      </c>
      <c r="AO229" s="223">
        <f>IF('CONTROLE GLOBO AÇOS'!H231="","",'CONTROLE GLOBO AÇOS'!H231)</f>
        <v/>
      </c>
      <c r="AP229" s="223">
        <f>IF(AND('CONTROLE EJ'!I231="",'CONTROLE CMM'!I231=""),"",N('CONTROLE EJ'!I231)+N('CONTROLE CMM'!I231))</f>
        <v/>
      </c>
      <c r="AQ229" s="223">
        <f>IF(AND('CONTROLE EJ'!J231="",'CONTROLE CMM'!#REF!=""),"",N('CONTROLE EJ'!J231)+N('CONTROLE CMM'!#REF!))</f>
        <v/>
      </c>
      <c r="AR229" s="223">
        <f>IF('CONTROLE GLOBO AÇOS'!I231="","",'CONTROLE GLOBO AÇOS'!I231)</f>
        <v/>
      </c>
      <c r="AS229" s="223">
        <f>IF('CONTROLE GLOBO AÇOS'!J231="","",'CONTROLE GLOBO AÇOS'!J231)</f>
        <v/>
      </c>
      <c r="AT229" s="223">
        <f>IF(#REF!="","",#REF!)</f>
        <v/>
      </c>
      <c r="AU229" s="223">
        <f>IF('CONTROLE GLOBO AÇOS'!K231="","",'CONTROLE GLOBO AÇOS'!K231)</f>
        <v/>
      </c>
      <c r="AV229" s="223">
        <f>IF(AND('CONTROLE EJ'!K231="",'CONTROLE CMM'!#REF!=""),"",N('CONTROLE EJ'!K231)+N('CONTROLE CMM'!#REF!))</f>
        <v/>
      </c>
      <c r="AW229" s="223">
        <f>IF('CONTROLE GLOBO AÇOS'!L231="","",'CONTROLE GLOBO AÇOS'!L231)</f>
        <v/>
      </c>
      <c r="AX229" s="223">
        <f>IF(AND('CONTROLE EJ'!L231="",'CONTROLE CMM'!#REF!=""),"",N('CONTROLE EJ'!L231)+N('CONTROLE CMM'!#REF!))</f>
        <v/>
      </c>
      <c r="AY229" s="223">
        <f>IF('CONTROLE GLOBO AÇOS'!M231="","",'CONTROLE GLOBO AÇOS'!M231)</f>
        <v/>
      </c>
      <c r="AZ229" s="223">
        <f>IF('CONTROLE GLOBO AÇOS'!N231="","",'CONTROLE GLOBO AÇOS'!N231)</f>
        <v/>
      </c>
      <c r="BA229" s="223">
        <f>IF(AND('CONTROLE EJ'!M231="",'CONTROLE CMM'!#REF!=""),"",N('CONTROLE EJ'!M231)+N('CONTROLE CMM'!#REF!))</f>
        <v/>
      </c>
      <c r="BB229" s="223">
        <f>IF(#REF!="","",#REF!)</f>
        <v/>
      </c>
      <c r="BC229" s="223">
        <f>IF('CONTROLE GLOBO AÇOS'!O231="","",'CONTROLE GLOBO AÇOS'!O231)</f>
        <v/>
      </c>
      <c r="BD229" s="223">
        <f>IF(AND('CONTROLE EJ'!N231="",'CONTROLE CMM'!#REF!=""),"",N('CONTROLE EJ'!N231)+N('CONTROLE CMM'!#REF!))</f>
        <v/>
      </c>
      <c r="BE229" s="223">
        <f>IF('CONTROLE GLOBO AÇOS'!P231="","",'CONTROLE GLOBO AÇOS'!P231)</f>
        <v/>
      </c>
      <c r="BF229" s="223">
        <f>IF('CONTROLE GLOBO AÇOS'!Q231="","",'CONTROLE GLOBO AÇOS'!Q231)</f>
        <v/>
      </c>
      <c r="BG229" s="223">
        <f>IF('CONTROLE GLOBO AÇOS'!R231="","",'CONTROLE GLOBO AÇOS'!R231)</f>
        <v/>
      </c>
      <c r="BH229" s="223">
        <f>IF(AND('CONTROLE EJ'!O231="",'CONTROLE CMM'!#REF!=""),"",N('CONTROLE EJ'!O231)+N('CONTROLE CMM'!#REF!))</f>
        <v/>
      </c>
      <c r="BI229" s="223">
        <f>IF('CONTROLE GLOBO AÇOS'!S231="","",'CONTROLE GLOBO AÇOS'!S231)</f>
        <v/>
      </c>
      <c r="BJ229" s="223">
        <f>IF('CONTROLE GLOBO AÇOS'!T231="","",'CONTROLE GLOBO AÇOS'!T231)</f>
        <v/>
      </c>
      <c r="BK229" s="223">
        <f>IF('CONTROLE GLOBO AÇOS'!U231="","",'CONTROLE GLOBO AÇOS'!U231)</f>
        <v/>
      </c>
      <c r="BL229" s="223">
        <f>IF(AND('CONTROLE EJ'!P231="",'CONTROLE CMM'!#REF!=""),"",N('CONTROLE EJ'!P231)+N('CONTROLE CMM'!#REF!))</f>
        <v/>
      </c>
      <c r="BM229" s="223">
        <f>IF(AND('CONTROLE EJ'!Q231="",'CONTROLE CMM'!#REF!=""),"",N('CONTROLE EJ'!Q231)+N('CONTROLE CMM'!#REF!))</f>
        <v/>
      </c>
      <c r="BN229" s="223">
        <f>IF('CONTROLE GLOBO AÇOS'!V231="","",'CONTROLE GLOBO AÇOS'!V231)</f>
        <v/>
      </c>
      <c r="BO229" s="223">
        <f>IF('CONTROLE GLOBO AÇOS'!W231="","",'CONTROLE GLOBO AÇOS'!W231)</f>
        <v/>
      </c>
      <c r="BP229" s="223">
        <f>IF(AND('CONTROLE EJ'!R231="",'CONTROLE CMM'!#REF!=""),"",N('CONTROLE EJ'!R231)+N('CONTROLE CMM'!#REF!))</f>
        <v/>
      </c>
      <c r="BQ229" s="223">
        <f>IF(#REF!="","",#REF!)</f>
        <v/>
      </c>
      <c r="BR229" s="223">
        <f>IF(AND('CONTROLE EJ'!S231="",'CONTROLE CMM'!#REF!=""),"",N('CONTROLE EJ'!S231)+N('CONTROLE CMM'!#REF!))</f>
        <v/>
      </c>
      <c r="BS229" s="223">
        <f>IF(AND('CONTROLE EJ'!T231="",'CONTROLE CMM'!#REF!=""),"",N('CONTROLE EJ'!T231)+N('CONTROLE CMM'!#REF!))</f>
        <v/>
      </c>
      <c r="BT229" s="223">
        <f>IF('CONTROLE GLOBO AÇOS'!X231="","",'CONTROLE GLOBO AÇOS'!X231)</f>
        <v/>
      </c>
      <c r="BU229" s="223">
        <f>IF('CONTROLE GLOBO AÇOS'!Y231="","",'CONTROLE GLOBO AÇOS'!Y231)</f>
        <v/>
      </c>
      <c r="BV229" s="223">
        <f>IF(AND('CONTROLE EJ'!U231="",'CONTROLE CMM'!#REF!=""),"",N('CONTROLE EJ'!U231)+N('CONTROLE CMM'!#REF!))</f>
        <v/>
      </c>
      <c r="BW229" s="223">
        <f>IF(#REF!="","",#REF!)</f>
        <v/>
      </c>
    </row>
    <row r="230">
      <c r="A230" s="282" t="n">
        <v>46447</v>
      </c>
      <c r="B230" s="18">
        <f>IF('CONTROLE EJ'!B232="","",'CONTROLE EJ'!B232)</f>
        <v/>
      </c>
      <c r="C230" s="18">
        <f>IF('CONTROLE EJ'!C232="","",'CONTROLE EJ'!C232)</f>
        <v/>
      </c>
      <c r="D230" s="42">
        <f>IF('CONTROLE EJ'!D232="","",'CONTROLE EJ'!D232)</f>
        <v/>
      </c>
      <c r="E230" s="43">
        <f>IF('CONTROLE CMM'!B232="","",'CONTROLE CMM'!B232)</f>
        <v/>
      </c>
      <c r="F230" s="18">
        <f>IF('CONTROLE CMM'!C232="","",'CONTROLE CMM'!C232)</f>
        <v/>
      </c>
      <c r="G230" s="26">
        <f>IF('CONTROLE CMM'!D232="","",'CONTROLE CMM'!D232)</f>
        <v/>
      </c>
      <c r="H230" s="43">
        <f>IF('CONTROLE GLOBO AÇOS'!B232="","",'CONTROLE GLOBO AÇOS'!B232)</f>
        <v/>
      </c>
      <c r="I230" s="18">
        <f>IF('CONTROLE GLOBO AÇOS'!C232="","",'CONTROLE GLOBO AÇOS'!C232)</f>
        <v/>
      </c>
      <c r="J230" s="18">
        <f>IF('CONTROLE GLOBO AÇOS'!D232="","",'CONTROLE GLOBO AÇOS'!D232)</f>
        <v/>
      </c>
      <c r="AD230" s="39">
        <f>IF($A230="",0,IF(AND(WEEKDAY($A230,2)&lt;=5,OR($B230&lt;&gt;"",$C230&lt;&gt;"",$D230&lt;&gt;"")),1,0))</f>
        <v/>
      </c>
      <c r="AE230" s="39">
        <f>IF($A230="",0,IF(AND(WEEKDAY($A230,2)&lt;=5,OR($E230&lt;&gt;"",$F230&lt;&gt;"",$G230&lt;&gt;"")),1,0))</f>
        <v/>
      </c>
      <c r="AF230" s="39">
        <f>MAX(AD230,AE230)</f>
        <v/>
      </c>
      <c r="AH230" s="223">
        <f>IF('CONTROLE GLOBO AÇOS'!E232="","",'CONTROLE GLOBO AÇOS'!E232)</f>
        <v/>
      </c>
      <c r="AI230" s="223">
        <f>IF('CONTROLE GLOBO AÇOS'!F232="","",'CONTROLE GLOBO AÇOS'!F232)</f>
        <v/>
      </c>
      <c r="AJ230" s="223">
        <f>IF(AND('CONTROLE EJ'!E232="",'CONTROLE CMM'!E232=""),"",N('CONTROLE EJ'!E232)+N('CONTROLE CMM'!E232))</f>
        <v/>
      </c>
      <c r="AK230" s="223">
        <f>IF(AND('CONTROLE EJ'!F232="",'CONTROLE CMM'!F232=""),"",N('CONTROLE EJ'!F232)+N('CONTROLE CMM'!F232))</f>
        <v/>
      </c>
      <c r="AL230" s="223">
        <f>IF(AND('CONTROLE EJ'!G232="",'CONTROLE CMM'!G232=""),"",N('CONTROLE EJ'!G232)+N('CONTROLE CMM'!G232))</f>
        <v/>
      </c>
      <c r="AM230" s="223">
        <f>IF(AND('CONTROLE EJ'!H232="",'CONTROLE CMM'!H232=""),"",N('CONTROLE EJ'!H232)+N('CONTROLE CMM'!H232))</f>
        <v/>
      </c>
      <c r="AN230" s="223">
        <f>IF('CONTROLE GLOBO AÇOS'!G232="","",'CONTROLE GLOBO AÇOS'!G232)</f>
        <v/>
      </c>
      <c r="AO230" s="223">
        <f>IF('CONTROLE GLOBO AÇOS'!H232="","",'CONTROLE GLOBO AÇOS'!H232)</f>
        <v/>
      </c>
      <c r="AP230" s="223">
        <f>IF(AND('CONTROLE EJ'!I232="",'CONTROLE CMM'!I232=""),"",N('CONTROLE EJ'!I232)+N('CONTROLE CMM'!I232))</f>
        <v/>
      </c>
      <c r="AQ230" s="223">
        <f>IF(AND('CONTROLE EJ'!J232="",'CONTROLE CMM'!#REF!=""),"",N('CONTROLE EJ'!J232)+N('CONTROLE CMM'!#REF!))</f>
        <v/>
      </c>
      <c r="AR230" s="223">
        <f>IF('CONTROLE GLOBO AÇOS'!I232="","",'CONTROLE GLOBO AÇOS'!I232)</f>
        <v/>
      </c>
      <c r="AS230" s="223">
        <f>IF('CONTROLE GLOBO AÇOS'!J232="","",'CONTROLE GLOBO AÇOS'!J232)</f>
        <v/>
      </c>
      <c r="AT230" s="223">
        <f>IF(#REF!="","",#REF!)</f>
        <v/>
      </c>
      <c r="AU230" s="223">
        <f>IF('CONTROLE GLOBO AÇOS'!K232="","",'CONTROLE GLOBO AÇOS'!K232)</f>
        <v/>
      </c>
      <c r="AV230" s="223">
        <f>IF(AND('CONTROLE EJ'!K232="",'CONTROLE CMM'!#REF!=""),"",N('CONTROLE EJ'!K232)+N('CONTROLE CMM'!#REF!))</f>
        <v/>
      </c>
      <c r="AW230" s="223">
        <f>IF('CONTROLE GLOBO AÇOS'!L232="","",'CONTROLE GLOBO AÇOS'!L232)</f>
        <v/>
      </c>
      <c r="AX230" s="223">
        <f>IF(AND('CONTROLE EJ'!L232="",'CONTROLE CMM'!#REF!=""),"",N('CONTROLE EJ'!L232)+N('CONTROLE CMM'!#REF!))</f>
        <v/>
      </c>
      <c r="AY230" s="223">
        <f>IF('CONTROLE GLOBO AÇOS'!M232="","",'CONTROLE GLOBO AÇOS'!M232)</f>
        <v/>
      </c>
      <c r="AZ230" s="223">
        <f>IF('CONTROLE GLOBO AÇOS'!N232="","",'CONTROLE GLOBO AÇOS'!N232)</f>
        <v/>
      </c>
      <c r="BA230" s="223">
        <f>IF(AND('CONTROLE EJ'!M232="",'CONTROLE CMM'!#REF!=""),"",N('CONTROLE EJ'!M232)+N('CONTROLE CMM'!#REF!))</f>
        <v/>
      </c>
      <c r="BB230" s="223">
        <f>IF(#REF!="","",#REF!)</f>
        <v/>
      </c>
      <c r="BC230" s="223">
        <f>IF('CONTROLE GLOBO AÇOS'!O232="","",'CONTROLE GLOBO AÇOS'!O232)</f>
        <v/>
      </c>
      <c r="BD230" s="223">
        <f>IF(AND('CONTROLE EJ'!N232="",'CONTROLE CMM'!#REF!=""),"",N('CONTROLE EJ'!N232)+N('CONTROLE CMM'!#REF!))</f>
        <v/>
      </c>
      <c r="BE230" s="223">
        <f>IF('CONTROLE GLOBO AÇOS'!P232="","",'CONTROLE GLOBO AÇOS'!P232)</f>
        <v/>
      </c>
      <c r="BF230" s="223">
        <f>IF('CONTROLE GLOBO AÇOS'!Q232="","",'CONTROLE GLOBO AÇOS'!Q232)</f>
        <v/>
      </c>
      <c r="BG230" s="223">
        <f>IF('CONTROLE GLOBO AÇOS'!R232="","",'CONTROLE GLOBO AÇOS'!R232)</f>
        <v/>
      </c>
      <c r="BH230" s="223">
        <f>IF(AND('CONTROLE EJ'!O232="",'CONTROLE CMM'!#REF!=""),"",N('CONTROLE EJ'!O232)+N('CONTROLE CMM'!#REF!))</f>
        <v/>
      </c>
      <c r="BI230" s="223">
        <f>IF('CONTROLE GLOBO AÇOS'!S232="","",'CONTROLE GLOBO AÇOS'!S232)</f>
        <v/>
      </c>
      <c r="BJ230" s="223">
        <f>IF('CONTROLE GLOBO AÇOS'!T232="","",'CONTROLE GLOBO AÇOS'!T232)</f>
        <v/>
      </c>
      <c r="BK230" s="223">
        <f>IF('CONTROLE GLOBO AÇOS'!U232="","",'CONTROLE GLOBO AÇOS'!U232)</f>
        <v/>
      </c>
      <c r="BL230" s="223">
        <f>IF(AND('CONTROLE EJ'!P232="",'CONTROLE CMM'!#REF!=""),"",N('CONTROLE EJ'!P232)+N('CONTROLE CMM'!#REF!))</f>
        <v/>
      </c>
      <c r="BM230" s="223">
        <f>IF(AND('CONTROLE EJ'!Q232="",'CONTROLE CMM'!#REF!=""),"",N('CONTROLE EJ'!Q232)+N('CONTROLE CMM'!#REF!))</f>
        <v/>
      </c>
      <c r="BN230" s="223">
        <f>IF('CONTROLE GLOBO AÇOS'!V232="","",'CONTROLE GLOBO AÇOS'!V232)</f>
        <v/>
      </c>
      <c r="BO230" s="223">
        <f>IF('CONTROLE GLOBO AÇOS'!W232="","",'CONTROLE GLOBO AÇOS'!W232)</f>
        <v/>
      </c>
      <c r="BP230" s="223">
        <f>IF(AND('CONTROLE EJ'!R232="",'CONTROLE CMM'!#REF!=""),"",N('CONTROLE EJ'!R232)+N('CONTROLE CMM'!#REF!))</f>
        <v/>
      </c>
      <c r="BQ230" s="223">
        <f>IF(#REF!="","",#REF!)</f>
        <v/>
      </c>
      <c r="BR230" s="223">
        <f>IF(AND('CONTROLE EJ'!S232="",'CONTROLE CMM'!#REF!=""),"",N('CONTROLE EJ'!S232)+N('CONTROLE CMM'!#REF!))</f>
        <v/>
      </c>
      <c r="BS230" s="223">
        <f>IF(AND('CONTROLE EJ'!T232="",'CONTROLE CMM'!#REF!=""),"",N('CONTROLE EJ'!T232)+N('CONTROLE CMM'!#REF!))</f>
        <v/>
      </c>
      <c r="BT230" s="223">
        <f>IF('CONTROLE GLOBO AÇOS'!X232="","",'CONTROLE GLOBO AÇOS'!X232)</f>
        <v/>
      </c>
      <c r="BU230" s="223">
        <f>IF('CONTROLE GLOBO AÇOS'!Y232="","",'CONTROLE GLOBO AÇOS'!Y232)</f>
        <v/>
      </c>
      <c r="BV230" s="223">
        <f>IF(AND('CONTROLE EJ'!U232="",'CONTROLE CMM'!#REF!=""),"",N('CONTROLE EJ'!U232)+N('CONTROLE CMM'!#REF!))</f>
        <v/>
      </c>
      <c r="BW230" s="223">
        <f>IF(#REF!="","",#REF!)</f>
        <v/>
      </c>
    </row>
    <row r="231">
      <c r="A231" s="282" t="n">
        <v>46448</v>
      </c>
      <c r="B231" s="18">
        <f>IF('CONTROLE EJ'!B233="","",'CONTROLE EJ'!B233)</f>
        <v/>
      </c>
      <c r="C231" s="18">
        <f>IF('CONTROLE EJ'!C233="","",'CONTROLE EJ'!C233)</f>
        <v/>
      </c>
      <c r="D231" s="42">
        <f>IF('CONTROLE EJ'!D233="","",'CONTROLE EJ'!D233)</f>
        <v/>
      </c>
      <c r="E231" s="43">
        <f>IF('CONTROLE CMM'!B233="","",'CONTROLE CMM'!B233)</f>
        <v/>
      </c>
      <c r="F231" s="18">
        <f>IF('CONTROLE CMM'!C233="","",'CONTROLE CMM'!C233)</f>
        <v/>
      </c>
      <c r="G231" s="26">
        <f>IF('CONTROLE CMM'!D233="","",'CONTROLE CMM'!D233)</f>
        <v/>
      </c>
      <c r="H231" s="43">
        <f>IF('CONTROLE GLOBO AÇOS'!B233="","",'CONTROLE GLOBO AÇOS'!B233)</f>
        <v/>
      </c>
      <c r="I231" s="18">
        <f>IF('CONTROLE GLOBO AÇOS'!C233="","",'CONTROLE GLOBO AÇOS'!C233)</f>
        <v/>
      </c>
      <c r="J231" s="18">
        <f>IF('CONTROLE GLOBO AÇOS'!D233="","",'CONTROLE GLOBO AÇOS'!D233)</f>
        <v/>
      </c>
      <c r="AD231" s="39">
        <f>IF($A231="",0,IF(AND(WEEKDAY($A231,2)&lt;=5,OR($B231&lt;&gt;"",$C231&lt;&gt;"",$D231&lt;&gt;"")),1,0))</f>
        <v/>
      </c>
      <c r="AE231" s="39">
        <f>IF($A231="",0,IF(AND(WEEKDAY($A231,2)&lt;=5,OR($E231&lt;&gt;"",$F231&lt;&gt;"",$G231&lt;&gt;"")),1,0))</f>
        <v/>
      </c>
      <c r="AF231" s="39">
        <f>MAX(AD231,AE231)</f>
        <v/>
      </c>
      <c r="AH231" s="223">
        <f>IF('CONTROLE GLOBO AÇOS'!E233="","",'CONTROLE GLOBO AÇOS'!E233)</f>
        <v/>
      </c>
      <c r="AI231" s="223">
        <f>IF('CONTROLE GLOBO AÇOS'!F233="","",'CONTROLE GLOBO AÇOS'!F233)</f>
        <v/>
      </c>
      <c r="AJ231" s="223">
        <f>IF(AND('CONTROLE EJ'!E233="",'CONTROLE CMM'!E233=""),"",N('CONTROLE EJ'!E233)+N('CONTROLE CMM'!E233))</f>
        <v/>
      </c>
      <c r="AK231" s="223">
        <f>IF(AND('CONTROLE EJ'!F233="",'CONTROLE CMM'!F233=""),"",N('CONTROLE EJ'!F233)+N('CONTROLE CMM'!F233))</f>
        <v/>
      </c>
      <c r="AL231" s="223">
        <f>IF(AND('CONTROLE EJ'!G233="",'CONTROLE CMM'!G233=""),"",N('CONTROLE EJ'!G233)+N('CONTROLE CMM'!G233))</f>
        <v/>
      </c>
      <c r="AM231" s="223">
        <f>IF(AND('CONTROLE EJ'!H233="",'CONTROLE CMM'!H233=""),"",N('CONTROLE EJ'!H233)+N('CONTROLE CMM'!H233))</f>
        <v/>
      </c>
      <c r="AN231" s="223">
        <f>IF('CONTROLE GLOBO AÇOS'!G233="","",'CONTROLE GLOBO AÇOS'!G233)</f>
        <v/>
      </c>
      <c r="AO231" s="223">
        <f>IF('CONTROLE GLOBO AÇOS'!H233="","",'CONTROLE GLOBO AÇOS'!H233)</f>
        <v/>
      </c>
      <c r="AP231" s="223">
        <f>IF(AND('CONTROLE EJ'!I233="",'CONTROLE CMM'!I233=""),"",N('CONTROLE EJ'!I233)+N('CONTROLE CMM'!I233))</f>
        <v/>
      </c>
      <c r="AQ231" s="223">
        <f>IF(AND('CONTROLE EJ'!J233="",'CONTROLE CMM'!#REF!=""),"",N('CONTROLE EJ'!J233)+N('CONTROLE CMM'!#REF!))</f>
        <v/>
      </c>
      <c r="AR231" s="223">
        <f>IF('CONTROLE GLOBO AÇOS'!I233="","",'CONTROLE GLOBO AÇOS'!I233)</f>
        <v/>
      </c>
      <c r="AS231" s="223">
        <f>IF('CONTROLE GLOBO AÇOS'!J233="","",'CONTROLE GLOBO AÇOS'!J233)</f>
        <v/>
      </c>
      <c r="AT231" s="223">
        <f>IF(#REF!="","",#REF!)</f>
        <v/>
      </c>
      <c r="AU231" s="223">
        <f>IF('CONTROLE GLOBO AÇOS'!K233="","",'CONTROLE GLOBO AÇOS'!K233)</f>
        <v/>
      </c>
      <c r="AV231" s="223">
        <f>IF(AND('CONTROLE EJ'!K233="",'CONTROLE CMM'!#REF!=""),"",N('CONTROLE EJ'!K233)+N('CONTROLE CMM'!#REF!))</f>
        <v/>
      </c>
      <c r="AW231" s="223">
        <f>IF('CONTROLE GLOBO AÇOS'!L233="","",'CONTROLE GLOBO AÇOS'!L233)</f>
        <v/>
      </c>
      <c r="AX231" s="223">
        <f>IF(AND('CONTROLE EJ'!L233="",'CONTROLE CMM'!#REF!=""),"",N('CONTROLE EJ'!L233)+N('CONTROLE CMM'!#REF!))</f>
        <v/>
      </c>
      <c r="AY231" s="223">
        <f>IF('CONTROLE GLOBO AÇOS'!M233="","",'CONTROLE GLOBO AÇOS'!M233)</f>
        <v/>
      </c>
      <c r="AZ231" s="223">
        <f>IF('CONTROLE GLOBO AÇOS'!N233="","",'CONTROLE GLOBO AÇOS'!N233)</f>
        <v/>
      </c>
      <c r="BA231" s="223">
        <f>IF(AND('CONTROLE EJ'!M233="",'CONTROLE CMM'!#REF!=""),"",N('CONTROLE EJ'!M233)+N('CONTROLE CMM'!#REF!))</f>
        <v/>
      </c>
      <c r="BB231" s="223">
        <f>IF(#REF!="","",#REF!)</f>
        <v/>
      </c>
      <c r="BC231" s="223">
        <f>IF('CONTROLE GLOBO AÇOS'!O233="","",'CONTROLE GLOBO AÇOS'!O233)</f>
        <v/>
      </c>
      <c r="BD231" s="223">
        <f>IF(AND('CONTROLE EJ'!N233="",'CONTROLE CMM'!#REF!=""),"",N('CONTROLE EJ'!N233)+N('CONTROLE CMM'!#REF!))</f>
        <v/>
      </c>
      <c r="BE231" s="223">
        <f>IF('CONTROLE GLOBO AÇOS'!P233="","",'CONTROLE GLOBO AÇOS'!P233)</f>
        <v/>
      </c>
      <c r="BF231" s="223">
        <f>IF('CONTROLE GLOBO AÇOS'!Q233="","",'CONTROLE GLOBO AÇOS'!Q233)</f>
        <v/>
      </c>
      <c r="BG231" s="223">
        <f>IF('CONTROLE GLOBO AÇOS'!R233="","",'CONTROLE GLOBO AÇOS'!R233)</f>
        <v/>
      </c>
      <c r="BH231" s="223">
        <f>IF(AND('CONTROLE EJ'!O233="",'CONTROLE CMM'!#REF!=""),"",N('CONTROLE EJ'!O233)+N('CONTROLE CMM'!#REF!))</f>
        <v/>
      </c>
      <c r="BI231" s="223">
        <f>IF('CONTROLE GLOBO AÇOS'!S233="","",'CONTROLE GLOBO AÇOS'!S233)</f>
        <v/>
      </c>
      <c r="BJ231" s="223">
        <f>IF('CONTROLE GLOBO AÇOS'!T233="","",'CONTROLE GLOBO AÇOS'!T233)</f>
        <v/>
      </c>
      <c r="BK231" s="223">
        <f>IF('CONTROLE GLOBO AÇOS'!U233="","",'CONTROLE GLOBO AÇOS'!U233)</f>
        <v/>
      </c>
      <c r="BL231" s="223">
        <f>IF(AND('CONTROLE EJ'!P233="",'CONTROLE CMM'!#REF!=""),"",N('CONTROLE EJ'!P233)+N('CONTROLE CMM'!#REF!))</f>
        <v/>
      </c>
      <c r="BM231" s="223">
        <f>IF(AND('CONTROLE EJ'!Q233="",'CONTROLE CMM'!#REF!=""),"",N('CONTROLE EJ'!Q233)+N('CONTROLE CMM'!#REF!))</f>
        <v/>
      </c>
      <c r="BN231" s="223">
        <f>IF('CONTROLE GLOBO AÇOS'!V233="","",'CONTROLE GLOBO AÇOS'!V233)</f>
        <v/>
      </c>
      <c r="BO231" s="223">
        <f>IF('CONTROLE GLOBO AÇOS'!W233="","",'CONTROLE GLOBO AÇOS'!W233)</f>
        <v/>
      </c>
      <c r="BP231" s="223">
        <f>IF(AND('CONTROLE EJ'!R233="",'CONTROLE CMM'!#REF!=""),"",N('CONTROLE EJ'!R233)+N('CONTROLE CMM'!#REF!))</f>
        <v/>
      </c>
      <c r="BQ231" s="223">
        <f>IF(#REF!="","",#REF!)</f>
        <v/>
      </c>
      <c r="BR231" s="223">
        <f>IF(AND('CONTROLE EJ'!S233="",'CONTROLE CMM'!#REF!=""),"",N('CONTROLE EJ'!S233)+N('CONTROLE CMM'!#REF!))</f>
        <v/>
      </c>
      <c r="BS231" s="223">
        <f>IF(AND('CONTROLE EJ'!T233="",'CONTROLE CMM'!#REF!=""),"",N('CONTROLE EJ'!T233)+N('CONTROLE CMM'!#REF!))</f>
        <v/>
      </c>
      <c r="BT231" s="223">
        <f>IF('CONTROLE GLOBO AÇOS'!X233="","",'CONTROLE GLOBO AÇOS'!X233)</f>
        <v/>
      </c>
      <c r="BU231" s="223">
        <f>IF('CONTROLE GLOBO AÇOS'!Y233="","",'CONTROLE GLOBO AÇOS'!Y233)</f>
        <v/>
      </c>
      <c r="BV231" s="223">
        <f>IF(AND('CONTROLE EJ'!U233="",'CONTROLE CMM'!#REF!=""),"",N('CONTROLE EJ'!U233)+N('CONTROLE CMM'!#REF!))</f>
        <v/>
      </c>
      <c r="BW231" s="223">
        <f>IF(#REF!="","",#REF!)</f>
        <v/>
      </c>
    </row>
    <row r="232">
      <c r="A232" s="282" t="n">
        <v>46449</v>
      </c>
      <c r="B232" s="18">
        <f>IF('CONTROLE EJ'!B234="","",'CONTROLE EJ'!B234)</f>
        <v/>
      </c>
      <c r="C232" s="18">
        <f>IF('CONTROLE EJ'!C234="","",'CONTROLE EJ'!C234)</f>
        <v/>
      </c>
      <c r="D232" s="42">
        <f>IF('CONTROLE EJ'!D234="","",'CONTROLE EJ'!D234)</f>
        <v/>
      </c>
      <c r="E232" s="43">
        <f>IF('CONTROLE CMM'!B234="","",'CONTROLE CMM'!B234)</f>
        <v/>
      </c>
      <c r="F232" s="18">
        <f>IF('CONTROLE CMM'!C234="","",'CONTROLE CMM'!C234)</f>
        <v/>
      </c>
      <c r="G232" s="26">
        <f>IF('CONTROLE CMM'!D234="","",'CONTROLE CMM'!D234)</f>
        <v/>
      </c>
      <c r="H232" s="43">
        <f>IF('CONTROLE GLOBO AÇOS'!B234="","",'CONTROLE GLOBO AÇOS'!B234)</f>
        <v/>
      </c>
      <c r="I232" s="18">
        <f>IF('CONTROLE GLOBO AÇOS'!C234="","",'CONTROLE GLOBO AÇOS'!C234)</f>
        <v/>
      </c>
      <c r="J232" s="18">
        <f>IF('CONTROLE GLOBO AÇOS'!D234="","",'CONTROLE GLOBO AÇOS'!D234)</f>
        <v/>
      </c>
      <c r="AD232" s="39">
        <f>IF($A232="",0,IF(AND(WEEKDAY($A232,2)&lt;=5,OR($B232&lt;&gt;"",$C232&lt;&gt;"",$D232&lt;&gt;"")),1,0))</f>
        <v/>
      </c>
      <c r="AE232" s="39">
        <f>IF($A232="",0,IF(AND(WEEKDAY($A232,2)&lt;=5,OR($E232&lt;&gt;"",$F232&lt;&gt;"",$G232&lt;&gt;"")),1,0))</f>
        <v/>
      </c>
      <c r="AF232" s="39">
        <f>MAX(AD232,AE232)</f>
        <v/>
      </c>
      <c r="AH232" s="223">
        <f>IF('CONTROLE GLOBO AÇOS'!E234="","",'CONTROLE GLOBO AÇOS'!E234)</f>
        <v/>
      </c>
      <c r="AI232" s="223">
        <f>IF('CONTROLE GLOBO AÇOS'!F234="","",'CONTROLE GLOBO AÇOS'!F234)</f>
        <v/>
      </c>
      <c r="AJ232" s="223">
        <f>IF(AND('CONTROLE EJ'!E234="",'CONTROLE CMM'!E234=""),"",N('CONTROLE EJ'!E234)+N('CONTROLE CMM'!E234))</f>
        <v/>
      </c>
      <c r="AK232" s="223">
        <f>IF(AND('CONTROLE EJ'!F234="",'CONTROLE CMM'!F234=""),"",N('CONTROLE EJ'!F234)+N('CONTROLE CMM'!F234))</f>
        <v/>
      </c>
      <c r="AL232" s="223">
        <f>IF(AND('CONTROLE EJ'!G234="",'CONTROLE CMM'!G234=""),"",N('CONTROLE EJ'!G234)+N('CONTROLE CMM'!G234))</f>
        <v/>
      </c>
      <c r="AM232" s="223">
        <f>IF(AND('CONTROLE EJ'!H234="",'CONTROLE CMM'!H234=""),"",N('CONTROLE EJ'!H234)+N('CONTROLE CMM'!H234))</f>
        <v/>
      </c>
      <c r="AN232" s="223">
        <f>IF('CONTROLE GLOBO AÇOS'!G234="","",'CONTROLE GLOBO AÇOS'!G234)</f>
        <v/>
      </c>
      <c r="AO232" s="223">
        <f>IF('CONTROLE GLOBO AÇOS'!H234="","",'CONTROLE GLOBO AÇOS'!H234)</f>
        <v/>
      </c>
      <c r="AP232" s="223">
        <f>IF(AND('CONTROLE EJ'!I234="",'CONTROLE CMM'!I234=""),"",N('CONTROLE EJ'!I234)+N('CONTROLE CMM'!I234))</f>
        <v/>
      </c>
      <c r="AQ232" s="223">
        <f>IF(AND('CONTROLE EJ'!J234="",'CONTROLE CMM'!#REF!=""),"",N('CONTROLE EJ'!J234)+N('CONTROLE CMM'!#REF!))</f>
        <v/>
      </c>
      <c r="AR232" s="223">
        <f>IF('CONTROLE GLOBO AÇOS'!I234="","",'CONTROLE GLOBO AÇOS'!I234)</f>
        <v/>
      </c>
      <c r="AS232" s="223">
        <f>IF('CONTROLE GLOBO AÇOS'!J234="","",'CONTROLE GLOBO AÇOS'!J234)</f>
        <v/>
      </c>
      <c r="AT232" s="223">
        <f>IF(#REF!="","",#REF!)</f>
        <v/>
      </c>
      <c r="AU232" s="223">
        <f>IF('CONTROLE GLOBO AÇOS'!K234="","",'CONTROLE GLOBO AÇOS'!K234)</f>
        <v/>
      </c>
      <c r="AV232" s="223">
        <f>IF(AND('CONTROLE EJ'!K234="",'CONTROLE CMM'!#REF!=""),"",N('CONTROLE EJ'!K234)+N('CONTROLE CMM'!#REF!))</f>
        <v/>
      </c>
      <c r="AW232" s="223">
        <f>IF('CONTROLE GLOBO AÇOS'!L234="","",'CONTROLE GLOBO AÇOS'!L234)</f>
        <v/>
      </c>
      <c r="AX232" s="223">
        <f>IF(AND('CONTROLE EJ'!L234="",'CONTROLE CMM'!#REF!=""),"",N('CONTROLE EJ'!L234)+N('CONTROLE CMM'!#REF!))</f>
        <v/>
      </c>
      <c r="AY232" s="223">
        <f>IF('CONTROLE GLOBO AÇOS'!M234="","",'CONTROLE GLOBO AÇOS'!M234)</f>
        <v/>
      </c>
      <c r="AZ232" s="223">
        <f>IF('CONTROLE GLOBO AÇOS'!N234="","",'CONTROLE GLOBO AÇOS'!N234)</f>
        <v/>
      </c>
      <c r="BA232" s="223">
        <f>IF(AND('CONTROLE EJ'!M234="",'CONTROLE CMM'!#REF!=""),"",N('CONTROLE EJ'!M234)+N('CONTROLE CMM'!#REF!))</f>
        <v/>
      </c>
      <c r="BB232" s="223">
        <f>IF(#REF!="","",#REF!)</f>
        <v/>
      </c>
      <c r="BC232" s="223">
        <f>IF('CONTROLE GLOBO AÇOS'!O234="","",'CONTROLE GLOBO AÇOS'!O234)</f>
        <v/>
      </c>
      <c r="BD232" s="223">
        <f>IF(AND('CONTROLE EJ'!N234="",'CONTROLE CMM'!#REF!=""),"",N('CONTROLE EJ'!N234)+N('CONTROLE CMM'!#REF!))</f>
        <v/>
      </c>
      <c r="BE232" s="223">
        <f>IF('CONTROLE GLOBO AÇOS'!P234="","",'CONTROLE GLOBO AÇOS'!P234)</f>
        <v/>
      </c>
      <c r="BF232" s="223">
        <f>IF('CONTROLE GLOBO AÇOS'!Q234="","",'CONTROLE GLOBO AÇOS'!Q234)</f>
        <v/>
      </c>
      <c r="BG232" s="223">
        <f>IF('CONTROLE GLOBO AÇOS'!R234="","",'CONTROLE GLOBO AÇOS'!R234)</f>
        <v/>
      </c>
      <c r="BH232" s="223">
        <f>IF(AND('CONTROLE EJ'!O234="",'CONTROLE CMM'!#REF!=""),"",N('CONTROLE EJ'!O234)+N('CONTROLE CMM'!#REF!))</f>
        <v/>
      </c>
      <c r="BI232" s="223">
        <f>IF('CONTROLE GLOBO AÇOS'!S234="","",'CONTROLE GLOBO AÇOS'!S234)</f>
        <v/>
      </c>
      <c r="BJ232" s="223">
        <f>IF('CONTROLE GLOBO AÇOS'!T234="","",'CONTROLE GLOBO AÇOS'!T234)</f>
        <v/>
      </c>
      <c r="BK232" s="223">
        <f>IF('CONTROLE GLOBO AÇOS'!U234="","",'CONTROLE GLOBO AÇOS'!U234)</f>
        <v/>
      </c>
      <c r="BL232" s="223">
        <f>IF(AND('CONTROLE EJ'!P234="",'CONTROLE CMM'!#REF!=""),"",N('CONTROLE EJ'!P234)+N('CONTROLE CMM'!#REF!))</f>
        <v/>
      </c>
      <c r="BM232" s="223">
        <f>IF(AND('CONTROLE EJ'!Q234="",'CONTROLE CMM'!#REF!=""),"",N('CONTROLE EJ'!Q234)+N('CONTROLE CMM'!#REF!))</f>
        <v/>
      </c>
      <c r="BN232" s="223">
        <f>IF('CONTROLE GLOBO AÇOS'!V234="","",'CONTROLE GLOBO AÇOS'!V234)</f>
        <v/>
      </c>
      <c r="BO232" s="223">
        <f>IF('CONTROLE GLOBO AÇOS'!W234="","",'CONTROLE GLOBO AÇOS'!W234)</f>
        <v/>
      </c>
      <c r="BP232" s="223">
        <f>IF(AND('CONTROLE EJ'!R234="",'CONTROLE CMM'!#REF!=""),"",N('CONTROLE EJ'!R234)+N('CONTROLE CMM'!#REF!))</f>
        <v/>
      </c>
      <c r="BQ232" s="223">
        <f>IF(#REF!="","",#REF!)</f>
        <v/>
      </c>
      <c r="BR232" s="223">
        <f>IF(AND('CONTROLE EJ'!S234="",'CONTROLE CMM'!#REF!=""),"",N('CONTROLE EJ'!S234)+N('CONTROLE CMM'!#REF!))</f>
        <v/>
      </c>
      <c r="BS232" s="223">
        <f>IF(AND('CONTROLE EJ'!T234="",'CONTROLE CMM'!#REF!=""),"",N('CONTROLE EJ'!T234)+N('CONTROLE CMM'!#REF!))</f>
        <v/>
      </c>
      <c r="BT232" s="223">
        <f>IF('CONTROLE GLOBO AÇOS'!X234="","",'CONTROLE GLOBO AÇOS'!X234)</f>
        <v/>
      </c>
      <c r="BU232" s="223">
        <f>IF('CONTROLE GLOBO AÇOS'!Y234="","",'CONTROLE GLOBO AÇOS'!Y234)</f>
        <v/>
      </c>
      <c r="BV232" s="223">
        <f>IF(AND('CONTROLE EJ'!U234="",'CONTROLE CMM'!#REF!=""),"",N('CONTROLE EJ'!U234)+N('CONTROLE CMM'!#REF!))</f>
        <v/>
      </c>
      <c r="BW232" s="223">
        <f>IF(#REF!="","",#REF!)</f>
        <v/>
      </c>
    </row>
    <row r="233">
      <c r="A233" s="282" t="n">
        <v>46450</v>
      </c>
      <c r="B233" s="18">
        <f>IF('CONTROLE EJ'!B235="","",'CONTROLE EJ'!B235)</f>
        <v/>
      </c>
      <c r="C233" s="18">
        <f>IF('CONTROLE EJ'!C235="","",'CONTROLE EJ'!C235)</f>
        <v/>
      </c>
      <c r="D233" s="42">
        <f>IF('CONTROLE EJ'!D235="","",'CONTROLE EJ'!D235)</f>
        <v/>
      </c>
      <c r="E233" s="43">
        <f>IF('CONTROLE CMM'!B235="","",'CONTROLE CMM'!B235)</f>
        <v/>
      </c>
      <c r="F233" s="18">
        <f>IF('CONTROLE CMM'!C235="","",'CONTROLE CMM'!C235)</f>
        <v/>
      </c>
      <c r="G233" s="26">
        <f>IF('CONTROLE CMM'!D235="","",'CONTROLE CMM'!D235)</f>
        <v/>
      </c>
      <c r="H233" s="43">
        <f>IF('CONTROLE GLOBO AÇOS'!B235="","",'CONTROLE GLOBO AÇOS'!B235)</f>
        <v/>
      </c>
      <c r="I233" s="18">
        <f>IF('CONTROLE GLOBO AÇOS'!C235="","",'CONTROLE GLOBO AÇOS'!C235)</f>
        <v/>
      </c>
      <c r="J233" s="18">
        <f>IF('CONTROLE GLOBO AÇOS'!D235="","",'CONTROLE GLOBO AÇOS'!D235)</f>
        <v/>
      </c>
      <c r="AD233" s="39">
        <f>IF($A233="",0,IF(AND(WEEKDAY($A233,2)&lt;=5,OR($B233&lt;&gt;"",$C233&lt;&gt;"",$D233&lt;&gt;"")),1,0))</f>
        <v/>
      </c>
      <c r="AE233" s="39">
        <f>IF($A233="",0,IF(AND(WEEKDAY($A233,2)&lt;=5,OR($E233&lt;&gt;"",$F233&lt;&gt;"",$G233&lt;&gt;"")),1,0))</f>
        <v/>
      </c>
      <c r="AF233" s="39">
        <f>MAX(AD233,AE233)</f>
        <v/>
      </c>
      <c r="AH233" s="223">
        <f>IF('CONTROLE GLOBO AÇOS'!E235="","",'CONTROLE GLOBO AÇOS'!E235)</f>
        <v/>
      </c>
      <c r="AI233" s="223">
        <f>IF('CONTROLE GLOBO AÇOS'!F235="","",'CONTROLE GLOBO AÇOS'!F235)</f>
        <v/>
      </c>
      <c r="AJ233" s="223">
        <f>IF(AND('CONTROLE EJ'!E235="",'CONTROLE CMM'!E235=""),"",N('CONTROLE EJ'!E235)+N('CONTROLE CMM'!E235))</f>
        <v/>
      </c>
      <c r="AK233" s="223">
        <f>IF(AND('CONTROLE EJ'!F235="",'CONTROLE CMM'!F235=""),"",N('CONTROLE EJ'!F235)+N('CONTROLE CMM'!F235))</f>
        <v/>
      </c>
      <c r="AL233" s="223">
        <f>IF(AND('CONTROLE EJ'!G235="",'CONTROLE CMM'!G235=""),"",N('CONTROLE EJ'!G235)+N('CONTROLE CMM'!G235))</f>
        <v/>
      </c>
      <c r="AM233" s="223">
        <f>IF(AND('CONTROLE EJ'!H235="",'CONTROLE CMM'!H235=""),"",N('CONTROLE EJ'!H235)+N('CONTROLE CMM'!H235))</f>
        <v/>
      </c>
      <c r="AN233" s="223">
        <f>IF('CONTROLE GLOBO AÇOS'!G235="","",'CONTROLE GLOBO AÇOS'!G235)</f>
        <v/>
      </c>
      <c r="AO233" s="223">
        <f>IF('CONTROLE GLOBO AÇOS'!H235="","",'CONTROLE GLOBO AÇOS'!H235)</f>
        <v/>
      </c>
      <c r="AP233" s="223">
        <f>IF(AND('CONTROLE EJ'!I235="",'CONTROLE CMM'!I235=""),"",N('CONTROLE EJ'!I235)+N('CONTROLE CMM'!I235))</f>
        <v/>
      </c>
      <c r="AQ233" s="223">
        <f>IF(AND('CONTROLE EJ'!J235="",'CONTROLE CMM'!#REF!=""),"",N('CONTROLE EJ'!J235)+N('CONTROLE CMM'!#REF!))</f>
        <v/>
      </c>
      <c r="AR233" s="223">
        <f>IF('CONTROLE GLOBO AÇOS'!I235="","",'CONTROLE GLOBO AÇOS'!I235)</f>
        <v/>
      </c>
      <c r="AS233" s="223">
        <f>IF('CONTROLE GLOBO AÇOS'!J235="","",'CONTROLE GLOBO AÇOS'!J235)</f>
        <v/>
      </c>
      <c r="AT233" s="223">
        <f>IF(#REF!="","",#REF!)</f>
        <v/>
      </c>
      <c r="AU233" s="223">
        <f>IF('CONTROLE GLOBO AÇOS'!K235="","",'CONTROLE GLOBO AÇOS'!K235)</f>
        <v/>
      </c>
      <c r="AV233" s="223">
        <f>IF(AND('CONTROLE EJ'!K235="",'CONTROLE CMM'!#REF!=""),"",N('CONTROLE EJ'!K235)+N('CONTROLE CMM'!#REF!))</f>
        <v/>
      </c>
      <c r="AW233" s="223">
        <f>IF('CONTROLE GLOBO AÇOS'!L235="","",'CONTROLE GLOBO AÇOS'!L235)</f>
        <v/>
      </c>
      <c r="AX233" s="223">
        <f>IF(AND('CONTROLE EJ'!L235="",'CONTROLE CMM'!#REF!=""),"",N('CONTROLE EJ'!L235)+N('CONTROLE CMM'!#REF!))</f>
        <v/>
      </c>
      <c r="AY233" s="223">
        <f>IF('CONTROLE GLOBO AÇOS'!M235="","",'CONTROLE GLOBO AÇOS'!M235)</f>
        <v/>
      </c>
      <c r="AZ233" s="223">
        <f>IF('CONTROLE GLOBO AÇOS'!N235="","",'CONTROLE GLOBO AÇOS'!N235)</f>
        <v/>
      </c>
      <c r="BA233" s="223">
        <f>IF(AND('CONTROLE EJ'!M235="",'CONTROLE CMM'!#REF!=""),"",N('CONTROLE EJ'!M235)+N('CONTROLE CMM'!#REF!))</f>
        <v/>
      </c>
      <c r="BB233" s="223">
        <f>IF(#REF!="","",#REF!)</f>
        <v/>
      </c>
      <c r="BC233" s="223">
        <f>IF('CONTROLE GLOBO AÇOS'!O235="","",'CONTROLE GLOBO AÇOS'!O235)</f>
        <v/>
      </c>
      <c r="BD233" s="223">
        <f>IF(AND('CONTROLE EJ'!N235="",'CONTROLE CMM'!#REF!=""),"",N('CONTROLE EJ'!N235)+N('CONTROLE CMM'!#REF!))</f>
        <v/>
      </c>
      <c r="BE233" s="223">
        <f>IF('CONTROLE GLOBO AÇOS'!P235="","",'CONTROLE GLOBO AÇOS'!P235)</f>
        <v/>
      </c>
      <c r="BF233" s="223">
        <f>IF('CONTROLE GLOBO AÇOS'!Q235="","",'CONTROLE GLOBO AÇOS'!Q235)</f>
        <v/>
      </c>
      <c r="BG233" s="223">
        <f>IF('CONTROLE GLOBO AÇOS'!R235="","",'CONTROLE GLOBO AÇOS'!R235)</f>
        <v/>
      </c>
      <c r="BH233" s="223">
        <f>IF(AND('CONTROLE EJ'!O235="",'CONTROLE CMM'!#REF!=""),"",N('CONTROLE EJ'!O235)+N('CONTROLE CMM'!#REF!))</f>
        <v/>
      </c>
      <c r="BI233" s="223">
        <f>IF('CONTROLE GLOBO AÇOS'!S235="","",'CONTROLE GLOBO AÇOS'!S235)</f>
        <v/>
      </c>
      <c r="BJ233" s="223">
        <f>IF('CONTROLE GLOBO AÇOS'!T235="","",'CONTROLE GLOBO AÇOS'!T235)</f>
        <v/>
      </c>
      <c r="BK233" s="223">
        <f>IF('CONTROLE GLOBO AÇOS'!U235="","",'CONTROLE GLOBO AÇOS'!U235)</f>
        <v/>
      </c>
      <c r="BL233" s="223">
        <f>IF(AND('CONTROLE EJ'!P235="",'CONTROLE CMM'!#REF!=""),"",N('CONTROLE EJ'!P235)+N('CONTROLE CMM'!#REF!))</f>
        <v/>
      </c>
      <c r="BM233" s="223">
        <f>IF(AND('CONTROLE EJ'!Q235="",'CONTROLE CMM'!#REF!=""),"",N('CONTROLE EJ'!Q235)+N('CONTROLE CMM'!#REF!))</f>
        <v/>
      </c>
      <c r="BN233" s="223">
        <f>IF('CONTROLE GLOBO AÇOS'!V235="","",'CONTROLE GLOBO AÇOS'!V235)</f>
        <v/>
      </c>
      <c r="BO233" s="223">
        <f>IF('CONTROLE GLOBO AÇOS'!W235="","",'CONTROLE GLOBO AÇOS'!W235)</f>
        <v/>
      </c>
      <c r="BP233" s="223">
        <f>IF(AND('CONTROLE EJ'!R235="",'CONTROLE CMM'!#REF!=""),"",N('CONTROLE EJ'!R235)+N('CONTROLE CMM'!#REF!))</f>
        <v/>
      </c>
      <c r="BQ233" s="223">
        <f>IF(#REF!="","",#REF!)</f>
        <v/>
      </c>
      <c r="BR233" s="223">
        <f>IF(AND('CONTROLE EJ'!S235="",'CONTROLE CMM'!#REF!=""),"",N('CONTROLE EJ'!S235)+N('CONTROLE CMM'!#REF!))</f>
        <v/>
      </c>
      <c r="BS233" s="223">
        <f>IF(AND('CONTROLE EJ'!T235="",'CONTROLE CMM'!#REF!=""),"",N('CONTROLE EJ'!T235)+N('CONTROLE CMM'!#REF!))</f>
        <v/>
      </c>
      <c r="BT233" s="223">
        <f>IF('CONTROLE GLOBO AÇOS'!X235="","",'CONTROLE GLOBO AÇOS'!X235)</f>
        <v/>
      </c>
      <c r="BU233" s="223">
        <f>IF('CONTROLE GLOBO AÇOS'!Y235="","",'CONTROLE GLOBO AÇOS'!Y235)</f>
        <v/>
      </c>
      <c r="BV233" s="223">
        <f>IF(AND('CONTROLE EJ'!U235="",'CONTROLE CMM'!#REF!=""),"",N('CONTROLE EJ'!U235)+N('CONTROLE CMM'!#REF!))</f>
        <v/>
      </c>
      <c r="BW233" s="223">
        <f>IF(#REF!="","",#REF!)</f>
        <v/>
      </c>
    </row>
    <row r="234">
      <c r="A234" s="282" t="n">
        <v>46451</v>
      </c>
      <c r="B234" s="18">
        <f>IF('CONTROLE EJ'!B236="","",'CONTROLE EJ'!B236)</f>
        <v/>
      </c>
      <c r="C234" s="18">
        <f>IF('CONTROLE EJ'!C236="","",'CONTROLE EJ'!C236)</f>
        <v/>
      </c>
      <c r="D234" s="42">
        <f>IF('CONTROLE EJ'!D236="","",'CONTROLE EJ'!D236)</f>
        <v/>
      </c>
      <c r="E234" s="43">
        <f>IF('CONTROLE CMM'!B236="","",'CONTROLE CMM'!B236)</f>
        <v/>
      </c>
      <c r="F234" s="18">
        <f>IF('CONTROLE CMM'!C236="","",'CONTROLE CMM'!C236)</f>
        <v/>
      </c>
      <c r="G234" s="26">
        <f>IF('CONTROLE CMM'!D236="","",'CONTROLE CMM'!D236)</f>
        <v/>
      </c>
      <c r="H234" s="43">
        <f>IF('CONTROLE GLOBO AÇOS'!B236="","",'CONTROLE GLOBO AÇOS'!B236)</f>
        <v/>
      </c>
      <c r="I234" s="18">
        <f>IF('CONTROLE GLOBO AÇOS'!C236="","",'CONTROLE GLOBO AÇOS'!C236)</f>
        <v/>
      </c>
      <c r="J234" s="18">
        <f>IF('CONTROLE GLOBO AÇOS'!D236="","",'CONTROLE GLOBO AÇOS'!D236)</f>
        <v/>
      </c>
      <c r="AD234" s="39">
        <f>IF($A234="",0,IF(AND(WEEKDAY($A234,2)&lt;=5,OR($B234&lt;&gt;"",$C234&lt;&gt;"",$D234&lt;&gt;"")),1,0))</f>
        <v/>
      </c>
      <c r="AE234" s="39">
        <f>IF($A234="",0,IF(AND(WEEKDAY($A234,2)&lt;=5,OR($E234&lt;&gt;"",$F234&lt;&gt;"",$G234&lt;&gt;"")),1,0))</f>
        <v/>
      </c>
      <c r="AF234" s="39">
        <f>MAX(AD234,AE234)</f>
        <v/>
      </c>
      <c r="AH234" s="223">
        <f>IF('CONTROLE GLOBO AÇOS'!E236="","",'CONTROLE GLOBO AÇOS'!E236)</f>
        <v/>
      </c>
      <c r="AI234" s="223">
        <f>IF('CONTROLE GLOBO AÇOS'!F236="","",'CONTROLE GLOBO AÇOS'!F236)</f>
        <v/>
      </c>
      <c r="AJ234" s="223">
        <f>IF(AND('CONTROLE EJ'!E236="",'CONTROLE CMM'!E236=""),"",N('CONTROLE EJ'!E236)+N('CONTROLE CMM'!E236))</f>
        <v/>
      </c>
      <c r="AK234" s="223">
        <f>IF(AND('CONTROLE EJ'!F236="",'CONTROLE CMM'!F236=""),"",N('CONTROLE EJ'!F236)+N('CONTROLE CMM'!F236))</f>
        <v/>
      </c>
      <c r="AL234" s="223">
        <f>IF(AND('CONTROLE EJ'!G236="",'CONTROLE CMM'!G236=""),"",N('CONTROLE EJ'!G236)+N('CONTROLE CMM'!G236))</f>
        <v/>
      </c>
      <c r="AM234" s="223">
        <f>IF(AND('CONTROLE EJ'!H236="",'CONTROLE CMM'!H236=""),"",N('CONTROLE EJ'!H236)+N('CONTROLE CMM'!H236))</f>
        <v/>
      </c>
      <c r="AN234" s="223">
        <f>IF('CONTROLE GLOBO AÇOS'!G236="","",'CONTROLE GLOBO AÇOS'!G236)</f>
        <v/>
      </c>
      <c r="AO234" s="223">
        <f>IF('CONTROLE GLOBO AÇOS'!H236="","",'CONTROLE GLOBO AÇOS'!H236)</f>
        <v/>
      </c>
      <c r="AP234" s="223">
        <f>IF(AND('CONTROLE EJ'!I236="",'CONTROLE CMM'!I236=""),"",N('CONTROLE EJ'!I236)+N('CONTROLE CMM'!I236))</f>
        <v/>
      </c>
      <c r="AQ234" s="223">
        <f>IF(AND('CONTROLE EJ'!J236="",'CONTROLE CMM'!#REF!=""),"",N('CONTROLE EJ'!J236)+N('CONTROLE CMM'!#REF!))</f>
        <v/>
      </c>
      <c r="AR234" s="223">
        <f>IF('CONTROLE GLOBO AÇOS'!I236="","",'CONTROLE GLOBO AÇOS'!I236)</f>
        <v/>
      </c>
      <c r="AS234" s="223">
        <f>IF('CONTROLE GLOBO AÇOS'!J236="","",'CONTROLE GLOBO AÇOS'!J236)</f>
        <v/>
      </c>
      <c r="AT234" s="223">
        <f>IF(#REF!="","",#REF!)</f>
        <v/>
      </c>
      <c r="AU234" s="223">
        <f>IF('CONTROLE GLOBO AÇOS'!K236="","",'CONTROLE GLOBO AÇOS'!K236)</f>
        <v/>
      </c>
      <c r="AV234" s="223">
        <f>IF(AND('CONTROLE EJ'!K236="",'CONTROLE CMM'!#REF!=""),"",N('CONTROLE EJ'!K236)+N('CONTROLE CMM'!#REF!))</f>
        <v/>
      </c>
      <c r="AW234" s="223">
        <f>IF('CONTROLE GLOBO AÇOS'!L236="","",'CONTROLE GLOBO AÇOS'!L236)</f>
        <v/>
      </c>
      <c r="AX234" s="223">
        <f>IF(AND('CONTROLE EJ'!L236="",'CONTROLE CMM'!#REF!=""),"",N('CONTROLE EJ'!L236)+N('CONTROLE CMM'!#REF!))</f>
        <v/>
      </c>
      <c r="AY234" s="223">
        <f>IF('CONTROLE GLOBO AÇOS'!M236="","",'CONTROLE GLOBO AÇOS'!M236)</f>
        <v/>
      </c>
      <c r="AZ234" s="223">
        <f>IF('CONTROLE GLOBO AÇOS'!N236="","",'CONTROLE GLOBO AÇOS'!N236)</f>
        <v/>
      </c>
      <c r="BA234" s="223">
        <f>IF(AND('CONTROLE EJ'!M236="",'CONTROLE CMM'!#REF!=""),"",N('CONTROLE EJ'!M236)+N('CONTROLE CMM'!#REF!))</f>
        <v/>
      </c>
      <c r="BB234" s="223">
        <f>IF(#REF!="","",#REF!)</f>
        <v/>
      </c>
      <c r="BC234" s="223">
        <f>IF('CONTROLE GLOBO AÇOS'!O236="","",'CONTROLE GLOBO AÇOS'!O236)</f>
        <v/>
      </c>
      <c r="BD234" s="223">
        <f>IF(AND('CONTROLE EJ'!N236="",'CONTROLE CMM'!#REF!=""),"",N('CONTROLE EJ'!N236)+N('CONTROLE CMM'!#REF!))</f>
        <v/>
      </c>
      <c r="BE234" s="223">
        <f>IF('CONTROLE GLOBO AÇOS'!P236="","",'CONTROLE GLOBO AÇOS'!P236)</f>
        <v/>
      </c>
      <c r="BF234" s="223">
        <f>IF('CONTROLE GLOBO AÇOS'!Q236="","",'CONTROLE GLOBO AÇOS'!Q236)</f>
        <v/>
      </c>
      <c r="BG234" s="223">
        <f>IF('CONTROLE GLOBO AÇOS'!R236="","",'CONTROLE GLOBO AÇOS'!R236)</f>
        <v/>
      </c>
      <c r="BH234" s="223">
        <f>IF(AND('CONTROLE EJ'!O236="",'CONTROLE CMM'!#REF!=""),"",N('CONTROLE EJ'!O236)+N('CONTROLE CMM'!#REF!))</f>
        <v/>
      </c>
      <c r="BI234" s="223">
        <f>IF('CONTROLE GLOBO AÇOS'!S236="","",'CONTROLE GLOBO AÇOS'!S236)</f>
        <v/>
      </c>
      <c r="BJ234" s="223">
        <f>IF('CONTROLE GLOBO AÇOS'!T236="","",'CONTROLE GLOBO AÇOS'!T236)</f>
        <v/>
      </c>
      <c r="BK234" s="223">
        <f>IF('CONTROLE GLOBO AÇOS'!U236="","",'CONTROLE GLOBO AÇOS'!U236)</f>
        <v/>
      </c>
      <c r="BL234" s="223">
        <f>IF(AND('CONTROLE EJ'!P236="",'CONTROLE CMM'!#REF!=""),"",N('CONTROLE EJ'!P236)+N('CONTROLE CMM'!#REF!))</f>
        <v/>
      </c>
      <c r="BM234" s="223">
        <f>IF(AND('CONTROLE EJ'!Q236="",'CONTROLE CMM'!#REF!=""),"",N('CONTROLE EJ'!Q236)+N('CONTROLE CMM'!#REF!))</f>
        <v/>
      </c>
      <c r="BN234" s="223">
        <f>IF('CONTROLE GLOBO AÇOS'!V236="","",'CONTROLE GLOBO AÇOS'!V236)</f>
        <v/>
      </c>
      <c r="BO234" s="223">
        <f>IF('CONTROLE GLOBO AÇOS'!W236="","",'CONTROLE GLOBO AÇOS'!W236)</f>
        <v/>
      </c>
      <c r="BP234" s="223">
        <f>IF(AND('CONTROLE EJ'!R236="",'CONTROLE CMM'!#REF!=""),"",N('CONTROLE EJ'!R236)+N('CONTROLE CMM'!#REF!))</f>
        <v/>
      </c>
      <c r="BQ234" s="223">
        <f>IF(#REF!="","",#REF!)</f>
        <v/>
      </c>
      <c r="BR234" s="223">
        <f>IF(AND('CONTROLE EJ'!S236="",'CONTROLE CMM'!#REF!=""),"",N('CONTROLE EJ'!S236)+N('CONTROLE CMM'!#REF!))</f>
        <v/>
      </c>
      <c r="BS234" s="223">
        <f>IF(AND('CONTROLE EJ'!T236="",'CONTROLE CMM'!#REF!=""),"",N('CONTROLE EJ'!T236)+N('CONTROLE CMM'!#REF!))</f>
        <v/>
      </c>
      <c r="BT234" s="223">
        <f>IF('CONTROLE GLOBO AÇOS'!X236="","",'CONTROLE GLOBO AÇOS'!X236)</f>
        <v/>
      </c>
      <c r="BU234" s="223">
        <f>IF('CONTROLE GLOBO AÇOS'!Y236="","",'CONTROLE GLOBO AÇOS'!Y236)</f>
        <v/>
      </c>
      <c r="BV234" s="223">
        <f>IF(AND('CONTROLE EJ'!U236="",'CONTROLE CMM'!#REF!=""),"",N('CONTROLE EJ'!U236)+N('CONTROLE CMM'!#REF!))</f>
        <v/>
      </c>
      <c r="BW234" s="223">
        <f>IF(#REF!="","",#REF!)</f>
        <v/>
      </c>
    </row>
    <row r="235">
      <c r="A235" s="282" t="n">
        <v>46452</v>
      </c>
      <c r="B235" s="18">
        <f>IF('CONTROLE EJ'!B237="","",'CONTROLE EJ'!B237)</f>
        <v/>
      </c>
      <c r="C235" s="18">
        <f>IF('CONTROLE EJ'!C237="","",'CONTROLE EJ'!C237)</f>
        <v/>
      </c>
      <c r="D235" s="42">
        <f>IF('CONTROLE EJ'!D237="","",'CONTROLE EJ'!D237)</f>
        <v/>
      </c>
      <c r="E235" s="43">
        <f>IF('CONTROLE CMM'!B237="","",'CONTROLE CMM'!B237)</f>
        <v/>
      </c>
      <c r="F235" s="18">
        <f>IF('CONTROLE CMM'!C237="","",'CONTROLE CMM'!C237)</f>
        <v/>
      </c>
      <c r="G235" s="26">
        <f>IF('CONTROLE CMM'!D237="","",'CONTROLE CMM'!D237)</f>
        <v/>
      </c>
      <c r="H235" s="43">
        <f>IF('CONTROLE GLOBO AÇOS'!B237="","",'CONTROLE GLOBO AÇOS'!B237)</f>
        <v/>
      </c>
      <c r="I235" s="18">
        <f>IF('CONTROLE GLOBO AÇOS'!C237="","",'CONTROLE GLOBO AÇOS'!C237)</f>
        <v/>
      </c>
      <c r="J235" s="18">
        <f>IF('CONTROLE GLOBO AÇOS'!D237="","",'CONTROLE GLOBO AÇOS'!D237)</f>
        <v/>
      </c>
      <c r="AD235" s="39">
        <f>IF($A235="",0,IF(AND(WEEKDAY($A235,2)&lt;=5,OR($B235&lt;&gt;"",$C235&lt;&gt;"",$D235&lt;&gt;"")),1,0))</f>
        <v/>
      </c>
      <c r="AE235" s="39">
        <f>IF($A235="",0,IF(AND(WEEKDAY($A235,2)&lt;=5,OR($E235&lt;&gt;"",$F235&lt;&gt;"",$G235&lt;&gt;"")),1,0))</f>
        <v/>
      </c>
      <c r="AF235" s="39">
        <f>MAX(AD235,AE235)</f>
        <v/>
      </c>
      <c r="AH235" s="223">
        <f>IF('CONTROLE GLOBO AÇOS'!E237="","",'CONTROLE GLOBO AÇOS'!E237)</f>
        <v/>
      </c>
      <c r="AI235" s="223">
        <f>IF('CONTROLE GLOBO AÇOS'!F237="","",'CONTROLE GLOBO AÇOS'!F237)</f>
        <v/>
      </c>
      <c r="AJ235" s="223">
        <f>IF(AND('CONTROLE EJ'!E237="",'CONTROLE CMM'!E237=""),"",N('CONTROLE EJ'!E237)+N('CONTROLE CMM'!E237))</f>
        <v/>
      </c>
      <c r="AK235" s="223">
        <f>IF(AND('CONTROLE EJ'!F237="",'CONTROLE CMM'!F237=""),"",N('CONTROLE EJ'!F237)+N('CONTROLE CMM'!F237))</f>
        <v/>
      </c>
      <c r="AL235" s="223">
        <f>IF(AND('CONTROLE EJ'!G237="",'CONTROLE CMM'!G237=""),"",N('CONTROLE EJ'!G237)+N('CONTROLE CMM'!G237))</f>
        <v/>
      </c>
      <c r="AM235" s="223">
        <f>IF(AND('CONTROLE EJ'!H237="",'CONTROLE CMM'!H237=""),"",N('CONTROLE EJ'!H237)+N('CONTROLE CMM'!H237))</f>
        <v/>
      </c>
      <c r="AN235" s="223">
        <f>IF('CONTROLE GLOBO AÇOS'!G237="","",'CONTROLE GLOBO AÇOS'!G237)</f>
        <v/>
      </c>
      <c r="AO235" s="223">
        <f>IF('CONTROLE GLOBO AÇOS'!H237="","",'CONTROLE GLOBO AÇOS'!H237)</f>
        <v/>
      </c>
      <c r="AP235" s="223">
        <f>IF(AND('CONTROLE EJ'!I237="",'CONTROLE CMM'!I237=""),"",N('CONTROLE EJ'!I237)+N('CONTROLE CMM'!I237))</f>
        <v/>
      </c>
      <c r="AQ235" s="223">
        <f>IF(AND('CONTROLE EJ'!J237="",'CONTROLE CMM'!#REF!=""),"",N('CONTROLE EJ'!J237)+N('CONTROLE CMM'!#REF!))</f>
        <v/>
      </c>
      <c r="AR235" s="223">
        <f>IF('CONTROLE GLOBO AÇOS'!I237="","",'CONTROLE GLOBO AÇOS'!I237)</f>
        <v/>
      </c>
      <c r="AS235" s="223">
        <f>IF('CONTROLE GLOBO AÇOS'!J237="","",'CONTROLE GLOBO AÇOS'!J237)</f>
        <v/>
      </c>
      <c r="AT235" s="223">
        <f>IF(#REF!="","",#REF!)</f>
        <v/>
      </c>
      <c r="AU235" s="223">
        <f>IF('CONTROLE GLOBO AÇOS'!K237="","",'CONTROLE GLOBO AÇOS'!K237)</f>
        <v/>
      </c>
      <c r="AV235" s="223">
        <f>IF(AND('CONTROLE EJ'!K237="",'CONTROLE CMM'!#REF!=""),"",N('CONTROLE EJ'!K237)+N('CONTROLE CMM'!#REF!))</f>
        <v/>
      </c>
      <c r="AW235" s="223">
        <f>IF('CONTROLE GLOBO AÇOS'!L237="","",'CONTROLE GLOBO AÇOS'!L237)</f>
        <v/>
      </c>
      <c r="AX235" s="223">
        <f>IF(AND('CONTROLE EJ'!L237="",'CONTROLE CMM'!#REF!=""),"",N('CONTROLE EJ'!L237)+N('CONTROLE CMM'!#REF!))</f>
        <v/>
      </c>
      <c r="AY235" s="223">
        <f>IF('CONTROLE GLOBO AÇOS'!M237="","",'CONTROLE GLOBO AÇOS'!M237)</f>
        <v/>
      </c>
      <c r="AZ235" s="223">
        <f>IF('CONTROLE GLOBO AÇOS'!N237="","",'CONTROLE GLOBO AÇOS'!N237)</f>
        <v/>
      </c>
      <c r="BA235" s="223">
        <f>IF(AND('CONTROLE EJ'!M237="",'CONTROLE CMM'!#REF!=""),"",N('CONTROLE EJ'!M237)+N('CONTROLE CMM'!#REF!))</f>
        <v/>
      </c>
      <c r="BB235" s="223">
        <f>IF(#REF!="","",#REF!)</f>
        <v/>
      </c>
      <c r="BC235" s="223">
        <f>IF('CONTROLE GLOBO AÇOS'!O237="","",'CONTROLE GLOBO AÇOS'!O237)</f>
        <v/>
      </c>
      <c r="BD235" s="223">
        <f>IF(AND('CONTROLE EJ'!N237="",'CONTROLE CMM'!#REF!=""),"",N('CONTROLE EJ'!N237)+N('CONTROLE CMM'!#REF!))</f>
        <v/>
      </c>
      <c r="BE235" s="223">
        <f>IF('CONTROLE GLOBO AÇOS'!P237="","",'CONTROLE GLOBO AÇOS'!P237)</f>
        <v/>
      </c>
      <c r="BF235" s="223">
        <f>IF('CONTROLE GLOBO AÇOS'!Q237="","",'CONTROLE GLOBO AÇOS'!Q237)</f>
        <v/>
      </c>
      <c r="BG235" s="223">
        <f>IF('CONTROLE GLOBO AÇOS'!R237="","",'CONTROLE GLOBO AÇOS'!R237)</f>
        <v/>
      </c>
      <c r="BH235" s="223">
        <f>IF(AND('CONTROLE EJ'!O237="",'CONTROLE CMM'!#REF!=""),"",N('CONTROLE EJ'!O237)+N('CONTROLE CMM'!#REF!))</f>
        <v/>
      </c>
      <c r="BI235" s="223">
        <f>IF('CONTROLE GLOBO AÇOS'!S237="","",'CONTROLE GLOBO AÇOS'!S237)</f>
        <v/>
      </c>
      <c r="BJ235" s="223">
        <f>IF('CONTROLE GLOBO AÇOS'!T237="","",'CONTROLE GLOBO AÇOS'!T237)</f>
        <v/>
      </c>
      <c r="BK235" s="223">
        <f>IF('CONTROLE GLOBO AÇOS'!U237="","",'CONTROLE GLOBO AÇOS'!U237)</f>
        <v/>
      </c>
      <c r="BL235" s="223">
        <f>IF(AND('CONTROLE EJ'!P237="",'CONTROLE CMM'!#REF!=""),"",N('CONTROLE EJ'!P237)+N('CONTROLE CMM'!#REF!))</f>
        <v/>
      </c>
      <c r="BM235" s="223">
        <f>IF(AND('CONTROLE EJ'!Q237="",'CONTROLE CMM'!#REF!=""),"",N('CONTROLE EJ'!Q237)+N('CONTROLE CMM'!#REF!))</f>
        <v/>
      </c>
      <c r="BN235" s="223">
        <f>IF('CONTROLE GLOBO AÇOS'!V237="","",'CONTROLE GLOBO AÇOS'!V237)</f>
        <v/>
      </c>
      <c r="BO235" s="223">
        <f>IF('CONTROLE GLOBO AÇOS'!W237="","",'CONTROLE GLOBO AÇOS'!W237)</f>
        <v/>
      </c>
      <c r="BP235" s="223">
        <f>IF(AND('CONTROLE EJ'!R237="",'CONTROLE CMM'!#REF!=""),"",N('CONTROLE EJ'!R237)+N('CONTROLE CMM'!#REF!))</f>
        <v/>
      </c>
      <c r="BQ235" s="223">
        <f>IF(#REF!="","",#REF!)</f>
        <v/>
      </c>
      <c r="BR235" s="223">
        <f>IF(AND('CONTROLE EJ'!S237="",'CONTROLE CMM'!#REF!=""),"",N('CONTROLE EJ'!S237)+N('CONTROLE CMM'!#REF!))</f>
        <v/>
      </c>
      <c r="BS235" s="223">
        <f>IF(AND('CONTROLE EJ'!T237="",'CONTROLE CMM'!#REF!=""),"",N('CONTROLE EJ'!T237)+N('CONTROLE CMM'!#REF!))</f>
        <v/>
      </c>
      <c r="BT235" s="223">
        <f>IF('CONTROLE GLOBO AÇOS'!X237="","",'CONTROLE GLOBO AÇOS'!X237)</f>
        <v/>
      </c>
      <c r="BU235" s="223">
        <f>IF('CONTROLE GLOBO AÇOS'!Y237="","",'CONTROLE GLOBO AÇOS'!Y237)</f>
        <v/>
      </c>
      <c r="BV235" s="223">
        <f>IF(AND('CONTROLE EJ'!U237="",'CONTROLE CMM'!#REF!=""),"",N('CONTROLE EJ'!U237)+N('CONTROLE CMM'!#REF!))</f>
        <v/>
      </c>
      <c r="BW235" s="223">
        <f>IF(#REF!="","",#REF!)</f>
        <v/>
      </c>
    </row>
    <row r="236">
      <c r="A236" s="282" t="n">
        <v>46453</v>
      </c>
      <c r="B236" s="18">
        <f>IF('CONTROLE EJ'!B238="","",'CONTROLE EJ'!B238)</f>
        <v/>
      </c>
      <c r="C236" s="18">
        <f>IF('CONTROLE EJ'!C238="","",'CONTROLE EJ'!C238)</f>
        <v/>
      </c>
      <c r="D236" s="42">
        <f>IF('CONTROLE EJ'!D238="","",'CONTROLE EJ'!D238)</f>
        <v/>
      </c>
      <c r="E236" s="43">
        <f>IF('CONTROLE CMM'!B238="","",'CONTROLE CMM'!B238)</f>
        <v/>
      </c>
      <c r="F236" s="18">
        <f>IF('CONTROLE CMM'!C238="","",'CONTROLE CMM'!C238)</f>
        <v/>
      </c>
      <c r="G236" s="26">
        <f>IF('CONTROLE CMM'!D238="","",'CONTROLE CMM'!D238)</f>
        <v/>
      </c>
      <c r="H236" s="43">
        <f>IF('CONTROLE GLOBO AÇOS'!B238="","",'CONTROLE GLOBO AÇOS'!B238)</f>
        <v/>
      </c>
      <c r="I236" s="18">
        <f>IF('CONTROLE GLOBO AÇOS'!C238="","",'CONTROLE GLOBO AÇOS'!C238)</f>
        <v/>
      </c>
      <c r="J236" s="18">
        <f>IF('CONTROLE GLOBO AÇOS'!D238="","",'CONTROLE GLOBO AÇOS'!D238)</f>
        <v/>
      </c>
      <c r="AD236" s="39">
        <f>IF($A236="",0,IF(AND(WEEKDAY($A236,2)&lt;=5,OR($B236&lt;&gt;"",$C236&lt;&gt;"",$D236&lt;&gt;"")),1,0))</f>
        <v/>
      </c>
      <c r="AE236" s="39">
        <f>IF($A236="",0,IF(AND(WEEKDAY($A236,2)&lt;=5,OR($E236&lt;&gt;"",$F236&lt;&gt;"",$G236&lt;&gt;"")),1,0))</f>
        <v/>
      </c>
      <c r="AF236" s="39">
        <f>MAX(AD236,AE236)</f>
        <v/>
      </c>
      <c r="AH236" s="223">
        <f>IF('CONTROLE GLOBO AÇOS'!E238="","",'CONTROLE GLOBO AÇOS'!E238)</f>
        <v/>
      </c>
      <c r="AI236" s="223">
        <f>IF('CONTROLE GLOBO AÇOS'!F238="","",'CONTROLE GLOBO AÇOS'!F238)</f>
        <v/>
      </c>
      <c r="AJ236" s="223">
        <f>IF(AND('CONTROLE EJ'!E238="",'CONTROLE CMM'!E238=""),"",N('CONTROLE EJ'!E238)+N('CONTROLE CMM'!E238))</f>
        <v/>
      </c>
      <c r="AK236" s="223">
        <f>IF(AND('CONTROLE EJ'!F238="",'CONTROLE CMM'!F238=""),"",N('CONTROLE EJ'!F238)+N('CONTROLE CMM'!F238))</f>
        <v/>
      </c>
      <c r="AL236" s="223">
        <f>IF(AND('CONTROLE EJ'!G238="",'CONTROLE CMM'!G238=""),"",N('CONTROLE EJ'!G238)+N('CONTROLE CMM'!G238))</f>
        <v/>
      </c>
      <c r="AM236" s="223">
        <f>IF(AND('CONTROLE EJ'!H238="",'CONTROLE CMM'!H238=""),"",N('CONTROLE EJ'!H238)+N('CONTROLE CMM'!H238))</f>
        <v/>
      </c>
      <c r="AN236" s="223">
        <f>IF('CONTROLE GLOBO AÇOS'!G238="","",'CONTROLE GLOBO AÇOS'!G238)</f>
        <v/>
      </c>
      <c r="AO236" s="223">
        <f>IF('CONTROLE GLOBO AÇOS'!H238="","",'CONTROLE GLOBO AÇOS'!H238)</f>
        <v/>
      </c>
      <c r="AP236" s="223">
        <f>IF(AND('CONTROLE EJ'!I238="",'CONTROLE CMM'!I238=""),"",N('CONTROLE EJ'!I238)+N('CONTROLE CMM'!I238))</f>
        <v/>
      </c>
      <c r="AQ236" s="223">
        <f>IF(AND('CONTROLE EJ'!J238="",'CONTROLE CMM'!#REF!=""),"",N('CONTROLE EJ'!J238)+N('CONTROLE CMM'!#REF!))</f>
        <v/>
      </c>
      <c r="AR236" s="223">
        <f>IF('CONTROLE GLOBO AÇOS'!I238="","",'CONTROLE GLOBO AÇOS'!I238)</f>
        <v/>
      </c>
      <c r="AS236" s="223">
        <f>IF('CONTROLE GLOBO AÇOS'!J238="","",'CONTROLE GLOBO AÇOS'!J238)</f>
        <v/>
      </c>
      <c r="AT236" s="223">
        <f>IF(#REF!="","",#REF!)</f>
        <v/>
      </c>
      <c r="AU236" s="223">
        <f>IF('CONTROLE GLOBO AÇOS'!K238="","",'CONTROLE GLOBO AÇOS'!K238)</f>
        <v/>
      </c>
      <c r="AV236" s="223">
        <f>IF(AND('CONTROLE EJ'!K238="",'CONTROLE CMM'!#REF!=""),"",N('CONTROLE EJ'!K238)+N('CONTROLE CMM'!#REF!))</f>
        <v/>
      </c>
      <c r="AW236" s="223">
        <f>IF('CONTROLE GLOBO AÇOS'!L238="","",'CONTROLE GLOBO AÇOS'!L238)</f>
        <v/>
      </c>
      <c r="AX236" s="223">
        <f>IF(AND('CONTROLE EJ'!L238="",'CONTROLE CMM'!#REF!=""),"",N('CONTROLE EJ'!L238)+N('CONTROLE CMM'!#REF!))</f>
        <v/>
      </c>
      <c r="AY236" s="223">
        <f>IF('CONTROLE GLOBO AÇOS'!M238="","",'CONTROLE GLOBO AÇOS'!M238)</f>
        <v/>
      </c>
      <c r="AZ236" s="223">
        <f>IF('CONTROLE GLOBO AÇOS'!N238="","",'CONTROLE GLOBO AÇOS'!N238)</f>
        <v/>
      </c>
      <c r="BA236" s="223">
        <f>IF(AND('CONTROLE EJ'!M238="",'CONTROLE CMM'!#REF!=""),"",N('CONTROLE EJ'!M238)+N('CONTROLE CMM'!#REF!))</f>
        <v/>
      </c>
      <c r="BB236" s="223">
        <f>IF(#REF!="","",#REF!)</f>
        <v/>
      </c>
      <c r="BC236" s="223">
        <f>IF('CONTROLE GLOBO AÇOS'!O238="","",'CONTROLE GLOBO AÇOS'!O238)</f>
        <v/>
      </c>
      <c r="BD236" s="223">
        <f>IF(AND('CONTROLE EJ'!N238="",'CONTROLE CMM'!#REF!=""),"",N('CONTROLE EJ'!N238)+N('CONTROLE CMM'!#REF!))</f>
        <v/>
      </c>
      <c r="BE236" s="223">
        <f>IF('CONTROLE GLOBO AÇOS'!P238="","",'CONTROLE GLOBO AÇOS'!P238)</f>
        <v/>
      </c>
      <c r="BF236" s="223">
        <f>IF('CONTROLE GLOBO AÇOS'!Q238="","",'CONTROLE GLOBO AÇOS'!Q238)</f>
        <v/>
      </c>
      <c r="BG236" s="223">
        <f>IF('CONTROLE GLOBO AÇOS'!R238="","",'CONTROLE GLOBO AÇOS'!R238)</f>
        <v/>
      </c>
      <c r="BH236" s="223">
        <f>IF(AND('CONTROLE EJ'!O238="",'CONTROLE CMM'!#REF!=""),"",N('CONTROLE EJ'!O238)+N('CONTROLE CMM'!#REF!))</f>
        <v/>
      </c>
      <c r="BI236" s="223">
        <f>IF('CONTROLE GLOBO AÇOS'!S238="","",'CONTROLE GLOBO AÇOS'!S238)</f>
        <v/>
      </c>
      <c r="BJ236" s="223">
        <f>IF('CONTROLE GLOBO AÇOS'!T238="","",'CONTROLE GLOBO AÇOS'!T238)</f>
        <v/>
      </c>
      <c r="BK236" s="223">
        <f>IF('CONTROLE GLOBO AÇOS'!U238="","",'CONTROLE GLOBO AÇOS'!U238)</f>
        <v/>
      </c>
      <c r="BL236" s="223">
        <f>IF(AND('CONTROLE EJ'!P238="",'CONTROLE CMM'!#REF!=""),"",N('CONTROLE EJ'!P238)+N('CONTROLE CMM'!#REF!))</f>
        <v/>
      </c>
      <c r="BM236" s="223">
        <f>IF(AND('CONTROLE EJ'!Q238="",'CONTROLE CMM'!#REF!=""),"",N('CONTROLE EJ'!Q238)+N('CONTROLE CMM'!#REF!))</f>
        <v/>
      </c>
      <c r="BN236" s="223">
        <f>IF('CONTROLE GLOBO AÇOS'!V238="","",'CONTROLE GLOBO AÇOS'!V238)</f>
        <v/>
      </c>
      <c r="BO236" s="223">
        <f>IF('CONTROLE GLOBO AÇOS'!W238="","",'CONTROLE GLOBO AÇOS'!W238)</f>
        <v/>
      </c>
      <c r="BP236" s="223">
        <f>IF(AND('CONTROLE EJ'!R238="",'CONTROLE CMM'!#REF!=""),"",N('CONTROLE EJ'!R238)+N('CONTROLE CMM'!#REF!))</f>
        <v/>
      </c>
      <c r="BQ236" s="223">
        <f>IF(#REF!="","",#REF!)</f>
        <v/>
      </c>
      <c r="BR236" s="223">
        <f>IF(AND('CONTROLE EJ'!S238="",'CONTROLE CMM'!#REF!=""),"",N('CONTROLE EJ'!S238)+N('CONTROLE CMM'!#REF!))</f>
        <v/>
      </c>
      <c r="BS236" s="223">
        <f>IF(AND('CONTROLE EJ'!T238="",'CONTROLE CMM'!#REF!=""),"",N('CONTROLE EJ'!T238)+N('CONTROLE CMM'!#REF!))</f>
        <v/>
      </c>
      <c r="BT236" s="223">
        <f>IF('CONTROLE GLOBO AÇOS'!X238="","",'CONTROLE GLOBO AÇOS'!X238)</f>
        <v/>
      </c>
      <c r="BU236" s="223">
        <f>IF('CONTROLE GLOBO AÇOS'!Y238="","",'CONTROLE GLOBO AÇOS'!Y238)</f>
        <v/>
      </c>
      <c r="BV236" s="223">
        <f>IF(AND('CONTROLE EJ'!U238="",'CONTROLE CMM'!#REF!=""),"",N('CONTROLE EJ'!U238)+N('CONTROLE CMM'!#REF!))</f>
        <v/>
      </c>
      <c r="BW236" s="223">
        <f>IF(#REF!="","",#REF!)</f>
        <v/>
      </c>
    </row>
    <row r="237">
      <c r="A237" s="282" t="n">
        <v>46454</v>
      </c>
      <c r="B237" s="18">
        <f>IF('CONTROLE EJ'!B239="","",'CONTROLE EJ'!B239)</f>
        <v/>
      </c>
      <c r="C237" s="18">
        <f>IF('CONTROLE EJ'!C239="","",'CONTROLE EJ'!C239)</f>
        <v/>
      </c>
      <c r="D237" s="42">
        <f>IF('CONTROLE EJ'!D239="","",'CONTROLE EJ'!D239)</f>
        <v/>
      </c>
      <c r="E237" s="43">
        <f>IF('CONTROLE CMM'!B239="","",'CONTROLE CMM'!B239)</f>
        <v/>
      </c>
      <c r="F237" s="18">
        <f>IF('CONTROLE CMM'!C239="","",'CONTROLE CMM'!C239)</f>
        <v/>
      </c>
      <c r="G237" s="26">
        <f>IF('CONTROLE CMM'!D239="","",'CONTROLE CMM'!D239)</f>
        <v/>
      </c>
      <c r="H237" s="43">
        <f>IF('CONTROLE GLOBO AÇOS'!B239="","",'CONTROLE GLOBO AÇOS'!B239)</f>
        <v/>
      </c>
      <c r="I237" s="18">
        <f>IF('CONTROLE GLOBO AÇOS'!C239="","",'CONTROLE GLOBO AÇOS'!C239)</f>
        <v/>
      </c>
      <c r="J237" s="18">
        <f>IF('CONTROLE GLOBO AÇOS'!D239="","",'CONTROLE GLOBO AÇOS'!D239)</f>
        <v/>
      </c>
      <c r="AD237" s="39">
        <f>IF($A237="",0,IF(AND(WEEKDAY($A237,2)&lt;=5,OR($B237&lt;&gt;"",$C237&lt;&gt;"",$D237&lt;&gt;"")),1,0))</f>
        <v/>
      </c>
      <c r="AE237" s="39">
        <f>IF($A237="",0,IF(AND(WEEKDAY($A237,2)&lt;=5,OR($E237&lt;&gt;"",$F237&lt;&gt;"",$G237&lt;&gt;"")),1,0))</f>
        <v/>
      </c>
      <c r="AF237" s="39">
        <f>MAX(AD237,AE237)</f>
        <v/>
      </c>
      <c r="AH237" s="223">
        <f>IF('CONTROLE GLOBO AÇOS'!E239="","",'CONTROLE GLOBO AÇOS'!E239)</f>
        <v/>
      </c>
      <c r="AI237" s="223">
        <f>IF('CONTROLE GLOBO AÇOS'!F239="","",'CONTROLE GLOBO AÇOS'!F239)</f>
        <v/>
      </c>
      <c r="AJ237" s="223">
        <f>IF(AND('CONTROLE EJ'!E239="",'CONTROLE CMM'!E239=""),"",N('CONTROLE EJ'!E239)+N('CONTROLE CMM'!E239))</f>
        <v/>
      </c>
      <c r="AK237" s="223">
        <f>IF(AND('CONTROLE EJ'!F239="",'CONTROLE CMM'!F239=""),"",N('CONTROLE EJ'!F239)+N('CONTROLE CMM'!F239))</f>
        <v/>
      </c>
      <c r="AL237" s="223">
        <f>IF(AND('CONTROLE EJ'!G239="",'CONTROLE CMM'!G239=""),"",N('CONTROLE EJ'!G239)+N('CONTROLE CMM'!G239))</f>
        <v/>
      </c>
      <c r="AM237" s="223">
        <f>IF(AND('CONTROLE EJ'!H239="",'CONTROLE CMM'!H239=""),"",N('CONTROLE EJ'!H239)+N('CONTROLE CMM'!H239))</f>
        <v/>
      </c>
      <c r="AN237" s="223">
        <f>IF('CONTROLE GLOBO AÇOS'!G239="","",'CONTROLE GLOBO AÇOS'!G239)</f>
        <v/>
      </c>
      <c r="AO237" s="223">
        <f>IF('CONTROLE GLOBO AÇOS'!H239="","",'CONTROLE GLOBO AÇOS'!H239)</f>
        <v/>
      </c>
      <c r="AP237" s="223">
        <f>IF(AND('CONTROLE EJ'!I239="",'CONTROLE CMM'!I239=""),"",N('CONTROLE EJ'!I239)+N('CONTROLE CMM'!I239))</f>
        <v/>
      </c>
      <c r="AQ237" s="223">
        <f>IF(AND('CONTROLE EJ'!J239="",'CONTROLE CMM'!#REF!=""),"",N('CONTROLE EJ'!J239)+N('CONTROLE CMM'!#REF!))</f>
        <v/>
      </c>
      <c r="AR237" s="223">
        <f>IF('CONTROLE GLOBO AÇOS'!I239="","",'CONTROLE GLOBO AÇOS'!I239)</f>
        <v/>
      </c>
      <c r="AS237" s="223">
        <f>IF('CONTROLE GLOBO AÇOS'!J239="","",'CONTROLE GLOBO AÇOS'!J239)</f>
        <v/>
      </c>
      <c r="AT237" s="223">
        <f>IF(#REF!="","",#REF!)</f>
        <v/>
      </c>
      <c r="AU237" s="223">
        <f>IF('CONTROLE GLOBO AÇOS'!K239="","",'CONTROLE GLOBO AÇOS'!K239)</f>
        <v/>
      </c>
      <c r="AV237" s="223">
        <f>IF(AND('CONTROLE EJ'!K239="",'CONTROLE CMM'!#REF!=""),"",N('CONTROLE EJ'!K239)+N('CONTROLE CMM'!#REF!))</f>
        <v/>
      </c>
      <c r="AW237" s="223">
        <f>IF('CONTROLE GLOBO AÇOS'!L239="","",'CONTROLE GLOBO AÇOS'!L239)</f>
        <v/>
      </c>
      <c r="AX237" s="223">
        <f>IF(AND('CONTROLE EJ'!L239="",'CONTROLE CMM'!#REF!=""),"",N('CONTROLE EJ'!L239)+N('CONTROLE CMM'!#REF!))</f>
        <v/>
      </c>
      <c r="AY237" s="223">
        <f>IF('CONTROLE GLOBO AÇOS'!M239="","",'CONTROLE GLOBO AÇOS'!M239)</f>
        <v/>
      </c>
      <c r="AZ237" s="223">
        <f>IF('CONTROLE GLOBO AÇOS'!N239="","",'CONTROLE GLOBO AÇOS'!N239)</f>
        <v/>
      </c>
      <c r="BA237" s="223">
        <f>IF(AND('CONTROLE EJ'!M239="",'CONTROLE CMM'!#REF!=""),"",N('CONTROLE EJ'!M239)+N('CONTROLE CMM'!#REF!))</f>
        <v/>
      </c>
      <c r="BB237" s="223">
        <f>IF(#REF!="","",#REF!)</f>
        <v/>
      </c>
      <c r="BC237" s="223">
        <f>IF('CONTROLE GLOBO AÇOS'!O239="","",'CONTROLE GLOBO AÇOS'!O239)</f>
        <v/>
      </c>
      <c r="BD237" s="223">
        <f>IF(AND('CONTROLE EJ'!N239="",'CONTROLE CMM'!#REF!=""),"",N('CONTROLE EJ'!N239)+N('CONTROLE CMM'!#REF!))</f>
        <v/>
      </c>
      <c r="BE237" s="223">
        <f>IF('CONTROLE GLOBO AÇOS'!P239="","",'CONTROLE GLOBO AÇOS'!P239)</f>
        <v/>
      </c>
      <c r="BF237" s="223">
        <f>IF('CONTROLE GLOBO AÇOS'!Q239="","",'CONTROLE GLOBO AÇOS'!Q239)</f>
        <v/>
      </c>
      <c r="BG237" s="223">
        <f>IF('CONTROLE GLOBO AÇOS'!R239="","",'CONTROLE GLOBO AÇOS'!R239)</f>
        <v/>
      </c>
      <c r="BH237" s="223">
        <f>IF(AND('CONTROLE EJ'!O239="",'CONTROLE CMM'!#REF!=""),"",N('CONTROLE EJ'!O239)+N('CONTROLE CMM'!#REF!))</f>
        <v/>
      </c>
      <c r="BI237" s="223">
        <f>IF('CONTROLE GLOBO AÇOS'!S239="","",'CONTROLE GLOBO AÇOS'!S239)</f>
        <v/>
      </c>
      <c r="BJ237" s="223">
        <f>IF('CONTROLE GLOBO AÇOS'!T239="","",'CONTROLE GLOBO AÇOS'!T239)</f>
        <v/>
      </c>
      <c r="BK237" s="223">
        <f>IF('CONTROLE GLOBO AÇOS'!U239="","",'CONTROLE GLOBO AÇOS'!U239)</f>
        <v/>
      </c>
      <c r="BL237" s="223">
        <f>IF(AND('CONTROLE EJ'!P239="",'CONTROLE CMM'!#REF!=""),"",N('CONTROLE EJ'!P239)+N('CONTROLE CMM'!#REF!))</f>
        <v/>
      </c>
      <c r="BM237" s="223">
        <f>IF(AND('CONTROLE EJ'!Q239="",'CONTROLE CMM'!#REF!=""),"",N('CONTROLE EJ'!Q239)+N('CONTROLE CMM'!#REF!))</f>
        <v/>
      </c>
      <c r="BN237" s="223">
        <f>IF('CONTROLE GLOBO AÇOS'!V239="","",'CONTROLE GLOBO AÇOS'!V239)</f>
        <v/>
      </c>
      <c r="BO237" s="223">
        <f>IF('CONTROLE GLOBO AÇOS'!W239="","",'CONTROLE GLOBO AÇOS'!W239)</f>
        <v/>
      </c>
      <c r="BP237" s="223">
        <f>IF(AND('CONTROLE EJ'!R239="",'CONTROLE CMM'!#REF!=""),"",N('CONTROLE EJ'!R239)+N('CONTROLE CMM'!#REF!))</f>
        <v/>
      </c>
      <c r="BQ237" s="223">
        <f>IF(#REF!="","",#REF!)</f>
        <v/>
      </c>
      <c r="BR237" s="223">
        <f>IF(AND('CONTROLE EJ'!S239="",'CONTROLE CMM'!#REF!=""),"",N('CONTROLE EJ'!S239)+N('CONTROLE CMM'!#REF!))</f>
        <v/>
      </c>
      <c r="BS237" s="223">
        <f>IF(AND('CONTROLE EJ'!T239="",'CONTROLE CMM'!#REF!=""),"",N('CONTROLE EJ'!T239)+N('CONTROLE CMM'!#REF!))</f>
        <v/>
      </c>
      <c r="BT237" s="223">
        <f>IF('CONTROLE GLOBO AÇOS'!X239="","",'CONTROLE GLOBO AÇOS'!X239)</f>
        <v/>
      </c>
      <c r="BU237" s="223">
        <f>IF('CONTROLE GLOBO AÇOS'!Y239="","",'CONTROLE GLOBO AÇOS'!Y239)</f>
        <v/>
      </c>
      <c r="BV237" s="223">
        <f>IF(AND('CONTROLE EJ'!U239="",'CONTROLE CMM'!#REF!=""),"",N('CONTROLE EJ'!U239)+N('CONTROLE CMM'!#REF!))</f>
        <v/>
      </c>
      <c r="BW237" s="223">
        <f>IF(#REF!="","",#REF!)</f>
        <v/>
      </c>
    </row>
    <row r="238">
      <c r="A238" s="282" t="n">
        <v>46455</v>
      </c>
      <c r="B238" s="18">
        <f>IF('CONTROLE EJ'!B240="","",'CONTROLE EJ'!B240)</f>
        <v/>
      </c>
      <c r="C238" s="18">
        <f>IF('CONTROLE EJ'!C240="","",'CONTROLE EJ'!C240)</f>
        <v/>
      </c>
      <c r="D238" s="42">
        <f>IF('CONTROLE EJ'!D240="","",'CONTROLE EJ'!D240)</f>
        <v/>
      </c>
      <c r="E238" s="43">
        <f>IF('CONTROLE CMM'!B240="","",'CONTROLE CMM'!B240)</f>
        <v/>
      </c>
      <c r="F238" s="18">
        <f>IF('CONTROLE CMM'!C240="","",'CONTROLE CMM'!C240)</f>
        <v/>
      </c>
      <c r="G238" s="26">
        <f>IF('CONTROLE CMM'!D240="","",'CONTROLE CMM'!D240)</f>
        <v/>
      </c>
      <c r="H238" s="43">
        <f>IF('CONTROLE GLOBO AÇOS'!B240="","",'CONTROLE GLOBO AÇOS'!B240)</f>
        <v/>
      </c>
      <c r="I238" s="18">
        <f>IF('CONTROLE GLOBO AÇOS'!C240="","",'CONTROLE GLOBO AÇOS'!C240)</f>
        <v/>
      </c>
      <c r="J238" s="18">
        <f>IF('CONTROLE GLOBO AÇOS'!D240="","",'CONTROLE GLOBO AÇOS'!D240)</f>
        <v/>
      </c>
      <c r="AD238" s="39">
        <f>IF($A238="",0,IF(AND(WEEKDAY($A238,2)&lt;=5,OR($B238&lt;&gt;"",$C238&lt;&gt;"",$D238&lt;&gt;"")),1,0))</f>
        <v/>
      </c>
      <c r="AE238" s="39">
        <f>IF($A238="",0,IF(AND(WEEKDAY($A238,2)&lt;=5,OR($E238&lt;&gt;"",$F238&lt;&gt;"",$G238&lt;&gt;"")),1,0))</f>
        <v/>
      </c>
      <c r="AF238" s="39">
        <f>MAX(AD238,AE238)</f>
        <v/>
      </c>
      <c r="AH238" s="223">
        <f>IF('CONTROLE GLOBO AÇOS'!E240="","",'CONTROLE GLOBO AÇOS'!E240)</f>
        <v/>
      </c>
      <c r="AI238" s="223">
        <f>IF('CONTROLE GLOBO AÇOS'!F240="","",'CONTROLE GLOBO AÇOS'!F240)</f>
        <v/>
      </c>
      <c r="AJ238" s="223">
        <f>IF(AND('CONTROLE EJ'!E240="",'CONTROLE CMM'!E240=""),"",N('CONTROLE EJ'!E240)+N('CONTROLE CMM'!E240))</f>
        <v/>
      </c>
      <c r="AK238" s="223">
        <f>IF(AND('CONTROLE EJ'!F240="",'CONTROLE CMM'!F240=""),"",N('CONTROLE EJ'!F240)+N('CONTROLE CMM'!F240))</f>
        <v/>
      </c>
      <c r="AL238" s="223">
        <f>IF(AND('CONTROLE EJ'!G240="",'CONTROLE CMM'!G240=""),"",N('CONTROLE EJ'!G240)+N('CONTROLE CMM'!G240))</f>
        <v/>
      </c>
      <c r="AM238" s="223">
        <f>IF(AND('CONTROLE EJ'!H240="",'CONTROLE CMM'!H240=""),"",N('CONTROLE EJ'!H240)+N('CONTROLE CMM'!H240))</f>
        <v/>
      </c>
      <c r="AN238" s="223">
        <f>IF('CONTROLE GLOBO AÇOS'!G240="","",'CONTROLE GLOBO AÇOS'!G240)</f>
        <v/>
      </c>
      <c r="AO238" s="223">
        <f>IF('CONTROLE GLOBO AÇOS'!H240="","",'CONTROLE GLOBO AÇOS'!H240)</f>
        <v/>
      </c>
      <c r="AP238" s="223">
        <f>IF(AND('CONTROLE EJ'!I240="",'CONTROLE CMM'!I240=""),"",N('CONTROLE EJ'!I240)+N('CONTROLE CMM'!I240))</f>
        <v/>
      </c>
      <c r="AQ238" s="223">
        <f>IF(AND('CONTROLE EJ'!J240="",'CONTROLE CMM'!#REF!=""),"",N('CONTROLE EJ'!J240)+N('CONTROLE CMM'!#REF!))</f>
        <v/>
      </c>
      <c r="AR238" s="223">
        <f>IF('CONTROLE GLOBO AÇOS'!I240="","",'CONTROLE GLOBO AÇOS'!I240)</f>
        <v/>
      </c>
      <c r="AS238" s="223">
        <f>IF('CONTROLE GLOBO AÇOS'!J240="","",'CONTROLE GLOBO AÇOS'!J240)</f>
        <v/>
      </c>
      <c r="AT238" s="223">
        <f>IF(#REF!="","",#REF!)</f>
        <v/>
      </c>
      <c r="AU238" s="223">
        <f>IF('CONTROLE GLOBO AÇOS'!K240="","",'CONTROLE GLOBO AÇOS'!K240)</f>
        <v/>
      </c>
      <c r="AV238" s="223">
        <f>IF(AND('CONTROLE EJ'!K240="",'CONTROLE CMM'!#REF!=""),"",N('CONTROLE EJ'!K240)+N('CONTROLE CMM'!#REF!))</f>
        <v/>
      </c>
      <c r="AW238" s="223">
        <f>IF('CONTROLE GLOBO AÇOS'!L240="","",'CONTROLE GLOBO AÇOS'!L240)</f>
        <v/>
      </c>
      <c r="AX238" s="223">
        <f>IF(AND('CONTROLE EJ'!L240="",'CONTROLE CMM'!#REF!=""),"",N('CONTROLE EJ'!L240)+N('CONTROLE CMM'!#REF!))</f>
        <v/>
      </c>
      <c r="AY238" s="223">
        <f>IF('CONTROLE GLOBO AÇOS'!M240="","",'CONTROLE GLOBO AÇOS'!M240)</f>
        <v/>
      </c>
      <c r="AZ238" s="223">
        <f>IF('CONTROLE GLOBO AÇOS'!N240="","",'CONTROLE GLOBO AÇOS'!N240)</f>
        <v/>
      </c>
      <c r="BA238" s="223">
        <f>IF(AND('CONTROLE EJ'!M240="",'CONTROLE CMM'!#REF!=""),"",N('CONTROLE EJ'!M240)+N('CONTROLE CMM'!#REF!))</f>
        <v/>
      </c>
      <c r="BB238" s="223">
        <f>IF(#REF!="","",#REF!)</f>
        <v/>
      </c>
      <c r="BC238" s="223">
        <f>IF('CONTROLE GLOBO AÇOS'!O240="","",'CONTROLE GLOBO AÇOS'!O240)</f>
        <v/>
      </c>
      <c r="BD238" s="223">
        <f>IF(AND('CONTROLE EJ'!N240="",'CONTROLE CMM'!#REF!=""),"",N('CONTROLE EJ'!N240)+N('CONTROLE CMM'!#REF!))</f>
        <v/>
      </c>
      <c r="BE238" s="223">
        <f>IF('CONTROLE GLOBO AÇOS'!P240="","",'CONTROLE GLOBO AÇOS'!P240)</f>
        <v/>
      </c>
      <c r="BF238" s="223">
        <f>IF('CONTROLE GLOBO AÇOS'!Q240="","",'CONTROLE GLOBO AÇOS'!Q240)</f>
        <v/>
      </c>
      <c r="BG238" s="223">
        <f>IF('CONTROLE GLOBO AÇOS'!R240="","",'CONTROLE GLOBO AÇOS'!R240)</f>
        <v/>
      </c>
      <c r="BH238" s="223">
        <f>IF(AND('CONTROLE EJ'!O240="",'CONTROLE CMM'!#REF!=""),"",N('CONTROLE EJ'!O240)+N('CONTROLE CMM'!#REF!))</f>
        <v/>
      </c>
      <c r="BI238" s="223">
        <f>IF('CONTROLE GLOBO AÇOS'!S240="","",'CONTROLE GLOBO AÇOS'!S240)</f>
        <v/>
      </c>
      <c r="BJ238" s="223">
        <f>IF('CONTROLE GLOBO AÇOS'!T240="","",'CONTROLE GLOBO AÇOS'!T240)</f>
        <v/>
      </c>
      <c r="BK238" s="223">
        <f>IF('CONTROLE GLOBO AÇOS'!U240="","",'CONTROLE GLOBO AÇOS'!U240)</f>
        <v/>
      </c>
      <c r="BL238" s="223">
        <f>IF(AND('CONTROLE EJ'!P240="",'CONTROLE CMM'!#REF!=""),"",N('CONTROLE EJ'!P240)+N('CONTROLE CMM'!#REF!))</f>
        <v/>
      </c>
      <c r="BM238" s="223">
        <f>IF(AND('CONTROLE EJ'!Q240="",'CONTROLE CMM'!#REF!=""),"",N('CONTROLE EJ'!Q240)+N('CONTROLE CMM'!#REF!))</f>
        <v/>
      </c>
      <c r="BN238" s="223">
        <f>IF('CONTROLE GLOBO AÇOS'!V240="","",'CONTROLE GLOBO AÇOS'!V240)</f>
        <v/>
      </c>
      <c r="BO238" s="223">
        <f>IF('CONTROLE GLOBO AÇOS'!W240="","",'CONTROLE GLOBO AÇOS'!W240)</f>
        <v/>
      </c>
      <c r="BP238" s="223">
        <f>IF(AND('CONTROLE EJ'!R240="",'CONTROLE CMM'!#REF!=""),"",N('CONTROLE EJ'!R240)+N('CONTROLE CMM'!#REF!))</f>
        <v/>
      </c>
      <c r="BQ238" s="223">
        <f>IF(#REF!="","",#REF!)</f>
        <v/>
      </c>
      <c r="BR238" s="223">
        <f>IF(AND('CONTROLE EJ'!S240="",'CONTROLE CMM'!#REF!=""),"",N('CONTROLE EJ'!S240)+N('CONTROLE CMM'!#REF!))</f>
        <v/>
      </c>
      <c r="BS238" s="223">
        <f>IF(AND('CONTROLE EJ'!T240="",'CONTROLE CMM'!#REF!=""),"",N('CONTROLE EJ'!T240)+N('CONTROLE CMM'!#REF!))</f>
        <v/>
      </c>
      <c r="BT238" s="223">
        <f>IF('CONTROLE GLOBO AÇOS'!X240="","",'CONTROLE GLOBO AÇOS'!X240)</f>
        <v/>
      </c>
      <c r="BU238" s="223">
        <f>IF('CONTROLE GLOBO AÇOS'!Y240="","",'CONTROLE GLOBO AÇOS'!Y240)</f>
        <v/>
      </c>
      <c r="BV238" s="223">
        <f>IF(AND('CONTROLE EJ'!U240="",'CONTROLE CMM'!#REF!=""),"",N('CONTROLE EJ'!U240)+N('CONTROLE CMM'!#REF!))</f>
        <v/>
      </c>
      <c r="BW238" s="223">
        <f>IF(#REF!="","",#REF!)</f>
        <v/>
      </c>
    </row>
    <row r="239">
      <c r="A239" s="282" t="n">
        <v>46456</v>
      </c>
      <c r="B239" s="18">
        <f>IF('CONTROLE EJ'!B241="","",'CONTROLE EJ'!B241)</f>
        <v/>
      </c>
      <c r="C239" s="18">
        <f>IF('CONTROLE EJ'!C241="","",'CONTROLE EJ'!C241)</f>
        <v/>
      </c>
      <c r="D239" s="42">
        <f>IF('CONTROLE EJ'!D241="","",'CONTROLE EJ'!D241)</f>
        <v/>
      </c>
      <c r="E239" s="43">
        <f>IF('CONTROLE CMM'!B241="","",'CONTROLE CMM'!B241)</f>
        <v/>
      </c>
      <c r="F239" s="18">
        <f>IF('CONTROLE CMM'!C241="","",'CONTROLE CMM'!C241)</f>
        <v/>
      </c>
      <c r="G239" s="26">
        <f>IF('CONTROLE CMM'!D241="","",'CONTROLE CMM'!D241)</f>
        <v/>
      </c>
      <c r="H239" s="43">
        <f>IF('CONTROLE GLOBO AÇOS'!B241="","",'CONTROLE GLOBO AÇOS'!B241)</f>
        <v/>
      </c>
      <c r="I239" s="18">
        <f>IF('CONTROLE GLOBO AÇOS'!C241="","",'CONTROLE GLOBO AÇOS'!C241)</f>
        <v/>
      </c>
      <c r="J239" s="18">
        <f>IF('CONTROLE GLOBO AÇOS'!D241="","",'CONTROLE GLOBO AÇOS'!D241)</f>
        <v/>
      </c>
      <c r="AD239" s="39">
        <f>IF($A239="",0,IF(AND(WEEKDAY($A239,2)&lt;=5,OR($B239&lt;&gt;"",$C239&lt;&gt;"",$D239&lt;&gt;"")),1,0))</f>
        <v/>
      </c>
      <c r="AE239" s="39">
        <f>IF($A239="",0,IF(AND(WEEKDAY($A239,2)&lt;=5,OR($E239&lt;&gt;"",$F239&lt;&gt;"",$G239&lt;&gt;"")),1,0))</f>
        <v/>
      </c>
      <c r="AF239" s="39">
        <f>MAX(AD239,AE239)</f>
        <v/>
      </c>
      <c r="AH239" s="223">
        <f>IF('CONTROLE GLOBO AÇOS'!E241="","",'CONTROLE GLOBO AÇOS'!E241)</f>
        <v/>
      </c>
      <c r="AI239" s="223">
        <f>IF('CONTROLE GLOBO AÇOS'!F241="","",'CONTROLE GLOBO AÇOS'!F241)</f>
        <v/>
      </c>
      <c r="AJ239" s="223">
        <f>IF(AND('CONTROLE EJ'!E241="",'CONTROLE CMM'!E241=""),"",N('CONTROLE EJ'!E241)+N('CONTROLE CMM'!E241))</f>
        <v/>
      </c>
      <c r="AK239" s="223">
        <f>IF(AND('CONTROLE EJ'!F241="",'CONTROLE CMM'!F241=""),"",N('CONTROLE EJ'!F241)+N('CONTROLE CMM'!F241))</f>
        <v/>
      </c>
      <c r="AL239" s="223">
        <f>IF(AND('CONTROLE EJ'!G241="",'CONTROLE CMM'!G241=""),"",N('CONTROLE EJ'!G241)+N('CONTROLE CMM'!G241))</f>
        <v/>
      </c>
      <c r="AM239" s="223">
        <f>IF(AND('CONTROLE EJ'!H241="",'CONTROLE CMM'!H241=""),"",N('CONTROLE EJ'!H241)+N('CONTROLE CMM'!H241))</f>
        <v/>
      </c>
      <c r="AN239" s="223">
        <f>IF('CONTROLE GLOBO AÇOS'!G241="","",'CONTROLE GLOBO AÇOS'!G241)</f>
        <v/>
      </c>
      <c r="AO239" s="223">
        <f>IF('CONTROLE GLOBO AÇOS'!H241="","",'CONTROLE GLOBO AÇOS'!H241)</f>
        <v/>
      </c>
      <c r="AP239" s="223">
        <f>IF(AND('CONTROLE EJ'!I241="",'CONTROLE CMM'!I241=""),"",N('CONTROLE EJ'!I241)+N('CONTROLE CMM'!I241))</f>
        <v/>
      </c>
      <c r="AQ239" s="223">
        <f>IF(AND('CONTROLE EJ'!J241="",'CONTROLE CMM'!#REF!=""),"",N('CONTROLE EJ'!J241)+N('CONTROLE CMM'!#REF!))</f>
        <v/>
      </c>
      <c r="AR239" s="223">
        <f>IF('CONTROLE GLOBO AÇOS'!I241="","",'CONTROLE GLOBO AÇOS'!I241)</f>
        <v/>
      </c>
      <c r="AS239" s="223">
        <f>IF('CONTROLE GLOBO AÇOS'!J241="","",'CONTROLE GLOBO AÇOS'!J241)</f>
        <v/>
      </c>
      <c r="AT239" s="223">
        <f>IF(#REF!="","",#REF!)</f>
        <v/>
      </c>
      <c r="AU239" s="223">
        <f>IF('CONTROLE GLOBO AÇOS'!K241="","",'CONTROLE GLOBO AÇOS'!K241)</f>
        <v/>
      </c>
      <c r="AV239" s="223">
        <f>IF(AND('CONTROLE EJ'!K241="",'CONTROLE CMM'!#REF!=""),"",N('CONTROLE EJ'!K241)+N('CONTROLE CMM'!#REF!))</f>
        <v/>
      </c>
      <c r="AW239" s="223">
        <f>IF('CONTROLE GLOBO AÇOS'!L241="","",'CONTROLE GLOBO AÇOS'!L241)</f>
        <v/>
      </c>
      <c r="AX239" s="223">
        <f>IF(AND('CONTROLE EJ'!L241="",'CONTROLE CMM'!#REF!=""),"",N('CONTROLE EJ'!L241)+N('CONTROLE CMM'!#REF!))</f>
        <v/>
      </c>
      <c r="AY239" s="223">
        <f>IF('CONTROLE GLOBO AÇOS'!M241="","",'CONTROLE GLOBO AÇOS'!M241)</f>
        <v/>
      </c>
      <c r="AZ239" s="223">
        <f>IF('CONTROLE GLOBO AÇOS'!N241="","",'CONTROLE GLOBO AÇOS'!N241)</f>
        <v/>
      </c>
      <c r="BA239" s="223">
        <f>IF(AND('CONTROLE EJ'!M241="",'CONTROLE CMM'!#REF!=""),"",N('CONTROLE EJ'!M241)+N('CONTROLE CMM'!#REF!))</f>
        <v/>
      </c>
      <c r="BB239" s="223">
        <f>IF(#REF!="","",#REF!)</f>
        <v/>
      </c>
      <c r="BC239" s="223">
        <f>IF('CONTROLE GLOBO AÇOS'!O241="","",'CONTROLE GLOBO AÇOS'!O241)</f>
        <v/>
      </c>
      <c r="BD239" s="223">
        <f>IF(AND('CONTROLE EJ'!N241="",'CONTROLE CMM'!#REF!=""),"",N('CONTROLE EJ'!N241)+N('CONTROLE CMM'!#REF!))</f>
        <v/>
      </c>
      <c r="BE239" s="223">
        <f>IF('CONTROLE GLOBO AÇOS'!P241="","",'CONTROLE GLOBO AÇOS'!P241)</f>
        <v/>
      </c>
      <c r="BF239" s="223">
        <f>IF('CONTROLE GLOBO AÇOS'!Q241="","",'CONTROLE GLOBO AÇOS'!Q241)</f>
        <v/>
      </c>
      <c r="BG239" s="223">
        <f>IF('CONTROLE GLOBO AÇOS'!R241="","",'CONTROLE GLOBO AÇOS'!R241)</f>
        <v/>
      </c>
      <c r="BH239" s="223">
        <f>IF(AND('CONTROLE EJ'!O241="",'CONTROLE CMM'!#REF!=""),"",N('CONTROLE EJ'!O241)+N('CONTROLE CMM'!#REF!))</f>
        <v/>
      </c>
      <c r="BI239" s="223">
        <f>IF('CONTROLE GLOBO AÇOS'!S241="","",'CONTROLE GLOBO AÇOS'!S241)</f>
        <v/>
      </c>
      <c r="BJ239" s="223">
        <f>IF('CONTROLE GLOBO AÇOS'!T241="","",'CONTROLE GLOBO AÇOS'!T241)</f>
        <v/>
      </c>
      <c r="BK239" s="223">
        <f>IF('CONTROLE GLOBO AÇOS'!U241="","",'CONTROLE GLOBO AÇOS'!U241)</f>
        <v/>
      </c>
      <c r="BL239" s="223">
        <f>IF(AND('CONTROLE EJ'!P241="",'CONTROLE CMM'!#REF!=""),"",N('CONTROLE EJ'!P241)+N('CONTROLE CMM'!#REF!))</f>
        <v/>
      </c>
      <c r="BM239" s="223">
        <f>IF(AND('CONTROLE EJ'!Q241="",'CONTROLE CMM'!#REF!=""),"",N('CONTROLE EJ'!Q241)+N('CONTROLE CMM'!#REF!))</f>
        <v/>
      </c>
      <c r="BN239" s="223">
        <f>IF('CONTROLE GLOBO AÇOS'!V241="","",'CONTROLE GLOBO AÇOS'!V241)</f>
        <v/>
      </c>
      <c r="BO239" s="223">
        <f>IF('CONTROLE GLOBO AÇOS'!W241="","",'CONTROLE GLOBO AÇOS'!W241)</f>
        <v/>
      </c>
      <c r="BP239" s="223">
        <f>IF(AND('CONTROLE EJ'!R241="",'CONTROLE CMM'!#REF!=""),"",N('CONTROLE EJ'!R241)+N('CONTROLE CMM'!#REF!))</f>
        <v/>
      </c>
      <c r="BQ239" s="223">
        <f>IF(#REF!="","",#REF!)</f>
        <v/>
      </c>
      <c r="BR239" s="223">
        <f>IF(AND('CONTROLE EJ'!S241="",'CONTROLE CMM'!#REF!=""),"",N('CONTROLE EJ'!S241)+N('CONTROLE CMM'!#REF!))</f>
        <v/>
      </c>
      <c r="BS239" s="223">
        <f>IF(AND('CONTROLE EJ'!T241="",'CONTROLE CMM'!#REF!=""),"",N('CONTROLE EJ'!T241)+N('CONTROLE CMM'!#REF!))</f>
        <v/>
      </c>
      <c r="BT239" s="223">
        <f>IF('CONTROLE GLOBO AÇOS'!X241="","",'CONTROLE GLOBO AÇOS'!X241)</f>
        <v/>
      </c>
      <c r="BU239" s="223">
        <f>IF('CONTROLE GLOBO AÇOS'!Y241="","",'CONTROLE GLOBO AÇOS'!Y241)</f>
        <v/>
      </c>
      <c r="BV239" s="223">
        <f>IF(AND('CONTROLE EJ'!U241="",'CONTROLE CMM'!#REF!=""),"",N('CONTROLE EJ'!U241)+N('CONTROLE CMM'!#REF!))</f>
        <v/>
      </c>
      <c r="BW239" s="223">
        <f>IF(#REF!="","",#REF!)</f>
        <v/>
      </c>
    </row>
    <row r="240">
      <c r="A240" s="282" t="n">
        <v>46457</v>
      </c>
      <c r="B240" s="18">
        <f>IF('CONTROLE EJ'!B242="","",'CONTROLE EJ'!B242)</f>
        <v/>
      </c>
      <c r="C240" s="18">
        <f>IF('CONTROLE EJ'!C242="","",'CONTROLE EJ'!C242)</f>
        <v/>
      </c>
      <c r="D240" s="42">
        <f>IF('CONTROLE EJ'!D242="","",'CONTROLE EJ'!D242)</f>
        <v/>
      </c>
      <c r="E240" s="43">
        <f>IF('CONTROLE CMM'!B242="","",'CONTROLE CMM'!B242)</f>
        <v/>
      </c>
      <c r="F240" s="18">
        <f>IF('CONTROLE CMM'!C242="","",'CONTROLE CMM'!C242)</f>
        <v/>
      </c>
      <c r="G240" s="26">
        <f>IF('CONTROLE CMM'!D242="","",'CONTROLE CMM'!D242)</f>
        <v/>
      </c>
      <c r="H240" s="43">
        <f>IF('CONTROLE GLOBO AÇOS'!B242="","",'CONTROLE GLOBO AÇOS'!B242)</f>
        <v/>
      </c>
      <c r="I240" s="18">
        <f>IF('CONTROLE GLOBO AÇOS'!C242="","",'CONTROLE GLOBO AÇOS'!C242)</f>
        <v/>
      </c>
      <c r="J240" s="18">
        <f>IF('CONTROLE GLOBO AÇOS'!D242="","",'CONTROLE GLOBO AÇOS'!D242)</f>
        <v/>
      </c>
      <c r="AD240" s="39">
        <f>IF($A240="",0,IF(AND(WEEKDAY($A240,2)&lt;=5,OR($B240&lt;&gt;"",$C240&lt;&gt;"",$D240&lt;&gt;"")),1,0))</f>
        <v/>
      </c>
      <c r="AE240" s="39">
        <f>IF($A240="",0,IF(AND(WEEKDAY($A240,2)&lt;=5,OR($E240&lt;&gt;"",$F240&lt;&gt;"",$G240&lt;&gt;"")),1,0))</f>
        <v/>
      </c>
      <c r="AF240" s="39">
        <f>MAX(AD240,AE240)</f>
        <v/>
      </c>
      <c r="AH240" s="223">
        <f>IF('CONTROLE GLOBO AÇOS'!E242="","",'CONTROLE GLOBO AÇOS'!E242)</f>
        <v/>
      </c>
      <c r="AI240" s="223">
        <f>IF('CONTROLE GLOBO AÇOS'!F242="","",'CONTROLE GLOBO AÇOS'!F242)</f>
        <v/>
      </c>
      <c r="AJ240" s="223">
        <f>IF(AND('CONTROLE EJ'!E242="",'CONTROLE CMM'!E242=""),"",N('CONTROLE EJ'!E242)+N('CONTROLE CMM'!E242))</f>
        <v/>
      </c>
      <c r="AK240" s="223">
        <f>IF(AND('CONTROLE EJ'!F242="",'CONTROLE CMM'!F242=""),"",N('CONTROLE EJ'!F242)+N('CONTROLE CMM'!F242))</f>
        <v/>
      </c>
      <c r="AL240" s="223">
        <f>IF(AND('CONTROLE EJ'!G242="",'CONTROLE CMM'!G242=""),"",N('CONTROLE EJ'!G242)+N('CONTROLE CMM'!G242))</f>
        <v/>
      </c>
      <c r="AM240" s="223">
        <f>IF(AND('CONTROLE EJ'!H242="",'CONTROLE CMM'!H242=""),"",N('CONTROLE EJ'!H242)+N('CONTROLE CMM'!H242))</f>
        <v/>
      </c>
      <c r="AN240" s="223">
        <f>IF('CONTROLE GLOBO AÇOS'!G242="","",'CONTROLE GLOBO AÇOS'!G242)</f>
        <v/>
      </c>
      <c r="AO240" s="223">
        <f>IF('CONTROLE GLOBO AÇOS'!H242="","",'CONTROLE GLOBO AÇOS'!H242)</f>
        <v/>
      </c>
      <c r="AP240" s="223">
        <f>IF(AND('CONTROLE EJ'!I242="",'CONTROLE CMM'!I242=""),"",N('CONTROLE EJ'!I242)+N('CONTROLE CMM'!I242))</f>
        <v/>
      </c>
      <c r="AQ240" s="223">
        <f>IF(AND('CONTROLE EJ'!J242="",'CONTROLE CMM'!#REF!=""),"",N('CONTROLE EJ'!J242)+N('CONTROLE CMM'!#REF!))</f>
        <v/>
      </c>
      <c r="AR240" s="223">
        <f>IF('CONTROLE GLOBO AÇOS'!I242="","",'CONTROLE GLOBO AÇOS'!I242)</f>
        <v/>
      </c>
      <c r="AS240" s="223">
        <f>IF('CONTROLE GLOBO AÇOS'!J242="","",'CONTROLE GLOBO AÇOS'!J242)</f>
        <v/>
      </c>
      <c r="AT240" s="223">
        <f>IF(#REF!="","",#REF!)</f>
        <v/>
      </c>
      <c r="AU240" s="223">
        <f>IF('CONTROLE GLOBO AÇOS'!K242="","",'CONTROLE GLOBO AÇOS'!K242)</f>
        <v/>
      </c>
      <c r="AV240" s="223">
        <f>IF(AND('CONTROLE EJ'!K242="",'CONTROLE CMM'!#REF!=""),"",N('CONTROLE EJ'!K242)+N('CONTROLE CMM'!#REF!))</f>
        <v/>
      </c>
      <c r="AW240" s="223">
        <f>IF('CONTROLE GLOBO AÇOS'!L242="","",'CONTROLE GLOBO AÇOS'!L242)</f>
        <v/>
      </c>
      <c r="AX240" s="223">
        <f>IF(AND('CONTROLE EJ'!L242="",'CONTROLE CMM'!#REF!=""),"",N('CONTROLE EJ'!L242)+N('CONTROLE CMM'!#REF!))</f>
        <v/>
      </c>
      <c r="AY240" s="223">
        <f>IF('CONTROLE GLOBO AÇOS'!M242="","",'CONTROLE GLOBO AÇOS'!M242)</f>
        <v/>
      </c>
      <c r="AZ240" s="223">
        <f>IF('CONTROLE GLOBO AÇOS'!N242="","",'CONTROLE GLOBO AÇOS'!N242)</f>
        <v/>
      </c>
      <c r="BA240" s="223">
        <f>IF(AND('CONTROLE EJ'!M242="",'CONTROLE CMM'!#REF!=""),"",N('CONTROLE EJ'!M242)+N('CONTROLE CMM'!#REF!))</f>
        <v/>
      </c>
      <c r="BB240" s="223">
        <f>IF(#REF!="","",#REF!)</f>
        <v/>
      </c>
      <c r="BC240" s="223">
        <f>IF('CONTROLE GLOBO AÇOS'!O242="","",'CONTROLE GLOBO AÇOS'!O242)</f>
        <v/>
      </c>
      <c r="BD240" s="223">
        <f>IF(AND('CONTROLE EJ'!N242="",'CONTROLE CMM'!#REF!=""),"",N('CONTROLE EJ'!N242)+N('CONTROLE CMM'!#REF!))</f>
        <v/>
      </c>
      <c r="BE240" s="223">
        <f>IF('CONTROLE GLOBO AÇOS'!P242="","",'CONTROLE GLOBO AÇOS'!P242)</f>
        <v/>
      </c>
      <c r="BF240" s="223">
        <f>IF('CONTROLE GLOBO AÇOS'!Q242="","",'CONTROLE GLOBO AÇOS'!Q242)</f>
        <v/>
      </c>
      <c r="BG240" s="223">
        <f>IF('CONTROLE GLOBO AÇOS'!R242="","",'CONTROLE GLOBO AÇOS'!R242)</f>
        <v/>
      </c>
      <c r="BH240" s="223">
        <f>IF(AND('CONTROLE EJ'!O242="",'CONTROLE CMM'!#REF!=""),"",N('CONTROLE EJ'!O242)+N('CONTROLE CMM'!#REF!))</f>
        <v/>
      </c>
      <c r="BI240" s="223">
        <f>IF('CONTROLE GLOBO AÇOS'!S242="","",'CONTROLE GLOBO AÇOS'!S242)</f>
        <v/>
      </c>
      <c r="BJ240" s="223">
        <f>IF('CONTROLE GLOBO AÇOS'!T242="","",'CONTROLE GLOBO AÇOS'!T242)</f>
        <v/>
      </c>
      <c r="BK240" s="223">
        <f>IF('CONTROLE GLOBO AÇOS'!U242="","",'CONTROLE GLOBO AÇOS'!U242)</f>
        <v/>
      </c>
      <c r="BL240" s="223">
        <f>IF(AND('CONTROLE EJ'!P242="",'CONTROLE CMM'!#REF!=""),"",N('CONTROLE EJ'!P242)+N('CONTROLE CMM'!#REF!))</f>
        <v/>
      </c>
      <c r="BM240" s="223">
        <f>IF(AND('CONTROLE EJ'!Q242="",'CONTROLE CMM'!#REF!=""),"",N('CONTROLE EJ'!Q242)+N('CONTROLE CMM'!#REF!))</f>
        <v/>
      </c>
      <c r="BN240" s="223">
        <f>IF('CONTROLE GLOBO AÇOS'!V242="","",'CONTROLE GLOBO AÇOS'!V242)</f>
        <v/>
      </c>
      <c r="BO240" s="223">
        <f>IF('CONTROLE GLOBO AÇOS'!W242="","",'CONTROLE GLOBO AÇOS'!W242)</f>
        <v/>
      </c>
      <c r="BP240" s="223">
        <f>IF(AND('CONTROLE EJ'!R242="",'CONTROLE CMM'!#REF!=""),"",N('CONTROLE EJ'!R242)+N('CONTROLE CMM'!#REF!))</f>
        <v/>
      </c>
      <c r="BQ240" s="223">
        <f>IF(#REF!="","",#REF!)</f>
        <v/>
      </c>
      <c r="BR240" s="223">
        <f>IF(AND('CONTROLE EJ'!S242="",'CONTROLE CMM'!#REF!=""),"",N('CONTROLE EJ'!S242)+N('CONTROLE CMM'!#REF!))</f>
        <v/>
      </c>
      <c r="BS240" s="223">
        <f>IF(AND('CONTROLE EJ'!T242="",'CONTROLE CMM'!#REF!=""),"",N('CONTROLE EJ'!T242)+N('CONTROLE CMM'!#REF!))</f>
        <v/>
      </c>
      <c r="BT240" s="223">
        <f>IF('CONTROLE GLOBO AÇOS'!X242="","",'CONTROLE GLOBO AÇOS'!X242)</f>
        <v/>
      </c>
      <c r="BU240" s="223">
        <f>IF('CONTROLE GLOBO AÇOS'!Y242="","",'CONTROLE GLOBO AÇOS'!Y242)</f>
        <v/>
      </c>
      <c r="BV240" s="223">
        <f>IF(AND('CONTROLE EJ'!U242="",'CONTROLE CMM'!#REF!=""),"",N('CONTROLE EJ'!U242)+N('CONTROLE CMM'!#REF!))</f>
        <v/>
      </c>
      <c r="BW240" s="223">
        <f>IF(#REF!="","",#REF!)</f>
        <v/>
      </c>
    </row>
    <row r="241">
      <c r="A241" s="282" t="n">
        <v>46458</v>
      </c>
      <c r="B241" s="18">
        <f>IF('CONTROLE EJ'!B243="","",'CONTROLE EJ'!B243)</f>
        <v/>
      </c>
      <c r="C241" s="18">
        <f>IF('CONTROLE EJ'!C243="","",'CONTROLE EJ'!C243)</f>
        <v/>
      </c>
      <c r="D241" s="42">
        <f>IF('CONTROLE EJ'!D243="","",'CONTROLE EJ'!D243)</f>
        <v/>
      </c>
      <c r="E241" s="43">
        <f>IF('CONTROLE CMM'!B243="","",'CONTROLE CMM'!B243)</f>
        <v/>
      </c>
      <c r="F241" s="18">
        <f>IF('CONTROLE CMM'!C243="","",'CONTROLE CMM'!C243)</f>
        <v/>
      </c>
      <c r="G241" s="26">
        <f>IF('CONTROLE CMM'!D243="","",'CONTROLE CMM'!D243)</f>
        <v/>
      </c>
      <c r="H241" s="43">
        <f>IF('CONTROLE GLOBO AÇOS'!B243="","",'CONTROLE GLOBO AÇOS'!B243)</f>
        <v/>
      </c>
      <c r="I241" s="18">
        <f>IF('CONTROLE GLOBO AÇOS'!C243="","",'CONTROLE GLOBO AÇOS'!C243)</f>
        <v/>
      </c>
      <c r="J241" s="18">
        <f>IF('CONTROLE GLOBO AÇOS'!D243="","",'CONTROLE GLOBO AÇOS'!D243)</f>
        <v/>
      </c>
      <c r="AD241" s="39">
        <f>IF($A241="",0,IF(AND(WEEKDAY($A241,2)&lt;=5,OR($B241&lt;&gt;"",$C241&lt;&gt;"",$D241&lt;&gt;"")),1,0))</f>
        <v/>
      </c>
      <c r="AE241" s="39">
        <f>IF($A241="",0,IF(AND(WEEKDAY($A241,2)&lt;=5,OR($E241&lt;&gt;"",$F241&lt;&gt;"",$G241&lt;&gt;"")),1,0))</f>
        <v/>
      </c>
      <c r="AF241" s="39">
        <f>MAX(AD241,AE241)</f>
        <v/>
      </c>
      <c r="AH241" s="223">
        <f>IF('CONTROLE GLOBO AÇOS'!E243="","",'CONTROLE GLOBO AÇOS'!E243)</f>
        <v/>
      </c>
      <c r="AI241" s="223">
        <f>IF('CONTROLE GLOBO AÇOS'!F243="","",'CONTROLE GLOBO AÇOS'!F243)</f>
        <v/>
      </c>
      <c r="AJ241" s="223">
        <f>IF(AND('CONTROLE EJ'!E243="",'CONTROLE CMM'!E243=""),"",N('CONTROLE EJ'!E243)+N('CONTROLE CMM'!E243))</f>
        <v/>
      </c>
      <c r="AK241" s="223">
        <f>IF(AND('CONTROLE EJ'!F243="",'CONTROLE CMM'!F243=""),"",N('CONTROLE EJ'!F243)+N('CONTROLE CMM'!F243))</f>
        <v/>
      </c>
      <c r="AL241" s="223">
        <f>IF(AND('CONTROLE EJ'!G243="",'CONTROLE CMM'!G243=""),"",N('CONTROLE EJ'!G243)+N('CONTROLE CMM'!G243))</f>
        <v/>
      </c>
      <c r="AM241" s="223">
        <f>IF(AND('CONTROLE EJ'!H243="",'CONTROLE CMM'!H243=""),"",N('CONTROLE EJ'!H243)+N('CONTROLE CMM'!H243))</f>
        <v/>
      </c>
      <c r="AN241" s="223">
        <f>IF('CONTROLE GLOBO AÇOS'!G243="","",'CONTROLE GLOBO AÇOS'!G243)</f>
        <v/>
      </c>
      <c r="AO241" s="223">
        <f>IF('CONTROLE GLOBO AÇOS'!H243="","",'CONTROLE GLOBO AÇOS'!H243)</f>
        <v/>
      </c>
      <c r="AP241" s="223">
        <f>IF(AND('CONTROLE EJ'!I243="",'CONTROLE CMM'!I243=""),"",N('CONTROLE EJ'!I243)+N('CONTROLE CMM'!I243))</f>
        <v/>
      </c>
      <c r="AQ241" s="223">
        <f>IF(AND('CONTROLE EJ'!J243="",'CONTROLE CMM'!#REF!=""),"",N('CONTROLE EJ'!J243)+N('CONTROLE CMM'!#REF!))</f>
        <v/>
      </c>
      <c r="AR241" s="223">
        <f>IF('CONTROLE GLOBO AÇOS'!I243="","",'CONTROLE GLOBO AÇOS'!I243)</f>
        <v/>
      </c>
      <c r="AS241" s="223">
        <f>IF('CONTROLE GLOBO AÇOS'!J243="","",'CONTROLE GLOBO AÇOS'!J243)</f>
        <v/>
      </c>
      <c r="AT241" s="223">
        <f>IF(#REF!="","",#REF!)</f>
        <v/>
      </c>
      <c r="AU241" s="223">
        <f>IF('CONTROLE GLOBO AÇOS'!K243="","",'CONTROLE GLOBO AÇOS'!K243)</f>
        <v/>
      </c>
      <c r="AV241" s="223">
        <f>IF(AND('CONTROLE EJ'!K243="",'CONTROLE CMM'!#REF!=""),"",N('CONTROLE EJ'!K243)+N('CONTROLE CMM'!#REF!))</f>
        <v/>
      </c>
      <c r="AW241" s="223">
        <f>IF('CONTROLE GLOBO AÇOS'!L243="","",'CONTROLE GLOBO AÇOS'!L243)</f>
        <v/>
      </c>
      <c r="AX241" s="223">
        <f>IF(AND('CONTROLE EJ'!L243="",'CONTROLE CMM'!#REF!=""),"",N('CONTROLE EJ'!L243)+N('CONTROLE CMM'!#REF!))</f>
        <v/>
      </c>
      <c r="AY241" s="223">
        <f>IF('CONTROLE GLOBO AÇOS'!M243="","",'CONTROLE GLOBO AÇOS'!M243)</f>
        <v/>
      </c>
      <c r="AZ241" s="223">
        <f>IF('CONTROLE GLOBO AÇOS'!N243="","",'CONTROLE GLOBO AÇOS'!N243)</f>
        <v/>
      </c>
      <c r="BA241" s="223">
        <f>IF(AND('CONTROLE EJ'!M243="",'CONTROLE CMM'!#REF!=""),"",N('CONTROLE EJ'!M243)+N('CONTROLE CMM'!#REF!))</f>
        <v/>
      </c>
      <c r="BB241" s="223">
        <f>IF(#REF!="","",#REF!)</f>
        <v/>
      </c>
      <c r="BC241" s="223">
        <f>IF('CONTROLE GLOBO AÇOS'!O243="","",'CONTROLE GLOBO AÇOS'!O243)</f>
        <v/>
      </c>
      <c r="BD241" s="223">
        <f>IF(AND('CONTROLE EJ'!N243="",'CONTROLE CMM'!#REF!=""),"",N('CONTROLE EJ'!N243)+N('CONTROLE CMM'!#REF!))</f>
        <v/>
      </c>
      <c r="BE241" s="223">
        <f>IF('CONTROLE GLOBO AÇOS'!P243="","",'CONTROLE GLOBO AÇOS'!P243)</f>
        <v/>
      </c>
      <c r="BF241" s="223">
        <f>IF('CONTROLE GLOBO AÇOS'!Q243="","",'CONTROLE GLOBO AÇOS'!Q243)</f>
        <v/>
      </c>
      <c r="BG241" s="223">
        <f>IF('CONTROLE GLOBO AÇOS'!R243="","",'CONTROLE GLOBO AÇOS'!R243)</f>
        <v/>
      </c>
      <c r="BH241" s="223">
        <f>IF(AND('CONTROLE EJ'!O243="",'CONTROLE CMM'!#REF!=""),"",N('CONTROLE EJ'!O243)+N('CONTROLE CMM'!#REF!))</f>
        <v/>
      </c>
      <c r="BI241" s="223">
        <f>IF('CONTROLE GLOBO AÇOS'!S243="","",'CONTROLE GLOBO AÇOS'!S243)</f>
        <v/>
      </c>
      <c r="BJ241" s="223">
        <f>IF('CONTROLE GLOBO AÇOS'!T243="","",'CONTROLE GLOBO AÇOS'!T243)</f>
        <v/>
      </c>
      <c r="BK241" s="223">
        <f>IF('CONTROLE GLOBO AÇOS'!U243="","",'CONTROLE GLOBO AÇOS'!U243)</f>
        <v/>
      </c>
      <c r="BL241" s="223">
        <f>IF(AND('CONTROLE EJ'!P243="",'CONTROLE CMM'!#REF!=""),"",N('CONTROLE EJ'!P243)+N('CONTROLE CMM'!#REF!))</f>
        <v/>
      </c>
      <c r="BM241" s="223">
        <f>IF(AND('CONTROLE EJ'!Q243="",'CONTROLE CMM'!#REF!=""),"",N('CONTROLE EJ'!Q243)+N('CONTROLE CMM'!#REF!))</f>
        <v/>
      </c>
      <c r="BN241" s="223">
        <f>IF('CONTROLE GLOBO AÇOS'!V243="","",'CONTROLE GLOBO AÇOS'!V243)</f>
        <v/>
      </c>
      <c r="BO241" s="223">
        <f>IF('CONTROLE GLOBO AÇOS'!W243="","",'CONTROLE GLOBO AÇOS'!W243)</f>
        <v/>
      </c>
      <c r="BP241" s="223">
        <f>IF(AND('CONTROLE EJ'!R243="",'CONTROLE CMM'!#REF!=""),"",N('CONTROLE EJ'!R243)+N('CONTROLE CMM'!#REF!))</f>
        <v/>
      </c>
      <c r="BQ241" s="223">
        <f>IF(#REF!="","",#REF!)</f>
        <v/>
      </c>
      <c r="BR241" s="223">
        <f>IF(AND('CONTROLE EJ'!S243="",'CONTROLE CMM'!#REF!=""),"",N('CONTROLE EJ'!S243)+N('CONTROLE CMM'!#REF!))</f>
        <v/>
      </c>
      <c r="BS241" s="223">
        <f>IF(AND('CONTROLE EJ'!T243="",'CONTROLE CMM'!#REF!=""),"",N('CONTROLE EJ'!T243)+N('CONTROLE CMM'!#REF!))</f>
        <v/>
      </c>
      <c r="BT241" s="223">
        <f>IF('CONTROLE GLOBO AÇOS'!X243="","",'CONTROLE GLOBO AÇOS'!X243)</f>
        <v/>
      </c>
      <c r="BU241" s="223">
        <f>IF('CONTROLE GLOBO AÇOS'!Y243="","",'CONTROLE GLOBO AÇOS'!Y243)</f>
        <v/>
      </c>
      <c r="BV241" s="223">
        <f>IF(AND('CONTROLE EJ'!U243="",'CONTROLE CMM'!#REF!=""),"",N('CONTROLE EJ'!U243)+N('CONTROLE CMM'!#REF!))</f>
        <v/>
      </c>
      <c r="BW241" s="223">
        <f>IF(#REF!="","",#REF!)</f>
        <v/>
      </c>
    </row>
    <row r="242">
      <c r="A242" s="282" t="n">
        <v>46459</v>
      </c>
      <c r="B242" s="18">
        <f>IF('CONTROLE EJ'!B244="","",'CONTROLE EJ'!B244)</f>
        <v/>
      </c>
      <c r="C242" s="18">
        <f>IF('CONTROLE EJ'!C244="","",'CONTROLE EJ'!C244)</f>
        <v/>
      </c>
      <c r="D242" s="42">
        <f>IF('CONTROLE EJ'!D244="","",'CONTROLE EJ'!D244)</f>
        <v/>
      </c>
      <c r="E242" s="43">
        <f>IF('CONTROLE CMM'!B244="","",'CONTROLE CMM'!B244)</f>
        <v/>
      </c>
      <c r="F242" s="18">
        <f>IF('CONTROLE CMM'!C244="","",'CONTROLE CMM'!C244)</f>
        <v/>
      </c>
      <c r="G242" s="26">
        <f>IF('CONTROLE CMM'!D244="","",'CONTROLE CMM'!D244)</f>
        <v/>
      </c>
      <c r="H242" s="43">
        <f>IF('CONTROLE GLOBO AÇOS'!B244="","",'CONTROLE GLOBO AÇOS'!B244)</f>
        <v/>
      </c>
      <c r="I242" s="18">
        <f>IF('CONTROLE GLOBO AÇOS'!C244="","",'CONTROLE GLOBO AÇOS'!C244)</f>
        <v/>
      </c>
      <c r="J242" s="18">
        <f>IF('CONTROLE GLOBO AÇOS'!D244="","",'CONTROLE GLOBO AÇOS'!D244)</f>
        <v/>
      </c>
      <c r="AD242" s="39">
        <f>IF($A242="",0,IF(AND(WEEKDAY($A242,2)&lt;=5,OR($B242&lt;&gt;"",$C242&lt;&gt;"",$D242&lt;&gt;"")),1,0))</f>
        <v/>
      </c>
      <c r="AE242" s="39">
        <f>IF($A242="",0,IF(AND(WEEKDAY($A242,2)&lt;=5,OR($E242&lt;&gt;"",$F242&lt;&gt;"",$G242&lt;&gt;"")),1,0))</f>
        <v/>
      </c>
      <c r="AF242" s="39">
        <f>MAX(AD242,AE242)</f>
        <v/>
      </c>
      <c r="AH242" s="223">
        <f>IF('CONTROLE GLOBO AÇOS'!E244="","",'CONTROLE GLOBO AÇOS'!E244)</f>
        <v/>
      </c>
      <c r="AI242" s="223">
        <f>IF('CONTROLE GLOBO AÇOS'!F244="","",'CONTROLE GLOBO AÇOS'!F244)</f>
        <v/>
      </c>
      <c r="AJ242" s="223">
        <f>IF(AND('CONTROLE EJ'!E244="",'CONTROLE CMM'!E244=""),"",N('CONTROLE EJ'!E244)+N('CONTROLE CMM'!E244))</f>
        <v/>
      </c>
      <c r="AK242" s="223">
        <f>IF(AND('CONTROLE EJ'!F244="",'CONTROLE CMM'!F244=""),"",N('CONTROLE EJ'!F244)+N('CONTROLE CMM'!F244))</f>
        <v/>
      </c>
      <c r="AL242" s="223">
        <f>IF(AND('CONTROLE EJ'!G244="",'CONTROLE CMM'!G244=""),"",N('CONTROLE EJ'!G244)+N('CONTROLE CMM'!G244))</f>
        <v/>
      </c>
      <c r="AM242" s="223">
        <f>IF(AND('CONTROLE EJ'!H244="",'CONTROLE CMM'!H244=""),"",N('CONTROLE EJ'!H244)+N('CONTROLE CMM'!H244))</f>
        <v/>
      </c>
      <c r="AN242" s="223">
        <f>IF('CONTROLE GLOBO AÇOS'!G244="","",'CONTROLE GLOBO AÇOS'!G244)</f>
        <v/>
      </c>
      <c r="AO242" s="223">
        <f>IF('CONTROLE GLOBO AÇOS'!H244="","",'CONTROLE GLOBO AÇOS'!H244)</f>
        <v/>
      </c>
      <c r="AP242" s="223">
        <f>IF(AND('CONTROLE EJ'!I244="",'CONTROLE CMM'!I244=""),"",N('CONTROLE EJ'!I244)+N('CONTROLE CMM'!I244))</f>
        <v/>
      </c>
      <c r="AQ242" s="223">
        <f>IF(AND('CONTROLE EJ'!J244="",'CONTROLE CMM'!#REF!=""),"",N('CONTROLE EJ'!J244)+N('CONTROLE CMM'!#REF!))</f>
        <v/>
      </c>
      <c r="AR242" s="223">
        <f>IF('CONTROLE GLOBO AÇOS'!I244="","",'CONTROLE GLOBO AÇOS'!I244)</f>
        <v/>
      </c>
      <c r="AS242" s="223">
        <f>IF('CONTROLE GLOBO AÇOS'!J244="","",'CONTROLE GLOBO AÇOS'!J244)</f>
        <v/>
      </c>
      <c r="AT242" s="223">
        <f>IF(#REF!="","",#REF!)</f>
        <v/>
      </c>
      <c r="AU242" s="223">
        <f>IF('CONTROLE GLOBO AÇOS'!K244="","",'CONTROLE GLOBO AÇOS'!K244)</f>
        <v/>
      </c>
      <c r="AV242" s="223">
        <f>IF(AND('CONTROLE EJ'!K244="",'CONTROLE CMM'!#REF!=""),"",N('CONTROLE EJ'!K244)+N('CONTROLE CMM'!#REF!))</f>
        <v/>
      </c>
      <c r="AW242" s="223">
        <f>IF('CONTROLE GLOBO AÇOS'!L244="","",'CONTROLE GLOBO AÇOS'!L244)</f>
        <v/>
      </c>
      <c r="AX242" s="223">
        <f>IF(AND('CONTROLE EJ'!L244="",'CONTROLE CMM'!#REF!=""),"",N('CONTROLE EJ'!L244)+N('CONTROLE CMM'!#REF!))</f>
        <v/>
      </c>
      <c r="AY242" s="223">
        <f>IF('CONTROLE GLOBO AÇOS'!M244="","",'CONTROLE GLOBO AÇOS'!M244)</f>
        <v/>
      </c>
      <c r="AZ242" s="223">
        <f>IF('CONTROLE GLOBO AÇOS'!N244="","",'CONTROLE GLOBO AÇOS'!N244)</f>
        <v/>
      </c>
      <c r="BA242" s="223">
        <f>IF(AND('CONTROLE EJ'!M244="",'CONTROLE CMM'!#REF!=""),"",N('CONTROLE EJ'!M244)+N('CONTROLE CMM'!#REF!))</f>
        <v/>
      </c>
      <c r="BB242" s="223">
        <f>IF(#REF!="","",#REF!)</f>
        <v/>
      </c>
      <c r="BC242" s="223">
        <f>IF('CONTROLE GLOBO AÇOS'!O244="","",'CONTROLE GLOBO AÇOS'!O244)</f>
        <v/>
      </c>
      <c r="BD242" s="223">
        <f>IF(AND('CONTROLE EJ'!N244="",'CONTROLE CMM'!#REF!=""),"",N('CONTROLE EJ'!N244)+N('CONTROLE CMM'!#REF!))</f>
        <v/>
      </c>
      <c r="BE242" s="223">
        <f>IF('CONTROLE GLOBO AÇOS'!P244="","",'CONTROLE GLOBO AÇOS'!P244)</f>
        <v/>
      </c>
      <c r="BF242" s="223">
        <f>IF('CONTROLE GLOBO AÇOS'!Q244="","",'CONTROLE GLOBO AÇOS'!Q244)</f>
        <v/>
      </c>
      <c r="BG242" s="223">
        <f>IF('CONTROLE GLOBO AÇOS'!R244="","",'CONTROLE GLOBO AÇOS'!R244)</f>
        <v/>
      </c>
      <c r="BH242" s="223">
        <f>IF(AND('CONTROLE EJ'!O244="",'CONTROLE CMM'!#REF!=""),"",N('CONTROLE EJ'!O244)+N('CONTROLE CMM'!#REF!))</f>
        <v/>
      </c>
      <c r="BI242" s="223">
        <f>IF('CONTROLE GLOBO AÇOS'!S244="","",'CONTROLE GLOBO AÇOS'!S244)</f>
        <v/>
      </c>
      <c r="BJ242" s="223">
        <f>IF('CONTROLE GLOBO AÇOS'!T244="","",'CONTROLE GLOBO AÇOS'!T244)</f>
        <v/>
      </c>
      <c r="BK242" s="223">
        <f>IF('CONTROLE GLOBO AÇOS'!U244="","",'CONTROLE GLOBO AÇOS'!U244)</f>
        <v/>
      </c>
      <c r="BL242" s="223">
        <f>IF(AND('CONTROLE EJ'!P244="",'CONTROLE CMM'!#REF!=""),"",N('CONTROLE EJ'!P244)+N('CONTROLE CMM'!#REF!))</f>
        <v/>
      </c>
      <c r="BM242" s="223">
        <f>IF(AND('CONTROLE EJ'!Q244="",'CONTROLE CMM'!#REF!=""),"",N('CONTROLE EJ'!Q244)+N('CONTROLE CMM'!#REF!))</f>
        <v/>
      </c>
      <c r="BN242" s="223">
        <f>IF('CONTROLE GLOBO AÇOS'!V244="","",'CONTROLE GLOBO AÇOS'!V244)</f>
        <v/>
      </c>
      <c r="BO242" s="223">
        <f>IF('CONTROLE GLOBO AÇOS'!W244="","",'CONTROLE GLOBO AÇOS'!W244)</f>
        <v/>
      </c>
      <c r="BP242" s="223">
        <f>IF(AND('CONTROLE EJ'!R244="",'CONTROLE CMM'!#REF!=""),"",N('CONTROLE EJ'!R244)+N('CONTROLE CMM'!#REF!))</f>
        <v/>
      </c>
      <c r="BQ242" s="223">
        <f>IF(#REF!="","",#REF!)</f>
        <v/>
      </c>
      <c r="BR242" s="223">
        <f>IF(AND('CONTROLE EJ'!S244="",'CONTROLE CMM'!#REF!=""),"",N('CONTROLE EJ'!S244)+N('CONTROLE CMM'!#REF!))</f>
        <v/>
      </c>
      <c r="BS242" s="223">
        <f>IF(AND('CONTROLE EJ'!T244="",'CONTROLE CMM'!#REF!=""),"",N('CONTROLE EJ'!T244)+N('CONTROLE CMM'!#REF!))</f>
        <v/>
      </c>
      <c r="BT242" s="223">
        <f>IF('CONTROLE GLOBO AÇOS'!X244="","",'CONTROLE GLOBO AÇOS'!X244)</f>
        <v/>
      </c>
      <c r="BU242" s="223">
        <f>IF('CONTROLE GLOBO AÇOS'!Y244="","",'CONTROLE GLOBO AÇOS'!Y244)</f>
        <v/>
      </c>
      <c r="BV242" s="223">
        <f>IF(AND('CONTROLE EJ'!U244="",'CONTROLE CMM'!#REF!=""),"",N('CONTROLE EJ'!U244)+N('CONTROLE CMM'!#REF!))</f>
        <v/>
      </c>
      <c r="BW242" s="223">
        <f>IF(#REF!="","",#REF!)</f>
        <v/>
      </c>
    </row>
    <row r="243">
      <c r="A243" s="282" t="n">
        <v>46460</v>
      </c>
      <c r="B243" s="18">
        <f>IF('CONTROLE EJ'!B245="","",'CONTROLE EJ'!B245)</f>
        <v/>
      </c>
      <c r="C243" s="18">
        <f>IF('CONTROLE EJ'!C245="","",'CONTROLE EJ'!C245)</f>
        <v/>
      </c>
      <c r="D243" s="42">
        <f>IF('CONTROLE EJ'!D245="","",'CONTROLE EJ'!D245)</f>
        <v/>
      </c>
      <c r="E243" s="43">
        <f>IF('CONTROLE CMM'!B245="","",'CONTROLE CMM'!B245)</f>
        <v/>
      </c>
      <c r="F243" s="18">
        <f>IF('CONTROLE CMM'!C245="","",'CONTROLE CMM'!C245)</f>
        <v/>
      </c>
      <c r="G243" s="26">
        <f>IF('CONTROLE CMM'!D245="","",'CONTROLE CMM'!D245)</f>
        <v/>
      </c>
      <c r="H243" s="43">
        <f>IF('CONTROLE GLOBO AÇOS'!B245="","",'CONTROLE GLOBO AÇOS'!B245)</f>
        <v/>
      </c>
      <c r="I243" s="18">
        <f>IF('CONTROLE GLOBO AÇOS'!C245="","",'CONTROLE GLOBO AÇOS'!C245)</f>
        <v/>
      </c>
      <c r="J243" s="18">
        <f>IF('CONTROLE GLOBO AÇOS'!D245="","",'CONTROLE GLOBO AÇOS'!D245)</f>
        <v/>
      </c>
      <c r="AD243" s="39">
        <f>IF($A243="",0,IF(AND(WEEKDAY($A243,2)&lt;=5,OR($B243&lt;&gt;"",$C243&lt;&gt;"",$D243&lt;&gt;"")),1,0))</f>
        <v/>
      </c>
      <c r="AE243" s="39">
        <f>IF($A243="",0,IF(AND(WEEKDAY($A243,2)&lt;=5,OR($E243&lt;&gt;"",$F243&lt;&gt;"",$G243&lt;&gt;"")),1,0))</f>
        <v/>
      </c>
      <c r="AF243" s="39">
        <f>MAX(AD243,AE243)</f>
        <v/>
      </c>
      <c r="AH243" s="223">
        <f>IF('CONTROLE GLOBO AÇOS'!E245="","",'CONTROLE GLOBO AÇOS'!E245)</f>
        <v/>
      </c>
      <c r="AI243" s="223">
        <f>IF('CONTROLE GLOBO AÇOS'!F245="","",'CONTROLE GLOBO AÇOS'!F245)</f>
        <v/>
      </c>
      <c r="AJ243" s="223">
        <f>IF(AND('CONTROLE EJ'!E245="",'CONTROLE CMM'!E245=""),"",N('CONTROLE EJ'!E245)+N('CONTROLE CMM'!E245))</f>
        <v/>
      </c>
      <c r="AK243" s="223">
        <f>IF(AND('CONTROLE EJ'!F245="",'CONTROLE CMM'!F245=""),"",N('CONTROLE EJ'!F245)+N('CONTROLE CMM'!F245))</f>
        <v/>
      </c>
      <c r="AL243" s="223">
        <f>IF(AND('CONTROLE EJ'!G245="",'CONTROLE CMM'!G245=""),"",N('CONTROLE EJ'!G245)+N('CONTROLE CMM'!G245))</f>
        <v/>
      </c>
      <c r="AM243" s="223">
        <f>IF(AND('CONTROLE EJ'!H245="",'CONTROLE CMM'!H245=""),"",N('CONTROLE EJ'!H245)+N('CONTROLE CMM'!H245))</f>
        <v/>
      </c>
      <c r="AN243" s="223">
        <f>IF('CONTROLE GLOBO AÇOS'!G245="","",'CONTROLE GLOBO AÇOS'!G245)</f>
        <v/>
      </c>
      <c r="AO243" s="223">
        <f>IF('CONTROLE GLOBO AÇOS'!H245="","",'CONTROLE GLOBO AÇOS'!H245)</f>
        <v/>
      </c>
      <c r="AP243" s="223">
        <f>IF(AND('CONTROLE EJ'!I245="",'CONTROLE CMM'!I245=""),"",N('CONTROLE EJ'!I245)+N('CONTROLE CMM'!I245))</f>
        <v/>
      </c>
      <c r="AQ243" s="223">
        <f>IF(AND('CONTROLE EJ'!J245="",'CONTROLE CMM'!#REF!=""),"",N('CONTROLE EJ'!J245)+N('CONTROLE CMM'!#REF!))</f>
        <v/>
      </c>
      <c r="AR243" s="223">
        <f>IF('CONTROLE GLOBO AÇOS'!I245="","",'CONTROLE GLOBO AÇOS'!I245)</f>
        <v/>
      </c>
      <c r="AS243" s="223">
        <f>IF('CONTROLE GLOBO AÇOS'!J245="","",'CONTROLE GLOBO AÇOS'!J245)</f>
        <v/>
      </c>
      <c r="AT243" s="223">
        <f>IF(#REF!="","",#REF!)</f>
        <v/>
      </c>
      <c r="AU243" s="223">
        <f>IF('CONTROLE GLOBO AÇOS'!K245="","",'CONTROLE GLOBO AÇOS'!K245)</f>
        <v/>
      </c>
      <c r="AV243" s="223">
        <f>IF(AND('CONTROLE EJ'!K245="",'CONTROLE CMM'!#REF!=""),"",N('CONTROLE EJ'!K245)+N('CONTROLE CMM'!#REF!))</f>
        <v/>
      </c>
      <c r="AW243" s="223">
        <f>IF('CONTROLE GLOBO AÇOS'!L245="","",'CONTROLE GLOBO AÇOS'!L245)</f>
        <v/>
      </c>
      <c r="AX243" s="223">
        <f>IF(AND('CONTROLE EJ'!L245="",'CONTROLE CMM'!#REF!=""),"",N('CONTROLE EJ'!L245)+N('CONTROLE CMM'!#REF!))</f>
        <v/>
      </c>
      <c r="AY243" s="223">
        <f>IF('CONTROLE GLOBO AÇOS'!M245="","",'CONTROLE GLOBO AÇOS'!M245)</f>
        <v/>
      </c>
      <c r="AZ243" s="223">
        <f>IF('CONTROLE GLOBO AÇOS'!N245="","",'CONTROLE GLOBO AÇOS'!N245)</f>
        <v/>
      </c>
      <c r="BA243" s="223">
        <f>IF(AND('CONTROLE EJ'!M245="",'CONTROLE CMM'!#REF!=""),"",N('CONTROLE EJ'!M245)+N('CONTROLE CMM'!#REF!))</f>
        <v/>
      </c>
      <c r="BB243" s="223">
        <f>IF(#REF!="","",#REF!)</f>
        <v/>
      </c>
      <c r="BC243" s="223">
        <f>IF('CONTROLE GLOBO AÇOS'!O245="","",'CONTROLE GLOBO AÇOS'!O245)</f>
        <v/>
      </c>
      <c r="BD243" s="223">
        <f>IF(AND('CONTROLE EJ'!N245="",'CONTROLE CMM'!#REF!=""),"",N('CONTROLE EJ'!N245)+N('CONTROLE CMM'!#REF!))</f>
        <v/>
      </c>
      <c r="BE243" s="223">
        <f>IF('CONTROLE GLOBO AÇOS'!P245="","",'CONTROLE GLOBO AÇOS'!P245)</f>
        <v/>
      </c>
      <c r="BF243" s="223">
        <f>IF('CONTROLE GLOBO AÇOS'!Q245="","",'CONTROLE GLOBO AÇOS'!Q245)</f>
        <v/>
      </c>
      <c r="BG243" s="223">
        <f>IF('CONTROLE GLOBO AÇOS'!R245="","",'CONTROLE GLOBO AÇOS'!R245)</f>
        <v/>
      </c>
      <c r="BH243" s="223">
        <f>IF(AND('CONTROLE EJ'!O245="",'CONTROLE CMM'!#REF!=""),"",N('CONTROLE EJ'!O245)+N('CONTROLE CMM'!#REF!))</f>
        <v/>
      </c>
      <c r="BI243" s="223">
        <f>IF('CONTROLE GLOBO AÇOS'!S245="","",'CONTROLE GLOBO AÇOS'!S245)</f>
        <v/>
      </c>
      <c r="BJ243" s="223">
        <f>IF('CONTROLE GLOBO AÇOS'!T245="","",'CONTROLE GLOBO AÇOS'!T245)</f>
        <v/>
      </c>
      <c r="BK243" s="223">
        <f>IF('CONTROLE GLOBO AÇOS'!U245="","",'CONTROLE GLOBO AÇOS'!U245)</f>
        <v/>
      </c>
      <c r="BL243" s="223">
        <f>IF(AND('CONTROLE EJ'!P245="",'CONTROLE CMM'!#REF!=""),"",N('CONTROLE EJ'!P245)+N('CONTROLE CMM'!#REF!))</f>
        <v/>
      </c>
      <c r="BM243" s="223">
        <f>IF(AND('CONTROLE EJ'!Q245="",'CONTROLE CMM'!#REF!=""),"",N('CONTROLE EJ'!Q245)+N('CONTROLE CMM'!#REF!))</f>
        <v/>
      </c>
      <c r="BN243" s="223">
        <f>IF('CONTROLE GLOBO AÇOS'!V245="","",'CONTROLE GLOBO AÇOS'!V245)</f>
        <v/>
      </c>
      <c r="BO243" s="223">
        <f>IF('CONTROLE GLOBO AÇOS'!W245="","",'CONTROLE GLOBO AÇOS'!W245)</f>
        <v/>
      </c>
      <c r="BP243" s="223">
        <f>IF(AND('CONTROLE EJ'!R245="",'CONTROLE CMM'!#REF!=""),"",N('CONTROLE EJ'!R245)+N('CONTROLE CMM'!#REF!))</f>
        <v/>
      </c>
      <c r="BQ243" s="223">
        <f>IF(#REF!="","",#REF!)</f>
        <v/>
      </c>
      <c r="BR243" s="223">
        <f>IF(AND('CONTROLE EJ'!S245="",'CONTROLE CMM'!#REF!=""),"",N('CONTROLE EJ'!S245)+N('CONTROLE CMM'!#REF!))</f>
        <v/>
      </c>
      <c r="BS243" s="223">
        <f>IF(AND('CONTROLE EJ'!T245="",'CONTROLE CMM'!#REF!=""),"",N('CONTROLE EJ'!T245)+N('CONTROLE CMM'!#REF!))</f>
        <v/>
      </c>
      <c r="BT243" s="223">
        <f>IF('CONTROLE GLOBO AÇOS'!X245="","",'CONTROLE GLOBO AÇOS'!X245)</f>
        <v/>
      </c>
      <c r="BU243" s="223">
        <f>IF('CONTROLE GLOBO AÇOS'!Y245="","",'CONTROLE GLOBO AÇOS'!Y245)</f>
        <v/>
      </c>
      <c r="BV243" s="223">
        <f>IF(AND('CONTROLE EJ'!U245="",'CONTROLE CMM'!#REF!=""),"",N('CONTROLE EJ'!U245)+N('CONTROLE CMM'!#REF!))</f>
        <v/>
      </c>
      <c r="BW243" s="223">
        <f>IF(#REF!="","",#REF!)</f>
        <v/>
      </c>
    </row>
    <row r="244">
      <c r="A244" s="282" t="n">
        <v>46461</v>
      </c>
      <c r="B244" s="18">
        <f>IF('CONTROLE EJ'!B246="","",'CONTROLE EJ'!B246)</f>
        <v/>
      </c>
      <c r="C244" s="18">
        <f>IF('CONTROLE EJ'!C246="","",'CONTROLE EJ'!C246)</f>
        <v/>
      </c>
      <c r="D244" s="42">
        <f>IF('CONTROLE EJ'!D246="","",'CONTROLE EJ'!D246)</f>
        <v/>
      </c>
      <c r="E244" s="43">
        <f>IF('CONTROLE CMM'!B246="","",'CONTROLE CMM'!B246)</f>
        <v/>
      </c>
      <c r="F244" s="18">
        <f>IF('CONTROLE CMM'!C246="","",'CONTROLE CMM'!C246)</f>
        <v/>
      </c>
      <c r="G244" s="26">
        <f>IF('CONTROLE CMM'!D246="","",'CONTROLE CMM'!D246)</f>
        <v/>
      </c>
      <c r="H244" s="43">
        <f>IF('CONTROLE GLOBO AÇOS'!B246="","",'CONTROLE GLOBO AÇOS'!B246)</f>
        <v/>
      </c>
      <c r="I244" s="18">
        <f>IF('CONTROLE GLOBO AÇOS'!C246="","",'CONTROLE GLOBO AÇOS'!C246)</f>
        <v/>
      </c>
      <c r="J244" s="18">
        <f>IF('CONTROLE GLOBO AÇOS'!D246="","",'CONTROLE GLOBO AÇOS'!D246)</f>
        <v/>
      </c>
      <c r="AD244" s="39">
        <f>IF($A244="",0,IF(AND(WEEKDAY($A244,2)&lt;=5,OR($B244&lt;&gt;"",$C244&lt;&gt;"",$D244&lt;&gt;"")),1,0))</f>
        <v/>
      </c>
      <c r="AE244" s="39">
        <f>IF($A244="",0,IF(AND(WEEKDAY($A244,2)&lt;=5,OR($E244&lt;&gt;"",$F244&lt;&gt;"",$G244&lt;&gt;"")),1,0))</f>
        <v/>
      </c>
      <c r="AF244" s="39">
        <f>MAX(AD244,AE244)</f>
        <v/>
      </c>
      <c r="AH244" s="223">
        <f>IF('CONTROLE GLOBO AÇOS'!E246="","",'CONTROLE GLOBO AÇOS'!E246)</f>
        <v/>
      </c>
      <c r="AI244" s="223">
        <f>IF('CONTROLE GLOBO AÇOS'!F246="","",'CONTROLE GLOBO AÇOS'!F246)</f>
        <v/>
      </c>
      <c r="AJ244" s="223">
        <f>IF(AND('CONTROLE EJ'!E246="",'CONTROLE CMM'!E246=""),"",N('CONTROLE EJ'!E246)+N('CONTROLE CMM'!E246))</f>
        <v/>
      </c>
      <c r="AK244" s="223">
        <f>IF(AND('CONTROLE EJ'!F246="",'CONTROLE CMM'!F246=""),"",N('CONTROLE EJ'!F246)+N('CONTROLE CMM'!F246))</f>
        <v/>
      </c>
      <c r="AL244" s="223">
        <f>IF(AND('CONTROLE EJ'!G246="",'CONTROLE CMM'!G246=""),"",N('CONTROLE EJ'!G246)+N('CONTROLE CMM'!G246))</f>
        <v/>
      </c>
      <c r="AM244" s="223">
        <f>IF(AND('CONTROLE EJ'!H246="",'CONTROLE CMM'!H246=""),"",N('CONTROLE EJ'!H246)+N('CONTROLE CMM'!H246))</f>
        <v/>
      </c>
      <c r="AN244" s="223">
        <f>IF('CONTROLE GLOBO AÇOS'!G246="","",'CONTROLE GLOBO AÇOS'!G246)</f>
        <v/>
      </c>
      <c r="AO244" s="223">
        <f>IF('CONTROLE GLOBO AÇOS'!H246="","",'CONTROLE GLOBO AÇOS'!H246)</f>
        <v/>
      </c>
      <c r="AP244" s="223">
        <f>IF(AND('CONTROLE EJ'!I246="",'CONTROLE CMM'!I246=""),"",N('CONTROLE EJ'!I246)+N('CONTROLE CMM'!I246))</f>
        <v/>
      </c>
      <c r="AQ244" s="223">
        <f>IF(AND('CONTROLE EJ'!J246="",'CONTROLE CMM'!#REF!=""),"",N('CONTROLE EJ'!J246)+N('CONTROLE CMM'!#REF!))</f>
        <v/>
      </c>
      <c r="AR244" s="223">
        <f>IF('CONTROLE GLOBO AÇOS'!I246="","",'CONTROLE GLOBO AÇOS'!I246)</f>
        <v/>
      </c>
      <c r="AS244" s="223">
        <f>IF('CONTROLE GLOBO AÇOS'!J246="","",'CONTROLE GLOBO AÇOS'!J246)</f>
        <v/>
      </c>
      <c r="AT244" s="223">
        <f>IF(#REF!="","",#REF!)</f>
        <v/>
      </c>
      <c r="AU244" s="223">
        <f>IF('CONTROLE GLOBO AÇOS'!K246="","",'CONTROLE GLOBO AÇOS'!K246)</f>
        <v/>
      </c>
      <c r="AV244" s="223">
        <f>IF(AND('CONTROLE EJ'!K246="",'CONTROLE CMM'!#REF!=""),"",N('CONTROLE EJ'!K246)+N('CONTROLE CMM'!#REF!))</f>
        <v/>
      </c>
      <c r="AW244" s="223">
        <f>IF('CONTROLE GLOBO AÇOS'!L246="","",'CONTROLE GLOBO AÇOS'!L246)</f>
        <v/>
      </c>
      <c r="AX244" s="223">
        <f>IF(AND('CONTROLE EJ'!L246="",'CONTROLE CMM'!#REF!=""),"",N('CONTROLE EJ'!L246)+N('CONTROLE CMM'!#REF!))</f>
        <v/>
      </c>
      <c r="AY244" s="223">
        <f>IF('CONTROLE GLOBO AÇOS'!M246="","",'CONTROLE GLOBO AÇOS'!M246)</f>
        <v/>
      </c>
      <c r="AZ244" s="223">
        <f>IF('CONTROLE GLOBO AÇOS'!N246="","",'CONTROLE GLOBO AÇOS'!N246)</f>
        <v/>
      </c>
      <c r="BA244" s="223">
        <f>IF(AND('CONTROLE EJ'!M246="",'CONTROLE CMM'!#REF!=""),"",N('CONTROLE EJ'!M246)+N('CONTROLE CMM'!#REF!))</f>
        <v/>
      </c>
      <c r="BB244" s="223">
        <f>IF(#REF!="","",#REF!)</f>
        <v/>
      </c>
      <c r="BC244" s="223">
        <f>IF('CONTROLE GLOBO AÇOS'!O246="","",'CONTROLE GLOBO AÇOS'!O246)</f>
        <v/>
      </c>
      <c r="BD244" s="223">
        <f>IF(AND('CONTROLE EJ'!N246="",'CONTROLE CMM'!#REF!=""),"",N('CONTROLE EJ'!N246)+N('CONTROLE CMM'!#REF!))</f>
        <v/>
      </c>
      <c r="BE244" s="223">
        <f>IF('CONTROLE GLOBO AÇOS'!P246="","",'CONTROLE GLOBO AÇOS'!P246)</f>
        <v/>
      </c>
      <c r="BF244" s="223">
        <f>IF('CONTROLE GLOBO AÇOS'!Q246="","",'CONTROLE GLOBO AÇOS'!Q246)</f>
        <v/>
      </c>
      <c r="BG244" s="223">
        <f>IF('CONTROLE GLOBO AÇOS'!R246="","",'CONTROLE GLOBO AÇOS'!R246)</f>
        <v/>
      </c>
      <c r="BH244" s="223">
        <f>IF(AND('CONTROLE EJ'!O246="",'CONTROLE CMM'!#REF!=""),"",N('CONTROLE EJ'!O246)+N('CONTROLE CMM'!#REF!))</f>
        <v/>
      </c>
      <c r="BI244" s="223">
        <f>IF('CONTROLE GLOBO AÇOS'!S246="","",'CONTROLE GLOBO AÇOS'!S246)</f>
        <v/>
      </c>
      <c r="BJ244" s="223">
        <f>IF('CONTROLE GLOBO AÇOS'!T246="","",'CONTROLE GLOBO AÇOS'!T246)</f>
        <v/>
      </c>
      <c r="BK244" s="223">
        <f>IF('CONTROLE GLOBO AÇOS'!U246="","",'CONTROLE GLOBO AÇOS'!U246)</f>
        <v/>
      </c>
      <c r="BL244" s="223">
        <f>IF(AND('CONTROLE EJ'!P246="",'CONTROLE CMM'!#REF!=""),"",N('CONTROLE EJ'!P246)+N('CONTROLE CMM'!#REF!))</f>
        <v/>
      </c>
      <c r="BM244" s="223">
        <f>IF(AND('CONTROLE EJ'!Q246="",'CONTROLE CMM'!#REF!=""),"",N('CONTROLE EJ'!Q246)+N('CONTROLE CMM'!#REF!))</f>
        <v/>
      </c>
      <c r="BN244" s="223">
        <f>IF('CONTROLE GLOBO AÇOS'!V246="","",'CONTROLE GLOBO AÇOS'!V246)</f>
        <v/>
      </c>
      <c r="BO244" s="223">
        <f>IF('CONTROLE GLOBO AÇOS'!W246="","",'CONTROLE GLOBO AÇOS'!W246)</f>
        <v/>
      </c>
      <c r="BP244" s="223">
        <f>IF(AND('CONTROLE EJ'!R246="",'CONTROLE CMM'!#REF!=""),"",N('CONTROLE EJ'!R246)+N('CONTROLE CMM'!#REF!))</f>
        <v/>
      </c>
      <c r="BQ244" s="223">
        <f>IF(#REF!="","",#REF!)</f>
        <v/>
      </c>
      <c r="BR244" s="223">
        <f>IF(AND('CONTROLE EJ'!S246="",'CONTROLE CMM'!#REF!=""),"",N('CONTROLE EJ'!S246)+N('CONTROLE CMM'!#REF!))</f>
        <v/>
      </c>
      <c r="BS244" s="223">
        <f>IF(AND('CONTROLE EJ'!T246="",'CONTROLE CMM'!#REF!=""),"",N('CONTROLE EJ'!T246)+N('CONTROLE CMM'!#REF!))</f>
        <v/>
      </c>
      <c r="BT244" s="223">
        <f>IF('CONTROLE GLOBO AÇOS'!X246="","",'CONTROLE GLOBO AÇOS'!X246)</f>
        <v/>
      </c>
      <c r="BU244" s="223">
        <f>IF('CONTROLE GLOBO AÇOS'!Y246="","",'CONTROLE GLOBO AÇOS'!Y246)</f>
        <v/>
      </c>
      <c r="BV244" s="223">
        <f>IF(AND('CONTROLE EJ'!U246="",'CONTROLE CMM'!#REF!=""),"",N('CONTROLE EJ'!U246)+N('CONTROLE CMM'!#REF!))</f>
        <v/>
      </c>
      <c r="BW244" s="223">
        <f>IF(#REF!="","",#REF!)</f>
        <v/>
      </c>
    </row>
    <row r="245">
      <c r="A245" s="282" t="n">
        <v>46462</v>
      </c>
      <c r="B245" s="18">
        <f>IF('CONTROLE EJ'!B247="","",'CONTROLE EJ'!B247)</f>
        <v/>
      </c>
      <c r="C245" s="18">
        <f>IF('CONTROLE EJ'!C247="","",'CONTROLE EJ'!C247)</f>
        <v/>
      </c>
      <c r="D245" s="42">
        <f>IF('CONTROLE EJ'!D247="","",'CONTROLE EJ'!D247)</f>
        <v/>
      </c>
      <c r="E245" s="43">
        <f>IF('CONTROLE CMM'!B247="","",'CONTROLE CMM'!B247)</f>
        <v/>
      </c>
      <c r="F245" s="18">
        <f>IF('CONTROLE CMM'!C247="","",'CONTROLE CMM'!C247)</f>
        <v/>
      </c>
      <c r="G245" s="26">
        <f>IF('CONTROLE CMM'!D247="","",'CONTROLE CMM'!D247)</f>
        <v/>
      </c>
      <c r="H245" s="43">
        <f>IF('CONTROLE GLOBO AÇOS'!B247="","",'CONTROLE GLOBO AÇOS'!B247)</f>
        <v/>
      </c>
      <c r="I245" s="18">
        <f>IF('CONTROLE GLOBO AÇOS'!C247="","",'CONTROLE GLOBO AÇOS'!C247)</f>
        <v/>
      </c>
      <c r="J245" s="18">
        <f>IF('CONTROLE GLOBO AÇOS'!D247="","",'CONTROLE GLOBO AÇOS'!D247)</f>
        <v/>
      </c>
      <c r="AD245" s="39">
        <f>IF($A245="",0,IF(AND(WEEKDAY($A245,2)&lt;=5,OR($B245&lt;&gt;"",$C245&lt;&gt;"",$D245&lt;&gt;"")),1,0))</f>
        <v/>
      </c>
      <c r="AE245" s="39">
        <f>IF($A245="",0,IF(AND(WEEKDAY($A245,2)&lt;=5,OR($E245&lt;&gt;"",$F245&lt;&gt;"",$G245&lt;&gt;"")),1,0))</f>
        <v/>
      </c>
      <c r="AF245" s="39">
        <f>MAX(AD245,AE245)</f>
        <v/>
      </c>
      <c r="AH245" s="223">
        <f>IF('CONTROLE GLOBO AÇOS'!E247="","",'CONTROLE GLOBO AÇOS'!E247)</f>
        <v/>
      </c>
      <c r="AI245" s="223">
        <f>IF('CONTROLE GLOBO AÇOS'!F247="","",'CONTROLE GLOBO AÇOS'!F247)</f>
        <v/>
      </c>
      <c r="AJ245" s="223">
        <f>IF(AND('CONTROLE EJ'!E247="",'CONTROLE CMM'!E247=""),"",N('CONTROLE EJ'!E247)+N('CONTROLE CMM'!E247))</f>
        <v/>
      </c>
      <c r="AK245" s="223">
        <f>IF(AND('CONTROLE EJ'!F247="",'CONTROLE CMM'!F247=""),"",N('CONTROLE EJ'!F247)+N('CONTROLE CMM'!F247))</f>
        <v/>
      </c>
      <c r="AL245" s="223">
        <f>IF(AND('CONTROLE EJ'!G247="",'CONTROLE CMM'!G247=""),"",N('CONTROLE EJ'!G247)+N('CONTROLE CMM'!G247))</f>
        <v/>
      </c>
      <c r="AM245" s="223">
        <f>IF(AND('CONTROLE EJ'!H247="",'CONTROLE CMM'!H247=""),"",N('CONTROLE EJ'!H247)+N('CONTROLE CMM'!H247))</f>
        <v/>
      </c>
      <c r="AN245" s="223">
        <f>IF('CONTROLE GLOBO AÇOS'!G247="","",'CONTROLE GLOBO AÇOS'!G247)</f>
        <v/>
      </c>
      <c r="AO245" s="223">
        <f>IF('CONTROLE GLOBO AÇOS'!H247="","",'CONTROLE GLOBO AÇOS'!H247)</f>
        <v/>
      </c>
      <c r="AP245" s="223">
        <f>IF(AND('CONTROLE EJ'!I247="",'CONTROLE CMM'!I247=""),"",N('CONTROLE EJ'!I247)+N('CONTROLE CMM'!I247))</f>
        <v/>
      </c>
      <c r="AQ245" s="223">
        <f>IF(AND('CONTROLE EJ'!J247="",'CONTROLE CMM'!#REF!=""),"",N('CONTROLE EJ'!J247)+N('CONTROLE CMM'!#REF!))</f>
        <v/>
      </c>
      <c r="AR245" s="223">
        <f>IF('CONTROLE GLOBO AÇOS'!I247="","",'CONTROLE GLOBO AÇOS'!I247)</f>
        <v/>
      </c>
      <c r="AS245" s="223">
        <f>IF('CONTROLE GLOBO AÇOS'!J247="","",'CONTROLE GLOBO AÇOS'!J247)</f>
        <v/>
      </c>
      <c r="AT245" s="223">
        <f>IF(#REF!="","",#REF!)</f>
        <v/>
      </c>
      <c r="AU245" s="223">
        <f>IF('CONTROLE GLOBO AÇOS'!K247="","",'CONTROLE GLOBO AÇOS'!K247)</f>
        <v/>
      </c>
      <c r="AV245" s="223">
        <f>IF(AND('CONTROLE EJ'!K247="",'CONTROLE CMM'!#REF!=""),"",N('CONTROLE EJ'!K247)+N('CONTROLE CMM'!#REF!))</f>
        <v/>
      </c>
      <c r="AW245" s="223">
        <f>IF('CONTROLE GLOBO AÇOS'!L247="","",'CONTROLE GLOBO AÇOS'!L247)</f>
        <v/>
      </c>
      <c r="AX245" s="223">
        <f>IF(AND('CONTROLE EJ'!L247="",'CONTROLE CMM'!#REF!=""),"",N('CONTROLE EJ'!L247)+N('CONTROLE CMM'!#REF!))</f>
        <v/>
      </c>
      <c r="AY245" s="223">
        <f>IF('CONTROLE GLOBO AÇOS'!M247="","",'CONTROLE GLOBO AÇOS'!M247)</f>
        <v/>
      </c>
      <c r="AZ245" s="223">
        <f>IF('CONTROLE GLOBO AÇOS'!N247="","",'CONTROLE GLOBO AÇOS'!N247)</f>
        <v/>
      </c>
      <c r="BA245" s="223">
        <f>IF(AND('CONTROLE EJ'!M247="",'CONTROLE CMM'!#REF!=""),"",N('CONTROLE EJ'!M247)+N('CONTROLE CMM'!#REF!))</f>
        <v/>
      </c>
      <c r="BB245" s="223">
        <f>IF(#REF!="","",#REF!)</f>
        <v/>
      </c>
      <c r="BC245" s="223">
        <f>IF('CONTROLE GLOBO AÇOS'!O247="","",'CONTROLE GLOBO AÇOS'!O247)</f>
        <v/>
      </c>
      <c r="BD245" s="223">
        <f>IF(AND('CONTROLE EJ'!N247="",'CONTROLE CMM'!#REF!=""),"",N('CONTROLE EJ'!N247)+N('CONTROLE CMM'!#REF!))</f>
        <v/>
      </c>
      <c r="BE245" s="223">
        <f>IF('CONTROLE GLOBO AÇOS'!P247="","",'CONTROLE GLOBO AÇOS'!P247)</f>
        <v/>
      </c>
      <c r="BF245" s="223">
        <f>IF('CONTROLE GLOBO AÇOS'!Q247="","",'CONTROLE GLOBO AÇOS'!Q247)</f>
        <v/>
      </c>
      <c r="BG245" s="223">
        <f>IF('CONTROLE GLOBO AÇOS'!R247="","",'CONTROLE GLOBO AÇOS'!R247)</f>
        <v/>
      </c>
      <c r="BH245" s="223">
        <f>IF(AND('CONTROLE EJ'!O247="",'CONTROLE CMM'!#REF!=""),"",N('CONTROLE EJ'!O247)+N('CONTROLE CMM'!#REF!))</f>
        <v/>
      </c>
      <c r="BI245" s="223">
        <f>IF('CONTROLE GLOBO AÇOS'!S247="","",'CONTROLE GLOBO AÇOS'!S247)</f>
        <v/>
      </c>
      <c r="BJ245" s="223">
        <f>IF('CONTROLE GLOBO AÇOS'!T247="","",'CONTROLE GLOBO AÇOS'!T247)</f>
        <v/>
      </c>
      <c r="BK245" s="223">
        <f>IF('CONTROLE GLOBO AÇOS'!U247="","",'CONTROLE GLOBO AÇOS'!U247)</f>
        <v/>
      </c>
      <c r="BL245" s="223">
        <f>IF(AND('CONTROLE EJ'!P247="",'CONTROLE CMM'!#REF!=""),"",N('CONTROLE EJ'!P247)+N('CONTROLE CMM'!#REF!))</f>
        <v/>
      </c>
      <c r="BM245" s="223">
        <f>IF(AND('CONTROLE EJ'!Q247="",'CONTROLE CMM'!#REF!=""),"",N('CONTROLE EJ'!Q247)+N('CONTROLE CMM'!#REF!))</f>
        <v/>
      </c>
      <c r="BN245" s="223">
        <f>IF('CONTROLE GLOBO AÇOS'!V247="","",'CONTROLE GLOBO AÇOS'!V247)</f>
        <v/>
      </c>
      <c r="BO245" s="223">
        <f>IF('CONTROLE GLOBO AÇOS'!W247="","",'CONTROLE GLOBO AÇOS'!W247)</f>
        <v/>
      </c>
      <c r="BP245" s="223">
        <f>IF(AND('CONTROLE EJ'!R247="",'CONTROLE CMM'!#REF!=""),"",N('CONTROLE EJ'!R247)+N('CONTROLE CMM'!#REF!))</f>
        <v/>
      </c>
      <c r="BQ245" s="223">
        <f>IF(#REF!="","",#REF!)</f>
        <v/>
      </c>
      <c r="BR245" s="223">
        <f>IF(AND('CONTROLE EJ'!S247="",'CONTROLE CMM'!#REF!=""),"",N('CONTROLE EJ'!S247)+N('CONTROLE CMM'!#REF!))</f>
        <v/>
      </c>
      <c r="BS245" s="223">
        <f>IF(AND('CONTROLE EJ'!T247="",'CONTROLE CMM'!#REF!=""),"",N('CONTROLE EJ'!T247)+N('CONTROLE CMM'!#REF!))</f>
        <v/>
      </c>
      <c r="BT245" s="223">
        <f>IF('CONTROLE GLOBO AÇOS'!X247="","",'CONTROLE GLOBO AÇOS'!X247)</f>
        <v/>
      </c>
      <c r="BU245" s="223">
        <f>IF('CONTROLE GLOBO AÇOS'!Y247="","",'CONTROLE GLOBO AÇOS'!Y247)</f>
        <v/>
      </c>
      <c r="BV245" s="223">
        <f>IF(AND('CONTROLE EJ'!U247="",'CONTROLE CMM'!#REF!=""),"",N('CONTROLE EJ'!U247)+N('CONTROLE CMM'!#REF!))</f>
        <v/>
      </c>
      <c r="BW245" s="223">
        <f>IF(#REF!="","",#REF!)</f>
        <v/>
      </c>
    </row>
    <row r="246">
      <c r="A246" s="282" t="n">
        <v>46463</v>
      </c>
      <c r="B246" s="18">
        <f>IF('CONTROLE EJ'!B248="","",'CONTROLE EJ'!B248)</f>
        <v/>
      </c>
      <c r="C246" s="18">
        <f>IF('CONTROLE EJ'!C248="","",'CONTROLE EJ'!C248)</f>
        <v/>
      </c>
      <c r="D246" s="42">
        <f>IF('CONTROLE EJ'!D248="","",'CONTROLE EJ'!D248)</f>
        <v/>
      </c>
      <c r="E246" s="43">
        <f>IF('CONTROLE CMM'!B248="","",'CONTROLE CMM'!B248)</f>
        <v/>
      </c>
      <c r="F246" s="18">
        <f>IF('CONTROLE CMM'!C248="","",'CONTROLE CMM'!C248)</f>
        <v/>
      </c>
      <c r="G246" s="26">
        <f>IF('CONTROLE CMM'!D248="","",'CONTROLE CMM'!D248)</f>
        <v/>
      </c>
      <c r="H246" s="43">
        <f>IF('CONTROLE GLOBO AÇOS'!B248="","",'CONTROLE GLOBO AÇOS'!B248)</f>
        <v/>
      </c>
      <c r="I246" s="18">
        <f>IF('CONTROLE GLOBO AÇOS'!C248="","",'CONTROLE GLOBO AÇOS'!C248)</f>
        <v/>
      </c>
      <c r="J246" s="18">
        <f>IF('CONTROLE GLOBO AÇOS'!D248="","",'CONTROLE GLOBO AÇOS'!D248)</f>
        <v/>
      </c>
      <c r="AD246" s="39">
        <f>IF($A246="",0,IF(AND(WEEKDAY($A246,2)&lt;=5,OR($B246&lt;&gt;"",$C246&lt;&gt;"",$D246&lt;&gt;"")),1,0))</f>
        <v/>
      </c>
      <c r="AE246" s="39">
        <f>IF($A246="",0,IF(AND(WEEKDAY($A246,2)&lt;=5,OR($E246&lt;&gt;"",$F246&lt;&gt;"",$G246&lt;&gt;"")),1,0))</f>
        <v/>
      </c>
      <c r="AF246" s="39">
        <f>MAX(AD246,AE246)</f>
        <v/>
      </c>
      <c r="AH246" s="223">
        <f>IF('CONTROLE GLOBO AÇOS'!E248="","",'CONTROLE GLOBO AÇOS'!E248)</f>
        <v/>
      </c>
      <c r="AI246" s="223">
        <f>IF('CONTROLE GLOBO AÇOS'!F248="","",'CONTROLE GLOBO AÇOS'!F248)</f>
        <v/>
      </c>
      <c r="AJ246" s="223">
        <f>IF(AND('CONTROLE EJ'!E248="",'CONTROLE CMM'!E248=""),"",N('CONTROLE EJ'!E248)+N('CONTROLE CMM'!E248))</f>
        <v/>
      </c>
      <c r="AK246" s="223">
        <f>IF(AND('CONTROLE EJ'!F248="",'CONTROLE CMM'!F248=""),"",N('CONTROLE EJ'!F248)+N('CONTROLE CMM'!F248))</f>
        <v/>
      </c>
      <c r="AL246" s="223">
        <f>IF(AND('CONTROLE EJ'!G248="",'CONTROLE CMM'!G248=""),"",N('CONTROLE EJ'!G248)+N('CONTROLE CMM'!G248))</f>
        <v/>
      </c>
      <c r="AM246" s="223">
        <f>IF(AND('CONTROLE EJ'!H248="",'CONTROLE CMM'!H248=""),"",N('CONTROLE EJ'!H248)+N('CONTROLE CMM'!H248))</f>
        <v/>
      </c>
      <c r="AN246" s="223">
        <f>IF('CONTROLE GLOBO AÇOS'!G248="","",'CONTROLE GLOBO AÇOS'!G248)</f>
        <v/>
      </c>
      <c r="AO246" s="223">
        <f>IF('CONTROLE GLOBO AÇOS'!H248="","",'CONTROLE GLOBO AÇOS'!H248)</f>
        <v/>
      </c>
      <c r="AP246" s="223">
        <f>IF(AND('CONTROLE EJ'!I248="",'CONTROLE CMM'!I248=""),"",N('CONTROLE EJ'!I248)+N('CONTROLE CMM'!I248))</f>
        <v/>
      </c>
      <c r="AQ246" s="223">
        <f>IF(AND('CONTROLE EJ'!J248="",'CONTROLE CMM'!#REF!=""),"",N('CONTROLE EJ'!J248)+N('CONTROLE CMM'!#REF!))</f>
        <v/>
      </c>
      <c r="AR246" s="223">
        <f>IF('CONTROLE GLOBO AÇOS'!I248="","",'CONTROLE GLOBO AÇOS'!I248)</f>
        <v/>
      </c>
      <c r="AS246" s="223">
        <f>IF('CONTROLE GLOBO AÇOS'!J248="","",'CONTROLE GLOBO AÇOS'!J248)</f>
        <v/>
      </c>
      <c r="AT246" s="223">
        <f>IF(#REF!="","",#REF!)</f>
        <v/>
      </c>
      <c r="AU246" s="223">
        <f>IF('CONTROLE GLOBO AÇOS'!K248="","",'CONTROLE GLOBO AÇOS'!K248)</f>
        <v/>
      </c>
      <c r="AV246" s="223">
        <f>IF(AND('CONTROLE EJ'!K248="",'CONTROLE CMM'!#REF!=""),"",N('CONTROLE EJ'!K248)+N('CONTROLE CMM'!#REF!))</f>
        <v/>
      </c>
      <c r="AW246" s="223">
        <f>IF('CONTROLE GLOBO AÇOS'!L248="","",'CONTROLE GLOBO AÇOS'!L248)</f>
        <v/>
      </c>
      <c r="AX246" s="223">
        <f>IF(AND('CONTROLE EJ'!L248="",'CONTROLE CMM'!#REF!=""),"",N('CONTROLE EJ'!L248)+N('CONTROLE CMM'!#REF!))</f>
        <v/>
      </c>
      <c r="AY246" s="223">
        <f>IF('CONTROLE GLOBO AÇOS'!M248="","",'CONTROLE GLOBO AÇOS'!M248)</f>
        <v/>
      </c>
      <c r="AZ246" s="223">
        <f>IF('CONTROLE GLOBO AÇOS'!N248="","",'CONTROLE GLOBO AÇOS'!N248)</f>
        <v/>
      </c>
      <c r="BA246" s="223">
        <f>IF(AND('CONTROLE EJ'!M248="",'CONTROLE CMM'!#REF!=""),"",N('CONTROLE EJ'!M248)+N('CONTROLE CMM'!#REF!))</f>
        <v/>
      </c>
      <c r="BB246" s="223">
        <f>IF(#REF!="","",#REF!)</f>
        <v/>
      </c>
      <c r="BC246" s="223">
        <f>IF('CONTROLE GLOBO AÇOS'!O248="","",'CONTROLE GLOBO AÇOS'!O248)</f>
        <v/>
      </c>
      <c r="BD246" s="223">
        <f>IF(AND('CONTROLE EJ'!N248="",'CONTROLE CMM'!#REF!=""),"",N('CONTROLE EJ'!N248)+N('CONTROLE CMM'!#REF!))</f>
        <v/>
      </c>
      <c r="BE246" s="223">
        <f>IF('CONTROLE GLOBO AÇOS'!P248="","",'CONTROLE GLOBO AÇOS'!P248)</f>
        <v/>
      </c>
      <c r="BF246" s="223">
        <f>IF('CONTROLE GLOBO AÇOS'!Q248="","",'CONTROLE GLOBO AÇOS'!Q248)</f>
        <v/>
      </c>
      <c r="BG246" s="223">
        <f>IF('CONTROLE GLOBO AÇOS'!R248="","",'CONTROLE GLOBO AÇOS'!R248)</f>
        <v/>
      </c>
      <c r="BH246" s="223">
        <f>IF(AND('CONTROLE EJ'!O248="",'CONTROLE CMM'!#REF!=""),"",N('CONTROLE EJ'!O248)+N('CONTROLE CMM'!#REF!))</f>
        <v/>
      </c>
      <c r="BI246" s="223">
        <f>IF('CONTROLE GLOBO AÇOS'!S248="","",'CONTROLE GLOBO AÇOS'!S248)</f>
        <v/>
      </c>
      <c r="BJ246" s="223">
        <f>IF('CONTROLE GLOBO AÇOS'!T248="","",'CONTROLE GLOBO AÇOS'!T248)</f>
        <v/>
      </c>
      <c r="BK246" s="223">
        <f>IF('CONTROLE GLOBO AÇOS'!U248="","",'CONTROLE GLOBO AÇOS'!U248)</f>
        <v/>
      </c>
      <c r="BL246" s="223">
        <f>IF(AND('CONTROLE EJ'!P248="",'CONTROLE CMM'!#REF!=""),"",N('CONTROLE EJ'!P248)+N('CONTROLE CMM'!#REF!))</f>
        <v/>
      </c>
      <c r="BM246" s="223">
        <f>IF(AND('CONTROLE EJ'!Q248="",'CONTROLE CMM'!#REF!=""),"",N('CONTROLE EJ'!Q248)+N('CONTROLE CMM'!#REF!))</f>
        <v/>
      </c>
      <c r="BN246" s="223">
        <f>IF('CONTROLE GLOBO AÇOS'!V248="","",'CONTROLE GLOBO AÇOS'!V248)</f>
        <v/>
      </c>
      <c r="BO246" s="223">
        <f>IF('CONTROLE GLOBO AÇOS'!W248="","",'CONTROLE GLOBO AÇOS'!W248)</f>
        <v/>
      </c>
      <c r="BP246" s="223">
        <f>IF(AND('CONTROLE EJ'!R248="",'CONTROLE CMM'!#REF!=""),"",N('CONTROLE EJ'!R248)+N('CONTROLE CMM'!#REF!))</f>
        <v/>
      </c>
      <c r="BQ246" s="223">
        <f>IF(#REF!="","",#REF!)</f>
        <v/>
      </c>
      <c r="BR246" s="223">
        <f>IF(AND('CONTROLE EJ'!S248="",'CONTROLE CMM'!#REF!=""),"",N('CONTROLE EJ'!S248)+N('CONTROLE CMM'!#REF!))</f>
        <v/>
      </c>
      <c r="BS246" s="223">
        <f>IF(AND('CONTROLE EJ'!T248="",'CONTROLE CMM'!#REF!=""),"",N('CONTROLE EJ'!T248)+N('CONTROLE CMM'!#REF!))</f>
        <v/>
      </c>
      <c r="BT246" s="223">
        <f>IF('CONTROLE GLOBO AÇOS'!X248="","",'CONTROLE GLOBO AÇOS'!X248)</f>
        <v/>
      </c>
      <c r="BU246" s="223">
        <f>IF('CONTROLE GLOBO AÇOS'!Y248="","",'CONTROLE GLOBO AÇOS'!Y248)</f>
        <v/>
      </c>
      <c r="BV246" s="223">
        <f>IF(AND('CONTROLE EJ'!U248="",'CONTROLE CMM'!#REF!=""),"",N('CONTROLE EJ'!U248)+N('CONTROLE CMM'!#REF!))</f>
        <v/>
      </c>
      <c r="BW246" s="223">
        <f>IF(#REF!="","",#REF!)</f>
        <v/>
      </c>
    </row>
    <row r="247">
      <c r="A247" s="282" t="n">
        <v>46464</v>
      </c>
      <c r="B247" s="18">
        <f>IF('CONTROLE EJ'!B249="","",'CONTROLE EJ'!B249)</f>
        <v/>
      </c>
      <c r="C247" s="18">
        <f>IF('CONTROLE EJ'!C249="","",'CONTROLE EJ'!C249)</f>
        <v/>
      </c>
      <c r="D247" s="42">
        <f>IF('CONTROLE EJ'!D249="","",'CONTROLE EJ'!D249)</f>
        <v/>
      </c>
      <c r="E247" s="43">
        <f>IF('CONTROLE CMM'!B249="","",'CONTROLE CMM'!B249)</f>
        <v/>
      </c>
      <c r="F247" s="18">
        <f>IF('CONTROLE CMM'!C249="","",'CONTROLE CMM'!C249)</f>
        <v/>
      </c>
      <c r="G247" s="26">
        <f>IF('CONTROLE CMM'!D249="","",'CONTROLE CMM'!D249)</f>
        <v/>
      </c>
      <c r="H247" s="43">
        <f>IF('CONTROLE GLOBO AÇOS'!B249="","",'CONTROLE GLOBO AÇOS'!B249)</f>
        <v/>
      </c>
      <c r="I247" s="18">
        <f>IF('CONTROLE GLOBO AÇOS'!C249="","",'CONTROLE GLOBO AÇOS'!C249)</f>
        <v/>
      </c>
      <c r="J247" s="18">
        <f>IF('CONTROLE GLOBO AÇOS'!D249="","",'CONTROLE GLOBO AÇOS'!D249)</f>
        <v/>
      </c>
      <c r="AD247" s="39">
        <f>IF($A247="",0,IF(AND(WEEKDAY($A247,2)&lt;=5,OR($B247&lt;&gt;"",$C247&lt;&gt;"",$D247&lt;&gt;"")),1,0))</f>
        <v/>
      </c>
      <c r="AE247" s="39">
        <f>IF($A247="",0,IF(AND(WEEKDAY($A247,2)&lt;=5,OR($E247&lt;&gt;"",$F247&lt;&gt;"",$G247&lt;&gt;"")),1,0))</f>
        <v/>
      </c>
      <c r="AF247" s="39">
        <f>MAX(AD247,AE247)</f>
        <v/>
      </c>
      <c r="AH247" s="223">
        <f>IF('CONTROLE GLOBO AÇOS'!E249="","",'CONTROLE GLOBO AÇOS'!E249)</f>
        <v/>
      </c>
      <c r="AI247" s="223">
        <f>IF('CONTROLE GLOBO AÇOS'!F249="","",'CONTROLE GLOBO AÇOS'!F249)</f>
        <v/>
      </c>
      <c r="AJ247" s="223">
        <f>IF(AND('CONTROLE EJ'!E249="",'CONTROLE CMM'!E249=""),"",N('CONTROLE EJ'!E249)+N('CONTROLE CMM'!E249))</f>
        <v/>
      </c>
      <c r="AK247" s="223">
        <f>IF(AND('CONTROLE EJ'!F249="",'CONTROLE CMM'!F249=""),"",N('CONTROLE EJ'!F249)+N('CONTROLE CMM'!F249))</f>
        <v/>
      </c>
      <c r="AL247" s="223">
        <f>IF(AND('CONTROLE EJ'!G249="",'CONTROLE CMM'!G249=""),"",N('CONTROLE EJ'!G249)+N('CONTROLE CMM'!G249))</f>
        <v/>
      </c>
      <c r="AM247" s="223">
        <f>IF(AND('CONTROLE EJ'!H249="",'CONTROLE CMM'!H249=""),"",N('CONTROLE EJ'!H249)+N('CONTROLE CMM'!H249))</f>
        <v/>
      </c>
      <c r="AN247" s="223">
        <f>IF('CONTROLE GLOBO AÇOS'!G249="","",'CONTROLE GLOBO AÇOS'!G249)</f>
        <v/>
      </c>
      <c r="AO247" s="223">
        <f>IF('CONTROLE GLOBO AÇOS'!H249="","",'CONTROLE GLOBO AÇOS'!H249)</f>
        <v/>
      </c>
      <c r="AP247" s="223">
        <f>IF(AND('CONTROLE EJ'!I249="",'CONTROLE CMM'!I249=""),"",N('CONTROLE EJ'!I249)+N('CONTROLE CMM'!I249))</f>
        <v/>
      </c>
      <c r="AQ247" s="223">
        <f>IF(AND('CONTROLE EJ'!J249="",'CONTROLE CMM'!#REF!=""),"",N('CONTROLE EJ'!J249)+N('CONTROLE CMM'!#REF!))</f>
        <v/>
      </c>
      <c r="AR247" s="223">
        <f>IF('CONTROLE GLOBO AÇOS'!I249="","",'CONTROLE GLOBO AÇOS'!I249)</f>
        <v/>
      </c>
      <c r="AS247" s="223">
        <f>IF('CONTROLE GLOBO AÇOS'!J249="","",'CONTROLE GLOBO AÇOS'!J249)</f>
        <v/>
      </c>
      <c r="AT247" s="223">
        <f>IF(#REF!="","",#REF!)</f>
        <v/>
      </c>
      <c r="AU247" s="223">
        <f>IF('CONTROLE GLOBO AÇOS'!K249="","",'CONTROLE GLOBO AÇOS'!K249)</f>
        <v/>
      </c>
      <c r="AV247" s="223">
        <f>IF(AND('CONTROLE EJ'!K249="",'CONTROLE CMM'!#REF!=""),"",N('CONTROLE EJ'!K249)+N('CONTROLE CMM'!#REF!))</f>
        <v/>
      </c>
      <c r="AW247" s="223">
        <f>IF('CONTROLE GLOBO AÇOS'!L249="","",'CONTROLE GLOBO AÇOS'!L249)</f>
        <v/>
      </c>
      <c r="AX247" s="223">
        <f>IF(AND('CONTROLE EJ'!L249="",'CONTROLE CMM'!#REF!=""),"",N('CONTROLE EJ'!L249)+N('CONTROLE CMM'!#REF!))</f>
        <v/>
      </c>
      <c r="AY247" s="223">
        <f>IF('CONTROLE GLOBO AÇOS'!M249="","",'CONTROLE GLOBO AÇOS'!M249)</f>
        <v/>
      </c>
      <c r="AZ247" s="223">
        <f>IF('CONTROLE GLOBO AÇOS'!N249="","",'CONTROLE GLOBO AÇOS'!N249)</f>
        <v/>
      </c>
      <c r="BA247" s="223">
        <f>IF(AND('CONTROLE EJ'!M249="",'CONTROLE CMM'!#REF!=""),"",N('CONTROLE EJ'!M249)+N('CONTROLE CMM'!#REF!))</f>
        <v/>
      </c>
      <c r="BB247" s="223">
        <f>IF(#REF!="","",#REF!)</f>
        <v/>
      </c>
      <c r="BC247" s="223">
        <f>IF('CONTROLE GLOBO AÇOS'!O249="","",'CONTROLE GLOBO AÇOS'!O249)</f>
        <v/>
      </c>
      <c r="BD247" s="223">
        <f>IF(AND('CONTROLE EJ'!N249="",'CONTROLE CMM'!#REF!=""),"",N('CONTROLE EJ'!N249)+N('CONTROLE CMM'!#REF!))</f>
        <v/>
      </c>
      <c r="BE247" s="223">
        <f>IF('CONTROLE GLOBO AÇOS'!P249="","",'CONTROLE GLOBO AÇOS'!P249)</f>
        <v/>
      </c>
      <c r="BF247" s="223">
        <f>IF('CONTROLE GLOBO AÇOS'!Q249="","",'CONTROLE GLOBO AÇOS'!Q249)</f>
        <v/>
      </c>
      <c r="BG247" s="223">
        <f>IF('CONTROLE GLOBO AÇOS'!R249="","",'CONTROLE GLOBO AÇOS'!R249)</f>
        <v/>
      </c>
      <c r="BH247" s="223">
        <f>IF(AND('CONTROLE EJ'!O249="",'CONTROLE CMM'!#REF!=""),"",N('CONTROLE EJ'!O249)+N('CONTROLE CMM'!#REF!))</f>
        <v/>
      </c>
      <c r="BI247" s="223">
        <f>IF('CONTROLE GLOBO AÇOS'!S249="","",'CONTROLE GLOBO AÇOS'!S249)</f>
        <v/>
      </c>
      <c r="BJ247" s="223">
        <f>IF('CONTROLE GLOBO AÇOS'!T249="","",'CONTROLE GLOBO AÇOS'!T249)</f>
        <v/>
      </c>
      <c r="BK247" s="223">
        <f>IF('CONTROLE GLOBO AÇOS'!U249="","",'CONTROLE GLOBO AÇOS'!U249)</f>
        <v/>
      </c>
      <c r="BL247" s="223">
        <f>IF(AND('CONTROLE EJ'!P249="",'CONTROLE CMM'!#REF!=""),"",N('CONTROLE EJ'!P249)+N('CONTROLE CMM'!#REF!))</f>
        <v/>
      </c>
      <c r="BM247" s="223">
        <f>IF(AND('CONTROLE EJ'!Q249="",'CONTROLE CMM'!#REF!=""),"",N('CONTROLE EJ'!Q249)+N('CONTROLE CMM'!#REF!))</f>
        <v/>
      </c>
      <c r="BN247" s="223">
        <f>IF('CONTROLE GLOBO AÇOS'!V249="","",'CONTROLE GLOBO AÇOS'!V249)</f>
        <v/>
      </c>
      <c r="BO247" s="223">
        <f>IF('CONTROLE GLOBO AÇOS'!W249="","",'CONTROLE GLOBO AÇOS'!W249)</f>
        <v/>
      </c>
      <c r="BP247" s="223">
        <f>IF(AND('CONTROLE EJ'!R249="",'CONTROLE CMM'!#REF!=""),"",N('CONTROLE EJ'!R249)+N('CONTROLE CMM'!#REF!))</f>
        <v/>
      </c>
      <c r="BQ247" s="223">
        <f>IF(#REF!="","",#REF!)</f>
        <v/>
      </c>
      <c r="BR247" s="223">
        <f>IF(AND('CONTROLE EJ'!S249="",'CONTROLE CMM'!#REF!=""),"",N('CONTROLE EJ'!S249)+N('CONTROLE CMM'!#REF!))</f>
        <v/>
      </c>
      <c r="BS247" s="223">
        <f>IF(AND('CONTROLE EJ'!T249="",'CONTROLE CMM'!#REF!=""),"",N('CONTROLE EJ'!T249)+N('CONTROLE CMM'!#REF!))</f>
        <v/>
      </c>
      <c r="BT247" s="223">
        <f>IF('CONTROLE GLOBO AÇOS'!X249="","",'CONTROLE GLOBO AÇOS'!X249)</f>
        <v/>
      </c>
      <c r="BU247" s="223">
        <f>IF('CONTROLE GLOBO AÇOS'!Y249="","",'CONTROLE GLOBO AÇOS'!Y249)</f>
        <v/>
      </c>
      <c r="BV247" s="223">
        <f>IF(AND('CONTROLE EJ'!U249="",'CONTROLE CMM'!#REF!=""),"",N('CONTROLE EJ'!U249)+N('CONTROLE CMM'!#REF!))</f>
        <v/>
      </c>
      <c r="BW247" s="223">
        <f>IF(#REF!="","",#REF!)</f>
        <v/>
      </c>
    </row>
    <row r="248">
      <c r="A248" s="282" t="n">
        <v>46465</v>
      </c>
      <c r="B248" s="18">
        <f>IF('CONTROLE EJ'!B250="","",'CONTROLE EJ'!B250)</f>
        <v/>
      </c>
      <c r="C248" s="18">
        <f>IF('CONTROLE EJ'!C250="","",'CONTROLE EJ'!C250)</f>
        <v/>
      </c>
      <c r="D248" s="42">
        <f>IF('CONTROLE EJ'!D250="","",'CONTROLE EJ'!D250)</f>
        <v/>
      </c>
      <c r="E248" s="43">
        <f>IF('CONTROLE CMM'!B250="","",'CONTROLE CMM'!B250)</f>
        <v/>
      </c>
      <c r="F248" s="18">
        <f>IF('CONTROLE CMM'!C250="","",'CONTROLE CMM'!C250)</f>
        <v/>
      </c>
      <c r="G248" s="26">
        <f>IF('CONTROLE CMM'!D250="","",'CONTROLE CMM'!D250)</f>
        <v/>
      </c>
      <c r="H248" s="43">
        <f>IF('CONTROLE GLOBO AÇOS'!B250="","",'CONTROLE GLOBO AÇOS'!B250)</f>
        <v/>
      </c>
      <c r="I248" s="18">
        <f>IF('CONTROLE GLOBO AÇOS'!C250="","",'CONTROLE GLOBO AÇOS'!C250)</f>
        <v/>
      </c>
      <c r="J248" s="18">
        <f>IF('CONTROLE GLOBO AÇOS'!D250="","",'CONTROLE GLOBO AÇOS'!D250)</f>
        <v/>
      </c>
      <c r="AD248" s="39">
        <f>IF($A248="",0,IF(AND(WEEKDAY($A248,2)&lt;=5,OR($B248&lt;&gt;"",$C248&lt;&gt;"",$D248&lt;&gt;"")),1,0))</f>
        <v/>
      </c>
      <c r="AE248" s="39">
        <f>IF($A248="",0,IF(AND(WEEKDAY($A248,2)&lt;=5,OR($E248&lt;&gt;"",$F248&lt;&gt;"",$G248&lt;&gt;"")),1,0))</f>
        <v/>
      </c>
      <c r="AF248" s="39">
        <f>MAX(AD248,AE248)</f>
        <v/>
      </c>
      <c r="AH248" s="223">
        <f>IF('CONTROLE GLOBO AÇOS'!E250="","",'CONTROLE GLOBO AÇOS'!E250)</f>
        <v/>
      </c>
      <c r="AI248" s="223">
        <f>IF('CONTROLE GLOBO AÇOS'!F250="","",'CONTROLE GLOBO AÇOS'!F250)</f>
        <v/>
      </c>
      <c r="AJ248" s="223">
        <f>IF(AND('CONTROLE EJ'!E250="",'CONTROLE CMM'!E250=""),"",N('CONTROLE EJ'!E250)+N('CONTROLE CMM'!E250))</f>
        <v/>
      </c>
      <c r="AK248" s="223">
        <f>IF(AND('CONTROLE EJ'!F250="",'CONTROLE CMM'!F250=""),"",N('CONTROLE EJ'!F250)+N('CONTROLE CMM'!F250))</f>
        <v/>
      </c>
      <c r="AL248" s="223">
        <f>IF(AND('CONTROLE EJ'!G250="",'CONTROLE CMM'!G250=""),"",N('CONTROLE EJ'!G250)+N('CONTROLE CMM'!G250))</f>
        <v/>
      </c>
      <c r="AM248" s="223">
        <f>IF(AND('CONTROLE EJ'!H250="",'CONTROLE CMM'!H250=""),"",N('CONTROLE EJ'!H250)+N('CONTROLE CMM'!H250))</f>
        <v/>
      </c>
      <c r="AN248" s="223">
        <f>IF('CONTROLE GLOBO AÇOS'!G250="","",'CONTROLE GLOBO AÇOS'!G250)</f>
        <v/>
      </c>
      <c r="AO248" s="223">
        <f>IF('CONTROLE GLOBO AÇOS'!H250="","",'CONTROLE GLOBO AÇOS'!H250)</f>
        <v/>
      </c>
      <c r="AP248" s="223">
        <f>IF(AND('CONTROLE EJ'!I250="",'CONTROLE CMM'!I250=""),"",N('CONTROLE EJ'!I250)+N('CONTROLE CMM'!I250))</f>
        <v/>
      </c>
      <c r="AQ248" s="223">
        <f>IF(AND('CONTROLE EJ'!J250="",'CONTROLE CMM'!#REF!=""),"",N('CONTROLE EJ'!J250)+N('CONTROLE CMM'!#REF!))</f>
        <v/>
      </c>
      <c r="AR248" s="223">
        <f>IF('CONTROLE GLOBO AÇOS'!I250="","",'CONTROLE GLOBO AÇOS'!I250)</f>
        <v/>
      </c>
      <c r="AS248" s="223">
        <f>IF('CONTROLE GLOBO AÇOS'!J250="","",'CONTROLE GLOBO AÇOS'!J250)</f>
        <v/>
      </c>
      <c r="AT248" s="223">
        <f>IF(#REF!="","",#REF!)</f>
        <v/>
      </c>
      <c r="AU248" s="223">
        <f>IF('CONTROLE GLOBO AÇOS'!K250="","",'CONTROLE GLOBO AÇOS'!K250)</f>
        <v/>
      </c>
      <c r="AV248" s="223">
        <f>IF(AND('CONTROLE EJ'!K250="",'CONTROLE CMM'!#REF!=""),"",N('CONTROLE EJ'!K250)+N('CONTROLE CMM'!#REF!))</f>
        <v/>
      </c>
      <c r="AW248" s="223">
        <f>IF('CONTROLE GLOBO AÇOS'!L250="","",'CONTROLE GLOBO AÇOS'!L250)</f>
        <v/>
      </c>
      <c r="AX248" s="223">
        <f>IF(AND('CONTROLE EJ'!L250="",'CONTROLE CMM'!#REF!=""),"",N('CONTROLE EJ'!L250)+N('CONTROLE CMM'!#REF!))</f>
        <v/>
      </c>
      <c r="AY248" s="223">
        <f>IF('CONTROLE GLOBO AÇOS'!M250="","",'CONTROLE GLOBO AÇOS'!M250)</f>
        <v/>
      </c>
      <c r="AZ248" s="223">
        <f>IF('CONTROLE GLOBO AÇOS'!N250="","",'CONTROLE GLOBO AÇOS'!N250)</f>
        <v/>
      </c>
      <c r="BA248" s="223">
        <f>IF(AND('CONTROLE EJ'!M250="",'CONTROLE CMM'!#REF!=""),"",N('CONTROLE EJ'!M250)+N('CONTROLE CMM'!#REF!))</f>
        <v/>
      </c>
      <c r="BB248" s="223">
        <f>IF(#REF!="","",#REF!)</f>
        <v/>
      </c>
      <c r="BC248" s="223">
        <f>IF('CONTROLE GLOBO AÇOS'!O250="","",'CONTROLE GLOBO AÇOS'!O250)</f>
        <v/>
      </c>
      <c r="BD248" s="223">
        <f>IF(AND('CONTROLE EJ'!N250="",'CONTROLE CMM'!#REF!=""),"",N('CONTROLE EJ'!N250)+N('CONTROLE CMM'!#REF!))</f>
        <v/>
      </c>
      <c r="BE248" s="223">
        <f>IF('CONTROLE GLOBO AÇOS'!P250="","",'CONTROLE GLOBO AÇOS'!P250)</f>
        <v/>
      </c>
      <c r="BF248" s="223">
        <f>IF('CONTROLE GLOBO AÇOS'!Q250="","",'CONTROLE GLOBO AÇOS'!Q250)</f>
        <v/>
      </c>
      <c r="BG248" s="223">
        <f>IF('CONTROLE GLOBO AÇOS'!R250="","",'CONTROLE GLOBO AÇOS'!R250)</f>
        <v/>
      </c>
      <c r="BH248" s="223">
        <f>IF(AND('CONTROLE EJ'!O250="",'CONTROLE CMM'!#REF!=""),"",N('CONTROLE EJ'!O250)+N('CONTROLE CMM'!#REF!))</f>
        <v/>
      </c>
      <c r="BI248" s="223">
        <f>IF('CONTROLE GLOBO AÇOS'!S250="","",'CONTROLE GLOBO AÇOS'!S250)</f>
        <v/>
      </c>
      <c r="BJ248" s="223">
        <f>IF('CONTROLE GLOBO AÇOS'!T250="","",'CONTROLE GLOBO AÇOS'!T250)</f>
        <v/>
      </c>
      <c r="BK248" s="223">
        <f>IF('CONTROLE GLOBO AÇOS'!U250="","",'CONTROLE GLOBO AÇOS'!U250)</f>
        <v/>
      </c>
      <c r="BL248" s="223">
        <f>IF(AND('CONTROLE EJ'!P250="",'CONTROLE CMM'!#REF!=""),"",N('CONTROLE EJ'!P250)+N('CONTROLE CMM'!#REF!))</f>
        <v/>
      </c>
      <c r="BM248" s="223">
        <f>IF(AND('CONTROLE EJ'!Q250="",'CONTROLE CMM'!#REF!=""),"",N('CONTROLE EJ'!Q250)+N('CONTROLE CMM'!#REF!))</f>
        <v/>
      </c>
      <c r="BN248" s="223">
        <f>IF('CONTROLE GLOBO AÇOS'!V250="","",'CONTROLE GLOBO AÇOS'!V250)</f>
        <v/>
      </c>
      <c r="BO248" s="223">
        <f>IF('CONTROLE GLOBO AÇOS'!W250="","",'CONTROLE GLOBO AÇOS'!W250)</f>
        <v/>
      </c>
      <c r="BP248" s="223">
        <f>IF(AND('CONTROLE EJ'!R250="",'CONTROLE CMM'!#REF!=""),"",N('CONTROLE EJ'!R250)+N('CONTROLE CMM'!#REF!))</f>
        <v/>
      </c>
      <c r="BQ248" s="223">
        <f>IF(#REF!="","",#REF!)</f>
        <v/>
      </c>
      <c r="BR248" s="223">
        <f>IF(AND('CONTROLE EJ'!S250="",'CONTROLE CMM'!#REF!=""),"",N('CONTROLE EJ'!S250)+N('CONTROLE CMM'!#REF!))</f>
        <v/>
      </c>
      <c r="BS248" s="223">
        <f>IF(AND('CONTROLE EJ'!T250="",'CONTROLE CMM'!#REF!=""),"",N('CONTROLE EJ'!T250)+N('CONTROLE CMM'!#REF!))</f>
        <v/>
      </c>
      <c r="BT248" s="223">
        <f>IF('CONTROLE GLOBO AÇOS'!X250="","",'CONTROLE GLOBO AÇOS'!X250)</f>
        <v/>
      </c>
      <c r="BU248" s="223">
        <f>IF('CONTROLE GLOBO AÇOS'!Y250="","",'CONTROLE GLOBO AÇOS'!Y250)</f>
        <v/>
      </c>
      <c r="BV248" s="223">
        <f>IF(AND('CONTROLE EJ'!U250="",'CONTROLE CMM'!#REF!=""),"",N('CONTROLE EJ'!U250)+N('CONTROLE CMM'!#REF!))</f>
        <v/>
      </c>
      <c r="BW248" s="223">
        <f>IF(#REF!="","",#REF!)</f>
        <v/>
      </c>
    </row>
    <row r="249">
      <c r="A249" s="282" t="n">
        <v>46466</v>
      </c>
      <c r="B249" s="18">
        <f>IF('CONTROLE EJ'!B251="","",'CONTROLE EJ'!B251)</f>
        <v/>
      </c>
      <c r="C249" s="18">
        <f>IF('CONTROLE EJ'!C251="","",'CONTROLE EJ'!C251)</f>
        <v/>
      </c>
      <c r="D249" s="42">
        <f>IF('CONTROLE EJ'!D251="","",'CONTROLE EJ'!D251)</f>
        <v/>
      </c>
      <c r="E249" s="43">
        <f>IF('CONTROLE CMM'!B251="","",'CONTROLE CMM'!B251)</f>
        <v/>
      </c>
      <c r="F249" s="18">
        <f>IF('CONTROLE CMM'!C251="","",'CONTROLE CMM'!C251)</f>
        <v/>
      </c>
      <c r="G249" s="26">
        <f>IF('CONTROLE CMM'!D251="","",'CONTROLE CMM'!D251)</f>
        <v/>
      </c>
      <c r="H249" s="43">
        <f>IF('CONTROLE GLOBO AÇOS'!B251="","",'CONTROLE GLOBO AÇOS'!B251)</f>
        <v/>
      </c>
      <c r="I249" s="18">
        <f>IF('CONTROLE GLOBO AÇOS'!C251="","",'CONTROLE GLOBO AÇOS'!C251)</f>
        <v/>
      </c>
      <c r="J249" s="18">
        <f>IF('CONTROLE GLOBO AÇOS'!D251="","",'CONTROLE GLOBO AÇOS'!D251)</f>
        <v/>
      </c>
      <c r="AD249" s="39">
        <f>IF($A249="",0,IF(AND(WEEKDAY($A249,2)&lt;=5,OR($B249&lt;&gt;"",$C249&lt;&gt;"",$D249&lt;&gt;"")),1,0))</f>
        <v/>
      </c>
      <c r="AE249" s="39">
        <f>IF($A249="",0,IF(AND(WEEKDAY($A249,2)&lt;=5,OR($E249&lt;&gt;"",$F249&lt;&gt;"",$G249&lt;&gt;"")),1,0))</f>
        <v/>
      </c>
      <c r="AF249" s="39">
        <f>MAX(AD249,AE249)</f>
        <v/>
      </c>
      <c r="AH249" s="223">
        <f>IF('CONTROLE GLOBO AÇOS'!E251="","",'CONTROLE GLOBO AÇOS'!E251)</f>
        <v/>
      </c>
      <c r="AI249" s="223">
        <f>IF('CONTROLE GLOBO AÇOS'!F251="","",'CONTROLE GLOBO AÇOS'!F251)</f>
        <v/>
      </c>
      <c r="AJ249" s="223">
        <f>IF(AND('CONTROLE EJ'!E251="",'CONTROLE CMM'!E251=""),"",N('CONTROLE EJ'!E251)+N('CONTROLE CMM'!E251))</f>
        <v/>
      </c>
      <c r="AK249" s="223">
        <f>IF(AND('CONTROLE EJ'!F251="",'CONTROLE CMM'!F251=""),"",N('CONTROLE EJ'!F251)+N('CONTROLE CMM'!F251))</f>
        <v/>
      </c>
      <c r="AL249" s="223">
        <f>IF(AND('CONTROLE EJ'!G251="",'CONTROLE CMM'!G251=""),"",N('CONTROLE EJ'!G251)+N('CONTROLE CMM'!G251))</f>
        <v/>
      </c>
      <c r="AM249" s="223">
        <f>IF(AND('CONTROLE EJ'!H251="",'CONTROLE CMM'!H251=""),"",N('CONTROLE EJ'!H251)+N('CONTROLE CMM'!H251))</f>
        <v/>
      </c>
      <c r="AN249" s="223">
        <f>IF('CONTROLE GLOBO AÇOS'!G251="","",'CONTROLE GLOBO AÇOS'!G251)</f>
        <v/>
      </c>
      <c r="AO249" s="223">
        <f>IF('CONTROLE GLOBO AÇOS'!H251="","",'CONTROLE GLOBO AÇOS'!H251)</f>
        <v/>
      </c>
      <c r="AP249" s="223">
        <f>IF(AND('CONTROLE EJ'!I251="",'CONTROLE CMM'!I251=""),"",N('CONTROLE EJ'!I251)+N('CONTROLE CMM'!I251))</f>
        <v/>
      </c>
      <c r="AQ249" s="223">
        <f>IF(AND('CONTROLE EJ'!J251="",'CONTROLE CMM'!#REF!=""),"",N('CONTROLE EJ'!J251)+N('CONTROLE CMM'!#REF!))</f>
        <v/>
      </c>
      <c r="AR249" s="223">
        <f>IF('CONTROLE GLOBO AÇOS'!I251="","",'CONTROLE GLOBO AÇOS'!I251)</f>
        <v/>
      </c>
      <c r="AS249" s="223">
        <f>IF('CONTROLE GLOBO AÇOS'!J251="","",'CONTROLE GLOBO AÇOS'!J251)</f>
        <v/>
      </c>
      <c r="AT249" s="223">
        <f>IF(#REF!="","",#REF!)</f>
        <v/>
      </c>
      <c r="AU249" s="223">
        <f>IF('CONTROLE GLOBO AÇOS'!K251="","",'CONTROLE GLOBO AÇOS'!K251)</f>
        <v/>
      </c>
      <c r="AV249" s="223">
        <f>IF(AND('CONTROLE EJ'!K251="",'CONTROLE CMM'!#REF!=""),"",N('CONTROLE EJ'!K251)+N('CONTROLE CMM'!#REF!))</f>
        <v/>
      </c>
      <c r="AW249" s="223">
        <f>IF('CONTROLE GLOBO AÇOS'!L251="","",'CONTROLE GLOBO AÇOS'!L251)</f>
        <v/>
      </c>
      <c r="AX249" s="223">
        <f>IF(AND('CONTROLE EJ'!L251="",'CONTROLE CMM'!#REF!=""),"",N('CONTROLE EJ'!L251)+N('CONTROLE CMM'!#REF!))</f>
        <v/>
      </c>
      <c r="AY249" s="223">
        <f>IF('CONTROLE GLOBO AÇOS'!M251="","",'CONTROLE GLOBO AÇOS'!M251)</f>
        <v/>
      </c>
      <c r="AZ249" s="223">
        <f>IF('CONTROLE GLOBO AÇOS'!N251="","",'CONTROLE GLOBO AÇOS'!N251)</f>
        <v/>
      </c>
      <c r="BA249" s="223">
        <f>IF(AND('CONTROLE EJ'!M251="",'CONTROLE CMM'!#REF!=""),"",N('CONTROLE EJ'!M251)+N('CONTROLE CMM'!#REF!))</f>
        <v/>
      </c>
      <c r="BB249" s="223">
        <f>IF(#REF!="","",#REF!)</f>
        <v/>
      </c>
      <c r="BC249" s="223">
        <f>IF('CONTROLE GLOBO AÇOS'!O251="","",'CONTROLE GLOBO AÇOS'!O251)</f>
        <v/>
      </c>
      <c r="BD249" s="223">
        <f>IF(AND('CONTROLE EJ'!N251="",'CONTROLE CMM'!#REF!=""),"",N('CONTROLE EJ'!N251)+N('CONTROLE CMM'!#REF!))</f>
        <v/>
      </c>
      <c r="BE249" s="223">
        <f>IF('CONTROLE GLOBO AÇOS'!P251="","",'CONTROLE GLOBO AÇOS'!P251)</f>
        <v/>
      </c>
      <c r="BF249" s="223">
        <f>IF('CONTROLE GLOBO AÇOS'!Q251="","",'CONTROLE GLOBO AÇOS'!Q251)</f>
        <v/>
      </c>
      <c r="BG249" s="223">
        <f>IF('CONTROLE GLOBO AÇOS'!R251="","",'CONTROLE GLOBO AÇOS'!R251)</f>
        <v/>
      </c>
      <c r="BH249" s="223">
        <f>IF(AND('CONTROLE EJ'!O251="",'CONTROLE CMM'!#REF!=""),"",N('CONTROLE EJ'!O251)+N('CONTROLE CMM'!#REF!))</f>
        <v/>
      </c>
      <c r="BI249" s="223">
        <f>IF('CONTROLE GLOBO AÇOS'!S251="","",'CONTROLE GLOBO AÇOS'!S251)</f>
        <v/>
      </c>
      <c r="BJ249" s="223">
        <f>IF('CONTROLE GLOBO AÇOS'!T251="","",'CONTROLE GLOBO AÇOS'!T251)</f>
        <v/>
      </c>
      <c r="BK249" s="223">
        <f>IF('CONTROLE GLOBO AÇOS'!U251="","",'CONTROLE GLOBO AÇOS'!U251)</f>
        <v/>
      </c>
      <c r="BL249" s="223">
        <f>IF(AND('CONTROLE EJ'!P251="",'CONTROLE CMM'!#REF!=""),"",N('CONTROLE EJ'!P251)+N('CONTROLE CMM'!#REF!))</f>
        <v/>
      </c>
      <c r="BM249" s="223">
        <f>IF(AND('CONTROLE EJ'!Q251="",'CONTROLE CMM'!#REF!=""),"",N('CONTROLE EJ'!Q251)+N('CONTROLE CMM'!#REF!))</f>
        <v/>
      </c>
      <c r="BN249" s="223">
        <f>IF('CONTROLE GLOBO AÇOS'!V251="","",'CONTROLE GLOBO AÇOS'!V251)</f>
        <v/>
      </c>
      <c r="BO249" s="223">
        <f>IF('CONTROLE GLOBO AÇOS'!W251="","",'CONTROLE GLOBO AÇOS'!W251)</f>
        <v/>
      </c>
      <c r="BP249" s="223">
        <f>IF(AND('CONTROLE EJ'!R251="",'CONTROLE CMM'!#REF!=""),"",N('CONTROLE EJ'!R251)+N('CONTROLE CMM'!#REF!))</f>
        <v/>
      </c>
      <c r="BQ249" s="223">
        <f>IF(#REF!="","",#REF!)</f>
        <v/>
      </c>
      <c r="BR249" s="223">
        <f>IF(AND('CONTROLE EJ'!S251="",'CONTROLE CMM'!#REF!=""),"",N('CONTROLE EJ'!S251)+N('CONTROLE CMM'!#REF!))</f>
        <v/>
      </c>
      <c r="BS249" s="223">
        <f>IF(AND('CONTROLE EJ'!T251="",'CONTROLE CMM'!#REF!=""),"",N('CONTROLE EJ'!T251)+N('CONTROLE CMM'!#REF!))</f>
        <v/>
      </c>
      <c r="BT249" s="223">
        <f>IF('CONTROLE GLOBO AÇOS'!X251="","",'CONTROLE GLOBO AÇOS'!X251)</f>
        <v/>
      </c>
      <c r="BU249" s="223">
        <f>IF('CONTROLE GLOBO AÇOS'!Y251="","",'CONTROLE GLOBO AÇOS'!Y251)</f>
        <v/>
      </c>
      <c r="BV249" s="223">
        <f>IF(AND('CONTROLE EJ'!U251="",'CONTROLE CMM'!#REF!=""),"",N('CONTROLE EJ'!U251)+N('CONTROLE CMM'!#REF!))</f>
        <v/>
      </c>
      <c r="BW249" s="223">
        <f>IF(#REF!="","",#REF!)</f>
        <v/>
      </c>
    </row>
    <row r="250">
      <c r="A250" s="282" t="n">
        <v>46467</v>
      </c>
      <c r="B250" s="18">
        <f>IF('CONTROLE EJ'!B252="","",'CONTROLE EJ'!B252)</f>
        <v/>
      </c>
      <c r="C250" s="18">
        <f>IF('CONTROLE EJ'!C252="","",'CONTROLE EJ'!C252)</f>
        <v/>
      </c>
      <c r="D250" s="42">
        <f>IF('CONTROLE EJ'!D252="","",'CONTROLE EJ'!D252)</f>
        <v/>
      </c>
      <c r="E250" s="43">
        <f>IF('CONTROLE CMM'!B252="","",'CONTROLE CMM'!B252)</f>
        <v/>
      </c>
      <c r="F250" s="18">
        <f>IF('CONTROLE CMM'!C252="","",'CONTROLE CMM'!C252)</f>
        <v/>
      </c>
      <c r="G250" s="26">
        <f>IF('CONTROLE CMM'!D252="","",'CONTROLE CMM'!D252)</f>
        <v/>
      </c>
      <c r="H250" s="43">
        <f>IF('CONTROLE GLOBO AÇOS'!B252="","",'CONTROLE GLOBO AÇOS'!B252)</f>
        <v/>
      </c>
      <c r="I250" s="18">
        <f>IF('CONTROLE GLOBO AÇOS'!C252="","",'CONTROLE GLOBO AÇOS'!C252)</f>
        <v/>
      </c>
      <c r="J250" s="18">
        <f>IF('CONTROLE GLOBO AÇOS'!D252="","",'CONTROLE GLOBO AÇOS'!D252)</f>
        <v/>
      </c>
      <c r="AD250" s="39">
        <f>IF($A250="",0,IF(AND(WEEKDAY($A250,2)&lt;=5,OR($B250&lt;&gt;"",$C250&lt;&gt;"",$D250&lt;&gt;"")),1,0))</f>
        <v/>
      </c>
      <c r="AE250" s="39">
        <f>IF($A250="",0,IF(AND(WEEKDAY($A250,2)&lt;=5,OR($E250&lt;&gt;"",$F250&lt;&gt;"",$G250&lt;&gt;"")),1,0))</f>
        <v/>
      </c>
      <c r="AF250" s="39">
        <f>MAX(AD250,AE250)</f>
        <v/>
      </c>
      <c r="AH250" s="223">
        <f>IF('CONTROLE GLOBO AÇOS'!E252="","",'CONTROLE GLOBO AÇOS'!E252)</f>
        <v/>
      </c>
      <c r="AI250" s="223">
        <f>IF('CONTROLE GLOBO AÇOS'!F252="","",'CONTROLE GLOBO AÇOS'!F252)</f>
        <v/>
      </c>
      <c r="AJ250" s="223">
        <f>IF(AND('CONTROLE EJ'!E252="",'CONTROLE CMM'!E252=""),"",N('CONTROLE EJ'!E252)+N('CONTROLE CMM'!E252))</f>
        <v/>
      </c>
      <c r="AK250" s="223">
        <f>IF(AND('CONTROLE EJ'!F252="",'CONTROLE CMM'!F252=""),"",N('CONTROLE EJ'!F252)+N('CONTROLE CMM'!F252))</f>
        <v/>
      </c>
      <c r="AL250" s="223">
        <f>IF(AND('CONTROLE EJ'!G252="",'CONTROLE CMM'!G252=""),"",N('CONTROLE EJ'!G252)+N('CONTROLE CMM'!G252))</f>
        <v/>
      </c>
      <c r="AM250" s="223">
        <f>IF(AND('CONTROLE EJ'!H252="",'CONTROLE CMM'!H252=""),"",N('CONTROLE EJ'!H252)+N('CONTROLE CMM'!H252))</f>
        <v/>
      </c>
      <c r="AN250" s="223">
        <f>IF('CONTROLE GLOBO AÇOS'!G252="","",'CONTROLE GLOBO AÇOS'!G252)</f>
        <v/>
      </c>
      <c r="AO250" s="223">
        <f>IF('CONTROLE GLOBO AÇOS'!H252="","",'CONTROLE GLOBO AÇOS'!H252)</f>
        <v/>
      </c>
      <c r="AP250" s="223">
        <f>IF(AND('CONTROLE EJ'!I252="",'CONTROLE CMM'!I252=""),"",N('CONTROLE EJ'!I252)+N('CONTROLE CMM'!I252))</f>
        <v/>
      </c>
      <c r="AQ250" s="223">
        <f>IF(AND('CONTROLE EJ'!J252="",'CONTROLE CMM'!#REF!=""),"",N('CONTROLE EJ'!J252)+N('CONTROLE CMM'!#REF!))</f>
        <v/>
      </c>
      <c r="AR250" s="223">
        <f>IF('CONTROLE GLOBO AÇOS'!I252="","",'CONTROLE GLOBO AÇOS'!I252)</f>
        <v/>
      </c>
      <c r="AS250" s="223">
        <f>IF('CONTROLE GLOBO AÇOS'!J252="","",'CONTROLE GLOBO AÇOS'!J252)</f>
        <v/>
      </c>
      <c r="AT250" s="223">
        <f>IF(#REF!="","",#REF!)</f>
        <v/>
      </c>
      <c r="AU250" s="223">
        <f>IF('CONTROLE GLOBO AÇOS'!K252="","",'CONTROLE GLOBO AÇOS'!K252)</f>
        <v/>
      </c>
      <c r="AV250" s="223">
        <f>IF(AND('CONTROLE EJ'!K252="",'CONTROLE CMM'!#REF!=""),"",N('CONTROLE EJ'!K252)+N('CONTROLE CMM'!#REF!))</f>
        <v/>
      </c>
      <c r="AW250" s="223">
        <f>IF('CONTROLE GLOBO AÇOS'!L252="","",'CONTROLE GLOBO AÇOS'!L252)</f>
        <v/>
      </c>
      <c r="AX250" s="223">
        <f>IF(AND('CONTROLE EJ'!L252="",'CONTROLE CMM'!#REF!=""),"",N('CONTROLE EJ'!L252)+N('CONTROLE CMM'!#REF!))</f>
        <v/>
      </c>
      <c r="AY250" s="223">
        <f>IF('CONTROLE GLOBO AÇOS'!M252="","",'CONTROLE GLOBO AÇOS'!M252)</f>
        <v/>
      </c>
      <c r="AZ250" s="223">
        <f>IF('CONTROLE GLOBO AÇOS'!N252="","",'CONTROLE GLOBO AÇOS'!N252)</f>
        <v/>
      </c>
      <c r="BA250" s="223">
        <f>IF(AND('CONTROLE EJ'!M252="",'CONTROLE CMM'!#REF!=""),"",N('CONTROLE EJ'!M252)+N('CONTROLE CMM'!#REF!))</f>
        <v/>
      </c>
      <c r="BB250" s="223">
        <f>IF(#REF!="","",#REF!)</f>
        <v/>
      </c>
      <c r="BC250" s="223">
        <f>IF('CONTROLE GLOBO AÇOS'!O252="","",'CONTROLE GLOBO AÇOS'!O252)</f>
        <v/>
      </c>
      <c r="BD250" s="223">
        <f>IF(AND('CONTROLE EJ'!N252="",'CONTROLE CMM'!#REF!=""),"",N('CONTROLE EJ'!N252)+N('CONTROLE CMM'!#REF!))</f>
        <v/>
      </c>
      <c r="BE250" s="223">
        <f>IF('CONTROLE GLOBO AÇOS'!P252="","",'CONTROLE GLOBO AÇOS'!P252)</f>
        <v/>
      </c>
      <c r="BF250" s="223">
        <f>IF('CONTROLE GLOBO AÇOS'!Q252="","",'CONTROLE GLOBO AÇOS'!Q252)</f>
        <v/>
      </c>
      <c r="BG250" s="223">
        <f>IF('CONTROLE GLOBO AÇOS'!R252="","",'CONTROLE GLOBO AÇOS'!R252)</f>
        <v/>
      </c>
      <c r="BH250" s="223">
        <f>IF(AND('CONTROLE EJ'!O252="",'CONTROLE CMM'!#REF!=""),"",N('CONTROLE EJ'!O252)+N('CONTROLE CMM'!#REF!))</f>
        <v/>
      </c>
      <c r="BI250" s="223">
        <f>IF('CONTROLE GLOBO AÇOS'!S252="","",'CONTROLE GLOBO AÇOS'!S252)</f>
        <v/>
      </c>
      <c r="BJ250" s="223">
        <f>IF('CONTROLE GLOBO AÇOS'!T252="","",'CONTROLE GLOBO AÇOS'!T252)</f>
        <v/>
      </c>
      <c r="BK250" s="223">
        <f>IF('CONTROLE GLOBO AÇOS'!U252="","",'CONTROLE GLOBO AÇOS'!U252)</f>
        <v/>
      </c>
      <c r="BL250" s="223">
        <f>IF(AND('CONTROLE EJ'!P252="",'CONTROLE CMM'!#REF!=""),"",N('CONTROLE EJ'!P252)+N('CONTROLE CMM'!#REF!))</f>
        <v/>
      </c>
      <c r="BM250" s="223">
        <f>IF(AND('CONTROLE EJ'!Q252="",'CONTROLE CMM'!#REF!=""),"",N('CONTROLE EJ'!Q252)+N('CONTROLE CMM'!#REF!))</f>
        <v/>
      </c>
      <c r="BN250" s="223">
        <f>IF('CONTROLE GLOBO AÇOS'!V252="","",'CONTROLE GLOBO AÇOS'!V252)</f>
        <v/>
      </c>
      <c r="BO250" s="223">
        <f>IF('CONTROLE GLOBO AÇOS'!W252="","",'CONTROLE GLOBO AÇOS'!W252)</f>
        <v/>
      </c>
      <c r="BP250" s="223">
        <f>IF(AND('CONTROLE EJ'!R252="",'CONTROLE CMM'!#REF!=""),"",N('CONTROLE EJ'!R252)+N('CONTROLE CMM'!#REF!))</f>
        <v/>
      </c>
      <c r="BQ250" s="223">
        <f>IF(#REF!="","",#REF!)</f>
        <v/>
      </c>
      <c r="BR250" s="223">
        <f>IF(AND('CONTROLE EJ'!S252="",'CONTROLE CMM'!#REF!=""),"",N('CONTROLE EJ'!S252)+N('CONTROLE CMM'!#REF!))</f>
        <v/>
      </c>
      <c r="BS250" s="223">
        <f>IF(AND('CONTROLE EJ'!T252="",'CONTROLE CMM'!#REF!=""),"",N('CONTROLE EJ'!T252)+N('CONTROLE CMM'!#REF!))</f>
        <v/>
      </c>
      <c r="BT250" s="223">
        <f>IF('CONTROLE GLOBO AÇOS'!X252="","",'CONTROLE GLOBO AÇOS'!X252)</f>
        <v/>
      </c>
      <c r="BU250" s="223">
        <f>IF('CONTROLE GLOBO AÇOS'!Y252="","",'CONTROLE GLOBO AÇOS'!Y252)</f>
        <v/>
      </c>
      <c r="BV250" s="223">
        <f>IF(AND('CONTROLE EJ'!U252="",'CONTROLE CMM'!#REF!=""),"",N('CONTROLE EJ'!U252)+N('CONTROLE CMM'!#REF!))</f>
        <v/>
      </c>
      <c r="BW250" s="223">
        <f>IF(#REF!="","",#REF!)</f>
        <v/>
      </c>
    </row>
    <row r="251">
      <c r="A251" s="282" t="n">
        <v>46468</v>
      </c>
      <c r="B251" s="18">
        <f>IF('CONTROLE EJ'!B253="","",'CONTROLE EJ'!B253)</f>
        <v/>
      </c>
      <c r="C251" s="18">
        <f>IF('CONTROLE EJ'!C253="","",'CONTROLE EJ'!C253)</f>
        <v/>
      </c>
      <c r="D251" s="42">
        <f>IF('CONTROLE EJ'!D253="","",'CONTROLE EJ'!D253)</f>
        <v/>
      </c>
      <c r="E251" s="43">
        <f>IF('CONTROLE CMM'!B253="","",'CONTROLE CMM'!B253)</f>
        <v/>
      </c>
      <c r="F251" s="18">
        <f>IF('CONTROLE CMM'!C253="","",'CONTROLE CMM'!C253)</f>
        <v/>
      </c>
      <c r="G251" s="26">
        <f>IF('CONTROLE CMM'!D253="","",'CONTROLE CMM'!D253)</f>
        <v/>
      </c>
      <c r="H251" s="43">
        <f>IF('CONTROLE GLOBO AÇOS'!B253="","",'CONTROLE GLOBO AÇOS'!B253)</f>
        <v/>
      </c>
      <c r="I251" s="18">
        <f>IF('CONTROLE GLOBO AÇOS'!C253="","",'CONTROLE GLOBO AÇOS'!C253)</f>
        <v/>
      </c>
      <c r="J251" s="18">
        <f>IF('CONTROLE GLOBO AÇOS'!D253="","",'CONTROLE GLOBO AÇOS'!D253)</f>
        <v/>
      </c>
      <c r="AD251" s="39">
        <f>IF($A251="",0,IF(AND(WEEKDAY($A251,2)&lt;=5,OR($B251&lt;&gt;"",$C251&lt;&gt;"",$D251&lt;&gt;"")),1,0))</f>
        <v/>
      </c>
      <c r="AE251" s="39">
        <f>IF($A251="",0,IF(AND(WEEKDAY($A251,2)&lt;=5,OR($E251&lt;&gt;"",$F251&lt;&gt;"",$G251&lt;&gt;"")),1,0))</f>
        <v/>
      </c>
      <c r="AF251" s="39">
        <f>MAX(AD251,AE251)</f>
        <v/>
      </c>
      <c r="AH251" s="223">
        <f>IF('CONTROLE GLOBO AÇOS'!E253="","",'CONTROLE GLOBO AÇOS'!E253)</f>
        <v/>
      </c>
      <c r="AI251" s="223">
        <f>IF('CONTROLE GLOBO AÇOS'!F253="","",'CONTROLE GLOBO AÇOS'!F253)</f>
        <v/>
      </c>
      <c r="AJ251" s="223">
        <f>IF(AND('CONTROLE EJ'!E253="",'CONTROLE CMM'!E253=""),"",N('CONTROLE EJ'!E253)+N('CONTROLE CMM'!E253))</f>
        <v/>
      </c>
      <c r="AK251" s="223">
        <f>IF(AND('CONTROLE EJ'!F253="",'CONTROLE CMM'!F253=""),"",N('CONTROLE EJ'!F253)+N('CONTROLE CMM'!F253))</f>
        <v/>
      </c>
      <c r="AL251" s="223">
        <f>IF(AND('CONTROLE EJ'!G253="",'CONTROLE CMM'!G253=""),"",N('CONTROLE EJ'!G253)+N('CONTROLE CMM'!G253))</f>
        <v/>
      </c>
      <c r="AM251" s="223">
        <f>IF(AND('CONTROLE EJ'!H253="",'CONTROLE CMM'!H253=""),"",N('CONTROLE EJ'!H253)+N('CONTROLE CMM'!H253))</f>
        <v/>
      </c>
      <c r="AN251" s="223">
        <f>IF('CONTROLE GLOBO AÇOS'!G253="","",'CONTROLE GLOBO AÇOS'!G253)</f>
        <v/>
      </c>
      <c r="AO251" s="223">
        <f>IF('CONTROLE GLOBO AÇOS'!H253="","",'CONTROLE GLOBO AÇOS'!H253)</f>
        <v/>
      </c>
      <c r="AP251" s="223">
        <f>IF(AND('CONTROLE EJ'!I253="",'CONTROLE CMM'!I253=""),"",N('CONTROLE EJ'!I253)+N('CONTROLE CMM'!I253))</f>
        <v/>
      </c>
      <c r="AQ251" s="223">
        <f>IF(AND('CONTROLE EJ'!J253="",'CONTROLE CMM'!#REF!=""),"",N('CONTROLE EJ'!J253)+N('CONTROLE CMM'!#REF!))</f>
        <v/>
      </c>
      <c r="AR251" s="223">
        <f>IF('CONTROLE GLOBO AÇOS'!I253="","",'CONTROLE GLOBO AÇOS'!I253)</f>
        <v/>
      </c>
      <c r="AS251" s="223">
        <f>IF('CONTROLE GLOBO AÇOS'!J253="","",'CONTROLE GLOBO AÇOS'!J253)</f>
        <v/>
      </c>
      <c r="AT251" s="223">
        <f>IF(#REF!="","",#REF!)</f>
        <v/>
      </c>
      <c r="AU251" s="223">
        <f>IF('CONTROLE GLOBO AÇOS'!K253="","",'CONTROLE GLOBO AÇOS'!K253)</f>
        <v/>
      </c>
      <c r="AV251" s="223">
        <f>IF(AND('CONTROLE EJ'!K253="",'CONTROLE CMM'!#REF!=""),"",N('CONTROLE EJ'!K253)+N('CONTROLE CMM'!#REF!))</f>
        <v/>
      </c>
      <c r="AW251" s="223">
        <f>IF('CONTROLE GLOBO AÇOS'!L253="","",'CONTROLE GLOBO AÇOS'!L253)</f>
        <v/>
      </c>
      <c r="AX251" s="223">
        <f>IF(AND('CONTROLE EJ'!L253="",'CONTROLE CMM'!#REF!=""),"",N('CONTROLE EJ'!L253)+N('CONTROLE CMM'!#REF!))</f>
        <v/>
      </c>
      <c r="AY251" s="223">
        <f>IF('CONTROLE GLOBO AÇOS'!M253="","",'CONTROLE GLOBO AÇOS'!M253)</f>
        <v/>
      </c>
      <c r="AZ251" s="223">
        <f>IF('CONTROLE GLOBO AÇOS'!N253="","",'CONTROLE GLOBO AÇOS'!N253)</f>
        <v/>
      </c>
      <c r="BA251" s="223">
        <f>IF(AND('CONTROLE EJ'!M253="",'CONTROLE CMM'!#REF!=""),"",N('CONTROLE EJ'!M253)+N('CONTROLE CMM'!#REF!))</f>
        <v/>
      </c>
      <c r="BB251" s="223">
        <f>IF(#REF!="","",#REF!)</f>
        <v/>
      </c>
      <c r="BC251" s="223">
        <f>IF('CONTROLE GLOBO AÇOS'!O253="","",'CONTROLE GLOBO AÇOS'!O253)</f>
        <v/>
      </c>
      <c r="BD251" s="223">
        <f>IF(AND('CONTROLE EJ'!N253="",'CONTROLE CMM'!#REF!=""),"",N('CONTROLE EJ'!N253)+N('CONTROLE CMM'!#REF!))</f>
        <v/>
      </c>
      <c r="BE251" s="223">
        <f>IF('CONTROLE GLOBO AÇOS'!P253="","",'CONTROLE GLOBO AÇOS'!P253)</f>
        <v/>
      </c>
      <c r="BF251" s="223">
        <f>IF('CONTROLE GLOBO AÇOS'!Q253="","",'CONTROLE GLOBO AÇOS'!Q253)</f>
        <v/>
      </c>
      <c r="BG251" s="223">
        <f>IF('CONTROLE GLOBO AÇOS'!R253="","",'CONTROLE GLOBO AÇOS'!R253)</f>
        <v/>
      </c>
      <c r="BH251" s="223">
        <f>IF(AND('CONTROLE EJ'!O253="",'CONTROLE CMM'!#REF!=""),"",N('CONTROLE EJ'!O253)+N('CONTROLE CMM'!#REF!))</f>
        <v/>
      </c>
      <c r="BI251" s="223">
        <f>IF('CONTROLE GLOBO AÇOS'!S253="","",'CONTROLE GLOBO AÇOS'!S253)</f>
        <v/>
      </c>
      <c r="BJ251" s="223">
        <f>IF('CONTROLE GLOBO AÇOS'!T253="","",'CONTROLE GLOBO AÇOS'!T253)</f>
        <v/>
      </c>
      <c r="BK251" s="223">
        <f>IF('CONTROLE GLOBO AÇOS'!U253="","",'CONTROLE GLOBO AÇOS'!U253)</f>
        <v/>
      </c>
      <c r="BL251" s="223">
        <f>IF(AND('CONTROLE EJ'!P253="",'CONTROLE CMM'!#REF!=""),"",N('CONTROLE EJ'!P253)+N('CONTROLE CMM'!#REF!))</f>
        <v/>
      </c>
      <c r="BM251" s="223">
        <f>IF(AND('CONTROLE EJ'!Q253="",'CONTROLE CMM'!#REF!=""),"",N('CONTROLE EJ'!Q253)+N('CONTROLE CMM'!#REF!))</f>
        <v/>
      </c>
      <c r="BN251" s="223">
        <f>IF('CONTROLE GLOBO AÇOS'!V253="","",'CONTROLE GLOBO AÇOS'!V253)</f>
        <v/>
      </c>
      <c r="BO251" s="223">
        <f>IF('CONTROLE GLOBO AÇOS'!W253="","",'CONTROLE GLOBO AÇOS'!W253)</f>
        <v/>
      </c>
      <c r="BP251" s="223">
        <f>IF(AND('CONTROLE EJ'!R253="",'CONTROLE CMM'!#REF!=""),"",N('CONTROLE EJ'!R253)+N('CONTROLE CMM'!#REF!))</f>
        <v/>
      </c>
      <c r="BQ251" s="223">
        <f>IF(#REF!="","",#REF!)</f>
        <v/>
      </c>
      <c r="BR251" s="223">
        <f>IF(AND('CONTROLE EJ'!S253="",'CONTROLE CMM'!#REF!=""),"",N('CONTROLE EJ'!S253)+N('CONTROLE CMM'!#REF!))</f>
        <v/>
      </c>
      <c r="BS251" s="223">
        <f>IF(AND('CONTROLE EJ'!T253="",'CONTROLE CMM'!#REF!=""),"",N('CONTROLE EJ'!T253)+N('CONTROLE CMM'!#REF!))</f>
        <v/>
      </c>
      <c r="BT251" s="223">
        <f>IF('CONTROLE GLOBO AÇOS'!X253="","",'CONTROLE GLOBO AÇOS'!X253)</f>
        <v/>
      </c>
      <c r="BU251" s="223">
        <f>IF('CONTROLE GLOBO AÇOS'!Y253="","",'CONTROLE GLOBO AÇOS'!Y253)</f>
        <v/>
      </c>
      <c r="BV251" s="223">
        <f>IF(AND('CONTROLE EJ'!U253="",'CONTROLE CMM'!#REF!=""),"",N('CONTROLE EJ'!U253)+N('CONTROLE CMM'!#REF!))</f>
        <v/>
      </c>
      <c r="BW251" s="223">
        <f>IF(#REF!="","",#REF!)</f>
        <v/>
      </c>
    </row>
    <row r="252">
      <c r="A252" s="282" t="n">
        <v>46469</v>
      </c>
      <c r="B252" s="18">
        <f>IF('CONTROLE EJ'!B254="","",'CONTROLE EJ'!B254)</f>
        <v/>
      </c>
      <c r="C252" s="18">
        <f>IF('CONTROLE EJ'!C254="","",'CONTROLE EJ'!C254)</f>
        <v/>
      </c>
      <c r="D252" s="42">
        <f>IF('CONTROLE EJ'!D254="","",'CONTROLE EJ'!D254)</f>
        <v/>
      </c>
      <c r="E252" s="43">
        <f>IF('CONTROLE CMM'!B254="","",'CONTROLE CMM'!B254)</f>
        <v/>
      </c>
      <c r="F252" s="18">
        <f>IF('CONTROLE CMM'!C254="","",'CONTROLE CMM'!C254)</f>
        <v/>
      </c>
      <c r="G252" s="26">
        <f>IF('CONTROLE CMM'!D254="","",'CONTROLE CMM'!D254)</f>
        <v/>
      </c>
      <c r="H252" s="43">
        <f>IF('CONTROLE GLOBO AÇOS'!B254="","",'CONTROLE GLOBO AÇOS'!B254)</f>
        <v/>
      </c>
      <c r="I252" s="18">
        <f>IF('CONTROLE GLOBO AÇOS'!C254="","",'CONTROLE GLOBO AÇOS'!C254)</f>
        <v/>
      </c>
      <c r="J252" s="18">
        <f>IF('CONTROLE GLOBO AÇOS'!D254="","",'CONTROLE GLOBO AÇOS'!D254)</f>
        <v/>
      </c>
      <c r="AD252" s="39">
        <f>IF($A252="",0,IF(AND(WEEKDAY($A252,2)&lt;=5,OR($B252&lt;&gt;"",$C252&lt;&gt;"",$D252&lt;&gt;"")),1,0))</f>
        <v/>
      </c>
      <c r="AE252" s="39">
        <f>IF($A252="",0,IF(AND(WEEKDAY($A252,2)&lt;=5,OR($E252&lt;&gt;"",$F252&lt;&gt;"",$G252&lt;&gt;"")),1,0))</f>
        <v/>
      </c>
      <c r="AF252" s="39">
        <f>MAX(AD252,AE252)</f>
        <v/>
      </c>
      <c r="AH252" s="223">
        <f>IF('CONTROLE GLOBO AÇOS'!E254="","",'CONTROLE GLOBO AÇOS'!E254)</f>
        <v/>
      </c>
      <c r="AI252" s="223">
        <f>IF('CONTROLE GLOBO AÇOS'!F254="","",'CONTROLE GLOBO AÇOS'!F254)</f>
        <v/>
      </c>
      <c r="AJ252" s="223">
        <f>IF(AND('CONTROLE EJ'!E254="",'CONTROLE CMM'!E254=""),"",N('CONTROLE EJ'!E254)+N('CONTROLE CMM'!E254))</f>
        <v/>
      </c>
      <c r="AK252" s="223">
        <f>IF(AND('CONTROLE EJ'!F254="",'CONTROLE CMM'!F254=""),"",N('CONTROLE EJ'!F254)+N('CONTROLE CMM'!F254))</f>
        <v/>
      </c>
      <c r="AL252" s="223">
        <f>IF(AND('CONTROLE EJ'!G254="",'CONTROLE CMM'!G254=""),"",N('CONTROLE EJ'!G254)+N('CONTROLE CMM'!G254))</f>
        <v/>
      </c>
      <c r="AM252" s="223">
        <f>IF(AND('CONTROLE EJ'!H254="",'CONTROLE CMM'!H254=""),"",N('CONTROLE EJ'!H254)+N('CONTROLE CMM'!H254))</f>
        <v/>
      </c>
      <c r="AN252" s="223">
        <f>IF('CONTROLE GLOBO AÇOS'!G254="","",'CONTROLE GLOBO AÇOS'!G254)</f>
        <v/>
      </c>
      <c r="AO252" s="223">
        <f>IF('CONTROLE GLOBO AÇOS'!H254="","",'CONTROLE GLOBO AÇOS'!H254)</f>
        <v/>
      </c>
      <c r="AP252" s="223">
        <f>IF(AND('CONTROLE EJ'!I254="",'CONTROLE CMM'!I254=""),"",N('CONTROLE EJ'!I254)+N('CONTROLE CMM'!I254))</f>
        <v/>
      </c>
      <c r="AQ252" s="223">
        <f>IF(AND('CONTROLE EJ'!J254="",'CONTROLE CMM'!#REF!=""),"",N('CONTROLE EJ'!J254)+N('CONTROLE CMM'!#REF!))</f>
        <v/>
      </c>
      <c r="AR252" s="223">
        <f>IF('CONTROLE GLOBO AÇOS'!I254="","",'CONTROLE GLOBO AÇOS'!I254)</f>
        <v/>
      </c>
      <c r="AS252" s="223">
        <f>IF('CONTROLE GLOBO AÇOS'!J254="","",'CONTROLE GLOBO AÇOS'!J254)</f>
        <v/>
      </c>
      <c r="AT252" s="223">
        <f>IF(#REF!="","",#REF!)</f>
        <v/>
      </c>
      <c r="AU252" s="223">
        <f>IF('CONTROLE GLOBO AÇOS'!K254="","",'CONTROLE GLOBO AÇOS'!K254)</f>
        <v/>
      </c>
      <c r="AV252" s="223">
        <f>IF(AND('CONTROLE EJ'!K254="",'CONTROLE CMM'!#REF!=""),"",N('CONTROLE EJ'!K254)+N('CONTROLE CMM'!#REF!))</f>
        <v/>
      </c>
      <c r="AW252" s="223">
        <f>IF('CONTROLE GLOBO AÇOS'!L254="","",'CONTROLE GLOBO AÇOS'!L254)</f>
        <v/>
      </c>
      <c r="AX252" s="223">
        <f>IF(AND('CONTROLE EJ'!L254="",'CONTROLE CMM'!#REF!=""),"",N('CONTROLE EJ'!L254)+N('CONTROLE CMM'!#REF!))</f>
        <v/>
      </c>
      <c r="AY252" s="223">
        <f>IF('CONTROLE GLOBO AÇOS'!M254="","",'CONTROLE GLOBO AÇOS'!M254)</f>
        <v/>
      </c>
      <c r="AZ252" s="223">
        <f>IF('CONTROLE GLOBO AÇOS'!N254="","",'CONTROLE GLOBO AÇOS'!N254)</f>
        <v/>
      </c>
      <c r="BA252" s="223">
        <f>IF(AND('CONTROLE EJ'!M254="",'CONTROLE CMM'!#REF!=""),"",N('CONTROLE EJ'!M254)+N('CONTROLE CMM'!#REF!))</f>
        <v/>
      </c>
      <c r="BB252" s="223">
        <f>IF(#REF!="","",#REF!)</f>
        <v/>
      </c>
      <c r="BC252" s="223">
        <f>IF('CONTROLE GLOBO AÇOS'!O254="","",'CONTROLE GLOBO AÇOS'!O254)</f>
        <v/>
      </c>
      <c r="BD252" s="223">
        <f>IF(AND('CONTROLE EJ'!N254="",'CONTROLE CMM'!#REF!=""),"",N('CONTROLE EJ'!N254)+N('CONTROLE CMM'!#REF!))</f>
        <v/>
      </c>
      <c r="BE252" s="223">
        <f>IF('CONTROLE GLOBO AÇOS'!P254="","",'CONTROLE GLOBO AÇOS'!P254)</f>
        <v/>
      </c>
      <c r="BF252" s="223">
        <f>IF('CONTROLE GLOBO AÇOS'!Q254="","",'CONTROLE GLOBO AÇOS'!Q254)</f>
        <v/>
      </c>
      <c r="BG252" s="223">
        <f>IF('CONTROLE GLOBO AÇOS'!R254="","",'CONTROLE GLOBO AÇOS'!R254)</f>
        <v/>
      </c>
      <c r="BH252" s="223">
        <f>IF(AND('CONTROLE EJ'!O254="",'CONTROLE CMM'!#REF!=""),"",N('CONTROLE EJ'!O254)+N('CONTROLE CMM'!#REF!))</f>
        <v/>
      </c>
      <c r="BI252" s="223">
        <f>IF('CONTROLE GLOBO AÇOS'!S254="","",'CONTROLE GLOBO AÇOS'!S254)</f>
        <v/>
      </c>
      <c r="BJ252" s="223">
        <f>IF('CONTROLE GLOBO AÇOS'!T254="","",'CONTROLE GLOBO AÇOS'!T254)</f>
        <v/>
      </c>
      <c r="BK252" s="223">
        <f>IF('CONTROLE GLOBO AÇOS'!U254="","",'CONTROLE GLOBO AÇOS'!U254)</f>
        <v/>
      </c>
      <c r="BL252" s="223">
        <f>IF(AND('CONTROLE EJ'!P254="",'CONTROLE CMM'!#REF!=""),"",N('CONTROLE EJ'!P254)+N('CONTROLE CMM'!#REF!))</f>
        <v/>
      </c>
      <c r="BM252" s="223">
        <f>IF(AND('CONTROLE EJ'!Q254="",'CONTROLE CMM'!#REF!=""),"",N('CONTROLE EJ'!Q254)+N('CONTROLE CMM'!#REF!))</f>
        <v/>
      </c>
      <c r="BN252" s="223">
        <f>IF('CONTROLE GLOBO AÇOS'!V254="","",'CONTROLE GLOBO AÇOS'!V254)</f>
        <v/>
      </c>
      <c r="BO252" s="223">
        <f>IF('CONTROLE GLOBO AÇOS'!W254="","",'CONTROLE GLOBO AÇOS'!W254)</f>
        <v/>
      </c>
      <c r="BP252" s="223">
        <f>IF(AND('CONTROLE EJ'!R254="",'CONTROLE CMM'!#REF!=""),"",N('CONTROLE EJ'!R254)+N('CONTROLE CMM'!#REF!))</f>
        <v/>
      </c>
      <c r="BQ252" s="223">
        <f>IF(#REF!="","",#REF!)</f>
        <v/>
      </c>
      <c r="BR252" s="223">
        <f>IF(AND('CONTROLE EJ'!S254="",'CONTROLE CMM'!#REF!=""),"",N('CONTROLE EJ'!S254)+N('CONTROLE CMM'!#REF!))</f>
        <v/>
      </c>
      <c r="BS252" s="223">
        <f>IF(AND('CONTROLE EJ'!T254="",'CONTROLE CMM'!#REF!=""),"",N('CONTROLE EJ'!T254)+N('CONTROLE CMM'!#REF!))</f>
        <v/>
      </c>
      <c r="BT252" s="223">
        <f>IF('CONTROLE GLOBO AÇOS'!X254="","",'CONTROLE GLOBO AÇOS'!X254)</f>
        <v/>
      </c>
      <c r="BU252" s="223">
        <f>IF('CONTROLE GLOBO AÇOS'!Y254="","",'CONTROLE GLOBO AÇOS'!Y254)</f>
        <v/>
      </c>
      <c r="BV252" s="223">
        <f>IF(AND('CONTROLE EJ'!U254="",'CONTROLE CMM'!#REF!=""),"",N('CONTROLE EJ'!U254)+N('CONTROLE CMM'!#REF!))</f>
        <v/>
      </c>
      <c r="BW252" s="223">
        <f>IF(#REF!="","",#REF!)</f>
        <v/>
      </c>
    </row>
    <row r="253">
      <c r="A253" s="282" t="n">
        <v>46470</v>
      </c>
      <c r="B253" s="18">
        <f>IF('CONTROLE EJ'!B255="","",'CONTROLE EJ'!B255)</f>
        <v/>
      </c>
      <c r="C253" s="18">
        <f>IF('CONTROLE EJ'!C255="","",'CONTROLE EJ'!C255)</f>
        <v/>
      </c>
      <c r="D253" s="42">
        <f>IF('CONTROLE EJ'!D255="","",'CONTROLE EJ'!D255)</f>
        <v/>
      </c>
      <c r="E253" s="43">
        <f>IF('CONTROLE CMM'!B255="","",'CONTROLE CMM'!B255)</f>
        <v/>
      </c>
      <c r="F253" s="18">
        <f>IF('CONTROLE CMM'!C255="","",'CONTROLE CMM'!C255)</f>
        <v/>
      </c>
      <c r="G253" s="26">
        <f>IF('CONTROLE CMM'!D255="","",'CONTROLE CMM'!D255)</f>
        <v/>
      </c>
      <c r="H253" s="43">
        <f>IF('CONTROLE GLOBO AÇOS'!B255="","",'CONTROLE GLOBO AÇOS'!B255)</f>
        <v/>
      </c>
      <c r="I253" s="18">
        <f>IF('CONTROLE GLOBO AÇOS'!C255="","",'CONTROLE GLOBO AÇOS'!C255)</f>
        <v/>
      </c>
      <c r="J253" s="18">
        <f>IF('CONTROLE GLOBO AÇOS'!D255="","",'CONTROLE GLOBO AÇOS'!D255)</f>
        <v/>
      </c>
      <c r="AD253" s="39">
        <f>IF($A253="",0,IF(AND(WEEKDAY($A253,2)&lt;=5,OR($B253&lt;&gt;"",$C253&lt;&gt;"",$D253&lt;&gt;"")),1,0))</f>
        <v/>
      </c>
      <c r="AE253" s="39">
        <f>IF($A253="",0,IF(AND(WEEKDAY($A253,2)&lt;=5,OR($E253&lt;&gt;"",$F253&lt;&gt;"",$G253&lt;&gt;"")),1,0))</f>
        <v/>
      </c>
      <c r="AF253" s="39">
        <f>MAX(AD253,AE253)</f>
        <v/>
      </c>
      <c r="AH253" s="223">
        <f>IF('CONTROLE GLOBO AÇOS'!E255="","",'CONTROLE GLOBO AÇOS'!E255)</f>
        <v/>
      </c>
      <c r="AI253" s="223">
        <f>IF('CONTROLE GLOBO AÇOS'!F255="","",'CONTROLE GLOBO AÇOS'!F255)</f>
        <v/>
      </c>
      <c r="AJ253" s="223">
        <f>IF(AND('CONTROLE EJ'!E255="",'CONTROLE CMM'!E255=""),"",N('CONTROLE EJ'!E255)+N('CONTROLE CMM'!E255))</f>
        <v/>
      </c>
      <c r="AK253" s="223">
        <f>IF(AND('CONTROLE EJ'!F255="",'CONTROLE CMM'!F255=""),"",N('CONTROLE EJ'!F255)+N('CONTROLE CMM'!F255))</f>
        <v/>
      </c>
      <c r="AL253" s="223">
        <f>IF(AND('CONTROLE EJ'!G255="",'CONTROLE CMM'!G255=""),"",N('CONTROLE EJ'!G255)+N('CONTROLE CMM'!G255))</f>
        <v/>
      </c>
      <c r="AM253" s="223">
        <f>IF(AND('CONTROLE EJ'!H255="",'CONTROLE CMM'!H255=""),"",N('CONTROLE EJ'!H255)+N('CONTROLE CMM'!H255))</f>
        <v/>
      </c>
      <c r="AN253" s="223">
        <f>IF('CONTROLE GLOBO AÇOS'!G255="","",'CONTROLE GLOBO AÇOS'!G255)</f>
        <v/>
      </c>
      <c r="AO253" s="223">
        <f>IF('CONTROLE GLOBO AÇOS'!H255="","",'CONTROLE GLOBO AÇOS'!H255)</f>
        <v/>
      </c>
      <c r="AP253" s="223">
        <f>IF(AND('CONTROLE EJ'!I255="",'CONTROLE CMM'!I255=""),"",N('CONTROLE EJ'!I255)+N('CONTROLE CMM'!I255))</f>
        <v/>
      </c>
      <c r="AQ253" s="223">
        <f>IF(AND('CONTROLE EJ'!J255="",'CONTROLE CMM'!#REF!=""),"",N('CONTROLE EJ'!J255)+N('CONTROLE CMM'!#REF!))</f>
        <v/>
      </c>
      <c r="AR253" s="223">
        <f>IF('CONTROLE GLOBO AÇOS'!I255="","",'CONTROLE GLOBO AÇOS'!I255)</f>
        <v/>
      </c>
      <c r="AS253" s="223">
        <f>IF('CONTROLE GLOBO AÇOS'!J255="","",'CONTROLE GLOBO AÇOS'!J255)</f>
        <v/>
      </c>
      <c r="AT253" s="223">
        <f>IF(#REF!="","",#REF!)</f>
        <v/>
      </c>
      <c r="AU253" s="223">
        <f>IF('CONTROLE GLOBO AÇOS'!K255="","",'CONTROLE GLOBO AÇOS'!K255)</f>
        <v/>
      </c>
      <c r="AV253" s="223">
        <f>IF(AND('CONTROLE EJ'!K255="",'CONTROLE CMM'!#REF!=""),"",N('CONTROLE EJ'!K255)+N('CONTROLE CMM'!#REF!))</f>
        <v/>
      </c>
      <c r="AW253" s="223">
        <f>IF('CONTROLE GLOBO AÇOS'!L255="","",'CONTROLE GLOBO AÇOS'!L255)</f>
        <v/>
      </c>
      <c r="AX253" s="223">
        <f>IF(AND('CONTROLE EJ'!L255="",'CONTROLE CMM'!#REF!=""),"",N('CONTROLE EJ'!L255)+N('CONTROLE CMM'!#REF!))</f>
        <v/>
      </c>
      <c r="AY253" s="223">
        <f>IF('CONTROLE GLOBO AÇOS'!M255="","",'CONTROLE GLOBO AÇOS'!M255)</f>
        <v/>
      </c>
      <c r="AZ253" s="223">
        <f>IF('CONTROLE GLOBO AÇOS'!N255="","",'CONTROLE GLOBO AÇOS'!N255)</f>
        <v/>
      </c>
      <c r="BA253" s="223">
        <f>IF(AND('CONTROLE EJ'!M255="",'CONTROLE CMM'!#REF!=""),"",N('CONTROLE EJ'!M255)+N('CONTROLE CMM'!#REF!))</f>
        <v/>
      </c>
      <c r="BB253" s="223">
        <f>IF(#REF!="","",#REF!)</f>
        <v/>
      </c>
      <c r="BC253" s="223">
        <f>IF('CONTROLE GLOBO AÇOS'!O255="","",'CONTROLE GLOBO AÇOS'!O255)</f>
        <v/>
      </c>
      <c r="BD253" s="223">
        <f>IF(AND('CONTROLE EJ'!N255="",'CONTROLE CMM'!#REF!=""),"",N('CONTROLE EJ'!N255)+N('CONTROLE CMM'!#REF!))</f>
        <v/>
      </c>
      <c r="BE253" s="223">
        <f>IF('CONTROLE GLOBO AÇOS'!P255="","",'CONTROLE GLOBO AÇOS'!P255)</f>
        <v/>
      </c>
      <c r="BF253" s="223">
        <f>IF('CONTROLE GLOBO AÇOS'!Q255="","",'CONTROLE GLOBO AÇOS'!Q255)</f>
        <v/>
      </c>
      <c r="BG253" s="223">
        <f>IF('CONTROLE GLOBO AÇOS'!R255="","",'CONTROLE GLOBO AÇOS'!R255)</f>
        <v/>
      </c>
      <c r="BH253" s="223">
        <f>IF(AND('CONTROLE EJ'!O255="",'CONTROLE CMM'!#REF!=""),"",N('CONTROLE EJ'!O255)+N('CONTROLE CMM'!#REF!))</f>
        <v/>
      </c>
      <c r="BI253" s="223">
        <f>IF('CONTROLE GLOBO AÇOS'!S255="","",'CONTROLE GLOBO AÇOS'!S255)</f>
        <v/>
      </c>
      <c r="BJ253" s="223">
        <f>IF('CONTROLE GLOBO AÇOS'!T255="","",'CONTROLE GLOBO AÇOS'!T255)</f>
        <v/>
      </c>
      <c r="BK253" s="223">
        <f>IF('CONTROLE GLOBO AÇOS'!U255="","",'CONTROLE GLOBO AÇOS'!U255)</f>
        <v/>
      </c>
      <c r="BL253" s="223">
        <f>IF(AND('CONTROLE EJ'!P255="",'CONTROLE CMM'!#REF!=""),"",N('CONTROLE EJ'!P255)+N('CONTROLE CMM'!#REF!))</f>
        <v/>
      </c>
      <c r="BM253" s="223">
        <f>IF(AND('CONTROLE EJ'!Q255="",'CONTROLE CMM'!#REF!=""),"",N('CONTROLE EJ'!Q255)+N('CONTROLE CMM'!#REF!))</f>
        <v/>
      </c>
      <c r="BN253" s="223">
        <f>IF('CONTROLE GLOBO AÇOS'!V255="","",'CONTROLE GLOBO AÇOS'!V255)</f>
        <v/>
      </c>
      <c r="BO253" s="223">
        <f>IF('CONTROLE GLOBO AÇOS'!W255="","",'CONTROLE GLOBO AÇOS'!W255)</f>
        <v/>
      </c>
      <c r="BP253" s="223">
        <f>IF(AND('CONTROLE EJ'!R255="",'CONTROLE CMM'!#REF!=""),"",N('CONTROLE EJ'!R255)+N('CONTROLE CMM'!#REF!))</f>
        <v/>
      </c>
      <c r="BQ253" s="223">
        <f>IF(#REF!="","",#REF!)</f>
        <v/>
      </c>
      <c r="BR253" s="223">
        <f>IF(AND('CONTROLE EJ'!S255="",'CONTROLE CMM'!#REF!=""),"",N('CONTROLE EJ'!S255)+N('CONTROLE CMM'!#REF!))</f>
        <v/>
      </c>
      <c r="BS253" s="223">
        <f>IF(AND('CONTROLE EJ'!T255="",'CONTROLE CMM'!#REF!=""),"",N('CONTROLE EJ'!T255)+N('CONTROLE CMM'!#REF!))</f>
        <v/>
      </c>
      <c r="BT253" s="223">
        <f>IF('CONTROLE GLOBO AÇOS'!X255="","",'CONTROLE GLOBO AÇOS'!X255)</f>
        <v/>
      </c>
      <c r="BU253" s="223">
        <f>IF('CONTROLE GLOBO AÇOS'!Y255="","",'CONTROLE GLOBO AÇOS'!Y255)</f>
        <v/>
      </c>
      <c r="BV253" s="223">
        <f>IF(AND('CONTROLE EJ'!U255="",'CONTROLE CMM'!#REF!=""),"",N('CONTROLE EJ'!U255)+N('CONTROLE CMM'!#REF!))</f>
        <v/>
      </c>
      <c r="BW253" s="223">
        <f>IF(#REF!="","",#REF!)</f>
        <v/>
      </c>
    </row>
    <row r="254">
      <c r="A254" s="282" t="n">
        <v>46471</v>
      </c>
      <c r="B254" s="18">
        <f>IF('CONTROLE EJ'!B256="","",'CONTROLE EJ'!B256)</f>
        <v/>
      </c>
      <c r="C254" s="18">
        <f>IF('CONTROLE EJ'!C256="","",'CONTROLE EJ'!C256)</f>
        <v/>
      </c>
      <c r="D254" s="42">
        <f>IF('CONTROLE EJ'!D256="","",'CONTROLE EJ'!D256)</f>
        <v/>
      </c>
      <c r="E254" s="43">
        <f>IF('CONTROLE CMM'!B256="","",'CONTROLE CMM'!B256)</f>
        <v/>
      </c>
      <c r="F254" s="18">
        <f>IF('CONTROLE CMM'!C256="","",'CONTROLE CMM'!C256)</f>
        <v/>
      </c>
      <c r="G254" s="26">
        <f>IF('CONTROLE CMM'!D256="","",'CONTROLE CMM'!D256)</f>
        <v/>
      </c>
      <c r="H254" s="43">
        <f>IF('CONTROLE GLOBO AÇOS'!B256="","",'CONTROLE GLOBO AÇOS'!B256)</f>
        <v/>
      </c>
      <c r="I254" s="18">
        <f>IF('CONTROLE GLOBO AÇOS'!C256="","",'CONTROLE GLOBO AÇOS'!C256)</f>
        <v/>
      </c>
      <c r="J254" s="18">
        <f>IF('CONTROLE GLOBO AÇOS'!D256="","",'CONTROLE GLOBO AÇOS'!D256)</f>
        <v/>
      </c>
      <c r="AD254" s="39">
        <f>IF($A254="",0,IF(AND(WEEKDAY($A254,2)&lt;=5,OR($B254&lt;&gt;"",$C254&lt;&gt;"",$D254&lt;&gt;"")),1,0))</f>
        <v/>
      </c>
      <c r="AE254" s="39">
        <f>IF($A254="",0,IF(AND(WEEKDAY($A254,2)&lt;=5,OR($E254&lt;&gt;"",$F254&lt;&gt;"",$G254&lt;&gt;"")),1,0))</f>
        <v/>
      </c>
      <c r="AF254" s="39">
        <f>MAX(AD254,AE254)</f>
        <v/>
      </c>
      <c r="AH254" s="223">
        <f>IF('CONTROLE GLOBO AÇOS'!E256="","",'CONTROLE GLOBO AÇOS'!E256)</f>
        <v/>
      </c>
      <c r="AI254" s="223">
        <f>IF('CONTROLE GLOBO AÇOS'!F256="","",'CONTROLE GLOBO AÇOS'!F256)</f>
        <v/>
      </c>
      <c r="AJ254" s="223">
        <f>IF(AND('CONTROLE EJ'!E256="",'CONTROLE CMM'!E256=""),"",N('CONTROLE EJ'!E256)+N('CONTROLE CMM'!E256))</f>
        <v/>
      </c>
      <c r="AK254" s="223">
        <f>IF(AND('CONTROLE EJ'!F256="",'CONTROLE CMM'!F256=""),"",N('CONTROLE EJ'!F256)+N('CONTROLE CMM'!F256))</f>
        <v/>
      </c>
      <c r="AL254" s="223">
        <f>IF(AND('CONTROLE EJ'!G256="",'CONTROLE CMM'!G256=""),"",N('CONTROLE EJ'!G256)+N('CONTROLE CMM'!G256))</f>
        <v/>
      </c>
      <c r="AM254" s="223">
        <f>IF(AND('CONTROLE EJ'!H256="",'CONTROLE CMM'!H256=""),"",N('CONTROLE EJ'!H256)+N('CONTROLE CMM'!H256))</f>
        <v/>
      </c>
      <c r="AN254" s="223">
        <f>IF('CONTROLE GLOBO AÇOS'!G256="","",'CONTROLE GLOBO AÇOS'!G256)</f>
        <v/>
      </c>
      <c r="AO254" s="223">
        <f>IF('CONTROLE GLOBO AÇOS'!H256="","",'CONTROLE GLOBO AÇOS'!H256)</f>
        <v/>
      </c>
      <c r="AP254" s="223">
        <f>IF(AND('CONTROLE EJ'!I256="",'CONTROLE CMM'!I256=""),"",N('CONTROLE EJ'!I256)+N('CONTROLE CMM'!I256))</f>
        <v/>
      </c>
      <c r="AQ254" s="223">
        <f>IF(AND('CONTROLE EJ'!J256="",'CONTROLE CMM'!#REF!=""),"",N('CONTROLE EJ'!J256)+N('CONTROLE CMM'!#REF!))</f>
        <v/>
      </c>
      <c r="AR254" s="223">
        <f>IF('CONTROLE GLOBO AÇOS'!I256="","",'CONTROLE GLOBO AÇOS'!I256)</f>
        <v/>
      </c>
      <c r="AS254" s="223">
        <f>IF('CONTROLE GLOBO AÇOS'!J256="","",'CONTROLE GLOBO AÇOS'!J256)</f>
        <v/>
      </c>
      <c r="AT254" s="223">
        <f>IF(#REF!="","",#REF!)</f>
        <v/>
      </c>
      <c r="AU254" s="223">
        <f>IF('CONTROLE GLOBO AÇOS'!K256="","",'CONTROLE GLOBO AÇOS'!K256)</f>
        <v/>
      </c>
      <c r="AV254" s="223">
        <f>IF(AND('CONTROLE EJ'!K256="",'CONTROLE CMM'!#REF!=""),"",N('CONTROLE EJ'!K256)+N('CONTROLE CMM'!#REF!))</f>
        <v/>
      </c>
      <c r="AW254" s="223">
        <f>IF('CONTROLE GLOBO AÇOS'!L256="","",'CONTROLE GLOBO AÇOS'!L256)</f>
        <v/>
      </c>
      <c r="AX254" s="223">
        <f>IF(AND('CONTROLE EJ'!L256="",'CONTROLE CMM'!#REF!=""),"",N('CONTROLE EJ'!L256)+N('CONTROLE CMM'!#REF!))</f>
        <v/>
      </c>
      <c r="AY254" s="223">
        <f>IF('CONTROLE GLOBO AÇOS'!M256="","",'CONTROLE GLOBO AÇOS'!M256)</f>
        <v/>
      </c>
      <c r="AZ254" s="223">
        <f>IF('CONTROLE GLOBO AÇOS'!N256="","",'CONTROLE GLOBO AÇOS'!N256)</f>
        <v/>
      </c>
      <c r="BA254" s="223">
        <f>IF(AND('CONTROLE EJ'!M256="",'CONTROLE CMM'!#REF!=""),"",N('CONTROLE EJ'!M256)+N('CONTROLE CMM'!#REF!))</f>
        <v/>
      </c>
      <c r="BB254" s="223">
        <f>IF(#REF!="","",#REF!)</f>
        <v/>
      </c>
      <c r="BC254" s="223">
        <f>IF('CONTROLE GLOBO AÇOS'!O256="","",'CONTROLE GLOBO AÇOS'!O256)</f>
        <v/>
      </c>
      <c r="BD254" s="223">
        <f>IF(AND('CONTROLE EJ'!N256="",'CONTROLE CMM'!#REF!=""),"",N('CONTROLE EJ'!N256)+N('CONTROLE CMM'!#REF!))</f>
        <v/>
      </c>
      <c r="BE254" s="223">
        <f>IF('CONTROLE GLOBO AÇOS'!P256="","",'CONTROLE GLOBO AÇOS'!P256)</f>
        <v/>
      </c>
      <c r="BF254" s="223">
        <f>IF('CONTROLE GLOBO AÇOS'!Q256="","",'CONTROLE GLOBO AÇOS'!Q256)</f>
        <v/>
      </c>
      <c r="BG254" s="223">
        <f>IF('CONTROLE GLOBO AÇOS'!R256="","",'CONTROLE GLOBO AÇOS'!R256)</f>
        <v/>
      </c>
      <c r="BH254" s="223">
        <f>IF(AND('CONTROLE EJ'!O256="",'CONTROLE CMM'!#REF!=""),"",N('CONTROLE EJ'!O256)+N('CONTROLE CMM'!#REF!))</f>
        <v/>
      </c>
      <c r="BI254" s="223">
        <f>IF('CONTROLE GLOBO AÇOS'!S256="","",'CONTROLE GLOBO AÇOS'!S256)</f>
        <v/>
      </c>
      <c r="BJ254" s="223">
        <f>IF('CONTROLE GLOBO AÇOS'!T256="","",'CONTROLE GLOBO AÇOS'!T256)</f>
        <v/>
      </c>
      <c r="BK254" s="223">
        <f>IF('CONTROLE GLOBO AÇOS'!U256="","",'CONTROLE GLOBO AÇOS'!U256)</f>
        <v/>
      </c>
      <c r="BL254" s="223">
        <f>IF(AND('CONTROLE EJ'!P256="",'CONTROLE CMM'!#REF!=""),"",N('CONTROLE EJ'!P256)+N('CONTROLE CMM'!#REF!))</f>
        <v/>
      </c>
      <c r="BM254" s="223">
        <f>IF(AND('CONTROLE EJ'!Q256="",'CONTROLE CMM'!#REF!=""),"",N('CONTROLE EJ'!Q256)+N('CONTROLE CMM'!#REF!))</f>
        <v/>
      </c>
      <c r="BN254" s="223">
        <f>IF('CONTROLE GLOBO AÇOS'!V256="","",'CONTROLE GLOBO AÇOS'!V256)</f>
        <v/>
      </c>
      <c r="BO254" s="223">
        <f>IF('CONTROLE GLOBO AÇOS'!W256="","",'CONTROLE GLOBO AÇOS'!W256)</f>
        <v/>
      </c>
      <c r="BP254" s="223">
        <f>IF(AND('CONTROLE EJ'!R256="",'CONTROLE CMM'!#REF!=""),"",N('CONTROLE EJ'!R256)+N('CONTROLE CMM'!#REF!))</f>
        <v/>
      </c>
      <c r="BQ254" s="223">
        <f>IF(#REF!="","",#REF!)</f>
        <v/>
      </c>
      <c r="BR254" s="223">
        <f>IF(AND('CONTROLE EJ'!S256="",'CONTROLE CMM'!#REF!=""),"",N('CONTROLE EJ'!S256)+N('CONTROLE CMM'!#REF!))</f>
        <v/>
      </c>
      <c r="BS254" s="223">
        <f>IF(AND('CONTROLE EJ'!T256="",'CONTROLE CMM'!#REF!=""),"",N('CONTROLE EJ'!T256)+N('CONTROLE CMM'!#REF!))</f>
        <v/>
      </c>
      <c r="BT254" s="223">
        <f>IF('CONTROLE GLOBO AÇOS'!X256="","",'CONTROLE GLOBO AÇOS'!X256)</f>
        <v/>
      </c>
      <c r="BU254" s="223">
        <f>IF('CONTROLE GLOBO AÇOS'!Y256="","",'CONTROLE GLOBO AÇOS'!Y256)</f>
        <v/>
      </c>
      <c r="BV254" s="223">
        <f>IF(AND('CONTROLE EJ'!U256="",'CONTROLE CMM'!#REF!=""),"",N('CONTROLE EJ'!U256)+N('CONTROLE CMM'!#REF!))</f>
        <v/>
      </c>
      <c r="BW254" s="223">
        <f>IF(#REF!="","",#REF!)</f>
        <v/>
      </c>
    </row>
    <row r="255">
      <c r="A255" s="282" t="n">
        <v>46472</v>
      </c>
      <c r="B255" s="18">
        <f>IF('CONTROLE EJ'!B257="","",'CONTROLE EJ'!B257)</f>
        <v/>
      </c>
      <c r="C255" s="18">
        <f>IF('CONTROLE EJ'!C257="","",'CONTROLE EJ'!C257)</f>
        <v/>
      </c>
      <c r="D255" s="42">
        <f>IF('CONTROLE EJ'!D257="","",'CONTROLE EJ'!D257)</f>
        <v/>
      </c>
      <c r="E255" s="43">
        <f>IF('CONTROLE CMM'!B257="","",'CONTROLE CMM'!B257)</f>
        <v/>
      </c>
      <c r="F255" s="18">
        <f>IF('CONTROLE CMM'!C257="","",'CONTROLE CMM'!C257)</f>
        <v/>
      </c>
      <c r="G255" s="26">
        <f>IF('CONTROLE CMM'!D257="","",'CONTROLE CMM'!D257)</f>
        <v/>
      </c>
      <c r="H255" s="43">
        <f>IF('CONTROLE GLOBO AÇOS'!B257="","",'CONTROLE GLOBO AÇOS'!B257)</f>
        <v/>
      </c>
      <c r="I255" s="18">
        <f>IF('CONTROLE GLOBO AÇOS'!C257="","",'CONTROLE GLOBO AÇOS'!C257)</f>
        <v/>
      </c>
      <c r="J255" s="18">
        <f>IF('CONTROLE GLOBO AÇOS'!D257="","",'CONTROLE GLOBO AÇOS'!D257)</f>
        <v/>
      </c>
      <c r="AD255" s="39">
        <f>IF($A255="",0,IF(AND(WEEKDAY($A255,2)&lt;=5,OR($B255&lt;&gt;"",$C255&lt;&gt;"",$D255&lt;&gt;"")),1,0))</f>
        <v/>
      </c>
      <c r="AE255" s="39">
        <f>IF($A255="",0,IF(AND(WEEKDAY($A255,2)&lt;=5,OR($E255&lt;&gt;"",$F255&lt;&gt;"",$G255&lt;&gt;"")),1,0))</f>
        <v/>
      </c>
      <c r="AF255" s="39">
        <f>MAX(AD255,AE255)</f>
        <v/>
      </c>
      <c r="AH255" s="223">
        <f>IF('CONTROLE GLOBO AÇOS'!E257="","",'CONTROLE GLOBO AÇOS'!E257)</f>
        <v/>
      </c>
      <c r="AI255" s="223">
        <f>IF('CONTROLE GLOBO AÇOS'!F257="","",'CONTROLE GLOBO AÇOS'!F257)</f>
        <v/>
      </c>
      <c r="AJ255" s="223">
        <f>IF(AND('CONTROLE EJ'!E257="",'CONTROLE CMM'!E257=""),"",N('CONTROLE EJ'!E257)+N('CONTROLE CMM'!E257))</f>
        <v/>
      </c>
      <c r="AK255" s="223">
        <f>IF(AND('CONTROLE EJ'!F257="",'CONTROLE CMM'!F257=""),"",N('CONTROLE EJ'!F257)+N('CONTROLE CMM'!F257))</f>
        <v/>
      </c>
      <c r="AL255" s="223">
        <f>IF(AND('CONTROLE EJ'!G257="",'CONTROLE CMM'!G257=""),"",N('CONTROLE EJ'!G257)+N('CONTROLE CMM'!G257))</f>
        <v/>
      </c>
      <c r="AM255" s="223">
        <f>IF(AND('CONTROLE EJ'!H257="",'CONTROLE CMM'!H257=""),"",N('CONTROLE EJ'!H257)+N('CONTROLE CMM'!H257))</f>
        <v/>
      </c>
      <c r="AN255" s="223">
        <f>IF('CONTROLE GLOBO AÇOS'!G257="","",'CONTROLE GLOBO AÇOS'!G257)</f>
        <v/>
      </c>
      <c r="AO255" s="223">
        <f>IF('CONTROLE GLOBO AÇOS'!H257="","",'CONTROLE GLOBO AÇOS'!H257)</f>
        <v/>
      </c>
      <c r="AP255" s="223">
        <f>IF(AND('CONTROLE EJ'!I257="",'CONTROLE CMM'!I257=""),"",N('CONTROLE EJ'!I257)+N('CONTROLE CMM'!I257))</f>
        <v/>
      </c>
      <c r="AQ255" s="223">
        <f>IF(AND('CONTROLE EJ'!J257="",'CONTROLE CMM'!#REF!=""),"",N('CONTROLE EJ'!J257)+N('CONTROLE CMM'!#REF!))</f>
        <v/>
      </c>
      <c r="AR255" s="223">
        <f>IF('CONTROLE GLOBO AÇOS'!I257="","",'CONTROLE GLOBO AÇOS'!I257)</f>
        <v/>
      </c>
      <c r="AS255" s="223">
        <f>IF('CONTROLE GLOBO AÇOS'!J257="","",'CONTROLE GLOBO AÇOS'!J257)</f>
        <v/>
      </c>
      <c r="AT255" s="223">
        <f>IF(#REF!="","",#REF!)</f>
        <v/>
      </c>
      <c r="AU255" s="223">
        <f>IF('CONTROLE GLOBO AÇOS'!K257="","",'CONTROLE GLOBO AÇOS'!K257)</f>
        <v/>
      </c>
      <c r="AV255" s="223">
        <f>IF(AND('CONTROLE EJ'!K257="",'CONTROLE CMM'!#REF!=""),"",N('CONTROLE EJ'!K257)+N('CONTROLE CMM'!#REF!))</f>
        <v/>
      </c>
      <c r="AW255" s="223">
        <f>IF('CONTROLE GLOBO AÇOS'!L257="","",'CONTROLE GLOBO AÇOS'!L257)</f>
        <v/>
      </c>
      <c r="AX255" s="223">
        <f>IF(AND('CONTROLE EJ'!L257="",'CONTROLE CMM'!#REF!=""),"",N('CONTROLE EJ'!L257)+N('CONTROLE CMM'!#REF!))</f>
        <v/>
      </c>
      <c r="AY255" s="223">
        <f>IF('CONTROLE GLOBO AÇOS'!M257="","",'CONTROLE GLOBO AÇOS'!M257)</f>
        <v/>
      </c>
      <c r="AZ255" s="223">
        <f>IF('CONTROLE GLOBO AÇOS'!N257="","",'CONTROLE GLOBO AÇOS'!N257)</f>
        <v/>
      </c>
      <c r="BA255" s="223">
        <f>IF(AND('CONTROLE EJ'!M257="",'CONTROLE CMM'!#REF!=""),"",N('CONTROLE EJ'!M257)+N('CONTROLE CMM'!#REF!))</f>
        <v/>
      </c>
      <c r="BB255" s="223">
        <f>IF(#REF!="","",#REF!)</f>
        <v/>
      </c>
      <c r="BC255" s="223">
        <f>IF('CONTROLE GLOBO AÇOS'!O257="","",'CONTROLE GLOBO AÇOS'!O257)</f>
        <v/>
      </c>
      <c r="BD255" s="223">
        <f>IF(AND('CONTROLE EJ'!N257="",'CONTROLE CMM'!#REF!=""),"",N('CONTROLE EJ'!N257)+N('CONTROLE CMM'!#REF!))</f>
        <v/>
      </c>
      <c r="BE255" s="223">
        <f>IF('CONTROLE GLOBO AÇOS'!P257="","",'CONTROLE GLOBO AÇOS'!P257)</f>
        <v/>
      </c>
      <c r="BF255" s="223">
        <f>IF('CONTROLE GLOBO AÇOS'!Q257="","",'CONTROLE GLOBO AÇOS'!Q257)</f>
        <v/>
      </c>
      <c r="BG255" s="223">
        <f>IF('CONTROLE GLOBO AÇOS'!R257="","",'CONTROLE GLOBO AÇOS'!R257)</f>
        <v/>
      </c>
      <c r="BH255" s="223">
        <f>IF(AND('CONTROLE EJ'!O257="",'CONTROLE CMM'!#REF!=""),"",N('CONTROLE EJ'!O257)+N('CONTROLE CMM'!#REF!))</f>
        <v/>
      </c>
      <c r="BI255" s="223">
        <f>IF('CONTROLE GLOBO AÇOS'!S257="","",'CONTROLE GLOBO AÇOS'!S257)</f>
        <v/>
      </c>
      <c r="BJ255" s="223">
        <f>IF('CONTROLE GLOBO AÇOS'!T257="","",'CONTROLE GLOBO AÇOS'!T257)</f>
        <v/>
      </c>
      <c r="BK255" s="223">
        <f>IF('CONTROLE GLOBO AÇOS'!U257="","",'CONTROLE GLOBO AÇOS'!U257)</f>
        <v/>
      </c>
      <c r="BL255" s="223">
        <f>IF(AND('CONTROLE EJ'!P257="",'CONTROLE CMM'!#REF!=""),"",N('CONTROLE EJ'!P257)+N('CONTROLE CMM'!#REF!))</f>
        <v/>
      </c>
      <c r="BM255" s="223">
        <f>IF(AND('CONTROLE EJ'!Q257="",'CONTROLE CMM'!#REF!=""),"",N('CONTROLE EJ'!Q257)+N('CONTROLE CMM'!#REF!))</f>
        <v/>
      </c>
      <c r="BN255" s="223">
        <f>IF('CONTROLE GLOBO AÇOS'!V257="","",'CONTROLE GLOBO AÇOS'!V257)</f>
        <v/>
      </c>
      <c r="BO255" s="223">
        <f>IF('CONTROLE GLOBO AÇOS'!W257="","",'CONTROLE GLOBO AÇOS'!W257)</f>
        <v/>
      </c>
      <c r="BP255" s="223">
        <f>IF(AND('CONTROLE EJ'!R257="",'CONTROLE CMM'!#REF!=""),"",N('CONTROLE EJ'!R257)+N('CONTROLE CMM'!#REF!))</f>
        <v/>
      </c>
      <c r="BQ255" s="223">
        <f>IF(#REF!="","",#REF!)</f>
        <v/>
      </c>
      <c r="BR255" s="223">
        <f>IF(AND('CONTROLE EJ'!S257="",'CONTROLE CMM'!#REF!=""),"",N('CONTROLE EJ'!S257)+N('CONTROLE CMM'!#REF!))</f>
        <v/>
      </c>
      <c r="BS255" s="223">
        <f>IF(AND('CONTROLE EJ'!T257="",'CONTROLE CMM'!#REF!=""),"",N('CONTROLE EJ'!T257)+N('CONTROLE CMM'!#REF!))</f>
        <v/>
      </c>
      <c r="BT255" s="223">
        <f>IF('CONTROLE GLOBO AÇOS'!X257="","",'CONTROLE GLOBO AÇOS'!X257)</f>
        <v/>
      </c>
      <c r="BU255" s="223">
        <f>IF('CONTROLE GLOBO AÇOS'!Y257="","",'CONTROLE GLOBO AÇOS'!Y257)</f>
        <v/>
      </c>
      <c r="BV255" s="223">
        <f>IF(AND('CONTROLE EJ'!U257="",'CONTROLE CMM'!#REF!=""),"",N('CONTROLE EJ'!U257)+N('CONTROLE CMM'!#REF!))</f>
        <v/>
      </c>
      <c r="BW255" s="223">
        <f>IF(#REF!="","",#REF!)</f>
        <v/>
      </c>
    </row>
    <row r="256">
      <c r="A256" s="282" t="n">
        <v>46473</v>
      </c>
      <c r="B256" s="18">
        <f>IF('CONTROLE EJ'!B258="","",'CONTROLE EJ'!B258)</f>
        <v/>
      </c>
      <c r="C256" s="18">
        <f>IF('CONTROLE EJ'!C258="","",'CONTROLE EJ'!C258)</f>
        <v/>
      </c>
      <c r="D256" s="42">
        <f>IF('CONTROLE EJ'!D258="","",'CONTROLE EJ'!D258)</f>
        <v/>
      </c>
      <c r="E256" s="43">
        <f>IF('CONTROLE CMM'!B258="","",'CONTROLE CMM'!B258)</f>
        <v/>
      </c>
      <c r="F256" s="18">
        <f>IF('CONTROLE CMM'!C258="","",'CONTROLE CMM'!C258)</f>
        <v/>
      </c>
      <c r="G256" s="26">
        <f>IF('CONTROLE CMM'!D258="","",'CONTROLE CMM'!D258)</f>
        <v/>
      </c>
      <c r="H256" s="43">
        <f>IF('CONTROLE GLOBO AÇOS'!B258="","",'CONTROLE GLOBO AÇOS'!B258)</f>
        <v/>
      </c>
      <c r="I256" s="18">
        <f>IF('CONTROLE GLOBO AÇOS'!C258="","",'CONTROLE GLOBO AÇOS'!C258)</f>
        <v/>
      </c>
      <c r="J256" s="18">
        <f>IF('CONTROLE GLOBO AÇOS'!D258="","",'CONTROLE GLOBO AÇOS'!D258)</f>
        <v/>
      </c>
      <c r="AD256" s="39">
        <f>IF($A256="",0,IF(AND(WEEKDAY($A256,2)&lt;=5,OR($B256&lt;&gt;"",$C256&lt;&gt;"",$D256&lt;&gt;"")),1,0))</f>
        <v/>
      </c>
      <c r="AE256" s="39">
        <f>IF($A256="",0,IF(AND(WEEKDAY($A256,2)&lt;=5,OR($E256&lt;&gt;"",$F256&lt;&gt;"",$G256&lt;&gt;"")),1,0))</f>
        <v/>
      </c>
      <c r="AF256" s="39">
        <f>MAX(AD256,AE256)</f>
        <v/>
      </c>
      <c r="AH256" s="223">
        <f>IF('CONTROLE GLOBO AÇOS'!E258="","",'CONTROLE GLOBO AÇOS'!E258)</f>
        <v/>
      </c>
      <c r="AI256" s="223">
        <f>IF('CONTROLE GLOBO AÇOS'!F258="","",'CONTROLE GLOBO AÇOS'!F258)</f>
        <v/>
      </c>
      <c r="AJ256" s="223">
        <f>IF(AND('CONTROLE EJ'!E258="",'CONTROLE CMM'!E258=""),"",N('CONTROLE EJ'!E258)+N('CONTROLE CMM'!E258))</f>
        <v/>
      </c>
      <c r="AK256" s="223">
        <f>IF(AND('CONTROLE EJ'!F258="",'CONTROLE CMM'!F258=""),"",N('CONTROLE EJ'!F258)+N('CONTROLE CMM'!F258))</f>
        <v/>
      </c>
      <c r="AL256" s="223">
        <f>IF(AND('CONTROLE EJ'!G258="",'CONTROLE CMM'!G258=""),"",N('CONTROLE EJ'!G258)+N('CONTROLE CMM'!G258))</f>
        <v/>
      </c>
      <c r="AM256" s="223">
        <f>IF(AND('CONTROLE EJ'!H258="",'CONTROLE CMM'!H258=""),"",N('CONTROLE EJ'!H258)+N('CONTROLE CMM'!H258))</f>
        <v/>
      </c>
      <c r="AN256" s="223">
        <f>IF('CONTROLE GLOBO AÇOS'!G258="","",'CONTROLE GLOBO AÇOS'!G258)</f>
        <v/>
      </c>
      <c r="AO256" s="223">
        <f>IF('CONTROLE GLOBO AÇOS'!H258="","",'CONTROLE GLOBO AÇOS'!H258)</f>
        <v/>
      </c>
      <c r="AP256" s="223">
        <f>IF(AND('CONTROLE EJ'!I258="",'CONTROLE CMM'!I258=""),"",N('CONTROLE EJ'!I258)+N('CONTROLE CMM'!I258))</f>
        <v/>
      </c>
      <c r="AQ256" s="223">
        <f>IF(AND('CONTROLE EJ'!J258="",'CONTROLE CMM'!#REF!=""),"",N('CONTROLE EJ'!J258)+N('CONTROLE CMM'!#REF!))</f>
        <v/>
      </c>
      <c r="AR256" s="223">
        <f>IF('CONTROLE GLOBO AÇOS'!I258="","",'CONTROLE GLOBO AÇOS'!I258)</f>
        <v/>
      </c>
      <c r="AS256" s="223">
        <f>IF('CONTROLE GLOBO AÇOS'!J258="","",'CONTROLE GLOBO AÇOS'!J258)</f>
        <v/>
      </c>
      <c r="AT256" s="223">
        <f>IF(#REF!="","",#REF!)</f>
        <v/>
      </c>
      <c r="AU256" s="223">
        <f>IF('CONTROLE GLOBO AÇOS'!K258="","",'CONTROLE GLOBO AÇOS'!K258)</f>
        <v/>
      </c>
      <c r="AV256" s="223">
        <f>IF(AND('CONTROLE EJ'!K258="",'CONTROLE CMM'!#REF!=""),"",N('CONTROLE EJ'!K258)+N('CONTROLE CMM'!#REF!))</f>
        <v/>
      </c>
      <c r="AW256" s="223">
        <f>IF('CONTROLE GLOBO AÇOS'!L258="","",'CONTROLE GLOBO AÇOS'!L258)</f>
        <v/>
      </c>
      <c r="AX256" s="223">
        <f>IF(AND('CONTROLE EJ'!L258="",'CONTROLE CMM'!#REF!=""),"",N('CONTROLE EJ'!L258)+N('CONTROLE CMM'!#REF!))</f>
        <v/>
      </c>
      <c r="AY256" s="223">
        <f>IF('CONTROLE GLOBO AÇOS'!M258="","",'CONTROLE GLOBO AÇOS'!M258)</f>
        <v/>
      </c>
      <c r="AZ256" s="223">
        <f>IF('CONTROLE GLOBO AÇOS'!N258="","",'CONTROLE GLOBO AÇOS'!N258)</f>
        <v/>
      </c>
      <c r="BA256" s="223">
        <f>IF(AND('CONTROLE EJ'!M258="",'CONTROLE CMM'!#REF!=""),"",N('CONTROLE EJ'!M258)+N('CONTROLE CMM'!#REF!))</f>
        <v/>
      </c>
      <c r="BB256" s="223">
        <f>IF(#REF!="","",#REF!)</f>
        <v/>
      </c>
      <c r="BC256" s="223">
        <f>IF('CONTROLE GLOBO AÇOS'!O258="","",'CONTROLE GLOBO AÇOS'!O258)</f>
        <v/>
      </c>
      <c r="BD256" s="223">
        <f>IF(AND('CONTROLE EJ'!N258="",'CONTROLE CMM'!#REF!=""),"",N('CONTROLE EJ'!N258)+N('CONTROLE CMM'!#REF!))</f>
        <v/>
      </c>
      <c r="BE256" s="223">
        <f>IF('CONTROLE GLOBO AÇOS'!P258="","",'CONTROLE GLOBO AÇOS'!P258)</f>
        <v/>
      </c>
      <c r="BF256" s="223">
        <f>IF('CONTROLE GLOBO AÇOS'!Q258="","",'CONTROLE GLOBO AÇOS'!Q258)</f>
        <v/>
      </c>
      <c r="BG256" s="223">
        <f>IF('CONTROLE GLOBO AÇOS'!R258="","",'CONTROLE GLOBO AÇOS'!R258)</f>
        <v/>
      </c>
      <c r="BH256" s="223">
        <f>IF(AND('CONTROLE EJ'!O258="",'CONTROLE CMM'!#REF!=""),"",N('CONTROLE EJ'!O258)+N('CONTROLE CMM'!#REF!))</f>
        <v/>
      </c>
      <c r="BI256" s="223">
        <f>IF('CONTROLE GLOBO AÇOS'!S258="","",'CONTROLE GLOBO AÇOS'!S258)</f>
        <v/>
      </c>
      <c r="BJ256" s="223">
        <f>IF('CONTROLE GLOBO AÇOS'!T258="","",'CONTROLE GLOBO AÇOS'!T258)</f>
        <v/>
      </c>
      <c r="BK256" s="223">
        <f>IF('CONTROLE GLOBO AÇOS'!U258="","",'CONTROLE GLOBO AÇOS'!U258)</f>
        <v/>
      </c>
      <c r="BL256" s="223">
        <f>IF(AND('CONTROLE EJ'!P258="",'CONTROLE CMM'!#REF!=""),"",N('CONTROLE EJ'!P258)+N('CONTROLE CMM'!#REF!))</f>
        <v/>
      </c>
      <c r="BM256" s="223">
        <f>IF(AND('CONTROLE EJ'!Q258="",'CONTROLE CMM'!#REF!=""),"",N('CONTROLE EJ'!Q258)+N('CONTROLE CMM'!#REF!))</f>
        <v/>
      </c>
      <c r="BN256" s="223">
        <f>IF('CONTROLE GLOBO AÇOS'!V258="","",'CONTROLE GLOBO AÇOS'!V258)</f>
        <v/>
      </c>
      <c r="BO256" s="223">
        <f>IF('CONTROLE GLOBO AÇOS'!W258="","",'CONTROLE GLOBO AÇOS'!W258)</f>
        <v/>
      </c>
      <c r="BP256" s="223">
        <f>IF(AND('CONTROLE EJ'!R258="",'CONTROLE CMM'!#REF!=""),"",N('CONTROLE EJ'!R258)+N('CONTROLE CMM'!#REF!))</f>
        <v/>
      </c>
      <c r="BQ256" s="223">
        <f>IF(#REF!="","",#REF!)</f>
        <v/>
      </c>
      <c r="BR256" s="223">
        <f>IF(AND('CONTROLE EJ'!S258="",'CONTROLE CMM'!#REF!=""),"",N('CONTROLE EJ'!S258)+N('CONTROLE CMM'!#REF!))</f>
        <v/>
      </c>
      <c r="BS256" s="223">
        <f>IF(AND('CONTROLE EJ'!T258="",'CONTROLE CMM'!#REF!=""),"",N('CONTROLE EJ'!T258)+N('CONTROLE CMM'!#REF!))</f>
        <v/>
      </c>
      <c r="BT256" s="223">
        <f>IF('CONTROLE GLOBO AÇOS'!X258="","",'CONTROLE GLOBO AÇOS'!X258)</f>
        <v/>
      </c>
      <c r="BU256" s="223">
        <f>IF('CONTROLE GLOBO AÇOS'!Y258="","",'CONTROLE GLOBO AÇOS'!Y258)</f>
        <v/>
      </c>
      <c r="BV256" s="223">
        <f>IF(AND('CONTROLE EJ'!U258="",'CONTROLE CMM'!#REF!=""),"",N('CONTROLE EJ'!U258)+N('CONTROLE CMM'!#REF!))</f>
        <v/>
      </c>
      <c r="BW256" s="223">
        <f>IF(#REF!="","",#REF!)</f>
        <v/>
      </c>
    </row>
    <row r="257">
      <c r="A257" s="282" t="n">
        <v>46474</v>
      </c>
      <c r="B257" s="18">
        <f>IF('CONTROLE EJ'!B259="","",'CONTROLE EJ'!B259)</f>
        <v/>
      </c>
      <c r="C257" s="18">
        <f>IF('CONTROLE EJ'!C259="","",'CONTROLE EJ'!C259)</f>
        <v/>
      </c>
      <c r="D257" s="42">
        <f>IF('CONTROLE EJ'!D259="","",'CONTROLE EJ'!D259)</f>
        <v/>
      </c>
      <c r="E257" s="43">
        <f>IF('CONTROLE CMM'!B259="","",'CONTROLE CMM'!B259)</f>
        <v/>
      </c>
      <c r="F257" s="18">
        <f>IF('CONTROLE CMM'!C259="","",'CONTROLE CMM'!C259)</f>
        <v/>
      </c>
      <c r="G257" s="26">
        <f>IF('CONTROLE CMM'!D259="","",'CONTROLE CMM'!D259)</f>
        <v/>
      </c>
      <c r="H257" s="43">
        <f>IF('CONTROLE GLOBO AÇOS'!B259="","",'CONTROLE GLOBO AÇOS'!B259)</f>
        <v/>
      </c>
      <c r="I257" s="18">
        <f>IF('CONTROLE GLOBO AÇOS'!C259="","",'CONTROLE GLOBO AÇOS'!C259)</f>
        <v/>
      </c>
      <c r="J257" s="18">
        <f>IF('CONTROLE GLOBO AÇOS'!D259="","",'CONTROLE GLOBO AÇOS'!D259)</f>
        <v/>
      </c>
      <c r="AD257" s="39">
        <f>IF($A257="",0,IF(AND(WEEKDAY($A257,2)&lt;=5,OR($B257&lt;&gt;"",$C257&lt;&gt;"",$D257&lt;&gt;"")),1,0))</f>
        <v/>
      </c>
      <c r="AE257" s="39">
        <f>IF($A257="",0,IF(AND(WEEKDAY($A257,2)&lt;=5,OR($E257&lt;&gt;"",$F257&lt;&gt;"",$G257&lt;&gt;"")),1,0))</f>
        <v/>
      </c>
      <c r="AF257" s="39">
        <f>MAX(AD257,AE257)</f>
        <v/>
      </c>
      <c r="AH257" s="223">
        <f>IF('CONTROLE GLOBO AÇOS'!E259="","",'CONTROLE GLOBO AÇOS'!E259)</f>
        <v/>
      </c>
      <c r="AI257" s="223">
        <f>IF('CONTROLE GLOBO AÇOS'!F259="","",'CONTROLE GLOBO AÇOS'!F259)</f>
        <v/>
      </c>
      <c r="AJ257" s="223">
        <f>IF(AND('CONTROLE EJ'!E259="",'CONTROLE CMM'!E259=""),"",N('CONTROLE EJ'!E259)+N('CONTROLE CMM'!E259))</f>
        <v/>
      </c>
      <c r="AK257" s="223">
        <f>IF(AND('CONTROLE EJ'!F259="",'CONTROLE CMM'!F259=""),"",N('CONTROLE EJ'!F259)+N('CONTROLE CMM'!F259))</f>
        <v/>
      </c>
      <c r="AL257" s="223">
        <f>IF(AND('CONTROLE EJ'!G259="",'CONTROLE CMM'!G259=""),"",N('CONTROLE EJ'!G259)+N('CONTROLE CMM'!G259))</f>
        <v/>
      </c>
      <c r="AM257" s="223">
        <f>IF(AND('CONTROLE EJ'!H259="",'CONTROLE CMM'!H259=""),"",N('CONTROLE EJ'!H259)+N('CONTROLE CMM'!H259))</f>
        <v/>
      </c>
      <c r="AN257" s="223">
        <f>IF('CONTROLE GLOBO AÇOS'!G259="","",'CONTROLE GLOBO AÇOS'!G259)</f>
        <v/>
      </c>
      <c r="AO257" s="223">
        <f>IF('CONTROLE GLOBO AÇOS'!H259="","",'CONTROLE GLOBO AÇOS'!H259)</f>
        <v/>
      </c>
      <c r="AP257" s="223">
        <f>IF(AND('CONTROLE EJ'!I259="",'CONTROLE CMM'!I259=""),"",N('CONTROLE EJ'!I259)+N('CONTROLE CMM'!I259))</f>
        <v/>
      </c>
      <c r="AQ257" s="223">
        <f>IF(AND('CONTROLE EJ'!J259="",'CONTROLE CMM'!#REF!=""),"",N('CONTROLE EJ'!J259)+N('CONTROLE CMM'!#REF!))</f>
        <v/>
      </c>
      <c r="AR257" s="223">
        <f>IF('CONTROLE GLOBO AÇOS'!I259="","",'CONTROLE GLOBO AÇOS'!I259)</f>
        <v/>
      </c>
      <c r="AS257" s="223">
        <f>IF('CONTROLE GLOBO AÇOS'!J259="","",'CONTROLE GLOBO AÇOS'!J259)</f>
        <v/>
      </c>
      <c r="AT257" s="223">
        <f>IF(#REF!="","",#REF!)</f>
        <v/>
      </c>
      <c r="AU257" s="223">
        <f>IF('CONTROLE GLOBO AÇOS'!K259="","",'CONTROLE GLOBO AÇOS'!K259)</f>
        <v/>
      </c>
      <c r="AV257" s="223">
        <f>IF(AND('CONTROLE EJ'!K259="",'CONTROLE CMM'!#REF!=""),"",N('CONTROLE EJ'!K259)+N('CONTROLE CMM'!#REF!))</f>
        <v/>
      </c>
      <c r="AW257" s="223">
        <f>IF('CONTROLE GLOBO AÇOS'!L259="","",'CONTROLE GLOBO AÇOS'!L259)</f>
        <v/>
      </c>
      <c r="AX257" s="223">
        <f>IF(AND('CONTROLE EJ'!L259="",'CONTROLE CMM'!#REF!=""),"",N('CONTROLE EJ'!L259)+N('CONTROLE CMM'!#REF!))</f>
        <v/>
      </c>
      <c r="AY257" s="223">
        <f>IF('CONTROLE GLOBO AÇOS'!M259="","",'CONTROLE GLOBO AÇOS'!M259)</f>
        <v/>
      </c>
      <c r="AZ257" s="223">
        <f>IF('CONTROLE GLOBO AÇOS'!N259="","",'CONTROLE GLOBO AÇOS'!N259)</f>
        <v/>
      </c>
      <c r="BA257" s="223">
        <f>IF(AND('CONTROLE EJ'!M259="",'CONTROLE CMM'!#REF!=""),"",N('CONTROLE EJ'!M259)+N('CONTROLE CMM'!#REF!))</f>
        <v/>
      </c>
      <c r="BB257" s="223">
        <f>IF(#REF!="","",#REF!)</f>
        <v/>
      </c>
      <c r="BC257" s="223">
        <f>IF('CONTROLE GLOBO AÇOS'!O259="","",'CONTROLE GLOBO AÇOS'!O259)</f>
        <v/>
      </c>
      <c r="BD257" s="223">
        <f>IF(AND('CONTROLE EJ'!N259="",'CONTROLE CMM'!#REF!=""),"",N('CONTROLE EJ'!N259)+N('CONTROLE CMM'!#REF!))</f>
        <v/>
      </c>
      <c r="BE257" s="223">
        <f>IF('CONTROLE GLOBO AÇOS'!P259="","",'CONTROLE GLOBO AÇOS'!P259)</f>
        <v/>
      </c>
      <c r="BF257" s="223">
        <f>IF('CONTROLE GLOBO AÇOS'!Q259="","",'CONTROLE GLOBO AÇOS'!Q259)</f>
        <v/>
      </c>
      <c r="BG257" s="223">
        <f>IF('CONTROLE GLOBO AÇOS'!R259="","",'CONTROLE GLOBO AÇOS'!R259)</f>
        <v/>
      </c>
      <c r="BH257" s="223">
        <f>IF(AND('CONTROLE EJ'!O259="",'CONTROLE CMM'!#REF!=""),"",N('CONTROLE EJ'!O259)+N('CONTROLE CMM'!#REF!))</f>
        <v/>
      </c>
      <c r="BI257" s="223">
        <f>IF('CONTROLE GLOBO AÇOS'!S259="","",'CONTROLE GLOBO AÇOS'!S259)</f>
        <v/>
      </c>
      <c r="BJ257" s="223">
        <f>IF('CONTROLE GLOBO AÇOS'!T259="","",'CONTROLE GLOBO AÇOS'!T259)</f>
        <v/>
      </c>
      <c r="BK257" s="223">
        <f>IF('CONTROLE GLOBO AÇOS'!U259="","",'CONTROLE GLOBO AÇOS'!U259)</f>
        <v/>
      </c>
      <c r="BL257" s="223">
        <f>IF(AND('CONTROLE EJ'!P259="",'CONTROLE CMM'!#REF!=""),"",N('CONTROLE EJ'!P259)+N('CONTROLE CMM'!#REF!))</f>
        <v/>
      </c>
      <c r="BM257" s="223">
        <f>IF(AND('CONTROLE EJ'!Q259="",'CONTROLE CMM'!#REF!=""),"",N('CONTROLE EJ'!Q259)+N('CONTROLE CMM'!#REF!))</f>
        <v/>
      </c>
      <c r="BN257" s="223">
        <f>IF('CONTROLE GLOBO AÇOS'!V259="","",'CONTROLE GLOBO AÇOS'!V259)</f>
        <v/>
      </c>
      <c r="BO257" s="223">
        <f>IF('CONTROLE GLOBO AÇOS'!W259="","",'CONTROLE GLOBO AÇOS'!W259)</f>
        <v/>
      </c>
      <c r="BP257" s="223">
        <f>IF(AND('CONTROLE EJ'!R259="",'CONTROLE CMM'!#REF!=""),"",N('CONTROLE EJ'!R259)+N('CONTROLE CMM'!#REF!))</f>
        <v/>
      </c>
      <c r="BQ257" s="223">
        <f>IF(#REF!="","",#REF!)</f>
        <v/>
      </c>
      <c r="BR257" s="223">
        <f>IF(AND('CONTROLE EJ'!S259="",'CONTROLE CMM'!#REF!=""),"",N('CONTROLE EJ'!S259)+N('CONTROLE CMM'!#REF!))</f>
        <v/>
      </c>
      <c r="BS257" s="223">
        <f>IF(AND('CONTROLE EJ'!T259="",'CONTROLE CMM'!#REF!=""),"",N('CONTROLE EJ'!T259)+N('CONTROLE CMM'!#REF!))</f>
        <v/>
      </c>
      <c r="BT257" s="223">
        <f>IF('CONTROLE GLOBO AÇOS'!X259="","",'CONTROLE GLOBO AÇOS'!X259)</f>
        <v/>
      </c>
      <c r="BU257" s="223">
        <f>IF('CONTROLE GLOBO AÇOS'!Y259="","",'CONTROLE GLOBO AÇOS'!Y259)</f>
        <v/>
      </c>
      <c r="BV257" s="223">
        <f>IF(AND('CONTROLE EJ'!U259="",'CONTROLE CMM'!#REF!=""),"",N('CONTROLE EJ'!U259)+N('CONTROLE CMM'!#REF!))</f>
        <v/>
      </c>
      <c r="BW257" s="223">
        <f>IF(#REF!="","",#REF!)</f>
        <v/>
      </c>
    </row>
    <row r="258">
      <c r="A258" s="282" t="n">
        <v>46475</v>
      </c>
      <c r="B258" s="18">
        <f>IF('CONTROLE EJ'!B260="","",'CONTROLE EJ'!B260)</f>
        <v/>
      </c>
      <c r="C258" s="18">
        <f>IF('CONTROLE EJ'!C260="","",'CONTROLE EJ'!C260)</f>
        <v/>
      </c>
      <c r="D258" s="42">
        <f>IF('CONTROLE EJ'!D260="","",'CONTROLE EJ'!D260)</f>
        <v/>
      </c>
      <c r="E258" s="43">
        <f>IF('CONTROLE CMM'!B260="","",'CONTROLE CMM'!B260)</f>
        <v/>
      </c>
      <c r="F258" s="18">
        <f>IF('CONTROLE CMM'!C260="","",'CONTROLE CMM'!C260)</f>
        <v/>
      </c>
      <c r="G258" s="26">
        <f>IF('CONTROLE CMM'!D260="","",'CONTROLE CMM'!D260)</f>
        <v/>
      </c>
      <c r="H258" s="43">
        <f>IF('CONTROLE GLOBO AÇOS'!B260="","",'CONTROLE GLOBO AÇOS'!B260)</f>
        <v/>
      </c>
      <c r="I258" s="18">
        <f>IF('CONTROLE GLOBO AÇOS'!C260="","",'CONTROLE GLOBO AÇOS'!C260)</f>
        <v/>
      </c>
      <c r="J258" s="18">
        <f>IF('CONTROLE GLOBO AÇOS'!D260="","",'CONTROLE GLOBO AÇOS'!D260)</f>
        <v/>
      </c>
      <c r="AD258" s="39">
        <f>IF($A258="",0,IF(AND(WEEKDAY($A258,2)&lt;=5,OR($B258&lt;&gt;"",$C258&lt;&gt;"",$D258&lt;&gt;"")),1,0))</f>
        <v/>
      </c>
      <c r="AE258" s="39">
        <f>IF($A258="",0,IF(AND(WEEKDAY($A258,2)&lt;=5,OR($E258&lt;&gt;"",$F258&lt;&gt;"",$G258&lt;&gt;"")),1,0))</f>
        <v/>
      </c>
      <c r="AF258" s="39">
        <f>MAX(AD258,AE258)</f>
        <v/>
      </c>
      <c r="AH258" s="223">
        <f>IF('CONTROLE GLOBO AÇOS'!E260="","",'CONTROLE GLOBO AÇOS'!E260)</f>
        <v/>
      </c>
      <c r="AI258" s="223">
        <f>IF('CONTROLE GLOBO AÇOS'!F260="","",'CONTROLE GLOBO AÇOS'!F260)</f>
        <v/>
      </c>
      <c r="AJ258" s="223">
        <f>IF(AND('CONTROLE EJ'!E260="",'CONTROLE CMM'!E260=""),"",N('CONTROLE EJ'!E260)+N('CONTROLE CMM'!E260))</f>
        <v/>
      </c>
      <c r="AK258" s="223">
        <f>IF(AND('CONTROLE EJ'!F260="",'CONTROLE CMM'!F260=""),"",N('CONTROLE EJ'!F260)+N('CONTROLE CMM'!F260))</f>
        <v/>
      </c>
      <c r="AL258" s="223">
        <f>IF(AND('CONTROLE EJ'!G260="",'CONTROLE CMM'!G260=""),"",N('CONTROLE EJ'!G260)+N('CONTROLE CMM'!G260))</f>
        <v/>
      </c>
      <c r="AM258" s="223">
        <f>IF(AND('CONTROLE EJ'!H260="",'CONTROLE CMM'!H260=""),"",N('CONTROLE EJ'!H260)+N('CONTROLE CMM'!H260))</f>
        <v/>
      </c>
      <c r="AN258" s="223">
        <f>IF('CONTROLE GLOBO AÇOS'!G260="","",'CONTROLE GLOBO AÇOS'!G260)</f>
        <v/>
      </c>
      <c r="AO258" s="223">
        <f>IF('CONTROLE GLOBO AÇOS'!H260="","",'CONTROLE GLOBO AÇOS'!H260)</f>
        <v/>
      </c>
      <c r="AP258" s="223">
        <f>IF(AND('CONTROLE EJ'!I260="",'CONTROLE CMM'!I260=""),"",N('CONTROLE EJ'!I260)+N('CONTROLE CMM'!I260))</f>
        <v/>
      </c>
      <c r="AQ258" s="223">
        <f>IF(AND('CONTROLE EJ'!J260="",'CONTROLE CMM'!#REF!=""),"",N('CONTROLE EJ'!J260)+N('CONTROLE CMM'!#REF!))</f>
        <v/>
      </c>
      <c r="AR258" s="223">
        <f>IF('CONTROLE GLOBO AÇOS'!I260="","",'CONTROLE GLOBO AÇOS'!I260)</f>
        <v/>
      </c>
      <c r="AS258" s="223">
        <f>IF('CONTROLE GLOBO AÇOS'!J260="","",'CONTROLE GLOBO AÇOS'!J260)</f>
        <v/>
      </c>
      <c r="AT258" s="223">
        <f>IF(#REF!="","",#REF!)</f>
        <v/>
      </c>
      <c r="AU258" s="223">
        <f>IF('CONTROLE GLOBO AÇOS'!K260="","",'CONTROLE GLOBO AÇOS'!K260)</f>
        <v/>
      </c>
      <c r="AV258" s="223">
        <f>IF(AND('CONTROLE EJ'!K260="",'CONTROLE CMM'!#REF!=""),"",N('CONTROLE EJ'!K260)+N('CONTROLE CMM'!#REF!))</f>
        <v/>
      </c>
      <c r="AW258" s="223">
        <f>IF('CONTROLE GLOBO AÇOS'!L260="","",'CONTROLE GLOBO AÇOS'!L260)</f>
        <v/>
      </c>
      <c r="AX258" s="223">
        <f>IF(AND('CONTROLE EJ'!L260="",'CONTROLE CMM'!#REF!=""),"",N('CONTROLE EJ'!L260)+N('CONTROLE CMM'!#REF!))</f>
        <v/>
      </c>
      <c r="AY258" s="223">
        <f>IF('CONTROLE GLOBO AÇOS'!M260="","",'CONTROLE GLOBO AÇOS'!M260)</f>
        <v/>
      </c>
      <c r="AZ258" s="223">
        <f>IF('CONTROLE GLOBO AÇOS'!N260="","",'CONTROLE GLOBO AÇOS'!N260)</f>
        <v/>
      </c>
      <c r="BA258" s="223">
        <f>IF(AND('CONTROLE EJ'!M260="",'CONTROLE CMM'!#REF!=""),"",N('CONTROLE EJ'!M260)+N('CONTROLE CMM'!#REF!))</f>
        <v/>
      </c>
      <c r="BB258" s="223">
        <f>IF(#REF!="","",#REF!)</f>
        <v/>
      </c>
      <c r="BC258" s="223">
        <f>IF('CONTROLE GLOBO AÇOS'!O260="","",'CONTROLE GLOBO AÇOS'!O260)</f>
        <v/>
      </c>
      <c r="BD258" s="223">
        <f>IF(AND('CONTROLE EJ'!N260="",'CONTROLE CMM'!#REF!=""),"",N('CONTROLE EJ'!N260)+N('CONTROLE CMM'!#REF!))</f>
        <v/>
      </c>
      <c r="BE258" s="223">
        <f>IF('CONTROLE GLOBO AÇOS'!P260="","",'CONTROLE GLOBO AÇOS'!P260)</f>
        <v/>
      </c>
      <c r="BF258" s="223">
        <f>IF('CONTROLE GLOBO AÇOS'!Q260="","",'CONTROLE GLOBO AÇOS'!Q260)</f>
        <v/>
      </c>
      <c r="BG258" s="223">
        <f>IF('CONTROLE GLOBO AÇOS'!R260="","",'CONTROLE GLOBO AÇOS'!R260)</f>
        <v/>
      </c>
      <c r="BH258" s="223">
        <f>IF(AND('CONTROLE EJ'!O260="",'CONTROLE CMM'!#REF!=""),"",N('CONTROLE EJ'!O260)+N('CONTROLE CMM'!#REF!))</f>
        <v/>
      </c>
      <c r="BI258" s="223">
        <f>IF('CONTROLE GLOBO AÇOS'!S260="","",'CONTROLE GLOBO AÇOS'!S260)</f>
        <v/>
      </c>
      <c r="BJ258" s="223">
        <f>IF('CONTROLE GLOBO AÇOS'!T260="","",'CONTROLE GLOBO AÇOS'!T260)</f>
        <v/>
      </c>
      <c r="BK258" s="223">
        <f>IF('CONTROLE GLOBO AÇOS'!U260="","",'CONTROLE GLOBO AÇOS'!U260)</f>
        <v/>
      </c>
      <c r="BL258" s="223">
        <f>IF(AND('CONTROLE EJ'!P260="",'CONTROLE CMM'!#REF!=""),"",N('CONTROLE EJ'!P260)+N('CONTROLE CMM'!#REF!))</f>
        <v/>
      </c>
      <c r="BM258" s="223">
        <f>IF(AND('CONTROLE EJ'!Q260="",'CONTROLE CMM'!#REF!=""),"",N('CONTROLE EJ'!Q260)+N('CONTROLE CMM'!#REF!))</f>
        <v/>
      </c>
      <c r="BN258" s="223">
        <f>IF('CONTROLE GLOBO AÇOS'!V260="","",'CONTROLE GLOBO AÇOS'!V260)</f>
        <v/>
      </c>
      <c r="BO258" s="223">
        <f>IF('CONTROLE GLOBO AÇOS'!W260="","",'CONTROLE GLOBO AÇOS'!W260)</f>
        <v/>
      </c>
      <c r="BP258" s="223">
        <f>IF(AND('CONTROLE EJ'!R260="",'CONTROLE CMM'!#REF!=""),"",N('CONTROLE EJ'!R260)+N('CONTROLE CMM'!#REF!))</f>
        <v/>
      </c>
      <c r="BQ258" s="223">
        <f>IF(#REF!="","",#REF!)</f>
        <v/>
      </c>
      <c r="BR258" s="223">
        <f>IF(AND('CONTROLE EJ'!S260="",'CONTROLE CMM'!#REF!=""),"",N('CONTROLE EJ'!S260)+N('CONTROLE CMM'!#REF!))</f>
        <v/>
      </c>
      <c r="BS258" s="223">
        <f>IF(AND('CONTROLE EJ'!T260="",'CONTROLE CMM'!#REF!=""),"",N('CONTROLE EJ'!T260)+N('CONTROLE CMM'!#REF!))</f>
        <v/>
      </c>
      <c r="BT258" s="223">
        <f>IF('CONTROLE GLOBO AÇOS'!X260="","",'CONTROLE GLOBO AÇOS'!X260)</f>
        <v/>
      </c>
      <c r="BU258" s="223">
        <f>IF('CONTROLE GLOBO AÇOS'!Y260="","",'CONTROLE GLOBO AÇOS'!Y260)</f>
        <v/>
      </c>
      <c r="BV258" s="223">
        <f>IF(AND('CONTROLE EJ'!U260="",'CONTROLE CMM'!#REF!=""),"",N('CONTROLE EJ'!U260)+N('CONTROLE CMM'!#REF!))</f>
        <v/>
      </c>
      <c r="BW258" s="223">
        <f>IF(#REF!="","",#REF!)</f>
        <v/>
      </c>
    </row>
    <row r="259">
      <c r="A259" s="282" t="n">
        <v>46476</v>
      </c>
      <c r="B259" s="18">
        <f>IF('CONTROLE EJ'!B261="","",'CONTROLE EJ'!B261)</f>
        <v/>
      </c>
      <c r="C259" s="18">
        <f>IF('CONTROLE EJ'!C261="","",'CONTROLE EJ'!C261)</f>
        <v/>
      </c>
      <c r="D259" s="42">
        <f>IF('CONTROLE EJ'!D261="","",'CONTROLE EJ'!D261)</f>
        <v/>
      </c>
      <c r="E259" s="43">
        <f>IF('CONTROLE CMM'!B261="","",'CONTROLE CMM'!B261)</f>
        <v/>
      </c>
      <c r="F259" s="18">
        <f>IF('CONTROLE CMM'!C261="","",'CONTROLE CMM'!C261)</f>
        <v/>
      </c>
      <c r="G259" s="26">
        <f>IF('CONTROLE CMM'!D261="","",'CONTROLE CMM'!D261)</f>
        <v/>
      </c>
      <c r="H259" s="43">
        <f>IF('CONTROLE GLOBO AÇOS'!B261="","",'CONTROLE GLOBO AÇOS'!B261)</f>
        <v/>
      </c>
      <c r="I259" s="18">
        <f>IF('CONTROLE GLOBO AÇOS'!C261="","",'CONTROLE GLOBO AÇOS'!C261)</f>
        <v/>
      </c>
      <c r="J259" s="18">
        <f>IF('CONTROLE GLOBO AÇOS'!D261="","",'CONTROLE GLOBO AÇOS'!D261)</f>
        <v/>
      </c>
      <c r="AD259" s="39">
        <f>IF($A259="",0,IF(AND(WEEKDAY($A259,2)&lt;=5,OR($B259&lt;&gt;"",$C259&lt;&gt;"",$D259&lt;&gt;"")),1,0))</f>
        <v/>
      </c>
      <c r="AE259" s="39">
        <f>IF($A259="",0,IF(AND(WEEKDAY($A259,2)&lt;=5,OR($E259&lt;&gt;"",$F259&lt;&gt;"",$G259&lt;&gt;"")),1,0))</f>
        <v/>
      </c>
      <c r="AF259" s="39">
        <f>MAX(AD259,AE259)</f>
        <v/>
      </c>
      <c r="AH259" s="223">
        <f>IF('CONTROLE GLOBO AÇOS'!E261="","",'CONTROLE GLOBO AÇOS'!E261)</f>
        <v/>
      </c>
      <c r="AI259" s="223">
        <f>IF('CONTROLE GLOBO AÇOS'!F261="","",'CONTROLE GLOBO AÇOS'!F261)</f>
        <v/>
      </c>
      <c r="AJ259" s="223">
        <f>IF(AND('CONTROLE EJ'!E261="",'CONTROLE CMM'!E261=""),"",N('CONTROLE EJ'!E261)+N('CONTROLE CMM'!E261))</f>
        <v/>
      </c>
      <c r="AK259" s="223">
        <f>IF(AND('CONTROLE EJ'!F261="",'CONTROLE CMM'!F261=""),"",N('CONTROLE EJ'!F261)+N('CONTROLE CMM'!F261))</f>
        <v/>
      </c>
      <c r="AL259" s="223">
        <f>IF(AND('CONTROLE EJ'!G261="",'CONTROLE CMM'!G261=""),"",N('CONTROLE EJ'!G261)+N('CONTROLE CMM'!G261))</f>
        <v/>
      </c>
      <c r="AM259" s="223">
        <f>IF(AND('CONTROLE EJ'!H261="",'CONTROLE CMM'!H261=""),"",N('CONTROLE EJ'!H261)+N('CONTROLE CMM'!H261))</f>
        <v/>
      </c>
      <c r="AN259" s="223">
        <f>IF('CONTROLE GLOBO AÇOS'!G261="","",'CONTROLE GLOBO AÇOS'!G261)</f>
        <v/>
      </c>
      <c r="AO259" s="223">
        <f>IF('CONTROLE GLOBO AÇOS'!H261="","",'CONTROLE GLOBO AÇOS'!H261)</f>
        <v/>
      </c>
      <c r="AP259" s="223">
        <f>IF(AND('CONTROLE EJ'!I261="",'CONTROLE CMM'!I261=""),"",N('CONTROLE EJ'!I261)+N('CONTROLE CMM'!I261))</f>
        <v/>
      </c>
      <c r="AQ259" s="223">
        <f>IF(AND('CONTROLE EJ'!J261="",'CONTROLE CMM'!#REF!=""),"",N('CONTROLE EJ'!J261)+N('CONTROLE CMM'!#REF!))</f>
        <v/>
      </c>
      <c r="AR259" s="223">
        <f>IF('CONTROLE GLOBO AÇOS'!I261="","",'CONTROLE GLOBO AÇOS'!I261)</f>
        <v/>
      </c>
      <c r="AS259" s="223">
        <f>IF('CONTROLE GLOBO AÇOS'!J261="","",'CONTROLE GLOBO AÇOS'!J261)</f>
        <v/>
      </c>
      <c r="AT259" s="223">
        <f>IF(#REF!="","",#REF!)</f>
        <v/>
      </c>
      <c r="AU259" s="223">
        <f>IF('CONTROLE GLOBO AÇOS'!K261="","",'CONTROLE GLOBO AÇOS'!K261)</f>
        <v/>
      </c>
      <c r="AV259" s="223">
        <f>IF(AND('CONTROLE EJ'!K261="",'CONTROLE CMM'!#REF!=""),"",N('CONTROLE EJ'!K261)+N('CONTROLE CMM'!#REF!))</f>
        <v/>
      </c>
      <c r="AW259" s="223">
        <f>IF('CONTROLE GLOBO AÇOS'!L261="","",'CONTROLE GLOBO AÇOS'!L261)</f>
        <v/>
      </c>
      <c r="AX259" s="223">
        <f>IF(AND('CONTROLE EJ'!L261="",'CONTROLE CMM'!#REF!=""),"",N('CONTROLE EJ'!L261)+N('CONTROLE CMM'!#REF!))</f>
        <v/>
      </c>
      <c r="AY259" s="223">
        <f>IF('CONTROLE GLOBO AÇOS'!M261="","",'CONTROLE GLOBO AÇOS'!M261)</f>
        <v/>
      </c>
      <c r="AZ259" s="223">
        <f>IF('CONTROLE GLOBO AÇOS'!N261="","",'CONTROLE GLOBO AÇOS'!N261)</f>
        <v/>
      </c>
      <c r="BA259" s="223">
        <f>IF(AND('CONTROLE EJ'!M261="",'CONTROLE CMM'!#REF!=""),"",N('CONTROLE EJ'!M261)+N('CONTROLE CMM'!#REF!))</f>
        <v/>
      </c>
      <c r="BB259" s="223">
        <f>IF(#REF!="","",#REF!)</f>
        <v/>
      </c>
      <c r="BC259" s="223">
        <f>IF('CONTROLE GLOBO AÇOS'!O261="","",'CONTROLE GLOBO AÇOS'!O261)</f>
        <v/>
      </c>
      <c r="BD259" s="223">
        <f>IF(AND('CONTROLE EJ'!N261="",'CONTROLE CMM'!#REF!=""),"",N('CONTROLE EJ'!N261)+N('CONTROLE CMM'!#REF!))</f>
        <v/>
      </c>
      <c r="BE259" s="223">
        <f>IF('CONTROLE GLOBO AÇOS'!P261="","",'CONTROLE GLOBO AÇOS'!P261)</f>
        <v/>
      </c>
      <c r="BF259" s="223">
        <f>IF('CONTROLE GLOBO AÇOS'!Q261="","",'CONTROLE GLOBO AÇOS'!Q261)</f>
        <v/>
      </c>
      <c r="BG259" s="223">
        <f>IF('CONTROLE GLOBO AÇOS'!R261="","",'CONTROLE GLOBO AÇOS'!R261)</f>
        <v/>
      </c>
      <c r="BH259" s="223">
        <f>IF(AND('CONTROLE EJ'!O261="",'CONTROLE CMM'!#REF!=""),"",N('CONTROLE EJ'!O261)+N('CONTROLE CMM'!#REF!))</f>
        <v/>
      </c>
      <c r="BI259" s="223">
        <f>IF('CONTROLE GLOBO AÇOS'!S261="","",'CONTROLE GLOBO AÇOS'!S261)</f>
        <v/>
      </c>
      <c r="BJ259" s="223">
        <f>IF('CONTROLE GLOBO AÇOS'!T261="","",'CONTROLE GLOBO AÇOS'!T261)</f>
        <v/>
      </c>
      <c r="BK259" s="223">
        <f>IF('CONTROLE GLOBO AÇOS'!U261="","",'CONTROLE GLOBO AÇOS'!U261)</f>
        <v/>
      </c>
      <c r="BL259" s="223">
        <f>IF(AND('CONTROLE EJ'!P261="",'CONTROLE CMM'!#REF!=""),"",N('CONTROLE EJ'!P261)+N('CONTROLE CMM'!#REF!))</f>
        <v/>
      </c>
      <c r="BM259" s="223">
        <f>IF(AND('CONTROLE EJ'!Q261="",'CONTROLE CMM'!#REF!=""),"",N('CONTROLE EJ'!Q261)+N('CONTROLE CMM'!#REF!))</f>
        <v/>
      </c>
      <c r="BN259" s="223">
        <f>IF('CONTROLE GLOBO AÇOS'!V261="","",'CONTROLE GLOBO AÇOS'!V261)</f>
        <v/>
      </c>
      <c r="BO259" s="223">
        <f>IF('CONTROLE GLOBO AÇOS'!W261="","",'CONTROLE GLOBO AÇOS'!W261)</f>
        <v/>
      </c>
      <c r="BP259" s="223">
        <f>IF(AND('CONTROLE EJ'!R261="",'CONTROLE CMM'!#REF!=""),"",N('CONTROLE EJ'!R261)+N('CONTROLE CMM'!#REF!))</f>
        <v/>
      </c>
      <c r="BQ259" s="223">
        <f>IF(#REF!="","",#REF!)</f>
        <v/>
      </c>
      <c r="BR259" s="223">
        <f>IF(AND('CONTROLE EJ'!S261="",'CONTROLE CMM'!#REF!=""),"",N('CONTROLE EJ'!S261)+N('CONTROLE CMM'!#REF!))</f>
        <v/>
      </c>
      <c r="BS259" s="223">
        <f>IF(AND('CONTROLE EJ'!T261="",'CONTROLE CMM'!#REF!=""),"",N('CONTROLE EJ'!T261)+N('CONTROLE CMM'!#REF!))</f>
        <v/>
      </c>
      <c r="BT259" s="223">
        <f>IF('CONTROLE GLOBO AÇOS'!X261="","",'CONTROLE GLOBO AÇOS'!X261)</f>
        <v/>
      </c>
      <c r="BU259" s="223">
        <f>IF('CONTROLE GLOBO AÇOS'!Y261="","",'CONTROLE GLOBO AÇOS'!Y261)</f>
        <v/>
      </c>
      <c r="BV259" s="223">
        <f>IF(AND('CONTROLE EJ'!U261="",'CONTROLE CMM'!#REF!=""),"",N('CONTROLE EJ'!U261)+N('CONTROLE CMM'!#REF!))</f>
        <v/>
      </c>
      <c r="BW259" s="223">
        <f>IF(#REF!="","",#REF!)</f>
        <v/>
      </c>
    </row>
    <row r="260">
      <c r="A260" s="282" t="n">
        <v>46477</v>
      </c>
      <c r="B260" s="18">
        <f>IF('CONTROLE EJ'!B262="","",'CONTROLE EJ'!B262)</f>
        <v/>
      </c>
      <c r="C260" s="18">
        <f>IF('CONTROLE EJ'!C262="","",'CONTROLE EJ'!C262)</f>
        <v/>
      </c>
      <c r="D260" s="42">
        <f>IF('CONTROLE EJ'!D262="","",'CONTROLE EJ'!D262)</f>
        <v/>
      </c>
      <c r="E260" s="43">
        <f>IF('CONTROLE CMM'!B262="","",'CONTROLE CMM'!B262)</f>
        <v/>
      </c>
      <c r="F260" s="18">
        <f>IF('CONTROLE CMM'!C262="","",'CONTROLE CMM'!C262)</f>
        <v/>
      </c>
      <c r="G260" s="26">
        <f>IF('CONTROLE CMM'!D262="","",'CONTROLE CMM'!D262)</f>
        <v/>
      </c>
      <c r="H260" s="43">
        <f>IF('CONTROLE GLOBO AÇOS'!B262="","",'CONTROLE GLOBO AÇOS'!B262)</f>
        <v/>
      </c>
      <c r="I260" s="18">
        <f>IF('CONTROLE GLOBO AÇOS'!C262="","",'CONTROLE GLOBO AÇOS'!C262)</f>
        <v/>
      </c>
      <c r="J260" s="18">
        <f>IF('CONTROLE GLOBO AÇOS'!D262="","",'CONTROLE GLOBO AÇOS'!D262)</f>
        <v/>
      </c>
      <c r="AD260" s="39">
        <f>IF($A260="",0,IF(AND(WEEKDAY($A260,2)&lt;=5,OR($B260&lt;&gt;"",$C260&lt;&gt;"",$D260&lt;&gt;"")),1,0))</f>
        <v/>
      </c>
      <c r="AE260" s="39">
        <f>IF($A260="",0,IF(AND(WEEKDAY($A260,2)&lt;=5,OR($E260&lt;&gt;"",$F260&lt;&gt;"",$G260&lt;&gt;"")),1,0))</f>
        <v/>
      </c>
      <c r="AF260" s="39">
        <f>MAX(AD260,AE260)</f>
        <v/>
      </c>
      <c r="AH260" s="223">
        <f>IF('CONTROLE GLOBO AÇOS'!E262="","",'CONTROLE GLOBO AÇOS'!E262)</f>
        <v/>
      </c>
      <c r="AI260" s="223">
        <f>IF('CONTROLE GLOBO AÇOS'!F262="","",'CONTROLE GLOBO AÇOS'!F262)</f>
        <v/>
      </c>
      <c r="AJ260" s="223">
        <f>IF(AND('CONTROLE EJ'!E262="",'CONTROLE CMM'!E262=""),"",N('CONTROLE EJ'!E262)+N('CONTROLE CMM'!E262))</f>
        <v/>
      </c>
      <c r="AK260" s="223">
        <f>IF(AND('CONTROLE EJ'!F262="",'CONTROLE CMM'!F262=""),"",N('CONTROLE EJ'!F262)+N('CONTROLE CMM'!F262))</f>
        <v/>
      </c>
      <c r="AL260" s="223">
        <f>IF(AND('CONTROLE EJ'!G262="",'CONTROLE CMM'!G262=""),"",N('CONTROLE EJ'!G262)+N('CONTROLE CMM'!G262))</f>
        <v/>
      </c>
      <c r="AM260" s="223">
        <f>IF(AND('CONTROLE EJ'!H262="",'CONTROLE CMM'!H262=""),"",N('CONTROLE EJ'!H262)+N('CONTROLE CMM'!H262))</f>
        <v/>
      </c>
      <c r="AN260" s="223">
        <f>IF('CONTROLE GLOBO AÇOS'!G262="","",'CONTROLE GLOBO AÇOS'!G262)</f>
        <v/>
      </c>
      <c r="AO260" s="223">
        <f>IF('CONTROLE GLOBO AÇOS'!H262="","",'CONTROLE GLOBO AÇOS'!H262)</f>
        <v/>
      </c>
      <c r="AP260" s="223">
        <f>IF(AND('CONTROLE EJ'!I262="",'CONTROLE CMM'!I262=""),"",N('CONTROLE EJ'!I262)+N('CONTROLE CMM'!I262))</f>
        <v/>
      </c>
      <c r="AQ260" s="223">
        <f>IF(AND('CONTROLE EJ'!J262="",'CONTROLE CMM'!#REF!=""),"",N('CONTROLE EJ'!J262)+N('CONTROLE CMM'!#REF!))</f>
        <v/>
      </c>
      <c r="AR260" s="223">
        <f>IF('CONTROLE GLOBO AÇOS'!I262="","",'CONTROLE GLOBO AÇOS'!I262)</f>
        <v/>
      </c>
      <c r="AS260" s="223">
        <f>IF('CONTROLE GLOBO AÇOS'!J262="","",'CONTROLE GLOBO AÇOS'!J262)</f>
        <v/>
      </c>
      <c r="AT260" s="223">
        <f>IF(#REF!="","",#REF!)</f>
        <v/>
      </c>
      <c r="AU260" s="223">
        <f>IF('CONTROLE GLOBO AÇOS'!K262="","",'CONTROLE GLOBO AÇOS'!K262)</f>
        <v/>
      </c>
      <c r="AV260" s="223">
        <f>IF(AND('CONTROLE EJ'!K262="",'CONTROLE CMM'!#REF!=""),"",N('CONTROLE EJ'!K262)+N('CONTROLE CMM'!#REF!))</f>
        <v/>
      </c>
      <c r="AW260" s="223">
        <f>IF('CONTROLE GLOBO AÇOS'!L262="","",'CONTROLE GLOBO AÇOS'!L262)</f>
        <v/>
      </c>
      <c r="AX260" s="223">
        <f>IF(AND('CONTROLE EJ'!L262="",'CONTROLE CMM'!#REF!=""),"",N('CONTROLE EJ'!L262)+N('CONTROLE CMM'!#REF!))</f>
        <v/>
      </c>
      <c r="AY260" s="223">
        <f>IF('CONTROLE GLOBO AÇOS'!M262="","",'CONTROLE GLOBO AÇOS'!M262)</f>
        <v/>
      </c>
      <c r="AZ260" s="223">
        <f>IF('CONTROLE GLOBO AÇOS'!N262="","",'CONTROLE GLOBO AÇOS'!N262)</f>
        <v/>
      </c>
      <c r="BA260" s="223">
        <f>IF(AND('CONTROLE EJ'!M262="",'CONTROLE CMM'!#REF!=""),"",N('CONTROLE EJ'!M262)+N('CONTROLE CMM'!#REF!))</f>
        <v/>
      </c>
      <c r="BB260" s="223">
        <f>IF(#REF!="","",#REF!)</f>
        <v/>
      </c>
      <c r="BC260" s="223">
        <f>IF('CONTROLE GLOBO AÇOS'!O262="","",'CONTROLE GLOBO AÇOS'!O262)</f>
        <v/>
      </c>
      <c r="BD260" s="223">
        <f>IF(AND('CONTROLE EJ'!N262="",'CONTROLE CMM'!#REF!=""),"",N('CONTROLE EJ'!N262)+N('CONTROLE CMM'!#REF!))</f>
        <v/>
      </c>
      <c r="BE260" s="223">
        <f>IF('CONTROLE GLOBO AÇOS'!P262="","",'CONTROLE GLOBO AÇOS'!P262)</f>
        <v/>
      </c>
      <c r="BF260" s="223">
        <f>IF('CONTROLE GLOBO AÇOS'!Q262="","",'CONTROLE GLOBO AÇOS'!Q262)</f>
        <v/>
      </c>
      <c r="BG260" s="223">
        <f>IF('CONTROLE GLOBO AÇOS'!R262="","",'CONTROLE GLOBO AÇOS'!R262)</f>
        <v/>
      </c>
      <c r="BH260" s="223">
        <f>IF(AND('CONTROLE EJ'!O262="",'CONTROLE CMM'!#REF!=""),"",N('CONTROLE EJ'!O262)+N('CONTROLE CMM'!#REF!))</f>
        <v/>
      </c>
      <c r="BI260" s="223">
        <f>IF('CONTROLE GLOBO AÇOS'!S262="","",'CONTROLE GLOBO AÇOS'!S262)</f>
        <v/>
      </c>
      <c r="BJ260" s="223">
        <f>IF('CONTROLE GLOBO AÇOS'!T262="","",'CONTROLE GLOBO AÇOS'!T262)</f>
        <v/>
      </c>
      <c r="BK260" s="223">
        <f>IF('CONTROLE GLOBO AÇOS'!U262="","",'CONTROLE GLOBO AÇOS'!U262)</f>
        <v/>
      </c>
      <c r="BL260" s="223">
        <f>IF(AND('CONTROLE EJ'!P262="",'CONTROLE CMM'!#REF!=""),"",N('CONTROLE EJ'!P262)+N('CONTROLE CMM'!#REF!))</f>
        <v/>
      </c>
      <c r="BM260" s="223">
        <f>IF(AND('CONTROLE EJ'!Q262="",'CONTROLE CMM'!#REF!=""),"",N('CONTROLE EJ'!Q262)+N('CONTROLE CMM'!#REF!))</f>
        <v/>
      </c>
      <c r="BN260" s="223">
        <f>IF('CONTROLE GLOBO AÇOS'!V262="","",'CONTROLE GLOBO AÇOS'!V262)</f>
        <v/>
      </c>
      <c r="BO260" s="223">
        <f>IF('CONTROLE GLOBO AÇOS'!W262="","",'CONTROLE GLOBO AÇOS'!W262)</f>
        <v/>
      </c>
      <c r="BP260" s="223">
        <f>IF(AND('CONTROLE EJ'!R262="",'CONTROLE CMM'!#REF!=""),"",N('CONTROLE EJ'!R262)+N('CONTROLE CMM'!#REF!))</f>
        <v/>
      </c>
      <c r="BQ260" s="223">
        <f>IF(#REF!="","",#REF!)</f>
        <v/>
      </c>
      <c r="BR260" s="223">
        <f>IF(AND('CONTROLE EJ'!S262="",'CONTROLE CMM'!#REF!=""),"",N('CONTROLE EJ'!S262)+N('CONTROLE CMM'!#REF!))</f>
        <v/>
      </c>
      <c r="BS260" s="223">
        <f>IF(AND('CONTROLE EJ'!T262="",'CONTROLE CMM'!#REF!=""),"",N('CONTROLE EJ'!T262)+N('CONTROLE CMM'!#REF!))</f>
        <v/>
      </c>
      <c r="BT260" s="223">
        <f>IF('CONTROLE GLOBO AÇOS'!X262="","",'CONTROLE GLOBO AÇOS'!X262)</f>
        <v/>
      </c>
      <c r="BU260" s="223">
        <f>IF('CONTROLE GLOBO AÇOS'!Y262="","",'CONTROLE GLOBO AÇOS'!Y262)</f>
        <v/>
      </c>
      <c r="BV260" s="223">
        <f>IF(AND('CONTROLE EJ'!U262="",'CONTROLE CMM'!#REF!=""),"",N('CONTROLE EJ'!U262)+N('CONTROLE CMM'!#REF!))</f>
        <v/>
      </c>
      <c r="BW260" s="223">
        <f>IF(#REF!="","",#REF!)</f>
        <v/>
      </c>
    </row>
    <row r="261">
      <c r="A261" s="282" t="n">
        <v>46478</v>
      </c>
      <c r="B261" s="18">
        <f>IF('CONTROLE EJ'!B263="","",'CONTROLE EJ'!B263)</f>
        <v/>
      </c>
      <c r="C261" s="18">
        <f>IF('CONTROLE EJ'!C263="","",'CONTROLE EJ'!C263)</f>
        <v/>
      </c>
      <c r="D261" s="42">
        <f>IF('CONTROLE EJ'!D263="","",'CONTROLE EJ'!D263)</f>
        <v/>
      </c>
      <c r="E261" s="43">
        <f>IF('CONTROLE CMM'!B263="","",'CONTROLE CMM'!B263)</f>
        <v/>
      </c>
      <c r="F261" s="18">
        <f>IF('CONTROLE CMM'!C263="","",'CONTROLE CMM'!C263)</f>
        <v/>
      </c>
      <c r="G261" s="26">
        <f>IF('CONTROLE CMM'!D263="","",'CONTROLE CMM'!D263)</f>
        <v/>
      </c>
      <c r="H261" s="43">
        <f>IF('CONTROLE GLOBO AÇOS'!B263="","",'CONTROLE GLOBO AÇOS'!B263)</f>
        <v/>
      </c>
      <c r="I261" s="18">
        <f>IF('CONTROLE GLOBO AÇOS'!C263="","",'CONTROLE GLOBO AÇOS'!C263)</f>
        <v/>
      </c>
      <c r="J261" s="18">
        <f>IF('CONTROLE GLOBO AÇOS'!D263="","",'CONTROLE GLOBO AÇOS'!D263)</f>
        <v/>
      </c>
      <c r="AD261" s="39">
        <f>IF($A261="",0,IF(AND(WEEKDAY($A261,2)&lt;=5,OR($B261&lt;&gt;"",$C261&lt;&gt;"",$D261&lt;&gt;"")),1,0))</f>
        <v/>
      </c>
      <c r="AE261" s="39">
        <f>IF($A261="",0,IF(AND(WEEKDAY($A261,2)&lt;=5,OR($E261&lt;&gt;"",$F261&lt;&gt;"",$G261&lt;&gt;"")),1,0))</f>
        <v/>
      </c>
      <c r="AF261" s="39">
        <f>MAX(AD261,AE261)</f>
        <v/>
      </c>
      <c r="AH261" s="223">
        <f>IF('CONTROLE GLOBO AÇOS'!E263="","",'CONTROLE GLOBO AÇOS'!E263)</f>
        <v/>
      </c>
      <c r="AI261" s="223">
        <f>IF('CONTROLE GLOBO AÇOS'!F263="","",'CONTROLE GLOBO AÇOS'!F263)</f>
        <v/>
      </c>
      <c r="AJ261" s="223">
        <f>IF(AND('CONTROLE EJ'!E263="",'CONTROLE CMM'!E263=""),"",N('CONTROLE EJ'!E263)+N('CONTROLE CMM'!E263))</f>
        <v/>
      </c>
      <c r="AK261" s="223">
        <f>IF(AND('CONTROLE EJ'!F263="",'CONTROLE CMM'!F263=""),"",N('CONTROLE EJ'!F263)+N('CONTROLE CMM'!F263))</f>
        <v/>
      </c>
      <c r="AL261" s="223">
        <f>IF(AND('CONTROLE EJ'!G263="",'CONTROLE CMM'!G263=""),"",N('CONTROLE EJ'!G263)+N('CONTROLE CMM'!G263))</f>
        <v/>
      </c>
      <c r="AM261" s="223">
        <f>IF(AND('CONTROLE EJ'!H263="",'CONTROLE CMM'!H263=""),"",N('CONTROLE EJ'!H263)+N('CONTROLE CMM'!H263))</f>
        <v/>
      </c>
      <c r="AN261" s="223">
        <f>IF('CONTROLE GLOBO AÇOS'!G263="","",'CONTROLE GLOBO AÇOS'!G263)</f>
        <v/>
      </c>
      <c r="AO261" s="223">
        <f>IF('CONTROLE GLOBO AÇOS'!H263="","",'CONTROLE GLOBO AÇOS'!H263)</f>
        <v/>
      </c>
      <c r="AP261" s="223">
        <f>IF(AND('CONTROLE EJ'!I263="",'CONTROLE CMM'!I263=""),"",N('CONTROLE EJ'!I263)+N('CONTROLE CMM'!I263))</f>
        <v/>
      </c>
      <c r="AQ261" s="223">
        <f>IF(AND('CONTROLE EJ'!J263="",'CONTROLE CMM'!#REF!=""),"",N('CONTROLE EJ'!J263)+N('CONTROLE CMM'!#REF!))</f>
        <v/>
      </c>
      <c r="AR261" s="223">
        <f>IF('CONTROLE GLOBO AÇOS'!I263="","",'CONTROLE GLOBO AÇOS'!I263)</f>
        <v/>
      </c>
      <c r="AS261" s="223">
        <f>IF('CONTROLE GLOBO AÇOS'!J263="","",'CONTROLE GLOBO AÇOS'!J263)</f>
        <v/>
      </c>
      <c r="AT261" s="223">
        <f>IF(#REF!="","",#REF!)</f>
        <v/>
      </c>
      <c r="AU261" s="223">
        <f>IF('CONTROLE GLOBO AÇOS'!K263="","",'CONTROLE GLOBO AÇOS'!K263)</f>
        <v/>
      </c>
      <c r="AV261" s="223">
        <f>IF(AND('CONTROLE EJ'!K263="",'CONTROLE CMM'!#REF!=""),"",N('CONTROLE EJ'!K263)+N('CONTROLE CMM'!#REF!))</f>
        <v/>
      </c>
      <c r="AW261" s="223">
        <f>IF('CONTROLE GLOBO AÇOS'!L263="","",'CONTROLE GLOBO AÇOS'!L263)</f>
        <v/>
      </c>
      <c r="AX261" s="223">
        <f>IF(AND('CONTROLE EJ'!L263="",'CONTROLE CMM'!#REF!=""),"",N('CONTROLE EJ'!L263)+N('CONTROLE CMM'!#REF!))</f>
        <v/>
      </c>
      <c r="AY261" s="223">
        <f>IF('CONTROLE GLOBO AÇOS'!M263="","",'CONTROLE GLOBO AÇOS'!M263)</f>
        <v/>
      </c>
      <c r="AZ261" s="223">
        <f>IF('CONTROLE GLOBO AÇOS'!N263="","",'CONTROLE GLOBO AÇOS'!N263)</f>
        <v/>
      </c>
      <c r="BA261" s="223">
        <f>IF(AND('CONTROLE EJ'!M263="",'CONTROLE CMM'!#REF!=""),"",N('CONTROLE EJ'!M263)+N('CONTROLE CMM'!#REF!))</f>
        <v/>
      </c>
      <c r="BB261" s="223">
        <f>IF(#REF!="","",#REF!)</f>
        <v/>
      </c>
      <c r="BC261" s="223">
        <f>IF('CONTROLE GLOBO AÇOS'!O263="","",'CONTROLE GLOBO AÇOS'!O263)</f>
        <v/>
      </c>
      <c r="BD261" s="223">
        <f>IF(AND('CONTROLE EJ'!N263="",'CONTROLE CMM'!#REF!=""),"",N('CONTROLE EJ'!N263)+N('CONTROLE CMM'!#REF!))</f>
        <v/>
      </c>
      <c r="BE261" s="223">
        <f>IF('CONTROLE GLOBO AÇOS'!P263="","",'CONTROLE GLOBO AÇOS'!P263)</f>
        <v/>
      </c>
      <c r="BF261" s="223">
        <f>IF('CONTROLE GLOBO AÇOS'!Q263="","",'CONTROLE GLOBO AÇOS'!Q263)</f>
        <v/>
      </c>
      <c r="BG261" s="223">
        <f>IF('CONTROLE GLOBO AÇOS'!R263="","",'CONTROLE GLOBO AÇOS'!R263)</f>
        <v/>
      </c>
      <c r="BH261" s="223">
        <f>IF(AND('CONTROLE EJ'!O263="",'CONTROLE CMM'!#REF!=""),"",N('CONTROLE EJ'!O263)+N('CONTROLE CMM'!#REF!))</f>
        <v/>
      </c>
      <c r="BI261" s="223">
        <f>IF('CONTROLE GLOBO AÇOS'!S263="","",'CONTROLE GLOBO AÇOS'!S263)</f>
        <v/>
      </c>
      <c r="BJ261" s="223">
        <f>IF('CONTROLE GLOBO AÇOS'!T263="","",'CONTROLE GLOBO AÇOS'!T263)</f>
        <v/>
      </c>
      <c r="BK261" s="223">
        <f>IF('CONTROLE GLOBO AÇOS'!U263="","",'CONTROLE GLOBO AÇOS'!U263)</f>
        <v/>
      </c>
      <c r="BL261" s="223">
        <f>IF(AND('CONTROLE EJ'!P263="",'CONTROLE CMM'!#REF!=""),"",N('CONTROLE EJ'!P263)+N('CONTROLE CMM'!#REF!))</f>
        <v/>
      </c>
      <c r="BM261" s="223">
        <f>IF(AND('CONTROLE EJ'!Q263="",'CONTROLE CMM'!#REF!=""),"",N('CONTROLE EJ'!Q263)+N('CONTROLE CMM'!#REF!))</f>
        <v/>
      </c>
      <c r="BN261" s="223">
        <f>IF('CONTROLE GLOBO AÇOS'!V263="","",'CONTROLE GLOBO AÇOS'!V263)</f>
        <v/>
      </c>
      <c r="BO261" s="223">
        <f>IF('CONTROLE GLOBO AÇOS'!W263="","",'CONTROLE GLOBO AÇOS'!W263)</f>
        <v/>
      </c>
      <c r="BP261" s="223">
        <f>IF(AND('CONTROLE EJ'!R263="",'CONTROLE CMM'!#REF!=""),"",N('CONTROLE EJ'!R263)+N('CONTROLE CMM'!#REF!))</f>
        <v/>
      </c>
      <c r="BQ261" s="223">
        <f>IF(#REF!="","",#REF!)</f>
        <v/>
      </c>
      <c r="BR261" s="223">
        <f>IF(AND('CONTROLE EJ'!S263="",'CONTROLE CMM'!#REF!=""),"",N('CONTROLE EJ'!S263)+N('CONTROLE CMM'!#REF!))</f>
        <v/>
      </c>
      <c r="BS261" s="223">
        <f>IF(AND('CONTROLE EJ'!T263="",'CONTROLE CMM'!#REF!=""),"",N('CONTROLE EJ'!T263)+N('CONTROLE CMM'!#REF!))</f>
        <v/>
      </c>
      <c r="BT261" s="223">
        <f>IF('CONTROLE GLOBO AÇOS'!X263="","",'CONTROLE GLOBO AÇOS'!X263)</f>
        <v/>
      </c>
      <c r="BU261" s="223">
        <f>IF('CONTROLE GLOBO AÇOS'!Y263="","",'CONTROLE GLOBO AÇOS'!Y263)</f>
        <v/>
      </c>
      <c r="BV261" s="223">
        <f>IF(AND('CONTROLE EJ'!U263="",'CONTROLE CMM'!#REF!=""),"",N('CONTROLE EJ'!U263)+N('CONTROLE CMM'!#REF!))</f>
        <v/>
      </c>
      <c r="BW261" s="223">
        <f>IF(#REF!="","",#REF!)</f>
        <v/>
      </c>
    </row>
    <row r="262">
      <c r="A262" s="282" t="n">
        <v>46479</v>
      </c>
      <c r="B262" s="18">
        <f>IF('CONTROLE EJ'!B264="","",'CONTROLE EJ'!B264)</f>
        <v/>
      </c>
      <c r="C262" s="18">
        <f>IF('CONTROLE EJ'!C264="","",'CONTROLE EJ'!C264)</f>
        <v/>
      </c>
      <c r="D262" s="42">
        <f>IF('CONTROLE EJ'!D264="","",'CONTROLE EJ'!D264)</f>
        <v/>
      </c>
      <c r="E262" s="43">
        <f>IF('CONTROLE CMM'!B264="","",'CONTROLE CMM'!B264)</f>
        <v/>
      </c>
      <c r="F262" s="18">
        <f>IF('CONTROLE CMM'!C264="","",'CONTROLE CMM'!C264)</f>
        <v/>
      </c>
      <c r="G262" s="26">
        <f>IF('CONTROLE CMM'!D264="","",'CONTROLE CMM'!D264)</f>
        <v/>
      </c>
      <c r="H262" s="43">
        <f>IF('CONTROLE GLOBO AÇOS'!B264="","",'CONTROLE GLOBO AÇOS'!B264)</f>
        <v/>
      </c>
      <c r="I262" s="18">
        <f>IF('CONTROLE GLOBO AÇOS'!C264="","",'CONTROLE GLOBO AÇOS'!C264)</f>
        <v/>
      </c>
      <c r="J262" s="18">
        <f>IF('CONTROLE GLOBO AÇOS'!D264="","",'CONTROLE GLOBO AÇOS'!D264)</f>
        <v/>
      </c>
      <c r="AD262" s="39">
        <f>IF($A262="",0,IF(AND(WEEKDAY($A262,2)&lt;=5,OR($B262&lt;&gt;"",$C262&lt;&gt;"",$D262&lt;&gt;"")),1,0))</f>
        <v/>
      </c>
      <c r="AE262" s="39">
        <f>IF($A262="",0,IF(AND(WEEKDAY($A262,2)&lt;=5,OR($E262&lt;&gt;"",$F262&lt;&gt;"",$G262&lt;&gt;"")),1,0))</f>
        <v/>
      </c>
      <c r="AF262" s="39">
        <f>MAX(AD262,AE262)</f>
        <v/>
      </c>
      <c r="AH262" s="223">
        <f>IF('CONTROLE GLOBO AÇOS'!E264="","",'CONTROLE GLOBO AÇOS'!E264)</f>
        <v/>
      </c>
      <c r="AI262" s="223">
        <f>IF('CONTROLE GLOBO AÇOS'!F264="","",'CONTROLE GLOBO AÇOS'!F264)</f>
        <v/>
      </c>
      <c r="AJ262" s="223">
        <f>IF(AND('CONTROLE EJ'!E264="",'CONTROLE CMM'!E264=""),"",N('CONTROLE EJ'!E264)+N('CONTROLE CMM'!E264))</f>
        <v/>
      </c>
      <c r="AK262" s="223">
        <f>IF(AND('CONTROLE EJ'!F264="",'CONTROLE CMM'!F264=""),"",N('CONTROLE EJ'!F264)+N('CONTROLE CMM'!F264))</f>
        <v/>
      </c>
      <c r="AL262" s="223">
        <f>IF(AND('CONTROLE EJ'!G264="",'CONTROLE CMM'!G264=""),"",N('CONTROLE EJ'!G264)+N('CONTROLE CMM'!G264))</f>
        <v/>
      </c>
      <c r="AM262" s="223">
        <f>IF(AND('CONTROLE EJ'!H264="",'CONTROLE CMM'!H264=""),"",N('CONTROLE EJ'!H264)+N('CONTROLE CMM'!H264))</f>
        <v/>
      </c>
      <c r="AN262" s="223">
        <f>IF('CONTROLE GLOBO AÇOS'!G264="","",'CONTROLE GLOBO AÇOS'!G264)</f>
        <v/>
      </c>
      <c r="AO262" s="223">
        <f>IF('CONTROLE GLOBO AÇOS'!H264="","",'CONTROLE GLOBO AÇOS'!H264)</f>
        <v/>
      </c>
      <c r="AP262" s="223">
        <f>IF(AND('CONTROLE EJ'!I264="",'CONTROLE CMM'!I264=""),"",N('CONTROLE EJ'!I264)+N('CONTROLE CMM'!I264))</f>
        <v/>
      </c>
      <c r="AQ262" s="223">
        <f>IF(AND('CONTROLE EJ'!J264="",'CONTROLE CMM'!#REF!=""),"",N('CONTROLE EJ'!J264)+N('CONTROLE CMM'!#REF!))</f>
        <v/>
      </c>
      <c r="AR262" s="223">
        <f>IF('CONTROLE GLOBO AÇOS'!I264="","",'CONTROLE GLOBO AÇOS'!I264)</f>
        <v/>
      </c>
      <c r="AS262" s="223">
        <f>IF('CONTROLE GLOBO AÇOS'!J264="","",'CONTROLE GLOBO AÇOS'!J264)</f>
        <v/>
      </c>
      <c r="AT262" s="223">
        <f>IF(#REF!="","",#REF!)</f>
        <v/>
      </c>
      <c r="AU262" s="223">
        <f>IF('CONTROLE GLOBO AÇOS'!K264="","",'CONTROLE GLOBO AÇOS'!K264)</f>
        <v/>
      </c>
      <c r="AV262" s="223">
        <f>IF(AND('CONTROLE EJ'!K264="",'CONTROLE CMM'!#REF!=""),"",N('CONTROLE EJ'!K264)+N('CONTROLE CMM'!#REF!))</f>
        <v/>
      </c>
      <c r="AW262" s="223">
        <f>IF('CONTROLE GLOBO AÇOS'!L264="","",'CONTROLE GLOBO AÇOS'!L264)</f>
        <v/>
      </c>
      <c r="AX262" s="223">
        <f>IF(AND('CONTROLE EJ'!L264="",'CONTROLE CMM'!#REF!=""),"",N('CONTROLE EJ'!L264)+N('CONTROLE CMM'!#REF!))</f>
        <v/>
      </c>
      <c r="AY262" s="223">
        <f>IF('CONTROLE GLOBO AÇOS'!M264="","",'CONTROLE GLOBO AÇOS'!M264)</f>
        <v/>
      </c>
      <c r="AZ262" s="223">
        <f>IF('CONTROLE GLOBO AÇOS'!N264="","",'CONTROLE GLOBO AÇOS'!N264)</f>
        <v/>
      </c>
      <c r="BA262" s="223">
        <f>IF(AND('CONTROLE EJ'!M264="",'CONTROLE CMM'!#REF!=""),"",N('CONTROLE EJ'!M264)+N('CONTROLE CMM'!#REF!))</f>
        <v/>
      </c>
      <c r="BB262" s="223">
        <f>IF(#REF!="","",#REF!)</f>
        <v/>
      </c>
      <c r="BC262" s="223">
        <f>IF('CONTROLE GLOBO AÇOS'!O264="","",'CONTROLE GLOBO AÇOS'!O264)</f>
        <v/>
      </c>
      <c r="BD262" s="223">
        <f>IF(AND('CONTROLE EJ'!N264="",'CONTROLE CMM'!#REF!=""),"",N('CONTROLE EJ'!N264)+N('CONTROLE CMM'!#REF!))</f>
        <v/>
      </c>
      <c r="BE262" s="223">
        <f>IF('CONTROLE GLOBO AÇOS'!P264="","",'CONTROLE GLOBO AÇOS'!P264)</f>
        <v/>
      </c>
      <c r="BF262" s="223">
        <f>IF('CONTROLE GLOBO AÇOS'!Q264="","",'CONTROLE GLOBO AÇOS'!Q264)</f>
        <v/>
      </c>
      <c r="BG262" s="223">
        <f>IF('CONTROLE GLOBO AÇOS'!R264="","",'CONTROLE GLOBO AÇOS'!R264)</f>
        <v/>
      </c>
      <c r="BH262" s="223">
        <f>IF(AND('CONTROLE EJ'!O264="",'CONTROLE CMM'!#REF!=""),"",N('CONTROLE EJ'!O264)+N('CONTROLE CMM'!#REF!))</f>
        <v/>
      </c>
      <c r="BI262" s="223">
        <f>IF('CONTROLE GLOBO AÇOS'!S264="","",'CONTROLE GLOBO AÇOS'!S264)</f>
        <v/>
      </c>
      <c r="BJ262" s="223">
        <f>IF('CONTROLE GLOBO AÇOS'!T264="","",'CONTROLE GLOBO AÇOS'!T264)</f>
        <v/>
      </c>
      <c r="BK262" s="223">
        <f>IF('CONTROLE GLOBO AÇOS'!U264="","",'CONTROLE GLOBO AÇOS'!U264)</f>
        <v/>
      </c>
      <c r="BL262" s="223">
        <f>IF(AND('CONTROLE EJ'!P264="",'CONTROLE CMM'!#REF!=""),"",N('CONTROLE EJ'!P264)+N('CONTROLE CMM'!#REF!))</f>
        <v/>
      </c>
      <c r="BM262" s="223">
        <f>IF(AND('CONTROLE EJ'!Q264="",'CONTROLE CMM'!#REF!=""),"",N('CONTROLE EJ'!Q264)+N('CONTROLE CMM'!#REF!))</f>
        <v/>
      </c>
      <c r="BN262" s="223">
        <f>IF('CONTROLE GLOBO AÇOS'!V264="","",'CONTROLE GLOBO AÇOS'!V264)</f>
        <v/>
      </c>
      <c r="BO262" s="223">
        <f>IF('CONTROLE GLOBO AÇOS'!W264="","",'CONTROLE GLOBO AÇOS'!W264)</f>
        <v/>
      </c>
      <c r="BP262" s="223">
        <f>IF(AND('CONTROLE EJ'!R264="",'CONTROLE CMM'!#REF!=""),"",N('CONTROLE EJ'!R264)+N('CONTROLE CMM'!#REF!))</f>
        <v/>
      </c>
      <c r="BQ262" s="223">
        <f>IF(#REF!="","",#REF!)</f>
        <v/>
      </c>
      <c r="BR262" s="223">
        <f>IF(AND('CONTROLE EJ'!S264="",'CONTROLE CMM'!#REF!=""),"",N('CONTROLE EJ'!S264)+N('CONTROLE CMM'!#REF!))</f>
        <v/>
      </c>
      <c r="BS262" s="223">
        <f>IF(AND('CONTROLE EJ'!T264="",'CONTROLE CMM'!#REF!=""),"",N('CONTROLE EJ'!T264)+N('CONTROLE CMM'!#REF!))</f>
        <v/>
      </c>
      <c r="BT262" s="223">
        <f>IF('CONTROLE GLOBO AÇOS'!X264="","",'CONTROLE GLOBO AÇOS'!X264)</f>
        <v/>
      </c>
      <c r="BU262" s="223">
        <f>IF('CONTROLE GLOBO AÇOS'!Y264="","",'CONTROLE GLOBO AÇOS'!Y264)</f>
        <v/>
      </c>
      <c r="BV262" s="223">
        <f>IF(AND('CONTROLE EJ'!U264="",'CONTROLE CMM'!#REF!=""),"",N('CONTROLE EJ'!U264)+N('CONTROLE CMM'!#REF!))</f>
        <v/>
      </c>
      <c r="BW262" s="223">
        <f>IF(#REF!="","",#REF!)</f>
        <v/>
      </c>
    </row>
    <row r="263">
      <c r="A263" s="282" t="n">
        <v>46480</v>
      </c>
      <c r="B263" s="18">
        <f>IF('CONTROLE EJ'!B265="","",'CONTROLE EJ'!B265)</f>
        <v/>
      </c>
      <c r="C263" s="18">
        <f>IF('CONTROLE EJ'!C265="","",'CONTROLE EJ'!C265)</f>
        <v/>
      </c>
      <c r="D263" s="42">
        <f>IF('CONTROLE EJ'!D265="","",'CONTROLE EJ'!D265)</f>
        <v/>
      </c>
      <c r="E263" s="43">
        <f>IF('CONTROLE CMM'!B265="","",'CONTROLE CMM'!B265)</f>
        <v/>
      </c>
      <c r="F263" s="18">
        <f>IF('CONTROLE CMM'!C265="","",'CONTROLE CMM'!C265)</f>
        <v/>
      </c>
      <c r="G263" s="26">
        <f>IF('CONTROLE CMM'!D265="","",'CONTROLE CMM'!D265)</f>
        <v/>
      </c>
      <c r="H263" s="43">
        <f>IF('CONTROLE GLOBO AÇOS'!B265="","",'CONTROLE GLOBO AÇOS'!B265)</f>
        <v/>
      </c>
      <c r="I263" s="18">
        <f>IF('CONTROLE GLOBO AÇOS'!C265="","",'CONTROLE GLOBO AÇOS'!C265)</f>
        <v/>
      </c>
      <c r="J263" s="18">
        <f>IF('CONTROLE GLOBO AÇOS'!D265="","",'CONTROLE GLOBO AÇOS'!D265)</f>
        <v/>
      </c>
      <c r="AD263" s="39">
        <f>IF($A263="",0,IF(AND(WEEKDAY($A263,2)&lt;=5,OR($B263&lt;&gt;"",$C263&lt;&gt;"",$D263&lt;&gt;"")),1,0))</f>
        <v/>
      </c>
      <c r="AE263" s="39">
        <f>IF($A263="",0,IF(AND(WEEKDAY($A263,2)&lt;=5,OR($E263&lt;&gt;"",$F263&lt;&gt;"",$G263&lt;&gt;"")),1,0))</f>
        <v/>
      </c>
      <c r="AF263" s="39">
        <f>MAX(AD263,AE263)</f>
        <v/>
      </c>
      <c r="AH263" s="223">
        <f>IF('CONTROLE GLOBO AÇOS'!E265="","",'CONTROLE GLOBO AÇOS'!E265)</f>
        <v/>
      </c>
      <c r="AI263" s="223">
        <f>IF('CONTROLE GLOBO AÇOS'!F265="","",'CONTROLE GLOBO AÇOS'!F265)</f>
        <v/>
      </c>
      <c r="AJ263" s="223">
        <f>IF(AND('CONTROLE EJ'!E265="",'CONTROLE CMM'!E265=""),"",N('CONTROLE EJ'!E265)+N('CONTROLE CMM'!E265))</f>
        <v/>
      </c>
      <c r="AK263" s="223">
        <f>IF(AND('CONTROLE EJ'!F265="",'CONTROLE CMM'!F265=""),"",N('CONTROLE EJ'!F265)+N('CONTROLE CMM'!F265))</f>
        <v/>
      </c>
      <c r="AL263" s="223">
        <f>IF(AND('CONTROLE EJ'!G265="",'CONTROLE CMM'!G265=""),"",N('CONTROLE EJ'!G265)+N('CONTROLE CMM'!G265))</f>
        <v/>
      </c>
      <c r="AM263" s="223">
        <f>IF(AND('CONTROLE EJ'!H265="",'CONTROLE CMM'!H265=""),"",N('CONTROLE EJ'!H265)+N('CONTROLE CMM'!H265))</f>
        <v/>
      </c>
      <c r="AN263" s="223">
        <f>IF('CONTROLE GLOBO AÇOS'!G265="","",'CONTROLE GLOBO AÇOS'!G265)</f>
        <v/>
      </c>
      <c r="AO263" s="223">
        <f>IF('CONTROLE GLOBO AÇOS'!H265="","",'CONTROLE GLOBO AÇOS'!H265)</f>
        <v/>
      </c>
      <c r="AP263" s="223">
        <f>IF(AND('CONTROLE EJ'!I265="",'CONTROLE CMM'!I265=""),"",N('CONTROLE EJ'!I265)+N('CONTROLE CMM'!I265))</f>
        <v/>
      </c>
      <c r="AQ263" s="223">
        <f>IF(AND('CONTROLE EJ'!J265="",'CONTROLE CMM'!#REF!=""),"",N('CONTROLE EJ'!J265)+N('CONTROLE CMM'!#REF!))</f>
        <v/>
      </c>
      <c r="AR263" s="223">
        <f>IF('CONTROLE GLOBO AÇOS'!I265="","",'CONTROLE GLOBO AÇOS'!I265)</f>
        <v/>
      </c>
      <c r="AS263" s="223">
        <f>IF('CONTROLE GLOBO AÇOS'!J265="","",'CONTROLE GLOBO AÇOS'!J265)</f>
        <v/>
      </c>
      <c r="AT263" s="223">
        <f>IF(#REF!="","",#REF!)</f>
        <v/>
      </c>
      <c r="AU263" s="223">
        <f>IF('CONTROLE GLOBO AÇOS'!K265="","",'CONTROLE GLOBO AÇOS'!K265)</f>
        <v/>
      </c>
      <c r="AV263" s="223">
        <f>IF(AND('CONTROLE EJ'!K265="",'CONTROLE CMM'!#REF!=""),"",N('CONTROLE EJ'!K265)+N('CONTROLE CMM'!#REF!))</f>
        <v/>
      </c>
      <c r="AW263" s="223">
        <f>IF('CONTROLE GLOBO AÇOS'!L265="","",'CONTROLE GLOBO AÇOS'!L265)</f>
        <v/>
      </c>
      <c r="AX263" s="223">
        <f>IF(AND('CONTROLE EJ'!L265="",'CONTROLE CMM'!#REF!=""),"",N('CONTROLE EJ'!L265)+N('CONTROLE CMM'!#REF!))</f>
        <v/>
      </c>
      <c r="AY263" s="223">
        <f>IF('CONTROLE GLOBO AÇOS'!M265="","",'CONTROLE GLOBO AÇOS'!M265)</f>
        <v/>
      </c>
      <c r="AZ263" s="223">
        <f>IF('CONTROLE GLOBO AÇOS'!N265="","",'CONTROLE GLOBO AÇOS'!N265)</f>
        <v/>
      </c>
      <c r="BA263" s="223">
        <f>IF(AND('CONTROLE EJ'!M265="",'CONTROLE CMM'!#REF!=""),"",N('CONTROLE EJ'!M265)+N('CONTROLE CMM'!#REF!))</f>
        <v/>
      </c>
      <c r="BB263" s="223">
        <f>IF(#REF!="","",#REF!)</f>
        <v/>
      </c>
      <c r="BC263" s="223">
        <f>IF('CONTROLE GLOBO AÇOS'!O265="","",'CONTROLE GLOBO AÇOS'!O265)</f>
        <v/>
      </c>
      <c r="BD263" s="223">
        <f>IF(AND('CONTROLE EJ'!N265="",'CONTROLE CMM'!#REF!=""),"",N('CONTROLE EJ'!N265)+N('CONTROLE CMM'!#REF!))</f>
        <v/>
      </c>
      <c r="BE263" s="223">
        <f>IF('CONTROLE GLOBO AÇOS'!P265="","",'CONTROLE GLOBO AÇOS'!P265)</f>
        <v/>
      </c>
      <c r="BF263" s="223">
        <f>IF('CONTROLE GLOBO AÇOS'!Q265="","",'CONTROLE GLOBO AÇOS'!Q265)</f>
        <v/>
      </c>
      <c r="BG263" s="223">
        <f>IF('CONTROLE GLOBO AÇOS'!R265="","",'CONTROLE GLOBO AÇOS'!R265)</f>
        <v/>
      </c>
      <c r="BH263" s="223">
        <f>IF(AND('CONTROLE EJ'!O265="",'CONTROLE CMM'!#REF!=""),"",N('CONTROLE EJ'!O265)+N('CONTROLE CMM'!#REF!))</f>
        <v/>
      </c>
      <c r="BI263" s="223">
        <f>IF('CONTROLE GLOBO AÇOS'!S265="","",'CONTROLE GLOBO AÇOS'!S265)</f>
        <v/>
      </c>
      <c r="BJ263" s="223">
        <f>IF('CONTROLE GLOBO AÇOS'!T265="","",'CONTROLE GLOBO AÇOS'!T265)</f>
        <v/>
      </c>
      <c r="BK263" s="223">
        <f>IF('CONTROLE GLOBO AÇOS'!U265="","",'CONTROLE GLOBO AÇOS'!U265)</f>
        <v/>
      </c>
      <c r="BL263" s="223">
        <f>IF(AND('CONTROLE EJ'!P265="",'CONTROLE CMM'!#REF!=""),"",N('CONTROLE EJ'!P265)+N('CONTROLE CMM'!#REF!))</f>
        <v/>
      </c>
      <c r="BM263" s="223">
        <f>IF(AND('CONTROLE EJ'!Q265="",'CONTROLE CMM'!#REF!=""),"",N('CONTROLE EJ'!Q265)+N('CONTROLE CMM'!#REF!))</f>
        <v/>
      </c>
      <c r="BN263" s="223">
        <f>IF('CONTROLE GLOBO AÇOS'!V265="","",'CONTROLE GLOBO AÇOS'!V265)</f>
        <v/>
      </c>
      <c r="BO263" s="223">
        <f>IF('CONTROLE GLOBO AÇOS'!W265="","",'CONTROLE GLOBO AÇOS'!W265)</f>
        <v/>
      </c>
      <c r="BP263" s="223">
        <f>IF(AND('CONTROLE EJ'!R265="",'CONTROLE CMM'!#REF!=""),"",N('CONTROLE EJ'!R265)+N('CONTROLE CMM'!#REF!))</f>
        <v/>
      </c>
      <c r="BQ263" s="223">
        <f>IF(#REF!="","",#REF!)</f>
        <v/>
      </c>
      <c r="BR263" s="223">
        <f>IF(AND('CONTROLE EJ'!S265="",'CONTROLE CMM'!#REF!=""),"",N('CONTROLE EJ'!S265)+N('CONTROLE CMM'!#REF!))</f>
        <v/>
      </c>
      <c r="BS263" s="223">
        <f>IF(AND('CONTROLE EJ'!T265="",'CONTROLE CMM'!#REF!=""),"",N('CONTROLE EJ'!T265)+N('CONTROLE CMM'!#REF!))</f>
        <v/>
      </c>
      <c r="BT263" s="223">
        <f>IF('CONTROLE GLOBO AÇOS'!X265="","",'CONTROLE GLOBO AÇOS'!X265)</f>
        <v/>
      </c>
      <c r="BU263" s="223">
        <f>IF('CONTROLE GLOBO AÇOS'!Y265="","",'CONTROLE GLOBO AÇOS'!Y265)</f>
        <v/>
      </c>
      <c r="BV263" s="223">
        <f>IF(AND('CONTROLE EJ'!U265="",'CONTROLE CMM'!#REF!=""),"",N('CONTROLE EJ'!U265)+N('CONTROLE CMM'!#REF!))</f>
        <v/>
      </c>
      <c r="BW263" s="223">
        <f>IF(#REF!="","",#REF!)</f>
        <v/>
      </c>
    </row>
    <row r="264">
      <c r="A264" s="282" t="n">
        <v>46481</v>
      </c>
      <c r="B264" s="18">
        <f>IF('CONTROLE EJ'!B266="","",'CONTROLE EJ'!B266)</f>
        <v/>
      </c>
      <c r="C264" s="18">
        <f>IF('CONTROLE EJ'!C266="","",'CONTROLE EJ'!C266)</f>
        <v/>
      </c>
      <c r="D264" s="42">
        <f>IF('CONTROLE EJ'!D266="","",'CONTROLE EJ'!D266)</f>
        <v/>
      </c>
      <c r="E264" s="43">
        <f>IF('CONTROLE CMM'!B266="","",'CONTROLE CMM'!B266)</f>
        <v/>
      </c>
      <c r="F264" s="18">
        <f>IF('CONTROLE CMM'!C266="","",'CONTROLE CMM'!C266)</f>
        <v/>
      </c>
      <c r="G264" s="26">
        <f>IF('CONTROLE CMM'!D266="","",'CONTROLE CMM'!D266)</f>
        <v/>
      </c>
      <c r="H264" s="43">
        <f>IF('CONTROLE GLOBO AÇOS'!B266="","",'CONTROLE GLOBO AÇOS'!B266)</f>
        <v/>
      </c>
      <c r="I264" s="18">
        <f>IF('CONTROLE GLOBO AÇOS'!C266="","",'CONTROLE GLOBO AÇOS'!C266)</f>
        <v/>
      </c>
      <c r="J264" s="18">
        <f>IF('CONTROLE GLOBO AÇOS'!D266="","",'CONTROLE GLOBO AÇOS'!D266)</f>
        <v/>
      </c>
      <c r="AD264" s="39">
        <f>IF($A264="",0,IF(AND(WEEKDAY($A264,2)&lt;=5,OR($B264&lt;&gt;"",$C264&lt;&gt;"",$D264&lt;&gt;"")),1,0))</f>
        <v/>
      </c>
      <c r="AE264" s="39">
        <f>IF($A264="",0,IF(AND(WEEKDAY($A264,2)&lt;=5,OR($E264&lt;&gt;"",$F264&lt;&gt;"",$G264&lt;&gt;"")),1,0))</f>
        <v/>
      </c>
      <c r="AF264" s="39">
        <f>MAX(AD264,AE264)</f>
        <v/>
      </c>
      <c r="AH264" s="223">
        <f>IF('CONTROLE GLOBO AÇOS'!E266="","",'CONTROLE GLOBO AÇOS'!E266)</f>
        <v/>
      </c>
      <c r="AI264" s="223">
        <f>IF('CONTROLE GLOBO AÇOS'!F266="","",'CONTROLE GLOBO AÇOS'!F266)</f>
        <v/>
      </c>
      <c r="AJ264" s="223">
        <f>IF(AND('CONTROLE EJ'!E266="",'CONTROLE CMM'!E266=""),"",N('CONTROLE EJ'!E266)+N('CONTROLE CMM'!E266))</f>
        <v/>
      </c>
      <c r="AK264" s="223">
        <f>IF(AND('CONTROLE EJ'!F266="",'CONTROLE CMM'!F266=""),"",N('CONTROLE EJ'!F266)+N('CONTROLE CMM'!F266))</f>
        <v/>
      </c>
      <c r="AL264" s="223">
        <f>IF(AND('CONTROLE EJ'!G266="",'CONTROLE CMM'!G266=""),"",N('CONTROLE EJ'!G266)+N('CONTROLE CMM'!G266))</f>
        <v/>
      </c>
      <c r="AM264" s="223">
        <f>IF(AND('CONTROLE EJ'!H266="",'CONTROLE CMM'!H266=""),"",N('CONTROLE EJ'!H266)+N('CONTROLE CMM'!H266))</f>
        <v/>
      </c>
      <c r="AN264" s="223">
        <f>IF('CONTROLE GLOBO AÇOS'!G266="","",'CONTROLE GLOBO AÇOS'!G266)</f>
        <v/>
      </c>
      <c r="AO264" s="223">
        <f>IF('CONTROLE GLOBO AÇOS'!H266="","",'CONTROLE GLOBO AÇOS'!H266)</f>
        <v/>
      </c>
      <c r="AP264" s="223">
        <f>IF(AND('CONTROLE EJ'!I266="",'CONTROLE CMM'!I266=""),"",N('CONTROLE EJ'!I266)+N('CONTROLE CMM'!I266))</f>
        <v/>
      </c>
      <c r="AQ264" s="223">
        <f>IF(AND('CONTROLE EJ'!J266="",'CONTROLE CMM'!#REF!=""),"",N('CONTROLE EJ'!J266)+N('CONTROLE CMM'!#REF!))</f>
        <v/>
      </c>
      <c r="AR264" s="223">
        <f>IF('CONTROLE GLOBO AÇOS'!I266="","",'CONTROLE GLOBO AÇOS'!I266)</f>
        <v/>
      </c>
      <c r="AS264" s="223">
        <f>IF('CONTROLE GLOBO AÇOS'!J266="","",'CONTROLE GLOBO AÇOS'!J266)</f>
        <v/>
      </c>
      <c r="AT264" s="223">
        <f>IF(#REF!="","",#REF!)</f>
        <v/>
      </c>
      <c r="AU264" s="223">
        <f>IF('CONTROLE GLOBO AÇOS'!K266="","",'CONTROLE GLOBO AÇOS'!K266)</f>
        <v/>
      </c>
      <c r="AV264" s="223">
        <f>IF(AND('CONTROLE EJ'!K266="",'CONTROLE CMM'!#REF!=""),"",N('CONTROLE EJ'!K266)+N('CONTROLE CMM'!#REF!))</f>
        <v/>
      </c>
      <c r="AW264" s="223">
        <f>IF('CONTROLE GLOBO AÇOS'!L266="","",'CONTROLE GLOBO AÇOS'!L266)</f>
        <v/>
      </c>
      <c r="AX264" s="223">
        <f>IF(AND('CONTROLE EJ'!L266="",'CONTROLE CMM'!#REF!=""),"",N('CONTROLE EJ'!L266)+N('CONTROLE CMM'!#REF!))</f>
        <v/>
      </c>
      <c r="AY264" s="223">
        <f>IF('CONTROLE GLOBO AÇOS'!M266="","",'CONTROLE GLOBO AÇOS'!M266)</f>
        <v/>
      </c>
      <c r="AZ264" s="223">
        <f>IF('CONTROLE GLOBO AÇOS'!N266="","",'CONTROLE GLOBO AÇOS'!N266)</f>
        <v/>
      </c>
      <c r="BA264" s="223">
        <f>IF(AND('CONTROLE EJ'!M266="",'CONTROLE CMM'!#REF!=""),"",N('CONTROLE EJ'!M266)+N('CONTROLE CMM'!#REF!))</f>
        <v/>
      </c>
      <c r="BB264" s="223">
        <f>IF(#REF!="","",#REF!)</f>
        <v/>
      </c>
      <c r="BC264" s="223">
        <f>IF('CONTROLE GLOBO AÇOS'!O266="","",'CONTROLE GLOBO AÇOS'!O266)</f>
        <v/>
      </c>
      <c r="BD264" s="223">
        <f>IF(AND('CONTROLE EJ'!N266="",'CONTROLE CMM'!#REF!=""),"",N('CONTROLE EJ'!N266)+N('CONTROLE CMM'!#REF!))</f>
        <v/>
      </c>
      <c r="BE264" s="223">
        <f>IF('CONTROLE GLOBO AÇOS'!P266="","",'CONTROLE GLOBO AÇOS'!P266)</f>
        <v/>
      </c>
      <c r="BF264" s="223">
        <f>IF('CONTROLE GLOBO AÇOS'!Q266="","",'CONTROLE GLOBO AÇOS'!Q266)</f>
        <v/>
      </c>
      <c r="BG264" s="223">
        <f>IF('CONTROLE GLOBO AÇOS'!R266="","",'CONTROLE GLOBO AÇOS'!R266)</f>
        <v/>
      </c>
      <c r="BH264" s="223">
        <f>IF(AND('CONTROLE EJ'!O266="",'CONTROLE CMM'!#REF!=""),"",N('CONTROLE EJ'!O266)+N('CONTROLE CMM'!#REF!))</f>
        <v/>
      </c>
      <c r="BI264" s="223">
        <f>IF('CONTROLE GLOBO AÇOS'!S266="","",'CONTROLE GLOBO AÇOS'!S266)</f>
        <v/>
      </c>
      <c r="BJ264" s="223">
        <f>IF('CONTROLE GLOBO AÇOS'!T266="","",'CONTROLE GLOBO AÇOS'!T266)</f>
        <v/>
      </c>
      <c r="BK264" s="223">
        <f>IF('CONTROLE GLOBO AÇOS'!U266="","",'CONTROLE GLOBO AÇOS'!U266)</f>
        <v/>
      </c>
      <c r="BL264" s="223">
        <f>IF(AND('CONTROLE EJ'!P266="",'CONTROLE CMM'!#REF!=""),"",N('CONTROLE EJ'!P266)+N('CONTROLE CMM'!#REF!))</f>
        <v/>
      </c>
      <c r="BM264" s="223">
        <f>IF(AND('CONTROLE EJ'!Q266="",'CONTROLE CMM'!#REF!=""),"",N('CONTROLE EJ'!Q266)+N('CONTROLE CMM'!#REF!))</f>
        <v/>
      </c>
      <c r="BN264" s="223">
        <f>IF('CONTROLE GLOBO AÇOS'!V266="","",'CONTROLE GLOBO AÇOS'!V266)</f>
        <v/>
      </c>
      <c r="BO264" s="223">
        <f>IF('CONTROLE GLOBO AÇOS'!W266="","",'CONTROLE GLOBO AÇOS'!W266)</f>
        <v/>
      </c>
      <c r="BP264" s="223">
        <f>IF(AND('CONTROLE EJ'!R266="",'CONTROLE CMM'!#REF!=""),"",N('CONTROLE EJ'!R266)+N('CONTROLE CMM'!#REF!))</f>
        <v/>
      </c>
      <c r="BQ264" s="223">
        <f>IF(#REF!="","",#REF!)</f>
        <v/>
      </c>
      <c r="BR264" s="223">
        <f>IF(AND('CONTROLE EJ'!S266="",'CONTROLE CMM'!#REF!=""),"",N('CONTROLE EJ'!S266)+N('CONTROLE CMM'!#REF!))</f>
        <v/>
      </c>
      <c r="BS264" s="223">
        <f>IF(AND('CONTROLE EJ'!T266="",'CONTROLE CMM'!#REF!=""),"",N('CONTROLE EJ'!T266)+N('CONTROLE CMM'!#REF!))</f>
        <v/>
      </c>
      <c r="BT264" s="223">
        <f>IF('CONTROLE GLOBO AÇOS'!X266="","",'CONTROLE GLOBO AÇOS'!X266)</f>
        <v/>
      </c>
      <c r="BU264" s="223">
        <f>IF('CONTROLE GLOBO AÇOS'!Y266="","",'CONTROLE GLOBO AÇOS'!Y266)</f>
        <v/>
      </c>
      <c r="BV264" s="223">
        <f>IF(AND('CONTROLE EJ'!U266="",'CONTROLE CMM'!#REF!=""),"",N('CONTROLE EJ'!U266)+N('CONTROLE CMM'!#REF!))</f>
        <v/>
      </c>
      <c r="BW264" s="223">
        <f>IF(#REF!="","",#REF!)</f>
        <v/>
      </c>
    </row>
    <row r="265">
      <c r="A265" s="282" t="n">
        <v>46482</v>
      </c>
      <c r="B265" s="18">
        <f>IF('CONTROLE EJ'!B267="","",'CONTROLE EJ'!B267)</f>
        <v/>
      </c>
      <c r="C265" s="18">
        <f>IF('CONTROLE EJ'!C267="","",'CONTROLE EJ'!C267)</f>
        <v/>
      </c>
      <c r="D265" s="42">
        <f>IF('CONTROLE EJ'!D267="","",'CONTROLE EJ'!D267)</f>
        <v/>
      </c>
      <c r="E265" s="43">
        <f>IF('CONTROLE CMM'!B267="","",'CONTROLE CMM'!B267)</f>
        <v/>
      </c>
      <c r="F265" s="18">
        <f>IF('CONTROLE CMM'!C267="","",'CONTROLE CMM'!C267)</f>
        <v/>
      </c>
      <c r="G265" s="26">
        <f>IF('CONTROLE CMM'!D267="","",'CONTROLE CMM'!D267)</f>
        <v/>
      </c>
      <c r="H265" s="43">
        <f>IF('CONTROLE GLOBO AÇOS'!B267="","",'CONTROLE GLOBO AÇOS'!B267)</f>
        <v/>
      </c>
      <c r="I265" s="18">
        <f>IF('CONTROLE GLOBO AÇOS'!C267="","",'CONTROLE GLOBO AÇOS'!C267)</f>
        <v/>
      </c>
      <c r="J265" s="18">
        <f>IF('CONTROLE GLOBO AÇOS'!D267="","",'CONTROLE GLOBO AÇOS'!D267)</f>
        <v/>
      </c>
      <c r="AD265" s="39">
        <f>IF($A265="",0,IF(AND(WEEKDAY($A265,2)&lt;=5,OR($B265&lt;&gt;"",$C265&lt;&gt;"",$D265&lt;&gt;"")),1,0))</f>
        <v/>
      </c>
      <c r="AE265" s="39">
        <f>IF($A265="",0,IF(AND(WEEKDAY($A265,2)&lt;=5,OR($E265&lt;&gt;"",$F265&lt;&gt;"",$G265&lt;&gt;"")),1,0))</f>
        <v/>
      </c>
      <c r="AF265" s="39">
        <f>MAX(AD265,AE265)</f>
        <v/>
      </c>
      <c r="AH265" s="223">
        <f>IF('CONTROLE GLOBO AÇOS'!E267="","",'CONTROLE GLOBO AÇOS'!E267)</f>
        <v/>
      </c>
      <c r="AI265" s="223">
        <f>IF('CONTROLE GLOBO AÇOS'!F267="","",'CONTROLE GLOBO AÇOS'!F267)</f>
        <v/>
      </c>
      <c r="AJ265" s="223">
        <f>IF(AND('CONTROLE EJ'!E267="",'CONTROLE CMM'!E267=""),"",N('CONTROLE EJ'!E267)+N('CONTROLE CMM'!E267))</f>
        <v/>
      </c>
      <c r="AK265" s="223">
        <f>IF(AND('CONTROLE EJ'!F267="",'CONTROLE CMM'!F267=""),"",N('CONTROLE EJ'!F267)+N('CONTROLE CMM'!F267))</f>
        <v/>
      </c>
      <c r="AL265" s="223">
        <f>IF(AND('CONTROLE EJ'!G267="",'CONTROLE CMM'!G267=""),"",N('CONTROLE EJ'!G267)+N('CONTROLE CMM'!G267))</f>
        <v/>
      </c>
      <c r="AM265" s="223">
        <f>IF(AND('CONTROLE EJ'!H267="",'CONTROLE CMM'!H267=""),"",N('CONTROLE EJ'!H267)+N('CONTROLE CMM'!H267))</f>
        <v/>
      </c>
      <c r="AN265" s="223">
        <f>IF('CONTROLE GLOBO AÇOS'!G267="","",'CONTROLE GLOBO AÇOS'!G267)</f>
        <v/>
      </c>
      <c r="AO265" s="223">
        <f>IF('CONTROLE GLOBO AÇOS'!H267="","",'CONTROLE GLOBO AÇOS'!H267)</f>
        <v/>
      </c>
      <c r="AP265" s="223">
        <f>IF(AND('CONTROLE EJ'!I267="",'CONTROLE CMM'!I267=""),"",N('CONTROLE EJ'!I267)+N('CONTROLE CMM'!I267))</f>
        <v/>
      </c>
      <c r="AQ265" s="223">
        <f>IF(AND('CONTROLE EJ'!J267="",'CONTROLE CMM'!#REF!=""),"",N('CONTROLE EJ'!J267)+N('CONTROLE CMM'!#REF!))</f>
        <v/>
      </c>
      <c r="AR265" s="223">
        <f>IF('CONTROLE GLOBO AÇOS'!I267="","",'CONTROLE GLOBO AÇOS'!I267)</f>
        <v/>
      </c>
      <c r="AS265" s="223">
        <f>IF('CONTROLE GLOBO AÇOS'!J267="","",'CONTROLE GLOBO AÇOS'!J267)</f>
        <v/>
      </c>
      <c r="AT265" s="223">
        <f>IF(#REF!="","",#REF!)</f>
        <v/>
      </c>
      <c r="AU265" s="223">
        <f>IF('CONTROLE GLOBO AÇOS'!K267="","",'CONTROLE GLOBO AÇOS'!K267)</f>
        <v/>
      </c>
      <c r="AV265" s="223">
        <f>IF(AND('CONTROLE EJ'!K267="",'CONTROLE CMM'!#REF!=""),"",N('CONTROLE EJ'!K267)+N('CONTROLE CMM'!#REF!))</f>
        <v/>
      </c>
      <c r="AW265" s="223">
        <f>IF('CONTROLE GLOBO AÇOS'!L267="","",'CONTROLE GLOBO AÇOS'!L267)</f>
        <v/>
      </c>
      <c r="AX265" s="223">
        <f>IF(AND('CONTROLE EJ'!L267="",'CONTROLE CMM'!#REF!=""),"",N('CONTROLE EJ'!L267)+N('CONTROLE CMM'!#REF!))</f>
        <v/>
      </c>
      <c r="AY265" s="223">
        <f>IF('CONTROLE GLOBO AÇOS'!M267="","",'CONTROLE GLOBO AÇOS'!M267)</f>
        <v/>
      </c>
      <c r="AZ265" s="223">
        <f>IF('CONTROLE GLOBO AÇOS'!N267="","",'CONTROLE GLOBO AÇOS'!N267)</f>
        <v/>
      </c>
      <c r="BA265" s="223">
        <f>IF(AND('CONTROLE EJ'!M267="",'CONTROLE CMM'!#REF!=""),"",N('CONTROLE EJ'!M267)+N('CONTROLE CMM'!#REF!))</f>
        <v/>
      </c>
      <c r="BB265" s="223">
        <f>IF(#REF!="","",#REF!)</f>
        <v/>
      </c>
      <c r="BC265" s="223">
        <f>IF('CONTROLE GLOBO AÇOS'!O267="","",'CONTROLE GLOBO AÇOS'!O267)</f>
        <v/>
      </c>
      <c r="BD265" s="223">
        <f>IF(AND('CONTROLE EJ'!N267="",'CONTROLE CMM'!#REF!=""),"",N('CONTROLE EJ'!N267)+N('CONTROLE CMM'!#REF!))</f>
        <v/>
      </c>
      <c r="BE265" s="223">
        <f>IF('CONTROLE GLOBO AÇOS'!P267="","",'CONTROLE GLOBO AÇOS'!P267)</f>
        <v/>
      </c>
      <c r="BF265" s="223">
        <f>IF('CONTROLE GLOBO AÇOS'!Q267="","",'CONTROLE GLOBO AÇOS'!Q267)</f>
        <v/>
      </c>
      <c r="BG265" s="223">
        <f>IF('CONTROLE GLOBO AÇOS'!R267="","",'CONTROLE GLOBO AÇOS'!R267)</f>
        <v/>
      </c>
      <c r="BH265" s="223">
        <f>IF(AND('CONTROLE EJ'!O267="",'CONTROLE CMM'!#REF!=""),"",N('CONTROLE EJ'!O267)+N('CONTROLE CMM'!#REF!))</f>
        <v/>
      </c>
      <c r="BI265" s="223">
        <f>IF('CONTROLE GLOBO AÇOS'!S267="","",'CONTROLE GLOBO AÇOS'!S267)</f>
        <v/>
      </c>
      <c r="BJ265" s="223">
        <f>IF('CONTROLE GLOBO AÇOS'!T267="","",'CONTROLE GLOBO AÇOS'!T267)</f>
        <v/>
      </c>
      <c r="BK265" s="223">
        <f>IF('CONTROLE GLOBO AÇOS'!U267="","",'CONTROLE GLOBO AÇOS'!U267)</f>
        <v/>
      </c>
      <c r="BL265" s="223">
        <f>IF(AND('CONTROLE EJ'!P267="",'CONTROLE CMM'!#REF!=""),"",N('CONTROLE EJ'!P267)+N('CONTROLE CMM'!#REF!))</f>
        <v/>
      </c>
      <c r="BM265" s="223">
        <f>IF(AND('CONTROLE EJ'!Q267="",'CONTROLE CMM'!#REF!=""),"",N('CONTROLE EJ'!Q267)+N('CONTROLE CMM'!#REF!))</f>
        <v/>
      </c>
      <c r="BN265" s="223">
        <f>IF('CONTROLE GLOBO AÇOS'!V267="","",'CONTROLE GLOBO AÇOS'!V267)</f>
        <v/>
      </c>
      <c r="BO265" s="223">
        <f>IF('CONTROLE GLOBO AÇOS'!W267="","",'CONTROLE GLOBO AÇOS'!W267)</f>
        <v/>
      </c>
      <c r="BP265" s="223">
        <f>IF(AND('CONTROLE EJ'!R267="",'CONTROLE CMM'!#REF!=""),"",N('CONTROLE EJ'!R267)+N('CONTROLE CMM'!#REF!))</f>
        <v/>
      </c>
      <c r="BQ265" s="223">
        <f>IF(#REF!="","",#REF!)</f>
        <v/>
      </c>
      <c r="BR265" s="223">
        <f>IF(AND('CONTROLE EJ'!S267="",'CONTROLE CMM'!#REF!=""),"",N('CONTROLE EJ'!S267)+N('CONTROLE CMM'!#REF!))</f>
        <v/>
      </c>
      <c r="BS265" s="223">
        <f>IF(AND('CONTROLE EJ'!T267="",'CONTROLE CMM'!#REF!=""),"",N('CONTROLE EJ'!T267)+N('CONTROLE CMM'!#REF!))</f>
        <v/>
      </c>
      <c r="BT265" s="223">
        <f>IF('CONTROLE GLOBO AÇOS'!X267="","",'CONTROLE GLOBO AÇOS'!X267)</f>
        <v/>
      </c>
      <c r="BU265" s="223">
        <f>IF('CONTROLE GLOBO AÇOS'!Y267="","",'CONTROLE GLOBO AÇOS'!Y267)</f>
        <v/>
      </c>
      <c r="BV265" s="223">
        <f>IF(AND('CONTROLE EJ'!U267="",'CONTROLE CMM'!#REF!=""),"",N('CONTROLE EJ'!U267)+N('CONTROLE CMM'!#REF!))</f>
        <v/>
      </c>
      <c r="BW265" s="223">
        <f>IF(#REF!="","",#REF!)</f>
        <v/>
      </c>
    </row>
    <row r="266">
      <c r="A266" s="282" t="n">
        <v>46483</v>
      </c>
      <c r="B266" s="18">
        <f>IF('CONTROLE EJ'!B268="","",'CONTROLE EJ'!B268)</f>
        <v/>
      </c>
      <c r="C266" s="18">
        <f>IF('CONTROLE EJ'!C268="","",'CONTROLE EJ'!C268)</f>
        <v/>
      </c>
      <c r="D266" s="42">
        <f>IF('CONTROLE EJ'!D268="","",'CONTROLE EJ'!D268)</f>
        <v/>
      </c>
      <c r="E266" s="43">
        <f>IF('CONTROLE CMM'!B268="","",'CONTROLE CMM'!B268)</f>
        <v/>
      </c>
      <c r="F266" s="18">
        <f>IF('CONTROLE CMM'!C268="","",'CONTROLE CMM'!C268)</f>
        <v/>
      </c>
      <c r="G266" s="26">
        <f>IF('CONTROLE CMM'!D268="","",'CONTROLE CMM'!D268)</f>
        <v/>
      </c>
      <c r="H266" s="43">
        <f>IF('CONTROLE GLOBO AÇOS'!B268="","",'CONTROLE GLOBO AÇOS'!B268)</f>
        <v/>
      </c>
      <c r="I266" s="18">
        <f>IF('CONTROLE GLOBO AÇOS'!C268="","",'CONTROLE GLOBO AÇOS'!C268)</f>
        <v/>
      </c>
      <c r="J266" s="18">
        <f>IF('CONTROLE GLOBO AÇOS'!D268="","",'CONTROLE GLOBO AÇOS'!D268)</f>
        <v/>
      </c>
      <c r="AD266" s="39">
        <f>IF($A266="",0,IF(AND(WEEKDAY($A266,2)&lt;=5,OR($B266&lt;&gt;"",$C266&lt;&gt;"",$D266&lt;&gt;"")),1,0))</f>
        <v/>
      </c>
      <c r="AE266" s="39">
        <f>IF($A266="",0,IF(AND(WEEKDAY($A266,2)&lt;=5,OR($E266&lt;&gt;"",$F266&lt;&gt;"",$G266&lt;&gt;"")),1,0))</f>
        <v/>
      </c>
      <c r="AF266" s="39">
        <f>MAX(AD266,AE266)</f>
        <v/>
      </c>
      <c r="AH266" s="223">
        <f>IF('CONTROLE GLOBO AÇOS'!E268="","",'CONTROLE GLOBO AÇOS'!E268)</f>
        <v/>
      </c>
      <c r="AI266" s="223">
        <f>IF('CONTROLE GLOBO AÇOS'!F268="","",'CONTROLE GLOBO AÇOS'!F268)</f>
        <v/>
      </c>
      <c r="AJ266" s="223">
        <f>IF(AND('CONTROLE EJ'!E268="",'CONTROLE CMM'!E268=""),"",N('CONTROLE EJ'!E268)+N('CONTROLE CMM'!E268))</f>
        <v/>
      </c>
      <c r="AK266" s="223">
        <f>IF(AND('CONTROLE EJ'!F268="",'CONTROLE CMM'!F268=""),"",N('CONTROLE EJ'!F268)+N('CONTROLE CMM'!F268))</f>
        <v/>
      </c>
      <c r="AL266" s="223">
        <f>IF(AND('CONTROLE EJ'!G268="",'CONTROLE CMM'!G268=""),"",N('CONTROLE EJ'!G268)+N('CONTROLE CMM'!G268))</f>
        <v/>
      </c>
      <c r="AM266" s="223">
        <f>IF(AND('CONTROLE EJ'!H268="",'CONTROLE CMM'!H268=""),"",N('CONTROLE EJ'!H268)+N('CONTROLE CMM'!H268))</f>
        <v/>
      </c>
      <c r="AN266" s="223">
        <f>IF('CONTROLE GLOBO AÇOS'!G268="","",'CONTROLE GLOBO AÇOS'!G268)</f>
        <v/>
      </c>
      <c r="AO266" s="223">
        <f>IF('CONTROLE GLOBO AÇOS'!H268="","",'CONTROLE GLOBO AÇOS'!H268)</f>
        <v/>
      </c>
      <c r="AP266" s="223">
        <f>IF(AND('CONTROLE EJ'!I268="",'CONTROLE CMM'!I268=""),"",N('CONTROLE EJ'!I268)+N('CONTROLE CMM'!I268))</f>
        <v/>
      </c>
      <c r="AQ266" s="223">
        <f>IF(AND('CONTROLE EJ'!J268="",'CONTROLE CMM'!#REF!=""),"",N('CONTROLE EJ'!J268)+N('CONTROLE CMM'!#REF!))</f>
        <v/>
      </c>
      <c r="AR266" s="223">
        <f>IF('CONTROLE GLOBO AÇOS'!I268="","",'CONTROLE GLOBO AÇOS'!I268)</f>
        <v/>
      </c>
      <c r="AS266" s="223">
        <f>IF('CONTROLE GLOBO AÇOS'!J268="","",'CONTROLE GLOBO AÇOS'!J268)</f>
        <v/>
      </c>
      <c r="AT266" s="223">
        <f>IF(#REF!="","",#REF!)</f>
        <v/>
      </c>
      <c r="AU266" s="223">
        <f>IF('CONTROLE GLOBO AÇOS'!K268="","",'CONTROLE GLOBO AÇOS'!K268)</f>
        <v/>
      </c>
      <c r="AV266" s="223">
        <f>IF(AND('CONTROLE EJ'!K268="",'CONTROLE CMM'!#REF!=""),"",N('CONTROLE EJ'!K268)+N('CONTROLE CMM'!#REF!))</f>
        <v/>
      </c>
      <c r="AW266" s="223">
        <f>IF('CONTROLE GLOBO AÇOS'!L268="","",'CONTROLE GLOBO AÇOS'!L268)</f>
        <v/>
      </c>
      <c r="AX266" s="223">
        <f>IF(AND('CONTROLE EJ'!L268="",'CONTROLE CMM'!#REF!=""),"",N('CONTROLE EJ'!L268)+N('CONTROLE CMM'!#REF!))</f>
        <v/>
      </c>
      <c r="AY266" s="223">
        <f>IF('CONTROLE GLOBO AÇOS'!M268="","",'CONTROLE GLOBO AÇOS'!M268)</f>
        <v/>
      </c>
      <c r="AZ266" s="223">
        <f>IF('CONTROLE GLOBO AÇOS'!N268="","",'CONTROLE GLOBO AÇOS'!N268)</f>
        <v/>
      </c>
      <c r="BA266" s="223">
        <f>IF(AND('CONTROLE EJ'!M268="",'CONTROLE CMM'!#REF!=""),"",N('CONTROLE EJ'!M268)+N('CONTROLE CMM'!#REF!))</f>
        <v/>
      </c>
      <c r="BB266" s="223">
        <f>IF(#REF!="","",#REF!)</f>
        <v/>
      </c>
      <c r="BC266" s="223">
        <f>IF('CONTROLE GLOBO AÇOS'!O268="","",'CONTROLE GLOBO AÇOS'!O268)</f>
        <v/>
      </c>
      <c r="BD266" s="223">
        <f>IF(AND('CONTROLE EJ'!N268="",'CONTROLE CMM'!#REF!=""),"",N('CONTROLE EJ'!N268)+N('CONTROLE CMM'!#REF!))</f>
        <v/>
      </c>
      <c r="BE266" s="223">
        <f>IF('CONTROLE GLOBO AÇOS'!P268="","",'CONTROLE GLOBO AÇOS'!P268)</f>
        <v/>
      </c>
      <c r="BF266" s="223">
        <f>IF('CONTROLE GLOBO AÇOS'!Q268="","",'CONTROLE GLOBO AÇOS'!Q268)</f>
        <v/>
      </c>
      <c r="BG266" s="223">
        <f>IF('CONTROLE GLOBO AÇOS'!R268="","",'CONTROLE GLOBO AÇOS'!R268)</f>
        <v/>
      </c>
      <c r="BH266" s="223">
        <f>IF(AND('CONTROLE EJ'!O268="",'CONTROLE CMM'!#REF!=""),"",N('CONTROLE EJ'!O268)+N('CONTROLE CMM'!#REF!))</f>
        <v/>
      </c>
      <c r="BI266" s="223">
        <f>IF('CONTROLE GLOBO AÇOS'!S268="","",'CONTROLE GLOBO AÇOS'!S268)</f>
        <v/>
      </c>
      <c r="BJ266" s="223">
        <f>IF('CONTROLE GLOBO AÇOS'!T268="","",'CONTROLE GLOBO AÇOS'!T268)</f>
        <v/>
      </c>
      <c r="BK266" s="223">
        <f>IF('CONTROLE GLOBO AÇOS'!U268="","",'CONTROLE GLOBO AÇOS'!U268)</f>
        <v/>
      </c>
      <c r="BL266" s="223">
        <f>IF(AND('CONTROLE EJ'!P268="",'CONTROLE CMM'!#REF!=""),"",N('CONTROLE EJ'!P268)+N('CONTROLE CMM'!#REF!))</f>
        <v/>
      </c>
      <c r="BM266" s="223">
        <f>IF(AND('CONTROLE EJ'!Q268="",'CONTROLE CMM'!#REF!=""),"",N('CONTROLE EJ'!Q268)+N('CONTROLE CMM'!#REF!))</f>
        <v/>
      </c>
      <c r="BN266" s="223">
        <f>IF('CONTROLE GLOBO AÇOS'!V268="","",'CONTROLE GLOBO AÇOS'!V268)</f>
        <v/>
      </c>
      <c r="BO266" s="223">
        <f>IF('CONTROLE GLOBO AÇOS'!W268="","",'CONTROLE GLOBO AÇOS'!W268)</f>
        <v/>
      </c>
      <c r="BP266" s="223">
        <f>IF(AND('CONTROLE EJ'!R268="",'CONTROLE CMM'!#REF!=""),"",N('CONTROLE EJ'!R268)+N('CONTROLE CMM'!#REF!))</f>
        <v/>
      </c>
      <c r="BQ266" s="223">
        <f>IF(#REF!="","",#REF!)</f>
        <v/>
      </c>
      <c r="BR266" s="223">
        <f>IF(AND('CONTROLE EJ'!S268="",'CONTROLE CMM'!#REF!=""),"",N('CONTROLE EJ'!S268)+N('CONTROLE CMM'!#REF!))</f>
        <v/>
      </c>
      <c r="BS266" s="223">
        <f>IF(AND('CONTROLE EJ'!T268="",'CONTROLE CMM'!#REF!=""),"",N('CONTROLE EJ'!T268)+N('CONTROLE CMM'!#REF!))</f>
        <v/>
      </c>
      <c r="BT266" s="223">
        <f>IF('CONTROLE GLOBO AÇOS'!X268="","",'CONTROLE GLOBO AÇOS'!X268)</f>
        <v/>
      </c>
      <c r="BU266" s="223">
        <f>IF('CONTROLE GLOBO AÇOS'!Y268="","",'CONTROLE GLOBO AÇOS'!Y268)</f>
        <v/>
      </c>
      <c r="BV266" s="223">
        <f>IF(AND('CONTROLE EJ'!U268="",'CONTROLE CMM'!#REF!=""),"",N('CONTROLE EJ'!U268)+N('CONTROLE CMM'!#REF!))</f>
        <v/>
      </c>
      <c r="BW266" s="223">
        <f>IF(#REF!="","",#REF!)</f>
        <v/>
      </c>
    </row>
    <row r="267">
      <c r="A267" s="282" t="n">
        <v>46484</v>
      </c>
      <c r="B267" s="18">
        <f>IF('CONTROLE EJ'!B269="","",'CONTROLE EJ'!B269)</f>
        <v/>
      </c>
      <c r="C267" s="18">
        <f>IF('CONTROLE EJ'!C269="","",'CONTROLE EJ'!C269)</f>
        <v/>
      </c>
      <c r="D267" s="42">
        <f>IF('CONTROLE EJ'!D269="","",'CONTROLE EJ'!D269)</f>
        <v/>
      </c>
      <c r="E267" s="43">
        <f>IF('CONTROLE CMM'!B269="","",'CONTROLE CMM'!B269)</f>
        <v/>
      </c>
      <c r="F267" s="18">
        <f>IF('CONTROLE CMM'!C269="","",'CONTROLE CMM'!C269)</f>
        <v/>
      </c>
      <c r="G267" s="26">
        <f>IF('CONTROLE CMM'!D269="","",'CONTROLE CMM'!D269)</f>
        <v/>
      </c>
      <c r="H267" s="43">
        <f>IF('CONTROLE GLOBO AÇOS'!B269="","",'CONTROLE GLOBO AÇOS'!B269)</f>
        <v/>
      </c>
      <c r="I267" s="18">
        <f>IF('CONTROLE GLOBO AÇOS'!C269="","",'CONTROLE GLOBO AÇOS'!C269)</f>
        <v/>
      </c>
      <c r="J267" s="18">
        <f>IF('CONTROLE GLOBO AÇOS'!D269="","",'CONTROLE GLOBO AÇOS'!D269)</f>
        <v/>
      </c>
      <c r="AD267" s="39">
        <f>IF($A267="",0,IF(AND(WEEKDAY($A267,2)&lt;=5,OR($B267&lt;&gt;"",$C267&lt;&gt;"",$D267&lt;&gt;"")),1,0))</f>
        <v/>
      </c>
      <c r="AE267" s="39">
        <f>IF($A267="",0,IF(AND(WEEKDAY($A267,2)&lt;=5,OR($E267&lt;&gt;"",$F267&lt;&gt;"",$G267&lt;&gt;"")),1,0))</f>
        <v/>
      </c>
      <c r="AF267" s="39">
        <f>MAX(AD267,AE267)</f>
        <v/>
      </c>
      <c r="AH267" s="223">
        <f>IF('CONTROLE GLOBO AÇOS'!E269="","",'CONTROLE GLOBO AÇOS'!E269)</f>
        <v/>
      </c>
      <c r="AI267" s="223">
        <f>IF('CONTROLE GLOBO AÇOS'!F269="","",'CONTROLE GLOBO AÇOS'!F269)</f>
        <v/>
      </c>
      <c r="AJ267" s="223">
        <f>IF(AND('CONTROLE EJ'!E269="",'CONTROLE CMM'!E269=""),"",N('CONTROLE EJ'!E269)+N('CONTROLE CMM'!E269))</f>
        <v/>
      </c>
      <c r="AK267" s="223">
        <f>IF(AND('CONTROLE EJ'!F269="",'CONTROLE CMM'!F269=""),"",N('CONTROLE EJ'!F269)+N('CONTROLE CMM'!F269))</f>
        <v/>
      </c>
      <c r="AL267" s="223">
        <f>IF(AND('CONTROLE EJ'!G269="",'CONTROLE CMM'!G269=""),"",N('CONTROLE EJ'!G269)+N('CONTROLE CMM'!G269))</f>
        <v/>
      </c>
      <c r="AM267" s="223">
        <f>IF(AND('CONTROLE EJ'!H269="",'CONTROLE CMM'!H269=""),"",N('CONTROLE EJ'!H269)+N('CONTROLE CMM'!H269))</f>
        <v/>
      </c>
      <c r="AN267" s="223">
        <f>IF('CONTROLE GLOBO AÇOS'!G269="","",'CONTROLE GLOBO AÇOS'!G269)</f>
        <v/>
      </c>
      <c r="AO267" s="223">
        <f>IF('CONTROLE GLOBO AÇOS'!H269="","",'CONTROLE GLOBO AÇOS'!H269)</f>
        <v/>
      </c>
      <c r="AP267" s="223">
        <f>IF(AND('CONTROLE EJ'!I269="",'CONTROLE CMM'!I269=""),"",N('CONTROLE EJ'!I269)+N('CONTROLE CMM'!I269))</f>
        <v/>
      </c>
      <c r="AQ267" s="223">
        <f>IF(AND('CONTROLE EJ'!J269="",'CONTROLE CMM'!#REF!=""),"",N('CONTROLE EJ'!J269)+N('CONTROLE CMM'!#REF!))</f>
        <v/>
      </c>
      <c r="AR267" s="223">
        <f>IF('CONTROLE GLOBO AÇOS'!I269="","",'CONTROLE GLOBO AÇOS'!I269)</f>
        <v/>
      </c>
      <c r="AS267" s="223">
        <f>IF('CONTROLE GLOBO AÇOS'!J269="","",'CONTROLE GLOBO AÇOS'!J269)</f>
        <v/>
      </c>
      <c r="AT267" s="223">
        <f>IF(#REF!="","",#REF!)</f>
        <v/>
      </c>
      <c r="AU267" s="223">
        <f>IF('CONTROLE GLOBO AÇOS'!K269="","",'CONTROLE GLOBO AÇOS'!K269)</f>
        <v/>
      </c>
      <c r="AV267" s="223">
        <f>IF(AND('CONTROLE EJ'!K269="",'CONTROLE CMM'!#REF!=""),"",N('CONTROLE EJ'!K269)+N('CONTROLE CMM'!#REF!))</f>
        <v/>
      </c>
      <c r="AW267" s="223">
        <f>IF('CONTROLE GLOBO AÇOS'!L269="","",'CONTROLE GLOBO AÇOS'!L269)</f>
        <v/>
      </c>
      <c r="AX267" s="223">
        <f>IF(AND('CONTROLE EJ'!L269="",'CONTROLE CMM'!#REF!=""),"",N('CONTROLE EJ'!L269)+N('CONTROLE CMM'!#REF!))</f>
        <v/>
      </c>
      <c r="AY267" s="223">
        <f>IF('CONTROLE GLOBO AÇOS'!M269="","",'CONTROLE GLOBO AÇOS'!M269)</f>
        <v/>
      </c>
      <c r="AZ267" s="223">
        <f>IF('CONTROLE GLOBO AÇOS'!N269="","",'CONTROLE GLOBO AÇOS'!N269)</f>
        <v/>
      </c>
      <c r="BA267" s="223">
        <f>IF(AND('CONTROLE EJ'!M269="",'CONTROLE CMM'!#REF!=""),"",N('CONTROLE EJ'!M269)+N('CONTROLE CMM'!#REF!))</f>
        <v/>
      </c>
      <c r="BB267" s="223">
        <f>IF(#REF!="","",#REF!)</f>
        <v/>
      </c>
      <c r="BC267" s="223">
        <f>IF('CONTROLE GLOBO AÇOS'!O269="","",'CONTROLE GLOBO AÇOS'!O269)</f>
        <v/>
      </c>
      <c r="BD267" s="223">
        <f>IF(AND('CONTROLE EJ'!N269="",'CONTROLE CMM'!#REF!=""),"",N('CONTROLE EJ'!N269)+N('CONTROLE CMM'!#REF!))</f>
        <v/>
      </c>
      <c r="BE267" s="223">
        <f>IF('CONTROLE GLOBO AÇOS'!P269="","",'CONTROLE GLOBO AÇOS'!P269)</f>
        <v/>
      </c>
      <c r="BF267" s="223">
        <f>IF('CONTROLE GLOBO AÇOS'!Q269="","",'CONTROLE GLOBO AÇOS'!Q269)</f>
        <v/>
      </c>
      <c r="BG267" s="223">
        <f>IF('CONTROLE GLOBO AÇOS'!R269="","",'CONTROLE GLOBO AÇOS'!R269)</f>
        <v/>
      </c>
      <c r="BH267" s="223">
        <f>IF(AND('CONTROLE EJ'!O269="",'CONTROLE CMM'!#REF!=""),"",N('CONTROLE EJ'!O269)+N('CONTROLE CMM'!#REF!))</f>
        <v/>
      </c>
      <c r="BI267" s="223">
        <f>IF('CONTROLE GLOBO AÇOS'!S269="","",'CONTROLE GLOBO AÇOS'!S269)</f>
        <v/>
      </c>
      <c r="BJ267" s="223">
        <f>IF('CONTROLE GLOBO AÇOS'!T269="","",'CONTROLE GLOBO AÇOS'!T269)</f>
        <v/>
      </c>
      <c r="BK267" s="223">
        <f>IF('CONTROLE GLOBO AÇOS'!U269="","",'CONTROLE GLOBO AÇOS'!U269)</f>
        <v/>
      </c>
      <c r="BL267" s="223">
        <f>IF(AND('CONTROLE EJ'!P269="",'CONTROLE CMM'!#REF!=""),"",N('CONTROLE EJ'!P269)+N('CONTROLE CMM'!#REF!))</f>
        <v/>
      </c>
      <c r="BM267" s="223">
        <f>IF(AND('CONTROLE EJ'!Q269="",'CONTROLE CMM'!#REF!=""),"",N('CONTROLE EJ'!Q269)+N('CONTROLE CMM'!#REF!))</f>
        <v/>
      </c>
      <c r="BN267" s="223">
        <f>IF('CONTROLE GLOBO AÇOS'!V269="","",'CONTROLE GLOBO AÇOS'!V269)</f>
        <v/>
      </c>
      <c r="BO267" s="223">
        <f>IF('CONTROLE GLOBO AÇOS'!W269="","",'CONTROLE GLOBO AÇOS'!W269)</f>
        <v/>
      </c>
      <c r="BP267" s="223">
        <f>IF(AND('CONTROLE EJ'!R269="",'CONTROLE CMM'!#REF!=""),"",N('CONTROLE EJ'!R269)+N('CONTROLE CMM'!#REF!))</f>
        <v/>
      </c>
      <c r="BQ267" s="223">
        <f>IF(#REF!="","",#REF!)</f>
        <v/>
      </c>
      <c r="BR267" s="223">
        <f>IF(AND('CONTROLE EJ'!S269="",'CONTROLE CMM'!#REF!=""),"",N('CONTROLE EJ'!S269)+N('CONTROLE CMM'!#REF!))</f>
        <v/>
      </c>
      <c r="BS267" s="223">
        <f>IF(AND('CONTROLE EJ'!T269="",'CONTROLE CMM'!#REF!=""),"",N('CONTROLE EJ'!T269)+N('CONTROLE CMM'!#REF!))</f>
        <v/>
      </c>
      <c r="BT267" s="223">
        <f>IF('CONTROLE GLOBO AÇOS'!X269="","",'CONTROLE GLOBO AÇOS'!X269)</f>
        <v/>
      </c>
      <c r="BU267" s="223">
        <f>IF('CONTROLE GLOBO AÇOS'!Y269="","",'CONTROLE GLOBO AÇOS'!Y269)</f>
        <v/>
      </c>
      <c r="BV267" s="223">
        <f>IF(AND('CONTROLE EJ'!U269="",'CONTROLE CMM'!#REF!=""),"",N('CONTROLE EJ'!U269)+N('CONTROLE CMM'!#REF!))</f>
        <v/>
      </c>
      <c r="BW267" s="223">
        <f>IF(#REF!="","",#REF!)</f>
        <v/>
      </c>
    </row>
    <row r="268">
      <c r="A268" s="282" t="n">
        <v>46485</v>
      </c>
      <c r="B268" s="18">
        <f>IF('CONTROLE EJ'!B270="","",'CONTROLE EJ'!B270)</f>
        <v/>
      </c>
      <c r="C268" s="18">
        <f>IF('CONTROLE EJ'!C270="","",'CONTROLE EJ'!C270)</f>
        <v/>
      </c>
      <c r="D268" s="42">
        <f>IF('CONTROLE EJ'!D270="","",'CONTROLE EJ'!D270)</f>
        <v/>
      </c>
      <c r="E268" s="43">
        <f>IF('CONTROLE CMM'!B270="","",'CONTROLE CMM'!B270)</f>
        <v/>
      </c>
      <c r="F268" s="18">
        <f>IF('CONTROLE CMM'!C270="","",'CONTROLE CMM'!C270)</f>
        <v/>
      </c>
      <c r="G268" s="26">
        <f>IF('CONTROLE CMM'!D270="","",'CONTROLE CMM'!D270)</f>
        <v/>
      </c>
      <c r="H268" s="43">
        <f>IF('CONTROLE GLOBO AÇOS'!B270="","",'CONTROLE GLOBO AÇOS'!B270)</f>
        <v/>
      </c>
      <c r="I268" s="18">
        <f>IF('CONTROLE GLOBO AÇOS'!C270="","",'CONTROLE GLOBO AÇOS'!C270)</f>
        <v/>
      </c>
      <c r="J268" s="18">
        <f>IF('CONTROLE GLOBO AÇOS'!D270="","",'CONTROLE GLOBO AÇOS'!D270)</f>
        <v/>
      </c>
      <c r="AD268" s="39">
        <f>IF($A268="",0,IF(AND(WEEKDAY($A268,2)&lt;=5,OR($B268&lt;&gt;"",$C268&lt;&gt;"",$D268&lt;&gt;"")),1,0))</f>
        <v/>
      </c>
      <c r="AE268" s="39">
        <f>IF($A268="",0,IF(AND(WEEKDAY($A268,2)&lt;=5,OR($E268&lt;&gt;"",$F268&lt;&gt;"",$G268&lt;&gt;"")),1,0))</f>
        <v/>
      </c>
      <c r="AF268" s="39">
        <f>MAX(AD268,AE268)</f>
        <v/>
      </c>
      <c r="AH268" s="223">
        <f>IF('CONTROLE GLOBO AÇOS'!E270="","",'CONTROLE GLOBO AÇOS'!E270)</f>
        <v/>
      </c>
      <c r="AI268" s="223">
        <f>IF('CONTROLE GLOBO AÇOS'!F270="","",'CONTROLE GLOBO AÇOS'!F270)</f>
        <v/>
      </c>
      <c r="AJ268" s="223">
        <f>IF(AND('CONTROLE EJ'!E270="",'CONTROLE CMM'!E270=""),"",N('CONTROLE EJ'!E270)+N('CONTROLE CMM'!E270))</f>
        <v/>
      </c>
      <c r="AK268" s="223">
        <f>IF(AND('CONTROLE EJ'!F270="",'CONTROLE CMM'!F270=""),"",N('CONTROLE EJ'!F270)+N('CONTROLE CMM'!F270))</f>
        <v/>
      </c>
      <c r="AL268" s="223">
        <f>IF(AND('CONTROLE EJ'!G270="",'CONTROLE CMM'!G270=""),"",N('CONTROLE EJ'!G270)+N('CONTROLE CMM'!G270))</f>
        <v/>
      </c>
      <c r="AM268" s="223">
        <f>IF(AND('CONTROLE EJ'!H270="",'CONTROLE CMM'!H270=""),"",N('CONTROLE EJ'!H270)+N('CONTROLE CMM'!H270))</f>
        <v/>
      </c>
      <c r="AN268" s="223">
        <f>IF('CONTROLE GLOBO AÇOS'!G270="","",'CONTROLE GLOBO AÇOS'!G270)</f>
        <v/>
      </c>
      <c r="AO268" s="223">
        <f>IF('CONTROLE GLOBO AÇOS'!H270="","",'CONTROLE GLOBO AÇOS'!H270)</f>
        <v/>
      </c>
      <c r="AP268" s="223">
        <f>IF(AND('CONTROLE EJ'!I270="",'CONTROLE CMM'!I270=""),"",N('CONTROLE EJ'!I270)+N('CONTROLE CMM'!I270))</f>
        <v/>
      </c>
      <c r="AQ268" s="223">
        <f>IF(AND('CONTROLE EJ'!J270="",'CONTROLE CMM'!#REF!=""),"",N('CONTROLE EJ'!J270)+N('CONTROLE CMM'!#REF!))</f>
        <v/>
      </c>
      <c r="AR268" s="223">
        <f>IF('CONTROLE GLOBO AÇOS'!I270="","",'CONTROLE GLOBO AÇOS'!I270)</f>
        <v/>
      </c>
      <c r="AS268" s="223">
        <f>IF('CONTROLE GLOBO AÇOS'!J270="","",'CONTROLE GLOBO AÇOS'!J270)</f>
        <v/>
      </c>
      <c r="AT268" s="223">
        <f>IF(#REF!="","",#REF!)</f>
        <v/>
      </c>
      <c r="AU268" s="223">
        <f>IF('CONTROLE GLOBO AÇOS'!K270="","",'CONTROLE GLOBO AÇOS'!K270)</f>
        <v/>
      </c>
      <c r="AV268" s="223">
        <f>IF(AND('CONTROLE EJ'!K270="",'CONTROLE CMM'!#REF!=""),"",N('CONTROLE EJ'!K270)+N('CONTROLE CMM'!#REF!))</f>
        <v/>
      </c>
      <c r="AW268" s="223">
        <f>IF('CONTROLE GLOBO AÇOS'!L270="","",'CONTROLE GLOBO AÇOS'!L270)</f>
        <v/>
      </c>
      <c r="AX268" s="223">
        <f>IF(AND('CONTROLE EJ'!L270="",'CONTROLE CMM'!#REF!=""),"",N('CONTROLE EJ'!L270)+N('CONTROLE CMM'!#REF!))</f>
        <v/>
      </c>
      <c r="AY268" s="223">
        <f>IF('CONTROLE GLOBO AÇOS'!M270="","",'CONTROLE GLOBO AÇOS'!M270)</f>
        <v/>
      </c>
      <c r="AZ268" s="223">
        <f>IF('CONTROLE GLOBO AÇOS'!N270="","",'CONTROLE GLOBO AÇOS'!N270)</f>
        <v/>
      </c>
      <c r="BA268" s="223">
        <f>IF(AND('CONTROLE EJ'!M270="",'CONTROLE CMM'!#REF!=""),"",N('CONTROLE EJ'!M270)+N('CONTROLE CMM'!#REF!))</f>
        <v/>
      </c>
      <c r="BB268" s="223">
        <f>IF(#REF!="","",#REF!)</f>
        <v/>
      </c>
      <c r="BC268" s="223">
        <f>IF('CONTROLE GLOBO AÇOS'!O270="","",'CONTROLE GLOBO AÇOS'!O270)</f>
        <v/>
      </c>
      <c r="BD268" s="223">
        <f>IF(AND('CONTROLE EJ'!N270="",'CONTROLE CMM'!#REF!=""),"",N('CONTROLE EJ'!N270)+N('CONTROLE CMM'!#REF!))</f>
        <v/>
      </c>
      <c r="BE268" s="223">
        <f>IF('CONTROLE GLOBO AÇOS'!P270="","",'CONTROLE GLOBO AÇOS'!P270)</f>
        <v/>
      </c>
      <c r="BF268" s="223">
        <f>IF('CONTROLE GLOBO AÇOS'!Q270="","",'CONTROLE GLOBO AÇOS'!Q270)</f>
        <v/>
      </c>
      <c r="BG268" s="223">
        <f>IF('CONTROLE GLOBO AÇOS'!R270="","",'CONTROLE GLOBO AÇOS'!R270)</f>
        <v/>
      </c>
      <c r="BH268" s="223">
        <f>IF(AND('CONTROLE EJ'!O270="",'CONTROLE CMM'!#REF!=""),"",N('CONTROLE EJ'!O270)+N('CONTROLE CMM'!#REF!))</f>
        <v/>
      </c>
      <c r="BI268" s="223">
        <f>IF('CONTROLE GLOBO AÇOS'!S270="","",'CONTROLE GLOBO AÇOS'!S270)</f>
        <v/>
      </c>
      <c r="BJ268" s="223">
        <f>IF('CONTROLE GLOBO AÇOS'!T270="","",'CONTROLE GLOBO AÇOS'!T270)</f>
        <v/>
      </c>
      <c r="BK268" s="223">
        <f>IF('CONTROLE GLOBO AÇOS'!U270="","",'CONTROLE GLOBO AÇOS'!U270)</f>
        <v/>
      </c>
      <c r="BL268" s="223">
        <f>IF(AND('CONTROLE EJ'!P270="",'CONTROLE CMM'!#REF!=""),"",N('CONTROLE EJ'!P270)+N('CONTROLE CMM'!#REF!))</f>
        <v/>
      </c>
      <c r="BM268" s="223">
        <f>IF(AND('CONTROLE EJ'!Q270="",'CONTROLE CMM'!#REF!=""),"",N('CONTROLE EJ'!Q270)+N('CONTROLE CMM'!#REF!))</f>
        <v/>
      </c>
      <c r="BN268" s="223">
        <f>IF('CONTROLE GLOBO AÇOS'!V270="","",'CONTROLE GLOBO AÇOS'!V270)</f>
        <v/>
      </c>
      <c r="BO268" s="223">
        <f>IF('CONTROLE GLOBO AÇOS'!W270="","",'CONTROLE GLOBO AÇOS'!W270)</f>
        <v/>
      </c>
      <c r="BP268" s="223">
        <f>IF(AND('CONTROLE EJ'!R270="",'CONTROLE CMM'!#REF!=""),"",N('CONTROLE EJ'!R270)+N('CONTROLE CMM'!#REF!))</f>
        <v/>
      </c>
      <c r="BQ268" s="223">
        <f>IF(#REF!="","",#REF!)</f>
        <v/>
      </c>
      <c r="BR268" s="223">
        <f>IF(AND('CONTROLE EJ'!S270="",'CONTROLE CMM'!#REF!=""),"",N('CONTROLE EJ'!S270)+N('CONTROLE CMM'!#REF!))</f>
        <v/>
      </c>
      <c r="BS268" s="223">
        <f>IF(AND('CONTROLE EJ'!T270="",'CONTROLE CMM'!#REF!=""),"",N('CONTROLE EJ'!T270)+N('CONTROLE CMM'!#REF!))</f>
        <v/>
      </c>
      <c r="BT268" s="223">
        <f>IF('CONTROLE GLOBO AÇOS'!X270="","",'CONTROLE GLOBO AÇOS'!X270)</f>
        <v/>
      </c>
      <c r="BU268" s="223">
        <f>IF('CONTROLE GLOBO AÇOS'!Y270="","",'CONTROLE GLOBO AÇOS'!Y270)</f>
        <v/>
      </c>
      <c r="BV268" s="223">
        <f>IF(AND('CONTROLE EJ'!U270="",'CONTROLE CMM'!#REF!=""),"",N('CONTROLE EJ'!U270)+N('CONTROLE CMM'!#REF!))</f>
        <v/>
      </c>
      <c r="BW268" s="223">
        <f>IF(#REF!="","",#REF!)</f>
        <v/>
      </c>
    </row>
    <row r="269">
      <c r="A269" s="282" t="n">
        <v>46486</v>
      </c>
      <c r="B269" s="18">
        <f>IF('CONTROLE EJ'!B271="","",'CONTROLE EJ'!B271)</f>
        <v/>
      </c>
      <c r="C269" s="18">
        <f>IF('CONTROLE EJ'!C271="","",'CONTROLE EJ'!C271)</f>
        <v/>
      </c>
      <c r="D269" s="42">
        <f>IF('CONTROLE EJ'!D271="","",'CONTROLE EJ'!D271)</f>
        <v/>
      </c>
      <c r="E269" s="43">
        <f>IF('CONTROLE CMM'!B271="","",'CONTROLE CMM'!B271)</f>
        <v/>
      </c>
      <c r="F269" s="18">
        <f>IF('CONTROLE CMM'!C271="","",'CONTROLE CMM'!C271)</f>
        <v/>
      </c>
      <c r="G269" s="26">
        <f>IF('CONTROLE CMM'!D271="","",'CONTROLE CMM'!D271)</f>
        <v/>
      </c>
      <c r="H269" s="43">
        <f>IF('CONTROLE GLOBO AÇOS'!B271="","",'CONTROLE GLOBO AÇOS'!B271)</f>
        <v/>
      </c>
      <c r="I269" s="18">
        <f>IF('CONTROLE GLOBO AÇOS'!C271="","",'CONTROLE GLOBO AÇOS'!C271)</f>
        <v/>
      </c>
      <c r="J269" s="18">
        <f>IF('CONTROLE GLOBO AÇOS'!D271="","",'CONTROLE GLOBO AÇOS'!D271)</f>
        <v/>
      </c>
      <c r="AD269" s="39">
        <f>IF($A269="",0,IF(AND(WEEKDAY($A269,2)&lt;=5,OR($B269&lt;&gt;"",$C269&lt;&gt;"",$D269&lt;&gt;"")),1,0))</f>
        <v/>
      </c>
      <c r="AE269" s="39">
        <f>IF($A269="",0,IF(AND(WEEKDAY($A269,2)&lt;=5,OR($E269&lt;&gt;"",$F269&lt;&gt;"",$G269&lt;&gt;"")),1,0))</f>
        <v/>
      </c>
      <c r="AF269" s="39">
        <f>MAX(AD269,AE269)</f>
        <v/>
      </c>
      <c r="AH269" s="223">
        <f>IF('CONTROLE GLOBO AÇOS'!E271="","",'CONTROLE GLOBO AÇOS'!E271)</f>
        <v/>
      </c>
      <c r="AI269" s="223">
        <f>IF('CONTROLE GLOBO AÇOS'!F271="","",'CONTROLE GLOBO AÇOS'!F271)</f>
        <v/>
      </c>
      <c r="AJ269" s="223">
        <f>IF(AND('CONTROLE EJ'!E271="",'CONTROLE CMM'!E271=""),"",N('CONTROLE EJ'!E271)+N('CONTROLE CMM'!E271))</f>
        <v/>
      </c>
      <c r="AK269" s="223">
        <f>IF(AND('CONTROLE EJ'!F271="",'CONTROLE CMM'!F271=""),"",N('CONTROLE EJ'!F271)+N('CONTROLE CMM'!F271))</f>
        <v/>
      </c>
      <c r="AL269" s="223">
        <f>IF(AND('CONTROLE EJ'!G271="",'CONTROLE CMM'!G271=""),"",N('CONTROLE EJ'!G271)+N('CONTROLE CMM'!G271))</f>
        <v/>
      </c>
      <c r="AM269" s="223">
        <f>IF(AND('CONTROLE EJ'!H271="",'CONTROLE CMM'!H271=""),"",N('CONTROLE EJ'!H271)+N('CONTROLE CMM'!H271))</f>
        <v/>
      </c>
      <c r="AN269" s="223">
        <f>IF('CONTROLE GLOBO AÇOS'!G271="","",'CONTROLE GLOBO AÇOS'!G271)</f>
        <v/>
      </c>
      <c r="AO269" s="223">
        <f>IF('CONTROLE GLOBO AÇOS'!H271="","",'CONTROLE GLOBO AÇOS'!H271)</f>
        <v/>
      </c>
      <c r="AP269" s="223">
        <f>IF(AND('CONTROLE EJ'!I271="",'CONTROLE CMM'!I271=""),"",N('CONTROLE EJ'!I271)+N('CONTROLE CMM'!I271))</f>
        <v/>
      </c>
      <c r="AQ269" s="223">
        <f>IF(AND('CONTROLE EJ'!J271="",'CONTROLE CMM'!#REF!=""),"",N('CONTROLE EJ'!J271)+N('CONTROLE CMM'!#REF!))</f>
        <v/>
      </c>
      <c r="AR269" s="223">
        <f>IF('CONTROLE GLOBO AÇOS'!I271="","",'CONTROLE GLOBO AÇOS'!I271)</f>
        <v/>
      </c>
      <c r="AS269" s="223">
        <f>IF('CONTROLE GLOBO AÇOS'!J271="","",'CONTROLE GLOBO AÇOS'!J271)</f>
        <v/>
      </c>
      <c r="AT269" s="223">
        <f>IF(#REF!="","",#REF!)</f>
        <v/>
      </c>
      <c r="AU269" s="223">
        <f>IF('CONTROLE GLOBO AÇOS'!K271="","",'CONTROLE GLOBO AÇOS'!K271)</f>
        <v/>
      </c>
      <c r="AV269" s="223">
        <f>IF(AND('CONTROLE EJ'!K271="",'CONTROLE CMM'!#REF!=""),"",N('CONTROLE EJ'!K271)+N('CONTROLE CMM'!#REF!))</f>
        <v/>
      </c>
      <c r="AW269" s="223">
        <f>IF('CONTROLE GLOBO AÇOS'!L271="","",'CONTROLE GLOBO AÇOS'!L271)</f>
        <v/>
      </c>
      <c r="AX269" s="223">
        <f>IF(AND('CONTROLE EJ'!L271="",'CONTROLE CMM'!#REF!=""),"",N('CONTROLE EJ'!L271)+N('CONTROLE CMM'!#REF!))</f>
        <v/>
      </c>
      <c r="AY269" s="223">
        <f>IF('CONTROLE GLOBO AÇOS'!M271="","",'CONTROLE GLOBO AÇOS'!M271)</f>
        <v/>
      </c>
      <c r="AZ269" s="223">
        <f>IF('CONTROLE GLOBO AÇOS'!N271="","",'CONTROLE GLOBO AÇOS'!N271)</f>
        <v/>
      </c>
      <c r="BA269" s="223">
        <f>IF(AND('CONTROLE EJ'!M271="",'CONTROLE CMM'!#REF!=""),"",N('CONTROLE EJ'!M271)+N('CONTROLE CMM'!#REF!))</f>
        <v/>
      </c>
      <c r="BB269" s="223">
        <f>IF(#REF!="","",#REF!)</f>
        <v/>
      </c>
      <c r="BC269" s="223">
        <f>IF('CONTROLE GLOBO AÇOS'!O271="","",'CONTROLE GLOBO AÇOS'!O271)</f>
        <v/>
      </c>
      <c r="BD269" s="223">
        <f>IF(AND('CONTROLE EJ'!N271="",'CONTROLE CMM'!#REF!=""),"",N('CONTROLE EJ'!N271)+N('CONTROLE CMM'!#REF!))</f>
        <v/>
      </c>
      <c r="BE269" s="223">
        <f>IF('CONTROLE GLOBO AÇOS'!P271="","",'CONTROLE GLOBO AÇOS'!P271)</f>
        <v/>
      </c>
      <c r="BF269" s="223">
        <f>IF('CONTROLE GLOBO AÇOS'!Q271="","",'CONTROLE GLOBO AÇOS'!Q271)</f>
        <v/>
      </c>
      <c r="BG269" s="223">
        <f>IF('CONTROLE GLOBO AÇOS'!R271="","",'CONTROLE GLOBO AÇOS'!R271)</f>
        <v/>
      </c>
      <c r="BH269" s="223">
        <f>IF(AND('CONTROLE EJ'!O271="",'CONTROLE CMM'!#REF!=""),"",N('CONTROLE EJ'!O271)+N('CONTROLE CMM'!#REF!))</f>
        <v/>
      </c>
      <c r="BI269" s="223">
        <f>IF('CONTROLE GLOBO AÇOS'!S271="","",'CONTROLE GLOBO AÇOS'!S271)</f>
        <v/>
      </c>
      <c r="BJ269" s="223">
        <f>IF('CONTROLE GLOBO AÇOS'!T271="","",'CONTROLE GLOBO AÇOS'!T271)</f>
        <v/>
      </c>
      <c r="BK269" s="223">
        <f>IF('CONTROLE GLOBO AÇOS'!U271="","",'CONTROLE GLOBO AÇOS'!U271)</f>
        <v/>
      </c>
      <c r="BL269" s="223">
        <f>IF(AND('CONTROLE EJ'!P271="",'CONTROLE CMM'!#REF!=""),"",N('CONTROLE EJ'!P271)+N('CONTROLE CMM'!#REF!))</f>
        <v/>
      </c>
      <c r="BM269" s="223">
        <f>IF(AND('CONTROLE EJ'!Q271="",'CONTROLE CMM'!#REF!=""),"",N('CONTROLE EJ'!Q271)+N('CONTROLE CMM'!#REF!))</f>
        <v/>
      </c>
      <c r="BN269" s="223">
        <f>IF('CONTROLE GLOBO AÇOS'!V271="","",'CONTROLE GLOBO AÇOS'!V271)</f>
        <v/>
      </c>
      <c r="BO269" s="223">
        <f>IF('CONTROLE GLOBO AÇOS'!W271="","",'CONTROLE GLOBO AÇOS'!W271)</f>
        <v/>
      </c>
      <c r="BP269" s="223">
        <f>IF(AND('CONTROLE EJ'!R271="",'CONTROLE CMM'!#REF!=""),"",N('CONTROLE EJ'!R271)+N('CONTROLE CMM'!#REF!))</f>
        <v/>
      </c>
      <c r="BQ269" s="223">
        <f>IF(#REF!="","",#REF!)</f>
        <v/>
      </c>
      <c r="BR269" s="223">
        <f>IF(AND('CONTROLE EJ'!S271="",'CONTROLE CMM'!#REF!=""),"",N('CONTROLE EJ'!S271)+N('CONTROLE CMM'!#REF!))</f>
        <v/>
      </c>
      <c r="BS269" s="223">
        <f>IF(AND('CONTROLE EJ'!T271="",'CONTROLE CMM'!#REF!=""),"",N('CONTROLE EJ'!T271)+N('CONTROLE CMM'!#REF!))</f>
        <v/>
      </c>
      <c r="BT269" s="223">
        <f>IF('CONTROLE GLOBO AÇOS'!X271="","",'CONTROLE GLOBO AÇOS'!X271)</f>
        <v/>
      </c>
      <c r="BU269" s="223">
        <f>IF('CONTROLE GLOBO AÇOS'!Y271="","",'CONTROLE GLOBO AÇOS'!Y271)</f>
        <v/>
      </c>
      <c r="BV269" s="223">
        <f>IF(AND('CONTROLE EJ'!U271="",'CONTROLE CMM'!#REF!=""),"",N('CONTROLE EJ'!U271)+N('CONTROLE CMM'!#REF!))</f>
        <v/>
      </c>
      <c r="BW269" s="223">
        <f>IF(#REF!="","",#REF!)</f>
        <v/>
      </c>
    </row>
    <row r="270">
      <c r="A270" s="282" t="n">
        <v>46487</v>
      </c>
      <c r="B270" s="18">
        <f>IF('CONTROLE EJ'!B272="","",'CONTROLE EJ'!B272)</f>
        <v/>
      </c>
      <c r="C270" s="18">
        <f>IF('CONTROLE EJ'!C272="","",'CONTROLE EJ'!C272)</f>
        <v/>
      </c>
      <c r="D270" s="42">
        <f>IF('CONTROLE EJ'!D272="","",'CONTROLE EJ'!D272)</f>
        <v/>
      </c>
      <c r="E270" s="43">
        <f>IF('CONTROLE CMM'!B272="","",'CONTROLE CMM'!B272)</f>
        <v/>
      </c>
      <c r="F270" s="18">
        <f>IF('CONTROLE CMM'!C272="","",'CONTROLE CMM'!C272)</f>
        <v/>
      </c>
      <c r="G270" s="26">
        <f>IF('CONTROLE CMM'!D272="","",'CONTROLE CMM'!D272)</f>
        <v/>
      </c>
      <c r="H270" s="43">
        <f>IF('CONTROLE GLOBO AÇOS'!B272="","",'CONTROLE GLOBO AÇOS'!B272)</f>
        <v/>
      </c>
      <c r="I270" s="18">
        <f>IF('CONTROLE GLOBO AÇOS'!C272="","",'CONTROLE GLOBO AÇOS'!C272)</f>
        <v/>
      </c>
      <c r="J270" s="18">
        <f>IF('CONTROLE GLOBO AÇOS'!D272="","",'CONTROLE GLOBO AÇOS'!D272)</f>
        <v/>
      </c>
      <c r="AD270" s="39">
        <f>IF($A270="",0,IF(AND(WEEKDAY($A270,2)&lt;=5,OR($B270&lt;&gt;"",$C270&lt;&gt;"",$D270&lt;&gt;"")),1,0))</f>
        <v/>
      </c>
      <c r="AE270" s="39">
        <f>IF($A270="",0,IF(AND(WEEKDAY($A270,2)&lt;=5,OR($E270&lt;&gt;"",$F270&lt;&gt;"",$G270&lt;&gt;"")),1,0))</f>
        <v/>
      </c>
      <c r="AF270" s="39">
        <f>MAX(AD270,AE270)</f>
        <v/>
      </c>
      <c r="AH270" s="223">
        <f>IF('CONTROLE GLOBO AÇOS'!E272="","",'CONTROLE GLOBO AÇOS'!E272)</f>
        <v/>
      </c>
      <c r="AI270" s="223">
        <f>IF('CONTROLE GLOBO AÇOS'!F272="","",'CONTROLE GLOBO AÇOS'!F272)</f>
        <v/>
      </c>
      <c r="AJ270" s="223">
        <f>IF(AND('CONTROLE EJ'!E272="",'CONTROLE CMM'!E272=""),"",N('CONTROLE EJ'!E272)+N('CONTROLE CMM'!E272))</f>
        <v/>
      </c>
      <c r="AK270" s="223">
        <f>IF(AND('CONTROLE EJ'!F272="",'CONTROLE CMM'!F272=""),"",N('CONTROLE EJ'!F272)+N('CONTROLE CMM'!F272))</f>
        <v/>
      </c>
      <c r="AL270" s="223">
        <f>IF(AND('CONTROLE EJ'!G272="",'CONTROLE CMM'!G272=""),"",N('CONTROLE EJ'!G272)+N('CONTROLE CMM'!G272))</f>
        <v/>
      </c>
      <c r="AM270" s="223">
        <f>IF(AND('CONTROLE EJ'!H272="",'CONTROLE CMM'!H272=""),"",N('CONTROLE EJ'!H272)+N('CONTROLE CMM'!H272))</f>
        <v/>
      </c>
      <c r="AN270" s="223">
        <f>IF('CONTROLE GLOBO AÇOS'!G272="","",'CONTROLE GLOBO AÇOS'!G272)</f>
        <v/>
      </c>
      <c r="AO270" s="223">
        <f>IF('CONTROLE GLOBO AÇOS'!H272="","",'CONTROLE GLOBO AÇOS'!H272)</f>
        <v/>
      </c>
      <c r="AP270" s="223">
        <f>IF(AND('CONTROLE EJ'!I272="",'CONTROLE CMM'!I272=""),"",N('CONTROLE EJ'!I272)+N('CONTROLE CMM'!I272))</f>
        <v/>
      </c>
      <c r="AQ270" s="223">
        <f>IF(AND('CONTROLE EJ'!J272="",'CONTROLE CMM'!#REF!=""),"",N('CONTROLE EJ'!J272)+N('CONTROLE CMM'!#REF!))</f>
        <v/>
      </c>
      <c r="AR270" s="223">
        <f>IF('CONTROLE GLOBO AÇOS'!I272="","",'CONTROLE GLOBO AÇOS'!I272)</f>
        <v/>
      </c>
      <c r="AS270" s="223">
        <f>IF('CONTROLE GLOBO AÇOS'!J272="","",'CONTROLE GLOBO AÇOS'!J272)</f>
        <v/>
      </c>
      <c r="AT270" s="223">
        <f>IF(#REF!="","",#REF!)</f>
        <v/>
      </c>
      <c r="AU270" s="223">
        <f>IF('CONTROLE GLOBO AÇOS'!K272="","",'CONTROLE GLOBO AÇOS'!K272)</f>
        <v/>
      </c>
      <c r="AV270" s="223">
        <f>IF(AND('CONTROLE EJ'!K272="",'CONTROLE CMM'!#REF!=""),"",N('CONTROLE EJ'!K272)+N('CONTROLE CMM'!#REF!))</f>
        <v/>
      </c>
      <c r="AW270" s="223">
        <f>IF('CONTROLE GLOBO AÇOS'!L272="","",'CONTROLE GLOBO AÇOS'!L272)</f>
        <v/>
      </c>
      <c r="AX270" s="223">
        <f>IF(AND('CONTROLE EJ'!L272="",'CONTROLE CMM'!#REF!=""),"",N('CONTROLE EJ'!L272)+N('CONTROLE CMM'!#REF!))</f>
        <v/>
      </c>
      <c r="AY270" s="223">
        <f>IF('CONTROLE GLOBO AÇOS'!M272="","",'CONTROLE GLOBO AÇOS'!M272)</f>
        <v/>
      </c>
      <c r="AZ270" s="223">
        <f>IF('CONTROLE GLOBO AÇOS'!N272="","",'CONTROLE GLOBO AÇOS'!N272)</f>
        <v/>
      </c>
      <c r="BA270" s="223">
        <f>IF(AND('CONTROLE EJ'!M272="",'CONTROLE CMM'!#REF!=""),"",N('CONTROLE EJ'!M272)+N('CONTROLE CMM'!#REF!))</f>
        <v/>
      </c>
      <c r="BB270" s="223">
        <f>IF(#REF!="","",#REF!)</f>
        <v/>
      </c>
      <c r="BC270" s="223">
        <f>IF('CONTROLE GLOBO AÇOS'!O272="","",'CONTROLE GLOBO AÇOS'!O272)</f>
        <v/>
      </c>
      <c r="BD270" s="223">
        <f>IF(AND('CONTROLE EJ'!N272="",'CONTROLE CMM'!#REF!=""),"",N('CONTROLE EJ'!N272)+N('CONTROLE CMM'!#REF!))</f>
        <v/>
      </c>
      <c r="BE270" s="223">
        <f>IF('CONTROLE GLOBO AÇOS'!P272="","",'CONTROLE GLOBO AÇOS'!P272)</f>
        <v/>
      </c>
      <c r="BF270" s="223">
        <f>IF('CONTROLE GLOBO AÇOS'!Q272="","",'CONTROLE GLOBO AÇOS'!Q272)</f>
        <v/>
      </c>
      <c r="BG270" s="223">
        <f>IF('CONTROLE GLOBO AÇOS'!R272="","",'CONTROLE GLOBO AÇOS'!R272)</f>
        <v/>
      </c>
      <c r="BH270" s="223">
        <f>IF(AND('CONTROLE EJ'!O272="",'CONTROLE CMM'!#REF!=""),"",N('CONTROLE EJ'!O272)+N('CONTROLE CMM'!#REF!))</f>
        <v/>
      </c>
      <c r="BI270" s="223">
        <f>IF('CONTROLE GLOBO AÇOS'!S272="","",'CONTROLE GLOBO AÇOS'!S272)</f>
        <v/>
      </c>
      <c r="BJ270" s="223">
        <f>IF('CONTROLE GLOBO AÇOS'!T272="","",'CONTROLE GLOBO AÇOS'!T272)</f>
        <v/>
      </c>
      <c r="BK270" s="223">
        <f>IF('CONTROLE GLOBO AÇOS'!U272="","",'CONTROLE GLOBO AÇOS'!U272)</f>
        <v/>
      </c>
      <c r="BL270" s="223">
        <f>IF(AND('CONTROLE EJ'!P272="",'CONTROLE CMM'!#REF!=""),"",N('CONTROLE EJ'!P272)+N('CONTROLE CMM'!#REF!))</f>
        <v/>
      </c>
      <c r="BM270" s="223">
        <f>IF(AND('CONTROLE EJ'!Q272="",'CONTROLE CMM'!#REF!=""),"",N('CONTROLE EJ'!Q272)+N('CONTROLE CMM'!#REF!))</f>
        <v/>
      </c>
      <c r="BN270" s="223">
        <f>IF('CONTROLE GLOBO AÇOS'!V272="","",'CONTROLE GLOBO AÇOS'!V272)</f>
        <v/>
      </c>
      <c r="BO270" s="223">
        <f>IF('CONTROLE GLOBO AÇOS'!W272="","",'CONTROLE GLOBO AÇOS'!W272)</f>
        <v/>
      </c>
      <c r="BP270" s="223">
        <f>IF(AND('CONTROLE EJ'!R272="",'CONTROLE CMM'!#REF!=""),"",N('CONTROLE EJ'!R272)+N('CONTROLE CMM'!#REF!))</f>
        <v/>
      </c>
      <c r="BQ270" s="223">
        <f>IF(#REF!="","",#REF!)</f>
        <v/>
      </c>
      <c r="BR270" s="223">
        <f>IF(AND('CONTROLE EJ'!S272="",'CONTROLE CMM'!#REF!=""),"",N('CONTROLE EJ'!S272)+N('CONTROLE CMM'!#REF!))</f>
        <v/>
      </c>
      <c r="BS270" s="223">
        <f>IF(AND('CONTROLE EJ'!T272="",'CONTROLE CMM'!#REF!=""),"",N('CONTROLE EJ'!T272)+N('CONTROLE CMM'!#REF!))</f>
        <v/>
      </c>
      <c r="BT270" s="223">
        <f>IF('CONTROLE GLOBO AÇOS'!X272="","",'CONTROLE GLOBO AÇOS'!X272)</f>
        <v/>
      </c>
      <c r="BU270" s="223">
        <f>IF('CONTROLE GLOBO AÇOS'!Y272="","",'CONTROLE GLOBO AÇOS'!Y272)</f>
        <v/>
      </c>
      <c r="BV270" s="223">
        <f>IF(AND('CONTROLE EJ'!U272="",'CONTROLE CMM'!#REF!=""),"",N('CONTROLE EJ'!U272)+N('CONTROLE CMM'!#REF!))</f>
        <v/>
      </c>
      <c r="BW270" s="223">
        <f>IF(#REF!="","",#REF!)</f>
        <v/>
      </c>
    </row>
    <row r="271">
      <c r="A271" s="282" t="n">
        <v>46488</v>
      </c>
      <c r="B271" s="18">
        <f>IF('CONTROLE EJ'!B273="","",'CONTROLE EJ'!B273)</f>
        <v/>
      </c>
      <c r="C271" s="18">
        <f>IF('CONTROLE EJ'!C273="","",'CONTROLE EJ'!C273)</f>
        <v/>
      </c>
      <c r="D271" s="42">
        <f>IF('CONTROLE EJ'!D273="","",'CONTROLE EJ'!D273)</f>
        <v/>
      </c>
      <c r="E271" s="43">
        <f>IF('CONTROLE CMM'!B273="","",'CONTROLE CMM'!B273)</f>
        <v/>
      </c>
      <c r="F271" s="18">
        <f>IF('CONTROLE CMM'!C273="","",'CONTROLE CMM'!C273)</f>
        <v/>
      </c>
      <c r="G271" s="26">
        <f>IF('CONTROLE CMM'!D273="","",'CONTROLE CMM'!D273)</f>
        <v/>
      </c>
      <c r="H271" s="43">
        <f>IF('CONTROLE GLOBO AÇOS'!B273="","",'CONTROLE GLOBO AÇOS'!B273)</f>
        <v/>
      </c>
      <c r="I271" s="18">
        <f>IF('CONTROLE GLOBO AÇOS'!C273="","",'CONTROLE GLOBO AÇOS'!C273)</f>
        <v/>
      </c>
      <c r="J271" s="18">
        <f>IF('CONTROLE GLOBO AÇOS'!D273="","",'CONTROLE GLOBO AÇOS'!D273)</f>
        <v/>
      </c>
      <c r="AD271" s="39">
        <f>IF($A271="",0,IF(AND(WEEKDAY($A271,2)&lt;=5,OR($B271&lt;&gt;"",$C271&lt;&gt;"",$D271&lt;&gt;"")),1,0))</f>
        <v/>
      </c>
      <c r="AE271" s="39">
        <f>IF($A271="",0,IF(AND(WEEKDAY($A271,2)&lt;=5,OR($E271&lt;&gt;"",$F271&lt;&gt;"",$G271&lt;&gt;"")),1,0))</f>
        <v/>
      </c>
      <c r="AF271" s="39">
        <f>MAX(AD271,AE271)</f>
        <v/>
      </c>
      <c r="AH271" s="223">
        <f>IF('CONTROLE GLOBO AÇOS'!E273="","",'CONTROLE GLOBO AÇOS'!E273)</f>
        <v/>
      </c>
      <c r="AI271" s="223">
        <f>IF('CONTROLE GLOBO AÇOS'!F273="","",'CONTROLE GLOBO AÇOS'!F273)</f>
        <v/>
      </c>
      <c r="AJ271" s="223">
        <f>IF(AND('CONTROLE EJ'!E273="",'CONTROLE CMM'!E273=""),"",N('CONTROLE EJ'!E273)+N('CONTROLE CMM'!E273))</f>
        <v/>
      </c>
      <c r="AK271" s="223">
        <f>IF(AND('CONTROLE EJ'!F273="",'CONTROLE CMM'!F273=""),"",N('CONTROLE EJ'!F273)+N('CONTROLE CMM'!F273))</f>
        <v/>
      </c>
      <c r="AL271" s="223">
        <f>IF(AND('CONTROLE EJ'!G273="",'CONTROLE CMM'!G273=""),"",N('CONTROLE EJ'!G273)+N('CONTROLE CMM'!G273))</f>
        <v/>
      </c>
      <c r="AM271" s="223">
        <f>IF(AND('CONTROLE EJ'!H273="",'CONTROLE CMM'!H273=""),"",N('CONTROLE EJ'!H273)+N('CONTROLE CMM'!H273))</f>
        <v/>
      </c>
      <c r="AN271" s="223">
        <f>IF('CONTROLE GLOBO AÇOS'!G273="","",'CONTROLE GLOBO AÇOS'!G273)</f>
        <v/>
      </c>
      <c r="AO271" s="223">
        <f>IF('CONTROLE GLOBO AÇOS'!H273="","",'CONTROLE GLOBO AÇOS'!H273)</f>
        <v/>
      </c>
      <c r="AP271" s="223">
        <f>IF(AND('CONTROLE EJ'!I273="",'CONTROLE CMM'!I273=""),"",N('CONTROLE EJ'!I273)+N('CONTROLE CMM'!I273))</f>
        <v/>
      </c>
      <c r="AQ271" s="223">
        <f>IF(AND('CONTROLE EJ'!J273="",'CONTROLE CMM'!#REF!=""),"",N('CONTROLE EJ'!J273)+N('CONTROLE CMM'!#REF!))</f>
        <v/>
      </c>
      <c r="AR271" s="223">
        <f>IF('CONTROLE GLOBO AÇOS'!I273="","",'CONTROLE GLOBO AÇOS'!I273)</f>
        <v/>
      </c>
      <c r="AS271" s="223">
        <f>IF('CONTROLE GLOBO AÇOS'!J273="","",'CONTROLE GLOBO AÇOS'!J273)</f>
        <v/>
      </c>
      <c r="AT271" s="223">
        <f>IF(#REF!="","",#REF!)</f>
        <v/>
      </c>
      <c r="AU271" s="223">
        <f>IF('CONTROLE GLOBO AÇOS'!K273="","",'CONTROLE GLOBO AÇOS'!K273)</f>
        <v/>
      </c>
      <c r="AV271" s="223">
        <f>IF(AND('CONTROLE EJ'!K273="",'CONTROLE CMM'!#REF!=""),"",N('CONTROLE EJ'!K273)+N('CONTROLE CMM'!#REF!))</f>
        <v/>
      </c>
      <c r="AW271" s="223">
        <f>IF('CONTROLE GLOBO AÇOS'!L273="","",'CONTROLE GLOBO AÇOS'!L273)</f>
        <v/>
      </c>
      <c r="AX271" s="223">
        <f>IF(AND('CONTROLE EJ'!L273="",'CONTROLE CMM'!#REF!=""),"",N('CONTROLE EJ'!L273)+N('CONTROLE CMM'!#REF!))</f>
        <v/>
      </c>
      <c r="AY271" s="223">
        <f>IF('CONTROLE GLOBO AÇOS'!M273="","",'CONTROLE GLOBO AÇOS'!M273)</f>
        <v/>
      </c>
      <c r="AZ271" s="223">
        <f>IF('CONTROLE GLOBO AÇOS'!N273="","",'CONTROLE GLOBO AÇOS'!N273)</f>
        <v/>
      </c>
      <c r="BA271" s="223">
        <f>IF(AND('CONTROLE EJ'!M273="",'CONTROLE CMM'!#REF!=""),"",N('CONTROLE EJ'!M273)+N('CONTROLE CMM'!#REF!))</f>
        <v/>
      </c>
      <c r="BB271" s="223">
        <f>IF(#REF!="","",#REF!)</f>
        <v/>
      </c>
      <c r="BC271" s="223">
        <f>IF('CONTROLE GLOBO AÇOS'!O273="","",'CONTROLE GLOBO AÇOS'!O273)</f>
        <v/>
      </c>
      <c r="BD271" s="223">
        <f>IF(AND('CONTROLE EJ'!N273="",'CONTROLE CMM'!#REF!=""),"",N('CONTROLE EJ'!N273)+N('CONTROLE CMM'!#REF!))</f>
        <v/>
      </c>
      <c r="BE271" s="223">
        <f>IF('CONTROLE GLOBO AÇOS'!P273="","",'CONTROLE GLOBO AÇOS'!P273)</f>
        <v/>
      </c>
      <c r="BF271" s="223">
        <f>IF('CONTROLE GLOBO AÇOS'!Q273="","",'CONTROLE GLOBO AÇOS'!Q273)</f>
        <v/>
      </c>
      <c r="BG271" s="223">
        <f>IF('CONTROLE GLOBO AÇOS'!R273="","",'CONTROLE GLOBO AÇOS'!R273)</f>
        <v/>
      </c>
      <c r="BH271" s="223">
        <f>IF(AND('CONTROLE EJ'!O273="",'CONTROLE CMM'!#REF!=""),"",N('CONTROLE EJ'!O273)+N('CONTROLE CMM'!#REF!))</f>
        <v/>
      </c>
      <c r="BI271" s="223">
        <f>IF('CONTROLE GLOBO AÇOS'!S273="","",'CONTROLE GLOBO AÇOS'!S273)</f>
        <v/>
      </c>
      <c r="BJ271" s="223">
        <f>IF('CONTROLE GLOBO AÇOS'!T273="","",'CONTROLE GLOBO AÇOS'!T273)</f>
        <v/>
      </c>
      <c r="BK271" s="223">
        <f>IF('CONTROLE GLOBO AÇOS'!U273="","",'CONTROLE GLOBO AÇOS'!U273)</f>
        <v/>
      </c>
      <c r="BL271" s="223">
        <f>IF(AND('CONTROLE EJ'!P273="",'CONTROLE CMM'!#REF!=""),"",N('CONTROLE EJ'!P273)+N('CONTROLE CMM'!#REF!))</f>
        <v/>
      </c>
      <c r="BM271" s="223">
        <f>IF(AND('CONTROLE EJ'!Q273="",'CONTROLE CMM'!#REF!=""),"",N('CONTROLE EJ'!Q273)+N('CONTROLE CMM'!#REF!))</f>
        <v/>
      </c>
      <c r="BN271" s="223">
        <f>IF('CONTROLE GLOBO AÇOS'!V273="","",'CONTROLE GLOBO AÇOS'!V273)</f>
        <v/>
      </c>
      <c r="BO271" s="223">
        <f>IF('CONTROLE GLOBO AÇOS'!W273="","",'CONTROLE GLOBO AÇOS'!W273)</f>
        <v/>
      </c>
      <c r="BP271" s="223">
        <f>IF(AND('CONTROLE EJ'!R273="",'CONTROLE CMM'!#REF!=""),"",N('CONTROLE EJ'!R273)+N('CONTROLE CMM'!#REF!))</f>
        <v/>
      </c>
      <c r="BQ271" s="223">
        <f>IF(#REF!="","",#REF!)</f>
        <v/>
      </c>
      <c r="BR271" s="223">
        <f>IF(AND('CONTROLE EJ'!S273="",'CONTROLE CMM'!#REF!=""),"",N('CONTROLE EJ'!S273)+N('CONTROLE CMM'!#REF!))</f>
        <v/>
      </c>
      <c r="BS271" s="223">
        <f>IF(AND('CONTROLE EJ'!T273="",'CONTROLE CMM'!#REF!=""),"",N('CONTROLE EJ'!T273)+N('CONTROLE CMM'!#REF!))</f>
        <v/>
      </c>
      <c r="BT271" s="223">
        <f>IF('CONTROLE GLOBO AÇOS'!X273="","",'CONTROLE GLOBO AÇOS'!X273)</f>
        <v/>
      </c>
      <c r="BU271" s="223">
        <f>IF('CONTROLE GLOBO AÇOS'!Y273="","",'CONTROLE GLOBO AÇOS'!Y273)</f>
        <v/>
      </c>
      <c r="BV271" s="223">
        <f>IF(AND('CONTROLE EJ'!U273="",'CONTROLE CMM'!#REF!=""),"",N('CONTROLE EJ'!U273)+N('CONTROLE CMM'!#REF!))</f>
        <v/>
      </c>
      <c r="BW271" s="223">
        <f>IF(#REF!="","",#REF!)</f>
        <v/>
      </c>
    </row>
    <row r="272">
      <c r="A272" s="282" t="n">
        <v>46489</v>
      </c>
      <c r="B272" s="18">
        <f>IF('CONTROLE EJ'!B274="","",'CONTROLE EJ'!B274)</f>
        <v/>
      </c>
      <c r="C272" s="18">
        <f>IF('CONTROLE EJ'!C274="","",'CONTROLE EJ'!C274)</f>
        <v/>
      </c>
      <c r="D272" s="42">
        <f>IF('CONTROLE EJ'!D274="","",'CONTROLE EJ'!D274)</f>
        <v/>
      </c>
      <c r="E272" s="43">
        <f>IF('CONTROLE CMM'!B274="","",'CONTROLE CMM'!B274)</f>
        <v/>
      </c>
      <c r="F272" s="18">
        <f>IF('CONTROLE CMM'!C274="","",'CONTROLE CMM'!C274)</f>
        <v/>
      </c>
      <c r="G272" s="26">
        <f>IF('CONTROLE CMM'!D274="","",'CONTROLE CMM'!D274)</f>
        <v/>
      </c>
      <c r="H272" s="43">
        <f>IF('CONTROLE GLOBO AÇOS'!B274="","",'CONTROLE GLOBO AÇOS'!B274)</f>
        <v/>
      </c>
      <c r="I272" s="18">
        <f>IF('CONTROLE GLOBO AÇOS'!C274="","",'CONTROLE GLOBO AÇOS'!C274)</f>
        <v/>
      </c>
      <c r="J272" s="18">
        <f>IF('CONTROLE GLOBO AÇOS'!D274="","",'CONTROLE GLOBO AÇOS'!D274)</f>
        <v/>
      </c>
      <c r="AD272" s="39">
        <f>IF($A272="",0,IF(AND(WEEKDAY($A272,2)&lt;=5,OR($B272&lt;&gt;"",$C272&lt;&gt;"",$D272&lt;&gt;"")),1,0))</f>
        <v/>
      </c>
      <c r="AE272" s="39">
        <f>IF($A272="",0,IF(AND(WEEKDAY($A272,2)&lt;=5,OR($E272&lt;&gt;"",$F272&lt;&gt;"",$G272&lt;&gt;"")),1,0))</f>
        <v/>
      </c>
      <c r="AF272" s="39">
        <f>MAX(AD272,AE272)</f>
        <v/>
      </c>
      <c r="AH272" s="223">
        <f>IF('CONTROLE GLOBO AÇOS'!E274="","",'CONTROLE GLOBO AÇOS'!E274)</f>
        <v/>
      </c>
      <c r="AI272" s="223">
        <f>IF('CONTROLE GLOBO AÇOS'!F274="","",'CONTROLE GLOBO AÇOS'!F274)</f>
        <v/>
      </c>
      <c r="AJ272" s="223">
        <f>IF(AND('CONTROLE EJ'!E274="",'CONTROLE CMM'!E274=""),"",N('CONTROLE EJ'!E274)+N('CONTROLE CMM'!E274))</f>
        <v/>
      </c>
      <c r="AK272" s="223">
        <f>IF(AND('CONTROLE EJ'!F274="",'CONTROLE CMM'!F274=""),"",N('CONTROLE EJ'!F274)+N('CONTROLE CMM'!F274))</f>
        <v/>
      </c>
      <c r="AL272" s="223">
        <f>IF(AND('CONTROLE EJ'!G274="",'CONTROLE CMM'!G274=""),"",N('CONTROLE EJ'!G274)+N('CONTROLE CMM'!G274))</f>
        <v/>
      </c>
      <c r="AM272" s="223">
        <f>IF(AND('CONTROLE EJ'!H274="",'CONTROLE CMM'!H274=""),"",N('CONTROLE EJ'!H274)+N('CONTROLE CMM'!H274))</f>
        <v/>
      </c>
      <c r="AN272" s="223">
        <f>IF('CONTROLE GLOBO AÇOS'!G274="","",'CONTROLE GLOBO AÇOS'!G274)</f>
        <v/>
      </c>
      <c r="AO272" s="223">
        <f>IF('CONTROLE GLOBO AÇOS'!H274="","",'CONTROLE GLOBO AÇOS'!H274)</f>
        <v/>
      </c>
      <c r="AP272" s="223">
        <f>IF(AND('CONTROLE EJ'!I274="",'CONTROLE CMM'!I274=""),"",N('CONTROLE EJ'!I274)+N('CONTROLE CMM'!I274))</f>
        <v/>
      </c>
      <c r="AQ272" s="223">
        <f>IF(AND('CONTROLE EJ'!J274="",'CONTROLE CMM'!#REF!=""),"",N('CONTROLE EJ'!J274)+N('CONTROLE CMM'!#REF!))</f>
        <v/>
      </c>
      <c r="AR272" s="223">
        <f>IF('CONTROLE GLOBO AÇOS'!I274="","",'CONTROLE GLOBO AÇOS'!I274)</f>
        <v/>
      </c>
      <c r="AS272" s="223">
        <f>IF('CONTROLE GLOBO AÇOS'!J274="","",'CONTROLE GLOBO AÇOS'!J274)</f>
        <v/>
      </c>
      <c r="AT272" s="223">
        <f>IF(#REF!="","",#REF!)</f>
        <v/>
      </c>
      <c r="AU272" s="223">
        <f>IF('CONTROLE GLOBO AÇOS'!K274="","",'CONTROLE GLOBO AÇOS'!K274)</f>
        <v/>
      </c>
      <c r="AV272" s="223">
        <f>IF(AND('CONTROLE EJ'!K274="",'CONTROLE CMM'!#REF!=""),"",N('CONTROLE EJ'!K274)+N('CONTROLE CMM'!#REF!))</f>
        <v/>
      </c>
      <c r="AW272" s="223">
        <f>IF('CONTROLE GLOBO AÇOS'!L274="","",'CONTROLE GLOBO AÇOS'!L274)</f>
        <v/>
      </c>
      <c r="AX272" s="223">
        <f>IF(AND('CONTROLE EJ'!L274="",'CONTROLE CMM'!#REF!=""),"",N('CONTROLE EJ'!L274)+N('CONTROLE CMM'!#REF!))</f>
        <v/>
      </c>
      <c r="AY272" s="223">
        <f>IF('CONTROLE GLOBO AÇOS'!M274="","",'CONTROLE GLOBO AÇOS'!M274)</f>
        <v/>
      </c>
      <c r="AZ272" s="223">
        <f>IF('CONTROLE GLOBO AÇOS'!N274="","",'CONTROLE GLOBO AÇOS'!N274)</f>
        <v/>
      </c>
      <c r="BA272" s="223">
        <f>IF(AND('CONTROLE EJ'!M274="",'CONTROLE CMM'!#REF!=""),"",N('CONTROLE EJ'!M274)+N('CONTROLE CMM'!#REF!))</f>
        <v/>
      </c>
      <c r="BB272" s="223">
        <f>IF(#REF!="","",#REF!)</f>
        <v/>
      </c>
      <c r="BC272" s="223">
        <f>IF('CONTROLE GLOBO AÇOS'!O274="","",'CONTROLE GLOBO AÇOS'!O274)</f>
        <v/>
      </c>
      <c r="BD272" s="223">
        <f>IF(AND('CONTROLE EJ'!N274="",'CONTROLE CMM'!#REF!=""),"",N('CONTROLE EJ'!N274)+N('CONTROLE CMM'!#REF!))</f>
        <v/>
      </c>
      <c r="BE272" s="223">
        <f>IF('CONTROLE GLOBO AÇOS'!P274="","",'CONTROLE GLOBO AÇOS'!P274)</f>
        <v/>
      </c>
      <c r="BF272" s="223">
        <f>IF('CONTROLE GLOBO AÇOS'!Q274="","",'CONTROLE GLOBO AÇOS'!Q274)</f>
        <v/>
      </c>
      <c r="BG272" s="223">
        <f>IF('CONTROLE GLOBO AÇOS'!R274="","",'CONTROLE GLOBO AÇOS'!R274)</f>
        <v/>
      </c>
      <c r="BH272" s="223">
        <f>IF(AND('CONTROLE EJ'!O274="",'CONTROLE CMM'!#REF!=""),"",N('CONTROLE EJ'!O274)+N('CONTROLE CMM'!#REF!))</f>
        <v/>
      </c>
      <c r="BI272" s="223">
        <f>IF('CONTROLE GLOBO AÇOS'!S274="","",'CONTROLE GLOBO AÇOS'!S274)</f>
        <v/>
      </c>
      <c r="BJ272" s="223">
        <f>IF('CONTROLE GLOBO AÇOS'!T274="","",'CONTROLE GLOBO AÇOS'!T274)</f>
        <v/>
      </c>
      <c r="BK272" s="223">
        <f>IF('CONTROLE GLOBO AÇOS'!U274="","",'CONTROLE GLOBO AÇOS'!U274)</f>
        <v/>
      </c>
      <c r="BL272" s="223">
        <f>IF(AND('CONTROLE EJ'!P274="",'CONTROLE CMM'!#REF!=""),"",N('CONTROLE EJ'!P274)+N('CONTROLE CMM'!#REF!))</f>
        <v/>
      </c>
      <c r="BM272" s="223">
        <f>IF(AND('CONTROLE EJ'!Q274="",'CONTROLE CMM'!#REF!=""),"",N('CONTROLE EJ'!Q274)+N('CONTROLE CMM'!#REF!))</f>
        <v/>
      </c>
      <c r="BN272" s="223">
        <f>IF('CONTROLE GLOBO AÇOS'!V274="","",'CONTROLE GLOBO AÇOS'!V274)</f>
        <v/>
      </c>
      <c r="BO272" s="223">
        <f>IF('CONTROLE GLOBO AÇOS'!W274="","",'CONTROLE GLOBO AÇOS'!W274)</f>
        <v/>
      </c>
      <c r="BP272" s="223">
        <f>IF(AND('CONTROLE EJ'!R274="",'CONTROLE CMM'!#REF!=""),"",N('CONTROLE EJ'!R274)+N('CONTROLE CMM'!#REF!))</f>
        <v/>
      </c>
      <c r="BQ272" s="223">
        <f>IF(#REF!="","",#REF!)</f>
        <v/>
      </c>
      <c r="BR272" s="223">
        <f>IF(AND('CONTROLE EJ'!S274="",'CONTROLE CMM'!#REF!=""),"",N('CONTROLE EJ'!S274)+N('CONTROLE CMM'!#REF!))</f>
        <v/>
      </c>
      <c r="BS272" s="223">
        <f>IF(AND('CONTROLE EJ'!T274="",'CONTROLE CMM'!#REF!=""),"",N('CONTROLE EJ'!T274)+N('CONTROLE CMM'!#REF!))</f>
        <v/>
      </c>
      <c r="BT272" s="223">
        <f>IF('CONTROLE GLOBO AÇOS'!X274="","",'CONTROLE GLOBO AÇOS'!X274)</f>
        <v/>
      </c>
      <c r="BU272" s="223">
        <f>IF('CONTROLE GLOBO AÇOS'!Y274="","",'CONTROLE GLOBO AÇOS'!Y274)</f>
        <v/>
      </c>
      <c r="BV272" s="223">
        <f>IF(AND('CONTROLE EJ'!U274="",'CONTROLE CMM'!#REF!=""),"",N('CONTROLE EJ'!U274)+N('CONTROLE CMM'!#REF!))</f>
        <v/>
      </c>
      <c r="BW272" s="223">
        <f>IF(#REF!="","",#REF!)</f>
        <v/>
      </c>
    </row>
    <row r="273">
      <c r="A273" s="282" t="n">
        <v>46490</v>
      </c>
      <c r="B273" s="18">
        <f>IF('CONTROLE EJ'!B275="","",'CONTROLE EJ'!B275)</f>
        <v/>
      </c>
      <c r="C273" s="18">
        <f>IF('CONTROLE EJ'!C275="","",'CONTROLE EJ'!C275)</f>
        <v/>
      </c>
      <c r="D273" s="42">
        <f>IF('CONTROLE EJ'!D275="","",'CONTROLE EJ'!D275)</f>
        <v/>
      </c>
      <c r="E273" s="43">
        <f>IF('CONTROLE CMM'!B275="","",'CONTROLE CMM'!B275)</f>
        <v/>
      </c>
      <c r="F273" s="18">
        <f>IF('CONTROLE CMM'!C275="","",'CONTROLE CMM'!C275)</f>
        <v/>
      </c>
      <c r="G273" s="26">
        <f>IF('CONTROLE CMM'!D275="","",'CONTROLE CMM'!D275)</f>
        <v/>
      </c>
      <c r="H273" s="43">
        <f>IF('CONTROLE GLOBO AÇOS'!B275="","",'CONTROLE GLOBO AÇOS'!B275)</f>
        <v/>
      </c>
      <c r="I273" s="18">
        <f>IF('CONTROLE GLOBO AÇOS'!C275="","",'CONTROLE GLOBO AÇOS'!C275)</f>
        <v/>
      </c>
      <c r="J273" s="18">
        <f>IF('CONTROLE GLOBO AÇOS'!D275="","",'CONTROLE GLOBO AÇOS'!D275)</f>
        <v/>
      </c>
      <c r="AD273" s="39">
        <f>IF($A273="",0,IF(AND(WEEKDAY($A273,2)&lt;=5,OR($B273&lt;&gt;"",$C273&lt;&gt;"",$D273&lt;&gt;"")),1,0))</f>
        <v/>
      </c>
      <c r="AE273" s="39">
        <f>IF($A273="",0,IF(AND(WEEKDAY($A273,2)&lt;=5,OR($E273&lt;&gt;"",$F273&lt;&gt;"",$G273&lt;&gt;"")),1,0))</f>
        <v/>
      </c>
      <c r="AF273" s="39">
        <f>MAX(AD273,AE273)</f>
        <v/>
      </c>
      <c r="AH273" s="223">
        <f>IF('CONTROLE GLOBO AÇOS'!E275="","",'CONTROLE GLOBO AÇOS'!E275)</f>
        <v/>
      </c>
      <c r="AI273" s="223">
        <f>IF('CONTROLE GLOBO AÇOS'!F275="","",'CONTROLE GLOBO AÇOS'!F275)</f>
        <v/>
      </c>
      <c r="AJ273" s="223">
        <f>IF(AND('CONTROLE EJ'!E275="",'CONTROLE CMM'!E275=""),"",N('CONTROLE EJ'!E275)+N('CONTROLE CMM'!E275))</f>
        <v/>
      </c>
      <c r="AK273" s="223">
        <f>IF(AND('CONTROLE EJ'!F275="",'CONTROLE CMM'!F275=""),"",N('CONTROLE EJ'!F275)+N('CONTROLE CMM'!F275))</f>
        <v/>
      </c>
      <c r="AL273" s="223">
        <f>IF(AND('CONTROLE EJ'!G275="",'CONTROLE CMM'!G275=""),"",N('CONTROLE EJ'!G275)+N('CONTROLE CMM'!G275))</f>
        <v/>
      </c>
      <c r="AM273" s="223">
        <f>IF(AND('CONTROLE EJ'!H275="",'CONTROLE CMM'!H275=""),"",N('CONTROLE EJ'!H275)+N('CONTROLE CMM'!H275))</f>
        <v/>
      </c>
      <c r="AN273" s="223">
        <f>IF('CONTROLE GLOBO AÇOS'!G275="","",'CONTROLE GLOBO AÇOS'!G275)</f>
        <v/>
      </c>
      <c r="AO273" s="223">
        <f>IF('CONTROLE GLOBO AÇOS'!H275="","",'CONTROLE GLOBO AÇOS'!H275)</f>
        <v/>
      </c>
      <c r="AP273" s="223">
        <f>IF(AND('CONTROLE EJ'!I275="",'CONTROLE CMM'!I275=""),"",N('CONTROLE EJ'!I275)+N('CONTROLE CMM'!I275))</f>
        <v/>
      </c>
      <c r="AQ273" s="223">
        <f>IF(AND('CONTROLE EJ'!J275="",'CONTROLE CMM'!#REF!=""),"",N('CONTROLE EJ'!J275)+N('CONTROLE CMM'!#REF!))</f>
        <v/>
      </c>
      <c r="AR273" s="223">
        <f>IF('CONTROLE GLOBO AÇOS'!I275="","",'CONTROLE GLOBO AÇOS'!I275)</f>
        <v/>
      </c>
      <c r="AS273" s="223">
        <f>IF('CONTROLE GLOBO AÇOS'!J275="","",'CONTROLE GLOBO AÇOS'!J275)</f>
        <v/>
      </c>
      <c r="AT273" s="223">
        <f>IF(#REF!="","",#REF!)</f>
        <v/>
      </c>
      <c r="AU273" s="223">
        <f>IF('CONTROLE GLOBO AÇOS'!K275="","",'CONTROLE GLOBO AÇOS'!K275)</f>
        <v/>
      </c>
      <c r="AV273" s="223">
        <f>IF(AND('CONTROLE EJ'!K275="",'CONTROLE CMM'!#REF!=""),"",N('CONTROLE EJ'!K275)+N('CONTROLE CMM'!#REF!))</f>
        <v/>
      </c>
      <c r="AW273" s="223">
        <f>IF('CONTROLE GLOBO AÇOS'!L275="","",'CONTROLE GLOBO AÇOS'!L275)</f>
        <v/>
      </c>
      <c r="AX273" s="223">
        <f>IF(AND('CONTROLE EJ'!L275="",'CONTROLE CMM'!#REF!=""),"",N('CONTROLE EJ'!L275)+N('CONTROLE CMM'!#REF!))</f>
        <v/>
      </c>
      <c r="AY273" s="223">
        <f>IF('CONTROLE GLOBO AÇOS'!M275="","",'CONTROLE GLOBO AÇOS'!M275)</f>
        <v/>
      </c>
      <c r="AZ273" s="223">
        <f>IF('CONTROLE GLOBO AÇOS'!N275="","",'CONTROLE GLOBO AÇOS'!N275)</f>
        <v/>
      </c>
      <c r="BA273" s="223">
        <f>IF(AND('CONTROLE EJ'!M275="",'CONTROLE CMM'!#REF!=""),"",N('CONTROLE EJ'!M275)+N('CONTROLE CMM'!#REF!))</f>
        <v/>
      </c>
      <c r="BB273" s="223">
        <f>IF(#REF!="","",#REF!)</f>
        <v/>
      </c>
      <c r="BC273" s="223">
        <f>IF('CONTROLE GLOBO AÇOS'!O275="","",'CONTROLE GLOBO AÇOS'!O275)</f>
        <v/>
      </c>
      <c r="BD273" s="223">
        <f>IF(AND('CONTROLE EJ'!N275="",'CONTROLE CMM'!#REF!=""),"",N('CONTROLE EJ'!N275)+N('CONTROLE CMM'!#REF!))</f>
        <v/>
      </c>
      <c r="BE273" s="223">
        <f>IF('CONTROLE GLOBO AÇOS'!P275="","",'CONTROLE GLOBO AÇOS'!P275)</f>
        <v/>
      </c>
      <c r="BF273" s="223">
        <f>IF('CONTROLE GLOBO AÇOS'!Q275="","",'CONTROLE GLOBO AÇOS'!Q275)</f>
        <v/>
      </c>
      <c r="BG273" s="223">
        <f>IF('CONTROLE GLOBO AÇOS'!R275="","",'CONTROLE GLOBO AÇOS'!R275)</f>
        <v/>
      </c>
      <c r="BH273" s="223">
        <f>IF(AND('CONTROLE EJ'!O275="",'CONTROLE CMM'!#REF!=""),"",N('CONTROLE EJ'!O275)+N('CONTROLE CMM'!#REF!))</f>
        <v/>
      </c>
      <c r="BI273" s="223">
        <f>IF('CONTROLE GLOBO AÇOS'!S275="","",'CONTROLE GLOBO AÇOS'!S275)</f>
        <v/>
      </c>
      <c r="BJ273" s="223">
        <f>IF('CONTROLE GLOBO AÇOS'!T275="","",'CONTROLE GLOBO AÇOS'!T275)</f>
        <v/>
      </c>
      <c r="BK273" s="223">
        <f>IF('CONTROLE GLOBO AÇOS'!U275="","",'CONTROLE GLOBO AÇOS'!U275)</f>
        <v/>
      </c>
      <c r="BL273" s="223">
        <f>IF(AND('CONTROLE EJ'!P275="",'CONTROLE CMM'!#REF!=""),"",N('CONTROLE EJ'!P275)+N('CONTROLE CMM'!#REF!))</f>
        <v/>
      </c>
      <c r="BM273" s="223">
        <f>IF(AND('CONTROLE EJ'!Q275="",'CONTROLE CMM'!#REF!=""),"",N('CONTROLE EJ'!Q275)+N('CONTROLE CMM'!#REF!))</f>
        <v/>
      </c>
      <c r="BN273" s="223">
        <f>IF('CONTROLE GLOBO AÇOS'!V275="","",'CONTROLE GLOBO AÇOS'!V275)</f>
        <v/>
      </c>
      <c r="BO273" s="223">
        <f>IF('CONTROLE GLOBO AÇOS'!W275="","",'CONTROLE GLOBO AÇOS'!W275)</f>
        <v/>
      </c>
      <c r="BP273" s="223">
        <f>IF(AND('CONTROLE EJ'!R275="",'CONTROLE CMM'!#REF!=""),"",N('CONTROLE EJ'!R275)+N('CONTROLE CMM'!#REF!))</f>
        <v/>
      </c>
      <c r="BQ273" s="223">
        <f>IF(#REF!="","",#REF!)</f>
        <v/>
      </c>
      <c r="BR273" s="223">
        <f>IF(AND('CONTROLE EJ'!S275="",'CONTROLE CMM'!#REF!=""),"",N('CONTROLE EJ'!S275)+N('CONTROLE CMM'!#REF!))</f>
        <v/>
      </c>
      <c r="BS273" s="223">
        <f>IF(AND('CONTROLE EJ'!T275="",'CONTROLE CMM'!#REF!=""),"",N('CONTROLE EJ'!T275)+N('CONTROLE CMM'!#REF!))</f>
        <v/>
      </c>
      <c r="BT273" s="223">
        <f>IF('CONTROLE GLOBO AÇOS'!X275="","",'CONTROLE GLOBO AÇOS'!X275)</f>
        <v/>
      </c>
      <c r="BU273" s="223">
        <f>IF('CONTROLE GLOBO AÇOS'!Y275="","",'CONTROLE GLOBO AÇOS'!Y275)</f>
        <v/>
      </c>
      <c r="BV273" s="223">
        <f>IF(AND('CONTROLE EJ'!U275="",'CONTROLE CMM'!#REF!=""),"",N('CONTROLE EJ'!U275)+N('CONTROLE CMM'!#REF!))</f>
        <v/>
      </c>
      <c r="BW273" s="223">
        <f>IF(#REF!="","",#REF!)</f>
        <v/>
      </c>
    </row>
    <row r="274">
      <c r="A274" s="282" t="n">
        <v>46491</v>
      </c>
      <c r="B274" s="18">
        <f>IF('CONTROLE EJ'!B276="","",'CONTROLE EJ'!B276)</f>
        <v/>
      </c>
      <c r="C274" s="18">
        <f>IF('CONTROLE EJ'!C276="","",'CONTROLE EJ'!C276)</f>
        <v/>
      </c>
      <c r="D274" s="42">
        <f>IF('CONTROLE EJ'!D276="","",'CONTROLE EJ'!D276)</f>
        <v/>
      </c>
      <c r="E274" s="43">
        <f>IF('CONTROLE CMM'!B276="","",'CONTROLE CMM'!B276)</f>
        <v/>
      </c>
      <c r="F274" s="18">
        <f>IF('CONTROLE CMM'!C276="","",'CONTROLE CMM'!C276)</f>
        <v/>
      </c>
      <c r="G274" s="26">
        <f>IF('CONTROLE CMM'!D276="","",'CONTROLE CMM'!D276)</f>
        <v/>
      </c>
      <c r="H274" s="43">
        <f>IF('CONTROLE GLOBO AÇOS'!B276="","",'CONTROLE GLOBO AÇOS'!B276)</f>
        <v/>
      </c>
      <c r="I274" s="18">
        <f>IF('CONTROLE GLOBO AÇOS'!C276="","",'CONTROLE GLOBO AÇOS'!C276)</f>
        <v/>
      </c>
      <c r="J274" s="18">
        <f>IF('CONTROLE GLOBO AÇOS'!D276="","",'CONTROLE GLOBO AÇOS'!D276)</f>
        <v/>
      </c>
      <c r="AD274" s="39">
        <f>IF($A274="",0,IF(AND(WEEKDAY($A274,2)&lt;=5,OR($B274&lt;&gt;"",$C274&lt;&gt;"",$D274&lt;&gt;"")),1,0))</f>
        <v/>
      </c>
      <c r="AE274" s="39">
        <f>IF($A274="",0,IF(AND(WEEKDAY($A274,2)&lt;=5,OR($E274&lt;&gt;"",$F274&lt;&gt;"",$G274&lt;&gt;"")),1,0))</f>
        <v/>
      </c>
      <c r="AF274" s="39">
        <f>MAX(AD274,AE274)</f>
        <v/>
      </c>
      <c r="AH274" s="223">
        <f>IF('CONTROLE GLOBO AÇOS'!E276="","",'CONTROLE GLOBO AÇOS'!E276)</f>
        <v/>
      </c>
      <c r="AI274" s="223">
        <f>IF('CONTROLE GLOBO AÇOS'!F276="","",'CONTROLE GLOBO AÇOS'!F276)</f>
        <v/>
      </c>
      <c r="AJ274" s="223">
        <f>IF(AND('CONTROLE EJ'!E276="",'CONTROLE CMM'!E276=""),"",N('CONTROLE EJ'!E276)+N('CONTROLE CMM'!E276))</f>
        <v/>
      </c>
      <c r="AK274" s="223">
        <f>IF(AND('CONTROLE EJ'!F276="",'CONTROLE CMM'!F276=""),"",N('CONTROLE EJ'!F276)+N('CONTROLE CMM'!F276))</f>
        <v/>
      </c>
      <c r="AL274" s="223">
        <f>IF(AND('CONTROLE EJ'!G276="",'CONTROLE CMM'!G276=""),"",N('CONTROLE EJ'!G276)+N('CONTROLE CMM'!G276))</f>
        <v/>
      </c>
      <c r="AM274" s="223">
        <f>IF(AND('CONTROLE EJ'!H276="",'CONTROLE CMM'!H276=""),"",N('CONTROLE EJ'!H276)+N('CONTROLE CMM'!H276))</f>
        <v/>
      </c>
      <c r="AN274" s="223">
        <f>IF('CONTROLE GLOBO AÇOS'!G276="","",'CONTROLE GLOBO AÇOS'!G276)</f>
        <v/>
      </c>
      <c r="AO274" s="223">
        <f>IF('CONTROLE GLOBO AÇOS'!H276="","",'CONTROLE GLOBO AÇOS'!H276)</f>
        <v/>
      </c>
      <c r="AP274" s="223">
        <f>IF(AND('CONTROLE EJ'!I276="",'CONTROLE CMM'!I276=""),"",N('CONTROLE EJ'!I276)+N('CONTROLE CMM'!I276))</f>
        <v/>
      </c>
      <c r="AQ274" s="223">
        <f>IF(AND('CONTROLE EJ'!J276="",'CONTROLE CMM'!#REF!=""),"",N('CONTROLE EJ'!J276)+N('CONTROLE CMM'!#REF!))</f>
        <v/>
      </c>
      <c r="AR274" s="223">
        <f>IF('CONTROLE GLOBO AÇOS'!I276="","",'CONTROLE GLOBO AÇOS'!I276)</f>
        <v/>
      </c>
      <c r="AS274" s="223">
        <f>IF('CONTROLE GLOBO AÇOS'!J276="","",'CONTROLE GLOBO AÇOS'!J276)</f>
        <v/>
      </c>
      <c r="AT274" s="223">
        <f>IF(#REF!="","",#REF!)</f>
        <v/>
      </c>
      <c r="AU274" s="223">
        <f>IF('CONTROLE GLOBO AÇOS'!K276="","",'CONTROLE GLOBO AÇOS'!K276)</f>
        <v/>
      </c>
      <c r="AV274" s="223">
        <f>IF(AND('CONTROLE EJ'!K276="",'CONTROLE CMM'!#REF!=""),"",N('CONTROLE EJ'!K276)+N('CONTROLE CMM'!#REF!))</f>
        <v/>
      </c>
      <c r="AW274" s="223">
        <f>IF('CONTROLE GLOBO AÇOS'!L276="","",'CONTROLE GLOBO AÇOS'!L276)</f>
        <v/>
      </c>
      <c r="AX274" s="223">
        <f>IF(AND('CONTROLE EJ'!L276="",'CONTROLE CMM'!#REF!=""),"",N('CONTROLE EJ'!L276)+N('CONTROLE CMM'!#REF!))</f>
        <v/>
      </c>
      <c r="AY274" s="223">
        <f>IF('CONTROLE GLOBO AÇOS'!M276="","",'CONTROLE GLOBO AÇOS'!M276)</f>
        <v/>
      </c>
      <c r="AZ274" s="223">
        <f>IF('CONTROLE GLOBO AÇOS'!N276="","",'CONTROLE GLOBO AÇOS'!N276)</f>
        <v/>
      </c>
      <c r="BA274" s="223">
        <f>IF(AND('CONTROLE EJ'!M276="",'CONTROLE CMM'!#REF!=""),"",N('CONTROLE EJ'!M276)+N('CONTROLE CMM'!#REF!))</f>
        <v/>
      </c>
      <c r="BB274" s="223">
        <f>IF(#REF!="","",#REF!)</f>
        <v/>
      </c>
      <c r="BC274" s="223">
        <f>IF('CONTROLE GLOBO AÇOS'!O276="","",'CONTROLE GLOBO AÇOS'!O276)</f>
        <v/>
      </c>
      <c r="BD274" s="223">
        <f>IF(AND('CONTROLE EJ'!N276="",'CONTROLE CMM'!#REF!=""),"",N('CONTROLE EJ'!N276)+N('CONTROLE CMM'!#REF!))</f>
        <v/>
      </c>
      <c r="BE274" s="223">
        <f>IF('CONTROLE GLOBO AÇOS'!P276="","",'CONTROLE GLOBO AÇOS'!P276)</f>
        <v/>
      </c>
      <c r="BF274" s="223">
        <f>IF('CONTROLE GLOBO AÇOS'!Q276="","",'CONTROLE GLOBO AÇOS'!Q276)</f>
        <v/>
      </c>
      <c r="BG274" s="223">
        <f>IF('CONTROLE GLOBO AÇOS'!R276="","",'CONTROLE GLOBO AÇOS'!R276)</f>
        <v/>
      </c>
      <c r="BH274" s="223">
        <f>IF(AND('CONTROLE EJ'!O276="",'CONTROLE CMM'!#REF!=""),"",N('CONTROLE EJ'!O276)+N('CONTROLE CMM'!#REF!))</f>
        <v/>
      </c>
      <c r="BI274" s="223">
        <f>IF('CONTROLE GLOBO AÇOS'!S276="","",'CONTROLE GLOBO AÇOS'!S276)</f>
        <v/>
      </c>
      <c r="BJ274" s="223">
        <f>IF('CONTROLE GLOBO AÇOS'!T276="","",'CONTROLE GLOBO AÇOS'!T276)</f>
        <v/>
      </c>
      <c r="BK274" s="223">
        <f>IF('CONTROLE GLOBO AÇOS'!U276="","",'CONTROLE GLOBO AÇOS'!U276)</f>
        <v/>
      </c>
      <c r="BL274" s="223">
        <f>IF(AND('CONTROLE EJ'!P276="",'CONTROLE CMM'!#REF!=""),"",N('CONTROLE EJ'!P276)+N('CONTROLE CMM'!#REF!))</f>
        <v/>
      </c>
      <c r="BM274" s="223">
        <f>IF(AND('CONTROLE EJ'!Q276="",'CONTROLE CMM'!#REF!=""),"",N('CONTROLE EJ'!Q276)+N('CONTROLE CMM'!#REF!))</f>
        <v/>
      </c>
      <c r="BN274" s="223">
        <f>IF('CONTROLE GLOBO AÇOS'!V276="","",'CONTROLE GLOBO AÇOS'!V276)</f>
        <v/>
      </c>
      <c r="BO274" s="223">
        <f>IF('CONTROLE GLOBO AÇOS'!W276="","",'CONTROLE GLOBO AÇOS'!W276)</f>
        <v/>
      </c>
      <c r="BP274" s="223">
        <f>IF(AND('CONTROLE EJ'!R276="",'CONTROLE CMM'!#REF!=""),"",N('CONTROLE EJ'!R276)+N('CONTROLE CMM'!#REF!))</f>
        <v/>
      </c>
      <c r="BQ274" s="223">
        <f>IF(#REF!="","",#REF!)</f>
        <v/>
      </c>
      <c r="BR274" s="223">
        <f>IF(AND('CONTROLE EJ'!S276="",'CONTROLE CMM'!#REF!=""),"",N('CONTROLE EJ'!S276)+N('CONTROLE CMM'!#REF!))</f>
        <v/>
      </c>
      <c r="BS274" s="223">
        <f>IF(AND('CONTROLE EJ'!T276="",'CONTROLE CMM'!#REF!=""),"",N('CONTROLE EJ'!T276)+N('CONTROLE CMM'!#REF!))</f>
        <v/>
      </c>
      <c r="BT274" s="223">
        <f>IF('CONTROLE GLOBO AÇOS'!X276="","",'CONTROLE GLOBO AÇOS'!X276)</f>
        <v/>
      </c>
      <c r="BU274" s="223">
        <f>IF('CONTROLE GLOBO AÇOS'!Y276="","",'CONTROLE GLOBO AÇOS'!Y276)</f>
        <v/>
      </c>
      <c r="BV274" s="223">
        <f>IF(AND('CONTROLE EJ'!U276="",'CONTROLE CMM'!#REF!=""),"",N('CONTROLE EJ'!U276)+N('CONTROLE CMM'!#REF!))</f>
        <v/>
      </c>
      <c r="BW274" s="223">
        <f>IF(#REF!="","",#REF!)</f>
        <v/>
      </c>
    </row>
    <row r="275">
      <c r="A275" s="282" t="n">
        <v>46492</v>
      </c>
      <c r="B275" s="18">
        <f>IF('CONTROLE EJ'!B277="","",'CONTROLE EJ'!B277)</f>
        <v/>
      </c>
      <c r="C275" s="18">
        <f>IF('CONTROLE EJ'!C277="","",'CONTROLE EJ'!C277)</f>
        <v/>
      </c>
      <c r="D275" s="42">
        <f>IF('CONTROLE EJ'!D277="","",'CONTROLE EJ'!D277)</f>
        <v/>
      </c>
      <c r="E275" s="43">
        <f>IF('CONTROLE CMM'!B277="","",'CONTROLE CMM'!B277)</f>
        <v/>
      </c>
      <c r="F275" s="18">
        <f>IF('CONTROLE CMM'!C277="","",'CONTROLE CMM'!C277)</f>
        <v/>
      </c>
      <c r="G275" s="26">
        <f>IF('CONTROLE CMM'!D277="","",'CONTROLE CMM'!D277)</f>
        <v/>
      </c>
      <c r="H275" s="43">
        <f>IF('CONTROLE GLOBO AÇOS'!B277="","",'CONTROLE GLOBO AÇOS'!B277)</f>
        <v/>
      </c>
      <c r="I275" s="18">
        <f>IF('CONTROLE GLOBO AÇOS'!C277="","",'CONTROLE GLOBO AÇOS'!C277)</f>
        <v/>
      </c>
      <c r="J275" s="18">
        <f>IF('CONTROLE GLOBO AÇOS'!D277="","",'CONTROLE GLOBO AÇOS'!D277)</f>
        <v/>
      </c>
      <c r="AD275" s="39">
        <f>IF($A275="",0,IF(AND(WEEKDAY($A275,2)&lt;=5,OR($B275&lt;&gt;"",$C275&lt;&gt;"",$D275&lt;&gt;"")),1,0))</f>
        <v/>
      </c>
      <c r="AE275" s="39">
        <f>IF($A275="",0,IF(AND(WEEKDAY($A275,2)&lt;=5,OR($E275&lt;&gt;"",$F275&lt;&gt;"",$G275&lt;&gt;"")),1,0))</f>
        <v/>
      </c>
      <c r="AF275" s="39">
        <f>MAX(AD275,AE275)</f>
        <v/>
      </c>
      <c r="AH275" s="223">
        <f>IF('CONTROLE GLOBO AÇOS'!E277="","",'CONTROLE GLOBO AÇOS'!E277)</f>
        <v/>
      </c>
      <c r="AI275" s="223">
        <f>IF('CONTROLE GLOBO AÇOS'!F277="","",'CONTROLE GLOBO AÇOS'!F277)</f>
        <v/>
      </c>
      <c r="AJ275" s="223">
        <f>IF(AND('CONTROLE EJ'!E277="",'CONTROLE CMM'!E277=""),"",N('CONTROLE EJ'!E277)+N('CONTROLE CMM'!E277))</f>
        <v/>
      </c>
      <c r="AK275" s="223">
        <f>IF(AND('CONTROLE EJ'!F277="",'CONTROLE CMM'!F277=""),"",N('CONTROLE EJ'!F277)+N('CONTROLE CMM'!F277))</f>
        <v/>
      </c>
      <c r="AL275" s="223">
        <f>IF(AND('CONTROLE EJ'!G277="",'CONTROLE CMM'!G277=""),"",N('CONTROLE EJ'!G277)+N('CONTROLE CMM'!G277))</f>
        <v/>
      </c>
      <c r="AM275" s="223">
        <f>IF(AND('CONTROLE EJ'!H277="",'CONTROLE CMM'!H277=""),"",N('CONTROLE EJ'!H277)+N('CONTROLE CMM'!H277))</f>
        <v/>
      </c>
      <c r="AN275" s="223">
        <f>IF('CONTROLE GLOBO AÇOS'!G277="","",'CONTROLE GLOBO AÇOS'!G277)</f>
        <v/>
      </c>
      <c r="AO275" s="223">
        <f>IF('CONTROLE GLOBO AÇOS'!H277="","",'CONTROLE GLOBO AÇOS'!H277)</f>
        <v/>
      </c>
      <c r="AP275" s="223">
        <f>IF(AND('CONTROLE EJ'!I277="",'CONTROLE CMM'!I277=""),"",N('CONTROLE EJ'!I277)+N('CONTROLE CMM'!I277))</f>
        <v/>
      </c>
      <c r="AQ275" s="223">
        <f>IF(AND('CONTROLE EJ'!J277="",'CONTROLE CMM'!#REF!=""),"",N('CONTROLE EJ'!J277)+N('CONTROLE CMM'!#REF!))</f>
        <v/>
      </c>
      <c r="AR275" s="223">
        <f>IF('CONTROLE GLOBO AÇOS'!I277="","",'CONTROLE GLOBO AÇOS'!I277)</f>
        <v/>
      </c>
      <c r="AS275" s="223">
        <f>IF('CONTROLE GLOBO AÇOS'!J277="","",'CONTROLE GLOBO AÇOS'!J277)</f>
        <v/>
      </c>
      <c r="AT275" s="223">
        <f>IF(#REF!="","",#REF!)</f>
        <v/>
      </c>
      <c r="AU275" s="223">
        <f>IF('CONTROLE GLOBO AÇOS'!K277="","",'CONTROLE GLOBO AÇOS'!K277)</f>
        <v/>
      </c>
      <c r="AV275" s="223">
        <f>IF(AND('CONTROLE EJ'!K277="",'CONTROLE CMM'!#REF!=""),"",N('CONTROLE EJ'!K277)+N('CONTROLE CMM'!#REF!))</f>
        <v/>
      </c>
      <c r="AW275" s="223">
        <f>IF('CONTROLE GLOBO AÇOS'!L277="","",'CONTROLE GLOBO AÇOS'!L277)</f>
        <v/>
      </c>
      <c r="AX275" s="223">
        <f>IF(AND('CONTROLE EJ'!L277="",'CONTROLE CMM'!#REF!=""),"",N('CONTROLE EJ'!L277)+N('CONTROLE CMM'!#REF!))</f>
        <v/>
      </c>
      <c r="AY275" s="223">
        <f>IF('CONTROLE GLOBO AÇOS'!M277="","",'CONTROLE GLOBO AÇOS'!M277)</f>
        <v/>
      </c>
      <c r="AZ275" s="223">
        <f>IF('CONTROLE GLOBO AÇOS'!N277="","",'CONTROLE GLOBO AÇOS'!N277)</f>
        <v/>
      </c>
      <c r="BA275" s="223">
        <f>IF(AND('CONTROLE EJ'!M277="",'CONTROLE CMM'!#REF!=""),"",N('CONTROLE EJ'!M277)+N('CONTROLE CMM'!#REF!))</f>
        <v/>
      </c>
      <c r="BB275" s="223">
        <f>IF(#REF!="","",#REF!)</f>
        <v/>
      </c>
      <c r="BC275" s="223">
        <f>IF('CONTROLE GLOBO AÇOS'!O277="","",'CONTROLE GLOBO AÇOS'!O277)</f>
        <v/>
      </c>
      <c r="BD275" s="223">
        <f>IF(AND('CONTROLE EJ'!N277="",'CONTROLE CMM'!#REF!=""),"",N('CONTROLE EJ'!N277)+N('CONTROLE CMM'!#REF!))</f>
        <v/>
      </c>
      <c r="BE275" s="223">
        <f>IF('CONTROLE GLOBO AÇOS'!P277="","",'CONTROLE GLOBO AÇOS'!P277)</f>
        <v/>
      </c>
      <c r="BF275" s="223">
        <f>IF('CONTROLE GLOBO AÇOS'!Q277="","",'CONTROLE GLOBO AÇOS'!Q277)</f>
        <v/>
      </c>
      <c r="BG275" s="223">
        <f>IF('CONTROLE GLOBO AÇOS'!R277="","",'CONTROLE GLOBO AÇOS'!R277)</f>
        <v/>
      </c>
      <c r="BH275" s="223">
        <f>IF(AND('CONTROLE EJ'!O277="",'CONTROLE CMM'!#REF!=""),"",N('CONTROLE EJ'!O277)+N('CONTROLE CMM'!#REF!))</f>
        <v/>
      </c>
      <c r="BI275" s="223">
        <f>IF('CONTROLE GLOBO AÇOS'!S277="","",'CONTROLE GLOBO AÇOS'!S277)</f>
        <v/>
      </c>
      <c r="BJ275" s="223">
        <f>IF('CONTROLE GLOBO AÇOS'!T277="","",'CONTROLE GLOBO AÇOS'!T277)</f>
        <v/>
      </c>
      <c r="BK275" s="223">
        <f>IF('CONTROLE GLOBO AÇOS'!U277="","",'CONTROLE GLOBO AÇOS'!U277)</f>
        <v/>
      </c>
      <c r="BL275" s="223">
        <f>IF(AND('CONTROLE EJ'!P277="",'CONTROLE CMM'!#REF!=""),"",N('CONTROLE EJ'!P277)+N('CONTROLE CMM'!#REF!))</f>
        <v/>
      </c>
      <c r="BM275" s="223">
        <f>IF(AND('CONTROLE EJ'!Q277="",'CONTROLE CMM'!#REF!=""),"",N('CONTROLE EJ'!Q277)+N('CONTROLE CMM'!#REF!))</f>
        <v/>
      </c>
      <c r="BN275" s="223">
        <f>IF('CONTROLE GLOBO AÇOS'!V277="","",'CONTROLE GLOBO AÇOS'!V277)</f>
        <v/>
      </c>
      <c r="BO275" s="223">
        <f>IF('CONTROLE GLOBO AÇOS'!W277="","",'CONTROLE GLOBO AÇOS'!W277)</f>
        <v/>
      </c>
      <c r="BP275" s="223">
        <f>IF(AND('CONTROLE EJ'!R277="",'CONTROLE CMM'!#REF!=""),"",N('CONTROLE EJ'!R277)+N('CONTROLE CMM'!#REF!))</f>
        <v/>
      </c>
      <c r="BQ275" s="223">
        <f>IF(#REF!="","",#REF!)</f>
        <v/>
      </c>
      <c r="BR275" s="223">
        <f>IF(AND('CONTROLE EJ'!S277="",'CONTROLE CMM'!#REF!=""),"",N('CONTROLE EJ'!S277)+N('CONTROLE CMM'!#REF!))</f>
        <v/>
      </c>
      <c r="BS275" s="223">
        <f>IF(AND('CONTROLE EJ'!T277="",'CONTROLE CMM'!#REF!=""),"",N('CONTROLE EJ'!T277)+N('CONTROLE CMM'!#REF!))</f>
        <v/>
      </c>
      <c r="BT275" s="223">
        <f>IF('CONTROLE GLOBO AÇOS'!X277="","",'CONTROLE GLOBO AÇOS'!X277)</f>
        <v/>
      </c>
      <c r="BU275" s="223">
        <f>IF('CONTROLE GLOBO AÇOS'!Y277="","",'CONTROLE GLOBO AÇOS'!Y277)</f>
        <v/>
      </c>
      <c r="BV275" s="223">
        <f>IF(AND('CONTROLE EJ'!U277="",'CONTROLE CMM'!#REF!=""),"",N('CONTROLE EJ'!U277)+N('CONTROLE CMM'!#REF!))</f>
        <v/>
      </c>
      <c r="BW275" s="223">
        <f>IF(#REF!="","",#REF!)</f>
        <v/>
      </c>
    </row>
    <row r="276">
      <c r="A276" s="282" t="n">
        <v>46493</v>
      </c>
      <c r="B276" s="18">
        <f>IF('CONTROLE EJ'!B278="","",'CONTROLE EJ'!B278)</f>
        <v/>
      </c>
      <c r="C276" s="18">
        <f>IF('CONTROLE EJ'!C278="","",'CONTROLE EJ'!C278)</f>
        <v/>
      </c>
      <c r="D276" s="42">
        <f>IF('CONTROLE EJ'!D278="","",'CONTROLE EJ'!D278)</f>
        <v/>
      </c>
      <c r="E276" s="43">
        <f>IF('CONTROLE CMM'!B278="","",'CONTROLE CMM'!B278)</f>
        <v/>
      </c>
      <c r="F276" s="18">
        <f>IF('CONTROLE CMM'!C278="","",'CONTROLE CMM'!C278)</f>
        <v/>
      </c>
      <c r="G276" s="26">
        <f>IF('CONTROLE CMM'!D278="","",'CONTROLE CMM'!D278)</f>
        <v/>
      </c>
      <c r="H276" s="43">
        <f>IF('CONTROLE GLOBO AÇOS'!B278="","",'CONTROLE GLOBO AÇOS'!B278)</f>
        <v/>
      </c>
      <c r="I276" s="18">
        <f>IF('CONTROLE GLOBO AÇOS'!C278="","",'CONTROLE GLOBO AÇOS'!C278)</f>
        <v/>
      </c>
      <c r="J276" s="18">
        <f>IF('CONTROLE GLOBO AÇOS'!D278="","",'CONTROLE GLOBO AÇOS'!D278)</f>
        <v/>
      </c>
      <c r="AD276" s="39">
        <f>IF($A276="",0,IF(AND(WEEKDAY($A276,2)&lt;=5,OR($B276&lt;&gt;"",$C276&lt;&gt;"",$D276&lt;&gt;"")),1,0))</f>
        <v/>
      </c>
      <c r="AE276" s="39">
        <f>IF($A276="",0,IF(AND(WEEKDAY($A276,2)&lt;=5,OR($E276&lt;&gt;"",$F276&lt;&gt;"",$G276&lt;&gt;"")),1,0))</f>
        <v/>
      </c>
      <c r="AF276" s="39">
        <f>MAX(AD276,AE276)</f>
        <v/>
      </c>
      <c r="AH276" s="223">
        <f>IF('CONTROLE GLOBO AÇOS'!E278="","",'CONTROLE GLOBO AÇOS'!E278)</f>
        <v/>
      </c>
      <c r="AI276" s="223">
        <f>IF('CONTROLE GLOBO AÇOS'!F278="","",'CONTROLE GLOBO AÇOS'!F278)</f>
        <v/>
      </c>
      <c r="AJ276" s="223">
        <f>IF(AND('CONTROLE EJ'!E278="",'CONTROLE CMM'!E278=""),"",N('CONTROLE EJ'!E278)+N('CONTROLE CMM'!E278))</f>
        <v/>
      </c>
      <c r="AK276" s="223">
        <f>IF(AND('CONTROLE EJ'!F278="",'CONTROLE CMM'!F278=""),"",N('CONTROLE EJ'!F278)+N('CONTROLE CMM'!F278))</f>
        <v/>
      </c>
      <c r="AL276" s="223">
        <f>IF(AND('CONTROLE EJ'!G278="",'CONTROLE CMM'!G278=""),"",N('CONTROLE EJ'!G278)+N('CONTROLE CMM'!G278))</f>
        <v/>
      </c>
      <c r="AM276" s="223">
        <f>IF(AND('CONTROLE EJ'!H278="",'CONTROLE CMM'!H278=""),"",N('CONTROLE EJ'!H278)+N('CONTROLE CMM'!H278))</f>
        <v/>
      </c>
      <c r="AN276" s="223">
        <f>IF('CONTROLE GLOBO AÇOS'!G278="","",'CONTROLE GLOBO AÇOS'!G278)</f>
        <v/>
      </c>
      <c r="AO276" s="223">
        <f>IF('CONTROLE GLOBO AÇOS'!H278="","",'CONTROLE GLOBO AÇOS'!H278)</f>
        <v/>
      </c>
      <c r="AP276" s="223">
        <f>IF(AND('CONTROLE EJ'!I278="",'CONTROLE CMM'!I278=""),"",N('CONTROLE EJ'!I278)+N('CONTROLE CMM'!I278))</f>
        <v/>
      </c>
      <c r="AQ276" s="223">
        <f>IF(AND('CONTROLE EJ'!J278="",'CONTROLE CMM'!#REF!=""),"",N('CONTROLE EJ'!J278)+N('CONTROLE CMM'!#REF!))</f>
        <v/>
      </c>
      <c r="AR276" s="223">
        <f>IF('CONTROLE GLOBO AÇOS'!I278="","",'CONTROLE GLOBO AÇOS'!I278)</f>
        <v/>
      </c>
      <c r="AS276" s="223">
        <f>IF('CONTROLE GLOBO AÇOS'!J278="","",'CONTROLE GLOBO AÇOS'!J278)</f>
        <v/>
      </c>
      <c r="AT276" s="223">
        <f>IF(#REF!="","",#REF!)</f>
        <v/>
      </c>
      <c r="AU276" s="223">
        <f>IF('CONTROLE GLOBO AÇOS'!K278="","",'CONTROLE GLOBO AÇOS'!K278)</f>
        <v/>
      </c>
      <c r="AV276" s="223">
        <f>IF(AND('CONTROLE EJ'!K278="",'CONTROLE CMM'!#REF!=""),"",N('CONTROLE EJ'!K278)+N('CONTROLE CMM'!#REF!))</f>
        <v/>
      </c>
      <c r="AW276" s="223">
        <f>IF('CONTROLE GLOBO AÇOS'!L278="","",'CONTROLE GLOBO AÇOS'!L278)</f>
        <v/>
      </c>
      <c r="AX276" s="223">
        <f>IF(AND('CONTROLE EJ'!L278="",'CONTROLE CMM'!#REF!=""),"",N('CONTROLE EJ'!L278)+N('CONTROLE CMM'!#REF!))</f>
        <v/>
      </c>
      <c r="AY276" s="223">
        <f>IF('CONTROLE GLOBO AÇOS'!M278="","",'CONTROLE GLOBO AÇOS'!M278)</f>
        <v/>
      </c>
      <c r="AZ276" s="223">
        <f>IF('CONTROLE GLOBO AÇOS'!N278="","",'CONTROLE GLOBO AÇOS'!N278)</f>
        <v/>
      </c>
      <c r="BA276" s="223">
        <f>IF(AND('CONTROLE EJ'!M278="",'CONTROLE CMM'!#REF!=""),"",N('CONTROLE EJ'!M278)+N('CONTROLE CMM'!#REF!))</f>
        <v/>
      </c>
      <c r="BB276" s="223">
        <f>IF(#REF!="","",#REF!)</f>
        <v/>
      </c>
      <c r="BC276" s="223">
        <f>IF('CONTROLE GLOBO AÇOS'!O278="","",'CONTROLE GLOBO AÇOS'!O278)</f>
        <v/>
      </c>
      <c r="BD276" s="223">
        <f>IF(AND('CONTROLE EJ'!N278="",'CONTROLE CMM'!#REF!=""),"",N('CONTROLE EJ'!N278)+N('CONTROLE CMM'!#REF!))</f>
        <v/>
      </c>
      <c r="BE276" s="223">
        <f>IF('CONTROLE GLOBO AÇOS'!P278="","",'CONTROLE GLOBO AÇOS'!P278)</f>
        <v/>
      </c>
      <c r="BF276" s="223">
        <f>IF('CONTROLE GLOBO AÇOS'!Q278="","",'CONTROLE GLOBO AÇOS'!Q278)</f>
        <v/>
      </c>
      <c r="BG276" s="223">
        <f>IF('CONTROLE GLOBO AÇOS'!R278="","",'CONTROLE GLOBO AÇOS'!R278)</f>
        <v/>
      </c>
      <c r="BH276" s="223">
        <f>IF(AND('CONTROLE EJ'!O278="",'CONTROLE CMM'!#REF!=""),"",N('CONTROLE EJ'!O278)+N('CONTROLE CMM'!#REF!))</f>
        <v/>
      </c>
      <c r="BI276" s="223">
        <f>IF('CONTROLE GLOBO AÇOS'!S278="","",'CONTROLE GLOBO AÇOS'!S278)</f>
        <v/>
      </c>
      <c r="BJ276" s="223">
        <f>IF('CONTROLE GLOBO AÇOS'!T278="","",'CONTROLE GLOBO AÇOS'!T278)</f>
        <v/>
      </c>
      <c r="BK276" s="223">
        <f>IF('CONTROLE GLOBO AÇOS'!U278="","",'CONTROLE GLOBO AÇOS'!U278)</f>
        <v/>
      </c>
      <c r="BL276" s="223">
        <f>IF(AND('CONTROLE EJ'!P278="",'CONTROLE CMM'!#REF!=""),"",N('CONTROLE EJ'!P278)+N('CONTROLE CMM'!#REF!))</f>
        <v/>
      </c>
      <c r="BM276" s="223">
        <f>IF(AND('CONTROLE EJ'!Q278="",'CONTROLE CMM'!#REF!=""),"",N('CONTROLE EJ'!Q278)+N('CONTROLE CMM'!#REF!))</f>
        <v/>
      </c>
      <c r="BN276" s="223">
        <f>IF('CONTROLE GLOBO AÇOS'!V278="","",'CONTROLE GLOBO AÇOS'!V278)</f>
        <v/>
      </c>
      <c r="BO276" s="223">
        <f>IF('CONTROLE GLOBO AÇOS'!W278="","",'CONTROLE GLOBO AÇOS'!W278)</f>
        <v/>
      </c>
      <c r="BP276" s="223">
        <f>IF(AND('CONTROLE EJ'!R278="",'CONTROLE CMM'!#REF!=""),"",N('CONTROLE EJ'!R278)+N('CONTROLE CMM'!#REF!))</f>
        <v/>
      </c>
      <c r="BQ276" s="223">
        <f>IF(#REF!="","",#REF!)</f>
        <v/>
      </c>
      <c r="BR276" s="223">
        <f>IF(AND('CONTROLE EJ'!S278="",'CONTROLE CMM'!#REF!=""),"",N('CONTROLE EJ'!S278)+N('CONTROLE CMM'!#REF!))</f>
        <v/>
      </c>
      <c r="BS276" s="223">
        <f>IF(AND('CONTROLE EJ'!T278="",'CONTROLE CMM'!#REF!=""),"",N('CONTROLE EJ'!T278)+N('CONTROLE CMM'!#REF!))</f>
        <v/>
      </c>
      <c r="BT276" s="223">
        <f>IF('CONTROLE GLOBO AÇOS'!X278="","",'CONTROLE GLOBO AÇOS'!X278)</f>
        <v/>
      </c>
      <c r="BU276" s="223">
        <f>IF('CONTROLE GLOBO AÇOS'!Y278="","",'CONTROLE GLOBO AÇOS'!Y278)</f>
        <v/>
      </c>
      <c r="BV276" s="223">
        <f>IF(AND('CONTROLE EJ'!U278="",'CONTROLE CMM'!#REF!=""),"",N('CONTROLE EJ'!U278)+N('CONTROLE CMM'!#REF!))</f>
        <v/>
      </c>
      <c r="BW276" s="223">
        <f>IF(#REF!="","",#REF!)</f>
        <v/>
      </c>
    </row>
    <row r="277">
      <c r="A277" s="282" t="n">
        <v>46494</v>
      </c>
      <c r="B277" s="18">
        <f>IF('CONTROLE EJ'!B279="","",'CONTROLE EJ'!B279)</f>
        <v/>
      </c>
      <c r="C277" s="18">
        <f>IF('CONTROLE EJ'!C279="","",'CONTROLE EJ'!C279)</f>
        <v/>
      </c>
      <c r="D277" s="42">
        <f>IF('CONTROLE EJ'!D279="","",'CONTROLE EJ'!D279)</f>
        <v/>
      </c>
      <c r="E277" s="43">
        <f>IF('CONTROLE CMM'!B279="","",'CONTROLE CMM'!B279)</f>
        <v/>
      </c>
      <c r="F277" s="18">
        <f>IF('CONTROLE CMM'!C279="","",'CONTROLE CMM'!C279)</f>
        <v/>
      </c>
      <c r="G277" s="26">
        <f>IF('CONTROLE CMM'!D279="","",'CONTROLE CMM'!D279)</f>
        <v/>
      </c>
      <c r="H277" s="43">
        <f>IF('CONTROLE GLOBO AÇOS'!B279="","",'CONTROLE GLOBO AÇOS'!B279)</f>
        <v/>
      </c>
      <c r="I277" s="18">
        <f>IF('CONTROLE GLOBO AÇOS'!C279="","",'CONTROLE GLOBO AÇOS'!C279)</f>
        <v/>
      </c>
      <c r="J277" s="18">
        <f>IF('CONTROLE GLOBO AÇOS'!D279="","",'CONTROLE GLOBO AÇOS'!D279)</f>
        <v/>
      </c>
      <c r="AD277" s="39">
        <f>IF($A277="",0,IF(AND(WEEKDAY($A277,2)&lt;=5,OR($B277&lt;&gt;"",$C277&lt;&gt;"",$D277&lt;&gt;"")),1,0))</f>
        <v/>
      </c>
      <c r="AE277" s="39">
        <f>IF($A277="",0,IF(AND(WEEKDAY($A277,2)&lt;=5,OR($E277&lt;&gt;"",$F277&lt;&gt;"",$G277&lt;&gt;"")),1,0))</f>
        <v/>
      </c>
      <c r="AF277" s="39">
        <f>MAX(AD277,AE277)</f>
        <v/>
      </c>
      <c r="AH277" s="223">
        <f>IF('CONTROLE GLOBO AÇOS'!E279="","",'CONTROLE GLOBO AÇOS'!E279)</f>
        <v/>
      </c>
      <c r="AI277" s="223">
        <f>IF('CONTROLE GLOBO AÇOS'!F279="","",'CONTROLE GLOBO AÇOS'!F279)</f>
        <v/>
      </c>
      <c r="AJ277" s="223">
        <f>IF(AND('CONTROLE EJ'!E279="",'CONTROLE CMM'!E279=""),"",N('CONTROLE EJ'!E279)+N('CONTROLE CMM'!E279))</f>
        <v/>
      </c>
      <c r="AK277" s="223">
        <f>IF(AND('CONTROLE EJ'!F279="",'CONTROLE CMM'!F279=""),"",N('CONTROLE EJ'!F279)+N('CONTROLE CMM'!F279))</f>
        <v/>
      </c>
      <c r="AL277" s="223">
        <f>IF(AND('CONTROLE EJ'!G279="",'CONTROLE CMM'!G279=""),"",N('CONTROLE EJ'!G279)+N('CONTROLE CMM'!G279))</f>
        <v/>
      </c>
      <c r="AM277" s="223">
        <f>IF(AND('CONTROLE EJ'!H279="",'CONTROLE CMM'!H279=""),"",N('CONTROLE EJ'!H279)+N('CONTROLE CMM'!H279))</f>
        <v/>
      </c>
      <c r="AN277" s="223">
        <f>IF('CONTROLE GLOBO AÇOS'!G279="","",'CONTROLE GLOBO AÇOS'!G279)</f>
        <v/>
      </c>
      <c r="AO277" s="223">
        <f>IF('CONTROLE GLOBO AÇOS'!H279="","",'CONTROLE GLOBO AÇOS'!H279)</f>
        <v/>
      </c>
      <c r="AP277" s="223">
        <f>IF(AND('CONTROLE EJ'!I279="",'CONTROLE CMM'!I279=""),"",N('CONTROLE EJ'!I279)+N('CONTROLE CMM'!I279))</f>
        <v/>
      </c>
      <c r="AQ277" s="223">
        <f>IF(AND('CONTROLE EJ'!J279="",'CONTROLE CMM'!#REF!=""),"",N('CONTROLE EJ'!J279)+N('CONTROLE CMM'!#REF!))</f>
        <v/>
      </c>
      <c r="AR277" s="223">
        <f>IF('CONTROLE GLOBO AÇOS'!I279="","",'CONTROLE GLOBO AÇOS'!I279)</f>
        <v/>
      </c>
      <c r="AS277" s="223">
        <f>IF('CONTROLE GLOBO AÇOS'!J279="","",'CONTROLE GLOBO AÇOS'!J279)</f>
        <v/>
      </c>
      <c r="AT277" s="223">
        <f>IF(#REF!="","",#REF!)</f>
        <v/>
      </c>
      <c r="AU277" s="223">
        <f>IF('CONTROLE GLOBO AÇOS'!K279="","",'CONTROLE GLOBO AÇOS'!K279)</f>
        <v/>
      </c>
      <c r="AV277" s="223">
        <f>IF(AND('CONTROLE EJ'!K279="",'CONTROLE CMM'!#REF!=""),"",N('CONTROLE EJ'!K279)+N('CONTROLE CMM'!#REF!))</f>
        <v/>
      </c>
      <c r="AW277" s="223">
        <f>IF('CONTROLE GLOBO AÇOS'!L279="","",'CONTROLE GLOBO AÇOS'!L279)</f>
        <v/>
      </c>
      <c r="AX277" s="223">
        <f>IF(AND('CONTROLE EJ'!L279="",'CONTROLE CMM'!#REF!=""),"",N('CONTROLE EJ'!L279)+N('CONTROLE CMM'!#REF!))</f>
        <v/>
      </c>
      <c r="AY277" s="223">
        <f>IF('CONTROLE GLOBO AÇOS'!M279="","",'CONTROLE GLOBO AÇOS'!M279)</f>
        <v/>
      </c>
      <c r="AZ277" s="223">
        <f>IF('CONTROLE GLOBO AÇOS'!N279="","",'CONTROLE GLOBO AÇOS'!N279)</f>
        <v/>
      </c>
      <c r="BA277" s="223">
        <f>IF(AND('CONTROLE EJ'!M279="",'CONTROLE CMM'!#REF!=""),"",N('CONTROLE EJ'!M279)+N('CONTROLE CMM'!#REF!))</f>
        <v/>
      </c>
      <c r="BB277" s="223">
        <f>IF(#REF!="","",#REF!)</f>
        <v/>
      </c>
      <c r="BC277" s="223">
        <f>IF('CONTROLE GLOBO AÇOS'!O279="","",'CONTROLE GLOBO AÇOS'!O279)</f>
        <v/>
      </c>
      <c r="BD277" s="223">
        <f>IF(AND('CONTROLE EJ'!N279="",'CONTROLE CMM'!#REF!=""),"",N('CONTROLE EJ'!N279)+N('CONTROLE CMM'!#REF!))</f>
        <v/>
      </c>
      <c r="BE277" s="223">
        <f>IF('CONTROLE GLOBO AÇOS'!P279="","",'CONTROLE GLOBO AÇOS'!P279)</f>
        <v/>
      </c>
      <c r="BF277" s="223">
        <f>IF('CONTROLE GLOBO AÇOS'!Q279="","",'CONTROLE GLOBO AÇOS'!Q279)</f>
        <v/>
      </c>
      <c r="BG277" s="223">
        <f>IF('CONTROLE GLOBO AÇOS'!R279="","",'CONTROLE GLOBO AÇOS'!R279)</f>
        <v/>
      </c>
      <c r="BH277" s="223">
        <f>IF(AND('CONTROLE EJ'!O279="",'CONTROLE CMM'!#REF!=""),"",N('CONTROLE EJ'!O279)+N('CONTROLE CMM'!#REF!))</f>
        <v/>
      </c>
      <c r="BI277" s="223">
        <f>IF('CONTROLE GLOBO AÇOS'!S279="","",'CONTROLE GLOBO AÇOS'!S279)</f>
        <v/>
      </c>
      <c r="BJ277" s="223">
        <f>IF('CONTROLE GLOBO AÇOS'!T279="","",'CONTROLE GLOBO AÇOS'!T279)</f>
        <v/>
      </c>
      <c r="BK277" s="223">
        <f>IF('CONTROLE GLOBO AÇOS'!U279="","",'CONTROLE GLOBO AÇOS'!U279)</f>
        <v/>
      </c>
      <c r="BL277" s="223">
        <f>IF(AND('CONTROLE EJ'!P279="",'CONTROLE CMM'!#REF!=""),"",N('CONTROLE EJ'!P279)+N('CONTROLE CMM'!#REF!))</f>
        <v/>
      </c>
      <c r="BM277" s="223">
        <f>IF(AND('CONTROLE EJ'!Q279="",'CONTROLE CMM'!#REF!=""),"",N('CONTROLE EJ'!Q279)+N('CONTROLE CMM'!#REF!))</f>
        <v/>
      </c>
      <c r="BN277" s="223">
        <f>IF('CONTROLE GLOBO AÇOS'!V279="","",'CONTROLE GLOBO AÇOS'!V279)</f>
        <v/>
      </c>
      <c r="BO277" s="223">
        <f>IF('CONTROLE GLOBO AÇOS'!W279="","",'CONTROLE GLOBO AÇOS'!W279)</f>
        <v/>
      </c>
      <c r="BP277" s="223">
        <f>IF(AND('CONTROLE EJ'!R279="",'CONTROLE CMM'!#REF!=""),"",N('CONTROLE EJ'!R279)+N('CONTROLE CMM'!#REF!))</f>
        <v/>
      </c>
      <c r="BQ277" s="223">
        <f>IF(#REF!="","",#REF!)</f>
        <v/>
      </c>
      <c r="BR277" s="223">
        <f>IF(AND('CONTROLE EJ'!S279="",'CONTROLE CMM'!#REF!=""),"",N('CONTROLE EJ'!S279)+N('CONTROLE CMM'!#REF!))</f>
        <v/>
      </c>
      <c r="BS277" s="223">
        <f>IF(AND('CONTROLE EJ'!T279="",'CONTROLE CMM'!#REF!=""),"",N('CONTROLE EJ'!T279)+N('CONTROLE CMM'!#REF!))</f>
        <v/>
      </c>
      <c r="BT277" s="223">
        <f>IF('CONTROLE GLOBO AÇOS'!X279="","",'CONTROLE GLOBO AÇOS'!X279)</f>
        <v/>
      </c>
      <c r="BU277" s="223">
        <f>IF('CONTROLE GLOBO AÇOS'!Y279="","",'CONTROLE GLOBO AÇOS'!Y279)</f>
        <v/>
      </c>
      <c r="BV277" s="223">
        <f>IF(AND('CONTROLE EJ'!U279="",'CONTROLE CMM'!#REF!=""),"",N('CONTROLE EJ'!U279)+N('CONTROLE CMM'!#REF!))</f>
        <v/>
      </c>
      <c r="BW277" s="223">
        <f>IF(#REF!="","",#REF!)</f>
        <v/>
      </c>
    </row>
    <row r="278">
      <c r="A278" s="282" t="n">
        <v>46495</v>
      </c>
      <c r="B278" s="18">
        <f>IF('CONTROLE EJ'!B280="","",'CONTROLE EJ'!B280)</f>
        <v/>
      </c>
      <c r="C278" s="18">
        <f>IF('CONTROLE EJ'!C280="","",'CONTROLE EJ'!C280)</f>
        <v/>
      </c>
      <c r="D278" s="42">
        <f>IF('CONTROLE EJ'!D280="","",'CONTROLE EJ'!D280)</f>
        <v/>
      </c>
      <c r="E278" s="43">
        <f>IF('CONTROLE CMM'!B280="","",'CONTROLE CMM'!B280)</f>
        <v/>
      </c>
      <c r="F278" s="18">
        <f>IF('CONTROLE CMM'!C280="","",'CONTROLE CMM'!C280)</f>
        <v/>
      </c>
      <c r="G278" s="26">
        <f>IF('CONTROLE CMM'!D280="","",'CONTROLE CMM'!D280)</f>
        <v/>
      </c>
      <c r="H278" s="43">
        <f>IF('CONTROLE GLOBO AÇOS'!B280="","",'CONTROLE GLOBO AÇOS'!B280)</f>
        <v/>
      </c>
      <c r="I278" s="18">
        <f>IF('CONTROLE GLOBO AÇOS'!C280="","",'CONTROLE GLOBO AÇOS'!C280)</f>
        <v/>
      </c>
      <c r="J278" s="18">
        <f>IF('CONTROLE GLOBO AÇOS'!D280="","",'CONTROLE GLOBO AÇOS'!D280)</f>
        <v/>
      </c>
      <c r="AD278" s="39">
        <f>IF($A278="",0,IF(AND(WEEKDAY($A278,2)&lt;=5,OR($B278&lt;&gt;"",$C278&lt;&gt;"",$D278&lt;&gt;"")),1,0))</f>
        <v/>
      </c>
      <c r="AE278" s="39">
        <f>IF($A278="",0,IF(AND(WEEKDAY($A278,2)&lt;=5,OR($E278&lt;&gt;"",$F278&lt;&gt;"",$G278&lt;&gt;"")),1,0))</f>
        <v/>
      </c>
      <c r="AF278" s="39">
        <f>MAX(AD278,AE278)</f>
        <v/>
      </c>
      <c r="AH278" s="223">
        <f>IF('CONTROLE GLOBO AÇOS'!E280="","",'CONTROLE GLOBO AÇOS'!E280)</f>
        <v/>
      </c>
      <c r="AI278" s="223">
        <f>IF('CONTROLE GLOBO AÇOS'!F280="","",'CONTROLE GLOBO AÇOS'!F280)</f>
        <v/>
      </c>
      <c r="AJ278" s="223">
        <f>IF(AND('CONTROLE EJ'!E280="",'CONTROLE CMM'!E280=""),"",N('CONTROLE EJ'!E280)+N('CONTROLE CMM'!E280))</f>
        <v/>
      </c>
      <c r="AK278" s="223">
        <f>IF(AND('CONTROLE EJ'!F280="",'CONTROLE CMM'!F280=""),"",N('CONTROLE EJ'!F280)+N('CONTROLE CMM'!F280))</f>
        <v/>
      </c>
      <c r="AL278" s="223">
        <f>IF(AND('CONTROLE EJ'!G280="",'CONTROLE CMM'!G280=""),"",N('CONTROLE EJ'!G280)+N('CONTROLE CMM'!G280))</f>
        <v/>
      </c>
      <c r="AM278" s="223">
        <f>IF(AND('CONTROLE EJ'!H280="",'CONTROLE CMM'!H280=""),"",N('CONTROLE EJ'!H280)+N('CONTROLE CMM'!H280))</f>
        <v/>
      </c>
      <c r="AN278" s="223">
        <f>IF('CONTROLE GLOBO AÇOS'!G280="","",'CONTROLE GLOBO AÇOS'!G280)</f>
        <v/>
      </c>
      <c r="AO278" s="223">
        <f>IF('CONTROLE GLOBO AÇOS'!H280="","",'CONTROLE GLOBO AÇOS'!H280)</f>
        <v/>
      </c>
      <c r="AP278" s="223">
        <f>IF(AND('CONTROLE EJ'!I280="",'CONTROLE CMM'!I280=""),"",N('CONTROLE EJ'!I280)+N('CONTROLE CMM'!I280))</f>
        <v/>
      </c>
      <c r="AQ278" s="223">
        <f>IF(AND('CONTROLE EJ'!J280="",'CONTROLE CMM'!#REF!=""),"",N('CONTROLE EJ'!J280)+N('CONTROLE CMM'!#REF!))</f>
        <v/>
      </c>
      <c r="AR278" s="223">
        <f>IF('CONTROLE GLOBO AÇOS'!I280="","",'CONTROLE GLOBO AÇOS'!I280)</f>
        <v/>
      </c>
      <c r="AS278" s="223">
        <f>IF('CONTROLE GLOBO AÇOS'!J280="","",'CONTROLE GLOBO AÇOS'!J280)</f>
        <v/>
      </c>
      <c r="AT278" s="223">
        <f>IF(#REF!="","",#REF!)</f>
        <v/>
      </c>
      <c r="AU278" s="223">
        <f>IF('CONTROLE GLOBO AÇOS'!K280="","",'CONTROLE GLOBO AÇOS'!K280)</f>
        <v/>
      </c>
      <c r="AV278" s="223">
        <f>IF(AND('CONTROLE EJ'!K280="",'CONTROLE CMM'!#REF!=""),"",N('CONTROLE EJ'!K280)+N('CONTROLE CMM'!#REF!))</f>
        <v/>
      </c>
      <c r="AW278" s="223">
        <f>IF('CONTROLE GLOBO AÇOS'!L280="","",'CONTROLE GLOBO AÇOS'!L280)</f>
        <v/>
      </c>
      <c r="AX278" s="223">
        <f>IF(AND('CONTROLE EJ'!L280="",'CONTROLE CMM'!#REF!=""),"",N('CONTROLE EJ'!L280)+N('CONTROLE CMM'!#REF!))</f>
        <v/>
      </c>
      <c r="AY278" s="223">
        <f>IF('CONTROLE GLOBO AÇOS'!M280="","",'CONTROLE GLOBO AÇOS'!M280)</f>
        <v/>
      </c>
      <c r="AZ278" s="223">
        <f>IF('CONTROLE GLOBO AÇOS'!N280="","",'CONTROLE GLOBO AÇOS'!N280)</f>
        <v/>
      </c>
      <c r="BA278" s="223">
        <f>IF(AND('CONTROLE EJ'!M280="",'CONTROLE CMM'!#REF!=""),"",N('CONTROLE EJ'!M280)+N('CONTROLE CMM'!#REF!))</f>
        <v/>
      </c>
      <c r="BB278" s="223">
        <f>IF(#REF!="","",#REF!)</f>
        <v/>
      </c>
      <c r="BC278" s="223">
        <f>IF('CONTROLE GLOBO AÇOS'!O280="","",'CONTROLE GLOBO AÇOS'!O280)</f>
        <v/>
      </c>
      <c r="BD278" s="223">
        <f>IF(AND('CONTROLE EJ'!N280="",'CONTROLE CMM'!#REF!=""),"",N('CONTROLE EJ'!N280)+N('CONTROLE CMM'!#REF!))</f>
        <v/>
      </c>
      <c r="BE278" s="223">
        <f>IF('CONTROLE GLOBO AÇOS'!P280="","",'CONTROLE GLOBO AÇOS'!P280)</f>
        <v/>
      </c>
      <c r="BF278" s="223">
        <f>IF('CONTROLE GLOBO AÇOS'!Q280="","",'CONTROLE GLOBO AÇOS'!Q280)</f>
        <v/>
      </c>
      <c r="BG278" s="223">
        <f>IF('CONTROLE GLOBO AÇOS'!R280="","",'CONTROLE GLOBO AÇOS'!R280)</f>
        <v/>
      </c>
      <c r="BH278" s="223">
        <f>IF(AND('CONTROLE EJ'!O280="",'CONTROLE CMM'!#REF!=""),"",N('CONTROLE EJ'!O280)+N('CONTROLE CMM'!#REF!))</f>
        <v/>
      </c>
      <c r="BI278" s="223">
        <f>IF('CONTROLE GLOBO AÇOS'!S280="","",'CONTROLE GLOBO AÇOS'!S280)</f>
        <v/>
      </c>
      <c r="BJ278" s="223">
        <f>IF('CONTROLE GLOBO AÇOS'!T280="","",'CONTROLE GLOBO AÇOS'!T280)</f>
        <v/>
      </c>
      <c r="BK278" s="223">
        <f>IF('CONTROLE GLOBO AÇOS'!U280="","",'CONTROLE GLOBO AÇOS'!U280)</f>
        <v/>
      </c>
      <c r="BL278" s="223">
        <f>IF(AND('CONTROLE EJ'!P280="",'CONTROLE CMM'!#REF!=""),"",N('CONTROLE EJ'!P280)+N('CONTROLE CMM'!#REF!))</f>
        <v/>
      </c>
      <c r="BM278" s="223">
        <f>IF(AND('CONTROLE EJ'!Q280="",'CONTROLE CMM'!#REF!=""),"",N('CONTROLE EJ'!Q280)+N('CONTROLE CMM'!#REF!))</f>
        <v/>
      </c>
      <c r="BN278" s="223">
        <f>IF('CONTROLE GLOBO AÇOS'!V280="","",'CONTROLE GLOBO AÇOS'!V280)</f>
        <v/>
      </c>
      <c r="BO278" s="223">
        <f>IF('CONTROLE GLOBO AÇOS'!W280="","",'CONTROLE GLOBO AÇOS'!W280)</f>
        <v/>
      </c>
      <c r="BP278" s="223">
        <f>IF(AND('CONTROLE EJ'!R280="",'CONTROLE CMM'!#REF!=""),"",N('CONTROLE EJ'!R280)+N('CONTROLE CMM'!#REF!))</f>
        <v/>
      </c>
      <c r="BQ278" s="223">
        <f>IF(#REF!="","",#REF!)</f>
        <v/>
      </c>
      <c r="BR278" s="223">
        <f>IF(AND('CONTROLE EJ'!S280="",'CONTROLE CMM'!#REF!=""),"",N('CONTROLE EJ'!S280)+N('CONTROLE CMM'!#REF!))</f>
        <v/>
      </c>
      <c r="BS278" s="223">
        <f>IF(AND('CONTROLE EJ'!T280="",'CONTROLE CMM'!#REF!=""),"",N('CONTROLE EJ'!T280)+N('CONTROLE CMM'!#REF!))</f>
        <v/>
      </c>
      <c r="BT278" s="223">
        <f>IF('CONTROLE GLOBO AÇOS'!X280="","",'CONTROLE GLOBO AÇOS'!X280)</f>
        <v/>
      </c>
      <c r="BU278" s="223">
        <f>IF('CONTROLE GLOBO AÇOS'!Y280="","",'CONTROLE GLOBO AÇOS'!Y280)</f>
        <v/>
      </c>
      <c r="BV278" s="223">
        <f>IF(AND('CONTROLE EJ'!U280="",'CONTROLE CMM'!#REF!=""),"",N('CONTROLE EJ'!U280)+N('CONTROLE CMM'!#REF!))</f>
        <v/>
      </c>
      <c r="BW278" s="223">
        <f>IF(#REF!="","",#REF!)</f>
        <v/>
      </c>
    </row>
    <row r="279">
      <c r="A279" s="282" t="n">
        <v>46496</v>
      </c>
      <c r="B279" s="18">
        <f>IF('CONTROLE EJ'!B281="","",'CONTROLE EJ'!B281)</f>
        <v/>
      </c>
      <c r="C279" s="18">
        <f>IF('CONTROLE EJ'!C281="","",'CONTROLE EJ'!C281)</f>
        <v/>
      </c>
      <c r="D279" s="42">
        <f>IF('CONTROLE EJ'!D281="","",'CONTROLE EJ'!D281)</f>
        <v/>
      </c>
      <c r="E279" s="43">
        <f>IF('CONTROLE CMM'!B281="","",'CONTROLE CMM'!B281)</f>
        <v/>
      </c>
      <c r="F279" s="18">
        <f>IF('CONTROLE CMM'!C281="","",'CONTROLE CMM'!C281)</f>
        <v/>
      </c>
      <c r="G279" s="26">
        <f>IF('CONTROLE CMM'!D281="","",'CONTROLE CMM'!D281)</f>
        <v/>
      </c>
      <c r="H279" s="43">
        <f>IF('CONTROLE GLOBO AÇOS'!B281="","",'CONTROLE GLOBO AÇOS'!B281)</f>
        <v/>
      </c>
      <c r="I279" s="18">
        <f>IF('CONTROLE GLOBO AÇOS'!C281="","",'CONTROLE GLOBO AÇOS'!C281)</f>
        <v/>
      </c>
      <c r="J279" s="18">
        <f>IF('CONTROLE GLOBO AÇOS'!D281="","",'CONTROLE GLOBO AÇOS'!D281)</f>
        <v/>
      </c>
      <c r="AD279" s="39">
        <f>IF($A279="",0,IF(AND(WEEKDAY($A279,2)&lt;=5,OR($B279&lt;&gt;"",$C279&lt;&gt;"",$D279&lt;&gt;"")),1,0))</f>
        <v/>
      </c>
      <c r="AE279" s="39">
        <f>IF($A279="",0,IF(AND(WEEKDAY($A279,2)&lt;=5,OR($E279&lt;&gt;"",$F279&lt;&gt;"",$G279&lt;&gt;"")),1,0))</f>
        <v/>
      </c>
      <c r="AF279" s="39">
        <f>MAX(AD279,AE279)</f>
        <v/>
      </c>
      <c r="AH279" s="223">
        <f>IF('CONTROLE GLOBO AÇOS'!E281="","",'CONTROLE GLOBO AÇOS'!E281)</f>
        <v/>
      </c>
      <c r="AI279" s="223">
        <f>IF('CONTROLE GLOBO AÇOS'!F281="","",'CONTROLE GLOBO AÇOS'!F281)</f>
        <v/>
      </c>
      <c r="AJ279" s="223">
        <f>IF(AND('CONTROLE EJ'!E281="",'CONTROLE CMM'!E281=""),"",N('CONTROLE EJ'!E281)+N('CONTROLE CMM'!E281))</f>
        <v/>
      </c>
      <c r="AK279" s="223">
        <f>IF(AND('CONTROLE EJ'!F281="",'CONTROLE CMM'!F281=""),"",N('CONTROLE EJ'!F281)+N('CONTROLE CMM'!F281))</f>
        <v/>
      </c>
      <c r="AL279" s="223">
        <f>IF(AND('CONTROLE EJ'!G281="",'CONTROLE CMM'!G281=""),"",N('CONTROLE EJ'!G281)+N('CONTROLE CMM'!G281))</f>
        <v/>
      </c>
      <c r="AM279" s="223">
        <f>IF(AND('CONTROLE EJ'!H281="",'CONTROLE CMM'!H281=""),"",N('CONTROLE EJ'!H281)+N('CONTROLE CMM'!H281))</f>
        <v/>
      </c>
      <c r="AN279" s="223">
        <f>IF('CONTROLE GLOBO AÇOS'!G281="","",'CONTROLE GLOBO AÇOS'!G281)</f>
        <v/>
      </c>
      <c r="AO279" s="223">
        <f>IF('CONTROLE GLOBO AÇOS'!H281="","",'CONTROLE GLOBO AÇOS'!H281)</f>
        <v/>
      </c>
      <c r="AP279" s="223">
        <f>IF(AND('CONTROLE EJ'!I281="",'CONTROLE CMM'!I281=""),"",N('CONTROLE EJ'!I281)+N('CONTROLE CMM'!I281))</f>
        <v/>
      </c>
      <c r="AQ279" s="223">
        <f>IF(AND('CONTROLE EJ'!J281="",'CONTROLE CMM'!#REF!=""),"",N('CONTROLE EJ'!J281)+N('CONTROLE CMM'!#REF!))</f>
        <v/>
      </c>
      <c r="AR279" s="223">
        <f>IF('CONTROLE GLOBO AÇOS'!I281="","",'CONTROLE GLOBO AÇOS'!I281)</f>
        <v/>
      </c>
      <c r="AS279" s="223">
        <f>IF('CONTROLE GLOBO AÇOS'!J281="","",'CONTROLE GLOBO AÇOS'!J281)</f>
        <v/>
      </c>
      <c r="AT279" s="223">
        <f>IF(#REF!="","",#REF!)</f>
        <v/>
      </c>
      <c r="AU279" s="223">
        <f>IF('CONTROLE GLOBO AÇOS'!K281="","",'CONTROLE GLOBO AÇOS'!K281)</f>
        <v/>
      </c>
      <c r="AV279" s="223">
        <f>IF(AND('CONTROLE EJ'!K281="",'CONTROLE CMM'!#REF!=""),"",N('CONTROLE EJ'!K281)+N('CONTROLE CMM'!#REF!))</f>
        <v/>
      </c>
      <c r="AW279" s="223">
        <f>IF('CONTROLE GLOBO AÇOS'!L281="","",'CONTROLE GLOBO AÇOS'!L281)</f>
        <v/>
      </c>
      <c r="AX279" s="223">
        <f>IF(AND('CONTROLE EJ'!L281="",'CONTROLE CMM'!#REF!=""),"",N('CONTROLE EJ'!L281)+N('CONTROLE CMM'!#REF!))</f>
        <v/>
      </c>
      <c r="AY279" s="223">
        <f>IF('CONTROLE GLOBO AÇOS'!M281="","",'CONTROLE GLOBO AÇOS'!M281)</f>
        <v/>
      </c>
      <c r="AZ279" s="223">
        <f>IF('CONTROLE GLOBO AÇOS'!N281="","",'CONTROLE GLOBO AÇOS'!N281)</f>
        <v/>
      </c>
      <c r="BA279" s="223">
        <f>IF(AND('CONTROLE EJ'!M281="",'CONTROLE CMM'!#REF!=""),"",N('CONTROLE EJ'!M281)+N('CONTROLE CMM'!#REF!))</f>
        <v/>
      </c>
      <c r="BB279" s="223">
        <f>IF(#REF!="","",#REF!)</f>
        <v/>
      </c>
      <c r="BC279" s="223">
        <f>IF('CONTROLE GLOBO AÇOS'!O281="","",'CONTROLE GLOBO AÇOS'!O281)</f>
        <v/>
      </c>
      <c r="BD279" s="223">
        <f>IF(AND('CONTROLE EJ'!N281="",'CONTROLE CMM'!#REF!=""),"",N('CONTROLE EJ'!N281)+N('CONTROLE CMM'!#REF!))</f>
        <v/>
      </c>
      <c r="BE279" s="223">
        <f>IF('CONTROLE GLOBO AÇOS'!P281="","",'CONTROLE GLOBO AÇOS'!P281)</f>
        <v/>
      </c>
      <c r="BF279" s="223">
        <f>IF('CONTROLE GLOBO AÇOS'!Q281="","",'CONTROLE GLOBO AÇOS'!Q281)</f>
        <v/>
      </c>
      <c r="BG279" s="223">
        <f>IF('CONTROLE GLOBO AÇOS'!R281="","",'CONTROLE GLOBO AÇOS'!R281)</f>
        <v/>
      </c>
      <c r="BH279" s="223">
        <f>IF(AND('CONTROLE EJ'!O281="",'CONTROLE CMM'!#REF!=""),"",N('CONTROLE EJ'!O281)+N('CONTROLE CMM'!#REF!))</f>
        <v/>
      </c>
      <c r="BI279" s="223">
        <f>IF('CONTROLE GLOBO AÇOS'!S281="","",'CONTROLE GLOBO AÇOS'!S281)</f>
        <v/>
      </c>
      <c r="BJ279" s="223">
        <f>IF('CONTROLE GLOBO AÇOS'!T281="","",'CONTROLE GLOBO AÇOS'!T281)</f>
        <v/>
      </c>
      <c r="BK279" s="223">
        <f>IF('CONTROLE GLOBO AÇOS'!U281="","",'CONTROLE GLOBO AÇOS'!U281)</f>
        <v/>
      </c>
      <c r="BL279" s="223">
        <f>IF(AND('CONTROLE EJ'!P281="",'CONTROLE CMM'!#REF!=""),"",N('CONTROLE EJ'!P281)+N('CONTROLE CMM'!#REF!))</f>
        <v/>
      </c>
      <c r="BM279" s="223">
        <f>IF(AND('CONTROLE EJ'!Q281="",'CONTROLE CMM'!#REF!=""),"",N('CONTROLE EJ'!Q281)+N('CONTROLE CMM'!#REF!))</f>
        <v/>
      </c>
      <c r="BN279" s="223">
        <f>IF('CONTROLE GLOBO AÇOS'!V281="","",'CONTROLE GLOBO AÇOS'!V281)</f>
        <v/>
      </c>
      <c r="BO279" s="223">
        <f>IF('CONTROLE GLOBO AÇOS'!W281="","",'CONTROLE GLOBO AÇOS'!W281)</f>
        <v/>
      </c>
      <c r="BP279" s="223">
        <f>IF(AND('CONTROLE EJ'!R281="",'CONTROLE CMM'!#REF!=""),"",N('CONTROLE EJ'!R281)+N('CONTROLE CMM'!#REF!))</f>
        <v/>
      </c>
      <c r="BQ279" s="223">
        <f>IF(#REF!="","",#REF!)</f>
        <v/>
      </c>
      <c r="BR279" s="223">
        <f>IF(AND('CONTROLE EJ'!S281="",'CONTROLE CMM'!#REF!=""),"",N('CONTROLE EJ'!S281)+N('CONTROLE CMM'!#REF!))</f>
        <v/>
      </c>
      <c r="BS279" s="223">
        <f>IF(AND('CONTROLE EJ'!T281="",'CONTROLE CMM'!#REF!=""),"",N('CONTROLE EJ'!T281)+N('CONTROLE CMM'!#REF!))</f>
        <v/>
      </c>
      <c r="BT279" s="223">
        <f>IF('CONTROLE GLOBO AÇOS'!X281="","",'CONTROLE GLOBO AÇOS'!X281)</f>
        <v/>
      </c>
      <c r="BU279" s="223">
        <f>IF('CONTROLE GLOBO AÇOS'!Y281="","",'CONTROLE GLOBO AÇOS'!Y281)</f>
        <v/>
      </c>
      <c r="BV279" s="223">
        <f>IF(AND('CONTROLE EJ'!U281="",'CONTROLE CMM'!#REF!=""),"",N('CONTROLE EJ'!U281)+N('CONTROLE CMM'!#REF!))</f>
        <v/>
      </c>
      <c r="BW279" s="223">
        <f>IF(#REF!="","",#REF!)</f>
        <v/>
      </c>
    </row>
    <row r="280">
      <c r="A280" s="282" t="n">
        <v>46497</v>
      </c>
      <c r="B280" s="18">
        <f>IF('CONTROLE EJ'!B282="","",'CONTROLE EJ'!B282)</f>
        <v/>
      </c>
      <c r="C280" s="18">
        <f>IF('CONTROLE EJ'!C282="","",'CONTROLE EJ'!C282)</f>
        <v/>
      </c>
      <c r="D280" s="42">
        <f>IF('CONTROLE EJ'!D282="","",'CONTROLE EJ'!D282)</f>
        <v/>
      </c>
      <c r="E280" s="43">
        <f>IF('CONTROLE CMM'!B282="","",'CONTROLE CMM'!B282)</f>
        <v/>
      </c>
      <c r="F280" s="18">
        <f>IF('CONTROLE CMM'!C282="","",'CONTROLE CMM'!C282)</f>
        <v/>
      </c>
      <c r="G280" s="26">
        <f>IF('CONTROLE CMM'!D282="","",'CONTROLE CMM'!D282)</f>
        <v/>
      </c>
      <c r="H280" s="43">
        <f>IF('CONTROLE GLOBO AÇOS'!B282="","",'CONTROLE GLOBO AÇOS'!B282)</f>
        <v/>
      </c>
      <c r="I280" s="18">
        <f>IF('CONTROLE GLOBO AÇOS'!C282="","",'CONTROLE GLOBO AÇOS'!C282)</f>
        <v/>
      </c>
      <c r="J280" s="18">
        <f>IF('CONTROLE GLOBO AÇOS'!D282="","",'CONTROLE GLOBO AÇOS'!D282)</f>
        <v/>
      </c>
      <c r="AD280" s="39">
        <f>IF($A280="",0,IF(AND(WEEKDAY($A280,2)&lt;=5,OR($B280&lt;&gt;"",$C280&lt;&gt;"",$D280&lt;&gt;"")),1,0))</f>
        <v/>
      </c>
      <c r="AE280" s="39">
        <f>IF($A280="",0,IF(AND(WEEKDAY($A280,2)&lt;=5,OR($E280&lt;&gt;"",$F280&lt;&gt;"",$G280&lt;&gt;"")),1,0))</f>
        <v/>
      </c>
      <c r="AF280" s="39">
        <f>MAX(AD280,AE280)</f>
        <v/>
      </c>
      <c r="AH280" s="223">
        <f>IF('CONTROLE GLOBO AÇOS'!E282="","",'CONTROLE GLOBO AÇOS'!E282)</f>
        <v/>
      </c>
      <c r="AI280" s="223">
        <f>IF('CONTROLE GLOBO AÇOS'!F282="","",'CONTROLE GLOBO AÇOS'!F282)</f>
        <v/>
      </c>
      <c r="AJ280" s="223">
        <f>IF(AND('CONTROLE EJ'!E282="",'CONTROLE CMM'!E282=""),"",N('CONTROLE EJ'!E282)+N('CONTROLE CMM'!E282))</f>
        <v/>
      </c>
      <c r="AK280" s="223">
        <f>IF(AND('CONTROLE EJ'!F282="",'CONTROLE CMM'!F282=""),"",N('CONTROLE EJ'!F282)+N('CONTROLE CMM'!F282))</f>
        <v/>
      </c>
      <c r="AL280" s="223">
        <f>IF(AND('CONTROLE EJ'!G282="",'CONTROLE CMM'!G282=""),"",N('CONTROLE EJ'!G282)+N('CONTROLE CMM'!G282))</f>
        <v/>
      </c>
      <c r="AM280" s="223">
        <f>IF(AND('CONTROLE EJ'!H282="",'CONTROLE CMM'!H282=""),"",N('CONTROLE EJ'!H282)+N('CONTROLE CMM'!H282))</f>
        <v/>
      </c>
      <c r="AN280" s="223">
        <f>IF('CONTROLE GLOBO AÇOS'!G282="","",'CONTROLE GLOBO AÇOS'!G282)</f>
        <v/>
      </c>
      <c r="AO280" s="223">
        <f>IF('CONTROLE GLOBO AÇOS'!H282="","",'CONTROLE GLOBO AÇOS'!H282)</f>
        <v/>
      </c>
      <c r="AP280" s="223">
        <f>IF(AND('CONTROLE EJ'!I282="",'CONTROLE CMM'!I282=""),"",N('CONTROLE EJ'!I282)+N('CONTROLE CMM'!I282))</f>
        <v/>
      </c>
      <c r="AQ280" s="223">
        <f>IF(AND('CONTROLE EJ'!J282="",'CONTROLE CMM'!#REF!=""),"",N('CONTROLE EJ'!J282)+N('CONTROLE CMM'!#REF!))</f>
        <v/>
      </c>
      <c r="AR280" s="223">
        <f>IF('CONTROLE GLOBO AÇOS'!I282="","",'CONTROLE GLOBO AÇOS'!I282)</f>
        <v/>
      </c>
      <c r="AS280" s="223">
        <f>IF('CONTROLE GLOBO AÇOS'!J282="","",'CONTROLE GLOBO AÇOS'!J282)</f>
        <v/>
      </c>
      <c r="AT280" s="223">
        <f>IF(#REF!="","",#REF!)</f>
        <v/>
      </c>
      <c r="AU280" s="223">
        <f>IF('CONTROLE GLOBO AÇOS'!K282="","",'CONTROLE GLOBO AÇOS'!K282)</f>
        <v/>
      </c>
      <c r="AV280" s="223">
        <f>IF(AND('CONTROLE EJ'!K282="",'CONTROLE CMM'!#REF!=""),"",N('CONTROLE EJ'!K282)+N('CONTROLE CMM'!#REF!))</f>
        <v/>
      </c>
      <c r="AW280" s="223">
        <f>IF('CONTROLE GLOBO AÇOS'!L282="","",'CONTROLE GLOBO AÇOS'!L282)</f>
        <v/>
      </c>
      <c r="AX280" s="223">
        <f>IF(AND('CONTROLE EJ'!L282="",'CONTROLE CMM'!#REF!=""),"",N('CONTROLE EJ'!L282)+N('CONTROLE CMM'!#REF!))</f>
        <v/>
      </c>
      <c r="AY280" s="223">
        <f>IF('CONTROLE GLOBO AÇOS'!M282="","",'CONTROLE GLOBO AÇOS'!M282)</f>
        <v/>
      </c>
      <c r="AZ280" s="223">
        <f>IF('CONTROLE GLOBO AÇOS'!N282="","",'CONTROLE GLOBO AÇOS'!N282)</f>
        <v/>
      </c>
      <c r="BA280" s="223">
        <f>IF(AND('CONTROLE EJ'!M282="",'CONTROLE CMM'!#REF!=""),"",N('CONTROLE EJ'!M282)+N('CONTROLE CMM'!#REF!))</f>
        <v/>
      </c>
      <c r="BB280" s="223">
        <f>IF(#REF!="","",#REF!)</f>
        <v/>
      </c>
      <c r="BC280" s="223">
        <f>IF('CONTROLE GLOBO AÇOS'!O282="","",'CONTROLE GLOBO AÇOS'!O282)</f>
        <v/>
      </c>
      <c r="BD280" s="223">
        <f>IF(AND('CONTROLE EJ'!N282="",'CONTROLE CMM'!#REF!=""),"",N('CONTROLE EJ'!N282)+N('CONTROLE CMM'!#REF!))</f>
        <v/>
      </c>
      <c r="BE280" s="223">
        <f>IF('CONTROLE GLOBO AÇOS'!P282="","",'CONTROLE GLOBO AÇOS'!P282)</f>
        <v/>
      </c>
      <c r="BF280" s="223">
        <f>IF('CONTROLE GLOBO AÇOS'!Q282="","",'CONTROLE GLOBO AÇOS'!Q282)</f>
        <v/>
      </c>
      <c r="BG280" s="223">
        <f>IF('CONTROLE GLOBO AÇOS'!R282="","",'CONTROLE GLOBO AÇOS'!R282)</f>
        <v/>
      </c>
      <c r="BH280" s="223">
        <f>IF(AND('CONTROLE EJ'!O282="",'CONTROLE CMM'!#REF!=""),"",N('CONTROLE EJ'!O282)+N('CONTROLE CMM'!#REF!))</f>
        <v/>
      </c>
      <c r="BI280" s="223">
        <f>IF('CONTROLE GLOBO AÇOS'!S282="","",'CONTROLE GLOBO AÇOS'!S282)</f>
        <v/>
      </c>
      <c r="BJ280" s="223">
        <f>IF('CONTROLE GLOBO AÇOS'!T282="","",'CONTROLE GLOBO AÇOS'!T282)</f>
        <v/>
      </c>
      <c r="BK280" s="223">
        <f>IF('CONTROLE GLOBO AÇOS'!U282="","",'CONTROLE GLOBO AÇOS'!U282)</f>
        <v/>
      </c>
      <c r="BL280" s="223">
        <f>IF(AND('CONTROLE EJ'!P282="",'CONTROLE CMM'!#REF!=""),"",N('CONTROLE EJ'!P282)+N('CONTROLE CMM'!#REF!))</f>
        <v/>
      </c>
      <c r="BM280" s="223">
        <f>IF(AND('CONTROLE EJ'!Q282="",'CONTROLE CMM'!#REF!=""),"",N('CONTROLE EJ'!Q282)+N('CONTROLE CMM'!#REF!))</f>
        <v/>
      </c>
      <c r="BN280" s="223">
        <f>IF('CONTROLE GLOBO AÇOS'!V282="","",'CONTROLE GLOBO AÇOS'!V282)</f>
        <v/>
      </c>
      <c r="BO280" s="223">
        <f>IF('CONTROLE GLOBO AÇOS'!W282="","",'CONTROLE GLOBO AÇOS'!W282)</f>
        <v/>
      </c>
      <c r="BP280" s="223">
        <f>IF(AND('CONTROLE EJ'!R282="",'CONTROLE CMM'!#REF!=""),"",N('CONTROLE EJ'!R282)+N('CONTROLE CMM'!#REF!))</f>
        <v/>
      </c>
      <c r="BQ280" s="223">
        <f>IF(#REF!="","",#REF!)</f>
        <v/>
      </c>
      <c r="BR280" s="223">
        <f>IF(AND('CONTROLE EJ'!S282="",'CONTROLE CMM'!#REF!=""),"",N('CONTROLE EJ'!S282)+N('CONTROLE CMM'!#REF!))</f>
        <v/>
      </c>
      <c r="BS280" s="223">
        <f>IF(AND('CONTROLE EJ'!T282="",'CONTROLE CMM'!#REF!=""),"",N('CONTROLE EJ'!T282)+N('CONTROLE CMM'!#REF!))</f>
        <v/>
      </c>
      <c r="BT280" s="223">
        <f>IF('CONTROLE GLOBO AÇOS'!X282="","",'CONTROLE GLOBO AÇOS'!X282)</f>
        <v/>
      </c>
      <c r="BU280" s="223">
        <f>IF('CONTROLE GLOBO AÇOS'!Y282="","",'CONTROLE GLOBO AÇOS'!Y282)</f>
        <v/>
      </c>
      <c r="BV280" s="223">
        <f>IF(AND('CONTROLE EJ'!U282="",'CONTROLE CMM'!#REF!=""),"",N('CONTROLE EJ'!U282)+N('CONTROLE CMM'!#REF!))</f>
        <v/>
      </c>
      <c r="BW280" s="223">
        <f>IF(#REF!="","",#REF!)</f>
        <v/>
      </c>
    </row>
    <row r="281">
      <c r="A281" s="282" t="n">
        <v>46498</v>
      </c>
      <c r="B281" s="18">
        <f>IF('CONTROLE EJ'!B283="","",'CONTROLE EJ'!B283)</f>
        <v/>
      </c>
      <c r="C281" s="18">
        <f>IF('CONTROLE EJ'!C283="","",'CONTROLE EJ'!C283)</f>
        <v/>
      </c>
      <c r="D281" s="42">
        <f>IF('CONTROLE EJ'!D283="","",'CONTROLE EJ'!D283)</f>
        <v/>
      </c>
      <c r="E281" s="43">
        <f>IF('CONTROLE CMM'!B283="","",'CONTROLE CMM'!B283)</f>
        <v/>
      </c>
      <c r="F281" s="18">
        <f>IF('CONTROLE CMM'!C283="","",'CONTROLE CMM'!C283)</f>
        <v/>
      </c>
      <c r="G281" s="26">
        <f>IF('CONTROLE CMM'!D283="","",'CONTROLE CMM'!D283)</f>
        <v/>
      </c>
      <c r="H281" s="43">
        <f>IF('CONTROLE GLOBO AÇOS'!B283="","",'CONTROLE GLOBO AÇOS'!B283)</f>
        <v/>
      </c>
      <c r="I281" s="18">
        <f>IF('CONTROLE GLOBO AÇOS'!C283="","",'CONTROLE GLOBO AÇOS'!C283)</f>
        <v/>
      </c>
      <c r="J281" s="18">
        <f>IF('CONTROLE GLOBO AÇOS'!D283="","",'CONTROLE GLOBO AÇOS'!D283)</f>
        <v/>
      </c>
      <c r="AD281" s="39">
        <f>IF($A281="",0,IF(AND(WEEKDAY($A281,2)&lt;=5,OR($B281&lt;&gt;"",$C281&lt;&gt;"",$D281&lt;&gt;"")),1,0))</f>
        <v/>
      </c>
      <c r="AE281" s="39">
        <f>IF($A281="",0,IF(AND(WEEKDAY($A281,2)&lt;=5,OR($E281&lt;&gt;"",$F281&lt;&gt;"",$G281&lt;&gt;"")),1,0))</f>
        <v/>
      </c>
      <c r="AF281" s="39">
        <f>MAX(AD281,AE281)</f>
        <v/>
      </c>
      <c r="AH281" s="223">
        <f>IF('CONTROLE GLOBO AÇOS'!E283="","",'CONTROLE GLOBO AÇOS'!E283)</f>
        <v/>
      </c>
      <c r="AI281" s="223">
        <f>IF('CONTROLE GLOBO AÇOS'!F283="","",'CONTROLE GLOBO AÇOS'!F283)</f>
        <v/>
      </c>
      <c r="AJ281" s="223">
        <f>IF(AND('CONTROLE EJ'!E283="",'CONTROLE CMM'!E283=""),"",N('CONTROLE EJ'!E283)+N('CONTROLE CMM'!E283))</f>
        <v/>
      </c>
      <c r="AK281" s="223">
        <f>IF(AND('CONTROLE EJ'!F283="",'CONTROLE CMM'!F283=""),"",N('CONTROLE EJ'!F283)+N('CONTROLE CMM'!F283))</f>
        <v/>
      </c>
      <c r="AL281" s="223">
        <f>IF(AND('CONTROLE EJ'!G283="",'CONTROLE CMM'!G283=""),"",N('CONTROLE EJ'!G283)+N('CONTROLE CMM'!G283))</f>
        <v/>
      </c>
      <c r="AM281" s="223">
        <f>IF(AND('CONTROLE EJ'!H283="",'CONTROLE CMM'!H283=""),"",N('CONTROLE EJ'!H283)+N('CONTROLE CMM'!H283))</f>
        <v/>
      </c>
      <c r="AN281" s="223">
        <f>IF('CONTROLE GLOBO AÇOS'!G283="","",'CONTROLE GLOBO AÇOS'!G283)</f>
        <v/>
      </c>
      <c r="AO281" s="223">
        <f>IF('CONTROLE GLOBO AÇOS'!H283="","",'CONTROLE GLOBO AÇOS'!H283)</f>
        <v/>
      </c>
      <c r="AP281" s="223">
        <f>IF(AND('CONTROLE EJ'!I283="",'CONTROLE CMM'!I283=""),"",N('CONTROLE EJ'!I283)+N('CONTROLE CMM'!I283))</f>
        <v/>
      </c>
      <c r="AQ281" s="223">
        <f>IF(AND('CONTROLE EJ'!J283="",'CONTROLE CMM'!#REF!=""),"",N('CONTROLE EJ'!J283)+N('CONTROLE CMM'!#REF!))</f>
        <v/>
      </c>
      <c r="AR281" s="223">
        <f>IF('CONTROLE GLOBO AÇOS'!I283="","",'CONTROLE GLOBO AÇOS'!I283)</f>
        <v/>
      </c>
      <c r="AS281" s="223">
        <f>IF('CONTROLE GLOBO AÇOS'!J283="","",'CONTROLE GLOBO AÇOS'!J283)</f>
        <v/>
      </c>
      <c r="AT281" s="223">
        <f>IF(#REF!="","",#REF!)</f>
        <v/>
      </c>
      <c r="AU281" s="223">
        <f>IF('CONTROLE GLOBO AÇOS'!K283="","",'CONTROLE GLOBO AÇOS'!K283)</f>
        <v/>
      </c>
      <c r="AV281" s="223">
        <f>IF(AND('CONTROLE EJ'!K283="",'CONTROLE CMM'!#REF!=""),"",N('CONTROLE EJ'!K283)+N('CONTROLE CMM'!#REF!))</f>
        <v/>
      </c>
      <c r="AW281" s="223">
        <f>IF('CONTROLE GLOBO AÇOS'!L283="","",'CONTROLE GLOBO AÇOS'!L283)</f>
        <v/>
      </c>
      <c r="AX281" s="223">
        <f>IF(AND('CONTROLE EJ'!L283="",'CONTROLE CMM'!#REF!=""),"",N('CONTROLE EJ'!L283)+N('CONTROLE CMM'!#REF!))</f>
        <v/>
      </c>
      <c r="AY281" s="223">
        <f>IF('CONTROLE GLOBO AÇOS'!M283="","",'CONTROLE GLOBO AÇOS'!M283)</f>
        <v/>
      </c>
      <c r="AZ281" s="223">
        <f>IF('CONTROLE GLOBO AÇOS'!N283="","",'CONTROLE GLOBO AÇOS'!N283)</f>
        <v/>
      </c>
      <c r="BA281" s="223">
        <f>IF(AND('CONTROLE EJ'!M283="",'CONTROLE CMM'!#REF!=""),"",N('CONTROLE EJ'!M283)+N('CONTROLE CMM'!#REF!))</f>
        <v/>
      </c>
      <c r="BB281" s="223">
        <f>IF(#REF!="","",#REF!)</f>
        <v/>
      </c>
      <c r="BC281" s="223">
        <f>IF('CONTROLE GLOBO AÇOS'!O283="","",'CONTROLE GLOBO AÇOS'!O283)</f>
        <v/>
      </c>
      <c r="BD281" s="223">
        <f>IF(AND('CONTROLE EJ'!N283="",'CONTROLE CMM'!#REF!=""),"",N('CONTROLE EJ'!N283)+N('CONTROLE CMM'!#REF!))</f>
        <v/>
      </c>
      <c r="BE281" s="223">
        <f>IF('CONTROLE GLOBO AÇOS'!P283="","",'CONTROLE GLOBO AÇOS'!P283)</f>
        <v/>
      </c>
      <c r="BF281" s="223">
        <f>IF('CONTROLE GLOBO AÇOS'!Q283="","",'CONTROLE GLOBO AÇOS'!Q283)</f>
        <v/>
      </c>
      <c r="BG281" s="223">
        <f>IF('CONTROLE GLOBO AÇOS'!R283="","",'CONTROLE GLOBO AÇOS'!R283)</f>
        <v/>
      </c>
      <c r="BH281" s="223">
        <f>IF(AND('CONTROLE EJ'!O283="",'CONTROLE CMM'!#REF!=""),"",N('CONTROLE EJ'!O283)+N('CONTROLE CMM'!#REF!))</f>
        <v/>
      </c>
      <c r="BI281" s="223">
        <f>IF('CONTROLE GLOBO AÇOS'!S283="","",'CONTROLE GLOBO AÇOS'!S283)</f>
        <v/>
      </c>
      <c r="BJ281" s="223">
        <f>IF('CONTROLE GLOBO AÇOS'!T283="","",'CONTROLE GLOBO AÇOS'!T283)</f>
        <v/>
      </c>
      <c r="BK281" s="223">
        <f>IF('CONTROLE GLOBO AÇOS'!U283="","",'CONTROLE GLOBO AÇOS'!U283)</f>
        <v/>
      </c>
      <c r="BL281" s="223">
        <f>IF(AND('CONTROLE EJ'!P283="",'CONTROLE CMM'!#REF!=""),"",N('CONTROLE EJ'!P283)+N('CONTROLE CMM'!#REF!))</f>
        <v/>
      </c>
      <c r="BM281" s="223">
        <f>IF(AND('CONTROLE EJ'!Q283="",'CONTROLE CMM'!#REF!=""),"",N('CONTROLE EJ'!Q283)+N('CONTROLE CMM'!#REF!))</f>
        <v/>
      </c>
      <c r="BN281" s="223">
        <f>IF('CONTROLE GLOBO AÇOS'!V283="","",'CONTROLE GLOBO AÇOS'!V283)</f>
        <v/>
      </c>
      <c r="BO281" s="223">
        <f>IF('CONTROLE GLOBO AÇOS'!W283="","",'CONTROLE GLOBO AÇOS'!W283)</f>
        <v/>
      </c>
      <c r="BP281" s="223">
        <f>IF(AND('CONTROLE EJ'!R283="",'CONTROLE CMM'!#REF!=""),"",N('CONTROLE EJ'!R283)+N('CONTROLE CMM'!#REF!))</f>
        <v/>
      </c>
      <c r="BQ281" s="223">
        <f>IF(#REF!="","",#REF!)</f>
        <v/>
      </c>
      <c r="BR281" s="223">
        <f>IF(AND('CONTROLE EJ'!S283="",'CONTROLE CMM'!#REF!=""),"",N('CONTROLE EJ'!S283)+N('CONTROLE CMM'!#REF!))</f>
        <v/>
      </c>
      <c r="BS281" s="223">
        <f>IF(AND('CONTROLE EJ'!T283="",'CONTROLE CMM'!#REF!=""),"",N('CONTROLE EJ'!T283)+N('CONTROLE CMM'!#REF!))</f>
        <v/>
      </c>
      <c r="BT281" s="223">
        <f>IF('CONTROLE GLOBO AÇOS'!X283="","",'CONTROLE GLOBO AÇOS'!X283)</f>
        <v/>
      </c>
      <c r="BU281" s="223">
        <f>IF('CONTROLE GLOBO AÇOS'!Y283="","",'CONTROLE GLOBO AÇOS'!Y283)</f>
        <v/>
      </c>
      <c r="BV281" s="223">
        <f>IF(AND('CONTROLE EJ'!U283="",'CONTROLE CMM'!#REF!=""),"",N('CONTROLE EJ'!U283)+N('CONTROLE CMM'!#REF!))</f>
        <v/>
      </c>
      <c r="BW281" s="223">
        <f>IF(#REF!="","",#REF!)</f>
        <v/>
      </c>
    </row>
    <row r="282">
      <c r="A282" s="282" t="n">
        <v>46499</v>
      </c>
      <c r="B282" s="18">
        <f>IF('CONTROLE EJ'!B284="","",'CONTROLE EJ'!B284)</f>
        <v/>
      </c>
      <c r="C282" s="18">
        <f>IF('CONTROLE EJ'!C284="","",'CONTROLE EJ'!C284)</f>
        <v/>
      </c>
      <c r="D282" s="42">
        <f>IF('CONTROLE EJ'!D284="","",'CONTROLE EJ'!D284)</f>
        <v/>
      </c>
      <c r="E282" s="43">
        <f>IF('CONTROLE CMM'!B284="","",'CONTROLE CMM'!B284)</f>
        <v/>
      </c>
      <c r="F282" s="18">
        <f>IF('CONTROLE CMM'!C284="","",'CONTROLE CMM'!C284)</f>
        <v/>
      </c>
      <c r="G282" s="26">
        <f>IF('CONTROLE CMM'!D284="","",'CONTROLE CMM'!D284)</f>
        <v/>
      </c>
      <c r="H282" s="43">
        <f>IF('CONTROLE GLOBO AÇOS'!B284="","",'CONTROLE GLOBO AÇOS'!B284)</f>
        <v/>
      </c>
      <c r="I282" s="18">
        <f>IF('CONTROLE GLOBO AÇOS'!C284="","",'CONTROLE GLOBO AÇOS'!C284)</f>
        <v/>
      </c>
      <c r="J282" s="18">
        <f>IF('CONTROLE GLOBO AÇOS'!D284="","",'CONTROLE GLOBO AÇOS'!D284)</f>
        <v/>
      </c>
      <c r="AD282" s="39">
        <f>IF($A282="",0,IF(AND(WEEKDAY($A282,2)&lt;=5,OR($B282&lt;&gt;"",$C282&lt;&gt;"",$D282&lt;&gt;"")),1,0))</f>
        <v/>
      </c>
      <c r="AE282" s="39">
        <f>IF($A282="",0,IF(AND(WEEKDAY($A282,2)&lt;=5,OR($E282&lt;&gt;"",$F282&lt;&gt;"",$G282&lt;&gt;"")),1,0))</f>
        <v/>
      </c>
      <c r="AF282" s="39">
        <f>MAX(AD282,AE282)</f>
        <v/>
      </c>
      <c r="AH282" s="223">
        <f>IF('CONTROLE GLOBO AÇOS'!E284="","",'CONTROLE GLOBO AÇOS'!E284)</f>
        <v/>
      </c>
      <c r="AI282" s="223">
        <f>IF('CONTROLE GLOBO AÇOS'!F284="","",'CONTROLE GLOBO AÇOS'!F284)</f>
        <v/>
      </c>
      <c r="AJ282" s="223">
        <f>IF(AND('CONTROLE EJ'!E284="",'CONTROLE CMM'!E284=""),"",N('CONTROLE EJ'!E284)+N('CONTROLE CMM'!E284))</f>
        <v/>
      </c>
      <c r="AK282" s="223">
        <f>IF(AND('CONTROLE EJ'!F284="",'CONTROLE CMM'!F284=""),"",N('CONTROLE EJ'!F284)+N('CONTROLE CMM'!F284))</f>
        <v/>
      </c>
      <c r="AL282" s="223">
        <f>IF(AND('CONTROLE EJ'!G284="",'CONTROLE CMM'!G284=""),"",N('CONTROLE EJ'!G284)+N('CONTROLE CMM'!G284))</f>
        <v/>
      </c>
      <c r="AM282" s="223">
        <f>IF(AND('CONTROLE EJ'!H284="",'CONTROLE CMM'!H284=""),"",N('CONTROLE EJ'!H284)+N('CONTROLE CMM'!H284))</f>
        <v/>
      </c>
      <c r="AN282" s="223">
        <f>IF('CONTROLE GLOBO AÇOS'!G284="","",'CONTROLE GLOBO AÇOS'!G284)</f>
        <v/>
      </c>
      <c r="AO282" s="223">
        <f>IF('CONTROLE GLOBO AÇOS'!H284="","",'CONTROLE GLOBO AÇOS'!H284)</f>
        <v/>
      </c>
      <c r="AP282" s="223">
        <f>IF(AND('CONTROLE EJ'!I284="",'CONTROLE CMM'!I284=""),"",N('CONTROLE EJ'!I284)+N('CONTROLE CMM'!I284))</f>
        <v/>
      </c>
      <c r="AQ282" s="223">
        <f>IF(AND('CONTROLE EJ'!J284="",'CONTROLE CMM'!#REF!=""),"",N('CONTROLE EJ'!J284)+N('CONTROLE CMM'!#REF!))</f>
        <v/>
      </c>
      <c r="AR282" s="223">
        <f>IF('CONTROLE GLOBO AÇOS'!I284="","",'CONTROLE GLOBO AÇOS'!I284)</f>
        <v/>
      </c>
      <c r="AS282" s="223">
        <f>IF('CONTROLE GLOBO AÇOS'!J284="","",'CONTROLE GLOBO AÇOS'!J284)</f>
        <v/>
      </c>
      <c r="AT282" s="223">
        <f>IF(#REF!="","",#REF!)</f>
        <v/>
      </c>
      <c r="AU282" s="223">
        <f>IF('CONTROLE GLOBO AÇOS'!K284="","",'CONTROLE GLOBO AÇOS'!K284)</f>
        <v/>
      </c>
      <c r="AV282" s="223">
        <f>IF(AND('CONTROLE EJ'!K284="",'CONTROLE CMM'!#REF!=""),"",N('CONTROLE EJ'!K284)+N('CONTROLE CMM'!#REF!))</f>
        <v/>
      </c>
      <c r="AW282" s="223">
        <f>IF('CONTROLE GLOBO AÇOS'!L284="","",'CONTROLE GLOBO AÇOS'!L284)</f>
        <v/>
      </c>
      <c r="AX282" s="223">
        <f>IF(AND('CONTROLE EJ'!L284="",'CONTROLE CMM'!#REF!=""),"",N('CONTROLE EJ'!L284)+N('CONTROLE CMM'!#REF!))</f>
        <v/>
      </c>
      <c r="AY282" s="223">
        <f>IF('CONTROLE GLOBO AÇOS'!M284="","",'CONTROLE GLOBO AÇOS'!M284)</f>
        <v/>
      </c>
      <c r="AZ282" s="223">
        <f>IF('CONTROLE GLOBO AÇOS'!N284="","",'CONTROLE GLOBO AÇOS'!N284)</f>
        <v/>
      </c>
      <c r="BA282" s="223">
        <f>IF(AND('CONTROLE EJ'!M284="",'CONTROLE CMM'!#REF!=""),"",N('CONTROLE EJ'!M284)+N('CONTROLE CMM'!#REF!))</f>
        <v/>
      </c>
      <c r="BB282" s="223">
        <f>IF(#REF!="","",#REF!)</f>
        <v/>
      </c>
      <c r="BC282" s="223">
        <f>IF('CONTROLE GLOBO AÇOS'!O284="","",'CONTROLE GLOBO AÇOS'!O284)</f>
        <v/>
      </c>
      <c r="BD282" s="223">
        <f>IF(AND('CONTROLE EJ'!N284="",'CONTROLE CMM'!#REF!=""),"",N('CONTROLE EJ'!N284)+N('CONTROLE CMM'!#REF!))</f>
        <v/>
      </c>
      <c r="BE282" s="223">
        <f>IF('CONTROLE GLOBO AÇOS'!P284="","",'CONTROLE GLOBO AÇOS'!P284)</f>
        <v/>
      </c>
      <c r="BF282" s="223">
        <f>IF('CONTROLE GLOBO AÇOS'!Q284="","",'CONTROLE GLOBO AÇOS'!Q284)</f>
        <v/>
      </c>
      <c r="BG282" s="223">
        <f>IF('CONTROLE GLOBO AÇOS'!R284="","",'CONTROLE GLOBO AÇOS'!R284)</f>
        <v/>
      </c>
      <c r="BH282" s="223">
        <f>IF(AND('CONTROLE EJ'!O284="",'CONTROLE CMM'!#REF!=""),"",N('CONTROLE EJ'!O284)+N('CONTROLE CMM'!#REF!))</f>
        <v/>
      </c>
      <c r="BI282" s="223">
        <f>IF('CONTROLE GLOBO AÇOS'!S284="","",'CONTROLE GLOBO AÇOS'!S284)</f>
        <v/>
      </c>
      <c r="BJ282" s="223">
        <f>IF('CONTROLE GLOBO AÇOS'!T284="","",'CONTROLE GLOBO AÇOS'!T284)</f>
        <v/>
      </c>
      <c r="BK282" s="223">
        <f>IF('CONTROLE GLOBO AÇOS'!U284="","",'CONTROLE GLOBO AÇOS'!U284)</f>
        <v/>
      </c>
      <c r="BL282" s="223">
        <f>IF(AND('CONTROLE EJ'!P284="",'CONTROLE CMM'!#REF!=""),"",N('CONTROLE EJ'!P284)+N('CONTROLE CMM'!#REF!))</f>
        <v/>
      </c>
      <c r="BM282" s="223">
        <f>IF(AND('CONTROLE EJ'!Q284="",'CONTROLE CMM'!#REF!=""),"",N('CONTROLE EJ'!Q284)+N('CONTROLE CMM'!#REF!))</f>
        <v/>
      </c>
      <c r="BN282" s="223">
        <f>IF('CONTROLE GLOBO AÇOS'!V284="","",'CONTROLE GLOBO AÇOS'!V284)</f>
        <v/>
      </c>
      <c r="BO282" s="223">
        <f>IF('CONTROLE GLOBO AÇOS'!W284="","",'CONTROLE GLOBO AÇOS'!W284)</f>
        <v/>
      </c>
      <c r="BP282" s="223">
        <f>IF(AND('CONTROLE EJ'!R284="",'CONTROLE CMM'!#REF!=""),"",N('CONTROLE EJ'!R284)+N('CONTROLE CMM'!#REF!))</f>
        <v/>
      </c>
      <c r="BQ282" s="223">
        <f>IF(#REF!="","",#REF!)</f>
        <v/>
      </c>
      <c r="BR282" s="223">
        <f>IF(AND('CONTROLE EJ'!S284="",'CONTROLE CMM'!#REF!=""),"",N('CONTROLE EJ'!S284)+N('CONTROLE CMM'!#REF!))</f>
        <v/>
      </c>
      <c r="BS282" s="223">
        <f>IF(AND('CONTROLE EJ'!T284="",'CONTROLE CMM'!#REF!=""),"",N('CONTROLE EJ'!T284)+N('CONTROLE CMM'!#REF!))</f>
        <v/>
      </c>
      <c r="BT282" s="223">
        <f>IF('CONTROLE GLOBO AÇOS'!X284="","",'CONTROLE GLOBO AÇOS'!X284)</f>
        <v/>
      </c>
      <c r="BU282" s="223">
        <f>IF('CONTROLE GLOBO AÇOS'!Y284="","",'CONTROLE GLOBO AÇOS'!Y284)</f>
        <v/>
      </c>
      <c r="BV282" s="223">
        <f>IF(AND('CONTROLE EJ'!U284="",'CONTROLE CMM'!#REF!=""),"",N('CONTROLE EJ'!U284)+N('CONTROLE CMM'!#REF!))</f>
        <v/>
      </c>
      <c r="BW282" s="223">
        <f>IF(#REF!="","",#REF!)</f>
        <v/>
      </c>
    </row>
    <row r="283">
      <c r="A283" s="282" t="n">
        <v>46500</v>
      </c>
      <c r="B283" s="18">
        <f>IF('CONTROLE EJ'!B285="","",'CONTROLE EJ'!B285)</f>
        <v/>
      </c>
      <c r="C283" s="18">
        <f>IF('CONTROLE EJ'!C285="","",'CONTROLE EJ'!C285)</f>
        <v/>
      </c>
      <c r="D283" s="42">
        <f>IF('CONTROLE EJ'!D285="","",'CONTROLE EJ'!D285)</f>
        <v/>
      </c>
      <c r="E283" s="43">
        <f>IF('CONTROLE CMM'!B285="","",'CONTROLE CMM'!B285)</f>
        <v/>
      </c>
      <c r="F283" s="18">
        <f>IF('CONTROLE CMM'!C285="","",'CONTROLE CMM'!C285)</f>
        <v/>
      </c>
      <c r="G283" s="26">
        <f>IF('CONTROLE CMM'!D285="","",'CONTROLE CMM'!D285)</f>
        <v/>
      </c>
      <c r="H283" s="43">
        <f>IF('CONTROLE GLOBO AÇOS'!B285="","",'CONTROLE GLOBO AÇOS'!B285)</f>
        <v/>
      </c>
      <c r="I283" s="18">
        <f>IF('CONTROLE GLOBO AÇOS'!C285="","",'CONTROLE GLOBO AÇOS'!C285)</f>
        <v/>
      </c>
      <c r="J283" s="18">
        <f>IF('CONTROLE GLOBO AÇOS'!D285="","",'CONTROLE GLOBO AÇOS'!D285)</f>
        <v/>
      </c>
      <c r="AD283" s="39">
        <f>IF($A283="",0,IF(AND(WEEKDAY($A283,2)&lt;=5,OR($B283&lt;&gt;"",$C283&lt;&gt;"",$D283&lt;&gt;"")),1,0))</f>
        <v/>
      </c>
      <c r="AE283" s="39">
        <f>IF($A283="",0,IF(AND(WEEKDAY($A283,2)&lt;=5,OR($E283&lt;&gt;"",$F283&lt;&gt;"",$G283&lt;&gt;"")),1,0))</f>
        <v/>
      </c>
      <c r="AF283" s="39">
        <f>MAX(AD283,AE283)</f>
        <v/>
      </c>
      <c r="AH283" s="223">
        <f>IF('CONTROLE GLOBO AÇOS'!E285="","",'CONTROLE GLOBO AÇOS'!E285)</f>
        <v/>
      </c>
      <c r="AI283" s="223">
        <f>IF('CONTROLE GLOBO AÇOS'!F285="","",'CONTROLE GLOBO AÇOS'!F285)</f>
        <v/>
      </c>
      <c r="AJ283" s="223">
        <f>IF(AND('CONTROLE EJ'!E285="",'CONTROLE CMM'!E285=""),"",N('CONTROLE EJ'!E285)+N('CONTROLE CMM'!E285))</f>
        <v/>
      </c>
      <c r="AK283" s="223">
        <f>IF(AND('CONTROLE EJ'!F285="",'CONTROLE CMM'!F285=""),"",N('CONTROLE EJ'!F285)+N('CONTROLE CMM'!F285))</f>
        <v/>
      </c>
      <c r="AL283" s="223">
        <f>IF(AND('CONTROLE EJ'!G285="",'CONTROLE CMM'!G285=""),"",N('CONTROLE EJ'!G285)+N('CONTROLE CMM'!G285))</f>
        <v/>
      </c>
      <c r="AM283" s="223">
        <f>IF(AND('CONTROLE EJ'!H285="",'CONTROLE CMM'!H285=""),"",N('CONTROLE EJ'!H285)+N('CONTROLE CMM'!H285))</f>
        <v/>
      </c>
      <c r="AN283" s="223">
        <f>IF('CONTROLE GLOBO AÇOS'!G285="","",'CONTROLE GLOBO AÇOS'!G285)</f>
        <v/>
      </c>
      <c r="AO283" s="223">
        <f>IF('CONTROLE GLOBO AÇOS'!H285="","",'CONTROLE GLOBO AÇOS'!H285)</f>
        <v/>
      </c>
      <c r="AP283" s="223">
        <f>IF(AND('CONTROLE EJ'!I285="",'CONTROLE CMM'!I285=""),"",N('CONTROLE EJ'!I285)+N('CONTROLE CMM'!I285))</f>
        <v/>
      </c>
      <c r="AQ283" s="223">
        <f>IF(AND('CONTROLE EJ'!J285="",'CONTROLE CMM'!#REF!=""),"",N('CONTROLE EJ'!J285)+N('CONTROLE CMM'!#REF!))</f>
        <v/>
      </c>
      <c r="AR283" s="223">
        <f>IF('CONTROLE GLOBO AÇOS'!I285="","",'CONTROLE GLOBO AÇOS'!I285)</f>
        <v/>
      </c>
      <c r="AS283" s="223">
        <f>IF('CONTROLE GLOBO AÇOS'!J285="","",'CONTROLE GLOBO AÇOS'!J285)</f>
        <v/>
      </c>
      <c r="AT283" s="223">
        <f>IF(#REF!="","",#REF!)</f>
        <v/>
      </c>
      <c r="AU283" s="223">
        <f>IF('CONTROLE GLOBO AÇOS'!K285="","",'CONTROLE GLOBO AÇOS'!K285)</f>
        <v/>
      </c>
      <c r="AV283" s="223">
        <f>IF(AND('CONTROLE EJ'!K285="",'CONTROLE CMM'!#REF!=""),"",N('CONTROLE EJ'!K285)+N('CONTROLE CMM'!#REF!))</f>
        <v/>
      </c>
      <c r="AW283" s="223">
        <f>IF('CONTROLE GLOBO AÇOS'!L285="","",'CONTROLE GLOBO AÇOS'!L285)</f>
        <v/>
      </c>
      <c r="AX283" s="223">
        <f>IF(AND('CONTROLE EJ'!L285="",'CONTROLE CMM'!#REF!=""),"",N('CONTROLE EJ'!L285)+N('CONTROLE CMM'!#REF!))</f>
        <v/>
      </c>
      <c r="AY283" s="223">
        <f>IF('CONTROLE GLOBO AÇOS'!M285="","",'CONTROLE GLOBO AÇOS'!M285)</f>
        <v/>
      </c>
      <c r="AZ283" s="223">
        <f>IF('CONTROLE GLOBO AÇOS'!N285="","",'CONTROLE GLOBO AÇOS'!N285)</f>
        <v/>
      </c>
      <c r="BA283" s="223">
        <f>IF(AND('CONTROLE EJ'!M285="",'CONTROLE CMM'!#REF!=""),"",N('CONTROLE EJ'!M285)+N('CONTROLE CMM'!#REF!))</f>
        <v/>
      </c>
      <c r="BB283" s="223">
        <f>IF(#REF!="","",#REF!)</f>
        <v/>
      </c>
      <c r="BC283" s="223">
        <f>IF('CONTROLE GLOBO AÇOS'!O285="","",'CONTROLE GLOBO AÇOS'!O285)</f>
        <v/>
      </c>
      <c r="BD283" s="223">
        <f>IF(AND('CONTROLE EJ'!N285="",'CONTROLE CMM'!#REF!=""),"",N('CONTROLE EJ'!N285)+N('CONTROLE CMM'!#REF!))</f>
        <v/>
      </c>
      <c r="BE283" s="223">
        <f>IF('CONTROLE GLOBO AÇOS'!P285="","",'CONTROLE GLOBO AÇOS'!P285)</f>
        <v/>
      </c>
      <c r="BF283" s="223">
        <f>IF('CONTROLE GLOBO AÇOS'!Q285="","",'CONTROLE GLOBO AÇOS'!Q285)</f>
        <v/>
      </c>
      <c r="BG283" s="223">
        <f>IF('CONTROLE GLOBO AÇOS'!R285="","",'CONTROLE GLOBO AÇOS'!R285)</f>
        <v/>
      </c>
      <c r="BH283" s="223">
        <f>IF(AND('CONTROLE EJ'!O285="",'CONTROLE CMM'!#REF!=""),"",N('CONTROLE EJ'!O285)+N('CONTROLE CMM'!#REF!))</f>
        <v/>
      </c>
      <c r="BI283" s="223">
        <f>IF('CONTROLE GLOBO AÇOS'!S285="","",'CONTROLE GLOBO AÇOS'!S285)</f>
        <v/>
      </c>
      <c r="BJ283" s="223">
        <f>IF('CONTROLE GLOBO AÇOS'!T285="","",'CONTROLE GLOBO AÇOS'!T285)</f>
        <v/>
      </c>
      <c r="BK283" s="223">
        <f>IF('CONTROLE GLOBO AÇOS'!U285="","",'CONTROLE GLOBO AÇOS'!U285)</f>
        <v/>
      </c>
      <c r="BL283" s="223">
        <f>IF(AND('CONTROLE EJ'!P285="",'CONTROLE CMM'!#REF!=""),"",N('CONTROLE EJ'!P285)+N('CONTROLE CMM'!#REF!))</f>
        <v/>
      </c>
      <c r="BM283" s="223">
        <f>IF(AND('CONTROLE EJ'!Q285="",'CONTROLE CMM'!#REF!=""),"",N('CONTROLE EJ'!Q285)+N('CONTROLE CMM'!#REF!))</f>
        <v/>
      </c>
      <c r="BN283" s="223">
        <f>IF('CONTROLE GLOBO AÇOS'!V285="","",'CONTROLE GLOBO AÇOS'!V285)</f>
        <v/>
      </c>
      <c r="BO283" s="223">
        <f>IF('CONTROLE GLOBO AÇOS'!W285="","",'CONTROLE GLOBO AÇOS'!W285)</f>
        <v/>
      </c>
      <c r="BP283" s="223">
        <f>IF(AND('CONTROLE EJ'!R285="",'CONTROLE CMM'!#REF!=""),"",N('CONTROLE EJ'!R285)+N('CONTROLE CMM'!#REF!))</f>
        <v/>
      </c>
      <c r="BQ283" s="223">
        <f>IF(#REF!="","",#REF!)</f>
        <v/>
      </c>
      <c r="BR283" s="223">
        <f>IF(AND('CONTROLE EJ'!S285="",'CONTROLE CMM'!#REF!=""),"",N('CONTROLE EJ'!S285)+N('CONTROLE CMM'!#REF!))</f>
        <v/>
      </c>
      <c r="BS283" s="223">
        <f>IF(AND('CONTROLE EJ'!T285="",'CONTROLE CMM'!#REF!=""),"",N('CONTROLE EJ'!T285)+N('CONTROLE CMM'!#REF!))</f>
        <v/>
      </c>
      <c r="BT283" s="223">
        <f>IF('CONTROLE GLOBO AÇOS'!X285="","",'CONTROLE GLOBO AÇOS'!X285)</f>
        <v/>
      </c>
      <c r="BU283" s="223">
        <f>IF('CONTROLE GLOBO AÇOS'!Y285="","",'CONTROLE GLOBO AÇOS'!Y285)</f>
        <v/>
      </c>
      <c r="BV283" s="223">
        <f>IF(AND('CONTROLE EJ'!U285="",'CONTROLE CMM'!#REF!=""),"",N('CONTROLE EJ'!U285)+N('CONTROLE CMM'!#REF!))</f>
        <v/>
      </c>
      <c r="BW283" s="223">
        <f>IF(#REF!="","",#REF!)</f>
        <v/>
      </c>
    </row>
    <row r="284">
      <c r="A284" s="282" t="n">
        <v>46501</v>
      </c>
      <c r="B284" s="18">
        <f>IF('CONTROLE EJ'!B286="","",'CONTROLE EJ'!B286)</f>
        <v/>
      </c>
      <c r="C284" s="18">
        <f>IF('CONTROLE EJ'!C286="","",'CONTROLE EJ'!C286)</f>
        <v/>
      </c>
      <c r="D284" s="42">
        <f>IF('CONTROLE EJ'!D286="","",'CONTROLE EJ'!D286)</f>
        <v/>
      </c>
      <c r="E284" s="43">
        <f>IF('CONTROLE CMM'!B286="","",'CONTROLE CMM'!B286)</f>
        <v/>
      </c>
      <c r="F284" s="18">
        <f>IF('CONTROLE CMM'!C286="","",'CONTROLE CMM'!C286)</f>
        <v/>
      </c>
      <c r="G284" s="26">
        <f>IF('CONTROLE CMM'!D286="","",'CONTROLE CMM'!D286)</f>
        <v/>
      </c>
      <c r="H284" s="43">
        <f>IF('CONTROLE GLOBO AÇOS'!B286="","",'CONTROLE GLOBO AÇOS'!B286)</f>
        <v/>
      </c>
      <c r="I284" s="18">
        <f>IF('CONTROLE GLOBO AÇOS'!C286="","",'CONTROLE GLOBO AÇOS'!C286)</f>
        <v/>
      </c>
      <c r="J284" s="18">
        <f>IF('CONTROLE GLOBO AÇOS'!D286="","",'CONTROLE GLOBO AÇOS'!D286)</f>
        <v/>
      </c>
      <c r="AD284" s="39">
        <f>IF($A284="",0,IF(AND(WEEKDAY($A284,2)&lt;=5,OR($B284&lt;&gt;"",$C284&lt;&gt;"",$D284&lt;&gt;"")),1,0))</f>
        <v/>
      </c>
      <c r="AE284" s="39">
        <f>IF($A284="",0,IF(AND(WEEKDAY($A284,2)&lt;=5,OR($E284&lt;&gt;"",$F284&lt;&gt;"",$G284&lt;&gt;"")),1,0))</f>
        <v/>
      </c>
      <c r="AF284" s="39">
        <f>MAX(AD284,AE284)</f>
        <v/>
      </c>
      <c r="AH284" s="223">
        <f>IF('CONTROLE GLOBO AÇOS'!E286="","",'CONTROLE GLOBO AÇOS'!E286)</f>
        <v/>
      </c>
      <c r="AI284" s="223">
        <f>IF('CONTROLE GLOBO AÇOS'!F286="","",'CONTROLE GLOBO AÇOS'!F286)</f>
        <v/>
      </c>
      <c r="AJ284" s="223">
        <f>IF(AND('CONTROLE EJ'!E286="",'CONTROLE CMM'!E286=""),"",N('CONTROLE EJ'!E286)+N('CONTROLE CMM'!E286))</f>
        <v/>
      </c>
      <c r="AK284" s="223">
        <f>IF(AND('CONTROLE EJ'!F286="",'CONTROLE CMM'!F286=""),"",N('CONTROLE EJ'!F286)+N('CONTROLE CMM'!F286))</f>
        <v/>
      </c>
      <c r="AL284" s="223">
        <f>IF(AND('CONTROLE EJ'!G286="",'CONTROLE CMM'!G286=""),"",N('CONTROLE EJ'!G286)+N('CONTROLE CMM'!G286))</f>
        <v/>
      </c>
      <c r="AM284" s="223">
        <f>IF(AND('CONTROLE EJ'!H286="",'CONTROLE CMM'!H286=""),"",N('CONTROLE EJ'!H286)+N('CONTROLE CMM'!H286))</f>
        <v/>
      </c>
      <c r="AN284" s="223">
        <f>IF('CONTROLE GLOBO AÇOS'!G286="","",'CONTROLE GLOBO AÇOS'!G286)</f>
        <v/>
      </c>
      <c r="AO284" s="223">
        <f>IF('CONTROLE GLOBO AÇOS'!H286="","",'CONTROLE GLOBO AÇOS'!H286)</f>
        <v/>
      </c>
      <c r="AP284" s="223">
        <f>IF(AND('CONTROLE EJ'!I286="",'CONTROLE CMM'!I286=""),"",N('CONTROLE EJ'!I286)+N('CONTROLE CMM'!I286))</f>
        <v/>
      </c>
      <c r="AQ284" s="223">
        <f>IF(AND('CONTROLE EJ'!J286="",'CONTROLE CMM'!#REF!=""),"",N('CONTROLE EJ'!J286)+N('CONTROLE CMM'!#REF!))</f>
        <v/>
      </c>
      <c r="AR284" s="223">
        <f>IF('CONTROLE GLOBO AÇOS'!I286="","",'CONTROLE GLOBO AÇOS'!I286)</f>
        <v/>
      </c>
      <c r="AS284" s="223">
        <f>IF('CONTROLE GLOBO AÇOS'!J286="","",'CONTROLE GLOBO AÇOS'!J286)</f>
        <v/>
      </c>
      <c r="AT284" s="223">
        <f>IF(#REF!="","",#REF!)</f>
        <v/>
      </c>
      <c r="AU284" s="223">
        <f>IF('CONTROLE GLOBO AÇOS'!K286="","",'CONTROLE GLOBO AÇOS'!K286)</f>
        <v/>
      </c>
      <c r="AV284" s="223">
        <f>IF(AND('CONTROLE EJ'!K286="",'CONTROLE CMM'!#REF!=""),"",N('CONTROLE EJ'!K286)+N('CONTROLE CMM'!#REF!))</f>
        <v/>
      </c>
      <c r="AW284" s="223">
        <f>IF('CONTROLE GLOBO AÇOS'!L286="","",'CONTROLE GLOBO AÇOS'!L286)</f>
        <v/>
      </c>
      <c r="AX284" s="223">
        <f>IF(AND('CONTROLE EJ'!L286="",'CONTROLE CMM'!#REF!=""),"",N('CONTROLE EJ'!L286)+N('CONTROLE CMM'!#REF!))</f>
        <v/>
      </c>
      <c r="AY284" s="223">
        <f>IF('CONTROLE GLOBO AÇOS'!M286="","",'CONTROLE GLOBO AÇOS'!M286)</f>
        <v/>
      </c>
      <c r="AZ284" s="223">
        <f>IF('CONTROLE GLOBO AÇOS'!N286="","",'CONTROLE GLOBO AÇOS'!N286)</f>
        <v/>
      </c>
      <c r="BA284" s="223">
        <f>IF(AND('CONTROLE EJ'!M286="",'CONTROLE CMM'!#REF!=""),"",N('CONTROLE EJ'!M286)+N('CONTROLE CMM'!#REF!))</f>
        <v/>
      </c>
      <c r="BB284" s="223">
        <f>IF(#REF!="","",#REF!)</f>
        <v/>
      </c>
      <c r="BC284" s="223">
        <f>IF('CONTROLE GLOBO AÇOS'!O286="","",'CONTROLE GLOBO AÇOS'!O286)</f>
        <v/>
      </c>
      <c r="BD284" s="223">
        <f>IF(AND('CONTROLE EJ'!N286="",'CONTROLE CMM'!#REF!=""),"",N('CONTROLE EJ'!N286)+N('CONTROLE CMM'!#REF!))</f>
        <v/>
      </c>
      <c r="BE284" s="223">
        <f>IF('CONTROLE GLOBO AÇOS'!P286="","",'CONTROLE GLOBO AÇOS'!P286)</f>
        <v/>
      </c>
      <c r="BF284" s="223">
        <f>IF('CONTROLE GLOBO AÇOS'!Q286="","",'CONTROLE GLOBO AÇOS'!Q286)</f>
        <v/>
      </c>
      <c r="BG284" s="223">
        <f>IF('CONTROLE GLOBO AÇOS'!R286="","",'CONTROLE GLOBO AÇOS'!R286)</f>
        <v/>
      </c>
      <c r="BH284" s="223">
        <f>IF(AND('CONTROLE EJ'!O286="",'CONTROLE CMM'!#REF!=""),"",N('CONTROLE EJ'!O286)+N('CONTROLE CMM'!#REF!))</f>
        <v/>
      </c>
      <c r="BI284" s="223">
        <f>IF('CONTROLE GLOBO AÇOS'!S286="","",'CONTROLE GLOBO AÇOS'!S286)</f>
        <v/>
      </c>
      <c r="BJ284" s="223">
        <f>IF('CONTROLE GLOBO AÇOS'!T286="","",'CONTROLE GLOBO AÇOS'!T286)</f>
        <v/>
      </c>
      <c r="BK284" s="223">
        <f>IF('CONTROLE GLOBO AÇOS'!U286="","",'CONTROLE GLOBO AÇOS'!U286)</f>
        <v/>
      </c>
      <c r="BL284" s="223">
        <f>IF(AND('CONTROLE EJ'!P286="",'CONTROLE CMM'!#REF!=""),"",N('CONTROLE EJ'!P286)+N('CONTROLE CMM'!#REF!))</f>
        <v/>
      </c>
      <c r="BM284" s="223">
        <f>IF(AND('CONTROLE EJ'!Q286="",'CONTROLE CMM'!#REF!=""),"",N('CONTROLE EJ'!Q286)+N('CONTROLE CMM'!#REF!))</f>
        <v/>
      </c>
      <c r="BN284" s="223">
        <f>IF('CONTROLE GLOBO AÇOS'!V286="","",'CONTROLE GLOBO AÇOS'!V286)</f>
        <v/>
      </c>
      <c r="BO284" s="223">
        <f>IF('CONTROLE GLOBO AÇOS'!W286="","",'CONTROLE GLOBO AÇOS'!W286)</f>
        <v/>
      </c>
      <c r="BP284" s="223">
        <f>IF(AND('CONTROLE EJ'!R286="",'CONTROLE CMM'!#REF!=""),"",N('CONTROLE EJ'!R286)+N('CONTROLE CMM'!#REF!))</f>
        <v/>
      </c>
      <c r="BQ284" s="223">
        <f>IF(#REF!="","",#REF!)</f>
        <v/>
      </c>
      <c r="BR284" s="223">
        <f>IF(AND('CONTROLE EJ'!S286="",'CONTROLE CMM'!#REF!=""),"",N('CONTROLE EJ'!S286)+N('CONTROLE CMM'!#REF!))</f>
        <v/>
      </c>
      <c r="BS284" s="223">
        <f>IF(AND('CONTROLE EJ'!T286="",'CONTROLE CMM'!#REF!=""),"",N('CONTROLE EJ'!T286)+N('CONTROLE CMM'!#REF!))</f>
        <v/>
      </c>
      <c r="BT284" s="223">
        <f>IF('CONTROLE GLOBO AÇOS'!X286="","",'CONTROLE GLOBO AÇOS'!X286)</f>
        <v/>
      </c>
      <c r="BU284" s="223">
        <f>IF('CONTROLE GLOBO AÇOS'!Y286="","",'CONTROLE GLOBO AÇOS'!Y286)</f>
        <v/>
      </c>
      <c r="BV284" s="223">
        <f>IF(AND('CONTROLE EJ'!U286="",'CONTROLE CMM'!#REF!=""),"",N('CONTROLE EJ'!U286)+N('CONTROLE CMM'!#REF!))</f>
        <v/>
      </c>
      <c r="BW284" s="223">
        <f>IF(#REF!="","",#REF!)</f>
        <v/>
      </c>
    </row>
    <row r="285">
      <c r="A285" s="282" t="n">
        <v>46502</v>
      </c>
      <c r="B285" s="18">
        <f>IF('CONTROLE EJ'!B287="","",'CONTROLE EJ'!B287)</f>
        <v/>
      </c>
      <c r="C285" s="18">
        <f>IF('CONTROLE EJ'!C287="","",'CONTROLE EJ'!C287)</f>
        <v/>
      </c>
      <c r="D285" s="42">
        <f>IF('CONTROLE EJ'!D287="","",'CONTROLE EJ'!D287)</f>
        <v/>
      </c>
      <c r="E285" s="43">
        <f>IF('CONTROLE CMM'!B287="","",'CONTROLE CMM'!B287)</f>
        <v/>
      </c>
      <c r="F285" s="18">
        <f>IF('CONTROLE CMM'!C287="","",'CONTROLE CMM'!C287)</f>
        <v/>
      </c>
      <c r="G285" s="26">
        <f>IF('CONTROLE CMM'!D287="","",'CONTROLE CMM'!D287)</f>
        <v/>
      </c>
      <c r="H285" s="43">
        <f>IF('CONTROLE GLOBO AÇOS'!B287="","",'CONTROLE GLOBO AÇOS'!B287)</f>
        <v/>
      </c>
      <c r="I285" s="18">
        <f>IF('CONTROLE GLOBO AÇOS'!C287="","",'CONTROLE GLOBO AÇOS'!C287)</f>
        <v/>
      </c>
      <c r="J285" s="18">
        <f>IF('CONTROLE GLOBO AÇOS'!D287="","",'CONTROLE GLOBO AÇOS'!D287)</f>
        <v/>
      </c>
      <c r="AD285" s="39">
        <f>IF($A285="",0,IF(AND(WEEKDAY($A285,2)&lt;=5,OR($B285&lt;&gt;"",$C285&lt;&gt;"",$D285&lt;&gt;"")),1,0))</f>
        <v/>
      </c>
      <c r="AE285" s="39">
        <f>IF($A285="",0,IF(AND(WEEKDAY($A285,2)&lt;=5,OR($E285&lt;&gt;"",$F285&lt;&gt;"",$G285&lt;&gt;"")),1,0))</f>
        <v/>
      </c>
      <c r="AF285" s="39">
        <f>MAX(AD285,AE285)</f>
        <v/>
      </c>
      <c r="AH285" s="223">
        <f>IF('CONTROLE GLOBO AÇOS'!E287="","",'CONTROLE GLOBO AÇOS'!E287)</f>
        <v/>
      </c>
      <c r="AI285" s="223">
        <f>IF('CONTROLE GLOBO AÇOS'!F287="","",'CONTROLE GLOBO AÇOS'!F287)</f>
        <v/>
      </c>
      <c r="AJ285" s="223">
        <f>IF(AND('CONTROLE EJ'!E287="",'CONTROLE CMM'!E287=""),"",N('CONTROLE EJ'!E287)+N('CONTROLE CMM'!E287))</f>
        <v/>
      </c>
      <c r="AK285" s="223">
        <f>IF(AND('CONTROLE EJ'!F287="",'CONTROLE CMM'!F287=""),"",N('CONTROLE EJ'!F287)+N('CONTROLE CMM'!F287))</f>
        <v/>
      </c>
      <c r="AL285" s="223">
        <f>IF(AND('CONTROLE EJ'!G287="",'CONTROLE CMM'!G287=""),"",N('CONTROLE EJ'!G287)+N('CONTROLE CMM'!G287))</f>
        <v/>
      </c>
      <c r="AM285" s="223">
        <f>IF(AND('CONTROLE EJ'!H287="",'CONTROLE CMM'!H287=""),"",N('CONTROLE EJ'!H287)+N('CONTROLE CMM'!H287))</f>
        <v/>
      </c>
      <c r="AN285" s="223">
        <f>IF('CONTROLE GLOBO AÇOS'!G287="","",'CONTROLE GLOBO AÇOS'!G287)</f>
        <v/>
      </c>
      <c r="AO285" s="223">
        <f>IF('CONTROLE GLOBO AÇOS'!H287="","",'CONTROLE GLOBO AÇOS'!H287)</f>
        <v/>
      </c>
      <c r="AP285" s="223">
        <f>IF(AND('CONTROLE EJ'!I287="",'CONTROLE CMM'!I287=""),"",N('CONTROLE EJ'!I287)+N('CONTROLE CMM'!I287))</f>
        <v/>
      </c>
      <c r="AQ285" s="223">
        <f>IF(AND('CONTROLE EJ'!J287="",'CONTROLE CMM'!#REF!=""),"",N('CONTROLE EJ'!J287)+N('CONTROLE CMM'!#REF!))</f>
        <v/>
      </c>
      <c r="AR285" s="223">
        <f>IF('CONTROLE GLOBO AÇOS'!I287="","",'CONTROLE GLOBO AÇOS'!I287)</f>
        <v/>
      </c>
      <c r="AS285" s="223">
        <f>IF('CONTROLE GLOBO AÇOS'!J287="","",'CONTROLE GLOBO AÇOS'!J287)</f>
        <v/>
      </c>
      <c r="AT285" s="223">
        <f>IF(#REF!="","",#REF!)</f>
        <v/>
      </c>
      <c r="AU285" s="223">
        <f>IF('CONTROLE GLOBO AÇOS'!K287="","",'CONTROLE GLOBO AÇOS'!K287)</f>
        <v/>
      </c>
      <c r="AV285" s="223">
        <f>IF(AND('CONTROLE EJ'!K287="",'CONTROLE CMM'!#REF!=""),"",N('CONTROLE EJ'!K287)+N('CONTROLE CMM'!#REF!))</f>
        <v/>
      </c>
      <c r="AW285" s="223">
        <f>IF('CONTROLE GLOBO AÇOS'!L287="","",'CONTROLE GLOBO AÇOS'!L287)</f>
        <v/>
      </c>
      <c r="AX285" s="223">
        <f>IF(AND('CONTROLE EJ'!L287="",'CONTROLE CMM'!#REF!=""),"",N('CONTROLE EJ'!L287)+N('CONTROLE CMM'!#REF!))</f>
        <v/>
      </c>
      <c r="AY285" s="223">
        <f>IF('CONTROLE GLOBO AÇOS'!M287="","",'CONTROLE GLOBO AÇOS'!M287)</f>
        <v/>
      </c>
      <c r="AZ285" s="223">
        <f>IF('CONTROLE GLOBO AÇOS'!N287="","",'CONTROLE GLOBO AÇOS'!N287)</f>
        <v/>
      </c>
      <c r="BA285" s="223">
        <f>IF(AND('CONTROLE EJ'!M287="",'CONTROLE CMM'!#REF!=""),"",N('CONTROLE EJ'!M287)+N('CONTROLE CMM'!#REF!))</f>
        <v/>
      </c>
      <c r="BB285" s="223">
        <f>IF(#REF!="","",#REF!)</f>
        <v/>
      </c>
      <c r="BC285" s="223">
        <f>IF('CONTROLE GLOBO AÇOS'!O287="","",'CONTROLE GLOBO AÇOS'!O287)</f>
        <v/>
      </c>
      <c r="BD285" s="223">
        <f>IF(AND('CONTROLE EJ'!N287="",'CONTROLE CMM'!#REF!=""),"",N('CONTROLE EJ'!N287)+N('CONTROLE CMM'!#REF!))</f>
        <v/>
      </c>
      <c r="BE285" s="223">
        <f>IF('CONTROLE GLOBO AÇOS'!P287="","",'CONTROLE GLOBO AÇOS'!P287)</f>
        <v/>
      </c>
      <c r="BF285" s="223">
        <f>IF('CONTROLE GLOBO AÇOS'!Q287="","",'CONTROLE GLOBO AÇOS'!Q287)</f>
        <v/>
      </c>
      <c r="BG285" s="223">
        <f>IF('CONTROLE GLOBO AÇOS'!R287="","",'CONTROLE GLOBO AÇOS'!R287)</f>
        <v/>
      </c>
      <c r="BH285" s="223">
        <f>IF(AND('CONTROLE EJ'!O287="",'CONTROLE CMM'!#REF!=""),"",N('CONTROLE EJ'!O287)+N('CONTROLE CMM'!#REF!))</f>
        <v/>
      </c>
      <c r="BI285" s="223">
        <f>IF('CONTROLE GLOBO AÇOS'!S287="","",'CONTROLE GLOBO AÇOS'!S287)</f>
        <v/>
      </c>
      <c r="BJ285" s="223">
        <f>IF('CONTROLE GLOBO AÇOS'!T287="","",'CONTROLE GLOBO AÇOS'!T287)</f>
        <v/>
      </c>
      <c r="BK285" s="223">
        <f>IF('CONTROLE GLOBO AÇOS'!U287="","",'CONTROLE GLOBO AÇOS'!U287)</f>
        <v/>
      </c>
      <c r="BL285" s="223">
        <f>IF(AND('CONTROLE EJ'!P287="",'CONTROLE CMM'!#REF!=""),"",N('CONTROLE EJ'!P287)+N('CONTROLE CMM'!#REF!))</f>
        <v/>
      </c>
      <c r="BM285" s="223">
        <f>IF(AND('CONTROLE EJ'!Q287="",'CONTROLE CMM'!#REF!=""),"",N('CONTROLE EJ'!Q287)+N('CONTROLE CMM'!#REF!))</f>
        <v/>
      </c>
      <c r="BN285" s="223">
        <f>IF('CONTROLE GLOBO AÇOS'!V287="","",'CONTROLE GLOBO AÇOS'!V287)</f>
        <v/>
      </c>
      <c r="BO285" s="223">
        <f>IF('CONTROLE GLOBO AÇOS'!W287="","",'CONTROLE GLOBO AÇOS'!W287)</f>
        <v/>
      </c>
      <c r="BP285" s="223">
        <f>IF(AND('CONTROLE EJ'!R287="",'CONTROLE CMM'!#REF!=""),"",N('CONTROLE EJ'!R287)+N('CONTROLE CMM'!#REF!))</f>
        <v/>
      </c>
      <c r="BQ285" s="223">
        <f>IF(#REF!="","",#REF!)</f>
        <v/>
      </c>
      <c r="BR285" s="223">
        <f>IF(AND('CONTROLE EJ'!S287="",'CONTROLE CMM'!#REF!=""),"",N('CONTROLE EJ'!S287)+N('CONTROLE CMM'!#REF!))</f>
        <v/>
      </c>
      <c r="BS285" s="223">
        <f>IF(AND('CONTROLE EJ'!T287="",'CONTROLE CMM'!#REF!=""),"",N('CONTROLE EJ'!T287)+N('CONTROLE CMM'!#REF!))</f>
        <v/>
      </c>
      <c r="BT285" s="223">
        <f>IF('CONTROLE GLOBO AÇOS'!X287="","",'CONTROLE GLOBO AÇOS'!X287)</f>
        <v/>
      </c>
      <c r="BU285" s="223">
        <f>IF('CONTROLE GLOBO AÇOS'!Y287="","",'CONTROLE GLOBO AÇOS'!Y287)</f>
        <v/>
      </c>
      <c r="BV285" s="223">
        <f>IF(AND('CONTROLE EJ'!U287="",'CONTROLE CMM'!#REF!=""),"",N('CONTROLE EJ'!U287)+N('CONTROLE CMM'!#REF!))</f>
        <v/>
      </c>
      <c r="BW285" s="223">
        <f>IF(#REF!="","",#REF!)</f>
        <v/>
      </c>
    </row>
    <row r="286">
      <c r="A286" s="282" t="n">
        <v>46503</v>
      </c>
      <c r="B286" s="18">
        <f>IF('CONTROLE EJ'!B288="","",'CONTROLE EJ'!B288)</f>
        <v/>
      </c>
      <c r="C286" s="18">
        <f>IF('CONTROLE EJ'!C288="","",'CONTROLE EJ'!C288)</f>
        <v/>
      </c>
      <c r="D286" s="42">
        <f>IF('CONTROLE EJ'!D288="","",'CONTROLE EJ'!D288)</f>
        <v/>
      </c>
      <c r="E286" s="43">
        <f>IF('CONTROLE CMM'!B288="","",'CONTROLE CMM'!B288)</f>
        <v/>
      </c>
      <c r="F286" s="18">
        <f>IF('CONTROLE CMM'!C288="","",'CONTROLE CMM'!C288)</f>
        <v/>
      </c>
      <c r="G286" s="26">
        <f>IF('CONTROLE CMM'!D288="","",'CONTROLE CMM'!D288)</f>
        <v/>
      </c>
      <c r="H286" s="43">
        <f>IF('CONTROLE GLOBO AÇOS'!B288="","",'CONTROLE GLOBO AÇOS'!B288)</f>
        <v/>
      </c>
      <c r="I286" s="18">
        <f>IF('CONTROLE GLOBO AÇOS'!C288="","",'CONTROLE GLOBO AÇOS'!C288)</f>
        <v/>
      </c>
      <c r="J286" s="18">
        <f>IF('CONTROLE GLOBO AÇOS'!D288="","",'CONTROLE GLOBO AÇOS'!D288)</f>
        <v/>
      </c>
      <c r="AD286" s="39">
        <f>IF($A286="",0,IF(AND(WEEKDAY($A286,2)&lt;=5,OR($B286&lt;&gt;"",$C286&lt;&gt;"",$D286&lt;&gt;"")),1,0))</f>
        <v/>
      </c>
      <c r="AE286" s="39">
        <f>IF($A286="",0,IF(AND(WEEKDAY($A286,2)&lt;=5,OR($E286&lt;&gt;"",$F286&lt;&gt;"",$G286&lt;&gt;"")),1,0))</f>
        <v/>
      </c>
      <c r="AF286" s="39">
        <f>MAX(AD286,AE286)</f>
        <v/>
      </c>
      <c r="AH286" s="223">
        <f>IF('CONTROLE GLOBO AÇOS'!E288="","",'CONTROLE GLOBO AÇOS'!E288)</f>
        <v/>
      </c>
      <c r="AI286" s="223">
        <f>IF('CONTROLE GLOBO AÇOS'!F288="","",'CONTROLE GLOBO AÇOS'!F288)</f>
        <v/>
      </c>
      <c r="AJ286" s="223">
        <f>IF(AND('CONTROLE EJ'!E288="",'CONTROLE CMM'!E288=""),"",N('CONTROLE EJ'!E288)+N('CONTROLE CMM'!E288))</f>
        <v/>
      </c>
      <c r="AK286" s="223">
        <f>IF(AND('CONTROLE EJ'!F288="",'CONTROLE CMM'!F288=""),"",N('CONTROLE EJ'!F288)+N('CONTROLE CMM'!F288))</f>
        <v/>
      </c>
      <c r="AL286" s="223">
        <f>IF(AND('CONTROLE EJ'!G288="",'CONTROLE CMM'!G288=""),"",N('CONTROLE EJ'!G288)+N('CONTROLE CMM'!G288))</f>
        <v/>
      </c>
      <c r="AM286" s="223">
        <f>IF(AND('CONTROLE EJ'!H288="",'CONTROLE CMM'!H288=""),"",N('CONTROLE EJ'!H288)+N('CONTROLE CMM'!H288))</f>
        <v/>
      </c>
      <c r="AN286" s="223">
        <f>IF('CONTROLE GLOBO AÇOS'!G288="","",'CONTROLE GLOBO AÇOS'!G288)</f>
        <v/>
      </c>
      <c r="AO286" s="223">
        <f>IF('CONTROLE GLOBO AÇOS'!H288="","",'CONTROLE GLOBO AÇOS'!H288)</f>
        <v/>
      </c>
      <c r="AP286" s="223">
        <f>IF(AND('CONTROLE EJ'!I288="",'CONTROLE CMM'!I288=""),"",N('CONTROLE EJ'!I288)+N('CONTROLE CMM'!I288))</f>
        <v/>
      </c>
      <c r="AQ286" s="223">
        <f>IF(AND('CONTROLE EJ'!J288="",'CONTROLE CMM'!#REF!=""),"",N('CONTROLE EJ'!J288)+N('CONTROLE CMM'!#REF!))</f>
        <v/>
      </c>
      <c r="AR286" s="223">
        <f>IF('CONTROLE GLOBO AÇOS'!I288="","",'CONTROLE GLOBO AÇOS'!I288)</f>
        <v/>
      </c>
      <c r="AS286" s="223">
        <f>IF('CONTROLE GLOBO AÇOS'!J288="","",'CONTROLE GLOBO AÇOS'!J288)</f>
        <v/>
      </c>
      <c r="AT286" s="223">
        <f>IF(#REF!="","",#REF!)</f>
        <v/>
      </c>
      <c r="AU286" s="223">
        <f>IF('CONTROLE GLOBO AÇOS'!K288="","",'CONTROLE GLOBO AÇOS'!K288)</f>
        <v/>
      </c>
      <c r="AV286" s="223">
        <f>IF(AND('CONTROLE EJ'!K288="",'CONTROLE CMM'!#REF!=""),"",N('CONTROLE EJ'!K288)+N('CONTROLE CMM'!#REF!))</f>
        <v/>
      </c>
      <c r="AW286" s="223">
        <f>IF('CONTROLE GLOBO AÇOS'!L288="","",'CONTROLE GLOBO AÇOS'!L288)</f>
        <v/>
      </c>
      <c r="AX286" s="223">
        <f>IF(AND('CONTROLE EJ'!L288="",'CONTROLE CMM'!#REF!=""),"",N('CONTROLE EJ'!L288)+N('CONTROLE CMM'!#REF!))</f>
        <v/>
      </c>
      <c r="AY286" s="223">
        <f>IF('CONTROLE GLOBO AÇOS'!M288="","",'CONTROLE GLOBO AÇOS'!M288)</f>
        <v/>
      </c>
      <c r="AZ286" s="223">
        <f>IF('CONTROLE GLOBO AÇOS'!N288="","",'CONTROLE GLOBO AÇOS'!N288)</f>
        <v/>
      </c>
      <c r="BA286" s="223">
        <f>IF(AND('CONTROLE EJ'!M288="",'CONTROLE CMM'!#REF!=""),"",N('CONTROLE EJ'!M288)+N('CONTROLE CMM'!#REF!))</f>
        <v/>
      </c>
      <c r="BB286" s="223">
        <f>IF(#REF!="","",#REF!)</f>
        <v/>
      </c>
      <c r="BC286" s="223">
        <f>IF('CONTROLE GLOBO AÇOS'!O288="","",'CONTROLE GLOBO AÇOS'!O288)</f>
        <v/>
      </c>
      <c r="BD286" s="223">
        <f>IF(AND('CONTROLE EJ'!N288="",'CONTROLE CMM'!#REF!=""),"",N('CONTROLE EJ'!N288)+N('CONTROLE CMM'!#REF!))</f>
        <v/>
      </c>
      <c r="BE286" s="223">
        <f>IF('CONTROLE GLOBO AÇOS'!P288="","",'CONTROLE GLOBO AÇOS'!P288)</f>
        <v/>
      </c>
      <c r="BF286" s="223">
        <f>IF('CONTROLE GLOBO AÇOS'!Q288="","",'CONTROLE GLOBO AÇOS'!Q288)</f>
        <v/>
      </c>
      <c r="BG286" s="223">
        <f>IF('CONTROLE GLOBO AÇOS'!R288="","",'CONTROLE GLOBO AÇOS'!R288)</f>
        <v/>
      </c>
      <c r="BH286" s="223">
        <f>IF(AND('CONTROLE EJ'!O288="",'CONTROLE CMM'!#REF!=""),"",N('CONTROLE EJ'!O288)+N('CONTROLE CMM'!#REF!))</f>
        <v/>
      </c>
      <c r="BI286" s="223">
        <f>IF('CONTROLE GLOBO AÇOS'!S288="","",'CONTROLE GLOBO AÇOS'!S288)</f>
        <v/>
      </c>
      <c r="BJ286" s="223">
        <f>IF('CONTROLE GLOBO AÇOS'!T288="","",'CONTROLE GLOBO AÇOS'!T288)</f>
        <v/>
      </c>
      <c r="BK286" s="223">
        <f>IF('CONTROLE GLOBO AÇOS'!U288="","",'CONTROLE GLOBO AÇOS'!U288)</f>
        <v/>
      </c>
      <c r="BL286" s="223">
        <f>IF(AND('CONTROLE EJ'!P288="",'CONTROLE CMM'!#REF!=""),"",N('CONTROLE EJ'!P288)+N('CONTROLE CMM'!#REF!))</f>
        <v/>
      </c>
      <c r="BM286" s="223">
        <f>IF(AND('CONTROLE EJ'!Q288="",'CONTROLE CMM'!#REF!=""),"",N('CONTROLE EJ'!Q288)+N('CONTROLE CMM'!#REF!))</f>
        <v/>
      </c>
      <c r="BN286" s="223">
        <f>IF('CONTROLE GLOBO AÇOS'!V288="","",'CONTROLE GLOBO AÇOS'!V288)</f>
        <v/>
      </c>
      <c r="BO286" s="223">
        <f>IF('CONTROLE GLOBO AÇOS'!W288="","",'CONTROLE GLOBO AÇOS'!W288)</f>
        <v/>
      </c>
      <c r="BP286" s="223">
        <f>IF(AND('CONTROLE EJ'!R288="",'CONTROLE CMM'!#REF!=""),"",N('CONTROLE EJ'!R288)+N('CONTROLE CMM'!#REF!))</f>
        <v/>
      </c>
      <c r="BQ286" s="223">
        <f>IF(#REF!="","",#REF!)</f>
        <v/>
      </c>
      <c r="BR286" s="223">
        <f>IF(AND('CONTROLE EJ'!S288="",'CONTROLE CMM'!#REF!=""),"",N('CONTROLE EJ'!S288)+N('CONTROLE CMM'!#REF!))</f>
        <v/>
      </c>
      <c r="BS286" s="223">
        <f>IF(AND('CONTROLE EJ'!T288="",'CONTROLE CMM'!#REF!=""),"",N('CONTROLE EJ'!T288)+N('CONTROLE CMM'!#REF!))</f>
        <v/>
      </c>
      <c r="BT286" s="223">
        <f>IF('CONTROLE GLOBO AÇOS'!X288="","",'CONTROLE GLOBO AÇOS'!X288)</f>
        <v/>
      </c>
      <c r="BU286" s="223">
        <f>IF('CONTROLE GLOBO AÇOS'!Y288="","",'CONTROLE GLOBO AÇOS'!Y288)</f>
        <v/>
      </c>
      <c r="BV286" s="223">
        <f>IF(AND('CONTROLE EJ'!U288="",'CONTROLE CMM'!#REF!=""),"",N('CONTROLE EJ'!U288)+N('CONTROLE CMM'!#REF!))</f>
        <v/>
      </c>
      <c r="BW286" s="223">
        <f>IF(#REF!="","",#REF!)</f>
        <v/>
      </c>
    </row>
    <row r="287">
      <c r="A287" s="282" t="n">
        <v>46504</v>
      </c>
      <c r="B287" s="18">
        <f>IF('CONTROLE EJ'!B289="","",'CONTROLE EJ'!B289)</f>
        <v/>
      </c>
      <c r="C287" s="18">
        <f>IF('CONTROLE EJ'!C289="","",'CONTROLE EJ'!C289)</f>
        <v/>
      </c>
      <c r="D287" s="42">
        <f>IF('CONTROLE EJ'!D289="","",'CONTROLE EJ'!D289)</f>
        <v/>
      </c>
      <c r="E287" s="43">
        <f>IF('CONTROLE CMM'!B289="","",'CONTROLE CMM'!B289)</f>
        <v/>
      </c>
      <c r="F287" s="18">
        <f>IF('CONTROLE CMM'!C289="","",'CONTROLE CMM'!C289)</f>
        <v/>
      </c>
      <c r="G287" s="26">
        <f>IF('CONTROLE CMM'!D289="","",'CONTROLE CMM'!D289)</f>
        <v/>
      </c>
      <c r="H287" s="43">
        <f>IF('CONTROLE GLOBO AÇOS'!B289="","",'CONTROLE GLOBO AÇOS'!B289)</f>
        <v/>
      </c>
      <c r="I287" s="18">
        <f>IF('CONTROLE GLOBO AÇOS'!C289="","",'CONTROLE GLOBO AÇOS'!C289)</f>
        <v/>
      </c>
      <c r="J287" s="18">
        <f>IF('CONTROLE GLOBO AÇOS'!D289="","",'CONTROLE GLOBO AÇOS'!D289)</f>
        <v/>
      </c>
      <c r="AD287" s="39">
        <f>IF($A287="",0,IF(AND(WEEKDAY($A287,2)&lt;=5,OR($B287&lt;&gt;"",$C287&lt;&gt;"",$D287&lt;&gt;"")),1,0))</f>
        <v/>
      </c>
      <c r="AE287" s="39">
        <f>IF($A287="",0,IF(AND(WEEKDAY($A287,2)&lt;=5,OR($E287&lt;&gt;"",$F287&lt;&gt;"",$G287&lt;&gt;"")),1,0))</f>
        <v/>
      </c>
      <c r="AF287" s="39">
        <f>MAX(AD287,AE287)</f>
        <v/>
      </c>
      <c r="AH287" s="223">
        <f>IF('CONTROLE GLOBO AÇOS'!E289="","",'CONTROLE GLOBO AÇOS'!E289)</f>
        <v/>
      </c>
      <c r="AI287" s="223">
        <f>IF('CONTROLE GLOBO AÇOS'!F289="","",'CONTROLE GLOBO AÇOS'!F289)</f>
        <v/>
      </c>
      <c r="AJ287" s="223">
        <f>IF(AND('CONTROLE EJ'!E289="",'CONTROLE CMM'!E289=""),"",N('CONTROLE EJ'!E289)+N('CONTROLE CMM'!E289))</f>
        <v/>
      </c>
      <c r="AK287" s="223">
        <f>IF(AND('CONTROLE EJ'!F289="",'CONTROLE CMM'!F289=""),"",N('CONTROLE EJ'!F289)+N('CONTROLE CMM'!F289))</f>
        <v/>
      </c>
      <c r="AL287" s="223">
        <f>IF(AND('CONTROLE EJ'!G289="",'CONTROLE CMM'!G289=""),"",N('CONTROLE EJ'!G289)+N('CONTROLE CMM'!G289))</f>
        <v/>
      </c>
      <c r="AM287" s="223">
        <f>IF(AND('CONTROLE EJ'!H289="",'CONTROLE CMM'!H289=""),"",N('CONTROLE EJ'!H289)+N('CONTROLE CMM'!H289))</f>
        <v/>
      </c>
      <c r="AN287" s="223">
        <f>IF('CONTROLE GLOBO AÇOS'!G289="","",'CONTROLE GLOBO AÇOS'!G289)</f>
        <v/>
      </c>
      <c r="AO287" s="223">
        <f>IF('CONTROLE GLOBO AÇOS'!H289="","",'CONTROLE GLOBO AÇOS'!H289)</f>
        <v/>
      </c>
      <c r="AP287" s="223">
        <f>IF(AND('CONTROLE EJ'!I289="",'CONTROLE CMM'!I289=""),"",N('CONTROLE EJ'!I289)+N('CONTROLE CMM'!I289))</f>
        <v/>
      </c>
      <c r="AQ287" s="223">
        <f>IF(AND('CONTROLE EJ'!J289="",'CONTROLE CMM'!#REF!=""),"",N('CONTROLE EJ'!J289)+N('CONTROLE CMM'!#REF!))</f>
        <v/>
      </c>
      <c r="AR287" s="223">
        <f>IF('CONTROLE GLOBO AÇOS'!I289="","",'CONTROLE GLOBO AÇOS'!I289)</f>
        <v/>
      </c>
      <c r="AS287" s="223">
        <f>IF('CONTROLE GLOBO AÇOS'!J289="","",'CONTROLE GLOBO AÇOS'!J289)</f>
        <v/>
      </c>
      <c r="AT287" s="223">
        <f>IF(#REF!="","",#REF!)</f>
        <v/>
      </c>
      <c r="AU287" s="223">
        <f>IF('CONTROLE GLOBO AÇOS'!K289="","",'CONTROLE GLOBO AÇOS'!K289)</f>
        <v/>
      </c>
      <c r="AV287" s="223">
        <f>IF(AND('CONTROLE EJ'!K289="",'CONTROLE CMM'!#REF!=""),"",N('CONTROLE EJ'!K289)+N('CONTROLE CMM'!#REF!))</f>
        <v/>
      </c>
      <c r="AW287" s="223">
        <f>IF('CONTROLE GLOBO AÇOS'!L289="","",'CONTROLE GLOBO AÇOS'!L289)</f>
        <v/>
      </c>
      <c r="AX287" s="223">
        <f>IF(AND('CONTROLE EJ'!L289="",'CONTROLE CMM'!#REF!=""),"",N('CONTROLE EJ'!L289)+N('CONTROLE CMM'!#REF!))</f>
        <v/>
      </c>
      <c r="AY287" s="223">
        <f>IF('CONTROLE GLOBO AÇOS'!M289="","",'CONTROLE GLOBO AÇOS'!M289)</f>
        <v/>
      </c>
      <c r="AZ287" s="223">
        <f>IF('CONTROLE GLOBO AÇOS'!N289="","",'CONTROLE GLOBO AÇOS'!N289)</f>
        <v/>
      </c>
      <c r="BA287" s="223">
        <f>IF(AND('CONTROLE EJ'!M289="",'CONTROLE CMM'!#REF!=""),"",N('CONTROLE EJ'!M289)+N('CONTROLE CMM'!#REF!))</f>
        <v/>
      </c>
      <c r="BB287" s="223">
        <f>IF(#REF!="","",#REF!)</f>
        <v/>
      </c>
      <c r="BC287" s="223">
        <f>IF('CONTROLE GLOBO AÇOS'!O289="","",'CONTROLE GLOBO AÇOS'!O289)</f>
        <v/>
      </c>
      <c r="BD287" s="223">
        <f>IF(AND('CONTROLE EJ'!N289="",'CONTROLE CMM'!#REF!=""),"",N('CONTROLE EJ'!N289)+N('CONTROLE CMM'!#REF!))</f>
        <v/>
      </c>
      <c r="BE287" s="223">
        <f>IF('CONTROLE GLOBO AÇOS'!P289="","",'CONTROLE GLOBO AÇOS'!P289)</f>
        <v/>
      </c>
      <c r="BF287" s="223">
        <f>IF('CONTROLE GLOBO AÇOS'!Q289="","",'CONTROLE GLOBO AÇOS'!Q289)</f>
        <v/>
      </c>
      <c r="BG287" s="223">
        <f>IF('CONTROLE GLOBO AÇOS'!R289="","",'CONTROLE GLOBO AÇOS'!R289)</f>
        <v/>
      </c>
      <c r="BH287" s="223">
        <f>IF(AND('CONTROLE EJ'!O289="",'CONTROLE CMM'!#REF!=""),"",N('CONTROLE EJ'!O289)+N('CONTROLE CMM'!#REF!))</f>
        <v/>
      </c>
      <c r="BI287" s="223">
        <f>IF('CONTROLE GLOBO AÇOS'!S289="","",'CONTROLE GLOBO AÇOS'!S289)</f>
        <v/>
      </c>
      <c r="BJ287" s="223">
        <f>IF('CONTROLE GLOBO AÇOS'!T289="","",'CONTROLE GLOBO AÇOS'!T289)</f>
        <v/>
      </c>
      <c r="BK287" s="223">
        <f>IF('CONTROLE GLOBO AÇOS'!U289="","",'CONTROLE GLOBO AÇOS'!U289)</f>
        <v/>
      </c>
      <c r="BL287" s="223">
        <f>IF(AND('CONTROLE EJ'!P289="",'CONTROLE CMM'!#REF!=""),"",N('CONTROLE EJ'!P289)+N('CONTROLE CMM'!#REF!))</f>
        <v/>
      </c>
      <c r="BM287" s="223">
        <f>IF(AND('CONTROLE EJ'!Q289="",'CONTROLE CMM'!#REF!=""),"",N('CONTROLE EJ'!Q289)+N('CONTROLE CMM'!#REF!))</f>
        <v/>
      </c>
      <c r="BN287" s="223">
        <f>IF('CONTROLE GLOBO AÇOS'!V289="","",'CONTROLE GLOBO AÇOS'!V289)</f>
        <v/>
      </c>
      <c r="BO287" s="223">
        <f>IF('CONTROLE GLOBO AÇOS'!W289="","",'CONTROLE GLOBO AÇOS'!W289)</f>
        <v/>
      </c>
      <c r="BP287" s="223">
        <f>IF(AND('CONTROLE EJ'!R289="",'CONTROLE CMM'!#REF!=""),"",N('CONTROLE EJ'!R289)+N('CONTROLE CMM'!#REF!))</f>
        <v/>
      </c>
      <c r="BQ287" s="223">
        <f>IF(#REF!="","",#REF!)</f>
        <v/>
      </c>
      <c r="BR287" s="223">
        <f>IF(AND('CONTROLE EJ'!S289="",'CONTROLE CMM'!#REF!=""),"",N('CONTROLE EJ'!S289)+N('CONTROLE CMM'!#REF!))</f>
        <v/>
      </c>
      <c r="BS287" s="223">
        <f>IF(AND('CONTROLE EJ'!T289="",'CONTROLE CMM'!#REF!=""),"",N('CONTROLE EJ'!T289)+N('CONTROLE CMM'!#REF!))</f>
        <v/>
      </c>
      <c r="BT287" s="223">
        <f>IF('CONTROLE GLOBO AÇOS'!X289="","",'CONTROLE GLOBO AÇOS'!X289)</f>
        <v/>
      </c>
      <c r="BU287" s="223">
        <f>IF('CONTROLE GLOBO AÇOS'!Y289="","",'CONTROLE GLOBO AÇOS'!Y289)</f>
        <v/>
      </c>
      <c r="BV287" s="223">
        <f>IF(AND('CONTROLE EJ'!U289="",'CONTROLE CMM'!#REF!=""),"",N('CONTROLE EJ'!U289)+N('CONTROLE CMM'!#REF!))</f>
        <v/>
      </c>
      <c r="BW287" s="223">
        <f>IF(#REF!="","",#REF!)</f>
        <v/>
      </c>
    </row>
    <row r="288">
      <c r="A288" s="282" t="n">
        <v>46505</v>
      </c>
      <c r="B288" s="18">
        <f>IF('CONTROLE EJ'!B290="","",'CONTROLE EJ'!B290)</f>
        <v/>
      </c>
      <c r="C288" s="18">
        <f>IF('CONTROLE EJ'!C290="","",'CONTROLE EJ'!C290)</f>
        <v/>
      </c>
      <c r="D288" s="42">
        <f>IF('CONTROLE EJ'!D290="","",'CONTROLE EJ'!D290)</f>
        <v/>
      </c>
      <c r="E288" s="43">
        <f>IF('CONTROLE CMM'!B290="","",'CONTROLE CMM'!B290)</f>
        <v/>
      </c>
      <c r="F288" s="18">
        <f>IF('CONTROLE CMM'!C290="","",'CONTROLE CMM'!C290)</f>
        <v/>
      </c>
      <c r="G288" s="26">
        <f>IF('CONTROLE CMM'!D290="","",'CONTROLE CMM'!D290)</f>
        <v/>
      </c>
      <c r="H288" s="43">
        <f>IF('CONTROLE GLOBO AÇOS'!B290="","",'CONTROLE GLOBO AÇOS'!B290)</f>
        <v/>
      </c>
      <c r="I288" s="18">
        <f>IF('CONTROLE GLOBO AÇOS'!C290="","",'CONTROLE GLOBO AÇOS'!C290)</f>
        <v/>
      </c>
      <c r="J288" s="18">
        <f>IF('CONTROLE GLOBO AÇOS'!D290="","",'CONTROLE GLOBO AÇOS'!D290)</f>
        <v/>
      </c>
      <c r="AD288" s="39">
        <f>IF($A288="",0,IF(AND(WEEKDAY($A288,2)&lt;=5,OR($B288&lt;&gt;"",$C288&lt;&gt;"",$D288&lt;&gt;"")),1,0))</f>
        <v/>
      </c>
      <c r="AE288" s="39">
        <f>IF($A288="",0,IF(AND(WEEKDAY($A288,2)&lt;=5,OR($E288&lt;&gt;"",$F288&lt;&gt;"",$G288&lt;&gt;"")),1,0))</f>
        <v/>
      </c>
      <c r="AF288" s="39">
        <f>MAX(AD288,AE288)</f>
        <v/>
      </c>
      <c r="AH288" s="223">
        <f>IF('CONTROLE GLOBO AÇOS'!E290="","",'CONTROLE GLOBO AÇOS'!E290)</f>
        <v/>
      </c>
      <c r="AI288" s="223">
        <f>IF('CONTROLE GLOBO AÇOS'!F290="","",'CONTROLE GLOBO AÇOS'!F290)</f>
        <v/>
      </c>
      <c r="AJ288" s="223">
        <f>IF(AND('CONTROLE EJ'!E290="",'CONTROLE CMM'!E290=""),"",N('CONTROLE EJ'!E290)+N('CONTROLE CMM'!E290))</f>
        <v/>
      </c>
      <c r="AK288" s="223">
        <f>IF(AND('CONTROLE EJ'!F290="",'CONTROLE CMM'!F290=""),"",N('CONTROLE EJ'!F290)+N('CONTROLE CMM'!F290))</f>
        <v/>
      </c>
      <c r="AL288" s="223">
        <f>IF(AND('CONTROLE EJ'!G290="",'CONTROLE CMM'!G290=""),"",N('CONTROLE EJ'!G290)+N('CONTROLE CMM'!G290))</f>
        <v/>
      </c>
      <c r="AM288" s="223">
        <f>IF(AND('CONTROLE EJ'!H290="",'CONTROLE CMM'!H290=""),"",N('CONTROLE EJ'!H290)+N('CONTROLE CMM'!H290))</f>
        <v/>
      </c>
      <c r="AN288" s="223">
        <f>IF('CONTROLE GLOBO AÇOS'!G290="","",'CONTROLE GLOBO AÇOS'!G290)</f>
        <v/>
      </c>
      <c r="AO288" s="223">
        <f>IF('CONTROLE GLOBO AÇOS'!H290="","",'CONTROLE GLOBO AÇOS'!H290)</f>
        <v/>
      </c>
      <c r="AP288" s="223">
        <f>IF(AND('CONTROLE EJ'!I290="",'CONTROLE CMM'!I290=""),"",N('CONTROLE EJ'!I290)+N('CONTROLE CMM'!I290))</f>
        <v/>
      </c>
      <c r="AQ288" s="223">
        <f>IF(AND('CONTROLE EJ'!J290="",'CONTROLE CMM'!#REF!=""),"",N('CONTROLE EJ'!J290)+N('CONTROLE CMM'!#REF!))</f>
        <v/>
      </c>
      <c r="AR288" s="223">
        <f>IF('CONTROLE GLOBO AÇOS'!I290="","",'CONTROLE GLOBO AÇOS'!I290)</f>
        <v/>
      </c>
      <c r="AS288" s="223">
        <f>IF('CONTROLE GLOBO AÇOS'!J290="","",'CONTROLE GLOBO AÇOS'!J290)</f>
        <v/>
      </c>
      <c r="AT288" s="223">
        <f>IF(#REF!="","",#REF!)</f>
        <v/>
      </c>
      <c r="AU288" s="223">
        <f>IF('CONTROLE GLOBO AÇOS'!K290="","",'CONTROLE GLOBO AÇOS'!K290)</f>
        <v/>
      </c>
      <c r="AV288" s="223">
        <f>IF(AND('CONTROLE EJ'!K290="",'CONTROLE CMM'!#REF!=""),"",N('CONTROLE EJ'!K290)+N('CONTROLE CMM'!#REF!))</f>
        <v/>
      </c>
      <c r="AW288" s="223">
        <f>IF('CONTROLE GLOBO AÇOS'!L290="","",'CONTROLE GLOBO AÇOS'!L290)</f>
        <v/>
      </c>
      <c r="AX288" s="223">
        <f>IF(AND('CONTROLE EJ'!L290="",'CONTROLE CMM'!#REF!=""),"",N('CONTROLE EJ'!L290)+N('CONTROLE CMM'!#REF!))</f>
        <v/>
      </c>
      <c r="AY288" s="223">
        <f>IF('CONTROLE GLOBO AÇOS'!M290="","",'CONTROLE GLOBO AÇOS'!M290)</f>
        <v/>
      </c>
      <c r="AZ288" s="223">
        <f>IF('CONTROLE GLOBO AÇOS'!N290="","",'CONTROLE GLOBO AÇOS'!N290)</f>
        <v/>
      </c>
      <c r="BA288" s="223">
        <f>IF(AND('CONTROLE EJ'!M290="",'CONTROLE CMM'!#REF!=""),"",N('CONTROLE EJ'!M290)+N('CONTROLE CMM'!#REF!))</f>
        <v/>
      </c>
      <c r="BB288" s="223">
        <f>IF(#REF!="","",#REF!)</f>
        <v/>
      </c>
      <c r="BC288" s="223">
        <f>IF('CONTROLE GLOBO AÇOS'!O290="","",'CONTROLE GLOBO AÇOS'!O290)</f>
        <v/>
      </c>
      <c r="BD288" s="223">
        <f>IF(AND('CONTROLE EJ'!N290="",'CONTROLE CMM'!#REF!=""),"",N('CONTROLE EJ'!N290)+N('CONTROLE CMM'!#REF!))</f>
        <v/>
      </c>
      <c r="BE288" s="223">
        <f>IF('CONTROLE GLOBO AÇOS'!P290="","",'CONTROLE GLOBO AÇOS'!P290)</f>
        <v/>
      </c>
      <c r="BF288" s="223">
        <f>IF('CONTROLE GLOBO AÇOS'!Q290="","",'CONTROLE GLOBO AÇOS'!Q290)</f>
        <v/>
      </c>
      <c r="BG288" s="223">
        <f>IF('CONTROLE GLOBO AÇOS'!R290="","",'CONTROLE GLOBO AÇOS'!R290)</f>
        <v/>
      </c>
      <c r="BH288" s="223">
        <f>IF(AND('CONTROLE EJ'!O290="",'CONTROLE CMM'!#REF!=""),"",N('CONTROLE EJ'!O290)+N('CONTROLE CMM'!#REF!))</f>
        <v/>
      </c>
      <c r="BI288" s="223">
        <f>IF('CONTROLE GLOBO AÇOS'!S290="","",'CONTROLE GLOBO AÇOS'!S290)</f>
        <v/>
      </c>
      <c r="BJ288" s="223">
        <f>IF('CONTROLE GLOBO AÇOS'!T290="","",'CONTROLE GLOBO AÇOS'!T290)</f>
        <v/>
      </c>
      <c r="BK288" s="223">
        <f>IF('CONTROLE GLOBO AÇOS'!U290="","",'CONTROLE GLOBO AÇOS'!U290)</f>
        <v/>
      </c>
      <c r="BL288" s="223">
        <f>IF(AND('CONTROLE EJ'!P290="",'CONTROLE CMM'!#REF!=""),"",N('CONTROLE EJ'!P290)+N('CONTROLE CMM'!#REF!))</f>
        <v/>
      </c>
      <c r="BM288" s="223">
        <f>IF(AND('CONTROLE EJ'!Q290="",'CONTROLE CMM'!#REF!=""),"",N('CONTROLE EJ'!Q290)+N('CONTROLE CMM'!#REF!))</f>
        <v/>
      </c>
      <c r="BN288" s="223">
        <f>IF('CONTROLE GLOBO AÇOS'!V290="","",'CONTROLE GLOBO AÇOS'!V290)</f>
        <v/>
      </c>
      <c r="BO288" s="223">
        <f>IF('CONTROLE GLOBO AÇOS'!W290="","",'CONTROLE GLOBO AÇOS'!W290)</f>
        <v/>
      </c>
      <c r="BP288" s="223">
        <f>IF(AND('CONTROLE EJ'!R290="",'CONTROLE CMM'!#REF!=""),"",N('CONTROLE EJ'!R290)+N('CONTROLE CMM'!#REF!))</f>
        <v/>
      </c>
      <c r="BQ288" s="223">
        <f>IF(#REF!="","",#REF!)</f>
        <v/>
      </c>
      <c r="BR288" s="223">
        <f>IF(AND('CONTROLE EJ'!S290="",'CONTROLE CMM'!#REF!=""),"",N('CONTROLE EJ'!S290)+N('CONTROLE CMM'!#REF!))</f>
        <v/>
      </c>
      <c r="BS288" s="223">
        <f>IF(AND('CONTROLE EJ'!T290="",'CONTROLE CMM'!#REF!=""),"",N('CONTROLE EJ'!T290)+N('CONTROLE CMM'!#REF!))</f>
        <v/>
      </c>
      <c r="BT288" s="223">
        <f>IF('CONTROLE GLOBO AÇOS'!X290="","",'CONTROLE GLOBO AÇOS'!X290)</f>
        <v/>
      </c>
      <c r="BU288" s="223">
        <f>IF('CONTROLE GLOBO AÇOS'!Y290="","",'CONTROLE GLOBO AÇOS'!Y290)</f>
        <v/>
      </c>
      <c r="BV288" s="223">
        <f>IF(AND('CONTROLE EJ'!U290="",'CONTROLE CMM'!#REF!=""),"",N('CONTROLE EJ'!U290)+N('CONTROLE CMM'!#REF!))</f>
        <v/>
      </c>
      <c r="BW288" s="223">
        <f>IF(#REF!="","",#REF!)</f>
        <v/>
      </c>
    </row>
    <row r="289">
      <c r="A289" s="282" t="n">
        <v>46506</v>
      </c>
      <c r="B289" s="18">
        <f>IF('CONTROLE EJ'!B291="","",'CONTROLE EJ'!B291)</f>
        <v/>
      </c>
      <c r="C289" s="18">
        <f>IF('CONTROLE EJ'!C291="","",'CONTROLE EJ'!C291)</f>
        <v/>
      </c>
      <c r="D289" s="42">
        <f>IF('CONTROLE EJ'!D291="","",'CONTROLE EJ'!D291)</f>
        <v/>
      </c>
      <c r="E289" s="43">
        <f>IF('CONTROLE CMM'!B291="","",'CONTROLE CMM'!B291)</f>
        <v/>
      </c>
      <c r="F289" s="18">
        <f>IF('CONTROLE CMM'!C291="","",'CONTROLE CMM'!C291)</f>
        <v/>
      </c>
      <c r="G289" s="26">
        <f>IF('CONTROLE CMM'!D291="","",'CONTROLE CMM'!D291)</f>
        <v/>
      </c>
      <c r="H289" s="43">
        <f>IF('CONTROLE GLOBO AÇOS'!B291="","",'CONTROLE GLOBO AÇOS'!B291)</f>
        <v/>
      </c>
      <c r="I289" s="18">
        <f>IF('CONTROLE GLOBO AÇOS'!C291="","",'CONTROLE GLOBO AÇOS'!C291)</f>
        <v/>
      </c>
      <c r="J289" s="18">
        <f>IF('CONTROLE GLOBO AÇOS'!D291="","",'CONTROLE GLOBO AÇOS'!D291)</f>
        <v/>
      </c>
      <c r="AD289" s="39">
        <f>IF($A289="",0,IF(AND(WEEKDAY($A289,2)&lt;=5,OR($B289&lt;&gt;"",$C289&lt;&gt;"",$D289&lt;&gt;"")),1,0))</f>
        <v/>
      </c>
      <c r="AE289" s="39">
        <f>IF($A289="",0,IF(AND(WEEKDAY($A289,2)&lt;=5,OR($E289&lt;&gt;"",$F289&lt;&gt;"",$G289&lt;&gt;"")),1,0))</f>
        <v/>
      </c>
      <c r="AF289" s="39">
        <f>MAX(AD289,AE289)</f>
        <v/>
      </c>
      <c r="AH289" s="223">
        <f>IF('CONTROLE GLOBO AÇOS'!E291="","",'CONTROLE GLOBO AÇOS'!E291)</f>
        <v/>
      </c>
      <c r="AI289" s="223">
        <f>IF('CONTROLE GLOBO AÇOS'!F291="","",'CONTROLE GLOBO AÇOS'!F291)</f>
        <v/>
      </c>
      <c r="AJ289" s="223">
        <f>IF(AND('CONTROLE EJ'!E291="",'CONTROLE CMM'!E291=""),"",N('CONTROLE EJ'!E291)+N('CONTROLE CMM'!E291))</f>
        <v/>
      </c>
      <c r="AK289" s="223">
        <f>IF(AND('CONTROLE EJ'!F291="",'CONTROLE CMM'!F291=""),"",N('CONTROLE EJ'!F291)+N('CONTROLE CMM'!F291))</f>
        <v/>
      </c>
      <c r="AL289" s="223">
        <f>IF(AND('CONTROLE EJ'!G291="",'CONTROLE CMM'!G291=""),"",N('CONTROLE EJ'!G291)+N('CONTROLE CMM'!G291))</f>
        <v/>
      </c>
      <c r="AM289" s="223">
        <f>IF(AND('CONTROLE EJ'!H291="",'CONTROLE CMM'!H291=""),"",N('CONTROLE EJ'!H291)+N('CONTROLE CMM'!H291))</f>
        <v/>
      </c>
      <c r="AN289" s="223">
        <f>IF('CONTROLE GLOBO AÇOS'!G291="","",'CONTROLE GLOBO AÇOS'!G291)</f>
        <v/>
      </c>
      <c r="AO289" s="223">
        <f>IF('CONTROLE GLOBO AÇOS'!H291="","",'CONTROLE GLOBO AÇOS'!H291)</f>
        <v/>
      </c>
      <c r="AP289" s="223">
        <f>IF(AND('CONTROLE EJ'!I291="",'CONTROLE CMM'!I291=""),"",N('CONTROLE EJ'!I291)+N('CONTROLE CMM'!I291))</f>
        <v/>
      </c>
      <c r="AQ289" s="223">
        <f>IF(AND('CONTROLE EJ'!J291="",'CONTROLE CMM'!#REF!=""),"",N('CONTROLE EJ'!J291)+N('CONTROLE CMM'!#REF!))</f>
        <v/>
      </c>
      <c r="AR289" s="223">
        <f>IF('CONTROLE GLOBO AÇOS'!I291="","",'CONTROLE GLOBO AÇOS'!I291)</f>
        <v/>
      </c>
      <c r="AS289" s="223">
        <f>IF('CONTROLE GLOBO AÇOS'!J291="","",'CONTROLE GLOBO AÇOS'!J291)</f>
        <v/>
      </c>
      <c r="AT289" s="223">
        <f>IF(#REF!="","",#REF!)</f>
        <v/>
      </c>
      <c r="AU289" s="223">
        <f>IF('CONTROLE GLOBO AÇOS'!K291="","",'CONTROLE GLOBO AÇOS'!K291)</f>
        <v/>
      </c>
      <c r="AV289" s="223">
        <f>IF(AND('CONTROLE EJ'!K291="",'CONTROLE CMM'!#REF!=""),"",N('CONTROLE EJ'!K291)+N('CONTROLE CMM'!#REF!))</f>
        <v/>
      </c>
      <c r="AW289" s="223">
        <f>IF('CONTROLE GLOBO AÇOS'!L291="","",'CONTROLE GLOBO AÇOS'!L291)</f>
        <v/>
      </c>
      <c r="AX289" s="223">
        <f>IF(AND('CONTROLE EJ'!L291="",'CONTROLE CMM'!#REF!=""),"",N('CONTROLE EJ'!L291)+N('CONTROLE CMM'!#REF!))</f>
        <v/>
      </c>
      <c r="AY289" s="223">
        <f>IF('CONTROLE GLOBO AÇOS'!M291="","",'CONTROLE GLOBO AÇOS'!M291)</f>
        <v/>
      </c>
      <c r="AZ289" s="223">
        <f>IF('CONTROLE GLOBO AÇOS'!N291="","",'CONTROLE GLOBO AÇOS'!N291)</f>
        <v/>
      </c>
      <c r="BA289" s="223">
        <f>IF(AND('CONTROLE EJ'!M291="",'CONTROLE CMM'!#REF!=""),"",N('CONTROLE EJ'!M291)+N('CONTROLE CMM'!#REF!))</f>
        <v/>
      </c>
      <c r="BB289" s="223">
        <f>IF(#REF!="","",#REF!)</f>
        <v/>
      </c>
      <c r="BC289" s="223">
        <f>IF('CONTROLE GLOBO AÇOS'!O291="","",'CONTROLE GLOBO AÇOS'!O291)</f>
        <v/>
      </c>
      <c r="BD289" s="223">
        <f>IF(AND('CONTROLE EJ'!N291="",'CONTROLE CMM'!#REF!=""),"",N('CONTROLE EJ'!N291)+N('CONTROLE CMM'!#REF!))</f>
        <v/>
      </c>
      <c r="BE289" s="223">
        <f>IF('CONTROLE GLOBO AÇOS'!P291="","",'CONTROLE GLOBO AÇOS'!P291)</f>
        <v/>
      </c>
      <c r="BF289" s="223">
        <f>IF('CONTROLE GLOBO AÇOS'!Q291="","",'CONTROLE GLOBO AÇOS'!Q291)</f>
        <v/>
      </c>
      <c r="BG289" s="223">
        <f>IF('CONTROLE GLOBO AÇOS'!R291="","",'CONTROLE GLOBO AÇOS'!R291)</f>
        <v/>
      </c>
      <c r="BH289" s="223">
        <f>IF(AND('CONTROLE EJ'!O291="",'CONTROLE CMM'!#REF!=""),"",N('CONTROLE EJ'!O291)+N('CONTROLE CMM'!#REF!))</f>
        <v/>
      </c>
      <c r="BI289" s="223">
        <f>IF('CONTROLE GLOBO AÇOS'!S291="","",'CONTROLE GLOBO AÇOS'!S291)</f>
        <v/>
      </c>
      <c r="BJ289" s="223">
        <f>IF('CONTROLE GLOBO AÇOS'!T291="","",'CONTROLE GLOBO AÇOS'!T291)</f>
        <v/>
      </c>
      <c r="BK289" s="223">
        <f>IF('CONTROLE GLOBO AÇOS'!U291="","",'CONTROLE GLOBO AÇOS'!U291)</f>
        <v/>
      </c>
      <c r="BL289" s="223">
        <f>IF(AND('CONTROLE EJ'!P291="",'CONTROLE CMM'!#REF!=""),"",N('CONTROLE EJ'!P291)+N('CONTROLE CMM'!#REF!))</f>
        <v/>
      </c>
      <c r="BM289" s="223">
        <f>IF(AND('CONTROLE EJ'!Q291="",'CONTROLE CMM'!#REF!=""),"",N('CONTROLE EJ'!Q291)+N('CONTROLE CMM'!#REF!))</f>
        <v/>
      </c>
      <c r="BN289" s="223">
        <f>IF('CONTROLE GLOBO AÇOS'!V291="","",'CONTROLE GLOBO AÇOS'!V291)</f>
        <v/>
      </c>
      <c r="BO289" s="223">
        <f>IF('CONTROLE GLOBO AÇOS'!W291="","",'CONTROLE GLOBO AÇOS'!W291)</f>
        <v/>
      </c>
      <c r="BP289" s="223">
        <f>IF(AND('CONTROLE EJ'!R291="",'CONTROLE CMM'!#REF!=""),"",N('CONTROLE EJ'!R291)+N('CONTROLE CMM'!#REF!))</f>
        <v/>
      </c>
      <c r="BQ289" s="223">
        <f>IF(#REF!="","",#REF!)</f>
        <v/>
      </c>
      <c r="BR289" s="223">
        <f>IF(AND('CONTROLE EJ'!S291="",'CONTROLE CMM'!#REF!=""),"",N('CONTROLE EJ'!S291)+N('CONTROLE CMM'!#REF!))</f>
        <v/>
      </c>
      <c r="BS289" s="223">
        <f>IF(AND('CONTROLE EJ'!T291="",'CONTROLE CMM'!#REF!=""),"",N('CONTROLE EJ'!T291)+N('CONTROLE CMM'!#REF!))</f>
        <v/>
      </c>
      <c r="BT289" s="223">
        <f>IF('CONTROLE GLOBO AÇOS'!X291="","",'CONTROLE GLOBO AÇOS'!X291)</f>
        <v/>
      </c>
      <c r="BU289" s="223">
        <f>IF('CONTROLE GLOBO AÇOS'!Y291="","",'CONTROLE GLOBO AÇOS'!Y291)</f>
        <v/>
      </c>
      <c r="BV289" s="223">
        <f>IF(AND('CONTROLE EJ'!U291="",'CONTROLE CMM'!#REF!=""),"",N('CONTROLE EJ'!U291)+N('CONTROLE CMM'!#REF!))</f>
        <v/>
      </c>
      <c r="BW289" s="223">
        <f>IF(#REF!="","",#REF!)</f>
        <v/>
      </c>
    </row>
    <row r="290">
      <c r="A290" s="282" t="n">
        <v>46507</v>
      </c>
      <c r="B290" s="18">
        <f>IF('CONTROLE EJ'!B292="","",'CONTROLE EJ'!B292)</f>
        <v/>
      </c>
      <c r="C290" s="18">
        <f>IF('CONTROLE EJ'!C292="","",'CONTROLE EJ'!C292)</f>
        <v/>
      </c>
      <c r="D290" s="42">
        <f>IF('CONTROLE EJ'!D292="","",'CONTROLE EJ'!D292)</f>
        <v/>
      </c>
      <c r="E290" s="43">
        <f>IF('CONTROLE CMM'!B292="","",'CONTROLE CMM'!B292)</f>
        <v/>
      </c>
      <c r="F290" s="18">
        <f>IF('CONTROLE CMM'!C292="","",'CONTROLE CMM'!C292)</f>
        <v/>
      </c>
      <c r="G290" s="26">
        <f>IF('CONTROLE CMM'!D292="","",'CONTROLE CMM'!D292)</f>
        <v/>
      </c>
      <c r="H290" s="43">
        <f>IF('CONTROLE GLOBO AÇOS'!B292="","",'CONTROLE GLOBO AÇOS'!B292)</f>
        <v/>
      </c>
      <c r="I290" s="18">
        <f>IF('CONTROLE GLOBO AÇOS'!C292="","",'CONTROLE GLOBO AÇOS'!C292)</f>
        <v/>
      </c>
      <c r="J290" s="18">
        <f>IF('CONTROLE GLOBO AÇOS'!D292="","",'CONTROLE GLOBO AÇOS'!D292)</f>
        <v/>
      </c>
      <c r="AD290" s="39">
        <f>IF($A290="",0,IF(AND(WEEKDAY($A290,2)&lt;=5,OR($B290&lt;&gt;"",$C290&lt;&gt;"",$D290&lt;&gt;"")),1,0))</f>
        <v/>
      </c>
      <c r="AE290" s="39">
        <f>IF($A290="",0,IF(AND(WEEKDAY($A290,2)&lt;=5,OR($E290&lt;&gt;"",$F290&lt;&gt;"",$G290&lt;&gt;"")),1,0))</f>
        <v/>
      </c>
      <c r="AF290" s="39">
        <f>MAX(AD290,AE290)</f>
        <v/>
      </c>
      <c r="AH290" s="223">
        <f>IF('CONTROLE GLOBO AÇOS'!E292="","",'CONTROLE GLOBO AÇOS'!E292)</f>
        <v/>
      </c>
      <c r="AI290" s="223">
        <f>IF('CONTROLE GLOBO AÇOS'!F292="","",'CONTROLE GLOBO AÇOS'!F292)</f>
        <v/>
      </c>
      <c r="AJ290" s="223">
        <f>IF(AND('CONTROLE EJ'!E292="",'CONTROLE CMM'!E292=""),"",N('CONTROLE EJ'!E292)+N('CONTROLE CMM'!E292))</f>
        <v/>
      </c>
      <c r="AK290" s="223">
        <f>IF(AND('CONTROLE EJ'!F292="",'CONTROLE CMM'!F292=""),"",N('CONTROLE EJ'!F292)+N('CONTROLE CMM'!F292))</f>
        <v/>
      </c>
      <c r="AL290" s="223">
        <f>IF(AND('CONTROLE EJ'!G292="",'CONTROLE CMM'!G292=""),"",N('CONTROLE EJ'!G292)+N('CONTROLE CMM'!G292))</f>
        <v/>
      </c>
      <c r="AM290" s="223">
        <f>IF(AND('CONTROLE EJ'!H292="",'CONTROLE CMM'!H292=""),"",N('CONTROLE EJ'!H292)+N('CONTROLE CMM'!H292))</f>
        <v/>
      </c>
      <c r="AN290" s="223">
        <f>IF('CONTROLE GLOBO AÇOS'!G292="","",'CONTROLE GLOBO AÇOS'!G292)</f>
        <v/>
      </c>
      <c r="AO290" s="223">
        <f>IF('CONTROLE GLOBO AÇOS'!H292="","",'CONTROLE GLOBO AÇOS'!H292)</f>
        <v/>
      </c>
      <c r="AP290" s="223">
        <f>IF(AND('CONTROLE EJ'!I292="",'CONTROLE CMM'!I292=""),"",N('CONTROLE EJ'!I292)+N('CONTROLE CMM'!I292))</f>
        <v/>
      </c>
      <c r="AQ290" s="223">
        <f>IF(AND('CONTROLE EJ'!J292="",'CONTROLE CMM'!#REF!=""),"",N('CONTROLE EJ'!J292)+N('CONTROLE CMM'!#REF!))</f>
        <v/>
      </c>
      <c r="AR290" s="223">
        <f>IF('CONTROLE GLOBO AÇOS'!I292="","",'CONTROLE GLOBO AÇOS'!I292)</f>
        <v/>
      </c>
      <c r="AS290" s="223">
        <f>IF('CONTROLE GLOBO AÇOS'!J292="","",'CONTROLE GLOBO AÇOS'!J292)</f>
        <v/>
      </c>
      <c r="AT290" s="223">
        <f>IF(#REF!="","",#REF!)</f>
        <v/>
      </c>
      <c r="AU290" s="223">
        <f>IF('CONTROLE GLOBO AÇOS'!K292="","",'CONTROLE GLOBO AÇOS'!K292)</f>
        <v/>
      </c>
      <c r="AV290" s="223">
        <f>IF(AND('CONTROLE EJ'!K292="",'CONTROLE CMM'!#REF!=""),"",N('CONTROLE EJ'!K292)+N('CONTROLE CMM'!#REF!))</f>
        <v/>
      </c>
      <c r="AW290" s="223">
        <f>IF('CONTROLE GLOBO AÇOS'!L292="","",'CONTROLE GLOBO AÇOS'!L292)</f>
        <v/>
      </c>
      <c r="AX290" s="223">
        <f>IF(AND('CONTROLE EJ'!L292="",'CONTROLE CMM'!#REF!=""),"",N('CONTROLE EJ'!L292)+N('CONTROLE CMM'!#REF!))</f>
        <v/>
      </c>
      <c r="AY290" s="223">
        <f>IF('CONTROLE GLOBO AÇOS'!M292="","",'CONTROLE GLOBO AÇOS'!M292)</f>
        <v/>
      </c>
      <c r="AZ290" s="223">
        <f>IF('CONTROLE GLOBO AÇOS'!N292="","",'CONTROLE GLOBO AÇOS'!N292)</f>
        <v/>
      </c>
      <c r="BA290" s="223">
        <f>IF(AND('CONTROLE EJ'!M292="",'CONTROLE CMM'!#REF!=""),"",N('CONTROLE EJ'!M292)+N('CONTROLE CMM'!#REF!))</f>
        <v/>
      </c>
      <c r="BB290" s="223">
        <f>IF(#REF!="","",#REF!)</f>
        <v/>
      </c>
      <c r="BC290" s="223">
        <f>IF('CONTROLE GLOBO AÇOS'!O292="","",'CONTROLE GLOBO AÇOS'!O292)</f>
        <v/>
      </c>
      <c r="BD290" s="223">
        <f>IF(AND('CONTROLE EJ'!N292="",'CONTROLE CMM'!#REF!=""),"",N('CONTROLE EJ'!N292)+N('CONTROLE CMM'!#REF!))</f>
        <v/>
      </c>
      <c r="BE290" s="223">
        <f>IF('CONTROLE GLOBO AÇOS'!P292="","",'CONTROLE GLOBO AÇOS'!P292)</f>
        <v/>
      </c>
      <c r="BF290" s="223">
        <f>IF('CONTROLE GLOBO AÇOS'!Q292="","",'CONTROLE GLOBO AÇOS'!Q292)</f>
        <v/>
      </c>
      <c r="BG290" s="223">
        <f>IF('CONTROLE GLOBO AÇOS'!R292="","",'CONTROLE GLOBO AÇOS'!R292)</f>
        <v/>
      </c>
      <c r="BH290" s="223">
        <f>IF(AND('CONTROLE EJ'!O292="",'CONTROLE CMM'!#REF!=""),"",N('CONTROLE EJ'!O292)+N('CONTROLE CMM'!#REF!))</f>
        <v/>
      </c>
      <c r="BI290" s="223">
        <f>IF('CONTROLE GLOBO AÇOS'!S292="","",'CONTROLE GLOBO AÇOS'!S292)</f>
        <v/>
      </c>
      <c r="BJ290" s="223">
        <f>IF('CONTROLE GLOBO AÇOS'!T292="","",'CONTROLE GLOBO AÇOS'!T292)</f>
        <v/>
      </c>
      <c r="BK290" s="223">
        <f>IF('CONTROLE GLOBO AÇOS'!U292="","",'CONTROLE GLOBO AÇOS'!U292)</f>
        <v/>
      </c>
      <c r="BL290" s="223">
        <f>IF(AND('CONTROLE EJ'!P292="",'CONTROLE CMM'!#REF!=""),"",N('CONTROLE EJ'!P292)+N('CONTROLE CMM'!#REF!))</f>
        <v/>
      </c>
      <c r="BM290" s="223">
        <f>IF(AND('CONTROLE EJ'!Q292="",'CONTROLE CMM'!#REF!=""),"",N('CONTROLE EJ'!Q292)+N('CONTROLE CMM'!#REF!))</f>
        <v/>
      </c>
      <c r="BN290" s="223">
        <f>IF('CONTROLE GLOBO AÇOS'!V292="","",'CONTROLE GLOBO AÇOS'!V292)</f>
        <v/>
      </c>
      <c r="BO290" s="223">
        <f>IF('CONTROLE GLOBO AÇOS'!W292="","",'CONTROLE GLOBO AÇOS'!W292)</f>
        <v/>
      </c>
      <c r="BP290" s="223">
        <f>IF(AND('CONTROLE EJ'!R292="",'CONTROLE CMM'!#REF!=""),"",N('CONTROLE EJ'!R292)+N('CONTROLE CMM'!#REF!))</f>
        <v/>
      </c>
      <c r="BQ290" s="223">
        <f>IF(#REF!="","",#REF!)</f>
        <v/>
      </c>
      <c r="BR290" s="223">
        <f>IF(AND('CONTROLE EJ'!S292="",'CONTROLE CMM'!#REF!=""),"",N('CONTROLE EJ'!S292)+N('CONTROLE CMM'!#REF!))</f>
        <v/>
      </c>
      <c r="BS290" s="223">
        <f>IF(AND('CONTROLE EJ'!T292="",'CONTROLE CMM'!#REF!=""),"",N('CONTROLE EJ'!T292)+N('CONTROLE CMM'!#REF!))</f>
        <v/>
      </c>
      <c r="BT290" s="223">
        <f>IF('CONTROLE GLOBO AÇOS'!X292="","",'CONTROLE GLOBO AÇOS'!X292)</f>
        <v/>
      </c>
      <c r="BU290" s="223">
        <f>IF('CONTROLE GLOBO AÇOS'!Y292="","",'CONTROLE GLOBO AÇOS'!Y292)</f>
        <v/>
      </c>
      <c r="BV290" s="223">
        <f>IF(AND('CONTROLE EJ'!U292="",'CONTROLE CMM'!#REF!=""),"",N('CONTROLE EJ'!U292)+N('CONTROLE CMM'!#REF!))</f>
        <v/>
      </c>
      <c r="BW290" s="223">
        <f>IF(#REF!="","",#REF!)</f>
        <v/>
      </c>
    </row>
    <row r="291">
      <c r="A291" s="282" t="n">
        <v>46508</v>
      </c>
      <c r="B291" s="18">
        <f>IF('CONTROLE EJ'!B293="","",'CONTROLE EJ'!B293)</f>
        <v/>
      </c>
      <c r="C291" s="18">
        <f>IF('CONTROLE EJ'!C293="","",'CONTROLE EJ'!C293)</f>
        <v/>
      </c>
      <c r="D291" s="42">
        <f>IF('CONTROLE EJ'!D293="","",'CONTROLE EJ'!D293)</f>
        <v/>
      </c>
      <c r="E291" s="43">
        <f>IF('CONTROLE CMM'!B293="","",'CONTROLE CMM'!B293)</f>
        <v/>
      </c>
      <c r="F291" s="18">
        <f>IF('CONTROLE CMM'!C293="","",'CONTROLE CMM'!C293)</f>
        <v/>
      </c>
      <c r="G291" s="26">
        <f>IF('CONTROLE CMM'!D293="","",'CONTROLE CMM'!D293)</f>
        <v/>
      </c>
      <c r="H291" s="43">
        <f>IF('CONTROLE GLOBO AÇOS'!B293="","",'CONTROLE GLOBO AÇOS'!B293)</f>
        <v/>
      </c>
      <c r="I291" s="18">
        <f>IF('CONTROLE GLOBO AÇOS'!C293="","",'CONTROLE GLOBO AÇOS'!C293)</f>
        <v/>
      </c>
      <c r="J291" s="18">
        <f>IF('CONTROLE GLOBO AÇOS'!D293="","",'CONTROLE GLOBO AÇOS'!D293)</f>
        <v/>
      </c>
      <c r="AD291" s="39">
        <f>IF($A291="",0,IF(AND(WEEKDAY($A291,2)&lt;=5,OR($B291&lt;&gt;"",$C291&lt;&gt;"",$D291&lt;&gt;"")),1,0))</f>
        <v/>
      </c>
      <c r="AE291" s="39">
        <f>IF($A291="",0,IF(AND(WEEKDAY($A291,2)&lt;=5,OR($E291&lt;&gt;"",$F291&lt;&gt;"",$G291&lt;&gt;"")),1,0))</f>
        <v/>
      </c>
      <c r="AF291" s="39">
        <f>MAX(AD291,AE291)</f>
        <v/>
      </c>
      <c r="AH291" s="223">
        <f>IF('CONTROLE GLOBO AÇOS'!E293="","",'CONTROLE GLOBO AÇOS'!E293)</f>
        <v/>
      </c>
      <c r="AI291" s="223">
        <f>IF('CONTROLE GLOBO AÇOS'!F293="","",'CONTROLE GLOBO AÇOS'!F293)</f>
        <v/>
      </c>
      <c r="AJ291" s="223">
        <f>IF(AND('CONTROLE EJ'!E293="",'CONTROLE CMM'!E293=""),"",N('CONTROLE EJ'!E293)+N('CONTROLE CMM'!E293))</f>
        <v/>
      </c>
      <c r="AK291" s="223">
        <f>IF(AND('CONTROLE EJ'!F293="",'CONTROLE CMM'!F293=""),"",N('CONTROLE EJ'!F293)+N('CONTROLE CMM'!F293))</f>
        <v/>
      </c>
      <c r="AL291" s="223">
        <f>IF(AND('CONTROLE EJ'!G293="",'CONTROLE CMM'!G293=""),"",N('CONTROLE EJ'!G293)+N('CONTROLE CMM'!G293))</f>
        <v/>
      </c>
      <c r="AM291" s="223">
        <f>IF(AND('CONTROLE EJ'!H293="",'CONTROLE CMM'!H293=""),"",N('CONTROLE EJ'!H293)+N('CONTROLE CMM'!H293))</f>
        <v/>
      </c>
      <c r="AN291" s="223">
        <f>IF('CONTROLE GLOBO AÇOS'!G293="","",'CONTROLE GLOBO AÇOS'!G293)</f>
        <v/>
      </c>
      <c r="AO291" s="223">
        <f>IF('CONTROLE GLOBO AÇOS'!H293="","",'CONTROLE GLOBO AÇOS'!H293)</f>
        <v/>
      </c>
      <c r="AP291" s="223">
        <f>IF(AND('CONTROLE EJ'!I293="",'CONTROLE CMM'!I293=""),"",N('CONTROLE EJ'!I293)+N('CONTROLE CMM'!I293))</f>
        <v/>
      </c>
      <c r="AQ291" s="223">
        <f>IF(AND('CONTROLE EJ'!J293="",'CONTROLE CMM'!#REF!=""),"",N('CONTROLE EJ'!J293)+N('CONTROLE CMM'!#REF!))</f>
        <v/>
      </c>
      <c r="AR291" s="223">
        <f>IF('CONTROLE GLOBO AÇOS'!I293="","",'CONTROLE GLOBO AÇOS'!I293)</f>
        <v/>
      </c>
      <c r="AS291" s="223">
        <f>IF('CONTROLE GLOBO AÇOS'!J293="","",'CONTROLE GLOBO AÇOS'!J293)</f>
        <v/>
      </c>
      <c r="AT291" s="223">
        <f>IF(#REF!="","",#REF!)</f>
        <v/>
      </c>
      <c r="AU291" s="223">
        <f>IF('CONTROLE GLOBO AÇOS'!K293="","",'CONTROLE GLOBO AÇOS'!K293)</f>
        <v/>
      </c>
      <c r="AV291" s="223">
        <f>IF(AND('CONTROLE EJ'!K293="",'CONTROLE CMM'!#REF!=""),"",N('CONTROLE EJ'!K293)+N('CONTROLE CMM'!#REF!))</f>
        <v/>
      </c>
      <c r="AW291" s="223">
        <f>IF('CONTROLE GLOBO AÇOS'!L293="","",'CONTROLE GLOBO AÇOS'!L293)</f>
        <v/>
      </c>
      <c r="AX291" s="223">
        <f>IF(AND('CONTROLE EJ'!L293="",'CONTROLE CMM'!#REF!=""),"",N('CONTROLE EJ'!L293)+N('CONTROLE CMM'!#REF!))</f>
        <v/>
      </c>
      <c r="AY291" s="223">
        <f>IF('CONTROLE GLOBO AÇOS'!M293="","",'CONTROLE GLOBO AÇOS'!M293)</f>
        <v/>
      </c>
      <c r="AZ291" s="223">
        <f>IF('CONTROLE GLOBO AÇOS'!N293="","",'CONTROLE GLOBO AÇOS'!N293)</f>
        <v/>
      </c>
      <c r="BA291" s="223">
        <f>IF(AND('CONTROLE EJ'!M293="",'CONTROLE CMM'!#REF!=""),"",N('CONTROLE EJ'!M293)+N('CONTROLE CMM'!#REF!))</f>
        <v/>
      </c>
      <c r="BB291" s="223">
        <f>IF(#REF!="","",#REF!)</f>
        <v/>
      </c>
      <c r="BC291" s="223">
        <f>IF('CONTROLE GLOBO AÇOS'!O293="","",'CONTROLE GLOBO AÇOS'!O293)</f>
        <v/>
      </c>
      <c r="BD291" s="223">
        <f>IF(AND('CONTROLE EJ'!N293="",'CONTROLE CMM'!#REF!=""),"",N('CONTROLE EJ'!N293)+N('CONTROLE CMM'!#REF!))</f>
        <v/>
      </c>
      <c r="BE291" s="223">
        <f>IF('CONTROLE GLOBO AÇOS'!P293="","",'CONTROLE GLOBO AÇOS'!P293)</f>
        <v/>
      </c>
      <c r="BF291" s="223">
        <f>IF('CONTROLE GLOBO AÇOS'!Q293="","",'CONTROLE GLOBO AÇOS'!Q293)</f>
        <v/>
      </c>
      <c r="BG291" s="223">
        <f>IF('CONTROLE GLOBO AÇOS'!R293="","",'CONTROLE GLOBO AÇOS'!R293)</f>
        <v/>
      </c>
      <c r="BH291" s="223">
        <f>IF(AND('CONTROLE EJ'!O293="",'CONTROLE CMM'!#REF!=""),"",N('CONTROLE EJ'!O293)+N('CONTROLE CMM'!#REF!))</f>
        <v/>
      </c>
      <c r="BI291" s="223">
        <f>IF('CONTROLE GLOBO AÇOS'!S293="","",'CONTROLE GLOBO AÇOS'!S293)</f>
        <v/>
      </c>
      <c r="BJ291" s="223">
        <f>IF('CONTROLE GLOBO AÇOS'!T293="","",'CONTROLE GLOBO AÇOS'!T293)</f>
        <v/>
      </c>
      <c r="BK291" s="223">
        <f>IF('CONTROLE GLOBO AÇOS'!U293="","",'CONTROLE GLOBO AÇOS'!U293)</f>
        <v/>
      </c>
      <c r="BL291" s="223">
        <f>IF(AND('CONTROLE EJ'!P293="",'CONTROLE CMM'!#REF!=""),"",N('CONTROLE EJ'!P293)+N('CONTROLE CMM'!#REF!))</f>
        <v/>
      </c>
      <c r="BM291" s="223">
        <f>IF(AND('CONTROLE EJ'!Q293="",'CONTROLE CMM'!#REF!=""),"",N('CONTROLE EJ'!Q293)+N('CONTROLE CMM'!#REF!))</f>
        <v/>
      </c>
      <c r="BN291" s="223">
        <f>IF('CONTROLE GLOBO AÇOS'!V293="","",'CONTROLE GLOBO AÇOS'!V293)</f>
        <v/>
      </c>
      <c r="BO291" s="223">
        <f>IF('CONTROLE GLOBO AÇOS'!W293="","",'CONTROLE GLOBO AÇOS'!W293)</f>
        <v/>
      </c>
      <c r="BP291" s="223">
        <f>IF(AND('CONTROLE EJ'!R293="",'CONTROLE CMM'!#REF!=""),"",N('CONTROLE EJ'!R293)+N('CONTROLE CMM'!#REF!))</f>
        <v/>
      </c>
      <c r="BQ291" s="223">
        <f>IF(#REF!="","",#REF!)</f>
        <v/>
      </c>
      <c r="BR291" s="223">
        <f>IF(AND('CONTROLE EJ'!S293="",'CONTROLE CMM'!#REF!=""),"",N('CONTROLE EJ'!S293)+N('CONTROLE CMM'!#REF!))</f>
        <v/>
      </c>
      <c r="BS291" s="223">
        <f>IF(AND('CONTROLE EJ'!T293="",'CONTROLE CMM'!#REF!=""),"",N('CONTROLE EJ'!T293)+N('CONTROLE CMM'!#REF!))</f>
        <v/>
      </c>
      <c r="BT291" s="223">
        <f>IF('CONTROLE GLOBO AÇOS'!X293="","",'CONTROLE GLOBO AÇOS'!X293)</f>
        <v/>
      </c>
      <c r="BU291" s="223">
        <f>IF('CONTROLE GLOBO AÇOS'!Y293="","",'CONTROLE GLOBO AÇOS'!Y293)</f>
        <v/>
      </c>
      <c r="BV291" s="223">
        <f>IF(AND('CONTROLE EJ'!U293="",'CONTROLE CMM'!#REF!=""),"",N('CONTROLE EJ'!U293)+N('CONTROLE CMM'!#REF!))</f>
        <v/>
      </c>
      <c r="BW291" s="223">
        <f>IF(#REF!="","",#REF!)</f>
        <v/>
      </c>
    </row>
    <row r="292">
      <c r="A292" s="282" t="n">
        <v>46509</v>
      </c>
      <c r="B292" s="18">
        <f>IF('CONTROLE EJ'!B294="","",'CONTROLE EJ'!B294)</f>
        <v/>
      </c>
      <c r="C292" s="18">
        <f>IF('CONTROLE EJ'!C294="","",'CONTROLE EJ'!C294)</f>
        <v/>
      </c>
      <c r="D292" s="42">
        <f>IF('CONTROLE EJ'!D294="","",'CONTROLE EJ'!D294)</f>
        <v/>
      </c>
      <c r="E292" s="43">
        <f>IF('CONTROLE CMM'!B294="","",'CONTROLE CMM'!B294)</f>
        <v/>
      </c>
      <c r="F292" s="18">
        <f>IF('CONTROLE CMM'!C294="","",'CONTROLE CMM'!C294)</f>
        <v/>
      </c>
      <c r="G292" s="26">
        <f>IF('CONTROLE CMM'!D294="","",'CONTROLE CMM'!D294)</f>
        <v/>
      </c>
      <c r="H292" s="43">
        <f>IF('CONTROLE GLOBO AÇOS'!B294="","",'CONTROLE GLOBO AÇOS'!B294)</f>
        <v/>
      </c>
      <c r="I292" s="18">
        <f>IF('CONTROLE GLOBO AÇOS'!C294="","",'CONTROLE GLOBO AÇOS'!C294)</f>
        <v/>
      </c>
      <c r="J292" s="18">
        <f>IF('CONTROLE GLOBO AÇOS'!D294="","",'CONTROLE GLOBO AÇOS'!D294)</f>
        <v/>
      </c>
      <c r="AD292" s="39">
        <f>IF($A292="",0,IF(AND(WEEKDAY($A292,2)&lt;=5,OR($B292&lt;&gt;"",$C292&lt;&gt;"",$D292&lt;&gt;"")),1,0))</f>
        <v/>
      </c>
      <c r="AE292" s="39">
        <f>IF($A292="",0,IF(AND(WEEKDAY($A292,2)&lt;=5,OR($E292&lt;&gt;"",$F292&lt;&gt;"",$G292&lt;&gt;"")),1,0))</f>
        <v/>
      </c>
      <c r="AF292" s="39">
        <f>MAX(AD292,AE292)</f>
        <v/>
      </c>
      <c r="AH292" s="223">
        <f>IF('CONTROLE GLOBO AÇOS'!E294="","",'CONTROLE GLOBO AÇOS'!E294)</f>
        <v/>
      </c>
      <c r="AI292" s="223">
        <f>IF('CONTROLE GLOBO AÇOS'!F294="","",'CONTROLE GLOBO AÇOS'!F294)</f>
        <v/>
      </c>
      <c r="AJ292" s="223">
        <f>IF(AND('CONTROLE EJ'!E294="",'CONTROLE CMM'!E294=""),"",N('CONTROLE EJ'!E294)+N('CONTROLE CMM'!E294))</f>
        <v/>
      </c>
      <c r="AK292" s="223">
        <f>IF(AND('CONTROLE EJ'!F294="",'CONTROLE CMM'!F294=""),"",N('CONTROLE EJ'!F294)+N('CONTROLE CMM'!F294))</f>
        <v/>
      </c>
      <c r="AL292" s="223">
        <f>IF(AND('CONTROLE EJ'!G294="",'CONTROLE CMM'!G294=""),"",N('CONTROLE EJ'!G294)+N('CONTROLE CMM'!G294))</f>
        <v/>
      </c>
      <c r="AM292" s="223">
        <f>IF(AND('CONTROLE EJ'!H294="",'CONTROLE CMM'!H294=""),"",N('CONTROLE EJ'!H294)+N('CONTROLE CMM'!H294))</f>
        <v/>
      </c>
      <c r="AN292" s="223">
        <f>IF('CONTROLE GLOBO AÇOS'!G294="","",'CONTROLE GLOBO AÇOS'!G294)</f>
        <v/>
      </c>
      <c r="AO292" s="223">
        <f>IF('CONTROLE GLOBO AÇOS'!H294="","",'CONTROLE GLOBO AÇOS'!H294)</f>
        <v/>
      </c>
      <c r="AP292" s="223">
        <f>IF(AND('CONTROLE EJ'!I294="",'CONTROLE CMM'!I294=""),"",N('CONTROLE EJ'!I294)+N('CONTROLE CMM'!I294))</f>
        <v/>
      </c>
      <c r="AQ292" s="223">
        <f>IF(AND('CONTROLE EJ'!J294="",'CONTROLE CMM'!#REF!=""),"",N('CONTROLE EJ'!J294)+N('CONTROLE CMM'!#REF!))</f>
        <v/>
      </c>
      <c r="AR292" s="223">
        <f>IF('CONTROLE GLOBO AÇOS'!I294="","",'CONTROLE GLOBO AÇOS'!I294)</f>
        <v/>
      </c>
      <c r="AS292" s="223">
        <f>IF('CONTROLE GLOBO AÇOS'!J294="","",'CONTROLE GLOBO AÇOS'!J294)</f>
        <v/>
      </c>
      <c r="AT292" s="223">
        <f>IF(#REF!="","",#REF!)</f>
        <v/>
      </c>
      <c r="AU292" s="223">
        <f>IF('CONTROLE GLOBO AÇOS'!K294="","",'CONTROLE GLOBO AÇOS'!K294)</f>
        <v/>
      </c>
      <c r="AV292" s="223">
        <f>IF(AND('CONTROLE EJ'!K294="",'CONTROLE CMM'!#REF!=""),"",N('CONTROLE EJ'!K294)+N('CONTROLE CMM'!#REF!))</f>
        <v/>
      </c>
      <c r="AW292" s="223">
        <f>IF('CONTROLE GLOBO AÇOS'!L294="","",'CONTROLE GLOBO AÇOS'!L294)</f>
        <v/>
      </c>
      <c r="AX292" s="223">
        <f>IF(AND('CONTROLE EJ'!L294="",'CONTROLE CMM'!#REF!=""),"",N('CONTROLE EJ'!L294)+N('CONTROLE CMM'!#REF!))</f>
        <v/>
      </c>
      <c r="AY292" s="223">
        <f>IF('CONTROLE GLOBO AÇOS'!M294="","",'CONTROLE GLOBO AÇOS'!M294)</f>
        <v/>
      </c>
      <c r="AZ292" s="223">
        <f>IF('CONTROLE GLOBO AÇOS'!N294="","",'CONTROLE GLOBO AÇOS'!N294)</f>
        <v/>
      </c>
      <c r="BA292" s="223">
        <f>IF(AND('CONTROLE EJ'!M294="",'CONTROLE CMM'!#REF!=""),"",N('CONTROLE EJ'!M294)+N('CONTROLE CMM'!#REF!))</f>
        <v/>
      </c>
      <c r="BB292" s="223">
        <f>IF(#REF!="","",#REF!)</f>
        <v/>
      </c>
      <c r="BC292" s="223">
        <f>IF('CONTROLE GLOBO AÇOS'!O294="","",'CONTROLE GLOBO AÇOS'!O294)</f>
        <v/>
      </c>
      <c r="BD292" s="223">
        <f>IF(AND('CONTROLE EJ'!N294="",'CONTROLE CMM'!#REF!=""),"",N('CONTROLE EJ'!N294)+N('CONTROLE CMM'!#REF!))</f>
        <v/>
      </c>
      <c r="BE292" s="223">
        <f>IF('CONTROLE GLOBO AÇOS'!P294="","",'CONTROLE GLOBO AÇOS'!P294)</f>
        <v/>
      </c>
      <c r="BF292" s="223">
        <f>IF('CONTROLE GLOBO AÇOS'!Q294="","",'CONTROLE GLOBO AÇOS'!Q294)</f>
        <v/>
      </c>
      <c r="BG292" s="223">
        <f>IF('CONTROLE GLOBO AÇOS'!R294="","",'CONTROLE GLOBO AÇOS'!R294)</f>
        <v/>
      </c>
      <c r="BH292" s="223">
        <f>IF(AND('CONTROLE EJ'!O294="",'CONTROLE CMM'!#REF!=""),"",N('CONTROLE EJ'!O294)+N('CONTROLE CMM'!#REF!))</f>
        <v/>
      </c>
      <c r="BI292" s="223">
        <f>IF('CONTROLE GLOBO AÇOS'!S294="","",'CONTROLE GLOBO AÇOS'!S294)</f>
        <v/>
      </c>
      <c r="BJ292" s="223">
        <f>IF('CONTROLE GLOBO AÇOS'!T294="","",'CONTROLE GLOBO AÇOS'!T294)</f>
        <v/>
      </c>
      <c r="BK292" s="223">
        <f>IF('CONTROLE GLOBO AÇOS'!U294="","",'CONTROLE GLOBO AÇOS'!U294)</f>
        <v/>
      </c>
      <c r="BL292" s="223">
        <f>IF(AND('CONTROLE EJ'!P294="",'CONTROLE CMM'!#REF!=""),"",N('CONTROLE EJ'!P294)+N('CONTROLE CMM'!#REF!))</f>
        <v/>
      </c>
      <c r="BM292" s="223">
        <f>IF(AND('CONTROLE EJ'!Q294="",'CONTROLE CMM'!#REF!=""),"",N('CONTROLE EJ'!Q294)+N('CONTROLE CMM'!#REF!))</f>
        <v/>
      </c>
      <c r="BN292" s="223">
        <f>IF('CONTROLE GLOBO AÇOS'!V294="","",'CONTROLE GLOBO AÇOS'!V294)</f>
        <v/>
      </c>
      <c r="BO292" s="223">
        <f>IF('CONTROLE GLOBO AÇOS'!W294="","",'CONTROLE GLOBO AÇOS'!W294)</f>
        <v/>
      </c>
      <c r="BP292" s="223">
        <f>IF(AND('CONTROLE EJ'!R294="",'CONTROLE CMM'!#REF!=""),"",N('CONTROLE EJ'!R294)+N('CONTROLE CMM'!#REF!))</f>
        <v/>
      </c>
      <c r="BQ292" s="223">
        <f>IF(#REF!="","",#REF!)</f>
        <v/>
      </c>
      <c r="BR292" s="223">
        <f>IF(AND('CONTROLE EJ'!S294="",'CONTROLE CMM'!#REF!=""),"",N('CONTROLE EJ'!S294)+N('CONTROLE CMM'!#REF!))</f>
        <v/>
      </c>
      <c r="BS292" s="223">
        <f>IF(AND('CONTROLE EJ'!T294="",'CONTROLE CMM'!#REF!=""),"",N('CONTROLE EJ'!T294)+N('CONTROLE CMM'!#REF!))</f>
        <v/>
      </c>
      <c r="BT292" s="223">
        <f>IF('CONTROLE GLOBO AÇOS'!X294="","",'CONTROLE GLOBO AÇOS'!X294)</f>
        <v/>
      </c>
      <c r="BU292" s="223">
        <f>IF('CONTROLE GLOBO AÇOS'!Y294="","",'CONTROLE GLOBO AÇOS'!Y294)</f>
        <v/>
      </c>
      <c r="BV292" s="223">
        <f>IF(AND('CONTROLE EJ'!U294="",'CONTROLE CMM'!#REF!=""),"",N('CONTROLE EJ'!U294)+N('CONTROLE CMM'!#REF!))</f>
        <v/>
      </c>
      <c r="BW292" s="223">
        <f>IF(#REF!="","",#REF!)</f>
        <v/>
      </c>
    </row>
    <row r="293">
      <c r="A293" s="282" t="n">
        <v>46510</v>
      </c>
      <c r="B293" s="18">
        <f>IF('CONTROLE EJ'!B295="","",'CONTROLE EJ'!B295)</f>
        <v/>
      </c>
      <c r="C293" s="18">
        <f>IF('CONTROLE EJ'!C295="","",'CONTROLE EJ'!C295)</f>
        <v/>
      </c>
      <c r="D293" s="42">
        <f>IF('CONTROLE EJ'!D295="","",'CONTROLE EJ'!D295)</f>
        <v/>
      </c>
      <c r="E293" s="43">
        <f>IF('CONTROLE CMM'!B295="","",'CONTROLE CMM'!B295)</f>
        <v/>
      </c>
      <c r="F293" s="18">
        <f>IF('CONTROLE CMM'!C295="","",'CONTROLE CMM'!C295)</f>
        <v/>
      </c>
      <c r="G293" s="26">
        <f>IF('CONTROLE CMM'!D295="","",'CONTROLE CMM'!D295)</f>
        <v/>
      </c>
      <c r="H293" s="43">
        <f>IF('CONTROLE GLOBO AÇOS'!B295="","",'CONTROLE GLOBO AÇOS'!B295)</f>
        <v/>
      </c>
      <c r="I293" s="18">
        <f>IF('CONTROLE GLOBO AÇOS'!C295="","",'CONTROLE GLOBO AÇOS'!C295)</f>
        <v/>
      </c>
      <c r="J293" s="18">
        <f>IF('CONTROLE GLOBO AÇOS'!D295="","",'CONTROLE GLOBO AÇOS'!D295)</f>
        <v/>
      </c>
      <c r="AD293" s="39">
        <f>IF($A293="",0,IF(AND(WEEKDAY($A293,2)&lt;=5,OR($B293&lt;&gt;"",$C293&lt;&gt;"",$D293&lt;&gt;"")),1,0))</f>
        <v/>
      </c>
      <c r="AE293" s="39">
        <f>IF($A293="",0,IF(AND(WEEKDAY($A293,2)&lt;=5,OR($E293&lt;&gt;"",$F293&lt;&gt;"",$G293&lt;&gt;"")),1,0))</f>
        <v/>
      </c>
      <c r="AF293" s="39">
        <f>MAX(AD293,AE293)</f>
        <v/>
      </c>
      <c r="AH293" s="223">
        <f>IF('CONTROLE GLOBO AÇOS'!E295="","",'CONTROLE GLOBO AÇOS'!E295)</f>
        <v/>
      </c>
      <c r="AI293" s="223">
        <f>IF('CONTROLE GLOBO AÇOS'!F295="","",'CONTROLE GLOBO AÇOS'!F295)</f>
        <v/>
      </c>
      <c r="AJ293" s="223">
        <f>IF(AND('CONTROLE EJ'!E295="",'CONTROLE CMM'!E295=""),"",N('CONTROLE EJ'!E295)+N('CONTROLE CMM'!E295))</f>
        <v/>
      </c>
      <c r="AK293" s="223">
        <f>IF(AND('CONTROLE EJ'!F295="",'CONTROLE CMM'!F295=""),"",N('CONTROLE EJ'!F295)+N('CONTROLE CMM'!F295))</f>
        <v/>
      </c>
      <c r="AL293" s="223">
        <f>IF(AND('CONTROLE EJ'!G295="",'CONTROLE CMM'!G295=""),"",N('CONTROLE EJ'!G295)+N('CONTROLE CMM'!G295))</f>
        <v/>
      </c>
      <c r="AM293" s="223">
        <f>IF(AND('CONTROLE EJ'!H295="",'CONTROLE CMM'!H295=""),"",N('CONTROLE EJ'!H295)+N('CONTROLE CMM'!H295))</f>
        <v/>
      </c>
      <c r="AN293" s="223">
        <f>IF('CONTROLE GLOBO AÇOS'!G295="","",'CONTROLE GLOBO AÇOS'!G295)</f>
        <v/>
      </c>
      <c r="AO293" s="223">
        <f>IF('CONTROLE GLOBO AÇOS'!H295="","",'CONTROLE GLOBO AÇOS'!H295)</f>
        <v/>
      </c>
      <c r="AP293" s="223">
        <f>IF(AND('CONTROLE EJ'!I295="",'CONTROLE CMM'!I295=""),"",N('CONTROLE EJ'!I295)+N('CONTROLE CMM'!I295))</f>
        <v/>
      </c>
      <c r="AQ293" s="223">
        <f>IF(AND('CONTROLE EJ'!J295="",'CONTROLE CMM'!#REF!=""),"",N('CONTROLE EJ'!J295)+N('CONTROLE CMM'!#REF!))</f>
        <v/>
      </c>
      <c r="AR293" s="223">
        <f>IF('CONTROLE GLOBO AÇOS'!I295="","",'CONTROLE GLOBO AÇOS'!I295)</f>
        <v/>
      </c>
      <c r="AS293" s="223">
        <f>IF('CONTROLE GLOBO AÇOS'!J295="","",'CONTROLE GLOBO AÇOS'!J295)</f>
        <v/>
      </c>
      <c r="AT293" s="223">
        <f>IF(#REF!="","",#REF!)</f>
        <v/>
      </c>
      <c r="AU293" s="223">
        <f>IF('CONTROLE GLOBO AÇOS'!K295="","",'CONTROLE GLOBO AÇOS'!K295)</f>
        <v/>
      </c>
      <c r="AV293" s="223">
        <f>IF(AND('CONTROLE EJ'!K295="",'CONTROLE CMM'!#REF!=""),"",N('CONTROLE EJ'!K295)+N('CONTROLE CMM'!#REF!))</f>
        <v/>
      </c>
      <c r="AW293" s="223">
        <f>IF('CONTROLE GLOBO AÇOS'!L295="","",'CONTROLE GLOBO AÇOS'!L295)</f>
        <v/>
      </c>
      <c r="AX293" s="223">
        <f>IF(AND('CONTROLE EJ'!L295="",'CONTROLE CMM'!#REF!=""),"",N('CONTROLE EJ'!L295)+N('CONTROLE CMM'!#REF!))</f>
        <v/>
      </c>
      <c r="AY293" s="223">
        <f>IF('CONTROLE GLOBO AÇOS'!M295="","",'CONTROLE GLOBO AÇOS'!M295)</f>
        <v/>
      </c>
      <c r="AZ293" s="223">
        <f>IF('CONTROLE GLOBO AÇOS'!N295="","",'CONTROLE GLOBO AÇOS'!N295)</f>
        <v/>
      </c>
      <c r="BA293" s="223">
        <f>IF(AND('CONTROLE EJ'!M295="",'CONTROLE CMM'!#REF!=""),"",N('CONTROLE EJ'!M295)+N('CONTROLE CMM'!#REF!))</f>
        <v/>
      </c>
      <c r="BB293" s="223">
        <f>IF(#REF!="","",#REF!)</f>
        <v/>
      </c>
      <c r="BC293" s="223">
        <f>IF('CONTROLE GLOBO AÇOS'!O295="","",'CONTROLE GLOBO AÇOS'!O295)</f>
        <v/>
      </c>
      <c r="BD293" s="223">
        <f>IF(AND('CONTROLE EJ'!N295="",'CONTROLE CMM'!#REF!=""),"",N('CONTROLE EJ'!N295)+N('CONTROLE CMM'!#REF!))</f>
        <v/>
      </c>
      <c r="BE293" s="223">
        <f>IF('CONTROLE GLOBO AÇOS'!P295="","",'CONTROLE GLOBO AÇOS'!P295)</f>
        <v/>
      </c>
      <c r="BF293" s="223">
        <f>IF('CONTROLE GLOBO AÇOS'!Q295="","",'CONTROLE GLOBO AÇOS'!Q295)</f>
        <v/>
      </c>
      <c r="BG293" s="223">
        <f>IF('CONTROLE GLOBO AÇOS'!R295="","",'CONTROLE GLOBO AÇOS'!R295)</f>
        <v/>
      </c>
      <c r="BH293" s="223">
        <f>IF(AND('CONTROLE EJ'!O295="",'CONTROLE CMM'!#REF!=""),"",N('CONTROLE EJ'!O295)+N('CONTROLE CMM'!#REF!))</f>
        <v/>
      </c>
      <c r="BI293" s="223">
        <f>IF('CONTROLE GLOBO AÇOS'!S295="","",'CONTROLE GLOBO AÇOS'!S295)</f>
        <v/>
      </c>
      <c r="BJ293" s="223">
        <f>IF('CONTROLE GLOBO AÇOS'!T295="","",'CONTROLE GLOBO AÇOS'!T295)</f>
        <v/>
      </c>
      <c r="BK293" s="223">
        <f>IF('CONTROLE GLOBO AÇOS'!U295="","",'CONTROLE GLOBO AÇOS'!U295)</f>
        <v/>
      </c>
      <c r="BL293" s="223">
        <f>IF(AND('CONTROLE EJ'!P295="",'CONTROLE CMM'!#REF!=""),"",N('CONTROLE EJ'!P295)+N('CONTROLE CMM'!#REF!))</f>
        <v/>
      </c>
      <c r="BM293" s="223">
        <f>IF(AND('CONTROLE EJ'!Q295="",'CONTROLE CMM'!#REF!=""),"",N('CONTROLE EJ'!Q295)+N('CONTROLE CMM'!#REF!))</f>
        <v/>
      </c>
      <c r="BN293" s="223">
        <f>IF('CONTROLE GLOBO AÇOS'!V295="","",'CONTROLE GLOBO AÇOS'!V295)</f>
        <v/>
      </c>
      <c r="BO293" s="223">
        <f>IF('CONTROLE GLOBO AÇOS'!W295="","",'CONTROLE GLOBO AÇOS'!W295)</f>
        <v/>
      </c>
      <c r="BP293" s="223">
        <f>IF(AND('CONTROLE EJ'!R295="",'CONTROLE CMM'!#REF!=""),"",N('CONTROLE EJ'!R295)+N('CONTROLE CMM'!#REF!))</f>
        <v/>
      </c>
      <c r="BQ293" s="223">
        <f>IF(#REF!="","",#REF!)</f>
        <v/>
      </c>
      <c r="BR293" s="223">
        <f>IF(AND('CONTROLE EJ'!S295="",'CONTROLE CMM'!#REF!=""),"",N('CONTROLE EJ'!S295)+N('CONTROLE CMM'!#REF!))</f>
        <v/>
      </c>
      <c r="BS293" s="223">
        <f>IF(AND('CONTROLE EJ'!T295="",'CONTROLE CMM'!#REF!=""),"",N('CONTROLE EJ'!T295)+N('CONTROLE CMM'!#REF!))</f>
        <v/>
      </c>
      <c r="BT293" s="223">
        <f>IF('CONTROLE GLOBO AÇOS'!X295="","",'CONTROLE GLOBO AÇOS'!X295)</f>
        <v/>
      </c>
      <c r="BU293" s="223">
        <f>IF('CONTROLE GLOBO AÇOS'!Y295="","",'CONTROLE GLOBO AÇOS'!Y295)</f>
        <v/>
      </c>
      <c r="BV293" s="223">
        <f>IF(AND('CONTROLE EJ'!U295="",'CONTROLE CMM'!#REF!=""),"",N('CONTROLE EJ'!U295)+N('CONTROLE CMM'!#REF!))</f>
        <v/>
      </c>
      <c r="BW293" s="223">
        <f>IF(#REF!="","",#REF!)</f>
        <v/>
      </c>
    </row>
    <row r="294">
      <c r="A294" s="282" t="n">
        <v>46511</v>
      </c>
      <c r="B294" s="18">
        <f>IF('CONTROLE EJ'!B296="","",'CONTROLE EJ'!B296)</f>
        <v/>
      </c>
      <c r="C294" s="18">
        <f>IF('CONTROLE EJ'!C296="","",'CONTROLE EJ'!C296)</f>
        <v/>
      </c>
      <c r="D294" s="42">
        <f>IF('CONTROLE EJ'!D296="","",'CONTROLE EJ'!D296)</f>
        <v/>
      </c>
      <c r="E294" s="43">
        <f>IF('CONTROLE CMM'!B296="","",'CONTROLE CMM'!B296)</f>
        <v/>
      </c>
      <c r="F294" s="18">
        <f>IF('CONTROLE CMM'!C296="","",'CONTROLE CMM'!C296)</f>
        <v/>
      </c>
      <c r="G294" s="26">
        <f>IF('CONTROLE CMM'!D296="","",'CONTROLE CMM'!D296)</f>
        <v/>
      </c>
      <c r="H294" s="43">
        <f>IF('CONTROLE GLOBO AÇOS'!B296="","",'CONTROLE GLOBO AÇOS'!B296)</f>
        <v/>
      </c>
      <c r="I294" s="18">
        <f>IF('CONTROLE GLOBO AÇOS'!C296="","",'CONTROLE GLOBO AÇOS'!C296)</f>
        <v/>
      </c>
      <c r="J294" s="18">
        <f>IF('CONTROLE GLOBO AÇOS'!D296="","",'CONTROLE GLOBO AÇOS'!D296)</f>
        <v/>
      </c>
      <c r="AD294" s="39">
        <f>IF($A294="",0,IF(AND(WEEKDAY($A294,2)&lt;=5,OR($B294&lt;&gt;"",$C294&lt;&gt;"",$D294&lt;&gt;"")),1,0))</f>
        <v/>
      </c>
      <c r="AE294" s="39">
        <f>IF($A294="",0,IF(AND(WEEKDAY($A294,2)&lt;=5,OR($E294&lt;&gt;"",$F294&lt;&gt;"",$G294&lt;&gt;"")),1,0))</f>
        <v/>
      </c>
      <c r="AF294" s="39">
        <f>MAX(AD294,AE294)</f>
        <v/>
      </c>
      <c r="AH294" s="223">
        <f>IF('CONTROLE GLOBO AÇOS'!E296="","",'CONTROLE GLOBO AÇOS'!E296)</f>
        <v/>
      </c>
      <c r="AI294" s="223">
        <f>IF('CONTROLE GLOBO AÇOS'!F296="","",'CONTROLE GLOBO AÇOS'!F296)</f>
        <v/>
      </c>
      <c r="AJ294" s="223">
        <f>IF(AND('CONTROLE EJ'!E296="",'CONTROLE CMM'!E296=""),"",N('CONTROLE EJ'!E296)+N('CONTROLE CMM'!E296))</f>
        <v/>
      </c>
      <c r="AK294" s="223">
        <f>IF(AND('CONTROLE EJ'!F296="",'CONTROLE CMM'!F296=""),"",N('CONTROLE EJ'!F296)+N('CONTROLE CMM'!F296))</f>
        <v/>
      </c>
      <c r="AL294" s="223">
        <f>IF(AND('CONTROLE EJ'!G296="",'CONTROLE CMM'!G296=""),"",N('CONTROLE EJ'!G296)+N('CONTROLE CMM'!G296))</f>
        <v/>
      </c>
      <c r="AM294" s="223">
        <f>IF(AND('CONTROLE EJ'!H296="",'CONTROLE CMM'!H296=""),"",N('CONTROLE EJ'!H296)+N('CONTROLE CMM'!H296))</f>
        <v/>
      </c>
      <c r="AN294" s="223">
        <f>IF('CONTROLE GLOBO AÇOS'!G296="","",'CONTROLE GLOBO AÇOS'!G296)</f>
        <v/>
      </c>
      <c r="AO294" s="223">
        <f>IF('CONTROLE GLOBO AÇOS'!H296="","",'CONTROLE GLOBO AÇOS'!H296)</f>
        <v/>
      </c>
      <c r="AP294" s="223">
        <f>IF(AND('CONTROLE EJ'!I296="",'CONTROLE CMM'!I296=""),"",N('CONTROLE EJ'!I296)+N('CONTROLE CMM'!I296))</f>
        <v/>
      </c>
      <c r="AQ294" s="223">
        <f>IF(AND('CONTROLE EJ'!J296="",'CONTROLE CMM'!#REF!=""),"",N('CONTROLE EJ'!J296)+N('CONTROLE CMM'!#REF!))</f>
        <v/>
      </c>
      <c r="AR294" s="223">
        <f>IF('CONTROLE GLOBO AÇOS'!I296="","",'CONTROLE GLOBO AÇOS'!I296)</f>
        <v/>
      </c>
      <c r="AS294" s="223">
        <f>IF('CONTROLE GLOBO AÇOS'!J296="","",'CONTROLE GLOBO AÇOS'!J296)</f>
        <v/>
      </c>
      <c r="AT294" s="223">
        <f>IF(#REF!="","",#REF!)</f>
        <v/>
      </c>
      <c r="AU294" s="223">
        <f>IF('CONTROLE GLOBO AÇOS'!K296="","",'CONTROLE GLOBO AÇOS'!K296)</f>
        <v/>
      </c>
      <c r="AV294" s="223">
        <f>IF(AND('CONTROLE EJ'!K296="",'CONTROLE CMM'!#REF!=""),"",N('CONTROLE EJ'!K296)+N('CONTROLE CMM'!#REF!))</f>
        <v/>
      </c>
      <c r="AW294" s="223">
        <f>IF('CONTROLE GLOBO AÇOS'!L296="","",'CONTROLE GLOBO AÇOS'!L296)</f>
        <v/>
      </c>
      <c r="AX294" s="223">
        <f>IF(AND('CONTROLE EJ'!L296="",'CONTROLE CMM'!#REF!=""),"",N('CONTROLE EJ'!L296)+N('CONTROLE CMM'!#REF!))</f>
        <v/>
      </c>
      <c r="AY294" s="223">
        <f>IF('CONTROLE GLOBO AÇOS'!M296="","",'CONTROLE GLOBO AÇOS'!M296)</f>
        <v/>
      </c>
      <c r="AZ294" s="223">
        <f>IF('CONTROLE GLOBO AÇOS'!N296="","",'CONTROLE GLOBO AÇOS'!N296)</f>
        <v/>
      </c>
      <c r="BA294" s="223">
        <f>IF(AND('CONTROLE EJ'!M296="",'CONTROLE CMM'!#REF!=""),"",N('CONTROLE EJ'!M296)+N('CONTROLE CMM'!#REF!))</f>
        <v/>
      </c>
      <c r="BB294" s="223">
        <f>IF(#REF!="","",#REF!)</f>
        <v/>
      </c>
      <c r="BC294" s="223">
        <f>IF('CONTROLE GLOBO AÇOS'!O296="","",'CONTROLE GLOBO AÇOS'!O296)</f>
        <v/>
      </c>
      <c r="BD294" s="223">
        <f>IF(AND('CONTROLE EJ'!N296="",'CONTROLE CMM'!#REF!=""),"",N('CONTROLE EJ'!N296)+N('CONTROLE CMM'!#REF!))</f>
        <v/>
      </c>
      <c r="BE294" s="223">
        <f>IF('CONTROLE GLOBO AÇOS'!P296="","",'CONTROLE GLOBO AÇOS'!P296)</f>
        <v/>
      </c>
      <c r="BF294" s="223">
        <f>IF('CONTROLE GLOBO AÇOS'!Q296="","",'CONTROLE GLOBO AÇOS'!Q296)</f>
        <v/>
      </c>
      <c r="BG294" s="223">
        <f>IF('CONTROLE GLOBO AÇOS'!R296="","",'CONTROLE GLOBO AÇOS'!R296)</f>
        <v/>
      </c>
      <c r="BH294" s="223">
        <f>IF(AND('CONTROLE EJ'!O296="",'CONTROLE CMM'!#REF!=""),"",N('CONTROLE EJ'!O296)+N('CONTROLE CMM'!#REF!))</f>
        <v/>
      </c>
      <c r="BI294" s="223">
        <f>IF('CONTROLE GLOBO AÇOS'!S296="","",'CONTROLE GLOBO AÇOS'!S296)</f>
        <v/>
      </c>
      <c r="BJ294" s="223">
        <f>IF('CONTROLE GLOBO AÇOS'!T296="","",'CONTROLE GLOBO AÇOS'!T296)</f>
        <v/>
      </c>
      <c r="BK294" s="223">
        <f>IF('CONTROLE GLOBO AÇOS'!U296="","",'CONTROLE GLOBO AÇOS'!U296)</f>
        <v/>
      </c>
      <c r="BL294" s="223">
        <f>IF(AND('CONTROLE EJ'!P296="",'CONTROLE CMM'!#REF!=""),"",N('CONTROLE EJ'!P296)+N('CONTROLE CMM'!#REF!))</f>
        <v/>
      </c>
      <c r="BM294" s="223">
        <f>IF(AND('CONTROLE EJ'!Q296="",'CONTROLE CMM'!#REF!=""),"",N('CONTROLE EJ'!Q296)+N('CONTROLE CMM'!#REF!))</f>
        <v/>
      </c>
      <c r="BN294" s="223">
        <f>IF('CONTROLE GLOBO AÇOS'!V296="","",'CONTROLE GLOBO AÇOS'!V296)</f>
        <v/>
      </c>
      <c r="BO294" s="223">
        <f>IF('CONTROLE GLOBO AÇOS'!W296="","",'CONTROLE GLOBO AÇOS'!W296)</f>
        <v/>
      </c>
      <c r="BP294" s="223">
        <f>IF(AND('CONTROLE EJ'!R296="",'CONTROLE CMM'!#REF!=""),"",N('CONTROLE EJ'!R296)+N('CONTROLE CMM'!#REF!))</f>
        <v/>
      </c>
      <c r="BQ294" s="223">
        <f>IF(#REF!="","",#REF!)</f>
        <v/>
      </c>
      <c r="BR294" s="223">
        <f>IF(AND('CONTROLE EJ'!S296="",'CONTROLE CMM'!#REF!=""),"",N('CONTROLE EJ'!S296)+N('CONTROLE CMM'!#REF!))</f>
        <v/>
      </c>
      <c r="BS294" s="223">
        <f>IF(AND('CONTROLE EJ'!T296="",'CONTROLE CMM'!#REF!=""),"",N('CONTROLE EJ'!T296)+N('CONTROLE CMM'!#REF!))</f>
        <v/>
      </c>
      <c r="BT294" s="223">
        <f>IF('CONTROLE GLOBO AÇOS'!X296="","",'CONTROLE GLOBO AÇOS'!X296)</f>
        <v/>
      </c>
      <c r="BU294" s="223">
        <f>IF('CONTROLE GLOBO AÇOS'!Y296="","",'CONTROLE GLOBO AÇOS'!Y296)</f>
        <v/>
      </c>
      <c r="BV294" s="223">
        <f>IF(AND('CONTROLE EJ'!U296="",'CONTROLE CMM'!#REF!=""),"",N('CONTROLE EJ'!U296)+N('CONTROLE CMM'!#REF!))</f>
        <v/>
      </c>
      <c r="BW294" s="223">
        <f>IF(#REF!="","",#REF!)</f>
        <v/>
      </c>
    </row>
    <row r="295">
      <c r="A295" s="282" t="n">
        <v>46512</v>
      </c>
      <c r="B295" s="18">
        <f>IF('CONTROLE EJ'!B297="","",'CONTROLE EJ'!B297)</f>
        <v/>
      </c>
      <c r="C295" s="18">
        <f>IF('CONTROLE EJ'!C297="","",'CONTROLE EJ'!C297)</f>
        <v/>
      </c>
      <c r="D295" s="42">
        <f>IF('CONTROLE EJ'!D297="","",'CONTROLE EJ'!D297)</f>
        <v/>
      </c>
      <c r="E295" s="43">
        <f>IF('CONTROLE CMM'!B297="","",'CONTROLE CMM'!B297)</f>
        <v/>
      </c>
      <c r="F295" s="18">
        <f>IF('CONTROLE CMM'!C297="","",'CONTROLE CMM'!C297)</f>
        <v/>
      </c>
      <c r="G295" s="26">
        <f>IF('CONTROLE CMM'!D297="","",'CONTROLE CMM'!D297)</f>
        <v/>
      </c>
      <c r="H295" s="43">
        <f>IF('CONTROLE GLOBO AÇOS'!B297="","",'CONTROLE GLOBO AÇOS'!B297)</f>
        <v/>
      </c>
      <c r="I295" s="18">
        <f>IF('CONTROLE GLOBO AÇOS'!C297="","",'CONTROLE GLOBO AÇOS'!C297)</f>
        <v/>
      </c>
      <c r="J295" s="18">
        <f>IF('CONTROLE GLOBO AÇOS'!D297="","",'CONTROLE GLOBO AÇOS'!D297)</f>
        <v/>
      </c>
      <c r="AD295" s="39">
        <f>IF($A295="",0,IF(AND(WEEKDAY($A295,2)&lt;=5,OR($B295&lt;&gt;"",$C295&lt;&gt;"",$D295&lt;&gt;"")),1,0))</f>
        <v/>
      </c>
      <c r="AE295" s="39">
        <f>IF($A295="",0,IF(AND(WEEKDAY($A295,2)&lt;=5,OR($E295&lt;&gt;"",$F295&lt;&gt;"",$G295&lt;&gt;"")),1,0))</f>
        <v/>
      </c>
      <c r="AF295" s="39">
        <f>MAX(AD295,AE295)</f>
        <v/>
      </c>
      <c r="AH295" s="223">
        <f>IF('CONTROLE GLOBO AÇOS'!E297="","",'CONTROLE GLOBO AÇOS'!E297)</f>
        <v/>
      </c>
      <c r="AI295" s="223">
        <f>IF('CONTROLE GLOBO AÇOS'!F297="","",'CONTROLE GLOBO AÇOS'!F297)</f>
        <v/>
      </c>
      <c r="AJ295" s="223">
        <f>IF(AND('CONTROLE EJ'!E297="",'CONTROLE CMM'!E297=""),"",N('CONTROLE EJ'!E297)+N('CONTROLE CMM'!E297))</f>
        <v/>
      </c>
      <c r="AK295" s="223">
        <f>IF(AND('CONTROLE EJ'!F297="",'CONTROLE CMM'!F297=""),"",N('CONTROLE EJ'!F297)+N('CONTROLE CMM'!F297))</f>
        <v/>
      </c>
      <c r="AL295" s="223">
        <f>IF(AND('CONTROLE EJ'!G297="",'CONTROLE CMM'!G297=""),"",N('CONTROLE EJ'!G297)+N('CONTROLE CMM'!G297))</f>
        <v/>
      </c>
      <c r="AM295" s="223">
        <f>IF(AND('CONTROLE EJ'!H297="",'CONTROLE CMM'!H297=""),"",N('CONTROLE EJ'!H297)+N('CONTROLE CMM'!H297))</f>
        <v/>
      </c>
      <c r="AN295" s="223">
        <f>IF('CONTROLE GLOBO AÇOS'!G297="","",'CONTROLE GLOBO AÇOS'!G297)</f>
        <v/>
      </c>
      <c r="AO295" s="223">
        <f>IF('CONTROLE GLOBO AÇOS'!H297="","",'CONTROLE GLOBO AÇOS'!H297)</f>
        <v/>
      </c>
      <c r="AP295" s="223">
        <f>IF(AND('CONTROLE EJ'!I297="",'CONTROLE CMM'!I297=""),"",N('CONTROLE EJ'!I297)+N('CONTROLE CMM'!I297))</f>
        <v/>
      </c>
      <c r="AQ295" s="223">
        <f>IF(AND('CONTROLE EJ'!J297="",'CONTROLE CMM'!#REF!=""),"",N('CONTROLE EJ'!J297)+N('CONTROLE CMM'!#REF!))</f>
        <v/>
      </c>
      <c r="AR295" s="223">
        <f>IF('CONTROLE GLOBO AÇOS'!I297="","",'CONTROLE GLOBO AÇOS'!I297)</f>
        <v/>
      </c>
      <c r="AS295" s="223">
        <f>IF('CONTROLE GLOBO AÇOS'!J297="","",'CONTROLE GLOBO AÇOS'!J297)</f>
        <v/>
      </c>
      <c r="AT295" s="223">
        <f>IF(#REF!="","",#REF!)</f>
        <v/>
      </c>
      <c r="AU295" s="223">
        <f>IF('CONTROLE GLOBO AÇOS'!K297="","",'CONTROLE GLOBO AÇOS'!K297)</f>
        <v/>
      </c>
      <c r="AV295" s="223">
        <f>IF(AND('CONTROLE EJ'!K297="",'CONTROLE CMM'!#REF!=""),"",N('CONTROLE EJ'!K297)+N('CONTROLE CMM'!#REF!))</f>
        <v/>
      </c>
      <c r="AW295" s="223">
        <f>IF('CONTROLE GLOBO AÇOS'!L297="","",'CONTROLE GLOBO AÇOS'!L297)</f>
        <v/>
      </c>
      <c r="AX295" s="223">
        <f>IF(AND('CONTROLE EJ'!L297="",'CONTROLE CMM'!#REF!=""),"",N('CONTROLE EJ'!L297)+N('CONTROLE CMM'!#REF!))</f>
        <v/>
      </c>
      <c r="AY295" s="223">
        <f>IF('CONTROLE GLOBO AÇOS'!M297="","",'CONTROLE GLOBO AÇOS'!M297)</f>
        <v/>
      </c>
      <c r="AZ295" s="223">
        <f>IF('CONTROLE GLOBO AÇOS'!N297="","",'CONTROLE GLOBO AÇOS'!N297)</f>
        <v/>
      </c>
      <c r="BA295" s="223">
        <f>IF(AND('CONTROLE EJ'!M297="",'CONTROLE CMM'!#REF!=""),"",N('CONTROLE EJ'!M297)+N('CONTROLE CMM'!#REF!))</f>
        <v/>
      </c>
      <c r="BB295" s="223">
        <f>IF(#REF!="","",#REF!)</f>
        <v/>
      </c>
      <c r="BC295" s="223">
        <f>IF('CONTROLE GLOBO AÇOS'!O297="","",'CONTROLE GLOBO AÇOS'!O297)</f>
        <v/>
      </c>
      <c r="BD295" s="223">
        <f>IF(AND('CONTROLE EJ'!N297="",'CONTROLE CMM'!#REF!=""),"",N('CONTROLE EJ'!N297)+N('CONTROLE CMM'!#REF!))</f>
        <v/>
      </c>
      <c r="BE295" s="223">
        <f>IF('CONTROLE GLOBO AÇOS'!P297="","",'CONTROLE GLOBO AÇOS'!P297)</f>
        <v/>
      </c>
      <c r="BF295" s="223">
        <f>IF('CONTROLE GLOBO AÇOS'!Q297="","",'CONTROLE GLOBO AÇOS'!Q297)</f>
        <v/>
      </c>
      <c r="BG295" s="223">
        <f>IF('CONTROLE GLOBO AÇOS'!R297="","",'CONTROLE GLOBO AÇOS'!R297)</f>
        <v/>
      </c>
      <c r="BH295" s="223">
        <f>IF(AND('CONTROLE EJ'!O297="",'CONTROLE CMM'!#REF!=""),"",N('CONTROLE EJ'!O297)+N('CONTROLE CMM'!#REF!))</f>
        <v/>
      </c>
      <c r="BI295" s="223">
        <f>IF('CONTROLE GLOBO AÇOS'!S297="","",'CONTROLE GLOBO AÇOS'!S297)</f>
        <v/>
      </c>
      <c r="BJ295" s="223">
        <f>IF('CONTROLE GLOBO AÇOS'!T297="","",'CONTROLE GLOBO AÇOS'!T297)</f>
        <v/>
      </c>
      <c r="BK295" s="223">
        <f>IF('CONTROLE GLOBO AÇOS'!U297="","",'CONTROLE GLOBO AÇOS'!U297)</f>
        <v/>
      </c>
      <c r="BL295" s="223">
        <f>IF(AND('CONTROLE EJ'!P297="",'CONTROLE CMM'!#REF!=""),"",N('CONTROLE EJ'!P297)+N('CONTROLE CMM'!#REF!))</f>
        <v/>
      </c>
      <c r="BM295" s="223">
        <f>IF(AND('CONTROLE EJ'!Q297="",'CONTROLE CMM'!#REF!=""),"",N('CONTROLE EJ'!Q297)+N('CONTROLE CMM'!#REF!))</f>
        <v/>
      </c>
      <c r="BN295" s="223">
        <f>IF('CONTROLE GLOBO AÇOS'!V297="","",'CONTROLE GLOBO AÇOS'!V297)</f>
        <v/>
      </c>
      <c r="BO295" s="223">
        <f>IF('CONTROLE GLOBO AÇOS'!W297="","",'CONTROLE GLOBO AÇOS'!W297)</f>
        <v/>
      </c>
      <c r="BP295" s="223">
        <f>IF(AND('CONTROLE EJ'!R297="",'CONTROLE CMM'!#REF!=""),"",N('CONTROLE EJ'!R297)+N('CONTROLE CMM'!#REF!))</f>
        <v/>
      </c>
      <c r="BQ295" s="223">
        <f>IF(#REF!="","",#REF!)</f>
        <v/>
      </c>
      <c r="BR295" s="223">
        <f>IF(AND('CONTROLE EJ'!S297="",'CONTROLE CMM'!#REF!=""),"",N('CONTROLE EJ'!S297)+N('CONTROLE CMM'!#REF!))</f>
        <v/>
      </c>
      <c r="BS295" s="223">
        <f>IF(AND('CONTROLE EJ'!T297="",'CONTROLE CMM'!#REF!=""),"",N('CONTROLE EJ'!T297)+N('CONTROLE CMM'!#REF!))</f>
        <v/>
      </c>
      <c r="BT295" s="223">
        <f>IF('CONTROLE GLOBO AÇOS'!X297="","",'CONTROLE GLOBO AÇOS'!X297)</f>
        <v/>
      </c>
      <c r="BU295" s="223">
        <f>IF('CONTROLE GLOBO AÇOS'!Y297="","",'CONTROLE GLOBO AÇOS'!Y297)</f>
        <v/>
      </c>
      <c r="BV295" s="223">
        <f>IF(AND('CONTROLE EJ'!U297="",'CONTROLE CMM'!#REF!=""),"",N('CONTROLE EJ'!U297)+N('CONTROLE CMM'!#REF!))</f>
        <v/>
      </c>
      <c r="BW295" s="223">
        <f>IF(#REF!="","",#REF!)</f>
        <v/>
      </c>
    </row>
    <row r="296">
      <c r="A296" s="282" t="n">
        <v>46513</v>
      </c>
      <c r="B296" s="18">
        <f>IF('CONTROLE EJ'!B298="","",'CONTROLE EJ'!B298)</f>
        <v/>
      </c>
      <c r="C296" s="18">
        <f>IF('CONTROLE EJ'!C298="","",'CONTROLE EJ'!C298)</f>
        <v/>
      </c>
      <c r="D296" s="42">
        <f>IF('CONTROLE EJ'!D298="","",'CONTROLE EJ'!D298)</f>
        <v/>
      </c>
      <c r="E296" s="43">
        <f>IF('CONTROLE CMM'!B298="","",'CONTROLE CMM'!B298)</f>
        <v/>
      </c>
      <c r="F296" s="18">
        <f>IF('CONTROLE CMM'!C298="","",'CONTROLE CMM'!C298)</f>
        <v/>
      </c>
      <c r="G296" s="26">
        <f>IF('CONTROLE CMM'!D298="","",'CONTROLE CMM'!D298)</f>
        <v/>
      </c>
      <c r="H296" s="18">
        <f>IF('CONTROLE GLOBO AÇOS'!B298="","",'CONTROLE GLOBO AÇOS'!B298)</f>
        <v/>
      </c>
      <c r="I296" s="18">
        <f>IF('CONTROLE GLOBO AÇOS'!C298="","",'CONTROLE GLOBO AÇOS'!C298)</f>
        <v/>
      </c>
      <c r="J296" s="18">
        <f>IF('CONTROLE GLOBO AÇOS'!D298="","",'CONTROLE GLOBO AÇOS'!D298)</f>
        <v/>
      </c>
      <c r="AD296" s="39">
        <f>IF($A296="",0,IF(AND(WEEKDAY($A296,2)&lt;=5,OR($B296&lt;&gt;"",$C296&lt;&gt;"",$D296&lt;&gt;"")),1,0))</f>
        <v/>
      </c>
      <c r="AE296" s="39">
        <f>IF($A296="",0,IF(AND(WEEKDAY($A296,2)&lt;=5,OR($E296&lt;&gt;"",$F296&lt;&gt;"",$G296&lt;&gt;"")),1,0))</f>
        <v/>
      </c>
      <c r="AF296" s="39">
        <f>MAX(AD296,AE296)</f>
        <v/>
      </c>
      <c r="AH296" s="223">
        <f>IF('CONTROLE GLOBO AÇOS'!E298="","",'CONTROLE GLOBO AÇOS'!E298)</f>
        <v/>
      </c>
      <c r="AI296" s="223">
        <f>IF('CONTROLE GLOBO AÇOS'!F298="","",'CONTROLE GLOBO AÇOS'!F298)</f>
        <v/>
      </c>
      <c r="AJ296" s="223">
        <f>IF(AND('CONTROLE EJ'!E298="",'CONTROLE CMM'!E298=""),"",N('CONTROLE EJ'!E298)+N('CONTROLE CMM'!E298))</f>
        <v/>
      </c>
      <c r="AK296" s="223">
        <f>IF(AND('CONTROLE EJ'!F298="",'CONTROLE CMM'!F298=""),"",N('CONTROLE EJ'!F298)+N('CONTROLE CMM'!F298))</f>
        <v/>
      </c>
      <c r="AL296" s="223">
        <f>IF(AND('CONTROLE EJ'!G298="",'CONTROLE CMM'!G298=""),"",N('CONTROLE EJ'!G298)+N('CONTROLE CMM'!G298))</f>
        <v/>
      </c>
      <c r="AM296" s="223">
        <f>IF(AND('CONTROLE EJ'!H298="",'CONTROLE CMM'!H298=""),"",N('CONTROLE EJ'!H298)+N('CONTROLE CMM'!H298))</f>
        <v/>
      </c>
      <c r="AN296" s="223">
        <f>IF('CONTROLE GLOBO AÇOS'!G298="","",'CONTROLE GLOBO AÇOS'!G298)</f>
        <v/>
      </c>
      <c r="AO296" s="223">
        <f>IF('CONTROLE GLOBO AÇOS'!H298="","",'CONTROLE GLOBO AÇOS'!H298)</f>
        <v/>
      </c>
      <c r="AP296" s="223">
        <f>IF(AND('CONTROLE EJ'!I298="",'CONTROLE CMM'!I298=""),"",N('CONTROLE EJ'!I298)+N('CONTROLE CMM'!I298))</f>
        <v/>
      </c>
      <c r="AQ296" s="223">
        <f>IF(AND('CONTROLE EJ'!J298="",'CONTROLE CMM'!#REF!=""),"",N('CONTROLE EJ'!J298)+N('CONTROLE CMM'!#REF!))</f>
        <v/>
      </c>
      <c r="AR296" s="223">
        <f>IF('CONTROLE GLOBO AÇOS'!I298="","",'CONTROLE GLOBO AÇOS'!I298)</f>
        <v/>
      </c>
      <c r="AS296" s="223">
        <f>IF('CONTROLE GLOBO AÇOS'!J298="","",'CONTROLE GLOBO AÇOS'!J298)</f>
        <v/>
      </c>
      <c r="AT296" s="223">
        <f>IF(#REF!="","",#REF!)</f>
        <v/>
      </c>
      <c r="AU296" s="223">
        <f>IF('CONTROLE GLOBO AÇOS'!K298="","",'CONTROLE GLOBO AÇOS'!K298)</f>
        <v/>
      </c>
      <c r="AV296" s="223">
        <f>IF(AND('CONTROLE EJ'!K298="",'CONTROLE CMM'!#REF!=""),"",N('CONTROLE EJ'!K298)+N('CONTROLE CMM'!#REF!))</f>
        <v/>
      </c>
      <c r="AW296" s="223">
        <f>IF('CONTROLE GLOBO AÇOS'!L298="","",'CONTROLE GLOBO AÇOS'!L298)</f>
        <v/>
      </c>
      <c r="AX296" s="223">
        <f>IF(AND('CONTROLE EJ'!L298="",'CONTROLE CMM'!#REF!=""),"",N('CONTROLE EJ'!L298)+N('CONTROLE CMM'!#REF!))</f>
        <v/>
      </c>
      <c r="AY296" s="223">
        <f>IF('CONTROLE GLOBO AÇOS'!M298="","",'CONTROLE GLOBO AÇOS'!M298)</f>
        <v/>
      </c>
      <c r="AZ296" s="223">
        <f>IF('CONTROLE GLOBO AÇOS'!N298="","",'CONTROLE GLOBO AÇOS'!N298)</f>
        <v/>
      </c>
      <c r="BA296" s="223">
        <f>IF(AND('CONTROLE EJ'!M298="",'CONTROLE CMM'!#REF!=""),"",N('CONTROLE EJ'!M298)+N('CONTROLE CMM'!#REF!))</f>
        <v/>
      </c>
      <c r="BB296" s="223">
        <f>IF(#REF!="","",#REF!)</f>
        <v/>
      </c>
      <c r="BC296" s="223">
        <f>IF('CONTROLE GLOBO AÇOS'!O298="","",'CONTROLE GLOBO AÇOS'!O298)</f>
        <v/>
      </c>
      <c r="BD296" s="223">
        <f>IF(AND('CONTROLE EJ'!N298="",'CONTROLE CMM'!#REF!=""),"",N('CONTROLE EJ'!N298)+N('CONTROLE CMM'!#REF!))</f>
        <v/>
      </c>
      <c r="BE296" s="223">
        <f>IF('CONTROLE GLOBO AÇOS'!P298="","",'CONTROLE GLOBO AÇOS'!P298)</f>
        <v/>
      </c>
      <c r="BF296" s="223">
        <f>IF('CONTROLE GLOBO AÇOS'!Q298="","",'CONTROLE GLOBO AÇOS'!Q298)</f>
        <v/>
      </c>
      <c r="BG296" s="223">
        <f>IF('CONTROLE GLOBO AÇOS'!R298="","",'CONTROLE GLOBO AÇOS'!R298)</f>
        <v/>
      </c>
      <c r="BH296" s="223">
        <f>IF(AND('CONTROLE EJ'!O298="",'CONTROLE CMM'!#REF!=""),"",N('CONTROLE EJ'!O298)+N('CONTROLE CMM'!#REF!))</f>
        <v/>
      </c>
      <c r="BI296" s="223">
        <f>IF('CONTROLE GLOBO AÇOS'!S298="","",'CONTROLE GLOBO AÇOS'!S298)</f>
        <v/>
      </c>
      <c r="BJ296" s="223">
        <f>IF('CONTROLE GLOBO AÇOS'!T298="","",'CONTROLE GLOBO AÇOS'!T298)</f>
        <v/>
      </c>
      <c r="BK296" s="223">
        <f>IF('CONTROLE GLOBO AÇOS'!U298="","",'CONTROLE GLOBO AÇOS'!U298)</f>
        <v/>
      </c>
      <c r="BL296" s="223">
        <f>IF(AND('CONTROLE EJ'!P298="",'CONTROLE CMM'!#REF!=""),"",N('CONTROLE EJ'!P298)+N('CONTROLE CMM'!#REF!))</f>
        <v/>
      </c>
      <c r="BM296" s="223">
        <f>IF(AND('CONTROLE EJ'!Q298="",'CONTROLE CMM'!#REF!=""),"",N('CONTROLE EJ'!Q298)+N('CONTROLE CMM'!#REF!))</f>
        <v/>
      </c>
      <c r="BN296" s="223">
        <f>IF('CONTROLE GLOBO AÇOS'!V298="","",'CONTROLE GLOBO AÇOS'!V298)</f>
        <v/>
      </c>
      <c r="BO296" s="223">
        <f>IF('CONTROLE GLOBO AÇOS'!W298="","",'CONTROLE GLOBO AÇOS'!W298)</f>
        <v/>
      </c>
      <c r="BP296" s="223">
        <f>IF(AND('CONTROLE EJ'!R298="",'CONTROLE CMM'!#REF!=""),"",N('CONTROLE EJ'!R298)+N('CONTROLE CMM'!#REF!))</f>
        <v/>
      </c>
      <c r="BQ296" s="223">
        <f>IF(#REF!="","",#REF!)</f>
        <v/>
      </c>
      <c r="BR296" s="223">
        <f>IF(AND('CONTROLE EJ'!S298="",'CONTROLE CMM'!#REF!=""),"",N('CONTROLE EJ'!S298)+N('CONTROLE CMM'!#REF!))</f>
        <v/>
      </c>
      <c r="BS296" s="223">
        <f>IF(AND('CONTROLE EJ'!T298="",'CONTROLE CMM'!#REF!=""),"",N('CONTROLE EJ'!T298)+N('CONTROLE CMM'!#REF!))</f>
        <v/>
      </c>
      <c r="BT296" s="223">
        <f>IF('CONTROLE GLOBO AÇOS'!X298="","",'CONTROLE GLOBO AÇOS'!X298)</f>
        <v/>
      </c>
      <c r="BU296" s="223">
        <f>IF('CONTROLE GLOBO AÇOS'!Y298="","",'CONTROLE GLOBO AÇOS'!Y298)</f>
        <v/>
      </c>
      <c r="BV296" s="223">
        <f>IF(AND('CONTROLE EJ'!U298="",'CONTROLE CMM'!#REF!=""),"",N('CONTROLE EJ'!U298)+N('CONTROLE CMM'!#REF!))</f>
        <v/>
      </c>
      <c r="BW296" s="223">
        <f>IF(#REF!="","",#REF!)</f>
        <v/>
      </c>
    </row>
    <row r="297">
      <c r="A297" s="282" t="n">
        <v>46514</v>
      </c>
      <c r="B297" s="18">
        <f>IF('CONTROLE EJ'!B299="","",'CONTROLE EJ'!B299)</f>
        <v/>
      </c>
      <c r="C297" s="18">
        <f>IF('CONTROLE EJ'!C299="","",'CONTROLE EJ'!C299)</f>
        <v/>
      </c>
      <c r="D297" s="42">
        <f>IF('CONTROLE EJ'!D299="","",'CONTROLE EJ'!D299)</f>
        <v/>
      </c>
      <c r="E297" s="43">
        <f>IF('CONTROLE CMM'!B299="","",'CONTROLE CMM'!B299)</f>
        <v/>
      </c>
      <c r="F297" s="18">
        <f>IF('CONTROLE CMM'!C299="","",'CONTROLE CMM'!C299)</f>
        <v/>
      </c>
      <c r="G297" s="26">
        <f>IF('CONTROLE CMM'!D299="","",'CONTROLE CMM'!D299)</f>
        <v/>
      </c>
      <c r="H297" s="18">
        <f>IF('CONTROLE GLOBO AÇOS'!B299="","",'CONTROLE GLOBO AÇOS'!B299)</f>
        <v/>
      </c>
      <c r="I297" s="18">
        <f>IF('CONTROLE GLOBO AÇOS'!C299="","",'CONTROLE GLOBO AÇOS'!C299)</f>
        <v/>
      </c>
      <c r="J297" s="18">
        <f>IF('CONTROLE GLOBO AÇOS'!D299="","",'CONTROLE GLOBO AÇOS'!D299)</f>
        <v/>
      </c>
      <c r="AD297" s="39">
        <f>IF($A297="",0,IF(AND(WEEKDAY($A297,2)&lt;=5,OR($B297&lt;&gt;"",$C297&lt;&gt;"",$D297&lt;&gt;"")),1,0))</f>
        <v/>
      </c>
      <c r="AE297" s="39">
        <f>IF($A297="",0,IF(AND(WEEKDAY($A297,2)&lt;=5,OR($E297&lt;&gt;"",$F297&lt;&gt;"",$G297&lt;&gt;"")),1,0))</f>
        <v/>
      </c>
      <c r="AF297" s="39">
        <f>MAX(AD297,AE297)</f>
        <v/>
      </c>
      <c r="AH297" s="223">
        <f>IF('CONTROLE GLOBO AÇOS'!E299="","",'CONTROLE GLOBO AÇOS'!E299)</f>
        <v/>
      </c>
      <c r="AI297" s="223">
        <f>IF('CONTROLE GLOBO AÇOS'!F299="","",'CONTROLE GLOBO AÇOS'!F299)</f>
        <v/>
      </c>
      <c r="AJ297" s="223">
        <f>IF(AND('CONTROLE EJ'!E299="",'CONTROLE CMM'!E299=""),"",N('CONTROLE EJ'!E299)+N('CONTROLE CMM'!E299))</f>
        <v/>
      </c>
      <c r="AK297" s="223">
        <f>IF(AND('CONTROLE EJ'!F299="",'CONTROLE CMM'!F299=""),"",N('CONTROLE EJ'!F299)+N('CONTROLE CMM'!F299))</f>
        <v/>
      </c>
      <c r="AL297" s="223">
        <f>IF(AND('CONTROLE EJ'!G299="",'CONTROLE CMM'!G299=""),"",N('CONTROLE EJ'!G299)+N('CONTROLE CMM'!G299))</f>
        <v/>
      </c>
      <c r="AM297" s="223">
        <f>IF(AND('CONTROLE EJ'!H299="",'CONTROLE CMM'!H299=""),"",N('CONTROLE EJ'!H299)+N('CONTROLE CMM'!H299))</f>
        <v/>
      </c>
      <c r="AN297" s="223">
        <f>IF('CONTROLE GLOBO AÇOS'!G299="","",'CONTROLE GLOBO AÇOS'!G299)</f>
        <v/>
      </c>
      <c r="AO297" s="223">
        <f>IF('CONTROLE GLOBO AÇOS'!H299="","",'CONTROLE GLOBO AÇOS'!H299)</f>
        <v/>
      </c>
      <c r="AP297" s="223">
        <f>IF(AND('CONTROLE EJ'!I299="",'CONTROLE CMM'!I299=""),"",N('CONTROLE EJ'!I299)+N('CONTROLE CMM'!I299))</f>
        <v/>
      </c>
      <c r="AQ297" s="223">
        <f>IF(AND('CONTROLE EJ'!J299="",'CONTROLE CMM'!#REF!=""),"",N('CONTROLE EJ'!J299)+N('CONTROLE CMM'!#REF!))</f>
        <v/>
      </c>
      <c r="AR297" s="223">
        <f>IF('CONTROLE GLOBO AÇOS'!I299="","",'CONTROLE GLOBO AÇOS'!I299)</f>
        <v/>
      </c>
      <c r="AS297" s="223">
        <f>IF('CONTROLE GLOBO AÇOS'!J299="","",'CONTROLE GLOBO AÇOS'!J299)</f>
        <v/>
      </c>
      <c r="AT297" s="223">
        <f>IF(#REF!="","",#REF!)</f>
        <v/>
      </c>
      <c r="AU297" s="223">
        <f>IF('CONTROLE GLOBO AÇOS'!K299="","",'CONTROLE GLOBO AÇOS'!K299)</f>
        <v/>
      </c>
      <c r="AV297" s="223">
        <f>IF(AND('CONTROLE EJ'!K299="",'CONTROLE CMM'!#REF!=""),"",N('CONTROLE EJ'!K299)+N('CONTROLE CMM'!#REF!))</f>
        <v/>
      </c>
      <c r="AW297" s="223">
        <f>IF('CONTROLE GLOBO AÇOS'!L299="","",'CONTROLE GLOBO AÇOS'!L299)</f>
        <v/>
      </c>
      <c r="AX297" s="223">
        <f>IF(AND('CONTROLE EJ'!L299="",'CONTROLE CMM'!#REF!=""),"",N('CONTROLE EJ'!L299)+N('CONTROLE CMM'!#REF!))</f>
        <v/>
      </c>
      <c r="AY297" s="223">
        <f>IF('CONTROLE GLOBO AÇOS'!M299="","",'CONTROLE GLOBO AÇOS'!M299)</f>
        <v/>
      </c>
      <c r="AZ297" s="223">
        <f>IF('CONTROLE GLOBO AÇOS'!N299="","",'CONTROLE GLOBO AÇOS'!N299)</f>
        <v/>
      </c>
      <c r="BA297" s="223">
        <f>IF(AND('CONTROLE EJ'!M299="",'CONTROLE CMM'!#REF!=""),"",N('CONTROLE EJ'!M299)+N('CONTROLE CMM'!#REF!))</f>
        <v/>
      </c>
      <c r="BB297" s="223">
        <f>IF(#REF!="","",#REF!)</f>
        <v/>
      </c>
      <c r="BC297" s="223">
        <f>IF('CONTROLE GLOBO AÇOS'!O299="","",'CONTROLE GLOBO AÇOS'!O299)</f>
        <v/>
      </c>
      <c r="BD297" s="223">
        <f>IF(AND('CONTROLE EJ'!N299="",'CONTROLE CMM'!#REF!=""),"",N('CONTROLE EJ'!N299)+N('CONTROLE CMM'!#REF!))</f>
        <v/>
      </c>
      <c r="BE297" s="223">
        <f>IF('CONTROLE GLOBO AÇOS'!P299="","",'CONTROLE GLOBO AÇOS'!P299)</f>
        <v/>
      </c>
      <c r="BF297" s="223">
        <f>IF('CONTROLE GLOBO AÇOS'!Q299="","",'CONTROLE GLOBO AÇOS'!Q299)</f>
        <v/>
      </c>
      <c r="BG297" s="223">
        <f>IF('CONTROLE GLOBO AÇOS'!R299="","",'CONTROLE GLOBO AÇOS'!R299)</f>
        <v/>
      </c>
      <c r="BH297" s="223">
        <f>IF(AND('CONTROLE EJ'!O299="",'CONTROLE CMM'!#REF!=""),"",N('CONTROLE EJ'!O299)+N('CONTROLE CMM'!#REF!))</f>
        <v/>
      </c>
      <c r="BI297" s="223">
        <f>IF('CONTROLE GLOBO AÇOS'!S299="","",'CONTROLE GLOBO AÇOS'!S299)</f>
        <v/>
      </c>
      <c r="BJ297" s="223">
        <f>IF('CONTROLE GLOBO AÇOS'!T299="","",'CONTROLE GLOBO AÇOS'!T299)</f>
        <v/>
      </c>
      <c r="BK297" s="223">
        <f>IF('CONTROLE GLOBO AÇOS'!U299="","",'CONTROLE GLOBO AÇOS'!U299)</f>
        <v/>
      </c>
      <c r="BL297" s="223">
        <f>IF(AND('CONTROLE EJ'!P299="",'CONTROLE CMM'!#REF!=""),"",N('CONTROLE EJ'!P299)+N('CONTROLE CMM'!#REF!))</f>
        <v/>
      </c>
      <c r="BM297" s="223">
        <f>IF(AND('CONTROLE EJ'!Q299="",'CONTROLE CMM'!#REF!=""),"",N('CONTROLE EJ'!Q299)+N('CONTROLE CMM'!#REF!))</f>
        <v/>
      </c>
      <c r="BN297" s="223">
        <f>IF('CONTROLE GLOBO AÇOS'!V299="","",'CONTROLE GLOBO AÇOS'!V299)</f>
        <v/>
      </c>
      <c r="BO297" s="223">
        <f>IF('CONTROLE GLOBO AÇOS'!W299="","",'CONTROLE GLOBO AÇOS'!W299)</f>
        <v/>
      </c>
      <c r="BP297" s="223">
        <f>IF(AND('CONTROLE EJ'!R299="",'CONTROLE CMM'!#REF!=""),"",N('CONTROLE EJ'!R299)+N('CONTROLE CMM'!#REF!))</f>
        <v/>
      </c>
      <c r="BQ297" s="223">
        <f>IF(#REF!="","",#REF!)</f>
        <v/>
      </c>
      <c r="BR297" s="223">
        <f>IF(AND('CONTROLE EJ'!S299="",'CONTROLE CMM'!#REF!=""),"",N('CONTROLE EJ'!S299)+N('CONTROLE CMM'!#REF!))</f>
        <v/>
      </c>
      <c r="BS297" s="223">
        <f>IF(AND('CONTROLE EJ'!T299="",'CONTROLE CMM'!#REF!=""),"",N('CONTROLE EJ'!T299)+N('CONTROLE CMM'!#REF!))</f>
        <v/>
      </c>
      <c r="BT297" s="223">
        <f>IF('CONTROLE GLOBO AÇOS'!X299="","",'CONTROLE GLOBO AÇOS'!X299)</f>
        <v/>
      </c>
      <c r="BU297" s="223">
        <f>IF('CONTROLE GLOBO AÇOS'!Y299="","",'CONTROLE GLOBO AÇOS'!Y299)</f>
        <v/>
      </c>
      <c r="BV297" s="223">
        <f>IF(AND('CONTROLE EJ'!U299="",'CONTROLE CMM'!#REF!=""),"",N('CONTROLE EJ'!U299)+N('CONTROLE CMM'!#REF!))</f>
        <v/>
      </c>
      <c r="BW297" s="223">
        <f>IF(#REF!="","",#REF!)</f>
        <v/>
      </c>
    </row>
    <row r="298">
      <c r="A298" s="282" t="n">
        <v>46515</v>
      </c>
      <c r="B298" s="18">
        <f>IF('CONTROLE EJ'!B300="","",'CONTROLE EJ'!B300)</f>
        <v/>
      </c>
      <c r="C298" s="18">
        <f>IF('CONTROLE EJ'!C300="","",'CONTROLE EJ'!C300)</f>
        <v/>
      </c>
      <c r="D298" s="42">
        <f>IF('CONTROLE EJ'!D300="","",'CONTROLE EJ'!D300)</f>
        <v/>
      </c>
      <c r="E298" s="43">
        <f>IF('CONTROLE CMM'!B300="","",'CONTROLE CMM'!B300)</f>
        <v/>
      </c>
      <c r="F298" s="18">
        <f>IF('CONTROLE CMM'!C300="","",'CONTROLE CMM'!C300)</f>
        <v/>
      </c>
      <c r="G298" s="26">
        <f>IF('CONTROLE CMM'!D300="","",'CONTROLE CMM'!D300)</f>
        <v/>
      </c>
      <c r="H298" s="18">
        <f>IF('CONTROLE GLOBO AÇOS'!B300="","",'CONTROLE GLOBO AÇOS'!B300)</f>
        <v/>
      </c>
      <c r="I298" s="18">
        <f>IF('CONTROLE GLOBO AÇOS'!C300="","",'CONTROLE GLOBO AÇOS'!C300)</f>
        <v/>
      </c>
      <c r="J298" s="18">
        <f>IF('CONTROLE GLOBO AÇOS'!D300="","",'CONTROLE GLOBO AÇOS'!D300)</f>
        <v/>
      </c>
      <c r="AD298" s="39">
        <f>IF($A298="",0,IF(AND(WEEKDAY($A298,2)&lt;=5,OR($B298&lt;&gt;"",$C298&lt;&gt;"",$D298&lt;&gt;"")),1,0))</f>
        <v/>
      </c>
      <c r="AE298" s="39">
        <f>IF($A298="",0,IF(AND(WEEKDAY($A298,2)&lt;=5,OR($E298&lt;&gt;"",$F298&lt;&gt;"",$G298&lt;&gt;"")),1,0))</f>
        <v/>
      </c>
      <c r="AF298" s="39">
        <f>MAX(AD298,AE298)</f>
        <v/>
      </c>
      <c r="AH298" s="223">
        <f>IF('CONTROLE GLOBO AÇOS'!E300="","",'CONTROLE GLOBO AÇOS'!E300)</f>
        <v/>
      </c>
      <c r="AI298" s="223">
        <f>IF('CONTROLE GLOBO AÇOS'!F300="","",'CONTROLE GLOBO AÇOS'!F300)</f>
        <v/>
      </c>
      <c r="AJ298" s="223">
        <f>IF(AND('CONTROLE EJ'!E300="",'CONTROLE CMM'!E300=""),"",N('CONTROLE EJ'!E300)+N('CONTROLE CMM'!E300))</f>
        <v/>
      </c>
      <c r="AK298" s="223">
        <f>IF(AND('CONTROLE EJ'!F300="",'CONTROLE CMM'!F300=""),"",N('CONTROLE EJ'!F300)+N('CONTROLE CMM'!F300))</f>
        <v/>
      </c>
      <c r="AL298" s="223">
        <f>IF(AND('CONTROLE EJ'!G300="",'CONTROLE CMM'!G300=""),"",N('CONTROLE EJ'!G300)+N('CONTROLE CMM'!G300))</f>
        <v/>
      </c>
      <c r="AM298" s="223">
        <f>IF(AND('CONTROLE EJ'!H300="",'CONTROLE CMM'!H300=""),"",N('CONTROLE EJ'!H300)+N('CONTROLE CMM'!H300))</f>
        <v/>
      </c>
      <c r="AN298" s="223">
        <f>IF('CONTROLE GLOBO AÇOS'!G300="","",'CONTROLE GLOBO AÇOS'!G300)</f>
        <v/>
      </c>
      <c r="AO298" s="223">
        <f>IF('CONTROLE GLOBO AÇOS'!H300="","",'CONTROLE GLOBO AÇOS'!H300)</f>
        <v/>
      </c>
      <c r="AP298" s="223">
        <f>IF(AND('CONTROLE EJ'!I300="",'CONTROLE CMM'!I300=""),"",N('CONTROLE EJ'!I300)+N('CONTROLE CMM'!I300))</f>
        <v/>
      </c>
      <c r="AQ298" s="223">
        <f>IF(AND('CONTROLE EJ'!J300="",'CONTROLE CMM'!#REF!=""),"",N('CONTROLE EJ'!J300)+N('CONTROLE CMM'!#REF!))</f>
        <v/>
      </c>
      <c r="AR298" s="223">
        <f>IF('CONTROLE GLOBO AÇOS'!I300="","",'CONTROLE GLOBO AÇOS'!I300)</f>
        <v/>
      </c>
      <c r="AS298" s="223">
        <f>IF('CONTROLE GLOBO AÇOS'!J300="","",'CONTROLE GLOBO AÇOS'!J300)</f>
        <v/>
      </c>
      <c r="AT298" s="223">
        <f>IF(#REF!="","",#REF!)</f>
        <v/>
      </c>
      <c r="AU298" s="223">
        <f>IF('CONTROLE GLOBO AÇOS'!K300="","",'CONTROLE GLOBO AÇOS'!K300)</f>
        <v/>
      </c>
      <c r="AV298" s="223">
        <f>IF(AND('CONTROLE EJ'!K300="",'CONTROLE CMM'!#REF!=""),"",N('CONTROLE EJ'!K300)+N('CONTROLE CMM'!#REF!))</f>
        <v/>
      </c>
      <c r="AW298" s="223">
        <f>IF('CONTROLE GLOBO AÇOS'!L300="","",'CONTROLE GLOBO AÇOS'!L300)</f>
        <v/>
      </c>
      <c r="AX298" s="223">
        <f>IF(AND('CONTROLE EJ'!L300="",'CONTROLE CMM'!#REF!=""),"",N('CONTROLE EJ'!L300)+N('CONTROLE CMM'!#REF!))</f>
        <v/>
      </c>
      <c r="AY298" s="223">
        <f>IF('CONTROLE GLOBO AÇOS'!M300="","",'CONTROLE GLOBO AÇOS'!M300)</f>
        <v/>
      </c>
      <c r="AZ298" s="223">
        <f>IF('CONTROLE GLOBO AÇOS'!N300="","",'CONTROLE GLOBO AÇOS'!N300)</f>
        <v/>
      </c>
      <c r="BA298" s="223">
        <f>IF(AND('CONTROLE EJ'!M300="",'CONTROLE CMM'!#REF!=""),"",N('CONTROLE EJ'!M300)+N('CONTROLE CMM'!#REF!))</f>
        <v/>
      </c>
      <c r="BB298" s="223">
        <f>IF(#REF!="","",#REF!)</f>
        <v/>
      </c>
      <c r="BC298" s="223">
        <f>IF('CONTROLE GLOBO AÇOS'!O300="","",'CONTROLE GLOBO AÇOS'!O300)</f>
        <v/>
      </c>
      <c r="BD298" s="223">
        <f>IF(AND('CONTROLE EJ'!N300="",'CONTROLE CMM'!#REF!=""),"",N('CONTROLE EJ'!N300)+N('CONTROLE CMM'!#REF!))</f>
        <v/>
      </c>
      <c r="BE298" s="223">
        <f>IF('CONTROLE GLOBO AÇOS'!P300="","",'CONTROLE GLOBO AÇOS'!P300)</f>
        <v/>
      </c>
      <c r="BF298" s="223">
        <f>IF('CONTROLE GLOBO AÇOS'!Q300="","",'CONTROLE GLOBO AÇOS'!Q300)</f>
        <v/>
      </c>
      <c r="BG298" s="223">
        <f>IF('CONTROLE GLOBO AÇOS'!R300="","",'CONTROLE GLOBO AÇOS'!R300)</f>
        <v/>
      </c>
      <c r="BH298" s="223">
        <f>IF(AND('CONTROLE EJ'!O300="",'CONTROLE CMM'!#REF!=""),"",N('CONTROLE EJ'!O300)+N('CONTROLE CMM'!#REF!))</f>
        <v/>
      </c>
      <c r="BI298" s="223">
        <f>IF('CONTROLE GLOBO AÇOS'!S300="","",'CONTROLE GLOBO AÇOS'!S300)</f>
        <v/>
      </c>
      <c r="BJ298" s="223">
        <f>IF('CONTROLE GLOBO AÇOS'!T300="","",'CONTROLE GLOBO AÇOS'!T300)</f>
        <v/>
      </c>
      <c r="BK298" s="223">
        <f>IF('CONTROLE GLOBO AÇOS'!U300="","",'CONTROLE GLOBO AÇOS'!U300)</f>
        <v/>
      </c>
      <c r="BL298" s="223">
        <f>IF(AND('CONTROLE EJ'!P300="",'CONTROLE CMM'!#REF!=""),"",N('CONTROLE EJ'!P300)+N('CONTROLE CMM'!#REF!))</f>
        <v/>
      </c>
      <c r="BM298" s="223">
        <f>IF(AND('CONTROLE EJ'!Q300="",'CONTROLE CMM'!#REF!=""),"",N('CONTROLE EJ'!Q300)+N('CONTROLE CMM'!#REF!))</f>
        <v/>
      </c>
      <c r="BN298" s="223">
        <f>IF('CONTROLE GLOBO AÇOS'!V300="","",'CONTROLE GLOBO AÇOS'!V300)</f>
        <v/>
      </c>
      <c r="BO298" s="223">
        <f>IF('CONTROLE GLOBO AÇOS'!W300="","",'CONTROLE GLOBO AÇOS'!W300)</f>
        <v/>
      </c>
      <c r="BP298" s="223">
        <f>IF(AND('CONTROLE EJ'!R300="",'CONTROLE CMM'!#REF!=""),"",N('CONTROLE EJ'!R300)+N('CONTROLE CMM'!#REF!))</f>
        <v/>
      </c>
      <c r="BQ298" s="223">
        <f>IF(#REF!="","",#REF!)</f>
        <v/>
      </c>
      <c r="BR298" s="223">
        <f>IF(AND('CONTROLE EJ'!S300="",'CONTROLE CMM'!#REF!=""),"",N('CONTROLE EJ'!S300)+N('CONTROLE CMM'!#REF!))</f>
        <v/>
      </c>
      <c r="BS298" s="223">
        <f>IF(AND('CONTROLE EJ'!T300="",'CONTROLE CMM'!#REF!=""),"",N('CONTROLE EJ'!T300)+N('CONTROLE CMM'!#REF!))</f>
        <v/>
      </c>
      <c r="BT298" s="223">
        <f>IF('CONTROLE GLOBO AÇOS'!X300="","",'CONTROLE GLOBO AÇOS'!X300)</f>
        <v/>
      </c>
      <c r="BU298" s="223">
        <f>IF('CONTROLE GLOBO AÇOS'!Y300="","",'CONTROLE GLOBO AÇOS'!Y300)</f>
        <v/>
      </c>
      <c r="BV298" s="223">
        <f>IF(AND('CONTROLE EJ'!U300="",'CONTROLE CMM'!#REF!=""),"",N('CONTROLE EJ'!U300)+N('CONTROLE CMM'!#REF!))</f>
        <v/>
      </c>
      <c r="BW298" s="223">
        <f>IF(#REF!="","",#REF!)</f>
        <v/>
      </c>
    </row>
    <row r="299">
      <c r="A299" s="282" t="n">
        <v>46516</v>
      </c>
      <c r="B299" s="18">
        <f>IF('CONTROLE EJ'!B301="","",'CONTROLE EJ'!B301)</f>
        <v/>
      </c>
      <c r="C299" s="18">
        <f>IF('CONTROLE EJ'!C301="","",'CONTROLE EJ'!C301)</f>
        <v/>
      </c>
      <c r="D299" s="42">
        <f>IF('CONTROLE EJ'!D301="","",'CONTROLE EJ'!D301)</f>
        <v/>
      </c>
      <c r="E299" s="43">
        <f>IF('CONTROLE CMM'!B301="","",'CONTROLE CMM'!B301)</f>
        <v/>
      </c>
      <c r="F299" s="18">
        <f>IF('CONTROLE CMM'!C301="","",'CONTROLE CMM'!C301)</f>
        <v/>
      </c>
      <c r="G299" s="26">
        <f>IF('CONTROLE CMM'!D301="","",'CONTROLE CMM'!D301)</f>
        <v/>
      </c>
      <c r="H299" s="18">
        <f>IF('CONTROLE GLOBO AÇOS'!B301="","",'CONTROLE GLOBO AÇOS'!B301)</f>
        <v/>
      </c>
      <c r="I299" s="18">
        <f>IF('CONTROLE GLOBO AÇOS'!C301="","",'CONTROLE GLOBO AÇOS'!C301)</f>
        <v/>
      </c>
      <c r="J299" s="18">
        <f>IF('CONTROLE GLOBO AÇOS'!D301="","",'CONTROLE GLOBO AÇOS'!D301)</f>
        <v/>
      </c>
      <c r="AD299" s="39">
        <f>IF($A299="",0,IF(AND(WEEKDAY($A299,2)&lt;=5,OR($B299&lt;&gt;"",$C299&lt;&gt;"",$D299&lt;&gt;"")),1,0))</f>
        <v/>
      </c>
      <c r="AE299" s="39">
        <f>IF($A299="",0,IF(AND(WEEKDAY($A299,2)&lt;=5,OR($E299&lt;&gt;"",$F299&lt;&gt;"",$G299&lt;&gt;"")),1,0))</f>
        <v/>
      </c>
      <c r="AF299" s="39">
        <f>MAX(AD299,AE299)</f>
        <v/>
      </c>
      <c r="AH299" s="223">
        <f>IF('CONTROLE GLOBO AÇOS'!E301="","",'CONTROLE GLOBO AÇOS'!E301)</f>
        <v/>
      </c>
      <c r="AI299" s="223">
        <f>IF('CONTROLE GLOBO AÇOS'!F301="","",'CONTROLE GLOBO AÇOS'!F301)</f>
        <v/>
      </c>
      <c r="AJ299" s="223">
        <f>IF(AND('CONTROLE EJ'!E301="",'CONTROLE CMM'!E301=""),"",N('CONTROLE EJ'!E301)+N('CONTROLE CMM'!E301))</f>
        <v/>
      </c>
      <c r="AK299" s="223">
        <f>IF(AND('CONTROLE EJ'!F301="",'CONTROLE CMM'!F301=""),"",N('CONTROLE EJ'!F301)+N('CONTROLE CMM'!F301))</f>
        <v/>
      </c>
      <c r="AL299" s="223">
        <f>IF(AND('CONTROLE EJ'!G301="",'CONTROLE CMM'!G301=""),"",N('CONTROLE EJ'!G301)+N('CONTROLE CMM'!G301))</f>
        <v/>
      </c>
      <c r="AM299" s="223">
        <f>IF(AND('CONTROLE EJ'!H301="",'CONTROLE CMM'!H301=""),"",N('CONTROLE EJ'!H301)+N('CONTROLE CMM'!H301))</f>
        <v/>
      </c>
      <c r="AN299" s="223">
        <f>IF('CONTROLE GLOBO AÇOS'!G301="","",'CONTROLE GLOBO AÇOS'!G301)</f>
        <v/>
      </c>
      <c r="AO299" s="223">
        <f>IF('CONTROLE GLOBO AÇOS'!H301="","",'CONTROLE GLOBO AÇOS'!H301)</f>
        <v/>
      </c>
      <c r="AP299" s="223">
        <f>IF(AND('CONTROLE EJ'!I301="",'CONTROLE CMM'!I301=""),"",N('CONTROLE EJ'!I301)+N('CONTROLE CMM'!I301))</f>
        <v/>
      </c>
      <c r="AQ299" s="223">
        <f>IF(AND('CONTROLE EJ'!J301="",'CONTROLE CMM'!#REF!=""),"",N('CONTROLE EJ'!J301)+N('CONTROLE CMM'!#REF!))</f>
        <v/>
      </c>
      <c r="AR299" s="223">
        <f>IF('CONTROLE GLOBO AÇOS'!I301="","",'CONTROLE GLOBO AÇOS'!I301)</f>
        <v/>
      </c>
      <c r="AS299" s="223">
        <f>IF('CONTROLE GLOBO AÇOS'!J301="","",'CONTROLE GLOBO AÇOS'!J301)</f>
        <v/>
      </c>
      <c r="AT299" s="223">
        <f>IF(#REF!="","",#REF!)</f>
        <v/>
      </c>
      <c r="AU299" s="223">
        <f>IF('CONTROLE GLOBO AÇOS'!K301="","",'CONTROLE GLOBO AÇOS'!K301)</f>
        <v/>
      </c>
      <c r="AV299" s="223">
        <f>IF(AND('CONTROLE EJ'!K301="",'CONTROLE CMM'!#REF!=""),"",N('CONTROLE EJ'!K301)+N('CONTROLE CMM'!#REF!))</f>
        <v/>
      </c>
      <c r="AW299" s="223">
        <f>IF('CONTROLE GLOBO AÇOS'!L301="","",'CONTROLE GLOBO AÇOS'!L301)</f>
        <v/>
      </c>
      <c r="AX299" s="223">
        <f>IF(AND('CONTROLE EJ'!L301="",'CONTROLE CMM'!#REF!=""),"",N('CONTROLE EJ'!L301)+N('CONTROLE CMM'!#REF!))</f>
        <v/>
      </c>
      <c r="AY299" s="223">
        <f>IF('CONTROLE GLOBO AÇOS'!M301="","",'CONTROLE GLOBO AÇOS'!M301)</f>
        <v/>
      </c>
      <c r="AZ299" s="223">
        <f>IF('CONTROLE GLOBO AÇOS'!N301="","",'CONTROLE GLOBO AÇOS'!N301)</f>
        <v/>
      </c>
      <c r="BA299" s="223">
        <f>IF(AND('CONTROLE EJ'!M301="",'CONTROLE CMM'!#REF!=""),"",N('CONTROLE EJ'!M301)+N('CONTROLE CMM'!#REF!))</f>
        <v/>
      </c>
      <c r="BB299" s="223">
        <f>IF(#REF!="","",#REF!)</f>
        <v/>
      </c>
      <c r="BC299" s="223">
        <f>IF('CONTROLE GLOBO AÇOS'!O301="","",'CONTROLE GLOBO AÇOS'!O301)</f>
        <v/>
      </c>
      <c r="BD299" s="223">
        <f>IF(AND('CONTROLE EJ'!N301="",'CONTROLE CMM'!#REF!=""),"",N('CONTROLE EJ'!N301)+N('CONTROLE CMM'!#REF!))</f>
        <v/>
      </c>
      <c r="BE299" s="223">
        <f>IF('CONTROLE GLOBO AÇOS'!P301="","",'CONTROLE GLOBO AÇOS'!P301)</f>
        <v/>
      </c>
      <c r="BF299" s="223">
        <f>IF('CONTROLE GLOBO AÇOS'!Q301="","",'CONTROLE GLOBO AÇOS'!Q301)</f>
        <v/>
      </c>
      <c r="BG299" s="223">
        <f>IF('CONTROLE GLOBO AÇOS'!R301="","",'CONTROLE GLOBO AÇOS'!R301)</f>
        <v/>
      </c>
      <c r="BH299" s="223">
        <f>IF(AND('CONTROLE EJ'!O301="",'CONTROLE CMM'!#REF!=""),"",N('CONTROLE EJ'!O301)+N('CONTROLE CMM'!#REF!))</f>
        <v/>
      </c>
      <c r="BI299" s="223">
        <f>IF('CONTROLE GLOBO AÇOS'!S301="","",'CONTROLE GLOBO AÇOS'!S301)</f>
        <v/>
      </c>
      <c r="BJ299" s="223">
        <f>IF('CONTROLE GLOBO AÇOS'!T301="","",'CONTROLE GLOBO AÇOS'!T301)</f>
        <v/>
      </c>
      <c r="BK299" s="223">
        <f>IF('CONTROLE GLOBO AÇOS'!U301="","",'CONTROLE GLOBO AÇOS'!U301)</f>
        <v/>
      </c>
      <c r="BL299" s="223">
        <f>IF(AND('CONTROLE EJ'!P301="",'CONTROLE CMM'!#REF!=""),"",N('CONTROLE EJ'!P301)+N('CONTROLE CMM'!#REF!))</f>
        <v/>
      </c>
      <c r="BM299" s="223">
        <f>IF(AND('CONTROLE EJ'!Q301="",'CONTROLE CMM'!#REF!=""),"",N('CONTROLE EJ'!Q301)+N('CONTROLE CMM'!#REF!))</f>
        <v/>
      </c>
      <c r="BN299" s="223">
        <f>IF('CONTROLE GLOBO AÇOS'!V301="","",'CONTROLE GLOBO AÇOS'!V301)</f>
        <v/>
      </c>
      <c r="BO299" s="223">
        <f>IF('CONTROLE GLOBO AÇOS'!W301="","",'CONTROLE GLOBO AÇOS'!W301)</f>
        <v/>
      </c>
      <c r="BP299" s="223">
        <f>IF(AND('CONTROLE EJ'!R301="",'CONTROLE CMM'!#REF!=""),"",N('CONTROLE EJ'!R301)+N('CONTROLE CMM'!#REF!))</f>
        <v/>
      </c>
      <c r="BQ299" s="223">
        <f>IF(#REF!="","",#REF!)</f>
        <v/>
      </c>
      <c r="BR299" s="223">
        <f>IF(AND('CONTROLE EJ'!S301="",'CONTROLE CMM'!#REF!=""),"",N('CONTROLE EJ'!S301)+N('CONTROLE CMM'!#REF!))</f>
        <v/>
      </c>
      <c r="BS299" s="223">
        <f>IF(AND('CONTROLE EJ'!T301="",'CONTROLE CMM'!#REF!=""),"",N('CONTROLE EJ'!T301)+N('CONTROLE CMM'!#REF!))</f>
        <v/>
      </c>
      <c r="BT299" s="223">
        <f>IF('CONTROLE GLOBO AÇOS'!X301="","",'CONTROLE GLOBO AÇOS'!X301)</f>
        <v/>
      </c>
      <c r="BU299" s="223">
        <f>IF('CONTROLE GLOBO AÇOS'!Y301="","",'CONTROLE GLOBO AÇOS'!Y301)</f>
        <v/>
      </c>
      <c r="BV299" s="223">
        <f>IF(AND('CONTROLE EJ'!U301="",'CONTROLE CMM'!#REF!=""),"",N('CONTROLE EJ'!U301)+N('CONTROLE CMM'!#REF!))</f>
        <v/>
      </c>
      <c r="BW299" s="223">
        <f>IF(#REF!="","",#REF!)</f>
        <v/>
      </c>
    </row>
    <row r="300">
      <c r="A300" s="282" t="n">
        <v>46517</v>
      </c>
      <c r="B300" s="18">
        <f>IF('CONTROLE EJ'!B302="","",'CONTROLE EJ'!B302)</f>
        <v/>
      </c>
      <c r="C300" s="18">
        <f>IF('CONTROLE EJ'!C302="","",'CONTROLE EJ'!C302)</f>
        <v/>
      </c>
      <c r="D300" s="42">
        <f>IF('CONTROLE EJ'!D302="","",'CONTROLE EJ'!D302)</f>
        <v/>
      </c>
      <c r="E300" s="43">
        <f>IF('CONTROLE CMM'!B302="","",'CONTROLE CMM'!B302)</f>
        <v/>
      </c>
      <c r="F300" s="18">
        <f>IF('CONTROLE CMM'!C302="","",'CONTROLE CMM'!C302)</f>
        <v/>
      </c>
      <c r="G300" s="26">
        <f>IF('CONTROLE CMM'!D302="","",'CONTROLE CMM'!D302)</f>
        <v/>
      </c>
      <c r="H300" s="18">
        <f>IF('CONTROLE GLOBO AÇOS'!B302="","",'CONTROLE GLOBO AÇOS'!B302)</f>
        <v/>
      </c>
      <c r="I300" s="18">
        <f>IF('CONTROLE GLOBO AÇOS'!C302="","",'CONTROLE GLOBO AÇOS'!C302)</f>
        <v/>
      </c>
      <c r="J300" s="18">
        <f>IF('CONTROLE GLOBO AÇOS'!D302="","",'CONTROLE GLOBO AÇOS'!D302)</f>
        <v/>
      </c>
      <c r="AD300" s="39">
        <f>IF($A300="",0,IF(AND(WEEKDAY($A300,2)&lt;=5,OR($B300&lt;&gt;"",$C300&lt;&gt;"",$D300&lt;&gt;"")),1,0))</f>
        <v/>
      </c>
      <c r="AE300" s="39">
        <f>IF($A300="",0,IF(AND(WEEKDAY($A300,2)&lt;=5,OR($E300&lt;&gt;"",$F300&lt;&gt;"",$G300&lt;&gt;"")),1,0))</f>
        <v/>
      </c>
      <c r="AF300" s="39">
        <f>MAX(AD300,AE300)</f>
        <v/>
      </c>
      <c r="AH300" s="223">
        <f>IF('CONTROLE GLOBO AÇOS'!E302="","",'CONTROLE GLOBO AÇOS'!E302)</f>
        <v/>
      </c>
      <c r="AI300" s="223">
        <f>IF('CONTROLE GLOBO AÇOS'!F302="","",'CONTROLE GLOBO AÇOS'!F302)</f>
        <v/>
      </c>
      <c r="AJ300" s="223">
        <f>IF(AND('CONTROLE EJ'!E302="",'CONTROLE CMM'!E302=""),"",N('CONTROLE EJ'!E302)+N('CONTROLE CMM'!E302))</f>
        <v/>
      </c>
      <c r="AK300" s="223">
        <f>IF(AND('CONTROLE EJ'!F302="",'CONTROLE CMM'!F302=""),"",N('CONTROLE EJ'!F302)+N('CONTROLE CMM'!F302))</f>
        <v/>
      </c>
      <c r="AL300" s="223">
        <f>IF(AND('CONTROLE EJ'!G302="",'CONTROLE CMM'!G302=""),"",N('CONTROLE EJ'!G302)+N('CONTROLE CMM'!G302))</f>
        <v/>
      </c>
      <c r="AM300" s="223">
        <f>IF(AND('CONTROLE EJ'!H302="",'CONTROLE CMM'!H302=""),"",N('CONTROLE EJ'!H302)+N('CONTROLE CMM'!H302))</f>
        <v/>
      </c>
      <c r="AN300" s="223">
        <f>IF('CONTROLE GLOBO AÇOS'!G302="","",'CONTROLE GLOBO AÇOS'!G302)</f>
        <v/>
      </c>
      <c r="AO300" s="223">
        <f>IF('CONTROLE GLOBO AÇOS'!H302="","",'CONTROLE GLOBO AÇOS'!H302)</f>
        <v/>
      </c>
      <c r="AP300" s="223">
        <f>IF(AND('CONTROLE EJ'!I302="",'CONTROLE CMM'!I302=""),"",N('CONTROLE EJ'!I302)+N('CONTROLE CMM'!I302))</f>
        <v/>
      </c>
      <c r="AQ300" s="223">
        <f>IF(AND('CONTROLE EJ'!J302="",'CONTROLE CMM'!#REF!=""),"",N('CONTROLE EJ'!J302)+N('CONTROLE CMM'!#REF!))</f>
        <v/>
      </c>
      <c r="AR300" s="223">
        <f>IF('CONTROLE GLOBO AÇOS'!I302="","",'CONTROLE GLOBO AÇOS'!I302)</f>
        <v/>
      </c>
      <c r="AS300" s="223">
        <f>IF('CONTROLE GLOBO AÇOS'!J302="","",'CONTROLE GLOBO AÇOS'!J302)</f>
        <v/>
      </c>
      <c r="AT300" s="223">
        <f>IF(#REF!="","",#REF!)</f>
        <v/>
      </c>
      <c r="AU300" s="223">
        <f>IF('CONTROLE GLOBO AÇOS'!K302="","",'CONTROLE GLOBO AÇOS'!K302)</f>
        <v/>
      </c>
      <c r="AV300" s="223">
        <f>IF(AND('CONTROLE EJ'!K302="",'CONTROLE CMM'!#REF!=""),"",N('CONTROLE EJ'!K302)+N('CONTROLE CMM'!#REF!))</f>
        <v/>
      </c>
      <c r="AW300" s="223">
        <f>IF('CONTROLE GLOBO AÇOS'!L302="","",'CONTROLE GLOBO AÇOS'!L302)</f>
        <v/>
      </c>
      <c r="AX300" s="223">
        <f>IF(AND('CONTROLE EJ'!L302="",'CONTROLE CMM'!#REF!=""),"",N('CONTROLE EJ'!L302)+N('CONTROLE CMM'!#REF!))</f>
        <v/>
      </c>
      <c r="AY300" s="223">
        <f>IF('CONTROLE GLOBO AÇOS'!M302="","",'CONTROLE GLOBO AÇOS'!M302)</f>
        <v/>
      </c>
      <c r="AZ300" s="223">
        <f>IF('CONTROLE GLOBO AÇOS'!N302="","",'CONTROLE GLOBO AÇOS'!N302)</f>
        <v/>
      </c>
      <c r="BA300" s="223">
        <f>IF(AND('CONTROLE EJ'!M302="",'CONTROLE CMM'!#REF!=""),"",N('CONTROLE EJ'!M302)+N('CONTROLE CMM'!#REF!))</f>
        <v/>
      </c>
      <c r="BB300" s="223">
        <f>IF(#REF!="","",#REF!)</f>
        <v/>
      </c>
      <c r="BC300" s="223">
        <f>IF('CONTROLE GLOBO AÇOS'!O302="","",'CONTROLE GLOBO AÇOS'!O302)</f>
        <v/>
      </c>
      <c r="BD300" s="223">
        <f>IF(AND('CONTROLE EJ'!N302="",'CONTROLE CMM'!#REF!=""),"",N('CONTROLE EJ'!N302)+N('CONTROLE CMM'!#REF!))</f>
        <v/>
      </c>
      <c r="BE300" s="223">
        <f>IF('CONTROLE GLOBO AÇOS'!P302="","",'CONTROLE GLOBO AÇOS'!P302)</f>
        <v/>
      </c>
      <c r="BF300" s="223">
        <f>IF('CONTROLE GLOBO AÇOS'!Q302="","",'CONTROLE GLOBO AÇOS'!Q302)</f>
        <v/>
      </c>
      <c r="BG300" s="223">
        <f>IF('CONTROLE GLOBO AÇOS'!R302="","",'CONTROLE GLOBO AÇOS'!R302)</f>
        <v/>
      </c>
      <c r="BH300" s="223">
        <f>IF(AND('CONTROLE EJ'!O302="",'CONTROLE CMM'!#REF!=""),"",N('CONTROLE EJ'!O302)+N('CONTROLE CMM'!#REF!))</f>
        <v/>
      </c>
      <c r="BI300" s="223">
        <f>IF('CONTROLE GLOBO AÇOS'!S302="","",'CONTROLE GLOBO AÇOS'!S302)</f>
        <v/>
      </c>
      <c r="BJ300" s="223">
        <f>IF('CONTROLE GLOBO AÇOS'!T302="","",'CONTROLE GLOBO AÇOS'!T302)</f>
        <v/>
      </c>
      <c r="BK300" s="223">
        <f>IF('CONTROLE GLOBO AÇOS'!U302="","",'CONTROLE GLOBO AÇOS'!U302)</f>
        <v/>
      </c>
      <c r="BL300" s="223">
        <f>IF(AND('CONTROLE EJ'!P302="",'CONTROLE CMM'!#REF!=""),"",N('CONTROLE EJ'!P302)+N('CONTROLE CMM'!#REF!))</f>
        <v/>
      </c>
      <c r="BM300" s="223">
        <f>IF(AND('CONTROLE EJ'!Q302="",'CONTROLE CMM'!#REF!=""),"",N('CONTROLE EJ'!Q302)+N('CONTROLE CMM'!#REF!))</f>
        <v/>
      </c>
      <c r="BN300" s="223">
        <f>IF('CONTROLE GLOBO AÇOS'!V302="","",'CONTROLE GLOBO AÇOS'!V302)</f>
        <v/>
      </c>
      <c r="BO300" s="223">
        <f>IF('CONTROLE GLOBO AÇOS'!W302="","",'CONTROLE GLOBO AÇOS'!W302)</f>
        <v/>
      </c>
      <c r="BP300" s="223">
        <f>IF(AND('CONTROLE EJ'!R302="",'CONTROLE CMM'!#REF!=""),"",N('CONTROLE EJ'!R302)+N('CONTROLE CMM'!#REF!))</f>
        <v/>
      </c>
      <c r="BQ300" s="223">
        <f>IF(#REF!="","",#REF!)</f>
        <v/>
      </c>
      <c r="BR300" s="223">
        <f>IF(AND('CONTROLE EJ'!S302="",'CONTROLE CMM'!#REF!=""),"",N('CONTROLE EJ'!S302)+N('CONTROLE CMM'!#REF!))</f>
        <v/>
      </c>
      <c r="BS300" s="223">
        <f>IF(AND('CONTROLE EJ'!T302="",'CONTROLE CMM'!#REF!=""),"",N('CONTROLE EJ'!T302)+N('CONTROLE CMM'!#REF!))</f>
        <v/>
      </c>
      <c r="BT300" s="223">
        <f>IF('CONTROLE GLOBO AÇOS'!X302="","",'CONTROLE GLOBO AÇOS'!X302)</f>
        <v/>
      </c>
      <c r="BU300" s="223">
        <f>IF('CONTROLE GLOBO AÇOS'!Y302="","",'CONTROLE GLOBO AÇOS'!Y302)</f>
        <v/>
      </c>
      <c r="BV300" s="223">
        <f>IF(AND('CONTROLE EJ'!U302="",'CONTROLE CMM'!#REF!=""),"",N('CONTROLE EJ'!U302)+N('CONTROLE CMM'!#REF!))</f>
        <v/>
      </c>
      <c r="BW300" s="223">
        <f>IF(#REF!="","",#REF!)</f>
        <v/>
      </c>
    </row>
    <row r="301">
      <c r="A301" s="282" t="n">
        <v>46518</v>
      </c>
      <c r="B301" s="18">
        <f>IF('CONTROLE EJ'!B303="","",'CONTROLE EJ'!B303)</f>
        <v/>
      </c>
      <c r="C301" s="18">
        <f>IF('CONTROLE EJ'!C303="","",'CONTROLE EJ'!C303)</f>
        <v/>
      </c>
      <c r="D301" s="42">
        <f>IF('CONTROLE EJ'!D303="","",'CONTROLE EJ'!D303)</f>
        <v/>
      </c>
      <c r="E301" s="43">
        <f>IF('CONTROLE CMM'!B303="","",'CONTROLE CMM'!B303)</f>
        <v/>
      </c>
      <c r="F301" s="18">
        <f>IF('CONTROLE CMM'!C303="","",'CONTROLE CMM'!C303)</f>
        <v/>
      </c>
      <c r="G301" s="26">
        <f>IF('CONTROLE CMM'!D303="","",'CONTROLE CMM'!D303)</f>
        <v/>
      </c>
      <c r="H301" s="18">
        <f>IF('CONTROLE GLOBO AÇOS'!B303="","",'CONTROLE GLOBO AÇOS'!B303)</f>
        <v/>
      </c>
      <c r="I301" s="18">
        <f>IF('CONTROLE GLOBO AÇOS'!C303="","",'CONTROLE GLOBO AÇOS'!C303)</f>
        <v/>
      </c>
      <c r="J301" s="18">
        <f>IF('CONTROLE GLOBO AÇOS'!D303="","",'CONTROLE GLOBO AÇOS'!D303)</f>
        <v/>
      </c>
      <c r="AD301" s="39">
        <f>IF($A301="",0,IF(AND(WEEKDAY($A301,2)&lt;=5,OR($B301&lt;&gt;"",$C301&lt;&gt;"",$D301&lt;&gt;"")),1,0))</f>
        <v/>
      </c>
      <c r="AE301" s="39">
        <f>IF($A301="",0,IF(AND(WEEKDAY($A301,2)&lt;=5,OR($E301&lt;&gt;"",$F301&lt;&gt;"",$G301&lt;&gt;"")),1,0))</f>
        <v/>
      </c>
      <c r="AF301" s="39">
        <f>MAX(AD301,AE301)</f>
        <v/>
      </c>
      <c r="AH301" s="223">
        <f>IF('CONTROLE GLOBO AÇOS'!E303="","",'CONTROLE GLOBO AÇOS'!E303)</f>
        <v/>
      </c>
      <c r="AI301" s="223">
        <f>IF('CONTROLE GLOBO AÇOS'!F303="","",'CONTROLE GLOBO AÇOS'!F303)</f>
        <v/>
      </c>
      <c r="AJ301" s="223">
        <f>IF(AND('CONTROLE EJ'!E303="",'CONTROLE CMM'!E303=""),"",N('CONTROLE EJ'!E303)+N('CONTROLE CMM'!E303))</f>
        <v/>
      </c>
      <c r="AK301" s="223">
        <f>IF(AND('CONTROLE EJ'!F303="",'CONTROLE CMM'!F303=""),"",N('CONTROLE EJ'!F303)+N('CONTROLE CMM'!F303))</f>
        <v/>
      </c>
      <c r="AL301" s="223">
        <f>IF(AND('CONTROLE EJ'!G303="",'CONTROLE CMM'!G303=""),"",N('CONTROLE EJ'!G303)+N('CONTROLE CMM'!G303))</f>
        <v/>
      </c>
      <c r="AM301" s="223">
        <f>IF(AND('CONTROLE EJ'!H303="",'CONTROLE CMM'!H303=""),"",N('CONTROLE EJ'!H303)+N('CONTROLE CMM'!H303))</f>
        <v/>
      </c>
      <c r="AN301" s="223">
        <f>IF('CONTROLE GLOBO AÇOS'!G303="","",'CONTROLE GLOBO AÇOS'!G303)</f>
        <v/>
      </c>
      <c r="AO301" s="223">
        <f>IF('CONTROLE GLOBO AÇOS'!H303="","",'CONTROLE GLOBO AÇOS'!H303)</f>
        <v/>
      </c>
      <c r="AP301" s="223">
        <f>IF(AND('CONTROLE EJ'!I303="",'CONTROLE CMM'!I303=""),"",N('CONTROLE EJ'!I303)+N('CONTROLE CMM'!I303))</f>
        <v/>
      </c>
      <c r="AQ301" s="223">
        <f>IF(AND('CONTROLE EJ'!J303="",'CONTROLE CMM'!#REF!=""),"",N('CONTROLE EJ'!J303)+N('CONTROLE CMM'!#REF!))</f>
        <v/>
      </c>
      <c r="AR301" s="223">
        <f>IF('CONTROLE GLOBO AÇOS'!I303="","",'CONTROLE GLOBO AÇOS'!I303)</f>
        <v/>
      </c>
      <c r="AS301" s="223">
        <f>IF('CONTROLE GLOBO AÇOS'!J303="","",'CONTROLE GLOBO AÇOS'!J303)</f>
        <v/>
      </c>
      <c r="AT301" s="223">
        <f>IF(#REF!="","",#REF!)</f>
        <v/>
      </c>
      <c r="AU301" s="223">
        <f>IF('CONTROLE GLOBO AÇOS'!K303="","",'CONTROLE GLOBO AÇOS'!K303)</f>
        <v/>
      </c>
      <c r="AV301" s="223">
        <f>IF(AND('CONTROLE EJ'!K303="",'CONTROLE CMM'!#REF!=""),"",N('CONTROLE EJ'!K303)+N('CONTROLE CMM'!#REF!))</f>
        <v/>
      </c>
      <c r="AW301" s="223">
        <f>IF('CONTROLE GLOBO AÇOS'!L303="","",'CONTROLE GLOBO AÇOS'!L303)</f>
        <v/>
      </c>
      <c r="AX301" s="223">
        <f>IF(AND('CONTROLE EJ'!L303="",'CONTROLE CMM'!#REF!=""),"",N('CONTROLE EJ'!L303)+N('CONTROLE CMM'!#REF!))</f>
        <v/>
      </c>
      <c r="AY301" s="223">
        <f>IF('CONTROLE GLOBO AÇOS'!M303="","",'CONTROLE GLOBO AÇOS'!M303)</f>
        <v/>
      </c>
      <c r="AZ301" s="223">
        <f>IF('CONTROLE GLOBO AÇOS'!N303="","",'CONTROLE GLOBO AÇOS'!N303)</f>
        <v/>
      </c>
      <c r="BA301" s="223">
        <f>IF(AND('CONTROLE EJ'!M303="",'CONTROLE CMM'!#REF!=""),"",N('CONTROLE EJ'!M303)+N('CONTROLE CMM'!#REF!))</f>
        <v/>
      </c>
      <c r="BB301" s="223">
        <f>IF(#REF!="","",#REF!)</f>
        <v/>
      </c>
      <c r="BC301" s="223">
        <f>IF('CONTROLE GLOBO AÇOS'!O303="","",'CONTROLE GLOBO AÇOS'!O303)</f>
        <v/>
      </c>
      <c r="BD301" s="223">
        <f>IF(AND('CONTROLE EJ'!N303="",'CONTROLE CMM'!#REF!=""),"",N('CONTROLE EJ'!N303)+N('CONTROLE CMM'!#REF!))</f>
        <v/>
      </c>
      <c r="BE301" s="223">
        <f>IF('CONTROLE GLOBO AÇOS'!P303="","",'CONTROLE GLOBO AÇOS'!P303)</f>
        <v/>
      </c>
      <c r="BF301" s="223">
        <f>IF('CONTROLE GLOBO AÇOS'!Q303="","",'CONTROLE GLOBO AÇOS'!Q303)</f>
        <v/>
      </c>
      <c r="BG301" s="223">
        <f>IF('CONTROLE GLOBO AÇOS'!R303="","",'CONTROLE GLOBO AÇOS'!R303)</f>
        <v/>
      </c>
      <c r="BH301" s="223">
        <f>IF(AND('CONTROLE EJ'!O303="",'CONTROLE CMM'!#REF!=""),"",N('CONTROLE EJ'!O303)+N('CONTROLE CMM'!#REF!))</f>
        <v/>
      </c>
      <c r="BI301" s="223">
        <f>IF('CONTROLE GLOBO AÇOS'!S303="","",'CONTROLE GLOBO AÇOS'!S303)</f>
        <v/>
      </c>
      <c r="BJ301" s="223">
        <f>IF('CONTROLE GLOBO AÇOS'!T303="","",'CONTROLE GLOBO AÇOS'!T303)</f>
        <v/>
      </c>
      <c r="BK301" s="223">
        <f>IF('CONTROLE GLOBO AÇOS'!U303="","",'CONTROLE GLOBO AÇOS'!U303)</f>
        <v/>
      </c>
      <c r="BL301" s="223">
        <f>IF(AND('CONTROLE EJ'!P303="",'CONTROLE CMM'!#REF!=""),"",N('CONTROLE EJ'!P303)+N('CONTROLE CMM'!#REF!))</f>
        <v/>
      </c>
      <c r="BM301" s="223">
        <f>IF(AND('CONTROLE EJ'!Q303="",'CONTROLE CMM'!#REF!=""),"",N('CONTROLE EJ'!Q303)+N('CONTROLE CMM'!#REF!))</f>
        <v/>
      </c>
      <c r="BN301" s="223">
        <f>IF('CONTROLE GLOBO AÇOS'!V303="","",'CONTROLE GLOBO AÇOS'!V303)</f>
        <v/>
      </c>
      <c r="BO301" s="223">
        <f>IF('CONTROLE GLOBO AÇOS'!W303="","",'CONTROLE GLOBO AÇOS'!W303)</f>
        <v/>
      </c>
      <c r="BP301" s="223">
        <f>IF(AND('CONTROLE EJ'!R303="",'CONTROLE CMM'!#REF!=""),"",N('CONTROLE EJ'!R303)+N('CONTROLE CMM'!#REF!))</f>
        <v/>
      </c>
      <c r="BQ301" s="223">
        <f>IF(#REF!="","",#REF!)</f>
        <v/>
      </c>
      <c r="BR301" s="223">
        <f>IF(AND('CONTROLE EJ'!S303="",'CONTROLE CMM'!#REF!=""),"",N('CONTROLE EJ'!S303)+N('CONTROLE CMM'!#REF!))</f>
        <v/>
      </c>
      <c r="BS301" s="223">
        <f>IF(AND('CONTROLE EJ'!T303="",'CONTROLE CMM'!#REF!=""),"",N('CONTROLE EJ'!T303)+N('CONTROLE CMM'!#REF!))</f>
        <v/>
      </c>
      <c r="BT301" s="223">
        <f>IF('CONTROLE GLOBO AÇOS'!X303="","",'CONTROLE GLOBO AÇOS'!X303)</f>
        <v/>
      </c>
      <c r="BU301" s="223">
        <f>IF('CONTROLE GLOBO AÇOS'!Y303="","",'CONTROLE GLOBO AÇOS'!Y303)</f>
        <v/>
      </c>
      <c r="BV301" s="223">
        <f>IF(AND('CONTROLE EJ'!U303="",'CONTROLE CMM'!#REF!=""),"",N('CONTROLE EJ'!U303)+N('CONTROLE CMM'!#REF!))</f>
        <v/>
      </c>
      <c r="BW301" s="223">
        <f>IF(#REF!="","",#REF!)</f>
        <v/>
      </c>
    </row>
    <row r="302">
      <c r="A302" s="282" t="n">
        <v>46519</v>
      </c>
      <c r="B302" s="18">
        <f>IF('CONTROLE EJ'!B304="","",'CONTROLE EJ'!B304)</f>
        <v/>
      </c>
      <c r="C302" s="18">
        <f>IF('CONTROLE EJ'!C304="","",'CONTROLE EJ'!C304)</f>
        <v/>
      </c>
      <c r="D302" s="42">
        <f>IF('CONTROLE EJ'!D304="","",'CONTROLE EJ'!D304)</f>
        <v/>
      </c>
      <c r="E302" s="43">
        <f>IF('CONTROLE CMM'!B304="","",'CONTROLE CMM'!B304)</f>
        <v/>
      </c>
      <c r="F302" s="18">
        <f>IF('CONTROLE CMM'!C304="","",'CONTROLE CMM'!C304)</f>
        <v/>
      </c>
      <c r="G302" s="26">
        <f>IF('CONTROLE CMM'!D304="","",'CONTROLE CMM'!D304)</f>
        <v/>
      </c>
      <c r="H302" s="18">
        <f>IF('CONTROLE GLOBO AÇOS'!B304="","",'CONTROLE GLOBO AÇOS'!B304)</f>
        <v/>
      </c>
      <c r="I302" s="18">
        <f>IF('CONTROLE GLOBO AÇOS'!C304="","",'CONTROLE GLOBO AÇOS'!C304)</f>
        <v/>
      </c>
      <c r="J302" s="18">
        <f>IF('CONTROLE GLOBO AÇOS'!D304="","",'CONTROLE GLOBO AÇOS'!D304)</f>
        <v/>
      </c>
      <c r="AD302" s="39">
        <f>IF($A302="",0,IF(AND(WEEKDAY($A302,2)&lt;=5,OR($B302&lt;&gt;"",$C302&lt;&gt;"",$D302&lt;&gt;"")),1,0))</f>
        <v/>
      </c>
      <c r="AE302" s="39">
        <f>IF($A302="",0,IF(AND(WEEKDAY($A302,2)&lt;=5,OR($E302&lt;&gt;"",$F302&lt;&gt;"",$G302&lt;&gt;"")),1,0))</f>
        <v/>
      </c>
      <c r="AF302" s="39">
        <f>MAX(AD302,AE302)</f>
        <v/>
      </c>
      <c r="AH302" s="223">
        <f>IF('CONTROLE GLOBO AÇOS'!E304="","",'CONTROLE GLOBO AÇOS'!E304)</f>
        <v/>
      </c>
      <c r="AI302" s="223">
        <f>IF('CONTROLE GLOBO AÇOS'!F304="","",'CONTROLE GLOBO AÇOS'!F304)</f>
        <v/>
      </c>
      <c r="AJ302" s="223">
        <f>IF(AND('CONTROLE EJ'!E304="",'CONTROLE CMM'!E304=""),"",N('CONTROLE EJ'!E304)+N('CONTROLE CMM'!E304))</f>
        <v/>
      </c>
      <c r="AK302" s="223">
        <f>IF(AND('CONTROLE EJ'!F304="",'CONTROLE CMM'!F304=""),"",N('CONTROLE EJ'!F304)+N('CONTROLE CMM'!F304))</f>
        <v/>
      </c>
      <c r="AL302" s="223">
        <f>IF(AND('CONTROLE EJ'!G304="",'CONTROLE CMM'!G304=""),"",N('CONTROLE EJ'!G304)+N('CONTROLE CMM'!G304))</f>
        <v/>
      </c>
      <c r="AM302" s="223">
        <f>IF(AND('CONTROLE EJ'!H304="",'CONTROLE CMM'!H304=""),"",N('CONTROLE EJ'!H304)+N('CONTROLE CMM'!H304))</f>
        <v/>
      </c>
      <c r="AN302" s="223">
        <f>IF('CONTROLE GLOBO AÇOS'!G304="","",'CONTROLE GLOBO AÇOS'!G304)</f>
        <v/>
      </c>
      <c r="AO302" s="223">
        <f>IF('CONTROLE GLOBO AÇOS'!H304="","",'CONTROLE GLOBO AÇOS'!H304)</f>
        <v/>
      </c>
      <c r="AP302" s="223">
        <f>IF(AND('CONTROLE EJ'!I304="",'CONTROLE CMM'!I304=""),"",N('CONTROLE EJ'!I304)+N('CONTROLE CMM'!I304))</f>
        <v/>
      </c>
      <c r="AQ302" s="223">
        <f>IF(AND('CONTROLE EJ'!J304="",'CONTROLE CMM'!#REF!=""),"",N('CONTROLE EJ'!J304)+N('CONTROLE CMM'!#REF!))</f>
        <v/>
      </c>
      <c r="AR302" s="223">
        <f>IF('CONTROLE GLOBO AÇOS'!I304="","",'CONTROLE GLOBO AÇOS'!I304)</f>
        <v/>
      </c>
      <c r="AS302" s="223">
        <f>IF('CONTROLE GLOBO AÇOS'!J304="","",'CONTROLE GLOBO AÇOS'!J304)</f>
        <v/>
      </c>
      <c r="AT302" s="223">
        <f>IF(#REF!="","",#REF!)</f>
        <v/>
      </c>
      <c r="AU302" s="223">
        <f>IF('CONTROLE GLOBO AÇOS'!K304="","",'CONTROLE GLOBO AÇOS'!K304)</f>
        <v/>
      </c>
      <c r="AV302" s="223">
        <f>IF(AND('CONTROLE EJ'!K304="",'CONTROLE CMM'!#REF!=""),"",N('CONTROLE EJ'!K304)+N('CONTROLE CMM'!#REF!))</f>
        <v/>
      </c>
      <c r="AW302" s="223">
        <f>IF('CONTROLE GLOBO AÇOS'!L304="","",'CONTROLE GLOBO AÇOS'!L304)</f>
        <v/>
      </c>
      <c r="AX302" s="223">
        <f>IF(AND('CONTROLE EJ'!L304="",'CONTROLE CMM'!#REF!=""),"",N('CONTROLE EJ'!L304)+N('CONTROLE CMM'!#REF!))</f>
        <v/>
      </c>
      <c r="AY302" s="223">
        <f>IF('CONTROLE GLOBO AÇOS'!M304="","",'CONTROLE GLOBO AÇOS'!M304)</f>
        <v/>
      </c>
      <c r="AZ302" s="223">
        <f>IF('CONTROLE GLOBO AÇOS'!N304="","",'CONTROLE GLOBO AÇOS'!N304)</f>
        <v/>
      </c>
      <c r="BA302" s="223">
        <f>IF(AND('CONTROLE EJ'!M304="",'CONTROLE CMM'!#REF!=""),"",N('CONTROLE EJ'!M304)+N('CONTROLE CMM'!#REF!))</f>
        <v/>
      </c>
      <c r="BB302" s="223">
        <f>IF(#REF!="","",#REF!)</f>
        <v/>
      </c>
      <c r="BC302" s="223">
        <f>IF('CONTROLE GLOBO AÇOS'!O304="","",'CONTROLE GLOBO AÇOS'!O304)</f>
        <v/>
      </c>
      <c r="BD302" s="223">
        <f>IF(AND('CONTROLE EJ'!N304="",'CONTROLE CMM'!#REF!=""),"",N('CONTROLE EJ'!N304)+N('CONTROLE CMM'!#REF!))</f>
        <v/>
      </c>
      <c r="BE302" s="223">
        <f>IF('CONTROLE GLOBO AÇOS'!P304="","",'CONTROLE GLOBO AÇOS'!P304)</f>
        <v/>
      </c>
      <c r="BF302" s="223">
        <f>IF('CONTROLE GLOBO AÇOS'!Q304="","",'CONTROLE GLOBO AÇOS'!Q304)</f>
        <v/>
      </c>
      <c r="BG302" s="223">
        <f>IF('CONTROLE GLOBO AÇOS'!R304="","",'CONTROLE GLOBO AÇOS'!R304)</f>
        <v/>
      </c>
      <c r="BH302" s="223">
        <f>IF(AND('CONTROLE EJ'!O304="",'CONTROLE CMM'!#REF!=""),"",N('CONTROLE EJ'!O304)+N('CONTROLE CMM'!#REF!))</f>
        <v/>
      </c>
      <c r="BI302" s="223">
        <f>IF('CONTROLE GLOBO AÇOS'!S304="","",'CONTROLE GLOBO AÇOS'!S304)</f>
        <v/>
      </c>
      <c r="BJ302" s="223">
        <f>IF('CONTROLE GLOBO AÇOS'!T304="","",'CONTROLE GLOBO AÇOS'!T304)</f>
        <v/>
      </c>
      <c r="BK302" s="223">
        <f>IF('CONTROLE GLOBO AÇOS'!U304="","",'CONTROLE GLOBO AÇOS'!U304)</f>
        <v/>
      </c>
      <c r="BL302" s="223">
        <f>IF(AND('CONTROLE EJ'!P304="",'CONTROLE CMM'!#REF!=""),"",N('CONTROLE EJ'!P304)+N('CONTROLE CMM'!#REF!))</f>
        <v/>
      </c>
      <c r="BM302" s="223">
        <f>IF(AND('CONTROLE EJ'!Q304="",'CONTROLE CMM'!#REF!=""),"",N('CONTROLE EJ'!Q304)+N('CONTROLE CMM'!#REF!))</f>
        <v/>
      </c>
      <c r="BN302" s="223">
        <f>IF('CONTROLE GLOBO AÇOS'!V304="","",'CONTROLE GLOBO AÇOS'!V304)</f>
        <v/>
      </c>
      <c r="BO302" s="223">
        <f>IF('CONTROLE GLOBO AÇOS'!W304="","",'CONTROLE GLOBO AÇOS'!W304)</f>
        <v/>
      </c>
      <c r="BP302" s="223">
        <f>IF(AND('CONTROLE EJ'!R304="",'CONTROLE CMM'!#REF!=""),"",N('CONTROLE EJ'!R304)+N('CONTROLE CMM'!#REF!))</f>
        <v/>
      </c>
      <c r="BQ302" s="223">
        <f>IF(#REF!="","",#REF!)</f>
        <v/>
      </c>
      <c r="BR302" s="223">
        <f>IF(AND('CONTROLE EJ'!S304="",'CONTROLE CMM'!#REF!=""),"",N('CONTROLE EJ'!S304)+N('CONTROLE CMM'!#REF!))</f>
        <v/>
      </c>
      <c r="BS302" s="223">
        <f>IF(AND('CONTROLE EJ'!T304="",'CONTROLE CMM'!#REF!=""),"",N('CONTROLE EJ'!T304)+N('CONTROLE CMM'!#REF!))</f>
        <v/>
      </c>
      <c r="BT302" s="223">
        <f>IF('CONTROLE GLOBO AÇOS'!X304="","",'CONTROLE GLOBO AÇOS'!X304)</f>
        <v/>
      </c>
      <c r="BU302" s="223">
        <f>IF('CONTROLE GLOBO AÇOS'!Y304="","",'CONTROLE GLOBO AÇOS'!Y304)</f>
        <v/>
      </c>
      <c r="BV302" s="223">
        <f>IF(AND('CONTROLE EJ'!U304="",'CONTROLE CMM'!#REF!=""),"",N('CONTROLE EJ'!U304)+N('CONTROLE CMM'!#REF!))</f>
        <v/>
      </c>
      <c r="BW302" s="223">
        <f>IF(#REF!="","",#REF!)</f>
        <v/>
      </c>
    </row>
    <row r="303">
      <c r="A303" s="282" t="n">
        <v>46520</v>
      </c>
      <c r="B303" s="18">
        <f>IF('CONTROLE EJ'!B305="","",'CONTROLE EJ'!B305)</f>
        <v/>
      </c>
      <c r="C303" s="18">
        <f>IF('CONTROLE EJ'!C305="","",'CONTROLE EJ'!C305)</f>
        <v/>
      </c>
      <c r="D303" s="26">
        <f>IF('CONTROLE EJ'!D305="","",'CONTROLE EJ'!D305)</f>
        <v/>
      </c>
      <c r="E303" s="43">
        <f>IF('CONTROLE CMM'!B305="","",'CONTROLE CMM'!B305)</f>
        <v/>
      </c>
      <c r="F303" s="18">
        <f>IF('CONTROLE CMM'!C305="","",'CONTROLE CMM'!C305)</f>
        <v/>
      </c>
      <c r="G303" s="26">
        <f>IF('CONTROLE CMM'!D305="","",'CONTROLE CMM'!D305)</f>
        <v/>
      </c>
      <c r="H303" s="18">
        <f>IF('CONTROLE GLOBO AÇOS'!B305="","",'CONTROLE GLOBO AÇOS'!B305)</f>
        <v/>
      </c>
      <c r="I303" s="18">
        <f>IF('CONTROLE GLOBO AÇOS'!C305="","",'CONTROLE GLOBO AÇOS'!C305)</f>
        <v/>
      </c>
      <c r="J303" s="18">
        <f>IF('CONTROLE GLOBO AÇOS'!D305="","",'CONTROLE GLOBO AÇOS'!D305)</f>
        <v/>
      </c>
      <c r="AD303" s="39">
        <f>IF($A303="",0,IF(AND(WEEKDAY($A303,2)&lt;=5,OR($B303&lt;&gt;"",$C303&lt;&gt;"",$D303&lt;&gt;"")),1,0))</f>
        <v/>
      </c>
      <c r="AE303" s="39">
        <f>IF($A303="",0,IF(AND(WEEKDAY($A303,2)&lt;=5,OR($E303&lt;&gt;"",$F303&lt;&gt;"",$G303&lt;&gt;"")),1,0))</f>
        <v/>
      </c>
      <c r="AF303" s="39">
        <f>MAX(AD303,AE303)</f>
        <v/>
      </c>
      <c r="AH303" s="223">
        <f>IF('CONTROLE GLOBO AÇOS'!E305="","",'CONTROLE GLOBO AÇOS'!E305)</f>
        <v/>
      </c>
      <c r="AI303" s="223">
        <f>IF('CONTROLE GLOBO AÇOS'!F305="","",'CONTROLE GLOBO AÇOS'!F305)</f>
        <v/>
      </c>
      <c r="AJ303" s="223">
        <f>IF(AND('CONTROLE EJ'!E305="",'CONTROLE CMM'!E305=""),"",N('CONTROLE EJ'!E305)+N('CONTROLE CMM'!E305))</f>
        <v/>
      </c>
      <c r="AK303" s="223">
        <f>IF(AND('CONTROLE EJ'!F305="",'CONTROLE CMM'!F305=""),"",N('CONTROLE EJ'!F305)+N('CONTROLE CMM'!F305))</f>
        <v/>
      </c>
      <c r="AL303" s="223">
        <f>IF(AND('CONTROLE EJ'!G305="",'CONTROLE CMM'!G305=""),"",N('CONTROLE EJ'!G305)+N('CONTROLE CMM'!G305))</f>
        <v/>
      </c>
      <c r="AM303" s="223">
        <f>IF(AND('CONTROLE EJ'!H305="",'CONTROLE CMM'!H305=""),"",N('CONTROLE EJ'!H305)+N('CONTROLE CMM'!H305))</f>
        <v/>
      </c>
      <c r="AN303" s="223">
        <f>IF('CONTROLE GLOBO AÇOS'!G305="","",'CONTROLE GLOBO AÇOS'!G305)</f>
        <v/>
      </c>
      <c r="AO303" s="223">
        <f>IF('CONTROLE GLOBO AÇOS'!H305="","",'CONTROLE GLOBO AÇOS'!H305)</f>
        <v/>
      </c>
      <c r="AP303" s="223">
        <f>IF(AND('CONTROLE EJ'!I305="",'CONTROLE CMM'!I305=""),"",N('CONTROLE EJ'!I305)+N('CONTROLE CMM'!I305))</f>
        <v/>
      </c>
      <c r="AQ303" s="223">
        <f>IF(AND('CONTROLE EJ'!J305="",'CONTROLE CMM'!#REF!=""),"",N('CONTROLE EJ'!J305)+N('CONTROLE CMM'!#REF!))</f>
        <v/>
      </c>
      <c r="AR303" s="223">
        <f>IF('CONTROLE GLOBO AÇOS'!I305="","",'CONTROLE GLOBO AÇOS'!I305)</f>
        <v/>
      </c>
      <c r="AS303" s="223">
        <f>IF('CONTROLE GLOBO AÇOS'!J305="","",'CONTROLE GLOBO AÇOS'!J305)</f>
        <v/>
      </c>
      <c r="AT303" s="223">
        <f>IF(#REF!="","",#REF!)</f>
        <v/>
      </c>
      <c r="AU303" s="223">
        <f>IF('CONTROLE GLOBO AÇOS'!K305="","",'CONTROLE GLOBO AÇOS'!K305)</f>
        <v/>
      </c>
      <c r="AV303" s="223">
        <f>IF(AND('CONTROLE EJ'!K305="",'CONTROLE CMM'!#REF!=""),"",N('CONTROLE EJ'!K305)+N('CONTROLE CMM'!#REF!))</f>
        <v/>
      </c>
      <c r="AW303" s="223">
        <f>IF('CONTROLE GLOBO AÇOS'!L305="","",'CONTROLE GLOBO AÇOS'!L305)</f>
        <v/>
      </c>
      <c r="AX303" s="223">
        <f>IF(AND('CONTROLE EJ'!L305="",'CONTROLE CMM'!#REF!=""),"",N('CONTROLE EJ'!L305)+N('CONTROLE CMM'!#REF!))</f>
        <v/>
      </c>
      <c r="AY303" s="223">
        <f>IF('CONTROLE GLOBO AÇOS'!M305="","",'CONTROLE GLOBO AÇOS'!M305)</f>
        <v/>
      </c>
      <c r="AZ303" s="223">
        <f>IF('CONTROLE GLOBO AÇOS'!N305="","",'CONTROLE GLOBO AÇOS'!N305)</f>
        <v/>
      </c>
      <c r="BA303" s="223">
        <f>IF(AND('CONTROLE EJ'!M305="",'CONTROLE CMM'!#REF!=""),"",N('CONTROLE EJ'!M305)+N('CONTROLE CMM'!#REF!))</f>
        <v/>
      </c>
      <c r="BB303" s="223">
        <f>IF(#REF!="","",#REF!)</f>
        <v/>
      </c>
      <c r="BC303" s="223">
        <f>IF('CONTROLE GLOBO AÇOS'!O305="","",'CONTROLE GLOBO AÇOS'!O305)</f>
        <v/>
      </c>
      <c r="BD303" s="223">
        <f>IF(AND('CONTROLE EJ'!N305="",'CONTROLE CMM'!#REF!=""),"",N('CONTROLE EJ'!N305)+N('CONTROLE CMM'!#REF!))</f>
        <v/>
      </c>
      <c r="BE303" s="223">
        <f>IF('CONTROLE GLOBO AÇOS'!P305="","",'CONTROLE GLOBO AÇOS'!P305)</f>
        <v/>
      </c>
      <c r="BF303" s="223">
        <f>IF('CONTROLE GLOBO AÇOS'!Q305="","",'CONTROLE GLOBO AÇOS'!Q305)</f>
        <v/>
      </c>
      <c r="BG303" s="223">
        <f>IF('CONTROLE GLOBO AÇOS'!R305="","",'CONTROLE GLOBO AÇOS'!R305)</f>
        <v/>
      </c>
      <c r="BH303" s="223">
        <f>IF(AND('CONTROLE EJ'!O305="",'CONTROLE CMM'!#REF!=""),"",N('CONTROLE EJ'!O305)+N('CONTROLE CMM'!#REF!))</f>
        <v/>
      </c>
      <c r="BI303" s="223">
        <f>IF('CONTROLE GLOBO AÇOS'!S305="","",'CONTROLE GLOBO AÇOS'!S305)</f>
        <v/>
      </c>
      <c r="BJ303" s="223">
        <f>IF('CONTROLE GLOBO AÇOS'!T305="","",'CONTROLE GLOBO AÇOS'!T305)</f>
        <v/>
      </c>
      <c r="BK303" s="223">
        <f>IF('CONTROLE GLOBO AÇOS'!U305="","",'CONTROLE GLOBO AÇOS'!U305)</f>
        <v/>
      </c>
      <c r="BL303" s="223">
        <f>IF(AND('CONTROLE EJ'!P305="",'CONTROLE CMM'!#REF!=""),"",N('CONTROLE EJ'!P305)+N('CONTROLE CMM'!#REF!))</f>
        <v/>
      </c>
      <c r="BM303" s="223">
        <f>IF(AND('CONTROLE EJ'!Q305="",'CONTROLE CMM'!#REF!=""),"",N('CONTROLE EJ'!Q305)+N('CONTROLE CMM'!#REF!))</f>
        <v/>
      </c>
      <c r="BN303" s="223">
        <f>IF('CONTROLE GLOBO AÇOS'!V305="","",'CONTROLE GLOBO AÇOS'!V305)</f>
        <v/>
      </c>
      <c r="BO303" s="223">
        <f>IF('CONTROLE GLOBO AÇOS'!W305="","",'CONTROLE GLOBO AÇOS'!W305)</f>
        <v/>
      </c>
      <c r="BP303" s="223">
        <f>IF(AND('CONTROLE EJ'!R305="",'CONTROLE CMM'!#REF!=""),"",N('CONTROLE EJ'!R305)+N('CONTROLE CMM'!#REF!))</f>
        <v/>
      </c>
      <c r="BQ303" s="223">
        <f>IF(#REF!="","",#REF!)</f>
        <v/>
      </c>
      <c r="BR303" s="223">
        <f>IF(AND('CONTROLE EJ'!S305="",'CONTROLE CMM'!#REF!=""),"",N('CONTROLE EJ'!S305)+N('CONTROLE CMM'!#REF!))</f>
        <v/>
      </c>
      <c r="BS303" s="223">
        <f>IF(AND('CONTROLE EJ'!T305="",'CONTROLE CMM'!#REF!=""),"",N('CONTROLE EJ'!T305)+N('CONTROLE CMM'!#REF!))</f>
        <v/>
      </c>
      <c r="BT303" s="223">
        <f>IF('CONTROLE GLOBO AÇOS'!X305="","",'CONTROLE GLOBO AÇOS'!X305)</f>
        <v/>
      </c>
      <c r="BU303" s="223">
        <f>IF('CONTROLE GLOBO AÇOS'!Y305="","",'CONTROLE GLOBO AÇOS'!Y305)</f>
        <v/>
      </c>
      <c r="BV303" s="223">
        <f>IF(AND('CONTROLE EJ'!U305="",'CONTROLE CMM'!#REF!=""),"",N('CONTROLE EJ'!U305)+N('CONTROLE CMM'!#REF!))</f>
        <v/>
      </c>
      <c r="BW303" s="223">
        <f>IF(#REF!="","",#REF!)</f>
        <v/>
      </c>
    </row>
    <row r="304">
      <c r="A304" s="282" t="n">
        <v>46521</v>
      </c>
      <c r="B304" s="18">
        <f>IF('CONTROLE EJ'!B306="","",'CONTROLE EJ'!B306)</f>
        <v/>
      </c>
      <c r="C304" s="18">
        <f>IF('CONTROLE EJ'!C306="","",'CONTROLE EJ'!C306)</f>
        <v/>
      </c>
      <c r="D304" s="26">
        <f>IF('CONTROLE EJ'!D306="","",'CONTROLE EJ'!D306)</f>
        <v/>
      </c>
      <c r="E304" s="43">
        <f>IF('CONTROLE CMM'!B306="","",'CONTROLE CMM'!B306)</f>
        <v/>
      </c>
      <c r="F304" s="18">
        <f>IF('CONTROLE CMM'!C306="","",'CONTROLE CMM'!C306)</f>
        <v/>
      </c>
      <c r="G304" s="26">
        <f>IF('CONTROLE CMM'!D306="","",'CONTROLE CMM'!D306)</f>
        <v/>
      </c>
      <c r="H304" s="18">
        <f>IF('CONTROLE GLOBO AÇOS'!B306="","",'CONTROLE GLOBO AÇOS'!B306)</f>
        <v/>
      </c>
      <c r="I304" s="18">
        <f>IF('CONTROLE GLOBO AÇOS'!C306="","",'CONTROLE GLOBO AÇOS'!C306)</f>
        <v/>
      </c>
      <c r="J304" s="18">
        <f>IF('CONTROLE GLOBO AÇOS'!D306="","",'CONTROLE GLOBO AÇOS'!D306)</f>
        <v/>
      </c>
      <c r="AD304" s="39">
        <f>IF($A304="",0,IF(AND(WEEKDAY($A304,2)&lt;=5,OR($B304&lt;&gt;"",$C304&lt;&gt;"",$D304&lt;&gt;"")),1,0))</f>
        <v/>
      </c>
      <c r="AE304" s="39">
        <f>IF($A304="",0,IF(AND(WEEKDAY($A304,2)&lt;=5,OR($E304&lt;&gt;"",$F304&lt;&gt;"",$G304&lt;&gt;"")),1,0))</f>
        <v/>
      </c>
      <c r="AF304" s="39">
        <f>MAX(AD304,AE304)</f>
        <v/>
      </c>
      <c r="AH304" s="223">
        <f>IF('CONTROLE GLOBO AÇOS'!E306="","",'CONTROLE GLOBO AÇOS'!E306)</f>
        <v/>
      </c>
      <c r="AI304" s="223">
        <f>IF('CONTROLE GLOBO AÇOS'!F306="","",'CONTROLE GLOBO AÇOS'!F306)</f>
        <v/>
      </c>
      <c r="AJ304" s="223">
        <f>IF(AND('CONTROLE EJ'!E306="",'CONTROLE CMM'!E306=""),"",N('CONTROLE EJ'!E306)+N('CONTROLE CMM'!E306))</f>
        <v/>
      </c>
      <c r="AK304" s="223">
        <f>IF(AND('CONTROLE EJ'!F306="",'CONTROLE CMM'!F306=""),"",N('CONTROLE EJ'!F306)+N('CONTROLE CMM'!F306))</f>
        <v/>
      </c>
      <c r="AL304" s="223">
        <f>IF(AND('CONTROLE EJ'!G306="",'CONTROLE CMM'!G306=""),"",N('CONTROLE EJ'!G306)+N('CONTROLE CMM'!G306))</f>
        <v/>
      </c>
      <c r="AM304" s="223">
        <f>IF(AND('CONTROLE EJ'!H306="",'CONTROLE CMM'!H306=""),"",N('CONTROLE EJ'!H306)+N('CONTROLE CMM'!H306))</f>
        <v/>
      </c>
      <c r="AN304" s="223">
        <f>IF('CONTROLE GLOBO AÇOS'!G306="","",'CONTROLE GLOBO AÇOS'!G306)</f>
        <v/>
      </c>
      <c r="AO304" s="223">
        <f>IF('CONTROLE GLOBO AÇOS'!H306="","",'CONTROLE GLOBO AÇOS'!H306)</f>
        <v/>
      </c>
      <c r="AP304" s="223">
        <f>IF(AND('CONTROLE EJ'!I306="",'CONTROLE CMM'!I306=""),"",N('CONTROLE EJ'!I306)+N('CONTROLE CMM'!I306))</f>
        <v/>
      </c>
      <c r="AQ304" s="223">
        <f>IF(AND('CONTROLE EJ'!J306="",'CONTROLE CMM'!#REF!=""),"",N('CONTROLE EJ'!J306)+N('CONTROLE CMM'!#REF!))</f>
        <v/>
      </c>
      <c r="AR304" s="223">
        <f>IF('CONTROLE GLOBO AÇOS'!I306="","",'CONTROLE GLOBO AÇOS'!I306)</f>
        <v/>
      </c>
      <c r="AS304" s="223">
        <f>IF('CONTROLE GLOBO AÇOS'!J306="","",'CONTROLE GLOBO AÇOS'!J306)</f>
        <v/>
      </c>
      <c r="AT304" s="223">
        <f>IF(#REF!="","",#REF!)</f>
        <v/>
      </c>
      <c r="AU304" s="223">
        <f>IF('CONTROLE GLOBO AÇOS'!K306="","",'CONTROLE GLOBO AÇOS'!K306)</f>
        <v/>
      </c>
      <c r="AV304" s="223">
        <f>IF(AND('CONTROLE EJ'!K306="",'CONTROLE CMM'!#REF!=""),"",N('CONTROLE EJ'!K306)+N('CONTROLE CMM'!#REF!))</f>
        <v/>
      </c>
      <c r="AW304" s="223">
        <f>IF('CONTROLE GLOBO AÇOS'!L306="","",'CONTROLE GLOBO AÇOS'!L306)</f>
        <v/>
      </c>
      <c r="AX304" s="223">
        <f>IF(AND('CONTROLE EJ'!L306="",'CONTROLE CMM'!#REF!=""),"",N('CONTROLE EJ'!L306)+N('CONTROLE CMM'!#REF!))</f>
        <v/>
      </c>
      <c r="AY304" s="223">
        <f>IF('CONTROLE GLOBO AÇOS'!M306="","",'CONTROLE GLOBO AÇOS'!M306)</f>
        <v/>
      </c>
      <c r="AZ304" s="223">
        <f>IF('CONTROLE GLOBO AÇOS'!N306="","",'CONTROLE GLOBO AÇOS'!N306)</f>
        <v/>
      </c>
      <c r="BA304" s="223">
        <f>IF(AND('CONTROLE EJ'!M306="",'CONTROLE CMM'!#REF!=""),"",N('CONTROLE EJ'!M306)+N('CONTROLE CMM'!#REF!))</f>
        <v/>
      </c>
      <c r="BB304" s="223">
        <f>IF(#REF!="","",#REF!)</f>
        <v/>
      </c>
      <c r="BC304" s="223">
        <f>IF('CONTROLE GLOBO AÇOS'!O306="","",'CONTROLE GLOBO AÇOS'!O306)</f>
        <v/>
      </c>
      <c r="BD304" s="223">
        <f>IF(AND('CONTROLE EJ'!N306="",'CONTROLE CMM'!#REF!=""),"",N('CONTROLE EJ'!N306)+N('CONTROLE CMM'!#REF!))</f>
        <v/>
      </c>
      <c r="BE304" s="223">
        <f>IF('CONTROLE GLOBO AÇOS'!P306="","",'CONTROLE GLOBO AÇOS'!P306)</f>
        <v/>
      </c>
      <c r="BF304" s="223">
        <f>IF('CONTROLE GLOBO AÇOS'!Q306="","",'CONTROLE GLOBO AÇOS'!Q306)</f>
        <v/>
      </c>
      <c r="BG304" s="223">
        <f>IF('CONTROLE GLOBO AÇOS'!R306="","",'CONTROLE GLOBO AÇOS'!R306)</f>
        <v/>
      </c>
      <c r="BH304" s="223">
        <f>IF(AND('CONTROLE EJ'!O306="",'CONTROLE CMM'!#REF!=""),"",N('CONTROLE EJ'!O306)+N('CONTROLE CMM'!#REF!))</f>
        <v/>
      </c>
      <c r="BI304" s="223">
        <f>IF('CONTROLE GLOBO AÇOS'!S306="","",'CONTROLE GLOBO AÇOS'!S306)</f>
        <v/>
      </c>
      <c r="BJ304" s="223">
        <f>IF('CONTROLE GLOBO AÇOS'!T306="","",'CONTROLE GLOBO AÇOS'!T306)</f>
        <v/>
      </c>
      <c r="BK304" s="223">
        <f>IF('CONTROLE GLOBO AÇOS'!U306="","",'CONTROLE GLOBO AÇOS'!U306)</f>
        <v/>
      </c>
      <c r="BL304" s="223">
        <f>IF(AND('CONTROLE EJ'!P306="",'CONTROLE CMM'!#REF!=""),"",N('CONTROLE EJ'!P306)+N('CONTROLE CMM'!#REF!))</f>
        <v/>
      </c>
      <c r="BM304" s="223">
        <f>IF(AND('CONTROLE EJ'!Q306="",'CONTROLE CMM'!#REF!=""),"",N('CONTROLE EJ'!Q306)+N('CONTROLE CMM'!#REF!))</f>
        <v/>
      </c>
      <c r="BN304" s="223">
        <f>IF('CONTROLE GLOBO AÇOS'!V306="","",'CONTROLE GLOBO AÇOS'!V306)</f>
        <v/>
      </c>
      <c r="BO304" s="223">
        <f>IF('CONTROLE GLOBO AÇOS'!W306="","",'CONTROLE GLOBO AÇOS'!W306)</f>
        <v/>
      </c>
      <c r="BP304" s="223">
        <f>IF(AND('CONTROLE EJ'!R306="",'CONTROLE CMM'!#REF!=""),"",N('CONTROLE EJ'!R306)+N('CONTROLE CMM'!#REF!))</f>
        <v/>
      </c>
      <c r="BQ304" s="223">
        <f>IF(#REF!="","",#REF!)</f>
        <v/>
      </c>
      <c r="BR304" s="223">
        <f>IF(AND('CONTROLE EJ'!S306="",'CONTROLE CMM'!#REF!=""),"",N('CONTROLE EJ'!S306)+N('CONTROLE CMM'!#REF!))</f>
        <v/>
      </c>
      <c r="BS304" s="223">
        <f>IF(AND('CONTROLE EJ'!T306="",'CONTROLE CMM'!#REF!=""),"",N('CONTROLE EJ'!T306)+N('CONTROLE CMM'!#REF!))</f>
        <v/>
      </c>
      <c r="BT304" s="223">
        <f>IF('CONTROLE GLOBO AÇOS'!X306="","",'CONTROLE GLOBO AÇOS'!X306)</f>
        <v/>
      </c>
      <c r="BU304" s="223">
        <f>IF('CONTROLE GLOBO AÇOS'!Y306="","",'CONTROLE GLOBO AÇOS'!Y306)</f>
        <v/>
      </c>
      <c r="BV304" s="223">
        <f>IF(AND('CONTROLE EJ'!U306="",'CONTROLE CMM'!#REF!=""),"",N('CONTROLE EJ'!U306)+N('CONTROLE CMM'!#REF!))</f>
        <v/>
      </c>
      <c r="BW304" s="223">
        <f>IF(#REF!="","",#REF!)</f>
        <v/>
      </c>
    </row>
    <row r="305">
      <c r="A305" s="282" t="n">
        <v>46522</v>
      </c>
      <c r="B305" s="18">
        <f>IF('CONTROLE EJ'!B307="","",'CONTROLE EJ'!B307)</f>
        <v/>
      </c>
      <c r="C305" s="18">
        <f>IF('CONTROLE EJ'!C307="","",'CONTROLE EJ'!C307)</f>
        <v/>
      </c>
      <c r="D305" s="26">
        <f>IF('CONTROLE EJ'!D307="","",'CONTROLE EJ'!D307)</f>
        <v/>
      </c>
      <c r="E305" s="43">
        <f>IF('CONTROLE CMM'!B307="","",'CONTROLE CMM'!B307)</f>
        <v/>
      </c>
      <c r="F305" s="18">
        <f>IF('CONTROLE CMM'!C307="","",'CONTROLE CMM'!C307)</f>
        <v/>
      </c>
      <c r="G305" s="26">
        <f>IF('CONTROLE CMM'!D307="","",'CONTROLE CMM'!D307)</f>
        <v/>
      </c>
      <c r="H305" s="18">
        <f>IF('CONTROLE GLOBO AÇOS'!B307="","",'CONTROLE GLOBO AÇOS'!B307)</f>
        <v/>
      </c>
      <c r="I305" s="18">
        <f>IF('CONTROLE GLOBO AÇOS'!C307="","",'CONTROLE GLOBO AÇOS'!C307)</f>
        <v/>
      </c>
      <c r="J305" s="18">
        <f>IF('CONTROLE GLOBO AÇOS'!D307="","",'CONTROLE GLOBO AÇOS'!D307)</f>
        <v/>
      </c>
      <c r="AD305" s="39">
        <f>IF($A305="",0,IF(AND(WEEKDAY($A305,2)&lt;=5,OR($B305&lt;&gt;"",$C305&lt;&gt;"",$D305&lt;&gt;"")),1,0))</f>
        <v/>
      </c>
      <c r="AE305" s="39">
        <f>IF($A305="",0,IF(AND(WEEKDAY($A305,2)&lt;=5,OR($E305&lt;&gt;"",$F305&lt;&gt;"",$G305&lt;&gt;"")),1,0))</f>
        <v/>
      </c>
      <c r="AF305" s="39">
        <f>MAX(AD305,AE305)</f>
        <v/>
      </c>
      <c r="AH305" s="223">
        <f>IF('CONTROLE GLOBO AÇOS'!E307="","",'CONTROLE GLOBO AÇOS'!E307)</f>
        <v/>
      </c>
      <c r="AI305" s="223">
        <f>IF('CONTROLE GLOBO AÇOS'!F307="","",'CONTROLE GLOBO AÇOS'!F307)</f>
        <v/>
      </c>
      <c r="AJ305" s="223">
        <f>IF(AND('CONTROLE EJ'!E307="",'CONTROLE CMM'!E307=""),"",N('CONTROLE EJ'!E307)+N('CONTROLE CMM'!E307))</f>
        <v/>
      </c>
      <c r="AK305" s="223">
        <f>IF(AND('CONTROLE EJ'!F307="",'CONTROLE CMM'!F307=""),"",N('CONTROLE EJ'!F307)+N('CONTROLE CMM'!F307))</f>
        <v/>
      </c>
      <c r="AL305" s="223">
        <f>IF(AND('CONTROLE EJ'!G307="",'CONTROLE CMM'!G307=""),"",N('CONTROLE EJ'!G307)+N('CONTROLE CMM'!G307))</f>
        <v/>
      </c>
      <c r="AM305" s="223">
        <f>IF(AND('CONTROLE EJ'!H307="",'CONTROLE CMM'!H307=""),"",N('CONTROLE EJ'!H307)+N('CONTROLE CMM'!H307))</f>
        <v/>
      </c>
      <c r="AN305" s="223">
        <f>IF('CONTROLE GLOBO AÇOS'!G307="","",'CONTROLE GLOBO AÇOS'!G307)</f>
        <v/>
      </c>
      <c r="AO305" s="223">
        <f>IF('CONTROLE GLOBO AÇOS'!H307="","",'CONTROLE GLOBO AÇOS'!H307)</f>
        <v/>
      </c>
      <c r="AP305" s="223">
        <f>IF(AND('CONTROLE EJ'!I307="",'CONTROLE CMM'!I307=""),"",N('CONTROLE EJ'!I307)+N('CONTROLE CMM'!I307))</f>
        <v/>
      </c>
      <c r="AQ305" s="223">
        <f>IF(AND('CONTROLE EJ'!J307="",'CONTROLE CMM'!#REF!=""),"",N('CONTROLE EJ'!J307)+N('CONTROLE CMM'!#REF!))</f>
        <v/>
      </c>
      <c r="AR305" s="223">
        <f>IF('CONTROLE GLOBO AÇOS'!I307="","",'CONTROLE GLOBO AÇOS'!I307)</f>
        <v/>
      </c>
      <c r="AS305" s="223">
        <f>IF('CONTROLE GLOBO AÇOS'!J307="","",'CONTROLE GLOBO AÇOS'!J307)</f>
        <v/>
      </c>
      <c r="AT305" s="223">
        <f>IF(#REF!="","",#REF!)</f>
        <v/>
      </c>
      <c r="AU305" s="223">
        <f>IF('CONTROLE GLOBO AÇOS'!K307="","",'CONTROLE GLOBO AÇOS'!K307)</f>
        <v/>
      </c>
      <c r="AV305" s="223">
        <f>IF(AND('CONTROLE EJ'!K307="",'CONTROLE CMM'!#REF!=""),"",N('CONTROLE EJ'!K307)+N('CONTROLE CMM'!#REF!))</f>
        <v/>
      </c>
      <c r="AW305" s="223">
        <f>IF('CONTROLE GLOBO AÇOS'!L307="","",'CONTROLE GLOBO AÇOS'!L307)</f>
        <v/>
      </c>
      <c r="AX305" s="223">
        <f>IF(AND('CONTROLE EJ'!L307="",'CONTROLE CMM'!#REF!=""),"",N('CONTROLE EJ'!L307)+N('CONTROLE CMM'!#REF!))</f>
        <v/>
      </c>
      <c r="AY305" s="223">
        <f>IF('CONTROLE GLOBO AÇOS'!M307="","",'CONTROLE GLOBO AÇOS'!M307)</f>
        <v/>
      </c>
      <c r="AZ305" s="223">
        <f>IF('CONTROLE GLOBO AÇOS'!N307="","",'CONTROLE GLOBO AÇOS'!N307)</f>
        <v/>
      </c>
      <c r="BA305" s="223">
        <f>IF(AND('CONTROLE EJ'!M307="",'CONTROLE CMM'!#REF!=""),"",N('CONTROLE EJ'!M307)+N('CONTROLE CMM'!#REF!))</f>
        <v/>
      </c>
      <c r="BB305" s="223">
        <f>IF(#REF!="","",#REF!)</f>
        <v/>
      </c>
      <c r="BC305" s="223">
        <f>IF('CONTROLE GLOBO AÇOS'!O307="","",'CONTROLE GLOBO AÇOS'!O307)</f>
        <v/>
      </c>
      <c r="BD305" s="223">
        <f>IF(AND('CONTROLE EJ'!N307="",'CONTROLE CMM'!#REF!=""),"",N('CONTROLE EJ'!N307)+N('CONTROLE CMM'!#REF!))</f>
        <v/>
      </c>
      <c r="BE305" s="223">
        <f>IF('CONTROLE GLOBO AÇOS'!P307="","",'CONTROLE GLOBO AÇOS'!P307)</f>
        <v/>
      </c>
      <c r="BF305" s="223">
        <f>IF('CONTROLE GLOBO AÇOS'!Q307="","",'CONTROLE GLOBO AÇOS'!Q307)</f>
        <v/>
      </c>
      <c r="BG305" s="223">
        <f>IF('CONTROLE GLOBO AÇOS'!R307="","",'CONTROLE GLOBO AÇOS'!R307)</f>
        <v/>
      </c>
      <c r="BH305" s="223">
        <f>IF(AND('CONTROLE EJ'!O307="",'CONTROLE CMM'!#REF!=""),"",N('CONTROLE EJ'!O307)+N('CONTROLE CMM'!#REF!))</f>
        <v/>
      </c>
      <c r="BI305" s="223">
        <f>IF('CONTROLE GLOBO AÇOS'!S307="","",'CONTROLE GLOBO AÇOS'!S307)</f>
        <v/>
      </c>
      <c r="BJ305" s="223">
        <f>IF('CONTROLE GLOBO AÇOS'!T307="","",'CONTROLE GLOBO AÇOS'!T307)</f>
        <v/>
      </c>
      <c r="BK305" s="223">
        <f>IF('CONTROLE GLOBO AÇOS'!U307="","",'CONTROLE GLOBO AÇOS'!U307)</f>
        <v/>
      </c>
      <c r="BL305" s="223">
        <f>IF(AND('CONTROLE EJ'!P307="",'CONTROLE CMM'!#REF!=""),"",N('CONTROLE EJ'!P307)+N('CONTROLE CMM'!#REF!))</f>
        <v/>
      </c>
      <c r="BM305" s="223">
        <f>IF(AND('CONTROLE EJ'!Q307="",'CONTROLE CMM'!#REF!=""),"",N('CONTROLE EJ'!Q307)+N('CONTROLE CMM'!#REF!))</f>
        <v/>
      </c>
      <c r="BN305" s="223">
        <f>IF('CONTROLE GLOBO AÇOS'!V307="","",'CONTROLE GLOBO AÇOS'!V307)</f>
        <v/>
      </c>
      <c r="BO305" s="223">
        <f>IF('CONTROLE GLOBO AÇOS'!W307="","",'CONTROLE GLOBO AÇOS'!W307)</f>
        <v/>
      </c>
      <c r="BP305" s="223">
        <f>IF(AND('CONTROLE EJ'!R307="",'CONTROLE CMM'!#REF!=""),"",N('CONTROLE EJ'!R307)+N('CONTROLE CMM'!#REF!))</f>
        <v/>
      </c>
      <c r="BQ305" s="223">
        <f>IF(#REF!="","",#REF!)</f>
        <v/>
      </c>
      <c r="BR305" s="223">
        <f>IF(AND('CONTROLE EJ'!S307="",'CONTROLE CMM'!#REF!=""),"",N('CONTROLE EJ'!S307)+N('CONTROLE CMM'!#REF!))</f>
        <v/>
      </c>
      <c r="BS305" s="223">
        <f>IF(AND('CONTROLE EJ'!T307="",'CONTROLE CMM'!#REF!=""),"",N('CONTROLE EJ'!T307)+N('CONTROLE CMM'!#REF!))</f>
        <v/>
      </c>
      <c r="BT305" s="223">
        <f>IF('CONTROLE GLOBO AÇOS'!X307="","",'CONTROLE GLOBO AÇOS'!X307)</f>
        <v/>
      </c>
      <c r="BU305" s="223">
        <f>IF('CONTROLE GLOBO AÇOS'!Y307="","",'CONTROLE GLOBO AÇOS'!Y307)</f>
        <v/>
      </c>
      <c r="BV305" s="223">
        <f>IF(AND('CONTROLE EJ'!U307="",'CONTROLE CMM'!#REF!=""),"",N('CONTROLE EJ'!U307)+N('CONTROLE CMM'!#REF!))</f>
        <v/>
      </c>
      <c r="BW305" s="223">
        <f>IF(#REF!="","",#REF!)</f>
        <v/>
      </c>
    </row>
    <row r="306">
      <c r="A306" s="282" t="n">
        <v>46523</v>
      </c>
      <c r="B306" s="18">
        <f>IF('CONTROLE EJ'!B308="","",'CONTROLE EJ'!B308)</f>
        <v/>
      </c>
      <c r="C306" s="18">
        <f>IF('CONTROLE EJ'!C308="","",'CONTROLE EJ'!C308)</f>
        <v/>
      </c>
      <c r="D306" s="26">
        <f>IF('CONTROLE EJ'!D308="","",'CONTROLE EJ'!D308)</f>
        <v/>
      </c>
      <c r="E306" s="43">
        <f>IF('CONTROLE CMM'!B308="","",'CONTROLE CMM'!B308)</f>
        <v/>
      </c>
      <c r="F306" s="18">
        <f>IF('CONTROLE CMM'!C308="","",'CONTROLE CMM'!C308)</f>
        <v/>
      </c>
      <c r="G306" s="26">
        <f>IF('CONTROLE CMM'!D308="","",'CONTROLE CMM'!D308)</f>
        <v/>
      </c>
      <c r="H306" s="18">
        <f>IF('CONTROLE GLOBO AÇOS'!B308="","",'CONTROLE GLOBO AÇOS'!B308)</f>
        <v/>
      </c>
      <c r="I306" s="18">
        <f>IF('CONTROLE GLOBO AÇOS'!C308="","",'CONTROLE GLOBO AÇOS'!C308)</f>
        <v/>
      </c>
      <c r="J306" s="18">
        <f>IF('CONTROLE GLOBO AÇOS'!D308="","",'CONTROLE GLOBO AÇOS'!D308)</f>
        <v/>
      </c>
      <c r="AD306" s="39">
        <f>IF($A306="",0,IF(AND(WEEKDAY($A306,2)&lt;=5,OR($B306&lt;&gt;"",$C306&lt;&gt;"",$D306&lt;&gt;"")),1,0))</f>
        <v/>
      </c>
      <c r="AE306" s="39">
        <f>IF($A306="",0,IF(AND(WEEKDAY($A306,2)&lt;=5,OR($E306&lt;&gt;"",$F306&lt;&gt;"",$G306&lt;&gt;"")),1,0))</f>
        <v/>
      </c>
      <c r="AF306" s="39">
        <f>MAX(AD306,AE306)</f>
        <v/>
      </c>
      <c r="AH306" s="223">
        <f>IF('CONTROLE GLOBO AÇOS'!E308="","",'CONTROLE GLOBO AÇOS'!E308)</f>
        <v/>
      </c>
      <c r="AI306" s="223">
        <f>IF('CONTROLE GLOBO AÇOS'!F308="","",'CONTROLE GLOBO AÇOS'!F308)</f>
        <v/>
      </c>
      <c r="AJ306" s="223">
        <f>IF(AND('CONTROLE EJ'!E308="",'CONTROLE CMM'!E308=""),"",N('CONTROLE EJ'!E308)+N('CONTROLE CMM'!E308))</f>
        <v/>
      </c>
      <c r="AK306" s="223">
        <f>IF(AND('CONTROLE EJ'!F308="",'CONTROLE CMM'!F308=""),"",N('CONTROLE EJ'!F308)+N('CONTROLE CMM'!F308))</f>
        <v/>
      </c>
      <c r="AL306" s="223">
        <f>IF(AND('CONTROLE EJ'!G308="",'CONTROLE CMM'!G308=""),"",N('CONTROLE EJ'!G308)+N('CONTROLE CMM'!G308))</f>
        <v/>
      </c>
      <c r="AM306" s="223">
        <f>IF(AND('CONTROLE EJ'!H308="",'CONTROLE CMM'!H308=""),"",N('CONTROLE EJ'!H308)+N('CONTROLE CMM'!H308))</f>
        <v/>
      </c>
      <c r="AN306" s="223">
        <f>IF('CONTROLE GLOBO AÇOS'!G308="","",'CONTROLE GLOBO AÇOS'!G308)</f>
        <v/>
      </c>
      <c r="AO306" s="223">
        <f>IF('CONTROLE GLOBO AÇOS'!H308="","",'CONTROLE GLOBO AÇOS'!H308)</f>
        <v/>
      </c>
      <c r="AP306" s="223">
        <f>IF(AND('CONTROLE EJ'!I308="",'CONTROLE CMM'!I308=""),"",N('CONTROLE EJ'!I308)+N('CONTROLE CMM'!I308))</f>
        <v/>
      </c>
      <c r="AQ306" s="223">
        <f>IF(AND('CONTROLE EJ'!J308="",'CONTROLE CMM'!#REF!=""),"",N('CONTROLE EJ'!J308)+N('CONTROLE CMM'!#REF!))</f>
        <v/>
      </c>
      <c r="AR306" s="223">
        <f>IF('CONTROLE GLOBO AÇOS'!I308="","",'CONTROLE GLOBO AÇOS'!I308)</f>
        <v/>
      </c>
      <c r="AS306" s="223">
        <f>IF('CONTROLE GLOBO AÇOS'!J308="","",'CONTROLE GLOBO AÇOS'!J308)</f>
        <v/>
      </c>
      <c r="AT306" s="223">
        <f>IF(#REF!="","",#REF!)</f>
        <v/>
      </c>
      <c r="AU306" s="223">
        <f>IF('CONTROLE GLOBO AÇOS'!K308="","",'CONTROLE GLOBO AÇOS'!K308)</f>
        <v/>
      </c>
      <c r="AV306" s="223">
        <f>IF(AND('CONTROLE EJ'!K308="",'CONTROLE CMM'!#REF!=""),"",N('CONTROLE EJ'!K308)+N('CONTROLE CMM'!#REF!))</f>
        <v/>
      </c>
      <c r="AW306" s="223">
        <f>IF('CONTROLE GLOBO AÇOS'!L308="","",'CONTROLE GLOBO AÇOS'!L308)</f>
        <v/>
      </c>
      <c r="AX306" s="223">
        <f>IF(AND('CONTROLE EJ'!L308="",'CONTROLE CMM'!#REF!=""),"",N('CONTROLE EJ'!L308)+N('CONTROLE CMM'!#REF!))</f>
        <v/>
      </c>
      <c r="AY306" s="223">
        <f>IF('CONTROLE GLOBO AÇOS'!M308="","",'CONTROLE GLOBO AÇOS'!M308)</f>
        <v/>
      </c>
      <c r="AZ306" s="223">
        <f>IF('CONTROLE GLOBO AÇOS'!N308="","",'CONTROLE GLOBO AÇOS'!N308)</f>
        <v/>
      </c>
      <c r="BA306" s="223">
        <f>IF(AND('CONTROLE EJ'!M308="",'CONTROLE CMM'!#REF!=""),"",N('CONTROLE EJ'!M308)+N('CONTROLE CMM'!#REF!))</f>
        <v/>
      </c>
      <c r="BB306" s="223">
        <f>IF(#REF!="","",#REF!)</f>
        <v/>
      </c>
      <c r="BC306" s="223">
        <f>IF('CONTROLE GLOBO AÇOS'!O308="","",'CONTROLE GLOBO AÇOS'!O308)</f>
        <v/>
      </c>
      <c r="BD306" s="223">
        <f>IF(AND('CONTROLE EJ'!N308="",'CONTROLE CMM'!#REF!=""),"",N('CONTROLE EJ'!N308)+N('CONTROLE CMM'!#REF!))</f>
        <v/>
      </c>
      <c r="BE306" s="223">
        <f>IF('CONTROLE GLOBO AÇOS'!P308="","",'CONTROLE GLOBO AÇOS'!P308)</f>
        <v/>
      </c>
      <c r="BF306" s="223">
        <f>IF('CONTROLE GLOBO AÇOS'!Q308="","",'CONTROLE GLOBO AÇOS'!Q308)</f>
        <v/>
      </c>
      <c r="BG306" s="223">
        <f>IF('CONTROLE GLOBO AÇOS'!R308="","",'CONTROLE GLOBO AÇOS'!R308)</f>
        <v/>
      </c>
      <c r="BH306" s="223">
        <f>IF(AND('CONTROLE EJ'!O308="",'CONTROLE CMM'!#REF!=""),"",N('CONTROLE EJ'!O308)+N('CONTROLE CMM'!#REF!))</f>
        <v/>
      </c>
      <c r="BI306" s="223">
        <f>IF('CONTROLE GLOBO AÇOS'!S308="","",'CONTROLE GLOBO AÇOS'!S308)</f>
        <v/>
      </c>
      <c r="BJ306" s="223">
        <f>IF('CONTROLE GLOBO AÇOS'!T308="","",'CONTROLE GLOBO AÇOS'!T308)</f>
        <v/>
      </c>
      <c r="BK306" s="223">
        <f>IF('CONTROLE GLOBO AÇOS'!U308="","",'CONTROLE GLOBO AÇOS'!U308)</f>
        <v/>
      </c>
      <c r="BL306" s="223">
        <f>IF(AND('CONTROLE EJ'!P308="",'CONTROLE CMM'!#REF!=""),"",N('CONTROLE EJ'!P308)+N('CONTROLE CMM'!#REF!))</f>
        <v/>
      </c>
      <c r="BM306" s="223">
        <f>IF(AND('CONTROLE EJ'!Q308="",'CONTROLE CMM'!#REF!=""),"",N('CONTROLE EJ'!Q308)+N('CONTROLE CMM'!#REF!))</f>
        <v/>
      </c>
      <c r="BN306" s="223">
        <f>IF('CONTROLE GLOBO AÇOS'!V308="","",'CONTROLE GLOBO AÇOS'!V308)</f>
        <v/>
      </c>
      <c r="BO306" s="223">
        <f>IF('CONTROLE GLOBO AÇOS'!W308="","",'CONTROLE GLOBO AÇOS'!W308)</f>
        <v/>
      </c>
      <c r="BP306" s="223">
        <f>IF(AND('CONTROLE EJ'!R308="",'CONTROLE CMM'!#REF!=""),"",N('CONTROLE EJ'!R308)+N('CONTROLE CMM'!#REF!))</f>
        <v/>
      </c>
      <c r="BQ306" s="223">
        <f>IF(#REF!="","",#REF!)</f>
        <v/>
      </c>
      <c r="BR306" s="223">
        <f>IF(AND('CONTROLE EJ'!S308="",'CONTROLE CMM'!#REF!=""),"",N('CONTROLE EJ'!S308)+N('CONTROLE CMM'!#REF!))</f>
        <v/>
      </c>
      <c r="BS306" s="223">
        <f>IF(AND('CONTROLE EJ'!T308="",'CONTROLE CMM'!#REF!=""),"",N('CONTROLE EJ'!T308)+N('CONTROLE CMM'!#REF!))</f>
        <v/>
      </c>
      <c r="BT306" s="223">
        <f>IF('CONTROLE GLOBO AÇOS'!X308="","",'CONTROLE GLOBO AÇOS'!X308)</f>
        <v/>
      </c>
      <c r="BU306" s="223">
        <f>IF('CONTROLE GLOBO AÇOS'!Y308="","",'CONTROLE GLOBO AÇOS'!Y308)</f>
        <v/>
      </c>
      <c r="BV306" s="223">
        <f>IF(AND('CONTROLE EJ'!U308="",'CONTROLE CMM'!#REF!=""),"",N('CONTROLE EJ'!U308)+N('CONTROLE CMM'!#REF!))</f>
        <v/>
      </c>
      <c r="BW306" s="223">
        <f>IF(#REF!="","",#REF!)</f>
        <v/>
      </c>
    </row>
    <row r="307">
      <c r="A307" s="282" t="n">
        <v>46524</v>
      </c>
      <c r="B307" s="18">
        <f>IF('CONTROLE EJ'!B309="","",'CONTROLE EJ'!B309)</f>
        <v/>
      </c>
      <c r="C307" s="18">
        <f>IF('CONTROLE EJ'!C309="","",'CONTROLE EJ'!C309)</f>
        <v/>
      </c>
      <c r="D307" s="26">
        <f>IF('CONTROLE EJ'!D309="","",'CONTROLE EJ'!D309)</f>
        <v/>
      </c>
      <c r="E307" s="43">
        <f>IF('CONTROLE CMM'!B309="","",'CONTROLE CMM'!B309)</f>
        <v/>
      </c>
      <c r="F307" s="18">
        <f>IF('CONTROLE CMM'!C309="","",'CONTROLE CMM'!C309)</f>
        <v/>
      </c>
      <c r="G307" s="26">
        <f>IF('CONTROLE CMM'!D309="","",'CONTROLE CMM'!D309)</f>
        <v/>
      </c>
      <c r="H307" s="18">
        <f>IF('CONTROLE GLOBO AÇOS'!B309="","",'CONTROLE GLOBO AÇOS'!B309)</f>
        <v/>
      </c>
      <c r="I307" s="18">
        <f>IF('CONTROLE GLOBO AÇOS'!C309="","",'CONTROLE GLOBO AÇOS'!C309)</f>
        <v/>
      </c>
      <c r="J307" s="18">
        <f>IF('CONTROLE GLOBO AÇOS'!D309="","",'CONTROLE GLOBO AÇOS'!D309)</f>
        <v/>
      </c>
      <c r="AD307" s="39">
        <f>IF($A307="",0,IF(AND(WEEKDAY($A307,2)&lt;=5,OR($B307&lt;&gt;"",$C307&lt;&gt;"",$D307&lt;&gt;"")),1,0))</f>
        <v/>
      </c>
      <c r="AE307" s="39">
        <f>IF($A307="",0,IF(AND(WEEKDAY($A307,2)&lt;=5,OR($E307&lt;&gt;"",$F307&lt;&gt;"",$G307&lt;&gt;"")),1,0))</f>
        <v/>
      </c>
      <c r="AF307" s="39">
        <f>MAX(AD307,AE307)</f>
        <v/>
      </c>
      <c r="AH307" s="223">
        <f>IF('CONTROLE GLOBO AÇOS'!E309="","",'CONTROLE GLOBO AÇOS'!E309)</f>
        <v/>
      </c>
      <c r="AI307" s="223">
        <f>IF('CONTROLE GLOBO AÇOS'!F309="","",'CONTROLE GLOBO AÇOS'!F309)</f>
        <v/>
      </c>
      <c r="AJ307" s="223">
        <f>IF(AND('CONTROLE EJ'!E309="",'CONTROLE CMM'!E309=""),"",N('CONTROLE EJ'!E309)+N('CONTROLE CMM'!E309))</f>
        <v/>
      </c>
      <c r="AK307" s="223">
        <f>IF(AND('CONTROLE EJ'!F309="",'CONTROLE CMM'!F309=""),"",N('CONTROLE EJ'!F309)+N('CONTROLE CMM'!F309))</f>
        <v/>
      </c>
      <c r="AL307" s="223">
        <f>IF(AND('CONTROLE EJ'!G309="",'CONTROLE CMM'!G309=""),"",N('CONTROLE EJ'!G309)+N('CONTROLE CMM'!G309))</f>
        <v/>
      </c>
      <c r="AM307" s="223">
        <f>IF(AND('CONTROLE EJ'!H309="",'CONTROLE CMM'!H309=""),"",N('CONTROLE EJ'!H309)+N('CONTROLE CMM'!H309))</f>
        <v/>
      </c>
      <c r="AN307" s="223">
        <f>IF('CONTROLE GLOBO AÇOS'!G309="","",'CONTROLE GLOBO AÇOS'!G309)</f>
        <v/>
      </c>
      <c r="AO307" s="223">
        <f>IF('CONTROLE GLOBO AÇOS'!H309="","",'CONTROLE GLOBO AÇOS'!H309)</f>
        <v/>
      </c>
      <c r="AP307" s="223">
        <f>IF(AND('CONTROLE EJ'!I309="",'CONTROLE CMM'!I309=""),"",N('CONTROLE EJ'!I309)+N('CONTROLE CMM'!I309))</f>
        <v/>
      </c>
      <c r="AQ307" s="223">
        <f>IF(AND('CONTROLE EJ'!J309="",'CONTROLE CMM'!#REF!=""),"",N('CONTROLE EJ'!J309)+N('CONTROLE CMM'!#REF!))</f>
        <v/>
      </c>
      <c r="AR307" s="223">
        <f>IF('CONTROLE GLOBO AÇOS'!I309="","",'CONTROLE GLOBO AÇOS'!I309)</f>
        <v/>
      </c>
      <c r="AS307" s="223">
        <f>IF('CONTROLE GLOBO AÇOS'!J309="","",'CONTROLE GLOBO AÇOS'!J309)</f>
        <v/>
      </c>
      <c r="AT307" s="223">
        <f>IF(#REF!="","",#REF!)</f>
        <v/>
      </c>
      <c r="AU307" s="223">
        <f>IF('CONTROLE GLOBO AÇOS'!K309="","",'CONTROLE GLOBO AÇOS'!K309)</f>
        <v/>
      </c>
      <c r="AV307" s="223">
        <f>IF(AND('CONTROLE EJ'!K309="",'CONTROLE CMM'!#REF!=""),"",N('CONTROLE EJ'!K309)+N('CONTROLE CMM'!#REF!))</f>
        <v/>
      </c>
      <c r="AW307" s="223">
        <f>IF('CONTROLE GLOBO AÇOS'!L309="","",'CONTROLE GLOBO AÇOS'!L309)</f>
        <v/>
      </c>
      <c r="AX307" s="223">
        <f>IF(AND('CONTROLE EJ'!L309="",'CONTROLE CMM'!#REF!=""),"",N('CONTROLE EJ'!L309)+N('CONTROLE CMM'!#REF!))</f>
        <v/>
      </c>
      <c r="AY307" s="223">
        <f>IF('CONTROLE GLOBO AÇOS'!M309="","",'CONTROLE GLOBO AÇOS'!M309)</f>
        <v/>
      </c>
      <c r="AZ307" s="223">
        <f>IF('CONTROLE GLOBO AÇOS'!N309="","",'CONTROLE GLOBO AÇOS'!N309)</f>
        <v/>
      </c>
      <c r="BA307" s="223">
        <f>IF(AND('CONTROLE EJ'!M309="",'CONTROLE CMM'!#REF!=""),"",N('CONTROLE EJ'!M309)+N('CONTROLE CMM'!#REF!))</f>
        <v/>
      </c>
      <c r="BB307" s="223">
        <f>IF(#REF!="","",#REF!)</f>
        <v/>
      </c>
      <c r="BC307" s="223">
        <f>IF('CONTROLE GLOBO AÇOS'!O309="","",'CONTROLE GLOBO AÇOS'!O309)</f>
        <v/>
      </c>
      <c r="BD307" s="223">
        <f>IF(AND('CONTROLE EJ'!N309="",'CONTROLE CMM'!#REF!=""),"",N('CONTROLE EJ'!N309)+N('CONTROLE CMM'!#REF!))</f>
        <v/>
      </c>
      <c r="BE307" s="223">
        <f>IF('CONTROLE GLOBO AÇOS'!P309="","",'CONTROLE GLOBO AÇOS'!P309)</f>
        <v/>
      </c>
      <c r="BF307" s="223">
        <f>IF('CONTROLE GLOBO AÇOS'!Q309="","",'CONTROLE GLOBO AÇOS'!Q309)</f>
        <v/>
      </c>
      <c r="BG307" s="223">
        <f>IF('CONTROLE GLOBO AÇOS'!R309="","",'CONTROLE GLOBO AÇOS'!R309)</f>
        <v/>
      </c>
      <c r="BH307" s="223">
        <f>IF(AND('CONTROLE EJ'!O309="",'CONTROLE CMM'!#REF!=""),"",N('CONTROLE EJ'!O309)+N('CONTROLE CMM'!#REF!))</f>
        <v/>
      </c>
      <c r="BI307" s="223">
        <f>IF('CONTROLE GLOBO AÇOS'!S309="","",'CONTROLE GLOBO AÇOS'!S309)</f>
        <v/>
      </c>
      <c r="BJ307" s="223">
        <f>IF('CONTROLE GLOBO AÇOS'!T309="","",'CONTROLE GLOBO AÇOS'!T309)</f>
        <v/>
      </c>
      <c r="BK307" s="223">
        <f>IF('CONTROLE GLOBO AÇOS'!U309="","",'CONTROLE GLOBO AÇOS'!U309)</f>
        <v/>
      </c>
      <c r="BL307" s="223">
        <f>IF(AND('CONTROLE EJ'!P309="",'CONTROLE CMM'!#REF!=""),"",N('CONTROLE EJ'!P309)+N('CONTROLE CMM'!#REF!))</f>
        <v/>
      </c>
      <c r="BM307" s="223">
        <f>IF(AND('CONTROLE EJ'!Q309="",'CONTROLE CMM'!#REF!=""),"",N('CONTROLE EJ'!Q309)+N('CONTROLE CMM'!#REF!))</f>
        <v/>
      </c>
      <c r="BN307" s="223">
        <f>IF('CONTROLE GLOBO AÇOS'!V309="","",'CONTROLE GLOBO AÇOS'!V309)</f>
        <v/>
      </c>
      <c r="BO307" s="223">
        <f>IF('CONTROLE GLOBO AÇOS'!W309="","",'CONTROLE GLOBO AÇOS'!W309)</f>
        <v/>
      </c>
      <c r="BP307" s="223">
        <f>IF(AND('CONTROLE EJ'!R309="",'CONTROLE CMM'!#REF!=""),"",N('CONTROLE EJ'!R309)+N('CONTROLE CMM'!#REF!))</f>
        <v/>
      </c>
      <c r="BQ307" s="223">
        <f>IF(#REF!="","",#REF!)</f>
        <v/>
      </c>
      <c r="BR307" s="223">
        <f>IF(AND('CONTROLE EJ'!S309="",'CONTROLE CMM'!#REF!=""),"",N('CONTROLE EJ'!S309)+N('CONTROLE CMM'!#REF!))</f>
        <v/>
      </c>
      <c r="BS307" s="223">
        <f>IF(AND('CONTROLE EJ'!T309="",'CONTROLE CMM'!#REF!=""),"",N('CONTROLE EJ'!T309)+N('CONTROLE CMM'!#REF!))</f>
        <v/>
      </c>
      <c r="BT307" s="223">
        <f>IF('CONTROLE GLOBO AÇOS'!X309="","",'CONTROLE GLOBO AÇOS'!X309)</f>
        <v/>
      </c>
      <c r="BU307" s="223">
        <f>IF('CONTROLE GLOBO AÇOS'!Y309="","",'CONTROLE GLOBO AÇOS'!Y309)</f>
        <v/>
      </c>
      <c r="BV307" s="223">
        <f>IF(AND('CONTROLE EJ'!U309="",'CONTROLE CMM'!#REF!=""),"",N('CONTROLE EJ'!U309)+N('CONTROLE CMM'!#REF!))</f>
        <v/>
      </c>
      <c r="BW307" s="223">
        <f>IF(#REF!="","",#REF!)</f>
        <v/>
      </c>
    </row>
    <row r="308">
      <c r="A308" s="282" t="n">
        <v>46525</v>
      </c>
      <c r="B308" s="18">
        <f>IF('CONTROLE EJ'!B310="","",'CONTROLE EJ'!B310)</f>
        <v/>
      </c>
      <c r="C308" s="18">
        <f>IF('CONTROLE EJ'!C310="","",'CONTROLE EJ'!C310)</f>
        <v/>
      </c>
      <c r="D308" s="26">
        <f>IF('CONTROLE EJ'!D310="","",'CONTROLE EJ'!D310)</f>
        <v/>
      </c>
      <c r="E308" s="43">
        <f>IF('CONTROLE CMM'!B310="","",'CONTROLE CMM'!B310)</f>
        <v/>
      </c>
      <c r="F308" s="18">
        <f>IF('CONTROLE CMM'!C310="","",'CONTROLE CMM'!C310)</f>
        <v/>
      </c>
      <c r="G308" s="26">
        <f>IF('CONTROLE CMM'!D310="","",'CONTROLE CMM'!D310)</f>
        <v/>
      </c>
      <c r="H308" s="18">
        <f>IF('CONTROLE GLOBO AÇOS'!B310="","",'CONTROLE GLOBO AÇOS'!B310)</f>
        <v/>
      </c>
      <c r="I308" s="18">
        <f>IF('CONTROLE GLOBO AÇOS'!C310="","",'CONTROLE GLOBO AÇOS'!C310)</f>
        <v/>
      </c>
      <c r="J308" s="18">
        <f>IF('CONTROLE GLOBO AÇOS'!D310="","",'CONTROLE GLOBO AÇOS'!D310)</f>
        <v/>
      </c>
      <c r="AD308" s="39">
        <f>IF($A308="",0,IF(AND(WEEKDAY($A308,2)&lt;=5,OR($B308&lt;&gt;"",$C308&lt;&gt;"",$D308&lt;&gt;"")),1,0))</f>
        <v/>
      </c>
      <c r="AE308" s="39">
        <f>IF($A308="",0,IF(AND(WEEKDAY($A308,2)&lt;=5,OR($E308&lt;&gt;"",$F308&lt;&gt;"",$G308&lt;&gt;"")),1,0))</f>
        <v/>
      </c>
      <c r="AF308" s="39">
        <f>MAX(AD308,AE308)</f>
        <v/>
      </c>
      <c r="AH308" s="223">
        <f>IF('CONTROLE GLOBO AÇOS'!E310="","",'CONTROLE GLOBO AÇOS'!E310)</f>
        <v/>
      </c>
      <c r="AI308" s="223">
        <f>IF('CONTROLE GLOBO AÇOS'!F310="","",'CONTROLE GLOBO AÇOS'!F310)</f>
        <v/>
      </c>
      <c r="AJ308" s="223">
        <f>IF(AND('CONTROLE EJ'!E310="",'CONTROLE CMM'!E310=""),"",N('CONTROLE EJ'!E310)+N('CONTROLE CMM'!E310))</f>
        <v/>
      </c>
      <c r="AK308" s="223">
        <f>IF(AND('CONTROLE EJ'!F310="",'CONTROLE CMM'!F310=""),"",N('CONTROLE EJ'!F310)+N('CONTROLE CMM'!F310))</f>
        <v/>
      </c>
      <c r="AL308" s="223">
        <f>IF(AND('CONTROLE EJ'!G310="",'CONTROLE CMM'!G310=""),"",N('CONTROLE EJ'!G310)+N('CONTROLE CMM'!G310))</f>
        <v/>
      </c>
      <c r="AM308" s="223">
        <f>IF(AND('CONTROLE EJ'!H310="",'CONTROLE CMM'!H310=""),"",N('CONTROLE EJ'!H310)+N('CONTROLE CMM'!H310))</f>
        <v/>
      </c>
      <c r="AN308" s="223">
        <f>IF('CONTROLE GLOBO AÇOS'!G310="","",'CONTROLE GLOBO AÇOS'!G310)</f>
        <v/>
      </c>
      <c r="AO308" s="223">
        <f>IF('CONTROLE GLOBO AÇOS'!H310="","",'CONTROLE GLOBO AÇOS'!H310)</f>
        <v/>
      </c>
      <c r="AP308" s="223">
        <f>IF(AND('CONTROLE EJ'!I310="",'CONTROLE CMM'!I310=""),"",N('CONTROLE EJ'!I310)+N('CONTROLE CMM'!I310))</f>
        <v/>
      </c>
      <c r="AQ308" s="223">
        <f>IF(AND('CONTROLE EJ'!J310="",'CONTROLE CMM'!#REF!=""),"",N('CONTROLE EJ'!J310)+N('CONTROLE CMM'!#REF!))</f>
        <v/>
      </c>
      <c r="AR308" s="223">
        <f>IF('CONTROLE GLOBO AÇOS'!I310="","",'CONTROLE GLOBO AÇOS'!I310)</f>
        <v/>
      </c>
      <c r="AS308" s="223">
        <f>IF('CONTROLE GLOBO AÇOS'!J310="","",'CONTROLE GLOBO AÇOS'!J310)</f>
        <v/>
      </c>
      <c r="AT308" s="223">
        <f>IF(#REF!="","",#REF!)</f>
        <v/>
      </c>
      <c r="AU308" s="223">
        <f>IF('CONTROLE GLOBO AÇOS'!K310="","",'CONTROLE GLOBO AÇOS'!K310)</f>
        <v/>
      </c>
      <c r="AV308" s="223">
        <f>IF(AND('CONTROLE EJ'!K310="",'CONTROLE CMM'!#REF!=""),"",N('CONTROLE EJ'!K310)+N('CONTROLE CMM'!#REF!))</f>
        <v/>
      </c>
      <c r="AW308" s="223">
        <f>IF('CONTROLE GLOBO AÇOS'!L310="","",'CONTROLE GLOBO AÇOS'!L310)</f>
        <v/>
      </c>
      <c r="AX308" s="223">
        <f>IF(AND('CONTROLE EJ'!L310="",'CONTROLE CMM'!#REF!=""),"",N('CONTROLE EJ'!L310)+N('CONTROLE CMM'!#REF!))</f>
        <v/>
      </c>
      <c r="AY308" s="223">
        <f>IF('CONTROLE GLOBO AÇOS'!M310="","",'CONTROLE GLOBO AÇOS'!M310)</f>
        <v/>
      </c>
      <c r="AZ308" s="223">
        <f>IF('CONTROLE GLOBO AÇOS'!N310="","",'CONTROLE GLOBO AÇOS'!N310)</f>
        <v/>
      </c>
      <c r="BA308" s="223">
        <f>IF(AND('CONTROLE EJ'!M310="",'CONTROLE CMM'!#REF!=""),"",N('CONTROLE EJ'!M310)+N('CONTROLE CMM'!#REF!))</f>
        <v/>
      </c>
      <c r="BB308" s="223">
        <f>IF(#REF!="","",#REF!)</f>
        <v/>
      </c>
      <c r="BC308" s="223">
        <f>IF('CONTROLE GLOBO AÇOS'!O310="","",'CONTROLE GLOBO AÇOS'!O310)</f>
        <v/>
      </c>
      <c r="BD308" s="223">
        <f>IF(AND('CONTROLE EJ'!N310="",'CONTROLE CMM'!#REF!=""),"",N('CONTROLE EJ'!N310)+N('CONTROLE CMM'!#REF!))</f>
        <v/>
      </c>
      <c r="BE308" s="223">
        <f>IF('CONTROLE GLOBO AÇOS'!P310="","",'CONTROLE GLOBO AÇOS'!P310)</f>
        <v/>
      </c>
      <c r="BF308" s="223">
        <f>IF('CONTROLE GLOBO AÇOS'!Q310="","",'CONTROLE GLOBO AÇOS'!Q310)</f>
        <v/>
      </c>
      <c r="BG308" s="223">
        <f>IF('CONTROLE GLOBO AÇOS'!R310="","",'CONTROLE GLOBO AÇOS'!R310)</f>
        <v/>
      </c>
      <c r="BH308" s="223">
        <f>IF(AND('CONTROLE EJ'!O310="",'CONTROLE CMM'!#REF!=""),"",N('CONTROLE EJ'!O310)+N('CONTROLE CMM'!#REF!))</f>
        <v/>
      </c>
      <c r="BI308" s="223">
        <f>IF('CONTROLE GLOBO AÇOS'!S310="","",'CONTROLE GLOBO AÇOS'!S310)</f>
        <v/>
      </c>
      <c r="BJ308" s="223">
        <f>IF('CONTROLE GLOBO AÇOS'!T310="","",'CONTROLE GLOBO AÇOS'!T310)</f>
        <v/>
      </c>
      <c r="BK308" s="223">
        <f>IF('CONTROLE GLOBO AÇOS'!U310="","",'CONTROLE GLOBO AÇOS'!U310)</f>
        <v/>
      </c>
      <c r="BL308" s="223">
        <f>IF(AND('CONTROLE EJ'!P310="",'CONTROLE CMM'!#REF!=""),"",N('CONTROLE EJ'!P310)+N('CONTROLE CMM'!#REF!))</f>
        <v/>
      </c>
      <c r="BM308" s="223">
        <f>IF(AND('CONTROLE EJ'!Q310="",'CONTROLE CMM'!#REF!=""),"",N('CONTROLE EJ'!Q310)+N('CONTROLE CMM'!#REF!))</f>
        <v/>
      </c>
      <c r="BN308" s="223">
        <f>IF('CONTROLE GLOBO AÇOS'!V310="","",'CONTROLE GLOBO AÇOS'!V310)</f>
        <v/>
      </c>
      <c r="BO308" s="223">
        <f>IF('CONTROLE GLOBO AÇOS'!W310="","",'CONTROLE GLOBO AÇOS'!W310)</f>
        <v/>
      </c>
      <c r="BP308" s="223">
        <f>IF(AND('CONTROLE EJ'!R310="",'CONTROLE CMM'!#REF!=""),"",N('CONTROLE EJ'!R310)+N('CONTROLE CMM'!#REF!))</f>
        <v/>
      </c>
      <c r="BQ308" s="223">
        <f>IF(#REF!="","",#REF!)</f>
        <v/>
      </c>
      <c r="BR308" s="223">
        <f>IF(AND('CONTROLE EJ'!S310="",'CONTROLE CMM'!#REF!=""),"",N('CONTROLE EJ'!S310)+N('CONTROLE CMM'!#REF!))</f>
        <v/>
      </c>
      <c r="BS308" s="223">
        <f>IF(AND('CONTROLE EJ'!T310="",'CONTROLE CMM'!#REF!=""),"",N('CONTROLE EJ'!T310)+N('CONTROLE CMM'!#REF!))</f>
        <v/>
      </c>
      <c r="BT308" s="223">
        <f>IF('CONTROLE GLOBO AÇOS'!X310="","",'CONTROLE GLOBO AÇOS'!X310)</f>
        <v/>
      </c>
      <c r="BU308" s="223">
        <f>IF('CONTROLE GLOBO AÇOS'!Y310="","",'CONTROLE GLOBO AÇOS'!Y310)</f>
        <v/>
      </c>
      <c r="BV308" s="223">
        <f>IF(AND('CONTROLE EJ'!U310="",'CONTROLE CMM'!#REF!=""),"",N('CONTROLE EJ'!U310)+N('CONTROLE CMM'!#REF!))</f>
        <v/>
      </c>
      <c r="BW308" s="223">
        <f>IF(#REF!="","",#REF!)</f>
        <v/>
      </c>
    </row>
    <row r="309">
      <c r="A309" s="282" t="n">
        <v>46526</v>
      </c>
      <c r="B309" s="18">
        <f>IF('CONTROLE EJ'!B311="","",'CONTROLE EJ'!B311)</f>
        <v/>
      </c>
      <c r="C309" s="18">
        <f>IF('CONTROLE EJ'!C311="","",'CONTROLE EJ'!C311)</f>
        <v/>
      </c>
      <c r="D309" s="26">
        <f>IF('CONTROLE EJ'!D311="","",'CONTROLE EJ'!D311)</f>
        <v/>
      </c>
      <c r="E309" s="43">
        <f>IF('CONTROLE CMM'!B311="","",'CONTROLE CMM'!B311)</f>
        <v/>
      </c>
      <c r="F309" s="18">
        <f>IF('CONTROLE CMM'!C311="","",'CONTROLE CMM'!C311)</f>
        <v/>
      </c>
      <c r="G309" s="26">
        <f>IF('CONTROLE CMM'!D311="","",'CONTROLE CMM'!D311)</f>
        <v/>
      </c>
      <c r="H309" s="18">
        <f>IF('CONTROLE GLOBO AÇOS'!B311="","",'CONTROLE GLOBO AÇOS'!B311)</f>
        <v/>
      </c>
      <c r="I309" s="18">
        <f>IF('CONTROLE GLOBO AÇOS'!C311="","",'CONTROLE GLOBO AÇOS'!C311)</f>
        <v/>
      </c>
      <c r="J309" s="18">
        <f>IF('CONTROLE GLOBO AÇOS'!D311="","",'CONTROLE GLOBO AÇOS'!D311)</f>
        <v/>
      </c>
      <c r="AD309" s="39">
        <f>IF($A309="",0,IF(AND(WEEKDAY($A309,2)&lt;=5,OR($B309&lt;&gt;"",$C309&lt;&gt;"",$D309&lt;&gt;"")),1,0))</f>
        <v/>
      </c>
      <c r="AE309" s="39">
        <f>IF($A309="",0,IF(AND(WEEKDAY($A309,2)&lt;=5,OR($E309&lt;&gt;"",$F309&lt;&gt;"",$G309&lt;&gt;"")),1,0))</f>
        <v/>
      </c>
      <c r="AF309" s="39">
        <f>MAX(AD309,AE309)</f>
        <v/>
      </c>
      <c r="AH309" s="223">
        <f>IF('CONTROLE GLOBO AÇOS'!E311="","",'CONTROLE GLOBO AÇOS'!E311)</f>
        <v/>
      </c>
      <c r="AI309" s="223">
        <f>IF('CONTROLE GLOBO AÇOS'!F311="","",'CONTROLE GLOBO AÇOS'!F311)</f>
        <v/>
      </c>
      <c r="AJ309" s="223">
        <f>IF(AND('CONTROLE EJ'!E311="",'CONTROLE CMM'!E311=""),"",N('CONTROLE EJ'!E311)+N('CONTROLE CMM'!E311))</f>
        <v/>
      </c>
      <c r="AK309" s="223">
        <f>IF(AND('CONTROLE EJ'!F311="",'CONTROLE CMM'!F311=""),"",N('CONTROLE EJ'!F311)+N('CONTROLE CMM'!F311))</f>
        <v/>
      </c>
      <c r="AL309" s="223">
        <f>IF(AND('CONTROLE EJ'!G311="",'CONTROLE CMM'!G311=""),"",N('CONTROLE EJ'!G311)+N('CONTROLE CMM'!G311))</f>
        <v/>
      </c>
      <c r="AM309" s="223">
        <f>IF(AND('CONTROLE EJ'!H311="",'CONTROLE CMM'!H311=""),"",N('CONTROLE EJ'!H311)+N('CONTROLE CMM'!H311))</f>
        <v/>
      </c>
      <c r="AN309" s="223">
        <f>IF('CONTROLE GLOBO AÇOS'!G311="","",'CONTROLE GLOBO AÇOS'!G311)</f>
        <v/>
      </c>
      <c r="AO309" s="223">
        <f>IF('CONTROLE GLOBO AÇOS'!H311="","",'CONTROLE GLOBO AÇOS'!H311)</f>
        <v/>
      </c>
      <c r="AP309" s="223">
        <f>IF(AND('CONTROLE EJ'!I311="",'CONTROLE CMM'!I311=""),"",N('CONTROLE EJ'!I311)+N('CONTROLE CMM'!I311))</f>
        <v/>
      </c>
      <c r="AQ309" s="223">
        <f>IF(AND('CONTROLE EJ'!J311="",'CONTROLE CMM'!#REF!=""),"",N('CONTROLE EJ'!J311)+N('CONTROLE CMM'!#REF!))</f>
        <v/>
      </c>
      <c r="AR309" s="223">
        <f>IF('CONTROLE GLOBO AÇOS'!I311="","",'CONTROLE GLOBO AÇOS'!I311)</f>
        <v/>
      </c>
      <c r="AS309" s="223">
        <f>IF('CONTROLE GLOBO AÇOS'!J311="","",'CONTROLE GLOBO AÇOS'!J311)</f>
        <v/>
      </c>
      <c r="AT309" s="223">
        <f>IF(#REF!="","",#REF!)</f>
        <v/>
      </c>
      <c r="AU309" s="223">
        <f>IF('CONTROLE GLOBO AÇOS'!K311="","",'CONTROLE GLOBO AÇOS'!K311)</f>
        <v/>
      </c>
      <c r="AV309" s="223">
        <f>IF(AND('CONTROLE EJ'!K311="",'CONTROLE CMM'!#REF!=""),"",N('CONTROLE EJ'!K311)+N('CONTROLE CMM'!#REF!))</f>
        <v/>
      </c>
      <c r="AW309" s="223">
        <f>IF('CONTROLE GLOBO AÇOS'!L311="","",'CONTROLE GLOBO AÇOS'!L311)</f>
        <v/>
      </c>
      <c r="AX309" s="223">
        <f>IF(AND('CONTROLE EJ'!L311="",'CONTROLE CMM'!#REF!=""),"",N('CONTROLE EJ'!L311)+N('CONTROLE CMM'!#REF!))</f>
        <v/>
      </c>
      <c r="AY309" s="223">
        <f>IF('CONTROLE GLOBO AÇOS'!M311="","",'CONTROLE GLOBO AÇOS'!M311)</f>
        <v/>
      </c>
      <c r="AZ309" s="223">
        <f>IF('CONTROLE GLOBO AÇOS'!N311="","",'CONTROLE GLOBO AÇOS'!N311)</f>
        <v/>
      </c>
      <c r="BA309" s="223">
        <f>IF(AND('CONTROLE EJ'!M311="",'CONTROLE CMM'!#REF!=""),"",N('CONTROLE EJ'!M311)+N('CONTROLE CMM'!#REF!))</f>
        <v/>
      </c>
      <c r="BB309" s="223">
        <f>IF(#REF!="","",#REF!)</f>
        <v/>
      </c>
      <c r="BC309" s="223">
        <f>IF('CONTROLE GLOBO AÇOS'!O311="","",'CONTROLE GLOBO AÇOS'!O311)</f>
        <v/>
      </c>
      <c r="BD309" s="223">
        <f>IF(AND('CONTROLE EJ'!N311="",'CONTROLE CMM'!#REF!=""),"",N('CONTROLE EJ'!N311)+N('CONTROLE CMM'!#REF!))</f>
        <v/>
      </c>
      <c r="BE309" s="223">
        <f>IF('CONTROLE GLOBO AÇOS'!P311="","",'CONTROLE GLOBO AÇOS'!P311)</f>
        <v/>
      </c>
      <c r="BF309" s="223">
        <f>IF('CONTROLE GLOBO AÇOS'!Q311="","",'CONTROLE GLOBO AÇOS'!Q311)</f>
        <v/>
      </c>
      <c r="BG309" s="223">
        <f>IF('CONTROLE GLOBO AÇOS'!R311="","",'CONTROLE GLOBO AÇOS'!R311)</f>
        <v/>
      </c>
      <c r="BH309" s="223">
        <f>IF(AND('CONTROLE EJ'!O311="",'CONTROLE CMM'!#REF!=""),"",N('CONTROLE EJ'!O311)+N('CONTROLE CMM'!#REF!))</f>
        <v/>
      </c>
      <c r="BI309" s="223">
        <f>IF('CONTROLE GLOBO AÇOS'!S311="","",'CONTROLE GLOBO AÇOS'!S311)</f>
        <v/>
      </c>
      <c r="BJ309" s="223">
        <f>IF('CONTROLE GLOBO AÇOS'!T311="","",'CONTROLE GLOBO AÇOS'!T311)</f>
        <v/>
      </c>
      <c r="BK309" s="223">
        <f>IF('CONTROLE GLOBO AÇOS'!U311="","",'CONTROLE GLOBO AÇOS'!U311)</f>
        <v/>
      </c>
      <c r="BL309" s="223">
        <f>IF(AND('CONTROLE EJ'!P311="",'CONTROLE CMM'!#REF!=""),"",N('CONTROLE EJ'!P311)+N('CONTROLE CMM'!#REF!))</f>
        <v/>
      </c>
      <c r="BM309" s="223">
        <f>IF(AND('CONTROLE EJ'!Q311="",'CONTROLE CMM'!#REF!=""),"",N('CONTROLE EJ'!Q311)+N('CONTROLE CMM'!#REF!))</f>
        <v/>
      </c>
      <c r="BN309" s="223">
        <f>IF('CONTROLE GLOBO AÇOS'!V311="","",'CONTROLE GLOBO AÇOS'!V311)</f>
        <v/>
      </c>
      <c r="BO309" s="223">
        <f>IF('CONTROLE GLOBO AÇOS'!W311="","",'CONTROLE GLOBO AÇOS'!W311)</f>
        <v/>
      </c>
      <c r="BP309" s="223">
        <f>IF(AND('CONTROLE EJ'!R311="",'CONTROLE CMM'!#REF!=""),"",N('CONTROLE EJ'!R311)+N('CONTROLE CMM'!#REF!))</f>
        <v/>
      </c>
      <c r="BQ309" s="223">
        <f>IF(#REF!="","",#REF!)</f>
        <v/>
      </c>
      <c r="BR309" s="223">
        <f>IF(AND('CONTROLE EJ'!S311="",'CONTROLE CMM'!#REF!=""),"",N('CONTROLE EJ'!S311)+N('CONTROLE CMM'!#REF!))</f>
        <v/>
      </c>
      <c r="BS309" s="223">
        <f>IF(AND('CONTROLE EJ'!T311="",'CONTROLE CMM'!#REF!=""),"",N('CONTROLE EJ'!T311)+N('CONTROLE CMM'!#REF!))</f>
        <v/>
      </c>
      <c r="BT309" s="223">
        <f>IF('CONTROLE GLOBO AÇOS'!X311="","",'CONTROLE GLOBO AÇOS'!X311)</f>
        <v/>
      </c>
      <c r="BU309" s="223">
        <f>IF('CONTROLE GLOBO AÇOS'!Y311="","",'CONTROLE GLOBO AÇOS'!Y311)</f>
        <v/>
      </c>
      <c r="BV309" s="223">
        <f>IF(AND('CONTROLE EJ'!U311="",'CONTROLE CMM'!#REF!=""),"",N('CONTROLE EJ'!U311)+N('CONTROLE CMM'!#REF!))</f>
        <v/>
      </c>
      <c r="BW309" s="223">
        <f>IF(#REF!="","",#REF!)</f>
        <v/>
      </c>
    </row>
    <row r="310">
      <c r="A310" s="282" t="n">
        <v>46527</v>
      </c>
      <c r="B310" s="18">
        <f>IF('CONTROLE EJ'!B312="","",'CONTROLE EJ'!B312)</f>
        <v/>
      </c>
      <c r="C310" s="18">
        <f>IF('CONTROLE EJ'!C312="","",'CONTROLE EJ'!C312)</f>
        <v/>
      </c>
      <c r="D310" s="26">
        <f>IF('CONTROLE EJ'!D312="","",'CONTROLE EJ'!D312)</f>
        <v/>
      </c>
      <c r="E310" s="43">
        <f>IF('CONTROLE CMM'!B312="","",'CONTROLE CMM'!B312)</f>
        <v/>
      </c>
      <c r="F310" s="18">
        <f>IF('CONTROLE CMM'!C312="","",'CONTROLE CMM'!C312)</f>
        <v/>
      </c>
      <c r="G310" s="26">
        <f>IF('CONTROLE CMM'!D312="","",'CONTROLE CMM'!D312)</f>
        <v/>
      </c>
      <c r="H310" s="18">
        <f>IF('CONTROLE GLOBO AÇOS'!B312="","",'CONTROLE GLOBO AÇOS'!B312)</f>
        <v/>
      </c>
      <c r="I310" s="18">
        <f>IF('CONTROLE GLOBO AÇOS'!C312="","",'CONTROLE GLOBO AÇOS'!C312)</f>
        <v/>
      </c>
      <c r="J310" s="18">
        <f>IF('CONTROLE GLOBO AÇOS'!D312="","",'CONTROLE GLOBO AÇOS'!D312)</f>
        <v/>
      </c>
      <c r="AD310" s="39">
        <f>IF($A310="",0,IF(AND(WEEKDAY($A310,2)&lt;=5,OR($B310&lt;&gt;"",$C310&lt;&gt;"",$D310&lt;&gt;"")),1,0))</f>
        <v/>
      </c>
      <c r="AE310" s="39">
        <f>IF($A310="",0,IF(AND(WEEKDAY($A310,2)&lt;=5,OR($E310&lt;&gt;"",$F310&lt;&gt;"",$G310&lt;&gt;"")),1,0))</f>
        <v/>
      </c>
      <c r="AF310" s="39">
        <f>MAX(AD310,AE310)</f>
        <v/>
      </c>
      <c r="AH310" s="223">
        <f>IF('CONTROLE GLOBO AÇOS'!E312="","",'CONTROLE GLOBO AÇOS'!E312)</f>
        <v/>
      </c>
      <c r="AI310" s="223">
        <f>IF('CONTROLE GLOBO AÇOS'!F312="","",'CONTROLE GLOBO AÇOS'!F312)</f>
        <v/>
      </c>
      <c r="AJ310" s="223">
        <f>IF(AND('CONTROLE EJ'!E312="",'CONTROLE CMM'!E312=""),"",N('CONTROLE EJ'!E312)+N('CONTROLE CMM'!E312))</f>
        <v/>
      </c>
      <c r="AK310" s="223">
        <f>IF(AND('CONTROLE EJ'!F312="",'CONTROLE CMM'!F312=""),"",N('CONTROLE EJ'!F312)+N('CONTROLE CMM'!F312))</f>
        <v/>
      </c>
      <c r="AL310" s="223">
        <f>IF(AND('CONTROLE EJ'!G312="",'CONTROLE CMM'!G312=""),"",N('CONTROLE EJ'!G312)+N('CONTROLE CMM'!G312))</f>
        <v/>
      </c>
      <c r="AM310" s="223">
        <f>IF(AND('CONTROLE EJ'!H312="",'CONTROLE CMM'!H312=""),"",N('CONTROLE EJ'!H312)+N('CONTROLE CMM'!H312))</f>
        <v/>
      </c>
      <c r="AN310" s="223">
        <f>IF('CONTROLE GLOBO AÇOS'!G312="","",'CONTROLE GLOBO AÇOS'!G312)</f>
        <v/>
      </c>
      <c r="AO310" s="223">
        <f>IF('CONTROLE GLOBO AÇOS'!H312="","",'CONTROLE GLOBO AÇOS'!H312)</f>
        <v/>
      </c>
      <c r="AP310" s="223">
        <f>IF(AND('CONTROLE EJ'!I312="",'CONTROLE CMM'!I312=""),"",N('CONTROLE EJ'!I312)+N('CONTROLE CMM'!I312))</f>
        <v/>
      </c>
      <c r="AQ310" s="223">
        <f>IF(AND('CONTROLE EJ'!J312="",'CONTROLE CMM'!#REF!=""),"",N('CONTROLE EJ'!J312)+N('CONTROLE CMM'!#REF!))</f>
        <v/>
      </c>
      <c r="AR310" s="223">
        <f>IF('CONTROLE GLOBO AÇOS'!I312="","",'CONTROLE GLOBO AÇOS'!I312)</f>
        <v/>
      </c>
      <c r="AS310" s="223">
        <f>IF('CONTROLE GLOBO AÇOS'!J312="","",'CONTROLE GLOBO AÇOS'!J312)</f>
        <v/>
      </c>
      <c r="AT310" s="223">
        <f>IF(#REF!="","",#REF!)</f>
        <v/>
      </c>
      <c r="AU310" s="223">
        <f>IF('CONTROLE GLOBO AÇOS'!K312="","",'CONTROLE GLOBO AÇOS'!K312)</f>
        <v/>
      </c>
      <c r="AV310" s="223">
        <f>IF(AND('CONTROLE EJ'!K312="",'CONTROLE CMM'!#REF!=""),"",N('CONTROLE EJ'!K312)+N('CONTROLE CMM'!#REF!))</f>
        <v/>
      </c>
      <c r="AW310" s="223">
        <f>IF('CONTROLE GLOBO AÇOS'!L312="","",'CONTROLE GLOBO AÇOS'!L312)</f>
        <v/>
      </c>
      <c r="AX310" s="223">
        <f>IF(AND('CONTROLE EJ'!L312="",'CONTROLE CMM'!#REF!=""),"",N('CONTROLE EJ'!L312)+N('CONTROLE CMM'!#REF!))</f>
        <v/>
      </c>
      <c r="AY310" s="223">
        <f>IF('CONTROLE GLOBO AÇOS'!M312="","",'CONTROLE GLOBO AÇOS'!M312)</f>
        <v/>
      </c>
      <c r="AZ310" s="223">
        <f>IF('CONTROLE GLOBO AÇOS'!N312="","",'CONTROLE GLOBO AÇOS'!N312)</f>
        <v/>
      </c>
      <c r="BA310" s="223">
        <f>IF(AND('CONTROLE EJ'!M312="",'CONTROLE CMM'!#REF!=""),"",N('CONTROLE EJ'!M312)+N('CONTROLE CMM'!#REF!))</f>
        <v/>
      </c>
      <c r="BB310" s="223">
        <f>IF(#REF!="","",#REF!)</f>
        <v/>
      </c>
      <c r="BC310" s="223">
        <f>IF('CONTROLE GLOBO AÇOS'!O312="","",'CONTROLE GLOBO AÇOS'!O312)</f>
        <v/>
      </c>
      <c r="BD310" s="223">
        <f>IF(AND('CONTROLE EJ'!N312="",'CONTROLE CMM'!#REF!=""),"",N('CONTROLE EJ'!N312)+N('CONTROLE CMM'!#REF!))</f>
        <v/>
      </c>
      <c r="BE310" s="223">
        <f>IF('CONTROLE GLOBO AÇOS'!P312="","",'CONTROLE GLOBO AÇOS'!P312)</f>
        <v/>
      </c>
      <c r="BF310" s="223">
        <f>IF('CONTROLE GLOBO AÇOS'!Q312="","",'CONTROLE GLOBO AÇOS'!Q312)</f>
        <v/>
      </c>
      <c r="BG310" s="223">
        <f>IF('CONTROLE GLOBO AÇOS'!R312="","",'CONTROLE GLOBO AÇOS'!R312)</f>
        <v/>
      </c>
      <c r="BH310" s="223">
        <f>IF(AND('CONTROLE EJ'!O312="",'CONTROLE CMM'!#REF!=""),"",N('CONTROLE EJ'!O312)+N('CONTROLE CMM'!#REF!))</f>
        <v/>
      </c>
      <c r="BI310" s="223">
        <f>IF('CONTROLE GLOBO AÇOS'!S312="","",'CONTROLE GLOBO AÇOS'!S312)</f>
        <v/>
      </c>
      <c r="BJ310" s="223">
        <f>IF('CONTROLE GLOBO AÇOS'!T312="","",'CONTROLE GLOBO AÇOS'!T312)</f>
        <v/>
      </c>
      <c r="BK310" s="223">
        <f>IF('CONTROLE GLOBO AÇOS'!U312="","",'CONTROLE GLOBO AÇOS'!U312)</f>
        <v/>
      </c>
      <c r="BL310" s="223">
        <f>IF(AND('CONTROLE EJ'!P312="",'CONTROLE CMM'!#REF!=""),"",N('CONTROLE EJ'!P312)+N('CONTROLE CMM'!#REF!))</f>
        <v/>
      </c>
      <c r="BM310" s="223">
        <f>IF(AND('CONTROLE EJ'!Q312="",'CONTROLE CMM'!#REF!=""),"",N('CONTROLE EJ'!Q312)+N('CONTROLE CMM'!#REF!))</f>
        <v/>
      </c>
      <c r="BN310" s="223">
        <f>IF('CONTROLE GLOBO AÇOS'!V312="","",'CONTROLE GLOBO AÇOS'!V312)</f>
        <v/>
      </c>
      <c r="BO310" s="223">
        <f>IF('CONTROLE GLOBO AÇOS'!W312="","",'CONTROLE GLOBO AÇOS'!W312)</f>
        <v/>
      </c>
      <c r="BP310" s="223">
        <f>IF(AND('CONTROLE EJ'!R312="",'CONTROLE CMM'!#REF!=""),"",N('CONTROLE EJ'!R312)+N('CONTROLE CMM'!#REF!))</f>
        <v/>
      </c>
      <c r="BQ310" s="223">
        <f>IF(#REF!="","",#REF!)</f>
        <v/>
      </c>
      <c r="BR310" s="223">
        <f>IF(AND('CONTROLE EJ'!S312="",'CONTROLE CMM'!#REF!=""),"",N('CONTROLE EJ'!S312)+N('CONTROLE CMM'!#REF!))</f>
        <v/>
      </c>
      <c r="BS310" s="223">
        <f>IF(AND('CONTROLE EJ'!T312="",'CONTROLE CMM'!#REF!=""),"",N('CONTROLE EJ'!T312)+N('CONTROLE CMM'!#REF!))</f>
        <v/>
      </c>
      <c r="BT310" s="223">
        <f>IF('CONTROLE GLOBO AÇOS'!X312="","",'CONTROLE GLOBO AÇOS'!X312)</f>
        <v/>
      </c>
      <c r="BU310" s="223">
        <f>IF('CONTROLE GLOBO AÇOS'!Y312="","",'CONTROLE GLOBO AÇOS'!Y312)</f>
        <v/>
      </c>
      <c r="BV310" s="223">
        <f>IF(AND('CONTROLE EJ'!U312="",'CONTROLE CMM'!#REF!=""),"",N('CONTROLE EJ'!U312)+N('CONTROLE CMM'!#REF!))</f>
        <v/>
      </c>
      <c r="BW310" s="223">
        <f>IF(#REF!="","",#REF!)</f>
        <v/>
      </c>
    </row>
    <row r="311">
      <c r="A311" s="282" t="n">
        <v>46528</v>
      </c>
      <c r="B311" s="18">
        <f>IF('CONTROLE EJ'!B313="","",'CONTROLE EJ'!B313)</f>
        <v/>
      </c>
      <c r="C311" s="18">
        <f>IF('CONTROLE EJ'!C313="","",'CONTROLE EJ'!C313)</f>
        <v/>
      </c>
      <c r="D311" s="26">
        <f>IF('CONTROLE EJ'!D313="","",'CONTROLE EJ'!D313)</f>
        <v/>
      </c>
      <c r="E311" s="43">
        <f>IF('CONTROLE CMM'!B313="","",'CONTROLE CMM'!B313)</f>
        <v/>
      </c>
      <c r="F311" s="18">
        <f>IF('CONTROLE CMM'!C313="","",'CONTROLE CMM'!C313)</f>
        <v/>
      </c>
      <c r="G311" s="26">
        <f>IF('CONTROLE CMM'!D313="","",'CONTROLE CMM'!D313)</f>
        <v/>
      </c>
      <c r="H311" s="18">
        <f>IF('CONTROLE GLOBO AÇOS'!B313="","",'CONTROLE GLOBO AÇOS'!B313)</f>
        <v/>
      </c>
      <c r="I311" s="18">
        <f>IF('CONTROLE GLOBO AÇOS'!C313="","",'CONTROLE GLOBO AÇOS'!C313)</f>
        <v/>
      </c>
      <c r="J311" s="18">
        <f>IF('CONTROLE GLOBO AÇOS'!D313="","",'CONTROLE GLOBO AÇOS'!D313)</f>
        <v/>
      </c>
      <c r="AD311" s="39">
        <f>IF($A311="",0,IF(AND(WEEKDAY($A311,2)&lt;=5,OR($B311&lt;&gt;"",$C311&lt;&gt;"",$D311&lt;&gt;"")),1,0))</f>
        <v/>
      </c>
      <c r="AE311" s="39">
        <f>IF($A311="",0,IF(AND(WEEKDAY($A311,2)&lt;=5,OR($E311&lt;&gt;"",$F311&lt;&gt;"",$G311&lt;&gt;"")),1,0))</f>
        <v/>
      </c>
      <c r="AF311" s="39">
        <f>MAX(AD311,AE311)</f>
        <v/>
      </c>
      <c r="AH311" s="223">
        <f>IF('CONTROLE GLOBO AÇOS'!E313="","",'CONTROLE GLOBO AÇOS'!E313)</f>
        <v/>
      </c>
      <c r="AI311" s="223">
        <f>IF('CONTROLE GLOBO AÇOS'!F313="","",'CONTROLE GLOBO AÇOS'!F313)</f>
        <v/>
      </c>
      <c r="AJ311" s="223">
        <f>IF(AND('CONTROLE EJ'!E313="",'CONTROLE CMM'!E313=""),"",N('CONTROLE EJ'!E313)+N('CONTROLE CMM'!E313))</f>
        <v/>
      </c>
      <c r="AK311" s="223">
        <f>IF(AND('CONTROLE EJ'!F313="",'CONTROLE CMM'!F313=""),"",N('CONTROLE EJ'!F313)+N('CONTROLE CMM'!F313))</f>
        <v/>
      </c>
      <c r="AL311" s="223">
        <f>IF(AND('CONTROLE EJ'!G313="",'CONTROLE CMM'!G313=""),"",N('CONTROLE EJ'!G313)+N('CONTROLE CMM'!G313))</f>
        <v/>
      </c>
      <c r="AM311" s="223">
        <f>IF(AND('CONTROLE EJ'!H313="",'CONTROLE CMM'!H313=""),"",N('CONTROLE EJ'!H313)+N('CONTROLE CMM'!H313))</f>
        <v/>
      </c>
      <c r="AN311" s="223">
        <f>IF('CONTROLE GLOBO AÇOS'!G313="","",'CONTROLE GLOBO AÇOS'!G313)</f>
        <v/>
      </c>
      <c r="AO311" s="223">
        <f>IF('CONTROLE GLOBO AÇOS'!H313="","",'CONTROLE GLOBO AÇOS'!H313)</f>
        <v/>
      </c>
      <c r="AP311" s="223">
        <f>IF(AND('CONTROLE EJ'!I313="",'CONTROLE CMM'!I313=""),"",N('CONTROLE EJ'!I313)+N('CONTROLE CMM'!I313))</f>
        <v/>
      </c>
      <c r="AQ311" s="223">
        <f>IF(AND('CONTROLE EJ'!J313="",'CONTROLE CMM'!#REF!=""),"",N('CONTROLE EJ'!J313)+N('CONTROLE CMM'!#REF!))</f>
        <v/>
      </c>
      <c r="AR311" s="223">
        <f>IF('CONTROLE GLOBO AÇOS'!I313="","",'CONTROLE GLOBO AÇOS'!I313)</f>
        <v/>
      </c>
      <c r="AS311" s="223">
        <f>IF('CONTROLE GLOBO AÇOS'!J313="","",'CONTROLE GLOBO AÇOS'!J313)</f>
        <v/>
      </c>
      <c r="AT311" s="223">
        <f>IF(#REF!="","",#REF!)</f>
        <v/>
      </c>
      <c r="AU311" s="223">
        <f>IF('CONTROLE GLOBO AÇOS'!K313="","",'CONTROLE GLOBO AÇOS'!K313)</f>
        <v/>
      </c>
      <c r="AV311" s="223">
        <f>IF(AND('CONTROLE EJ'!K313="",'CONTROLE CMM'!#REF!=""),"",N('CONTROLE EJ'!K313)+N('CONTROLE CMM'!#REF!))</f>
        <v/>
      </c>
      <c r="AW311" s="223">
        <f>IF('CONTROLE GLOBO AÇOS'!L313="","",'CONTROLE GLOBO AÇOS'!L313)</f>
        <v/>
      </c>
      <c r="AX311" s="223">
        <f>IF(AND('CONTROLE EJ'!L313="",'CONTROLE CMM'!#REF!=""),"",N('CONTROLE EJ'!L313)+N('CONTROLE CMM'!#REF!))</f>
        <v/>
      </c>
      <c r="AY311" s="223">
        <f>IF('CONTROLE GLOBO AÇOS'!M313="","",'CONTROLE GLOBO AÇOS'!M313)</f>
        <v/>
      </c>
      <c r="AZ311" s="223">
        <f>IF('CONTROLE GLOBO AÇOS'!N313="","",'CONTROLE GLOBO AÇOS'!N313)</f>
        <v/>
      </c>
      <c r="BA311" s="223">
        <f>IF(AND('CONTROLE EJ'!M313="",'CONTROLE CMM'!#REF!=""),"",N('CONTROLE EJ'!M313)+N('CONTROLE CMM'!#REF!))</f>
        <v/>
      </c>
      <c r="BB311" s="223">
        <f>IF(#REF!="","",#REF!)</f>
        <v/>
      </c>
      <c r="BC311" s="223">
        <f>IF('CONTROLE GLOBO AÇOS'!O313="","",'CONTROLE GLOBO AÇOS'!O313)</f>
        <v/>
      </c>
      <c r="BD311" s="223">
        <f>IF(AND('CONTROLE EJ'!N313="",'CONTROLE CMM'!#REF!=""),"",N('CONTROLE EJ'!N313)+N('CONTROLE CMM'!#REF!))</f>
        <v/>
      </c>
      <c r="BE311" s="223">
        <f>IF('CONTROLE GLOBO AÇOS'!P313="","",'CONTROLE GLOBO AÇOS'!P313)</f>
        <v/>
      </c>
      <c r="BF311" s="223">
        <f>IF('CONTROLE GLOBO AÇOS'!Q313="","",'CONTROLE GLOBO AÇOS'!Q313)</f>
        <v/>
      </c>
      <c r="BG311" s="223">
        <f>IF('CONTROLE GLOBO AÇOS'!R313="","",'CONTROLE GLOBO AÇOS'!R313)</f>
        <v/>
      </c>
      <c r="BH311" s="223">
        <f>IF(AND('CONTROLE EJ'!O313="",'CONTROLE CMM'!#REF!=""),"",N('CONTROLE EJ'!O313)+N('CONTROLE CMM'!#REF!))</f>
        <v/>
      </c>
      <c r="BI311" s="223">
        <f>IF('CONTROLE GLOBO AÇOS'!S313="","",'CONTROLE GLOBO AÇOS'!S313)</f>
        <v/>
      </c>
      <c r="BJ311" s="223">
        <f>IF('CONTROLE GLOBO AÇOS'!T313="","",'CONTROLE GLOBO AÇOS'!T313)</f>
        <v/>
      </c>
      <c r="BK311" s="223">
        <f>IF('CONTROLE GLOBO AÇOS'!U313="","",'CONTROLE GLOBO AÇOS'!U313)</f>
        <v/>
      </c>
      <c r="BL311" s="223">
        <f>IF(AND('CONTROLE EJ'!P313="",'CONTROLE CMM'!#REF!=""),"",N('CONTROLE EJ'!P313)+N('CONTROLE CMM'!#REF!))</f>
        <v/>
      </c>
      <c r="BM311" s="223">
        <f>IF(AND('CONTROLE EJ'!Q313="",'CONTROLE CMM'!#REF!=""),"",N('CONTROLE EJ'!Q313)+N('CONTROLE CMM'!#REF!))</f>
        <v/>
      </c>
      <c r="BN311" s="223">
        <f>IF('CONTROLE GLOBO AÇOS'!V313="","",'CONTROLE GLOBO AÇOS'!V313)</f>
        <v/>
      </c>
      <c r="BO311" s="223">
        <f>IF('CONTROLE GLOBO AÇOS'!W313="","",'CONTROLE GLOBO AÇOS'!W313)</f>
        <v/>
      </c>
      <c r="BP311" s="223">
        <f>IF(AND('CONTROLE EJ'!R313="",'CONTROLE CMM'!#REF!=""),"",N('CONTROLE EJ'!R313)+N('CONTROLE CMM'!#REF!))</f>
        <v/>
      </c>
      <c r="BQ311" s="223">
        <f>IF(#REF!="","",#REF!)</f>
        <v/>
      </c>
      <c r="BR311" s="223">
        <f>IF(AND('CONTROLE EJ'!S313="",'CONTROLE CMM'!#REF!=""),"",N('CONTROLE EJ'!S313)+N('CONTROLE CMM'!#REF!))</f>
        <v/>
      </c>
      <c r="BS311" s="223">
        <f>IF(AND('CONTROLE EJ'!T313="",'CONTROLE CMM'!#REF!=""),"",N('CONTROLE EJ'!T313)+N('CONTROLE CMM'!#REF!))</f>
        <v/>
      </c>
      <c r="BT311" s="223">
        <f>IF('CONTROLE GLOBO AÇOS'!X313="","",'CONTROLE GLOBO AÇOS'!X313)</f>
        <v/>
      </c>
      <c r="BU311" s="223">
        <f>IF('CONTROLE GLOBO AÇOS'!Y313="","",'CONTROLE GLOBO AÇOS'!Y313)</f>
        <v/>
      </c>
      <c r="BV311" s="223">
        <f>IF(AND('CONTROLE EJ'!U313="",'CONTROLE CMM'!#REF!=""),"",N('CONTROLE EJ'!U313)+N('CONTROLE CMM'!#REF!))</f>
        <v/>
      </c>
      <c r="BW311" s="223">
        <f>IF(#REF!="","",#REF!)</f>
        <v/>
      </c>
    </row>
    <row r="312">
      <c r="A312" s="282" t="n">
        <v>46529</v>
      </c>
      <c r="B312" s="18">
        <f>IF('CONTROLE EJ'!B314="","",'CONTROLE EJ'!B314)</f>
        <v/>
      </c>
      <c r="C312" s="18">
        <f>IF('CONTROLE EJ'!C314="","",'CONTROLE EJ'!C314)</f>
        <v/>
      </c>
      <c r="D312" s="26">
        <f>IF('CONTROLE EJ'!D314="","",'CONTROLE EJ'!D314)</f>
        <v/>
      </c>
      <c r="E312" s="43">
        <f>IF('CONTROLE CMM'!B314="","",'CONTROLE CMM'!B314)</f>
        <v/>
      </c>
      <c r="F312" s="18">
        <f>IF('CONTROLE CMM'!C314="","",'CONTROLE CMM'!C314)</f>
        <v/>
      </c>
      <c r="G312" s="26">
        <f>IF('CONTROLE CMM'!D314="","",'CONTROLE CMM'!D314)</f>
        <v/>
      </c>
      <c r="H312" s="18">
        <f>IF('CONTROLE GLOBO AÇOS'!B314="","",'CONTROLE GLOBO AÇOS'!B314)</f>
        <v/>
      </c>
      <c r="I312" s="18">
        <f>IF('CONTROLE GLOBO AÇOS'!C314="","",'CONTROLE GLOBO AÇOS'!C314)</f>
        <v/>
      </c>
      <c r="J312" s="18">
        <f>IF('CONTROLE GLOBO AÇOS'!D314="","",'CONTROLE GLOBO AÇOS'!D314)</f>
        <v/>
      </c>
      <c r="AD312" s="39">
        <f>IF($A312="",0,IF(AND(WEEKDAY($A312,2)&lt;=5,OR($B312&lt;&gt;"",$C312&lt;&gt;"",$D312&lt;&gt;"")),1,0))</f>
        <v/>
      </c>
      <c r="AE312" s="39">
        <f>IF($A312="",0,IF(AND(WEEKDAY($A312,2)&lt;=5,OR($E312&lt;&gt;"",$F312&lt;&gt;"",$G312&lt;&gt;"")),1,0))</f>
        <v/>
      </c>
      <c r="AF312" s="39">
        <f>MAX(AD312,AE312)</f>
        <v/>
      </c>
      <c r="AH312" s="223">
        <f>IF('CONTROLE GLOBO AÇOS'!E314="","",'CONTROLE GLOBO AÇOS'!E314)</f>
        <v/>
      </c>
      <c r="AI312" s="223">
        <f>IF('CONTROLE GLOBO AÇOS'!F314="","",'CONTROLE GLOBO AÇOS'!F314)</f>
        <v/>
      </c>
      <c r="AJ312" s="223">
        <f>IF(AND('CONTROLE EJ'!E314="",'CONTROLE CMM'!E314=""),"",N('CONTROLE EJ'!E314)+N('CONTROLE CMM'!E314))</f>
        <v/>
      </c>
      <c r="AK312" s="223">
        <f>IF(AND('CONTROLE EJ'!F314="",'CONTROLE CMM'!F314=""),"",N('CONTROLE EJ'!F314)+N('CONTROLE CMM'!F314))</f>
        <v/>
      </c>
      <c r="AL312" s="223">
        <f>IF(AND('CONTROLE EJ'!G314="",'CONTROLE CMM'!G314=""),"",N('CONTROLE EJ'!G314)+N('CONTROLE CMM'!G314))</f>
        <v/>
      </c>
      <c r="AM312" s="223">
        <f>IF(AND('CONTROLE EJ'!H314="",'CONTROLE CMM'!H314=""),"",N('CONTROLE EJ'!H314)+N('CONTROLE CMM'!H314))</f>
        <v/>
      </c>
      <c r="AN312" s="223">
        <f>IF('CONTROLE GLOBO AÇOS'!G314="","",'CONTROLE GLOBO AÇOS'!G314)</f>
        <v/>
      </c>
      <c r="AO312" s="223">
        <f>IF('CONTROLE GLOBO AÇOS'!H314="","",'CONTROLE GLOBO AÇOS'!H314)</f>
        <v/>
      </c>
      <c r="AP312" s="223">
        <f>IF(AND('CONTROLE EJ'!I314="",'CONTROLE CMM'!I314=""),"",N('CONTROLE EJ'!I314)+N('CONTROLE CMM'!I314))</f>
        <v/>
      </c>
      <c r="AQ312" s="223">
        <f>IF(AND('CONTROLE EJ'!J314="",'CONTROLE CMM'!#REF!=""),"",N('CONTROLE EJ'!J314)+N('CONTROLE CMM'!#REF!))</f>
        <v/>
      </c>
      <c r="AR312" s="223">
        <f>IF('CONTROLE GLOBO AÇOS'!I314="","",'CONTROLE GLOBO AÇOS'!I314)</f>
        <v/>
      </c>
      <c r="AS312" s="223">
        <f>IF('CONTROLE GLOBO AÇOS'!J314="","",'CONTROLE GLOBO AÇOS'!J314)</f>
        <v/>
      </c>
      <c r="AT312" s="223">
        <f>IF(#REF!="","",#REF!)</f>
        <v/>
      </c>
      <c r="AU312" s="223">
        <f>IF('CONTROLE GLOBO AÇOS'!K314="","",'CONTROLE GLOBO AÇOS'!K314)</f>
        <v/>
      </c>
      <c r="AV312" s="223">
        <f>IF(AND('CONTROLE EJ'!K314="",'CONTROLE CMM'!#REF!=""),"",N('CONTROLE EJ'!K314)+N('CONTROLE CMM'!#REF!))</f>
        <v/>
      </c>
      <c r="AW312" s="223">
        <f>IF('CONTROLE GLOBO AÇOS'!L314="","",'CONTROLE GLOBO AÇOS'!L314)</f>
        <v/>
      </c>
      <c r="AX312" s="223">
        <f>IF(AND('CONTROLE EJ'!L314="",'CONTROLE CMM'!#REF!=""),"",N('CONTROLE EJ'!L314)+N('CONTROLE CMM'!#REF!))</f>
        <v/>
      </c>
      <c r="AY312" s="223">
        <f>IF('CONTROLE GLOBO AÇOS'!M314="","",'CONTROLE GLOBO AÇOS'!M314)</f>
        <v/>
      </c>
      <c r="AZ312" s="223">
        <f>IF('CONTROLE GLOBO AÇOS'!N314="","",'CONTROLE GLOBO AÇOS'!N314)</f>
        <v/>
      </c>
      <c r="BA312" s="223">
        <f>IF(AND('CONTROLE EJ'!M314="",'CONTROLE CMM'!#REF!=""),"",N('CONTROLE EJ'!M314)+N('CONTROLE CMM'!#REF!))</f>
        <v/>
      </c>
      <c r="BB312" s="223">
        <f>IF(#REF!="","",#REF!)</f>
        <v/>
      </c>
      <c r="BC312" s="223">
        <f>IF('CONTROLE GLOBO AÇOS'!O314="","",'CONTROLE GLOBO AÇOS'!O314)</f>
        <v/>
      </c>
      <c r="BD312" s="223">
        <f>IF(AND('CONTROLE EJ'!N314="",'CONTROLE CMM'!#REF!=""),"",N('CONTROLE EJ'!N314)+N('CONTROLE CMM'!#REF!))</f>
        <v/>
      </c>
      <c r="BE312" s="223">
        <f>IF('CONTROLE GLOBO AÇOS'!P314="","",'CONTROLE GLOBO AÇOS'!P314)</f>
        <v/>
      </c>
      <c r="BF312" s="223">
        <f>IF('CONTROLE GLOBO AÇOS'!Q314="","",'CONTROLE GLOBO AÇOS'!Q314)</f>
        <v/>
      </c>
      <c r="BG312" s="223">
        <f>IF('CONTROLE GLOBO AÇOS'!R314="","",'CONTROLE GLOBO AÇOS'!R314)</f>
        <v/>
      </c>
      <c r="BH312" s="223">
        <f>IF(AND('CONTROLE EJ'!O314="",'CONTROLE CMM'!#REF!=""),"",N('CONTROLE EJ'!O314)+N('CONTROLE CMM'!#REF!))</f>
        <v/>
      </c>
      <c r="BI312" s="223">
        <f>IF('CONTROLE GLOBO AÇOS'!S314="","",'CONTROLE GLOBO AÇOS'!S314)</f>
        <v/>
      </c>
      <c r="BJ312" s="223">
        <f>IF('CONTROLE GLOBO AÇOS'!T314="","",'CONTROLE GLOBO AÇOS'!T314)</f>
        <v/>
      </c>
      <c r="BK312" s="223">
        <f>IF('CONTROLE GLOBO AÇOS'!U314="","",'CONTROLE GLOBO AÇOS'!U314)</f>
        <v/>
      </c>
      <c r="BL312" s="223">
        <f>IF(AND('CONTROLE EJ'!P314="",'CONTROLE CMM'!#REF!=""),"",N('CONTROLE EJ'!P314)+N('CONTROLE CMM'!#REF!))</f>
        <v/>
      </c>
      <c r="BM312" s="223">
        <f>IF(AND('CONTROLE EJ'!Q314="",'CONTROLE CMM'!#REF!=""),"",N('CONTROLE EJ'!Q314)+N('CONTROLE CMM'!#REF!))</f>
        <v/>
      </c>
      <c r="BN312" s="223">
        <f>IF('CONTROLE GLOBO AÇOS'!V314="","",'CONTROLE GLOBO AÇOS'!V314)</f>
        <v/>
      </c>
      <c r="BO312" s="223">
        <f>IF('CONTROLE GLOBO AÇOS'!W314="","",'CONTROLE GLOBO AÇOS'!W314)</f>
        <v/>
      </c>
      <c r="BP312" s="223">
        <f>IF(AND('CONTROLE EJ'!R314="",'CONTROLE CMM'!#REF!=""),"",N('CONTROLE EJ'!R314)+N('CONTROLE CMM'!#REF!))</f>
        <v/>
      </c>
      <c r="BQ312" s="223">
        <f>IF(#REF!="","",#REF!)</f>
        <v/>
      </c>
      <c r="BR312" s="223">
        <f>IF(AND('CONTROLE EJ'!S314="",'CONTROLE CMM'!#REF!=""),"",N('CONTROLE EJ'!S314)+N('CONTROLE CMM'!#REF!))</f>
        <v/>
      </c>
      <c r="BS312" s="223">
        <f>IF(AND('CONTROLE EJ'!T314="",'CONTROLE CMM'!#REF!=""),"",N('CONTROLE EJ'!T314)+N('CONTROLE CMM'!#REF!))</f>
        <v/>
      </c>
      <c r="BT312" s="223">
        <f>IF('CONTROLE GLOBO AÇOS'!X314="","",'CONTROLE GLOBO AÇOS'!X314)</f>
        <v/>
      </c>
      <c r="BU312" s="223">
        <f>IF('CONTROLE GLOBO AÇOS'!Y314="","",'CONTROLE GLOBO AÇOS'!Y314)</f>
        <v/>
      </c>
      <c r="BV312" s="223">
        <f>IF(AND('CONTROLE EJ'!U314="",'CONTROLE CMM'!#REF!=""),"",N('CONTROLE EJ'!U314)+N('CONTROLE CMM'!#REF!))</f>
        <v/>
      </c>
      <c r="BW312" s="223">
        <f>IF(#REF!="","",#REF!)</f>
        <v/>
      </c>
    </row>
    <row r="313">
      <c r="A313" s="282" t="n">
        <v>46530</v>
      </c>
      <c r="B313" s="18">
        <f>IF('CONTROLE EJ'!B315="","",'CONTROLE EJ'!B315)</f>
        <v/>
      </c>
      <c r="C313" s="18">
        <f>IF('CONTROLE EJ'!C315="","",'CONTROLE EJ'!C315)</f>
        <v/>
      </c>
      <c r="D313" s="26">
        <f>IF('CONTROLE EJ'!D315="","",'CONTROLE EJ'!D315)</f>
        <v/>
      </c>
      <c r="E313" s="43">
        <f>IF('CONTROLE CMM'!B315="","",'CONTROLE CMM'!B315)</f>
        <v/>
      </c>
      <c r="F313" s="18">
        <f>IF('CONTROLE CMM'!C315="","",'CONTROLE CMM'!C315)</f>
        <v/>
      </c>
      <c r="G313" s="26">
        <f>IF('CONTROLE CMM'!D315="","",'CONTROLE CMM'!D315)</f>
        <v/>
      </c>
      <c r="H313" s="18">
        <f>IF('CONTROLE GLOBO AÇOS'!B315="","",'CONTROLE GLOBO AÇOS'!B315)</f>
        <v/>
      </c>
      <c r="I313" s="18">
        <f>IF('CONTROLE GLOBO AÇOS'!C315="","",'CONTROLE GLOBO AÇOS'!C315)</f>
        <v/>
      </c>
      <c r="J313" s="18">
        <f>IF('CONTROLE GLOBO AÇOS'!D315="","",'CONTROLE GLOBO AÇOS'!D315)</f>
        <v/>
      </c>
      <c r="AD313" s="39">
        <f>IF($A313="",0,IF(AND(WEEKDAY($A313,2)&lt;=5,OR($B313&lt;&gt;"",$C313&lt;&gt;"",$D313&lt;&gt;"")),1,0))</f>
        <v/>
      </c>
      <c r="AE313" s="39">
        <f>IF($A313="",0,IF(AND(WEEKDAY($A313,2)&lt;=5,OR($E313&lt;&gt;"",$F313&lt;&gt;"",$G313&lt;&gt;"")),1,0))</f>
        <v/>
      </c>
      <c r="AF313" s="39">
        <f>MAX(AD313,AE313)</f>
        <v/>
      </c>
      <c r="AH313" s="223">
        <f>IF('CONTROLE GLOBO AÇOS'!E315="","",'CONTROLE GLOBO AÇOS'!E315)</f>
        <v/>
      </c>
      <c r="AI313" s="223">
        <f>IF('CONTROLE GLOBO AÇOS'!F315="","",'CONTROLE GLOBO AÇOS'!F315)</f>
        <v/>
      </c>
      <c r="AJ313" s="223">
        <f>IF(AND('CONTROLE EJ'!E315="",'CONTROLE CMM'!E315=""),"",N('CONTROLE EJ'!E315)+N('CONTROLE CMM'!E315))</f>
        <v/>
      </c>
      <c r="AK313" s="223">
        <f>IF(AND('CONTROLE EJ'!F315="",'CONTROLE CMM'!F315=""),"",N('CONTROLE EJ'!F315)+N('CONTROLE CMM'!F315))</f>
        <v/>
      </c>
      <c r="AL313" s="223">
        <f>IF(AND('CONTROLE EJ'!G315="",'CONTROLE CMM'!G315=""),"",N('CONTROLE EJ'!G315)+N('CONTROLE CMM'!G315))</f>
        <v/>
      </c>
      <c r="AM313" s="223">
        <f>IF(AND('CONTROLE EJ'!H315="",'CONTROLE CMM'!H315=""),"",N('CONTROLE EJ'!H315)+N('CONTROLE CMM'!H315))</f>
        <v/>
      </c>
      <c r="AN313" s="223">
        <f>IF('CONTROLE GLOBO AÇOS'!G315="","",'CONTROLE GLOBO AÇOS'!G315)</f>
        <v/>
      </c>
      <c r="AO313" s="223">
        <f>IF('CONTROLE GLOBO AÇOS'!H315="","",'CONTROLE GLOBO AÇOS'!H315)</f>
        <v/>
      </c>
      <c r="AP313" s="223">
        <f>IF(AND('CONTROLE EJ'!I315="",'CONTROLE CMM'!I315=""),"",N('CONTROLE EJ'!I315)+N('CONTROLE CMM'!I315))</f>
        <v/>
      </c>
      <c r="AQ313" s="223">
        <f>IF(AND('CONTROLE EJ'!J315="",'CONTROLE CMM'!#REF!=""),"",N('CONTROLE EJ'!J315)+N('CONTROLE CMM'!#REF!))</f>
        <v/>
      </c>
      <c r="AR313" s="223">
        <f>IF('CONTROLE GLOBO AÇOS'!I315="","",'CONTROLE GLOBO AÇOS'!I315)</f>
        <v/>
      </c>
      <c r="AS313" s="223">
        <f>IF('CONTROLE GLOBO AÇOS'!J315="","",'CONTROLE GLOBO AÇOS'!J315)</f>
        <v/>
      </c>
      <c r="AT313" s="223">
        <f>IF(#REF!="","",#REF!)</f>
        <v/>
      </c>
      <c r="AU313" s="223">
        <f>IF('CONTROLE GLOBO AÇOS'!K315="","",'CONTROLE GLOBO AÇOS'!K315)</f>
        <v/>
      </c>
      <c r="AV313" s="223">
        <f>IF(AND('CONTROLE EJ'!K315="",'CONTROLE CMM'!#REF!=""),"",N('CONTROLE EJ'!K315)+N('CONTROLE CMM'!#REF!))</f>
        <v/>
      </c>
      <c r="AW313" s="223">
        <f>IF('CONTROLE GLOBO AÇOS'!L315="","",'CONTROLE GLOBO AÇOS'!L315)</f>
        <v/>
      </c>
      <c r="AX313" s="223">
        <f>IF(AND('CONTROLE EJ'!L315="",'CONTROLE CMM'!#REF!=""),"",N('CONTROLE EJ'!L315)+N('CONTROLE CMM'!#REF!))</f>
        <v/>
      </c>
      <c r="AY313" s="223">
        <f>IF('CONTROLE GLOBO AÇOS'!M315="","",'CONTROLE GLOBO AÇOS'!M315)</f>
        <v/>
      </c>
      <c r="AZ313" s="223">
        <f>IF('CONTROLE GLOBO AÇOS'!N315="","",'CONTROLE GLOBO AÇOS'!N315)</f>
        <v/>
      </c>
      <c r="BA313" s="223">
        <f>IF(AND('CONTROLE EJ'!M315="",'CONTROLE CMM'!#REF!=""),"",N('CONTROLE EJ'!M315)+N('CONTROLE CMM'!#REF!))</f>
        <v/>
      </c>
      <c r="BB313" s="223">
        <f>IF(#REF!="","",#REF!)</f>
        <v/>
      </c>
      <c r="BC313" s="223">
        <f>IF('CONTROLE GLOBO AÇOS'!O315="","",'CONTROLE GLOBO AÇOS'!O315)</f>
        <v/>
      </c>
      <c r="BD313" s="223">
        <f>IF(AND('CONTROLE EJ'!N315="",'CONTROLE CMM'!#REF!=""),"",N('CONTROLE EJ'!N315)+N('CONTROLE CMM'!#REF!))</f>
        <v/>
      </c>
      <c r="BE313" s="223">
        <f>IF('CONTROLE GLOBO AÇOS'!P315="","",'CONTROLE GLOBO AÇOS'!P315)</f>
        <v/>
      </c>
      <c r="BF313" s="223">
        <f>IF('CONTROLE GLOBO AÇOS'!Q315="","",'CONTROLE GLOBO AÇOS'!Q315)</f>
        <v/>
      </c>
      <c r="BG313" s="223">
        <f>IF('CONTROLE GLOBO AÇOS'!R315="","",'CONTROLE GLOBO AÇOS'!R315)</f>
        <v/>
      </c>
      <c r="BH313" s="223">
        <f>IF(AND('CONTROLE EJ'!O315="",'CONTROLE CMM'!#REF!=""),"",N('CONTROLE EJ'!O315)+N('CONTROLE CMM'!#REF!))</f>
        <v/>
      </c>
      <c r="BI313" s="223">
        <f>IF('CONTROLE GLOBO AÇOS'!S315="","",'CONTROLE GLOBO AÇOS'!S315)</f>
        <v/>
      </c>
      <c r="BJ313" s="223">
        <f>IF('CONTROLE GLOBO AÇOS'!T315="","",'CONTROLE GLOBO AÇOS'!T315)</f>
        <v/>
      </c>
      <c r="BK313" s="223">
        <f>IF('CONTROLE GLOBO AÇOS'!U315="","",'CONTROLE GLOBO AÇOS'!U315)</f>
        <v/>
      </c>
      <c r="BL313" s="223">
        <f>IF(AND('CONTROLE EJ'!P315="",'CONTROLE CMM'!#REF!=""),"",N('CONTROLE EJ'!P315)+N('CONTROLE CMM'!#REF!))</f>
        <v/>
      </c>
      <c r="BM313" s="223">
        <f>IF(AND('CONTROLE EJ'!Q315="",'CONTROLE CMM'!#REF!=""),"",N('CONTROLE EJ'!Q315)+N('CONTROLE CMM'!#REF!))</f>
        <v/>
      </c>
      <c r="BN313" s="223">
        <f>IF('CONTROLE GLOBO AÇOS'!V315="","",'CONTROLE GLOBO AÇOS'!V315)</f>
        <v/>
      </c>
      <c r="BO313" s="223">
        <f>IF('CONTROLE GLOBO AÇOS'!W315="","",'CONTROLE GLOBO AÇOS'!W315)</f>
        <v/>
      </c>
      <c r="BP313" s="223">
        <f>IF(AND('CONTROLE EJ'!R315="",'CONTROLE CMM'!#REF!=""),"",N('CONTROLE EJ'!R315)+N('CONTROLE CMM'!#REF!))</f>
        <v/>
      </c>
      <c r="BQ313" s="223">
        <f>IF(#REF!="","",#REF!)</f>
        <v/>
      </c>
      <c r="BR313" s="223">
        <f>IF(AND('CONTROLE EJ'!S315="",'CONTROLE CMM'!#REF!=""),"",N('CONTROLE EJ'!S315)+N('CONTROLE CMM'!#REF!))</f>
        <v/>
      </c>
      <c r="BS313" s="223">
        <f>IF(AND('CONTROLE EJ'!T315="",'CONTROLE CMM'!#REF!=""),"",N('CONTROLE EJ'!T315)+N('CONTROLE CMM'!#REF!))</f>
        <v/>
      </c>
      <c r="BT313" s="223">
        <f>IF('CONTROLE GLOBO AÇOS'!X315="","",'CONTROLE GLOBO AÇOS'!X315)</f>
        <v/>
      </c>
      <c r="BU313" s="223">
        <f>IF('CONTROLE GLOBO AÇOS'!Y315="","",'CONTROLE GLOBO AÇOS'!Y315)</f>
        <v/>
      </c>
      <c r="BV313" s="223">
        <f>IF(AND('CONTROLE EJ'!U315="",'CONTROLE CMM'!#REF!=""),"",N('CONTROLE EJ'!U315)+N('CONTROLE CMM'!#REF!))</f>
        <v/>
      </c>
      <c r="BW313" s="223">
        <f>IF(#REF!="","",#REF!)</f>
        <v/>
      </c>
    </row>
    <row r="314">
      <c r="A314" s="282" t="n">
        <v>46531</v>
      </c>
      <c r="B314" s="18">
        <f>IF('CONTROLE EJ'!B316="","",'CONTROLE EJ'!B316)</f>
        <v/>
      </c>
      <c r="C314" s="18">
        <f>IF('CONTROLE EJ'!C316="","",'CONTROLE EJ'!C316)</f>
        <v/>
      </c>
      <c r="D314" s="26">
        <f>IF('CONTROLE EJ'!D316="","",'CONTROLE EJ'!D316)</f>
        <v/>
      </c>
      <c r="E314" s="43">
        <f>IF('CONTROLE CMM'!B316="","",'CONTROLE CMM'!B316)</f>
        <v/>
      </c>
      <c r="F314" s="18">
        <f>IF('CONTROLE CMM'!C316="","",'CONTROLE CMM'!C316)</f>
        <v/>
      </c>
      <c r="G314" s="26">
        <f>IF('CONTROLE CMM'!D316="","",'CONTROLE CMM'!D316)</f>
        <v/>
      </c>
      <c r="H314" s="18">
        <f>IF('CONTROLE GLOBO AÇOS'!B316="","",'CONTROLE GLOBO AÇOS'!B316)</f>
        <v/>
      </c>
      <c r="I314" s="18">
        <f>IF('CONTROLE GLOBO AÇOS'!C316="","",'CONTROLE GLOBO AÇOS'!C316)</f>
        <v/>
      </c>
      <c r="J314" s="18">
        <f>IF('CONTROLE GLOBO AÇOS'!D316="","",'CONTROLE GLOBO AÇOS'!D316)</f>
        <v/>
      </c>
      <c r="AD314" s="39">
        <f>IF($A314="",0,IF(AND(WEEKDAY($A314,2)&lt;=5,OR($B314&lt;&gt;"",$C314&lt;&gt;"",$D314&lt;&gt;"")),1,0))</f>
        <v/>
      </c>
      <c r="AE314" s="39">
        <f>IF($A314="",0,IF(AND(WEEKDAY($A314,2)&lt;=5,OR($E314&lt;&gt;"",$F314&lt;&gt;"",$G314&lt;&gt;"")),1,0))</f>
        <v/>
      </c>
      <c r="AF314" s="39">
        <f>MAX(AD314,AE314)</f>
        <v/>
      </c>
      <c r="AH314" s="223">
        <f>IF('CONTROLE GLOBO AÇOS'!E316="","",'CONTROLE GLOBO AÇOS'!E316)</f>
        <v/>
      </c>
      <c r="AI314" s="223">
        <f>IF('CONTROLE GLOBO AÇOS'!F316="","",'CONTROLE GLOBO AÇOS'!F316)</f>
        <v/>
      </c>
      <c r="AJ314" s="223">
        <f>IF(AND('CONTROLE EJ'!E316="",'CONTROLE CMM'!E316=""),"",N('CONTROLE EJ'!E316)+N('CONTROLE CMM'!E316))</f>
        <v/>
      </c>
      <c r="AK314" s="223">
        <f>IF(AND('CONTROLE EJ'!F316="",'CONTROLE CMM'!F316=""),"",N('CONTROLE EJ'!F316)+N('CONTROLE CMM'!F316))</f>
        <v/>
      </c>
      <c r="AL314" s="223">
        <f>IF(AND('CONTROLE EJ'!G316="",'CONTROLE CMM'!G316=""),"",N('CONTROLE EJ'!G316)+N('CONTROLE CMM'!G316))</f>
        <v/>
      </c>
      <c r="AM314" s="223">
        <f>IF(AND('CONTROLE EJ'!H316="",'CONTROLE CMM'!H316=""),"",N('CONTROLE EJ'!H316)+N('CONTROLE CMM'!H316))</f>
        <v/>
      </c>
      <c r="AN314" s="223">
        <f>IF('CONTROLE GLOBO AÇOS'!G316="","",'CONTROLE GLOBO AÇOS'!G316)</f>
        <v/>
      </c>
      <c r="AO314" s="223">
        <f>IF('CONTROLE GLOBO AÇOS'!H316="","",'CONTROLE GLOBO AÇOS'!H316)</f>
        <v/>
      </c>
      <c r="AP314" s="223">
        <f>IF(AND('CONTROLE EJ'!I316="",'CONTROLE CMM'!I316=""),"",N('CONTROLE EJ'!I316)+N('CONTROLE CMM'!I316))</f>
        <v/>
      </c>
      <c r="AQ314" s="223">
        <f>IF(AND('CONTROLE EJ'!J316="",'CONTROLE CMM'!#REF!=""),"",N('CONTROLE EJ'!J316)+N('CONTROLE CMM'!#REF!))</f>
        <v/>
      </c>
      <c r="AR314" s="223">
        <f>IF('CONTROLE GLOBO AÇOS'!I316="","",'CONTROLE GLOBO AÇOS'!I316)</f>
        <v/>
      </c>
      <c r="AS314" s="223">
        <f>IF('CONTROLE GLOBO AÇOS'!J316="","",'CONTROLE GLOBO AÇOS'!J316)</f>
        <v/>
      </c>
      <c r="AT314" s="223">
        <f>IF(#REF!="","",#REF!)</f>
        <v/>
      </c>
      <c r="AU314" s="223">
        <f>IF('CONTROLE GLOBO AÇOS'!K316="","",'CONTROLE GLOBO AÇOS'!K316)</f>
        <v/>
      </c>
      <c r="AV314" s="223">
        <f>IF(AND('CONTROLE EJ'!K316="",'CONTROLE CMM'!#REF!=""),"",N('CONTROLE EJ'!K316)+N('CONTROLE CMM'!#REF!))</f>
        <v/>
      </c>
      <c r="AW314" s="223">
        <f>IF('CONTROLE GLOBO AÇOS'!L316="","",'CONTROLE GLOBO AÇOS'!L316)</f>
        <v/>
      </c>
      <c r="AX314" s="223">
        <f>IF(AND('CONTROLE EJ'!L316="",'CONTROLE CMM'!#REF!=""),"",N('CONTROLE EJ'!L316)+N('CONTROLE CMM'!#REF!))</f>
        <v/>
      </c>
      <c r="AY314" s="223">
        <f>IF('CONTROLE GLOBO AÇOS'!M316="","",'CONTROLE GLOBO AÇOS'!M316)</f>
        <v/>
      </c>
      <c r="AZ314" s="223">
        <f>IF('CONTROLE GLOBO AÇOS'!N316="","",'CONTROLE GLOBO AÇOS'!N316)</f>
        <v/>
      </c>
      <c r="BA314" s="223">
        <f>IF(AND('CONTROLE EJ'!M316="",'CONTROLE CMM'!#REF!=""),"",N('CONTROLE EJ'!M316)+N('CONTROLE CMM'!#REF!))</f>
        <v/>
      </c>
      <c r="BB314" s="223">
        <f>IF(#REF!="","",#REF!)</f>
        <v/>
      </c>
      <c r="BC314" s="223">
        <f>IF('CONTROLE GLOBO AÇOS'!O316="","",'CONTROLE GLOBO AÇOS'!O316)</f>
        <v/>
      </c>
      <c r="BD314" s="223">
        <f>IF(AND('CONTROLE EJ'!N316="",'CONTROLE CMM'!#REF!=""),"",N('CONTROLE EJ'!N316)+N('CONTROLE CMM'!#REF!))</f>
        <v/>
      </c>
      <c r="BE314" s="223">
        <f>IF('CONTROLE GLOBO AÇOS'!P316="","",'CONTROLE GLOBO AÇOS'!P316)</f>
        <v/>
      </c>
      <c r="BF314" s="223">
        <f>IF('CONTROLE GLOBO AÇOS'!Q316="","",'CONTROLE GLOBO AÇOS'!Q316)</f>
        <v/>
      </c>
      <c r="BG314" s="223">
        <f>IF('CONTROLE GLOBO AÇOS'!R316="","",'CONTROLE GLOBO AÇOS'!R316)</f>
        <v/>
      </c>
      <c r="BH314" s="223">
        <f>IF(AND('CONTROLE EJ'!O316="",'CONTROLE CMM'!#REF!=""),"",N('CONTROLE EJ'!O316)+N('CONTROLE CMM'!#REF!))</f>
        <v/>
      </c>
      <c r="BI314" s="223">
        <f>IF('CONTROLE GLOBO AÇOS'!S316="","",'CONTROLE GLOBO AÇOS'!S316)</f>
        <v/>
      </c>
      <c r="BJ314" s="223">
        <f>IF('CONTROLE GLOBO AÇOS'!T316="","",'CONTROLE GLOBO AÇOS'!T316)</f>
        <v/>
      </c>
      <c r="BK314" s="223">
        <f>IF('CONTROLE GLOBO AÇOS'!U316="","",'CONTROLE GLOBO AÇOS'!U316)</f>
        <v/>
      </c>
      <c r="BL314" s="223">
        <f>IF(AND('CONTROLE EJ'!P316="",'CONTROLE CMM'!#REF!=""),"",N('CONTROLE EJ'!P316)+N('CONTROLE CMM'!#REF!))</f>
        <v/>
      </c>
      <c r="BM314" s="223">
        <f>IF(AND('CONTROLE EJ'!Q316="",'CONTROLE CMM'!#REF!=""),"",N('CONTROLE EJ'!Q316)+N('CONTROLE CMM'!#REF!))</f>
        <v/>
      </c>
      <c r="BN314" s="223">
        <f>IF('CONTROLE GLOBO AÇOS'!V316="","",'CONTROLE GLOBO AÇOS'!V316)</f>
        <v/>
      </c>
      <c r="BO314" s="223">
        <f>IF('CONTROLE GLOBO AÇOS'!W316="","",'CONTROLE GLOBO AÇOS'!W316)</f>
        <v/>
      </c>
      <c r="BP314" s="223">
        <f>IF(AND('CONTROLE EJ'!R316="",'CONTROLE CMM'!#REF!=""),"",N('CONTROLE EJ'!R316)+N('CONTROLE CMM'!#REF!))</f>
        <v/>
      </c>
      <c r="BQ314" s="223">
        <f>IF(#REF!="","",#REF!)</f>
        <v/>
      </c>
      <c r="BR314" s="223">
        <f>IF(AND('CONTROLE EJ'!S316="",'CONTROLE CMM'!#REF!=""),"",N('CONTROLE EJ'!S316)+N('CONTROLE CMM'!#REF!))</f>
        <v/>
      </c>
      <c r="BS314" s="223">
        <f>IF(AND('CONTROLE EJ'!T316="",'CONTROLE CMM'!#REF!=""),"",N('CONTROLE EJ'!T316)+N('CONTROLE CMM'!#REF!))</f>
        <v/>
      </c>
      <c r="BT314" s="223">
        <f>IF('CONTROLE GLOBO AÇOS'!X316="","",'CONTROLE GLOBO AÇOS'!X316)</f>
        <v/>
      </c>
      <c r="BU314" s="223">
        <f>IF('CONTROLE GLOBO AÇOS'!Y316="","",'CONTROLE GLOBO AÇOS'!Y316)</f>
        <v/>
      </c>
      <c r="BV314" s="223">
        <f>IF(AND('CONTROLE EJ'!U316="",'CONTROLE CMM'!#REF!=""),"",N('CONTROLE EJ'!U316)+N('CONTROLE CMM'!#REF!))</f>
        <v/>
      </c>
      <c r="BW314" s="223">
        <f>IF(#REF!="","",#REF!)</f>
        <v/>
      </c>
    </row>
    <row r="315">
      <c r="A315" s="282" t="n">
        <v>46532</v>
      </c>
      <c r="B315" s="18">
        <f>IF('CONTROLE EJ'!B317="","",'CONTROLE EJ'!B317)</f>
        <v/>
      </c>
      <c r="C315" s="18">
        <f>IF('CONTROLE EJ'!C317="","",'CONTROLE EJ'!C317)</f>
        <v/>
      </c>
      <c r="D315" s="26">
        <f>IF('CONTROLE EJ'!D317="","",'CONTROLE EJ'!D317)</f>
        <v/>
      </c>
      <c r="E315" s="43">
        <f>IF('CONTROLE CMM'!B317="","",'CONTROLE CMM'!B317)</f>
        <v/>
      </c>
      <c r="F315" s="18">
        <f>IF('CONTROLE CMM'!C317="","",'CONTROLE CMM'!C317)</f>
        <v/>
      </c>
      <c r="G315" s="26">
        <f>IF('CONTROLE CMM'!D317="","",'CONTROLE CMM'!D317)</f>
        <v/>
      </c>
      <c r="H315" s="18">
        <f>IF('CONTROLE GLOBO AÇOS'!B317="","",'CONTROLE GLOBO AÇOS'!B317)</f>
        <v/>
      </c>
      <c r="I315" s="18">
        <f>IF('CONTROLE GLOBO AÇOS'!C317="","",'CONTROLE GLOBO AÇOS'!C317)</f>
        <v/>
      </c>
      <c r="J315" s="18">
        <f>IF('CONTROLE GLOBO AÇOS'!D317="","",'CONTROLE GLOBO AÇOS'!D317)</f>
        <v/>
      </c>
      <c r="AD315" s="39">
        <f>IF($A315="",0,IF(AND(WEEKDAY($A315,2)&lt;=5,OR($B315&lt;&gt;"",$C315&lt;&gt;"",$D315&lt;&gt;"")),1,0))</f>
        <v/>
      </c>
      <c r="AE315" s="39">
        <f>IF($A315="",0,IF(AND(WEEKDAY($A315,2)&lt;=5,OR($E315&lt;&gt;"",$F315&lt;&gt;"",$G315&lt;&gt;"")),1,0))</f>
        <v/>
      </c>
      <c r="AF315" s="39">
        <f>MAX(AD315,AE315)</f>
        <v/>
      </c>
      <c r="AH315" s="223">
        <f>IF('CONTROLE GLOBO AÇOS'!E317="","",'CONTROLE GLOBO AÇOS'!E317)</f>
        <v/>
      </c>
      <c r="AI315" s="223">
        <f>IF('CONTROLE GLOBO AÇOS'!F317="","",'CONTROLE GLOBO AÇOS'!F317)</f>
        <v/>
      </c>
      <c r="AJ315" s="223">
        <f>IF(AND('CONTROLE EJ'!E317="",'CONTROLE CMM'!E317=""),"",N('CONTROLE EJ'!E317)+N('CONTROLE CMM'!E317))</f>
        <v/>
      </c>
      <c r="AK315" s="223">
        <f>IF(AND('CONTROLE EJ'!F317="",'CONTROLE CMM'!F317=""),"",N('CONTROLE EJ'!F317)+N('CONTROLE CMM'!F317))</f>
        <v/>
      </c>
      <c r="AL315" s="223">
        <f>IF(AND('CONTROLE EJ'!G317="",'CONTROLE CMM'!G317=""),"",N('CONTROLE EJ'!G317)+N('CONTROLE CMM'!G317))</f>
        <v/>
      </c>
      <c r="AM315" s="223">
        <f>IF(AND('CONTROLE EJ'!H317="",'CONTROLE CMM'!H317=""),"",N('CONTROLE EJ'!H317)+N('CONTROLE CMM'!H317))</f>
        <v/>
      </c>
      <c r="AN315" s="223">
        <f>IF('CONTROLE GLOBO AÇOS'!G317="","",'CONTROLE GLOBO AÇOS'!G317)</f>
        <v/>
      </c>
      <c r="AO315" s="223">
        <f>IF('CONTROLE GLOBO AÇOS'!H317="","",'CONTROLE GLOBO AÇOS'!H317)</f>
        <v/>
      </c>
      <c r="AP315" s="223">
        <f>IF(AND('CONTROLE EJ'!I317="",'CONTROLE CMM'!I317=""),"",N('CONTROLE EJ'!I317)+N('CONTROLE CMM'!I317))</f>
        <v/>
      </c>
      <c r="AQ315" s="223">
        <f>IF(AND('CONTROLE EJ'!J317="",'CONTROLE CMM'!#REF!=""),"",N('CONTROLE EJ'!J317)+N('CONTROLE CMM'!#REF!))</f>
        <v/>
      </c>
      <c r="AR315" s="223">
        <f>IF('CONTROLE GLOBO AÇOS'!I317="","",'CONTROLE GLOBO AÇOS'!I317)</f>
        <v/>
      </c>
      <c r="AS315" s="223">
        <f>IF('CONTROLE GLOBO AÇOS'!J317="","",'CONTROLE GLOBO AÇOS'!J317)</f>
        <v/>
      </c>
      <c r="AT315" s="223">
        <f>IF(#REF!="","",#REF!)</f>
        <v/>
      </c>
      <c r="AU315" s="223">
        <f>IF('CONTROLE GLOBO AÇOS'!K317="","",'CONTROLE GLOBO AÇOS'!K317)</f>
        <v/>
      </c>
      <c r="AV315" s="223">
        <f>IF(AND('CONTROLE EJ'!K317="",'CONTROLE CMM'!#REF!=""),"",N('CONTROLE EJ'!K317)+N('CONTROLE CMM'!#REF!))</f>
        <v/>
      </c>
      <c r="AW315" s="223">
        <f>IF('CONTROLE GLOBO AÇOS'!L317="","",'CONTROLE GLOBO AÇOS'!L317)</f>
        <v/>
      </c>
      <c r="AX315" s="223">
        <f>IF(AND('CONTROLE EJ'!L317="",'CONTROLE CMM'!#REF!=""),"",N('CONTROLE EJ'!L317)+N('CONTROLE CMM'!#REF!))</f>
        <v/>
      </c>
      <c r="AY315" s="223">
        <f>IF('CONTROLE GLOBO AÇOS'!M317="","",'CONTROLE GLOBO AÇOS'!M317)</f>
        <v/>
      </c>
      <c r="AZ315" s="223">
        <f>IF('CONTROLE GLOBO AÇOS'!N317="","",'CONTROLE GLOBO AÇOS'!N317)</f>
        <v/>
      </c>
      <c r="BA315" s="223">
        <f>IF(AND('CONTROLE EJ'!M317="",'CONTROLE CMM'!#REF!=""),"",N('CONTROLE EJ'!M317)+N('CONTROLE CMM'!#REF!))</f>
        <v/>
      </c>
      <c r="BB315" s="223">
        <f>IF(#REF!="","",#REF!)</f>
        <v/>
      </c>
      <c r="BC315" s="223">
        <f>IF('CONTROLE GLOBO AÇOS'!O317="","",'CONTROLE GLOBO AÇOS'!O317)</f>
        <v/>
      </c>
      <c r="BD315" s="223">
        <f>IF(AND('CONTROLE EJ'!N317="",'CONTROLE CMM'!#REF!=""),"",N('CONTROLE EJ'!N317)+N('CONTROLE CMM'!#REF!))</f>
        <v/>
      </c>
      <c r="BE315" s="223">
        <f>IF('CONTROLE GLOBO AÇOS'!P317="","",'CONTROLE GLOBO AÇOS'!P317)</f>
        <v/>
      </c>
      <c r="BF315" s="223">
        <f>IF('CONTROLE GLOBO AÇOS'!Q317="","",'CONTROLE GLOBO AÇOS'!Q317)</f>
        <v/>
      </c>
      <c r="BG315" s="223">
        <f>IF('CONTROLE GLOBO AÇOS'!R317="","",'CONTROLE GLOBO AÇOS'!R317)</f>
        <v/>
      </c>
      <c r="BH315" s="223">
        <f>IF(AND('CONTROLE EJ'!O317="",'CONTROLE CMM'!#REF!=""),"",N('CONTROLE EJ'!O317)+N('CONTROLE CMM'!#REF!))</f>
        <v/>
      </c>
      <c r="BI315" s="223">
        <f>IF('CONTROLE GLOBO AÇOS'!S317="","",'CONTROLE GLOBO AÇOS'!S317)</f>
        <v/>
      </c>
      <c r="BJ315" s="223">
        <f>IF('CONTROLE GLOBO AÇOS'!T317="","",'CONTROLE GLOBO AÇOS'!T317)</f>
        <v/>
      </c>
      <c r="BK315" s="223">
        <f>IF('CONTROLE GLOBO AÇOS'!U317="","",'CONTROLE GLOBO AÇOS'!U317)</f>
        <v/>
      </c>
      <c r="BL315" s="223">
        <f>IF(AND('CONTROLE EJ'!P317="",'CONTROLE CMM'!#REF!=""),"",N('CONTROLE EJ'!P317)+N('CONTROLE CMM'!#REF!))</f>
        <v/>
      </c>
      <c r="BM315" s="223">
        <f>IF(AND('CONTROLE EJ'!Q317="",'CONTROLE CMM'!#REF!=""),"",N('CONTROLE EJ'!Q317)+N('CONTROLE CMM'!#REF!))</f>
        <v/>
      </c>
      <c r="BN315" s="223">
        <f>IF('CONTROLE GLOBO AÇOS'!V317="","",'CONTROLE GLOBO AÇOS'!V317)</f>
        <v/>
      </c>
      <c r="BO315" s="223">
        <f>IF('CONTROLE GLOBO AÇOS'!W317="","",'CONTROLE GLOBO AÇOS'!W317)</f>
        <v/>
      </c>
      <c r="BP315" s="223">
        <f>IF(AND('CONTROLE EJ'!R317="",'CONTROLE CMM'!#REF!=""),"",N('CONTROLE EJ'!R317)+N('CONTROLE CMM'!#REF!))</f>
        <v/>
      </c>
      <c r="BQ315" s="223">
        <f>IF(#REF!="","",#REF!)</f>
        <v/>
      </c>
      <c r="BR315" s="223">
        <f>IF(AND('CONTROLE EJ'!S317="",'CONTROLE CMM'!#REF!=""),"",N('CONTROLE EJ'!S317)+N('CONTROLE CMM'!#REF!))</f>
        <v/>
      </c>
      <c r="BS315" s="223">
        <f>IF(AND('CONTROLE EJ'!T317="",'CONTROLE CMM'!#REF!=""),"",N('CONTROLE EJ'!T317)+N('CONTROLE CMM'!#REF!))</f>
        <v/>
      </c>
      <c r="BT315" s="223">
        <f>IF('CONTROLE GLOBO AÇOS'!X317="","",'CONTROLE GLOBO AÇOS'!X317)</f>
        <v/>
      </c>
      <c r="BU315" s="223">
        <f>IF('CONTROLE GLOBO AÇOS'!Y317="","",'CONTROLE GLOBO AÇOS'!Y317)</f>
        <v/>
      </c>
      <c r="BV315" s="223">
        <f>IF(AND('CONTROLE EJ'!U317="",'CONTROLE CMM'!#REF!=""),"",N('CONTROLE EJ'!U317)+N('CONTROLE CMM'!#REF!))</f>
        <v/>
      </c>
      <c r="BW315" s="223">
        <f>IF(#REF!="","",#REF!)</f>
        <v/>
      </c>
    </row>
    <row r="316">
      <c r="A316" s="282" t="n">
        <v>46533</v>
      </c>
      <c r="B316" s="18">
        <f>IF('CONTROLE EJ'!B318="","",'CONTROLE EJ'!B318)</f>
        <v/>
      </c>
      <c r="C316" s="18">
        <f>IF('CONTROLE EJ'!C318="","",'CONTROLE EJ'!C318)</f>
        <v/>
      </c>
      <c r="D316" s="26">
        <f>IF('CONTROLE EJ'!D318="","",'CONTROLE EJ'!D318)</f>
        <v/>
      </c>
      <c r="E316" s="43">
        <f>IF('CONTROLE CMM'!B318="","",'CONTROLE CMM'!B318)</f>
        <v/>
      </c>
      <c r="F316" s="18">
        <f>IF('CONTROLE CMM'!C318="","",'CONTROLE CMM'!C318)</f>
        <v/>
      </c>
      <c r="G316" s="26">
        <f>IF('CONTROLE CMM'!D318="","",'CONTROLE CMM'!D318)</f>
        <v/>
      </c>
      <c r="H316" s="18">
        <f>IF('CONTROLE GLOBO AÇOS'!B318="","",'CONTROLE GLOBO AÇOS'!B318)</f>
        <v/>
      </c>
      <c r="I316" s="18">
        <f>IF('CONTROLE GLOBO AÇOS'!C318="","",'CONTROLE GLOBO AÇOS'!C318)</f>
        <v/>
      </c>
      <c r="J316" s="18">
        <f>IF('CONTROLE GLOBO AÇOS'!D318="","",'CONTROLE GLOBO AÇOS'!D318)</f>
        <v/>
      </c>
      <c r="AD316" s="39">
        <f>IF($A316="",0,IF(AND(WEEKDAY($A316,2)&lt;=5,OR($B316&lt;&gt;"",$C316&lt;&gt;"",$D316&lt;&gt;"")),1,0))</f>
        <v/>
      </c>
      <c r="AE316" s="39">
        <f>IF($A316="",0,IF(AND(WEEKDAY($A316,2)&lt;=5,OR($E316&lt;&gt;"",$F316&lt;&gt;"",$G316&lt;&gt;"")),1,0))</f>
        <v/>
      </c>
      <c r="AF316" s="39">
        <f>MAX(AD316,AE316)</f>
        <v/>
      </c>
      <c r="AH316" s="223">
        <f>IF('CONTROLE GLOBO AÇOS'!E318="","",'CONTROLE GLOBO AÇOS'!E318)</f>
        <v/>
      </c>
      <c r="AI316" s="223">
        <f>IF('CONTROLE GLOBO AÇOS'!F318="","",'CONTROLE GLOBO AÇOS'!F318)</f>
        <v/>
      </c>
      <c r="AJ316" s="223">
        <f>IF(AND('CONTROLE EJ'!E318="",'CONTROLE CMM'!E318=""),"",N('CONTROLE EJ'!E318)+N('CONTROLE CMM'!E318))</f>
        <v/>
      </c>
      <c r="AK316" s="223">
        <f>IF(AND('CONTROLE EJ'!F318="",'CONTROLE CMM'!F318=""),"",N('CONTROLE EJ'!F318)+N('CONTROLE CMM'!F318))</f>
        <v/>
      </c>
      <c r="AL316" s="223">
        <f>IF(AND('CONTROLE EJ'!G318="",'CONTROLE CMM'!G318=""),"",N('CONTROLE EJ'!G318)+N('CONTROLE CMM'!G318))</f>
        <v/>
      </c>
      <c r="AM316" s="223">
        <f>IF(AND('CONTROLE EJ'!H318="",'CONTROLE CMM'!H318=""),"",N('CONTROLE EJ'!H318)+N('CONTROLE CMM'!H318))</f>
        <v/>
      </c>
      <c r="AN316" s="223">
        <f>IF('CONTROLE GLOBO AÇOS'!G318="","",'CONTROLE GLOBO AÇOS'!G318)</f>
        <v/>
      </c>
      <c r="AO316" s="223">
        <f>IF('CONTROLE GLOBO AÇOS'!H318="","",'CONTROLE GLOBO AÇOS'!H318)</f>
        <v/>
      </c>
      <c r="AP316" s="223">
        <f>IF(AND('CONTROLE EJ'!I318="",'CONTROLE CMM'!I318=""),"",N('CONTROLE EJ'!I318)+N('CONTROLE CMM'!I318))</f>
        <v/>
      </c>
      <c r="AQ316" s="223">
        <f>IF(AND('CONTROLE EJ'!J318="",'CONTROLE CMM'!#REF!=""),"",N('CONTROLE EJ'!J318)+N('CONTROLE CMM'!#REF!))</f>
        <v/>
      </c>
      <c r="AR316" s="223">
        <f>IF('CONTROLE GLOBO AÇOS'!I318="","",'CONTROLE GLOBO AÇOS'!I318)</f>
        <v/>
      </c>
      <c r="AS316" s="223">
        <f>IF('CONTROLE GLOBO AÇOS'!J318="","",'CONTROLE GLOBO AÇOS'!J318)</f>
        <v/>
      </c>
      <c r="AT316" s="223">
        <f>IF(#REF!="","",#REF!)</f>
        <v/>
      </c>
      <c r="AU316" s="223">
        <f>IF('CONTROLE GLOBO AÇOS'!K318="","",'CONTROLE GLOBO AÇOS'!K318)</f>
        <v/>
      </c>
      <c r="AV316" s="223">
        <f>IF(AND('CONTROLE EJ'!K318="",'CONTROLE CMM'!#REF!=""),"",N('CONTROLE EJ'!K318)+N('CONTROLE CMM'!#REF!))</f>
        <v/>
      </c>
      <c r="AW316" s="223">
        <f>IF('CONTROLE GLOBO AÇOS'!L318="","",'CONTROLE GLOBO AÇOS'!L318)</f>
        <v/>
      </c>
      <c r="AX316" s="223">
        <f>IF(AND('CONTROLE EJ'!L318="",'CONTROLE CMM'!#REF!=""),"",N('CONTROLE EJ'!L318)+N('CONTROLE CMM'!#REF!))</f>
        <v/>
      </c>
      <c r="AY316" s="223">
        <f>IF('CONTROLE GLOBO AÇOS'!M318="","",'CONTROLE GLOBO AÇOS'!M318)</f>
        <v/>
      </c>
      <c r="AZ316" s="223">
        <f>IF('CONTROLE GLOBO AÇOS'!N318="","",'CONTROLE GLOBO AÇOS'!N318)</f>
        <v/>
      </c>
      <c r="BA316" s="223">
        <f>IF(AND('CONTROLE EJ'!M318="",'CONTROLE CMM'!#REF!=""),"",N('CONTROLE EJ'!M318)+N('CONTROLE CMM'!#REF!))</f>
        <v/>
      </c>
      <c r="BB316" s="223">
        <f>IF(#REF!="","",#REF!)</f>
        <v/>
      </c>
      <c r="BC316" s="223">
        <f>IF('CONTROLE GLOBO AÇOS'!O318="","",'CONTROLE GLOBO AÇOS'!O318)</f>
        <v/>
      </c>
      <c r="BD316" s="223">
        <f>IF(AND('CONTROLE EJ'!N318="",'CONTROLE CMM'!#REF!=""),"",N('CONTROLE EJ'!N318)+N('CONTROLE CMM'!#REF!))</f>
        <v/>
      </c>
      <c r="BE316" s="223">
        <f>IF('CONTROLE GLOBO AÇOS'!P318="","",'CONTROLE GLOBO AÇOS'!P318)</f>
        <v/>
      </c>
      <c r="BF316" s="223">
        <f>IF('CONTROLE GLOBO AÇOS'!Q318="","",'CONTROLE GLOBO AÇOS'!Q318)</f>
        <v/>
      </c>
      <c r="BG316" s="223">
        <f>IF('CONTROLE GLOBO AÇOS'!R318="","",'CONTROLE GLOBO AÇOS'!R318)</f>
        <v/>
      </c>
      <c r="BH316" s="223">
        <f>IF(AND('CONTROLE EJ'!O318="",'CONTROLE CMM'!#REF!=""),"",N('CONTROLE EJ'!O318)+N('CONTROLE CMM'!#REF!))</f>
        <v/>
      </c>
      <c r="BI316" s="223">
        <f>IF('CONTROLE GLOBO AÇOS'!S318="","",'CONTROLE GLOBO AÇOS'!S318)</f>
        <v/>
      </c>
      <c r="BJ316" s="223">
        <f>IF('CONTROLE GLOBO AÇOS'!T318="","",'CONTROLE GLOBO AÇOS'!T318)</f>
        <v/>
      </c>
      <c r="BK316" s="223">
        <f>IF('CONTROLE GLOBO AÇOS'!U318="","",'CONTROLE GLOBO AÇOS'!U318)</f>
        <v/>
      </c>
      <c r="BL316" s="223">
        <f>IF(AND('CONTROLE EJ'!P318="",'CONTROLE CMM'!#REF!=""),"",N('CONTROLE EJ'!P318)+N('CONTROLE CMM'!#REF!))</f>
        <v/>
      </c>
      <c r="BM316" s="223">
        <f>IF(AND('CONTROLE EJ'!Q318="",'CONTROLE CMM'!#REF!=""),"",N('CONTROLE EJ'!Q318)+N('CONTROLE CMM'!#REF!))</f>
        <v/>
      </c>
      <c r="BN316" s="223">
        <f>IF('CONTROLE GLOBO AÇOS'!V318="","",'CONTROLE GLOBO AÇOS'!V318)</f>
        <v/>
      </c>
      <c r="BO316" s="223">
        <f>IF('CONTROLE GLOBO AÇOS'!W318="","",'CONTROLE GLOBO AÇOS'!W318)</f>
        <v/>
      </c>
      <c r="BP316" s="223">
        <f>IF(AND('CONTROLE EJ'!R318="",'CONTROLE CMM'!#REF!=""),"",N('CONTROLE EJ'!R318)+N('CONTROLE CMM'!#REF!))</f>
        <v/>
      </c>
      <c r="BQ316" s="223">
        <f>IF(#REF!="","",#REF!)</f>
        <v/>
      </c>
      <c r="BR316" s="223">
        <f>IF(AND('CONTROLE EJ'!S318="",'CONTROLE CMM'!#REF!=""),"",N('CONTROLE EJ'!S318)+N('CONTROLE CMM'!#REF!))</f>
        <v/>
      </c>
      <c r="BS316" s="223">
        <f>IF(AND('CONTROLE EJ'!T318="",'CONTROLE CMM'!#REF!=""),"",N('CONTROLE EJ'!T318)+N('CONTROLE CMM'!#REF!))</f>
        <v/>
      </c>
      <c r="BT316" s="223">
        <f>IF('CONTROLE GLOBO AÇOS'!X318="","",'CONTROLE GLOBO AÇOS'!X318)</f>
        <v/>
      </c>
      <c r="BU316" s="223">
        <f>IF('CONTROLE GLOBO AÇOS'!Y318="","",'CONTROLE GLOBO AÇOS'!Y318)</f>
        <v/>
      </c>
      <c r="BV316" s="223">
        <f>IF(AND('CONTROLE EJ'!U318="",'CONTROLE CMM'!#REF!=""),"",N('CONTROLE EJ'!U318)+N('CONTROLE CMM'!#REF!))</f>
        <v/>
      </c>
      <c r="BW316" s="223">
        <f>IF(#REF!="","",#REF!)</f>
        <v/>
      </c>
    </row>
    <row r="317">
      <c r="A317" s="282" t="n">
        <v>46534</v>
      </c>
      <c r="B317" s="18">
        <f>IF('CONTROLE EJ'!B319="","",'CONTROLE EJ'!B319)</f>
        <v/>
      </c>
      <c r="C317" s="18">
        <f>IF('CONTROLE EJ'!C319="","",'CONTROLE EJ'!C319)</f>
        <v/>
      </c>
      <c r="D317" s="26">
        <f>IF('CONTROLE EJ'!D319="","",'CONTROLE EJ'!D319)</f>
        <v/>
      </c>
      <c r="E317" s="43">
        <f>IF('CONTROLE CMM'!B319="","",'CONTROLE CMM'!B319)</f>
        <v/>
      </c>
      <c r="F317" s="18">
        <f>IF('CONTROLE CMM'!C319="","",'CONTROLE CMM'!C319)</f>
        <v/>
      </c>
      <c r="G317" s="26">
        <f>IF('CONTROLE CMM'!D319="","",'CONTROLE CMM'!D319)</f>
        <v/>
      </c>
      <c r="H317" s="18">
        <f>IF('CONTROLE GLOBO AÇOS'!B319="","",'CONTROLE GLOBO AÇOS'!B319)</f>
        <v/>
      </c>
      <c r="I317" s="18">
        <f>IF('CONTROLE GLOBO AÇOS'!C319="","",'CONTROLE GLOBO AÇOS'!C319)</f>
        <v/>
      </c>
      <c r="J317" s="18">
        <f>IF('CONTROLE GLOBO AÇOS'!D319="","",'CONTROLE GLOBO AÇOS'!D319)</f>
        <v/>
      </c>
      <c r="AD317" s="39">
        <f>IF($A317="",0,IF(AND(WEEKDAY($A317,2)&lt;=5,OR($B317&lt;&gt;"",$C317&lt;&gt;"",$D317&lt;&gt;"")),1,0))</f>
        <v/>
      </c>
      <c r="AE317" s="39">
        <f>IF($A317="",0,IF(AND(WEEKDAY($A317,2)&lt;=5,OR($E317&lt;&gt;"",$F317&lt;&gt;"",$G317&lt;&gt;"")),1,0))</f>
        <v/>
      </c>
      <c r="AF317" s="39">
        <f>MAX(AD317,AE317)</f>
        <v/>
      </c>
      <c r="AH317" s="223">
        <f>IF('CONTROLE GLOBO AÇOS'!E319="","",'CONTROLE GLOBO AÇOS'!E319)</f>
        <v/>
      </c>
      <c r="AI317" s="223">
        <f>IF('CONTROLE GLOBO AÇOS'!F319="","",'CONTROLE GLOBO AÇOS'!F319)</f>
        <v/>
      </c>
      <c r="AJ317" s="223">
        <f>IF(AND('CONTROLE EJ'!E319="",'CONTROLE CMM'!E319=""),"",N('CONTROLE EJ'!E319)+N('CONTROLE CMM'!E319))</f>
        <v/>
      </c>
      <c r="AK317" s="223">
        <f>IF(AND('CONTROLE EJ'!F319="",'CONTROLE CMM'!F319=""),"",N('CONTROLE EJ'!F319)+N('CONTROLE CMM'!F319))</f>
        <v/>
      </c>
      <c r="AL317" s="223">
        <f>IF(AND('CONTROLE EJ'!G319="",'CONTROLE CMM'!G319=""),"",N('CONTROLE EJ'!G319)+N('CONTROLE CMM'!G319))</f>
        <v/>
      </c>
      <c r="AM317" s="223">
        <f>IF(AND('CONTROLE EJ'!H319="",'CONTROLE CMM'!H319=""),"",N('CONTROLE EJ'!H319)+N('CONTROLE CMM'!H319))</f>
        <v/>
      </c>
      <c r="AN317" s="223">
        <f>IF('CONTROLE GLOBO AÇOS'!G319="","",'CONTROLE GLOBO AÇOS'!G319)</f>
        <v/>
      </c>
      <c r="AO317" s="223">
        <f>IF('CONTROLE GLOBO AÇOS'!H319="","",'CONTROLE GLOBO AÇOS'!H319)</f>
        <v/>
      </c>
      <c r="AP317" s="223">
        <f>IF(AND('CONTROLE EJ'!I319="",'CONTROLE CMM'!I319=""),"",N('CONTROLE EJ'!I319)+N('CONTROLE CMM'!I319))</f>
        <v/>
      </c>
      <c r="AQ317" s="223">
        <f>IF(AND('CONTROLE EJ'!J319="",'CONTROLE CMM'!#REF!=""),"",N('CONTROLE EJ'!J319)+N('CONTROLE CMM'!#REF!))</f>
        <v/>
      </c>
      <c r="AR317" s="223">
        <f>IF('CONTROLE GLOBO AÇOS'!I319="","",'CONTROLE GLOBO AÇOS'!I319)</f>
        <v/>
      </c>
      <c r="AS317" s="223">
        <f>IF('CONTROLE GLOBO AÇOS'!J319="","",'CONTROLE GLOBO AÇOS'!J319)</f>
        <v/>
      </c>
      <c r="AT317" s="223">
        <f>IF(#REF!="","",#REF!)</f>
        <v/>
      </c>
      <c r="AU317" s="223">
        <f>IF('CONTROLE GLOBO AÇOS'!K319="","",'CONTROLE GLOBO AÇOS'!K319)</f>
        <v/>
      </c>
      <c r="AV317" s="223">
        <f>IF(AND('CONTROLE EJ'!K319="",'CONTROLE CMM'!#REF!=""),"",N('CONTROLE EJ'!K319)+N('CONTROLE CMM'!#REF!))</f>
        <v/>
      </c>
      <c r="AW317" s="223">
        <f>IF('CONTROLE GLOBO AÇOS'!L319="","",'CONTROLE GLOBO AÇOS'!L319)</f>
        <v/>
      </c>
      <c r="AX317" s="223">
        <f>IF(AND('CONTROLE EJ'!L319="",'CONTROLE CMM'!#REF!=""),"",N('CONTROLE EJ'!L319)+N('CONTROLE CMM'!#REF!))</f>
        <v/>
      </c>
      <c r="AY317" s="223">
        <f>IF('CONTROLE GLOBO AÇOS'!M319="","",'CONTROLE GLOBO AÇOS'!M319)</f>
        <v/>
      </c>
      <c r="AZ317" s="223">
        <f>IF('CONTROLE GLOBO AÇOS'!N319="","",'CONTROLE GLOBO AÇOS'!N319)</f>
        <v/>
      </c>
      <c r="BA317" s="223">
        <f>IF(AND('CONTROLE EJ'!M319="",'CONTROLE CMM'!#REF!=""),"",N('CONTROLE EJ'!M319)+N('CONTROLE CMM'!#REF!))</f>
        <v/>
      </c>
      <c r="BB317" s="223">
        <f>IF(#REF!="","",#REF!)</f>
        <v/>
      </c>
      <c r="BC317" s="223">
        <f>IF('CONTROLE GLOBO AÇOS'!O319="","",'CONTROLE GLOBO AÇOS'!O319)</f>
        <v/>
      </c>
      <c r="BD317" s="223">
        <f>IF(AND('CONTROLE EJ'!N319="",'CONTROLE CMM'!#REF!=""),"",N('CONTROLE EJ'!N319)+N('CONTROLE CMM'!#REF!))</f>
        <v/>
      </c>
      <c r="BE317" s="223">
        <f>IF('CONTROLE GLOBO AÇOS'!P319="","",'CONTROLE GLOBO AÇOS'!P319)</f>
        <v/>
      </c>
      <c r="BF317" s="223">
        <f>IF('CONTROLE GLOBO AÇOS'!Q319="","",'CONTROLE GLOBO AÇOS'!Q319)</f>
        <v/>
      </c>
      <c r="BG317" s="223">
        <f>IF('CONTROLE GLOBO AÇOS'!R319="","",'CONTROLE GLOBO AÇOS'!R319)</f>
        <v/>
      </c>
      <c r="BH317" s="223">
        <f>IF(AND('CONTROLE EJ'!O319="",'CONTROLE CMM'!#REF!=""),"",N('CONTROLE EJ'!O319)+N('CONTROLE CMM'!#REF!))</f>
        <v/>
      </c>
      <c r="BI317" s="223">
        <f>IF('CONTROLE GLOBO AÇOS'!S319="","",'CONTROLE GLOBO AÇOS'!S319)</f>
        <v/>
      </c>
      <c r="BJ317" s="223">
        <f>IF('CONTROLE GLOBO AÇOS'!T319="","",'CONTROLE GLOBO AÇOS'!T319)</f>
        <v/>
      </c>
      <c r="BK317" s="223">
        <f>IF('CONTROLE GLOBO AÇOS'!U319="","",'CONTROLE GLOBO AÇOS'!U319)</f>
        <v/>
      </c>
      <c r="BL317" s="223">
        <f>IF(AND('CONTROLE EJ'!P319="",'CONTROLE CMM'!#REF!=""),"",N('CONTROLE EJ'!P319)+N('CONTROLE CMM'!#REF!))</f>
        <v/>
      </c>
      <c r="BM317" s="223">
        <f>IF(AND('CONTROLE EJ'!Q319="",'CONTROLE CMM'!#REF!=""),"",N('CONTROLE EJ'!Q319)+N('CONTROLE CMM'!#REF!))</f>
        <v/>
      </c>
      <c r="BN317" s="223">
        <f>IF('CONTROLE GLOBO AÇOS'!V319="","",'CONTROLE GLOBO AÇOS'!V319)</f>
        <v/>
      </c>
      <c r="BO317" s="223">
        <f>IF('CONTROLE GLOBO AÇOS'!W319="","",'CONTROLE GLOBO AÇOS'!W319)</f>
        <v/>
      </c>
      <c r="BP317" s="223">
        <f>IF(AND('CONTROLE EJ'!R319="",'CONTROLE CMM'!#REF!=""),"",N('CONTROLE EJ'!R319)+N('CONTROLE CMM'!#REF!))</f>
        <v/>
      </c>
      <c r="BQ317" s="223">
        <f>IF(#REF!="","",#REF!)</f>
        <v/>
      </c>
      <c r="BR317" s="223">
        <f>IF(AND('CONTROLE EJ'!S319="",'CONTROLE CMM'!#REF!=""),"",N('CONTROLE EJ'!S319)+N('CONTROLE CMM'!#REF!))</f>
        <v/>
      </c>
      <c r="BS317" s="223">
        <f>IF(AND('CONTROLE EJ'!T319="",'CONTROLE CMM'!#REF!=""),"",N('CONTROLE EJ'!T319)+N('CONTROLE CMM'!#REF!))</f>
        <v/>
      </c>
      <c r="BT317" s="223">
        <f>IF('CONTROLE GLOBO AÇOS'!X319="","",'CONTROLE GLOBO AÇOS'!X319)</f>
        <v/>
      </c>
      <c r="BU317" s="223">
        <f>IF('CONTROLE GLOBO AÇOS'!Y319="","",'CONTROLE GLOBO AÇOS'!Y319)</f>
        <v/>
      </c>
      <c r="BV317" s="223">
        <f>IF(AND('CONTROLE EJ'!U319="",'CONTROLE CMM'!#REF!=""),"",N('CONTROLE EJ'!U319)+N('CONTROLE CMM'!#REF!))</f>
        <v/>
      </c>
      <c r="BW317" s="223">
        <f>IF(#REF!="","",#REF!)</f>
        <v/>
      </c>
    </row>
    <row r="318">
      <c r="A318" s="282" t="n">
        <v>46535</v>
      </c>
      <c r="B318" s="18">
        <f>IF('CONTROLE EJ'!B320="","",'CONTROLE EJ'!B320)</f>
        <v/>
      </c>
      <c r="C318" s="18">
        <f>IF('CONTROLE EJ'!C320="","",'CONTROLE EJ'!C320)</f>
        <v/>
      </c>
      <c r="D318" s="26">
        <f>IF('CONTROLE EJ'!D320="","",'CONTROLE EJ'!D320)</f>
        <v/>
      </c>
      <c r="E318" s="43">
        <f>IF('CONTROLE CMM'!B320="","",'CONTROLE CMM'!B320)</f>
        <v/>
      </c>
      <c r="F318" s="18">
        <f>IF('CONTROLE CMM'!C320="","",'CONTROLE CMM'!C320)</f>
        <v/>
      </c>
      <c r="G318" s="26">
        <f>IF('CONTROLE CMM'!D320="","",'CONTROLE CMM'!D320)</f>
        <v/>
      </c>
      <c r="H318" s="18">
        <f>IF('CONTROLE GLOBO AÇOS'!B320="","",'CONTROLE GLOBO AÇOS'!B320)</f>
        <v/>
      </c>
      <c r="I318" s="18">
        <f>IF('CONTROLE GLOBO AÇOS'!C320="","",'CONTROLE GLOBO AÇOS'!C320)</f>
        <v/>
      </c>
      <c r="J318" s="18">
        <f>IF('CONTROLE GLOBO AÇOS'!D320="","",'CONTROLE GLOBO AÇOS'!D320)</f>
        <v/>
      </c>
      <c r="AD318" s="39">
        <f>IF($A318="",0,IF(AND(WEEKDAY($A318,2)&lt;=5,OR($B318&lt;&gt;"",$C318&lt;&gt;"",$D318&lt;&gt;"")),1,0))</f>
        <v/>
      </c>
      <c r="AE318" s="39">
        <f>IF($A318="",0,IF(AND(WEEKDAY($A318,2)&lt;=5,OR($E318&lt;&gt;"",$F318&lt;&gt;"",$G318&lt;&gt;"")),1,0))</f>
        <v/>
      </c>
      <c r="AF318" s="39">
        <f>MAX(AD318,AE318)</f>
        <v/>
      </c>
      <c r="AH318" s="223">
        <f>IF('CONTROLE GLOBO AÇOS'!E320="","",'CONTROLE GLOBO AÇOS'!E320)</f>
        <v/>
      </c>
      <c r="AI318" s="223">
        <f>IF('CONTROLE GLOBO AÇOS'!F320="","",'CONTROLE GLOBO AÇOS'!F320)</f>
        <v/>
      </c>
      <c r="AJ318" s="223">
        <f>IF(AND('CONTROLE EJ'!E320="",'CONTROLE CMM'!E320=""),"",N('CONTROLE EJ'!E320)+N('CONTROLE CMM'!E320))</f>
        <v/>
      </c>
      <c r="AK318" s="223">
        <f>IF(AND('CONTROLE EJ'!F320="",'CONTROLE CMM'!F320=""),"",N('CONTROLE EJ'!F320)+N('CONTROLE CMM'!F320))</f>
        <v/>
      </c>
      <c r="AL318" s="223">
        <f>IF(AND('CONTROLE EJ'!G320="",'CONTROLE CMM'!G320=""),"",N('CONTROLE EJ'!G320)+N('CONTROLE CMM'!G320))</f>
        <v/>
      </c>
      <c r="AM318" s="223">
        <f>IF(AND('CONTROLE EJ'!H320="",'CONTROLE CMM'!H320=""),"",N('CONTROLE EJ'!H320)+N('CONTROLE CMM'!H320))</f>
        <v/>
      </c>
      <c r="AN318" s="223">
        <f>IF('CONTROLE GLOBO AÇOS'!G320="","",'CONTROLE GLOBO AÇOS'!G320)</f>
        <v/>
      </c>
      <c r="AO318" s="223">
        <f>IF('CONTROLE GLOBO AÇOS'!H320="","",'CONTROLE GLOBO AÇOS'!H320)</f>
        <v/>
      </c>
      <c r="AP318" s="223">
        <f>IF(AND('CONTROLE EJ'!I320="",'CONTROLE CMM'!I320=""),"",N('CONTROLE EJ'!I320)+N('CONTROLE CMM'!I320))</f>
        <v/>
      </c>
      <c r="AQ318" s="223">
        <f>IF(AND('CONTROLE EJ'!J320="",'CONTROLE CMM'!#REF!=""),"",N('CONTROLE EJ'!J320)+N('CONTROLE CMM'!#REF!))</f>
        <v/>
      </c>
      <c r="AR318" s="223">
        <f>IF('CONTROLE GLOBO AÇOS'!I320="","",'CONTROLE GLOBO AÇOS'!I320)</f>
        <v/>
      </c>
      <c r="AS318" s="223">
        <f>IF('CONTROLE GLOBO AÇOS'!J320="","",'CONTROLE GLOBO AÇOS'!J320)</f>
        <v/>
      </c>
      <c r="AT318" s="223">
        <f>IF(#REF!="","",#REF!)</f>
        <v/>
      </c>
      <c r="AU318" s="223">
        <f>IF('CONTROLE GLOBO AÇOS'!K320="","",'CONTROLE GLOBO AÇOS'!K320)</f>
        <v/>
      </c>
      <c r="AV318" s="223">
        <f>IF(AND('CONTROLE EJ'!K320="",'CONTROLE CMM'!#REF!=""),"",N('CONTROLE EJ'!K320)+N('CONTROLE CMM'!#REF!))</f>
        <v/>
      </c>
      <c r="AW318" s="223">
        <f>IF('CONTROLE GLOBO AÇOS'!L320="","",'CONTROLE GLOBO AÇOS'!L320)</f>
        <v/>
      </c>
      <c r="AX318" s="223">
        <f>IF(AND('CONTROLE EJ'!L320="",'CONTROLE CMM'!#REF!=""),"",N('CONTROLE EJ'!L320)+N('CONTROLE CMM'!#REF!))</f>
        <v/>
      </c>
      <c r="AY318" s="223">
        <f>IF('CONTROLE GLOBO AÇOS'!M320="","",'CONTROLE GLOBO AÇOS'!M320)</f>
        <v/>
      </c>
      <c r="AZ318" s="223">
        <f>IF('CONTROLE GLOBO AÇOS'!N320="","",'CONTROLE GLOBO AÇOS'!N320)</f>
        <v/>
      </c>
      <c r="BA318" s="223">
        <f>IF(AND('CONTROLE EJ'!M320="",'CONTROLE CMM'!#REF!=""),"",N('CONTROLE EJ'!M320)+N('CONTROLE CMM'!#REF!))</f>
        <v/>
      </c>
      <c r="BB318" s="223">
        <f>IF(#REF!="","",#REF!)</f>
        <v/>
      </c>
      <c r="BC318" s="223">
        <f>IF('CONTROLE GLOBO AÇOS'!O320="","",'CONTROLE GLOBO AÇOS'!O320)</f>
        <v/>
      </c>
      <c r="BD318" s="223">
        <f>IF(AND('CONTROLE EJ'!N320="",'CONTROLE CMM'!#REF!=""),"",N('CONTROLE EJ'!N320)+N('CONTROLE CMM'!#REF!))</f>
        <v/>
      </c>
      <c r="BE318" s="223">
        <f>IF('CONTROLE GLOBO AÇOS'!P320="","",'CONTROLE GLOBO AÇOS'!P320)</f>
        <v/>
      </c>
      <c r="BF318" s="223">
        <f>IF('CONTROLE GLOBO AÇOS'!Q320="","",'CONTROLE GLOBO AÇOS'!Q320)</f>
        <v/>
      </c>
      <c r="BG318" s="223">
        <f>IF('CONTROLE GLOBO AÇOS'!R320="","",'CONTROLE GLOBO AÇOS'!R320)</f>
        <v/>
      </c>
      <c r="BH318" s="223">
        <f>IF(AND('CONTROLE EJ'!O320="",'CONTROLE CMM'!#REF!=""),"",N('CONTROLE EJ'!O320)+N('CONTROLE CMM'!#REF!))</f>
        <v/>
      </c>
      <c r="BI318" s="223">
        <f>IF('CONTROLE GLOBO AÇOS'!S320="","",'CONTROLE GLOBO AÇOS'!S320)</f>
        <v/>
      </c>
      <c r="BJ318" s="223">
        <f>IF('CONTROLE GLOBO AÇOS'!T320="","",'CONTROLE GLOBO AÇOS'!T320)</f>
        <v/>
      </c>
      <c r="BK318" s="223">
        <f>IF('CONTROLE GLOBO AÇOS'!U320="","",'CONTROLE GLOBO AÇOS'!U320)</f>
        <v/>
      </c>
      <c r="BL318" s="223">
        <f>IF(AND('CONTROLE EJ'!P320="",'CONTROLE CMM'!#REF!=""),"",N('CONTROLE EJ'!P320)+N('CONTROLE CMM'!#REF!))</f>
        <v/>
      </c>
      <c r="BM318" s="223">
        <f>IF(AND('CONTROLE EJ'!Q320="",'CONTROLE CMM'!#REF!=""),"",N('CONTROLE EJ'!Q320)+N('CONTROLE CMM'!#REF!))</f>
        <v/>
      </c>
      <c r="BN318" s="223">
        <f>IF('CONTROLE GLOBO AÇOS'!V320="","",'CONTROLE GLOBO AÇOS'!V320)</f>
        <v/>
      </c>
      <c r="BO318" s="223">
        <f>IF('CONTROLE GLOBO AÇOS'!W320="","",'CONTROLE GLOBO AÇOS'!W320)</f>
        <v/>
      </c>
      <c r="BP318" s="223">
        <f>IF(AND('CONTROLE EJ'!R320="",'CONTROLE CMM'!#REF!=""),"",N('CONTROLE EJ'!R320)+N('CONTROLE CMM'!#REF!))</f>
        <v/>
      </c>
      <c r="BQ318" s="223">
        <f>IF(#REF!="","",#REF!)</f>
        <v/>
      </c>
      <c r="BR318" s="223">
        <f>IF(AND('CONTROLE EJ'!S320="",'CONTROLE CMM'!#REF!=""),"",N('CONTROLE EJ'!S320)+N('CONTROLE CMM'!#REF!))</f>
        <v/>
      </c>
      <c r="BS318" s="223">
        <f>IF(AND('CONTROLE EJ'!T320="",'CONTROLE CMM'!#REF!=""),"",N('CONTROLE EJ'!T320)+N('CONTROLE CMM'!#REF!))</f>
        <v/>
      </c>
      <c r="BT318" s="223">
        <f>IF('CONTROLE GLOBO AÇOS'!X320="","",'CONTROLE GLOBO AÇOS'!X320)</f>
        <v/>
      </c>
      <c r="BU318" s="223">
        <f>IF('CONTROLE GLOBO AÇOS'!Y320="","",'CONTROLE GLOBO AÇOS'!Y320)</f>
        <v/>
      </c>
      <c r="BV318" s="223">
        <f>IF(AND('CONTROLE EJ'!U320="",'CONTROLE CMM'!#REF!=""),"",N('CONTROLE EJ'!U320)+N('CONTROLE CMM'!#REF!))</f>
        <v/>
      </c>
      <c r="BW318" s="223">
        <f>IF(#REF!="","",#REF!)</f>
        <v/>
      </c>
    </row>
    <row r="319">
      <c r="A319" s="282" t="n">
        <v>46536</v>
      </c>
      <c r="B319" s="18">
        <f>IF('CONTROLE EJ'!B321="","",'CONTROLE EJ'!B321)</f>
        <v/>
      </c>
      <c r="C319" s="18">
        <f>IF('CONTROLE EJ'!C321="","",'CONTROLE EJ'!C321)</f>
        <v/>
      </c>
      <c r="D319" s="26">
        <f>IF('CONTROLE EJ'!D321="","",'CONTROLE EJ'!D321)</f>
        <v/>
      </c>
      <c r="E319" s="43">
        <f>IF('CONTROLE CMM'!B321="","",'CONTROLE CMM'!B321)</f>
        <v/>
      </c>
      <c r="F319" s="18">
        <f>IF('CONTROLE CMM'!C321="","",'CONTROLE CMM'!C321)</f>
        <v/>
      </c>
      <c r="G319" s="26">
        <f>IF('CONTROLE CMM'!D321="","",'CONTROLE CMM'!D321)</f>
        <v/>
      </c>
      <c r="H319" s="18">
        <f>IF('CONTROLE GLOBO AÇOS'!B321="","",'CONTROLE GLOBO AÇOS'!B321)</f>
        <v/>
      </c>
      <c r="I319" s="18">
        <f>IF('CONTROLE GLOBO AÇOS'!C321="","",'CONTROLE GLOBO AÇOS'!C321)</f>
        <v/>
      </c>
      <c r="J319" s="18">
        <f>IF('CONTROLE GLOBO AÇOS'!D321="","",'CONTROLE GLOBO AÇOS'!D321)</f>
        <v/>
      </c>
      <c r="AD319" s="39">
        <f>IF($A319="",0,IF(AND(WEEKDAY($A319,2)&lt;=5,OR($B319&lt;&gt;"",$C319&lt;&gt;"",$D319&lt;&gt;"")),1,0))</f>
        <v/>
      </c>
      <c r="AE319" s="39">
        <f>IF($A319="",0,IF(AND(WEEKDAY($A319,2)&lt;=5,OR($E319&lt;&gt;"",$F319&lt;&gt;"",$G319&lt;&gt;"")),1,0))</f>
        <v/>
      </c>
      <c r="AF319" s="39">
        <f>MAX(AD319,AE319)</f>
        <v/>
      </c>
      <c r="AH319" s="223">
        <f>IF('CONTROLE GLOBO AÇOS'!E321="","",'CONTROLE GLOBO AÇOS'!E321)</f>
        <v/>
      </c>
      <c r="AI319" s="223">
        <f>IF('CONTROLE GLOBO AÇOS'!F321="","",'CONTROLE GLOBO AÇOS'!F321)</f>
        <v/>
      </c>
      <c r="AJ319" s="223">
        <f>IF(AND('CONTROLE EJ'!E321="",'CONTROLE CMM'!E321=""),"",N('CONTROLE EJ'!E321)+N('CONTROLE CMM'!E321))</f>
        <v/>
      </c>
      <c r="AK319" s="223">
        <f>IF(AND('CONTROLE EJ'!F321="",'CONTROLE CMM'!F321=""),"",N('CONTROLE EJ'!F321)+N('CONTROLE CMM'!F321))</f>
        <v/>
      </c>
      <c r="AL319" s="223">
        <f>IF(AND('CONTROLE EJ'!G321="",'CONTROLE CMM'!G321=""),"",N('CONTROLE EJ'!G321)+N('CONTROLE CMM'!G321))</f>
        <v/>
      </c>
      <c r="AM319" s="223">
        <f>IF(AND('CONTROLE EJ'!H321="",'CONTROLE CMM'!H321=""),"",N('CONTROLE EJ'!H321)+N('CONTROLE CMM'!H321))</f>
        <v/>
      </c>
      <c r="AN319" s="223">
        <f>IF('CONTROLE GLOBO AÇOS'!G321="","",'CONTROLE GLOBO AÇOS'!G321)</f>
        <v/>
      </c>
      <c r="AO319" s="223">
        <f>IF('CONTROLE GLOBO AÇOS'!H321="","",'CONTROLE GLOBO AÇOS'!H321)</f>
        <v/>
      </c>
      <c r="AP319" s="223">
        <f>IF(AND('CONTROLE EJ'!I321="",'CONTROLE CMM'!I321=""),"",N('CONTROLE EJ'!I321)+N('CONTROLE CMM'!I321))</f>
        <v/>
      </c>
      <c r="AQ319" s="223">
        <f>IF(AND('CONTROLE EJ'!J321="",'CONTROLE CMM'!#REF!=""),"",N('CONTROLE EJ'!J321)+N('CONTROLE CMM'!#REF!))</f>
        <v/>
      </c>
      <c r="AR319" s="223">
        <f>IF('CONTROLE GLOBO AÇOS'!I321="","",'CONTROLE GLOBO AÇOS'!I321)</f>
        <v/>
      </c>
      <c r="AS319" s="223">
        <f>IF('CONTROLE GLOBO AÇOS'!J321="","",'CONTROLE GLOBO AÇOS'!J321)</f>
        <v/>
      </c>
      <c r="AT319" s="223">
        <f>IF(#REF!="","",#REF!)</f>
        <v/>
      </c>
      <c r="AU319" s="223">
        <f>IF('CONTROLE GLOBO AÇOS'!K321="","",'CONTROLE GLOBO AÇOS'!K321)</f>
        <v/>
      </c>
      <c r="AV319" s="223">
        <f>IF(AND('CONTROLE EJ'!K321="",'CONTROLE CMM'!#REF!=""),"",N('CONTROLE EJ'!K321)+N('CONTROLE CMM'!#REF!))</f>
        <v/>
      </c>
      <c r="AW319" s="223">
        <f>IF('CONTROLE GLOBO AÇOS'!L321="","",'CONTROLE GLOBO AÇOS'!L321)</f>
        <v/>
      </c>
      <c r="AX319" s="223">
        <f>IF(AND('CONTROLE EJ'!L321="",'CONTROLE CMM'!#REF!=""),"",N('CONTROLE EJ'!L321)+N('CONTROLE CMM'!#REF!))</f>
        <v/>
      </c>
      <c r="AY319" s="223">
        <f>IF('CONTROLE GLOBO AÇOS'!M321="","",'CONTROLE GLOBO AÇOS'!M321)</f>
        <v/>
      </c>
      <c r="AZ319" s="223">
        <f>IF('CONTROLE GLOBO AÇOS'!N321="","",'CONTROLE GLOBO AÇOS'!N321)</f>
        <v/>
      </c>
      <c r="BA319" s="223">
        <f>IF(AND('CONTROLE EJ'!M321="",'CONTROLE CMM'!#REF!=""),"",N('CONTROLE EJ'!M321)+N('CONTROLE CMM'!#REF!))</f>
        <v/>
      </c>
      <c r="BB319" s="223">
        <f>IF(#REF!="","",#REF!)</f>
        <v/>
      </c>
      <c r="BC319" s="223">
        <f>IF('CONTROLE GLOBO AÇOS'!O321="","",'CONTROLE GLOBO AÇOS'!O321)</f>
        <v/>
      </c>
      <c r="BD319" s="223">
        <f>IF(AND('CONTROLE EJ'!N321="",'CONTROLE CMM'!#REF!=""),"",N('CONTROLE EJ'!N321)+N('CONTROLE CMM'!#REF!))</f>
        <v/>
      </c>
      <c r="BE319" s="223">
        <f>IF('CONTROLE GLOBO AÇOS'!P321="","",'CONTROLE GLOBO AÇOS'!P321)</f>
        <v/>
      </c>
      <c r="BF319" s="223">
        <f>IF('CONTROLE GLOBO AÇOS'!Q321="","",'CONTROLE GLOBO AÇOS'!Q321)</f>
        <v/>
      </c>
      <c r="BG319" s="223">
        <f>IF('CONTROLE GLOBO AÇOS'!R321="","",'CONTROLE GLOBO AÇOS'!R321)</f>
        <v/>
      </c>
      <c r="BH319" s="223">
        <f>IF(AND('CONTROLE EJ'!O321="",'CONTROLE CMM'!#REF!=""),"",N('CONTROLE EJ'!O321)+N('CONTROLE CMM'!#REF!))</f>
        <v/>
      </c>
      <c r="BI319" s="223">
        <f>IF('CONTROLE GLOBO AÇOS'!S321="","",'CONTROLE GLOBO AÇOS'!S321)</f>
        <v/>
      </c>
      <c r="BJ319" s="223">
        <f>IF('CONTROLE GLOBO AÇOS'!T321="","",'CONTROLE GLOBO AÇOS'!T321)</f>
        <v/>
      </c>
      <c r="BK319" s="223">
        <f>IF('CONTROLE GLOBO AÇOS'!U321="","",'CONTROLE GLOBO AÇOS'!U321)</f>
        <v/>
      </c>
      <c r="BL319" s="223">
        <f>IF(AND('CONTROLE EJ'!P321="",'CONTROLE CMM'!#REF!=""),"",N('CONTROLE EJ'!P321)+N('CONTROLE CMM'!#REF!))</f>
        <v/>
      </c>
      <c r="BM319" s="223">
        <f>IF(AND('CONTROLE EJ'!Q321="",'CONTROLE CMM'!#REF!=""),"",N('CONTROLE EJ'!Q321)+N('CONTROLE CMM'!#REF!))</f>
        <v/>
      </c>
      <c r="BN319" s="223">
        <f>IF('CONTROLE GLOBO AÇOS'!V321="","",'CONTROLE GLOBO AÇOS'!V321)</f>
        <v/>
      </c>
      <c r="BO319" s="223">
        <f>IF('CONTROLE GLOBO AÇOS'!W321="","",'CONTROLE GLOBO AÇOS'!W321)</f>
        <v/>
      </c>
      <c r="BP319" s="223">
        <f>IF(AND('CONTROLE EJ'!R321="",'CONTROLE CMM'!#REF!=""),"",N('CONTROLE EJ'!R321)+N('CONTROLE CMM'!#REF!))</f>
        <v/>
      </c>
      <c r="BQ319" s="223">
        <f>IF(#REF!="","",#REF!)</f>
        <v/>
      </c>
      <c r="BR319" s="223">
        <f>IF(AND('CONTROLE EJ'!S321="",'CONTROLE CMM'!#REF!=""),"",N('CONTROLE EJ'!S321)+N('CONTROLE CMM'!#REF!))</f>
        <v/>
      </c>
      <c r="BS319" s="223">
        <f>IF(AND('CONTROLE EJ'!T321="",'CONTROLE CMM'!#REF!=""),"",N('CONTROLE EJ'!T321)+N('CONTROLE CMM'!#REF!))</f>
        <v/>
      </c>
      <c r="BT319" s="223">
        <f>IF('CONTROLE GLOBO AÇOS'!X321="","",'CONTROLE GLOBO AÇOS'!X321)</f>
        <v/>
      </c>
      <c r="BU319" s="223">
        <f>IF('CONTROLE GLOBO AÇOS'!Y321="","",'CONTROLE GLOBO AÇOS'!Y321)</f>
        <v/>
      </c>
      <c r="BV319" s="223">
        <f>IF(AND('CONTROLE EJ'!U321="",'CONTROLE CMM'!#REF!=""),"",N('CONTROLE EJ'!U321)+N('CONTROLE CMM'!#REF!))</f>
        <v/>
      </c>
      <c r="BW319" s="223">
        <f>IF(#REF!="","",#REF!)</f>
        <v/>
      </c>
    </row>
    <row r="320">
      <c r="A320" s="282" t="n">
        <v>46537</v>
      </c>
      <c r="B320" s="18">
        <f>IF('CONTROLE EJ'!B322="","",'CONTROLE EJ'!B322)</f>
        <v/>
      </c>
      <c r="C320" s="18">
        <f>IF('CONTROLE EJ'!C322="","",'CONTROLE EJ'!C322)</f>
        <v/>
      </c>
      <c r="D320" s="26">
        <f>IF('CONTROLE EJ'!D322="","",'CONTROLE EJ'!D322)</f>
        <v/>
      </c>
      <c r="E320" s="43">
        <f>IF('CONTROLE CMM'!B322="","",'CONTROLE CMM'!B322)</f>
        <v/>
      </c>
      <c r="F320" s="18">
        <f>IF('CONTROLE CMM'!C322="","",'CONTROLE CMM'!C322)</f>
        <v/>
      </c>
      <c r="G320" s="26">
        <f>IF('CONTROLE CMM'!D322="","",'CONTROLE CMM'!D322)</f>
        <v/>
      </c>
      <c r="H320" s="18">
        <f>IF('CONTROLE GLOBO AÇOS'!B322="","",'CONTROLE GLOBO AÇOS'!B322)</f>
        <v/>
      </c>
      <c r="I320" s="18">
        <f>IF('CONTROLE GLOBO AÇOS'!C322="","",'CONTROLE GLOBO AÇOS'!C322)</f>
        <v/>
      </c>
      <c r="J320" s="18">
        <f>IF('CONTROLE GLOBO AÇOS'!D322="","",'CONTROLE GLOBO AÇOS'!D322)</f>
        <v/>
      </c>
      <c r="AD320" s="39">
        <f>IF($A320="",0,IF(AND(WEEKDAY($A320,2)&lt;=5,OR($B320&lt;&gt;"",$C320&lt;&gt;"",$D320&lt;&gt;"")),1,0))</f>
        <v/>
      </c>
      <c r="AE320" s="39">
        <f>IF($A320="",0,IF(AND(WEEKDAY($A320,2)&lt;=5,OR($E320&lt;&gt;"",$F320&lt;&gt;"",$G320&lt;&gt;"")),1,0))</f>
        <v/>
      </c>
      <c r="AF320" s="39">
        <f>MAX(AD320,AE320)</f>
        <v/>
      </c>
      <c r="AH320" s="223">
        <f>IF('CONTROLE GLOBO AÇOS'!E322="","",'CONTROLE GLOBO AÇOS'!E322)</f>
        <v/>
      </c>
      <c r="AI320" s="223">
        <f>IF('CONTROLE GLOBO AÇOS'!F322="","",'CONTROLE GLOBO AÇOS'!F322)</f>
        <v/>
      </c>
      <c r="AJ320" s="223">
        <f>IF(AND('CONTROLE EJ'!E322="",'CONTROLE CMM'!E322=""),"",N('CONTROLE EJ'!E322)+N('CONTROLE CMM'!E322))</f>
        <v/>
      </c>
      <c r="AK320" s="223">
        <f>IF(AND('CONTROLE EJ'!F322="",'CONTROLE CMM'!F322=""),"",N('CONTROLE EJ'!F322)+N('CONTROLE CMM'!F322))</f>
        <v/>
      </c>
      <c r="AL320" s="223">
        <f>IF(AND('CONTROLE EJ'!G322="",'CONTROLE CMM'!G322=""),"",N('CONTROLE EJ'!G322)+N('CONTROLE CMM'!G322))</f>
        <v/>
      </c>
      <c r="AM320" s="223">
        <f>IF(AND('CONTROLE EJ'!H322="",'CONTROLE CMM'!H322=""),"",N('CONTROLE EJ'!H322)+N('CONTROLE CMM'!H322))</f>
        <v/>
      </c>
      <c r="AN320" s="223">
        <f>IF('CONTROLE GLOBO AÇOS'!G322="","",'CONTROLE GLOBO AÇOS'!G322)</f>
        <v/>
      </c>
      <c r="AO320" s="223">
        <f>IF('CONTROLE GLOBO AÇOS'!H322="","",'CONTROLE GLOBO AÇOS'!H322)</f>
        <v/>
      </c>
      <c r="AP320" s="223">
        <f>IF(AND('CONTROLE EJ'!I322="",'CONTROLE CMM'!I322=""),"",N('CONTROLE EJ'!I322)+N('CONTROLE CMM'!I322))</f>
        <v/>
      </c>
      <c r="AQ320" s="223">
        <f>IF(AND('CONTROLE EJ'!J322="",'CONTROLE CMM'!#REF!=""),"",N('CONTROLE EJ'!J322)+N('CONTROLE CMM'!#REF!))</f>
        <v/>
      </c>
      <c r="AR320" s="223">
        <f>IF('CONTROLE GLOBO AÇOS'!I322="","",'CONTROLE GLOBO AÇOS'!I322)</f>
        <v/>
      </c>
      <c r="AS320" s="223">
        <f>IF('CONTROLE GLOBO AÇOS'!J322="","",'CONTROLE GLOBO AÇOS'!J322)</f>
        <v/>
      </c>
      <c r="AT320" s="223">
        <f>IF(#REF!="","",#REF!)</f>
        <v/>
      </c>
      <c r="AU320" s="223">
        <f>IF('CONTROLE GLOBO AÇOS'!K322="","",'CONTROLE GLOBO AÇOS'!K322)</f>
        <v/>
      </c>
      <c r="AV320" s="223">
        <f>IF(AND('CONTROLE EJ'!K322="",'CONTROLE CMM'!#REF!=""),"",N('CONTROLE EJ'!K322)+N('CONTROLE CMM'!#REF!))</f>
        <v/>
      </c>
      <c r="AW320" s="223">
        <f>IF('CONTROLE GLOBO AÇOS'!L322="","",'CONTROLE GLOBO AÇOS'!L322)</f>
        <v/>
      </c>
      <c r="AX320" s="223">
        <f>IF(AND('CONTROLE EJ'!L322="",'CONTROLE CMM'!#REF!=""),"",N('CONTROLE EJ'!L322)+N('CONTROLE CMM'!#REF!))</f>
        <v/>
      </c>
      <c r="AY320" s="223">
        <f>IF('CONTROLE GLOBO AÇOS'!M322="","",'CONTROLE GLOBO AÇOS'!M322)</f>
        <v/>
      </c>
      <c r="AZ320" s="223">
        <f>IF('CONTROLE GLOBO AÇOS'!N322="","",'CONTROLE GLOBO AÇOS'!N322)</f>
        <v/>
      </c>
      <c r="BA320" s="223">
        <f>IF(AND('CONTROLE EJ'!M322="",'CONTROLE CMM'!#REF!=""),"",N('CONTROLE EJ'!M322)+N('CONTROLE CMM'!#REF!))</f>
        <v/>
      </c>
      <c r="BB320" s="223">
        <f>IF(#REF!="","",#REF!)</f>
        <v/>
      </c>
      <c r="BC320" s="223">
        <f>IF('CONTROLE GLOBO AÇOS'!O322="","",'CONTROLE GLOBO AÇOS'!O322)</f>
        <v/>
      </c>
      <c r="BD320" s="223">
        <f>IF(AND('CONTROLE EJ'!N322="",'CONTROLE CMM'!#REF!=""),"",N('CONTROLE EJ'!N322)+N('CONTROLE CMM'!#REF!))</f>
        <v/>
      </c>
      <c r="BE320" s="223">
        <f>IF('CONTROLE GLOBO AÇOS'!P322="","",'CONTROLE GLOBO AÇOS'!P322)</f>
        <v/>
      </c>
      <c r="BF320" s="223">
        <f>IF('CONTROLE GLOBO AÇOS'!Q322="","",'CONTROLE GLOBO AÇOS'!Q322)</f>
        <v/>
      </c>
      <c r="BG320" s="223">
        <f>IF('CONTROLE GLOBO AÇOS'!R322="","",'CONTROLE GLOBO AÇOS'!R322)</f>
        <v/>
      </c>
      <c r="BH320" s="223">
        <f>IF(AND('CONTROLE EJ'!O322="",'CONTROLE CMM'!#REF!=""),"",N('CONTROLE EJ'!O322)+N('CONTROLE CMM'!#REF!))</f>
        <v/>
      </c>
      <c r="BI320" s="223">
        <f>IF('CONTROLE GLOBO AÇOS'!S322="","",'CONTROLE GLOBO AÇOS'!S322)</f>
        <v/>
      </c>
      <c r="BJ320" s="223">
        <f>IF('CONTROLE GLOBO AÇOS'!T322="","",'CONTROLE GLOBO AÇOS'!T322)</f>
        <v/>
      </c>
      <c r="BK320" s="223">
        <f>IF('CONTROLE GLOBO AÇOS'!U322="","",'CONTROLE GLOBO AÇOS'!U322)</f>
        <v/>
      </c>
      <c r="BL320" s="223">
        <f>IF(AND('CONTROLE EJ'!P322="",'CONTROLE CMM'!#REF!=""),"",N('CONTROLE EJ'!P322)+N('CONTROLE CMM'!#REF!))</f>
        <v/>
      </c>
      <c r="BM320" s="223">
        <f>IF(AND('CONTROLE EJ'!Q322="",'CONTROLE CMM'!#REF!=""),"",N('CONTROLE EJ'!Q322)+N('CONTROLE CMM'!#REF!))</f>
        <v/>
      </c>
      <c r="BN320" s="223">
        <f>IF('CONTROLE GLOBO AÇOS'!V322="","",'CONTROLE GLOBO AÇOS'!V322)</f>
        <v/>
      </c>
      <c r="BO320" s="223">
        <f>IF('CONTROLE GLOBO AÇOS'!W322="","",'CONTROLE GLOBO AÇOS'!W322)</f>
        <v/>
      </c>
      <c r="BP320" s="223">
        <f>IF(AND('CONTROLE EJ'!R322="",'CONTROLE CMM'!#REF!=""),"",N('CONTROLE EJ'!R322)+N('CONTROLE CMM'!#REF!))</f>
        <v/>
      </c>
      <c r="BQ320" s="223">
        <f>IF(#REF!="","",#REF!)</f>
        <v/>
      </c>
      <c r="BR320" s="223">
        <f>IF(AND('CONTROLE EJ'!S322="",'CONTROLE CMM'!#REF!=""),"",N('CONTROLE EJ'!S322)+N('CONTROLE CMM'!#REF!))</f>
        <v/>
      </c>
      <c r="BS320" s="223">
        <f>IF(AND('CONTROLE EJ'!T322="",'CONTROLE CMM'!#REF!=""),"",N('CONTROLE EJ'!T322)+N('CONTROLE CMM'!#REF!))</f>
        <v/>
      </c>
      <c r="BT320" s="223">
        <f>IF('CONTROLE GLOBO AÇOS'!X322="","",'CONTROLE GLOBO AÇOS'!X322)</f>
        <v/>
      </c>
      <c r="BU320" s="223">
        <f>IF('CONTROLE GLOBO AÇOS'!Y322="","",'CONTROLE GLOBO AÇOS'!Y322)</f>
        <v/>
      </c>
      <c r="BV320" s="223">
        <f>IF(AND('CONTROLE EJ'!U322="",'CONTROLE CMM'!#REF!=""),"",N('CONTROLE EJ'!U322)+N('CONTROLE CMM'!#REF!))</f>
        <v/>
      </c>
      <c r="BW320" s="223">
        <f>IF(#REF!="","",#REF!)</f>
        <v/>
      </c>
    </row>
    <row r="321">
      <c r="A321" s="282" t="n">
        <v>46538</v>
      </c>
      <c r="B321" s="18">
        <f>IF('CONTROLE EJ'!B323="","",'CONTROLE EJ'!B323)</f>
        <v/>
      </c>
      <c r="C321" s="18">
        <f>IF('CONTROLE EJ'!C323="","",'CONTROLE EJ'!C323)</f>
        <v/>
      </c>
      <c r="D321" s="26">
        <f>IF('CONTROLE EJ'!D323="","",'CONTROLE EJ'!D323)</f>
        <v/>
      </c>
      <c r="E321" s="43">
        <f>IF('CONTROLE CMM'!B323="","",'CONTROLE CMM'!B323)</f>
        <v/>
      </c>
      <c r="F321" s="18">
        <f>IF('CONTROLE CMM'!C323="","",'CONTROLE CMM'!C323)</f>
        <v/>
      </c>
      <c r="G321" s="26">
        <f>IF('CONTROLE CMM'!D323="","",'CONTROLE CMM'!D323)</f>
        <v/>
      </c>
      <c r="H321" s="18">
        <f>IF('CONTROLE GLOBO AÇOS'!B323="","",'CONTROLE GLOBO AÇOS'!B323)</f>
        <v/>
      </c>
      <c r="I321" s="18">
        <f>IF('CONTROLE GLOBO AÇOS'!C323="","",'CONTROLE GLOBO AÇOS'!C323)</f>
        <v/>
      </c>
      <c r="J321" s="18">
        <f>IF('CONTROLE GLOBO AÇOS'!D323="","",'CONTROLE GLOBO AÇOS'!D323)</f>
        <v/>
      </c>
      <c r="AD321" s="39">
        <f>IF($A321="",0,IF(AND(WEEKDAY($A321,2)&lt;=5,OR($B321&lt;&gt;"",$C321&lt;&gt;"",$D321&lt;&gt;"")),1,0))</f>
        <v/>
      </c>
      <c r="AE321" s="39">
        <f>IF($A321="",0,IF(AND(WEEKDAY($A321,2)&lt;=5,OR($E321&lt;&gt;"",$F321&lt;&gt;"",$G321&lt;&gt;"")),1,0))</f>
        <v/>
      </c>
      <c r="AF321" s="39">
        <f>MAX(AD321,AE321)</f>
        <v/>
      </c>
      <c r="AH321" s="223">
        <f>IF('CONTROLE GLOBO AÇOS'!E323="","",'CONTROLE GLOBO AÇOS'!E323)</f>
        <v/>
      </c>
      <c r="AI321" s="223">
        <f>IF('CONTROLE GLOBO AÇOS'!F323="","",'CONTROLE GLOBO AÇOS'!F323)</f>
        <v/>
      </c>
      <c r="AJ321" s="223">
        <f>IF(AND('CONTROLE EJ'!E323="",'CONTROLE CMM'!E323=""),"",N('CONTROLE EJ'!E323)+N('CONTROLE CMM'!E323))</f>
        <v/>
      </c>
      <c r="AK321" s="223">
        <f>IF(AND('CONTROLE EJ'!F323="",'CONTROLE CMM'!F323=""),"",N('CONTROLE EJ'!F323)+N('CONTROLE CMM'!F323))</f>
        <v/>
      </c>
      <c r="AL321" s="223">
        <f>IF(AND('CONTROLE EJ'!G323="",'CONTROLE CMM'!G323=""),"",N('CONTROLE EJ'!G323)+N('CONTROLE CMM'!G323))</f>
        <v/>
      </c>
      <c r="AM321" s="223">
        <f>IF(AND('CONTROLE EJ'!H323="",'CONTROLE CMM'!H323=""),"",N('CONTROLE EJ'!H323)+N('CONTROLE CMM'!H323))</f>
        <v/>
      </c>
      <c r="AN321" s="223">
        <f>IF('CONTROLE GLOBO AÇOS'!G323="","",'CONTROLE GLOBO AÇOS'!G323)</f>
        <v/>
      </c>
      <c r="AO321" s="223">
        <f>IF('CONTROLE GLOBO AÇOS'!H323="","",'CONTROLE GLOBO AÇOS'!H323)</f>
        <v/>
      </c>
      <c r="AP321" s="223">
        <f>IF(AND('CONTROLE EJ'!I323="",'CONTROLE CMM'!I323=""),"",N('CONTROLE EJ'!I323)+N('CONTROLE CMM'!I323))</f>
        <v/>
      </c>
      <c r="AQ321" s="223">
        <f>IF(AND('CONTROLE EJ'!J323="",'CONTROLE CMM'!#REF!=""),"",N('CONTROLE EJ'!J323)+N('CONTROLE CMM'!#REF!))</f>
        <v/>
      </c>
      <c r="AR321" s="223">
        <f>IF('CONTROLE GLOBO AÇOS'!I323="","",'CONTROLE GLOBO AÇOS'!I323)</f>
        <v/>
      </c>
      <c r="AS321" s="223">
        <f>IF('CONTROLE GLOBO AÇOS'!J323="","",'CONTROLE GLOBO AÇOS'!J323)</f>
        <v/>
      </c>
      <c r="AT321" s="223">
        <f>IF(#REF!="","",#REF!)</f>
        <v/>
      </c>
      <c r="AU321" s="223">
        <f>IF('CONTROLE GLOBO AÇOS'!K323="","",'CONTROLE GLOBO AÇOS'!K323)</f>
        <v/>
      </c>
      <c r="AV321" s="223">
        <f>IF(AND('CONTROLE EJ'!K323="",'CONTROLE CMM'!#REF!=""),"",N('CONTROLE EJ'!K323)+N('CONTROLE CMM'!#REF!))</f>
        <v/>
      </c>
      <c r="AW321" s="223">
        <f>IF('CONTROLE GLOBO AÇOS'!L323="","",'CONTROLE GLOBO AÇOS'!L323)</f>
        <v/>
      </c>
      <c r="AX321" s="223">
        <f>IF(AND('CONTROLE EJ'!L323="",'CONTROLE CMM'!#REF!=""),"",N('CONTROLE EJ'!L323)+N('CONTROLE CMM'!#REF!))</f>
        <v/>
      </c>
      <c r="AY321" s="223">
        <f>IF('CONTROLE GLOBO AÇOS'!M323="","",'CONTROLE GLOBO AÇOS'!M323)</f>
        <v/>
      </c>
      <c r="AZ321" s="223">
        <f>IF('CONTROLE GLOBO AÇOS'!N323="","",'CONTROLE GLOBO AÇOS'!N323)</f>
        <v/>
      </c>
      <c r="BA321" s="223">
        <f>IF(AND('CONTROLE EJ'!M323="",'CONTROLE CMM'!#REF!=""),"",N('CONTROLE EJ'!M323)+N('CONTROLE CMM'!#REF!))</f>
        <v/>
      </c>
      <c r="BB321" s="223">
        <f>IF(#REF!="","",#REF!)</f>
        <v/>
      </c>
      <c r="BC321" s="223">
        <f>IF('CONTROLE GLOBO AÇOS'!O323="","",'CONTROLE GLOBO AÇOS'!O323)</f>
        <v/>
      </c>
      <c r="BD321" s="223">
        <f>IF(AND('CONTROLE EJ'!N323="",'CONTROLE CMM'!#REF!=""),"",N('CONTROLE EJ'!N323)+N('CONTROLE CMM'!#REF!))</f>
        <v/>
      </c>
      <c r="BE321" s="223">
        <f>IF('CONTROLE GLOBO AÇOS'!P323="","",'CONTROLE GLOBO AÇOS'!P323)</f>
        <v/>
      </c>
      <c r="BF321" s="223">
        <f>IF('CONTROLE GLOBO AÇOS'!Q323="","",'CONTROLE GLOBO AÇOS'!Q323)</f>
        <v/>
      </c>
      <c r="BG321" s="223">
        <f>IF('CONTROLE GLOBO AÇOS'!R323="","",'CONTROLE GLOBO AÇOS'!R323)</f>
        <v/>
      </c>
      <c r="BH321" s="223">
        <f>IF(AND('CONTROLE EJ'!O323="",'CONTROLE CMM'!#REF!=""),"",N('CONTROLE EJ'!O323)+N('CONTROLE CMM'!#REF!))</f>
        <v/>
      </c>
      <c r="BI321" s="223">
        <f>IF('CONTROLE GLOBO AÇOS'!S323="","",'CONTROLE GLOBO AÇOS'!S323)</f>
        <v/>
      </c>
      <c r="BJ321" s="223">
        <f>IF('CONTROLE GLOBO AÇOS'!T323="","",'CONTROLE GLOBO AÇOS'!T323)</f>
        <v/>
      </c>
      <c r="BK321" s="223">
        <f>IF('CONTROLE GLOBO AÇOS'!U323="","",'CONTROLE GLOBO AÇOS'!U323)</f>
        <v/>
      </c>
      <c r="BL321" s="223">
        <f>IF(AND('CONTROLE EJ'!P323="",'CONTROLE CMM'!#REF!=""),"",N('CONTROLE EJ'!P323)+N('CONTROLE CMM'!#REF!))</f>
        <v/>
      </c>
      <c r="BM321" s="223">
        <f>IF(AND('CONTROLE EJ'!Q323="",'CONTROLE CMM'!#REF!=""),"",N('CONTROLE EJ'!Q323)+N('CONTROLE CMM'!#REF!))</f>
        <v/>
      </c>
      <c r="BN321" s="223">
        <f>IF('CONTROLE GLOBO AÇOS'!V323="","",'CONTROLE GLOBO AÇOS'!V323)</f>
        <v/>
      </c>
      <c r="BO321" s="223">
        <f>IF('CONTROLE GLOBO AÇOS'!W323="","",'CONTROLE GLOBO AÇOS'!W323)</f>
        <v/>
      </c>
      <c r="BP321" s="223">
        <f>IF(AND('CONTROLE EJ'!R323="",'CONTROLE CMM'!#REF!=""),"",N('CONTROLE EJ'!R323)+N('CONTROLE CMM'!#REF!))</f>
        <v/>
      </c>
      <c r="BQ321" s="223">
        <f>IF(#REF!="","",#REF!)</f>
        <v/>
      </c>
      <c r="BR321" s="223">
        <f>IF(AND('CONTROLE EJ'!S323="",'CONTROLE CMM'!#REF!=""),"",N('CONTROLE EJ'!S323)+N('CONTROLE CMM'!#REF!))</f>
        <v/>
      </c>
      <c r="BS321" s="223">
        <f>IF(AND('CONTROLE EJ'!T323="",'CONTROLE CMM'!#REF!=""),"",N('CONTROLE EJ'!T323)+N('CONTROLE CMM'!#REF!))</f>
        <v/>
      </c>
      <c r="BT321" s="223">
        <f>IF('CONTROLE GLOBO AÇOS'!X323="","",'CONTROLE GLOBO AÇOS'!X323)</f>
        <v/>
      </c>
      <c r="BU321" s="223">
        <f>IF('CONTROLE GLOBO AÇOS'!Y323="","",'CONTROLE GLOBO AÇOS'!Y323)</f>
        <v/>
      </c>
      <c r="BV321" s="223">
        <f>IF(AND('CONTROLE EJ'!U323="",'CONTROLE CMM'!#REF!=""),"",N('CONTROLE EJ'!U323)+N('CONTROLE CMM'!#REF!))</f>
        <v/>
      </c>
      <c r="BW321" s="223">
        <f>IF(#REF!="","",#REF!)</f>
        <v/>
      </c>
    </row>
    <row r="322">
      <c r="A322" s="282" t="n">
        <v>46539</v>
      </c>
      <c r="B322" s="18">
        <f>IF('CONTROLE EJ'!B324="","",'CONTROLE EJ'!B324)</f>
        <v/>
      </c>
      <c r="C322" s="18">
        <f>IF('CONTROLE EJ'!C324="","",'CONTROLE EJ'!C324)</f>
        <v/>
      </c>
      <c r="D322" s="26">
        <f>IF('CONTROLE EJ'!D324="","",'CONTROLE EJ'!D324)</f>
        <v/>
      </c>
      <c r="E322" s="43">
        <f>IF('CONTROLE CMM'!B324="","",'CONTROLE CMM'!B324)</f>
        <v/>
      </c>
      <c r="F322" s="18">
        <f>IF('CONTROLE CMM'!C324="","",'CONTROLE CMM'!C324)</f>
        <v/>
      </c>
      <c r="G322" s="26">
        <f>IF('CONTROLE CMM'!D324="","",'CONTROLE CMM'!D324)</f>
        <v/>
      </c>
      <c r="H322" s="18">
        <f>IF('CONTROLE GLOBO AÇOS'!B324="","",'CONTROLE GLOBO AÇOS'!B324)</f>
        <v/>
      </c>
      <c r="I322" s="18">
        <f>IF('CONTROLE GLOBO AÇOS'!C324="","",'CONTROLE GLOBO AÇOS'!C324)</f>
        <v/>
      </c>
      <c r="J322" s="18">
        <f>IF('CONTROLE GLOBO AÇOS'!D324="","",'CONTROLE GLOBO AÇOS'!D324)</f>
        <v/>
      </c>
      <c r="AD322" s="39">
        <f>IF($A322="",0,IF(AND(WEEKDAY($A322,2)&lt;=5,OR($B322&lt;&gt;"",$C322&lt;&gt;"",$D322&lt;&gt;"")),1,0))</f>
        <v/>
      </c>
      <c r="AE322" s="39">
        <f>IF($A322="",0,IF(AND(WEEKDAY($A322,2)&lt;=5,OR($E322&lt;&gt;"",$F322&lt;&gt;"",$G322&lt;&gt;"")),1,0))</f>
        <v/>
      </c>
      <c r="AF322" s="39">
        <f>MAX(AD322,AE322)</f>
        <v/>
      </c>
      <c r="AH322" s="223">
        <f>IF('CONTROLE GLOBO AÇOS'!E324="","",'CONTROLE GLOBO AÇOS'!E324)</f>
        <v/>
      </c>
      <c r="AI322" s="223">
        <f>IF('CONTROLE GLOBO AÇOS'!F324="","",'CONTROLE GLOBO AÇOS'!F324)</f>
        <v/>
      </c>
      <c r="AJ322" s="223">
        <f>IF(AND('CONTROLE EJ'!E324="",'CONTROLE CMM'!E324=""),"",N('CONTROLE EJ'!E324)+N('CONTROLE CMM'!E324))</f>
        <v/>
      </c>
      <c r="AK322" s="223">
        <f>IF(AND('CONTROLE EJ'!F324="",'CONTROLE CMM'!F324=""),"",N('CONTROLE EJ'!F324)+N('CONTROLE CMM'!F324))</f>
        <v/>
      </c>
      <c r="AL322" s="223">
        <f>IF(AND('CONTROLE EJ'!G324="",'CONTROLE CMM'!G324=""),"",N('CONTROLE EJ'!G324)+N('CONTROLE CMM'!G324))</f>
        <v/>
      </c>
      <c r="AM322" s="223">
        <f>IF(AND('CONTROLE EJ'!H324="",'CONTROLE CMM'!H324=""),"",N('CONTROLE EJ'!H324)+N('CONTROLE CMM'!H324))</f>
        <v/>
      </c>
      <c r="AN322" s="223">
        <f>IF('CONTROLE GLOBO AÇOS'!G324="","",'CONTROLE GLOBO AÇOS'!G324)</f>
        <v/>
      </c>
      <c r="AO322" s="223">
        <f>IF('CONTROLE GLOBO AÇOS'!H324="","",'CONTROLE GLOBO AÇOS'!H324)</f>
        <v/>
      </c>
      <c r="AP322" s="223">
        <f>IF(AND('CONTROLE EJ'!I324="",'CONTROLE CMM'!I324=""),"",N('CONTROLE EJ'!I324)+N('CONTROLE CMM'!I324))</f>
        <v/>
      </c>
      <c r="AQ322" s="223">
        <f>IF(AND('CONTROLE EJ'!J324="",'CONTROLE CMM'!#REF!=""),"",N('CONTROLE EJ'!J324)+N('CONTROLE CMM'!#REF!))</f>
        <v/>
      </c>
      <c r="AR322" s="223">
        <f>IF('CONTROLE GLOBO AÇOS'!I324="","",'CONTROLE GLOBO AÇOS'!I324)</f>
        <v/>
      </c>
      <c r="AS322" s="223">
        <f>IF('CONTROLE GLOBO AÇOS'!J324="","",'CONTROLE GLOBO AÇOS'!J324)</f>
        <v/>
      </c>
      <c r="AT322" s="223">
        <f>IF(#REF!="","",#REF!)</f>
        <v/>
      </c>
      <c r="AU322" s="223">
        <f>IF('CONTROLE GLOBO AÇOS'!K324="","",'CONTROLE GLOBO AÇOS'!K324)</f>
        <v/>
      </c>
      <c r="AV322" s="223">
        <f>IF(AND('CONTROLE EJ'!K324="",'CONTROLE CMM'!#REF!=""),"",N('CONTROLE EJ'!K324)+N('CONTROLE CMM'!#REF!))</f>
        <v/>
      </c>
      <c r="AW322" s="223">
        <f>IF('CONTROLE GLOBO AÇOS'!L324="","",'CONTROLE GLOBO AÇOS'!L324)</f>
        <v/>
      </c>
      <c r="AX322" s="223">
        <f>IF(AND('CONTROLE EJ'!L324="",'CONTROLE CMM'!#REF!=""),"",N('CONTROLE EJ'!L324)+N('CONTROLE CMM'!#REF!))</f>
        <v/>
      </c>
      <c r="AY322" s="223">
        <f>IF('CONTROLE GLOBO AÇOS'!M324="","",'CONTROLE GLOBO AÇOS'!M324)</f>
        <v/>
      </c>
      <c r="AZ322" s="223">
        <f>IF('CONTROLE GLOBO AÇOS'!N324="","",'CONTROLE GLOBO AÇOS'!N324)</f>
        <v/>
      </c>
      <c r="BA322" s="223">
        <f>IF(AND('CONTROLE EJ'!M324="",'CONTROLE CMM'!#REF!=""),"",N('CONTROLE EJ'!M324)+N('CONTROLE CMM'!#REF!))</f>
        <v/>
      </c>
      <c r="BB322" s="223">
        <f>IF(#REF!="","",#REF!)</f>
        <v/>
      </c>
      <c r="BC322" s="223">
        <f>IF('CONTROLE GLOBO AÇOS'!O324="","",'CONTROLE GLOBO AÇOS'!O324)</f>
        <v/>
      </c>
      <c r="BD322" s="223">
        <f>IF(AND('CONTROLE EJ'!N324="",'CONTROLE CMM'!#REF!=""),"",N('CONTROLE EJ'!N324)+N('CONTROLE CMM'!#REF!))</f>
        <v/>
      </c>
      <c r="BE322" s="223">
        <f>IF('CONTROLE GLOBO AÇOS'!P324="","",'CONTROLE GLOBO AÇOS'!P324)</f>
        <v/>
      </c>
      <c r="BF322" s="223">
        <f>IF('CONTROLE GLOBO AÇOS'!Q324="","",'CONTROLE GLOBO AÇOS'!Q324)</f>
        <v/>
      </c>
      <c r="BG322" s="223">
        <f>IF('CONTROLE GLOBO AÇOS'!R324="","",'CONTROLE GLOBO AÇOS'!R324)</f>
        <v/>
      </c>
      <c r="BH322" s="223">
        <f>IF(AND('CONTROLE EJ'!O324="",'CONTROLE CMM'!#REF!=""),"",N('CONTROLE EJ'!O324)+N('CONTROLE CMM'!#REF!))</f>
        <v/>
      </c>
      <c r="BI322" s="223">
        <f>IF('CONTROLE GLOBO AÇOS'!S324="","",'CONTROLE GLOBO AÇOS'!S324)</f>
        <v/>
      </c>
      <c r="BJ322" s="223">
        <f>IF('CONTROLE GLOBO AÇOS'!T324="","",'CONTROLE GLOBO AÇOS'!T324)</f>
        <v/>
      </c>
      <c r="BK322" s="223">
        <f>IF('CONTROLE GLOBO AÇOS'!U324="","",'CONTROLE GLOBO AÇOS'!U324)</f>
        <v/>
      </c>
      <c r="BL322" s="223">
        <f>IF(AND('CONTROLE EJ'!P324="",'CONTROLE CMM'!#REF!=""),"",N('CONTROLE EJ'!P324)+N('CONTROLE CMM'!#REF!))</f>
        <v/>
      </c>
      <c r="BM322" s="223">
        <f>IF(AND('CONTROLE EJ'!Q324="",'CONTROLE CMM'!#REF!=""),"",N('CONTROLE EJ'!Q324)+N('CONTROLE CMM'!#REF!))</f>
        <v/>
      </c>
      <c r="BN322" s="223">
        <f>IF('CONTROLE GLOBO AÇOS'!V324="","",'CONTROLE GLOBO AÇOS'!V324)</f>
        <v/>
      </c>
      <c r="BO322" s="223">
        <f>IF('CONTROLE GLOBO AÇOS'!W324="","",'CONTROLE GLOBO AÇOS'!W324)</f>
        <v/>
      </c>
      <c r="BP322" s="223">
        <f>IF(AND('CONTROLE EJ'!R324="",'CONTROLE CMM'!#REF!=""),"",N('CONTROLE EJ'!R324)+N('CONTROLE CMM'!#REF!))</f>
        <v/>
      </c>
      <c r="BQ322" s="223">
        <f>IF(#REF!="","",#REF!)</f>
        <v/>
      </c>
      <c r="BR322" s="223">
        <f>IF(AND('CONTROLE EJ'!S324="",'CONTROLE CMM'!#REF!=""),"",N('CONTROLE EJ'!S324)+N('CONTROLE CMM'!#REF!))</f>
        <v/>
      </c>
      <c r="BS322" s="223">
        <f>IF(AND('CONTROLE EJ'!T324="",'CONTROLE CMM'!#REF!=""),"",N('CONTROLE EJ'!T324)+N('CONTROLE CMM'!#REF!))</f>
        <v/>
      </c>
      <c r="BT322" s="223">
        <f>IF('CONTROLE GLOBO AÇOS'!X324="","",'CONTROLE GLOBO AÇOS'!X324)</f>
        <v/>
      </c>
      <c r="BU322" s="223">
        <f>IF('CONTROLE GLOBO AÇOS'!Y324="","",'CONTROLE GLOBO AÇOS'!Y324)</f>
        <v/>
      </c>
      <c r="BV322" s="223">
        <f>IF(AND('CONTROLE EJ'!U324="",'CONTROLE CMM'!#REF!=""),"",N('CONTROLE EJ'!U324)+N('CONTROLE CMM'!#REF!))</f>
        <v/>
      </c>
      <c r="BW322" s="223">
        <f>IF(#REF!="","",#REF!)</f>
        <v/>
      </c>
    </row>
    <row r="323">
      <c r="A323" s="282" t="n">
        <v>46540</v>
      </c>
      <c r="B323" s="18">
        <f>IF('CONTROLE EJ'!B325="","",'CONTROLE EJ'!B325)</f>
        <v/>
      </c>
      <c r="C323" s="18">
        <f>IF('CONTROLE EJ'!C325="","",'CONTROLE EJ'!C325)</f>
        <v/>
      </c>
      <c r="D323" s="26">
        <f>IF('CONTROLE EJ'!D325="","",'CONTROLE EJ'!D325)</f>
        <v/>
      </c>
      <c r="E323" s="43">
        <f>IF('CONTROLE CMM'!B325="","",'CONTROLE CMM'!B325)</f>
        <v/>
      </c>
      <c r="F323" s="18">
        <f>IF('CONTROLE CMM'!C325="","",'CONTROLE CMM'!C325)</f>
        <v/>
      </c>
      <c r="G323" s="26">
        <f>IF('CONTROLE CMM'!D325="","",'CONTROLE CMM'!D325)</f>
        <v/>
      </c>
      <c r="H323" s="18">
        <f>IF('CONTROLE GLOBO AÇOS'!B325="","",'CONTROLE GLOBO AÇOS'!B325)</f>
        <v/>
      </c>
      <c r="I323" s="18">
        <f>IF('CONTROLE GLOBO AÇOS'!C325="","",'CONTROLE GLOBO AÇOS'!C325)</f>
        <v/>
      </c>
      <c r="J323" s="18">
        <f>IF('CONTROLE GLOBO AÇOS'!D325="","",'CONTROLE GLOBO AÇOS'!D325)</f>
        <v/>
      </c>
      <c r="AD323" s="39">
        <f>IF($A323="",0,IF(AND(WEEKDAY($A323,2)&lt;=5,OR($B323&lt;&gt;"",$C323&lt;&gt;"",$D323&lt;&gt;"")),1,0))</f>
        <v/>
      </c>
      <c r="AE323" s="39">
        <f>IF($A323="",0,IF(AND(WEEKDAY($A323,2)&lt;=5,OR($E323&lt;&gt;"",$F323&lt;&gt;"",$G323&lt;&gt;"")),1,0))</f>
        <v/>
      </c>
      <c r="AF323" s="39">
        <f>MAX(AD323,AE323)</f>
        <v/>
      </c>
      <c r="AH323" s="223">
        <f>IF('CONTROLE GLOBO AÇOS'!E325="","",'CONTROLE GLOBO AÇOS'!E325)</f>
        <v/>
      </c>
      <c r="AI323" s="223">
        <f>IF('CONTROLE GLOBO AÇOS'!F325="","",'CONTROLE GLOBO AÇOS'!F325)</f>
        <v/>
      </c>
      <c r="AJ323" s="223">
        <f>IF(AND('CONTROLE EJ'!E325="",'CONTROLE CMM'!E325=""),"",N('CONTROLE EJ'!E325)+N('CONTROLE CMM'!E325))</f>
        <v/>
      </c>
      <c r="AK323" s="223">
        <f>IF(AND('CONTROLE EJ'!F325="",'CONTROLE CMM'!F325=""),"",N('CONTROLE EJ'!F325)+N('CONTROLE CMM'!F325))</f>
        <v/>
      </c>
      <c r="AL323" s="223">
        <f>IF(AND('CONTROLE EJ'!G325="",'CONTROLE CMM'!G325=""),"",N('CONTROLE EJ'!G325)+N('CONTROLE CMM'!G325))</f>
        <v/>
      </c>
      <c r="AM323" s="223">
        <f>IF(AND('CONTROLE EJ'!H325="",'CONTROLE CMM'!H325=""),"",N('CONTROLE EJ'!H325)+N('CONTROLE CMM'!H325))</f>
        <v/>
      </c>
      <c r="AN323" s="223">
        <f>IF('CONTROLE GLOBO AÇOS'!G325="","",'CONTROLE GLOBO AÇOS'!G325)</f>
        <v/>
      </c>
      <c r="AO323" s="223">
        <f>IF('CONTROLE GLOBO AÇOS'!H325="","",'CONTROLE GLOBO AÇOS'!H325)</f>
        <v/>
      </c>
      <c r="AP323" s="223">
        <f>IF(AND('CONTROLE EJ'!I325="",'CONTROLE CMM'!I325=""),"",N('CONTROLE EJ'!I325)+N('CONTROLE CMM'!I325))</f>
        <v/>
      </c>
      <c r="AQ323" s="223">
        <f>IF(AND('CONTROLE EJ'!J325="",'CONTROLE CMM'!#REF!=""),"",N('CONTROLE EJ'!J325)+N('CONTROLE CMM'!#REF!))</f>
        <v/>
      </c>
      <c r="AR323" s="223">
        <f>IF('CONTROLE GLOBO AÇOS'!I325="","",'CONTROLE GLOBO AÇOS'!I325)</f>
        <v/>
      </c>
      <c r="AS323" s="223">
        <f>IF('CONTROLE GLOBO AÇOS'!J325="","",'CONTROLE GLOBO AÇOS'!J325)</f>
        <v/>
      </c>
      <c r="AT323" s="223">
        <f>IF(#REF!="","",#REF!)</f>
        <v/>
      </c>
      <c r="AU323" s="223">
        <f>IF('CONTROLE GLOBO AÇOS'!K325="","",'CONTROLE GLOBO AÇOS'!K325)</f>
        <v/>
      </c>
      <c r="AV323" s="223">
        <f>IF(AND('CONTROLE EJ'!K325="",'CONTROLE CMM'!#REF!=""),"",N('CONTROLE EJ'!K325)+N('CONTROLE CMM'!#REF!))</f>
        <v/>
      </c>
      <c r="AW323" s="223">
        <f>IF('CONTROLE GLOBO AÇOS'!L325="","",'CONTROLE GLOBO AÇOS'!L325)</f>
        <v/>
      </c>
      <c r="AX323" s="223">
        <f>IF(AND('CONTROLE EJ'!L325="",'CONTROLE CMM'!#REF!=""),"",N('CONTROLE EJ'!L325)+N('CONTROLE CMM'!#REF!))</f>
        <v/>
      </c>
      <c r="AY323" s="223">
        <f>IF('CONTROLE GLOBO AÇOS'!M325="","",'CONTROLE GLOBO AÇOS'!M325)</f>
        <v/>
      </c>
      <c r="AZ323" s="223">
        <f>IF('CONTROLE GLOBO AÇOS'!N325="","",'CONTROLE GLOBO AÇOS'!N325)</f>
        <v/>
      </c>
      <c r="BA323" s="223">
        <f>IF(AND('CONTROLE EJ'!M325="",'CONTROLE CMM'!#REF!=""),"",N('CONTROLE EJ'!M325)+N('CONTROLE CMM'!#REF!))</f>
        <v/>
      </c>
      <c r="BB323" s="223">
        <f>IF(#REF!="","",#REF!)</f>
        <v/>
      </c>
      <c r="BC323" s="223">
        <f>IF('CONTROLE GLOBO AÇOS'!O325="","",'CONTROLE GLOBO AÇOS'!O325)</f>
        <v/>
      </c>
      <c r="BD323" s="223">
        <f>IF(AND('CONTROLE EJ'!N325="",'CONTROLE CMM'!#REF!=""),"",N('CONTROLE EJ'!N325)+N('CONTROLE CMM'!#REF!))</f>
        <v/>
      </c>
      <c r="BE323" s="223">
        <f>IF('CONTROLE GLOBO AÇOS'!P325="","",'CONTROLE GLOBO AÇOS'!P325)</f>
        <v/>
      </c>
      <c r="BF323" s="223">
        <f>IF('CONTROLE GLOBO AÇOS'!Q325="","",'CONTROLE GLOBO AÇOS'!Q325)</f>
        <v/>
      </c>
      <c r="BG323" s="223">
        <f>IF('CONTROLE GLOBO AÇOS'!R325="","",'CONTROLE GLOBO AÇOS'!R325)</f>
        <v/>
      </c>
      <c r="BH323" s="223">
        <f>IF(AND('CONTROLE EJ'!O325="",'CONTROLE CMM'!#REF!=""),"",N('CONTROLE EJ'!O325)+N('CONTROLE CMM'!#REF!))</f>
        <v/>
      </c>
      <c r="BI323" s="223">
        <f>IF('CONTROLE GLOBO AÇOS'!S325="","",'CONTROLE GLOBO AÇOS'!S325)</f>
        <v/>
      </c>
      <c r="BJ323" s="223">
        <f>IF('CONTROLE GLOBO AÇOS'!T325="","",'CONTROLE GLOBO AÇOS'!T325)</f>
        <v/>
      </c>
      <c r="BK323" s="223">
        <f>IF('CONTROLE GLOBO AÇOS'!U325="","",'CONTROLE GLOBO AÇOS'!U325)</f>
        <v/>
      </c>
      <c r="BL323" s="223">
        <f>IF(AND('CONTROLE EJ'!P325="",'CONTROLE CMM'!#REF!=""),"",N('CONTROLE EJ'!P325)+N('CONTROLE CMM'!#REF!))</f>
        <v/>
      </c>
      <c r="BM323" s="223">
        <f>IF(AND('CONTROLE EJ'!Q325="",'CONTROLE CMM'!#REF!=""),"",N('CONTROLE EJ'!Q325)+N('CONTROLE CMM'!#REF!))</f>
        <v/>
      </c>
      <c r="BN323" s="223">
        <f>IF('CONTROLE GLOBO AÇOS'!V325="","",'CONTROLE GLOBO AÇOS'!V325)</f>
        <v/>
      </c>
      <c r="BO323" s="223">
        <f>IF('CONTROLE GLOBO AÇOS'!W325="","",'CONTROLE GLOBO AÇOS'!W325)</f>
        <v/>
      </c>
      <c r="BP323" s="223">
        <f>IF(AND('CONTROLE EJ'!R325="",'CONTROLE CMM'!#REF!=""),"",N('CONTROLE EJ'!R325)+N('CONTROLE CMM'!#REF!))</f>
        <v/>
      </c>
      <c r="BQ323" s="223">
        <f>IF(#REF!="","",#REF!)</f>
        <v/>
      </c>
      <c r="BR323" s="223">
        <f>IF(AND('CONTROLE EJ'!S325="",'CONTROLE CMM'!#REF!=""),"",N('CONTROLE EJ'!S325)+N('CONTROLE CMM'!#REF!))</f>
        <v/>
      </c>
      <c r="BS323" s="223">
        <f>IF(AND('CONTROLE EJ'!T325="",'CONTROLE CMM'!#REF!=""),"",N('CONTROLE EJ'!T325)+N('CONTROLE CMM'!#REF!))</f>
        <v/>
      </c>
      <c r="BT323" s="223">
        <f>IF('CONTROLE GLOBO AÇOS'!X325="","",'CONTROLE GLOBO AÇOS'!X325)</f>
        <v/>
      </c>
      <c r="BU323" s="223">
        <f>IF('CONTROLE GLOBO AÇOS'!Y325="","",'CONTROLE GLOBO AÇOS'!Y325)</f>
        <v/>
      </c>
      <c r="BV323" s="223">
        <f>IF(AND('CONTROLE EJ'!U325="",'CONTROLE CMM'!#REF!=""),"",N('CONTROLE EJ'!U325)+N('CONTROLE CMM'!#REF!))</f>
        <v/>
      </c>
      <c r="BW323" s="223">
        <f>IF(#REF!="","",#REF!)</f>
        <v/>
      </c>
    </row>
    <row r="324">
      <c r="A324" s="282" t="n">
        <v>46541</v>
      </c>
      <c r="B324" s="18">
        <f>IF('CONTROLE EJ'!B326="","",'CONTROLE EJ'!B326)</f>
        <v/>
      </c>
      <c r="C324" s="18">
        <f>IF('CONTROLE EJ'!C326="","",'CONTROLE EJ'!C326)</f>
        <v/>
      </c>
      <c r="D324" s="26">
        <f>IF('CONTROLE EJ'!D326="","",'CONTROLE EJ'!D326)</f>
        <v/>
      </c>
      <c r="E324" s="43">
        <f>IF('CONTROLE CMM'!B326="","",'CONTROLE CMM'!B326)</f>
        <v/>
      </c>
      <c r="F324" s="18">
        <f>IF('CONTROLE CMM'!C326="","",'CONTROLE CMM'!C326)</f>
        <v/>
      </c>
      <c r="G324" s="26">
        <f>IF('CONTROLE CMM'!D326="","",'CONTROLE CMM'!D326)</f>
        <v/>
      </c>
      <c r="H324" s="18">
        <f>IF('CONTROLE GLOBO AÇOS'!B326="","",'CONTROLE GLOBO AÇOS'!B326)</f>
        <v/>
      </c>
      <c r="I324" s="18">
        <f>IF('CONTROLE GLOBO AÇOS'!C326="","",'CONTROLE GLOBO AÇOS'!C326)</f>
        <v/>
      </c>
      <c r="J324" s="18">
        <f>IF('CONTROLE GLOBO AÇOS'!D326="","",'CONTROLE GLOBO AÇOS'!D326)</f>
        <v/>
      </c>
      <c r="AD324" s="39">
        <f>IF($A324="",0,IF(AND(WEEKDAY($A324,2)&lt;=5,OR($B324&lt;&gt;"",$C324&lt;&gt;"",$D324&lt;&gt;"")),1,0))</f>
        <v/>
      </c>
      <c r="AE324" s="39">
        <f>IF($A324="",0,IF(AND(WEEKDAY($A324,2)&lt;=5,OR($E324&lt;&gt;"",$F324&lt;&gt;"",$G324&lt;&gt;"")),1,0))</f>
        <v/>
      </c>
      <c r="AF324" s="39">
        <f>MAX(AD324,AE324)</f>
        <v/>
      </c>
      <c r="AH324" s="223">
        <f>IF('CONTROLE GLOBO AÇOS'!E326="","",'CONTROLE GLOBO AÇOS'!E326)</f>
        <v/>
      </c>
      <c r="AI324" s="223">
        <f>IF('CONTROLE GLOBO AÇOS'!F326="","",'CONTROLE GLOBO AÇOS'!F326)</f>
        <v/>
      </c>
      <c r="AJ324" s="223">
        <f>IF(AND('CONTROLE EJ'!E326="",'CONTROLE CMM'!E326=""),"",N('CONTROLE EJ'!E326)+N('CONTROLE CMM'!E326))</f>
        <v/>
      </c>
      <c r="AK324" s="223">
        <f>IF(AND('CONTROLE EJ'!F326="",'CONTROLE CMM'!F326=""),"",N('CONTROLE EJ'!F326)+N('CONTROLE CMM'!F326))</f>
        <v/>
      </c>
      <c r="AL324" s="223">
        <f>IF(AND('CONTROLE EJ'!G326="",'CONTROLE CMM'!G326=""),"",N('CONTROLE EJ'!G326)+N('CONTROLE CMM'!G326))</f>
        <v/>
      </c>
      <c r="AM324" s="223">
        <f>IF(AND('CONTROLE EJ'!H326="",'CONTROLE CMM'!H326=""),"",N('CONTROLE EJ'!H326)+N('CONTROLE CMM'!H326))</f>
        <v/>
      </c>
      <c r="AN324" s="223">
        <f>IF('CONTROLE GLOBO AÇOS'!G326="","",'CONTROLE GLOBO AÇOS'!G326)</f>
        <v/>
      </c>
      <c r="AO324" s="223">
        <f>IF('CONTROLE GLOBO AÇOS'!H326="","",'CONTROLE GLOBO AÇOS'!H326)</f>
        <v/>
      </c>
      <c r="AP324" s="223">
        <f>IF(AND('CONTROLE EJ'!I326="",'CONTROLE CMM'!I326=""),"",N('CONTROLE EJ'!I326)+N('CONTROLE CMM'!I326))</f>
        <v/>
      </c>
      <c r="AQ324" s="223">
        <f>IF(AND('CONTROLE EJ'!J326="",'CONTROLE CMM'!#REF!=""),"",N('CONTROLE EJ'!J326)+N('CONTROLE CMM'!#REF!))</f>
        <v/>
      </c>
      <c r="AR324" s="223">
        <f>IF('CONTROLE GLOBO AÇOS'!I326="","",'CONTROLE GLOBO AÇOS'!I326)</f>
        <v/>
      </c>
      <c r="AS324" s="223">
        <f>IF('CONTROLE GLOBO AÇOS'!J326="","",'CONTROLE GLOBO AÇOS'!J326)</f>
        <v/>
      </c>
      <c r="AT324" s="223">
        <f>IF(#REF!="","",#REF!)</f>
        <v/>
      </c>
      <c r="AU324" s="223">
        <f>IF('CONTROLE GLOBO AÇOS'!K326="","",'CONTROLE GLOBO AÇOS'!K326)</f>
        <v/>
      </c>
      <c r="AV324" s="223">
        <f>IF(AND('CONTROLE EJ'!K326="",'CONTROLE CMM'!#REF!=""),"",N('CONTROLE EJ'!K326)+N('CONTROLE CMM'!#REF!))</f>
        <v/>
      </c>
      <c r="AW324" s="223">
        <f>IF('CONTROLE GLOBO AÇOS'!L326="","",'CONTROLE GLOBO AÇOS'!L326)</f>
        <v/>
      </c>
      <c r="AX324" s="223">
        <f>IF(AND('CONTROLE EJ'!L326="",'CONTROLE CMM'!#REF!=""),"",N('CONTROLE EJ'!L326)+N('CONTROLE CMM'!#REF!))</f>
        <v/>
      </c>
      <c r="AY324" s="223">
        <f>IF('CONTROLE GLOBO AÇOS'!M326="","",'CONTROLE GLOBO AÇOS'!M326)</f>
        <v/>
      </c>
      <c r="AZ324" s="223">
        <f>IF('CONTROLE GLOBO AÇOS'!N326="","",'CONTROLE GLOBO AÇOS'!N326)</f>
        <v/>
      </c>
      <c r="BA324" s="223">
        <f>IF(AND('CONTROLE EJ'!M326="",'CONTROLE CMM'!#REF!=""),"",N('CONTROLE EJ'!M326)+N('CONTROLE CMM'!#REF!))</f>
        <v/>
      </c>
      <c r="BB324" s="223">
        <f>IF(#REF!="","",#REF!)</f>
        <v/>
      </c>
      <c r="BC324" s="223">
        <f>IF('CONTROLE GLOBO AÇOS'!O326="","",'CONTROLE GLOBO AÇOS'!O326)</f>
        <v/>
      </c>
      <c r="BD324" s="223">
        <f>IF(AND('CONTROLE EJ'!N326="",'CONTROLE CMM'!#REF!=""),"",N('CONTROLE EJ'!N326)+N('CONTROLE CMM'!#REF!))</f>
        <v/>
      </c>
      <c r="BE324" s="223">
        <f>IF('CONTROLE GLOBO AÇOS'!P326="","",'CONTROLE GLOBO AÇOS'!P326)</f>
        <v/>
      </c>
      <c r="BF324" s="223">
        <f>IF('CONTROLE GLOBO AÇOS'!Q326="","",'CONTROLE GLOBO AÇOS'!Q326)</f>
        <v/>
      </c>
      <c r="BG324" s="223">
        <f>IF('CONTROLE GLOBO AÇOS'!R326="","",'CONTROLE GLOBO AÇOS'!R326)</f>
        <v/>
      </c>
      <c r="BH324" s="223">
        <f>IF(AND('CONTROLE EJ'!O326="",'CONTROLE CMM'!#REF!=""),"",N('CONTROLE EJ'!O326)+N('CONTROLE CMM'!#REF!))</f>
        <v/>
      </c>
      <c r="BI324" s="223">
        <f>IF('CONTROLE GLOBO AÇOS'!S326="","",'CONTROLE GLOBO AÇOS'!S326)</f>
        <v/>
      </c>
      <c r="BJ324" s="223">
        <f>IF('CONTROLE GLOBO AÇOS'!T326="","",'CONTROLE GLOBO AÇOS'!T326)</f>
        <v/>
      </c>
      <c r="BK324" s="223">
        <f>IF('CONTROLE GLOBO AÇOS'!U326="","",'CONTROLE GLOBO AÇOS'!U326)</f>
        <v/>
      </c>
      <c r="BL324" s="223">
        <f>IF(AND('CONTROLE EJ'!P326="",'CONTROLE CMM'!#REF!=""),"",N('CONTROLE EJ'!P326)+N('CONTROLE CMM'!#REF!))</f>
        <v/>
      </c>
      <c r="BM324" s="223">
        <f>IF(AND('CONTROLE EJ'!Q326="",'CONTROLE CMM'!#REF!=""),"",N('CONTROLE EJ'!Q326)+N('CONTROLE CMM'!#REF!))</f>
        <v/>
      </c>
      <c r="BN324" s="223">
        <f>IF('CONTROLE GLOBO AÇOS'!V326="","",'CONTROLE GLOBO AÇOS'!V326)</f>
        <v/>
      </c>
      <c r="BO324" s="223">
        <f>IF('CONTROLE GLOBO AÇOS'!W326="","",'CONTROLE GLOBO AÇOS'!W326)</f>
        <v/>
      </c>
      <c r="BP324" s="223">
        <f>IF(AND('CONTROLE EJ'!R326="",'CONTROLE CMM'!#REF!=""),"",N('CONTROLE EJ'!R326)+N('CONTROLE CMM'!#REF!))</f>
        <v/>
      </c>
      <c r="BQ324" s="223">
        <f>IF(#REF!="","",#REF!)</f>
        <v/>
      </c>
      <c r="BR324" s="223">
        <f>IF(AND('CONTROLE EJ'!S326="",'CONTROLE CMM'!#REF!=""),"",N('CONTROLE EJ'!S326)+N('CONTROLE CMM'!#REF!))</f>
        <v/>
      </c>
      <c r="BS324" s="223">
        <f>IF(AND('CONTROLE EJ'!T326="",'CONTROLE CMM'!#REF!=""),"",N('CONTROLE EJ'!T326)+N('CONTROLE CMM'!#REF!))</f>
        <v/>
      </c>
      <c r="BT324" s="223">
        <f>IF('CONTROLE GLOBO AÇOS'!X326="","",'CONTROLE GLOBO AÇOS'!X326)</f>
        <v/>
      </c>
      <c r="BU324" s="223">
        <f>IF('CONTROLE GLOBO AÇOS'!Y326="","",'CONTROLE GLOBO AÇOS'!Y326)</f>
        <v/>
      </c>
      <c r="BV324" s="223">
        <f>IF(AND('CONTROLE EJ'!U326="",'CONTROLE CMM'!#REF!=""),"",N('CONTROLE EJ'!U326)+N('CONTROLE CMM'!#REF!))</f>
        <v/>
      </c>
      <c r="BW324" s="223">
        <f>IF(#REF!="","",#REF!)</f>
        <v/>
      </c>
    </row>
    <row r="325">
      <c r="A325" s="282" t="n">
        <v>46542</v>
      </c>
      <c r="B325" s="18">
        <f>IF('CONTROLE EJ'!B327="","",'CONTROLE EJ'!B327)</f>
        <v/>
      </c>
      <c r="C325" s="18">
        <f>IF('CONTROLE EJ'!C327="","",'CONTROLE EJ'!C327)</f>
        <v/>
      </c>
      <c r="D325" s="26">
        <f>IF('CONTROLE EJ'!D327="","",'CONTROLE EJ'!D327)</f>
        <v/>
      </c>
      <c r="E325" s="43">
        <f>IF('CONTROLE CMM'!B327="","",'CONTROLE CMM'!B327)</f>
        <v/>
      </c>
      <c r="F325" s="18">
        <f>IF('CONTROLE CMM'!C327="","",'CONTROLE CMM'!C327)</f>
        <v/>
      </c>
      <c r="G325" s="26">
        <f>IF('CONTROLE CMM'!D327="","",'CONTROLE CMM'!D327)</f>
        <v/>
      </c>
      <c r="H325" s="18">
        <f>IF('CONTROLE GLOBO AÇOS'!B327="","",'CONTROLE GLOBO AÇOS'!B327)</f>
        <v/>
      </c>
      <c r="I325" s="18">
        <f>IF('CONTROLE GLOBO AÇOS'!C327="","",'CONTROLE GLOBO AÇOS'!C327)</f>
        <v/>
      </c>
      <c r="J325" s="18">
        <f>IF('CONTROLE GLOBO AÇOS'!D327="","",'CONTROLE GLOBO AÇOS'!D327)</f>
        <v/>
      </c>
      <c r="AD325" s="39">
        <f>IF($A325="",0,IF(AND(WEEKDAY($A325,2)&lt;=5,OR($B325&lt;&gt;"",$C325&lt;&gt;"",$D325&lt;&gt;"")),1,0))</f>
        <v/>
      </c>
      <c r="AE325" s="39">
        <f>IF($A325="",0,IF(AND(WEEKDAY($A325,2)&lt;=5,OR($E325&lt;&gt;"",$F325&lt;&gt;"",$G325&lt;&gt;"")),1,0))</f>
        <v/>
      </c>
      <c r="AF325" s="39">
        <f>MAX(AD325,AE325)</f>
        <v/>
      </c>
      <c r="AH325" s="223">
        <f>IF('CONTROLE GLOBO AÇOS'!E327="","",'CONTROLE GLOBO AÇOS'!E327)</f>
        <v/>
      </c>
      <c r="AI325" s="223">
        <f>IF('CONTROLE GLOBO AÇOS'!F327="","",'CONTROLE GLOBO AÇOS'!F327)</f>
        <v/>
      </c>
      <c r="AJ325" s="223">
        <f>IF(AND('CONTROLE EJ'!E327="",'CONTROLE CMM'!E327=""),"",N('CONTROLE EJ'!E327)+N('CONTROLE CMM'!E327))</f>
        <v/>
      </c>
      <c r="AK325" s="223">
        <f>IF(AND('CONTROLE EJ'!F327="",'CONTROLE CMM'!F327=""),"",N('CONTROLE EJ'!F327)+N('CONTROLE CMM'!F327))</f>
        <v/>
      </c>
      <c r="AL325" s="223">
        <f>IF(AND('CONTROLE EJ'!G327="",'CONTROLE CMM'!G327=""),"",N('CONTROLE EJ'!G327)+N('CONTROLE CMM'!G327))</f>
        <v/>
      </c>
      <c r="AM325" s="223">
        <f>IF(AND('CONTROLE EJ'!H327="",'CONTROLE CMM'!H327=""),"",N('CONTROLE EJ'!H327)+N('CONTROLE CMM'!H327))</f>
        <v/>
      </c>
      <c r="AN325" s="223">
        <f>IF('CONTROLE GLOBO AÇOS'!G327="","",'CONTROLE GLOBO AÇOS'!G327)</f>
        <v/>
      </c>
      <c r="AO325" s="223">
        <f>IF('CONTROLE GLOBO AÇOS'!H327="","",'CONTROLE GLOBO AÇOS'!H327)</f>
        <v/>
      </c>
      <c r="AP325" s="223">
        <f>IF(AND('CONTROLE EJ'!I327="",'CONTROLE CMM'!I327=""),"",N('CONTROLE EJ'!I327)+N('CONTROLE CMM'!I327))</f>
        <v/>
      </c>
      <c r="AQ325" s="223">
        <f>IF(AND('CONTROLE EJ'!J327="",'CONTROLE CMM'!#REF!=""),"",N('CONTROLE EJ'!J327)+N('CONTROLE CMM'!#REF!))</f>
        <v/>
      </c>
      <c r="AR325" s="223">
        <f>IF('CONTROLE GLOBO AÇOS'!I327="","",'CONTROLE GLOBO AÇOS'!I327)</f>
        <v/>
      </c>
      <c r="AS325" s="223">
        <f>IF('CONTROLE GLOBO AÇOS'!J327="","",'CONTROLE GLOBO AÇOS'!J327)</f>
        <v/>
      </c>
      <c r="AT325" s="223">
        <f>IF(#REF!="","",#REF!)</f>
        <v/>
      </c>
      <c r="AU325" s="223">
        <f>IF('CONTROLE GLOBO AÇOS'!K327="","",'CONTROLE GLOBO AÇOS'!K327)</f>
        <v/>
      </c>
      <c r="AV325" s="223">
        <f>IF(AND('CONTROLE EJ'!K327="",'CONTROLE CMM'!#REF!=""),"",N('CONTROLE EJ'!K327)+N('CONTROLE CMM'!#REF!))</f>
        <v/>
      </c>
      <c r="AW325" s="223">
        <f>IF('CONTROLE GLOBO AÇOS'!L327="","",'CONTROLE GLOBO AÇOS'!L327)</f>
        <v/>
      </c>
      <c r="AX325" s="223">
        <f>IF(AND('CONTROLE EJ'!L327="",'CONTROLE CMM'!#REF!=""),"",N('CONTROLE EJ'!L327)+N('CONTROLE CMM'!#REF!))</f>
        <v/>
      </c>
      <c r="AY325" s="223">
        <f>IF('CONTROLE GLOBO AÇOS'!M327="","",'CONTROLE GLOBO AÇOS'!M327)</f>
        <v/>
      </c>
      <c r="AZ325" s="223">
        <f>IF('CONTROLE GLOBO AÇOS'!N327="","",'CONTROLE GLOBO AÇOS'!N327)</f>
        <v/>
      </c>
      <c r="BA325" s="223">
        <f>IF(AND('CONTROLE EJ'!M327="",'CONTROLE CMM'!#REF!=""),"",N('CONTROLE EJ'!M327)+N('CONTROLE CMM'!#REF!))</f>
        <v/>
      </c>
      <c r="BB325" s="223">
        <f>IF(#REF!="","",#REF!)</f>
        <v/>
      </c>
      <c r="BC325" s="223">
        <f>IF('CONTROLE GLOBO AÇOS'!O327="","",'CONTROLE GLOBO AÇOS'!O327)</f>
        <v/>
      </c>
      <c r="BD325" s="223">
        <f>IF(AND('CONTROLE EJ'!N327="",'CONTROLE CMM'!#REF!=""),"",N('CONTROLE EJ'!N327)+N('CONTROLE CMM'!#REF!))</f>
        <v/>
      </c>
      <c r="BE325" s="223">
        <f>IF('CONTROLE GLOBO AÇOS'!P327="","",'CONTROLE GLOBO AÇOS'!P327)</f>
        <v/>
      </c>
      <c r="BF325" s="223">
        <f>IF('CONTROLE GLOBO AÇOS'!Q327="","",'CONTROLE GLOBO AÇOS'!Q327)</f>
        <v/>
      </c>
      <c r="BG325" s="223">
        <f>IF('CONTROLE GLOBO AÇOS'!R327="","",'CONTROLE GLOBO AÇOS'!R327)</f>
        <v/>
      </c>
      <c r="BH325" s="223">
        <f>IF(AND('CONTROLE EJ'!O327="",'CONTROLE CMM'!#REF!=""),"",N('CONTROLE EJ'!O327)+N('CONTROLE CMM'!#REF!))</f>
        <v/>
      </c>
      <c r="BI325" s="223">
        <f>IF('CONTROLE GLOBO AÇOS'!S327="","",'CONTROLE GLOBO AÇOS'!S327)</f>
        <v/>
      </c>
      <c r="BJ325" s="223">
        <f>IF('CONTROLE GLOBO AÇOS'!T327="","",'CONTROLE GLOBO AÇOS'!T327)</f>
        <v/>
      </c>
      <c r="BK325" s="223">
        <f>IF('CONTROLE GLOBO AÇOS'!U327="","",'CONTROLE GLOBO AÇOS'!U327)</f>
        <v/>
      </c>
      <c r="BL325" s="223">
        <f>IF(AND('CONTROLE EJ'!P327="",'CONTROLE CMM'!#REF!=""),"",N('CONTROLE EJ'!P327)+N('CONTROLE CMM'!#REF!))</f>
        <v/>
      </c>
      <c r="BM325" s="223">
        <f>IF(AND('CONTROLE EJ'!Q327="",'CONTROLE CMM'!#REF!=""),"",N('CONTROLE EJ'!Q327)+N('CONTROLE CMM'!#REF!))</f>
        <v/>
      </c>
      <c r="BN325" s="223">
        <f>IF('CONTROLE GLOBO AÇOS'!V327="","",'CONTROLE GLOBO AÇOS'!V327)</f>
        <v/>
      </c>
      <c r="BO325" s="223">
        <f>IF('CONTROLE GLOBO AÇOS'!W327="","",'CONTROLE GLOBO AÇOS'!W327)</f>
        <v/>
      </c>
      <c r="BP325" s="223">
        <f>IF(AND('CONTROLE EJ'!R327="",'CONTROLE CMM'!#REF!=""),"",N('CONTROLE EJ'!R327)+N('CONTROLE CMM'!#REF!))</f>
        <v/>
      </c>
      <c r="BQ325" s="223">
        <f>IF(#REF!="","",#REF!)</f>
        <v/>
      </c>
      <c r="BR325" s="223">
        <f>IF(AND('CONTROLE EJ'!S327="",'CONTROLE CMM'!#REF!=""),"",N('CONTROLE EJ'!S327)+N('CONTROLE CMM'!#REF!))</f>
        <v/>
      </c>
      <c r="BS325" s="223">
        <f>IF(AND('CONTROLE EJ'!T327="",'CONTROLE CMM'!#REF!=""),"",N('CONTROLE EJ'!T327)+N('CONTROLE CMM'!#REF!))</f>
        <v/>
      </c>
      <c r="BT325" s="223">
        <f>IF('CONTROLE GLOBO AÇOS'!X327="","",'CONTROLE GLOBO AÇOS'!X327)</f>
        <v/>
      </c>
      <c r="BU325" s="223">
        <f>IF('CONTROLE GLOBO AÇOS'!Y327="","",'CONTROLE GLOBO AÇOS'!Y327)</f>
        <v/>
      </c>
      <c r="BV325" s="223">
        <f>IF(AND('CONTROLE EJ'!U327="",'CONTROLE CMM'!#REF!=""),"",N('CONTROLE EJ'!U327)+N('CONTROLE CMM'!#REF!))</f>
        <v/>
      </c>
      <c r="BW325" s="223">
        <f>IF(#REF!="","",#REF!)</f>
        <v/>
      </c>
    </row>
    <row r="326">
      <c r="A326" s="282" t="n">
        <v>46543</v>
      </c>
      <c r="B326" s="18">
        <f>IF('CONTROLE EJ'!B328="","",'CONTROLE EJ'!B328)</f>
        <v/>
      </c>
      <c r="C326" s="18">
        <f>IF('CONTROLE EJ'!C328="","",'CONTROLE EJ'!C328)</f>
        <v/>
      </c>
      <c r="D326" s="26">
        <f>IF('CONTROLE EJ'!D328="","",'CONTROLE EJ'!D328)</f>
        <v/>
      </c>
      <c r="E326" s="43">
        <f>IF('CONTROLE CMM'!B328="","",'CONTROLE CMM'!B328)</f>
        <v/>
      </c>
      <c r="F326" s="18">
        <f>IF('CONTROLE CMM'!C328="","",'CONTROLE CMM'!C328)</f>
        <v/>
      </c>
      <c r="G326" s="26">
        <f>IF('CONTROLE CMM'!D328="","",'CONTROLE CMM'!D328)</f>
        <v/>
      </c>
      <c r="H326" s="18">
        <f>IF('CONTROLE GLOBO AÇOS'!B328="","",'CONTROLE GLOBO AÇOS'!B328)</f>
        <v/>
      </c>
      <c r="I326" s="18">
        <f>IF('CONTROLE GLOBO AÇOS'!C328="","",'CONTROLE GLOBO AÇOS'!C328)</f>
        <v/>
      </c>
      <c r="J326" s="18">
        <f>IF('CONTROLE GLOBO AÇOS'!D328="","",'CONTROLE GLOBO AÇOS'!D328)</f>
        <v/>
      </c>
      <c r="AD326" s="39">
        <f>IF($A326="",0,IF(AND(WEEKDAY($A326,2)&lt;=5,OR($B326&lt;&gt;"",$C326&lt;&gt;"",$D326&lt;&gt;"")),1,0))</f>
        <v/>
      </c>
      <c r="AE326" s="39">
        <f>IF($A326="",0,IF(AND(WEEKDAY($A326,2)&lt;=5,OR($E326&lt;&gt;"",$F326&lt;&gt;"",$G326&lt;&gt;"")),1,0))</f>
        <v/>
      </c>
      <c r="AF326" s="39">
        <f>MAX(AD326,AE326)</f>
        <v/>
      </c>
      <c r="AH326" s="223">
        <f>IF('CONTROLE GLOBO AÇOS'!E328="","",'CONTROLE GLOBO AÇOS'!E328)</f>
        <v/>
      </c>
      <c r="AI326" s="223">
        <f>IF('CONTROLE GLOBO AÇOS'!F328="","",'CONTROLE GLOBO AÇOS'!F328)</f>
        <v/>
      </c>
      <c r="AJ326" s="223">
        <f>IF(AND('CONTROLE EJ'!E328="",'CONTROLE CMM'!E328=""),"",N('CONTROLE EJ'!E328)+N('CONTROLE CMM'!E328))</f>
        <v/>
      </c>
      <c r="AK326" s="223">
        <f>IF(AND('CONTROLE EJ'!F328="",'CONTROLE CMM'!F328=""),"",N('CONTROLE EJ'!F328)+N('CONTROLE CMM'!F328))</f>
        <v/>
      </c>
      <c r="AL326" s="223">
        <f>IF(AND('CONTROLE EJ'!G328="",'CONTROLE CMM'!G328=""),"",N('CONTROLE EJ'!G328)+N('CONTROLE CMM'!G328))</f>
        <v/>
      </c>
      <c r="AM326" s="223">
        <f>IF(AND('CONTROLE EJ'!H328="",'CONTROLE CMM'!H328=""),"",N('CONTROLE EJ'!H328)+N('CONTROLE CMM'!H328))</f>
        <v/>
      </c>
      <c r="AN326" s="223">
        <f>IF('CONTROLE GLOBO AÇOS'!G328="","",'CONTROLE GLOBO AÇOS'!G328)</f>
        <v/>
      </c>
      <c r="AO326" s="223">
        <f>IF('CONTROLE GLOBO AÇOS'!H328="","",'CONTROLE GLOBO AÇOS'!H328)</f>
        <v/>
      </c>
      <c r="AP326" s="223">
        <f>IF(AND('CONTROLE EJ'!I328="",'CONTROLE CMM'!I328=""),"",N('CONTROLE EJ'!I328)+N('CONTROLE CMM'!I328))</f>
        <v/>
      </c>
      <c r="AQ326" s="223">
        <f>IF(AND('CONTROLE EJ'!J328="",'CONTROLE CMM'!#REF!=""),"",N('CONTROLE EJ'!J328)+N('CONTROLE CMM'!#REF!))</f>
        <v/>
      </c>
      <c r="AR326" s="223">
        <f>IF('CONTROLE GLOBO AÇOS'!I328="","",'CONTROLE GLOBO AÇOS'!I328)</f>
        <v/>
      </c>
      <c r="AS326" s="223">
        <f>IF('CONTROLE GLOBO AÇOS'!J328="","",'CONTROLE GLOBO AÇOS'!J328)</f>
        <v/>
      </c>
      <c r="AT326" s="223">
        <f>IF(#REF!="","",#REF!)</f>
        <v/>
      </c>
      <c r="AU326" s="223">
        <f>IF('CONTROLE GLOBO AÇOS'!K328="","",'CONTROLE GLOBO AÇOS'!K328)</f>
        <v/>
      </c>
      <c r="AV326" s="223">
        <f>IF(AND('CONTROLE EJ'!K328="",'CONTROLE CMM'!#REF!=""),"",N('CONTROLE EJ'!K328)+N('CONTROLE CMM'!#REF!))</f>
        <v/>
      </c>
      <c r="AW326" s="223">
        <f>IF('CONTROLE GLOBO AÇOS'!L328="","",'CONTROLE GLOBO AÇOS'!L328)</f>
        <v/>
      </c>
      <c r="AX326" s="223">
        <f>IF(AND('CONTROLE EJ'!L328="",'CONTROLE CMM'!#REF!=""),"",N('CONTROLE EJ'!L328)+N('CONTROLE CMM'!#REF!))</f>
        <v/>
      </c>
      <c r="AY326" s="223">
        <f>IF('CONTROLE GLOBO AÇOS'!M328="","",'CONTROLE GLOBO AÇOS'!M328)</f>
        <v/>
      </c>
      <c r="AZ326" s="223">
        <f>IF('CONTROLE GLOBO AÇOS'!N328="","",'CONTROLE GLOBO AÇOS'!N328)</f>
        <v/>
      </c>
      <c r="BA326" s="223">
        <f>IF(AND('CONTROLE EJ'!M328="",'CONTROLE CMM'!#REF!=""),"",N('CONTROLE EJ'!M328)+N('CONTROLE CMM'!#REF!))</f>
        <v/>
      </c>
      <c r="BB326" s="223">
        <f>IF(#REF!="","",#REF!)</f>
        <v/>
      </c>
      <c r="BC326" s="223">
        <f>IF('CONTROLE GLOBO AÇOS'!O328="","",'CONTROLE GLOBO AÇOS'!O328)</f>
        <v/>
      </c>
      <c r="BD326" s="223">
        <f>IF(AND('CONTROLE EJ'!N328="",'CONTROLE CMM'!#REF!=""),"",N('CONTROLE EJ'!N328)+N('CONTROLE CMM'!#REF!))</f>
        <v/>
      </c>
      <c r="BE326" s="223">
        <f>IF('CONTROLE GLOBO AÇOS'!P328="","",'CONTROLE GLOBO AÇOS'!P328)</f>
        <v/>
      </c>
      <c r="BF326" s="223">
        <f>IF('CONTROLE GLOBO AÇOS'!Q328="","",'CONTROLE GLOBO AÇOS'!Q328)</f>
        <v/>
      </c>
      <c r="BG326" s="223">
        <f>IF('CONTROLE GLOBO AÇOS'!R328="","",'CONTROLE GLOBO AÇOS'!R328)</f>
        <v/>
      </c>
      <c r="BH326" s="223">
        <f>IF(AND('CONTROLE EJ'!O328="",'CONTROLE CMM'!#REF!=""),"",N('CONTROLE EJ'!O328)+N('CONTROLE CMM'!#REF!))</f>
        <v/>
      </c>
      <c r="BI326" s="223">
        <f>IF('CONTROLE GLOBO AÇOS'!S328="","",'CONTROLE GLOBO AÇOS'!S328)</f>
        <v/>
      </c>
      <c r="BJ326" s="223">
        <f>IF('CONTROLE GLOBO AÇOS'!T328="","",'CONTROLE GLOBO AÇOS'!T328)</f>
        <v/>
      </c>
      <c r="BK326" s="223">
        <f>IF('CONTROLE GLOBO AÇOS'!U328="","",'CONTROLE GLOBO AÇOS'!U328)</f>
        <v/>
      </c>
      <c r="BL326" s="223">
        <f>IF(AND('CONTROLE EJ'!P328="",'CONTROLE CMM'!#REF!=""),"",N('CONTROLE EJ'!P328)+N('CONTROLE CMM'!#REF!))</f>
        <v/>
      </c>
      <c r="BM326" s="223">
        <f>IF(AND('CONTROLE EJ'!Q328="",'CONTROLE CMM'!#REF!=""),"",N('CONTROLE EJ'!Q328)+N('CONTROLE CMM'!#REF!))</f>
        <v/>
      </c>
      <c r="BN326" s="223">
        <f>IF('CONTROLE GLOBO AÇOS'!V328="","",'CONTROLE GLOBO AÇOS'!V328)</f>
        <v/>
      </c>
      <c r="BO326" s="223">
        <f>IF('CONTROLE GLOBO AÇOS'!W328="","",'CONTROLE GLOBO AÇOS'!W328)</f>
        <v/>
      </c>
      <c r="BP326" s="223">
        <f>IF(AND('CONTROLE EJ'!R328="",'CONTROLE CMM'!#REF!=""),"",N('CONTROLE EJ'!R328)+N('CONTROLE CMM'!#REF!))</f>
        <v/>
      </c>
      <c r="BQ326" s="223">
        <f>IF(#REF!="","",#REF!)</f>
        <v/>
      </c>
      <c r="BR326" s="223">
        <f>IF(AND('CONTROLE EJ'!S328="",'CONTROLE CMM'!#REF!=""),"",N('CONTROLE EJ'!S328)+N('CONTROLE CMM'!#REF!))</f>
        <v/>
      </c>
      <c r="BS326" s="223">
        <f>IF(AND('CONTROLE EJ'!T328="",'CONTROLE CMM'!#REF!=""),"",N('CONTROLE EJ'!T328)+N('CONTROLE CMM'!#REF!))</f>
        <v/>
      </c>
      <c r="BT326" s="223">
        <f>IF('CONTROLE GLOBO AÇOS'!X328="","",'CONTROLE GLOBO AÇOS'!X328)</f>
        <v/>
      </c>
      <c r="BU326" s="223">
        <f>IF('CONTROLE GLOBO AÇOS'!Y328="","",'CONTROLE GLOBO AÇOS'!Y328)</f>
        <v/>
      </c>
      <c r="BV326" s="223">
        <f>IF(AND('CONTROLE EJ'!U328="",'CONTROLE CMM'!#REF!=""),"",N('CONTROLE EJ'!U328)+N('CONTROLE CMM'!#REF!))</f>
        <v/>
      </c>
      <c r="BW326" s="223">
        <f>IF(#REF!="","",#REF!)</f>
        <v/>
      </c>
    </row>
    <row r="327">
      <c r="A327" s="282" t="n">
        <v>46544</v>
      </c>
      <c r="B327" s="18">
        <f>IF('CONTROLE EJ'!B329="","",'CONTROLE EJ'!B329)</f>
        <v/>
      </c>
      <c r="C327" s="18">
        <f>IF('CONTROLE EJ'!C329="","",'CONTROLE EJ'!C329)</f>
        <v/>
      </c>
      <c r="D327" s="26">
        <f>IF('CONTROLE EJ'!D329="","",'CONTROLE EJ'!D329)</f>
        <v/>
      </c>
      <c r="E327" s="43">
        <f>IF('CONTROLE CMM'!B329="","",'CONTROLE CMM'!B329)</f>
        <v/>
      </c>
      <c r="F327" s="18">
        <f>IF('CONTROLE CMM'!C329="","",'CONTROLE CMM'!C329)</f>
        <v/>
      </c>
      <c r="G327" s="26">
        <f>IF('CONTROLE CMM'!D329="","",'CONTROLE CMM'!D329)</f>
        <v/>
      </c>
      <c r="H327" s="18">
        <f>IF('CONTROLE GLOBO AÇOS'!B329="","",'CONTROLE GLOBO AÇOS'!B329)</f>
        <v/>
      </c>
      <c r="I327" s="18">
        <f>IF('CONTROLE GLOBO AÇOS'!C329="","",'CONTROLE GLOBO AÇOS'!C329)</f>
        <v/>
      </c>
      <c r="J327" s="18">
        <f>IF('CONTROLE GLOBO AÇOS'!D329="","",'CONTROLE GLOBO AÇOS'!D329)</f>
        <v/>
      </c>
      <c r="AD327" s="39">
        <f>IF($A327="",0,IF(AND(WEEKDAY($A327,2)&lt;=5,OR($B327&lt;&gt;"",$C327&lt;&gt;"",$D327&lt;&gt;"")),1,0))</f>
        <v/>
      </c>
      <c r="AE327" s="39">
        <f>IF($A327="",0,IF(AND(WEEKDAY($A327,2)&lt;=5,OR($E327&lt;&gt;"",$F327&lt;&gt;"",$G327&lt;&gt;"")),1,0))</f>
        <v/>
      </c>
      <c r="AF327" s="39">
        <f>MAX(AD327,AE327)</f>
        <v/>
      </c>
      <c r="AH327" s="223">
        <f>IF('CONTROLE GLOBO AÇOS'!E329="","",'CONTROLE GLOBO AÇOS'!E329)</f>
        <v/>
      </c>
      <c r="AI327" s="223">
        <f>IF('CONTROLE GLOBO AÇOS'!F329="","",'CONTROLE GLOBO AÇOS'!F329)</f>
        <v/>
      </c>
      <c r="AJ327" s="223">
        <f>IF(AND('CONTROLE EJ'!E329="",'CONTROLE CMM'!E329=""),"",N('CONTROLE EJ'!E329)+N('CONTROLE CMM'!E329))</f>
        <v/>
      </c>
      <c r="AK327" s="223">
        <f>IF(AND('CONTROLE EJ'!F329="",'CONTROLE CMM'!F329=""),"",N('CONTROLE EJ'!F329)+N('CONTROLE CMM'!F329))</f>
        <v/>
      </c>
      <c r="AL327" s="223">
        <f>IF(AND('CONTROLE EJ'!G329="",'CONTROLE CMM'!G329=""),"",N('CONTROLE EJ'!G329)+N('CONTROLE CMM'!G329))</f>
        <v/>
      </c>
      <c r="AM327" s="223">
        <f>IF(AND('CONTROLE EJ'!H329="",'CONTROLE CMM'!H329=""),"",N('CONTROLE EJ'!H329)+N('CONTROLE CMM'!H329))</f>
        <v/>
      </c>
      <c r="AN327" s="223">
        <f>IF('CONTROLE GLOBO AÇOS'!G329="","",'CONTROLE GLOBO AÇOS'!G329)</f>
        <v/>
      </c>
      <c r="AO327" s="223">
        <f>IF('CONTROLE GLOBO AÇOS'!H329="","",'CONTROLE GLOBO AÇOS'!H329)</f>
        <v/>
      </c>
      <c r="AP327" s="223">
        <f>IF(AND('CONTROLE EJ'!I329="",'CONTROLE CMM'!I329=""),"",N('CONTROLE EJ'!I329)+N('CONTROLE CMM'!I329))</f>
        <v/>
      </c>
      <c r="AQ327" s="223">
        <f>IF(AND('CONTROLE EJ'!J329="",'CONTROLE CMM'!#REF!=""),"",N('CONTROLE EJ'!J329)+N('CONTROLE CMM'!#REF!))</f>
        <v/>
      </c>
      <c r="AR327" s="223">
        <f>IF('CONTROLE GLOBO AÇOS'!I329="","",'CONTROLE GLOBO AÇOS'!I329)</f>
        <v/>
      </c>
      <c r="AS327" s="223">
        <f>IF('CONTROLE GLOBO AÇOS'!J329="","",'CONTROLE GLOBO AÇOS'!J329)</f>
        <v/>
      </c>
      <c r="AT327" s="223">
        <f>IF(#REF!="","",#REF!)</f>
        <v/>
      </c>
      <c r="AU327" s="223">
        <f>IF('CONTROLE GLOBO AÇOS'!K329="","",'CONTROLE GLOBO AÇOS'!K329)</f>
        <v/>
      </c>
      <c r="AV327" s="223">
        <f>IF(AND('CONTROLE EJ'!K329="",'CONTROLE CMM'!#REF!=""),"",N('CONTROLE EJ'!K329)+N('CONTROLE CMM'!#REF!))</f>
        <v/>
      </c>
      <c r="AW327" s="223">
        <f>IF('CONTROLE GLOBO AÇOS'!L329="","",'CONTROLE GLOBO AÇOS'!L329)</f>
        <v/>
      </c>
      <c r="AX327" s="223">
        <f>IF(AND('CONTROLE EJ'!L329="",'CONTROLE CMM'!#REF!=""),"",N('CONTROLE EJ'!L329)+N('CONTROLE CMM'!#REF!))</f>
        <v/>
      </c>
      <c r="AY327" s="223">
        <f>IF('CONTROLE GLOBO AÇOS'!M329="","",'CONTROLE GLOBO AÇOS'!M329)</f>
        <v/>
      </c>
      <c r="AZ327" s="223">
        <f>IF('CONTROLE GLOBO AÇOS'!N329="","",'CONTROLE GLOBO AÇOS'!N329)</f>
        <v/>
      </c>
      <c r="BA327" s="223">
        <f>IF(AND('CONTROLE EJ'!M329="",'CONTROLE CMM'!#REF!=""),"",N('CONTROLE EJ'!M329)+N('CONTROLE CMM'!#REF!))</f>
        <v/>
      </c>
      <c r="BB327" s="223">
        <f>IF(#REF!="","",#REF!)</f>
        <v/>
      </c>
      <c r="BC327" s="223">
        <f>IF('CONTROLE GLOBO AÇOS'!O329="","",'CONTROLE GLOBO AÇOS'!O329)</f>
        <v/>
      </c>
      <c r="BD327" s="223">
        <f>IF(AND('CONTROLE EJ'!N329="",'CONTROLE CMM'!#REF!=""),"",N('CONTROLE EJ'!N329)+N('CONTROLE CMM'!#REF!))</f>
        <v/>
      </c>
      <c r="BE327" s="223">
        <f>IF('CONTROLE GLOBO AÇOS'!P329="","",'CONTROLE GLOBO AÇOS'!P329)</f>
        <v/>
      </c>
      <c r="BF327" s="223">
        <f>IF('CONTROLE GLOBO AÇOS'!Q329="","",'CONTROLE GLOBO AÇOS'!Q329)</f>
        <v/>
      </c>
      <c r="BG327" s="223">
        <f>IF('CONTROLE GLOBO AÇOS'!R329="","",'CONTROLE GLOBO AÇOS'!R329)</f>
        <v/>
      </c>
      <c r="BH327" s="223">
        <f>IF(AND('CONTROLE EJ'!O329="",'CONTROLE CMM'!#REF!=""),"",N('CONTROLE EJ'!O329)+N('CONTROLE CMM'!#REF!))</f>
        <v/>
      </c>
      <c r="BI327" s="223">
        <f>IF('CONTROLE GLOBO AÇOS'!S329="","",'CONTROLE GLOBO AÇOS'!S329)</f>
        <v/>
      </c>
      <c r="BJ327" s="223">
        <f>IF('CONTROLE GLOBO AÇOS'!T329="","",'CONTROLE GLOBO AÇOS'!T329)</f>
        <v/>
      </c>
      <c r="BK327" s="223">
        <f>IF('CONTROLE GLOBO AÇOS'!U329="","",'CONTROLE GLOBO AÇOS'!U329)</f>
        <v/>
      </c>
      <c r="BL327" s="223">
        <f>IF(AND('CONTROLE EJ'!P329="",'CONTROLE CMM'!#REF!=""),"",N('CONTROLE EJ'!P329)+N('CONTROLE CMM'!#REF!))</f>
        <v/>
      </c>
      <c r="BM327" s="223">
        <f>IF(AND('CONTROLE EJ'!Q329="",'CONTROLE CMM'!#REF!=""),"",N('CONTROLE EJ'!Q329)+N('CONTROLE CMM'!#REF!))</f>
        <v/>
      </c>
      <c r="BN327" s="223">
        <f>IF('CONTROLE GLOBO AÇOS'!V329="","",'CONTROLE GLOBO AÇOS'!V329)</f>
        <v/>
      </c>
      <c r="BO327" s="223">
        <f>IF('CONTROLE GLOBO AÇOS'!W329="","",'CONTROLE GLOBO AÇOS'!W329)</f>
        <v/>
      </c>
      <c r="BP327" s="223">
        <f>IF(AND('CONTROLE EJ'!R329="",'CONTROLE CMM'!#REF!=""),"",N('CONTROLE EJ'!R329)+N('CONTROLE CMM'!#REF!))</f>
        <v/>
      </c>
      <c r="BQ327" s="223">
        <f>IF(#REF!="","",#REF!)</f>
        <v/>
      </c>
      <c r="BR327" s="223">
        <f>IF(AND('CONTROLE EJ'!S329="",'CONTROLE CMM'!#REF!=""),"",N('CONTROLE EJ'!S329)+N('CONTROLE CMM'!#REF!))</f>
        <v/>
      </c>
      <c r="BS327" s="223">
        <f>IF(AND('CONTROLE EJ'!T329="",'CONTROLE CMM'!#REF!=""),"",N('CONTROLE EJ'!T329)+N('CONTROLE CMM'!#REF!))</f>
        <v/>
      </c>
      <c r="BT327" s="223">
        <f>IF('CONTROLE GLOBO AÇOS'!X329="","",'CONTROLE GLOBO AÇOS'!X329)</f>
        <v/>
      </c>
      <c r="BU327" s="223">
        <f>IF('CONTROLE GLOBO AÇOS'!Y329="","",'CONTROLE GLOBO AÇOS'!Y329)</f>
        <v/>
      </c>
      <c r="BV327" s="223">
        <f>IF(AND('CONTROLE EJ'!U329="",'CONTROLE CMM'!#REF!=""),"",N('CONTROLE EJ'!U329)+N('CONTROLE CMM'!#REF!))</f>
        <v/>
      </c>
      <c r="BW327" s="223">
        <f>IF(#REF!="","",#REF!)</f>
        <v/>
      </c>
    </row>
    <row r="328">
      <c r="A328" s="282" t="n">
        <v>46545</v>
      </c>
      <c r="B328" s="18">
        <f>IF('CONTROLE EJ'!B330="","",'CONTROLE EJ'!B330)</f>
        <v/>
      </c>
      <c r="C328" s="18">
        <f>IF('CONTROLE EJ'!C330="","",'CONTROLE EJ'!C330)</f>
        <v/>
      </c>
      <c r="D328" s="26">
        <f>IF('CONTROLE EJ'!D330="","",'CONTROLE EJ'!D330)</f>
        <v/>
      </c>
      <c r="E328" s="43">
        <f>IF('CONTROLE CMM'!B330="","",'CONTROLE CMM'!B330)</f>
        <v/>
      </c>
      <c r="F328" s="18">
        <f>IF('CONTROLE CMM'!C330="","",'CONTROLE CMM'!C330)</f>
        <v/>
      </c>
      <c r="G328" s="26">
        <f>IF('CONTROLE CMM'!D330="","",'CONTROLE CMM'!D330)</f>
        <v/>
      </c>
      <c r="H328" s="18">
        <f>IF('CONTROLE GLOBO AÇOS'!B330="","",'CONTROLE GLOBO AÇOS'!B330)</f>
        <v/>
      </c>
      <c r="I328" s="18">
        <f>IF('CONTROLE GLOBO AÇOS'!C330="","",'CONTROLE GLOBO AÇOS'!C330)</f>
        <v/>
      </c>
      <c r="J328" s="18">
        <f>IF('CONTROLE GLOBO AÇOS'!D330="","",'CONTROLE GLOBO AÇOS'!D330)</f>
        <v/>
      </c>
      <c r="AD328" s="39">
        <f>IF($A328="",0,IF(AND(WEEKDAY($A328,2)&lt;=5,OR($B328&lt;&gt;"",$C328&lt;&gt;"",$D328&lt;&gt;"")),1,0))</f>
        <v/>
      </c>
      <c r="AE328" s="39">
        <f>IF($A328="",0,IF(AND(WEEKDAY($A328,2)&lt;=5,OR($E328&lt;&gt;"",$F328&lt;&gt;"",$G328&lt;&gt;"")),1,0))</f>
        <v/>
      </c>
      <c r="AF328" s="39">
        <f>MAX(AD328,AE328)</f>
        <v/>
      </c>
      <c r="AH328" s="223">
        <f>IF('CONTROLE GLOBO AÇOS'!E330="","",'CONTROLE GLOBO AÇOS'!E330)</f>
        <v/>
      </c>
      <c r="AI328" s="223">
        <f>IF('CONTROLE GLOBO AÇOS'!F330="","",'CONTROLE GLOBO AÇOS'!F330)</f>
        <v/>
      </c>
      <c r="AJ328" s="223">
        <f>IF(AND('CONTROLE EJ'!E330="",'CONTROLE CMM'!E330=""),"",N('CONTROLE EJ'!E330)+N('CONTROLE CMM'!E330))</f>
        <v/>
      </c>
      <c r="AK328" s="223">
        <f>IF(AND('CONTROLE EJ'!F330="",'CONTROLE CMM'!F330=""),"",N('CONTROLE EJ'!F330)+N('CONTROLE CMM'!F330))</f>
        <v/>
      </c>
      <c r="AL328" s="223">
        <f>IF(AND('CONTROLE EJ'!G330="",'CONTROLE CMM'!G330=""),"",N('CONTROLE EJ'!G330)+N('CONTROLE CMM'!G330))</f>
        <v/>
      </c>
      <c r="AM328" s="223">
        <f>IF(AND('CONTROLE EJ'!H330="",'CONTROLE CMM'!H330=""),"",N('CONTROLE EJ'!H330)+N('CONTROLE CMM'!H330))</f>
        <v/>
      </c>
      <c r="AN328" s="223">
        <f>IF('CONTROLE GLOBO AÇOS'!G330="","",'CONTROLE GLOBO AÇOS'!G330)</f>
        <v/>
      </c>
      <c r="AO328" s="223">
        <f>IF('CONTROLE GLOBO AÇOS'!H330="","",'CONTROLE GLOBO AÇOS'!H330)</f>
        <v/>
      </c>
      <c r="AP328" s="223">
        <f>IF(AND('CONTROLE EJ'!I330="",'CONTROLE CMM'!I330=""),"",N('CONTROLE EJ'!I330)+N('CONTROLE CMM'!I330))</f>
        <v/>
      </c>
      <c r="AQ328" s="223">
        <f>IF(AND('CONTROLE EJ'!J330="",'CONTROLE CMM'!#REF!=""),"",N('CONTROLE EJ'!J330)+N('CONTROLE CMM'!#REF!))</f>
        <v/>
      </c>
      <c r="AR328" s="223">
        <f>IF('CONTROLE GLOBO AÇOS'!I330="","",'CONTROLE GLOBO AÇOS'!I330)</f>
        <v/>
      </c>
      <c r="AS328" s="223">
        <f>IF('CONTROLE GLOBO AÇOS'!J330="","",'CONTROLE GLOBO AÇOS'!J330)</f>
        <v/>
      </c>
      <c r="AT328" s="223">
        <f>IF(#REF!="","",#REF!)</f>
        <v/>
      </c>
      <c r="AU328" s="223">
        <f>IF('CONTROLE GLOBO AÇOS'!K330="","",'CONTROLE GLOBO AÇOS'!K330)</f>
        <v/>
      </c>
      <c r="AV328" s="223">
        <f>IF(AND('CONTROLE EJ'!K330="",'CONTROLE CMM'!#REF!=""),"",N('CONTROLE EJ'!K330)+N('CONTROLE CMM'!#REF!))</f>
        <v/>
      </c>
      <c r="AW328" s="223">
        <f>IF('CONTROLE GLOBO AÇOS'!L330="","",'CONTROLE GLOBO AÇOS'!L330)</f>
        <v/>
      </c>
      <c r="AX328" s="223">
        <f>IF(AND('CONTROLE EJ'!L330="",'CONTROLE CMM'!#REF!=""),"",N('CONTROLE EJ'!L330)+N('CONTROLE CMM'!#REF!))</f>
        <v/>
      </c>
      <c r="AY328" s="223">
        <f>IF('CONTROLE GLOBO AÇOS'!M330="","",'CONTROLE GLOBO AÇOS'!M330)</f>
        <v/>
      </c>
      <c r="AZ328" s="223">
        <f>IF('CONTROLE GLOBO AÇOS'!N330="","",'CONTROLE GLOBO AÇOS'!N330)</f>
        <v/>
      </c>
      <c r="BA328" s="223">
        <f>IF(AND('CONTROLE EJ'!M330="",'CONTROLE CMM'!#REF!=""),"",N('CONTROLE EJ'!M330)+N('CONTROLE CMM'!#REF!))</f>
        <v/>
      </c>
      <c r="BB328" s="223">
        <f>IF(#REF!="","",#REF!)</f>
        <v/>
      </c>
      <c r="BC328" s="223">
        <f>IF('CONTROLE GLOBO AÇOS'!O330="","",'CONTROLE GLOBO AÇOS'!O330)</f>
        <v/>
      </c>
      <c r="BD328" s="223">
        <f>IF(AND('CONTROLE EJ'!N330="",'CONTROLE CMM'!#REF!=""),"",N('CONTROLE EJ'!N330)+N('CONTROLE CMM'!#REF!))</f>
        <v/>
      </c>
      <c r="BE328" s="223">
        <f>IF('CONTROLE GLOBO AÇOS'!P330="","",'CONTROLE GLOBO AÇOS'!P330)</f>
        <v/>
      </c>
      <c r="BF328" s="223">
        <f>IF('CONTROLE GLOBO AÇOS'!Q330="","",'CONTROLE GLOBO AÇOS'!Q330)</f>
        <v/>
      </c>
      <c r="BG328" s="223">
        <f>IF('CONTROLE GLOBO AÇOS'!R330="","",'CONTROLE GLOBO AÇOS'!R330)</f>
        <v/>
      </c>
      <c r="BH328" s="223">
        <f>IF(AND('CONTROLE EJ'!O330="",'CONTROLE CMM'!#REF!=""),"",N('CONTROLE EJ'!O330)+N('CONTROLE CMM'!#REF!))</f>
        <v/>
      </c>
      <c r="BI328" s="223">
        <f>IF('CONTROLE GLOBO AÇOS'!S330="","",'CONTROLE GLOBO AÇOS'!S330)</f>
        <v/>
      </c>
      <c r="BJ328" s="223">
        <f>IF('CONTROLE GLOBO AÇOS'!T330="","",'CONTROLE GLOBO AÇOS'!T330)</f>
        <v/>
      </c>
      <c r="BK328" s="223">
        <f>IF('CONTROLE GLOBO AÇOS'!U330="","",'CONTROLE GLOBO AÇOS'!U330)</f>
        <v/>
      </c>
      <c r="BL328" s="223">
        <f>IF(AND('CONTROLE EJ'!P330="",'CONTROLE CMM'!#REF!=""),"",N('CONTROLE EJ'!P330)+N('CONTROLE CMM'!#REF!))</f>
        <v/>
      </c>
      <c r="BM328" s="223">
        <f>IF(AND('CONTROLE EJ'!Q330="",'CONTROLE CMM'!#REF!=""),"",N('CONTROLE EJ'!Q330)+N('CONTROLE CMM'!#REF!))</f>
        <v/>
      </c>
      <c r="BN328" s="223">
        <f>IF('CONTROLE GLOBO AÇOS'!V330="","",'CONTROLE GLOBO AÇOS'!V330)</f>
        <v/>
      </c>
      <c r="BO328" s="223">
        <f>IF('CONTROLE GLOBO AÇOS'!W330="","",'CONTROLE GLOBO AÇOS'!W330)</f>
        <v/>
      </c>
      <c r="BP328" s="223">
        <f>IF(AND('CONTROLE EJ'!R330="",'CONTROLE CMM'!#REF!=""),"",N('CONTROLE EJ'!R330)+N('CONTROLE CMM'!#REF!))</f>
        <v/>
      </c>
      <c r="BQ328" s="223">
        <f>IF(#REF!="","",#REF!)</f>
        <v/>
      </c>
      <c r="BR328" s="223">
        <f>IF(AND('CONTROLE EJ'!S330="",'CONTROLE CMM'!#REF!=""),"",N('CONTROLE EJ'!S330)+N('CONTROLE CMM'!#REF!))</f>
        <v/>
      </c>
      <c r="BS328" s="223">
        <f>IF(AND('CONTROLE EJ'!T330="",'CONTROLE CMM'!#REF!=""),"",N('CONTROLE EJ'!T330)+N('CONTROLE CMM'!#REF!))</f>
        <v/>
      </c>
      <c r="BT328" s="223">
        <f>IF('CONTROLE GLOBO AÇOS'!X330="","",'CONTROLE GLOBO AÇOS'!X330)</f>
        <v/>
      </c>
      <c r="BU328" s="223">
        <f>IF('CONTROLE GLOBO AÇOS'!Y330="","",'CONTROLE GLOBO AÇOS'!Y330)</f>
        <v/>
      </c>
      <c r="BV328" s="223">
        <f>IF(AND('CONTROLE EJ'!U330="",'CONTROLE CMM'!#REF!=""),"",N('CONTROLE EJ'!U330)+N('CONTROLE CMM'!#REF!))</f>
        <v/>
      </c>
      <c r="BW328" s="223">
        <f>IF(#REF!="","",#REF!)</f>
        <v/>
      </c>
    </row>
    <row r="329">
      <c r="A329" s="282" t="n">
        <v>46546</v>
      </c>
      <c r="B329" s="18">
        <f>IF('CONTROLE EJ'!B331="","",'CONTROLE EJ'!B331)</f>
        <v/>
      </c>
      <c r="C329" s="18">
        <f>IF('CONTROLE EJ'!C331="","",'CONTROLE EJ'!C331)</f>
        <v/>
      </c>
      <c r="D329" s="26">
        <f>IF('CONTROLE EJ'!D331="","",'CONTROLE EJ'!D331)</f>
        <v/>
      </c>
      <c r="E329" s="43">
        <f>IF('CONTROLE CMM'!B331="","",'CONTROLE CMM'!B331)</f>
        <v/>
      </c>
      <c r="F329" s="18">
        <f>IF('CONTROLE CMM'!C331="","",'CONTROLE CMM'!C331)</f>
        <v/>
      </c>
      <c r="G329" s="26">
        <f>IF('CONTROLE CMM'!D331="","",'CONTROLE CMM'!D331)</f>
        <v/>
      </c>
      <c r="H329" s="18">
        <f>IF('CONTROLE GLOBO AÇOS'!B331="","",'CONTROLE GLOBO AÇOS'!B331)</f>
        <v/>
      </c>
      <c r="I329" s="18">
        <f>IF('CONTROLE GLOBO AÇOS'!C331="","",'CONTROLE GLOBO AÇOS'!C331)</f>
        <v/>
      </c>
      <c r="J329" s="18">
        <f>IF('CONTROLE GLOBO AÇOS'!D331="","",'CONTROLE GLOBO AÇOS'!D331)</f>
        <v/>
      </c>
      <c r="AD329" s="39">
        <f>IF($A329="",0,IF(AND(WEEKDAY($A329,2)&lt;=5,OR($B329&lt;&gt;"",$C329&lt;&gt;"",$D329&lt;&gt;"")),1,0))</f>
        <v/>
      </c>
      <c r="AE329" s="39">
        <f>IF($A329="",0,IF(AND(WEEKDAY($A329,2)&lt;=5,OR($E329&lt;&gt;"",$F329&lt;&gt;"",$G329&lt;&gt;"")),1,0))</f>
        <v/>
      </c>
      <c r="AF329" s="39">
        <f>MAX(AD329,AE329)</f>
        <v/>
      </c>
      <c r="AH329" s="223">
        <f>IF('CONTROLE GLOBO AÇOS'!E331="","",'CONTROLE GLOBO AÇOS'!E331)</f>
        <v/>
      </c>
      <c r="AI329" s="223">
        <f>IF('CONTROLE GLOBO AÇOS'!F331="","",'CONTROLE GLOBO AÇOS'!F331)</f>
        <v/>
      </c>
      <c r="AJ329" s="223">
        <f>IF(AND('CONTROLE EJ'!E331="",'CONTROLE CMM'!E331=""),"",N('CONTROLE EJ'!E331)+N('CONTROLE CMM'!E331))</f>
        <v/>
      </c>
      <c r="AK329" s="223">
        <f>IF(AND('CONTROLE EJ'!F331="",'CONTROLE CMM'!F331=""),"",N('CONTROLE EJ'!F331)+N('CONTROLE CMM'!F331))</f>
        <v/>
      </c>
      <c r="AL329" s="223">
        <f>IF(AND('CONTROLE EJ'!G331="",'CONTROLE CMM'!G331=""),"",N('CONTROLE EJ'!G331)+N('CONTROLE CMM'!G331))</f>
        <v/>
      </c>
      <c r="AM329" s="223">
        <f>IF(AND('CONTROLE EJ'!H331="",'CONTROLE CMM'!H331=""),"",N('CONTROLE EJ'!H331)+N('CONTROLE CMM'!H331))</f>
        <v/>
      </c>
      <c r="AN329" s="223">
        <f>IF('CONTROLE GLOBO AÇOS'!G331="","",'CONTROLE GLOBO AÇOS'!G331)</f>
        <v/>
      </c>
      <c r="AO329" s="223">
        <f>IF('CONTROLE GLOBO AÇOS'!H331="","",'CONTROLE GLOBO AÇOS'!H331)</f>
        <v/>
      </c>
      <c r="AP329" s="223">
        <f>IF(AND('CONTROLE EJ'!I331="",'CONTROLE CMM'!I331=""),"",N('CONTROLE EJ'!I331)+N('CONTROLE CMM'!I331))</f>
        <v/>
      </c>
      <c r="AQ329" s="223">
        <f>IF(AND('CONTROLE EJ'!J331="",'CONTROLE CMM'!#REF!=""),"",N('CONTROLE EJ'!J331)+N('CONTROLE CMM'!#REF!))</f>
        <v/>
      </c>
      <c r="AR329" s="223">
        <f>IF('CONTROLE GLOBO AÇOS'!I331="","",'CONTROLE GLOBO AÇOS'!I331)</f>
        <v/>
      </c>
      <c r="AS329" s="223">
        <f>IF('CONTROLE GLOBO AÇOS'!J331="","",'CONTROLE GLOBO AÇOS'!J331)</f>
        <v/>
      </c>
      <c r="AT329" s="223">
        <f>IF(#REF!="","",#REF!)</f>
        <v/>
      </c>
      <c r="AU329" s="223">
        <f>IF('CONTROLE GLOBO AÇOS'!K331="","",'CONTROLE GLOBO AÇOS'!K331)</f>
        <v/>
      </c>
      <c r="AV329" s="223">
        <f>IF(AND('CONTROLE EJ'!K331="",'CONTROLE CMM'!#REF!=""),"",N('CONTROLE EJ'!K331)+N('CONTROLE CMM'!#REF!))</f>
        <v/>
      </c>
      <c r="AW329" s="223">
        <f>IF('CONTROLE GLOBO AÇOS'!L331="","",'CONTROLE GLOBO AÇOS'!L331)</f>
        <v/>
      </c>
      <c r="AX329" s="223">
        <f>IF(AND('CONTROLE EJ'!L331="",'CONTROLE CMM'!#REF!=""),"",N('CONTROLE EJ'!L331)+N('CONTROLE CMM'!#REF!))</f>
        <v/>
      </c>
      <c r="AY329" s="223">
        <f>IF('CONTROLE GLOBO AÇOS'!M331="","",'CONTROLE GLOBO AÇOS'!M331)</f>
        <v/>
      </c>
      <c r="AZ329" s="223">
        <f>IF('CONTROLE GLOBO AÇOS'!N331="","",'CONTROLE GLOBO AÇOS'!N331)</f>
        <v/>
      </c>
      <c r="BA329" s="223">
        <f>IF(AND('CONTROLE EJ'!M331="",'CONTROLE CMM'!#REF!=""),"",N('CONTROLE EJ'!M331)+N('CONTROLE CMM'!#REF!))</f>
        <v/>
      </c>
      <c r="BB329" s="223">
        <f>IF(#REF!="","",#REF!)</f>
        <v/>
      </c>
      <c r="BC329" s="223">
        <f>IF('CONTROLE GLOBO AÇOS'!O331="","",'CONTROLE GLOBO AÇOS'!O331)</f>
        <v/>
      </c>
      <c r="BD329" s="223">
        <f>IF(AND('CONTROLE EJ'!N331="",'CONTROLE CMM'!#REF!=""),"",N('CONTROLE EJ'!N331)+N('CONTROLE CMM'!#REF!))</f>
        <v/>
      </c>
      <c r="BE329" s="223">
        <f>IF('CONTROLE GLOBO AÇOS'!P331="","",'CONTROLE GLOBO AÇOS'!P331)</f>
        <v/>
      </c>
      <c r="BF329" s="223">
        <f>IF('CONTROLE GLOBO AÇOS'!Q331="","",'CONTROLE GLOBO AÇOS'!Q331)</f>
        <v/>
      </c>
      <c r="BG329" s="223">
        <f>IF('CONTROLE GLOBO AÇOS'!R331="","",'CONTROLE GLOBO AÇOS'!R331)</f>
        <v/>
      </c>
      <c r="BH329" s="223">
        <f>IF(AND('CONTROLE EJ'!O331="",'CONTROLE CMM'!#REF!=""),"",N('CONTROLE EJ'!O331)+N('CONTROLE CMM'!#REF!))</f>
        <v/>
      </c>
      <c r="BI329" s="223">
        <f>IF('CONTROLE GLOBO AÇOS'!S331="","",'CONTROLE GLOBO AÇOS'!S331)</f>
        <v/>
      </c>
      <c r="BJ329" s="223">
        <f>IF('CONTROLE GLOBO AÇOS'!T331="","",'CONTROLE GLOBO AÇOS'!T331)</f>
        <v/>
      </c>
      <c r="BK329" s="223">
        <f>IF('CONTROLE GLOBO AÇOS'!U331="","",'CONTROLE GLOBO AÇOS'!U331)</f>
        <v/>
      </c>
      <c r="BL329" s="223">
        <f>IF(AND('CONTROLE EJ'!P331="",'CONTROLE CMM'!#REF!=""),"",N('CONTROLE EJ'!P331)+N('CONTROLE CMM'!#REF!))</f>
        <v/>
      </c>
      <c r="BM329" s="223">
        <f>IF(AND('CONTROLE EJ'!Q331="",'CONTROLE CMM'!#REF!=""),"",N('CONTROLE EJ'!Q331)+N('CONTROLE CMM'!#REF!))</f>
        <v/>
      </c>
      <c r="BN329" s="223">
        <f>IF('CONTROLE GLOBO AÇOS'!V331="","",'CONTROLE GLOBO AÇOS'!V331)</f>
        <v/>
      </c>
      <c r="BO329" s="223">
        <f>IF('CONTROLE GLOBO AÇOS'!W331="","",'CONTROLE GLOBO AÇOS'!W331)</f>
        <v/>
      </c>
      <c r="BP329" s="223">
        <f>IF(AND('CONTROLE EJ'!R331="",'CONTROLE CMM'!#REF!=""),"",N('CONTROLE EJ'!R331)+N('CONTROLE CMM'!#REF!))</f>
        <v/>
      </c>
      <c r="BQ329" s="223">
        <f>IF(#REF!="","",#REF!)</f>
        <v/>
      </c>
      <c r="BR329" s="223">
        <f>IF(AND('CONTROLE EJ'!S331="",'CONTROLE CMM'!#REF!=""),"",N('CONTROLE EJ'!S331)+N('CONTROLE CMM'!#REF!))</f>
        <v/>
      </c>
      <c r="BS329" s="223">
        <f>IF(AND('CONTROLE EJ'!T331="",'CONTROLE CMM'!#REF!=""),"",N('CONTROLE EJ'!T331)+N('CONTROLE CMM'!#REF!))</f>
        <v/>
      </c>
      <c r="BT329" s="223">
        <f>IF('CONTROLE GLOBO AÇOS'!X331="","",'CONTROLE GLOBO AÇOS'!X331)</f>
        <v/>
      </c>
      <c r="BU329" s="223">
        <f>IF('CONTROLE GLOBO AÇOS'!Y331="","",'CONTROLE GLOBO AÇOS'!Y331)</f>
        <v/>
      </c>
      <c r="BV329" s="223">
        <f>IF(AND('CONTROLE EJ'!U331="",'CONTROLE CMM'!#REF!=""),"",N('CONTROLE EJ'!U331)+N('CONTROLE CMM'!#REF!))</f>
        <v/>
      </c>
      <c r="BW329" s="223">
        <f>IF(#REF!="","",#REF!)</f>
        <v/>
      </c>
    </row>
    <row r="330">
      <c r="A330" s="282" t="n">
        <v>46547</v>
      </c>
      <c r="B330" s="18">
        <f>IF('CONTROLE EJ'!B332="","",'CONTROLE EJ'!B332)</f>
        <v/>
      </c>
      <c r="C330" s="18">
        <f>IF('CONTROLE EJ'!C332="","",'CONTROLE EJ'!C332)</f>
        <v/>
      </c>
      <c r="D330" s="26">
        <f>IF('CONTROLE EJ'!D332="","",'CONTROLE EJ'!D332)</f>
        <v/>
      </c>
      <c r="E330" s="43">
        <f>IF('CONTROLE CMM'!B332="","",'CONTROLE CMM'!B332)</f>
        <v/>
      </c>
      <c r="F330" s="18">
        <f>IF('CONTROLE CMM'!C332="","",'CONTROLE CMM'!C332)</f>
        <v/>
      </c>
      <c r="G330" s="26">
        <f>IF('CONTROLE CMM'!D332="","",'CONTROLE CMM'!D332)</f>
        <v/>
      </c>
      <c r="H330" s="18">
        <f>IF('CONTROLE GLOBO AÇOS'!B332="","",'CONTROLE GLOBO AÇOS'!B332)</f>
        <v/>
      </c>
      <c r="I330" s="18">
        <f>IF('CONTROLE GLOBO AÇOS'!C332="","",'CONTROLE GLOBO AÇOS'!C332)</f>
        <v/>
      </c>
      <c r="J330" s="18">
        <f>IF('CONTROLE GLOBO AÇOS'!D332="","",'CONTROLE GLOBO AÇOS'!D332)</f>
        <v/>
      </c>
      <c r="AD330" s="39">
        <f>IF($A330="",0,IF(AND(WEEKDAY($A330,2)&lt;=5,OR($B330&lt;&gt;"",$C330&lt;&gt;"",$D330&lt;&gt;"")),1,0))</f>
        <v/>
      </c>
      <c r="AE330" s="39">
        <f>IF($A330="",0,IF(AND(WEEKDAY($A330,2)&lt;=5,OR($E330&lt;&gt;"",$F330&lt;&gt;"",$G330&lt;&gt;"")),1,0))</f>
        <v/>
      </c>
      <c r="AF330" s="39">
        <f>MAX(AD330,AE330)</f>
        <v/>
      </c>
      <c r="AH330" s="223">
        <f>IF('CONTROLE GLOBO AÇOS'!E332="","",'CONTROLE GLOBO AÇOS'!E332)</f>
        <v/>
      </c>
      <c r="AI330" s="223">
        <f>IF('CONTROLE GLOBO AÇOS'!F332="","",'CONTROLE GLOBO AÇOS'!F332)</f>
        <v/>
      </c>
      <c r="AJ330" s="223">
        <f>IF(AND('CONTROLE EJ'!E332="",'CONTROLE CMM'!E332=""),"",N('CONTROLE EJ'!E332)+N('CONTROLE CMM'!E332))</f>
        <v/>
      </c>
      <c r="AK330" s="223">
        <f>IF(AND('CONTROLE EJ'!F332="",'CONTROLE CMM'!F332=""),"",N('CONTROLE EJ'!F332)+N('CONTROLE CMM'!F332))</f>
        <v/>
      </c>
      <c r="AL330" s="223">
        <f>IF(AND('CONTROLE EJ'!G332="",'CONTROLE CMM'!G332=""),"",N('CONTROLE EJ'!G332)+N('CONTROLE CMM'!G332))</f>
        <v/>
      </c>
      <c r="AM330" s="223">
        <f>IF(AND('CONTROLE EJ'!H332="",'CONTROLE CMM'!H332=""),"",N('CONTROLE EJ'!H332)+N('CONTROLE CMM'!H332))</f>
        <v/>
      </c>
      <c r="AN330" s="223">
        <f>IF('CONTROLE GLOBO AÇOS'!G332="","",'CONTROLE GLOBO AÇOS'!G332)</f>
        <v/>
      </c>
      <c r="AO330" s="223">
        <f>IF('CONTROLE GLOBO AÇOS'!H332="","",'CONTROLE GLOBO AÇOS'!H332)</f>
        <v/>
      </c>
      <c r="AP330" s="223">
        <f>IF(AND('CONTROLE EJ'!I332="",'CONTROLE CMM'!I332=""),"",N('CONTROLE EJ'!I332)+N('CONTROLE CMM'!I332))</f>
        <v/>
      </c>
      <c r="AQ330" s="223">
        <f>IF(AND('CONTROLE EJ'!J332="",'CONTROLE CMM'!#REF!=""),"",N('CONTROLE EJ'!J332)+N('CONTROLE CMM'!#REF!))</f>
        <v/>
      </c>
      <c r="AR330" s="223">
        <f>IF('CONTROLE GLOBO AÇOS'!I332="","",'CONTROLE GLOBO AÇOS'!I332)</f>
        <v/>
      </c>
      <c r="AS330" s="223">
        <f>IF('CONTROLE GLOBO AÇOS'!J332="","",'CONTROLE GLOBO AÇOS'!J332)</f>
        <v/>
      </c>
      <c r="AT330" s="223">
        <f>IF(#REF!="","",#REF!)</f>
        <v/>
      </c>
      <c r="AU330" s="223">
        <f>IF('CONTROLE GLOBO AÇOS'!K332="","",'CONTROLE GLOBO AÇOS'!K332)</f>
        <v/>
      </c>
      <c r="AV330" s="223">
        <f>IF(AND('CONTROLE EJ'!K332="",'CONTROLE CMM'!#REF!=""),"",N('CONTROLE EJ'!K332)+N('CONTROLE CMM'!#REF!))</f>
        <v/>
      </c>
      <c r="AW330" s="223">
        <f>IF('CONTROLE GLOBO AÇOS'!L332="","",'CONTROLE GLOBO AÇOS'!L332)</f>
        <v/>
      </c>
      <c r="AX330" s="223">
        <f>IF(AND('CONTROLE EJ'!L332="",'CONTROLE CMM'!#REF!=""),"",N('CONTROLE EJ'!L332)+N('CONTROLE CMM'!#REF!))</f>
        <v/>
      </c>
      <c r="AY330" s="223">
        <f>IF('CONTROLE GLOBO AÇOS'!M332="","",'CONTROLE GLOBO AÇOS'!M332)</f>
        <v/>
      </c>
      <c r="AZ330" s="223">
        <f>IF('CONTROLE GLOBO AÇOS'!N332="","",'CONTROLE GLOBO AÇOS'!N332)</f>
        <v/>
      </c>
      <c r="BA330" s="223">
        <f>IF(AND('CONTROLE EJ'!M332="",'CONTROLE CMM'!#REF!=""),"",N('CONTROLE EJ'!M332)+N('CONTROLE CMM'!#REF!))</f>
        <v/>
      </c>
      <c r="BB330" s="223">
        <f>IF(#REF!="","",#REF!)</f>
        <v/>
      </c>
      <c r="BC330" s="223">
        <f>IF('CONTROLE GLOBO AÇOS'!O332="","",'CONTROLE GLOBO AÇOS'!O332)</f>
        <v/>
      </c>
      <c r="BD330" s="223">
        <f>IF(AND('CONTROLE EJ'!N332="",'CONTROLE CMM'!#REF!=""),"",N('CONTROLE EJ'!N332)+N('CONTROLE CMM'!#REF!))</f>
        <v/>
      </c>
      <c r="BE330" s="223">
        <f>IF('CONTROLE GLOBO AÇOS'!P332="","",'CONTROLE GLOBO AÇOS'!P332)</f>
        <v/>
      </c>
      <c r="BF330" s="223">
        <f>IF('CONTROLE GLOBO AÇOS'!Q332="","",'CONTROLE GLOBO AÇOS'!Q332)</f>
        <v/>
      </c>
      <c r="BG330" s="223">
        <f>IF('CONTROLE GLOBO AÇOS'!R332="","",'CONTROLE GLOBO AÇOS'!R332)</f>
        <v/>
      </c>
      <c r="BH330" s="223">
        <f>IF(AND('CONTROLE EJ'!O332="",'CONTROLE CMM'!#REF!=""),"",N('CONTROLE EJ'!O332)+N('CONTROLE CMM'!#REF!))</f>
        <v/>
      </c>
      <c r="BI330" s="223">
        <f>IF('CONTROLE GLOBO AÇOS'!S332="","",'CONTROLE GLOBO AÇOS'!S332)</f>
        <v/>
      </c>
      <c r="BJ330" s="223">
        <f>IF('CONTROLE GLOBO AÇOS'!T332="","",'CONTROLE GLOBO AÇOS'!T332)</f>
        <v/>
      </c>
      <c r="BK330" s="223">
        <f>IF('CONTROLE GLOBO AÇOS'!U332="","",'CONTROLE GLOBO AÇOS'!U332)</f>
        <v/>
      </c>
      <c r="BL330" s="223">
        <f>IF(AND('CONTROLE EJ'!P332="",'CONTROLE CMM'!#REF!=""),"",N('CONTROLE EJ'!P332)+N('CONTROLE CMM'!#REF!))</f>
        <v/>
      </c>
      <c r="BM330" s="223">
        <f>IF(AND('CONTROLE EJ'!Q332="",'CONTROLE CMM'!#REF!=""),"",N('CONTROLE EJ'!Q332)+N('CONTROLE CMM'!#REF!))</f>
        <v/>
      </c>
      <c r="BN330" s="223">
        <f>IF('CONTROLE GLOBO AÇOS'!V332="","",'CONTROLE GLOBO AÇOS'!V332)</f>
        <v/>
      </c>
      <c r="BO330" s="223">
        <f>IF('CONTROLE GLOBO AÇOS'!W332="","",'CONTROLE GLOBO AÇOS'!W332)</f>
        <v/>
      </c>
      <c r="BP330" s="223">
        <f>IF(AND('CONTROLE EJ'!R332="",'CONTROLE CMM'!#REF!=""),"",N('CONTROLE EJ'!R332)+N('CONTROLE CMM'!#REF!))</f>
        <v/>
      </c>
      <c r="BQ330" s="223">
        <f>IF(#REF!="","",#REF!)</f>
        <v/>
      </c>
      <c r="BR330" s="223">
        <f>IF(AND('CONTROLE EJ'!S332="",'CONTROLE CMM'!#REF!=""),"",N('CONTROLE EJ'!S332)+N('CONTROLE CMM'!#REF!))</f>
        <v/>
      </c>
      <c r="BS330" s="223">
        <f>IF(AND('CONTROLE EJ'!T332="",'CONTROLE CMM'!#REF!=""),"",N('CONTROLE EJ'!T332)+N('CONTROLE CMM'!#REF!))</f>
        <v/>
      </c>
      <c r="BT330" s="223">
        <f>IF('CONTROLE GLOBO AÇOS'!X332="","",'CONTROLE GLOBO AÇOS'!X332)</f>
        <v/>
      </c>
      <c r="BU330" s="223">
        <f>IF('CONTROLE GLOBO AÇOS'!Y332="","",'CONTROLE GLOBO AÇOS'!Y332)</f>
        <v/>
      </c>
      <c r="BV330" s="223">
        <f>IF(AND('CONTROLE EJ'!U332="",'CONTROLE CMM'!#REF!=""),"",N('CONTROLE EJ'!U332)+N('CONTROLE CMM'!#REF!))</f>
        <v/>
      </c>
      <c r="BW330" s="223">
        <f>IF(#REF!="","",#REF!)</f>
        <v/>
      </c>
    </row>
    <row r="331">
      <c r="A331" s="282" t="n">
        <v>46548</v>
      </c>
      <c r="B331" s="18">
        <f>IF('CONTROLE EJ'!B333="","",'CONTROLE EJ'!B333)</f>
        <v/>
      </c>
      <c r="C331" s="18">
        <f>IF('CONTROLE EJ'!C333="","",'CONTROLE EJ'!C333)</f>
        <v/>
      </c>
      <c r="D331" s="26">
        <f>IF('CONTROLE EJ'!D333="","",'CONTROLE EJ'!D333)</f>
        <v/>
      </c>
      <c r="E331" s="43">
        <f>IF('CONTROLE CMM'!B333="","",'CONTROLE CMM'!B333)</f>
        <v/>
      </c>
      <c r="F331" s="18">
        <f>IF('CONTROLE CMM'!C333="","",'CONTROLE CMM'!C333)</f>
        <v/>
      </c>
      <c r="G331" s="26">
        <f>IF('CONTROLE CMM'!D333="","",'CONTROLE CMM'!D333)</f>
        <v/>
      </c>
      <c r="H331" s="18">
        <f>IF('CONTROLE GLOBO AÇOS'!B333="","",'CONTROLE GLOBO AÇOS'!B333)</f>
        <v/>
      </c>
      <c r="I331" s="18">
        <f>IF('CONTROLE GLOBO AÇOS'!C333="","",'CONTROLE GLOBO AÇOS'!C333)</f>
        <v/>
      </c>
      <c r="J331" s="18">
        <f>IF('CONTROLE GLOBO AÇOS'!D333="","",'CONTROLE GLOBO AÇOS'!D333)</f>
        <v/>
      </c>
      <c r="AD331" s="39">
        <f>IF($A331="",0,IF(AND(WEEKDAY($A331,2)&lt;=5,OR($B331&lt;&gt;"",$C331&lt;&gt;"",$D331&lt;&gt;"")),1,0))</f>
        <v/>
      </c>
      <c r="AE331" s="39">
        <f>IF($A331="",0,IF(AND(WEEKDAY($A331,2)&lt;=5,OR($E331&lt;&gt;"",$F331&lt;&gt;"",$G331&lt;&gt;"")),1,0))</f>
        <v/>
      </c>
      <c r="AF331" s="39">
        <f>MAX(AD331,AE331)</f>
        <v/>
      </c>
      <c r="AH331" s="223">
        <f>IF('CONTROLE GLOBO AÇOS'!E333="","",'CONTROLE GLOBO AÇOS'!E333)</f>
        <v/>
      </c>
      <c r="AI331" s="223">
        <f>IF('CONTROLE GLOBO AÇOS'!F333="","",'CONTROLE GLOBO AÇOS'!F333)</f>
        <v/>
      </c>
      <c r="AJ331" s="223">
        <f>IF(AND('CONTROLE EJ'!E333="",'CONTROLE CMM'!E333=""),"",N('CONTROLE EJ'!E333)+N('CONTROLE CMM'!E333))</f>
        <v/>
      </c>
      <c r="AK331" s="223">
        <f>IF(AND('CONTROLE EJ'!F333="",'CONTROLE CMM'!F333=""),"",N('CONTROLE EJ'!F333)+N('CONTROLE CMM'!F333))</f>
        <v/>
      </c>
      <c r="AL331" s="223">
        <f>IF(AND('CONTROLE EJ'!G333="",'CONTROLE CMM'!G333=""),"",N('CONTROLE EJ'!G333)+N('CONTROLE CMM'!G333))</f>
        <v/>
      </c>
      <c r="AM331" s="223">
        <f>IF(AND('CONTROLE EJ'!H333="",'CONTROLE CMM'!H333=""),"",N('CONTROLE EJ'!H333)+N('CONTROLE CMM'!H333))</f>
        <v/>
      </c>
      <c r="AN331" s="223">
        <f>IF('CONTROLE GLOBO AÇOS'!G333="","",'CONTROLE GLOBO AÇOS'!G333)</f>
        <v/>
      </c>
      <c r="AO331" s="223">
        <f>IF('CONTROLE GLOBO AÇOS'!H333="","",'CONTROLE GLOBO AÇOS'!H333)</f>
        <v/>
      </c>
      <c r="AP331" s="223">
        <f>IF(AND('CONTROLE EJ'!I333="",'CONTROLE CMM'!I333=""),"",N('CONTROLE EJ'!I333)+N('CONTROLE CMM'!I333))</f>
        <v/>
      </c>
      <c r="AQ331" s="223">
        <f>IF(AND('CONTROLE EJ'!J333="",'CONTROLE CMM'!#REF!=""),"",N('CONTROLE EJ'!J333)+N('CONTROLE CMM'!#REF!))</f>
        <v/>
      </c>
      <c r="AR331" s="223">
        <f>IF('CONTROLE GLOBO AÇOS'!I333="","",'CONTROLE GLOBO AÇOS'!I333)</f>
        <v/>
      </c>
      <c r="AS331" s="223">
        <f>IF('CONTROLE GLOBO AÇOS'!J333="","",'CONTROLE GLOBO AÇOS'!J333)</f>
        <v/>
      </c>
      <c r="AT331" s="223">
        <f>IF(#REF!="","",#REF!)</f>
        <v/>
      </c>
      <c r="AU331" s="223">
        <f>IF('CONTROLE GLOBO AÇOS'!K333="","",'CONTROLE GLOBO AÇOS'!K333)</f>
        <v/>
      </c>
      <c r="AV331" s="223">
        <f>IF(AND('CONTROLE EJ'!K333="",'CONTROLE CMM'!#REF!=""),"",N('CONTROLE EJ'!K333)+N('CONTROLE CMM'!#REF!))</f>
        <v/>
      </c>
      <c r="AW331" s="223">
        <f>IF('CONTROLE GLOBO AÇOS'!L333="","",'CONTROLE GLOBO AÇOS'!L333)</f>
        <v/>
      </c>
      <c r="AX331" s="223">
        <f>IF(AND('CONTROLE EJ'!L333="",'CONTROLE CMM'!#REF!=""),"",N('CONTROLE EJ'!L333)+N('CONTROLE CMM'!#REF!))</f>
        <v/>
      </c>
      <c r="AY331" s="223">
        <f>IF('CONTROLE GLOBO AÇOS'!M333="","",'CONTROLE GLOBO AÇOS'!M333)</f>
        <v/>
      </c>
      <c r="AZ331" s="223">
        <f>IF('CONTROLE GLOBO AÇOS'!N333="","",'CONTROLE GLOBO AÇOS'!N333)</f>
        <v/>
      </c>
      <c r="BA331" s="223">
        <f>IF(AND('CONTROLE EJ'!M333="",'CONTROLE CMM'!#REF!=""),"",N('CONTROLE EJ'!M333)+N('CONTROLE CMM'!#REF!))</f>
        <v/>
      </c>
      <c r="BB331" s="223">
        <f>IF(#REF!="","",#REF!)</f>
        <v/>
      </c>
      <c r="BC331" s="223">
        <f>IF('CONTROLE GLOBO AÇOS'!O333="","",'CONTROLE GLOBO AÇOS'!O333)</f>
        <v/>
      </c>
      <c r="BD331" s="223">
        <f>IF(AND('CONTROLE EJ'!N333="",'CONTROLE CMM'!#REF!=""),"",N('CONTROLE EJ'!N333)+N('CONTROLE CMM'!#REF!))</f>
        <v/>
      </c>
      <c r="BE331" s="223">
        <f>IF('CONTROLE GLOBO AÇOS'!P333="","",'CONTROLE GLOBO AÇOS'!P333)</f>
        <v/>
      </c>
      <c r="BF331" s="223">
        <f>IF('CONTROLE GLOBO AÇOS'!Q333="","",'CONTROLE GLOBO AÇOS'!Q333)</f>
        <v/>
      </c>
      <c r="BG331" s="223">
        <f>IF('CONTROLE GLOBO AÇOS'!R333="","",'CONTROLE GLOBO AÇOS'!R333)</f>
        <v/>
      </c>
      <c r="BH331" s="223">
        <f>IF(AND('CONTROLE EJ'!O333="",'CONTROLE CMM'!#REF!=""),"",N('CONTROLE EJ'!O333)+N('CONTROLE CMM'!#REF!))</f>
        <v/>
      </c>
      <c r="BI331" s="223">
        <f>IF('CONTROLE GLOBO AÇOS'!S333="","",'CONTROLE GLOBO AÇOS'!S333)</f>
        <v/>
      </c>
      <c r="BJ331" s="223">
        <f>IF('CONTROLE GLOBO AÇOS'!T333="","",'CONTROLE GLOBO AÇOS'!T333)</f>
        <v/>
      </c>
      <c r="BK331" s="223">
        <f>IF('CONTROLE GLOBO AÇOS'!U333="","",'CONTROLE GLOBO AÇOS'!U333)</f>
        <v/>
      </c>
      <c r="BL331" s="223">
        <f>IF(AND('CONTROLE EJ'!P333="",'CONTROLE CMM'!#REF!=""),"",N('CONTROLE EJ'!P333)+N('CONTROLE CMM'!#REF!))</f>
        <v/>
      </c>
      <c r="BM331" s="223">
        <f>IF(AND('CONTROLE EJ'!Q333="",'CONTROLE CMM'!#REF!=""),"",N('CONTROLE EJ'!Q333)+N('CONTROLE CMM'!#REF!))</f>
        <v/>
      </c>
      <c r="BN331" s="223">
        <f>IF('CONTROLE GLOBO AÇOS'!V333="","",'CONTROLE GLOBO AÇOS'!V333)</f>
        <v/>
      </c>
      <c r="BO331" s="223">
        <f>IF('CONTROLE GLOBO AÇOS'!W333="","",'CONTROLE GLOBO AÇOS'!W333)</f>
        <v/>
      </c>
      <c r="BP331" s="223">
        <f>IF(AND('CONTROLE EJ'!R333="",'CONTROLE CMM'!#REF!=""),"",N('CONTROLE EJ'!R333)+N('CONTROLE CMM'!#REF!))</f>
        <v/>
      </c>
      <c r="BQ331" s="223">
        <f>IF(#REF!="","",#REF!)</f>
        <v/>
      </c>
      <c r="BR331" s="223">
        <f>IF(AND('CONTROLE EJ'!S333="",'CONTROLE CMM'!#REF!=""),"",N('CONTROLE EJ'!S333)+N('CONTROLE CMM'!#REF!))</f>
        <v/>
      </c>
      <c r="BS331" s="223">
        <f>IF(AND('CONTROLE EJ'!T333="",'CONTROLE CMM'!#REF!=""),"",N('CONTROLE EJ'!T333)+N('CONTROLE CMM'!#REF!))</f>
        <v/>
      </c>
      <c r="BT331" s="223">
        <f>IF('CONTROLE GLOBO AÇOS'!X333="","",'CONTROLE GLOBO AÇOS'!X333)</f>
        <v/>
      </c>
      <c r="BU331" s="223">
        <f>IF('CONTROLE GLOBO AÇOS'!Y333="","",'CONTROLE GLOBO AÇOS'!Y333)</f>
        <v/>
      </c>
      <c r="BV331" s="223">
        <f>IF(AND('CONTROLE EJ'!U333="",'CONTROLE CMM'!#REF!=""),"",N('CONTROLE EJ'!U333)+N('CONTROLE CMM'!#REF!))</f>
        <v/>
      </c>
      <c r="BW331" s="223">
        <f>IF(#REF!="","",#REF!)</f>
        <v/>
      </c>
    </row>
    <row r="332">
      <c r="A332" s="282" t="n">
        <v>46549</v>
      </c>
      <c r="B332" s="18">
        <f>IF('CONTROLE EJ'!B334="","",'CONTROLE EJ'!B334)</f>
        <v/>
      </c>
      <c r="C332" s="18">
        <f>IF('CONTROLE EJ'!C334="","",'CONTROLE EJ'!C334)</f>
        <v/>
      </c>
      <c r="D332" s="26">
        <f>IF('CONTROLE EJ'!D334="","",'CONTROLE EJ'!D334)</f>
        <v/>
      </c>
      <c r="E332" s="43">
        <f>IF('CONTROLE CMM'!B334="","",'CONTROLE CMM'!B334)</f>
        <v/>
      </c>
      <c r="F332" s="18">
        <f>IF('CONTROLE CMM'!C334="","",'CONTROLE CMM'!C334)</f>
        <v/>
      </c>
      <c r="G332" s="26">
        <f>IF('CONTROLE CMM'!D334="","",'CONTROLE CMM'!D334)</f>
        <v/>
      </c>
      <c r="H332" s="18">
        <f>IF('CONTROLE GLOBO AÇOS'!B334="","",'CONTROLE GLOBO AÇOS'!B334)</f>
        <v/>
      </c>
      <c r="I332" s="18">
        <f>IF('CONTROLE GLOBO AÇOS'!C334="","",'CONTROLE GLOBO AÇOS'!C334)</f>
        <v/>
      </c>
      <c r="J332" s="18">
        <f>IF('CONTROLE GLOBO AÇOS'!D334="","",'CONTROLE GLOBO AÇOS'!D334)</f>
        <v/>
      </c>
      <c r="AD332" s="39">
        <f>IF($A332="",0,IF(AND(WEEKDAY($A332,2)&lt;=5,OR($B332&lt;&gt;"",$C332&lt;&gt;"",$D332&lt;&gt;"")),1,0))</f>
        <v/>
      </c>
      <c r="AE332" s="39">
        <f>IF($A332="",0,IF(AND(WEEKDAY($A332,2)&lt;=5,OR($E332&lt;&gt;"",$F332&lt;&gt;"",$G332&lt;&gt;"")),1,0))</f>
        <v/>
      </c>
      <c r="AF332" s="39">
        <f>MAX(AD332,AE332)</f>
        <v/>
      </c>
      <c r="AH332" s="223">
        <f>IF('CONTROLE GLOBO AÇOS'!E334="","",'CONTROLE GLOBO AÇOS'!E334)</f>
        <v/>
      </c>
      <c r="AI332" s="223">
        <f>IF('CONTROLE GLOBO AÇOS'!F334="","",'CONTROLE GLOBO AÇOS'!F334)</f>
        <v/>
      </c>
      <c r="AJ332" s="223">
        <f>IF(AND('CONTROLE EJ'!E334="",'CONTROLE CMM'!E334=""),"",N('CONTROLE EJ'!E334)+N('CONTROLE CMM'!E334))</f>
        <v/>
      </c>
      <c r="AK332" s="223">
        <f>IF(AND('CONTROLE EJ'!F334="",'CONTROLE CMM'!F334=""),"",N('CONTROLE EJ'!F334)+N('CONTROLE CMM'!F334))</f>
        <v/>
      </c>
      <c r="AL332" s="223">
        <f>IF(AND('CONTROLE EJ'!G334="",'CONTROLE CMM'!G334=""),"",N('CONTROLE EJ'!G334)+N('CONTROLE CMM'!G334))</f>
        <v/>
      </c>
      <c r="AM332" s="223">
        <f>IF(AND('CONTROLE EJ'!H334="",'CONTROLE CMM'!H334=""),"",N('CONTROLE EJ'!H334)+N('CONTROLE CMM'!H334))</f>
        <v/>
      </c>
      <c r="AN332" s="223">
        <f>IF('CONTROLE GLOBO AÇOS'!G334="","",'CONTROLE GLOBO AÇOS'!G334)</f>
        <v/>
      </c>
      <c r="AO332" s="223">
        <f>IF('CONTROLE GLOBO AÇOS'!H334="","",'CONTROLE GLOBO AÇOS'!H334)</f>
        <v/>
      </c>
      <c r="AP332" s="223">
        <f>IF(AND('CONTROLE EJ'!I334="",'CONTROLE CMM'!I334=""),"",N('CONTROLE EJ'!I334)+N('CONTROLE CMM'!I334))</f>
        <v/>
      </c>
      <c r="AQ332" s="223">
        <f>IF(AND('CONTROLE EJ'!J334="",'CONTROLE CMM'!#REF!=""),"",N('CONTROLE EJ'!J334)+N('CONTROLE CMM'!#REF!))</f>
        <v/>
      </c>
      <c r="AR332" s="223">
        <f>IF('CONTROLE GLOBO AÇOS'!I334="","",'CONTROLE GLOBO AÇOS'!I334)</f>
        <v/>
      </c>
      <c r="AS332" s="223">
        <f>IF('CONTROLE GLOBO AÇOS'!J334="","",'CONTROLE GLOBO AÇOS'!J334)</f>
        <v/>
      </c>
      <c r="AT332" s="223">
        <f>IF(#REF!="","",#REF!)</f>
        <v/>
      </c>
      <c r="AU332" s="223">
        <f>IF('CONTROLE GLOBO AÇOS'!K334="","",'CONTROLE GLOBO AÇOS'!K334)</f>
        <v/>
      </c>
      <c r="AV332" s="223">
        <f>IF(AND('CONTROLE EJ'!K334="",'CONTROLE CMM'!#REF!=""),"",N('CONTROLE EJ'!K334)+N('CONTROLE CMM'!#REF!))</f>
        <v/>
      </c>
      <c r="AW332" s="223">
        <f>IF('CONTROLE GLOBO AÇOS'!L334="","",'CONTROLE GLOBO AÇOS'!L334)</f>
        <v/>
      </c>
      <c r="AX332" s="223">
        <f>IF(AND('CONTROLE EJ'!L334="",'CONTROLE CMM'!#REF!=""),"",N('CONTROLE EJ'!L334)+N('CONTROLE CMM'!#REF!))</f>
        <v/>
      </c>
      <c r="AY332" s="223">
        <f>IF('CONTROLE GLOBO AÇOS'!M334="","",'CONTROLE GLOBO AÇOS'!M334)</f>
        <v/>
      </c>
      <c r="AZ332" s="223">
        <f>IF('CONTROLE GLOBO AÇOS'!N334="","",'CONTROLE GLOBO AÇOS'!N334)</f>
        <v/>
      </c>
      <c r="BA332" s="223">
        <f>IF(AND('CONTROLE EJ'!M334="",'CONTROLE CMM'!#REF!=""),"",N('CONTROLE EJ'!M334)+N('CONTROLE CMM'!#REF!))</f>
        <v/>
      </c>
      <c r="BB332" s="223">
        <f>IF(#REF!="","",#REF!)</f>
        <v/>
      </c>
      <c r="BC332" s="223">
        <f>IF('CONTROLE GLOBO AÇOS'!O334="","",'CONTROLE GLOBO AÇOS'!O334)</f>
        <v/>
      </c>
      <c r="BD332" s="223">
        <f>IF(AND('CONTROLE EJ'!N334="",'CONTROLE CMM'!#REF!=""),"",N('CONTROLE EJ'!N334)+N('CONTROLE CMM'!#REF!))</f>
        <v/>
      </c>
      <c r="BE332" s="223">
        <f>IF('CONTROLE GLOBO AÇOS'!P334="","",'CONTROLE GLOBO AÇOS'!P334)</f>
        <v/>
      </c>
      <c r="BF332" s="223">
        <f>IF('CONTROLE GLOBO AÇOS'!Q334="","",'CONTROLE GLOBO AÇOS'!Q334)</f>
        <v/>
      </c>
      <c r="BG332" s="223">
        <f>IF('CONTROLE GLOBO AÇOS'!R334="","",'CONTROLE GLOBO AÇOS'!R334)</f>
        <v/>
      </c>
      <c r="BH332" s="223">
        <f>IF(AND('CONTROLE EJ'!O334="",'CONTROLE CMM'!#REF!=""),"",N('CONTROLE EJ'!O334)+N('CONTROLE CMM'!#REF!))</f>
        <v/>
      </c>
      <c r="BI332" s="223">
        <f>IF('CONTROLE GLOBO AÇOS'!S334="","",'CONTROLE GLOBO AÇOS'!S334)</f>
        <v/>
      </c>
      <c r="BJ332" s="223">
        <f>IF('CONTROLE GLOBO AÇOS'!T334="","",'CONTROLE GLOBO AÇOS'!T334)</f>
        <v/>
      </c>
      <c r="BK332" s="223">
        <f>IF('CONTROLE GLOBO AÇOS'!U334="","",'CONTROLE GLOBO AÇOS'!U334)</f>
        <v/>
      </c>
      <c r="BL332" s="223">
        <f>IF(AND('CONTROLE EJ'!P334="",'CONTROLE CMM'!#REF!=""),"",N('CONTROLE EJ'!P334)+N('CONTROLE CMM'!#REF!))</f>
        <v/>
      </c>
      <c r="BM332" s="223">
        <f>IF(AND('CONTROLE EJ'!Q334="",'CONTROLE CMM'!#REF!=""),"",N('CONTROLE EJ'!Q334)+N('CONTROLE CMM'!#REF!))</f>
        <v/>
      </c>
      <c r="BN332" s="223">
        <f>IF('CONTROLE GLOBO AÇOS'!V334="","",'CONTROLE GLOBO AÇOS'!V334)</f>
        <v/>
      </c>
      <c r="BO332" s="223">
        <f>IF('CONTROLE GLOBO AÇOS'!W334="","",'CONTROLE GLOBO AÇOS'!W334)</f>
        <v/>
      </c>
      <c r="BP332" s="223">
        <f>IF(AND('CONTROLE EJ'!R334="",'CONTROLE CMM'!#REF!=""),"",N('CONTROLE EJ'!R334)+N('CONTROLE CMM'!#REF!))</f>
        <v/>
      </c>
      <c r="BQ332" s="223">
        <f>IF(#REF!="","",#REF!)</f>
        <v/>
      </c>
      <c r="BR332" s="223">
        <f>IF(AND('CONTROLE EJ'!S334="",'CONTROLE CMM'!#REF!=""),"",N('CONTROLE EJ'!S334)+N('CONTROLE CMM'!#REF!))</f>
        <v/>
      </c>
      <c r="BS332" s="223">
        <f>IF(AND('CONTROLE EJ'!T334="",'CONTROLE CMM'!#REF!=""),"",N('CONTROLE EJ'!T334)+N('CONTROLE CMM'!#REF!))</f>
        <v/>
      </c>
      <c r="BT332" s="223">
        <f>IF('CONTROLE GLOBO AÇOS'!X334="","",'CONTROLE GLOBO AÇOS'!X334)</f>
        <v/>
      </c>
      <c r="BU332" s="223">
        <f>IF('CONTROLE GLOBO AÇOS'!Y334="","",'CONTROLE GLOBO AÇOS'!Y334)</f>
        <v/>
      </c>
      <c r="BV332" s="223">
        <f>IF(AND('CONTROLE EJ'!U334="",'CONTROLE CMM'!#REF!=""),"",N('CONTROLE EJ'!U334)+N('CONTROLE CMM'!#REF!))</f>
        <v/>
      </c>
      <c r="BW332" s="223">
        <f>IF(#REF!="","",#REF!)</f>
        <v/>
      </c>
    </row>
    <row r="333">
      <c r="A333" s="282" t="n">
        <v>46550</v>
      </c>
      <c r="B333" s="18">
        <f>IF('CONTROLE EJ'!B335="","",'CONTROLE EJ'!B335)</f>
        <v/>
      </c>
      <c r="C333" s="18">
        <f>IF('CONTROLE EJ'!C335="","",'CONTROLE EJ'!C335)</f>
        <v/>
      </c>
      <c r="D333" s="26">
        <f>IF('CONTROLE EJ'!D335="","",'CONTROLE EJ'!D335)</f>
        <v/>
      </c>
      <c r="E333" s="43">
        <f>IF('CONTROLE CMM'!B335="","",'CONTROLE CMM'!B335)</f>
        <v/>
      </c>
      <c r="F333" s="18">
        <f>IF('CONTROLE CMM'!C335="","",'CONTROLE CMM'!C335)</f>
        <v/>
      </c>
      <c r="G333" s="26">
        <f>IF('CONTROLE CMM'!D335="","",'CONTROLE CMM'!D335)</f>
        <v/>
      </c>
      <c r="H333" s="18">
        <f>IF('CONTROLE GLOBO AÇOS'!B335="","",'CONTROLE GLOBO AÇOS'!B335)</f>
        <v/>
      </c>
      <c r="I333" s="18">
        <f>IF('CONTROLE GLOBO AÇOS'!C335="","",'CONTROLE GLOBO AÇOS'!C335)</f>
        <v/>
      </c>
      <c r="J333" s="18">
        <f>IF('CONTROLE GLOBO AÇOS'!D335="","",'CONTROLE GLOBO AÇOS'!D335)</f>
        <v/>
      </c>
      <c r="AD333" s="39">
        <f>IF($A333="",0,IF(AND(WEEKDAY($A333,2)&lt;=5,OR($B333&lt;&gt;"",$C333&lt;&gt;"",$D333&lt;&gt;"")),1,0))</f>
        <v/>
      </c>
      <c r="AE333" s="39">
        <f>IF($A333="",0,IF(AND(WEEKDAY($A333,2)&lt;=5,OR($E333&lt;&gt;"",$F333&lt;&gt;"",$G333&lt;&gt;"")),1,0))</f>
        <v/>
      </c>
      <c r="AF333" s="39">
        <f>MAX(AD333,AE333)</f>
        <v/>
      </c>
      <c r="AH333" s="223">
        <f>IF('CONTROLE GLOBO AÇOS'!E335="","",'CONTROLE GLOBO AÇOS'!E335)</f>
        <v/>
      </c>
      <c r="AI333" s="223">
        <f>IF('CONTROLE GLOBO AÇOS'!F335="","",'CONTROLE GLOBO AÇOS'!F335)</f>
        <v/>
      </c>
      <c r="AJ333" s="223">
        <f>IF(AND('CONTROLE EJ'!E335="",'CONTROLE CMM'!E335=""),"",N('CONTROLE EJ'!E335)+N('CONTROLE CMM'!E335))</f>
        <v/>
      </c>
      <c r="AK333" s="223">
        <f>IF(AND('CONTROLE EJ'!F335="",'CONTROLE CMM'!F335=""),"",N('CONTROLE EJ'!F335)+N('CONTROLE CMM'!F335))</f>
        <v/>
      </c>
      <c r="AL333" s="223">
        <f>IF(AND('CONTROLE EJ'!G335="",'CONTROLE CMM'!G335=""),"",N('CONTROLE EJ'!G335)+N('CONTROLE CMM'!G335))</f>
        <v/>
      </c>
      <c r="AM333" s="223">
        <f>IF(AND('CONTROLE EJ'!H335="",'CONTROLE CMM'!H335=""),"",N('CONTROLE EJ'!H335)+N('CONTROLE CMM'!H335))</f>
        <v/>
      </c>
      <c r="AN333" s="223">
        <f>IF('CONTROLE GLOBO AÇOS'!G335="","",'CONTROLE GLOBO AÇOS'!G335)</f>
        <v/>
      </c>
      <c r="AO333" s="223">
        <f>IF('CONTROLE GLOBO AÇOS'!H335="","",'CONTROLE GLOBO AÇOS'!H335)</f>
        <v/>
      </c>
      <c r="AP333" s="223">
        <f>IF(AND('CONTROLE EJ'!I335="",'CONTROLE CMM'!I335=""),"",N('CONTROLE EJ'!I335)+N('CONTROLE CMM'!I335))</f>
        <v/>
      </c>
      <c r="AQ333" s="223">
        <f>IF(AND('CONTROLE EJ'!J335="",'CONTROLE CMM'!#REF!=""),"",N('CONTROLE EJ'!J335)+N('CONTROLE CMM'!#REF!))</f>
        <v/>
      </c>
      <c r="AR333" s="223">
        <f>IF('CONTROLE GLOBO AÇOS'!I335="","",'CONTROLE GLOBO AÇOS'!I335)</f>
        <v/>
      </c>
      <c r="AS333" s="223">
        <f>IF('CONTROLE GLOBO AÇOS'!J335="","",'CONTROLE GLOBO AÇOS'!J335)</f>
        <v/>
      </c>
      <c r="AT333" s="223">
        <f>IF(#REF!="","",#REF!)</f>
        <v/>
      </c>
      <c r="AU333" s="223">
        <f>IF('CONTROLE GLOBO AÇOS'!K335="","",'CONTROLE GLOBO AÇOS'!K335)</f>
        <v/>
      </c>
      <c r="AV333" s="223">
        <f>IF(AND('CONTROLE EJ'!K335="",'CONTROLE CMM'!#REF!=""),"",N('CONTROLE EJ'!K335)+N('CONTROLE CMM'!#REF!))</f>
        <v/>
      </c>
      <c r="AW333" s="223">
        <f>IF('CONTROLE GLOBO AÇOS'!L335="","",'CONTROLE GLOBO AÇOS'!L335)</f>
        <v/>
      </c>
      <c r="AX333" s="223">
        <f>IF(AND('CONTROLE EJ'!L335="",'CONTROLE CMM'!#REF!=""),"",N('CONTROLE EJ'!L335)+N('CONTROLE CMM'!#REF!))</f>
        <v/>
      </c>
      <c r="AY333" s="223">
        <f>IF('CONTROLE GLOBO AÇOS'!M335="","",'CONTROLE GLOBO AÇOS'!M335)</f>
        <v/>
      </c>
      <c r="AZ333" s="223">
        <f>IF('CONTROLE GLOBO AÇOS'!N335="","",'CONTROLE GLOBO AÇOS'!N335)</f>
        <v/>
      </c>
      <c r="BA333" s="223">
        <f>IF(AND('CONTROLE EJ'!M335="",'CONTROLE CMM'!#REF!=""),"",N('CONTROLE EJ'!M335)+N('CONTROLE CMM'!#REF!))</f>
        <v/>
      </c>
      <c r="BB333" s="223">
        <f>IF(#REF!="","",#REF!)</f>
        <v/>
      </c>
      <c r="BC333" s="223">
        <f>IF('CONTROLE GLOBO AÇOS'!O335="","",'CONTROLE GLOBO AÇOS'!O335)</f>
        <v/>
      </c>
      <c r="BD333" s="223">
        <f>IF(AND('CONTROLE EJ'!N335="",'CONTROLE CMM'!#REF!=""),"",N('CONTROLE EJ'!N335)+N('CONTROLE CMM'!#REF!))</f>
        <v/>
      </c>
      <c r="BE333" s="223">
        <f>IF('CONTROLE GLOBO AÇOS'!P335="","",'CONTROLE GLOBO AÇOS'!P335)</f>
        <v/>
      </c>
      <c r="BF333" s="223">
        <f>IF('CONTROLE GLOBO AÇOS'!Q335="","",'CONTROLE GLOBO AÇOS'!Q335)</f>
        <v/>
      </c>
      <c r="BG333" s="223">
        <f>IF('CONTROLE GLOBO AÇOS'!R335="","",'CONTROLE GLOBO AÇOS'!R335)</f>
        <v/>
      </c>
      <c r="BH333" s="223">
        <f>IF(AND('CONTROLE EJ'!O335="",'CONTROLE CMM'!#REF!=""),"",N('CONTROLE EJ'!O335)+N('CONTROLE CMM'!#REF!))</f>
        <v/>
      </c>
      <c r="BI333" s="223">
        <f>IF('CONTROLE GLOBO AÇOS'!S335="","",'CONTROLE GLOBO AÇOS'!S335)</f>
        <v/>
      </c>
      <c r="BJ333" s="223">
        <f>IF('CONTROLE GLOBO AÇOS'!T335="","",'CONTROLE GLOBO AÇOS'!T335)</f>
        <v/>
      </c>
      <c r="BK333" s="223">
        <f>IF('CONTROLE GLOBO AÇOS'!U335="","",'CONTROLE GLOBO AÇOS'!U335)</f>
        <v/>
      </c>
      <c r="BL333" s="223">
        <f>IF(AND('CONTROLE EJ'!P335="",'CONTROLE CMM'!#REF!=""),"",N('CONTROLE EJ'!P335)+N('CONTROLE CMM'!#REF!))</f>
        <v/>
      </c>
      <c r="BM333" s="223">
        <f>IF(AND('CONTROLE EJ'!Q335="",'CONTROLE CMM'!#REF!=""),"",N('CONTROLE EJ'!Q335)+N('CONTROLE CMM'!#REF!))</f>
        <v/>
      </c>
      <c r="BN333" s="223">
        <f>IF('CONTROLE GLOBO AÇOS'!V335="","",'CONTROLE GLOBO AÇOS'!V335)</f>
        <v/>
      </c>
      <c r="BO333" s="223">
        <f>IF('CONTROLE GLOBO AÇOS'!W335="","",'CONTROLE GLOBO AÇOS'!W335)</f>
        <v/>
      </c>
      <c r="BP333" s="223">
        <f>IF(AND('CONTROLE EJ'!R335="",'CONTROLE CMM'!#REF!=""),"",N('CONTROLE EJ'!R335)+N('CONTROLE CMM'!#REF!))</f>
        <v/>
      </c>
      <c r="BQ333" s="223">
        <f>IF(#REF!="","",#REF!)</f>
        <v/>
      </c>
      <c r="BR333" s="223">
        <f>IF(AND('CONTROLE EJ'!S335="",'CONTROLE CMM'!#REF!=""),"",N('CONTROLE EJ'!S335)+N('CONTROLE CMM'!#REF!))</f>
        <v/>
      </c>
      <c r="BS333" s="223">
        <f>IF(AND('CONTROLE EJ'!T335="",'CONTROLE CMM'!#REF!=""),"",N('CONTROLE EJ'!T335)+N('CONTROLE CMM'!#REF!))</f>
        <v/>
      </c>
      <c r="BT333" s="223">
        <f>IF('CONTROLE GLOBO AÇOS'!X335="","",'CONTROLE GLOBO AÇOS'!X335)</f>
        <v/>
      </c>
      <c r="BU333" s="223">
        <f>IF('CONTROLE GLOBO AÇOS'!Y335="","",'CONTROLE GLOBO AÇOS'!Y335)</f>
        <v/>
      </c>
      <c r="BV333" s="223">
        <f>IF(AND('CONTROLE EJ'!U335="",'CONTROLE CMM'!#REF!=""),"",N('CONTROLE EJ'!U335)+N('CONTROLE CMM'!#REF!))</f>
        <v/>
      </c>
      <c r="BW333" s="223">
        <f>IF(#REF!="","",#REF!)</f>
        <v/>
      </c>
    </row>
    <row r="334">
      <c r="A334" s="282" t="n">
        <v>46551</v>
      </c>
      <c r="B334" s="18">
        <f>IF('CONTROLE EJ'!B336="","",'CONTROLE EJ'!B336)</f>
        <v/>
      </c>
      <c r="C334" s="18">
        <f>IF('CONTROLE EJ'!C336="","",'CONTROLE EJ'!C336)</f>
        <v/>
      </c>
      <c r="D334" s="26">
        <f>IF('CONTROLE EJ'!D336="","",'CONTROLE EJ'!D336)</f>
        <v/>
      </c>
      <c r="E334" s="43">
        <f>IF('CONTROLE CMM'!B336="","",'CONTROLE CMM'!B336)</f>
        <v/>
      </c>
      <c r="F334" s="18">
        <f>IF('CONTROLE CMM'!C336="","",'CONTROLE CMM'!C336)</f>
        <v/>
      </c>
      <c r="G334" s="26">
        <f>IF('CONTROLE CMM'!D336="","",'CONTROLE CMM'!D336)</f>
        <v/>
      </c>
      <c r="H334" s="18">
        <f>IF('CONTROLE GLOBO AÇOS'!B336="","",'CONTROLE GLOBO AÇOS'!B336)</f>
        <v/>
      </c>
      <c r="I334" s="18">
        <f>IF('CONTROLE GLOBO AÇOS'!C336="","",'CONTROLE GLOBO AÇOS'!C336)</f>
        <v/>
      </c>
      <c r="J334" s="18">
        <f>IF('CONTROLE GLOBO AÇOS'!D336="","",'CONTROLE GLOBO AÇOS'!D336)</f>
        <v/>
      </c>
      <c r="AD334" s="39">
        <f>IF($A334="",0,IF(AND(WEEKDAY($A334,2)&lt;=5,OR($B334&lt;&gt;"",$C334&lt;&gt;"",$D334&lt;&gt;"")),1,0))</f>
        <v/>
      </c>
      <c r="AE334" s="39">
        <f>IF($A334="",0,IF(AND(WEEKDAY($A334,2)&lt;=5,OR($E334&lt;&gt;"",$F334&lt;&gt;"",$G334&lt;&gt;"")),1,0))</f>
        <v/>
      </c>
      <c r="AF334" s="39">
        <f>MAX(AD334,AE334)</f>
        <v/>
      </c>
      <c r="AH334" s="223">
        <f>IF('CONTROLE GLOBO AÇOS'!E336="","",'CONTROLE GLOBO AÇOS'!E336)</f>
        <v/>
      </c>
      <c r="AI334" s="223">
        <f>IF('CONTROLE GLOBO AÇOS'!F336="","",'CONTROLE GLOBO AÇOS'!F336)</f>
        <v/>
      </c>
      <c r="AJ334" s="223">
        <f>IF(AND('CONTROLE EJ'!E336="",'CONTROLE CMM'!E336=""),"",N('CONTROLE EJ'!E336)+N('CONTROLE CMM'!E336))</f>
        <v/>
      </c>
      <c r="AK334" s="223">
        <f>IF(AND('CONTROLE EJ'!F336="",'CONTROLE CMM'!F336=""),"",N('CONTROLE EJ'!F336)+N('CONTROLE CMM'!F336))</f>
        <v/>
      </c>
      <c r="AL334" s="223">
        <f>IF(AND('CONTROLE EJ'!G336="",'CONTROLE CMM'!G336=""),"",N('CONTROLE EJ'!G336)+N('CONTROLE CMM'!G336))</f>
        <v/>
      </c>
      <c r="AM334" s="223">
        <f>IF(AND('CONTROLE EJ'!H336="",'CONTROLE CMM'!H336=""),"",N('CONTROLE EJ'!H336)+N('CONTROLE CMM'!H336))</f>
        <v/>
      </c>
      <c r="AN334" s="223">
        <f>IF('CONTROLE GLOBO AÇOS'!G336="","",'CONTROLE GLOBO AÇOS'!G336)</f>
        <v/>
      </c>
      <c r="AO334" s="223">
        <f>IF('CONTROLE GLOBO AÇOS'!H336="","",'CONTROLE GLOBO AÇOS'!H336)</f>
        <v/>
      </c>
      <c r="AP334" s="223">
        <f>IF(AND('CONTROLE EJ'!I336="",'CONTROLE CMM'!I336=""),"",N('CONTROLE EJ'!I336)+N('CONTROLE CMM'!I336))</f>
        <v/>
      </c>
      <c r="AQ334" s="223">
        <f>IF(AND('CONTROLE EJ'!J336="",'CONTROLE CMM'!#REF!=""),"",N('CONTROLE EJ'!J336)+N('CONTROLE CMM'!#REF!))</f>
        <v/>
      </c>
      <c r="AR334" s="223">
        <f>IF('CONTROLE GLOBO AÇOS'!I336="","",'CONTROLE GLOBO AÇOS'!I336)</f>
        <v/>
      </c>
      <c r="AS334" s="223">
        <f>IF('CONTROLE GLOBO AÇOS'!J336="","",'CONTROLE GLOBO AÇOS'!J336)</f>
        <v/>
      </c>
      <c r="AT334" s="223">
        <f>IF(#REF!="","",#REF!)</f>
        <v/>
      </c>
      <c r="AU334" s="223">
        <f>IF('CONTROLE GLOBO AÇOS'!K336="","",'CONTROLE GLOBO AÇOS'!K336)</f>
        <v/>
      </c>
      <c r="AV334" s="223">
        <f>IF(AND('CONTROLE EJ'!K336="",'CONTROLE CMM'!#REF!=""),"",N('CONTROLE EJ'!K336)+N('CONTROLE CMM'!#REF!))</f>
        <v/>
      </c>
      <c r="AW334" s="223">
        <f>IF('CONTROLE GLOBO AÇOS'!L336="","",'CONTROLE GLOBO AÇOS'!L336)</f>
        <v/>
      </c>
      <c r="AX334" s="223">
        <f>IF(AND('CONTROLE EJ'!L336="",'CONTROLE CMM'!#REF!=""),"",N('CONTROLE EJ'!L336)+N('CONTROLE CMM'!#REF!))</f>
        <v/>
      </c>
      <c r="AY334" s="223">
        <f>IF('CONTROLE GLOBO AÇOS'!M336="","",'CONTROLE GLOBO AÇOS'!M336)</f>
        <v/>
      </c>
      <c r="AZ334" s="223">
        <f>IF('CONTROLE GLOBO AÇOS'!N336="","",'CONTROLE GLOBO AÇOS'!N336)</f>
        <v/>
      </c>
      <c r="BA334" s="223">
        <f>IF(AND('CONTROLE EJ'!M336="",'CONTROLE CMM'!#REF!=""),"",N('CONTROLE EJ'!M336)+N('CONTROLE CMM'!#REF!))</f>
        <v/>
      </c>
      <c r="BB334" s="223">
        <f>IF(#REF!="","",#REF!)</f>
        <v/>
      </c>
      <c r="BC334" s="223">
        <f>IF('CONTROLE GLOBO AÇOS'!O336="","",'CONTROLE GLOBO AÇOS'!O336)</f>
        <v/>
      </c>
      <c r="BD334" s="223">
        <f>IF(AND('CONTROLE EJ'!N336="",'CONTROLE CMM'!#REF!=""),"",N('CONTROLE EJ'!N336)+N('CONTROLE CMM'!#REF!))</f>
        <v/>
      </c>
      <c r="BE334" s="223">
        <f>IF('CONTROLE GLOBO AÇOS'!P336="","",'CONTROLE GLOBO AÇOS'!P336)</f>
        <v/>
      </c>
      <c r="BF334" s="223">
        <f>IF('CONTROLE GLOBO AÇOS'!Q336="","",'CONTROLE GLOBO AÇOS'!Q336)</f>
        <v/>
      </c>
      <c r="BG334" s="223">
        <f>IF('CONTROLE GLOBO AÇOS'!R336="","",'CONTROLE GLOBO AÇOS'!R336)</f>
        <v/>
      </c>
      <c r="BH334" s="223">
        <f>IF(AND('CONTROLE EJ'!O336="",'CONTROLE CMM'!#REF!=""),"",N('CONTROLE EJ'!O336)+N('CONTROLE CMM'!#REF!))</f>
        <v/>
      </c>
      <c r="BI334" s="223">
        <f>IF('CONTROLE GLOBO AÇOS'!S336="","",'CONTROLE GLOBO AÇOS'!S336)</f>
        <v/>
      </c>
      <c r="BJ334" s="223">
        <f>IF('CONTROLE GLOBO AÇOS'!T336="","",'CONTROLE GLOBO AÇOS'!T336)</f>
        <v/>
      </c>
      <c r="BK334" s="223">
        <f>IF('CONTROLE GLOBO AÇOS'!U336="","",'CONTROLE GLOBO AÇOS'!U336)</f>
        <v/>
      </c>
      <c r="BL334" s="223">
        <f>IF(AND('CONTROLE EJ'!P336="",'CONTROLE CMM'!#REF!=""),"",N('CONTROLE EJ'!P336)+N('CONTROLE CMM'!#REF!))</f>
        <v/>
      </c>
      <c r="BM334" s="223">
        <f>IF(AND('CONTROLE EJ'!Q336="",'CONTROLE CMM'!#REF!=""),"",N('CONTROLE EJ'!Q336)+N('CONTROLE CMM'!#REF!))</f>
        <v/>
      </c>
      <c r="BN334" s="223">
        <f>IF('CONTROLE GLOBO AÇOS'!V336="","",'CONTROLE GLOBO AÇOS'!V336)</f>
        <v/>
      </c>
      <c r="BO334" s="223">
        <f>IF('CONTROLE GLOBO AÇOS'!W336="","",'CONTROLE GLOBO AÇOS'!W336)</f>
        <v/>
      </c>
      <c r="BP334" s="223">
        <f>IF(AND('CONTROLE EJ'!R336="",'CONTROLE CMM'!#REF!=""),"",N('CONTROLE EJ'!R336)+N('CONTROLE CMM'!#REF!))</f>
        <v/>
      </c>
      <c r="BQ334" s="223">
        <f>IF(#REF!="","",#REF!)</f>
        <v/>
      </c>
      <c r="BR334" s="223">
        <f>IF(AND('CONTROLE EJ'!S336="",'CONTROLE CMM'!#REF!=""),"",N('CONTROLE EJ'!S336)+N('CONTROLE CMM'!#REF!))</f>
        <v/>
      </c>
      <c r="BS334" s="223">
        <f>IF(AND('CONTROLE EJ'!T336="",'CONTROLE CMM'!#REF!=""),"",N('CONTROLE EJ'!T336)+N('CONTROLE CMM'!#REF!))</f>
        <v/>
      </c>
      <c r="BT334" s="223">
        <f>IF('CONTROLE GLOBO AÇOS'!X336="","",'CONTROLE GLOBO AÇOS'!X336)</f>
        <v/>
      </c>
      <c r="BU334" s="223">
        <f>IF('CONTROLE GLOBO AÇOS'!Y336="","",'CONTROLE GLOBO AÇOS'!Y336)</f>
        <v/>
      </c>
      <c r="BV334" s="223">
        <f>IF(AND('CONTROLE EJ'!U336="",'CONTROLE CMM'!#REF!=""),"",N('CONTROLE EJ'!U336)+N('CONTROLE CMM'!#REF!))</f>
        <v/>
      </c>
      <c r="BW334" s="223">
        <f>IF(#REF!="","",#REF!)</f>
        <v/>
      </c>
    </row>
    <row r="335">
      <c r="A335" s="282" t="n">
        <v>46552</v>
      </c>
      <c r="B335" s="18">
        <f>IF('CONTROLE EJ'!B337="","",'CONTROLE EJ'!B337)</f>
        <v/>
      </c>
      <c r="C335" s="18">
        <f>IF('CONTROLE EJ'!C337="","",'CONTROLE EJ'!C337)</f>
        <v/>
      </c>
      <c r="D335" s="26">
        <f>IF('CONTROLE EJ'!D337="","",'CONTROLE EJ'!D337)</f>
        <v/>
      </c>
      <c r="E335" s="43">
        <f>IF('CONTROLE CMM'!B337="","",'CONTROLE CMM'!B337)</f>
        <v/>
      </c>
      <c r="F335" s="18">
        <f>IF('CONTROLE CMM'!C337="","",'CONTROLE CMM'!C337)</f>
        <v/>
      </c>
      <c r="G335" s="26">
        <f>IF('CONTROLE CMM'!D337="","",'CONTROLE CMM'!D337)</f>
        <v/>
      </c>
      <c r="H335" s="18">
        <f>IF('CONTROLE GLOBO AÇOS'!B337="","",'CONTROLE GLOBO AÇOS'!B337)</f>
        <v/>
      </c>
      <c r="I335" s="18">
        <f>IF('CONTROLE GLOBO AÇOS'!C337="","",'CONTROLE GLOBO AÇOS'!C337)</f>
        <v/>
      </c>
      <c r="J335" s="18">
        <f>IF('CONTROLE GLOBO AÇOS'!D337="","",'CONTROLE GLOBO AÇOS'!D337)</f>
        <v/>
      </c>
      <c r="AD335" s="39">
        <f>IF($A335="",0,IF(AND(WEEKDAY($A335,2)&lt;=5,OR($B335&lt;&gt;"",$C335&lt;&gt;"",$D335&lt;&gt;"")),1,0))</f>
        <v/>
      </c>
      <c r="AE335" s="39">
        <f>IF($A335="",0,IF(AND(WEEKDAY($A335,2)&lt;=5,OR($E335&lt;&gt;"",$F335&lt;&gt;"",$G335&lt;&gt;"")),1,0))</f>
        <v/>
      </c>
      <c r="AF335" s="39">
        <f>MAX(AD335,AE335)</f>
        <v/>
      </c>
      <c r="AH335" s="223">
        <f>IF('CONTROLE GLOBO AÇOS'!E337="","",'CONTROLE GLOBO AÇOS'!E337)</f>
        <v/>
      </c>
      <c r="AI335" s="223">
        <f>IF('CONTROLE GLOBO AÇOS'!F337="","",'CONTROLE GLOBO AÇOS'!F337)</f>
        <v/>
      </c>
      <c r="AJ335" s="223">
        <f>IF(AND('CONTROLE EJ'!E337="",'CONTROLE CMM'!E337=""),"",N('CONTROLE EJ'!E337)+N('CONTROLE CMM'!E337))</f>
        <v/>
      </c>
      <c r="AK335" s="223">
        <f>IF(AND('CONTROLE EJ'!F337="",'CONTROLE CMM'!F337=""),"",N('CONTROLE EJ'!F337)+N('CONTROLE CMM'!F337))</f>
        <v/>
      </c>
      <c r="AL335" s="223">
        <f>IF(AND('CONTROLE EJ'!G337="",'CONTROLE CMM'!G337=""),"",N('CONTROLE EJ'!G337)+N('CONTROLE CMM'!G337))</f>
        <v/>
      </c>
      <c r="AM335" s="223">
        <f>IF(AND('CONTROLE EJ'!H337="",'CONTROLE CMM'!H337=""),"",N('CONTROLE EJ'!H337)+N('CONTROLE CMM'!H337))</f>
        <v/>
      </c>
      <c r="AN335" s="223">
        <f>IF('CONTROLE GLOBO AÇOS'!G337="","",'CONTROLE GLOBO AÇOS'!G337)</f>
        <v/>
      </c>
      <c r="AO335" s="223">
        <f>IF('CONTROLE GLOBO AÇOS'!H337="","",'CONTROLE GLOBO AÇOS'!H337)</f>
        <v/>
      </c>
      <c r="AP335" s="223">
        <f>IF(AND('CONTROLE EJ'!I337="",'CONTROLE CMM'!I337=""),"",N('CONTROLE EJ'!I337)+N('CONTROLE CMM'!I337))</f>
        <v/>
      </c>
      <c r="AQ335" s="223">
        <f>IF(AND('CONTROLE EJ'!J337="",'CONTROLE CMM'!#REF!=""),"",N('CONTROLE EJ'!J337)+N('CONTROLE CMM'!#REF!))</f>
        <v/>
      </c>
      <c r="AR335" s="223">
        <f>IF('CONTROLE GLOBO AÇOS'!I337="","",'CONTROLE GLOBO AÇOS'!I337)</f>
        <v/>
      </c>
      <c r="AS335" s="223">
        <f>IF('CONTROLE GLOBO AÇOS'!J337="","",'CONTROLE GLOBO AÇOS'!J337)</f>
        <v/>
      </c>
      <c r="AT335" s="223">
        <f>IF(#REF!="","",#REF!)</f>
        <v/>
      </c>
      <c r="AU335" s="223">
        <f>IF('CONTROLE GLOBO AÇOS'!K337="","",'CONTROLE GLOBO AÇOS'!K337)</f>
        <v/>
      </c>
      <c r="AV335" s="223">
        <f>IF(AND('CONTROLE EJ'!K337="",'CONTROLE CMM'!#REF!=""),"",N('CONTROLE EJ'!K337)+N('CONTROLE CMM'!#REF!))</f>
        <v/>
      </c>
      <c r="AW335" s="223">
        <f>IF('CONTROLE GLOBO AÇOS'!L337="","",'CONTROLE GLOBO AÇOS'!L337)</f>
        <v/>
      </c>
      <c r="AX335" s="223">
        <f>IF(AND('CONTROLE EJ'!L337="",'CONTROLE CMM'!#REF!=""),"",N('CONTROLE EJ'!L337)+N('CONTROLE CMM'!#REF!))</f>
        <v/>
      </c>
      <c r="AY335" s="223">
        <f>IF('CONTROLE GLOBO AÇOS'!M337="","",'CONTROLE GLOBO AÇOS'!M337)</f>
        <v/>
      </c>
      <c r="AZ335" s="223">
        <f>IF('CONTROLE GLOBO AÇOS'!N337="","",'CONTROLE GLOBO AÇOS'!N337)</f>
        <v/>
      </c>
      <c r="BA335" s="223">
        <f>IF(AND('CONTROLE EJ'!M337="",'CONTROLE CMM'!#REF!=""),"",N('CONTROLE EJ'!M337)+N('CONTROLE CMM'!#REF!))</f>
        <v/>
      </c>
      <c r="BB335" s="223">
        <f>IF(#REF!="","",#REF!)</f>
        <v/>
      </c>
      <c r="BC335" s="223">
        <f>IF('CONTROLE GLOBO AÇOS'!O337="","",'CONTROLE GLOBO AÇOS'!O337)</f>
        <v/>
      </c>
      <c r="BD335" s="223">
        <f>IF(AND('CONTROLE EJ'!N337="",'CONTROLE CMM'!#REF!=""),"",N('CONTROLE EJ'!N337)+N('CONTROLE CMM'!#REF!))</f>
        <v/>
      </c>
      <c r="BE335" s="223">
        <f>IF('CONTROLE GLOBO AÇOS'!P337="","",'CONTROLE GLOBO AÇOS'!P337)</f>
        <v/>
      </c>
      <c r="BF335" s="223">
        <f>IF('CONTROLE GLOBO AÇOS'!Q337="","",'CONTROLE GLOBO AÇOS'!Q337)</f>
        <v/>
      </c>
      <c r="BG335" s="223">
        <f>IF('CONTROLE GLOBO AÇOS'!R337="","",'CONTROLE GLOBO AÇOS'!R337)</f>
        <v/>
      </c>
      <c r="BH335" s="223">
        <f>IF(AND('CONTROLE EJ'!O337="",'CONTROLE CMM'!#REF!=""),"",N('CONTROLE EJ'!O337)+N('CONTROLE CMM'!#REF!))</f>
        <v/>
      </c>
      <c r="BI335" s="223">
        <f>IF('CONTROLE GLOBO AÇOS'!S337="","",'CONTROLE GLOBO AÇOS'!S337)</f>
        <v/>
      </c>
      <c r="BJ335" s="223">
        <f>IF('CONTROLE GLOBO AÇOS'!T337="","",'CONTROLE GLOBO AÇOS'!T337)</f>
        <v/>
      </c>
      <c r="BK335" s="223">
        <f>IF('CONTROLE GLOBO AÇOS'!U337="","",'CONTROLE GLOBO AÇOS'!U337)</f>
        <v/>
      </c>
      <c r="BL335" s="223">
        <f>IF(AND('CONTROLE EJ'!P337="",'CONTROLE CMM'!#REF!=""),"",N('CONTROLE EJ'!P337)+N('CONTROLE CMM'!#REF!))</f>
        <v/>
      </c>
      <c r="BM335" s="223">
        <f>IF(AND('CONTROLE EJ'!Q337="",'CONTROLE CMM'!#REF!=""),"",N('CONTROLE EJ'!Q337)+N('CONTROLE CMM'!#REF!))</f>
        <v/>
      </c>
      <c r="BN335" s="223">
        <f>IF('CONTROLE GLOBO AÇOS'!V337="","",'CONTROLE GLOBO AÇOS'!V337)</f>
        <v/>
      </c>
      <c r="BO335" s="223">
        <f>IF('CONTROLE GLOBO AÇOS'!W337="","",'CONTROLE GLOBO AÇOS'!W337)</f>
        <v/>
      </c>
      <c r="BP335" s="223">
        <f>IF(AND('CONTROLE EJ'!R337="",'CONTROLE CMM'!#REF!=""),"",N('CONTROLE EJ'!R337)+N('CONTROLE CMM'!#REF!))</f>
        <v/>
      </c>
      <c r="BQ335" s="223">
        <f>IF(#REF!="","",#REF!)</f>
        <v/>
      </c>
      <c r="BR335" s="223">
        <f>IF(AND('CONTROLE EJ'!S337="",'CONTROLE CMM'!#REF!=""),"",N('CONTROLE EJ'!S337)+N('CONTROLE CMM'!#REF!))</f>
        <v/>
      </c>
      <c r="BS335" s="223">
        <f>IF(AND('CONTROLE EJ'!T337="",'CONTROLE CMM'!#REF!=""),"",N('CONTROLE EJ'!T337)+N('CONTROLE CMM'!#REF!))</f>
        <v/>
      </c>
      <c r="BT335" s="223">
        <f>IF('CONTROLE GLOBO AÇOS'!X337="","",'CONTROLE GLOBO AÇOS'!X337)</f>
        <v/>
      </c>
      <c r="BU335" s="223">
        <f>IF('CONTROLE GLOBO AÇOS'!Y337="","",'CONTROLE GLOBO AÇOS'!Y337)</f>
        <v/>
      </c>
      <c r="BV335" s="223">
        <f>IF(AND('CONTROLE EJ'!U337="",'CONTROLE CMM'!#REF!=""),"",N('CONTROLE EJ'!U337)+N('CONTROLE CMM'!#REF!))</f>
        <v/>
      </c>
      <c r="BW335" s="223">
        <f>IF(#REF!="","",#REF!)</f>
        <v/>
      </c>
    </row>
    <row r="336">
      <c r="A336" s="282" t="n">
        <v>46553</v>
      </c>
      <c r="B336" s="18">
        <f>IF('CONTROLE EJ'!B338="","",'CONTROLE EJ'!B338)</f>
        <v/>
      </c>
      <c r="C336" s="18">
        <f>IF('CONTROLE EJ'!C338="","",'CONTROLE EJ'!C338)</f>
        <v/>
      </c>
      <c r="D336" s="26">
        <f>IF('CONTROLE EJ'!D338="","",'CONTROLE EJ'!D338)</f>
        <v/>
      </c>
      <c r="E336" s="43">
        <f>IF('CONTROLE CMM'!B338="","",'CONTROLE CMM'!B338)</f>
        <v/>
      </c>
      <c r="F336" s="18">
        <f>IF('CONTROLE CMM'!C338="","",'CONTROLE CMM'!C338)</f>
        <v/>
      </c>
      <c r="G336" s="26">
        <f>IF('CONTROLE CMM'!D338="","",'CONTROLE CMM'!D338)</f>
        <v/>
      </c>
      <c r="H336" s="18">
        <f>IF('CONTROLE GLOBO AÇOS'!B338="","",'CONTROLE GLOBO AÇOS'!B338)</f>
        <v/>
      </c>
      <c r="I336" s="18">
        <f>IF('CONTROLE GLOBO AÇOS'!C338="","",'CONTROLE GLOBO AÇOS'!C338)</f>
        <v/>
      </c>
      <c r="J336" s="18">
        <f>IF('CONTROLE GLOBO AÇOS'!D338="","",'CONTROLE GLOBO AÇOS'!D338)</f>
        <v/>
      </c>
      <c r="AD336" s="39">
        <f>IF($A336="",0,IF(AND(WEEKDAY($A336,2)&lt;=5,OR($B336&lt;&gt;"",$C336&lt;&gt;"",$D336&lt;&gt;"")),1,0))</f>
        <v/>
      </c>
      <c r="AE336" s="39">
        <f>IF($A336="",0,IF(AND(WEEKDAY($A336,2)&lt;=5,OR($E336&lt;&gt;"",$F336&lt;&gt;"",$G336&lt;&gt;"")),1,0))</f>
        <v/>
      </c>
      <c r="AF336" s="39">
        <f>MAX(AD336,AE336)</f>
        <v/>
      </c>
      <c r="AH336" s="223">
        <f>IF('CONTROLE GLOBO AÇOS'!E338="","",'CONTROLE GLOBO AÇOS'!E338)</f>
        <v/>
      </c>
      <c r="AI336" s="223">
        <f>IF('CONTROLE GLOBO AÇOS'!F338="","",'CONTROLE GLOBO AÇOS'!F338)</f>
        <v/>
      </c>
      <c r="AJ336" s="223">
        <f>IF(AND('CONTROLE EJ'!E338="",'CONTROLE CMM'!E338=""),"",N('CONTROLE EJ'!E338)+N('CONTROLE CMM'!E338))</f>
        <v/>
      </c>
      <c r="AK336" s="223">
        <f>IF(AND('CONTROLE EJ'!F338="",'CONTROLE CMM'!F338=""),"",N('CONTROLE EJ'!F338)+N('CONTROLE CMM'!F338))</f>
        <v/>
      </c>
      <c r="AL336" s="223">
        <f>IF(AND('CONTROLE EJ'!G338="",'CONTROLE CMM'!G338=""),"",N('CONTROLE EJ'!G338)+N('CONTROLE CMM'!G338))</f>
        <v/>
      </c>
      <c r="AM336" s="223">
        <f>IF(AND('CONTROLE EJ'!H338="",'CONTROLE CMM'!H338=""),"",N('CONTROLE EJ'!H338)+N('CONTROLE CMM'!H338))</f>
        <v/>
      </c>
      <c r="AN336" s="223">
        <f>IF('CONTROLE GLOBO AÇOS'!G338="","",'CONTROLE GLOBO AÇOS'!G338)</f>
        <v/>
      </c>
      <c r="AO336" s="223">
        <f>IF('CONTROLE GLOBO AÇOS'!H338="","",'CONTROLE GLOBO AÇOS'!H338)</f>
        <v/>
      </c>
      <c r="AP336" s="223">
        <f>IF(AND('CONTROLE EJ'!I338="",'CONTROLE CMM'!I338=""),"",N('CONTROLE EJ'!I338)+N('CONTROLE CMM'!I338))</f>
        <v/>
      </c>
      <c r="AQ336" s="223">
        <f>IF(AND('CONTROLE EJ'!J338="",'CONTROLE CMM'!#REF!=""),"",N('CONTROLE EJ'!J338)+N('CONTROLE CMM'!#REF!))</f>
        <v/>
      </c>
      <c r="AR336" s="223">
        <f>IF('CONTROLE GLOBO AÇOS'!I338="","",'CONTROLE GLOBO AÇOS'!I338)</f>
        <v/>
      </c>
      <c r="AS336" s="223">
        <f>IF('CONTROLE GLOBO AÇOS'!J338="","",'CONTROLE GLOBO AÇOS'!J338)</f>
        <v/>
      </c>
      <c r="AT336" s="223">
        <f>IF(#REF!="","",#REF!)</f>
        <v/>
      </c>
      <c r="AU336" s="223">
        <f>IF('CONTROLE GLOBO AÇOS'!K338="","",'CONTROLE GLOBO AÇOS'!K338)</f>
        <v/>
      </c>
      <c r="AV336" s="223">
        <f>IF(AND('CONTROLE EJ'!K338="",'CONTROLE CMM'!#REF!=""),"",N('CONTROLE EJ'!K338)+N('CONTROLE CMM'!#REF!))</f>
        <v/>
      </c>
      <c r="AW336" s="223">
        <f>IF('CONTROLE GLOBO AÇOS'!L338="","",'CONTROLE GLOBO AÇOS'!L338)</f>
        <v/>
      </c>
      <c r="AX336" s="223">
        <f>IF(AND('CONTROLE EJ'!L338="",'CONTROLE CMM'!#REF!=""),"",N('CONTROLE EJ'!L338)+N('CONTROLE CMM'!#REF!))</f>
        <v/>
      </c>
      <c r="AY336" s="223">
        <f>IF('CONTROLE GLOBO AÇOS'!M338="","",'CONTROLE GLOBO AÇOS'!M338)</f>
        <v/>
      </c>
      <c r="AZ336" s="223">
        <f>IF('CONTROLE GLOBO AÇOS'!N338="","",'CONTROLE GLOBO AÇOS'!N338)</f>
        <v/>
      </c>
      <c r="BA336" s="223">
        <f>IF(AND('CONTROLE EJ'!M338="",'CONTROLE CMM'!#REF!=""),"",N('CONTROLE EJ'!M338)+N('CONTROLE CMM'!#REF!))</f>
        <v/>
      </c>
      <c r="BB336" s="223">
        <f>IF(#REF!="","",#REF!)</f>
        <v/>
      </c>
      <c r="BC336" s="223">
        <f>IF('CONTROLE GLOBO AÇOS'!O338="","",'CONTROLE GLOBO AÇOS'!O338)</f>
        <v/>
      </c>
      <c r="BD336" s="223">
        <f>IF(AND('CONTROLE EJ'!N338="",'CONTROLE CMM'!#REF!=""),"",N('CONTROLE EJ'!N338)+N('CONTROLE CMM'!#REF!))</f>
        <v/>
      </c>
      <c r="BE336" s="223">
        <f>IF('CONTROLE GLOBO AÇOS'!P338="","",'CONTROLE GLOBO AÇOS'!P338)</f>
        <v/>
      </c>
      <c r="BF336" s="223">
        <f>IF('CONTROLE GLOBO AÇOS'!Q338="","",'CONTROLE GLOBO AÇOS'!Q338)</f>
        <v/>
      </c>
      <c r="BG336" s="223">
        <f>IF('CONTROLE GLOBO AÇOS'!R338="","",'CONTROLE GLOBO AÇOS'!R338)</f>
        <v/>
      </c>
      <c r="BH336" s="223">
        <f>IF(AND('CONTROLE EJ'!O338="",'CONTROLE CMM'!#REF!=""),"",N('CONTROLE EJ'!O338)+N('CONTROLE CMM'!#REF!))</f>
        <v/>
      </c>
      <c r="BI336" s="223">
        <f>IF('CONTROLE GLOBO AÇOS'!S338="","",'CONTROLE GLOBO AÇOS'!S338)</f>
        <v/>
      </c>
      <c r="BJ336" s="223">
        <f>IF('CONTROLE GLOBO AÇOS'!T338="","",'CONTROLE GLOBO AÇOS'!T338)</f>
        <v/>
      </c>
      <c r="BK336" s="223">
        <f>IF('CONTROLE GLOBO AÇOS'!U338="","",'CONTROLE GLOBO AÇOS'!U338)</f>
        <v/>
      </c>
      <c r="BL336" s="223">
        <f>IF(AND('CONTROLE EJ'!P338="",'CONTROLE CMM'!#REF!=""),"",N('CONTROLE EJ'!P338)+N('CONTROLE CMM'!#REF!))</f>
        <v/>
      </c>
      <c r="BM336" s="223">
        <f>IF(AND('CONTROLE EJ'!Q338="",'CONTROLE CMM'!#REF!=""),"",N('CONTROLE EJ'!Q338)+N('CONTROLE CMM'!#REF!))</f>
        <v/>
      </c>
      <c r="BN336" s="223">
        <f>IF('CONTROLE GLOBO AÇOS'!V338="","",'CONTROLE GLOBO AÇOS'!V338)</f>
        <v/>
      </c>
      <c r="BO336" s="223">
        <f>IF('CONTROLE GLOBO AÇOS'!W338="","",'CONTROLE GLOBO AÇOS'!W338)</f>
        <v/>
      </c>
      <c r="BP336" s="223">
        <f>IF(AND('CONTROLE EJ'!R338="",'CONTROLE CMM'!#REF!=""),"",N('CONTROLE EJ'!R338)+N('CONTROLE CMM'!#REF!))</f>
        <v/>
      </c>
      <c r="BQ336" s="223">
        <f>IF(#REF!="","",#REF!)</f>
        <v/>
      </c>
      <c r="BR336" s="223">
        <f>IF(AND('CONTROLE EJ'!S338="",'CONTROLE CMM'!#REF!=""),"",N('CONTROLE EJ'!S338)+N('CONTROLE CMM'!#REF!))</f>
        <v/>
      </c>
      <c r="BS336" s="223">
        <f>IF(AND('CONTROLE EJ'!T338="",'CONTROLE CMM'!#REF!=""),"",N('CONTROLE EJ'!T338)+N('CONTROLE CMM'!#REF!))</f>
        <v/>
      </c>
      <c r="BT336" s="223">
        <f>IF('CONTROLE GLOBO AÇOS'!X338="","",'CONTROLE GLOBO AÇOS'!X338)</f>
        <v/>
      </c>
      <c r="BU336" s="223">
        <f>IF('CONTROLE GLOBO AÇOS'!Y338="","",'CONTROLE GLOBO AÇOS'!Y338)</f>
        <v/>
      </c>
      <c r="BV336" s="223">
        <f>IF(AND('CONTROLE EJ'!U338="",'CONTROLE CMM'!#REF!=""),"",N('CONTROLE EJ'!U338)+N('CONTROLE CMM'!#REF!))</f>
        <v/>
      </c>
      <c r="BW336" s="223">
        <f>IF(#REF!="","",#REF!)</f>
        <v/>
      </c>
    </row>
    <row r="337">
      <c r="A337" s="282" t="n">
        <v>46554</v>
      </c>
      <c r="B337" s="18">
        <f>IF('CONTROLE EJ'!B339="","",'CONTROLE EJ'!B339)</f>
        <v/>
      </c>
      <c r="C337" s="18">
        <f>IF('CONTROLE EJ'!C339="","",'CONTROLE EJ'!C339)</f>
        <v/>
      </c>
      <c r="D337" s="26">
        <f>IF('CONTROLE EJ'!D339="","",'CONTROLE EJ'!D339)</f>
        <v/>
      </c>
      <c r="E337" s="43">
        <f>IF('CONTROLE CMM'!B339="","",'CONTROLE CMM'!B339)</f>
        <v/>
      </c>
      <c r="F337" s="18">
        <f>IF('CONTROLE CMM'!C339="","",'CONTROLE CMM'!C339)</f>
        <v/>
      </c>
      <c r="G337" s="26">
        <f>IF('CONTROLE CMM'!D339="","",'CONTROLE CMM'!D339)</f>
        <v/>
      </c>
      <c r="H337" s="18">
        <f>IF('CONTROLE GLOBO AÇOS'!B339="","",'CONTROLE GLOBO AÇOS'!B339)</f>
        <v/>
      </c>
      <c r="I337" s="18">
        <f>IF('CONTROLE GLOBO AÇOS'!C339="","",'CONTROLE GLOBO AÇOS'!C339)</f>
        <v/>
      </c>
      <c r="J337" s="18">
        <f>IF('CONTROLE GLOBO AÇOS'!D339="","",'CONTROLE GLOBO AÇOS'!D339)</f>
        <v/>
      </c>
      <c r="AD337" s="39">
        <f>IF($A337="",0,IF(AND(WEEKDAY($A337,2)&lt;=5,OR($B337&lt;&gt;"",$C337&lt;&gt;"",$D337&lt;&gt;"")),1,0))</f>
        <v/>
      </c>
      <c r="AE337" s="39">
        <f>IF($A337="",0,IF(AND(WEEKDAY($A337,2)&lt;=5,OR($E337&lt;&gt;"",$F337&lt;&gt;"",$G337&lt;&gt;"")),1,0))</f>
        <v/>
      </c>
      <c r="AF337" s="39">
        <f>MAX(AD337,AE337)</f>
        <v/>
      </c>
      <c r="AH337" s="223">
        <f>IF('CONTROLE GLOBO AÇOS'!E339="","",'CONTROLE GLOBO AÇOS'!E339)</f>
        <v/>
      </c>
      <c r="AI337" s="223">
        <f>IF('CONTROLE GLOBO AÇOS'!F339="","",'CONTROLE GLOBO AÇOS'!F339)</f>
        <v/>
      </c>
      <c r="AJ337" s="223">
        <f>IF(AND('CONTROLE EJ'!E339="",'CONTROLE CMM'!E339=""),"",N('CONTROLE EJ'!E339)+N('CONTROLE CMM'!E339))</f>
        <v/>
      </c>
      <c r="AK337" s="223">
        <f>IF(AND('CONTROLE EJ'!F339="",'CONTROLE CMM'!F339=""),"",N('CONTROLE EJ'!F339)+N('CONTROLE CMM'!F339))</f>
        <v/>
      </c>
      <c r="AL337" s="223">
        <f>IF(AND('CONTROLE EJ'!G339="",'CONTROLE CMM'!G339=""),"",N('CONTROLE EJ'!G339)+N('CONTROLE CMM'!G339))</f>
        <v/>
      </c>
      <c r="AM337" s="223">
        <f>IF(AND('CONTROLE EJ'!H339="",'CONTROLE CMM'!H339=""),"",N('CONTROLE EJ'!H339)+N('CONTROLE CMM'!H339))</f>
        <v/>
      </c>
      <c r="AN337" s="223">
        <f>IF('CONTROLE GLOBO AÇOS'!G339="","",'CONTROLE GLOBO AÇOS'!G339)</f>
        <v/>
      </c>
      <c r="AO337" s="223">
        <f>IF('CONTROLE GLOBO AÇOS'!H339="","",'CONTROLE GLOBO AÇOS'!H339)</f>
        <v/>
      </c>
      <c r="AP337" s="223">
        <f>IF(AND('CONTROLE EJ'!I339="",'CONTROLE CMM'!I339=""),"",N('CONTROLE EJ'!I339)+N('CONTROLE CMM'!I339))</f>
        <v/>
      </c>
      <c r="AQ337" s="223">
        <f>IF(AND('CONTROLE EJ'!J339="",'CONTROLE CMM'!#REF!=""),"",N('CONTROLE EJ'!J339)+N('CONTROLE CMM'!#REF!))</f>
        <v/>
      </c>
      <c r="AR337" s="223">
        <f>IF('CONTROLE GLOBO AÇOS'!I339="","",'CONTROLE GLOBO AÇOS'!I339)</f>
        <v/>
      </c>
      <c r="AS337" s="223">
        <f>IF('CONTROLE GLOBO AÇOS'!J339="","",'CONTROLE GLOBO AÇOS'!J339)</f>
        <v/>
      </c>
      <c r="AT337" s="223">
        <f>IF(#REF!="","",#REF!)</f>
        <v/>
      </c>
      <c r="AU337" s="223">
        <f>IF('CONTROLE GLOBO AÇOS'!K339="","",'CONTROLE GLOBO AÇOS'!K339)</f>
        <v/>
      </c>
      <c r="AV337" s="223">
        <f>IF(AND('CONTROLE EJ'!K339="",'CONTROLE CMM'!#REF!=""),"",N('CONTROLE EJ'!K339)+N('CONTROLE CMM'!#REF!))</f>
        <v/>
      </c>
      <c r="AW337" s="223">
        <f>IF('CONTROLE GLOBO AÇOS'!L339="","",'CONTROLE GLOBO AÇOS'!L339)</f>
        <v/>
      </c>
      <c r="AX337" s="223">
        <f>IF(AND('CONTROLE EJ'!L339="",'CONTROLE CMM'!#REF!=""),"",N('CONTROLE EJ'!L339)+N('CONTROLE CMM'!#REF!))</f>
        <v/>
      </c>
      <c r="AY337" s="223">
        <f>IF('CONTROLE GLOBO AÇOS'!M339="","",'CONTROLE GLOBO AÇOS'!M339)</f>
        <v/>
      </c>
      <c r="AZ337" s="223">
        <f>IF('CONTROLE GLOBO AÇOS'!N339="","",'CONTROLE GLOBO AÇOS'!N339)</f>
        <v/>
      </c>
      <c r="BA337" s="223">
        <f>IF(AND('CONTROLE EJ'!M339="",'CONTROLE CMM'!#REF!=""),"",N('CONTROLE EJ'!M339)+N('CONTROLE CMM'!#REF!))</f>
        <v/>
      </c>
      <c r="BB337" s="223">
        <f>IF(#REF!="","",#REF!)</f>
        <v/>
      </c>
      <c r="BC337" s="223">
        <f>IF('CONTROLE GLOBO AÇOS'!O339="","",'CONTROLE GLOBO AÇOS'!O339)</f>
        <v/>
      </c>
      <c r="BD337" s="223">
        <f>IF(AND('CONTROLE EJ'!N339="",'CONTROLE CMM'!#REF!=""),"",N('CONTROLE EJ'!N339)+N('CONTROLE CMM'!#REF!))</f>
        <v/>
      </c>
      <c r="BE337" s="223">
        <f>IF('CONTROLE GLOBO AÇOS'!P339="","",'CONTROLE GLOBO AÇOS'!P339)</f>
        <v/>
      </c>
      <c r="BF337" s="223">
        <f>IF('CONTROLE GLOBO AÇOS'!Q339="","",'CONTROLE GLOBO AÇOS'!Q339)</f>
        <v/>
      </c>
      <c r="BG337" s="223">
        <f>IF('CONTROLE GLOBO AÇOS'!R339="","",'CONTROLE GLOBO AÇOS'!R339)</f>
        <v/>
      </c>
      <c r="BH337" s="223">
        <f>IF(AND('CONTROLE EJ'!O339="",'CONTROLE CMM'!#REF!=""),"",N('CONTROLE EJ'!O339)+N('CONTROLE CMM'!#REF!))</f>
        <v/>
      </c>
      <c r="BI337" s="223">
        <f>IF('CONTROLE GLOBO AÇOS'!S339="","",'CONTROLE GLOBO AÇOS'!S339)</f>
        <v/>
      </c>
      <c r="BJ337" s="223">
        <f>IF('CONTROLE GLOBO AÇOS'!T339="","",'CONTROLE GLOBO AÇOS'!T339)</f>
        <v/>
      </c>
      <c r="BK337" s="223">
        <f>IF('CONTROLE GLOBO AÇOS'!U339="","",'CONTROLE GLOBO AÇOS'!U339)</f>
        <v/>
      </c>
      <c r="BL337" s="223">
        <f>IF(AND('CONTROLE EJ'!P339="",'CONTROLE CMM'!#REF!=""),"",N('CONTROLE EJ'!P339)+N('CONTROLE CMM'!#REF!))</f>
        <v/>
      </c>
      <c r="BM337" s="223">
        <f>IF(AND('CONTROLE EJ'!Q339="",'CONTROLE CMM'!#REF!=""),"",N('CONTROLE EJ'!Q339)+N('CONTROLE CMM'!#REF!))</f>
        <v/>
      </c>
      <c r="BN337" s="223">
        <f>IF('CONTROLE GLOBO AÇOS'!V339="","",'CONTROLE GLOBO AÇOS'!V339)</f>
        <v/>
      </c>
      <c r="BO337" s="223">
        <f>IF('CONTROLE GLOBO AÇOS'!W339="","",'CONTROLE GLOBO AÇOS'!W339)</f>
        <v/>
      </c>
      <c r="BP337" s="223">
        <f>IF(AND('CONTROLE EJ'!R339="",'CONTROLE CMM'!#REF!=""),"",N('CONTROLE EJ'!R339)+N('CONTROLE CMM'!#REF!))</f>
        <v/>
      </c>
      <c r="BQ337" s="223">
        <f>IF(#REF!="","",#REF!)</f>
        <v/>
      </c>
      <c r="BR337" s="223">
        <f>IF(AND('CONTROLE EJ'!S339="",'CONTROLE CMM'!#REF!=""),"",N('CONTROLE EJ'!S339)+N('CONTROLE CMM'!#REF!))</f>
        <v/>
      </c>
      <c r="BS337" s="223">
        <f>IF(AND('CONTROLE EJ'!T339="",'CONTROLE CMM'!#REF!=""),"",N('CONTROLE EJ'!T339)+N('CONTROLE CMM'!#REF!))</f>
        <v/>
      </c>
      <c r="BT337" s="223">
        <f>IF('CONTROLE GLOBO AÇOS'!X339="","",'CONTROLE GLOBO AÇOS'!X339)</f>
        <v/>
      </c>
      <c r="BU337" s="223">
        <f>IF('CONTROLE GLOBO AÇOS'!Y339="","",'CONTROLE GLOBO AÇOS'!Y339)</f>
        <v/>
      </c>
      <c r="BV337" s="223">
        <f>IF(AND('CONTROLE EJ'!U339="",'CONTROLE CMM'!#REF!=""),"",N('CONTROLE EJ'!U339)+N('CONTROLE CMM'!#REF!))</f>
        <v/>
      </c>
      <c r="BW337" s="223">
        <f>IF(#REF!="","",#REF!)</f>
        <v/>
      </c>
    </row>
    <row r="338">
      <c r="A338" s="282" t="n">
        <v>46555</v>
      </c>
      <c r="B338" s="18">
        <f>IF('CONTROLE EJ'!B340="","",'CONTROLE EJ'!B340)</f>
        <v/>
      </c>
      <c r="C338" s="18">
        <f>IF('CONTROLE EJ'!C340="","",'CONTROLE EJ'!C340)</f>
        <v/>
      </c>
      <c r="D338" s="26">
        <f>IF('CONTROLE EJ'!D340="","",'CONTROLE EJ'!D340)</f>
        <v/>
      </c>
      <c r="E338" s="43">
        <f>IF('CONTROLE CMM'!B340="","",'CONTROLE CMM'!B340)</f>
        <v/>
      </c>
      <c r="F338" s="18">
        <f>IF('CONTROLE CMM'!C340="","",'CONTROLE CMM'!C340)</f>
        <v/>
      </c>
      <c r="G338" s="26">
        <f>IF('CONTROLE CMM'!D340="","",'CONTROLE CMM'!D340)</f>
        <v/>
      </c>
      <c r="H338" s="18">
        <f>IF('CONTROLE GLOBO AÇOS'!B340="","",'CONTROLE GLOBO AÇOS'!B340)</f>
        <v/>
      </c>
      <c r="I338" s="18">
        <f>IF('CONTROLE GLOBO AÇOS'!C340="","",'CONTROLE GLOBO AÇOS'!C340)</f>
        <v/>
      </c>
      <c r="J338" s="18">
        <f>IF('CONTROLE GLOBO AÇOS'!D340="","",'CONTROLE GLOBO AÇOS'!D340)</f>
        <v/>
      </c>
      <c r="AD338" s="39">
        <f>IF($A338="",0,IF(AND(WEEKDAY($A338,2)&lt;=5,OR($B338&lt;&gt;"",$C338&lt;&gt;"",$D338&lt;&gt;"")),1,0))</f>
        <v/>
      </c>
      <c r="AE338" s="39">
        <f>IF($A338="",0,IF(AND(WEEKDAY($A338,2)&lt;=5,OR($E338&lt;&gt;"",$F338&lt;&gt;"",$G338&lt;&gt;"")),1,0))</f>
        <v/>
      </c>
      <c r="AF338" s="39">
        <f>MAX(AD338,AE338)</f>
        <v/>
      </c>
      <c r="AH338" s="223">
        <f>IF('CONTROLE GLOBO AÇOS'!E340="","",'CONTROLE GLOBO AÇOS'!E340)</f>
        <v/>
      </c>
      <c r="AI338" s="223">
        <f>IF('CONTROLE GLOBO AÇOS'!F340="","",'CONTROLE GLOBO AÇOS'!F340)</f>
        <v/>
      </c>
      <c r="AJ338" s="223">
        <f>IF(AND('CONTROLE EJ'!E340="",'CONTROLE CMM'!E340=""),"",N('CONTROLE EJ'!E340)+N('CONTROLE CMM'!E340))</f>
        <v/>
      </c>
      <c r="AK338" s="223">
        <f>IF(AND('CONTROLE EJ'!F340="",'CONTROLE CMM'!F340=""),"",N('CONTROLE EJ'!F340)+N('CONTROLE CMM'!F340))</f>
        <v/>
      </c>
      <c r="AL338" s="223">
        <f>IF(AND('CONTROLE EJ'!G340="",'CONTROLE CMM'!G340=""),"",N('CONTROLE EJ'!G340)+N('CONTROLE CMM'!G340))</f>
        <v/>
      </c>
      <c r="AM338" s="223">
        <f>IF(AND('CONTROLE EJ'!H340="",'CONTROLE CMM'!H340=""),"",N('CONTROLE EJ'!H340)+N('CONTROLE CMM'!H340))</f>
        <v/>
      </c>
      <c r="AN338" s="223">
        <f>IF('CONTROLE GLOBO AÇOS'!G340="","",'CONTROLE GLOBO AÇOS'!G340)</f>
        <v/>
      </c>
      <c r="AO338" s="223">
        <f>IF('CONTROLE GLOBO AÇOS'!H340="","",'CONTROLE GLOBO AÇOS'!H340)</f>
        <v/>
      </c>
      <c r="AP338" s="223">
        <f>IF(AND('CONTROLE EJ'!I340="",'CONTROLE CMM'!I340=""),"",N('CONTROLE EJ'!I340)+N('CONTROLE CMM'!I340))</f>
        <v/>
      </c>
      <c r="AQ338" s="223">
        <f>IF(AND('CONTROLE EJ'!J340="",'CONTROLE CMM'!#REF!=""),"",N('CONTROLE EJ'!J340)+N('CONTROLE CMM'!#REF!))</f>
        <v/>
      </c>
      <c r="AR338" s="223">
        <f>IF('CONTROLE GLOBO AÇOS'!I340="","",'CONTROLE GLOBO AÇOS'!I340)</f>
        <v/>
      </c>
      <c r="AS338" s="223">
        <f>IF('CONTROLE GLOBO AÇOS'!J340="","",'CONTROLE GLOBO AÇOS'!J340)</f>
        <v/>
      </c>
      <c r="AT338" s="223">
        <f>IF(#REF!="","",#REF!)</f>
        <v/>
      </c>
      <c r="AU338" s="223">
        <f>IF('CONTROLE GLOBO AÇOS'!K340="","",'CONTROLE GLOBO AÇOS'!K340)</f>
        <v/>
      </c>
      <c r="AV338" s="223">
        <f>IF(AND('CONTROLE EJ'!K340="",'CONTROLE CMM'!#REF!=""),"",N('CONTROLE EJ'!K340)+N('CONTROLE CMM'!#REF!))</f>
        <v/>
      </c>
      <c r="AW338" s="223">
        <f>IF('CONTROLE GLOBO AÇOS'!L340="","",'CONTROLE GLOBO AÇOS'!L340)</f>
        <v/>
      </c>
      <c r="AX338" s="223">
        <f>IF(AND('CONTROLE EJ'!L340="",'CONTROLE CMM'!#REF!=""),"",N('CONTROLE EJ'!L340)+N('CONTROLE CMM'!#REF!))</f>
        <v/>
      </c>
      <c r="AY338" s="223">
        <f>IF('CONTROLE GLOBO AÇOS'!M340="","",'CONTROLE GLOBO AÇOS'!M340)</f>
        <v/>
      </c>
      <c r="AZ338" s="223">
        <f>IF('CONTROLE GLOBO AÇOS'!N340="","",'CONTROLE GLOBO AÇOS'!N340)</f>
        <v/>
      </c>
      <c r="BA338" s="223">
        <f>IF(AND('CONTROLE EJ'!M340="",'CONTROLE CMM'!#REF!=""),"",N('CONTROLE EJ'!M340)+N('CONTROLE CMM'!#REF!))</f>
        <v/>
      </c>
      <c r="BB338" s="223">
        <f>IF(#REF!="","",#REF!)</f>
        <v/>
      </c>
      <c r="BC338" s="223">
        <f>IF('CONTROLE GLOBO AÇOS'!O340="","",'CONTROLE GLOBO AÇOS'!O340)</f>
        <v/>
      </c>
      <c r="BD338" s="223">
        <f>IF(AND('CONTROLE EJ'!N340="",'CONTROLE CMM'!#REF!=""),"",N('CONTROLE EJ'!N340)+N('CONTROLE CMM'!#REF!))</f>
        <v/>
      </c>
      <c r="BE338" s="223">
        <f>IF('CONTROLE GLOBO AÇOS'!P340="","",'CONTROLE GLOBO AÇOS'!P340)</f>
        <v/>
      </c>
      <c r="BF338" s="223">
        <f>IF('CONTROLE GLOBO AÇOS'!Q340="","",'CONTROLE GLOBO AÇOS'!Q340)</f>
        <v/>
      </c>
      <c r="BG338" s="223">
        <f>IF('CONTROLE GLOBO AÇOS'!R340="","",'CONTROLE GLOBO AÇOS'!R340)</f>
        <v/>
      </c>
      <c r="BH338" s="223">
        <f>IF(AND('CONTROLE EJ'!O340="",'CONTROLE CMM'!#REF!=""),"",N('CONTROLE EJ'!O340)+N('CONTROLE CMM'!#REF!))</f>
        <v/>
      </c>
      <c r="BI338" s="223">
        <f>IF('CONTROLE GLOBO AÇOS'!S340="","",'CONTROLE GLOBO AÇOS'!S340)</f>
        <v/>
      </c>
      <c r="BJ338" s="223">
        <f>IF('CONTROLE GLOBO AÇOS'!T340="","",'CONTROLE GLOBO AÇOS'!T340)</f>
        <v/>
      </c>
      <c r="BK338" s="223">
        <f>IF('CONTROLE GLOBO AÇOS'!U340="","",'CONTROLE GLOBO AÇOS'!U340)</f>
        <v/>
      </c>
      <c r="BL338" s="223">
        <f>IF(AND('CONTROLE EJ'!P340="",'CONTROLE CMM'!#REF!=""),"",N('CONTROLE EJ'!P340)+N('CONTROLE CMM'!#REF!))</f>
        <v/>
      </c>
      <c r="BM338" s="223">
        <f>IF(AND('CONTROLE EJ'!Q340="",'CONTROLE CMM'!#REF!=""),"",N('CONTROLE EJ'!Q340)+N('CONTROLE CMM'!#REF!))</f>
        <v/>
      </c>
      <c r="BN338" s="223">
        <f>IF('CONTROLE GLOBO AÇOS'!V340="","",'CONTROLE GLOBO AÇOS'!V340)</f>
        <v/>
      </c>
      <c r="BO338" s="223">
        <f>IF('CONTROLE GLOBO AÇOS'!W340="","",'CONTROLE GLOBO AÇOS'!W340)</f>
        <v/>
      </c>
      <c r="BP338" s="223">
        <f>IF(AND('CONTROLE EJ'!R340="",'CONTROLE CMM'!#REF!=""),"",N('CONTROLE EJ'!R340)+N('CONTROLE CMM'!#REF!))</f>
        <v/>
      </c>
      <c r="BQ338" s="223">
        <f>IF(#REF!="","",#REF!)</f>
        <v/>
      </c>
      <c r="BR338" s="223">
        <f>IF(AND('CONTROLE EJ'!S340="",'CONTROLE CMM'!#REF!=""),"",N('CONTROLE EJ'!S340)+N('CONTROLE CMM'!#REF!))</f>
        <v/>
      </c>
      <c r="BS338" s="223">
        <f>IF(AND('CONTROLE EJ'!T340="",'CONTROLE CMM'!#REF!=""),"",N('CONTROLE EJ'!T340)+N('CONTROLE CMM'!#REF!))</f>
        <v/>
      </c>
      <c r="BT338" s="223">
        <f>IF('CONTROLE GLOBO AÇOS'!X340="","",'CONTROLE GLOBO AÇOS'!X340)</f>
        <v/>
      </c>
      <c r="BU338" s="223">
        <f>IF('CONTROLE GLOBO AÇOS'!Y340="","",'CONTROLE GLOBO AÇOS'!Y340)</f>
        <v/>
      </c>
      <c r="BV338" s="223">
        <f>IF(AND('CONTROLE EJ'!U340="",'CONTROLE CMM'!#REF!=""),"",N('CONTROLE EJ'!U340)+N('CONTROLE CMM'!#REF!))</f>
        <v/>
      </c>
      <c r="BW338" s="223">
        <f>IF(#REF!="","",#REF!)</f>
        <v/>
      </c>
    </row>
    <row r="339">
      <c r="A339" s="282" t="n">
        <v>46556</v>
      </c>
      <c r="B339" s="18">
        <f>IF('CONTROLE EJ'!B341="","",'CONTROLE EJ'!B341)</f>
        <v/>
      </c>
      <c r="C339" s="18">
        <f>IF('CONTROLE EJ'!C341="","",'CONTROLE EJ'!C341)</f>
        <v/>
      </c>
      <c r="D339" s="26">
        <f>IF('CONTROLE EJ'!D341="","",'CONTROLE EJ'!D341)</f>
        <v/>
      </c>
      <c r="E339" s="43">
        <f>IF('CONTROLE CMM'!B341="","",'CONTROLE CMM'!B341)</f>
        <v/>
      </c>
      <c r="F339" s="18">
        <f>IF('CONTROLE CMM'!C341="","",'CONTROLE CMM'!C341)</f>
        <v/>
      </c>
      <c r="G339" s="26">
        <f>IF('CONTROLE CMM'!D341="","",'CONTROLE CMM'!D341)</f>
        <v/>
      </c>
      <c r="H339" s="18">
        <f>IF('CONTROLE GLOBO AÇOS'!B341="","",'CONTROLE GLOBO AÇOS'!B341)</f>
        <v/>
      </c>
      <c r="I339" s="18">
        <f>IF('CONTROLE GLOBO AÇOS'!C341="","",'CONTROLE GLOBO AÇOS'!C341)</f>
        <v/>
      </c>
      <c r="J339" s="18">
        <f>IF('CONTROLE GLOBO AÇOS'!D341="","",'CONTROLE GLOBO AÇOS'!D341)</f>
        <v/>
      </c>
      <c r="AD339" s="39">
        <f>IF($A339="",0,IF(AND(WEEKDAY($A339,2)&lt;=5,OR($B339&lt;&gt;"",$C339&lt;&gt;"",$D339&lt;&gt;"")),1,0))</f>
        <v/>
      </c>
      <c r="AE339" s="39">
        <f>IF($A339="",0,IF(AND(WEEKDAY($A339,2)&lt;=5,OR($E339&lt;&gt;"",$F339&lt;&gt;"",$G339&lt;&gt;"")),1,0))</f>
        <v/>
      </c>
      <c r="AF339" s="39">
        <f>MAX(AD339,AE339)</f>
        <v/>
      </c>
      <c r="AH339" s="223">
        <f>IF('CONTROLE GLOBO AÇOS'!E341="","",'CONTROLE GLOBO AÇOS'!E341)</f>
        <v/>
      </c>
      <c r="AI339" s="223">
        <f>IF('CONTROLE GLOBO AÇOS'!F341="","",'CONTROLE GLOBO AÇOS'!F341)</f>
        <v/>
      </c>
      <c r="AJ339" s="223">
        <f>IF(AND('CONTROLE EJ'!E341="",'CONTROLE CMM'!E341=""),"",N('CONTROLE EJ'!E341)+N('CONTROLE CMM'!E341))</f>
        <v/>
      </c>
      <c r="AK339" s="223">
        <f>IF(AND('CONTROLE EJ'!F341="",'CONTROLE CMM'!F341=""),"",N('CONTROLE EJ'!F341)+N('CONTROLE CMM'!F341))</f>
        <v/>
      </c>
      <c r="AL339" s="223">
        <f>IF(AND('CONTROLE EJ'!G341="",'CONTROLE CMM'!G341=""),"",N('CONTROLE EJ'!G341)+N('CONTROLE CMM'!G341))</f>
        <v/>
      </c>
      <c r="AM339" s="223">
        <f>IF(AND('CONTROLE EJ'!H341="",'CONTROLE CMM'!H341=""),"",N('CONTROLE EJ'!H341)+N('CONTROLE CMM'!H341))</f>
        <v/>
      </c>
      <c r="AN339" s="223">
        <f>IF('CONTROLE GLOBO AÇOS'!G341="","",'CONTROLE GLOBO AÇOS'!G341)</f>
        <v/>
      </c>
      <c r="AO339" s="223">
        <f>IF('CONTROLE GLOBO AÇOS'!H341="","",'CONTROLE GLOBO AÇOS'!H341)</f>
        <v/>
      </c>
      <c r="AP339" s="223">
        <f>IF(AND('CONTROLE EJ'!I341="",'CONTROLE CMM'!I341=""),"",N('CONTROLE EJ'!I341)+N('CONTROLE CMM'!I341))</f>
        <v/>
      </c>
      <c r="AQ339" s="223">
        <f>IF(AND('CONTROLE EJ'!J341="",'CONTROLE CMM'!#REF!=""),"",N('CONTROLE EJ'!J341)+N('CONTROLE CMM'!#REF!))</f>
        <v/>
      </c>
      <c r="AR339" s="223">
        <f>IF('CONTROLE GLOBO AÇOS'!I341="","",'CONTROLE GLOBO AÇOS'!I341)</f>
        <v/>
      </c>
      <c r="AS339" s="223">
        <f>IF('CONTROLE GLOBO AÇOS'!J341="","",'CONTROLE GLOBO AÇOS'!J341)</f>
        <v/>
      </c>
      <c r="AT339" s="223">
        <f>IF(#REF!="","",#REF!)</f>
        <v/>
      </c>
      <c r="AU339" s="223">
        <f>IF('CONTROLE GLOBO AÇOS'!K341="","",'CONTROLE GLOBO AÇOS'!K341)</f>
        <v/>
      </c>
      <c r="AV339" s="223">
        <f>IF(AND('CONTROLE EJ'!K341="",'CONTROLE CMM'!#REF!=""),"",N('CONTROLE EJ'!K341)+N('CONTROLE CMM'!#REF!))</f>
        <v/>
      </c>
      <c r="AW339" s="223">
        <f>IF('CONTROLE GLOBO AÇOS'!L341="","",'CONTROLE GLOBO AÇOS'!L341)</f>
        <v/>
      </c>
      <c r="AX339" s="223">
        <f>IF(AND('CONTROLE EJ'!L341="",'CONTROLE CMM'!#REF!=""),"",N('CONTROLE EJ'!L341)+N('CONTROLE CMM'!#REF!))</f>
        <v/>
      </c>
      <c r="AY339" s="223">
        <f>IF('CONTROLE GLOBO AÇOS'!M341="","",'CONTROLE GLOBO AÇOS'!M341)</f>
        <v/>
      </c>
      <c r="AZ339" s="223">
        <f>IF('CONTROLE GLOBO AÇOS'!N341="","",'CONTROLE GLOBO AÇOS'!N341)</f>
        <v/>
      </c>
      <c r="BA339" s="223">
        <f>IF(AND('CONTROLE EJ'!M341="",'CONTROLE CMM'!#REF!=""),"",N('CONTROLE EJ'!M341)+N('CONTROLE CMM'!#REF!))</f>
        <v/>
      </c>
      <c r="BB339" s="223">
        <f>IF(#REF!="","",#REF!)</f>
        <v/>
      </c>
      <c r="BC339" s="223">
        <f>IF('CONTROLE GLOBO AÇOS'!O341="","",'CONTROLE GLOBO AÇOS'!O341)</f>
        <v/>
      </c>
      <c r="BD339" s="223">
        <f>IF(AND('CONTROLE EJ'!N341="",'CONTROLE CMM'!#REF!=""),"",N('CONTROLE EJ'!N341)+N('CONTROLE CMM'!#REF!))</f>
        <v/>
      </c>
      <c r="BE339" s="223">
        <f>IF('CONTROLE GLOBO AÇOS'!P341="","",'CONTROLE GLOBO AÇOS'!P341)</f>
        <v/>
      </c>
      <c r="BF339" s="223">
        <f>IF('CONTROLE GLOBO AÇOS'!Q341="","",'CONTROLE GLOBO AÇOS'!Q341)</f>
        <v/>
      </c>
      <c r="BG339" s="223">
        <f>IF('CONTROLE GLOBO AÇOS'!R341="","",'CONTROLE GLOBO AÇOS'!R341)</f>
        <v/>
      </c>
      <c r="BH339" s="223">
        <f>IF(AND('CONTROLE EJ'!O341="",'CONTROLE CMM'!#REF!=""),"",N('CONTROLE EJ'!O341)+N('CONTROLE CMM'!#REF!))</f>
        <v/>
      </c>
      <c r="BI339" s="223">
        <f>IF('CONTROLE GLOBO AÇOS'!S341="","",'CONTROLE GLOBO AÇOS'!S341)</f>
        <v/>
      </c>
      <c r="BJ339" s="223">
        <f>IF('CONTROLE GLOBO AÇOS'!T341="","",'CONTROLE GLOBO AÇOS'!T341)</f>
        <v/>
      </c>
      <c r="BK339" s="223">
        <f>IF('CONTROLE GLOBO AÇOS'!U341="","",'CONTROLE GLOBO AÇOS'!U341)</f>
        <v/>
      </c>
      <c r="BL339" s="223">
        <f>IF(AND('CONTROLE EJ'!P341="",'CONTROLE CMM'!#REF!=""),"",N('CONTROLE EJ'!P341)+N('CONTROLE CMM'!#REF!))</f>
        <v/>
      </c>
      <c r="BM339" s="223">
        <f>IF(AND('CONTROLE EJ'!Q341="",'CONTROLE CMM'!#REF!=""),"",N('CONTROLE EJ'!Q341)+N('CONTROLE CMM'!#REF!))</f>
        <v/>
      </c>
      <c r="BN339" s="223">
        <f>IF('CONTROLE GLOBO AÇOS'!V341="","",'CONTROLE GLOBO AÇOS'!V341)</f>
        <v/>
      </c>
      <c r="BO339" s="223">
        <f>IF('CONTROLE GLOBO AÇOS'!W341="","",'CONTROLE GLOBO AÇOS'!W341)</f>
        <v/>
      </c>
      <c r="BP339" s="223">
        <f>IF(AND('CONTROLE EJ'!R341="",'CONTROLE CMM'!#REF!=""),"",N('CONTROLE EJ'!R341)+N('CONTROLE CMM'!#REF!))</f>
        <v/>
      </c>
      <c r="BQ339" s="223">
        <f>IF(#REF!="","",#REF!)</f>
        <v/>
      </c>
      <c r="BR339" s="223">
        <f>IF(AND('CONTROLE EJ'!S341="",'CONTROLE CMM'!#REF!=""),"",N('CONTROLE EJ'!S341)+N('CONTROLE CMM'!#REF!))</f>
        <v/>
      </c>
      <c r="BS339" s="223">
        <f>IF(AND('CONTROLE EJ'!T341="",'CONTROLE CMM'!#REF!=""),"",N('CONTROLE EJ'!T341)+N('CONTROLE CMM'!#REF!))</f>
        <v/>
      </c>
      <c r="BT339" s="223">
        <f>IF('CONTROLE GLOBO AÇOS'!X341="","",'CONTROLE GLOBO AÇOS'!X341)</f>
        <v/>
      </c>
      <c r="BU339" s="223">
        <f>IF('CONTROLE GLOBO AÇOS'!Y341="","",'CONTROLE GLOBO AÇOS'!Y341)</f>
        <v/>
      </c>
      <c r="BV339" s="223">
        <f>IF(AND('CONTROLE EJ'!U341="",'CONTROLE CMM'!#REF!=""),"",N('CONTROLE EJ'!U341)+N('CONTROLE CMM'!#REF!))</f>
        <v/>
      </c>
      <c r="BW339" s="223">
        <f>IF(#REF!="","",#REF!)</f>
        <v/>
      </c>
    </row>
    <row r="340">
      <c r="A340" s="282" t="n">
        <v>46557</v>
      </c>
      <c r="B340" s="18">
        <f>IF('CONTROLE EJ'!B342="","",'CONTROLE EJ'!B342)</f>
        <v/>
      </c>
      <c r="C340" s="18">
        <f>IF('CONTROLE EJ'!C342="","",'CONTROLE EJ'!C342)</f>
        <v/>
      </c>
      <c r="D340" s="26">
        <f>IF('CONTROLE EJ'!D342="","",'CONTROLE EJ'!D342)</f>
        <v/>
      </c>
      <c r="E340" s="43">
        <f>IF('CONTROLE CMM'!B342="","",'CONTROLE CMM'!B342)</f>
        <v/>
      </c>
      <c r="F340" s="18">
        <f>IF('CONTROLE CMM'!C342="","",'CONTROLE CMM'!C342)</f>
        <v/>
      </c>
      <c r="G340" s="26">
        <f>IF('CONTROLE CMM'!D342="","",'CONTROLE CMM'!D342)</f>
        <v/>
      </c>
      <c r="H340" s="18">
        <f>IF('CONTROLE GLOBO AÇOS'!B342="","",'CONTROLE GLOBO AÇOS'!B342)</f>
        <v/>
      </c>
      <c r="I340" s="18">
        <f>IF('CONTROLE GLOBO AÇOS'!C342="","",'CONTROLE GLOBO AÇOS'!C342)</f>
        <v/>
      </c>
      <c r="J340" s="18">
        <f>IF('CONTROLE GLOBO AÇOS'!D342="","",'CONTROLE GLOBO AÇOS'!D342)</f>
        <v/>
      </c>
      <c r="AD340" s="39">
        <f>IF($A340="",0,IF(AND(WEEKDAY($A340,2)&lt;=5,OR($B340&lt;&gt;"",$C340&lt;&gt;"",$D340&lt;&gt;"")),1,0))</f>
        <v/>
      </c>
      <c r="AE340" s="39">
        <f>IF($A340="",0,IF(AND(WEEKDAY($A340,2)&lt;=5,OR($E340&lt;&gt;"",$F340&lt;&gt;"",$G340&lt;&gt;"")),1,0))</f>
        <v/>
      </c>
      <c r="AF340" s="39">
        <f>MAX(AD340,AE340)</f>
        <v/>
      </c>
      <c r="AH340" s="223">
        <f>IF('CONTROLE GLOBO AÇOS'!E342="","",'CONTROLE GLOBO AÇOS'!E342)</f>
        <v/>
      </c>
      <c r="AI340" s="223">
        <f>IF('CONTROLE GLOBO AÇOS'!F342="","",'CONTROLE GLOBO AÇOS'!F342)</f>
        <v/>
      </c>
      <c r="AJ340" s="223">
        <f>IF(AND('CONTROLE EJ'!E342="",'CONTROLE CMM'!E342=""),"",N('CONTROLE EJ'!E342)+N('CONTROLE CMM'!E342))</f>
        <v/>
      </c>
      <c r="AK340" s="223">
        <f>IF(AND('CONTROLE EJ'!F342="",'CONTROLE CMM'!F342=""),"",N('CONTROLE EJ'!F342)+N('CONTROLE CMM'!F342))</f>
        <v/>
      </c>
      <c r="AL340" s="223">
        <f>IF(AND('CONTROLE EJ'!G342="",'CONTROLE CMM'!G342=""),"",N('CONTROLE EJ'!G342)+N('CONTROLE CMM'!G342))</f>
        <v/>
      </c>
      <c r="AM340" s="223">
        <f>IF(AND('CONTROLE EJ'!H342="",'CONTROLE CMM'!H342=""),"",N('CONTROLE EJ'!H342)+N('CONTROLE CMM'!H342))</f>
        <v/>
      </c>
      <c r="AN340" s="223">
        <f>IF('CONTROLE GLOBO AÇOS'!G342="","",'CONTROLE GLOBO AÇOS'!G342)</f>
        <v/>
      </c>
      <c r="AO340" s="223">
        <f>IF('CONTROLE GLOBO AÇOS'!H342="","",'CONTROLE GLOBO AÇOS'!H342)</f>
        <v/>
      </c>
      <c r="AP340" s="223">
        <f>IF(AND('CONTROLE EJ'!I342="",'CONTROLE CMM'!I342=""),"",N('CONTROLE EJ'!I342)+N('CONTROLE CMM'!I342))</f>
        <v/>
      </c>
      <c r="AQ340" s="223">
        <f>IF(AND('CONTROLE EJ'!J342="",'CONTROLE CMM'!#REF!=""),"",N('CONTROLE EJ'!J342)+N('CONTROLE CMM'!#REF!))</f>
        <v/>
      </c>
      <c r="AR340" s="223">
        <f>IF('CONTROLE GLOBO AÇOS'!I342="","",'CONTROLE GLOBO AÇOS'!I342)</f>
        <v/>
      </c>
      <c r="AS340" s="223">
        <f>IF('CONTROLE GLOBO AÇOS'!J342="","",'CONTROLE GLOBO AÇOS'!J342)</f>
        <v/>
      </c>
      <c r="AT340" s="223">
        <f>IF(#REF!="","",#REF!)</f>
        <v/>
      </c>
      <c r="AU340" s="223">
        <f>IF('CONTROLE GLOBO AÇOS'!K342="","",'CONTROLE GLOBO AÇOS'!K342)</f>
        <v/>
      </c>
      <c r="AV340" s="223">
        <f>IF(AND('CONTROLE EJ'!K342="",'CONTROLE CMM'!#REF!=""),"",N('CONTROLE EJ'!K342)+N('CONTROLE CMM'!#REF!))</f>
        <v/>
      </c>
      <c r="AW340" s="223">
        <f>IF('CONTROLE GLOBO AÇOS'!L342="","",'CONTROLE GLOBO AÇOS'!L342)</f>
        <v/>
      </c>
      <c r="AX340" s="223">
        <f>IF(AND('CONTROLE EJ'!L342="",'CONTROLE CMM'!#REF!=""),"",N('CONTROLE EJ'!L342)+N('CONTROLE CMM'!#REF!))</f>
        <v/>
      </c>
      <c r="AY340" s="223">
        <f>IF('CONTROLE GLOBO AÇOS'!M342="","",'CONTROLE GLOBO AÇOS'!M342)</f>
        <v/>
      </c>
      <c r="AZ340" s="223">
        <f>IF('CONTROLE GLOBO AÇOS'!N342="","",'CONTROLE GLOBO AÇOS'!N342)</f>
        <v/>
      </c>
      <c r="BA340" s="223">
        <f>IF(AND('CONTROLE EJ'!M342="",'CONTROLE CMM'!#REF!=""),"",N('CONTROLE EJ'!M342)+N('CONTROLE CMM'!#REF!))</f>
        <v/>
      </c>
      <c r="BB340" s="223">
        <f>IF(#REF!="","",#REF!)</f>
        <v/>
      </c>
      <c r="BC340" s="223">
        <f>IF('CONTROLE GLOBO AÇOS'!O342="","",'CONTROLE GLOBO AÇOS'!O342)</f>
        <v/>
      </c>
      <c r="BD340" s="223">
        <f>IF(AND('CONTROLE EJ'!N342="",'CONTROLE CMM'!#REF!=""),"",N('CONTROLE EJ'!N342)+N('CONTROLE CMM'!#REF!))</f>
        <v/>
      </c>
      <c r="BE340" s="223">
        <f>IF('CONTROLE GLOBO AÇOS'!P342="","",'CONTROLE GLOBO AÇOS'!P342)</f>
        <v/>
      </c>
      <c r="BF340" s="223">
        <f>IF('CONTROLE GLOBO AÇOS'!Q342="","",'CONTROLE GLOBO AÇOS'!Q342)</f>
        <v/>
      </c>
      <c r="BG340" s="223">
        <f>IF('CONTROLE GLOBO AÇOS'!R342="","",'CONTROLE GLOBO AÇOS'!R342)</f>
        <v/>
      </c>
      <c r="BH340" s="223">
        <f>IF(AND('CONTROLE EJ'!O342="",'CONTROLE CMM'!#REF!=""),"",N('CONTROLE EJ'!O342)+N('CONTROLE CMM'!#REF!))</f>
        <v/>
      </c>
      <c r="BI340" s="223">
        <f>IF('CONTROLE GLOBO AÇOS'!S342="","",'CONTROLE GLOBO AÇOS'!S342)</f>
        <v/>
      </c>
      <c r="BJ340" s="223">
        <f>IF('CONTROLE GLOBO AÇOS'!T342="","",'CONTROLE GLOBO AÇOS'!T342)</f>
        <v/>
      </c>
      <c r="BK340" s="223">
        <f>IF('CONTROLE GLOBO AÇOS'!U342="","",'CONTROLE GLOBO AÇOS'!U342)</f>
        <v/>
      </c>
      <c r="BL340" s="223">
        <f>IF(AND('CONTROLE EJ'!P342="",'CONTROLE CMM'!#REF!=""),"",N('CONTROLE EJ'!P342)+N('CONTROLE CMM'!#REF!))</f>
        <v/>
      </c>
      <c r="BM340" s="223">
        <f>IF(AND('CONTROLE EJ'!Q342="",'CONTROLE CMM'!#REF!=""),"",N('CONTROLE EJ'!Q342)+N('CONTROLE CMM'!#REF!))</f>
        <v/>
      </c>
      <c r="BN340" s="223">
        <f>IF('CONTROLE GLOBO AÇOS'!V342="","",'CONTROLE GLOBO AÇOS'!V342)</f>
        <v/>
      </c>
      <c r="BO340" s="223">
        <f>IF('CONTROLE GLOBO AÇOS'!W342="","",'CONTROLE GLOBO AÇOS'!W342)</f>
        <v/>
      </c>
      <c r="BP340" s="223">
        <f>IF(AND('CONTROLE EJ'!R342="",'CONTROLE CMM'!#REF!=""),"",N('CONTROLE EJ'!R342)+N('CONTROLE CMM'!#REF!))</f>
        <v/>
      </c>
      <c r="BQ340" s="223">
        <f>IF(#REF!="","",#REF!)</f>
        <v/>
      </c>
      <c r="BR340" s="223">
        <f>IF(AND('CONTROLE EJ'!S342="",'CONTROLE CMM'!#REF!=""),"",N('CONTROLE EJ'!S342)+N('CONTROLE CMM'!#REF!))</f>
        <v/>
      </c>
      <c r="BS340" s="223">
        <f>IF(AND('CONTROLE EJ'!T342="",'CONTROLE CMM'!#REF!=""),"",N('CONTROLE EJ'!T342)+N('CONTROLE CMM'!#REF!))</f>
        <v/>
      </c>
      <c r="BT340" s="223">
        <f>IF('CONTROLE GLOBO AÇOS'!X342="","",'CONTROLE GLOBO AÇOS'!X342)</f>
        <v/>
      </c>
      <c r="BU340" s="223">
        <f>IF('CONTROLE GLOBO AÇOS'!Y342="","",'CONTROLE GLOBO AÇOS'!Y342)</f>
        <v/>
      </c>
      <c r="BV340" s="223">
        <f>IF(AND('CONTROLE EJ'!U342="",'CONTROLE CMM'!#REF!=""),"",N('CONTROLE EJ'!U342)+N('CONTROLE CMM'!#REF!))</f>
        <v/>
      </c>
      <c r="BW340" s="223">
        <f>IF(#REF!="","",#REF!)</f>
        <v/>
      </c>
    </row>
    <row r="341">
      <c r="A341" s="282" t="n">
        <v>46558</v>
      </c>
      <c r="B341" s="18">
        <f>IF('CONTROLE EJ'!B343="","",'CONTROLE EJ'!B343)</f>
        <v/>
      </c>
      <c r="C341" s="18">
        <f>IF('CONTROLE EJ'!C343="","",'CONTROLE EJ'!C343)</f>
        <v/>
      </c>
      <c r="D341" s="26">
        <f>IF('CONTROLE EJ'!D343="","",'CONTROLE EJ'!D343)</f>
        <v/>
      </c>
      <c r="E341" s="43">
        <f>IF('CONTROLE CMM'!B343="","",'CONTROLE CMM'!B343)</f>
        <v/>
      </c>
      <c r="F341" s="18">
        <f>IF('CONTROLE CMM'!C343="","",'CONTROLE CMM'!C343)</f>
        <v/>
      </c>
      <c r="G341" s="26">
        <f>IF('CONTROLE CMM'!D343="","",'CONTROLE CMM'!D343)</f>
        <v/>
      </c>
      <c r="H341" s="18">
        <f>IF('CONTROLE GLOBO AÇOS'!B343="","",'CONTROLE GLOBO AÇOS'!B343)</f>
        <v/>
      </c>
      <c r="I341" s="18">
        <f>IF('CONTROLE GLOBO AÇOS'!C343="","",'CONTROLE GLOBO AÇOS'!C343)</f>
        <v/>
      </c>
      <c r="J341" s="18">
        <f>IF('CONTROLE GLOBO AÇOS'!D343="","",'CONTROLE GLOBO AÇOS'!D343)</f>
        <v/>
      </c>
      <c r="AD341" s="39">
        <f>IF($A341="",0,IF(AND(WEEKDAY($A341,2)&lt;=5,OR($B341&lt;&gt;"",$C341&lt;&gt;"",$D341&lt;&gt;"")),1,0))</f>
        <v/>
      </c>
      <c r="AE341" s="39">
        <f>IF($A341="",0,IF(AND(WEEKDAY($A341,2)&lt;=5,OR($E341&lt;&gt;"",$F341&lt;&gt;"",$G341&lt;&gt;"")),1,0))</f>
        <v/>
      </c>
      <c r="AF341" s="39">
        <f>MAX(AD341,AE341)</f>
        <v/>
      </c>
      <c r="AH341" s="223">
        <f>IF('CONTROLE GLOBO AÇOS'!E343="","",'CONTROLE GLOBO AÇOS'!E343)</f>
        <v/>
      </c>
      <c r="AI341" s="223">
        <f>IF('CONTROLE GLOBO AÇOS'!F343="","",'CONTROLE GLOBO AÇOS'!F343)</f>
        <v/>
      </c>
      <c r="AJ341" s="223">
        <f>IF(AND('CONTROLE EJ'!E343="",'CONTROLE CMM'!E343=""),"",N('CONTROLE EJ'!E343)+N('CONTROLE CMM'!E343))</f>
        <v/>
      </c>
      <c r="AK341" s="223">
        <f>IF(AND('CONTROLE EJ'!F343="",'CONTROLE CMM'!F343=""),"",N('CONTROLE EJ'!F343)+N('CONTROLE CMM'!F343))</f>
        <v/>
      </c>
      <c r="AL341" s="223">
        <f>IF(AND('CONTROLE EJ'!G343="",'CONTROLE CMM'!G343=""),"",N('CONTROLE EJ'!G343)+N('CONTROLE CMM'!G343))</f>
        <v/>
      </c>
      <c r="AM341" s="223">
        <f>IF(AND('CONTROLE EJ'!H343="",'CONTROLE CMM'!H343=""),"",N('CONTROLE EJ'!H343)+N('CONTROLE CMM'!H343))</f>
        <v/>
      </c>
      <c r="AN341" s="223">
        <f>IF('CONTROLE GLOBO AÇOS'!G343="","",'CONTROLE GLOBO AÇOS'!G343)</f>
        <v/>
      </c>
      <c r="AO341" s="223">
        <f>IF('CONTROLE GLOBO AÇOS'!H343="","",'CONTROLE GLOBO AÇOS'!H343)</f>
        <v/>
      </c>
      <c r="AP341" s="223">
        <f>IF(AND('CONTROLE EJ'!I343="",'CONTROLE CMM'!I343=""),"",N('CONTROLE EJ'!I343)+N('CONTROLE CMM'!I343))</f>
        <v/>
      </c>
      <c r="AQ341" s="223">
        <f>IF(AND('CONTROLE EJ'!J343="",'CONTROLE CMM'!#REF!=""),"",N('CONTROLE EJ'!J343)+N('CONTROLE CMM'!#REF!))</f>
        <v/>
      </c>
      <c r="AR341" s="223">
        <f>IF('CONTROLE GLOBO AÇOS'!I343="","",'CONTROLE GLOBO AÇOS'!I343)</f>
        <v/>
      </c>
      <c r="AS341" s="223">
        <f>IF('CONTROLE GLOBO AÇOS'!J343="","",'CONTROLE GLOBO AÇOS'!J343)</f>
        <v/>
      </c>
      <c r="AT341" s="223">
        <f>IF(#REF!="","",#REF!)</f>
        <v/>
      </c>
      <c r="AU341" s="223">
        <f>IF('CONTROLE GLOBO AÇOS'!K343="","",'CONTROLE GLOBO AÇOS'!K343)</f>
        <v/>
      </c>
      <c r="AV341" s="223">
        <f>IF(AND('CONTROLE EJ'!K343="",'CONTROLE CMM'!#REF!=""),"",N('CONTROLE EJ'!K343)+N('CONTROLE CMM'!#REF!))</f>
        <v/>
      </c>
      <c r="AW341" s="223">
        <f>IF('CONTROLE GLOBO AÇOS'!L343="","",'CONTROLE GLOBO AÇOS'!L343)</f>
        <v/>
      </c>
      <c r="AX341" s="223">
        <f>IF(AND('CONTROLE EJ'!L343="",'CONTROLE CMM'!#REF!=""),"",N('CONTROLE EJ'!L343)+N('CONTROLE CMM'!#REF!))</f>
        <v/>
      </c>
      <c r="AY341" s="223">
        <f>IF('CONTROLE GLOBO AÇOS'!M343="","",'CONTROLE GLOBO AÇOS'!M343)</f>
        <v/>
      </c>
      <c r="AZ341" s="223">
        <f>IF('CONTROLE GLOBO AÇOS'!N343="","",'CONTROLE GLOBO AÇOS'!N343)</f>
        <v/>
      </c>
      <c r="BA341" s="223">
        <f>IF(AND('CONTROLE EJ'!M343="",'CONTROLE CMM'!#REF!=""),"",N('CONTROLE EJ'!M343)+N('CONTROLE CMM'!#REF!))</f>
        <v/>
      </c>
      <c r="BB341" s="223">
        <f>IF(#REF!="","",#REF!)</f>
        <v/>
      </c>
      <c r="BC341" s="223">
        <f>IF('CONTROLE GLOBO AÇOS'!O343="","",'CONTROLE GLOBO AÇOS'!O343)</f>
        <v/>
      </c>
      <c r="BD341" s="223">
        <f>IF(AND('CONTROLE EJ'!N343="",'CONTROLE CMM'!#REF!=""),"",N('CONTROLE EJ'!N343)+N('CONTROLE CMM'!#REF!))</f>
        <v/>
      </c>
      <c r="BE341" s="223">
        <f>IF('CONTROLE GLOBO AÇOS'!P343="","",'CONTROLE GLOBO AÇOS'!P343)</f>
        <v/>
      </c>
      <c r="BF341" s="223">
        <f>IF('CONTROLE GLOBO AÇOS'!Q343="","",'CONTROLE GLOBO AÇOS'!Q343)</f>
        <v/>
      </c>
      <c r="BG341" s="223">
        <f>IF('CONTROLE GLOBO AÇOS'!R343="","",'CONTROLE GLOBO AÇOS'!R343)</f>
        <v/>
      </c>
      <c r="BH341" s="223">
        <f>IF(AND('CONTROLE EJ'!O343="",'CONTROLE CMM'!#REF!=""),"",N('CONTROLE EJ'!O343)+N('CONTROLE CMM'!#REF!))</f>
        <v/>
      </c>
      <c r="BI341" s="223">
        <f>IF('CONTROLE GLOBO AÇOS'!S343="","",'CONTROLE GLOBO AÇOS'!S343)</f>
        <v/>
      </c>
      <c r="BJ341" s="223">
        <f>IF('CONTROLE GLOBO AÇOS'!T343="","",'CONTROLE GLOBO AÇOS'!T343)</f>
        <v/>
      </c>
      <c r="BK341" s="223">
        <f>IF('CONTROLE GLOBO AÇOS'!U343="","",'CONTROLE GLOBO AÇOS'!U343)</f>
        <v/>
      </c>
      <c r="BL341" s="223">
        <f>IF(AND('CONTROLE EJ'!P343="",'CONTROLE CMM'!#REF!=""),"",N('CONTROLE EJ'!P343)+N('CONTROLE CMM'!#REF!))</f>
        <v/>
      </c>
      <c r="BM341" s="223">
        <f>IF(AND('CONTROLE EJ'!Q343="",'CONTROLE CMM'!#REF!=""),"",N('CONTROLE EJ'!Q343)+N('CONTROLE CMM'!#REF!))</f>
        <v/>
      </c>
      <c r="BN341" s="223">
        <f>IF('CONTROLE GLOBO AÇOS'!V343="","",'CONTROLE GLOBO AÇOS'!V343)</f>
        <v/>
      </c>
      <c r="BO341" s="223">
        <f>IF('CONTROLE GLOBO AÇOS'!W343="","",'CONTROLE GLOBO AÇOS'!W343)</f>
        <v/>
      </c>
      <c r="BP341" s="223">
        <f>IF(AND('CONTROLE EJ'!R343="",'CONTROLE CMM'!#REF!=""),"",N('CONTROLE EJ'!R343)+N('CONTROLE CMM'!#REF!))</f>
        <v/>
      </c>
      <c r="BQ341" s="223">
        <f>IF(#REF!="","",#REF!)</f>
        <v/>
      </c>
      <c r="BR341" s="223">
        <f>IF(AND('CONTROLE EJ'!S343="",'CONTROLE CMM'!#REF!=""),"",N('CONTROLE EJ'!S343)+N('CONTROLE CMM'!#REF!))</f>
        <v/>
      </c>
      <c r="BS341" s="223">
        <f>IF(AND('CONTROLE EJ'!T343="",'CONTROLE CMM'!#REF!=""),"",N('CONTROLE EJ'!T343)+N('CONTROLE CMM'!#REF!))</f>
        <v/>
      </c>
      <c r="BT341" s="223">
        <f>IF('CONTROLE GLOBO AÇOS'!X343="","",'CONTROLE GLOBO AÇOS'!X343)</f>
        <v/>
      </c>
      <c r="BU341" s="223">
        <f>IF('CONTROLE GLOBO AÇOS'!Y343="","",'CONTROLE GLOBO AÇOS'!Y343)</f>
        <v/>
      </c>
      <c r="BV341" s="223">
        <f>IF(AND('CONTROLE EJ'!U343="",'CONTROLE CMM'!#REF!=""),"",N('CONTROLE EJ'!U343)+N('CONTROLE CMM'!#REF!))</f>
        <v/>
      </c>
      <c r="BW341" s="223">
        <f>IF(#REF!="","",#REF!)</f>
        <v/>
      </c>
    </row>
    <row r="342">
      <c r="A342" s="282" t="n">
        <v>46559</v>
      </c>
      <c r="B342" s="18">
        <f>IF('CONTROLE EJ'!B344="","",'CONTROLE EJ'!B344)</f>
        <v/>
      </c>
      <c r="C342" s="18">
        <f>IF('CONTROLE EJ'!C344="","",'CONTROLE EJ'!C344)</f>
        <v/>
      </c>
      <c r="D342" s="26">
        <f>IF('CONTROLE EJ'!D344="","",'CONTROLE EJ'!D344)</f>
        <v/>
      </c>
      <c r="E342" s="43">
        <f>IF('CONTROLE CMM'!B344="","",'CONTROLE CMM'!B344)</f>
        <v/>
      </c>
      <c r="F342" s="18">
        <f>IF('CONTROLE CMM'!C344="","",'CONTROLE CMM'!C344)</f>
        <v/>
      </c>
      <c r="G342" s="26">
        <f>IF('CONTROLE CMM'!D344="","",'CONTROLE CMM'!D344)</f>
        <v/>
      </c>
      <c r="H342" s="18">
        <f>IF('CONTROLE GLOBO AÇOS'!B344="","",'CONTROLE GLOBO AÇOS'!B344)</f>
        <v/>
      </c>
      <c r="I342" s="18">
        <f>IF('CONTROLE GLOBO AÇOS'!C344="","",'CONTROLE GLOBO AÇOS'!C344)</f>
        <v/>
      </c>
      <c r="J342" s="18">
        <f>IF('CONTROLE GLOBO AÇOS'!D344="","",'CONTROLE GLOBO AÇOS'!D344)</f>
        <v/>
      </c>
      <c r="AD342" s="39">
        <f>IF($A342="",0,IF(AND(WEEKDAY($A342,2)&lt;=5,OR($B342&lt;&gt;"",$C342&lt;&gt;"",$D342&lt;&gt;"")),1,0))</f>
        <v/>
      </c>
      <c r="AE342" s="39">
        <f>IF($A342="",0,IF(AND(WEEKDAY($A342,2)&lt;=5,OR($E342&lt;&gt;"",$F342&lt;&gt;"",$G342&lt;&gt;"")),1,0))</f>
        <v/>
      </c>
      <c r="AF342" s="39">
        <f>MAX(AD342,AE342)</f>
        <v/>
      </c>
      <c r="AH342" s="223">
        <f>IF('CONTROLE GLOBO AÇOS'!E344="","",'CONTROLE GLOBO AÇOS'!E344)</f>
        <v/>
      </c>
      <c r="AI342" s="223">
        <f>IF('CONTROLE GLOBO AÇOS'!F344="","",'CONTROLE GLOBO AÇOS'!F344)</f>
        <v/>
      </c>
      <c r="AJ342" s="223">
        <f>IF(AND('CONTROLE EJ'!E344="",'CONTROLE CMM'!E344=""),"",N('CONTROLE EJ'!E344)+N('CONTROLE CMM'!E344))</f>
        <v/>
      </c>
      <c r="AK342" s="223">
        <f>IF(AND('CONTROLE EJ'!F344="",'CONTROLE CMM'!F344=""),"",N('CONTROLE EJ'!F344)+N('CONTROLE CMM'!F344))</f>
        <v/>
      </c>
      <c r="AL342" s="223">
        <f>IF(AND('CONTROLE EJ'!G344="",'CONTROLE CMM'!G344=""),"",N('CONTROLE EJ'!G344)+N('CONTROLE CMM'!G344))</f>
        <v/>
      </c>
      <c r="AM342" s="223">
        <f>IF(AND('CONTROLE EJ'!H344="",'CONTROLE CMM'!H344=""),"",N('CONTROLE EJ'!H344)+N('CONTROLE CMM'!H344))</f>
        <v/>
      </c>
      <c r="AN342" s="223">
        <f>IF('CONTROLE GLOBO AÇOS'!G344="","",'CONTROLE GLOBO AÇOS'!G344)</f>
        <v/>
      </c>
      <c r="AO342" s="223">
        <f>IF('CONTROLE GLOBO AÇOS'!H344="","",'CONTROLE GLOBO AÇOS'!H344)</f>
        <v/>
      </c>
      <c r="AP342" s="223">
        <f>IF(AND('CONTROLE EJ'!I344="",'CONTROLE CMM'!I344=""),"",N('CONTROLE EJ'!I344)+N('CONTROLE CMM'!I344))</f>
        <v/>
      </c>
      <c r="AQ342" s="223">
        <f>IF(AND('CONTROLE EJ'!J344="",'CONTROLE CMM'!#REF!=""),"",N('CONTROLE EJ'!J344)+N('CONTROLE CMM'!#REF!))</f>
        <v/>
      </c>
      <c r="AR342" s="223">
        <f>IF('CONTROLE GLOBO AÇOS'!I344="","",'CONTROLE GLOBO AÇOS'!I344)</f>
        <v/>
      </c>
      <c r="AS342" s="223">
        <f>IF('CONTROLE GLOBO AÇOS'!J344="","",'CONTROLE GLOBO AÇOS'!J344)</f>
        <v/>
      </c>
      <c r="AT342" s="223">
        <f>IF(#REF!="","",#REF!)</f>
        <v/>
      </c>
      <c r="AU342" s="223">
        <f>IF('CONTROLE GLOBO AÇOS'!K344="","",'CONTROLE GLOBO AÇOS'!K344)</f>
        <v/>
      </c>
      <c r="AV342" s="223">
        <f>IF(AND('CONTROLE EJ'!K344="",'CONTROLE CMM'!#REF!=""),"",N('CONTROLE EJ'!K344)+N('CONTROLE CMM'!#REF!))</f>
        <v/>
      </c>
      <c r="AW342" s="223">
        <f>IF('CONTROLE GLOBO AÇOS'!L344="","",'CONTROLE GLOBO AÇOS'!L344)</f>
        <v/>
      </c>
      <c r="AX342" s="223">
        <f>IF(AND('CONTROLE EJ'!L344="",'CONTROLE CMM'!#REF!=""),"",N('CONTROLE EJ'!L344)+N('CONTROLE CMM'!#REF!))</f>
        <v/>
      </c>
      <c r="AY342" s="223">
        <f>IF('CONTROLE GLOBO AÇOS'!M344="","",'CONTROLE GLOBO AÇOS'!M344)</f>
        <v/>
      </c>
      <c r="AZ342" s="223">
        <f>IF('CONTROLE GLOBO AÇOS'!N344="","",'CONTROLE GLOBO AÇOS'!N344)</f>
        <v/>
      </c>
      <c r="BA342" s="223">
        <f>IF(AND('CONTROLE EJ'!M344="",'CONTROLE CMM'!#REF!=""),"",N('CONTROLE EJ'!M344)+N('CONTROLE CMM'!#REF!))</f>
        <v/>
      </c>
      <c r="BB342" s="223">
        <f>IF(#REF!="","",#REF!)</f>
        <v/>
      </c>
      <c r="BC342" s="223">
        <f>IF('CONTROLE GLOBO AÇOS'!O344="","",'CONTROLE GLOBO AÇOS'!O344)</f>
        <v/>
      </c>
      <c r="BD342" s="223">
        <f>IF(AND('CONTROLE EJ'!N344="",'CONTROLE CMM'!#REF!=""),"",N('CONTROLE EJ'!N344)+N('CONTROLE CMM'!#REF!))</f>
        <v/>
      </c>
      <c r="BE342" s="223">
        <f>IF('CONTROLE GLOBO AÇOS'!P344="","",'CONTROLE GLOBO AÇOS'!P344)</f>
        <v/>
      </c>
      <c r="BF342" s="223">
        <f>IF('CONTROLE GLOBO AÇOS'!Q344="","",'CONTROLE GLOBO AÇOS'!Q344)</f>
        <v/>
      </c>
      <c r="BG342" s="223">
        <f>IF('CONTROLE GLOBO AÇOS'!R344="","",'CONTROLE GLOBO AÇOS'!R344)</f>
        <v/>
      </c>
      <c r="BH342" s="223">
        <f>IF(AND('CONTROLE EJ'!O344="",'CONTROLE CMM'!#REF!=""),"",N('CONTROLE EJ'!O344)+N('CONTROLE CMM'!#REF!))</f>
        <v/>
      </c>
      <c r="BI342" s="223">
        <f>IF('CONTROLE GLOBO AÇOS'!S344="","",'CONTROLE GLOBO AÇOS'!S344)</f>
        <v/>
      </c>
      <c r="BJ342" s="223">
        <f>IF('CONTROLE GLOBO AÇOS'!T344="","",'CONTROLE GLOBO AÇOS'!T344)</f>
        <v/>
      </c>
      <c r="BK342" s="223">
        <f>IF('CONTROLE GLOBO AÇOS'!U344="","",'CONTROLE GLOBO AÇOS'!U344)</f>
        <v/>
      </c>
      <c r="BL342" s="223">
        <f>IF(AND('CONTROLE EJ'!P344="",'CONTROLE CMM'!#REF!=""),"",N('CONTROLE EJ'!P344)+N('CONTROLE CMM'!#REF!))</f>
        <v/>
      </c>
      <c r="BM342" s="223">
        <f>IF(AND('CONTROLE EJ'!Q344="",'CONTROLE CMM'!#REF!=""),"",N('CONTROLE EJ'!Q344)+N('CONTROLE CMM'!#REF!))</f>
        <v/>
      </c>
      <c r="BN342" s="223">
        <f>IF('CONTROLE GLOBO AÇOS'!V344="","",'CONTROLE GLOBO AÇOS'!V344)</f>
        <v/>
      </c>
      <c r="BO342" s="223">
        <f>IF('CONTROLE GLOBO AÇOS'!W344="","",'CONTROLE GLOBO AÇOS'!W344)</f>
        <v/>
      </c>
      <c r="BP342" s="223">
        <f>IF(AND('CONTROLE EJ'!R344="",'CONTROLE CMM'!#REF!=""),"",N('CONTROLE EJ'!R344)+N('CONTROLE CMM'!#REF!))</f>
        <v/>
      </c>
      <c r="BQ342" s="223">
        <f>IF(#REF!="","",#REF!)</f>
        <v/>
      </c>
      <c r="BR342" s="223">
        <f>IF(AND('CONTROLE EJ'!S344="",'CONTROLE CMM'!#REF!=""),"",N('CONTROLE EJ'!S344)+N('CONTROLE CMM'!#REF!))</f>
        <v/>
      </c>
      <c r="BS342" s="223">
        <f>IF(AND('CONTROLE EJ'!T344="",'CONTROLE CMM'!#REF!=""),"",N('CONTROLE EJ'!T344)+N('CONTROLE CMM'!#REF!))</f>
        <v/>
      </c>
      <c r="BT342" s="223">
        <f>IF('CONTROLE GLOBO AÇOS'!X344="","",'CONTROLE GLOBO AÇOS'!X344)</f>
        <v/>
      </c>
      <c r="BU342" s="223">
        <f>IF('CONTROLE GLOBO AÇOS'!Y344="","",'CONTROLE GLOBO AÇOS'!Y344)</f>
        <v/>
      </c>
      <c r="BV342" s="223">
        <f>IF(AND('CONTROLE EJ'!U344="",'CONTROLE CMM'!#REF!=""),"",N('CONTROLE EJ'!U344)+N('CONTROLE CMM'!#REF!))</f>
        <v/>
      </c>
      <c r="BW342" s="223">
        <f>IF(#REF!="","",#REF!)</f>
        <v/>
      </c>
    </row>
    <row r="343">
      <c r="A343" s="282" t="n">
        <v>46560</v>
      </c>
      <c r="B343" s="18">
        <f>IF('CONTROLE EJ'!B345="","",'CONTROLE EJ'!B345)</f>
        <v/>
      </c>
      <c r="C343" s="18">
        <f>IF('CONTROLE EJ'!C345="","",'CONTROLE EJ'!C345)</f>
        <v/>
      </c>
      <c r="D343" s="26">
        <f>IF('CONTROLE EJ'!D345="","",'CONTROLE EJ'!D345)</f>
        <v/>
      </c>
      <c r="E343" s="43">
        <f>IF('CONTROLE CMM'!B345="","",'CONTROLE CMM'!B345)</f>
        <v/>
      </c>
      <c r="F343" s="18">
        <f>IF('CONTROLE CMM'!C345="","",'CONTROLE CMM'!C345)</f>
        <v/>
      </c>
      <c r="G343" s="26">
        <f>IF('CONTROLE CMM'!D345="","",'CONTROLE CMM'!D345)</f>
        <v/>
      </c>
      <c r="H343" s="18">
        <f>IF('CONTROLE GLOBO AÇOS'!B345="","",'CONTROLE GLOBO AÇOS'!B345)</f>
        <v/>
      </c>
      <c r="I343" s="18">
        <f>IF('CONTROLE GLOBO AÇOS'!C345="","",'CONTROLE GLOBO AÇOS'!C345)</f>
        <v/>
      </c>
      <c r="J343" s="18">
        <f>IF('CONTROLE GLOBO AÇOS'!D345="","",'CONTROLE GLOBO AÇOS'!D345)</f>
        <v/>
      </c>
      <c r="AD343" s="39">
        <f>IF($A343="",0,IF(AND(WEEKDAY($A343,2)&lt;=5,OR($B343&lt;&gt;"",$C343&lt;&gt;"",$D343&lt;&gt;"")),1,0))</f>
        <v/>
      </c>
      <c r="AE343" s="39">
        <f>IF($A343="",0,IF(AND(WEEKDAY($A343,2)&lt;=5,OR($E343&lt;&gt;"",$F343&lt;&gt;"",$G343&lt;&gt;"")),1,0))</f>
        <v/>
      </c>
      <c r="AF343" s="39">
        <f>MAX(AD343,AE343)</f>
        <v/>
      </c>
      <c r="AH343" s="223">
        <f>IF('CONTROLE GLOBO AÇOS'!E345="","",'CONTROLE GLOBO AÇOS'!E345)</f>
        <v/>
      </c>
      <c r="AI343" s="223">
        <f>IF('CONTROLE GLOBO AÇOS'!F345="","",'CONTROLE GLOBO AÇOS'!F345)</f>
        <v/>
      </c>
      <c r="AJ343" s="223">
        <f>IF(AND('CONTROLE EJ'!E345="",'CONTROLE CMM'!E345=""),"",N('CONTROLE EJ'!E345)+N('CONTROLE CMM'!E345))</f>
        <v/>
      </c>
      <c r="AK343" s="223">
        <f>IF(AND('CONTROLE EJ'!F345="",'CONTROLE CMM'!F345=""),"",N('CONTROLE EJ'!F345)+N('CONTROLE CMM'!F345))</f>
        <v/>
      </c>
      <c r="AL343" s="223">
        <f>IF(AND('CONTROLE EJ'!G345="",'CONTROLE CMM'!G345=""),"",N('CONTROLE EJ'!G345)+N('CONTROLE CMM'!G345))</f>
        <v/>
      </c>
      <c r="AM343" s="223">
        <f>IF(AND('CONTROLE EJ'!H345="",'CONTROLE CMM'!H345=""),"",N('CONTROLE EJ'!H345)+N('CONTROLE CMM'!H345))</f>
        <v/>
      </c>
      <c r="AN343" s="223">
        <f>IF('CONTROLE GLOBO AÇOS'!G345="","",'CONTROLE GLOBO AÇOS'!G345)</f>
        <v/>
      </c>
      <c r="AO343" s="223">
        <f>IF('CONTROLE GLOBO AÇOS'!H345="","",'CONTROLE GLOBO AÇOS'!H345)</f>
        <v/>
      </c>
      <c r="AP343" s="223">
        <f>IF(AND('CONTROLE EJ'!I345="",'CONTROLE CMM'!I345=""),"",N('CONTROLE EJ'!I345)+N('CONTROLE CMM'!I345))</f>
        <v/>
      </c>
      <c r="AQ343" s="223">
        <f>IF(AND('CONTROLE EJ'!J345="",'CONTROLE CMM'!#REF!=""),"",N('CONTROLE EJ'!J345)+N('CONTROLE CMM'!#REF!))</f>
        <v/>
      </c>
      <c r="AR343" s="223">
        <f>IF('CONTROLE GLOBO AÇOS'!I345="","",'CONTROLE GLOBO AÇOS'!I345)</f>
        <v/>
      </c>
      <c r="AS343" s="223">
        <f>IF('CONTROLE GLOBO AÇOS'!J345="","",'CONTROLE GLOBO AÇOS'!J345)</f>
        <v/>
      </c>
      <c r="AT343" s="223">
        <f>IF(#REF!="","",#REF!)</f>
        <v/>
      </c>
      <c r="AU343" s="223">
        <f>IF('CONTROLE GLOBO AÇOS'!K345="","",'CONTROLE GLOBO AÇOS'!K345)</f>
        <v/>
      </c>
      <c r="AV343" s="223">
        <f>IF(AND('CONTROLE EJ'!K345="",'CONTROLE CMM'!#REF!=""),"",N('CONTROLE EJ'!K345)+N('CONTROLE CMM'!#REF!))</f>
        <v/>
      </c>
      <c r="AW343" s="223">
        <f>IF('CONTROLE GLOBO AÇOS'!L345="","",'CONTROLE GLOBO AÇOS'!L345)</f>
        <v/>
      </c>
      <c r="AX343" s="223">
        <f>IF(AND('CONTROLE EJ'!L345="",'CONTROLE CMM'!#REF!=""),"",N('CONTROLE EJ'!L345)+N('CONTROLE CMM'!#REF!))</f>
        <v/>
      </c>
      <c r="AY343" s="223">
        <f>IF('CONTROLE GLOBO AÇOS'!M345="","",'CONTROLE GLOBO AÇOS'!M345)</f>
        <v/>
      </c>
      <c r="AZ343" s="223">
        <f>IF('CONTROLE GLOBO AÇOS'!N345="","",'CONTROLE GLOBO AÇOS'!N345)</f>
        <v/>
      </c>
      <c r="BA343" s="223">
        <f>IF(AND('CONTROLE EJ'!M345="",'CONTROLE CMM'!#REF!=""),"",N('CONTROLE EJ'!M345)+N('CONTROLE CMM'!#REF!))</f>
        <v/>
      </c>
      <c r="BB343" s="223">
        <f>IF(#REF!="","",#REF!)</f>
        <v/>
      </c>
      <c r="BC343" s="223">
        <f>IF('CONTROLE GLOBO AÇOS'!O345="","",'CONTROLE GLOBO AÇOS'!O345)</f>
        <v/>
      </c>
      <c r="BD343" s="223">
        <f>IF(AND('CONTROLE EJ'!N345="",'CONTROLE CMM'!#REF!=""),"",N('CONTROLE EJ'!N345)+N('CONTROLE CMM'!#REF!))</f>
        <v/>
      </c>
      <c r="BE343" s="223">
        <f>IF('CONTROLE GLOBO AÇOS'!P345="","",'CONTROLE GLOBO AÇOS'!P345)</f>
        <v/>
      </c>
      <c r="BF343" s="223">
        <f>IF('CONTROLE GLOBO AÇOS'!Q345="","",'CONTROLE GLOBO AÇOS'!Q345)</f>
        <v/>
      </c>
      <c r="BG343" s="223">
        <f>IF('CONTROLE GLOBO AÇOS'!R345="","",'CONTROLE GLOBO AÇOS'!R345)</f>
        <v/>
      </c>
      <c r="BH343" s="223">
        <f>IF(AND('CONTROLE EJ'!O345="",'CONTROLE CMM'!#REF!=""),"",N('CONTROLE EJ'!O345)+N('CONTROLE CMM'!#REF!))</f>
        <v/>
      </c>
      <c r="BI343" s="223">
        <f>IF('CONTROLE GLOBO AÇOS'!S345="","",'CONTROLE GLOBO AÇOS'!S345)</f>
        <v/>
      </c>
      <c r="BJ343" s="223">
        <f>IF('CONTROLE GLOBO AÇOS'!T345="","",'CONTROLE GLOBO AÇOS'!T345)</f>
        <v/>
      </c>
      <c r="BK343" s="223">
        <f>IF('CONTROLE GLOBO AÇOS'!U345="","",'CONTROLE GLOBO AÇOS'!U345)</f>
        <v/>
      </c>
      <c r="BL343" s="223">
        <f>IF(AND('CONTROLE EJ'!P345="",'CONTROLE CMM'!#REF!=""),"",N('CONTROLE EJ'!P345)+N('CONTROLE CMM'!#REF!))</f>
        <v/>
      </c>
      <c r="BM343" s="223">
        <f>IF(AND('CONTROLE EJ'!Q345="",'CONTROLE CMM'!#REF!=""),"",N('CONTROLE EJ'!Q345)+N('CONTROLE CMM'!#REF!))</f>
        <v/>
      </c>
      <c r="BN343" s="223">
        <f>IF('CONTROLE GLOBO AÇOS'!V345="","",'CONTROLE GLOBO AÇOS'!V345)</f>
        <v/>
      </c>
      <c r="BO343" s="223">
        <f>IF('CONTROLE GLOBO AÇOS'!W345="","",'CONTROLE GLOBO AÇOS'!W345)</f>
        <v/>
      </c>
      <c r="BP343" s="223">
        <f>IF(AND('CONTROLE EJ'!R345="",'CONTROLE CMM'!#REF!=""),"",N('CONTROLE EJ'!R345)+N('CONTROLE CMM'!#REF!))</f>
        <v/>
      </c>
      <c r="BQ343" s="223">
        <f>IF(#REF!="","",#REF!)</f>
        <v/>
      </c>
      <c r="BR343" s="223">
        <f>IF(AND('CONTROLE EJ'!S345="",'CONTROLE CMM'!#REF!=""),"",N('CONTROLE EJ'!S345)+N('CONTROLE CMM'!#REF!))</f>
        <v/>
      </c>
      <c r="BS343" s="223">
        <f>IF(AND('CONTROLE EJ'!T345="",'CONTROLE CMM'!#REF!=""),"",N('CONTROLE EJ'!T345)+N('CONTROLE CMM'!#REF!))</f>
        <v/>
      </c>
      <c r="BT343" s="223">
        <f>IF('CONTROLE GLOBO AÇOS'!X345="","",'CONTROLE GLOBO AÇOS'!X345)</f>
        <v/>
      </c>
      <c r="BU343" s="223">
        <f>IF('CONTROLE GLOBO AÇOS'!Y345="","",'CONTROLE GLOBO AÇOS'!Y345)</f>
        <v/>
      </c>
      <c r="BV343" s="223">
        <f>IF(AND('CONTROLE EJ'!U345="",'CONTROLE CMM'!#REF!=""),"",N('CONTROLE EJ'!U345)+N('CONTROLE CMM'!#REF!))</f>
        <v/>
      </c>
      <c r="BW343" s="223">
        <f>IF(#REF!="","",#REF!)</f>
        <v/>
      </c>
    </row>
    <row r="344">
      <c r="A344" s="282" t="n">
        <v>46561</v>
      </c>
      <c r="B344" s="18">
        <f>IF('CONTROLE EJ'!B346="","",'CONTROLE EJ'!B346)</f>
        <v/>
      </c>
      <c r="C344" s="18">
        <f>IF('CONTROLE EJ'!C346="","",'CONTROLE EJ'!C346)</f>
        <v/>
      </c>
      <c r="D344" s="26">
        <f>IF('CONTROLE EJ'!D346="","",'CONTROLE EJ'!D346)</f>
        <v/>
      </c>
      <c r="E344" s="43">
        <f>IF('CONTROLE CMM'!B346="","",'CONTROLE CMM'!B346)</f>
        <v/>
      </c>
      <c r="F344" s="18">
        <f>IF('CONTROLE CMM'!C346="","",'CONTROLE CMM'!C346)</f>
        <v/>
      </c>
      <c r="G344" s="26">
        <f>IF('CONTROLE CMM'!D346="","",'CONTROLE CMM'!D346)</f>
        <v/>
      </c>
      <c r="H344" s="18">
        <f>IF('CONTROLE GLOBO AÇOS'!B346="","",'CONTROLE GLOBO AÇOS'!B346)</f>
        <v/>
      </c>
      <c r="I344" s="18">
        <f>IF('CONTROLE GLOBO AÇOS'!C346="","",'CONTROLE GLOBO AÇOS'!C346)</f>
        <v/>
      </c>
      <c r="J344" s="18">
        <f>IF('CONTROLE GLOBO AÇOS'!D346="","",'CONTROLE GLOBO AÇOS'!D346)</f>
        <v/>
      </c>
      <c r="AD344" s="39">
        <f>IF($A344="",0,IF(AND(WEEKDAY($A344,2)&lt;=5,OR($B344&lt;&gt;"",$C344&lt;&gt;"",$D344&lt;&gt;"")),1,0))</f>
        <v/>
      </c>
      <c r="AE344" s="39">
        <f>IF($A344="",0,IF(AND(WEEKDAY($A344,2)&lt;=5,OR($E344&lt;&gt;"",$F344&lt;&gt;"",$G344&lt;&gt;"")),1,0))</f>
        <v/>
      </c>
      <c r="AF344" s="39">
        <f>MAX(AD344,AE344)</f>
        <v/>
      </c>
      <c r="AH344" s="223">
        <f>IF('CONTROLE GLOBO AÇOS'!E346="","",'CONTROLE GLOBO AÇOS'!E346)</f>
        <v/>
      </c>
      <c r="AI344" s="223">
        <f>IF('CONTROLE GLOBO AÇOS'!F346="","",'CONTROLE GLOBO AÇOS'!F346)</f>
        <v/>
      </c>
      <c r="AJ344" s="223">
        <f>IF(AND('CONTROLE EJ'!E346="",'CONTROLE CMM'!E346=""),"",N('CONTROLE EJ'!E346)+N('CONTROLE CMM'!E346))</f>
        <v/>
      </c>
      <c r="AK344" s="223">
        <f>IF(AND('CONTROLE EJ'!F346="",'CONTROLE CMM'!F346=""),"",N('CONTROLE EJ'!F346)+N('CONTROLE CMM'!F346))</f>
        <v/>
      </c>
      <c r="AL344" s="223">
        <f>IF(AND('CONTROLE EJ'!G346="",'CONTROLE CMM'!G346=""),"",N('CONTROLE EJ'!G346)+N('CONTROLE CMM'!G346))</f>
        <v/>
      </c>
      <c r="AM344" s="223">
        <f>IF(AND('CONTROLE EJ'!H346="",'CONTROLE CMM'!H346=""),"",N('CONTROLE EJ'!H346)+N('CONTROLE CMM'!H346))</f>
        <v/>
      </c>
      <c r="AN344" s="223">
        <f>IF('CONTROLE GLOBO AÇOS'!G346="","",'CONTROLE GLOBO AÇOS'!G346)</f>
        <v/>
      </c>
      <c r="AO344" s="223">
        <f>IF('CONTROLE GLOBO AÇOS'!H346="","",'CONTROLE GLOBO AÇOS'!H346)</f>
        <v/>
      </c>
      <c r="AP344" s="223">
        <f>IF(AND('CONTROLE EJ'!I346="",'CONTROLE CMM'!I346=""),"",N('CONTROLE EJ'!I346)+N('CONTROLE CMM'!I346))</f>
        <v/>
      </c>
      <c r="AQ344" s="223">
        <f>IF(AND('CONTROLE EJ'!J346="",'CONTROLE CMM'!#REF!=""),"",N('CONTROLE EJ'!J346)+N('CONTROLE CMM'!#REF!))</f>
        <v/>
      </c>
      <c r="AR344" s="223">
        <f>IF('CONTROLE GLOBO AÇOS'!I346="","",'CONTROLE GLOBO AÇOS'!I346)</f>
        <v/>
      </c>
      <c r="AS344" s="223">
        <f>IF('CONTROLE GLOBO AÇOS'!J346="","",'CONTROLE GLOBO AÇOS'!J346)</f>
        <v/>
      </c>
      <c r="AT344" s="223">
        <f>IF(#REF!="","",#REF!)</f>
        <v/>
      </c>
      <c r="AU344" s="223">
        <f>IF('CONTROLE GLOBO AÇOS'!K346="","",'CONTROLE GLOBO AÇOS'!K346)</f>
        <v/>
      </c>
      <c r="AV344" s="223">
        <f>IF(AND('CONTROLE EJ'!K346="",'CONTROLE CMM'!#REF!=""),"",N('CONTROLE EJ'!K346)+N('CONTROLE CMM'!#REF!))</f>
        <v/>
      </c>
      <c r="AW344" s="223">
        <f>IF('CONTROLE GLOBO AÇOS'!L346="","",'CONTROLE GLOBO AÇOS'!L346)</f>
        <v/>
      </c>
      <c r="AX344" s="223">
        <f>IF(AND('CONTROLE EJ'!L346="",'CONTROLE CMM'!#REF!=""),"",N('CONTROLE EJ'!L346)+N('CONTROLE CMM'!#REF!))</f>
        <v/>
      </c>
      <c r="AY344" s="223">
        <f>IF('CONTROLE GLOBO AÇOS'!M346="","",'CONTROLE GLOBO AÇOS'!M346)</f>
        <v/>
      </c>
      <c r="AZ344" s="223">
        <f>IF('CONTROLE GLOBO AÇOS'!N346="","",'CONTROLE GLOBO AÇOS'!N346)</f>
        <v/>
      </c>
      <c r="BA344" s="223">
        <f>IF(AND('CONTROLE EJ'!M346="",'CONTROLE CMM'!#REF!=""),"",N('CONTROLE EJ'!M346)+N('CONTROLE CMM'!#REF!))</f>
        <v/>
      </c>
      <c r="BB344" s="223">
        <f>IF(#REF!="","",#REF!)</f>
        <v/>
      </c>
      <c r="BC344" s="223">
        <f>IF('CONTROLE GLOBO AÇOS'!O346="","",'CONTROLE GLOBO AÇOS'!O346)</f>
        <v/>
      </c>
      <c r="BD344" s="223">
        <f>IF(AND('CONTROLE EJ'!N346="",'CONTROLE CMM'!#REF!=""),"",N('CONTROLE EJ'!N346)+N('CONTROLE CMM'!#REF!))</f>
        <v/>
      </c>
      <c r="BE344" s="223">
        <f>IF('CONTROLE GLOBO AÇOS'!P346="","",'CONTROLE GLOBO AÇOS'!P346)</f>
        <v/>
      </c>
      <c r="BF344" s="223">
        <f>IF('CONTROLE GLOBO AÇOS'!Q346="","",'CONTROLE GLOBO AÇOS'!Q346)</f>
        <v/>
      </c>
      <c r="BG344" s="223">
        <f>IF('CONTROLE GLOBO AÇOS'!R346="","",'CONTROLE GLOBO AÇOS'!R346)</f>
        <v/>
      </c>
      <c r="BH344" s="223">
        <f>IF(AND('CONTROLE EJ'!O346="",'CONTROLE CMM'!#REF!=""),"",N('CONTROLE EJ'!O346)+N('CONTROLE CMM'!#REF!))</f>
        <v/>
      </c>
      <c r="BI344" s="223">
        <f>IF('CONTROLE GLOBO AÇOS'!S346="","",'CONTROLE GLOBO AÇOS'!S346)</f>
        <v/>
      </c>
      <c r="BJ344" s="223">
        <f>IF('CONTROLE GLOBO AÇOS'!T346="","",'CONTROLE GLOBO AÇOS'!T346)</f>
        <v/>
      </c>
      <c r="BK344" s="223">
        <f>IF('CONTROLE GLOBO AÇOS'!U346="","",'CONTROLE GLOBO AÇOS'!U346)</f>
        <v/>
      </c>
      <c r="BL344" s="223">
        <f>IF(AND('CONTROLE EJ'!P346="",'CONTROLE CMM'!#REF!=""),"",N('CONTROLE EJ'!P346)+N('CONTROLE CMM'!#REF!))</f>
        <v/>
      </c>
      <c r="BM344" s="223">
        <f>IF(AND('CONTROLE EJ'!Q346="",'CONTROLE CMM'!#REF!=""),"",N('CONTROLE EJ'!Q346)+N('CONTROLE CMM'!#REF!))</f>
        <v/>
      </c>
      <c r="BN344" s="223">
        <f>IF('CONTROLE GLOBO AÇOS'!V346="","",'CONTROLE GLOBO AÇOS'!V346)</f>
        <v/>
      </c>
      <c r="BO344" s="223">
        <f>IF('CONTROLE GLOBO AÇOS'!W346="","",'CONTROLE GLOBO AÇOS'!W346)</f>
        <v/>
      </c>
      <c r="BP344" s="223">
        <f>IF(AND('CONTROLE EJ'!R346="",'CONTROLE CMM'!#REF!=""),"",N('CONTROLE EJ'!R346)+N('CONTROLE CMM'!#REF!))</f>
        <v/>
      </c>
      <c r="BQ344" s="223">
        <f>IF(#REF!="","",#REF!)</f>
        <v/>
      </c>
      <c r="BR344" s="223">
        <f>IF(AND('CONTROLE EJ'!S346="",'CONTROLE CMM'!#REF!=""),"",N('CONTROLE EJ'!S346)+N('CONTROLE CMM'!#REF!))</f>
        <v/>
      </c>
      <c r="BS344" s="223">
        <f>IF(AND('CONTROLE EJ'!T346="",'CONTROLE CMM'!#REF!=""),"",N('CONTROLE EJ'!T346)+N('CONTROLE CMM'!#REF!))</f>
        <v/>
      </c>
      <c r="BT344" s="223">
        <f>IF('CONTROLE GLOBO AÇOS'!X346="","",'CONTROLE GLOBO AÇOS'!X346)</f>
        <v/>
      </c>
      <c r="BU344" s="223">
        <f>IF('CONTROLE GLOBO AÇOS'!Y346="","",'CONTROLE GLOBO AÇOS'!Y346)</f>
        <v/>
      </c>
      <c r="BV344" s="223">
        <f>IF(AND('CONTROLE EJ'!U346="",'CONTROLE CMM'!#REF!=""),"",N('CONTROLE EJ'!U346)+N('CONTROLE CMM'!#REF!))</f>
        <v/>
      </c>
      <c r="BW344" s="223">
        <f>IF(#REF!="","",#REF!)</f>
        <v/>
      </c>
    </row>
    <row r="345">
      <c r="A345" s="282" t="n">
        <v>46562</v>
      </c>
      <c r="B345" s="18">
        <f>IF('CONTROLE EJ'!B347="","",'CONTROLE EJ'!B347)</f>
        <v/>
      </c>
      <c r="C345" s="18">
        <f>IF('CONTROLE EJ'!C347="","",'CONTROLE EJ'!C347)</f>
        <v/>
      </c>
      <c r="D345" s="26">
        <f>IF('CONTROLE EJ'!D347="","",'CONTROLE EJ'!D347)</f>
        <v/>
      </c>
      <c r="E345" s="43">
        <f>IF('CONTROLE CMM'!B347="","",'CONTROLE CMM'!B347)</f>
        <v/>
      </c>
      <c r="F345" s="18">
        <f>IF('CONTROLE CMM'!C347="","",'CONTROLE CMM'!C347)</f>
        <v/>
      </c>
      <c r="G345" s="26">
        <f>IF('CONTROLE CMM'!D347="","",'CONTROLE CMM'!D347)</f>
        <v/>
      </c>
      <c r="H345" s="18">
        <f>IF('CONTROLE GLOBO AÇOS'!B347="","",'CONTROLE GLOBO AÇOS'!B347)</f>
        <v/>
      </c>
      <c r="I345" s="18">
        <f>IF('CONTROLE GLOBO AÇOS'!C347="","",'CONTROLE GLOBO AÇOS'!C347)</f>
        <v/>
      </c>
      <c r="J345" s="18">
        <f>IF('CONTROLE GLOBO AÇOS'!D347="","",'CONTROLE GLOBO AÇOS'!D347)</f>
        <v/>
      </c>
      <c r="AD345" s="39">
        <f>IF($A345="",0,IF(AND(WEEKDAY($A345,2)&lt;=5,OR($B345&lt;&gt;"",$C345&lt;&gt;"",$D345&lt;&gt;"")),1,0))</f>
        <v/>
      </c>
      <c r="AE345" s="39">
        <f>IF($A345="",0,IF(AND(WEEKDAY($A345,2)&lt;=5,OR($E345&lt;&gt;"",$F345&lt;&gt;"",$G345&lt;&gt;"")),1,0))</f>
        <v/>
      </c>
      <c r="AF345" s="39">
        <f>MAX(AD345,AE345)</f>
        <v/>
      </c>
      <c r="AH345" s="223">
        <f>IF('CONTROLE GLOBO AÇOS'!E347="","",'CONTROLE GLOBO AÇOS'!E347)</f>
        <v/>
      </c>
      <c r="AI345" s="223">
        <f>IF('CONTROLE GLOBO AÇOS'!F347="","",'CONTROLE GLOBO AÇOS'!F347)</f>
        <v/>
      </c>
      <c r="AJ345" s="223">
        <f>IF(AND('CONTROLE EJ'!E347="",'CONTROLE CMM'!E347=""),"",N('CONTROLE EJ'!E347)+N('CONTROLE CMM'!E347))</f>
        <v/>
      </c>
      <c r="AK345" s="223">
        <f>IF(AND('CONTROLE EJ'!F347="",'CONTROLE CMM'!F347=""),"",N('CONTROLE EJ'!F347)+N('CONTROLE CMM'!F347))</f>
        <v/>
      </c>
      <c r="AL345" s="223">
        <f>IF(AND('CONTROLE EJ'!G347="",'CONTROLE CMM'!G347=""),"",N('CONTROLE EJ'!G347)+N('CONTROLE CMM'!G347))</f>
        <v/>
      </c>
      <c r="AM345" s="223">
        <f>IF(AND('CONTROLE EJ'!H347="",'CONTROLE CMM'!H347=""),"",N('CONTROLE EJ'!H347)+N('CONTROLE CMM'!H347))</f>
        <v/>
      </c>
      <c r="AN345" s="223">
        <f>IF('CONTROLE GLOBO AÇOS'!G347="","",'CONTROLE GLOBO AÇOS'!G347)</f>
        <v/>
      </c>
      <c r="AO345" s="223">
        <f>IF('CONTROLE GLOBO AÇOS'!H347="","",'CONTROLE GLOBO AÇOS'!H347)</f>
        <v/>
      </c>
      <c r="AP345" s="223">
        <f>IF(AND('CONTROLE EJ'!I347="",'CONTROLE CMM'!I347=""),"",N('CONTROLE EJ'!I347)+N('CONTROLE CMM'!I347))</f>
        <v/>
      </c>
      <c r="AQ345" s="223">
        <f>IF(AND('CONTROLE EJ'!J347="",'CONTROLE CMM'!#REF!=""),"",N('CONTROLE EJ'!J347)+N('CONTROLE CMM'!#REF!))</f>
        <v/>
      </c>
      <c r="AR345" s="223">
        <f>IF('CONTROLE GLOBO AÇOS'!I347="","",'CONTROLE GLOBO AÇOS'!I347)</f>
        <v/>
      </c>
      <c r="AS345" s="223">
        <f>IF('CONTROLE GLOBO AÇOS'!J347="","",'CONTROLE GLOBO AÇOS'!J347)</f>
        <v/>
      </c>
      <c r="AT345" s="223">
        <f>IF(#REF!="","",#REF!)</f>
        <v/>
      </c>
      <c r="AU345" s="223">
        <f>IF('CONTROLE GLOBO AÇOS'!K347="","",'CONTROLE GLOBO AÇOS'!K347)</f>
        <v/>
      </c>
      <c r="AV345" s="223">
        <f>IF(AND('CONTROLE EJ'!K347="",'CONTROLE CMM'!#REF!=""),"",N('CONTROLE EJ'!K347)+N('CONTROLE CMM'!#REF!))</f>
        <v/>
      </c>
      <c r="AW345" s="223">
        <f>IF('CONTROLE GLOBO AÇOS'!L347="","",'CONTROLE GLOBO AÇOS'!L347)</f>
        <v/>
      </c>
      <c r="AX345" s="223">
        <f>IF(AND('CONTROLE EJ'!L347="",'CONTROLE CMM'!#REF!=""),"",N('CONTROLE EJ'!L347)+N('CONTROLE CMM'!#REF!))</f>
        <v/>
      </c>
      <c r="AY345" s="223">
        <f>IF('CONTROLE GLOBO AÇOS'!M347="","",'CONTROLE GLOBO AÇOS'!M347)</f>
        <v/>
      </c>
      <c r="AZ345" s="223">
        <f>IF('CONTROLE GLOBO AÇOS'!N347="","",'CONTROLE GLOBO AÇOS'!N347)</f>
        <v/>
      </c>
      <c r="BA345" s="223">
        <f>IF(AND('CONTROLE EJ'!M347="",'CONTROLE CMM'!#REF!=""),"",N('CONTROLE EJ'!M347)+N('CONTROLE CMM'!#REF!))</f>
        <v/>
      </c>
      <c r="BB345" s="223">
        <f>IF(#REF!="","",#REF!)</f>
        <v/>
      </c>
      <c r="BC345" s="223">
        <f>IF('CONTROLE GLOBO AÇOS'!O347="","",'CONTROLE GLOBO AÇOS'!O347)</f>
        <v/>
      </c>
      <c r="BD345" s="223">
        <f>IF(AND('CONTROLE EJ'!N347="",'CONTROLE CMM'!#REF!=""),"",N('CONTROLE EJ'!N347)+N('CONTROLE CMM'!#REF!))</f>
        <v/>
      </c>
      <c r="BE345" s="223">
        <f>IF('CONTROLE GLOBO AÇOS'!P347="","",'CONTROLE GLOBO AÇOS'!P347)</f>
        <v/>
      </c>
      <c r="BF345" s="223">
        <f>IF('CONTROLE GLOBO AÇOS'!Q347="","",'CONTROLE GLOBO AÇOS'!Q347)</f>
        <v/>
      </c>
      <c r="BG345" s="223">
        <f>IF('CONTROLE GLOBO AÇOS'!R347="","",'CONTROLE GLOBO AÇOS'!R347)</f>
        <v/>
      </c>
      <c r="BH345" s="223">
        <f>IF(AND('CONTROLE EJ'!O347="",'CONTROLE CMM'!#REF!=""),"",N('CONTROLE EJ'!O347)+N('CONTROLE CMM'!#REF!))</f>
        <v/>
      </c>
      <c r="BI345" s="223">
        <f>IF('CONTROLE GLOBO AÇOS'!S347="","",'CONTROLE GLOBO AÇOS'!S347)</f>
        <v/>
      </c>
      <c r="BJ345" s="223">
        <f>IF('CONTROLE GLOBO AÇOS'!T347="","",'CONTROLE GLOBO AÇOS'!T347)</f>
        <v/>
      </c>
      <c r="BK345" s="223">
        <f>IF('CONTROLE GLOBO AÇOS'!U347="","",'CONTROLE GLOBO AÇOS'!U347)</f>
        <v/>
      </c>
      <c r="BL345" s="223">
        <f>IF(AND('CONTROLE EJ'!P347="",'CONTROLE CMM'!#REF!=""),"",N('CONTROLE EJ'!P347)+N('CONTROLE CMM'!#REF!))</f>
        <v/>
      </c>
      <c r="BM345" s="223">
        <f>IF(AND('CONTROLE EJ'!Q347="",'CONTROLE CMM'!#REF!=""),"",N('CONTROLE EJ'!Q347)+N('CONTROLE CMM'!#REF!))</f>
        <v/>
      </c>
      <c r="BN345" s="223">
        <f>IF('CONTROLE GLOBO AÇOS'!V347="","",'CONTROLE GLOBO AÇOS'!V347)</f>
        <v/>
      </c>
      <c r="BO345" s="223">
        <f>IF('CONTROLE GLOBO AÇOS'!W347="","",'CONTROLE GLOBO AÇOS'!W347)</f>
        <v/>
      </c>
      <c r="BP345" s="223">
        <f>IF(AND('CONTROLE EJ'!R347="",'CONTROLE CMM'!#REF!=""),"",N('CONTROLE EJ'!R347)+N('CONTROLE CMM'!#REF!))</f>
        <v/>
      </c>
      <c r="BQ345" s="223">
        <f>IF(#REF!="","",#REF!)</f>
        <v/>
      </c>
      <c r="BR345" s="223">
        <f>IF(AND('CONTROLE EJ'!S347="",'CONTROLE CMM'!#REF!=""),"",N('CONTROLE EJ'!S347)+N('CONTROLE CMM'!#REF!))</f>
        <v/>
      </c>
      <c r="BS345" s="223">
        <f>IF(AND('CONTROLE EJ'!T347="",'CONTROLE CMM'!#REF!=""),"",N('CONTROLE EJ'!T347)+N('CONTROLE CMM'!#REF!))</f>
        <v/>
      </c>
      <c r="BT345" s="223">
        <f>IF('CONTROLE GLOBO AÇOS'!X347="","",'CONTROLE GLOBO AÇOS'!X347)</f>
        <v/>
      </c>
      <c r="BU345" s="223">
        <f>IF('CONTROLE GLOBO AÇOS'!Y347="","",'CONTROLE GLOBO AÇOS'!Y347)</f>
        <v/>
      </c>
      <c r="BV345" s="223">
        <f>IF(AND('CONTROLE EJ'!U347="",'CONTROLE CMM'!#REF!=""),"",N('CONTROLE EJ'!U347)+N('CONTROLE CMM'!#REF!))</f>
        <v/>
      </c>
      <c r="BW345" s="223">
        <f>IF(#REF!="","",#REF!)</f>
        <v/>
      </c>
    </row>
    <row r="346">
      <c r="A346" s="282" t="n">
        <v>46563</v>
      </c>
      <c r="B346" s="18">
        <f>IF('CONTROLE EJ'!B348="","",'CONTROLE EJ'!B348)</f>
        <v/>
      </c>
      <c r="C346" s="18">
        <f>IF('CONTROLE EJ'!C348="","",'CONTROLE EJ'!C348)</f>
        <v/>
      </c>
      <c r="D346" s="26">
        <f>IF('CONTROLE EJ'!D348="","",'CONTROLE EJ'!D348)</f>
        <v/>
      </c>
      <c r="E346" s="43">
        <f>IF('CONTROLE CMM'!B348="","",'CONTROLE CMM'!B348)</f>
        <v/>
      </c>
      <c r="F346" s="18">
        <f>IF('CONTROLE CMM'!C348="","",'CONTROLE CMM'!C348)</f>
        <v/>
      </c>
      <c r="G346" s="26">
        <f>IF('CONTROLE CMM'!D348="","",'CONTROLE CMM'!D348)</f>
        <v/>
      </c>
      <c r="H346" s="18">
        <f>IF('CONTROLE GLOBO AÇOS'!B348="","",'CONTROLE GLOBO AÇOS'!B348)</f>
        <v/>
      </c>
      <c r="I346" s="18">
        <f>IF('CONTROLE GLOBO AÇOS'!C348="","",'CONTROLE GLOBO AÇOS'!C348)</f>
        <v/>
      </c>
      <c r="J346" s="18">
        <f>IF('CONTROLE GLOBO AÇOS'!D348="","",'CONTROLE GLOBO AÇOS'!D348)</f>
        <v/>
      </c>
      <c r="AD346" s="39">
        <f>IF($A346="",0,IF(AND(WEEKDAY($A346,2)&lt;=5,OR($B346&lt;&gt;"",$C346&lt;&gt;"",$D346&lt;&gt;"")),1,0))</f>
        <v/>
      </c>
      <c r="AE346" s="39">
        <f>IF($A346="",0,IF(AND(WEEKDAY($A346,2)&lt;=5,OR($E346&lt;&gt;"",$F346&lt;&gt;"",$G346&lt;&gt;"")),1,0))</f>
        <v/>
      </c>
      <c r="AF346" s="39">
        <f>MAX(AD346,AE346)</f>
        <v/>
      </c>
      <c r="AH346" s="223">
        <f>IF('CONTROLE GLOBO AÇOS'!E348="","",'CONTROLE GLOBO AÇOS'!E348)</f>
        <v/>
      </c>
      <c r="AI346" s="223">
        <f>IF('CONTROLE GLOBO AÇOS'!F348="","",'CONTROLE GLOBO AÇOS'!F348)</f>
        <v/>
      </c>
      <c r="AJ346" s="223">
        <f>IF(AND('CONTROLE EJ'!E348="",'CONTROLE CMM'!E348=""),"",N('CONTROLE EJ'!E348)+N('CONTROLE CMM'!E348))</f>
        <v/>
      </c>
      <c r="AK346" s="223">
        <f>IF(AND('CONTROLE EJ'!F348="",'CONTROLE CMM'!F348=""),"",N('CONTROLE EJ'!F348)+N('CONTROLE CMM'!F348))</f>
        <v/>
      </c>
      <c r="AL346" s="223">
        <f>IF(AND('CONTROLE EJ'!G348="",'CONTROLE CMM'!G348=""),"",N('CONTROLE EJ'!G348)+N('CONTROLE CMM'!G348))</f>
        <v/>
      </c>
      <c r="AM346" s="223">
        <f>IF(AND('CONTROLE EJ'!H348="",'CONTROLE CMM'!H348=""),"",N('CONTROLE EJ'!H348)+N('CONTROLE CMM'!H348))</f>
        <v/>
      </c>
      <c r="AN346" s="223">
        <f>IF('CONTROLE GLOBO AÇOS'!G348="","",'CONTROLE GLOBO AÇOS'!G348)</f>
        <v/>
      </c>
      <c r="AO346" s="223">
        <f>IF('CONTROLE GLOBO AÇOS'!H348="","",'CONTROLE GLOBO AÇOS'!H348)</f>
        <v/>
      </c>
      <c r="AP346" s="223">
        <f>IF(AND('CONTROLE EJ'!I348="",'CONTROLE CMM'!I348=""),"",N('CONTROLE EJ'!I348)+N('CONTROLE CMM'!I348))</f>
        <v/>
      </c>
      <c r="AQ346" s="223">
        <f>IF(AND('CONTROLE EJ'!J348="",'CONTROLE CMM'!#REF!=""),"",N('CONTROLE EJ'!J348)+N('CONTROLE CMM'!#REF!))</f>
        <v/>
      </c>
      <c r="AR346" s="223">
        <f>IF('CONTROLE GLOBO AÇOS'!I348="","",'CONTROLE GLOBO AÇOS'!I348)</f>
        <v/>
      </c>
      <c r="AS346" s="223">
        <f>IF('CONTROLE GLOBO AÇOS'!J348="","",'CONTROLE GLOBO AÇOS'!J348)</f>
        <v/>
      </c>
      <c r="AT346" s="223">
        <f>IF(#REF!="","",#REF!)</f>
        <v/>
      </c>
      <c r="AU346" s="223">
        <f>IF('CONTROLE GLOBO AÇOS'!K348="","",'CONTROLE GLOBO AÇOS'!K348)</f>
        <v/>
      </c>
      <c r="AV346" s="223">
        <f>IF(AND('CONTROLE EJ'!K348="",'CONTROLE CMM'!#REF!=""),"",N('CONTROLE EJ'!K348)+N('CONTROLE CMM'!#REF!))</f>
        <v/>
      </c>
      <c r="AW346" s="223">
        <f>IF('CONTROLE GLOBO AÇOS'!L348="","",'CONTROLE GLOBO AÇOS'!L348)</f>
        <v/>
      </c>
      <c r="AX346" s="223">
        <f>IF(AND('CONTROLE EJ'!L348="",'CONTROLE CMM'!#REF!=""),"",N('CONTROLE EJ'!L348)+N('CONTROLE CMM'!#REF!))</f>
        <v/>
      </c>
      <c r="AY346" s="223">
        <f>IF('CONTROLE GLOBO AÇOS'!M348="","",'CONTROLE GLOBO AÇOS'!M348)</f>
        <v/>
      </c>
      <c r="AZ346" s="223">
        <f>IF('CONTROLE GLOBO AÇOS'!N348="","",'CONTROLE GLOBO AÇOS'!N348)</f>
        <v/>
      </c>
      <c r="BA346" s="223">
        <f>IF(AND('CONTROLE EJ'!M348="",'CONTROLE CMM'!#REF!=""),"",N('CONTROLE EJ'!M348)+N('CONTROLE CMM'!#REF!))</f>
        <v/>
      </c>
      <c r="BB346" s="223">
        <f>IF(#REF!="","",#REF!)</f>
        <v/>
      </c>
      <c r="BC346" s="223">
        <f>IF('CONTROLE GLOBO AÇOS'!O348="","",'CONTROLE GLOBO AÇOS'!O348)</f>
        <v/>
      </c>
      <c r="BD346" s="223">
        <f>IF(AND('CONTROLE EJ'!N348="",'CONTROLE CMM'!#REF!=""),"",N('CONTROLE EJ'!N348)+N('CONTROLE CMM'!#REF!))</f>
        <v/>
      </c>
      <c r="BE346" s="223">
        <f>IF('CONTROLE GLOBO AÇOS'!P348="","",'CONTROLE GLOBO AÇOS'!P348)</f>
        <v/>
      </c>
      <c r="BF346" s="223">
        <f>IF('CONTROLE GLOBO AÇOS'!Q348="","",'CONTROLE GLOBO AÇOS'!Q348)</f>
        <v/>
      </c>
      <c r="BG346" s="223">
        <f>IF('CONTROLE GLOBO AÇOS'!R348="","",'CONTROLE GLOBO AÇOS'!R348)</f>
        <v/>
      </c>
      <c r="BH346" s="223">
        <f>IF(AND('CONTROLE EJ'!O348="",'CONTROLE CMM'!#REF!=""),"",N('CONTROLE EJ'!O348)+N('CONTROLE CMM'!#REF!))</f>
        <v/>
      </c>
      <c r="BI346" s="223">
        <f>IF('CONTROLE GLOBO AÇOS'!S348="","",'CONTROLE GLOBO AÇOS'!S348)</f>
        <v/>
      </c>
      <c r="BJ346" s="223">
        <f>IF('CONTROLE GLOBO AÇOS'!T348="","",'CONTROLE GLOBO AÇOS'!T348)</f>
        <v/>
      </c>
      <c r="BK346" s="223">
        <f>IF('CONTROLE GLOBO AÇOS'!U348="","",'CONTROLE GLOBO AÇOS'!U348)</f>
        <v/>
      </c>
      <c r="BL346" s="223">
        <f>IF(AND('CONTROLE EJ'!P348="",'CONTROLE CMM'!#REF!=""),"",N('CONTROLE EJ'!P348)+N('CONTROLE CMM'!#REF!))</f>
        <v/>
      </c>
      <c r="BM346" s="223">
        <f>IF(AND('CONTROLE EJ'!Q348="",'CONTROLE CMM'!#REF!=""),"",N('CONTROLE EJ'!Q348)+N('CONTROLE CMM'!#REF!))</f>
        <v/>
      </c>
      <c r="BN346" s="223">
        <f>IF('CONTROLE GLOBO AÇOS'!V348="","",'CONTROLE GLOBO AÇOS'!V348)</f>
        <v/>
      </c>
      <c r="BO346" s="223">
        <f>IF('CONTROLE GLOBO AÇOS'!W348="","",'CONTROLE GLOBO AÇOS'!W348)</f>
        <v/>
      </c>
      <c r="BP346" s="223">
        <f>IF(AND('CONTROLE EJ'!R348="",'CONTROLE CMM'!#REF!=""),"",N('CONTROLE EJ'!R348)+N('CONTROLE CMM'!#REF!))</f>
        <v/>
      </c>
      <c r="BQ346" s="223">
        <f>IF(#REF!="","",#REF!)</f>
        <v/>
      </c>
      <c r="BR346" s="223">
        <f>IF(AND('CONTROLE EJ'!S348="",'CONTROLE CMM'!#REF!=""),"",N('CONTROLE EJ'!S348)+N('CONTROLE CMM'!#REF!))</f>
        <v/>
      </c>
      <c r="BS346" s="223">
        <f>IF(AND('CONTROLE EJ'!T348="",'CONTROLE CMM'!#REF!=""),"",N('CONTROLE EJ'!T348)+N('CONTROLE CMM'!#REF!))</f>
        <v/>
      </c>
      <c r="BT346" s="223">
        <f>IF('CONTROLE GLOBO AÇOS'!X348="","",'CONTROLE GLOBO AÇOS'!X348)</f>
        <v/>
      </c>
      <c r="BU346" s="223">
        <f>IF('CONTROLE GLOBO AÇOS'!Y348="","",'CONTROLE GLOBO AÇOS'!Y348)</f>
        <v/>
      </c>
      <c r="BV346" s="223">
        <f>IF(AND('CONTROLE EJ'!U348="",'CONTROLE CMM'!#REF!=""),"",N('CONTROLE EJ'!U348)+N('CONTROLE CMM'!#REF!))</f>
        <v/>
      </c>
      <c r="BW346" s="223">
        <f>IF(#REF!="","",#REF!)</f>
        <v/>
      </c>
    </row>
    <row r="347">
      <c r="A347" s="282" t="n">
        <v>46564</v>
      </c>
      <c r="B347" s="18">
        <f>IF('CONTROLE EJ'!B349="","",'CONTROLE EJ'!B349)</f>
        <v/>
      </c>
      <c r="C347" s="18">
        <f>IF('CONTROLE EJ'!C349="","",'CONTROLE EJ'!C349)</f>
        <v/>
      </c>
      <c r="D347" s="26">
        <f>IF('CONTROLE EJ'!D349="","",'CONTROLE EJ'!D349)</f>
        <v/>
      </c>
      <c r="E347" s="43">
        <f>IF('CONTROLE CMM'!B349="","",'CONTROLE CMM'!B349)</f>
        <v/>
      </c>
      <c r="F347" s="18">
        <f>IF('CONTROLE CMM'!C349="","",'CONTROLE CMM'!C349)</f>
        <v/>
      </c>
      <c r="G347" s="26">
        <f>IF('CONTROLE CMM'!D349="","",'CONTROLE CMM'!D349)</f>
        <v/>
      </c>
      <c r="H347" s="18">
        <f>IF('CONTROLE GLOBO AÇOS'!B349="","",'CONTROLE GLOBO AÇOS'!B349)</f>
        <v/>
      </c>
      <c r="I347" s="18">
        <f>IF('CONTROLE GLOBO AÇOS'!C349="","",'CONTROLE GLOBO AÇOS'!C349)</f>
        <v/>
      </c>
      <c r="J347" s="18">
        <f>IF('CONTROLE GLOBO AÇOS'!D349="","",'CONTROLE GLOBO AÇOS'!D349)</f>
        <v/>
      </c>
      <c r="AD347" s="39">
        <f>IF($A347="",0,IF(AND(WEEKDAY($A347,2)&lt;=5,OR($B347&lt;&gt;"",$C347&lt;&gt;"",$D347&lt;&gt;"")),1,0))</f>
        <v/>
      </c>
      <c r="AE347" s="39">
        <f>IF($A347="",0,IF(AND(WEEKDAY($A347,2)&lt;=5,OR($E347&lt;&gt;"",$F347&lt;&gt;"",$G347&lt;&gt;"")),1,0))</f>
        <v/>
      </c>
      <c r="AF347" s="39">
        <f>MAX(AD347,AE347)</f>
        <v/>
      </c>
      <c r="AH347" s="223">
        <f>IF('CONTROLE GLOBO AÇOS'!E349="","",'CONTROLE GLOBO AÇOS'!E349)</f>
        <v/>
      </c>
      <c r="AI347" s="223">
        <f>IF('CONTROLE GLOBO AÇOS'!F349="","",'CONTROLE GLOBO AÇOS'!F349)</f>
        <v/>
      </c>
      <c r="AJ347" s="223">
        <f>IF(AND('CONTROLE EJ'!E349="",'CONTROLE CMM'!E349=""),"",N('CONTROLE EJ'!E349)+N('CONTROLE CMM'!E349))</f>
        <v/>
      </c>
      <c r="AK347" s="223">
        <f>IF(AND('CONTROLE EJ'!F349="",'CONTROLE CMM'!F349=""),"",N('CONTROLE EJ'!F349)+N('CONTROLE CMM'!F349))</f>
        <v/>
      </c>
      <c r="AL347" s="223">
        <f>IF(AND('CONTROLE EJ'!G349="",'CONTROLE CMM'!G349=""),"",N('CONTROLE EJ'!G349)+N('CONTROLE CMM'!G349))</f>
        <v/>
      </c>
      <c r="AM347" s="223">
        <f>IF(AND('CONTROLE EJ'!H349="",'CONTROLE CMM'!H349=""),"",N('CONTROLE EJ'!H349)+N('CONTROLE CMM'!H349))</f>
        <v/>
      </c>
      <c r="AN347" s="223">
        <f>IF('CONTROLE GLOBO AÇOS'!G349="","",'CONTROLE GLOBO AÇOS'!G349)</f>
        <v/>
      </c>
      <c r="AO347" s="223">
        <f>IF('CONTROLE GLOBO AÇOS'!H349="","",'CONTROLE GLOBO AÇOS'!H349)</f>
        <v/>
      </c>
      <c r="AP347" s="223">
        <f>IF(AND('CONTROLE EJ'!I349="",'CONTROLE CMM'!I349=""),"",N('CONTROLE EJ'!I349)+N('CONTROLE CMM'!I349))</f>
        <v/>
      </c>
      <c r="AQ347" s="223">
        <f>IF(AND('CONTROLE EJ'!J349="",'CONTROLE CMM'!#REF!=""),"",N('CONTROLE EJ'!J349)+N('CONTROLE CMM'!#REF!))</f>
        <v/>
      </c>
      <c r="AR347" s="223">
        <f>IF('CONTROLE GLOBO AÇOS'!I349="","",'CONTROLE GLOBO AÇOS'!I349)</f>
        <v/>
      </c>
      <c r="AS347" s="223">
        <f>IF('CONTROLE GLOBO AÇOS'!J349="","",'CONTROLE GLOBO AÇOS'!J349)</f>
        <v/>
      </c>
      <c r="AT347" s="223">
        <f>IF(#REF!="","",#REF!)</f>
        <v/>
      </c>
      <c r="AU347" s="223">
        <f>IF('CONTROLE GLOBO AÇOS'!K349="","",'CONTROLE GLOBO AÇOS'!K349)</f>
        <v/>
      </c>
      <c r="AV347" s="223">
        <f>IF(AND('CONTROLE EJ'!K349="",'CONTROLE CMM'!#REF!=""),"",N('CONTROLE EJ'!K349)+N('CONTROLE CMM'!#REF!))</f>
        <v/>
      </c>
      <c r="AW347" s="223">
        <f>IF('CONTROLE GLOBO AÇOS'!L349="","",'CONTROLE GLOBO AÇOS'!L349)</f>
        <v/>
      </c>
      <c r="AX347" s="223">
        <f>IF(AND('CONTROLE EJ'!L349="",'CONTROLE CMM'!#REF!=""),"",N('CONTROLE EJ'!L349)+N('CONTROLE CMM'!#REF!))</f>
        <v/>
      </c>
      <c r="AY347" s="223">
        <f>IF('CONTROLE GLOBO AÇOS'!M349="","",'CONTROLE GLOBO AÇOS'!M349)</f>
        <v/>
      </c>
      <c r="AZ347" s="223">
        <f>IF('CONTROLE GLOBO AÇOS'!N349="","",'CONTROLE GLOBO AÇOS'!N349)</f>
        <v/>
      </c>
      <c r="BA347" s="223">
        <f>IF(AND('CONTROLE EJ'!M349="",'CONTROLE CMM'!#REF!=""),"",N('CONTROLE EJ'!M349)+N('CONTROLE CMM'!#REF!))</f>
        <v/>
      </c>
      <c r="BB347" s="223">
        <f>IF(#REF!="","",#REF!)</f>
        <v/>
      </c>
      <c r="BC347" s="223">
        <f>IF('CONTROLE GLOBO AÇOS'!O349="","",'CONTROLE GLOBO AÇOS'!O349)</f>
        <v/>
      </c>
      <c r="BD347" s="223">
        <f>IF(AND('CONTROLE EJ'!N349="",'CONTROLE CMM'!#REF!=""),"",N('CONTROLE EJ'!N349)+N('CONTROLE CMM'!#REF!))</f>
        <v/>
      </c>
      <c r="BE347" s="223">
        <f>IF('CONTROLE GLOBO AÇOS'!P349="","",'CONTROLE GLOBO AÇOS'!P349)</f>
        <v/>
      </c>
      <c r="BF347" s="223">
        <f>IF('CONTROLE GLOBO AÇOS'!Q349="","",'CONTROLE GLOBO AÇOS'!Q349)</f>
        <v/>
      </c>
      <c r="BG347" s="223">
        <f>IF('CONTROLE GLOBO AÇOS'!R349="","",'CONTROLE GLOBO AÇOS'!R349)</f>
        <v/>
      </c>
      <c r="BH347" s="223">
        <f>IF(AND('CONTROLE EJ'!O349="",'CONTROLE CMM'!#REF!=""),"",N('CONTROLE EJ'!O349)+N('CONTROLE CMM'!#REF!))</f>
        <v/>
      </c>
      <c r="BI347" s="223">
        <f>IF('CONTROLE GLOBO AÇOS'!S349="","",'CONTROLE GLOBO AÇOS'!S349)</f>
        <v/>
      </c>
      <c r="BJ347" s="223">
        <f>IF('CONTROLE GLOBO AÇOS'!T349="","",'CONTROLE GLOBO AÇOS'!T349)</f>
        <v/>
      </c>
      <c r="BK347" s="223">
        <f>IF('CONTROLE GLOBO AÇOS'!U349="","",'CONTROLE GLOBO AÇOS'!U349)</f>
        <v/>
      </c>
      <c r="BL347" s="223">
        <f>IF(AND('CONTROLE EJ'!P349="",'CONTROLE CMM'!#REF!=""),"",N('CONTROLE EJ'!P349)+N('CONTROLE CMM'!#REF!))</f>
        <v/>
      </c>
      <c r="BM347" s="223">
        <f>IF(AND('CONTROLE EJ'!Q349="",'CONTROLE CMM'!#REF!=""),"",N('CONTROLE EJ'!Q349)+N('CONTROLE CMM'!#REF!))</f>
        <v/>
      </c>
      <c r="BN347" s="223">
        <f>IF('CONTROLE GLOBO AÇOS'!V349="","",'CONTROLE GLOBO AÇOS'!V349)</f>
        <v/>
      </c>
      <c r="BO347" s="223">
        <f>IF('CONTROLE GLOBO AÇOS'!W349="","",'CONTROLE GLOBO AÇOS'!W349)</f>
        <v/>
      </c>
      <c r="BP347" s="223">
        <f>IF(AND('CONTROLE EJ'!R349="",'CONTROLE CMM'!#REF!=""),"",N('CONTROLE EJ'!R349)+N('CONTROLE CMM'!#REF!))</f>
        <v/>
      </c>
      <c r="BQ347" s="223">
        <f>IF(#REF!="","",#REF!)</f>
        <v/>
      </c>
      <c r="BR347" s="223">
        <f>IF(AND('CONTROLE EJ'!S349="",'CONTROLE CMM'!#REF!=""),"",N('CONTROLE EJ'!S349)+N('CONTROLE CMM'!#REF!))</f>
        <v/>
      </c>
      <c r="BS347" s="223">
        <f>IF(AND('CONTROLE EJ'!T349="",'CONTROLE CMM'!#REF!=""),"",N('CONTROLE EJ'!T349)+N('CONTROLE CMM'!#REF!))</f>
        <v/>
      </c>
      <c r="BT347" s="223">
        <f>IF('CONTROLE GLOBO AÇOS'!X349="","",'CONTROLE GLOBO AÇOS'!X349)</f>
        <v/>
      </c>
      <c r="BU347" s="223">
        <f>IF('CONTROLE GLOBO AÇOS'!Y349="","",'CONTROLE GLOBO AÇOS'!Y349)</f>
        <v/>
      </c>
      <c r="BV347" s="223">
        <f>IF(AND('CONTROLE EJ'!U349="",'CONTROLE CMM'!#REF!=""),"",N('CONTROLE EJ'!U349)+N('CONTROLE CMM'!#REF!))</f>
        <v/>
      </c>
      <c r="BW347" s="223">
        <f>IF(#REF!="","",#REF!)</f>
        <v/>
      </c>
    </row>
    <row r="348">
      <c r="A348" s="282" t="n">
        <v>46565</v>
      </c>
      <c r="B348" s="18">
        <f>IF('CONTROLE EJ'!B350="","",'CONTROLE EJ'!B350)</f>
        <v/>
      </c>
      <c r="C348" s="18">
        <f>IF('CONTROLE EJ'!C350="","",'CONTROLE EJ'!C350)</f>
        <v/>
      </c>
      <c r="D348" s="26">
        <f>IF('CONTROLE EJ'!D350="","",'CONTROLE EJ'!D350)</f>
        <v/>
      </c>
      <c r="E348" s="43">
        <f>IF('CONTROLE CMM'!B350="","",'CONTROLE CMM'!B350)</f>
        <v/>
      </c>
      <c r="F348" s="18">
        <f>IF('CONTROLE CMM'!C350="","",'CONTROLE CMM'!C350)</f>
        <v/>
      </c>
      <c r="G348" s="26">
        <f>IF('CONTROLE CMM'!D350="","",'CONTROLE CMM'!D350)</f>
        <v/>
      </c>
      <c r="H348" s="18">
        <f>IF('CONTROLE GLOBO AÇOS'!B350="","",'CONTROLE GLOBO AÇOS'!B350)</f>
        <v/>
      </c>
      <c r="I348" s="18">
        <f>IF('CONTROLE GLOBO AÇOS'!C350="","",'CONTROLE GLOBO AÇOS'!C350)</f>
        <v/>
      </c>
      <c r="J348" s="18">
        <f>IF('CONTROLE GLOBO AÇOS'!D350="","",'CONTROLE GLOBO AÇOS'!D350)</f>
        <v/>
      </c>
      <c r="AD348" s="39">
        <f>IF($A348="",0,IF(AND(WEEKDAY($A348,2)&lt;=5,OR($B348&lt;&gt;"",$C348&lt;&gt;"",$D348&lt;&gt;"")),1,0))</f>
        <v/>
      </c>
      <c r="AE348" s="39">
        <f>IF($A348="",0,IF(AND(WEEKDAY($A348,2)&lt;=5,OR($E348&lt;&gt;"",$F348&lt;&gt;"",$G348&lt;&gt;"")),1,0))</f>
        <v/>
      </c>
      <c r="AF348" s="39">
        <f>MAX(AD348,AE348)</f>
        <v/>
      </c>
      <c r="AH348" s="223">
        <f>IF('CONTROLE GLOBO AÇOS'!E350="","",'CONTROLE GLOBO AÇOS'!E350)</f>
        <v/>
      </c>
      <c r="AI348" s="223">
        <f>IF('CONTROLE GLOBO AÇOS'!F350="","",'CONTROLE GLOBO AÇOS'!F350)</f>
        <v/>
      </c>
      <c r="AJ348" s="223">
        <f>IF(AND('CONTROLE EJ'!E350="",'CONTROLE CMM'!E350=""),"",N('CONTROLE EJ'!E350)+N('CONTROLE CMM'!E350))</f>
        <v/>
      </c>
      <c r="AK348" s="223">
        <f>IF(AND('CONTROLE EJ'!F350="",'CONTROLE CMM'!F350=""),"",N('CONTROLE EJ'!F350)+N('CONTROLE CMM'!F350))</f>
        <v/>
      </c>
      <c r="AL348" s="223">
        <f>IF(AND('CONTROLE EJ'!G350="",'CONTROLE CMM'!G350=""),"",N('CONTROLE EJ'!G350)+N('CONTROLE CMM'!G350))</f>
        <v/>
      </c>
      <c r="AM348" s="223">
        <f>IF(AND('CONTROLE EJ'!H350="",'CONTROLE CMM'!H350=""),"",N('CONTROLE EJ'!H350)+N('CONTROLE CMM'!H350))</f>
        <v/>
      </c>
      <c r="AN348" s="223">
        <f>IF('CONTROLE GLOBO AÇOS'!G350="","",'CONTROLE GLOBO AÇOS'!G350)</f>
        <v/>
      </c>
      <c r="AO348" s="223">
        <f>IF('CONTROLE GLOBO AÇOS'!H350="","",'CONTROLE GLOBO AÇOS'!H350)</f>
        <v/>
      </c>
      <c r="AP348" s="223">
        <f>IF(AND('CONTROLE EJ'!I350="",'CONTROLE CMM'!I350=""),"",N('CONTROLE EJ'!I350)+N('CONTROLE CMM'!I350))</f>
        <v/>
      </c>
      <c r="AQ348" s="223">
        <f>IF(AND('CONTROLE EJ'!J350="",'CONTROLE CMM'!#REF!=""),"",N('CONTROLE EJ'!J350)+N('CONTROLE CMM'!#REF!))</f>
        <v/>
      </c>
      <c r="AR348" s="223">
        <f>IF('CONTROLE GLOBO AÇOS'!I350="","",'CONTROLE GLOBO AÇOS'!I350)</f>
        <v/>
      </c>
      <c r="AS348" s="223">
        <f>IF('CONTROLE GLOBO AÇOS'!J350="","",'CONTROLE GLOBO AÇOS'!J350)</f>
        <v/>
      </c>
      <c r="AT348" s="223">
        <f>IF(#REF!="","",#REF!)</f>
        <v/>
      </c>
      <c r="AU348" s="223">
        <f>IF('CONTROLE GLOBO AÇOS'!K350="","",'CONTROLE GLOBO AÇOS'!K350)</f>
        <v/>
      </c>
      <c r="AV348" s="223">
        <f>IF(AND('CONTROLE EJ'!K350="",'CONTROLE CMM'!#REF!=""),"",N('CONTROLE EJ'!K350)+N('CONTROLE CMM'!#REF!))</f>
        <v/>
      </c>
      <c r="AW348" s="223">
        <f>IF('CONTROLE GLOBO AÇOS'!L350="","",'CONTROLE GLOBO AÇOS'!L350)</f>
        <v/>
      </c>
      <c r="AX348" s="223">
        <f>IF(AND('CONTROLE EJ'!L350="",'CONTROLE CMM'!#REF!=""),"",N('CONTROLE EJ'!L350)+N('CONTROLE CMM'!#REF!))</f>
        <v/>
      </c>
      <c r="AY348" s="223">
        <f>IF('CONTROLE GLOBO AÇOS'!M350="","",'CONTROLE GLOBO AÇOS'!M350)</f>
        <v/>
      </c>
      <c r="AZ348" s="223">
        <f>IF('CONTROLE GLOBO AÇOS'!N350="","",'CONTROLE GLOBO AÇOS'!N350)</f>
        <v/>
      </c>
      <c r="BA348" s="223">
        <f>IF(AND('CONTROLE EJ'!M350="",'CONTROLE CMM'!#REF!=""),"",N('CONTROLE EJ'!M350)+N('CONTROLE CMM'!#REF!))</f>
        <v/>
      </c>
      <c r="BB348" s="223">
        <f>IF(#REF!="","",#REF!)</f>
        <v/>
      </c>
      <c r="BC348" s="223">
        <f>IF('CONTROLE GLOBO AÇOS'!O350="","",'CONTROLE GLOBO AÇOS'!O350)</f>
        <v/>
      </c>
      <c r="BD348" s="223">
        <f>IF(AND('CONTROLE EJ'!N350="",'CONTROLE CMM'!#REF!=""),"",N('CONTROLE EJ'!N350)+N('CONTROLE CMM'!#REF!))</f>
        <v/>
      </c>
      <c r="BE348" s="223">
        <f>IF('CONTROLE GLOBO AÇOS'!P350="","",'CONTROLE GLOBO AÇOS'!P350)</f>
        <v/>
      </c>
      <c r="BF348" s="223">
        <f>IF('CONTROLE GLOBO AÇOS'!Q350="","",'CONTROLE GLOBO AÇOS'!Q350)</f>
        <v/>
      </c>
      <c r="BG348" s="223">
        <f>IF('CONTROLE GLOBO AÇOS'!R350="","",'CONTROLE GLOBO AÇOS'!R350)</f>
        <v/>
      </c>
      <c r="BH348" s="223">
        <f>IF(AND('CONTROLE EJ'!O350="",'CONTROLE CMM'!#REF!=""),"",N('CONTROLE EJ'!O350)+N('CONTROLE CMM'!#REF!))</f>
        <v/>
      </c>
      <c r="BI348" s="223">
        <f>IF('CONTROLE GLOBO AÇOS'!S350="","",'CONTROLE GLOBO AÇOS'!S350)</f>
        <v/>
      </c>
      <c r="BJ348" s="223">
        <f>IF('CONTROLE GLOBO AÇOS'!T350="","",'CONTROLE GLOBO AÇOS'!T350)</f>
        <v/>
      </c>
      <c r="BK348" s="223">
        <f>IF('CONTROLE GLOBO AÇOS'!U350="","",'CONTROLE GLOBO AÇOS'!U350)</f>
        <v/>
      </c>
      <c r="BL348" s="223">
        <f>IF(AND('CONTROLE EJ'!P350="",'CONTROLE CMM'!#REF!=""),"",N('CONTROLE EJ'!P350)+N('CONTROLE CMM'!#REF!))</f>
        <v/>
      </c>
      <c r="BM348" s="223">
        <f>IF(AND('CONTROLE EJ'!Q350="",'CONTROLE CMM'!#REF!=""),"",N('CONTROLE EJ'!Q350)+N('CONTROLE CMM'!#REF!))</f>
        <v/>
      </c>
      <c r="BN348" s="223">
        <f>IF('CONTROLE GLOBO AÇOS'!V350="","",'CONTROLE GLOBO AÇOS'!V350)</f>
        <v/>
      </c>
      <c r="BO348" s="223">
        <f>IF('CONTROLE GLOBO AÇOS'!W350="","",'CONTROLE GLOBO AÇOS'!W350)</f>
        <v/>
      </c>
      <c r="BP348" s="223">
        <f>IF(AND('CONTROLE EJ'!R350="",'CONTROLE CMM'!#REF!=""),"",N('CONTROLE EJ'!R350)+N('CONTROLE CMM'!#REF!))</f>
        <v/>
      </c>
      <c r="BQ348" s="223">
        <f>IF(#REF!="","",#REF!)</f>
        <v/>
      </c>
      <c r="BR348" s="223">
        <f>IF(AND('CONTROLE EJ'!S350="",'CONTROLE CMM'!#REF!=""),"",N('CONTROLE EJ'!S350)+N('CONTROLE CMM'!#REF!))</f>
        <v/>
      </c>
      <c r="BS348" s="223">
        <f>IF(AND('CONTROLE EJ'!T350="",'CONTROLE CMM'!#REF!=""),"",N('CONTROLE EJ'!T350)+N('CONTROLE CMM'!#REF!))</f>
        <v/>
      </c>
      <c r="BT348" s="223">
        <f>IF('CONTROLE GLOBO AÇOS'!X350="","",'CONTROLE GLOBO AÇOS'!X350)</f>
        <v/>
      </c>
      <c r="BU348" s="223">
        <f>IF('CONTROLE GLOBO AÇOS'!Y350="","",'CONTROLE GLOBO AÇOS'!Y350)</f>
        <v/>
      </c>
      <c r="BV348" s="223">
        <f>IF(AND('CONTROLE EJ'!U350="",'CONTROLE CMM'!#REF!=""),"",N('CONTROLE EJ'!U350)+N('CONTROLE CMM'!#REF!))</f>
        <v/>
      </c>
      <c r="BW348" s="223">
        <f>IF(#REF!="","",#REF!)</f>
        <v/>
      </c>
    </row>
    <row r="349">
      <c r="A349" s="282" t="n">
        <v>46566</v>
      </c>
      <c r="B349" s="18">
        <f>IF('CONTROLE EJ'!B351="","",'CONTROLE EJ'!B351)</f>
        <v/>
      </c>
      <c r="C349" s="18">
        <f>IF('CONTROLE EJ'!C351="","",'CONTROLE EJ'!C351)</f>
        <v/>
      </c>
      <c r="D349" s="26">
        <f>IF('CONTROLE EJ'!D351="","",'CONTROLE EJ'!D351)</f>
        <v/>
      </c>
      <c r="E349" s="43">
        <f>IF('CONTROLE CMM'!B351="","",'CONTROLE CMM'!B351)</f>
        <v/>
      </c>
      <c r="F349" s="18">
        <f>IF('CONTROLE CMM'!C351="","",'CONTROLE CMM'!C351)</f>
        <v/>
      </c>
      <c r="G349" s="26">
        <f>IF('CONTROLE CMM'!D351="","",'CONTROLE CMM'!D351)</f>
        <v/>
      </c>
      <c r="H349" s="18">
        <f>IF('CONTROLE GLOBO AÇOS'!B351="","",'CONTROLE GLOBO AÇOS'!B351)</f>
        <v/>
      </c>
      <c r="I349" s="18">
        <f>IF('CONTROLE GLOBO AÇOS'!C351="","",'CONTROLE GLOBO AÇOS'!C351)</f>
        <v/>
      </c>
      <c r="J349" s="18">
        <f>IF('CONTROLE GLOBO AÇOS'!D351="","",'CONTROLE GLOBO AÇOS'!D351)</f>
        <v/>
      </c>
      <c r="AD349" s="39">
        <f>IF($A349="",0,IF(AND(WEEKDAY($A349,2)&lt;=5,OR($B349&lt;&gt;"",$C349&lt;&gt;"",$D349&lt;&gt;"")),1,0))</f>
        <v/>
      </c>
      <c r="AE349" s="39">
        <f>IF($A349="",0,IF(AND(WEEKDAY($A349,2)&lt;=5,OR($E349&lt;&gt;"",$F349&lt;&gt;"",$G349&lt;&gt;"")),1,0))</f>
        <v/>
      </c>
      <c r="AF349" s="39">
        <f>MAX(AD349,AE349)</f>
        <v/>
      </c>
      <c r="AH349" s="223">
        <f>IF('CONTROLE GLOBO AÇOS'!E351="","",'CONTROLE GLOBO AÇOS'!E351)</f>
        <v/>
      </c>
      <c r="AI349" s="223">
        <f>IF('CONTROLE GLOBO AÇOS'!F351="","",'CONTROLE GLOBO AÇOS'!F351)</f>
        <v/>
      </c>
      <c r="AJ349" s="223">
        <f>IF(AND('CONTROLE EJ'!E351="",'CONTROLE CMM'!E351=""),"",N('CONTROLE EJ'!E351)+N('CONTROLE CMM'!E351))</f>
        <v/>
      </c>
      <c r="AK349" s="223">
        <f>IF(AND('CONTROLE EJ'!F351="",'CONTROLE CMM'!F351=""),"",N('CONTROLE EJ'!F351)+N('CONTROLE CMM'!F351))</f>
        <v/>
      </c>
      <c r="AL349" s="223">
        <f>IF(AND('CONTROLE EJ'!G351="",'CONTROLE CMM'!G351=""),"",N('CONTROLE EJ'!G351)+N('CONTROLE CMM'!G351))</f>
        <v/>
      </c>
      <c r="AM349" s="223">
        <f>IF(AND('CONTROLE EJ'!H351="",'CONTROLE CMM'!H351=""),"",N('CONTROLE EJ'!H351)+N('CONTROLE CMM'!H351))</f>
        <v/>
      </c>
      <c r="AN349" s="223">
        <f>IF('CONTROLE GLOBO AÇOS'!G351="","",'CONTROLE GLOBO AÇOS'!G351)</f>
        <v/>
      </c>
      <c r="AO349" s="223">
        <f>IF('CONTROLE GLOBO AÇOS'!H351="","",'CONTROLE GLOBO AÇOS'!H351)</f>
        <v/>
      </c>
      <c r="AP349" s="223">
        <f>IF(AND('CONTROLE EJ'!I351="",'CONTROLE CMM'!I351=""),"",N('CONTROLE EJ'!I351)+N('CONTROLE CMM'!I351))</f>
        <v/>
      </c>
      <c r="AQ349" s="223">
        <f>IF(AND('CONTROLE EJ'!J351="",'CONTROLE CMM'!#REF!=""),"",N('CONTROLE EJ'!J351)+N('CONTROLE CMM'!#REF!))</f>
        <v/>
      </c>
      <c r="AR349" s="223">
        <f>IF('CONTROLE GLOBO AÇOS'!I351="","",'CONTROLE GLOBO AÇOS'!I351)</f>
        <v/>
      </c>
      <c r="AS349" s="223">
        <f>IF('CONTROLE GLOBO AÇOS'!J351="","",'CONTROLE GLOBO AÇOS'!J351)</f>
        <v/>
      </c>
      <c r="AT349" s="223">
        <f>IF(#REF!="","",#REF!)</f>
        <v/>
      </c>
      <c r="AU349" s="223">
        <f>IF('CONTROLE GLOBO AÇOS'!K351="","",'CONTROLE GLOBO AÇOS'!K351)</f>
        <v/>
      </c>
      <c r="AV349" s="223">
        <f>IF(AND('CONTROLE EJ'!K351="",'CONTROLE CMM'!#REF!=""),"",N('CONTROLE EJ'!K351)+N('CONTROLE CMM'!#REF!))</f>
        <v/>
      </c>
      <c r="AW349" s="223">
        <f>IF('CONTROLE GLOBO AÇOS'!L351="","",'CONTROLE GLOBO AÇOS'!L351)</f>
        <v/>
      </c>
      <c r="AX349" s="223">
        <f>IF(AND('CONTROLE EJ'!L351="",'CONTROLE CMM'!#REF!=""),"",N('CONTROLE EJ'!L351)+N('CONTROLE CMM'!#REF!))</f>
        <v/>
      </c>
      <c r="AY349" s="223">
        <f>IF('CONTROLE GLOBO AÇOS'!M351="","",'CONTROLE GLOBO AÇOS'!M351)</f>
        <v/>
      </c>
      <c r="AZ349" s="223">
        <f>IF('CONTROLE GLOBO AÇOS'!N351="","",'CONTROLE GLOBO AÇOS'!N351)</f>
        <v/>
      </c>
      <c r="BA349" s="223">
        <f>IF(AND('CONTROLE EJ'!M351="",'CONTROLE CMM'!#REF!=""),"",N('CONTROLE EJ'!M351)+N('CONTROLE CMM'!#REF!))</f>
        <v/>
      </c>
      <c r="BB349" s="223">
        <f>IF(#REF!="","",#REF!)</f>
        <v/>
      </c>
      <c r="BC349" s="223">
        <f>IF('CONTROLE GLOBO AÇOS'!O351="","",'CONTROLE GLOBO AÇOS'!O351)</f>
        <v/>
      </c>
      <c r="BD349" s="223">
        <f>IF(AND('CONTROLE EJ'!N351="",'CONTROLE CMM'!#REF!=""),"",N('CONTROLE EJ'!N351)+N('CONTROLE CMM'!#REF!))</f>
        <v/>
      </c>
      <c r="BE349" s="223">
        <f>IF('CONTROLE GLOBO AÇOS'!P351="","",'CONTROLE GLOBO AÇOS'!P351)</f>
        <v/>
      </c>
      <c r="BF349" s="223">
        <f>IF('CONTROLE GLOBO AÇOS'!Q351="","",'CONTROLE GLOBO AÇOS'!Q351)</f>
        <v/>
      </c>
      <c r="BG349" s="223">
        <f>IF('CONTROLE GLOBO AÇOS'!R351="","",'CONTROLE GLOBO AÇOS'!R351)</f>
        <v/>
      </c>
      <c r="BH349" s="223">
        <f>IF(AND('CONTROLE EJ'!O351="",'CONTROLE CMM'!#REF!=""),"",N('CONTROLE EJ'!O351)+N('CONTROLE CMM'!#REF!))</f>
        <v/>
      </c>
      <c r="BI349" s="223">
        <f>IF('CONTROLE GLOBO AÇOS'!S351="","",'CONTROLE GLOBO AÇOS'!S351)</f>
        <v/>
      </c>
      <c r="BJ349" s="223">
        <f>IF('CONTROLE GLOBO AÇOS'!T351="","",'CONTROLE GLOBO AÇOS'!T351)</f>
        <v/>
      </c>
      <c r="BK349" s="223">
        <f>IF('CONTROLE GLOBO AÇOS'!U351="","",'CONTROLE GLOBO AÇOS'!U351)</f>
        <v/>
      </c>
      <c r="BL349" s="223">
        <f>IF(AND('CONTROLE EJ'!P351="",'CONTROLE CMM'!#REF!=""),"",N('CONTROLE EJ'!P351)+N('CONTROLE CMM'!#REF!))</f>
        <v/>
      </c>
      <c r="BM349" s="223">
        <f>IF(AND('CONTROLE EJ'!Q351="",'CONTROLE CMM'!#REF!=""),"",N('CONTROLE EJ'!Q351)+N('CONTROLE CMM'!#REF!))</f>
        <v/>
      </c>
      <c r="BN349" s="223">
        <f>IF('CONTROLE GLOBO AÇOS'!V351="","",'CONTROLE GLOBO AÇOS'!V351)</f>
        <v/>
      </c>
      <c r="BO349" s="223">
        <f>IF('CONTROLE GLOBO AÇOS'!W351="","",'CONTROLE GLOBO AÇOS'!W351)</f>
        <v/>
      </c>
      <c r="BP349" s="223">
        <f>IF(AND('CONTROLE EJ'!R351="",'CONTROLE CMM'!#REF!=""),"",N('CONTROLE EJ'!R351)+N('CONTROLE CMM'!#REF!))</f>
        <v/>
      </c>
      <c r="BQ349" s="223">
        <f>IF(#REF!="","",#REF!)</f>
        <v/>
      </c>
      <c r="BR349" s="223">
        <f>IF(AND('CONTROLE EJ'!S351="",'CONTROLE CMM'!#REF!=""),"",N('CONTROLE EJ'!S351)+N('CONTROLE CMM'!#REF!))</f>
        <v/>
      </c>
      <c r="BS349" s="223">
        <f>IF(AND('CONTROLE EJ'!T351="",'CONTROLE CMM'!#REF!=""),"",N('CONTROLE EJ'!T351)+N('CONTROLE CMM'!#REF!))</f>
        <v/>
      </c>
      <c r="BT349" s="223">
        <f>IF('CONTROLE GLOBO AÇOS'!X351="","",'CONTROLE GLOBO AÇOS'!X351)</f>
        <v/>
      </c>
      <c r="BU349" s="223">
        <f>IF('CONTROLE GLOBO AÇOS'!Y351="","",'CONTROLE GLOBO AÇOS'!Y351)</f>
        <v/>
      </c>
      <c r="BV349" s="223">
        <f>IF(AND('CONTROLE EJ'!U351="",'CONTROLE CMM'!#REF!=""),"",N('CONTROLE EJ'!U351)+N('CONTROLE CMM'!#REF!))</f>
        <v/>
      </c>
      <c r="BW349" s="223">
        <f>IF(#REF!="","",#REF!)</f>
        <v/>
      </c>
    </row>
    <row r="350">
      <c r="A350" s="282" t="n">
        <v>46567</v>
      </c>
      <c r="B350" s="18">
        <f>IF('CONTROLE EJ'!B352="","",'CONTROLE EJ'!B352)</f>
        <v/>
      </c>
      <c r="C350" s="18">
        <f>IF('CONTROLE EJ'!C352="","",'CONTROLE EJ'!C352)</f>
        <v/>
      </c>
      <c r="D350" s="26">
        <f>IF('CONTROLE EJ'!D352="","",'CONTROLE EJ'!D352)</f>
        <v/>
      </c>
      <c r="E350" s="43">
        <f>IF('CONTROLE CMM'!B352="","",'CONTROLE CMM'!B352)</f>
        <v/>
      </c>
      <c r="F350" s="18">
        <f>IF('CONTROLE CMM'!C352="","",'CONTROLE CMM'!C352)</f>
        <v/>
      </c>
      <c r="G350" s="26">
        <f>IF('CONTROLE CMM'!D352="","",'CONTROLE CMM'!D352)</f>
        <v/>
      </c>
      <c r="H350" s="18">
        <f>IF('CONTROLE GLOBO AÇOS'!B352="","",'CONTROLE GLOBO AÇOS'!B352)</f>
        <v/>
      </c>
      <c r="I350" s="18">
        <f>IF('CONTROLE GLOBO AÇOS'!C352="","",'CONTROLE GLOBO AÇOS'!C352)</f>
        <v/>
      </c>
      <c r="J350" s="18">
        <f>IF('CONTROLE GLOBO AÇOS'!D352="","",'CONTROLE GLOBO AÇOS'!D352)</f>
        <v/>
      </c>
      <c r="AD350" s="39">
        <f>IF($A350="",0,IF(AND(WEEKDAY($A350,2)&lt;=5,OR($B350&lt;&gt;"",$C350&lt;&gt;"",$D350&lt;&gt;"")),1,0))</f>
        <v/>
      </c>
      <c r="AE350" s="39">
        <f>IF($A350="",0,IF(AND(WEEKDAY($A350,2)&lt;=5,OR($E350&lt;&gt;"",$F350&lt;&gt;"",$G350&lt;&gt;"")),1,0))</f>
        <v/>
      </c>
      <c r="AF350" s="39">
        <f>MAX(AD350,AE350)</f>
        <v/>
      </c>
      <c r="AH350" s="223">
        <f>IF('CONTROLE GLOBO AÇOS'!E352="","",'CONTROLE GLOBO AÇOS'!E352)</f>
        <v/>
      </c>
      <c r="AI350" s="223">
        <f>IF('CONTROLE GLOBO AÇOS'!F352="","",'CONTROLE GLOBO AÇOS'!F352)</f>
        <v/>
      </c>
      <c r="AJ350" s="223">
        <f>IF(AND('CONTROLE EJ'!E352="",'CONTROLE CMM'!E352=""),"",N('CONTROLE EJ'!E352)+N('CONTROLE CMM'!E352))</f>
        <v/>
      </c>
      <c r="AK350" s="223">
        <f>IF(AND('CONTROLE EJ'!F352="",'CONTROLE CMM'!F352=""),"",N('CONTROLE EJ'!F352)+N('CONTROLE CMM'!F352))</f>
        <v/>
      </c>
      <c r="AL350" s="223">
        <f>IF(AND('CONTROLE EJ'!G352="",'CONTROLE CMM'!G352=""),"",N('CONTROLE EJ'!G352)+N('CONTROLE CMM'!G352))</f>
        <v/>
      </c>
      <c r="AM350" s="223">
        <f>IF(AND('CONTROLE EJ'!H352="",'CONTROLE CMM'!H352=""),"",N('CONTROLE EJ'!H352)+N('CONTROLE CMM'!H352))</f>
        <v/>
      </c>
      <c r="AN350" s="223">
        <f>IF('CONTROLE GLOBO AÇOS'!G352="","",'CONTROLE GLOBO AÇOS'!G352)</f>
        <v/>
      </c>
      <c r="AO350" s="223">
        <f>IF('CONTROLE GLOBO AÇOS'!H352="","",'CONTROLE GLOBO AÇOS'!H352)</f>
        <v/>
      </c>
      <c r="AP350" s="223">
        <f>IF(AND('CONTROLE EJ'!I352="",'CONTROLE CMM'!I352=""),"",N('CONTROLE EJ'!I352)+N('CONTROLE CMM'!I352))</f>
        <v/>
      </c>
      <c r="AQ350" s="223">
        <f>IF(AND('CONTROLE EJ'!J352="",'CONTROLE CMM'!#REF!=""),"",N('CONTROLE EJ'!J352)+N('CONTROLE CMM'!#REF!))</f>
        <v/>
      </c>
      <c r="AR350" s="223">
        <f>IF('CONTROLE GLOBO AÇOS'!I352="","",'CONTROLE GLOBO AÇOS'!I352)</f>
        <v/>
      </c>
      <c r="AS350" s="223">
        <f>IF('CONTROLE GLOBO AÇOS'!J352="","",'CONTROLE GLOBO AÇOS'!J352)</f>
        <v/>
      </c>
      <c r="AT350" s="223">
        <f>IF(#REF!="","",#REF!)</f>
        <v/>
      </c>
      <c r="AU350" s="223">
        <f>IF('CONTROLE GLOBO AÇOS'!K352="","",'CONTROLE GLOBO AÇOS'!K352)</f>
        <v/>
      </c>
      <c r="AV350" s="223">
        <f>IF(AND('CONTROLE EJ'!K352="",'CONTROLE CMM'!#REF!=""),"",N('CONTROLE EJ'!K352)+N('CONTROLE CMM'!#REF!))</f>
        <v/>
      </c>
      <c r="AW350" s="223">
        <f>IF('CONTROLE GLOBO AÇOS'!L352="","",'CONTROLE GLOBO AÇOS'!L352)</f>
        <v/>
      </c>
      <c r="AX350" s="223">
        <f>IF(AND('CONTROLE EJ'!L352="",'CONTROLE CMM'!#REF!=""),"",N('CONTROLE EJ'!L352)+N('CONTROLE CMM'!#REF!))</f>
        <v/>
      </c>
      <c r="AY350" s="223">
        <f>IF('CONTROLE GLOBO AÇOS'!M352="","",'CONTROLE GLOBO AÇOS'!M352)</f>
        <v/>
      </c>
      <c r="AZ350" s="223">
        <f>IF('CONTROLE GLOBO AÇOS'!N352="","",'CONTROLE GLOBO AÇOS'!N352)</f>
        <v/>
      </c>
      <c r="BA350" s="223">
        <f>IF(AND('CONTROLE EJ'!M352="",'CONTROLE CMM'!#REF!=""),"",N('CONTROLE EJ'!M352)+N('CONTROLE CMM'!#REF!))</f>
        <v/>
      </c>
      <c r="BB350" s="223">
        <f>IF(#REF!="","",#REF!)</f>
        <v/>
      </c>
      <c r="BC350" s="223">
        <f>IF('CONTROLE GLOBO AÇOS'!O352="","",'CONTROLE GLOBO AÇOS'!O352)</f>
        <v/>
      </c>
      <c r="BD350" s="223">
        <f>IF(AND('CONTROLE EJ'!N352="",'CONTROLE CMM'!#REF!=""),"",N('CONTROLE EJ'!N352)+N('CONTROLE CMM'!#REF!))</f>
        <v/>
      </c>
      <c r="BE350" s="223">
        <f>IF('CONTROLE GLOBO AÇOS'!P352="","",'CONTROLE GLOBO AÇOS'!P352)</f>
        <v/>
      </c>
      <c r="BF350" s="223">
        <f>IF('CONTROLE GLOBO AÇOS'!Q352="","",'CONTROLE GLOBO AÇOS'!Q352)</f>
        <v/>
      </c>
      <c r="BG350" s="223">
        <f>IF('CONTROLE GLOBO AÇOS'!R352="","",'CONTROLE GLOBO AÇOS'!R352)</f>
        <v/>
      </c>
      <c r="BH350" s="223">
        <f>IF(AND('CONTROLE EJ'!O352="",'CONTROLE CMM'!#REF!=""),"",N('CONTROLE EJ'!O352)+N('CONTROLE CMM'!#REF!))</f>
        <v/>
      </c>
      <c r="BI350" s="223">
        <f>IF('CONTROLE GLOBO AÇOS'!S352="","",'CONTROLE GLOBO AÇOS'!S352)</f>
        <v/>
      </c>
      <c r="BJ350" s="223">
        <f>IF('CONTROLE GLOBO AÇOS'!T352="","",'CONTROLE GLOBO AÇOS'!T352)</f>
        <v/>
      </c>
      <c r="BK350" s="223">
        <f>IF('CONTROLE GLOBO AÇOS'!U352="","",'CONTROLE GLOBO AÇOS'!U352)</f>
        <v/>
      </c>
      <c r="BL350" s="223">
        <f>IF(AND('CONTROLE EJ'!P352="",'CONTROLE CMM'!#REF!=""),"",N('CONTROLE EJ'!P352)+N('CONTROLE CMM'!#REF!))</f>
        <v/>
      </c>
      <c r="BM350" s="223">
        <f>IF(AND('CONTROLE EJ'!Q352="",'CONTROLE CMM'!#REF!=""),"",N('CONTROLE EJ'!Q352)+N('CONTROLE CMM'!#REF!))</f>
        <v/>
      </c>
      <c r="BN350" s="223">
        <f>IF('CONTROLE GLOBO AÇOS'!V352="","",'CONTROLE GLOBO AÇOS'!V352)</f>
        <v/>
      </c>
      <c r="BO350" s="223">
        <f>IF('CONTROLE GLOBO AÇOS'!W352="","",'CONTROLE GLOBO AÇOS'!W352)</f>
        <v/>
      </c>
      <c r="BP350" s="223">
        <f>IF(AND('CONTROLE EJ'!R352="",'CONTROLE CMM'!#REF!=""),"",N('CONTROLE EJ'!R352)+N('CONTROLE CMM'!#REF!))</f>
        <v/>
      </c>
      <c r="BQ350" s="223">
        <f>IF(#REF!="","",#REF!)</f>
        <v/>
      </c>
      <c r="BR350" s="223">
        <f>IF(AND('CONTROLE EJ'!S352="",'CONTROLE CMM'!#REF!=""),"",N('CONTROLE EJ'!S352)+N('CONTROLE CMM'!#REF!))</f>
        <v/>
      </c>
      <c r="BS350" s="223">
        <f>IF(AND('CONTROLE EJ'!T352="",'CONTROLE CMM'!#REF!=""),"",N('CONTROLE EJ'!T352)+N('CONTROLE CMM'!#REF!))</f>
        <v/>
      </c>
      <c r="BT350" s="223">
        <f>IF('CONTROLE GLOBO AÇOS'!X352="","",'CONTROLE GLOBO AÇOS'!X352)</f>
        <v/>
      </c>
      <c r="BU350" s="223">
        <f>IF('CONTROLE GLOBO AÇOS'!Y352="","",'CONTROLE GLOBO AÇOS'!Y352)</f>
        <v/>
      </c>
      <c r="BV350" s="223">
        <f>IF(AND('CONTROLE EJ'!U352="",'CONTROLE CMM'!#REF!=""),"",N('CONTROLE EJ'!U352)+N('CONTROLE CMM'!#REF!))</f>
        <v/>
      </c>
      <c r="BW350" s="223">
        <f>IF(#REF!="","",#REF!)</f>
        <v/>
      </c>
    </row>
    <row r="351">
      <c r="A351" s="282" t="n">
        <v>46568</v>
      </c>
      <c r="B351" s="18">
        <f>IF('CONTROLE EJ'!B353="","",'CONTROLE EJ'!B353)</f>
        <v/>
      </c>
      <c r="C351" s="18">
        <f>IF('CONTROLE EJ'!C353="","",'CONTROLE EJ'!C353)</f>
        <v/>
      </c>
      <c r="D351" s="26">
        <f>IF('CONTROLE EJ'!D353="","",'CONTROLE EJ'!D353)</f>
        <v/>
      </c>
      <c r="E351" s="43">
        <f>IF('CONTROLE CMM'!B353="","",'CONTROLE CMM'!B353)</f>
        <v/>
      </c>
      <c r="F351" s="18">
        <f>IF('CONTROLE CMM'!C353="","",'CONTROLE CMM'!C353)</f>
        <v/>
      </c>
      <c r="G351" s="26">
        <f>IF('CONTROLE CMM'!D353="","",'CONTROLE CMM'!D353)</f>
        <v/>
      </c>
      <c r="H351" s="18">
        <f>IF('CONTROLE GLOBO AÇOS'!B353="","",'CONTROLE GLOBO AÇOS'!B353)</f>
        <v/>
      </c>
      <c r="I351" s="18">
        <f>IF('CONTROLE GLOBO AÇOS'!C353="","",'CONTROLE GLOBO AÇOS'!C353)</f>
        <v/>
      </c>
      <c r="J351" s="18">
        <f>IF('CONTROLE GLOBO AÇOS'!D353="","",'CONTROLE GLOBO AÇOS'!D353)</f>
        <v/>
      </c>
      <c r="AD351" s="39">
        <f>IF($A351="",0,IF(AND(WEEKDAY($A351,2)&lt;=5,OR($B351&lt;&gt;"",$C351&lt;&gt;"",$D351&lt;&gt;"")),1,0))</f>
        <v/>
      </c>
      <c r="AE351" s="39">
        <f>IF($A351="",0,IF(AND(WEEKDAY($A351,2)&lt;=5,OR($E351&lt;&gt;"",$F351&lt;&gt;"",$G351&lt;&gt;"")),1,0))</f>
        <v/>
      </c>
      <c r="AF351" s="39">
        <f>MAX(AD351,AE351)</f>
        <v/>
      </c>
      <c r="AH351" s="223">
        <f>IF('CONTROLE GLOBO AÇOS'!E353="","",'CONTROLE GLOBO AÇOS'!E353)</f>
        <v/>
      </c>
      <c r="AI351" s="223">
        <f>IF('CONTROLE GLOBO AÇOS'!F353="","",'CONTROLE GLOBO AÇOS'!F353)</f>
        <v/>
      </c>
      <c r="AJ351" s="223">
        <f>IF(AND('CONTROLE EJ'!E353="",'CONTROLE CMM'!E353=""),"",N('CONTROLE EJ'!E353)+N('CONTROLE CMM'!E353))</f>
        <v/>
      </c>
      <c r="AK351" s="223">
        <f>IF(AND('CONTROLE EJ'!F353="",'CONTROLE CMM'!F353=""),"",N('CONTROLE EJ'!F353)+N('CONTROLE CMM'!F353))</f>
        <v/>
      </c>
      <c r="AL351" s="223">
        <f>IF(AND('CONTROLE EJ'!G353="",'CONTROLE CMM'!G353=""),"",N('CONTROLE EJ'!G353)+N('CONTROLE CMM'!G353))</f>
        <v/>
      </c>
      <c r="AM351" s="223">
        <f>IF(AND('CONTROLE EJ'!H353="",'CONTROLE CMM'!H353=""),"",N('CONTROLE EJ'!H353)+N('CONTROLE CMM'!H353))</f>
        <v/>
      </c>
      <c r="AN351" s="223">
        <f>IF('CONTROLE GLOBO AÇOS'!G353="","",'CONTROLE GLOBO AÇOS'!G353)</f>
        <v/>
      </c>
      <c r="AO351" s="223">
        <f>IF('CONTROLE GLOBO AÇOS'!H353="","",'CONTROLE GLOBO AÇOS'!H353)</f>
        <v/>
      </c>
      <c r="AP351" s="223">
        <f>IF(AND('CONTROLE EJ'!I353="",'CONTROLE CMM'!I353=""),"",N('CONTROLE EJ'!I353)+N('CONTROLE CMM'!I353))</f>
        <v/>
      </c>
      <c r="AQ351" s="223">
        <f>IF(AND('CONTROLE EJ'!J353="",'CONTROLE CMM'!#REF!=""),"",N('CONTROLE EJ'!J353)+N('CONTROLE CMM'!#REF!))</f>
        <v/>
      </c>
      <c r="AR351" s="223">
        <f>IF('CONTROLE GLOBO AÇOS'!I353="","",'CONTROLE GLOBO AÇOS'!I353)</f>
        <v/>
      </c>
      <c r="AS351" s="223">
        <f>IF('CONTROLE GLOBO AÇOS'!J353="","",'CONTROLE GLOBO AÇOS'!J353)</f>
        <v/>
      </c>
      <c r="AT351" s="223">
        <f>IF(#REF!="","",#REF!)</f>
        <v/>
      </c>
      <c r="AU351" s="223">
        <f>IF('CONTROLE GLOBO AÇOS'!K353="","",'CONTROLE GLOBO AÇOS'!K353)</f>
        <v/>
      </c>
      <c r="AV351" s="223">
        <f>IF(AND('CONTROLE EJ'!K353="",'CONTROLE CMM'!#REF!=""),"",N('CONTROLE EJ'!K353)+N('CONTROLE CMM'!#REF!))</f>
        <v/>
      </c>
      <c r="AW351" s="223">
        <f>IF('CONTROLE GLOBO AÇOS'!L353="","",'CONTROLE GLOBO AÇOS'!L353)</f>
        <v/>
      </c>
      <c r="AX351" s="223">
        <f>IF(AND('CONTROLE EJ'!L353="",'CONTROLE CMM'!#REF!=""),"",N('CONTROLE EJ'!L353)+N('CONTROLE CMM'!#REF!))</f>
        <v/>
      </c>
      <c r="AY351" s="223">
        <f>IF('CONTROLE GLOBO AÇOS'!M353="","",'CONTROLE GLOBO AÇOS'!M353)</f>
        <v/>
      </c>
      <c r="AZ351" s="223">
        <f>IF('CONTROLE GLOBO AÇOS'!N353="","",'CONTROLE GLOBO AÇOS'!N353)</f>
        <v/>
      </c>
      <c r="BA351" s="223">
        <f>IF(AND('CONTROLE EJ'!M353="",'CONTROLE CMM'!#REF!=""),"",N('CONTROLE EJ'!M353)+N('CONTROLE CMM'!#REF!))</f>
        <v/>
      </c>
      <c r="BB351" s="223">
        <f>IF(#REF!="","",#REF!)</f>
        <v/>
      </c>
      <c r="BC351" s="223">
        <f>IF('CONTROLE GLOBO AÇOS'!O353="","",'CONTROLE GLOBO AÇOS'!O353)</f>
        <v/>
      </c>
      <c r="BD351" s="223">
        <f>IF(AND('CONTROLE EJ'!N353="",'CONTROLE CMM'!#REF!=""),"",N('CONTROLE EJ'!N353)+N('CONTROLE CMM'!#REF!))</f>
        <v/>
      </c>
      <c r="BE351" s="223">
        <f>IF('CONTROLE GLOBO AÇOS'!P353="","",'CONTROLE GLOBO AÇOS'!P353)</f>
        <v/>
      </c>
      <c r="BF351" s="223">
        <f>IF('CONTROLE GLOBO AÇOS'!Q353="","",'CONTROLE GLOBO AÇOS'!Q353)</f>
        <v/>
      </c>
      <c r="BG351" s="223">
        <f>IF('CONTROLE GLOBO AÇOS'!R353="","",'CONTROLE GLOBO AÇOS'!R353)</f>
        <v/>
      </c>
      <c r="BH351" s="223">
        <f>IF(AND('CONTROLE EJ'!O353="",'CONTROLE CMM'!#REF!=""),"",N('CONTROLE EJ'!O353)+N('CONTROLE CMM'!#REF!))</f>
        <v/>
      </c>
      <c r="BI351" s="223">
        <f>IF('CONTROLE GLOBO AÇOS'!S353="","",'CONTROLE GLOBO AÇOS'!S353)</f>
        <v/>
      </c>
      <c r="BJ351" s="223">
        <f>IF('CONTROLE GLOBO AÇOS'!T353="","",'CONTROLE GLOBO AÇOS'!T353)</f>
        <v/>
      </c>
      <c r="BK351" s="223">
        <f>IF('CONTROLE GLOBO AÇOS'!U353="","",'CONTROLE GLOBO AÇOS'!U353)</f>
        <v/>
      </c>
      <c r="BL351" s="223">
        <f>IF(AND('CONTROLE EJ'!P353="",'CONTROLE CMM'!#REF!=""),"",N('CONTROLE EJ'!P353)+N('CONTROLE CMM'!#REF!))</f>
        <v/>
      </c>
      <c r="BM351" s="223">
        <f>IF(AND('CONTROLE EJ'!Q353="",'CONTROLE CMM'!#REF!=""),"",N('CONTROLE EJ'!Q353)+N('CONTROLE CMM'!#REF!))</f>
        <v/>
      </c>
      <c r="BN351" s="223">
        <f>IF('CONTROLE GLOBO AÇOS'!V353="","",'CONTROLE GLOBO AÇOS'!V353)</f>
        <v/>
      </c>
      <c r="BO351" s="223">
        <f>IF('CONTROLE GLOBO AÇOS'!W353="","",'CONTROLE GLOBO AÇOS'!W353)</f>
        <v/>
      </c>
      <c r="BP351" s="223">
        <f>IF(AND('CONTROLE EJ'!R353="",'CONTROLE CMM'!#REF!=""),"",N('CONTROLE EJ'!R353)+N('CONTROLE CMM'!#REF!))</f>
        <v/>
      </c>
      <c r="BQ351" s="223">
        <f>IF(#REF!="","",#REF!)</f>
        <v/>
      </c>
      <c r="BR351" s="223">
        <f>IF(AND('CONTROLE EJ'!S353="",'CONTROLE CMM'!#REF!=""),"",N('CONTROLE EJ'!S353)+N('CONTROLE CMM'!#REF!))</f>
        <v/>
      </c>
      <c r="BS351" s="223">
        <f>IF(AND('CONTROLE EJ'!T353="",'CONTROLE CMM'!#REF!=""),"",N('CONTROLE EJ'!T353)+N('CONTROLE CMM'!#REF!))</f>
        <v/>
      </c>
      <c r="BT351" s="223">
        <f>IF('CONTROLE GLOBO AÇOS'!X353="","",'CONTROLE GLOBO AÇOS'!X353)</f>
        <v/>
      </c>
      <c r="BU351" s="223">
        <f>IF('CONTROLE GLOBO AÇOS'!Y353="","",'CONTROLE GLOBO AÇOS'!Y353)</f>
        <v/>
      </c>
      <c r="BV351" s="223">
        <f>IF(AND('CONTROLE EJ'!U353="",'CONTROLE CMM'!#REF!=""),"",N('CONTROLE EJ'!U353)+N('CONTROLE CMM'!#REF!))</f>
        <v/>
      </c>
      <c r="BW351" s="223">
        <f>IF(#REF!="","",#REF!)</f>
        <v/>
      </c>
    </row>
    <row r="352">
      <c r="A352" s="282" t="n">
        <v>46569</v>
      </c>
      <c r="B352" s="18">
        <f>IF('CONTROLE EJ'!B354="","",'CONTROLE EJ'!B354)</f>
        <v/>
      </c>
      <c r="C352" s="18">
        <f>IF('CONTROLE EJ'!C354="","",'CONTROLE EJ'!C354)</f>
        <v/>
      </c>
      <c r="D352" s="26">
        <f>IF('CONTROLE EJ'!D354="","",'CONTROLE EJ'!D354)</f>
        <v/>
      </c>
      <c r="E352" s="43">
        <f>IF('CONTROLE CMM'!B354="","",'CONTROLE CMM'!B354)</f>
        <v/>
      </c>
      <c r="F352" s="18">
        <f>IF('CONTROLE CMM'!C354="","",'CONTROLE CMM'!C354)</f>
        <v/>
      </c>
      <c r="G352" s="26">
        <f>IF('CONTROLE CMM'!D354="","",'CONTROLE CMM'!D354)</f>
        <v/>
      </c>
      <c r="H352" s="18">
        <f>IF('CONTROLE GLOBO AÇOS'!B354="","",'CONTROLE GLOBO AÇOS'!B354)</f>
        <v/>
      </c>
      <c r="I352" s="18">
        <f>IF('CONTROLE GLOBO AÇOS'!C354="","",'CONTROLE GLOBO AÇOS'!C354)</f>
        <v/>
      </c>
      <c r="J352" s="18">
        <f>IF('CONTROLE GLOBO AÇOS'!D354="","",'CONTROLE GLOBO AÇOS'!D354)</f>
        <v/>
      </c>
      <c r="AD352" s="39">
        <f>IF($A352="",0,IF(AND(WEEKDAY($A352,2)&lt;=5,OR($B352&lt;&gt;"",$C352&lt;&gt;"",$D352&lt;&gt;"")),1,0))</f>
        <v/>
      </c>
      <c r="AE352" s="39">
        <f>IF($A352="",0,IF(AND(WEEKDAY($A352,2)&lt;=5,OR($E352&lt;&gt;"",$F352&lt;&gt;"",$G352&lt;&gt;"")),1,0))</f>
        <v/>
      </c>
      <c r="AF352" s="39">
        <f>MAX(AD352,AE352)</f>
        <v/>
      </c>
      <c r="AH352" s="223">
        <f>IF('CONTROLE GLOBO AÇOS'!E354="","",'CONTROLE GLOBO AÇOS'!E354)</f>
        <v/>
      </c>
      <c r="AI352" s="223">
        <f>IF('CONTROLE GLOBO AÇOS'!F354="","",'CONTROLE GLOBO AÇOS'!F354)</f>
        <v/>
      </c>
      <c r="AJ352" s="223">
        <f>IF(AND('CONTROLE EJ'!E354="",'CONTROLE CMM'!E354=""),"",N('CONTROLE EJ'!E354)+N('CONTROLE CMM'!E354))</f>
        <v/>
      </c>
      <c r="AK352" s="223">
        <f>IF(AND('CONTROLE EJ'!F354="",'CONTROLE CMM'!F354=""),"",N('CONTROLE EJ'!F354)+N('CONTROLE CMM'!F354))</f>
        <v/>
      </c>
      <c r="AL352" s="223">
        <f>IF(AND('CONTROLE EJ'!G354="",'CONTROLE CMM'!G354=""),"",N('CONTROLE EJ'!G354)+N('CONTROLE CMM'!G354))</f>
        <v/>
      </c>
      <c r="AM352" s="223">
        <f>IF(AND('CONTROLE EJ'!H354="",'CONTROLE CMM'!H354=""),"",N('CONTROLE EJ'!H354)+N('CONTROLE CMM'!H354))</f>
        <v/>
      </c>
      <c r="AN352" s="223">
        <f>IF('CONTROLE GLOBO AÇOS'!G354="","",'CONTROLE GLOBO AÇOS'!G354)</f>
        <v/>
      </c>
      <c r="AO352" s="223">
        <f>IF('CONTROLE GLOBO AÇOS'!H354="","",'CONTROLE GLOBO AÇOS'!H354)</f>
        <v/>
      </c>
      <c r="AP352" s="223">
        <f>IF(AND('CONTROLE EJ'!I354="",'CONTROLE CMM'!I354=""),"",N('CONTROLE EJ'!I354)+N('CONTROLE CMM'!I354))</f>
        <v/>
      </c>
      <c r="AQ352" s="223">
        <f>IF(AND('CONTROLE EJ'!J354="",'CONTROLE CMM'!#REF!=""),"",N('CONTROLE EJ'!J354)+N('CONTROLE CMM'!#REF!))</f>
        <v/>
      </c>
      <c r="AR352" s="223">
        <f>IF('CONTROLE GLOBO AÇOS'!I354="","",'CONTROLE GLOBO AÇOS'!I354)</f>
        <v/>
      </c>
      <c r="AS352" s="223">
        <f>IF('CONTROLE GLOBO AÇOS'!J354="","",'CONTROLE GLOBO AÇOS'!J354)</f>
        <v/>
      </c>
      <c r="AT352" s="223">
        <f>IF(#REF!="","",#REF!)</f>
        <v/>
      </c>
      <c r="AU352" s="223">
        <f>IF('CONTROLE GLOBO AÇOS'!K354="","",'CONTROLE GLOBO AÇOS'!K354)</f>
        <v/>
      </c>
      <c r="AV352" s="223">
        <f>IF(AND('CONTROLE EJ'!K354="",'CONTROLE CMM'!#REF!=""),"",N('CONTROLE EJ'!K354)+N('CONTROLE CMM'!#REF!))</f>
        <v/>
      </c>
      <c r="AW352" s="223">
        <f>IF('CONTROLE GLOBO AÇOS'!L354="","",'CONTROLE GLOBO AÇOS'!L354)</f>
        <v/>
      </c>
      <c r="AX352" s="223">
        <f>IF(AND('CONTROLE EJ'!L354="",'CONTROLE CMM'!#REF!=""),"",N('CONTROLE EJ'!L354)+N('CONTROLE CMM'!#REF!))</f>
        <v/>
      </c>
      <c r="AY352" s="223">
        <f>IF('CONTROLE GLOBO AÇOS'!M354="","",'CONTROLE GLOBO AÇOS'!M354)</f>
        <v/>
      </c>
      <c r="AZ352" s="223">
        <f>IF('CONTROLE GLOBO AÇOS'!N354="","",'CONTROLE GLOBO AÇOS'!N354)</f>
        <v/>
      </c>
      <c r="BA352" s="223">
        <f>IF(AND('CONTROLE EJ'!M354="",'CONTROLE CMM'!#REF!=""),"",N('CONTROLE EJ'!M354)+N('CONTROLE CMM'!#REF!))</f>
        <v/>
      </c>
      <c r="BB352" s="223">
        <f>IF(#REF!="","",#REF!)</f>
        <v/>
      </c>
      <c r="BC352" s="223">
        <f>IF('CONTROLE GLOBO AÇOS'!O354="","",'CONTROLE GLOBO AÇOS'!O354)</f>
        <v/>
      </c>
      <c r="BD352" s="223">
        <f>IF(AND('CONTROLE EJ'!N354="",'CONTROLE CMM'!#REF!=""),"",N('CONTROLE EJ'!N354)+N('CONTROLE CMM'!#REF!))</f>
        <v/>
      </c>
      <c r="BE352" s="223">
        <f>IF('CONTROLE GLOBO AÇOS'!P354="","",'CONTROLE GLOBO AÇOS'!P354)</f>
        <v/>
      </c>
      <c r="BF352" s="223">
        <f>IF('CONTROLE GLOBO AÇOS'!Q354="","",'CONTROLE GLOBO AÇOS'!Q354)</f>
        <v/>
      </c>
      <c r="BG352" s="223">
        <f>IF('CONTROLE GLOBO AÇOS'!R354="","",'CONTROLE GLOBO AÇOS'!R354)</f>
        <v/>
      </c>
      <c r="BH352" s="223">
        <f>IF(AND('CONTROLE EJ'!O354="",'CONTROLE CMM'!#REF!=""),"",N('CONTROLE EJ'!O354)+N('CONTROLE CMM'!#REF!))</f>
        <v/>
      </c>
      <c r="BI352" s="223">
        <f>IF('CONTROLE GLOBO AÇOS'!S354="","",'CONTROLE GLOBO AÇOS'!S354)</f>
        <v/>
      </c>
      <c r="BJ352" s="223">
        <f>IF('CONTROLE GLOBO AÇOS'!T354="","",'CONTROLE GLOBO AÇOS'!T354)</f>
        <v/>
      </c>
      <c r="BK352" s="223">
        <f>IF('CONTROLE GLOBO AÇOS'!U354="","",'CONTROLE GLOBO AÇOS'!U354)</f>
        <v/>
      </c>
      <c r="BL352" s="223">
        <f>IF(AND('CONTROLE EJ'!P354="",'CONTROLE CMM'!#REF!=""),"",N('CONTROLE EJ'!P354)+N('CONTROLE CMM'!#REF!))</f>
        <v/>
      </c>
      <c r="BM352" s="223">
        <f>IF(AND('CONTROLE EJ'!Q354="",'CONTROLE CMM'!#REF!=""),"",N('CONTROLE EJ'!Q354)+N('CONTROLE CMM'!#REF!))</f>
        <v/>
      </c>
      <c r="BN352" s="223">
        <f>IF('CONTROLE GLOBO AÇOS'!V354="","",'CONTROLE GLOBO AÇOS'!V354)</f>
        <v/>
      </c>
      <c r="BO352" s="223">
        <f>IF('CONTROLE GLOBO AÇOS'!W354="","",'CONTROLE GLOBO AÇOS'!W354)</f>
        <v/>
      </c>
      <c r="BP352" s="223">
        <f>IF(AND('CONTROLE EJ'!R354="",'CONTROLE CMM'!#REF!=""),"",N('CONTROLE EJ'!R354)+N('CONTROLE CMM'!#REF!))</f>
        <v/>
      </c>
      <c r="BQ352" s="223">
        <f>IF(#REF!="","",#REF!)</f>
        <v/>
      </c>
      <c r="BR352" s="223">
        <f>IF(AND('CONTROLE EJ'!S354="",'CONTROLE CMM'!#REF!=""),"",N('CONTROLE EJ'!S354)+N('CONTROLE CMM'!#REF!))</f>
        <v/>
      </c>
      <c r="BS352" s="223">
        <f>IF(AND('CONTROLE EJ'!T354="",'CONTROLE CMM'!#REF!=""),"",N('CONTROLE EJ'!T354)+N('CONTROLE CMM'!#REF!))</f>
        <v/>
      </c>
      <c r="BT352" s="223">
        <f>IF('CONTROLE GLOBO AÇOS'!X354="","",'CONTROLE GLOBO AÇOS'!X354)</f>
        <v/>
      </c>
      <c r="BU352" s="223">
        <f>IF('CONTROLE GLOBO AÇOS'!Y354="","",'CONTROLE GLOBO AÇOS'!Y354)</f>
        <v/>
      </c>
      <c r="BV352" s="223">
        <f>IF(AND('CONTROLE EJ'!U354="",'CONTROLE CMM'!#REF!=""),"",N('CONTROLE EJ'!U354)+N('CONTROLE CMM'!#REF!))</f>
        <v/>
      </c>
      <c r="BW352" s="223">
        <f>IF(#REF!="","",#REF!)</f>
        <v/>
      </c>
    </row>
    <row r="353">
      <c r="A353" s="282" t="n">
        <v>46570</v>
      </c>
      <c r="B353" s="18">
        <f>IF('CONTROLE EJ'!B355="","",'CONTROLE EJ'!B355)</f>
        <v/>
      </c>
      <c r="C353" s="18">
        <f>IF('CONTROLE EJ'!C355="","",'CONTROLE EJ'!C355)</f>
        <v/>
      </c>
      <c r="D353" s="26">
        <f>IF('CONTROLE EJ'!D355="","",'CONTROLE EJ'!D355)</f>
        <v/>
      </c>
      <c r="E353" s="43">
        <f>IF('CONTROLE CMM'!B355="","",'CONTROLE CMM'!B355)</f>
        <v/>
      </c>
      <c r="F353" s="18">
        <f>IF('CONTROLE CMM'!C355="","",'CONTROLE CMM'!C355)</f>
        <v/>
      </c>
      <c r="G353" s="26">
        <f>IF('CONTROLE CMM'!D355="","",'CONTROLE CMM'!D355)</f>
        <v/>
      </c>
      <c r="H353" s="18">
        <f>IF('CONTROLE GLOBO AÇOS'!B355="","",'CONTROLE GLOBO AÇOS'!B355)</f>
        <v/>
      </c>
      <c r="I353" s="18">
        <f>IF('CONTROLE GLOBO AÇOS'!C355="","",'CONTROLE GLOBO AÇOS'!C355)</f>
        <v/>
      </c>
      <c r="J353" s="18">
        <f>IF('CONTROLE GLOBO AÇOS'!D355="","",'CONTROLE GLOBO AÇOS'!D355)</f>
        <v/>
      </c>
      <c r="AD353" s="39">
        <f>IF($A353="",0,IF(AND(WEEKDAY($A353,2)&lt;=5,OR($B353&lt;&gt;"",$C353&lt;&gt;"",$D353&lt;&gt;"")),1,0))</f>
        <v/>
      </c>
      <c r="AE353" s="39">
        <f>IF($A353="",0,IF(AND(WEEKDAY($A353,2)&lt;=5,OR($E353&lt;&gt;"",$F353&lt;&gt;"",$G353&lt;&gt;"")),1,0))</f>
        <v/>
      </c>
      <c r="AF353" s="39">
        <f>MAX(AD353,AE353)</f>
        <v/>
      </c>
      <c r="AH353" s="223">
        <f>IF('CONTROLE GLOBO AÇOS'!E355="","",'CONTROLE GLOBO AÇOS'!E355)</f>
        <v/>
      </c>
      <c r="AI353" s="223">
        <f>IF('CONTROLE GLOBO AÇOS'!F355="","",'CONTROLE GLOBO AÇOS'!F355)</f>
        <v/>
      </c>
      <c r="AJ353" s="223">
        <f>IF(AND('CONTROLE EJ'!E355="",'CONTROLE CMM'!E355=""),"",N('CONTROLE EJ'!E355)+N('CONTROLE CMM'!E355))</f>
        <v/>
      </c>
      <c r="AK353" s="223">
        <f>IF(AND('CONTROLE EJ'!F355="",'CONTROLE CMM'!F355=""),"",N('CONTROLE EJ'!F355)+N('CONTROLE CMM'!F355))</f>
        <v/>
      </c>
      <c r="AL353" s="223">
        <f>IF(AND('CONTROLE EJ'!G355="",'CONTROLE CMM'!G355=""),"",N('CONTROLE EJ'!G355)+N('CONTROLE CMM'!G355))</f>
        <v/>
      </c>
      <c r="AM353" s="223">
        <f>IF(AND('CONTROLE EJ'!H355="",'CONTROLE CMM'!H355=""),"",N('CONTROLE EJ'!H355)+N('CONTROLE CMM'!H355))</f>
        <v/>
      </c>
      <c r="AN353" s="223">
        <f>IF('CONTROLE GLOBO AÇOS'!G355="","",'CONTROLE GLOBO AÇOS'!G355)</f>
        <v/>
      </c>
      <c r="AO353" s="223">
        <f>IF('CONTROLE GLOBO AÇOS'!H355="","",'CONTROLE GLOBO AÇOS'!H355)</f>
        <v/>
      </c>
      <c r="AP353" s="223">
        <f>IF(AND('CONTROLE EJ'!I355="",'CONTROLE CMM'!I355=""),"",N('CONTROLE EJ'!I355)+N('CONTROLE CMM'!I355))</f>
        <v/>
      </c>
      <c r="AQ353" s="223">
        <f>IF(AND('CONTROLE EJ'!J355="",'CONTROLE CMM'!#REF!=""),"",N('CONTROLE EJ'!J355)+N('CONTROLE CMM'!#REF!))</f>
        <v/>
      </c>
      <c r="AR353" s="223">
        <f>IF('CONTROLE GLOBO AÇOS'!I355="","",'CONTROLE GLOBO AÇOS'!I355)</f>
        <v/>
      </c>
      <c r="AS353" s="223">
        <f>IF('CONTROLE GLOBO AÇOS'!J355="","",'CONTROLE GLOBO AÇOS'!J355)</f>
        <v/>
      </c>
      <c r="AT353" s="223">
        <f>IF(#REF!="","",#REF!)</f>
        <v/>
      </c>
      <c r="AU353" s="223">
        <f>IF('CONTROLE GLOBO AÇOS'!K355="","",'CONTROLE GLOBO AÇOS'!K355)</f>
        <v/>
      </c>
      <c r="AV353" s="223">
        <f>IF(AND('CONTROLE EJ'!K355="",'CONTROLE CMM'!#REF!=""),"",N('CONTROLE EJ'!K355)+N('CONTROLE CMM'!#REF!))</f>
        <v/>
      </c>
      <c r="AW353" s="223">
        <f>IF('CONTROLE GLOBO AÇOS'!L355="","",'CONTROLE GLOBO AÇOS'!L355)</f>
        <v/>
      </c>
      <c r="AX353" s="223">
        <f>IF(AND('CONTROLE EJ'!L355="",'CONTROLE CMM'!#REF!=""),"",N('CONTROLE EJ'!L355)+N('CONTROLE CMM'!#REF!))</f>
        <v/>
      </c>
      <c r="AY353" s="223">
        <f>IF('CONTROLE GLOBO AÇOS'!M355="","",'CONTROLE GLOBO AÇOS'!M355)</f>
        <v/>
      </c>
      <c r="AZ353" s="223">
        <f>IF('CONTROLE GLOBO AÇOS'!N355="","",'CONTROLE GLOBO AÇOS'!N355)</f>
        <v/>
      </c>
      <c r="BA353" s="223">
        <f>IF(AND('CONTROLE EJ'!M355="",'CONTROLE CMM'!#REF!=""),"",N('CONTROLE EJ'!M355)+N('CONTROLE CMM'!#REF!))</f>
        <v/>
      </c>
      <c r="BB353" s="223">
        <f>IF(#REF!="","",#REF!)</f>
        <v/>
      </c>
      <c r="BC353" s="223">
        <f>IF('CONTROLE GLOBO AÇOS'!O355="","",'CONTROLE GLOBO AÇOS'!O355)</f>
        <v/>
      </c>
      <c r="BD353" s="223">
        <f>IF(AND('CONTROLE EJ'!N355="",'CONTROLE CMM'!#REF!=""),"",N('CONTROLE EJ'!N355)+N('CONTROLE CMM'!#REF!))</f>
        <v/>
      </c>
      <c r="BE353" s="223">
        <f>IF('CONTROLE GLOBO AÇOS'!P355="","",'CONTROLE GLOBO AÇOS'!P355)</f>
        <v/>
      </c>
      <c r="BF353" s="223">
        <f>IF('CONTROLE GLOBO AÇOS'!Q355="","",'CONTROLE GLOBO AÇOS'!Q355)</f>
        <v/>
      </c>
      <c r="BG353" s="223">
        <f>IF('CONTROLE GLOBO AÇOS'!R355="","",'CONTROLE GLOBO AÇOS'!R355)</f>
        <v/>
      </c>
      <c r="BH353" s="223">
        <f>IF(AND('CONTROLE EJ'!O355="",'CONTROLE CMM'!#REF!=""),"",N('CONTROLE EJ'!O355)+N('CONTROLE CMM'!#REF!))</f>
        <v/>
      </c>
      <c r="BI353" s="223">
        <f>IF('CONTROLE GLOBO AÇOS'!S355="","",'CONTROLE GLOBO AÇOS'!S355)</f>
        <v/>
      </c>
      <c r="BJ353" s="223">
        <f>IF('CONTROLE GLOBO AÇOS'!T355="","",'CONTROLE GLOBO AÇOS'!T355)</f>
        <v/>
      </c>
      <c r="BK353" s="223">
        <f>IF('CONTROLE GLOBO AÇOS'!U355="","",'CONTROLE GLOBO AÇOS'!U355)</f>
        <v/>
      </c>
      <c r="BL353" s="223">
        <f>IF(AND('CONTROLE EJ'!P355="",'CONTROLE CMM'!#REF!=""),"",N('CONTROLE EJ'!P355)+N('CONTROLE CMM'!#REF!))</f>
        <v/>
      </c>
      <c r="BM353" s="223">
        <f>IF(AND('CONTROLE EJ'!Q355="",'CONTROLE CMM'!#REF!=""),"",N('CONTROLE EJ'!Q355)+N('CONTROLE CMM'!#REF!))</f>
        <v/>
      </c>
      <c r="BN353" s="223">
        <f>IF('CONTROLE GLOBO AÇOS'!V355="","",'CONTROLE GLOBO AÇOS'!V355)</f>
        <v/>
      </c>
      <c r="BO353" s="223">
        <f>IF('CONTROLE GLOBO AÇOS'!W355="","",'CONTROLE GLOBO AÇOS'!W355)</f>
        <v/>
      </c>
      <c r="BP353" s="223">
        <f>IF(AND('CONTROLE EJ'!R355="",'CONTROLE CMM'!#REF!=""),"",N('CONTROLE EJ'!R355)+N('CONTROLE CMM'!#REF!))</f>
        <v/>
      </c>
      <c r="BQ353" s="223">
        <f>IF(#REF!="","",#REF!)</f>
        <v/>
      </c>
      <c r="BR353" s="223">
        <f>IF(AND('CONTROLE EJ'!S355="",'CONTROLE CMM'!#REF!=""),"",N('CONTROLE EJ'!S355)+N('CONTROLE CMM'!#REF!))</f>
        <v/>
      </c>
      <c r="BS353" s="223">
        <f>IF(AND('CONTROLE EJ'!T355="",'CONTROLE CMM'!#REF!=""),"",N('CONTROLE EJ'!T355)+N('CONTROLE CMM'!#REF!))</f>
        <v/>
      </c>
      <c r="BT353" s="223">
        <f>IF('CONTROLE GLOBO AÇOS'!X355="","",'CONTROLE GLOBO AÇOS'!X355)</f>
        <v/>
      </c>
      <c r="BU353" s="223">
        <f>IF('CONTROLE GLOBO AÇOS'!Y355="","",'CONTROLE GLOBO AÇOS'!Y355)</f>
        <v/>
      </c>
      <c r="BV353" s="223">
        <f>IF(AND('CONTROLE EJ'!U355="",'CONTROLE CMM'!#REF!=""),"",N('CONTROLE EJ'!U355)+N('CONTROLE CMM'!#REF!))</f>
        <v/>
      </c>
      <c r="BW353" s="223">
        <f>IF(#REF!="","",#REF!)</f>
        <v/>
      </c>
    </row>
    <row r="354">
      <c r="A354" s="282" t="n">
        <v>46571</v>
      </c>
      <c r="B354" s="18">
        <f>IF('CONTROLE EJ'!B356="","",'CONTROLE EJ'!B356)</f>
        <v/>
      </c>
      <c r="C354" s="18">
        <f>IF('CONTROLE EJ'!C356="","",'CONTROLE EJ'!C356)</f>
        <v/>
      </c>
      <c r="D354" s="26">
        <f>IF('CONTROLE EJ'!D356="","",'CONTROLE EJ'!D356)</f>
        <v/>
      </c>
      <c r="E354" s="43">
        <f>IF('CONTROLE CMM'!B356="","",'CONTROLE CMM'!B356)</f>
        <v/>
      </c>
      <c r="F354" s="18">
        <f>IF('CONTROLE CMM'!C356="","",'CONTROLE CMM'!C356)</f>
        <v/>
      </c>
      <c r="G354" s="26">
        <f>IF('CONTROLE CMM'!D356="","",'CONTROLE CMM'!D356)</f>
        <v/>
      </c>
      <c r="H354" s="18">
        <f>IF('CONTROLE GLOBO AÇOS'!B356="","",'CONTROLE GLOBO AÇOS'!B356)</f>
        <v/>
      </c>
      <c r="I354" s="18">
        <f>IF('CONTROLE GLOBO AÇOS'!C356="","",'CONTROLE GLOBO AÇOS'!C356)</f>
        <v/>
      </c>
      <c r="J354" s="18">
        <f>IF('CONTROLE GLOBO AÇOS'!D356="","",'CONTROLE GLOBO AÇOS'!D356)</f>
        <v/>
      </c>
      <c r="AD354" s="39">
        <f>IF($A354="",0,IF(AND(WEEKDAY($A354,2)&lt;=5,OR($B354&lt;&gt;"",$C354&lt;&gt;"",$D354&lt;&gt;"")),1,0))</f>
        <v/>
      </c>
      <c r="AE354" s="39">
        <f>IF($A354="",0,IF(AND(WEEKDAY($A354,2)&lt;=5,OR($E354&lt;&gt;"",$F354&lt;&gt;"",$G354&lt;&gt;"")),1,0))</f>
        <v/>
      </c>
      <c r="AF354" s="39">
        <f>MAX(AD354,AE354)</f>
        <v/>
      </c>
      <c r="AH354" s="223">
        <f>IF('CONTROLE GLOBO AÇOS'!E356="","",'CONTROLE GLOBO AÇOS'!E356)</f>
        <v/>
      </c>
      <c r="AI354" s="223">
        <f>IF('CONTROLE GLOBO AÇOS'!F356="","",'CONTROLE GLOBO AÇOS'!F356)</f>
        <v/>
      </c>
      <c r="AJ354" s="223">
        <f>IF(AND('CONTROLE EJ'!E356="",'CONTROLE CMM'!E356=""),"",N('CONTROLE EJ'!E356)+N('CONTROLE CMM'!E356))</f>
        <v/>
      </c>
      <c r="AK354" s="223">
        <f>IF(AND('CONTROLE EJ'!F356="",'CONTROLE CMM'!F356=""),"",N('CONTROLE EJ'!F356)+N('CONTROLE CMM'!F356))</f>
        <v/>
      </c>
      <c r="AL354" s="223">
        <f>IF(AND('CONTROLE EJ'!G356="",'CONTROLE CMM'!G356=""),"",N('CONTROLE EJ'!G356)+N('CONTROLE CMM'!G356))</f>
        <v/>
      </c>
      <c r="AM354" s="223">
        <f>IF(AND('CONTROLE EJ'!H356="",'CONTROLE CMM'!H356=""),"",N('CONTROLE EJ'!H356)+N('CONTROLE CMM'!H356))</f>
        <v/>
      </c>
      <c r="AN354" s="223">
        <f>IF('CONTROLE GLOBO AÇOS'!G356="","",'CONTROLE GLOBO AÇOS'!G356)</f>
        <v/>
      </c>
      <c r="AO354" s="223">
        <f>IF('CONTROLE GLOBO AÇOS'!H356="","",'CONTROLE GLOBO AÇOS'!H356)</f>
        <v/>
      </c>
      <c r="AP354" s="223">
        <f>IF(AND('CONTROLE EJ'!I356="",'CONTROLE CMM'!I356=""),"",N('CONTROLE EJ'!I356)+N('CONTROLE CMM'!I356))</f>
        <v/>
      </c>
      <c r="AQ354" s="223">
        <f>IF(AND('CONTROLE EJ'!J356="",'CONTROLE CMM'!#REF!=""),"",N('CONTROLE EJ'!J356)+N('CONTROLE CMM'!#REF!))</f>
        <v/>
      </c>
      <c r="AR354" s="223">
        <f>IF('CONTROLE GLOBO AÇOS'!I356="","",'CONTROLE GLOBO AÇOS'!I356)</f>
        <v/>
      </c>
      <c r="AS354" s="223">
        <f>IF('CONTROLE GLOBO AÇOS'!J356="","",'CONTROLE GLOBO AÇOS'!J356)</f>
        <v/>
      </c>
      <c r="AT354" s="223">
        <f>IF(#REF!="","",#REF!)</f>
        <v/>
      </c>
      <c r="AU354" s="223">
        <f>IF('CONTROLE GLOBO AÇOS'!K356="","",'CONTROLE GLOBO AÇOS'!K356)</f>
        <v/>
      </c>
      <c r="AV354" s="223">
        <f>IF(AND('CONTROLE EJ'!K356="",'CONTROLE CMM'!#REF!=""),"",N('CONTROLE EJ'!K356)+N('CONTROLE CMM'!#REF!))</f>
        <v/>
      </c>
      <c r="AW354" s="223">
        <f>IF('CONTROLE GLOBO AÇOS'!L356="","",'CONTROLE GLOBO AÇOS'!L356)</f>
        <v/>
      </c>
      <c r="AX354" s="223">
        <f>IF(AND('CONTROLE EJ'!L356="",'CONTROLE CMM'!#REF!=""),"",N('CONTROLE EJ'!L356)+N('CONTROLE CMM'!#REF!))</f>
        <v/>
      </c>
      <c r="AY354" s="223">
        <f>IF('CONTROLE GLOBO AÇOS'!M356="","",'CONTROLE GLOBO AÇOS'!M356)</f>
        <v/>
      </c>
      <c r="AZ354" s="223">
        <f>IF('CONTROLE GLOBO AÇOS'!N356="","",'CONTROLE GLOBO AÇOS'!N356)</f>
        <v/>
      </c>
      <c r="BA354" s="223">
        <f>IF(AND('CONTROLE EJ'!M356="",'CONTROLE CMM'!#REF!=""),"",N('CONTROLE EJ'!M356)+N('CONTROLE CMM'!#REF!))</f>
        <v/>
      </c>
      <c r="BB354" s="223">
        <f>IF(#REF!="","",#REF!)</f>
        <v/>
      </c>
      <c r="BC354" s="223">
        <f>IF('CONTROLE GLOBO AÇOS'!O356="","",'CONTROLE GLOBO AÇOS'!O356)</f>
        <v/>
      </c>
      <c r="BD354" s="223">
        <f>IF(AND('CONTROLE EJ'!N356="",'CONTROLE CMM'!#REF!=""),"",N('CONTROLE EJ'!N356)+N('CONTROLE CMM'!#REF!))</f>
        <v/>
      </c>
      <c r="BE354" s="223">
        <f>IF('CONTROLE GLOBO AÇOS'!P356="","",'CONTROLE GLOBO AÇOS'!P356)</f>
        <v/>
      </c>
      <c r="BF354" s="223">
        <f>IF('CONTROLE GLOBO AÇOS'!Q356="","",'CONTROLE GLOBO AÇOS'!Q356)</f>
        <v/>
      </c>
      <c r="BG354" s="223">
        <f>IF('CONTROLE GLOBO AÇOS'!R356="","",'CONTROLE GLOBO AÇOS'!R356)</f>
        <v/>
      </c>
      <c r="BH354" s="223">
        <f>IF(AND('CONTROLE EJ'!O356="",'CONTROLE CMM'!#REF!=""),"",N('CONTROLE EJ'!O356)+N('CONTROLE CMM'!#REF!))</f>
        <v/>
      </c>
      <c r="BI354" s="223">
        <f>IF('CONTROLE GLOBO AÇOS'!S356="","",'CONTROLE GLOBO AÇOS'!S356)</f>
        <v/>
      </c>
      <c r="BJ354" s="223">
        <f>IF('CONTROLE GLOBO AÇOS'!T356="","",'CONTROLE GLOBO AÇOS'!T356)</f>
        <v/>
      </c>
      <c r="BK354" s="223">
        <f>IF('CONTROLE GLOBO AÇOS'!U356="","",'CONTROLE GLOBO AÇOS'!U356)</f>
        <v/>
      </c>
      <c r="BL354" s="223">
        <f>IF(AND('CONTROLE EJ'!P356="",'CONTROLE CMM'!#REF!=""),"",N('CONTROLE EJ'!P356)+N('CONTROLE CMM'!#REF!))</f>
        <v/>
      </c>
      <c r="BM354" s="223">
        <f>IF(AND('CONTROLE EJ'!Q356="",'CONTROLE CMM'!#REF!=""),"",N('CONTROLE EJ'!Q356)+N('CONTROLE CMM'!#REF!))</f>
        <v/>
      </c>
      <c r="BN354" s="223">
        <f>IF('CONTROLE GLOBO AÇOS'!V356="","",'CONTROLE GLOBO AÇOS'!V356)</f>
        <v/>
      </c>
      <c r="BO354" s="223">
        <f>IF('CONTROLE GLOBO AÇOS'!W356="","",'CONTROLE GLOBO AÇOS'!W356)</f>
        <v/>
      </c>
      <c r="BP354" s="223">
        <f>IF(AND('CONTROLE EJ'!R356="",'CONTROLE CMM'!#REF!=""),"",N('CONTROLE EJ'!R356)+N('CONTROLE CMM'!#REF!))</f>
        <v/>
      </c>
      <c r="BQ354" s="223">
        <f>IF(#REF!="","",#REF!)</f>
        <v/>
      </c>
      <c r="BR354" s="223">
        <f>IF(AND('CONTROLE EJ'!S356="",'CONTROLE CMM'!#REF!=""),"",N('CONTROLE EJ'!S356)+N('CONTROLE CMM'!#REF!))</f>
        <v/>
      </c>
      <c r="BS354" s="223">
        <f>IF(AND('CONTROLE EJ'!T356="",'CONTROLE CMM'!#REF!=""),"",N('CONTROLE EJ'!T356)+N('CONTROLE CMM'!#REF!))</f>
        <v/>
      </c>
      <c r="BT354" s="223">
        <f>IF('CONTROLE GLOBO AÇOS'!X356="","",'CONTROLE GLOBO AÇOS'!X356)</f>
        <v/>
      </c>
      <c r="BU354" s="223">
        <f>IF('CONTROLE GLOBO AÇOS'!Y356="","",'CONTROLE GLOBO AÇOS'!Y356)</f>
        <v/>
      </c>
      <c r="BV354" s="223">
        <f>IF(AND('CONTROLE EJ'!U356="",'CONTROLE CMM'!#REF!=""),"",N('CONTROLE EJ'!U356)+N('CONTROLE CMM'!#REF!))</f>
        <v/>
      </c>
      <c r="BW354" s="223">
        <f>IF(#REF!="","",#REF!)</f>
        <v/>
      </c>
    </row>
    <row r="355">
      <c r="A355" s="282" t="n">
        <v>46572</v>
      </c>
      <c r="B355" s="18">
        <f>IF('CONTROLE EJ'!B357="","",'CONTROLE EJ'!B357)</f>
        <v/>
      </c>
      <c r="C355" s="18">
        <f>IF('CONTROLE EJ'!C357="","",'CONTROLE EJ'!C357)</f>
        <v/>
      </c>
      <c r="D355" s="26">
        <f>IF('CONTROLE EJ'!D357="","",'CONTROLE EJ'!D357)</f>
        <v/>
      </c>
      <c r="E355" s="43">
        <f>IF('CONTROLE CMM'!B357="","",'CONTROLE CMM'!B357)</f>
        <v/>
      </c>
      <c r="F355" s="18">
        <f>IF('CONTROLE CMM'!C357="","",'CONTROLE CMM'!C357)</f>
        <v/>
      </c>
      <c r="G355" s="26">
        <f>IF('CONTROLE CMM'!D357="","",'CONTROLE CMM'!D357)</f>
        <v/>
      </c>
      <c r="H355" s="18">
        <f>IF('CONTROLE GLOBO AÇOS'!B357="","",'CONTROLE GLOBO AÇOS'!B357)</f>
        <v/>
      </c>
      <c r="I355" s="18">
        <f>IF('CONTROLE GLOBO AÇOS'!C357="","",'CONTROLE GLOBO AÇOS'!C357)</f>
        <v/>
      </c>
      <c r="J355" s="18">
        <f>IF('CONTROLE GLOBO AÇOS'!D357="","",'CONTROLE GLOBO AÇOS'!D357)</f>
        <v/>
      </c>
      <c r="AD355" s="39">
        <f>IF($A355="",0,IF(AND(WEEKDAY($A355,2)&lt;=5,OR($B355&lt;&gt;"",$C355&lt;&gt;"",$D355&lt;&gt;"")),1,0))</f>
        <v/>
      </c>
      <c r="AE355" s="39">
        <f>IF($A355="",0,IF(AND(WEEKDAY($A355,2)&lt;=5,OR($E355&lt;&gt;"",$F355&lt;&gt;"",$G355&lt;&gt;"")),1,0))</f>
        <v/>
      </c>
      <c r="AF355" s="39">
        <f>MAX(AD355,AE355)</f>
        <v/>
      </c>
      <c r="AH355" s="223">
        <f>IF('CONTROLE GLOBO AÇOS'!E357="","",'CONTROLE GLOBO AÇOS'!E357)</f>
        <v/>
      </c>
      <c r="AI355" s="223">
        <f>IF('CONTROLE GLOBO AÇOS'!F357="","",'CONTROLE GLOBO AÇOS'!F357)</f>
        <v/>
      </c>
      <c r="AJ355" s="223">
        <f>IF(AND('CONTROLE EJ'!E357="",'CONTROLE CMM'!E357=""),"",N('CONTROLE EJ'!E357)+N('CONTROLE CMM'!E357))</f>
        <v/>
      </c>
      <c r="AK355" s="223">
        <f>IF(AND('CONTROLE EJ'!F357="",'CONTROLE CMM'!F357=""),"",N('CONTROLE EJ'!F357)+N('CONTROLE CMM'!F357))</f>
        <v/>
      </c>
      <c r="AL355" s="223">
        <f>IF(AND('CONTROLE EJ'!G357="",'CONTROLE CMM'!G357=""),"",N('CONTROLE EJ'!G357)+N('CONTROLE CMM'!G357))</f>
        <v/>
      </c>
      <c r="AM355" s="223">
        <f>IF(AND('CONTROLE EJ'!H357="",'CONTROLE CMM'!H357=""),"",N('CONTROLE EJ'!H357)+N('CONTROLE CMM'!H357))</f>
        <v/>
      </c>
      <c r="AN355" s="223">
        <f>IF('CONTROLE GLOBO AÇOS'!G357="","",'CONTROLE GLOBO AÇOS'!G357)</f>
        <v/>
      </c>
      <c r="AO355" s="223">
        <f>IF('CONTROLE GLOBO AÇOS'!H357="","",'CONTROLE GLOBO AÇOS'!H357)</f>
        <v/>
      </c>
      <c r="AP355" s="223">
        <f>IF(AND('CONTROLE EJ'!I357="",'CONTROLE CMM'!I357=""),"",N('CONTROLE EJ'!I357)+N('CONTROLE CMM'!I357))</f>
        <v/>
      </c>
      <c r="AQ355" s="223">
        <f>IF(AND('CONTROLE EJ'!J357="",'CONTROLE CMM'!#REF!=""),"",N('CONTROLE EJ'!J357)+N('CONTROLE CMM'!#REF!))</f>
        <v/>
      </c>
      <c r="AR355" s="223">
        <f>IF('CONTROLE GLOBO AÇOS'!I357="","",'CONTROLE GLOBO AÇOS'!I357)</f>
        <v/>
      </c>
      <c r="AS355" s="223">
        <f>IF('CONTROLE GLOBO AÇOS'!J357="","",'CONTROLE GLOBO AÇOS'!J357)</f>
        <v/>
      </c>
      <c r="AT355" s="223">
        <f>IF(#REF!="","",#REF!)</f>
        <v/>
      </c>
      <c r="AU355" s="223">
        <f>IF('CONTROLE GLOBO AÇOS'!K357="","",'CONTROLE GLOBO AÇOS'!K357)</f>
        <v/>
      </c>
      <c r="AV355" s="223">
        <f>IF(AND('CONTROLE EJ'!K357="",'CONTROLE CMM'!#REF!=""),"",N('CONTROLE EJ'!K357)+N('CONTROLE CMM'!#REF!))</f>
        <v/>
      </c>
      <c r="AW355" s="223">
        <f>IF('CONTROLE GLOBO AÇOS'!L357="","",'CONTROLE GLOBO AÇOS'!L357)</f>
        <v/>
      </c>
      <c r="AX355" s="223">
        <f>IF(AND('CONTROLE EJ'!L357="",'CONTROLE CMM'!#REF!=""),"",N('CONTROLE EJ'!L357)+N('CONTROLE CMM'!#REF!))</f>
        <v/>
      </c>
      <c r="AY355" s="223">
        <f>IF('CONTROLE GLOBO AÇOS'!M357="","",'CONTROLE GLOBO AÇOS'!M357)</f>
        <v/>
      </c>
      <c r="AZ355" s="223">
        <f>IF('CONTROLE GLOBO AÇOS'!N357="","",'CONTROLE GLOBO AÇOS'!N357)</f>
        <v/>
      </c>
      <c r="BA355" s="223">
        <f>IF(AND('CONTROLE EJ'!M357="",'CONTROLE CMM'!#REF!=""),"",N('CONTROLE EJ'!M357)+N('CONTROLE CMM'!#REF!))</f>
        <v/>
      </c>
      <c r="BB355" s="223">
        <f>IF(#REF!="","",#REF!)</f>
        <v/>
      </c>
      <c r="BC355" s="223">
        <f>IF('CONTROLE GLOBO AÇOS'!O357="","",'CONTROLE GLOBO AÇOS'!O357)</f>
        <v/>
      </c>
      <c r="BD355" s="223">
        <f>IF(AND('CONTROLE EJ'!N357="",'CONTROLE CMM'!#REF!=""),"",N('CONTROLE EJ'!N357)+N('CONTROLE CMM'!#REF!))</f>
        <v/>
      </c>
      <c r="BE355" s="223">
        <f>IF('CONTROLE GLOBO AÇOS'!P357="","",'CONTROLE GLOBO AÇOS'!P357)</f>
        <v/>
      </c>
      <c r="BF355" s="223">
        <f>IF('CONTROLE GLOBO AÇOS'!Q357="","",'CONTROLE GLOBO AÇOS'!Q357)</f>
        <v/>
      </c>
      <c r="BG355" s="223">
        <f>IF('CONTROLE GLOBO AÇOS'!R357="","",'CONTROLE GLOBO AÇOS'!R357)</f>
        <v/>
      </c>
      <c r="BH355" s="223">
        <f>IF(AND('CONTROLE EJ'!O357="",'CONTROLE CMM'!#REF!=""),"",N('CONTROLE EJ'!O357)+N('CONTROLE CMM'!#REF!))</f>
        <v/>
      </c>
      <c r="BI355" s="223">
        <f>IF('CONTROLE GLOBO AÇOS'!S357="","",'CONTROLE GLOBO AÇOS'!S357)</f>
        <v/>
      </c>
      <c r="BJ355" s="223">
        <f>IF('CONTROLE GLOBO AÇOS'!T357="","",'CONTROLE GLOBO AÇOS'!T357)</f>
        <v/>
      </c>
      <c r="BK355" s="223">
        <f>IF('CONTROLE GLOBO AÇOS'!U357="","",'CONTROLE GLOBO AÇOS'!U357)</f>
        <v/>
      </c>
      <c r="BL355" s="223">
        <f>IF(AND('CONTROLE EJ'!P357="",'CONTROLE CMM'!#REF!=""),"",N('CONTROLE EJ'!P357)+N('CONTROLE CMM'!#REF!))</f>
        <v/>
      </c>
      <c r="BM355" s="223">
        <f>IF(AND('CONTROLE EJ'!Q357="",'CONTROLE CMM'!#REF!=""),"",N('CONTROLE EJ'!Q357)+N('CONTROLE CMM'!#REF!))</f>
        <v/>
      </c>
      <c r="BN355" s="223">
        <f>IF('CONTROLE GLOBO AÇOS'!V357="","",'CONTROLE GLOBO AÇOS'!V357)</f>
        <v/>
      </c>
      <c r="BO355" s="223">
        <f>IF('CONTROLE GLOBO AÇOS'!W357="","",'CONTROLE GLOBO AÇOS'!W357)</f>
        <v/>
      </c>
      <c r="BP355" s="223">
        <f>IF(AND('CONTROLE EJ'!R357="",'CONTROLE CMM'!#REF!=""),"",N('CONTROLE EJ'!R357)+N('CONTROLE CMM'!#REF!))</f>
        <v/>
      </c>
      <c r="BQ355" s="223">
        <f>IF(#REF!="","",#REF!)</f>
        <v/>
      </c>
      <c r="BR355" s="223">
        <f>IF(AND('CONTROLE EJ'!S357="",'CONTROLE CMM'!#REF!=""),"",N('CONTROLE EJ'!S357)+N('CONTROLE CMM'!#REF!))</f>
        <v/>
      </c>
      <c r="BS355" s="223">
        <f>IF(AND('CONTROLE EJ'!T357="",'CONTROLE CMM'!#REF!=""),"",N('CONTROLE EJ'!T357)+N('CONTROLE CMM'!#REF!))</f>
        <v/>
      </c>
      <c r="BT355" s="223">
        <f>IF('CONTROLE GLOBO AÇOS'!X357="","",'CONTROLE GLOBO AÇOS'!X357)</f>
        <v/>
      </c>
      <c r="BU355" s="223">
        <f>IF('CONTROLE GLOBO AÇOS'!Y357="","",'CONTROLE GLOBO AÇOS'!Y357)</f>
        <v/>
      </c>
      <c r="BV355" s="223">
        <f>IF(AND('CONTROLE EJ'!U357="",'CONTROLE CMM'!#REF!=""),"",N('CONTROLE EJ'!U357)+N('CONTROLE CMM'!#REF!))</f>
        <v/>
      </c>
      <c r="BW355" s="223">
        <f>IF(#REF!="","",#REF!)</f>
        <v/>
      </c>
    </row>
    <row r="356">
      <c r="A356" s="282" t="n">
        <v>46573</v>
      </c>
      <c r="B356" s="18">
        <f>IF('CONTROLE EJ'!B358="","",'CONTROLE EJ'!B358)</f>
        <v/>
      </c>
      <c r="C356" s="18">
        <f>IF('CONTROLE EJ'!C358="","",'CONTROLE EJ'!C358)</f>
        <v/>
      </c>
      <c r="D356" s="26">
        <f>IF('CONTROLE EJ'!D358="","",'CONTROLE EJ'!D358)</f>
        <v/>
      </c>
      <c r="E356" s="43">
        <f>IF('CONTROLE CMM'!B358="","",'CONTROLE CMM'!B358)</f>
        <v/>
      </c>
      <c r="F356" s="18">
        <f>IF('CONTROLE CMM'!C358="","",'CONTROLE CMM'!C358)</f>
        <v/>
      </c>
      <c r="G356" s="26">
        <f>IF('CONTROLE CMM'!D358="","",'CONTROLE CMM'!D358)</f>
        <v/>
      </c>
      <c r="H356" s="18">
        <f>IF('CONTROLE GLOBO AÇOS'!B358="","",'CONTROLE GLOBO AÇOS'!B358)</f>
        <v/>
      </c>
      <c r="I356" s="18">
        <f>IF('CONTROLE GLOBO AÇOS'!C358="","",'CONTROLE GLOBO AÇOS'!C358)</f>
        <v/>
      </c>
      <c r="J356" s="18">
        <f>IF('CONTROLE GLOBO AÇOS'!D358="","",'CONTROLE GLOBO AÇOS'!D358)</f>
        <v/>
      </c>
      <c r="AD356" s="39">
        <f>IF($A356="",0,IF(AND(WEEKDAY($A356,2)&lt;=5,OR($B356&lt;&gt;"",$C356&lt;&gt;"",$D356&lt;&gt;"")),1,0))</f>
        <v/>
      </c>
      <c r="AE356" s="39">
        <f>IF($A356="",0,IF(AND(WEEKDAY($A356,2)&lt;=5,OR($E356&lt;&gt;"",$F356&lt;&gt;"",$G356&lt;&gt;"")),1,0))</f>
        <v/>
      </c>
      <c r="AF356" s="39">
        <f>MAX(AD356,AE356)</f>
        <v/>
      </c>
      <c r="AH356" s="223">
        <f>IF('CONTROLE GLOBO AÇOS'!E358="","",'CONTROLE GLOBO AÇOS'!E358)</f>
        <v/>
      </c>
      <c r="AI356" s="223">
        <f>IF('CONTROLE GLOBO AÇOS'!F358="","",'CONTROLE GLOBO AÇOS'!F358)</f>
        <v/>
      </c>
      <c r="AJ356" s="223">
        <f>IF(AND('CONTROLE EJ'!E358="",'CONTROLE CMM'!E358=""),"",N('CONTROLE EJ'!E358)+N('CONTROLE CMM'!E358))</f>
        <v/>
      </c>
      <c r="AK356" s="223">
        <f>IF(AND('CONTROLE EJ'!F358="",'CONTROLE CMM'!F358=""),"",N('CONTROLE EJ'!F358)+N('CONTROLE CMM'!F358))</f>
        <v/>
      </c>
      <c r="AL356" s="223">
        <f>IF(AND('CONTROLE EJ'!G358="",'CONTROLE CMM'!G358=""),"",N('CONTROLE EJ'!G358)+N('CONTROLE CMM'!G358))</f>
        <v/>
      </c>
      <c r="AM356" s="223">
        <f>IF(AND('CONTROLE EJ'!H358="",'CONTROLE CMM'!H358=""),"",N('CONTROLE EJ'!H358)+N('CONTROLE CMM'!H358))</f>
        <v/>
      </c>
      <c r="AN356" s="223">
        <f>IF('CONTROLE GLOBO AÇOS'!G358="","",'CONTROLE GLOBO AÇOS'!G358)</f>
        <v/>
      </c>
      <c r="AO356" s="223">
        <f>IF('CONTROLE GLOBO AÇOS'!H358="","",'CONTROLE GLOBO AÇOS'!H358)</f>
        <v/>
      </c>
      <c r="AP356" s="223">
        <f>IF(AND('CONTROLE EJ'!I358="",'CONTROLE CMM'!I358=""),"",N('CONTROLE EJ'!I358)+N('CONTROLE CMM'!I358))</f>
        <v/>
      </c>
      <c r="AQ356" s="223">
        <f>IF(AND('CONTROLE EJ'!J358="",'CONTROLE CMM'!#REF!=""),"",N('CONTROLE EJ'!J358)+N('CONTROLE CMM'!#REF!))</f>
        <v/>
      </c>
      <c r="AR356" s="223">
        <f>IF('CONTROLE GLOBO AÇOS'!I358="","",'CONTROLE GLOBO AÇOS'!I358)</f>
        <v/>
      </c>
      <c r="AS356" s="223">
        <f>IF('CONTROLE GLOBO AÇOS'!J358="","",'CONTROLE GLOBO AÇOS'!J358)</f>
        <v/>
      </c>
      <c r="AT356" s="223">
        <f>IF(#REF!="","",#REF!)</f>
        <v/>
      </c>
      <c r="AU356" s="223">
        <f>IF('CONTROLE GLOBO AÇOS'!K358="","",'CONTROLE GLOBO AÇOS'!K358)</f>
        <v/>
      </c>
      <c r="AV356" s="223">
        <f>IF(AND('CONTROLE EJ'!K358="",'CONTROLE CMM'!#REF!=""),"",N('CONTROLE EJ'!K358)+N('CONTROLE CMM'!#REF!))</f>
        <v/>
      </c>
      <c r="AW356" s="223">
        <f>IF('CONTROLE GLOBO AÇOS'!L358="","",'CONTROLE GLOBO AÇOS'!L358)</f>
        <v/>
      </c>
      <c r="AX356" s="223">
        <f>IF(AND('CONTROLE EJ'!L358="",'CONTROLE CMM'!#REF!=""),"",N('CONTROLE EJ'!L358)+N('CONTROLE CMM'!#REF!))</f>
        <v/>
      </c>
      <c r="AY356" s="223">
        <f>IF('CONTROLE GLOBO AÇOS'!M358="","",'CONTROLE GLOBO AÇOS'!M358)</f>
        <v/>
      </c>
      <c r="AZ356" s="223">
        <f>IF('CONTROLE GLOBO AÇOS'!N358="","",'CONTROLE GLOBO AÇOS'!N358)</f>
        <v/>
      </c>
      <c r="BA356" s="223">
        <f>IF(AND('CONTROLE EJ'!M358="",'CONTROLE CMM'!#REF!=""),"",N('CONTROLE EJ'!M358)+N('CONTROLE CMM'!#REF!))</f>
        <v/>
      </c>
      <c r="BB356" s="223">
        <f>IF(#REF!="","",#REF!)</f>
        <v/>
      </c>
      <c r="BC356" s="223">
        <f>IF('CONTROLE GLOBO AÇOS'!O358="","",'CONTROLE GLOBO AÇOS'!O358)</f>
        <v/>
      </c>
      <c r="BD356" s="223">
        <f>IF(AND('CONTROLE EJ'!N358="",'CONTROLE CMM'!#REF!=""),"",N('CONTROLE EJ'!N358)+N('CONTROLE CMM'!#REF!))</f>
        <v/>
      </c>
      <c r="BE356" s="223">
        <f>IF('CONTROLE GLOBO AÇOS'!P358="","",'CONTROLE GLOBO AÇOS'!P358)</f>
        <v/>
      </c>
      <c r="BF356" s="223">
        <f>IF('CONTROLE GLOBO AÇOS'!Q358="","",'CONTROLE GLOBO AÇOS'!Q358)</f>
        <v/>
      </c>
      <c r="BG356" s="223">
        <f>IF('CONTROLE GLOBO AÇOS'!R358="","",'CONTROLE GLOBO AÇOS'!R358)</f>
        <v/>
      </c>
      <c r="BH356" s="223">
        <f>IF(AND('CONTROLE EJ'!O358="",'CONTROLE CMM'!#REF!=""),"",N('CONTROLE EJ'!O358)+N('CONTROLE CMM'!#REF!))</f>
        <v/>
      </c>
      <c r="BI356" s="223">
        <f>IF('CONTROLE GLOBO AÇOS'!S358="","",'CONTROLE GLOBO AÇOS'!S358)</f>
        <v/>
      </c>
      <c r="BJ356" s="223">
        <f>IF('CONTROLE GLOBO AÇOS'!T358="","",'CONTROLE GLOBO AÇOS'!T358)</f>
        <v/>
      </c>
      <c r="BK356" s="223">
        <f>IF('CONTROLE GLOBO AÇOS'!U358="","",'CONTROLE GLOBO AÇOS'!U358)</f>
        <v/>
      </c>
      <c r="BL356" s="223">
        <f>IF(AND('CONTROLE EJ'!P358="",'CONTROLE CMM'!#REF!=""),"",N('CONTROLE EJ'!P358)+N('CONTROLE CMM'!#REF!))</f>
        <v/>
      </c>
      <c r="BM356" s="223">
        <f>IF(AND('CONTROLE EJ'!Q358="",'CONTROLE CMM'!#REF!=""),"",N('CONTROLE EJ'!Q358)+N('CONTROLE CMM'!#REF!))</f>
        <v/>
      </c>
      <c r="BN356" s="223">
        <f>IF('CONTROLE GLOBO AÇOS'!V358="","",'CONTROLE GLOBO AÇOS'!V358)</f>
        <v/>
      </c>
      <c r="BO356" s="223">
        <f>IF('CONTROLE GLOBO AÇOS'!W358="","",'CONTROLE GLOBO AÇOS'!W358)</f>
        <v/>
      </c>
      <c r="BP356" s="223">
        <f>IF(AND('CONTROLE EJ'!R358="",'CONTROLE CMM'!#REF!=""),"",N('CONTROLE EJ'!R358)+N('CONTROLE CMM'!#REF!))</f>
        <v/>
      </c>
      <c r="BQ356" s="223">
        <f>IF(#REF!="","",#REF!)</f>
        <v/>
      </c>
      <c r="BR356" s="223">
        <f>IF(AND('CONTROLE EJ'!S358="",'CONTROLE CMM'!#REF!=""),"",N('CONTROLE EJ'!S358)+N('CONTROLE CMM'!#REF!))</f>
        <v/>
      </c>
      <c r="BS356" s="223">
        <f>IF(AND('CONTROLE EJ'!T358="",'CONTROLE CMM'!#REF!=""),"",N('CONTROLE EJ'!T358)+N('CONTROLE CMM'!#REF!))</f>
        <v/>
      </c>
      <c r="BT356" s="223">
        <f>IF('CONTROLE GLOBO AÇOS'!X358="","",'CONTROLE GLOBO AÇOS'!X358)</f>
        <v/>
      </c>
      <c r="BU356" s="223">
        <f>IF('CONTROLE GLOBO AÇOS'!Y358="","",'CONTROLE GLOBO AÇOS'!Y358)</f>
        <v/>
      </c>
      <c r="BV356" s="223">
        <f>IF(AND('CONTROLE EJ'!U358="",'CONTROLE CMM'!#REF!=""),"",N('CONTROLE EJ'!U358)+N('CONTROLE CMM'!#REF!))</f>
        <v/>
      </c>
      <c r="BW356" s="223">
        <f>IF(#REF!="","",#REF!)</f>
        <v/>
      </c>
    </row>
    <row r="357">
      <c r="A357" s="282" t="n">
        <v>46574</v>
      </c>
      <c r="B357" s="18">
        <f>IF('CONTROLE EJ'!B359="","",'CONTROLE EJ'!B359)</f>
        <v/>
      </c>
      <c r="C357" s="18">
        <f>IF('CONTROLE EJ'!C359="","",'CONTROLE EJ'!C359)</f>
        <v/>
      </c>
      <c r="D357" s="26">
        <f>IF('CONTROLE EJ'!D359="","",'CONTROLE EJ'!D359)</f>
        <v/>
      </c>
      <c r="E357" s="43">
        <f>IF('CONTROLE CMM'!B359="","",'CONTROLE CMM'!B359)</f>
        <v/>
      </c>
      <c r="F357" s="18">
        <f>IF('CONTROLE CMM'!C359="","",'CONTROLE CMM'!C359)</f>
        <v/>
      </c>
      <c r="G357" s="26">
        <f>IF('CONTROLE CMM'!D359="","",'CONTROLE CMM'!D359)</f>
        <v/>
      </c>
      <c r="H357" s="18">
        <f>IF('CONTROLE GLOBO AÇOS'!B359="","",'CONTROLE GLOBO AÇOS'!B359)</f>
        <v/>
      </c>
      <c r="I357" s="18">
        <f>IF('CONTROLE GLOBO AÇOS'!C359="","",'CONTROLE GLOBO AÇOS'!C359)</f>
        <v/>
      </c>
      <c r="J357" s="18">
        <f>IF('CONTROLE GLOBO AÇOS'!D359="","",'CONTROLE GLOBO AÇOS'!D359)</f>
        <v/>
      </c>
      <c r="AD357" s="39">
        <f>IF($A357="",0,IF(AND(WEEKDAY($A357,2)&lt;=5,OR($B357&lt;&gt;"",$C357&lt;&gt;"",$D357&lt;&gt;"")),1,0))</f>
        <v/>
      </c>
      <c r="AE357" s="39">
        <f>IF($A357="",0,IF(AND(WEEKDAY($A357,2)&lt;=5,OR($E357&lt;&gt;"",$F357&lt;&gt;"",$G357&lt;&gt;"")),1,0))</f>
        <v/>
      </c>
      <c r="AF357" s="39">
        <f>MAX(AD357,AE357)</f>
        <v/>
      </c>
      <c r="AH357" s="223">
        <f>IF('CONTROLE GLOBO AÇOS'!E359="","",'CONTROLE GLOBO AÇOS'!E359)</f>
        <v/>
      </c>
      <c r="AI357" s="223">
        <f>IF('CONTROLE GLOBO AÇOS'!F359="","",'CONTROLE GLOBO AÇOS'!F359)</f>
        <v/>
      </c>
      <c r="AJ357" s="223">
        <f>IF(AND('CONTROLE EJ'!E359="",'CONTROLE CMM'!E359=""),"",N('CONTROLE EJ'!E359)+N('CONTROLE CMM'!E359))</f>
        <v/>
      </c>
      <c r="AK357" s="223">
        <f>IF(AND('CONTROLE EJ'!F359="",'CONTROLE CMM'!F359=""),"",N('CONTROLE EJ'!F359)+N('CONTROLE CMM'!F359))</f>
        <v/>
      </c>
      <c r="AL357" s="223">
        <f>IF(AND('CONTROLE EJ'!G359="",'CONTROLE CMM'!G359=""),"",N('CONTROLE EJ'!G359)+N('CONTROLE CMM'!G359))</f>
        <v/>
      </c>
      <c r="AM357" s="223">
        <f>IF(AND('CONTROLE EJ'!H359="",'CONTROLE CMM'!H359=""),"",N('CONTROLE EJ'!H359)+N('CONTROLE CMM'!H359))</f>
        <v/>
      </c>
      <c r="AN357" s="223">
        <f>IF('CONTROLE GLOBO AÇOS'!G359="","",'CONTROLE GLOBO AÇOS'!G359)</f>
        <v/>
      </c>
      <c r="AO357" s="223">
        <f>IF('CONTROLE GLOBO AÇOS'!H359="","",'CONTROLE GLOBO AÇOS'!H359)</f>
        <v/>
      </c>
      <c r="AP357" s="223">
        <f>IF(AND('CONTROLE EJ'!I359="",'CONTROLE CMM'!I359=""),"",N('CONTROLE EJ'!I359)+N('CONTROLE CMM'!I359))</f>
        <v/>
      </c>
      <c r="AQ357" s="223">
        <f>IF(AND('CONTROLE EJ'!J359="",'CONTROLE CMM'!#REF!=""),"",N('CONTROLE EJ'!J359)+N('CONTROLE CMM'!#REF!))</f>
        <v/>
      </c>
      <c r="AR357" s="223">
        <f>IF('CONTROLE GLOBO AÇOS'!I359="","",'CONTROLE GLOBO AÇOS'!I359)</f>
        <v/>
      </c>
      <c r="AS357" s="223">
        <f>IF('CONTROLE GLOBO AÇOS'!J359="","",'CONTROLE GLOBO AÇOS'!J359)</f>
        <v/>
      </c>
      <c r="AT357" s="223">
        <f>IF(#REF!="","",#REF!)</f>
        <v/>
      </c>
      <c r="AU357" s="223">
        <f>IF('CONTROLE GLOBO AÇOS'!K359="","",'CONTROLE GLOBO AÇOS'!K359)</f>
        <v/>
      </c>
      <c r="AV357" s="223">
        <f>IF(AND('CONTROLE EJ'!K359="",'CONTROLE CMM'!#REF!=""),"",N('CONTROLE EJ'!K359)+N('CONTROLE CMM'!#REF!))</f>
        <v/>
      </c>
      <c r="AW357" s="223">
        <f>IF('CONTROLE GLOBO AÇOS'!L359="","",'CONTROLE GLOBO AÇOS'!L359)</f>
        <v/>
      </c>
      <c r="AX357" s="223">
        <f>IF(AND('CONTROLE EJ'!L359="",'CONTROLE CMM'!#REF!=""),"",N('CONTROLE EJ'!L359)+N('CONTROLE CMM'!#REF!))</f>
        <v/>
      </c>
      <c r="AY357" s="223">
        <f>IF('CONTROLE GLOBO AÇOS'!M359="","",'CONTROLE GLOBO AÇOS'!M359)</f>
        <v/>
      </c>
      <c r="AZ357" s="223">
        <f>IF('CONTROLE GLOBO AÇOS'!N359="","",'CONTROLE GLOBO AÇOS'!N359)</f>
        <v/>
      </c>
      <c r="BA357" s="223">
        <f>IF(AND('CONTROLE EJ'!M359="",'CONTROLE CMM'!#REF!=""),"",N('CONTROLE EJ'!M359)+N('CONTROLE CMM'!#REF!))</f>
        <v/>
      </c>
      <c r="BB357" s="223">
        <f>IF(#REF!="","",#REF!)</f>
        <v/>
      </c>
      <c r="BC357" s="223">
        <f>IF('CONTROLE GLOBO AÇOS'!O359="","",'CONTROLE GLOBO AÇOS'!O359)</f>
        <v/>
      </c>
      <c r="BD357" s="223">
        <f>IF(AND('CONTROLE EJ'!N359="",'CONTROLE CMM'!#REF!=""),"",N('CONTROLE EJ'!N359)+N('CONTROLE CMM'!#REF!))</f>
        <v/>
      </c>
      <c r="BE357" s="223">
        <f>IF('CONTROLE GLOBO AÇOS'!P359="","",'CONTROLE GLOBO AÇOS'!P359)</f>
        <v/>
      </c>
      <c r="BF357" s="223">
        <f>IF('CONTROLE GLOBO AÇOS'!Q359="","",'CONTROLE GLOBO AÇOS'!Q359)</f>
        <v/>
      </c>
      <c r="BG357" s="223">
        <f>IF('CONTROLE GLOBO AÇOS'!R359="","",'CONTROLE GLOBO AÇOS'!R359)</f>
        <v/>
      </c>
      <c r="BH357" s="223">
        <f>IF(AND('CONTROLE EJ'!O359="",'CONTROLE CMM'!#REF!=""),"",N('CONTROLE EJ'!O359)+N('CONTROLE CMM'!#REF!))</f>
        <v/>
      </c>
      <c r="BI357" s="223">
        <f>IF('CONTROLE GLOBO AÇOS'!S359="","",'CONTROLE GLOBO AÇOS'!S359)</f>
        <v/>
      </c>
      <c r="BJ357" s="223">
        <f>IF('CONTROLE GLOBO AÇOS'!T359="","",'CONTROLE GLOBO AÇOS'!T359)</f>
        <v/>
      </c>
      <c r="BK357" s="223">
        <f>IF('CONTROLE GLOBO AÇOS'!U359="","",'CONTROLE GLOBO AÇOS'!U359)</f>
        <v/>
      </c>
      <c r="BL357" s="223">
        <f>IF(AND('CONTROLE EJ'!P359="",'CONTROLE CMM'!#REF!=""),"",N('CONTROLE EJ'!P359)+N('CONTROLE CMM'!#REF!))</f>
        <v/>
      </c>
      <c r="BM357" s="223">
        <f>IF(AND('CONTROLE EJ'!Q359="",'CONTROLE CMM'!#REF!=""),"",N('CONTROLE EJ'!Q359)+N('CONTROLE CMM'!#REF!))</f>
        <v/>
      </c>
      <c r="BN357" s="223">
        <f>IF('CONTROLE GLOBO AÇOS'!V359="","",'CONTROLE GLOBO AÇOS'!V359)</f>
        <v/>
      </c>
      <c r="BO357" s="223">
        <f>IF('CONTROLE GLOBO AÇOS'!W359="","",'CONTROLE GLOBO AÇOS'!W359)</f>
        <v/>
      </c>
      <c r="BP357" s="223">
        <f>IF(AND('CONTROLE EJ'!R359="",'CONTROLE CMM'!#REF!=""),"",N('CONTROLE EJ'!R359)+N('CONTROLE CMM'!#REF!))</f>
        <v/>
      </c>
      <c r="BQ357" s="223">
        <f>IF(#REF!="","",#REF!)</f>
        <v/>
      </c>
      <c r="BR357" s="223">
        <f>IF(AND('CONTROLE EJ'!S359="",'CONTROLE CMM'!#REF!=""),"",N('CONTROLE EJ'!S359)+N('CONTROLE CMM'!#REF!))</f>
        <v/>
      </c>
      <c r="BS357" s="223">
        <f>IF(AND('CONTROLE EJ'!T359="",'CONTROLE CMM'!#REF!=""),"",N('CONTROLE EJ'!T359)+N('CONTROLE CMM'!#REF!))</f>
        <v/>
      </c>
      <c r="BT357" s="223">
        <f>IF('CONTROLE GLOBO AÇOS'!X359="","",'CONTROLE GLOBO AÇOS'!X359)</f>
        <v/>
      </c>
      <c r="BU357" s="223">
        <f>IF('CONTROLE GLOBO AÇOS'!Y359="","",'CONTROLE GLOBO AÇOS'!Y359)</f>
        <v/>
      </c>
      <c r="BV357" s="223">
        <f>IF(AND('CONTROLE EJ'!U359="",'CONTROLE CMM'!#REF!=""),"",N('CONTROLE EJ'!U359)+N('CONTROLE CMM'!#REF!))</f>
        <v/>
      </c>
      <c r="BW357" s="223">
        <f>IF(#REF!="","",#REF!)</f>
        <v/>
      </c>
    </row>
    <row r="358">
      <c r="A358" s="282" t="n">
        <v>46575</v>
      </c>
      <c r="B358" s="18">
        <f>IF('CONTROLE EJ'!B360="","",'CONTROLE EJ'!B360)</f>
        <v/>
      </c>
      <c r="C358" s="18">
        <f>IF('CONTROLE EJ'!C360="","",'CONTROLE EJ'!C360)</f>
        <v/>
      </c>
      <c r="D358" s="26">
        <f>IF('CONTROLE EJ'!D360="","",'CONTROLE EJ'!D360)</f>
        <v/>
      </c>
      <c r="E358" s="43">
        <f>IF('CONTROLE CMM'!B360="","",'CONTROLE CMM'!B360)</f>
        <v/>
      </c>
      <c r="F358" s="18">
        <f>IF('CONTROLE CMM'!C360="","",'CONTROLE CMM'!C360)</f>
        <v/>
      </c>
      <c r="G358" s="26">
        <f>IF('CONTROLE CMM'!D360="","",'CONTROLE CMM'!D360)</f>
        <v/>
      </c>
      <c r="H358" s="18">
        <f>IF('CONTROLE GLOBO AÇOS'!B360="","",'CONTROLE GLOBO AÇOS'!B360)</f>
        <v/>
      </c>
      <c r="I358" s="18">
        <f>IF('CONTROLE GLOBO AÇOS'!C360="","",'CONTROLE GLOBO AÇOS'!C360)</f>
        <v/>
      </c>
      <c r="J358" s="18">
        <f>IF('CONTROLE GLOBO AÇOS'!D360="","",'CONTROLE GLOBO AÇOS'!D360)</f>
        <v/>
      </c>
      <c r="AD358" s="39">
        <f>IF($A358="",0,IF(AND(WEEKDAY($A358,2)&lt;=5,OR($B358&lt;&gt;"",$C358&lt;&gt;"",$D358&lt;&gt;"")),1,0))</f>
        <v/>
      </c>
      <c r="AE358" s="39">
        <f>IF($A358="",0,IF(AND(WEEKDAY($A358,2)&lt;=5,OR($E358&lt;&gt;"",$F358&lt;&gt;"",$G358&lt;&gt;"")),1,0))</f>
        <v/>
      </c>
      <c r="AF358" s="39">
        <f>MAX(AD358,AE358)</f>
        <v/>
      </c>
      <c r="AH358" s="223">
        <f>IF('CONTROLE GLOBO AÇOS'!E360="","",'CONTROLE GLOBO AÇOS'!E360)</f>
        <v/>
      </c>
      <c r="AI358" s="223">
        <f>IF('CONTROLE GLOBO AÇOS'!F360="","",'CONTROLE GLOBO AÇOS'!F360)</f>
        <v/>
      </c>
      <c r="AJ358" s="223">
        <f>IF(AND('CONTROLE EJ'!E360="",'CONTROLE CMM'!E360=""),"",N('CONTROLE EJ'!E360)+N('CONTROLE CMM'!E360))</f>
        <v/>
      </c>
      <c r="AK358" s="223">
        <f>IF(AND('CONTROLE EJ'!F360="",'CONTROLE CMM'!F360=""),"",N('CONTROLE EJ'!F360)+N('CONTROLE CMM'!F360))</f>
        <v/>
      </c>
      <c r="AL358" s="223">
        <f>IF(AND('CONTROLE EJ'!G360="",'CONTROLE CMM'!G360=""),"",N('CONTROLE EJ'!G360)+N('CONTROLE CMM'!G360))</f>
        <v/>
      </c>
      <c r="AM358" s="223">
        <f>IF(AND('CONTROLE EJ'!H360="",'CONTROLE CMM'!H360=""),"",N('CONTROLE EJ'!H360)+N('CONTROLE CMM'!H360))</f>
        <v/>
      </c>
      <c r="AN358" s="223">
        <f>IF('CONTROLE GLOBO AÇOS'!G360="","",'CONTROLE GLOBO AÇOS'!G360)</f>
        <v/>
      </c>
      <c r="AO358" s="223">
        <f>IF('CONTROLE GLOBO AÇOS'!H360="","",'CONTROLE GLOBO AÇOS'!H360)</f>
        <v/>
      </c>
      <c r="AP358" s="223">
        <f>IF(AND('CONTROLE EJ'!I360="",'CONTROLE CMM'!I360=""),"",N('CONTROLE EJ'!I360)+N('CONTROLE CMM'!I360))</f>
        <v/>
      </c>
      <c r="AQ358" s="223">
        <f>IF(AND('CONTROLE EJ'!J360="",'CONTROLE CMM'!#REF!=""),"",N('CONTROLE EJ'!J360)+N('CONTROLE CMM'!#REF!))</f>
        <v/>
      </c>
      <c r="AR358" s="223">
        <f>IF('CONTROLE GLOBO AÇOS'!I360="","",'CONTROLE GLOBO AÇOS'!I360)</f>
        <v/>
      </c>
      <c r="AS358" s="223">
        <f>IF('CONTROLE GLOBO AÇOS'!J360="","",'CONTROLE GLOBO AÇOS'!J360)</f>
        <v/>
      </c>
      <c r="AT358" s="223">
        <f>IF(#REF!="","",#REF!)</f>
        <v/>
      </c>
      <c r="AU358" s="223">
        <f>IF('CONTROLE GLOBO AÇOS'!K360="","",'CONTROLE GLOBO AÇOS'!K360)</f>
        <v/>
      </c>
      <c r="AV358" s="223">
        <f>IF(AND('CONTROLE EJ'!K360="",'CONTROLE CMM'!#REF!=""),"",N('CONTROLE EJ'!K360)+N('CONTROLE CMM'!#REF!))</f>
        <v/>
      </c>
      <c r="AW358" s="223">
        <f>IF('CONTROLE GLOBO AÇOS'!L360="","",'CONTROLE GLOBO AÇOS'!L360)</f>
        <v/>
      </c>
      <c r="AX358" s="223">
        <f>IF(AND('CONTROLE EJ'!L360="",'CONTROLE CMM'!#REF!=""),"",N('CONTROLE EJ'!L360)+N('CONTROLE CMM'!#REF!))</f>
        <v/>
      </c>
      <c r="AY358" s="223">
        <f>IF('CONTROLE GLOBO AÇOS'!M360="","",'CONTROLE GLOBO AÇOS'!M360)</f>
        <v/>
      </c>
      <c r="AZ358" s="223">
        <f>IF('CONTROLE GLOBO AÇOS'!N360="","",'CONTROLE GLOBO AÇOS'!N360)</f>
        <v/>
      </c>
      <c r="BA358" s="223">
        <f>IF(AND('CONTROLE EJ'!M360="",'CONTROLE CMM'!#REF!=""),"",N('CONTROLE EJ'!M360)+N('CONTROLE CMM'!#REF!))</f>
        <v/>
      </c>
      <c r="BB358" s="223">
        <f>IF(#REF!="","",#REF!)</f>
        <v/>
      </c>
      <c r="BC358" s="223">
        <f>IF('CONTROLE GLOBO AÇOS'!O360="","",'CONTROLE GLOBO AÇOS'!O360)</f>
        <v/>
      </c>
      <c r="BD358" s="223">
        <f>IF(AND('CONTROLE EJ'!N360="",'CONTROLE CMM'!#REF!=""),"",N('CONTROLE EJ'!N360)+N('CONTROLE CMM'!#REF!))</f>
        <v/>
      </c>
      <c r="BE358" s="223">
        <f>IF('CONTROLE GLOBO AÇOS'!P360="","",'CONTROLE GLOBO AÇOS'!P360)</f>
        <v/>
      </c>
      <c r="BF358" s="223">
        <f>IF('CONTROLE GLOBO AÇOS'!Q360="","",'CONTROLE GLOBO AÇOS'!Q360)</f>
        <v/>
      </c>
      <c r="BG358" s="223">
        <f>IF('CONTROLE GLOBO AÇOS'!R360="","",'CONTROLE GLOBO AÇOS'!R360)</f>
        <v/>
      </c>
      <c r="BH358" s="223">
        <f>IF(AND('CONTROLE EJ'!O360="",'CONTROLE CMM'!#REF!=""),"",N('CONTROLE EJ'!O360)+N('CONTROLE CMM'!#REF!))</f>
        <v/>
      </c>
      <c r="BI358" s="223">
        <f>IF('CONTROLE GLOBO AÇOS'!S360="","",'CONTROLE GLOBO AÇOS'!S360)</f>
        <v/>
      </c>
      <c r="BJ358" s="223">
        <f>IF('CONTROLE GLOBO AÇOS'!T360="","",'CONTROLE GLOBO AÇOS'!T360)</f>
        <v/>
      </c>
      <c r="BK358" s="223">
        <f>IF('CONTROLE GLOBO AÇOS'!U360="","",'CONTROLE GLOBO AÇOS'!U360)</f>
        <v/>
      </c>
      <c r="BL358" s="223">
        <f>IF(AND('CONTROLE EJ'!P360="",'CONTROLE CMM'!#REF!=""),"",N('CONTROLE EJ'!P360)+N('CONTROLE CMM'!#REF!))</f>
        <v/>
      </c>
      <c r="BM358" s="223">
        <f>IF(AND('CONTROLE EJ'!Q360="",'CONTROLE CMM'!#REF!=""),"",N('CONTROLE EJ'!Q360)+N('CONTROLE CMM'!#REF!))</f>
        <v/>
      </c>
      <c r="BN358" s="223">
        <f>IF('CONTROLE GLOBO AÇOS'!V360="","",'CONTROLE GLOBO AÇOS'!V360)</f>
        <v/>
      </c>
      <c r="BO358" s="223">
        <f>IF('CONTROLE GLOBO AÇOS'!W360="","",'CONTROLE GLOBO AÇOS'!W360)</f>
        <v/>
      </c>
      <c r="BP358" s="223">
        <f>IF(AND('CONTROLE EJ'!R360="",'CONTROLE CMM'!#REF!=""),"",N('CONTROLE EJ'!R360)+N('CONTROLE CMM'!#REF!))</f>
        <v/>
      </c>
      <c r="BQ358" s="223">
        <f>IF(#REF!="","",#REF!)</f>
        <v/>
      </c>
      <c r="BR358" s="223">
        <f>IF(AND('CONTROLE EJ'!S360="",'CONTROLE CMM'!#REF!=""),"",N('CONTROLE EJ'!S360)+N('CONTROLE CMM'!#REF!))</f>
        <v/>
      </c>
      <c r="BS358" s="223">
        <f>IF(AND('CONTROLE EJ'!T360="",'CONTROLE CMM'!#REF!=""),"",N('CONTROLE EJ'!T360)+N('CONTROLE CMM'!#REF!))</f>
        <v/>
      </c>
      <c r="BT358" s="223">
        <f>IF('CONTROLE GLOBO AÇOS'!X360="","",'CONTROLE GLOBO AÇOS'!X360)</f>
        <v/>
      </c>
      <c r="BU358" s="223">
        <f>IF('CONTROLE GLOBO AÇOS'!Y360="","",'CONTROLE GLOBO AÇOS'!Y360)</f>
        <v/>
      </c>
      <c r="BV358" s="223">
        <f>IF(AND('CONTROLE EJ'!U360="",'CONTROLE CMM'!#REF!=""),"",N('CONTROLE EJ'!U360)+N('CONTROLE CMM'!#REF!))</f>
        <v/>
      </c>
      <c r="BW358" s="223">
        <f>IF(#REF!="","",#REF!)</f>
        <v/>
      </c>
    </row>
    <row r="359">
      <c r="A359" s="282" t="n">
        <v>46576</v>
      </c>
      <c r="B359" s="18">
        <f>IF('CONTROLE EJ'!B361="","",'CONTROLE EJ'!B361)</f>
        <v/>
      </c>
      <c r="C359" s="18">
        <f>IF('CONTROLE EJ'!C361="","",'CONTROLE EJ'!C361)</f>
        <v/>
      </c>
      <c r="D359" s="26">
        <f>IF('CONTROLE EJ'!D361="","",'CONTROLE EJ'!D361)</f>
        <v/>
      </c>
      <c r="E359" s="43">
        <f>IF('CONTROLE CMM'!B361="","",'CONTROLE CMM'!B361)</f>
        <v/>
      </c>
      <c r="F359" s="18">
        <f>IF('CONTROLE CMM'!C361="","",'CONTROLE CMM'!C361)</f>
        <v/>
      </c>
      <c r="G359" s="26">
        <f>IF('CONTROLE CMM'!D361="","",'CONTROLE CMM'!D361)</f>
        <v/>
      </c>
      <c r="H359" s="18">
        <f>IF('CONTROLE GLOBO AÇOS'!B361="","",'CONTROLE GLOBO AÇOS'!B361)</f>
        <v/>
      </c>
      <c r="I359" s="18">
        <f>IF('CONTROLE GLOBO AÇOS'!C361="","",'CONTROLE GLOBO AÇOS'!C361)</f>
        <v/>
      </c>
      <c r="J359" s="18">
        <f>IF('CONTROLE GLOBO AÇOS'!D361="","",'CONTROLE GLOBO AÇOS'!D361)</f>
        <v/>
      </c>
      <c r="AD359" s="39">
        <f>IF($A359="",0,IF(AND(WEEKDAY($A359,2)&lt;=5,OR($B359&lt;&gt;"",$C359&lt;&gt;"",$D359&lt;&gt;"")),1,0))</f>
        <v/>
      </c>
      <c r="AE359" s="39">
        <f>IF($A359="",0,IF(AND(WEEKDAY($A359,2)&lt;=5,OR($E359&lt;&gt;"",$F359&lt;&gt;"",$G359&lt;&gt;"")),1,0))</f>
        <v/>
      </c>
      <c r="AF359" s="39">
        <f>MAX(AD359,AE359)</f>
        <v/>
      </c>
      <c r="AH359" s="223">
        <f>IF('CONTROLE GLOBO AÇOS'!E361="","",'CONTROLE GLOBO AÇOS'!E361)</f>
        <v/>
      </c>
      <c r="AI359" s="223">
        <f>IF('CONTROLE GLOBO AÇOS'!F361="","",'CONTROLE GLOBO AÇOS'!F361)</f>
        <v/>
      </c>
      <c r="AJ359" s="223">
        <f>IF(AND('CONTROLE EJ'!E361="",'CONTROLE CMM'!E361=""),"",N('CONTROLE EJ'!E361)+N('CONTROLE CMM'!E361))</f>
        <v/>
      </c>
      <c r="AK359" s="223">
        <f>IF(AND('CONTROLE EJ'!F361="",'CONTROLE CMM'!F361=""),"",N('CONTROLE EJ'!F361)+N('CONTROLE CMM'!F361))</f>
        <v/>
      </c>
      <c r="AL359" s="223">
        <f>IF(AND('CONTROLE EJ'!G361="",'CONTROLE CMM'!G361=""),"",N('CONTROLE EJ'!G361)+N('CONTROLE CMM'!G361))</f>
        <v/>
      </c>
      <c r="AM359" s="223">
        <f>IF(AND('CONTROLE EJ'!H361="",'CONTROLE CMM'!H361=""),"",N('CONTROLE EJ'!H361)+N('CONTROLE CMM'!H361))</f>
        <v/>
      </c>
      <c r="AN359" s="223">
        <f>IF('CONTROLE GLOBO AÇOS'!G361="","",'CONTROLE GLOBO AÇOS'!G361)</f>
        <v/>
      </c>
      <c r="AO359" s="223">
        <f>IF('CONTROLE GLOBO AÇOS'!H361="","",'CONTROLE GLOBO AÇOS'!H361)</f>
        <v/>
      </c>
      <c r="AP359" s="223">
        <f>IF(AND('CONTROLE EJ'!I361="",'CONTROLE CMM'!I361=""),"",N('CONTROLE EJ'!I361)+N('CONTROLE CMM'!I361))</f>
        <v/>
      </c>
      <c r="AQ359" s="223">
        <f>IF(AND('CONTROLE EJ'!J361="",'CONTROLE CMM'!#REF!=""),"",N('CONTROLE EJ'!J361)+N('CONTROLE CMM'!#REF!))</f>
        <v/>
      </c>
      <c r="AR359" s="223">
        <f>IF('CONTROLE GLOBO AÇOS'!I361="","",'CONTROLE GLOBO AÇOS'!I361)</f>
        <v/>
      </c>
      <c r="AS359" s="223">
        <f>IF('CONTROLE GLOBO AÇOS'!J361="","",'CONTROLE GLOBO AÇOS'!J361)</f>
        <v/>
      </c>
      <c r="AT359" s="223">
        <f>IF(#REF!="","",#REF!)</f>
        <v/>
      </c>
      <c r="AU359" s="223">
        <f>IF('CONTROLE GLOBO AÇOS'!K361="","",'CONTROLE GLOBO AÇOS'!K361)</f>
        <v/>
      </c>
      <c r="AV359" s="223">
        <f>IF(AND('CONTROLE EJ'!K361="",'CONTROLE CMM'!#REF!=""),"",N('CONTROLE EJ'!K361)+N('CONTROLE CMM'!#REF!))</f>
        <v/>
      </c>
      <c r="AW359" s="223">
        <f>IF('CONTROLE GLOBO AÇOS'!L361="","",'CONTROLE GLOBO AÇOS'!L361)</f>
        <v/>
      </c>
      <c r="AX359" s="223">
        <f>IF(AND('CONTROLE EJ'!L361="",'CONTROLE CMM'!#REF!=""),"",N('CONTROLE EJ'!L361)+N('CONTROLE CMM'!#REF!))</f>
        <v/>
      </c>
      <c r="AY359" s="223">
        <f>IF('CONTROLE GLOBO AÇOS'!M361="","",'CONTROLE GLOBO AÇOS'!M361)</f>
        <v/>
      </c>
      <c r="AZ359" s="223">
        <f>IF('CONTROLE GLOBO AÇOS'!N361="","",'CONTROLE GLOBO AÇOS'!N361)</f>
        <v/>
      </c>
      <c r="BA359" s="223">
        <f>IF(AND('CONTROLE EJ'!M361="",'CONTROLE CMM'!#REF!=""),"",N('CONTROLE EJ'!M361)+N('CONTROLE CMM'!#REF!))</f>
        <v/>
      </c>
      <c r="BB359" s="223">
        <f>IF(#REF!="","",#REF!)</f>
        <v/>
      </c>
      <c r="BC359" s="223">
        <f>IF('CONTROLE GLOBO AÇOS'!O361="","",'CONTROLE GLOBO AÇOS'!O361)</f>
        <v/>
      </c>
      <c r="BD359" s="223">
        <f>IF(AND('CONTROLE EJ'!N361="",'CONTROLE CMM'!#REF!=""),"",N('CONTROLE EJ'!N361)+N('CONTROLE CMM'!#REF!))</f>
        <v/>
      </c>
      <c r="BE359" s="223">
        <f>IF('CONTROLE GLOBO AÇOS'!P361="","",'CONTROLE GLOBO AÇOS'!P361)</f>
        <v/>
      </c>
      <c r="BF359" s="223">
        <f>IF('CONTROLE GLOBO AÇOS'!Q361="","",'CONTROLE GLOBO AÇOS'!Q361)</f>
        <v/>
      </c>
      <c r="BG359" s="223">
        <f>IF('CONTROLE GLOBO AÇOS'!R361="","",'CONTROLE GLOBO AÇOS'!R361)</f>
        <v/>
      </c>
      <c r="BH359" s="223">
        <f>IF(AND('CONTROLE EJ'!O361="",'CONTROLE CMM'!#REF!=""),"",N('CONTROLE EJ'!O361)+N('CONTROLE CMM'!#REF!))</f>
        <v/>
      </c>
      <c r="BI359" s="223">
        <f>IF('CONTROLE GLOBO AÇOS'!S361="","",'CONTROLE GLOBO AÇOS'!S361)</f>
        <v/>
      </c>
      <c r="BJ359" s="223">
        <f>IF('CONTROLE GLOBO AÇOS'!T361="","",'CONTROLE GLOBO AÇOS'!T361)</f>
        <v/>
      </c>
      <c r="BK359" s="223">
        <f>IF('CONTROLE GLOBO AÇOS'!U361="","",'CONTROLE GLOBO AÇOS'!U361)</f>
        <v/>
      </c>
      <c r="BL359" s="223">
        <f>IF(AND('CONTROLE EJ'!P361="",'CONTROLE CMM'!#REF!=""),"",N('CONTROLE EJ'!P361)+N('CONTROLE CMM'!#REF!))</f>
        <v/>
      </c>
      <c r="BM359" s="223">
        <f>IF(AND('CONTROLE EJ'!Q361="",'CONTROLE CMM'!#REF!=""),"",N('CONTROLE EJ'!Q361)+N('CONTROLE CMM'!#REF!))</f>
        <v/>
      </c>
      <c r="BN359" s="223">
        <f>IF('CONTROLE GLOBO AÇOS'!V361="","",'CONTROLE GLOBO AÇOS'!V361)</f>
        <v/>
      </c>
      <c r="BO359" s="223">
        <f>IF('CONTROLE GLOBO AÇOS'!W361="","",'CONTROLE GLOBO AÇOS'!W361)</f>
        <v/>
      </c>
      <c r="BP359" s="223">
        <f>IF(AND('CONTROLE EJ'!R361="",'CONTROLE CMM'!#REF!=""),"",N('CONTROLE EJ'!R361)+N('CONTROLE CMM'!#REF!))</f>
        <v/>
      </c>
      <c r="BQ359" s="223">
        <f>IF(#REF!="","",#REF!)</f>
        <v/>
      </c>
      <c r="BR359" s="223">
        <f>IF(AND('CONTROLE EJ'!S361="",'CONTROLE CMM'!#REF!=""),"",N('CONTROLE EJ'!S361)+N('CONTROLE CMM'!#REF!))</f>
        <v/>
      </c>
      <c r="BS359" s="223">
        <f>IF(AND('CONTROLE EJ'!T361="",'CONTROLE CMM'!#REF!=""),"",N('CONTROLE EJ'!T361)+N('CONTROLE CMM'!#REF!))</f>
        <v/>
      </c>
      <c r="BT359" s="223">
        <f>IF('CONTROLE GLOBO AÇOS'!X361="","",'CONTROLE GLOBO AÇOS'!X361)</f>
        <v/>
      </c>
      <c r="BU359" s="223">
        <f>IF('CONTROLE GLOBO AÇOS'!Y361="","",'CONTROLE GLOBO AÇOS'!Y361)</f>
        <v/>
      </c>
      <c r="BV359" s="223">
        <f>IF(AND('CONTROLE EJ'!U361="",'CONTROLE CMM'!#REF!=""),"",N('CONTROLE EJ'!U361)+N('CONTROLE CMM'!#REF!))</f>
        <v/>
      </c>
      <c r="BW359" s="223">
        <f>IF(#REF!="","",#REF!)</f>
        <v/>
      </c>
    </row>
    <row r="360">
      <c r="A360" s="282" t="n">
        <v>46577</v>
      </c>
      <c r="B360" s="18">
        <f>IF('CONTROLE EJ'!B362="","",'CONTROLE EJ'!B362)</f>
        <v/>
      </c>
      <c r="C360" s="18">
        <f>IF('CONTROLE EJ'!C362="","",'CONTROLE EJ'!C362)</f>
        <v/>
      </c>
      <c r="D360" s="26">
        <f>IF('CONTROLE EJ'!D362="","",'CONTROLE EJ'!D362)</f>
        <v/>
      </c>
      <c r="E360" s="43">
        <f>IF('CONTROLE CMM'!B362="","",'CONTROLE CMM'!B362)</f>
        <v/>
      </c>
      <c r="F360" s="18">
        <f>IF('CONTROLE CMM'!C362="","",'CONTROLE CMM'!C362)</f>
        <v/>
      </c>
      <c r="G360" s="26">
        <f>IF('CONTROLE CMM'!D362="","",'CONTROLE CMM'!D362)</f>
        <v/>
      </c>
      <c r="H360" s="18">
        <f>IF('CONTROLE GLOBO AÇOS'!B362="","",'CONTROLE GLOBO AÇOS'!B362)</f>
        <v/>
      </c>
      <c r="I360" s="18">
        <f>IF('CONTROLE GLOBO AÇOS'!C362="","",'CONTROLE GLOBO AÇOS'!C362)</f>
        <v/>
      </c>
      <c r="J360" s="18">
        <f>IF('CONTROLE GLOBO AÇOS'!D362="","",'CONTROLE GLOBO AÇOS'!D362)</f>
        <v/>
      </c>
      <c r="AD360" s="39">
        <f>IF($A360="",0,IF(AND(WEEKDAY($A360,2)&lt;=5,OR($B360&lt;&gt;"",$C360&lt;&gt;"",$D360&lt;&gt;"")),1,0))</f>
        <v/>
      </c>
      <c r="AE360" s="39">
        <f>IF($A360="",0,IF(AND(WEEKDAY($A360,2)&lt;=5,OR($E360&lt;&gt;"",$F360&lt;&gt;"",$G360&lt;&gt;"")),1,0))</f>
        <v/>
      </c>
      <c r="AF360" s="39">
        <f>MAX(AD360,AE360)</f>
        <v/>
      </c>
      <c r="AH360" s="223">
        <f>IF('CONTROLE GLOBO AÇOS'!E362="","",'CONTROLE GLOBO AÇOS'!E362)</f>
        <v/>
      </c>
      <c r="AI360" s="223">
        <f>IF('CONTROLE GLOBO AÇOS'!F362="","",'CONTROLE GLOBO AÇOS'!F362)</f>
        <v/>
      </c>
      <c r="AJ360" s="223">
        <f>IF(AND('CONTROLE EJ'!E362="",'CONTROLE CMM'!E362=""),"",N('CONTROLE EJ'!E362)+N('CONTROLE CMM'!E362))</f>
        <v/>
      </c>
      <c r="AK360" s="223">
        <f>IF(AND('CONTROLE EJ'!F362="",'CONTROLE CMM'!F362=""),"",N('CONTROLE EJ'!F362)+N('CONTROLE CMM'!F362))</f>
        <v/>
      </c>
      <c r="AL360" s="223">
        <f>IF(AND('CONTROLE EJ'!G362="",'CONTROLE CMM'!G362=""),"",N('CONTROLE EJ'!G362)+N('CONTROLE CMM'!G362))</f>
        <v/>
      </c>
      <c r="AM360" s="223">
        <f>IF(AND('CONTROLE EJ'!H362="",'CONTROLE CMM'!H362=""),"",N('CONTROLE EJ'!H362)+N('CONTROLE CMM'!H362))</f>
        <v/>
      </c>
      <c r="AN360" s="223">
        <f>IF('CONTROLE GLOBO AÇOS'!G362="","",'CONTROLE GLOBO AÇOS'!G362)</f>
        <v/>
      </c>
      <c r="AO360" s="223">
        <f>IF('CONTROLE GLOBO AÇOS'!H362="","",'CONTROLE GLOBO AÇOS'!H362)</f>
        <v/>
      </c>
      <c r="AP360" s="223">
        <f>IF(AND('CONTROLE EJ'!I362="",'CONTROLE CMM'!I362=""),"",N('CONTROLE EJ'!I362)+N('CONTROLE CMM'!I362))</f>
        <v/>
      </c>
      <c r="AQ360" s="223">
        <f>IF(AND('CONTROLE EJ'!J362="",'CONTROLE CMM'!#REF!=""),"",N('CONTROLE EJ'!J362)+N('CONTROLE CMM'!#REF!))</f>
        <v/>
      </c>
      <c r="AR360" s="223">
        <f>IF('CONTROLE GLOBO AÇOS'!I362="","",'CONTROLE GLOBO AÇOS'!I362)</f>
        <v/>
      </c>
      <c r="AS360" s="223">
        <f>IF('CONTROLE GLOBO AÇOS'!J362="","",'CONTROLE GLOBO AÇOS'!J362)</f>
        <v/>
      </c>
      <c r="AT360" s="223">
        <f>IF(#REF!="","",#REF!)</f>
        <v/>
      </c>
      <c r="AU360" s="223">
        <f>IF('CONTROLE GLOBO AÇOS'!K362="","",'CONTROLE GLOBO AÇOS'!K362)</f>
        <v/>
      </c>
      <c r="AV360" s="223">
        <f>IF(AND('CONTROLE EJ'!K362="",'CONTROLE CMM'!#REF!=""),"",N('CONTROLE EJ'!K362)+N('CONTROLE CMM'!#REF!))</f>
        <v/>
      </c>
      <c r="AW360" s="223">
        <f>IF('CONTROLE GLOBO AÇOS'!L362="","",'CONTROLE GLOBO AÇOS'!L362)</f>
        <v/>
      </c>
      <c r="AX360" s="223">
        <f>IF(AND('CONTROLE EJ'!L362="",'CONTROLE CMM'!#REF!=""),"",N('CONTROLE EJ'!L362)+N('CONTROLE CMM'!#REF!))</f>
        <v/>
      </c>
      <c r="AY360" s="223">
        <f>IF('CONTROLE GLOBO AÇOS'!M362="","",'CONTROLE GLOBO AÇOS'!M362)</f>
        <v/>
      </c>
      <c r="AZ360" s="223">
        <f>IF('CONTROLE GLOBO AÇOS'!N362="","",'CONTROLE GLOBO AÇOS'!N362)</f>
        <v/>
      </c>
      <c r="BA360" s="223">
        <f>IF(AND('CONTROLE EJ'!M362="",'CONTROLE CMM'!#REF!=""),"",N('CONTROLE EJ'!M362)+N('CONTROLE CMM'!#REF!))</f>
        <v/>
      </c>
      <c r="BB360" s="223">
        <f>IF(#REF!="","",#REF!)</f>
        <v/>
      </c>
      <c r="BC360" s="223">
        <f>IF('CONTROLE GLOBO AÇOS'!O362="","",'CONTROLE GLOBO AÇOS'!O362)</f>
        <v/>
      </c>
      <c r="BD360" s="223">
        <f>IF(AND('CONTROLE EJ'!N362="",'CONTROLE CMM'!#REF!=""),"",N('CONTROLE EJ'!N362)+N('CONTROLE CMM'!#REF!))</f>
        <v/>
      </c>
      <c r="BE360" s="223">
        <f>IF('CONTROLE GLOBO AÇOS'!P362="","",'CONTROLE GLOBO AÇOS'!P362)</f>
        <v/>
      </c>
      <c r="BF360" s="223">
        <f>IF('CONTROLE GLOBO AÇOS'!Q362="","",'CONTROLE GLOBO AÇOS'!Q362)</f>
        <v/>
      </c>
      <c r="BG360" s="223">
        <f>IF('CONTROLE GLOBO AÇOS'!R362="","",'CONTROLE GLOBO AÇOS'!R362)</f>
        <v/>
      </c>
      <c r="BH360" s="223">
        <f>IF(AND('CONTROLE EJ'!O362="",'CONTROLE CMM'!#REF!=""),"",N('CONTROLE EJ'!O362)+N('CONTROLE CMM'!#REF!))</f>
        <v/>
      </c>
      <c r="BI360" s="223">
        <f>IF('CONTROLE GLOBO AÇOS'!S362="","",'CONTROLE GLOBO AÇOS'!S362)</f>
        <v/>
      </c>
      <c r="BJ360" s="223">
        <f>IF('CONTROLE GLOBO AÇOS'!T362="","",'CONTROLE GLOBO AÇOS'!T362)</f>
        <v/>
      </c>
      <c r="BK360" s="223">
        <f>IF('CONTROLE GLOBO AÇOS'!U362="","",'CONTROLE GLOBO AÇOS'!U362)</f>
        <v/>
      </c>
      <c r="BL360" s="223">
        <f>IF(AND('CONTROLE EJ'!P362="",'CONTROLE CMM'!#REF!=""),"",N('CONTROLE EJ'!P362)+N('CONTROLE CMM'!#REF!))</f>
        <v/>
      </c>
      <c r="BM360" s="223">
        <f>IF(AND('CONTROLE EJ'!Q362="",'CONTROLE CMM'!#REF!=""),"",N('CONTROLE EJ'!Q362)+N('CONTROLE CMM'!#REF!))</f>
        <v/>
      </c>
      <c r="BN360" s="223">
        <f>IF('CONTROLE GLOBO AÇOS'!V362="","",'CONTROLE GLOBO AÇOS'!V362)</f>
        <v/>
      </c>
      <c r="BO360" s="223">
        <f>IF('CONTROLE GLOBO AÇOS'!W362="","",'CONTROLE GLOBO AÇOS'!W362)</f>
        <v/>
      </c>
      <c r="BP360" s="223">
        <f>IF(AND('CONTROLE EJ'!R362="",'CONTROLE CMM'!#REF!=""),"",N('CONTROLE EJ'!R362)+N('CONTROLE CMM'!#REF!))</f>
        <v/>
      </c>
      <c r="BQ360" s="223">
        <f>IF(#REF!="","",#REF!)</f>
        <v/>
      </c>
      <c r="BR360" s="223">
        <f>IF(AND('CONTROLE EJ'!S362="",'CONTROLE CMM'!#REF!=""),"",N('CONTROLE EJ'!S362)+N('CONTROLE CMM'!#REF!))</f>
        <v/>
      </c>
      <c r="BS360" s="223">
        <f>IF(AND('CONTROLE EJ'!T362="",'CONTROLE CMM'!#REF!=""),"",N('CONTROLE EJ'!T362)+N('CONTROLE CMM'!#REF!))</f>
        <v/>
      </c>
      <c r="BT360" s="223">
        <f>IF('CONTROLE GLOBO AÇOS'!X362="","",'CONTROLE GLOBO AÇOS'!X362)</f>
        <v/>
      </c>
      <c r="BU360" s="223">
        <f>IF('CONTROLE GLOBO AÇOS'!Y362="","",'CONTROLE GLOBO AÇOS'!Y362)</f>
        <v/>
      </c>
      <c r="BV360" s="223">
        <f>IF(AND('CONTROLE EJ'!U362="",'CONTROLE CMM'!#REF!=""),"",N('CONTROLE EJ'!U362)+N('CONTROLE CMM'!#REF!))</f>
        <v/>
      </c>
      <c r="BW360" s="223">
        <f>IF(#REF!="","",#REF!)</f>
        <v/>
      </c>
    </row>
    <row r="361">
      <c r="A361" s="282" t="n">
        <v>46578</v>
      </c>
      <c r="B361" s="18">
        <f>IF('CONTROLE EJ'!B363="","",'CONTROLE EJ'!B363)</f>
        <v/>
      </c>
      <c r="C361" s="18">
        <f>IF('CONTROLE EJ'!C363="","",'CONTROLE EJ'!C363)</f>
        <v/>
      </c>
      <c r="D361" s="26">
        <f>IF('CONTROLE EJ'!D363="","",'CONTROLE EJ'!D363)</f>
        <v/>
      </c>
      <c r="E361" s="43">
        <f>IF('CONTROLE CMM'!B363="","",'CONTROLE CMM'!B363)</f>
        <v/>
      </c>
      <c r="F361" s="18">
        <f>IF('CONTROLE CMM'!C363="","",'CONTROLE CMM'!C363)</f>
        <v/>
      </c>
      <c r="G361" s="26">
        <f>IF('CONTROLE CMM'!D363="","",'CONTROLE CMM'!D363)</f>
        <v/>
      </c>
      <c r="H361" s="18">
        <f>IF('CONTROLE GLOBO AÇOS'!B363="","",'CONTROLE GLOBO AÇOS'!B363)</f>
        <v/>
      </c>
      <c r="I361" s="18">
        <f>IF('CONTROLE GLOBO AÇOS'!C363="","",'CONTROLE GLOBO AÇOS'!C363)</f>
        <v/>
      </c>
      <c r="J361" s="18">
        <f>IF('CONTROLE GLOBO AÇOS'!D363="","",'CONTROLE GLOBO AÇOS'!D363)</f>
        <v/>
      </c>
      <c r="AD361" s="39">
        <f>IF($A361="",0,IF(AND(WEEKDAY($A361,2)&lt;=5,OR($B361&lt;&gt;"",$C361&lt;&gt;"",$D361&lt;&gt;"")),1,0))</f>
        <v/>
      </c>
      <c r="AE361" s="39">
        <f>IF($A361="",0,IF(AND(WEEKDAY($A361,2)&lt;=5,OR($E361&lt;&gt;"",$F361&lt;&gt;"",$G361&lt;&gt;"")),1,0))</f>
        <v/>
      </c>
      <c r="AF361" s="39">
        <f>MAX(AD361,AE361)</f>
        <v/>
      </c>
      <c r="AH361" s="223">
        <f>IF('CONTROLE GLOBO AÇOS'!E363="","",'CONTROLE GLOBO AÇOS'!E363)</f>
        <v/>
      </c>
      <c r="AI361" s="223">
        <f>IF('CONTROLE GLOBO AÇOS'!F363="","",'CONTROLE GLOBO AÇOS'!F363)</f>
        <v/>
      </c>
      <c r="AJ361" s="223">
        <f>IF(AND('CONTROLE EJ'!E363="",'CONTROLE CMM'!E363=""),"",N('CONTROLE EJ'!E363)+N('CONTROLE CMM'!E363))</f>
        <v/>
      </c>
      <c r="AK361" s="223">
        <f>IF(AND('CONTROLE EJ'!F363="",'CONTROLE CMM'!F363=""),"",N('CONTROLE EJ'!F363)+N('CONTROLE CMM'!F363))</f>
        <v/>
      </c>
      <c r="AL361" s="223">
        <f>IF(AND('CONTROLE EJ'!G363="",'CONTROLE CMM'!G363=""),"",N('CONTROLE EJ'!G363)+N('CONTROLE CMM'!G363))</f>
        <v/>
      </c>
      <c r="AM361" s="223">
        <f>IF(AND('CONTROLE EJ'!H363="",'CONTROLE CMM'!H363=""),"",N('CONTROLE EJ'!H363)+N('CONTROLE CMM'!H363))</f>
        <v/>
      </c>
      <c r="AN361" s="223">
        <f>IF('CONTROLE GLOBO AÇOS'!G363="","",'CONTROLE GLOBO AÇOS'!G363)</f>
        <v/>
      </c>
      <c r="AO361" s="223">
        <f>IF('CONTROLE GLOBO AÇOS'!H363="","",'CONTROLE GLOBO AÇOS'!H363)</f>
        <v/>
      </c>
      <c r="AP361" s="223">
        <f>IF(AND('CONTROLE EJ'!I363="",'CONTROLE CMM'!I363=""),"",N('CONTROLE EJ'!I363)+N('CONTROLE CMM'!I363))</f>
        <v/>
      </c>
      <c r="AQ361" s="223">
        <f>IF(AND('CONTROLE EJ'!J363="",'CONTROLE CMM'!#REF!=""),"",N('CONTROLE EJ'!J363)+N('CONTROLE CMM'!#REF!))</f>
        <v/>
      </c>
      <c r="AR361" s="223">
        <f>IF('CONTROLE GLOBO AÇOS'!I363="","",'CONTROLE GLOBO AÇOS'!I363)</f>
        <v/>
      </c>
      <c r="AS361" s="223">
        <f>IF('CONTROLE GLOBO AÇOS'!J363="","",'CONTROLE GLOBO AÇOS'!J363)</f>
        <v/>
      </c>
      <c r="AT361" s="223">
        <f>IF(#REF!="","",#REF!)</f>
        <v/>
      </c>
      <c r="AU361" s="223">
        <f>IF('CONTROLE GLOBO AÇOS'!K363="","",'CONTROLE GLOBO AÇOS'!K363)</f>
        <v/>
      </c>
      <c r="AV361" s="223">
        <f>IF(AND('CONTROLE EJ'!K363="",'CONTROLE CMM'!#REF!=""),"",N('CONTROLE EJ'!K363)+N('CONTROLE CMM'!#REF!))</f>
        <v/>
      </c>
      <c r="AW361" s="223">
        <f>IF('CONTROLE GLOBO AÇOS'!L363="","",'CONTROLE GLOBO AÇOS'!L363)</f>
        <v/>
      </c>
      <c r="AX361" s="223">
        <f>IF(AND('CONTROLE EJ'!L363="",'CONTROLE CMM'!#REF!=""),"",N('CONTROLE EJ'!L363)+N('CONTROLE CMM'!#REF!))</f>
        <v/>
      </c>
      <c r="AY361" s="223">
        <f>IF('CONTROLE GLOBO AÇOS'!M363="","",'CONTROLE GLOBO AÇOS'!M363)</f>
        <v/>
      </c>
      <c r="AZ361" s="223">
        <f>IF('CONTROLE GLOBO AÇOS'!N363="","",'CONTROLE GLOBO AÇOS'!N363)</f>
        <v/>
      </c>
      <c r="BA361" s="223">
        <f>IF(AND('CONTROLE EJ'!M363="",'CONTROLE CMM'!#REF!=""),"",N('CONTROLE EJ'!M363)+N('CONTROLE CMM'!#REF!))</f>
        <v/>
      </c>
      <c r="BB361" s="223">
        <f>IF(#REF!="","",#REF!)</f>
        <v/>
      </c>
      <c r="BC361" s="223">
        <f>IF('CONTROLE GLOBO AÇOS'!O363="","",'CONTROLE GLOBO AÇOS'!O363)</f>
        <v/>
      </c>
      <c r="BD361" s="223">
        <f>IF(AND('CONTROLE EJ'!N363="",'CONTROLE CMM'!#REF!=""),"",N('CONTROLE EJ'!N363)+N('CONTROLE CMM'!#REF!))</f>
        <v/>
      </c>
      <c r="BE361" s="223">
        <f>IF('CONTROLE GLOBO AÇOS'!P363="","",'CONTROLE GLOBO AÇOS'!P363)</f>
        <v/>
      </c>
      <c r="BF361" s="223">
        <f>IF('CONTROLE GLOBO AÇOS'!Q363="","",'CONTROLE GLOBO AÇOS'!Q363)</f>
        <v/>
      </c>
      <c r="BG361" s="223">
        <f>IF('CONTROLE GLOBO AÇOS'!R363="","",'CONTROLE GLOBO AÇOS'!R363)</f>
        <v/>
      </c>
      <c r="BH361" s="223">
        <f>IF(AND('CONTROLE EJ'!O363="",'CONTROLE CMM'!#REF!=""),"",N('CONTROLE EJ'!O363)+N('CONTROLE CMM'!#REF!))</f>
        <v/>
      </c>
      <c r="BI361" s="223">
        <f>IF('CONTROLE GLOBO AÇOS'!S363="","",'CONTROLE GLOBO AÇOS'!S363)</f>
        <v/>
      </c>
      <c r="BJ361" s="223">
        <f>IF('CONTROLE GLOBO AÇOS'!T363="","",'CONTROLE GLOBO AÇOS'!T363)</f>
        <v/>
      </c>
      <c r="BK361" s="223">
        <f>IF('CONTROLE GLOBO AÇOS'!U363="","",'CONTROLE GLOBO AÇOS'!U363)</f>
        <v/>
      </c>
      <c r="BL361" s="223">
        <f>IF(AND('CONTROLE EJ'!P363="",'CONTROLE CMM'!#REF!=""),"",N('CONTROLE EJ'!P363)+N('CONTROLE CMM'!#REF!))</f>
        <v/>
      </c>
      <c r="BM361" s="223">
        <f>IF(AND('CONTROLE EJ'!Q363="",'CONTROLE CMM'!#REF!=""),"",N('CONTROLE EJ'!Q363)+N('CONTROLE CMM'!#REF!))</f>
        <v/>
      </c>
      <c r="BN361" s="223">
        <f>IF('CONTROLE GLOBO AÇOS'!V363="","",'CONTROLE GLOBO AÇOS'!V363)</f>
        <v/>
      </c>
      <c r="BO361" s="223">
        <f>IF('CONTROLE GLOBO AÇOS'!W363="","",'CONTROLE GLOBO AÇOS'!W363)</f>
        <v/>
      </c>
      <c r="BP361" s="223">
        <f>IF(AND('CONTROLE EJ'!R363="",'CONTROLE CMM'!#REF!=""),"",N('CONTROLE EJ'!R363)+N('CONTROLE CMM'!#REF!))</f>
        <v/>
      </c>
      <c r="BQ361" s="223">
        <f>IF(#REF!="","",#REF!)</f>
        <v/>
      </c>
      <c r="BR361" s="223">
        <f>IF(AND('CONTROLE EJ'!S363="",'CONTROLE CMM'!#REF!=""),"",N('CONTROLE EJ'!S363)+N('CONTROLE CMM'!#REF!))</f>
        <v/>
      </c>
      <c r="BS361" s="223">
        <f>IF(AND('CONTROLE EJ'!T363="",'CONTROLE CMM'!#REF!=""),"",N('CONTROLE EJ'!T363)+N('CONTROLE CMM'!#REF!))</f>
        <v/>
      </c>
      <c r="BT361" s="223">
        <f>IF('CONTROLE GLOBO AÇOS'!X363="","",'CONTROLE GLOBO AÇOS'!X363)</f>
        <v/>
      </c>
      <c r="BU361" s="223">
        <f>IF('CONTROLE GLOBO AÇOS'!Y363="","",'CONTROLE GLOBO AÇOS'!Y363)</f>
        <v/>
      </c>
      <c r="BV361" s="223">
        <f>IF(AND('CONTROLE EJ'!U363="",'CONTROLE CMM'!#REF!=""),"",N('CONTROLE EJ'!U363)+N('CONTROLE CMM'!#REF!))</f>
        <v/>
      </c>
      <c r="BW361" s="223">
        <f>IF(#REF!="","",#REF!)</f>
        <v/>
      </c>
    </row>
    <row r="362">
      <c r="A362" s="282" t="n">
        <v>46579</v>
      </c>
      <c r="B362" s="18">
        <f>IF('CONTROLE EJ'!B364="","",'CONTROLE EJ'!B364)</f>
        <v/>
      </c>
      <c r="C362" s="18">
        <f>IF('CONTROLE EJ'!C364="","",'CONTROLE EJ'!C364)</f>
        <v/>
      </c>
      <c r="D362" s="26">
        <f>IF('CONTROLE EJ'!D364="","",'CONTROLE EJ'!D364)</f>
        <v/>
      </c>
      <c r="E362" s="43">
        <f>IF('CONTROLE CMM'!B364="","",'CONTROLE CMM'!B364)</f>
        <v/>
      </c>
      <c r="F362" s="18">
        <f>IF('CONTROLE CMM'!C364="","",'CONTROLE CMM'!C364)</f>
        <v/>
      </c>
      <c r="G362" s="18">
        <f>IF('CONTROLE CMM'!D364="","",'CONTROLE CMM'!D364)</f>
        <v/>
      </c>
      <c r="H362">
        <f>IF('CONTROLE GLOBO AÇOS'!B364="","",'CONTROLE GLOBO AÇOS'!B364)</f>
        <v/>
      </c>
      <c r="I362">
        <f>IF('CONTROLE GLOBO AÇOS'!C364="","",'CONTROLE GLOBO AÇOS'!C364)</f>
        <v/>
      </c>
      <c r="J362">
        <f>IF('CONTROLE GLOBO AÇOS'!D364="","",'CONTROLE GLOBO AÇOS'!D364)</f>
        <v/>
      </c>
      <c r="AD362" s="39">
        <f>IF($A362="",0,IF(AND(WEEKDAY($A362,2)&lt;=5,OR($B362&lt;&gt;"",$C362&lt;&gt;"",$D362&lt;&gt;"")),1,0))</f>
        <v/>
      </c>
      <c r="AE362" s="39">
        <f>IF($A362="",0,IF(AND(WEEKDAY($A362,2)&lt;=5,OR($E362&lt;&gt;"",$F362&lt;&gt;"",$G362&lt;&gt;"")),1,0))</f>
        <v/>
      </c>
      <c r="AF362" s="39">
        <f>MAX(AD362,AE362)</f>
        <v/>
      </c>
      <c r="AH362" s="223">
        <f>IF('CONTROLE GLOBO AÇOS'!E364="","",'CONTROLE GLOBO AÇOS'!E364)</f>
        <v/>
      </c>
      <c r="AI362" s="223">
        <f>IF('CONTROLE GLOBO AÇOS'!F364="","",'CONTROLE GLOBO AÇOS'!F364)</f>
        <v/>
      </c>
      <c r="AJ362" s="223">
        <f>IF(AND('CONTROLE EJ'!E364="",'CONTROLE CMM'!E364=""),"",N('CONTROLE EJ'!E364)+N('CONTROLE CMM'!E364))</f>
        <v/>
      </c>
      <c r="AK362" s="223">
        <f>IF(AND('CONTROLE EJ'!F364="",'CONTROLE CMM'!F364=""),"",N('CONTROLE EJ'!F364)+N('CONTROLE CMM'!F364))</f>
        <v/>
      </c>
      <c r="AL362" s="223">
        <f>IF(AND('CONTROLE EJ'!G364="",'CONTROLE CMM'!G364=""),"",N('CONTROLE EJ'!G364)+N('CONTROLE CMM'!G364))</f>
        <v/>
      </c>
      <c r="AM362" s="223">
        <f>IF(AND('CONTROLE EJ'!H364="",'CONTROLE CMM'!H364=""),"",N('CONTROLE EJ'!H364)+N('CONTROLE CMM'!H364))</f>
        <v/>
      </c>
      <c r="AN362" s="223">
        <f>IF('CONTROLE GLOBO AÇOS'!G364="","",'CONTROLE GLOBO AÇOS'!G364)</f>
        <v/>
      </c>
      <c r="AO362" s="223">
        <f>IF('CONTROLE GLOBO AÇOS'!H364="","",'CONTROLE GLOBO AÇOS'!H364)</f>
        <v/>
      </c>
      <c r="AP362" s="223">
        <f>IF(AND('CONTROLE EJ'!I364="",'CONTROLE CMM'!I364=""),"",N('CONTROLE EJ'!I364)+N('CONTROLE CMM'!I364))</f>
        <v/>
      </c>
      <c r="AQ362" s="223">
        <f>IF(AND('CONTROLE EJ'!J364="",'CONTROLE CMM'!#REF!=""),"",N('CONTROLE EJ'!J364)+N('CONTROLE CMM'!#REF!))</f>
        <v/>
      </c>
      <c r="AR362" s="223">
        <f>IF('CONTROLE GLOBO AÇOS'!I364="","",'CONTROLE GLOBO AÇOS'!I364)</f>
        <v/>
      </c>
      <c r="AS362" s="223">
        <f>IF('CONTROLE GLOBO AÇOS'!J364="","",'CONTROLE GLOBO AÇOS'!J364)</f>
        <v/>
      </c>
      <c r="AT362" s="223">
        <f>IF(#REF!="","",#REF!)</f>
        <v/>
      </c>
      <c r="AU362" s="223">
        <f>IF('CONTROLE GLOBO AÇOS'!K364="","",'CONTROLE GLOBO AÇOS'!K364)</f>
        <v/>
      </c>
      <c r="AV362" s="223">
        <f>IF(AND('CONTROLE EJ'!K364="",'CONTROLE CMM'!#REF!=""),"",N('CONTROLE EJ'!K364)+N('CONTROLE CMM'!#REF!))</f>
        <v/>
      </c>
      <c r="AW362" s="223">
        <f>IF('CONTROLE GLOBO AÇOS'!L364="","",'CONTROLE GLOBO AÇOS'!L364)</f>
        <v/>
      </c>
      <c r="AX362" s="223">
        <f>IF(AND('CONTROLE EJ'!L364="",'CONTROLE CMM'!#REF!=""),"",N('CONTROLE EJ'!L364)+N('CONTROLE CMM'!#REF!))</f>
        <v/>
      </c>
      <c r="AY362" s="223">
        <f>IF('CONTROLE GLOBO AÇOS'!M364="","",'CONTROLE GLOBO AÇOS'!M364)</f>
        <v/>
      </c>
      <c r="AZ362" s="223">
        <f>IF('CONTROLE GLOBO AÇOS'!N364="","",'CONTROLE GLOBO AÇOS'!N364)</f>
        <v/>
      </c>
      <c r="BA362" s="223">
        <f>IF(AND('CONTROLE EJ'!M364="",'CONTROLE CMM'!#REF!=""),"",N('CONTROLE EJ'!M364)+N('CONTROLE CMM'!#REF!))</f>
        <v/>
      </c>
      <c r="BB362" s="223">
        <f>IF(#REF!="","",#REF!)</f>
        <v/>
      </c>
      <c r="BC362" s="223">
        <f>IF('CONTROLE GLOBO AÇOS'!O364="","",'CONTROLE GLOBO AÇOS'!O364)</f>
        <v/>
      </c>
      <c r="BD362" s="223">
        <f>IF(AND('CONTROLE EJ'!N364="",'CONTROLE CMM'!#REF!=""),"",N('CONTROLE EJ'!N364)+N('CONTROLE CMM'!#REF!))</f>
        <v/>
      </c>
      <c r="BE362" s="223">
        <f>IF('CONTROLE GLOBO AÇOS'!P364="","",'CONTROLE GLOBO AÇOS'!P364)</f>
        <v/>
      </c>
      <c r="BF362" s="223">
        <f>IF('CONTROLE GLOBO AÇOS'!Q364="","",'CONTROLE GLOBO AÇOS'!Q364)</f>
        <v/>
      </c>
      <c r="BG362" s="223">
        <f>IF('CONTROLE GLOBO AÇOS'!R364="","",'CONTROLE GLOBO AÇOS'!R364)</f>
        <v/>
      </c>
      <c r="BH362" s="223">
        <f>IF(AND('CONTROLE EJ'!O364="",'CONTROLE CMM'!#REF!=""),"",N('CONTROLE EJ'!O364)+N('CONTROLE CMM'!#REF!))</f>
        <v/>
      </c>
      <c r="BI362" s="223">
        <f>IF('CONTROLE GLOBO AÇOS'!S364="","",'CONTROLE GLOBO AÇOS'!S364)</f>
        <v/>
      </c>
      <c r="BJ362" s="223">
        <f>IF('CONTROLE GLOBO AÇOS'!T364="","",'CONTROLE GLOBO AÇOS'!T364)</f>
        <v/>
      </c>
      <c r="BK362" s="223">
        <f>IF('CONTROLE GLOBO AÇOS'!U364="","",'CONTROLE GLOBO AÇOS'!U364)</f>
        <v/>
      </c>
      <c r="BL362" s="223">
        <f>IF(AND('CONTROLE EJ'!P364="",'CONTROLE CMM'!#REF!=""),"",N('CONTROLE EJ'!P364)+N('CONTROLE CMM'!#REF!))</f>
        <v/>
      </c>
      <c r="BM362" s="223">
        <f>IF(AND('CONTROLE EJ'!Q364="",'CONTROLE CMM'!#REF!=""),"",N('CONTROLE EJ'!Q364)+N('CONTROLE CMM'!#REF!))</f>
        <v/>
      </c>
      <c r="BN362" s="223">
        <f>IF('CONTROLE GLOBO AÇOS'!V364="","",'CONTROLE GLOBO AÇOS'!V364)</f>
        <v/>
      </c>
      <c r="BO362" s="223">
        <f>IF('CONTROLE GLOBO AÇOS'!W364="","",'CONTROLE GLOBO AÇOS'!W364)</f>
        <v/>
      </c>
      <c r="BP362" s="223">
        <f>IF(AND('CONTROLE EJ'!R364="",'CONTROLE CMM'!#REF!=""),"",N('CONTROLE EJ'!R364)+N('CONTROLE CMM'!#REF!))</f>
        <v/>
      </c>
      <c r="BQ362" s="223">
        <f>IF(#REF!="","",#REF!)</f>
        <v/>
      </c>
      <c r="BR362" s="223">
        <f>IF(AND('CONTROLE EJ'!S364="",'CONTROLE CMM'!#REF!=""),"",N('CONTROLE EJ'!S364)+N('CONTROLE CMM'!#REF!))</f>
        <v/>
      </c>
      <c r="BS362" s="223">
        <f>IF(AND('CONTROLE EJ'!T364="",'CONTROLE CMM'!#REF!=""),"",N('CONTROLE EJ'!T364)+N('CONTROLE CMM'!#REF!))</f>
        <v/>
      </c>
      <c r="BT362" s="223">
        <f>IF('CONTROLE GLOBO AÇOS'!X364="","",'CONTROLE GLOBO AÇOS'!X364)</f>
        <v/>
      </c>
      <c r="BU362" s="223">
        <f>IF('CONTROLE GLOBO AÇOS'!Y364="","",'CONTROLE GLOBO AÇOS'!Y364)</f>
        <v/>
      </c>
      <c r="BV362" s="223">
        <f>IF(AND('CONTROLE EJ'!U364="",'CONTROLE CMM'!#REF!=""),"",N('CONTROLE EJ'!U364)+N('CONTROLE CMM'!#REF!))</f>
        <v/>
      </c>
      <c r="BW362" s="223">
        <f>IF(#REF!="","",#REF!)</f>
        <v/>
      </c>
    </row>
    <row r="363">
      <c r="D363" s="26" t="n"/>
      <c r="E363" s="43" t="n"/>
    </row>
    <row r="364">
      <c r="D364" s="26" t="n"/>
      <c r="E364" s="43" t="n"/>
    </row>
    <row r="365">
      <c r="D365" s="26" t="n"/>
      <c r="E365" s="43" t="n"/>
    </row>
    <row r="366">
      <c r="D366" s="26" t="n"/>
      <c r="E366" s="43" t="n"/>
    </row>
    <row r="367">
      <c r="D367" s="26" t="n"/>
      <c r="E367" s="43" t="n"/>
    </row>
    <row r="368">
      <c r="D368" s="26" t="n"/>
      <c r="E368" s="43" t="n"/>
    </row>
    <row r="369">
      <c r="D369" s="26" t="n"/>
      <c r="E369" s="43" t="n"/>
    </row>
    <row r="370">
      <c r="D370" s="26" t="n"/>
      <c r="E370" s="43" t="n"/>
    </row>
    <row r="371">
      <c r="D371" s="26" t="n"/>
      <c r="E371" s="43" t="n"/>
    </row>
    <row r="372">
      <c r="D372" s="26" t="n"/>
      <c r="E372" s="43" t="n"/>
    </row>
    <row r="373">
      <c r="D373" s="26" t="n"/>
      <c r="E373" s="43" t="n"/>
    </row>
    <row r="374">
      <c r="D374" s="26" t="n"/>
      <c r="E374" s="43" t="n"/>
    </row>
    <row r="375">
      <c r="D375" s="26" t="n"/>
      <c r="E375" s="43" t="n"/>
    </row>
    <row r="376">
      <c r="D376" s="26" t="n"/>
      <c r="E376" s="43" t="n"/>
    </row>
    <row r="377">
      <c r="D377" s="26" t="n"/>
      <c r="E377" s="43" t="n"/>
    </row>
    <row r="378">
      <c r="D378" s="26" t="n"/>
      <c r="E378" s="43" t="n"/>
    </row>
    <row r="379">
      <c r="D379" s="26" t="n"/>
      <c r="E379" s="43" t="n"/>
    </row>
    <row r="380">
      <c r="D380" s="26" t="n"/>
      <c r="E380" s="43" t="n"/>
    </row>
    <row r="381">
      <c r="D381" s="26" t="n"/>
      <c r="E381" s="43" t="n"/>
    </row>
    <row r="382">
      <c r="D382" s="26" t="n"/>
      <c r="E382" s="43" t="n"/>
    </row>
    <row r="383">
      <c r="D383" s="26" t="n"/>
      <c r="E383" s="43" t="n"/>
    </row>
    <row r="384">
      <c r="D384" s="26" t="n"/>
      <c r="E384" s="43" t="n"/>
    </row>
    <row r="385">
      <c r="D385" s="26" t="n"/>
      <c r="E385" s="43" t="n"/>
    </row>
    <row r="386">
      <c r="D386" s="26" t="n"/>
      <c r="E386" s="43" t="n"/>
    </row>
    <row r="387">
      <c r="D387" s="26" t="n"/>
      <c r="E387" s="43" t="n"/>
    </row>
    <row r="388">
      <c r="D388" s="26" t="n"/>
      <c r="E388" s="43" t="n"/>
    </row>
    <row r="389">
      <c r="D389" s="26" t="n"/>
      <c r="E389" s="43" t="n"/>
    </row>
    <row r="390">
      <c r="D390" s="26" t="n"/>
      <c r="E390" s="43" t="n"/>
    </row>
    <row r="391">
      <c r="D391" s="26" t="n"/>
      <c r="E391" s="43" t="n"/>
    </row>
    <row r="392">
      <c r="D392" s="26" t="n"/>
      <c r="E392" s="43" t="n"/>
    </row>
    <row r="393">
      <c r="D393" s="26" t="n"/>
      <c r="E393" s="43" t="n"/>
    </row>
    <row r="394">
      <c r="D394" s="26" t="n"/>
      <c r="E394" s="43" t="n"/>
    </row>
    <row r="395">
      <c r="D395" s="26" t="n"/>
      <c r="E395" s="43" t="n"/>
    </row>
    <row r="396">
      <c r="D396" s="26" t="n"/>
      <c r="E396" s="43" t="n"/>
    </row>
    <row r="397">
      <c r="D397" s="26" t="n"/>
      <c r="E397" s="43" t="n"/>
    </row>
    <row r="398">
      <c r="D398" s="26" t="n"/>
      <c r="E398" s="43" t="n"/>
    </row>
    <row r="399">
      <c r="D399" s="26" t="n"/>
      <c r="E399" s="43" t="n"/>
    </row>
    <row r="400">
      <c r="D400" s="26" t="n"/>
      <c r="E400" s="43" t="n"/>
    </row>
    <row r="401">
      <c r="D401" s="26" t="n"/>
      <c r="E401" s="43" t="n"/>
    </row>
    <row r="402">
      <c r="D402" s="26" t="n"/>
      <c r="E402" s="43" t="n"/>
    </row>
    <row r="403">
      <c r="D403" s="26" t="n"/>
      <c r="E403" s="43" t="n"/>
    </row>
    <row r="404">
      <c r="D404" s="26" t="n"/>
      <c r="E404" s="43" t="n"/>
    </row>
    <row r="405">
      <c r="D405" s="26" t="n"/>
      <c r="E405" s="43" t="n"/>
    </row>
    <row r="406">
      <c r="D406" s="26" t="n"/>
      <c r="E406" s="43" t="n"/>
    </row>
    <row r="407">
      <c r="D407" s="26" t="n"/>
      <c r="E407" s="43" t="n"/>
    </row>
    <row r="408">
      <c r="D408" s="26" t="n"/>
      <c r="E408" s="43" t="n"/>
    </row>
    <row r="409">
      <c r="D409" s="26" t="n"/>
      <c r="E409" s="43" t="n"/>
    </row>
    <row r="410">
      <c r="D410" s="26" t="n"/>
      <c r="E410" s="43" t="n"/>
    </row>
    <row r="411">
      <c r="D411" s="26" t="n"/>
      <c r="E411" s="43" t="n"/>
    </row>
    <row r="412">
      <c r="D412" s="26" t="n"/>
      <c r="E412" s="43" t="n"/>
    </row>
    <row r="413">
      <c r="D413" s="26" t="n"/>
      <c r="E413" s="43" t="n"/>
    </row>
    <row r="414">
      <c r="D414" s="26" t="n"/>
      <c r="E414" s="43" t="n"/>
    </row>
    <row r="415">
      <c r="D415" s="26" t="n"/>
      <c r="E415" s="43" t="n"/>
    </row>
    <row r="416">
      <c r="D416" s="26" t="n"/>
      <c r="E416" s="43" t="n"/>
    </row>
    <row r="417">
      <c r="D417" s="26" t="n"/>
      <c r="E417" s="43" t="n"/>
    </row>
    <row r="418">
      <c r="D418" s="26" t="n"/>
      <c r="E418" s="43" t="n"/>
    </row>
    <row r="419">
      <c r="D419" s="26" t="n"/>
      <c r="E419" s="43" t="n"/>
    </row>
    <row r="420">
      <c r="D420" s="26" t="n"/>
      <c r="E420" s="43" t="n"/>
    </row>
    <row r="421">
      <c r="D421" s="26" t="n"/>
      <c r="E421" s="43" t="n"/>
    </row>
    <row r="422">
      <c r="D422" s="26" t="n"/>
      <c r="E422" s="43" t="n"/>
    </row>
    <row r="423">
      <c r="D423" s="26" t="n"/>
      <c r="E423" s="43" t="n"/>
    </row>
    <row r="424">
      <c r="D424" s="26" t="n"/>
      <c r="E424" s="43" t="n"/>
    </row>
    <row r="425">
      <c r="D425" s="26" t="n"/>
      <c r="E425" s="43" t="n"/>
    </row>
    <row r="426">
      <c r="D426" s="26" t="n"/>
      <c r="E426" s="43" t="n"/>
    </row>
    <row r="427">
      <c r="D427" s="26" t="n"/>
      <c r="E427" s="43" t="n"/>
    </row>
    <row r="428">
      <c r="D428" s="26" t="n"/>
      <c r="E428" s="43" t="n"/>
    </row>
    <row r="429">
      <c r="D429" s="26" t="n"/>
      <c r="E429" s="43" t="n"/>
    </row>
    <row r="430">
      <c r="D430" s="26" t="n"/>
      <c r="E430" s="43" t="n"/>
    </row>
    <row r="431">
      <c r="D431" s="26" t="n"/>
      <c r="E431" s="43" t="n"/>
    </row>
    <row r="432">
      <c r="D432" s="26" t="n"/>
      <c r="E432" s="43" t="n"/>
    </row>
    <row r="433">
      <c r="D433" s="26" t="n"/>
      <c r="E433" s="43" t="n"/>
    </row>
    <row r="434">
      <c r="D434" s="26" t="n"/>
      <c r="E434" s="43" t="n"/>
    </row>
    <row r="435">
      <c r="D435" s="26" t="n"/>
      <c r="E435" s="43" t="n"/>
    </row>
    <row r="436">
      <c r="D436" s="26" t="n"/>
      <c r="E436" s="43" t="n"/>
    </row>
    <row r="437">
      <c r="D437" s="26" t="n"/>
      <c r="E437" s="43" t="n"/>
    </row>
    <row r="438">
      <c r="D438" s="26" t="n"/>
      <c r="E438" s="43" t="n"/>
    </row>
    <row r="439">
      <c r="D439" s="26" t="n"/>
      <c r="E439" s="43" t="n"/>
    </row>
    <row r="440">
      <c r="D440" s="26" t="n"/>
      <c r="E440" s="43" t="n"/>
    </row>
    <row r="441">
      <c r="D441" s="26" t="n"/>
      <c r="E441" s="43" t="n"/>
    </row>
    <row r="442">
      <c r="D442" s="26" t="n"/>
      <c r="E442" s="43" t="n"/>
    </row>
    <row r="443">
      <c r="D443" s="26" t="n"/>
      <c r="E443" s="43" t="n"/>
    </row>
    <row r="444">
      <c r="D444" s="26" t="n"/>
      <c r="E444" s="43" t="n"/>
    </row>
    <row r="445">
      <c r="D445" s="26" t="n"/>
      <c r="E445" s="43" t="n"/>
    </row>
    <row r="446">
      <c r="D446" s="26" t="n"/>
      <c r="E446" s="43" t="n"/>
    </row>
    <row r="447">
      <c r="D447" s="26" t="n"/>
      <c r="E447" s="43" t="n"/>
    </row>
    <row r="448">
      <c r="D448" s="26" t="n"/>
      <c r="E448" s="43" t="n"/>
    </row>
    <row r="449">
      <c r="D449" s="26" t="n"/>
      <c r="E449" s="43" t="n"/>
    </row>
    <row r="450">
      <c r="D450" s="26" t="n"/>
      <c r="E450" s="43" t="n"/>
    </row>
    <row r="451">
      <c r="D451" s="26" t="n"/>
      <c r="E451" s="43" t="n"/>
    </row>
    <row r="452">
      <c r="D452" s="26" t="n"/>
      <c r="E452" s="43" t="n"/>
    </row>
    <row r="453">
      <c r="D453" s="26" t="n"/>
      <c r="E453" s="43" t="n"/>
    </row>
    <row r="454">
      <c r="D454" s="26" t="n"/>
      <c r="E454" s="43" t="n"/>
    </row>
    <row r="455">
      <c r="D455" s="26" t="n"/>
      <c r="E455" s="43" t="n"/>
    </row>
    <row r="456">
      <c r="D456" s="26" t="n"/>
      <c r="E456" s="43" t="n"/>
    </row>
    <row r="457">
      <c r="D457" s="26" t="n"/>
      <c r="E457" s="43" t="n"/>
    </row>
    <row r="458">
      <c r="D458" s="26" t="n"/>
      <c r="E458" s="43" t="n"/>
    </row>
    <row r="459">
      <c r="D459" s="26" t="n"/>
      <c r="E459" s="43" t="n"/>
    </row>
    <row r="460">
      <c r="D460" s="26" t="n"/>
      <c r="E460" s="43" t="n"/>
    </row>
    <row r="461">
      <c r="D461" s="26" t="n"/>
      <c r="E461" s="43" t="n"/>
    </row>
    <row r="462">
      <c r="D462" s="26" t="n"/>
      <c r="E462" s="43" t="n"/>
    </row>
    <row r="463">
      <c r="D463" s="26" t="n"/>
      <c r="E463" s="43" t="n"/>
    </row>
    <row r="464">
      <c r="D464" s="26" t="n"/>
      <c r="E464" s="43" t="n"/>
    </row>
    <row r="465">
      <c r="D465" s="26" t="n"/>
      <c r="E465" s="43" t="n"/>
    </row>
    <row r="466">
      <c r="D466" s="26" t="n"/>
      <c r="E466" s="43" t="n"/>
    </row>
    <row r="467">
      <c r="D467" s="26" t="n"/>
      <c r="E467" s="43" t="n"/>
    </row>
    <row r="468">
      <c r="D468" s="26" t="n"/>
      <c r="E468" s="43" t="n"/>
    </row>
    <row r="469">
      <c r="D469" s="26" t="n"/>
      <c r="E469" s="43" t="n"/>
    </row>
    <row r="470">
      <c r="D470" s="26" t="n"/>
      <c r="E470" s="43" t="n"/>
    </row>
    <row r="471">
      <c r="D471" s="26" t="n"/>
      <c r="E471" s="43" t="n"/>
    </row>
    <row r="472">
      <c r="D472" s="26" t="n"/>
      <c r="E472" s="43" t="n"/>
    </row>
    <row r="473">
      <c r="D473" s="26" t="n"/>
      <c r="E473" s="43" t="n"/>
    </row>
    <row r="474">
      <c r="D474" s="26" t="n"/>
      <c r="E474" s="43" t="n"/>
    </row>
    <row r="475">
      <c r="D475" s="26" t="n"/>
      <c r="E475" s="43" t="n"/>
    </row>
    <row r="476">
      <c r="D476" s="26" t="n"/>
      <c r="E476" s="43" t="n"/>
    </row>
    <row r="477">
      <c r="D477" s="26" t="n"/>
      <c r="E477" s="43" t="n"/>
    </row>
    <row r="478">
      <c r="D478" s="26" t="n"/>
      <c r="E478" s="43" t="n"/>
    </row>
    <row r="479">
      <c r="D479" s="26" t="n"/>
      <c r="E479" s="43" t="n"/>
    </row>
    <row r="480">
      <c r="D480" s="26" t="n"/>
      <c r="E480" s="43" t="n"/>
    </row>
    <row r="481">
      <c r="D481" s="26" t="n"/>
      <c r="E481" s="43" t="n"/>
    </row>
    <row r="482">
      <c r="D482" s="26" t="n"/>
      <c r="E482" s="43" t="n"/>
    </row>
    <row r="483">
      <c r="D483" s="26" t="n"/>
      <c r="E483" s="43" t="n"/>
    </row>
    <row r="484">
      <c r="D484" s="26" t="n"/>
      <c r="E484" s="43" t="n"/>
    </row>
    <row r="485">
      <c r="D485" s="26" t="n"/>
      <c r="E485" s="43" t="n"/>
    </row>
    <row r="486">
      <c r="D486" s="26" t="n"/>
      <c r="E486" s="43" t="n"/>
    </row>
    <row r="487">
      <c r="D487" s="26" t="n"/>
      <c r="E487" s="43" t="n"/>
    </row>
    <row r="488">
      <c r="D488" s="26" t="n"/>
      <c r="E488" s="43" t="n"/>
    </row>
    <row r="489">
      <c r="D489" s="26" t="n"/>
      <c r="E489" s="43" t="n"/>
    </row>
  </sheetData>
  <mergeCells count="31">
    <mergeCell ref="B2:G2"/>
    <mergeCell ref="AX2:BC2"/>
    <mergeCell ref="H2:J2"/>
    <mergeCell ref="P16:R16"/>
    <mergeCell ref="L1:N1"/>
    <mergeCell ref="T1:V1"/>
    <mergeCell ref="V36:AA36"/>
    <mergeCell ref="AB43:AB44"/>
    <mergeCell ref="H3:J3"/>
    <mergeCell ref="L6:N6"/>
    <mergeCell ref="S6:S7"/>
    <mergeCell ref="N25:Q25"/>
    <mergeCell ref="T6:V6"/>
    <mergeCell ref="U43:U44"/>
    <mergeCell ref="AK2:AP2"/>
    <mergeCell ref="B4:D4"/>
    <mergeCell ref="BL2:BQ2"/>
    <mergeCell ref="E3:G3"/>
    <mergeCell ref="BD2:BG2"/>
    <mergeCell ref="BH2:BK2"/>
    <mergeCell ref="L16:N16"/>
    <mergeCell ref="B3:D3"/>
    <mergeCell ref="AH2:AI2"/>
    <mergeCell ref="P1:R1"/>
    <mergeCell ref="BR2:BW2"/>
    <mergeCell ref="L19:N19"/>
    <mergeCell ref="H4:J4"/>
    <mergeCell ref="E4:G4"/>
    <mergeCell ref="AQ2:AW2"/>
    <mergeCell ref="O6:O7"/>
    <mergeCell ref="P6:R6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2.xml><?xml version="1.0" encoding="utf-8"?>
<worksheet xmlns="http://schemas.openxmlformats.org/spreadsheetml/2006/main">
  <sheetPr>
    <tabColor rgb="FF2E75B6"/>
    <outlinePr summaryBelow="1" summaryRight="1"/>
    <pageSetUpPr/>
  </sheetPr>
  <dimension ref="A1:V364"/>
  <sheetViews>
    <sheetView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D4" sqref="D4"/>
    </sheetView>
  </sheetViews>
  <sheetFormatPr baseColWidth="8" defaultColWidth="8.5546875" defaultRowHeight="14.4"/>
  <cols>
    <col width="13" customWidth="1" min="1" max="1"/>
    <col width="15" customWidth="1" style="223" min="2" max="21"/>
    <col width="40" customWidth="1" min="22" max="22"/>
  </cols>
  <sheetData>
    <row r="1" ht="24" customHeight="1">
      <c r="A1" s="225" t="inlineStr">
        <is>
          <t>CONTROLE DE PRODUÇÃO — EJ — ESTRUTURA METÁLICA   |   Lance aqui a quantidade executada no dia. O CONTROLE PRODUÇÃO POR EMPRESAS é consolidado automaticamente.</t>
        </is>
      </c>
    </row>
    <row r="2" ht="42.75" customHeight="1">
      <c r="A2" s="72" t="inlineStr">
        <is>
          <t>FRENTE</t>
        </is>
      </c>
      <c r="B2" s="226" t="inlineStr">
        <is>
          <t>GALPÃO F1 – COBERTURA</t>
        </is>
      </c>
      <c r="D2" s="285" t="n"/>
      <c r="E2" s="73" t="inlineStr">
        <is>
          <t>GALPÃO F1 – FECHAMENTO LATERAL</t>
        </is>
      </c>
      <c r="F2" s="226" t="inlineStr">
        <is>
          <t>GALPÃO F1 – MARQUISE</t>
        </is>
      </c>
      <c r="I2" s="285" t="n"/>
      <c r="J2" s="226" t="inlineStr">
        <is>
          <t>ECLUSA</t>
        </is>
      </c>
      <c r="K2" s="285" t="n"/>
      <c r="L2" s="226" t="inlineStr">
        <is>
          <t>PORTARIA</t>
        </is>
      </c>
      <c r="M2" s="285" t="n"/>
      <c r="N2" s="73" t="inlineStr">
        <is>
          <t>REFEITÓRIO</t>
        </is>
      </c>
      <c r="O2" s="73" t="inlineStr">
        <is>
          <t>VESTIÁRIO</t>
        </is>
      </c>
      <c r="P2" s="226" t="inlineStr">
        <is>
          <t>COB. PEDESTRES / ESTAC. ÔNIBUS</t>
        </is>
      </c>
      <c r="R2" s="285" t="n"/>
      <c r="S2" s="226" t="inlineStr">
        <is>
          <t>COB. PRAÇA / ÁREA DE VIVÊNCIA</t>
        </is>
      </c>
      <c r="U2" s="285" t="n"/>
      <c r="V2" s="73" t="inlineStr">
        <is>
          <t>EVIDÊNCIA</t>
        </is>
      </c>
    </row>
    <row r="3" ht="28.5" customHeight="1">
      <c r="A3" s="72" t="inlineStr">
        <is>
          <t>ID CRONOGRAMA</t>
        </is>
      </c>
      <c r="B3" s="74" t="inlineStr">
        <is>
          <t>PREMONTAGEM</t>
        </is>
      </c>
      <c r="C3" s="74" t="inlineStr">
        <is>
          <t>IÇAMENTO JOIST</t>
        </is>
      </c>
      <c r="D3" s="74" t="inlineStr">
        <is>
          <t>VIGAS</t>
        </is>
      </c>
      <c r="E3" s="74" t="inlineStr">
        <is>
          <t>FECHAMENTO LATERAL</t>
        </is>
      </c>
      <c r="F3" s="74" t="inlineStr">
        <is>
          <t>ID 25</t>
        </is>
      </c>
      <c r="G3" s="74" t="inlineStr">
        <is>
          <t>ID 26</t>
        </is>
      </c>
      <c r="H3" s="74" t="inlineStr">
        <is>
          <t>ID 27</t>
        </is>
      </c>
      <c r="I3" s="74" t="inlineStr">
        <is>
          <t>ID 30</t>
        </is>
      </c>
      <c r="J3" s="74" t="inlineStr">
        <is>
          <t>ID 39</t>
        </is>
      </c>
      <c r="K3" s="74" t="inlineStr">
        <is>
          <t>ID 45</t>
        </is>
      </c>
      <c r="L3" s="74" t="inlineStr">
        <is>
          <t>ID 53</t>
        </is>
      </c>
      <c r="M3" s="74" t="inlineStr">
        <is>
          <t>ID 56</t>
        </is>
      </c>
      <c r="N3" s="74" t="inlineStr">
        <is>
          <t>ID 65</t>
        </is>
      </c>
      <c r="O3" s="74" t="inlineStr">
        <is>
          <t>ID 75</t>
        </is>
      </c>
      <c r="P3" s="74" t="inlineStr">
        <is>
          <t>ID 86</t>
        </is>
      </c>
      <c r="Q3" s="74" t="inlineStr">
        <is>
          <t>ID 87</t>
        </is>
      </c>
      <c r="R3" s="74" t="inlineStr">
        <is>
          <t>ID 90</t>
        </is>
      </c>
      <c r="S3" s="74" t="inlineStr">
        <is>
          <t>ID 98</t>
        </is>
      </c>
      <c r="T3" s="74" t="inlineStr">
        <is>
          <t>ID 99</t>
        </is>
      </c>
      <c r="U3" s="74" t="inlineStr">
        <is>
          <t>ID 102</t>
        </is>
      </c>
      <c r="V3" s="74" t="n"/>
    </row>
    <row r="4">
      <c r="A4" s="72" t="inlineStr">
        <is>
          <t>QTD ESCOPO</t>
        </is>
      </c>
      <c r="B4" s="75">
        <f>IF('ESCOPO POR EMPRESA'!E5="","",'ESCOPO POR EMPRESA'!E5)</f>
        <v/>
      </c>
      <c r="C4" s="75">
        <f>IF('ESCOPO POR EMPRESA'!E6="","",'ESCOPO POR EMPRESA'!E6)</f>
        <v/>
      </c>
      <c r="D4" s="75">
        <f>IF('ESCOPO POR EMPRESA'!E7="","",'ESCOPO POR EMPRESA'!E7)</f>
        <v/>
      </c>
      <c r="E4" s="75">
        <f>IF('ESCOPO POR EMPRESA'!E12="","",'ESCOPO POR EMPRESA'!E12)</f>
        <v/>
      </c>
      <c r="F4" s="75">
        <f>IF('ESCOPO POR EMPRESA'!E14="","",'ESCOPO POR EMPRESA'!E14)</f>
        <v/>
      </c>
      <c r="G4" s="75">
        <f>IF('ESCOPO POR EMPRESA'!E15="","",'ESCOPO POR EMPRESA'!E15)</f>
        <v/>
      </c>
      <c r="H4" s="75">
        <f>IF('ESCOPO POR EMPRESA'!E16="","",'ESCOPO POR EMPRESA'!E16)</f>
        <v/>
      </c>
      <c r="I4" s="75">
        <f>IF('ESCOPO POR EMPRESA'!E19="","",'ESCOPO POR EMPRESA'!E19)</f>
        <v/>
      </c>
      <c r="J4" s="75">
        <f>IF('ESCOPO POR EMPRESA'!E20="","",'ESCOPO POR EMPRESA'!E20)</f>
        <v/>
      </c>
      <c r="K4" s="75">
        <f>IF('ESCOPO POR EMPRESA'!E25="","",'ESCOPO POR EMPRESA'!E25)</f>
        <v/>
      </c>
      <c r="L4" s="75">
        <f>IF('ESCOPO POR EMPRESA'!E27="","",'ESCOPO POR EMPRESA'!E27)</f>
        <v/>
      </c>
      <c r="M4" s="75">
        <f>IF('ESCOPO POR EMPRESA'!E30="","",'ESCOPO POR EMPRESA'!E30)</f>
        <v/>
      </c>
      <c r="N4" s="75">
        <f>IF('ESCOPO POR EMPRESA'!E33="","",'ESCOPO POR EMPRESA'!E33)</f>
        <v/>
      </c>
      <c r="O4" s="75">
        <f>IF('ESCOPO POR EMPRESA'!E37="","",'ESCOPO POR EMPRESA'!E37)</f>
        <v/>
      </c>
      <c r="P4" s="75">
        <f>IF('ESCOPO POR EMPRESA'!E41="","",'ESCOPO POR EMPRESA'!E41)</f>
        <v/>
      </c>
      <c r="Q4" s="75">
        <f>IF('ESCOPO POR EMPRESA'!E42="","",'ESCOPO POR EMPRESA'!E42)</f>
        <v/>
      </c>
      <c r="R4" s="75">
        <f>IF('ESCOPO POR EMPRESA'!E45="","",'ESCOPO POR EMPRESA'!E45)</f>
        <v/>
      </c>
      <c r="S4" s="75">
        <f>IF('ESCOPO POR EMPRESA'!E47="","",'ESCOPO POR EMPRESA'!E47)</f>
        <v/>
      </c>
      <c r="T4" s="75">
        <f>IF('ESCOPO POR EMPRESA'!E48="","",'ESCOPO POR EMPRESA'!E48)</f>
        <v/>
      </c>
      <c r="U4" s="75">
        <f>IF('ESCOPO POR EMPRESA'!E51="","",'ESCOPO POR EMPRESA'!E51)</f>
        <v/>
      </c>
      <c r="V4" s="74" t="n"/>
    </row>
    <row r="5">
      <c r="A5" s="72" t="inlineStr">
        <is>
          <t>REALIZADO ACUM.</t>
        </is>
      </c>
      <c r="B5" s="75">
        <f>SUM(B8:B364)</f>
        <v/>
      </c>
      <c r="C5" s="75">
        <f>SUM(C8:C364)</f>
        <v/>
      </c>
      <c r="D5" s="75">
        <f>SUM(D8:D364)</f>
        <v/>
      </c>
      <c r="E5" s="75">
        <f>SUM(E8:E364)</f>
        <v/>
      </c>
      <c r="F5" s="75">
        <f>SUM(F8:F364)</f>
        <v/>
      </c>
      <c r="G5" s="75">
        <f>SUM(G8:G364)</f>
        <v/>
      </c>
      <c r="H5" s="75">
        <f>SUM(H8:H364)</f>
        <v/>
      </c>
      <c r="I5" s="75">
        <f>SUM(I8:I364)</f>
        <v/>
      </c>
      <c r="J5" s="75">
        <f>SUM(J8:J364)</f>
        <v/>
      </c>
      <c r="K5" s="75">
        <f>SUM(K8:K364)</f>
        <v/>
      </c>
      <c r="L5" s="75">
        <f>SUM(L8:L364)</f>
        <v/>
      </c>
      <c r="M5" s="75">
        <f>SUM(M8:M364)</f>
        <v/>
      </c>
      <c r="N5" s="75">
        <f>SUM(N8:N364)</f>
        <v/>
      </c>
      <c r="O5" s="75">
        <f>SUM(O8:O364)</f>
        <v/>
      </c>
      <c r="P5" s="75">
        <f>SUM(P8:P364)</f>
        <v/>
      </c>
      <c r="Q5" s="75">
        <f>SUM(Q8:Q364)</f>
        <v/>
      </c>
      <c r="R5" s="75">
        <f>SUM(R8:R364)</f>
        <v/>
      </c>
      <c r="S5" s="75">
        <f>SUM(S8:S364)</f>
        <v/>
      </c>
      <c r="T5" s="75">
        <f>SUM(T8:T364)</f>
        <v/>
      </c>
      <c r="U5" s="75">
        <f>SUM(U8:U364)</f>
        <v/>
      </c>
      <c r="V5" s="74" t="n"/>
    </row>
    <row r="6">
      <c r="A6" s="72" t="inlineStr">
        <is>
          <t>% EXECUTADO</t>
        </is>
      </c>
      <c r="B6" s="286">
        <f>IFERROR(B5/B4,"")</f>
        <v/>
      </c>
      <c r="C6" s="286">
        <f>IFERROR(C5/C4,"")</f>
        <v/>
      </c>
      <c r="D6" s="286">
        <f>IFERROR(D5/D4,"")</f>
        <v/>
      </c>
      <c r="E6" s="286">
        <f>IFERROR(E5/E4,"")</f>
        <v/>
      </c>
      <c r="F6" s="286">
        <f>IFERROR(F5/F4,"")</f>
        <v/>
      </c>
      <c r="G6" s="286">
        <f>IFERROR(G5/G4,"")</f>
        <v/>
      </c>
      <c r="H6" s="286">
        <f>IFERROR(H5/H4,"")</f>
        <v/>
      </c>
      <c r="I6" s="286">
        <f>IFERROR(I5/I4,"")</f>
        <v/>
      </c>
      <c r="J6" s="286">
        <f>IFERROR(J5/J4,"")</f>
        <v/>
      </c>
      <c r="K6" s="286">
        <f>IFERROR(K5/K4,"")</f>
        <v/>
      </c>
      <c r="L6" s="286">
        <f>IFERROR(L5/L4,"")</f>
        <v/>
      </c>
      <c r="M6" s="286">
        <f>IFERROR(M5/M4,"")</f>
        <v/>
      </c>
      <c r="N6" s="286">
        <f>IFERROR(N5/N4,"")</f>
        <v/>
      </c>
      <c r="O6" s="286">
        <f>IFERROR(O5/O4,"")</f>
        <v/>
      </c>
      <c r="P6" s="286">
        <f>IFERROR(P5/P4,"")</f>
        <v/>
      </c>
      <c r="Q6" s="286">
        <f>IFERROR(Q5/Q4,"")</f>
        <v/>
      </c>
      <c r="R6" s="286">
        <f>IFERROR(R5/R4,"")</f>
        <v/>
      </c>
      <c r="S6" s="286">
        <f>IFERROR(S5/S4,"")</f>
        <v/>
      </c>
      <c r="T6" s="286">
        <f>IFERROR(T5/T4,"")</f>
        <v/>
      </c>
      <c r="U6" s="286">
        <f>IFERROR(U5/U4,"")</f>
        <v/>
      </c>
      <c r="V6" s="74" t="n"/>
    </row>
    <row r="7" ht="51.75" customHeight="1">
      <c r="A7" s="72" t="inlineStr">
        <is>
          <t>DATA ↓   SERVIÇO →</t>
        </is>
      </c>
      <c r="B7" s="255" t="inlineStr">
        <is>
          <t>PREMONTAGEM</t>
        </is>
      </c>
      <c r="C7" s="255" t="inlineStr">
        <is>
          <t>IÇAMENTO JOIST</t>
        </is>
      </c>
      <c r="D7" s="255" t="inlineStr">
        <is>
          <t>VIGAS</t>
        </is>
      </c>
      <c r="E7" s="255" t="inlineStr">
        <is>
          <t>FECH. LATERAL – ESTRUTURA</t>
        </is>
      </c>
      <c r="F7" s="255" t="inlineStr">
        <is>
          <t>MARQUISE – VIGAS PRINCIPAIS</t>
        </is>
      </c>
      <c r="G7" s="255" t="inlineStr">
        <is>
          <t>MARQUISE – PRÉ-MONT. TERÇAS</t>
        </is>
      </c>
      <c r="H7" s="255" t="inlineStr">
        <is>
          <t>MARQUISE – TERÇAS</t>
        </is>
      </c>
      <c r="I7" s="255" t="inlineStr">
        <is>
          <t>MARQUISE – TESTEIRA</t>
        </is>
      </c>
      <c r="J7" s="255" t="inlineStr">
        <is>
          <t>ECLUSA – VIGAS E JOISTS</t>
        </is>
      </c>
      <c r="K7" s="255" t="inlineStr">
        <is>
          <t>ECLUSA – PLATIBANDA – ESTRUTURA</t>
        </is>
      </c>
      <c r="L7" s="255" t="inlineStr">
        <is>
          <t>PORTARIA – VIGAS E TERÇAS</t>
        </is>
      </c>
      <c r="M7" s="255" t="inlineStr">
        <is>
          <t>PORTARIA – PLATIBANDA H=1,90m</t>
        </is>
      </c>
      <c r="N7" s="255" t="inlineStr">
        <is>
          <t>REFEITÓRIO – VIGAS E TERÇAS</t>
        </is>
      </c>
      <c r="O7" s="255" t="inlineStr">
        <is>
          <t>VESTIÁRIO – VIGAS E TERÇAS</t>
        </is>
      </c>
      <c r="P7" s="255" t="inlineStr">
        <is>
          <t>COB. PEDESTRES – PILARES</t>
        </is>
      </c>
      <c r="Q7" s="255" t="inlineStr">
        <is>
          <t>COB. PEDESTRES – VIGAS E TERÇAS</t>
        </is>
      </c>
      <c r="R7" s="255" t="inlineStr">
        <is>
          <t>COB. PEDESTRES – TESTEIRA</t>
        </is>
      </c>
      <c r="S7" s="255" t="inlineStr">
        <is>
          <t>COB. PRAÇA VIVÊNCIA – PILARES</t>
        </is>
      </c>
      <c r="T7" s="255" t="inlineStr">
        <is>
          <t>COB. PRAÇA VIVÊNCIA – VIGAS E TERÇAS</t>
        </is>
      </c>
      <c r="U7" s="255" t="inlineStr">
        <is>
          <t>COB. PRAÇA VIVÊNCIA – TESTEIRA</t>
        </is>
      </c>
      <c r="V7" s="255" t="inlineStr">
        <is>
          <t>OBSERVAÇÃO / Nº RDO / FOTO</t>
        </is>
      </c>
    </row>
    <row r="8">
      <c r="A8" s="282">
        <f>'CONTROLE PRODUÇÃO POR EMPRESAS'!A6</f>
        <v/>
      </c>
      <c r="C8" s="223" t="n">
        <v>1</v>
      </c>
      <c r="D8" s="223" t="n">
        <v>4</v>
      </c>
    </row>
    <row r="9">
      <c r="A9" s="282">
        <f>'CONTROLE PRODUÇÃO POR EMPRESAS'!A7</f>
        <v/>
      </c>
      <c r="B9" s="223" t="inlineStr">
        <is>
          <t>INTEGRAÇÃO</t>
        </is>
      </c>
      <c r="C9" s="223" t="inlineStr">
        <is>
          <t>INTEGRAÇÃO</t>
        </is>
      </c>
      <c r="D9" s="223" t="inlineStr">
        <is>
          <t>INTEGRAÇÃO</t>
        </is>
      </c>
    </row>
    <row r="10">
      <c r="A10" s="282">
        <f>'CONTROLE PRODUÇÃO POR EMPRESAS'!A8</f>
        <v/>
      </c>
      <c r="B10" s="223" t="n">
        <v>3</v>
      </c>
    </row>
    <row r="11">
      <c r="A11" s="282">
        <f>'CONTROLE PRODUÇÃO POR EMPRESAS'!A9</f>
        <v/>
      </c>
      <c r="B11" s="223" t="n">
        <v>2</v>
      </c>
    </row>
    <row r="12">
      <c r="A12" s="282">
        <f>'CONTROLE PRODUÇÃO POR EMPRESAS'!A10</f>
        <v/>
      </c>
      <c r="B12" s="223" t="n">
        <v>3</v>
      </c>
    </row>
    <row r="13">
      <c r="A13" s="282">
        <f>'CONTROLE PRODUÇÃO POR EMPRESAS'!A11</f>
        <v/>
      </c>
      <c r="B13" s="223" t="n">
        <v>3</v>
      </c>
    </row>
    <row r="14">
      <c r="A14" s="282">
        <f>'CONTROLE PRODUÇÃO POR EMPRESAS'!A12</f>
        <v/>
      </c>
    </row>
    <row r="15">
      <c r="A15" s="282">
        <f>'CONTROLE PRODUÇÃO POR EMPRESAS'!A13</f>
        <v/>
      </c>
    </row>
    <row r="16">
      <c r="A16" s="282">
        <f>'CONTROLE PRODUÇÃO POR EMPRESAS'!A14</f>
        <v/>
      </c>
      <c r="B16" s="223" t="n">
        <v>0</v>
      </c>
      <c r="C16" s="223" t="n">
        <v>2</v>
      </c>
      <c r="D16" s="223" t="n">
        <v>4</v>
      </c>
    </row>
    <row r="17">
      <c r="A17" s="282">
        <f>'CONTROLE PRODUÇÃO POR EMPRESAS'!A15</f>
        <v/>
      </c>
      <c r="B17" s="223" t="n">
        <v>2</v>
      </c>
      <c r="C17" s="223" t="n">
        <v>4</v>
      </c>
      <c r="D17" s="223" t="n">
        <v>2</v>
      </c>
    </row>
    <row r="18">
      <c r="A18" s="282">
        <f>'CONTROLE PRODUÇÃO POR EMPRESAS'!A16</f>
        <v/>
      </c>
      <c r="B18" s="223" t="n">
        <v>3</v>
      </c>
      <c r="C18" s="223" t="n">
        <v>4</v>
      </c>
    </row>
    <row r="19">
      <c r="A19" s="282">
        <f>'CONTROLE PRODUÇÃO POR EMPRESAS'!A17</f>
        <v/>
      </c>
      <c r="B19" s="223" t="n">
        <v>3</v>
      </c>
      <c r="C19" s="223" t="n">
        <v>2</v>
      </c>
    </row>
    <row r="20">
      <c r="A20" s="282">
        <f>'CONTROLE PRODUÇÃO POR EMPRESAS'!A18</f>
        <v/>
      </c>
      <c r="B20" s="223" t="n">
        <v>3</v>
      </c>
      <c r="C20" s="223" t="n">
        <v>1</v>
      </c>
      <c r="D20" s="223" t="n">
        <v>5</v>
      </c>
    </row>
    <row r="21">
      <c r="A21" s="282">
        <f>'CONTROLE PRODUÇÃO POR EMPRESAS'!A19</f>
        <v/>
      </c>
    </row>
    <row r="22">
      <c r="A22" s="282">
        <f>'CONTROLE PRODUÇÃO POR EMPRESAS'!A20</f>
        <v/>
      </c>
      <c r="B22" s="223" t="n">
        <v>3</v>
      </c>
      <c r="C22" s="223" t="n">
        <v>4</v>
      </c>
    </row>
    <row r="23">
      <c r="A23" s="282">
        <f>'CONTROLE PRODUÇÃO POR EMPRESAS'!A21</f>
        <v/>
      </c>
      <c r="B23" s="223" t="n">
        <v>1</v>
      </c>
      <c r="C23" s="223" t="n">
        <v>0</v>
      </c>
    </row>
    <row r="24">
      <c r="A24" s="282">
        <f>'CONTROLE PRODUÇÃO POR EMPRESAS'!A22</f>
        <v/>
      </c>
      <c r="C24" s="223" t="n">
        <v>4</v>
      </c>
    </row>
    <row r="25">
      <c r="A25" s="282">
        <f>'CONTROLE PRODUÇÃO POR EMPRESAS'!A23</f>
        <v/>
      </c>
      <c r="C25" s="223" t="n">
        <v>0</v>
      </c>
      <c r="D25" s="223" t="n">
        <v>6</v>
      </c>
    </row>
    <row r="26">
      <c r="A26" s="282">
        <f>'CONTROLE PRODUÇÃO POR EMPRESAS'!A24</f>
        <v/>
      </c>
      <c r="C26" s="223" t="n">
        <v>4</v>
      </c>
    </row>
    <row r="27">
      <c r="A27" s="282">
        <f>'CONTROLE PRODUÇÃO POR EMPRESAS'!A25</f>
        <v/>
      </c>
      <c r="C27" s="223" t="n">
        <v>6</v>
      </c>
    </row>
    <row r="28">
      <c r="A28" s="282">
        <f>'CONTROLE PRODUÇÃO POR EMPRESAS'!A26</f>
        <v/>
      </c>
    </row>
    <row r="29">
      <c r="A29" s="282">
        <f>'CONTROLE PRODUÇÃO POR EMPRESAS'!A27</f>
        <v/>
      </c>
    </row>
    <row r="30">
      <c r="A30" s="282">
        <f>'CONTROLE PRODUÇÃO POR EMPRESAS'!A28</f>
        <v/>
      </c>
      <c r="B30" s="223" t="n">
        <v>0</v>
      </c>
      <c r="C30" s="223" t="n">
        <v>0</v>
      </c>
      <c r="D30" s="223" t="n">
        <v>10</v>
      </c>
    </row>
    <row r="31">
      <c r="A31" s="282">
        <f>'CONTROLE PRODUÇÃO POR EMPRESAS'!A29</f>
        <v/>
      </c>
      <c r="C31" s="223" t="n">
        <v>8</v>
      </c>
    </row>
    <row r="32">
      <c r="A32" s="282">
        <f>'CONTROLE PRODUÇÃO POR EMPRESAS'!A30</f>
        <v/>
      </c>
      <c r="C32" s="223" t="n">
        <v>14</v>
      </c>
    </row>
    <row r="33">
      <c r="A33" s="282">
        <f>'CONTROLE PRODUÇÃO POR EMPRESAS'!A31</f>
        <v/>
      </c>
      <c r="C33" s="223" t="n">
        <v>10</v>
      </c>
      <c r="D33" s="223" t="n">
        <v>4</v>
      </c>
    </row>
    <row r="34">
      <c r="A34" s="282">
        <f>'CONTROLE PRODUÇÃO POR EMPRESAS'!A32</f>
        <v/>
      </c>
      <c r="D34" s="223" t="n">
        <v>5</v>
      </c>
    </row>
    <row r="35">
      <c r="A35" s="282">
        <f>'CONTROLE PRODUÇÃO POR EMPRESAS'!A33</f>
        <v/>
      </c>
    </row>
    <row r="36">
      <c r="A36" s="282">
        <f>'CONTROLE PRODUÇÃO POR EMPRESAS'!A34</f>
        <v/>
      </c>
      <c r="B36" s="223" t="n">
        <v>0</v>
      </c>
    </row>
    <row r="37">
      <c r="A37" s="282">
        <f>'CONTROLE PRODUÇÃO POR EMPRESAS'!A35</f>
        <v/>
      </c>
      <c r="B37" s="223" t="n">
        <v>2</v>
      </c>
    </row>
    <row r="38">
      <c r="A38" s="282">
        <f>'CONTROLE PRODUÇÃO POR EMPRESAS'!A36</f>
        <v/>
      </c>
      <c r="B38" s="223" t="n">
        <v>2</v>
      </c>
    </row>
    <row r="39">
      <c r="A39" s="282">
        <f>'CONTROLE PRODUÇÃO POR EMPRESAS'!A37</f>
        <v/>
      </c>
      <c r="B39" s="223" t="n">
        <v>4</v>
      </c>
    </row>
    <row r="40">
      <c r="A40" s="282">
        <f>'CONTROLE PRODUÇÃO POR EMPRESAS'!A38</f>
        <v/>
      </c>
      <c r="B40" s="223" t="n">
        <v>3</v>
      </c>
    </row>
    <row r="41">
      <c r="A41" s="282">
        <f>'CONTROLE PRODUÇÃO POR EMPRESAS'!A39</f>
        <v/>
      </c>
      <c r="B41" s="223" t="n">
        <v>4</v>
      </c>
    </row>
    <row r="42">
      <c r="A42" s="282">
        <f>'CONTROLE PRODUÇÃO POR EMPRESAS'!A40</f>
        <v/>
      </c>
    </row>
    <row r="43">
      <c r="A43" s="282">
        <f>'CONTROLE PRODUÇÃO POR EMPRESAS'!A41</f>
        <v/>
      </c>
      <c r="B43" s="223" t="n">
        <v>0</v>
      </c>
      <c r="C43" s="223" t="n">
        <v>8</v>
      </c>
    </row>
    <row r="44">
      <c r="A44" s="282">
        <f>'CONTROLE PRODUÇÃO POR EMPRESAS'!A42</f>
        <v/>
      </c>
      <c r="B44" s="223" t="n">
        <v>3</v>
      </c>
      <c r="C44" s="223" t="n">
        <v>6</v>
      </c>
      <c r="D44" s="223" t="n">
        <v>2</v>
      </c>
    </row>
    <row r="45">
      <c r="A45" s="282">
        <f>'CONTROLE PRODUÇÃO POR EMPRESAS'!A43</f>
        <v/>
      </c>
      <c r="B45" s="223" t="n">
        <v>3</v>
      </c>
      <c r="C45" s="223" t="n">
        <v>5</v>
      </c>
      <c r="D45" s="223" t="n">
        <v>0</v>
      </c>
    </row>
    <row r="46">
      <c r="A46" s="282">
        <f>'CONTROLE PRODUÇÃO POR EMPRESAS'!A44</f>
        <v/>
      </c>
      <c r="B46" s="223" t="n">
        <v>4</v>
      </c>
      <c r="C46" s="223" t="n">
        <v>0</v>
      </c>
      <c r="D46" s="223" t="n">
        <v>0</v>
      </c>
    </row>
    <row r="47">
      <c r="A47" s="282">
        <f>'CONTROLE PRODUÇÃO POR EMPRESAS'!A45</f>
        <v/>
      </c>
      <c r="B47" s="223" t="n">
        <v>6</v>
      </c>
      <c r="C47" s="223" t="n">
        <v>0</v>
      </c>
      <c r="D47" s="223" t="n">
        <v>5</v>
      </c>
    </row>
    <row r="48">
      <c r="A48" s="282">
        <f>'CONTROLE PRODUÇÃO POR EMPRESAS'!A46</f>
        <v/>
      </c>
      <c r="B48" s="223" t="n">
        <v>3</v>
      </c>
      <c r="C48" s="223" t="n">
        <v>0</v>
      </c>
      <c r="D48" s="223" t="n">
        <v>5</v>
      </c>
    </row>
    <row r="49">
      <c r="A49" s="282">
        <f>'CONTROLE PRODUÇÃO POR EMPRESAS'!A47</f>
        <v/>
      </c>
    </row>
    <row r="50">
      <c r="A50" s="282">
        <f>'CONTROLE PRODUÇÃO POR EMPRESAS'!A48</f>
        <v/>
      </c>
      <c r="B50" s="223" t="n">
        <v>3</v>
      </c>
      <c r="C50" s="223" t="n">
        <v>6</v>
      </c>
      <c r="D50" s="223" t="n">
        <v>2</v>
      </c>
    </row>
    <row r="51">
      <c r="A51" s="282">
        <f>'CONTROLE PRODUÇÃO POR EMPRESAS'!A49</f>
        <v/>
      </c>
      <c r="B51" s="223" t="n">
        <v>6</v>
      </c>
      <c r="C51" s="223" t="n">
        <v>14</v>
      </c>
      <c r="D51" s="223" t="n">
        <v>0</v>
      </c>
    </row>
    <row r="52">
      <c r="A52" s="282">
        <f>'CONTROLE PRODUÇÃO POR EMPRESAS'!A50</f>
        <v/>
      </c>
      <c r="B52" s="223" t="n">
        <v>7</v>
      </c>
      <c r="C52" s="223" t="n">
        <v>0</v>
      </c>
      <c r="D52" s="223" t="n">
        <v>0</v>
      </c>
    </row>
    <row r="53">
      <c r="A53" s="282">
        <f>'CONTROLE PRODUÇÃO POR EMPRESAS'!A51</f>
        <v/>
      </c>
      <c r="B53" s="223" t="n">
        <v>5</v>
      </c>
      <c r="C53" s="223" t="n">
        <v>12</v>
      </c>
      <c r="D53" s="223" t="n">
        <v>0</v>
      </c>
    </row>
    <row r="54">
      <c r="A54" s="282">
        <f>'CONTROLE PRODUÇÃO POR EMPRESAS'!A52</f>
        <v/>
      </c>
      <c r="B54" s="223" t="n">
        <v>4</v>
      </c>
      <c r="C54" s="223" t="n">
        <v>0</v>
      </c>
      <c r="D54" s="223" t="n">
        <v>0</v>
      </c>
    </row>
    <row r="55">
      <c r="A55" s="282">
        <f>'CONTROLE PRODUÇÃO POR EMPRESAS'!A53</f>
        <v/>
      </c>
      <c r="B55" s="223" t="n">
        <v>0</v>
      </c>
      <c r="C55" s="223" t="n">
        <v>0</v>
      </c>
      <c r="D55" s="223" t="n">
        <v>0</v>
      </c>
    </row>
    <row r="56">
      <c r="A56" s="282">
        <f>'CONTROLE PRODUÇÃO POR EMPRESAS'!A54</f>
        <v/>
      </c>
    </row>
    <row r="57">
      <c r="A57" s="282">
        <f>'CONTROLE PRODUÇÃO POR EMPRESAS'!A55</f>
        <v/>
      </c>
    </row>
    <row r="58">
      <c r="A58" s="282">
        <f>'CONTROLE PRODUÇÃO POR EMPRESAS'!A56</f>
        <v/>
      </c>
      <c r="B58" s="223" t="n">
        <v>3</v>
      </c>
      <c r="C58" s="223" t="n">
        <v>0</v>
      </c>
      <c r="D58" s="223" t="n">
        <v>0</v>
      </c>
    </row>
    <row r="59">
      <c r="A59" s="282">
        <f>'CONTROLE PRODUÇÃO POR EMPRESAS'!A57</f>
        <v/>
      </c>
      <c r="B59" s="223" t="n">
        <v>5</v>
      </c>
      <c r="C59" s="223" t="n">
        <v>0</v>
      </c>
      <c r="D59" s="223" t="n">
        <v>0</v>
      </c>
    </row>
    <row r="60">
      <c r="A60" s="282">
        <f>'CONTROLE PRODUÇÃO POR EMPRESAS'!A58</f>
        <v/>
      </c>
      <c r="B60" s="223" t="n">
        <v>4</v>
      </c>
      <c r="C60" s="223" t="n">
        <v>0</v>
      </c>
      <c r="D60" s="223" t="n">
        <v>0</v>
      </c>
    </row>
    <row r="61">
      <c r="A61" s="282">
        <f>'CONTROLE PRODUÇÃO POR EMPRESAS'!A59</f>
        <v/>
      </c>
      <c r="B61" s="223" t="n">
        <v>5</v>
      </c>
      <c r="C61" s="223" t="n">
        <v>0</v>
      </c>
      <c r="D61" s="223" t="n">
        <v>0</v>
      </c>
    </row>
    <row r="62">
      <c r="A62" s="282">
        <f>'CONTROLE PRODUÇÃO POR EMPRESAS'!A60</f>
        <v/>
      </c>
      <c r="B62" s="223" t="n">
        <v>2</v>
      </c>
      <c r="C62" s="223" t="n">
        <v>0</v>
      </c>
      <c r="D62" s="223" t="n">
        <v>2</v>
      </c>
    </row>
    <row r="63">
      <c r="A63" s="282">
        <f>'CONTROLE PRODUÇÃO POR EMPRESAS'!A61</f>
        <v/>
      </c>
    </row>
    <row r="64">
      <c r="A64" s="282">
        <f>'CONTROLE PRODUÇÃO POR EMPRESAS'!A62</f>
        <v/>
      </c>
      <c r="B64" s="223" t="n">
        <v>5</v>
      </c>
      <c r="C64" s="223" t="n">
        <v>0</v>
      </c>
      <c r="D64" s="223" t="n">
        <v>0</v>
      </c>
    </row>
    <row r="65">
      <c r="A65" s="282">
        <f>'CONTROLE PRODUÇÃO POR EMPRESAS'!A63</f>
        <v/>
      </c>
      <c r="B65" s="223" t="n">
        <v>3</v>
      </c>
      <c r="C65" s="223" t="n">
        <v>0</v>
      </c>
      <c r="D65" s="223" t="n">
        <v>0</v>
      </c>
    </row>
    <row r="66">
      <c r="A66" s="282">
        <f>'CONTROLE PRODUÇÃO POR EMPRESAS'!A64</f>
        <v/>
      </c>
      <c r="B66" s="223" t="n">
        <v>3</v>
      </c>
      <c r="C66" s="223" t="n">
        <v>8</v>
      </c>
      <c r="D66" s="223" t="n">
        <v>0</v>
      </c>
    </row>
    <row r="67">
      <c r="A67" s="282">
        <f>'CONTROLE PRODUÇÃO POR EMPRESAS'!A65</f>
        <v/>
      </c>
      <c r="B67" s="223" t="n">
        <v>0</v>
      </c>
      <c r="C67" s="223" t="n">
        <v>0</v>
      </c>
      <c r="D67" s="223" t="n">
        <v>0</v>
      </c>
    </row>
    <row r="68">
      <c r="A68" s="282">
        <f>'CONTROLE PRODUÇÃO POR EMPRESAS'!A66</f>
        <v/>
      </c>
      <c r="B68" s="223" t="n">
        <v>0</v>
      </c>
      <c r="C68" s="223" t="n">
        <v>0</v>
      </c>
      <c r="D68" s="223" t="n">
        <v>0</v>
      </c>
    </row>
    <row r="69">
      <c r="A69" s="282">
        <f>'CONTROLE PRODUÇÃO POR EMPRESAS'!A67</f>
        <v/>
      </c>
      <c r="B69" s="223" t="n">
        <v>0</v>
      </c>
      <c r="C69" s="223" t="n">
        <v>0</v>
      </c>
      <c r="D69" s="223" t="n">
        <v>4</v>
      </c>
    </row>
    <row r="70">
      <c r="A70" s="282">
        <f>'CONTROLE PRODUÇÃO POR EMPRESAS'!A68</f>
        <v/>
      </c>
    </row>
    <row r="71">
      <c r="A71" s="282">
        <f>'CONTROLE PRODUÇÃO POR EMPRESAS'!A69</f>
        <v/>
      </c>
      <c r="B71" s="223" t="n">
        <v>2</v>
      </c>
      <c r="C71" s="223" t="n">
        <v>11</v>
      </c>
      <c r="D71" s="223" t="n">
        <v>0</v>
      </c>
    </row>
    <row r="72">
      <c r="A72" s="282">
        <f>'CONTROLE PRODUÇÃO POR EMPRESAS'!A70</f>
        <v/>
      </c>
      <c r="B72" s="223" t="n">
        <v>2</v>
      </c>
      <c r="C72" s="223" t="n">
        <v>9</v>
      </c>
      <c r="D72" s="223" t="n">
        <v>0</v>
      </c>
    </row>
    <row r="73">
      <c r="A73" s="282">
        <f>'CONTROLE PRODUÇÃO POR EMPRESAS'!A71</f>
        <v/>
      </c>
      <c r="B73" s="223" t="n">
        <v>3</v>
      </c>
      <c r="C73" s="223" t="n">
        <v>0</v>
      </c>
      <c r="D73" s="223" t="n">
        <v>0</v>
      </c>
    </row>
    <row r="74">
      <c r="A74" s="282">
        <f>'CONTROLE PRODUÇÃO POR EMPRESAS'!A72</f>
        <v/>
      </c>
      <c r="B74" s="223" t="n">
        <v>3</v>
      </c>
      <c r="C74" s="223" t="n">
        <v>0</v>
      </c>
      <c r="D74" s="223" t="n">
        <v>0</v>
      </c>
    </row>
    <row r="75">
      <c r="A75" s="282">
        <f>'CONTROLE PRODUÇÃO POR EMPRESAS'!A73</f>
        <v/>
      </c>
      <c r="B75" s="223" t="n">
        <v>3</v>
      </c>
      <c r="C75" s="223" t="n">
        <v>0</v>
      </c>
      <c r="D75" s="223" t="n">
        <v>7</v>
      </c>
    </row>
    <row r="76">
      <c r="A76" s="282">
        <f>'CONTROLE PRODUÇÃO POR EMPRESAS'!A74</f>
        <v/>
      </c>
      <c r="B76" s="223" t="n">
        <v>0</v>
      </c>
      <c r="C76" s="223" t="n">
        <v>19</v>
      </c>
      <c r="D76" s="223" t="n">
        <v>0</v>
      </c>
    </row>
    <row r="77">
      <c r="A77" s="282">
        <f>'CONTROLE PRODUÇÃO POR EMPRESAS'!A75</f>
        <v/>
      </c>
    </row>
    <row r="78">
      <c r="A78" s="282">
        <f>'CONTROLE PRODUÇÃO POR EMPRESAS'!A76</f>
        <v/>
      </c>
    </row>
    <row r="79">
      <c r="A79" s="282">
        <f>'CONTROLE PRODUÇÃO POR EMPRESAS'!A77</f>
        <v/>
      </c>
    </row>
    <row r="80">
      <c r="A80" s="282">
        <f>'CONTROLE PRODUÇÃO POR EMPRESAS'!A78</f>
        <v/>
      </c>
    </row>
    <row r="81">
      <c r="A81" s="282">
        <f>'CONTROLE PRODUÇÃO POR EMPRESAS'!A79</f>
        <v/>
      </c>
    </row>
    <row r="82">
      <c r="A82" s="282">
        <f>'CONTROLE PRODUÇÃO POR EMPRESAS'!A80</f>
        <v/>
      </c>
    </row>
    <row r="83">
      <c r="A83" s="282">
        <f>'CONTROLE PRODUÇÃO POR EMPRESAS'!A81</f>
        <v/>
      </c>
    </row>
    <row r="84">
      <c r="A84" s="282">
        <f>'CONTROLE PRODUÇÃO POR EMPRESAS'!A82</f>
        <v/>
      </c>
    </row>
    <row r="85">
      <c r="A85" s="282">
        <f>'CONTROLE PRODUÇÃO POR EMPRESAS'!A83</f>
        <v/>
      </c>
    </row>
    <row r="86">
      <c r="A86" s="282">
        <f>'CONTROLE PRODUÇÃO POR EMPRESAS'!A84</f>
        <v/>
      </c>
    </row>
    <row r="87">
      <c r="A87" s="282">
        <f>'CONTROLE PRODUÇÃO POR EMPRESAS'!A85</f>
        <v/>
      </c>
    </row>
    <row r="88">
      <c r="A88" s="282">
        <f>'CONTROLE PRODUÇÃO POR EMPRESAS'!A86</f>
        <v/>
      </c>
    </row>
    <row r="89">
      <c r="A89" s="282">
        <f>'CONTROLE PRODUÇÃO POR EMPRESAS'!A87</f>
        <v/>
      </c>
    </row>
    <row r="90">
      <c r="A90" s="282">
        <f>'CONTROLE PRODUÇÃO POR EMPRESAS'!A88</f>
        <v/>
      </c>
    </row>
    <row r="91">
      <c r="A91" s="282">
        <f>'CONTROLE PRODUÇÃO POR EMPRESAS'!A89</f>
        <v/>
      </c>
    </row>
    <row r="92">
      <c r="A92" s="282">
        <f>'CONTROLE PRODUÇÃO POR EMPRESAS'!A90</f>
        <v/>
      </c>
    </row>
    <row r="93">
      <c r="A93" s="282">
        <f>'CONTROLE PRODUÇÃO POR EMPRESAS'!A91</f>
        <v/>
      </c>
    </row>
    <row r="94">
      <c r="A94" s="282">
        <f>'CONTROLE PRODUÇÃO POR EMPRESAS'!A92</f>
        <v/>
      </c>
    </row>
    <row r="95">
      <c r="A95" s="282">
        <f>'CONTROLE PRODUÇÃO POR EMPRESAS'!A93</f>
        <v/>
      </c>
    </row>
    <row r="96">
      <c r="A96" s="282">
        <f>'CONTROLE PRODUÇÃO POR EMPRESAS'!A94</f>
        <v/>
      </c>
    </row>
    <row r="97">
      <c r="A97" s="282">
        <f>'CONTROLE PRODUÇÃO POR EMPRESAS'!A95</f>
        <v/>
      </c>
    </row>
    <row r="98">
      <c r="A98" s="282">
        <f>'CONTROLE PRODUÇÃO POR EMPRESAS'!A96</f>
        <v/>
      </c>
    </row>
    <row r="99">
      <c r="A99" s="282">
        <f>'CONTROLE PRODUÇÃO POR EMPRESAS'!A97</f>
        <v/>
      </c>
    </row>
    <row r="100">
      <c r="A100" s="282">
        <f>'CONTROLE PRODUÇÃO POR EMPRESAS'!A98</f>
        <v/>
      </c>
    </row>
    <row r="101">
      <c r="A101" s="282">
        <f>'CONTROLE PRODUÇÃO POR EMPRESAS'!A99</f>
        <v/>
      </c>
    </row>
    <row r="102">
      <c r="A102" s="282">
        <f>'CONTROLE PRODUÇÃO POR EMPRESAS'!A100</f>
        <v/>
      </c>
    </row>
    <row r="103">
      <c r="A103" s="282">
        <f>'CONTROLE PRODUÇÃO POR EMPRESAS'!A101</f>
        <v/>
      </c>
    </row>
    <row r="104">
      <c r="A104" s="282">
        <f>'CONTROLE PRODUÇÃO POR EMPRESAS'!A102</f>
        <v/>
      </c>
    </row>
    <row r="105">
      <c r="A105" s="282">
        <f>'CONTROLE PRODUÇÃO POR EMPRESAS'!A103</f>
        <v/>
      </c>
    </row>
    <row r="106">
      <c r="A106" s="282">
        <f>'CONTROLE PRODUÇÃO POR EMPRESAS'!A104</f>
        <v/>
      </c>
    </row>
    <row r="107">
      <c r="A107" s="282">
        <f>'CONTROLE PRODUÇÃO POR EMPRESAS'!A105</f>
        <v/>
      </c>
    </row>
    <row r="108">
      <c r="A108" s="282">
        <f>'CONTROLE PRODUÇÃO POR EMPRESAS'!A106</f>
        <v/>
      </c>
    </row>
    <row r="109">
      <c r="A109" s="282">
        <f>'CONTROLE PRODUÇÃO POR EMPRESAS'!A107</f>
        <v/>
      </c>
    </row>
    <row r="110">
      <c r="A110" s="282">
        <f>'CONTROLE PRODUÇÃO POR EMPRESAS'!A108</f>
        <v/>
      </c>
    </row>
    <row r="111">
      <c r="A111" s="282">
        <f>'CONTROLE PRODUÇÃO POR EMPRESAS'!A109</f>
        <v/>
      </c>
    </row>
    <row r="112">
      <c r="A112" s="282">
        <f>'CONTROLE PRODUÇÃO POR EMPRESAS'!A110</f>
        <v/>
      </c>
    </row>
    <row r="113">
      <c r="A113" s="282">
        <f>'CONTROLE PRODUÇÃO POR EMPRESAS'!A111</f>
        <v/>
      </c>
    </row>
    <row r="114">
      <c r="A114" s="282">
        <f>'CONTROLE PRODUÇÃO POR EMPRESAS'!A112</f>
        <v/>
      </c>
    </row>
    <row r="115">
      <c r="A115" s="282">
        <f>'CONTROLE PRODUÇÃO POR EMPRESAS'!A113</f>
        <v/>
      </c>
    </row>
    <row r="116">
      <c r="A116" s="282">
        <f>'CONTROLE PRODUÇÃO POR EMPRESAS'!A114</f>
        <v/>
      </c>
    </row>
    <row r="117">
      <c r="A117" s="282">
        <f>'CONTROLE PRODUÇÃO POR EMPRESAS'!A115</f>
        <v/>
      </c>
    </row>
    <row r="118">
      <c r="A118" s="282">
        <f>'CONTROLE PRODUÇÃO POR EMPRESAS'!A116</f>
        <v/>
      </c>
    </row>
    <row r="119">
      <c r="A119" s="282">
        <f>'CONTROLE PRODUÇÃO POR EMPRESAS'!A117</f>
        <v/>
      </c>
    </row>
    <row r="120">
      <c r="A120" s="282">
        <f>'CONTROLE PRODUÇÃO POR EMPRESAS'!A118</f>
        <v/>
      </c>
    </row>
    <row r="121">
      <c r="A121" s="282">
        <f>'CONTROLE PRODUÇÃO POR EMPRESAS'!A119</f>
        <v/>
      </c>
    </row>
    <row r="122">
      <c r="A122" s="282">
        <f>'CONTROLE PRODUÇÃO POR EMPRESAS'!A120</f>
        <v/>
      </c>
    </row>
    <row r="123">
      <c r="A123" s="282">
        <f>'CONTROLE PRODUÇÃO POR EMPRESAS'!A121</f>
        <v/>
      </c>
    </row>
    <row r="124">
      <c r="A124" s="282">
        <f>'CONTROLE PRODUÇÃO POR EMPRESAS'!A122</f>
        <v/>
      </c>
    </row>
    <row r="125">
      <c r="A125" s="282">
        <f>'CONTROLE PRODUÇÃO POR EMPRESAS'!A123</f>
        <v/>
      </c>
    </row>
    <row r="126">
      <c r="A126" s="282">
        <f>'CONTROLE PRODUÇÃO POR EMPRESAS'!A124</f>
        <v/>
      </c>
    </row>
    <row r="127">
      <c r="A127" s="282">
        <f>'CONTROLE PRODUÇÃO POR EMPRESAS'!A125</f>
        <v/>
      </c>
    </row>
    <row r="128">
      <c r="A128" s="282">
        <f>'CONTROLE PRODUÇÃO POR EMPRESAS'!A126</f>
        <v/>
      </c>
    </row>
    <row r="129">
      <c r="A129" s="282">
        <f>'CONTROLE PRODUÇÃO POR EMPRESAS'!A127</f>
        <v/>
      </c>
    </row>
    <row r="130">
      <c r="A130" s="282">
        <f>'CONTROLE PRODUÇÃO POR EMPRESAS'!A128</f>
        <v/>
      </c>
    </row>
    <row r="131">
      <c r="A131" s="282">
        <f>'CONTROLE PRODUÇÃO POR EMPRESAS'!A129</f>
        <v/>
      </c>
    </row>
    <row r="132">
      <c r="A132" s="282">
        <f>'CONTROLE PRODUÇÃO POR EMPRESAS'!A130</f>
        <v/>
      </c>
    </row>
    <row r="133">
      <c r="A133" s="282">
        <f>'CONTROLE PRODUÇÃO POR EMPRESAS'!A131</f>
        <v/>
      </c>
    </row>
    <row r="134">
      <c r="A134" s="282">
        <f>'CONTROLE PRODUÇÃO POR EMPRESAS'!A132</f>
        <v/>
      </c>
    </row>
    <row r="135">
      <c r="A135" s="282">
        <f>'CONTROLE PRODUÇÃO POR EMPRESAS'!A133</f>
        <v/>
      </c>
    </row>
    <row r="136">
      <c r="A136" s="282">
        <f>'CONTROLE PRODUÇÃO POR EMPRESAS'!A134</f>
        <v/>
      </c>
    </row>
    <row r="137">
      <c r="A137" s="282">
        <f>'CONTROLE PRODUÇÃO POR EMPRESAS'!A135</f>
        <v/>
      </c>
    </row>
    <row r="138">
      <c r="A138" s="282">
        <f>'CONTROLE PRODUÇÃO POR EMPRESAS'!A136</f>
        <v/>
      </c>
    </row>
    <row r="139">
      <c r="A139" s="282">
        <f>'CONTROLE PRODUÇÃO POR EMPRESAS'!A137</f>
        <v/>
      </c>
    </row>
    <row r="140">
      <c r="A140" s="282">
        <f>'CONTROLE PRODUÇÃO POR EMPRESAS'!A138</f>
        <v/>
      </c>
    </row>
    <row r="141">
      <c r="A141" s="282">
        <f>'CONTROLE PRODUÇÃO POR EMPRESAS'!A139</f>
        <v/>
      </c>
    </row>
    <row r="142">
      <c r="A142" s="282">
        <f>'CONTROLE PRODUÇÃO POR EMPRESAS'!A140</f>
        <v/>
      </c>
    </row>
    <row r="143">
      <c r="A143" s="282">
        <f>'CONTROLE PRODUÇÃO POR EMPRESAS'!A141</f>
        <v/>
      </c>
    </row>
    <row r="144">
      <c r="A144" s="282">
        <f>'CONTROLE PRODUÇÃO POR EMPRESAS'!A142</f>
        <v/>
      </c>
    </row>
    <row r="145">
      <c r="A145" s="282">
        <f>'CONTROLE PRODUÇÃO POR EMPRESAS'!A143</f>
        <v/>
      </c>
    </row>
    <row r="146">
      <c r="A146" s="282">
        <f>'CONTROLE PRODUÇÃO POR EMPRESAS'!A144</f>
        <v/>
      </c>
    </row>
    <row r="147">
      <c r="A147" s="282">
        <f>'CONTROLE PRODUÇÃO POR EMPRESAS'!A145</f>
        <v/>
      </c>
    </row>
    <row r="148">
      <c r="A148" s="282">
        <f>'CONTROLE PRODUÇÃO POR EMPRESAS'!A146</f>
        <v/>
      </c>
    </row>
    <row r="149">
      <c r="A149" s="282">
        <f>'CONTROLE PRODUÇÃO POR EMPRESAS'!A147</f>
        <v/>
      </c>
    </row>
    <row r="150">
      <c r="A150" s="282">
        <f>'CONTROLE PRODUÇÃO POR EMPRESAS'!A148</f>
        <v/>
      </c>
    </row>
    <row r="151">
      <c r="A151" s="282">
        <f>'CONTROLE PRODUÇÃO POR EMPRESAS'!A149</f>
        <v/>
      </c>
    </row>
    <row r="152">
      <c r="A152" s="282">
        <f>'CONTROLE PRODUÇÃO POR EMPRESAS'!A150</f>
        <v/>
      </c>
    </row>
    <row r="153">
      <c r="A153" s="282">
        <f>'CONTROLE PRODUÇÃO POR EMPRESAS'!A151</f>
        <v/>
      </c>
    </row>
    <row r="154">
      <c r="A154" s="282">
        <f>'CONTROLE PRODUÇÃO POR EMPRESAS'!A152</f>
        <v/>
      </c>
    </row>
    <row r="155">
      <c r="A155" s="282">
        <f>'CONTROLE PRODUÇÃO POR EMPRESAS'!A153</f>
        <v/>
      </c>
    </row>
    <row r="156">
      <c r="A156" s="282">
        <f>'CONTROLE PRODUÇÃO POR EMPRESAS'!A154</f>
        <v/>
      </c>
    </row>
    <row r="157">
      <c r="A157" s="282">
        <f>'CONTROLE PRODUÇÃO POR EMPRESAS'!A155</f>
        <v/>
      </c>
    </row>
    <row r="158">
      <c r="A158" s="282">
        <f>'CONTROLE PRODUÇÃO POR EMPRESAS'!A156</f>
        <v/>
      </c>
    </row>
    <row r="159">
      <c r="A159" s="282">
        <f>'CONTROLE PRODUÇÃO POR EMPRESAS'!A157</f>
        <v/>
      </c>
    </row>
    <row r="160">
      <c r="A160" s="282">
        <f>'CONTROLE PRODUÇÃO POR EMPRESAS'!A158</f>
        <v/>
      </c>
    </row>
    <row r="161">
      <c r="A161" s="282">
        <f>'CONTROLE PRODUÇÃO POR EMPRESAS'!A159</f>
        <v/>
      </c>
    </row>
    <row r="162">
      <c r="A162" s="282">
        <f>'CONTROLE PRODUÇÃO POR EMPRESAS'!A160</f>
        <v/>
      </c>
    </row>
    <row r="163">
      <c r="A163" s="282">
        <f>'CONTROLE PRODUÇÃO POR EMPRESAS'!A161</f>
        <v/>
      </c>
    </row>
    <row r="164">
      <c r="A164" s="282">
        <f>'CONTROLE PRODUÇÃO POR EMPRESAS'!A162</f>
        <v/>
      </c>
    </row>
    <row r="165">
      <c r="A165" s="282">
        <f>'CONTROLE PRODUÇÃO POR EMPRESAS'!A163</f>
        <v/>
      </c>
    </row>
    <row r="166">
      <c r="A166" s="282">
        <f>'CONTROLE PRODUÇÃO POR EMPRESAS'!A164</f>
        <v/>
      </c>
    </row>
    <row r="167">
      <c r="A167" s="282">
        <f>'CONTROLE PRODUÇÃO POR EMPRESAS'!A165</f>
        <v/>
      </c>
    </row>
    <row r="168">
      <c r="A168" s="282">
        <f>'CONTROLE PRODUÇÃO POR EMPRESAS'!A166</f>
        <v/>
      </c>
    </row>
    <row r="169">
      <c r="A169" s="282">
        <f>'CONTROLE PRODUÇÃO POR EMPRESAS'!A167</f>
        <v/>
      </c>
    </row>
    <row r="170">
      <c r="A170" s="282">
        <f>'CONTROLE PRODUÇÃO POR EMPRESAS'!A168</f>
        <v/>
      </c>
    </row>
    <row r="171">
      <c r="A171" s="282">
        <f>'CONTROLE PRODUÇÃO POR EMPRESAS'!A169</f>
        <v/>
      </c>
    </row>
    <row r="172">
      <c r="A172" s="282">
        <f>'CONTROLE PRODUÇÃO POR EMPRESAS'!A170</f>
        <v/>
      </c>
    </row>
    <row r="173">
      <c r="A173" s="282">
        <f>'CONTROLE PRODUÇÃO POR EMPRESAS'!A171</f>
        <v/>
      </c>
    </row>
    <row r="174">
      <c r="A174" s="282">
        <f>'CONTROLE PRODUÇÃO POR EMPRESAS'!A172</f>
        <v/>
      </c>
    </row>
    <row r="175">
      <c r="A175" s="282">
        <f>'CONTROLE PRODUÇÃO POR EMPRESAS'!A173</f>
        <v/>
      </c>
    </row>
    <row r="176">
      <c r="A176" s="282">
        <f>'CONTROLE PRODUÇÃO POR EMPRESAS'!A174</f>
        <v/>
      </c>
    </row>
    <row r="177">
      <c r="A177" s="282">
        <f>'CONTROLE PRODUÇÃO POR EMPRESAS'!A175</f>
        <v/>
      </c>
    </row>
    <row r="178">
      <c r="A178" s="282">
        <f>'CONTROLE PRODUÇÃO POR EMPRESAS'!A176</f>
        <v/>
      </c>
    </row>
    <row r="179">
      <c r="A179" s="282">
        <f>'CONTROLE PRODUÇÃO POR EMPRESAS'!A177</f>
        <v/>
      </c>
    </row>
    <row r="180">
      <c r="A180" s="282">
        <f>'CONTROLE PRODUÇÃO POR EMPRESAS'!A178</f>
        <v/>
      </c>
    </row>
    <row r="181">
      <c r="A181" s="282">
        <f>'CONTROLE PRODUÇÃO POR EMPRESAS'!A179</f>
        <v/>
      </c>
    </row>
    <row r="182">
      <c r="A182" s="282">
        <f>'CONTROLE PRODUÇÃO POR EMPRESAS'!A180</f>
        <v/>
      </c>
    </row>
    <row r="183">
      <c r="A183" s="282">
        <f>'CONTROLE PRODUÇÃO POR EMPRESAS'!A181</f>
        <v/>
      </c>
    </row>
    <row r="184">
      <c r="A184" s="282">
        <f>'CONTROLE PRODUÇÃO POR EMPRESAS'!A182</f>
        <v/>
      </c>
    </row>
    <row r="185">
      <c r="A185" s="282">
        <f>'CONTROLE PRODUÇÃO POR EMPRESAS'!A183</f>
        <v/>
      </c>
    </row>
    <row r="186">
      <c r="A186" s="282">
        <f>'CONTROLE PRODUÇÃO POR EMPRESAS'!A184</f>
        <v/>
      </c>
    </row>
    <row r="187">
      <c r="A187" s="282">
        <f>'CONTROLE PRODUÇÃO POR EMPRESAS'!A185</f>
        <v/>
      </c>
    </row>
    <row r="188">
      <c r="A188" s="282">
        <f>'CONTROLE PRODUÇÃO POR EMPRESAS'!A186</f>
        <v/>
      </c>
    </row>
    <row r="189">
      <c r="A189" s="282">
        <f>'CONTROLE PRODUÇÃO POR EMPRESAS'!A187</f>
        <v/>
      </c>
    </row>
    <row r="190">
      <c r="A190" s="282">
        <f>'CONTROLE PRODUÇÃO POR EMPRESAS'!A188</f>
        <v/>
      </c>
    </row>
    <row r="191">
      <c r="A191" s="282">
        <f>'CONTROLE PRODUÇÃO POR EMPRESAS'!A189</f>
        <v/>
      </c>
    </row>
    <row r="192">
      <c r="A192" s="282">
        <f>'CONTROLE PRODUÇÃO POR EMPRESAS'!A190</f>
        <v/>
      </c>
    </row>
    <row r="193">
      <c r="A193" s="282">
        <f>'CONTROLE PRODUÇÃO POR EMPRESAS'!A191</f>
        <v/>
      </c>
    </row>
    <row r="194">
      <c r="A194" s="282">
        <f>'CONTROLE PRODUÇÃO POR EMPRESAS'!A192</f>
        <v/>
      </c>
    </row>
    <row r="195">
      <c r="A195" s="282">
        <f>'CONTROLE PRODUÇÃO POR EMPRESAS'!A193</f>
        <v/>
      </c>
    </row>
    <row r="196">
      <c r="A196" s="282">
        <f>'CONTROLE PRODUÇÃO POR EMPRESAS'!A194</f>
        <v/>
      </c>
    </row>
    <row r="197">
      <c r="A197" s="282">
        <f>'CONTROLE PRODUÇÃO POR EMPRESAS'!A195</f>
        <v/>
      </c>
    </row>
    <row r="198">
      <c r="A198" s="282">
        <f>'CONTROLE PRODUÇÃO POR EMPRESAS'!A196</f>
        <v/>
      </c>
    </row>
    <row r="199">
      <c r="A199" s="282">
        <f>'CONTROLE PRODUÇÃO POR EMPRESAS'!A197</f>
        <v/>
      </c>
    </row>
    <row r="200">
      <c r="A200" s="282">
        <f>'CONTROLE PRODUÇÃO POR EMPRESAS'!A198</f>
        <v/>
      </c>
    </row>
    <row r="201">
      <c r="A201" s="282">
        <f>'CONTROLE PRODUÇÃO POR EMPRESAS'!A199</f>
        <v/>
      </c>
    </row>
    <row r="202">
      <c r="A202" s="282">
        <f>'CONTROLE PRODUÇÃO POR EMPRESAS'!A200</f>
        <v/>
      </c>
    </row>
    <row r="203">
      <c r="A203" s="282">
        <f>'CONTROLE PRODUÇÃO POR EMPRESAS'!A201</f>
        <v/>
      </c>
    </row>
    <row r="204">
      <c r="A204" s="282">
        <f>'CONTROLE PRODUÇÃO POR EMPRESAS'!A202</f>
        <v/>
      </c>
    </row>
    <row r="205">
      <c r="A205" s="282">
        <f>'CONTROLE PRODUÇÃO POR EMPRESAS'!A203</f>
        <v/>
      </c>
    </row>
    <row r="206">
      <c r="A206" s="282">
        <f>'CONTROLE PRODUÇÃO POR EMPRESAS'!A204</f>
        <v/>
      </c>
    </row>
    <row r="207">
      <c r="A207" s="282">
        <f>'CONTROLE PRODUÇÃO POR EMPRESAS'!A205</f>
        <v/>
      </c>
    </row>
    <row r="208">
      <c r="A208" s="282">
        <f>'CONTROLE PRODUÇÃO POR EMPRESAS'!A206</f>
        <v/>
      </c>
    </row>
    <row r="209">
      <c r="A209" s="282">
        <f>'CONTROLE PRODUÇÃO POR EMPRESAS'!A207</f>
        <v/>
      </c>
    </row>
    <row r="210">
      <c r="A210" s="282">
        <f>'CONTROLE PRODUÇÃO POR EMPRESAS'!A208</f>
        <v/>
      </c>
    </row>
    <row r="211">
      <c r="A211" s="282">
        <f>'CONTROLE PRODUÇÃO POR EMPRESAS'!A209</f>
        <v/>
      </c>
    </row>
    <row r="212">
      <c r="A212" s="282">
        <f>'CONTROLE PRODUÇÃO POR EMPRESAS'!A210</f>
        <v/>
      </c>
    </row>
    <row r="213">
      <c r="A213" s="282">
        <f>'CONTROLE PRODUÇÃO POR EMPRESAS'!A211</f>
        <v/>
      </c>
    </row>
    <row r="214">
      <c r="A214" s="282">
        <f>'CONTROLE PRODUÇÃO POR EMPRESAS'!A212</f>
        <v/>
      </c>
    </row>
    <row r="215">
      <c r="A215" s="282">
        <f>'CONTROLE PRODUÇÃO POR EMPRESAS'!A213</f>
        <v/>
      </c>
    </row>
    <row r="216">
      <c r="A216" s="282">
        <f>'CONTROLE PRODUÇÃO POR EMPRESAS'!A214</f>
        <v/>
      </c>
    </row>
    <row r="217">
      <c r="A217" s="282">
        <f>'CONTROLE PRODUÇÃO POR EMPRESAS'!A215</f>
        <v/>
      </c>
    </row>
    <row r="218">
      <c r="A218" s="282">
        <f>'CONTROLE PRODUÇÃO POR EMPRESAS'!A216</f>
        <v/>
      </c>
    </row>
    <row r="219">
      <c r="A219" s="282">
        <f>'CONTROLE PRODUÇÃO POR EMPRESAS'!A217</f>
        <v/>
      </c>
    </row>
    <row r="220">
      <c r="A220" s="282">
        <f>'CONTROLE PRODUÇÃO POR EMPRESAS'!A218</f>
        <v/>
      </c>
    </row>
    <row r="221">
      <c r="A221" s="282">
        <f>'CONTROLE PRODUÇÃO POR EMPRESAS'!A219</f>
        <v/>
      </c>
    </row>
    <row r="222">
      <c r="A222" s="282">
        <f>'CONTROLE PRODUÇÃO POR EMPRESAS'!A220</f>
        <v/>
      </c>
    </row>
    <row r="223">
      <c r="A223" s="282">
        <f>'CONTROLE PRODUÇÃO POR EMPRESAS'!A221</f>
        <v/>
      </c>
    </row>
    <row r="224">
      <c r="A224" s="282">
        <f>'CONTROLE PRODUÇÃO POR EMPRESAS'!A222</f>
        <v/>
      </c>
    </row>
    <row r="225">
      <c r="A225" s="282">
        <f>'CONTROLE PRODUÇÃO POR EMPRESAS'!A223</f>
        <v/>
      </c>
    </row>
    <row r="226">
      <c r="A226" s="282">
        <f>'CONTROLE PRODUÇÃO POR EMPRESAS'!A224</f>
        <v/>
      </c>
    </row>
    <row r="227">
      <c r="A227" s="282">
        <f>'CONTROLE PRODUÇÃO POR EMPRESAS'!A225</f>
        <v/>
      </c>
    </row>
    <row r="228">
      <c r="A228" s="282">
        <f>'CONTROLE PRODUÇÃO POR EMPRESAS'!A226</f>
        <v/>
      </c>
    </row>
    <row r="229">
      <c r="A229" s="282">
        <f>'CONTROLE PRODUÇÃO POR EMPRESAS'!A227</f>
        <v/>
      </c>
    </row>
    <row r="230">
      <c r="A230" s="282">
        <f>'CONTROLE PRODUÇÃO POR EMPRESAS'!A228</f>
        <v/>
      </c>
    </row>
    <row r="231">
      <c r="A231" s="282">
        <f>'CONTROLE PRODUÇÃO POR EMPRESAS'!A229</f>
        <v/>
      </c>
    </row>
    <row r="232">
      <c r="A232" s="282">
        <f>'CONTROLE PRODUÇÃO POR EMPRESAS'!A230</f>
        <v/>
      </c>
    </row>
    <row r="233">
      <c r="A233" s="282">
        <f>'CONTROLE PRODUÇÃO POR EMPRESAS'!A231</f>
        <v/>
      </c>
    </row>
    <row r="234">
      <c r="A234" s="282">
        <f>'CONTROLE PRODUÇÃO POR EMPRESAS'!A232</f>
        <v/>
      </c>
    </row>
    <row r="235">
      <c r="A235" s="282">
        <f>'CONTROLE PRODUÇÃO POR EMPRESAS'!A233</f>
        <v/>
      </c>
    </row>
    <row r="236">
      <c r="A236" s="282">
        <f>'CONTROLE PRODUÇÃO POR EMPRESAS'!A234</f>
        <v/>
      </c>
    </row>
    <row r="237">
      <c r="A237" s="282">
        <f>'CONTROLE PRODUÇÃO POR EMPRESAS'!A235</f>
        <v/>
      </c>
    </row>
    <row r="238">
      <c r="A238" s="282">
        <f>'CONTROLE PRODUÇÃO POR EMPRESAS'!A236</f>
        <v/>
      </c>
    </row>
    <row r="239">
      <c r="A239" s="282">
        <f>'CONTROLE PRODUÇÃO POR EMPRESAS'!A237</f>
        <v/>
      </c>
    </row>
    <row r="240">
      <c r="A240" s="282">
        <f>'CONTROLE PRODUÇÃO POR EMPRESAS'!A238</f>
        <v/>
      </c>
    </row>
    <row r="241">
      <c r="A241" s="282">
        <f>'CONTROLE PRODUÇÃO POR EMPRESAS'!A239</f>
        <v/>
      </c>
    </row>
    <row r="242">
      <c r="A242" s="282">
        <f>'CONTROLE PRODUÇÃO POR EMPRESAS'!A240</f>
        <v/>
      </c>
    </row>
    <row r="243">
      <c r="A243" s="282">
        <f>'CONTROLE PRODUÇÃO POR EMPRESAS'!A241</f>
        <v/>
      </c>
    </row>
    <row r="244">
      <c r="A244" s="282">
        <f>'CONTROLE PRODUÇÃO POR EMPRESAS'!A242</f>
        <v/>
      </c>
    </row>
    <row r="245">
      <c r="A245" s="282">
        <f>'CONTROLE PRODUÇÃO POR EMPRESAS'!A243</f>
        <v/>
      </c>
    </row>
    <row r="246">
      <c r="A246" s="282">
        <f>'CONTROLE PRODUÇÃO POR EMPRESAS'!A244</f>
        <v/>
      </c>
    </row>
    <row r="247">
      <c r="A247" s="282">
        <f>'CONTROLE PRODUÇÃO POR EMPRESAS'!A245</f>
        <v/>
      </c>
    </row>
    <row r="248">
      <c r="A248" s="282">
        <f>'CONTROLE PRODUÇÃO POR EMPRESAS'!A246</f>
        <v/>
      </c>
    </row>
    <row r="249">
      <c r="A249" s="282">
        <f>'CONTROLE PRODUÇÃO POR EMPRESAS'!A247</f>
        <v/>
      </c>
    </row>
    <row r="250">
      <c r="A250" s="282">
        <f>'CONTROLE PRODUÇÃO POR EMPRESAS'!A248</f>
        <v/>
      </c>
    </row>
    <row r="251">
      <c r="A251" s="282">
        <f>'CONTROLE PRODUÇÃO POR EMPRESAS'!A249</f>
        <v/>
      </c>
    </row>
    <row r="252">
      <c r="A252" s="282">
        <f>'CONTROLE PRODUÇÃO POR EMPRESAS'!A250</f>
        <v/>
      </c>
    </row>
    <row r="253">
      <c r="A253" s="282">
        <f>'CONTROLE PRODUÇÃO POR EMPRESAS'!A251</f>
        <v/>
      </c>
    </row>
    <row r="254">
      <c r="A254" s="282">
        <f>'CONTROLE PRODUÇÃO POR EMPRESAS'!A252</f>
        <v/>
      </c>
    </row>
    <row r="255">
      <c r="A255" s="282">
        <f>'CONTROLE PRODUÇÃO POR EMPRESAS'!A253</f>
        <v/>
      </c>
    </row>
    <row r="256">
      <c r="A256" s="282">
        <f>'CONTROLE PRODUÇÃO POR EMPRESAS'!A254</f>
        <v/>
      </c>
    </row>
    <row r="257">
      <c r="A257" s="282">
        <f>'CONTROLE PRODUÇÃO POR EMPRESAS'!A255</f>
        <v/>
      </c>
    </row>
    <row r="258">
      <c r="A258" s="282">
        <f>'CONTROLE PRODUÇÃO POR EMPRESAS'!A256</f>
        <v/>
      </c>
    </row>
    <row r="259">
      <c r="A259" s="282">
        <f>'CONTROLE PRODUÇÃO POR EMPRESAS'!A257</f>
        <v/>
      </c>
    </row>
    <row r="260">
      <c r="A260" s="282">
        <f>'CONTROLE PRODUÇÃO POR EMPRESAS'!A258</f>
        <v/>
      </c>
    </row>
    <row r="261">
      <c r="A261" s="282">
        <f>'CONTROLE PRODUÇÃO POR EMPRESAS'!A259</f>
        <v/>
      </c>
    </row>
    <row r="262">
      <c r="A262" s="282">
        <f>'CONTROLE PRODUÇÃO POR EMPRESAS'!A260</f>
        <v/>
      </c>
    </row>
    <row r="263">
      <c r="A263" s="282">
        <f>'CONTROLE PRODUÇÃO POR EMPRESAS'!A261</f>
        <v/>
      </c>
    </row>
    <row r="264">
      <c r="A264" s="282">
        <f>'CONTROLE PRODUÇÃO POR EMPRESAS'!A262</f>
        <v/>
      </c>
    </row>
    <row r="265">
      <c r="A265" s="282">
        <f>'CONTROLE PRODUÇÃO POR EMPRESAS'!A263</f>
        <v/>
      </c>
    </row>
    <row r="266">
      <c r="A266" s="282">
        <f>'CONTROLE PRODUÇÃO POR EMPRESAS'!A264</f>
        <v/>
      </c>
    </row>
    <row r="267">
      <c r="A267" s="282">
        <f>'CONTROLE PRODUÇÃO POR EMPRESAS'!A265</f>
        <v/>
      </c>
    </row>
    <row r="268">
      <c r="A268" s="282">
        <f>'CONTROLE PRODUÇÃO POR EMPRESAS'!A266</f>
        <v/>
      </c>
    </row>
    <row r="269">
      <c r="A269" s="282">
        <f>'CONTROLE PRODUÇÃO POR EMPRESAS'!A267</f>
        <v/>
      </c>
    </row>
    <row r="270">
      <c r="A270" s="282">
        <f>'CONTROLE PRODUÇÃO POR EMPRESAS'!A268</f>
        <v/>
      </c>
    </row>
    <row r="271">
      <c r="A271" s="282">
        <f>'CONTROLE PRODUÇÃO POR EMPRESAS'!A269</f>
        <v/>
      </c>
    </row>
    <row r="272">
      <c r="A272" s="282">
        <f>'CONTROLE PRODUÇÃO POR EMPRESAS'!A270</f>
        <v/>
      </c>
    </row>
    <row r="273">
      <c r="A273" s="282">
        <f>'CONTROLE PRODUÇÃO POR EMPRESAS'!A271</f>
        <v/>
      </c>
    </row>
    <row r="274">
      <c r="A274" s="282">
        <f>'CONTROLE PRODUÇÃO POR EMPRESAS'!A272</f>
        <v/>
      </c>
    </row>
    <row r="275">
      <c r="A275" s="282">
        <f>'CONTROLE PRODUÇÃO POR EMPRESAS'!A273</f>
        <v/>
      </c>
    </row>
    <row r="276">
      <c r="A276" s="282">
        <f>'CONTROLE PRODUÇÃO POR EMPRESAS'!A274</f>
        <v/>
      </c>
    </row>
    <row r="277">
      <c r="A277" s="282">
        <f>'CONTROLE PRODUÇÃO POR EMPRESAS'!A275</f>
        <v/>
      </c>
    </row>
    <row r="278">
      <c r="A278" s="282">
        <f>'CONTROLE PRODUÇÃO POR EMPRESAS'!A276</f>
        <v/>
      </c>
    </row>
    <row r="279">
      <c r="A279" s="282">
        <f>'CONTROLE PRODUÇÃO POR EMPRESAS'!A277</f>
        <v/>
      </c>
    </row>
    <row r="280">
      <c r="A280" s="282">
        <f>'CONTROLE PRODUÇÃO POR EMPRESAS'!A278</f>
        <v/>
      </c>
    </row>
    <row r="281">
      <c r="A281" s="282">
        <f>'CONTROLE PRODUÇÃO POR EMPRESAS'!A279</f>
        <v/>
      </c>
    </row>
    <row r="282">
      <c r="A282" s="282">
        <f>'CONTROLE PRODUÇÃO POR EMPRESAS'!A280</f>
        <v/>
      </c>
    </row>
    <row r="283">
      <c r="A283" s="282">
        <f>'CONTROLE PRODUÇÃO POR EMPRESAS'!A281</f>
        <v/>
      </c>
    </row>
    <row r="284">
      <c r="A284" s="282">
        <f>'CONTROLE PRODUÇÃO POR EMPRESAS'!A282</f>
        <v/>
      </c>
    </row>
    <row r="285">
      <c r="A285" s="282">
        <f>'CONTROLE PRODUÇÃO POR EMPRESAS'!A283</f>
        <v/>
      </c>
    </row>
    <row r="286">
      <c r="A286" s="282">
        <f>'CONTROLE PRODUÇÃO POR EMPRESAS'!A284</f>
        <v/>
      </c>
    </row>
    <row r="287">
      <c r="A287" s="282">
        <f>'CONTROLE PRODUÇÃO POR EMPRESAS'!A285</f>
        <v/>
      </c>
    </row>
    <row r="288">
      <c r="A288" s="282">
        <f>'CONTROLE PRODUÇÃO POR EMPRESAS'!A286</f>
        <v/>
      </c>
    </row>
    <row r="289">
      <c r="A289" s="282">
        <f>'CONTROLE PRODUÇÃO POR EMPRESAS'!A287</f>
        <v/>
      </c>
    </row>
    <row r="290">
      <c r="A290" s="282">
        <f>'CONTROLE PRODUÇÃO POR EMPRESAS'!A288</f>
        <v/>
      </c>
    </row>
    <row r="291">
      <c r="A291" s="282">
        <f>'CONTROLE PRODUÇÃO POR EMPRESAS'!A289</f>
        <v/>
      </c>
    </row>
    <row r="292">
      <c r="A292" s="282">
        <f>'CONTROLE PRODUÇÃO POR EMPRESAS'!A290</f>
        <v/>
      </c>
    </row>
    <row r="293">
      <c r="A293" s="282">
        <f>'CONTROLE PRODUÇÃO POR EMPRESAS'!A291</f>
        <v/>
      </c>
    </row>
    <row r="294">
      <c r="A294" s="282">
        <f>'CONTROLE PRODUÇÃO POR EMPRESAS'!A292</f>
        <v/>
      </c>
    </row>
    <row r="295">
      <c r="A295" s="282">
        <f>'CONTROLE PRODUÇÃO POR EMPRESAS'!A293</f>
        <v/>
      </c>
    </row>
    <row r="296">
      <c r="A296" s="282">
        <f>'CONTROLE PRODUÇÃO POR EMPRESAS'!A294</f>
        <v/>
      </c>
    </row>
    <row r="297">
      <c r="A297" s="282">
        <f>'CONTROLE PRODUÇÃO POR EMPRESAS'!A295</f>
        <v/>
      </c>
    </row>
    <row r="298">
      <c r="A298" s="282">
        <f>'CONTROLE PRODUÇÃO POR EMPRESAS'!A296</f>
        <v/>
      </c>
    </row>
    <row r="299">
      <c r="A299" s="282">
        <f>'CONTROLE PRODUÇÃO POR EMPRESAS'!A297</f>
        <v/>
      </c>
    </row>
    <row r="300">
      <c r="A300" s="282">
        <f>'CONTROLE PRODUÇÃO POR EMPRESAS'!A298</f>
        <v/>
      </c>
    </row>
    <row r="301">
      <c r="A301" s="282">
        <f>'CONTROLE PRODUÇÃO POR EMPRESAS'!A299</f>
        <v/>
      </c>
    </row>
    <row r="302">
      <c r="A302" s="282">
        <f>'CONTROLE PRODUÇÃO POR EMPRESAS'!A300</f>
        <v/>
      </c>
    </row>
    <row r="303">
      <c r="A303" s="282">
        <f>'CONTROLE PRODUÇÃO POR EMPRESAS'!A301</f>
        <v/>
      </c>
    </row>
    <row r="304">
      <c r="A304" s="282">
        <f>'CONTROLE PRODUÇÃO POR EMPRESAS'!A302</f>
        <v/>
      </c>
    </row>
    <row r="305">
      <c r="A305" s="282">
        <f>'CONTROLE PRODUÇÃO POR EMPRESAS'!A303</f>
        <v/>
      </c>
    </row>
    <row r="306">
      <c r="A306" s="282">
        <f>'CONTROLE PRODUÇÃO POR EMPRESAS'!A304</f>
        <v/>
      </c>
    </row>
    <row r="307">
      <c r="A307" s="282">
        <f>'CONTROLE PRODUÇÃO POR EMPRESAS'!A305</f>
        <v/>
      </c>
    </row>
    <row r="308">
      <c r="A308" s="282">
        <f>'CONTROLE PRODUÇÃO POR EMPRESAS'!A306</f>
        <v/>
      </c>
    </row>
    <row r="309">
      <c r="A309" s="282">
        <f>'CONTROLE PRODUÇÃO POR EMPRESAS'!A307</f>
        <v/>
      </c>
    </row>
    <row r="310">
      <c r="A310" s="282">
        <f>'CONTROLE PRODUÇÃO POR EMPRESAS'!A308</f>
        <v/>
      </c>
    </row>
    <row r="311">
      <c r="A311" s="282">
        <f>'CONTROLE PRODUÇÃO POR EMPRESAS'!A309</f>
        <v/>
      </c>
    </row>
    <row r="312">
      <c r="A312" s="282">
        <f>'CONTROLE PRODUÇÃO POR EMPRESAS'!A310</f>
        <v/>
      </c>
    </row>
    <row r="313">
      <c r="A313" s="282">
        <f>'CONTROLE PRODUÇÃO POR EMPRESAS'!A311</f>
        <v/>
      </c>
    </row>
    <row r="314">
      <c r="A314" s="282">
        <f>'CONTROLE PRODUÇÃO POR EMPRESAS'!A312</f>
        <v/>
      </c>
    </row>
    <row r="315">
      <c r="A315" s="282">
        <f>'CONTROLE PRODUÇÃO POR EMPRESAS'!A313</f>
        <v/>
      </c>
    </row>
    <row r="316">
      <c r="A316" s="282">
        <f>'CONTROLE PRODUÇÃO POR EMPRESAS'!A314</f>
        <v/>
      </c>
    </row>
    <row r="317">
      <c r="A317" s="282">
        <f>'CONTROLE PRODUÇÃO POR EMPRESAS'!A315</f>
        <v/>
      </c>
    </row>
    <row r="318">
      <c r="A318" s="282">
        <f>'CONTROLE PRODUÇÃO POR EMPRESAS'!A316</f>
        <v/>
      </c>
    </row>
    <row r="319">
      <c r="A319" s="282">
        <f>'CONTROLE PRODUÇÃO POR EMPRESAS'!A317</f>
        <v/>
      </c>
    </row>
    <row r="320">
      <c r="A320" s="282">
        <f>'CONTROLE PRODUÇÃO POR EMPRESAS'!A318</f>
        <v/>
      </c>
    </row>
    <row r="321">
      <c r="A321" s="282">
        <f>'CONTROLE PRODUÇÃO POR EMPRESAS'!A319</f>
        <v/>
      </c>
    </row>
    <row r="322">
      <c r="A322" s="282">
        <f>'CONTROLE PRODUÇÃO POR EMPRESAS'!A320</f>
        <v/>
      </c>
    </row>
    <row r="323">
      <c r="A323" s="282">
        <f>'CONTROLE PRODUÇÃO POR EMPRESAS'!A321</f>
        <v/>
      </c>
    </row>
    <row r="324">
      <c r="A324" s="282">
        <f>'CONTROLE PRODUÇÃO POR EMPRESAS'!A322</f>
        <v/>
      </c>
    </row>
    <row r="325">
      <c r="A325" s="282">
        <f>'CONTROLE PRODUÇÃO POR EMPRESAS'!A323</f>
        <v/>
      </c>
    </row>
    <row r="326">
      <c r="A326" s="282">
        <f>'CONTROLE PRODUÇÃO POR EMPRESAS'!A324</f>
        <v/>
      </c>
    </row>
    <row r="327">
      <c r="A327" s="282">
        <f>'CONTROLE PRODUÇÃO POR EMPRESAS'!A325</f>
        <v/>
      </c>
    </row>
    <row r="328">
      <c r="A328" s="282">
        <f>'CONTROLE PRODUÇÃO POR EMPRESAS'!A326</f>
        <v/>
      </c>
    </row>
    <row r="329">
      <c r="A329" s="282">
        <f>'CONTROLE PRODUÇÃO POR EMPRESAS'!A327</f>
        <v/>
      </c>
    </row>
    <row r="330">
      <c r="A330" s="282">
        <f>'CONTROLE PRODUÇÃO POR EMPRESAS'!A328</f>
        <v/>
      </c>
    </row>
    <row r="331">
      <c r="A331" s="282">
        <f>'CONTROLE PRODUÇÃO POR EMPRESAS'!A329</f>
        <v/>
      </c>
    </row>
    <row r="332">
      <c r="A332" s="282">
        <f>'CONTROLE PRODUÇÃO POR EMPRESAS'!A330</f>
        <v/>
      </c>
    </row>
    <row r="333">
      <c r="A333" s="282">
        <f>'CONTROLE PRODUÇÃO POR EMPRESAS'!A331</f>
        <v/>
      </c>
    </row>
    <row r="334">
      <c r="A334" s="282">
        <f>'CONTROLE PRODUÇÃO POR EMPRESAS'!A332</f>
        <v/>
      </c>
    </row>
    <row r="335">
      <c r="A335" s="282">
        <f>'CONTROLE PRODUÇÃO POR EMPRESAS'!A333</f>
        <v/>
      </c>
    </row>
    <row r="336">
      <c r="A336" s="282">
        <f>'CONTROLE PRODUÇÃO POR EMPRESAS'!A334</f>
        <v/>
      </c>
    </row>
    <row r="337">
      <c r="A337" s="282">
        <f>'CONTROLE PRODUÇÃO POR EMPRESAS'!A335</f>
        <v/>
      </c>
    </row>
    <row r="338">
      <c r="A338" s="282">
        <f>'CONTROLE PRODUÇÃO POR EMPRESAS'!A336</f>
        <v/>
      </c>
    </row>
    <row r="339">
      <c r="A339" s="282">
        <f>'CONTROLE PRODUÇÃO POR EMPRESAS'!A337</f>
        <v/>
      </c>
    </row>
    <row r="340">
      <c r="A340" s="282">
        <f>'CONTROLE PRODUÇÃO POR EMPRESAS'!A338</f>
        <v/>
      </c>
    </row>
    <row r="341">
      <c r="A341" s="282">
        <f>'CONTROLE PRODUÇÃO POR EMPRESAS'!A339</f>
        <v/>
      </c>
    </row>
    <row r="342">
      <c r="A342" s="282">
        <f>'CONTROLE PRODUÇÃO POR EMPRESAS'!A340</f>
        <v/>
      </c>
    </row>
    <row r="343">
      <c r="A343" s="282">
        <f>'CONTROLE PRODUÇÃO POR EMPRESAS'!A341</f>
        <v/>
      </c>
    </row>
    <row r="344">
      <c r="A344" s="282">
        <f>'CONTROLE PRODUÇÃO POR EMPRESAS'!A342</f>
        <v/>
      </c>
    </row>
    <row r="345">
      <c r="A345" s="282">
        <f>'CONTROLE PRODUÇÃO POR EMPRESAS'!A343</f>
        <v/>
      </c>
    </row>
    <row r="346">
      <c r="A346" s="282">
        <f>'CONTROLE PRODUÇÃO POR EMPRESAS'!A344</f>
        <v/>
      </c>
    </row>
    <row r="347">
      <c r="A347" s="282">
        <f>'CONTROLE PRODUÇÃO POR EMPRESAS'!A345</f>
        <v/>
      </c>
    </row>
    <row r="348">
      <c r="A348" s="282">
        <f>'CONTROLE PRODUÇÃO POR EMPRESAS'!A346</f>
        <v/>
      </c>
    </row>
    <row r="349">
      <c r="A349" s="282">
        <f>'CONTROLE PRODUÇÃO POR EMPRESAS'!A347</f>
        <v/>
      </c>
    </row>
    <row r="350">
      <c r="A350" s="282">
        <f>'CONTROLE PRODUÇÃO POR EMPRESAS'!A348</f>
        <v/>
      </c>
    </row>
    <row r="351">
      <c r="A351" s="282">
        <f>'CONTROLE PRODUÇÃO POR EMPRESAS'!A349</f>
        <v/>
      </c>
    </row>
    <row r="352">
      <c r="A352" s="282">
        <f>'CONTROLE PRODUÇÃO POR EMPRESAS'!A350</f>
        <v/>
      </c>
    </row>
    <row r="353">
      <c r="A353" s="282">
        <f>'CONTROLE PRODUÇÃO POR EMPRESAS'!A351</f>
        <v/>
      </c>
    </row>
    <row r="354">
      <c r="A354" s="282">
        <f>'CONTROLE PRODUÇÃO POR EMPRESAS'!A352</f>
        <v/>
      </c>
    </row>
    <row r="355">
      <c r="A355" s="282">
        <f>'CONTROLE PRODUÇÃO POR EMPRESAS'!A353</f>
        <v/>
      </c>
    </row>
    <row r="356">
      <c r="A356" s="282">
        <f>'CONTROLE PRODUÇÃO POR EMPRESAS'!A354</f>
        <v/>
      </c>
    </row>
    <row r="357">
      <c r="A357" s="282">
        <f>'CONTROLE PRODUÇÃO POR EMPRESAS'!A355</f>
        <v/>
      </c>
    </row>
    <row r="358">
      <c r="A358" s="282">
        <f>'CONTROLE PRODUÇÃO POR EMPRESAS'!A356</f>
        <v/>
      </c>
    </row>
    <row r="359">
      <c r="A359" s="282">
        <f>'CONTROLE PRODUÇÃO POR EMPRESAS'!A357</f>
        <v/>
      </c>
    </row>
    <row r="360">
      <c r="A360" s="282">
        <f>'CONTROLE PRODUÇÃO POR EMPRESAS'!A358</f>
        <v/>
      </c>
    </row>
    <row r="361">
      <c r="A361" s="282">
        <f>'CONTROLE PRODUÇÃO POR EMPRESAS'!A359</f>
        <v/>
      </c>
    </row>
    <row r="362">
      <c r="A362" s="282">
        <f>'CONTROLE PRODUÇÃO POR EMPRESAS'!A360</f>
        <v/>
      </c>
    </row>
    <row r="363">
      <c r="A363" s="282">
        <f>'CONTROLE PRODUÇÃO POR EMPRESAS'!A361</f>
        <v/>
      </c>
    </row>
    <row r="364">
      <c r="A364" s="282">
        <f>'CONTROLE PRODUÇÃO POR EMPRESAS'!A362</f>
        <v/>
      </c>
    </row>
  </sheetData>
  <mergeCells count="7">
    <mergeCell ref="L2:M2"/>
    <mergeCell ref="P2:R2"/>
    <mergeCell ref="A1:V1"/>
    <mergeCell ref="J2:K2"/>
    <mergeCell ref="F2:I2"/>
    <mergeCell ref="B2:D2"/>
    <mergeCell ref="S2:U2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>
    <tabColor rgb="FF548235"/>
    <outlinePr summaryBelow="1" summaryRight="1"/>
    <pageSetUpPr/>
  </sheetPr>
  <dimension ref="A1:J364"/>
  <sheetViews>
    <sheetView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J2" sqref="J2"/>
    </sheetView>
  </sheetViews>
  <sheetFormatPr baseColWidth="8" defaultColWidth="8.5546875" defaultRowHeight="14.4"/>
  <cols>
    <col width="13" customWidth="1" min="1" max="1"/>
    <col width="15" customWidth="1" style="223" min="2" max="9"/>
    <col width="40" customWidth="1" min="10" max="10"/>
  </cols>
  <sheetData>
    <row r="1" ht="24" customHeight="1">
      <c r="A1" s="225" t="inlineStr">
        <is>
          <t>CONTROLE DE PRODUÇÃO — CMM — ESTRUTURA METÁLICA   |   Lance aqui a quantidade executada no dia. O CONTROLE PRODUÇÃO POR EMPRESAS é consolidado automaticamente.</t>
        </is>
      </c>
    </row>
    <row r="2" ht="42.75" customHeight="1">
      <c r="A2" s="72" t="inlineStr">
        <is>
          <t>FRENTE</t>
        </is>
      </c>
      <c r="B2" s="226" t="inlineStr">
        <is>
          <t>GALPÃO F1 – COBERTURA</t>
        </is>
      </c>
      <c r="D2" s="285" t="n"/>
      <c r="E2" s="73" t="inlineStr">
        <is>
          <t>GALPÃO F1 – FECHAMENTO LATERAL</t>
        </is>
      </c>
      <c r="F2" s="226" t="inlineStr">
        <is>
          <t>GALPÃO F1 – MARQUISE</t>
        </is>
      </c>
      <c r="I2" s="285" t="n"/>
      <c r="J2" s="73" t="inlineStr">
        <is>
          <t>EVIDÊNCIA</t>
        </is>
      </c>
    </row>
    <row r="3">
      <c r="A3" s="72" t="inlineStr">
        <is>
          <t>ID CRONOGRAMA</t>
        </is>
      </c>
      <c r="B3" s="74" t="inlineStr">
        <is>
          <t>ID 15</t>
        </is>
      </c>
      <c r="C3" s="74" t="inlineStr">
        <is>
          <t>ID 17</t>
        </is>
      </c>
      <c r="D3" s="74" t="inlineStr">
        <is>
          <t>ID 16</t>
        </is>
      </c>
      <c r="E3" s="74" t="inlineStr">
        <is>
          <t>ID 22</t>
        </is>
      </c>
      <c r="F3" s="74" t="inlineStr">
        <is>
          <t>ID 25</t>
        </is>
      </c>
      <c r="G3" s="74" t="inlineStr">
        <is>
          <t>ID 26</t>
        </is>
      </c>
      <c r="H3" s="74" t="inlineStr">
        <is>
          <t>ID 27</t>
        </is>
      </c>
      <c r="I3" s="74" t="inlineStr">
        <is>
          <t>ID 30</t>
        </is>
      </c>
      <c r="J3" s="74" t="n"/>
    </row>
    <row r="4">
      <c r="A4" s="72" t="inlineStr">
        <is>
          <t>QTD ESCOPO</t>
        </is>
      </c>
      <c r="B4" s="75">
        <f>IF('ESCOPO POR EMPRESA'!F5="","",'ESCOPO POR EMPRESA'!F5)</f>
        <v/>
      </c>
      <c r="C4" s="75">
        <f>IF('ESCOPO POR EMPRESA'!F6="","",'ESCOPO POR EMPRESA'!F6)</f>
        <v/>
      </c>
      <c r="D4" s="75">
        <f>IF('ESCOPO POR EMPRESA'!F7="","",'ESCOPO POR EMPRESA'!F7)</f>
        <v/>
      </c>
      <c r="E4" s="75">
        <f>IF('ESCOPO POR EMPRESA'!F12="","",'ESCOPO POR EMPRESA'!F12)</f>
        <v/>
      </c>
      <c r="F4" s="75">
        <f>IF('ESCOPO POR EMPRESA'!F14="","",'ESCOPO POR EMPRESA'!F14)</f>
        <v/>
      </c>
      <c r="G4" s="75">
        <f>IF('ESCOPO POR EMPRESA'!F15="","",'ESCOPO POR EMPRESA'!F15)</f>
        <v/>
      </c>
      <c r="H4" s="75">
        <f>IF('ESCOPO POR EMPRESA'!F16="","",'ESCOPO POR EMPRESA'!F16)</f>
        <v/>
      </c>
      <c r="I4" s="75">
        <f>IF('ESCOPO POR EMPRESA'!F19="","",'ESCOPO POR EMPRESA'!F19)</f>
        <v/>
      </c>
      <c r="J4" s="74" t="n"/>
    </row>
    <row r="5">
      <c r="A5" s="72" t="inlineStr">
        <is>
          <t>REALIZADO ACUM.</t>
        </is>
      </c>
      <c r="B5" s="75">
        <f>SUM(B8:B364)</f>
        <v/>
      </c>
      <c r="C5" s="75">
        <f>SUM(C8:C364)</f>
        <v/>
      </c>
      <c r="D5" s="75">
        <f>SUM(D8:D364)</f>
        <v/>
      </c>
      <c r="E5" s="75">
        <f>SUM(E8:E364)</f>
        <v/>
      </c>
      <c r="F5" s="75">
        <f>SUM(F8:F364)</f>
        <v/>
      </c>
      <c r="G5" s="75">
        <f>SUM(G8:G364)</f>
        <v/>
      </c>
      <c r="H5" s="75">
        <f>SUM(H8:H364)</f>
        <v/>
      </c>
      <c r="I5" s="75">
        <f>SUM(I8:I364)</f>
        <v/>
      </c>
      <c r="J5" s="74" t="n"/>
    </row>
    <row r="6">
      <c r="A6" s="72" t="inlineStr">
        <is>
          <t>% EXECUTADO</t>
        </is>
      </c>
      <c r="B6" s="286">
        <f>IFERROR(B5/B4,"")</f>
        <v/>
      </c>
      <c r="C6" s="286">
        <f>IFERROR(C5/C4,"")</f>
        <v/>
      </c>
      <c r="D6" s="286">
        <f>IFERROR(D5/D4,"")</f>
        <v/>
      </c>
      <c r="E6" s="286">
        <f>IFERROR(E5/E4,"")</f>
        <v/>
      </c>
      <c r="F6" s="286">
        <f>IFERROR(F5/F4,"")</f>
        <v/>
      </c>
      <c r="G6" s="286">
        <f>IFERROR(G5/G4,"")</f>
        <v/>
      </c>
      <c r="H6" s="286">
        <f>IFERROR(H5/H4,"")</f>
        <v/>
      </c>
      <c r="I6" s="286">
        <f>IFERROR(I5/I4,"")</f>
        <v/>
      </c>
      <c r="J6" s="74" t="n"/>
    </row>
    <row r="7" ht="51.75" customHeight="1">
      <c r="A7" s="72" t="inlineStr">
        <is>
          <t>DATA ↓   SERVIÇO →</t>
        </is>
      </c>
      <c r="B7" s="255" t="inlineStr">
        <is>
          <t>PREMONTAGEM</t>
        </is>
      </c>
      <c r="C7" s="255" t="inlineStr">
        <is>
          <t>IÇAMENTO JOIST</t>
        </is>
      </c>
      <c r="D7" s="255" t="inlineStr">
        <is>
          <t>VIGAS</t>
        </is>
      </c>
      <c r="E7" s="255" t="inlineStr">
        <is>
          <t>FECH. LATERAL – ESTRUTURA</t>
        </is>
      </c>
      <c r="F7" s="255" t="inlineStr">
        <is>
          <t>MARQUISE – VIGAS PRINCIPAIS</t>
        </is>
      </c>
      <c r="G7" s="255" t="inlineStr">
        <is>
          <t>MARQUISE – PRÉ-MONT. TERÇAS</t>
        </is>
      </c>
      <c r="H7" s="255" t="inlineStr">
        <is>
          <t>MARQUISE – TERÇAS</t>
        </is>
      </c>
      <c r="I7" s="255" t="inlineStr">
        <is>
          <t>MARQUISE – TESTEIRA</t>
        </is>
      </c>
      <c r="J7" s="255" t="inlineStr">
        <is>
          <t>OBSERVAÇÃO / Nº RDO / FOTO</t>
        </is>
      </c>
    </row>
    <row r="8">
      <c r="A8" s="282">
        <f>'CONTROLE PRODUÇÃO POR EMPRESAS'!A6</f>
        <v/>
      </c>
    </row>
    <row r="9">
      <c r="A9" s="282">
        <f>'CONTROLE PRODUÇÃO POR EMPRESAS'!A7</f>
        <v/>
      </c>
    </row>
    <row r="10">
      <c r="A10" s="282">
        <f>'CONTROLE PRODUÇÃO POR EMPRESAS'!A8</f>
        <v/>
      </c>
    </row>
    <row r="11">
      <c r="A11" s="282">
        <f>'CONTROLE PRODUÇÃO POR EMPRESAS'!A9</f>
        <v/>
      </c>
    </row>
    <row r="12">
      <c r="A12" s="282">
        <f>'CONTROLE PRODUÇÃO POR EMPRESAS'!A10</f>
        <v/>
      </c>
    </row>
    <row r="13">
      <c r="A13" s="282">
        <f>'CONTROLE PRODUÇÃO POR EMPRESAS'!A11</f>
        <v/>
      </c>
    </row>
    <row r="14">
      <c r="A14" s="282">
        <f>'CONTROLE PRODUÇÃO POR EMPRESAS'!A12</f>
        <v/>
      </c>
    </row>
    <row r="15">
      <c r="A15" s="282">
        <f>'CONTROLE PRODUÇÃO POR EMPRESAS'!A13</f>
        <v/>
      </c>
    </row>
    <row r="16">
      <c r="A16" s="282">
        <f>'CONTROLE PRODUÇÃO POR EMPRESAS'!A14</f>
        <v/>
      </c>
      <c r="B16" s="223" t="inlineStr">
        <is>
          <t>INTEGRAÇÃO</t>
        </is>
      </c>
      <c r="C16" s="223" t="inlineStr">
        <is>
          <t>INTEGRAÇÃO</t>
        </is>
      </c>
      <c r="D16" s="223" t="inlineStr">
        <is>
          <t>INTEGRAÇÃO</t>
        </is>
      </c>
    </row>
    <row r="17">
      <c r="A17" s="282">
        <f>'CONTROLE PRODUÇÃO POR EMPRESAS'!A15</f>
        <v/>
      </c>
    </row>
    <row r="18">
      <c r="A18" s="282">
        <f>'CONTROLE PRODUÇÃO POR EMPRESAS'!A16</f>
        <v/>
      </c>
    </row>
    <row r="19">
      <c r="A19" s="282">
        <f>'CONTROLE PRODUÇÃO POR EMPRESAS'!A17</f>
        <v/>
      </c>
    </row>
    <row r="20">
      <c r="A20" s="282">
        <f>'CONTROLE PRODUÇÃO POR EMPRESAS'!A18</f>
        <v/>
      </c>
    </row>
    <row r="21">
      <c r="A21" s="282">
        <f>'CONTROLE PRODUÇÃO POR EMPRESAS'!A19</f>
        <v/>
      </c>
    </row>
    <row r="22">
      <c r="A22" s="282">
        <f>'CONTROLE PRODUÇÃO POR EMPRESAS'!A20</f>
        <v/>
      </c>
    </row>
    <row r="23">
      <c r="A23" s="282">
        <f>'CONTROLE PRODUÇÃO POR EMPRESAS'!A21</f>
        <v/>
      </c>
      <c r="B23" s="223" t="n">
        <v>5</v>
      </c>
    </row>
    <row r="24">
      <c r="A24" s="282">
        <f>'CONTROLE PRODUÇÃO POR EMPRESAS'!A22</f>
        <v/>
      </c>
      <c r="B24" s="223" t="n">
        <v>5</v>
      </c>
    </row>
    <row r="25">
      <c r="A25" s="282">
        <f>'CONTROLE PRODUÇÃO POR EMPRESAS'!A23</f>
        <v/>
      </c>
      <c r="B25" s="223" t="n">
        <v>4</v>
      </c>
    </row>
    <row r="26">
      <c r="A26" s="282">
        <f>'CONTROLE PRODUÇÃO POR EMPRESAS'!A24</f>
        <v/>
      </c>
      <c r="B26" s="223" t="n">
        <v>4</v>
      </c>
    </row>
    <row r="27">
      <c r="A27" s="282">
        <f>'CONTROLE PRODUÇÃO POR EMPRESAS'!A25</f>
        <v/>
      </c>
    </row>
    <row r="28">
      <c r="A28" s="282">
        <f>'CONTROLE PRODUÇÃO POR EMPRESAS'!A26</f>
        <v/>
      </c>
    </row>
    <row r="29">
      <c r="A29" s="282">
        <f>'CONTROLE PRODUÇÃO POR EMPRESAS'!A27</f>
        <v/>
      </c>
      <c r="B29" s="223" t="n">
        <v>4</v>
      </c>
    </row>
    <row r="30">
      <c r="A30" s="282">
        <f>'CONTROLE PRODUÇÃO POR EMPRESAS'!A28</f>
        <v/>
      </c>
      <c r="B30" s="223" t="n">
        <v>5</v>
      </c>
    </row>
    <row r="31">
      <c r="A31" s="282">
        <f>'CONTROLE PRODUÇÃO POR EMPRESAS'!A29</f>
        <v/>
      </c>
      <c r="B31" s="223" t="n">
        <v>3</v>
      </c>
    </row>
    <row r="32">
      <c r="A32" s="282">
        <f>'CONTROLE PRODUÇÃO POR EMPRESAS'!A30</f>
        <v/>
      </c>
      <c r="B32" s="223" t="n">
        <v>7</v>
      </c>
    </row>
    <row r="33">
      <c r="A33" s="282">
        <f>'CONTROLE PRODUÇÃO POR EMPRESAS'!A31</f>
        <v/>
      </c>
      <c r="B33" s="223" t="n">
        <v>7</v>
      </c>
    </row>
    <row r="34">
      <c r="A34" s="282">
        <f>'CONTROLE PRODUÇÃO POR EMPRESAS'!A32</f>
        <v/>
      </c>
      <c r="B34" s="223" t="n">
        <v>1</v>
      </c>
    </row>
    <row r="35">
      <c r="A35" s="282">
        <f>'CONTROLE PRODUÇÃO POR EMPRESAS'!A33</f>
        <v/>
      </c>
      <c r="B35" s="223" t="n">
        <v>0</v>
      </c>
    </row>
    <row r="36">
      <c r="A36" s="282">
        <f>'CONTROLE PRODUÇÃO POR EMPRESAS'!A34</f>
        <v/>
      </c>
      <c r="B36" s="223" t="n">
        <v>5</v>
      </c>
    </row>
    <row r="37">
      <c r="A37" s="282">
        <f>'CONTROLE PRODUÇÃO POR EMPRESAS'!A35</f>
        <v/>
      </c>
      <c r="B37" s="223" t="n">
        <v>5</v>
      </c>
    </row>
    <row r="38">
      <c r="A38" s="282">
        <f>'CONTROLE PRODUÇÃO POR EMPRESAS'!A36</f>
        <v/>
      </c>
      <c r="B38" s="223" t="n">
        <v>4</v>
      </c>
    </row>
    <row r="39">
      <c r="A39" s="282">
        <f>'CONTROLE PRODUÇÃO POR EMPRESAS'!A37</f>
        <v/>
      </c>
      <c r="B39" s="223" t="n">
        <v>2</v>
      </c>
    </row>
    <row r="40">
      <c r="A40" s="282">
        <f>'CONTROLE PRODUÇÃO POR EMPRESAS'!A38</f>
        <v/>
      </c>
      <c r="B40" s="223" t="n">
        <v>5</v>
      </c>
      <c r="C40" s="223" t="n">
        <v>3</v>
      </c>
    </row>
    <row r="41">
      <c r="A41" s="282">
        <f>'CONTROLE PRODUÇÃO POR EMPRESAS'!A39</f>
        <v/>
      </c>
      <c r="B41" s="223" t="n">
        <v>2</v>
      </c>
      <c r="C41" s="223" t="n">
        <v>4</v>
      </c>
    </row>
    <row r="42">
      <c r="A42" s="282">
        <f>'CONTROLE PRODUÇÃO POR EMPRESAS'!A40</f>
        <v/>
      </c>
    </row>
    <row r="43">
      <c r="A43" s="282">
        <f>'CONTROLE PRODUÇÃO POR EMPRESAS'!A41</f>
        <v/>
      </c>
      <c r="B43" s="223" t="n">
        <v>6</v>
      </c>
      <c r="C43" s="223" t="n">
        <v>7</v>
      </c>
    </row>
    <row r="44">
      <c r="A44" s="282">
        <f>'CONTROLE PRODUÇÃO POR EMPRESAS'!A42</f>
        <v/>
      </c>
      <c r="B44" s="223" t="n">
        <v>4</v>
      </c>
      <c r="C44" s="223" t="n">
        <v>0</v>
      </c>
      <c r="D44" s="223" t="n">
        <v>6</v>
      </c>
    </row>
    <row r="45">
      <c r="A45" s="282">
        <f>'CONTROLE PRODUÇÃO POR EMPRESAS'!A43</f>
        <v/>
      </c>
      <c r="B45" s="223" t="n">
        <v>5</v>
      </c>
      <c r="C45" s="223" t="n">
        <v>10</v>
      </c>
      <c r="D45" s="223" t="n">
        <v>0</v>
      </c>
    </row>
    <row r="46">
      <c r="A46" s="282">
        <f>'CONTROLE PRODUÇÃO POR EMPRESAS'!A44</f>
        <v/>
      </c>
      <c r="B46" s="223" t="n">
        <v>2</v>
      </c>
      <c r="C46" s="223" t="n">
        <v>6</v>
      </c>
      <c r="D46" s="223" t="n">
        <v>6</v>
      </c>
    </row>
    <row r="47">
      <c r="A47" s="282">
        <f>'CONTROLE PRODUÇÃO POR EMPRESAS'!A45</f>
        <v/>
      </c>
      <c r="B47" s="223" t="n">
        <v>5</v>
      </c>
      <c r="C47" s="223" t="n">
        <v>12</v>
      </c>
      <c r="D47" s="223" t="n">
        <v>0</v>
      </c>
    </row>
    <row r="48">
      <c r="A48" s="282">
        <f>'CONTROLE PRODUÇÃO POR EMPRESAS'!A46</f>
        <v/>
      </c>
      <c r="B48" s="223" t="n">
        <v>2</v>
      </c>
      <c r="C48" s="223" t="n">
        <v>0</v>
      </c>
      <c r="D48" s="223" t="n">
        <v>0</v>
      </c>
    </row>
    <row r="49">
      <c r="A49" s="282">
        <f>'CONTROLE PRODUÇÃO POR EMPRESAS'!A47</f>
        <v/>
      </c>
    </row>
    <row r="50">
      <c r="A50" s="282">
        <f>'CONTROLE PRODUÇÃO POR EMPRESAS'!A48</f>
        <v/>
      </c>
      <c r="B50" s="223" t="n">
        <v>5</v>
      </c>
      <c r="C50" s="223" t="n">
        <v>0</v>
      </c>
      <c r="D50" s="223" t="n">
        <v>0</v>
      </c>
    </row>
    <row r="51">
      <c r="A51" s="282">
        <f>'CONTROLE PRODUÇÃO POR EMPRESAS'!A49</f>
        <v/>
      </c>
      <c r="B51" s="223" t="n">
        <v>5</v>
      </c>
      <c r="C51" s="223" t="n">
        <v>0</v>
      </c>
      <c r="D51" s="223" t="n">
        <v>0</v>
      </c>
    </row>
    <row r="52">
      <c r="A52" s="282">
        <f>'CONTROLE PRODUÇÃO POR EMPRESAS'!A50</f>
        <v/>
      </c>
      <c r="B52" s="223" t="n">
        <v>5</v>
      </c>
      <c r="C52" s="223" t="n">
        <v>0</v>
      </c>
      <c r="D52" s="223" t="n">
        <v>0</v>
      </c>
    </row>
    <row r="53">
      <c r="A53" s="282">
        <f>'CONTROLE PRODUÇÃO POR EMPRESAS'!A51</f>
        <v/>
      </c>
      <c r="B53" s="223" t="n">
        <v>5</v>
      </c>
      <c r="C53" s="223" t="n">
        <v>0</v>
      </c>
      <c r="D53" s="223" t="n">
        <v>0</v>
      </c>
    </row>
    <row r="54">
      <c r="A54" s="282">
        <f>'CONTROLE PRODUÇÃO POR EMPRESAS'!A52</f>
        <v/>
      </c>
      <c r="B54" s="223" t="n">
        <v>8</v>
      </c>
      <c r="C54" s="223" t="n">
        <v>16</v>
      </c>
      <c r="D54" s="223" t="n">
        <v>8</v>
      </c>
    </row>
    <row r="55">
      <c r="A55" s="282">
        <f>'CONTROLE PRODUÇÃO POR EMPRESAS'!A53</f>
        <v/>
      </c>
    </row>
    <row r="56">
      <c r="A56" s="282">
        <f>'CONTROLE PRODUÇÃO POR EMPRESAS'!A54</f>
        <v/>
      </c>
    </row>
    <row r="57">
      <c r="A57" s="282">
        <f>'CONTROLE PRODUÇÃO POR EMPRESAS'!A55</f>
        <v/>
      </c>
    </row>
    <row r="58">
      <c r="A58" s="282">
        <f>'CONTROLE PRODUÇÃO POR EMPRESAS'!A56</f>
        <v/>
      </c>
      <c r="B58" s="223" t="n">
        <v>5</v>
      </c>
      <c r="C58" s="223" t="n">
        <v>4</v>
      </c>
      <c r="D58" s="223" t="n">
        <v>0</v>
      </c>
    </row>
    <row r="59">
      <c r="A59" s="282">
        <f>'CONTROLE PRODUÇÃO POR EMPRESAS'!A57</f>
        <v/>
      </c>
      <c r="B59" s="223" t="n">
        <v>5</v>
      </c>
      <c r="C59" s="223" t="n">
        <v>8</v>
      </c>
      <c r="D59" s="223" t="n">
        <v>0</v>
      </c>
    </row>
    <row r="60">
      <c r="A60" s="282">
        <f>'CONTROLE PRODUÇÃO POR EMPRESAS'!A58</f>
        <v/>
      </c>
      <c r="B60" s="223" t="n">
        <v>4</v>
      </c>
      <c r="C60" s="223" t="n">
        <v>0</v>
      </c>
      <c r="D60" s="223" t="n">
        <v>2</v>
      </c>
    </row>
    <row r="61">
      <c r="A61" s="282">
        <f>'CONTROLE PRODUÇÃO POR EMPRESAS'!A59</f>
        <v/>
      </c>
      <c r="B61" s="223" t="n">
        <v>5</v>
      </c>
      <c r="C61" s="223" t="n">
        <v>2</v>
      </c>
      <c r="D61" s="223" t="n">
        <v>4</v>
      </c>
    </row>
    <row r="62">
      <c r="A62" s="282">
        <f>'CONTROLE PRODUÇÃO POR EMPRESAS'!A60</f>
        <v/>
      </c>
      <c r="B62" s="223" t="n">
        <v>0</v>
      </c>
      <c r="C62" s="223" t="n">
        <v>6</v>
      </c>
      <c r="D62" s="223" t="n">
        <v>3</v>
      </c>
    </row>
    <row r="63">
      <c r="A63" s="282">
        <f>'CONTROLE PRODUÇÃO POR EMPRESAS'!A61</f>
        <v/>
      </c>
    </row>
    <row r="64">
      <c r="A64" s="282">
        <f>'CONTROLE PRODUÇÃO POR EMPRESAS'!A62</f>
        <v/>
      </c>
      <c r="B64" s="223" t="n">
        <v>7</v>
      </c>
      <c r="C64" s="223" t="n">
        <v>4</v>
      </c>
      <c r="D64" s="223" t="n">
        <v>1</v>
      </c>
    </row>
    <row r="65">
      <c r="A65" s="282">
        <f>'CONTROLE PRODUÇÃO POR EMPRESAS'!A63</f>
        <v/>
      </c>
      <c r="B65" s="223" t="n">
        <v>5</v>
      </c>
      <c r="C65" s="223" t="n">
        <v>9</v>
      </c>
      <c r="D65" s="223" t="n">
        <v>1</v>
      </c>
    </row>
    <row r="66">
      <c r="A66" s="282">
        <f>'CONTROLE PRODUÇÃO POR EMPRESAS'!A64</f>
        <v/>
      </c>
      <c r="B66" s="223" t="n">
        <v>6</v>
      </c>
      <c r="C66" s="223" t="n">
        <v>0</v>
      </c>
      <c r="D66" s="223" t="n">
        <v>0</v>
      </c>
    </row>
    <row r="67">
      <c r="A67" s="282">
        <f>'CONTROLE PRODUÇÃO POR EMPRESAS'!A65</f>
        <v/>
      </c>
      <c r="B67" s="223" t="n">
        <v>0</v>
      </c>
      <c r="C67" s="223" t="n">
        <v>0</v>
      </c>
      <c r="D67" s="223" t="n">
        <v>0</v>
      </c>
    </row>
    <row r="68">
      <c r="A68" s="282">
        <f>'CONTROLE PRODUÇÃO POR EMPRESAS'!A66</f>
        <v/>
      </c>
      <c r="B68" s="223" t="n">
        <v>0</v>
      </c>
      <c r="C68" s="223" t="n">
        <v>4</v>
      </c>
      <c r="D68" s="223" t="n">
        <v>2</v>
      </c>
    </row>
    <row r="69">
      <c r="A69" s="282">
        <f>'CONTROLE PRODUÇÃO POR EMPRESAS'!A67</f>
        <v/>
      </c>
      <c r="B69" s="223" t="n">
        <v>0</v>
      </c>
      <c r="C69" s="223" t="n">
        <v>0</v>
      </c>
      <c r="D69" s="223" t="n">
        <v>3</v>
      </c>
    </row>
    <row r="70">
      <c r="A70" s="282">
        <f>'CONTROLE PRODUÇÃO POR EMPRESAS'!A68</f>
        <v/>
      </c>
    </row>
    <row r="71">
      <c r="A71" s="282">
        <f>'CONTROLE PRODUÇÃO POR EMPRESAS'!A69</f>
        <v/>
      </c>
      <c r="B71" s="223" t="n">
        <v>2</v>
      </c>
      <c r="C71" s="223" t="n">
        <v>0</v>
      </c>
      <c r="D71" s="223" t="n">
        <v>0</v>
      </c>
    </row>
    <row r="72">
      <c r="A72" s="282">
        <f>'CONTROLE PRODUÇÃO POR EMPRESAS'!A70</f>
        <v/>
      </c>
      <c r="B72" s="223" t="n">
        <v>3</v>
      </c>
      <c r="C72" s="223" t="n">
        <v>0</v>
      </c>
      <c r="D72" s="223" t="n">
        <v>0</v>
      </c>
    </row>
    <row r="73">
      <c r="A73" s="282">
        <f>'CONTROLE PRODUÇÃO POR EMPRESAS'!A71</f>
        <v/>
      </c>
      <c r="B73" s="223" t="n">
        <v>3</v>
      </c>
      <c r="C73" s="223" t="n">
        <v>8</v>
      </c>
      <c r="D73" s="223" t="n">
        <v>0</v>
      </c>
    </row>
    <row r="74">
      <c r="A74" s="282">
        <f>'CONTROLE PRODUÇÃO POR EMPRESAS'!A72</f>
        <v/>
      </c>
      <c r="B74" s="223" t="n">
        <v>3</v>
      </c>
      <c r="C74" s="223" t="n">
        <v>0</v>
      </c>
      <c r="D74" s="223" t="n">
        <v>0</v>
      </c>
    </row>
    <row r="75">
      <c r="A75" s="282">
        <f>'CONTROLE PRODUÇÃO POR EMPRESAS'!A73</f>
        <v/>
      </c>
      <c r="B75" s="223" t="n">
        <v>3</v>
      </c>
      <c r="C75" s="223" t="n">
        <v>0</v>
      </c>
      <c r="D75" s="223" t="n">
        <v>0</v>
      </c>
    </row>
    <row r="76">
      <c r="A76" s="282">
        <f>'CONTROLE PRODUÇÃO POR EMPRESAS'!A74</f>
        <v/>
      </c>
      <c r="B76" s="223" t="n">
        <v>0</v>
      </c>
      <c r="C76" s="223" t="n">
        <v>0</v>
      </c>
      <c r="D76" s="223" t="n">
        <v>0</v>
      </c>
    </row>
    <row r="77">
      <c r="A77" s="282">
        <f>'CONTROLE PRODUÇÃO POR EMPRESAS'!A75</f>
        <v/>
      </c>
    </row>
    <row r="78">
      <c r="A78" s="282">
        <f>'CONTROLE PRODUÇÃO POR EMPRESAS'!A76</f>
        <v/>
      </c>
    </row>
    <row r="79">
      <c r="A79" s="282">
        <f>'CONTROLE PRODUÇÃO POR EMPRESAS'!A77</f>
        <v/>
      </c>
    </row>
    <row r="80">
      <c r="A80" s="282">
        <f>'CONTROLE PRODUÇÃO POR EMPRESAS'!A78</f>
        <v/>
      </c>
    </row>
    <row r="81">
      <c r="A81" s="282">
        <f>'CONTROLE PRODUÇÃO POR EMPRESAS'!A79</f>
        <v/>
      </c>
    </row>
    <row r="82">
      <c r="A82" s="282">
        <f>'CONTROLE PRODUÇÃO POR EMPRESAS'!A80</f>
        <v/>
      </c>
    </row>
    <row r="83">
      <c r="A83" s="282">
        <f>'CONTROLE PRODUÇÃO POR EMPRESAS'!A81</f>
        <v/>
      </c>
    </row>
    <row r="84">
      <c r="A84" s="282">
        <f>'CONTROLE PRODUÇÃO POR EMPRESAS'!A82</f>
        <v/>
      </c>
    </row>
    <row r="85">
      <c r="A85" s="282">
        <f>'CONTROLE PRODUÇÃO POR EMPRESAS'!A83</f>
        <v/>
      </c>
    </row>
    <row r="86">
      <c r="A86" s="282">
        <f>'CONTROLE PRODUÇÃO POR EMPRESAS'!A84</f>
        <v/>
      </c>
    </row>
    <row r="87">
      <c r="A87" s="282">
        <f>'CONTROLE PRODUÇÃO POR EMPRESAS'!A85</f>
        <v/>
      </c>
    </row>
    <row r="88">
      <c r="A88" s="282">
        <f>'CONTROLE PRODUÇÃO POR EMPRESAS'!A86</f>
        <v/>
      </c>
    </row>
    <row r="89">
      <c r="A89" s="282">
        <f>'CONTROLE PRODUÇÃO POR EMPRESAS'!A87</f>
        <v/>
      </c>
    </row>
    <row r="90">
      <c r="A90" s="282">
        <f>'CONTROLE PRODUÇÃO POR EMPRESAS'!A88</f>
        <v/>
      </c>
    </row>
    <row r="91">
      <c r="A91" s="282">
        <f>'CONTROLE PRODUÇÃO POR EMPRESAS'!A89</f>
        <v/>
      </c>
    </row>
    <row r="92">
      <c r="A92" s="282">
        <f>'CONTROLE PRODUÇÃO POR EMPRESAS'!A90</f>
        <v/>
      </c>
    </row>
    <row r="93">
      <c r="A93" s="282">
        <f>'CONTROLE PRODUÇÃO POR EMPRESAS'!A91</f>
        <v/>
      </c>
    </row>
    <row r="94">
      <c r="A94" s="282">
        <f>'CONTROLE PRODUÇÃO POR EMPRESAS'!A92</f>
        <v/>
      </c>
    </row>
    <row r="95">
      <c r="A95" s="282">
        <f>'CONTROLE PRODUÇÃO POR EMPRESAS'!A93</f>
        <v/>
      </c>
    </row>
    <row r="96">
      <c r="A96" s="282">
        <f>'CONTROLE PRODUÇÃO POR EMPRESAS'!A94</f>
        <v/>
      </c>
    </row>
    <row r="97">
      <c r="A97" s="282">
        <f>'CONTROLE PRODUÇÃO POR EMPRESAS'!A95</f>
        <v/>
      </c>
    </row>
    <row r="98">
      <c r="A98" s="282">
        <f>'CONTROLE PRODUÇÃO POR EMPRESAS'!A96</f>
        <v/>
      </c>
    </row>
    <row r="99">
      <c r="A99" s="282">
        <f>'CONTROLE PRODUÇÃO POR EMPRESAS'!A97</f>
        <v/>
      </c>
    </row>
    <row r="100">
      <c r="A100" s="282">
        <f>'CONTROLE PRODUÇÃO POR EMPRESAS'!A98</f>
        <v/>
      </c>
    </row>
    <row r="101">
      <c r="A101" s="282">
        <f>'CONTROLE PRODUÇÃO POR EMPRESAS'!A99</f>
        <v/>
      </c>
    </row>
    <row r="102">
      <c r="A102" s="282">
        <f>'CONTROLE PRODUÇÃO POR EMPRESAS'!A100</f>
        <v/>
      </c>
    </row>
    <row r="103">
      <c r="A103" s="282">
        <f>'CONTROLE PRODUÇÃO POR EMPRESAS'!A101</f>
        <v/>
      </c>
    </row>
    <row r="104">
      <c r="A104" s="282">
        <f>'CONTROLE PRODUÇÃO POR EMPRESAS'!A102</f>
        <v/>
      </c>
    </row>
    <row r="105">
      <c r="A105" s="282">
        <f>'CONTROLE PRODUÇÃO POR EMPRESAS'!A103</f>
        <v/>
      </c>
    </row>
    <row r="106">
      <c r="A106" s="282">
        <f>'CONTROLE PRODUÇÃO POR EMPRESAS'!A104</f>
        <v/>
      </c>
    </row>
    <row r="107">
      <c r="A107" s="282">
        <f>'CONTROLE PRODUÇÃO POR EMPRESAS'!A105</f>
        <v/>
      </c>
    </row>
    <row r="108">
      <c r="A108" s="282">
        <f>'CONTROLE PRODUÇÃO POR EMPRESAS'!A106</f>
        <v/>
      </c>
    </row>
    <row r="109">
      <c r="A109" s="282">
        <f>'CONTROLE PRODUÇÃO POR EMPRESAS'!A107</f>
        <v/>
      </c>
    </row>
    <row r="110">
      <c r="A110" s="282">
        <f>'CONTROLE PRODUÇÃO POR EMPRESAS'!A108</f>
        <v/>
      </c>
    </row>
    <row r="111">
      <c r="A111" s="282">
        <f>'CONTROLE PRODUÇÃO POR EMPRESAS'!A109</f>
        <v/>
      </c>
    </row>
    <row r="112">
      <c r="A112" s="282">
        <f>'CONTROLE PRODUÇÃO POR EMPRESAS'!A110</f>
        <v/>
      </c>
    </row>
    <row r="113">
      <c r="A113" s="282">
        <f>'CONTROLE PRODUÇÃO POR EMPRESAS'!A111</f>
        <v/>
      </c>
    </row>
    <row r="114">
      <c r="A114" s="282">
        <f>'CONTROLE PRODUÇÃO POR EMPRESAS'!A112</f>
        <v/>
      </c>
    </row>
    <row r="115">
      <c r="A115" s="282">
        <f>'CONTROLE PRODUÇÃO POR EMPRESAS'!A113</f>
        <v/>
      </c>
    </row>
    <row r="116">
      <c r="A116" s="282">
        <f>'CONTROLE PRODUÇÃO POR EMPRESAS'!A114</f>
        <v/>
      </c>
    </row>
    <row r="117">
      <c r="A117" s="282">
        <f>'CONTROLE PRODUÇÃO POR EMPRESAS'!A115</f>
        <v/>
      </c>
    </row>
    <row r="118">
      <c r="A118" s="282">
        <f>'CONTROLE PRODUÇÃO POR EMPRESAS'!A116</f>
        <v/>
      </c>
    </row>
    <row r="119">
      <c r="A119" s="282">
        <f>'CONTROLE PRODUÇÃO POR EMPRESAS'!A117</f>
        <v/>
      </c>
    </row>
    <row r="120">
      <c r="A120" s="282">
        <f>'CONTROLE PRODUÇÃO POR EMPRESAS'!A118</f>
        <v/>
      </c>
    </row>
    <row r="121">
      <c r="A121" s="282">
        <f>'CONTROLE PRODUÇÃO POR EMPRESAS'!A119</f>
        <v/>
      </c>
    </row>
    <row r="122">
      <c r="A122" s="282">
        <f>'CONTROLE PRODUÇÃO POR EMPRESAS'!A120</f>
        <v/>
      </c>
    </row>
    <row r="123">
      <c r="A123" s="282">
        <f>'CONTROLE PRODUÇÃO POR EMPRESAS'!A121</f>
        <v/>
      </c>
    </row>
    <row r="124">
      <c r="A124" s="282">
        <f>'CONTROLE PRODUÇÃO POR EMPRESAS'!A122</f>
        <v/>
      </c>
    </row>
    <row r="125">
      <c r="A125" s="282">
        <f>'CONTROLE PRODUÇÃO POR EMPRESAS'!A123</f>
        <v/>
      </c>
    </row>
    <row r="126">
      <c r="A126" s="282">
        <f>'CONTROLE PRODUÇÃO POR EMPRESAS'!A124</f>
        <v/>
      </c>
    </row>
    <row r="127">
      <c r="A127" s="282">
        <f>'CONTROLE PRODUÇÃO POR EMPRESAS'!A125</f>
        <v/>
      </c>
    </row>
    <row r="128">
      <c r="A128" s="282">
        <f>'CONTROLE PRODUÇÃO POR EMPRESAS'!A126</f>
        <v/>
      </c>
    </row>
    <row r="129">
      <c r="A129" s="282">
        <f>'CONTROLE PRODUÇÃO POR EMPRESAS'!A127</f>
        <v/>
      </c>
    </row>
    <row r="130">
      <c r="A130" s="282">
        <f>'CONTROLE PRODUÇÃO POR EMPRESAS'!A128</f>
        <v/>
      </c>
    </row>
    <row r="131">
      <c r="A131" s="282">
        <f>'CONTROLE PRODUÇÃO POR EMPRESAS'!A129</f>
        <v/>
      </c>
    </row>
    <row r="132">
      <c r="A132" s="282">
        <f>'CONTROLE PRODUÇÃO POR EMPRESAS'!A130</f>
        <v/>
      </c>
    </row>
    <row r="133">
      <c r="A133" s="282">
        <f>'CONTROLE PRODUÇÃO POR EMPRESAS'!A131</f>
        <v/>
      </c>
    </row>
    <row r="134">
      <c r="A134" s="282">
        <f>'CONTROLE PRODUÇÃO POR EMPRESAS'!A132</f>
        <v/>
      </c>
    </row>
    <row r="135">
      <c r="A135" s="282">
        <f>'CONTROLE PRODUÇÃO POR EMPRESAS'!A133</f>
        <v/>
      </c>
    </row>
    <row r="136">
      <c r="A136" s="282">
        <f>'CONTROLE PRODUÇÃO POR EMPRESAS'!A134</f>
        <v/>
      </c>
    </row>
    <row r="137">
      <c r="A137" s="282">
        <f>'CONTROLE PRODUÇÃO POR EMPRESAS'!A135</f>
        <v/>
      </c>
    </row>
    <row r="138">
      <c r="A138" s="282">
        <f>'CONTROLE PRODUÇÃO POR EMPRESAS'!A136</f>
        <v/>
      </c>
    </row>
    <row r="139">
      <c r="A139" s="282">
        <f>'CONTROLE PRODUÇÃO POR EMPRESAS'!A137</f>
        <v/>
      </c>
    </row>
    <row r="140">
      <c r="A140" s="282">
        <f>'CONTROLE PRODUÇÃO POR EMPRESAS'!A138</f>
        <v/>
      </c>
    </row>
    <row r="141">
      <c r="A141" s="282">
        <f>'CONTROLE PRODUÇÃO POR EMPRESAS'!A139</f>
        <v/>
      </c>
    </row>
    <row r="142">
      <c r="A142" s="282">
        <f>'CONTROLE PRODUÇÃO POR EMPRESAS'!A140</f>
        <v/>
      </c>
    </row>
    <row r="143">
      <c r="A143" s="282">
        <f>'CONTROLE PRODUÇÃO POR EMPRESAS'!A141</f>
        <v/>
      </c>
    </row>
    <row r="144">
      <c r="A144" s="282">
        <f>'CONTROLE PRODUÇÃO POR EMPRESAS'!A142</f>
        <v/>
      </c>
    </row>
    <row r="145">
      <c r="A145" s="282">
        <f>'CONTROLE PRODUÇÃO POR EMPRESAS'!A143</f>
        <v/>
      </c>
    </row>
    <row r="146">
      <c r="A146" s="282">
        <f>'CONTROLE PRODUÇÃO POR EMPRESAS'!A144</f>
        <v/>
      </c>
    </row>
    <row r="147">
      <c r="A147" s="282">
        <f>'CONTROLE PRODUÇÃO POR EMPRESAS'!A145</f>
        <v/>
      </c>
    </row>
    <row r="148">
      <c r="A148" s="282">
        <f>'CONTROLE PRODUÇÃO POR EMPRESAS'!A146</f>
        <v/>
      </c>
    </row>
    <row r="149">
      <c r="A149" s="282">
        <f>'CONTROLE PRODUÇÃO POR EMPRESAS'!A147</f>
        <v/>
      </c>
    </row>
    <row r="150">
      <c r="A150" s="282">
        <f>'CONTROLE PRODUÇÃO POR EMPRESAS'!A148</f>
        <v/>
      </c>
    </row>
    <row r="151">
      <c r="A151" s="282">
        <f>'CONTROLE PRODUÇÃO POR EMPRESAS'!A149</f>
        <v/>
      </c>
    </row>
    <row r="152">
      <c r="A152" s="282">
        <f>'CONTROLE PRODUÇÃO POR EMPRESAS'!A150</f>
        <v/>
      </c>
    </row>
    <row r="153">
      <c r="A153" s="282">
        <f>'CONTROLE PRODUÇÃO POR EMPRESAS'!A151</f>
        <v/>
      </c>
    </row>
    <row r="154">
      <c r="A154" s="282">
        <f>'CONTROLE PRODUÇÃO POR EMPRESAS'!A152</f>
        <v/>
      </c>
    </row>
    <row r="155">
      <c r="A155" s="282">
        <f>'CONTROLE PRODUÇÃO POR EMPRESAS'!A153</f>
        <v/>
      </c>
    </row>
    <row r="156">
      <c r="A156" s="282">
        <f>'CONTROLE PRODUÇÃO POR EMPRESAS'!A154</f>
        <v/>
      </c>
    </row>
    <row r="157">
      <c r="A157" s="282">
        <f>'CONTROLE PRODUÇÃO POR EMPRESAS'!A155</f>
        <v/>
      </c>
    </row>
    <row r="158">
      <c r="A158" s="282">
        <f>'CONTROLE PRODUÇÃO POR EMPRESAS'!A156</f>
        <v/>
      </c>
    </row>
    <row r="159">
      <c r="A159" s="282">
        <f>'CONTROLE PRODUÇÃO POR EMPRESAS'!A157</f>
        <v/>
      </c>
    </row>
    <row r="160">
      <c r="A160" s="282">
        <f>'CONTROLE PRODUÇÃO POR EMPRESAS'!A158</f>
        <v/>
      </c>
    </row>
    <row r="161">
      <c r="A161" s="282">
        <f>'CONTROLE PRODUÇÃO POR EMPRESAS'!A159</f>
        <v/>
      </c>
    </row>
    <row r="162">
      <c r="A162" s="282">
        <f>'CONTROLE PRODUÇÃO POR EMPRESAS'!A160</f>
        <v/>
      </c>
    </row>
    <row r="163">
      <c r="A163" s="282">
        <f>'CONTROLE PRODUÇÃO POR EMPRESAS'!A161</f>
        <v/>
      </c>
    </row>
    <row r="164">
      <c r="A164" s="282">
        <f>'CONTROLE PRODUÇÃO POR EMPRESAS'!A162</f>
        <v/>
      </c>
    </row>
    <row r="165">
      <c r="A165" s="282">
        <f>'CONTROLE PRODUÇÃO POR EMPRESAS'!A163</f>
        <v/>
      </c>
    </row>
    <row r="166">
      <c r="A166" s="282">
        <f>'CONTROLE PRODUÇÃO POR EMPRESAS'!A164</f>
        <v/>
      </c>
    </row>
    <row r="167">
      <c r="A167" s="282">
        <f>'CONTROLE PRODUÇÃO POR EMPRESAS'!A165</f>
        <v/>
      </c>
    </row>
    <row r="168">
      <c r="A168" s="282">
        <f>'CONTROLE PRODUÇÃO POR EMPRESAS'!A166</f>
        <v/>
      </c>
    </row>
    <row r="169">
      <c r="A169" s="282">
        <f>'CONTROLE PRODUÇÃO POR EMPRESAS'!A167</f>
        <v/>
      </c>
    </row>
    <row r="170">
      <c r="A170" s="282">
        <f>'CONTROLE PRODUÇÃO POR EMPRESAS'!A168</f>
        <v/>
      </c>
    </row>
    <row r="171">
      <c r="A171" s="282">
        <f>'CONTROLE PRODUÇÃO POR EMPRESAS'!A169</f>
        <v/>
      </c>
    </row>
    <row r="172">
      <c r="A172" s="282">
        <f>'CONTROLE PRODUÇÃO POR EMPRESAS'!A170</f>
        <v/>
      </c>
    </row>
    <row r="173">
      <c r="A173" s="282">
        <f>'CONTROLE PRODUÇÃO POR EMPRESAS'!A171</f>
        <v/>
      </c>
    </row>
    <row r="174">
      <c r="A174" s="282">
        <f>'CONTROLE PRODUÇÃO POR EMPRESAS'!A172</f>
        <v/>
      </c>
    </row>
    <row r="175">
      <c r="A175" s="282">
        <f>'CONTROLE PRODUÇÃO POR EMPRESAS'!A173</f>
        <v/>
      </c>
    </row>
    <row r="176">
      <c r="A176" s="282">
        <f>'CONTROLE PRODUÇÃO POR EMPRESAS'!A174</f>
        <v/>
      </c>
    </row>
    <row r="177">
      <c r="A177" s="282">
        <f>'CONTROLE PRODUÇÃO POR EMPRESAS'!A175</f>
        <v/>
      </c>
    </row>
    <row r="178">
      <c r="A178" s="282">
        <f>'CONTROLE PRODUÇÃO POR EMPRESAS'!A176</f>
        <v/>
      </c>
    </row>
    <row r="179">
      <c r="A179" s="282">
        <f>'CONTROLE PRODUÇÃO POR EMPRESAS'!A177</f>
        <v/>
      </c>
    </row>
    <row r="180">
      <c r="A180" s="282">
        <f>'CONTROLE PRODUÇÃO POR EMPRESAS'!A178</f>
        <v/>
      </c>
    </row>
    <row r="181">
      <c r="A181" s="282">
        <f>'CONTROLE PRODUÇÃO POR EMPRESAS'!A179</f>
        <v/>
      </c>
    </row>
    <row r="182">
      <c r="A182" s="282">
        <f>'CONTROLE PRODUÇÃO POR EMPRESAS'!A180</f>
        <v/>
      </c>
    </row>
    <row r="183">
      <c r="A183" s="282">
        <f>'CONTROLE PRODUÇÃO POR EMPRESAS'!A181</f>
        <v/>
      </c>
    </row>
    <row r="184">
      <c r="A184" s="282">
        <f>'CONTROLE PRODUÇÃO POR EMPRESAS'!A182</f>
        <v/>
      </c>
    </row>
    <row r="185">
      <c r="A185" s="282">
        <f>'CONTROLE PRODUÇÃO POR EMPRESAS'!A183</f>
        <v/>
      </c>
    </row>
    <row r="186">
      <c r="A186" s="282">
        <f>'CONTROLE PRODUÇÃO POR EMPRESAS'!A184</f>
        <v/>
      </c>
    </row>
    <row r="187">
      <c r="A187" s="282">
        <f>'CONTROLE PRODUÇÃO POR EMPRESAS'!A185</f>
        <v/>
      </c>
    </row>
    <row r="188">
      <c r="A188" s="282">
        <f>'CONTROLE PRODUÇÃO POR EMPRESAS'!A186</f>
        <v/>
      </c>
    </row>
    <row r="189">
      <c r="A189" s="282">
        <f>'CONTROLE PRODUÇÃO POR EMPRESAS'!A187</f>
        <v/>
      </c>
    </row>
    <row r="190">
      <c r="A190" s="282">
        <f>'CONTROLE PRODUÇÃO POR EMPRESAS'!A188</f>
        <v/>
      </c>
    </row>
    <row r="191">
      <c r="A191" s="282">
        <f>'CONTROLE PRODUÇÃO POR EMPRESAS'!A189</f>
        <v/>
      </c>
    </row>
    <row r="192">
      <c r="A192" s="282">
        <f>'CONTROLE PRODUÇÃO POR EMPRESAS'!A190</f>
        <v/>
      </c>
    </row>
    <row r="193">
      <c r="A193" s="282">
        <f>'CONTROLE PRODUÇÃO POR EMPRESAS'!A191</f>
        <v/>
      </c>
    </row>
    <row r="194">
      <c r="A194" s="282">
        <f>'CONTROLE PRODUÇÃO POR EMPRESAS'!A192</f>
        <v/>
      </c>
    </row>
    <row r="195">
      <c r="A195" s="282">
        <f>'CONTROLE PRODUÇÃO POR EMPRESAS'!A193</f>
        <v/>
      </c>
    </row>
    <row r="196">
      <c r="A196" s="282">
        <f>'CONTROLE PRODUÇÃO POR EMPRESAS'!A194</f>
        <v/>
      </c>
    </row>
    <row r="197">
      <c r="A197" s="282">
        <f>'CONTROLE PRODUÇÃO POR EMPRESAS'!A195</f>
        <v/>
      </c>
    </row>
    <row r="198">
      <c r="A198" s="282">
        <f>'CONTROLE PRODUÇÃO POR EMPRESAS'!A196</f>
        <v/>
      </c>
    </row>
    <row r="199">
      <c r="A199" s="282">
        <f>'CONTROLE PRODUÇÃO POR EMPRESAS'!A197</f>
        <v/>
      </c>
    </row>
    <row r="200">
      <c r="A200" s="282">
        <f>'CONTROLE PRODUÇÃO POR EMPRESAS'!A198</f>
        <v/>
      </c>
    </row>
    <row r="201">
      <c r="A201" s="282">
        <f>'CONTROLE PRODUÇÃO POR EMPRESAS'!A199</f>
        <v/>
      </c>
    </row>
    <row r="202">
      <c r="A202" s="282">
        <f>'CONTROLE PRODUÇÃO POR EMPRESAS'!A200</f>
        <v/>
      </c>
    </row>
    <row r="203">
      <c r="A203" s="282">
        <f>'CONTROLE PRODUÇÃO POR EMPRESAS'!A201</f>
        <v/>
      </c>
    </row>
    <row r="204">
      <c r="A204" s="282">
        <f>'CONTROLE PRODUÇÃO POR EMPRESAS'!A202</f>
        <v/>
      </c>
    </row>
    <row r="205">
      <c r="A205" s="282">
        <f>'CONTROLE PRODUÇÃO POR EMPRESAS'!A203</f>
        <v/>
      </c>
    </row>
    <row r="206">
      <c r="A206" s="282">
        <f>'CONTROLE PRODUÇÃO POR EMPRESAS'!A204</f>
        <v/>
      </c>
    </row>
    <row r="207">
      <c r="A207" s="282">
        <f>'CONTROLE PRODUÇÃO POR EMPRESAS'!A205</f>
        <v/>
      </c>
    </row>
    <row r="208">
      <c r="A208" s="282">
        <f>'CONTROLE PRODUÇÃO POR EMPRESAS'!A206</f>
        <v/>
      </c>
    </row>
    <row r="209">
      <c r="A209" s="282">
        <f>'CONTROLE PRODUÇÃO POR EMPRESAS'!A207</f>
        <v/>
      </c>
    </row>
    <row r="210">
      <c r="A210" s="282">
        <f>'CONTROLE PRODUÇÃO POR EMPRESAS'!A208</f>
        <v/>
      </c>
    </row>
    <row r="211">
      <c r="A211" s="282">
        <f>'CONTROLE PRODUÇÃO POR EMPRESAS'!A209</f>
        <v/>
      </c>
    </row>
    <row r="212">
      <c r="A212" s="282">
        <f>'CONTROLE PRODUÇÃO POR EMPRESAS'!A210</f>
        <v/>
      </c>
    </row>
    <row r="213">
      <c r="A213" s="282">
        <f>'CONTROLE PRODUÇÃO POR EMPRESAS'!A211</f>
        <v/>
      </c>
    </row>
    <row r="214">
      <c r="A214" s="282">
        <f>'CONTROLE PRODUÇÃO POR EMPRESAS'!A212</f>
        <v/>
      </c>
    </row>
    <row r="215">
      <c r="A215" s="282">
        <f>'CONTROLE PRODUÇÃO POR EMPRESAS'!A213</f>
        <v/>
      </c>
    </row>
    <row r="216">
      <c r="A216" s="282">
        <f>'CONTROLE PRODUÇÃO POR EMPRESAS'!A214</f>
        <v/>
      </c>
    </row>
    <row r="217">
      <c r="A217" s="282">
        <f>'CONTROLE PRODUÇÃO POR EMPRESAS'!A215</f>
        <v/>
      </c>
    </row>
    <row r="218">
      <c r="A218" s="282">
        <f>'CONTROLE PRODUÇÃO POR EMPRESAS'!A216</f>
        <v/>
      </c>
    </row>
    <row r="219">
      <c r="A219" s="282">
        <f>'CONTROLE PRODUÇÃO POR EMPRESAS'!A217</f>
        <v/>
      </c>
    </row>
    <row r="220">
      <c r="A220" s="282">
        <f>'CONTROLE PRODUÇÃO POR EMPRESAS'!A218</f>
        <v/>
      </c>
    </row>
    <row r="221">
      <c r="A221" s="282">
        <f>'CONTROLE PRODUÇÃO POR EMPRESAS'!A219</f>
        <v/>
      </c>
    </row>
    <row r="222">
      <c r="A222" s="282">
        <f>'CONTROLE PRODUÇÃO POR EMPRESAS'!A220</f>
        <v/>
      </c>
    </row>
    <row r="223">
      <c r="A223" s="282">
        <f>'CONTROLE PRODUÇÃO POR EMPRESAS'!A221</f>
        <v/>
      </c>
    </row>
    <row r="224">
      <c r="A224" s="282">
        <f>'CONTROLE PRODUÇÃO POR EMPRESAS'!A222</f>
        <v/>
      </c>
    </row>
    <row r="225">
      <c r="A225" s="282">
        <f>'CONTROLE PRODUÇÃO POR EMPRESAS'!A223</f>
        <v/>
      </c>
    </row>
    <row r="226">
      <c r="A226" s="282">
        <f>'CONTROLE PRODUÇÃO POR EMPRESAS'!A224</f>
        <v/>
      </c>
    </row>
    <row r="227">
      <c r="A227" s="282">
        <f>'CONTROLE PRODUÇÃO POR EMPRESAS'!A225</f>
        <v/>
      </c>
    </row>
    <row r="228">
      <c r="A228" s="282">
        <f>'CONTROLE PRODUÇÃO POR EMPRESAS'!A226</f>
        <v/>
      </c>
    </row>
    <row r="229">
      <c r="A229" s="282">
        <f>'CONTROLE PRODUÇÃO POR EMPRESAS'!A227</f>
        <v/>
      </c>
    </row>
    <row r="230">
      <c r="A230" s="282">
        <f>'CONTROLE PRODUÇÃO POR EMPRESAS'!A228</f>
        <v/>
      </c>
    </row>
    <row r="231">
      <c r="A231" s="282">
        <f>'CONTROLE PRODUÇÃO POR EMPRESAS'!A229</f>
        <v/>
      </c>
    </row>
    <row r="232">
      <c r="A232" s="282">
        <f>'CONTROLE PRODUÇÃO POR EMPRESAS'!A230</f>
        <v/>
      </c>
    </row>
    <row r="233">
      <c r="A233" s="282">
        <f>'CONTROLE PRODUÇÃO POR EMPRESAS'!A231</f>
        <v/>
      </c>
    </row>
    <row r="234">
      <c r="A234" s="282">
        <f>'CONTROLE PRODUÇÃO POR EMPRESAS'!A232</f>
        <v/>
      </c>
    </row>
    <row r="235">
      <c r="A235" s="282">
        <f>'CONTROLE PRODUÇÃO POR EMPRESAS'!A233</f>
        <v/>
      </c>
    </row>
    <row r="236">
      <c r="A236" s="282">
        <f>'CONTROLE PRODUÇÃO POR EMPRESAS'!A234</f>
        <v/>
      </c>
    </row>
    <row r="237">
      <c r="A237" s="282">
        <f>'CONTROLE PRODUÇÃO POR EMPRESAS'!A235</f>
        <v/>
      </c>
    </row>
    <row r="238">
      <c r="A238" s="282">
        <f>'CONTROLE PRODUÇÃO POR EMPRESAS'!A236</f>
        <v/>
      </c>
    </row>
    <row r="239">
      <c r="A239" s="282">
        <f>'CONTROLE PRODUÇÃO POR EMPRESAS'!A237</f>
        <v/>
      </c>
    </row>
    <row r="240">
      <c r="A240" s="282">
        <f>'CONTROLE PRODUÇÃO POR EMPRESAS'!A238</f>
        <v/>
      </c>
    </row>
    <row r="241">
      <c r="A241" s="282">
        <f>'CONTROLE PRODUÇÃO POR EMPRESAS'!A239</f>
        <v/>
      </c>
    </row>
    <row r="242">
      <c r="A242" s="282">
        <f>'CONTROLE PRODUÇÃO POR EMPRESAS'!A240</f>
        <v/>
      </c>
    </row>
    <row r="243">
      <c r="A243" s="282">
        <f>'CONTROLE PRODUÇÃO POR EMPRESAS'!A241</f>
        <v/>
      </c>
    </row>
    <row r="244">
      <c r="A244" s="282">
        <f>'CONTROLE PRODUÇÃO POR EMPRESAS'!A242</f>
        <v/>
      </c>
    </row>
    <row r="245">
      <c r="A245" s="282">
        <f>'CONTROLE PRODUÇÃO POR EMPRESAS'!A243</f>
        <v/>
      </c>
    </row>
    <row r="246">
      <c r="A246" s="282">
        <f>'CONTROLE PRODUÇÃO POR EMPRESAS'!A244</f>
        <v/>
      </c>
    </row>
    <row r="247">
      <c r="A247" s="282">
        <f>'CONTROLE PRODUÇÃO POR EMPRESAS'!A245</f>
        <v/>
      </c>
    </row>
    <row r="248">
      <c r="A248" s="282">
        <f>'CONTROLE PRODUÇÃO POR EMPRESAS'!A246</f>
        <v/>
      </c>
    </row>
    <row r="249">
      <c r="A249" s="282">
        <f>'CONTROLE PRODUÇÃO POR EMPRESAS'!A247</f>
        <v/>
      </c>
    </row>
    <row r="250">
      <c r="A250" s="282">
        <f>'CONTROLE PRODUÇÃO POR EMPRESAS'!A248</f>
        <v/>
      </c>
    </row>
    <row r="251">
      <c r="A251" s="282">
        <f>'CONTROLE PRODUÇÃO POR EMPRESAS'!A249</f>
        <v/>
      </c>
    </row>
    <row r="252">
      <c r="A252" s="282">
        <f>'CONTROLE PRODUÇÃO POR EMPRESAS'!A250</f>
        <v/>
      </c>
    </row>
    <row r="253">
      <c r="A253" s="282">
        <f>'CONTROLE PRODUÇÃO POR EMPRESAS'!A251</f>
        <v/>
      </c>
    </row>
    <row r="254">
      <c r="A254" s="282">
        <f>'CONTROLE PRODUÇÃO POR EMPRESAS'!A252</f>
        <v/>
      </c>
    </row>
    <row r="255">
      <c r="A255" s="282">
        <f>'CONTROLE PRODUÇÃO POR EMPRESAS'!A253</f>
        <v/>
      </c>
    </row>
    <row r="256">
      <c r="A256" s="282">
        <f>'CONTROLE PRODUÇÃO POR EMPRESAS'!A254</f>
        <v/>
      </c>
    </row>
    <row r="257">
      <c r="A257" s="282">
        <f>'CONTROLE PRODUÇÃO POR EMPRESAS'!A255</f>
        <v/>
      </c>
    </row>
    <row r="258">
      <c r="A258" s="282">
        <f>'CONTROLE PRODUÇÃO POR EMPRESAS'!A256</f>
        <v/>
      </c>
    </row>
    <row r="259">
      <c r="A259" s="282">
        <f>'CONTROLE PRODUÇÃO POR EMPRESAS'!A257</f>
        <v/>
      </c>
    </row>
    <row r="260">
      <c r="A260" s="282">
        <f>'CONTROLE PRODUÇÃO POR EMPRESAS'!A258</f>
        <v/>
      </c>
    </row>
    <row r="261">
      <c r="A261" s="282">
        <f>'CONTROLE PRODUÇÃO POR EMPRESAS'!A259</f>
        <v/>
      </c>
    </row>
    <row r="262">
      <c r="A262" s="282">
        <f>'CONTROLE PRODUÇÃO POR EMPRESAS'!A260</f>
        <v/>
      </c>
    </row>
    <row r="263">
      <c r="A263" s="282">
        <f>'CONTROLE PRODUÇÃO POR EMPRESAS'!A261</f>
        <v/>
      </c>
    </row>
    <row r="264">
      <c r="A264" s="282">
        <f>'CONTROLE PRODUÇÃO POR EMPRESAS'!A262</f>
        <v/>
      </c>
    </row>
    <row r="265">
      <c r="A265" s="282">
        <f>'CONTROLE PRODUÇÃO POR EMPRESAS'!A263</f>
        <v/>
      </c>
    </row>
    <row r="266">
      <c r="A266" s="282">
        <f>'CONTROLE PRODUÇÃO POR EMPRESAS'!A264</f>
        <v/>
      </c>
    </row>
    <row r="267">
      <c r="A267" s="282">
        <f>'CONTROLE PRODUÇÃO POR EMPRESAS'!A265</f>
        <v/>
      </c>
    </row>
    <row r="268">
      <c r="A268" s="282">
        <f>'CONTROLE PRODUÇÃO POR EMPRESAS'!A266</f>
        <v/>
      </c>
    </row>
    <row r="269">
      <c r="A269" s="282">
        <f>'CONTROLE PRODUÇÃO POR EMPRESAS'!A267</f>
        <v/>
      </c>
    </row>
    <row r="270">
      <c r="A270" s="282">
        <f>'CONTROLE PRODUÇÃO POR EMPRESAS'!A268</f>
        <v/>
      </c>
    </row>
    <row r="271">
      <c r="A271" s="282">
        <f>'CONTROLE PRODUÇÃO POR EMPRESAS'!A269</f>
        <v/>
      </c>
    </row>
    <row r="272">
      <c r="A272" s="282">
        <f>'CONTROLE PRODUÇÃO POR EMPRESAS'!A270</f>
        <v/>
      </c>
    </row>
    <row r="273">
      <c r="A273" s="282">
        <f>'CONTROLE PRODUÇÃO POR EMPRESAS'!A271</f>
        <v/>
      </c>
    </row>
    <row r="274">
      <c r="A274" s="282">
        <f>'CONTROLE PRODUÇÃO POR EMPRESAS'!A272</f>
        <v/>
      </c>
    </row>
    <row r="275">
      <c r="A275" s="282">
        <f>'CONTROLE PRODUÇÃO POR EMPRESAS'!A273</f>
        <v/>
      </c>
    </row>
    <row r="276">
      <c r="A276" s="282">
        <f>'CONTROLE PRODUÇÃO POR EMPRESAS'!A274</f>
        <v/>
      </c>
    </row>
    <row r="277">
      <c r="A277" s="282">
        <f>'CONTROLE PRODUÇÃO POR EMPRESAS'!A275</f>
        <v/>
      </c>
    </row>
    <row r="278">
      <c r="A278" s="282">
        <f>'CONTROLE PRODUÇÃO POR EMPRESAS'!A276</f>
        <v/>
      </c>
    </row>
    <row r="279">
      <c r="A279" s="282">
        <f>'CONTROLE PRODUÇÃO POR EMPRESAS'!A277</f>
        <v/>
      </c>
    </row>
    <row r="280">
      <c r="A280" s="282">
        <f>'CONTROLE PRODUÇÃO POR EMPRESAS'!A278</f>
        <v/>
      </c>
    </row>
    <row r="281">
      <c r="A281" s="282">
        <f>'CONTROLE PRODUÇÃO POR EMPRESAS'!A279</f>
        <v/>
      </c>
    </row>
    <row r="282">
      <c r="A282" s="282">
        <f>'CONTROLE PRODUÇÃO POR EMPRESAS'!A280</f>
        <v/>
      </c>
    </row>
    <row r="283">
      <c r="A283" s="282">
        <f>'CONTROLE PRODUÇÃO POR EMPRESAS'!A281</f>
        <v/>
      </c>
    </row>
    <row r="284">
      <c r="A284" s="282">
        <f>'CONTROLE PRODUÇÃO POR EMPRESAS'!A282</f>
        <v/>
      </c>
    </row>
    <row r="285">
      <c r="A285" s="282">
        <f>'CONTROLE PRODUÇÃO POR EMPRESAS'!A283</f>
        <v/>
      </c>
    </row>
    <row r="286">
      <c r="A286" s="282">
        <f>'CONTROLE PRODUÇÃO POR EMPRESAS'!A284</f>
        <v/>
      </c>
    </row>
    <row r="287">
      <c r="A287" s="282">
        <f>'CONTROLE PRODUÇÃO POR EMPRESAS'!A285</f>
        <v/>
      </c>
    </row>
    <row r="288">
      <c r="A288" s="282">
        <f>'CONTROLE PRODUÇÃO POR EMPRESAS'!A286</f>
        <v/>
      </c>
    </row>
    <row r="289">
      <c r="A289" s="282">
        <f>'CONTROLE PRODUÇÃO POR EMPRESAS'!A287</f>
        <v/>
      </c>
    </row>
    <row r="290">
      <c r="A290" s="282">
        <f>'CONTROLE PRODUÇÃO POR EMPRESAS'!A288</f>
        <v/>
      </c>
    </row>
    <row r="291">
      <c r="A291" s="282">
        <f>'CONTROLE PRODUÇÃO POR EMPRESAS'!A289</f>
        <v/>
      </c>
    </row>
    <row r="292">
      <c r="A292" s="282">
        <f>'CONTROLE PRODUÇÃO POR EMPRESAS'!A290</f>
        <v/>
      </c>
    </row>
    <row r="293">
      <c r="A293" s="282">
        <f>'CONTROLE PRODUÇÃO POR EMPRESAS'!A291</f>
        <v/>
      </c>
    </row>
    <row r="294">
      <c r="A294" s="282">
        <f>'CONTROLE PRODUÇÃO POR EMPRESAS'!A292</f>
        <v/>
      </c>
    </row>
    <row r="295">
      <c r="A295" s="282">
        <f>'CONTROLE PRODUÇÃO POR EMPRESAS'!A293</f>
        <v/>
      </c>
    </row>
    <row r="296">
      <c r="A296" s="282">
        <f>'CONTROLE PRODUÇÃO POR EMPRESAS'!A294</f>
        <v/>
      </c>
    </row>
    <row r="297">
      <c r="A297" s="282">
        <f>'CONTROLE PRODUÇÃO POR EMPRESAS'!A295</f>
        <v/>
      </c>
    </row>
    <row r="298">
      <c r="A298" s="282">
        <f>'CONTROLE PRODUÇÃO POR EMPRESAS'!A296</f>
        <v/>
      </c>
    </row>
    <row r="299">
      <c r="A299" s="282">
        <f>'CONTROLE PRODUÇÃO POR EMPRESAS'!A297</f>
        <v/>
      </c>
    </row>
    <row r="300">
      <c r="A300" s="282">
        <f>'CONTROLE PRODUÇÃO POR EMPRESAS'!A298</f>
        <v/>
      </c>
    </row>
    <row r="301">
      <c r="A301" s="282">
        <f>'CONTROLE PRODUÇÃO POR EMPRESAS'!A299</f>
        <v/>
      </c>
    </row>
    <row r="302">
      <c r="A302" s="282">
        <f>'CONTROLE PRODUÇÃO POR EMPRESAS'!A300</f>
        <v/>
      </c>
    </row>
    <row r="303">
      <c r="A303" s="282">
        <f>'CONTROLE PRODUÇÃO POR EMPRESAS'!A301</f>
        <v/>
      </c>
    </row>
    <row r="304">
      <c r="A304" s="282">
        <f>'CONTROLE PRODUÇÃO POR EMPRESAS'!A302</f>
        <v/>
      </c>
    </row>
    <row r="305">
      <c r="A305" s="282">
        <f>'CONTROLE PRODUÇÃO POR EMPRESAS'!A303</f>
        <v/>
      </c>
    </row>
    <row r="306">
      <c r="A306" s="282">
        <f>'CONTROLE PRODUÇÃO POR EMPRESAS'!A304</f>
        <v/>
      </c>
    </row>
    <row r="307">
      <c r="A307" s="282">
        <f>'CONTROLE PRODUÇÃO POR EMPRESAS'!A305</f>
        <v/>
      </c>
    </row>
    <row r="308">
      <c r="A308" s="282">
        <f>'CONTROLE PRODUÇÃO POR EMPRESAS'!A306</f>
        <v/>
      </c>
    </row>
    <row r="309">
      <c r="A309" s="282">
        <f>'CONTROLE PRODUÇÃO POR EMPRESAS'!A307</f>
        <v/>
      </c>
    </row>
    <row r="310">
      <c r="A310" s="282">
        <f>'CONTROLE PRODUÇÃO POR EMPRESAS'!A308</f>
        <v/>
      </c>
    </row>
    <row r="311">
      <c r="A311" s="282">
        <f>'CONTROLE PRODUÇÃO POR EMPRESAS'!A309</f>
        <v/>
      </c>
    </row>
    <row r="312">
      <c r="A312" s="282">
        <f>'CONTROLE PRODUÇÃO POR EMPRESAS'!A310</f>
        <v/>
      </c>
    </row>
    <row r="313">
      <c r="A313" s="282">
        <f>'CONTROLE PRODUÇÃO POR EMPRESAS'!A311</f>
        <v/>
      </c>
    </row>
    <row r="314">
      <c r="A314" s="282">
        <f>'CONTROLE PRODUÇÃO POR EMPRESAS'!A312</f>
        <v/>
      </c>
    </row>
    <row r="315">
      <c r="A315" s="282">
        <f>'CONTROLE PRODUÇÃO POR EMPRESAS'!A313</f>
        <v/>
      </c>
    </row>
    <row r="316">
      <c r="A316" s="282">
        <f>'CONTROLE PRODUÇÃO POR EMPRESAS'!A314</f>
        <v/>
      </c>
    </row>
    <row r="317">
      <c r="A317" s="282">
        <f>'CONTROLE PRODUÇÃO POR EMPRESAS'!A315</f>
        <v/>
      </c>
    </row>
    <row r="318">
      <c r="A318" s="282">
        <f>'CONTROLE PRODUÇÃO POR EMPRESAS'!A316</f>
        <v/>
      </c>
    </row>
    <row r="319">
      <c r="A319" s="282">
        <f>'CONTROLE PRODUÇÃO POR EMPRESAS'!A317</f>
        <v/>
      </c>
    </row>
    <row r="320">
      <c r="A320" s="282">
        <f>'CONTROLE PRODUÇÃO POR EMPRESAS'!A318</f>
        <v/>
      </c>
    </row>
    <row r="321">
      <c r="A321" s="282">
        <f>'CONTROLE PRODUÇÃO POR EMPRESAS'!A319</f>
        <v/>
      </c>
    </row>
    <row r="322">
      <c r="A322" s="282">
        <f>'CONTROLE PRODUÇÃO POR EMPRESAS'!A320</f>
        <v/>
      </c>
    </row>
    <row r="323">
      <c r="A323" s="282">
        <f>'CONTROLE PRODUÇÃO POR EMPRESAS'!A321</f>
        <v/>
      </c>
    </row>
    <row r="324">
      <c r="A324" s="282">
        <f>'CONTROLE PRODUÇÃO POR EMPRESAS'!A322</f>
        <v/>
      </c>
    </row>
    <row r="325">
      <c r="A325" s="282">
        <f>'CONTROLE PRODUÇÃO POR EMPRESAS'!A323</f>
        <v/>
      </c>
    </row>
    <row r="326">
      <c r="A326" s="282">
        <f>'CONTROLE PRODUÇÃO POR EMPRESAS'!A324</f>
        <v/>
      </c>
    </row>
    <row r="327">
      <c r="A327" s="282">
        <f>'CONTROLE PRODUÇÃO POR EMPRESAS'!A325</f>
        <v/>
      </c>
    </row>
    <row r="328">
      <c r="A328" s="282">
        <f>'CONTROLE PRODUÇÃO POR EMPRESAS'!A326</f>
        <v/>
      </c>
    </row>
    <row r="329">
      <c r="A329" s="282">
        <f>'CONTROLE PRODUÇÃO POR EMPRESAS'!A327</f>
        <v/>
      </c>
    </row>
    <row r="330">
      <c r="A330" s="282">
        <f>'CONTROLE PRODUÇÃO POR EMPRESAS'!A328</f>
        <v/>
      </c>
    </row>
    <row r="331">
      <c r="A331" s="282">
        <f>'CONTROLE PRODUÇÃO POR EMPRESAS'!A329</f>
        <v/>
      </c>
    </row>
    <row r="332">
      <c r="A332" s="282">
        <f>'CONTROLE PRODUÇÃO POR EMPRESAS'!A330</f>
        <v/>
      </c>
    </row>
    <row r="333">
      <c r="A333" s="282">
        <f>'CONTROLE PRODUÇÃO POR EMPRESAS'!A331</f>
        <v/>
      </c>
    </row>
    <row r="334">
      <c r="A334" s="282">
        <f>'CONTROLE PRODUÇÃO POR EMPRESAS'!A332</f>
        <v/>
      </c>
    </row>
    <row r="335">
      <c r="A335" s="282">
        <f>'CONTROLE PRODUÇÃO POR EMPRESAS'!A333</f>
        <v/>
      </c>
    </row>
    <row r="336">
      <c r="A336" s="282">
        <f>'CONTROLE PRODUÇÃO POR EMPRESAS'!A334</f>
        <v/>
      </c>
    </row>
    <row r="337">
      <c r="A337" s="282">
        <f>'CONTROLE PRODUÇÃO POR EMPRESAS'!A335</f>
        <v/>
      </c>
    </row>
    <row r="338">
      <c r="A338" s="282">
        <f>'CONTROLE PRODUÇÃO POR EMPRESAS'!A336</f>
        <v/>
      </c>
    </row>
    <row r="339">
      <c r="A339" s="282">
        <f>'CONTROLE PRODUÇÃO POR EMPRESAS'!A337</f>
        <v/>
      </c>
    </row>
    <row r="340">
      <c r="A340" s="282">
        <f>'CONTROLE PRODUÇÃO POR EMPRESAS'!A338</f>
        <v/>
      </c>
    </row>
    <row r="341">
      <c r="A341" s="282">
        <f>'CONTROLE PRODUÇÃO POR EMPRESAS'!A339</f>
        <v/>
      </c>
    </row>
    <row r="342">
      <c r="A342" s="282">
        <f>'CONTROLE PRODUÇÃO POR EMPRESAS'!A340</f>
        <v/>
      </c>
    </row>
    <row r="343">
      <c r="A343" s="282">
        <f>'CONTROLE PRODUÇÃO POR EMPRESAS'!A341</f>
        <v/>
      </c>
    </row>
    <row r="344">
      <c r="A344" s="282">
        <f>'CONTROLE PRODUÇÃO POR EMPRESAS'!A342</f>
        <v/>
      </c>
    </row>
    <row r="345">
      <c r="A345" s="282">
        <f>'CONTROLE PRODUÇÃO POR EMPRESAS'!A343</f>
        <v/>
      </c>
    </row>
    <row r="346">
      <c r="A346" s="282">
        <f>'CONTROLE PRODUÇÃO POR EMPRESAS'!A344</f>
        <v/>
      </c>
    </row>
    <row r="347">
      <c r="A347" s="282">
        <f>'CONTROLE PRODUÇÃO POR EMPRESAS'!A345</f>
        <v/>
      </c>
    </row>
    <row r="348">
      <c r="A348" s="282">
        <f>'CONTROLE PRODUÇÃO POR EMPRESAS'!A346</f>
        <v/>
      </c>
    </row>
    <row r="349">
      <c r="A349" s="282">
        <f>'CONTROLE PRODUÇÃO POR EMPRESAS'!A347</f>
        <v/>
      </c>
    </row>
    <row r="350">
      <c r="A350" s="282">
        <f>'CONTROLE PRODUÇÃO POR EMPRESAS'!A348</f>
        <v/>
      </c>
    </row>
    <row r="351">
      <c r="A351" s="282">
        <f>'CONTROLE PRODUÇÃO POR EMPRESAS'!A349</f>
        <v/>
      </c>
    </row>
    <row r="352">
      <c r="A352" s="282">
        <f>'CONTROLE PRODUÇÃO POR EMPRESAS'!A350</f>
        <v/>
      </c>
    </row>
    <row r="353">
      <c r="A353" s="282">
        <f>'CONTROLE PRODUÇÃO POR EMPRESAS'!A351</f>
        <v/>
      </c>
    </row>
    <row r="354">
      <c r="A354" s="282">
        <f>'CONTROLE PRODUÇÃO POR EMPRESAS'!A352</f>
        <v/>
      </c>
    </row>
    <row r="355">
      <c r="A355" s="282">
        <f>'CONTROLE PRODUÇÃO POR EMPRESAS'!A353</f>
        <v/>
      </c>
    </row>
    <row r="356">
      <c r="A356" s="282">
        <f>'CONTROLE PRODUÇÃO POR EMPRESAS'!A354</f>
        <v/>
      </c>
    </row>
    <row r="357">
      <c r="A357" s="282">
        <f>'CONTROLE PRODUÇÃO POR EMPRESAS'!A355</f>
        <v/>
      </c>
    </row>
    <row r="358">
      <c r="A358" s="282">
        <f>'CONTROLE PRODUÇÃO POR EMPRESAS'!A356</f>
        <v/>
      </c>
    </row>
    <row r="359">
      <c r="A359" s="282">
        <f>'CONTROLE PRODUÇÃO POR EMPRESAS'!A357</f>
        <v/>
      </c>
    </row>
    <row r="360">
      <c r="A360" s="282">
        <f>'CONTROLE PRODUÇÃO POR EMPRESAS'!A358</f>
        <v/>
      </c>
    </row>
    <row r="361">
      <c r="A361" s="282">
        <f>'CONTROLE PRODUÇÃO POR EMPRESAS'!A359</f>
        <v/>
      </c>
    </row>
    <row r="362">
      <c r="A362" s="282">
        <f>'CONTROLE PRODUÇÃO POR EMPRESAS'!A360</f>
        <v/>
      </c>
    </row>
    <row r="363">
      <c r="A363" s="282">
        <f>'CONTROLE PRODUÇÃO POR EMPRESAS'!A361</f>
        <v/>
      </c>
    </row>
    <row r="364">
      <c r="A364" s="282">
        <f>'CONTROLE PRODUÇÃO POR EMPRESAS'!A362</f>
        <v/>
      </c>
    </row>
  </sheetData>
  <mergeCells count="3">
    <mergeCell ref="B2:D2"/>
    <mergeCell ref="A1:J1"/>
    <mergeCell ref="F2:I2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>
    <tabColor rgb="FFC55A11"/>
    <outlinePr summaryBelow="1" summaryRight="1"/>
    <pageSetUpPr/>
  </sheetPr>
  <dimension ref="A1:Z364"/>
  <sheetViews>
    <sheetView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E3" sqref="E3"/>
    </sheetView>
  </sheetViews>
  <sheetFormatPr baseColWidth="8" defaultColWidth="8.5546875" defaultRowHeight="14.4"/>
  <cols>
    <col width="13" customWidth="1" min="1" max="1"/>
    <col width="15" customWidth="1" style="223" min="2" max="25"/>
    <col width="40" customWidth="1" min="26" max="26"/>
  </cols>
  <sheetData>
    <row r="1" ht="24" customHeight="1">
      <c r="A1" s="225" t="inlineStr">
        <is>
          <t>CONTROLE DE PRODUÇÃO — GLOBO AÇOS — TELHAS, CALHAS E RUFOS   |   Lance aqui a quantidade executada no dia. O CONTROLE PRODUÇÃO POR EMPRESAS é consolidado automaticamente.</t>
        </is>
      </c>
    </row>
    <row r="2" ht="42.75" customHeight="1">
      <c r="A2" s="72" t="inlineStr">
        <is>
          <t>FRENTE</t>
        </is>
      </c>
      <c r="B2" s="226" t="inlineStr">
        <is>
          <t>GALPÃO F1 – COBERTURA</t>
        </is>
      </c>
      <c r="C2" s="285" t="n"/>
      <c r="D2" s="73" t="inlineStr">
        <is>
          <t>GALPÃO F1 – FECHAMENTO LATERAL</t>
        </is>
      </c>
      <c r="E2" s="226" t="inlineStr">
        <is>
          <t>GALPÃO F1 – COBERTURA</t>
        </is>
      </c>
      <c r="F2" s="285" t="n"/>
      <c r="G2" s="226" t="inlineStr">
        <is>
          <t>GALPÃO F1 – MARQUISE</t>
        </is>
      </c>
      <c r="H2" s="285" t="n"/>
      <c r="I2" s="226" t="inlineStr">
        <is>
          <t>ECLUSA</t>
        </is>
      </c>
      <c r="L2" s="285" t="n"/>
      <c r="M2" s="226" t="inlineStr">
        <is>
          <t>PORTARIA</t>
        </is>
      </c>
      <c r="O2" s="285" t="n"/>
      <c r="P2" s="226" t="inlineStr">
        <is>
          <t>REFEITÓRIO</t>
        </is>
      </c>
      <c r="R2" s="285" t="n"/>
      <c r="S2" s="226" t="inlineStr">
        <is>
          <t>VESTIÁRIO</t>
        </is>
      </c>
      <c r="U2" s="285" t="n"/>
      <c r="V2" s="226" t="inlineStr">
        <is>
          <t>COB. PEDESTRES / ESTAC. ÔNIBUS</t>
        </is>
      </c>
      <c r="W2" s="285" t="n"/>
      <c r="X2" s="226" t="inlineStr">
        <is>
          <t>COB. PRAÇA / ÁREA DE VIVÊNCIA</t>
        </is>
      </c>
      <c r="Y2" s="285" t="n"/>
      <c r="Z2" s="73" t="inlineStr">
        <is>
          <t>EVIDÊNCIA</t>
        </is>
      </c>
    </row>
    <row r="3">
      <c r="A3" s="72" t="inlineStr">
        <is>
          <t>ID CRONOGRAMA</t>
        </is>
      </c>
      <c r="B3" s="74" t="inlineStr">
        <is>
          <t>ID —</t>
        </is>
      </c>
      <c r="C3" s="74" t="inlineStr">
        <is>
          <t>ID 18</t>
        </is>
      </c>
      <c r="D3" s="74" t="inlineStr">
        <is>
          <t>ID 23</t>
        </is>
      </c>
      <c r="E3" s="74" t="inlineStr">
        <is>
          <t>ID 19</t>
        </is>
      </c>
      <c r="F3" s="74" t="inlineStr">
        <is>
          <t>ID 20</t>
        </is>
      </c>
      <c r="G3" s="74" t="inlineStr">
        <is>
          <t>ID 28</t>
        </is>
      </c>
      <c r="H3" s="74" t="inlineStr">
        <is>
          <t>ID 29</t>
        </is>
      </c>
      <c r="I3" s="74" t="inlineStr">
        <is>
          <t>ID 40</t>
        </is>
      </c>
      <c r="J3" s="74" t="inlineStr">
        <is>
          <t>ID 41</t>
        </is>
      </c>
      <c r="K3" s="74" t="inlineStr">
        <is>
          <t>ID 43</t>
        </is>
      </c>
      <c r="L3" s="74" t="inlineStr">
        <is>
          <t>ID 46</t>
        </is>
      </c>
      <c r="M3" s="74" t="inlineStr">
        <is>
          <t>ID 54</t>
        </is>
      </c>
      <c r="N3" s="74" t="inlineStr">
        <is>
          <t>ID 55</t>
        </is>
      </c>
      <c r="O3" s="74" t="inlineStr">
        <is>
          <t>ID 58</t>
        </is>
      </c>
      <c r="P3" s="74" t="inlineStr">
        <is>
          <t>ID 66</t>
        </is>
      </c>
      <c r="Q3" s="74" t="inlineStr">
        <is>
          <t>ID 67</t>
        </is>
      </c>
      <c r="R3" s="74" t="inlineStr">
        <is>
          <t>ID 68</t>
        </is>
      </c>
      <c r="S3" s="74" t="inlineStr">
        <is>
          <t>ID 76</t>
        </is>
      </c>
      <c r="T3" s="74" t="inlineStr">
        <is>
          <t>ID 77</t>
        </is>
      </c>
      <c r="U3" s="74" t="inlineStr">
        <is>
          <t>ID 78</t>
        </is>
      </c>
      <c r="V3" s="74" t="inlineStr">
        <is>
          <t>ID 88</t>
        </is>
      </c>
      <c r="W3" s="74" t="inlineStr">
        <is>
          <t>ID 89</t>
        </is>
      </c>
      <c r="X3" s="74" t="inlineStr">
        <is>
          <t>ID 100</t>
        </is>
      </c>
      <c r="Y3" s="74" t="inlineStr">
        <is>
          <t>ID 101</t>
        </is>
      </c>
      <c r="Z3" s="74" t="n"/>
    </row>
    <row r="4">
      <c r="A4" s="72" t="inlineStr">
        <is>
          <t>QTD ESCOPO</t>
        </is>
      </c>
      <c r="B4" s="75">
        <f>IF('ESCOPO POR EMPRESA'!G8="","",'ESCOPO POR EMPRESA'!G8)</f>
        <v/>
      </c>
      <c r="C4" s="75">
        <f>IF('ESCOPO POR EMPRESA'!G9="","",'ESCOPO POR EMPRESA'!G9)</f>
        <v/>
      </c>
      <c r="D4" s="75">
        <f>IF('ESCOPO POR EMPRESA'!G13="","",'ESCOPO POR EMPRESA'!G13)</f>
        <v/>
      </c>
      <c r="E4" s="75">
        <f>IF('ESCOPO POR EMPRESA'!G10="","",'ESCOPO POR EMPRESA'!G10)</f>
        <v/>
      </c>
      <c r="F4" s="75">
        <f>IF('ESCOPO POR EMPRESA'!G11="","",'ESCOPO POR EMPRESA'!G11)</f>
        <v/>
      </c>
      <c r="G4" s="75">
        <f>IF('ESCOPO POR EMPRESA'!G17="","",'ESCOPO POR EMPRESA'!G17)</f>
        <v/>
      </c>
      <c r="H4" s="75">
        <f>IF('ESCOPO POR EMPRESA'!G18="","",'ESCOPO POR EMPRESA'!G18)</f>
        <v/>
      </c>
      <c r="I4" s="75">
        <f>IF('ESCOPO POR EMPRESA'!G21="","",'ESCOPO POR EMPRESA'!G21)</f>
        <v/>
      </c>
      <c r="J4" s="75">
        <f>IF('ESCOPO POR EMPRESA'!G22="","",'ESCOPO POR EMPRESA'!G22)</f>
        <v/>
      </c>
      <c r="K4" s="75">
        <f>IF('ESCOPO POR EMPRESA'!G24="","",'ESCOPO POR EMPRESA'!G24)</f>
        <v/>
      </c>
      <c r="L4" s="75">
        <f>IF('ESCOPO POR EMPRESA'!G26="","",'ESCOPO POR EMPRESA'!G26)</f>
        <v/>
      </c>
      <c r="M4" s="75">
        <f>IF('ESCOPO POR EMPRESA'!G28="","",'ESCOPO POR EMPRESA'!G28)</f>
        <v/>
      </c>
      <c r="N4" s="75">
        <f>IF('ESCOPO POR EMPRESA'!G29="","",'ESCOPO POR EMPRESA'!G29)</f>
        <v/>
      </c>
      <c r="O4" s="75">
        <f>IF('ESCOPO POR EMPRESA'!G32="","",'ESCOPO POR EMPRESA'!G32)</f>
        <v/>
      </c>
      <c r="P4" s="75">
        <f>IF('ESCOPO POR EMPRESA'!G34="","",'ESCOPO POR EMPRESA'!G34)</f>
        <v/>
      </c>
      <c r="Q4" s="75">
        <f>IF('ESCOPO POR EMPRESA'!G35="","",'ESCOPO POR EMPRESA'!G35)</f>
        <v/>
      </c>
      <c r="R4" s="75">
        <f>IF('ESCOPO POR EMPRESA'!G36="","",'ESCOPO POR EMPRESA'!G36)</f>
        <v/>
      </c>
      <c r="S4" s="75">
        <f>IF('ESCOPO POR EMPRESA'!G38="","",'ESCOPO POR EMPRESA'!G38)</f>
        <v/>
      </c>
      <c r="T4" s="75">
        <f>IF('ESCOPO POR EMPRESA'!G39="","",'ESCOPO POR EMPRESA'!G39)</f>
        <v/>
      </c>
      <c r="U4" s="75">
        <f>IF('ESCOPO POR EMPRESA'!G40="","",'ESCOPO POR EMPRESA'!G40)</f>
        <v/>
      </c>
      <c r="V4" s="75">
        <f>IF('ESCOPO POR EMPRESA'!G43="","",'ESCOPO POR EMPRESA'!G43)</f>
        <v/>
      </c>
      <c r="W4" s="75">
        <f>IF('ESCOPO POR EMPRESA'!G44="","",'ESCOPO POR EMPRESA'!G44)</f>
        <v/>
      </c>
      <c r="X4" s="75">
        <f>IF('ESCOPO POR EMPRESA'!G49="","",'ESCOPO POR EMPRESA'!G49)</f>
        <v/>
      </c>
      <c r="Y4" s="75">
        <f>IF('ESCOPO POR EMPRESA'!G50="","",'ESCOPO POR EMPRESA'!G50)</f>
        <v/>
      </c>
      <c r="Z4" s="74" t="n"/>
    </row>
    <row r="5">
      <c r="A5" s="72" t="inlineStr">
        <is>
          <t>REALIZADO ACUM.</t>
        </is>
      </c>
      <c r="B5" s="75">
        <f>SUM(B8:B364)</f>
        <v/>
      </c>
      <c r="C5" s="75">
        <f>SUM(C8:C364)</f>
        <v/>
      </c>
      <c r="D5" s="75">
        <f>SUM(D8:D364)</f>
        <v/>
      </c>
      <c r="E5" s="75">
        <f>SUM(E8:E364)</f>
        <v/>
      </c>
      <c r="F5" s="75">
        <f>SUM(F8:F364)</f>
        <v/>
      </c>
      <c r="G5" s="75">
        <f>SUM(G8:G364)</f>
        <v/>
      </c>
      <c r="H5" s="75">
        <f>SUM(H8:H364)</f>
        <v/>
      </c>
      <c r="I5" s="75">
        <f>SUM(I8:I364)</f>
        <v/>
      </c>
      <c r="J5" s="75">
        <f>SUM(J8:J364)</f>
        <v/>
      </c>
      <c r="K5" s="75">
        <f>SUM(K8:K364)</f>
        <v/>
      </c>
      <c r="L5" s="75">
        <f>SUM(L8:L364)</f>
        <v/>
      </c>
      <c r="M5" s="75">
        <f>SUM(M8:M364)</f>
        <v/>
      </c>
      <c r="N5" s="75">
        <f>SUM(N8:N364)</f>
        <v/>
      </c>
      <c r="O5" s="75">
        <f>SUM(O8:O364)</f>
        <v/>
      </c>
      <c r="P5" s="75">
        <f>SUM(P8:P364)</f>
        <v/>
      </c>
      <c r="Q5" s="75">
        <f>SUM(Q8:Q364)</f>
        <v/>
      </c>
      <c r="R5" s="75">
        <f>SUM(R8:R364)</f>
        <v/>
      </c>
      <c r="S5" s="75">
        <f>SUM(S8:S364)</f>
        <v/>
      </c>
      <c r="T5" s="75">
        <f>SUM(T8:T364)</f>
        <v/>
      </c>
      <c r="U5" s="75">
        <f>SUM(U8:U364)</f>
        <v/>
      </c>
      <c r="V5" s="75">
        <f>SUM(V8:V364)</f>
        <v/>
      </c>
      <c r="W5" s="75">
        <f>SUM(W8:W364)</f>
        <v/>
      </c>
      <c r="X5" s="75">
        <f>SUM(X8:X364)</f>
        <v/>
      </c>
      <c r="Y5" s="75">
        <f>SUM(Y8:Y364)</f>
        <v/>
      </c>
      <c r="Z5" s="74" t="n"/>
    </row>
    <row r="6">
      <c r="A6" s="72" t="inlineStr">
        <is>
          <t>% EXECUTADO</t>
        </is>
      </c>
      <c r="B6" s="286">
        <f>IFERROR(B5/B4,"")</f>
        <v/>
      </c>
      <c r="C6" s="286">
        <f>IFERROR(C5/C4,"")</f>
        <v/>
      </c>
      <c r="D6" s="286">
        <f>IFERROR(D5/D4,"")</f>
        <v/>
      </c>
      <c r="E6" s="286">
        <f>IFERROR(E5/E4,"")</f>
        <v/>
      </c>
      <c r="F6" s="286">
        <f>IFERROR(F5/F4,"")</f>
        <v/>
      </c>
      <c r="G6" s="286">
        <f>IFERROR(G5/G4,"")</f>
        <v/>
      </c>
      <c r="H6" s="286">
        <f>IFERROR(H5/H4,"")</f>
        <v/>
      </c>
      <c r="I6" s="286">
        <f>IFERROR(I5/I4,"")</f>
        <v/>
      </c>
      <c r="J6" s="286">
        <f>IFERROR(J5/J4,"")</f>
        <v/>
      </c>
      <c r="K6" s="286">
        <f>IFERROR(K5/K4,"")</f>
        <v/>
      </c>
      <c r="L6" s="286">
        <f>IFERROR(L5/L4,"")</f>
        <v/>
      </c>
      <c r="M6" s="286">
        <f>IFERROR(M5/M4,"")</f>
        <v/>
      </c>
      <c r="N6" s="286">
        <f>IFERROR(N5/N4,"")</f>
        <v/>
      </c>
      <c r="O6" s="286">
        <f>IFERROR(O5/O4,"")</f>
        <v/>
      </c>
      <c r="P6" s="286">
        <f>IFERROR(P5/P4,"")</f>
        <v/>
      </c>
      <c r="Q6" s="286">
        <f>IFERROR(Q5/Q4,"")</f>
        <v/>
      </c>
      <c r="R6" s="286">
        <f>IFERROR(R5/R4,"")</f>
        <v/>
      </c>
      <c r="S6" s="286">
        <f>IFERROR(S5/S4,"")</f>
        <v/>
      </c>
      <c r="T6" s="286">
        <f>IFERROR(T5/T4,"")</f>
        <v/>
      </c>
      <c r="U6" s="286">
        <f>IFERROR(U5/U4,"")</f>
        <v/>
      </c>
      <c r="V6" s="286">
        <f>IFERROR(V5/V4,"")</f>
        <v/>
      </c>
      <c r="W6" s="286">
        <f>IFERROR(W5/W4,"")</f>
        <v/>
      </c>
      <c r="X6" s="286">
        <f>IFERROR(X5/X4,"")</f>
        <v/>
      </c>
      <c r="Y6" s="286">
        <f>IFERROR(Y5/Y4,"")</f>
        <v/>
      </c>
      <c r="Z6" s="74" t="n"/>
    </row>
    <row r="7" ht="51.75" customHeight="1">
      <c r="A7" s="72" t="inlineStr">
        <is>
          <t>DATA ↓   SERVIÇO →</t>
        </is>
      </c>
      <c r="B7" s="255" t="inlineStr">
        <is>
          <t>PERFILAÇÃO</t>
        </is>
      </c>
      <c r="C7" s="255" t="inlineStr">
        <is>
          <t>TELHAR</t>
        </is>
      </c>
      <c r="D7" s="255" t="inlineStr">
        <is>
          <t>FECHAMENTO</t>
        </is>
      </c>
      <c r="E7" s="255" t="inlineStr">
        <is>
          <t>COBERTURA – CALHAS</t>
        </is>
      </c>
      <c r="F7" s="255" t="inlineStr">
        <is>
          <t>COBERTURA – ARREMATES</t>
        </is>
      </c>
      <c r="G7" s="255" t="inlineStr">
        <is>
          <t>MARQUISE – CALHAS</t>
        </is>
      </c>
      <c r="H7" s="255" t="inlineStr">
        <is>
          <t>MARQUISE – TELHAS</t>
        </is>
      </c>
      <c r="I7" s="255" t="inlineStr">
        <is>
          <t>ECLUSA – CALHAS</t>
        </is>
      </c>
      <c r="J7" s="255" t="inlineStr">
        <is>
          <t>ECLUSA – TELHAS COBERTURA</t>
        </is>
      </c>
      <c r="K7" s="255" t="inlineStr">
        <is>
          <t>ECLUSA – RUFOS E ARREMATES</t>
        </is>
      </c>
      <c r="L7" s="255" t="inlineStr">
        <is>
          <t>ECLUSA – PLATIBANDA – TELHAS</t>
        </is>
      </c>
      <c r="M7" s="255" t="inlineStr">
        <is>
          <t>PORTARIA – CALHAS</t>
        </is>
      </c>
      <c r="N7" s="255" t="inlineStr">
        <is>
          <t>PORTARIA – TELHAS</t>
        </is>
      </c>
      <c r="O7" s="255" t="inlineStr">
        <is>
          <t>PORTARIA – RUFOS E ARREMATES</t>
        </is>
      </c>
      <c r="P7" s="255" t="inlineStr">
        <is>
          <t>REFEITÓRIO – CALHAS</t>
        </is>
      </c>
      <c r="Q7" s="255" t="inlineStr">
        <is>
          <t>REFEITÓRIO – TELHAS</t>
        </is>
      </c>
      <c r="R7" s="255" t="inlineStr">
        <is>
          <t>REFEITÓRIO – RUFOS E ARREMATES</t>
        </is>
      </c>
      <c r="S7" s="255" t="inlineStr">
        <is>
          <t>VESTIÁRIO – CALHAS</t>
        </is>
      </c>
      <c r="T7" s="255" t="inlineStr">
        <is>
          <t>VESTIÁRIO – TELHAS</t>
        </is>
      </c>
      <c r="U7" s="255" t="inlineStr">
        <is>
          <t>VESTIÁRIO – RUFOS E ARREMATES</t>
        </is>
      </c>
      <c r="V7" s="255" t="inlineStr">
        <is>
          <t>COB. PEDESTRES – TELHAS</t>
        </is>
      </c>
      <c r="W7" s="255" t="inlineStr">
        <is>
          <t>COB. PEDESTRES – CALHAS E DESCIDAS</t>
        </is>
      </c>
      <c r="X7" s="255" t="inlineStr">
        <is>
          <t>COB. PRAÇA VIVÊNCIA – TELHAS</t>
        </is>
      </c>
      <c r="Y7" s="255" t="inlineStr">
        <is>
          <t>COB. PRAÇA VIVÊNCIA – CALHAS E DESCIDAS</t>
        </is>
      </c>
      <c r="Z7" s="255" t="inlineStr">
        <is>
          <t>OBSERVAÇÃO / Nº RDO / FOTO</t>
        </is>
      </c>
    </row>
    <row r="8" hidden="1">
      <c r="A8" s="282">
        <f>'CONTROLE PRODUÇÃO POR EMPRESAS'!A6</f>
        <v/>
      </c>
    </row>
    <row r="9" hidden="1">
      <c r="A9" s="282">
        <f>'CONTROLE PRODUÇÃO POR EMPRESAS'!A7</f>
        <v/>
      </c>
    </row>
    <row r="10" hidden="1">
      <c r="A10" s="282">
        <f>'CONTROLE PRODUÇÃO POR EMPRESAS'!A8</f>
        <v/>
      </c>
    </row>
    <row r="11" hidden="1">
      <c r="A11" s="282">
        <f>'CONTROLE PRODUÇÃO POR EMPRESAS'!A9</f>
        <v/>
      </c>
    </row>
    <row r="12" hidden="1">
      <c r="A12" s="282">
        <f>'CONTROLE PRODUÇÃO POR EMPRESAS'!A10</f>
        <v/>
      </c>
    </row>
    <row r="13" hidden="1">
      <c r="A13" s="282">
        <f>'CONTROLE PRODUÇÃO POR EMPRESAS'!A11</f>
        <v/>
      </c>
    </row>
    <row r="14" hidden="1">
      <c r="A14" s="282">
        <f>'CONTROLE PRODUÇÃO POR EMPRESAS'!A12</f>
        <v/>
      </c>
    </row>
    <row r="15" hidden="1">
      <c r="A15" s="282">
        <f>'CONTROLE PRODUÇÃO POR EMPRESAS'!A13</f>
        <v/>
      </c>
    </row>
    <row r="16" hidden="1">
      <c r="A16" s="282">
        <f>'CONTROLE PRODUÇÃO POR EMPRESAS'!A14</f>
        <v/>
      </c>
    </row>
    <row r="17" hidden="1">
      <c r="A17" s="282">
        <f>'CONTROLE PRODUÇÃO POR EMPRESAS'!A15</f>
        <v/>
      </c>
    </row>
    <row r="18" hidden="1">
      <c r="A18" s="282">
        <f>'CONTROLE PRODUÇÃO POR EMPRESAS'!A16</f>
        <v/>
      </c>
    </row>
    <row r="19" hidden="1">
      <c r="A19" s="282">
        <f>'CONTROLE PRODUÇÃO POR EMPRESAS'!A17</f>
        <v/>
      </c>
    </row>
    <row r="20" hidden="1">
      <c r="A20" s="282">
        <f>'CONTROLE PRODUÇÃO POR EMPRESAS'!A18</f>
        <v/>
      </c>
    </row>
    <row r="21" hidden="1">
      <c r="A21" s="282">
        <f>'CONTROLE PRODUÇÃO POR EMPRESAS'!A19</f>
        <v/>
      </c>
    </row>
    <row r="22" hidden="1">
      <c r="A22" s="282">
        <f>'CONTROLE PRODUÇÃO POR EMPRESAS'!A20</f>
        <v/>
      </c>
    </row>
    <row r="23" hidden="1">
      <c r="A23" s="282">
        <f>'CONTROLE PRODUÇÃO POR EMPRESAS'!A21</f>
        <v/>
      </c>
    </row>
    <row r="24" hidden="1">
      <c r="A24" s="282">
        <f>'CONTROLE PRODUÇÃO POR EMPRESAS'!A22</f>
        <v/>
      </c>
    </row>
    <row r="25" hidden="1">
      <c r="A25" s="282">
        <f>'CONTROLE PRODUÇÃO POR EMPRESAS'!A23</f>
        <v/>
      </c>
    </row>
    <row r="26" hidden="1">
      <c r="A26" s="282">
        <f>'CONTROLE PRODUÇÃO POR EMPRESAS'!A24</f>
        <v/>
      </c>
    </row>
    <row r="27" hidden="1">
      <c r="A27" s="282">
        <f>'CONTROLE PRODUÇÃO POR EMPRESAS'!A25</f>
        <v/>
      </c>
    </row>
    <row r="28" hidden="1">
      <c r="A28" s="282">
        <f>'CONTROLE PRODUÇÃO POR EMPRESAS'!A26</f>
        <v/>
      </c>
    </row>
    <row r="29" hidden="1">
      <c r="A29" s="282">
        <f>'CONTROLE PRODUÇÃO POR EMPRESAS'!A27</f>
        <v/>
      </c>
    </row>
    <row r="30" hidden="1">
      <c r="A30" s="282">
        <f>'CONTROLE PRODUÇÃO POR EMPRESAS'!A28</f>
        <v/>
      </c>
    </row>
    <row r="31" hidden="1">
      <c r="A31" s="282">
        <f>'CONTROLE PRODUÇÃO POR EMPRESAS'!A29</f>
        <v/>
      </c>
    </row>
    <row r="32" hidden="1">
      <c r="A32" s="282">
        <f>'CONTROLE PRODUÇÃO POR EMPRESAS'!A30</f>
        <v/>
      </c>
    </row>
    <row r="33" hidden="1">
      <c r="A33" s="282">
        <f>'CONTROLE PRODUÇÃO POR EMPRESAS'!A31</f>
        <v/>
      </c>
    </row>
    <row r="34" hidden="1">
      <c r="A34" s="282">
        <f>'CONTROLE PRODUÇÃO POR EMPRESAS'!A32</f>
        <v/>
      </c>
    </row>
    <row r="35" hidden="1">
      <c r="A35" s="282">
        <f>'CONTROLE PRODUÇÃO POR EMPRESAS'!A33</f>
        <v/>
      </c>
    </row>
    <row r="36" hidden="1">
      <c r="A36" s="282">
        <f>'CONTROLE PRODUÇÃO POR EMPRESAS'!A34</f>
        <v/>
      </c>
    </row>
    <row r="37" hidden="1">
      <c r="A37" s="282">
        <f>'CONTROLE PRODUÇÃO POR EMPRESAS'!A35</f>
        <v/>
      </c>
    </row>
    <row r="38" hidden="1">
      <c r="A38" s="282">
        <f>'CONTROLE PRODUÇÃO POR EMPRESAS'!A36</f>
        <v/>
      </c>
    </row>
    <row r="39" hidden="1">
      <c r="A39" s="282">
        <f>'CONTROLE PRODUÇÃO POR EMPRESAS'!A37</f>
        <v/>
      </c>
    </row>
    <row r="40" hidden="1">
      <c r="A40" s="282">
        <f>'CONTROLE PRODUÇÃO POR EMPRESAS'!A38</f>
        <v/>
      </c>
    </row>
    <row r="41" hidden="1">
      <c r="A41" s="282">
        <f>'CONTROLE PRODUÇÃO POR EMPRESAS'!A39</f>
        <v/>
      </c>
    </row>
    <row r="42" hidden="1">
      <c r="A42" s="282">
        <f>'CONTROLE PRODUÇÃO POR EMPRESAS'!A40</f>
        <v/>
      </c>
    </row>
    <row r="43" hidden="1">
      <c r="A43" s="282">
        <f>'CONTROLE PRODUÇÃO POR EMPRESAS'!A41</f>
        <v/>
      </c>
    </row>
    <row r="44" hidden="1">
      <c r="A44" s="282">
        <f>'CONTROLE PRODUÇÃO POR EMPRESAS'!A42</f>
        <v/>
      </c>
    </row>
    <row r="45" hidden="1">
      <c r="A45" s="282">
        <f>'CONTROLE PRODUÇÃO POR EMPRESAS'!A43</f>
        <v/>
      </c>
    </row>
    <row r="46" hidden="1">
      <c r="A46" s="282">
        <f>'CONTROLE PRODUÇÃO POR EMPRESAS'!A44</f>
        <v/>
      </c>
    </row>
    <row r="47" hidden="1">
      <c r="A47" s="282">
        <f>'CONTROLE PRODUÇÃO POR EMPRESAS'!A45</f>
        <v/>
      </c>
    </row>
    <row r="48" hidden="1">
      <c r="A48" s="282">
        <f>'CONTROLE PRODUÇÃO POR EMPRESAS'!A46</f>
        <v/>
      </c>
    </row>
    <row r="49" hidden="1">
      <c r="A49" s="282">
        <f>'CONTROLE PRODUÇÃO POR EMPRESAS'!A47</f>
        <v/>
      </c>
    </row>
    <row r="50" hidden="1">
      <c r="A50" s="282">
        <f>'CONTROLE PRODUÇÃO POR EMPRESAS'!A48</f>
        <v/>
      </c>
    </row>
    <row r="51" hidden="1">
      <c r="A51" s="282">
        <f>'CONTROLE PRODUÇÃO POR EMPRESAS'!A49</f>
        <v/>
      </c>
    </row>
    <row r="52" hidden="1">
      <c r="A52" s="282">
        <f>'CONTROLE PRODUÇÃO POR EMPRESAS'!A50</f>
        <v/>
      </c>
    </row>
    <row r="53" hidden="1">
      <c r="A53" s="282">
        <f>'CONTROLE PRODUÇÃO POR EMPRESAS'!A51</f>
        <v/>
      </c>
    </row>
    <row r="54" hidden="1">
      <c r="A54" s="282">
        <f>'CONTROLE PRODUÇÃO POR EMPRESAS'!A52</f>
        <v/>
      </c>
    </row>
    <row r="55" hidden="1">
      <c r="A55" s="282">
        <f>'CONTROLE PRODUÇÃO POR EMPRESAS'!A53</f>
        <v/>
      </c>
    </row>
    <row r="56" hidden="1">
      <c r="A56" s="282">
        <f>'CONTROLE PRODUÇÃO POR EMPRESAS'!A54</f>
        <v/>
      </c>
    </row>
    <row r="57" hidden="1">
      <c r="A57" s="282">
        <f>'CONTROLE PRODUÇÃO POR EMPRESAS'!A55</f>
        <v/>
      </c>
    </row>
    <row r="58" hidden="1">
      <c r="A58" s="282">
        <f>'CONTROLE PRODUÇÃO POR EMPRESAS'!A56</f>
        <v/>
      </c>
    </row>
    <row r="59" hidden="1">
      <c r="A59" s="282">
        <f>'CONTROLE PRODUÇÃO POR EMPRESAS'!A57</f>
        <v/>
      </c>
    </row>
    <row r="60" hidden="1">
      <c r="A60" s="282">
        <f>'CONTROLE PRODUÇÃO POR EMPRESAS'!A58</f>
        <v/>
      </c>
    </row>
    <row r="61" hidden="1">
      <c r="A61" s="282">
        <f>'CONTROLE PRODUÇÃO POR EMPRESAS'!A59</f>
        <v/>
      </c>
    </row>
    <row r="62" hidden="1">
      <c r="A62" s="282">
        <f>'CONTROLE PRODUÇÃO POR EMPRESAS'!A60</f>
        <v/>
      </c>
    </row>
    <row r="63" hidden="1">
      <c r="A63" s="282">
        <f>'CONTROLE PRODUÇÃO POR EMPRESAS'!A61</f>
        <v/>
      </c>
    </row>
    <row r="64" hidden="1">
      <c r="A64" s="282">
        <f>'CONTROLE PRODUÇÃO POR EMPRESAS'!A62</f>
        <v/>
      </c>
    </row>
    <row r="65">
      <c r="A65" s="282">
        <f>'CONTROLE PRODUÇÃO POR EMPRESAS'!A63</f>
        <v/>
      </c>
      <c r="B65" s="223" t="inlineStr">
        <is>
          <t>INTEGRAÇÃO</t>
        </is>
      </c>
      <c r="C65" s="223" t="inlineStr">
        <is>
          <t xml:space="preserve">INTEGRAÇÃO </t>
        </is>
      </c>
      <c r="D65" s="223" t="inlineStr">
        <is>
          <t>INTEGRAÇÃO</t>
        </is>
      </c>
    </row>
    <row r="66">
      <c r="A66" s="282">
        <f>'CONTROLE PRODUÇÃO POR EMPRESAS'!A64</f>
        <v/>
      </c>
    </row>
    <row r="67">
      <c r="A67" s="282">
        <f>'CONTROLE PRODUÇÃO POR EMPRESAS'!A65</f>
        <v/>
      </c>
    </row>
    <row r="68">
      <c r="A68" s="282">
        <f>'CONTROLE PRODUÇÃO POR EMPRESAS'!A66</f>
        <v/>
      </c>
    </row>
    <row r="69">
      <c r="A69" s="282">
        <f>'CONTROLE PRODUÇÃO POR EMPRESAS'!A67</f>
        <v/>
      </c>
    </row>
    <row r="70">
      <c r="A70" s="282">
        <f>'CONTROLE PRODUÇÃO POR EMPRESAS'!A68</f>
        <v/>
      </c>
    </row>
    <row r="71">
      <c r="A71" s="282">
        <f>'CONTROLE PRODUÇÃO POR EMPRESAS'!A69</f>
        <v/>
      </c>
    </row>
    <row r="72">
      <c r="A72" s="282">
        <f>'CONTROLE PRODUÇÃO POR EMPRESAS'!A70</f>
        <v/>
      </c>
    </row>
    <row r="73">
      <c r="A73" s="282">
        <f>'CONTROLE PRODUÇÃO POR EMPRESAS'!A71</f>
        <v/>
      </c>
    </row>
    <row r="74">
      <c r="A74" s="282">
        <f>'CONTROLE PRODUÇÃO POR EMPRESAS'!A72</f>
        <v/>
      </c>
    </row>
    <row r="75">
      <c r="A75" s="282">
        <f>'CONTROLE PRODUÇÃO POR EMPRESAS'!A73</f>
        <v/>
      </c>
      <c r="B75" s="223" t="n">
        <v>2</v>
      </c>
    </row>
    <row r="76">
      <c r="A76" s="282">
        <f>'CONTROLE PRODUÇÃO POR EMPRESAS'!A74</f>
        <v/>
      </c>
    </row>
    <row r="77">
      <c r="A77" s="282">
        <f>'CONTROLE PRODUÇÃO POR EMPRESAS'!A75</f>
        <v/>
      </c>
    </row>
    <row r="78">
      <c r="A78" s="282">
        <f>'CONTROLE PRODUÇÃO POR EMPRESAS'!A76</f>
        <v/>
      </c>
    </row>
    <row r="79">
      <c r="A79" s="282">
        <f>'CONTROLE PRODUÇÃO POR EMPRESAS'!A77</f>
        <v/>
      </c>
    </row>
    <row r="80">
      <c r="A80" s="282">
        <f>'CONTROLE PRODUÇÃO POR EMPRESAS'!A78</f>
        <v/>
      </c>
    </row>
    <row r="81">
      <c r="A81" s="282">
        <f>'CONTROLE PRODUÇÃO POR EMPRESAS'!A79</f>
        <v/>
      </c>
    </row>
    <row r="82">
      <c r="A82" s="282">
        <f>'CONTROLE PRODUÇÃO POR EMPRESAS'!A80</f>
        <v/>
      </c>
    </row>
    <row r="83">
      <c r="A83" s="282">
        <f>'CONTROLE PRODUÇÃO POR EMPRESAS'!A81</f>
        <v/>
      </c>
    </row>
    <row r="84">
      <c r="A84" s="282">
        <f>'CONTROLE PRODUÇÃO POR EMPRESAS'!A82</f>
        <v/>
      </c>
    </row>
    <row r="85">
      <c r="A85" s="282">
        <f>'CONTROLE PRODUÇÃO POR EMPRESAS'!A83</f>
        <v/>
      </c>
    </row>
    <row r="86">
      <c r="A86" s="282">
        <f>'CONTROLE PRODUÇÃO POR EMPRESAS'!A84</f>
        <v/>
      </c>
    </row>
    <row r="87">
      <c r="A87" s="282">
        <f>'CONTROLE PRODUÇÃO POR EMPRESAS'!A85</f>
        <v/>
      </c>
    </row>
    <row r="88">
      <c r="A88" s="282">
        <f>'CONTROLE PRODUÇÃO POR EMPRESAS'!A86</f>
        <v/>
      </c>
    </row>
    <row r="89">
      <c r="A89" s="282">
        <f>'CONTROLE PRODUÇÃO POR EMPRESAS'!A87</f>
        <v/>
      </c>
    </row>
    <row r="90">
      <c r="A90" s="282">
        <f>'CONTROLE PRODUÇÃO POR EMPRESAS'!A88</f>
        <v/>
      </c>
    </row>
    <row r="91">
      <c r="A91" s="282">
        <f>'CONTROLE PRODUÇÃO POR EMPRESAS'!A89</f>
        <v/>
      </c>
    </row>
    <row r="92">
      <c r="A92" s="282">
        <f>'CONTROLE PRODUÇÃO POR EMPRESAS'!A90</f>
        <v/>
      </c>
    </row>
    <row r="93">
      <c r="A93" s="282">
        <f>'CONTROLE PRODUÇÃO POR EMPRESAS'!A91</f>
        <v/>
      </c>
    </row>
    <row r="94">
      <c r="A94" s="282">
        <f>'CONTROLE PRODUÇÃO POR EMPRESAS'!A92</f>
        <v/>
      </c>
    </row>
    <row r="95">
      <c r="A95" s="282">
        <f>'CONTROLE PRODUÇÃO POR EMPRESAS'!A93</f>
        <v/>
      </c>
    </row>
    <row r="96">
      <c r="A96" s="282">
        <f>'CONTROLE PRODUÇÃO POR EMPRESAS'!A94</f>
        <v/>
      </c>
    </row>
    <row r="97">
      <c r="A97" s="282">
        <f>'CONTROLE PRODUÇÃO POR EMPRESAS'!A95</f>
        <v/>
      </c>
    </row>
    <row r="98">
      <c r="A98" s="282">
        <f>'CONTROLE PRODUÇÃO POR EMPRESAS'!A96</f>
        <v/>
      </c>
    </row>
    <row r="99">
      <c r="A99" s="282">
        <f>'CONTROLE PRODUÇÃO POR EMPRESAS'!A97</f>
        <v/>
      </c>
    </row>
    <row r="100">
      <c r="A100" s="282">
        <f>'CONTROLE PRODUÇÃO POR EMPRESAS'!A98</f>
        <v/>
      </c>
    </row>
    <row r="101">
      <c r="A101" s="282">
        <f>'CONTROLE PRODUÇÃO POR EMPRESAS'!A99</f>
        <v/>
      </c>
    </row>
    <row r="102">
      <c r="A102" s="282">
        <f>'CONTROLE PRODUÇÃO POR EMPRESAS'!A100</f>
        <v/>
      </c>
    </row>
    <row r="103">
      <c r="A103" s="282">
        <f>'CONTROLE PRODUÇÃO POR EMPRESAS'!A101</f>
        <v/>
      </c>
    </row>
    <row r="104">
      <c r="A104" s="282">
        <f>'CONTROLE PRODUÇÃO POR EMPRESAS'!A102</f>
        <v/>
      </c>
    </row>
    <row r="105">
      <c r="A105" s="282">
        <f>'CONTROLE PRODUÇÃO POR EMPRESAS'!A103</f>
        <v/>
      </c>
    </row>
    <row r="106">
      <c r="A106" s="282">
        <f>'CONTROLE PRODUÇÃO POR EMPRESAS'!A104</f>
        <v/>
      </c>
    </row>
    <row r="107">
      <c r="A107" s="282">
        <f>'CONTROLE PRODUÇÃO POR EMPRESAS'!A105</f>
        <v/>
      </c>
    </row>
    <row r="108">
      <c r="A108" s="282">
        <f>'CONTROLE PRODUÇÃO POR EMPRESAS'!A106</f>
        <v/>
      </c>
    </row>
    <row r="109">
      <c r="A109" s="282">
        <f>'CONTROLE PRODUÇÃO POR EMPRESAS'!A107</f>
        <v/>
      </c>
    </row>
    <row r="110">
      <c r="A110" s="282">
        <f>'CONTROLE PRODUÇÃO POR EMPRESAS'!A108</f>
        <v/>
      </c>
    </row>
    <row r="111">
      <c r="A111" s="282">
        <f>'CONTROLE PRODUÇÃO POR EMPRESAS'!A109</f>
        <v/>
      </c>
    </row>
    <row r="112">
      <c r="A112" s="282">
        <f>'CONTROLE PRODUÇÃO POR EMPRESAS'!A110</f>
        <v/>
      </c>
    </row>
    <row r="113">
      <c r="A113" s="282">
        <f>'CONTROLE PRODUÇÃO POR EMPRESAS'!A111</f>
        <v/>
      </c>
    </row>
    <row r="114">
      <c r="A114" s="282">
        <f>'CONTROLE PRODUÇÃO POR EMPRESAS'!A112</f>
        <v/>
      </c>
    </row>
    <row r="115">
      <c r="A115" s="282">
        <f>'CONTROLE PRODUÇÃO POR EMPRESAS'!A113</f>
        <v/>
      </c>
    </row>
    <row r="116">
      <c r="A116" s="282">
        <f>'CONTROLE PRODUÇÃO POR EMPRESAS'!A114</f>
        <v/>
      </c>
    </row>
    <row r="117">
      <c r="A117" s="282">
        <f>'CONTROLE PRODUÇÃO POR EMPRESAS'!A115</f>
        <v/>
      </c>
    </row>
    <row r="118">
      <c r="A118" s="282">
        <f>'CONTROLE PRODUÇÃO POR EMPRESAS'!A116</f>
        <v/>
      </c>
    </row>
    <row r="119">
      <c r="A119" s="282">
        <f>'CONTROLE PRODUÇÃO POR EMPRESAS'!A117</f>
        <v/>
      </c>
    </row>
    <row r="120">
      <c r="A120" s="282">
        <f>'CONTROLE PRODUÇÃO POR EMPRESAS'!A118</f>
        <v/>
      </c>
    </row>
    <row r="121">
      <c r="A121" s="282">
        <f>'CONTROLE PRODUÇÃO POR EMPRESAS'!A119</f>
        <v/>
      </c>
    </row>
    <row r="122">
      <c r="A122" s="282">
        <f>'CONTROLE PRODUÇÃO POR EMPRESAS'!A120</f>
        <v/>
      </c>
    </row>
    <row r="123">
      <c r="A123" s="282">
        <f>'CONTROLE PRODUÇÃO POR EMPRESAS'!A121</f>
        <v/>
      </c>
    </row>
    <row r="124">
      <c r="A124" s="282">
        <f>'CONTROLE PRODUÇÃO POR EMPRESAS'!A122</f>
        <v/>
      </c>
    </row>
    <row r="125">
      <c r="A125" s="282">
        <f>'CONTROLE PRODUÇÃO POR EMPRESAS'!A123</f>
        <v/>
      </c>
    </row>
    <row r="126">
      <c r="A126" s="282">
        <f>'CONTROLE PRODUÇÃO POR EMPRESAS'!A124</f>
        <v/>
      </c>
    </row>
    <row r="127">
      <c r="A127" s="282">
        <f>'CONTROLE PRODUÇÃO POR EMPRESAS'!A125</f>
        <v/>
      </c>
    </row>
    <row r="128">
      <c r="A128" s="282">
        <f>'CONTROLE PRODUÇÃO POR EMPRESAS'!A126</f>
        <v/>
      </c>
    </row>
    <row r="129">
      <c r="A129" s="282">
        <f>'CONTROLE PRODUÇÃO POR EMPRESAS'!A127</f>
        <v/>
      </c>
    </row>
    <row r="130">
      <c r="A130" s="282">
        <f>'CONTROLE PRODUÇÃO POR EMPRESAS'!A128</f>
        <v/>
      </c>
    </row>
    <row r="131">
      <c r="A131" s="282">
        <f>'CONTROLE PRODUÇÃO POR EMPRESAS'!A129</f>
        <v/>
      </c>
    </row>
    <row r="132">
      <c r="A132" s="282">
        <f>'CONTROLE PRODUÇÃO POR EMPRESAS'!A130</f>
        <v/>
      </c>
    </row>
    <row r="133">
      <c r="A133" s="282">
        <f>'CONTROLE PRODUÇÃO POR EMPRESAS'!A131</f>
        <v/>
      </c>
    </row>
    <row r="134">
      <c r="A134" s="282">
        <f>'CONTROLE PRODUÇÃO POR EMPRESAS'!A132</f>
        <v/>
      </c>
    </row>
    <row r="135">
      <c r="A135" s="282">
        <f>'CONTROLE PRODUÇÃO POR EMPRESAS'!A133</f>
        <v/>
      </c>
    </row>
    <row r="136">
      <c r="A136" s="282">
        <f>'CONTROLE PRODUÇÃO POR EMPRESAS'!A134</f>
        <v/>
      </c>
    </row>
    <row r="137">
      <c r="A137" s="282">
        <f>'CONTROLE PRODUÇÃO POR EMPRESAS'!A135</f>
        <v/>
      </c>
    </row>
    <row r="138">
      <c r="A138" s="282">
        <f>'CONTROLE PRODUÇÃO POR EMPRESAS'!A136</f>
        <v/>
      </c>
    </row>
    <row r="139">
      <c r="A139" s="282">
        <f>'CONTROLE PRODUÇÃO POR EMPRESAS'!A137</f>
        <v/>
      </c>
    </row>
    <row r="140">
      <c r="A140" s="282">
        <f>'CONTROLE PRODUÇÃO POR EMPRESAS'!A138</f>
        <v/>
      </c>
    </row>
    <row r="141">
      <c r="A141" s="282">
        <f>'CONTROLE PRODUÇÃO POR EMPRESAS'!A139</f>
        <v/>
      </c>
    </row>
    <row r="142">
      <c r="A142" s="282">
        <f>'CONTROLE PRODUÇÃO POR EMPRESAS'!A140</f>
        <v/>
      </c>
    </row>
    <row r="143">
      <c r="A143" s="282">
        <f>'CONTROLE PRODUÇÃO POR EMPRESAS'!A141</f>
        <v/>
      </c>
    </row>
    <row r="144">
      <c r="A144" s="282">
        <f>'CONTROLE PRODUÇÃO POR EMPRESAS'!A142</f>
        <v/>
      </c>
    </row>
    <row r="145">
      <c r="A145" s="282">
        <f>'CONTROLE PRODUÇÃO POR EMPRESAS'!A143</f>
        <v/>
      </c>
    </row>
    <row r="146">
      <c r="A146" s="282">
        <f>'CONTROLE PRODUÇÃO POR EMPRESAS'!A144</f>
        <v/>
      </c>
    </row>
    <row r="147">
      <c r="A147" s="282">
        <f>'CONTROLE PRODUÇÃO POR EMPRESAS'!A145</f>
        <v/>
      </c>
    </row>
    <row r="148">
      <c r="A148" s="282">
        <f>'CONTROLE PRODUÇÃO POR EMPRESAS'!A146</f>
        <v/>
      </c>
    </row>
    <row r="149">
      <c r="A149" s="282">
        <f>'CONTROLE PRODUÇÃO POR EMPRESAS'!A147</f>
        <v/>
      </c>
    </row>
    <row r="150">
      <c r="A150" s="282">
        <f>'CONTROLE PRODUÇÃO POR EMPRESAS'!A148</f>
        <v/>
      </c>
    </row>
    <row r="151">
      <c r="A151" s="282">
        <f>'CONTROLE PRODUÇÃO POR EMPRESAS'!A149</f>
        <v/>
      </c>
    </row>
    <row r="152">
      <c r="A152" s="282">
        <f>'CONTROLE PRODUÇÃO POR EMPRESAS'!A150</f>
        <v/>
      </c>
    </row>
    <row r="153">
      <c r="A153" s="282">
        <f>'CONTROLE PRODUÇÃO POR EMPRESAS'!A151</f>
        <v/>
      </c>
    </row>
    <row r="154">
      <c r="A154" s="282">
        <f>'CONTROLE PRODUÇÃO POR EMPRESAS'!A152</f>
        <v/>
      </c>
    </row>
    <row r="155">
      <c r="A155" s="282">
        <f>'CONTROLE PRODUÇÃO POR EMPRESAS'!A153</f>
        <v/>
      </c>
    </row>
    <row r="156">
      <c r="A156" s="282">
        <f>'CONTROLE PRODUÇÃO POR EMPRESAS'!A154</f>
        <v/>
      </c>
    </row>
    <row r="157">
      <c r="A157" s="282">
        <f>'CONTROLE PRODUÇÃO POR EMPRESAS'!A155</f>
        <v/>
      </c>
    </row>
    <row r="158">
      <c r="A158" s="282">
        <f>'CONTROLE PRODUÇÃO POR EMPRESAS'!A156</f>
        <v/>
      </c>
    </row>
    <row r="159">
      <c r="A159" s="282">
        <f>'CONTROLE PRODUÇÃO POR EMPRESAS'!A157</f>
        <v/>
      </c>
    </row>
    <row r="160">
      <c r="A160" s="282">
        <f>'CONTROLE PRODUÇÃO POR EMPRESAS'!A158</f>
        <v/>
      </c>
    </row>
    <row r="161">
      <c r="A161" s="282">
        <f>'CONTROLE PRODUÇÃO POR EMPRESAS'!A159</f>
        <v/>
      </c>
    </row>
    <row r="162">
      <c r="A162" s="282">
        <f>'CONTROLE PRODUÇÃO POR EMPRESAS'!A160</f>
        <v/>
      </c>
    </row>
    <row r="163">
      <c r="A163" s="282">
        <f>'CONTROLE PRODUÇÃO POR EMPRESAS'!A161</f>
        <v/>
      </c>
    </row>
    <row r="164">
      <c r="A164" s="282">
        <f>'CONTROLE PRODUÇÃO POR EMPRESAS'!A162</f>
        <v/>
      </c>
    </row>
    <row r="165">
      <c r="A165" s="282">
        <f>'CONTROLE PRODUÇÃO POR EMPRESAS'!A163</f>
        <v/>
      </c>
    </row>
    <row r="166">
      <c r="A166" s="282">
        <f>'CONTROLE PRODUÇÃO POR EMPRESAS'!A164</f>
        <v/>
      </c>
    </row>
    <row r="167">
      <c r="A167" s="282">
        <f>'CONTROLE PRODUÇÃO POR EMPRESAS'!A165</f>
        <v/>
      </c>
    </row>
    <row r="168">
      <c r="A168" s="282">
        <f>'CONTROLE PRODUÇÃO POR EMPRESAS'!A166</f>
        <v/>
      </c>
    </row>
    <row r="169">
      <c r="A169" s="282">
        <f>'CONTROLE PRODUÇÃO POR EMPRESAS'!A167</f>
        <v/>
      </c>
    </row>
    <row r="170">
      <c r="A170" s="282">
        <f>'CONTROLE PRODUÇÃO POR EMPRESAS'!A168</f>
        <v/>
      </c>
    </row>
    <row r="171">
      <c r="A171" s="282">
        <f>'CONTROLE PRODUÇÃO POR EMPRESAS'!A169</f>
        <v/>
      </c>
    </row>
    <row r="172">
      <c r="A172" s="282">
        <f>'CONTROLE PRODUÇÃO POR EMPRESAS'!A170</f>
        <v/>
      </c>
    </row>
    <row r="173">
      <c r="A173" s="282">
        <f>'CONTROLE PRODUÇÃO POR EMPRESAS'!A171</f>
        <v/>
      </c>
    </row>
    <row r="174">
      <c r="A174" s="282">
        <f>'CONTROLE PRODUÇÃO POR EMPRESAS'!A172</f>
        <v/>
      </c>
    </row>
    <row r="175">
      <c r="A175" s="282">
        <f>'CONTROLE PRODUÇÃO POR EMPRESAS'!A173</f>
        <v/>
      </c>
    </row>
    <row r="176">
      <c r="A176" s="282">
        <f>'CONTROLE PRODUÇÃO POR EMPRESAS'!A174</f>
        <v/>
      </c>
    </row>
    <row r="177">
      <c r="A177" s="282">
        <f>'CONTROLE PRODUÇÃO POR EMPRESAS'!A175</f>
        <v/>
      </c>
    </row>
    <row r="178">
      <c r="A178" s="282">
        <f>'CONTROLE PRODUÇÃO POR EMPRESAS'!A176</f>
        <v/>
      </c>
    </row>
    <row r="179">
      <c r="A179" s="282">
        <f>'CONTROLE PRODUÇÃO POR EMPRESAS'!A177</f>
        <v/>
      </c>
    </row>
    <row r="180">
      <c r="A180" s="282">
        <f>'CONTROLE PRODUÇÃO POR EMPRESAS'!A178</f>
        <v/>
      </c>
    </row>
    <row r="181">
      <c r="A181" s="282">
        <f>'CONTROLE PRODUÇÃO POR EMPRESAS'!A179</f>
        <v/>
      </c>
    </row>
    <row r="182">
      <c r="A182" s="282">
        <f>'CONTROLE PRODUÇÃO POR EMPRESAS'!A180</f>
        <v/>
      </c>
    </row>
    <row r="183">
      <c r="A183" s="282">
        <f>'CONTROLE PRODUÇÃO POR EMPRESAS'!A181</f>
        <v/>
      </c>
    </row>
    <row r="184">
      <c r="A184" s="282">
        <f>'CONTROLE PRODUÇÃO POR EMPRESAS'!A182</f>
        <v/>
      </c>
    </row>
    <row r="185">
      <c r="A185" s="282">
        <f>'CONTROLE PRODUÇÃO POR EMPRESAS'!A183</f>
        <v/>
      </c>
    </row>
    <row r="186">
      <c r="A186" s="282">
        <f>'CONTROLE PRODUÇÃO POR EMPRESAS'!A184</f>
        <v/>
      </c>
    </row>
    <row r="187">
      <c r="A187" s="282">
        <f>'CONTROLE PRODUÇÃO POR EMPRESAS'!A185</f>
        <v/>
      </c>
    </row>
    <row r="188">
      <c r="A188" s="282">
        <f>'CONTROLE PRODUÇÃO POR EMPRESAS'!A186</f>
        <v/>
      </c>
    </row>
    <row r="189">
      <c r="A189" s="282">
        <f>'CONTROLE PRODUÇÃO POR EMPRESAS'!A187</f>
        <v/>
      </c>
    </row>
    <row r="190">
      <c r="A190" s="282">
        <f>'CONTROLE PRODUÇÃO POR EMPRESAS'!A188</f>
        <v/>
      </c>
    </row>
    <row r="191">
      <c r="A191" s="282">
        <f>'CONTROLE PRODUÇÃO POR EMPRESAS'!A189</f>
        <v/>
      </c>
    </row>
    <row r="192">
      <c r="A192" s="282">
        <f>'CONTROLE PRODUÇÃO POR EMPRESAS'!A190</f>
        <v/>
      </c>
    </row>
    <row r="193">
      <c r="A193" s="282">
        <f>'CONTROLE PRODUÇÃO POR EMPRESAS'!A191</f>
        <v/>
      </c>
    </row>
    <row r="194">
      <c r="A194" s="282">
        <f>'CONTROLE PRODUÇÃO POR EMPRESAS'!A192</f>
        <v/>
      </c>
    </row>
    <row r="195">
      <c r="A195" s="282">
        <f>'CONTROLE PRODUÇÃO POR EMPRESAS'!A193</f>
        <v/>
      </c>
    </row>
    <row r="196">
      <c r="A196" s="282">
        <f>'CONTROLE PRODUÇÃO POR EMPRESAS'!A194</f>
        <v/>
      </c>
    </row>
    <row r="197">
      <c r="A197" s="282">
        <f>'CONTROLE PRODUÇÃO POR EMPRESAS'!A195</f>
        <v/>
      </c>
    </row>
    <row r="198">
      <c r="A198" s="282">
        <f>'CONTROLE PRODUÇÃO POR EMPRESAS'!A196</f>
        <v/>
      </c>
    </row>
    <row r="199">
      <c r="A199" s="282">
        <f>'CONTROLE PRODUÇÃO POR EMPRESAS'!A197</f>
        <v/>
      </c>
    </row>
    <row r="200">
      <c r="A200" s="282">
        <f>'CONTROLE PRODUÇÃO POR EMPRESAS'!A198</f>
        <v/>
      </c>
    </row>
    <row r="201">
      <c r="A201" s="282">
        <f>'CONTROLE PRODUÇÃO POR EMPRESAS'!A199</f>
        <v/>
      </c>
    </row>
    <row r="202">
      <c r="A202" s="282">
        <f>'CONTROLE PRODUÇÃO POR EMPRESAS'!A200</f>
        <v/>
      </c>
    </row>
    <row r="203">
      <c r="A203" s="282">
        <f>'CONTROLE PRODUÇÃO POR EMPRESAS'!A201</f>
        <v/>
      </c>
    </row>
    <row r="204">
      <c r="A204" s="282">
        <f>'CONTROLE PRODUÇÃO POR EMPRESAS'!A202</f>
        <v/>
      </c>
    </row>
    <row r="205">
      <c r="A205" s="282">
        <f>'CONTROLE PRODUÇÃO POR EMPRESAS'!A203</f>
        <v/>
      </c>
    </row>
    <row r="206">
      <c r="A206" s="282">
        <f>'CONTROLE PRODUÇÃO POR EMPRESAS'!A204</f>
        <v/>
      </c>
    </row>
    <row r="207">
      <c r="A207" s="282">
        <f>'CONTROLE PRODUÇÃO POR EMPRESAS'!A205</f>
        <v/>
      </c>
    </row>
    <row r="208">
      <c r="A208" s="282">
        <f>'CONTROLE PRODUÇÃO POR EMPRESAS'!A206</f>
        <v/>
      </c>
    </row>
    <row r="209">
      <c r="A209" s="282">
        <f>'CONTROLE PRODUÇÃO POR EMPRESAS'!A207</f>
        <v/>
      </c>
    </row>
    <row r="210">
      <c r="A210" s="282">
        <f>'CONTROLE PRODUÇÃO POR EMPRESAS'!A208</f>
        <v/>
      </c>
    </row>
    <row r="211">
      <c r="A211" s="282">
        <f>'CONTROLE PRODUÇÃO POR EMPRESAS'!A209</f>
        <v/>
      </c>
    </row>
    <row r="212">
      <c r="A212" s="282">
        <f>'CONTROLE PRODUÇÃO POR EMPRESAS'!A210</f>
        <v/>
      </c>
    </row>
    <row r="213">
      <c r="A213" s="282">
        <f>'CONTROLE PRODUÇÃO POR EMPRESAS'!A211</f>
        <v/>
      </c>
    </row>
    <row r="214">
      <c r="A214" s="282">
        <f>'CONTROLE PRODUÇÃO POR EMPRESAS'!A212</f>
        <v/>
      </c>
    </row>
    <row r="215">
      <c r="A215" s="282">
        <f>'CONTROLE PRODUÇÃO POR EMPRESAS'!A213</f>
        <v/>
      </c>
    </row>
    <row r="216">
      <c r="A216" s="282">
        <f>'CONTROLE PRODUÇÃO POR EMPRESAS'!A214</f>
        <v/>
      </c>
    </row>
    <row r="217">
      <c r="A217" s="282">
        <f>'CONTROLE PRODUÇÃO POR EMPRESAS'!A215</f>
        <v/>
      </c>
    </row>
    <row r="218">
      <c r="A218" s="282">
        <f>'CONTROLE PRODUÇÃO POR EMPRESAS'!A216</f>
        <v/>
      </c>
    </row>
    <row r="219">
      <c r="A219" s="282">
        <f>'CONTROLE PRODUÇÃO POR EMPRESAS'!A217</f>
        <v/>
      </c>
    </row>
    <row r="220">
      <c r="A220" s="282">
        <f>'CONTROLE PRODUÇÃO POR EMPRESAS'!A218</f>
        <v/>
      </c>
    </row>
    <row r="221">
      <c r="A221" s="282">
        <f>'CONTROLE PRODUÇÃO POR EMPRESAS'!A219</f>
        <v/>
      </c>
    </row>
    <row r="222">
      <c r="A222" s="282">
        <f>'CONTROLE PRODUÇÃO POR EMPRESAS'!A220</f>
        <v/>
      </c>
    </row>
    <row r="223">
      <c r="A223" s="282">
        <f>'CONTROLE PRODUÇÃO POR EMPRESAS'!A221</f>
        <v/>
      </c>
    </row>
    <row r="224">
      <c r="A224" s="282">
        <f>'CONTROLE PRODUÇÃO POR EMPRESAS'!A222</f>
        <v/>
      </c>
    </row>
    <row r="225">
      <c r="A225" s="282">
        <f>'CONTROLE PRODUÇÃO POR EMPRESAS'!A223</f>
        <v/>
      </c>
    </row>
    <row r="226">
      <c r="A226" s="282">
        <f>'CONTROLE PRODUÇÃO POR EMPRESAS'!A224</f>
        <v/>
      </c>
    </row>
    <row r="227">
      <c r="A227" s="282">
        <f>'CONTROLE PRODUÇÃO POR EMPRESAS'!A225</f>
        <v/>
      </c>
    </row>
    <row r="228">
      <c r="A228" s="282">
        <f>'CONTROLE PRODUÇÃO POR EMPRESAS'!A226</f>
        <v/>
      </c>
    </row>
    <row r="229">
      <c r="A229" s="282">
        <f>'CONTROLE PRODUÇÃO POR EMPRESAS'!A227</f>
        <v/>
      </c>
    </row>
    <row r="230">
      <c r="A230" s="282">
        <f>'CONTROLE PRODUÇÃO POR EMPRESAS'!A228</f>
        <v/>
      </c>
    </row>
    <row r="231">
      <c r="A231" s="282">
        <f>'CONTROLE PRODUÇÃO POR EMPRESAS'!A229</f>
        <v/>
      </c>
    </row>
    <row r="232">
      <c r="A232" s="282">
        <f>'CONTROLE PRODUÇÃO POR EMPRESAS'!A230</f>
        <v/>
      </c>
    </row>
    <row r="233">
      <c r="A233" s="282">
        <f>'CONTROLE PRODUÇÃO POR EMPRESAS'!A231</f>
        <v/>
      </c>
    </row>
    <row r="234">
      <c r="A234" s="282">
        <f>'CONTROLE PRODUÇÃO POR EMPRESAS'!A232</f>
        <v/>
      </c>
    </row>
    <row r="235">
      <c r="A235" s="282">
        <f>'CONTROLE PRODUÇÃO POR EMPRESAS'!A233</f>
        <v/>
      </c>
    </row>
    <row r="236">
      <c r="A236" s="282">
        <f>'CONTROLE PRODUÇÃO POR EMPRESAS'!A234</f>
        <v/>
      </c>
    </row>
    <row r="237">
      <c r="A237" s="282">
        <f>'CONTROLE PRODUÇÃO POR EMPRESAS'!A235</f>
        <v/>
      </c>
    </row>
    <row r="238">
      <c r="A238" s="282">
        <f>'CONTROLE PRODUÇÃO POR EMPRESAS'!A236</f>
        <v/>
      </c>
    </row>
    <row r="239">
      <c r="A239" s="282">
        <f>'CONTROLE PRODUÇÃO POR EMPRESAS'!A237</f>
        <v/>
      </c>
    </row>
    <row r="240">
      <c r="A240" s="282">
        <f>'CONTROLE PRODUÇÃO POR EMPRESAS'!A238</f>
        <v/>
      </c>
    </row>
    <row r="241">
      <c r="A241" s="282">
        <f>'CONTROLE PRODUÇÃO POR EMPRESAS'!A239</f>
        <v/>
      </c>
    </row>
    <row r="242">
      <c r="A242" s="282">
        <f>'CONTROLE PRODUÇÃO POR EMPRESAS'!A240</f>
        <v/>
      </c>
    </row>
    <row r="243">
      <c r="A243" s="282">
        <f>'CONTROLE PRODUÇÃO POR EMPRESAS'!A241</f>
        <v/>
      </c>
    </row>
    <row r="244">
      <c r="A244" s="282">
        <f>'CONTROLE PRODUÇÃO POR EMPRESAS'!A242</f>
        <v/>
      </c>
    </row>
    <row r="245">
      <c r="A245" s="282">
        <f>'CONTROLE PRODUÇÃO POR EMPRESAS'!A243</f>
        <v/>
      </c>
    </row>
    <row r="246">
      <c r="A246" s="282">
        <f>'CONTROLE PRODUÇÃO POR EMPRESAS'!A244</f>
        <v/>
      </c>
    </row>
    <row r="247">
      <c r="A247" s="282">
        <f>'CONTROLE PRODUÇÃO POR EMPRESAS'!A245</f>
        <v/>
      </c>
    </row>
    <row r="248">
      <c r="A248" s="282">
        <f>'CONTROLE PRODUÇÃO POR EMPRESAS'!A246</f>
        <v/>
      </c>
    </row>
    <row r="249">
      <c r="A249" s="282">
        <f>'CONTROLE PRODUÇÃO POR EMPRESAS'!A247</f>
        <v/>
      </c>
    </row>
    <row r="250">
      <c r="A250" s="282">
        <f>'CONTROLE PRODUÇÃO POR EMPRESAS'!A248</f>
        <v/>
      </c>
    </row>
    <row r="251">
      <c r="A251" s="282">
        <f>'CONTROLE PRODUÇÃO POR EMPRESAS'!A249</f>
        <v/>
      </c>
    </row>
    <row r="252">
      <c r="A252" s="282">
        <f>'CONTROLE PRODUÇÃO POR EMPRESAS'!A250</f>
        <v/>
      </c>
    </row>
    <row r="253">
      <c r="A253" s="282">
        <f>'CONTROLE PRODUÇÃO POR EMPRESAS'!A251</f>
        <v/>
      </c>
    </row>
    <row r="254">
      <c r="A254" s="282">
        <f>'CONTROLE PRODUÇÃO POR EMPRESAS'!A252</f>
        <v/>
      </c>
    </row>
    <row r="255">
      <c r="A255" s="282">
        <f>'CONTROLE PRODUÇÃO POR EMPRESAS'!A253</f>
        <v/>
      </c>
    </row>
    <row r="256">
      <c r="A256" s="282">
        <f>'CONTROLE PRODUÇÃO POR EMPRESAS'!A254</f>
        <v/>
      </c>
    </row>
    <row r="257">
      <c r="A257" s="282">
        <f>'CONTROLE PRODUÇÃO POR EMPRESAS'!A255</f>
        <v/>
      </c>
    </row>
    <row r="258">
      <c r="A258" s="282">
        <f>'CONTROLE PRODUÇÃO POR EMPRESAS'!A256</f>
        <v/>
      </c>
    </row>
    <row r="259">
      <c r="A259" s="282">
        <f>'CONTROLE PRODUÇÃO POR EMPRESAS'!A257</f>
        <v/>
      </c>
    </row>
    <row r="260">
      <c r="A260" s="282">
        <f>'CONTROLE PRODUÇÃO POR EMPRESAS'!A258</f>
        <v/>
      </c>
    </row>
    <row r="261">
      <c r="A261" s="282">
        <f>'CONTROLE PRODUÇÃO POR EMPRESAS'!A259</f>
        <v/>
      </c>
    </row>
    <row r="262">
      <c r="A262" s="282">
        <f>'CONTROLE PRODUÇÃO POR EMPRESAS'!A260</f>
        <v/>
      </c>
    </row>
    <row r="263">
      <c r="A263" s="282">
        <f>'CONTROLE PRODUÇÃO POR EMPRESAS'!A261</f>
        <v/>
      </c>
    </row>
    <row r="264">
      <c r="A264" s="282">
        <f>'CONTROLE PRODUÇÃO POR EMPRESAS'!A262</f>
        <v/>
      </c>
    </row>
    <row r="265">
      <c r="A265" s="282">
        <f>'CONTROLE PRODUÇÃO POR EMPRESAS'!A263</f>
        <v/>
      </c>
    </row>
    <row r="266">
      <c r="A266" s="282">
        <f>'CONTROLE PRODUÇÃO POR EMPRESAS'!A264</f>
        <v/>
      </c>
    </row>
    <row r="267">
      <c r="A267" s="282">
        <f>'CONTROLE PRODUÇÃO POR EMPRESAS'!A265</f>
        <v/>
      </c>
    </row>
    <row r="268">
      <c r="A268" s="282">
        <f>'CONTROLE PRODUÇÃO POR EMPRESAS'!A266</f>
        <v/>
      </c>
    </row>
    <row r="269">
      <c r="A269" s="282">
        <f>'CONTROLE PRODUÇÃO POR EMPRESAS'!A267</f>
        <v/>
      </c>
    </row>
    <row r="270">
      <c r="A270" s="282">
        <f>'CONTROLE PRODUÇÃO POR EMPRESAS'!A268</f>
        <v/>
      </c>
    </row>
    <row r="271">
      <c r="A271" s="282">
        <f>'CONTROLE PRODUÇÃO POR EMPRESAS'!A269</f>
        <v/>
      </c>
    </row>
    <row r="272">
      <c r="A272" s="282">
        <f>'CONTROLE PRODUÇÃO POR EMPRESAS'!A270</f>
        <v/>
      </c>
    </row>
    <row r="273">
      <c r="A273" s="282">
        <f>'CONTROLE PRODUÇÃO POR EMPRESAS'!A271</f>
        <v/>
      </c>
    </row>
    <row r="274">
      <c r="A274" s="282">
        <f>'CONTROLE PRODUÇÃO POR EMPRESAS'!A272</f>
        <v/>
      </c>
    </row>
    <row r="275">
      <c r="A275" s="282">
        <f>'CONTROLE PRODUÇÃO POR EMPRESAS'!A273</f>
        <v/>
      </c>
    </row>
    <row r="276">
      <c r="A276" s="282">
        <f>'CONTROLE PRODUÇÃO POR EMPRESAS'!A274</f>
        <v/>
      </c>
    </row>
    <row r="277">
      <c r="A277" s="282">
        <f>'CONTROLE PRODUÇÃO POR EMPRESAS'!A275</f>
        <v/>
      </c>
    </row>
    <row r="278">
      <c r="A278" s="282">
        <f>'CONTROLE PRODUÇÃO POR EMPRESAS'!A276</f>
        <v/>
      </c>
    </row>
    <row r="279">
      <c r="A279" s="282">
        <f>'CONTROLE PRODUÇÃO POR EMPRESAS'!A277</f>
        <v/>
      </c>
    </row>
    <row r="280">
      <c r="A280" s="282">
        <f>'CONTROLE PRODUÇÃO POR EMPRESAS'!A278</f>
        <v/>
      </c>
    </row>
    <row r="281">
      <c r="A281" s="282">
        <f>'CONTROLE PRODUÇÃO POR EMPRESAS'!A279</f>
        <v/>
      </c>
    </row>
    <row r="282">
      <c r="A282" s="282">
        <f>'CONTROLE PRODUÇÃO POR EMPRESAS'!A280</f>
        <v/>
      </c>
    </row>
    <row r="283">
      <c r="A283" s="282">
        <f>'CONTROLE PRODUÇÃO POR EMPRESAS'!A281</f>
        <v/>
      </c>
    </row>
    <row r="284">
      <c r="A284" s="282">
        <f>'CONTROLE PRODUÇÃO POR EMPRESAS'!A282</f>
        <v/>
      </c>
    </row>
    <row r="285">
      <c r="A285" s="282">
        <f>'CONTROLE PRODUÇÃO POR EMPRESAS'!A283</f>
        <v/>
      </c>
    </row>
    <row r="286">
      <c r="A286" s="282">
        <f>'CONTROLE PRODUÇÃO POR EMPRESAS'!A284</f>
        <v/>
      </c>
    </row>
    <row r="287">
      <c r="A287" s="282">
        <f>'CONTROLE PRODUÇÃO POR EMPRESAS'!A285</f>
        <v/>
      </c>
    </row>
    <row r="288">
      <c r="A288" s="282">
        <f>'CONTROLE PRODUÇÃO POR EMPRESAS'!A286</f>
        <v/>
      </c>
    </row>
    <row r="289">
      <c r="A289" s="282">
        <f>'CONTROLE PRODUÇÃO POR EMPRESAS'!A287</f>
        <v/>
      </c>
    </row>
    <row r="290">
      <c r="A290" s="282">
        <f>'CONTROLE PRODUÇÃO POR EMPRESAS'!A288</f>
        <v/>
      </c>
    </row>
    <row r="291">
      <c r="A291" s="282">
        <f>'CONTROLE PRODUÇÃO POR EMPRESAS'!A289</f>
        <v/>
      </c>
    </row>
    <row r="292">
      <c r="A292" s="282">
        <f>'CONTROLE PRODUÇÃO POR EMPRESAS'!A290</f>
        <v/>
      </c>
    </row>
    <row r="293">
      <c r="A293" s="282">
        <f>'CONTROLE PRODUÇÃO POR EMPRESAS'!A291</f>
        <v/>
      </c>
    </row>
    <row r="294">
      <c r="A294" s="282">
        <f>'CONTROLE PRODUÇÃO POR EMPRESAS'!A292</f>
        <v/>
      </c>
    </row>
    <row r="295">
      <c r="A295" s="282">
        <f>'CONTROLE PRODUÇÃO POR EMPRESAS'!A293</f>
        <v/>
      </c>
    </row>
    <row r="296">
      <c r="A296" s="282">
        <f>'CONTROLE PRODUÇÃO POR EMPRESAS'!A294</f>
        <v/>
      </c>
    </row>
    <row r="297">
      <c r="A297" s="282">
        <f>'CONTROLE PRODUÇÃO POR EMPRESAS'!A295</f>
        <v/>
      </c>
    </row>
    <row r="298">
      <c r="A298" s="282">
        <f>'CONTROLE PRODUÇÃO POR EMPRESAS'!A296</f>
        <v/>
      </c>
    </row>
    <row r="299">
      <c r="A299" s="282">
        <f>'CONTROLE PRODUÇÃO POR EMPRESAS'!A297</f>
        <v/>
      </c>
    </row>
    <row r="300">
      <c r="A300" s="282">
        <f>'CONTROLE PRODUÇÃO POR EMPRESAS'!A298</f>
        <v/>
      </c>
    </row>
    <row r="301">
      <c r="A301" s="282">
        <f>'CONTROLE PRODUÇÃO POR EMPRESAS'!A299</f>
        <v/>
      </c>
    </row>
    <row r="302">
      <c r="A302" s="282">
        <f>'CONTROLE PRODUÇÃO POR EMPRESAS'!A300</f>
        <v/>
      </c>
    </row>
    <row r="303">
      <c r="A303" s="282">
        <f>'CONTROLE PRODUÇÃO POR EMPRESAS'!A301</f>
        <v/>
      </c>
    </row>
    <row r="304">
      <c r="A304" s="282">
        <f>'CONTROLE PRODUÇÃO POR EMPRESAS'!A302</f>
        <v/>
      </c>
    </row>
    <row r="305">
      <c r="A305" s="282">
        <f>'CONTROLE PRODUÇÃO POR EMPRESAS'!A303</f>
        <v/>
      </c>
    </row>
    <row r="306">
      <c r="A306" s="282">
        <f>'CONTROLE PRODUÇÃO POR EMPRESAS'!A304</f>
        <v/>
      </c>
    </row>
    <row r="307">
      <c r="A307" s="282">
        <f>'CONTROLE PRODUÇÃO POR EMPRESAS'!A305</f>
        <v/>
      </c>
    </row>
    <row r="308">
      <c r="A308" s="282">
        <f>'CONTROLE PRODUÇÃO POR EMPRESAS'!A306</f>
        <v/>
      </c>
    </row>
    <row r="309">
      <c r="A309" s="282">
        <f>'CONTROLE PRODUÇÃO POR EMPRESAS'!A307</f>
        <v/>
      </c>
    </row>
    <row r="310">
      <c r="A310" s="282">
        <f>'CONTROLE PRODUÇÃO POR EMPRESAS'!A308</f>
        <v/>
      </c>
    </row>
    <row r="311">
      <c r="A311" s="282">
        <f>'CONTROLE PRODUÇÃO POR EMPRESAS'!A309</f>
        <v/>
      </c>
    </row>
    <row r="312">
      <c r="A312" s="282">
        <f>'CONTROLE PRODUÇÃO POR EMPRESAS'!A310</f>
        <v/>
      </c>
    </row>
    <row r="313">
      <c r="A313" s="282">
        <f>'CONTROLE PRODUÇÃO POR EMPRESAS'!A311</f>
        <v/>
      </c>
    </row>
    <row r="314">
      <c r="A314" s="282">
        <f>'CONTROLE PRODUÇÃO POR EMPRESAS'!A312</f>
        <v/>
      </c>
    </row>
    <row r="315">
      <c r="A315" s="282">
        <f>'CONTROLE PRODUÇÃO POR EMPRESAS'!A313</f>
        <v/>
      </c>
    </row>
    <row r="316">
      <c r="A316" s="282">
        <f>'CONTROLE PRODUÇÃO POR EMPRESAS'!A314</f>
        <v/>
      </c>
    </row>
    <row r="317">
      <c r="A317" s="282">
        <f>'CONTROLE PRODUÇÃO POR EMPRESAS'!A315</f>
        <v/>
      </c>
    </row>
    <row r="318">
      <c r="A318" s="282">
        <f>'CONTROLE PRODUÇÃO POR EMPRESAS'!A316</f>
        <v/>
      </c>
    </row>
    <row r="319">
      <c r="A319" s="282">
        <f>'CONTROLE PRODUÇÃO POR EMPRESAS'!A317</f>
        <v/>
      </c>
    </row>
    <row r="320">
      <c r="A320" s="282">
        <f>'CONTROLE PRODUÇÃO POR EMPRESAS'!A318</f>
        <v/>
      </c>
    </row>
    <row r="321">
      <c r="A321" s="282">
        <f>'CONTROLE PRODUÇÃO POR EMPRESAS'!A319</f>
        <v/>
      </c>
    </row>
    <row r="322">
      <c r="A322" s="282">
        <f>'CONTROLE PRODUÇÃO POR EMPRESAS'!A320</f>
        <v/>
      </c>
    </row>
    <row r="323">
      <c r="A323" s="282">
        <f>'CONTROLE PRODUÇÃO POR EMPRESAS'!A321</f>
        <v/>
      </c>
    </row>
    <row r="324">
      <c r="A324" s="282">
        <f>'CONTROLE PRODUÇÃO POR EMPRESAS'!A322</f>
        <v/>
      </c>
    </row>
    <row r="325">
      <c r="A325" s="282">
        <f>'CONTROLE PRODUÇÃO POR EMPRESAS'!A323</f>
        <v/>
      </c>
    </row>
    <row r="326">
      <c r="A326" s="282">
        <f>'CONTROLE PRODUÇÃO POR EMPRESAS'!A324</f>
        <v/>
      </c>
    </row>
    <row r="327">
      <c r="A327" s="282">
        <f>'CONTROLE PRODUÇÃO POR EMPRESAS'!A325</f>
        <v/>
      </c>
    </row>
    <row r="328">
      <c r="A328" s="282">
        <f>'CONTROLE PRODUÇÃO POR EMPRESAS'!A326</f>
        <v/>
      </c>
    </row>
    <row r="329">
      <c r="A329" s="282">
        <f>'CONTROLE PRODUÇÃO POR EMPRESAS'!A327</f>
        <v/>
      </c>
    </row>
    <row r="330">
      <c r="A330" s="282">
        <f>'CONTROLE PRODUÇÃO POR EMPRESAS'!A328</f>
        <v/>
      </c>
    </row>
    <row r="331">
      <c r="A331" s="282">
        <f>'CONTROLE PRODUÇÃO POR EMPRESAS'!A329</f>
        <v/>
      </c>
    </row>
    <row r="332">
      <c r="A332" s="282">
        <f>'CONTROLE PRODUÇÃO POR EMPRESAS'!A330</f>
        <v/>
      </c>
    </row>
    <row r="333">
      <c r="A333" s="282">
        <f>'CONTROLE PRODUÇÃO POR EMPRESAS'!A331</f>
        <v/>
      </c>
    </row>
    <row r="334">
      <c r="A334" s="282">
        <f>'CONTROLE PRODUÇÃO POR EMPRESAS'!A332</f>
        <v/>
      </c>
    </row>
    <row r="335">
      <c r="A335" s="282">
        <f>'CONTROLE PRODUÇÃO POR EMPRESAS'!A333</f>
        <v/>
      </c>
    </row>
    <row r="336">
      <c r="A336" s="282">
        <f>'CONTROLE PRODUÇÃO POR EMPRESAS'!A334</f>
        <v/>
      </c>
    </row>
    <row r="337">
      <c r="A337" s="282">
        <f>'CONTROLE PRODUÇÃO POR EMPRESAS'!A335</f>
        <v/>
      </c>
    </row>
    <row r="338">
      <c r="A338" s="282">
        <f>'CONTROLE PRODUÇÃO POR EMPRESAS'!A336</f>
        <v/>
      </c>
    </row>
    <row r="339">
      <c r="A339" s="282">
        <f>'CONTROLE PRODUÇÃO POR EMPRESAS'!A337</f>
        <v/>
      </c>
    </row>
    <row r="340">
      <c r="A340" s="282">
        <f>'CONTROLE PRODUÇÃO POR EMPRESAS'!A338</f>
        <v/>
      </c>
    </row>
    <row r="341">
      <c r="A341" s="282">
        <f>'CONTROLE PRODUÇÃO POR EMPRESAS'!A339</f>
        <v/>
      </c>
    </row>
    <row r="342">
      <c r="A342" s="282">
        <f>'CONTROLE PRODUÇÃO POR EMPRESAS'!A340</f>
        <v/>
      </c>
    </row>
    <row r="343">
      <c r="A343" s="282">
        <f>'CONTROLE PRODUÇÃO POR EMPRESAS'!A341</f>
        <v/>
      </c>
    </row>
    <row r="344">
      <c r="A344" s="282">
        <f>'CONTROLE PRODUÇÃO POR EMPRESAS'!A342</f>
        <v/>
      </c>
    </row>
    <row r="345">
      <c r="A345" s="282">
        <f>'CONTROLE PRODUÇÃO POR EMPRESAS'!A343</f>
        <v/>
      </c>
    </row>
    <row r="346">
      <c r="A346" s="282">
        <f>'CONTROLE PRODUÇÃO POR EMPRESAS'!A344</f>
        <v/>
      </c>
    </row>
    <row r="347">
      <c r="A347" s="282">
        <f>'CONTROLE PRODUÇÃO POR EMPRESAS'!A345</f>
        <v/>
      </c>
    </row>
    <row r="348">
      <c r="A348" s="282">
        <f>'CONTROLE PRODUÇÃO POR EMPRESAS'!A346</f>
        <v/>
      </c>
    </row>
    <row r="349">
      <c r="A349" s="282">
        <f>'CONTROLE PRODUÇÃO POR EMPRESAS'!A347</f>
        <v/>
      </c>
    </row>
    <row r="350">
      <c r="A350" s="282">
        <f>'CONTROLE PRODUÇÃO POR EMPRESAS'!A348</f>
        <v/>
      </c>
    </row>
    <row r="351">
      <c r="A351" s="282">
        <f>'CONTROLE PRODUÇÃO POR EMPRESAS'!A349</f>
        <v/>
      </c>
    </row>
    <row r="352">
      <c r="A352" s="282">
        <f>'CONTROLE PRODUÇÃO POR EMPRESAS'!A350</f>
        <v/>
      </c>
    </row>
    <row r="353">
      <c r="A353" s="282">
        <f>'CONTROLE PRODUÇÃO POR EMPRESAS'!A351</f>
        <v/>
      </c>
    </row>
    <row r="354">
      <c r="A354" s="282">
        <f>'CONTROLE PRODUÇÃO POR EMPRESAS'!A352</f>
        <v/>
      </c>
    </row>
    <row r="355">
      <c r="A355" s="282">
        <f>'CONTROLE PRODUÇÃO POR EMPRESAS'!A353</f>
        <v/>
      </c>
    </row>
    <row r="356">
      <c r="A356" s="282">
        <f>'CONTROLE PRODUÇÃO POR EMPRESAS'!A354</f>
        <v/>
      </c>
    </row>
    <row r="357">
      <c r="A357" s="282">
        <f>'CONTROLE PRODUÇÃO POR EMPRESAS'!A355</f>
        <v/>
      </c>
    </row>
    <row r="358">
      <c r="A358" s="282">
        <f>'CONTROLE PRODUÇÃO POR EMPRESAS'!A356</f>
        <v/>
      </c>
    </row>
    <row r="359">
      <c r="A359" s="282">
        <f>'CONTROLE PRODUÇÃO POR EMPRESAS'!A357</f>
        <v/>
      </c>
    </row>
    <row r="360">
      <c r="A360" s="282">
        <f>'CONTROLE PRODUÇÃO POR EMPRESAS'!A358</f>
        <v/>
      </c>
    </row>
    <row r="361">
      <c r="A361" s="282">
        <f>'CONTROLE PRODUÇÃO POR EMPRESAS'!A359</f>
        <v/>
      </c>
    </row>
    <row r="362">
      <c r="A362" s="282">
        <f>'CONTROLE PRODUÇÃO POR EMPRESAS'!A360</f>
        <v/>
      </c>
    </row>
    <row r="363">
      <c r="A363" s="282">
        <f>'CONTROLE PRODUÇÃO POR EMPRESAS'!A361</f>
        <v/>
      </c>
    </row>
    <row r="364">
      <c r="A364" s="282">
        <f>'CONTROLE PRODUÇÃO POR EMPRESAS'!A362</f>
        <v/>
      </c>
    </row>
  </sheetData>
  <mergeCells count="10">
    <mergeCell ref="B2:C2"/>
    <mergeCell ref="V2:W2"/>
    <mergeCell ref="A1:Z1"/>
    <mergeCell ref="G2:H2"/>
    <mergeCell ref="E2:F2"/>
    <mergeCell ref="P2:R2"/>
    <mergeCell ref="X2:Y2"/>
    <mergeCell ref="I2:L2"/>
    <mergeCell ref="M2:O2"/>
    <mergeCell ref="S2:U2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AC111"/>
  <sheetViews>
    <sheetView zoomScaleNormal="100" workbookViewId="0">
      <selection activeCell="N4" sqref="N4"/>
    </sheetView>
  </sheetViews>
  <sheetFormatPr baseColWidth="8" defaultColWidth="8.5546875" defaultRowHeight="14.4"/>
  <cols>
    <col width="14" customWidth="1" min="1" max="2"/>
    <col width="18" customWidth="1" min="3" max="3"/>
    <col width="15" customWidth="1" min="4" max="4"/>
    <col width="13" customWidth="1" min="5" max="5"/>
    <col width="3" customWidth="1" min="6" max="6"/>
    <col width="14" customWidth="1" min="7" max="7"/>
    <col width="13.109375" customWidth="1" min="8" max="8"/>
    <col width="10.5546875" customWidth="1" min="9" max="9"/>
    <col width="12" customWidth="1" min="10" max="10"/>
    <col width="18" customWidth="1" min="11" max="11"/>
    <col width="20" customWidth="1" min="14" max="14"/>
    <col width="2" customWidth="1" min="27" max="28"/>
  </cols>
  <sheetData>
    <row r="1" ht="16.5" customHeight="1">
      <c r="A1" s="227" t="inlineStr">
        <is>
          <t>CONSULTA DE PRODUÇÃO POR EMPRESA</t>
        </is>
      </c>
      <c r="O1" s="77" t="n"/>
      <c r="P1" s="77" t="n"/>
      <c r="Q1" s="77" t="n"/>
      <c r="R1" s="77" t="n"/>
      <c r="S1" s="77" t="n"/>
      <c r="T1" s="77" t="n"/>
      <c r="U1" s="77" t="n"/>
      <c r="V1" s="77" t="n"/>
      <c r="W1" s="77" t="n"/>
      <c r="X1" s="77" t="n"/>
      <c r="Y1" s="77" t="n"/>
      <c r="AA1" s="78" t="n"/>
      <c r="AB1" s="78" t="n"/>
      <c r="AC1" s="62" t="inlineStr">
        <is>
          <t>AUX CONSULTA</t>
        </is>
      </c>
    </row>
    <row r="2" ht="11.25" customHeight="1">
      <c r="A2" s="228" t="inlineStr">
        <is>
          <t>Selecione EMPRESA (GERAL = soma de todas), período e item. Os dados vêm da aba de controle da empresa; a meta vem de METAS EMPRESAS (PRE/JOIST/VIGAS de EJ/CMM) ou do ESCOPO POR EMPRESA.</t>
        </is>
      </c>
      <c r="O2" s="79" t="n"/>
      <c r="P2" s="79" t="inlineStr">
        <is>
          <t>PRE</t>
        </is>
      </c>
      <c r="Q2" s="79" t="inlineStr">
        <is>
          <t>JOIST</t>
        </is>
      </c>
      <c r="R2" s="79" t="inlineStr">
        <is>
          <t>VIGA</t>
        </is>
      </c>
      <c r="S2" s="79" t="n"/>
      <c r="T2" s="79" t="n"/>
      <c r="U2" s="79" t="n"/>
      <c r="V2" s="79" t="n"/>
      <c r="W2" s="79" t="n"/>
      <c r="X2" s="79" t="n"/>
      <c r="Y2" s="79" t="n"/>
      <c r="AA2" s="287">
        <f>'CONTROLE PRODUÇÃO POR EMPRESAS'!A6</f>
        <v/>
      </c>
      <c r="AB2" s="78">
        <f>IF(A12="","",TEXT(A12,"dd/mm"))</f>
        <v/>
      </c>
      <c r="AC2" s="81">
        <f>IFERROR(MATCH($B$4,{"EJ","CMM","GLOBO AÇOS","OUTROS"},0),0)</f>
        <v/>
      </c>
    </row>
    <row r="3">
      <c r="P3" s="82">
        <f>R7+V6</f>
        <v/>
      </c>
      <c r="Q3" s="82">
        <f>S7+W6</f>
        <v/>
      </c>
      <c r="R3" s="82">
        <f>T7+X6</f>
        <v/>
      </c>
      <c r="AA3" s="287">
        <f>'CONTROLE PRODUÇÃO POR EMPRESAS'!A7</f>
        <v/>
      </c>
      <c r="AB3" s="78">
        <f>IF(A13="","",TEXT(A13,"dd/mm"))</f>
        <v/>
      </c>
      <c r="AC3" s="81">
        <f>IFERROR(INDEX('ESCOPO POR EMPRESA'!$O$5:$R$52,MATCH($N$4,'ESCOPO POR EMPRESA'!$A$5:$A$52,0),$AC$2),0)</f>
        <v/>
      </c>
    </row>
    <row r="4" ht="12" customHeight="1">
      <c r="A4" s="83" t="inlineStr">
        <is>
          <t>EMPRESA</t>
        </is>
      </c>
      <c r="B4" s="84" t="inlineStr">
        <is>
          <t>GERAL</t>
        </is>
      </c>
      <c r="D4" s="83" t="inlineStr">
        <is>
          <t>DATA INICIAL</t>
        </is>
      </c>
      <c r="E4" s="288" t="n">
        <v>46286</v>
      </c>
      <c r="I4" s="83" t="inlineStr">
        <is>
          <t>DATA FINAL</t>
        </is>
      </c>
      <c r="J4" s="288" t="n">
        <v>46291</v>
      </c>
      <c r="M4" s="83" t="inlineStr">
        <is>
          <t>ITEM</t>
        </is>
      </c>
      <c r="N4" s="84" t="inlineStr">
        <is>
          <t>PREMONTAGEM</t>
        </is>
      </c>
      <c r="V4" s="229" t="inlineStr">
        <is>
          <t>CMM</t>
        </is>
      </c>
      <c r="W4" s="131" t="n"/>
      <c r="X4" s="71" t="n"/>
      <c r="Y4" s="86" t="n"/>
      <c r="AA4" s="287">
        <f>'CONTROLE PRODUÇÃO POR EMPRESAS'!A8</f>
        <v/>
      </c>
      <c r="AB4" s="78">
        <f>IF(A14="","",TEXT(A14,"dd/mm"))</f>
        <v/>
      </c>
    </row>
    <row r="5">
      <c r="R5" s="229" t="inlineStr">
        <is>
          <t>EJ</t>
        </is>
      </c>
      <c r="S5" s="131" t="n"/>
      <c r="T5" s="71" t="n"/>
      <c r="V5" s="23" t="inlineStr">
        <is>
          <t>PRE</t>
        </is>
      </c>
      <c r="W5" s="23" t="inlineStr">
        <is>
          <t>JOIST</t>
        </is>
      </c>
      <c r="X5" s="23" t="inlineStr">
        <is>
          <t>VIGA</t>
        </is>
      </c>
      <c r="AA5" s="287">
        <f>'CONTROLE PRODUÇÃO POR EMPRESAS'!A9</f>
        <v/>
      </c>
      <c r="AB5" s="78">
        <f>IF(A15="","",TEXT(A15,"dd/mm"))</f>
        <v/>
      </c>
    </row>
    <row r="6" ht="11.25" customHeight="1">
      <c r="A6" s="230" t="inlineStr">
        <is>
          <t>TOTAL PRODUZIDO</t>
        </is>
      </c>
      <c r="D6" s="230" t="inlineStr">
        <is>
          <t>DIAS NO PERÍODO</t>
        </is>
      </c>
      <c r="G6" s="230" t="inlineStr">
        <is>
          <t>DIAS ÚTEIS TRABALHADOS</t>
        </is>
      </c>
      <c r="J6" s="230" t="inlineStr">
        <is>
          <t>MÉDIA POR DIA</t>
        </is>
      </c>
      <c r="M6" s="230" t="inlineStr">
        <is>
          <t>MÉDIA / DIA ÚTIL TRAB.</t>
        </is>
      </c>
      <c r="R6" s="23" t="inlineStr">
        <is>
          <t>PRE</t>
        </is>
      </c>
      <c r="S6" s="23" t="inlineStr">
        <is>
          <t>JOIST</t>
        </is>
      </c>
      <c r="T6" s="23" t="inlineStr">
        <is>
          <t>VIGA</t>
        </is>
      </c>
      <c r="V6" s="223">
        <f>'CONTROLE PRODUÇÃO POR EMPRESAS'!P3</f>
        <v/>
      </c>
      <c r="W6" s="223">
        <f>'CONTROLE PRODUÇÃO POR EMPRESAS'!Q3</f>
        <v/>
      </c>
      <c r="X6" s="223">
        <f>'CONTROLE PRODUÇÃO POR EMPRESAS'!R3</f>
        <v/>
      </c>
      <c r="AA6" s="287">
        <f>'CONTROLE PRODUÇÃO POR EMPRESAS'!A10</f>
        <v/>
      </c>
      <c r="AB6" s="78">
        <f>IF(A16="","",TEXT(A16,"dd/mm"))</f>
        <v/>
      </c>
    </row>
    <row r="7" ht="11.25" customHeight="1">
      <c r="A7" s="231">
        <f>SUM(D12:D111)</f>
        <v/>
      </c>
      <c r="D7" s="231">
        <f>IF(OR(E4="",J4="",E4&gt;J4),0,J4-E4+1)</f>
        <v/>
      </c>
      <c r="G7" s="231">
        <f>IF(AND(OR($N$4="PREMONTAGEM",$N$4="IÇAMENTO JOIST",$N$4="VIGAS"),OR($B$4="GERAL",$B$4="EJ",$B$4="CMM")),IF(OR($E$4="",$J$4="",$E$4&gt;$J$4),0,IF($B$4="GERAL",SUMIFS('CONTROLE PRODUÇÃO POR EMPRESAS'!$AF$6:$AF$362,'CONTROLE PRODUÇÃO POR EMPRESAS'!$A$6:$A$362,"&gt;="&amp;$E$4,'CONTROLE PRODUÇÃO POR EMPRESAS'!$A$6:$A$362,"&lt;="&amp;$J$4),IF($B$4="EJ",SUMIFS('CONTROLE PRODUÇÃO POR EMPRESAS'!$AD$6:$AD$362,'CONTROLE PRODUÇÃO POR EMPRESAS'!$A$6:$A$362,"&gt;="&amp;$E$4,'CONTROLE PRODUÇÃO POR EMPRESAS'!$A$6:$A$362,"&lt;="&amp;$J$4),SUMIFS('CONTROLE PRODUÇÃO POR EMPRESAS'!$AE$6:$AE$362,'CONTROLE PRODUÇÃO POR EMPRESAS'!$A$6:$A$362,"&gt;="&amp;$E$4,'CONTROLE PRODUÇÃO POR EMPRESAS'!$A$6:$A$362,"&lt;="&amp;$J$4)))),COUNTIF($D$12:$D$111,"&gt;0"))</f>
        <v/>
      </c>
      <c r="J7" s="232">
        <f>IFERROR(A7/D7,0)</f>
        <v/>
      </c>
      <c r="M7" s="232">
        <f>IFERROR(A7/G7,0)</f>
        <v/>
      </c>
      <c r="R7" s="223">
        <f>'CONTROLE PRODUÇÃO POR EMPRESAS'!L3</f>
        <v/>
      </c>
      <c r="S7" s="223">
        <f>'CONTROLE PRODUÇÃO POR EMPRESAS'!M3</f>
        <v/>
      </c>
      <c r="T7" s="223">
        <f>'CONTROLE PRODUÇÃO POR EMPRESAS'!N3</f>
        <v/>
      </c>
      <c r="V7" s="87">
        <f>V6/P3</f>
        <v/>
      </c>
      <c r="W7" s="87">
        <f>W6/Q3</f>
        <v/>
      </c>
      <c r="X7" s="87">
        <f>X6/R3</f>
        <v/>
      </c>
      <c r="AA7" s="287">
        <f>'CONTROLE PRODUÇÃO POR EMPRESAS'!A11</f>
        <v/>
      </c>
      <c r="AB7" s="78">
        <f>IF(A17="","",TEXT(A17,"dd/mm"))</f>
        <v/>
      </c>
    </row>
    <row r="8" ht="11.25" customHeight="1">
      <c r="Q8" s="18" t="inlineStr">
        <is>
          <t>%PROD</t>
        </is>
      </c>
      <c r="R8" s="88">
        <f>R7/P3</f>
        <v/>
      </c>
      <c r="S8" s="88">
        <f>S7/Q3</f>
        <v/>
      </c>
      <c r="T8" s="88">
        <f>T7/R3</f>
        <v/>
      </c>
      <c r="AA8" s="287">
        <f>'CONTROLE PRODUÇÃO POR EMPRESAS'!A12</f>
        <v/>
      </c>
      <c r="AB8" s="78">
        <f>IF(A18="","",TEXT(A18,"dd/mm"))</f>
        <v/>
      </c>
    </row>
    <row r="9" ht="11.25" customHeight="1">
      <c r="A9" s="233" t="inlineStr">
        <is>
          <t>A tabela e o gráfico abaixo são atualizados automaticamente conforme as seleções acima.</t>
        </is>
      </c>
      <c r="AA9" s="287">
        <f>'CONTROLE PRODUÇÃO POR EMPRESAS'!A13</f>
        <v/>
      </c>
      <c r="AB9" s="78">
        <f>IF(A19="","",TEXT(A19,"dd/mm"))</f>
        <v/>
      </c>
    </row>
    <row r="10">
      <c r="O10" s="89" t="inlineStr">
        <is>
          <t>METAS DA SELEÇÃO (CENTRAL)</t>
        </is>
      </c>
      <c r="AA10" s="287">
        <f>'CONTROLE PRODUÇÃO POR EMPRESAS'!A14</f>
        <v/>
      </c>
      <c r="AB10" s="78">
        <f>IF(A20="","",TEXT(A20,"dd/mm"))</f>
        <v/>
      </c>
    </row>
    <row r="11" ht="11.25" customHeight="1">
      <c r="A11" s="83" t="inlineStr">
        <is>
          <t>DATA</t>
        </is>
      </c>
      <c r="B11" s="83" t="inlineStr">
        <is>
          <t>EMPRESA</t>
        </is>
      </c>
      <c r="C11" s="83" t="inlineStr">
        <is>
          <t>ITEM</t>
        </is>
      </c>
      <c r="D11" s="83" t="inlineStr">
        <is>
          <t>PRODUÇÃO</t>
        </is>
      </c>
      <c r="O11" s="234" t="inlineStr">
        <is>
          <t>Meta Diária</t>
        </is>
      </c>
      <c r="Q11" s="234" t="inlineStr">
        <is>
          <t>Meta Período</t>
        </is>
      </c>
      <c r="S11" s="234" t="inlineStr">
        <is>
          <t>Realizado</t>
        </is>
      </c>
      <c r="U11" s="234" t="inlineStr">
        <is>
          <t>GAP (Falta)</t>
        </is>
      </c>
      <c r="W11" s="234" t="inlineStr">
        <is>
          <t>Atingimento</t>
        </is>
      </c>
      <c r="AA11" s="287">
        <f>'CONTROLE PRODUÇÃO POR EMPRESAS'!A15</f>
        <v/>
      </c>
      <c r="AB11" s="78">
        <f>IF(A21="","",TEXT(A21,"dd/mm"))</f>
        <v/>
      </c>
    </row>
    <row r="12" ht="9.75" customHeight="1">
      <c r="A12" s="289">
        <f>IF(OR($E$4="",$J$4="",$E$4&gt;$J$4),"",IF(ROW()-11&lt;=$J$4-$E$4+1,$E$4+ROW()-12,""))</f>
        <v/>
      </c>
      <c r="B12" s="91">
        <f>IF($A12="","",$B$4)</f>
        <v/>
      </c>
      <c r="C12" s="91">
        <f>IF($A12="","",$N$4)</f>
        <v/>
      </c>
      <c r="D12" s="92">
        <f>IF($A12="","",IFERROR(IF(AND(OR($N$4="PREMONTAGEM",$N$4="IÇAMENTO JOIST",$N$4="VIGAS"),OR($B$4="GERAL",$B$4="EJ",$B$4="CMM")),IF($B$4="GERAL",N(INDEX('CONTROLE PRODUÇÃO POR EMPRESAS'!$B$6:$G$362,MATCH($A12,'CONTROLE PRODUÇÃO POR EMPRESAS'!$A$6:$A$362,0),MATCH($N$4,'CONTROLE PRODUÇÃO POR EMPRESAS'!$B$5:$D$5,0)))+N(INDEX('CONTROLE PRODUÇÃO POR EMPRESAS'!$B$6:$G$362,MATCH($A12,'CONTROLE PRODUÇÃO POR EMPRESAS'!$A$6:$A$362,0),MATCH($N$4,'CONTROLE PRODUÇÃO POR EMPRESAS'!$E$5:$G$5,0)+3)),N(INDEX('CONTROLE PRODUÇÃO POR EMPRESAS'!$B$6:$G$362,MATCH($A12,'CONTROLE PRODUÇÃO POR EMPRESAS'!$A$6:$A$362,0),IF($B$4="EJ",MATCH($N$4,'CONTROLE PRODUÇÃO POR EMPRESAS'!$B$5:$D$5,0),MATCH($N$4,'CONTROLE PRODUÇÃO POR EMPRESAS'!$E$5:$G$5,0)+3)))),IF($B$4="GERAL",N(INDEX('CONTROLE PRODUÇÃO POR EMPRESAS'!$A$6:$BW$362,MATCH($A12,'CONTROLE PRODUÇÃO POR EMPRESAS'!$A$6:$A$362,0),VLOOKUP($N$4,'METAS CLIENTE'!$A$5:$V$52,22,0))),IF(OR($AC$2=0,$AC$3=0),0,N(INDEX(CHOOSE($AC$2,'CONTROLE EJ'!$A$8:$Z$364,'CONTROLE CMM'!$A$8:$N$364,'CONTROLE GLOBO AÇOS'!$A$8:$Z$364,#REF!),MATCH($A12,'CONTROLE EJ'!$A$8:$A$364,0),$AC$3))))),0))</f>
        <v/>
      </c>
      <c r="O12" s="235">
        <f>IF(AND(OR($N$4="PREMONTAGEM",$N$4="IÇAMENTO JOIST",$N$4="VIGAS"),OR($B$4="GERAL",$B$4="EJ",$B$4="CMM")),IF(OR($N$4="",$B$4=""),"",IF($B$4="GERAL",SUMIFS('METAS EMPRESAS'!$C$5:$C$10,'METAS EMPRESAS'!$B$5:$B$10,$N$4),SUMIFS('METAS EMPRESAS'!$C$5:$C$10,'METAS EMPRESAS'!$A$5:$A$10,$B$4,'METAS EMPRESAS'!$B$5:$B$10,$N$4))),IF($B$4="GERAL",IFERROR(VLOOKUP($N$4,'METAS CLIENTE'!$A$5:$E$52,5,0),""),IFERROR(INDEX('ESCOPO POR EMPRESA'!$K$5:$N$52,MATCH($N$4,'ESCOPO POR EMPRESA'!$A$5:$A$52,0),$AC$2),"")))</f>
        <v/>
      </c>
      <c r="Q12" s="235">
        <f>IF(AND(OR($N$4="PREMONTAGEM",$N$4="IÇAMENTO JOIST",$N$4="VIGAS"),OR($B$4="GERAL",$B$4="EJ",$B$4="CMM")),IF(OR(O12="",$E$4="",$J$4=""),"",IF($B$4="GERAL",SUMIFS('METAS EMPRESAS'!$C$5:$C$10,'METAS EMPRESAS'!$A$5:$A$10,"EJ",'METAS EMPRESAS'!$B$5:$B$10,$N$4)*SUMIFS('CONTROLE PRODUÇÃO POR EMPRESAS'!$AD$6:$AD$362,'CONTROLE PRODUÇÃO POR EMPRESAS'!$A$6:$A$362,"&gt;="&amp;$E$4,'CONTROLE PRODUÇÃO POR EMPRESAS'!$A$6:$A$362,"&lt;="&amp;$J$4)+SUMIFS('METAS EMPRESAS'!$C$5:$C$10,'METAS EMPRESAS'!$A$5:$A$10,"CMM",'METAS EMPRESAS'!$B$5:$B$10,$N$4)*SUMIFS('CONTROLE PRODUÇÃO POR EMPRESAS'!$AE$6:$AE$362,'CONTROLE PRODUÇÃO POR EMPRESAS'!$A$6:$A$362,"&gt;="&amp;$E$4,'CONTROLE PRODUÇÃO POR EMPRESAS'!$A$6:$A$362,"&lt;="&amp;$J$4),$O$12*$G$7)),IF(OR(O12="",$E$4="",$J$4=""),"",N(O12)*$G$7))</f>
        <v/>
      </c>
      <c r="S12" s="235">
        <f>A7</f>
        <v/>
      </c>
      <c r="U12" s="235">
        <f>IF(OR(Q12="",S12=""),"",MAX(Q12-S12,0))</f>
        <v/>
      </c>
      <c r="W12" s="290">
        <f>IFERROR(S12/Q12,"")</f>
        <v/>
      </c>
      <c r="AA12" s="287">
        <f>'CONTROLE PRODUÇÃO POR EMPRESAS'!A16</f>
        <v/>
      </c>
      <c r="AB12" s="78">
        <f>IF(A22="","",TEXT(A22,"dd/mm"))</f>
        <v/>
      </c>
    </row>
    <row r="13" ht="9.75" customHeight="1">
      <c r="A13" s="289">
        <f>IF(OR($E$4="",$J$4="",$E$4&gt;$J$4),"",IF(ROW()-11&lt;=$J$4-$E$4+1,$E$4+ROW()-12,""))</f>
        <v/>
      </c>
      <c r="B13" s="91">
        <f>IF($A13="","",$B$4)</f>
        <v/>
      </c>
      <c r="C13" s="91">
        <f>IF($A13="","",$N$4)</f>
        <v/>
      </c>
      <c r="D13" s="92">
        <f>IF($A13="","",IFERROR(IF(AND(OR($N$4="PREMONTAGEM",$N$4="IÇAMENTO JOIST",$N$4="VIGAS"),OR($B$4="GERAL",$B$4="EJ",$B$4="CMM")),IF($B$4="GERAL",N(INDEX('CONTROLE PRODUÇÃO POR EMPRESAS'!$B$6:$G$362,MATCH($A13,'CONTROLE PRODUÇÃO POR EMPRESAS'!$A$6:$A$362,0),MATCH($N$4,'CONTROLE PRODUÇÃO POR EMPRESAS'!$B$5:$D$5,0)))+N(INDEX('CONTROLE PRODUÇÃO POR EMPRESAS'!$B$6:$G$362,MATCH($A13,'CONTROLE PRODUÇÃO POR EMPRESAS'!$A$6:$A$362,0),MATCH($N$4,'CONTROLE PRODUÇÃO POR EMPRESAS'!$E$5:$G$5,0)+3)),N(INDEX('CONTROLE PRODUÇÃO POR EMPRESAS'!$B$6:$G$362,MATCH($A13,'CONTROLE PRODUÇÃO POR EMPRESAS'!$A$6:$A$362,0),IF($B$4="EJ",MATCH($N$4,'CONTROLE PRODUÇÃO POR EMPRESAS'!$B$5:$D$5,0),MATCH($N$4,'CONTROLE PRODUÇÃO POR EMPRESAS'!$E$5:$G$5,0)+3)))),IF($B$4="GERAL",N(INDEX('CONTROLE PRODUÇÃO POR EMPRESAS'!$A$6:$BW$362,MATCH($A13,'CONTROLE PRODUÇÃO POR EMPRESAS'!$A$6:$A$362,0),VLOOKUP($N$4,'METAS CLIENTE'!$A$5:$V$52,22,0))),IF(OR($AC$2=0,$AC$3=0),0,N(INDEX(CHOOSE($AC$2,'CONTROLE EJ'!$A$8:$Z$364,'CONTROLE CMM'!$A$8:$N$364,'CONTROLE GLOBO AÇOS'!$A$8:$Z$364,#REF!),MATCH($A13,'CONTROLE EJ'!$A$8:$A$364,0),$AC$3))))),0))</f>
        <v/>
      </c>
      <c r="AA13" s="287">
        <f>'CONTROLE PRODUÇÃO POR EMPRESAS'!A17</f>
        <v/>
      </c>
      <c r="AB13" s="78">
        <f>IF(A23="","",TEXT(A23,"dd/mm"))</f>
        <v/>
      </c>
    </row>
    <row r="14" ht="9.75" customHeight="1">
      <c r="A14" s="289">
        <f>IF(OR($E$4="",$J$4="",$E$4&gt;$J$4),"",IF(ROW()-11&lt;=$J$4-$E$4+1,$E$4+ROW()-12,""))</f>
        <v/>
      </c>
      <c r="B14" s="91">
        <f>IF($A14="","",$B$4)</f>
        <v/>
      </c>
      <c r="C14" s="91">
        <f>IF($A14="","",$N$4)</f>
        <v/>
      </c>
      <c r="D14" s="92">
        <f>IF($A14="","",IFERROR(IF(AND(OR($N$4="PREMONTAGEM",$N$4="IÇAMENTO JOIST",$N$4="VIGAS"),OR($B$4="GERAL",$B$4="EJ",$B$4="CMM")),IF($B$4="GERAL",N(INDEX('CONTROLE PRODUÇÃO POR EMPRESAS'!$B$6:$G$362,MATCH($A14,'CONTROLE PRODUÇÃO POR EMPRESAS'!$A$6:$A$362,0),MATCH($N$4,'CONTROLE PRODUÇÃO POR EMPRESAS'!$B$5:$D$5,0)))+N(INDEX('CONTROLE PRODUÇÃO POR EMPRESAS'!$B$6:$G$362,MATCH($A14,'CONTROLE PRODUÇÃO POR EMPRESAS'!$A$6:$A$362,0),MATCH($N$4,'CONTROLE PRODUÇÃO POR EMPRESAS'!$E$5:$G$5,0)+3)),N(INDEX('CONTROLE PRODUÇÃO POR EMPRESAS'!$B$6:$G$362,MATCH($A14,'CONTROLE PRODUÇÃO POR EMPRESAS'!$A$6:$A$362,0),IF($B$4="EJ",MATCH($N$4,'CONTROLE PRODUÇÃO POR EMPRESAS'!$B$5:$D$5,0),MATCH($N$4,'CONTROLE PRODUÇÃO POR EMPRESAS'!$E$5:$G$5,0)+3)))),IF($B$4="GERAL",N(INDEX('CONTROLE PRODUÇÃO POR EMPRESAS'!$A$6:$BW$362,MATCH($A14,'CONTROLE PRODUÇÃO POR EMPRESAS'!$A$6:$A$362,0),VLOOKUP($N$4,'METAS CLIENTE'!$A$5:$V$52,22,0))),IF(OR($AC$2=0,$AC$3=0),0,N(INDEX(CHOOSE($AC$2,'CONTROLE EJ'!$A$8:$Z$364,'CONTROLE CMM'!$A$8:$N$364,'CONTROLE GLOBO AÇOS'!$A$8:$Z$364,#REF!),MATCH($A14,'CONTROLE EJ'!$A$8:$A$364,0),$AC$3))))),0))</f>
        <v/>
      </c>
      <c r="O14" s="237" t="inlineStr">
        <is>
          <t>Meta Período = Meta Diária × dias úteis efetivamente trabalhados (Seg–Sex, com lançamento no Controle).</t>
        </is>
      </c>
      <c r="AA14" s="287">
        <f>'CONTROLE PRODUÇÃO POR EMPRESAS'!A18</f>
        <v/>
      </c>
      <c r="AB14" s="78">
        <f>IF(A24="","",TEXT(A24,"dd/mm"))</f>
        <v/>
      </c>
    </row>
    <row r="15" ht="9.75" customHeight="1">
      <c r="A15" s="289">
        <f>IF(OR($E$4="",$J$4="",$E$4&gt;$J$4),"",IF(ROW()-11&lt;=$J$4-$E$4+1,$E$4+ROW()-12,""))</f>
        <v/>
      </c>
      <c r="B15" s="91">
        <f>IF($A15="","",$B$4)</f>
        <v/>
      </c>
      <c r="C15" s="91">
        <f>IF($A15="","",$N$4)</f>
        <v/>
      </c>
      <c r="D15" s="92">
        <f>IF($A15="","",IFERROR(IF(AND(OR($N$4="PREMONTAGEM",$N$4="IÇAMENTO JOIST",$N$4="VIGAS"),OR($B$4="GERAL",$B$4="EJ",$B$4="CMM")),IF($B$4="GERAL",N(INDEX('CONTROLE PRODUÇÃO POR EMPRESAS'!$B$6:$G$362,MATCH($A15,'CONTROLE PRODUÇÃO POR EMPRESAS'!$A$6:$A$362,0),MATCH($N$4,'CONTROLE PRODUÇÃO POR EMPRESAS'!$B$5:$D$5,0)))+N(INDEX('CONTROLE PRODUÇÃO POR EMPRESAS'!$B$6:$G$362,MATCH($A15,'CONTROLE PRODUÇÃO POR EMPRESAS'!$A$6:$A$362,0),MATCH($N$4,'CONTROLE PRODUÇÃO POR EMPRESAS'!$E$5:$G$5,0)+3)),N(INDEX('CONTROLE PRODUÇÃO POR EMPRESAS'!$B$6:$G$362,MATCH($A15,'CONTROLE PRODUÇÃO POR EMPRESAS'!$A$6:$A$362,0),IF($B$4="EJ",MATCH($N$4,'CONTROLE PRODUÇÃO POR EMPRESAS'!$B$5:$D$5,0),MATCH($N$4,'CONTROLE PRODUÇÃO POR EMPRESAS'!$E$5:$G$5,0)+3)))),IF($B$4="GERAL",N(INDEX('CONTROLE PRODUÇÃO POR EMPRESAS'!$A$6:$BW$362,MATCH($A15,'CONTROLE PRODUÇÃO POR EMPRESAS'!$A$6:$A$362,0),VLOOKUP($N$4,'METAS CLIENTE'!$A$5:$V$52,22,0))),IF(OR($AC$2=0,$AC$3=0),0,N(INDEX(CHOOSE($AC$2,'CONTROLE EJ'!$A$8:$Z$364,'CONTROLE CMM'!$A$8:$N$364,'CONTROLE GLOBO AÇOS'!$A$8:$Z$364,#REF!),MATCH($A15,'CONTROLE EJ'!$A$8:$A$364,0),$AC$3))))),0))</f>
        <v/>
      </c>
      <c r="AA15" s="287">
        <f>'CONTROLE PRODUÇÃO POR EMPRESAS'!A19</f>
        <v/>
      </c>
      <c r="AB15" s="78">
        <f>IF(A25="","",TEXT(A25,"dd/mm"))</f>
        <v/>
      </c>
    </row>
    <row r="16" ht="9.75" customHeight="1">
      <c r="A16" s="289">
        <f>IF(OR($E$4="",$J$4="",$E$4&gt;$J$4),"",IF(ROW()-11&lt;=$J$4-$E$4+1,$E$4+ROW()-12,""))</f>
        <v/>
      </c>
      <c r="B16" s="91">
        <f>IF($A16="","",$B$4)</f>
        <v/>
      </c>
      <c r="C16" s="91">
        <f>IF($A16="","",$N$4)</f>
        <v/>
      </c>
      <c r="D16" s="92">
        <f>IF($A16="","",IFERROR(IF(AND(OR($N$4="PREMONTAGEM",$N$4="IÇAMENTO JOIST",$N$4="VIGAS"),OR($B$4="GERAL",$B$4="EJ",$B$4="CMM")),IF($B$4="GERAL",N(INDEX('CONTROLE PRODUÇÃO POR EMPRESAS'!$B$6:$G$362,MATCH($A16,'CONTROLE PRODUÇÃO POR EMPRESAS'!$A$6:$A$362,0),MATCH($N$4,'CONTROLE PRODUÇÃO POR EMPRESAS'!$B$5:$D$5,0)))+N(INDEX('CONTROLE PRODUÇÃO POR EMPRESAS'!$B$6:$G$362,MATCH($A16,'CONTROLE PRODUÇÃO POR EMPRESAS'!$A$6:$A$362,0),MATCH($N$4,'CONTROLE PRODUÇÃO POR EMPRESAS'!$E$5:$G$5,0)+3)),N(INDEX('CONTROLE PRODUÇÃO POR EMPRESAS'!$B$6:$G$362,MATCH($A16,'CONTROLE PRODUÇÃO POR EMPRESAS'!$A$6:$A$362,0),IF($B$4="EJ",MATCH($N$4,'CONTROLE PRODUÇÃO POR EMPRESAS'!$B$5:$D$5,0),MATCH($N$4,'CONTROLE PRODUÇÃO POR EMPRESAS'!$E$5:$G$5,0)+3)))),IF($B$4="GERAL",N(INDEX('CONTROLE PRODUÇÃO POR EMPRESAS'!$A$6:$BW$362,MATCH($A16,'CONTROLE PRODUÇÃO POR EMPRESAS'!$A$6:$A$362,0),VLOOKUP($N$4,'METAS CLIENTE'!$A$5:$V$52,22,0))),IF(OR($AC$2=0,$AC$3=0),0,N(INDEX(CHOOSE($AC$2,'CONTROLE EJ'!$A$8:$Z$364,'CONTROLE CMM'!$A$8:$N$364,'CONTROLE GLOBO AÇOS'!$A$8:$Z$364,#REF!),MATCH($A16,'CONTROLE EJ'!$A$8:$A$364,0),$AC$3))))),0))</f>
        <v/>
      </c>
      <c r="AA16" s="287">
        <f>'CONTROLE PRODUÇÃO POR EMPRESAS'!A20</f>
        <v/>
      </c>
      <c r="AB16" s="78">
        <f>IF(A26="","",TEXT(A26,"dd/mm"))</f>
        <v/>
      </c>
    </row>
    <row r="17" ht="9.75" customHeight="1">
      <c r="A17" s="289">
        <f>IF(OR($E$4="",$J$4="",$E$4&gt;$J$4),"",IF(ROW()-11&lt;=$J$4-$E$4+1,$E$4+ROW()-12,""))</f>
        <v/>
      </c>
      <c r="B17" s="91">
        <f>IF($A17="","",$B$4)</f>
        <v/>
      </c>
      <c r="C17" s="91">
        <f>IF($A17="","",$N$4)</f>
        <v/>
      </c>
      <c r="D17" s="92">
        <f>IF($A17="","",IFERROR(IF(AND(OR($N$4="PREMONTAGEM",$N$4="IÇAMENTO JOIST",$N$4="VIGAS"),OR($B$4="GERAL",$B$4="EJ",$B$4="CMM")),IF($B$4="GERAL",N(INDEX('CONTROLE PRODUÇÃO POR EMPRESAS'!$B$6:$G$362,MATCH($A17,'CONTROLE PRODUÇÃO POR EMPRESAS'!$A$6:$A$362,0),MATCH($N$4,'CONTROLE PRODUÇÃO POR EMPRESAS'!$B$5:$D$5,0)))+N(INDEX('CONTROLE PRODUÇÃO POR EMPRESAS'!$B$6:$G$362,MATCH($A17,'CONTROLE PRODUÇÃO POR EMPRESAS'!$A$6:$A$362,0),MATCH($N$4,'CONTROLE PRODUÇÃO POR EMPRESAS'!$E$5:$G$5,0)+3)),N(INDEX('CONTROLE PRODUÇÃO POR EMPRESAS'!$B$6:$G$362,MATCH($A17,'CONTROLE PRODUÇÃO POR EMPRESAS'!$A$6:$A$362,0),IF($B$4="EJ",MATCH($N$4,'CONTROLE PRODUÇÃO POR EMPRESAS'!$B$5:$D$5,0),MATCH($N$4,'CONTROLE PRODUÇÃO POR EMPRESAS'!$E$5:$G$5,0)+3)))),IF($B$4="GERAL",N(INDEX('CONTROLE PRODUÇÃO POR EMPRESAS'!$A$6:$BW$362,MATCH($A17,'CONTROLE PRODUÇÃO POR EMPRESAS'!$A$6:$A$362,0),VLOOKUP($N$4,'METAS CLIENTE'!$A$5:$V$52,22,0))),IF(OR($AC$2=0,$AC$3=0),0,N(INDEX(CHOOSE($AC$2,'CONTROLE EJ'!$A$8:$Z$364,'CONTROLE CMM'!$A$8:$N$364,'CONTROLE GLOBO AÇOS'!$A$8:$Z$364,#REF!),MATCH($A17,'CONTROLE EJ'!$A$8:$A$364,0),$AC$3))))),0))</f>
        <v/>
      </c>
      <c r="AA17" s="287">
        <f>'CONTROLE PRODUÇÃO POR EMPRESAS'!A21</f>
        <v/>
      </c>
      <c r="AB17" s="78">
        <f>IF(A27="","",TEXT(A27,"dd/mm"))</f>
        <v/>
      </c>
    </row>
    <row r="18" ht="9.75" customHeight="1">
      <c r="A18" s="289">
        <f>IF(OR($E$4="",$J$4="",$E$4&gt;$J$4),"",IF(ROW()-11&lt;=$J$4-$E$4+1,$E$4+ROW()-12,""))</f>
        <v/>
      </c>
      <c r="B18" s="91">
        <f>IF($A18="","",$B$4)</f>
        <v/>
      </c>
      <c r="C18" s="91">
        <f>IF($A18="","",$N$4)</f>
        <v/>
      </c>
      <c r="D18" s="92">
        <f>IF($A18="","",IFERROR(IF(AND(OR($N$4="PREMONTAGEM",$N$4="IÇAMENTO JOIST",$N$4="VIGAS"),OR($B$4="GERAL",$B$4="EJ",$B$4="CMM")),IF($B$4="GERAL",N(INDEX('CONTROLE PRODUÇÃO POR EMPRESAS'!$B$6:$G$362,MATCH($A18,'CONTROLE PRODUÇÃO POR EMPRESAS'!$A$6:$A$362,0),MATCH($N$4,'CONTROLE PRODUÇÃO POR EMPRESAS'!$B$5:$D$5,0)))+N(INDEX('CONTROLE PRODUÇÃO POR EMPRESAS'!$B$6:$G$362,MATCH($A18,'CONTROLE PRODUÇÃO POR EMPRESAS'!$A$6:$A$362,0),MATCH($N$4,'CONTROLE PRODUÇÃO POR EMPRESAS'!$E$5:$G$5,0)+3)),N(INDEX('CONTROLE PRODUÇÃO POR EMPRESAS'!$B$6:$G$362,MATCH($A18,'CONTROLE PRODUÇÃO POR EMPRESAS'!$A$6:$A$362,0),IF($B$4="EJ",MATCH($N$4,'CONTROLE PRODUÇÃO POR EMPRESAS'!$B$5:$D$5,0),MATCH($N$4,'CONTROLE PRODUÇÃO POR EMPRESAS'!$E$5:$G$5,0)+3)))),IF($B$4="GERAL",N(INDEX('CONTROLE PRODUÇÃO POR EMPRESAS'!$A$6:$BW$362,MATCH($A18,'CONTROLE PRODUÇÃO POR EMPRESAS'!$A$6:$A$362,0),VLOOKUP($N$4,'METAS CLIENTE'!$A$5:$V$52,22,0))),IF(OR($AC$2=0,$AC$3=0),0,N(INDEX(CHOOSE($AC$2,'CONTROLE EJ'!$A$8:$Z$364,'CONTROLE CMM'!$A$8:$N$364,'CONTROLE GLOBO AÇOS'!$A$8:$Z$364,#REF!),MATCH($A18,'CONTROLE EJ'!$A$8:$A$364,0),$AC$3))))),0))</f>
        <v/>
      </c>
      <c r="AA18" s="287">
        <f>'CONTROLE PRODUÇÃO POR EMPRESAS'!A22</f>
        <v/>
      </c>
      <c r="AB18" s="78">
        <f>IF(A28="","",TEXT(A28,"dd/mm"))</f>
        <v/>
      </c>
    </row>
    <row r="19" ht="9.75" customHeight="1">
      <c r="A19" s="289">
        <f>IF(OR($E$4="",$J$4="",$E$4&gt;$J$4),"",IF(ROW()-11&lt;=$J$4-$E$4+1,$E$4+ROW()-12,""))</f>
        <v/>
      </c>
      <c r="B19" s="91">
        <f>IF($A19="","",$B$4)</f>
        <v/>
      </c>
      <c r="C19" s="91">
        <f>IF($A19="","",$N$4)</f>
        <v/>
      </c>
      <c r="D19" s="92">
        <f>IF($A19="","",IFERROR(IF(AND(OR($N$4="PREMONTAGEM",$N$4="IÇAMENTO JOIST",$N$4="VIGAS"),OR($B$4="GERAL",$B$4="EJ",$B$4="CMM")),IF($B$4="GERAL",N(INDEX('CONTROLE PRODUÇÃO POR EMPRESAS'!$B$6:$G$362,MATCH($A19,'CONTROLE PRODUÇÃO POR EMPRESAS'!$A$6:$A$362,0),MATCH($N$4,'CONTROLE PRODUÇÃO POR EMPRESAS'!$B$5:$D$5,0)))+N(INDEX('CONTROLE PRODUÇÃO POR EMPRESAS'!$B$6:$G$362,MATCH($A19,'CONTROLE PRODUÇÃO POR EMPRESAS'!$A$6:$A$362,0),MATCH($N$4,'CONTROLE PRODUÇÃO POR EMPRESAS'!$E$5:$G$5,0)+3)),N(INDEX('CONTROLE PRODUÇÃO POR EMPRESAS'!$B$6:$G$362,MATCH($A19,'CONTROLE PRODUÇÃO POR EMPRESAS'!$A$6:$A$362,0),IF($B$4="EJ",MATCH($N$4,'CONTROLE PRODUÇÃO POR EMPRESAS'!$B$5:$D$5,0),MATCH($N$4,'CONTROLE PRODUÇÃO POR EMPRESAS'!$E$5:$G$5,0)+3)))),IF($B$4="GERAL",N(INDEX('CONTROLE PRODUÇÃO POR EMPRESAS'!$A$6:$BW$362,MATCH($A19,'CONTROLE PRODUÇÃO POR EMPRESAS'!$A$6:$A$362,0),VLOOKUP($N$4,'METAS CLIENTE'!$A$5:$V$52,22,0))),IF(OR($AC$2=0,$AC$3=0),0,N(INDEX(CHOOSE($AC$2,'CONTROLE EJ'!$A$8:$Z$364,'CONTROLE CMM'!$A$8:$N$364,'CONTROLE GLOBO AÇOS'!$A$8:$Z$364,#REF!),MATCH($A19,'CONTROLE EJ'!$A$8:$A$364,0),$AC$3))))),0))</f>
        <v/>
      </c>
      <c r="AA19" s="287">
        <f>'CONTROLE PRODUÇÃO POR EMPRESAS'!A23</f>
        <v/>
      </c>
      <c r="AB19" s="78">
        <f>IF(A29="","",TEXT(A29,"dd/mm"))</f>
        <v/>
      </c>
    </row>
    <row r="20" ht="9.75" customHeight="1">
      <c r="A20" s="289">
        <f>IF(OR($E$4="",$J$4="",$E$4&gt;$J$4),"",IF(ROW()-11&lt;=$J$4-$E$4+1,$E$4+ROW()-12,""))</f>
        <v/>
      </c>
      <c r="B20" s="91">
        <f>IF($A20="","",$B$4)</f>
        <v/>
      </c>
      <c r="C20" s="91">
        <f>IF($A20="","",$N$4)</f>
        <v/>
      </c>
      <c r="D20" s="92">
        <f>IF($A20="","",IFERROR(IF(AND(OR($N$4="PREMONTAGEM",$N$4="IÇAMENTO JOIST",$N$4="VIGAS"),OR($B$4="GERAL",$B$4="EJ",$B$4="CMM")),IF($B$4="GERAL",N(INDEX('CONTROLE PRODUÇÃO POR EMPRESAS'!$B$6:$G$362,MATCH($A20,'CONTROLE PRODUÇÃO POR EMPRESAS'!$A$6:$A$362,0),MATCH($N$4,'CONTROLE PRODUÇÃO POR EMPRESAS'!$B$5:$D$5,0)))+N(INDEX('CONTROLE PRODUÇÃO POR EMPRESAS'!$B$6:$G$362,MATCH($A20,'CONTROLE PRODUÇÃO POR EMPRESAS'!$A$6:$A$362,0),MATCH($N$4,'CONTROLE PRODUÇÃO POR EMPRESAS'!$E$5:$G$5,0)+3)),N(INDEX('CONTROLE PRODUÇÃO POR EMPRESAS'!$B$6:$G$362,MATCH($A20,'CONTROLE PRODUÇÃO POR EMPRESAS'!$A$6:$A$362,0),IF($B$4="EJ",MATCH($N$4,'CONTROLE PRODUÇÃO POR EMPRESAS'!$B$5:$D$5,0),MATCH($N$4,'CONTROLE PRODUÇÃO POR EMPRESAS'!$E$5:$G$5,0)+3)))),IF($B$4="GERAL",N(INDEX('CONTROLE PRODUÇÃO POR EMPRESAS'!$A$6:$BW$362,MATCH($A20,'CONTROLE PRODUÇÃO POR EMPRESAS'!$A$6:$A$362,0),VLOOKUP($N$4,'METAS CLIENTE'!$A$5:$V$52,22,0))),IF(OR($AC$2=0,$AC$3=0),0,N(INDEX(CHOOSE($AC$2,'CONTROLE EJ'!$A$8:$Z$364,'CONTROLE CMM'!$A$8:$N$364,'CONTROLE GLOBO AÇOS'!$A$8:$Z$364,#REF!),MATCH($A20,'CONTROLE EJ'!$A$8:$A$364,0),$AC$3))))),0))</f>
        <v/>
      </c>
      <c r="AA20" s="287">
        <f>'CONTROLE PRODUÇÃO POR EMPRESAS'!A24</f>
        <v/>
      </c>
      <c r="AB20" s="78">
        <f>IF(A30="","",TEXT(A30,"dd/mm"))</f>
        <v/>
      </c>
    </row>
    <row r="21" ht="9.75" customHeight="1">
      <c r="A21" s="289">
        <f>IF(OR($E$4="",$J$4="",$E$4&gt;$J$4),"",IF(ROW()-11&lt;=$J$4-$E$4+1,$E$4+ROW()-12,""))</f>
        <v/>
      </c>
      <c r="B21" s="91">
        <f>IF($A21="","",$B$4)</f>
        <v/>
      </c>
      <c r="C21" s="91">
        <f>IF($A21="","",$N$4)</f>
        <v/>
      </c>
      <c r="D21" s="92">
        <f>IF($A21="","",IFERROR(IF(AND(OR($N$4="PREMONTAGEM",$N$4="IÇAMENTO JOIST",$N$4="VIGAS"),OR($B$4="GERAL",$B$4="EJ",$B$4="CMM")),IF($B$4="GERAL",N(INDEX('CONTROLE PRODUÇÃO POR EMPRESAS'!$B$6:$G$362,MATCH($A21,'CONTROLE PRODUÇÃO POR EMPRESAS'!$A$6:$A$362,0),MATCH($N$4,'CONTROLE PRODUÇÃO POR EMPRESAS'!$B$5:$D$5,0)))+N(INDEX('CONTROLE PRODUÇÃO POR EMPRESAS'!$B$6:$G$362,MATCH($A21,'CONTROLE PRODUÇÃO POR EMPRESAS'!$A$6:$A$362,0),MATCH($N$4,'CONTROLE PRODUÇÃO POR EMPRESAS'!$E$5:$G$5,0)+3)),N(INDEX('CONTROLE PRODUÇÃO POR EMPRESAS'!$B$6:$G$362,MATCH($A21,'CONTROLE PRODUÇÃO POR EMPRESAS'!$A$6:$A$362,0),IF($B$4="EJ",MATCH($N$4,'CONTROLE PRODUÇÃO POR EMPRESAS'!$B$5:$D$5,0),MATCH($N$4,'CONTROLE PRODUÇÃO POR EMPRESAS'!$E$5:$G$5,0)+3)))),IF($B$4="GERAL",N(INDEX('CONTROLE PRODUÇÃO POR EMPRESAS'!$A$6:$BW$362,MATCH($A21,'CONTROLE PRODUÇÃO POR EMPRESAS'!$A$6:$A$362,0),VLOOKUP($N$4,'METAS CLIENTE'!$A$5:$V$52,22,0))),IF(OR($AC$2=0,$AC$3=0),0,N(INDEX(CHOOSE($AC$2,'CONTROLE EJ'!$A$8:$Z$364,'CONTROLE CMM'!$A$8:$N$364,'CONTROLE GLOBO AÇOS'!$A$8:$Z$364,#REF!),MATCH($A21,'CONTROLE EJ'!$A$8:$A$364,0),$AC$3))))),0))</f>
        <v/>
      </c>
      <c r="E21" t="inlineStr">
        <is>
          <t>  </t>
        </is>
      </c>
      <c r="AA21" s="287">
        <f>'CONTROLE PRODUÇÃO POR EMPRESAS'!A25</f>
        <v/>
      </c>
      <c r="AB21" s="78">
        <f>IF(A31="","",TEXT(A31,"dd/mm"))</f>
        <v/>
      </c>
    </row>
    <row r="22" ht="9.75" customHeight="1">
      <c r="A22" s="289">
        <f>IF(OR($E$4="",$J$4="",$E$4&gt;$J$4),"",IF(ROW()-11&lt;=$J$4-$E$4+1,$E$4+ROW()-12,""))</f>
        <v/>
      </c>
      <c r="B22" s="91">
        <f>IF($A22="","",$B$4)</f>
        <v/>
      </c>
      <c r="C22" s="91">
        <f>IF($A22="","",$N$4)</f>
        <v/>
      </c>
      <c r="D22" s="92">
        <f>IF($A22="","",IFERROR(IF(AND(OR($N$4="PREMONTAGEM",$N$4="IÇAMENTO JOIST",$N$4="VIGAS"),OR($B$4="GERAL",$B$4="EJ",$B$4="CMM")),IF($B$4="GERAL",N(INDEX('CONTROLE PRODUÇÃO POR EMPRESAS'!$B$6:$G$362,MATCH($A22,'CONTROLE PRODUÇÃO POR EMPRESAS'!$A$6:$A$362,0),MATCH($N$4,'CONTROLE PRODUÇÃO POR EMPRESAS'!$B$5:$D$5,0)))+N(INDEX('CONTROLE PRODUÇÃO POR EMPRESAS'!$B$6:$G$362,MATCH($A22,'CONTROLE PRODUÇÃO POR EMPRESAS'!$A$6:$A$362,0),MATCH($N$4,'CONTROLE PRODUÇÃO POR EMPRESAS'!$E$5:$G$5,0)+3)),N(INDEX('CONTROLE PRODUÇÃO POR EMPRESAS'!$B$6:$G$362,MATCH($A22,'CONTROLE PRODUÇÃO POR EMPRESAS'!$A$6:$A$362,0),IF($B$4="EJ",MATCH($N$4,'CONTROLE PRODUÇÃO POR EMPRESAS'!$B$5:$D$5,0),MATCH($N$4,'CONTROLE PRODUÇÃO POR EMPRESAS'!$E$5:$G$5,0)+3)))),IF($B$4="GERAL",N(INDEX('CONTROLE PRODUÇÃO POR EMPRESAS'!$A$6:$BW$362,MATCH($A22,'CONTROLE PRODUÇÃO POR EMPRESAS'!$A$6:$A$362,0),VLOOKUP($N$4,'METAS CLIENTE'!$A$5:$V$52,22,0))),IF(OR($AC$2=0,$AC$3=0),0,N(INDEX(CHOOSE($AC$2,'CONTROLE EJ'!$A$8:$Z$364,'CONTROLE CMM'!$A$8:$N$364,'CONTROLE GLOBO AÇOS'!$A$8:$Z$364,#REF!),MATCH($A22,'CONTROLE EJ'!$A$8:$A$364,0),$AC$3))))),0))</f>
        <v/>
      </c>
      <c r="AA22" s="287">
        <f>'CONTROLE PRODUÇÃO POR EMPRESAS'!A26</f>
        <v/>
      </c>
      <c r="AB22" s="78">
        <f>IF(A32="","",TEXT(A32,"dd/mm"))</f>
        <v/>
      </c>
    </row>
    <row r="23" ht="9.75" customHeight="1">
      <c r="A23" s="289">
        <f>IF(OR($E$4="",$J$4="",$E$4&gt;$J$4),"",IF(ROW()-11&lt;=$J$4-$E$4+1,$E$4+ROW()-12,""))</f>
        <v/>
      </c>
      <c r="B23" s="91">
        <f>IF($A23="","",$B$4)</f>
        <v/>
      </c>
      <c r="C23" s="91">
        <f>IF($A23="","",$N$4)</f>
        <v/>
      </c>
      <c r="D23" s="92">
        <f>IF($A23="","",IFERROR(IF(AND(OR($N$4="PREMONTAGEM",$N$4="IÇAMENTO JOIST",$N$4="VIGAS"),OR($B$4="GERAL",$B$4="EJ",$B$4="CMM")),IF($B$4="GERAL",N(INDEX('CONTROLE PRODUÇÃO POR EMPRESAS'!$B$6:$G$362,MATCH($A23,'CONTROLE PRODUÇÃO POR EMPRESAS'!$A$6:$A$362,0),MATCH($N$4,'CONTROLE PRODUÇÃO POR EMPRESAS'!$B$5:$D$5,0)))+N(INDEX('CONTROLE PRODUÇÃO POR EMPRESAS'!$B$6:$G$362,MATCH($A23,'CONTROLE PRODUÇÃO POR EMPRESAS'!$A$6:$A$362,0),MATCH($N$4,'CONTROLE PRODUÇÃO POR EMPRESAS'!$E$5:$G$5,0)+3)),N(INDEX('CONTROLE PRODUÇÃO POR EMPRESAS'!$B$6:$G$362,MATCH($A23,'CONTROLE PRODUÇÃO POR EMPRESAS'!$A$6:$A$362,0),IF($B$4="EJ",MATCH($N$4,'CONTROLE PRODUÇÃO POR EMPRESAS'!$B$5:$D$5,0),MATCH($N$4,'CONTROLE PRODUÇÃO POR EMPRESAS'!$E$5:$G$5,0)+3)))),IF($B$4="GERAL",N(INDEX('CONTROLE PRODUÇÃO POR EMPRESAS'!$A$6:$BW$362,MATCH($A23,'CONTROLE PRODUÇÃO POR EMPRESAS'!$A$6:$A$362,0),VLOOKUP($N$4,'METAS CLIENTE'!$A$5:$V$52,22,0))),IF(OR($AC$2=0,$AC$3=0),0,N(INDEX(CHOOSE($AC$2,'CONTROLE EJ'!$A$8:$Z$364,'CONTROLE CMM'!$A$8:$N$364,'CONTROLE GLOBO AÇOS'!$A$8:$Z$364,#REF!),MATCH($A23,'CONTROLE EJ'!$A$8:$A$364,0),$AC$3))))),0))</f>
        <v/>
      </c>
      <c r="AA23" s="287">
        <f>'CONTROLE PRODUÇÃO POR EMPRESAS'!A27</f>
        <v/>
      </c>
      <c r="AB23" s="78">
        <f>IF(A33="","",TEXT(A33,"dd/mm"))</f>
        <v/>
      </c>
    </row>
    <row r="24" ht="9.75" customHeight="1">
      <c r="A24" s="289">
        <f>IF(OR($E$4="",$J$4="",$E$4&gt;$J$4),"",IF(ROW()-11&lt;=$J$4-$E$4+1,$E$4+ROW()-12,""))</f>
        <v/>
      </c>
      <c r="B24" s="91">
        <f>IF($A24="","",$B$4)</f>
        <v/>
      </c>
      <c r="C24" s="91">
        <f>IF($A24="","",$N$4)</f>
        <v/>
      </c>
      <c r="D24" s="92">
        <f>IF($A24="","",IFERROR(IF(AND(OR($N$4="PREMONTAGEM",$N$4="IÇAMENTO JOIST",$N$4="VIGAS"),OR($B$4="GERAL",$B$4="EJ",$B$4="CMM")),IF($B$4="GERAL",N(INDEX('CONTROLE PRODUÇÃO POR EMPRESAS'!$B$6:$G$362,MATCH($A24,'CONTROLE PRODUÇÃO POR EMPRESAS'!$A$6:$A$362,0),MATCH($N$4,'CONTROLE PRODUÇÃO POR EMPRESAS'!$B$5:$D$5,0)))+N(INDEX('CONTROLE PRODUÇÃO POR EMPRESAS'!$B$6:$G$362,MATCH($A24,'CONTROLE PRODUÇÃO POR EMPRESAS'!$A$6:$A$362,0),MATCH($N$4,'CONTROLE PRODUÇÃO POR EMPRESAS'!$E$5:$G$5,0)+3)),N(INDEX('CONTROLE PRODUÇÃO POR EMPRESAS'!$B$6:$G$362,MATCH($A24,'CONTROLE PRODUÇÃO POR EMPRESAS'!$A$6:$A$362,0),IF($B$4="EJ",MATCH($N$4,'CONTROLE PRODUÇÃO POR EMPRESAS'!$B$5:$D$5,0),MATCH($N$4,'CONTROLE PRODUÇÃO POR EMPRESAS'!$E$5:$G$5,0)+3)))),IF($B$4="GERAL",N(INDEX('CONTROLE PRODUÇÃO POR EMPRESAS'!$A$6:$BW$362,MATCH($A24,'CONTROLE PRODUÇÃO POR EMPRESAS'!$A$6:$A$362,0),VLOOKUP($N$4,'METAS CLIENTE'!$A$5:$V$52,22,0))),IF(OR($AC$2=0,$AC$3=0),0,N(INDEX(CHOOSE($AC$2,'CONTROLE EJ'!$A$8:$Z$364,'CONTROLE CMM'!$A$8:$N$364,'CONTROLE GLOBO AÇOS'!$A$8:$Z$364,#REF!),MATCH($A24,'CONTROLE EJ'!$A$8:$A$364,0),$AC$3))))),0))</f>
        <v/>
      </c>
      <c r="AA24" s="287">
        <f>'CONTROLE PRODUÇÃO POR EMPRESAS'!A28</f>
        <v/>
      </c>
      <c r="AB24" s="78">
        <f>IF(A34="","",TEXT(A34,"dd/mm"))</f>
        <v/>
      </c>
    </row>
    <row r="25" ht="9.75" customHeight="1">
      <c r="A25" s="289">
        <f>IF(OR($E$4="",$J$4="",$E$4&gt;$J$4),"",IF(ROW()-11&lt;=$J$4-$E$4+1,$E$4+ROW()-12,""))</f>
        <v/>
      </c>
      <c r="B25" s="91">
        <f>IF($A25="","",$B$4)</f>
        <v/>
      </c>
      <c r="C25" s="91">
        <f>IF($A25="","",$N$4)</f>
        <v/>
      </c>
      <c r="D25" s="92">
        <f>IF($A25="","",IFERROR(IF(AND(OR($N$4="PREMONTAGEM",$N$4="IÇAMENTO JOIST",$N$4="VIGAS"),OR($B$4="GERAL",$B$4="EJ",$B$4="CMM")),IF($B$4="GERAL",N(INDEX('CONTROLE PRODUÇÃO POR EMPRESAS'!$B$6:$G$362,MATCH($A25,'CONTROLE PRODUÇÃO POR EMPRESAS'!$A$6:$A$362,0),MATCH($N$4,'CONTROLE PRODUÇÃO POR EMPRESAS'!$B$5:$D$5,0)))+N(INDEX('CONTROLE PRODUÇÃO POR EMPRESAS'!$B$6:$G$362,MATCH($A25,'CONTROLE PRODUÇÃO POR EMPRESAS'!$A$6:$A$362,0),MATCH($N$4,'CONTROLE PRODUÇÃO POR EMPRESAS'!$E$5:$G$5,0)+3)),N(INDEX('CONTROLE PRODUÇÃO POR EMPRESAS'!$B$6:$G$362,MATCH($A25,'CONTROLE PRODUÇÃO POR EMPRESAS'!$A$6:$A$362,0),IF($B$4="EJ",MATCH($N$4,'CONTROLE PRODUÇÃO POR EMPRESAS'!$B$5:$D$5,0),MATCH($N$4,'CONTROLE PRODUÇÃO POR EMPRESAS'!$E$5:$G$5,0)+3)))),IF($B$4="GERAL",N(INDEX('CONTROLE PRODUÇÃO POR EMPRESAS'!$A$6:$BW$362,MATCH($A25,'CONTROLE PRODUÇÃO POR EMPRESAS'!$A$6:$A$362,0),VLOOKUP($N$4,'METAS CLIENTE'!$A$5:$V$52,22,0))),IF(OR($AC$2=0,$AC$3=0),0,N(INDEX(CHOOSE($AC$2,'CONTROLE EJ'!$A$8:$Z$364,'CONTROLE CMM'!$A$8:$N$364,'CONTROLE GLOBO AÇOS'!$A$8:$Z$364,#REF!),MATCH($A25,'CONTROLE EJ'!$A$8:$A$364,0),$AC$3))))),0))</f>
        <v/>
      </c>
      <c r="AA25" s="287">
        <f>'CONTROLE PRODUÇÃO POR EMPRESAS'!A29</f>
        <v/>
      </c>
      <c r="AB25" s="78">
        <f>IF(A35="","",TEXT(A35,"dd/mm"))</f>
        <v/>
      </c>
    </row>
    <row r="26" ht="9.75" customHeight="1">
      <c r="A26" s="289">
        <f>IF(OR($E$4="",$J$4="",$E$4&gt;$J$4),"",IF(ROW()-11&lt;=$J$4-$E$4+1,$E$4+ROW()-12,""))</f>
        <v/>
      </c>
      <c r="B26" s="91">
        <f>IF($A26="","",$B$4)</f>
        <v/>
      </c>
      <c r="C26" s="91">
        <f>IF($A26="","",$N$4)</f>
        <v/>
      </c>
      <c r="D26" s="92">
        <f>IF($A26="","",IFERROR(IF(AND(OR($N$4="PREMONTAGEM",$N$4="IÇAMENTO JOIST",$N$4="VIGAS"),OR($B$4="GERAL",$B$4="EJ",$B$4="CMM")),IF($B$4="GERAL",N(INDEX('CONTROLE PRODUÇÃO POR EMPRESAS'!$B$6:$G$362,MATCH($A26,'CONTROLE PRODUÇÃO POR EMPRESAS'!$A$6:$A$362,0),MATCH($N$4,'CONTROLE PRODUÇÃO POR EMPRESAS'!$B$5:$D$5,0)))+N(INDEX('CONTROLE PRODUÇÃO POR EMPRESAS'!$B$6:$G$362,MATCH($A26,'CONTROLE PRODUÇÃO POR EMPRESAS'!$A$6:$A$362,0),MATCH($N$4,'CONTROLE PRODUÇÃO POR EMPRESAS'!$E$5:$G$5,0)+3)),N(INDEX('CONTROLE PRODUÇÃO POR EMPRESAS'!$B$6:$G$362,MATCH($A26,'CONTROLE PRODUÇÃO POR EMPRESAS'!$A$6:$A$362,0),IF($B$4="EJ",MATCH($N$4,'CONTROLE PRODUÇÃO POR EMPRESAS'!$B$5:$D$5,0),MATCH($N$4,'CONTROLE PRODUÇÃO POR EMPRESAS'!$E$5:$G$5,0)+3)))),IF($B$4="GERAL",N(INDEX('CONTROLE PRODUÇÃO POR EMPRESAS'!$A$6:$BW$362,MATCH($A26,'CONTROLE PRODUÇÃO POR EMPRESAS'!$A$6:$A$362,0),VLOOKUP($N$4,'METAS CLIENTE'!$A$5:$V$52,22,0))),IF(OR($AC$2=0,$AC$3=0),0,N(INDEX(CHOOSE($AC$2,'CONTROLE EJ'!$A$8:$Z$364,'CONTROLE CMM'!$A$8:$N$364,'CONTROLE GLOBO AÇOS'!$A$8:$Z$364,#REF!),MATCH($A26,'CONTROLE EJ'!$A$8:$A$364,0),$AC$3))))),0))</f>
        <v/>
      </c>
      <c r="AA26" s="287">
        <f>'CONTROLE PRODUÇÃO POR EMPRESAS'!A30</f>
        <v/>
      </c>
      <c r="AB26" s="78">
        <f>IF(A36="","",TEXT(A36,"dd/mm"))</f>
        <v/>
      </c>
    </row>
    <row r="27" ht="9.75" customHeight="1">
      <c r="A27" s="289">
        <f>IF(OR($E$4="",$J$4="",$E$4&gt;$J$4),"",IF(ROW()-11&lt;=$J$4-$E$4+1,$E$4+ROW()-12,""))</f>
        <v/>
      </c>
      <c r="B27" s="91">
        <f>IF($A27="","",$B$4)</f>
        <v/>
      </c>
      <c r="C27" s="91">
        <f>IF($A27="","",$N$4)</f>
        <v/>
      </c>
      <c r="D27" s="92">
        <f>IF($A27="","",IFERROR(IF(AND(OR($N$4="PREMONTAGEM",$N$4="IÇAMENTO JOIST",$N$4="VIGAS"),OR($B$4="GERAL",$B$4="EJ",$B$4="CMM")),IF($B$4="GERAL",N(INDEX('CONTROLE PRODUÇÃO POR EMPRESAS'!$B$6:$G$362,MATCH($A27,'CONTROLE PRODUÇÃO POR EMPRESAS'!$A$6:$A$362,0),MATCH($N$4,'CONTROLE PRODUÇÃO POR EMPRESAS'!$B$5:$D$5,0)))+N(INDEX('CONTROLE PRODUÇÃO POR EMPRESAS'!$B$6:$G$362,MATCH($A27,'CONTROLE PRODUÇÃO POR EMPRESAS'!$A$6:$A$362,0),MATCH($N$4,'CONTROLE PRODUÇÃO POR EMPRESAS'!$E$5:$G$5,0)+3)),N(INDEX('CONTROLE PRODUÇÃO POR EMPRESAS'!$B$6:$G$362,MATCH($A27,'CONTROLE PRODUÇÃO POR EMPRESAS'!$A$6:$A$362,0),IF($B$4="EJ",MATCH($N$4,'CONTROLE PRODUÇÃO POR EMPRESAS'!$B$5:$D$5,0),MATCH($N$4,'CONTROLE PRODUÇÃO POR EMPRESAS'!$E$5:$G$5,0)+3)))),IF($B$4="GERAL",N(INDEX('CONTROLE PRODUÇÃO POR EMPRESAS'!$A$6:$BW$362,MATCH($A27,'CONTROLE PRODUÇÃO POR EMPRESAS'!$A$6:$A$362,0),VLOOKUP($N$4,'METAS CLIENTE'!$A$5:$V$52,22,0))),IF(OR($AC$2=0,$AC$3=0),0,N(INDEX(CHOOSE($AC$2,'CONTROLE EJ'!$A$8:$Z$364,'CONTROLE CMM'!$A$8:$N$364,'CONTROLE GLOBO AÇOS'!$A$8:$Z$364,#REF!),MATCH($A27,'CONTROLE EJ'!$A$8:$A$364,0),$AC$3))))),0))</f>
        <v/>
      </c>
      <c r="AA27" s="287">
        <f>'CONTROLE PRODUÇÃO POR EMPRESAS'!A31</f>
        <v/>
      </c>
      <c r="AB27" s="78">
        <f>IF(A37="","",TEXT(A37,"dd/mm"))</f>
        <v/>
      </c>
    </row>
    <row r="28" ht="9.75" customHeight="1">
      <c r="A28" s="289">
        <f>IF(OR($E$4="",$J$4="",$E$4&gt;$J$4),"",IF(ROW()-11&lt;=$J$4-$E$4+1,$E$4+ROW()-12,""))</f>
        <v/>
      </c>
      <c r="B28" s="91">
        <f>IF($A28="","",$B$4)</f>
        <v/>
      </c>
      <c r="C28" s="91">
        <f>IF($A28="","",$N$4)</f>
        <v/>
      </c>
      <c r="D28" s="92">
        <f>IF($A28="","",IFERROR(IF(AND(OR($N$4="PREMONTAGEM",$N$4="IÇAMENTO JOIST",$N$4="VIGAS"),OR($B$4="GERAL",$B$4="EJ",$B$4="CMM")),IF($B$4="GERAL",N(INDEX('CONTROLE PRODUÇÃO POR EMPRESAS'!$B$6:$G$362,MATCH($A28,'CONTROLE PRODUÇÃO POR EMPRESAS'!$A$6:$A$362,0),MATCH($N$4,'CONTROLE PRODUÇÃO POR EMPRESAS'!$B$5:$D$5,0)))+N(INDEX('CONTROLE PRODUÇÃO POR EMPRESAS'!$B$6:$G$362,MATCH($A28,'CONTROLE PRODUÇÃO POR EMPRESAS'!$A$6:$A$362,0),MATCH($N$4,'CONTROLE PRODUÇÃO POR EMPRESAS'!$E$5:$G$5,0)+3)),N(INDEX('CONTROLE PRODUÇÃO POR EMPRESAS'!$B$6:$G$362,MATCH($A28,'CONTROLE PRODUÇÃO POR EMPRESAS'!$A$6:$A$362,0),IF($B$4="EJ",MATCH($N$4,'CONTROLE PRODUÇÃO POR EMPRESAS'!$B$5:$D$5,0),MATCH($N$4,'CONTROLE PRODUÇÃO POR EMPRESAS'!$E$5:$G$5,0)+3)))),IF($B$4="GERAL",N(INDEX('CONTROLE PRODUÇÃO POR EMPRESAS'!$A$6:$BW$362,MATCH($A28,'CONTROLE PRODUÇÃO POR EMPRESAS'!$A$6:$A$362,0),VLOOKUP($N$4,'METAS CLIENTE'!$A$5:$V$52,22,0))),IF(OR($AC$2=0,$AC$3=0),0,N(INDEX(CHOOSE($AC$2,'CONTROLE EJ'!$A$8:$Z$364,'CONTROLE CMM'!$A$8:$N$364,'CONTROLE GLOBO AÇOS'!$A$8:$Z$364,#REF!),MATCH($A28,'CONTROLE EJ'!$A$8:$A$364,0),$AC$3))))),0))</f>
        <v/>
      </c>
      <c r="AA28" s="287">
        <f>'CONTROLE PRODUÇÃO POR EMPRESAS'!A32</f>
        <v/>
      </c>
      <c r="AB28" s="78">
        <f>IF(A38="","",TEXT(A38,"dd/mm"))</f>
        <v/>
      </c>
    </row>
    <row r="29" ht="9.75" customHeight="1">
      <c r="A29" s="289">
        <f>IF(OR($E$4="",$J$4="",$E$4&gt;$J$4),"",IF(ROW()-11&lt;=$J$4-$E$4+1,$E$4+ROW()-12,""))</f>
        <v/>
      </c>
      <c r="B29" s="91">
        <f>IF($A29="","",$B$4)</f>
        <v/>
      </c>
      <c r="C29" s="91">
        <f>IF($A29="","",$N$4)</f>
        <v/>
      </c>
      <c r="D29" s="92">
        <f>IF($A29="","",IFERROR(IF(AND(OR($N$4="PREMONTAGEM",$N$4="IÇAMENTO JOIST",$N$4="VIGAS"),OR($B$4="GERAL",$B$4="EJ",$B$4="CMM")),IF($B$4="GERAL",N(INDEX('CONTROLE PRODUÇÃO POR EMPRESAS'!$B$6:$G$362,MATCH($A29,'CONTROLE PRODUÇÃO POR EMPRESAS'!$A$6:$A$362,0),MATCH($N$4,'CONTROLE PRODUÇÃO POR EMPRESAS'!$B$5:$D$5,0)))+N(INDEX('CONTROLE PRODUÇÃO POR EMPRESAS'!$B$6:$G$362,MATCH($A29,'CONTROLE PRODUÇÃO POR EMPRESAS'!$A$6:$A$362,0),MATCH($N$4,'CONTROLE PRODUÇÃO POR EMPRESAS'!$E$5:$G$5,0)+3)),N(INDEX('CONTROLE PRODUÇÃO POR EMPRESAS'!$B$6:$G$362,MATCH($A29,'CONTROLE PRODUÇÃO POR EMPRESAS'!$A$6:$A$362,0),IF($B$4="EJ",MATCH($N$4,'CONTROLE PRODUÇÃO POR EMPRESAS'!$B$5:$D$5,0),MATCH($N$4,'CONTROLE PRODUÇÃO POR EMPRESAS'!$E$5:$G$5,0)+3)))),IF($B$4="GERAL",N(INDEX('CONTROLE PRODUÇÃO POR EMPRESAS'!$A$6:$BW$362,MATCH($A29,'CONTROLE PRODUÇÃO POR EMPRESAS'!$A$6:$A$362,0),VLOOKUP($N$4,'METAS CLIENTE'!$A$5:$V$52,22,0))),IF(OR($AC$2=0,$AC$3=0),0,N(INDEX(CHOOSE($AC$2,'CONTROLE EJ'!$A$8:$Z$364,'CONTROLE CMM'!$A$8:$N$364,'CONTROLE GLOBO AÇOS'!$A$8:$Z$364,#REF!),MATCH($A29,'CONTROLE EJ'!$A$8:$A$364,0),$AC$3))))),0))</f>
        <v/>
      </c>
      <c r="AA29" s="287">
        <f>'CONTROLE PRODUÇÃO POR EMPRESAS'!A33</f>
        <v/>
      </c>
      <c r="AB29" s="78">
        <f>IF(A39="","",TEXT(A39,"dd/mm"))</f>
        <v/>
      </c>
    </row>
    <row r="30" ht="9.75" customHeight="1">
      <c r="A30" s="289">
        <f>IF(OR($E$4="",$J$4="",$E$4&gt;$J$4),"",IF(ROW()-11&lt;=$J$4-$E$4+1,$E$4+ROW()-12,""))</f>
        <v/>
      </c>
      <c r="B30" s="91">
        <f>IF($A30="","",$B$4)</f>
        <v/>
      </c>
      <c r="C30" s="91">
        <f>IF($A30="","",$N$4)</f>
        <v/>
      </c>
      <c r="D30" s="92">
        <f>IF($A30="","",IFERROR(IF(AND(OR($N$4="PREMONTAGEM",$N$4="IÇAMENTO JOIST",$N$4="VIGAS"),OR($B$4="GERAL",$B$4="EJ",$B$4="CMM")),IF($B$4="GERAL",N(INDEX('CONTROLE PRODUÇÃO POR EMPRESAS'!$B$6:$G$362,MATCH($A30,'CONTROLE PRODUÇÃO POR EMPRESAS'!$A$6:$A$362,0),MATCH($N$4,'CONTROLE PRODUÇÃO POR EMPRESAS'!$B$5:$D$5,0)))+N(INDEX('CONTROLE PRODUÇÃO POR EMPRESAS'!$B$6:$G$362,MATCH($A30,'CONTROLE PRODUÇÃO POR EMPRESAS'!$A$6:$A$362,0),MATCH($N$4,'CONTROLE PRODUÇÃO POR EMPRESAS'!$E$5:$G$5,0)+3)),N(INDEX('CONTROLE PRODUÇÃO POR EMPRESAS'!$B$6:$G$362,MATCH($A30,'CONTROLE PRODUÇÃO POR EMPRESAS'!$A$6:$A$362,0),IF($B$4="EJ",MATCH($N$4,'CONTROLE PRODUÇÃO POR EMPRESAS'!$B$5:$D$5,0),MATCH($N$4,'CONTROLE PRODUÇÃO POR EMPRESAS'!$E$5:$G$5,0)+3)))),IF($B$4="GERAL",N(INDEX('CONTROLE PRODUÇÃO POR EMPRESAS'!$A$6:$BW$362,MATCH($A30,'CONTROLE PRODUÇÃO POR EMPRESAS'!$A$6:$A$362,0),VLOOKUP($N$4,'METAS CLIENTE'!$A$5:$V$52,22,0))),IF(OR($AC$2=0,$AC$3=0),0,N(INDEX(CHOOSE($AC$2,'CONTROLE EJ'!$A$8:$Z$364,'CONTROLE CMM'!$A$8:$N$364,'CONTROLE GLOBO AÇOS'!$A$8:$Z$364,#REF!),MATCH($A30,'CONTROLE EJ'!$A$8:$A$364,0),$AC$3))))),0))</f>
        <v/>
      </c>
      <c r="AA30" s="287">
        <f>'CONTROLE PRODUÇÃO POR EMPRESAS'!A34</f>
        <v/>
      </c>
      <c r="AB30" s="78">
        <f>IF(A40="","",TEXT(A40,"dd/mm"))</f>
        <v/>
      </c>
    </row>
    <row r="31" ht="9.75" customHeight="1">
      <c r="A31" s="289">
        <f>IF(OR($E$4="",$J$4="",$E$4&gt;$J$4),"",IF(ROW()-11&lt;=$J$4-$E$4+1,$E$4+ROW()-12,""))</f>
        <v/>
      </c>
      <c r="B31" s="91">
        <f>IF($A31="","",$B$4)</f>
        <v/>
      </c>
      <c r="C31" s="91">
        <f>IF($A31="","",$N$4)</f>
        <v/>
      </c>
      <c r="D31" s="92">
        <f>IF($A31="","",IFERROR(IF(AND(OR($N$4="PREMONTAGEM",$N$4="IÇAMENTO JOIST",$N$4="VIGAS"),OR($B$4="GERAL",$B$4="EJ",$B$4="CMM")),IF($B$4="GERAL",N(INDEX('CONTROLE PRODUÇÃO POR EMPRESAS'!$B$6:$G$362,MATCH($A31,'CONTROLE PRODUÇÃO POR EMPRESAS'!$A$6:$A$362,0),MATCH($N$4,'CONTROLE PRODUÇÃO POR EMPRESAS'!$B$5:$D$5,0)))+N(INDEX('CONTROLE PRODUÇÃO POR EMPRESAS'!$B$6:$G$362,MATCH($A31,'CONTROLE PRODUÇÃO POR EMPRESAS'!$A$6:$A$362,0),MATCH($N$4,'CONTROLE PRODUÇÃO POR EMPRESAS'!$E$5:$G$5,0)+3)),N(INDEX('CONTROLE PRODUÇÃO POR EMPRESAS'!$B$6:$G$362,MATCH($A31,'CONTROLE PRODUÇÃO POR EMPRESAS'!$A$6:$A$362,0),IF($B$4="EJ",MATCH($N$4,'CONTROLE PRODUÇÃO POR EMPRESAS'!$B$5:$D$5,0),MATCH($N$4,'CONTROLE PRODUÇÃO POR EMPRESAS'!$E$5:$G$5,0)+3)))),IF($B$4="GERAL",N(INDEX('CONTROLE PRODUÇÃO POR EMPRESAS'!$A$6:$BW$362,MATCH($A31,'CONTROLE PRODUÇÃO POR EMPRESAS'!$A$6:$A$362,0),VLOOKUP($N$4,'METAS CLIENTE'!$A$5:$V$52,22,0))),IF(OR($AC$2=0,$AC$3=0),0,N(INDEX(CHOOSE($AC$2,'CONTROLE EJ'!$A$8:$Z$364,'CONTROLE CMM'!$A$8:$N$364,'CONTROLE GLOBO AÇOS'!$A$8:$Z$364,#REF!),MATCH($A31,'CONTROLE EJ'!$A$8:$A$364,0),$AC$3))))),0))</f>
        <v/>
      </c>
      <c r="AA31" s="287">
        <f>'CONTROLE PRODUÇÃO POR EMPRESAS'!A35</f>
        <v/>
      </c>
      <c r="AB31" s="78">
        <f>IF(A41="","",TEXT(A41,"dd/mm"))</f>
        <v/>
      </c>
    </row>
    <row r="32" ht="9.75" customHeight="1">
      <c r="A32" s="289">
        <f>IF(OR($E$4="",$J$4="",$E$4&gt;$J$4),"",IF(ROW()-11&lt;=$J$4-$E$4+1,$E$4+ROW()-12,""))</f>
        <v/>
      </c>
      <c r="B32" s="91">
        <f>IF($A32="","",$B$4)</f>
        <v/>
      </c>
      <c r="C32" s="91">
        <f>IF($A32="","",$N$4)</f>
        <v/>
      </c>
      <c r="D32" s="92">
        <f>IF($A32="","",IFERROR(IF(AND(OR($N$4="PREMONTAGEM",$N$4="IÇAMENTO JOIST",$N$4="VIGAS"),OR($B$4="GERAL",$B$4="EJ",$B$4="CMM")),IF($B$4="GERAL",N(INDEX('CONTROLE PRODUÇÃO POR EMPRESAS'!$B$6:$G$362,MATCH($A32,'CONTROLE PRODUÇÃO POR EMPRESAS'!$A$6:$A$362,0),MATCH($N$4,'CONTROLE PRODUÇÃO POR EMPRESAS'!$B$5:$D$5,0)))+N(INDEX('CONTROLE PRODUÇÃO POR EMPRESAS'!$B$6:$G$362,MATCH($A32,'CONTROLE PRODUÇÃO POR EMPRESAS'!$A$6:$A$362,0),MATCH($N$4,'CONTROLE PRODUÇÃO POR EMPRESAS'!$E$5:$G$5,0)+3)),N(INDEX('CONTROLE PRODUÇÃO POR EMPRESAS'!$B$6:$G$362,MATCH($A32,'CONTROLE PRODUÇÃO POR EMPRESAS'!$A$6:$A$362,0),IF($B$4="EJ",MATCH($N$4,'CONTROLE PRODUÇÃO POR EMPRESAS'!$B$5:$D$5,0),MATCH($N$4,'CONTROLE PRODUÇÃO POR EMPRESAS'!$E$5:$G$5,0)+3)))),IF($B$4="GERAL",N(INDEX('CONTROLE PRODUÇÃO POR EMPRESAS'!$A$6:$BW$362,MATCH($A32,'CONTROLE PRODUÇÃO POR EMPRESAS'!$A$6:$A$362,0),VLOOKUP($N$4,'METAS CLIENTE'!$A$5:$V$52,22,0))),IF(OR($AC$2=0,$AC$3=0),0,N(INDEX(CHOOSE($AC$2,'CONTROLE EJ'!$A$8:$Z$364,'CONTROLE CMM'!$A$8:$N$364,'CONTROLE GLOBO AÇOS'!$A$8:$Z$364,#REF!),MATCH($A32,'CONTROLE EJ'!$A$8:$A$364,0),$AC$3))))),0))</f>
        <v/>
      </c>
      <c r="AA32" s="287">
        <f>'CONTROLE PRODUÇÃO POR EMPRESAS'!A36</f>
        <v/>
      </c>
      <c r="AB32" s="78">
        <f>IF(A42="","",TEXT(A42,"dd/mm"))</f>
        <v/>
      </c>
    </row>
    <row r="33" ht="9.75" customHeight="1">
      <c r="A33" s="289">
        <f>IF(OR($E$4="",$J$4="",$E$4&gt;$J$4),"",IF(ROW()-11&lt;=$J$4-$E$4+1,$E$4+ROW()-12,""))</f>
        <v/>
      </c>
      <c r="B33" s="91">
        <f>IF($A33="","",$B$4)</f>
        <v/>
      </c>
      <c r="C33" s="91">
        <f>IF($A33="","",$N$4)</f>
        <v/>
      </c>
      <c r="D33" s="92">
        <f>IF($A33="","",IFERROR(IF(AND(OR($N$4="PREMONTAGEM",$N$4="IÇAMENTO JOIST",$N$4="VIGAS"),OR($B$4="GERAL",$B$4="EJ",$B$4="CMM")),IF($B$4="GERAL",N(INDEX('CONTROLE PRODUÇÃO POR EMPRESAS'!$B$6:$G$362,MATCH($A33,'CONTROLE PRODUÇÃO POR EMPRESAS'!$A$6:$A$362,0),MATCH($N$4,'CONTROLE PRODUÇÃO POR EMPRESAS'!$B$5:$D$5,0)))+N(INDEX('CONTROLE PRODUÇÃO POR EMPRESAS'!$B$6:$G$362,MATCH($A33,'CONTROLE PRODUÇÃO POR EMPRESAS'!$A$6:$A$362,0),MATCH($N$4,'CONTROLE PRODUÇÃO POR EMPRESAS'!$E$5:$G$5,0)+3)),N(INDEX('CONTROLE PRODUÇÃO POR EMPRESAS'!$B$6:$G$362,MATCH($A33,'CONTROLE PRODUÇÃO POR EMPRESAS'!$A$6:$A$362,0),IF($B$4="EJ",MATCH($N$4,'CONTROLE PRODUÇÃO POR EMPRESAS'!$B$5:$D$5,0),MATCH($N$4,'CONTROLE PRODUÇÃO POR EMPRESAS'!$E$5:$G$5,0)+3)))),IF($B$4="GERAL",N(INDEX('CONTROLE PRODUÇÃO POR EMPRESAS'!$A$6:$BW$362,MATCH($A33,'CONTROLE PRODUÇÃO POR EMPRESAS'!$A$6:$A$362,0),VLOOKUP($N$4,'METAS CLIENTE'!$A$5:$V$52,22,0))),IF(OR($AC$2=0,$AC$3=0),0,N(INDEX(CHOOSE($AC$2,'CONTROLE EJ'!$A$8:$Z$364,'CONTROLE CMM'!$A$8:$N$364,'CONTROLE GLOBO AÇOS'!$A$8:$Z$364,#REF!),MATCH($A33,'CONTROLE EJ'!$A$8:$A$364,0),$AC$3))))),0))</f>
        <v/>
      </c>
      <c r="AA33" s="287">
        <f>'CONTROLE PRODUÇÃO POR EMPRESAS'!A37</f>
        <v/>
      </c>
      <c r="AB33" s="78">
        <f>IF(A43="","",TEXT(A43,"dd/mm"))</f>
        <v/>
      </c>
    </row>
    <row r="34" ht="9.75" customHeight="1">
      <c r="A34" s="289">
        <f>IF(OR($E$4="",$J$4="",$E$4&gt;$J$4),"",IF(ROW()-11&lt;=$J$4-$E$4+1,$E$4+ROW()-12,""))</f>
        <v/>
      </c>
      <c r="B34" s="91">
        <f>IF($A34="","",$B$4)</f>
        <v/>
      </c>
      <c r="C34" s="91">
        <f>IF($A34="","",$N$4)</f>
        <v/>
      </c>
      <c r="D34" s="92">
        <f>IF($A34="","",IFERROR(IF(AND(OR($N$4="PREMONTAGEM",$N$4="IÇAMENTO JOIST",$N$4="VIGAS"),OR($B$4="GERAL",$B$4="EJ",$B$4="CMM")),IF($B$4="GERAL",N(INDEX('CONTROLE PRODUÇÃO POR EMPRESAS'!$B$6:$G$362,MATCH($A34,'CONTROLE PRODUÇÃO POR EMPRESAS'!$A$6:$A$362,0),MATCH($N$4,'CONTROLE PRODUÇÃO POR EMPRESAS'!$B$5:$D$5,0)))+N(INDEX('CONTROLE PRODUÇÃO POR EMPRESAS'!$B$6:$G$362,MATCH($A34,'CONTROLE PRODUÇÃO POR EMPRESAS'!$A$6:$A$362,0),MATCH($N$4,'CONTROLE PRODUÇÃO POR EMPRESAS'!$E$5:$G$5,0)+3)),N(INDEX('CONTROLE PRODUÇÃO POR EMPRESAS'!$B$6:$G$362,MATCH($A34,'CONTROLE PRODUÇÃO POR EMPRESAS'!$A$6:$A$362,0),IF($B$4="EJ",MATCH($N$4,'CONTROLE PRODUÇÃO POR EMPRESAS'!$B$5:$D$5,0),MATCH($N$4,'CONTROLE PRODUÇÃO POR EMPRESAS'!$E$5:$G$5,0)+3)))),IF($B$4="GERAL",N(INDEX('CONTROLE PRODUÇÃO POR EMPRESAS'!$A$6:$BW$362,MATCH($A34,'CONTROLE PRODUÇÃO POR EMPRESAS'!$A$6:$A$362,0),VLOOKUP($N$4,'METAS CLIENTE'!$A$5:$V$52,22,0))),IF(OR($AC$2=0,$AC$3=0),0,N(INDEX(CHOOSE($AC$2,'CONTROLE EJ'!$A$8:$Z$364,'CONTROLE CMM'!$A$8:$N$364,'CONTROLE GLOBO AÇOS'!$A$8:$Z$364,#REF!),MATCH($A34,'CONTROLE EJ'!$A$8:$A$364,0),$AC$3))))),0))</f>
        <v/>
      </c>
      <c r="AA34" s="287">
        <f>'CONTROLE PRODUÇÃO POR EMPRESAS'!A38</f>
        <v/>
      </c>
      <c r="AB34" s="78">
        <f>IF(A44="","",TEXT(A44,"dd/mm"))</f>
        <v/>
      </c>
    </row>
    <row r="35" ht="9.75" customHeight="1">
      <c r="A35" s="289">
        <f>IF(OR($E$4="",$J$4="",$E$4&gt;$J$4),"",IF(ROW()-11&lt;=$J$4-$E$4+1,$E$4+ROW()-12,""))</f>
        <v/>
      </c>
      <c r="B35" s="91">
        <f>IF($A35="","",$B$4)</f>
        <v/>
      </c>
      <c r="C35" s="91">
        <f>IF($A35="","",$N$4)</f>
        <v/>
      </c>
      <c r="D35" s="92">
        <f>IF($A35="","",IFERROR(IF(AND(OR($N$4="PREMONTAGEM",$N$4="IÇAMENTO JOIST",$N$4="VIGAS"),OR($B$4="GERAL",$B$4="EJ",$B$4="CMM")),IF($B$4="GERAL",N(INDEX('CONTROLE PRODUÇÃO POR EMPRESAS'!$B$6:$G$362,MATCH($A35,'CONTROLE PRODUÇÃO POR EMPRESAS'!$A$6:$A$362,0),MATCH($N$4,'CONTROLE PRODUÇÃO POR EMPRESAS'!$B$5:$D$5,0)))+N(INDEX('CONTROLE PRODUÇÃO POR EMPRESAS'!$B$6:$G$362,MATCH($A35,'CONTROLE PRODUÇÃO POR EMPRESAS'!$A$6:$A$362,0),MATCH($N$4,'CONTROLE PRODUÇÃO POR EMPRESAS'!$E$5:$G$5,0)+3)),N(INDEX('CONTROLE PRODUÇÃO POR EMPRESAS'!$B$6:$G$362,MATCH($A35,'CONTROLE PRODUÇÃO POR EMPRESAS'!$A$6:$A$362,0),IF($B$4="EJ",MATCH($N$4,'CONTROLE PRODUÇÃO POR EMPRESAS'!$B$5:$D$5,0),MATCH($N$4,'CONTROLE PRODUÇÃO POR EMPRESAS'!$E$5:$G$5,0)+3)))),IF($B$4="GERAL",N(INDEX('CONTROLE PRODUÇÃO POR EMPRESAS'!$A$6:$BW$362,MATCH($A35,'CONTROLE PRODUÇÃO POR EMPRESAS'!$A$6:$A$362,0),VLOOKUP($N$4,'METAS CLIENTE'!$A$5:$V$52,22,0))),IF(OR($AC$2=0,$AC$3=0),0,N(INDEX(CHOOSE($AC$2,'CONTROLE EJ'!$A$8:$Z$364,'CONTROLE CMM'!$A$8:$N$364,'CONTROLE GLOBO AÇOS'!$A$8:$Z$364,#REF!),MATCH($A35,'CONTROLE EJ'!$A$8:$A$364,0),$AC$3))))),0))</f>
        <v/>
      </c>
      <c r="AA35" s="287">
        <f>'CONTROLE PRODUÇÃO POR EMPRESAS'!A39</f>
        <v/>
      </c>
      <c r="AB35" s="78">
        <f>IF(A45="","",TEXT(A45,"dd/mm"))</f>
        <v/>
      </c>
    </row>
    <row r="36" ht="9.75" customHeight="1">
      <c r="A36" s="289">
        <f>IF(OR($E$4="",$J$4="",$E$4&gt;$J$4),"",IF(ROW()-11&lt;=$J$4-$E$4+1,$E$4+ROW()-12,""))</f>
        <v/>
      </c>
      <c r="B36" s="91">
        <f>IF($A36="","",$B$4)</f>
        <v/>
      </c>
      <c r="C36" s="91">
        <f>IF($A36="","",$N$4)</f>
        <v/>
      </c>
      <c r="D36" s="92">
        <f>IF($A36="","",IFERROR(IF(AND(OR($N$4="PREMONTAGEM",$N$4="IÇAMENTO JOIST",$N$4="VIGAS"),OR($B$4="GERAL",$B$4="EJ",$B$4="CMM")),IF($B$4="GERAL",N(INDEX('CONTROLE PRODUÇÃO POR EMPRESAS'!$B$6:$G$362,MATCH($A36,'CONTROLE PRODUÇÃO POR EMPRESAS'!$A$6:$A$362,0),MATCH($N$4,'CONTROLE PRODUÇÃO POR EMPRESAS'!$B$5:$D$5,0)))+N(INDEX('CONTROLE PRODUÇÃO POR EMPRESAS'!$B$6:$G$362,MATCH($A36,'CONTROLE PRODUÇÃO POR EMPRESAS'!$A$6:$A$362,0),MATCH($N$4,'CONTROLE PRODUÇÃO POR EMPRESAS'!$E$5:$G$5,0)+3)),N(INDEX('CONTROLE PRODUÇÃO POR EMPRESAS'!$B$6:$G$362,MATCH($A36,'CONTROLE PRODUÇÃO POR EMPRESAS'!$A$6:$A$362,0),IF($B$4="EJ",MATCH($N$4,'CONTROLE PRODUÇÃO POR EMPRESAS'!$B$5:$D$5,0),MATCH($N$4,'CONTROLE PRODUÇÃO POR EMPRESAS'!$E$5:$G$5,0)+3)))),IF($B$4="GERAL",N(INDEX('CONTROLE PRODUÇÃO POR EMPRESAS'!$A$6:$BW$362,MATCH($A36,'CONTROLE PRODUÇÃO POR EMPRESAS'!$A$6:$A$362,0),VLOOKUP($N$4,'METAS CLIENTE'!$A$5:$V$52,22,0))),IF(OR($AC$2=0,$AC$3=0),0,N(INDEX(CHOOSE($AC$2,'CONTROLE EJ'!$A$8:$Z$364,'CONTROLE CMM'!$A$8:$N$364,'CONTROLE GLOBO AÇOS'!$A$8:$Z$364,#REF!),MATCH($A36,'CONTROLE EJ'!$A$8:$A$364,0),$AC$3))))),0))</f>
        <v/>
      </c>
      <c r="AA36" s="287">
        <f>'CONTROLE PRODUÇÃO POR EMPRESAS'!A40</f>
        <v/>
      </c>
      <c r="AB36" s="78">
        <f>IF(A46="","",TEXT(A46,"dd/mm"))</f>
        <v/>
      </c>
    </row>
    <row r="37" ht="9.75" customHeight="1">
      <c r="A37" s="289">
        <f>IF(OR($E$4="",$J$4="",$E$4&gt;$J$4),"",IF(ROW()-11&lt;=$J$4-$E$4+1,$E$4+ROW()-12,""))</f>
        <v/>
      </c>
      <c r="B37" s="91">
        <f>IF($A37="","",$B$4)</f>
        <v/>
      </c>
      <c r="C37" s="91">
        <f>IF($A37="","",$N$4)</f>
        <v/>
      </c>
      <c r="D37" s="92">
        <f>IF($A37="","",IFERROR(IF(AND(OR($N$4="PREMONTAGEM",$N$4="IÇAMENTO JOIST",$N$4="VIGAS"),OR($B$4="GERAL",$B$4="EJ",$B$4="CMM")),IF($B$4="GERAL",N(INDEX('CONTROLE PRODUÇÃO POR EMPRESAS'!$B$6:$G$362,MATCH($A37,'CONTROLE PRODUÇÃO POR EMPRESAS'!$A$6:$A$362,0),MATCH($N$4,'CONTROLE PRODUÇÃO POR EMPRESAS'!$B$5:$D$5,0)))+N(INDEX('CONTROLE PRODUÇÃO POR EMPRESAS'!$B$6:$G$362,MATCH($A37,'CONTROLE PRODUÇÃO POR EMPRESAS'!$A$6:$A$362,0),MATCH($N$4,'CONTROLE PRODUÇÃO POR EMPRESAS'!$E$5:$G$5,0)+3)),N(INDEX('CONTROLE PRODUÇÃO POR EMPRESAS'!$B$6:$G$362,MATCH($A37,'CONTROLE PRODUÇÃO POR EMPRESAS'!$A$6:$A$362,0),IF($B$4="EJ",MATCH($N$4,'CONTROLE PRODUÇÃO POR EMPRESAS'!$B$5:$D$5,0),MATCH($N$4,'CONTROLE PRODUÇÃO POR EMPRESAS'!$E$5:$G$5,0)+3)))),IF($B$4="GERAL",N(INDEX('CONTROLE PRODUÇÃO POR EMPRESAS'!$A$6:$BW$362,MATCH($A37,'CONTROLE PRODUÇÃO POR EMPRESAS'!$A$6:$A$362,0),VLOOKUP($N$4,'METAS CLIENTE'!$A$5:$V$52,22,0))),IF(OR($AC$2=0,$AC$3=0),0,N(INDEX(CHOOSE($AC$2,'CONTROLE EJ'!$A$8:$Z$364,'CONTROLE CMM'!$A$8:$N$364,'CONTROLE GLOBO AÇOS'!$A$8:$Z$364,#REF!),MATCH($A37,'CONTROLE EJ'!$A$8:$A$364,0),$AC$3))))),0))</f>
        <v/>
      </c>
      <c r="AA37" s="287">
        <f>'CONTROLE PRODUÇÃO POR EMPRESAS'!A41</f>
        <v/>
      </c>
      <c r="AB37" s="78">
        <f>IF(A47="","",TEXT(A47,"dd/mm"))</f>
        <v/>
      </c>
    </row>
    <row r="38" ht="9.75" customHeight="1">
      <c r="A38" s="289">
        <f>IF(OR($E$4="",$J$4="",$E$4&gt;$J$4),"",IF(ROW()-11&lt;=$J$4-$E$4+1,$E$4+ROW()-12,""))</f>
        <v/>
      </c>
      <c r="B38" s="91">
        <f>IF($A38="","",$B$4)</f>
        <v/>
      </c>
      <c r="C38" s="91">
        <f>IF($A38="","",$N$4)</f>
        <v/>
      </c>
      <c r="D38" s="92">
        <f>IF($A38="","",IFERROR(IF(AND(OR($N$4="PREMONTAGEM",$N$4="IÇAMENTO JOIST",$N$4="VIGAS"),OR($B$4="GERAL",$B$4="EJ",$B$4="CMM")),IF($B$4="GERAL",N(INDEX('CONTROLE PRODUÇÃO POR EMPRESAS'!$B$6:$G$362,MATCH($A38,'CONTROLE PRODUÇÃO POR EMPRESAS'!$A$6:$A$362,0),MATCH($N$4,'CONTROLE PRODUÇÃO POR EMPRESAS'!$B$5:$D$5,0)))+N(INDEX('CONTROLE PRODUÇÃO POR EMPRESAS'!$B$6:$G$362,MATCH($A38,'CONTROLE PRODUÇÃO POR EMPRESAS'!$A$6:$A$362,0),MATCH($N$4,'CONTROLE PRODUÇÃO POR EMPRESAS'!$E$5:$G$5,0)+3)),N(INDEX('CONTROLE PRODUÇÃO POR EMPRESAS'!$B$6:$G$362,MATCH($A38,'CONTROLE PRODUÇÃO POR EMPRESAS'!$A$6:$A$362,0),IF($B$4="EJ",MATCH($N$4,'CONTROLE PRODUÇÃO POR EMPRESAS'!$B$5:$D$5,0),MATCH($N$4,'CONTROLE PRODUÇÃO POR EMPRESAS'!$E$5:$G$5,0)+3)))),IF($B$4="GERAL",N(INDEX('CONTROLE PRODUÇÃO POR EMPRESAS'!$A$6:$BW$362,MATCH($A38,'CONTROLE PRODUÇÃO POR EMPRESAS'!$A$6:$A$362,0),VLOOKUP($N$4,'METAS CLIENTE'!$A$5:$V$52,22,0))),IF(OR($AC$2=0,$AC$3=0),0,N(INDEX(CHOOSE($AC$2,'CONTROLE EJ'!$A$8:$Z$364,'CONTROLE CMM'!$A$8:$N$364,'CONTROLE GLOBO AÇOS'!$A$8:$Z$364,#REF!),MATCH($A38,'CONTROLE EJ'!$A$8:$A$364,0),$AC$3))))),0))</f>
        <v/>
      </c>
      <c r="AA38" s="287">
        <f>'CONTROLE PRODUÇÃO POR EMPRESAS'!A42</f>
        <v/>
      </c>
      <c r="AB38" s="78">
        <f>IF(A48="","",TEXT(A48,"dd/mm"))</f>
        <v/>
      </c>
    </row>
    <row r="39" ht="9.75" customHeight="1">
      <c r="A39" s="289">
        <f>IF(OR($E$4="",$J$4="",$E$4&gt;$J$4),"",IF(ROW()-11&lt;=$J$4-$E$4+1,$E$4+ROW()-12,""))</f>
        <v/>
      </c>
      <c r="B39" s="91">
        <f>IF($A39="","",$B$4)</f>
        <v/>
      </c>
      <c r="C39" s="91">
        <f>IF($A39="","",$N$4)</f>
        <v/>
      </c>
      <c r="D39" s="92">
        <f>IF($A39="","",IFERROR(IF(AND(OR($N$4="PREMONTAGEM",$N$4="IÇAMENTO JOIST",$N$4="VIGAS"),OR($B$4="GERAL",$B$4="EJ",$B$4="CMM")),IF($B$4="GERAL",N(INDEX('CONTROLE PRODUÇÃO POR EMPRESAS'!$B$6:$G$362,MATCH($A39,'CONTROLE PRODUÇÃO POR EMPRESAS'!$A$6:$A$362,0),MATCH($N$4,'CONTROLE PRODUÇÃO POR EMPRESAS'!$B$5:$D$5,0)))+N(INDEX('CONTROLE PRODUÇÃO POR EMPRESAS'!$B$6:$G$362,MATCH($A39,'CONTROLE PRODUÇÃO POR EMPRESAS'!$A$6:$A$362,0),MATCH($N$4,'CONTROLE PRODUÇÃO POR EMPRESAS'!$E$5:$G$5,0)+3)),N(INDEX('CONTROLE PRODUÇÃO POR EMPRESAS'!$B$6:$G$362,MATCH($A39,'CONTROLE PRODUÇÃO POR EMPRESAS'!$A$6:$A$362,0),IF($B$4="EJ",MATCH($N$4,'CONTROLE PRODUÇÃO POR EMPRESAS'!$B$5:$D$5,0),MATCH($N$4,'CONTROLE PRODUÇÃO POR EMPRESAS'!$E$5:$G$5,0)+3)))),IF($B$4="GERAL",N(INDEX('CONTROLE PRODUÇÃO POR EMPRESAS'!$A$6:$BW$362,MATCH($A39,'CONTROLE PRODUÇÃO POR EMPRESAS'!$A$6:$A$362,0),VLOOKUP($N$4,'METAS CLIENTE'!$A$5:$V$52,22,0))),IF(OR($AC$2=0,$AC$3=0),0,N(INDEX(CHOOSE($AC$2,'CONTROLE EJ'!$A$8:$Z$364,'CONTROLE CMM'!$A$8:$N$364,'CONTROLE GLOBO AÇOS'!$A$8:$Z$364,#REF!),MATCH($A39,'CONTROLE EJ'!$A$8:$A$364,0),$AC$3))))),0))</f>
        <v/>
      </c>
      <c r="AA39" s="287">
        <f>'CONTROLE PRODUÇÃO POR EMPRESAS'!A43</f>
        <v/>
      </c>
      <c r="AB39" s="78">
        <f>IF(A49="","",TEXT(A49,"dd/mm"))</f>
        <v/>
      </c>
    </row>
    <row r="40" ht="9.75" customHeight="1">
      <c r="A40" s="289">
        <f>IF(OR($E$4="",$J$4="",$E$4&gt;$J$4),"",IF(ROW()-11&lt;=$J$4-$E$4+1,$E$4+ROW()-12,""))</f>
        <v/>
      </c>
      <c r="B40" s="91">
        <f>IF($A40="","",$B$4)</f>
        <v/>
      </c>
      <c r="C40" s="91">
        <f>IF($A40="","",$N$4)</f>
        <v/>
      </c>
      <c r="D40" s="92">
        <f>IF($A40="","",IFERROR(IF(AND(OR($N$4="PREMONTAGEM",$N$4="IÇAMENTO JOIST",$N$4="VIGAS"),OR($B$4="GERAL",$B$4="EJ",$B$4="CMM")),IF($B$4="GERAL",N(INDEX('CONTROLE PRODUÇÃO POR EMPRESAS'!$B$6:$G$362,MATCH($A40,'CONTROLE PRODUÇÃO POR EMPRESAS'!$A$6:$A$362,0),MATCH($N$4,'CONTROLE PRODUÇÃO POR EMPRESAS'!$B$5:$D$5,0)))+N(INDEX('CONTROLE PRODUÇÃO POR EMPRESAS'!$B$6:$G$362,MATCH($A40,'CONTROLE PRODUÇÃO POR EMPRESAS'!$A$6:$A$362,0),MATCH($N$4,'CONTROLE PRODUÇÃO POR EMPRESAS'!$E$5:$G$5,0)+3)),N(INDEX('CONTROLE PRODUÇÃO POR EMPRESAS'!$B$6:$G$362,MATCH($A40,'CONTROLE PRODUÇÃO POR EMPRESAS'!$A$6:$A$362,0),IF($B$4="EJ",MATCH($N$4,'CONTROLE PRODUÇÃO POR EMPRESAS'!$B$5:$D$5,0),MATCH($N$4,'CONTROLE PRODUÇÃO POR EMPRESAS'!$E$5:$G$5,0)+3)))),IF($B$4="GERAL",N(INDEX('CONTROLE PRODUÇÃO POR EMPRESAS'!$A$6:$BW$362,MATCH($A40,'CONTROLE PRODUÇÃO POR EMPRESAS'!$A$6:$A$362,0),VLOOKUP($N$4,'METAS CLIENTE'!$A$5:$V$52,22,0))),IF(OR($AC$2=0,$AC$3=0),0,N(INDEX(CHOOSE($AC$2,'CONTROLE EJ'!$A$8:$Z$364,'CONTROLE CMM'!$A$8:$N$364,'CONTROLE GLOBO AÇOS'!$A$8:$Z$364,#REF!),MATCH($A40,'CONTROLE EJ'!$A$8:$A$364,0),$AC$3))))),0))</f>
        <v/>
      </c>
      <c r="AA40" s="287">
        <f>'CONTROLE PRODUÇÃO POR EMPRESAS'!A44</f>
        <v/>
      </c>
      <c r="AB40" s="78">
        <f>IF(A50="","",TEXT(A50,"dd/mm"))</f>
        <v/>
      </c>
    </row>
    <row r="41" ht="9.75" customHeight="1">
      <c r="A41" s="289">
        <f>IF(OR($E$4="",$J$4="",$E$4&gt;$J$4),"",IF(ROW()-11&lt;=$J$4-$E$4+1,$E$4+ROW()-12,""))</f>
        <v/>
      </c>
      <c r="B41" s="91">
        <f>IF($A41="","",$B$4)</f>
        <v/>
      </c>
      <c r="C41" s="91">
        <f>IF($A41="","",$N$4)</f>
        <v/>
      </c>
      <c r="D41" s="92">
        <f>IF($A41="","",IFERROR(IF(AND(OR($N$4="PREMONTAGEM",$N$4="IÇAMENTO JOIST",$N$4="VIGAS"),OR($B$4="GERAL",$B$4="EJ",$B$4="CMM")),IF($B$4="GERAL",N(INDEX('CONTROLE PRODUÇÃO POR EMPRESAS'!$B$6:$G$362,MATCH($A41,'CONTROLE PRODUÇÃO POR EMPRESAS'!$A$6:$A$362,0),MATCH($N$4,'CONTROLE PRODUÇÃO POR EMPRESAS'!$B$5:$D$5,0)))+N(INDEX('CONTROLE PRODUÇÃO POR EMPRESAS'!$B$6:$G$362,MATCH($A41,'CONTROLE PRODUÇÃO POR EMPRESAS'!$A$6:$A$362,0),MATCH($N$4,'CONTROLE PRODUÇÃO POR EMPRESAS'!$E$5:$G$5,0)+3)),N(INDEX('CONTROLE PRODUÇÃO POR EMPRESAS'!$B$6:$G$362,MATCH($A41,'CONTROLE PRODUÇÃO POR EMPRESAS'!$A$6:$A$362,0),IF($B$4="EJ",MATCH($N$4,'CONTROLE PRODUÇÃO POR EMPRESAS'!$B$5:$D$5,0),MATCH($N$4,'CONTROLE PRODUÇÃO POR EMPRESAS'!$E$5:$G$5,0)+3)))),IF($B$4="GERAL",N(INDEX('CONTROLE PRODUÇÃO POR EMPRESAS'!$A$6:$BW$362,MATCH($A41,'CONTROLE PRODUÇÃO POR EMPRESAS'!$A$6:$A$362,0),VLOOKUP($N$4,'METAS CLIENTE'!$A$5:$V$52,22,0))),IF(OR($AC$2=0,$AC$3=0),0,N(INDEX(CHOOSE($AC$2,'CONTROLE EJ'!$A$8:$Z$364,'CONTROLE CMM'!$A$8:$N$364,'CONTROLE GLOBO AÇOS'!$A$8:$Z$364,#REF!),MATCH($A41,'CONTROLE EJ'!$A$8:$A$364,0),$AC$3))))),0))</f>
        <v/>
      </c>
      <c r="AA41" s="287">
        <f>'CONTROLE PRODUÇÃO POR EMPRESAS'!A45</f>
        <v/>
      </c>
      <c r="AB41" s="78">
        <f>IF(A51="","",TEXT(A51,"dd/mm"))</f>
        <v/>
      </c>
    </row>
    <row r="42" ht="9.75" customHeight="1">
      <c r="A42" s="289">
        <f>IF(OR($E$4="",$J$4="",$E$4&gt;$J$4),"",IF(ROW()-11&lt;=$J$4-$E$4+1,$E$4+ROW()-12,""))</f>
        <v/>
      </c>
      <c r="B42" s="91">
        <f>IF($A42="","",$B$4)</f>
        <v/>
      </c>
      <c r="C42" s="91">
        <f>IF($A42="","",$N$4)</f>
        <v/>
      </c>
      <c r="D42" s="92">
        <f>IF($A42="","",IFERROR(IF(AND(OR($N$4="PREMONTAGEM",$N$4="IÇAMENTO JOIST",$N$4="VIGAS"),OR($B$4="GERAL",$B$4="EJ",$B$4="CMM")),IF($B$4="GERAL",N(INDEX('CONTROLE PRODUÇÃO POR EMPRESAS'!$B$6:$G$362,MATCH($A42,'CONTROLE PRODUÇÃO POR EMPRESAS'!$A$6:$A$362,0),MATCH($N$4,'CONTROLE PRODUÇÃO POR EMPRESAS'!$B$5:$D$5,0)))+N(INDEX('CONTROLE PRODUÇÃO POR EMPRESAS'!$B$6:$G$362,MATCH($A42,'CONTROLE PRODUÇÃO POR EMPRESAS'!$A$6:$A$362,0),MATCH($N$4,'CONTROLE PRODUÇÃO POR EMPRESAS'!$E$5:$G$5,0)+3)),N(INDEX('CONTROLE PRODUÇÃO POR EMPRESAS'!$B$6:$G$362,MATCH($A42,'CONTROLE PRODUÇÃO POR EMPRESAS'!$A$6:$A$362,0),IF($B$4="EJ",MATCH($N$4,'CONTROLE PRODUÇÃO POR EMPRESAS'!$B$5:$D$5,0),MATCH($N$4,'CONTROLE PRODUÇÃO POR EMPRESAS'!$E$5:$G$5,0)+3)))),IF($B$4="GERAL",N(INDEX('CONTROLE PRODUÇÃO POR EMPRESAS'!$A$6:$BW$362,MATCH($A42,'CONTROLE PRODUÇÃO POR EMPRESAS'!$A$6:$A$362,0),VLOOKUP($N$4,'METAS CLIENTE'!$A$5:$V$52,22,0))),IF(OR($AC$2=0,$AC$3=0),0,N(INDEX(CHOOSE($AC$2,'CONTROLE EJ'!$A$8:$Z$364,'CONTROLE CMM'!$A$8:$N$364,'CONTROLE GLOBO AÇOS'!$A$8:$Z$364,#REF!),MATCH($A42,'CONTROLE EJ'!$A$8:$A$364,0),$AC$3))))),0))</f>
        <v/>
      </c>
      <c r="AA42" s="287">
        <f>'CONTROLE PRODUÇÃO POR EMPRESAS'!A46</f>
        <v/>
      </c>
      <c r="AB42" s="78">
        <f>IF(A52="","",TEXT(A52,"dd/mm"))</f>
        <v/>
      </c>
    </row>
    <row r="43" ht="9.75" customHeight="1">
      <c r="A43" s="289">
        <f>IF(OR($E$4="",$J$4="",$E$4&gt;$J$4),"",IF(ROW()-11&lt;=$J$4-$E$4+1,$E$4+ROW()-12,""))</f>
        <v/>
      </c>
      <c r="B43" s="91">
        <f>IF($A43="","",$B$4)</f>
        <v/>
      </c>
      <c r="C43" s="91">
        <f>IF($A43="","",$N$4)</f>
        <v/>
      </c>
      <c r="D43" s="92">
        <f>IF($A43="","",IFERROR(IF(AND(OR($N$4="PREMONTAGEM",$N$4="IÇAMENTO JOIST",$N$4="VIGAS"),OR($B$4="GERAL",$B$4="EJ",$B$4="CMM")),IF($B$4="GERAL",N(INDEX('CONTROLE PRODUÇÃO POR EMPRESAS'!$B$6:$G$362,MATCH($A43,'CONTROLE PRODUÇÃO POR EMPRESAS'!$A$6:$A$362,0),MATCH($N$4,'CONTROLE PRODUÇÃO POR EMPRESAS'!$B$5:$D$5,0)))+N(INDEX('CONTROLE PRODUÇÃO POR EMPRESAS'!$B$6:$G$362,MATCH($A43,'CONTROLE PRODUÇÃO POR EMPRESAS'!$A$6:$A$362,0),MATCH($N$4,'CONTROLE PRODUÇÃO POR EMPRESAS'!$E$5:$G$5,0)+3)),N(INDEX('CONTROLE PRODUÇÃO POR EMPRESAS'!$B$6:$G$362,MATCH($A43,'CONTROLE PRODUÇÃO POR EMPRESAS'!$A$6:$A$362,0),IF($B$4="EJ",MATCH($N$4,'CONTROLE PRODUÇÃO POR EMPRESAS'!$B$5:$D$5,0),MATCH($N$4,'CONTROLE PRODUÇÃO POR EMPRESAS'!$E$5:$G$5,0)+3)))),IF($B$4="GERAL",N(INDEX('CONTROLE PRODUÇÃO POR EMPRESAS'!$A$6:$BW$362,MATCH($A43,'CONTROLE PRODUÇÃO POR EMPRESAS'!$A$6:$A$362,0),VLOOKUP($N$4,'METAS CLIENTE'!$A$5:$V$52,22,0))),IF(OR($AC$2=0,$AC$3=0),0,N(INDEX(CHOOSE($AC$2,'CONTROLE EJ'!$A$8:$Z$364,'CONTROLE CMM'!$A$8:$N$364,'CONTROLE GLOBO AÇOS'!$A$8:$Z$364,#REF!),MATCH($A43,'CONTROLE EJ'!$A$8:$A$364,0),$AC$3))))),0))</f>
        <v/>
      </c>
      <c r="AA43" s="287">
        <f>'CONTROLE PRODUÇÃO POR EMPRESAS'!A47</f>
        <v/>
      </c>
      <c r="AB43" s="78">
        <f>IF(A53="","",TEXT(A53,"dd/mm"))</f>
        <v/>
      </c>
    </row>
    <row r="44" ht="9.75" customHeight="1">
      <c r="A44" s="289">
        <f>IF(OR($E$4="",$J$4="",$E$4&gt;$J$4),"",IF(ROW()-11&lt;=$J$4-$E$4+1,$E$4+ROW()-12,""))</f>
        <v/>
      </c>
      <c r="B44" s="91">
        <f>IF($A44="","",$B$4)</f>
        <v/>
      </c>
      <c r="C44" s="91">
        <f>IF($A44="","",$N$4)</f>
        <v/>
      </c>
      <c r="D44" s="92">
        <f>IF($A44="","",IFERROR(IF(AND(OR($N$4="PREMONTAGEM",$N$4="IÇAMENTO JOIST",$N$4="VIGAS"),OR($B$4="GERAL",$B$4="EJ",$B$4="CMM")),IF($B$4="GERAL",N(INDEX('CONTROLE PRODUÇÃO POR EMPRESAS'!$B$6:$G$362,MATCH($A44,'CONTROLE PRODUÇÃO POR EMPRESAS'!$A$6:$A$362,0),MATCH($N$4,'CONTROLE PRODUÇÃO POR EMPRESAS'!$B$5:$D$5,0)))+N(INDEX('CONTROLE PRODUÇÃO POR EMPRESAS'!$B$6:$G$362,MATCH($A44,'CONTROLE PRODUÇÃO POR EMPRESAS'!$A$6:$A$362,0),MATCH($N$4,'CONTROLE PRODUÇÃO POR EMPRESAS'!$E$5:$G$5,0)+3)),N(INDEX('CONTROLE PRODUÇÃO POR EMPRESAS'!$B$6:$G$362,MATCH($A44,'CONTROLE PRODUÇÃO POR EMPRESAS'!$A$6:$A$362,0),IF($B$4="EJ",MATCH($N$4,'CONTROLE PRODUÇÃO POR EMPRESAS'!$B$5:$D$5,0),MATCH($N$4,'CONTROLE PRODUÇÃO POR EMPRESAS'!$E$5:$G$5,0)+3)))),IF($B$4="GERAL",N(INDEX('CONTROLE PRODUÇÃO POR EMPRESAS'!$A$6:$BW$362,MATCH($A44,'CONTROLE PRODUÇÃO POR EMPRESAS'!$A$6:$A$362,0),VLOOKUP($N$4,'METAS CLIENTE'!$A$5:$V$52,22,0))),IF(OR($AC$2=0,$AC$3=0),0,N(INDEX(CHOOSE($AC$2,'CONTROLE EJ'!$A$8:$Z$364,'CONTROLE CMM'!$A$8:$N$364,'CONTROLE GLOBO AÇOS'!$A$8:$Z$364,#REF!),MATCH($A44,'CONTROLE EJ'!$A$8:$A$364,0),$AC$3))))),0))</f>
        <v/>
      </c>
      <c r="AA44" s="287">
        <f>'CONTROLE PRODUÇÃO POR EMPRESAS'!A48</f>
        <v/>
      </c>
      <c r="AB44" s="78">
        <f>IF(A54="","",TEXT(A54,"dd/mm"))</f>
        <v/>
      </c>
    </row>
    <row r="45" ht="9.75" customHeight="1">
      <c r="A45" s="289">
        <f>IF(OR($E$4="",$J$4="",$E$4&gt;$J$4),"",IF(ROW()-11&lt;=$J$4-$E$4+1,$E$4+ROW()-12,""))</f>
        <v/>
      </c>
      <c r="B45" s="91">
        <f>IF($A45="","",$B$4)</f>
        <v/>
      </c>
      <c r="C45" s="91">
        <f>IF($A45="","",$N$4)</f>
        <v/>
      </c>
      <c r="D45" s="92">
        <f>IF($A45="","",IFERROR(IF(AND(OR($N$4="PREMONTAGEM",$N$4="IÇAMENTO JOIST",$N$4="VIGAS"),OR($B$4="GERAL",$B$4="EJ",$B$4="CMM")),IF($B$4="GERAL",N(INDEX('CONTROLE PRODUÇÃO POR EMPRESAS'!$B$6:$G$362,MATCH($A45,'CONTROLE PRODUÇÃO POR EMPRESAS'!$A$6:$A$362,0),MATCH($N$4,'CONTROLE PRODUÇÃO POR EMPRESAS'!$B$5:$D$5,0)))+N(INDEX('CONTROLE PRODUÇÃO POR EMPRESAS'!$B$6:$G$362,MATCH($A45,'CONTROLE PRODUÇÃO POR EMPRESAS'!$A$6:$A$362,0),MATCH($N$4,'CONTROLE PRODUÇÃO POR EMPRESAS'!$E$5:$G$5,0)+3)),N(INDEX('CONTROLE PRODUÇÃO POR EMPRESAS'!$B$6:$G$362,MATCH($A45,'CONTROLE PRODUÇÃO POR EMPRESAS'!$A$6:$A$362,0),IF($B$4="EJ",MATCH($N$4,'CONTROLE PRODUÇÃO POR EMPRESAS'!$B$5:$D$5,0),MATCH($N$4,'CONTROLE PRODUÇÃO POR EMPRESAS'!$E$5:$G$5,0)+3)))),IF($B$4="GERAL",N(INDEX('CONTROLE PRODUÇÃO POR EMPRESAS'!$A$6:$BW$362,MATCH($A45,'CONTROLE PRODUÇÃO POR EMPRESAS'!$A$6:$A$362,0),VLOOKUP($N$4,'METAS CLIENTE'!$A$5:$V$52,22,0))),IF(OR($AC$2=0,$AC$3=0),0,N(INDEX(CHOOSE($AC$2,'CONTROLE EJ'!$A$8:$Z$364,'CONTROLE CMM'!$A$8:$N$364,'CONTROLE GLOBO AÇOS'!$A$8:$Z$364,#REF!),MATCH($A45,'CONTROLE EJ'!$A$8:$A$364,0),$AC$3))))),0))</f>
        <v/>
      </c>
      <c r="AA45" s="287">
        <f>'CONTROLE PRODUÇÃO POR EMPRESAS'!A49</f>
        <v/>
      </c>
      <c r="AB45" s="78">
        <f>IF(A55="","",TEXT(A55,"dd/mm"))</f>
        <v/>
      </c>
    </row>
    <row r="46" ht="9.75" customHeight="1">
      <c r="A46" s="289">
        <f>IF(OR($E$4="",$J$4="",$E$4&gt;$J$4),"",IF(ROW()-11&lt;=$J$4-$E$4+1,$E$4+ROW()-12,""))</f>
        <v/>
      </c>
      <c r="B46" s="91">
        <f>IF($A46="","",$B$4)</f>
        <v/>
      </c>
      <c r="C46" s="91">
        <f>IF($A46="","",$N$4)</f>
        <v/>
      </c>
      <c r="D46" s="92">
        <f>IF($A46="","",IFERROR(IF(AND(OR($N$4="PREMONTAGEM",$N$4="IÇAMENTO JOIST",$N$4="VIGAS"),OR($B$4="GERAL",$B$4="EJ",$B$4="CMM")),IF($B$4="GERAL",N(INDEX('CONTROLE PRODUÇÃO POR EMPRESAS'!$B$6:$G$362,MATCH($A46,'CONTROLE PRODUÇÃO POR EMPRESAS'!$A$6:$A$362,0),MATCH($N$4,'CONTROLE PRODUÇÃO POR EMPRESAS'!$B$5:$D$5,0)))+N(INDEX('CONTROLE PRODUÇÃO POR EMPRESAS'!$B$6:$G$362,MATCH($A46,'CONTROLE PRODUÇÃO POR EMPRESAS'!$A$6:$A$362,0),MATCH($N$4,'CONTROLE PRODUÇÃO POR EMPRESAS'!$E$5:$G$5,0)+3)),N(INDEX('CONTROLE PRODUÇÃO POR EMPRESAS'!$B$6:$G$362,MATCH($A46,'CONTROLE PRODUÇÃO POR EMPRESAS'!$A$6:$A$362,0),IF($B$4="EJ",MATCH($N$4,'CONTROLE PRODUÇÃO POR EMPRESAS'!$B$5:$D$5,0),MATCH($N$4,'CONTROLE PRODUÇÃO POR EMPRESAS'!$E$5:$G$5,0)+3)))),IF($B$4="GERAL",N(INDEX('CONTROLE PRODUÇÃO POR EMPRESAS'!$A$6:$BW$362,MATCH($A46,'CONTROLE PRODUÇÃO POR EMPRESAS'!$A$6:$A$362,0),VLOOKUP($N$4,'METAS CLIENTE'!$A$5:$V$52,22,0))),IF(OR($AC$2=0,$AC$3=0),0,N(INDEX(CHOOSE($AC$2,'CONTROLE EJ'!$A$8:$Z$364,'CONTROLE CMM'!$A$8:$N$364,'CONTROLE GLOBO AÇOS'!$A$8:$Z$364,#REF!),MATCH($A46,'CONTROLE EJ'!$A$8:$A$364,0),$AC$3))))),0))</f>
        <v/>
      </c>
      <c r="AA46" s="287">
        <f>'CONTROLE PRODUÇÃO POR EMPRESAS'!A50</f>
        <v/>
      </c>
      <c r="AB46" s="78">
        <f>IF(A56="","",TEXT(A56,"dd/mm"))</f>
        <v/>
      </c>
    </row>
    <row r="47" ht="9.75" customHeight="1">
      <c r="A47" s="289">
        <f>IF(OR($E$4="",$J$4="",$E$4&gt;$J$4),"",IF(ROW()-11&lt;=$J$4-$E$4+1,$E$4+ROW()-12,""))</f>
        <v/>
      </c>
      <c r="B47" s="91">
        <f>IF($A47="","",$B$4)</f>
        <v/>
      </c>
      <c r="C47" s="91">
        <f>IF($A47="","",$N$4)</f>
        <v/>
      </c>
      <c r="D47" s="92">
        <f>IF($A47="","",IFERROR(IF(AND(OR($N$4="PREMONTAGEM",$N$4="IÇAMENTO JOIST",$N$4="VIGAS"),OR($B$4="GERAL",$B$4="EJ",$B$4="CMM")),IF($B$4="GERAL",N(INDEX('CONTROLE PRODUÇÃO POR EMPRESAS'!$B$6:$G$362,MATCH($A47,'CONTROLE PRODUÇÃO POR EMPRESAS'!$A$6:$A$362,0),MATCH($N$4,'CONTROLE PRODUÇÃO POR EMPRESAS'!$B$5:$D$5,0)))+N(INDEX('CONTROLE PRODUÇÃO POR EMPRESAS'!$B$6:$G$362,MATCH($A47,'CONTROLE PRODUÇÃO POR EMPRESAS'!$A$6:$A$362,0),MATCH($N$4,'CONTROLE PRODUÇÃO POR EMPRESAS'!$E$5:$G$5,0)+3)),N(INDEX('CONTROLE PRODUÇÃO POR EMPRESAS'!$B$6:$G$362,MATCH($A47,'CONTROLE PRODUÇÃO POR EMPRESAS'!$A$6:$A$362,0),IF($B$4="EJ",MATCH($N$4,'CONTROLE PRODUÇÃO POR EMPRESAS'!$B$5:$D$5,0),MATCH($N$4,'CONTROLE PRODUÇÃO POR EMPRESAS'!$E$5:$G$5,0)+3)))),IF($B$4="GERAL",N(INDEX('CONTROLE PRODUÇÃO POR EMPRESAS'!$A$6:$BW$362,MATCH($A47,'CONTROLE PRODUÇÃO POR EMPRESAS'!$A$6:$A$362,0),VLOOKUP($N$4,'METAS CLIENTE'!$A$5:$V$52,22,0))),IF(OR($AC$2=0,$AC$3=0),0,N(INDEX(CHOOSE($AC$2,'CONTROLE EJ'!$A$8:$Z$364,'CONTROLE CMM'!$A$8:$N$364,'CONTROLE GLOBO AÇOS'!$A$8:$Z$364,#REF!),MATCH($A47,'CONTROLE EJ'!$A$8:$A$364,0),$AC$3))))),0))</f>
        <v/>
      </c>
      <c r="AA47" s="287">
        <f>'CONTROLE PRODUÇÃO POR EMPRESAS'!A51</f>
        <v/>
      </c>
      <c r="AB47" s="78">
        <f>IF(A57="","",TEXT(A57,"dd/mm"))</f>
        <v/>
      </c>
    </row>
    <row r="48" ht="9.75" customHeight="1">
      <c r="A48" s="289">
        <f>IF(OR($E$4="",$J$4="",$E$4&gt;$J$4),"",IF(ROW()-11&lt;=$J$4-$E$4+1,$E$4+ROW()-12,""))</f>
        <v/>
      </c>
      <c r="B48" s="91">
        <f>IF($A48="","",$B$4)</f>
        <v/>
      </c>
      <c r="C48" s="91">
        <f>IF($A48="","",$N$4)</f>
        <v/>
      </c>
      <c r="D48" s="92">
        <f>IF($A48="","",IFERROR(IF(AND(OR($N$4="PREMONTAGEM",$N$4="IÇAMENTO JOIST",$N$4="VIGAS"),OR($B$4="GERAL",$B$4="EJ",$B$4="CMM")),IF($B$4="GERAL",N(INDEX('CONTROLE PRODUÇÃO POR EMPRESAS'!$B$6:$G$362,MATCH($A48,'CONTROLE PRODUÇÃO POR EMPRESAS'!$A$6:$A$362,0),MATCH($N$4,'CONTROLE PRODUÇÃO POR EMPRESAS'!$B$5:$D$5,0)))+N(INDEX('CONTROLE PRODUÇÃO POR EMPRESAS'!$B$6:$G$362,MATCH($A48,'CONTROLE PRODUÇÃO POR EMPRESAS'!$A$6:$A$362,0),MATCH($N$4,'CONTROLE PRODUÇÃO POR EMPRESAS'!$E$5:$G$5,0)+3)),N(INDEX('CONTROLE PRODUÇÃO POR EMPRESAS'!$B$6:$G$362,MATCH($A48,'CONTROLE PRODUÇÃO POR EMPRESAS'!$A$6:$A$362,0),IF($B$4="EJ",MATCH($N$4,'CONTROLE PRODUÇÃO POR EMPRESAS'!$B$5:$D$5,0),MATCH($N$4,'CONTROLE PRODUÇÃO POR EMPRESAS'!$E$5:$G$5,0)+3)))),IF($B$4="GERAL",N(INDEX('CONTROLE PRODUÇÃO POR EMPRESAS'!$A$6:$BW$362,MATCH($A48,'CONTROLE PRODUÇÃO POR EMPRESAS'!$A$6:$A$362,0),VLOOKUP($N$4,'METAS CLIENTE'!$A$5:$V$52,22,0))),IF(OR($AC$2=0,$AC$3=0),0,N(INDEX(CHOOSE($AC$2,'CONTROLE EJ'!$A$8:$Z$364,'CONTROLE CMM'!$A$8:$N$364,'CONTROLE GLOBO AÇOS'!$A$8:$Z$364,#REF!),MATCH($A48,'CONTROLE EJ'!$A$8:$A$364,0),$AC$3))))),0))</f>
        <v/>
      </c>
      <c r="AA48" s="287">
        <f>'CONTROLE PRODUÇÃO POR EMPRESAS'!A52</f>
        <v/>
      </c>
      <c r="AB48" s="78">
        <f>IF(A58="","",TEXT(A58,"dd/mm"))</f>
        <v/>
      </c>
    </row>
    <row r="49" ht="9.75" customHeight="1">
      <c r="A49" s="289">
        <f>IF(OR($E$4="",$J$4="",$E$4&gt;$J$4),"",IF(ROW()-11&lt;=$J$4-$E$4+1,$E$4+ROW()-12,""))</f>
        <v/>
      </c>
      <c r="B49" s="91">
        <f>IF($A49="","",$B$4)</f>
        <v/>
      </c>
      <c r="C49" s="91">
        <f>IF($A49="","",$N$4)</f>
        <v/>
      </c>
      <c r="D49" s="92">
        <f>IF($A49="","",IFERROR(IF(AND(OR($N$4="PREMONTAGEM",$N$4="IÇAMENTO JOIST",$N$4="VIGAS"),OR($B$4="GERAL",$B$4="EJ",$B$4="CMM")),IF($B$4="GERAL",N(INDEX('CONTROLE PRODUÇÃO POR EMPRESAS'!$B$6:$G$362,MATCH($A49,'CONTROLE PRODUÇÃO POR EMPRESAS'!$A$6:$A$362,0),MATCH($N$4,'CONTROLE PRODUÇÃO POR EMPRESAS'!$B$5:$D$5,0)))+N(INDEX('CONTROLE PRODUÇÃO POR EMPRESAS'!$B$6:$G$362,MATCH($A49,'CONTROLE PRODUÇÃO POR EMPRESAS'!$A$6:$A$362,0),MATCH($N$4,'CONTROLE PRODUÇÃO POR EMPRESAS'!$E$5:$G$5,0)+3)),N(INDEX('CONTROLE PRODUÇÃO POR EMPRESAS'!$B$6:$G$362,MATCH($A49,'CONTROLE PRODUÇÃO POR EMPRESAS'!$A$6:$A$362,0),IF($B$4="EJ",MATCH($N$4,'CONTROLE PRODUÇÃO POR EMPRESAS'!$B$5:$D$5,0),MATCH($N$4,'CONTROLE PRODUÇÃO POR EMPRESAS'!$E$5:$G$5,0)+3)))),IF($B$4="GERAL",N(INDEX('CONTROLE PRODUÇÃO POR EMPRESAS'!$A$6:$BW$362,MATCH($A49,'CONTROLE PRODUÇÃO POR EMPRESAS'!$A$6:$A$362,0),VLOOKUP($N$4,'METAS CLIENTE'!$A$5:$V$52,22,0))),IF(OR($AC$2=0,$AC$3=0),0,N(INDEX(CHOOSE($AC$2,'CONTROLE EJ'!$A$8:$Z$364,'CONTROLE CMM'!$A$8:$N$364,'CONTROLE GLOBO AÇOS'!$A$8:$Z$364,#REF!),MATCH($A49,'CONTROLE EJ'!$A$8:$A$364,0),$AC$3))))),0))</f>
        <v/>
      </c>
      <c r="AA49" s="287">
        <f>'CONTROLE PRODUÇÃO POR EMPRESAS'!A53</f>
        <v/>
      </c>
      <c r="AB49" s="78">
        <f>IF(A59="","",TEXT(A59,"dd/mm"))</f>
        <v/>
      </c>
    </row>
    <row r="50" ht="9.75" customHeight="1">
      <c r="A50" s="289">
        <f>IF(OR($E$4="",$J$4="",$E$4&gt;$J$4),"",IF(ROW()-11&lt;=$J$4-$E$4+1,$E$4+ROW()-12,""))</f>
        <v/>
      </c>
      <c r="B50" s="91">
        <f>IF($A50="","",$B$4)</f>
        <v/>
      </c>
      <c r="C50" s="91">
        <f>IF($A50="","",$N$4)</f>
        <v/>
      </c>
      <c r="D50" s="92">
        <f>IF($A50="","",IFERROR(IF(AND(OR($N$4="PREMONTAGEM",$N$4="IÇAMENTO JOIST",$N$4="VIGAS"),OR($B$4="GERAL",$B$4="EJ",$B$4="CMM")),IF($B$4="GERAL",N(INDEX('CONTROLE PRODUÇÃO POR EMPRESAS'!$B$6:$G$362,MATCH($A50,'CONTROLE PRODUÇÃO POR EMPRESAS'!$A$6:$A$362,0),MATCH($N$4,'CONTROLE PRODUÇÃO POR EMPRESAS'!$B$5:$D$5,0)))+N(INDEX('CONTROLE PRODUÇÃO POR EMPRESAS'!$B$6:$G$362,MATCH($A50,'CONTROLE PRODUÇÃO POR EMPRESAS'!$A$6:$A$362,0),MATCH($N$4,'CONTROLE PRODUÇÃO POR EMPRESAS'!$E$5:$G$5,0)+3)),N(INDEX('CONTROLE PRODUÇÃO POR EMPRESAS'!$B$6:$G$362,MATCH($A50,'CONTROLE PRODUÇÃO POR EMPRESAS'!$A$6:$A$362,0),IF($B$4="EJ",MATCH($N$4,'CONTROLE PRODUÇÃO POR EMPRESAS'!$B$5:$D$5,0),MATCH($N$4,'CONTROLE PRODUÇÃO POR EMPRESAS'!$E$5:$G$5,0)+3)))),IF($B$4="GERAL",N(INDEX('CONTROLE PRODUÇÃO POR EMPRESAS'!$A$6:$BW$362,MATCH($A50,'CONTROLE PRODUÇÃO POR EMPRESAS'!$A$6:$A$362,0),VLOOKUP($N$4,'METAS CLIENTE'!$A$5:$V$52,22,0))),IF(OR($AC$2=0,$AC$3=0),0,N(INDEX(CHOOSE($AC$2,'CONTROLE EJ'!$A$8:$Z$364,'CONTROLE CMM'!$A$8:$N$364,'CONTROLE GLOBO AÇOS'!$A$8:$Z$364,#REF!),MATCH($A50,'CONTROLE EJ'!$A$8:$A$364,0),$AC$3))))),0))</f>
        <v/>
      </c>
      <c r="AA50" s="287">
        <f>'CONTROLE PRODUÇÃO POR EMPRESAS'!A54</f>
        <v/>
      </c>
      <c r="AB50" s="78">
        <f>IF(A60="","",TEXT(A60,"dd/mm"))</f>
        <v/>
      </c>
    </row>
    <row r="51" ht="9.75" customHeight="1">
      <c r="A51" s="289">
        <f>IF(OR($E$4="",$J$4="",$E$4&gt;$J$4),"",IF(ROW()-11&lt;=$J$4-$E$4+1,$E$4+ROW()-12,""))</f>
        <v/>
      </c>
      <c r="B51" s="91">
        <f>IF($A51="","",$B$4)</f>
        <v/>
      </c>
      <c r="C51" s="91">
        <f>IF($A51="","",$N$4)</f>
        <v/>
      </c>
      <c r="D51" s="92">
        <f>IF($A51="","",IFERROR(IF(AND(OR($N$4="PREMONTAGEM",$N$4="IÇAMENTO JOIST",$N$4="VIGAS"),OR($B$4="GERAL",$B$4="EJ",$B$4="CMM")),IF($B$4="GERAL",N(INDEX('CONTROLE PRODUÇÃO POR EMPRESAS'!$B$6:$G$362,MATCH($A51,'CONTROLE PRODUÇÃO POR EMPRESAS'!$A$6:$A$362,0),MATCH($N$4,'CONTROLE PRODUÇÃO POR EMPRESAS'!$B$5:$D$5,0)))+N(INDEX('CONTROLE PRODUÇÃO POR EMPRESAS'!$B$6:$G$362,MATCH($A51,'CONTROLE PRODUÇÃO POR EMPRESAS'!$A$6:$A$362,0),MATCH($N$4,'CONTROLE PRODUÇÃO POR EMPRESAS'!$E$5:$G$5,0)+3)),N(INDEX('CONTROLE PRODUÇÃO POR EMPRESAS'!$B$6:$G$362,MATCH($A51,'CONTROLE PRODUÇÃO POR EMPRESAS'!$A$6:$A$362,0),IF($B$4="EJ",MATCH($N$4,'CONTROLE PRODUÇÃO POR EMPRESAS'!$B$5:$D$5,0),MATCH($N$4,'CONTROLE PRODUÇÃO POR EMPRESAS'!$E$5:$G$5,0)+3)))),IF($B$4="GERAL",N(INDEX('CONTROLE PRODUÇÃO POR EMPRESAS'!$A$6:$BW$362,MATCH($A51,'CONTROLE PRODUÇÃO POR EMPRESAS'!$A$6:$A$362,0),VLOOKUP($N$4,'METAS CLIENTE'!$A$5:$V$52,22,0))),IF(OR($AC$2=0,$AC$3=0),0,N(INDEX(CHOOSE($AC$2,'CONTROLE EJ'!$A$8:$Z$364,'CONTROLE CMM'!$A$8:$N$364,'CONTROLE GLOBO AÇOS'!$A$8:$Z$364,#REF!),MATCH($A51,'CONTROLE EJ'!$A$8:$A$364,0),$AC$3))))),0))</f>
        <v/>
      </c>
      <c r="AA51" s="287">
        <f>'CONTROLE PRODUÇÃO POR EMPRESAS'!A55</f>
        <v/>
      </c>
      <c r="AB51" s="78">
        <f>IF(A61="","",TEXT(A61,"dd/mm"))</f>
        <v/>
      </c>
    </row>
    <row r="52" ht="9.75" customHeight="1">
      <c r="A52" s="289">
        <f>IF(OR($E$4="",$J$4="",$E$4&gt;$J$4),"",IF(ROW()-11&lt;=$J$4-$E$4+1,$E$4+ROW()-12,""))</f>
        <v/>
      </c>
      <c r="B52" s="91">
        <f>IF($A52="","",$B$4)</f>
        <v/>
      </c>
      <c r="C52" s="91">
        <f>IF($A52="","",$N$4)</f>
        <v/>
      </c>
      <c r="D52" s="92">
        <f>IF($A52="","",IFERROR(IF(AND(OR($N$4="PREMONTAGEM",$N$4="IÇAMENTO JOIST",$N$4="VIGAS"),OR($B$4="GERAL",$B$4="EJ",$B$4="CMM")),IF($B$4="GERAL",N(INDEX('CONTROLE PRODUÇÃO POR EMPRESAS'!$B$6:$G$362,MATCH($A52,'CONTROLE PRODUÇÃO POR EMPRESAS'!$A$6:$A$362,0),MATCH($N$4,'CONTROLE PRODUÇÃO POR EMPRESAS'!$B$5:$D$5,0)))+N(INDEX('CONTROLE PRODUÇÃO POR EMPRESAS'!$B$6:$G$362,MATCH($A52,'CONTROLE PRODUÇÃO POR EMPRESAS'!$A$6:$A$362,0),MATCH($N$4,'CONTROLE PRODUÇÃO POR EMPRESAS'!$E$5:$G$5,0)+3)),N(INDEX('CONTROLE PRODUÇÃO POR EMPRESAS'!$B$6:$G$362,MATCH($A52,'CONTROLE PRODUÇÃO POR EMPRESAS'!$A$6:$A$362,0),IF($B$4="EJ",MATCH($N$4,'CONTROLE PRODUÇÃO POR EMPRESAS'!$B$5:$D$5,0),MATCH($N$4,'CONTROLE PRODUÇÃO POR EMPRESAS'!$E$5:$G$5,0)+3)))),IF($B$4="GERAL",N(INDEX('CONTROLE PRODUÇÃO POR EMPRESAS'!$A$6:$BW$362,MATCH($A52,'CONTROLE PRODUÇÃO POR EMPRESAS'!$A$6:$A$362,0),VLOOKUP($N$4,'METAS CLIENTE'!$A$5:$V$52,22,0))),IF(OR($AC$2=0,$AC$3=0),0,N(INDEX(CHOOSE($AC$2,'CONTROLE EJ'!$A$8:$Z$364,'CONTROLE CMM'!$A$8:$N$364,'CONTROLE GLOBO AÇOS'!$A$8:$Z$364,#REF!),MATCH($A52,'CONTROLE EJ'!$A$8:$A$364,0),$AC$3))))),0))</f>
        <v/>
      </c>
      <c r="AA52" s="287">
        <f>'CONTROLE PRODUÇÃO POR EMPRESAS'!A56</f>
        <v/>
      </c>
      <c r="AB52" s="78">
        <f>IF(A62="","",TEXT(A62,"dd/mm"))</f>
        <v/>
      </c>
    </row>
    <row r="53" ht="9.75" customHeight="1">
      <c r="A53" s="289">
        <f>IF(OR($E$4="",$J$4="",$E$4&gt;$J$4),"",IF(ROW()-11&lt;=$J$4-$E$4+1,$E$4+ROW()-12,""))</f>
        <v/>
      </c>
      <c r="B53" s="91">
        <f>IF($A53="","",$B$4)</f>
        <v/>
      </c>
      <c r="C53" s="91">
        <f>IF($A53="","",$N$4)</f>
        <v/>
      </c>
      <c r="D53" s="92">
        <f>IF($A53="","",IFERROR(IF(AND(OR($N$4="PREMONTAGEM",$N$4="IÇAMENTO JOIST",$N$4="VIGAS"),OR($B$4="GERAL",$B$4="EJ",$B$4="CMM")),IF($B$4="GERAL",N(INDEX('CONTROLE PRODUÇÃO POR EMPRESAS'!$B$6:$G$362,MATCH($A53,'CONTROLE PRODUÇÃO POR EMPRESAS'!$A$6:$A$362,0),MATCH($N$4,'CONTROLE PRODUÇÃO POR EMPRESAS'!$B$5:$D$5,0)))+N(INDEX('CONTROLE PRODUÇÃO POR EMPRESAS'!$B$6:$G$362,MATCH($A53,'CONTROLE PRODUÇÃO POR EMPRESAS'!$A$6:$A$362,0),MATCH($N$4,'CONTROLE PRODUÇÃO POR EMPRESAS'!$E$5:$G$5,0)+3)),N(INDEX('CONTROLE PRODUÇÃO POR EMPRESAS'!$B$6:$G$362,MATCH($A53,'CONTROLE PRODUÇÃO POR EMPRESAS'!$A$6:$A$362,0),IF($B$4="EJ",MATCH($N$4,'CONTROLE PRODUÇÃO POR EMPRESAS'!$B$5:$D$5,0),MATCH($N$4,'CONTROLE PRODUÇÃO POR EMPRESAS'!$E$5:$G$5,0)+3)))),IF($B$4="GERAL",N(INDEX('CONTROLE PRODUÇÃO POR EMPRESAS'!$A$6:$BW$362,MATCH($A53,'CONTROLE PRODUÇÃO POR EMPRESAS'!$A$6:$A$362,0),VLOOKUP($N$4,'METAS CLIENTE'!$A$5:$V$52,22,0))),IF(OR($AC$2=0,$AC$3=0),0,N(INDEX(CHOOSE($AC$2,'CONTROLE EJ'!$A$8:$Z$364,'CONTROLE CMM'!$A$8:$N$364,'CONTROLE GLOBO AÇOS'!$A$8:$Z$364,#REF!),MATCH($A53,'CONTROLE EJ'!$A$8:$A$364,0),$AC$3))))),0))</f>
        <v/>
      </c>
      <c r="AA53" s="287">
        <f>'CONTROLE PRODUÇÃO POR EMPRESAS'!A57</f>
        <v/>
      </c>
      <c r="AB53" s="78">
        <f>IF(A63="","",TEXT(A63,"dd/mm"))</f>
        <v/>
      </c>
    </row>
    <row r="54" ht="9.75" customHeight="1">
      <c r="A54" s="289">
        <f>IF(OR($E$4="",$J$4="",$E$4&gt;$J$4),"",IF(ROW()-11&lt;=$J$4-$E$4+1,$E$4+ROW()-12,""))</f>
        <v/>
      </c>
      <c r="B54" s="91">
        <f>IF($A54="","",$B$4)</f>
        <v/>
      </c>
      <c r="C54" s="91">
        <f>IF($A54="","",$N$4)</f>
        <v/>
      </c>
      <c r="D54" s="92">
        <f>IF($A54="","",IFERROR(IF(AND(OR($N$4="PREMONTAGEM",$N$4="IÇAMENTO JOIST",$N$4="VIGAS"),OR($B$4="GERAL",$B$4="EJ",$B$4="CMM")),IF($B$4="GERAL",N(INDEX('CONTROLE PRODUÇÃO POR EMPRESAS'!$B$6:$G$362,MATCH($A54,'CONTROLE PRODUÇÃO POR EMPRESAS'!$A$6:$A$362,0),MATCH($N$4,'CONTROLE PRODUÇÃO POR EMPRESAS'!$B$5:$D$5,0)))+N(INDEX('CONTROLE PRODUÇÃO POR EMPRESAS'!$B$6:$G$362,MATCH($A54,'CONTROLE PRODUÇÃO POR EMPRESAS'!$A$6:$A$362,0),MATCH($N$4,'CONTROLE PRODUÇÃO POR EMPRESAS'!$E$5:$G$5,0)+3)),N(INDEX('CONTROLE PRODUÇÃO POR EMPRESAS'!$B$6:$G$362,MATCH($A54,'CONTROLE PRODUÇÃO POR EMPRESAS'!$A$6:$A$362,0),IF($B$4="EJ",MATCH($N$4,'CONTROLE PRODUÇÃO POR EMPRESAS'!$B$5:$D$5,0),MATCH($N$4,'CONTROLE PRODUÇÃO POR EMPRESAS'!$E$5:$G$5,0)+3)))),IF($B$4="GERAL",N(INDEX('CONTROLE PRODUÇÃO POR EMPRESAS'!$A$6:$BW$362,MATCH($A54,'CONTROLE PRODUÇÃO POR EMPRESAS'!$A$6:$A$362,0),VLOOKUP($N$4,'METAS CLIENTE'!$A$5:$V$52,22,0))),IF(OR($AC$2=0,$AC$3=0),0,N(INDEX(CHOOSE($AC$2,'CONTROLE EJ'!$A$8:$Z$364,'CONTROLE CMM'!$A$8:$N$364,'CONTROLE GLOBO AÇOS'!$A$8:$Z$364,#REF!),MATCH($A54,'CONTROLE EJ'!$A$8:$A$364,0),$AC$3))))),0))</f>
        <v/>
      </c>
      <c r="AA54" s="287">
        <f>'CONTROLE PRODUÇÃO POR EMPRESAS'!A58</f>
        <v/>
      </c>
      <c r="AB54" s="78">
        <f>IF(A64="","",TEXT(A64,"dd/mm"))</f>
        <v/>
      </c>
    </row>
    <row r="55" ht="9.75" customHeight="1">
      <c r="A55" s="289">
        <f>IF(OR($E$4="",$J$4="",$E$4&gt;$J$4),"",IF(ROW()-11&lt;=$J$4-$E$4+1,$E$4+ROW()-12,""))</f>
        <v/>
      </c>
      <c r="B55" s="91">
        <f>IF($A55="","",$B$4)</f>
        <v/>
      </c>
      <c r="C55" s="91">
        <f>IF($A55="","",$N$4)</f>
        <v/>
      </c>
      <c r="D55" s="92">
        <f>IF($A55="","",IFERROR(IF(AND(OR($N$4="PREMONTAGEM",$N$4="IÇAMENTO JOIST",$N$4="VIGAS"),OR($B$4="GERAL",$B$4="EJ",$B$4="CMM")),IF($B$4="GERAL",N(INDEX('CONTROLE PRODUÇÃO POR EMPRESAS'!$B$6:$G$362,MATCH($A55,'CONTROLE PRODUÇÃO POR EMPRESAS'!$A$6:$A$362,0),MATCH($N$4,'CONTROLE PRODUÇÃO POR EMPRESAS'!$B$5:$D$5,0)))+N(INDEX('CONTROLE PRODUÇÃO POR EMPRESAS'!$B$6:$G$362,MATCH($A55,'CONTROLE PRODUÇÃO POR EMPRESAS'!$A$6:$A$362,0),MATCH($N$4,'CONTROLE PRODUÇÃO POR EMPRESAS'!$E$5:$G$5,0)+3)),N(INDEX('CONTROLE PRODUÇÃO POR EMPRESAS'!$B$6:$G$362,MATCH($A55,'CONTROLE PRODUÇÃO POR EMPRESAS'!$A$6:$A$362,0),IF($B$4="EJ",MATCH($N$4,'CONTROLE PRODUÇÃO POR EMPRESAS'!$B$5:$D$5,0),MATCH($N$4,'CONTROLE PRODUÇÃO POR EMPRESAS'!$E$5:$G$5,0)+3)))),IF($B$4="GERAL",N(INDEX('CONTROLE PRODUÇÃO POR EMPRESAS'!$A$6:$BW$362,MATCH($A55,'CONTROLE PRODUÇÃO POR EMPRESAS'!$A$6:$A$362,0),VLOOKUP($N$4,'METAS CLIENTE'!$A$5:$V$52,22,0))),IF(OR($AC$2=0,$AC$3=0),0,N(INDEX(CHOOSE($AC$2,'CONTROLE EJ'!$A$8:$Z$364,'CONTROLE CMM'!$A$8:$N$364,'CONTROLE GLOBO AÇOS'!$A$8:$Z$364,#REF!),MATCH($A55,'CONTROLE EJ'!$A$8:$A$364,0),$AC$3))))),0))</f>
        <v/>
      </c>
      <c r="AA55" s="287">
        <f>'CONTROLE PRODUÇÃO POR EMPRESAS'!A59</f>
        <v/>
      </c>
      <c r="AB55" s="78">
        <f>IF(A65="","",TEXT(A65,"dd/mm"))</f>
        <v/>
      </c>
    </row>
    <row r="56" ht="9.75" customHeight="1">
      <c r="A56" s="289">
        <f>IF(OR($E$4="",$J$4="",$E$4&gt;$J$4),"",IF(ROW()-11&lt;=$J$4-$E$4+1,$E$4+ROW()-12,""))</f>
        <v/>
      </c>
      <c r="B56" s="91">
        <f>IF($A56="","",$B$4)</f>
        <v/>
      </c>
      <c r="C56" s="91">
        <f>IF($A56="","",$N$4)</f>
        <v/>
      </c>
      <c r="D56" s="92">
        <f>IF($A56="","",IFERROR(IF(AND(OR($N$4="PREMONTAGEM",$N$4="IÇAMENTO JOIST",$N$4="VIGAS"),OR($B$4="GERAL",$B$4="EJ",$B$4="CMM")),IF($B$4="GERAL",N(INDEX('CONTROLE PRODUÇÃO POR EMPRESAS'!$B$6:$G$362,MATCH($A56,'CONTROLE PRODUÇÃO POR EMPRESAS'!$A$6:$A$362,0),MATCH($N$4,'CONTROLE PRODUÇÃO POR EMPRESAS'!$B$5:$D$5,0)))+N(INDEX('CONTROLE PRODUÇÃO POR EMPRESAS'!$B$6:$G$362,MATCH($A56,'CONTROLE PRODUÇÃO POR EMPRESAS'!$A$6:$A$362,0),MATCH($N$4,'CONTROLE PRODUÇÃO POR EMPRESAS'!$E$5:$G$5,0)+3)),N(INDEX('CONTROLE PRODUÇÃO POR EMPRESAS'!$B$6:$G$362,MATCH($A56,'CONTROLE PRODUÇÃO POR EMPRESAS'!$A$6:$A$362,0),IF($B$4="EJ",MATCH($N$4,'CONTROLE PRODUÇÃO POR EMPRESAS'!$B$5:$D$5,0),MATCH($N$4,'CONTROLE PRODUÇÃO POR EMPRESAS'!$E$5:$G$5,0)+3)))),IF($B$4="GERAL",N(INDEX('CONTROLE PRODUÇÃO POR EMPRESAS'!$A$6:$BW$362,MATCH($A56,'CONTROLE PRODUÇÃO POR EMPRESAS'!$A$6:$A$362,0),VLOOKUP($N$4,'METAS CLIENTE'!$A$5:$V$52,22,0))),IF(OR($AC$2=0,$AC$3=0),0,N(INDEX(CHOOSE($AC$2,'CONTROLE EJ'!$A$8:$Z$364,'CONTROLE CMM'!$A$8:$N$364,'CONTROLE GLOBO AÇOS'!$A$8:$Z$364,#REF!),MATCH($A56,'CONTROLE EJ'!$A$8:$A$364,0),$AC$3))))),0))</f>
        <v/>
      </c>
      <c r="AA56" s="287">
        <f>'CONTROLE PRODUÇÃO POR EMPRESAS'!A60</f>
        <v/>
      </c>
      <c r="AB56" s="78">
        <f>IF(A66="","",TEXT(A66,"dd/mm"))</f>
        <v/>
      </c>
    </row>
    <row r="57" ht="9.75" customHeight="1">
      <c r="A57" s="289">
        <f>IF(OR($E$4="",$J$4="",$E$4&gt;$J$4),"",IF(ROW()-11&lt;=$J$4-$E$4+1,$E$4+ROW()-12,""))</f>
        <v/>
      </c>
      <c r="B57" s="91">
        <f>IF($A57="","",$B$4)</f>
        <v/>
      </c>
      <c r="C57" s="91">
        <f>IF($A57="","",$N$4)</f>
        <v/>
      </c>
      <c r="D57" s="92">
        <f>IF($A57="","",IFERROR(IF(AND(OR($N$4="PREMONTAGEM",$N$4="IÇAMENTO JOIST",$N$4="VIGAS"),OR($B$4="GERAL",$B$4="EJ",$B$4="CMM")),IF($B$4="GERAL",N(INDEX('CONTROLE PRODUÇÃO POR EMPRESAS'!$B$6:$G$362,MATCH($A57,'CONTROLE PRODUÇÃO POR EMPRESAS'!$A$6:$A$362,0),MATCH($N$4,'CONTROLE PRODUÇÃO POR EMPRESAS'!$B$5:$D$5,0)))+N(INDEX('CONTROLE PRODUÇÃO POR EMPRESAS'!$B$6:$G$362,MATCH($A57,'CONTROLE PRODUÇÃO POR EMPRESAS'!$A$6:$A$362,0),MATCH($N$4,'CONTROLE PRODUÇÃO POR EMPRESAS'!$E$5:$G$5,0)+3)),N(INDEX('CONTROLE PRODUÇÃO POR EMPRESAS'!$B$6:$G$362,MATCH($A57,'CONTROLE PRODUÇÃO POR EMPRESAS'!$A$6:$A$362,0),IF($B$4="EJ",MATCH($N$4,'CONTROLE PRODUÇÃO POR EMPRESAS'!$B$5:$D$5,0),MATCH($N$4,'CONTROLE PRODUÇÃO POR EMPRESAS'!$E$5:$G$5,0)+3)))),IF($B$4="GERAL",N(INDEX('CONTROLE PRODUÇÃO POR EMPRESAS'!$A$6:$BW$362,MATCH($A57,'CONTROLE PRODUÇÃO POR EMPRESAS'!$A$6:$A$362,0),VLOOKUP($N$4,'METAS CLIENTE'!$A$5:$V$52,22,0))),IF(OR($AC$2=0,$AC$3=0),0,N(INDEX(CHOOSE($AC$2,'CONTROLE EJ'!$A$8:$Z$364,'CONTROLE CMM'!$A$8:$N$364,'CONTROLE GLOBO AÇOS'!$A$8:$Z$364,#REF!),MATCH($A57,'CONTROLE EJ'!$A$8:$A$364,0),$AC$3))))),0))</f>
        <v/>
      </c>
      <c r="AA57" s="287">
        <f>'CONTROLE PRODUÇÃO POR EMPRESAS'!A61</f>
        <v/>
      </c>
      <c r="AB57" s="78">
        <f>IF(A67="","",TEXT(A67,"dd/mm"))</f>
        <v/>
      </c>
    </row>
    <row r="58" ht="9.75" customHeight="1">
      <c r="A58" s="289">
        <f>IF(OR($E$4="",$J$4="",$E$4&gt;$J$4),"",IF(ROW()-11&lt;=$J$4-$E$4+1,$E$4+ROW()-12,""))</f>
        <v/>
      </c>
      <c r="B58" s="91">
        <f>IF($A58="","",$B$4)</f>
        <v/>
      </c>
      <c r="C58" s="91">
        <f>IF($A58="","",$N$4)</f>
        <v/>
      </c>
      <c r="D58" s="92">
        <f>IF($A58="","",IFERROR(IF(AND(OR($N$4="PREMONTAGEM",$N$4="IÇAMENTO JOIST",$N$4="VIGAS"),OR($B$4="GERAL",$B$4="EJ",$B$4="CMM")),IF($B$4="GERAL",N(INDEX('CONTROLE PRODUÇÃO POR EMPRESAS'!$B$6:$G$362,MATCH($A58,'CONTROLE PRODUÇÃO POR EMPRESAS'!$A$6:$A$362,0),MATCH($N$4,'CONTROLE PRODUÇÃO POR EMPRESAS'!$B$5:$D$5,0)))+N(INDEX('CONTROLE PRODUÇÃO POR EMPRESAS'!$B$6:$G$362,MATCH($A58,'CONTROLE PRODUÇÃO POR EMPRESAS'!$A$6:$A$362,0),MATCH($N$4,'CONTROLE PRODUÇÃO POR EMPRESAS'!$E$5:$G$5,0)+3)),N(INDEX('CONTROLE PRODUÇÃO POR EMPRESAS'!$B$6:$G$362,MATCH($A58,'CONTROLE PRODUÇÃO POR EMPRESAS'!$A$6:$A$362,0),IF($B$4="EJ",MATCH($N$4,'CONTROLE PRODUÇÃO POR EMPRESAS'!$B$5:$D$5,0),MATCH($N$4,'CONTROLE PRODUÇÃO POR EMPRESAS'!$E$5:$G$5,0)+3)))),IF($B$4="GERAL",N(INDEX('CONTROLE PRODUÇÃO POR EMPRESAS'!$A$6:$BW$362,MATCH($A58,'CONTROLE PRODUÇÃO POR EMPRESAS'!$A$6:$A$362,0),VLOOKUP($N$4,'METAS CLIENTE'!$A$5:$V$52,22,0))),IF(OR($AC$2=0,$AC$3=0),0,N(INDEX(CHOOSE($AC$2,'CONTROLE EJ'!$A$8:$Z$364,'CONTROLE CMM'!$A$8:$N$364,'CONTROLE GLOBO AÇOS'!$A$8:$Z$364,#REF!),MATCH($A58,'CONTROLE EJ'!$A$8:$A$364,0),$AC$3))))),0))</f>
        <v/>
      </c>
      <c r="AA58" s="287">
        <f>'CONTROLE PRODUÇÃO POR EMPRESAS'!A62</f>
        <v/>
      </c>
      <c r="AB58" s="78">
        <f>IF(A68="","",TEXT(A68,"dd/mm"))</f>
        <v/>
      </c>
    </row>
    <row r="59" ht="9.75" customHeight="1">
      <c r="A59" s="289">
        <f>IF(OR($E$4="",$J$4="",$E$4&gt;$J$4),"",IF(ROW()-11&lt;=$J$4-$E$4+1,$E$4+ROW()-12,""))</f>
        <v/>
      </c>
      <c r="B59" s="91">
        <f>IF($A59="","",$B$4)</f>
        <v/>
      </c>
      <c r="C59" s="91">
        <f>IF($A59="","",$N$4)</f>
        <v/>
      </c>
      <c r="D59" s="92">
        <f>IF($A59="","",IFERROR(IF(AND(OR($N$4="PREMONTAGEM",$N$4="IÇAMENTO JOIST",$N$4="VIGAS"),OR($B$4="GERAL",$B$4="EJ",$B$4="CMM")),IF($B$4="GERAL",N(INDEX('CONTROLE PRODUÇÃO POR EMPRESAS'!$B$6:$G$362,MATCH($A59,'CONTROLE PRODUÇÃO POR EMPRESAS'!$A$6:$A$362,0),MATCH($N$4,'CONTROLE PRODUÇÃO POR EMPRESAS'!$B$5:$D$5,0)))+N(INDEX('CONTROLE PRODUÇÃO POR EMPRESAS'!$B$6:$G$362,MATCH($A59,'CONTROLE PRODUÇÃO POR EMPRESAS'!$A$6:$A$362,0),MATCH($N$4,'CONTROLE PRODUÇÃO POR EMPRESAS'!$E$5:$G$5,0)+3)),N(INDEX('CONTROLE PRODUÇÃO POR EMPRESAS'!$B$6:$G$362,MATCH($A59,'CONTROLE PRODUÇÃO POR EMPRESAS'!$A$6:$A$362,0),IF($B$4="EJ",MATCH($N$4,'CONTROLE PRODUÇÃO POR EMPRESAS'!$B$5:$D$5,0),MATCH($N$4,'CONTROLE PRODUÇÃO POR EMPRESAS'!$E$5:$G$5,0)+3)))),IF($B$4="GERAL",N(INDEX('CONTROLE PRODUÇÃO POR EMPRESAS'!$A$6:$BW$362,MATCH($A59,'CONTROLE PRODUÇÃO POR EMPRESAS'!$A$6:$A$362,0),VLOOKUP($N$4,'METAS CLIENTE'!$A$5:$V$52,22,0))),IF(OR($AC$2=0,$AC$3=0),0,N(INDEX(CHOOSE($AC$2,'CONTROLE EJ'!$A$8:$Z$364,'CONTROLE CMM'!$A$8:$N$364,'CONTROLE GLOBO AÇOS'!$A$8:$Z$364,#REF!),MATCH($A59,'CONTROLE EJ'!$A$8:$A$364,0),$AC$3))))),0))</f>
        <v/>
      </c>
      <c r="AA59" s="287">
        <f>'CONTROLE PRODUÇÃO POR EMPRESAS'!A63</f>
        <v/>
      </c>
      <c r="AB59" s="78">
        <f>IF(A69="","",TEXT(A69,"dd/mm"))</f>
        <v/>
      </c>
    </row>
    <row r="60" ht="9.75" customHeight="1">
      <c r="A60" s="289">
        <f>IF(OR($E$4="",$J$4="",$E$4&gt;$J$4),"",IF(ROW()-11&lt;=$J$4-$E$4+1,$E$4+ROW()-12,""))</f>
        <v/>
      </c>
      <c r="B60" s="91">
        <f>IF($A60="","",$B$4)</f>
        <v/>
      </c>
      <c r="C60" s="91">
        <f>IF($A60="","",$N$4)</f>
        <v/>
      </c>
      <c r="D60" s="92">
        <f>IF($A60="","",IFERROR(IF(AND(OR($N$4="PREMONTAGEM",$N$4="IÇAMENTO JOIST",$N$4="VIGAS"),OR($B$4="GERAL",$B$4="EJ",$B$4="CMM")),IF($B$4="GERAL",N(INDEX('CONTROLE PRODUÇÃO POR EMPRESAS'!$B$6:$G$362,MATCH($A60,'CONTROLE PRODUÇÃO POR EMPRESAS'!$A$6:$A$362,0),MATCH($N$4,'CONTROLE PRODUÇÃO POR EMPRESAS'!$B$5:$D$5,0)))+N(INDEX('CONTROLE PRODUÇÃO POR EMPRESAS'!$B$6:$G$362,MATCH($A60,'CONTROLE PRODUÇÃO POR EMPRESAS'!$A$6:$A$362,0),MATCH($N$4,'CONTROLE PRODUÇÃO POR EMPRESAS'!$E$5:$G$5,0)+3)),N(INDEX('CONTROLE PRODUÇÃO POR EMPRESAS'!$B$6:$G$362,MATCH($A60,'CONTROLE PRODUÇÃO POR EMPRESAS'!$A$6:$A$362,0),IF($B$4="EJ",MATCH($N$4,'CONTROLE PRODUÇÃO POR EMPRESAS'!$B$5:$D$5,0),MATCH($N$4,'CONTROLE PRODUÇÃO POR EMPRESAS'!$E$5:$G$5,0)+3)))),IF($B$4="GERAL",N(INDEX('CONTROLE PRODUÇÃO POR EMPRESAS'!$A$6:$BW$362,MATCH($A60,'CONTROLE PRODUÇÃO POR EMPRESAS'!$A$6:$A$362,0),VLOOKUP($N$4,'METAS CLIENTE'!$A$5:$V$52,22,0))),IF(OR($AC$2=0,$AC$3=0),0,N(INDEX(CHOOSE($AC$2,'CONTROLE EJ'!$A$8:$Z$364,'CONTROLE CMM'!$A$8:$N$364,'CONTROLE GLOBO AÇOS'!$A$8:$Z$364,#REF!),MATCH($A60,'CONTROLE EJ'!$A$8:$A$364,0),$AC$3))))),0))</f>
        <v/>
      </c>
      <c r="AA60" s="287">
        <f>'CONTROLE PRODUÇÃO POR EMPRESAS'!A64</f>
        <v/>
      </c>
      <c r="AB60" s="78">
        <f>IF(A70="","",TEXT(A70,"dd/mm"))</f>
        <v/>
      </c>
    </row>
    <row r="61" ht="9.75" customHeight="1">
      <c r="A61" s="289">
        <f>IF(OR($E$4="",$J$4="",$E$4&gt;$J$4),"",IF(ROW()-11&lt;=$J$4-$E$4+1,$E$4+ROW()-12,""))</f>
        <v/>
      </c>
      <c r="B61" s="91">
        <f>IF($A61="","",$B$4)</f>
        <v/>
      </c>
      <c r="C61" s="91">
        <f>IF($A61="","",$N$4)</f>
        <v/>
      </c>
      <c r="D61" s="92">
        <f>IF($A61="","",IFERROR(IF(AND(OR($N$4="PREMONTAGEM",$N$4="IÇAMENTO JOIST",$N$4="VIGAS"),OR($B$4="GERAL",$B$4="EJ",$B$4="CMM")),IF($B$4="GERAL",N(INDEX('CONTROLE PRODUÇÃO POR EMPRESAS'!$B$6:$G$362,MATCH($A61,'CONTROLE PRODUÇÃO POR EMPRESAS'!$A$6:$A$362,0),MATCH($N$4,'CONTROLE PRODUÇÃO POR EMPRESAS'!$B$5:$D$5,0)))+N(INDEX('CONTROLE PRODUÇÃO POR EMPRESAS'!$B$6:$G$362,MATCH($A61,'CONTROLE PRODUÇÃO POR EMPRESAS'!$A$6:$A$362,0),MATCH($N$4,'CONTROLE PRODUÇÃO POR EMPRESAS'!$E$5:$G$5,0)+3)),N(INDEX('CONTROLE PRODUÇÃO POR EMPRESAS'!$B$6:$G$362,MATCH($A61,'CONTROLE PRODUÇÃO POR EMPRESAS'!$A$6:$A$362,0),IF($B$4="EJ",MATCH($N$4,'CONTROLE PRODUÇÃO POR EMPRESAS'!$B$5:$D$5,0),MATCH($N$4,'CONTROLE PRODUÇÃO POR EMPRESAS'!$E$5:$G$5,0)+3)))),IF($B$4="GERAL",N(INDEX('CONTROLE PRODUÇÃO POR EMPRESAS'!$A$6:$BW$362,MATCH($A61,'CONTROLE PRODUÇÃO POR EMPRESAS'!$A$6:$A$362,0),VLOOKUP($N$4,'METAS CLIENTE'!$A$5:$V$52,22,0))),IF(OR($AC$2=0,$AC$3=0),0,N(INDEX(CHOOSE($AC$2,'CONTROLE EJ'!$A$8:$Z$364,'CONTROLE CMM'!$A$8:$N$364,'CONTROLE GLOBO AÇOS'!$A$8:$Z$364,#REF!),MATCH($A61,'CONTROLE EJ'!$A$8:$A$364,0),$AC$3))))),0))</f>
        <v/>
      </c>
      <c r="AA61" s="287">
        <f>'CONTROLE PRODUÇÃO POR EMPRESAS'!A65</f>
        <v/>
      </c>
      <c r="AB61" s="78">
        <f>IF(A71="","",TEXT(A71,"dd/mm"))</f>
        <v/>
      </c>
    </row>
    <row r="62" ht="9.75" customHeight="1">
      <c r="A62" s="289">
        <f>IF(OR($E$4="",$J$4="",$E$4&gt;$J$4),"",IF(ROW()-11&lt;=$J$4-$E$4+1,$E$4+ROW()-12,""))</f>
        <v/>
      </c>
      <c r="B62" s="91">
        <f>IF($A62="","",$B$4)</f>
        <v/>
      </c>
      <c r="C62" s="91">
        <f>IF($A62="","",$N$4)</f>
        <v/>
      </c>
      <c r="D62" s="92">
        <f>IF($A62="","",IFERROR(IF(AND(OR($N$4="PREMONTAGEM",$N$4="IÇAMENTO JOIST",$N$4="VIGAS"),OR($B$4="GERAL",$B$4="EJ",$B$4="CMM")),IF($B$4="GERAL",N(INDEX('CONTROLE PRODUÇÃO POR EMPRESAS'!$B$6:$G$362,MATCH($A62,'CONTROLE PRODUÇÃO POR EMPRESAS'!$A$6:$A$362,0),MATCH($N$4,'CONTROLE PRODUÇÃO POR EMPRESAS'!$B$5:$D$5,0)))+N(INDEX('CONTROLE PRODUÇÃO POR EMPRESAS'!$B$6:$G$362,MATCH($A62,'CONTROLE PRODUÇÃO POR EMPRESAS'!$A$6:$A$362,0),MATCH($N$4,'CONTROLE PRODUÇÃO POR EMPRESAS'!$E$5:$G$5,0)+3)),N(INDEX('CONTROLE PRODUÇÃO POR EMPRESAS'!$B$6:$G$362,MATCH($A62,'CONTROLE PRODUÇÃO POR EMPRESAS'!$A$6:$A$362,0),IF($B$4="EJ",MATCH($N$4,'CONTROLE PRODUÇÃO POR EMPRESAS'!$B$5:$D$5,0),MATCH($N$4,'CONTROLE PRODUÇÃO POR EMPRESAS'!$E$5:$G$5,0)+3)))),IF($B$4="GERAL",N(INDEX('CONTROLE PRODUÇÃO POR EMPRESAS'!$A$6:$BW$362,MATCH($A62,'CONTROLE PRODUÇÃO POR EMPRESAS'!$A$6:$A$362,0),VLOOKUP($N$4,'METAS CLIENTE'!$A$5:$V$52,22,0))),IF(OR($AC$2=0,$AC$3=0),0,N(INDEX(CHOOSE($AC$2,'CONTROLE EJ'!$A$8:$Z$364,'CONTROLE CMM'!$A$8:$N$364,'CONTROLE GLOBO AÇOS'!$A$8:$Z$364,#REF!),MATCH($A62,'CONTROLE EJ'!$A$8:$A$364,0),$AC$3))))),0))</f>
        <v/>
      </c>
      <c r="AA62" s="287">
        <f>'CONTROLE PRODUÇÃO POR EMPRESAS'!A66</f>
        <v/>
      </c>
      <c r="AB62" s="78">
        <f>IF(A72="","",TEXT(A72,"dd/mm"))</f>
        <v/>
      </c>
    </row>
    <row r="63" ht="9.75" customHeight="1">
      <c r="A63" s="289">
        <f>IF(OR($E$4="",$J$4="",$E$4&gt;$J$4),"",IF(ROW()-11&lt;=$J$4-$E$4+1,$E$4+ROW()-12,""))</f>
        <v/>
      </c>
      <c r="B63" s="91">
        <f>IF($A63="","",$B$4)</f>
        <v/>
      </c>
      <c r="C63" s="91">
        <f>IF($A63="","",$N$4)</f>
        <v/>
      </c>
      <c r="D63" s="92">
        <f>IF($A63="","",IFERROR(IF(AND(OR($N$4="PREMONTAGEM",$N$4="IÇAMENTO JOIST",$N$4="VIGAS"),OR($B$4="GERAL",$B$4="EJ",$B$4="CMM")),IF($B$4="GERAL",N(INDEX('CONTROLE PRODUÇÃO POR EMPRESAS'!$B$6:$G$362,MATCH($A63,'CONTROLE PRODUÇÃO POR EMPRESAS'!$A$6:$A$362,0),MATCH($N$4,'CONTROLE PRODUÇÃO POR EMPRESAS'!$B$5:$D$5,0)))+N(INDEX('CONTROLE PRODUÇÃO POR EMPRESAS'!$B$6:$G$362,MATCH($A63,'CONTROLE PRODUÇÃO POR EMPRESAS'!$A$6:$A$362,0),MATCH($N$4,'CONTROLE PRODUÇÃO POR EMPRESAS'!$E$5:$G$5,0)+3)),N(INDEX('CONTROLE PRODUÇÃO POR EMPRESAS'!$B$6:$G$362,MATCH($A63,'CONTROLE PRODUÇÃO POR EMPRESAS'!$A$6:$A$362,0),IF($B$4="EJ",MATCH($N$4,'CONTROLE PRODUÇÃO POR EMPRESAS'!$B$5:$D$5,0),MATCH($N$4,'CONTROLE PRODUÇÃO POR EMPRESAS'!$E$5:$G$5,0)+3)))),IF($B$4="GERAL",N(INDEX('CONTROLE PRODUÇÃO POR EMPRESAS'!$A$6:$BW$362,MATCH($A63,'CONTROLE PRODUÇÃO POR EMPRESAS'!$A$6:$A$362,0),VLOOKUP($N$4,'METAS CLIENTE'!$A$5:$V$52,22,0))),IF(OR($AC$2=0,$AC$3=0),0,N(INDEX(CHOOSE($AC$2,'CONTROLE EJ'!$A$8:$Z$364,'CONTROLE CMM'!$A$8:$N$364,'CONTROLE GLOBO AÇOS'!$A$8:$Z$364,#REF!),MATCH($A63,'CONTROLE EJ'!$A$8:$A$364,0),$AC$3))))),0))</f>
        <v/>
      </c>
      <c r="AA63" s="287">
        <f>'CONTROLE PRODUÇÃO POR EMPRESAS'!A67</f>
        <v/>
      </c>
      <c r="AB63" s="78">
        <f>IF(A73="","",TEXT(A73,"dd/mm"))</f>
        <v/>
      </c>
    </row>
    <row r="64" ht="9.75" customHeight="1">
      <c r="A64" s="289">
        <f>IF(OR($E$4="",$J$4="",$E$4&gt;$J$4),"",IF(ROW()-11&lt;=$J$4-$E$4+1,$E$4+ROW()-12,""))</f>
        <v/>
      </c>
      <c r="B64" s="91">
        <f>IF($A64="","",$B$4)</f>
        <v/>
      </c>
      <c r="C64" s="91">
        <f>IF($A64="","",$N$4)</f>
        <v/>
      </c>
      <c r="D64" s="92">
        <f>IF($A64="","",IFERROR(IF(AND(OR($N$4="PREMONTAGEM",$N$4="IÇAMENTO JOIST",$N$4="VIGAS"),OR($B$4="GERAL",$B$4="EJ",$B$4="CMM")),IF($B$4="GERAL",N(INDEX('CONTROLE PRODUÇÃO POR EMPRESAS'!$B$6:$G$362,MATCH($A64,'CONTROLE PRODUÇÃO POR EMPRESAS'!$A$6:$A$362,0),MATCH($N$4,'CONTROLE PRODUÇÃO POR EMPRESAS'!$B$5:$D$5,0)))+N(INDEX('CONTROLE PRODUÇÃO POR EMPRESAS'!$B$6:$G$362,MATCH($A64,'CONTROLE PRODUÇÃO POR EMPRESAS'!$A$6:$A$362,0),MATCH($N$4,'CONTROLE PRODUÇÃO POR EMPRESAS'!$E$5:$G$5,0)+3)),N(INDEX('CONTROLE PRODUÇÃO POR EMPRESAS'!$B$6:$G$362,MATCH($A64,'CONTROLE PRODUÇÃO POR EMPRESAS'!$A$6:$A$362,0),IF($B$4="EJ",MATCH($N$4,'CONTROLE PRODUÇÃO POR EMPRESAS'!$B$5:$D$5,0),MATCH($N$4,'CONTROLE PRODUÇÃO POR EMPRESAS'!$E$5:$G$5,0)+3)))),IF($B$4="GERAL",N(INDEX('CONTROLE PRODUÇÃO POR EMPRESAS'!$A$6:$BW$362,MATCH($A64,'CONTROLE PRODUÇÃO POR EMPRESAS'!$A$6:$A$362,0),VLOOKUP($N$4,'METAS CLIENTE'!$A$5:$V$52,22,0))),IF(OR($AC$2=0,$AC$3=0),0,N(INDEX(CHOOSE($AC$2,'CONTROLE EJ'!$A$8:$Z$364,'CONTROLE CMM'!$A$8:$N$364,'CONTROLE GLOBO AÇOS'!$A$8:$Z$364,#REF!),MATCH($A64,'CONTROLE EJ'!$A$8:$A$364,0),$AC$3))))),0))</f>
        <v/>
      </c>
      <c r="AA64" s="287">
        <f>'CONTROLE PRODUÇÃO POR EMPRESAS'!A68</f>
        <v/>
      </c>
      <c r="AB64" s="78">
        <f>IF(A74="","",TEXT(A74,"dd/mm"))</f>
        <v/>
      </c>
    </row>
    <row r="65" ht="9.75" customHeight="1">
      <c r="A65" s="289">
        <f>IF(OR($E$4="",$J$4="",$E$4&gt;$J$4),"",IF(ROW()-11&lt;=$J$4-$E$4+1,$E$4+ROW()-12,""))</f>
        <v/>
      </c>
      <c r="B65" s="91">
        <f>IF($A65="","",$B$4)</f>
        <v/>
      </c>
      <c r="C65" s="91">
        <f>IF($A65="","",$N$4)</f>
        <v/>
      </c>
      <c r="D65" s="92">
        <f>IF($A65="","",IFERROR(IF(AND(OR($N$4="PREMONTAGEM",$N$4="IÇAMENTO JOIST",$N$4="VIGAS"),OR($B$4="GERAL",$B$4="EJ",$B$4="CMM")),IF($B$4="GERAL",N(INDEX('CONTROLE PRODUÇÃO POR EMPRESAS'!$B$6:$G$362,MATCH($A65,'CONTROLE PRODUÇÃO POR EMPRESAS'!$A$6:$A$362,0),MATCH($N$4,'CONTROLE PRODUÇÃO POR EMPRESAS'!$B$5:$D$5,0)))+N(INDEX('CONTROLE PRODUÇÃO POR EMPRESAS'!$B$6:$G$362,MATCH($A65,'CONTROLE PRODUÇÃO POR EMPRESAS'!$A$6:$A$362,0),MATCH($N$4,'CONTROLE PRODUÇÃO POR EMPRESAS'!$E$5:$G$5,0)+3)),N(INDEX('CONTROLE PRODUÇÃO POR EMPRESAS'!$B$6:$G$362,MATCH($A65,'CONTROLE PRODUÇÃO POR EMPRESAS'!$A$6:$A$362,0),IF($B$4="EJ",MATCH($N$4,'CONTROLE PRODUÇÃO POR EMPRESAS'!$B$5:$D$5,0),MATCH($N$4,'CONTROLE PRODUÇÃO POR EMPRESAS'!$E$5:$G$5,0)+3)))),IF($B$4="GERAL",N(INDEX('CONTROLE PRODUÇÃO POR EMPRESAS'!$A$6:$BW$362,MATCH($A65,'CONTROLE PRODUÇÃO POR EMPRESAS'!$A$6:$A$362,0),VLOOKUP($N$4,'METAS CLIENTE'!$A$5:$V$52,22,0))),IF(OR($AC$2=0,$AC$3=0),0,N(INDEX(CHOOSE($AC$2,'CONTROLE EJ'!$A$8:$Z$364,'CONTROLE CMM'!$A$8:$N$364,'CONTROLE GLOBO AÇOS'!$A$8:$Z$364,#REF!),MATCH($A65,'CONTROLE EJ'!$A$8:$A$364,0),$AC$3))))),0))</f>
        <v/>
      </c>
      <c r="AA65" s="287">
        <f>'CONTROLE PRODUÇÃO POR EMPRESAS'!A69</f>
        <v/>
      </c>
      <c r="AB65" s="78">
        <f>IF(A75="","",TEXT(A75,"dd/mm"))</f>
        <v/>
      </c>
    </row>
    <row r="66" ht="9.75" customHeight="1">
      <c r="A66" s="289">
        <f>IF(OR($E$4="",$J$4="",$E$4&gt;$J$4),"",IF(ROW()-11&lt;=$J$4-$E$4+1,$E$4+ROW()-12,""))</f>
        <v/>
      </c>
      <c r="B66" s="91">
        <f>IF($A66="","",$B$4)</f>
        <v/>
      </c>
      <c r="C66" s="91">
        <f>IF($A66="","",$N$4)</f>
        <v/>
      </c>
      <c r="D66" s="92">
        <f>IF($A66="","",IFERROR(IF(AND(OR($N$4="PREMONTAGEM",$N$4="IÇAMENTO JOIST",$N$4="VIGAS"),OR($B$4="GERAL",$B$4="EJ",$B$4="CMM")),IF($B$4="GERAL",N(INDEX('CONTROLE PRODUÇÃO POR EMPRESAS'!$B$6:$G$362,MATCH($A66,'CONTROLE PRODUÇÃO POR EMPRESAS'!$A$6:$A$362,0),MATCH($N$4,'CONTROLE PRODUÇÃO POR EMPRESAS'!$B$5:$D$5,0)))+N(INDEX('CONTROLE PRODUÇÃO POR EMPRESAS'!$B$6:$G$362,MATCH($A66,'CONTROLE PRODUÇÃO POR EMPRESAS'!$A$6:$A$362,0),MATCH($N$4,'CONTROLE PRODUÇÃO POR EMPRESAS'!$E$5:$G$5,0)+3)),N(INDEX('CONTROLE PRODUÇÃO POR EMPRESAS'!$B$6:$G$362,MATCH($A66,'CONTROLE PRODUÇÃO POR EMPRESAS'!$A$6:$A$362,0),IF($B$4="EJ",MATCH($N$4,'CONTROLE PRODUÇÃO POR EMPRESAS'!$B$5:$D$5,0),MATCH($N$4,'CONTROLE PRODUÇÃO POR EMPRESAS'!$E$5:$G$5,0)+3)))),IF($B$4="GERAL",N(INDEX('CONTROLE PRODUÇÃO POR EMPRESAS'!$A$6:$BW$362,MATCH($A66,'CONTROLE PRODUÇÃO POR EMPRESAS'!$A$6:$A$362,0),VLOOKUP($N$4,'METAS CLIENTE'!$A$5:$V$52,22,0))),IF(OR($AC$2=0,$AC$3=0),0,N(INDEX(CHOOSE($AC$2,'CONTROLE EJ'!$A$8:$Z$364,'CONTROLE CMM'!$A$8:$N$364,'CONTROLE GLOBO AÇOS'!$A$8:$Z$364,#REF!),MATCH($A66,'CONTROLE EJ'!$A$8:$A$364,0),$AC$3))))),0))</f>
        <v/>
      </c>
      <c r="AA66" s="287">
        <f>'CONTROLE PRODUÇÃO POR EMPRESAS'!A70</f>
        <v/>
      </c>
      <c r="AB66" s="78">
        <f>IF(A76="","",TEXT(A76,"dd/mm"))</f>
        <v/>
      </c>
    </row>
    <row r="67" ht="9.75" customHeight="1">
      <c r="A67" s="289">
        <f>IF(OR($E$4="",$J$4="",$E$4&gt;$J$4),"",IF(ROW()-11&lt;=$J$4-$E$4+1,$E$4+ROW()-12,""))</f>
        <v/>
      </c>
      <c r="B67" s="91">
        <f>IF($A67="","",$B$4)</f>
        <v/>
      </c>
      <c r="C67" s="91">
        <f>IF($A67="","",$N$4)</f>
        <v/>
      </c>
      <c r="D67" s="92">
        <f>IF($A67="","",IFERROR(IF(AND(OR($N$4="PREMONTAGEM",$N$4="IÇAMENTO JOIST",$N$4="VIGAS"),OR($B$4="GERAL",$B$4="EJ",$B$4="CMM")),IF($B$4="GERAL",N(INDEX('CONTROLE PRODUÇÃO POR EMPRESAS'!$B$6:$G$362,MATCH($A67,'CONTROLE PRODUÇÃO POR EMPRESAS'!$A$6:$A$362,0),MATCH($N$4,'CONTROLE PRODUÇÃO POR EMPRESAS'!$B$5:$D$5,0)))+N(INDEX('CONTROLE PRODUÇÃO POR EMPRESAS'!$B$6:$G$362,MATCH($A67,'CONTROLE PRODUÇÃO POR EMPRESAS'!$A$6:$A$362,0),MATCH($N$4,'CONTROLE PRODUÇÃO POR EMPRESAS'!$E$5:$G$5,0)+3)),N(INDEX('CONTROLE PRODUÇÃO POR EMPRESAS'!$B$6:$G$362,MATCH($A67,'CONTROLE PRODUÇÃO POR EMPRESAS'!$A$6:$A$362,0),IF($B$4="EJ",MATCH($N$4,'CONTROLE PRODUÇÃO POR EMPRESAS'!$B$5:$D$5,0),MATCH($N$4,'CONTROLE PRODUÇÃO POR EMPRESAS'!$E$5:$G$5,0)+3)))),IF($B$4="GERAL",N(INDEX('CONTROLE PRODUÇÃO POR EMPRESAS'!$A$6:$BW$362,MATCH($A67,'CONTROLE PRODUÇÃO POR EMPRESAS'!$A$6:$A$362,0),VLOOKUP($N$4,'METAS CLIENTE'!$A$5:$V$52,22,0))),IF(OR($AC$2=0,$AC$3=0),0,N(INDEX(CHOOSE($AC$2,'CONTROLE EJ'!$A$8:$Z$364,'CONTROLE CMM'!$A$8:$N$364,'CONTROLE GLOBO AÇOS'!$A$8:$Z$364,#REF!),MATCH($A67,'CONTROLE EJ'!$A$8:$A$364,0),$AC$3))))),0))</f>
        <v/>
      </c>
      <c r="AA67" s="287">
        <f>'CONTROLE PRODUÇÃO POR EMPRESAS'!A71</f>
        <v/>
      </c>
      <c r="AB67" s="78">
        <f>IF(A77="","",TEXT(A77,"dd/mm"))</f>
        <v/>
      </c>
    </row>
    <row r="68" ht="9.75" customHeight="1">
      <c r="A68" s="289">
        <f>IF(OR($E$4="",$J$4="",$E$4&gt;$J$4),"",IF(ROW()-11&lt;=$J$4-$E$4+1,$E$4+ROW()-12,""))</f>
        <v/>
      </c>
      <c r="B68" s="91">
        <f>IF($A68="","",$B$4)</f>
        <v/>
      </c>
      <c r="C68" s="91">
        <f>IF($A68="","",$N$4)</f>
        <v/>
      </c>
      <c r="D68" s="92">
        <f>IF($A68="","",IFERROR(IF(AND(OR($N$4="PREMONTAGEM",$N$4="IÇAMENTO JOIST",$N$4="VIGAS"),OR($B$4="GERAL",$B$4="EJ",$B$4="CMM")),IF($B$4="GERAL",N(INDEX('CONTROLE PRODUÇÃO POR EMPRESAS'!$B$6:$G$362,MATCH($A68,'CONTROLE PRODUÇÃO POR EMPRESAS'!$A$6:$A$362,0),MATCH($N$4,'CONTROLE PRODUÇÃO POR EMPRESAS'!$B$5:$D$5,0)))+N(INDEX('CONTROLE PRODUÇÃO POR EMPRESAS'!$B$6:$G$362,MATCH($A68,'CONTROLE PRODUÇÃO POR EMPRESAS'!$A$6:$A$362,0),MATCH($N$4,'CONTROLE PRODUÇÃO POR EMPRESAS'!$E$5:$G$5,0)+3)),N(INDEX('CONTROLE PRODUÇÃO POR EMPRESAS'!$B$6:$G$362,MATCH($A68,'CONTROLE PRODUÇÃO POR EMPRESAS'!$A$6:$A$362,0),IF($B$4="EJ",MATCH($N$4,'CONTROLE PRODUÇÃO POR EMPRESAS'!$B$5:$D$5,0),MATCH($N$4,'CONTROLE PRODUÇÃO POR EMPRESAS'!$E$5:$G$5,0)+3)))),IF($B$4="GERAL",N(INDEX('CONTROLE PRODUÇÃO POR EMPRESAS'!$A$6:$BW$362,MATCH($A68,'CONTROLE PRODUÇÃO POR EMPRESAS'!$A$6:$A$362,0),VLOOKUP($N$4,'METAS CLIENTE'!$A$5:$V$52,22,0))),IF(OR($AC$2=0,$AC$3=0),0,N(INDEX(CHOOSE($AC$2,'CONTROLE EJ'!$A$8:$Z$364,'CONTROLE CMM'!$A$8:$N$364,'CONTROLE GLOBO AÇOS'!$A$8:$Z$364,#REF!),MATCH($A68,'CONTROLE EJ'!$A$8:$A$364,0),$AC$3))))),0))</f>
        <v/>
      </c>
      <c r="AA68" s="287">
        <f>'CONTROLE PRODUÇÃO POR EMPRESAS'!A72</f>
        <v/>
      </c>
      <c r="AB68" s="78">
        <f>IF(A78="","",TEXT(A78,"dd/mm"))</f>
        <v/>
      </c>
    </row>
    <row r="69" ht="9.75" customHeight="1">
      <c r="A69" s="289">
        <f>IF(OR($E$4="",$J$4="",$E$4&gt;$J$4),"",IF(ROW()-11&lt;=$J$4-$E$4+1,$E$4+ROW()-12,""))</f>
        <v/>
      </c>
      <c r="B69" s="91">
        <f>IF($A69="","",$B$4)</f>
        <v/>
      </c>
      <c r="C69" s="91">
        <f>IF($A69="","",$N$4)</f>
        <v/>
      </c>
      <c r="D69" s="92">
        <f>IF($A69="","",IFERROR(IF(AND(OR($N$4="PREMONTAGEM",$N$4="IÇAMENTO JOIST",$N$4="VIGAS"),OR($B$4="GERAL",$B$4="EJ",$B$4="CMM")),IF($B$4="GERAL",N(INDEX('CONTROLE PRODUÇÃO POR EMPRESAS'!$B$6:$G$362,MATCH($A69,'CONTROLE PRODUÇÃO POR EMPRESAS'!$A$6:$A$362,0),MATCH($N$4,'CONTROLE PRODUÇÃO POR EMPRESAS'!$B$5:$D$5,0)))+N(INDEX('CONTROLE PRODUÇÃO POR EMPRESAS'!$B$6:$G$362,MATCH($A69,'CONTROLE PRODUÇÃO POR EMPRESAS'!$A$6:$A$362,0),MATCH($N$4,'CONTROLE PRODUÇÃO POR EMPRESAS'!$E$5:$G$5,0)+3)),N(INDEX('CONTROLE PRODUÇÃO POR EMPRESAS'!$B$6:$G$362,MATCH($A69,'CONTROLE PRODUÇÃO POR EMPRESAS'!$A$6:$A$362,0),IF($B$4="EJ",MATCH($N$4,'CONTROLE PRODUÇÃO POR EMPRESAS'!$B$5:$D$5,0),MATCH($N$4,'CONTROLE PRODUÇÃO POR EMPRESAS'!$E$5:$G$5,0)+3)))),IF($B$4="GERAL",N(INDEX('CONTROLE PRODUÇÃO POR EMPRESAS'!$A$6:$BW$362,MATCH($A69,'CONTROLE PRODUÇÃO POR EMPRESAS'!$A$6:$A$362,0),VLOOKUP($N$4,'METAS CLIENTE'!$A$5:$V$52,22,0))),IF(OR($AC$2=0,$AC$3=0),0,N(INDEX(CHOOSE($AC$2,'CONTROLE EJ'!$A$8:$Z$364,'CONTROLE CMM'!$A$8:$N$364,'CONTROLE GLOBO AÇOS'!$A$8:$Z$364,#REF!),MATCH($A69,'CONTROLE EJ'!$A$8:$A$364,0),$AC$3))))),0))</f>
        <v/>
      </c>
      <c r="AA69" s="287">
        <f>'CONTROLE PRODUÇÃO POR EMPRESAS'!A73</f>
        <v/>
      </c>
      <c r="AB69" s="78">
        <f>IF(A79="","",TEXT(A79,"dd/mm"))</f>
        <v/>
      </c>
    </row>
    <row r="70" ht="9.75" customHeight="1">
      <c r="A70" s="289">
        <f>IF(OR($E$4="",$J$4="",$E$4&gt;$J$4),"",IF(ROW()-11&lt;=$J$4-$E$4+1,$E$4+ROW()-12,""))</f>
        <v/>
      </c>
      <c r="B70" s="91">
        <f>IF($A70="","",$B$4)</f>
        <v/>
      </c>
      <c r="C70" s="91">
        <f>IF($A70="","",$N$4)</f>
        <v/>
      </c>
      <c r="D70" s="92">
        <f>IF($A70="","",IFERROR(IF(AND(OR($N$4="PREMONTAGEM",$N$4="IÇAMENTO JOIST",$N$4="VIGAS"),OR($B$4="GERAL",$B$4="EJ",$B$4="CMM")),IF($B$4="GERAL",N(INDEX('CONTROLE PRODUÇÃO POR EMPRESAS'!$B$6:$G$362,MATCH($A70,'CONTROLE PRODUÇÃO POR EMPRESAS'!$A$6:$A$362,0),MATCH($N$4,'CONTROLE PRODUÇÃO POR EMPRESAS'!$B$5:$D$5,0)))+N(INDEX('CONTROLE PRODUÇÃO POR EMPRESAS'!$B$6:$G$362,MATCH($A70,'CONTROLE PRODUÇÃO POR EMPRESAS'!$A$6:$A$362,0),MATCH($N$4,'CONTROLE PRODUÇÃO POR EMPRESAS'!$E$5:$G$5,0)+3)),N(INDEX('CONTROLE PRODUÇÃO POR EMPRESAS'!$B$6:$G$362,MATCH($A70,'CONTROLE PRODUÇÃO POR EMPRESAS'!$A$6:$A$362,0),IF($B$4="EJ",MATCH($N$4,'CONTROLE PRODUÇÃO POR EMPRESAS'!$B$5:$D$5,0),MATCH($N$4,'CONTROLE PRODUÇÃO POR EMPRESAS'!$E$5:$G$5,0)+3)))),IF($B$4="GERAL",N(INDEX('CONTROLE PRODUÇÃO POR EMPRESAS'!$A$6:$BW$362,MATCH($A70,'CONTROLE PRODUÇÃO POR EMPRESAS'!$A$6:$A$362,0),VLOOKUP($N$4,'METAS CLIENTE'!$A$5:$V$52,22,0))),IF(OR($AC$2=0,$AC$3=0),0,N(INDEX(CHOOSE($AC$2,'CONTROLE EJ'!$A$8:$Z$364,'CONTROLE CMM'!$A$8:$N$364,'CONTROLE GLOBO AÇOS'!$A$8:$Z$364,#REF!),MATCH($A70,'CONTROLE EJ'!$A$8:$A$364,0),$AC$3))))),0))</f>
        <v/>
      </c>
      <c r="AA70" s="287">
        <f>'CONTROLE PRODUÇÃO POR EMPRESAS'!A74</f>
        <v/>
      </c>
      <c r="AB70" s="78">
        <f>IF(A80="","",TEXT(A80,"dd/mm"))</f>
        <v/>
      </c>
    </row>
    <row r="71" ht="9.75" customHeight="1">
      <c r="A71" s="289">
        <f>IF(OR($E$4="",$J$4="",$E$4&gt;$J$4),"",IF(ROW()-11&lt;=$J$4-$E$4+1,$E$4+ROW()-12,""))</f>
        <v/>
      </c>
      <c r="B71" s="91">
        <f>IF($A71="","",$B$4)</f>
        <v/>
      </c>
      <c r="C71" s="91">
        <f>IF($A71="","",$N$4)</f>
        <v/>
      </c>
      <c r="D71" s="92">
        <f>IF($A71="","",IFERROR(IF(AND(OR($N$4="PREMONTAGEM",$N$4="IÇAMENTO JOIST",$N$4="VIGAS"),OR($B$4="GERAL",$B$4="EJ",$B$4="CMM")),IF($B$4="GERAL",N(INDEX('CONTROLE PRODUÇÃO POR EMPRESAS'!$B$6:$G$362,MATCH($A71,'CONTROLE PRODUÇÃO POR EMPRESAS'!$A$6:$A$362,0),MATCH($N$4,'CONTROLE PRODUÇÃO POR EMPRESAS'!$B$5:$D$5,0)))+N(INDEX('CONTROLE PRODUÇÃO POR EMPRESAS'!$B$6:$G$362,MATCH($A71,'CONTROLE PRODUÇÃO POR EMPRESAS'!$A$6:$A$362,0),MATCH($N$4,'CONTROLE PRODUÇÃO POR EMPRESAS'!$E$5:$G$5,0)+3)),N(INDEX('CONTROLE PRODUÇÃO POR EMPRESAS'!$B$6:$G$362,MATCH($A71,'CONTROLE PRODUÇÃO POR EMPRESAS'!$A$6:$A$362,0),IF($B$4="EJ",MATCH($N$4,'CONTROLE PRODUÇÃO POR EMPRESAS'!$B$5:$D$5,0),MATCH($N$4,'CONTROLE PRODUÇÃO POR EMPRESAS'!$E$5:$G$5,0)+3)))),IF($B$4="GERAL",N(INDEX('CONTROLE PRODUÇÃO POR EMPRESAS'!$A$6:$BW$362,MATCH($A71,'CONTROLE PRODUÇÃO POR EMPRESAS'!$A$6:$A$362,0),VLOOKUP($N$4,'METAS CLIENTE'!$A$5:$V$52,22,0))),IF(OR($AC$2=0,$AC$3=0),0,N(INDEX(CHOOSE($AC$2,'CONTROLE EJ'!$A$8:$Z$364,'CONTROLE CMM'!$A$8:$N$364,'CONTROLE GLOBO AÇOS'!$A$8:$Z$364,#REF!),MATCH($A71,'CONTROLE EJ'!$A$8:$A$364,0),$AC$3))))),0))</f>
        <v/>
      </c>
      <c r="AA71" s="287">
        <f>'CONTROLE PRODUÇÃO POR EMPRESAS'!A75</f>
        <v/>
      </c>
      <c r="AB71" s="78">
        <f>IF(A81="","",TEXT(A81,"dd/mm"))</f>
        <v/>
      </c>
    </row>
    <row r="72" ht="9.75" customHeight="1">
      <c r="A72" s="289">
        <f>IF(OR($E$4="",$J$4="",$E$4&gt;$J$4),"",IF(ROW()-11&lt;=$J$4-$E$4+1,$E$4+ROW()-12,""))</f>
        <v/>
      </c>
      <c r="B72" s="91">
        <f>IF($A72="","",$B$4)</f>
        <v/>
      </c>
      <c r="C72" s="91">
        <f>IF($A72="","",$N$4)</f>
        <v/>
      </c>
      <c r="D72" s="92">
        <f>IF($A72="","",IFERROR(IF(AND(OR($N$4="PREMONTAGEM",$N$4="IÇAMENTO JOIST",$N$4="VIGAS"),OR($B$4="GERAL",$B$4="EJ",$B$4="CMM")),IF($B$4="GERAL",N(INDEX('CONTROLE PRODUÇÃO POR EMPRESAS'!$B$6:$G$362,MATCH($A72,'CONTROLE PRODUÇÃO POR EMPRESAS'!$A$6:$A$362,0),MATCH($N$4,'CONTROLE PRODUÇÃO POR EMPRESAS'!$B$5:$D$5,0)))+N(INDEX('CONTROLE PRODUÇÃO POR EMPRESAS'!$B$6:$G$362,MATCH($A72,'CONTROLE PRODUÇÃO POR EMPRESAS'!$A$6:$A$362,0),MATCH($N$4,'CONTROLE PRODUÇÃO POR EMPRESAS'!$E$5:$G$5,0)+3)),N(INDEX('CONTROLE PRODUÇÃO POR EMPRESAS'!$B$6:$G$362,MATCH($A72,'CONTROLE PRODUÇÃO POR EMPRESAS'!$A$6:$A$362,0),IF($B$4="EJ",MATCH($N$4,'CONTROLE PRODUÇÃO POR EMPRESAS'!$B$5:$D$5,0),MATCH($N$4,'CONTROLE PRODUÇÃO POR EMPRESAS'!$E$5:$G$5,0)+3)))),IF($B$4="GERAL",N(INDEX('CONTROLE PRODUÇÃO POR EMPRESAS'!$A$6:$BW$362,MATCH($A72,'CONTROLE PRODUÇÃO POR EMPRESAS'!$A$6:$A$362,0),VLOOKUP($N$4,'METAS CLIENTE'!$A$5:$V$52,22,0))),IF(OR($AC$2=0,$AC$3=0),0,N(INDEX(CHOOSE($AC$2,'CONTROLE EJ'!$A$8:$Z$364,'CONTROLE CMM'!$A$8:$N$364,'CONTROLE GLOBO AÇOS'!$A$8:$Z$364,#REF!),MATCH($A72,'CONTROLE EJ'!$A$8:$A$364,0),$AC$3))))),0))</f>
        <v/>
      </c>
      <c r="AA72" s="287">
        <f>'CONTROLE PRODUÇÃO POR EMPRESAS'!A76</f>
        <v/>
      </c>
      <c r="AB72" s="78">
        <f>IF(A82="","",TEXT(A82,"dd/mm"))</f>
        <v/>
      </c>
    </row>
    <row r="73" ht="9.75" customHeight="1">
      <c r="A73" s="289">
        <f>IF(OR($E$4="",$J$4="",$E$4&gt;$J$4),"",IF(ROW()-11&lt;=$J$4-$E$4+1,$E$4+ROW()-12,""))</f>
        <v/>
      </c>
      <c r="B73" s="91">
        <f>IF($A73="","",$B$4)</f>
        <v/>
      </c>
      <c r="C73" s="91">
        <f>IF($A73="","",$N$4)</f>
        <v/>
      </c>
      <c r="D73" s="92">
        <f>IF($A73="","",IFERROR(IF(AND(OR($N$4="PREMONTAGEM",$N$4="IÇAMENTO JOIST",$N$4="VIGAS"),OR($B$4="GERAL",$B$4="EJ",$B$4="CMM")),IF($B$4="GERAL",N(INDEX('CONTROLE PRODUÇÃO POR EMPRESAS'!$B$6:$G$362,MATCH($A73,'CONTROLE PRODUÇÃO POR EMPRESAS'!$A$6:$A$362,0),MATCH($N$4,'CONTROLE PRODUÇÃO POR EMPRESAS'!$B$5:$D$5,0)))+N(INDEX('CONTROLE PRODUÇÃO POR EMPRESAS'!$B$6:$G$362,MATCH($A73,'CONTROLE PRODUÇÃO POR EMPRESAS'!$A$6:$A$362,0),MATCH($N$4,'CONTROLE PRODUÇÃO POR EMPRESAS'!$E$5:$G$5,0)+3)),N(INDEX('CONTROLE PRODUÇÃO POR EMPRESAS'!$B$6:$G$362,MATCH($A73,'CONTROLE PRODUÇÃO POR EMPRESAS'!$A$6:$A$362,0),IF($B$4="EJ",MATCH($N$4,'CONTROLE PRODUÇÃO POR EMPRESAS'!$B$5:$D$5,0),MATCH($N$4,'CONTROLE PRODUÇÃO POR EMPRESAS'!$E$5:$G$5,0)+3)))),IF($B$4="GERAL",N(INDEX('CONTROLE PRODUÇÃO POR EMPRESAS'!$A$6:$BW$362,MATCH($A73,'CONTROLE PRODUÇÃO POR EMPRESAS'!$A$6:$A$362,0),VLOOKUP($N$4,'METAS CLIENTE'!$A$5:$V$52,22,0))),IF(OR($AC$2=0,$AC$3=0),0,N(INDEX(CHOOSE($AC$2,'CONTROLE EJ'!$A$8:$Z$364,'CONTROLE CMM'!$A$8:$N$364,'CONTROLE GLOBO AÇOS'!$A$8:$Z$364,#REF!),MATCH($A73,'CONTROLE EJ'!$A$8:$A$364,0),$AC$3))))),0))</f>
        <v/>
      </c>
      <c r="AA73" s="287">
        <f>'CONTROLE PRODUÇÃO POR EMPRESAS'!A77</f>
        <v/>
      </c>
      <c r="AB73" s="78">
        <f>IF(A83="","",TEXT(A83,"dd/mm"))</f>
        <v/>
      </c>
    </row>
    <row r="74" ht="9.75" customHeight="1">
      <c r="A74" s="289">
        <f>IF(OR($E$4="",$J$4="",$E$4&gt;$J$4),"",IF(ROW()-11&lt;=$J$4-$E$4+1,$E$4+ROW()-12,""))</f>
        <v/>
      </c>
      <c r="B74" s="91">
        <f>IF($A74="","",$B$4)</f>
        <v/>
      </c>
      <c r="C74" s="91">
        <f>IF($A74="","",$N$4)</f>
        <v/>
      </c>
      <c r="D74" s="92">
        <f>IF($A74="","",IFERROR(IF(AND(OR($N$4="PREMONTAGEM",$N$4="IÇAMENTO JOIST",$N$4="VIGAS"),OR($B$4="GERAL",$B$4="EJ",$B$4="CMM")),IF($B$4="GERAL",N(INDEX('CONTROLE PRODUÇÃO POR EMPRESAS'!$B$6:$G$362,MATCH($A74,'CONTROLE PRODUÇÃO POR EMPRESAS'!$A$6:$A$362,0),MATCH($N$4,'CONTROLE PRODUÇÃO POR EMPRESAS'!$B$5:$D$5,0)))+N(INDEX('CONTROLE PRODUÇÃO POR EMPRESAS'!$B$6:$G$362,MATCH($A74,'CONTROLE PRODUÇÃO POR EMPRESAS'!$A$6:$A$362,0),MATCH($N$4,'CONTROLE PRODUÇÃO POR EMPRESAS'!$E$5:$G$5,0)+3)),N(INDEX('CONTROLE PRODUÇÃO POR EMPRESAS'!$B$6:$G$362,MATCH($A74,'CONTROLE PRODUÇÃO POR EMPRESAS'!$A$6:$A$362,0),IF($B$4="EJ",MATCH($N$4,'CONTROLE PRODUÇÃO POR EMPRESAS'!$B$5:$D$5,0),MATCH($N$4,'CONTROLE PRODUÇÃO POR EMPRESAS'!$E$5:$G$5,0)+3)))),IF($B$4="GERAL",N(INDEX('CONTROLE PRODUÇÃO POR EMPRESAS'!$A$6:$BW$362,MATCH($A74,'CONTROLE PRODUÇÃO POR EMPRESAS'!$A$6:$A$362,0),VLOOKUP($N$4,'METAS CLIENTE'!$A$5:$V$52,22,0))),IF(OR($AC$2=0,$AC$3=0),0,N(INDEX(CHOOSE($AC$2,'CONTROLE EJ'!$A$8:$Z$364,'CONTROLE CMM'!$A$8:$N$364,'CONTROLE GLOBO AÇOS'!$A$8:$Z$364,#REF!),MATCH($A74,'CONTROLE EJ'!$A$8:$A$364,0),$AC$3))))),0))</f>
        <v/>
      </c>
      <c r="AA74" s="287">
        <f>'CONTROLE PRODUÇÃO POR EMPRESAS'!A78</f>
        <v/>
      </c>
      <c r="AB74" s="78">
        <f>IF(A84="","",TEXT(A84,"dd/mm"))</f>
        <v/>
      </c>
    </row>
    <row r="75" ht="9.75" customHeight="1">
      <c r="A75" s="289">
        <f>IF(OR($E$4="",$J$4="",$E$4&gt;$J$4),"",IF(ROW()-11&lt;=$J$4-$E$4+1,$E$4+ROW()-12,""))</f>
        <v/>
      </c>
      <c r="B75" s="91">
        <f>IF($A75="","",$B$4)</f>
        <v/>
      </c>
      <c r="C75" s="91">
        <f>IF($A75="","",$N$4)</f>
        <v/>
      </c>
      <c r="D75" s="92">
        <f>IF($A75="","",IFERROR(IF(AND(OR($N$4="PREMONTAGEM",$N$4="IÇAMENTO JOIST",$N$4="VIGAS"),OR($B$4="GERAL",$B$4="EJ",$B$4="CMM")),IF($B$4="GERAL",N(INDEX('CONTROLE PRODUÇÃO POR EMPRESAS'!$B$6:$G$362,MATCH($A75,'CONTROLE PRODUÇÃO POR EMPRESAS'!$A$6:$A$362,0),MATCH($N$4,'CONTROLE PRODUÇÃO POR EMPRESAS'!$B$5:$D$5,0)))+N(INDEX('CONTROLE PRODUÇÃO POR EMPRESAS'!$B$6:$G$362,MATCH($A75,'CONTROLE PRODUÇÃO POR EMPRESAS'!$A$6:$A$362,0),MATCH($N$4,'CONTROLE PRODUÇÃO POR EMPRESAS'!$E$5:$G$5,0)+3)),N(INDEX('CONTROLE PRODUÇÃO POR EMPRESAS'!$B$6:$G$362,MATCH($A75,'CONTROLE PRODUÇÃO POR EMPRESAS'!$A$6:$A$362,0),IF($B$4="EJ",MATCH($N$4,'CONTROLE PRODUÇÃO POR EMPRESAS'!$B$5:$D$5,0),MATCH($N$4,'CONTROLE PRODUÇÃO POR EMPRESAS'!$E$5:$G$5,0)+3)))),IF($B$4="GERAL",N(INDEX('CONTROLE PRODUÇÃO POR EMPRESAS'!$A$6:$BW$362,MATCH($A75,'CONTROLE PRODUÇÃO POR EMPRESAS'!$A$6:$A$362,0),VLOOKUP($N$4,'METAS CLIENTE'!$A$5:$V$52,22,0))),IF(OR($AC$2=0,$AC$3=0),0,N(INDEX(CHOOSE($AC$2,'CONTROLE EJ'!$A$8:$Z$364,'CONTROLE CMM'!$A$8:$N$364,'CONTROLE GLOBO AÇOS'!$A$8:$Z$364,#REF!),MATCH($A75,'CONTROLE EJ'!$A$8:$A$364,0),$AC$3))))),0))</f>
        <v/>
      </c>
      <c r="AA75" s="287">
        <f>'CONTROLE PRODUÇÃO POR EMPRESAS'!A79</f>
        <v/>
      </c>
      <c r="AB75" s="78">
        <f>IF(A85="","",TEXT(A85,"dd/mm"))</f>
        <v/>
      </c>
    </row>
    <row r="76" ht="9.75" customHeight="1">
      <c r="A76" s="289">
        <f>IF(OR($E$4="",$J$4="",$E$4&gt;$J$4),"",IF(ROW()-11&lt;=$J$4-$E$4+1,$E$4+ROW()-12,""))</f>
        <v/>
      </c>
      <c r="B76" s="91">
        <f>IF($A76="","",$B$4)</f>
        <v/>
      </c>
      <c r="C76" s="91">
        <f>IF($A76="","",$N$4)</f>
        <v/>
      </c>
      <c r="D76" s="92">
        <f>IF($A76="","",IFERROR(IF(AND(OR($N$4="PREMONTAGEM",$N$4="IÇAMENTO JOIST",$N$4="VIGAS"),OR($B$4="GERAL",$B$4="EJ",$B$4="CMM")),IF($B$4="GERAL",N(INDEX('CONTROLE PRODUÇÃO POR EMPRESAS'!$B$6:$G$362,MATCH($A76,'CONTROLE PRODUÇÃO POR EMPRESAS'!$A$6:$A$362,0),MATCH($N$4,'CONTROLE PRODUÇÃO POR EMPRESAS'!$B$5:$D$5,0)))+N(INDEX('CONTROLE PRODUÇÃO POR EMPRESAS'!$B$6:$G$362,MATCH($A76,'CONTROLE PRODUÇÃO POR EMPRESAS'!$A$6:$A$362,0),MATCH($N$4,'CONTROLE PRODUÇÃO POR EMPRESAS'!$E$5:$G$5,0)+3)),N(INDEX('CONTROLE PRODUÇÃO POR EMPRESAS'!$B$6:$G$362,MATCH($A76,'CONTROLE PRODUÇÃO POR EMPRESAS'!$A$6:$A$362,0),IF($B$4="EJ",MATCH($N$4,'CONTROLE PRODUÇÃO POR EMPRESAS'!$B$5:$D$5,0),MATCH($N$4,'CONTROLE PRODUÇÃO POR EMPRESAS'!$E$5:$G$5,0)+3)))),IF($B$4="GERAL",N(INDEX('CONTROLE PRODUÇÃO POR EMPRESAS'!$A$6:$BW$362,MATCH($A76,'CONTROLE PRODUÇÃO POR EMPRESAS'!$A$6:$A$362,0),VLOOKUP($N$4,'METAS CLIENTE'!$A$5:$V$52,22,0))),IF(OR($AC$2=0,$AC$3=0),0,N(INDEX(CHOOSE($AC$2,'CONTROLE EJ'!$A$8:$Z$364,'CONTROLE CMM'!$A$8:$N$364,'CONTROLE GLOBO AÇOS'!$A$8:$Z$364,#REF!),MATCH($A76,'CONTROLE EJ'!$A$8:$A$364,0),$AC$3))))),0))</f>
        <v/>
      </c>
      <c r="AA76" s="287">
        <f>'CONTROLE PRODUÇÃO POR EMPRESAS'!A80</f>
        <v/>
      </c>
      <c r="AB76" s="78">
        <f>IF(A86="","",TEXT(A86,"dd/mm"))</f>
        <v/>
      </c>
    </row>
    <row r="77" ht="9.75" customHeight="1">
      <c r="A77" s="289">
        <f>IF(OR($E$4="",$J$4="",$E$4&gt;$J$4),"",IF(ROW()-11&lt;=$J$4-$E$4+1,$E$4+ROW()-12,""))</f>
        <v/>
      </c>
      <c r="B77" s="91">
        <f>IF($A77="","",$B$4)</f>
        <v/>
      </c>
      <c r="C77" s="91">
        <f>IF($A77="","",$N$4)</f>
        <v/>
      </c>
      <c r="D77" s="92">
        <f>IF($A77="","",IFERROR(IF(AND(OR($N$4="PREMONTAGEM",$N$4="IÇAMENTO JOIST",$N$4="VIGAS"),OR($B$4="GERAL",$B$4="EJ",$B$4="CMM")),IF($B$4="GERAL",N(INDEX('CONTROLE PRODUÇÃO POR EMPRESAS'!$B$6:$G$362,MATCH($A77,'CONTROLE PRODUÇÃO POR EMPRESAS'!$A$6:$A$362,0),MATCH($N$4,'CONTROLE PRODUÇÃO POR EMPRESAS'!$B$5:$D$5,0)))+N(INDEX('CONTROLE PRODUÇÃO POR EMPRESAS'!$B$6:$G$362,MATCH($A77,'CONTROLE PRODUÇÃO POR EMPRESAS'!$A$6:$A$362,0),MATCH($N$4,'CONTROLE PRODUÇÃO POR EMPRESAS'!$E$5:$G$5,0)+3)),N(INDEX('CONTROLE PRODUÇÃO POR EMPRESAS'!$B$6:$G$362,MATCH($A77,'CONTROLE PRODUÇÃO POR EMPRESAS'!$A$6:$A$362,0),IF($B$4="EJ",MATCH($N$4,'CONTROLE PRODUÇÃO POR EMPRESAS'!$B$5:$D$5,0),MATCH($N$4,'CONTROLE PRODUÇÃO POR EMPRESAS'!$E$5:$G$5,0)+3)))),IF($B$4="GERAL",N(INDEX('CONTROLE PRODUÇÃO POR EMPRESAS'!$A$6:$BW$362,MATCH($A77,'CONTROLE PRODUÇÃO POR EMPRESAS'!$A$6:$A$362,0),VLOOKUP($N$4,'METAS CLIENTE'!$A$5:$V$52,22,0))),IF(OR($AC$2=0,$AC$3=0),0,N(INDEX(CHOOSE($AC$2,'CONTROLE EJ'!$A$8:$Z$364,'CONTROLE CMM'!$A$8:$N$364,'CONTROLE GLOBO AÇOS'!$A$8:$Z$364,#REF!),MATCH($A77,'CONTROLE EJ'!$A$8:$A$364,0),$AC$3))))),0))</f>
        <v/>
      </c>
      <c r="AA77" s="287">
        <f>'CONTROLE PRODUÇÃO POR EMPRESAS'!A81</f>
        <v/>
      </c>
      <c r="AB77" s="78">
        <f>IF(A87="","",TEXT(A87,"dd/mm"))</f>
        <v/>
      </c>
    </row>
    <row r="78" ht="9.75" customHeight="1">
      <c r="A78" s="289">
        <f>IF(OR($E$4="",$J$4="",$E$4&gt;$J$4),"",IF(ROW()-11&lt;=$J$4-$E$4+1,$E$4+ROW()-12,""))</f>
        <v/>
      </c>
      <c r="B78" s="91">
        <f>IF($A78="","",$B$4)</f>
        <v/>
      </c>
      <c r="C78" s="91">
        <f>IF($A78="","",$N$4)</f>
        <v/>
      </c>
      <c r="D78" s="92">
        <f>IF($A78="","",IFERROR(IF(AND(OR($N$4="PREMONTAGEM",$N$4="IÇAMENTO JOIST",$N$4="VIGAS"),OR($B$4="GERAL",$B$4="EJ",$B$4="CMM")),IF($B$4="GERAL",N(INDEX('CONTROLE PRODUÇÃO POR EMPRESAS'!$B$6:$G$362,MATCH($A78,'CONTROLE PRODUÇÃO POR EMPRESAS'!$A$6:$A$362,0),MATCH($N$4,'CONTROLE PRODUÇÃO POR EMPRESAS'!$B$5:$D$5,0)))+N(INDEX('CONTROLE PRODUÇÃO POR EMPRESAS'!$B$6:$G$362,MATCH($A78,'CONTROLE PRODUÇÃO POR EMPRESAS'!$A$6:$A$362,0),MATCH($N$4,'CONTROLE PRODUÇÃO POR EMPRESAS'!$E$5:$G$5,0)+3)),N(INDEX('CONTROLE PRODUÇÃO POR EMPRESAS'!$B$6:$G$362,MATCH($A78,'CONTROLE PRODUÇÃO POR EMPRESAS'!$A$6:$A$362,0),IF($B$4="EJ",MATCH($N$4,'CONTROLE PRODUÇÃO POR EMPRESAS'!$B$5:$D$5,0),MATCH($N$4,'CONTROLE PRODUÇÃO POR EMPRESAS'!$E$5:$G$5,0)+3)))),IF($B$4="GERAL",N(INDEX('CONTROLE PRODUÇÃO POR EMPRESAS'!$A$6:$BW$362,MATCH($A78,'CONTROLE PRODUÇÃO POR EMPRESAS'!$A$6:$A$362,0),VLOOKUP($N$4,'METAS CLIENTE'!$A$5:$V$52,22,0))),IF(OR($AC$2=0,$AC$3=0),0,N(INDEX(CHOOSE($AC$2,'CONTROLE EJ'!$A$8:$Z$364,'CONTROLE CMM'!$A$8:$N$364,'CONTROLE GLOBO AÇOS'!$A$8:$Z$364,#REF!),MATCH($A78,'CONTROLE EJ'!$A$8:$A$364,0),$AC$3))))),0))</f>
        <v/>
      </c>
      <c r="AA78" s="287">
        <f>'CONTROLE PRODUÇÃO POR EMPRESAS'!A82</f>
        <v/>
      </c>
      <c r="AB78" s="78">
        <f>IF(A88="","",TEXT(A88,"dd/mm"))</f>
        <v/>
      </c>
    </row>
    <row r="79" ht="9.75" customHeight="1">
      <c r="A79" s="289">
        <f>IF(OR($E$4="",$J$4="",$E$4&gt;$J$4),"",IF(ROW()-11&lt;=$J$4-$E$4+1,$E$4+ROW()-12,""))</f>
        <v/>
      </c>
      <c r="B79" s="91">
        <f>IF($A79="","",$B$4)</f>
        <v/>
      </c>
      <c r="C79" s="91">
        <f>IF($A79="","",$N$4)</f>
        <v/>
      </c>
      <c r="D79" s="92">
        <f>IF($A79="","",IFERROR(IF(AND(OR($N$4="PREMONTAGEM",$N$4="IÇAMENTO JOIST",$N$4="VIGAS"),OR($B$4="GERAL",$B$4="EJ",$B$4="CMM")),IF($B$4="GERAL",N(INDEX('CONTROLE PRODUÇÃO POR EMPRESAS'!$B$6:$G$362,MATCH($A79,'CONTROLE PRODUÇÃO POR EMPRESAS'!$A$6:$A$362,0),MATCH($N$4,'CONTROLE PRODUÇÃO POR EMPRESAS'!$B$5:$D$5,0)))+N(INDEX('CONTROLE PRODUÇÃO POR EMPRESAS'!$B$6:$G$362,MATCH($A79,'CONTROLE PRODUÇÃO POR EMPRESAS'!$A$6:$A$362,0),MATCH($N$4,'CONTROLE PRODUÇÃO POR EMPRESAS'!$E$5:$G$5,0)+3)),N(INDEX('CONTROLE PRODUÇÃO POR EMPRESAS'!$B$6:$G$362,MATCH($A79,'CONTROLE PRODUÇÃO POR EMPRESAS'!$A$6:$A$362,0),IF($B$4="EJ",MATCH($N$4,'CONTROLE PRODUÇÃO POR EMPRESAS'!$B$5:$D$5,0),MATCH($N$4,'CONTROLE PRODUÇÃO POR EMPRESAS'!$E$5:$G$5,0)+3)))),IF($B$4="GERAL",N(INDEX('CONTROLE PRODUÇÃO POR EMPRESAS'!$A$6:$BW$362,MATCH($A79,'CONTROLE PRODUÇÃO POR EMPRESAS'!$A$6:$A$362,0),VLOOKUP($N$4,'METAS CLIENTE'!$A$5:$V$52,22,0))),IF(OR($AC$2=0,$AC$3=0),0,N(INDEX(CHOOSE($AC$2,'CONTROLE EJ'!$A$8:$Z$364,'CONTROLE CMM'!$A$8:$N$364,'CONTROLE GLOBO AÇOS'!$A$8:$Z$364,#REF!),MATCH($A79,'CONTROLE EJ'!$A$8:$A$364,0),$AC$3))))),0))</f>
        <v/>
      </c>
      <c r="AA79" s="287">
        <f>'CONTROLE PRODUÇÃO POR EMPRESAS'!A83</f>
        <v/>
      </c>
      <c r="AB79" s="78">
        <f>IF(A89="","",TEXT(A89,"dd/mm"))</f>
        <v/>
      </c>
    </row>
    <row r="80" ht="9.75" customHeight="1">
      <c r="A80" s="289">
        <f>IF(OR($E$4="",$J$4="",$E$4&gt;$J$4),"",IF(ROW()-11&lt;=$J$4-$E$4+1,$E$4+ROW()-12,""))</f>
        <v/>
      </c>
      <c r="B80" s="91">
        <f>IF($A80="","",$B$4)</f>
        <v/>
      </c>
      <c r="C80" s="91">
        <f>IF($A80="","",$N$4)</f>
        <v/>
      </c>
      <c r="D80" s="92">
        <f>IF($A80="","",IFERROR(IF(AND(OR($N$4="PREMONTAGEM",$N$4="IÇAMENTO JOIST",$N$4="VIGAS"),OR($B$4="GERAL",$B$4="EJ",$B$4="CMM")),IF($B$4="GERAL",N(INDEX('CONTROLE PRODUÇÃO POR EMPRESAS'!$B$6:$G$362,MATCH($A80,'CONTROLE PRODUÇÃO POR EMPRESAS'!$A$6:$A$362,0),MATCH($N$4,'CONTROLE PRODUÇÃO POR EMPRESAS'!$B$5:$D$5,0)))+N(INDEX('CONTROLE PRODUÇÃO POR EMPRESAS'!$B$6:$G$362,MATCH($A80,'CONTROLE PRODUÇÃO POR EMPRESAS'!$A$6:$A$362,0),MATCH($N$4,'CONTROLE PRODUÇÃO POR EMPRESAS'!$E$5:$G$5,0)+3)),N(INDEX('CONTROLE PRODUÇÃO POR EMPRESAS'!$B$6:$G$362,MATCH($A80,'CONTROLE PRODUÇÃO POR EMPRESAS'!$A$6:$A$362,0),IF($B$4="EJ",MATCH($N$4,'CONTROLE PRODUÇÃO POR EMPRESAS'!$B$5:$D$5,0),MATCH($N$4,'CONTROLE PRODUÇÃO POR EMPRESAS'!$E$5:$G$5,0)+3)))),IF($B$4="GERAL",N(INDEX('CONTROLE PRODUÇÃO POR EMPRESAS'!$A$6:$BW$362,MATCH($A80,'CONTROLE PRODUÇÃO POR EMPRESAS'!$A$6:$A$362,0),VLOOKUP($N$4,'METAS CLIENTE'!$A$5:$V$52,22,0))),IF(OR($AC$2=0,$AC$3=0),0,N(INDEX(CHOOSE($AC$2,'CONTROLE EJ'!$A$8:$Z$364,'CONTROLE CMM'!$A$8:$N$364,'CONTROLE GLOBO AÇOS'!$A$8:$Z$364,#REF!),MATCH($A80,'CONTROLE EJ'!$A$8:$A$364,0),$AC$3))))),0))</f>
        <v/>
      </c>
      <c r="AA80" s="287">
        <f>'CONTROLE PRODUÇÃO POR EMPRESAS'!A84</f>
        <v/>
      </c>
      <c r="AB80" s="78">
        <f>IF(A90="","",TEXT(A90,"dd/mm"))</f>
        <v/>
      </c>
    </row>
    <row r="81" ht="9.75" customHeight="1">
      <c r="A81" s="289">
        <f>IF(OR($E$4="",$J$4="",$E$4&gt;$J$4),"",IF(ROW()-11&lt;=$J$4-$E$4+1,$E$4+ROW()-12,""))</f>
        <v/>
      </c>
      <c r="B81" s="91">
        <f>IF($A81="","",$B$4)</f>
        <v/>
      </c>
      <c r="C81" s="91">
        <f>IF($A81="","",$N$4)</f>
        <v/>
      </c>
      <c r="D81" s="92">
        <f>IF($A81="","",IFERROR(IF(AND(OR($N$4="PREMONTAGEM",$N$4="IÇAMENTO JOIST",$N$4="VIGAS"),OR($B$4="GERAL",$B$4="EJ",$B$4="CMM")),IF($B$4="GERAL",N(INDEX('CONTROLE PRODUÇÃO POR EMPRESAS'!$B$6:$G$362,MATCH($A81,'CONTROLE PRODUÇÃO POR EMPRESAS'!$A$6:$A$362,0),MATCH($N$4,'CONTROLE PRODUÇÃO POR EMPRESAS'!$B$5:$D$5,0)))+N(INDEX('CONTROLE PRODUÇÃO POR EMPRESAS'!$B$6:$G$362,MATCH($A81,'CONTROLE PRODUÇÃO POR EMPRESAS'!$A$6:$A$362,0),MATCH($N$4,'CONTROLE PRODUÇÃO POR EMPRESAS'!$E$5:$G$5,0)+3)),N(INDEX('CONTROLE PRODUÇÃO POR EMPRESAS'!$B$6:$G$362,MATCH($A81,'CONTROLE PRODUÇÃO POR EMPRESAS'!$A$6:$A$362,0),IF($B$4="EJ",MATCH($N$4,'CONTROLE PRODUÇÃO POR EMPRESAS'!$B$5:$D$5,0),MATCH($N$4,'CONTROLE PRODUÇÃO POR EMPRESAS'!$E$5:$G$5,0)+3)))),IF($B$4="GERAL",N(INDEX('CONTROLE PRODUÇÃO POR EMPRESAS'!$A$6:$BW$362,MATCH($A81,'CONTROLE PRODUÇÃO POR EMPRESAS'!$A$6:$A$362,0),VLOOKUP($N$4,'METAS CLIENTE'!$A$5:$V$52,22,0))),IF(OR($AC$2=0,$AC$3=0),0,N(INDEX(CHOOSE($AC$2,'CONTROLE EJ'!$A$8:$Z$364,'CONTROLE CMM'!$A$8:$N$364,'CONTROLE GLOBO AÇOS'!$A$8:$Z$364,#REF!),MATCH($A81,'CONTROLE EJ'!$A$8:$A$364,0),$AC$3))))),0))</f>
        <v/>
      </c>
      <c r="AA81" s="287">
        <f>'CONTROLE PRODUÇÃO POR EMPRESAS'!A85</f>
        <v/>
      </c>
      <c r="AB81" s="78">
        <f>IF(A91="","",TEXT(A91,"dd/mm"))</f>
        <v/>
      </c>
    </row>
    <row r="82" ht="9.75" customHeight="1">
      <c r="A82" s="289">
        <f>IF(OR($E$4="",$J$4="",$E$4&gt;$J$4),"",IF(ROW()-11&lt;=$J$4-$E$4+1,$E$4+ROW()-12,""))</f>
        <v/>
      </c>
      <c r="B82" s="91">
        <f>IF($A82="","",$B$4)</f>
        <v/>
      </c>
      <c r="C82" s="91">
        <f>IF($A82="","",$N$4)</f>
        <v/>
      </c>
      <c r="D82" s="92">
        <f>IF($A82="","",IFERROR(IF(AND(OR($N$4="PREMONTAGEM",$N$4="IÇAMENTO JOIST",$N$4="VIGAS"),OR($B$4="GERAL",$B$4="EJ",$B$4="CMM")),IF($B$4="GERAL",N(INDEX('CONTROLE PRODUÇÃO POR EMPRESAS'!$B$6:$G$362,MATCH($A82,'CONTROLE PRODUÇÃO POR EMPRESAS'!$A$6:$A$362,0),MATCH($N$4,'CONTROLE PRODUÇÃO POR EMPRESAS'!$B$5:$D$5,0)))+N(INDEX('CONTROLE PRODUÇÃO POR EMPRESAS'!$B$6:$G$362,MATCH($A82,'CONTROLE PRODUÇÃO POR EMPRESAS'!$A$6:$A$362,0),MATCH($N$4,'CONTROLE PRODUÇÃO POR EMPRESAS'!$E$5:$G$5,0)+3)),N(INDEX('CONTROLE PRODUÇÃO POR EMPRESAS'!$B$6:$G$362,MATCH($A82,'CONTROLE PRODUÇÃO POR EMPRESAS'!$A$6:$A$362,0),IF($B$4="EJ",MATCH($N$4,'CONTROLE PRODUÇÃO POR EMPRESAS'!$B$5:$D$5,0),MATCH($N$4,'CONTROLE PRODUÇÃO POR EMPRESAS'!$E$5:$G$5,0)+3)))),IF($B$4="GERAL",N(INDEX('CONTROLE PRODUÇÃO POR EMPRESAS'!$A$6:$BW$362,MATCH($A82,'CONTROLE PRODUÇÃO POR EMPRESAS'!$A$6:$A$362,0),VLOOKUP($N$4,'METAS CLIENTE'!$A$5:$V$52,22,0))),IF(OR($AC$2=0,$AC$3=0),0,N(INDEX(CHOOSE($AC$2,'CONTROLE EJ'!$A$8:$Z$364,'CONTROLE CMM'!$A$8:$N$364,'CONTROLE GLOBO AÇOS'!$A$8:$Z$364,#REF!),MATCH($A82,'CONTROLE EJ'!$A$8:$A$364,0),$AC$3))))),0))</f>
        <v/>
      </c>
      <c r="AA82" s="287">
        <f>'CONTROLE PRODUÇÃO POR EMPRESAS'!A86</f>
        <v/>
      </c>
      <c r="AB82" s="78">
        <f>IF(A92="","",TEXT(A92,"dd/mm"))</f>
        <v/>
      </c>
    </row>
    <row r="83" ht="9.75" customHeight="1">
      <c r="A83" s="289">
        <f>IF(OR($E$4="",$J$4="",$E$4&gt;$J$4),"",IF(ROW()-11&lt;=$J$4-$E$4+1,$E$4+ROW()-12,""))</f>
        <v/>
      </c>
      <c r="B83" s="91">
        <f>IF($A83="","",$B$4)</f>
        <v/>
      </c>
      <c r="C83" s="91">
        <f>IF($A83="","",$N$4)</f>
        <v/>
      </c>
      <c r="D83" s="92">
        <f>IF($A83="","",IFERROR(IF(AND(OR($N$4="PREMONTAGEM",$N$4="IÇAMENTO JOIST",$N$4="VIGAS"),OR($B$4="GERAL",$B$4="EJ",$B$4="CMM")),IF($B$4="GERAL",N(INDEX('CONTROLE PRODUÇÃO POR EMPRESAS'!$B$6:$G$362,MATCH($A83,'CONTROLE PRODUÇÃO POR EMPRESAS'!$A$6:$A$362,0),MATCH($N$4,'CONTROLE PRODUÇÃO POR EMPRESAS'!$B$5:$D$5,0)))+N(INDEX('CONTROLE PRODUÇÃO POR EMPRESAS'!$B$6:$G$362,MATCH($A83,'CONTROLE PRODUÇÃO POR EMPRESAS'!$A$6:$A$362,0),MATCH($N$4,'CONTROLE PRODUÇÃO POR EMPRESAS'!$E$5:$G$5,0)+3)),N(INDEX('CONTROLE PRODUÇÃO POR EMPRESAS'!$B$6:$G$362,MATCH($A83,'CONTROLE PRODUÇÃO POR EMPRESAS'!$A$6:$A$362,0),IF($B$4="EJ",MATCH($N$4,'CONTROLE PRODUÇÃO POR EMPRESAS'!$B$5:$D$5,0),MATCH($N$4,'CONTROLE PRODUÇÃO POR EMPRESAS'!$E$5:$G$5,0)+3)))),IF($B$4="GERAL",N(INDEX('CONTROLE PRODUÇÃO POR EMPRESAS'!$A$6:$BW$362,MATCH($A83,'CONTROLE PRODUÇÃO POR EMPRESAS'!$A$6:$A$362,0),VLOOKUP($N$4,'METAS CLIENTE'!$A$5:$V$52,22,0))),IF(OR($AC$2=0,$AC$3=0),0,N(INDEX(CHOOSE($AC$2,'CONTROLE EJ'!$A$8:$Z$364,'CONTROLE CMM'!$A$8:$N$364,'CONTROLE GLOBO AÇOS'!$A$8:$Z$364,#REF!),MATCH($A83,'CONTROLE EJ'!$A$8:$A$364,0),$AC$3))))),0))</f>
        <v/>
      </c>
      <c r="AA83" s="287">
        <f>'CONTROLE PRODUÇÃO POR EMPRESAS'!A87</f>
        <v/>
      </c>
      <c r="AB83" s="78">
        <f>IF(A93="","",TEXT(A93,"dd/mm"))</f>
        <v/>
      </c>
    </row>
    <row r="84" ht="9.75" customHeight="1">
      <c r="A84" s="289">
        <f>IF(OR($E$4="",$J$4="",$E$4&gt;$J$4),"",IF(ROW()-11&lt;=$J$4-$E$4+1,$E$4+ROW()-12,""))</f>
        <v/>
      </c>
      <c r="B84" s="91">
        <f>IF($A84="","",$B$4)</f>
        <v/>
      </c>
      <c r="C84" s="91">
        <f>IF($A84="","",$N$4)</f>
        <v/>
      </c>
      <c r="D84" s="92">
        <f>IF($A84="","",IFERROR(IF(AND(OR($N$4="PREMONTAGEM",$N$4="IÇAMENTO JOIST",$N$4="VIGAS"),OR($B$4="GERAL",$B$4="EJ",$B$4="CMM")),IF($B$4="GERAL",N(INDEX('CONTROLE PRODUÇÃO POR EMPRESAS'!$B$6:$G$362,MATCH($A84,'CONTROLE PRODUÇÃO POR EMPRESAS'!$A$6:$A$362,0),MATCH($N$4,'CONTROLE PRODUÇÃO POR EMPRESAS'!$B$5:$D$5,0)))+N(INDEX('CONTROLE PRODUÇÃO POR EMPRESAS'!$B$6:$G$362,MATCH($A84,'CONTROLE PRODUÇÃO POR EMPRESAS'!$A$6:$A$362,0),MATCH($N$4,'CONTROLE PRODUÇÃO POR EMPRESAS'!$E$5:$G$5,0)+3)),N(INDEX('CONTROLE PRODUÇÃO POR EMPRESAS'!$B$6:$G$362,MATCH($A84,'CONTROLE PRODUÇÃO POR EMPRESAS'!$A$6:$A$362,0),IF($B$4="EJ",MATCH($N$4,'CONTROLE PRODUÇÃO POR EMPRESAS'!$B$5:$D$5,0),MATCH($N$4,'CONTROLE PRODUÇÃO POR EMPRESAS'!$E$5:$G$5,0)+3)))),IF($B$4="GERAL",N(INDEX('CONTROLE PRODUÇÃO POR EMPRESAS'!$A$6:$BW$362,MATCH($A84,'CONTROLE PRODUÇÃO POR EMPRESAS'!$A$6:$A$362,0),VLOOKUP($N$4,'METAS CLIENTE'!$A$5:$V$52,22,0))),IF(OR($AC$2=0,$AC$3=0),0,N(INDEX(CHOOSE($AC$2,'CONTROLE EJ'!$A$8:$Z$364,'CONTROLE CMM'!$A$8:$N$364,'CONTROLE GLOBO AÇOS'!$A$8:$Z$364,#REF!),MATCH($A84,'CONTROLE EJ'!$A$8:$A$364,0),$AC$3))))),0))</f>
        <v/>
      </c>
      <c r="AA84" s="287">
        <f>'CONTROLE PRODUÇÃO POR EMPRESAS'!A88</f>
        <v/>
      </c>
      <c r="AB84" s="78">
        <f>IF(A94="","",TEXT(A94,"dd/mm"))</f>
        <v/>
      </c>
    </row>
    <row r="85" ht="9.75" customHeight="1">
      <c r="A85" s="289">
        <f>IF(OR($E$4="",$J$4="",$E$4&gt;$J$4),"",IF(ROW()-11&lt;=$J$4-$E$4+1,$E$4+ROW()-12,""))</f>
        <v/>
      </c>
      <c r="B85" s="91">
        <f>IF($A85="","",$B$4)</f>
        <v/>
      </c>
      <c r="C85" s="91">
        <f>IF($A85="","",$N$4)</f>
        <v/>
      </c>
      <c r="D85" s="92">
        <f>IF($A85="","",IFERROR(IF(AND(OR($N$4="PREMONTAGEM",$N$4="IÇAMENTO JOIST",$N$4="VIGAS"),OR($B$4="GERAL",$B$4="EJ",$B$4="CMM")),IF($B$4="GERAL",N(INDEX('CONTROLE PRODUÇÃO POR EMPRESAS'!$B$6:$G$362,MATCH($A85,'CONTROLE PRODUÇÃO POR EMPRESAS'!$A$6:$A$362,0),MATCH($N$4,'CONTROLE PRODUÇÃO POR EMPRESAS'!$B$5:$D$5,0)))+N(INDEX('CONTROLE PRODUÇÃO POR EMPRESAS'!$B$6:$G$362,MATCH($A85,'CONTROLE PRODUÇÃO POR EMPRESAS'!$A$6:$A$362,0),MATCH($N$4,'CONTROLE PRODUÇÃO POR EMPRESAS'!$E$5:$G$5,0)+3)),N(INDEX('CONTROLE PRODUÇÃO POR EMPRESAS'!$B$6:$G$362,MATCH($A85,'CONTROLE PRODUÇÃO POR EMPRESAS'!$A$6:$A$362,0),IF($B$4="EJ",MATCH($N$4,'CONTROLE PRODUÇÃO POR EMPRESAS'!$B$5:$D$5,0),MATCH($N$4,'CONTROLE PRODUÇÃO POR EMPRESAS'!$E$5:$G$5,0)+3)))),IF($B$4="GERAL",N(INDEX('CONTROLE PRODUÇÃO POR EMPRESAS'!$A$6:$BW$362,MATCH($A85,'CONTROLE PRODUÇÃO POR EMPRESAS'!$A$6:$A$362,0),VLOOKUP($N$4,'METAS CLIENTE'!$A$5:$V$52,22,0))),IF(OR($AC$2=0,$AC$3=0),0,N(INDEX(CHOOSE($AC$2,'CONTROLE EJ'!$A$8:$Z$364,'CONTROLE CMM'!$A$8:$N$364,'CONTROLE GLOBO AÇOS'!$A$8:$Z$364,#REF!),MATCH($A85,'CONTROLE EJ'!$A$8:$A$364,0),$AC$3))))),0))</f>
        <v/>
      </c>
      <c r="AA85" s="287">
        <f>'CONTROLE PRODUÇÃO POR EMPRESAS'!A89</f>
        <v/>
      </c>
      <c r="AB85" s="78">
        <f>IF(A95="","",TEXT(A95,"dd/mm"))</f>
        <v/>
      </c>
    </row>
    <row r="86" ht="9.75" customHeight="1">
      <c r="A86" s="289">
        <f>IF(OR($E$4="",$J$4="",$E$4&gt;$J$4),"",IF(ROW()-11&lt;=$J$4-$E$4+1,$E$4+ROW()-12,""))</f>
        <v/>
      </c>
      <c r="B86" s="91">
        <f>IF($A86="","",$B$4)</f>
        <v/>
      </c>
      <c r="C86" s="91">
        <f>IF($A86="","",$N$4)</f>
        <v/>
      </c>
      <c r="D86" s="92">
        <f>IF($A86="","",IFERROR(IF(AND(OR($N$4="PREMONTAGEM",$N$4="IÇAMENTO JOIST",$N$4="VIGAS"),OR($B$4="GERAL",$B$4="EJ",$B$4="CMM")),IF($B$4="GERAL",N(INDEX('CONTROLE PRODUÇÃO POR EMPRESAS'!$B$6:$G$362,MATCH($A86,'CONTROLE PRODUÇÃO POR EMPRESAS'!$A$6:$A$362,0),MATCH($N$4,'CONTROLE PRODUÇÃO POR EMPRESAS'!$B$5:$D$5,0)))+N(INDEX('CONTROLE PRODUÇÃO POR EMPRESAS'!$B$6:$G$362,MATCH($A86,'CONTROLE PRODUÇÃO POR EMPRESAS'!$A$6:$A$362,0),MATCH($N$4,'CONTROLE PRODUÇÃO POR EMPRESAS'!$E$5:$G$5,0)+3)),N(INDEX('CONTROLE PRODUÇÃO POR EMPRESAS'!$B$6:$G$362,MATCH($A86,'CONTROLE PRODUÇÃO POR EMPRESAS'!$A$6:$A$362,0),IF($B$4="EJ",MATCH($N$4,'CONTROLE PRODUÇÃO POR EMPRESAS'!$B$5:$D$5,0),MATCH($N$4,'CONTROLE PRODUÇÃO POR EMPRESAS'!$E$5:$G$5,0)+3)))),IF($B$4="GERAL",N(INDEX('CONTROLE PRODUÇÃO POR EMPRESAS'!$A$6:$BW$362,MATCH($A86,'CONTROLE PRODUÇÃO POR EMPRESAS'!$A$6:$A$362,0),VLOOKUP($N$4,'METAS CLIENTE'!$A$5:$V$52,22,0))),IF(OR($AC$2=0,$AC$3=0),0,N(INDEX(CHOOSE($AC$2,'CONTROLE EJ'!$A$8:$Z$364,'CONTROLE CMM'!$A$8:$N$364,'CONTROLE GLOBO AÇOS'!$A$8:$Z$364,#REF!),MATCH($A86,'CONTROLE EJ'!$A$8:$A$364,0),$AC$3))))),0))</f>
        <v/>
      </c>
      <c r="AA86" s="287">
        <f>'CONTROLE PRODUÇÃO POR EMPRESAS'!A90</f>
        <v/>
      </c>
      <c r="AB86" s="78">
        <f>IF(A96="","",TEXT(A96,"dd/mm"))</f>
        <v/>
      </c>
    </row>
    <row r="87" ht="9.75" customHeight="1">
      <c r="A87" s="289">
        <f>IF(OR($E$4="",$J$4="",$E$4&gt;$J$4),"",IF(ROW()-11&lt;=$J$4-$E$4+1,$E$4+ROW()-12,""))</f>
        <v/>
      </c>
      <c r="B87" s="91">
        <f>IF($A87="","",$B$4)</f>
        <v/>
      </c>
      <c r="C87" s="91">
        <f>IF($A87="","",$N$4)</f>
        <v/>
      </c>
      <c r="D87" s="92">
        <f>IF($A87="","",IFERROR(IF(AND(OR($N$4="PREMONTAGEM",$N$4="IÇAMENTO JOIST",$N$4="VIGAS"),OR($B$4="GERAL",$B$4="EJ",$B$4="CMM")),IF($B$4="GERAL",N(INDEX('CONTROLE PRODUÇÃO POR EMPRESAS'!$B$6:$G$362,MATCH($A87,'CONTROLE PRODUÇÃO POR EMPRESAS'!$A$6:$A$362,0),MATCH($N$4,'CONTROLE PRODUÇÃO POR EMPRESAS'!$B$5:$D$5,0)))+N(INDEX('CONTROLE PRODUÇÃO POR EMPRESAS'!$B$6:$G$362,MATCH($A87,'CONTROLE PRODUÇÃO POR EMPRESAS'!$A$6:$A$362,0),MATCH($N$4,'CONTROLE PRODUÇÃO POR EMPRESAS'!$E$5:$G$5,0)+3)),N(INDEX('CONTROLE PRODUÇÃO POR EMPRESAS'!$B$6:$G$362,MATCH($A87,'CONTROLE PRODUÇÃO POR EMPRESAS'!$A$6:$A$362,0),IF($B$4="EJ",MATCH($N$4,'CONTROLE PRODUÇÃO POR EMPRESAS'!$B$5:$D$5,0),MATCH($N$4,'CONTROLE PRODUÇÃO POR EMPRESAS'!$E$5:$G$5,0)+3)))),IF($B$4="GERAL",N(INDEX('CONTROLE PRODUÇÃO POR EMPRESAS'!$A$6:$BW$362,MATCH($A87,'CONTROLE PRODUÇÃO POR EMPRESAS'!$A$6:$A$362,0),VLOOKUP($N$4,'METAS CLIENTE'!$A$5:$V$52,22,0))),IF(OR($AC$2=0,$AC$3=0),0,N(INDEX(CHOOSE($AC$2,'CONTROLE EJ'!$A$8:$Z$364,'CONTROLE CMM'!$A$8:$N$364,'CONTROLE GLOBO AÇOS'!$A$8:$Z$364,#REF!),MATCH($A87,'CONTROLE EJ'!$A$8:$A$364,0),$AC$3))))),0))</f>
        <v/>
      </c>
      <c r="AA87" s="287">
        <f>'CONTROLE PRODUÇÃO POR EMPRESAS'!A91</f>
        <v/>
      </c>
      <c r="AB87" s="78">
        <f>IF(A97="","",TEXT(A97,"dd/mm"))</f>
        <v/>
      </c>
    </row>
    <row r="88" ht="9.75" customHeight="1">
      <c r="A88" s="289">
        <f>IF(OR($E$4="",$J$4="",$E$4&gt;$J$4),"",IF(ROW()-11&lt;=$J$4-$E$4+1,$E$4+ROW()-12,""))</f>
        <v/>
      </c>
      <c r="B88" s="91">
        <f>IF($A88="","",$B$4)</f>
        <v/>
      </c>
      <c r="C88" s="91">
        <f>IF($A88="","",$N$4)</f>
        <v/>
      </c>
      <c r="D88" s="92">
        <f>IF($A88="","",IFERROR(IF(AND(OR($N$4="PREMONTAGEM",$N$4="IÇAMENTO JOIST",$N$4="VIGAS"),OR($B$4="GERAL",$B$4="EJ",$B$4="CMM")),IF($B$4="GERAL",N(INDEX('CONTROLE PRODUÇÃO POR EMPRESAS'!$B$6:$G$362,MATCH($A88,'CONTROLE PRODUÇÃO POR EMPRESAS'!$A$6:$A$362,0),MATCH($N$4,'CONTROLE PRODUÇÃO POR EMPRESAS'!$B$5:$D$5,0)))+N(INDEX('CONTROLE PRODUÇÃO POR EMPRESAS'!$B$6:$G$362,MATCH($A88,'CONTROLE PRODUÇÃO POR EMPRESAS'!$A$6:$A$362,0),MATCH($N$4,'CONTROLE PRODUÇÃO POR EMPRESAS'!$E$5:$G$5,0)+3)),N(INDEX('CONTROLE PRODUÇÃO POR EMPRESAS'!$B$6:$G$362,MATCH($A88,'CONTROLE PRODUÇÃO POR EMPRESAS'!$A$6:$A$362,0),IF($B$4="EJ",MATCH($N$4,'CONTROLE PRODUÇÃO POR EMPRESAS'!$B$5:$D$5,0),MATCH($N$4,'CONTROLE PRODUÇÃO POR EMPRESAS'!$E$5:$G$5,0)+3)))),IF($B$4="GERAL",N(INDEX('CONTROLE PRODUÇÃO POR EMPRESAS'!$A$6:$BW$362,MATCH($A88,'CONTROLE PRODUÇÃO POR EMPRESAS'!$A$6:$A$362,0),VLOOKUP($N$4,'METAS CLIENTE'!$A$5:$V$52,22,0))),IF(OR($AC$2=0,$AC$3=0),0,N(INDEX(CHOOSE($AC$2,'CONTROLE EJ'!$A$8:$Z$364,'CONTROLE CMM'!$A$8:$N$364,'CONTROLE GLOBO AÇOS'!$A$8:$Z$364,#REF!),MATCH($A88,'CONTROLE EJ'!$A$8:$A$364,0),$AC$3))))),0))</f>
        <v/>
      </c>
      <c r="AA88" s="287">
        <f>'CONTROLE PRODUÇÃO POR EMPRESAS'!A92</f>
        <v/>
      </c>
      <c r="AB88" s="78">
        <f>IF(A98="","",TEXT(A98,"dd/mm"))</f>
        <v/>
      </c>
    </row>
    <row r="89" ht="9.75" customHeight="1">
      <c r="A89" s="289">
        <f>IF(OR($E$4="",$J$4="",$E$4&gt;$J$4),"",IF(ROW()-11&lt;=$J$4-$E$4+1,$E$4+ROW()-12,""))</f>
        <v/>
      </c>
      <c r="B89" s="91">
        <f>IF($A89="","",$B$4)</f>
        <v/>
      </c>
      <c r="C89" s="91">
        <f>IF($A89="","",$N$4)</f>
        <v/>
      </c>
      <c r="D89" s="92">
        <f>IF($A89="","",IFERROR(IF(AND(OR($N$4="PREMONTAGEM",$N$4="IÇAMENTO JOIST",$N$4="VIGAS"),OR($B$4="GERAL",$B$4="EJ",$B$4="CMM")),IF($B$4="GERAL",N(INDEX('CONTROLE PRODUÇÃO POR EMPRESAS'!$B$6:$G$362,MATCH($A89,'CONTROLE PRODUÇÃO POR EMPRESAS'!$A$6:$A$362,0),MATCH($N$4,'CONTROLE PRODUÇÃO POR EMPRESAS'!$B$5:$D$5,0)))+N(INDEX('CONTROLE PRODUÇÃO POR EMPRESAS'!$B$6:$G$362,MATCH($A89,'CONTROLE PRODUÇÃO POR EMPRESAS'!$A$6:$A$362,0),MATCH($N$4,'CONTROLE PRODUÇÃO POR EMPRESAS'!$E$5:$G$5,0)+3)),N(INDEX('CONTROLE PRODUÇÃO POR EMPRESAS'!$B$6:$G$362,MATCH($A89,'CONTROLE PRODUÇÃO POR EMPRESAS'!$A$6:$A$362,0),IF($B$4="EJ",MATCH($N$4,'CONTROLE PRODUÇÃO POR EMPRESAS'!$B$5:$D$5,0),MATCH($N$4,'CONTROLE PRODUÇÃO POR EMPRESAS'!$E$5:$G$5,0)+3)))),IF($B$4="GERAL",N(INDEX('CONTROLE PRODUÇÃO POR EMPRESAS'!$A$6:$BW$362,MATCH($A89,'CONTROLE PRODUÇÃO POR EMPRESAS'!$A$6:$A$362,0),VLOOKUP($N$4,'METAS CLIENTE'!$A$5:$V$52,22,0))),IF(OR($AC$2=0,$AC$3=0),0,N(INDEX(CHOOSE($AC$2,'CONTROLE EJ'!$A$8:$Z$364,'CONTROLE CMM'!$A$8:$N$364,'CONTROLE GLOBO AÇOS'!$A$8:$Z$364,#REF!),MATCH($A89,'CONTROLE EJ'!$A$8:$A$364,0),$AC$3))))),0))</f>
        <v/>
      </c>
      <c r="AA89" s="287">
        <f>'CONTROLE PRODUÇÃO POR EMPRESAS'!A93</f>
        <v/>
      </c>
      <c r="AB89" s="78">
        <f>IF(A99="","",TEXT(A99,"dd/mm"))</f>
        <v/>
      </c>
    </row>
    <row r="90" ht="9.75" customHeight="1">
      <c r="A90" s="289">
        <f>IF(OR($E$4="",$J$4="",$E$4&gt;$J$4),"",IF(ROW()-11&lt;=$J$4-$E$4+1,$E$4+ROW()-12,""))</f>
        <v/>
      </c>
      <c r="B90" s="91">
        <f>IF($A90="","",$B$4)</f>
        <v/>
      </c>
      <c r="C90" s="91">
        <f>IF($A90="","",$N$4)</f>
        <v/>
      </c>
      <c r="D90" s="92">
        <f>IF($A90="","",IFERROR(IF(AND(OR($N$4="PREMONTAGEM",$N$4="IÇAMENTO JOIST",$N$4="VIGAS"),OR($B$4="GERAL",$B$4="EJ",$B$4="CMM")),IF($B$4="GERAL",N(INDEX('CONTROLE PRODUÇÃO POR EMPRESAS'!$B$6:$G$362,MATCH($A90,'CONTROLE PRODUÇÃO POR EMPRESAS'!$A$6:$A$362,0),MATCH($N$4,'CONTROLE PRODUÇÃO POR EMPRESAS'!$B$5:$D$5,0)))+N(INDEX('CONTROLE PRODUÇÃO POR EMPRESAS'!$B$6:$G$362,MATCH($A90,'CONTROLE PRODUÇÃO POR EMPRESAS'!$A$6:$A$362,0),MATCH($N$4,'CONTROLE PRODUÇÃO POR EMPRESAS'!$E$5:$G$5,0)+3)),N(INDEX('CONTROLE PRODUÇÃO POR EMPRESAS'!$B$6:$G$362,MATCH($A90,'CONTROLE PRODUÇÃO POR EMPRESAS'!$A$6:$A$362,0),IF($B$4="EJ",MATCH($N$4,'CONTROLE PRODUÇÃO POR EMPRESAS'!$B$5:$D$5,0),MATCH($N$4,'CONTROLE PRODUÇÃO POR EMPRESAS'!$E$5:$G$5,0)+3)))),IF($B$4="GERAL",N(INDEX('CONTROLE PRODUÇÃO POR EMPRESAS'!$A$6:$BW$362,MATCH($A90,'CONTROLE PRODUÇÃO POR EMPRESAS'!$A$6:$A$362,0),VLOOKUP($N$4,'METAS CLIENTE'!$A$5:$V$52,22,0))),IF(OR($AC$2=0,$AC$3=0),0,N(INDEX(CHOOSE($AC$2,'CONTROLE EJ'!$A$8:$Z$364,'CONTROLE CMM'!$A$8:$N$364,'CONTROLE GLOBO AÇOS'!$A$8:$Z$364,#REF!),MATCH($A90,'CONTROLE EJ'!$A$8:$A$364,0),$AC$3))))),0))</f>
        <v/>
      </c>
      <c r="AA90" s="287">
        <f>'CONTROLE PRODUÇÃO POR EMPRESAS'!A94</f>
        <v/>
      </c>
      <c r="AB90" s="78">
        <f>IF(A100="","",TEXT(A100,"dd/mm"))</f>
        <v/>
      </c>
    </row>
    <row r="91" ht="9.75" customHeight="1">
      <c r="A91" s="289">
        <f>IF(OR($E$4="",$J$4="",$E$4&gt;$J$4),"",IF(ROW()-11&lt;=$J$4-$E$4+1,$E$4+ROW()-12,""))</f>
        <v/>
      </c>
      <c r="B91" s="91">
        <f>IF($A91="","",$B$4)</f>
        <v/>
      </c>
      <c r="C91" s="91">
        <f>IF($A91="","",$N$4)</f>
        <v/>
      </c>
      <c r="D91" s="92">
        <f>IF($A91="","",IFERROR(IF(AND(OR($N$4="PREMONTAGEM",$N$4="IÇAMENTO JOIST",$N$4="VIGAS"),OR($B$4="GERAL",$B$4="EJ",$B$4="CMM")),IF($B$4="GERAL",N(INDEX('CONTROLE PRODUÇÃO POR EMPRESAS'!$B$6:$G$362,MATCH($A91,'CONTROLE PRODUÇÃO POR EMPRESAS'!$A$6:$A$362,0),MATCH($N$4,'CONTROLE PRODUÇÃO POR EMPRESAS'!$B$5:$D$5,0)))+N(INDEX('CONTROLE PRODUÇÃO POR EMPRESAS'!$B$6:$G$362,MATCH($A91,'CONTROLE PRODUÇÃO POR EMPRESAS'!$A$6:$A$362,0),MATCH($N$4,'CONTROLE PRODUÇÃO POR EMPRESAS'!$E$5:$G$5,0)+3)),N(INDEX('CONTROLE PRODUÇÃO POR EMPRESAS'!$B$6:$G$362,MATCH($A91,'CONTROLE PRODUÇÃO POR EMPRESAS'!$A$6:$A$362,0),IF($B$4="EJ",MATCH($N$4,'CONTROLE PRODUÇÃO POR EMPRESAS'!$B$5:$D$5,0),MATCH($N$4,'CONTROLE PRODUÇÃO POR EMPRESAS'!$E$5:$G$5,0)+3)))),IF($B$4="GERAL",N(INDEX('CONTROLE PRODUÇÃO POR EMPRESAS'!$A$6:$BW$362,MATCH($A91,'CONTROLE PRODUÇÃO POR EMPRESAS'!$A$6:$A$362,0),VLOOKUP($N$4,'METAS CLIENTE'!$A$5:$V$52,22,0))),IF(OR($AC$2=0,$AC$3=0),0,N(INDEX(CHOOSE($AC$2,'CONTROLE EJ'!$A$8:$Z$364,'CONTROLE CMM'!$A$8:$N$364,'CONTROLE GLOBO AÇOS'!$A$8:$Z$364,#REF!),MATCH($A91,'CONTROLE EJ'!$A$8:$A$364,0),$AC$3))))),0))</f>
        <v/>
      </c>
      <c r="AA91" s="287">
        <f>'CONTROLE PRODUÇÃO POR EMPRESAS'!A95</f>
        <v/>
      </c>
      <c r="AB91" s="78">
        <f>IF(A101="","",TEXT(A101,"dd/mm"))</f>
        <v/>
      </c>
    </row>
    <row r="92" ht="9.75" customHeight="1">
      <c r="A92" s="289">
        <f>IF(OR($E$4="",$J$4="",$E$4&gt;$J$4),"",IF(ROW()-11&lt;=$J$4-$E$4+1,$E$4+ROW()-12,""))</f>
        <v/>
      </c>
      <c r="B92" s="91">
        <f>IF($A92="","",$B$4)</f>
        <v/>
      </c>
      <c r="C92" s="91">
        <f>IF($A92="","",$N$4)</f>
        <v/>
      </c>
      <c r="D92" s="92">
        <f>IF($A92="","",IFERROR(IF(AND(OR($N$4="PREMONTAGEM",$N$4="IÇAMENTO JOIST",$N$4="VIGAS"),OR($B$4="GERAL",$B$4="EJ",$B$4="CMM")),IF($B$4="GERAL",N(INDEX('CONTROLE PRODUÇÃO POR EMPRESAS'!$B$6:$G$362,MATCH($A92,'CONTROLE PRODUÇÃO POR EMPRESAS'!$A$6:$A$362,0),MATCH($N$4,'CONTROLE PRODUÇÃO POR EMPRESAS'!$B$5:$D$5,0)))+N(INDEX('CONTROLE PRODUÇÃO POR EMPRESAS'!$B$6:$G$362,MATCH($A92,'CONTROLE PRODUÇÃO POR EMPRESAS'!$A$6:$A$362,0),MATCH($N$4,'CONTROLE PRODUÇÃO POR EMPRESAS'!$E$5:$G$5,0)+3)),N(INDEX('CONTROLE PRODUÇÃO POR EMPRESAS'!$B$6:$G$362,MATCH($A92,'CONTROLE PRODUÇÃO POR EMPRESAS'!$A$6:$A$362,0),IF($B$4="EJ",MATCH($N$4,'CONTROLE PRODUÇÃO POR EMPRESAS'!$B$5:$D$5,0),MATCH($N$4,'CONTROLE PRODUÇÃO POR EMPRESAS'!$E$5:$G$5,0)+3)))),IF($B$4="GERAL",N(INDEX('CONTROLE PRODUÇÃO POR EMPRESAS'!$A$6:$BW$362,MATCH($A92,'CONTROLE PRODUÇÃO POR EMPRESAS'!$A$6:$A$362,0),VLOOKUP($N$4,'METAS CLIENTE'!$A$5:$V$52,22,0))),IF(OR($AC$2=0,$AC$3=0),0,N(INDEX(CHOOSE($AC$2,'CONTROLE EJ'!$A$8:$Z$364,'CONTROLE CMM'!$A$8:$N$364,'CONTROLE GLOBO AÇOS'!$A$8:$Z$364,#REF!),MATCH($A92,'CONTROLE EJ'!$A$8:$A$364,0),$AC$3))))),0))</f>
        <v/>
      </c>
      <c r="AA92" s="287">
        <f>'CONTROLE PRODUÇÃO POR EMPRESAS'!A96</f>
        <v/>
      </c>
      <c r="AB92" s="78">
        <f>IF(A102="","",TEXT(A102,"dd/mm"))</f>
        <v/>
      </c>
    </row>
    <row r="93" ht="9.75" customHeight="1">
      <c r="A93" s="289">
        <f>IF(OR($E$4="",$J$4="",$E$4&gt;$J$4),"",IF(ROW()-11&lt;=$J$4-$E$4+1,$E$4+ROW()-12,""))</f>
        <v/>
      </c>
      <c r="B93" s="91">
        <f>IF($A93="","",$B$4)</f>
        <v/>
      </c>
      <c r="C93" s="91">
        <f>IF($A93="","",$N$4)</f>
        <v/>
      </c>
      <c r="D93" s="92">
        <f>IF($A93="","",IFERROR(IF(AND(OR($N$4="PREMONTAGEM",$N$4="IÇAMENTO JOIST",$N$4="VIGAS"),OR($B$4="GERAL",$B$4="EJ",$B$4="CMM")),IF($B$4="GERAL",N(INDEX('CONTROLE PRODUÇÃO POR EMPRESAS'!$B$6:$G$362,MATCH($A93,'CONTROLE PRODUÇÃO POR EMPRESAS'!$A$6:$A$362,0),MATCH($N$4,'CONTROLE PRODUÇÃO POR EMPRESAS'!$B$5:$D$5,0)))+N(INDEX('CONTROLE PRODUÇÃO POR EMPRESAS'!$B$6:$G$362,MATCH($A93,'CONTROLE PRODUÇÃO POR EMPRESAS'!$A$6:$A$362,0),MATCH($N$4,'CONTROLE PRODUÇÃO POR EMPRESAS'!$E$5:$G$5,0)+3)),N(INDEX('CONTROLE PRODUÇÃO POR EMPRESAS'!$B$6:$G$362,MATCH($A93,'CONTROLE PRODUÇÃO POR EMPRESAS'!$A$6:$A$362,0),IF($B$4="EJ",MATCH($N$4,'CONTROLE PRODUÇÃO POR EMPRESAS'!$B$5:$D$5,0),MATCH($N$4,'CONTROLE PRODUÇÃO POR EMPRESAS'!$E$5:$G$5,0)+3)))),IF($B$4="GERAL",N(INDEX('CONTROLE PRODUÇÃO POR EMPRESAS'!$A$6:$BW$362,MATCH($A93,'CONTROLE PRODUÇÃO POR EMPRESAS'!$A$6:$A$362,0),VLOOKUP($N$4,'METAS CLIENTE'!$A$5:$V$52,22,0))),IF(OR($AC$2=0,$AC$3=0),0,N(INDEX(CHOOSE($AC$2,'CONTROLE EJ'!$A$8:$Z$364,'CONTROLE CMM'!$A$8:$N$364,'CONTROLE GLOBO AÇOS'!$A$8:$Z$364,#REF!),MATCH($A93,'CONTROLE EJ'!$A$8:$A$364,0),$AC$3))))),0))</f>
        <v/>
      </c>
      <c r="AA93" s="287">
        <f>'CONTROLE PRODUÇÃO POR EMPRESAS'!A97</f>
        <v/>
      </c>
      <c r="AB93" s="78">
        <f>IF(A103="","",TEXT(A103,"dd/mm"))</f>
        <v/>
      </c>
    </row>
    <row r="94" ht="9.75" customHeight="1">
      <c r="A94" s="289">
        <f>IF(OR($E$4="",$J$4="",$E$4&gt;$J$4),"",IF(ROW()-11&lt;=$J$4-$E$4+1,$E$4+ROW()-12,""))</f>
        <v/>
      </c>
      <c r="B94" s="91">
        <f>IF($A94="","",$B$4)</f>
        <v/>
      </c>
      <c r="C94" s="91">
        <f>IF($A94="","",$N$4)</f>
        <v/>
      </c>
      <c r="D94" s="92">
        <f>IF($A94="","",IFERROR(IF(AND(OR($N$4="PREMONTAGEM",$N$4="IÇAMENTO JOIST",$N$4="VIGAS"),OR($B$4="GERAL",$B$4="EJ",$B$4="CMM")),IF($B$4="GERAL",N(INDEX('CONTROLE PRODUÇÃO POR EMPRESAS'!$B$6:$G$362,MATCH($A94,'CONTROLE PRODUÇÃO POR EMPRESAS'!$A$6:$A$362,0),MATCH($N$4,'CONTROLE PRODUÇÃO POR EMPRESAS'!$B$5:$D$5,0)))+N(INDEX('CONTROLE PRODUÇÃO POR EMPRESAS'!$B$6:$G$362,MATCH($A94,'CONTROLE PRODUÇÃO POR EMPRESAS'!$A$6:$A$362,0),MATCH($N$4,'CONTROLE PRODUÇÃO POR EMPRESAS'!$E$5:$G$5,0)+3)),N(INDEX('CONTROLE PRODUÇÃO POR EMPRESAS'!$B$6:$G$362,MATCH($A94,'CONTROLE PRODUÇÃO POR EMPRESAS'!$A$6:$A$362,0),IF($B$4="EJ",MATCH($N$4,'CONTROLE PRODUÇÃO POR EMPRESAS'!$B$5:$D$5,0),MATCH($N$4,'CONTROLE PRODUÇÃO POR EMPRESAS'!$E$5:$G$5,0)+3)))),IF($B$4="GERAL",N(INDEX('CONTROLE PRODUÇÃO POR EMPRESAS'!$A$6:$BW$362,MATCH($A94,'CONTROLE PRODUÇÃO POR EMPRESAS'!$A$6:$A$362,0),VLOOKUP($N$4,'METAS CLIENTE'!$A$5:$V$52,22,0))),IF(OR($AC$2=0,$AC$3=0),0,N(INDEX(CHOOSE($AC$2,'CONTROLE EJ'!$A$8:$Z$364,'CONTROLE CMM'!$A$8:$N$364,'CONTROLE GLOBO AÇOS'!$A$8:$Z$364,#REF!),MATCH($A94,'CONTROLE EJ'!$A$8:$A$364,0),$AC$3))))),0))</f>
        <v/>
      </c>
      <c r="AA94" s="287">
        <f>'CONTROLE PRODUÇÃO POR EMPRESAS'!A98</f>
        <v/>
      </c>
      <c r="AB94" s="78">
        <f>IF(A104="","",TEXT(A104,"dd/mm"))</f>
        <v/>
      </c>
    </row>
    <row r="95" ht="9.75" customHeight="1">
      <c r="A95" s="289">
        <f>IF(OR($E$4="",$J$4="",$E$4&gt;$J$4),"",IF(ROW()-11&lt;=$J$4-$E$4+1,$E$4+ROW()-12,""))</f>
        <v/>
      </c>
      <c r="B95" s="91">
        <f>IF($A95="","",$B$4)</f>
        <v/>
      </c>
      <c r="C95" s="91">
        <f>IF($A95="","",$N$4)</f>
        <v/>
      </c>
      <c r="D95" s="92">
        <f>IF($A95="","",IFERROR(IF(AND(OR($N$4="PREMONTAGEM",$N$4="IÇAMENTO JOIST",$N$4="VIGAS"),OR($B$4="GERAL",$B$4="EJ",$B$4="CMM")),IF($B$4="GERAL",N(INDEX('CONTROLE PRODUÇÃO POR EMPRESAS'!$B$6:$G$362,MATCH($A95,'CONTROLE PRODUÇÃO POR EMPRESAS'!$A$6:$A$362,0),MATCH($N$4,'CONTROLE PRODUÇÃO POR EMPRESAS'!$B$5:$D$5,0)))+N(INDEX('CONTROLE PRODUÇÃO POR EMPRESAS'!$B$6:$G$362,MATCH($A95,'CONTROLE PRODUÇÃO POR EMPRESAS'!$A$6:$A$362,0),MATCH($N$4,'CONTROLE PRODUÇÃO POR EMPRESAS'!$E$5:$G$5,0)+3)),N(INDEX('CONTROLE PRODUÇÃO POR EMPRESAS'!$B$6:$G$362,MATCH($A95,'CONTROLE PRODUÇÃO POR EMPRESAS'!$A$6:$A$362,0),IF($B$4="EJ",MATCH($N$4,'CONTROLE PRODUÇÃO POR EMPRESAS'!$B$5:$D$5,0),MATCH($N$4,'CONTROLE PRODUÇÃO POR EMPRESAS'!$E$5:$G$5,0)+3)))),IF($B$4="GERAL",N(INDEX('CONTROLE PRODUÇÃO POR EMPRESAS'!$A$6:$BW$362,MATCH($A95,'CONTROLE PRODUÇÃO POR EMPRESAS'!$A$6:$A$362,0),VLOOKUP($N$4,'METAS CLIENTE'!$A$5:$V$52,22,0))),IF(OR($AC$2=0,$AC$3=0),0,N(INDEX(CHOOSE($AC$2,'CONTROLE EJ'!$A$8:$Z$364,'CONTROLE CMM'!$A$8:$N$364,'CONTROLE GLOBO AÇOS'!$A$8:$Z$364,#REF!),MATCH($A95,'CONTROLE EJ'!$A$8:$A$364,0),$AC$3))))),0))</f>
        <v/>
      </c>
      <c r="AA95" s="287">
        <f>'CONTROLE PRODUÇÃO POR EMPRESAS'!A99</f>
        <v/>
      </c>
      <c r="AB95" s="78">
        <f>IF(A105="","",TEXT(A105,"dd/mm"))</f>
        <v/>
      </c>
    </row>
    <row r="96" ht="9.75" customHeight="1">
      <c r="A96" s="289">
        <f>IF(OR($E$4="",$J$4="",$E$4&gt;$J$4),"",IF(ROW()-11&lt;=$J$4-$E$4+1,$E$4+ROW()-12,""))</f>
        <v/>
      </c>
      <c r="B96" s="91">
        <f>IF($A96="","",$B$4)</f>
        <v/>
      </c>
      <c r="C96" s="91">
        <f>IF($A96="","",$N$4)</f>
        <v/>
      </c>
      <c r="D96" s="92">
        <f>IF($A96="","",IFERROR(IF(AND(OR($N$4="PREMONTAGEM",$N$4="IÇAMENTO JOIST",$N$4="VIGAS"),OR($B$4="GERAL",$B$4="EJ",$B$4="CMM")),IF($B$4="GERAL",N(INDEX('CONTROLE PRODUÇÃO POR EMPRESAS'!$B$6:$G$362,MATCH($A96,'CONTROLE PRODUÇÃO POR EMPRESAS'!$A$6:$A$362,0),MATCH($N$4,'CONTROLE PRODUÇÃO POR EMPRESAS'!$B$5:$D$5,0)))+N(INDEX('CONTROLE PRODUÇÃO POR EMPRESAS'!$B$6:$G$362,MATCH($A96,'CONTROLE PRODUÇÃO POR EMPRESAS'!$A$6:$A$362,0),MATCH($N$4,'CONTROLE PRODUÇÃO POR EMPRESAS'!$E$5:$G$5,0)+3)),N(INDEX('CONTROLE PRODUÇÃO POR EMPRESAS'!$B$6:$G$362,MATCH($A96,'CONTROLE PRODUÇÃO POR EMPRESAS'!$A$6:$A$362,0),IF($B$4="EJ",MATCH($N$4,'CONTROLE PRODUÇÃO POR EMPRESAS'!$B$5:$D$5,0),MATCH($N$4,'CONTROLE PRODUÇÃO POR EMPRESAS'!$E$5:$G$5,0)+3)))),IF($B$4="GERAL",N(INDEX('CONTROLE PRODUÇÃO POR EMPRESAS'!$A$6:$BW$362,MATCH($A96,'CONTROLE PRODUÇÃO POR EMPRESAS'!$A$6:$A$362,0),VLOOKUP($N$4,'METAS CLIENTE'!$A$5:$V$52,22,0))),IF(OR($AC$2=0,$AC$3=0),0,N(INDEX(CHOOSE($AC$2,'CONTROLE EJ'!$A$8:$Z$364,'CONTROLE CMM'!$A$8:$N$364,'CONTROLE GLOBO AÇOS'!$A$8:$Z$364,#REF!),MATCH($A96,'CONTROLE EJ'!$A$8:$A$364,0),$AC$3))))),0))</f>
        <v/>
      </c>
      <c r="AA96" s="287">
        <f>'CONTROLE PRODUÇÃO POR EMPRESAS'!A100</f>
        <v/>
      </c>
      <c r="AB96" s="78">
        <f>IF(A106="","",TEXT(A106,"dd/mm"))</f>
        <v/>
      </c>
    </row>
    <row r="97" ht="9.75" customHeight="1">
      <c r="A97" s="289">
        <f>IF(OR($E$4="",$J$4="",$E$4&gt;$J$4),"",IF(ROW()-11&lt;=$J$4-$E$4+1,$E$4+ROW()-12,""))</f>
        <v/>
      </c>
      <c r="B97" s="91">
        <f>IF($A97="","",$B$4)</f>
        <v/>
      </c>
      <c r="C97" s="91">
        <f>IF($A97="","",$N$4)</f>
        <v/>
      </c>
      <c r="D97" s="92">
        <f>IF($A97="","",IFERROR(IF(AND(OR($N$4="PREMONTAGEM",$N$4="IÇAMENTO JOIST",$N$4="VIGAS"),OR($B$4="GERAL",$B$4="EJ",$B$4="CMM")),IF($B$4="GERAL",N(INDEX('CONTROLE PRODUÇÃO POR EMPRESAS'!$B$6:$G$362,MATCH($A97,'CONTROLE PRODUÇÃO POR EMPRESAS'!$A$6:$A$362,0),MATCH($N$4,'CONTROLE PRODUÇÃO POR EMPRESAS'!$B$5:$D$5,0)))+N(INDEX('CONTROLE PRODUÇÃO POR EMPRESAS'!$B$6:$G$362,MATCH($A97,'CONTROLE PRODUÇÃO POR EMPRESAS'!$A$6:$A$362,0),MATCH($N$4,'CONTROLE PRODUÇÃO POR EMPRESAS'!$E$5:$G$5,0)+3)),N(INDEX('CONTROLE PRODUÇÃO POR EMPRESAS'!$B$6:$G$362,MATCH($A97,'CONTROLE PRODUÇÃO POR EMPRESAS'!$A$6:$A$362,0),IF($B$4="EJ",MATCH($N$4,'CONTROLE PRODUÇÃO POR EMPRESAS'!$B$5:$D$5,0),MATCH($N$4,'CONTROLE PRODUÇÃO POR EMPRESAS'!$E$5:$G$5,0)+3)))),IF($B$4="GERAL",N(INDEX('CONTROLE PRODUÇÃO POR EMPRESAS'!$A$6:$BW$362,MATCH($A97,'CONTROLE PRODUÇÃO POR EMPRESAS'!$A$6:$A$362,0),VLOOKUP($N$4,'METAS CLIENTE'!$A$5:$V$52,22,0))),IF(OR($AC$2=0,$AC$3=0),0,N(INDEX(CHOOSE($AC$2,'CONTROLE EJ'!$A$8:$Z$364,'CONTROLE CMM'!$A$8:$N$364,'CONTROLE GLOBO AÇOS'!$A$8:$Z$364,#REF!),MATCH($A97,'CONTROLE EJ'!$A$8:$A$364,0),$AC$3))))),0))</f>
        <v/>
      </c>
      <c r="AA97" s="287">
        <f>'CONTROLE PRODUÇÃO POR EMPRESAS'!A101</f>
        <v/>
      </c>
      <c r="AB97" s="78">
        <f>IF(A107="","",TEXT(A107,"dd/mm"))</f>
        <v/>
      </c>
    </row>
    <row r="98" ht="9.75" customHeight="1">
      <c r="A98" s="289">
        <f>IF(OR($E$4="",$J$4="",$E$4&gt;$J$4),"",IF(ROW()-11&lt;=$J$4-$E$4+1,$E$4+ROW()-12,""))</f>
        <v/>
      </c>
      <c r="B98" s="91">
        <f>IF($A98="","",$B$4)</f>
        <v/>
      </c>
      <c r="C98" s="91">
        <f>IF($A98="","",$N$4)</f>
        <v/>
      </c>
      <c r="D98" s="92">
        <f>IF($A98="","",IFERROR(IF(AND(OR($N$4="PREMONTAGEM",$N$4="IÇAMENTO JOIST",$N$4="VIGAS"),OR($B$4="GERAL",$B$4="EJ",$B$4="CMM")),IF($B$4="GERAL",N(INDEX('CONTROLE PRODUÇÃO POR EMPRESAS'!$B$6:$G$362,MATCH($A98,'CONTROLE PRODUÇÃO POR EMPRESAS'!$A$6:$A$362,0),MATCH($N$4,'CONTROLE PRODUÇÃO POR EMPRESAS'!$B$5:$D$5,0)))+N(INDEX('CONTROLE PRODUÇÃO POR EMPRESAS'!$B$6:$G$362,MATCH($A98,'CONTROLE PRODUÇÃO POR EMPRESAS'!$A$6:$A$362,0),MATCH($N$4,'CONTROLE PRODUÇÃO POR EMPRESAS'!$E$5:$G$5,0)+3)),N(INDEX('CONTROLE PRODUÇÃO POR EMPRESAS'!$B$6:$G$362,MATCH($A98,'CONTROLE PRODUÇÃO POR EMPRESAS'!$A$6:$A$362,0),IF($B$4="EJ",MATCH($N$4,'CONTROLE PRODUÇÃO POR EMPRESAS'!$B$5:$D$5,0),MATCH($N$4,'CONTROLE PRODUÇÃO POR EMPRESAS'!$E$5:$G$5,0)+3)))),IF($B$4="GERAL",N(INDEX('CONTROLE PRODUÇÃO POR EMPRESAS'!$A$6:$BW$362,MATCH($A98,'CONTROLE PRODUÇÃO POR EMPRESAS'!$A$6:$A$362,0),VLOOKUP($N$4,'METAS CLIENTE'!$A$5:$V$52,22,0))),IF(OR($AC$2=0,$AC$3=0),0,N(INDEX(CHOOSE($AC$2,'CONTROLE EJ'!$A$8:$Z$364,'CONTROLE CMM'!$A$8:$N$364,'CONTROLE GLOBO AÇOS'!$A$8:$Z$364,#REF!),MATCH($A98,'CONTROLE EJ'!$A$8:$A$364,0),$AC$3))))),0))</f>
        <v/>
      </c>
      <c r="AA98" s="287">
        <f>'CONTROLE PRODUÇÃO POR EMPRESAS'!A102</f>
        <v/>
      </c>
      <c r="AB98" s="78">
        <f>IF(A108="","",TEXT(A108,"dd/mm"))</f>
        <v/>
      </c>
    </row>
    <row r="99" ht="9.75" customHeight="1">
      <c r="A99" s="289">
        <f>IF(OR($E$4="",$J$4="",$E$4&gt;$J$4),"",IF(ROW()-11&lt;=$J$4-$E$4+1,$E$4+ROW()-12,""))</f>
        <v/>
      </c>
      <c r="B99" s="91">
        <f>IF($A99="","",$B$4)</f>
        <v/>
      </c>
      <c r="C99" s="91">
        <f>IF($A99="","",$N$4)</f>
        <v/>
      </c>
      <c r="D99" s="92">
        <f>IF($A99="","",IFERROR(IF(AND(OR($N$4="PREMONTAGEM",$N$4="IÇAMENTO JOIST",$N$4="VIGAS"),OR($B$4="GERAL",$B$4="EJ",$B$4="CMM")),IF($B$4="GERAL",N(INDEX('CONTROLE PRODUÇÃO POR EMPRESAS'!$B$6:$G$362,MATCH($A99,'CONTROLE PRODUÇÃO POR EMPRESAS'!$A$6:$A$362,0),MATCH($N$4,'CONTROLE PRODUÇÃO POR EMPRESAS'!$B$5:$D$5,0)))+N(INDEX('CONTROLE PRODUÇÃO POR EMPRESAS'!$B$6:$G$362,MATCH($A99,'CONTROLE PRODUÇÃO POR EMPRESAS'!$A$6:$A$362,0),MATCH($N$4,'CONTROLE PRODUÇÃO POR EMPRESAS'!$E$5:$G$5,0)+3)),N(INDEX('CONTROLE PRODUÇÃO POR EMPRESAS'!$B$6:$G$362,MATCH($A99,'CONTROLE PRODUÇÃO POR EMPRESAS'!$A$6:$A$362,0),IF($B$4="EJ",MATCH($N$4,'CONTROLE PRODUÇÃO POR EMPRESAS'!$B$5:$D$5,0),MATCH($N$4,'CONTROLE PRODUÇÃO POR EMPRESAS'!$E$5:$G$5,0)+3)))),IF($B$4="GERAL",N(INDEX('CONTROLE PRODUÇÃO POR EMPRESAS'!$A$6:$BW$362,MATCH($A99,'CONTROLE PRODUÇÃO POR EMPRESAS'!$A$6:$A$362,0),VLOOKUP($N$4,'METAS CLIENTE'!$A$5:$V$52,22,0))),IF(OR($AC$2=0,$AC$3=0),0,N(INDEX(CHOOSE($AC$2,'CONTROLE EJ'!$A$8:$Z$364,'CONTROLE CMM'!$A$8:$N$364,'CONTROLE GLOBO AÇOS'!$A$8:$Z$364,#REF!),MATCH($A99,'CONTROLE EJ'!$A$8:$A$364,0),$AC$3))))),0))</f>
        <v/>
      </c>
      <c r="AA99" s="287">
        <f>'CONTROLE PRODUÇÃO POR EMPRESAS'!A103</f>
        <v/>
      </c>
      <c r="AB99" s="78">
        <f>IF(A109="","",TEXT(A109,"dd/mm"))</f>
        <v/>
      </c>
    </row>
    <row r="100" ht="9.75" customHeight="1">
      <c r="A100" s="289">
        <f>IF(OR($E$4="",$J$4="",$E$4&gt;$J$4),"",IF(ROW()-11&lt;=$J$4-$E$4+1,$E$4+ROW()-12,""))</f>
        <v/>
      </c>
      <c r="B100" s="91">
        <f>IF($A100="","",$B$4)</f>
        <v/>
      </c>
      <c r="C100" s="91">
        <f>IF($A100="","",$N$4)</f>
        <v/>
      </c>
      <c r="D100" s="92">
        <f>IF($A100="","",IFERROR(IF(AND(OR($N$4="PREMONTAGEM",$N$4="IÇAMENTO JOIST",$N$4="VIGAS"),OR($B$4="GERAL",$B$4="EJ",$B$4="CMM")),IF($B$4="GERAL",N(INDEX('CONTROLE PRODUÇÃO POR EMPRESAS'!$B$6:$G$362,MATCH($A100,'CONTROLE PRODUÇÃO POR EMPRESAS'!$A$6:$A$362,0),MATCH($N$4,'CONTROLE PRODUÇÃO POR EMPRESAS'!$B$5:$D$5,0)))+N(INDEX('CONTROLE PRODUÇÃO POR EMPRESAS'!$B$6:$G$362,MATCH($A100,'CONTROLE PRODUÇÃO POR EMPRESAS'!$A$6:$A$362,0),MATCH($N$4,'CONTROLE PRODUÇÃO POR EMPRESAS'!$E$5:$G$5,0)+3)),N(INDEX('CONTROLE PRODUÇÃO POR EMPRESAS'!$B$6:$G$362,MATCH($A100,'CONTROLE PRODUÇÃO POR EMPRESAS'!$A$6:$A$362,0),IF($B$4="EJ",MATCH($N$4,'CONTROLE PRODUÇÃO POR EMPRESAS'!$B$5:$D$5,0),MATCH($N$4,'CONTROLE PRODUÇÃO POR EMPRESAS'!$E$5:$G$5,0)+3)))),IF($B$4="GERAL",N(INDEX('CONTROLE PRODUÇÃO POR EMPRESAS'!$A$6:$BW$362,MATCH($A100,'CONTROLE PRODUÇÃO POR EMPRESAS'!$A$6:$A$362,0),VLOOKUP($N$4,'METAS CLIENTE'!$A$5:$V$52,22,0))),IF(OR($AC$2=0,$AC$3=0),0,N(INDEX(CHOOSE($AC$2,'CONTROLE EJ'!$A$8:$Z$364,'CONTROLE CMM'!$A$8:$N$364,'CONTROLE GLOBO AÇOS'!$A$8:$Z$364,#REF!),MATCH($A100,'CONTROLE EJ'!$A$8:$A$364,0),$AC$3))))),0))</f>
        <v/>
      </c>
      <c r="AA100" s="287">
        <f>'CONTROLE PRODUÇÃO POR EMPRESAS'!A104</f>
        <v/>
      </c>
      <c r="AB100" s="78">
        <f>IF(A110="","",TEXT(A110,"dd/mm"))</f>
        <v/>
      </c>
    </row>
    <row r="101" ht="9.75" customHeight="1">
      <c r="A101" s="289">
        <f>IF(OR($E$4="",$J$4="",$E$4&gt;$J$4),"",IF(ROW()-11&lt;=$J$4-$E$4+1,$E$4+ROW()-12,""))</f>
        <v/>
      </c>
      <c r="B101" s="91">
        <f>IF($A101="","",$B$4)</f>
        <v/>
      </c>
      <c r="C101" s="91">
        <f>IF($A101="","",$N$4)</f>
        <v/>
      </c>
      <c r="D101" s="92">
        <f>IF($A101="","",IFERROR(IF(AND(OR($N$4="PREMONTAGEM",$N$4="IÇAMENTO JOIST",$N$4="VIGAS"),OR($B$4="GERAL",$B$4="EJ",$B$4="CMM")),IF($B$4="GERAL",N(INDEX('CONTROLE PRODUÇÃO POR EMPRESAS'!$B$6:$G$362,MATCH($A101,'CONTROLE PRODUÇÃO POR EMPRESAS'!$A$6:$A$362,0),MATCH($N$4,'CONTROLE PRODUÇÃO POR EMPRESAS'!$B$5:$D$5,0)))+N(INDEX('CONTROLE PRODUÇÃO POR EMPRESAS'!$B$6:$G$362,MATCH($A101,'CONTROLE PRODUÇÃO POR EMPRESAS'!$A$6:$A$362,0),MATCH($N$4,'CONTROLE PRODUÇÃO POR EMPRESAS'!$E$5:$G$5,0)+3)),N(INDEX('CONTROLE PRODUÇÃO POR EMPRESAS'!$B$6:$G$362,MATCH($A101,'CONTROLE PRODUÇÃO POR EMPRESAS'!$A$6:$A$362,0),IF($B$4="EJ",MATCH($N$4,'CONTROLE PRODUÇÃO POR EMPRESAS'!$B$5:$D$5,0),MATCH($N$4,'CONTROLE PRODUÇÃO POR EMPRESAS'!$E$5:$G$5,0)+3)))),IF($B$4="GERAL",N(INDEX('CONTROLE PRODUÇÃO POR EMPRESAS'!$A$6:$BW$362,MATCH($A101,'CONTROLE PRODUÇÃO POR EMPRESAS'!$A$6:$A$362,0),VLOOKUP($N$4,'METAS CLIENTE'!$A$5:$V$52,22,0))),IF(OR($AC$2=0,$AC$3=0),0,N(INDEX(CHOOSE($AC$2,'CONTROLE EJ'!$A$8:$Z$364,'CONTROLE CMM'!$A$8:$N$364,'CONTROLE GLOBO AÇOS'!$A$8:$Z$364,#REF!),MATCH($A101,'CONTROLE EJ'!$A$8:$A$364,0),$AC$3))))),0))</f>
        <v/>
      </c>
      <c r="AA101" s="287">
        <f>'CONTROLE PRODUÇÃO POR EMPRESAS'!A105</f>
        <v/>
      </c>
      <c r="AB101" s="78">
        <f>IF(A111="","",TEXT(A111,"dd/mm"))</f>
        <v/>
      </c>
    </row>
    <row r="102" ht="9.75" customHeight="1">
      <c r="A102" s="289">
        <f>IF(OR($E$4="",$J$4="",$E$4&gt;$J$4),"",IF(ROW()-11&lt;=$J$4-$E$4+1,$E$4+ROW()-12,""))</f>
        <v/>
      </c>
      <c r="B102" s="91">
        <f>IF($A102="","",$B$4)</f>
        <v/>
      </c>
      <c r="C102" s="91">
        <f>IF($A102="","",$N$4)</f>
        <v/>
      </c>
      <c r="D102" s="92">
        <f>IF($A102="","",IFERROR(IF(AND(OR($N$4="PREMONTAGEM",$N$4="IÇAMENTO JOIST",$N$4="VIGAS"),OR($B$4="GERAL",$B$4="EJ",$B$4="CMM")),IF($B$4="GERAL",N(INDEX('CONTROLE PRODUÇÃO POR EMPRESAS'!$B$6:$G$362,MATCH($A102,'CONTROLE PRODUÇÃO POR EMPRESAS'!$A$6:$A$362,0),MATCH($N$4,'CONTROLE PRODUÇÃO POR EMPRESAS'!$B$5:$D$5,0)))+N(INDEX('CONTROLE PRODUÇÃO POR EMPRESAS'!$B$6:$G$362,MATCH($A102,'CONTROLE PRODUÇÃO POR EMPRESAS'!$A$6:$A$362,0),MATCH($N$4,'CONTROLE PRODUÇÃO POR EMPRESAS'!$E$5:$G$5,0)+3)),N(INDEX('CONTROLE PRODUÇÃO POR EMPRESAS'!$B$6:$G$362,MATCH($A102,'CONTROLE PRODUÇÃO POR EMPRESAS'!$A$6:$A$362,0),IF($B$4="EJ",MATCH($N$4,'CONTROLE PRODUÇÃO POR EMPRESAS'!$B$5:$D$5,0),MATCH($N$4,'CONTROLE PRODUÇÃO POR EMPRESAS'!$E$5:$G$5,0)+3)))),IF($B$4="GERAL",N(INDEX('CONTROLE PRODUÇÃO POR EMPRESAS'!$A$6:$BW$362,MATCH($A102,'CONTROLE PRODUÇÃO POR EMPRESAS'!$A$6:$A$362,0),VLOOKUP($N$4,'METAS CLIENTE'!$A$5:$V$52,22,0))),IF(OR($AC$2=0,$AC$3=0),0,N(INDEX(CHOOSE($AC$2,'CONTROLE EJ'!$A$8:$Z$364,'CONTROLE CMM'!$A$8:$N$364,'CONTROLE GLOBO AÇOS'!$A$8:$Z$364,#REF!),MATCH($A102,'CONTROLE EJ'!$A$8:$A$364,0),$AC$3))))),0))</f>
        <v/>
      </c>
    </row>
    <row r="103" ht="9.75" customHeight="1">
      <c r="A103" s="289">
        <f>IF(OR($E$4="",$J$4="",$E$4&gt;$J$4),"",IF(ROW()-11&lt;=$J$4-$E$4+1,$E$4+ROW()-12,""))</f>
        <v/>
      </c>
      <c r="B103" s="91">
        <f>IF($A103="","",$B$4)</f>
        <v/>
      </c>
      <c r="C103" s="91">
        <f>IF($A103="","",$N$4)</f>
        <v/>
      </c>
      <c r="D103" s="92">
        <f>IF($A103="","",IFERROR(IF(AND(OR($N$4="PREMONTAGEM",$N$4="IÇAMENTO JOIST",$N$4="VIGAS"),OR($B$4="GERAL",$B$4="EJ",$B$4="CMM")),IF($B$4="GERAL",N(INDEX('CONTROLE PRODUÇÃO POR EMPRESAS'!$B$6:$G$362,MATCH($A103,'CONTROLE PRODUÇÃO POR EMPRESAS'!$A$6:$A$362,0),MATCH($N$4,'CONTROLE PRODUÇÃO POR EMPRESAS'!$B$5:$D$5,0)))+N(INDEX('CONTROLE PRODUÇÃO POR EMPRESAS'!$B$6:$G$362,MATCH($A103,'CONTROLE PRODUÇÃO POR EMPRESAS'!$A$6:$A$362,0),MATCH($N$4,'CONTROLE PRODUÇÃO POR EMPRESAS'!$E$5:$G$5,0)+3)),N(INDEX('CONTROLE PRODUÇÃO POR EMPRESAS'!$B$6:$G$362,MATCH($A103,'CONTROLE PRODUÇÃO POR EMPRESAS'!$A$6:$A$362,0),IF($B$4="EJ",MATCH($N$4,'CONTROLE PRODUÇÃO POR EMPRESAS'!$B$5:$D$5,0),MATCH($N$4,'CONTROLE PRODUÇÃO POR EMPRESAS'!$E$5:$G$5,0)+3)))),IF($B$4="GERAL",N(INDEX('CONTROLE PRODUÇÃO POR EMPRESAS'!$A$6:$BW$362,MATCH($A103,'CONTROLE PRODUÇÃO POR EMPRESAS'!$A$6:$A$362,0),VLOOKUP($N$4,'METAS CLIENTE'!$A$5:$V$52,22,0))),IF(OR($AC$2=0,$AC$3=0),0,N(INDEX(CHOOSE($AC$2,'CONTROLE EJ'!$A$8:$Z$364,'CONTROLE CMM'!$A$8:$N$364,'CONTROLE GLOBO AÇOS'!$A$8:$Z$364,#REF!),MATCH($A103,'CONTROLE EJ'!$A$8:$A$364,0),$AC$3))))),0))</f>
        <v/>
      </c>
    </row>
    <row r="104" ht="9.75" customHeight="1">
      <c r="A104" s="289">
        <f>IF(OR($E$4="",$J$4="",$E$4&gt;$J$4),"",IF(ROW()-11&lt;=$J$4-$E$4+1,$E$4+ROW()-12,""))</f>
        <v/>
      </c>
      <c r="B104" s="91">
        <f>IF($A104="","",$B$4)</f>
        <v/>
      </c>
      <c r="C104" s="91">
        <f>IF($A104="","",$N$4)</f>
        <v/>
      </c>
      <c r="D104" s="92">
        <f>IF($A104="","",IFERROR(IF(AND(OR($N$4="PREMONTAGEM",$N$4="IÇAMENTO JOIST",$N$4="VIGAS"),OR($B$4="GERAL",$B$4="EJ",$B$4="CMM")),IF($B$4="GERAL",N(INDEX('CONTROLE PRODUÇÃO POR EMPRESAS'!$B$6:$G$362,MATCH($A104,'CONTROLE PRODUÇÃO POR EMPRESAS'!$A$6:$A$362,0),MATCH($N$4,'CONTROLE PRODUÇÃO POR EMPRESAS'!$B$5:$D$5,0)))+N(INDEX('CONTROLE PRODUÇÃO POR EMPRESAS'!$B$6:$G$362,MATCH($A104,'CONTROLE PRODUÇÃO POR EMPRESAS'!$A$6:$A$362,0),MATCH($N$4,'CONTROLE PRODUÇÃO POR EMPRESAS'!$E$5:$G$5,0)+3)),N(INDEX('CONTROLE PRODUÇÃO POR EMPRESAS'!$B$6:$G$362,MATCH($A104,'CONTROLE PRODUÇÃO POR EMPRESAS'!$A$6:$A$362,0),IF($B$4="EJ",MATCH($N$4,'CONTROLE PRODUÇÃO POR EMPRESAS'!$B$5:$D$5,0),MATCH($N$4,'CONTROLE PRODUÇÃO POR EMPRESAS'!$E$5:$G$5,0)+3)))),IF($B$4="GERAL",N(INDEX('CONTROLE PRODUÇÃO POR EMPRESAS'!$A$6:$BW$362,MATCH($A104,'CONTROLE PRODUÇÃO POR EMPRESAS'!$A$6:$A$362,0),VLOOKUP($N$4,'METAS CLIENTE'!$A$5:$V$52,22,0))),IF(OR($AC$2=0,$AC$3=0),0,N(INDEX(CHOOSE($AC$2,'CONTROLE EJ'!$A$8:$Z$364,'CONTROLE CMM'!$A$8:$N$364,'CONTROLE GLOBO AÇOS'!$A$8:$Z$364,#REF!),MATCH($A104,'CONTROLE EJ'!$A$8:$A$364,0),$AC$3))))),0))</f>
        <v/>
      </c>
    </row>
    <row r="105" ht="9.75" customHeight="1">
      <c r="A105" s="289">
        <f>IF(OR($E$4="",$J$4="",$E$4&gt;$J$4),"",IF(ROW()-11&lt;=$J$4-$E$4+1,$E$4+ROW()-12,""))</f>
        <v/>
      </c>
      <c r="B105" s="91">
        <f>IF($A105="","",$B$4)</f>
        <v/>
      </c>
      <c r="C105" s="91">
        <f>IF($A105="","",$N$4)</f>
        <v/>
      </c>
      <c r="D105" s="92">
        <f>IF($A105="","",IFERROR(IF(AND(OR($N$4="PREMONTAGEM",$N$4="IÇAMENTO JOIST",$N$4="VIGAS"),OR($B$4="GERAL",$B$4="EJ",$B$4="CMM")),IF($B$4="GERAL",N(INDEX('CONTROLE PRODUÇÃO POR EMPRESAS'!$B$6:$G$362,MATCH($A105,'CONTROLE PRODUÇÃO POR EMPRESAS'!$A$6:$A$362,0),MATCH($N$4,'CONTROLE PRODUÇÃO POR EMPRESAS'!$B$5:$D$5,0)))+N(INDEX('CONTROLE PRODUÇÃO POR EMPRESAS'!$B$6:$G$362,MATCH($A105,'CONTROLE PRODUÇÃO POR EMPRESAS'!$A$6:$A$362,0),MATCH($N$4,'CONTROLE PRODUÇÃO POR EMPRESAS'!$E$5:$G$5,0)+3)),N(INDEX('CONTROLE PRODUÇÃO POR EMPRESAS'!$B$6:$G$362,MATCH($A105,'CONTROLE PRODUÇÃO POR EMPRESAS'!$A$6:$A$362,0),IF($B$4="EJ",MATCH($N$4,'CONTROLE PRODUÇÃO POR EMPRESAS'!$B$5:$D$5,0),MATCH($N$4,'CONTROLE PRODUÇÃO POR EMPRESAS'!$E$5:$G$5,0)+3)))),IF($B$4="GERAL",N(INDEX('CONTROLE PRODUÇÃO POR EMPRESAS'!$A$6:$BW$362,MATCH($A105,'CONTROLE PRODUÇÃO POR EMPRESAS'!$A$6:$A$362,0),VLOOKUP($N$4,'METAS CLIENTE'!$A$5:$V$52,22,0))),IF(OR($AC$2=0,$AC$3=0),0,N(INDEX(CHOOSE($AC$2,'CONTROLE EJ'!$A$8:$Z$364,'CONTROLE CMM'!$A$8:$N$364,'CONTROLE GLOBO AÇOS'!$A$8:$Z$364,#REF!),MATCH($A105,'CONTROLE EJ'!$A$8:$A$364,0),$AC$3))))),0))</f>
        <v/>
      </c>
    </row>
    <row r="106" ht="9.75" customHeight="1">
      <c r="A106" s="289">
        <f>IF(OR($E$4="",$J$4="",$E$4&gt;$J$4),"",IF(ROW()-11&lt;=$J$4-$E$4+1,$E$4+ROW()-12,""))</f>
        <v/>
      </c>
      <c r="B106" s="91">
        <f>IF($A106="","",$B$4)</f>
        <v/>
      </c>
      <c r="C106" s="91">
        <f>IF($A106="","",$N$4)</f>
        <v/>
      </c>
      <c r="D106" s="92">
        <f>IF($A106="","",IFERROR(IF(AND(OR($N$4="PREMONTAGEM",$N$4="IÇAMENTO JOIST",$N$4="VIGAS"),OR($B$4="GERAL",$B$4="EJ",$B$4="CMM")),IF($B$4="GERAL",N(INDEX('CONTROLE PRODUÇÃO POR EMPRESAS'!$B$6:$G$362,MATCH($A106,'CONTROLE PRODUÇÃO POR EMPRESAS'!$A$6:$A$362,0),MATCH($N$4,'CONTROLE PRODUÇÃO POR EMPRESAS'!$B$5:$D$5,0)))+N(INDEX('CONTROLE PRODUÇÃO POR EMPRESAS'!$B$6:$G$362,MATCH($A106,'CONTROLE PRODUÇÃO POR EMPRESAS'!$A$6:$A$362,0),MATCH($N$4,'CONTROLE PRODUÇÃO POR EMPRESAS'!$E$5:$G$5,0)+3)),N(INDEX('CONTROLE PRODUÇÃO POR EMPRESAS'!$B$6:$G$362,MATCH($A106,'CONTROLE PRODUÇÃO POR EMPRESAS'!$A$6:$A$362,0),IF($B$4="EJ",MATCH($N$4,'CONTROLE PRODUÇÃO POR EMPRESAS'!$B$5:$D$5,0),MATCH($N$4,'CONTROLE PRODUÇÃO POR EMPRESAS'!$E$5:$G$5,0)+3)))),IF($B$4="GERAL",N(INDEX('CONTROLE PRODUÇÃO POR EMPRESAS'!$A$6:$BW$362,MATCH($A106,'CONTROLE PRODUÇÃO POR EMPRESAS'!$A$6:$A$362,0),VLOOKUP($N$4,'METAS CLIENTE'!$A$5:$V$52,22,0))),IF(OR($AC$2=0,$AC$3=0),0,N(INDEX(CHOOSE($AC$2,'CONTROLE EJ'!$A$8:$Z$364,'CONTROLE CMM'!$A$8:$N$364,'CONTROLE GLOBO AÇOS'!$A$8:$Z$364,#REF!),MATCH($A106,'CONTROLE EJ'!$A$8:$A$364,0),$AC$3))))),0))</f>
        <v/>
      </c>
    </row>
    <row r="107" ht="9.75" customHeight="1">
      <c r="A107" s="289">
        <f>IF(OR($E$4="",$J$4="",$E$4&gt;$J$4),"",IF(ROW()-11&lt;=$J$4-$E$4+1,$E$4+ROW()-12,""))</f>
        <v/>
      </c>
      <c r="B107" s="91">
        <f>IF($A107="","",$B$4)</f>
        <v/>
      </c>
      <c r="C107" s="91">
        <f>IF($A107="","",$N$4)</f>
        <v/>
      </c>
      <c r="D107" s="92">
        <f>IF($A107="","",IFERROR(IF(AND(OR($N$4="PREMONTAGEM",$N$4="IÇAMENTO JOIST",$N$4="VIGAS"),OR($B$4="GERAL",$B$4="EJ",$B$4="CMM")),IF($B$4="GERAL",N(INDEX('CONTROLE PRODUÇÃO POR EMPRESAS'!$B$6:$G$362,MATCH($A107,'CONTROLE PRODUÇÃO POR EMPRESAS'!$A$6:$A$362,0),MATCH($N$4,'CONTROLE PRODUÇÃO POR EMPRESAS'!$B$5:$D$5,0)))+N(INDEX('CONTROLE PRODUÇÃO POR EMPRESAS'!$B$6:$G$362,MATCH($A107,'CONTROLE PRODUÇÃO POR EMPRESAS'!$A$6:$A$362,0),MATCH($N$4,'CONTROLE PRODUÇÃO POR EMPRESAS'!$E$5:$G$5,0)+3)),N(INDEX('CONTROLE PRODUÇÃO POR EMPRESAS'!$B$6:$G$362,MATCH($A107,'CONTROLE PRODUÇÃO POR EMPRESAS'!$A$6:$A$362,0),IF($B$4="EJ",MATCH($N$4,'CONTROLE PRODUÇÃO POR EMPRESAS'!$B$5:$D$5,0),MATCH($N$4,'CONTROLE PRODUÇÃO POR EMPRESAS'!$E$5:$G$5,0)+3)))),IF($B$4="GERAL",N(INDEX('CONTROLE PRODUÇÃO POR EMPRESAS'!$A$6:$BW$362,MATCH($A107,'CONTROLE PRODUÇÃO POR EMPRESAS'!$A$6:$A$362,0),VLOOKUP($N$4,'METAS CLIENTE'!$A$5:$V$52,22,0))),IF(OR($AC$2=0,$AC$3=0),0,N(INDEX(CHOOSE($AC$2,'CONTROLE EJ'!$A$8:$Z$364,'CONTROLE CMM'!$A$8:$N$364,'CONTROLE GLOBO AÇOS'!$A$8:$Z$364,#REF!),MATCH($A107,'CONTROLE EJ'!$A$8:$A$364,0),$AC$3))))),0))</f>
        <v/>
      </c>
    </row>
    <row r="108" ht="9.75" customHeight="1">
      <c r="A108" s="289">
        <f>IF(OR($E$4="",$J$4="",$E$4&gt;$J$4),"",IF(ROW()-11&lt;=$J$4-$E$4+1,$E$4+ROW()-12,""))</f>
        <v/>
      </c>
      <c r="B108" s="91">
        <f>IF($A108="","",$B$4)</f>
        <v/>
      </c>
      <c r="C108" s="91">
        <f>IF($A108="","",$N$4)</f>
        <v/>
      </c>
      <c r="D108" s="92">
        <f>IF($A108="","",IFERROR(IF(AND(OR($N$4="PREMONTAGEM",$N$4="IÇAMENTO JOIST",$N$4="VIGAS"),OR($B$4="GERAL",$B$4="EJ",$B$4="CMM")),IF($B$4="GERAL",N(INDEX('CONTROLE PRODUÇÃO POR EMPRESAS'!$B$6:$G$362,MATCH($A108,'CONTROLE PRODUÇÃO POR EMPRESAS'!$A$6:$A$362,0),MATCH($N$4,'CONTROLE PRODUÇÃO POR EMPRESAS'!$B$5:$D$5,0)))+N(INDEX('CONTROLE PRODUÇÃO POR EMPRESAS'!$B$6:$G$362,MATCH($A108,'CONTROLE PRODUÇÃO POR EMPRESAS'!$A$6:$A$362,0),MATCH($N$4,'CONTROLE PRODUÇÃO POR EMPRESAS'!$E$5:$G$5,0)+3)),N(INDEX('CONTROLE PRODUÇÃO POR EMPRESAS'!$B$6:$G$362,MATCH($A108,'CONTROLE PRODUÇÃO POR EMPRESAS'!$A$6:$A$362,0),IF($B$4="EJ",MATCH($N$4,'CONTROLE PRODUÇÃO POR EMPRESAS'!$B$5:$D$5,0),MATCH($N$4,'CONTROLE PRODUÇÃO POR EMPRESAS'!$E$5:$G$5,0)+3)))),IF($B$4="GERAL",N(INDEX('CONTROLE PRODUÇÃO POR EMPRESAS'!$A$6:$BW$362,MATCH($A108,'CONTROLE PRODUÇÃO POR EMPRESAS'!$A$6:$A$362,0),VLOOKUP($N$4,'METAS CLIENTE'!$A$5:$V$52,22,0))),IF(OR($AC$2=0,$AC$3=0),0,N(INDEX(CHOOSE($AC$2,'CONTROLE EJ'!$A$8:$Z$364,'CONTROLE CMM'!$A$8:$N$364,'CONTROLE GLOBO AÇOS'!$A$8:$Z$364,#REF!),MATCH($A108,'CONTROLE EJ'!$A$8:$A$364,0),$AC$3))))),0))</f>
        <v/>
      </c>
    </row>
    <row r="109" ht="9.75" customHeight="1">
      <c r="A109" s="289">
        <f>IF(OR($E$4="",$J$4="",$E$4&gt;$J$4),"",IF(ROW()-11&lt;=$J$4-$E$4+1,$E$4+ROW()-12,""))</f>
        <v/>
      </c>
      <c r="B109" s="91">
        <f>IF($A109="","",$B$4)</f>
        <v/>
      </c>
      <c r="C109" s="91">
        <f>IF($A109="","",$N$4)</f>
        <v/>
      </c>
      <c r="D109" s="92">
        <f>IF($A109="","",IFERROR(IF(AND(OR($N$4="PREMONTAGEM",$N$4="IÇAMENTO JOIST",$N$4="VIGAS"),OR($B$4="GERAL",$B$4="EJ",$B$4="CMM")),IF($B$4="GERAL",N(INDEX('CONTROLE PRODUÇÃO POR EMPRESAS'!$B$6:$G$362,MATCH($A109,'CONTROLE PRODUÇÃO POR EMPRESAS'!$A$6:$A$362,0),MATCH($N$4,'CONTROLE PRODUÇÃO POR EMPRESAS'!$B$5:$D$5,0)))+N(INDEX('CONTROLE PRODUÇÃO POR EMPRESAS'!$B$6:$G$362,MATCH($A109,'CONTROLE PRODUÇÃO POR EMPRESAS'!$A$6:$A$362,0),MATCH($N$4,'CONTROLE PRODUÇÃO POR EMPRESAS'!$E$5:$G$5,0)+3)),N(INDEX('CONTROLE PRODUÇÃO POR EMPRESAS'!$B$6:$G$362,MATCH($A109,'CONTROLE PRODUÇÃO POR EMPRESAS'!$A$6:$A$362,0),IF($B$4="EJ",MATCH($N$4,'CONTROLE PRODUÇÃO POR EMPRESAS'!$B$5:$D$5,0),MATCH($N$4,'CONTROLE PRODUÇÃO POR EMPRESAS'!$E$5:$G$5,0)+3)))),IF($B$4="GERAL",N(INDEX('CONTROLE PRODUÇÃO POR EMPRESAS'!$A$6:$BW$362,MATCH($A109,'CONTROLE PRODUÇÃO POR EMPRESAS'!$A$6:$A$362,0),VLOOKUP($N$4,'METAS CLIENTE'!$A$5:$V$52,22,0))),IF(OR($AC$2=0,$AC$3=0),0,N(INDEX(CHOOSE($AC$2,'CONTROLE EJ'!$A$8:$Z$364,'CONTROLE CMM'!$A$8:$N$364,'CONTROLE GLOBO AÇOS'!$A$8:$Z$364,#REF!),MATCH($A109,'CONTROLE EJ'!$A$8:$A$364,0),$AC$3))))),0))</f>
        <v/>
      </c>
    </row>
    <row r="110" ht="9.75" customHeight="1">
      <c r="A110" s="289">
        <f>IF(OR($E$4="",$J$4="",$E$4&gt;$J$4),"",IF(ROW()-11&lt;=$J$4-$E$4+1,$E$4+ROW()-12,""))</f>
        <v/>
      </c>
      <c r="B110" s="91">
        <f>IF($A110="","",$B$4)</f>
        <v/>
      </c>
      <c r="C110" s="91">
        <f>IF($A110="","",$N$4)</f>
        <v/>
      </c>
      <c r="D110" s="92">
        <f>IF($A110="","",IFERROR(IF(AND(OR($N$4="PREMONTAGEM",$N$4="IÇAMENTO JOIST",$N$4="VIGAS"),OR($B$4="GERAL",$B$4="EJ",$B$4="CMM")),IF($B$4="GERAL",N(INDEX('CONTROLE PRODUÇÃO POR EMPRESAS'!$B$6:$G$362,MATCH($A110,'CONTROLE PRODUÇÃO POR EMPRESAS'!$A$6:$A$362,0),MATCH($N$4,'CONTROLE PRODUÇÃO POR EMPRESAS'!$B$5:$D$5,0)))+N(INDEX('CONTROLE PRODUÇÃO POR EMPRESAS'!$B$6:$G$362,MATCH($A110,'CONTROLE PRODUÇÃO POR EMPRESAS'!$A$6:$A$362,0),MATCH($N$4,'CONTROLE PRODUÇÃO POR EMPRESAS'!$E$5:$G$5,0)+3)),N(INDEX('CONTROLE PRODUÇÃO POR EMPRESAS'!$B$6:$G$362,MATCH($A110,'CONTROLE PRODUÇÃO POR EMPRESAS'!$A$6:$A$362,0),IF($B$4="EJ",MATCH($N$4,'CONTROLE PRODUÇÃO POR EMPRESAS'!$B$5:$D$5,0),MATCH($N$4,'CONTROLE PRODUÇÃO POR EMPRESAS'!$E$5:$G$5,0)+3)))),IF($B$4="GERAL",N(INDEX('CONTROLE PRODUÇÃO POR EMPRESAS'!$A$6:$BW$362,MATCH($A110,'CONTROLE PRODUÇÃO POR EMPRESAS'!$A$6:$A$362,0),VLOOKUP($N$4,'METAS CLIENTE'!$A$5:$V$52,22,0))),IF(OR($AC$2=0,$AC$3=0),0,N(INDEX(CHOOSE($AC$2,'CONTROLE EJ'!$A$8:$Z$364,'CONTROLE CMM'!$A$8:$N$364,'CONTROLE GLOBO AÇOS'!$A$8:$Z$364,#REF!),MATCH($A110,'CONTROLE EJ'!$A$8:$A$364,0),$AC$3))))),0))</f>
        <v/>
      </c>
    </row>
    <row r="111" ht="9.75" customHeight="1">
      <c r="A111" s="289">
        <f>IF(OR($E$4="",$J$4="",$E$4&gt;$J$4),"",IF(ROW()-11&lt;=$J$4-$E$4+1,$E$4+ROW()-12,""))</f>
        <v/>
      </c>
      <c r="B111" s="91">
        <f>IF($A111="","",$B$4)</f>
        <v/>
      </c>
      <c r="C111" s="91">
        <f>IF($A111="","",$N$4)</f>
        <v/>
      </c>
      <c r="D111" s="92">
        <f>IF($A111="","",IFERROR(IF(AND(OR($N$4="PREMONTAGEM",$N$4="IÇAMENTO JOIST",$N$4="VIGAS"),OR($B$4="GERAL",$B$4="EJ",$B$4="CMM")),IF($B$4="GERAL",N(INDEX('CONTROLE PRODUÇÃO POR EMPRESAS'!$B$6:$G$362,MATCH($A111,'CONTROLE PRODUÇÃO POR EMPRESAS'!$A$6:$A$362,0),MATCH($N$4,'CONTROLE PRODUÇÃO POR EMPRESAS'!$B$5:$D$5,0)))+N(INDEX('CONTROLE PRODUÇÃO POR EMPRESAS'!$B$6:$G$362,MATCH($A111,'CONTROLE PRODUÇÃO POR EMPRESAS'!$A$6:$A$362,0),MATCH($N$4,'CONTROLE PRODUÇÃO POR EMPRESAS'!$E$5:$G$5,0)+3)),N(INDEX('CONTROLE PRODUÇÃO POR EMPRESAS'!$B$6:$G$362,MATCH($A111,'CONTROLE PRODUÇÃO POR EMPRESAS'!$A$6:$A$362,0),IF($B$4="EJ",MATCH($N$4,'CONTROLE PRODUÇÃO POR EMPRESAS'!$B$5:$D$5,0),MATCH($N$4,'CONTROLE PRODUÇÃO POR EMPRESAS'!$E$5:$G$5,0)+3)))),IF($B$4="GERAL",N(INDEX('CONTROLE PRODUÇÃO POR EMPRESAS'!$A$6:$BW$362,MATCH($A111,'CONTROLE PRODUÇÃO POR EMPRESAS'!$A$6:$A$362,0),VLOOKUP($N$4,'METAS CLIENTE'!$A$5:$V$52,22,0))),IF(OR($AC$2=0,$AC$3=0),0,N(INDEX(CHOOSE($AC$2,'CONTROLE EJ'!$A$8:$Z$364,'CONTROLE CMM'!$A$8:$N$364,'CONTROLE GLOBO AÇOS'!$A$8:$Z$364,#REF!),MATCH($A111,'CONTROLE EJ'!$A$8:$A$364,0),$AC$3))))),0))</f>
        <v/>
      </c>
    </row>
  </sheetData>
  <mergeCells count="27">
    <mergeCell ref="U12:V13"/>
    <mergeCell ref="D7:E8"/>
    <mergeCell ref="W12:X13"/>
    <mergeCell ref="O12:P13"/>
    <mergeCell ref="J7:K8"/>
    <mergeCell ref="A6:B6"/>
    <mergeCell ref="A1:N1"/>
    <mergeCell ref="D6:E6"/>
    <mergeCell ref="S11:T11"/>
    <mergeCell ref="J6:K6"/>
    <mergeCell ref="U11:V11"/>
    <mergeCell ref="G6:H6"/>
    <mergeCell ref="O10:X10"/>
    <mergeCell ref="M6:N6"/>
    <mergeCell ref="S12:T13"/>
    <mergeCell ref="O14:W14"/>
    <mergeCell ref="R5:T5"/>
    <mergeCell ref="Q12:R13"/>
    <mergeCell ref="A2:N2"/>
    <mergeCell ref="G7:H8"/>
    <mergeCell ref="O11:P11"/>
    <mergeCell ref="Q11:R11"/>
    <mergeCell ref="W11:X11"/>
    <mergeCell ref="A7:B8"/>
    <mergeCell ref="M7:N8"/>
    <mergeCell ref="V4:X4"/>
    <mergeCell ref="A9:K9"/>
  </mergeCells>
  <conditionalFormatting sqref="A12:D111">
    <cfRule type="expression" priority="9" dxfId="53">
      <formula>AND($A12&lt;&gt;"",MOD(ROW(),2)=0)</formula>
    </cfRule>
    <cfRule type="expression" priority="10" dxfId="52">
      <formula>AND($A12&lt;&gt;"",MOD(ROW(),2)=1)</formula>
    </cfRule>
  </conditionalFormatting>
  <conditionalFormatting sqref="D12:D111">
    <cfRule type="dataBar" priority="2">
      <dataBar>
        <cfvo type="min"/>
        <cfvo type="max"/>
        <color rgb="FF5B9BD5"/>
      </dataBar>
    </cfRule>
    <cfRule type="dataBar" priority="3">
      <dataBar>
        <cfvo type="min"/>
        <cfvo type="max"/>
        <color rgb="FF5B9BD5"/>
      </dataBar>
    </cfRule>
    <cfRule type="dataBar" priority="4">
      <dataBar>
        <cfvo type="min"/>
        <cfvo type="max"/>
        <color rgb="FF5B9BD5"/>
      </dataBar>
    </cfRule>
    <cfRule type="dataBar" priority="5">
      <dataBar>
        <cfvo type="min"/>
        <cfvo type="max"/>
        <color rgb="FF5B9BD5"/>
      </dataBar>
    </cfRule>
    <cfRule type="dataBar" priority="6">
      <dataBar>
        <cfvo type="min"/>
        <cfvo type="max"/>
        <color rgb="FF5B9BD5"/>
      </dataBar>
    </cfRule>
    <cfRule type="dataBar" priority="7">
      <dataBar>
        <cfvo type="min"/>
        <cfvo type="max"/>
        <color rgb="FF5B9BD5"/>
      </dataBar>
    </cfRule>
  </conditionalFormatting>
  <conditionalFormatting sqref="E4:F4 I4:J4">
    <cfRule type="expression" priority="8" dxfId="2">
      <formula>$E$4&gt;$J$4</formula>
    </cfRule>
  </conditionalFormatting>
  <dataValidations count="3">
    <dataValidation sqref="B4" showDropDown="0" showInputMessage="0" showErrorMessage="0" allowBlank="0" type="list">
      <formula1>"GERAL,EJ,CMM,GLOBO AÇOS,OUTROS"</formula1>
      <formula2>0</formula2>
    </dataValidation>
    <dataValidation sqref="E4" showDropDown="0" showInputMessage="0" showErrorMessage="0" allowBlank="0" type="list">
      <formula1>$AA$2:$AA$101</formula1>
      <formula2>0</formula2>
    </dataValidation>
    <dataValidation sqref="J4" showDropDown="0" showInputMessage="0" showErrorMessage="0" allowBlank="0" type="list">
      <formula1>$AA$2:$AA$150</formula1>
      <formula2>0</formula2>
    </dataValidation>
  </dataValidations>
  <pageMargins left="0.7" right="0.7" top="0.75" bottom="0.75" header="0.511811023622047" footer="0.511811023622047"/>
  <pageSetup orientation="portrait" paperSize="9" horizontalDpi="300" verticalDpi="300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3:G35"/>
  <sheetViews>
    <sheetView zoomScaleNormal="100" workbookViewId="0">
      <selection activeCell="C12" sqref="C12"/>
    </sheetView>
  </sheetViews>
  <sheetFormatPr baseColWidth="8" defaultColWidth="8.5546875" defaultRowHeight="14.4"/>
  <cols>
    <col width="12.109375" customWidth="1" min="2" max="2"/>
    <col width="11.88671875" customWidth="1" min="3" max="3"/>
    <col width="12.33203125" customWidth="1" min="7" max="7"/>
  </cols>
  <sheetData>
    <row r="3">
      <c r="A3" s="223" t="inlineStr">
        <is>
          <t>SANY</t>
        </is>
      </c>
      <c r="B3" s="131" t="n"/>
      <c r="C3" s="71" t="n"/>
      <c r="E3" s="223" t="inlineStr">
        <is>
          <t>SKYJACK</t>
        </is>
      </c>
      <c r="F3" s="131" t="n"/>
      <c r="G3" s="71" t="n"/>
    </row>
    <row r="4">
      <c r="A4" s="18" t="inlineStr">
        <is>
          <t>DATA</t>
        </is>
      </c>
      <c r="B4" s="18" t="inlineStr">
        <is>
          <t>EMPRESA</t>
        </is>
      </c>
      <c r="C4" s="18" t="inlineStr">
        <is>
          <t xml:space="preserve">VALOR </t>
        </is>
      </c>
      <c r="E4" s="18" t="inlineStr">
        <is>
          <t>DATA</t>
        </is>
      </c>
      <c r="F4" s="18" t="inlineStr">
        <is>
          <t>EMPRESA</t>
        </is>
      </c>
      <c r="G4" s="18" t="inlineStr">
        <is>
          <t xml:space="preserve">VALOR </t>
        </is>
      </c>
    </row>
    <row r="5">
      <c r="A5" s="291" t="n">
        <v>46255</v>
      </c>
      <c r="B5" s="18" t="inlineStr">
        <is>
          <t>CMM</t>
        </is>
      </c>
      <c r="C5" s="292" t="n">
        <v>3000</v>
      </c>
      <c r="E5" s="291" t="n">
        <v>46235</v>
      </c>
      <c r="F5" s="18" t="inlineStr">
        <is>
          <t>EJ</t>
        </is>
      </c>
      <c r="G5" s="292" t="n"/>
    </row>
    <row r="6">
      <c r="A6" s="291" t="n">
        <v>46256</v>
      </c>
      <c r="B6" s="18" t="inlineStr">
        <is>
          <t>CMM</t>
        </is>
      </c>
      <c r="C6" s="292" t="n">
        <v>1500</v>
      </c>
      <c r="E6" s="291" t="n">
        <v>46236</v>
      </c>
      <c r="F6" s="18" t="inlineStr">
        <is>
          <t>EJ</t>
        </is>
      </c>
      <c r="G6" s="292" t="n"/>
    </row>
    <row r="7">
      <c r="A7" s="291" t="n">
        <v>46257</v>
      </c>
      <c r="B7" s="18" t="n"/>
      <c r="C7" s="292" t="n"/>
      <c r="E7" s="291" t="n">
        <v>46237</v>
      </c>
      <c r="F7" s="18" t="inlineStr">
        <is>
          <t>EJ</t>
        </is>
      </c>
      <c r="G7" s="292" t="n"/>
    </row>
    <row r="8">
      <c r="A8" s="291" t="n">
        <v>46258</v>
      </c>
      <c r="B8" s="18" t="inlineStr">
        <is>
          <t>CMM</t>
        </is>
      </c>
      <c r="C8" s="292" t="n">
        <v>3000</v>
      </c>
      <c r="E8" s="291" t="n">
        <v>46238</v>
      </c>
      <c r="F8" s="18" t="inlineStr">
        <is>
          <t>EJ</t>
        </is>
      </c>
      <c r="G8" s="292" t="n"/>
    </row>
    <row r="9">
      <c r="A9" s="291" t="n">
        <v>46259</v>
      </c>
      <c r="B9" s="18" t="inlineStr">
        <is>
          <t>CMM</t>
        </is>
      </c>
      <c r="C9" s="292" t="n">
        <v>3000</v>
      </c>
      <c r="E9" s="291" t="n">
        <v>46239</v>
      </c>
      <c r="F9" s="18" t="inlineStr">
        <is>
          <t>EJ</t>
        </is>
      </c>
      <c r="G9" s="292" t="n"/>
    </row>
    <row r="10">
      <c r="A10" s="291" t="n">
        <v>46260</v>
      </c>
      <c r="B10" s="18" t="inlineStr">
        <is>
          <t>CMM</t>
        </is>
      </c>
      <c r="C10" s="292" t="n">
        <v>3000</v>
      </c>
      <c r="E10" s="291" t="n">
        <v>46240</v>
      </c>
      <c r="F10" s="18" t="inlineStr">
        <is>
          <t>EJ</t>
        </is>
      </c>
      <c r="G10" s="292" t="n"/>
    </row>
    <row r="11">
      <c r="A11" s="291" t="n">
        <v>46261</v>
      </c>
      <c r="B11" s="18" t="inlineStr">
        <is>
          <t>CMM</t>
        </is>
      </c>
      <c r="C11" s="292" t="n">
        <v>3000</v>
      </c>
      <c r="E11" s="291" t="n">
        <v>46241</v>
      </c>
      <c r="F11" s="18" t="inlineStr">
        <is>
          <t>EJ</t>
        </is>
      </c>
      <c r="G11" s="292" t="n"/>
    </row>
    <row r="12">
      <c r="A12" s="291" t="n">
        <v>46262</v>
      </c>
      <c r="B12" s="18" t="inlineStr">
        <is>
          <t>CMM</t>
        </is>
      </c>
      <c r="C12" s="292" t="n">
        <v>1500</v>
      </c>
      <c r="E12" s="291" t="n">
        <v>46242</v>
      </c>
      <c r="F12" s="18" t="inlineStr">
        <is>
          <t>EJ</t>
        </is>
      </c>
      <c r="G12" s="292" t="n"/>
    </row>
    <row r="13">
      <c r="A13" s="291" t="n">
        <v>46263</v>
      </c>
      <c r="B13" s="18" t="n"/>
      <c r="C13" s="292" t="n"/>
      <c r="E13" s="291" t="n">
        <v>46243</v>
      </c>
      <c r="F13" s="18" t="inlineStr">
        <is>
          <t>EJ</t>
        </is>
      </c>
      <c r="G13" s="292" t="n"/>
    </row>
    <row r="14">
      <c r="A14" s="291" t="n">
        <v>46264</v>
      </c>
      <c r="B14" s="18" t="n"/>
      <c r="C14" s="292" t="n"/>
      <c r="E14" s="291" t="n">
        <v>46244</v>
      </c>
      <c r="F14" s="18" t="inlineStr">
        <is>
          <t>EJ</t>
        </is>
      </c>
      <c r="G14" s="292" t="n"/>
    </row>
    <row r="15">
      <c r="A15" s="291" t="n">
        <v>46265</v>
      </c>
      <c r="B15" s="18" t="n"/>
      <c r="C15" s="292" t="n"/>
      <c r="E15" s="291" t="n">
        <v>46245</v>
      </c>
      <c r="F15" s="18" t="inlineStr">
        <is>
          <t>EJ</t>
        </is>
      </c>
      <c r="G15" s="292" t="n"/>
    </row>
    <row r="16">
      <c r="E16" s="291" t="n">
        <v>46246</v>
      </c>
      <c r="F16" s="18" t="inlineStr">
        <is>
          <t>EJ</t>
        </is>
      </c>
      <c r="G16" s="292" t="n"/>
    </row>
    <row r="17">
      <c r="E17" s="291" t="n">
        <v>46247</v>
      </c>
      <c r="F17" s="18" t="inlineStr">
        <is>
          <t>EJ</t>
        </is>
      </c>
      <c r="G17" s="292" t="n"/>
    </row>
    <row r="18">
      <c r="E18" s="291" t="n">
        <v>46248</v>
      </c>
      <c r="F18" s="18" t="inlineStr">
        <is>
          <t>EJ</t>
        </is>
      </c>
      <c r="G18" s="292" t="n"/>
    </row>
    <row r="19">
      <c r="E19" s="291" t="n">
        <v>46249</v>
      </c>
      <c r="F19" s="18" t="inlineStr">
        <is>
          <t>EJ</t>
        </is>
      </c>
      <c r="G19" s="292" t="n"/>
    </row>
    <row r="20">
      <c r="E20" s="291" t="n">
        <v>46250</v>
      </c>
      <c r="F20" s="18" t="inlineStr">
        <is>
          <t>EJ</t>
        </is>
      </c>
      <c r="G20" s="292" t="n"/>
    </row>
    <row r="21">
      <c r="E21" s="291" t="n">
        <v>46251</v>
      </c>
      <c r="F21" s="18" t="inlineStr">
        <is>
          <t>EJ</t>
        </is>
      </c>
      <c r="G21" s="292" t="n"/>
    </row>
    <row r="22">
      <c r="E22" s="291" t="n">
        <v>46252</v>
      </c>
      <c r="F22" s="18" t="inlineStr">
        <is>
          <t>EJ</t>
        </is>
      </c>
      <c r="G22" s="292" t="n"/>
    </row>
    <row r="23">
      <c r="E23" s="291" t="n">
        <v>46253</v>
      </c>
      <c r="F23" s="18" t="inlineStr">
        <is>
          <t>EJ</t>
        </is>
      </c>
      <c r="G23" s="292" t="n"/>
    </row>
    <row r="24">
      <c r="E24" s="291" t="n">
        <v>46254</v>
      </c>
      <c r="F24" s="18" t="inlineStr">
        <is>
          <t>EJ</t>
        </is>
      </c>
      <c r="G24" s="292" t="n"/>
    </row>
    <row r="25">
      <c r="E25" s="291" t="n">
        <v>46255</v>
      </c>
      <c r="F25" s="18" t="inlineStr">
        <is>
          <t>CMM</t>
        </is>
      </c>
      <c r="G25" s="292" t="inlineStr">
        <is>
          <t>TURNO</t>
        </is>
      </c>
    </row>
    <row r="26">
      <c r="E26" s="291" t="n">
        <v>46256</v>
      </c>
      <c r="F26" s="18" t="inlineStr">
        <is>
          <t>CMM</t>
        </is>
      </c>
      <c r="G26" s="292" t="inlineStr">
        <is>
          <t>MEIO TURNO</t>
        </is>
      </c>
    </row>
    <row r="27">
      <c r="E27" s="291" t="n">
        <v>46257</v>
      </c>
      <c r="F27" s="18" t="n"/>
      <c r="G27" s="292" t="n"/>
    </row>
    <row r="28">
      <c r="E28" s="291" t="n">
        <v>46258</v>
      </c>
      <c r="F28" s="18" t="inlineStr">
        <is>
          <t>CMM</t>
        </is>
      </c>
      <c r="G28" s="292" t="inlineStr">
        <is>
          <t>TURNO</t>
        </is>
      </c>
    </row>
    <row r="29">
      <c r="E29" s="291" t="n">
        <v>46259</v>
      </c>
      <c r="F29" s="18" t="inlineStr">
        <is>
          <t>CMM</t>
        </is>
      </c>
      <c r="G29" s="292" t="inlineStr">
        <is>
          <t>TURNO</t>
        </is>
      </c>
    </row>
    <row r="30">
      <c r="E30" s="291" t="n">
        <v>46260</v>
      </c>
      <c r="F30" s="18" t="inlineStr">
        <is>
          <t>CMM</t>
        </is>
      </c>
      <c r="G30" s="292" t="inlineStr">
        <is>
          <t>TURNO</t>
        </is>
      </c>
    </row>
    <row r="31">
      <c r="E31" s="291" t="n">
        <v>46261</v>
      </c>
      <c r="F31" s="18" t="inlineStr">
        <is>
          <t>CMM</t>
        </is>
      </c>
      <c r="G31" s="292" t="inlineStr">
        <is>
          <t>TURNO</t>
        </is>
      </c>
    </row>
    <row r="32">
      <c r="E32" s="291" t="n">
        <v>46262</v>
      </c>
      <c r="F32" s="18" t="inlineStr">
        <is>
          <t>CMM</t>
        </is>
      </c>
      <c r="G32" s="292" t="inlineStr">
        <is>
          <t>TURNO</t>
        </is>
      </c>
    </row>
    <row r="33">
      <c r="E33" s="291" t="n">
        <v>46263</v>
      </c>
      <c r="F33" s="18" t="n"/>
      <c r="G33" s="292" t="n"/>
    </row>
    <row r="34">
      <c r="E34" s="291" t="n">
        <v>46264</v>
      </c>
      <c r="F34" s="18" t="n"/>
      <c r="G34" s="292" t="n"/>
    </row>
    <row r="35">
      <c r="E35" s="291" t="n">
        <v>46265</v>
      </c>
      <c r="F35" s="18" t="inlineStr">
        <is>
          <t>CMM</t>
        </is>
      </c>
      <c r="G35" s="292" t="inlineStr">
        <is>
          <t>TURNO</t>
        </is>
      </c>
    </row>
  </sheetData>
  <mergeCells count="2">
    <mergeCell ref="A3:C3"/>
    <mergeCell ref="E3:G3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4:J34"/>
  <sheetViews>
    <sheetView zoomScaleNormal="100" workbookViewId="0">
      <selection activeCell="B20" sqref="B20"/>
    </sheetView>
  </sheetViews>
  <sheetFormatPr baseColWidth="8" defaultColWidth="8.5546875" defaultRowHeight="14.4"/>
  <cols>
    <col width="16.88671875" customWidth="1" min="3" max="3"/>
    <col width="106.44140625" customWidth="1" min="4" max="4"/>
    <col width="21" customWidth="1" min="5" max="5"/>
    <col width="13.33203125" customWidth="1" min="6" max="6"/>
    <col width="20.6640625" customWidth="1" min="7" max="7"/>
    <col width="74.6640625" customWidth="1" min="8" max="8"/>
    <col width="11.5546875" customWidth="1" min="10" max="10"/>
  </cols>
  <sheetData>
    <row r="4">
      <c r="B4" t="inlineStr">
        <is>
          <t>DATA</t>
        </is>
      </c>
      <c r="C4" s="222" t="inlineStr">
        <is>
          <t>SERVIÇO</t>
        </is>
      </c>
      <c r="D4" s="222" t="inlineStr">
        <is>
          <t>MOTIVO</t>
        </is>
      </c>
      <c r="E4" s="222" t="inlineStr">
        <is>
          <t>DATA SOLUCIONADA</t>
        </is>
      </c>
      <c r="F4" s="222" t="inlineStr">
        <is>
          <t>TEMPO</t>
        </is>
      </c>
      <c r="G4" s="222" t="inlineStr">
        <is>
          <t>QUANDO</t>
        </is>
      </c>
      <c r="H4" s="222" t="inlineStr">
        <is>
          <t>PARALISAÇÃO</t>
        </is>
      </c>
    </row>
    <row r="5">
      <c r="A5" t="inlineStr">
        <is>
          <t>1 -</t>
        </is>
      </c>
      <c r="B5" s="293" t="n">
        <v>46238</v>
      </c>
      <c r="C5" t="inlineStr">
        <is>
          <t>MONTAGEM</t>
        </is>
      </c>
      <c r="D5" t="inlineStr">
        <is>
          <t>MANUTENÇÃO PLATAFORMA</t>
        </is>
      </c>
      <c r="E5" s="293" t="n">
        <v>46239</v>
      </c>
      <c r="F5" t="inlineStr">
        <is>
          <t>5H</t>
        </is>
      </c>
      <c r="G5" s="294" t="n">
        <v>46238</v>
      </c>
      <c r="H5" t="inlineStr">
        <is>
          <t>EQUIPE SEGURANÇA</t>
        </is>
      </c>
    </row>
    <row r="6">
      <c r="A6" t="inlineStr">
        <is>
          <t>2 -</t>
        </is>
      </c>
      <c r="B6" s="293" t="n">
        <v>46225</v>
      </c>
      <c r="C6" t="inlineStr">
        <is>
          <t>PRE MONTAGEM</t>
        </is>
      </c>
      <c r="D6" t="inlineStr">
        <is>
          <t>AREA DESIGNADA</t>
        </is>
      </c>
      <c r="F6" t="inlineStr">
        <is>
          <t xml:space="preserve">8H </t>
        </is>
      </c>
      <c r="G6" s="222" t="inlineStr">
        <is>
          <t>TODOS OS DIAS</t>
        </is>
      </c>
      <c r="H6" t="inlineStr">
        <is>
          <t>BAIXA PRODUÇÃO DIÁRIA</t>
        </is>
      </c>
    </row>
    <row r="7">
      <c r="A7" t="inlineStr">
        <is>
          <t>3 -</t>
        </is>
      </c>
      <c r="B7" s="293" t="n">
        <v>46237</v>
      </c>
      <c r="C7" t="inlineStr">
        <is>
          <t>MONTAGEM</t>
        </is>
      </c>
      <c r="D7" t="inlineStr">
        <is>
          <t>TUBULAÇÃO ARTEMP JOIST DUPLA</t>
        </is>
      </c>
      <c r="F7" t="inlineStr">
        <is>
          <t xml:space="preserve">8H </t>
        </is>
      </c>
      <c r="G7" s="222" t="inlineStr">
        <is>
          <t>IÇAMENTO</t>
        </is>
      </c>
      <c r="H7" t="inlineStr">
        <is>
          <t>ENQUANTO EQUIPE ARTEMP MONTA TUBOS</t>
        </is>
      </c>
    </row>
    <row r="8">
      <c r="A8" t="inlineStr">
        <is>
          <t>4 -</t>
        </is>
      </c>
      <c r="B8" s="293" t="n">
        <v>46240</v>
      </c>
      <c r="C8" t="inlineStr">
        <is>
          <t>MONTAGEM</t>
        </is>
      </c>
      <c r="D8" t="inlineStr">
        <is>
          <t>LOGISTICA PARA MONTAGEM DE JOIST DUPLA CONFORME ARRANJO NECESSÁRIO DA EQUIPE DE INSTALAÇÕES</t>
        </is>
      </c>
      <c r="E8" s="293" t="n">
        <v>46241</v>
      </c>
      <c r="F8" t="inlineStr">
        <is>
          <t xml:space="preserve">8H </t>
        </is>
      </c>
      <c r="G8" s="222" t="inlineStr">
        <is>
          <t>IÇAMENTO E PREMONTAGEM</t>
        </is>
      </c>
      <c r="H8" t="inlineStr">
        <is>
          <t>SEM IÇAMENTO DE JOIST, BAIXA AREA DE PREMONTAGEM</t>
        </is>
      </c>
    </row>
    <row r="9">
      <c r="A9" t="inlineStr">
        <is>
          <t>5 -</t>
        </is>
      </c>
      <c r="B9" s="293" t="n">
        <v>46282</v>
      </c>
      <c r="C9" t="inlineStr">
        <is>
          <t>MONTAGEM</t>
        </is>
      </c>
      <c r="D9" t="inlineStr">
        <is>
          <t xml:space="preserve">FALTA DE VIGAS PARA MONTAGEM, </t>
        </is>
      </c>
      <c r="F9" t="inlineStr">
        <is>
          <t>4DIAS</t>
        </is>
      </c>
      <c r="G9" s="222" t="inlineStr">
        <is>
          <t>MONTAGEM</t>
        </is>
      </c>
      <c r="H9" t="inlineStr">
        <is>
          <t>SEM VIGAS NA SEMANA, IMPACTANDO NO IÇAMENTO E VAZÃO</t>
        </is>
      </c>
    </row>
    <row r="10">
      <c r="A10" t="inlineStr">
        <is>
          <t>6 -</t>
        </is>
      </c>
      <c r="B10" s="293" t="n">
        <v>46282</v>
      </c>
      <c r="C10" t="inlineStr">
        <is>
          <t>PERFILAÇÃO</t>
        </is>
      </c>
      <c r="D10" t="inlineStr">
        <is>
          <t>FALTA DE DOCUMENTOS PARA PERFILAR</t>
        </is>
      </c>
      <c r="E10" s="293" t="n"/>
      <c r="F10" t="inlineStr">
        <is>
          <t>48h</t>
        </is>
      </c>
      <c r="G10" s="222" t="inlineStr">
        <is>
          <t>INICIO PERFILAÇÃO</t>
        </is>
      </c>
      <c r="H10" t="inlineStr">
        <is>
          <t>PARALISADO POR FALTA DE DOCUMENTOS</t>
        </is>
      </c>
    </row>
    <row r="11">
      <c r="A11" t="inlineStr">
        <is>
          <t>7 -</t>
        </is>
      </c>
      <c r="B11" s="293" t="n">
        <v>46282</v>
      </c>
      <c r="C11" t="inlineStr">
        <is>
          <t>PREMONTAGEM</t>
        </is>
      </c>
      <c r="D11" t="inlineStr">
        <is>
          <t>FALTA DE BANZOS, POR FALTA DE CARGA</t>
        </is>
      </c>
      <c r="F11" t="inlineStr">
        <is>
          <t>12H</t>
        </is>
      </c>
      <c r="G11" s="222" t="inlineStr">
        <is>
          <t>PREMONTAGEM</t>
        </is>
      </c>
      <c r="H11" t="inlineStr">
        <is>
          <t>BZ02 ENVIADO DESCASADO, FALTANDO PARA PREMONTAR</t>
        </is>
      </c>
    </row>
    <row r="12">
      <c r="A12" t="inlineStr">
        <is>
          <t>8 -</t>
        </is>
      </c>
      <c r="B12" s="293" t="n">
        <v>46284</v>
      </c>
      <c r="C12" t="inlineStr">
        <is>
          <t>MONTAGEM</t>
        </is>
      </c>
      <c r="D12" t="inlineStr">
        <is>
          <t>FALTA DE MUNCK TERCEIROS PARA POSICIONAMENTO JOIST</t>
        </is>
      </c>
      <c r="G12" s="222" t="inlineStr">
        <is>
          <t>PRE MONTAGEM</t>
        </is>
      </c>
      <c r="H12" t="inlineStr">
        <is>
          <t>FALTA DE MUNCK AGTC</t>
        </is>
      </c>
    </row>
    <row r="13">
      <c r="A13" t="inlineStr">
        <is>
          <t>9 -</t>
        </is>
      </c>
      <c r="B13" s="293" t="n">
        <v>46284</v>
      </c>
      <c r="C13" t="inlineStr">
        <is>
          <t>MONTAGEM</t>
        </is>
      </c>
      <c r="D13" t="inlineStr">
        <is>
          <t>IÇAMENTO DUPLO ATRAPALHOU O IÇAMENTO DE JOIST</t>
        </is>
      </c>
      <c r="F13" t="inlineStr">
        <is>
          <t>4H</t>
        </is>
      </c>
      <c r="G13" s="222" t="inlineStr">
        <is>
          <t>MONTAGEM</t>
        </is>
      </c>
      <c r="H13" t="inlineStr">
        <is>
          <t>POSICIONAMENTO DE JOIST PARA TUBOS INTERFERIU NA PRODUÇÃO TOTAL</t>
        </is>
      </c>
    </row>
    <row r="14">
      <c r="A14" t="inlineStr">
        <is>
          <t>10 -</t>
        </is>
      </c>
      <c r="B14" s="293" t="n">
        <v>46286</v>
      </c>
      <c r="C14" t="inlineStr">
        <is>
          <t>MONTAGEM</t>
        </is>
      </c>
      <c r="D14" t="inlineStr">
        <is>
          <t xml:space="preserve">AREA ALAGADA </t>
        </is>
      </c>
      <c r="F14" t="inlineStr">
        <is>
          <t xml:space="preserve">8H </t>
        </is>
      </c>
      <c r="G14" s="222" t="inlineStr">
        <is>
          <t>MONTAGEM</t>
        </is>
      </c>
      <c r="H14" t="inlineStr">
        <is>
          <t>MOVIMENTAÇÃO DE JOIST IMPOSSIBILITADA POR CONTA DE ILHAMENTO DE AREA</t>
        </is>
      </c>
    </row>
    <row r="15">
      <c r="A15" t="inlineStr">
        <is>
          <t>11 -</t>
        </is>
      </c>
      <c r="B15" s="293" t="n">
        <v>46286</v>
      </c>
      <c r="C15" t="inlineStr">
        <is>
          <t>PREMONTAGEM</t>
        </is>
      </c>
      <c r="D15" t="inlineStr">
        <is>
          <t xml:space="preserve">AREA ALAGADA </t>
        </is>
      </c>
      <c r="F15" t="inlineStr">
        <is>
          <t xml:space="preserve">8H </t>
        </is>
      </c>
      <c r="G15" s="222" t="inlineStr">
        <is>
          <t>PREMONTAGEM</t>
        </is>
      </c>
      <c r="H15" t="inlineStr">
        <is>
          <t>IMPOSSIBILITADO DE PREMONTAR, POR CONTA DE AREA ILHADA, SEM CONSEGUIR ENTRAR COM MATERIAL.</t>
        </is>
      </c>
    </row>
    <row r="16">
      <c r="A16" t="inlineStr">
        <is>
          <t>12 -</t>
        </is>
      </c>
      <c r="B16" s="293" t="n">
        <v>46291</v>
      </c>
      <c r="C16" t="inlineStr">
        <is>
          <t>PERFILAÇÃO</t>
        </is>
      </c>
      <c r="D16" t="inlineStr">
        <is>
          <t>DEFEITO MAQUINA</t>
        </is>
      </c>
      <c r="F16" t="inlineStr">
        <is>
          <t>12H</t>
        </is>
      </c>
      <c r="G16" s="222" t="inlineStr">
        <is>
          <t>PERFILAÇÃO</t>
        </is>
      </c>
      <c r="H16" t="inlineStr">
        <is>
          <t>FALTA DE MAQUINA</t>
        </is>
      </c>
    </row>
    <row r="17">
      <c r="A17" t="inlineStr">
        <is>
          <t>13 -</t>
        </is>
      </c>
      <c r="B17" s="293" t="n">
        <v>46291</v>
      </c>
      <c r="C17" t="inlineStr">
        <is>
          <t>premontagem</t>
        </is>
      </c>
      <c r="D17" t="inlineStr">
        <is>
          <t>equipe cmm sem frente de serviço, equipe EJ focado na montagem</t>
        </is>
      </c>
      <c r="F17" t="inlineStr">
        <is>
          <t xml:space="preserve">8H </t>
        </is>
      </c>
      <c r="G17" s="222" t="inlineStr">
        <is>
          <t>premontagem</t>
        </is>
      </c>
      <c r="H17" t="inlineStr">
        <is>
          <t>falta de m.o</t>
        </is>
      </c>
    </row>
    <row r="18">
      <c r="A18" t="inlineStr">
        <is>
          <t>14 -</t>
        </is>
      </c>
      <c r="B18" s="293" t="n">
        <v>46291</v>
      </c>
      <c r="C18" t="inlineStr">
        <is>
          <t>montagem</t>
        </is>
      </c>
      <c r="D18" t="inlineStr">
        <is>
          <t>MONTAGEM DE VIGAS SENOIDAIS POR FALTA DE AREA PARA PATOLAR E MAQUINA TRABALHANDO</t>
        </is>
      </c>
      <c r="F18" t="inlineStr">
        <is>
          <t xml:space="preserve">8H </t>
        </is>
      </c>
      <c r="G18" s="222" t="inlineStr">
        <is>
          <t>MONTAGEM</t>
        </is>
      </c>
      <c r="H18" t="inlineStr">
        <is>
          <t xml:space="preserve">AREA COM TERRENO DESNIVELADO </t>
        </is>
      </c>
    </row>
    <row r="19">
      <c r="A19" t="inlineStr">
        <is>
          <t>15 -</t>
        </is>
      </c>
      <c r="B19" s="293" t="n">
        <v>46290</v>
      </c>
      <c r="C19" t="inlineStr">
        <is>
          <t>MONTAGEM</t>
        </is>
      </c>
      <c r="D19" t="inlineStr">
        <is>
          <t>MONTAGEM DE VIGA SENOIDAL ATRASADA POR PILARES IRREGULARES, OU TERRENO IRREGULAR</t>
        </is>
      </c>
      <c r="E19" s="293" t="n">
        <v>46291</v>
      </c>
      <c r="F19" t="inlineStr">
        <is>
          <t>3H</t>
        </is>
      </c>
      <c r="G19" s="222" t="inlineStr">
        <is>
          <t>MONTAGEM</t>
        </is>
      </c>
      <c r="H19" t="inlineStr">
        <is>
          <t>PILAR IRREGULAR 70MM, TENDO QUE AFERIR COM TOPOGRAFIA E TEA</t>
        </is>
      </c>
    </row>
    <row r="20">
      <c r="A20" t="inlineStr">
        <is>
          <t>16 -</t>
        </is>
      </c>
      <c r="G20" s="222" t="n"/>
    </row>
    <row r="21">
      <c r="A21" t="inlineStr">
        <is>
          <t>17 -</t>
        </is>
      </c>
      <c r="G21" s="222" t="n"/>
    </row>
    <row r="22">
      <c r="A22" t="inlineStr">
        <is>
          <t>18 -</t>
        </is>
      </c>
      <c r="G22" s="222" t="n"/>
    </row>
    <row r="23">
      <c r="A23" t="inlineStr">
        <is>
          <t>19 -</t>
        </is>
      </c>
      <c r="G23" s="222" t="n"/>
    </row>
    <row r="24">
      <c r="G24" s="222" t="n"/>
    </row>
    <row r="25">
      <c r="G25" s="222" t="n"/>
    </row>
    <row r="26">
      <c r="G26" s="222" t="n"/>
      <c r="J26" t="n">
        <v>100</v>
      </c>
    </row>
    <row r="27">
      <c r="G27" s="222" t="n"/>
      <c r="J27" t="n">
        <v>2100</v>
      </c>
    </row>
    <row r="28">
      <c r="G28" s="222" t="n"/>
      <c r="J28" s="97">
        <f>J27/J26</f>
        <v/>
      </c>
    </row>
    <row r="29">
      <c r="G29" s="222" t="n"/>
      <c r="J29" s="97">
        <f>J28*2</f>
        <v/>
      </c>
    </row>
    <row r="30">
      <c r="G30" s="222" t="n"/>
    </row>
    <row r="31">
      <c r="G31" s="222" t="n"/>
    </row>
    <row r="32">
      <c r="G32" s="222" t="n"/>
    </row>
    <row r="33">
      <c r="G33" s="222" t="n"/>
    </row>
    <row r="34">
      <c r="G34" s="222" t="n"/>
    </row>
  </sheetData>
  <pageMargins left="0.7" right="0.7" top="0.75" bottom="0.75" header="0.511811023622047" footer="0.511811023622047"/>
  <pageSetup orientation="portrait" paperSize="9" horizontalDpi="300" verticalDpi="300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W101"/>
  <sheetViews>
    <sheetView zoomScaleNormal="100" workbookViewId="0">
      <selection activeCell="A4" sqref="A4"/>
    </sheetView>
  </sheetViews>
  <sheetFormatPr baseColWidth="8" defaultColWidth="8.5546875" defaultRowHeight="14.4"/>
  <cols>
    <col width="10" customWidth="1" min="1" max="1"/>
    <col width="13" customWidth="1" min="2" max="3"/>
    <col width="10" customWidth="1" min="4" max="4"/>
    <col width="21" customWidth="1" min="5" max="5"/>
    <col width="14" customWidth="1" min="6" max="6"/>
    <col width="10" customWidth="1" min="7" max="7"/>
    <col width="15" customWidth="1" min="8" max="8"/>
    <col width="12" customWidth="1" min="9" max="9"/>
    <col width="17" customWidth="1" min="10" max="11"/>
    <col width="15" customWidth="1" min="12" max="12"/>
    <col width="12" customWidth="1" min="13" max="13"/>
    <col width="10" customWidth="1" min="14" max="14"/>
    <col width="12" customWidth="1" min="15" max="15"/>
    <col width="17" customWidth="1" min="16" max="16"/>
    <col width="18" customWidth="1" min="17" max="17"/>
    <col width="14" customWidth="1" min="18" max="18"/>
    <col width="12" customWidth="1" min="19" max="19"/>
    <col width="28" customWidth="1" min="20" max="21"/>
    <col width="16" customWidth="1" min="22" max="22"/>
    <col width="13" customWidth="1" min="23" max="23"/>
  </cols>
  <sheetData>
    <row r="1" ht="15" customHeight="1">
      <c r="C1" s="18" t="n"/>
      <c r="D1" s="223" t="n"/>
      <c r="E1" s="131" t="n"/>
      <c r="F1" s="131" t="n"/>
      <c r="G1" s="71" t="n"/>
    </row>
    <row r="3" ht="20.25" customHeight="1">
      <c r="A3" s="238" t="inlineStr">
        <is>
          <t>CONTROLE SEMANAL ACUMULATIVO DE METAS E GAP</t>
        </is>
      </c>
    </row>
    <row r="4" ht="27" customHeight="1">
      <c r="A4" s="239" t="inlineStr">
        <is>
          <t>As metas são definidas na aba METAS EMPRESAS. A coluna F é automática; altere a meta somente na aba central. O realizado (L) é somado do controle manual e o GAP pendente passa para a semana seguinte.</t>
        </is>
      </c>
    </row>
    <row r="5" ht="25.5" customHeight="1">
      <c r="A5" s="98" t="inlineStr">
        <is>
          <t>Semana Nº</t>
        </is>
      </c>
      <c r="B5" s="99" t="inlineStr">
        <is>
          <t>Início Semana</t>
        </is>
      </c>
      <c r="C5" s="99" t="inlineStr">
        <is>
          <t>Fim Semana</t>
        </is>
      </c>
      <c r="D5" s="99" t="inlineStr">
        <is>
          <t>Empresa</t>
        </is>
      </c>
      <c r="E5" s="99" t="inlineStr">
        <is>
          <t>Atividade</t>
        </is>
      </c>
      <c r="F5" s="99" t="inlineStr">
        <is>
          <t>Meta Diária Base (AUTO)</t>
        </is>
      </c>
      <c r="G5" s="99" t="inlineStr">
        <is>
          <t>Dias Úteis</t>
        </is>
      </c>
      <c r="H5" s="99" t="inlineStr">
        <is>
          <t>Meta Semanal Base</t>
        </is>
      </c>
      <c r="I5" s="99" t="inlineStr">
        <is>
          <t>GAP Anterior</t>
        </is>
      </c>
      <c r="J5" s="99" t="inlineStr">
        <is>
          <t>Meta Semanal Ajustada</t>
        </is>
      </c>
      <c r="K5" s="99" t="inlineStr">
        <is>
          <t>Meta Diária Necessária</t>
        </is>
      </c>
      <c r="L5" s="99" t="inlineStr">
        <is>
          <t>Realizado Semana (AUTO)</t>
        </is>
      </c>
      <c r="M5" s="99" t="inlineStr">
        <is>
          <t>GAP Final</t>
        </is>
      </c>
      <c r="N5" s="99" t="inlineStr">
        <is>
          <t>Ganho</t>
        </is>
      </c>
      <c r="O5" s="99" t="inlineStr">
        <is>
          <t>% Atingimento</t>
        </is>
      </c>
      <c r="P5" s="99" t="inlineStr">
        <is>
          <t>Meta Base Acumulada</t>
        </is>
      </c>
      <c r="Q5" s="99" t="inlineStr">
        <is>
          <t>Realizado Acumulado</t>
        </is>
      </c>
      <c r="R5" s="99" t="inlineStr">
        <is>
          <t>GAP Acumulado</t>
        </is>
      </c>
      <c r="S5" s="99" t="inlineStr">
        <is>
          <t>Status</t>
        </is>
      </c>
      <c r="T5" s="99" t="inlineStr">
        <is>
          <t>Causa / Motivo do Desvio</t>
        </is>
      </c>
      <c r="U5" s="99" t="inlineStr">
        <is>
          <t>Plano de Ação</t>
        </is>
      </c>
      <c r="V5" s="99" t="inlineStr">
        <is>
          <t>Responsável</t>
        </is>
      </c>
      <c r="W5" s="100" t="inlineStr">
        <is>
          <t>Prazo</t>
        </is>
      </c>
    </row>
    <row r="6" hidden="1" ht="15.75" customHeight="1">
      <c r="A6" s="101" t="n">
        <v>1</v>
      </c>
      <c r="B6" s="295" t="n">
        <v>46258</v>
      </c>
      <c r="C6" s="295" t="n">
        <v>46262</v>
      </c>
      <c r="D6" s="101" t="inlineStr">
        <is>
          <t>CMM</t>
        </is>
      </c>
      <c r="E6" s="103" t="inlineStr">
        <is>
          <t>PREMONTAGEM</t>
        </is>
      </c>
      <c r="F6" s="296">
        <f>IF(OR(D6="",E6=""),"",IF(COUNTIFS('METAS EMPRESAS'!$A$5:$A$10,D6,'METAS EMPRESAS'!$B$5:$B$10,E6)=0,"",SUMIFS('METAS EMPRESAS'!$C$5:$C$10,'METAS EMPRESAS'!$A$5:$A$10,D6,'METAS EMPRESAS'!$B$5:$B$10,E6)))</f>
        <v/>
      </c>
      <c r="G6" s="297" t="n">
        <v>5</v>
      </c>
      <c r="H6" s="298">
        <f>IF(F6="","",F6*G6)</f>
        <v/>
      </c>
      <c r="I6" s="298" t="n">
        <v>0</v>
      </c>
      <c r="J6" s="298">
        <f>IF(H6="","",H6+I6)</f>
        <v/>
      </c>
      <c r="K6" s="298">
        <f>IF(J6="","",J6/G6)</f>
        <v/>
      </c>
      <c r="L6" s="297">
        <f>IF(OR($B6="",$C6="",$D6="",$E6=""),"",IF($D6="EJ",IF($E6="PREMONTAGEM",IF((COUNTIFS('CONTROLE PRODUÇÃO POR EMPRESAS'!$A$6:$A$1000,"&gt;="&amp;$B6,'CONTROLE PRODUÇÃO POR EMPRESAS'!$A$6:$A$1000,"&lt;="&amp;$C6,'CONTROLE PRODUÇÃO POR EMPRESAS'!$B$6:$B$1000,"&gt;=0")+COUNTIFS('CONTROLE PRODUÇÃO POR EMPRESAS'!$A$6:$A$1000,"&gt;="&amp;$B6,'CONTROLE PRODUÇÃO POR EMPRESAS'!$A$6:$A$1000,"&lt;="&amp;$C6,'CONTROLE PRODUÇÃO POR EMPRESAS'!$B$6:$B$1000,"?*"))=0,"",SUMIFS('CONTROLE PRODUÇÃO POR EMPRESAS'!$B$6:$B$1000,'CONTROLE PRODUÇÃO POR EMPRESAS'!$A$6:$A$1000,"&gt;="&amp;$B6,'CONTROLE PRODUÇÃO POR EMPRESAS'!$A$6:$A$1000,"&lt;="&amp;$C6)),IF($E6="IÇAMENTO JOIST",IF((COUNTIFS('CONTROLE PRODUÇÃO POR EMPRESAS'!$A$6:$A$1000,"&gt;="&amp;$B6,'CONTROLE PRODUÇÃO POR EMPRESAS'!$A$6:$A$1000,"&lt;="&amp;$C6,'CONTROLE PRODUÇÃO POR EMPRESAS'!$C$6:$C$1000,"&gt;=0")+COUNTIFS('CONTROLE PRODUÇÃO POR EMPRESAS'!$A$6:$A$1000,"&gt;="&amp;$B6,'CONTROLE PRODUÇÃO POR EMPRESAS'!$A$6:$A$1000,"&lt;="&amp;$C6,'CONTROLE PRODUÇÃO POR EMPRESAS'!$C$6:$C$1000,"?*"))=0,"",SUMIFS('CONTROLE PRODUÇÃO POR EMPRESAS'!$C$6:$C$1000,'CONTROLE PRODUÇÃO POR EMPRESAS'!$A$6:$A$1000,"&gt;="&amp;$B6,'CONTROLE PRODUÇÃO POR EMPRESAS'!$A$6:$A$1000,"&lt;="&amp;$C6)),IF($E6="VIGAS",IF((COUNTIFS('CONTROLE PRODUÇÃO POR EMPRESAS'!$A$6:$A$1000,"&gt;="&amp;$B6,'CONTROLE PRODUÇÃO POR EMPRESAS'!$A$6:$A$1000,"&lt;="&amp;$C6,'CONTROLE PRODUÇÃO POR EMPRESAS'!$D$6:$D$1000,"&gt;=0")+COUNTIFS('CONTROLE PRODUÇÃO POR EMPRESAS'!$A$6:$A$1000,"&gt;="&amp;$B6,'CONTROLE PRODUÇÃO POR EMPRESAS'!$A$6:$A$1000,"&lt;="&amp;$C6,'CONTROLE PRODUÇÃO POR EMPRESAS'!$D$6:$D$1000,"?*"))=0,"",SUMIFS('CONTROLE PRODUÇÃO POR EMPRESAS'!$D$6:$D$1000,'CONTROLE PRODUÇÃO POR EMPRESAS'!$A$6:$A$1000,"&gt;="&amp;$B6,'CONTROLE PRODUÇÃO POR EMPRESAS'!$A$6:$A$1000,"&lt;="&amp;$C6)),""))),IF($D6="CMM",IF($E6="PREMONTAGEM",IF((COUNTIFS('CONTROLE PRODUÇÃO POR EMPRESAS'!$A$6:$A$1000,"&gt;="&amp;$B6,'CONTROLE PRODUÇÃO POR EMPRESAS'!$A$6:$A$1000,"&lt;="&amp;$C6,'CONTROLE PRODUÇÃO POR EMPRESAS'!$E$6:$E$1000,"&gt;=0")+COUNTIFS('CONTROLE PRODUÇÃO POR EMPRESAS'!$A$6:$A$1000,"&gt;="&amp;$B6,'CONTROLE PRODUÇÃO POR EMPRESAS'!$A$6:$A$1000,"&lt;="&amp;$C6,'CONTROLE PRODUÇÃO POR EMPRESAS'!$E$6:$E$1000,"?*"))=0,"",SUMIFS('CONTROLE PRODUÇÃO POR EMPRESAS'!$E$6:$E$1000,'CONTROLE PRODUÇÃO POR EMPRESAS'!$A$6:$A$1000,"&gt;="&amp;$B6,'CONTROLE PRODUÇÃO POR EMPRESAS'!$A$6:$A$1000,"&lt;="&amp;$C6)),IF($E6="IÇAMENTO JOIST",IF((COUNTIFS('CONTROLE PRODUÇÃO POR EMPRESAS'!$A$6:$A$1000,"&gt;="&amp;$B6,'CONTROLE PRODUÇÃO POR EMPRESAS'!$A$6:$A$1000,"&lt;="&amp;$C6,'CONTROLE PRODUÇÃO POR EMPRESAS'!$F$6:$F$1000,"&gt;=0")+COUNTIFS('CONTROLE PRODUÇÃO POR EMPRESAS'!$A$6:$A$1000,"&gt;="&amp;$B6,'CONTROLE PRODUÇÃO POR EMPRESAS'!$A$6:$A$1000,"&lt;="&amp;$C6,'CONTROLE PRODUÇÃO POR EMPRESAS'!$F$6:$F$1000,"?*"))=0,"",SUMIFS('CONTROLE PRODUÇÃO POR EMPRESAS'!$F$6:$F$1000,'CONTROLE PRODUÇÃO POR EMPRESAS'!$A$6:$A$1000,"&gt;="&amp;$B6,'CONTROLE PRODUÇÃO POR EMPRESAS'!$A$6:$A$1000,"&lt;="&amp;$C6)),IF($E6="VIGAS",IF((COUNTIFS('CONTROLE PRODUÇÃO POR EMPRESAS'!$A$6:$A$1000,"&gt;="&amp;$B6,'CONTROLE PRODUÇÃO POR EMPRESAS'!$A$6:$A$1000,"&lt;="&amp;$C6,'CONTROLE PRODUÇÃO POR EMPRESAS'!$G$6:$G$1000,"&gt;=0")+COUNTIFS('CONTROLE PRODUÇÃO POR EMPRESAS'!$A$6:$A$1000,"&gt;="&amp;$B6,'CONTROLE PRODUÇÃO POR EMPRESAS'!$A$6:$A$1000,"&lt;="&amp;$C6,'CONTROLE PRODUÇÃO POR EMPRESAS'!$G$6:$G$1000,"?*"))=0,"",SUMIFS('CONTROLE PRODUÇÃO POR EMPRESAS'!$G$6:$G$1000,'CONTROLE PRODUÇÃO POR EMPRESAS'!$A$6:$A$1000,"&gt;="&amp;$B6,'CONTROLE PRODUÇÃO POR EMPRESAS'!$A$6:$A$1000,"&lt;="&amp;$C6)),""))),"")))</f>
        <v/>
      </c>
      <c r="M6" s="298">
        <f>IF(L6="","",MAX(J6-L6,0))</f>
        <v/>
      </c>
      <c r="N6" s="298">
        <f>IF(L6="","",MAX(L6-J6,0))</f>
        <v/>
      </c>
      <c r="O6" s="299">
        <f>IF(L6="","",IFERROR(L6/J6,""))</f>
        <v/>
      </c>
      <c r="P6" s="298">
        <f>IF(H6="","",SUMIFS($H$6:H6,$D$6:D6,D6,$E$6:E6,E6))</f>
        <v/>
      </c>
      <c r="Q6" s="298">
        <f>IF(L6="","",SUMIFS($L$6:L6,$D$6:D6,D6,$E$6:E6,E6))</f>
        <v/>
      </c>
      <c r="R6" s="298">
        <f>IF(Q6="","",MAX(P6-Q6,0))</f>
        <v/>
      </c>
      <c r="S6" s="108">
        <f>IF(O6="","",IF(O6&gt;=1,"VERDE",IF(O6&gt;=0.9,"AMARELO","VERMELHO")))</f>
        <v/>
      </c>
      <c r="T6" s="109" t="n"/>
      <c r="U6" s="109" t="n"/>
      <c r="V6" s="110" t="n"/>
      <c r="W6" s="300" t="n"/>
    </row>
    <row r="7" hidden="1" ht="15.75" customHeight="1">
      <c r="A7" s="101" t="n">
        <v>1</v>
      </c>
      <c r="B7" s="295" t="n">
        <v>46258</v>
      </c>
      <c r="C7" s="295" t="n">
        <v>46262</v>
      </c>
      <c r="D7" s="101" t="inlineStr">
        <is>
          <t>CMM</t>
        </is>
      </c>
      <c r="E7" s="103" t="inlineStr">
        <is>
          <t>IÇAMENTO JOIST</t>
        </is>
      </c>
      <c r="F7" s="296">
        <f>IF(OR(D7="",E7=""),"",IF(COUNTIFS('METAS EMPRESAS'!$A$5:$A$10,D7,'METAS EMPRESAS'!$B$5:$B$10,E7)=0,"",SUMIFS('METAS EMPRESAS'!$C$5:$C$10,'METAS EMPRESAS'!$A$5:$A$10,D7,'METAS EMPRESAS'!$B$5:$B$10,E7)))</f>
        <v/>
      </c>
      <c r="G7" s="297" t="n">
        <v>5</v>
      </c>
      <c r="H7" s="298">
        <f>IF(F7="","",F7*G7)</f>
        <v/>
      </c>
      <c r="I7" s="298" t="n">
        <v>0</v>
      </c>
      <c r="J7" s="298">
        <f>IF(H7="","",H7+I7)</f>
        <v/>
      </c>
      <c r="K7" s="298">
        <f>IF(J7="","",J7/G7)</f>
        <v/>
      </c>
      <c r="L7" s="297">
        <f>IF(OR($B7="",$C7="",$D7="",$E7=""),"",IF($D7="EJ",IF($E7="PREMONTAGEM",IF((COUNTIFS('CONTROLE PRODUÇÃO POR EMPRESAS'!$A$6:$A$1000,"&gt;="&amp;$B7,'CONTROLE PRODUÇÃO POR EMPRESAS'!$A$6:$A$1000,"&lt;="&amp;$C7,'CONTROLE PRODUÇÃO POR EMPRESAS'!$B$6:$B$1000,"&gt;=0")+COUNTIFS('CONTROLE PRODUÇÃO POR EMPRESAS'!$A$6:$A$1000,"&gt;="&amp;$B7,'CONTROLE PRODUÇÃO POR EMPRESAS'!$A$6:$A$1000,"&lt;="&amp;$C7,'CONTROLE PRODUÇÃO POR EMPRESAS'!$B$6:$B$1000,"?*"))=0,"",SUMIFS('CONTROLE PRODUÇÃO POR EMPRESAS'!$B$6:$B$1000,'CONTROLE PRODUÇÃO POR EMPRESAS'!$A$6:$A$1000,"&gt;="&amp;$B7,'CONTROLE PRODUÇÃO POR EMPRESAS'!$A$6:$A$1000,"&lt;="&amp;$C7)),IF($E7="IÇAMENTO JOIST",IF((COUNTIFS('CONTROLE PRODUÇÃO POR EMPRESAS'!$A$6:$A$1000,"&gt;="&amp;$B7,'CONTROLE PRODUÇÃO POR EMPRESAS'!$A$6:$A$1000,"&lt;="&amp;$C7,'CONTROLE PRODUÇÃO POR EMPRESAS'!$C$6:$C$1000,"&gt;=0")+COUNTIFS('CONTROLE PRODUÇÃO POR EMPRESAS'!$A$6:$A$1000,"&gt;="&amp;$B7,'CONTROLE PRODUÇÃO POR EMPRESAS'!$A$6:$A$1000,"&lt;="&amp;$C7,'CONTROLE PRODUÇÃO POR EMPRESAS'!$C$6:$C$1000,"?*"))=0,"",SUMIFS('CONTROLE PRODUÇÃO POR EMPRESAS'!$C$6:$C$1000,'CONTROLE PRODUÇÃO POR EMPRESAS'!$A$6:$A$1000,"&gt;="&amp;$B7,'CONTROLE PRODUÇÃO POR EMPRESAS'!$A$6:$A$1000,"&lt;="&amp;$C7)),IF($E7="VIGAS",IF((COUNTIFS('CONTROLE PRODUÇÃO POR EMPRESAS'!$A$6:$A$1000,"&gt;="&amp;$B7,'CONTROLE PRODUÇÃO POR EMPRESAS'!$A$6:$A$1000,"&lt;="&amp;$C7,'CONTROLE PRODUÇÃO POR EMPRESAS'!$D$6:$D$1000,"&gt;=0")+COUNTIFS('CONTROLE PRODUÇÃO POR EMPRESAS'!$A$6:$A$1000,"&gt;="&amp;$B7,'CONTROLE PRODUÇÃO POR EMPRESAS'!$A$6:$A$1000,"&lt;="&amp;$C7,'CONTROLE PRODUÇÃO POR EMPRESAS'!$D$6:$D$1000,"?*"))=0,"",SUMIFS('CONTROLE PRODUÇÃO POR EMPRESAS'!$D$6:$D$1000,'CONTROLE PRODUÇÃO POR EMPRESAS'!$A$6:$A$1000,"&gt;="&amp;$B7,'CONTROLE PRODUÇÃO POR EMPRESAS'!$A$6:$A$1000,"&lt;="&amp;$C7)),""))),IF($D7="CMM",IF($E7="PREMONTAGEM",IF((COUNTIFS('CONTROLE PRODUÇÃO POR EMPRESAS'!$A$6:$A$1000,"&gt;="&amp;$B7,'CONTROLE PRODUÇÃO POR EMPRESAS'!$A$6:$A$1000,"&lt;="&amp;$C7,'CONTROLE PRODUÇÃO POR EMPRESAS'!$E$6:$E$1000,"&gt;=0")+COUNTIFS('CONTROLE PRODUÇÃO POR EMPRESAS'!$A$6:$A$1000,"&gt;="&amp;$B7,'CONTROLE PRODUÇÃO POR EMPRESAS'!$A$6:$A$1000,"&lt;="&amp;$C7,'CONTROLE PRODUÇÃO POR EMPRESAS'!$E$6:$E$1000,"?*"))=0,"",SUMIFS('CONTROLE PRODUÇÃO POR EMPRESAS'!$E$6:$E$1000,'CONTROLE PRODUÇÃO POR EMPRESAS'!$A$6:$A$1000,"&gt;="&amp;$B7,'CONTROLE PRODUÇÃO POR EMPRESAS'!$A$6:$A$1000,"&lt;="&amp;$C7)),IF($E7="IÇAMENTO JOIST",IF((COUNTIFS('CONTROLE PRODUÇÃO POR EMPRESAS'!$A$6:$A$1000,"&gt;="&amp;$B7,'CONTROLE PRODUÇÃO POR EMPRESAS'!$A$6:$A$1000,"&lt;="&amp;$C7,'CONTROLE PRODUÇÃO POR EMPRESAS'!$F$6:$F$1000,"&gt;=0")+COUNTIFS('CONTROLE PRODUÇÃO POR EMPRESAS'!$A$6:$A$1000,"&gt;="&amp;$B7,'CONTROLE PRODUÇÃO POR EMPRESAS'!$A$6:$A$1000,"&lt;="&amp;$C7,'CONTROLE PRODUÇÃO POR EMPRESAS'!$F$6:$F$1000,"?*"))=0,"",SUMIFS('CONTROLE PRODUÇÃO POR EMPRESAS'!$F$6:$F$1000,'CONTROLE PRODUÇÃO POR EMPRESAS'!$A$6:$A$1000,"&gt;="&amp;$B7,'CONTROLE PRODUÇÃO POR EMPRESAS'!$A$6:$A$1000,"&lt;="&amp;$C7)),IF($E7="VIGAS",IF((COUNTIFS('CONTROLE PRODUÇÃO POR EMPRESAS'!$A$6:$A$1000,"&gt;="&amp;$B7,'CONTROLE PRODUÇÃO POR EMPRESAS'!$A$6:$A$1000,"&lt;="&amp;$C7,'CONTROLE PRODUÇÃO POR EMPRESAS'!$G$6:$G$1000,"&gt;=0")+COUNTIFS('CONTROLE PRODUÇÃO POR EMPRESAS'!$A$6:$A$1000,"&gt;="&amp;$B7,'CONTROLE PRODUÇÃO POR EMPRESAS'!$A$6:$A$1000,"&lt;="&amp;$C7,'CONTROLE PRODUÇÃO POR EMPRESAS'!$G$6:$G$1000,"?*"))=0,"",SUMIFS('CONTROLE PRODUÇÃO POR EMPRESAS'!$G$6:$G$1000,'CONTROLE PRODUÇÃO POR EMPRESAS'!$A$6:$A$1000,"&gt;="&amp;$B7,'CONTROLE PRODUÇÃO POR EMPRESAS'!$A$6:$A$1000,"&lt;="&amp;$C7)),""))),"")))</f>
        <v/>
      </c>
      <c r="M7" s="298">
        <f>IF(L7="","",MAX(J7-L7,0))</f>
        <v/>
      </c>
      <c r="N7" s="298">
        <f>IF(L7="","",MAX(L7-J7,0))</f>
        <v/>
      </c>
      <c r="O7" s="299">
        <f>IF(L7="","",IFERROR(L7/J7,""))</f>
        <v/>
      </c>
      <c r="P7" s="298">
        <f>IF(H7="","",SUMIFS($H$6:H7,$D$6:D7,D7,$E$6:E7,E7))</f>
        <v/>
      </c>
      <c r="Q7" s="298">
        <f>IF(L7="","",SUMIFS($L$6:L7,$D$6:D7,D7,$E$6:E7,E7))</f>
        <v/>
      </c>
      <c r="R7" s="298">
        <f>IF(Q7="","",MAX(P7-Q7,0))</f>
        <v/>
      </c>
      <c r="S7" s="108">
        <f>IF(O7="","",IF(O7&gt;=1,"VERDE",IF(O7&gt;=0.9,"AMARELO","VERMELHO")))</f>
        <v/>
      </c>
      <c r="T7" s="109" t="n"/>
      <c r="U7" s="109" t="n"/>
      <c r="V7" s="110" t="n"/>
      <c r="W7" s="300" t="n"/>
    </row>
    <row r="8" hidden="1" ht="15.75" customHeight="1">
      <c r="A8" s="101" t="n">
        <v>1</v>
      </c>
      <c r="B8" s="295" t="n">
        <v>46258</v>
      </c>
      <c r="C8" s="295" t="n">
        <v>46262</v>
      </c>
      <c r="D8" s="101" t="inlineStr">
        <is>
          <t>CMM</t>
        </is>
      </c>
      <c r="E8" s="103" t="inlineStr">
        <is>
          <t>VIGAS</t>
        </is>
      </c>
      <c r="F8" s="296">
        <f>IF(OR(D8="",E8=""),"",IF(COUNTIFS('METAS EMPRESAS'!$A$5:$A$10,D8,'METAS EMPRESAS'!$B$5:$B$10,E8)=0,"",SUMIFS('METAS EMPRESAS'!$C$5:$C$10,'METAS EMPRESAS'!$A$5:$A$10,D8,'METAS EMPRESAS'!$B$5:$B$10,E8)))</f>
        <v/>
      </c>
      <c r="G8" s="297" t="n">
        <v>5</v>
      </c>
      <c r="H8" s="298">
        <f>IF(F8="","",F8*G8)</f>
        <v/>
      </c>
      <c r="I8" s="298" t="n">
        <v>0</v>
      </c>
      <c r="J8" s="298">
        <f>IF(H8="","",H8+I8)</f>
        <v/>
      </c>
      <c r="K8" s="298">
        <f>IF(J8="","",J8/G8)</f>
        <v/>
      </c>
      <c r="L8" s="297">
        <f>IF(OR($B8="",$C8="",$D8="",$E8=""),"",IF($D8="EJ",IF($E8="PREMONTAGEM",IF((COUNTIFS('CONTROLE PRODUÇÃO POR EMPRESAS'!$A$6:$A$1000,"&gt;="&amp;$B8,'CONTROLE PRODUÇÃO POR EMPRESAS'!$A$6:$A$1000,"&lt;="&amp;$C8,'CONTROLE PRODUÇÃO POR EMPRESAS'!$B$6:$B$1000,"&gt;=0")+COUNTIFS('CONTROLE PRODUÇÃO POR EMPRESAS'!$A$6:$A$1000,"&gt;="&amp;$B8,'CONTROLE PRODUÇÃO POR EMPRESAS'!$A$6:$A$1000,"&lt;="&amp;$C8,'CONTROLE PRODUÇÃO POR EMPRESAS'!$B$6:$B$1000,"?*"))=0,"",SUMIFS('CONTROLE PRODUÇÃO POR EMPRESAS'!$B$6:$B$1000,'CONTROLE PRODUÇÃO POR EMPRESAS'!$A$6:$A$1000,"&gt;="&amp;$B8,'CONTROLE PRODUÇÃO POR EMPRESAS'!$A$6:$A$1000,"&lt;="&amp;$C8)),IF($E8="IÇAMENTO JOIST",IF((COUNTIFS('CONTROLE PRODUÇÃO POR EMPRESAS'!$A$6:$A$1000,"&gt;="&amp;$B8,'CONTROLE PRODUÇÃO POR EMPRESAS'!$A$6:$A$1000,"&lt;="&amp;$C8,'CONTROLE PRODUÇÃO POR EMPRESAS'!$C$6:$C$1000,"&gt;=0")+COUNTIFS('CONTROLE PRODUÇÃO POR EMPRESAS'!$A$6:$A$1000,"&gt;="&amp;$B8,'CONTROLE PRODUÇÃO POR EMPRESAS'!$A$6:$A$1000,"&lt;="&amp;$C8,'CONTROLE PRODUÇÃO POR EMPRESAS'!$C$6:$C$1000,"?*"))=0,"",SUMIFS('CONTROLE PRODUÇÃO POR EMPRESAS'!$C$6:$C$1000,'CONTROLE PRODUÇÃO POR EMPRESAS'!$A$6:$A$1000,"&gt;="&amp;$B8,'CONTROLE PRODUÇÃO POR EMPRESAS'!$A$6:$A$1000,"&lt;="&amp;$C8)),IF($E8="VIGAS",IF((COUNTIFS('CONTROLE PRODUÇÃO POR EMPRESAS'!$A$6:$A$1000,"&gt;="&amp;$B8,'CONTROLE PRODUÇÃO POR EMPRESAS'!$A$6:$A$1000,"&lt;="&amp;$C8,'CONTROLE PRODUÇÃO POR EMPRESAS'!$D$6:$D$1000,"&gt;=0")+COUNTIFS('CONTROLE PRODUÇÃO POR EMPRESAS'!$A$6:$A$1000,"&gt;="&amp;$B8,'CONTROLE PRODUÇÃO POR EMPRESAS'!$A$6:$A$1000,"&lt;="&amp;$C8,'CONTROLE PRODUÇÃO POR EMPRESAS'!$D$6:$D$1000,"?*"))=0,"",SUMIFS('CONTROLE PRODUÇÃO POR EMPRESAS'!$D$6:$D$1000,'CONTROLE PRODUÇÃO POR EMPRESAS'!$A$6:$A$1000,"&gt;="&amp;$B8,'CONTROLE PRODUÇÃO POR EMPRESAS'!$A$6:$A$1000,"&lt;="&amp;$C8)),""))),IF($D8="CMM",IF($E8="PREMONTAGEM",IF((COUNTIFS('CONTROLE PRODUÇÃO POR EMPRESAS'!$A$6:$A$1000,"&gt;="&amp;$B8,'CONTROLE PRODUÇÃO POR EMPRESAS'!$A$6:$A$1000,"&lt;="&amp;$C8,'CONTROLE PRODUÇÃO POR EMPRESAS'!$E$6:$E$1000,"&gt;=0")+COUNTIFS('CONTROLE PRODUÇÃO POR EMPRESAS'!$A$6:$A$1000,"&gt;="&amp;$B8,'CONTROLE PRODUÇÃO POR EMPRESAS'!$A$6:$A$1000,"&lt;="&amp;$C8,'CONTROLE PRODUÇÃO POR EMPRESAS'!$E$6:$E$1000,"?*"))=0,"",SUMIFS('CONTROLE PRODUÇÃO POR EMPRESAS'!$E$6:$E$1000,'CONTROLE PRODUÇÃO POR EMPRESAS'!$A$6:$A$1000,"&gt;="&amp;$B8,'CONTROLE PRODUÇÃO POR EMPRESAS'!$A$6:$A$1000,"&lt;="&amp;$C8)),IF($E8="IÇAMENTO JOIST",IF((COUNTIFS('CONTROLE PRODUÇÃO POR EMPRESAS'!$A$6:$A$1000,"&gt;="&amp;$B8,'CONTROLE PRODUÇÃO POR EMPRESAS'!$A$6:$A$1000,"&lt;="&amp;$C8,'CONTROLE PRODUÇÃO POR EMPRESAS'!$F$6:$F$1000,"&gt;=0")+COUNTIFS('CONTROLE PRODUÇÃO POR EMPRESAS'!$A$6:$A$1000,"&gt;="&amp;$B8,'CONTROLE PRODUÇÃO POR EMPRESAS'!$A$6:$A$1000,"&lt;="&amp;$C8,'CONTROLE PRODUÇÃO POR EMPRESAS'!$F$6:$F$1000,"?*"))=0,"",SUMIFS('CONTROLE PRODUÇÃO POR EMPRESAS'!$F$6:$F$1000,'CONTROLE PRODUÇÃO POR EMPRESAS'!$A$6:$A$1000,"&gt;="&amp;$B8,'CONTROLE PRODUÇÃO POR EMPRESAS'!$A$6:$A$1000,"&lt;="&amp;$C8)),IF($E8="VIGAS",IF((COUNTIFS('CONTROLE PRODUÇÃO POR EMPRESAS'!$A$6:$A$1000,"&gt;="&amp;$B8,'CONTROLE PRODUÇÃO POR EMPRESAS'!$A$6:$A$1000,"&lt;="&amp;$C8,'CONTROLE PRODUÇÃO POR EMPRESAS'!$G$6:$G$1000,"&gt;=0")+COUNTIFS('CONTROLE PRODUÇÃO POR EMPRESAS'!$A$6:$A$1000,"&gt;="&amp;$B8,'CONTROLE PRODUÇÃO POR EMPRESAS'!$A$6:$A$1000,"&lt;="&amp;$C8,'CONTROLE PRODUÇÃO POR EMPRESAS'!$G$6:$G$1000,"?*"))=0,"",SUMIFS('CONTROLE PRODUÇÃO POR EMPRESAS'!$G$6:$G$1000,'CONTROLE PRODUÇÃO POR EMPRESAS'!$A$6:$A$1000,"&gt;="&amp;$B8,'CONTROLE PRODUÇÃO POR EMPRESAS'!$A$6:$A$1000,"&lt;="&amp;$C8)),""))),"")))</f>
        <v/>
      </c>
      <c r="M8" s="298">
        <f>IF(L8="","",MAX(J8-L8,0))</f>
        <v/>
      </c>
      <c r="N8" s="298">
        <f>IF(L8="","",MAX(L8-J8,0))</f>
        <v/>
      </c>
      <c r="O8" s="299">
        <f>IF(L8="","",IFERROR(L8/J8,""))</f>
        <v/>
      </c>
      <c r="P8" s="298">
        <f>IF(H8="","",SUMIFS($H$6:H8,$D$6:D8,D8,$E$6:E8,E8))</f>
        <v/>
      </c>
      <c r="Q8" s="298">
        <f>IF(L8="","",SUMIFS($L$6:L8,$D$6:D8,D8,$E$6:E8,E8))</f>
        <v/>
      </c>
      <c r="R8" s="298">
        <f>IF(Q8="","",MAX(P8-Q8,0))</f>
        <v/>
      </c>
      <c r="S8" s="108">
        <f>IF(O8="","",IF(O8&gt;=1,"VERDE",IF(O8&gt;=0.9,"AMARELO","VERMELHO")))</f>
        <v/>
      </c>
      <c r="T8" s="109" t="n"/>
      <c r="U8" s="109" t="n"/>
      <c r="V8" s="110" t="n"/>
      <c r="W8" s="300" t="n"/>
    </row>
    <row r="9" hidden="1" ht="15.75" customHeight="1">
      <c r="A9" s="101" t="n">
        <v>1</v>
      </c>
      <c r="B9" s="295" t="n">
        <v>46258</v>
      </c>
      <c r="C9" s="295" t="n">
        <v>46262</v>
      </c>
      <c r="D9" s="101" t="inlineStr">
        <is>
          <t>EJ</t>
        </is>
      </c>
      <c r="E9" s="103" t="inlineStr">
        <is>
          <t>PREMONTAGEM</t>
        </is>
      </c>
      <c r="F9" s="296">
        <f>IF(OR(D9="",E9=""),"",IF(COUNTIFS('METAS EMPRESAS'!$A$5:$A$10,D9,'METAS EMPRESAS'!$B$5:$B$10,E9)=0,"",SUMIFS('METAS EMPRESAS'!$C$5:$C$10,'METAS EMPRESAS'!$A$5:$A$10,D9,'METAS EMPRESAS'!$B$5:$B$10,E9)))</f>
        <v/>
      </c>
      <c r="G9" s="297" t="n">
        <v>5</v>
      </c>
      <c r="H9" s="298">
        <f>IF(F9="","",F9*G9)</f>
        <v/>
      </c>
      <c r="I9" s="298" t="n">
        <v>0</v>
      </c>
      <c r="J9" s="298">
        <f>IF(H9="","",H9+I9)</f>
        <v/>
      </c>
      <c r="K9" s="298">
        <f>IF(J9="","",J9/G9)</f>
        <v/>
      </c>
      <c r="L9" s="297">
        <f>IF(OR($B9="",$C9="",$D9="",$E9=""),"",IF($D9="EJ",IF($E9="PREMONTAGEM",IF((COUNTIFS('CONTROLE PRODUÇÃO POR EMPRESAS'!$A$6:$A$1000,"&gt;="&amp;$B9,'CONTROLE PRODUÇÃO POR EMPRESAS'!$A$6:$A$1000,"&lt;="&amp;$C9,'CONTROLE PRODUÇÃO POR EMPRESAS'!$B$6:$B$1000,"&gt;=0")+COUNTIFS('CONTROLE PRODUÇÃO POR EMPRESAS'!$A$6:$A$1000,"&gt;="&amp;$B9,'CONTROLE PRODUÇÃO POR EMPRESAS'!$A$6:$A$1000,"&lt;="&amp;$C9,'CONTROLE PRODUÇÃO POR EMPRESAS'!$B$6:$B$1000,"?*"))=0,"",SUMIFS('CONTROLE PRODUÇÃO POR EMPRESAS'!$B$6:$B$1000,'CONTROLE PRODUÇÃO POR EMPRESAS'!$A$6:$A$1000,"&gt;="&amp;$B9,'CONTROLE PRODUÇÃO POR EMPRESAS'!$A$6:$A$1000,"&lt;="&amp;$C9)),IF($E9="IÇAMENTO JOIST",IF((COUNTIFS('CONTROLE PRODUÇÃO POR EMPRESAS'!$A$6:$A$1000,"&gt;="&amp;$B9,'CONTROLE PRODUÇÃO POR EMPRESAS'!$A$6:$A$1000,"&lt;="&amp;$C9,'CONTROLE PRODUÇÃO POR EMPRESAS'!$C$6:$C$1000,"&gt;=0")+COUNTIFS('CONTROLE PRODUÇÃO POR EMPRESAS'!$A$6:$A$1000,"&gt;="&amp;$B9,'CONTROLE PRODUÇÃO POR EMPRESAS'!$A$6:$A$1000,"&lt;="&amp;$C9,'CONTROLE PRODUÇÃO POR EMPRESAS'!$C$6:$C$1000,"?*"))=0,"",SUMIFS('CONTROLE PRODUÇÃO POR EMPRESAS'!$C$6:$C$1000,'CONTROLE PRODUÇÃO POR EMPRESAS'!$A$6:$A$1000,"&gt;="&amp;$B9,'CONTROLE PRODUÇÃO POR EMPRESAS'!$A$6:$A$1000,"&lt;="&amp;$C9)),IF($E9="VIGAS",IF((COUNTIFS('CONTROLE PRODUÇÃO POR EMPRESAS'!$A$6:$A$1000,"&gt;="&amp;$B9,'CONTROLE PRODUÇÃO POR EMPRESAS'!$A$6:$A$1000,"&lt;="&amp;$C9,'CONTROLE PRODUÇÃO POR EMPRESAS'!$D$6:$D$1000,"&gt;=0")+COUNTIFS('CONTROLE PRODUÇÃO POR EMPRESAS'!$A$6:$A$1000,"&gt;="&amp;$B9,'CONTROLE PRODUÇÃO POR EMPRESAS'!$A$6:$A$1000,"&lt;="&amp;$C9,'CONTROLE PRODUÇÃO POR EMPRESAS'!$D$6:$D$1000,"?*"))=0,"",SUMIFS('CONTROLE PRODUÇÃO POR EMPRESAS'!$D$6:$D$1000,'CONTROLE PRODUÇÃO POR EMPRESAS'!$A$6:$A$1000,"&gt;="&amp;$B9,'CONTROLE PRODUÇÃO POR EMPRESAS'!$A$6:$A$1000,"&lt;="&amp;$C9)),""))),IF($D9="CMM",IF($E9="PREMONTAGEM",IF((COUNTIFS('CONTROLE PRODUÇÃO POR EMPRESAS'!$A$6:$A$1000,"&gt;="&amp;$B9,'CONTROLE PRODUÇÃO POR EMPRESAS'!$A$6:$A$1000,"&lt;="&amp;$C9,'CONTROLE PRODUÇÃO POR EMPRESAS'!$E$6:$E$1000,"&gt;=0")+COUNTIFS('CONTROLE PRODUÇÃO POR EMPRESAS'!$A$6:$A$1000,"&gt;="&amp;$B9,'CONTROLE PRODUÇÃO POR EMPRESAS'!$A$6:$A$1000,"&lt;="&amp;$C9,'CONTROLE PRODUÇÃO POR EMPRESAS'!$E$6:$E$1000,"?*"))=0,"",SUMIFS('CONTROLE PRODUÇÃO POR EMPRESAS'!$E$6:$E$1000,'CONTROLE PRODUÇÃO POR EMPRESAS'!$A$6:$A$1000,"&gt;="&amp;$B9,'CONTROLE PRODUÇÃO POR EMPRESAS'!$A$6:$A$1000,"&lt;="&amp;$C9)),IF($E9="IÇAMENTO JOIST",IF((COUNTIFS('CONTROLE PRODUÇÃO POR EMPRESAS'!$A$6:$A$1000,"&gt;="&amp;$B9,'CONTROLE PRODUÇÃO POR EMPRESAS'!$A$6:$A$1000,"&lt;="&amp;$C9,'CONTROLE PRODUÇÃO POR EMPRESAS'!$F$6:$F$1000,"&gt;=0")+COUNTIFS('CONTROLE PRODUÇÃO POR EMPRESAS'!$A$6:$A$1000,"&gt;="&amp;$B9,'CONTROLE PRODUÇÃO POR EMPRESAS'!$A$6:$A$1000,"&lt;="&amp;$C9,'CONTROLE PRODUÇÃO POR EMPRESAS'!$F$6:$F$1000,"?*"))=0,"",SUMIFS('CONTROLE PRODUÇÃO POR EMPRESAS'!$F$6:$F$1000,'CONTROLE PRODUÇÃO POR EMPRESAS'!$A$6:$A$1000,"&gt;="&amp;$B9,'CONTROLE PRODUÇÃO POR EMPRESAS'!$A$6:$A$1000,"&lt;="&amp;$C9)),IF($E9="VIGAS",IF((COUNTIFS('CONTROLE PRODUÇÃO POR EMPRESAS'!$A$6:$A$1000,"&gt;="&amp;$B9,'CONTROLE PRODUÇÃO POR EMPRESAS'!$A$6:$A$1000,"&lt;="&amp;$C9,'CONTROLE PRODUÇÃO POR EMPRESAS'!$G$6:$G$1000,"&gt;=0")+COUNTIFS('CONTROLE PRODUÇÃO POR EMPRESAS'!$A$6:$A$1000,"&gt;="&amp;$B9,'CONTROLE PRODUÇÃO POR EMPRESAS'!$A$6:$A$1000,"&lt;="&amp;$C9,'CONTROLE PRODUÇÃO POR EMPRESAS'!$G$6:$G$1000,"?*"))=0,"",SUMIFS('CONTROLE PRODUÇÃO POR EMPRESAS'!$G$6:$G$1000,'CONTROLE PRODUÇÃO POR EMPRESAS'!$A$6:$A$1000,"&gt;="&amp;$B9,'CONTROLE PRODUÇÃO POR EMPRESAS'!$A$6:$A$1000,"&lt;="&amp;$C9)),""))),"")))</f>
        <v/>
      </c>
      <c r="M9" s="298">
        <f>IF(L9="","",MAX(J9-L9,0))</f>
        <v/>
      </c>
      <c r="N9" s="298">
        <f>IF(L9="","",MAX(L9-J9,0))</f>
        <v/>
      </c>
      <c r="O9" s="299">
        <f>IF(L9="","",IFERROR(L9/J9,""))</f>
        <v/>
      </c>
      <c r="P9" s="298">
        <f>IF(H9="","",SUMIFS($H$6:H9,$D$6:D9,D9,$E$6:E9,E9))</f>
        <v/>
      </c>
      <c r="Q9" s="298">
        <f>IF(L9="","",SUMIFS($L$6:L9,$D$6:D9,D9,$E$6:E9,E9))</f>
        <v/>
      </c>
      <c r="R9" s="298">
        <f>IF(Q9="","",MAX(P9-Q9,0))</f>
        <v/>
      </c>
      <c r="S9" s="108">
        <f>IF(O9="","",IF(O9&gt;=1,"VERDE",IF(O9&gt;=0.9,"AMARELO","VERMELHO")))</f>
        <v/>
      </c>
      <c r="T9" s="109" t="n"/>
      <c r="U9" s="109" t="n"/>
      <c r="V9" s="110" t="n"/>
      <c r="W9" s="300" t="n"/>
    </row>
    <row r="10" hidden="1" ht="15.75" customHeight="1">
      <c r="A10" s="101" t="n">
        <v>1</v>
      </c>
      <c r="B10" s="295" t="n">
        <v>46258</v>
      </c>
      <c r="C10" s="295" t="n">
        <v>46262</v>
      </c>
      <c r="D10" s="101" t="inlineStr">
        <is>
          <t>EJ</t>
        </is>
      </c>
      <c r="E10" s="103" t="inlineStr">
        <is>
          <t>IÇAMENTO JOIST</t>
        </is>
      </c>
      <c r="F10" s="296">
        <f>IF(OR(D10="",E10=""),"",IF(COUNTIFS('METAS EMPRESAS'!$A$5:$A$10,D10,'METAS EMPRESAS'!$B$5:$B$10,E10)=0,"",SUMIFS('METAS EMPRESAS'!$C$5:$C$10,'METAS EMPRESAS'!$A$5:$A$10,D10,'METAS EMPRESAS'!$B$5:$B$10,E10)))</f>
        <v/>
      </c>
      <c r="G10" s="297" t="n">
        <v>5</v>
      </c>
      <c r="H10" s="298">
        <f>IF(F10="","",F10*G10)</f>
        <v/>
      </c>
      <c r="I10" s="298" t="n">
        <v>0</v>
      </c>
      <c r="J10" s="298">
        <f>IF(H10="","",H10+I10)</f>
        <v/>
      </c>
      <c r="K10" s="298">
        <f>IF(J10="","",J10/G10)</f>
        <v/>
      </c>
      <c r="L10" s="297">
        <f>IF(OR($B10="",$C10="",$D10="",$E10=""),"",IF($D10="EJ",IF($E10="PREMONTAGEM",IF((COUNTIFS('CONTROLE PRODUÇÃO POR EMPRESAS'!$A$6:$A$1000,"&gt;="&amp;$B10,'CONTROLE PRODUÇÃO POR EMPRESAS'!$A$6:$A$1000,"&lt;="&amp;$C10,'CONTROLE PRODUÇÃO POR EMPRESAS'!$B$6:$B$1000,"&gt;=0")+COUNTIFS('CONTROLE PRODUÇÃO POR EMPRESAS'!$A$6:$A$1000,"&gt;="&amp;$B10,'CONTROLE PRODUÇÃO POR EMPRESAS'!$A$6:$A$1000,"&lt;="&amp;$C10,'CONTROLE PRODUÇÃO POR EMPRESAS'!$B$6:$B$1000,"?*"))=0,"",SUMIFS('CONTROLE PRODUÇÃO POR EMPRESAS'!$B$6:$B$1000,'CONTROLE PRODUÇÃO POR EMPRESAS'!$A$6:$A$1000,"&gt;="&amp;$B10,'CONTROLE PRODUÇÃO POR EMPRESAS'!$A$6:$A$1000,"&lt;="&amp;$C10)),IF($E10="IÇAMENTO JOIST",IF((COUNTIFS('CONTROLE PRODUÇÃO POR EMPRESAS'!$A$6:$A$1000,"&gt;="&amp;$B10,'CONTROLE PRODUÇÃO POR EMPRESAS'!$A$6:$A$1000,"&lt;="&amp;$C10,'CONTROLE PRODUÇÃO POR EMPRESAS'!$C$6:$C$1000,"&gt;=0")+COUNTIFS('CONTROLE PRODUÇÃO POR EMPRESAS'!$A$6:$A$1000,"&gt;="&amp;$B10,'CONTROLE PRODUÇÃO POR EMPRESAS'!$A$6:$A$1000,"&lt;="&amp;$C10,'CONTROLE PRODUÇÃO POR EMPRESAS'!$C$6:$C$1000,"?*"))=0,"",SUMIFS('CONTROLE PRODUÇÃO POR EMPRESAS'!$C$6:$C$1000,'CONTROLE PRODUÇÃO POR EMPRESAS'!$A$6:$A$1000,"&gt;="&amp;$B10,'CONTROLE PRODUÇÃO POR EMPRESAS'!$A$6:$A$1000,"&lt;="&amp;$C10)),IF($E10="VIGAS",IF((COUNTIFS('CONTROLE PRODUÇÃO POR EMPRESAS'!$A$6:$A$1000,"&gt;="&amp;$B10,'CONTROLE PRODUÇÃO POR EMPRESAS'!$A$6:$A$1000,"&lt;="&amp;$C10,'CONTROLE PRODUÇÃO POR EMPRESAS'!$D$6:$D$1000,"&gt;=0")+COUNTIFS('CONTROLE PRODUÇÃO POR EMPRESAS'!$A$6:$A$1000,"&gt;="&amp;$B10,'CONTROLE PRODUÇÃO POR EMPRESAS'!$A$6:$A$1000,"&lt;="&amp;$C10,'CONTROLE PRODUÇÃO POR EMPRESAS'!$D$6:$D$1000,"?*"))=0,"",SUMIFS('CONTROLE PRODUÇÃO POR EMPRESAS'!$D$6:$D$1000,'CONTROLE PRODUÇÃO POR EMPRESAS'!$A$6:$A$1000,"&gt;="&amp;$B10,'CONTROLE PRODUÇÃO POR EMPRESAS'!$A$6:$A$1000,"&lt;="&amp;$C10)),""))),IF($D10="CMM",IF($E10="PREMONTAGEM",IF((COUNTIFS('CONTROLE PRODUÇÃO POR EMPRESAS'!$A$6:$A$1000,"&gt;="&amp;$B10,'CONTROLE PRODUÇÃO POR EMPRESAS'!$A$6:$A$1000,"&lt;="&amp;$C10,'CONTROLE PRODUÇÃO POR EMPRESAS'!$E$6:$E$1000,"&gt;=0")+COUNTIFS('CONTROLE PRODUÇÃO POR EMPRESAS'!$A$6:$A$1000,"&gt;="&amp;$B10,'CONTROLE PRODUÇÃO POR EMPRESAS'!$A$6:$A$1000,"&lt;="&amp;$C10,'CONTROLE PRODUÇÃO POR EMPRESAS'!$E$6:$E$1000,"?*"))=0,"",SUMIFS('CONTROLE PRODUÇÃO POR EMPRESAS'!$E$6:$E$1000,'CONTROLE PRODUÇÃO POR EMPRESAS'!$A$6:$A$1000,"&gt;="&amp;$B10,'CONTROLE PRODUÇÃO POR EMPRESAS'!$A$6:$A$1000,"&lt;="&amp;$C10)),IF($E10="IÇAMENTO JOIST",IF((COUNTIFS('CONTROLE PRODUÇÃO POR EMPRESAS'!$A$6:$A$1000,"&gt;="&amp;$B10,'CONTROLE PRODUÇÃO POR EMPRESAS'!$A$6:$A$1000,"&lt;="&amp;$C10,'CONTROLE PRODUÇÃO POR EMPRESAS'!$F$6:$F$1000,"&gt;=0")+COUNTIFS('CONTROLE PRODUÇÃO POR EMPRESAS'!$A$6:$A$1000,"&gt;="&amp;$B10,'CONTROLE PRODUÇÃO POR EMPRESAS'!$A$6:$A$1000,"&lt;="&amp;$C10,'CONTROLE PRODUÇÃO POR EMPRESAS'!$F$6:$F$1000,"?*"))=0,"",SUMIFS('CONTROLE PRODUÇÃO POR EMPRESAS'!$F$6:$F$1000,'CONTROLE PRODUÇÃO POR EMPRESAS'!$A$6:$A$1000,"&gt;="&amp;$B10,'CONTROLE PRODUÇÃO POR EMPRESAS'!$A$6:$A$1000,"&lt;="&amp;$C10)),IF($E10="VIGAS",IF((COUNTIFS('CONTROLE PRODUÇÃO POR EMPRESAS'!$A$6:$A$1000,"&gt;="&amp;$B10,'CONTROLE PRODUÇÃO POR EMPRESAS'!$A$6:$A$1000,"&lt;="&amp;$C10,'CONTROLE PRODUÇÃO POR EMPRESAS'!$G$6:$G$1000,"&gt;=0")+COUNTIFS('CONTROLE PRODUÇÃO POR EMPRESAS'!$A$6:$A$1000,"&gt;="&amp;$B10,'CONTROLE PRODUÇÃO POR EMPRESAS'!$A$6:$A$1000,"&lt;="&amp;$C10,'CONTROLE PRODUÇÃO POR EMPRESAS'!$G$6:$G$1000,"?*"))=0,"",SUMIFS('CONTROLE PRODUÇÃO POR EMPRESAS'!$G$6:$G$1000,'CONTROLE PRODUÇÃO POR EMPRESAS'!$A$6:$A$1000,"&gt;="&amp;$B10,'CONTROLE PRODUÇÃO POR EMPRESAS'!$A$6:$A$1000,"&lt;="&amp;$C10)),""))),"")))</f>
        <v/>
      </c>
      <c r="M10" s="298">
        <f>IF(L10="","",MAX(J10-L10,0))</f>
        <v/>
      </c>
      <c r="N10" s="298">
        <f>IF(L10="","",MAX(L10-J10,0))</f>
        <v/>
      </c>
      <c r="O10" s="299">
        <f>IF(L10="","",IFERROR(L10/J10,""))</f>
        <v/>
      </c>
      <c r="P10" s="298">
        <f>IF(H10="","",SUMIFS($H$6:H10,$D$6:D10,D10,$E$6:E10,E10))</f>
        <v/>
      </c>
      <c r="Q10" s="298">
        <f>IF(L10="","",SUMIFS($L$6:L10,$D$6:D10,D10,$E$6:E10,E10))</f>
        <v/>
      </c>
      <c r="R10" s="298">
        <f>IF(Q10="","",MAX(P10-Q10,0))</f>
        <v/>
      </c>
      <c r="S10" s="108">
        <f>IF(O10="","",IF(O10&gt;=1,"VERDE",IF(O10&gt;=0.9,"AMARELO","VERMELHO")))</f>
        <v/>
      </c>
      <c r="T10" s="109" t="n"/>
      <c r="U10" s="109" t="n"/>
      <c r="V10" s="110" t="n"/>
      <c r="W10" s="300" t="n"/>
    </row>
    <row r="11" hidden="1" ht="15.75" customHeight="1">
      <c r="A11" s="101" t="n">
        <v>1</v>
      </c>
      <c r="B11" s="295" t="n">
        <v>46258</v>
      </c>
      <c r="C11" s="295" t="n">
        <v>46262</v>
      </c>
      <c r="D11" s="101" t="inlineStr">
        <is>
          <t>EJ</t>
        </is>
      </c>
      <c r="E11" s="103" t="inlineStr">
        <is>
          <t>VIGAS</t>
        </is>
      </c>
      <c r="F11" s="296">
        <f>IF(OR(D11="",E11=""),"",IF(COUNTIFS('METAS EMPRESAS'!$A$5:$A$10,D11,'METAS EMPRESAS'!$B$5:$B$10,E11)=0,"",SUMIFS('METAS EMPRESAS'!$C$5:$C$10,'METAS EMPRESAS'!$A$5:$A$10,D11,'METAS EMPRESAS'!$B$5:$B$10,E11)))</f>
        <v/>
      </c>
      <c r="G11" s="297" t="n">
        <v>5</v>
      </c>
      <c r="H11" s="298">
        <f>IF(F11="","",F11*G11)</f>
        <v/>
      </c>
      <c r="I11" s="298" t="n">
        <v>0</v>
      </c>
      <c r="J11" s="298">
        <f>IF(H11="","",H11+I11)</f>
        <v/>
      </c>
      <c r="K11" s="298">
        <f>IF(J11="","",J11/G11)</f>
        <v/>
      </c>
      <c r="L11" s="297">
        <f>IF(OR($B11="",$C11="",$D11="",$E11=""),"",IF($D11="EJ",IF($E11="PREMONTAGEM",IF((COUNTIFS('CONTROLE PRODUÇÃO POR EMPRESAS'!$A$6:$A$1000,"&gt;="&amp;$B11,'CONTROLE PRODUÇÃO POR EMPRESAS'!$A$6:$A$1000,"&lt;="&amp;$C11,'CONTROLE PRODUÇÃO POR EMPRESAS'!$B$6:$B$1000,"&gt;=0")+COUNTIFS('CONTROLE PRODUÇÃO POR EMPRESAS'!$A$6:$A$1000,"&gt;="&amp;$B11,'CONTROLE PRODUÇÃO POR EMPRESAS'!$A$6:$A$1000,"&lt;="&amp;$C11,'CONTROLE PRODUÇÃO POR EMPRESAS'!$B$6:$B$1000,"?*"))=0,"",SUMIFS('CONTROLE PRODUÇÃO POR EMPRESAS'!$B$6:$B$1000,'CONTROLE PRODUÇÃO POR EMPRESAS'!$A$6:$A$1000,"&gt;="&amp;$B11,'CONTROLE PRODUÇÃO POR EMPRESAS'!$A$6:$A$1000,"&lt;="&amp;$C11)),IF($E11="IÇAMENTO JOIST",IF((COUNTIFS('CONTROLE PRODUÇÃO POR EMPRESAS'!$A$6:$A$1000,"&gt;="&amp;$B11,'CONTROLE PRODUÇÃO POR EMPRESAS'!$A$6:$A$1000,"&lt;="&amp;$C11,'CONTROLE PRODUÇÃO POR EMPRESAS'!$C$6:$C$1000,"&gt;=0")+COUNTIFS('CONTROLE PRODUÇÃO POR EMPRESAS'!$A$6:$A$1000,"&gt;="&amp;$B11,'CONTROLE PRODUÇÃO POR EMPRESAS'!$A$6:$A$1000,"&lt;="&amp;$C11,'CONTROLE PRODUÇÃO POR EMPRESAS'!$C$6:$C$1000,"?*"))=0,"",SUMIFS('CONTROLE PRODUÇÃO POR EMPRESAS'!$C$6:$C$1000,'CONTROLE PRODUÇÃO POR EMPRESAS'!$A$6:$A$1000,"&gt;="&amp;$B11,'CONTROLE PRODUÇÃO POR EMPRESAS'!$A$6:$A$1000,"&lt;="&amp;$C11)),IF($E11="VIGAS",IF((COUNTIFS('CONTROLE PRODUÇÃO POR EMPRESAS'!$A$6:$A$1000,"&gt;="&amp;$B11,'CONTROLE PRODUÇÃO POR EMPRESAS'!$A$6:$A$1000,"&lt;="&amp;$C11,'CONTROLE PRODUÇÃO POR EMPRESAS'!$D$6:$D$1000,"&gt;=0")+COUNTIFS('CONTROLE PRODUÇÃO POR EMPRESAS'!$A$6:$A$1000,"&gt;="&amp;$B11,'CONTROLE PRODUÇÃO POR EMPRESAS'!$A$6:$A$1000,"&lt;="&amp;$C11,'CONTROLE PRODUÇÃO POR EMPRESAS'!$D$6:$D$1000,"?*"))=0,"",SUMIFS('CONTROLE PRODUÇÃO POR EMPRESAS'!$D$6:$D$1000,'CONTROLE PRODUÇÃO POR EMPRESAS'!$A$6:$A$1000,"&gt;="&amp;$B11,'CONTROLE PRODUÇÃO POR EMPRESAS'!$A$6:$A$1000,"&lt;="&amp;$C11)),""))),IF($D11="CMM",IF($E11="PREMONTAGEM",IF((COUNTIFS('CONTROLE PRODUÇÃO POR EMPRESAS'!$A$6:$A$1000,"&gt;="&amp;$B11,'CONTROLE PRODUÇÃO POR EMPRESAS'!$A$6:$A$1000,"&lt;="&amp;$C11,'CONTROLE PRODUÇÃO POR EMPRESAS'!$E$6:$E$1000,"&gt;=0")+COUNTIFS('CONTROLE PRODUÇÃO POR EMPRESAS'!$A$6:$A$1000,"&gt;="&amp;$B11,'CONTROLE PRODUÇÃO POR EMPRESAS'!$A$6:$A$1000,"&lt;="&amp;$C11,'CONTROLE PRODUÇÃO POR EMPRESAS'!$E$6:$E$1000,"?*"))=0,"",SUMIFS('CONTROLE PRODUÇÃO POR EMPRESAS'!$E$6:$E$1000,'CONTROLE PRODUÇÃO POR EMPRESAS'!$A$6:$A$1000,"&gt;="&amp;$B11,'CONTROLE PRODUÇÃO POR EMPRESAS'!$A$6:$A$1000,"&lt;="&amp;$C11)),IF($E11="IÇAMENTO JOIST",IF((COUNTIFS('CONTROLE PRODUÇÃO POR EMPRESAS'!$A$6:$A$1000,"&gt;="&amp;$B11,'CONTROLE PRODUÇÃO POR EMPRESAS'!$A$6:$A$1000,"&lt;="&amp;$C11,'CONTROLE PRODUÇÃO POR EMPRESAS'!$F$6:$F$1000,"&gt;=0")+COUNTIFS('CONTROLE PRODUÇÃO POR EMPRESAS'!$A$6:$A$1000,"&gt;="&amp;$B11,'CONTROLE PRODUÇÃO POR EMPRESAS'!$A$6:$A$1000,"&lt;="&amp;$C11,'CONTROLE PRODUÇÃO POR EMPRESAS'!$F$6:$F$1000,"?*"))=0,"",SUMIFS('CONTROLE PRODUÇÃO POR EMPRESAS'!$F$6:$F$1000,'CONTROLE PRODUÇÃO POR EMPRESAS'!$A$6:$A$1000,"&gt;="&amp;$B11,'CONTROLE PRODUÇÃO POR EMPRESAS'!$A$6:$A$1000,"&lt;="&amp;$C11)),IF($E11="VIGAS",IF((COUNTIFS('CONTROLE PRODUÇÃO POR EMPRESAS'!$A$6:$A$1000,"&gt;="&amp;$B11,'CONTROLE PRODUÇÃO POR EMPRESAS'!$A$6:$A$1000,"&lt;="&amp;$C11,'CONTROLE PRODUÇÃO POR EMPRESAS'!$G$6:$G$1000,"&gt;=0")+COUNTIFS('CONTROLE PRODUÇÃO POR EMPRESAS'!$A$6:$A$1000,"&gt;="&amp;$B11,'CONTROLE PRODUÇÃO POR EMPRESAS'!$A$6:$A$1000,"&lt;="&amp;$C11,'CONTROLE PRODUÇÃO POR EMPRESAS'!$G$6:$G$1000,"?*"))=0,"",SUMIFS('CONTROLE PRODUÇÃO POR EMPRESAS'!$G$6:$G$1000,'CONTROLE PRODUÇÃO POR EMPRESAS'!$A$6:$A$1000,"&gt;="&amp;$B11,'CONTROLE PRODUÇÃO POR EMPRESAS'!$A$6:$A$1000,"&lt;="&amp;$C11)),""))),"")))</f>
        <v/>
      </c>
      <c r="M11" s="298">
        <f>IF(L11="","",MAX(J11-L11,0))</f>
        <v/>
      </c>
      <c r="N11" s="298">
        <f>IF(L11="","",MAX(L11-J11,0))</f>
        <v/>
      </c>
      <c r="O11" s="299">
        <f>IF(L11="","",IFERROR(L11/J11,""))</f>
        <v/>
      </c>
      <c r="P11" s="298">
        <f>IF(H11="","",SUMIFS($H$6:H11,$D$6:D11,D11,$E$6:E11,E11))</f>
        <v/>
      </c>
      <c r="Q11" s="298">
        <f>IF(L11="","",SUMIFS($L$6:L11,$D$6:D11,D11,$E$6:E11,E11))</f>
        <v/>
      </c>
      <c r="R11" s="298">
        <f>IF(Q11="","",MAX(P11-Q11,0))</f>
        <v/>
      </c>
      <c r="S11" s="108">
        <f>IF(O11="","",IF(O11&gt;=1,"VERDE",IF(O11&gt;=0.9,"AMARELO","VERMELHO")))</f>
        <v/>
      </c>
      <c r="T11" s="109" t="n"/>
      <c r="U11" s="109" t="n"/>
      <c r="V11" s="110" t="n"/>
      <c r="W11" s="300" t="n"/>
    </row>
    <row r="12" hidden="1" ht="15.75" customHeight="1">
      <c r="A12" s="101" t="n">
        <v>2</v>
      </c>
      <c r="B12" s="295" t="n">
        <v>46265</v>
      </c>
      <c r="C12" s="295" t="n">
        <v>46269</v>
      </c>
      <c r="D12" s="101" t="inlineStr">
        <is>
          <t>CMM</t>
        </is>
      </c>
      <c r="E12" s="103" t="inlineStr">
        <is>
          <t>PREMONTAGEM</t>
        </is>
      </c>
      <c r="F12" s="296">
        <f>IF(OR(D12="",E12=""),"",IF(COUNTIFS('METAS EMPRESAS'!$A$5:$A$10,D12,'METAS EMPRESAS'!$B$5:$B$10,E12)=0,"",SUMIFS('METAS EMPRESAS'!$C$5:$C$10,'METAS EMPRESAS'!$A$5:$A$10,D12,'METAS EMPRESAS'!$B$5:$B$10,E12)))</f>
        <v/>
      </c>
      <c r="G12" s="297" t="n">
        <v>5</v>
      </c>
      <c r="H12" s="298">
        <f>IF(F12="","",F12*G12)</f>
        <v/>
      </c>
      <c r="I12" s="298">
        <f>IF(M6="",0,M6)</f>
        <v/>
      </c>
      <c r="J12" s="298">
        <f>IF(H12="","",H12+I12)</f>
        <v/>
      </c>
      <c r="K12" s="298">
        <f>IF(J12="","",J12/G12)</f>
        <v/>
      </c>
      <c r="L12" s="297">
        <f>IF(OR($B12="",$C12="",$D12="",$E12=""),"",IF($D12="EJ",IF($E12="PREMONTAGEM",IF((COUNTIFS('CONTROLE PRODUÇÃO POR EMPRESAS'!$A$6:$A$1000,"&gt;="&amp;$B12,'CONTROLE PRODUÇÃO POR EMPRESAS'!$A$6:$A$1000,"&lt;="&amp;$C12,'CONTROLE PRODUÇÃO POR EMPRESAS'!$B$6:$B$1000,"&gt;=0")+COUNTIFS('CONTROLE PRODUÇÃO POR EMPRESAS'!$A$6:$A$1000,"&gt;="&amp;$B12,'CONTROLE PRODUÇÃO POR EMPRESAS'!$A$6:$A$1000,"&lt;="&amp;$C12,'CONTROLE PRODUÇÃO POR EMPRESAS'!$B$6:$B$1000,"?*"))=0,"",SUMIFS('CONTROLE PRODUÇÃO POR EMPRESAS'!$B$6:$B$1000,'CONTROLE PRODUÇÃO POR EMPRESAS'!$A$6:$A$1000,"&gt;="&amp;$B12,'CONTROLE PRODUÇÃO POR EMPRESAS'!$A$6:$A$1000,"&lt;="&amp;$C12)),IF($E12="IÇAMENTO JOIST",IF((COUNTIFS('CONTROLE PRODUÇÃO POR EMPRESAS'!$A$6:$A$1000,"&gt;="&amp;$B12,'CONTROLE PRODUÇÃO POR EMPRESAS'!$A$6:$A$1000,"&lt;="&amp;$C12,'CONTROLE PRODUÇÃO POR EMPRESAS'!$C$6:$C$1000,"&gt;=0")+COUNTIFS('CONTROLE PRODUÇÃO POR EMPRESAS'!$A$6:$A$1000,"&gt;="&amp;$B12,'CONTROLE PRODUÇÃO POR EMPRESAS'!$A$6:$A$1000,"&lt;="&amp;$C12,'CONTROLE PRODUÇÃO POR EMPRESAS'!$C$6:$C$1000,"?*"))=0,"",SUMIFS('CONTROLE PRODUÇÃO POR EMPRESAS'!$C$6:$C$1000,'CONTROLE PRODUÇÃO POR EMPRESAS'!$A$6:$A$1000,"&gt;="&amp;$B12,'CONTROLE PRODUÇÃO POR EMPRESAS'!$A$6:$A$1000,"&lt;="&amp;$C12)),IF($E12="VIGAS",IF((COUNTIFS('CONTROLE PRODUÇÃO POR EMPRESAS'!$A$6:$A$1000,"&gt;="&amp;$B12,'CONTROLE PRODUÇÃO POR EMPRESAS'!$A$6:$A$1000,"&lt;="&amp;$C12,'CONTROLE PRODUÇÃO POR EMPRESAS'!$D$6:$D$1000,"&gt;=0")+COUNTIFS('CONTROLE PRODUÇÃO POR EMPRESAS'!$A$6:$A$1000,"&gt;="&amp;$B12,'CONTROLE PRODUÇÃO POR EMPRESAS'!$A$6:$A$1000,"&lt;="&amp;$C12,'CONTROLE PRODUÇÃO POR EMPRESAS'!$D$6:$D$1000,"?*"))=0,"",SUMIFS('CONTROLE PRODUÇÃO POR EMPRESAS'!$D$6:$D$1000,'CONTROLE PRODUÇÃO POR EMPRESAS'!$A$6:$A$1000,"&gt;="&amp;$B12,'CONTROLE PRODUÇÃO POR EMPRESAS'!$A$6:$A$1000,"&lt;="&amp;$C12)),""))),IF($D12="CMM",IF($E12="PREMONTAGEM",IF((COUNTIFS('CONTROLE PRODUÇÃO POR EMPRESAS'!$A$6:$A$1000,"&gt;="&amp;$B12,'CONTROLE PRODUÇÃO POR EMPRESAS'!$A$6:$A$1000,"&lt;="&amp;$C12,'CONTROLE PRODUÇÃO POR EMPRESAS'!$E$6:$E$1000,"&gt;=0")+COUNTIFS('CONTROLE PRODUÇÃO POR EMPRESAS'!$A$6:$A$1000,"&gt;="&amp;$B12,'CONTROLE PRODUÇÃO POR EMPRESAS'!$A$6:$A$1000,"&lt;="&amp;$C12,'CONTROLE PRODUÇÃO POR EMPRESAS'!$E$6:$E$1000,"?*"))=0,"",SUMIFS('CONTROLE PRODUÇÃO POR EMPRESAS'!$E$6:$E$1000,'CONTROLE PRODUÇÃO POR EMPRESAS'!$A$6:$A$1000,"&gt;="&amp;$B12,'CONTROLE PRODUÇÃO POR EMPRESAS'!$A$6:$A$1000,"&lt;="&amp;$C12)),IF($E12="IÇAMENTO JOIST",IF((COUNTIFS('CONTROLE PRODUÇÃO POR EMPRESAS'!$A$6:$A$1000,"&gt;="&amp;$B12,'CONTROLE PRODUÇÃO POR EMPRESAS'!$A$6:$A$1000,"&lt;="&amp;$C12,'CONTROLE PRODUÇÃO POR EMPRESAS'!$F$6:$F$1000,"&gt;=0")+COUNTIFS('CONTROLE PRODUÇÃO POR EMPRESAS'!$A$6:$A$1000,"&gt;="&amp;$B12,'CONTROLE PRODUÇÃO POR EMPRESAS'!$A$6:$A$1000,"&lt;="&amp;$C12,'CONTROLE PRODUÇÃO POR EMPRESAS'!$F$6:$F$1000,"?*"))=0,"",SUMIFS('CONTROLE PRODUÇÃO POR EMPRESAS'!$F$6:$F$1000,'CONTROLE PRODUÇÃO POR EMPRESAS'!$A$6:$A$1000,"&gt;="&amp;$B12,'CONTROLE PRODUÇÃO POR EMPRESAS'!$A$6:$A$1000,"&lt;="&amp;$C12)),IF($E12="VIGAS",IF((COUNTIFS('CONTROLE PRODUÇÃO POR EMPRESAS'!$A$6:$A$1000,"&gt;="&amp;$B12,'CONTROLE PRODUÇÃO POR EMPRESAS'!$A$6:$A$1000,"&lt;="&amp;$C12,'CONTROLE PRODUÇÃO POR EMPRESAS'!$G$6:$G$1000,"&gt;=0")+COUNTIFS('CONTROLE PRODUÇÃO POR EMPRESAS'!$A$6:$A$1000,"&gt;="&amp;$B12,'CONTROLE PRODUÇÃO POR EMPRESAS'!$A$6:$A$1000,"&lt;="&amp;$C12,'CONTROLE PRODUÇÃO POR EMPRESAS'!$G$6:$G$1000,"?*"))=0,"",SUMIFS('CONTROLE PRODUÇÃO POR EMPRESAS'!$G$6:$G$1000,'CONTROLE PRODUÇÃO POR EMPRESAS'!$A$6:$A$1000,"&gt;="&amp;$B12,'CONTROLE PRODUÇÃO POR EMPRESAS'!$A$6:$A$1000,"&lt;="&amp;$C12)),""))),"")))</f>
        <v/>
      </c>
      <c r="M12" s="298">
        <f>IF(L12="","",MAX(J12-L12,0))</f>
        <v/>
      </c>
      <c r="N12" s="298">
        <f>IF(L12="","",MAX(L12-J12,0))</f>
        <v/>
      </c>
      <c r="O12" s="299">
        <f>IF(L12="","",IFERROR(L12/J12,""))</f>
        <v/>
      </c>
      <c r="P12" s="298">
        <f>IF(H12="","",SUMIFS($H$6:H12,$D$6:D12,D12,$E$6:E12,E12))</f>
        <v/>
      </c>
      <c r="Q12" s="298">
        <f>IF(L12="","",SUMIFS($L$6:L12,$D$6:D12,D12,$E$6:E12,E12))</f>
        <v/>
      </c>
      <c r="R12" s="298">
        <f>IF(Q12="","",MAX(P12-Q12,0))</f>
        <v/>
      </c>
      <c r="S12" s="108">
        <f>IF(O12="","",IF(O12&gt;=1,"VERDE",IF(O12&gt;=0.9,"AMARELO","VERMELHO")))</f>
        <v/>
      </c>
      <c r="T12" s="109" t="n"/>
      <c r="U12" s="109" t="n"/>
      <c r="V12" s="110" t="n"/>
      <c r="W12" s="300" t="n"/>
    </row>
    <row r="13" hidden="1" ht="15.75" customHeight="1">
      <c r="A13" s="101" t="n">
        <v>2</v>
      </c>
      <c r="B13" s="295" t="n">
        <v>46265</v>
      </c>
      <c r="C13" s="295" t="n">
        <v>46269</v>
      </c>
      <c r="D13" s="101" t="inlineStr">
        <is>
          <t>CMM</t>
        </is>
      </c>
      <c r="E13" s="103" t="inlineStr">
        <is>
          <t>IÇAMENTO JOIST</t>
        </is>
      </c>
      <c r="F13" s="296">
        <f>IF(OR(D13="",E13=""),"",IF(COUNTIFS('METAS EMPRESAS'!$A$5:$A$10,D13,'METAS EMPRESAS'!$B$5:$B$10,E13)=0,"",SUMIFS('METAS EMPRESAS'!$C$5:$C$10,'METAS EMPRESAS'!$A$5:$A$10,D13,'METAS EMPRESAS'!$B$5:$B$10,E13)))</f>
        <v/>
      </c>
      <c r="G13" s="297" t="n">
        <v>5</v>
      </c>
      <c r="H13" s="298">
        <f>IF(F13="","",F13*G13)</f>
        <v/>
      </c>
      <c r="I13" s="298">
        <f>IF(M7="",0,M7)</f>
        <v/>
      </c>
      <c r="J13" s="298">
        <f>IF(H13="","",H13+I13)</f>
        <v/>
      </c>
      <c r="K13" s="298">
        <f>IF(J13="","",J13/G13)</f>
        <v/>
      </c>
      <c r="L13" s="297">
        <f>IF(OR($B13="",$C13="",$D13="",$E13=""),"",IF($D13="EJ",IF($E13="PREMONTAGEM",IF((COUNTIFS('CONTROLE PRODUÇÃO POR EMPRESAS'!$A$6:$A$1000,"&gt;="&amp;$B13,'CONTROLE PRODUÇÃO POR EMPRESAS'!$A$6:$A$1000,"&lt;="&amp;$C13,'CONTROLE PRODUÇÃO POR EMPRESAS'!$B$6:$B$1000,"&gt;=0")+COUNTIFS('CONTROLE PRODUÇÃO POR EMPRESAS'!$A$6:$A$1000,"&gt;="&amp;$B13,'CONTROLE PRODUÇÃO POR EMPRESAS'!$A$6:$A$1000,"&lt;="&amp;$C13,'CONTROLE PRODUÇÃO POR EMPRESAS'!$B$6:$B$1000,"?*"))=0,"",SUMIFS('CONTROLE PRODUÇÃO POR EMPRESAS'!$B$6:$B$1000,'CONTROLE PRODUÇÃO POR EMPRESAS'!$A$6:$A$1000,"&gt;="&amp;$B13,'CONTROLE PRODUÇÃO POR EMPRESAS'!$A$6:$A$1000,"&lt;="&amp;$C13)),IF($E13="IÇAMENTO JOIST",IF((COUNTIFS('CONTROLE PRODUÇÃO POR EMPRESAS'!$A$6:$A$1000,"&gt;="&amp;$B13,'CONTROLE PRODUÇÃO POR EMPRESAS'!$A$6:$A$1000,"&lt;="&amp;$C13,'CONTROLE PRODUÇÃO POR EMPRESAS'!$C$6:$C$1000,"&gt;=0")+COUNTIFS('CONTROLE PRODUÇÃO POR EMPRESAS'!$A$6:$A$1000,"&gt;="&amp;$B13,'CONTROLE PRODUÇÃO POR EMPRESAS'!$A$6:$A$1000,"&lt;="&amp;$C13,'CONTROLE PRODUÇÃO POR EMPRESAS'!$C$6:$C$1000,"?*"))=0,"",SUMIFS('CONTROLE PRODUÇÃO POR EMPRESAS'!$C$6:$C$1000,'CONTROLE PRODUÇÃO POR EMPRESAS'!$A$6:$A$1000,"&gt;="&amp;$B13,'CONTROLE PRODUÇÃO POR EMPRESAS'!$A$6:$A$1000,"&lt;="&amp;$C13)),IF($E13="VIGAS",IF((COUNTIFS('CONTROLE PRODUÇÃO POR EMPRESAS'!$A$6:$A$1000,"&gt;="&amp;$B13,'CONTROLE PRODUÇÃO POR EMPRESAS'!$A$6:$A$1000,"&lt;="&amp;$C13,'CONTROLE PRODUÇÃO POR EMPRESAS'!$D$6:$D$1000,"&gt;=0")+COUNTIFS('CONTROLE PRODUÇÃO POR EMPRESAS'!$A$6:$A$1000,"&gt;="&amp;$B13,'CONTROLE PRODUÇÃO POR EMPRESAS'!$A$6:$A$1000,"&lt;="&amp;$C13,'CONTROLE PRODUÇÃO POR EMPRESAS'!$D$6:$D$1000,"?*"))=0,"",SUMIFS('CONTROLE PRODUÇÃO POR EMPRESAS'!$D$6:$D$1000,'CONTROLE PRODUÇÃO POR EMPRESAS'!$A$6:$A$1000,"&gt;="&amp;$B13,'CONTROLE PRODUÇÃO POR EMPRESAS'!$A$6:$A$1000,"&lt;="&amp;$C13)),""))),IF($D13="CMM",IF($E13="PREMONTAGEM",IF((COUNTIFS('CONTROLE PRODUÇÃO POR EMPRESAS'!$A$6:$A$1000,"&gt;="&amp;$B13,'CONTROLE PRODUÇÃO POR EMPRESAS'!$A$6:$A$1000,"&lt;="&amp;$C13,'CONTROLE PRODUÇÃO POR EMPRESAS'!$E$6:$E$1000,"&gt;=0")+COUNTIFS('CONTROLE PRODUÇÃO POR EMPRESAS'!$A$6:$A$1000,"&gt;="&amp;$B13,'CONTROLE PRODUÇÃO POR EMPRESAS'!$A$6:$A$1000,"&lt;="&amp;$C13,'CONTROLE PRODUÇÃO POR EMPRESAS'!$E$6:$E$1000,"?*"))=0,"",SUMIFS('CONTROLE PRODUÇÃO POR EMPRESAS'!$E$6:$E$1000,'CONTROLE PRODUÇÃO POR EMPRESAS'!$A$6:$A$1000,"&gt;="&amp;$B13,'CONTROLE PRODUÇÃO POR EMPRESAS'!$A$6:$A$1000,"&lt;="&amp;$C13)),IF($E13="IÇAMENTO JOIST",IF((COUNTIFS('CONTROLE PRODUÇÃO POR EMPRESAS'!$A$6:$A$1000,"&gt;="&amp;$B13,'CONTROLE PRODUÇÃO POR EMPRESAS'!$A$6:$A$1000,"&lt;="&amp;$C13,'CONTROLE PRODUÇÃO POR EMPRESAS'!$F$6:$F$1000,"&gt;=0")+COUNTIFS('CONTROLE PRODUÇÃO POR EMPRESAS'!$A$6:$A$1000,"&gt;="&amp;$B13,'CONTROLE PRODUÇÃO POR EMPRESAS'!$A$6:$A$1000,"&lt;="&amp;$C13,'CONTROLE PRODUÇÃO POR EMPRESAS'!$F$6:$F$1000,"?*"))=0,"",SUMIFS('CONTROLE PRODUÇÃO POR EMPRESAS'!$F$6:$F$1000,'CONTROLE PRODUÇÃO POR EMPRESAS'!$A$6:$A$1000,"&gt;="&amp;$B13,'CONTROLE PRODUÇÃO POR EMPRESAS'!$A$6:$A$1000,"&lt;="&amp;$C13)),IF($E13="VIGAS",IF((COUNTIFS('CONTROLE PRODUÇÃO POR EMPRESAS'!$A$6:$A$1000,"&gt;="&amp;$B13,'CONTROLE PRODUÇÃO POR EMPRESAS'!$A$6:$A$1000,"&lt;="&amp;$C13,'CONTROLE PRODUÇÃO POR EMPRESAS'!$G$6:$G$1000,"&gt;=0")+COUNTIFS('CONTROLE PRODUÇÃO POR EMPRESAS'!$A$6:$A$1000,"&gt;="&amp;$B13,'CONTROLE PRODUÇÃO POR EMPRESAS'!$A$6:$A$1000,"&lt;="&amp;$C13,'CONTROLE PRODUÇÃO POR EMPRESAS'!$G$6:$G$1000,"?*"))=0,"",SUMIFS('CONTROLE PRODUÇÃO POR EMPRESAS'!$G$6:$G$1000,'CONTROLE PRODUÇÃO POR EMPRESAS'!$A$6:$A$1000,"&gt;="&amp;$B13,'CONTROLE PRODUÇÃO POR EMPRESAS'!$A$6:$A$1000,"&lt;="&amp;$C13)),""))),"")))</f>
        <v/>
      </c>
      <c r="M13" s="298">
        <f>IF(L13="","",MAX(J13-L13,0))</f>
        <v/>
      </c>
      <c r="N13" s="298">
        <f>IF(L13="","",MAX(L13-J13,0))</f>
        <v/>
      </c>
      <c r="O13" s="299">
        <f>IF(L13="","",IFERROR(L13/J13,""))</f>
        <v/>
      </c>
      <c r="P13" s="298">
        <f>IF(H13="","",SUMIFS($H$6:H13,$D$6:D13,D13,$E$6:E13,E13))</f>
        <v/>
      </c>
      <c r="Q13" s="298">
        <f>IF(L13="","",SUMIFS($L$6:L13,$D$6:D13,D13,$E$6:E13,E13))</f>
        <v/>
      </c>
      <c r="R13" s="298">
        <f>IF(Q13="","",MAX(P13-Q13,0))</f>
        <v/>
      </c>
      <c r="S13" s="108">
        <f>IF(O13="","",IF(O13&gt;=1,"VERDE",IF(O13&gt;=0.9,"AMARELO","VERMELHO")))</f>
        <v/>
      </c>
      <c r="T13" s="109" t="n"/>
      <c r="U13" s="109" t="n"/>
      <c r="V13" s="110" t="n"/>
      <c r="W13" s="300" t="n"/>
    </row>
    <row r="14" hidden="1" ht="15.75" customHeight="1">
      <c r="A14" s="101" t="n">
        <v>2</v>
      </c>
      <c r="B14" s="295" t="n">
        <v>46265</v>
      </c>
      <c r="C14" s="295" t="n">
        <v>46269</v>
      </c>
      <c r="D14" s="101" t="inlineStr">
        <is>
          <t>CMM</t>
        </is>
      </c>
      <c r="E14" s="103" t="inlineStr">
        <is>
          <t>VIGAS</t>
        </is>
      </c>
      <c r="F14" s="296">
        <f>IF(OR(D14="",E14=""),"",IF(COUNTIFS('METAS EMPRESAS'!$A$5:$A$10,D14,'METAS EMPRESAS'!$B$5:$B$10,E14)=0,"",SUMIFS('METAS EMPRESAS'!$C$5:$C$10,'METAS EMPRESAS'!$A$5:$A$10,D14,'METAS EMPRESAS'!$B$5:$B$10,E14)))</f>
        <v/>
      </c>
      <c r="G14" s="297" t="n">
        <v>5</v>
      </c>
      <c r="H14" s="298">
        <f>IF(F14="","",F14*G14)</f>
        <v/>
      </c>
      <c r="I14" s="298">
        <f>IF(M8="",0,M8)</f>
        <v/>
      </c>
      <c r="J14" s="298">
        <f>IF(H14="","",H14+I14)</f>
        <v/>
      </c>
      <c r="K14" s="298">
        <f>IF(J14="","",J14/G14)</f>
        <v/>
      </c>
      <c r="L14" s="297">
        <f>IF(OR($B14="",$C14="",$D14="",$E14=""),"",IF($D14="EJ",IF($E14="PREMONTAGEM",IF((COUNTIFS('CONTROLE PRODUÇÃO POR EMPRESAS'!$A$6:$A$1000,"&gt;="&amp;$B14,'CONTROLE PRODUÇÃO POR EMPRESAS'!$A$6:$A$1000,"&lt;="&amp;$C14,'CONTROLE PRODUÇÃO POR EMPRESAS'!$B$6:$B$1000,"&gt;=0")+COUNTIFS('CONTROLE PRODUÇÃO POR EMPRESAS'!$A$6:$A$1000,"&gt;="&amp;$B14,'CONTROLE PRODUÇÃO POR EMPRESAS'!$A$6:$A$1000,"&lt;="&amp;$C14,'CONTROLE PRODUÇÃO POR EMPRESAS'!$B$6:$B$1000,"?*"))=0,"",SUMIFS('CONTROLE PRODUÇÃO POR EMPRESAS'!$B$6:$B$1000,'CONTROLE PRODUÇÃO POR EMPRESAS'!$A$6:$A$1000,"&gt;="&amp;$B14,'CONTROLE PRODUÇÃO POR EMPRESAS'!$A$6:$A$1000,"&lt;="&amp;$C14)),IF($E14="IÇAMENTO JOIST",IF((COUNTIFS('CONTROLE PRODUÇÃO POR EMPRESAS'!$A$6:$A$1000,"&gt;="&amp;$B14,'CONTROLE PRODUÇÃO POR EMPRESAS'!$A$6:$A$1000,"&lt;="&amp;$C14,'CONTROLE PRODUÇÃO POR EMPRESAS'!$C$6:$C$1000,"&gt;=0")+COUNTIFS('CONTROLE PRODUÇÃO POR EMPRESAS'!$A$6:$A$1000,"&gt;="&amp;$B14,'CONTROLE PRODUÇÃO POR EMPRESAS'!$A$6:$A$1000,"&lt;="&amp;$C14,'CONTROLE PRODUÇÃO POR EMPRESAS'!$C$6:$C$1000,"?*"))=0,"",SUMIFS('CONTROLE PRODUÇÃO POR EMPRESAS'!$C$6:$C$1000,'CONTROLE PRODUÇÃO POR EMPRESAS'!$A$6:$A$1000,"&gt;="&amp;$B14,'CONTROLE PRODUÇÃO POR EMPRESAS'!$A$6:$A$1000,"&lt;="&amp;$C14)),IF($E14="VIGAS",IF((COUNTIFS('CONTROLE PRODUÇÃO POR EMPRESAS'!$A$6:$A$1000,"&gt;="&amp;$B14,'CONTROLE PRODUÇÃO POR EMPRESAS'!$A$6:$A$1000,"&lt;="&amp;$C14,'CONTROLE PRODUÇÃO POR EMPRESAS'!$D$6:$D$1000,"&gt;=0")+COUNTIFS('CONTROLE PRODUÇÃO POR EMPRESAS'!$A$6:$A$1000,"&gt;="&amp;$B14,'CONTROLE PRODUÇÃO POR EMPRESAS'!$A$6:$A$1000,"&lt;="&amp;$C14,'CONTROLE PRODUÇÃO POR EMPRESAS'!$D$6:$D$1000,"?*"))=0,"",SUMIFS('CONTROLE PRODUÇÃO POR EMPRESAS'!$D$6:$D$1000,'CONTROLE PRODUÇÃO POR EMPRESAS'!$A$6:$A$1000,"&gt;="&amp;$B14,'CONTROLE PRODUÇÃO POR EMPRESAS'!$A$6:$A$1000,"&lt;="&amp;$C14)),""))),IF($D14="CMM",IF($E14="PREMONTAGEM",IF((COUNTIFS('CONTROLE PRODUÇÃO POR EMPRESAS'!$A$6:$A$1000,"&gt;="&amp;$B14,'CONTROLE PRODUÇÃO POR EMPRESAS'!$A$6:$A$1000,"&lt;="&amp;$C14,'CONTROLE PRODUÇÃO POR EMPRESAS'!$E$6:$E$1000,"&gt;=0")+COUNTIFS('CONTROLE PRODUÇÃO POR EMPRESAS'!$A$6:$A$1000,"&gt;="&amp;$B14,'CONTROLE PRODUÇÃO POR EMPRESAS'!$A$6:$A$1000,"&lt;="&amp;$C14,'CONTROLE PRODUÇÃO POR EMPRESAS'!$E$6:$E$1000,"?*"))=0,"",SUMIFS('CONTROLE PRODUÇÃO POR EMPRESAS'!$E$6:$E$1000,'CONTROLE PRODUÇÃO POR EMPRESAS'!$A$6:$A$1000,"&gt;="&amp;$B14,'CONTROLE PRODUÇÃO POR EMPRESAS'!$A$6:$A$1000,"&lt;="&amp;$C14)),IF($E14="IÇAMENTO JOIST",IF((COUNTIFS('CONTROLE PRODUÇÃO POR EMPRESAS'!$A$6:$A$1000,"&gt;="&amp;$B14,'CONTROLE PRODUÇÃO POR EMPRESAS'!$A$6:$A$1000,"&lt;="&amp;$C14,'CONTROLE PRODUÇÃO POR EMPRESAS'!$F$6:$F$1000,"&gt;=0")+COUNTIFS('CONTROLE PRODUÇÃO POR EMPRESAS'!$A$6:$A$1000,"&gt;="&amp;$B14,'CONTROLE PRODUÇÃO POR EMPRESAS'!$A$6:$A$1000,"&lt;="&amp;$C14,'CONTROLE PRODUÇÃO POR EMPRESAS'!$F$6:$F$1000,"?*"))=0,"",SUMIFS('CONTROLE PRODUÇÃO POR EMPRESAS'!$F$6:$F$1000,'CONTROLE PRODUÇÃO POR EMPRESAS'!$A$6:$A$1000,"&gt;="&amp;$B14,'CONTROLE PRODUÇÃO POR EMPRESAS'!$A$6:$A$1000,"&lt;="&amp;$C14)),IF($E14="VIGAS",IF((COUNTIFS('CONTROLE PRODUÇÃO POR EMPRESAS'!$A$6:$A$1000,"&gt;="&amp;$B14,'CONTROLE PRODUÇÃO POR EMPRESAS'!$A$6:$A$1000,"&lt;="&amp;$C14,'CONTROLE PRODUÇÃO POR EMPRESAS'!$G$6:$G$1000,"&gt;=0")+COUNTIFS('CONTROLE PRODUÇÃO POR EMPRESAS'!$A$6:$A$1000,"&gt;="&amp;$B14,'CONTROLE PRODUÇÃO POR EMPRESAS'!$A$6:$A$1000,"&lt;="&amp;$C14,'CONTROLE PRODUÇÃO POR EMPRESAS'!$G$6:$G$1000,"?*"))=0,"",SUMIFS('CONTROLE PRODUÇÃO POR EMPRESAS'!$G$6:$G$1000,'CONTROLE PRODUÇÃO POR EMPRESAS'!$A$6:$A$1000,"&gt;="&amp;$B14,'CONTROLE PRODUÇÃO POR EMPRESAS'!$A$6:$A$1000,"&lt;="&amp;$C14)),""))),"")))</f>
        <v/>
      </c>
      <c r="M14" s="298">
        <f>IF(L14="","",MAX(J14-L14,0))</f>
        <v/>
      </c>
      <c r="N14" s="298">
        <f>IF(L14="","",MAX(L14-J14,0))</f>
        <v/>
      </c>
      <c r="O14" s="299">
        <f>IF(L14="","",IFERROR(L14/J14,""))</f>
        <v/>
      </c>
      <c r="P14" s="298">
        <f>IF(H14="","",SUMIFS($H$6:H14,$D$6:D14,D14,$E$6:E14,E14))</f>
        <v/>
      </c>
      <c r="Q14" s="298">
        <f>IF(L14="","",SUMIFS($L$6:L14,$D$6:D14,D14,$E$6:E14,E14))</f>
        <v/>
      </c>
      <c r="R14" s="298">
        <f>IF(Q14="","",MAX(P14-Q14,0))</f>
        <v/>
      </c>
      <c r="S14" s="108">
        <f>IF(O14="","",IF(O14&gt;=1,"VERDE",IF(O14&gt;=0.9,"AMARELO","VERMELHO")))</f>
        <v/>
      </c>
      <c r="T14" s="109" t="n"/>
      <c r="U14" s="109" t="n"/>
      <c r="V14" s="110" t="n"/>
      <c r="W14" s="300" t="n"/>
    </row>
    <row r="15" hidden="1" ht="15.75" customHeight="1">
      <c r="A15" s="101" t="n">
        <v>2</v>
      </c>
      <c r="B15" s="295" t="n">
        <v>46265</v>
      </c>
      <c r="C15" s="295" t="n">
        <v>46269</v>
      </c>
      <c r="D15" s="101" t="inlineStr">
        <is>
          <t>EJ</t>
        </is>
      </c>
      <c r="E15" s="103" t="inlineStr">
        <is>
          <t>PREMONTAGEM</t>
        </is>
      </c>
      <c r="F15" s="296">
        <f>IF(OR(D15="",E15=""),"",IF(COUNTIFS('METAS EMPRESAS'!$A$5:$A$10,D15,'METAS EMPRESAS'!$B$5:$B$10,E15)=0,"",SUMIFS('METAS EMPRESAS'!$C$5:$C$10,'METAS EMPRESAS'!$A$5:$A$10,D15,'METAS EMPRESAS'!$B$5:$B$10,E15)))</f>
        <v/>
      </c>
      <c r="G15" s="297" t="n">
        <v>5</v>
      </c>
      <c r="H15" s="298">
        <f>IF(F15="","",F15*G15)</f>
        <v/>
      </c>
      <c r="I15" s="298">
        <f>IF(M9="",0,M9)</f>
        <v/>
      </c>
      <c r="J15" s="298">
        <f>IF(H15="","",H15+I15)</f>
        <v/>
      </c>
      <c r="K15" s="298">
        <f>IF(J15="","",J15/G15)</f>
        <v/>
      </c>
      <c r="L15" s="297">
        <f>IF(OR($B15="",$C15="",$D15="",$E15=""),"",IF($D15="EJ",IF($E15="PREMONTAGEM",IF((COUNTIFS('CONTROLE PRODUÇÃO POR EMPRESAS'!$A$6:$A$1000,"&gt;="&amp;$B15,'CONTROLE PRODUÇÃO POR EMPRESAS'!$A$6:$A$1000,"&lt;="&amp;$C15,'CONTROLE PRODUÇÃO POR EMPRESAS'!$B$6:$B$1000,"&gt;=0")+COUNTIFS('CONTROLE PRODUÇÃO POR EMPRESAS'!$A$6:$A$1000,"&gt;="&amp;$B15,'CONTROLE PRODUÇÃO POR EMPRESAS'!$A$6:$A$1000,"&lt;="&amp;$C15,'CONTROLE PRODUÇÃO POR EMPRESAS'!$B$6:$B$1000,"?*"))=0,"",SUMIFS('CONTROLE PRODUÇÃO POR EMPRESAS'!$B$6:$B$1000,'CONTROLE PRODUÇÃO POR EMPRESAS'!$A$6:$A$1000,"&gt;="&amp;$B15,'CONTROLE PRODUÇÃO POR EMPRESAS'!$A$6:$A$1000,"&lt;="&amp;$C15)),IF($E15="IÇAMENTO JOIST",IF((COUNTIFS('CONTROLE PRODUÇÃO POR EMPRESAS'!$A$6:$A$1000,"&gt;="&amp;$B15,'CONTROLE PRODUÇÃO POR EMPRESAS'!$A$6:$A$1000,"&lt;="&amp;$C15,'CONTROLE PRODUÇÃO POR EMPRESAS'!$C$6:$C$1000,"&gt;=0")+COUNTIFS('CONTROLE PRODUÇÃO POR EMPRESAS'!$A$6:$A$1000,"&gt;="&amp;$B15,'CONTROLE PRODUÇÃO POR EMPRESAS'!$A$6:$A$1000,"&lt;="&amp;$C15,'CONTROLE PRODUÇÃO POR EMPRESAS'!$C$6:$C$1000,"?*"))=0,"",SUMIFS('CONTROLE PRODUÇÃO POR EMPRESAS'!$C$6:$C$1000,'CONTROLE PRODUÇÃO POR EMPRESAS'!$A$6:$A$1000,"&gt;="&amp;$B15,'CONTROLE PRODUÇÃO POR EMPRESAS'!$A$6:$A$1000,"&lt;="&amp;$C15)),IF($E15="VIGAS",IF((COUNTIFS('CONTROLE PRODUÇÃO POR EMPRESAS'!$A$6:$A$1000,"&gt;="&amp;$B15,'CONTROLE PRODUÇÃO POR EMPRESAS'!$A$6:$A$1000,"&lt;="&amp;$C15,'CONTROLE PRODUÇÃO POR EMPRESAS'!$D$6:$D$1000,"&gt;=0")+COUNTIFS('CONTROLE PRODUÇÃO POR EMPRESAS'!$A$6:$A$1000,"&gt;="&amp;$B15,'CONTROLE PRODUÇÃO POR EMPRESAS'!$A$6:$A$1000,"&lt;="&amp;$C15,'CONTROLE PRODUÇÃO POR EMPRESAS'!$D$6:$D$1000,"?*"))=0,"",SUMIFS('CONTROLE PRODUÇÃO POR EMPRESAS'!$D$6:$D$1000,'CONTROLE PRODUÇÃO POR EMPRESAS'!$A$6:$A$1000,"&gt;="&amp;$B15,'CONTROLE PRODUÇÃO POR EMPRESAS'!$A$6:$A$1000,"&lt;="&amp;$C15)),""))),IF($D15="CMM",IF($E15="PREMONTAGEM",IF((COUNTIFS('CONTROLE PRODUÇÃO POR EMPRESAS'!$A$6:$A$1000,"&gt;="&amp;$B15,'CONTROLE PRODUÇÃO POR EMPRESAS'!$A$6:$A$1000,"&lt;="&amp;$C15,'CONTROLE PRODUÇÃO POR EMPRESAS'!$E$6:$E$1000,"&gt;=0")+COUNTIFS('CONTROLE PRODUÇÃO POR EMPRESAS'!$A$6:$A$1000,"&gt;="&amp;$B15,'CONTROLE PRODUÇÃO POR EMPRESAS'!$A$6:$A$1000,"&lt;="&amp;$C15,'CONTROLE PRODUÇÃO POR EMPRESAS'!$E$6:$E$1000,"?*"))=0,"",SUMIFS('CONTROLE PRODUÇÃO POR EMPRESAS'!$E$6:$E$1000,'CONTROLE PRODUÇÃO POR EMPRESAS'!$A$6:$A$1000,"&gt;="&amp;$B15,'CONTROLE PRODUÇÃO POR EMPRESAS'!$A$6:$A$1000,"&lt;="&amp;$C15)),IF($E15="IÇAMENTO JOIST",IF((COUNTIFS('CONTROLE PRODUÇÃO POR EMPRESAS'!$A$6:$A$1000,"&gt;="&amp;$B15,'CONTROLE PRODUÇÃO POR EMPRESAS'!$A$6:$A$1000,"&lt;="&amp;$C15,'CONTROLE PRODUÇÃO POR EMPRESAS'!$F$6:$F$1000,"&gt;=0")+COUNTIFS('CONTROLE PRODUÇÃO POR EMPRESAS'!$A$6:$A$1000,"&gt;="&amp;$B15,'CONTROLE PRODUÇÃO POR EMPRESAS'!$A$6:$A$1000,"&lt;="&amp;$C15,'CONTROLE PRODUÇÃO POR EMPRESAS'!$F$6:$F$1000,"?*"))=0,"",SUMIFS('CONTROLE PRODUÇÃO POR EMPRESAS'!$F$6:$F$1000,'CONTROLE PRODUÇÃO POR EMPRESAS'!$A$6:$A$1000,"&gt;="&amp;$B15,'CONTROLE PRODUÇÃO POR EMPRESAS'!$A$6:$A$1000,"&lt;="&amp;$C15)),IF($E15="VIGAS",IF((COUNTIFS('CONTROLE PRODUÇÃO POR EMPRESAS'!$A$6:$A$1000,"&gt;="&amp;$B15,'CONTROLE PRODUÇÃO POR EMPRESAS'!$A$6:$A$1000,"&lt;="&amp;$C15,'CONTROLE PRODUÇÃO POR EMPRESAS'!$G$6:$G$1000,"&gt;=0")+COUNTIFS('CONTROLE PRODUÇÃO POR EMPRESAS'!$A$6:$A$1000,"&gt;="&amp;$B15,'CONTROLE PRODUÇÃO POR EMPRESAS'!$A$6:$A$1000,"&lt;="&amp;$C15,'CONTROLE PRODUÇÃO POR EMPRESAS'!$G$6:$G$1000,"?*"))=0,"",SUMIFS('CONTROLE PRODUÇÃO POR EMPRESAS'!$G$6:$G$1000,'CONTROLE PRODUÇÃO POR EMPRESAS'!$A$6:$A$1000,"&gt;="&amp;$B15,'CONTROLE PRODUÇÃO POR EMPRESAS'!$A$6:$A$1000,"&lt;="&amp;$C15)),""))),"")))</f>
        <v/>
      </c>
      <c r="M15" s="298">
        <f>IF(L15="","",MAX(J15-L15,0))</f>
        <v/>
      </c>
      <c r="N15" s="298">
        <f>IF(L15="","",MAX(L15-J15,0))</f>
        <v/>
      </c>
      <c r="O15" s="299">
        <f>IF(L15="","",IFERROR(L15/J15,""))</f>
        <v/>
      </c>
      <c r="P15" s="298">
        <f>IF(H15="","",SUMIFS($H$6:H15,$D$6:D15,D15,$E$6:E15,E15))</f>
        <v/>
      </c>
      <c r="Q15" s="298">
        <f>IF(L15="","",SUMIFS($L$6:L15,$D$6:D15,D15,$E$6:E15,E15))</f>
        <v/>
      </c>
      <c r="R15" s="298">
        <f>IF(Q15="","",MAX(P15-Q15,0))</f>
        <v/>
      </c>
      <c r="S15" s="108">
        <f>IF(O15="","",IF(O15&gt;=1,"VERDE",IF(O15&gt;=0.9,"AMARELO","VERMELHO")))</f>
        <v/>
      </c>
      <c r="T15" s="109" t="n"/>
      <c r="U15" s="109" t="n"/>
      <c r="V15" s="110" t="n"/>
      <c r="W15" s="300" t="n"/>
    </row>
    <row r="16" hidden="1" ht="15.75" customHeight="1">
      <c r="A16" s="101" t="n">
        <v>2</v>
      </c>
      <c r="B16" s="295" t="n">
        <v>46265</v>
      </c>
      <c r="C16" s="295" t="n">
        <v>46269</v>
      </c>
      <c r="D16" s="101" t="inlineStr">
        <is>
          <t>EJ</t>
        </is>
      </c>
      <c r="E16" s="103" t="inlineStr">
        <is>
          <t>IÇAMENTO JOIST</t>
        </is>
      </c>
      <c r="F16" s="296">
        <f>IF(OR(D16="",E16=""),"",IF(COUNTIFS('METAS EMPRESAS'!$A$5:$A$10,D16,'METAS EMPRESAS'!$B$5:$B$10,E16)=0,"",SUMIFS('METAS EMPRESAS'!$C$5:$C$10,'METAS EMPRESAS'!$A$5:$A$10,D16,'METAS EMPRESAS'!$B$5:$B$10,E16)))</f>
        <v/>
      </c>
      <c r="G16" s="297" t="n">
        <v>5</v>
      </c>
      <c r="H16" s="298">
        <f>IF(F16="","",F16*G16)</f>
        <v/>
      </c>
      <c r="I16" s="298">
        <f>IF(M10="",0,M10)</f>
        <v/>
      </c>
      <c r="J16" s="298">
        <f>IF(H16="","",H16+I16)</f>
        <v/>
      </c>
      <c r="K16" s="298">
        <f>IF(J16="","",J16/G16)</f>
        <v/>
      </c>
      <c r="L16" s="297">
        <f>IF(OR($B16="",$C16="",$D16="",$E16=""),"",IF($D16="EJ",IF($E16="PREMONTAGEM",IF((COUNTIFS('CONTROLE PRODUÇÃO POR EMPRESAS'!$A$6:$A$1000,"&gt;="&amp;$B16,'CONTROLE PRODUÇÃO POR EMPRESAS'!$A$6:$A$1000,"&lt;="&amp;$C16,'CONTROLE PRODUÇÃO POR EMPRESAS'!$B$6:$B$1000,"&gt;=0")+COUNTIFS('CONTROLE PRODUÇÃO POR EMPRESAS'!$A$6:$A$1000,"&gt;="&amp;$B16,'CONTROLE PRODUÇÃO POR EMPRESAS'!$A$6:$A$1000,"&lt;="&amp;$C16,'CONTROLE PRODUÇÃO POR EMPRESAS'!$B$6:$B$1000,"?*"))=0,"",SUMIFS('CONTROLE PRODUÇÃO POR EMPRESAS'!$B$6:$B$1000,'CONTROLE PRODUÇÃO POR EMPRESAS'!$A$6:$A$1000,"&gt;="&amp;$B16,'CONTROLE PRODUÇÃO POR EMPRESAS'!$A$6:$A$1000,"&lt;="&amp;$C16)),IF($E16="IÇAMENTO JOIST",IF((COUNTIFS('CONTROLE PRODUÇÃO POR EMPRESAS'!$A$6:$A$1000,"&gt;="&amp;$B16,'CONTROLE PRODUÇÃO POR EMPRESAS'!$A$6:$A$1000,"&lt;="&amp;$C16,'CONTROLE PRODUÇÃO POR EMPRESAS'!$C$6:$C$1000,"&gt;=0")+COUNTIFS('CONTROLE PRODUÇÃO POR EMPRESAS'!$A$6:$A$1000,"&gt;="&amp;$B16,'CONTROLE PRODUÇÃO POR EMPRESAS'!$A$6:$A$1000,"&lt;="&amp;$C16,'CONTROLE PRODUÇÃO POR EMPRESAS'!$C$6:$C$1000,"?*"))=0,"",SUMIFS('CONTROLE PRODUÇÃO POR EMPRESAS'!$C$6:$C$1000,'CONTROLE PRODUÇÃO POR EMPRESAS'!$A$6:$A$1000,"&gt;="&amp;$B16,'CONTROLE PRODUÇÃO POR EMPRESAS'!$A$6:$A$1000,"&lt;="&amp;$C16)),IF($E16="VIGAS",IF((COUNTIFS('CONTROLE PRODUÇÃO POR EMPRESAS'!$A$6:$A$1000,"&gt;="&amp;$B16,'CONTROLE PRODUÇÃO POR EMPRESAS'!$A$6:$A$1000,"&lt;="&amp;$C16,'CONTROLE PRODUÇÃO POR EMPRESAS'!$D$6:$D$1000,"&gt;=0")+COUNTIFS('CONTROLE PRODUÇÃO POR EMPRESAS'!$A$6:$A$1000,"&gt;="&amp;$B16,'CONTROLE PRODUÇÃO POR EMPRESAS'!$A$6:$A$1000,"&lt;="&amp;$C16,'CONTROLE PRODUÇÃO POR EMPRESAS'!$D$6:$D$1000,"?*"))=0,"",SUMIFS('CONTROLE PRODUÇÃO POR EMPRESAS'!$D$6:$D$1000,'CONTROLE PRODUÇÃO POR EMPRESAS'!$A$6:$A$1000,"&gt;="&amp;$B16,'CONTROLE PRODUÇÃO POR EMPRESAS'!$A$6:$A$1000,"&lt;="&amp;$C16)),""))),IF($D16="CMM",IF($E16="PREMONTAGEM",IF((COUNTIFS('CONTROLE PRODUÇÃO POR EMPRESAS'!$A$6:$A$1000,"&gt;="&amp;$B16,'CONTROLE PRODUÇÃO POR EMPRESAS'!$A$6:$A$1000,"&lt;="&amp;$C16,'CONTROLE PRODUÇÃO POR EMPRESAS'!$E$6:$E$1000,"&gt;=0")+COUNTIFS('CONTROLE PRODUÇÃO POR EMPRESAS'!$A$6:$A$1000,"&gt;="&amp;$B16,'CONTROLE PRODUÇÃO POR EMPRESAS'!$A$6:$A$1000,"&lt;="&amp;$C16,'CONTROLE PRODUÇÃO POR EMPRESAS'!$E$6:$E$1000,"?*"))=0,"",SUMIFS('CONTROLE PRODUÇÃO POR EMPRESAS'!$E$6:$E$1000,'CONTROLE PRODUÇÃO POR EMPRESAS'!$A$6:$A$1000,"&gt;="&amp;$B16,'CONTROLE PRODUÇÃO POR EMPRESAS'!$A$6:$A$1000,"&lt;="&amp;$C16)),IF($E16="IÇAMENTO JOIST",IF((COUNTIFS('CONTROLE PRODUÇÃO POR EMPRESAS'!$A$6:$A$1000,"&gt;="&amp;$B16,'CONTROLE PRODUÇÃO POR EMPRESAS'!$A$6:$A$1000,"&lt;="&amp;$C16,'CONTROLE PRODUÇÃO POR EMPRESAS'!$F$6:$F$1000,"&gt;=0")+COUNTIFS('CONTROLE PRODUÇÃO POR EMPRESAS'!$A$6:$A$1000,"&gt;="&amp;$B16,'CONTROLE PRODUÇÃO POR EMPRESAS'!$A$6:$A$1000,"&lt;="&amp;$C16,'CONTROLE PRODUÇÃO POR EMPRESAS'!$F$6:$F$1000,"?*"))=0,"",SUMIFS('CONTROLE PRODUÇÃO POR EMPRESAS'!$F$6:$F$1000,'CONTROLE PRODUÇÃO POR EMPRESAS'!$A$6:$A$1000,"&gt;="&amp;$B16,'CONTROLE PRODUÇÃO POR EMPRESAS'!$A$6:$A$1000,"&lt;="&amp;$C16)),IF($E16="VIGAS",IF((COUNTIFS('CONTROLE PRODUÇÃO POR EMPRESAS'!$A$6:$A$1000,"&gt;="&amp;$B16,'CONTROLE PRODUÇÃO POR EMPRESAS'!$A$6:$A$1000,"&lt;="&amp;$C16,'CONTROLE PRODUÇÃO POR EMPRESAS'!$G$6:$G$1000,"&gt;=0")+COUNTIFS('CONTROLE PRODUÇÃO POR EMPRESAS'!$A$6:$A$1000,"&gt;="&amp;$B16,'CONTROLE PRODUÇÃO POR EMPRESAS'!$A$6:$A$1000,"&lt;="&amp;$C16,'CONTROLE PRODUÇÃO POR EMPRESAS'!$G$6:$G$1000,"?*"))=0,"",SUMIFS('CONTROLE PRODUÇÃO POR EMPRESAS'!$G$6:$G$1000,'CONTROLE PRODUÇÃO POR EMPRESAS'!$A$6:$A$1000,"&gt;="&amp;$B16,'CONTROLE PRODUÇÃO POR EMPRESAS'!$A$6:$A$1000,"&lt;="&amp;$C16)),""))),"")))</f>
        <v/>
      </c>
      <c r="M16" s="298">
        <f>IF(L16="","",MAX(J16-L16,0))</f>
        <v/>
      </c>
      <c r="N16" s="298">
        <f>IF(L16="","",MAX(L16-J16,0))</f>
        <v/>
      </c>
      <c r="O16" s="299">
        <f>IF(L16="","",IFERROR(L16/J16,""))</f>
        <v/>
      </c>
      <c r="P16" s="298">
        <f>IF(H16="","",SUMIFS($H$6:H16,$D$6:D16,D16,$E$6:E16,E16))</f>
        <v/>
      </c>
      <c r="Q16" s="298">
        <f>IF(L16="","",SUMIFS($L$6:L16,$D$6:D16,D16,$E$6:E16,E16))</f>
        <v/>
      </c>
      <c r="R16" s="298">
        <f>IF(Q16="","",MAX(P16-Q16,0))</f>
        <v/>
      </c>
      <c r="S16" s="108">
        <f>IF(O16="","",IF(O16&gt;=1,"VERDE",IF(O16&gt;=0.9,"AMARELO","VERMELHO")))</f>
        <v/>
      </c>
      <c r="T16" s="109" t="n"/>
      <c r="U16" s="109" t="n"/>
      <c r="V16" s="110" t="n"/>
      <c r="W16" s="300" t="n"/>
    </row>
    <row r="17" hidden="1" ht="15.75" customHeight="1">
      <c r="A17" s="101" t="n">
        <v>2</v>
      </c>
      <c r="B17" s="295" t="n">
        <v>46265</v>
      </c>
      <c r="C17" s="295" t="n">
        <v>46269</v>
      </c>
      <c r="D17" s="101" t="inlineStr">
        <is>
          <t>EJ</t>
        </is>
      </c>
      <c r="E17" s="103" t="inlineStr">
        <is>
          <t>VIGAS</t>
        </is>
      </c>
      <c r="F17" s="296">
        <f>IF(OR(D17="",E17=""),"",IF(COUNTIFS('METAS EMPRESAS'!$A$5:$A$10,D17,'METAS EMPRESAS'!$B$5:$B$10,E17)=0,"",SUMIFS('METAS EMPRESAS'!$C$5:$C$10,'METAS EMPRESAS'!$A$5:$A$10,D17,'METAS EMPRESAS'!$B$5:$B$10,E17)))</f>
        <v/>
      </c>
      <c r="G17" s="297" t="n">
        <v>5</v>
      </c>
      <c r="H17" s="298">
        <f>IF(F17="","",F17*G17)</f>
        <v/>
      </c>
      <c r="I17" s="298">
        <f>IF(M11="",0,M11)</f>
        <v/>
      </c>
      <c r="J17" s="298">
        <f>IF(H17="","",H17+I17)</f>
        <v/>
      </c>
      <c r="K17" s="298">
        <f>IF(J17="","",J17/G17)</f>
        <v/>
      </c>
      <c r="L17" s="297">
        <f>IF(OR($B17="",$C17="",$D17="",$E17=""),"",IF($D17="EJ",IF($E17="PREMONTAGEM",IF((COUNTIFS('CONTROLE PRODUÇÃO POR EMPRESAS'!$A$6:$A$1000,"&gt;="&amp;$B17,'CONTROLE PRODUÇÃO POR EMPRESAS'!$A$6:$A$1000,"&lt;="&amp;$C17,'CONTROLE PRODUÇÃO POR EMPRESAS'!$B$6:$B$1000,"&gt;=0")+COUNTIFS('CONTROLE PRODUÇÃO POR EMPRESAS'!$A$6:$A$1000,"&gt;="&amp;$B17,'CONTROLE PRODUÇÃO POR EMPRESAS'!$A$6:$A$1000,"&lt;="&amp;$C17,'CONTROLE PRODUÇÃO POR EMPRESAS'!$B$6:$B$1000,"?*"))=0,"",SUMIFS('CONTROLE PRODUÇÃO POR EMPRESAS'!$B$6:$B$1000,'CONTROLE PRODUÇÃO POR EMPRESAS'!$A$6:$A$1000,"&gt;="&amp;$B17,'CONTROLE PRODUÇÃO POR EMPRESAS'!$A$6:$A$1000,"&lt;="&amp;$C17)),IF($E17="IÇAMENTO JOIST",IF((COUNTIFS('CONTROLE PRODUÇÃO POR EMPRESAS'!$A$6:$A$1000,"&gt;="&amp;$B17,'CONTROLE PRODUÇÃO POR EMPRESAS'!$A$6:$A$1000,"&lt;="&amp;$C17,'CONTROLE PRODUÇÃO POR EMPRESAS'!$C$6:$C$1000,"&gt;=0")+COUNTIFS('CONTROLE PRODUÇÃO POR EMPRESAS'!$A$6:$A$1000,"&gt;="&amp;$B17,'CONTROLE PRODUÇÃO POR EMPRESAS'!$A$6:$A$1000,"&lt;="&amp;$C17,'CONTROLE PRODUÇÃO POR EMPRESAS'!$C$6:$C$1000,"?*"))=0,"",SUMIFS('CONTROLE PRODUÇÃO POR EMPRESAS'!$C$6:$C$1000,'CONTROLE PRODUÇÃO POR EMPRESAS'!$A$6:$A$1000,"&gt;="&amp;$B17,'CONTROLE PRODUÇÃO POR EMPRESAS'!$A$6:$A$1000,"&lt;="&amp;$C17)),IF($E17="VIGAS",IF((COUNTIFS('CONTROLE PRODUÇÃO POR EMPRESAS'!$A$6:$A$1000,"&gt;="&amp;$B17,'CONTROLE PRODUÇÃO POR EMPRESAS'!$A$6:$A$1000,"&lt;="&amp;$C17,'CONTROLE PRODUÇÃO POR EMPRESAS'!$D$6:$D$1000,"&gt;=0")+COUNTIFS('CONTROLE PRODUÇÃO POR EMPRESAS'!$A$6:$A$1000,"&gt;="&amp;$B17,'CONTROLE PRODUÇÃO POR EMPRESAS'!$A$6:$A$1000,"&lt;="&amp;$C17,'CONTROLE PRODUÇÃO POR EMPRESAS'!$D$6:$D$1000,"?*"))=0,"",SUMIFS('CONTROLE PRODUÇÃO POR EMPRESAS'!$D$6:$D$1000,'CONTROLE PRODUÇÃO POR EMPRESAS'!$A$6:$A$1000,"&gt;="&amp;$B17,'CONTROLE PRODUÇÃO POR EMPRESAS'!$A$6:$A$1000,"&lt;="&amp;$C17)),""))),IF($D17="CMM",IF($E17="PREMONTAGEM",IF((COUNTIFS('CONTROLE PRODUÇÃO POR EMPRESAS'!$A$6:$A$1000,"&gt;="&amp;$B17,'CONTROLE PRODUÇÃO POR EMPRESAS'!$A$6:$A$1000,"&lt;="&amp;$C17,'CONTROLE PRODUÇÃO POR EMPRESAS'!$E$6:$E$1000,"&gt;=0")+COUNTIFS('CONTROLE PRODUÇÃO POR EMPRESAS'!$A$6:$A$1000,"&gt;="&amp;$B17,'CONTROLE PRODUÇÃO POR EMPRESAS'!$A$6:$A$1000,"&lt;="&amp;$C17,'CONTROLE PRODUÇÃO POR EMPRESAS'!$E$6:$E$1000,"?*"))=0,"",SUMIFS('CONTROLE PRODUÇÃO POR EMPRESAS'!$E$6:$E$1000,'CONTROLE PRODUÇÃO POR EMPRESAS'!$A$6:$A$1000,"&gt;="&amp;$B17,'CONTROLE PRODUÇÃO POR EMPRESAS'!$A$6:$A$1000,"&lt;="&amp;$C17)),IF($E17="IÇAMENTO JOIST",IF((COUNTIFS('CONTROLE PRODUÇÃO POR EMPRESAS'!$A$6:$A$1000,"&gt;="&amp;$B17,'CONTROLE PRODUÇÃO POR EMPRESAS'!$A$6:$A$1000,"&lt;="&amp;$C17,'CONTROLE PRODUÇÃO POR EMPRESAS'!$F$6:$F$1000,"&gt;=0")+COUNTIFS('CONTROLE PRODUÇÃO POR EMPRESAS'!$A$6:$A$1000,"&gt;="&amp;$B17,'CONTROLE PRODUÇÃO POR EMPRESAS'!$A$6:$A$1000,"&lt;="&amp;$C17,'CONTROLE PRODUÇÃO POR EMPRESAS'!$F$6:$F$1000,"?*"))=0,"",SUMIFS('CONTROLE PRODUÇÃO POR EMPRESAS'!$F$6:$F$1000,'CONTROLE PRODUÇÃO POR EMPRESAS'!$A$6:$A$1000,"&gt;="&amp;$B17,'CONTROLE PRODUÇÃO POR EMPRESAS'!$A$6:$A$1000,"&lt;="&amp;$C17)),IF($E17="VIGAS",IF((COUNTIFS('CONTROLE PRODUÇÃO POR EMPRESAS'!$A$6:$A$1000,"&gt;="&amp;$B17,'CONTROLE PRODUÇÃO POR EMPRESAS'!$A$6:$A$1000,"&lt;="&amp;$C17,'CONTROLE PRODUÇÃO POR EMPRESAS'!$G$6:$G$1000,"&gt;=0")+COUNTIFS('CONTROLE PRODUÇÃO POR EMPRESAS'!$A$6:$A$1000,"&gt;="&amp;$B17,'CONTROLE PRODUÇÃO POR EMPRESAS'!$A$6:$A$1000,"&lt;="&amp;$C17,'CONTROLE PRODUÇÃO POR EMPRESAS'!$G$6:$G$1000,"?*"))=0,"",SUMIFS('CONTROLE PRODUÇÃO POR EMPRESAS'!$G$6:$G$1000,'CONTROLE PRODUÇÃO POR EMPRESAS'!$A$6:$A$1000,"&gt;="&amp;$B17,'CONTROLE PRODUÇÃO POR EMPRESAS'!$A$6:$A$1000,"&lt;="&amp;$C17)),""))),"")))</f>
        <v/>
      </c>
      <c r="M17" s="298">
        <f>IF(L17="","",MAX(J17-L17,0))</f>
        <v/>
      </c>
      <c r="N17" s="298">
        <f>IF(L17="","",MAX(L17-J17,0))</f>
        <v/>
      </c>
      <c r="O17" s="299">
        <f>IF(L17="","",IFERROR(L17/J17,""))</f>
        <v/>
      </c>
      <c r="P17" s="298">
        <f>IF(H17="","",SUMIFS($H$6:H17,$D$6:D17,D17,$E$6:E17,E17))</f>
        <v/>
      </c>
      <c r="Q17" s="298">
        <f>IF(L17="","",SUMIFS($L$6:L17,$D$6:D17,D17,$E$6:E17,E17))</f>
        <v/>
      </c>
      <c r="R17" s="298">
        <f>IF(Q17="","",MAX(P17-Q17,0))</f>
        <v/>
      </c>
      <c r="S17" s="108">
        <f>IF(O17="","",IF(O17&gt;=1,"VERDE",IF(O17&gt;=0.9,"AMARELO","VERMELHO")))</f>
        <v/>
      </c>
      <c r="T17" s="109" t="n"/>
      <c r="U17" s="109" t="n"/>
      <c r="V17" s="110" t="n"/>
      <c r="W17" s="300" t="n"/>
    </row>
    <row r="18" ht="15.75" customHeight="1">
      <c r="A18" s="112" t="n">
        <v>3</v>
      </c>
      <c r="B18" s="301" t="n">
        <v>46272</v>
      </c>
      <c r="C18" s="301" t="n">
        <v>46276</v>
      </c>
      <c r="D18" s="114" t="inlineStr">
        <is>
          <t>CMM</t>
        </is>
      </c>
      <c r="E18" s="115" t="inlineStr">
        <is>
          <t>PREMONTAGEM</t>
        </is>
      </c>
      <c r="F18" s="296">
        <f>IF(OR(D18="",E18=""),"",IF(COUNTIFS('METAS EMPRESAS'!$A$5:$A$10,D18,'METAS EMPRESAS'!$B$5:$B$10,E18)=0,"",SUMIFS('METAS EMPRESAS'!$C$5:$C$10,'METAS EMPRESAS'!$A$5:$A$10,D18,'METAS EMPRESAS'!$B$5:$B$10,E18)))</f>
        <v/>
      </c>
      <c r="G18" s="297" t="n">
        <v>5</v>
      </c>
      <c r="H18" s="298">
        <f>IF(F18="","",F18*G18)</f>
        <v/>
      </c>
      <c r="I18" s="298">
        <f>IF(M12="",0,M12)</f>
        <v/>
      </c>
      <c r="J18" s="298">
        <f>IF(H18="","",H18+I18)</f>
        <v/>
      </c>
      <c r="K18" s="298">
        <f>IF(J18="","",J18/G18)</f>
        <v/>
      </c>
      <c r="L18" s="297">
        <f>IF(OR($B18="",$C18="",$D18="",$E18=""),"",IF($D18="EJ",IF($E18="PREMONTAGEM",IF((COUNTIFS('CONTROLE PRODUÇÃO POR EMPRESAS'!$A$6:$A$1000,"&gt;="&amp;$B18,'CONTROLE PRODUÇÃO POR EMPRESAS'!$A$6:$A$1000,"&lt;="&amp;$C18,'CONTROLE PRODUÇÃO POR EMPRESAS'!$B$6:$B$1000,"&gt;=0")+COUNTIFS('CONTROLE PRODUÇÃO POR EMPRESAS'!$A$6:$A$1000,"&gt;="&amp;$B18,'CONTROLE PRODUÇÃO POR EMPRESAS'!$A$6:$A$1000,"&lt;="&amp;$C18,'CONTROLE PRODUÇÃO POR EMPRESAS'!$B$6:$B$1000,"?*"))=0,"",SUMIFS('CONTROLE PRODUÇÃO POR EMPRESAS'!$B$6:$B$1000,'CONTROLE PRODUÇÃO POR EMPRESAS'!$A$6:$A$1000,"&gt;="&amp;$B18,'CONTROLE PRODUÇÃO POR EMPRESAS'!$A$6:$A$1000,"&lt;="&amp;$C18)),IF($E18="IÇAMENTO JOIST",IF((COUNTIFS('CONTROLE PRODUÇÃO POR EMPRESAS'!$A$6:$A$1000,"&gt;="&amp;$B18,'CONTROLE PRODUÇÃO POR EMPRESAS'!$A$6:$A$1000,"&lt;="&amp;$C18,'CONTROLE PRODUÇÃO POR EMPRESAS'!$C$6:$C$1000,"&gt;=0")+COUNTIFS('CONTROLE PRODUÇÃO POR EMPRESAS'!$A$6:$A$1000,"&gt;="&amp;$B18,'CONTROLE PRODUÇÃO POR EMPRESAS'!$A$6:$A$1000,"&lt;="&amp;$C18,'CONTROLE PRODUÇÃO POR EMPRESAS'!$C$6:$C$1000,"?*"))=0,"",SUMIFS('CONTROLE PRODUÇÃO POR EMPRESAS'!$C$6:$C$1000,'CONTROLE PRODUÇÃO POR EMPRESAS'!$A$6:$A$1000,"&gt;="&amp;$B18,'CONTROLE PRODUÇÃO POR EMPRESAS'!$A$6:$A$1000,"&lt;="&amp;$C18)),IF($E18="VIGAS",IF((COUNTIFS('CONTROLE PRODUÇÃO POR EMPRESAS'!$A$6:$A$1000,"&gt;="&amp;$B18,'CONTROLE PRODUÇÃO POR EMPRESAS'!$A$6:$A$1000,"&lt;="&amp;$C18,'CONTROLE PRODUÇÃO POR EMPRESAS'!$D$6:$D$1000,"&gt;=0")+COUNTIFS('CONTROLE PRODUÇÃO POR EMPRESAS'!$A$6:$A$1000,"&gt;="&amp;$B18,'CONTROLE PRODUÇÃO POR EMPRESAS'!$A$6:$A$1000,"&lt;="&amp;$C18,'CONTROLE PRODUÇÃO POR EMPRESAS'!$D$6:$D$1000,"?*"))=0,"",SUMIFS('CONTROLE PRODUÇÃO POR EMPRESAS'!$D$6:$D$1000,'CONTROLE PRODUÇÃO POR EMPRESAS'!$A$6:$A$1000,"&gt;="&amp;$B18,'CONTROLE PRODUÇÃO POR EMPRESAS'!$A$6:$A$1000,"&lt;="&amp;$C18)),""))),IF($D18="CMM",IF($E18="PREMONTAGEM",IF((COUNTIFS('CONTROLE PRODUÇÃO POR EMPRESAS'!$A$6:$A$1000,"&gt;="&amp;$B18,'CONTROLE PRODUÇÃO POR EMPRESAS'!$A$6:$A$1000,"&lt;="&amp;$C18,'CONTROLE PRODUÇÃO POR EMPRESAS'!$E$6:$E$1000,"&gt;=0")+COUNTIFS('CONTROLE PRODUÇÃO POR EMPRESAS'!$A$6:$A$1000,"&gt;="&amp;$B18,'CONTROLE PRODUÇÃO POR EMPRESAS'!$A$6:$A$1000,"&lt;="&amp;$C18,'CONTROLE PRODUÇÃO POR EMPRESAS'!$E$6:$E$1000,"?*"))=0,"",SUMIFS('CONTROLE PRODUÇÃO POR EMPRESAS'!$E$6:$E$1000,'CONTROLE PRODUÇÃO POR EMPRESAS'!$A$6:$A$1000,"&gt;="&amp;$B18,'CONTROLE PRODUÇÃO POR EMPRESAS'!$A$6:$A$1000,"&lt;="&amp;$C18)),IF($E18="IÇAMENTO JOIST",IF((COUNTIFS('CONTROLE PRODUÇÃO POR EMPRESAS'!$A$6:$A$1000,"&gt;="&amp;$B18,'CONTROLE PRODUÇÃO POR EMPRESAS'!$A$6:$A$1000,"&lt;="&amp;$C18,'CONTROLE PRODUÇÃO POR EMPRESAS'!$F$6:$F$1000,"&gt;=0")+COUNTIFS('CONTROLE PRODUÇÃO POR EMPRESAS'!$A$6:$A$1000,"&gt;="&amp;$B18,'CONTROLE PRODUÇÃO POR EMPRESAS'!$A$6:$A$1000,"&lt;="&amp;$C18,'CONTROLE PRODUÇÃO POR EMPRESAS'!$F$6:$F$1000,"?*"))=0,"",SUMIFS('CONTROLE PRODUÇÃO POR EMPRESAS'!$F$6:$F$1000,'CONTROLE PRODUÇÃO POR EMPRESAS'!$A$6:$A$1000,"&gt;="&amp;$B18,'CONTROLE PRODUÇÃO POR EMPRESAS'!$A$6:$A$1000,"&lt;="&amp;$C18)),IF($E18="VIGAS",IF((COUNTIFS('CONTROLE PRODUÇÃO POR EMPRESAS'!$A$6:$A$1000,"&gt;="&amp;$B18,'CONTROLE PRODUÇÃO POR EMPRESAS'!$A$6:$A$1000,"&lt;="&amp;$C18,'CONTROLE PRODUÇÃO POR EMPRESAS'!$G$6:$G$1000,"&gt;=0")+COUNTIFS('CONTROLE PRODUÇÃO POR EMPRESAS'!$A$6:$A$1000,"&gt;="&amp;$B18,'CONTROLE PRODUÇÃO POR EMPRESAS'!$A$6:$A$1000,"&lt;="&amp;$C18,'CONTROLE PRODUÇÃO POR EMPRESAS'!$G$6:$G$1000,"?*"))=0,"",SUMIFS('CONTROLE PRODUÇÃO POR EMPRESAS'!$G$6:$G$1000,'CONTROLE PRODUÇÃO POR EMPRESAS'!$A$6:$A$1000,"&gt;="&amp;$B18,'CONTROLE PRODUÇÃO POR EMPRESAS'!$A$6:$A$1000,"&lt;="&amp;$C18)),""))),"")))</f>
        <v/>
      </c>
      <c r="M18" s="298">
        <f>IF(L18="","",MAX(J18-L18,0))</f>
        <v/>
      </c>
      <c r="N18" s="298">
        <f>IF(L18="","",MAX(L18-J18,0))</f>
        <v/>
      </c>
      <c r="O18" s="299">
        <f>IF(L18="","",IFERROR(L18/J18,""))</f>
        <v/>
      </c>
      <c r="P18" s="298">
        <f>IF(H18="","",SUMIFS($H$6:H18,$D$6:D18,D18,$E$6:E18,E18))</f>
        <v/>
      </c>
      <c r="Q18" s="298">
        <f>IF(L18="","",SUMIFS($L$6:L18,$D$6:D18,D18,$E$6:E18,E18))</f>
        <v/>
      </c>
      <c r="R18" s="298">
        <f>IF(Q18="","",MAX(P18-Q18,0))</f>
        <v/>
      </c>
      <c r="S18" s="108">
        <f>IF(O18="","",IF(O18&gt;=1,"VERDE",IF(O18&gt;=0.9,"AMARELO","VERMELHO")))</f>
        <v/>
      </c>
      <c r="T18" s="109" t="n"/>
      <c r="U18" s="109" t="n"/>
      <c r="V18" s="110" t="n"/>
      <c r="W18" s="302" t="n"/>
    </row>
    <row r="19" ht="15.75" customHeight="1">
      <c r="A19" s="117" t="n">
        <v>3</v>
      </c>
      <c r="B19" s="295" t="n">
        <v>46272</v>
      </c>
      <c r="C19" s="295" t="n">
        <v>46276</v>
      </c>
      <c r="D19" s="101" t="inlineStr">
        <is>
          <t>CMM</t>
        </is>
      </c>
      <c r="E19" s="103" t="inlineStr">
        <is>
          <t>IÇAMENTO JOIST</t>
        </is>
      </c>
      <c r="F19" s="296">
        <f>IF(OR(D19="",E19=""),"",IF(COUNTIFS('METAS EMPRESAS'!$A$5:$A$10,D19,'METAS EMPRESAS'!$B$5:$B$10,E19)=0,"",SUMIFS('METAS EMPRESAS'!$C$5:$C$10,'METAS EMPRESAS'!$A$5:$A$10,D19,'METAS EMPRESAS'!$B$5:$B$10,E19)))</f>
        <v/>
      </c>
      <c r="G19" s="297" t="n">
        <v>5</v>
      </c>
      <c r="H19" s="298">
        <f>IF(F19="","",F19*G19)</f>
        <v/>
      </c>
      <c r="I19" s="298">
        <f>IF(M13="",0,M13)</f>
        <v/>
      </c>
      <c r="J19" s="298">
        <f>IF(H19="","",H19+I19)</f>
        <v/>
      </c>
      <c r="K19" s="298">
        <f>IF(J19="","",J19/G19)</f>
        <v/>
      </c>
      <c r="L19" s="297">
        <f>IF(OR($B19="",$C19="",$D19="",$E19=""),"",IF($D19="EJ",IF($E19="PREMONTAGEM",IF((COUNTIFS('CONTROLE PRODUÇÃO POR EMPRESAS'!$A$6:$A$1000,"&gt;="&amp;$B19,'CONTROLE PRODUÇÃO POR EMPRESAS'!$A$6:$A$1000,"&lt;="&amp;$C19,'CONTROLE PRODUÇÃO POR EMPRESAS'!$B$6:$B$1000,"&gt;=0")+COUNTIFS('CONTROLE PRODUÇÃO POR EMPRESAS'!$A$6:$A$1000,"&gt;="&amp;$B19,'CONTROLE PRODUÇÃO POR EMPRESAS'!$A$6:$A$1000,"&lt;="&amp;$C19,'CONTROLE PRODUÇÃO POR EMPRESAS'!$B$6:$B$1000,"?*"))=0,"",SUMIFS('CONTROLE PRODUÇÃO POR EMPRESAS'!$B$6:$B$1000,'CONTROLE PRODUÇÃO POR EMPRESAS'!$A$6:$A$1000,"&gt;="&amp;$B19,'CONTROLE PRODUÇÃO POR EMPRESAS'!$A$6:$A$1000,"&lt;="&amp;$C19)),IF($E19="IÇAMENTO JOIST",IF((COUNTIFS('CONTROLE PRODUÇÃO POR EMPRESAS'!$A$6:$A$1000,"&gt;="&amp;$B19,'CONTROLE PRODUÇÃO POR EMPRESAS'!$A$6:$A$1000,"&lt;="&amp;$C19,'CONTROLE PRODUÇÃO POR EMPRESAS'!$C$6:$C$1000,"&gt;=0")+COUNTIFS('CONTROLE PRODUÇÃO POR EMPRESAS'!$A$6:$A$1000,"&gt;="&amp;$B19,'CONTROLE PRODUÇÃO POR EMPRESAS'!$A$6:$A$1000,"&lt;="&amp;$C19,'CONTROLE PRODUÇÃO POR EMPRESAS'!$C$6:$C$1000,"?*"))=0,"",SUMIFS('CONTROLE PRODUÇÃO POR EMPRESAS'!$C$6:$C$1000,'CONTROLE PRODUÇÃO POR EMPRESAS'!$A$6:$A$1000,"&gt;="&amp;$B19,'CONTROLE PRODUÇÃO POR EMPRESAS'!$A$6:$A$1000,"&lt;="&amp;$C19)),IF($E19="VIGAS",IF((COUNTIFS('CONTROLE PRODUÇÃO POR EMPRESAS'!$A$6:$A$1000,"&gt;="&amp;$B19,'CONTROLE PRODUÇÃO POR EMPRESAS'!$A$6:$A$1000,"&lt;="&amp;$C19,'CONTROLE PRODUÇÃO POR EMPRESAS'!$D$6:$D$1000,"&gt;=0")+COUNTIFS('CONTROLE PRODUÇÃO POR EMPRESAS'!$A$6:$A$1000,"&gt;="&amp;$B19,'CONTROLE PRODUÇÃO POR EMPRESAS'!$A$6:$A$1000,"&lt;="&amp;$C19,'CONTROLE PRODUÇÃO POR EMPRESAS'!$D$6:$D$1000,"?*"))=0,"",SUMIFS('CONTROLE PRODUÇÃO POR EMPRESAS'!$D$6:$D$1000,'CONTROLE PRODUÇÃO POR EMPRESAS'!$A$6:$A$1000,"&gt;="&amp;$B19,'CONTROLE PRODUÇÃO POR EMPRESAS'!$A$6:$A$1000,"&lt;="&amp;$C19)),""))),IF($D19="CMM",IF($E19="PREMONTAGEM",IF((COUNTIFS('CONTROLE PRODUÇÃO POR EMPRESAS'!$A$6:$A$1000,"&gt;="&amp;$B19,'CONTROLE PRODUÇÃO POR EMPRESAS'!$A$6:$A$1000,"&lt;="&amp;$C19,'CONTROLE PRODUÇÃO POR EMPRESAS'!$E$6:$E$1000,"&gt;=0")+COUNTIFS('CONTROLE PRODUÇÃO POR EMPRESAS'!$A$6:$A$1000,"&gt;="&amp;$B19,'CONTROLE PRODUÇÃO POR EMPRESAS'!$A$6:$A$1000,"&lt;="&amp;$C19,'CONTROLE PRODUÇÃO POR EMPRESAS'!$E$6:$E$1000,"?*"))=0,"",SUMIFS('CONTROLE PRODUÇÃO POR EMPRESAS'!$E$6:$E$1000,'CONTROLE PRODUÇÃO POR EMPRESAS'!$A$6:$A$1000,"&gt;="&amp;$B19,'CONTROLE PRODUÇÃO POR EMPRESAS'!$A$6:$A$1000,"&lt;="&amp;$C19)),IF($E19="IÇAMENTO JOIST",IF((COUNTIFS('CONTROLE PRODUÇÃO POR EMPRESAS'!$A$6:$A$1000,"&gt;="&amp;$B19,'CONTROLE PRODUÇÃO POR EMPRESAS'!$A$6:$A$1000,"&lt;="&amp;$C19,'CONTROLE PRODUÇÃO POR EMPRESAS'!$F$6:$F$1000,"&gt;=0")+COUNTIFS('CONTROLE PRODUÇÃO POR EMPRESAS'!$A$6:$A$1000,"&gt;="&amp;$B19,'CONTROLE PRODUÇÃO POR EMPRESAS'!$A$6:$A$1000,"&lt;="&amp;$C19,'CONTROLE PRODUÇÃO POR EMPRESAS'!$F$6:$F$1000,"?*"))=0,"",SUMIFS('CONTROLE PRODUÇÃO POR EMPRESAS'!$F$6:$F$1000,'CONTROLE PRODUÇÃO POR EMPRESAS'!$A$6:$A$1000,"&gt;="&amp;$B19,'CONTROLE PRODUÇÃO POR EMPRESAS'!$A$6:$A$1000,"&lt;="&amp;$C19)),IF($E19="VIGAS",IF((COUNTIFS('CONTROLE PRODUÇÃO POR EMPRESAS'!$A$6:$A$1000,"&gt;="&amp;$B19,'CONTROLE PRODUÇÃO POR EMPRESAS'!$A$6:$A$1000,"&lt;="&amp;$C19,'CONTROLE PRODUÇÃO POR EMPRESAS'!$G$6:$G$1000,"&gt;=0")+COUNTIFS('CONTROLE PRODUÇÃO POR EMPRESAS'!$A$6:$A$1000,"&gt;="&amp;$B19,'CONTROLE PRODUÇÃO POR EMPRESAS'!$A$6:$A$1000,"&lt;="&amp;$C19,'CONTROLE PRODUÇÃO POR EMPRESAS'!$G$6:$G$1000,"?*"))=0,"",SUMIFS('CONTROLE PRODUÇÃO POR EMPRESAS'!$G$6:$G$1000,'CONTROLE PRODUÇÃO POR EMPRESAS'!$A$6:$A$1000,"&gt;="&amp;$B19,'CONTROLE PRODUÇÃO POR EMPRESAS'!$A$6:$A$1000,"&lt;="&amp;$C19)),""))),"")))</f>
        <v/>
      </c>
      <c r="M19" s="298">
        <f>IF(L19="","",MAX(J19-L19,0))</f>
        <v/>
      </c>
      <c r="N19" s="298">
        <f>IF(L19="","",MAX(L19-J19,0))</f>
        <v/>
      </c>
      <c r="O19" s="299">
        <f>IF(L19="","",IFERROR(L19/J19,""))</f>
        <v/>
      </c>
      <c r="P19" s="298">
        <f>IF(H19="","",SUMIFS($H$6:H19,$D$6:D19,D19,$E$6:E19,E19))</f>
        <v/>
      </c>
      <c r="Q19" s="298">
        <f>IF(L19="","",SUMIFS($L$6:L19,$D$6:D19,D19,$E$6:E19,E19))</f>
        <v/>
      </c>
      <c r="R19" s="298">
        <f>IF(Q19="","",MAX(P19-Q19,0))</f>
        <v/>
      </c>
      <c r="S19" s="108">
        <f>IF(O19="","",IF(O19&gt;=1,"VERDE",IF(O19&gt;=0.9,"AMARELO","VERMELHO")))</f>
        <v/>
      </c>
      <c r="T19" s="109" t="n"/>
      <c r="U19" s="109" t="n"/>
      <c r="V19" s="110" t="n"/>
      <c r="W19" s="302" t="n"/>
    </row>
    <row r="20" ht="15.75" customHeight="1">
      <c r="A20" s="112" t="n">
        <v>3</v>
      </c>
      <c r="B20" s="301" t="n">
        <v>46272</v>
      </c>
      <c r="C20" s="301" t="n">
        <v>46276</v>
      </c>
      <c r="D20" s="114" t="inlineStr">
        <is>
          <t>CMM</t>
        </is>
      </c>
      <c r="E20" s="115" t="inlineStr">
        <is>
          <t>VIGAS</t>
        </is>
      </c>
      <c r="F20" s="296">
        <f>IF(OR(D20="",E20=""),"",IF(COUNTIFS('METAS EMPRESAS'!$A$5:$A$10,D20,'METAS EMPRESAS'!$B$5:$B$10,E20)=0,"",SUMIFS('METAS EMPRESAS'!$C$5:$C$10,'METAS EMPRESAS'!$A$5:$A$10,D20,'METAS EMPRESAS'!$B$5:$B$10,E20)))</f>
        <v/>
      </c>
      <c r="G20" s="297" t="n">
        <v>5</v>
      </c>
      <c r="H20" s="298">
        <f>IF(F20="","",F20*G20)</f>
        <v/>
      </c>
      <c r="I20" s="298">
        <f>IF(M14="",0,M14)</f>
        <v/>
      </c>
      <c r="J20" s="298">
        <f>IF(H20="","",H20+I20)</f>
        <v/>
      </c>
      <c r="K20" s="298">
        <f>IF(J20="","",J20/G20)</f>
        <v/>
      </c>
      <c r="L20" s="297">
        <f>IF(OR($B20="",$C20="",$D20="",$E20=""),"",IF($D20="EJ",IF($E20="PREMONTAGEM",IF((COUNTIFS('CONTROLE PRODUÇÃO POR EMPRESAS'!$A$6:$A$1000,"&gt;="&amp;$B20,'CONTROLE PRODUÇÃO POR EMPRESAS'!$A$6:$A$1000,"&lt;="&amp;$C20,'CONTROLE PRODUÇÃO POR EMPRESAS'!$B$6:$B$1000,"&gt;=0")+COUNTIFS('CONTROLE PRODUÇÃO POR EMPRESAS'!$A$6:$A$1000,"&gt;="&amp;$B20,'CONTROLE PRODUÇÃO POR EMPRESAS'!$A$6:$A$1000,"&lt;="&amp;$C20,'CONTROLE PRODUÇÃO POR EMPRESAS'!$B$6:$B$1000,"?*"))=0,"",SUMIFS('CONTROLE PRODUÇÃO POR EMPRESAS'!$B$6:$B$1000,'CONTROLE PRODUÇÃO POR EMPRESAS'!$A$6:$A$1000,"&gt;="&amp;$B20,'CONTROLE PRODUÇÃO POR EMPRESAS'!$A$6:$A$1000,"&lt;="&amp;$C20)),IF($E20="IÇAMENTO JOIST",IF((COUNTIFS('CONTROLE PRODUÇÃO POR EMPRESAS'!$A$6:$A$1000,"&gt;="&amp;$B20,'CONTROLE PRODUÇÃO POR EMPRESAS'!$A$6:$A$1000,"&lt;="&amp;$C20,'CONTROLE PRODUÇÃO POR EMPRESAS'!$C$6:$C$1000,"&gt;=0")+COUNTIFS('CONTROLE PRODUÇÃO POR EMPRESAS'!$A$6:$A$1000,"&gt;="&amp;$B20,'CONTROLE PRODUÇÃO POR EMPRESAS'!$A$6:$A$1000,"&lt;="&amp;$C20,'CONTROLE PRODUÇÃO POR EMPRESAS'!$C$6:$C$1000,"?*"))=0,"",SUMIFS('CONTROLE PRODUÇÃO POR EMPRESAS'!$C$6:$C$1000,'CONTROLE PRODUÇÃO POR EMPRESAS'!$A$6:$A$1000,"&gt;="&amp;$B20,'CONTROLE PRODUÇÃO POR EMPRESAS'!$A$6:$A$1000,"&lt;="&amp;$C20)),IF($E20="VIGAS",IF((COUNTIFS('CONTROLE PRODUÇÃO POR EMPRESAS'!$A$6:$A$1000,"&gt;="&amp;$B20,'CONTROLE PRODUÇÃO POR EMPRESAS'!$A$6:$A$1000,"&lt;="&amp;$C20,'CONTROLE PRODUÇÃO POR EMPRESAS'!$D$6:$D$1000,"&gt;=0")+COUNTIFS('CONTROLE PRODUÇÃO POR EMPRESAS'!$A$6:$A$1000,"&gt;="&amp;$B20,'CONTROLE PRODUÇÃO POR EMPRESAS'!$A$6:$A$1000,"&lt;="&amp;$C20,'CONTROLE PRODUÇÃO POR EMPRESAS'!$D$6:$D$1000,"?*"))=0,"",SUMIFS('CONTROLE PRODUÇÃO POR EMPRESAS'!$D$6:$D$1000,'CONTROLE PRODUÇÃO POR EMPRESAS'!$A$6:$A$1000,"&gt;="&amp;$B20,'CONTROLE PRODUÇÃO POR EMPRESAS'!$A$6:$A$1000,"&lt;="&amp;$C20)),""))),IF($D20="CMM",IF($E20="PREMONTAGEM",IF((COUNTIFS('CONTROLE PRODUÇÃO POR EMPRESAS'!$A$6:$A$1000,"&gt;="&amp;$B20,'CONTROLE PRODUÇÃO POR EMPRESAS'!$A$6:$A$1000,"&lt;="&amp;$C20,'CONTROLE PRODUÇÃO POR EMPRESAS'!$E$6:$E$1000,"&gt;=0")+COUNTIFS('CONTROLE PRODUÇÃO POR EMPRESAS'!$A$6:$A$1000,"&gt;="&amp;$B20,'CONTROLE PRODUÇÃO POR EMPRESAS'!$A$6:$A$1000,"&lt;="&amp;$C20,'CONTROLE PRODUÇÃO POR EMPRESAS'!$E$6:$E$1000,"?*"))=0,"",SUMIFS('CONTROLE PRODUÇÃO POR EMPRESAS'!$E$6:$E$1000,'CONTROLE PRODUÇÃO POR EMPRESAS'!$A$6:$A$1000,"&gt;="&amp;$B20,'CONTROLE PRODUÇÃO POR EMPRESAS'!$A$6:$A$1000,"&lt;="&amp;$C20)),IF($E20="IÇAMENTO JOIST",IF((COUNTIFS('CONTROLE PRODUÇÃO POR EMPRESAS'!$A$6:$A$1000,"&gt;="&amp;$B20,'CONTROLE PRODUÇÃO POR EMPRESAS'!$A$6:$A$1000,"&lt;="&amp;$C20,'CONTROLE PRODUÇÃO POR EMPRESAS'!$F$6:$F$1000,"&gt;=0")+COUNTIFS('CONTROLE PRODUÇÃO POR EMPRESAS'!$A$6:$A$1000,"&gt;="&amp;$B20,'CONTROLE PRODUÇÃO POR EMPRESAS'!$A$6:$A$1000,"&lt;="&amp;$C20,'CONTROLE PRODUÇÃO POR EMPRESAS'!$F$6:$F$1000,"?*"))=0,"",SUMIFS('CONTROLE PRODUÇÃO POR EMPRESAS'!$F$6:$F$1000,'CONTROLE PRODUÇÃO POR EMPRESAS'!$A$6:$A$1000,"&gt;="&amp;$B20,'CONTROLE PRODUÇÃO POR EMPRESAS'!$A$6:$A$1000,"&lt;="&amp;$C20)),IF($E20="VIGAS",IF((COUNTIFS('CONTROLE PRODUÇÃO POR EMPRESAS'!$A$6:$A$1000,"&gt;="&amp;$B20,'CONTROLE PRODUÇÃO POR EMPRESAS'!$A$6:$A$1000,"&lt;="&amp;$C20,'CONTROLE PRODUÇÃO POR EMPRESAS'!$G$6:$G$1000,"&gt;=0")+COUNTIFS('CONTROLE PRODUÇÃO POR EMPRESAS'!$A$6:$A$1000,"&gt;="&amp;$B20,'CONTROLE PRODUÇÃO POR EMPRESAS'!$A$6:$A$1000,"&lt;="&amp;$C20,'CONTROLE PRODUÇÃO POR EMPRESAS'!$G$6:$G$1000,"?*"))=0,"",SUMIFS('CONTROLE PRODUÇÃO POR EMPRESAS'!$G$6:$G$1000,'CONTROLE PRODUÇÃO POR EMPRESAS'!$A$6:$A$1000,"&gt;="&amp;$B20,'CONTROLE PRODUÇÃO POR EMPRESAS'!$A$6:$A$1000,"&lt;="&amp;$C20)),""))),"")))</f>
        <v/>
      </c>
      <c r="M20" s="298">
        <f>IF(L20="","",MAX(J20-L20,0))</f>
        <v/>
      </c>
      <c r="N20" s="298">
        <f>IF(L20="","",MAX(L20-J20,0))</f>
        <v/>
      </c>
      <c r="O20" s="299">
        <f>IF(L20="","",IFERROR(L20/J20,""))</f>
        <v/>
      </c>
      <c r="P20" s="298">
        <f>IF(H20="","",SUMIFS($H$6:H20,$D$6:D20,D20,$E$6:E20,E20))</f>
        <v/>
      </c>
      <c r="Q20" s="298">
        <f>IF(L20="","",SUMIFS($L$6:L20,$D$6:D20,D20,$E$6:E20,E20))</f>
        <v/>
      </c>
      <c r="R20" s="298">
        <f>IF(Q20="","",MAX(P20-Q20,0))</f>
        <v/>
      </c>
      <c r="S20" s="108">
        <f>IF(O20="","",IF(O20&gt;=1,"VERDE",IF(O20&gt;=0.9,"AMARELO","VERMELHO")))</f>
        <v/>
      </c>
      <c r="T20" s="109" t="n"/>
      <c r="U20" s="109" t="n"/>
      <c r="V20" s="110" t="n"/>
      <c r="W20" s="302" t="n"/>
    </row>
    <row r="21" ht="15.75" customHeight="1">
      <c r="A21" s="117" t="n">
        <v>3</v>
      </c>
      <c r="B21" s="295" t="n">
        <v>46272</v>
      </c>
      <c r="C21" s="295" t="n">
        <v>46276</v>
      </c>
      <c r="D21" s="101" t="inlineStr">
        <is>
          <t>EJ</t>
        </is>
      </c>
      <c r="E21" s="103" t="inlineStr">
        <is>
          <t>PREMONTAGEM</t>
        </is>
      </c>
      <c r="F21" s="296">
        <f>IF(OR(D21="",E21=""),"",IF(COUNTIFS('METAS EMPRESAS'!$A$5:$A$10,D21,'METAS EMPRESAS'!$B$5:$B$10,E21)=0,"",SUMIFS('METAS EMPRESAS'!$C$5:$C$10,'METAS EMPRESAS'!$A$5:$A$10,D21,'METAS EMPRESAS'!$B$5:$B$10,E21)))</f>
        <v/>
      </c>
      <c r="G21" s="297" t="n">
        <v>5</v>
      </c>
      <c r="H21" s="298">
        <f>IF(F21="","",F21*G21)</f>
        <v/>
      </c>
      <c r="I21" s="298">
        <f>IF(M15="",0,M15)</f>
        <v/>
      </c>
      <c r="J21" s="298">
        <f>IF(H21="","",H21+I21)</f>
        <v/>
      </c>
      <c r="K21" s="298">
        <f>IF(J21="","",J21/G21)</f>
        <v/>
      </c>
      <c r="L21" s="297">
        <f>IF(OR($B21="",$C21="",$D21="",$E21=""),"",IF($D21="EJ",IF($E21="PREMONTAGEM",IF((COUNTIFS('CONTROLE PRODUÇÃO POR EMPRESAS'!$A$6:$A$1000,"&gt;="&amp;$B21,'CONTROLE PRODUÇÃO POR EMPRESAS'!$A$6:$A$1000,"&lt;="&amp;$C21,'CONTROLE PRODUÇÃO POR EMPRESAS'!$B$6:$B$1000,"&gt;=0")+COUNTIFS('CONTROLE PRODUÇÃO POR EMPRESAS'!$A$6:$A$1000,"&gt;="&amp;$B21,'CONTROLE PRODUÇÃO POR EMPRESAS'!$A$6:$A$1000,"&lt;="&amp;$C21,'CONTROLE PRODUÇÃO POR EMPRESAS'!$B$6:$B$1000,"?*"))=0,"",SUMIFS('CONTROLE PRODUÇÃO POR EMPRESAS'!$B$6:$B$1000,'CONTROLE PRODUÇÃO POR EMPRESAS'!$A$6:$A$1000,"&gt;="&amp;$B21,'CONTROLE PRODUÇÃO POR EMPRESAS'!$A$6:$A$1000,"&lt;="&amp;$C21)),IF($E21="IÇAMENTO JOIST",IF((COUNTIFS('CONTROLE PRODUÇÃO POR EMPRESAS'!$A$6:$A$1000,"&gt;="&amp;$B21,'CONTROLE PRODUÇÃO POR EMPRESAS'!$A$6:$A$1000,"&lt;="&amp;$C21,'CONTROLE PRODUÇÃO POR EMPRESAS'!$C$6:$C$1000,"&gt;=0")+COUNTIFS('CONTROLE PRODUÇÃO POR EMPRESAS'!$A$6:$A$1000,"&gt;="&amp;$B21,'CONTROLE PRODUÇÃO POR EMPRESAS'!$A$6:$A$1000,"&lt;="&amp;$C21,'CONTROLE PRODUÇÃO POR EMPRESAS'!$C$6:$C$1000,"?*"))=0,"",SUMIFS('CONTROLE PRODUÇÃO POR EMPRESAS'!$C$6:$C$1000,'CONTROLE PRODUÇÃO POR EMPRESAS'!$A$6:$A$1000,"&gt;="&amp;$B21,'CONTROLE PRODUÇÃO POR EMPRESAS'!$A$6:$A$1000,"&lt;="&amp;$C21)),IF($E21="VIGAS",IF((COUNTIFS('CONTROLE PRODUÇÃO POR EMPRESAS'!$A$6:$A$1000,"&gt;="&amp;$B21,'CONTROLE PRODUÇÃO POR EMPRESAS'!$A$6:$A$1000,"&lt;="&amp;$C21,'CONTROLE PRODUÇÃO POR EMPRESAS'!$D$6:$D$1000,"&gt;=0")+COUNTIFS('CONTROLE PRODUÇÃO POR EMPRESAS'!$A$6:$A$1000,"&gt;="&amp;$B21,'CONTROLE PRODUÇÃO POR EMPRESAS'!$A$6:$A$1000,"&lt;="&amp;$C21,'CONTROLE PRODUÇÃO POR EMPRESAS'!$D$6:$D$1000,"?*"))=0,"",SUMIFS('CONTROLE PRODUÇÃO POR EMPRESAS'!$D$6:$D$1000,'CONTROLE PRODUÇÃO POR EMPRESAS'!$A$6:$A$1000,"&gt;="&amp;$B21,'CONTROLE PRODUÇÃO POR EMPRESAS'!$A$6:$A$1000,"&lt;="&amp;$C21)),""))),IF($D21="CMM",IF($E21="PREMONTAGEM",IF((COUNTIFS('CONTROLE PRODUÇÃO POR EMPRESAS'!$A$6:$A$1000,"&gt;="&amp;$B21,'CONTROLE PRODUÇÃO POR EMPRESAS'!$A$6:$A$1000,"&lt;="&amp;$C21,'CONTROLE PRODUÇÃO POR EMPRESAS'!$E$6:$E$1000,"&gt;=0")+COUNTIFS('CONTROLE PRODUÇÃO POR EMPRESAS'!$A$6:$A$1000,"&gt;="&amp;$B21,'CONTROLE PRODUÇÃO POR EMPRESAS'!$A$6:$A$1000,"&lt;="&amp;$C21,'CONTROLE PRODUÇÃO POR EMPRESAS'!$E$6:$E$1000,"?*"))=0,"",SUMIFS('CONTROLE PRODUÇÃO POR EMPRESAS'!$E$6:$E$1000,'CONTROLE PRODUÇÃO POR EMPRESAS'!$A$6:$A$1000,"&gt;="&amp;$B21,'CONTROLE PRODUÇÃO POR EMPRESAS'!$A$6:$A$1000,"&lt;="&amp;$C21)),IF($E21="IÇAMENTO JOIST",IF((COUNTIFS('CONTROLE PRODUÇÃO POR EMPRESAS'!$A$6:$A$1000,"&gt;="&amp;$B21,'CONTROLE PRODUÇÃO POR EMPRESAS'!$A$6:$A$1000,"&lt;="&amp;$C21,'CONTROLE PRODUÇÃO POR EMPRESAS'!$F$6:$F$1000,"&gt;=0")+COUNTIFS('CONTROLE PRODUÇÃO POR EMPRESAS'!$A$6:$A$1000,"&gt;="&amp;$B21,'CONTROLE PRODUÇÃO POR EMPRESAS'!$A$6:$A$1000,"&lt;="&amp;$C21,'CONTROLE PRODUÇÃO POR EMPRESAS'!$F$6:$F$1000,"?*"))=0,"",SUMIFS('CONTROLE PRODUÇÃO POR EMPRESAS'!$F$6:$F$1000,'CONTROLE PRODUÇÃO POR EMPRESAS'!$A$6:$A$1000,"&gt;="&amp;$B21,'CONTROLE PRODUÇÃO POR EMPRESAS'!$A$6:$A$1000,"&lt;="&amp;$C21)),IF($E21="VIGAS",IF((COUNTIFS('CONTROLE PRODUÇÃO POR EMPRESAS'!$A$6:$A$1000,"&gt;="&amp;$B21,'CONTROLE PRODUÇÃO POR EMPRESAS'!$A$6:$A$1000,"&lt;="&amp;$C21,'CONTROLE PRODUÇÃO POR EMPRESAS'!$G$6:$G$1000,"&gt;=0")+COUNTIFS('CONTROLE PRODUÇÃO POR EMPRESAS'!$A$6:$A$1000,"&gt;="&amp;$B21,'CONTROLE PRODUÇÃO POR EMPRESAS'!$A$6:$A$1000,"&lt;="&amp;$C21,'CONTROLE PRODUÇÃO POR EMPRESAS'!$G$6:$G$1000,"?*"))=0,"",SUMIFS('CONTROLE PRODUÇÃO POR EMPRESAS'!$G$6:$G$1000,'CONTROLE PRODUÇÃO POR EMPRESAS'!$A$6:$A$1000,"&gt;="&amp;$B21,'CONTROLE PRODUÇÃO POR EMPRESAS'!$A$6:$A$1000,"&lt;="&amp;$C21)),""))),"")))</f>
        <v/>
      </c>
      <c r="M21" s="298">
        <f>IF(L21="","",MAX(J21-L21,0))</f>
        <v/>
      </c>
      <c r="N21" s="298">
        <f>IF(L21="","",MAX(L21-J21,0))</f>
        <v/>
      </c>
      <c r="O21" s="299">
        <f>IF(L21="","",IFERROR(L21/J21,""))</f>
        <v/>
      </c>
      <c r="P21" s="298">
        <f>IF(H21="","",SUMIFS($H$6:H21,$D$6:D21,D21,$E$6:E21,E21))</f>
        <v/>
      </c>
      <c r="Q21" s="298">
        <f>IF(L21="","",SUMIFS($L$6:L21,$D$6:D21,D21,$E$6:E21,E21))</f>
        <v/>
      </c>
      <c r="R21" s="298">
        <f>IF(Q21="","",MAX(P21-Q21,0))</f>
        <v/>
      </c>
      <c r="S21" s="108">
        <f>IF(O21="","",IF(O21&gt;=1,"VERDE",IF(O21&gt;=0.9,"AMARELO","VERMELHO")))</f>
        <v/>
      </c>
      <c r="T21" s="109" t="n"/>
      <c r="U21" s="109" t="n"/>
      <c r="V21" s="110" t="n"/>
      <c r="W21" s="302" t="n"/>
    </row>
    <row r="22" ht="15.75" customHeight="1">
      <c r="A22" s="112" t="n">
        <v>3</v>
      </c>
      <c r="B22" s="301" t="n">
        <v>46272</v>
      </c>
      <c r="C22" s="301" t="n">
        <v>46276</v>
      </c>
      <c r="D22" s="114" t="inlineStr">
        <is>
          <t>EJ</t>
        </is>
      </c>
      <c r="E22" s="115" t="inlineStr">
        <is>
          <t>IÇAMENTO JOIST</t>
        </is>
      </c>
      <c r="F22" s="296">
        <f>IF(OR(D22="",E22=""),"",IF(COUNTIFS('METAS EMPRESAS'!$A$5:$A$10,D22,'METAS EMPRESAS'!$B$5:$B$10,E22)=0,"",SUMIFS('METAS EMPRESAS'!$C$5:$C$10,'METAS EMPRESAS'!$A$5:$A$10,D22,'METAS EMPRESAS'!$B$5:$B$10,E22)))</f>
        <v/>
      </c>
      <c r="G22" s="297" t="n">
        <v>5</v>
      </c>
      <c r="H22" s="298">
        <f>IF(F22="","",F22*G22)</f>
        <v/>
      </c>
      <c r="I22" s="298">
        <f>IF(M16="",0,M16)</f>
        <v/>
      </c>
      <c r="J22" s="298">
        <f>IF(H22="","",H22+I22)</f>
        <v/>
      </c>
      <c r="K22" s="298">
        <f>IF(J22="","",J22/G22)</f>
        <v/>
      </c>
      <c r="L22" s="297">
        <f>IF(OR($B22="",$C22="",$D22="",$E22=""),"",IF($D22="EJ",IF($E22="PREMONTAGEM",IF((COUNTIFS('CONTROLE PRODUÇÃO POR EMPRESAS'!$A$6:$A$1000,"&gt;="&amp;$B22,'CONTROLE PRODUÇÃO POR EMPRESAS'!$A$6:$A$1000,"&lt;="&amp;$C22,'CONTROLE PRODUÇÃO POR EMPRESAS'!$B$6:$B$1000,"&gt;=0")+COUNTIFS('CONTROLE PRODUÇÃO POR EMPRESAS'!$A$6:$A$1000,"&gt;="&amp;$B22,'CONTROLE PRODUÇÃO POR EMPRESAS'!$A$6:$A$1000,"&lt;="&amp;$C22,'CONTROLE PRODUÇÃO POR EMPRESAS'!$B$6:$B$1000,"?*"))=0,"",SUMIFS('CONTROLE PRODUÇÃO POR EMPRESAS'!$B$6:$B$1000,'CONTROLE PRODUÇÃO POR EMPRESAS'!$A$6:$A$1000,"&gt;="&amp;$B22,'CONTROLE PRODUÇÃO POR EMPRESAS'!$A$6:$A$1000,"&lt;="&amp;$C22)),IF($E22="IÇAMENTO JOIST",IF((COUNTIFS('CONTROLE PRODUÇÃO POR EMPRESAS'!$A$6:$A$1000,"&gt;="&amp;$B22,'CONTROLE PRODUÇÃO POR EMPRESAS'!$A$6:$A$1000,"&lt;="&amp;$C22,'CONTROLE PRODUÇÃO POR EMPRESAS'!$C$6:$C$1000,"&gt;=0")+COUNTIFS('CONTROLE PRODUÇÃO POR EMPRESAS'!$A$6:$A$1000,"&gt;="&amp;$B22,'CONTROLE PRODUÇÃO POR EMPRESAS'!$A$6:$A$1000,"&lt;="&amp;$C22,'CONTROLE PRODUÇÃO POR EMPRESAS'!$C$6:$C$1000,"?*"))=0,"",SUMIFS('CONTROLE PRODUÇÃO POR EMPRESAS'!$C$6:$C$1000,'CONTROLE PRODUÇÃO POR EMPRESAS'!$A$6:$A$1000,"&gt;="&amp;$B22,'CONTROLE PRODUÇÃO POR EMPRESAS'!$A$6:$A$1000,"&lt;="&amp;$C22)),IF($E22="VIGAS",IF((COUNTIFS('CONTROLE PRODUÇÃO POR EMPRESAS'!$A$6:$A$1000,"&gt;="&amp;$B22,'CONTROLE PRODUÇÃO POR EMPRESAS'!$A$6:$A$1000,"&lt;="&amp;$C22,'CONTROLE PRODUÇÃO POR EMPRESAS'!$D$6:$D$1000,"&gt;=0")+COUNTIFS('CONTROLE PRODUÇÃO POR EMPRESAS'!$A$6:$A$1000,"&gt;="&amp;$B22,'CONTROLE PRODUÇÃO POR EMPRESAS'!$A$6:$A$1000,"&lt;="&amp;$C22,'CONTROLE PRODUÇÃO POR EMPRESAS'!$D$6:$D$1000,"?*"))=0,"",SUMIFS('CONTROLE PRODUÇÃO POR EMPRESAS'!$D$6:$D$1000,'CONTROLE PRODUÇÃO POR EMPRESAS'!$A$6:$A$1000,"&gt;="&amp;$B22,'CONTROLE PRODUÇÃO POR EMPRESAS'!$A$6:$A$1000,"&lt;="&amp;$C22)),""))),IF($D22="CMM",IF($E22="PREMONTAGEM",IF((COUNTIFS('CONTROLE PRODUÇÃO POR EMPRESAS'!$A$6:$A$1000,"&gt;="&amp;$B22,'CONTROLE PRODUÇÃO POR EMPRESAS'!$A$6:$A$1000,"&lt;="&amp;$C22,'CONTROLE PRODUÇÃO POR EMPRESAS'!$E$6:$E$1000,"&gt;=0")+COUNTIFS('CONTROLE PRODUÇÃO POR EMPRESAS'!$A$6:$A$1000,"&gt;="&amp;$B22,'CONTROLE PRODUÇÃO POR EMPRESAS'!$A$6:$A$1000,"&lt;="&amp;$C22,'CONTROLE PRODUÇÃO POR EMPRESAS'!$E$6:$E$1000,"?*"))=0,"",SUMIFS('CONTROLE PRODUÇÃO POR EMPRESAS'!$E$6:$E$1000,'CONTROLE PRODUÇÃO POR EMPRESAS'!$A$6:$A$1000,"&gt;="&amp;$B22,'CONTROLE PRODUÇÃO POR EMPRESAS'!$A$6:$A$1000,"&lt;="&amp;$C22)),IF($E22="IÇAMENTO JOIST",IF((COUNTIFS('CONTROLE PRODUÇÃO POR EMPRESAS'!$A$6:$A$1000,"&gt;="&amp;$B22,'CONTROLE PRODUÇÃO POR EMPRESAS'!$A$6:$A$1000,"&lt;="&amp;$C22,'CONTROLE PRODUÇÃO POR EMPRESAS'!$F$6:$F$1000,"&gt;=0")+COUNTIFS('CONTROLE PRODUÇÃO POR EMPRESAS'!$A$6:$A$1000,"&gt;="&amp;$B22,'CONTROLE PRODUÇÃO POR EMPRESAS'!$A$6:$A$1000,"&lt;="&amp;$C22,'CONTROLE PRODUÇÃO POR EMPRESAS'!$F$6:$F$1000,"?*"))=0,"",SUMIFS('CONTROLE PRODUÇÃO POR EMPRESAS'!$F$6:$F$1000,'CONTROLE PRODUÇÃO POR EMPRESAS'!$A$6:$A$1000,"&gt;="&amp;$B22,'CONTROLE PRODUÇÃO POR EMPRESAS'!$A$6:$A$1000,"&lt;="&amp;$C22)),IF($E22="VIGAS",IF((COUNTIFS('CONTROLE PRODUÇÃO POR EMPRESAS'!$A$6:$A$1000,"&gt;="&amp;$B22,'CONTROLE PRODUÇÃO POR EMPRESAS'!$A$6:$A$1000,"&lt;="&amp;$C22,'CONTROLE PRODUÇÃO POR EMPRESAS'!$G$6:$G$1000,"&gt;=0")+COUNTIFS('CONTROLE PRODUÇÃO POR EMPRESAS'!$A$6:$A$1000,"&gt;="&amp;$B22,'CONTROLE PRODUÇÃO POR EMPRESAS'!$A$6:$A$1000,"&lt;="&amp;$C22,'CONTROLE PRODUÇÃO POR EMPRESAS'!$G$6:$G$1000,"?*"))=0,"",SUMIFS('CONTROLE PRODUÇÃO POR EMPRESAS'!$G$6:$G$1000,'CONTROLE PRODUÇÃO POR EMPRESAS'!$A$6:$A$1000,"&gt;="&amp;$B22,'CONTROLE PRODUÇÃO POR EMPRESAS'!$A$6:$A$1000,"&lt;="&amp;$C22)),""))),"")))</f>
        <v/>
      </c>
      <c r="M22" s="298">
        <f>IF(L22="","",MAX(J22-L22,0))</f>
        <v/>
      </c>
      <c r="N22" s="298">
        <f>IF(L22="","",MAX(L22-J22,0))</f>
        <v/>
      </c>
      <c r="O22" s="299">
        <f>IF(L22="","",IFERROR(L22/J22,""))</f>
        <v/>
      </c>
      <c r="P22" s="298">
        <f>IF(H22="","",SUMIFS($H$6:H22,$D$6:D22,D22,$E$6:E22,E22))</f>
        <v/>
      </c>
      <c r="Q22" s="298">
        <f>IF(L22="","",SUMIFS($L$6:L22,$D$6:D22,D22,$E$6:E22,E22))</f>
        <v/>
      </c>
      <c r="R22" s="298">
        <f>IF(Q22="","",MAX(P22-Q22,0))</f>
        <v/>
      </c>
      <c r="S22" s="108">
        <f>IF(O22="","",IF(O22&gt;=1,"VERDE",IF(O22&gt;=0.9,"AMARELO","VERMELHO")))</f>
        <v/>
      </c>
      <c r="T22" s="109" t="n"/>
      <c r="U22" s="109" t="n"/>
      <c r="V22" s="110" t="n"/>
      <c r="W22" s="302" t="n"/>
    </row>
    <row r="23" ht="15.75" customHeight="1">
      <c r="A23" s="117" t="n">
        <v>3</v>
      </c>
      <c r="B23" s="295" t="n">
        <v>46272</v>
      </c>
      <c r="C23" s="295" t="n">
        <v>46276</v>
      </c>
      <c r="D23" s="101" t="inlineStr">
        <is>
          <t>EJ</t>
        </is>
      </c>
      <c r="E23" s="103" t="inlineStr">
        <is>
          <t>VIGAS</t>
        </is>
      </c>
      <c r="F23" s="296">
        <f>IF(OR(D23="",E23=""),"",IF(COUNTIFS('METAS EMPRESAS'!$A$5:$A$10,D23,'METAS EMPRESAS'!$B$5:$B$10,E23)=0,"",SUMIFS('METAS EMPRESAS'!$C$5:$C$10,'METAS EMPRESAS'!$A$5:$A$10,D23,'METAS EMPRESAS'!$B$5:$B$10,E23)))</f>
        <v/>
      </c>
      <c r="G23" s="297" t="n">
        <v>5</v>
      </c>
      <c r="H23" s="298">
        <f>IF(F23="","",F23*G23)</f>
        <v/>
      </c>
      <c r="I23" s="298">
        <f>IF(M17="",0,M17)</f>
        <v/>
      </c>
      <c r="J23" s="298">
        <f>IF(H23="","",H23+I23)</f>
        <v/>
      </c>
      <c r="K23" s="298">
        <f>IF(J23="","",J23/G23)</f>
        <v/>
      </c>
      <c r="L23" s="297">
        <f>IF(OR($B23="",$C23="",$D23="",$E23=""),"",IF($D23="EJ",IF($E23="PREMONTAGEM",IF((COUNTIFS('CONTROLE PRODUÇÃO POR EMPRESAS'!$A$6:$A$1000,"&gt;="&amp;$B23,'CONTROLE PRODUÇÃO POR EMPRESAS'!$A$6:$A$1000,"&lt;="&amp;$C23,'CONTROLE PRODUÇÃO POR EMPRESAS'!$B$6:$B$1000,"&gt;=0")+COUNTIFS('CONTROLE PRODUÇÃO POR EMPRESAS'!$A$6:$A$1000,"&gt;="&amp;$B23,'CONTROLE PRODUÇÃO POR EMPRESAS'!$A$6:$A$1000,"&lt;="&amp;$C23,'CONTROLE PRODUÇÃO POR EMPRESAS'!$B$6:$B$1000,"?*"))=0,"",SUMIFS('CONTROLE PRODUÇÃO POR EMPRESAS'!$B$6:$B$1000,'CONTROLE PRODUÇÃO POR EMPRESAS'!$A$6:$A$1000,"&gt;="&amp;$B23,'CONTROLE PRODUÇÃO POR EMPRESAS'!$A$6:$A$1000,"&lt;="&amp;$C23)),IF($E23="IÇAMENTO JOIST",IF((COUNTIFS('CONTROLE PRODUÇÃO POR EMPRESAS'!$A$6:$A$1000,"&gt;="&amp;$B23,'CONTROLE PRODUÇÃO POR EMPRESAS'!$A$6:$A$1000,"&lt;="&amp;$C23,'CONTROLE PRODUÇÃO POR EMPRESAS'!$C$6:$C$1000,"&gt;=0")+COUNTIFS('CONTROLE PRODUÇÃO POR EMPRESAS'!$A$6:$A$1000,"&gt;="&amp;$B23,'CONTROLE PRODUÇÃO POR EMPRESAS'!$A$6:$A$1000,"&lt;="&amp;$C23,'CONTROLE PRODUÇÃO POR EMPRESAS'!$C$6:$C$1000,"?*"))=0,"",SUMIFS('CONTROLE PRODUÇÃO POR EMPRESAS'!$C$6:$C$1000,'CONTROLE PRODUÇÃO POR EMPRESAS'!$A$6:$A$1000,"&gt;="&amp;$B23,'CONTROLE PRODUÇÃO POR EMPRESAS'!$A$6:$A$1000,"&lt;="&amp;$C23)),IF($E23="VIGAS",IF((COUNTIFS('CONTROLE PRODUÇÃO POR EMPRESAS'!$A$6:$A$1000,"&gt;="&amp;$B23,'CONTROLE PRODUÇÃO POR EMPRESAS'!$A$6:$A$1000,"&lt;="&amp;$C23,'CONTROLE PRODUÇÃO POR EMPRESAS'!$D$6:$D$1000,"&gt;=0")+COUNTIFS('CONTROLE PRODUÇÃO POR EMPRESAS'!$A$6:$A$1000,"&gt;="&amp;$B23,'CONTROLE PRODUÇÃO POR EMPRESAS'!$A$6:$A$1000,"&lt;="&amp;$C23,'CONTROLE PRODUÇÃO POR EMPRESAS'!$D$6:$D$1000,"?*"))=0,"",SUMIFS('CONTROLE PRODUÇÃO POR EMPRESAS'!$D$6:$D$1000,'CONTROLE PRODUÇÃO POR EMPRESAS'!$A$6:$A$1000,"&gt;="&amp;$B23,'CONTROLE PRODUÇÃO POR EMPRESAS'!$A$6:$A$1000,"&lt;="&amp;$C23)),""))),IF($D23="CMM",IF($E23="PREMONTAGEM",IF((COUNTIFS('CONTROLE PRODUÇÃO POR EMPRESAS'!$A$6:$A$1000,"&gt;="&amp;$B23,'CONTROLE PRODUÇÃO POR EMPRESAS'!$A$6:$A$1000,"&lt;="&amp;$C23,'CONTROLE PRODUÇÃO POR EMPRESAS'!$E$6:$E$1000,"&gt;=0")+COUNTIFS('CONTROLE PRODUÇÃO POR EMPRESAS'!$A$6:$A$1000,"&gt;="&amp;$B23,'CONTROLE PRODUÇÃO POR EMPRESAS'!$A$6:$A$1000,"&lt;="&amp;$C23,'CONTROLE PRODUÇÃO POR EMPRESAS'!$E$6:$E$1000,"?*"))=0,"",SUMIFS('CONTROLE PRODUÇÃO POR EMPRESAS'!$E$6:$E$1000,'CONTROLE PRODUÇÃO POR EMPRESAS'!$A$6:$A$1000,"&gt;="&amp;$B23,'CONTROLE PRODUÇÃO POR EMPRESAS'!$A$6:$A$1000,"&lt;="&amp;$C23)),IF($E23="IÇAMENTO JOIST",IF((COUNTIFS('CONTROLE PRODUÇÃO POR EMPRESAS'!$A$6:$A$1000,"&gt;="&amp;$B23,'CONTROLE PRODUÇÃO POR EMPRESAS'!$A$6:$A$1000,"&lt;="&amp;$C23,'CONTROLE PRODUÇÃO POR EMPRESAS'!$F$6:$F$1000,"&gt;=0")+COUNTIFS('CONTROLE PRODUÇÃO POR EMPRESAS'!$A$6:$A$1000,"&gt;="&amp;$B23,'CONTROLE PRODUÇÃO POR EMPRESAS'!$A$6:$A$1000,"&lt;="&amp;$C23,'CONTROLE PRODUÇÃO POR EMPRESAS'!$F$6:$F$1000,"?*"))=0,"",SUMIFS('CONTROLE PRODUÇÃO POR EMPRESAS'!$F$6:$F$1000,'CONTROLE PRODUÇÃO POR EMPRESAS'!$A$6:$A$1000,"&gt;="&amp;$B23,'CONTROLE PRODUÇÃO POR EMPRESAS'!$A$6:$A$1000,"&lt;="&amp;$C23)),IF($E23="VIGAS",IF((COUNTIFS('CONTROLE PRODUÇÃO POR EMPRESAS'!$A$6:$A$1000,"&gt;="&amp;$B23,'CONTROLE PRODUÇÃO POR EMPRESAS'!$A$6:$A$1000,"&lt;="&amp;$C23,'CONTROLE PRODUÇÃO POR EMPRESAS'!$G$6:$G$1000,"&gt;=0")+COUNTIFS('CONTROLE PRODUÇÃO POR EMPRESAS'!$A$6:$A$1000,"&gt;="&amp;$B23,'CONTROLE PRODUÇÃO POR EMPRESAS'!$A$6:$A$1000,"&lt;="&amp;$C23,'CONTROLE PRODUÇÃO POR EMPRESAS'!$G$6:$G$1000,"?*"))=0,"",SUMIFS('CONTROLE PRODUÇÃO POR EMPRESAS'!$G$6:$G$1000,'CONTROLE PRODUÇÃO POR EMPRESAS'!$A$6:$A$1000,"&gt;="&amp;$B23,'CONTROLE PRODUÇÃO POR EMPRESAS'!$A$6:$A$1000,"&lt;="&amp;$C23)),""))),"")))</f>
        <v/>
      </c>
      <c r="M23" s="298">
        <f>IF(L23="","",MAX(J23-L23,0))</f>
        <v/>
      </c>
      <c r="N23" s="298">
        <f>IF(L23="","",MAX(L23-J23,0))</f>
        <v/>
      </c>
      <c r="O23" s="299">
        <f>IF(L23="","",IFERROR(L23/J23,""))</f>
        <v/>
      </c>
      <c r="P23" s="298">
        <f>IF(H23="","",SUMIFS($H$6:H23,$D$6:D23,D23,$E$6:E23,E23))</f>
        <v/>
      </c>
      <c r="Q23" s="298">
        <f>IF(L23="","",SUMIFS($L$6:L23,$D$6:D23,D23,$E$6:E23,E23))</f>
        <v/>
      </c>
      <c r="R23" s="298">
        <f>IF(Q23="","",MAX(P23-Q23,0))</f>
        <v/>
      </c>
      <c r="S23" s="108">
        <f>IF(O23="","",IF(O23&gt;=1,"VERDE",IF(O23&gt;=0.9,"AMARELO","VERMELHO")))</f>
        <v/>
      </c>
      <c r="T23" s="109" t="n"/>
      <c r="U23" s="109" t="n"/>
      <c r="V23" s="110" t="n"/>
      <c r="W23" s="302" t="n"/>
    </row>
    <row r="24" ht="15.75" customHeight="1">
      <c r="A24" s="112" t="n">
        <v>4</v>
      </c>
      <c r="B24" s="301" t="n">
        <v>46279</v>
      </c>
      <c r="C24" s="301" t="n">
        <v>46283</v>
      </c>
      <c r="D24" s="114" t="inlineStr">
        <is>
          <t>CMM</t>
        </is>
      </c>
      <c r="E24" s="115" t="inlineStr">
        <is>
          <t>PREMONTAGEM</t>
        </is>
      </c>
      <c r="F24" s="296">
        <f>IF(OR(D24="",E24=""),"",IF(COUNTIFS('METAS EMPRESAS'!$A$5:$A$10,D24,'METAS EMPRESAS'!$B$5:$B$10,E24)=0,"",SUMIFS('METAS EMPRESAS'!$C$5:$C$10,'METAS EMPRESAS'!$A$5:$A$10,D24,'METAS EMPRESAS'!$B$5:$B$10,E24)))</f>
        <v/>
      </c>
      <c r="G24" s="297" t="n">
        <v>5</v>
      </c>
      <c r="H24" s="298">
        <f>IF(F24="","",F24*G24)</f>
        <v/>
      </c>
      <c r="I24" s="298">
        <f>IF(M18="",0,M18)</f>
        <v/>
      </c>
      <c r="J24" s="298">
        <f>IF(H24="","",H24+I24)</f>
        <v/>
      </c>
      <c r="K24" s="298">
        <f>IF(J24="","",J24/G24)</f>
        <v/>
      </c>
      <c r="L24" s="297">
        <f>IF(OR($B24="",$C24="",$D24="",$E24=""),"",IF($D24="EJ",IF($E24="PREMONTAGEM",IF((COUNTIFS('CONTROLE PRODUÇÃO POR EMPRESAS'!$A$6:$A$1000,"&gt;="&amp;$B24,'CONTROLE PRODUÇÃO POR EMPRESAS'!$A$6:$A$1000,"&lt;="&amp;$C24,'CONTROLE PRODUÇÃO POR EMPRESAS'!$B$6:$B$1000,"&gt;=0")+COUNTIFS('CONTROLE PRODUÇÃO POR EMPRESAS'!$A$6:$A$1000,"&gt;="&amp;$B24,'CONTROLE PRODUÇÃO POR EMPRESAS'!$A$6:$A$1000,"&lt;="&amp;$C24,'CONTROLE PRODUÇÃO POR EMPRESAS'!$B$6:$B$1000,"?*"))=0,"",SUMIFS('CONTROLE PRODUÇÃO POR EMPRESAS'!$B$6:$B$1000,'CONTROLE PRODUÇÃO POR EMPRESAS'!$A$6:$A$1000,"&gt;="&amp;$B24,'CONTROLE PRODUÇÃO POR EMPRESAS'!$A$6:$A$1000,"&lt;="&amp;$C24)),IF($E24="IÇAMENTO JOIST",IF((COUNTIFS('CONTROLE PRODUÇÃO POR EMPRESAS'!$A$6:$A$1000,"&gt;="&amp;$B24,'CONTROLE PRODUÇÃO POR EMPRESAS'!$A$6:$A$1000,"&lt;="&amp;$C24,'CONTROLE PRODUÇÃO POR EMPRESAS'!$C$6:$C$1000,"&gt;=0")+COUNTIFS('CONTROLE PRODUÇÃO POR EMPRESAS'!$A$6:$A$1000,"&gt;="&amp;$B24,'CONTROLE PRODUÇÃO POR EMPRESAS'!$A$6:$A$1000,"&lt;="&amp;$C24,'CONTROLE PRODUÇÃO POR EMPRESAS'!$C$6:$C$1000,"?*"))=0,"",SUMIFS('CONTROLE PRODUÇÃO POR EMPRESAS'!$C$6:$C$1000,'CONTROLE PRODUÇÃO POR EMPRESAS'!$A$6:$A$1000,"&gt;="&amp;$B24,'CONTROLE PRODUÇÃO POR EMPRESAS'!$A$6:$A$1000,"&lt;="&amp;$C24)),IF($E24="VIGAS",IF((COUNTIFS('CONTROLE PRODUÇÃO POR EMPRESAS'!$A$6:$A$1000,"&gt;="&amp;$B24,'CONTROLE PRODUÇÃO POR EMPRESAS'!$A$6:$A$1000,"&lt;="&amp;$C24,'CONTROLE PRODUÇÃO POR EMPRESAS'!$D$6:$D$1000,"&gt;=0")+COUNTIFS('CONTROLE PRODUÇÃO POR EMPRESAS'!$A$6:$A$1000,"&gt;="&amp;$B24,'CONTROLE PRODUÇÃO POR EMPRESAS'!$A$6:$A$1000,"&lt;="&amp;$C24,'CONTROLE PRODUÇÃO POR EMPRESAS'!$D$6:$D$1000,"?*"))=0,"",SUMIFS('CONTROLE PRODUÇÃO POR EMPRESAS'!$D$6:$D$1000,'CONTROLE PRODUÇÃO POR EMPRESAS'!$A$6:$A$1000,"&gt;="&amp;$B24,'CONTROLE PRODUÇÃO POR EMPRESAS'!$A$6:$A$1000,"&lt;="&amp;$C24)),""))),IF($D24="CMM",IF($E24="PREMONTAGEM",IF((COUNTIFS('CONTROLE PRODUÇÃO POR EMPRESAS'!$A$6:$A$1000,"&gt;="&amp;$B24,'CONTROLE PRODUÇÃO POR EMPRESAS'!$A$6:$A$1000,"&lt;="&amp;$C24,'CONTROLE PRODUÇÃO POR EMPRESAS'!$E$6:$E$1000,"&gt;=0")+COUNTIFS('CONTROLE PRODUÇÃO POR EMPRESAS'!$A$6:$A$1000,"&gt;="&amp;$B24,'CONTROLE PRODUÇÃO POR EMPRESAS'!$A$6:$A$1000,"&lt;="&amp;$C24,'CONTROLE PRODUÇÃO POR EMPRESAS'!$E$6:$E$1000,"?*"))=0,"",SUMIFS('CONTROLE PRODUÇÃO POR EMPRESAS'!$E$6:$E$1000,'CONTROLE PRODUÇÃO POR EMPRESAS'!$A$6:$A$1000,"&gt;="&amp;$B24,'CONTROLE PRODUÇÃO POR EMPRESAS'!$A$6:$A$1000,"&lt;="&amp;$C24)),IF($E24="IÇAMENTO JOIST",IF((COUNTIFS('CONTROLE PRODUÇÃO POR EMPRESAS'!$A$6:$A$1000,"&gt;="&amp;$B24,'CONTROLE PRODUÇÃO POR EMPRESAS'!$A$6:$A$1000,"&lt;="&amp;$C24,'CONTROLE PRODUÇÃO POR EMPRESAS'!$F$6:$F$1000,"&gt;=0")+COUNTIFS('CONTROLE PRODUÇÃO POR EMPRESAS'!$A$6:$A$1000,"&gt;="&amp;$B24,'CONTROLE PRODUÇÃO POR EMPRESAS'!$A$6:$A$1000,"&lt;="&amp;$C24,'CONTROLE PRODUÇÃO POR EMPRESAS'!$F$6:$F$1000,"?*"))=0,"",SUMIFS('CONTROLE PRODUÇÃO POR EMPRESAS'!$F$6:$F$1000,'CONTROLE PRODUÇÃO POR EMPRESAS'!$A$6:$A$1000,"&gt;="&amp;$B24,'CONTROLE PRODUÇÃO POR EMPRESAS'!$A$6:$A$1000,"&lt;="&amp;$C24)),IF($E24="VIGAS",IF((COUNTIFS('CONTROLE PRODUÇÃO POR EMPRESAS'!$A$6:$A$1000,"&gt;="&amp;$B24,'CONTROLE PRODUÇÃO POR EMPRESAS'!$A$6:$A$1000,"&lt;="&amp;$C24,'CONTROLE PRODUÇÃO POR EMPRESAS'!$G$6:$G$1000,"&gt;=0")+COUNTIFS('CONTROLE PRODUÇÃO POR EMPRESAS'!$A$6:$A$1000,"&gt;="&amp;$B24,'CONTROLE PRODUÇÃO POR EMPRESAS'!$A$6:$A$1000,"&lt;="&amp;$C24,'CONTROLE PRODUÇÃO POR EMPRESAS'!$G$6:$G$1000,"?*"))=0,"",SUMIFS('CONTROLE PRODUÇÃO POR EMPRESAS'!$G$6:$G$1000,'CONTROLE PRODUÇÃO POR EMPRESAS'!$A$6:$A$1000,"&gt;="&amp;$B24,'CONTROLE PRODUÇÃO POR EMPRESAS'!$A$6:$A$1000,"&lt;="&amp;$C24)),""))),"")))</f>
        <v/>
      </c>
      <c r="M24" s="298">
        <f>IF(L24="","",MAX(J24-L24,0))</f>
        <v/>
      </c>
      <c r="N24" s="298">
        <f>IF(L24="","",MAX(L24-J24,0))</f>
        <v/>
      </c>
      <c r="O24" s="299">
        <f>IF(L24="","",IFERROR(L24/J24,""))</f>
        <v/>
      </c>
      <c r="P24" s="298">
        <f>IF(H24="","",SUMIFS($H$6:H24,$D$6:D24,D24,$E$6:E24,E24))</f>
        <v/>
      </c>
      <c r="Q24" s="298">
        <f>IF(L24="","",SUMIFS($L$6:L24,$D$6:D24,D24,$E$6:E24,E24))</f>
        <v/>
      </c>
      <c r="R24" s="298">
        <f>IF(Q24="","",MAX(P24-Q24,0))</f>
        <v/>
      </c>
      <c r="S24" s="108">
        <f>IF(O24="","",IF(O24&gt;=1,"VERDE",IF(O24&gt;=0.9,"AMARELO","VERMELHO")))</f>
        <v/>
      </c>
      <c r="T24" s="109" t="n"/>
      <c r="U24" s="109" t="n"/>
      <c r="V24" s="110" t="n"/>
      <c r="W24" s="302" t="n"/>
    </row>
    <row r="25" ht="15.75" customHeight="1">
      <c r="A25" s="117" t="n">
        <v>4</v>
      </c>
      <c r="B25" s="295" t="n">
        <v>46279</v>
      </c>
      <c r="C25" s="295" t="n">
        <v>46283</v>
      </c>
      <c r="D25" s="101" t="inlineStr">
        <is>
          <t>CMM</t>
        </is>
      </c>
      <c r="E25" s="103" t="inlineStr">
        <is>
          <t>IÇAMENTO JOIST</t>
        </is>
      </c>
      <c r="F25" s="296">
        <f>IF(OR(D25="",E25=""),"",IF(COUNTIFS('METAS EMPRESAS'!$A$5:$A$10,D25,'METAS EMPRESAS'!$B$5:$B$10,E25)=0,"",SUMIFS('METAS EMPRESAS'!$C$5:$C$10,'METAS EMPRESAS'!$A$5:$A$10,D25,'METAS EMPRESAS'!$B$5:$B$10,E25)))</f>
        <v/>
      </c>
      <c r="G25" s="297" t="n">
        <v>5</v>
      </c>
      <c r="H25" s="298">
        <f>IF(F25="","",F25*G25)</f>
        <v/>
      </c>
      <c r="I25" s="298">
        <f>IF(M19="",0,M19)</f>
        <v/>
      </c>
      <c r="J25" s="298">
        <f>IF(H25="","",H25+I25)</f>
        <v/>
      </c>
      <c r="K25" s="298">
        <f>IF(J25="","",J25/G25)</f>
        <v/>
      </c>
      <c r="L25" s="297">
        <f>IF(OR($B25="",$C25="",$D25="",$E25=""),"",IF($D25="EJ",IF($E25="PREMONTAGEM",IF((COUNTIFS('CONTROLE PRODUÇÃO POR EMPRESAS'!$A$6:$A$1000,"&gt;="&amp;$B25,'CONTROLE PRODUÇÃO POR EMPRESAS'!$A$6:$A$1000,"&lt;="&amp;$C25,'CONTROLE PRODUÇÃO POR EMPRESAS'!$B$6:$B$1000,"&gt;=0")+COUNTIFS('CONTROLE PRODUÇÃO POR EMPRESAS'!$A$6:$A$1000,"&gt;="&amp;$B25,'CONTROLE PRODUÇÃO POR EMPRESAS'!$A$6:$A$1000,"&lt;="&amp;$C25,'CONTROLE PRODUÇÃO POR EMPRESAS'!$B$6:$B$1000,"?*"))=0,"",SUMIFS('CONTROLE PRODUÇÃO POR EMPRESAS'!$B$6:$B$1000,'CONTROLE PRODUÇÃO POR EMPRESAS'!$A$6:$A$1000,"&gt;="&amp;$B25,'CONTROLE PRODUÇÃO POR EMPRESAS'!$A$6:$A$1000,"&lt;="&amp;$C25)),IF($E25="IÇAMENTO JOIST",IF((COUNTIFS('CONTROLE PRODUÇÃO POR EMPRESAS'!$A$6:$A$1000,"&gt;="&amp;$B25,'CONTROLE PRODUÇÃO POR EMPRESAS'!$A$6:$A$1000,"&lt;="&amp;$C25,'CONTROLE PRODUÇÃO POR EMPRESAS'!$C$6:$C$1000,"&gt;=0")+COUNTIFS('CONTROLE PRODUÇÃO POR EMPRESAS'!$A$6:$A$1000,"&gt;="&amp;$B25,'CONTROLE PRODUÇÃO POR EMPRESAS'!$A$6:$A$1000,"&lt;="&amp;$C25,'CONTROLE PRODUÇÃO POR EMPRESAS'!$C$6:$C$1000,"?*"))=0,"",SUMIFS('CONTROLE PRODUÇÃO POR EMPRESAS'!$C$6:$C$1000,'CONTROLE PRODUÇÃO POR EMPRESAS'!$A$6:$A$1000,"&gt;="&amp;$B25,'CONTROLE PRODUÇÃO POR EMPRESAS'!$A$6:$A$1000,"&lt;="&amp;$C25)),IF($E25="VIGAS",IF((COUNTIFS('CONTROLE PRODUÇÃO POR EMPRESAS'!$A$6:$A$1000,"&gt;="&amp;$B25,'CONTROLE PRODUÇÃO POR EMPRESAS'!$A$6:$A$1000,"&lt;="&amp;$C25,'CONTROLE PRODUÇÃO POR EMPRESAS'!$D$6:$D$1000,"&gt;=0")+COUNTIFS('CONTROLE PRODUÇÃO POR EMPRESAS'!$A$6:$A$1000,"&gt;="&amp;$B25,'CONTROLE PRODUÇÃO POR EMPRESAS'!$A$6:$A$1000,"&lt;="&amp;$C25,'CONTROLE PRODUÇÃO POR EMPRESAS'!$D$6:$D$1000,"?*"))=0,"",SUMIFS('CONTROLE PRODUÇÃO POR EMPRESAS'!$D$6:$D$1000,'CONTROLE PRODUÇÃO POR EMPRESAS'!$A$6:$A$1000,"&gt;="&amp;$B25,'CONTROLE PRODUÇÃO POR EMPRESAS'!$A$6:$A$1000,"&lt;="&amp;$C25)),""))),IF($D25="CMM",IF($E25="PREMONTAGEM",IF((COUNTIFS('CONTROLE PRODUÇÃO POR EMPRESAS'!$A$6:$A$1000,"&gt;="&amp;$B25,'CONTROLE PRODUÇÃO POR EMPRESAS'!$A$6:$A$1000,"&lt;="&amp;$C25,'CONTROLE PRODUÇÃO POR EMPRESAS'!$E$6:$E$1000,"&gt;=0")+COUNTIFS('CONTROLE PRODUÇÃO POR EMPRESAS'!$A$6:$A$1000,"&gt;="&amp;$B25,'CONTROLE PRODUÇÃO POR EMPRESAS'!$A$6:$A$1000,"&lt;="&amp;$C25,'CONTROLE PRODUÇÃO POR EMPRESAS'!$E$6:$E$1000,"?*"))=0,"",SUMIFS('CONTROLE PRODUÇÃO POR EMPRESAS'!$E$6:$E$1000,'CONTROLE PRODUÇÃO POR EMPRESAS'!$A$6:$A$1000,"&gt;="&amp;$B25,'CONTROLE PRODUÇÃO POR EMPRESAS'!$A$6:$A$1000,"&lt;="&amp;$C25)),IF($E25="IÇAMENTO JOIST",IF((COUNTIFS('CONTROLE PRODUÇÃO POR EMPRESAS'!$A$6:$A$1000,"&gt;="&amp;$B25,'CONTROLE PRODUÇÃO POR EMPRESAS'!$A$6:$A$1000,"&lt;="&amp;$C25,'CONTROLE PRODUÇÃO POR EMPRESAS'!$F$6:$F$1000,"&gt;=0")+COUNTIFS('CONTROLE PRODUÇÃO POR EMPRESAS'!$A$6:$A$1000,"&gt;="&amp;$B25,'CONTROLE PRODUÇÃO POR EMPRESAS'!$A$6:$A$1000,"&lt;="&amp;$C25,'CONTROLE PRODUÇÃO POR EMPRESAS'!$F$6:$F$1000,"?*"))=0,"",SUMIFS('CONTROLE PRODUÇÃO POR EMPRESAS'!$F$6:$F$1000,'CONTROLE PRODUÇÃO POR EMPRESAS'!$A$6:$A$1000,"&gt;="&amp;$B25,'CONTROLE PRODUÇÃO POR EMPRESAS'!$A$6:$A$1000,"&lt;="&amp;$C25)),IF($E25="VIGAS",IF((COUNTIFS('CONTROLE PRODUÇÃO POR EMPRESAS'!$A$6:$A$1000,"&gt;="&amp;$B25,'CONTROLE PRODUÇÃO POR EMPRESAS'!$A$6:$A$1000,"&lt;="&amp;$C25,'CONTROLE PRODUÇÃO POR EMPRESAS'!$G$6:$G$1000,"&gt;=0")+COUNTIFS('CONTROLE PRODUÇÃO POR EMPRESAS'!$A$6:$A$1000,"&gt;="&amp;$B25,'CONTROLE PRODUÇÃO POR EMPRESAS'!$A$6:$A$1000,"&lt;="&amp;$C25,'CONTROLE PRODUÇÃO POR EMPRESAS'!$G$6:$G$1000,"?*"))=0,"",SUMIFS('CONTROLE PRODUÇÃO POR EMPRESAS'!$G$6:$G$1000,'CONTROLE PRODUÇÃO POR EMPRESAS'!$A$6:$A$1000,"&gt;="&amp;$B25,'CONTROLE PRODUÇÃO POR EMPRESAS'!$A$6:$A$1000,"&lt;="&amp;$C25)),""))),"")))</f>
        <v/>
      </c>
      <c r="M25" s="298">
        <f>IF(L25="","",MAX(J25-L25,0))</f>
        <v/>
      </c>
      <c r="N25" s="298">
        <f>IF(L25="","",MAX(L25-J25,0))</f>
        <v/>
      </c>
      <c r="O25" s="299">
        <f>IF(L25="","",IFERROR(L25/J25,""))</f>
        <v/>
      </c>
      <c r="P25" s="298">
        <f>IF(H25="","",SUMIFS($H$6:H25,$D$6:D25,D25,$E$6:E25,E25))</f>
        <v/>
      </c>
      <c r="Q25" s="298">
        <f>IF(L25="","",SUMIFS($L$6:L25,$D$6:D25,D25,$E$6:E25,E25))</f>
        <v/>
      </c>
      <c r="R25" s="298">
        <f>IF(Q25="","",MAX(P25-Q25,0))</f>
        <v/>
      </c>
      <c r="S25" s="108">
        <f>IF(O25="","",IF(O25&gt;=1,"VERDE",IF(O25&gt;=0.9,"AMARELO","VERMELHO")))</f>
        <v/>
      </c>
      <c r="T25" s="109" t="n"/>
      <c r="U25" s="109" t="n"/>
      <c r="V25" s="110" t="n"/>
      <c r="W25" s="302" t="n"/>
    </row>
    <row r="26" ht="15.75" customHeight="1">
      <c r="A26" s="112" t="n">
        <v>4</v>
      </c>
      <c r="B26" s="301" t="n">
        <v>46279</v>
      </c>
      <c r="C26" s="301" t="n">
        <v>46283</v>
      </c>
      <c r="D26" s="114" t="inlineStr">
        <is>
          <t>CMM</t>
        </is>
      </c>
      <c r="E26" s="115" t="inlineStr">
        <is>
          <t>VIGAS</t>
        </is>
      </c>
      <c r="F26" s="296">
        <f>IF(OR(D26="",E26=""),"",IF(COUNTIFS('METAS EMPRESAS'!$A$5:$A$10,D26,'METAS EMPRESAS'!$B$5:$B$10,E26)=0,"",SUMIFS('METAS EMPRESAS'!$C$5:$C$10,'METAS EMPRESAS'!$A$5:$A$10,D26,'METAS EMPRESAS'!$B$5:$B$10,E26)))</f>
        <v/>
      </c>
      <c r="G26" s="297" t="n">
        <v>5</v>
      </c>
      <c r="H26" s="298">
        <f>IF(F26="","",F26*G26)</f>
        <v/>
      </c>
      <c r="I26" s="298">
        <f>IF(M20="",0,M20)</f>
        <v/>
      </c>
      <c r="J26" s="298">
        <f>IF(H26="","",H26+I26)</f>
        <v/>
      </c>
      <c r="K26" s="298">
        <f>IF(J26="","",J26/G26)</f>
        <v/>
      </c>
      <c r="L26" s="297">
        <f>IF(OR($B26="",$C26="",$D26="",$E26=""),"",IF($D26="EJ",IF($E26="PREMONTAGEM",IF((COUNTIFS('CONTROLE PRODUÇÃO POR EMPRESAS'!$A$6:$A$1000,"&gt;="&amp;$B26,'CONTROLE PRODUÇÃO POR EMPRESAS'!$A$6:$A$1000,"&lt;="&amp;$C26,'CONTROLE PRODUÇÃO POR EMPRESAS'!$B$6:$B$1000,"&gt;=0")+COUNTIFS('CONTROLE PRODUÇÃO POR EMPRESAS'!$A$6:$A$1000,"&gt;="&amp;$B26,'CONTROLE PRODUÇÃO POR EMPRESAS'!$A$6:$A$1000,"&lt;="&amp;$C26,'CONTROLE PRODUÇÃO POR EMPRESAS'!$B$6:$B$1000,"?*"))=0,"",SUMIFS('CONTROLE PRODUÇÃO POR EMPRESAS'!$B$6:$B$1000,'CONTROLE PRODUÇÃO POR EMPRESAS'!$A$6:$A$1000,"&gt;="&amp;$B26,'CONTROLE PRODUÇÃO POR EMPRESAS'!$A$6:$A$1000,"&lt;="&amp;$C26)),IF($E26="IÇAMENTO JOIST",IF((COUNTIFS('CONTROLE PRODUÇÃO POR EMPRESAS'!$A$6:$A$1000,"&gt;="&amp;$B26,'CONTROLE PRODUÇÃO POR EMPRESAS'!$A$6:$A$1000,"&lt;="&amp;$C26,'CONTROLE PRODUÇÃO POR EMPRESAS'!$C$6:$C$1000,"&gt;=0")+COUNTIFS('CONTROLE PRODUÇÃO POR EMPRESAS'!$A$6:$A$1000,"&gt;="&amp;$B26,'CONTROLE PRODUÇÃO POR EMPRESAS'!$A$6:$A$1000,"&lt;="&amp;$C26,'CONTROLE PRODUÇÃO POR EMPRESAS'!$C$6:$C$1000,"?*"))=0,"",SUMIFS('CONTROLE PRODUÇÃO POR EMPRESAS'!$C$6:$C$1000,'CONTROLE PRODUÇÃO POR EMPRESAS'!$A$6:$A$1000,"&gt;="&amp;$B26,'CONTROLE PRODUÇÃO POR EMPRESAS'!$A$6:$A$1000,"&lt;="&amp;$C26)),IF($E26="VIGAS",IF((COUNTIFS('CONTROLE PRODUÇÃO POR EMPRESAS'!$A$6:$A$1000,"&gt;="&amp;$B26,'CONTROLE PRODUÇÃO POR EMPRESAS'!$A$6:$A$1000,"&lt;="&amp;$C26,'CONTROLE PRODUÇÃO POR EMPRESAS'!$D$6:$D$1000,"&gt;=0")+COUNTIFS('CONTROLE PRODUÇÃO POR EMPRESAS'!$A$6:$A$1000,"&gt;="&amp;$B26,'CONTROLE PRODUÇÃO POR EMPRESAS'!$A$6:$A$1000,"&lt;="&amp;$C26,'CONTROLE PRODUÇÃO POR EMPRESAS'!$D$6:$D$1000,"?*"))=0,"",SUMIFS('CONTROLE PRODUÇÃO POR EMPRESAS'!$D$6:$D$1000,'CONTROLE PRODUÇÃO POR EMPRESAS'!$A$6:$A$1000,"&gt;="&amp;$B26,'CONTROLE PRODUÇÃO POR EMPRESAS'!$A$6:$A$1000,"&lt;="&amp;$C26)),""))),IF($D26="CMM",IF($E26="PREMONTAGEM",IF((COUNTIFS('CONTROLE PRODUÇÃO POR EMPRESAS'!$A$6:$A$1000,"&gt;="&amp;$B26,'CONTROLE PRODUÇÃO POR EMPRESAS'!$A$6:$A$1000,"&lt;="&amp;$C26,'CONTROLE PRODUÇÃO POR EMPRESAS'!$E$6:$E$1000,"&gt;=0")+COUNTIFS('CONTROLE PRODUÇÃO POR EMPRESAS'!$A$6:$A$1000,"&gt;="&amp;$B26,'CONTROLE PRODUÇÃO POR EMPRESAS'!$A$6:$A$1000,"&lt;="&amp;$C26,'CONTROLE PRODUÇÃO POR EMPRESAS'!$E$6:$E$1000,"?*"))=0,"",SUMIFS('CONTROLE PRODUÇÃO POR EMPRESAS'!$E$6:$E$1000,'CONTROLE PRODUÇÃO POR EMPRESAS'!$A$6:$A$1000,"&gt;="&amp;$B26,'CONTROLE PRODUÇÃO POR EMPRESAS'!$A$6:$A$1000,"&lt;="&amp;$C26)),IF($E26="IÇAMENTO JOIST",IF((COUNTIFS('CONTROLE PRODUÇÃO POR EMPRESAS'!$A$6:$A$1000,"&gt;="&amp;$B26,'CONTROLE PRODUÇÃO POR EMPRESAS'!$A$6:$A$1000,"&lt;="&amp;$C26,'CONTROLE PRODUÇÃO POR EMPRESAS'!$F$6:$F$1000,"&gt;=0")+COUNTIFS('CONTROLE PRODUÇÃO POR EMPRESAS'!$A$6:$A$1000,"&gt;="&amp;$B26,'CONTROLE PRODUÇÃO POR EMPRESAS'!$A$6:$A$1000,"&lt;="&amp;$C26,'CONTROLE PRODUÇÃO POR EMPRESAS'!$F$6:$F$1000,"?*"))=0,"",SUMIFS('CONTROLE PRODUÇÃO POR EMPRESAS'!$F$6:$F$1000,'CONTROLE PRODUÇÃO POR EMPRESAS'!$A$6:$A$1000,"&gt;="&amp;$B26,'CONTROLE PRODUÇÃO POR EMPRESAS'!$A$6:$A$1000,"&lt;="&amp;$C26)),IF($E26="VIGAS",IF((COUNTIFS('CONTROLE PRODUÇÃO POR EMPRESAS'!$A$6:$A$1000,"&gt;="&amp;$B26,'CONTROLE PRODUÇÃO POR EMPRESAS'!$A$6:$A$1000,"&lt;="&amp;$C26,'CONTROLE PRODUÇÃO POR EMPRESAS'!$G$6:$G$1000,"&gt;=0")+COUNTIFS('CONTROLE PRODUÇÃO POR EMPRESAS'!$A$6:$A$1000,"&gt;="&amp;$B26,'CONTROLE PRODUÇÃO POR EMPRESAS'!$A$6:$A$1000,"&lt;="&amp;$C26,'CONTROLE PRODUÇÃO POR EMPRESAS'!$G$6:$G$1000,"?*"))=0,"",SUMIFS('CONTROLE PRODUÇÃO POR EMPRESAS'!$G$6:$G$1000,'CONTROLE PRODUÇÃO POR EMPRESAS'!$A$6:$A$1000,"&gt;="&amp;$B26,'CONTROLE PRODUÇÃO POR EMPRESAS'!$A$6:$A$1000,"&lt;="&amp;$C26)),""))),"")))</f>
        <v/>
      </c>
      <c r="M26" s="298">
        <f>IF(L26="","",MAX(J26-L26,0))</f>
        <v/>
      </c>
      <c r="N26" s="298">
        <f>IF(L26="","",MAX(L26-J26,0))</f>
        <v/>
      </c>
      <c r="O26" s="299">
        <f>IF(L26="","",IFERROR(L26/J26,""))</f>
        <v/>
      </c>
      <c r="P26" s="298">
        <f>IF(H26="","",SUMIFS($H$6:H26,$D$6:D26,D26,$E$6:E26,E26))</f>
        <v/>
      </c>
      <c r="Q26" s="298">
        <f>IF(L26="","",SUMIFS($L$6:L26,$D$6:D26,D26,$E$6:E26,E26))</f>
        <v/>
      </c>
      <c r="R26" s="298">
        <f>IF(Q26="","",MAX(P26-Q26,0))</f>
        <v/>
      </c>
      <c r="S26" s="108">
        <f>IF(O26="","",IF(O26&gt;=1,"VERDE",IF(O26&gt;=0.9,"AMARELO","VERMELHO")))</f>
        <v/>
      </c>
      <c r="T26" s="109" t="n"/>
      <c r="U26" s="109" t="n"/>
      <c r="V26" s="110" t="n"/>
      <c r="W26" s="302" t="n"/>
    </row>
    <row r="27" ht="15.75" customHeight="1">
      <c r="A27" s="117" t="n">
        <v>4</v>
      </c>
      <c r="B27" s="295" t="n">
        <v>46279</v>
      </c>
      <c r="C27" s="295" t="n">
        <v>46283</v>
      </c>
      <c r="D27" s="101" t="inlineStr">
        <is>
          <t>EJ</t>
        </is>
      </c>
      <c r="E27" s="103" t="inlineStr">
        <is>
          <t>PREMONTAGEM</t>
        </is>
      </c>
      <c r="F27" s="296">
        <f>IF(OR(D27="",E27=""),"",IF(COUNTIFS('METAS EMPRESAS'!$A$5:$A$10,D27,'METAS EMPRESAS'!$B$5:$B$10,E27)=0,"",SUMIFS('METAS EMPRESAS'!$C$5:$C$10,'METAS EMPRESAS'!$A$5:$A$10,D27,'METAS EMPRESAS'!$B$5:$B$10,E27)))</f>
        <v/>
      </c>
      <c r="G27" s="297" t="n">
        <v>5</v>
      </c>
      <c r="H27" s="298">
        <f>IF(F27="","",F27*G27)</f>
        <v/>
      </c>
      <c r="I27" s="298">
        <f>IF(M21="",0,M21)</f>
        <v/>
      </c>
      <c r="J27" s="298">
        <f>IF(H27="","",H27+I27)</f>
        <v/>
      </c>
      <c r="K27" s="298">
        <f>IF(J27="","",J27/G27)</f>
        <v/>
      </c>
      <c r="L27" s="297">
        <f>IF(OR($B27="",$C27="",$D27="",$E27=""),"",IF($D27="EJ",IF($E27="PREMONTAGEM",IF((COUNTIFS('CONTROLE PRODUÇÃO POR EMPRESAS'!$A$6:$A$1000,"&gt;="&amp;$B27,'CONTROLE PRODUÇÃO POR EMPRESAS'!$A$6:$A$1000,"&lt;="&amp;$C27,'CONTROLE PRODUÇÃO POR EMPRESAS'!$B$6:$B$1000,"&gt;=0")+COUNTIFS('CONTROLE PRODUÇÃO POR EMPRESAS'!$A$6:$A$1000,"&gt;="&amp;$B27,'CONTROLE PRODUÇÃO POR EMPRESAS'!$A$6:$A$1000,"&lt;="&amp;$C27,'CONTROLE PRODUÇÃO POR EMPRESAS'!$B$6:$B$1000,"?*"))=0,"",SUMIFS('CONTROLE PRODUÇÃO POR EMPRESAS'!$B$6:$B$1000,'CONTROLE PRODUÇÃO POR EMPRESAS'!$A$6:$A$1000,"&gt;="&amp;$B27,'CONTROLE PRODUÇÃO POR EMPRESAS'!$A$6:$A$1000,"&lt;="&amp;$C27)),IF($E27="IÇAMENTO JOIST",IF((COUNTIFS('CONTROLE PRODUÇÃO POR EMPRESAS'!$A$6:$A$1000,"&gt;="&amp;$B27,'CONTROLE PRODUÇÃO POR EMPRESAS'!$A$6:$A$1000,"&lt;="&amp;$C27,'CONTROLE PRODUÇÃO POR EMPRESAS'!$C$6:$C$1000,"&gt;=0")+COUNTIFS('CONTROLE PRODUÇÃO POR EMPRESAS'!$A$6:$A$1000,"&gt;="&amp;$B27,'CONTROLE PRODUÇÃO POR EMPRESAS'!$A$6:$A$1000,"&lt;="&amp;$C27,'CONTROLE PRODUÇÃO POR EMPRESAS'!$C$6:$C$1000,"?*"))=0,"",SUMIFS('CONTROLE PRODUÇÃO POR EMPRESAS'!$C$6:$C$1000,'CONTROLE PRODUÇÃO POR EMPRESAS'!$A$6:$A$1000,"&gt;="&amp;$B27,'CONTROLE PRODUÇÃO POR EMPRESAS'!$A$6:$A$1000,"&lt;="&amp;$C27)),IF($E27="VIGAS",IF((COUNTIFS('CONTROLE PRODUÇÃO POR EMPRESAS'!$A$6:$A$1000,"&gt;="&amp;$B27,'CONTROLE PRODUÇÃO POR EMPRESAS'!$A$6:$A$1000,"&lt;="&amp;$C27,'CONTROLE PRODUÇÃO POR EMPRESAS'!$D$6:$D$1000,"&gt;=0")+COUNTIFS('CONTROLE PRODUÇÃO POR EMPRESAS'!$A$6:$A$1000,"&gt;="&amp;$B27,'CONTROLE PRODUÇÃO POR EMPRESAS'!$A$6:$A$1000,"&lt;="&amp;$C27,'CONTROLE PRODUÇÃO POR EMPRESAS'!$D$6:$D$1000,"?*"))=0,"",SUMIFS('CONTROLE PRODUÇÃO POR EMPRESAS'!$D$6:$D$1000,'CONTROLE PRODUÇÃO POR EMPRESAS'!$A$6:$A$1000,"&gt;="&amp;$B27,'CONTROLE PRODUÇÃO POR EMPRESAS'!$A$6:$A$1000,"&lt;="&amp;$C27)),""))),IF($D27="CMM",IF($E27="PREMONTAGEM",IF((COUNTIFS('CONTROLE PRODUÇÃO POR EMPRESAS'!$A$6:$A$1000,"&gt;="&amp;$B27,'CONTROLE PRODUÇÃO POR EMPRESAS'!$A$6:$A$1000,"&lt;="&amp;$C27,'CONTROLE PRODUÇÃO POR EMPRESAS'!$E$6:$E$1000,"&gt;=0")+COUNTIFS('CONTROLE PRODUÇÃO POR EMPRESAS'!$A$6:$A$1000,"&gt;="&amp;$B27,'CONTROLE PRODUÇÃO POR EMPRESAS'!$A$6:$A$1000,"&lt;="&amp;$C27,'CONTROLE PRODUÇÃO POR EMPRESAS'!$E$6:$E$1000,"?*"))=0,"",SUMIFS('CONTROLE PRODUÇÃO POR EMPRESAS'!$E$6:$E$1000,'CONTROLE PRODUÇÃO POR EMPRESAS'!$A$6:$A$1000,"&gt;="&amp;$B27,'CONTROLE PRODUÇÃO POR EMPRESAS'!$A$6:$A$1000,"&lt;="&amp;$C27)),IF($E27="IÇAMENTO JOIST",IF((COUNTIFS('CONTROLE PRODUÇÃO POR EMPRESAS'!$A$6:$A$1000,"&gt;="&amp;$B27,'CONTROLE PRODUÇÃO POR EMPRESAS'!$A$6:$A$1000,"&lt;="&amp;$C27,'CONTROLE PRODUÇÃO POR EMPRESAS'!$F$6:$F$1000,"&gt;=0")+COUNTIFS('CONTROLE PRODUÇÃO POR EMPRESAS'!$A$6:$A$1000,"&gt;="&amp;$B27,'CONTROLE PRODUÇÃO POR EMPRESAS'!$A$6:$A$1000,"&lt;="&amp;$C27,'CONTROLE PRODUÇÃO POR EMPRESAS'!$F$6:$F$1000,"?*"))=0,"",SUMIFS('CONTROLE PRODUÇÃO POR EMPRESAS'!$F$6:$F$1000,'CONTROLE PRODUÇÃO POR EMPRESAS'!$A$6:$A$1000,"&gt;="&amp;$B27,'CONTROLE PRODUÇÃO POR EMPRESAS'!$A$6:$A$1000,"&lt;="&amp;$C27)),IF($E27="VIGAS",IF((COUNTIFS('CONTROLE PRODUÇÃO POR EMPRESAS'!$A$6:$A$1000,"&gt;="&amp;$B27,'CONTROLE PRODUÇÃO POR EMPRESAS'!$A$6:$A$1000,"&lt;="&amp;$C27,'CONTROLE PRODUÇÃO POR EMPRESAS'!$G$6:$G$1000,"&gt;=0")+COUNTIFS('CONTROLE PRODUÇÃO POR EMPRESAS'!$A$6:$A$1000,"&gt;="&amp;$B27,'CONTROLE PRODUÇÃO POR EMPRESAS'!$A$6:$A$1000,"&lt;="&amp;$C27,'CONTROLE PRODUÇÃO POR EMPRESAS'!$G$6:$G$1000,"?*"))=0,"",SUMIFS('CONTROLE PRODUÇÃO POR EMPRESAS'!$G$6:$G$1000,'CONTROLE PRODUÇÃO POR EMPRESAS'!$A$6:$A$1000,"&gt;="&amp;$B27,'CONTROLE PRODUÇÃO POR EMPRESAS'!$A$6:$A$1000,"&lt;="&amp;$C27)),""))),"")))</f>
        <v/>
      </c>
      <c r="M27" s="298">
        <f>IF(L27="","",MAX(J27-L27,0))</f>
        <v/>
      </c>
      <c r="N27" s="298">
        <f>IF(L27="","",MAX(L27-J27,0))</f>
        <v/>
      </c>
      <c r="O27" s="299">
        <f>IF(L27="","",IFERROR(L27/J27,""))</f>
        <v/>
      </c>
      <c r="P27" s="298">
        <f>IF(H27="","",SUMIFS($H$6:H27,$D$6:D27,D27,$E$6:E27,E27))</f>
        <v/>
      </c>
      <c r="Q27" s="298">
        <f>IF(L27="","",SUMIFS($L$6:L27,$D$6:D27,D27,$E$6:E27,E27))</f>
        <v/>
      </c>
      <c r="R27" s="298">
        <f>IF(Q27="","",MAX(P27-Q27,0))</f>
        <v/>
      </c>
      <c r="S27" s="108">
        <f>IF(O27="","",IF(O27&gt;=1,"VERDE",IF(O27&gt;=0.9,"AMARELO","VERMELHO")))</f>
        <v/>
      </c>
      <c r="T27" s="109" t="n"/>
      <c r="U27" s="109" t="n"/>
      <c r="V27" s="110" t="n"/>
      <c r="W27" s="302" t="n"/>
    </row>
    <row r="28" ht="15.75" customHeight="1">
      <c r="A28" s="112" t="n">
        <v>4</v>
      </c>
      <c r="B28" s="301" t="n">
        <v>46279</v>
      </c>
      <c r="C28" s="301" t="n">
        <v>46283</v>
      </c>
      <c r="D28" s="114" t="inlineStr">
        <is>
          <t>EJ</t>
        </is>
      </c>
      <c r="E28" s="115" t="inlineStr">
        <is>
          <t>IÇAMENTO JOIST</t>
        </is>
      </c>
      <c r="F28" s="296">
        <f>IF(OR(D28="",E28=""),"",IF(COUNTIFS('METAS EMPRESAS'!$A$5:$A$10,D28,'METAS EMPRESAS'!$B$5:$B$10,E28)=0,"",SUMIFS('METAS EMPRESAS'!$C$5:$C$10,'METAS EMPRESAS'!$A$5:$A$10,D28,'METAS EMPRESAS'!$B$5:$B$10,E28)))</f>
        <v/>
      </c>
      <c r="G28" s="297" t="n">
        <v>5</v>
      </c>
      <c r="H28" s="298">
        <f>IF(F28="","",F28*G28)</f>
        <v/>
      </c>
      <c r="I28" s="298">
        <f>IF(M22="",0,M22)</f>
        <v/>
      </c>
      <c r="J28" s="298">
        <f>IF(H28="","",H28+I28)</f>
        <v/>
      </c>
      <c r="K28" s="298">
        <f>IF(J28="","",J28/G28)</f>
        <v/>
      </c>
      <c r="L28" s="297">
        <f>IF(OR($B28="",$C28="",$D28="",$E28=""),"",IF($D28="EJ",IF($E28="PREMONTAGEM",IF((COUNTIFS('CONTROLE PRODUÇÃO POR EMPRESAS'!$A$6:$A$1000,"&gt;="&amp;$B28,'CONTROLE PRODUÇÃO POR EMPRESAS'!$A$6:$A$1000,"&lt;="&amp;$C28,'CONTROLE PRODUÇÃO POR EMPRESAS'!$B$6:$B$1000,"&gt;=0")+COUNTIFS('CONTROLE PRODUÇÃO POR EMPRESAS'!$A$6:$A$1000,"&gt;="&amp;$B28,'CONTROLE PRODUÇÃO POR EMPRESAS'!$A$6:$A$1000,"&lt;="&amp;$C28,'CONTROLE PRODUÇÃO POR EMPRESAS'!$B$6:$B$1000,"?*"))=0,"",SUMIFS('CONTROLE PRODUÇÃO POR EMPRESAS'!$B$6:$B$1000,'CONTROLE PRODUÇÃO POR EMPRESAS'!$A$6:$A$1000,"&gt;="&amp;$B28,'CONTROLE PRODUÇÃO POR EMPRESAS'!$A$6:$A$1000,"&lt;="&amp;$C28)),IF($E28="IÇAMENTO JOIST",IF((COUNTIFS('CONTROLE PRODUÇÃO POR EMPRESAS'!$A$6:$A$1000,"&gt;="&amp;$B28,'CONTROLE PRODUÇÃO POR EMPRESAS'!$A$6:$A$1000,"&lt;="&amp;$C28,'CONTROLE PRODUÇÃO POR EMPRESAS'!$C$6:$C$1000,"&gt;=0")+COUNTIFS('CONTROLE PRODUÇÃO POR EMPRESAS'!$A$6:$A$1000,"&gt;="&amp;$B28,'CONTROLE PRODUÇÃO POR EMPRESAS'!$A$6:$A$1000,"&lt;="&amp;$C28,'CONTROLE PRODUÇÃO POR EMPRESAS'!$C$6:$C$1000,"?*"))=0,"",SUMIFS('CONTROLE PRODUÇÃO POR EMPRESAS'!$C$6:$C$1000,'CONTROLE PRODUÇÃO POR EMPRESAS'!$A$6:$A$1000,"&gt;="&amp;$B28,'CONTROLE PRODUÇÃO POR EMPRESAS'!$A$6:$A$1000,"&lt;="&amp;$C28)),IF($E28="VIGAS",IF((COUNTIFS('CONTROLE PRODUÇÃO POR EMPRESAS'!$A$6:$A$1000,"&gt;="&amp;$B28,'CONTROLE PRODUÇÃO POR EMPRESAS'!$A$6:$A$1000,"&lt;="&amp;$C28,'CONTROLE PRODUÇÃO POR EMPRESAS'!$D$6:$D$1000,"&gt;=0")+COUNTIFS('CONTROLE PRODUÇÃO POR EMPRESAS'!$A$6:$A$1000,"&gt;="&amp;$B28,'CONTROLE PRODUÇÃO POR EMPRESAS'!$A$6:$A$1000,"&lt;="&amp;$C28,'CONTROLE PRODUÇÃO POR EMPRESAS'!$D$6:$D$1000,"?*"))=0,"",SUMIFS('CONTROLE PRODUÇÃO POR EMPRESAS'!$D$6:$D$1000,'CONTROLE PRODUÇÃO POR EMPRESAS'!$A$6:$A$1000,"&gt;="&amp;$B28,'CONTROLE PRODUÇÃO POR EMPRESAS'!$A$6:$A$1000,"&lt;="&amp;$C28)),""))),IF($D28="CMM",IF($E28="PREMONTAGEM",IF((COUNTIFS('CONTROLE PRODUÇÃO POR EMPRESAS'!$A$6:$A$1000,"&gt;="&amp;$B28,'CONTROLE PRODUÇÃO POR EMPRESAS'!$A$6:$A$1000,"&lt;="&amp;$C28,'CONTROLE PRODUÇÃO POR EMPRESAS'!$E$6:$E$1000,"&gt;=0")+COUNTIFS('CONTROLE PRODUÇÃO POR EMPRESAS'!$A$6:$A$1000,"&gt;="&amp;$B28,'CONTROLE PRODUÇÃO POR EMPRESAS'!$A$6:$A$1000,"&lt;="&amp;$C28,'CONTROLE PRODUÇÃO POR EMPRESAS'!$E$6:$E$1000,"?*"))=0,"",SUMIFS('CONTROLE PRODUÇÃO POR EMPRESAS'!$E$6:$E$1000,'CONTROLE PRODUÇÃO POR EMPRESAS'!$A$6:$A$1000,"&gt;="&amp;$B28,'CONTROLE PRODUÇÃO POR EMPRESAS'!$A$6:$A$1000,"&lt;="&amp;$C28)),IF($E28="IÇAMENTO JOIST",IF((COUNTIFS('CONTROLE PRODUÇÃO POR EMPRESAS'!$A$6:$A$1000,"&gt;="&amp;$B28,'CONTROLE PRODUÇÃO POR EMPRESAS'!$A$6:$A$1000,"&lt;="&amp;$C28,'CONTROLE PRODUÇÃO POR EMPRESAS'!$F$6:$F$1000,"&gt;=0")+COUNTIFS('CONTROLE PRODUÇÃO POR EMPRESAS'!$A$6:$A$1000,"&gt;="&amp;$B28,'CONTROLE PRODUÇÃO POR EMPRESAS'!$A$6:$A$1000,"&lt;="&amp;$C28,'CONTROLE PRODUÇÃO POR EMPRESAS'!$F$6:$F$1000,"?*"))=0,"",SUMIFS('CONTROLE PRODUÇÃO POR EMPRESAS'!$F$6:$F$1000,'CONTROLE PRODUÇÃO POR EMPRESAS'!$A$6:$A$1000,"&gt;="&amp;$B28,'CONTROLE PRODUÇÃO POR EMPRESAS'!$A$6:$A$1000,"&lt;="&amp;$C28)),IF($E28="VIGAS",IF((COUNTIFS('CONTROLE PRODUÇÃO POR EMPRESAS'!$A$6:$A$1000,"&gt;="&amp;$B28,'CONTROLE PRODUÇÃO POR EMPRESAS'!$A$6:$A$1000,"&lt;="&amp;$C28,'CONTROLE PRODUÇÃO POR EMPRESAS'!$G$6:$G$1000,"&gt;=0")+COUNTIFS('CONTROLE PRODUÇÃO POR EMPRESAS'!$A$6:$A$1000,"&gt;="&amp;$B28,'CONTROLE PRODUÇÃO POR EMPRESAS'!$A$6:$A$1000,"&lt;="&amp;$C28,'CONTROLE PRODUÇÃO POR EMPRESAS'!$G$6:$G$1000,"?*"))=0,"",SUMIFS('CONTROLE PRODUÇÃO POR EMPRESAS'!$G$6:$G$1000,'CONTROLE PRODUÇÃO POR EMPRESAS'!$A$6:$A$1000,"&gt;="&amp;$B28,'CONTROLE PRODUÇÃO POR EMPRESAS'!$A$6:$A$1000,"&lt;="&amp;$C28)),""))),"")))</f>
        <v/>
      </c>
      <c r="M28" s="298">
        <f>IF(L28="","",MAX(J28-L28,0))</f>
        <v/>
      </c>
      <c r="N28" s="298">
        <f>IF(L28="","",MAX(L28-J28,0))</f>
        <v/>
      </c>
      <c r="O28" s="299">
        <f>IF(L28="","",IFERROR(L28/J28,""))</f>
        <v/>
      </c>
      <c r="P28" s="298">
        <f>IF(H28="","",SUMIFS($H$6:H28,$D$6:D28,D28,$E$6:E28,E28))</f>
        <v/>
      </c>
      <c r="Q28" s="298">
        <f>IF(L28="","",SUMIFS($L$6:L28,$D$6:D28,D28,$E$6:E28,E28))</f>
        <v/>
      </c>
      <c r="R28" s="298">
        <f>IF(Q28="","",MAX(P28-Q28,0))</f>
        <v/>
      </c>
      <c r="S28" s="108">
        <f>IF(O28="","",IF(O28&gt;=1,"VERDE",IF(O28&gt;=0.9,"AMARELO","VERMELHO")))</f>
        <v/>
      </c>
      <c r="T28" s="109" t="n"/>
      <c r="U28" s="109" t="n"/>
      <c r="V28" s="110" t="n"/>
      <c r="W28" s="302" t="n"/>
    </row>
    <row r="29" ht="15.75" customHeight="1">
      <c r="A29" s="117" t="n">
        <v>4</v>
      </c>
      <c r="B29" s="295" t="n">
        <v>46279</v>
      </c>
      <c r="C29" s="295" t="n">
        <v>46283</v>
      </c>
      <c r="D29" s="101" t="inlineStr">
        <is>
          <t>EJ</t>
        </is>
      </c>
      <c r="E29" s="103" t="inlineStr">
        <is>
          <t>VIGAS</t>
        </is>
      </c>
      <c r="F29" s="296">
        <f>IF(OR(D29="",E29=""),"",IF(COUNTIFS('METAS EMPRESAS'!$A$5:$A$10,D29,'METAS EMPRESAS'!$B$5:$B$10,E29)=0,"",SUMIFS('METAS EMPRESAS'!$C$5:$C$10,'METAS EMPRESAS'!$A$5:$A$10,D29,'METAS EMPRESAS'!$B$5:$B$10,E29)))</f>
        <v/>
      </c>
      <c r="G29" s="297" t="n">
        <v>5</v>
      </c>
      <c r="H29" s="298">
        <f>IF(F29="","",F29*G29)</f>
        <v/>
      </c>
      <c r="I29" s="298">
        <f>IF(M23="",0,M23)</f>
        <v/>
      </c>
      <c r="J29" s="298">
        <f>IF(H29="","",H29+I29)</f>
        <v/>
      </c>
      <c r="K29" s="298">
        <f>IF(J29="","",J29/G29)</f>
        <v/>
      </c>
      <c r="L29" s="297">
        <f>IF(OR($B29="",$C29="",$D29="",$E29=""),"",IF($D29="EJ",IF($E29="PREMONTAGEM",IF((COUNTIFS('CONTROLE PRODUÇÃO POR EMPRESAS'!$A$6:$A$1000,"&gt;="&amp;$B29,'CONTROLE PRODUÇÃO POR EMPRESAS'!$A$6:$A$1000,"&lt;="&amp;$C29,'CONTROLE PRODUÇÃO POR EMPRESAS'!$B$6:$B$1000,"&gt;=0")+COUNTIFS('CONTROLE PRODUÇÃO POR EMPRESAS'!$A$6:$A$1000,"&gt;="&amp;$B29,'CONTROLE PRODUÇÃO POR EMPRESAS'!$A$6:$A$1000,"&lt;="&amp;$C29,'CONTROLE PRODUÇÃO POR EMPRESAS'!$B$6:$B$1000,"?*"))=0,"",SUMIFS('CONTROLE PRODUÇÃO POR EMPRESAS'!$B$6:$B$1000,'CONTROLE PRODUÇÃO POR EMPRESAS'!$A$6:$A$1000,"&gt;="&amp;$B29,'CONTROLE PRODUÇÃO POR EMPRESAS'!$A$6:$A$1000,"&lt;="&amp;$C29)),IF($E29="IÇAMENTO JOIST",IF((COUNTIFS('CONTROLE PRODUÇÃO POR EMPRESAS'!$A$6:$A$1000,"&gt;="&amp;$B29,'CONTROLE PRODUÇÃO POR EMPRESAS'!$A$6:$A$1000,"&lt;="&amp;$C29,'CONTROLE PRODUÇÃO POR EMPRESAS'!$C$6:$C$1000,"&gt;=0")+COUNTIFS('CONTROLE PRODUÇÃO POR EMPRESAS'!$A$6:$A$1000,"&gt;="&amp;$B29,'CONTROLE PRODUÇÃO POR EMPRESAS'!$A$6:$A$1000,"&lt;="&amp;$C29,'CONTROLE PRODUÇÃO POR EMPRESAS'!$C$6:$C$1000,"?*"))=0,"",SUMIFS('CONTROLE PRODUÇÃO POR EMPRESAS'!$C$6:$C$1000,'CONTROLE PRODUÇÃO POR EMPRESAS'!$A$6:$A$1000,"&gt;="&amp;$B29,'CONTROLE PRODUÇÃO POR EMPRESAS'!$A$6:$A$1000,"&lt;="&amp;$C29)),IF($E29="VIGAS",IF((COUNTIFS('CONTROLE PRODUÇÃO POR EMPRESAS'!$A$6:$A$1000,"&gt;="&amp;$B29,'CONTROLE PRODUÇÃO POR EMPRESAS'!$A$6:$A$1000,"&lt;="&amp;$C29,'CONTROLE PRODUÇÃO POR EMPRESAS'!$D$6:$D$1000,"&gt;=0")+COUNTIFS('CONTROLE PRODUÇÃO POR EMPRESAS'!$A$6:$A$1000,"&gt;="&amp;$B29,'CONTROLE PRODUÇÃO POR EMPRESAS'!$A$6:$A$1000,"&lt;="&amp;$C29,'CONTROLE PRODUÇÃO POR EMPRESAS'!$D$6:$D$1000,"?*"))=0,"",SUMIFS('CONTROLE PRODUÇÃO POR EMPRESAS'!$D$6:$D$1000,'CONTROLE PRODUÇÃO POR EMPRESAS'!$A$6:$A$1000,"&gt;="&amp;$B29,'CONTROLE PRODUÇÃO POR EMPRESAS'!$A$6:$A$1000,"&lt;="&amp;$C29)),""))),IF($D29="CMM",IF($E29="PREMONTAGEM",IF((COUNTIFS('CONTROLE PRODUÇÃO POR EMPRESAS'!$A$6:$A$1000,"&gt;="&amp;$B29,'CONTROLE PRODUÇÃO POR EMPRESAS'!$A$6:$A$1000,"&lt;="&amp;$C29,'CONTROLE PRODUÇÃO POR EMPRESAS'!$E$6:$E$1000,"&gt;=0")+COUNTIFS('CONTROLE PRODUÇÃO POR EMPRESAS'!$A$6:$A$1000,"&gt;="&amp;$B29,'CONTROLE PRODUÇÃO POR EMPRESAS'!$A$6:$A$1000,"&lt;="&amp;$C29,'CONTROLE PRODUÇÃO POR EMPRESAS'!$E$6:$E$1000,"?*"))=0,"",SUMIFS('CONTROLE PRODUÇÃO POR EMPRESAS'!$E$6:$E$1000,'CONTROLE PRODUÇÃO POR EMPRESAS'!$A$6:$A$1000,"&gt;="&amp;$B29,'CONTROLE PRODUÇÃO POR EMPRESAS'!$A$6:$A$1000,"&lt;="&amp;$C29)),IF($E29="IÇAMENTO JOIST",IF((COUNTIFS('CONTROLE PRODUÇÃO POR EMPRESAS'!$A$6:$A$1000,"&gt;="&amp;$B29,'CONTROLE PRODUÇÃO POR EMPRESAS'!$A$6:$A$1000,"&lt;="&amp;$C29,'CONTROLE PRODUÇÃO POR EMPRESAS'!$F$6:$F$1000,"&gt;=0")+COUNTIFS('CONTROLE PRODUÇÃO POR EMPRESAS'!$A$6:$A$1000,"&gt;="&amp;$B29,'CONTROLE PRODUÇÃO POR EMPRESAS'!$A$6:$A$1000,"&lt;="&amp;$C29,'CONTROLE PRODUÇÃO POR EMPRESAS'!$F$6:$F$1000,"?*"))=0,"",SUMIFS('CONTROLE PRODUÇÃO POR EMPRESAS'!$F$6:$F$1000,'CONTROLE PRODUÇÃO POR EMPRESAS'!$A$6:$A$1000,"&gt;="&amp;$B29,'CONTROLE PRODUÇÃO POR EMPRESAS'!$A$6:$A$1000,"&lt;="&amp;$C29)),IF($E29="VIGAS",IF((COUNTIFS('CONTROLE PRODUÇÃO POR EMPRESAS'!$A$6:$A$1000,"&gt;="&amp;$B29,'CONTROLE PRODUÇÃO POR EMPRESAS'!$A$6:$A$1000,"&lt;="&amp;$C29,'CONTROLE PRODUÇÃO POR EMPRESAS'!$G$6:$G$1000,"&gt;=0")+COUNTIFS('CONTROLE PRODUÇÃO POR EMPRESAS'!$A$6:$A$1000,"&gt;="&amp;$B29,'CONTROLE PRODUÇÃO POR EMPRESAS'!$A$6:$A$1000,"&lt;="&amp;$C29,'CONTROLE PRODUÇÃO POR EMPRESAS'!$G$6:$G$1000,"?*"))=0,"",SUMIFS('CONTROLE PRODUÇÃO POR EMPRESAS'!$G$6:$G$1000,'CONTROLE PRODUÇÃO POR EMPRESAS'!$A$6:$A$1000,"&gt;="&amp;$B29,'CONTROLE PRODUÇÃO POR EMPRESAS'!$A$6:$A$1000,"&lt;="&amp;$C29)),""))),"")))</f>
        <v/>
      </c>
      <c r="M29" s="298">
        <f>IF(L29="","",MAX(J29-L29,0))</f>
        <v/>
      </c>
      <c r="N29" s="298">
        <f>IF(L29="","",MAX(L29-J29,0))</f>
        <v/>
      </c>
      <c r="O29" s="299">
        <f>IF(L29="","",IFERROR(L29/J29,""))</f>
        <v/>
      </c>
      <c r="P29" s="298">
        <f>IF(H29="","",SUMIFS($H$6:H29,$D$6:D29,D29,$E$6:E29,E29))</f>
        <v/>
      </c>
      <c r="Q29" s="298">
        <f>IF(L29="","",SUMIFS($L$6:L29,$D$6:D29,D29,$E$6:E29,E29))</f>
        <v/>
      </c>
      <c r="R29" s="298">
        <f>IF(Q29="","",MAX(P29-Q29,0))</f>
        <v/>
      </c>
      <c r="S29" s="108">
        <f>IF(O29="","",IF(O29&gt;=1,"VERDE",IF(O29&gt;=0.9,"AMARELO","VERMELHO")))</f>
        <v/>
      </c>
      <c r="T29" s="109" t="n"/>
      <c r="U29" s="109" t="n"/>
      <c r="V29" s="110" t="n"/>
      <c r="W29" s="302" t="n"/>
    </row>
    <row r="30" ht="15.75" customHeight="1">
      <c r="A30" s="112" t="n">
        <v>5</v>
      </c>
      <c r="B30" s="301" t="n">
        <v>46286</v>
      </c>
      <c r="C30" s="301" t="n">
        <v>46290</v>
      </c>
      <c r="D30" s="114" t="inlineStr">
        <is>
          <t>CMM</t>
        </is>
      </c>
      <c r="E30" s="115" t="inlineStr">
        <is>
          <t>PREMONTAGEM</t>
        </is>
      </c>
      <c r="F30" s="296">
        <f>IF(OR(D30="",E30=""),"",IF(COUNTIFS('METAS EMPRESAS'!$A$5:$A$10,D30,'METAS EMPRESAS'!$B$5:$B$10,E30)=0,"",SUMIFS('METAS EMPRESAS'!$C$5:$C$10,'METAS EMPRESAS'!$A$5:$A$10,D30,'METAS EMPRESAS'!$B$5:$B$10,E30)))</f>
        <v/>
      </c>
      <c r="G30" s="297" t="n">
        <v>5</v>
      </c>
      <c r="H30" s="298">
        <f>IF(F30="","",F30*G30)</f>
        <v/>
      </c>
      <c r="I30" s="298">
        <f>IF(M24="",0,M24)</f>
        <v/>
      </c>
      <c r="J30" s="298">
        <f>IF(H30="","",H30+I30)</f>
        <v/>
      </c>
      <c r="K30" s="298">
        <f>IF(J30="","",J30/G30)</f>
        <v/>
      </c>
      <c r="L30" s="297">
        <f>IF(OR($B30="",$C30="",$D30="",$E30=""),"",IF($D30="EJ",IF($E30="PREMONTAGEM",IF((COUNTIFS('CONTROLE PRODUÇÃO POR EMPRESAS'!$A$6:$A$1000,"&gt;="&amp;$B30,'CONTROLE PRODUÇÃO POR EMPRESAS'!$A$6:$A$1000,"&lt;="&amp;$C30,'CONTROLE PRODUÇÃO POR EMPRESAS'!$B$6:$B$1000,"&gt;=0")+COUNTIFS('CONTROLE PRODUÇÃO POR EMPRESAS'!$A$6:$A$1000,"&gt;="&amp;$B30,'CONTROLE PRODUÇÃO POR EMPRESAS'!$A$6:$A$1000,"&lt;="&amp;$C30,'CONTROLE PRODUÇÃO POR EMPRESAS'!$B$6:$B$1000,"?*"))=0,"",SUMIFS('CONTROLE PRODUÇÃO POR EMPRESAS'!$B$6:$B$1000,'CONTROLE PRODUÇÃO POR EMPRESAS'!$A$6:$A$1000,"&gt;="&amp;$B30,'CONTROLE PRODUÇÃO POR EMPRESAS'!$A$6:$A$1000,"&lt;="&amp;$C30)),IF($E30="IÇAMENTO JOIST",IF((COUNTIFS('CONTROLE PRODUÇÃO POR EMPRESAS'!$A$6:$A$1000,"&gt;="&amp;$B30,'CONTROLE PRODUÇÃO POR EMPRESAS'!$A$6:$A$1000,"&lt;="&amp;$C30,'CONTROLE PRODUÇÃO POR EMPRESAS'!$C$6:$C$1000,"&gt;=0")+COUNTIFS('CONTROLE PRODUÇÃO POR EMPRESAS'!$A$6:$A$1000,"&gt;="&amp;$B30,'CONTROLE PRODUÇÃO POR EMPRESAS'!$A$6:$A$1000,"&lt;="&amp;$C30,'CONTROLE PRODUÇÃO POR EMPRESAS'!$C$6:$C$1000,"?*"))=0,"",SUMIFS('CONTROLE PRODUÇÃO POR EMPRESAS'!$C$6:$C$1000,'CONTROLE PRODUÇÃO POR EMPRESAS'!$A$6:$A$1000,"&gt;="&amp;$B30,'CONTROLE PRODUÇÃO POR EMPRESAS'!$A$6:$A$1000,"&lt;="&amp;$C30)),IF($E30="VIGAS",IF((COUNTIFS('CONTROLE PRODUÇÃO POR EMPRESAS'!$A$6:$A$1000,"&gt;="&amp;$B30,'CONTROLE PRODUÇÃO POR EMPRESAS'!$A$6:$A$1000,"&lt;="&amp;$C30,'CONTROLE PRODUÇÃO POR EMPRESAS'!$D$6:$D$1000,"&gt;=0")+COUNTIFS('CONTROLE PRODUÇÃO POR EMPRESAS'!$A$6:$A$1000,"&gt;="&amp;$B30,'CONTROLE PRODUÇÃO POR EMPRESAS'!$A$6:$A$1000,"&lt;="&amp;$C30,'CONTROLE PRODUÇÃO POR EMPRESAS'!$D$6:$D$1000,"?*"))=0,"",SUMIFS('CONTROLE PRODUÇÃO POR EMPRESAS'!$D$6:$D$1000,'CONTROLE PRODUÇÃO POR EMPRESAS'!$A$6:$A$1000,"&gt;="&amp;$B30,'CONTROLE PRODUÇÃO POR EMPRESAS'!$A$6:$A$1000,"&lt;="&amp;$C30)),""))),IF($D30="CMM",IF($E30="PREMONTAGEM",IF((COUNTIFS('CONTROLE PRODUÇÃO POR EMPRESAS'!$A$6:$A$1000,"&gt;="&amp;$B30,'CONTROLE PRODUÇÃO POR EMPRESAS'!$A$6:$A$1000,"&lt;="&amp;$C30,'CONTROLE PRODUÇÃO POR EMPRESAS'!$E$6:$E$1000,"&gt;=0")+COUNTIFS('CONTROLE PRODUÇÃO POR EMPRESAS'!$A$6:$A$1000,"&gt;="&amp;$B30,'CONTROLE PRODUÇÃO POR EMPRESAS'!$A$6:$A$1000,"&lt;="&amp;$C30,'CONTROLE PRODUÇÃO POR EMPRESAS'!$E$6:$E$1000,"?*"))=0,"",SUMIFS('CONTROLE PRODUÇÃO POR EMPRESAS'!$E$6:$E$1000,'CONTROLE PRODUÇÃO POR EMPRESAS'!$A$6:$A$1000,"&gt;="&amp;$B30,'CONTROLE PRODUÇÃO POR EMPRESAS'!$A$6:$A$1000,"&lt;="&amp;$C30)),IF($E30="IÇAMENTO JOIST",IF((COUNTIFS('CONTROLE PRODUÇÃO POR EMPRESAS'!$A$6:$A$1000,"&gt;="&amp;$B30,'CONTROLE PRODUÇÃO POR EMPRESAS'!$A$6:$A$1000,"&lt;="&amp;$C30,'CONTROLE PRODUÇÃO POR EMPRESAS'!$F$6:$F$1000,"&gt;=0")+COUNTIFS('CONTROLE PRODUÇÃO POR EMPRESAS'!$A$6:$A$1000,"&gt;="&amp;$B30,'CONTROLE PRODUÇÃO POR EMPRESAS'!$A$6:$A$1000,"&lt;="&amp;$C30,'CONTROLE PRODUÇÃO POR EMPRESAS'!$F$6:$F$1000,"?*"))=0,"",SUMIFS('CONTROLE PRODUÇÃO POR EMPRESAS'!$F$6:$F$1000,'CONTROLE PRODUÇÃO POR EMPRESAS'!$A$6:$A$1000,"&gt;="&amp;$B30,'CONTROLE PRODUÇÃO POR EMPRESAS'!$A$6:$A$1000,"&lt;="&amp;$C30)),IF($E30="VIGAS",IF((COUNTIFS('CONTROLE PRODUÇÃO POR EMPRESAS'!$A$6:$A$1000,"&gt;="&amp;$B30,'CONTROLE PRODUÇÃO POR EMPRESAS'!$A$6:$A$1000,"&lt;="&amp;$C30,'CONTROLE PRODUÇÃO POR EMPRESAS'!$G$6:$G$1000,"&gt;=0")+COUNTIFS('CONTROLE PRODUÇÃO POR EMPRESAS'!$A$6:$A$1000,"&gt;="&amp;$B30,'CONTROLE PRODUÇÃO POR EMPRESAS'!$A$6:$A$1000,"&lt;="&amp;$C30,'CONTROLE PRODUÇÃO POR EMPRESAS'!$G$6:$G$1000,"?*"))=0,"",SUMIFS('CONTROLE PRODUÇÃO POR EMPRESAS'!$G$6:$G$1000,'CONTROLE PRODUÇÃO POR EMPRESAS'!$A$6:$A$1000,"&gt;="&amp;$B30,'CONTROLE PRODUÇÃO POR EMPRESAS'!$A$6:$A$1000,"&lt;="&amp;$C30)),""))),"")))</f>
        <v/>
      </c>
      <c r="M30" s="298">
        <f>IF(L30="","",MAX(J30-L30,0))</f>
        <v/>
      </c>
      <c r="N30" s="298">
        <f>IF(L30="","",MAX(L30-J30,0))</f>
        <v/>
      </c>
      <c r="O30" s="299">
        <f>IF(L30="","",IFERROR(L30/J30,""))</f>
        <v/>
      </c>
      <c r="P30" s="298">
        <f>IF(H30="","",SUMIFS($H$6:H30,$D$6:D30,D30,$E$6:E30,E30))</f>
        <v/>
      </c>
      <c r="Q30" s="298">
        <f>IF(L30="","",SUMIFS($L$6:L30,$D$6:D30,D30,$E$6:E30,E30))</f>
        <v/>
      </c>
      <c r="R30" s="298">
        <f>IF(Q30="","",MAX(P30-Q30,0))</f>
        <v/>
      </c>
      <c r="S30" s="108">
        <f>IF(O30="","",IF(O30&gt;=1,"VERDE",IF(O30&gt;=0.9,"AMARELO","VERMELHO")))</f>
        <v/>
      </c>
      <c r="T30" s="109" t="n"/>
      <c r="U30" s="109" t="n"/>
      <c r="V30" s="110" t="n"/>
      <c r="W30" s="302" t="n"/>
    </row>
    <row r="31" ht="15.75" customHeight="1">
      <c r="A31" s="117" t="n">
        <v>5</v>
      </c>
      <c r="B31" s="295" t="n">
        <v>46286</v>
      </c>
      <c r="C31" s="295" t="n">
        <v>46290</v>
      </c>
      <c r="D31" s="101" t="inlineStr">
        <is>
          <t>CMM</t>
        </is>
      </c>
      <c r="E31" s="103" t="inlineStr">
        <is>
          <t>IÇAMENTO JOIST</t>
        </is>
      </c>
      <c r="F31" s="296">
        <f>IF(OR(D31="",E31=""),"",IF(COUNTIFS('METAS EMPRESAS'!$A$5:$A$10,D31,'METAS EMPRESAS'!$B$5:$B$10,E31)=0,"",SUMIFS('METAS EMPRESAS'!$C$5:$C$10,'METAS EMPRESAS'!$A$5:$A$10,D31,'METAS EMPRESAS'!$B$5:$B$10,E31)))</f>
        <v/>
      </c>
      <c r="G31" s="297" t="n">
        <v>5</v>
      </c>
      <c r="H31" s="298">
        <f>IF(F31="","",F31*G31)</f>
        <v/>
      </c>
      <c r="I31" s="298">
        <f>IF(M25="",0,M25)</f>
        <v/>
      </c>
      <c r="J31" s="298">
        <f>IF(H31="","",H31+I31)</f>
        <v/>
      </c>
      <c r="K31" s="298">
        <f>IF(J31="","",J31/G31)</f>
        <v/>
      </c>
      <c r="L31" s="297">
        <f>IF(OR($B31="",$C31="",$D31="",$E31=""),"",IF($D31="EJ",IF($E31="PREMONTAGEM",IF((COUNTIFS('CONTROLE PRODUÇÃO POR EMPRESAS'!$A$6:$A$1000,"&gt;="&amp;$B31,'CONTROLE PRODUÇÃO POR EMPRESAS'!$A$6:$A$1000,"&lt;="&amp;$C31,'CONTROLE PRODUÇÃO POR EMPRESAS'!$B$6:$B$1000,"&gt;=0")+COUNTIFS('CONTROLE PRODUÇÃO POR EMPRESAS'!$A$6:$A$1000,"&gt;="&amp;$B31,'CONTROLE PRODUÇÃO POR EMPRESAS'!$A$6:$A$1000,"&lt;="&amp;$C31,'CONTROLE PRODUÇÃO POR EMPRESAS'!$B$6:$B$1000,"?*"))=0,"",SUMIFS('CONTROLE PRODUÇÃO POR EMPRESAS'!$B$6:$B$1000,'CONTROLE PRODUÇÃO POR EMPRESAS'!$A$6:$A$1000,"&gt;="&amp;$B31,'CONTROLE PRODUÇÃO POR EMPRESAS'!$A$6:$A$1000,"&lt;="&amp;$C31)),IF($E31="IÇAMENTO JOIST",IF((COUNTIFS('CONTROLE PRODUÇÃO POR EMPRESAS'!$A$6:$A$1000,"&gt;="&amp;$B31,'CONTROLE PRODUÇÃO POR EMPRESAS'!$A$6:$A$1000,"&lt;="&amp;$C31,'CONTROLE PRODUÇÃO POR EMPRESAS'!$C$6:$C$1000,"&gt;=0")+COUNTIFS('CONTROLE PRODUÇÃO POR EMPRESAS'!$A$6:$A$1000,"&gt;="&amp;$B31,'CONTROLE PRODUÇÃO POR EMPRESAS'!$A$6:$A$1000,"&lt;="&amp;$C31,'CONTROLE PRODUÇÃO POR EMPRESAS'!$C$6:$C$1000,"?*"))=0,"",SUMIFS('CONTROLE PRODUÇÃO POR EMPRESAS'!$C$6:$C$1000,'CONTROLE PRODUÇÃO POR EMPRESAS'!$A$6:$A$1000,"&gt;="&amp;$B31,'CONTROLE PRODUÇÃO POR EMPRESAS'!$A$6:$A$1000,"&lt;="&amp;$C31)),IF($E31="VIGAS",IF((COUNTIFS('CONTROLE PRODUÇÃO POR EMPRESAS'!$A$6:$A$1000,"&gt;="&amp;$B31,'CONTROLE PRODUÇÃO POR EMPRESAS'!$A$6:$A$1000,"&lt;="&amp;$C31,'CONTROLE PRODUÇÃO POR EMPRESAS'!$D$6:$D$1000,"&gt;=0")+COUNTIFS('CONTROLE PRODUÇÃO POR EMPRESAS'!$A$6:$A$1000,"&gt;="&amp;$B31,'CONTROLE PRODUÇÃO POR EMPRESAS'!$A$6:$A$1000,"&lt;="&amp;$C31,'CONTROLE PRODUÇÃO POR EMPRESAS'!$D$6:$D$1000,"?*"))=0,"",SUMIFS('CONTROLE PRODUÇÃO POR EMPRESAS'!$D$6:$D$1000,'CONTROLE PRODUÇÃO POR EMPRESAS'!$A$6:$A$1000,"&gt;="&amp;$B31,'CONTROLE PRODUÇÃO POR EMPRESAS'!$A$6:$A$1000,"&lt;="&amp;$C31)),""))),IF($D31="CMM",IF($E31="PREMONTAGEM",IF((COUNTIFS('CONTROLE PRODUÇÃO POR EMPRESAS'!$A$6:$A$1000,"&gt;="&amp;$B31,'CONTROLE PRODUÇÃO POR EMPRESAS'!$A$6:$A$1000,"&lt;="&amp;$C31,'CONTROLE PRODUÇÃO POR EMPRESAS'!$E$6:$E$1000,"&gt;=0")+COUNTIFS('CONTROLE PRODUÇÃO POR EMPRESAS'!$A$6:$A$1000,"&gt;="&amp;$B31,'CONTROLE PRODUÇÃO POR EMPRESAS'!$A$6:$A$1000,"&lt;="&amp;$C31,'CONTROLE PRODUÇÃO POR EMPRESAS'!$E$6:$E$1000,"?*"))=0,"",SUMIFS('CONTROLE PRODUÇÃO POR EMPRESAS'!$E$6:$E$1000,'CONTROLE PRODUÇÃO POR EMPRESAS'!$A$6:$A$1000,"&gt;="&amp;$B31,'CONTROLE PRODUÇÃO POR EMPRESAS'!$A$6:$A$1000,"&lt;="&amp;$C31)),IF($E31="IÇAMENTO JOIST",IF((COUNTIFS('CONTROLE PRODUÇÃO POR EMPRESAS'!$A$6:$A$1000,"&gt;="&amp;$B31,'CONTROLE PRODUÇÃO POR EMPRESAS'!$A$6:$A$1000,"&lt;="&amp;$C31,'CONTROLE PRODUÇÃO POR EMPRESAS'!$F$6:$F$1000,"&gt;=0")+COUNTIFS('CONTROLE PRODUÇÃO POR EMPRESAS'!$A$6:$A$1000,"&gt;="&amp;$B31,'CONTROLE PRODUÇÃO POR EMPRESAS'!$A$6:$A$1000,"&lt;="&amp;$C31,'CONTROLE PRODUÇÃO POR EMPRESAS'!$F$6:$F$1000,"?*"))=0,"",SUMIFS('CONTROLE PRODUÇÃO POR EMPRESAS'!$F$6:$F$1000,'CONTROLE PRODUÇÃO POR EMPRESAS'!$A$6:$A$1000,"&gt;="&amp;$B31,'CONTROLE PRODUÇÃO POR EMPRESAS'!$A$6:$A$1000,"&lt;="&amp;$C31)),IF($E31="VIGAS",IF((COUNTIFS('CONTROLE PRODUÇÃO POR EMPRESAS'!$A$6:$A$1000,"&gt;="&amp;$B31,'CONTROLE PRODUÇÃO POR EMPRESAS'!$A$6:$A$1000,"&lt;="&amp;$C31,'CONTROLE PRODUÇÃO POR EMPRESAS'!$G$6:$G$1000,"&gt;=0")+COUNTIFS('CONTROLE PRODUÇÃO POR EMPRESAS'!$A$6:$A$1000,"&gt;="&amp;$B31,'CONTROLE PRODUÇÃO POR EMPRESAS'!$A$6:$A$1000,"&lt;="&amp;$C31,'CONTROLE PRODUÇÃO POR EMPRESAS'!$G$6:$G$1000,"?*"))=0,"",SUMIFS('CONTROLE PRODUÇÃO POR EMPRESAS'!$G$6:$G$1000,'CONTROLE PRODUÇÃO POR EMPRESAS'!$A$6:$A$1000,"&gt;="&amp;$B31,'CONTROLE PRODUÇÃO POR EMPRESAS'!$A$6:$A$1000,"&lt;="&amp;$C31)),""))),"")))</f>
        <v/>
      </c>
      <c r="M31" s="298">
        <f>IF(L31="","",MAX(J31-L31,0))</f>
        <v/>
      </c>
      <c r="N31" s="298">
        <f>IF(L31="","",MAX(L31-J31,0))</f>
        <v/>
      </c>
      <c r="O31" s="299">
        <f>IF(L31="","",IFERROR(L31/J31,""))</f>
        <v/>
      </c>
      <c r="P31" s="298">
        <f>IF(H31="","",SUMIFS($H$6:H31,$D$6:D31,D31,$E$6:E31,E31))</f>
        <v/>
      </c>
      <c r="Q31" s="298">
        <f>IF(L31="","",SUMIFS($L$6:L31,$D$6:D31,D31,$E$6:E31,E31))</f>
        <v/>
      </c>
      <c r="R31" s="298">
        <f>IF(Q31="","",MAX(P31-Q31,0))</f>
        <v/>
      </c>
      <c r="S31" s="108">
        <f>IF(O31="","",IF(O31&gt;=1,"VERDE",IF(O31&gt;=0.9,"AMARELO","VERMELHO")))</f>
        <v/>
      </c>
      <c r="T31" s="109" t="n"/>
      <c r="U31" s="109" t="n"/>
      <c r="V31" s="110" t="n"/>
      <c r="W31" s="302" t="n"/>
    </row>
    <row r="32" ht="15.75" customHeight="1">
      <c r="A32" s="112" t="n">
        <v>5</v>
      </c>
      <c r="B32" s="301" t="n">
        <v>46286</v>
      </c>
      <c r="C32" s="301" t="n">
        <v>46290</v>
      </c>
      <c r="D32" s="114" t="inlineStr">
        <is>
          <t>CMM</t>
        </is>
      </c>
      <c r="E32" s="115" t="inlineStr">
        <is>
          <t>VIGAS</t>
        </is>
      </c>
      <c r="F32" s="296">
        <f>IF(OR(D32="",E32=""),"",IF(COUNTIFS('METAS EMPRESAS'!$A$5:$A$10,D32,'METAS EMPRESAS'!$B$5:$B$10,E32)=0,"",SUMIFS('METAS EMPRESAS'!$C$5:$C$10,'METAS EMPRESAS'!$A$5:$A$10,D32,'METAS EMPRESAS'!$B$5:$B$10,E32)))</f>
        <v/>
      </c>
      <c r="G32" s="297" t="n">
        <v>5</v>
      </c>
      <c r="H32" s="298">
        <f>IF(F32="","",F32*G32)</f>
        <v/>
      </c>
      <c r="I32" s="298">
        <f>IF(M26="",0,M26)</f>
        <v/>
      </c>
      <c r="J32" s="298">
        <f>IF(H32="","",H32+I32)</f>
        <v/>
      </c>
      <c r="K32" s="298">
        <f>IF(J32="","",J32/G32)</f>
        <v/>
      </c>
      <c r="L32" s="297">
        <f>IF(OR($B32="",$C32="",$D32="",$E32=""),"",IF($D32="EJ",IF($E32="PREMONTAGEM",IF((COUNTIFS('CONTROLE PRODUÇÃO POR EMPRESAS'!$A$6:$A$1000,"&gt;="&amp;$B32,'CONTROLE PRODUÇÃO POR EMPRESAS'!$A$6:$A$1000,"&lt;="&amp;$C32,'CONTROLE PRODUÇÃO POR EMPRESAS'!$B$6:$B$1000,"&gt;=0")+COUNTIFS('CONTROLE PRODUÇÃO POR EMPRESAS'!$A$6:$A$1000,"&gt;="&amp;$B32,'CONTROLE PRODUÇÃO POR EMPRESAS'!$A$6:$A$1000,"&lt;="&amp;$C32,'CONTROLE PRODUÇÃO POR EMPRESAS'!$B$6:$B$1000,"?*"))=0,"",SUMIFS('CONTROLE PRODUÇÃO POR EMPRESAS'!$B$6:$B$1000,'CONTROLE PRODUÇÃO POR EMPRESAS'!$A$6:$A$1000,"&gt;="&amp;$B32,'CONTROLE PRODUÇÃO POR EMPRESAS'!$A$6:$A$1000,"&lt;="&amp;$C32)),IF($E32="IÇAMENTO JOIST",IF((COUNTIFS('CONTROLE PRODUÇÃO POR EMPRESAS'!$A$6:$A$1000,"&gt;="&amp;$B32,'CONTROLE PRODUÇÃO POR EMPRESAS'!$A$6:$A$1000,"&lt;="&amp;$C32,'CONTROLE PRODUÇÃO POR EMPRESAS'!$C$6:$C$1000,"&gt;=0")+COUNTIFS('CONTROLE PRODUÇÃO POR EMPRESAS'!$A$6:$A$1000,"&gt;="&amp;$B32,'CONTROLE PRODUÇÃO POR EMPRESAS'!$A$6:$A$1000,"&lt;="&amp;$C32,'CONTROLE PRODUÇÃO POR EMPRESAS'!$C$6:$C$1000,"?*"))=0,"",SUMIFS('CONTROLE PRODUÇÃO POR EMPRESAS'!$C$6:$C$1000,'CONTROLE PRODUÇÃO POR EMPRESAS'!$A$6:$A$1000,"&gt;="&amp;$B32,'CONTROLE PRODUÇÃO POR EMPRESAS'!$A$6:$A$1000,"&lt;="&amp;$C32)),IF($E32="VIGAS",IF((COUNTIFS('CONTROLE PRODUÇÃO POR EMPRESAS'!$A$6:$A$1000,"&gt;="&amp;$B32,'CONTROLE PRODUÇÃO POR EMPRESAS'!$A$6:$A$1000,"&lt;="&amp;$C32,'CONTROLE PRODUÇÃO POR EMPRESAS'!$D$6:$D$1000,"&gt;=0")+COUNTIFS('CONTROLE PRODUÇÃO POR EMPRESAS'!$A$6:$A$1000,"&gt;="&amp;$B32,'CONTROLE PRODUÇÃO POR EMPRESAS'!$A$6:$A$1000,"&lt;="&amp;$C32,'CONTROLE PRODUÇÃO POR EMPRESAS'!$D$6:$D$1000,"?*"))=0,"",SUMIFS('CONTROLE PRODUÇÃO POR EMPRESAS'!$D$6:$D$1000,'CONTROLE PRODUÇÃO POR EMPRESAS'!$A$6:$A$1000,"&gt;="&amp;$B32,'CONTROLE PRODUÇÃO POR EMPRESAS'!$A$6:$A$1000,"&lt;="&amp;$C32)),""))),IF($D32="CMM",IF($E32="PREMONTAGEM",IF((COUNTIFS('CONTROLE PRODUÇÃO POR EMPRESAS'!$A$6:$A$1000,"&gt;="&amp;$B32,'CONTROLE PRODUÇÃO POR EMPRESAS'!$A$6:$A$1000,"&lt;="&amp;$C32,'CONTROLE PRODUÇÃO POR EMPRESAS'!$E$6:$E$1000,"&gt;=0")+COUNTIFS('CONTROLE PRODUÇÃO POR EMPRESAS'!$A$6:$A$1000,"&gt;="&amp;$B32,'CONTROLE PRODUÇÃO POR EMPRESAS'!$A$6:$A$1000,"&lt;="&amp;$C32,'CONTROLE PRODUÇÃO POR EMPRESAS'!$E$6:$E$1000,"?*"))=0,"",SUMIFS('CONTROLE PRODUÇÃO POR EMPRESAS'!$E$6:$E$1000,'CONTROLE PRODUÇÃO POR EMPRESAS'!$A$6:$A$1000,"&gt;="&amp;$B32,'CONTROLE PRODUÇÃO POR EMPRESAS'!$A$6:$A$1000,"&lt;="&amp;$C32)),IF($E32="IÇAMENTO JOIST",IF((COUNTIFS('CONTROLE PRODUÇÃO POR EMPRESAS'!$A$6:$A$1000,"&gt;="&amp;$B32,'CONTROLE PRODUÇÃO POR EMPRESAS'!$A$6:$A$1000,"&lt;="&amp;$C32,'CONTROLE PRODUÇÃO POR EMPRESAS'!$F$6:$F$1000,"&gt;=0")+COUNTIFS('CONTROLE PRODUÇÃO POR EMPRESAS'!$A$6:$A$1000,"&gt;="&amp;$B32,'CONTROLE PRODUÇÃO POR EMPRESAS'!$A$6:$A$1000,"&lt;="&amp;$C32,'CONTROLE PRODUÇÃO POR EMPRESAS'!$F$6:$F$1000,"?*"))=0,"",SUMIFS('CONTROLE PRODUÇÃO POR EMPRESAS'!$F$6:$F$1000,'CONTROLE PRODUÇÃO POR EMPRESAS'!$A$6:$A$1000,"&gt;="&amp;$B32,'CONTROLE PRODUÇÃO POR EMPRESAS'!$A$6:$A$1000,"&lt;="&amp;$C32)),IF($E32="VIGAS",IF((COUNTIFS('CONTROLE PRODUÇÃO POR EMPRESAS'!$A$6:$A$1000,"&gt;="&amp;$B32,'CONTROLE PRODUÇÃO POR EMPRESAS'!$A$6:$A$1000,"&lt;="&amp;$C32,'CONTROLE PRODUÇÃO POR EMPRESAS'!$G$6:$G$1000,"&gt;=0")+COUNTIFS('CONTROLE PRODUÇÃO POR EMPRESAS'!$A$6:$A$1000,"&gt;="&amp;$B32,'CONTROLE PRODUÇÃO POR EMPRESAS'!$A$6:$A$1000,"&lt;="&amp;$C32,'CONTROLE PRODUÇÃO POR EMPRESAS'!$G$6:$G$1000,"?*"))=0,"",SUMIFS('CONTROLE PRODUÇÃO POR EMPRESAS'!$G$6:$G$1000,'CONTROLE PRODUÇÃO POR EMPRESAS'!$A$6:$A$1000,"&gt;="&amp;$B32,'CONTROLE PRODUÇÃO POR EMPRESAS'!$A$6:$A$1000,"&lt;="&amp;$C32)),""))),"")))</f>
        <v/>
      </c>
      <c r="M32" s="298">
        <f>IF(L32="","",MAX(J32-L32,0))</f>
        <v/>
      </c>
      <c r="N32" s="298">
        <f>IF(L32="","",MAX(L32-J32,0))</f>
        <v/>
      </c>
      <c r="O32" s="299">
        <f>IF(L32="","",IFERROR(L32/J32,""))</f>
        <v/>
      </c>
      <c r="P32" s="298">
        <f>IF(H32="","",SUMIFS($H$6:H32,$D$6:D32,D32,$E$6:E32,E32))</f>
        <v/>
      </c>
      <c r="Q32" s="298">
        <f>IF(L32="","",SUMIFS($L$6:L32,$D$6:D32,D32,$E$6:E32,E32))</f>
        <v/>
      </c>
      <c r="R32" s="298">
        <f>IF(Q32="","",MAX(P32-Q32,0))</f>
        <v/>
      </c>
      <c r="S32" s="108">
        <f>IF(O32="","",IF(O32&gt;=1,"VERDE",IF(O32&gt;=0.9,"AMARELO","VERMELHO")))</f>
        <v/>
      </c>
      <c r="T32" s="109" t="n"/>
      <c r="U32" s="109" t="n"/>
      <c r="V32" s="110" t="n"/>
      <c r="W32" s="302" t="n"/>
    </row>
    <row r="33" ht="15.75" customHeight="1">
      <c r="A33" s="117" t="n">
        <v>5</v>
      </c>
      <c r="B33" s="295" t="n">
        <v>46286</v>
      </c>
      <c r="C33" s="295" t="n">
        <v>46290</v>
      </c>
      <c r="D33" s="101" t="inlineStr">
        <is>
          <t>EJ</t>
        </is>
      </c>
      <c r="E33" s="103" t="inlineStr">
        <is>
          <t>PREMONTAGEM</t>
        </is>
      </c>
      <c r="F33" s="296">
        <f>IF(OR(D33="",E33=""),"",IF(COUNTIFS('METAS EMPRESAS'!$A$5:$A$10,D33,'METAS EMPRESAS'!$B$5:$B$10,E33)=0,"",SUMIFS('METAS EMPRESAS'!$C$5:$C$10,'METAS EMPRESAS'!$A$5:$A$10,D33,'METAS EMPRESAS'!$B$5:$B$10,E33)))</f>
        <v/>
      </c>
      <c r="G33" s="297" t="n">
        <v>5</v>
      </c>
      <c r="H33" s="298">
        <f>IF(F33="","",F33*G33)</f>
        <v/>
      </c>
      <c r="I33" s="298">
        <f>IF(M27="",0,M27)</f>
        <v/>
      </c>
      <c r="J33" s="298">
        <f>IF(H33="","",H33+I33)</f>
        <v/>
      </c>
      <c r="K33" s="298">
        <f>IF(J33="","",J33/G33)</f>
        <v/>
      </c>
      <c r="L33" s="297">
        <f>IF(OR($B33="",$C33="",$D33="",$E33=""),"",IF($D33="EJ",IF($E33="PREMONTAGEM",IF((COUNTIFS('CONTROLE PRODUÇÃO POR EMPRESAS'!$A$6:$A$1000,"&gt;="&amp;$B33,'CONTROLE PRODUÇÃO POR EMPRESAS'!$A$6:$A$1000,"&lt;="&amp;$C33,'CONTROLE PRODUÇÃO POR EMPRESAS'!$B$6:$B$1000,"&gt;=0")+COUNTIFS('CONTROLE PRODUÇÃO POR EMPRESAS'!$A$6:$A$1000,"&gt;="&amp;$B33,'CONTROLE PRODUÇÃO POR EMPRESAS'!$A$6:$A$1000,"&lt;="&amp;$C33,'CONTROLE PRODUÇÃO POR EMPRESAS'!$B$6:$B$1000,"?*"))=0,"",SUMIFS('CONTROLE PRODUÇÃO POR EMPRESAS'!$B$6:$B$1000,'CONTROLE PRODUÇÃO POR EMPRESAS'!$A$6:$A$1000,"&gt;="&amp;$B33,'CONTROLE PRODUÇÃO POR EMPRESAS'!$A$6:$A$1000,"&lt;="&amp;$C33)),IF($E33="IÇAMENTO JOIST",IF((COUNTIFS('CONTROLE PRODUÇÃO POR EMPRESAS'!$A$6:$A$1000,"&gt;="&amp;$B33,'CONTROLE PRODUÇÃO POR EMPRESAS'!$A$6:$A$1000,"&lt;="&amp;$C33,'CONTROLE PRODUÇÃO POR EMPRESAS'!$C$6:$C$1000,"&gt;=0")+COUNTIFS('CONTROLE PRODUÇÃO POR EMPRESAS'!$A$6:$A$1000,"&gt;="&amp;$B33,'CONTROLE PRODUÇÃO POR EMPRESAS'!$A$6:$A$1000,"&lt;="&amp;$C33,'CONTROLE PRODUÇÃO POR EMPRESAS'!$C$6:$C$1000,"?*"))=0,"",SUMIFS('CONTROLE PRODUÇÃO POR EMPRESAS'!$C$6:$C$1000,'CONTROLE PRODUÇÃO POR EMPRESAS'!$A$6:$A$1000,"&gt;="&amp;$B33,'CONTROLE PRODUÇÃO POR EMPRESAS'!$A$6:$A$1000,"&lt;="&amp;$C33)),IF($E33="VIGAS",IF((COUNTIFS('CONTROLE PRODUÇÃO POR EMPRESAS'!$A$6:$A$1000,"&gt;="&amp;$B33,'CONTROLE PRODUÇÃO POR EMPRESAS'!$A$6:$A$1000,"&lt;="&amp;$C33,'CONTROLE PRODUÇÃO POR EMPRESAS'!$D$6:$D$1000,"&gt;=0")+COUNTIFS('CONTROLE PRODUÇÃO POR EMPRESAS'!$A$6:$A$1000,"&gt;="&amp;$B33,'CONTROLE PRODUÇÃO POR EMPRESAS'!$A$6:$A$1000,"&lt;="&amp;$C33,'CONTROLE PRODUÇÃO POR EMPRESAS'!$D$6:$D$1000,"?*"))=0,"",SUMIFS('CONTROLE PRODUÇÃO POR EMPRESAS'!$D$6:$D$1000,'CONTROLE PRODUÇÃO POR EMPRESAS'!$A$6:$A$1000,"&gt;="&amp;$B33,'CONTROLE PRODUÇÃO POR EMPRESAS'!$A$6:$A$1000,"&lt;="&amp;$C33)),""))),IF($D33="CMM",IF($E33="PREMONTAGEM",IF((COUNTIFS('CONTROLE PRODUÇÃO POR EMPRESAS'!$A$6:$A$1000,"&gt;="&amp;$B33,'CONTROLE PRODUÇÃO POR EMPRESAS'!$A$6:$A$1000,"&lt;="&amp;$C33,'CONTROLE PRODUÇÃO POR EMPRESAS'!$E$6:$E$1000,"&gt;=0")+COUNTIFS('CONTROLE PRODUÇÃO POR EMPRESAS'!$A$6:$A$1000,"&gt;="&amp;$B33,'CONTROLE PRODUÇÃO POR EMPRESAS'!$A$6:$A$1000,"&lt;="&amp;$C33,'CONTROLE PRODUÇÃO POR EMPRESAS'!$E$6:$E$1000,"?*"))=0,"",SUMIFS('CONTROLE PRODUÇÃO POR EMPRESAS'!$E$6:$E$1000,'CONTROLE PRODUÇÃO POR EMPRESAS'!$A$6:$A$1000,"&gt;="&amp;$B33,'CONTROLE PRODUÇÃO POR EMPRESAS'!$A$6:$A$1000,"&lt;="&amp;$C33)),IF($E33="IÇAMENTO JOIST",IF((COUNTIFS('CONTROLE PRODUÇÃO POR EMPRESAS'!$A$6:$A$1000,"&gt;="&amp;$B33,'CONTROLE PRODUÇÃO POR EMPRESAS'!$A$6:$A$1000,"&lt;="&amp;$C33,'CONTROLE PRODUÇÃO POR EMPRESAS'!$F$6:$F$1000,"&gt;=0")+COUNTIFS('CONTROLE PRODUÇÃO POR EMPRESAS'!$A$6:$A$1000,"&gt;="&amp;$B33,'CONTROLE PRODUÇÃO POR EMPRESAS'!$A$6:$A$1000,"&lt;="&amp;$C33,'CONTROLE PRODUÇÃO POR EMPRESAS'!$F$6:$F$1000,"?*"))=0,"",SUMIFS('CONTROLE PRODUÇÃO POR EMPRESAS'!$F$6:$F$1000,'CONTROLE PRODUÇÃO POR EMPRESAS'!$A$6:$A$1000,"&gt;="&amp;$B33,'CONTROLE PRODUÇÃO POR EMPRESAS'!$A$6:$A$1000,"&lt;="&amp;$C33)),IF($E33="VIGAS",IF((COUNTIFS('CONTROLE PRODUÇÃO POR EMPRESAS'!$A$6:$A$1000,"&gt;="&amp;$B33,'CONTROLE PRODUÇÃO POR EMPRESAS'!$A$6:$A$1000,"&lt;="&amp;$C33,'CONTROLE PRODUÇÃO POR EMPRESAS'!$G$6:$G$1000,"&gt;=0")+COUNTIFS('CONTROLE PRODUÇÃO POR EMPRESAS'!$A$6:$A$1000,"&gt;="&amp;$B33,'CONTROLE PRODUÇÃO POR EMPRESAS'!$A$6:$A$1000,"&lt;="&amp;$C33,'CONTROLE PRODUÇÃO POR EMPRESAS'!$G$6:$G$1000,"?*"))=0,"",SUMIFS('CONTROLE PRODUÇÃO POR EMPRESAS'!$G$6:$G$1000,'CONTROLE PRODUÇÃO POR EMPRESAS'!$A$6:$A$1000,"&gt;="&amp;$B33,'CONTROLE PRODUÇÃO POR EMPRESAS'!$A$6:$A$1000,"&lt;="&amp;$C33)),""))),"")))</f>
        <v/>
      </c>
      <c r="M33" s="298">
        <f>IF(L33="","",MAX(J33-L33,0))</f>
        <v/>
      </c>
      <c r="N33" s="298">
        <f>IF(L33="","",MAX(L33-J33,0))</f>
        <v/>
      </c>
      <c r="O33" s="299">
        <f>IF(L33="","",IFERROR(L33/J33,""))</f>
        <v/>
      </c>
      <c r="P33" s="298">
        <f>IF(H33="","",SUMIFS($H$6:H33,$D$6:D33,D33,$E$6:E33,E33))</f>
        <v/>
      </c>
      <c r="Q33" s="298">
        <f>IF(L33="","",SUMIFS($L$6:L33,$D$6:D33,D33,$E$6:E33,E33))</f>
        <v/>
      </c>
      <c r="R33" s="298">
        <f>IF(Q33="","",MAX(P33-Q33,0))</f>
        <v/>
      </c>
      <c r="S33" s="108">
        <f>IF(O33="","",IF(O33&gt;=1,"VERDE",IF(O33&gt;=0.9,"AMARELO","VERMELHO")))</f>
        <v/>
      </c>
      <c r="T33" s="109" t="n"/>
      <c r="U33" s="109" t="n"/>
      <c r="V33" s="110" t="n"/>
      <c r="W33" s="302" t="n"/>
    </row>
    <row r="34" ht="15.75" customHeight="1">
      <c r="A34" s="112" t="n">
        <v>5</v>
      </c>
      <c r="B34" s="301" t="n">
        <v>46286</v>
      </c>
      <c r="C34" s="301" t="n">
        <v>46290</v>
      </c>
      <c r="D34" s="114" t="inlineStr">
        <is>
          <t>EJ</t>
        </is>
      </c>
      <c r="E34" s="115" t="inlineStr">
        <is>
          <t>IÇAMENTO JOIST</t>
        </is>
      </c>
      <c r="F34" s="296">
        <f>IF(OR(D34="",E34=""),"",IF(COUNTIFS('METAS EMPRESAS'!$A$5:$A$10,D34,'METAS EMPRESAS'!$B$5:$B$10,E34)=0,"",SUMIFS('METAS EMPRESAS'!$C$5:$C$10,'METAS EMPRESAS'!$A$5:$A$10,D34,'METAS EMPRESAS'!$B$5:$B$10,E34)))</f>
        <v/>
      </c>
      <c r="G34" s="297" t="n">
        <v>5</v>
      </c>
      <c r="H34" s="298">
        <f>IF(F34="","",F34*G34)</f>
        <v/>
      </c>
      <c r="I34" s="298">
        <f>IF(M28="",0,M28)</f>
        <v/>
      </c>
      <c r="J34" s="298">
        <f>IF(H34="","",H34+I34)</f>
        <v/>
      </c>
      <c r="K34" s="298">
        <f>IF(J34="","",J34/G34)</f>
        <v/>
      </c>
      <c r="L34" s="297">
        <f>IF(OR($B34="",$C34="",$D34="",$E34=""),"",IF($D34="EJ",IF($E34="PREMONTAGEM",IF((COUNTIFS('CONTROLE PRODUÇÃO POR EMPRESAS'!$A$6:$A$1000,"&gt;="&amp;$B34,'CONTROLE PRODUÇÃO POR EMPRESAS'!$A$6:$A$1000,"&lt;="&amp;$C34,'CONTROLE PRODUÇÃO POR EMPRESAS'!$B$6:$B$1000,"&gt;=0")+COUNTIFS('CONTROLE PRODUÇÃO POR EMPRESAS'!$A$6:$A$1000,"&gt;="&amp;$B34,'CONTROLE PRODUÇÃO POR EMPRESAS'!$A$6:$A$1000,"&lt;="&amp;$C34,'CONTROLE PRODUÇÃO POR EMPRESAS'!$B$6:$B$1000,"?*"))=0,"",SUMIFS('CONTROLE PRODUÇÃO POR EMPRESAS'!$B$6:$B$1000,'CONTROLE PRODUÇÃO POR EMPRESAS'!$A$6:$A$1000,"&gt;="&amp;$B34,'CONTROLE PRODUÇÃO POR EMPRESAS'!$A$6:$A$1000,"&lt;="&amp;$C34)),IF($E34="IÇAMENTO JOIST",IF((COUNTIFS('CONTROLE PRODUÇÃO POR EMPRESAS'!$A$6:$A$1000,"&gt;="&amp;$B34,'CONTROLE PRODUÇÃO POR EMPRESAS'!$A$6:$A$1000,"&lt;="&amp;$C34,'CONTROLE PRODUÇÃO POR EMPRESAS'!$C$6:$C$1000,"&gt;=0")+COUNTIFS('CONTROLE PRODUÇÃO POR EMPRESAS'!$A$6:$A$1000,"&gt;="&amp;$B34,'CONTROLE PRODUÇÃO POR EMPRESAS'!$A$6:$A$1000,"&lt;="&amp;$C34,'CONTROLE PRODUÇÃO POR EMPRESAS'!$C$6:$C$1000,"?*"))=0,"",SUMIFS('CONTROLE PRODUÇÃO POR EMPRESAS'!$C$6:$C$1000,'CONTROLE PRODUÇÃO POR EMPRESAS'!$A$6:$A$1000,"&gt;="&amp;$B34,'CONTROLE PRODUÇÃO POR EMPRESAS'!$A$6:$A$1000,"&lt;="&amp;$C34)),IF($E34="VIGAS",IF((COUNTIFS('CONTROLE PRODUÇÃO POR EMPRESAS'!$A$6:$A$1000,"&gt;="&amp;$B34,'CONTROLE PRODUÇÃO POR EMPRESAS'!$A$6:$A$1000,"&lt;="&amp;$C34,'CONTROLE PRODUÇÃO POR EMPRESAS'!$D$6:$D$1000,"&gt;=0")+COUNTIFS('CONTROLE PRODUÇÃO POR EMPRESAS'!$A$6:$A$1000,"&gt;="&amp;$B34,'CONTROLE PRODUÇÃO POR EMPRESAS'!$A$6:$A$1000,"&lt;="&amp;$C34,'CONTROLE PRODUÇÃO POR EMPRESAS'!$D$6:$D$1000,"?*"))=0,"",SUMIFS('CONTROLE PRODUÇÃO POR EMPRESAS'!$D$6:$D$1000,'CONTROLE PRODUÇÃO POR EMPRESAS'!$A$6:$A$1000,"&gt;="&amp;$B34,'CONTROLE PRODUÇÃO POR EMPRESAS'!$A$6:$A$1000,"&lt;="&amp;$C34)),""))),IF($D34="CMM",IF($E34="PREMONTAGEM",IF((COUNTIFS('CONTROLE PRODUÇÃO POR EMPRESAS'!$A$6:$A$1000,"&gt;="&amp;$B34,'CONTROLE PRODUÇÃO POR EMPRESAS'!$A$6:$A$1000,"&lt;="&amp;$C34,'CONTROLE PRODUÇÃO POR EMPRESAS'!$E$6:$E$1000,"&gt;=0")+COUNTIFS('CONTROLE PRODUÇÃO POR EMPRESAS'!$A$6:$A$1000,"&gt;="&amp;$B34,'CONTROLE PRODUÇÃO POR EMPRESAS'!$A$6:$A$1000,"&lt;="&amp;$C34,'CONTROLE PRODUÇÃO POR EMPRESAS'!$E$6:$E$1000,"?*"))=0,"",SUMIFS('CONTROLE PRODUÇÃO POR EMPRESAS'!$E$6:$E$1000,'CONTROLE PRODUÇÃO POR EMPRESAS'!$A$6:$A$1000,"&gt;="&amp;$B34,'CONTROLE PRODUÇÃO POR EMPRESAS'!$A$6:$A$1000,"&lt;="&amp;$C34)),IF($E34="IÇAMENTO JOIST",IF((COUNTIFS('CONTROLE PRODUÇÃO POR EMPRESAS'!$A$6:$A$1000,"&gt;="&amp;$B34,'CONTROLE PRODUÇÃO POR EMPRESAS'!$A$6:$A$1000,"&lt;="&amp;$C34,'CONTROLE PRODUÇÃO POR EMPRESAS'!$F$6:$F$1000,"&gt;=0")+COUNTIFS('CONTROLE PRODUÇÃO POR EMPRESAS'!$A$6:$A$1000,"&gt;="&amp;$B34,'CONTROLE PRODUÇÃO POR EMPRESAS'!$A$6:$A$1000,"&lt;="&amp;$C34,'CONTROLE PRODUÇÃO POR EMPRESAS'!$F$6:$F$1000,"?*"))=0,"",SUMIFS('CONTROLE PRODUÇÃO POR EMPRESAS'!$F$6:$F$1000,'CONTROLE PRODUÇÃO POR EMPRESAS'!$A$6:$A$1000,"&gt;="&amp;$B34,'CONTROLE PRODUÇÃO POR EMPRESAS'!$A$6:$A$1000,"&lt;="&amp;$C34)),IF($E34="VIGAS",IF((COUNTIFS('CONTROLE PRODUÇÃO POR EMPRESAS'!$A$6:$A$1000,"&gt;="&amp;$B34,'CONTROLE PRODUÇÃO POR EMPRESAS'!$A$6:$A$1000,"&lt;="&amp;$C34,'CONTROLE PRODUÇÃO POR EMPRESAS'!$G$6:$G$1000,"&gt;=0")+COUNTIFS('CONTROLE PRODUÇÃO POR EMPRESAS'!$A$6:$A$1000,"&gt;="&amp;$B34,'CONTROLE PRODUÇÃO POR EMPRESAS'!$A$6:$A$1000,"&lt;="&amp;$C34,'CONTROLE PRODUÇÃO POR EMPRESAS'!$G$6:$G$1000,"?*"))=0,"",SUMIFS('CONTROLE PRODUÇÃO POR EMPRESAS'!$G$6:$G$1000,'CONTROLE PRODUÇÃO POR EMPRESAS'!$A$6:$A$1000,"&gt;="&amp;$B34,'CONTROLE PRODUÇÃO POR EMPRESAS'!$A$6:$A$1000,"&lt;="&amp;$C34)),""))),"")))</f>
        <v/>
      </c>
      <c r="M34" s="298">
        <f>IF(L34="","",MAX(J34-L34,0))</f>
        <v/>
      </c>
      <c r="N34" s="298">
        <f>IF(L34="","",MAX(L34-J34,0))</f>
        <v/>
      </c>
      <c r="O34" s="299">
        <f>IF(L34="","",IFERROR(L34/J34,""))</f>
        <v/>
      </c>
      <c r="P34" s="298">
        <f>IF(H34="","",SUMIFS($H$6:H34,$D$6:D34,D34,$E$6:E34,E34))</f>
        <v/>
      </c>
      <c r="Q34" s="298">
        <f>IF(L34="","",SUMIFS($L$6:L34,$D$6:D34,D34,$E$6:E34,E34))</f>
        <v/>
      </c>
      <c r="R34" s="298">
        <f>IF(Q34="","",MAX(P34-Q34,0))</f>
        <v/>
      </c>
      <c r="S34" s="108">
        <f>IF(O34="","",IF(O34&gt;=1,"VERDE",IF(O34&gt;=0.9,"AMARELO","VERMELHO")))</f>
        <v/>
      </c>
      <c r="T34" s="109" t="n"/>
      <c r="U34" s="109" t="n"/>
      <c r="V34" s="110" t="n"/>
      <c r="W34" s="302" t="n"/>
    </row>
    <row r="35" ht="15.75" customHeight="1">
      <c r="A35" s="117" t="n">
        <v>5</v>
      </c>
      <c r="B35" s="295" t="n">
        <v>46286</v>
      </c>
      <c r="C35" s="295" t="n">
        <v>46290</v>
      </c>
      <c r="D35" s="101" t="inlineStr">
        <is>
          <t>EJ</t>
        </is>
      </c>
      <c r="E35" s="103" t="inlineStr">
        <is>
          <t>VIGAS</t>
        </is>
      </c>
      <c r="F35" s="296">
        <f>IF(OR(D35="",E35=""),"",IF(COUNTIFS('METAS EMPRESAS'!$A$5:$A$10,D35,'METAS EMPRESAS'!$B$5:$B$10,E35)=0,"",SUMIFS('METAS EMPRESAS'!$C$5:$C$10,'METAS EMPRESAS'!$A$5:$A$10,D35,'METAS EMPRESAS'!$B$5:$B$10,E35)))</f>
        <v/>
      </c>
      <c r="G35" s="297" t="n">
        <v>5</v>
      </c>
      <c r="H35" s="298">
        <f>IF(F35="","",F35*G35)</f>
        <v/>
      </c>
      <c r="I35" s="298">
        <f>IF(M29="",0,M29)</f>
        <v/>
      </c>
      <c r="J35" s="298">
        <f>IF(H35="","",H35+I35)</f>
        <v/>
      </c>
      <c r="K35" s="298">
        <f>IF(J35="","",J35/G35)</f>
        <v/>
      </c>
      <c r="L35" s="297">
        <f>IF(OR($B35="",$C35="",$D35="",$E35=""),"",IF($D35="EJ",IF($E35="PREMONTAGEM",IF((COUNTIFS('CONTROLE PRODUÇÃO POR EMPRESAS'!$A$6:$A$1000,"&gt;="&amp;$B35,'CONTROLE PRODUÇÃO POR EMPRESAS'!$A$6:$A$1000,"&lt;="&amp;$C35,'CONTROLE PRODUÇÃO POR EMPRESAS'!$B$6:$B$1000,"&gt;=0")+COUNTIFS('CONTROLE PRODUÇÃO POR EMPRESAS'!$A$6:$A$1000,"&gt;="&amp;$B35,'CONTROLE PRODUÇÃO POR EMPRESAS'!$A$6:$A$1000,"&lt;="&amp;$C35,'CONTROLE PRODUÇÃO POR EMPRESAS'!$B$6:$B$1000,"?*"))=0,"",SUMIFS('CONTROLE PRODUÇÃO POR EMPRESAS'!$B$6:$B$1000,'CONTROLE PRODUÇÃO POR EMPRESAS'!$A$6:$A$1000,"&gt;="&amp;$B35,'CONTROLE PRODUÇÃO POR EMPRESAS'!$A$6:$A$1000,"&lt;="&amp;$C35)),IF($E35="IÇAMENTO JOIST",IF((COUNTIFS('CONTROLE PRODUÇÃO POR EMPRESAS'!$A$6:$A$1000,"&gt;="&amp;$B35,'CONTROLE PRODUÇÃO POR EMPRESAS'!$A$6:$A$1000,"&lt;="&amp;$C35,'CONTROLE PRODUÇÃO POR EMPRESAS'!$C$6:$C$1000,"&gt;=0")+COUNTIFS('CONTROLE PRODUÇÃO POR EMPRESAS'!$A$6:$A$1000,"&gt;="&amp;$B35,'CONTROLE PRODUÇÃO POR EMPRESAS'!$A$6:$A$1000,"&lt;="&amp;$C35,'CONTROLE PRODUÇÃO POR EMPRESAS'!$C$6:$C$1000,"?*"))=0,"",SUMIFS('CONTROLE PRODUÇÃO POR EMPRESAS'!$C$6:$C$1000,'CONTROLE PRODUÇÃO POR EMPRESAS'!$A$6:$A$1000,"&gt;="&amp;$B35,'CONTROLE PRODUÇÃO POR EMPRESAS'!$A$6:$A$1000,"&lt;="&amp;$C35)),IF($E35="VIGAS",IF((COUNTIFS('CONTROLE PRODUÇÃO POR EMPRESAS'!$A$6:$A$1000,"&gt;="&amp;$B35,'CONTROLE PRODUÇÃO POR EMPRESAS'!$A$6:$A$1000,"&lt;="&amp;$C35,'CONTROLE PRODUÇÃO POR EMPRESAS'!$D$6:$D$1000,"&gt;=0")+COUNTIFS('CONTROLE PRODUÇÃO POR EMPRESAS'!$A$6:$A$1000,"&gt;="&amp;$B35,'CONTROLE PRODUÇÃO POR EMPRESAS'!$A$6:$A$1000,"&lt;="&amp;$C35,'CONTROLE PRODUÇÃO POR EMPRESAS'!$D$6:$D$1000,"?*"))=0,"",SUMIFS('CONTROLE PRODUÇÃO POR EMPRESAS'!$D$6:$D$1000,'CONTROLE PRODUÇÃO POR EMPRESAS'!$A$6:$A$1000,"&gt;="&amp;$B35,'CONTROLE PRODUÇÃO POR EMPRESAS'!$A$6:$A$1000,"&lt;="&amp;$C35)),""))),IF($D35="CMM",IF($E35="PREMONTAGEM",IF((COUNTIFS('CONTROLE PRODUÇÃO POR EMPRESAS'!$A$6:$A$1000,"&gt;="&amp;$B35,'CONTROLE PRODUÇÃO POR EMPRESAS'!$A$6:$A$1000,"&lt;="&amp;$C35,'CONTROLE PRODUÇÃO POR EMPRESAS'!$E$6:$E$1000,"&gt;=0")+COUNTIFS('CONTROLE PRODUÇÃO POR EMPRESAS'!$A$6:$A$1000,"&gt;="&amp;$B35,'CONTROLE PRODUÇÃO POR EMPRESAS'!$A$6:$A$1000,"&lt;="&amp;$C35,'CONTROLE PRODUÇÃO POR EMPRESAS'!$E$6:$E$1000,"?*"))=0,"",SUMIFS('CONTROLE PRODUÇÃO POR EMPRESAS'!$E$6:$E$1000,'CONTROLE PRODUÇÃO POR EMPRESAS'!$A$6:$A$1000,"&gt;="&amp;$B35,'CONTROLE PRODUÇÃO POR EMPRESAS'!$A$6:$A$1000,"&lt;="&amp;$C35)),IF($E35="IÇAMENTO JOIST",IF((COUNTIFS('CONTROLE PRODUÇÃO POR EMPRESAS'!$A$6:$A$1000,"&gt;="&amp;$B35,'CONTROLE PRODUÇÃO POR EMPRESAS'!$A$6:$A$1000,"&lt;="&amp;$C35,'CONTROLE PRODUÇÃO POR EMPRESAS'!$F$6:$F$1000,"&gt;=0")+COUNTIFS('CONTROLE PRODUÇÃO POR EMPRESAS'!$A$6:$A$1000,"&gt;="&amp;$B35,'CONTROLE PRODUÇÃO POR EMPRESAS'!$A$6:$A$1000,"&lt;="&amp;$C35,'CONTROLE PRODUÇÃO POR EMPRESAS'!$F$6:$F$1000,"?*"))=0,"",SUMIFS('CONTROLE PRODUÇÃO POR EMPRESAS'!$F$6:$F$1000,'CONTROLE PRODUÇÃO POR EMPRESAS'!$A$6:$A$1000,"&gt;="&amp;$B35,'CONTROLE PRODUÇÃO POR EMPRESAS'!$A$6:$A$1000,"&lt;="&amp;$C35)),IF($E35="VIGAS",IF((COUNTIFS('CONTROLE PRODUÇÃO POR EMPRESAS'!$A$6:$A$1000,"&gt;="&amp;$B35,'CONTROLE PRODUÇÃO POR EMPRESAS'!$A$6:$A$1000,"&lt;="&amp;$C35,'CONTROLE PRODUÇÃO POR EMPRESAS'!$G$6:$G$1000,"&gt;=0")+COUNTIFS('CONTROLE PRODUÇÃO POR EMPRESAS'!$A$6:$A$1000,"&gt;="&amp;$B35,'CONTROLE PRODUÇÃO POR EMPRESAS'!$A$6:$A$1000,"&lt;="&amp;$C35,'CONTROLE PRODUÇÃO POR EMPRESAS'!$G$6:$G$1000,"?*"))=0,"",SUMIFS('CONTROLE PRODUÇÃO POR EMPRESAS'!$G$6:$G$1000,'CONTROLE PRODUÇÃO POR EMPRESAS'!$A$6:$A$1000,"&gt;="&amp;$B35,'CONTROLE PRODUÇÃO POR EMPRESAS'!$A$6:$A$1000,"&lt;="&amp;$C35)),""))),"")))</f>
        <v/>
      </c>
      <c r="M35" s="298">
        <f>IF(L35="","",MAX(J35-L35,0))</f>
        <v/>
      </c>
      <c r="N35" s="298">
        <f>IF(L35="","",MAX(L35-J35,0))</f>
        <v/>
      </c>
      <c r="O35" s="299">
        <f>IF(L35="","",IFERROR(L35/J35,""))</f>
        <v/>
      </c>
      <c r="P35" s="298">
        <f>IF(H35="","",SUMIFS($H$6:H35,$D$6:D35,D35,$E$6:E35,E35))</f>
        <v/>
      </c>
      <c r="Q35" s="298">
        <f>IF(L35="","",SUMIFS($L$6:L35,$D$6:D35,D35,$E$6:E35,E35))</f>
        <v/>
      </c>
      <c r="R35" s="298">
        <f>IF(Q35="","",MAX(P35-Q35,0))</f>
        <v/>
      </c>
      <c r="S35" s="108">
        <f>IF(O35="","",IF(O35&gt;=1,"VERDE",IF(O35&gt;=0.9,"AMARELO","VERMELHO")))</f>
        <v/>
      </c>
      <c r="T35" s="109" t="n"/>
      <c r="U35" s="109" t="n"/>
      <c r="V35" s="110" t="n"/>
      <c r="W35" s="302" t="n"/>
    </row>
    <row r="36" ht="15.75" customHeight="1">
      <c r="A36" s="112" t="n">
        <v>6</v>
      </c>
      <c r="B36" s="301" t="n">
        <v>46293</v>
      </c>
      <c r="C36" s="301" t="n">
        <v>46297</v>
      </c>
      <c r="D36" s="114" t="inlineStr">
        <is>
          <t>CMM</t>
        </is>
      </c>
      <c r="E36" s="115" t="inlineStr">
        <is>
          <t>PREMONTAGEM</t>
        </is>
      </c>
      <c r="F36" s="296">
        <f>IF(OR(D36="",E36=""),"",IF(COUNTIFS('METAS EMPRESAS'!$A$5:$A$10,D36,'METAS EMPRESAS'!$B$5:$B$10,E36)=0,"",SUMIFS('METAS EMPRESAS'!$C$5:$C$10,'METAS EMPRESAS'!$A$5:$A$10,D36,'METAS EMPRESAS'!$B$5:$B$10,E36)))</f>
        <v/>
      </c>
      <c r="G36" s="297" t="n">
        <v>5</v>
      </c>
      <c r="H36" s="298">
        <f>IF(F36="","",F36*G36)</f>
        <v/>
      </c>
      <c r="I36" s="298">
        <f>IF(M30="",0,M30)</f>
        <v/>
      </c>
      <c r="J36" s="298">
        <f>IF(H36="","",H36+I36)</f>
        <v/>
      </c>
      <c r="K36" s="298">
        <f>IF(J36="","",J36/G36)</f>
        <v/>
      </c>
      <c r="L36" s="297">
        <f>IF(OR($B36="",$C36="",$D36="",$E36=""),"",IF($D36="EJ",IF($E36="PREMONTAGEM",IF((COUNTIFS('CONTROLE PRODUÇÃO POR EMPRESAS'!$A$6:$A$1000,"&gt;="&amp;$B36,'CONTROLE PRODUÇÃO POR EMPRESAS'!$A$6:$A$1000,"&lt;="&amp;$C36,'CONTROLE PRODUÇÃO POR EMPRESAS'!$B$6:$B$1000,"&gt;=0")+COUNTIFS('CONTROLE PRODUÇÃO POR EMPRESAS'!$A$6:$A$1000,"&gt;="&amp;$B36,'CONTROLE PRODUÇÃO POR EMPRESAS'!$A$6:$A$1000,"&lt;="&amp;$C36,'CONTROLE PRODUÇÃO POR EMPRESAS'!$B$6:$B$1000,"?*"))=0,"",SUMIFS('CONTROLE PRODUÇÃO POR EMPRESAS'!$B$6:$B$1000,'CONTROLE PRODUÇÃO POR EMPRESAS'!$A$6:$A$1000,"&gt;="&amp;$B36,'CONTROLE PRODUÇÃO POR EMPRESAS'!$A$6:$A$1000,"&lt;="&amp;$C36)),IF($E36="IÇAMENTO JOIST",IF((COUNTIFS('CONTROLE PRODUÇÃO POR EMPRESAS'!$A$6:$A$1000,"&gt;="&amp;$B36,'CONTROLE PRODUÇÃO POR EMPRESAS'!$A$6:$A$1000,"&lt;="&amp;$C36,'CONTROLE PRODUÇÃO POR EMPRESAS'!$C$6:$C$1000,"&gt;=0")+COUNTIFS('CONTROLE PRODUÇÃO POR EMPRESAS'!$A$6:$A$1000,"&gt;="&amp;$B36,'CONTROLE PRODUÇÃO POR EMPRESAS'!$A$6:$A$1000,"&lt;="&amp;$C36,'CONTROLE PRODUÇÃO POR EMPRESAS'!$C$6:$C$1000,"?*"))=0,"",SUMIFS('CONTROLE PRODUÇÃO POR EMPRESAS'!$C$6:$C$1000,'CONTROLE PRODUÇÃO POR EMPRESAS'!$A$6:$A$1000,"&gt;="&amp;$B36,'CONTROLE PRODUÇÃO POR EMPRESAS'!$A$6:$A$1000,"&lt;="&amp;$C36)),IF($E36="VIGAS",IF((COUNTIFS('CONTROLE PRODUÇÃO POR EMPRESAS'!$A$6:$A$1000,"&gt;="&amp;$B36,'CONTROLE PRODUÇÃO POR EMPRESAS'!$A$6:$A$1000,"&lt;="&amp;$C36,'CONTROLE PRODUÇÃO POR EMPRESAS'!$D$6:$D$1000,"&gt;=0")+COUNTIFS('CONTROLE PRODUÇÃO POR EMPRESAS'!$A$6:$A$1000,"&gt;="&amp;$B36,'CONTROLE PRODUÇÃO POR EMPRESAS'!$A$6:$A$1000,"&lt;="&amp;$C36,'CONTROLE PRODUÇÃO POR EMPRESAS'!$D$6:$D$1000,"?*"))=0,"",SUMIFS('CONTROLE PRODUÇÃO POR EMPRESAS'!$D$6:$D$1000,'CONTROLE PRODUÇÃO POR EMPRESAS'!$A$6:$A$1000,"&gt;="&amp;$B36,'CONTROLE PRODUÇÃO POR EMPRESAS'!$A$6:$A$1000,"&lt;="&amp;$C36)),""))),IF($D36="CMM",IF($E36="PREMONTAGEM",IF((COUNTIFS('CONTROLE PRODUÇÃO POR EMPRESAS'!$A$6:$A$1000,"&gt;="&amp;$B36,'CONTROLE PRODUÇÃO POR EMPRESAS'!$A$6:$A$1000,"&lt;="&amp;$C36,'CONTROLE PRODUÇÃO POR EMPRESAS'!$E$6:$E$1000,"&gt;=0")+COUNTIFS('CONTROLE PRODUÇÃO POR EMPRESAS'!$A$6:$A$1000,"&gt;="&amp;$B36,'CONTROLE PRODUÇÃO POR EMPRESAS'!$A$6:$A$1000,"&lt;="&amp;$C36,'CONTROLE PRODUÇÃO POR EMPRESAS'!$E$6:$E$1000,"?*"))=0,"",SUMIFS('CONTROLE PRODUÇÃO POR EMPRESAS'!$E$6:$E$1000,'CONTROLE PRODUÇÃO POR EMPRESAS'!$A$6:$A$1000,"&gt;="&amp;$B36,'CONTROLE PRODUÇÃO POR EMPRESAS'!$A$6:$A$1000,"&lt;="&amp;$C36)),IF($E36="IÇAMENTO JOIST",IF((COUNTIFS('CONTROLE PRODUÇÃO POR EMPRESAS'!$A$6:$A$1000,"&gt;="&amp;$B36,'CONTROLE PRODUÇÃO POR EMPRESAS'!$A$6:$A$1000,"&lt;="&amp;$C36,'CONTROLE PRODUÇÃO POR EMPRESAS'!$F$6:$F$1000,"&gt;=0")+COUNTIFS('CONTROLE PRODUÇÃO POR EMPRESAS'!$A$6:$A$1000,"&gt;="&amp;$B36,'CONTROLE PRODUÇÃO POR EMPRESAS'!$A$6:$A$1000,"&lt;="&amp;$C36,'CONTROLE PRODUÇÃO POR EMPRESAS'!$F$6:$F$1000,"?*"))=0,"",SUMIFS('CONTROLE PRODUÇÃO POR EMPRESAS'!$F$6:$F$1000,'CONTROLE PRODUÇÃO POR EMPRESAS'!$A$6:$A$1000,"&gt;="&amp;$B36,'CONTROLE PRODUÇÃO POR EMPRESAS'!$A$6:$A$1000,"&lt;="&amp;$C36)),IF($E36="VIGAS",IF((COUNTIFS('CONTROLE PRODUÇÃO POR EMPRESAS'!$A$6:$A$1000,"&gt;="&amp;$B36,'CONTROLE PRODUÇÃO POR EMPRESAS'!$A$6:$A$1000,"&lt;="&amp;$C36,'CONTROLE PRODUÇÃO POR EMPRESAS'!$G$6:$G$1000,"&gt;=0")+COUNTIFS('CONTROLE PRODUÇÃO POR EMPRESAS'!$A$6:$A$1000,"&gt;="&amp;$B36,'CONTROLE PRODUÇÃO POR EMPRESAS'!$A$6:$A$1000,"&lt;="&amp;$C36,'CONTROLE PRODUÇÃO POR EMPRESAS'!$G$6:$G$1000,"?*"))=0,"",SUMIFS('CONTROLE PRODUÇÃO POR EMPRESAS'!$G$6:$G$1000,'CONTROLE PRODUÇÃO POR EMPRESAS'!$A$6:$A$1000,"&gt;="&amp;$B36,'CONTROLE PRODUÇÃO POR EMPRESAS'!$A$6:$A$1000,"&lt;="&amp;$C36)),""))),"")))</f>
        <v/>
      </c>
      <c r="M36" s="298">
        <f>IF(L36="","",MAX(J36-L36,0))</f>
        <v/>
      </c>
      <c r="N36" s="298">
        <f>IF(L36="","",MAX(L36-J36,0))</f>
        <v/>
      </c>
      <c r="O36" s="299">
        <f>IF(L36="","",IFERROR(L36/J36,""))</f>
        <v/>
      </c>
      <c r="P36" s="298">
        <f>IF(H36="","",SUMIFS($H$6:H36,$D$6:D36,D36,$E$6:E36,E36))</f>
        <v/>
      </c>
      <c r="Q36" s="298">
        <f>IF(L36="","",SUMIFS($L$6:L36,$D$6:D36,D36,$E$6:E36,E36))</f>
        <v/>
      </c>
      <c r="R36" s="298">
        <f>IF(Q36="","",MAX(P36-Q36,0))</f>
        <v/>
      </c>
      <c r="S36" s="108">
        <f>IF(O36="","",IF(O36&gt;=1,"VERDE",IF(O36&gt;=0.9,"AMARELO","VERMELHO")))</f>
        <v/>
      </c>
      <c r="T36" s="109" t="n"/>
      <c r="U36" s="109" t="n"/>
      <c r="V36" s="110" t="n"/>
      <c r="W36" s="302" t="n"/>
    </row>
    <row r="37" ht="15.75" customHeight="1">
      <c r="A37" s="117" t="n">
        <v>6</v>
      </c>
      <c r="B37" s="295" t="n">
        <v>46293</v>
      </c>
      <c r="C37" s="295" t="n">
        <v>46297</v>
      </c>
      <c r="D37" s="101" t="inlineStr">
        <is>
          <t>CMM</t>
        </is>
      </c>
      <c r="E37" s="103" t="inlineStr">
        <is>
          <t>IÇAMENTO JOIST</t>
        </is>
      </c>
      <c r="F37" s="296">
        <f>IF(OR(D37="",E37=""),"",IF(COUNTIFS('METAS EMPRESAS'!$A$5:$A$10,D37,'METAS EMPRESAS'!$B$5:$B$10,E37)=0,"",SUMIFS('METAS EMPRESAS'!$C$5:$C$10,'METAS EMPRESAS'!$A$5:$A$10,D37,'METAS EMPRESAS'!$B$5:$B$10,E37)))</f>
        <v/>
      </c>
      <c r="G37" s="297" t="n">
        <v>5</v>
      </c>
      <c r="H37" s="298">
        <f>IF(F37="","",F37*G37)</f>
        <v/>
      </c>
      <c r="I37" s="298">
        <f>IF(M31="",0,M31)</f>
        <v/>
      </c>
      <c r="J37" s="298">
        <f>IF(H37="","",H37+I37)</f>
        <v/>
      </c>
      <c r="K37" s="298">
        <f>IF(J37="","",J37/G37)</f>
        <v/>
      </c>
      <c r="L37" s="297">
        <f>IF(OR($B37="",$C37="",$D37="",$E37=""),"",IF($D37="EJ",IF($E37="PREMONTAGEM",IF((COUNTIFS('CONTROLE PRODUÇÃO POR EMPRESAS'!$A$6:$A$1000,"&gt;="&amp;$B37,'CONTROLE PRODUÇÃO POR EMPRESAS'!$A$6:$A$1000,"&lt;="&amp;$C37,'CONTROLE PRODUÇÃO POR EMPRESAS'!$B$6:$B$1000,"&gt;=0")+COUNTIFS('CONTROLE PRODUÇÃO POR EMPRESAS'!$A$6:$A$1000,"&gt;="&amp;$B37,'CONTROLE PRODUÇÃO POR EMPRESAS'!$A$6:$A$1000,"&lt;="&amp;$C37,'CONTROLE PRODUÇÃO POR EMPRESAS'!$B$6:$B$1000,"?*"))=0,"",SUMIFS('CONTROLE PRODUÇÃO POR EMPRESAS'!$B$6:$B$1000,'CONTROLE PRODUÇÃO POR EMPRESAS'!$A$6:$A$1000,"&gt;="&amp;$B37,'CONTROLE PRODUÇÃO POR EMPRESAS'!$A$6:$A$1000,"&lt;="&amp;$C37)),IF($E37="IÇAMENTO JOIST",IF((COUNTIFS('CONTROLE PRODUÇÃO POR EMPRESAS'!$A$6:$A$1000,"&gt;="&amp;$B37,'CONTROLE PRODUÇÃO POR EMPRESAS'!$A$6:$A$1000,"&lt;="&amp;$C37,'CONTROLE PRODUÇÃO POR EMPRESAS'!$C$6:$C$1000,"&gt;=0")+COUNTIFS('CONTROLE PRODUÇÃO POR EMPRESAS'!$A$6:$A$1000,"&gt;="&amp;$B37,'CONTROLE PRODUÇÃO POR EMPRESAS'!$A$6:$A$1000,"&lt;="&amp;$C37,'CONTROLE PRODUÇÃO POR EMPRESAS'!$C$6:$C$1000,"?*"))=0,"",SUMIFS('CONTROLE PRODUÇÃO POR EMPRESAS'!$C$6:$C$1000,'CONTROLE PRODUÇÃO POR EMPRESAS'!$A$6:$A$1000,"&gt;="&amp;$B37,'CONTROLE PRODUÇÃO POR EMPRESAS'!$A$6:$A$1000,"&lt;="&amp;$C37)),IF($E37="VIGAS",IF((COUNTIFS('CONTROLE PRODUÇÃO POR EMPRESAS'!$A$6:$A$1000,"&gt;="&amp;$B37,'CONTROLE PRODUÇÃO POR EMPRESAS'!$A$6:$A$1000,"&lt;="&amp;$C37,'CONTROLE PRODUÇÃO POR EMPRESAS'!$D$6:$D$1000,"&gt;=0")+COUNTIFS('CONTROLE PRODUÇÃO POR EMPRESAS'!$A$6:$A$1000,"&gt;="&amp;$B37,'CONTROLE PRODUÇÃO POR EMPRESAS'!$A$6:$A$1000,"&lt;="&amp;$C37,'CONTROLE PRODUÇÃO POR EMPRESAS'!$D$6:$D$1000,"?*"))=0,"",SUMIFS('CONTROLE PRODUÇÃO POR EMPRESAS'!$D$6:$D$1000,'CONTROLE PRODUÇÃO POR EMPRESAS'!$A$6:$A$1000,"&gt;="&amp;$B37,'CONTROLE PRODUÇÃO POR EMPRESAS'!$A$6:$A$1000,"&lt;="&amp;$C37)),""))),IF($D37="CMM",IF($E37="PREMONTAGEM",IF((COUNTIFS('CONTROLE PRODUÇÃO POR EMPRESAS'!$A$6:$A$1000,"&gt;="&amp;$B37,'CONTROLE PRODUÇÃO POR EMPRESAS'!$A$6:$A$1000,"&lt;="&amp;$C37,'CONTROLE PRODUÇÃO POR EMPRESAS'!$E$6:$E$1000,"&gt;=0")+COUNTIFS('CONTROLE PRODUÇÃO POR EMPRESAS'!$A$6:$A$1000,"&gt;="&amp;$B37,'CONTROLE PRODUÇÃO POR EMPRESAS'!$A$6:$A$1000,"&lt;="&amp;$C37,'CONTROLE PRODUÇÃO POR EMPRESAS'!$E$6:$E$1000,"?*"))=0,"",SUMIFS('CONTROLE PRODUÇÃO POR EMPRESAS'!$E$6:$E$1000,'CONTROLE PRODUÇÃO POR EMPRESAS'!$A$6:$A$1000,"&gt;="&amp;$B37,'CONTROLE PRODUÇÃO POR EMPRESAS'!$A$6:$A$1000,"&lt;="&amp;$C37)),IF($E37="IÇAMENTO JOIST",IF((COUNTIFS('CONTROLE PRODUÇÃO POR EMPRESAS'!$A$6:$A$1000,"&gt;="&amp;$B37,'CONTROLE PRODUÇÃO POR EMPRESAS'!$A$6:$A$1000,"&lt;="&amp;$C37,'CONTROLE PRODUÇÃO POR EMPRESAS'!$F$6:$F$1000,"&gt;=0")+COUNTIFS('CONTROLE PRODUÇÃO POR EMPRESAS'!$A$6:$A$1000,"&gt;="&amp;$B37,'CONTROLE PRODUÇÃO POR EMPRESAS'!$A$6:$A$1000,"&lt;="&amp;$C37,'CONTROLE PRODUÇÃO POR EMPRESAS'!$F$6:$F$1000,"?*"))=0,"",SUMIFS('CONTROLE PRODUÇÃO POR EMPRESAS'!$F$6:$F$1000,'CONTROLE PRODUÇÃO POR EMPRESAS'!$A$6:$A$1000,"&gt;="&amp;$B37,'CONTROLE PRODUÇÃO POR EMPRESAS'!$A$6:$A$1000,"&lt;="&amp;$C37)),IF($E37="VIGAS",IF((COUNTIFS('CONTROLE PRODUÇÃO POR EMPRESAS'!$A$6:$A$1000,"&gt;="&amp;$B37,'CONTROLE PRODUÇÃO POR EMPRESAS'!$A$6:$A$1000,"&lt;="&amp;$C37,'CONTROLE PRODUÇÃO POR EMPRESAS'!$G$6:$G$1000,"&gt;=0")+COUNTIFS('CONTROLE PRODUÇÃO POR EMPRESAS'!$A$6:$A$1000,"&gt;="&amp;$B37,'CONTROLE PRODUÇÃO POR EMPRESAS'!$A$6:$A$1000,"&lt;="&amp;$C37,'CONTROLE PRODUÇÃO POR EMPRESAS'!$G$6:$G$1000,"?*"))=0,"",SUMIFS('CONTROLE PRODUÇÃO POR EMPRESAS'!$G$6:$G$1000,'CONTROLE PRODUÇÃO POR EMPRESAS'!$A$6:$A$1000,"&gt;="&amp;$B37,'CONTROLE PRODUÇÃO POR EMPRESAS'!$A$6:$A$1000,"&lt;="&amp;$C37)),""))),"")))</f>
        <v/>
      </c>
      <c r="M37" s="298">
        <f>IF(L37="","",MAX(J37-L37,0))</f>
        <v/>
      </c>
      <c r="N37" s="298">
        <f>IF(L37="","",MAX(L37-J37,0))</f>
        <v/>
      </c>
      <c r="O37" s="299">
        <f>IF(L37="","",IFERROR(L37/J37,""))</f>
        <v/>
      </c>
      <c r="P37" s="298">
        <f>IF(H37="","",SUMIFS($H$6:H37,$D$6:D37,D37,$E$6:E37,E37))</f>
        <v/>
      </c>
      <c r="Q37" s="298">
        <f>IF(L37="","",SUMIFS($L$6:L37,$D$6:D37,D37,$E$6:E37,E37))</f>
        <v/>
      </c>
      <c r="R37" s="298">
        <f>IF(Q37="","",MAX(P37-Q37,0))</f>
        <v/>
      </c>
      <c r="S37" s="108">
        <f>IF(O37="","",IF(O37&gt;=1,"VERDE",IF(O37&gt;=0.9,"AMARELO","VERMELHO")))</f>
        <v/>
      </c>
      <c r="T37" s="109" t="n"/>
      <c r="U37" s="109" t="n"/>
      <c r="V37" s="110" t="n"/>
      <c r="W37" s="302" t="n"/>
    </row>
    <row r="38" ht="15.75" customHeight="1">
      <c r="A38" s="112" t="n">
        <v>6</v>
      </c>
      <c r="B38" s="301" t="n">
        <v>46293</v>
      </c>
      <c r="C38" s="301" t="n">
        <v>46297</v>
      </c>
      <c r="D38" s="114" t="inlineStr">
        <is>
          <t>CMM</t>
        </is>
      </c>
      <c r="E38" s="115" t="inlineStr">
        <is>
          <t>VIGAS</t>
        </is>
      </c>
      <c r="F38" s="296">
        <f>IF(OR(D38="",E38=""),"",IF(COUNTIFS('METAS EMPRESAS'!$A$5:$A$10,D38,'METAS EMPRESAS'!$B$5:$B$10,E38)=0,"",SUMIFS('METAS EMPRESAS'!$C$5:$C$10,'METAS EMPRESAS'!$A$5:$A$10,D38,'METAS EMPRESAS'!$B$5:$B$10,E38)))</f>
        <v/>
      </c>
      <c r="G38" s="297" t="n">
        <v>5</v>
      </c>
      <c r="H38" s="298">
        <f>IF(F38="","",F38*G38)</f>
        <v/>
      </c>
      <c r="I38" s="298">
        <f>IF(M32="",0,M32)</f>
        <v/>
      </c>
      <c r="J38" s="298">
        <f>IF(H38="","",H38+I38)</f>
        <v/>
      </c>
      <c r="K38" s="298">
        <f>IF(J38="","",J38/G38)</f>
        <v/>
      </c>
      <c r="L38" s="297">
        <f>IF(OR($B38="",$C38="",$D38="",$E38=""),"",IF($D38="EJ",IF($E38="PREMONTAGEM",IF((COUNTIFS('CONTROLE PRODUÇÃO POR EMPRESAS'!$A$6:$A$1000,"&gt;="&amp;$B38,'CONTROLE PRODUÇÃO POR EMPRESAS'!$A$6:$A$1000,"&lt;="&amp;$C38,'CONTROLE PRODUÇÃO POR EMPRESAS'!$B$6:$B$1000,"&gt;=0")+COUNTIFS('CONTROLE PRODUÇÃO POR EMPRESAS'!$A$6:$A$1000,"&gt;="&amp;$B38,'CONTROLE PRODUÇÃO POR EMPRESAS'!$A$6:$A$1000,"&lt;="&amp;$C38,'CONTROLE PRODUÇÃO POR EMPRESAS'!$B$6:$B$1000,"?*"))=0,"",SUMIFS('CONTROLE PRODUÇÃO POR EMPRESAS'!$B$6:$B$1000,'CONTROLE PRODUÇÃO POR EMPRESAS'!$A$6:$A$1000,"&gt;="&amp;$B38,'CONTROLE PRODUÇÃO POR EMPRESAS'!$A$6:$A$1000,"&lt;="&amp;$C38)),IF($E38="IÇAMENTO JOIST",IF((COUNTIFS('CONTROLE PRODUÇÃO POR EMPRESAS'!$A$6:$A$1000,"&gt;="&amp;$B38,'CONTROLE PRODUÇÃO POR EMPRESAS'!$A$6:$A$1000,"&lt;="&amp;$C38,'CONTROLE PRODUÇÃO POR EMPRESAS'!$C$6:$C$1000,"&gt;=0")+COUNTIFS('CONTROLE PRODUÇÃO POR EMPRESAS'!$A$6:$A$1000,"&gt;="&amp;$B38,'CONTROLE PRODUÇÃO POR EMPRESAS'!$A$6:$A$1000,"&lt;="&amp;$C38,'CONTROLE PRODUÇÃO POR EMPRESAS'!$C$6:$C$1000,"?*"))=0,"",SUMIFS('CONTROLE PRODUÇÃO POR EMPRESAS'!$C$6:$C$1000,'CONTROLE PRODUÇÃO POR EMPRESAS'!$A$6:$A$1000,"&gt;="&amp;$B38,'CONTROLE PRODUÇÃO POR EMPRESAS'!$A$6:$A$1000,"&lt;="&amp;$C38)),IF($E38="VIGAS",IF((COUNTIFS('CONTROLE PRODUÇÃO POR EMPRESAS'!$A$6:$A$1000,"&gt;="&amp;$B38,'CONTROLE PRODUÇÃO POR EMPRESAS'!$A$6:$A$1000,"&lt;="&amp;$C38,'CONTROLE PRODUÇÃO POR EMPRESAS'!$D$6:$D$1000,"&gt;=0")+COUNTIFS('CONTROLE PRODUÇÃO POR EMPRESAS'!$A$6:$A$1000,"&gt;="&amp;$B38,'CONTROLE PRODUÇÃO POR EMPRESAS'!$A$6:$A$1000,"&lt;="&amp;$C38,'CONTROLE PRODUÇÃO POR EMPRESAS'!$D$6:$D$1000,"?*"))=0,"",SUMIFS('CONTROLE PRODUÇÃO POR EMPRESAS'!$D$6:$D$1000,'CONTROLE PRODUÇÃO POR EMPRESAS'!$A$6:$A$1000,"&gt;="&amp;$B38,'CONTROLE PRODUÇÃO POR EMPRESAS'!$A$6:$A$1000,"&lt;="&amp;$C38)),""))),IF($D38="CMM",IF($E38="PREMONTAGEM",IF((COUNTIFS('CONTROLE PRODUÇÃO POR EMPRESAS'!$A$6:$A$1000,"&gt;="&amp;$B38,'CONTROLE PRODUÇÃO POR EMPRESAS'!$A$6:$A$1000,"&lt;="&amp;$C38,'CONTROLE PRODUÇÃO POR EMPRESAS'!$E$6:$E$1000,"&gt;=0")+COUNTIFS('CONTROLE PRODUÇÃO POR EMPRESAS'!$A$6:$A$1000,"&gt;="&amp;$B38,'CONTROLE PRODUÇÃO POR EMPRESAS'!$A$6:$A$1000,"&lt;="&amp;$C38,'CONTROLE PRODUÇÃO POR EMPRESAS'!$E$6:$E$1000,"?*"))=0,"",SUMIFS('CONTROLE PRODUÇÃO POR EMPRESAS'!$E$6:$E$1000,'CONTROLE PRODUÇÃO POR EMPRESAS'!$A$6:$A$1000,"&gt;="&amp;$B38,'CONTROLE PRODUÇÃO POR EMPRESAS'!$A$6:$A$1000,"&lt;="&amp;$C38)),IF($E38="IÇAMENTO JOIST",IF((COUNTIFS('CONTROLE PRODUÇÃO POR EMPRESAS'!$A$6:$A$1000,"&gt;="&amp;$B38,'CONTROLE PRODUÇÃO POR EMPRESAS'!$A$6:$A$1000,"&lt;="&amp;$C38,'CONTROLE PRODUÇÃO POR EMPRESAS'!$F$6:$F$1000,"&gt;=0")+COUNTIFS('CONTROLE PRODUÇÃO POR EMPRESAS'!$A$6:$A$1000,"&gt;="&amp;$B38,'CONTROLE PRODUÇÃO POR EMPRESAS'!$A$6:$A$1000,"&lt;="&amp;$C38,'CONTROLE PRODUÇÃO POR EMPRESAS'!$F$6:$F$1000,"?*"))=0,"",SUMIFS('CONTROLE PRODUÇÃO POR EMPRESAS'!$F$6:$F$1000,'CONTROLE PRODUÇÃO POR EMPRESAS'!$A$6:$A$1000,"&gt;="&amp;$B38,'CONTROLE PRODUÇÃO POR EMPRESAS'!$A$6:$A$1000,"&lt;="&amp;$C38)),IF($E38="VIGAS",IF((COUNTIFS('CONTROLE PRODUÇÃO POR EMPRESAS'!$A$6:$A$1000,"&gt;="&amp;$B38,'CONTROLE PRODUÇÃO POR EMPRESAS'!$A$6:$A$1000,"&lt;="&amp;$C38,'CONTROLE PRODUÇÃO POR EMPRESAS'!$G$6:$G$1000,"&gt;=0")+COUNTIFS('CONTROLE PRODUÇÃO POR EMPRESAS'!$A$6:$A$1000,"&gt;="&amp;$B38,'CONTROLE PRODUÇÃO POR EMPRESAS'!$A$6:$A$1000,"&lt;="&amp;$C38,'CONTROLE PRODUÇÃO POR EMPRESAS'!$G$6:$G$1000,"?*"))=0,"",SUMIFS('CONTROLE PRODUÇÃO POR EMPRESAS'!$G$6:$G$1000,'CONTROLE PRODUÇÃO POR EMPRESAS'!$A$6:$A$1000,"&gt;="&amp;$B38,'CONTROLE PRODUÇÃO POR EMPRESAS'!$A$6:$A$1000,"&lt;="&amp;$C38)),""))),"")))</f>
        <v/>
      </c>
      <c r="M38" s="298">
        <f>IF(L38="","",MAX(J38-L38,0))</f>
        <v/>
      </c>
      <c r="N38" s="298">
        <f>IF(L38="","",MAX(L38-J38,0))</f>
        <v/>
      </c>
      <c r="O38" s="299">
        <f>IF(L38="","",IFERROR(L38/J38,""))</f>
        <v/>
      </c>
      <c r="P38" s="298">
        <f>IF(H38="","",SUMIFS($H$6:H38,$D$6:D38,D38,$E$6:E38,E38))</f>
        <v/>
      </c>
      <c r="Q38" s="298">
        <f>IF(L38="","",SUMIFS($L$6:L38,$D$6:D38,D38,$E$6:E38,E38))</f>
        <v/>
      </c>
      <c r="R38" s="298">
        <f>IF(Q38="","",MAX(P38-Q38,0))</f>
        <v/>
      </c>
      <c r="S38" s="108">
        <f>IF(O38="","",IF(O38&gt;=1,"VERDE",IF(O38&gt;=0.9,"AMARELO","VERMELHO")))</f>
        <v/>
      </c>
      <c r="T38" s="109" t="n"/>
      <c r="U38" s="109" t="n"/>
      <c r="V38" s="110" t="n"/>
      <c r="W38" s="302" t="n"/>
    </row>
    <row r="39" ht="15.75" customHeight="1">
      <c r="A39" s="117" t="n">
        <v>6</v>
      </c>
      <c r="B39" s="295" t="n">
        <v>46293</v>
      </c>
      <c r="C39" s="295" t="n">
        <v>46297</v>
      </c>
      <c r="D39" s="101" t="inlineStr">
        <is>
          <t>EJ</t>
        </is>
      </c>
      <c r="E39" s="103" t="inlineStr">
        <is>
          <t>PREMONTAGEM</t>
        </is>
      </c>
      <c r="F39" s="296">
        <f>IF(OR(D39="",E39=""),"",IF(COUNTIFS('METAS EMPRESAS'!$A$5:$A$10,D39,'METAS EMPRESAS'!$B$5:$B$10,E39)=0,"",SUMIFS('METAS EMPRESAS'!$C$5:$C$10,'METAS EMPRESAS'!$A$5:$A$10,D39,'METAS EMPRESAS'!$B$5:$B$10,E39)))</f>
        <v/>
      </c>
      <c r="G39" s="297" t="n">
        <v>5</v>
      </c>
      <c r="H39" s="298">
        <f>IF(F39="","",F39*G39)</f>
        <v/>
      </c>
      <c r="I39" s="298">
        <f>IF(M33="",0,M33)</f>
        <v/>
      </c>
      <c r="J39" s="298">
        <f>IF(H39="","",H39+I39)</f>
        <v/>
      </c>
      <c r="K39" s="298">
        <f>IF(J39="","",J39/G39)</f>
        <v/>
      </c>
      <c r="L39" s="297">
        <f>IF(OR($B39="",$C39="",$D39="",$E39=""),"",IF($D39="EJ",IF($E39="PREMONTAGEM",IF((COUNTIFS('CONTROLE PRODUÇÃO POR EMPRESAS'!$A$6:$A$1000,"&gt;="&amp;$B39,'CONTROLE PRODUÇÃO POR EMPRESAS'!$A$6:$A$1000,"&lt;="&amp;$C39,'CONTROLE PRODUÇÃO POR EMPRESAS'!$B$6:$B$1000,"&gt;=0")+COUNTIFS('CONTROLE PRODUÇÃO POR EMPRESAS'!$A$6:$A$1000,"&gt;="&amp;$B39,'CONTROLE PRODUÇÃO POR EMPRESAS'!$A$6:$A$1000,"&lt;="&amp;$C39,'CONTROLE PRODUÇÃO POR EMPRESAS'!$B$6:$B$1000,"?*"))=0,"",SUMIFS('CONTROLE PRODUÇÃO POR EMPRESAS'!$B$6:$B$1000,'CONTROLE PRODUÇÃO POR EMPRESAS'!$A$6:$A$1000,"&gt;="&amp;$B39,'CONTROLE PRODUÇÃO POR EMPRESAS'!$A$6:$A$1000,"&lt;="&amp;$C39)),IF($E39="IÇAMENTO JOIST",IF((COUNTIFS('CONTROLE PRODUÇÃO POR EMPRESAS'!$A$6:$A$1000,"&gt;="&amp;$B39,'CONTROLE PRODUÇÃO POR EMPRESAS'!$A$6:$A$1000,"&lt;="&amp;$C39,'CONTROLE PRODUÇÃO POR EMPRESAS'!$C$6:$C$1000,"&gt;=0")+COUNTIFS('CONTROLE PRODUÇÃO POR EMPRESAS'!$A$6:$A$1000,"&gt;="&amp;$B39,'CONTROLE PRODUÇÃO POR EMPRESAS'!$A$6:$A$1000,"&lt;="&amp;$C39,'CONTROLE PRODUÇÃO POR EMPRESAS'!$C$6:$C$1000,"?*"))=0,"",SUMIFS('CONTROLE PRODUÇÃO POR EMPRESAS'!$C$6:$C$1000,'CONTROLE PRODUÇÃO POR EMPRESAS'!$A$6:$A$1000,"&gt;="&amp;$B39,'CONTROLE PRODUÇÃO POR EMPRESAS'!$A$6:$A$1000,"&lt;="&amp;$C39)),IF($E39="VIGAS",IF((COUNTIFS('CONTROLE PRODUÇÃO POR EMPRESAS'!$A$6:$A$1000,"&gt;="&amp;$B39,'CONTROLE PRODUÇÃO POR EMPRESAS'!$A$6:$A$1000,"&lt;="&amp;$C39,'CONTROLE PRODUÇÃO POR EMPRESAS'!$D$6:$D$1000,"&gt;=0")+COUNTIFS('CONTROLE PRODUÇÃO POR EMPRESAS'!$A$6:$A$1000,"&gt;="&amp;$B39,'CONTROLE PRODUÇÃO POR EMPRESAS'!$A$6:$A$1000,"&lt;="&amp;$C39,'CONTROLE PRODUÇÃO POR EMPRESAS'!$D$6:$D$1000,"?*"))=0,"",SUMIFS('CONTROLE PRODUÇÃO POR EMPRESAS'!$D$6:$D$1000,'CONTROLE PRODUÇÃO POR EMPRESAS'!$A$6:$A$1000,"&gt;="&amp;$B39,'CONTROLE PRODUÇÃO POR EMPRESAS'!$A$6:$A$1000,"&lt;="&amp;$C39)),""))),IF($D39="CMM",IF($E39="PREMONTAGEM",IF((COUNTIFS('CONTROLE PRODUÇÃO POR EMPRESAS'!$A$6:$A$1000,"&gt;="&amp;$B39,'CONTROLE PRODUÇÃO POR EMPRESAS'!$A$6:$A$1000,"&lt;="&amp;$C39,'CONTROLE PRODUÇÃO POR EMPRESAS'!$E$6:$E$1000,"&gt;=0")+COUNTIFS('CONTROLE PRODUÇÃO POR EMPRESAS'!$A$6:$A$1000,"&gt;="&amp;$B39,'CONTROLE PRODUÇÃO POR EMPRESAS'!$A$6:$A$1000,"&lt;="&amp;$C39,'CONTROLE PRODUÇÃO POR EMPRESAS'!$E$6:$E$1000,"?*"))=0,"",SUMIFS('CONTROLE PRODUÇÃO POR EMPRESAS'!$E$6:$E$1000,'CONTROLE PRODUÇÃO POR EMPRESAS'!$A$6:$A$1000,"&gt;="&amp;$B39,'CONTROLE PRODUÇÃO POR EMPRESAS'!$A$6:$A$1000,"&lt;="&amp;$C39)),IF($E39="IÇAMENTO JOIST",IF((COUNTIFS('CONTROLE PRODUÇÃO POR EMPRESAS'!$A$6:$A$1000,"&gt;="&amp;$B39,'CONTROLE PRODUÇÃO POR EMPRESAS'!$A$6:$A$1000,"&lt;="&amp;$C39,'CONTROLE PRODUÇÃO POR EMPRESAS'!$F$6:$F$1000,"&gt;=0")+COUNTIFS('CONTROLE PRODUÇÃO POR EMPRESAS'!$A$6:$A$1000,"&gt;="&amp;$B39,'CONTROLE PRODUÇÃO POR EMPRESAS'!$A$6:$A$1000,"&lt;="&amp;$C39,'CONTROLE PRODUÇÃO POR EMPRESAS'!$F$6:$F$1000,"?*"))=0,"",SUMIFS('CONTROLE PRODUÇÃO POR EMPRESAS'!$F$6:$F$1000,'CONTROLE PRODUÇÃO POR EMPRESAS'!$A$6:$A$1000,"&gt;="&amp;$B39,'CONTROLE PRODUÇÃO POR EMPRESAS'!$A$6:$A$1000,"&lt;="&amp;$C39)),IF($E39="VIGAS",IF((COUNTIFS('CONTROLE PRODUÇÃO POR EMPRESAS'!$A$6:$A$1000,"&gt;="&amp;$B39,'CONTROLE PRODUÇÃO POR EMPRESAS'!$A$6:$A$1000,"&lt;="&amp;$C39,'CONTROLE PRODUÇÃO POR EMPRESAS'!$G$6:$G$1000,"&gt;=0")+COUNTIFS('CONTROLE PRODUÇÃO POR EMPRESAS'!$A$6:$A$1000,"&gt;="&amp;$B39,'CONTROLE PRODUÇÃO POR EMPRESAS'!$A$6:$A$1000,"&lt;="&amp;$C39,'CONTROLE PRODUÇÃO POR EMPRESAS'!$G$6:$G$1000,"?*"))=0,"",SUMIFS('CONTROLE PRODUÇÃO POR EMPRESAS'!$G$6:$G$1000,'CONTROLE PRODUÇÃO POR EMPRESAS'!$A$6:$A$1000,"&gt;="&amp;$B39,'CONTROLE PRODUÇÃO POR EMPRESAS'!$A$6:$A$1000,"&lt;="&amp;$C39)),""))),"")))</f>
        <v/>
      </c>
      <c r="M39" s="298">
        <f>IF(L39="","",MAX(J39-L39,0))</f>
        <v/>
      </c>
      <c r="N39" s="298">
        <f>IF(L39="","",MAX(L39-J39,0))</f>
        <v/>
      </c>
      <c r="O39" s="299">
        <f>IF(L39="","",IFERROR(L39/J39,""))</f>
        <v/>
      </c>
      <c r="P39" s="298">
        <f>IF(H39="","",SUMIFS($H$6:H39,$D$6:D39,D39,$E$6:E39,E39))</f>
        <v/>
      </c>
      <c r="Q39" s="298">
        <f>IF(L39="","",SUMIFS($L$6:L39,$D$6:D39,D39,$E$6:E39,E39))</f>
        <v/>
      </c>
      <c r="R39" s="298">
        <f>IF(Q39="","",MAX(P39-Q39,0))</f>
        <v/>
      </c>
      <c r="S39" s="108">
        <f>IF(O39="","",IF(O39&gt;=1,"VERDE",IF(O39&gt;=0.9,"AMARELO","VERMELHO")))</f>
        <v/>
      </c>
      <c r="T39" s="109" t="n"/>
      <c r="U39" s="109" t="n"/>
      <c r="V39" s="110" t="n"/>
      <c r="W39" s="302" t="n"/>
    </row>
    <row r="40" ht="15.75" customHeight="1">
      <c r="A40" s="112" t="n">
        <v>6</v>
      </c>
      <c r="B40" s="301" t="n">
        <v>46293</v>
      </c>
      <c r="C40" s="301" t="n">
        <v>46297</v>
      </c>
      <c r="D40" s="114" t="inlineStr">
        <is>
          <t>EJ</t>
        </is>
      </c>
      <c r="E40" s="115" t="inlineStr">
        <is>
          <t>IÇAMENTO JOIST</t>
        </is>
      </c>
      <c r="F40" s="296">
        <f>IF(OR(D40="",E40=""),"",IF(COUNTIFS('METAS EMPRESAS'!$A$5:$A$10,D40,'METAS EMPRESAS'!$B$5:$B$10,E40)=0,"",SUMIFS('METAS EMPRESAS'!$C$5:$C$10,'METAS EMPRESAS'!$A$5:$A$10,D40,'METAS EMPRESAS'!$B$5:$B$10,E40)))</f>
        <v/>
      </c>
      <c r="G40" s="297" t="n">
        <v>5</v>
      </c>
      <c r="H40" s="298">
        <f>IF(F40="","",F40*G40)</f>
        <v/>
      </c>
      <c r="I40" s="298">
        <f>IF(M34="",0,M34)</f>
        <v/>
      </c>
      <c r="J40" s="298">
        <f>IF(H40="","",H40+I40)</f>
        <v/>
      </c>
      <c r="K40" s="298">
        <f>IF(J40="","",J40/G40)</f>
        <v/>
      </c>
      <c r="L40" s="297">
        <f>IF(OR($B40="",$C40="",$D40="",$E40=""),"",IF($D40="EJ",IF($E40="PREMONTAGEM",IF((COUNTIFS('CONTROLE PRODUÇÃO POR EMPRESAS'!$A$6:$A$1000,"&gt;="&amp;$B40,'CONTROLE PRODUÇÃO POR EMPRESAS'!$A$6:$A$1000,"&lt;="&amp;$C40,'CONTROLE PRODUÇÃO POR EMPRESAS'!$B$6:$B$1000,"&gt;=0")+COUNTIFS('CONTROLE PRODUÇÃO POR EMPRESAS'!$A$6:$A$1000,"&gt;="&amp;$B40,'CONTROLE PRODUÇÃO POR EMPRESAS'!$A$6:$A$1000,"&lt;="&amp;$C40,'CONTROLE PRODUÇÃO POR EMPRESAS'!$B$6:$B$1000,"?*"))=0,"",SUMIFS('CONTROLE PRODUÇÃO POR EMPRESAS'!$B$6:$B$1000,'CONTROLE PRODUÇÃO POR EMPRESAS'!$A$6:$A$1000,"&gt;="&amp;$B40,'CONTROLE PRODUÇÃO POR EMPRESAS'!$A$6:$A$1000,"&lt;="&amp;$C40)),IF($E40="IÇAMENTO JOIST",IF((COUNTIFS('CONTROLE PRODUÇÃO POR EMPRESAS'!$A$6:$A$1000,"&gt;="&amp;$B40,'CONTROLE PRODUÇÃO POR EMPRESAS'!$A$6:$A$1000,"&lt;="&amp;$C40,'CONTROLE PRODUÇÃO POR EMPRESAS'!$C$6:$C$1000,"&gt;=0")+COUNTIFS('CONTROLE PRODUÇÃO POR EMPRESAS'!$A$6:$A$1000,"&gt;="&amp;$B40,'CONTROLE PRODUÇÃO POR EMPRESAS'!$A$6:$A$1000,"&lt;="&amp;$C40,'CONTROLE PRODUÇÃO POR EMPRESAS'!$C$6:$C$1000,"?*"))=0,"",SUMIFS('CONTROLE PRODUÇÃO POR EMPRESAS'!$C$6:$C$1000,'CONTROLE PRODUÇÃO POR EMPRESAS'!$A$6:$A$1000,"&gt;="&amp;$B40,'CONTROLE PRODUÇÃO POR EMPRESAS'!$A$6:$A$1000,"&lt;="&amp;$C40)),IF($E40="VIGAS",IF((COUNTIFS('CONTROLE PRODUÇÃO POR EMPRESAS'!$A$6:$A$1000,"&gt;="&amp;$B40,'CONTROLE PRODUÇÃO POR EMPRESAS'!$A$6:$A$1000,"&lt;="&amp;$C40,'CONTROLE PRODUÇÃO POR EMPRESAS'!$D$6:$D$1000,"&gt;=0")+COUNTIFS('CONTROLE PRODUÇÃO POR EMPRESAS'!$A$6:$A$1000,"&gt;="&amp;$B40,'CONTROLE PRODUÇÃO POR EMPRESAS'!$A$6:$A$1000,"&lt;="&amp;$C40,'CONTROLE PRODUÇÃO POR EMPRESAS'!$D$6:$D$1000,"?*"))=0,"",SUMIFS('CONTROLE PRODUÇÃO POR EMPRESAS'!$D$6:$D$1000,'CONTROLE PRODUÇÃO POR EMPRESAS'!$A$6:$A$1000,"&gt;="&amp;$B40,'CONTROLE PRODUÇÃO POR EMPRESAS'!$A$6:$A$1000,"&lt;="&amp;$C40)),""))),IF($D40="CMM",IF($E40="PREMONTAGEM",IF((COUNTIFS('CONTROLE PRODUÇÃO POR EMPRESAS'!$A$6:$A$1000,"&gt;="&amp;$B40,'CONTROLE PRODUÇÃO POR EMPRESAS'!$A$6:$A$1000,"&lt;="&amp;$C40,'CONTROLE PRODUÇÃO POR EMPRESAS'!$E$6:$E$1000,"&gt;=0")+COUNTIFS('CONTROLE PRODUÇÃO POR EMPRESAS'!$A$6:$A$1000,"&gt;="&amp;$B40,'CONTROLE PRODUÇÃO POR EMPRESAS'!$A$6:$A$1000,"&lt;="&amp;$C40,'CONTROLE PRODUÇÃO POR EMPRESAS'!$E$6:$E$1000,"?*"))=0,"",SUMIFS('CONTROLE PRODUÇÃO POR EMPRESAS'!$E$6:$E$1000,'CONTROLE PRODUÇÃO POR EMPRESAS'!$A$6:$A$1000,"&gt;="&amp;$B40,'CONTROLE PRODUÇÃO POR EMPRESAS'!$A$6:$A$1000,"&lt;="&amp;$C40)),IF($E40="IÇAMENTO JOIST",IF((COUNTIFS('CONTROLE PRODUÇÃO POR EMPRESAS'!$A$6:$A$1000,"&gt;="&amp;$B40,'CONTROLE PRODUÇÃO POR EMPRESAS'!$A$6:$A$1000,"&lt;="&amp;$C40,'CONTROLE PRODUÇÃO POR EMPRESAS'!$F$6:$F$1000,"&gt;=0")+COUNTIFS('CONTROLE PRODUÇÃO POR EMPRESAS'!$A$6:$A$1000,"&gt;="&amp;$B40,'CONTROLE PRODUÇÃO POR EMPRESAS'!$A$6:$A$1000,"&lt;="&amp;$C40,'CONTROLE PRODUÇÃO POR EMPRESAS'!$F$6:$F$1000,"?*"))=0,"",SUMIFS('CONTROLE PRODUÇÃO POR EMPRESAS'!$F$6:$F$1000,'CONTROLE PRODUÇÃO POR EMPRESAS'!$A$6:$A$1000,"&gt;="&amp;$B40,'CONTROLE PRODUÇÃO POR EMPRESAS'!$A$6:$A$1000,"&lt;="&amp;$C40)),IF($E40="VIGAS",IF((COUNTIFS('CONTROLE PRODUÇÃO POR EMPRESAS'!$A$6:$A$1000,"&gt;="&amp;$B40,'CONTROLE PRODUÇÃO POR EMPRESAS'!$A$6:$A$1000,"&lt;="&amp;$C40,'CONTROLE PRODUÇÃO POR EMPRESAS'!$G$6:$G$1000,"&gt;=0")+COUNTIFS('CONTROLE PRODUÇÃO POR EMPRESAS'!$A$6:$A$1000,"&gt;="&amp;$B40,'CONTROLE PRODUÇÃO POR EMPRESAS'!$A$6:$A$1000,"&lt;="&amp;$C40,'CONTROLE PRODUÇÃO POR EMPRESAS'!$G$6:$G$1000,"?*"))=0,"",SUMIFS('CONTROLE PRODUÇÃO POR EMPRESAS'!$G$6:$G$1000,'CONTROLE PRODUÇÃO POR EMPRESAS'!$A$6:$A$1000,"&gt;="&amp;$B40,'CONTROLE PRODUÇÃO POR EMPRESAS'!$A$6:$A$1000,"&lt;="&amp;$C40)),""))),"")))</f>
        <v/>
      </c>
      <c r="M40" s="298">
        <f>IF(L40="","",MAX(J40-L40,0))</f>
        <v/>
      </c>
      <c r="N40" s="298">
        <f>IF(L40="","",MAX(L40-J40,0))</f>
        <v/>
      </c>
      <c r="O40" s="299">
        <f>IF(L40="","",IFERROR(L40/J40,""))</f>
        <v/>
      </c>
      <c r="P40" s="298">
        <f>IF(H40="","",SUMIFS($H$6:H40,$D$6:D40,D40,$E$6:E40,E40))</f>
        <v/>
      </c>
      <c r="Q40" s="298">
        <f>IF(L40="","",SUMIFS($L$6:L40,$D$6:D40,D40,$E$6:E40,E40))</f>
        <v/>
      </c>
      <c r="R40" s="298">
        <f>IF(Q40="","",MAX(P40-Q40,0))</f>
        <v/>
      </c>
      <c r="S40" s="108">
        <f>IF(O40="","",IF(O40&gt;=1,"VERDE",IF(O40&gt;=0.9,"AMARELO","VERMELHO")))</f>
        <v/>
      </c>
      <c r="T40" s="109" t="n"/>
      <c r="U40" s="109" t="n"/>
      <c r="V40" s="110" t="n"/>
      <c r="W40" s="302" t="n"/>
    </row>
    <row r="41" ht="15.75" customHeight="1">
      <c r="A41" s="117" t="n">
        <v>6</v>
      </c>
      <c r="B41" s="295" t="n">
        <v>46293</v>
      </c>
      <c r="C41" s="295" t="n">
        <v>46297</v>
      </c>
      <c r="D41" s="101" t="inlineStr">
        <is>
          <t>EJ</t>
        </is>
      </c>
      <c r="E41" s="103" t="inlineStr">
        <is>
          <t>VIGAS</t>
        </is>
      </c>
      <c r="F41" s="296">
        <f>IF(OR(D41="",E41=""),"",IF(COUNTIFS('METAS EMPRESAS'!$A$5:$A$10,D41,'METAS EMPRESAS'!$B$5:$B$10,E41)=0,"",SUMIFS('METAS EMPRESAS'!$C$5:$C$10,'METAS EMPRESAS'!$A$5:$A$10,D41,'METAS EMPRESAS'!$B$5:$B$10,E41)))</f>
        <v/>
      </c>
      <c r="G41" s="297" t="n">
        <v>5</v>
      </c>
      <c r="H41" s="298">
        <f>IF(F41="","",F41*G41)</f>
        <v/>
      </c>
      <c r="I41" s="298">
        <f>IF(M35="",0,M35)</f>
        <v/>
      </c>
      <c r="J41" s="298">
        <f>IF(H41="","",H41+I41)</f>
        <v/>
      </c>
      <c r="K41" s="298">
        <f>IF(J41="","",J41/G41)</f>
        <v/>
      </c>
      <c r="L41" s="297">
        <f>IF(OR($B41="",$C41="",$D41="",$E41=""),"",IF($D41="EJ",IF($E41="PREMONTAGEM",IF((COUNTIFS('CONTROLE PRODUÇÃO POR EMPRESAS'!$A$6:$A$1000,"&gt;="&amp;$B41,'CONTROLE PRODUÇÃO POR EMPRESAS'!$A$6:$A$1000,"&lt;="&amp;$C41,'CONTROLE PRODUÇÃO POR EMPRESAS'!$B$6:$B$1000,"&gt;=0")+COUNTIFS('CONTROLE PRODUÇÃO POR EMPRESAS'!$A$6:$A$1000,"&gt;="&amp;$B41,'CONTROLE PRODUÇÃO POR EMPRESAS'!$A$6:$A$1000,"&lt;="&amp;$C41,'CONTROLE PRODUÇÃO POR EMPRESAS'!$B$6:$B$1000,"?*"))=0,"",SUMIFS('CONTROLE PRODUÇÃO POR EMPRESAS'!$B$6:$B$1000,'CONTROLE PRODUÇÃO POR EMPRESAS'!$A$6:$A$1000,"&gt;="&amp;$B41,'CONTROLE PRODUÇÃO POR EMPRESAS'!$A$6:$A$1000,"&lt;="&amp;$C41)),IF($E41="IÇAMENTO JOIST",IF((COUNTIFS('CONTROLE PRODUÇÃO POR EMPRESAS'!$A$6:$A$1000,"&gt;="&amp;$B41,'CONTROLE PRODUÇÃO POR EMPRESAS'!$A$6:$A$1000,"&lt;="&amp;$C41,'CONTROLE PRODUÇÃO POR EMPRESAS'!$C$6:$C$1000,"&gt;=0")+COUNTIFS('CONTROLE PRODUÇÃO POR EMPRESAS'!$A$6:$A$1000,"&gt;="&amp;$B41,'CONTROLE PRODUÇÃO POR EMPRESAS'!$A$6:$A$1000,"&lt;="&amp;$C41,'CONTROLE PRODUÇÃO POR EMPRESAS'!$C$6:$C$1000,"?*"))=0,"",SUMIFS('CONTROLE PRODUÇÃO POR EMPRESAS'!$C$6:$C$1000,'CONTROLE PRODUÇÃO POR EMPRESAS'!$A$6:$A$1000,"&gt;="&amp;$B41,'CONTROLE PRODUÇÃO POR EMPRESAS'!$A$6:$A$1000,"&lt;="&amp;$C41)),IF($E41="VIGAS",IF((COUNTIFS('CONTROLE PRODUÇÃO POR EMPRESAS'!$A$6:$A$1000,"&gt;="&amp;$B41,'CONTROLE PRODUÇÃO POR EMPRESAS'!$A$6:$A$1000,"&lt;="&amp;$C41,'CONTROLE PRODUÇÃO POR EMPRESAS'!$D$6:$D$1000,"&gt;=0")+COUNTIFS('CONTROLE PRODUÇÃO POR EMPRESAS'!$A$6:$A$1000,"&gt;="&amp;$B41,'CONTROLE PRODUÇÃO POR EMPRESAS'!$A$6:$A$1000,"&lt;="&amp;$C41,'CONTROLE PRODUÇÃO POR EMPRESAS'!$D$6:$D$1000,"?*"))=0,"",SUMIFS('CONTROLE PRODUÇÃO POR EMPRESAS'!$D$6:$D$1000,'CONTROLE PRODUÇÃO POR EMPRESAS'!$A$6:$A$1000,"&gt;="&amp;$B41,'CONTROLE PRODUÇÃO POR EMPRESAS'!$A$6:$A$1000,"&lt;="&amp;$C41)),""))),IF($D41="CMM",IF($E41="PREMONTAGEM",IF((COUNTIFS('CONTROLE PRODUÇÃO POR EMPRESAS'!$A$6:$A$1000,"&gt;="&amp;$B41,'CONTROLE PRODUÇÃO POR EMPRESAS'!$A$6:$A$1000,"&lt;="&amp;$C41,'CONTROLE PRODUÇÃO POR EMPRESAS'!$E$6:$E$1000,"&gt;=0")+COUNTIFS('CONTROLE PRODUÇÃO POR EMPRESAS'!$A$6:$A$1000,"&gt;="&amp;$B41,'CONTROLE PRODUÇÃO POR EMPRESAS'!$A$6:$A$1000,"&lt;="&amp;$C41,'CONTROLE PRODUÇÃO POR EMPRESAS'!$E$6:$E$1000,"?*"))=0,"",SUMIFS('CONTROLE PRODUÇÃO POR EMPRESAS'!$E$6:$E$1000,'CONTROLE PRODUÇÃO POR EMPRESAS'!$A$6:$A$1000,"&gt;="&amp;$B41,'CONTROLE PRODUÇÃO POR EMPRESAS'!$A$6:$A$1000,"&lt;="&amp;$C41)),IF($E41="IÇAMENTO JOIST",IF((COUNTIFS('CONTROLE PRODUÇÃO POR EMPRESAS'!$A$6:$A$1000,"&gt;="&amp;$B41,'CONTROLE PRODUÇÃO POR EMPRESAS'!$A$6:$A$1000,"&lt;="&amp;$C41,'CONTROLE PRODUÇÃO POR EMPRESAS'!$F$6:$F$1000,"&gt;=0")+COUNTIFS('CONTROLE PRODUÇÃO POR EMPRESAS'!$A$6:$A$1000,"&gt;="&amp;$B41,'CONTROLE PRODUÇÃO POR EMPRESAS'!$A$6:$A$1000,"&lt;="&amp;$C41,'CONTROLE PRODUÇÃO POR EMPRESAS'!$F$6:$F$1000,"?*"))=0,"",SUMIFS('CONTROLE PRODUÇÃO POR EMPRESAS'!$F$6:$F$1000,'CONTROLE PRODUÇÃO POR EMPRESAS'!$A$6:$A$1000,"&gt;="&amp;$B41,'CONTROLE PRODUÇÃO POR EMPRESAS'!$A$6:$A$1000,"&lt;="&amp;$C41)),IF($E41="VIGAS",IF((COUNTIFS('CONTROLE PRODUÇÃO POR EMPRESAS'!$A$6:$A$1000,"&gt;="&amp;$B41,'CONTROLE PRODUÇÃO POR EMPRESAS'!$A$6:$A$1000,"&lt;="&amp;$C41,'CONTROLE PRODUÇÃO POR EMPRESAS'!$G$6:$G$1000,"&gt;=0")+COUNTIFS('CONTROLE PRODUÇÃO POR EMPRESAS'!$A$6:$A$1000,"&gt;="&amp;$B41,'CONTROLE PRODUÇÃO POR EMPRESAS'!$A$6:$A$1000,"&lt;="&amp;$C41,'CONTROLE PRODUÇÃO POR EMPRESAS'!$G$6:$G$1000,"?*"))=0,"",SUMIFS('CONTROLE PRODUÇÃO POR EMPRESAS'!$G$6:$G$1000,'CONTROLE PRODUÇÃO POR EMPRESAS'!$A$6:$A$1000,"&gt;="&amp;$B41,'CONTROLE PRODUÇÃO POR EMPRESAS'!$A$6:$A$1000,"&lt;="&amp;$C41)),""))),"")))</f>
        <v/>
      </c>
      <c r="M41" s="298">
        <f>IF(L41="","",MAX(J41-L41,0))</f>
        <v/>
      </c>
      <c r="N41" s="298">
        <f>IF(L41="","",MAX(L41-J41,0))</f>
        <v/>
      </c>
      <c r="O41" s="299">
        <f>IF(L41="","",IFERROR(L41/J41,""))</f>
        <v/>
      </c>
      <c r="P41" s="298">
        <f>IF(H41="","",SUMIFS($H$6:H41,$D$6:D41,D41,$E$6:E41,E41))</f>
        <v/>
      </c>
      <c r="Q41" s="298">
        <f>IF(L41="","",SUMIFS($L$6:L41,$D$6:D41,D41,$E$6:E41,E41))</f>
        <v/>
      </c>
      <c r="R41" s="298">
        <f>IF(Q41="","",MAX(P41-Q41,0))</f>
        <v/>
      </c>
      <c r="S41" s="108">
        <f>IF(O41="","",IF(O41&gt;=1,"VERDE",IF(O41&gt;=0.9,"AMARELO","VERMELHO")))</f>
        <v/>
      </c>
      <c r="T41" s="109" t="n"/>
      <c r="U41" s="109" t="n"/>
      <c r="V41" s="110" t="n"/>
      <c r="W41" s="302" t="n"/>
    </row>
    <row r="42" ht="15.75" customHeight="1">
      <c r="A42" s="112" t="n">
        <v>7</v>
      </c>
      <c r="B42" s="301" t="n">
        <v>46300</v>
      </c>
      <c r="C42" s="301" t="n">
        <v>46304</v>
      </c>
      <c r="D42" s="114" t="inlineStr">
        <is>
          <t>CMM</t>
        </is>
      </c>
      <c r="E42" s="115" t="inlineStr">
        <is>
          <t>PREMONTAGEM</t>
        </is>
      </c>
      <c r="F42" s="296">
        <f>IF(OR(D42="",E42=""),"",IF(COUNTIFS('METAS EMPRESAS'!$A$5:$A$10,D42,'METAS EMPRESAS'!$B$5:$B$10,E42)=0,"",SUMIFS('METAS EMPRESAS'!$C$5:$C$10,'METAS EMPRESAS'!$A$5:$A$10,D42,'METAS EMPRESAS'!$B$5:$B$10,E42)))</f>
        <v/>
      </c>
      <c r="G42" s="297" t="n">
        <v>5</v>
      </c>
      <c r="H42" s="298">
        <f>IF(F42="","",F42*G42)</f>
        <v/>
      </c>
      <c r="I42" s="298">
        <f>IF(M36="",0,M36)</f>
        <v/>
      </c>
      <c r="J42" s="298">
        <f>IF(H42="","",H42+I42)</f>
        <v/>
      </c>
      <c r="K42" s="298">
        <f>IF(J42="","",J42/G42)</f>
        <v/>
      </c>
      <c r="L42" s="297">
        <f>IF(OR($B42="",$C42="",$D42="",$E42=""),"",IF($D42="EJ",IF($E42="PREMONTAGEM",IF((COUNTIFS('CONTROLE PRODUÇÃO POR EMPRESAS'!$A$6:$A$1000,"&gt;="&amp;$B42,'CONTROLE PRODUÇÃO POR EMPRESAS'!$A$6:$A$1000,"&lt;="&amp;$C42,'CONTROLE PRODUÇÃO POR EMPRESAS'!$B$6:$B$1000,"&gt;=0")+COUNTIFS('CONTROLE PRODUÇÃO POR EMPRESAS'!$A$6:$A$1000,"&gt;="&amp;$B42,'CONTROLE PRODUÇÃO POR EMPRESAS'!$A$6:$A$1000,"&lt;="&amp;$C42,'CONTROLE PRODUÇÃO POR EMPRESAS'!$B$6:$B$1000,"?*"))=0,"",SUMIFS('CONTROLE PRODUÇÃO POR EMPRESAS'!$B$6:$B$1000,'CONTROLE PRODUÇÃO POR EMPRESAS'!$A$6:$A$1000,"&gt;="&amp;$B42,'CONTROLE PRODUÇÃO POR EMPRESAS'!$A$6:$A$1000,"&lt;="&amp;$C42)),IF($E42="IÇAMENTO JOIST",IF((COUNTIFS('CONTROLE PRODUÇÃO POR EMPRESAS'!$A$6:$A$1000,"&gt;="&amp;$B42,'CONTROLE PRODUÇÃO POR EMPRESAS'!$A$6:$A$1000,"&lt;="&amp;$C42,'CONTROLE PRODUÇÃO POR EMPRESAS'!$C$6:$C$1000,"&gt;=0")+COUNTIFS('CONTROLE PRODUÇÃO POR EMPRESAS'!$A$6:$A$1000,"&gt;="&amp;$B42,'CONTROLE PRODUÇÃO POR EMPRESAS'!$A$6:$A$1000,"&lt;="&amp;$C42,'CONTROLE PRODUÇÃO POR EMPRESAS'!$C$6:$C$1000,"?*"))=0,"",SUMIFS('CONTROLE PRODUÇÃO POR EMPRESAS'!$C$6:$C$1000,'CONTROLE PRODUÇÃO POR EMPRESAS'!$A$6:$A$1000,"&gt;="&amp;$B42,'CONTROLE PRODUÇÃO POR EMPRESAS'!$A$6:$A$1000,"&lt;="&amp;$C42)),IF($E42="VIGAS",IF((COUNTIFS('CONTROLE PRODUÇÃO POR EMPRESAS'!$A$6:$A$1000,"&gt;="&amp;$B42,'CONTROLE PRODUÇÃO POR EMPRESAS'!$A$6:$A$1000,"&lt;="&amp;$C42,'CONTROLE PRODUÇÃO POR EMPRESAS'!$D$6:$D$1000,"&gt;=0")+COUNTIFS('CONTROLE PRODUÇÃO POR EMPRESAS'!$A$6:$A$1000,"&gt;="&amp;$B42,'CONTROLE PRODUÇÃO POR EMPRESAS'!$A$6:$A$1000,"&lt;="&amp;$C42,'CONTROLE PRODUÇÃO POR EMPRESAS'!$D$6:$D$1000,"?*"))=0,"",SUMIFS('CONTROLE PRODUÇÃO POR EMPRESAS'!$D$6:$D$1000,'CONTROLE PRODUÇÃO POR EMPRESAS'!$A$6:$A$1000,"&gt;="&amp;$B42,'CONTROLE PRODUÇÃO POR EMPRESAS'!$A$6:$A$1000,"&lt;="&amp;$C42)),""))),IF($D42="CMM",IF($E42="PREMONTAGEM",IF((COUNTIFS('CONTROLE PRODUÇÃO POR EMPRESAS'!$A$6:$A$1000,"&gt;="&amp;$B42,'CONTROLE PRODUÇÃO POR EMPRESAS'!$A$6:$A$1000,"&lt;="&amp;$C42,'CONTROLE PRODUÇÃO POR EMPRESAS'!$E$6:$E$1000,"&gt;=0")+COUNTIFS('CONTROLE PRODUÇÃO POR EMPRESAS'!$A$6:$A$1000,"&gt;="&amp;$B42,'CONTROLE PRODUÇÃO POR EMPRESAS'!$A$6:$A$1000,"&lt;="&amp;$C42,'CONTROLE PRODUÇÃO POR EMPRESAS'!$E$6:$E$1000,"?*"))=0,"",SUMIFS('CONTROLE PRODUÇÃO POR EMPRESAS'!$E$6:$E$1000,'CONTROLE PRODUÇÃO POR EMPRESAS'!$A$6:$A$1000,"&gt;="&amp;$B42,'CONTROLE PRODUÇÃO POR EMPRESAS'!$A$6:$A$1000,"&lt;="&amp;$C42)),IF($E42="IÇAMENTO JOIST",IF((COUNTIFS('CONTROLE PRODUÇÃO POR EMPRESAS'!$A$6:$A$1000,"&gt;="&amp;$B42,'CONTROLE PRODUÇÃO POR EMPRESAS'!$A$6:$A$1000,"&lt;="&amp;$C42,'CONTROLE PRODUÇÃO POR EMPRESAS'!$F$6:$F$1000,"&gt;=0")+COUNTIFS('CONTROLE PRODUÇÃO POR EMPRESAS'!$A$6:$A$1000,"&gt;="&amp;$B42,'CONTROLE PRODUÇÃO POR EMPRESAS'!$A$6:$A$1000,"&lt;="&amp;$C42,'CONTROLE PRODUÇÃO POR EMPRESAS'!$F$6:$F$1000,"?*"))=0,"",SUMIFS('CONTROLE PRODUÇÃO POR EMPRESAS'!$F$6:$F$1000,'CONTROLE PRODUÇÃO POR EMPRESAS'!$A$6:$A$1000,"&gt;="&amp;$B42,'CONTROLE PRODUÇÃO POR EMPRESAS'!$A$6:$A$1000,"&lt;="&amp;$C42)),IF($E42="VIGAS",IF((COUNTIFS('CONTROLE PRODUÇÃO POR EMPRESAS'!$A$6:$A$1000,"&gt;="&amp;$B42,'CONTROLE PRODUÇÃO POR EMPRESAS'!$A$6:$A$1000,"&lt;="&amp;$C42,'CONTROLE PRODUÇÃO POR EMPRESAS'!$G$6:$G$1000,"&gt;=0")+COUNTIFS('CONTROLE PRODUÇÃO POR EMPRESAS'!$A$6:$A$1000,"&gt;="&amp;$B42,'CONTROLE PRODUÇÃO POR EMPRESAS'!$A$6:$A$1000,"&lt;="&amp;$C42,'CONTROLE PRODUÇÃO POR EMPRESAS'!$G$6:$G$1000,"?*"))=0,"",SUMIFS('CONTROLE PRODUÇÃO POR EMPRESAS'!$G$6:$G$1000,'CONTROLE PRODUÇÃO POR EMPRESAS'!$A$6:$A$1000,"&gt;="&amp;$B42,'CONTROLE PRODUÇÃO POR EMPRESAS'!$A$6:$A$1000,"&lt;="&amp;$C42)),""))),"")))</f>
        <v/>
      </c>
      <c r="M42" s="298">
        <f>IF(L42="","",MAX(J42-L42,0))</f>
        <v/>
      </c>
      <c r="N42" s="298">
        <f>IF(L42="","",MAX(L42-J42,0))</f>
        <v/>
      </c>
      <c r="O42" s="299">
        <f>IF(L42="","",IFERROR(L42/J42,""))</f>
        <v/>
      </c>
      <c r="P42" s="298">
        <f>IF(H42="","",SUMIFS($H$6:H42,$D$6:D42,D42,$E$6:E42,E42))</f>
        <v/>
      </c>
      <c r="Q42" s="298">
        <f>IF(L42="","",SUMIFS($L$6:L42,$D$6:D42,D42,$E$6:E42,E42))</f>
        <v/>
      </c>
      <c r="R42" s="298">
        <f>IF(Q42="","",MAX(P42-Q42,0))</f>
        <v/>
      </c>
      <c r="S42" s="108">
        <f>IF(O42="","",IF(O42&gt;=1,"VERDE",IF(O42&gt;=0.9,"AMARELO","VERMELHO")))</f>
        <v/>
      </c>
      <c r="T42" s="109" t="n"/>
      <c r="U42" s="109" t="n"/>
      <c r="V42" s="110" t="n"/>
      <c r="W42" s="302" t="n"/>
    </row>
    <row r="43" ht="15.75" customHeight="1">
      <c r="A43" s="117" t="n">
        <v>7</v>
      </c>
      <c r="B43" s="295" t="n">
        <v>46300</v>
      </c>
      <c r="C43" s="295" t="n">
        <v>46304</v>
      </c>
      <c r="D43" s="101" t="inlineStr">
        <is>
          <t>CMM</t>
        </is>
      </c>
      <c r="E43" s="103" t="inlineStr">
        <is>
          <t>IÇAMENTO JOIST</t>
        </is>
      </c>
      <c r="F43" s="296">
        <f>IF(OR(D43="",E43=""),"",IF(COUNTIFS('METAS EMPRESAS'!$A$5:$A$10,D43,'METAS EMPRESAS'!$B$5:$B$10,E43)=0,"",SUMIFS('METAS EMPRESAS'!$C$5:$C$10,'METAS EMPRESAS'!$A$5:$A$10,D43,'METAS EMPRESAS'!$B$5:$B$10,E43)))</f>
        <v/>
      </c>
      <c r="G43" s="297" t="n">
        <v>5</v>
      </c>
      <c r="H43" s="298">
        <f>IF(F43="","",F43*G43)</f>
        <v/>
      </c>
      <c r="I43" s="298">
        <f>IF(M37="",0,M37)</f>
        <v/>
      </c>
      <c r="J43" s="298">
        <f>IF(H43="","",H43+I43)</f>
        <v/>
      </c>
      <c r="K43" s="298">
        <f>IF(J43="","",J43/G43)</f>
        <v/>
      </c>
      <c r="L43" s="297">
        <f>IF(OR($B43="",$C43="",$D43="",$E43=""),"",IF($D43="EJ",IF($E43="PREMONTAGEM",IF((COUNTIFS('CONTROLE PRODUÇÃO POR EMPRESAS'!$A$6:$A$1000,"&gt;="&amp;$B43,'CONTROLE PRODUÇÃO POR EMPRESAS'!$A$6:$A$1000,"&lt;="&amp;$C43,'CONTROLE PRODUÇÃO POR EMPRESAS'!$B$6:$B$1000,"&gt;=0")+COUNTIFS('CONTROLE PRODUÇÃO POR EMPRESAS'!$A$6:$A$1000,"&gt;="&amp;$B43,'CONTROLE PRODUÇÃO POR EMPRESAS'!$A$6:$A$1000,"&lt;="&amp;$C43,'CONTROLE PRODUÇÃO POR EMPRESAS'!$B$6:$B$1000,"?*"))=0,"",SUMIFS('CONTROLE PRODUÇÃO POR EMPRESAS'!$B$6:$B$1000,'CONTROLE PRODUÇÃO POR EMPRESAS'!$A$6:$A$1000,"&gt;="&amp;$B43,'CONTROLE PRODUÇÃO POR EMPRESAS'!$A$6:$A$1000,"&lt;="&amp;$C43)),IF($E43="IÇAMENTO JOIST",IF((COUNTIFS('CONTROLE PRODUÇÃO POR EMPRESAS'!$A$6:$A$1000,"&gt;="&amp;$B43,'CONTROLE PRODUÇÃO POR EMPRESAS'!$A$6:$A$1000,"&lt;="&amp;$C43,'CONTROLE PRODUÇÃO POR EMPRESAS'!$C$6:$C$1000,"&gt;=0")+COUNTIFS('CONTROLE PRODUÇÃO POR EMPRESAS'!$A$6:$A$1000,"&gt;="&amp;$B43,'CONTROLE PRODUÇÃO POR EMPRESAS'!$A$6:$A$1000,"&lt;="&amp;$C43,'CONTROLE PRODUÇÃO POR EMPRESAS'!$C$6:$C$1000,"?*"))=0,"",SUMIFS('CONTROLE PRODUÇÃO POR EMPRESAS'!$C$6:$C$1000,'CONTROLE PRODUÇÃO POR EMPRESAS'!$A$6:$A$1000,"&gt;="&amp;$B43,'CONTROLE PRODUÇÃO POR EMPRESAS'!$A$6:$A$1000,"&lt;="&amp;$C43)),IF($E43="VIGAS",IF((COUNTIFS('CONTROLE PRODUÇÃO POR EMPRESAS'!$A$6:$A$1000,"&gt;="&amp;$B43,'CONTROLE PRODUÇÃO POR EMPRESAS'!$A$6:$A$1000,"&lt;="&amp;$C43,'CONTROLE PRODUÇÃO POR EMPRESAS'!$D$6:$D$1000,"&gt;=0")+COUNTIFS('CONTROLE PRODUÇÃO POR EMPRESAS'!$A$6:$A$1000,"&gt;="&amp;$B43,'CONTROLE PRODUÇÃO POR EMPRESAS'!$A$6:$A$1000,"&lt;="&amp;$C43,'CONTROLE PRODUÇÃO POR EMPRESAS'!$D$6:$D$1000,"?*"))=0,"",SUMIFS('CONTROLE PRODUÇÃO POR EMPRESAS'!$D$6:$D$1000,'CONTROLE PRODUÇÃO POR EMPRESAS'!$A$6:$A$1000,"&gt;="&amp;$B43,'CONTROLE PRODUÇÃO POR EMPRESAS'!$A$6:$A$1000,"&lt;="&amp;$C43)),""))),IF($D43="CMM",IF($E43="PREMONTAGEM",IF((COUNTIFS('CONTROLE PRODUÇÃO POR EMPRESAS'!$A$6:$A$1000,"&gt;="&amp;$B43,'CONTROLE PRODUÇÃO POR EMPRESAS'!$A$6:$A$1000,"&lt;="&amp;$C43,'CONTROLE PRODUÇÃO POR EMPRESAS'!$E$6:$E$1000,"&gt;=0")+COUNTIFS('CONTROLE PRODUÇÃO POR EMPRESAS'!$A$6:$A$1000,"&gt;="&amp;$B43,'CONTROLE PRODUÇÃO POR EMPRESAS'!$A$6:$A$1000,"&lt;="&amp;$C43,'CONTROLE PRODUÇÃO POR EMPRESAS'!$E$6:$E$1000,"?*"))=0,"",SUMIFS('CONTROLE PRODUÇÃO POR EMPRESAS'!$E$6:$E$1000,'CONTROLE PRODUÇÃO POR EMPRESAS'!$A$6:$A$1000,"&gt;="&amp;$B43,'CONTROLE PRODUÇÃO POR EMPRESAS'!$A$6:$A$1000,"&lt;="&amp;$C43)),IF($E43="IÇAMENTO JOIST",IF((COUNTIFS('CONTROLE PRODUÇÃO POR EMPRESAS'!$A$6:$A$1000,"&gt;="&amp;$B43,'CONTROLE PRODUÇÃO POR EMPRESAS'!$A$6:$A$1000,"&lt;="&amp;$C43,'CONTROLE PRODUÇÃO POR EMPRESAS'!$F$6:$F$1000,"&gt;=0")+COUNTIFS('CONTROLE PRODUÇÃO POR EMPRESAS'!$A$6:$A$1000,"&gt;="&amp;$B43,'CONTROLE PRODUÇÃO POR EMPRESAS'!$A$6:$A$1000,"&lt;="&amp;$C43,'CONTROLE PRODUÇÃO POR EMPRESAS'!$F$6:$F$1000,"?*"))=0,"",SUMIFS('CONTROLE PRODUÇÃO POR EMPRESAS'!$F$6:$F$1000,'CONTROLE PRODUÇÃO POR EMPRESAS'!$A$6:$A$1000,"&gt;="&amp;$B43,'CONTROLE PRODUÇÃO POR EMPRESAS'!$A$6:$A$1000,"&lt;="&amp;$C43)),IF($E43="VIGAS",IF((COUNTIFS('CONTROLE PRODUÇÃO POR EMPRESAS'!$A$6:$A$1000,"&gt;="&amp;$B43,'CONTROLE PRODUÇÃO POR EMPRESAS'!$A$6:$A$1000,"&lt;="&amp;$C43,'CONTROLE PRODUÇÃO POR EMPRESAS'!$G$6:$G$1000,"&gt;=0")+COUNTIFS('CONTROLE PRODUÇÃO POR EMPRESAS'!$A$6:$A$1000,"&gt;="&amp;$B43,'CONTROLE PRODUÇÃO POR EMPRESAS'!$A$6:$A$1000,"&lt;="&amp;$C43,'CONTROLE PRODUÇÃO POR EMPRESAS'!$G$6:$G$1000,"?*"))=0,"",SUMIFS('CONTROLE PRODUÇÃO POR EMPRESAS'!$G$6:$G$1000,'CONTROLE PRODUÇÃO POR EMPRESAS'!$A$6:$A$1000,"&gt;="&amp;$B43,'CONTROLE PRODUÇÃO POR EMPRESAS'!$A$6:$A$1000,"&lt;="&amp;$C43)),""))),"")))</f>
        <v/>
      </c>
      <c r="M43" s="298">
        <f>IF(L43="","",MAX(J43-L43,0))</f>
        <v/>
      </c>
      <c r="N43" s="298">
        <f>IF(L43="","",MAX(L43-J43,0))</f>
        <v/>
      </c>
      <c r="O43" s="299">
        <f>IF(L43="","",IFERROR(L43/J43,""))</f>
        <v/>
      </c>
      <c r="P43" s="298">
        <f>IF(H43="","",SUMIFS($H$6:H43,$D$6:D43,D43,$E$6:E43,E43))</f>
        <v/>
      </c>
      <c r="Q43" s="298">
        <f>IF(L43="","",SUMIFS($L$6:L43,$D$6:D43,D43,$E$6:E43,E43))</f>
        <v/>
      </c>
      <c r="R43" s="298">
        <f>IF(Q43="","",MAX(P43-Q43,0))</f>
        <v/>
      </c>
      <c r="S43" s="108">
        <f>IF(O43="","",IF(O43&gt;=1,"VERDE",IF(O43&gt;=0.9,"AMARELO","VERMELHO")))</f>
        <v/>
      </c>
      <c r="T43" s="109" t="n"/>
      <c r="U43" s="109" t="n"/>
      <c r="V43" s="110" t="n"/>
      <c r="W43" s="302" t="n"/>
    </row>
    <row r="44" ht="15.75" customHeight="1">
      <c r="A44" s="112" t="n">
        <v>7</v>
      </c>
      <c r="B44" s="301" t="n">
        <v>46300</v>
      </c>
      <c r="C44" s="301" t="n">
        <v>46304</v>
      </c>
      <c r="D44" s="114" t="inlineStr">
        <is>
          <t>CMM</t>
        </is>
      </c>
      <c r="E44" s="115" t="inlineStr">
        <is>
          <t>VIGAS</t>
        </is>
      </c>
      <c r="F44" s="296">
        <f>IF(OR(D44="",E44=""),"",IF(COUNTIFS('METAS EMPRESAS'!$A$5:$A$10,D44,'METAS EMPRESAS'!$B$5:$B$10,E44)=0,"",SUMIFS('METAS EMPRESAS'!$C$5:$C$10,'METAS EMPRESAS'!$A$5:$A$10,D44,'METAS EMPRESAS'!$B$5:$B$10,E44)))</f>
        <v/>
      </c>
      <c r="G44" s="297" t="n">
        <v>5</v>
      </c>
      <c r="H44" s="298">
        <f>IF(F44="","",F44*G44)</f>
        <v/>
      </c>
      <c r="I44" s="298">
        <f>IF(M38="",0,M38)</f>
        <v/>
      </c>
      <c r="J44" s="298">
        <f>IF(H44="","",H44+I44)</f>
        <v/>
      </c>
      <c r="K44" s="298">
        <f>IF(J44="","",J44/G44)</f>
        <v/>
      </c>
      <c r="L44" s="297">
        <f>IF(OR($B44="",$C44="",$D44="",$E44=""),"",IF($D44="EJ",IF($E44="PREMONTAGEM",IF((COUNTIFS('CONTROLE PRODUÇÃO POR EMPRESAS'!$A$6:$A$1000,"&gt;="&amp;$B44,'CONTROLE PRODUÇÃO POR EMPRESAS'!$A$6:$A$1000,"&lt;="&amp;$C44,'CONTROLE PRODUÇÃO POR EMPRESAS'!$B$6:$B$1000,"&gt;=0")+COUNTIFS('CONTROLE PRODUÇÃO POR EMPRESAS'!$A$6:$A$1000,"&gt;="&amp;$B44,'CONTROLE PRODUÇÃO POR EMPRESAS'!$A$6:$A$1000,"&lt;="&amp;$C44,'CONTROLE PRODUÇÃO POR EMPRESAS'!$B$6:$B$1000,"?*"))=0,"",SUMIFS('CONTROLE PRODUÇÃO POR EMPRESAS'!$B$6:$B$1000,'CONTROLE PRODUÇÃO POR EMPRESAS'!$A$6:$A$1000,"&gt;="&amp;$B44,'CONTROLE PRODUÇÃO POR EMPRESAS'!$A$6:$A$1000,"&lt;="&amp;$C44)),IF($E44="IÇAMENTO JOIST",IF((COUNTIFS('CONTROLE PRODUÇÃO POR EMPRESAS'!$A$6:$A$1000,"&gt;="&amp;$B44,'CONTROLE PRODUÇÃO POR EMPRESAS'!$A$6:$A$1000,"&lt;="&amp;$C44,'CONTROLE PRODUÇÃO POR EMPRESAS'!$C$6:$C$1000,"&gt;=0")+COUNTIFS('CONTROLE PRODUÇÃO POR EMPRESAS'!$A$6:$A$1000,"&gt;="&amp;$B44,'CONTROLE PRODUÇÃO POR EMPRESAS'!$A$6:$A$1000,"&lt;="&amp;$C44,'CONTROLE PRODUÇÃO POR EMPRESAS'!$C$6:$C$1000,"?*"))=0,"",SUMIFS('CONTROLE PRODUÇÃO POR EMPRESAS'!$C$6:$C$1000,'CONTROLE PRODUÇÃO POR EMPRESAS'!$A$6:$A$1000,"&gt;="&amp;$B44,'CONTROLE PRODUÇÃO POR EMPRESAS'!$A$6:$A$1000,"&lt;="&amp;$C44)),IF($E44="VIGAS",IF((COUNTIFS('CONTROLE PRODUÇÃO POR EMPRESAS'!$A$6:$A$1000,"&gt;="&amp;$B44,'CONTROLE PRODUÇÃO POR EMPRESAS'!$A$6:$A$1000,"&lt;="&amp;$C44,'CONTROLE PRODUÇÃO POR EMPRESAS'!$D$6:$D$1000,"&gt;=0")+COUNTIFS('CONTROLE PRODUÇÃO POR EMPRESAS'!$A$6:$A$1000,"&gt;="&amp;$B44,'CONTROLE PRODUÇÃO POR EMPRESAS'!$A$6:$A$1000,"&lt;="&amp;$C44,'CONTROLE PRODUÇÃO POR EMPRESAS'!$D$6:$D$1000,"?*"))=0,"",SUMIFS('CONTROLE PRODUÇÃO POR EMPRESAS'!$D$6:$D$1000,'CONTROLE PRODUÇÃO POR EMPRESAS'!$A$6:$A$1000,"&gt;="&amp;$B44,'CONTROLE PRODUÇÃO POR EMPRESAS'!$A$6:$A$1000,"&lt;="&amp;$C44)),""))),IF($D44="CMM",IF($E44="PREMONTAGEM",IF((COUNTIFS('CONTROLE PRODUÇÃO POR EMPRESAS'!$A$6:$A$1000,"&gt;="&amp;$B44,'CONTROLE PRODUÇÃO POR EMPRESAS'!$A$6:$A$1000,"&lt;="&amp;$C44,'CONTROLE PRODUÇÃO POR EMPRESAS'!$E$6:$E$1000,"&gt;=0")+COUNTIFS('CONTROLE PRODUÇÃO POR EMPRESAS'!$A$6:$A$1000,"&gt;="&amp;$B44,'CONTROLE PRODUÇÃO POR EMPRESAS'!$A$6:$A$1000,"&lt;="&amp;$C44,'CONTROLE PRODUÇÃO POR EMPRESAS'!$E$6:$E$1000,"?*"))=0,"",SUMIFS('CONTROLE PRODUÇÃO POR EMPRESAS'!$E$6:$E$1000,'CONTROLE PRODUÇÃO POR EMPRESAS'!$A$6:$A$1000,"&gt;="&amp;$B44,'CONTROLE PRODUÇÃO POR EMPRESAS'!$A$6:$A$1000,"&lt;="&amp;$C44)),IF($E44="IÇAMENTO JOIST",IF((COUNTIFS('CONTROLE PRODUÇÃO POR EMPRESAS'!$A$6:$A$1000,"&gt;="&amp;$B44,'CONTROLE PRODUÇÃO POR EMPRESAS'!$A$6:$A$1000,"&lt;="&amp;$C44,'CONTROLE PRODUÇÃO POR EMPRESAS'!$F$6:$F$1000,"&gt;=0")+COUNTIFS('CONTROLE PRODUÇÃO POR EMPRESAS'!$A$6:$A$1000,"&gt;="&amp;$B44,'CONTROLE PRODUÇÃO POR EMPRESAS'!$A$6:$A$1000,"&lt;="&amp;$C44,'CONTROLE PRODUÇÃO POR EMPRESAS'!$F$6:$F$1000,"?*"))=0,"",SUMIFS('CONTROLE PRODUÇÃO POR EMPRESAS'!$F$6:$F$1000,'CONTROLE PRODUÇÃO POR EMPRESAS'!$A$6:$A$1000,"&gt;="&amp;$B44,'CONTROLE PRODUÇÃO POR EMPRESAS'!$A$6:$A$1000,"&lt;="&amp;$C44)),IF($E44="VIGAS",IF((COUNTIFS('CONTROLE PRODUÇÃO POR EMPRESAS'!$A$6:$A$1000,"&gt;="&amp;$B44,'CONTROLE PRODUÇÃO POR EMPRESAS'!$A$6:$A$1000,"&lt;="&amp;$C44,'CONTROLE PRODUÇÃO POR EMPRESAS'!$G$6:$G$1000,"&gt;=0")+COUNTIFS('CONTROLE PRODUÇÃO POR EMPRESAS'!$A$6:$A$1000,"&gt;="&amp;$B44,'CONTROLE PRODUÇÃO POR EMPRESAS'!$A$6:$A$1000,"&lt;="&amp;$C44,'CONTROLE PRODUÇÃO POR EMPRESAS'!$G$6:$G$1000,"?*"))=0,"",SUMIFS('CONTROLE PRODUÇÃO POR EMPRESAS'!$G$6:$G$1000,'CONTROLE PRODUÇÃO POR EMPRESAS'!$A$6:$A$1000,"&gt;="&amp;$B44,'CONTROLE PRODUÇÃO POR EMPRESAS'!$A$6:$A$1000,"&lt;="&amp;$C44)),""))),"")))</f>
        <v/>
      </c>
      <c r="M44" s="298">
        <f>IF(L44="","",MAX(J44-L44,0))</f>
        <v/>
      </c>
      <c r="N44" s="298">
        <f>IF(L44="","",MAX(L44-J44,0))</f>
        <v/>
      </c>
      <c r="O44" s="299">
        <f>IF(L44="","",IFERROR(L44/J44,""))</f>
        <v/>
      </c>
      <c r="P44" s="298">
        <f>IF(H44="","",SUMIFS($H$6:H44,$D$6:D44,D44,$E$6:E44,E44))</f>
        <v/>
      </c>
      <c r="Q44" s="298">
        <f>IF(L44="","",SUMIFS($L$6:L44,$D$6:D44,D44,$E$6:E44,E44))</f>
        <v/>
      </c>
      <c r="R44" s="298">
        <f>IF(Q44="","",MAX(P44-Q44,0))</f>
        <v/>
      </c>
      <c r="S44" s="108">
        <f>IF(O44="","",IF(O44&gt;=1,"VERDE",IF(O44&gt;=0.9,"AMARELO","VERMELHO")))</f>
        <v/>
      </c>
      <c r="T44" s="109" t="n"/>
      <c r="U44" s="109" t="n"/>
      <c r="V44" s="110" t="n"/>
      <c r="W44" s="302" t="n"/>
    </row>
    <row r="45" ht="15.75" customHeight="1">
      <c r="A45" s="117" t="n">
        <v>7</v>
      </c>
      <c r="B45" s="295" t="n">
        <v>46300</v>
      </c>
      <c r="C45" s="295" t="n">
        <v>46304</v>
      </c>
      <c r="D45" s="101" t="inlineStr">
        <is>
          <t>EJ</t>
        </is>
      </c>
      <c r="E45" s="103" t="inlineStr">
        <is>
          <t>PREMONTAGEM</t>
        </is>
      </c>
      <c r="F45" s="296">
        <f>IF(OR(D45="",E45=""),"",IF(COUNTIFS('METAS EMPRESAS'!$A$5:$A$10,D45,'METAS EMPRESAS'!$B$5:$B$10,E45)=0,"",SUMIFS('METAS EMPRESAS'!$C$5:$C$10,'METAS EMPRESAS'!$A$5:$A$10,D45,'METAS EMPRESAS'!$B$5:$B$10,E45)))</f>
        <v/>
      </c>
      <c r="G45" s="297" t="n">
        <v>5</v>
      </c>
      <c r="H45" s="298">
        <f>IF(F45="","",F45*G45)</f>
        <v/>
      </c>
      <c r="I45" s="298">
        <f>IF(M39="",0,M39)</f>
        <v/>
      </c>
      <c r="J45" s="298">
        <f>IF(H45="","",H45+I45)</f>
        <v/>
      </c>
      <c r="K45" s="298">
        <f>IF(J45="","",J45/G45)</f>
        <v/>
      </c>
      <c r="L45" s="297">
        <f>IF(OR($B45="",$C45="",$D45="",$E45=""),"",IF($D45="EJ",IF($E45="PREMONTAGEM",IF((COUNTIFS('CONTROLE PRODUÇÃO POR EMPRESAS'!$A$6:$A$1000,"&gt;="&amp;$B45,'CONTROLE PRODUÇÃO POR EMPRESAS'!$A$6:$A$1000,"&lt;="&amp;$C45,'CONTROLE PRODUÇÃO POR EMPRESAS'!$B$6:$B$1000,"&gt;=0")+COUNTIFS('CONTROLE PRODUÇÃO POR EMPRESAS'!$A$6:$A$1000,"&gt;="&amp;$B45,'CONTROLE PRODUÇÃO POR EMPRESAS'!$A$6:$A$1000,"&lt;="&amp;$C45,'CONTROLE PRODUÇÃO POR EMPRESAS'!$B$6:$B$1000,"?*"))=0,"",SUMIFS('CONTROLE PRODUÇÃO POR EMPRESAS'!$B$6:$B$1000,'CONTROLE PRODUÇÃO POR EMPRESAS'!$A$6:$A$1000,"&gt;="&amp;$B45,'CONTROLE PRODUÇÃO POR EMPRESAS'!$A$6:$A$1000,"&lt;="&amp;$C45)),IF($E45="IÇAMENTO JOIST",IF((COUNTIFS('CONTROLE PRODUÇÃO POR EMPRESAS'!$A$6:$A$1000,"&gt;="&amp;$B45,'CONTROLE PRODUÇÃO POR EMPRESAS'!$A$6:$A$1000,"&lt;="&amp;$C45,'CONTROLE PRODUÇÃO POR EMPRESAS'!$C$6:$C$1000,"&gt;=0")+COUNTIFS('CONTROLE PRODUÇÃO POR EMPRESAS'!$A$6:$A$1000,"&gt;="&amp;$B45,'CONTROLE PRODUÇÃO POR EMPRESAS'!$A$6:$A$1000,"&lt;="&amp;$C45,'CONTROLE PRODUÇÃO POR EMPRESAS'!$C$6:$C$1000,"?*"))=0,"",SUMIFS('CONTROLE PRODUÇÃO POR EMPRESAS'!$C$6:$C$1000,'CONTROLE PRODUÇÃO POR EMPRESAS'!$A$6:$A$1000,"&gt;="&amp;$B45,'CONTROLE PRODUÇÃO POR EMPRESAS'!$A$6:$A$1000,"&lt;="&amp;$C45)),IF($E45="VIGAS",IF((COUNTIFS('CONTROLE PRODUÇÃO POR EMPRESAS'!$A$6:$A$1000,"&gt;="&amp;$B45,'CONTROLE PRODUÇÃO POR EMPRESAS'!$A$6:$A$1000,"&lt;="&amp;$C45,'CONTROLE PRODUÇÃO POR EMPRESAS'!$D$6:$D$1000,"&gt;=0")+COUNTIFS('CONTROLE PRODUÇÃO POR EMPRESAS'!$A$6:$A$1000,"&gt;="&amp;$B45,'CONTROLE PRODUÇÃO POR EMPRESAS'!$A$6:$A$1000,"&lt;="&amp;$C45,'CONTROLE PRODUÇÃO POR EMPRESAS'!$D$6:$D$1000,"?*"))=0,"",SUMIFS('CONTROLE PRODUÇÃO POR EMPRESAS'!$D$6:$D$1000,'CONTROLE PRODUÇÃO POR EMPRESAS'!$A$6:$A$1000,"&gt;="&amp;$B45,'CONTROLE PRODUÇÃO POR EMPRESAS'!$A$6:$A$1000,"&lt;="&amp;$C45)),""))),IF($D45="CMM",IF($E45="PREMONTAGEM",IF((COUNTIFS('CONTROLE PRODUÇÃO POR EMPRESAS'!$A$6:$A$1000,"&gt;="&amp;$B45,'CONTROLE PRODUÇÃO POR EMPRESAS'!$A$6:$A$1000,"&lt;="&amp;$C45,'CONTROLE PRODUÇÃO POR EMPRESAS'!$E$6:$E$1000,"&gt;=0")+COUNTIFS('CONTROLE PRODUÇÃO POR EMPRESAS'!$A$6:$A$1000,"&gt;="&amp;$B45,'CONTROLE PRODUÇÃO POR EMPRESAS'!$A$6:$A$1000,"&lt;="&amp;$C45,'CONTROLE PRODUÇÃO POR EMPRESAS'!$E$6:$E$1000,"?*"))=0,"",SUMIFS('CONTROLE PRODUÇÃO POR EMPRESAS'!$E$6:$E$1000,'CONTROLE PRODUÇÃO POR EMPRESAS'!$A$6:$A$1000,"&gt;="&amp;$B45,'CONTROLE PRODUÇÃO POR EMPRESAS'!$A$6:$A$1000,"&lt;="&amp;$C45)),IF($E45="IÇAMENTO JOIST",IF((COUNTIFS('CONTROLE PRODUÇÃO POR EMPRESAS'!$A$6:$A$1000,"&gt;="&amp;$B45,'CONTROLE PRODUÇÃO POR EMPRESAS'!$A$6:$A$1000,"&lt;="&amp;$C45,'CONTROLE PRODUÇÃO POR EMPRESAS'!$F$6:$F$1000,"&gt;=0")+COUNTIFS('CONTROLE PRODUÇÃO POR EMPRESAS'!$A$6:$A$1000,"&gt;="&amp;$B45,'CONTROLE PRODUÇÃO POR EMPRESAS'!$A$6:$A$1000,"&lt;="&amp;$C45,'CONTROLE PRODUÇÃO POR EMPRESAS'!$F$6:$F$1000,"?*"))=0,"",SUMIFS('CONTROLE PRODUÇÃO POR EMPRESAS'!$F$6:$F$1000,'CONTROLE PRODUÇÃO POR EMPRESAS'!$A$6:$A$1000,"&gt;="&amp;$B45,'CONTROLE PRODUÇÃO POR EMPRESAS'!$A$6:$A$1000,"&lt;="&amp;$C45)),IF($E45="VIGAS",IF((COUNTIFS('CONTROLE PRODUÇÃO POR EMPRESAS'!$A$6:$A$1000,"&gt;="&amp;$B45,'CONTROLE PRODUÇÃO POR EMPRESAS'!$A$6:$A$1000,"&lt;="&amp;$C45,'CONTROLE PRODUÇÃO POR EMPRESAS'!$G$6:$G$1000,"&gt;=0")+COUNTIFS('CONTROLE PRODUÇÃO POR EMPRESAS'!$A$6:$A$1000,"&gt;="&amp;$B45,'CONTROLE PRODUÇÃO POR EMPRESAS'!$A$6:$A$1000,"&lt;="&amp;$C45,'CONTROLE PRODUÇÃO POR EMPRESAS'!$G$6:$G$1000,"?*"))=0,"",SUMIFS('CONTROLE PRODUÇÃO POR EMPRESAS'!$G$6:$G$1000,'CONTROLE PRODUÇÃO POR EMPRESAS'!$A$6:$A$1000,"&gt;="&amp;$B45,'CONTROLE PRODUÇÃO POR EMPRESAS'!$A$6:$A$1000,"&lt;="&amp;$C45)),""))),"")))</f>
        <v/>
      </c>
      <c r="M45" s="298">
        <f>IF(L45="","",MAX(J45-L45,0))</f>
        <v/>
      </c>
      <c r="N45" s="298">
        <f>IF(L45="","",MAX(L45-J45,0))</f>
        <v/>
      </c>
      <c r="O45" s="299">
        <f>IF(L45="","",IFERROR(L45/J45,""))</f>
        <v/>
      </c>
      <c r="P45" s="298">
        <f>IF(H45="","",SUMIFS($H$6:H45,$D$6:D45,D45,$E$6:E45,E45))</f>
        <v/>
      </c>
      <c r="Q45" s="298">
        <f>IF(L45="","",SUMIFS($L$6:L45,$D$6:D45,D45,$E$6:E45,E45))</f>
        <v/>
      </c>
      <c r="R45" s="298">
        <f>IF(Q45="","",MAX(P45-Q45,0))</f>
        <v/>
      </c>
      <c r="S45" s="108">
        <f>IF(O45="","",IF(O45&gt;=1,"VERDE",IF(O45&gt;=0.9,"AMARELO","VERMELHO")))</f>
        <v/>
      </c>
      <c r="T45" s="109" t="n"/>
      <c r="U45" s="109" t="n"/>
      <c r="V45" s="110" t="n"/>
      <c r="W45" s="302" t="n"/>
    </row>
    <row r="46" ht="15.75" customHeight="1">
      <c r="A46" s="112" t="n">
        <v>7</v>
      </c>
      <c r="B46" s="301" t="n">
        <v>46300</v>
      </c>
      <c r="C46" s="301" t="n">
        <v>46304</v>
      </c>
      <c r="D46" s="114" t="inlineStr">
        <is>
          <t>EJ</t>
        </is>
      </c>
      <c r="E46" s="115" t="inlineStr">
        <is>
          <t>IÇAMENTO JOIST</t>
        </is>
      </c>
      <c r="F46" s="296">
        <f>IF(OR(D46="",E46=""),"",IF(COUNTIFS('METAS EMPRESAS'!$A$5:$A$10,D46,'METAS EMPRESAS'!$B$5:$B$10,E46)=0,"",SUMIFS('METAS EMPRESAS'!$C$5:$C$10,'METAS EMPRESAS'!$A$5:$A$10,D46,'METAS EMPRESAS'!$B$5:$B$10,E46)))</f>
        <v/>
      </c>
      <c r="G46" s="297" t="n">
        <v>5</v>
      </c>
      <c r="H46" s="298">
        <f>IF(F46="","",F46*G46)</f>
        <v/>
      </c>
      <c r="I46" s="298">
        <f>IF(M40="",0,M40)</f>
        <v/>
      </c>
      <c r="J46" s="298">
        <f>IF(H46="","",H46+I46)</f>
        <v/>
      </c>
      <c r="K46" s="298">
        <f>IF(J46="","",J46/G46)</f>
        <v/>
      </c>
      <c r="L46" s="297">
        <f>IF(OR($B46="",$C46="",$D46="",$E46=""),"",IF($D46="EJ",IF($E46="PREMONTAGEM",IF((COUNTIFS('CONTROLE PRODUÇÃO POR EMPRESAS'!$A$6:$A$1000,"&gt;="&amp;$B46,'CONTROLE PRODUÇÃO POR EMPRESAS'!$A$6:$A$1000,"&lt;="&amp;$C46,'CONTROLE PRODUÇÃO POR EMPRESAS'!$B$6:$B$1000,"&gt;=0")+COUNTIFS('CONTROLE PRODUÇÃO POR EMPRESAS'!$A$6:$A$1000,"&gt;="&amp;$B46,'CONTROLE PRODUÇÃO POR EMPRESAS'!$A$6:$A$1000,"&lt;="&amp;$C46,'CONTROLE PRODUÇÃO POR EMPRESAS'!$B$6:$B$1000,"?*"))=0,"",SUMIFS('CONTROLE PRODUÇÃO POR EMPRESAS'!$B$6:$B$1000,'CONTROLE PRODUÇÃO POR EMPRESAS'!$A$6:$A$1000,"&gt;="&amp;$B46,'CONTROLE PRODUÇÃO POR EMPRESAS'!$A$6:$A$1000,"&lt;="&amp;$C46)),IF($E46="IÇAMENTO JOIST",IF((COUNTIFS('CONTROLE PRODUÇÃO POR EMPRESAS'!$A$6:$A$1000,"&gt;="&amp;$B46,'CONTROLE PRODUÇÃO POR EMPRESAS'!$A$6:$A$1000,"&lt;="&amp;$C46,'CONTROLE PRODUÇÃO POR EMPRESAS'!$C$6:$C$1000,"&gt;=0")+COUNTIFS('CONTROLE PRODUÇÃO POR EMPRESAS'!$A$6:$A$1000,"&gt;="&amp;$B46,'CONTROLE PRODUÇÃO POR EMPRESAS'!$A$6:$A$1000,"&lt;="&amp;$C46,'CONTROLE PRODUÇÃO POR EMPRESAS'!$C$6:$C$1000,"?*"))=0,"",SUMIFS('CONTROLE PRODUÇÃO POR EMPRESAS'!$C$6:$C$1000,'CONTROLE PRODUÇÃO POR EMPRESAS'!$A$6:$A$1000,"&gt;="&amp;$B46,'CONTROLE PRODUÇÃO POR EMPRESAS'!$A$6:$A$1000,"&lt;="&amp;$C46)),IF($E46="VIGAS",IF((COUNTIFS('CONTROLE PRODUÇÃO POR EMPRESAS'!$A$6:$A$1000,"&gt;="&amp;$B46,'CONTROLE PRODUÇÃO POR EMPRESAS'!$A$6:$A$1000,"&lt;="&amp;$C46,'CONTROLE PRODUÇÃO POR EMPRESAS'!$D$6:$D$1000,"&gt;=0")+COUNTIFS('CONTROLE PRODUÇÃO POR EMPRESAS'!$A$6:$A$1000,"&gt;="&amp;$B46,'CONTROLE PRODUÇÃO POR EMPRESAS'!$A$6:$A$1000,"&lt;="&amp;$C46,'CONTROLE PRODUÇÃO POR EMPRESAS'!$D$6:$D$1000,"?*"))=0,"",SUMIFS('CONTROLE PRODUÇÃO POR EMPRESAS'!$D$6:$D$1000,'CONTROLE PRODUÇÃO POR EMPRESAS'!$A$6:$A$1000,"&gt;="&amp;$B46,'CONTROLE PRODUÇÃO POR EMPRESAS'!$A$6:$A$1000,"&lt;="&amp;$C46)),""))),IF($D46="CMM",IF($E46="PREMONTAGEM",IF((COUNTIFS('CONTROLE PRODUÇÃO POR EMPRESAS'!$A$6:$A$1000,"&gt;="&amp;$B46,'CONTROLE PRODUÇÃO POR EMPRESAS'!$A$6:$A$1000,"&lt;="&amp;$C46,'CONTROLE PRODUÇÃO POR EMPRESAS'!$E$6:$E$1000,"&gt;=0")+COUNTIFS('CONTROLE PRODUÇÃO POR EMPRESAS'!$A$6:$A$1000,"&gt;="&amp;$B46,'CONTROLE PRODUÇÃO POR EMPRESAS'!$A$6:$A$1000,"&lt;="&amp;$C46,'CONTROLE PRODUÇÃO POR EMPRESAS'!$E$6:$E$1000,"?*"))=0,"",SUMIFS('CONTROLE PRODUÇÃO POR EMPRESAS'!$E$6:$E$1000,'CONTROLE PRODUÇÃO POR EMPRESAS'!$A$6:$A$1000,"&gt;="&amp;$B46,'CONTROLE PRODUÇÃO POR EMPRESAS'!$A$6:$A$1000,"&lt;="&amp;$C46)),IF($E46="IÇAMENTO JOIST",IF((COUNTIFS('CONTROLE PRODUÇÃO POR EMPRESAS'!$A$6:$A$1000,"&gt;="&amp;$B46,'CONTROLE PRODUÇÃO POR EMPRESAS'!$A$6:$A$1000,"&lt;="&amp;$C46,'CONTROLE PRODUÇÃO POR EMPRESAS'!$F$6:$F$1000,"&gt;=0")+COUNTIFS('CONTROLE PRODUÇÃO POR EMPRESAS'!$A$6:$A$1000,"&gt;="&amp;$B46,'CONTROLE PRODUÇÃO POR EMPRESAS'!$A$6:$A$1000,"&lt;="&amp;$C46,'CONTROLE PRODUÇÃO POR EMPRESAS'!$F$6:$F$1000,"?*"))=0,"",SUMIFS('CONTROLE PRODUÇÃO POR EMPRESAS'!$F$6:$F$1000,'CONTROLE PRODUÇÃO POR EMPRESAS'!$A$6:$A$1000,"&gt;="&amp;$B46,'CONTROLE PRODUÇÃO POR EMPRESAS'!$A$6:$A$1000,"&lt;="&amp;$C46)),IF($E46="VIGAS",IF((COUNTIFS('CONTROLE PRODUÇÃO POR EMPRESAS'!$A$6:$A$1000,"&gt;="&amp;$B46,'CONTROLE PRODUÇÃO POR EMPRESAS'!$A$6:$A$1000,"&lt;="&amp;$C46,'CONTROLE PRODUÇÃO POR EMPRESAS'!$G$6:$G$1000,"&gt;=0")+COUNTIFS('CONTROLE PRODUÇÃO POR EMPRESAS'!$A$6:$A$1000,"&gt;="&amp;$B46,'CONTROLE PRODUÇÃO POR EMPRESAS'!$A$6:$A$1000,"&lt;="&amp;$C46,'CONTROLE PRODUÇÃO POR EMPRESAS'!$G$6:$G$1000,"?*"))=0,"",SUMIFS('CONTROLE PRODUÇÃO POR EMPRESAS'!$G$6:$G$1000,'CONTROLE PRODUÇÃO POR EMPRESAS'!$A$6:$A$1000,"&gt;="&amp;$B46,'CONTROLE PRODUÇÃO POR EMPRESAS'!$A$6:$A$1000,"&lt;="&amp;$C46)),""))),"")))</f>
        <v/>
      </c>
      <c r="M46" s="298">
        <f>IF(L46="","",MAX(J46-L46,0))</f>
        <v/>
      </c>
      <c r="N46" s="298">
        <f>IF(L46="","",MAX(L46-J46,0))</f>
        <v/>
      </c>
      <c r="O46" s="299">
        <f>IF(L46="","",IFERROR(L46/J46,""))</f>
        <v/>
      </c>
      <c r="P46" s="298">
        <f>IF(H46="","",SUMIFS($H$6:H46,$D$6:D46,D46,$E$6:E46,E46))</f>
        <v/>
      </c>
      <c r="Q46" s="298">
        <f>IF(L46="","",SUMIFS($L$6:L46,$D$6:D46,D46,$E$6:E46,E46))</f>
        <v/>
      </c>
      <c r="R46" s="298">
        <f>IF(Q46="","",MAX(P46-Q46,0))</f>
        <v/>
      </c>
      <c r="S46" s="108">
        <f>IF(O46="","",IF(O46&gt;=1,"VERDE",IF(O46&gt;=0.9,"AMARELO","VERMELHO")))</f>
        <v/>
      </c>
      <c r="T46" s="109" t="n"/>
      <c r="U46" s="109" t="n"/>
      <c r="V46" s="110" t="n"/>
      <c r="W46" s="302" t="n"/>
    </row>
    <row r="47" ht="15.75" customHeight="1">
      <c r="A47" s="117" t="n">
        <v>7</v>
      </c>
      <c r="B47" s="295" t="n">
        <v>46300</v>
      </c>
      <c r="C47" s="295" t="n">
        <v>46304</v>
      </c>
      <c r="D47" s="101" t="inlineStr">
        <is>
          <t>EJ</t>
        </is>
      </c>
      <c r="E47" s="103" t="inlineStr">
        <is>
          <t>VIGAS</t>
        </is>
      </c>
      <c r="F47" s="296">
        <f>IF(OR(D47="",E47=""),"",IF(COUNTIFS('METAS EMPRESAS'!$A$5:$A$10,D47,'METAS EMPRESAS'!$B$5:$B$10,E47)=0,"",SUMIFS('METAS EMPRESAS'!$C$5:$C$10,'METAS EMPRESAS'!$A$5:$A$10,D47,'METAS EMPRESAS'!$B$5:$B$10,E47)))</f>
        <v/>
      </c>
      <c r="G47" s="297" t="n">
        <v>5</v>
      </c>
      <c r="H47" s="298">
        <f>IF(F47="","",F47*G47)</f>
        <v/>
      </c>
      <c r="I47" s="298">
        <f>IF(M41="",0,M41)</f>
        <v/>
      </c>
      <c r="J47" s="298">
        <f>IF(H47="","",H47+I47)</f>
        <v/>
      </c>
      <c r="K47" s="298">
        <f>IF(J47="","",J47/G47)</f>
        <v/>
      </c>
      <c r="L47" s="297">
        <f>IF(OR($B47="",$C47="",$D47="",$E47=""),"",IF($D47="EJ",IF($E47="PREMONTAGEM",IF((COUNTIFS('CONTROLE PRODUÇÃO POR EMPRESAS'!$A$6:$A$1000,"&gt;="&amp;$B47,'CONTROLE PRODUÇÃO POR EMPRESAS'!$A$6:$A$1000,"&lt;="&amp;$C47,'CONTROLE PRODUÇÃO POR EMPRESAS'!$B$6:$B$1000,"&gt;=0")+COUNTIFS('CONTROLE PRODUÇÃO POR EMPRESAS'!$A$6:$A$1000,"&gt;="&amp;$B47,'CONTROLE PRODUÇÃO POR EMPRESAS'!$A$6:$A$1000,"&lt;="&amp;$C47,'CONTROLE PRODUÇÃO POR EMPRESAS'!$B$6:$B$1000,"?*"))=0,"",SUMIFS('CONTROLE PRODUÇÃO POR EMPRESAS'!$B$6:$B$1000,'CONTROLE PRODUÇÃO POR EMPRESAS'!$A$6:$A$1000,"&gt;="&amp;$B47,'CONTROLE PRODUÇÃO POR EMPRESAS'!$A$6:$A$1000,"&lt;="&amp;$C47)),IF($E47="IÇAMENTO JOIST",IF((COUNTIFS('CONTROLE PRODUÇÃO POR EMPRESAS'!$A$6:$A$1000,"&gt;="&amp;$B47,'CONTROLE PRODUÇÃO POR EMPRESAS'!$A$6:$A$1000,"&lt;="&amp;$C47,'CONTROLE PRODUÇÃO POR EMPRESAS'!$C$6:$C$1000,"&gt;=0")+COUNTIFS('CONTROLE PRODUÇÃO POR EMPRESAS'!$A$6:$A$1000,"&gt;="&amp;$B47,'CONTROLE PRODUÇÃO POR EMPRESAS'!$A$6:$A$1000,"&lt;="&amp;$C47,'CONTROLE PRODUÇÃO POR EMPRESAS'!$C$6:$C$1000,"?*"))=0,"",SUMIFS('CONTROLE PRODUÇÃO POR EMPRESAS'!$C$6:$C$1000,'CONTROLE PRODUÇÃO POR EMPRESAS'!$A$6:$A$1000,"&gt;="&amp;$B47,'CONTROLE PRODUÇÃO POR EMPRESAS'!$A$6:$A$1000,"&lt;="&amp;$C47)),IF($E47="VIGAS",IF((COUNTIFS('CONTROLE PRODUÇÃO POR EMPRESAS'!$A$6:$A$1000,"&gt;="&amp;$B47,'CONTROLE PRODUÇÃO POR EMPRESAS'!$A$6:$A$1000,"&lt;="&amp;$C47,'CONTROLE PRODUÇÃO POR EMPRESAS'!$D$6:$D$1000,"&gt;=0")+COUNTIFS('CONTROLE PRODUÇÃO POR EMPRESAS'!$A$6:$A$1000,"&gt;="&amp;$B47,'CONTROLE PRODUÇÃO POR EMPRESAS'!$A$6:$A$1000,"&lt;="&amp;$C47,'CONTROLE PRODUÇÃO POR EMPRESAS'!$D$6:$D$1000,"?*"))=0,"",SUMIFS('CONTROLE PRODUÇÃO POR EMPRESAS'!$D$6:$D$1000,'CONTROLE PRODUÇÃO POR EMPRESAS'!$A$6:$A$1000,"&gt;="&amp;$B47,'CONTROLE PRODUÇÃO POR EMPRESAS'!$A$6:$A$1000,"&lt;="&amp;$C47)),""))),IF($D47="CMM",IF($E47="PREMONTAGEM",IF((COUNTIFS('CONTROLE PRODUÇÃO POR EMPRESAS'!$A$6:$A$1000,"&gt;="&amp;$B47,'CONTROLE PRODUÇÃO POR EMPRESAS'!$A$6:$A$1000,"&lt;="&amp;$C47,'CONTROLE PRODUÇÃO POR EMPRESAS'!$E$6:$E$1000,"&gt;=0")+COUNTIFS('CONTROLE PRODUÇÃO POR EMPRESAS'!$A$6:$A$1000,"&gt;="&amp;$B47,'CONTROLE PRODUÇÃO POR EMPRESAS'!$A$6:$A$1000,"&lt;="&amp;$C47,'CONTROLE PRODUÇÃO POR EMPRESAS'!$E$6:$E$1000,"?*"))=0,"",SUMIFS('CONTROLE PRODUÇÃO POR EMPRESAS'!$E$6:$E$1000,'CONTROLE PRODUÇÃO POR EMPRESAS'!$A$6:$A$1000,"&gt;="&amp;$B47,'CONTROLE PRODUÇÃO POR EMPRESAS'!$A$6:$A$1000,"&lt;="&amp;$C47)),IF($E47="IÇAMENTO JOIST",IF((COUNTIFS('CONTROLE PRODUÇÃO POR EMPRESAS'!$A$6:$A$1000,"&gt;="&amp;$B47,'CONTROLE PRODUÇÃO POR EMPRESAS'!$A$6:$A$1000,"&lt;="&amp;$C47,'CONTROLE PRODUÇÃO POR EMPRESAS'!$F$6:$F$1000,"&gt;=0")+COUNTIFS('CONTROLE PRODUÇÃO POR EMPRESAS'!$A$6:$A$1000,"&gt;="&amp;$B47,'CONTROLE PRODUÇÃO POR EMPRESAS'!$A$6:$A$1000,"&lt;="&amp;$C47,'CONTROLE PRODUÇÃO POR EMPRESAS'!$F$6:$F$1000,"?*"))=0,"",SUMIFS('CONTROLE PRODUÇÃO POR EMPRESAS'!$F$6:$F$1000,'CONTROLE PRODUÇÃO POR EMPRESAS'!$A$6:$A$1000,"&gt;="&amp;$B47,'CONTROLE PRODUÇÃO POR EMPRESAS'!$A$6:$A$1000,"&lt;="&amp;$C47)),IF($E47="VIGAS",IF((COUNTIFS('CONTROLE PRODUÇÃO POR EMPRESAS'!$A$6:$A$1000,"&gt;="&amp;$B47,'CONTROLE PRODUÇÃO POR EMPRESAS'!$A$6:$A$1000,"&lt;="&amp;$C47,'CONTROLE PRODUÇÃO POR EMPRESAS'!$G$6:$G$1000,"&gt;=0")+COUNTIFS('CONTROLE PRODUÇÃO POR EMPRESAS'!$A$6:$A$1000,"&gt;="&amp;$B47,'CONTROLE PRODUÇÃO POR EMPRESAS'!$A$6:$A$1000,"&lt;="&amp;$C47,'CONTROLE PRODUÇÃO POR EMPRESAS'!$G$6:$G$1000,"?*"))=0,"",SUMIFS('CONTROLE PRODUÇÃO POR EMPRESAS'!$G$6:$G$1000,'CONTROLE PRODUÇÃO POR EMPRESAS'!$A$6:$A$1000,"&gt;="&amp;$B47,'CONTROLE PRODUÇÃO POR EMPRESAS'!$A$6:$A$1000,"&lt;="&amp;$C47)),""))),"")))</f>
        <v/>
      </c>
      <c r="M47" s="298">
        <f>IF(L47="","",MAX(J47-L47,0))</f>
        <v/>
      </c>
      <c r="N47" s="298">
        <f>IF(L47="","",MAX(L47-J47,0))</f>
        <v/>
      </c>
      <c r="O47" s="299">
        <f>IF(L47="","",IFERROR(L47/J47,""))</f>
        <v/>
      </c>
      <c r="P47" s="298">
        <f>IF(H47="","",SUMIFS($H$6:H47,$D$6:D47,D47,$E$6:E47,E47))</f>
        <v/>
      </c>
      <c r="Q47" s="298">
        <f>IF(L47="","",SUMIFS($L$6:L47,$D$6:D47,D47,$E$6:E47,E47))</f>
        <v/>
      </c>
      <c r="R47" s="298">
        <f>IF(Q47="","",MAX(P47-Q47,0))</f>
        <v/>
      </c>
      <c r="S47" s="108">
        <f>IF(O47="","",IF(O47&gt;=1,"VERDE",IF(O47&gt;=0.9,"AMARELO","VERMELHO")))</f>
        <v/>
      </c>
      <c r="T47" s="109" t="n"/>
      <c r="U47" s="109" t="n"/>
      <c r="V47" s="110" t="n"/>
      <c r="W47" s="302" t="n"/>
    </row>
    <row r="48" ht="15.75" customHeight="1">
      <c r="A48" s="112" t="n">
        <v>8</v>
      </c>
      <c r="B48" s="301" t="n">
        <v>46307</v>
      </c>
      <c r="C48" s="301" t="n">
        <v>46311</v>
      </c>
      <c r="D48" s="114" t="inlineStr">
        <is>
          <t>CMM</t>
        </is>
      </c>
      <c r="E48" s="115" t="inlineStr">
        <is>
          <t>PREMONTAGEM</t>
        </is>
      </c>
      <c r="F48" s="296">
        <f>IF(OR(D48="",E48=""),"",IF(COUNTIFS('METAS EMPRESAS'!$A$5:$A$10,D48,'METAS EMPRESAS'!$B$5:$B$10,E48)=0,"",SUMIFS('METAS EMPRESAS'!$C$5:$C$10,'METAS EMPRESAS'!$A$5:$A$10,D48,'METAS EMPRESAS'!$B$5:$B$10,E48)))</f>
        <v/>
      </c>
      <c r="G48" s="297" t="n">
        <v>5</v>
      </c>
      <c r="H48" s="298">
        <f>IF(F48="","",F48*G48)</f>
        <v/>
      </c>
      <c r="I48" s="298">
        <f>IF(M42="",0,M42)</f>
        <v/>
      </c>
      <c r="J48" s="298">
        <f>IF(H48="","",H48+I48)</f>
        <v/>
      </c>
      <c r="K48" s="298">
        <f>IF(J48="","",J48/G48)</f>
        <v/>
      </c>
      <c r="L48" s="297">
        <f>IF(OR($B48="",$C48="",$D48="",$E48=""),"",IF($D48="EJ",IF($E48="PREMONTAGEM",IF((COUNTIFS('CONTROLE PRODUÇÃO POR EMPRESAS'!$A$6:$A$1000,"&gt;="&amp;$B48,'CONTROLE PRODUÇÃO POR EMPRESAS'!$A$6:$A$1000,"&lt;="&amp;$C48,'CONTROLE PRODUÇÃO POR EMPRESAS'!$B$6:$B$1000,"&gt;=0")+COUNTIFS('CONTROLE PRODUÇÃO POR EMPRESAS'!$A$6:$A$1000,"&gt;="&amp;$B48,'CONTROLE PRODUÇÃO POR EMPRESAS'!$A$6:$A$1000,"&lt;="&amp;$C48,'CONTROLE PRODUÇÃO POR EMPRESAS'!$B$6:$B$1000,"?*"))=0,"",SUMIFS('CONTROLE PRODUÇÃO POR EMPRESAS'!$B$6:$B$1000,'CONTROLE PRODUÇÃO POR EMPRESAS'!$A$6:$A$1000,"&gt;="&amp;$B48,'CONTROLE PRODUÇÃO POR EMPRESAS'!$A$6:$A$1000,"&lt;="&amp;$C48)),IF($E48="IÇAMENTO JOIST",IF((COUNTIFS('CONTROLE PRODUÇÃO POR EMPRESAS'!$A$6:$A$1000,"&gt;="&amp;$B48,'CONTROLE PRODUÇÃO POR EMPRESAS'!$A$6:$A$1000,"&lt;="&amp;$C48,'CONTROLE PRODUÇÃO POR EMPRESAS'!$C$6:$C$1000,"&gt;=0")+COUNTIFS('CONTROLE PRODUÇÃO POR EMPRESAS'!$A$6:$A$1000,"&gt;="&amp;$B48,'CONTROLE PRODUÇÃO POR EMPRESAS'!$A$6:$A$1000,"&lt;="&amp;$C48,'CONTROLE PRODUÇÃO POR EMPRESAS'!$C$6:$C$1000,"?*"))=0,"",SUMIFS('CONTROLE PRODUÇÃO POR EMPRESAS'!$C$6:$C$1000,'CONTROLE PRODUÇÃO POR EMPRESAS'!$A$6:$A$1000,"&gt;="&amp;$B48,'CONTROLE PRODUÇÃO POR EMPRESAS'!$A$6:$A$1000,"&lt;="&amp;$C48)),IF($E48="VIGAS",IF((COUNTIFS('CONTROLE PRODUÇÃO POR EMPRESAS'!$A$6:$A$1000,"&gt;="&amp;$B48,'CONTROLE PRODUÇÃO POR EMPRESAS'!$A$6:$A$1000,"&lt;="&amp;$C48,'CONTROLE PRODUÇÃO POR EMPRESAS'!$D$6:$D$1000,"&gt;=0")+COUNTIFS('CONTROLE PRODUÇÃO POR EMPRESAS'!$A$6:$A$1000,"&gt;="&amp;$B48,'CONTROLE PRODUÇÃO POR EMPRESAS'!$A$6:$A$1000,"&lt;="&amp;$C48,'CONTROLE PRODUÇÃO POR EMPRESAS'!$D$6:$D$1000,"?*"))=0,"",SUMIFS('CONTROLE PRODUÇÃO POR EMPRESAS'!$D$6:$D$1000,'CONTROLE PRODUÇÃO POR EMPRESAS'!$A$6:$A$1000,"&gt;="&amp;$B48,'CONTROLE PRODUÇÃO POR EMPRESAS'!$A$6:$A$1000,"&lt;="&amp;$C48)),""))),IF($D48="CMM",IF($E48="PREMONTAGEM",IF((COUNTIFS('CONTROLE PRODUÇÃO POR EMPRESAS'!$A$6:$A$1000,"&gt;="&amp;$B48,'CONTROLE PRODUÇÃO POR EMPRESAS'!$A$6:$A$1000,"&lt;="&amp;$C48,'CONTROLE PRODUÇÃO POR EMPRESAS'!$E$6:$E$1000,"&gt;=0")+COUNTIFS('CONTROLE PRODUÇÃO POR EMPRESAS'!$A$6:$A$1000,"&gt;="&amp;$B48,'CONTROLE PRODUÇÃO POR EMPRESAS'!$A$6:$A$1000,"&lt;="&amp;$C48,'CONTROLE PRODUÇÃO POR EMPRESAS'!$E$6:$E$1000,"?*"))=0,"",SUMIFS('CONTROLE PRODUÇÃO POR EMPRESAS'!$E$6:$E$1000,'CONTROLE PRODUÇÃO POR EMPRESAS'!$A$6:$A$1000,"&gt;="&amp;$B48,'CONTROLE PRODUÇÃO POR EMPRESAS'!$A$6:$A$1000,"&lt;="&amp;$C48)),IF($E48="IÇAMENTO JOIST",IF((COUNTIFS('CONTROLE PRODUÇÃO POR EMPRESAS'!$A$6:$A$1000,"&gt;="&amp;$B48,'CONTROLE PRODUÇÃO POR EMPRESAS'!$A$6:$A$1000,"&lt;="&amp;$C48,'CONTROLE PRODUÇÃO POR EMPRESAS'!$F$6:$F$1000,"&gt;=0")+COUNTIFS('CONTROLE PRODUÇÃO POR EMPRESAS'!$A$6:$A$1000,"&gt;="&amp;$B48,'CONTROLE PRODUÇÃO POR EMPRESAS'!$A$6:$A$1000,"&lt;="&amp;$C48,'CONTROLE PRODUÇÃO POR EMPRESAS'!$F$6:$F$1000,"?*"))=0,"",SUMIFS('CONTROLE PRODUÇÃO POR EMPRESAS'!$F$6:$F$1000,'CONTROLE PRODUÇÃO POR EMPRESAS'!$A$6:$A$1000,"&gt;="&amp;$B48,'CONTROLE PRODUÇÃO POR EMPRESAS'!$A$6:$A$1000,"&lt;="&amp;$C48)),IF($E48="VIGAS",IF((COUNTIFS('CONTROLE PRODUÇÃO POR EMPRESAS'!$A$6:$A$1000,"&gt;="&amp;$B48,'CONTROLE PRODUÇÃO POR EMPRESAS'!$A$6:$A$1000,"&lt;="&amp;$C48,'CONTROLE PRODUÇÃO POR EMPRESAS'!$G$6:$G$1000,"&gt;=0")+COUNTIFS('CONTROLE PRODUÇÃO POR EMPRESAS'!$A$6:$A$1000,"&gt;="&amp;$B48,'CONTROLE PRODUÇÃO POR EMPRESAS'!$A$6:$A$1000,"&lt;="&amp;$C48,'CONTROLE PRODUÇÃO POR EMPRESAS'!$G$6:$G$1000,"?*"))=0,"",SUMIFS('CONTROLE PRODUÇÃO POR EMPRESAS'!$G$6:$G$1000,'CONTROLE PRODUÇÃO POR EMPRESAS'!$A$6:$A$1000,"&gt;="&amp;$B48,'CONTROLE PRODUÇÃO POR EMPRESAS'!$A$6:$A$1000,"&lt;="&amp;$C48)),""))),"")))</f>
        <v/>
      </c>
      <c r="M48" s="298">
        <f>IF(L48="","",MAX(J48-L48,0))</f>
        <v/>
      </c>
      <c r="N48" s="298">
        <f>IF(L48="","",MAX(L48-J48,0))</f>
        <v/>
      </c>
      <c r="O48" s="299">
        <f>IF(L48="","",IFERROR(L48/J48,""))</f>
        <v/>
      </c>
      <c r="P48" s="298">
        <f>IF(H48="","",SUMIFS($H$6:H48,$D$6:D48,D48,$E$6:E48,E48))</f>
        <v/>
      </c>
      <c r="Q48" s="298">
        <f>IF(L48="","",SUMIFS($L$6:L48,$D$6:D48,D48,$E$6:E48,E48))</f>
        <v/>
      </c>
      <c r="R48" s="298">
        <f>IF(Q48="","",MAX(P48-Q48,0))</f>
        <v/>
      </c>
      <c r="S48" s="108">
        <f>IF(O48="","",IF(O48&gt;=1,"VERDE",IF(O48&gt;=0.9,"AMARELO","VERMELHO")))</f>
        <v/>
      </c>
      <c r="T48" s="109" t="n"/>
      <c r="U48" s="109" t="n"/>
      <c r="V48" s="110" t="n"/>
      <c r="W48" s="302" t="n"/>
    </row>
    <row r="49" ht="15.75" customHeight="1">
      <c r="A49" s="117" t="n">
        <v>8</v>
      </c>
      <c r="B49" s="295" t="n">
        <v>46307</v>
      </c>
      <c r="C49" s="295" t="n">
        <v>46311</v>
      </c>
      <c r="D49" s="101" t="inlineStr">
        <is>
          <t>CMM</t>
        </is>
      </c>
      <c r="E49" s="103" t="inlineStr">
        <is>
          <t>IÇAMENTO JOIST</t>
        </is>
      </c>
      <c r="F49" s="296">
        <f>IF(OR(D49="",E49=""),"",IF(COUNTIFS('METAS EMPRESAS'!$A$5:$A$10,D49,'METAS EMPRESAS'!$B$5:$B$10,E49)=0,"",SUMIFS('METAS EMPRESAS'!$C$5:$C$10,'METAS EMPRESAS'!$A$5:$A$10,D49,'METAS EMPRESAS'!$B$5:$B$10,E49)))</f>
        <v/>
      </c>
      <c r="G49" s="297" t="n">
        <v>5</v>
      </c>
      <c r="H49" s="298">
        <f>IF(F49="","",F49*G49)</f>
        <v/>
      </c>
      <c r="I49" s="298">
        <f>IF(M43="",0,M43)</f>
        <v/>
      </c>
      <c r="J49" s="298">
        <f>IF(H49="","",H49+I49)</f>
        <v/>
      </c>
      <c r="K49" s="298">
        <f>IF(J49="","",J49/G49)</f>
        <v/>
      </c>
      <c r="L49" s="297">
        <f>IF(OR($B49="",$C49="",$D49="",$E49=""),"",IF($D49="EJ",IF($E49="PREMONTAGEM",IF((COUNTIFS('CONTROLE PRODUÇÃO POR EMPRESAS'!$A$6:$A$1000,"&gt;="&amp;$B49,'CONTROLE PRODUÇÃO POR EMPRESAS'!$A$6:$A$1000,"&lt;="&amp;$C49,'CONTROLE PRODUÇÃO POR EMPRESAS'!$B$6:$B$1000,"&gt;=0")+COUNTIFS('CONTROLE PRODUÇÃO POR EMPRESAS'!$A$6:$A$1000,"&gt;="&amp;$B49,'CONTROLE PRODUÇÃO POR EMPRESAS'!$A$6:$A$1000,"&lt;="&amp;$C49,'CONTROLE PRODUÇÃO POR EMPRESAS'!$B$6:$B$1000,"?*"))=0,"",SUMIFS('CONTROLE PRODUÇÃO POR EMPRESAS'!$B$6:$B$1000,'CONTROLE PRODUÇÃO POR EMPRESAS'!$A$6:$A$1000,"&gt;="&amp;$B49,'CONTROLE PRODUÇÃO POR EMPRESAS'!$A$6:$A$1000,"&lt;="&amp;$C49)),IF($E49="IÇAMENTO JOIST",IF((COUNTIFS('CONTROLE PRODUÇÃO POR EMPRESAS'!$A$6:$A$1000,"&gt;="&amp;$B49,'CONTROLE PRODUÇÃO POR EMPRESAS'!$A$6:$A$1000,"&lt;="&amp;$C49,'CONTROLE PRODUÇÃO POR EMPRESAS'!$C$6:$C$1000,"&gt;=0")+COUNTIFS('CONTROLE PRODUÇÃO POR EMPRESAS'!$A$6:$A$1000,"&gt;="&amp;$B49,'CONTROLE PRODUÇÃO POR EMPRESAS'!$A$6:$A$1000,"&lt;="&amp;$C49,'CONTROLE PRODUÇÃO POR EMPRESAS'!$C$6:$C$1000,"?*"))=0,"",SUMIFS('CONTROLE PRODUÇÃO POR EMPRESAS'!$C$6:$C$1000,'CONTROLE PRODUÇÃO POR EMPRESAS'!$A$6:$A$1000,"&gt;="&amp;$B49,'CONTROLE PRODUÇÃO POR EMPRESAS'!$A$6:$A$1000,"&lt;="&amp;$C49)),IF($E49="VIGAS",IF((COUNTIFS('CONTROLE PRODUÇÃO POR EMPRESAS'!$A$6:$A$1000,"&gt;="&amp;$B49,'CONTROLE PRODUÇÃO POR EMPRESAS'!$A$6:$A$1000,"&lt;="&amp;$C49,'CONTROLE PRODUÇÃO POR EMPRESAS'!$D$6:$D$1000,"&gt;=0")+COUNTIFS('CONTROLE PRODUÇÃO POR EMPRESAS'!$A$6:$A$1000,"&gt;="&amp;$B49,'CONTROLE PRODUÇÃO POR EMPRESAS'!$A$6:$A$1000,"&lt;="&amp;$C49,'CONTROLE PRODUÇÃO POR EMPRESAS'!$D$6:$D$1000,"?*"))=0,"",SUMIFS('CONTROLE PRODUÇÃO POR EMPRESAS'!$D$6:$D$1000,'CONTROLE PRODUÇÃO POR EMPRESAS'!$A$6:$A$1000,"&gt;="&amp;$B49,'CONTROLE PRODUÇÃO POR EMPRESAS'!$A$6:$A$1000,"&lt;="&amp;$C49)),""))),IF($D49="CMM",IF($E49="PREMONTAGEM",IF((COUNTIFS('CONTROLE PRODUÇÃO POR EMPRESAS'!$A$6:$A$1000,"&gt;="&amp;$B49,'CONTROLE PRODUÇÃO POR EMPRESAS'!$A$6:$A$1000,"&lt;="&amp;$C49,'CONTROLE PRODUÇÃO POR EMPRESAS'!$E$6:$E$1000,"&gt;=0")+COUNTIFS('CONTROLE PRODUÇÃO POR EMPRESAS'!$A$6:$A$1000,"&gt;="&amp;$B49,'CONTROLE PRODUÇÃO POR EMPRESAS'!$A$6:$A$1000,"&lt;="&amp;$C49,'CONTROLE PRODUÇÃO POR EMPRESAS'!$E$6:$E$1000,"?*"))=0,"",SUMIFS('CONTROLE PRODUÇÃO POR EMPRESAS'!$E$6:$E$1000,'CONTROLE PRODUÇÃO POR EMPRESAS'!$A$6:$A$1000,"&gt;="&amp;$B49,'CONTROLE PRODUÇÃO POR EMPRESAS'!$A$6:$A$1000,"&lt;="&amp;$C49)),IF($E49="IÇAMENTO JOIST",IF((COUNTIFS('CONTROLE PRODUÇÃO POR EMPRESAS'!$A$6:$A$1000,"&gt;="&amp;$B49,'CONTROLE PRODUÇÃO POR EMPRESAS'!$A$6:$A$1000,"&lt;="&amp;$C49,'CONTROLE PRODUÇÃO POR EMPRESAS'!$F$6:$F$1000,"&gt;=0")+COUNTIFS('CONTROLE PRODUÇÃO POR EMPRESAS'!$A$6:$A$1000,"&gt;="&amp;$B49,'CONTROLE PRODUÇÃO POR EMPRESAS'!$A$6:$A$1000,"&lt;="&amp;$C49,'CONTROLE PRODUÇÃO POR EMPRESAS'!$F$6:$F$1000,"?*"))=0,"",SUMIFS('CONTROLE PRODUÇÃO POR EMPRESAS'!$F$6:$F$1000,'CONTROLE PRODUÇÃO POR EMPRESAS'!$A$6:$A$1000,"&gt;="&amp;$B49,'CONTROLE PRODUÇÃO POR EMPRESAS'!$A$6:$A$1000,"&lt;="&amp;$C49)),IF($E49="VIGAS",IF((COUNTIFS('CONTROLE PRODUÇÃO POR EMPRESAS'!$A$6:$A$1000,"&gt;="&amp;$B49,'CONTROLE PRODUÇÃO POR EMPRESAS'!$A$6:$A$1000,"&lt;="&amp;$C49,'CONTROLE PRODUÇÃO POR EMPRESAS'!$G$6:$G$1000,"&gt;=0")+COUNTIFS('CONTROLE PRODUÇÃO POR EMPRESAS'!$A$6:$A$1000,"&gt;="&amp;$B49,'CONTROLE PRODUÇÃO POR EMPRESAS'!$A$6:$A$1000,"&lt;="&amp;$C49,'CONTROLE PRODUÇÃO POR EMPRESAS'!$G$6:$G$1000,"?*"))=0,"",SUMIFS('CONTROLE PRODUÇÃO POR EMPRESAS'!$G$6:$G$1000,'CONTROLE PRODUÇÃO POR EMPRESAS'!$A$6:$A$1000,"&gt;="&amp;$B49,'CONTROLE PRODUÇÃO POR EMPRESAS'!$A$6:$A$1000,"&lt;="&amp;$C49)),""))),"")))</f>
        <v/>
      </c>
      <c r="M49" s="298">
        <f>IF(L49="","",MAX(J49-L49,0))</f>
        <v/>
      </c>
      <c r="N49" s="298">
        <f>IF(L49="","",MAX(L49-J49,0))</f>
        <v/>
      </c>
      <c r="O49" s="299">
        <f>IF(L49="","",IFERROR(L49/J49,""))</f>
        <v/>
      </c>
      <c r="P49" s="298">
        <f>IF(H49="","",SUMIFS($H$6:H49,$D$6:D49,D49,$E$6:E49,E49))</f>
        <v/>
      </c>
      <c r="Q49" s="298">
        <f>IF(L49="","",SUMIFS($L$6:L49,$D$6:D49,D49,$E$6:E49,E49))</f>
        <v/>
      </c>
      <c r="R49" s="298">
        <f>IF(Q49="","",MAX(P49-Q49,0))</f>
        <v/>
      </c>
      <c r="S49" s="108">
        <f>IF(O49="","",IF(O49&gt;=1,"VERDE",IF(O49&gt;=0.9,"AMARELO","VERMELHO")))</f>
        <v/>
      </c>
      <c r="T49" s="109" t="n"/>
      <c r="U49" s="109" t="n"/>
      <c r="V49" s="110" t="n"/>
      <c r="W49" s="302" t="n"/>
    </row>
    <row r="50" ht="15.75" customHeight="1">
      <c r="A50" s="112" t="n">
        <v>8</v>
      </c>
      <c r="B50" s="301" t="n">
        <v>46307</v>
      </c>
      <c r="C50" s="301" t="n">
        <v>46311</v>
      </c>
      <c r="D50" s="114" t="inlineStr">
        <is>
          <t>CMM</t>
        </is>
      </c>
      <c r="E50" s="115" t="inlineStr">
        <is>
          <t>VIGAS</t>
        </is>
      </c>
      <c r="F50" s="296">
        <f>IF(OR(D50="",E50=""),"",IF(COUNTIFS('METAS EMPRESAS'!$A$5:$A$10,D50,'METAS EMPRESAS'!$B$5:$B$10,E50)=0,"",SUMIFS('METAS EMPRESAS'!$C$5:$C$10,'METAS EMPRESAS'!$A$5:$A$10,D50,'METAS EMPRESAS'!$B$5:$B$10,E50)))</f>
        <v/>
      </c>
      <c r="G50" s="297" t="n">
        <v>5</v>
      </c>
      <c r="H50" s="298">
        <f>IF(F50="","",F50*G50)</f>
        <v/>
      </c>
      <c r="I50" s="298">
        <f>IF(M44="",0,M44)</f>
        <v/>
      </c>
      <c r="J50" s="298">
        <f>IF(H50="","",H50+I50)</f>
        <v/>
      </c>
      <c r="K50" s="298">
        <f>IF(J50="","",J50/G50)</f>
        <v/>
      </c>
      <c r="L50" s="297">
        <f>IF(OR($B50="",$C50="",$D50="",$E50=""),"",IF($D50="EJ",IF($E50="PREMONTAGEM",IF((COUNTIFS('CONTROLE PRODUÇÃO POR EMPRESAS'!$A$6:$A$1000,"&gt;="&amp;$B50,'CONTROLE PRODUÇÃO POR EMPRESAS'!$A$6:$A$1000,"&lt;="&amp;$C50,'CONTROLE PRODUÇÃO POR EMPRESAS'!$B$6:$B$1000,"&gt;=0")+COUNTIFS('CONTROLE PRODUÇÃO POR EMPRESAS'!$A$6:$A$1000,"&gt;="&amp;$B50,'CONTROLE PRODUÇÃO POR EMPRESAS'!$A$6:$A$1000,"&lt;="&amp;$C50,'CONTROLE PRODUÇÃO POR EMPRESAS'!$B$6:$B$1000,"?*"))=0,"",SUMIFS('CONTROLE PRODUÇÃO POR EMPRESAS'!$B$6:$B$1000,'CONTROLE PRODUÇÃO POR EMPRESAS'!$A$6:$A$1000,"&gt;="&amp;$B50,'CONTROLE PRODUÇÃO POR EMPRESAS'!$A$6:$A$1000,"&lt;="&amp;$C50)),IF($E50="IÇAMENTO JOIST",IF((COUNTIFS('CONTROLE PRODUÇÃO POR EMPRESAS'!$A$6:$A$1000,"&gt;="&amp;$B50,'CONTROLE PRODUÇÃO POR EMPRESAS'!$A$6:$A$1000,"&lt;="&amp;$C50,'CONTROLE PRODUÇÃO POR EMPRESAS'!$C$6:$C$1000,"&gt;=0")+COUNTIFS('CONTROLE PRODUÇÃO POR EMPRESAS'!$A$6:$A$1000,"&gt;="&amp;$B50,'CONTROLE PRODUÇÃO POR EMPRESAS'!$A$6:$A$1000,"&lt;="&amp;$C50,'CONTROLE PRODUÇÃO POR EMPRESAS'!$C$6:$C$1000,"?*"))=0,"",SUMIFS('CONTROLE PRODUÇÃO POR EMPRESAS'!$C$6:$C$1000,'CONTROLE PRODUÇÃO POR EMPRESAS'!$A$6:$A$1000,"&gt;="&amp;$B50,'CONTROLE PRODUÇÃO POR EMPRESAS'!$A$6:$A$1000,"&lt;="&amp;$C50)),IF($E50="VIGAS",IF((COUNTIFS('CONTROLE PRODUÇÃO POR EMPRESAS'!$A$6:$A$1000,"&gt;="&amp;$B50,'CONTROLE PRODUÇÃO POR EMPRESAS'!$A$6:$A$1000,"&lt;="&amp;$C50,'CONTROLE PRODUÇÃO POR EMPRESAS'!$D$6:$D$1000,"&gt;=0")+COUNTIFS('CONTROLE PRODUÇÃO POR EMPRESAS'!$A$6:$A$1000,"&gt;="&amp;$B50,'CONTROLE PRODUÇÃO POR EMPRESAS'!$A$6:$A$1000,"&lt;="&amp;$C50,'CONTROLE PRODUÇÃO POR EMPRESAS'!$D$6:$D$1000,"?*"))=0,"",SUMIFS('CONTROLE PRODUÇÃO POR EMPRESAS'!$D$6:$D$1000,'CONTROLE PRODUÇÃO POR EMPRESAS'!$A$6:$A$1000,"&gt;="&amp;$B50,'CONTROLE PRODUÇÃO POR EMPRESAS'!$A$6:$A$1000,"&lt;="&amp;$C50)),""))),IF($D50="CMM",IF($E50="PREMONTAGEM",IF((COUNTIFS('CONTROLE PRODUÇÃO POR EMPRESAS'!$A$6:$A$1000,"&gt;="&amp;$B50,'CONTROLE PRODUÇÃO POR EMPRESAS'!$A$6:$A$1000,"&lt;="&amp;$C50,'CONTROLE PRODUÇÃO POR EMPRESAS'!$E$6:$E$1000,"&gt;=0")+COUNTIFS('CONTROLE PRODUÇÃO POR EMPRESAS'!$A$6:$A$1000,"&gt;="&amp;$B50,'CONTROLE PRODUÇÃO POR EMPRESAS'!$A$6:$A$1000,"&lt;="&amp;$C50,'CONTROLE PRODUÇÃO POR EMPRESAS'!$E$6:$E$1000,"?*"))=0,"",SUMIFS('CONTROLE PRODUÇÃO POR EMPRESAS'!$E$6:$E$1000,'CONTROLE PRODUÇÃO POR EMPRESAS'!$A$6:$A$1000,"&gt;="&amp;$B50,'CONTROLE PRODUÇÃO POR EMPRESAS'!$A$6:$A$1000,"&lt;="&amp;$C50)),IF($E50="IÇAMENTO JOIST",IF((COUNTIFS('CONTROLE PRODUÇÃO POR EMPRESAS'!$A$6:$A$1000,"&gt;="&amp;$B50,'CONTROLE PRODUÇÃO POR EMPRESAS'!$A$6:$A$1000,"&lt;="&amp;$C50,'CONTROLE PRODUÇÃO POR EMPRESAS'!$F$6:$F$1000,"&gt;=0")+COUNTIFS('CONTROLE PRODUÇÃO POR EMPRESAS'!$A$6:$A$1000,"&gt;="&amp;$B50,'CONTROLE PRODUÇÃO POR EMPRESAS'!$A$6:$A$1000,"&lt;="&amp;$C50,'CONTROLE PRODUÇÃO POR EMPRESAS'!$F$6:$F$1000,"?*"))=0,"",SUMIFS('CONTROLE PRODUÇÃO POR EMPRESAS'!$F$6:$F$1000,'CONTROLE PRODUÇÃO POR EMPRESAS'!$A$6:$A$1000,"&gt;="&amp;$B50,'CONTROLE PRODUÇÃO POR EMPRESAS'!$A$6:$A$1000,"&lt;="&amp;$C50)),IF($E50="VIGAS",IF((COUNTIFS('CONTROLE PRODUÇÃO POR EMPRESAS'!$A$6:$A$1000,"&gt;="&amp;$B50,'CONTROLE PRODUÇÃO POR EMPRESAS'!$A$6:$A$1000,"&lt;="&amp;$C50,'CONTROLE PRODUÇÃO POR EMPRESAS'!$G$6:$G$1000,"&gt;=0")+COUNTIFS('CONTROLE PRODUÇÃO POR EMPRESAS'!$A$6:$A$1000,"&gt;="&amp;$B50,'CONTROLE PRODUÇÃO POR EMPRESAS'!$A$6:$A$1000,"&lt;="&amp;$C50,'CONTROLE PRODUÇÃO POR EMPRESAS'!$G$6:$G$1000,"?*"))=0,"",SUMIFS('CONTROLE PRODUÇÃO POR EMPRESAS'!$G$6:$G$1000,'CONTROLE PRODUÇÃO POR EMPRESAS'!$A$6:$A$1000,"&gt;="&amp;$B50,'CONTROLE PRODUÇÃO POR EMPRESAS'!$A$6:$A$1000,"&lt;="&amp;$C50)),""))),"")))</f>
        <v/>
      </c>
      <c r="M50" s="298">
        <f>IF(L50="","",MAX(J50-L50,0))</f>
        <v/>
      </c>
      <c r="N50" s="298">
        <f>IF(L50="","",MAX(L50-J50,0))</f>
        <v/>
      </c>
      <c r="O50" s="299">
        <f>IF(L50="","",IFERROR(L50/J50,""))</f>
        <v/>
      </c>
      <c r="P50" s="298">
        <f>IF(H50="","",SUMIFS($H$6:H50,$D$6:D50,D50,$E$6:E50,E50))</f>
        <v/>
      </c>
      <c r="Q50" s="298">
        <f>IF(L50="","",SUMIFS($L$6:L50,$D$6:D50,D50,$E$6:E50,E50))</f>
        <v/>
      </c>
      <c r="R50" s="298">
        <f>IF(Q50="","",MAX(P50-Q50,0))</f>
        <v/>
      </c>
      <c r="S50" s="108">
        <f>IF(O50="","",IF(O50&gt;=1,"VERDE",IF(O50&gt;=0.9,"AMARELO","VERMELHO")))</f>
        <v/>
      </c>
      <c r="T50" s="109" t="n"/>
      <c r="U50" s="109" t="n"/>
      <c r="V50" s="110" t="n"/>
      <c r="W50" s="302" t="n"/>
    </row>
    <row r="51" ht="15.75" customHeight="1">
      <c r="A51" s="117" t="n">
        <v>8</v>
      </c>
      <c r="B51" s="295" t="n">
        <v>46307</v>
      </c>
      <c r="C51" s="295" t="n">
        <v>46311</v>
      </c>
      <c r="D51" s="101" t="inlineStr">
        <is>
          <t>EJ</t>
        </is>
      </c>
      <c r="E51" s="103" t="inlineStr">
        <is>
          <t>PREMONTAGEM</t>
        </is>
      </c>
      <c r="F51" s="296">
        <f>IF(OR(D51="",E51=""),"",IF(COUNTIFS('METAS EMPRESAS'!$A$5:$A$10,D51,'METAS EMPRESAS'!$B$5:$B$10,E51)=0,"",SUMIFS('METAS EMPRESAS'!$C$5:$C$10,'METAS EMPRESAS'!$A$5:$A$10,D51,'METAS EMPRESAS'!$B$5:$B$10,E51)))</f>
        <v/>
      </c>
      <c r="G51" s="297" t="n">
        <v>5</v>
      </c>
      <c r="H51" s="298">
        <f>IF(F51="","",F51*G51)</f>
        <v/>
      </c>
      <c r="I51" s="298">
        <f>IF(M45="",0,M45)</f>
        <v/>
      </c>
      <c r="J51" s="298">
        <f>IF(H51="","",H51+I51)</f>
        <v/>
      </c>
      <c r="K51" s="298">
        <f>IF(J51="","",J51/G51)</f>
        <v/>
      </c>
      <c r="L51" s="297">
        <f>IF(OR($B51="",$C51="",$D51="",$E51=""),"",IF($D51="EJ",IF($E51="PREMONTAGEM",IF((COUNTIFS('CONTROLE PRODUÇÃO POR EMPRESAS'!$A$6:$A$1000,"&gt;="&amp;$B51,'CONTROLE PRODUÇÃO POR EMPRESAS'!$A$6:$A$1000,"&lt;="&amp;$C51,'CONTROLE PRODUÇÃO POR EMPRESAS'!$B$6:$B$1000,"&gt;=0")+COUNTIFS('CONTROLE PRODUÇÃO POR EMPRESAS'!$A$6:$A$1000,"&gt;="&amp;$B51,'CONTROLE PRODUÇÃO POR EMPRESAS'!$A$6:$A$1000,"&lt;="&amp;$C51,'CONTROLE PRODUÇÃO POR EMPRESAS'!$B$6:$B$1000,"?*"))=0,"",SUMIFS('CONTROLE PRODUÇÃO POR EMPRESAS'!$B$6:$B$1000,'CONTROLE PRODUÇÃO POR EMPRESAS'!$A$6:$A$1000,"&gt;="&amp;$B51,'CONTROLE PRODUÇÃO POR EMPRESAS'!$A$6:$A$1000,"&lt;="&amp;$C51)),IF($E51="IÇAMENTO JOIST",IF((COUNTIFS('CONTROLE PRODUÇÃO POR EMPRESAS'!$A$6:$A$1000,"&gt;="&amp;$B51,'CONTROLE PRODUÇÃO POR EMPRESAS'!$A$6:$A$1000,"&lt;="&amp;$C51,'CONTROLE PRODUÇÃO POR EMPRESAS'!$C$6:$C$1000,"&gt;=0")+COUNTIFS('CONTROLE PRODUÇÃO POR EMPRESAS'!$A$6:$A$1000,"&gt;="&amp;$B51,'CONTROLE PRODUÇÃO POR EMPRESAS'!$A$6:$A$1000,"&lt;="&amp;$C51,'CONTROLE PRODUÇÃO POR EMPRESAS'!$C$6:$C$1000,"?*"))=0,"",SUMIFS('CONTROLE PRODUÇÃO POR EMPRESAS'!$C$6:$C$1000,'CONTROLE PRODUÇÃO POR EMPRESAS'!$A$6:$A$1000,"&gt;="&amp;$B51,'CONTROLE PRODUÇÃO POR EMPRESAS'!$A$6:$A$1000,"&lt;="&amp;$C51)),IF($E51="VIGAS",IF((COUNTIFS('CONTROLE PRODUÇÃO POR EMPRESAS'!$A$6:$A$1000,"&gt;="&amp;$B51,'CONTROLE PRODUÇÃO POR EMPRESAS'!$A$6:$A$1000,"&lt;="&amp;$C51,'CONTROLE PRODUÇÃO POR EMPRESAS'!$D$6:$D$1000,"&gt;=0")+COUNTIFS('CONTROLE PRODUÇÃO POR EMPRESAS'!$A$6:$A$1000,"&gt;="&amp;$B51,'CONTROLE PRODUÇÃO POR EMPRESAS'!$A$6:$A$1000,"&lt;="&amp;$C51,'CONTROLE PRODUÇÃO POR EMPRESAS'!$D$6:$D$1000,"?*"))=0,"",SUMIFS('CONTROLE PRODUÇÃO POR EMPRESAS'!$D$6:$D$1000,'CONTROLE PRODUÇÃO POR EMPRESAS'!$A$6:$A$1000,"&gt;="&amp;$B51,'CONTROLE PRODUÇÃO POR EMPRESAS'!$A$6:$A$1000,"&lt;="&amp;$C51)),""))),IF($D51="CMM",IF($E51="PREMONTAGEM",IF((COUNTIFS('CONTROLE PRODUÇÃO POR EMPRESAS'!$A$6:$A$1000,"&gt;="&amp;$B51,'CONTROLE PRODUÇÃO POR EMPRESAS'!$A$6:$A$1000,"&lt;="&amp;$C51,'CONTROLE PRODUÇÃO POR EMPRESAS'!$E$6:$E$1000,"&gt;=0")+COUNTIFS('CONTROLE PRODUÇÃO POR EMPRESAS'!$A$6:$A$1000,"&gt;="&amp;$B51,'CONTROLE PRODUÇÃO POR EMPRESAS'!$A$6:$A$1000,"&lt;="&amp;$C51,'CONTROLE PRODUÇÃO POR EMPRESAS'!$E$6:$E$1000,"?*"))=0,"",SUMIFS('CONTROLE PRODUÇÃO POR EMPRESAS'!$E$6:$E$1000,'CONTROLE PRODUÇÃO POR EMPRESAS'!$A$6:$A$1000,"&gt;="&amp;$B51,'CONTROLE PRODUÇÃO POR EMPRESAS'!$A$6:$A$1000,"&lt;="&amp;$C51)),IF($E51="IÇAMENTO JOIST",IF((COUNTIFS('CONTROLE PRODUÇÃO POR EMPRESAS'!$A$6:$A$1000,"&gt;="&amp;$B51,'CONTROLE PRODUÇÃO POR EMPRESAS'!$A$6:$A$1000,"&lt;="&amp;$C51,'CONTROLE PRODUÇÃO POR EMPRESAS'!$F$6:$F$1000,"&gt;=0")+COUNTIFS('CONTROLE PRODUÇÃO POR EMPRESAS'!$A$6:$A$1000,"&gt;="&amp;$B51,'CONTROLE PRODUÇÃO POR EMPRESAS'!$A$6:$A$1000,"&lt;="&amp;$C51,'CONTROLE PRODUÇÃO POR EMPRESAS'!$F$6:$F$1000,"?*"))=0,"",SUMIFS('CONTROLE PRODUÇÃO POR EMPRESAS'!$F$6:$F$1000,'CONTROLE PRODUÇÃO POR EMPRESAS'!$A$6:$A$1000,"&gt;="&amp;$B51,'CONTROLE PRODUÇÃO POR EMPRESAS'!$A$6:$A$1000,"&lt;="&amp;$C51)),IF($E51="VIGAS",IF((COUNTIFS('CONTROLE PRODUÇÃO POR EMPRESAS'!$A$6:$A$1000,"&gt;="&amp;$B51,'CONTROLE PRODUÇÃO POR EMPRESAS'!$A$6:$A$1000,"&lt;="&amp;$C51,'CONTROLE PRODUÇÃO POR EMPRESAS'!$G$6:$G$1000,"&gt;=0")+COUNTIFS('CONTROLE PRODUÇÃO POR EMPRESAS'!$A$6:$A$1000,"&gt;="&amp;$B51,'CONTROLE PRODUÇÃO POR EMPRESAS'!$A$6:$A$1000,"&lt;="&amp;$C51,'CONTROLE PRODUÇÃO POR EMPRESAS'!$G$6:$G$1000,"?*"))=0,"",SUMIFS('CONTROLE PRODUÇÃO POR EMPRESAS'!$G$6:$G$1000,'CONTROLE PRODUÇÃO POR EMPRESAS'!$A$6:$A$1000,"&gt;="&amp;$B51,'CONTROLE PRODUÇÃO POR EMPRESAS'!$A$6:$A$1000,"&lt;="&amp;$C51)),""))),"")))</f>
        <v/>
      </c>
      <c r="M51" s="298">
        <f>IF(L51="","",MAX(J51-L51,0))</f>
        <v/>
      </c>
      <c r="N51" s="298">
        <f>IF(L51="","",MAX(L51-J51,0))</f>
        <v/>
      </c>
      <c r="O51" s="299">
        <f>IF(L51="","",IFERROR(L51/J51,""))</f>
        <v/>
      </c>
      <c r="P51" s="298">
        <f>IF(H51="","",SUMIFS($H$6:H51,$D$6:D51,D51,$E$6:E51,E51))</f>
        <v/>
      </c>
      <c r="Q51" s="298">
        <f>IF(L51="","",SUMIFS($L$6:L51,$D$6:D51,D51,$E$6:E51,E51))</f>
        <v/>
      </c>
      <c r="R51" s="298">
        <f>IF(Q51="","",MAX(P51-Q51,0))</f>
        <v/>
      </c>
      <c r="S51" s="108">
        <f>IF(O51="","",IF(O51&gt;=1,"VERDE",IF(O51&gt;=0.9,"AMARELO","VERMELHO")))</f>
        <v/>
      </c>
      <c r="T51" s="109" t="n"/>
      <c r="U51" s="109" t="n"/>
      <c r="V51" s="110" t="n"/>
      <c r="W51" s="302" t="n"/>
    </row>
    <row r="52" ht="15.75" customHeight="1">
      <c r="A52" s="112" t="n">
        <v>8</v>
      </c>
      <c r="B52" s="301" t="n">
        <v>46307</v>
      </c>
      <c r="C52" s="301" t="n">
        <v>46311</v>
      </c>
      <c r="D52" s="114" t="inlineStr">
        <is>
          <t>EJ</t>
        </is>
      </c>
      <c r="E52" s="115" t="inlineStr">
        <is>
          <t>IÇAMENTO JOIST</t>
        </is>
      </c>
      <c r="F52" s="296">
        <f>IF(OR(D52="",E52=""),"",IF(COUNTIFS('METAS EMPRESAS'!$A$5:$A$10,D52,'METAS EMPRESAS'!$B$5:$B$10,E52)=0,"",SUMIFS('METAS EMPRESAS'!$C$5:$C$10,'METAS EMPRESAS'!$A$5:$A$10,D52,'METAS EMPRESAS'!$B$5:$B$10,E52)))</f>
        <v/>
      </c>
      <c r="G52" s="297" t="n">
        <v>5</v>
      </c>
      <c r="H52" s="298">
        <f>IF(F52="","",F52*G52)</f>
        <v/>
      </c>
      <c r="I52" s="298">
        <f>IF(M46="",0,M46)</f>
        <v/>
      </c>
      <c r="J52" s="298">
        <f>IF(H52="","",H52+I52)</f>
        <v/>
      </c>
      <c r="K52" s="298">
        <f>IF(J52="","",J52/G52)</f>
        <v/>
      </c>
      <c r="L52" s="297">
        <f>IF(OR($B52="",$C52="",$D52="",$E52=""),"",IF($D52="EJ",IF($E52="PREMONTAGEM",IF((COUNTIFS('CONTROLE PRODUÇÃO POR EMPRESAS'!$A$6:$A$1000,"&gt;="&amp;$B52,'CONTROLE PRODUÇÃO POR EMPRESAS'!$A$6:$A$1000,"&lt;="&amp;$C52,'CONTROLE PRODUÇÃO POR EMPRESAS'!$B$6:$B$1000,"&gt;=0")+COUNTIFS('CONTROLE PRODUÇÃO POR EMPRESAS'!$A$6:$A$1000,"&gt;="&amp;$B52,'CONTROLE PRODUÇÃO POR EMPRESAS'!$A$6:$A$1000,"&lt;="&amp;$C52,'CONTROLE PRODUÇÃO POR EMPRESAS'!$B$6:$B$1000,"?*"))=0,"",SUMIFS('CONTROLE PRODUÇÃO POR EMPRESAS'!$B$6:$B$1000,'CONTROLE PRODUÇÃO POR EMPRESAS'!$A$6:$A$1000,"&gt;="&amp;$B52,'CONTROLE PRODUÇÃO POR EMPRESAS'!$A$6:$A$1000,"&lt;="&amp;$C52)),IF($E52="IÇAMENTO JOIST",IF((COUNTIFS('CONTROLE PRODUÇÃO POR EMPRESAS'!$A$6:$A$1000,"&gt;="&amp;$B52,'CONTROLE PRODUÇÃO POR EMPRESAS'!$A$6:$A$1000,"&lt;="&amp;$C52,'CONTROLE PRODUÇÃO POR EMPRESAS'!$C$6:$C$1000,"&gt;=0")+COUNTIFS('CONTROLE PRODUÇÃO POR EMPRESAS'!$A$6:$A$1000,"&gt;="&amp;$B52,'CONTROLE PRODUÇÃO POR EMPRESAS'!$A$6:$A$1000,"&lt;="&amp;$C52,'CONTROLE PRODUÇÃO POR EMPRESAS'!$C$6:$C$1000,"?*"))=0,"",SUMIFS('CONTROLE PRODUÇÃO POR EMPRESAS'!$C$6:$C$1000,'CONTROLE PRODUÇÃO POR EMPRESAS'!$A$6:$A$1000,"&gt;="&amp;$B52,'CONTROLE PRODUÇÃO POR EMPRESAS'!$A$6:$A$1000,"&lt;="&amp;$C52)),IF($E52="VIGAS",IF((COUNTIFS('CONTROLE PRODUÇÃO POR EMPRESAS'!$A$6:$A$1000,"&gt;="&amp;$B52,'CONTROLE PRODUÇÃO POR EMPRESAS'!$A$6:$A$1000,"&lt;="&amp;$C52,'CONTROLE PRODUÇÃO POR EMPRESAS'!$D$6:$D$1000,"&gt;=0")+COUNTIFS('CONTROLE PRODUÇÃO POR EMPRESAS'!$A$6:$A$1000,"&gt;="&amp;$B52,'CONTROLE PRODUÇÃO POR EMPRESAS'!$A$6:$A$1000,"&lt;="&amp;$C52,'CONTROLE PRODUÇÃO POR EMPRESAS'!$D$6:$D$1000,"?*"))=0,"",SUMIFS('CONTROLE PRODUÇÃO POR EMPRESAS'!$D$6:$D$1000,'CONTROLE PRODUÇÃO POR EMPRESAS'!$A$6:$A$1000,"&gt;="&amp;$B52,'CONTROLE PRODUÇÃO POR EMPRESAS'!$A$6:$A$1000,"&lt;="&amp;$C52)),""))),IF($D52="CMM",IF($E52="PREMONTAGEM",IF((COUNTIFS('CONTROLE PRODUÇÃO POR EMPRESAS'!$A$6:$A$1000,"&gt;="&amp;$B52,'CONTROLE PRODUÇÃO POR EMPRESAS'!$A$6:$A$1000,"&lt;="&amp;$C52,'CONTROLE PRODUÇÃO POR EMPRESAS'!$E$6:$E$1000,"&gt;=0")+COUNTIFS('CONTROLE PRODUÇÃO POR EMPRESAS'!$A$6:$A$1000,"&gt;="&amp;$B52,'CONTROLE PRODUÇÃO POR EMPRESAS'!$A$6:$A$1000,"&lt;="&amp;$C52,'CONTROLE PRODUÇÃO POR EMPRESAS'!$E$6:$E$1000,"?*"))=0,"",SUMIFS('CONTROLE PRODUÇÃO POR EMPRESAS'!$E$6:$E$1000,'CONTROLE PRODUÇÃO POR EMPRESAS'!$A$6:$A$1000,"&gt;="&amp;$B52,'CONTROLE PRODUÇÃO POR EMPRESAS'!$A$6:$A$1000,"&lt;="&amp;$C52)),IF($E52="IÇAMENTO JOIST",IF((COUNTIFS('CONTROLE PRODUÇÃO POR EMPRESAS'!$A$6:$A$1000,"&gt;="&amp;$B52,'CONTROLE PRODUÇÃO POR EMPRESAS'!$A$6:$A$1000,"&lt;="&amp;$C52,'CONTROLE PRODUÇÃO POR EMPRESAS'!$F$6:$F$1000,"&gt;=0")+COUNTIFS('CONTROLE PRODUÇÃO POR EMPRESAS'!$A$6:$A$1000,"&gt;="&amp;$B52,'CONTROLE PRODUÇÃO POR EMPRESAS'!$A$6:$A$1000,"&lt;="&amp;$C52,'CONTROLE PRODUÇÃO POR EMPRESAS'!$F$6:$F$1000,"?*"))=0,"",SUMIFS('CONTROLE PRODUÇÃO POR EMPRESAS'!$F$6:$F$1000,'CONTROLE PRODUÇÃO POR EMPRESAS'!$A$6:$A$1000,"&gt;="&amp;$B52,'CONTROLE PRODUÇÃO POR EMPRESAS'!$A$6:$A$1000,"&lt;="&amp;$C52)),IF($E52="VIGAS",IF((COUNTIFS('CONTROLE PRODUÇÃO POR EMPRESAS'!$A$6:$A$1000,"&gt;="&amp;$B52,'CONTROLE PRODUÇÃO POR EMPRESAS'!$A$6:$A$1000,"&lt;="&amp;$C52,'CONTROLE PRODUÇÃO POR EMPRESAS'!$G$6:$G$1000,"&gt;=0")+COUNTIFS('CONTROLE PRODUÇÃO POR EMPRESAS'!$A$6:$A$1000,"&gt;="&amp;$B52,'CONTROLE PRODUÇÃO POR EMPRESAS'!$A$6:$A$1000,"&lt;="&amp;$C52,'CONTROLE PRODUÇÃO POR EMPRESAS'!$G$6:$G$1000,"?*"))=0,"",SUMIFS('CONTROLE PRODUÇÃO POR EMPRESAS'!$G$6:$G$1000,'CONTROLE PRODUÇÃO POR EMPRESAS'!$A$6:$A$1000,"&gt;="&amp;$B52,'CONTROLE PRODUÇÃO POR EMPRESAS'!$A$6:$A$1000,"&lt;="&amp;$C52)),""))),"")))</f>
        <v/>
      </c>
      <c r="M52" s="298">
        <f>IF(L52="","",MAX(J52-L52,0))</f>
        <v/>
      </c>
      <c r="N52" s="298">
        <f>IF(L52="","",MAX(L52-J52,0))</f>
        <v/>
      </c>
      <c r="O52" s="299">
        <f>IF(L52="","",IFERROR(L52/J52,""))</f>
        <v/>
      </c>
      <c r="P52" s="298">
        <f>IF(H52="","",SUMIFS($H$6:H52,$D$6:D52,D52,$E$6:E52,E52))</f>
        <v/>
      </c>
      <c r="Q52" s="298">
        <f>IF(L52="","",SUMIFS($L$6:L52,$D$6:D52,D52,$E$6:E52,E52))</f>
        <v/>
      </c>
      <c r="R52" s="298">
        <f>IF(Q52="","",MAX(P52-Q52,0))</f>
        <v/>
      </c>
      <c r="S52" s="108">
        <f>IF(O52="","",IF(O52&gt;=1,"VERDE",IF(O52&gt;=0.9,"AMARELO","VERMELHO")))</f>
        <v/>
      </c>
      <c r="T52" s="109" t="n"/>
      <c r="U52" s="109" t="n"/>
      <c r="V52" s="110" t="n"/>
      <c r="W52" s="302" t="n"/>
    </row>
    <row r="53" ht="15.75" customHeight="1">
      <c r="A53" s="117" t="n">
        <v>8</v>
      </c>
      <c r="B53" s="295" t="n">
        <v>46307</v>
      </c>
      <c r="C53" s="295" t="n">
        <v>46311</v>
      </c>
      <c r="D53" s="101" t="inlineStr">
        <is>
          <t>EJ</t>
        </is>
      </c>
      <c r="E53" s="103" t="inlineStr">
        <is>
          <t>VIGAS</t>
        </is>
      </c>
      <c r="F53" s="296">
        <f>IF(OR(D53="",E53=""),"",IF(COUNTIFS('METAS EMPRESAS'!$A$5:$A$10,D53,'METAS EMPRESAS'!$B$5:$B$10,E53)=0,"",SUMIFS('METAS EMPRESAS'!$C$5:$C$10,'METAS EMPRESAS'!$A$5:$A$10,D53,'METAS EMPRESAS'!$B$5:$B$10,E53)))</f>
        <v/>
      </c>
      <c r="G53" s="297" t="n">
        <v>5</v>
      </c>
      <c r="H53" s="298">
        <f>IF(F53="","",F53*G53)</f>
        <v/>
      </c>
      <c r="I53" s="298">
        <f>IF(M47="",0,M47)</f>
        <v/>
      </c>
      <c r="J53" s="298">
        <f>IF(H53="","",H53+I53)</f>
        <v/>
      </c>
      <c r="K53" s="298">
        <f>IF(J53="","",J53/G53)</f>
        <v/>
      </c>
      <c r="L53" s="297">
        <f>IF(OR($B53="",$C53="",$D53="",$E53=""),"",IF($D53="EJ",IF($E53="PREMONTAGEM",IF((COUNTIFS('CONTROLE PRODUÇÃO POR EMPRESAS'!$A$6:$A$1000,"&gt;="&amp;$B53,'CONTROLE PRODUÇÃO POR EMPRESAS'!$A$6:$A$1000,"&lt;="&amp;$C53,'CONTROLE PRODUÇÃO POR EMPRESAS'!$B$6:$B$1000,"&gt;=0")+COUNTIFS('CONTROLE PRODUÇÃO POR EMPRESAS'!$A$6:$A$1000,"&gt;="&amp;$B53,'CONTROLE PRODUÇÃO POR EMPRESAS'!$A$6:$A$1000,"&lt;="&amp;$C53,'CONTROLE PRODUÇÃO POR EMPRESAS'!$B$6:$B$1000,"?*"))=0,"",SUMIFS('CONTROLE PRODUÇÃO POR EMPRESAS'!$B$6:$B$1000,'CONTROLE PRODUÇÃO POR EMPRESAS'!$A$6:$A$1000,"&gt;="&amp;$B53,'CONTROLE PRODUÇÃO POR EMPRESAS'!$A$6:$A$1000,"&lt;="&amp;$C53)),IF($E53="IÇAMENTO JOIST",IF((COUNTIFS('CONTROLE PRODUÇÃO POR EMPRESAS'!$A$6:$A$1000,"&gt;="&amp;$B53,'CONTROLE PRODUÇÃO POR EMPRESAS'!$A$6:$A$1000,"&lt;="&amp;$C53,'CONTROLE PRODUÇÃO POR EMPRESAS'!$C$6:$C$1000,"&gt;=0")+COUNTIFS('CONTROLE PRODUÇÃO POR EMPRESAS'!$A$6:$A$1000,"&gt;="&amp;$B53,'CONTROLE PRODUÇÃO POR EMPRESAS'!$A$6:$A$1000,"&lt;="&amp;$C53,'CONTROLE PRODUÇÃO POR EMPRESAS'!$C$6:$C$1000,"?*"))=0,"",SUMIFS('CONTROLE PRODUÇÃO POR EMPRESAS'!$C$6:$C$1000,'CONTROLE PRODUÇÃO POR EMPRESAS'!$A$6:$A$1000,"&gt;="&amp;$B53,'CONTROLE PRODUÇÃO POR EMPRESAS'!$A$6:$A$1000,"&lt;="&amp;$C53)),IF($E53="VIGAS",IF((COUNTIFS('CONTROLE PRODUÇÃO POR EMPRESAS'!$A$6:$A$1000,"&gt;="&amp;$B53,'CONTROLE PRODUÇÃO POR EMPRESAS'!$A$6:$A$1000,"&lt;="&amp;$C53,'CONTROLE PRODUÇÃO POR EMPRESAS'!$D$6:$D$1000,"&gt;=0")+COUNTIFS('CONTROLE PRODUÇÃO POR EMPRESAS'!$A$6:$A$1000,"&gt;="&amp;$B53,'CONTROLE PRODUÇÃO POR EMPRESAS'!$A$6:$A$1000,"&lt;="&amp;$C53,'CONTROLE PRODUÇÃO POR EMPRESAS'!$D$6:$D$1000,"?*"))=0,"",SUMIFS('CONTROLE PRODUÇÃO POR EMPRESAS'!$D$6:$D$1000,'CONTROLE PRODUÇÃO POR EMPRESAS'!$A$6:$A$1000,"&gt;="&amp;$B53,'CONTROLE PRODUÇÃO POR EMPRESAS'!$A$6:$A$1000,"&lt;="&amp;$C53)),""))),IF($D53="CMM",IF($E53="PREMONTAGEM",IF((COUNTIFS('CONTROLE PRODUÇÃO POR EMPRESAS'!$A$6:$A$1000,"&gt;="&amp;$B53,'CONTROLE PRODUÇÃO POR EMPRESAS'!$A$6:$A$1000,"&lt;="&amp;$C53,'CONTROLE PRODUÇÃO POR EMPRESAS'!$E$6:$E$1000,"&gt;=0")+COUNTIFS('CONTROLE PRODUÇÃO POR EMPRESAS'!$A$6:$A$1000,"&gt;="&amp;$B53,'CONTROLE PRODUÇÃO POR EMPRESAS'!$A$6:$A$1000,"&lt;="&amp;$C53,'CONTROLE PRODUÇÃO POR EMPRESAS'!$E$6:$E$1000,"?*"))=0,"",SUMIFS('CONTROLE PRODUÇÃO POR EMPRESAS'!$E$6:$E$1000,'CONTROLE PRODUÇÃO POR EMPRESAS'!$A$6:$A$1000,"&gt;="&amp;$B53,'CONTROLE PRODUÇÃO POR EMPRESAS'!$A$6:$A$1000,"&lt;="&amp;$C53)),IF($E53="IÇAMENTO JOIST",IF((COUNTIFS('CONTROLE PRODUÇÃO POR EMPRESAS'!$A$6:$A$1000,"&gt;="&amp;$B53,'CONTROLE PRODUÇÃO POR EMPRESAS'!$A$6:$A$1000,"&lt;="&amp;$C53,'CONTROLE PRODUÇÃO POR EMPRESAS'!$F$6:$F$1000,"&gt;=0")+COUNTIFS('CONTROLE PRODUÇÃO POR EMPRESAS'!$A$6:$A$1000,"&gt;="&amp;$B53,'CONTROLE PRODUÇÃO POR EMPRESAS'!$A$6:$A$1000,"&lt;="&amp;$C53,'CONTROLE PRODUÇÃO POR EMPRESAS'!$F$6:$F$1000,"?*"))=0,"",SUMIFS('CONTROLE PRODUÇÃO POR EMPRESAS'!$F$6:$F$1000,'CONTROLE PRODUÇÃO POR EMPRESAS'!$A$6:$A$1000,"&gt;="&amp;$B53,'CONTROLE PRODUÇÃO POR EMPRESAS'!$A$6:$A$1000,"&lt;="&amp;$C53)),IF($E53="VIGAS",IF((COUNTIFS('CONTROLE PRODUÇÃO POR EMPRESAS'!$A$6:$A$1000,"&gt;="&amp;$B53,'CONTROLE PRODUÇÃO POR EMPRESAS'!$A$6:$A$1000,"&lt;="&amp;$C53,'CONTROLE PRODUÇÃO POR EMPRESAS'!$G$6:$G$1000,"&gt;=0")+COUNTIFS('CONTROLE PRODUÇÃO POR EMPRESAS'!$A$6:$A$1000,"&gt;="&amp;$B53,'CONTROLE PRODUÇÃO POR EMPRESAS'!$A$6:$A$1000,"&lt;="&amp;$C53,'CONTROLE PRODUÇÃO POR EMPRESAS'!$G$6:$G$1000,"?*"))=0,"",SUMIFS('CONTROLE PRODUÇÃO POR EMPRESAS'!$G$6:$G$1000,'CONTROLE PRODUÇÃO POR EMPRESAS'!$A$6:$A$1000,"&gt;="&amp;$B53,'CONTROLE PRODUÇÃO POR EMPRESAS'!$A$6:$A$1000,"&lt;="&amp;$C53)),""))),"")))</f>
        <v/>
      </c>
      <c r="M53" s="298">
        <f>IF(L53="","",MAX(J53-L53,0))</f>
        <v/>
      </c>
      <c r="N53" s="298">
        <f>IF(L53="","",MAX(L53-J53,0))</f>
        <v/>
      </c>
      <c r="O53" s="299">
        <f>IF(L53="","",IFERROR(L53/J53,""))</f>
        <v/>
      </c>
      <c r="P53" s="298">
        <f>IF(H53="","",SUMIFS($H$6:H53,$D$6:D53,D53,$E$6:E53,E53))</f>
        <v/>
      </c>
      <c r="Q53" s="298">
        <f>IF(L53="","",SUMIFS($L$6:L53,$D$6:D53,D53,$E$6:E53,E53))</f>
        <v/>
      </c>
      <c r="R53" s="298">
        <f>IF(Q53="","",MAX(P53-Q53,0))</f>
        <v/>
      </c>
      <c r="S53" s="108">
        <f>IF(O53="","",IF(O53&gt;=1,"VERDE",IF(O53&gt;=0.9,"AMARELO","VERMELHO")))</f>
        <v/>
      </c>
      <c r="T53" s="109" t="n"/>
      <c r="U53" s="109" t="n"/>
      <c r="V53" s="110" t="n"/>
      <c r="W53" s="302" t="n"/>
    </row>
    <row r="54" ht="15.75" customHeight="1">
      <c r="A54" s="112" t="n">
        <v>9</v>
      </c>
      <c r="B54" s="301" t="n">
        <v>46314</v>
      </c>
      <c r="C54" s="301" t="n">
        <v>46318</v>
      </c>
      <c r="D54" s="114" t="inlineStr">
        <is>
          <t>CMM</t>
        </is>
      </c>
      <c r="E54" s="115" t="inlineStr">
        <is>
          <t>PREMONTAGEM</t>
        </is>
      </c>
      <c r="F54" s="296">
        <f>IF(OR(D54="",E54=""),"",IF(COUNTIFS('METAS EMPRESAS'!$A$5:$A$10,D54,'METAS EMPRESAS'!$B$5:$B$10,E54)=0,"",SUMIFS('METAS EMPRESAS'!$C$5:$C$10,'METAS EMPRESAS'!$A$5:$A$10,D54,'METAS EMPRESAS'!$B$5:$B$10,E54)))</f>
        <v/>
      </c>
      <c r="G54" s="297" t="n">
        <v>5</v>
      </c>
      <c r="H54" s="298">
        <f>IF(F54="","",F54*G54)</f>
        <v/>
      </c>
      <c r="I54" s="298">
        <f>IF(M48="",0,M48)</f>
        <v/>
      </c>
      <c r="J54" s="298">
        <f>IF(H54="","",H54+I54)</f>
        <v/>
      </c>
      <c r="K54" s="298">
        <f>IF(J54="","",J54/G54)</f>
        <v/>
      </c>
      <c r="L54" s="297">
        <f>IF(OR($B54="",$C54="",$D54="",$E54=""),"",IF($D54="EJ",IF($E54="PREMONTAGEM",IF((COUNTIFS('CONTROLE PRODUÇÃO POR EMPRESAS'!$A$6:$A$1000,"&gt;="&amp;$B54,'CONTROLE PRODUÇÃO POR EMPRESAS'!$A$6:$A$1000,"&lt;="&amp;$C54,'CONTROLE PRODUÇÃO POR EMPRESAS'!$B$6:$B$1000,"&gt;=0")+COUNTIFS('CONTROLE PRODUÇÃO POR EMPRESAS'!$A$6:$A$1000,"&gt;="&amp;$B54,'CONTROLE PRODUÇÃO POR EMPRESAS'!$A$6:$A$1000,"&lt;="&amp;$C54,'CONTROLE PRODUÇÃO POR EMPRESAS'!$B$6:$B$1000,"?*"))=0,"",SUMIFS('CONTROLE PRODUÇÃO POR EMPRESAS'!$B$6:$B$1000,'CONTROLE PRODUÇÃO POR EMPRESAS'!$A$6:$A$1000,"&gt;="&amp;$B54,'CONTROLE PRODUÇÃO POR EMPRESAS'!$A$6:$A$1000,"&lt;="&amp;$C54)),IF($E54="IÇAMENTO JOIST",IF((COUNTIFS('CONTROLE PRODUÇÃO POR EMPRESAS'!$A$6:$A$1000,"&gt;="&amp;$B54,'CONTROLE PRODUÇÃO POR EMPRESAS'!$A$6:$A$1000,"&lt;="&amp;$C54,'CONTROLE PRODUÇÃO POR EMPRESAS'!$C$6:$C$1000,"&gt;=0")+COUNTIFS('CONTROLE PRODUÇÃO POR EMPRESAS'!$A$6:$A$1000,"&gt;="&amp;$B54,'CONTROLE PRODUÇÃO POR EMPRESAS'!$A$6:$A$1000,"&lt;="&amp;$C54,'CONTROLE PRODUÇÃO POR EMPRESAS'!$C$6:$C$1000,"?*"))=0,"",SUMIFS('CONTROLE PRODUÇÃO POR EMPRESAS'!$C$6:$C$1000,'CONTROLE PRODUÇÃO POR EMPRESAS'!$A$6:$A$1000,"&gt;="&amp;$B54,'CONTROLE PRODUÇÃO POR EMPRESAS'!$A$6:$A$1000,"&lt;="&amp;$C54)),IF($E54="VIGAS",IF((COUNTIFS('CONTROLE PRODUÇÃO POR EMPRESAS'!$A$6:$A$1000,"&gt;="&amp;$B54,'CONTROLE PRODUÇÃO POR EMPRESAS'!$A$6:$A$1000,"&lt;="&amp;$C54,'CONTROLE PRODUÇÃO POR EMPRESAS'!$D$6:$D$1000,"&gt;=0")+COUNTIFS('CONTROLE PRODUÇÃO POR EMPRESAS'!$A$6:$A$1000,"&gt;="&amp;$B54,'CONTROLE PRODUÇÃO POR EMPRESAS'!$A$6:$A$1000,"&lt;="&amp;$C54,'CONTROLE PRODUÇÃO POR EMPRESAS'!$D$6:$D$1000,"?*"))=0,"",SUMIFS('CONTROLE PRODUÇÃO POR EMPRESAS'!$D$6:$D$1000,'CONTROLE PRODUÇÃO POR EMPRESAS'!$A$6:$A$1000,"&gt;="&amp;$B54,'CONTROLE PRODUÇÃO POR EMPRESAS'!$A$6:$A$1000,"&lt;="&amp;$C54)),""))),IF($D54="CMM",IF($E54="PREMONTAGEM",IF((COUNTIFS('CONTROLE PRODUÇÃO POR EMPRESAS'!$A$6:$A$1000,"&gt;="&amp;$B54,'CONTROLE PRODUÇÃO POR EMPRESAS'!$A$6:$A$1000,"&lt;="&amp;$C54,'CONTROLE PRODUÇÃO POR EMPRESAS'!$E$6:$E$1000,"&gt;=0")+COUNTIFS('CONTROLE PRODUÇÃO POR EMPRESAS'!$A$6:$A$1000,"&gt;="&amp;$B54,'CONTROLE PRODUÇÃO POR EMPRESAS'!$A$6:$A$1000,"&lt;="&amp;$C54,'CONTROLE PRODUÇÃO POR EMPRESAS'!$E$6:$E$1000,"?*"))=0,"",SUMIFS('CONTROLE PRODUÇÃO POR EMPRESAS'!$E$6:$E$1000,'CONTROLE PRODUÇÃO POR EMPRESAS'!$A$6:$A$1000,"&gt;="&amp;$B54,'CONTROLE PRODUÇÃO POR EMPRESAS'!$A$6:$A$1000,"&lt;="&amp;$C54)),IF($E54="IÇAMENTO JOIST",IF((COUNTIFS('CONTROLE PRODUÇÃO POR EMPRESAS'!$A$6:$A$1000,"&gt;="&amp;$B54,'CONTROLE PRODUÇÃO POR EMPRESAS'!$A$6:$A$1000,"&lt;="&amp;$C54,'CONTROLE PRODUÇÃO POR EMPRESAS'!$F$6:$F$1000,"&gt;=0")+COUNTIFS('CONTROLE PRODUÇÃO POR EMPRESAS'!$A$6:$A$1000,"&gt;="&amp;$B54,'CONTROLE PRODUÇÃO POR EMPRESAS'!$A$6:$A$1000,"&lt;="&amp;$C54,'CONTROLE PRODUÇÃO POR EMPRESAS'!$F$6:$F$1000,"?*"))=0,"",SUMIFS('CONTROLE PRODUÇÃO POR EMPRESAS'!$F$6:$F$1000,'CONTROLE PRODUÇÃO POR EMPRESAS'!$A$6:$A$1000,"&gt;="&amp;$B54,'CONTROLE PRODUÇÃO POR EMPRESAS'!$A$6:$A$1000,"&lt;="&amp;$C54)),IF($E54="VIGAS",IF((COUNTIFS('CONTROLE PRODUÇÃO POR EMPRESAS'!$A$6:$A$1000,"&gt;="&amp;$B54,'CONTROLE PRODUÇÃO POR EMPRESAS'!$A$6:$A$1000,"&lt;="&amp;$C54,'CONTROLE PRODUÇÃO POR EMPRESAS'!$G$6:$G$1000,"&gt;=0")+COUNTIFS('CONTROLE PRODUÇÃO POR EMPRESAS'!$A$6:$A$1000,"&gt;="&amp;$B54,'CONTROLE PRODUÇÃO POR EMPRESAS'!$A$6:$A$1000,"&lt;="&amp;$C54,'CONTROLE PRODUÇÃO POR EMPRESAS'!$G$6:$G$1000,"?*"))=0,"",SUMIFS('CONTROLE PRODUÇÃO POR EMPRESAS'!$G$6:$G$1000,'CONTROLE PRODUÇÃO POR EMPRESAS'!$A$6:$A$1000,"&gt;="&amp;$B54,'CONTROLE PRODUÇÃO POR EMPRESAS'!$A$6:$A$1000,"&lt;="&amp;$C54)),""))),"")))</f>
        <v/>
      </c>
      <c r="M54" s="298">
        <f>IF(L54="","",MAX(J54-L54,0))</f>
        <v/>
      </c>
      <c r="N54" s="298">
        <f>IF(L54="","",MAX(L54-J54,0))</f>
        <v/>
      </c>
      <c r="O54" s="299">
        <f>IF(L54="","",IFERROR(L54/J54,""))</f>
        <v/>
      </c>
      <c r="P54" s="298">
        <f>IF(H54="","",SUMIFS($H$6:H54,$D$6:D54,D54,$E$6:E54,E54))</f>
        <v/>
      </c>
      <c r="Q54" s="298">
        <f>IF(L54="","",SUMIFS($L$6:L54,$D$6:D54,D54,$E$6:E54,E54))</f>
        <v/>
      </c>
      <c r="R54" s="298">
        <f>IF(Q54="","",MAX(P54-Q54,0))</f>
        <v/>
      </c>
      <c r="S54" s="108">
        <f>IF(O54="","",IF(O54&gt;=1,"VERDE",IF(O54&gt;=0.9,"AMARELO","VERMELHO")))</f>
        <v/>
      </c>
      <c r="T54" s="109" t="n"/>
      <c r="U54" s="109" t="n"/>
      <c r="V54" s="110" t="n"/>
      <c r="W54" s="302" t="n"/>
    </row>
    <row r="55" ht="15.75" customHeight="1">
      <c r="A55" s="117" t="n">
        <v>9</v>
      </c>
      <c r="B55" s="295" t="n">
        <v>46314</v>
      </c>
      <c r="C55" s="295" t="n">
        <v>46318</v>
      </c>
      <c r="D55" s="101" t="inlineStr">
        <is>
          <t>CMM</t>
        </is>
      </c>
      <c r="E55" s="103" t="inlineStr">
        <is>
          <t>IÇAMENTO JOIST</t>
        </is>
      </c>
      <c r="F55" s="296">
        <f>IF(OR(D55="",E55=""),"",IF(COUNTIFS('METAS EMPRESAS'!$A$5:$A$10,D55,'METAS EMPRESAS'!$B$5:$B$10,E55)=0,"",SUMIFS('METAS EMPRESAS'!$C$5:$C$10,'METAS EMPRESAS'!$A$5:$A$10,D55,'METAS EMPRESAS'!$B$5:$B$10,E55)))</f>
        <v/>
      </c>
      <c r="G55" s="297" t="n">
        <v>5</v>
      </c>
      <c r="H55" s="298">
        <f>IF(F55="","",F55*G55)</f>
        <v/>
      </c>
      <c r="I55" s="298">
        <f>IF(M49="",0,M49)</f>
        <v/>
      </c>
      <c r="J55" s="298">
        <f>IF(H55="","",H55+I55)</f>
        <v/>
      </c>
      <c r="K55" s="298">
        <f>IF(J55="","",J55/G55)</f>
        <v/>
      </c>
      <c r="L55" s="297">
        <f>IF(OR($B55="",$C55="",$D55="",$E55=""),"",IF($D55="EJ",IF($E55="PREMONTAGEM",IF((COUNTIFS('CONTROLE PRODUÇÃO POR EMPRESAS'!$A$6:$A$1000,"&gt;="&amp;$B55,'CONTROLE PRODUÇÃO POR EMPRESAS'!$A$6:$A$1000,"&lt;="&amp;$C55,'CONTROLE PRODUÇÃO POR EMPRESAS'!$B$6:$B$1000,"&gt;=0")+COUNTIFS('CONTROLE PRODUÇÃO POR EMPRESAS'!$A$6:$A$1000,"&gt;="&amp;$B55,'CONTROLE PRODUÇÃO POR EMPRESAS'!$A$6:$A$1000,"&lt;="&amp;$C55,'CONTROLE PRODUÇÃO POR EMPRESAS'!$B$6:$B$1000,"?*"))=0,"",SUMIFS('CONTROLE PRODUÇÃO POR EMPRESAS'!$B$6:$B$1000,'CONTROLE PRODUÇÃO POR EMPRESAS'!$A$6:$A$1000,"&gt;="&amp;$B55,'CONTROLE PRODUÇÃO POR EMPRESAS'!$A$6:$A$1000,"&lt;="&amp;$C55)),IF($E55="IÇAMENTO JOIST",IF((COUNTIFS('CONTROLE PRODUÇÃO POR EMPRESAS'!$A$6:$A$1000,"&gt;="&amp;$B55,'CONTROLE PRODUÇÃO POR EMPRESAS'!$A$6:$A$1000,"&lt;="&amp;$C55,'CONTROLE PRODUÇÃO POR EMPRESAS'!$C$6:$C$1000,"&gt;=0")+COUNTIFS('CONTROLE PRODUÇÃO POR EMPRESAS'!$A$6:$A$1000,"&gt;="&amp;$B55,'CONTROLE PRODUÇÃO POR EMPRESAS'!$A$6:$A$1000,"&lt;="&amp;$C55,'CONTROLE PRODUÇÃO POR EMPRESAS'!$C$6:$C$1000,"?*"))=0,"",SUMIFS('CONTROLE PRODUÇÃO POR EMPRESAS'!$C$6:$C$1000,'CONTROLE PRODUÇÃO POR EMPRESAS'!$A$6:$A$1000,"&gt;="&amp;$B55,'CONTROLE PRODUÇÃO POR EMPRESAS'!$A$6:$A$1000,"&lt;="&amp;$C55)),IF($E55="VIGAS",IF((COUNTIFS('CONTROLE PRODUÇÃO POR EMPRESAS'!$A$6:$A$1000,"&gt;="&amp;$B55,'CONTROLE PRODUÇÃO POR EMPRESAS'!$A$6:$A$1000,"&lt;="&amp;$C55,'CONTROLE PRODUÇÃO POR EMPRESAS'!$D$6:$D$1000,"&gt;=0")+COUNTIFS('CONTROLE PRODUÇÃO POR EMPRESAS'!$A$6:$A$1000,"&gt;="&amp;$B55,'CONTROLE PRODUÇÃO POR EMPRESAS'!$A$6:$A$1000,"&lt;="&amp;$C55,'CONTROLE PRODUÇÃO POR EMPRESAS'!$D$6:$D$1000,"?*"))=0,"",SUMIFS('CONTROLE PRODUÇÃO POR EMPRESAS'!$D$6:$D$1000,'CONTROLE PRODUÇÃO POR EMPRESAS'!$A$6:$A$1000,"&gt;="&amp;$B55,'CONTROLE PRODUÇÃO POR EMPRESAS'!$A$6:$A$1000,"&lt;="&amp;$C55)),""))),IF($D55="CMM",IF($E55="PREMONTAGEM",IF((COUNTIFS('CONTROLE PRODUÇÃO POR EMPRESAS'!$A$6:$A$1000,"&gt;="&amp;$B55,'CONTROLE PRODUÇÃO POR EMPRESAS'!$A$6:$A$1000,"&lt;="&amp;$C55,'CONTROLE PRODUÇÃO POR EMPRESAS'!$E$6:$E$1000,"&gt;=0")+COUNTIFS('CONTROLE PRODUÇÃO POR EMPRESAS'!$A$6:$A$1000,"&gt;="&amp;$B55,'CONTROLE PRODUÇÃO POR EMPRESAS'!$A$6:$A$1000,"&lt;="&amp;$C55,'CONTROLE PRODUÇÃO POR EMPRESAS'!$E$6:$E$1000,"?*"))=0,"",SUMIFS('CONTROLE PRODUÇÃO POR EMPRESAS'!$E$6:$E$1000,'CONTROLE PRODUÇÃO POR EMPRESAS'!$A$6:$A$1000,"&gt;="&amp;$B55,'CONTROLE PRODUÇÃO POR EMPRESAS'!$A$6:$A$1000,"&lt;="&amp;$C55)),IF($E55="IÇAMENTO JOIST",IF((COUNTIFS('CONTROLE PRODUÇÃO POR EMPRESAS'!$A$6:$A$1000,"&gt;="&amp;$B55,'CONTROLE PRODUÇÃO POR EMPRESAS'!$A$6:$A$1000,"&lt;="&amp;$C55,'CONTROLE PRODUÇÃO POR EMPRESAS'!$F$6:$F$1000,"&gt;=0")+COUNTIFS('CONTROLE PRODUÇÃO POR EMPRESAS'!$A$6:$A$1000,"&gt;="&amp;$B55,'CONTROLE PRODUÇÃO POR EMPRESAS'!$A$6:$A$1000,"&lt;="&amp;$C55,'CONTROLE PRODUÇÃO POR EMPRESAS'!$F$6:$F$1000,"?*"))=0,"",SUMIFS('CONTROLE PRODUÇÃO POR EMPRESAS'!$F$6:$F$1000,'CONTROLE PRODUÇÃO POR EMPRESAS'!$A$6:$A$1000,"&gt;="&amp;$B55,'CONTROLE PRODUÇÃO POR EMPRESAS'!$A$6:$A$1000,"&lt;="&amp;$C55)),IF($E55="VIGAS",IF((COUNTIFS('CONTROLE PRODUÇÃO POR EMPRESAS'!$A$6:$A$1000,"&gt;="&amp;$B55,'CONTROLE PRODUÇÃO POR EMPRESAS'!$A$6:$A$1000,"&lt;="&amp;$C55,'CONTROLE PRODUÇÃO POR EMPRESAS'!$G$6:$G$1000,"&gt;=0")+COUNTIFS('CONTROLE PRODUÇÃO POR EMPRESAS'!$A$6:$A$1000,"&gt;="&amp;$B55,'CONTROLE PRODUÇÃO POR EMPRESAS'!$A$6:$A$1000,"&lt;="&amp;$C55,'CONTROLE PRODUÇÃO POR EMPRESAS'!$G$6:$G$1000,"?*"))=0,"",SUMIFS('CONTROLE PRODUÇÃO POR EMPRESAS'!$G$6:$G$1000,'CONTROLE PRODUÇÃO POR EMPRESAS'!$A$6:$A$1000,"&gt;="&amp;$B55,'CONTROLE PRODUÇÃO POR EMPRESAS'!$A$6:$A$1000,"&lt;="&amp;$C55)),""))),"")))</f>
        <v/>
      </c>
      <c r="M55" s="298">
        <f>IF(L55="","",MAX(J55-L55,0))</f>
        <v/>
      </c>
      <c r="N55" s="298">
        <f>IF(L55="","",MAX(L55-J55,0))</f>
        <v/>
      </c>
      <c r="O55" s="299">
        <f>IF(L55="","",IFERROR(L55/J55,""))</f>
        <v/>
      </c>
      <c r="P55" s="298">
        <f>IF(H55="","",SUMIFS($H$6:H55,$D$6:D55,D55,$E$6:E55,E55))</f>
        <v/>
      </c>
      <c r="Q55" s="298">
        <f>IF(L55="","",SUMIFS($L$6:L55,$D$6:D55,D55,$E$6:E55,E55))</f>
        <v/>
      </c>
      <c r="R55" s="298">
        <f>IF(Q55="","",MAX(P55-Q55,0))</f>
        <v/>
      </c>
      <c r="S55" s="108">
        <f>IF(O55="","",IF(O55&gt;=1,"VERDE",IF(O55&gt;=0.9,"AMARELO","VERMELHO")))</f>
        <v/>
      </c>
      <c r="T55" s="109" t="n"/>
      <c r="U55" s="109" t="n"/>
      <c r="V55" s="110" t="n"/>
      <c r="W55" s="302" t="n"/>
    </row>
    <row r="56" ht="15.75" customHeight="1">
      <c r="A56" s="112" t="n">
        <v>9</v>
      </c>
      <c r="B56" s="301" t="n">
        <v>46314</v>
      </c>
      <c r="C56" s="301" t="n">
        <v>46318</v>
      </c>
      <c r="D56" s="114" t="inlineStr">
        <is>
          <t>CMM</t>
        </is>
      </c>
      <c r="E56" s="115" t="inlineStr">
        <is>
          <t>VIGAS</t>
        </is>
      </c>
      <c r="F56" s="296">
        <f>IF(OR(D56="",E56=""),"",IF(COUNTIFS('METAS EMPRESAS'!$A$5:$A$10,D56,'METAS EMPRESAS'!$B$5:$B$10,E56)=0,"",SUMIFS('METAS EMPRESAS'!$C$5:$C$10,'METAS EMPRESAS'!$A$5:$A$10,D56,'METAS EMPRESAS'!$B$5:$B$10,E56)))</f>
        <v/>
      </c>
      <c r="G56" s="297" t="n">
        <v>5</v>
      </c>
      <c r="H56" s="298">
        <f>IF(F56="","",F56*G56)</f>
        <v/>
      </c>
      <c r="I56" s="298">
        <f>IF(M50="",0,M50)</f>
        <v/>
      </c>
      <c r="J56" s="298">
        <f>IF(H56="","",H56+I56)</f>
        <v/>
      </c>
      <c r="K56" s="298">
        <f>IF(J56="","",J56/G56)</f>
        <v/>
      </c>
      <c r="L56" s="297">
        <f>IF(OR($B56="",$C56="",$D56="",$E56=""),"",IF($D56="EJ",IF($E56="PREMONTAGEM",IF((COUNTIFS('CONTROLE PRODUÇÃO POR EMPRESAS'!$A$6:$A$1000,"&gt;="&amp;$B56,'CONTROLE PRODUÇÃO POR EMPRESAS'!$A$6:$A$1000,"&lt;="&amp;$C56,'CONTROLE PRODUÇÃO POR EMPRESAS'!$B$6:$B$1000,"&gt;=0")+COUNTIFS('CONTROLE PRODUÇÃO POR EMPRESAS'!$A$6:$A$1000,"&gt;="&amp;$B56,'CONTROLE PRODUÇÃO POR EMPRESAS'!$A$6:$A$1000,"&lt;="&amp;$C56,'CONTROLE PRODUÇÃO POR EMPRESAS'!$B$6:$B$1000,"?*"))=0,"",SUMIFS('CONTROLE PRODUÇÃO POR EMPRESAS'!$B$6:$B$1000,'CONTROLE PRODUÇÃO POR EMPRESAS'!$A$6:$A$1000,"&gt;="&amp;$B56,'CONTROLE PRODUÇÃO POR EMPRESAS'!$A$6:$A$1000,"&lt;="&amp;$C56)),IF($E56="IÇAMENTO JOIST",IF((COUNTIFS('CONTROLE PRODUÇÃO POR EMPRESAS'!$A$6:$A$1000,"&gt;="&amp;$B56,'CONTROLE PRODUÇÃO POR EMPRESAS'!$A$6:$A$1000,"&lt;="&amp;$C56,'CONTROLE PRODUÇÃO POR EMPRESAS'!$C$6:$C$1000,"&gt;=0")+COUNTIFS('CONTROLE PRODUÇÃO POR EMPRESAS'!$A$6:$A$1000,"&gt;="&amp;$B56,'CONTROLE PRODUÇÃO POR EMPRESAS'!$A$6:$A$1000,"&lt;="&amp;$C56,'CONTROLE PRODUÇÃO POR EMPRESAS'!$C$6:$C$1000,"?*"))=0,"",SUMIFS('CONTROLE PRODUÇÃO POR EMPRESAS'!$C$6:$C$1000,'CONTROLE PRODUÇÃO POR EMPRESAS'!$A$6:$A$1000,"&gt;="&amp;$B56,'CONTROLE PRODUÇÃO POR EMPRESAS'!$A$6:$A$1000,"&lt;="&amp;$C56)),IF($E56="VIGAS",IF((COUNTIFS('CONTROLE PRODUÇÃO POR EMPRESAS'!$A$6:$A$1000,"&gt;="&amp;$B56,'CONTROLE PRODUÇÃO POR EMPRESAS'!$A$6:$A$1000,"&lt;="&amp;$C56,'CONTROLE PRODUÇÃO POR EMPRESAS'!$D$6:$D$1000,"&gt;=0")+COUNTIFS('CONTROLE PRODUÇÃO POR EMPRESAS'!$A$6:$A$1000,"&gt;="&amp;$B56,'CONTROLE PRODUÇÃO POR EMPRESAS'!$A$6:$A$1000,"&lt;="&amp;$C56,'CONTROLE PRODUÇÃO POR EMPRESAS'!$D$6:$D$1000,"?*"))=0,"",SUMIFS('CONTROLE PRODUÇÃO POR EMPRESAS'!$D$6:$D$1000,'CONTROLE PRODUÇÃO POR EMPRESAS'!$A$6:$A$1000,"&gt;="&amp;$B56,'CONTROLE PRODUÇÃO POR EMPRESAS'!$A$6:$A$1000,"&lt;="&amp;$C56)),""))),IF($D56="CMM",IF($E56="PREMONTAGEM",IF((COUNTIFS('CONTROLE PRODUÇÃO POR EMPRESAS'!$A$6:$A$1000,"&gt;="&amp;$B56,'CONTROLE PRODUÇÃO POR EMPRESAS'!$A$6:$A$1000,"&lt;="&amp;$C56,'CONTROLE PRODUÇÃO POR EMPRESAS'!$E$6:$E$1000,"&gt;=0")+COUNTIFS('CONTROLE PRODUÇÃO POR EMPRESAS'!$A$6:$A$1000,"&gt;="&amp;$B56,'CONTROLE PRODUÇÃO POR EMPRESAS'!$A$6:$A$1000,"&lt;="&amp;$C56,'CONTROLE PRODUÇÃO POR EMPRESAS'!$E$6:$E$1000,"?*"))=0,"",SUMIFS('CONTROLE PRODUÇÃO POR EMPRESAS'!$E$6:$E$1000,'CONTROLE PRODUÇÃO POR EMPRESAS'!$A$6:$A$1000,"&gt;="&amp;$B56,'CONTROLE PRODUÇÃO POR EMPRESAS'!$A$6:$A$1000,"&lt;="&amp;$C56)),IF($E56="IÇAMENTO JOIST",IF((COUNTIFS('CONTROLE PRODUÇÃO POR EMPRESAS'!$A$6:$A$1000,"&gt;="&amp;$B56,'CONTROLE PRODUÇÃO POR EMPRESAS'!$A$6:$A$1000,"&lt;="&amp;$C56,'CONTROLE PRODUÇÃO POR EMPRESAS'!$F$6:$F$1000,"&gt;=0")+COUNTIFS('CONTROLE PRODUÇÃO POR EMPRESAS'!$A$6:$A$1000,"&gt;="&amp;$B56,'CONTROLE PRODUÇÃO POR EMPRESAS'!$A$6:$A$1000,"&lt;="&amp;$C56,'CONTROLE PRODUÇÃO POR EMPRESAS'!$F$6:$F$1000,"?*"))=0,"",SUMIFS('CONTROLE PRODUÇÃO POR EMPRESAS'!$F$6:$F$1000,'CONTROLE PRODUÇÃO POR EMPRESAS'!$A$6:$A$1000,"&gt;="&amp;$B56,'CONTROLE PRODUÇÃO POR EMPRESAS'!$A$6:$A$1000,"&lt;="&amp;$C56)),IF($E56="VIGAS",IF((COUNTIFS('CONTROLE PRODUÇÃO POR EMPRESAS'!$A$6:$A$1000,"&gt;="&amp;$B56,'CONTROLE PRODUÇÃO POR EMPRESAS'!$A$6:$A$1000,"&lt;="&amp;$C56,'CONTROLE PRODUÇÃO POR EMPRESAS'!$G$6:$G$1000,"&gt;=0")+COUNTIFS('CONTROLE PRODUÇÃO POR EMPRESAS'!$A$6:$A$1000,"&gt;="&amp;$B56,'CONTROLE PRODUÇÃO POR EMPRESAS'!$A$6:$A$1000,"&lt;="&amp;$C56,'CONTROLE PRODUÇÃO POR EMPRESAS'!$G$6:$G$1000,"?*"))=0,"",SUMIFS('CONTROLE PRODUÇÃO POR EMPRESAS'!$G$6:$G$1000,'CONTROLE PRODUÇÃO POR EMPRESAS'!$A$6:$A$1000,"&gt;="&amp;$B56,'CONTROLE PRODUÇÃO POR EMPRESAS'!$A$6:$A$1000,"&lt;="&amp;$C56)),""))),"")))</f>
        <v/>
      </c>
      <c r="M56" s="298">
        <f>IF(L56="","",MAX(J56-L56,0))</f>
        <v/>
      </c>
      <c r="N56" s="298">
        <f>IF(L56="","",MAX(L56-J56,0))</f>
        <v/>
      </c>
      <c r="O56" s="299">
        <f>IF(L56="","",IFERROR(L56/J56,""))</f>
        <v/>
      </c>
      <c r="P56" s="298">
        <f>IF(H56="","",SUMIFS($H$6:H56,$D$6:D56,D56,$E$6:E56,E56))</f>
        <v/>
      </c>
      <c r="Q56" s="298">
        <f>IF(L56="","",SUMIFS($L$6:L56,$D$6:D56,D56,$E$6:E56,E56))</f>
        <v/>
      </c>
      <c r="R56" s="298">
        <f>IF(Q56="","",MAX(P56-Q56,0))</f>
        <v/>
      </c>
      <c r="S56" s="108">
        <f>IF(O56="","",IF(O56&gt;=1,"VERDE",IF(O56&gt;=0.9,"AMARELO","VERMELHO")))</f>
        <v/>
      </c>
      <c r="T56" s="109" t="n"/>
      <c r="U56" s="109" t="n"/>
      <c r="V56" s="110" t="n"/>
      <c r="W56" s="302" t="n"/>
    </row>
    <row r="57" ht="15.75" customHeight="1">
      <c r="A57" s="117" t="n">
        <v>9</v>
      </c>
      <c r="B57" s="295" t="n">
        <v>46314</v>
      </c>
      <c r="C57" s="295" t="n">
        <v>46318</v>
      </c>
      <c r="D57" s="101" t="inlineStr">
        <is>
          <t>EJ</t>
        </is>
      </c>
      <c r="E57" s="103" t="inlineStr">
        <is>
          <t>PREMONTAGEM</t>
        </is>
      </c>
      <c r="F57" s="296">
        <f>IF(OR(D57="",E57=""),"",IF(COUNTIFS('METAS EMPRESAS'!$A$5:$A$10,D57,'METAS EMPRESAS'!$B$5:$B$10,E57)=0,"",SUMIFS('METAS EMPRESAS'!$C$5:$C$10,'METAS EMPRESAS'!$A$5:$A$10,D57,'METAS EMPRESAS'!$B$5:$B$10,E57)))</f>
        <v/>
      </c>
      <c r="G57" s="297" t="n">
        <v>5</v>
      </c>
      <c r="H57" s="298">
        <f>IF(F57="","",F57*G57)</f>
        <v/>
      </c>
      <c r="I57" s="298">
        <f>IF(M51="",0,M51)</f>
        <v/>
      </c>
      <c r="J57" s="298">
        <f>IF(H57="","",H57+I57)</f>
        <v/>
      </c>
      <c r="K57" s="298">
        <f>IF(J57="","",J57/G57)</f>
        <v/>
      </c>
      <c r="L57" s="297">
        <f>IF(OR($B57="",$C57="",$D57="",$E57=""),"",IF($D57="EJ",IF($E57="PREMONTAGEM",IF((COUNTIFS('CONTROLE PRODUÇÃO POR EMPRESAS'!$A$6:$A$1000,"&gt;="&amp;$B57,'CONTROLE PRODUÇÃO POR EMPRESAS'!$A$6:$A$1000,"&lt;="&amp;$C57,'CONTROLE PRODUÇÃO POR EMPRESAS'!$B$6:$B$1000,"&gt;=0")+COUNTIFS('CONTROLE PRODUÇÃO POR EMPRESAS'!$A$6:$A$1000,"&gt;="&amp;$B57,'CONTROLE PRODUÇÃO POR EMPRESAS'!$A$6:$A$1000,"&lt;="&amp;$C57,'CONTROLE PRODUÇÃO POR EMPRESAS'!$B$6:$B$1000,"?*"))=0,"",SUMIFS('CONTROLE PRODUÇÃO POR EMPRESAS'!$B$6:$B$1000,'CONTROLE PRODUÇÃO POR EMPRESAS'!$A$6:$A$1000,"&gt;="&amp;$B57,'CONTROLE PRODUÇÃO POR EMPRESAS'!$A$6:$A$1000,"&lt;="&amp;$C57)),IF($E57="IÇAMENTO JOIST",IF((COUNTIFS('CONTROLE PRODUÇÃO POR EMPRESAS'!$A$6:$A$1000,"&gt;="&amp;$B57,'CONTROLE PRODUÇÃO POR EMPRESAS'!$A$6:$A$1000,"&lt;="&amp;$C57,'CONTROLE PRODUÇÃO POR EMPRESAS'!$C$6:$C$1000,"&gt;=0")+COUNTIFS('CONTROLE PRODUÇÃO POR EMPRESAS'!$A$6:$A$1000,"&gt;="&amp;$B57,'CONTROLE PRODUÇÃO POR EMPRESAS'!$A$6:$A$1000,"&lt;="&amp;$C57,'CONTROLE PRODUÇÃO POR EMPRESAS'!$C$6:$C$1000,"?*"))=0,"",SUMIFS('CONTROLE PRODUÇÃO POR EMPRESAS'!$C$6:$C$1000,'CONTROLE PRODUÇÃO POR EMPRESAS'!$A$6:$A$1000,"&gt;="&amp;$B57,'CONTROLE PRODUÇÃO POR EMPRESAS'!$A$6:$A$1000,"&lt;="&amp;$C57)),IF($E57="VIGAS",IF((COUNTIFS('CONTROLE PRODUÇÃO POR EMPRESAS'!$A$6:$A$1000,"&gt;="&amp;$B57,'CONTROLE PRODUÇÃO POR EMPRESAS'!$A$6:$A$1000,"&lt;="&amp;$C57,'CONTROLE PRODUÇÃO POR EMPRESAS'!$D$6:$D$1000,"&gt;=0")+COUNTIFS('CONTROLE PRODUÇÃO POR EMPRESAS'!$A$6:$A$1000,"&gt;="&amp;$B57,'CONTROLE PRODUÇÃO POR EMPRESAS'!$A$6:$A$1000,"&lt;="&amp;$C57,'CONTROLE PRODUÇÃO POR EMPRESAS'!$D$6:$D$1000,"?*"))=0,"",SUMIFS('CONTROLE PRODUÇÃO POR EMPRESAS'!$D$6:$D$1000,'CONTROLE PRODUÇÃO POR EMPRESAS'!$A$6:$A$1000,"&gt;="&amp;$B57,'CONTROLE PRODUÇÃO POR EMPRESAS'!$A$6:$A$1000,"&lt;="&amp;$C57)),""))),IF($D57="CMM",IF($E57="PREMONTAGEM",IF((COUNTIFS('CONTROLE PRODUÇÃO POR EMPRESAS'!$A$6:$A$1000,"&gt;="&amp;$B57,'CONTROLE PRODUÇÃO POR EMPRESAS'!$A$6:$A$1000,"&lt;="&amp;$C57,'CONTROLE PRODUÇÃO POR EMPRESAS'!$E$6:$E$1000,"&gt;=0")+COUNTIFS('CONTROLE PRODUÇÃO POR EMPRESAS'!$A$6:$A$1000,"&gt;="&amp;$B57,'CONTROLE PRODUÇÃO POR EMPRESAS'!$A$6:$A$1000,"&lt;="&amp;$C57,'CONTROLE PRODUÇÃO POR EMPRESAS'!$E$6:$E$1000,"?*"))=0,"",SUMIFS('CONTROLE PRODUÇÃO POR EMPRESAS'!$E$6:$E$1000,'CONTROLE PRODUÇÃO POR EMPRESAS'!$A$6:$A$1000,"&gt;="&amp;$B57,'CONTROLE PRODUÇÃO POR EMPRESAS'!$A$6:$A$1000,"&lt;="&amp;$C57)),IF($E57="IÇAMENTO JOIST",IF((COUNTIFS('CONTROLE PRODUÇÃO POR EMPRESAS'!$A$6:$A$1000,"&gt;="&amp;$B57,'CONTROLE PRODUÇÃO POR EMPRESAS'!$A$6:$A$1000,"&lt;="&amp;$C57,'CONTROLE PRODUÇÃO POR EMPRESAS'!$F$6:$F$1000,"&gt;=0")+COUNTIFS('CONTROLE PRODUÇÃO POR EMPRESAS'!$A$6:$A$1000,"&gt;="&amp;$B57,'CONTROLE PRODUÇÃO POR EMPRESAS'!$A$6:$A$1000,"&lt;="&amp;$C57,'CONTROLE PRODUÇÃO POR EMPRESAS'!$F$6:$F$1000,"?*"))=0,"",SUMIFS('CONTROLE PRODUÇÃO POR EMPRESAS'!$F$6:$F$1000,'CONTROLE PRODUÇÃO POR EMPRESAS'!$A$6:$A$1000,"&gt;="&amp;$B57,'CONTROLE PRODUÇÃO POR EMPRESAS'!$A$6:$A$1000,"&lt;="&amp;$C57)),IF($E57="VIGAS",IF((COUNTIFS('CONTROLE PRODUÇÃO POR EMPRESAS'!$A$6:$A$1000,"&gt;="&amp;$B57,'CONTROLE PRODUÇÃO POR EMPRESAS'!$A$6:$A$1000,"&lt;="&amp;$C57,'CONTROLE PRODUÇÃO POR EMPRESAS'!$G$6:$G$1000,"&gt;=0")+COUNTIFS('CONTROLE PRODUÇÃO POR EMPRESAS'!$A$6:$A$1000,"&gt;="&amp;$B57,'CONTROLE PRODUÇÃO POR EMPRESAS'!$A$6:$A$1000,"&lt;="&amp;$C57,'CONTROLE PRODUÇÃO POR EMPRESAS'!$G$6:$G$1000,"?*"))=0,"",SUMIFS('CONTROLE PRODUÇÃO POR EMPRESAS'!$G$6:$G$1000,'CONTROLE PRODUÇÃO POR EMPRESAS'!$A$6:$A$1000,"&gt;="&amp;$B57,'CONTROLE PRODUÇÃO POR EMPRESAS'!$A$6:$A$1000,"&lt;="&amp;$C57)),""))),"")))</f>
        <v/>
      </c>
      <c r="M57" s="298">
        <f>IF(L57="","",MAX(J57-L57,0))</f>
        <v/>
      </c>
      <c r="N57" s="298">
        <f>IF(L57="","",MAX(L57-J57,0))</f>
        <v/>
      </c>
      <c r="O57" s="299">
        <f>IF(L57="","",IFERROR(L57/J57,""))</f>
        <v/>
      </c>
      <c r="P57" s="298">
        <f>IF(H57="","",SUMIFS($H$6:H57,$D$6:D57,D57,$E$6:E57,E57))</f>
        <v/>
      </c>
      <c r="Q57" s="298">
        <f>IF(L57="","",SUMIFS($L$6:L57,$D$6:D57,D57,$E$6:E57,E57))</f>
        <v/>
      </c>
      <c r="R57" s="298">
        <f>IF(Q57="","",MAX(P57-Q57,0))</f>
        <v/>
      </c>
      <c r="S57" s="108">
        <f>IF(O57="","",IF(O57&gt;=1,"VERDE",IF(O57&gt;=0.9,"AMARELO","VERMELHO")))</f>
        <v/>
      </c>
      <c r="T57" s="109" t="n"/>
      <c r="U57" s="109" t="n"/>
      <c r="V57" s="110" t="n"/>
      <c r="W57" s="302" t="n"/>
    </row>
    <row r="58" ht="15.75" customHeight="1">
      <c r="A58" s="112" t="n">
        <v>9</v>
      </c>
      <c r="B58" s="301" t="n">
        <v>46314</v>
      </c>
      <c r="C58" s="301" t="n">
        <v>46318</v>
      </c>
      <c r="D58" s="114" t="inlineStr">
        <is>
          <t>EJ</t>
        </is>
      </c>
      <c r="E58" s="115" t="inlineStr">
        <is>
          <t>IÇAMENTO JOIST</t>
        </is>
      </c>
      <c r="F58" s="296">
        <f>IF(OR(D58="",E58=""),"",IF(COUNTIFS('METAS EMPRESAS'!$A$5:$A$10,D58,'METAS EMPRESAS'!$B$5:$B$10,E58)=0,"",SUMIFS('METAS EMPRESAS'!$C$5:$C$10,'METAS EMPRESAS'!$A$5:$A$10,D58,'METAS EMPRESAS'!$B$5:$B$10,E58)))</f>
        <v/>
      </c>
      <c r="G58" s="297" t="n">
        <v>5</v>
      </c>
      <c r="H58" s="298">
        <f>IF(F58="","",F58*G58)</f>
        <v/>
      </c>
      <c r="I58" s="298">
        <f>IF(M52="",0,M52)</f>
        <v/>
      </c>
      <c r="J58" s="298">
        <f>IF(H58="","",H58+I58)</f>
        <v/>
      </c>
      <c r="K58" s="298">
        <f>IF(J58="","",J58/G58)</f>
        <v/>
      </c>
      <c r="L58" s="297">
        <f>IF(OR($B58="",$C58="",$D58="",$E58=""),"",IF($D58="EJ",IF($E58="PREMONTAGEM",IF((COUNTIFS('CONTROLE PRODUÇÃO POR EMPRESAS'!$A$6:$A$1000,"&gt;="&amp;$B58,'CONTROLE PRODUÇÃO POR EMPRESAS'!$A$6:$A$1000,"&lt;="&amp;$C58,'CONTROLE PRODUÇÃO POR EMPRESAS'!$B$6:$B$1000,"&gt;=0")+COUNTIFS('CONTROLE PRODUÇÃO POR EMPRESAS'!$A$6:$A$1000,"&gt;="&amp;$B58,'CONTROLE PRODUÇÃO POR EMPRESAS'!$A$6:$A$1000,"&lt;="&amp;$C58,'CONTROLE PRODUÇÃO POR EMPRESAS'!$B$6:$B$1000,"?*"))=0,"",SUMIFS('CONTROLE PRODUÇÃO POR EMPRESAS'!$B$6:$B$1000,'CONTROLE PRODUÇÃO POR EMPRESAS'!$A$6:$A$1000,"&gt;="&amp;$B58,'CONTROLE PRODUÇÃO POR EMPRESAS'!$A$6:$A$1000,"&lt;="&amp;$C58)),IF($E58="IÇAMENTO JOIST",IF((COUNTIFS('CONTROLE PRODUÇÃO POR EMPRESAS'!$A$6:$A$1000,"&gt;="&amp;$B58,'CONTROLE PRODUÇÃO POR EMPRESAS'!$A$6:$A$1000,"&lt;="&amp;$C58,'CONTROLE PRODUÇÃO POR EMPRESAS'!$C$6:$C$1000,"&gt;=0")+COUNTIFS('CONTROLE PRODUÇÃO POR EMPRESAS'!$A$6:$A$1000,"&gt;="&amp;$B58,'CONTROLE PRODUÇÃO POR EMPRESAS'!$A$6:$A$1000,"&lt;="&amp;$C58,'CONTROLE PRODUÇÃO POR EMPRESAS'!$C$6:$C$1000,"?*"))=0,"",SUMIFS('CONTROLE PRODUÇÃO POR EMPRESAS'!$C$6:$C$1000,'CONTROLE PRODUÇÃO POR EMPRESAS'!$A$6:$A$1000,"&gt;="&amp;$B58,'CONTROLE PRODUÇÃO POR EMPRESAS'!$A$6:$A$1000,"&lt;="&amp;$C58)),IF($E58="VIGAS",IF((COUNTIFS('CONTROLE PRODUÇÃO POR EMPRESAS'!$A$6:$A$1000,"&gt;="&amp;$B58,'CONTROLE PRODUÇÃO POR EMPRESAS'!$A$6:$A$1000,"&lt;="&amp;$C58,'CONTROLE PRODUÇÃO POR EMPRESAS'!$D$6:$D$1000,"&gt;=0")+COUNTIFS('CONTROLE PRODUÇÃO POR EMPRESAS'!$A$6:$A$1000,"&gt;="&amp;$B58,'CONTROLE PRODUÇÃO POR EMPRESAS'!$A$6:$A$1000,"&lt;="&amp;$C58,'CONTROLE PRODUÇÃO POR EMPRESAS'!$D$6:$D$1000,"?*"))=0,"",SUMIFS('CONTROLE PRODUÇÃO POR EMPRESAS'!$D$6:$D$1000,'CONTROLE PRODUÇÃO POR EMPRESAS'!$A$6:$A$1000,"&gt;="&amp;$B58,'CONTROLE PRODUÇÃO POR EMPRESAS'!$A$6:$A$1000,"&lt;="&amp;$C58)),""))),IF($D58="CMM",IF($E58="PREMONTAGEM",IF((COUNTIFS('CONTROLE PRODUÇÃO POR EMPRESAS'!$A$6:$A$1000,"&gt;="&amp;$B58,'CONTROLE PRODUÇÃO POR EMPRESAS'!$A$6:$A$1000,"&lt;="&amp;$C58,'CONTROLE PRODUÇÃO POR EMPRESAS'!$E$6:$E$1000,"&gt;=0")+COUNTIFS('CONTROLE PRODUÇÃO POR EMPRESAS'!$A$6:$A$1000,"&gt;="&amp;$B58,'CONTROLE PRODUÇÃO POR EMPRESAS'!$A$6:$A$1000,"&lt;="&amp;$C58,'CONTROLE PRODUÇÃO POR EMPRESAS'!$E$6:$E$1000,"?*"))=0,"",SUMIFS('CONTROLE PRODUÇÃO POR EMPRESAS'!$E$6:$E$1000,'CONTROLE PRODUÇÃO POR EMPRESAS'!$A$6:$A$1000,"&gt;="&amp;$B58,'CONTROLE PRODUÇÃO POR EMPRESAS'!$A$6:$A$1000,"&lt;="&amp;$C58)),IF($E58="IÇAMENTO JOIST",IF((COUNTIFS('CONTROLE PRODUÇÃO POR EMPRESAS'!$A$6:$A$1000,"&gt;="&amp;$B58,'CONTROLE PRODUÇÃO POR EMPRESAS'!$A$6:$A$1000,"&lt;="&amp;$C58,'CONTROLE PRODUÇÃO POR EMPRESAS'!$F$6:$F$1000,"&gt;=0")+COUNTIFS('CONTROLE PRODUÇÃO POR EMPRESAS'!$A$6:$A$1000,"&gt;="&amp;$B58,'CONTROLE PRODUÇÃO POR EMPRESAS'!$A$6:$A$1000,"&lt;="&amp;$C58,'CONTROLE PRODUÇÃO POR EMPRESAS'!$F$6:$F$1000,"?*"))=0,"",SUMIFS('CONTROLE PRODUÇÃO POR EMPRESAS'!$F$6:$F$1000,'CONTROLE PRODUÇÃO POR EMPRESAS'!$A$6:$A$1000,"&gt;="&amp;$B58,'CONTROLE PRODUÇÃO POR EMPRESAS'!$A$6:$A$1000,"&lt;="&amp;$C58)),IF($E58="VIGAS",IF((COUNTIFS('CONTROLE PRODUÇÃO POR EMPRESAS'!$A$6:$A$1000,"&gt;="&amp;$B58,'CONTROLE PRODUÇÃO POR EMPRESAS'!$A$6:$A$1000,"&lt;="&amp;$C58,'CONTROLE PRODUÇÃO POR EMPRESAS'!$G$6:$G$1000,"&gt;=0")+COUNTIFS('CONTROLE PRODUÇÃO POR EMPRESAS'!$A$6:$A$1000,"&gt;="&amp;$B58,'CONTROLE PRODUÇÃO POR EMPRESAS'!$A$6:$A$1000,"&lt;="&amp;$C58,'CONTROLE PRODUÇÃO POR EMPRESAS'!$G$6:$G$1000,"?*"))=0,"",SUMIFS('CONTROLE PRODUÇÃO POR EMPRESAS'!$G$6:$G$1000,'CONTROLE PRODUÇÃO POR EMPRESAS'!$A$6:$A$1000,"&gt;="&amp;$B58,'CONTROLE PRODUÇÃO POR EMPRESAS'!$A$6:$A$1000,"&lt;="&amp;$C58)),""))),"")))</f>
        <v/>
      </c>
      <c r="M58" s="298">
        <f>IF(L58="","",MAX(J58-L58,0))</f>
        <v/>
      </c>
      <c r="N58" s="298">
        <f>IF(L58="","",MAX(L58-J58,0))</f>
        <v/>
      </c>
      <c r="O58" s="299">
        <f>IF(L58="","",IFERROR(L58/J58,""))</f>
        <v/>
      </c>
      <c r="P58" s="298">
        <f>IF(H58="","",SUMIFS($H$6:H58,$D$6:D58,D58,$E$6:E58,E58))</f>
        <v/>
      </c>
      <c r="Q58" s="298">
        <f>IF(L58="","",SUMIFS($L$6:L58,$D$6:D58,D58,$E$6:E58,E58))</f>
        <v/>
      </c>
      <c r="R58" s="298">
        <f>IF(Q58="","",MAX(P58-Q58,0))</f>
        <v/>
      </c>
      <c r="S58" s="108">
        <f>IF(O58="","",IF(O58&gt;=1,"VERDE",IF(O58&gt;=0.9,"AMARELO","VERMELHO")))</f>
        <v/>
      </c>
      <c r="T58" s="109" t="n"/>
      <c r="U58" s="109" t="n"/>
      <c r="V58" s="110" t="n"/>
      <c r="W58" s="302" t="n"/>
    </row>
    <row r="59" ht="15.75" customHeight="1">
      <c r="A59" s="117" t="n">
        <v>9</v>
      </c>
      <c r="B59" s="295" t="n">
        <v>46314</v>
      </c>
      <c r="C59" s="295" t="n">
        <v>46318</v>
      </c>
      <c r="D59" s="101" t="inlineStr">
        <is>
          <t>EJ</t>
        </is>
      </c>
      <c r="E59" s="103" t="inlineStr">
        <is>
          <t>VIGAS</t>
        </is>
      </c>
      <c r="F59" s="296">
        <f>IF(OR(D59="",E59=""),"",IF(COUNTIFS('METAS EMPRESAS'!$A$5:$A$10,D59,'METAS EMPRESAS'!$B$5:$B$10,E59)=0,"",SUMIFS('METAS EMPRESAS'!$C$5:$C$10,'METAS EMPRESAS'!$A$5:$A$10,D59,'METAS EMPRESAS'!$B$5:$B$10,E59)))</f>
        <v/>
      </c>
      <c r="G59" s="297" t="n">
        <v>5</v>
      </c>
      <c r="H59" s="298">
        <f>IF(F59="","",F59*G59)</f>
        <v/>
      </c>
      <c r="I59" s="298">
        <f>IF(M53="",0,M53)</f>
        <v/>
      </c>
      <c r="J59" s="298">
        <f>IF(H59="","",H59+I59)</f>
        <v/>
      </c>
      <c r="K59" s="298">
        <f>IF(J59="","",J59/G59)</f>
        <v/>
      </c>
      <c r="L59" s="297">
        <f>IF(OR($B59="",$C59="",$D59="",$E59=""),"",IF($D59="EJ",IF($E59="PREMONTAGEM",IF((COUNTIFS('CONTROLE PRODUÇÃO POR EMPRESAS'!$A$6:$A$1000,"&gt;="&amp;$B59,'CONTROLE PRODUÇÃO POR EMPRESAS'!$A$6:$A$1000,"&lt;="&amp;$C59,'CONTROLE PRODUÇÃO POR EMPRESAS'!$B$6:$B$1000,"&gt;=0")+COUNTIFS('CONTROLE PRODUÇÃO POR EMPRESAS'!$A$6:$A$1000,"&gt;="&amp;$B59,'CONTROLE PRODUÇÃO POR EMPRESAS'!$A$6:$A$1000,"&lt;="&amp;$C59,'CONTROLE PRODUÇÃO POR EMPRESAS'!$B$6:$B$1000,"?*"))=0,"",SUMIFS('CONTROLE PRODUÇÃO POR EMPRESAS'!$B$6:$B$1000,'CONTROLE PRODUÇÃO POR EMPRESAS'!$A$6:$A$1000,"&gt;="&amp;$B59,'CONTROLE PRODUÇÃO POR EMPRESAS'!$A$6:$A$1000,"&lt;="&amp;$C59)),IF($E59="IÇAMENTO JOIST",IF((COUNTIFS('CONTROLE PRODUÇÃO POR EMPRESAS'!$A$6:$A$1000,"&gt;="&amp;$B59,'CONTROLE PRODUÇÃO POR EMPRESAS'!$A$6:$A$1000,"&lt;="&amp;$C59,'CONTROLE PRODUÇÃO POR EMPRESAS'!$C$6:$C$1000,"&gt;=0")+COUNTIFS('CONTROLE PRODUÇÃO POR EMPRESAS'!$A$6:$A$1000,"&gt;="&amp;$B59,'CONTROLE PRODUÇÃO POR EMPRESAS'!$A$6:$A$1000,"&lt;="&amp;$C59,'CONTROLE PRODUÇÃO POR EMPRESAS'!$C$6:$C$1000,"?*"))=0,"",SUMIFS('CONTROLE PRODUÇÃO POR EMPRESAS'!$C$6:$C$1000,'CONTROLE PRODUÇÃO POR EMPRESAS'!$A$6:$A$1000,"&gt;="&amp;$B59,'CONTROLE PRODUÇÃO POR EMPRESAS'!$A$6:$A$1000,"&lt;="&amp;$C59)),IF($E59="VIGAS",IF((COUNTIFS('CONTROLE PRODUÇÃO POR EMPRESAS'!$A$6:$A$1000,"&gt;="&amp;$B59,'CONTROLE PRODUÇÃO POR EMPRESAS'!$A$6:$A$1000,"&lt;="&amp;$C59,'CONTROLE PRODUÇÃO POR EMPRESAS'!$D$6:$D$1000,"&gt;=0")+COUNTIFS('CONTROLE PRODUÇÃO POR EMPRESAS'!$A$6:$A$1000,"&gt;="&amp;$B59,'CONTROLE PRODUÇÃO POR EMPRESAS'!$A$6:$A$1000,"&lt;="&amp;$C59,'CONTROLE PRODUÇÃO POR EMPRESAS'!$D$6:$D$1000,"?*"))=0,"",SUMIFS('CONTROLE PRODUÇÃO POR EMPRESAS'!$D$6:$D$1000,'CONTROLE PRODUÇÃO POR EMPRESAS'!$A$6:$A$1000,"&gt;="&amp;$B59,'CONTROLE PRODUÇÃO POR EMPRESAS'!$A$6:$A$1000,"&lt;="&amp;$C59)),""))),IF($D59="CMM",IF($E59="PREMONTAGEM",IF((COUNTIFS('CONTROLE PRODUÇÃO POR EMPRESAS'!$A$6:$A$1000,"&gt;="&amp;$B59,'CONTROLE PRODUÇÃO POR EMPRESAS'!$A$6:$A$1000,"&lt;="&amp;$C59,'CONTROLE PRODUÇÃO POR EMPRESAS'!$E$6:$E$1000,"&gt;=0")+COUNTIFS('CONTROLE PRODUÇÃO POR EMPRESAS'!$A$6:$A$1000,"&gt;="&amp;$B59,'CONTROLE PRODUÇÃO POR EMPRESAS'!$A$6:$A$1000,"&lt;="&amp;$C59,'CONTROLE PRODUÇÃO POR EMPRESAS'!$E$6:$E$1000,"?*"))=0,"",SUMIFS('CONTROLE PRODUÇÃO POR EMPRESAS'!$E$6:$E$1000,'CONTROLE PRODUÇÃO POR EMPRESAS'!$A$6:$A$1000,"&gt;="&amp;$B59,'CONTROLE PRODUÇÃO POR EMPRESAS'!$A$6:$A$1000,"&lt;="&amp;$C59)),IF($E59="IÇAMENTO JOIST",IF((COUNTIFS('CONTROLE PRODUÇÃO POR EMPRESAS'!$A$6:$A$1000,"&gt;="&amp;$B59,'CONTROLE PRODUÇÃO POR EMPRESAS'!$A$6:$A$1000,"&lt;="&amp;$C59,'CONTROLE PRODUÇÃO POR EMPRESAS'!$F$6:$F$1000,"&gt;=0")+COUNTIFS('CONTROLE PRODUÇÃO POR EMPRESAS'!$A$6:$A$1000,"&gt;="&amp;$B59,'CONTROLE PRODUÇÃO POR EMPRESAS'!$A$6:$A$1000,"&lt;="&amp;$C59,'CONTROLE PRODUÇÃO POR EMPRESAS'!$F$6:$F$1000,"?*"))=0,"",SUMIFS('CONTROLE PRODUÇÃO POR EMPRESAS'!$F$6:$F$1000,'CONTROLE PRODUÇÃO POR EMPRESAS'!$A$6:$A$1000,"&gt;="&amp;$B59,'CONTROLE PRODUÇÃO POR EMPRESAS'!$A$6:$A$1000,"&lt;="&amp;$C59)),IF($E59="VIGAS",IF((COUNTIFS('CONTROLE PRODUÇÃO POR EMPRESAS'!$A$6:$A$1000,"&gt;="&amp;$B59,'CONTROLE PRODUÇÃO POR EMPRESAS'!$A$6:$A$1000,"&lt;="&amp;$C59,'CONTROLE PRODUÇÃO POR EMPRESAS'!$G$6:$G$1000,"&gt;=0")+COUNTIFS('CONTROLE PRODUÇÃO POR EMPRESAS'!$A$6:$A$1000,"&gt;="&amp;$B59,'CONTROLE PRODUÇÃO POR EMPRESAS'!$A$6:$A$1000,"&lt;="&amp;$C59,'CONTROLE PRODUÇÃO POR EMPRESAS'!$G$6:$G$1000,"?*"))=0,"",SUMIFS('CONTROLE PRODUÇÃO POR EMPRESAS'!$G$6:$G$1000,'CONTROLE PRODUÇÃO POR EMPRESAS'!$A$6:$A$1000,"&gt;="&amp;$B59,'CONTROLE PRODUÇÃO POR EMPRESAS'!$A$6:$A$1000,"&lt;="&amp;$C59)),""))),"")))</f>
        <v/>
      </c>
      <c r="M59" s="298">
        <f>IF(L59="","",MAX(J59-L59,0))</f>
        <v/>
      </c>
      <c r="N59" s="298">
        <f>IF(L59="","",MAX(L59-J59,0))</f>
        <v/>
      </c>
      <c r="O59" s="299">
        <f>IF(L59="","",IFERROR(L59/J59,""))</f>
        <v/>
      </c>
      <c r="P59" s="298">
        <f>IF(H59="","",SUMIFS($H$6:H59,$D$6:D59,D59,$E$6:E59,E59))</f>
        <v/>
      </c>
      <c r="Q59" s="298">
        <f>IF(L59="","",SUMIFS($L$6:L59,$D$6:D59,D59,$E$6:E59,E59))</f>
        <v/>
      </c>
      <c r="R59" s="298">
        <f>IF(Q59="","",MAX(P59-Q59,0))</f>
        <v/>
      </c>
      <c r="S59" s="108">
        <f>IF(O59="","",IF(O59&gt;=1,"VERDE",IF(O59&gt;=0.9,"AMARELO","VERMELHO")))</f>
        <v/>
      </c>
      <c r="T59" s="109" t="n"/>
      <c r="U59" s="109" t="n"/>
      <c r="V59" s="110" t="n"/>
      <c r="W59" s="302" t="n"/>
    </row>
    <row r="60" ht="15.75" customHeight="1">
      <c r="A60" s="112" t="n">
        <v>10</v>
      </c>
      <c r="B60" s="301" t="n">
        <v>46321</v>
      </c>
      <c r="C60" s="301" t="n">
        <v>46325</v>
      </c>
      <c r="D60" s="114" t="inlineStr">
        <is>
          <t>CMM</t>
        </is>
      </c>
      <c r="E60" s="115" t="inlineStr">
        <is>
          <t>PREMONTAGEM</t>
        </is>
      </c>
      <c r="F60" s="296">
        <f>IF(OR(D60="",E60=""),"",IF(COUNTIFS('METAS EMPRESAS'!$A$5:$A$10,D60,'METAS EMPRESAS'!$B$5:$B$10,E60)=0,"",SUMIFS('METAS EMPRESAS'!$C$5:$C$10,'METAS EMPRESAS'!$A$5:$A$10,D60,'METAS EMPRESAS'!$B$5:$B$10,E60)))</f>
        <v/>
      </c>
      <c r="G60" s="297" t="n">
        <v>5</v>
      </c>
      <c r="H60" s="298">
        <f>IF(F60="","",F60*G60)</f>
        <v/>
      </c>
      <c r="I60" s="298">
        <f>IF(M54="",0,M54)</f>
        <v/>
      </c>
      <c r="J60" s="298">
        <f>IF(H60="","",H60+I60)</f>
        <v/>
      </c>
      <c r="K60" s="298">
        <f>IF(J60="","",J60/G60)</f>
        <v/>
      </c>
      <c r="L60" s="297">
        <f>IF(OR($B60="",$C60="",$D60="",$E60=""),"",IF($D60="EJ",IF($E60="PREMONTAGEM",IF((COUNTIFS('CONTROLE PRODUÇÃO POR EMPRESAS'!$A$6:$A$1000,"&gt;="&amp;$B60,'CONTROLE PRODUÇÃO POR EMPRESAS'!$A$6:$A$1000,"&lt;="&amp;$C60,'CONTROLE PRODUÇÃO POR EMPRESAS'!$B$6:$B$1000,"&gt;=0")+COUNTIFS('CONTROLE PRODUÇÃO POR EMPRESAS'!$A$6:$A$1000,"&gt;="&amp;$B60,'CONTROLE PRODUÇÃO POR EMPRESAS'!$A$6:$A$1000,"&lt;="&amp;$C60,'CONTROLE PRODUÇÃO POR EMPRESAS'!$B$6:$B$1000,"?*"))=0,"",SUMIFS('CONTROLE PRODUÇÃO POR EMPRESAS'!$B$6:$B$1000,'CONTROLE PRODUÇÃO POR EMPRESAS'!$A$6:$A$1000,"&gt;="&amp;$B60,'CONTROLE PRODUÇÃO POR EMPRESAS'!$A$6:$A$1000,"&lt;="&amp;$C60)),IF($E60="IÇAMENTO JOIST",IF((COUNTIFS('CONTROLE PRODUÇÃO POR EMPRESAS'!$A$6:$A$1000,"&gt;="&amp;$B60,'CONTROLE PRODUÇÃO POR EMPRESAS'!$A$6:$A$1000,"&lt;="&amp;$C60,'CONTROLE PRODUÇÃO POR EMPRESAS'!$C$6:$C$1000,"&gt;=0")+COUNTIFS('CONTROLE PRODUÇÃO POR EMPRESAS'!$A$6:$A$1000,"&gt;="&amp;$B60,'CONTROLE PRODUÇÃO POR EMPRESAS'!$A$6:$A$1000,"&lt;="&amp;$C60,'CONTROLE PRODUÇÃO POR EMPRESAS'!$C$6:$C$1000,"?*"))=0,"",SUMIFS('CONTROLE PRODUÇÃO POR EMPRESAS'!$C$6:$C$1000,'CONTROLE PRODUÇÃO POR EMPRESAS'!$A$6:$A$1000,"&gt;="&amp;$B60,'CONTROLE PRODUÇÃO POR EMPRESAS'!$A$6:$A$1000,"&lt;="&amp;$C60)),IF($E60="VIGAS",IF((COUNTIFS('CONTROLE PRODUÇÃO POR EMPRESAS'!$A$6:$A$1000,"&gt;="&amp;$B60,'CONTROLE PRODUÇÃO POR EMPRESAS'!$A$6:$A$1000,"&lt;="&amp;$C60,'CONTROLE PRODUÇÃO POR EMPRESAS'!$D$6:$D$1000,"&gt;=0")+COUNTIFS('CONTROLE PRODUÇÃO POR EMPRESAS'!$A$6:$A$1000,"&gt;="&amp;$B60,'CONTROLE PRODUÇÃO POR EMPRESAS'!$A$6:$A$1000,"&lt;="&amp;$C60,'CONTROLE PRODUÇÃO POR EMPRESAS'!$D$6:$D$1000,"?*"))=0,"",SUMIFS('CONTROLE PRODUÇÃO POR EMPRESAS'!$D$6:$D$1000,'CONTROLE PRODUÇÃO POR EMPRESAS'!$A$6:$A$1000,"&gt;="&amp;$B60,'CONTROLE PRODUÇÃO POR EMPRESAS'!$A$6:$A$1000,"&lt;="&amp;$C60)),""))),IF($D60="CMM",IF($E60="PREMONTAGEM",IF((COUNTIFS('CONTROLE PRODUÇÃO POR EMPRESAS'!$A$6:$A$1000,"&gt;="&amp;$B60,'CONTROLE PRODUÇÃO POR EMPRESAS'!$A$6:$A$1000,"&lt;="&amp;$C60,'CONTROLE PRODUÇÃO POR EMPRESAS'!$E$6:$E$1000,"&gt;=0")+COUNTIFS('CONTROLE PRODUÇÃO POR EMPRESAS'!$A$6:$A$1000,"&gt;="&amp;$B60,'CONTROLE PRODUÇÃO POR EMPRESAS'!$A$6:$A$1000,"&lt;="&amp;$C60,'CONTROLE PRODUÇÃO POR EMPRESAS'!$E$6:$E$1000,"?*"))=0,"",SUMIFS('CONTROLE PRODUÇÃO POR EMPRESAS'!$E$6:$E$1000,'CONTROLE PRODUÇÃO POR EMPRESAS'!$A$6:$A$1000,"&gt;="&amp;$B60,'CONTROLE PRODUÇÃO POR EMPRESAS'!$A$6:$A$1000,"&lt;="&amp;$C60)),IF($E60="IÇAMENTO JOIST",IF((COUNTIFS('CONTROLE PRODUÇÃO POR EMPRESAS'!$A$6:$A$1000,"&gt;="&amp;$B60,'CONTROLE PRODUÇÃO POR EMPRESAS'!$A$6:$A$1000,"&lt;="&amp;$C60,'CONTROLE PRODUÇÃO POR EMPRESAS'!$F$6:$F$1000,"&gt;=0")+COUNTIFS('CONTROLE PRODUÇÃO POR EMPRESAS'!$A$6:$A$1000,"&gt;="&amp;$B60,'CONTROLE PRODUÇÃO POR EMPRESAS'!$A$6:$A$1000,"&lt;="&amp;$C60,'CONTROLE PRODUÇÃO POR EMPRESAS'!$F$6:$F$1000,"?*"))=0,"",SUMIFS('CONTROLE PRODUÇÃO POR EMPRESAS'!$F$6:$F$1000,'CONTROLE PRODUÇÃO POR EMPRESAS'!$A$6:$A$1000,"&gt;="&amp;$B60,'CONTROLE PRODUÇÃO POR EMPRESAS'!$A$6:$A$1000,"&lt;="&amp;$C60)),IF($E60="VIGAS",IF((COUNTIFS('CONTROLE PRODUÇÃO POR EMPRESAS'!$A$6:$A$1000,"&gt;="&amp;$B60,'CONTROLE PRODUÇÃO POR EMPRESAS'!$A$6:$A$1000,"&lt;="&amp;$C60,'CONTROLE PRODUÇÃO POR EMPRESAS'!$G$6:$G$1000,"&gt;=0")+COUNTIFS('CONTROLE PRODUÇÃO POR EMPRESAS'!$A$6:$A$1000,"&gt;="&amp;$B60,'CONTROLE PRODUÇÃO POR EMPRESAS'!$A$6:$A$1000,"&lt;="&amp;$C60,'CONTROLE PRODUÇÃO POR EMPRESAS'!$G$6:$G$1000,"?*"))=0,"",SUMIFS('CONTROLE PRODUÇÃO POR EMPRESAS'!$G$6:$G$1000,'CONTROLE PRODUÇÃO POR EMPRESAS'!$A$6:$A$1000,"&gt;="&amp;$B60,'CONTROLE PRODUÇÃO POR EMPRESAS'!$A$6:$A$1000,"&lt;="&amp;$C60)),""))),"")))</f>
        <v/>
      </c>
      <c r="M60" s="298">
        <f>IF(L60="","",MAX(J60-L60,0))</f>
        <v/>
      </c>
      <c r="N60" s="298">
        <f>IF(L60="","",MAX(L60-J60,0))</f>
        <v/>
      </c>
      <c r="O60" s="299">
        <f>IF(L60="","",IFERROR(L60/J60,""))</f>
        <v/>
      </c>
      <c r="P60" s="298">
        <f>IF(H60="","",SUMIFS($H$6:H60,$D$6:D60,D60,$E$6:E60,E60))</f>
        <v/>
      </c>
      <c r="Q60" s="298">
        <f>IF(L60="","",SUMIFS($L$6:L60,$D$6:D60,D60,$E$6:E60,E60))</f>
        <v/>
      </c>
      <c r="R60" s="298">
        <f>IF(Q60="","",MAX(P60-Q60,0))</f>
        <v/>
      </c>
      <c r="S60" s="108">
        <f>IF(O60="","",IF(O60&gt;=1,"VERDE",IF(O60&gt;=0.9,"AMARELO","VERMELHO")))</f>
        <v/>
      </c>
      <c r="T60" s="109" t="n"/>
      <c r="U60" s="109" t="n"/>
      <c r="V60" s="110" t="n"/>
      <c r="W60" s="302" t="n"/>
    </row>
    <row r="61" ht="15.75" customHeight="1">
      <c r="A61" s="117" t="n">
        <v>10</v>
      </c>
      <c r="B61" s="295" t="n">
        <v>46321</v>
      </c>
      <c r="C61" s="295" t="n">
        <v>46325</v>
      </c>
      <c r="D61" s="101" t="inlineStr">
        <is>
          <t>CMM</t>
        </is>
      </c>
      <c r="E61" s="103" t="inlineStr">
        <is>
          <t>IÇAMENTO JOIST</t>
        </is>
      </c>
      <c r="F61" s="296">
        <f>IF(OR(D61="",E61=""),"",IF(COUNTIFS('METAS EMPRESAS'!$A$5:$A$10,D61,'METAS EMPRESAS'!$B$5:$B$10,E61)=0,"",SUMIFS('METAS EMPRESAS'!$C$5:$C$10,'METAS EMPRESAS'!$A$5:$A$10,D61,'METAS EMPRESAS'!$B$5:$B$10,E61)))</f>
        <v/>
      </c>
      <c r="G61" s="297" t="n">
        <v>5</v>
      </c>
      <c r="H61" s="298">
        <f>IF(F61="","",F61*G61)</f>
        <v/>
      </c>
      <c r="I61" s="298">
        <f>IF(M55="",0,M55)</f>
        <v/>
      </c>
      <c r="J61" s="298">
        <f>IF(H61="","",H61+I61)</f>
        <v/>
      </c>
      <c r="K61" s="298">
        <f>IF(J61="","",J61/G61)</f>
        <v/>
      </c>
      <c r="L61" s="297">
        <f>IF(OR($B61="",$C61="",$D61="",$E61=""),"",IF($D61="EJ",IF($E61="PREMONTAGEM",IF((COUNTIFS('CONTROLE PRODUÇÃO POR EMPRESAS'!$A$6:$A$1000,"&gt;="&amp;$B61,'CONTROLE PRODUÇÃO POR EMPRESAS'!$A$6:$A$1000,"&lt;="&amp;$C61,'CONTROLE PRODUÇÃO POR EMPRESAS'!$B$6:$B$1000,"&gt;=0")+COUNTIFS('CONTROLE PRODUÇÃO POR EMPRESAS'!$A$6:$A$1000,"&gt;="&amp;$B61,'CONTROLE PRODUÇÃO POR EMPRESAS'!$A$6:$A$1000,"&lt;="&amp;$C61,'CONTROLE PRODUÇÃO POR EMPRESAS'!$B$6:$B$1000,"?*"))=0,"",SUMIFS('CONTROLE PRODUÇÃO POR EMPRESAS'!$B$6:$B$1000,'CONTROLE PRODUÇÃO POR EMPRESAS'!$A$6:$A$1000,"&gt;="&amp;$B61,'CONTROLE PRODUÇÃO POR EMPRESAS'!$A$6:$A$1000,"&lt;="&amp;$C61)),IF($E61="IÇAMENTO JOIST",IF((COUNTIFS('CONTROLE PRODUÇÃO POR EMPRESAS'!$A$6:$A$1000,"&gt;="&amp;$B61,'CONTROLE PRODUÇÃO POR EMPRESAS'!$A$6:$A$1000,"&lt;="&amp;$C61,'CONTROLE PRODUÇÃO POR EMPRESAS'!$C$6:$C$1000,"&gt;=0")+COUNTIFS('CONTROLE PRODUÇÃO POR EMPRESAS'!$A$6:$A$1000,"&gt;="&amp;$B61,'CONTROLE PRODUÇÃO POR EMPRESAS'!$A$6:$A$1000,"&lt;="&amp;$C61,'CONTROLE PRODUÇÃO POR EMPRESAS'!$C$6:$C$1000,"?*"))=0,"",SUMIFS('CONTROLE PRODUÇÃO POR EMPRESAS'!$C$6:$C$1000,'CONTROLE PRODUÇÃO POR EMPRESAS'!$A$6:$A$1000,"&gt;="&amp;$B61,'CONTROLE PRODUÇÃO POR EMPRESAS'!$A$6:$A$1000,"&lt;="&amp;$C61)),IF($E61="VIGAS",IF((COUNTIFS('CONTROLE PRODUÇÃO POR EMPRESAS'!$A$6:$A$1000,"&gt;="&amp;$B61,'CONTROLE PRODUÇÃO POR EMPRESAS'!$A$6:$A$1000,"&lt;="&amp;$C61,'CONTROLE PRODUÇÃO POR EMPRESAS'!$D$6:$D$1000,"&gt;=0")+COUNTIFS('CONTROLE PRODUÇÃO POR EMPRESAS'!$A$6:$A$1000,"&gt;="&amp;$B61,'CONTROLE PRODUÇÃO POR EMPRESAS'!$A$6:$A$1000,"&lt;="&amp;$C61,'CONTROLE PRODUÇÃO POR EMPRESAS'!$D$6:$D$1000,"?*"))=0,"",SUMIFS('CONTROLE PRODUÇÃO POR EMPRESAS'!$D$6:$D$1000,'CONTROLE PRODUÇÃO POR EMPRESAS'!$A$6:$A$1000,"&gt;="&amp;$B61,'CONTROLE PRODUÇÃO POR EMPRESAS'!$A$6:$A$1000,"&lt;="&amp;$C61)),""))),IF($D61="CMM",IF($E61="PREMONTAGEM",IF((COUNTIFS('CONTROLE PRODUÇÃO POR EMPRESAS'!$A$6:$A$1000,"&gt;="&amp;$B61,'CONTROLE PRODUÇÃO POR EMPRESAS'!$A$6:$A$1000,"&lt;="&amp;$C61,'CONTROLE PRODUÇÃO POR EMPRESAS'!$E$6:$E$1000,"&gt;=0")+COUNTIFS('CONTROLE PRODUÇÃO POR EMPRESAS'!$A$6:$A$1000,"&gt;="&amp;$B61,'CONTROLE PRODUÇÃO POR EMPRESAS'!$A$6:$A$1000,"&lt;="&amp;$C61,'CONTROLE PRODUÇÃO POR EMPRESAS'!$E$6:$E$1000,"?*"))=0,"",SUMIFS('CONTROLE PRODUÇÃO POR EMPRESAS'!$E$6:$E$1000,'CONTROLE PRODUÇÃO POR EMPRESAS'!$A$6:$A$1000,"&gt;="&amp;$B61,'CONTROLE PRODUÇÃO POR EMPRESAS'!$A$6:$A$1000,"&lt;="&amp;$C61)),IF($E61="IÇAMENTO JOIST",IF((COUNTIFS('CONTROLE PRODUÇÃO POR EMPRESAS'!$A$6:$A$1000,"&gt;="&amp;$B61,'CONTROLE PRODUÇÃO POR EMPRESAS'!$A$6:$A$1000,"&lt;="&amp;$C61,'CONTROLE PRODUÇÃO POR EMPRESAS'!$F$6:$F$1000,"&gt;=0")+COUNTIFS('CONTROLE PRODUÇÃO POR EMPRESAS'!$A$6:$A$1000,"&gt;="&amp;$B61,'CONTROLE PRODUÇÃO POR EMPRESAS'!$A$6:$A$1000,"&lt;="&amp;$C61,'CONTROLE PRODUÇÃO POR EMPRESAS'!$F$6:$F$1000,"?*"))=0,"",SUMIFS('CONTROLE PRODUÇÃO POR EMPRESAS'!$F$6:$F$1000,'CONTROLE PRODUÇÃO POR EMPRESAS'!$A$6:$A$1000,"&gt;="&amp;$B61,'CONTROLE PRODUÇÃO POR EMPRESAS'!$A$6:$A$1000,"&lt;="&amp;$C61)),IF($E61="VIGAS",IF((COUNTIFS('CONTROLE PRODUÇÃO POR EMPRESAS'!$A$6:$A$1000,"&gt;="&amp;$B61,'CONTROLE PRODUÇÃO POR EMPRESAS'!$A$6:$A$1000,"&lt;="&amp;$C61,'CONTROLE PRODUÇÃO POR EMPRESAS'!$G$6:$G$1000,"&gt;=0")+COUNTIFS('CONTROLE PRODUÇÃO POR EMPRESAS'!$A$6:$A$1000,"&gt;="&amp;$B61,'CONTROLE PRODUÇÃO POR EMPRESAS'!$A$6:$A$1000,"&lt;="&amp;$C61,'CONTROLE PRODUÇÃO POR EMPRESAS'!$G$6:$G$1000,"?*"))=0,"",SUMIFS('CONTROLE PRODUÇÃO POR EMPRESAS'!$G$6:$G$1000,'CONTROLE PRODUÇÃO POR EMPRESAS'!$A$6:$A$1000,"&gt;="&amp;$B61,'CONTROLE PRODUÇÃO POR EMPRESAS'!$A$6:$A$1000,"&lt;="&amp;$C61)),""))),"")))</f>
        <v/>
      </c>
      <c r="M61" s="298">
        <f>IF(L61="","",MAX(J61-L61,0))</f>
        <v/>
      </c>
      <c r="N61" s="298">
        <f>IF(L61="","",MAX(L61-J61,0))</f>
        <v/>
      </c>
      <c r="O61" s="299">
        <f>IF(L61="","",IFERROR(L61/J61,""))</f>
        <v/>
      </c>
      <c r="P61" s="298">
        <f>IF(H61="","",SUMIFS($H$6:H61,$D$6:D61,D61,$E$6:E61,E61))</f>
        <v/>
      </c>
      <c r="Q61" s="298">
        <f>IF(L61="","",SUMIFS($L$6:L61,$D$6:D61,D61,$E$6:E61,E61))</f>
        <v/>
      </c>
      <c r="R61" s="298">
        <f>IF(Q61="","",MAX(P61-Q61,0))</f>
        <v/>
      </c>
      <c r="S61" s="108">
        <f>IF(O61="","",IF(O61&gt;=1,"VERDE",IF(O61&gt;=0.9,"AMARELO","VERMELHO")))</f>
        <v/>
      </c>
      <c r="T61" s="109" t="n"/>
      <c r="U61" s="109" t="n"/>
      <c r="V61" s="110" t="n"/>
      <c r="W61" s="302" t="n"/>
    </row>
    <row r="62" ht="15.75" customHeight="1">
      <c r="A62" s="112" t="n">
        <v>10</v>
      </c>
      <c r="B62" s="301" t="n">
        <v>46321</v>
      </c>
      <c r="C62" s="301" t="n">
        <v>46325</v>
      </c>
      <c r="D62" s="114" t="inlineStr">
        <is>
          <t>CMM</t>
        </is>
      </c>
      <c r="E62" s="115" t="inlineStr">
        <is>
          <t>VIGAS</t>
        </is>
      </c>
      <c r="F62" s="296">
        <f>IF(OR(D62="",E62=""),"",IF(COUNTIFS('METAS EMPRESAS'!$A$5:$A$10,D62,'METAS EMPRESAS'!$B$5:$B$10,E62)=0,"",SUMIFS('METAS EMPRESAS'!$C$5:$C$10,'METAS EMPRESAS'!$A$5:$A$10,D62,'METAS EMPRESAS'!$B$5:$B$10,E62)))</f>
        <v/>
      </c>
      <c r="G62" s="297" t="n">
        <v>5</v>
      </c>
      <c r="H62" s="298">
        <f>IF(F62="","",F62*G62)</f>
        <v/>
      </c>
      <c r="I62" s="298">
        <f>IF(M56="",0,M56)</f>
        <v/>
      </c>
      <c r="J62" s="298">
        <f>IF(H62="","",H62+I62)</f>
        <v/>
      </c>
      <c r="K62" s="298">
        <f>IF(J62="","",J62/G62)</f>
        <v/>
      </c>
      <c r="L62" s="297">
        <f>IF(OR($B62="",$C62="",$D62="",$E62=""),"",IF($D62="EJ",IF($E62="PREMONTAGEM",IF((COUNTIFS('CONTROLE PRODUÇÃO POR EMPRESAS'!$A$6:$A$1000,"&gt;="&amp;$B62,'CONTROLE PRODUÇÃO POR EMPRESAS'!$A$6:$A$1000,"&lt;="&amp;$C62,'CONTROLE PRODUÇÃO POR EMPRESAS'!$B$6:$B$1000,"&gt;=0")+COUNTIFS('CONTROLE PRODUÇÃO POR EMPRESAS'!$A$6:$A$1000,"&gt;="&amp;$B62,'CONTROLE PRODUÇÃO POR EMPRESAS'!$A$6:$A$1000,"&lt;="&amp;$C62,'CONTROLE PRODUÇÃO POR EMPRESAS'!$B$6:$B$1000,"?*"))=0,"",SUMIFS('CONTROLE PRODUÇÃO POR EMPRESAS'!$B$6:$B$1000,'CONTROLE PRODUÇÃO POR EMPRESAS'!$A$6:$A$1000,"&gt;="&amp;$B62,'CONTROLE PRODUÇÃO POR EMPRESAS'!$A$6:$A$1000,"&lt;="&amp;$C62)),IF($E62="IÇAMENTO JOIST",IF((COUNTIFS('CONTROLE PRODUÇÃO POR EMPRESAS'!$A$6:$A$1000,"&gt;="&amp;$B62,'CONTROLE PRODUÇÃO POR EMPRESAS'!$A$6:$A$1000,"&lt;="&amp;$C62,'CONTROLE PRODUÇÃO POR EMPRESAS'!$C$6:$C$1000,"&gt;=0")+COUNTIFS('CONTROLE PRODUÇÃO POR EMPRESAS'!$A$6:$A$1000,"&gt;="&amp;$B62,'CONTROLE PRODUÇÃO POR EMPRESAS'!$A$6:$A$1000,"&lt;="&amp;$C62,'CONTROLE PRODUÇÃO POR EMPRESAS'!$C$6:$C$1000,"?*"))=0,"",SUMIFS('CONTROLE PRODUÇÃO POR EMPRESAS'!$C$6:$C$1000,'CONTROLE PRODUÇÃO POR EMPRESAS'!$A$6:$A$1000,"&gt;="&amp;$B62,'CONTROLE PRODUÇÃO POR EMPRESAS'!$A$6:$A$1000,"&lt;="&amp;$C62)),IF($E62="VIGAS",IF((COUNTIFS('CONTROLE PRODUÇÃO POR EMPRESAS'!$A$6:$A$1000,"&gt;="&amp;$B62,'CONTROLE PRODUÇÃO POR EMPRESAS'!$A$6:$A$1000,"&lt;="&amp;$C62,'CONTROLE PRODUÇÃO POR EMPRESAS'!$D$6:$D$1000,"&gt;=0")+COUNTIFS('CONTROLE PRODUÇÃO POR EMPRESAS'!$A$6:$A$1000,"&gt;="&amp;$B62,'CONTROLE PRODUÇÃO POR EMPRESAS'!$A$6:$A$1000,"&lt;="&amp;$C62,'CONTROLE PRODUÇÃO POR EMPRESAS'!$D$6:$D$1000,"?*"))=0,"",SUMIFS('CONTROLE PRODUÇÃO POR EMPRESAS'!$D$6:$D$1000,'CONTROLE PRODUÇÃO POR EMPRESAS'!$A$6:$A$1000,"&gt;="&amp;$B62,'CONTROLE PRODUÇÃO POR EMPRESAS'!$A$6:$A$1000,"&lt;="&amp;$C62)),""))),IF($D62="CMM",IF($E62="PREMONTAGEM",IF((COUNTIFS('CONTROLE PRODUÇÃO POR EMPRESAS'!$A$6:$A$1000,"&gt;="&amp;$B62,'CONTROLE PRODUÇÃO POR EMPRESAS'!$A$6:$A$1000,"&lt;="&amp;$C62,'CONTROLE PRODUÇÃO POR EMPRESAS'!$E$6:$E$1000,"&gt;=0")+COUNTIFS('CONTROLE PRODUÇÃO POR EMPRESAS'!$A$6:$A$1000,"&gt;="&amp;$B62,'CONTROLE PRODUÇÃO POR EMPRESAS'!$A$6:$A$1000,"&lt;="&amp;$C62,'CONTROLE PRODUÇÃO POR EMPRESAS'!$E$6:$E$1000,"?*"))=0,"",SUMIFS('CONTROLE PRODUÇÃO POR EMPRESAS'!$E$6:$E$1000,'CONTROLE PRODUÇÃO POR EMPRESAS'!$A$6:$A$1000,"&gt;="&amp;$B62,'CONTROLE PRODUÇÃO POR EMPRESAS'!$A$6:$A$1000,"&lt;="&amp;$C62)),IF($E62="IÇAMENTO JOIST",IF((COUNTIFS('CONTROLE PRODUÇÃO POR EMPRESAS'!$A$6:$A$1000,"&gt;="&amp;$B62,'CONTROLE PRODUÇÃO POR EMPRESAS'!$A$6:$A$1000,"&lt;="&amp;$C62,'CONTROLE PRODUÇÃO POR EMPRESAS'!$F$6:$F$1000,"&gt;=0")+COUNTIFS('CONTROLE PRODUÇÃO POR EMPRESAS'!$A$6:$A$1000,"&gt;="&amp;$B62,'CONTROLE PRODUÇÃO POR EMPRESAS'!$A$6:$A$1000,"&lt;="&amp;$C62,'CONTROLE PRODUÇÃO POR EMPRESAS'!$F$6:$F$1000,"?*"))=0,"",SUMIFS('CONTROLE PRODUÇÃO POR EMPRESAS'!$F$6:$F$1000,'CONTROLE PRODUÇÃO POR EMPRESAS'!$A$6:$A$1000,"&gt;="&amp;$B62,'CONTROLE PRODUÇÃO POR EMPRESAS'!$A$6:$A$1000,"&lt;="&amp;$C62)),IF($E62="VIGAS",IF((COUNTIFS('CONTROLE PRODUÇÃO POR EMPRESAS'!$A$6:$A$1000,"&gt;="&amp;$B62,'CONTROLE PRODUÇÃO POR EMPRESAS'!$A$6:$A$1000,"&lt;="&amp;$C62,'CONTROLE PRODUÇÃO POR EMPRESAS'!$G$6:$G$1000,"&gt;=0")+COUNTIFS('CONTROLE PRODUÇÃO POR EMPRESAS'!$A$6:$A$1000,"&gt;="&amp;$B62,'CONTROLE PRODUÇÃO POR EMPRESAS'!$A$6:$A$1000,"&lt;="&amp;$C62,'CONTROLE PRODUÇÃO POR EMPRESAS'!$G$6:$G$1000,"?*"))=0,"",SUMIFS('CONTROLE PRODUÇÃO POR EMPRESAS'!$G$6:$G$1000,'CONTROLE PRODUÇÃO POR EMPRESAS'!$A$6:$A$1000,"&gt;="&amp;$B62,'CONTROLE PRODUÇÃO POR EMPRESAS'!$A$6:$A$1000,"&lt;="&amp;$C62)),""))),"")))</f>
        <v/>
      </c>
      <c r="M62" s="298">
        <f>IF(L62="","",MAX(J62-L62,0))</f>
        <v/>
      </c>
      <c r="N62" s="298">
        <f>IF(L62="","",MAX(L62-J62,0))</f>
        <v/>
      </c>
      <c r="O62" s="299">
        <f>IF(L62="","",IFERROR(L62/J62,""))</f>
        <v/>
      </c>
      <c r="P62" s="298">
        <f>IF(H62="","",SUMIFS($H$6:H62,$D$6:D62,D62,$E$6:E62,E62))</f>
        <v/>
      </c>
      <c r="Q62" s="298">
        <f>IF(L62="","",SUMIFS($L$6:L62,$D$6:D62,D62,$E$6:E62,E62))</f>
        <v/>
      </c>
      <c r="R62" s="298">
        <f>IF(Q62="","",MAX(P62-Q62,0))</f>
        <v/>
      </c>
      <c r="S62" s="108">
        <f>IF(O62="","",IF(O62&gt;=1,"VERDE",IF(O62&gt;=0.9,"AMARELO","VERMELHO")))</f>
        <v/>
      </c>
      <c r="T62" s="109" t="n"/>
      <c r="U62" s="109" t="n"/>
      <c r="V62" s="110" t="n"/>
      <c r="W62" s="302" t="n"/>
    </row>
    <row r="63" ht="15.75" customHeight="1">
      <c r="A63" s="117" t="n">
        <v>10</v>
      </c>
      <c r="B63" s="295" t="n">
        <v>46321</v>
      </c>
      <c r="C63" s="295" t="n">
        <v>46325</v>
      </c>
      <c r="D63" s="101" t="inlineStr">
        <is>
          <t>EJ</t>
        </is>
      </c>
      <c r="E63" s="103" t="inlineStr">
        <is>
          <t>PREMONTAGEM</t>
        </is>
      </c>
      <c r="F63" s="296">
        <f>IF(OR(D63="",E63=""),"",IF(COUNTIFS('METAS EMPRESAS'!$A$5:$A$10,D63,'METAS EMPRESAS'!$B$5:$B$10,E63)=0,"",SUMIFS('METAS EMPRESAS'!$C$5:$C$10,'METAS EMPRESAS'!$A$5:$A$10,D63,'METAS EMPRESAS'!$B$5:$B$10,E63)))</f>
        <v/>
      </c>
      <c r="G63" s="297" t="n">
        <v>5</v>
      </c>
      <c r="H63" s="298">
        <f>IF(F63="","",F63*G63)</f>
        <v/>
      </c>
      <c r="I63" s="298">
        <f>IF(M57="",0,M57)</f>
        <v/>
      </c>
      <c r="J63" s="298">
        <f>IF(H63="","",H63+I63)</f>
        <v/>
      </c>
      <c r="K63" s="298">
        <f>IF(J63="","",J63/G63)</f>
        <v/>
      </c>
      <c r="L63" s="297">
        <f>IF(OR($B63="",$C63="",$D63="",$E63=""),"",IF($D63="EJ",IF($E63="PREMONTAGEM",IF((COUNTIFS('CONTROLE PRODUÇÃO POR EMPRESAS'!$A$6:$A$1000,"&gt;="&amp;$B63,'CONTROLE PRODUÇÃO POR EMPRESAS'!$A$6:$A$1000,"&lt;="&amp;$C63,'CONTROLE PRODUÇÃO POR EMPRESAS'!$B$6:$B$1000,"&gt;=0")+COUNTIFS('CONTROLE PRODUÇÃO POR EMPRESAS'!$A$6:$A$1000,"&gt;="&amp;$B63,'CONTROLE PRODUÇÃO POR EMPRESAS'!$A$6:$A$1000,"&lt;="&amp;$C63,'CONTROLE PRODUÇÃO POR EMPRESAS'!$B$6:$B$1000,"?*"))=0,"",SUMIFS('CONTROLE PRODUÇÃO POR EMPRESAS'!$B$6:$B$1000,'CONTROLE PRODUÇÃO POR EMPRESAS'!$A$6:$A$1000,"&gt;="&amp;$B63,'CONTROLE PRODUÇÃO POR EMPRESAS'!$A$6:$A$1000,"&lt;="&amp;$C63)),IF($E63="IÇAMENTO JOIST",IF((COUNTIFS('CONTROLE PRODUÇÃO POR EMPRESAS'!$A$6:$A$1000,"&gt;="&amp;$B63,'CONTROLE PRODUÇÃO POR EMPRESAS'!$A$6:$A$1000,"&lt;="&amp;$C63,'CONTROLE PRODUÇÃO POR EMPRESAS'!$C$6:$C$1000,"&gt;=0")+COUNTIFS('CONTROLE PRODUÇÃO POR EMPRESAS'!$A$6:$A$1000,"&gt;="&amp;$B63,'CONTROLE PRODUÇÃO POR EMPRESAS'!$A$6:$A$1000,"&lt;="&amp;$C63,'CONTROLE PRODUÇÃO POR EMPRESAS'!$C$6:$C$1000,"?*"))=0,"",SUMIFS('CONTROLE PRODUÇÃO POR EMPRESAS'!$C$6:$C$1000,'CONTROLE PRODUÇÃO POR EMPRESAS'!$A$6:$A$1000,"&gt;="&amp;$B63,'CONTROLE PRODUÇÃO POR EMPRESAS'!$A$6:$A$1000,"&lt;="&amp;$C63)),IF($E63="VIGAS",IF((COUNTIFS('CONTROLE PRODUÇÃO POR EMPRESAS'!$A$6:$A$1000,"&gt;="&amp;$B63,'CONTROLE PRODUÇÃO POR EMPRESAS'!$A$6:$A$1000,"&lt;="&amp;$C63,'CONTROLE PRODUÇÃO POR EMPRESAS'!$D$6:$D$1000,"&gt;=0")+COUNTIFS('CONTROLE PRODUÇÃO POR EMPRESAS'!$A$6:$A$1000,"&gt;="&amp;$B63,'CONTROLE PRODUÇÃO POR EMPRESAS'!$A$6:$A$1000,"&lt;="&amp;$C63,'CONTROLE PRODUÇÃO POR EMPRESAS'!$D$6:$D$1000,"?*"))=0,"",SUMIFS('CONTROLE PRODUÇÃO POR EMPRESAS'!$D$6:$D$1000,'CONTROLE PRODUÇÃO POR EMPRESAS'!$A$6:$A$1000,"&gt;="&amp;$B63,'CONTROLE PRODUÇÃO POR EMPRESAS'!$A$6:$A$1000,"&lt;="&amp;$C63)),""))),IF($D63="CMM",IF($E63="PREMONTAGEM",IF((COUNTIFS('CONTROLE PRODUÇÃO POR EMPRESAS'!$A$6:$A$1000,"&gt;="&amp;$B63,'CONTROLE PRODUÇÃO POR EMPRESAS'!$A$6:$A$1000,"&lt;="&amp;$C63,'CONTROLE PRODUÇÃO POR EMPRESAS'!$E$6:$E$1000,"&gt;=0")+COUNTIFS('CONTROLE PRODUÇÃO POR EMPRESAS'!$A$6:$A$1000,"&gt;="&amp;$B63,'CONTROLE PRODUÇÃO POR EMPRESAS'!$A$6:$A$1000,"&lt;="&amp;$C63,'CONTROLE PRODUÇÃO POR EMPRESAS'!$E$6:$E$1000,"?*"))=0,"",SUMIFS('CONTROLE PRODUÇÃO POR EMPRESAS'!$E$6:$E$1000,'CONTROLE PRODUÇÃO POR EMPRESAS'!$A$6:$A$1000,"&gt;="&amp;$B63,'CONTROLE PRODUÇÃO POR EMPRESAS'!$A$6:$A$1000,"&lt;="&amp;$C63)),IF($E63="IÇAMENTO JOIST",IF((COUNTIFS('CONTROLE PRODUÇÃO POR EMPRESAS'!$A$6:$A$1000,"&gt;="&amp;$B63,'CONTROLE PRODUÇÃO POR EMPRESAS'!$A$6:$A$1000,"&lt;="&amp;$C63,'CONTROLE PRODUÇÃO POR EMPRESAS'!$F$6:$F$1000,"&gt;=0")+COUNTIFS('CONTROLE PRODUÇÃO POR EMPRESAS'!$A$6:$A$1000,"&gt;="&amp;$B63,'CONTROLE PRODUÇÃO POR EMPRESAS'!$A$6:$A$1000,"&lt;="&amp;$C63,'CONTROLE PRODUÇÃO POR EMPRESAS'!$F$6:$F$1000,"?*"))=0,"",SUMIFS('CONTROLE PRODUÇÃO POR EMPRESAS'!$F$6:$F$1000,'CONTROLE PRODUÇÃO POR EMPRESAS'!$A$6:$A$1000,"&gt;="&amp;$B63,'CONTROLE PRODUÇÃO POR EMPRESAS'!$A$6:$A$1000,"&lt;="&amp;$C63)),IF($E63="VIGAS",IF((COUNTIFS('CONTROLE PRODUÇÃO POR EMPRESAS'!$A$6:$A$1000,"&gt;="&amp;$B63,'CONTROLE PRODUÇÃO POR EMPRESAS'!$A$6:$A$1000,"&lt;="&amp;$C63,'CONTROLE PRODUÇÃO POR EMPRESAS'!$G$6:$G$1000,"&gt;=0")+COUNTIFS('CONTROLE PRODUÇÃO POR EMPRESAS'!$A$6:$A$1000,"&gt;="&amp;$B63,'CONTROLE PRODUÇÃO POR EMPRESAS'!$A$6:$A$1000,"&lt;="&amp;$C63,'CONTROLE PRODUÇÃO POR EMPRESAS'!$G$6:$G$1000,"?*"))=0,"",SUMIFS('CONTROLE PRODUÇÃO POR EMPRESAS'!$G$6:$G$1000,'CONTROLE PRODUÇÃO POR EMPRESAS'!$A$6:$A$1000,"&gt;="&amp;$B63,'CONTROLE PRODUÇÃO POR EMPRESAS'!$A$6:$A$1000,"&lt;="&amp;$C63)),""))),"")))</f>
        <v/>
      </c>
      <c r="M63" s="298">
        <f>IF(L63="","",MAX(J63-L63,0))</f>
        <v/>
      </c>
      <c r="N63" s="298">
        <f>IF(L63="","",MAX(L63-J63,0))</f>
        <v/>
      </c>
      <c r="O63" s="299">
        <f>IF(L63="","",IFERROR(L63/J63,""))</f>
        <v/>
      </c>
      <c r="P63" s="298">
        <f>IF(H63="","",SUMIFS($H$6:H63,$D$6:D63,D63,$E$6:E63,E63))</f>
        <v/>
      </c>
      <c r="Q63" s="298">
        <f>IF(L63="","",SUMIFS($L$6:L63,$D$6:D63,D63,$E$6:E63,E63))</f>
        <v/>
      </c>
      <c r="R63" s="298">
        <f>IF(Q63="","",MAX(P63-Q63,0))</f>
        <v/>
      </c>
      <c r="S63" s="108">
        <f>IF(O63="","",IF(O63&gt;=1,"VERDE",IF(O63&gt;=0.9,"AMARELO","VERMELHO")))</f>
        <v/>
      </c>
      <c r="T63" s="109" t="n"/>
      <c r="U63" s="109" t="n"/>
      <c r="V63" s="110" t="n"/>
      <c r="W63" s="302" t="n"/>
    </row>
    <row r="64" ht="15.75" customHeight="1">
      <c r="A64" s="112" t="n">
        <v>10</v>
      </c>
      <c r="B64" s="301" t="n">
        <v>46321</v>
      </c>
      <c r="C64" s="301" t="n">
        <v>46325</v>
      </c>
      <c r="D64" s="114" t="inlineStr">
        <is>
          <t>EJ</t>
        </is>
      </c>
      <c r="E64" s="115" t="inlineStr">
        <is>
          <t>IÇAMENTO JOIST</t>
        </is>
      </c>
      <c r="F64" s="296">
        <f>IF(OR(D64="",E64=""),"",IF(COUNTIFS('METAS EMPRESAS'!$A$5:$A$10,D64,'METAS EMPRESAS'!$B$5:$B$10,E64)=0,"",SUMIFS('METAS EMPRESAS'!$C$5:$C$10,'METAS EMPRESAS'!$A$5:$A$10,D64,'METAS EMPRESAS'!$B$5:$B$10,E64)))</f>
        <v/>
      </c>
      <c r="G64" s="297" t="n">
        <v>5</v>
      </c>
      <c r="H64" s="298">
        <f>IF(F64="","",F64*G64)</f>
        <v/>
      </c>
      <c r="I64" s="298">
        <f>IF(M58="",0,M58)</f>
        <v/>
      </c>
      <c r="J64" s="298">
        <f>IF(H64="","",H64+I64)</f>
        <v/>
      </c>
      <c r="K64" s="298">
        <f>IF(J64="","",J64/G64)</f>
        <v/>
      </c>
      <c r="L64" s="297">
        <f>IF(OR($B64="",$C64="",$D64="",$E64=""),"",IF($D64="EJ",IF($E64="PREMONTAGEM",IF((COUNTIFS('CONTROLE PRODUÇÃO POR EMPRESAS'!$A$6:$A$1000,"&gt;="&amp;$B64,'CONTROLE PRODUÇÃO POR EMPRESAS'!$A$6:$A$1000,"&lt;="&amp;$C64,'CONTROLE PRODUÇÃO POR EMPRESAS'!$B$6:$B$1000,"&gt;=0")+COUNTIFS('CONTROLE PRODUÇÃO POR EMPRESAS'!$A$6:$A$1000,"&gt;="&amp;$B64,'CONTROLE PRODUÇÃO POR EMPRESAS'!$A$6:$A$1000,"&lt;="&amp;$C64,'CONTROLE PRODUÇÃO POR EMPRESAS'!$B$6:$B$1000,"?*"))=0,"",SUMIFS('CONTROLE PRODUÇÃO POR EMPRESAS'!$B$6:$B$1000,'CONTROLE PRODUÇÃO POR EMPRESAS'!$A$6:$A$1000,"&gt;="&amp;$B64,'CONTROLE PRODUÇÃO POR EMPRESAS'!$A$6:$A$1000,"&lt;="&amp;$C64)),IF($E64="IÇAMENTO JOIST",IF((COUNTIFS('CONTROLE PRODUÇÃO POR EMPRESAS'!$A$6:$A$1000,"&gt;="&amp;$B64,'CONTROLE PRODUÇÃO POR EMPRESAS'!$A$6:$A$1000,"&lt;="&amp;$C64,'CONTROLE PRODUÇÃO POR EMPRESAS'!$C$6:$C$1000,"&gt;=0")+COUNTIFS('CONTROLE PRODUÇÃO POR EMPRESAS'!$A$6:$A$1000,"&gt;="&amp;$B64,'CONTROLE PRODUÇÃO POR EMPRESAS'!$A$6:$A$1000,"&lt;="&amp;$C64,'CONTROLE PRODUÇÃO POR EMPRESAS'!$C$6:$C$1000,"?*"))=0,"",SUMIFS('CONTROLE PRODUÇÃO POR EMPRESAS'!$C$6:$C$1000,'CONTROLE PRODUÇÃO POR EMPRESAS'!$A$6:$A$1000,"&gt;="&amp;$B64,'CONTROLE PRODUÇÃO POR EMPRESAS'!$A$6:$A$1000,"&lt;="&amp;$C64)),IF($E64="VIGAS",IF((COUNTIFS('CONTROLE PRODUÇÃO POR EMPRESAS'!$A$6:$A$1000,"&gt;="&amp;$B64,'CONTROLE PRODUÇÃO POR EMPRESAS'!$A$6:$A$1000,"&lt;="&amp;$C64,'CONTROLE PRODUÇÃO POR EMPRESAS'!$D$6:$D$1000,"&gt;=0")+COUNTIFS('CONTROLE PRODUÇÃO POR EMPRESAS'!$A$6:$A$1000,"&gt;="&amp;$B64,'CONTROLE PRODUÇÃO POR EMPRESAS'!$A$6:$A$1000,"&lt;="&amp;$C64,'CONTROLE PRODUÇÃO POR EMPRESAS'!$D$6:$D$1000,"?*"))=0,"",SUMIFS('CONTROLE PRODUÇÃO POR EMPRESAS'!$D$6:$D$1000,'CONTROLE PRODUÇÃO POR EMPRESAS'!$A$6:$A$1000,"&gt;="&amp;$B64,'CONTROLE PRODUÇÃO POR EMPRESAS'!$A$6:$A$1000,"&lt;="&amp;$C64)),""))),IF($D64="CMM",IF($E64="PREMONTAGEM",IF((COUNTIFS('CONTROLE PRODUÇÃO POR EMPRESAS'!$A$6:$A$1000,"&gt;="&amp;$B64,'CONTROLE PRODUÇÃO POR EMPRESAS'!$A$6:$A$1000,"&lt;="&amp;$C64,'CONTROLE PRODUÇÃO POR EMPRESAS'!$E$6:$E$1000,"&gt;=0")+COUNTIFS('CONTROLE PRODUÇÃO POR EMPRESAS'!$A$6:$A$1000,"&gt;="&amp;$B64,'CONTROLE PRODUÇÃO POR EMPRESAS'!$A$6:$A$1000,"&lt;="&amp;$C64,'CONTROLE PRODUÇÃO POR EMPRESAS'!$E$6:$E$1000,"?*"))=0,"",SUMIFS('CONTROLE PRODUÇÃO POR EMPRESAS'!$E$6:$E$1000,'CONTROLE PRODUÇÃO POR EMPRESAS'!$A$6:$A$1000,"&gt;="&amp;$B64,'CONTROLE PRODUÇÃO POR EMPRESAS'!$A$6:$A$1000,"&lt;="&amp;$C64)),IF($E64="IÇAMENTO JOIST",IF((COUNTIFS('CONTROLE PRODUÇÃO POR EMPRESAS'!$A$6:$A$1000,"&gt;="&amp;$B64,'CONTROLE PRODUÇÃO POR EMPRESAS'!$A$6:$A$1000,"&lt;="&amp;$C64,'CONTROLE PRODUÇÃO POR EMPRESAS'!$F$6:$F$1000,"&gt;=0")+COUNTIFS('CONTROLE PRODUÇÃO POR EMPRESAS'!$A$6:$A$1000,"&gt;="&amp;$B64,'CONTROLE PRODUÇÃO POR EMPRESAS'!$A$6:$A$1000,"&lt;="&amp;$C64,'CONTROLE PRODUÇÃO POR EMPRESAS'!$F$6:$F$1000,"?*"))=0,"",SUMIFS('CONTROLE PRODUÇÃO POR EMPRESAS'!$F$6:$F$1000,'CONTROLE PRODUÇÃO POR EMPRESAS'!$A$6:$A$1000,"&gt;="&amp;$B64,'CONTROLE PRODUÇÃO POR EMPRESAS'!$A$6:$A$1000,"&lt;="&amp;$C64)),IF($E64="VIGAS",IF((COUNTIFS('CONTROLE PRODUÇÃO POR EMPRESAS'!$A$6:$A$1000,"&gt;="&amp;$B64,'CONTROLE PRODUÇÃO POR EMPRESAS'!$A$6:$A$1000,"&lt;="&amp;$C64,'CONTROLE PRODUÇÃO POR EMPRESAS'!$G$6:$G$1000,"&gt;=0")+COUNTIFS('CONTROLE PRODUÇÃO POR EMPRESAS'!$A$6:$A$1000,"&gt;="&amp;$B64,'CONTROLE PRODUÇÃO POR EMPRESAS'!$A$6:$A$1000,"&lt;="&amp;$C64,'CONTROLE PRODUÇÃO POR EMPRESAS'!$G$6:$G$1000,"?*"))=0,"",SUMIFS('CONTROLE PRODUÇÃO POR EMPRESAS'!$G$6:$G$1000,'CONTROLE PRODUÇÃO POR EMPRESAS'!$A$6:$A$1000,"&gt;="&amp;$B64,'CONTROLE PRODUÇÃO POR EMPRESAS'!$A$6:$A$1000,"&lt;="&amp;$C64)),""))),"")))</f>
        <v/>
      </c>
      <c r="M64" s="298">
        <f>IF(L64="","",MAX(J64-L64,0))</f>
        <v/>
      </c>
      <c r="N64" s="298">
        <f>IF(L64="","",MAX(L64-J64,0))</f>
        <v/>
      </c>
      <c r="O64" s="299">
        <f>IF(L64="","",IFERROR(L64/J64,""))</f>
        <v/>
      </c>
      <c r="P64" s="298">
        <f>IF(H64="","",SUMIFS($H$6:H64,$D$6:D64,D64,$E$6:E64,E64))</f>
        <v/>
      </c>
      <c r="Q64" s="298">
        <f>IF(L64="","",SUMIFS($L$6:L64,$D$6:D64,D64,$E$6:E64,E64))</f>
        <v/>
      </c>
      <c r="R64" s="298">
        <f>IF(Q64="","",MAX(P64-Q64,0))</f>
        <v/>
      </c>
      <c r="S64" s="108">
        <f>IF(O64="","",IF(O64&gt;=1,"VERDE",IF(O64&gt;=0.9,"AMARELO","VERMELHO")))</f>
        <v/>
      </c>
      <c r="T64" s="109" t="n"/>
      <c r="U64" s="109" t="n"/>
      <c r="V64" s="110" t="n"/>
      <c r="W64" s="302" t="n"/>
    </row>
    <row r="65" ht="15.75" customHeight="1">
      <c r="A65" s="117" t="n">
        <v>10</v>
      </c>
      <c r="B65" s="295" t="n">
        <v>46321</v>
      </c>
      <c r="C65" s="295" t="n">
        <v>46325</v>
      </c>
      <c r="D65" s="101" t="inlineStr">
        <is>
          <t>EJ</t>
        </is>
      </c>
      <c r="E65" s="103" t="inlineStr">
        <is>
          <t>VIGAS</t>
        </is>
      </c>
      <c r="F65" s="296">
        <f>IF(OR(D65="",E65=""),"",IF(COUNTIFS('METAS EMPRESAS'!$A$5:$A$10,D65,'METAS EMPRESAS'!$B$5:$B$10,E65)=0,"",SUMIFS('METAS EMPRESAS'!$C$5:$C$10,'METAS EMPRESAS'!$A$5:$A$10,D65,'METAS EMPRESAS'!$B$5:$B$10,E65)))</f>
        <v/>
      </c>
      <c r="G65" s="297" t="n">
        <v>5</v>
      </c>
      <c r="H65" s="298">
        <f>IF(F65="","",F65*G65)</f>
        <v/>
      </c>
      <c r="I65" s="298">
        <f>IF(M59="",0,M59)</f>
        <v/>
      </c>
      <c r="J65" s="298">
        <f>IF(H65="","",H65+I65)</f>
        <v/>
      </c>
      <c r="K65" s="298">
        <f>IF(J65="","",J65/G65)</f>
        <v/>
      </c>
      <c r="L65" s="297">
        <f>IF(OR($B65="",$C65="",$D65="",$E65=""),"",IF($D65="EJ",IF($E65="PREMONTAGEM",IF((COUNTIFS('CONTROLE PRODUÇÃO POR EMPRESAS'!$A$6:$A$1000,"&gt;="&amp;$B65,'CONTROLE PRODUÇÃO POR EMPRESAS'!$A$6:$A$1000,"&lt;="&amp;$C65,'CONTROLE PRODUÇÃO POR EMPRESAS'!$B$6:$B$1000,"&gt;=0")+COUNTIFS('CONTROLE PRODUÇÃO POR EMPRESAS'!$A$6:$A$1000,"&gt;="&amp;$B65,'CONTROLE PRODUÇÃO POR EMPRESAS'!$A$6:$A$1000,"&lt;="&amp;$C65,'CONTROLE PRODUÇÃO POR EMPRESAS'!$B$6:$B$1000,"?*"))=0,"",SUMIFS('CONTROLE PRODUÇÃO POR EMPRESAS'!$B$6:$B$1000,'CONTROLE PRODUÇÃO POR EMPRESAS'!$A$6:$A$1000,"&gt;="&amp;$B65,'CONTROLE PRODUÇÃO POR EMPRESAS'!$A$6:$A$1000,"&lt;="&amp;$C65)),IF($E65="IÇAMENTO JOIST",IF((COUNTIFS('CONTROLE PRODUÇÃO POR EMPRESAS'!$A$6:$A$1000,"&gt;="&amp;$B65,'CONTROLE PRODUÇÃO POR EMPRESAS'!$A$6:$A$1000,"&lt;="&amp;$C65,'CONTROLE PRODUÇÃO POR EMPRESAS'!$C$6:$C$1000,"&gt;=0")+COUNTIFS('CONTROLE PRODUÇÃO POR EMPRESAS'!$A$6:$A$1000,"&gt;="&amp;$B65,'CONTROLE PRODUÇÃO POR EMPRESAS'!$A$6:$A$1000,"&lt;="&amp;$C65,'CONTROLE PRODUÇÃO POR EMPRESAS'!$C$6:$C$1000,"?*"))=0,"",SUMIFS('CONTROLE PRODUÇÃO POR EMPRESAS'!$C$6:$C$1000,'CONTROLE PRODUÇÃO POR EMPRESAS'!$A$6:$A$1000,"&gt;="&amp;$B65,'CONTROLE PRODUÇÃO POR EMPRESAS'!$A$6:$A$1000,"&lt;="&amp;$C65)),IF($E65="VIGAS",IF((COUNTIFS('CONTROLE PRODUÇÃO POR EMPRESAS'!$A$6:$A$1000,"&gt;="&amp;$B65,'CONTROLE PRODUÇÃO POR EMPRESAS'!$A$6:$A$1000,"&lt;="&amp;$C65,'CONTROLE PRODUÇÃO POR EMPRESAS'!$D$6:$D$1000,"&gt;=0")+COUNTIFS('CONTROLE PRODUÇÃO POR EMPRESAS'!$A$6:$A$1000,"&gt;="&amp;$B65,'CONTROLE PRODUÇÃO POR EMPRESAS'!$A$6:$A$1000,"&lt;="&amp;$C65,'CONTROLE PRODUÇÃO POR EMPRESAS'!$D$6:$D$1000,"?*"))=0,"",SUMIFS('CONTROLE PRODUÇÃO POR EMPRESAS'!$D$6:$D$1000,'CONTROLE PRODUÇÃO POR EMPRESAS'!$A$6:$A$1000,"&gt;="&amp;$B65,'CONTROLE PRODUÇÃO POR EMPRESAS'!$A$6:$A$1000,"&lt;="&amp;$C65)),""))),IF($D65="CMM",IF($E65="PREMONTAGEM",IF((COUNTIFS('CONTROLE PRODUÇÃO POR EMPRESAS'!$A$6:$A$1000,"&gt;="&amp;$B65,'CONTROLE PRODUÇÃO POR EMPRESAS'!$A$6:$A$1000,"&lt;="&amp;$C65,'CONTROLE PRODUÇÃO POR EMPRESAS'!$E$6:$E$1000,"&gt;=0")+COUNTIFS('CONTROLE PRODUÇÃO POR EMPRESAS'!$A$6:$A$1000,"&gt;="&amp;$B65,'CONTROLE PRODUÇÃO POR EMPRESAS'!$A$6:$A$1000,"&lt;="&amp;$C65,'CONTROLE PRODUÇÃO POR EMPRESAS'!$E$6:$E$1000,"?*"))=0,"",SUMIFS('CONTROLE PRODUÇÃO POR EMPRESAS'!$E$6:$E$1000,'CONTROLE PRODUÇÃO POR EMPRESAS'!$A$6:$A$1000,"&gt;="&amp;$B65,'CONTROLE PRODUÇÃO POR EMPRESAS'!$A$6:$A$1000,"&lt;="&amp;$C65)),IF($E65="IÇAMENTO JOIST",IF((COUNTIFS('CONTROLE PRODUÇÃO POR EMPRESAS'!$A$6:$A$1000,"&gt;="&amp;$B65,'CONTROLE PRODUÇÃO POR EMPRESAS'!$A$6:$A$1000,"&lt;="&amp;$C65,'CONTROLE PRODUÇÃO POR EMPRESAS'!$F$6:$F$1000,"&gt;=0")+COUNTIFS('CONTROLE PRODUÇÃO POR EMPRESAS'!$A$6:$A$1000,"&gt;="&amp;$B65,'CONTROLE PRODUÇÃO POR EMPRESAS'!$A$6:$A$1000,"&lt;="&amp;$C65,'CONTROLE PRODUÇÃO POR EMPRESAS'!$F$6:$F$1000,"?*"))=0,"",SUMIFS('CONTROLE PRODUÇÃO POR EMPRESAS'!$F$6:$F$1000,'CONTROLE PRODUÇÃO POR EMPRESAS'!$A$6:$A$1000,"&gt;="&amp;$B65,'CONTROLE PRODUÇÃO POR EMPRESAS'!$A$6:$A$1000,"&lt;="&amp;$C65)),IF($E65="VIGAS",IF((COUNTIFS('CONTROLE PRODUÇÃO POR EMPRESAS'!$A$6:$A$1000,"&gt;="&amp;$B65,'CONTROLE PRODUÇÃO POR EMPRESAS'!$A$6:$A$1000,"&lt;="&amp;$C65,'CONTROLE PRODUÇÃO POR EMPRESAS'!$G$6:$G$1000,"&gt;=0")+COUNTIFS('CONTROLE PRODUÇÃO POR EMPRESAS'!$A$6:$A$1000,"&gt;="&amp;$B65,'CONTROLE PRODUÇÃO POR EMPRESAS'!$A$6:$A$1000,"&lt;="&amp;$C65,'CONTROLE PRODUÇÃO POR EMPRESAS'!$G$6:$G$1000,"?*"))=0,"",SUMIFS('CONTROLE PRODUÇÃO POR EMPRESAS'!$G$6:$G$1000,'CONTROLE PRODUÇÃO POR EMPRESAS'!$A$6:$A$1000,"&gt;="&amp;$B65,'CONTROLE PRODUÇÃO POR EMPRESAS'!$A$6:$A$1000,"&lt;="&amp;$C65)),""))),"")))</f>
        <v/>
      </c>
      <c r="M65" s="298">
        <f>IF(L65="","",MAX(J65-L65,0))</f>
        <v/>
      </c>
      <c r="N65" s="298">
        <f>IF(L65="","",MAX(L65-J65,0))</f>
        <v/>
      </c>
      <c r="O65" s="299">
        <f>IF(L65="","",IFERROR(L65/J65,""))</f>
        <v/>
      </c>
      <c r="P65" s="298">
        <f>IF(H65="","",SUMIFS($H$6:H65,$D$6:D65,D65,$E$6:E65,E65))</f>
        <v/>
      </c>
      <c r="Q65" s="298">
        <f>IF(L65="","",SUMIFS($L$6:L65,$D$6:D65,D65,$E$6:E65,E65))</f>
        <v/>
      </c>
      <c r="R65" s="298">
        <f>IF(Q65="","",MAX(P65-Q65,0))</f>
        <v/>
      </c>
      <c r="S65" s="108">
        <f>IF(O65="","",IF(O65&gt;=1,"VERDE",IF(O65&gt;=0.9,"AMARELO","VERMELHO")))</f>
        <v/>
      </c>
      <c r="T65" s="109" t="n"/>
      <c r="U65" s="109" t="n"/>
      <c r="V65" s="110" t="n"/>
      <c r="W65" s="302" t="n"/>
    </row>
    <row r="66" ht="15.75" customHeight="1">
      <c r="A66" s="112" t="n">
        <v>11</v>
      </c>
      <c r="B66" s="301" t="n">
        <v>46328</v>
      </c>
      <c r="C66" s="301" t="n">
        <v>46332</v>
      </c>
      <c r="D66" s="114" t="inlineStr">
        <is>
          <t>CMM</t>
        </is>
      </c>
      <c r="E66" s="115" t="inlineStr">
        <is>
          <t>PREMONTAGEM</t>
        </is>
      </c>
      <c r="F66" s="296">
        <f>IF(OR(D66="",E66=""),"",IF(COUNTIFS('METAS EMPRESAS'!$A$5:$A$10,D66,'METAS EMPRESAS'!$B$5:$B$10,E66)=0,"",SUMIFS('METAS EMPRESAS'!$C$5:$C$10,'METAS EMPRESAS'!$A$5:$A$10,D66,'METAS EMPRESAS'!$B$5:$B$10,E66)))</f>
        <v/>
      </c>
      <c r="G66" s="297" t="n">
        <v>5</v>
      </c>
      <c r="H66" s="298">
        <f>IF(F66="","",F66*G66)</f>
        <v/>
      </c>
      <c r="I66" s="298">
        <f>IF(M60="",0,M60)</f>
        <v/>
      </c>
      <c r="J66" s="298">
        <f>IF(H66="","",H66+I66)</f>
        <v/>
      </c>
      <c r="K66" s="298">
        <f>IF(J66="","",J66/G66)</f>
        <v/>
      </c>
      <c r="L66" s="297">
        <f>IF(OR($B66="",$C66="",$D66="",$E66=""),"",IF($D66="EJ",IF($E66="PREMONTAGEM",IF((COUNTIFS('CONTROLE PRODUÇÃO POR EMPRESAS'!$A$6:$A$1000,"&gt;="&amp;$B66,'CONTROLE PRODUÇÃO POR EMPRESAS'!$A$6:$A$1000,"&lt;="&amp;$C66,'CONTROLE PRODUÇÃO POR EMPRESAS'!$B$6:$B$1000,"&gt;=0")+COUNTIFS('CONTROLE PRODUÇÃO POR EMPRESAS'!$A$6:$A$1000,"&gt;="&amp;$B66,'CONTROLE PRODUÇÃO POR EMPRESAS'!$A$6:$A$1000,"&lt;="&amp;$C66,'CONTROLE PRODUÇÃO POR EMPRESAS'!$B$6:$B$1000,"?*"))=0,"",SUMIFS('CONTROLE PRODUÇÃO POR EMPRESAS'!$B$6:$B$1000,'CONTROLE PRODUÇÃO POR EMPRESAS'!$A$6:$A$1000,"&gt;="&amp;$B66,'CONTROLE PRODUÇÃO POR EMPRESAS'!$A$6:$A$1000,"&lt;="&amp;$C66)),IF($E66="IÇAMENTO JOIST",IF((COUNTIFS('CONTROLE PRODUÇÃO POR EMPRESAS'!$A$6:$A$1000,"&gt;="&amp;$B66,'CONTROLE PRODUÇÃO POR EMPRESAS'!$A$6:$A$1000,"&lt;="&amp;$C66,'CONTROLE PRODUÇÃO POR EMPRESAS'!$C$6:$C$1000,"&gt;=0")+COUNTIFS('CONTROLE PRODUÇÃO POR EMPRESAS'!$A$6:$A$1000,"&gt;="&amp;$B66,'CONTROLE PRODUÇÃO POR EMPRESAS'!$A$6:$A$1000,"&lt;="&amp;$C66,'CONTROLE PRODUÇÃO POR EMPRESAS'!$C$6:$C$1000,"?*"))=0,"",SUMIFS('CONTROLE PRODUÇÃO POR EMPRESAS'!$C$6:$C$1000,'CONTROLE PRODUÇÃO POR EMPRESAS'!$A$6:$A$1000,"&gt;="&amp;$B66,'CONTROLE PRODUÇÃO POR EMPRESAS'!$A$6:$A$1000,"&lt;="&amp;$C66)),IF($E66="VIGAS",IF((COUNTIFS('CONTROLE PRODUÇÃO POR EMPRESAS'!$A$6:$A$1000,"&gt;="&amp;$B66,'CONTROLE PRODUÇÃO POR EMPRESAS'!$A$6:$A$1000,"&lt;="&amp;$C66,'CONTROLE PRODUÇÃO POR EMPRESAS'!$D$6:$D$1000,"&gt;=0")+COUNTIFS('CONTROLE PRODUÇÃO POR EMPRESAS'!$A$6:$A$1000,"&gt;="&amp;$B66,'CONTROLE PRODUÇÃO POR EMPRESAS'!$A$6:$A$1000,"&lt;="&amp;$C66,'CONTROLE PRODUÇÃO POR EMPRESAS'!$D$6:$D$1000,"?*"))=0,"",SUMIFS('CONTROLE PRODUÇÃO POR EMPRESAS'!$D$6:$D$1000,'CONTROLE PRODUÇÃO POR EMPRESAS'!$A$6:$A$1000,"&gt;="&amp;$B66,'CONTROLE PRODUÇÃO POR EMPRESAS'!$A$6:$A$1000,"&lt;="&amp;$C66)),""))),IF($D66="CMM",IF($E66="PREMONTAGEM",IF((COUNTIFS('CONTROLE PRODUÇÃO POR EMPRESAS'!$A$6:$A$1000,"&gt;="&amp;$B66,'CONTROLE PRODUÇÃO POR EMPRESAS'!$A$6:$A$1000,"&lt;="&amp;$C66,'CONTROLE PRODUÇÃO POR EMPRESAS'!$E$6:$E$1000,"&gt;=0")+COUNTIFS('CONTROLE PRODUÇÃO POR EMPRESAS'!$A$6:$A$1000,"&gt;="&amp;$B66,'CONTROLE PRODUÇÃO POR EMPRESAS'!$A$6:$A$1000,"&lt;="&amp;$C66,'CONTROLE PRODUÇÃO POR EMPRESAS'!$E$6:$E$1000,"?*"))=0,"",SUMIFS('CONTROLE PRODUÇÃO POR EMPRESAS'!$E$6:$E$1000,'CONTROLE PRODUÇÃO POR EMPRESAS'!$A$6:$A$1000,"&gt;="&amp;$B66,'CONTROLE PRODUÇÃO POR EMPRESAS'!$A$6:$A$1000,"&lt;="&amp;$C66)),IF($E66="IÇAMENTO JOIST",IF((COUNTIFS('CONTROLE PRODUÇÃO POR EMPRESAS'!$A$6:$A$1000,"&gt;="&amp;$B66,'CONTROLE PRODUÇÃO POR EMPRESAS'!$A$6:$A$1000,"&lt;="&amp;$C66,'CONTROLE PRODUÇÃO POR EMPRESAS'!$F$6:$F$1000,"&gt;=0")+COUNTIFS('CONTROLE PRODUÇÃO POR EMPRESAS'!$A$6:$A$1000,"&gt;="&amp;$B66,'CONTROLE PRODUÇÃO POR EMPRESAS'!$A$6:$A$1000,"&lt;="&amp;$C66,'CONTROLE PRODUÇÃO POR EMPRESAS'!$F$6:$F$1000,"?*"))=0,"",SUMIFS('CONTROLE PRODUÇÃO POR EMPRESAS'!$F$6:$F$1000,'CONTROLE PRODUÇÃO POR EMPRESAS'!$A$6:$A$1000,"&gt;="&amp;$B66,'CONTROLE PRODUÇÃO POR EMPRESAS'!$A$6:$A$1000,"&lt;="&amp;$C66)),IF($E66="VIGAS",IF((COUNTIFS('CONTROLE PRODUÇÃO POR EMPRESAS'!$A$6:$A$1000,"&gt;="&amp;$B66,'CONTROLE PRODUÇÃO POR EMPRESAS'!$A$6:$A$1000,"&lt;="&amp;$C66,'CONTROLE PRODUÇÃO POR EMPRESAS'!$G$6:$G$1000,"&gt;=0")+COUNTIFS('CONTROLE PRODUÇÃO POR EMPRESAS'!$A$6:$A$1000,"&gt;="&amp;$B66,'CONTROLE PRODUÇÃO POR EMPRESAS'!$A$6:$A$1000,"&lt;="&amp;$C66,'CONTROLE PRODUÇÃO POR EMPRESAS'!$G$6:$G$1000,"?*"))=0,"",SUMIFS('CONTROLE PRODUÇÃO POR EMPRESAS'!$G$6:$G$1000,'CONTROLE PRODUÇÃO POR EMPRESAS'!$A$6:$A$1000,"&gt;="&amp;$B66,'CONTROLE PRODUÇÃO POR EMPRESAS'!$A$6:$A$1000,"&lt;="&amp;$C66)),""))),"")))</f>
        <v/>
      </c>
      <c r="M66" s="298">
        <f>IF(L66="","",MAX(J66-L66,0))</f>
        <v/>
      </c>
      <c r="N66" s="298">
        <f>IF(L66="","",MAX(L66-J66,0))</f>
        <v/>
      </c>
      <c r="O66" s="299">
        <f>IF(L66="","",IFERROR(L66/J66,""))</f>
        <v/>
      </c>
      <c r="P66" s="298">
        <f>IF(H66="","",SUMIFS($H$6:H66,$D$6:D66,D66,$E$6:E66,E66))</f>
        <v/>
      </c>
      <c r="Q66" s="298">
        <f>IF(L66="","",SUMIFS($L$6:L66,$D$6:D66,D66,$E$6:E66,E66))</f>
        <v/>
      </c>
      <c r="R66" s="298">
        <f>IF(Q66="","",MAX(P66-Q66,0))</f>
        <v/>
      </c>
      <c r="S66" s="108">
        <f>IF(O66="","",IF(O66&gt;=1,"VERDE",IF(O66&gt;=0.9,"AMARELO","VERMELHO")))</f>
        <v/>
      </c>
      <c r="T66" s="109" t="n"/>
      <c r="U66" s="109" t="n"/>
      <c r="V66" s="110" t="n"/>
      <c r="W66" s="302" t="n"/>
    </row>
    <row r="67" ht="15.75" customHeight="1">
      <c r="A67" s="117" t="n">
        <v>11</v>
      </c>
      <c r="B67" s="295" t="n">
        <v>46328</v>
      </c>
      <c r="C67" s="295" t="n">
        <v>46332</v>
      </c>
      <c r="D67" s="101" t="inlineStr">
        <is>
          <t>CMM</t>
        </is>
      </c>
      <c r="E67" s="103" t="inlineStr">
        <is>
          <t>IÇAMENTO JOIST</t>
        </is>
      </c>
      <c r="F67" s="296">
        <f>IF(OR(D67="",E67=""),"",IF(COUNTIFS('METAS EMPRESAS'!$A$5:$A$10,D67,'METAS EMPRESAS'!$B$5:$B$10,E67)=0,"",SUMIFS('METAS EMPRESAS'!$C$5:$C$10,'METAS EMPRESAS'!$A$5:$A$10,D67,'METAS EMPRESAS'!$B$5:$B$10,E67)))</f>
        <v/>
      </c>
      <c r="G67" s="297" t="n">
        <v>5</v>
      </c>
      <c r="H67" s="298">
        <f>IF(F67="","",F67*G67)</f>
        <v/>
      </c>
      <c r="I67" s="298">
        <f>IF(M61="",0,M61)</f>
        <v/>
      </c>
      <c r="J67" s="298">
        <f>IF(H67="","",H67+I67)</f>
        <v/>
      </c>
      <c r="K67" s="298">
        <f>IF(J67="","",J67/G67)</f>
        <v/>
      </c>
      <c r="L67" s="297">
        <f>IF(OR($B67="",$C67="",$D67="",$E67=""),"",IF($D67="EJ",IF($E67="PREMONTAGEM",IF((COUNTIFS('CONTROLE PRODUÇÃO POR EMPRESAS'!$A$6:$A$1000,"&gt;="&amp;$B67,'CONTROLE PRODUÇÃO POR EMPRESAS'!$A$6:$A$1000,"&lt;="&amp;$C67,'CONTROLE PRODUÇÃO POR EMPRESAS'!$B$6:$B$1000,"&gt;=0")+COUNTIFS('CONTROLE PRODUÇÃO POR EMPRESAS'!$A$6:$A$1000,"&gt;="&amp;$B67,'CONTROLE PRODUÇÃO POR EMPRESAS'!$A$6:$A$1000,"&lt;="&amp;$C67,'CONTROLE PRODUÇÃO POR EMPRESAS'!$B$6:$B$1000,"?*"))=0,"",SUMIFS('CONTROLE PRODUÇÃO POR EMPRESAS'!$B$6:$B$1000,'CONTROLE PRODUÇÃO POR EMPRESAS'!$A$6:$A$1000,"&gt;="&amp;$B67,'CONTROLE PRODUÇÃO POR EMPRESAS'!$A$6:$A$1000,"&lt;="&amp;$C67)),IF($E67="IÇAMENTO JOIST",IF((COUNTIFS('CONTROLE PRODUÇÃO POR EMPRESAS'!$A$6:$A$1000,"&gt;="&amp;$B67,'CONTROLE PRODUÇÃO POR EMPRESAS'!$A$6:$A$1000,"&lt;="&amp;$C67,'CONTROLE PRODUÇÃO POR EMPRESAS'!$C$6:$C$1000,"&gt;=0")+COUNTIFS('CONTROLE PRODUÇÃO POR EMPRESAS'!$A$6:$A$1000,"&gt;="&amp;$B67,'CONTROLE PRODUÇÃO POR EMPRESAS'!$A$6:$A$1000,"&lt;="&amp;$C67,'CONTROLE PRODUÇÃO POR EMPRESAS'!$C$6:$C$1000,"?*"))=0,"",SUMIFS('CONTROLE PRODUÇÃO POR EMPRESAS'!$C$6:$C$1000,'CONTROLE PRODUÇÃO POR EMPRESAS'!$A$6:$A$1000,"&gt;="&amp;$B67,'CONTROLE PRODUÇÃO POR EMPRESAS'!$A$6:$A$1000,"&lt;="&amp;$C67)),IF($E67="VIGAS",IF((COUNTIFS('CONTROLE PRODUÇÃO POR EMPRESAS'!$A$6:$A$1000,"&gt;="&amp;$B67,'CONTROLE PRODUÇÃO POR EMPRESAS'!$A$6:$A$1000,"&lt;="&amp;$C67,'CONTROLE PRODUÇÃO POR EMPRESAS'!$D$6:$D$1000,"&gt;=0")+COUNTIFS('CONTROLE PRODUÇÃO POR EMPRESAS'!$A$6:$A$1000,"&gt;="&amp;$B67,'CONTROLE PRODUÇÃO POR EMPRESAS'!$A$6:$A$1000,"&lt;="&amp;$C67,'CONTROLE PRODUÇÃO POR EMPRESAS'!$D$6:$D$1000,"?*"))=0,"",SUMIFS('CONTROLE PRODUÇÃO POR EMPRESAS'!$D$6:$D$1000,'CONTROLE PRODUÇÃO POR EMPRESAS'!$A$6:$A$1000,"&gt;="&amp;$B67,'CONTROLE PRODUÇÃO POR EMPRESAS'!$A$6:$A$1000,"&lt;="&amp;$C67)),""))),IF($D67="CMM",IF($E67="PREMONTAGEM",IF((COUNTIFS('CONTROLE PRODUÇÃO POR EMPRESAS'!$A$6:$A$1000,"&gt;="&amp;$B67,'CONTROLE PRODUÇÃO POR EMPRESAS'!$A$6:$A$1000,"&lt;="&amp;$C67,'CONTROLE PRODUÇÃO POR EMPRESAS'!$E$6:$E$1000,"&gt;=0")+COUNTIFS('CONTROLE PRODUÇÃO POR EMPRESAS'!$A$6:$A$1000,"&gt;="&amp;$B67,'CONTROLE PRODUÇÃO POR EMPRESAS'!$A$6:$A$1000,"&lt;="&amp;$C67,'CONTROLE PRODUÇÃO POR EMPRESAS'!$E$6:$E$1000,"?*"))=0,"",SUMIFS('CONTROLE PRODUÇÃO POR EMPRESAS'!$E$6:$E$1000,'CONTROLE PRODUÇÃO POR EMPRESAS'!$A$6:$A$1000,"&gt;="&amp;$B67,'CONTROLE PRODUÇÃO POR EMPRESAS'!$A$6:$A$1000,"&lt;="&amp;$C67)),IF($E67="IÇAMENTO JOIST",IF((COUNTIFS('CONTROLE PRODUÇÃO POR EMPRESAS'!$A$6:$A$1000,"&gt;="&amp;$B67,'CONTROLE PRODUÇÃO POR EMPRESAS'!$A$6:$A$1000,"&lt;="&amp;$C67,'CONTROLE PRODUÇÃO POR EMPRESAS'!$F$6:$F$1000,"&gt;=0")+COUNTIFS('CONTROLE PRODUÇÃO POR EMPRESAS'!$A$6:$A$1000,"&gt;="&amp;$B67,'CONTROLE PRODUÇÃO POR EMPRESAS'!$A$6:$A$1000,"&lt;="&amp;$C67,'CONTROLE PRODUÇÃO POR EMPRESAS'!$F$6:$F$1000,"?*"))=0,"",SUMIFS('CONTROLE PRODUÇÃO POR EMPRESAS'!$F$6:$F$1000,'CONTROLE PRODUÇÃO POR EMPRESAS'!$A$6:$A$1000,"&gt;="&amp;$B67,'CONTROLE PRODUÇÃO POR EMPRESAS'!$A$6:$A$1000,"&lt;="&amp;$C67)),IF($E67="VIGAS",IF((COUNTIFS('CONTROLE PRODUÇÃO POR EMPRESAS'!$A$6:$A$1000,"&gt;="&amp;$B67,'CONTROLE PRODUÇÃO POR EMPRESAS'!$A$6:$A$1000,"&lt;="&amp;$C67,'CONTROLE PRODUÇÃO POR EMPRESAS'!$G$6:$G$1000,"&gt;=0")+COUNTIFS('CONTROLE PRODUÇÃO POR EMPRESAS'!$A$6:$A$1000,"&gt;="&amp;$B67,'CONTROLE PRODUÇÃO POR EMPRESAS'!$A$6:$A$1000,"&lt;="&amp;$C67,'CONTROLE PRODUÇÃO POR EMPRESAS'!$G$6:$G$1000,"?*"))=0,"",SUMIFS('CONTROLE PRODUÇÃO POR EMPRESAS'!$G$6:$G$1000,'CONTROLE PRODUÇÃO POR EMPRESAS'!$A$6:$A$1000,"&gt;="&amp;$B67,'CONTROLE PRODUÇÃO POR EMPRESAS'!$A$6:$A$1000,"&lt;="&amp;$C67)),""))),"")))</f>
        <v/>
      </c>
      <c r="M67" s="298">
        <f>IF(L67="","",MAX(J67-L67,0))</f>
        <v/>
      </c>
      <c r="N67" s="298">
        <f>IF(L67="","",MAX(L67-J67,0))</f>
        <v/>
      </c>
      <c r="O67" s="299">
        <f>IF(L67="","",IFERROR(L67/J67,""))</f>
        <v/>
      </c>
      <c r="P67" s="298">
        <f>IF(H67="","",SUMIFS($H$6:H67,$D$6:D67,D67,$E$6:E67,E67))</f>
        <v/>
      </c>
      <c r="Q67" s="298">
        <f>IF(L67="","",SUMIFS($L$6:L67,$D$6:D67,D67,$E$6:E67,E67))</f>
        <v/>
      </c>
      <c r="R67" s="298">
        <f>IF(Q67="","",MAX(P67-Q67,0))</f>
        <v/>
      </c>
      <c r="S67" s="108">
        <f>IF(O67="","",IF(O67&gt;=1,"VERDE",IF(O67&gt;=0.9,"AMARELO","VERMELHO")))</f>
        <v/>
      </c>
      <c r="T67" s="109" t="n"/>
      <c r="U67" s="109" t="n"/>
      <c r="V67" s="110" t="n"/>
      <c r="W67" s="302" t="n"/>
    </row>
    <row r="68" ht="15.75" customHeight="1">
      <c r="A68" s="112" t="n">
        <v>11</v>
      </c>
      <c r="B68" s="301" t="n">
        <v>46328</v>
      </c>
      <c r="C68" s="301" t="n">
        <v>46332</v>
      </c>
      <c r="D68" s="114" t="inlineStr">
        <is>
          <t>CMM</t>
        </is>
      </c>
      <c r="E68" s="115" t="inlineStr">
        <is>
          <t>VIGAS</t>
        </is>
      </c>
      <c r="F68" s="296">
        <f>IF(OR(D68="",E68=""),"",IF(COUNTIFS('METAS EMPRESAS'!$A$5:$A$10,D68,'METAS EMPRESAS'!$B$5:$B$10,E68)=0,"",SUMIFS('METAS EMPRESAS'!$C$5:$C$10,'METAS EMPRESAS'!$A$5:$A$10,D68,'METAS EMPRESAS'!$B$5:$B$10,E68)))</f>
        <v/>
      </c>
      <c r="G68" s="297" t="n">
        <v>5</v>
      </c>
      <c r="H68" s="298">
        <f>IF(F68="","",F68*G68)</f>
        <v/>
      </c>
      <c r="I68" s="298">
        <f>IF(M62="",0,M62)</f>
        <v/>
      </c>
      <c r="J68" s="298">
        <f>IF(H68="","",H68+I68)</f>
        <v/>
      </c>
      <c r="K68" s="298">
        <f>IF(J68="","",J68/G68)</f>
        <v/>
      </c>
      <c r="L68" s="297">
        <f>IF(OR($B68="",$C68="",$D68="",$E68=""),"",IF($D68="EJ",IF($E68="PREMONTAGEM",IF((COUNTIFS('CONTROLE PRODUÇÃO POR EMPRESAS'!$A$6:$A$1000,"&gt;="&amp;$B68,'CONTROLE PRODUÇÃO POR EMPRESAS'!$A$6:$A$1000,"&lt;="&amp;$C68,'CONTROLE PRODUÇÃO POR EMPRESAS'!$B$6:$B$1000,"&gt;=0")+COUNTIFS('CONTROLE PRODUÇÃO POR EMPRESAS'!$A$6:$A$1000,"&gt;="&amp;$B68,'CONTROLE PRODUÇÃO POR EMPRESAS'!$A$6:$A$1000,"&lt;="&amp;$C68,'CONTROLE PRODUÇÃO POR EMPRESAS'!$B$6:$B$1000,"?*"))=0,"",SUMIFS('CONTROLE PRODUÇÃO POR EMPRESAS'!$B$6:$B$1000,'CONTROLE PRODUÇÃO POR EMPRESAS'!$A$6:$A$1000,"&gt;="&amp;$B68,'CONTROLE PRODUÇÃO POR EMPRESAS'!$A$6:$A$1000,"&lt;="&amp;$C68)),IF($E68="IÇAMENTO JOIST",IF((COUNTIFS('CONTROLE PRODUÇÃO POR EMPRESAS'!$A$6:$A$1000,"&gt;="&amp;$B68,'CONTROLE PRODUÇÃO POR EMPRESAS'!$A$6:$A$1000,"&lt;="&amp;$C68,'CONTROLE PRODUÇÃO POR EMPRESAS'!$C$6:$C$1000,"&gt;=0")+COUNTIFS('CONTROLE PRODUÇÃO POR EMPRESAS'!$A$6:$A$1000,"&gt;="&amp;$B68,'CONTROLE PRODUÇÃO POR EMPRESAS'!$A$6:$A$1000,"&lt;="&amp;$C68,'CONTROLE PRODUÇÃO POR EMPRESAS'!$C$6:$C$1000,"?*"))=0,"",SUMIFS('CONTROLE PRODUÇÃO POR EMPRESAS'!$C$6:$C$1000,'CONTROLE PRODUÇÃO POR EMPRESAS'!$A$6:$A$1000,"&gt;="&amp;$B68,'CONTROLE PRODUÇÃO POR EMPRESAS'!$A$6:$A$1000,"&lt;="&amp;$C68)),IF($E68="VIGAS",IF((COUNTIFS('CONTROLE PRODUÇÃO POR EMPRESAS'!$A$6:$A$1000,"&gt;="&amp;$B68,'CONTROLE PRODUÇÃO POR EMPRESAS'!$A$6:$A$1000,"&lt;="&amp;$C68,'CONTROLE PRODUÇÃO POR EMPRESAS'!$D$6:$D$1000,"&gt;=0")+COUNTIFS('CONTROLE PRODUÇÃO POR EMPRESAS'!$A$6:$A$1000,"&gt;="&amp;$B68,'CONTROLE PRODUÇÃO POR EMPRESAS'!$A$6:$A$1000,"&lt;="&amp;$C68,'CONTROLE PRODUÇÃO POR EMPRESAS'!$D$6:$D$1000,"?*"))=0,"",SUMIFS('CONTROLE PRODUÇÃO POR EMPRESAS'!$D$6:$D$1000,'CONTROLE PRODUÇÃO POR EMPRESAS'!$A$6:$A$1000,"&gt;="&amp;$B68,'CONTROLE PRODUÇÃO POR EMPRESAS'!$A$6:$A$1000,"&lt;="&amp;$C68)),""))),IF($D68="CMM",IF($E68="PREMONTAGEM",IF((COUNTIFS('CONTROLE PRODUÇÃO POR EMPRESAS'!$A$6:$A$1000,"&gt;="&amp;$B68,'CONTROLE PRODUÇÃO POR EMPRESAS'!$A$6:$A$1000,"&lt;="&amp;$C68,'CONTROLE PRODUÇÃO POR EMPRESAS'!$E$6:$E$1000,"&gt;=0")+COUNTIFS('CONTROLE PRODUÇÃO POR EMPRESAS'!$A$6:$A$1000,"&gt;="&amp;$B68,'CONTROLE PRODUÇÃO POR EMPRESAS'!$A$6:$A$1000,"&lt;="&amp;$C68,'CONTROLE PRODUÇÃO POR EMPRESAS'!$E$6:$E$1000,"?*"))=0,"",SUMIFS('CONTROLE PRODUÇÃO POR EMPRESAS'!$E$6:$E$1000,'CONTROLE PRODUÇÃO POR EMPRESAS'!$A$6:$A$1000,"&gt;="&amp;$B68,'CONTROLE PRODUÇÃO POR EMPRESAS'!$A$6:$A$1000,"&lt;="&amp;$C68)),IF($E68="IÇAMENTO JOIST",IF((COUNTIFS('CONTROLE PRODUÇÃO POR EMPRESAS'!$A$6:$A$1000,"&gt;="&amp;$B68,'CONTROLE PRODUÇÃO POR EMPRESAS'!$A$6:$A$1000,"&lt;="&amp;$C68,'CONTROLE PRODUÇÃO POR EMPRESAS'!$F$6:$F$1000,"&gt;=0")+COUNTIFS('CONTROLE PRODUÇÃO POR EMPRESAS'!$A$6:$A$1000,"&gt;="&amp;$B68,'CONTROLE PRODUÇÃO POR EMPRESAS'!$A$6:$A$1000,"&lt;="&amp;$C68,'CONTROLE PRODUÇÃO POR EMPRESAS'!$F$6:$F$1000,"?*"))=0,"",SUMIFS('CONTROLE PRODUÇÃO POR EMPRESAS'!$F$6:$F$1000,'CONTROLE PRODUÇÃO POR EMPRESAS'!$A$6:$A$1000,"&gt;="&amp;$B68,'CONTROLE PRODUÇÃO POR EMPRESAS'!$A$6:$A$1000,"&lt;="&amp;$C68)),IF($E68="VIGAS",IF((COUNTIFS('CONTROLE PRODUÇÃO POR EMPRESAS'!$A$6:$A$1000,"&gt;="&amp;$B68,'CONTROLE PRODUÇÃO POR EMPRESAS'!$A$6:$A$1000,"&lt;="&amp;$C68,'CONTROLE PRODUÇÃO POR EMPRESAS'!$G$6:$G$1000,"&gt;=0")+COUNTIFS('CONTROLE PRODUÇÃO POR EMPRESAS'!$A$6:$A$1000,"&gt;="&amp;$B68,'CONTROLE PRODUÇÃO POR EMPRESAS'!$A$6:$A$1000,"&lt;="&amp;$C68,'CONTROLE PRODUÇÃO POR EMPRESAS'!$G$6:$G$1000,"?*"))=0,"",SUMIFS('CONTROLE PRODUÇÃO POR EMPRESAS'!$G$6:$G$1000,'CONTROLE PRODUÇÃO POR EMPRESAS'!$A$6:$A$1000,"&gt;="&amp;$B68,'CONTROLE PRODUÇÃO POR EMPRESAS'!$A$6:$A$1000,"&lt;="&amp;$C68)),""))),"")))</f>
        <v/>
      </c>
      <c r="M68" s="298">
        <f>IF(L68="","",MAX(J68-L68,0))</f>
        <v/>
      </c>
      <c r="N68" s="298">
        <f>IF(L68="","",MAX(L68-J68,0))</f>
        <v/>
      </c>
      <c r="O68" s="299">
        <f>IF(L68="","",IFERROR(L68/J68,""))</f>
        <v/>
      </c>
      <c r="P68" s="298">
        <f>IF(H68="","",SUMIFS($H$6:H68,$D$6:D68,D68,$E$6:E68,E68))</f>
        <v/>
      </c>
      <c r="Q68" s="298">
        <f>IF(L68="","",SUMIFS($L$6:L68,$D$6:D68,D68,$E$6:E68,E68))</f>
        <v/>
      </c>
      <c r="R68" s="298">
        <f>IF(Q68="","",MAX(P68-Q68,0))</f>
        <v/>
      </c>
      <c r="S68" s="108">
        <f>IF(O68="","",IF(O68&gt;=1,"VERDE",IF(O68&gt;=0.9,"AMARELO","VERMELHO")))</f>
        <v/>
      </c>
      <c r="T68" s="109" t="n"/>
      <c r="U68" s="109" t="n"/>
      <c r="V68" s="110" t="n"/>
      <c r="W68" s="302" t="n"/>
    </row>
    <row r="69" ht="15.75" customHeight="1">
      <c r="A69" s="117" t="n">
        <v>11</v>
      </c>
      <c r="B69" s="295" t="n">
        <v>46328</v>
      </c>
      <c r="C69" s="295" t="n">
        <v>46332</v>
      </c>
      <c r="D69" s="101" t="inlineStr">
        <is>
          <t>EJ</t>
        </is>
      </c>
      <c r="E69" s="103" t="inlineStr">
        <is>
          <t>PREMONTAGEM</t>
        </is>
      </c>
      <c r="F69" s="296">
        <f>IF(OR(D69="",E69=""),"",IF(COUNTIFS('METAS EMPRESAS'!$A$5:$A$10,D69,'METAS EMPRESAS'!$B$5:$B$10,E69)=0,"",SUMIFS('METAS EMPRESAS'!$C$5:$C$10,'METAS EMPRESAS'!$A$5:$A$10,D69,'METAS EMPRESAS'!$B$5:$B$10,E69)))</f>
        <v/>
      </c>
      <c r="G69" s="297" t="n">
        <v>5</v>
      </c>
      <c r="H69" s="298">
        <f>IF(F69="","",F69*G69)</f>
        <v/>
      </c>
      <c r="I69" s="298">
        <f>IF(M63="",0,M63)</f>
        <v/>
      </c>
      <c r="J69" s="298">
        <f>IF(H69="","",H69+I69)</f>
        <v/>
      </c>
      <c r="K69" s="298">
        <f>IF(J69="","",J69/G69)</f>
        <v/>
      </c>
      <c r="L69" s="297">
        <f>IF(OR($B69="",$C69="",$D69="",$E69=""),"",IF($D69="EJ",IF($E69="PREMONTAGEM",IF((COUNTIFS('CONTROLE PRODUÇÃO POR EMPRESAS'!$A$6:$A$1000,"&gt;="&amp;$B69,'CONTROLE PRODUÇÃO POR EMPRESAS'!$A$6:$A$1000,"&lt;="&amp;$C69,'CONTROLE PRODUÇÃO POR EMPRESAS'!$B$6:$B$1000,"&gt;=0")+COUNTIFS('CONTROLE PRODUÇÃO POR EMPRESAS'!$A$6:$A$1000,"&gt;="&amp;$B69,'CONTROLE PRODUÇÃO POR EMPRESAS'!$A$6:$A$1000,"&lt;="&amp;$C69,'CONTROLE PRODUÇÃO POR EMPRESAS'!$B$6:$B$1000,"?*"))=0,"",SUMIFS('CONTROLE PRODUÇÃO POR EMPRESAS'!$B$6:$B$1000,'CONTROLE PRODUÇÃO POR EMPRESAS'!$A$6:$A$1000,"&gt;="&amp;$B69,'CONTROLE PRODUÇÃO POR EMPRESAS'!$A$6:$A$1000,"&lt;="&amp;$C69)),IF($E69="IÇAMENTO JOIST",IF((COUNTIFS('CONTROLE PRODUÇÃO POR EMPRESAS'!$A$6:$A$1000,"&gt;="&amp;$B69,'CONTROLE PRODUÇÃO POR EMPRESAS'!$A$6:$A$1000,"&lt;="&amp;$C69,'CONTROLE PRODUÇÃO POR EMPRESAS'!$C$6:$C$1000,"&gt;=0")+COUNTIFS('CONTROLE PRODUÇÃO POR EMPRESAS'!$A$6:$A$1000,"&gt;="&amp;$B69,'CONTROLE PRODUÇÃO POR EMPRESAS'!$A$6:$A$1000,"&lt;="&amp;$C69,'CONTROLE PRODUÇÃO POR EMPRESAS'!$C$6:$C$1000,"?*"))=0,"",SUMIFS('CONTROLE PRODUÇÃO POR EMPRESAS'!$C$6:$C$1000,'CONTROLE PRODUÇÃO POR EMPRESAS'!$A$6:$A$1000,"&gt;="&amp;$B69,'CONTROLE PRODUÇÃO POR EMPRESAS'!$A$6:$A$1000,"&lt;="&amp;$C69)),IF($E69="VIGAS",IF((COUNTIFS('CONTROLE PRODUÇÃO POR EMPRESAS'!$A$6:$A$1000,"&gt;="&amp;$B69,'CONTROLE PRODUÇÃO POR EMPRESAS'!$A$6:$A$1000,"&lt;="&amp;$C69,'CONTROLE PRODUÇÃO POR EMPRESAS'!$D$6:$D$1000,"&gt;=0")+COUNTIFS('CONTROLE PRODUÇÃO POR EMPRESAS'!$A$6:$A$1000,"&gt;="&amp;$B69,'CONTROLE PRODUÇÃO POR EMPRESAS'!$A$6:$A$1000,"&lt;="&amp;$C69,'CONTROLE PRODUÇÃO POR EMPRESAS'!$D$6:$D$1000,"?*"))=0,"",SUMIFS('CONTROLE PRODUÇÃO POR EMPRESAS'!$D$6:$D$1000,'CONTROLE PRODUÇÃO POR EMPRESAS'!$A$6:$A$1000,"&gt;="&amp;$B69,'CONTROLE PRODUÇÃO POR EMPRESAS'!$A$6:$A$1000,"&lt;="&amp;$C69)),""))),IF($D69="CMM",IF($E69="PREMONTAGEM",IF((COUNTIFS('CONTROLE PRODUÇÃO POR EMPRESAS'!$A$6:$A$1000,"&gt;="&amp;$B69,'CONTROLE PRODUÇÃO POR EMPRESAS'!$A$6:$A$1000,"&lt;="&amp;$C69,'CONTROLE PRODUÇÃO POR EMPRESAS'!$E$6:$E$1000,"&gt;=0")+COUNTIFS('CONTROLE PRODUÇÃO POR EMPRESAS'!$A$6:$A$1000,"&gt;="&amp;$B69,'CONTROLE PRODUÇÃO POR EMPRESAS'!$A$6:$A$1000,"&lt;="&amp;$C69,'CONTROLE PRODUÇÃO POR EMPRESAS'!$E$6:$E$1000,"?*"))=0,"",SUMIFS('CONTROLE PRODUÇÃO POR EMPRESAS'!$E$6:$E$1000,'CONTROLE PRODUÇÃO POR EMPRESAS'!$A$6:$A$1000,"&gt;="&amp;$B69,'CONTROLE PRODUÇÃO POR EMPRESAS'!$A$6:$A$1000,"&lt;="&amp;$C69)),IF($E69="IÇAMENTO JOIST",IF((COUNTIFS('CONTROLE PRODUÇÃO POR EMPRESAS'!$A$6:$A$1000,"&gt;="&amp;$B69,'CONTROLE PRODUÇÃO POR EMPRESAS'!$A$6:$A$1000,"&lt;="&amp;$C69,'CONTROLE PRODUÇÃO POR EMPRESAS'!$F$6:$F$1000,"&gt;=0")+COUNTIFS('CONTROLE PRODUÇÃO POR EMPRESAS'!$A$6:$A$1000,"&gt;="&amp;$B69,'CONTROLE PRODUÇÃO POR EMPRESAS'!$A$6:$A$1000,"&lt;="&amp;$C69,'CONTROLE PRODUÇÃO POR EMPRESAS'!$F$6:$F$1000,"?*"))=0,"",SUMIFS('CONTROLE PRODUÇÃO POR EMPRESAS'!$F$6:$F$1000,'CONTROLE PRODUÇÃO POR EMPRESAS'!$A$6:$A$1000,"&gt;="&amp;$B69,'CONTROLE PRODUÇÃO POR EMPRESAS'!$A$6:$A$1000,"&lt;="&amp;$C69)),IF($E69="VIGAS",IF((COUNTIFS('CONTROLE PRODUÇÃO POR EMPRESAS'!$A$6:$A$1000,"&gt;="&amp;$B69,'CONTROLE PRODUÇÃO POR EMPRESAS'!$A$6:$A$1000,"&lt;="&amp;$C69,'CONTROLE PRODUÇÃO POR EMPRESAS'!$G$6:$G$1000,"&gt;=0")+COUNTIFS('CONTROLE PRODUÇÃO POR EMPRESAS'!$A$6:$A$1000,"&gt;="&amp;$B69,'CONTROLE PRODUÇÃO POR EMPRESAS'!$A$6:$A$1000,"&lt;="&amp;$C69,'CONTROLE PRODUÇÃO POR EMPRESAS'!$G$6:$G$1000,"?*"))=0,"",SUMIFS('CONTROLE PRODUÇÃO POR EMPRESAS'!$G$6:$G$1000,'CONTROLE PRODUÇÃO POR EMPRESAS'!$A$6:$A$1000,"&gt;="&amp;$B69,'CONTROLE PRODUÇÃO POR EMPRESAS'!$A$6:$A$1000,"&lt;="&amp;$C69)),""))),"")))</f>
        <v/>
      </c>
      <c r="M69" s="298">
        <f>IF(L69="","",MAX(J69-L69,0))</f>
        <v/>
      </c>
      <c r="N69" s="298">
        <f>IF(L69="","",MAX(L69-J69,0))</f>
        <v/>
      </c>
      <c r="O69" s="299">
        <f>IF(L69="","",IFERROR(L69/J69,""))</f>
        <v/>
      </c>
      <c r="P69" s="298">
        <f>IF(H69="","",SUMIFS($H$6:H69,$D$6:D69,D69,$E$6:E69,E69))</f>
        <v/>
      </c>
      <c r="Q69" s="298">
        <f>IF(L69="","",SUMIFS($L$6:L69,$D$6:D69,D69,$E$6:E69,E69))</f>
        <v/>
      </c>
      <c r="R69" s="298">
        <f>IF(Q69="","",MAX(P69-Q69,0))</f>
        <v/>
      </c>
      <c r="S69" s="108">
        <f>IF(O69="","",IF(O69&gt;=1,"VERDE",IF(O69&gt;=0.9,"AMARELO","VERMELHO")))</f>
        <v/>
      </c>
      <c r="T69" s="109" t="n"/>
      <c r="U69" s="109" t="n"/>
      <c r="V69" s="110" t="n"/>
      <c r="W69" s="302" t="n"/>
    </row>
    <row r="70" ht="15.75" customHeight="1">
      <c r="A70" s="112" t="n">
        <v>11</v>
      </c>
      <c r="B70" s="301" t="n">
        <v>46328</v>
      </c>
      <c r="C70" s="301" t="n">
        <v>46332</v>
      </c>
      <c r="D70" s="114" t="inlineStr">
        <is>
          <t>EJ</t>
        </is>
      </c>
      <c r="E70" s="115" t="inlineStr">
        <is>
          <t>IÇAMENTO JOIST</t>
        </is>
      </c>
      <c r="F70" s="296">
        <f>IF(OR(D70="",E70=""),"",IF(COUNTIFS('METAS EMPRESAS'!$A$5:$A$10,D70,'METAS EMPRESAS'!$B$5:$B$10,E70)=0,"",SUMIFS('METAS EMPRESAS'!$C$5:$C$10,'METAS EMPRESAS'!$A$5:$A$10,D70,'METAS EMPRESAS'!$B$5:$B$10,E70)))</f>
        <v/>
      </c>
      <c r="G70" s="297" t="n">
        <v>5</v>
      </c>
      <c r="H70" s="298">
        <f>IF(F70="","",F70*G70)</f>
        <v/>
      </c>
      <c r="I70" s="298">
        <f>IF(M64="",0,M64)</f>
        <v/>
      </c>
      <c r="J70" s="298">
        <f>IF(H70="","",H70+I70)</f>
        <v/>
      </c>
      <c r="K70" s="298">
        <f>IF(J70="","",J70/G70)</f>
        <v/>
      </c>
      <c r="L70" s="297">
        <f>IF(OR($B70="",$C70="",$D70="",$E70=""),"",IF($D70="EJ",IF($E70="PREMONTAGEM",IF((COUNTIFS('CONTROLE PRODUÇÃO POR EMPRESAS'!$A$6:$A$1000,"&gt;="&amp;$B70,'CONTROLE PRODUÇÃO POR EMPRESAS'!$A$6:$A$1000,"&lt;="&amp;$C70,'CONTROLE PRODUÇÃO POR EMPRESAS'!$B$6:$B$1000,"&gt;=0")+COUNTIFS('CONTROLE PRODUÇÃO POR EMPRESAS'!$A$6:$A$1000,"&gt;="&amp;$B70,'CONTROLE PRODUÇÃO POR EMPRESAS'!$A$6:$A$1000,"&lt;="&amp;$C70,'CONTROLE PRODUÇÃO POR EMPRESAS'!$B$6:$B$1000,"?*"))=0,"",SUMIFS('CONTROLE PRODUÇÃO POR EMPRESAS'!$B$6:$B$1000,'CONTROLE PRODUÇÃO POR EMPRESAS'!$A$6:$A$1000,"&gt;="&amp;$B70,'CONTROLE PRODUÇÃO POR EMPRESAS'!$A$6:$A$1000,"&lt;="&amp;$C70)),IF($E70="IÇAMENTO JOIST",IF((COUNTIFS('CONTROLE PRODUÇÃO POR EMPRESAS'!$A$6:$A$1000,"&gt;="&amp;$B70,'CONTROLE PRODUÇÃO POR EMPRESAS'!$A$6:$A$1000,"&lt;="&amp;$C70,'CONTROLE PRODUÇÃO POR EMPRESAS'!$C$6:$C$1000,"&gt;=0")+COUNTIFS('CONTROLE PRODUÇÃO POR EMPRESAS'!$A$6:$A$1000,"&gt;="&amp;$B70,'CONTROLE PRODUÇÃO POR EMPRESAS'!$A$6:$A$1000,"&lt;="&amp;$C70,'CONTROLE PRODUÇÃO POR EMPRESAS'!$C$6:$C$1000,"?*"))=0,"",SUMIFS('CONTROLE PRODUÇÃO POR EMPRESAS'!$C$6:$C$1000,'CONTROLE PRODUÇÃO POR EMPRESAS'!$A$6:$A$1000,"&gt;="&amp;$B70,'CONTROLE PRODUÇÃO POR EMPRESAS'!$A$6:$A$1000,"&lt;="&amp;$C70)),IF($E70="VIGAS",IF((COUNTIFS('CONTROLE PRODUÇÃO POR EMPRESAS'!$A$6:$A$1000,"&gt;="&amp;$B70,'CONTROLE PRODUÇÃO POR EMPRESAS'!$A$6:$A$1000,"&lt;="&amp;$C70,'CONTROLE PRODUÇÃO POR EMPRESAS'!$D$6:$D$1000,"&gt;=0")+COUNTIFS('CONTROLE PRODUÇÃO POR EMPRESAS'!$A$6:$A$1000,"&gt;="&amp;$B70,'CONTROLE PRODUÇÃO POR EMPRESAS'!$A$6:$A$1000,"&lt;="&amp;$C70,'CONTROLE PRODUÇÃO POR EMPRESAS'!$D$6:$D$1000,"?*"))=0,"",SUMIFS('CONTROLE PRODUÇÃO POR EMPRESAS'!$D$6:$D$1000,'CONTROLE PRODUÇÃO POR EMPRESAS'!$A$6:$A$1000,"&gt;="&amp;$B70,'CONTROLE PRODUÇÃO POR EMPRESAS'!$A$6:$A$1000,"&lt;="&amp;$C70)),""))),IF($D70="CMM",IF($E70="PREMONTAGEM",IF((COUNTIFS('CONTROLE PRODUÇÃO POR EMPRESAS'!$A$6:$A$1000,"&gt;="&amp;$B70,'CONTROLE PRODUÇÃO POR EMPRESAS'!$A$6:$A$1000,"&lt;="&amp;$C70,'CONTROLE PRODUÇÃO POR EMPRESAS'!$E$6:$E$1000,"&gt;=0")+COUNTIFS('CONTROLE PRODUÇÃO POR EMPRESAS'!$A$6:$A$1000,"&gt;="&amp;$B70,'CONTROLE PRODUÇÃO POR EMPRESAS'!$A$6:$A$1000,"&lt;="&amp;$C70,'CONTROLE PRODUÇÃO POR EMPRESAS'!$E$6:$E$1000,"?*"))=0,"",SUMIFS('CONTROLE PRODUÇÃO POR EMPRESAS'!$E$6:$E$1000,'CONTROLE PRODUÇÃO POR EMPRESAS'!$A$6:$A$1000,"&gt;="&amp;$B70,'CONTROLE PRODUÇÃO POR EMPRESAS'!$A$6:$A$1000,"&lt;="&amp;$C70)),IF($E70="IÇAMENTO JOIST",IF((COUNTIFS('CONTROLE PRODUÇÃO POR EMPRESAS'!$A$6:$A$1000,"&gt;="&amp;$B70,'CONTROLE PRODUÇÃO POR EMPRESAS'!$A$6:$A$1000,"&lt;="&amp;$C70,'CONTROLE PRODUÇÃO POR EMPRESAS'!$F$6:$F$1000,"&gt;=0")+COUNTIFS('CONTROLE PRODUÇÃO POR EMPRESAS'!$A$6:$A$1000,"&gt;="&amp;$B70,'CONTROLE PRODUÇÃO POR EMPRESAS'!$A$6:$A$1000,"&lt;="&amp;$C70,'CONTROLE PRODUÇÃO POR EMPRESAS'!$F$6:$F$1000,"?*"))=0,"",SUMIFS('CONTROLE PRODUÇÃO POR EMPRESAS'!$F$6:$F$1000,'CONTROLE PRODUÇÃO POR EMPRESAS'!$A$6:$A$1000,"&gt;="&amp;$B70,'CONTROLE PRODUÇÃO POR EMPRESAS'!$A$6:$A$1000,"&lt;="&amp;$C70)),IF($E70="VIGAS",IF((COUNTIFS('CONTROLE PRODUÇÃO POR EMPRESAS'!$A$6:$A$1000,"&gt;="&amp;$B70,'CONTROLE PRODUÇÃO POR EMPRESAS'!$A$6:$A$1000,"&lt;="&amp;$C70,'CONTROLE PRODUÇÃO POR EMPRESAS'!$G$6:$G$1000,"&gt;=0")+COUNTIFS('CONTROLE PRODUÇÃO POR EMPRESAS'!$A$6:$A$1000,"&gt;="&amp;$B70,'CONTROLE PRODUÇÃO POR EMPRESAS'!$A$6:$A$1000,"&lt;="&amp;$C70,'CONTROLE PRODUÇÃO POR EMPRESAS'!$G$6:$G$1000,"?*"))=0,"",SUMIFS('CONTROLE PRODUÇÃO POR EMPRESAS'!$G$6:$G$1000,'CONTROLE PRODUÇÃO POR EMPRESAS'!$A$6:$A$1000,"&gt;="&amp;$B70,'CONTROLE PRODUÇÃO POR EMPRESAS'!$A$6:$A$1000,"&lt;="&amp;$C70)),""))),"")))</f>
        <v/>
      </c>
      <c r="M70" s="298">
        <f>IF(L70="","",MAX(J70-L70,0))</f>
        <v/>
      </c>
      <c r="N70" s="298">
        <f>IF(L70="","",MAX(L70-J70,0))</f>
        <v/>
      </c>
      <c r="O70" s="299">
        <f>IF(L70="","",IFERROR(L70/J70,""))</f>
        <v/>
      </c>
      <c r="P70" s="298">
        <f>IF(H70="","",SUMIFS($H$6:H70,$D$6:D70,D70,$E$6:E70,E70))</f>
        <v/>
      </c>
      <c r="Q70" s="298">
        <f>IF(L70="","",SUMIFS($L$6:L70,$D$6:D70,D70,$E$6:E70,E70))</f>
        <v/>
      </c>
      <c r="R70" s="298">
        <f>IF(Q70="","",MAX(P70-Q70,0))</f>
        <v/>
      </c>
      <c r="S70" s="108">
        <f>IF(O70="","",IF(O70&gt;=1,"VERDE",IF(O70&gt;=0.9,"AMARELO","VERMELHO")))</f>
        <v/>
      </c>
      <c r="T70" s="109" t="n"/>
      <c r="U70" s="109" t="n"/>
      <c r="V70" s="110" t="n"/>
      <c r="W70" s="302" t="n"/>
    </row>
    <row r="71" ht="15.75" customHeight="1">
      <c r="A71" s="117" t="n">
        <v>11</v>
      </c>
      <c r="B71" s="295" t="n">
        <v>46328</v>
      </c>
      <c r="C71" s="295" t="n">
        <v>46332</v>
      </c>
      <c r="D71" s="101" t="inlineStr">
        <is>
          <t>EJ</t>
        </is>
      </c>
      <c r="E71" s="103" t="inlineStr">
        <is>
          <t>VIGAS</t>
        </is>
      </c>
      <c r="F71" s="296">
        <f>IF(OR(D71="",E71=""),"",IF(COUNTIFS('METAS EMPRESAS'!$A$5:$A$10,D71,'METAS EMPRESAS'!$B$5:$B$10,E71)=0,"",SUMIFS('METAS EMPRESAS'!$C$5:$C$10,'METAS EMPRESAS'!$A$5:$A$10,D71,'METAS EMPRESAS'!$B$5:$B$10,E71)))</f>
        <v/>
      </c>
      <c r="G71" s="297" t="n">
        <v>5</v>
      </c>
      <c r="H71" s="298">
        <f>IF(F71="","",F71*G71)</f>
        <v/>
      </c>
      <c r="I71" s="298">
        <f>IF(M65="",0,M65)</f>
        <v/>
      </c>
      <c r="J71" s="298">
        <f>IF(H71="","",H71+I71)</f>
        <v/>
      </c>
      <c r="K71" s="298">
        <f>IF(J71="","",J71/G71)</f>
        <v/>
      </c>
      <c r="L71" s="297">
        <f>IF(OR($B71="",$C71="",$D71="",$E71=""),"",IF($D71="EJ",IF($E71="PREMONTAGEM",IF((COUNTIFS('CONTROLE PRODUÇÃO POR EMPRESAS'!$A$6:$A$1000,"&gt;="&amp;$B71,'CONTROLE PRODUÇÃO POR EMPRESAS'!$A$6:$A$1000,"&lt;="&amp;$C71,'CONTROLE PRODUÇÃO POR EMPRESAS'!$B$6:$B$1000,"&gt;=0")+COUNTIFS('CONTROLE PRODUÇÃO POR EMPRESAS'!$A$6:$A$1000,"&gt;="&amp;$B71,'CONTROLE PRODUÇÃO POR EMPRESAS'!$A$6:$A$1000,"&lt;="&amp;$C71,'CONTROLE PRODUÇÃO POR EMPRESAS'!$B$6:$B$1000,"?*"))=0,"",SUMIFS('CONTROLE PRODUÇÃO POR EMPRESAS'!$B$6:$B$1000,'CONTROLE PRODUÇÃO POR EMPRESAS'!$A$6:$A$1000,"&gt;="&amp;$B71,'CONTROLE PRODUÇÃO POR EMPRESAS'!$A$6:$A$1000,"&lt;="&amp;$C71)),IF($E71="IÇAMENTO JOIST",IF((COUNTIFS('CONTROLE PRODUÇÃO POR EMPRESAS'!$A$6:$A$1000,"&gt;="&amp;$B71,'CONTROLE PRODUÇÃO POR EMPRESAS'!$A$6:$A$1000,"&lt;="&amp;$C71,'CONTROLE PRODUÇÃO POR EMPRESAS'!$C$6:$C$1000,"&gt;=0")+COUNTIFS('CONTROLE PRODUÇÃO POR EMPRESAS'!$A$6:$A$1000,"&gt;="&amp;$B71,'CONTROLE PRODUÇÃO POR EMPRESAS'!$A$6:$A$1000,"&lt;="&amp;$C71,'CONTROLE PRODUÇÃO POR EMPRESAS'!$C$6:$C$1000,"?*"))=0,"",SUMIFS('CONTROLE PRODUÇÃO POR EMPRESAS'!$C$6:$C$1000,'CONTROLE PRODUÇÃO POR EMPRESAS'!$A$6:$A$1000,"&gt;="&amp;$B71,'CONTROLE PRODUÇÃO POR EMPRESAS'!$A$6:$A$1000,"&lt;="&amp;$C71)),IF($E71="VIGAS",IF((COUNTIFS('CONTROLE PRODUÇÃO POR EMPRESAS'!$A$6:$A$1000,"&gt;="&amp;$B71,'CONTROLE PRODUÇÃO POR EMPRESAS'!$A$6:$A$1000,"&lt;="&amp;$C71,'CONTROLE PRODUÇÃO POR EMPRESAS'!$D$6:$D$1000,"&gt;=0")+COUNTIFS('CONTROLE PRODUÇÃO POR EMPRESAS'!$A$6:$A$1000,"&gt;="&amp;$B71,'CONTROLE PRODUÇÃO POR EMPRESAS'!$A$6:$A$1000,"&lt;="&amp;$C71,'CONTROLE PRODUÇÃO POR EMPRESAS'!$D$6:$D$1000,"?*"))=0,"",SUMIFS('CONTROLE PRODUÇÃO POR EMPRESAS'!$D$6:$D$1000,'CONTROLE PRODUÇÃO POR EMPRESAS'!$A$6:$A$1000,"&gt;="&amp;$B71,'CONTROLE PRODUÇÃO POR EMPRESAS'!$A$6:$A$1000,"&lt;="&amp;$C71)),""))),IF($D71="CMM",IF($E71="PREMONTAGEM",IF((COUNTIFS('CONTROLE PRODUÇÃO POR EMPRESAS'!$A$6:$A$1000,"&gt;="&amp;$B71,'CONTROLE PRODUÇÃO POR EMPRESAS'!$A$6:$A$1000,"&lt;="&amp;$C71,'CONTROLE PRODUÇÃO POR EMPRESAS'!$E$6:$E$1000,"&gt;=0")+COUNTIFS('CONTROLE PRODUÇÃO POR EMPRESAS'!$A$6:$A$1000,"&gt;="&amp;$B71,'CONTROLE PRODUÇÃO POR EMPRESAS'!$A$6:$A$1000,"&lt;="&amp;$C71,'CONTROLE PRODUÇÃO POR EMPRESAS'!$E$6:$E$1000,"?*"))=0,"",SUMIFS('CONTROLE PRODUÇÃO POR EMPRESAS'!$E$6:$E$1000,'CONTROLE PRODUÇÃO POR EMPRESAS'!$A$6:$A$1000,"&gt;="&amp;$B71,'CONTROLE PRODUÇÃO POR EMPRESAS'!$A$6:$A$1000,"&lt;="&amp;$C71)),IF($E71="IÇAMENTO JOIST",IF((COUNTIFS('CONTROLE PRODUÇÃO POR EMPRESAS'!$A$6:$A$1000,"&gt;="&amp;$B71,'CONTROLE PRODUÇÃO POR EMPRESAS'!$A$6:$A$1000,"&lt;="&amp;$C71,'CONTROLE PRODUÇÃO POR EMPRESAS'!$F$6:$F$1000,"&gt;=0")+COUNTIFS('CONTROLE PRODUÇÃO POR EMPRESAS'!$A$6:$A$1000,"&gt;="&amp;$B71,'CONTROLE PRODUÇÃO POR EMPRESAS'!$A$6:$A$1000,"&lt;="&amp;$C71,'CONTROLE PRODUÇÃO POR EMPRESAS'!$F$6:$F$1000,"?*"))=0,"",SUMIFS('CONTROLE PRODUÇÃO POR EMPRESAS'!$F$6:$F$1000,'CONTROLE PRODUÇÃO POR EMPRESAS'!$A$6:$A$1000,"&gt;="&amp;$B71,'CONTROLE PRODUÇÃO POR EMPRESAS'!$A$6:$A$1000,"&lt;="&amp;$C71)),IF($E71="VIGAS",IF((COUNTIFS('CONTROLE PRODUÇÃO POR EMPRESAS'!$A$6:$A$1000,"&gt;="&amp;$B71,'CONTROLE PRODUÇÃO POR EMPRESAS'!$A$6:$A$1000,"&lt;="&amp;$C71,'CONTROLE PRODUÇÃO POR EMPRESAS'!$G$6:$G$1000,"&gt;=0")+COUNTIFS('CONTROLE PRODUÇÃO POR EMPRESAS'!$A$6:$A$1000,"&gt;="&amp;$B71,'CONTROLE PRODUÇÃO POR EMPRESAS'!$A$6:$A$1000,"&lt;="&amp;$C71,'CONTROLE PRODUÇÃO POR EMPRESAS'!$G$6:$G$1000,"?*"))=0,"",SUMIFS('CONTROLE PRODUÇÃO POR EMPRESAS'!$G$6:$G$1000,'CONTROLE PRODUÇÃO POR EMPRESAS'!$A$6:$A$1000,"&gt;="&amp;$B71,'CONTROLE PRODUÇÃO POR EMPRESAS'!$A$6:$A$1000,"&lt;="&amp;$C71)),""))),"")))</f>
        <v/>
      </c>
      <c r="M71" s="298">
        <f>IF(L71="","",MAX(J71-L71,0))</f>
        <v/>
      </c>
      <c r="N71" s="298">
        <f>IF(L71="","",MAX(L71-J71,0))</f>
        <v/>
      </c>
      <c r="O71" s="299">
        <f>IF(L71="","",IFERROR(L71/J71,""))</f>
        <v/>
      </c>
      <c r="P71" s="298">
        <f>IF(H71="","",SUMIFS($H$6:H71,$D$6:D71,D71,$E$6:E71,E71))</f>
        <v/>
      </c>
      <c r="Q71" s="298">
        <f>IF(L71="","",SUMIFS($L$6:L71,$D$6:D71,D71,$E$6:E71,E71))</f>
        <v/>
      </c>
      <c r="R71" s="298">
        <f>IF(Q71="","",MAX(P71-Q71,0))</f>
        <v/>
      </c>
      <c r="S71" s="108">
        <f>IF(O71="","",IF(O71&gt;=1,"VERDE",IF(O71&gt;=0.9,"AMARELO","VERMELHO")))</f>
        <v/>
      </c>
      <c r="T71" s="109" t="n"/>
      <c r="U71" s="109" t="n"/>
      <c r="V71" s="110" t="n"/>
      <c r="W71" s="302" t="n"/>
    </row>
    <row r="72" ht="15.75" customHeight="1">
      <c r="A72" s="112" t="n">
        <v>12</v>
      </c>
      <c r="B72" s="301" t="n">
        <v>46335</v>
      </c>
      <c r="C72" s="301" t="n">
        <v>46339</v>
      </c>
      <c r="D72" s="114" t="inlineStr">
        <is>
          <t>CMM</t>
        </is>
      </c>
      <c r="E72" s="115" t="inlineStr">
        <is>
          <t>PREMONTAGEM</t>
        </is>
      </c>
      <c r="F72" s="296">
        <f>IF(OR(D72="",E72=""),"",IF(COUNTIFS('METAS EMPRESAS'!$A$5:$A$10,D72,'METAS EMPRESAS'!$B$5:$B$10,E72)=0,"",SUMIFS('METAS EMPRESAS'!$C$5:$C$10,'METAS EMPRESAS'!$A$5:$A$10,D72,'METAS EMPRESAS'!$B$5:$B$10,E72)))</f>
        <v/>
      </c>
      <c r="G72" s="297" t="n">
        <v>5</v>
      </c>
      <c r="H72" s="298">
        <f>IF(F72="","",F72*G72)</f>
        <v/>
      </c>
      <c r="I72" s="298">
        <f>IF(M66="",0,M66)</f>
        <v/>
      </c>
      <c r="J72" s="298">
        <f>IF(H72="","",H72+I72)</f>
        <v/>
      </c>
      <c r="K72" s="298">
        <f>IF(J72="","",J72/G72)</f>
        <v/>
      </c>
      <c r="L72" s="297">
        <f>IF(OR($B72="",$C72="",$D72="",$E72=""),"",IF($D72="EJ",IF($E72="PREMONTAGEM",IF((COUNTIFS('CONTROLE PRODUÇÃO POR EMPRESAS'!$A$6:$A$1000,"&gt;="&amp;$B72,'CONTROLE PRODUÇÃO POR EMPRESAS'!$A$6:$A$1000,"&lt;="&amp;$C72,'CONTROLE PRODUÇÃO POR EMPRESAS'!$B$6:$B$1000,"&gt;=0")+COUNTIFS('CONTROLE PRODUÇÃO POR EMPRESAS'!$A$6:$A$1000,"&gt;="&amp;$B72,'CONTROLE PRODUÇÃO POR EMPRESAS'!$A$6:$A$1000,"&lt;="&amp;$C72,'CONTROLE PRODUÇÃO POR EMPRESAS'!$B$6:$B$1000,"?*"))=0,"",SUMIFS('CONTROLE PRODUÇÃO POR EMPRESAS'!$B$6:$B$1000,'CONTROLE PRODUÇÃO POR EMPRESAS'!$A$6:$A$1000,"&gt;="&amp;$B72,'CONTROLE PRODUÇÃO POR EMPRESAS'!$A$6:$A$1000,"&lt;="&amp;$C72)),IF($E72="IÇAMENTO JOIST",IF((COUNTIFS('CONTROLE PRODUÇÃO POR EMPRESAS'!$A$6:$A$1000,"&gt;="&amp;$B72,'CONTROLE PRODUÇÃO POR EMPRESAS'!$A$6:$A$1000,"&lt;="&amp;$C72,'CONTROLE PRODUÇÃO POR EMPRESAS'!$C$6:$C$1000,"&gt;=0")+COUNTIFS('CONTROLE PRODUÇÃO POR EMPRESAS'!$A$6:$A$1000,"&gt;="&amp;$B72,'CONTROLE PRODUÇÃO POR EMPRESAS'!$A$6:$A$1000,"&lt;="&amp;$C72,'CONTROLE PRODUÇÃO POR EMPRESAS'!$C$6:$C$1000,"?*"))=0,"",SUMIFS('CONTROLE PRODUÇÃO POR EMPRESAS'!$C$6:$C$1000,'CONTROLE PRODUÇÃO POR EMPRESAS'!$A$6:$A$1000,"&gt;="&amp;$B72,'CONTROLE PRODUÇÃO POR EMPRESAS'!$A$6:$A$1000,"&lt;="&amp;$C72)),IF($E72="VIGAS",IF((COUNTIFS('CONTROLE PRODUÇÃO POR EMPRESAS'!$A$6:$A$1000,"&gt;="&amp;$B72,'CONTROLE PRODUÇÃO POR EMPRESAS'!$A$6:$A$1000,"&lt;="&amp;$C72,'CONTROLE PRODUÇÃO POR EMPRESAS'!$D$6:$D$1000,"&gt;=0")+COUNTIFS('CONTROLE PRODUÇÃO POR EMPRESAS'!$A$6:$A$1000,"&gt;="&amp;$B72,'CONTROLE PRODUÇÃO POR EMPRESAS'!$A$6:$A$1000,"&lt;="&amp;$C72,'CONTROLE PRODUÇÃO POR EMPRESAS'!$D$6:$D$1000,"?*"))=0,"",SUMIFS('CONTROLE PRODUÇÃO POR EMPRESAS'!$D$6:$D$1000,'CONTROLE PRODUÇÃO POR EMPRESAS'!$A$6:$A$1000,"&gt;="&amp;$B72,'CONTROLE PRODUÇÃO POR EMPRESAS'!$A$6:$A$1000,"&lt;="&amp;$C72)),""))),IF($D72="CMM",IF($E72="PREMONTAGEM",IF((COUNTIFS('CONTROLE PRODUÇÃO POR EMPRESAS'!$A$6:$A$1000,"&gt;="&amp;$B72,'CONTROLE PRODUÇÃO POR EMPRESAS'!$A$6:$A$1000,"&lt;="&amp;$C72,'CONTROLE PRODUÇÃO POR EMPRESAS'!$E$6:$E$1000,"&gt;=0")+COUNTIFS('CONTROLE PRODUÇÃO POR EMPRESAS'!$A$6:$A$1000,"&gt;="&amp;$B72,'CONTROLE PRODUÇÃO POR EMPRESAS'!$A$6:$A$1000,"&lt;="&amp;$C72,'CONTROLE PRODUÇÃO POR EMPRESAS'!$E$6:$E$1000,"?*"))=0,"",SUMIFS('CONTROLE PRODUÇÃO POR EMPRESAS'!$E$6:$E$1000,'CONTROLE PRODUÇÃO POR EMPRESAS'!$A$6:$A$1000,"&gt;="&amp;$B72,'CONTROLE PRODUÇÃO POR EMPRESAS'!$A$6:$A$1000,"&lt;="&amp;$C72)),IF($E72="IÇAMENTO JOIST",IF((COUNTIFS('CONTROLE PRODUÇÃO POR EMPRESAS'!$A$6:$A$1000,"&gt;="&amp;$B72,'CONTROLE PRODUÇÃO POR EMPRESAS'!$A$6:$A$1000,"&lt;="&amp;$C72,'CONTROLE PRODUÇÃO POR EMPRESAS'!$F$6:$F$1000,"&gt;=0")+COUNTIFS('CONTROLE PRODUÇÃO POR EMPRESAS'!$A$6:$A$1000,"&gt;="&amp;$B72,'CONTROLE PRODUÇÃO POR EMPRESAS'!$A$6:$A$1000,"&lt;="&amp;$C72,'CONTROLE PRODUÇÃO POR EMPRESAS'!$F$6:$F$1000,"?*"))=0,"",SUMIFS('CONTROLE PRODUÇÃO POR EMPRESAS'!$F$6:$F$1000,'CONTROLE PRODUÇÃO POR EMPRESAS'!$A$6:$A$1000,"&gt;="&amp;$B72,'CONTROLE PRODUÇÃO POR EMPRESAS'!$A$6:$A$1000,"&lt;="&amp;$C72)),IF($E72="VIGAS",IF((COUNTIFS('CONTROLE PRODUÇÃO POR EMPRESAS'!$A$6:$A$1000,"&gt;="&amp;$B72,'CONTROLE PRODUÇÃO POR EMPRESAS'!$A$6:$A$1000,"&lt;="&amp;$C72,'CONTROLE PRODUÇÃO POR EMPRESAS'!$G$6:$G$1000,"&gt;=0")+COUNTIFS('CONTROLE PRODUÇÃO POR EMPRESAS'!$A$6:$A$1000,"&gt;="&amp;$B72,'CONTROLE PRODUÇÃO POR EMPRESAS'!$A$6:$A$1000,"&lt;="&amp;$C72,'CONTROLE PRODUÇÃO POR EMPRESAS'!$G$6:$G$1000,"?*"))=0,"",SUMIFS('CONTROLE PRODUÇÃO POR EMPRESAS'!$G$6:$G$1000,'CONTROLE PRODUÇÃO POR EMPRESAS'!$A$6:$A$1000,"&gt;="&amp;$B72,'CONTROLE PRODUÇÃO POR EMPRESAS'!$A$6:$A$1000,"&lt;="&amp;$C72)),""))),"")))</f>
        <v/>
      </c>
      <c r="M72" s="298">
        <f>IF(L72="","",MAX(J72-L72,0))</f>
        <v/>
      </c>
      <c r="N72" s="298">
        <f>IF(L72="","",MAX(L72-J72,0))</f>
        <v/>
      </c>
      <c r="O72" s="299">
        <f>IF(L72="","",IFERROR(L72/J72,""))</f>
        <v/>
      </c>
      <c r="P72" s="298">
        <f>IF(H72="","",SUMIFS($H$6:H72,$D$6:D72,D72,$E$6:E72,E72))</f>
        <v/>
      </c>
      <c r="Q72" s="298">
        <f>IF(L72="","",SUMIFS($L$6:L72,$D$6:D72,D72,$E$6:E72,E72))</f>
        <v/>
      </c>
      <c r="R72" s="298">
        <f>IF(Q72="","",MAX(P72-Q72,0))</f>
        <v/>
      </c>
      <c r="S72" s="108">
        <f>IF(O72="","",IF(O72&gt;=1,"VERDE",IF(O72&gt;=0.9,"AMARELO","VERMELHO")))</f>
        <v/>
      </c>
      <c r="T72" s="109" t="n"/>
      <c r="U72" s="109" t="n"/>
      <c r="V72" s="110" t="n"/>
      <c r="W72" s="302" t="n"/>
    </row>
    <row r="73" ht="15.75" customHeight="1">
      <c r="A73" s="117" t="n">
        <v>12</v>
      </c>
      <c r="B73" s="295" t="n">
        <v>46335</v>
      </c>
      <c r="C73" s="295" t="n">
        <v>46339</v>
      </c>
      <c r="D73" s="101" t="inlineStr">
        <is>
          <t>CMM</t>
        </is>
      </c>
      <c r="E73" s="103" t="inlineStr">
        <is>
          <t>IÇAMENTO JOIST</t>
        </is>
      </c>
      <c r="F73" s="296">
        <f>IF(OR(D73="",E73=""),"",IF(COUNTIFS('METAS EMPRESAS'!$A$5:$A$10,D73,'METAS EMPRESAS'!$B$5:$B$10,E73)=0,"",SUMIFS('METAS EMPRESAS'!$C$5:$C$10,'METAS EMPRESAS'!$A$5:$A$10,D73,'METAS EMPRESAS'!$B$5:$B$10,E73)))</f>
        <v/>
      </c>
      <c r="G73" s="297" t="n">
        <v>5</v>
      </c>
      <c r="H73" s="298">
        <f>IF(F73="","",F73*G73)</f>
        <v/>
      </c>
      <c r="I73" s="298">
        <f>IF(M67="",0,M67)</f>
        <v/>
      </c>
      <c r="J73" s="298">
        <f>IF(H73="","",H73+I73)</f>
        <v/>
      </c>
      <c r="K73" s="298">
        <f>IF(J73="","",J73/G73)</f>
        <v/>
      </c>
      <c r="L73" s="297">
        <f>IF(OR($B73="",$C73="",$D73="",$E73=""),"",IF($D73="EJ",IF($E73="PREMONTAGEM",IF((COUNTIFS('CONTROLE PRODUÇÃO POR EMPRESAS'!$A$6:$A$1000,"&gt;="&amp;$B73,'CONTROLE PRODUÇÃO POR EMPRESAS'!$A$6:$A$1000,"&lt;="&amp;$C73,'CONTROLE PRODUÇÃO POR EMPRESAS'!$B$6:$B$1000,"&gt;=0")+COUNTIFS('CONTROLE PRODUÇÃO POR EMPRESAS'!$A$6:$A$1000,"&gt;="&amp;$B73,'CONTROLE PRODUÇÃO POR EMPRESAS'!$A$6:$A$1000,"&lt;="&amp;$C73,'CONTROLE PRODUÇÃO POR EMPRESAS'!$B$6:$B$1000,"?*"))=0,"",SUMIFS('CONTROLE PRODUÇÃO POR EMPRESAS'!$B$6:$B$1000,'CONTROLE PRODUÇÃO POR EMPRESAS'!$A$6:$A$1000,"&gt;="&amp;$B73,'CONTROLE PRODUÇÃO POR EMPRESAS'!$A$6:$A$1000,"&lt;="&amp;$C73)),IF($E73="IÇAMENTO JOIST",IF((COUNTIFS('CONTROLE PRODUÇÃO POR EMPRESAS'!$A$6:$A$1000,"&gt;="&amp;$B73,'CONTROLE PRODUÇÃO POR EMPRESAS'!$A$6:$A$1000,"&lt;="&amp;$C73,'CONTROLE PRODUÇÃO POR EMPRESAS'!$C$6:$C$1000,"&gt;=0")+COUNTIFS('CONTROLE PRODUÇÃO POR EMPRESAS'!$A$6:$A$1000,"&gt;="&amp;$B73,'CONTROLE PRODUÇÃO POR EMPRESAS'!$A$6:$A$1000,"&lt;="&amp;$C73,'CONTROLE PRODUÇÃO POR EMPRESAS'!$C$6:$C$1000,"?*"))=0,"",SUMIFS('CONTROLE PRODUÇÃO POR EMPRESAS'!$C$6:$C$1000,'CONTROLE PRODUÇÃO POR EMPRESAS'!$A$6:$A$1000,"&gt;="&amp;$B73,'CONTROLE PRODUÇÃO POR EMPRESAS'!$A$6:$A$1000,"&lt;="&amp;$C73)),IF($E73="VIGAS",IF((COUNTIFS('CONTROLE PRODUÇÃO POR EMPRESAS'!$A$6:$A$1000,"&gt;="&amp;$B73,'CONTROLE PRODUÇÃO POR EMPRESAS'!$A$6:$A$1000,"&lt;="&amp;$C73,'CONTROLE PRODUÇÃO POR EMPRESAS'!$D$6:$D$1000,"&gt;=0")+COUNTIFS('CONTROLE PRODUÇÃO POR EMPRESAS'!$A$6:$A$1000,"&gt;="&amp;$B73,'CONTROLE PRODUÇÃO POR EMPRESAS'!$A$6:$A$1000,"&lt;="&amp;$C73,'CONTROLE PRODUÇÃO POR EMPRESAS'!$D$6:$D$1000,"?*"))=0,"",SUMIFS('CONTROLE PRODUÇÃO POR EMPRESAS'!$D$6:$D$1000,'CONTROLE PRODUÇÃO POR EMPRESAS'!$A$6:$A$1000,"&gt;="&amp;$B73,'CONTROLE PRODUÇÃO POR EMPRESAS'!$A$6:$A$1000,"&lt;="&amp;$C73)),""))),IF($D73="CMM",IF($E73="PREMONTAGEM",IF((COUNTIFS('CONTROLE PRODUÇÃO POR EMPRESAS'!$A$6:$A$1000,"&gt;="&amp;$B73,'CONTROLE PRODUÇÃO POR EMPRESAS'!$A$6:$A$1000,"&lt;="&amp;$C73,'CONTROLE PRODUÇÃO POR EMPRESAS'!$E$6:$E$1000,"&gt;=0")+COUNTIFS('CONTROLE PRODUÇÃO POR EMPRESAS'!$A$6:$A$1000,"&gt;="&amp;$B73,'CONTROLE PRODUÇÃO POR EMPRESAS'!$A$6:$A$1000,"&lt;="&amp;$C73,'CONTROLE PRODUÇÃO POR EMPRESAS'!$E$6:$E$1000,"?*"))=0,"",SUMIFS('CONTROLE PRODUÇÃO POR EMPRESAS'!$E$6:$E$1000,'CONTROLE PRODUÇÃO POR EMPRESAS'!$A$6:$A$1000,"&gt;="&amp;$B73,'CONTROLE PRODUÇÃO POR EMPRESAS'!$A$6:$A$1000,"&lt;="&amp;$C73)),IF($E73="IÇAMENTO JOIST",IF((COUNTIFS('CONTROLE PRODUÇÃO POR EMPRESAS'!$A$6:$A$1000,"&gt;="&amp;$B73,'CONTROLE PRODUÇÃO POR EMPRESAS'!$A$6:$A$1000,"&lt;="&amp;$C73,'CONTROLE PRODUÇÃO POR EMPRESAS'!$F$6:$F$1000,"&gt;=0")+COUNTIFS('CONTROLE PRODUÇÃO POR EMPRESAS'!$A$6:$A$1000,"&gt;="&amp;$B73,'CONTROLE PRODUÇÃO POR EMPRESAS'!$A$6:$A$1000,"&lt;="&amp;$C73,'CONTROLE PRODUÇÃO POR EMPRESAS'!$F$6:$F$1000,"?*"))=0,"",SUMIFS('CONTROLE PRODUÇÃO POR EMPRESAS'!$F$6:$F$1000,'CONTROLE PRODUÇÃO POR EMPRESAS'!$A$6:$A$1000,"&gt;="&amp;$B73,'CONTROLE PRODUÇÃO POR EMPRESAS'!$A$6:$A$1000,"&lt;="&amp;$C73)),IF($E73="VIGAS",IF((COUNTIFS('CONTROLE PRODUÇÃO POR EMPRESAS'!$A$6:$A$1000,"&gt;="&amp;$B73,'CONTROLE PRODUÇÃO POR EMPRESAS'!$A$6:$A$1000,"&lt;="&amp;$C73,'CONTROLE PRODUÇÃO POR EMPRESAS'!$G$6:$G$1000,"&gt;=0")+COUNTIFS('CONTROLE PRODUÇÃO POR EMPRESAS'!$A$6:$A$1000,"&gt;="&amp;$B73,'CONTROLE PRODUÇÃO POR EMPRESAS'!$A$6:$A$1000,"&lt;="&amp;$C73,'CONTROLE PRODUÇÃO POR EMPRESAS'!$G$6:$G$1000,"?*"))=0,"",SUMIFS('CONTROLE PRODUÇÃO POR EMPRESAS'!$G$6:$G$1000,'CONTROLE PRODUÇÃO POR EMPRESAS'!$A$6:$A$1000,"&gt;="&amp;$B73,'CONTROLE PRODUÇÃO POR EMPRESAS'!$A$6:$A$1000,"&lt;="&amp;$C73)),""))),"")))</f>
        <v/>
      </c>
      <c r="M73" s="298">
        <f>IF(L73="","",MAX(J73-L73,0))</f>
        <v/>
      </c>
      <c r="N73" s="298">
        <f>IF(L73="","",MAX(L73-J73,0))</f>
        <v/>
      </c>
      <c r="O73" s="299">
        <f>IF(L73="","",IFERROR(L73/J73,""))</f>
        <v/>
      </c>
      <c r="P73" s="298">
        <f>IF(H73="","",SUMIFS($H$6:H73,$D$6:D73,D73,$E$6:E73,E73))</f>
        <v/>
      </c>
      <c r="Q73" s="298">
        <f>IF(L73="","",SUMIFS($L$6:L73,$D$6:D73,D73,$E$6:E73,E73))</f>
        <v/>
      </c>
      <c r="R73" s="298">
        <f>IF(Q73="","",MAX(P73-Q73,0))</f>
        <v/>
      </c>
      <c r="S73" s="108">
        <f>IF(O73="","",IF(O73&gt;=1,"VERDE",IF(O73&gt;=0.9,"AMARELO","VERMELHO")))</f>
        <v/>
      </c>
      <c r="T73" s="109" t="n"/>
      <c r="U73" s="109" t="n"/>
      <c r="V73" s="110" t="n"/>
      <c r="W73" s="302" t="n"/>
    </row>
    <row r="74" ht="15.75" customHeight="1">
      <c r="A74" s="112" t="n">
        <v>12</v>
      </c>
      <c r="B74" s="301" t="n">
        <v>46335</v>
      </c>
      <c r="C74" s="301" t="n">
        <v>46339</v>
      </c>
      <c r="D74" s="114" t="inlineStr">
        <is>
          <t>CMM</t>
        </is>
      </c>
      <c r="E74" s="115" t="inlineStr">
        <is>
          <t>VIGAS</t>
        </is>
      </c>
      <c r="F74" s="296">
        <f>IF(OR(D74="",E74=""),"",IF(COUNTIFS('METAS EMPRESAS'!$A$5:$A$10,D74,'METAS EMPRESAS'!$B$5:$B$10,E74)=0,"",SUMIFS('METAS EMPRESAS'!$C$5:$C$10,'METAS EMPRESAS'!$A$5:$A$10,D74,'METAS EMPRESAS'!$B$5:$B$10,E74)))</f>
        <v/>
      </c>
      <c r="G74" s="297" t="n">
        <v>5</v>
      </c>
      <c r="H74" s="298">
        <f>IF(F74="","",F74*G74)</f>
        <v/>
      </c>
      <c r="I74" s="298">
        <f>IF(M68="",0,M68)</f>
        <v/>
      </c>
      <c r="J74" s="298">
        <f>IF(H74="","",H74+I74)</f>
        <v/>
      </c>
      <c r="K74" s="298">
        <f>IF(J74="","",J74/G74)</f>
        <v/>
      </c>
      <c r="L74" s="297">
        <f>IF(OR($B74="",$C74="",$D74="",$E74=""),"",IF($D74="EJ",IF($E74="PREMONTAGEM",IF((COUNTIFS('CONTROLE PRODUÇÃO POR EMPRESAS'!$A$6:$A$1000,"&gt;="&amp;$B74,'CONTROLE PRODUÇÃO POR EMPRESAS'!$A$6:$A$1000,"&lt;="&amp;$C74,'CONTROLE PRODUÇÃO POR EMPRESAS'!$B$6:$B$1000,"&gt;=0")+COUNTIFS('CONTROLE PRODUÇÃO POR EMPRESAS'!$A$6:$A$1000,"&gt;="&amp;$B74,'CONTROLE PRODUÇÃO POR EMPRESAS'!$A$6:$A$1000,"&lt;="&amp;$C74,'CONTROLE PRODUÇÃO POR EMPRESAS'!$B$6:$B$1000,"?*"))=0,"",SUMIFS('CONTROLE PRODUÇÃO POR EMPRESAS'!$B$6:$B$1000,'CONTROLE PRODUÇÃO POR EMPRESAS'!$A$6:$A$1000,"&gt;="&amp;$B74,'CONTROLE PRODUÇÃO POR EMPRESAS'!$A$6:$A$1000,"&lt;="&amp;$C74)),IF($E74="IÇAMENTO JOIST",IF((COUNTIFS('CONTROLE PRODUÇÃO POR EMPRESAS'!$A$6:$A$1000,"&gt;="&amp;$B74,'CONTROLE PRODUÇÃO POR EMPRESAS'!$A$6:$A$1000,"&lt;="&amp;$C74,'CONTROLE PRODUÇÃO POR EMPRESAS'!$C$6:$C$1000,"&gt;=0")+COUNTIFS('CONTROLE PRODUÇÃO POR EMPRESAS'!$A$6:$A$1000,"&gt;="&amp;$B74,'CONTROLE PRODUÇÃO POR EMPRESAS'!$A$6:$A$1000,"&lt;="&amp;$C74,'CONTROLE PRODUÇÃO POR EMPRESAS'!$C$6:$C$1000,"?*"))=0,"",SUMIFS('CONTROLE PRODUÇÃO POR EMPRESAS'!$C$6:$C$1000,'CONTROLE PRODUÇÃO POR EMPRESAS'!$A$6:$A$1000,"&gt;="&amp;$B74,'CONTROLE PRODUÇÃO POR EMPRESAS'!$A$6:$A$1000,"&lt;="&amp;$C74)),IF($E74="VIGAS",IF((COUNTIFS('CONTROLE PRODUÇÃO POR EMPRESAS'!$A$6:$A$1000,"&gt;="&amp;$B74,'CONTROLE PRODUÇÃO POR EMPRESAS'!$A$6:$A$1000,"&lt;="&amp;$C74,'CONTROLE PRODUÇÃO POR EMPRESAS'!$D$6:$D$1000,"&gt;=0")+COUNTIFS('CONTROLE PRODUÇÃO POR EMPRESAS'!$A$6:$A$1000,"&gt;="&amp;$B74,'CONTROLE PRODUÇÃO POR EMPRESAS'!$A$6:$A$1000,"&lt;="&amp;$C74,'CONTROLE PRODUÇÃO POR EMPRESAS'!$D$6:$D$1000,"?*"))=0,"",SUMIFS('CONTROLE PRODUÇÃO POR EMPRESAS'!$D$6:$D$1000,'CONTROLE PRODUÇÃO POR EMPRESAS'!$A$6:$A$1000,"&gt;="&amp;$B74,'CONTROLE PRODUÇÃO POR EMPRESAS'!$A$6:$A$1000,"&lt;="&amp;$C74)),""))),IF($D74="CMM",IF($E74="PREMONTAGEM",IF((COUNTIFS('CONTROLE PRODUÇÃO POR EMPRESAS'!$A$6:$A$1000,"&gt;="&amp;$B74,'CONTROLE PRODUÇÃO POR EMPRESAS'!$A$6:$A$1000,"&lt;="&amp;$C74,'CONTROLE PRODUÇÃO POR EMPRESAS'!$E$6:$E$1000,"&gt;=0")+COUNTIFS('CONTROLE PRODUÇÃO POR EMPRESAS'!$A$6:$A$1000,"&gt;="&amp;$B74,'CONTROLE PRODUÇÃO POR EMPRESAS'!$A$6:$A$1000,"&lt;="&amp;$C74,'CONTROLE PRODUÇÃO POR EMPRESAS'!$E$6:$E$1000,"?*"))=0,"",SUMIFS('CONTROLE PRODUÇÃO POR EMPRESAS'!$E$6:$E$1000,'CONTROLE PRODUÇÃO POR EMPRESAS'!$A$6:$A$1000,"&gt;="&amp;$B74,'CONTROLE PRODUÇÃO POR EMPRESAS'!$A$6:$A$1000,"&lt;="&amp;$C74)),IF($E74="IÇAMENTO JOIST",IF((COUNTIFS('CONTROLE PRODUÇÃO POR EMPRESAS'!$A$6:$A$1000,"&gt;="&amp;$B74,'CONTROLE PRODUÇÃO POR EMPRESAS'!$A$6:$A$1000,"&lt;="&amp;$C74,'CONTROLE PRODUÇÃO POR EMPRESAS'!$F$6:$F$1000,"&gt;=0")+COUNTIFS('CONTROLE PRODUÇÃO POR EMPRESAS'!$A$6:$A$1000,"&gt;="&amp;$B74,'CONTROLE PRODUÇÃO POR EMPRESAS'!$A$6:$A$1000,"&lt;="&amp;$C74,'CONTROLE PRODUÇÃO POR EMPRESAS'!$F$6:$F$1000,"?*"))=0,"",SUMIFS('CONTROLE PRODUÇÃO POR EMPRESAS'!$F$6:$F$1000,'CONTROLE PRODUÇÃO POR EMPRESAS'!$A$6:$A$1000,"&gt;="&amp;$B74,'CONTROLE PRODUÇÃO POR EMPRESAS'!$A$6:$A$1000,"&lt;="&amp;$C74)),IF($E74="VIGAS",IF((COUNTIFS('CONTROLE PRODUÇÃO POR EMPRESAS'!$A$6:$A$1000,"&gt;="&amp;$B74,'CONTROLE PRODUÇÃO POR EMPRESAS'!$A$6:$A$1000,"&lt;="&amp;$C74,'CONTROLE PRODUÇÃO POR EMPRESAS'!$G$6:$G$1000,"&gt;=0")+COUNTIFS('CONTROLE PRODUÇÃO POR EMPRESAS'!$A$6:$A$1000,"&gt;="&amp;$B74,'CONTROLE PRODUÇÃO POR EMPRESAS'!$A$6:$A$1000,"&lt;="&amp;$C74,'CONTROLE PRODUÇÃO POR EMPRESAS'!$G$6:$G$1000,"?*"))=0,"",SUMIFS('CONTROLE PRODUÇÃO POR EMPRESAS'!$G$6:$G$1000,'CONTROLE PRODUÇÃO POR EMPRESAS'!$A$6:$A$1000,"&gt;="&amp;$B74,'CONTROLE PRODUÇÃO POR EMPRESAS'!$A$6:$A$1000,"&lt;="&amp;$C74)),""))),"")))</f>
        <v/>
      </c>
      <c r="M74" s="298">
        <f>IF(L74="","",MAX(J74-L74,0))</f>
        <v/>
      </c>
      <c r="N74" s="298">
        <f>IF(L74="","",MAX(L74-J74,0))</f>
        <v/>
      </c>
      <c r="O74" s="299">
        <f>IF(L74="","",IFERROR(L74/J74,""))</f>
        <v/>
      </c>
      <c r="P74" s="298">
        <f>IF(H74="","",SUMIFS($H$6:H74,$D$6:D74,D74,$E$6:E74,E74))</f>
        <v/>
      </c>
      <c r="Q74" s="298">
        <f>IF(L74="","",SUMIFS($L$6:L74,$D$6:D74,D74,$E$6:E74,E74))</f>
        <v/>
      </c>
      <c r="R74" s="298">
        <f>IF(Q74="","",MAX(P74-Q74,0))</f>
        <v/>
      </c>
      <c r="S74" s="108">
        <f>IF(O74="","",IF(O74&gt;=1,"VERDE",IF(O74&gt;=0.9,"AMARELO","VERMELHO")))</f>
        <v/>
      </c>
      <c r="T74" s="109" t="n"/>
      <c r="U74" s="109" t="n"/>
      <c r="V74" s="110" t="n"/>
      <c r="W74" s="302" t="n"/>
    </row>
    <row r="75" ht="15.75" customHeight="1">
      <c r="A75" s="117" t="n">
        <v>12</v>
      </c>
      <c r="B75" s="295" t="n">
        <v>46335</v>
      </c>
      <c r="C75" s="295" t="n">
        <v>46339</v>
      </c>
      <c r="D75" s="101" t="inlineStr">
        <is>
          <t>EJ</t>
        </is>
      </c>
      <c r="E75" s="103" t="inlineStr">
        <is>
          <t>PREMONTAGEM</t>
        </is>
      </c>
      <c r="F75" s="296">
        <f>IF(OR(D75="",E75=""),"",IF(COUNTIFS('METAS EMPRESAS'!$A$5:$A$10,D75,'METAS EMPRESAS'!$B$5:$B$10,E75)=0,"",SUMIFS('METAS EMPRESAS'!$C$5:$C$10,'METAS EMPRESAS'!$A$5:$A$10,D75,'METAS EMPRESAS'!$B$5:$B$10,E75)))</f>
        <v/>
      </c>
      <c r="G75" s="297" t="n">
        <v>5</v>
      </c>
      <c r="H75" s="298">
        <f>IF(F75="","",F75*G75)</f>
        <v/>
      </c>
      <c r="I75" s="298">
        <f>IF(M69="",0,M69)</f>
        <v/>
      </c>
      <c r="J75" s="298">
        <f>IF(H75="","",H75+I75)</f>
        <v/>
      </c>
      <c r="K75" s="298">
        <f>IF(J75="","",J75/G75)</f>
        <v/>
      </c>
      <c r="L75" s="297">
        <f>IF(OR($B75="",$C75="",$D75="",$E75=""),"",IF($D75="EJ",IF($E75="PREMONTAGEM",IF((COUNTIFS('CONTROLE PRODUÇÃO POR EMPRESAS'!$A$6:$A$1000,"&gt;="&amp;$B75,'CONTROLE PRODUÇÃO POR EMPRESAS'!$A$6:$A$1000,"&lt;="&amp;$C75,'CONTROLE PRODUÇÃO POR EMPRESAS'!$B$6:$B$1000,"&gt;=0")+COUNTIFS('CONTROLE PRODUÇÃO POR EMPRESAS'!$A$6:$A$1000,"&gt;="&amp;$B75,'CONTROLE PRODUÇÃO POR EMPRESAS'!$A$6:$A$1000,"&lt;="&amp;$C75,'CONTROLE PRODUÇÃO POR EMPRESAS'!$B$6:$B$1000,"?*"))=0,"",SUMIFS('CONTROLE PRODUÇÃO POR EMPRESAS'!$B$6:$B$1000,'CONTROLE PRODUÇÃO POR EMPRESAS'!$A$6:$A$1000,"&gt;="&amp;$B75,'CONTROLE PRODUÇÃO POR EMPRESAS'!$A$6:$A$1000,"&lt;="&amp;$C75)),IF($E75="IÇAMENTO JOIST",IF((COUNTIFS('CONTROLE PRODUÇÃO POR EMPRESAS'!$A$6:$A$1000,"&gt;="&amp;$B75,'CONTROLE PRODUÇÃO POR EMPRESAS'!$A$6:$A$1000,"&lt;="&amp;$C75,'CONTROLE PRODUÇÃO POR EMPRESAS'!$C$6:$C$1000,"&gt;=0")+COUNTIFS('CONTROLE PRODUÇÃO POR EMPRESAS'!$A$6:$A$1000,"&gt;="&amp;$B75,'CONTROLE PRODUÇÃO POR EMPRESAS'!$A$6:$A$1000,"&lt;="&amp;$C75,'CONTROLE PRODUÇÃO POR EMPRESAS'!$C$6:$C$1000,"?*"))=0,"",SUMIFS('CONTROLE PRODUÇÃO POR EMPRESAS'!$C$6:$C$1000,'CONTROLE PRODUÇÃO POR EMPRESAS'!$A$6:$A$1000,"&gt;="&amp;$B75,'CONTROLE PRODUÇÃO POR EMPRESAS'!$A$6:$A$1000,"&lt;="&amp;$C75)),IF($E75="VIGAS",IF((COUNTIFS('CONTROLE PRODUÇÃO POR EMPRESAS'!$A$6:$A$1000,"&gt;="&amp;$B75,'CONTROLE PRODUÇÃO POR EMPRESAS'!$A$6:$A$1000,"&lt;="&amp;$C75,'CONTROLE PRODUÇÃO POR EMPRESAS'!$D$6:$D$1000,"&gt;=0")+COUNTIFS('CONTROLE PRODUÇÃO POR EMPRESAS'!$A$6:$A$1000,"&gt;="&amp;$B75,'CONTROLE PRODUÇÃO POR EMPRESAS'!$A$6:$A$1000,"&lt;="&amp;$C75,'CONTROLE PRODUÇÃO POR EMPRESAS'!$D$6:$D$1000,"?*"))=0,"",SUMIFS('CONTROLE PRODUÇÃO POR EMPRESAS'!$D$6:$D$1000,'CONTROLE PRODUÇÃO POR EMPRESAS'!$A$6:$A$1000,"&gt;="&amp;$B75,'CONTROLE PRODUÇÃO POR EMPRESAS'!$A$6:$A$1000,"&lt;="&amp;$C75)),""))),IF($D75="CMM",IF($E75="PREMONTAGEM",IF((COUNTIFS('CONTROLE PRODUÇÃO POR EMPRESAS'!$A$6:$A$1000,"&gt;="&amp;$B75,'CONTROLE PRODUÇÃO POR EMPRESAS'!$A$6:$A$1000,"&lt;="&amp;$C75,'CONTROLE PRODUÇÃO POR EMPRESAS'!$E$6:$E$1000,"&gt;=0")+COUNTIFS('CONTROLE PRODUÇÃO POR EMPRESAS'!$A$6:$A$1000,"&gt;="&amp;$B75,'CONTROLE PRODUÇÃO POR EMPRESAS'!$A$6:$A$1000,"&lt;="&amp;$C75,'CONTROLE PRODUÇÃO POR EMPRESAS'!$E$6:$E$1000,"?*"))=0,"",SUMIFS('CONTROLE PRODUÇÃO POR EMPRESAS'!$E$6:$E$1000,'CONTROLE PRODUÇÃO POR EMPRESAS'!$A$6:$A$1000,"&gt;="&amp;$B75,'CONTROLE PRODUÇÃO POR EMPRESAS'!$A$6:$A$1000,"&lt;="&amp;$C75)),IF($E75="IÇAMENTO JOIST",IF((COUNTIFS('CONTROLE PRODUÇÃO POR EMPRESAS'!$A$6:$A$1000,"&gt;="&amp;$B75,'CONTROLE PRODUÇÃO POR EMPRESAS'!$A$6:$A$1000,"&lt;="&amp;$C75,'CONTROLE PRODUÇÃO POR EMPRESAS'!$F$6:$F$1000,"&gt;=0")+COUNTIFS('CONTROLE PRODUÇÃO POR EMPRESAS'!$A$6:$A$1000,"&gt;="&amp;$B75,'CONTROLE PRODUÇÃO POR EMPRESAS'!$A$6:$A$1000,"&lt;="&amp;$C75,'CONTROLE PRODUÇÃO POR EMPRESAS'!$F$6:$F$1000,"?*"))=0,"",SUMIFS('CONTROLE PRODUÇÃO POR EMPRESAS'!$F$6:$F$1000,'CONTROLE PRODUÇÃO POR EMPRESAS'!$A$6:$A$1000,"&gt;="&amp;$B75,'CONTROLE PRODUÇÃO POR EMPRESAS'!$A$6:$A$1000,"&lt;="&amp;$C75)),IF($E75="VIGAS",IF((COUNTIFS('CONTROLE PRODUÇÃO POR EMPRESAS'!$A$6:$A$1000,"&gt;="&amp;$B75,'CONTROLE PRODUÇÃO POR EMPRESAS'!$A$6:$A$1000,"&lt;="&amp;$C75,'CONTROLE PRODUÇÃO POR EMPRESAS'!$G$6:$G$1000,"&gt;=0")+COUNTIFS('CONTROLE PRODUÇÃO POR EMPRESAS'!$A$6:$A$1000,"&gt;="&amp;$B75,'CONTROLE PRODUÇÃO POR EMPRESAS'!$A$6:$A$1000,"&lt;="&amp;$C75,'CONTROLE PRODUÇÃO POR EMPRESAS'!$G$6:$G$1000,"?*"))=0,"",SUMIFS('CONTROLE PRODUÇÃO POR EMPRESAS'!$G$6:$G$1000,'CONTROLE PRODUÇÃO POR EMPRESAS'!$A$6:$A$1000,"&gt;="&amp;$B75,'CONTROLE PRODUÇÃO POR EMPRESAS'!$A$6:$A$1000,"&lt;="&amp;$C75)),""))),"")))</f>
        <v/>
      </c>
      <c r="M75" s="298">
        <f>IF(L75="","",MAX(J75-L75,0))</f>
        <v/>
      </c>
      <c r="N75" s="298">
        <f>IF(L75="","",MAX(L75-J75,0))</f>
        <v/>
      </c>
      <c r="O75" s="299">
        <f>IF(L75="","",IFERROR(L75/J75,""))</f>
        <v/>
      </c>
      <c r="P75" s="298">
        <f>IF(H75="","",SUMIFS($H$6:H75,$D$6:D75,D75,$E$6:E75,E75))</f>
        <v/>
      </c>
      <c r="Q75" s="298">
        <f>IF(L75="","",SUMIFS($L$6:L75,$D$6:D75,D75,$E$6:E75,E75))</f>
        <v/>
      </c>
      <c r="R75" s="298">
        <f>IF(Q75="","",MAX(P75-Q75,0))</f>
        <v/>
      </c>
      <c r="S75" s="108">
        <f>IF(O75="","",IF(O75&gt;=1,"VERDE",IF(O75&gt;=0.9,"AMARELO","VERMELHO")))</f>
        <v/>
      </c>
      <c r="T75" s="109" t="n"/>
      <c r="U75" s="109" t="n"/>
      <c r="V75" s="110" t="n"/>
      <c r="W75" s="302" t="n"/>
    </row>
    <row r="76" ht="15.75" customHeight="1">
      <c r="A76" s="112" t="n">
        <v>12</v>
      </c>
      <c r="B76" s="301" t="n">
        <v>46335</v>
      </c>
      <c r="C76" s="301" t="n">
        <v>46339</v>
      </c>
      <c r="D76" s="114" t="inlineStr">
        <is>
          <t>EJ</t>
        </is>
      </c>
      <c r="E76" s="115" t="inlineStr">
        <is>
          <t>IÇAMENTO JOIST</t>
        </is>
      </c>
      <c r="F76" s="296">
        <f>IF(OR(D76="",E76=""),"",IF(COUNTIFS('METAS EMPRESAS'!$A$5:$A$10,D76,'METAS EMPRESAS'!$B$5:$B$10,E76)=0,"",SUMIFS('METAS EMPRESAS'!$C$5:$C$10,'METAS EMPRESAS'!$A$5:$A$10,D76,'METAS EMPRESAS'!$B$5:$B$10,E76)))</f>
        <v/>
      </c>
      <c r="G76" s="297" t="n">
        <v>5</v>
      </c>
      <c r="H76" s="298">
        <f>IF(F76="","",F76*G76)</f>
        <v/>
      </c>
      <c r="I76" s="298">
        <f>IF(M70="",0,M70)</f>
        <v/>
      </c>
      <c r="J76" s="298">
        <f>IF(H76="","",H76+I76)</f>
        <v/>
      </c>
      <c r="K76" s="298">
        <f>IF(J76="","",J76/G76)</f>
        <v/>
      </c>
      <c r="L76" s="297">
        <f>IF(OR($B76="",$C76="",$D76="",$E76=""),"",IF($D76="EJ",IF($E76="PREMONTAGEM",IF((COUNTIFS('CONTROLE PRODUÇÃO POR EMPRESAS'!$A$6:$A$1000,"&gt;="&amp;$B76,'CONTROLE PRODUÇÃO POR EMPRESAS'!$A$6:$A$1000,"&lt;="&amp;$C76,'CONTROLE PRODUÇÃO POR EMPRESAS'!$B$6:$B$1000,"&gt;=0")+COUNTIFS('CONTROLE PRODUÇÃO POR EMPRESAS'!$A$6:$A$1000,"&gt;="&amp;$B76,'CONTROLE PRODUÇÃO POR EMPRESAS'!$A$6:$A$1000,"&lt;="&amp;$C76,'CONTROLE PRODUÇÃO POR EMPRESAS'!$B$6:$B$1000,"?*"))=0,"",SUMIFS('CONTROLE PRODUÇÃO POR EMPRESAS'!$B$6:$B$1000,'CONTROLE PRODUÇÃO POR EMPRESAS'!$A$6:$A$1000,"&gt;="&amp;$B76,'CONTROLE PRODUÇÃO POR EMPRESAS'!$A$6:$A$1000,"&lt;="&amp;$C76)),IF($E76="IÇAMENTO JOIST",IF((COUNTIFS('CONTROLE PRODUÇÃO POR EMPRESAS'!$A$6:$A$1000,"&gt;="&amp;$B76,'CONTROLE PRODUÇÃO POR EMPRESAS'!$A$6:$A$1000,"&lt;="&amp;$C76,'CONTROLE PRODUÇÃO POR EMPRESAS'!$C$6:$C$1000,"&gt;=0")+COUNTIFS('CONTROLE PRODUÇÃO POR EMPRESAS'!$A$6:$A$1000,"&gt;="&amp;$B76,'CONTROLE PRODUÇÃO POR EMPRESAS'!$A$6:$A$1000,"&lt;="&amp;$C76,'CONTROLE PRODUÇÃO POR EMPRESAS'!$C$6:$C$1000,"?*"))=0,"",SUMIFS('CONTROLE PRODUÇÃO POR EMPRESAS'!$C$6:$C$1000,'CONTROLE PRODUÇÃO POR EMPRESAS'!$A$6:$A$1000,"&gt;="&amp;$B76,'CONTROLE PRODUÇÃO POR EMPRESAS'!$A$6:$A$1000,"&lt;="&amp;$C76)),IF($E76="VIGAS",IF((COUNTIFS('CONTROLE PRODUÇÃO POR EMPRESAS'!$A$6:$A$1000,"&gt;="&amp;$B76,'CONTROLE PRODUÇÃO POR EMPRESAS'!$A$6:$A$1000,"&lt;="&amp;$C76,'CONTROLE PRODUÇÃO POR EMPRESAS'!$D$6:$D$1000,"&gt;=0")+COUNTIFS('CONTROLE PRODUÇÃO POR EMPRESAS'!$A$6:$A$1000,"&gt;="&amp;$B76,'CONTROLE PRODUÇÃO POR EMPRESAS'!$A$6:$A$1000,"&lt;="&amp;$C76,'CONTROLE PRODUÇÃO POR EMPRESAS'!$D$6:$D$1000,"?*"))=0,"",SUMIFS('CONTROLE PRODUÇÃO POR EMPRESAS'!$D$6:$D$1000,'CONTROLE PRODUÇÃO POR EMPRESAS'!$A$6:$A$1000,"&gt;="&amp;$B76,'CONTROLE PRODUÇÃO POR EMPRESAS'!$A$6:$A$1000,"&lt;="&amp;$C76)),""))),IF($D76="CMM",IF($E76="PREMONTAGEM",IF((COUNTIFS('CONTROLE PRODUÇÃO POR EMPRESAS'!$A$6:$A$1000,"&gt;="&amp;$B76,'CONTROLE PRODUÇÃO POR EMPRESAS'!$A$6:$A$1000,"&lt;="&amp;$C76,'CONTROLE PRODUÇÃO POR EMPRESAS'!$E$6:$E$1000,"&gt;=0")+COUNTIFS('CONTROLE PRODUÇÃO POR EMPRESAS'!$A$6:$A$1000,"&gt;="&amp;$B76,'CONTROLE PRODUÇÃO POR EMPRESAS'!$A$6:$A$1000,"&lt;="&amp;$C76,'CONTROLE PRODUÇÃO POR EMPRESAS'!$E$6:$E$1000,"?*"))=0,"",SUMIFS('CONTROLE PRODUÇÃO POR EMPRESAS'!$E$6:$E$1000,'CONTROLE PRODUÇÃO POR EMPRESAS'!$A$6:$A$1000,"&gt;="&amp;$B76,'CONTROLE PRODUÇÃO POR EMPRESAS'!$A$6:$A$1000,"&lt;="&amp;$C76)),IF($E76="IÇAMENTO JOIST",IF((COUNTIFS('CONTROLE PRODUÇÃO POR EMPRESAS'!$A$6:$A$1000,"&gt;="&amp;$B76,'CONTROLE PRODUÇÃO POR EMPRESAS'!$A$6:$A$1000,"&lt;="&amp;$C76,'CONTROLE PRODUÇÃO POR EMPRESAS'!$F$6:$F$1000,"&gt;=0")+COUNTIFS('CONTROLE PRODUÇÃO POR EMPRESAS'!$A$6:$A$1000,"&gt;="&amp;$B76,'CONTROLE PRODUÇÃO POR EMPRESAS'!$A$6:$A$1000,"&lt;="&amp;$C76,'CONTROLE PRODUÇÃO POR EMPRESAS'!$F$6:$F$1000,"?*"))=0,"",SUMIFS('CONTROLE PRODUÇÃO POR EMPRESAS'!$F$6:$F$1000,'CONTROLE PRODUÇÃO POR EMPRESAS'!$A$6:$A$1000,"&gt;="&amp;$B76,'CONTROLE PRODUÇÃO POR EMPRESAS'!$A$6:$A$1000,"&lt;="&amp;$C76)),IF($E76="VIGAS",IF((COUNTIFS('CONTROLE PRODUÇÃO POR EMPRESAS'!$A$6:$A$1000,"&gt;="&amp;$B76,'CONTROLE PRODUÇÃO POR EMPRESAS'!$A$6:$A$1000,"&lt;="&amp;$C76,'CONTROLE PRODUÇÃO POR EMPRESAS'!$G$6:$G$1000,"&gt;=0")+COUNTIFS('CONTROLE PRODUÇÃO POR EMPRESAS'!$A$6:$A$1000,"&gt;="&amp;$B76,'CONTROLE PRODUÇÃO POR EMPRESAS'!$A$6:$A$1000,"&lt;="&amp;$C76,'CONTROLE PRODUÇÃO POR EMPRESAS'!$G$6:$G$1000,"?*"))=0,"",SUMIFS('CONTROLE PRODUÇÃO POR EMPRESAS'!$G$6:$G$1000,'CONTROLE PRODUÇÃO POR EMPRESAS'!$A$6:$A$1000,"&gt;="&amp;$B76,'CONTROLE PRODUÇÃO POR EMPRESAS'!$A$6:$A$1000,"&lt;="&amp;$C76)),""))),"")))</f>
        <v/>
      </c>
      <c r="M76" s="298">
        <f>IF(L76="","",MAX(J76-L76,0))</f>
        <v/>
      </c>
      <c r="N76" s="298">
        <f>IF(L76="","",MAX(L76-J76,0))</f>
        <v/>
      </c>
      <c r="O76" s="299">
        <f>IF(L76="","",IFERROR(L76/J76,""))</f>
        <v/>
      </c>
      <c r="P76" s="298">
        <f>IF(H76="","",SUMIFS($H$6:H76,$D$6:D76,D76,$E$6:E76,E76))</f>
        <v/>
      </c>
      <c r="Q76" s="298">
        <f>IF(L76="","",SUMIFS($L$6:L76,$D$6:D76,D76,$E$6:E76,E76))</f>
        <v/>
      </c>
      <c r="R76" s="298">
        <f>IF(Q76="","",MAX(P76-Q76,0))</f>
        <v/>
      </c>
      <c r="S76" s="108">
        <f>IF(O76="","",IF(O76&gt;=1,"VERDE",IF(O76&gt;=0.9,"AMARELO","VERMELHO")))</f>
        <v/>
      </c>
      <c r="T76" s="109" t="n"/>
      <c r="U76" s="109" t="n"/>
      <c r="V76" s="110" t="n"/>
      <c r="W76" s="302" t="n"/>
    </row>
    <row r="77" ht="15.75" customHeight="1">
      <c r="A77" s="117" t="n">
        <v>12</v>
      </c>
      <c r="B77" s="295" t="n">
        <v>46335</v>
      </c>
      <c r="C77" s="295" t="n">
        <v>46339</v>
      </c>
      <c r="D77" s="101" t="inlineStr">
        <is>
          <t>EJ</t>
        </is>
      </c>
      <c r="E77" s="103" t="inlineStr">
        <is>
          <t>VIGAS</t>
        </is>
      </c>
      <c r="F77" s="296">
        <f>IF(OR(D77="",E77=""),"",IF(COUNTIFS('METAS EMPRESAS'!$A$5:$A$10,D77,'METAS EMPRESAS'!$B$5:$B$10,E77)=0,"",SUMIFS('METAS EMPRESAS'!$C$5:$C$10,'METAS EMPRESAS'!$A$5:$A$10,D77,'METAS EMPRESAS'!$B$5:$B$10,E77)))</f>
        <v/>
      </c>
      <c r="G77" s="297" t="n">
        <v>5</v>
      </c>
      <c r="H77" s="298">
        <f>IF(F77="","",F77*G77)</f>
        <v/>
      </c>
      <c r="I77" s="298">
        <f>IF(M71="",0,M71)</f>
        <v/>
      </c>
      <c r="J77" s="298">
        <f>IF(H77="","",H77+I77)</f>
        <v/>
      </c>
      <c r="K77" s="298">
        <f>IF(J77="","",J77/G77)</f>
        <v/>
      </c>
      <c r="L77" s="297">
        <f>IF(OR($B77="",$C77="",$D77="",$E77=""),"",IF($D77="EJ",IF($E77="PREMONTAGEM",IF((COUNTIFS('CONTROLE PRODUÇÃO POR EMPRESAS'!$A$6:$A$1000,"&gt;="&amp;$B77,'CONTROLE PRODUÇÃO POR EMPRESAS'!$A$6:$A$1000,"&lt;="&amp;$C77,'CONTROLE PRODUÇÃO POR EMPRESAS'!$B$6:$B$1000,"&gt;=0")+COUNTIFS('CONTROLE PRODUÇÃO POR EMPRESAS'!$A$6:$A$1000,"&gt;="&amp;$B77,'CONTROLE PRODUÇÃO POR EMPRESAS'!$A$6:$A$1000,"&lt;="&amp;$C77,'CONTROLE PRODUÇÃO POR EMPRESAS'!$B$6:$B$1000,"?*"))=0,"",SUMIFS('CONTROLE PRODUÇÃO POR EMPRESAS'!$B$6:$B$1000,'CONTROLE PRODUÇÃO POR EMPRESAS'!$A$6:$A$1000,"&gt;="&amp;$B77,'CONTROLE PRODUÇÃO POR EMPRESAS'!$A$6:$A$1000,"&lt;="&amp;$C77)),IF($E77="IÇAMENTO JOIST",IF((COUNTIFS('CONTROLE PRODUÇÃO POR EMPRESAS'!$A$6:$A$1000,"&gt;="&amp;$B77,'CONTROLE PRODUÇÃO POR EMPRESAS'!$A$6:$A$1000,"&lt;="&amp;$C77,'CONTROLE PRODUÇÃO POR EMPRESAS'!$C$6:$C$1000,"&gt;=0")+COUNTIFS('CONTROLE PRODUÇÃO POR EMPRESAS'!$A$6:$A$1000,"&gt;="&amp;$B77,'CONTROLE PRODUÇÃO POR EMPRESAS'!$A$6:$A$1000,"&lt;="&amp;$C77,'CONTROLE PRODUÇÃO POR EMPRESAS'!$C$6:$C$1000,"?*"))=0,"",SUMIFS('CONTROLE PRODUÇÃO POR EMPRESAS'!$C$6:$C$1000,'CONTROLE PRODUÇÃO POR EMPRESAS'!$A$6:$A$1000,"&gt;="&amp;$B77,'CONTROLE PRODUÇÃO POR EMPRESAS'!$A$6:$A$1000,"&lt;="&amp;$C77)),IF($E77="VIGAS",IF((COUNTIFS('CONTROLE PRODUÇÃO POR EMPRESAS'!$A$6:$A$1000,"&gt;="&amp;$B77,'CONTROLE PRODUÇÃO POR EMPRESAS'!$A$6:$A$1000,"&lt;="&amp;$C77,'CONTROLE PRODUÇÃO POR EMPRESAS'!$D$6:$D$1000,"&gt;=0")+COUNTIFS('CONTROLE PRODUÇÃO POR EMPRESAS'!$A$6:$A$1000,"&gt;="&amp;$B77,'CONTROLE PRODUÇÃO POR EMPRESAS'!$A$6:$A$1000,"&lt;="&amp;$C77,'CONTROLE PRODUÇÃO POR EMPRESAS'!$D$6:$D$1000,"?*"))=0,"",SUMIFS('CONTROLE PRODUÇÃO POR EMPRESAS'!$D$6:$D$1000,'CONTROLE PRODUÇÃO POR EMPRESAS'!$A$6:$A$1000,"&gt;="&amp;$B77,'CONTROLE PRODUÇÃO POR EMPRESAS'!$A$6:$A$1000,"&lt;="&amp;$C77)),""))),IF($D77="CMM",IF($E77="PREMONTAGEM",IF((COUNTIFS('CONTROLE PRODUÇÃO POR EMPRESAS'!$A$6:$A$1000,"&gt;="&amp;$B77,'CONTROLE PRODUÇÃO POR EMPRESAS'!$A$6:$A$1000,"&lt;="&amp;$C77,'CONTROLE PRODUÇÃO POR EMPRESAS'!$E$6:$E$1000,"&gt;=0")+COUNTIFS('CONTROLE PRODUÇÃO POR EMPRESAS'!$A$6:$A$1000,"&gt;="&amp;$B77,'CONTROLE PRODUÇÃO POR EMPRESAS'!$A$6:$A$1000,"&lt;="&amp;$C77,'CONTROLE PRODUÇÃO POR EMPRESAS'!$E$6:$E$1000,"?*"))=0,"",SUMIFS('CONTROLE PRODUÇÃO POR EMPRESAS'!$E$6:$E$1000,'CONTROLE PRODUÇÃO POR EMPRESAS'!$A$6:$A$1000,"&gt;="&amp;$B77,'CONTROLE PRODUÇÃO POR EMPRESAS'!$A$6:$A$1000,"&lt;="&amp;$C77)),IF($E77="IÇAMENTO JOIST",IF((COUNTIFS('CONTROLE PRODUÇÃO POR EMPRESAS'!$A$6:$A$1000,"&gt;="&amp;$B77,'CONTROLE PRODUÇÃO POR EMPRESAS'!$A$6:$A$1000,"&lt;="&amp;$C77,'CONTROLE PRODUÇÃO POR EMPRESAS'!$F$6:$F$1000,"&gt;=0")+COUNTIFS('CONTROLE PRODUÇÃO POR EMPRESAS'!$A$6:$A$1000,"&gt;="&amp;$B77,'CONTROLE PRODUÇÃO POR EMPRESAS'!$A$6:$A$1000,"&lt;="&amp;$C77,'CONTROLE PRODUÇÃO POR EMPRESAS'!$F$6:$F$1000,"?*"))=0,"",SUMIFS('CONTROLE PRODUÇÃO POR EMPRESAS'!$F$6:$F$1000,'CONTROLE PRODUÇÃO POR EMPRESAS'!$A$6:$A$1000,"&gt;="&amp;$B77,'CONTROLE PRODUÇÃO POR EMPRESAS'!$A$6:$A$1000,"&lt;="&amp;$C77)),IF($E77="VIGAS",IF((COUNTIFS('CONTROLE PRODUÇÃO POR EMPRESAS'!$A$6:$A$1000,"&gt;="&amp;$B77,'CONTROLE PRODUÇÃO POR EMPRESAS'!$A$6:$A$1000,"&lt;="&amp;$C77,'CONTROLE PRODUÇÃO POR EMPRESAS'!$G$6:$G$1000,"&gt;=0")+COUNTIFS('CONTROLE PRODUÇÃO POR EMPRESAS'!$A$6:$A$1000,"&gt;="&amp;$B77,'CONTROLE PRODUÇÃO POR EMPRESAS'!$A$6:$A$1000,"&lt;="&amp;$C77,'CONTROLE PRODUÇÃO POR EMPRESAS'!$G$6:$G$1000,"?*"))=0,"",SUMIFS('CONTROLE PRODUÇÃO POR EMPRESAS'!$G$6:$G$1000,'CONTROLE PRODUÇÃO POR EMPRESAS'!$A$6:$A$1000,"&gt;="&amp;$B77,'CONTROLE PRODUÇÃO POR EMPRESAS'!$A$6:$A$1000,"&lt;="&amp;$C77)),""))),"")))</f>
        <v/>
      </c>
      <c r="M77" s="298">
        <f>IF(L77="","",MAX(J77-L77,0))</f>
        <v/>
      </c>
      <c r="N77" s="298">
        <f>IF(L77="","",MAX(L77-J77,0))</f>
        <v/>
      </c>
      <c r="O77" s="299">
        <f>IF(L77="","",IFERROR(L77/J77,""))</f>
        <v/>
      </c>
      <c r="P77" s="298">
        <f>IF(H77="","",SUMIFS($H$6:H77,$D$6:D77,D77,$E$6:E77,E77))</f>
        <v/>
      </c>
      <c r="Q77" s="298">
        <f>IF(L77="","",SUMIFS($L$6:L77,$D$6:D77,D77,$E$6:E77,E77))</f>
        <v/>
      </c>
      <c r="R77" s="298">
        <f>IF(Q77="","",MAX(P77-Q77,0))</f>
        <v/>
      </c>
      <c r="S77" s="108">
        <f>IF(O77="","",IF(O77&gt;=1,"VERDE",IF(O77&gt;=0.9,"AMARELO","VERMELHO")))</f>
        <v/>
      </c>
      <c r="T77" s="109" t="n"/>
      <c r="U77" s="109" t="n"/>
      <c r="V77" s="110" t="n"/>
      <c r="W77" s="302" t="n"/>
    </row>
    <row r="78" ht="15.75" customHeight="1">
      <c r="A78" s="112" t="n">
        <v>13</v>
      </c>
      <c r="B78" s="301" t="n">
        <v>46342</v>
      </c>
      <c r="C78" s="301" t="n">
        <v>46346</v>
      </c>
      <c r="D78" s="114" t="inlineStr">
        <is>
          <t>CMM</t>
        </is>
      </c>
      <c r="E78" s="115" t="inlineStr">
        <is>
          <t>PREMONTAGEM</t>
        </is>
      </c>
      <c r="F78" s="296">
        <f>IF(OR(D78="",E78=""),"",IF(COUNTIFS('METAS EMPRESAS'!$A$5:$A$10,D78,'METAS EMPRESAS'!$B$5:$B$10,E78)=0,"",SUMIFS('METAS EMPRESAS'!$C$5:$C$10,'METAS EMPRESAS'!$A$5:$A$10,D78,'METAS EMPRESAS'!$B$5:$B$10,E78)))</f>
        <v/>
      </c>
      <c r="G78" s="297" t="n">
        <v>5</v>
      </c>
      <c r="H78" s="298">
        <f>IF(F78="","",F78*G78)</f>
        <v/>
      </c>
      <c r="I78" s="298">
        <f>IF(M72="",0,M72)</f>
        <v/>
      </c>
      <c r="J78" s="298">
        <f>IF(H78="","",H78+I78)</f>
        <v/>
      </c>
      <c r="K78" s="298">
        <f>IF(J78="","",J78/G78)</f>
        <v/>
      </c>
      <c r="L78" s="297">
        <f>IF(OR($B78="",$C78="",$D78="",$E78=""),"",IF($D78="EJ",IF($E78="PREMONTAGEM",IF((COUNTIFS('CONTROLE PRODUÇÃO POR EMPRESAS'!$A$6:$A$1000,"&gt;="&amp;$B78,'CONTROLE PRODUÇÃO POR EMPRESAS'!$A$6:$A$1000,"&lt;="&amp;$C78,'CONTROLE PRODUÇÃO POR EMPRESAS'!$B$6:$B$1000,"&gt;=0")+COUNTIFS('CONTROLE PRODUÇÃO POR EMPRESAS'!$A$6:$A$1000,"&gt;="&amp;$B78,'CONTROLE PRODUÇÃO POR EMPRESAS'!$A$6:$A$1000,"&lt;="&amp;$C78,'CONTROLE PRODUÇÃO POR EMPRESAS'!$B$6:$B$1000,"?*"))=0,"",SUMIFS('CONTROLE PRODUÇÃO POR EMPRESAS'!$B$6:$B$1000,'CONTROLE PRODUÇÃO POR EMPRESAS'!$A$6:$A$1000,"&gt;="&amp;$B78,'CONTROLE PRODUÇÃO POR EMPRESAS'!$A$6:$A$1000,"&lt;="&amp;$C78)),IF($E78="IÇAMENTO JOIST",IF((COUNTIFS('CONTROLE PRODUÇÃO POR EMPRESAS'!$A$6:$A$1000,"&gt;="&amp;$B78,'CONTROLE PRODUÇÃO POR EMPRESAS'!$A$6:$A$1000,"&lt;="&amp;$C78,'CONTROLE PRODUÇÃO POR EMPRESAS'!$C$6:$C$1000,"&gt;=0")+COUNTIFS('CONTROLE PRODUÇÃO POR EMPRESAS'!$A$6:$A$1000,"&gt;="&amp;$B78,'CONTROLE PRODUÇÃO POR EMPRESAS'!$A$6:$A$1000,"&lt;="&amp;$C78,'CONTROLE PRODUÇÃO POR EMPRESAS'!$C$6:$C$1000,"?*"))=0,"",SUMIFS('CONTROLE PRODUÇÃO POR EMPRESAS'!$C$6:$C$1000,'CONTROLE PRODUÇÃO POR EMPRESAS'!$A$6:$A$1000,"&gt;="&amp;$B78,'CONTROLE PRODUÇÃO POR EMPRESAS'!$A$6:$A$1000,"&lt;="&amp;$C78)),IF($E78="VIGAS",IF((COUNTIFS('CONTROLE PRODUÇÃO POR EMPRESAS'!$A$6:$A$1000,"&gt;="&amp;$B78,'CONTROLE PRODUÇÃO POR EMPRESAS'!$A$6:$A$1000,"&lt;="&amp;$C78,'CONTROLE PRODUÇÃO POR EMPRESAS'!$D$6:$D$1000,"&gt;=0")+COUNTIFS('CONTROLE PRODUÇÃO POR EMPRESAS'!$A$6:$A$1000,"&gt;="&amp;$B78,'CONTROLE PRODUÇÃO POR EMPRESAS'!$A$6:$A$1000,"&lt;="&amp;$C78,'CONTROLE PRODUÇÃO POR EMPRESAS'!$D$6:$D$1000,"?*"))=0,"",SUMIFS('CONTROLE PRODUÇÃO POR EMPRESAS'!$D$6:$D$1000,'CONTROLE PRODUÇÃO POR EMPRESAS'!$A$6:$A$1000,"&gt;="&amp;$B78,'CONTROLE PRODUÇÃO POR EMPRESAS'!$A$6:$A$1000,"&lt;="&amp;$C78)),""))),IF($D78="CMM",IF($E78="PREMONTAGEM",IF((COUNTIFS('CONTROLE PRODUÇÃO POR EMPRESAS'!$A$6:$A$1000,"&gt;="&amp;$B78,'CONTROLE PRODUÇÃO POR EMPRESAS'!$A$6:$A$1000,"&lt;="&amp;$C78,'CONTROLE PRODUÇÃO POR EMPRESAS'!$E$6:$E$1000,"&gt;=0")+COUNTIFS('CONTROLE PRODUÇÃO POR EMPRESAS'!$A$6:$A$1000,"&gt;="&amp;$B78,'CONTROLE PRODUÇÃO POR EMPRESAS'!$A$6:$A$1000,"&lt;="&amp;$C78,'CONTROLE PRODUÇÃO POR EMPRESAS'!$E$6:$E$1000,"?*"))=0,"",SUMIFS('CONTROLE PRODUÇÃO POR EMPRESAS'!$E$6:$E$1000,'CONTROLE PRODUÇÃO POR EMPRESAS'!$A$6:$A$1000,"&gt;="&amp;$B78,'CONTROLE PRODUÇÃO POR EMPRESAS'!$A$6:$A$1000,"&lt;="&amp;$C78)),IF($E78="IÇAMENTO JOIST",IF((COUNTIFS('CONTROLE PRODUÇÃO POR EMPRESAS'!$A$6:$A$1000,"&gt;="&amp;$B78,'CONTROLE PRODUÇÃO POR EMPRESAS'!$A$6:$A$1000,"&lt;="&amp;$C78,'CONTROLE PRODUÇÃO POR EMPRESAS'!$F$6:$F$1000,"&gt;=0")+COUNTIFS('CONTROLE PRODUÇÃO POR EMPRESAS'!$A$6:$A$1000,"&gt;="&amp;$B78,'CONTROLE PRODUÇÃO POR EMPRESAS'!$A$6:$A$1000,"&lt;="&amp;$C78,'CONTROLE PRODUÇÃO POR EMPRESAS'!$F$6:$F$1000,"?*"))=0,"",SUMIFS('CONTROLE PRODUÇÃO POR EMPRESAS'!$F$6:$F$1000,'CONTROLE PRODUÇÃO POR EMPRESAS'!$A$6:$A$1000,"&gt;="&amp;$B78,'CONTROLE PRODUÇÃO POR EMPRESAS'!$A$6:$A$1000,"&lt;="&amp;$C78)),IF($E78="VIGAS",IF((COUNTIFS('CONTROLE PRODUÇÃO POR EMPRESAS'!$A$6:$A$1000,"&gt;="&amp;$B78,'CONTROLE PRODUÇÃO POR EMPRESAS'!$A$6:$A$1000,"&lt;="&amp;$C78,'CONTROLE PRODUÇÃO POR EMPRESAS'!$G$6:$G$1000,"&gt;=0")+COUNTIFS('CONTROLE PRODUÇÃO POR EMPRESAS'!$A$6:$A$1000,"&gt;="&amp;$B78,'CONTROLE PRODUÇÃO POR EMPRESAS'!$A$6:$A$1000,"&lt;="&amp;$C78,'CONTROLE PRODUÇÃO POR EMPRESAS'!$G$6:$G$1000,"?*"))=0,"",SUMIFS('CONTROLE PRODUÇÃO POR EMPRESAS'!$G$6:$G$1000,'CONTROLE PRODUÇÃO POR EMPRESAS'!$A$6:$A$1000,"&gt;="&amp;$B78,'CONTROLE PRODUÇÃO POR EMPRESAS'!$A$6:$A$1000,"&lt;="&amp;$C78)),""))),"")))</f>
        <v/>
      </c>
      <c r="M78" s="298">
        <f>IF(L78="","",MAX(J78-L78,0))</f>
        <v/>
      </c>
      <c r="N78" s="298">
        <f>IF(L78="","",MAX(L78-J78,0))</f>
        <v/>
      </c>
      <c r="O78" s="299">
        <f>IF(L78="","",IFERROR(L78/J78,""))</f>
        <v/>
      </c>
      <c r="P78" s="298">
        <f>IF(H78="","",SUMIFS($H$6:H78,$D$6:D78,D78,$E$6:E78,E78))</f>
        <v/>
      </c>
      <c r="Q78" s="298">
        <f>IF(L78="","",SUMIFS($L$6:L78,$D$6:D78,D78,$E$6:E78,E78))</f>
        <v/>
      </c>
      <c r="R78" s="298">
        <f>IF(Q78="","",MAX(P78-Q78,0))</f>
        <v/>
      </c>
      <c r="S78" s="108">
        <f>IF(O78="","",IF(O78&gt;=1,"VERDE",IF(O78&gt;=0.9,"AMARELO","VERMELHO")))</f>
        <v/>
      </c>
      <c r="T78" s="109" t="n"/>
      <c r="U78" s="109" t="n"/>
      <c r="V78" s="110" t="n"/>
      <c r="W78" s="302" t="n"/>
    </row>
    <row r="79" ht="15.75" customHeight="1">
      <c r="A79" s="117" t="n">
        <v>13</v>
      </c>
      <c r="B79" s="295" t="n">
        <v>46342</v>
      </c>
      <c r="C79" s="295" t="n">
        <v>46346</v>
      </c>
      <c r="D79" s="101" t="inlineStr">
        <is>
          <t>CMM</t>
        </is>
      </c>
      <c r="E79" s="103" t="inlineStr">
        <is>
          <t>IÇAMENTO JOIST</t>
        </is>
      </c>
      <c r="F79" s="296">
        <f>IF(OR(D79="",E79=""),"",IF(COUNTIFS('METAS EMPRESAS'!$A$5:$A$10,D79,'METAS EMPRESAS'!$B$5:$B$10,E79)=0,"",SUMIFS('METAS EMPRESAS'!$C$5:$C$10,'METAS EMPRESAS'!$A$5:$A$10,D79,'METAS EMPRESAS'!$B$5:$B$10,E79)))</f>
        <v/>
      </c>
      <c r="G79" s="297" t="n">
        <v>5</v>
      </c>
      <c r="H79" s="298">
        <f>IF(F79="","",F79*G79)</f>
        <v/>
      </c>
      <c r="I79" s="298">
        <f>IF(M73="",0,M73)</f>
        <v/>
      </c>
      <c r="J79" s="298">
        <f>IF(H79="","",H79+I79)</f>
        <v/>
      </c>
      <c r="K79" s="298">
        <f>IF(J79="","",J79/G79)</f>
        <v/>
      </c>
      <c r="L79" s="297">
        <f>IF(OR($B79="",$C79="",$D79="",$E79=""),"",IF($D79="EJ",IF($E79="PREMONTAGEM",IF((COUNTIFS('CONTROLE PRODUÇÃO POR EMPRESAS'!$A$6:$A$1000,"&gt;="&amp;$B79,'CONTROLE PRODUÇÃO POR EMPRESAS'!$A$6:$A$1000,"&lt;="&amp;$C79,'CONTROLE PRODUÇÃO POR EMPRESAS'!$B$6:$B$1000,"&gt;=0")+COUNTIFS('CONTROLE PRODUÇÃO POR EMPRESAS'!$A$6:$A$1000,"&gt;="&amp;$B79,'CONTROLE PRODUÇÃO POR EMPRESAS'!$A$6:$A$1000,"&lt;="&amp;$C79,'CONTROLE PRODUÇÃO POR EMPRESAS'!$B$6:$B$1000,"?*"))=0,"",SUMIFS('CONTROLE PRODUÇÃO POR EMPRESAS'!$B$6:$B$1000,'CONTROLE PRODUÇÃO POR EMPRESAS'!$A$6:$A$1000,"&gt;="&amp;$B79,'CONTROLE PRODUÇÃO POR EMPRESAS'!$A$6:$A$1000,"&lt;="&amp;$C79)),IF($E79="IÇAMENTO JOIST",IF((COUNTIFS('CONTROLE PRODUÇÃO POR EMPRESAS'!$A$6:$A$1000,"&gt;="&amp;$B79,'CONTROLE PRODUÇÃO POR EMPRESAS'!$A$6:$A$1000,"&lt;="&amp;$C79,'CONTROLE PRODUÇÃO POR EMPRESAS'!$C$6:$C$1000,"&gt;=0")+COUNTIFS('CONTROLE PRODUÇÃO POR EMPRESAS'!$A$6:$A$1000,"&gt;="&amp;$B79,'CONTROLE PRODUÇÃO POR EMPRESAS'!$A$6:$A$1000,"&lt;="&amp;$C79,'CONTROLE PRODUÇÃO POR EMPRESAS'!$C$6:$C$1000,"?*"))=0,"",SUMIFS('CONTROLE PRODUÇÃO POR EMPRESAS'!$C$6:$C$1000,'CONTROLE PRODUÇÃO POR EMPRESAS'!$A$6:$A$1000,"&gt;="&amp;$B79,'CONTROLE PRODUÇÃO POR EMPRESAS'!$A$6:$A$1000,"&lt;="&amp;$C79)),IF($E79="VIGAS",IF((COUNTIFS('CONTROLE PRODUÇÃO POR EMPRESAS'!$A$6:$A$1000,"&gt;="&amp;$B79,'CONTROLE PRODUÇÃO POR EMPRESAS'!$A$6:$A$1000,"&lt;="&amp;$C79,'CONTROLE PRODUÇÃO POR EMPRESAS'!$D$6:$D$1000,"&gt;=0")+COUNTIFS('CONTROLE PRODUÇÃO POR EMPRESAS'!$A$6:$A$1000,"&gt;="&amp;$B79,'CONTROLE PRODUÇÃO POR EMPRESAS'!$A$6:$A$1000,"&lt;="&amp;$C79,'CONTROLE PRODUÇÃO POR EMPRESAS'!$D$6:$D$1000,"?*"))=0,"",SUMIFS('CONTROLE PRODUÇÃO POR EMPRESAS'!$D$6:$D$1000,'CONTROLE PRODUÇÃO POR EMPRESAS'!$A$6:$A$1000,"&gt;="&amp;$B79,'CONTROLE PRODUÇÃO POR EMPRESAS'!$A$6:$A$1000,"&lt;="&amp;$C79)),""))),IF($D79="CMM",IF($E79="PREMONTAGEM",IF((COUNTIFS('CONTROLE PRODUÇÃO POR EMPRESAS'!$A$6:$A$1000,"&gt;="&amp;$B79,'CONTROLE PRODUÇÃO POR EMPRESAS'!$A$6:$A$1000,"&lt;="&amp;$C79,'CONTROLE PRODUÇÃO POR EMPRESAS'!$E$6:$E$1000,"&gt;=0")+COUNTIFS('CONTROLE PRODUÇÃO POR EMPRESAS'!$A$6:$A$1000,"&gt;="&amp;$B79,'CONTROLE PRODUÇÃO POR EMPRESAS'!$A$6:$A$1000,"&lt;="&amp;$C79,'CONTROLE PRODUÇÃO POR EMPRESAS'!$E$6:$E$1000,"?*"))=0,"",SUMIFS('CONTROLE PRODUÇÃO POR EMPRESAS'!$E$6:$E$1000,'CONTROLE PRODUÇÃO POR EMPRESAS'!$A$6:$A$1000,"&gt;="&amp;$B79,'CONTROLE PRODUÇÃO POR EMPRESAS'!$A$6:$A$1000,"&lt;="&amp;$C79)),IF($E79="IÇAMENTO JOIST",IF((COUNTIFS('CONTROLE PRODUÇÃO POR EMPRESAS'!$A$6:$A$1000,"&gt;="&amp;$B79,'CONTROLE PRODUÇÃO POR EMPRESAS'!$A$6:$A$1000,"&lt;="&amp;$C79,'CONTROLE PRODUÇÃO POR EMPRESAS'!$F$6:$F$1000,"&gt;=0")+COUNTIFS('CONTROLE PRODUÇÃO POR EMPRESAS'!$A$6:$A$1000,"&gt;="&amp;$B79,'CONTROLE PRODUÇÃO POR EMPRESAS'!$A$6:$A$1000,"&lt;="&amp;$C79,'CONTROLE PRODUÇÃO POR EMPRESAS'!$F$6:$F$1000,"?*"))=0,"",SUMIFS('CONTROLE PRODUÇÃO POR EMPRESAS'!$F$6:$F$1000,'CONTROLE PRODUÇÃO POR EMPRESAS'!$A$6:$A$1000,"&gt;="&amp;$B79,'CONTROLE PRODUÇÃO POR EMPRESAS'!$A$6:$A$1000,"&lt;="&amp;$C79)),IF($E79="VIGAS",IF((COUNTIFS('CONTROLE PRODUÇÃO POR EMPRESAS'!$A$6:$A$1000,"&gt;="&amp;$B79,'CONTROLE PRODUÇÃO POR EMPRESAS'!$A$6:$A$1000,"&lt;="&amp;$C79,'CONTROLE PRODUÇÃO POR EMPRESAS'!$G$6:$G$1000,"&gt;=0")+COUNTIFS('CONTROLE PRODUÇÃO POR EMPRESAS'!$A$6:$A$1000,"&gt;="&amp;$B79,'CONTROLE PRODUÇÃO POR EMPRESAS'!$A$6:$A$1000,"&lt;="&amp;$C79,'CONTROLE PRODUÇÃO POR EMPRESAS'!$G$6:$G$1000,"?*"))=0,"",SUMIFS('CONTROLE PRODUÇÃO POR EMPRESAS'!$G$6:$G$1000,'CONTROLE PRODUÇÃO POR EMPRESAS'!$A$6:$A$1000,"&gt;="&amp;$B79,'CONTROLE PRODUÇÃO POR EMPRESAS'!$A$6:$A$1000,"&lt;="&amp;$C79)),""))),"")))</f>
        <v/>
      </c>
      <c r="M79" s="298">
        <f>IF(L79="","",MAX(J79-L79,0))</f>
        <v/>
      </c>
      <c r="N79" s="298">
        <f>IF(L79="","",MAX(L79-J79,0))</f>
        <v/>
      </c>
      <c r="O79" s="299">
        <f>IF(L79="","",IFERROR(L79/J79,""))</f>
        <v/>
      </c>
      <c r="P79" s="298">
        <f>IF(H79="","",SUMIFS($H$6:H79,$D$6:D79,D79,$E$6:E79,E79))</f>
        <v/>
      </c>
      <c r="Q79" s="298">
        <f>IF(L79="","",SUMIFS($L$6:L79,$D$6:D79,D79,$E$6:E79,E79))</f>
        <v/>
      </c>
      <c r="R79" s="298">
        <f>IF(Q79="","",MAX(P79-Q79,0))</f>
        <v/>
      </c>
      <c r="S79" s="108">
        <f>IF(O79="","",IF(O79&gt;=1,"VERDE",IF(O79&gt;=0.9,"AMARELO","VERMELHO")))</f>
        <v/>
      </c>
      <c r="T79" s="109" t="n"/>
      <c r="U79" s="109" t="n"/>
      <c r="V79" s="110" t="n"/>
      <c r="W79" s="302" t="n"/>
    </row>
    <row r="80" ht="15.75" customHeight="1">
      <c r="A80" s="112" t="n">
        <v>13</v>
      </c>
      <c r="B80" s="301" t="n">
        <v>46342</v>
      </c>
      <c r="C80" s="301" t="n">
        <v>46346</v>
      </c>
      <c r="D80" s="114" t="inlineStr">
        <is>
          <t>CMM</t>
        </is>
      </c>
      <c r="E80" s="115" t="inlineStr">
        <is>
          <t>VIGAS</t>
        </is>
      </c>
      <c r="F80" s="296">
        <f>IF(OR(D80="",E80=""),"",IF(COUNTIFS('METAS EMPRESAS'!$A$5:$A$10,D80,'METAS EMPRESAS'!$B$5:$B$10,E80)=0,"",SUMIFS('METAS EMPRESAS'!$C$5:$C$10,'METAS EMPRESAS'!$A$5:$A$10,D80,'METAS EMPRESAS'!$B$5:$B$10,E80)))</f>
        <v/>
      </c>
      <c r="G80" s="297" t="n">
        <v>5</v>
      </c>
      <c r="H80" s="298">
        <f>IF(F80="","",F80*G80)</f>
        <v/>
      </c>
      <c r="I80" s="298">
        <f>IF(M74="",0,M74)</f>
        <v/>
      </c>
      <c r="J80" s="298">
        <f>IF(H80="","",H80+I80)</f>
        <v/>
      </c>
      <c r="K80" s="298">
        <f>IF(J80="","",J80/G80)</f>
        <v/>
      </c>
      <c r="L80" s="297">
        <f>IF(OR($B80="",$C80="",$D80="",$E80=""),"",IF($D80="EJ",IF($E80="PREMONTAGEM",IF((COUNTIFS('CONTROLE PRODUÇÃO POR EMPRESAS'!$A$6:$A$1000,"&gt;="&amp;$B80,'CONTROLE PRODUÇÃO POR EMPRESAS'!$A$6:$A$1000,"&lt;="&amp;$C80,'CONTROLE PRODUÇÃO POR EMPRESAS'!$B$6:$B$1000,"&gt;=0")+COUNTIFS('CONTROLE PRODUÇÃO POR EMPRESAS'!$A$6:$A$1000,"&gt;="&amp;$B80,'CONTROLE PRODUÇÃO POR EMPRESAS'!$A$6:$A$1000,"&lt;="&amp;$C80,'CONTROLE PRODUÇÃO POR EMPRESAS'!$B$6:$B$1000,"?*"))=0,"",SUMIFS('CONTROLE PRODUÇÃO POR EMPRESAS'!$B$6:$B$1000,'CONTROLE PRODUÇÃO POR EMPRESAS'!$A$6:$A$1000,"&gt;="&amp;$B80,'CONTROLE PRODUÇÃO POR EMPRESAS'!$A$6:$A$1000,"&lt;="&amp;$C80)),IF($E80="IÇAMENTO JOIST",IF((COUNTIFS('CONTROLE PRODUÇÃO POR EMPRESAS'!$A$6:$A$1000,"&gt;="&amp;$B80,'CONTROLE PRODUÇÃO POR EMPRESAS'!$A$6:$A$1000,"&lt;="&amp;$C80,'CONTROLE PRODUÇÃO POR EMPRESAS'!$C$6:$C$1000,"&gt;=0")+COUNTIFS('CONTROLE PRODUÇÃO POR EMPRESAS'!$A$6:$A$1000,"&gt;="&amp;$B80,'CONTROLE PRODUÇÃO POR EMPRESAS'!$A$6:$A$1000,"&lt;="&amp;$C80,'CONTROLE PRODUÇÃO POR EMPRESAS'!$C$6:$C$1000,"?*"))=0,"",SUMIFS('CONTROLE PRODUÇÃO POR EMPRESAS'!$C$6:$C$1000,'CONTROLE PRODUÇÃO POR EMPRESAS'!$A$6:$A$1000,"&gt;="&amp;$B80,'CONTROLE PRODUÇÃO POR EMPRESAS'!$A$6:$A$1000,"&lt;="&amp;$C80)),IF($E80="VIGAS",IF((COUNTIFS('CONTROLE PRODUÇÃO POR EMPRESAS'!$A$6:$A$1000,"&gt;="&amp;$B80,'CONTROLE PRODUÇÃO POR EMPRESAS'!$A$6:$A$1000,"&lt;="&amp;$C80,'CONTROLE PRODUÇÃO POR EMPRESAS'!$D$6:$D$1000,"&gt;=0")+COUNTIFS('CONTROLE PRODUÇÃO POR EMPRESAS'!$A$6:$A$1000,"&gt;="&amp;$B80,'CONTROLE PRODUÇÃO POR EMPRESAS'!$A$6:$A$1000,"&lt;="&amp;$C80,'CONTROLE PRODUÇÃO POR EMPRESAS'!$D$6:$D$1000,"?*"))=0,"",SUMIFS('CONTROLE PRODUÇÃO POR EMPRESAS'!$D$6:$D$1000,'CONTROLE PRODUÇÃO POR EMPRESAS'!$A$6:$A$1000,"&gt;="&amp;$B80,'CONTROLE PRODUÇÃO POR EMPRESAS'!$A$6:$A$1000,"&lt;="&amp;$C80)),""))),IF($D80="CMM",IF($E80="PREMONTAGEM",IF((COUNTIFS('CONTROLE PRODUÇÃO POR EMPRESAS'!$A$6:$A$1000,"&gt;="&amp;$B80,'CONTROLE PRODUÇÃO POR EMPRESAS'!$A$6:$A$1000,"&lt;="&amp;$C80,'CONTROLE PRODUÇÃO POR EMPRESAS'!$E$6:$E$1000,"&gt;=0")+COUNTIFS('CONTROLE PRODUÇÃO POR EMPRESAS'!$A$6:$A$1000,"&gt;="&amp;$B80,'CONTROLE PRODUÇÃO POR EMPRESAS'!$A$6:$A$1000,"&lt;="&amp;$C80,'CONTROLE PRODUÇÃO POR EMPRESAS'!$E$6:$E$1000,"?*"))=0,"",SUMIFS('CONTROLE PRODUÇÃO POR EMPRESAS'!$E$6:$E$1000,'CONTROLE PRODUÇÃO POR EMPRESAS'!$A$6:$A$1000,"&gt;="&amp;$B80,'CONTROLE PRODUÇÃO POR EMPRESAS'!$A$6:$A$1000,"&lt;="&amp;$C80)),IF($E80="IÇAMENTO JOIST",IF((COUNTIFS('CONTROLE PRODUÇÃO POR EMPRESAS'!$A$6:$A$1000,"&gt;="&amp;$B80,'CONTROLE PRODUÇÃO POR EMPRESAS'!$A$6:$A$1000,"&lt;="&amp;$C80,'CONTROLE PRODUÇÃO POR EMPRESAS'!$F$6:$F$1000,"&gt;=0")+COUNTIFS('CONTROLE PRODUÇÃO POR EMPRESAS'!$A$6:$A$1000,"&gt;="&amp;$B80,'CONTROLE PRODUÇÃO POR EMPRESAS'!$A$6:$A$1000,"&lt;="&amp;$C80,'CONTROLE PRODUÇÃO POR EMPRESAS'!$F$6:$F$1000,"?*"))=0,"",SUMIFS('CONTROLE PRODUÇÃO POR EMPRESAS'!$F$6:$F$1000,'CONTROLE PRODUÇÃO POR EMPRESAS'!$A$6:$A$1000,"&gt;="&amp;$B80,'CONTROLE PRODUÇÃO POR EMPRESAS'!$A$6:$A$1000,"&lt;="&amp;$C80)),IF($E80="VIGAS",IF((COUNTIFS('CONTROLE PRODUÇÃO POR EMPRESAS'!$A$6:$A$1000,"&gt;="&amp;$B80,'CONTROLE PRODUÇÃO POR EMPRESAS'!$A$6:$A$1000,"&lt;="&amp;$C80,'CONTROLE PRODUÇÃO POR EMPRESAS'!$G$6:$G$1000,"&gt;=0")+COUNTIFS('CONTROLE PRODUÇÃO POR EMPRESAS'!$A$6:$A$1000,"&gt;="&amp;$B80,'CONTROLE PRODUÇÃO POR EMPRESAS'!$A$6:$A$1000,"&lt;="&amp;$C80,'CONTROLE PRODUÇÃO POR EMPRESAS'!$G$6:$G$1000,"?*"))=0,"",SUMIFS('CONTROLE PRODUÇÃO POR EMPRESAS'!$G$6:$G$1000,'CONTROLE PRODUÇÃO POR EMPRESAS'!$A$6:$A$1000,"&gt;="&amp;$B80,'CONTROLE PRODUÇÃO POR EMPRESAS'!$A$6:$A$1000,"&lt;="&amp;$C80)),""))),"")))</f>
        <v/>
      </c>
      <c r="M80" s="298">
        <f>IF(L80="","",MAX(J80-L80,0))</f>
        <v/>
      </c>
      <c r="N80" s="298">
        <f>IF(L80="","",MAX(L80-J80,0))</f>
        <v/>
      </c>
      <c r="O80" s="299">
        <f>IF(L80="","",IFERROR(L80/J80,""))</f>
        <v/>
      </c>
      <c r="P80" s="298">
        <f>IF(H80="","",SUMIFS($H$6:H80,$D$6:D80,D80,$E$6:E80,E80))</f>
        <v/>
      </c>
      <c r="Q80" s="298">
        <f>IF(L80="","",SUMIFS($L$6:L80,$D$6:D80,D80,$E$6:E80,E80))</f>
        <v/>
      </c>
      <c r="R80" s="298">
        <f>IF(Q80="","",MAX(P80-Q80,0))</f>
        <v/>
      </c>
      <c r="S80" s="108">
        <f>IF(O80="","",IF(O80&gt;=1,"VERDE",IF(O80&gt;=0.9,"AMARELO","VERMELHO")))</f>
        <v/>
      </c>
      <c r="T80" s="109" t="n"/>
      <c r="U80" s="109" t="n"/>
      <c r="V80" s="110" t="n"/>
      <c r="W80" s="302" t="n"/>
    </row>
    <row r="81" ht="15.75" customHeight="1">
      <c r="A81" s="117" t="n">
        <v>13</v>
      </c>
      <c r="B81" s="295" t="n">
        <v>46342</v>
      </c>
      <c r="C81" s="295" t="n">
        <v>46346</v>
      </c>
      <c r="D81" s="101" t="inlineStr">
        <is>
          <t>EJ</t>
        </is>
      </c>
      <c r="E81" s="103" t="inlineStr">
        <is>
          <t>PREMONTAGEM</t>
        </is>
      </c>
      <c r="F81" s="296">
        <f>IF(OR(D81="",E81=""),"",IF(COUNTIFS('METAS EMPRESAS'!$A$5:$A$10,D81,'METAS EMPRESAS'!$B$5:$B$10,E81)=0,"",SUMIFS('METAS EMPRESAS'!$C$5:$C$10,'METAS EMPRESAS'!$A$5:$A$10,D81,'METAS EMPRESAS'!$B$5:$B$10,E81)))</f>
        <v/>
      </c>
      <c r="G81" s="297" t="n">
        <v>5</v>
      </c>
      <c r="H81" s="298">
        <f>IF(F81="","",F81*G81)</f>
        <v/>
      </c>
      <c r="I81" s="298">
        <f>IF(M75="",0,M75)</f>
        <v/>
      </c>
      <c r="J81" s="298">
        <f>IF(H81="","",H81+I81)</f>
        <v/>
      </c>
      <c r="K81" s="298">
        <f>IF(J81="","",J81/G81)</f>
        <v/>
      </c>
      <c r="L81" s="297">
        <f>IF(OR($B81="",$C81="",$D81="",$E81=""),"",IF($D81="EJ",IF($E81="PREMONTAGEM",IF((COUNTIFS('CONTROLE PRODUÇÃO POR EMPRESAS'!$A$6:$A$1000,"&gt;="&amp;$B81,'CONTROLE PRODUÇÃO POR EMPRESAS'!$A$6:$A$1000,"&lt;="&amp;$C81,'CONTROLE PRODUÇÃO POR EMPRESAS'!$B$6:$B$1000,"&gt;=0")+COUNTIFS('CONTROLE PRODUÇÃO POR EMPRESAS'!$A$6:$A$1000,"&gt;="&amp;$B81,'CONTROLE PRODUÇÃO POR EMPRESAS'!$A$6:$A$1000,"&lt;="&amp;$C81,'CONTROLE PRODUÇÃO POR EMPRESAS'!$B$6:$B$1000,"?*"))=0,"",SUMIFS('CONTROLE PRODUÇÃO POR EMPRESAS'!$B$6:$B$1000,'CONTROLE PRODUÇÃO POR EMPRESAS'!$A$6:$A$1000,"&gt;="&amp;$B81,'CONTROLE PRODUÇÃO POR EMPRESAS'!$A$6:$A$1000,"&lt;="&amp;$C81)),IF($E81="IÇAMENTO JOIST",IF((COUNTIFS('CONTROLE PRODUÇÃO POR EMPRESAS'!$A$6:$A$1000,"&gt;="&amp;$B81,'CONTROLE PRODUÇÃO POR EMPRESAS'!$A$6:$A$1000,"&lt;="&amp;$C81,'CONTROLE PRODUÇÃO POR EMPRESAS'!$C$6:$C$1000,"&gt;=0")+COUNTIFS('CONTROLE PRODUÇÃO POR EMPRESAS'!$A$6:$A$1000,"&gt;="&amp;$B81,'CONTROLE PRODUÇÃO POR EMPRESAS'!$A$6:$A$1000,"&lt;="&amp;$C81,'CONTROLE PRODUÇÃO POR EMPRESAS'!$C$6:$C$1000,"?*"))=0,"",SUMIFS('CONTROLE PRODUÇÃO POR EMPRESAS'!$C$6:$C$1000,'CONTROLE PRODUÇÃO POR EMPRESAS'!$A$6:$A$1000,"&gt;="&amp;$B81,'CONTROLE PRODUÇÃO POR EMPRESAS'!$A$6:$A$1000,"&lt;="&amp;$C81)),IF($E81="VIGAS",IF((COUNTIFS('CONTROLE PRODUÇÃO POR EMPRESAS'!$A$6:$A$1000,"&gt;="&amp;$B81,'CONTROLE PRODUÇÃO POR EMPRESAS'!$A$6:$A$1000,"&lt;="&amp;$C81,'CONTROLE PRODUÇÃO POR EMPRESAS'!$D$6:$D$1000,"&gt;=0")+COUNTIFS('CONTROLE PRODUÇÃO POR EMPRESAS'!$A$6:$A$1000,"&gt;="&amp;$B81,'CONTROLE PRODUÇÃO POR EMPRESAS'!$A$6:$A$1000,"&lt;="&amp;$C81,'CONTROLE PRODUÇÃO POR EMPRESAS'!$D$6:$D$1000,"?*"))=0,"",SUMIFS('CONTROLE PRODUÇÃO POR EMPRESAS'!$D$6:$D$1000,'CONTROLE PRODUÇÃO POR EMPRESAS'!$A$6:$A$1000,"&gt;="&amp;$B81,'CONTROLE PRODUÇÃO POR EMPRESAS'!$A$6:$A$1000,"&lt;="&amp;$C81)),""))),IF($D81="CMM",IF($E81="PREMONTAGEM",IF((COUNTIFS('CONTROLE PRODUÇÃO POR EMPRESAS'!$A$6:$A$1000,"&gt;="&amp;$B81,'CONTROLE PRODUÇÃO POR EMPRESAS'!$A$6:$A$1000,"&lt;="&amp;$C81,'CONTROLE PRODUÇÃO POR EMPRESAS'!$E$6:$E$1000,"&gt;=0")+COUNTIFS('CONTROLE PRODUÇÃO POR EMPRESAS'!$A$6:$A$1000,"&gt;="&amp;$B81,'CONTROLE PRODUÇÃO POR EMPRESAS'!$A$6:$A$1000,"&lt;="&amp;$C81,'CONTROLE PRODUÇÃO POR EMPRESAS'!$E$6:$E$1000,"?*"))=0,"",SUMIFS('CONTROLE PRODUÇÃO POR EMPRESAS'!$E$6:$E$1000,'CONTROLE PRODUÇÃO POR EMPRESAS'!$A$6:$A$1000,"&gt;="&amp;$B81,'CONTROLE PRODUÇÃO POR EMPRESAS'!$A$6:$A$1000,"&lt;="&amp;$C81)),IF($E81="IÇAMENTO JOIST",IF((COUNTIFS('CONTROLE PRODUÇÃO POR EMPRESAS'!$A$6:$A$1000,"&gt;="&amp;$B81,'CONTROLE PRODUÇÃO POR EMPRESAS'!$A$6:$A$1000,"&lt;="&amp;$C81,'CONTROLE PRODUÇÃO POR EMPRESAS'!$F$6:$F$1000,"&gt;=0")+COUNTIFS('CONTROLE PRODUÇÃO POR EMPRESAS'!$A$6:$A$1000,"&gt;="&amp;$B81,'CONTROLE PRODUÇÃO POR EMPRESAS'!$A$6:$A$1000,"&lt;="&amp;$C81,'CONTROLE PRODUÇÃO POR EMPRESAS'!$F$6:$F$1000,"?*"))=0,"",SUMIFS('CONTROLE PRODUÇÃO POR EMPRESAS'!$F$6:$F$1000,'CONTROLE PRODUÇÃO POR EMPRESAS'!$A$6:$A$1000,"&gt;="&amp;$B81,'CONTROLE PRODUÇÃO POR EMPRESAS'!$A$6:$A$1000,"&lt;="&amp;$C81)),IF($E81="VIGAS",IF((COUNTIFS('CONTROLE PRODUÇÃO POR EMPRESAS'!$A$6:$A$1000,"&gt;="&amp;$B81,'CONTROLE PRODUÇÃO POR EMPRESAS'!$A$6:$A$1000,"&lt;="&amp;$C81,'CONTROLE PRODUÇÃO POR EMPRESAS'!$G$6:$G$1000,"&gt;=0")+COUNTIFS('CONTROLE PRODUÇÃO POR EMPRESAS'!$A$6:$A$1000,"&gt;="&amp;$B81,'CONTROLE PRODUÇÃO POR EMPRESAS'!$A$6:$A$1000,"&lt;="&amp;$C81,'CONTROLE PRODUÇÃO POR EMPRESAS'!$G$6:$G$1000,"?*"))=0,"",SUMIFS('CONTROLE PRODUÇÃO POR EMPRESAS'!$G$6:$G$1000,'CONTROLE PRODUÇÃO POR EMPRESAS'!$A$6:$A$1000,"&gt;="&amp;$B81,'CONTROLE PRODUÇÃO POR EMPRESAS'!$A$6:$A$1000,"&lt;="&amp;$C81)),""))),"")))</f>
        <v/>
      </c>
      <c r="M81" s="298">
        <f>IF(L81="","",MAX(J81-L81,0))</f>
        <v/>
      </c>
      <c r="N81" s="298">
        <f>IF(L81="","",MAX(L81-J81,0))</f>
        <v/>
      </c>
      <c r="O81" s="299">
        <f>IF(L81="","",IFERROR(L81/J81,""))</f>
        <v/>
      </c>
      <c r="P81" s="298">
        <f>IF(H81="","",SUMIFS($H$6:H81,$D$6:D81,D81,$E$6:E81,E81))</f>
        <v/>
      </c>
      <c r="Q81" s="298">
        <f>IF(L81="","",SUMIFS($L$6:L81,$D$6:D81,D81,$E$6:E81,E81))</f>
        <v/>
      </c>
      <c r="R81" s="298">
        <f>IF(Q81="","",MAX(P81-Q81,0))</f>
        <v/>
      </c>
      <c r="S81" s="108">
        <f>IF(O81="","",IF(O81&gt;=1,"VERDE",IF(O81&gt;=0.9,"AMARELO","VERMELHO")))</f>
        <v/>
      </c>
      <c r="T81" s="109" t="n"/>
      <c r="U81" s="109" t="n"/>
      <c r="V81" s="110" t="n"/>
      <c r="W81" s="302" t="n"/>
    </row>
    <row r="82" ht="15.75" customHeight="1">
      <c r="A82" s="112" t="n">
        <v>13</v>
      </c>
      <c r="B82" s="301" t="n">
        <v>46342</v>
      </c>
      <c r="C82" s="301" t="n">
        <v>46346</v>
      </c>
      <c r="D82" s="114" t="inlineStr">
        <is>
          <t>EJ</t>
        </is>
      </c>
      <c r="E82" s="115" t="inlineStr">
        <is>
          <t>IÇAMENTO JOIST</t>
        </is>
      </c>
      <c r="F82" s="296">
        <f>IF(OR(D82="",E82=""),"",IF(COUNTIFS('METAS EMPRESAS'!$A$5:$A$10,D82,'METAS EMPRESAS'!$B$5:$B$10,E82)=0,"",SUMIFS('METAS EMPRESAS'!$C$5:$C$10,'METAS EMPRESAS'!$A$5:$A$10,D82,'METAS EMPRESAS'!$B$5:$B$10,E82)))</f>
        <v/>
      </c>
      <c r="G82" s="297" t="n">
        <v>5</v>
      </c>
      <c r="H82" s="298">
        <f>IF(F82="","",F82*G82)</f>
        <v/>
      </c>
      <c r="I82" s="298">
        <f>IF(M76="",0,M76)</f>
        <v/>
      </c>
      <c r="J82" s="298">
        <f>IF(H82="","",H82+I82)</f>
        <v/>
      </c>
      <c r="K82" s="298">
        <f>IF(J82="","",J82/G82)</f>
        <v/>
      </c>
      <c r="L82" s="297">
        <f>IF(OR($B82="",$C82="",$D82="",$E82=""),"",IF($D82="EJ",IF($E82="PREMONTAGEM",IF((COUNTIFS('CONTROLE PRODUÇÃO POR EMPRESAS'!$A$6:$A$1000,"&gt;="&amp;$B82,'CONTROLE PRODUÇÃO POR EMPRESAS'!$A$6:$A$1000,"&lt;="&amp;$C82,'CONTROLE PRODUÇÃO POR EMPRESAS'!$B$6:$B$1000,"&gt;=0")+COUNTIFS('CONTROLE PRODUÇÃO POR EMPRESAS'!$A$6:$A$1000,"&gt;="&amp;$B82,'CONTROLE PRODUÇÃO POR EMPRESAS'!$A$6:$A$1000,"&lt;="&amp;$C82,'CONTROLE PRODUÇÃO POR EMPRESAS'!$B$6:$B$1000,"?*"))=0,"",SUMIFS('CONTROLE PRODUÇÃO POR EMPRESAS'!$B$6:$B$1000,'CONTROLE PRODUÇÃO POR EMPRESAS'!$A$6:$A$1000,"&gt;="&amp;$B82,'CONTROLE PRODUÇÃO POR EMPRESAS'!$A$6:$A$1000,"&lt;="&amp;$C82)),IF($E82="IÇAMENTO JOIST",IF((COUNTIFS('CONTROLE PRODUÇÃO POR EMPRESAS'!$A$6:$A$1000,"&gt;="&amp;$B82,'CONTROLE PRODUÇÃO POR EMPRESAS'!$A$6:$A$1000,"&lt;="&amp;$C82,'CONTROLE PRODUÇÃO POR EMPRESAS'!$C$6:$C$1000,"&gt;=0")+COUNTIFS('CONTROLE PRODUÇÃO POR EMPRESAS'!$A$6:$A$1000,"&gt;="&amp;$B82,'CONTROLE PRODUÇÃO POR EMPRESAS'!$A$6:$A$1000,"&lt;="&amp;$C82,'CONTROLE PRODUÇÃO POR EMPRESAS'!$C$6:$C$1000,"?*"))=0,"",SUMIFS('CONTROLE PRODUÇÃO POR EMPRESAS'!$C$6:$C$1000,'CONTROLE PRODUÇÃO POR EMPRESAS'!$A$6:$A$1000,"&gt;="&amp;$B82,'CONTROLE PRODUÇÃO POR EMPRESAS'!$A$6:$A$1000,"&lt;="&amp;$C82)),IF($E82="VIGAS",IF((COUNTIFS('CONTROLE PRODUÇÃO POR EMPRESAS'!$A$6:$A$1000,"&gt;="&amp;$B82,'CONTROLE PRODUÇÃO POR EMPRESAS'!$A$6:$A$1000,"&lt;="&amp;$C82,'CONTROLE PRODUÇÃO POR EMPRESAS'!$D$6:$D$1000,"&gt;=0")+COUNTIFS('CONTROLE PRODUÇÃO POR EMPRESAS'!$A$6:$A$1000,"&gt;="&amp;$B82,'CONTROLE PRODUÇÃO POR EMPRESAS'!$A$6:$A$1000,"&lt;="&amp;$C82,'CONTROLE PRODUÇÃO POR EMPRESAS'!$D$6:$D$1000,"?*"))=0,"",SUMIFS('CONTROLE PRODUÇÃO POR EMPRESAS'!$D$6:$D$1000,'CONTROLE PRODUÇÃO POR EMPRESAS'!$A$6:$A$1000,"&gt;="&amp;$B82,'CONTROLE PRODUÇÃO POR EMPRESAS'!$A$6:$A$1000,"&lt;="&amp;$C82)),""))),IF($D82="CMM",IF($E82="PREMONTAGEM",IF((COUNTIFS('CONTROLE PRODUÇÃO POR EMPRESAS'!$A$6:$A$1000,"&gt;="&amp;$B82,'CONTROLE PRODUÇÃO POR EMPRESAS'!$A$6:$A$1000,"&lt;="&amp;$C82,'CONTROLE PRODUÇÃO POR EMPRESAS'!$E$6:$E$1000,"&gt;=0")+COUNTIFS('CONTROLE PRODUÇÃO POR EMPRESAS'!$A$6:$A$1000,"&gt;="&amp;$B82,'CONTROLE PRODUÇÃO POR EMPRESAS'!$A$6:$A$1000,"&lt;="&amp;$C82,'CONTROLE PRODUÇÃO POR EMPRESAS'!$E$6:$E$1000,"?*"))=0,"",SUMIFS('CONTROLE PRODUÇÃO POR EMPRESAS'!$E$6:$E$1000,'CONTROLE PRODUÇÃO POR EMPRESAS'!$A$6:$A$1000,"&gt;="&amp;$B82,'CONTROLE PRODUÇÃO POR EMPRESAS'!$A$6:$A$1000,"&lt;="&amp;$C82)),IF($E82="IÇAMENTO JOIST",IF((COUNTIFS('CONTROLE PRODUÇÃO POR EMPRESAS'!$A$6:$A$1000,"&gt;="&amp;$B82,'CONTROLE PRODUÇÃO POR EMPRESAS'!$A$6:$A$1000,"&lt;="&amp;$C82,'CONTROLE PRODUÇÃO POR EMPRESAS'!$F$6:$F$1000,"&gt;=0")+COUNTIFS('CONTROLE PRODUÇÃO POR EMPRESAS'!$A$6:$A$1000,"&gt;="&amp;$B82,'CONTROLE PRODUÇÃO POR EMPRESAS'!$A$6:$A$1000,"&lt;="&amp;$C82,'CONTROLE PRODUÇÃO POR EMPRESAS'!$F$6:$F$1000,"?*"))=0,"",SUMIFS('CONTROLE PRODUÇÃO POR EMPRESAS'!$F$6:$F$1000,'CONTROLE PRODUÇÃO POR EMPRESAS'!$A$6:$A$1000,"&gt;="&amp;$B82,'CONTROLE PRODUÇÃO POR EMPRESAS'!$A$6:$A$1000,"&lt;="&amp;$C82)),IF($E82="VIGAS",IF((COUNTIFS('CONTROLE PRODUÇÃO POR EMPRESAS'!$A$6:$A$1000,"&gt;="&amp;$B82,'CONTROLE PRODUÇÃO POR EMPRESAS'!$A$6:$A$1000,"&lt;="&amp;$C82,'CONTROLE PRODUÇÃO POR EMPRESAS'!$G$6:$G$1000,"&gt;=0")+COUNTIFS('CONTROLE PRODUÇÃO POR EMPRESAS'!$A$6:$A$1000,"&gt;="&amp;$B82,'CONTROLE PRODUÇÃO POR EMPRESAS'!$A$6:$A$1000,"&lt;="&amp;$C82,'CONTROLE PRODUÇÃO POR EMPRESAS'!$G$6:$G$1000,"?*"))=0,"",SUMIFS('CONTROLE PRODUÇÃO POR EMPRESAS'!$G$6:$G$1000,'CONTROLE PRODUÇÃO POR EMPRESAS'!$A$6:$A$1000,"&gt;="&amp;$B82,'CONTROLE PRODUÇÃO POR EMPRESAS'!$A$6:$A$1000,"&lt;="&amp;$C82)),""))),"")))</f>
        <v/>
      </c>
      <c r="M82" s="298">
        <f>IF(L82="","",MAX(J82-L82,0))</f>
        <v/>
      </c>
      <c r="N82" s="298">
        <f>IF(L82="","",MAX(L82-J82,0))</f>
        <v/>
      </c>
      <c r="O82" s="299">
        <f>IF(L82="","",IFERROR(L82/J82,""))</f>
        <v/>
      </c>
      <c r="P82" s="298">
        <f>IF(H82="","",SUMIFS($H$6:H82,$D$6:D82,D82,$E$6:E82,E82))</f>
        <v/>
      </c>
      <c r="Q82" s="298">
        <f>IF(L82="","",SUMIFS($L$6:L82,$D$6:D82,D82,$E$6:E82,E82))</f>
        <v/>
      </c>
      <c r="R82" s="298">
        <f>IF(Q82="","",MAX(P82-Q82,0))</f>
        <v/>
      </c>
      <c r="S82" s="108">
        <f>IF(O82="","",IF(O82&gt;=1,"VERDE",IF(O82&gt;=0.9,"AMARELO","VERMELHO")))</f>
        <v/>
      </c>
      <c r="T82" s="109" t="n"/>
      <c r="U82" s="109" t="n"/>
      <c r="V82" s="110" t="n"/>
      <c r="W82" s="302" t="n"/>
    </row>
    <row r="83" ht="15.75" customHeight="1">
      <c r="A83" s="117" t="n">
        <v>13</v>
      </c>
      <c r="B83" s="295" t="n">
        <v>46342</v>
      </c>
      <c r="C83" s="295" t="n">
        <v>46346</v>
      </c>
      <c r="D83" s="101" t="inlineStr">
        <is>
          <t>EJ</t>
        </is>
      </c>
      <c r="E83" s="103" t="inlineStr">
        <is>
          <t>VIGAS</t>
        </is>
      </c>
      <c r="F83" s="296">
        <f>IF(OR(D83="",E83=""),"",IF(COUNTIFS('METAS EMPRESAS'!$A$5:$A$10,D83,'METAS EMPRESAS'!$B$5:$B$10,E83)=0,"",SUMIFS('METAS EMPRESAS'!$C$5:$C$10,'METAS EMPRESAS'!$A$5:$A$10,D83,'METAS EMPRESAS'!$B$5:$B$10,E83)))</f>
        <v/>
      </c>
      <c r="G83" s="297" t="n">
        <v>5</v>
      </c>
      <c r="H83" s="298">
        <f>IF(F83="","",F83*G83)</f>
        <v/>
      </c>
      <c r="I83" s="298">
        <f>IF(M77="",0,M77)</f>
        <v/>
      </c>
      <c r="J83" s="298">
        <f>IF(H83="","",H83+I83)</f>
        <v/>
      </c>
      <c r="K83" s="298">
        <f>IF(J83="","",J83/G83)</f>
        <v/>
      </c>
      <c r="L83" s="297">
        <f>IF(OR($B83="",$C83="",$D83="",$E83=""),"",IF($D83="EJ",IF($E83="PREMONTAGEM",IF((COUNTIFS('CONTROLE PRODUÇÃO POR EMPRESAS'!$A$6:$A$1000,"&gt;="&amp;$B83,'CONTROLE PRODUÇÃO POR EMPRESAS'!$A$6:$A$1000,"&lt;="&amp;$C83,'CONTROLE PRODUÇÃO POR EMPRESAS'!$B$6:$B$1000,"&gt;=0")+COUNTIFS('CONTROLE PRODUÇÃO POR EMPRESAS'!$A$6:$A$1000,"&gt;="&amp;$B83,'CONTROLE PRODUÇÃO POR EMPRESAS'!$A$6:$A$1000,"&lt;="&amp;$C83,'CONTROLE PRODUÇÃO POR EMPRESAS'!$B$6:$B$1000,"?*"))=0,"",SUMIFS('CONTROLE PRODUÇÃO POR EMPRESAS'!$B$6:$B$1000,'CONTROLE PRODUÇÃO POR EMPRESAS'!$A$6:$A$1000,"&gt;="&amp;$B83,'CONTROLE PRODUÇÃO POR EMPRESAS'!$A$6:$A$1000,"&lt;="&amp;$C83)),IF($E83="IÇAMENTO JOIST",IF((COUNTIFS('CONTROLE PRODUÇÃO POR EMPRESAS'!$A$6:$A$1000,"&gt;="&amp;$B83,'CONTROLE PRODUÇÃO POR EMPRESAS'!$A$6:$A$1000,"&lt;="&amp;$C83,'CONTROLE PRODUÇÃO POR EMPRESAS'!$C$6:$C$1000,"&gt;=0")+COUNTIFS('CONTROLE PRODUÇÃO POR EMPRESAS'!$A$6:$A$1000,"&gt;="&amp;$B83,'CONTROLE PRODUÇÃO POR EMPRESAS'!$A$6:$A$1000,"&lt;="&amp;$C83,'CONTROLE PRODUÇÃO POR EMPRESAS'!$C$6:$C$1000,"?*"))=0,"",SUMIFS('CONTROLE PRODUÇÃO POR EMPRESAS'!$C$6:$C$1000,'CONTROLE PRODUÇÃO POR EMPRESAS'!$A$6:$A$1000,"&gt;="&amp;$B83,'CONTROLE PRODUÇÃO POR EMPRESAS'!$A$6:$A$1000,"&lt;="&amp;$C83)),IF($E83="VIGAS",IF((COUNTIFS('CONTROLE PRODUÇÃO POR EMPRESAS'!$A$6:$A$1000,"&gt;="&amp;$B83,'CONTROLE PRODUÇÃO POR EMPRESAS'!$A$6:$A$1000,"&lt;="&amp;$C83,'CONTROLE PRODUÇÃO POR EMPRESAS'!$D$6:$D$1000,"&gt;=0")+COUNTIFS('CONTROLE PRODUÇÃO POR EMPRESAS'!$A$6:$A$1000,"&gt;="&amp;$B83,'CONTROLE PRODUÇÃO POR EMPRESAS'!$A$6:$A$1000,"&lt;="&amp;$C83,'CONTROLE PRODUÇÃO POR EMPRESAS'!$D$6:$D$1000,"?*"))=0,"",SUMIFS('CONTROLE PRODUÇÃO POR EMPRESAS'!$D$6:$D$1000,'CONTROLE PRODUÇÃO POR EMPRESAS'!$A$6:$A$1000,"&gt;="&amp;$B83,'CONTROLE PRODUÇÃO POR EMPRESAS'!$A$6:$A$1000,"&lt;="&amp;$C83)),""))),IF($D83="CMM",IF($E83="PREMONTAGEM",IF((COUNTIFS('CONTROLE PRODUÇÃO POR EMPRESAS'!$A$6:$A$1000,"&gt;="&amp;$B83,'CONTROLE PRODUÇÃO POR EMPRESAS'!$A$6:$A$1000,"&lt;="&amp;$C83,'CONTROLE PRODUÇÃO POR EMPRESAS'!$E$6:$E$1000,"&gt;=0")+COUNTIFS('CONTROLE PRODUÇÃO POR EMPRESAS'!$A$6:$A$1000,"&gt;="&amp;$B83,'CONTROLE PRODUÇÃO POR EMPRESAS'!$A$6:$A$1000,"&lt;="&amp;$C83,'CONTROLE PRODUÇÃO POR EMPRESAS'!$E$6:$E$1000,"?*"))=0,"",SUMIFS('CONTROLE PRODUÇÃO POR EMPRESAS'!$E$6:$E$1000,'CONTROLE PRODUÇÃO POR EMPRESAS'!$A$6:$A$1000,"&gt;="&amp;$B83,'CONTROLE PRODUÇÃO POR EMPRESAS'!$A$6:$A$1000,"&lt;="&amp;$C83)),IF($E83="IÇAMENTO JOIST",IF((COUNTIFS('CONTROLE PRODUÇÃO POR EMPRESAS'!$A$6:$A$1000,"&gt;="&amp;$B83,'CONTROLE PRODUÇÃO POR EMPRESAS'!$A$6:$A$1000,"&lt;="&amp;$C83,'CONTROLE PRODUÇÃO POR EMPRESAS'!$F$6:$F$1000,"&gt;=0")+COUNTIFS('CONTROLE PRODUÇÃO POR EMPRESAS'!$A$6:$A$1000,"&gt;="&amp;$B83,'CONTROLE PRODUÇÃO POR EMPRESAS'!$A$6:$A$1000,"&lt;="&amp;$C83,'CONTROLE PRODUÇÃO POR EMPRESAS'!$F$6:$F$1000,"?*"))=0,"",SUMIFS('CONTROLE PRODUÇÃO POR EMPRESAS'!$F$6:$F$1000,'CONTROLE PRODUÇÃO POR EMPRESAS'!$A$6:$A$1000,"&gt;="&amp;$B83,'CONTROLE PRODUÇÃO POR EMPRESAS'!$A$6:$A$1000,"&lt;="&amp;$C83)),IF($E83="VIGAS",IF((COUNTIFS('CONTROLE PRODUÇÃO POR EMPRESAS'!$A$6:$A$1000,"&gt;="&amp;$B83,'CONTROLE PRODUÇÃO POR EMPRESAS'!$A$6:$A$1000,"&lt;="&amp;$C83,'CONTROLE PRODUÇÃO POR EMPRESAS'!$G$6:$G$1000,"&gt;=0")+COUNTIFS('CONTROLE PRODUÇÃO POR EMPRESAS'!$A$6:$A$1000,"&gt;="&amp;$B83,'CONTROLE PRODUÇÃO POR EMPRESAS'!$A$6:$A$1000,"&lt;="&amp;$C83,'CONTROLE PRODUÇÃO POR EMPRESAS'!$G$6:$G$1000,"?*"))=0,"",SUMIFS('CONTROLE PRODUÇÃO POR EMPRESAS'!$G$6:$G$1000,'CONTROLE PRODUÇÃO POR EMPRESAS'!$A$6:$A$1000,"&gt;="&amp;$B83,'CONTROLE PRODUÇÃO POR EMPRESAS'!$A$6:$A$1000,"&lt;="&amp;$C83)),""))),"")))</f>
        <v/>
      </c>
      <c r="M83" s="298">
        <f>IF(L83="","",MAX(J83-L83,0))</f>
        <v/>
      </c>
      <c r="N83" s="298">
        <f>IF(L83="","",MAX(L83-J83,0))</f>
        <v/>
      </c>
      <c r="O83" s="299">
        <f>IF(L83="","",IFERROR(L83/J83,""))</f>
        <v/>
      </c>
      <c r="P83" s="298">
        <f>IF(H83="","",SUMIFS($H$6:H83,$D$6:D83,D83,$E$6:E83,E83))</f>
        <v/>
      </c>
      <c r="Q83" s="298">
        <f>IF(L83="","",SUMIFS($L$6:L83,$D$6:D83,D83,$E$6:E83,E83))</f>
        <v/>
      </c>
      <c r="R83" s="298">
        <f>IF(Q83="","",MAX(P83-Q83,0))</f>
        <v/>
      </c>
      <c r="S83" s="108">
        <f>IF(O83="","",IF(O83&gt;=1,"VERDE",IF(O83&gt;=0.9,"AMARELO","VERMELHO")))</f>
        <v/>
      </c>
      <c r="T83" s="109" t="n"/>
      <c r="U83" s="109" t="n"/>
      <c r="V83" s="110" t="n"/>
      <c r="W83" s="302" t="n"/>
    </row>
    <row r="84" ht="15.75" customHeight="1">
      <c r="A84" s="112" t="n">
        <v>14</v>
      </c>
      <c r="B84" s="301" t="n">
        <v>46349</v>
      </c>
      <c r="C84" s="301" t="n">
        <v>46353</v>
      </c>
      <c r="D84" s="114" t="inlineStr">
        <is>
          <t>CMM</t>
        </is>
      </c>
      <c r="E84" s="115" t="inlineStr">
        <is>
          <t>PREMONTAGEM</t>
        </is>
      </c>
      <c r="F84" s="296">
        <f>IF(OR(D84="",E84=""),"",IF(COUNTIFS('METAS EMPRESAS'!$A$5:$A$10,D84,'METAS EMPRESAS'!$B$5:$B$10,E84)=0,"",SUMIFS('METAS EMPRESAS'!$C$5:$C$10,'METAS EMPRESAS'!$A$5:$A$10,D84,'METAS EMPRESAS'!$B$5:$B$10,E84)))</f>
        <v/>
      </c>
      <c r="G84" s="297" t="n">
        <v>5</v>
      </c>
      <c r="H84" s="298">
        <f>IF(F84="","",F84*G84)</f>
        <v/>
      </c>
      <c r="I84" s="298">
        <f>IF(M78="",0,M78)</f>
        <v/>
      </c>
      <c r="J84" s="298">
        <f>IF(H84="","",H84+I84)</f>
        <v/>
      </c>
      <c r="K84" s="298">
        <f>IF(J84="","",J84/G84)</f>
        <v/>
      </c>
      <c r="L84" s="297">
        <f>IF(OR($B84="",$C84="",$D84="",$E84=""),"",IF($D84="EJ",IF($E84="PREMONTAGEM",IF((COUNTIFS('CONTROLE PRODUÇÃO POR EMPRESAS'!$A$6:$A$1000,"&gt;="&amp;$B84,'CONTROLE PRODUÇÃO POR EMPRESAS'!$A$6:$A$1000,"&lt;="&amp;$C84,'CONTROLE PRODUÇÃO POR EMPRESAS'!$B$6:$B$1000,"&gt;=0")+COUNTIFS('CONTROLE PRODUÇÃO POR EMPRESAS'!$A$6:$A$1000,"&gt;="&amp;$B84,'CONTROLE PRODUÇÃO POR EMPRESAS'!$A$6:$A$1000,"&lt;="&amp;$C84,'CONTROLE PRODUÇÃO POR EMPRESAS'!$B$6:$B$1000,"?*"))=0,"",SUMIFS('CONTROLE PRODUÇÃO POR EMPRESAS'!$B$6:$B$1000,'CONTROLE PRODUÇÃO POR EMPRESAS'!$A$6:$A$1000,"&gt;="&amp;$B84,'CONTROLE PRODUÇÃO POR EMPRESAS'!$A$6:$A$1000,"&lt;="&amp;$C84)),IF($E84="IÇAMENTO JOIST",IF((COUNTIFS('CONTROLE PRODUÇÃO POR EMPRESAS'!$A$6:$A$1000,"&gt;="&amp;$B84,'CONTROLE PRODUÇÃO POR EMPRESAS'!$A$6:$A$1000,"&lt;="&amp;$C84,'CONTROLE PRODUÇÃO POR EMPRESAS'!$C$6:$C$1000,"&gt;=0")+COUNTIFS('CONTROLE PRODUÇÃO POR EMPRESAS'!$A$6:$A$1000,"&gt;="&amp;$B84,'CONTROLE PRODUÇÃO POR EMPRESAS'!$A$6:$A$1000,"&lt;="&amp;$C84,'CONTROLE PRODUÇÃO POR EMPRESAS'!$C$6:$C$1000,"?*"))=0,"",SUMIFS('CONTROLE PRODUÇÃO POR EMPRESAS'!$C$6:$C$1000,'CONTROLE PRODUÇÃO POR EMPRESAS'!$A$6:$A$1000,"&gt;="&amp;$B84,'CONTROLE PRODUÇÃO POR EMPRESAS'!$A$6:$A$1000,"&lt;="&amp;$C84)),IF($E84="VIGAS",IF((COUNTIFS('CONTROLE PRODUÇÃO POR EMPRESAS'!$A$6:$A$1000,"&gt;="&amp;$B84,'CONTROLE PRODUÇÃO POR EMPRESAS'!$A$6:$A$1000,"&lt;="&amp;$C84,'CONTROLE PRODUÇÃO POR EMPRESAS'!$D$6:$D$1000,"&gt;=0")+COUNTIFS('CONTROLE PRODUÇÃO POR EMPRESAS'!$A$6:$A$1000,"&gt;="&amp;$B84,'CONTROLE PRODUÇÃO POR EMPRESAS'!$A$6:$A$1000,"&lt;="&amp;$C84,'CONTROLE PRODUÇÃO POR EMPRESAS'!$D$6:$D$1000,"?*"))=0,"",SUMIFS('CONTROLE PRODUÇÃO POR EMPRESAS'!$D$6:$D$1000,'CONTROLE PRODUÇÃO POR EMPRESAS'!$A$6:$A$1000,"&gt;="&amp;$B84,'CONTROLE PRODUÇÃO POR EMPRESAS'!$A$6:$A$1000,"&lt;="&amp;$C84)),""))),IF($D84="CMM",IF($E84="PREMONTAGEM",IF((COUNTIFS('CONTROLE PRODUÇÃO POR EMPRESAS'!$A$6:$A$1000,"&gt;="&amp;$B84,'CONTROLE PRODUÇÃO POR EMPRESAS'!$A$6:$A$1000,"&lt;="&amp;$C84,'CONTROLE PRODUÇÃO POR EMPRESAS'!$E$6:$E$1000,"&gt;=0")+COUNTIFS('CONTROLE PRODUÇÃO POR EMPRESAS'!$A$6:$A$1000,"&gt;="&amp;$B84,'CONTROLE PRODUÇÃO POR EMPRESAS'!$A$6:$A$1000,"&lt;="&amp;$C84,'CONTROLE PRODUÇÃO POR EMPRESAS'!$E$6:$E$1000,"?*"))=0,"",SUMIFS('CONTROLE PRODUÇÃO POR EMPRESAS'!$E$6:$E$1000,'CONTROLE PRODUÇÃO POR EMPRESAS'!$A$6:$A$1000,"&gt;="&amp;$B84,'CONTROLE PRODUÇÃO POR EMPRESAS'!$A$6:$A$1000,"&lt;="&amp;$C84)),IF($E84="IÇAMENTO JOIST",IF((COUNTIFS('CONTROLE PRODUÇÃO POR EMPRESAS'!$A$6:$A$1000,"&gt;="&amp;$B84,'CONTROLE PRODUÇÃO POR EMPRESAS'!$A$6:$A$1000,"&lt;="&amp;$C84,'CONTROLE PRODUÇÃO POR EMPRESAS'!$F$6:$F$1000,"&gt;=0")+COUNTIFS('CONTROLE PRODUÇÃO POR EMPRESAS'!$A$6:$A$1000,"&gt;="&amp;$B84,'CONTROLE PRODUÇÃO POR EMPRESAS'!$A$6:$A$1000,"&lt;="&amp;$C84,'CONTROLE PRODUÇÃO POR EMPRESAS'!$F$6:$F$1000,"?*"))=0,"",SUMIFS('CONTROLE PRODUÇÃO POR EMPRESAS'!$F$6:$F$1000,'CONTROLE PRODUÇÃO POR EMPRESAS'!$A$6:$A$1000,"&gt;="&amp;$B84,'CONTROLE PRODUÇÃO POR EMPRESAS'!$A$6:$A$1000,"&lt;="&amp;$C84)),IF($E84="VIGAS",IF((COUNTIFS('CONTROLE PRODUÇÃO POR EMPRESAS'!$A$6:$A$1000,"&gt;="&amp;$B84,'CONTROLE PRODUÇÃO POR EMPRESAS'!$A$6:$A$1000,"&lt;="&amp;$C84,'CONTROLE PRODUÇÃO POR EMPRESAS'!$G$6:$G$1000,"&gt;=0")+COUNTIFS('CONTROLE PRODUÇÃO POR EMPRESAS'!$A$6:$A$1000,"&gt;="&amp;$B84,'CONTROLE PRODUÇÃO POR EMPRESAS'!$A$6:$A$1000,"&lt;="&amp;$C84,'CONTROLE PRODUÇÃO POR EMPRESAS'!$G$6:$G$1000,"?*"))=0,"",SUMIFS('CONTROLE PRODUÇÃO POR EMPRESAS'!$G$6:$G$1000,'CONTROLE PRODUÇÃO POR EMPRESAS'!$A$6:$A$1000,"&gt;="&amp;$B84,'CONTROLE PRODUÇÃO POR EMPRESAS'!$A$6:$A$1000,"&lt;="&amp;$C84)),""))),"")))</f>
        <v/>
      </c>
      <c r="M84" s="298">
        <f>IF(L84="","",MAX(J84-L84,0))</f>
        <v/>
      </c>
      <c r="N84" s="298">
        <f>IF(L84="","",MAX(L84-J84,0))</f>
        <v/>
      </c>
      <c r="O84" s="299">
        <f>IF(L84="","",IFERROR(L84/J84,""))</f>
        <v/>
      </c>
      <c r="P84" s="298">
        <f>IF(H84="","",SUMIFS($H$6:H84,$D$6:D84,D84,$E$6:E84,E84))</f>
        <v/>
      </c>
      <c r="Q84" s="298">
        <f>IF(L84="","",SUMIFS($L$6:L84,$D$6:D84,D84,$E$6:E84,E84))</f>
        <v/>
      </c>
      <c r="R84" s="298">
        <f>IF(Q84="","",MAX(P84-Q84,0))</f>
        <v/>
      </c>
      <c r="S84" s="108">
        <f>IF(O84="","",IF(O84&gt;=1,"VERDE",IF(O84&gt;=0.9,"AMARELO","VERMELHO")))</f>
        <v/>
      </c>
      <c r="T84" s="109" t="n"/>
      <c r="U84" s="109" t="n"/>
      <c r="V84" s="110" t="n"/>
      <c r="W84" s="302" t="n"/>
    </row>
    <row r="85" ht="15.75" customHeight="1">
      <c r="A85" s="117" t="n">
        <v>14</v>
      </c>
      <c r="B85" s="295" t="n">
        <v>46349</v>
      </c>
      <c r="C85" s="295" t="n">
        <v>46353</v>
      </c>
      <c r="D85" s="101" t="inlineStr">
        <is>
          <t>CMM</t>
        </is>
      </c>
      <c r="E85" s="103" t="inlineStr">
        <is>
          <t>IÇAMENTO JOIST</t>
        </is>
      </c>
      <c r="F85" s="296">
        <f>IF(OR(D85="",E85=""),"",IF(COUNTIFS('METAS EMPRESAS'!$A$5:$A$10,D85,'METAS EMPRESAS'!$B$5:$B$10,E85)=0,"",SUMIFS('METAS EMPRESAS'!$C$5:$C$10,'METAS EMPRESAS'!$A$5:$A$10,D85,'METAS EMPRESAS'!$B$5:$B$10,E85)))</f>
        <v/>
      </c>
      <c r="G85" s="297" t="n">
        <v>5</v>
      </c>
      <c r="H85" s="298">
        <f>IF(F85="","",F85*G85)</f>
        <v/>
      </c>
      <c r="I85" s="298">
        <f>IF(M79="",0,M79)</f>
        <v/>
      </c>
      <c r="J85" s="298">
        <f>IF(H85="","",H85+I85)</f>
        <v/>
      </c>
      <c r="K85" s="298">
        <f>IF(J85="","",J85/G85)</f>
        <v/>
      </c>
      <c r="L85" s="297">
        <f>IF(OR($B85="",$C85="",$D85="",$E85=""),"",IF($D85="EJ",IF($E85="PREMONTAGEM",IF((COUNTIFS('CONTROLE PRODUÇÃO POR EMPRESAS'!$A$6:$A$1000,"&gt;="&amp;$B85,'CONTROLE PRODUÇÃO POR EMPRESAS'!$A$6:$A$1000,"&lt;="&amp;$C85,'CONTROLE PRODUÇÃO POR EMPRESAS'!$B$6:$B$1000,"&gt;=0")+COUNTIFS('CONTROLE PRODUÇÃO POR EMPRESAS'!$A$6:$A$1000,"&gt;="&amp;$B85,'CONTROLE PRODUÇÃO POR EMPRESAS'!$A$6:$A$1000,"&lt;="&amp;$C85,'CONTROLE PRODUÇÃO POR EMPRESAS'!$B$6:$B$1000,"?*"))=0,"",SUMIFS('CONTROLE PRODUÇÃO POR EMPRESAS'!$B$6:$B$1000,'CONTROLE PRODUÇÃO POR EMPRESAS'!$A$6:$A$1000,"&gt;="&amp;$B85,'CONTROLE PRODUÇÃO POR EMPRESAS'!$A$6:$A$1000,"&lt;="&amp;$C85)),IF($E85="IÇAMENTO JOIST",IF((COUNTIFS('CONTROLE PRODUÇÃO POR EMPRESAS'!$A$6:$A$1000,"&gt;="&amp;$B85,'CONTROLE PRODUÇÃO POR EMPRESAS'!$A$6:$A$1000,"&lt;="&amp;$C85,'CONTROLE PRODUÇÃO POR EMPRESAS'!$C$6:$C$1000,"&gt;=0")+COUNTIFS('CONTROLE PRODUÇÃO POR EMPRESAS'!$A$6:$A$1000,"&gt;="&amp;$B85,'CONTROLE PRODUÇÃO POR EMPRESAS'!$A$6:$A$1000,"&lt;="&amp;$C85,'CONTROLE PRODUÇÃO POR EMPRESAS'!$C$6:$C$1000,"?*"))=0,"",SUMIFS('CONTROLE PRODUÇÃO POR EMPRESAS'!$C$6:$C$1000,'CONTROLE PRODUÇÃO POR EMPRESAS'!$A$6:$A$1000,"&gt;="&amp;$B85,'CONTROLE PRODUÇÃO POR EMPRESAS'!$A$6:$A$1000,"&lt;="&amp;$C85)),IF($E85="VIGAS",IF((COUNTIFS('CONTROLE PRODUÇÃO POR EMPRESAS'!$A$6:$A$1000,"&gt;="&amp;$B85,'CONTROLE PRODUÇÃO POR EMPRESAS'!$A$6:$A$1000,"&lt;="&amp;$C85,'CONTROLE PRODUÇÃO POR EMPRESAS'!$D$6:$D$1000,"&gt;=0")+COUNTIFS('CONTROLE PRODUÇÃO POR EMPRESAS'!$A$6:$A$1000,"&gt;="&amp;$B85,'CONTROLE PRODUÇÃO POR EMPRESAS'!$A$6:$A$1000,"&lt;="&amp;$C85,'CONTROLE PRODUÇÃO POR EMPRESAS'!$D$6:$D$1000,"?*"))=0,"",SUMIFS('CONTROLE PRODUÇÃO POR EMPRESAS'!$D$6:$D$1000,'CONTROLE PRODUÇÃO POR EMPRESAS'!$A$6:$A$1000,"&gt;="&amp;$B85,'CONTROLE PRODUÇÃO POR EMPRESAS'!$A$6:$A$1000,"&lt;="&amp;$C85)),""))),IF($D85="CMM",IF($E85="PREMONTAGEM",IF((COUNTIFS('CONTROLE PRODUÇÃO POR EMPRESAS'!$A$6:$A$1000,"&gt;="&amp;$B85,'CONTROLE PRODUÇÃO POR EMPRESAS'!$A$6:$A$1000,"&lt;="&amp;$C85,'CONTROLE PRODUÇÃO POR EMPRESAS'!$E$6:$E$1000,"&gt;=0")+COUNTIFS('CONTROLE PRODUÇÃO POR EMPRESAS'!$A$6:$A$1000,"&gt;="&amp;$B85,'CONTROLE PRODUÇÃO POR EMPRESAS'!$A$6:$A$1000,"&lt;="&amp;$C85,'CONTROLE PRODUÇÃO POR EMPRESAS'!$E$6:$E$1000,"?*"))=0,"",SUMIFS('CONTROLE PRODUÇÃO POR EMPRESAS'!$E$6:$E$1000,'CONTROLE PRODUÇÃO POR EMPRESAS'!$A$6:$A$1000,"&gt;="&amp;$B85,'CONTROLE PRODUÇÃO POR EMPRESAS'!$A$6:$A$1000,"&lt;="&amp;$C85)),IF($E85="IÇAMENTO JOIST",IF((COUNTIFS('CONTROLE PRODUÇÃO POR EMPRESAS'!$A$6:$A$1000,"&gt;="&amp;$B85,'CONTROLE PRODUÇÃO POR EMPRESAS'!$A$6:$A$1000,"&lt;="&amp;$C85,'CONTROLE PRODUÇÃO POR EMPRESAS'!$F$6:$F$1000,"&gt;=0")+COUNTIFS('CONTROLE PRODUÇÃO POR EMPRESAS'!$A$6:$A$1000,"&gt;="&amp;$B85,'CONTROLE PRODUÇÃO POR EMPRESAS'!$A$6:$A$1000,"&lt;="&amp;$C85,'CONTROLE PRODUÇÃO POR EMPRESAS'!$F$6:$F$1000,"?*"))=0,"",SUMIFS('CONTROLE PRODUÇÃO POR EMPRESAS'!$F$6:$F$1000,'CONTROLE PRODUÇÃO POR EMPRESAS'!$A$6:$A$1000,"&gt;="&amp;$B85,'CONTROLE PRODUÇÃO POR EMPRESAS'!$A$6:$A$1000,"&lt;="&amp;$C85)),IF($E85="VIGAS",IF((COUNTIFS('CONTROLE PRODUÇÃO POR EMPRESAS'!$A$6:$A$1000,"&gt;="&amp;$B85,'CONTROLE PRODUÇÃO POR EMPRESAS'!$A$6:$A$1000,"&lt;="&amp;$C85,'CONTROLE PRODUÇÃO POR EMPRESAS'!$G$6:$G$1000,"&gt;=0")+COUNTIFS('CONTROLE PRODUÇÃO POR EMPRESAS'!$A$6:$A$1000,"&gt;="&amp;$B85,'CONTROLE PRODUÇÃO POR EMPRESAS'!$A$6:$A$1000,"&lt;="&amp;$C85,'CONTROLE PRODUÇÃO POR EMPRESAS'!$G$6:$G$1000,"?*"))=0,"",SUMIFS('CONTROLE PRODUÇÃO POR EMPRESAS'!$G$6:$G$1000,'CONTROLE PRODUÇÃO POR EMPRESAS'!$A$6:$A$1000,"&gt;="&amp;$B85,'CONTROLE PRODUÇÃO POR EMPRESAS'!$A$6:$A$1000,"&lt;="&amp;$C85)),""))),"")))</f>
        <v/>
      </c>
      <c r="M85" s="298">
        <f>IF(L85="","",MAX(J85-L85,0))</f>
        <v/>
      </c>
      <c r="N85" s="298">
        <f>IF(L85="","",MAX(L85-J85,0))</f>
        <v/>
      </c>
      <c r="O85" s="299">
        <f>IF(L85="","",IFERROR(L85/J85,""))</f>
        <v/>
      </c>
      <c r="P85" s="298">
        <f>IF(H85="","",SUMIFS($H$6:H85,$D$6:D85,D85,$E$6:E85,E85))</f>
        <v/>
      </c>
      <c r="Q85" s="298">
        <f>IF(L85="","",SUMIFS($L$6:L85,$D$6:D85,D85,$E$6:E85,E85))</f>
        <v/>
      </c>
      <c r="R85" s="298">
        <f>IF(Q85="","",MAX(P85-Q85,0))</f>
        <v/>
      </c>
      <c r="S85" s="108">
        <f>IF(O85="","",IF(O85&gt;=1,"VERDE",IF(O85&gt;=0.9,"AMARELO","VERMELHO")))</f>
        <v/>
      </c>
      <c r="T85" s="109" t="n"/>
      <c r="U85" s="109" t="n"/>
      <c r="V85" s="110" t="n"/>
      <c r="W85" s="302" t="n"/>
    </row>
    <row r="86" ht="15.75" customHeight="1">
      <c r="A86" s="112" t="n">
        <v>14</v>
      </c>
      <c r="B86" s="301" t="n">
        <v>46349</v>
      </c>
      <c r="C86" s="301" t="n">
        <v>46353</v>
      </c>
      <c r="D86" s="114" t="inlineStr">
        <is>
          <t>CMM</t>
        </is>
      </c>
      <c r="E86" s="115" t="inlineStr">
        <is>
          <t>VIGAS</t>
        </is>
      </c>
      <c r="F86" s="296">
        <f>IF(OR(D86="",E86=""),"",IF(COUNTIFS('METAS EMPRESAS'!$A$5:$A$10,D86,'METAS EMPRESAS'!$B$5:$B$10,E86)=0,"",SUMIFS('METAS EMPRESAS'!$C$5:$C$10,'METAS EMPRESAS'!$A$5:$A$10,D86,'METAS EMPRESAS'!$B$5:$B$10,E86)))</f>
        <v/>
      </c>
      <c r="G86" s="297" t="n">
        <v>5</v>
      </c>
      <c r="H86" s="298">
        <f>IF(F86="","",F86*G86)</f>
        <v/>
      </c>
      <c r="I86" s="298">
        <f>IF(M80="",0,M80)</f>
        <v/>
      </c>
      <c r="J86" s="298">
        <f>IF(H86="","",H86+I86)</f>
        <v/>
      </c>
      <c r="K86" s="298">
        <f>IF(J86="","",J86/G86)</f>
        <v/>
      </c>
      <c r="L86" s="297">
        <f>IF(OR($B86="",$C86="",$D86="",$E86=""),"",IF($D86="EJ",IF($E86="PREMONTAGEM",IF((COUNTIFS('CONTROLE PRODUÇÃO POR EMPRESAS'!$A$6:$A$1000,"&gt;="&amp;$B86,'CONTROLE PRODUÇÃO POR EMPRESAS'!$A$6:$A$1000,"&lt;="&amp;$C86,'CONTROLE PRODUÇÃO POR EMPRESAS'!$B$6:$B$1000,"&gt;=0")+COUNTIFS('CONTROLE PRODUÇÃO POR EMPRESAS'!$A$6:$A$1000,"&gt;="&amp;$B86,'CONTROLE PRODUÇÃO POR EMPRESAS'!$A$6:$A$1000,"&lt;="&amp;$C86,'CONTROLE PRODUÇÃO POR EMPRESAS'!$B$6:$B$1000,"?*"))=0,"",SUMIFS('CONTROLE PRODUÇÃO POR EMPRESAS'!$B$6:$B$1000,'CONTROLE PRODUÇÃO POR EMPRESAS'!$A$6:$A$1000,"&gt;="&amp;$B86,'CONTROLE PRODUÇÃO POR EMPRESAS'!$A$6:$A$1000,"&lt;="&amp;$C86)),IF($E86="IÇAMENTO JOIST",IF((COUNTIFS('CONTROLE PRODUÇÃO POR EMPRESAS'!$A$6:$A$1000,"&gt;="&amp;$B86,'CONTROLE PRODUÇÃO POR EMPRESAS'!$A$6:$A$1000,"&lt;="&amp;$C86,'CONTROLE PRODUÇÃO POR EMPRESAS'!$C$6:$C$1000,"&gt;=0")+COUNTIFS('CONTROLE PRODUÇÃO POR EMPRESAS'!$A$6:$A$1000,"&gt;="&amp;$B86,'CONTROLE PRODUÇÃO POR EMPRESAS'!$A$6:$A$1000,"&lt;="&amp;$C86,'CONTROLE PRODUÇÃO POR EMPRESAS'!$C$6:$C$1000,"?*"))=0,"",SUMIFS('CONTROLE PRODUÇÃO POR EMPRESAS'!$C$6:$C$1000,'CONTROLE PRODUÇÃO POR EMPRESAS'!$A$6:$A$1000,"&gt;="&amp;$B86,'CONTROLE PRODUÇÃO POR EMPRESAS'!$A$6:$A$1000,"&lt;="&amp;$C86)),IF($E86="VIGAS",IF((COUNTIFS('CONTROLE PRODUÇÃO POR EMPRESAS'!$A$6:$A$1000,"&gt;="&amp;$B86,'CONTROLE PRODUÇÃO POR EMPRESAS'!$A$6:$A$1000,"&lt;="&amp;$C86,'CONTROLE PRODUÇÃO POR EMPRESAS'!$D$6:$D$1000,"&gt;=0")+COUNTIFS('CONTROLE PRODUÇÃO POR EMPRESAS'!$A$6:$A$1000,"&gt;="&amp;$B86,'CONTROLE PRODUÇÃO POR EMPRESAS'!$A$6:$A$1000,"&lt;="&amp;$C86,'CONTROLE PRODUÇÃO POR EMPRESAS'!$D$6:$D$1000,"?*"))=0,"",SUMIFS('CONTROLE PRODUÇÃO POR EMPRESAS'!$D$6:$D$1000,'CONTROLE PRODUÇÃO POR EMPRESAS'!$A$6:$A$1000,"&gt;="&amp;$B86,'CONTROLE PRODUÇÃO POR EMPRESAS'!$A$6:$A$1000,"&lt;="&amp;$C86)),""))),IF($D86="CMM",IF($E86="PREMONTAGEM",IF((COUNTIFS('CONTROLE PRODUÇÃO POR EMPRESAS'!$A$6:$A$1000,"&gt;="&amp;$B86,'CONTROLE PRODUÇÃO POR EMPRESAS'!$A$6:$A$1000,"&lt;="&amp;$C86,'CONTROLE PRODUÇÃO POR EMPRESAS'!$E$6:$E$1000,"&gt;=0")+COUNTIFS('CONTROLE PRODUÇÃO POR EMPRESAS'!$A$6:$A$1000,"&gt;="&amp;$B86,'CONTROLE PRODUÇÃO POR EMPRESAS'!$A$6:$A$1000,"&lt;="&amp;$C86,'CONTROLE PRODUÇÃO POR EMPRESAS'!$E$6:$E$1000,"?*"))=0,"",SUMIFS('CONTROLE PRODUÇÃO POR EMPRESAS'!$E$6:$E$1000,'CONTROLE PRODUÇÃO POR EMPRESAS'!$A$6:$A$1000,"&gt;="&amp;$B86,'CONTROLE PRODUÇÃO POR EMPRESAS'!$A$6:$A$1000,"&lt;="&amp;$C86)),IF($E86="IÇAMENTO JOIST",IF((COUNTIFS('CONTROLE PRODUÇÃO POR EMPRESAS'!$A$6:$A$1000,"&gt;="&amp;$B86,'CONTROLE PRODUÇÃO POR EMPRESAS'!$A$6:$A$1000,"&lt;="&amp;$C86,'CONTROLE PRODUÇÃO POR EMPRESAS'!$F$6:$F$1000,"&gt;=0")+COUNTIFS('CONTROLE PRODUÇÃO POR EMPRESAS'!$A$6:$A$1000,"&gt;="&amp;$B86,'CONTROLE PRODUÇÃO POR EMPRESAS'!$A$6:$A$1000,"&lt;="&amp;$C86,'CONTROLE PRODUÇÃO POR EMPRESAS'!$F$6:$F$1000,"?*"))=0,"",SUMIFS('CONTROLE PRODUÇÃO POR EMPRESAS'!$F$6:$F$1000,'CONTROLE PRODUÇÃO POR EMPRESAS'!$A$6:$A$1000,"&gt;="&amp;$B86,'CONTROLE PRODUÇÃO POR EMPRESAS'!$A$6:$A$1000,"&lt;="&amp;$C86)),IF($E86="VIGAS",IF((COUNTIFS('CONTROLE PRODUÇÃO POR EMPRESAS'!$A$6:$A$1000,"&gt;="&amp;$B86,'CONTROLE PRODUÇÃO POR EMPRESAS'!$A$6:$A$1000,"&lt;="&amp;$C86,'CONTROLE PRODUÇÃO POR EMPRESAS'!$G$6:$G$1000,"&gt;=0")+COUNTIFS('CONTROLE PRODUÇÃO POR EMPRESAS'!$A$6:$A$1000,"&gt;="&amp;$B86,'CONTROLE PRODUÇÃO POR EMPRESAS'!$A$6:$A$1000,"&lt;="&amp;$C86,'CONTROLE PRODUÇÃO POR EMPRESAS'!$G$6:$G$1000,"?*"))=0,"",SUMIFS('CONTROLE PRODUÇÃO POR EMPRESAS'!$G$6:$G$1000,'CONTROLE PRODUÇÃO POR EMPRESAS'!$A$6:$A$1000,"&gt;="&amp;$B86,'CONTROLE PRODUÇÃO POR EMPRESAS'!$A$6:$A$1000,"&lt;="&amp;$C86)),""))),"")))</f>
        <v/>
      </c>
      <c r="M86" s="298">
        <f>IF(L86="","",MAX(J86-L86,0))</f>
        <v/>
      </c>
      <c r="N86" s="298">
        <f>IF(L86="","",MAX(L86-J86,0))</f>
        <v/>
      </c>
      <c r="O86" s="299">
        <f>IF(L86="","",IFERROR(L86/J86,""))</f>
        <v/>
      </c>
      <c r="P86" s="298">
        <f>IF(H86="","",SUMIFS($H$6:H86,$D$6:D86,D86,$E$6:E86,E86))</f>
        <v/>
      </c>
      <c r="Q86" s="298">
        <f>IF(L86="","",SUMIFS($L$6:L86,$D$6:D86,D86,$E$6:E86,E86))</f>
        <v/>
      </c>
      <c r="R86" s="298">
        <f>IF(Q86="","",MAX(P86-Q86,0))</f>
        <v/>
      </c>
      <c r="S86" s="108">
        <f>IF(O86="","",IF(O86&gt;=1,"VERDE",IF(O86&gt;=0.9,"AMARELO","VERMELHO")))</f>
        <v/>
      </c>
      <c r="T86" s="109" t="n"/>
      <c r="U86" s="109" t="n"/>
      <c r="V86" s="110" t="n"/>
      <c r="W86" s="302" t="n"/>
    </row>
    <row r="87" ht="15.75" customHeight="1">
      <c r="A87" s="117" t="n">
        <v>14</v>
      </c>
      <c r="B87" s="295" t="n">
        <v>46349</v>
      </c>
      <c r="C87" s="295" t="n">
        <v>46353</v>
      </c>
      <c r="D87" s="101" t="inlineStr">
        <is>
          <t>EJ</t>
        </is>
      </c>
      <c r="E87" s="103" t="inlineStr">
        <is>
          <t>PREMONTAGEM</t>
        </is>
      </c>
      <c r="F87" s="296">
        <f>IF(OR(D87="",E87=""),"",IF(COUNTIFS('METAS EMPRESAS'!$A$5:$A$10,D87,'METAS EMPRESAS'!$B$5:$B$10,E87)=0,"",SUMIFS('METAS EMPRESAS'!$C$5:$C$10,'METAS EMPRESAS'!$A$5:$A$10,D87,'METAS EMPRESAS'!$B$5:$B$10,E87)))</f>
        <v/>
      </c>
      <c r="G87" s="297" t="n">
        <v>5</v>
      </c>
      <c r="H87" s="298">
        <f>IF(F87="","",F87*G87)</f>
        <v/>
      </c>
      <c r="I87" s="298">
        <f>IF(M81="",0,M81)</f>
        <v/>
      </c>
      <c r="J87" s="298">
        <f>IF(H87="","",H87+I87)</f>
        <v/>
      </c>
      <c r="K87" s="298">
        <f>IF(J87="","",J87/G87)</f>
        <v/>
      </c>
      <c r="L87" s="297">
        <f>IF(OR($B87="",$C87="",$D87="",$E87=""),"",IF($D87="EJ",IF($E87="PREMONTAGEM",IF((COUNTIFS('CONTROLE PRODUÇÃO POR EMPRESAS'!$A$6:$A$1000,"&gt;="&amp;$B87,'CONTROLE PRODUÇÃO POR EMPRESAS'!$A$6:$A$1000,"&lt;="&amp;$C87,'CONTROLE PRODUÇÃO POR EMPRESAS'!$B$6:$B$1000,"&gt;=0")+COUNTIFS('CONTROLE PRODUÇÃO POR EMPRESAS'!$A$6:$A$1000,"&gt;="&amp;$B87,'CONTROLE PRODUÇÃO POR EMPRESAS'!$A$6:$A$1000,"&lt;="&amp;$C87,'CONTROLE PRODUÇÃO POR EMPRESAS'!$B$6:$B$1000,"?*"))=0,"",SUMIFS('CONTROLE PRODUÇÃO POR EMPRESAS'!$B$6:$B$1000,'CONTROLE PRODUÇÃO POR EMPRESAS'!$A$6:$A$1000,"&gt;="&amp;$B87,'CONTROLE PRODUÇÃO POR EMPRESAS'!$A$6:$A$1000,"&lt;="&amp;$C87)),IF($E87="IÇAMENTO JOIST",IF((COUNTIFS('CONTROLE PRODUÇÃO POR EMPRESAS'!$A$6:$A$1000,"&gt;="&amp;$B87,'CONTROLE PRODUÇÃO POR EMPRESAS'!$A$6:$A$1000,"&lt;="&amp;$C87,'CONTROLE PRODUÇÃO POR EMPRESAS'!$C$6:$C$1000,"&gt;=0")+COUNTIFS('CONTROLE PRODUÇÃO POR EMPRESAS'!$A$6:$A$1000,"&gt;="&amp;$B87,'CONTROLE PRODUÇÃO POR EMPRESAS'!$A$6:$A$1000,"&lt;="&amp;$C87,'CONTROLE PRODUÇÃO POR EMPRESAS'!$C$6:$C$1000,"?*"))=0,"",SUMIFS('CONTROLE PRODUÇÃO POR EMPRESAS'!$C$6:$C$1000,'CONTROLE PRODUÇÃO POR EMPRESAS'!$A$6:$A$1000,"&gt;="&amp;$B87,'CONTROLE PRODUÇÃO POR EMPRESAS'!$A$6:$A$1000,"&lt;="&amp;$C87)),IF($E87="VIGAS",IF((COUNTIFS('CONTROLE PRODUÇÃO POR EMPRESAS'!$A$6:$A$1000,"&gt;="&amp;$B87,'CONTROLE PRODUÇÃO POR EMPRESAS'!$A$6:$A$1000,"&lt;="&amp;$C87,'CONTROLE PRODUÇÃO POR EMPRESAS'!$D$6:$D$1000,"&gt;=0")+COUNTIFS('CONTROLE PRODUÇÃO POR EMPRESAS'!$A$6:$A$1000,"&gt;="&amp;$B87,'CONTROLE PRODUÇÃO POR EMPRESAS'!$A$6:$A$1000,"&lt;="&amp;$C87,'CONTROLE PRODUÇÃO POR EMPRESAS'!$D$6:$D$1000,"?*"))=0,"",SUMIFS('CONTROLE PRODUÇÃO POR EMPRESAS'!$D$6:$D$1000,'CONTROLE PRODUÇÃO POR EMPRESAS'!$A$6:$A$1000,"&gt;="&amp;$B87,'CONTROLE PRODUÇÃO POR EMPRESAS'!$A$6:$A$1000,"&lt;="&amp;$C87)),""))),IF($D87="CMM",IF($E87="PREMONTAGEM",IF((COUNTIFS('CONTROLE PRODUÇÃO POR EMPRESAS'!$A$6:$A$1000,"&gt;="&amp;$B87,'CONTROLE PRODUÇÃO POR EMPRESAS'!$A$6:$A$1000,"&lt;="&amp;$C87,'CONTROLE PRODUÇÃO POR EMPRESAS'!$E$6:$E$1000,"&gt;=0")+COUNTIFS('CONTROLE PRODUÇÃO POR EMPRESAS'!$A$6:$A$1000,"&gt;="&amp;$B87,'CONTROLE PRODUÇÃO POR EMPRESAS'!$A$6:$A$1000,"&lt;="&amp;$C87,'CONTROLE PRODUÇÃO POR EMPRESAS'!$E$6:$E$1000,"?*"))=0,"",SUMIFS('CONTROLE PRODUÇÃO POR EMPRESAS'!$E$6:$E$1000,'CONTROLE PRODUÇÃO POR EMPRESAS'!$A$6:$A$1000,"&gt;="&amp;$B87,'CONTROLE PRODUÇÃO POR EMPRESAS'!$A$6:$A$1000,"&lt;="&amp;$C87)),IF($E87="IÇAMENTO JOIST",IF((COUNTIFS('CONTROLE PRODUÇÃO POR EMPRESAS'!$A$6:$A$1000,"&gt;="&amp;$B87,'CONTROLE PRODUÇÃO POR EMPRESAS'!$A$6:$A$1000,"&lt;="&amp;$C87,'CONTROLE PRODUÇÃO POR EMPRESAS'!$F$6:$F$1000,"&gt;=0")+COUNTIFS('CONTROLE PRODUÇÃO POR EMPRESAS'!$A$6:$A$1000,"&gt;="&amp;$B87,'CONTROLE PRODUÇÃO POR EMPRESAS'!$A$6:$A$1000,"&lt;="&amp;$C87,'CONTROLE PRODUÇÃO POR EMPRESAS'!$F$6:$F$1000,"?*"))=0,"",SUMIFS('CONTROLE PRODUÇÃO POR EMPRESAS'!$F$6:$F$1000,'CONTROLE PRODUÇÃO POR EMPRESAS'!$A$6:$A$1000,"&gt;="&amp;$B87,'CONTROLE PRODUÇÃO POR EMPRESAS'!$A$6:$A$1000,"&lt;="&amp;$C87)),IF($E87="VIGAS",IF((COUNTIFS('CONTROLE PRODUÇÃO POR EMPRESAS'!$A$6:$A$1000,"&gt;="&amp;$B87,'CONTROLE PRODUÇÃO POR EMPRESAS'!$A$6:$A$1000,"&lt;="&amp;$C87,'CONTROLE PRODUÇÃO POR EMPRESAS'!$G$6:$G$1000,"&gt;=0")+COUNTIFS('CONTROLE PRODUÇÃO POR EMPRESAS'!$A$6:$A$1000,"&gt;="&amp;$B87,'CONTROLE PRODUÇÃO POR EMPRESAS'!$A$6:$A$1000,"&lt;="&amp;$C87,'CONTROLE PRODUÇÃO POR EMPRESAS'!$G$6:$G$1000,"?*"))=0,"",SUMIFS('CONTROLE PRODUÇÃO POR EMPRESAS'!$G$6:$G$1000,'CONTROLE PRODUÇÃO POR EMPRESAS'!$A$6:$A$1000,"&gt;="&amp;$B87,'CONTROLE PRODUÇÃO POR EMPRESAS'!$A$6:$A$1000,"&lt;="&amp;$C87)),""))),"")))</f>
        <v/>
      </c>
      <c r="M87" s="298">
        <f>IF(L87="","",MAX(J87-L87,0))</f>
        <v/>
      </c>
      <c r="N87" s="298">
        <f>IF(L87="","",MAX(L87-J87,0))</f>
        <v/>
      </c>
      <c r="O87" s="299">
        <f>IF(L87="","",IFERROR(L87/J87,""))</f>
        <v/>
      </c>
      <c r="P87" s="298">
        <f>IF(H87="","",SUMIFS($H$6:H87,$D$6:D87,D87,$E$6:E87,E87))</f>
        <v/>
      </c>
      <c r="Q87" s="298">
        <f>IF(L87="","",SUMIFS($L$6:L87,$D$6:D87,D87,$E$6:E87,E87))</f>
        <v/>
      </c>
      <c r="R87" s="298">
        <f>IF(Q87="","",MAX(P87-Q87,0))</f>
        <v/>
      </c>
      <c r="S87" s="108">
        <f>IF(O87="","",IF(O87&gt;=1,"VERDE",IF(O87&gt;=0.9,"AMARELO","VERMELHO")))</f>
        <v/>
      </c>
      <c r="T87" s="109" t="n"/>
      <c r="U87" s="109" t="n"/>
      <c r="V87" s="110" t="n"/>
      <c r="W87" s="302" t="n"/>
    </row>
    <row r="88" ht="15.75" customHeight="1">
      <c r="A88" s="112" t="n">
        <v>14</v>
      </c>
      <c r="B88" s="301" t="n">
        <v>46349</v>
      </c>
      <c r="C88" s="301" t="n">
        <v>46353</v>
      </c>
      <c r="D88" s="114" t="inlineStr">
        <is>
          <t>EJ</t>
        </is>
      </c>
      <c r="E88" s="115" t="inlineStr">
        <is>
          <t>IÇAMENTO JOIST</t>
        </is>
      </c>
      <c r="F88" s="296">
        <f>IF(OR(D88="",E88=""),"",IF(COUNTIFS('METAS EMPRESAS'!$A$5:$A$10,D88,'METAS EMPRESAS'!$B$5:$B$10,E88)=0,"",SUMIFS('METAS EMPRESAS'!$C$5:$C$10,'METAS EMPRESAS'!$A$5:$A$10,D88,'METAS EMPRESAS'!$B$5:$B$10,E88)))</f>
        <v/>
      </c>
      <c r="G88" s="297" t="n">
        <v>5</v>
      </c>
      <c r="H88" s="298">
        <f>IF(F88="","",F88*G88)</f>
        <v/>
      </c>
      <c r="I88" s="298">
        <f>IF(M82="",0,M82)</f>
        <v/>
      </c>
      <c r="J88" s="298">
        <f>IF(H88="","",H88+I88)</f>
        <v/>
      </c>
      <c r="K88" s="298">
        <f>IF(J88="","",J88/G88)</f>
        <v/>
      </c>
      <c r="L88" s="297">
        <f>IF(OR($B88="",$C88="",$D88="",$E88=""),"",IF($D88="EJ",IF($E88="PREMONTAGEM",IF((COUNTIFS('CONTROLE PRODUÇÃO POR EMPRESAS'!$A$6:$A$1000,"&gt;="&amp;$B88,'CONTROLE PRODUÇÃO POR EMPRESAS'!$A$6:$A$1000,"&lt;="&amp;$C88,'CONTROLE PRODUÇÃO POR EMPRESAS'!$B$6:$B$1000,"&gt;=0")+COUNTIFS('CONTROLE PRODUÇÃO POR EMPRESAS'!$A$6:$A$1000,"&gt;="&amp;$B88,'CONTROLE PRODUÇÃO POR EMPRESAS'!$A$6:$A$1000,"&lt;="&amp;$C88,'CONTROLE PRODUÇÃO POR EMPRESAS'!$B$6:$B$1000,"?*"))=0,"",SUMIFS('CONTROLE PRODUÇÃO POR EMPRESAS'!$B$6:$B$1000,'CONTROLE PRODUÇÃO POR EMPRESAS'!$A$6:$A$1000,"&gt;="&amp;$B88,'CONTROLE PRODUÇÃO POR EMPRESAS'!$A$6:$A$1000,"&lt;="&amp;$C88)),IF($E88="IÇAMENTO JOIST",IF((COUNTIFS('CONTROLE PRODUÇÃO POR EMPRESAS'!$A$6:$A$1000,"&gt;="&amp;$B88,'CONTROLE PRODUÇÃO POR EMPRESAS'!$A$6:$A$1000,"&lt;="&amp;$C88,'CONTROLE PRODUÇÃO POR EMPRESAS'!$C$6:$C$1000,"&gt;=0")+COUNTIFS('CONTROLE PRODUÇÃO POR EMPRESAS'!$A$6:$A$1000,"&gt;="&amp;$B88,'CONTROLE PRODUÇÃO POR EMPRESAS'!$A$6:$A$1000,"&lt;="&amp;$C88,'CONTROLE PRODUÇÃO POR EMPRESAS'!$C$6:$C$1000,"?*"))=0,"",SUMIFS('CONTROLE PRODUÇÃO POR EMPRESAS'!$C$6:$C$1000,'CONTROLE PRODUÇÃO POR EMPRESAS'!$A$6:$A$1000,"&gt;="&amp;$B88,'CONTROLE PRODUÇÃO POR EMPRESAS'!$A$6:$A$1000,"&lt;="&amp;$C88)),IF($E88="VIGAS",IF((COUNTIFS('CONTROLE PRODUÇÃO POR EMPRESAS'!$A$6:$A$1000,"&gt;="&amp;$B88,'CONTROLE PRODUÇÃO POR EMPRESAS'!$A$6:$A$1000,"&lt;="&amp;$C88,'CONTROLE PRODUÇÃO POR EMPRESAS'!$D$6:$D$1000,"&gt;=0")+COUNTIFS('CONTROLE PRODUÇÃO POR EMPRESAS'!$A$6:$A$1000,"&gt;="&amp;$B88,'CONTROLE PRODUÇÃO POR EMPRESAS'!$A$6:$A$1000,"&lt;="&amp;$C88,'CONTROLE PRODUÇÃO POR EMPRESAS'!$D$6:$D$1000,"?*"))=0,"",SUMIFS('CONTROLE PRODUÇÃO POR EMPRESAS'!$D$6:$D$1000,'CONTROLE PRODUÇÃO POR EMPRESAS'!$A$6:$A$1000,"&gt;="&amp;$B88,'CONTROLE PRODUÇÃO POR EMPRESAS'!$A$6:$A$1000,"&lt;="&amp;$C88)),""))),IF($D88="CMM",IF($E88="PREMONTAGEM",IF((COUNTIFS('CONTROLE PRODUÇÃO POR EMPRESAS'!$A$6:$A$1000,"&gt;="&amp;$B88,'CONTROLE PRODUÇÃO POR EMPRESAS'!$A$6:$A$1000,"&lt;="&amp;$C88,'CONTROLE PRODUÇÃO POR EMPRESAS'!$E$6:$E$1000,"&gt;=0")+COUNTIFS('CONTROLE PRODUÇÃO POR EMPRESAS'!$A$6:$A$1000,"&gt;="&amp;$B88,'CONTROLE PRODUÇÃO POR EMPRESAS'!$A$6:$A$1000,"&lt;="&amp;$C88,'CONTROLE PRODUÇÃO POR EMPRESAS'!$E$6:$E$1000,"?*"))=0,"",SUMIFS('CONTROLE PRODUÇÃO POR EMPRESAS'!$E$6:$E$1000,'CONTROLE PRODUÇÃO POR EMPRESAS'!$A$6:$A$1000,"&gt;="&amp;$B88,'CONTROLE PRODUÇÃO POR EMPRESAS'!$A$6:$A$1000,"&lt;="&amp;$C88)),IF($E88="IÇAMENTO JOIST",IF((COUNTIFS('CONTROLE PRODUÇÃO POR EMPRESAS'!$A$6:$A$1000,"&gt;="&amp;$B88,'CONTROLE PRODUÇÃO POR EMPRESAS'!$A$6:$A$1000,"&lt;="&amp;$C88,'CONTROLE PRODUÇÃO POR EMPRESAS'!$F$6:$F$1000,"&gt;=0")+COUNTIFS('CONTROLE PRODUÇÃO POR EMPRESAS'!$A$6:$A$1000,"&gt;="&amp;$B88,'CONTROLE PRODUÇÃO POR EMPRESAS'!$A$6:$A$1000,"&lt;="&amp;$C88,'CONTROLE PRODUÇÃO POR EMPRESAS'!$F$6:$F$1000,"?*"))=0,"",SUMIFS('CONTROLE PRODUÇÃO POR EMPRESAS'!$F$6:$F$1000,'CONTROLE PRODUÇÃO POR EMPRESAS'!$A$6:$A$1000,"&gt;="&amp;$B88,'CONTROLE PRODUÇÃO POR EMPRESAS'!$A$6:$A$1000,"&lt;="&amp;$C88)),IF($E88="VIGAS",IF((COUNTIFS('CONTROLE PRODUÇÃO POR EMPRESAS'!$A$6:$A$1000,"&gt;="&amp;$B88,'CONTROLE PRODUÇÃO POR EMPRESAS'!$A$6:$A$1000,"&lt;="&amp;$C88,'CONTROLE PRODUÇÃO POR EMPRESAS'!$G$6:$G$1000,"&gt;=0")+COUNTIFS('CONTROLE PRODUÇÃO POR EMPRESAS'!$A$6:$A$1000,"&gt;="&amp;$B88,'CONTROLE PRODUÇÃO POR EMPRESAS'!$A$6:$A$1000,"&lt;="&amp;$C88,'CONTROLE PRODUÇÃO POR EMPRESAS'!$G$6:$G$1000,"?*"))=0,"",SUMIFS('CONTROLE PRODUÇÃO POR EMPRESAS'!$G$6:$G$1000,'CONTROLE PRODUÇÃO POR EMPRESAS'!$A$6:$A$1000,"&gt;="&amp;$B88,'CONTROLE PRODUÇÃO POR EMPRESAS'!$A$6:$A$1000,"&lt;="&amp;$C88)),""))),"")))</f>
        <v/>
      </c>
      <c r="M88" s="298">
        <f>IF(L88="","",MAX(J88-L88,0))</f>
        <v/>
      </c>
      <c r="N88" s="298">
        <f>IF(L88="","",MAX(L88-J88,0))</f>
        <v/>
      </c>
      <c r="O88" s="299">
        <f>IF(L88="","",IFERROR(L88/J88,""))</f>
        <v/>
      </c>
      <c r="P88" s="298">
        <f>IF(H88="","",SUMIFS($H$6:H88,$D$6:D88,D88,$E$6:E88,E88))</f>
        <v/>
      </c>
      <c r="Q88" s="298">
        <f>IF(L88="","",SUMIFS($L$6:L88,$D$6:D88,D88,$E$6:E88,E88))</f>
        <v/>
      </c>
      <c r="R88" s="298">
        <f>IF(Q88="","",MAX(P88-Q88,0))</f>
        <v/>
      </c>
      <c r="S88" s="108">
        <f>IF(O88="","",IF(O88&gt;=1,"VERDE",IF(O88&gt;=0.9,"AMARELO","VERMELHO")))</f>
        <v/>
      </c>
      <c r="T88" s="109" t="n"/>
      <c r="U88" s="109" t="n"/>
      <c r="V88" s="110" t="n"/>
      <c r="W88" s="302" t="n"/>
    </row>
    <row r="89" ht="15.75" customHeight="1">
      <c r="A89" s="117" t="n">
        <v>14</v>
      </c>
      <c r="B89" s="295" t="n">
        <v>46349</v>
      </c>
      <c r="C89" s="295" t="n">
        <v>46353</v>
      </c>
      <c r="D89" s="101" t="inlineStr">
        <is>
          <t>EJ</t>
        </is>
      </c>
      <c r="E89" s="103" t="inlineStr">
        <is>
          <t>VIGAS</t>
        </is>
      </c>
      <c r="F89" s="296">
        <f>IF(OR(D89="",E89=""),"",IF(COUNTIFS('METAS EMPRESAS'!$A$5:$A$10,D89,'METAS EMPRESAS'!$B$5:$B$10,E89)=0,"",SUMIFS('METAS EMPRESAS'!$C$5:$C$10,'METAS EMPRESAS'!$A$5:$A$10,D89,'METAS EMPRESAS'!$B$5:$B$10,E89)))</f>
        <v/>
      </c>
      <c r="G89" s="297" t="n">
        <v>5</v>
      </c>
      <c r="H89" s="298">
        <f>IF(F89="","",F89*G89)</f>
        <v/>
      </c>
      <c r="I89" s="298">
        <f>IF(M83="",0,M83)</f>
        <v/>
      </c>
      <c r="J89" s="298">
        <f>IF(H89="","",H89+I89)</f>
        <v/>
      </c>
      <c r="K89" s="298">
        <f>IF(J89="","",J89/G89)</f>
        <v/>
      </c>
      <c r="L89" s="297">
        <f>IF(OR($B89="",$C89="",$D89="",$E89=""),"",IF($D89="EJ",IF($E89="PREMONTAGEM",IF((COUNTIFS('CONTROLE PRODUÇÃO POR EMPRESAS'!$A$6:$A$1000,"&gt;="&amp;$B89,'CONTROLE PRODUÇÃO POR EMPRESAS'!$A$6:$A$1000,"&lt;="&amp;$C89,'CONTROLE PRODUÇÃO POR EMPRESAS'!$B$6:$B$1000,"&gt;=0")+COUNTIFS('CONTROLE PRODUÇÃO POR EMPRESAS'!$A$6:$A$1000,"&gt;="&amp;$B89,'CONTROLE PRODUÇÃO POR EMPRESAS'!$A$6:$A$1000,"&lt;="&amp;$C89,'CONTROLE PRODUÇÃO POR EMPRESAS'!$B$6:$B$1000,"?*"))=0,"",SUMIFS('CONTROLE PRODUÇÃO POR EMPRESAS'!$B$6:$B$1000,'CONTROLE PRODUÇÃO POR EMPRESAS'!$A$6:$A$1000,"&gt;="&amp;$B89,'CONTROLE PRODUÇÃO POR EMPRESAS'!$A$6:$A$1000,"&lt;="&amp;$C89)),IF($E89="IÇAMENTO JOIST",IF((COUNTIFS('CONTROLE PRODUÇÃO POR EMPRESAS'!$A$6:$A$1000,"&gt;="&amp;$B89,'CONTROLE PRODUÇÃO POR EMPRESAS'!$A$6:$A$1000,"&lt;="&amp;$C89,'CONTROLE PRODUÇÃO POR EMPRESAS'!$C$6:$C$1000,"&gt;=0")+COUNTIFS('CONTROLE PRODUÇÃO POR EMPRESAS'!$A$6:$A$1000,"&gt;="&amp;$B89,'CONTROLE PRODUÇÃO POR EMPRESAS'!$A$6:$A$1000,"&lt;="&amp;$C89,'CONTROLE PRODUÇÃO POR EMPRESAS'!$C$6:$C$1000,"?*"))=0,"",SUMIFS('CONTROLE PRODUÇÃO POR EMPRESAS'!$C$6:$C$1000,'CONTROLE PRODUÇÃO POR EMPRESAS'!$A$6:$A$1000,"&gt;="&amp;$B89,'CONTROLE PRODUÇÃO POR EMPRESAS'!$A$6:$A$1000,"&lt;="&amp;$C89)),IF($E89="VIGAS",IF((COUNTIFS('CONTROLE PRODUÇÃO POR EMPRESAS'!$A$6:$A$1000,"&gt;="&amp;$B89,'CONTROLE PRODUÇÃO POR EMPRESAS'!$A$6:$A$1000,"&lt;="&amp;$C89,'CONTROLE PRODUÇÃO POR EMPRESAS'!$D$6:$D$1000,"&gt;=0")+COUNTIFS('CONTROLE PRODUÇÃO POR EMPRESAS'!$A$6:$A$1000,"&gt;="&amp;$B89,'CONTROLE PRODUÇÃO POR EMPRESAS'!$A$6:$A$1000,"&lt;="&amp;$C89,'CONTROLE PRODUÇÃO POR EMPRESAS'!$D$6:$D$1000,"?*"))=0,"",SUMIFS('CONTROLE PRODUÇÃO POR EMPRESAS'!$D$6:$D$1000,'CONTROLE PRODUÇÃO POR EMPRESAS'!$A$6:$A$1000,"&gt;="&amp;$B89,'CONTROLE PRODUÇÃO POR EMPRESAS'!$A$6:$A$1000,"&lt;="&amp;$C89)),""))),IF($D89="CMM",IF($E89="PREMONTAGEM",IF((COUNTIFS('CONTROLE PRODUÇÃO POR EMPRESAS'!$A$6:$A$1000,"&gt;="&amp;$B89,'CONTROLE PRODUÇÃO POR EMPRESAS'!$A$6:$A$1000,"&lt;="&amp;$C89,'CONTROLE PRODUÇÃO POR EMPRESAS'!$E$6:$E$1000,"&gt;=0")+COUNTIFS('CONTROLE PRODUÇÃO POR EMPRESAS'!$A$6:$A$1000,"&gt;="&amp;$B89,'CONTROLE PRODUÇÃO POR EMPRESAS'!$A$6:$A$1000,"&lt;="&amp;$C89,'CONTROLE PRODUÇÃO POR EMPRESAS'!$E$6:$E$1000,"?*"))=0,"",SUMIFS('CONTROLE PRODUÇÃO POR EMPRESAS'!$E$6:$E$1000,'CONTROLE PRODUÇÃO POR EMPRESAS'!$A$6:$A$1000,"&gt;="&amp;$B89,'CONTROLE PRODUÇÃO POR EMPRESAS'!$A$6:$A$1000,"&lt;="&amp;$C89)),IF($E89="IÇAMENTO JOIST",IF((COUNTIFS('CONTROLE PRODUÇÃO POR EMPRESAS'!$A$6:$A$1000,"&gt;="&amp;$B89,'CONTROLE PRODUÇÃO POR EMPRESAS'!$A$6:$A$1000,"&lt;="&amp;$C89,'CONTROLE PRODUÇÃO POR EMPRESAS'!$F$6:$F$1000,"&gt;=0")+COUNTIFS('CONTROLE PRODUÇÃO POR EMPRESAS'!$A$6:$A$1000,"&gt;="&amp;$B89,'CONTROLE PRODUÇÃO POR EMPRESAS'!$A$6:$A$1000,"&lt;="&amp;$C89,'CONTROLE PRODUÇÃO POR EMPRESAS'!$F$6:$F$1000,"?*"))=0,"",SUMIFS('CONTROLE PRODUÇÃO POR EMPRESAS'!$F$6:$F$1000,'CONTROLE PRODUÇÃO POR EMPRESAS'!$A$6:$A$1000,"&gt;="&amp;$B89,'CONTROLE PRODUÇÃO POR EMPRESAS'!$A$6:$A$1000,"&lt;="&amp;$C89)),IF($E89="VIGAS",IF((COUNTIFS('CONTROLE PRODUÇÃO POR EMPRESAS'!$A$6:$A$1000,"&gt;="&amp;$B89,'CONTROLE PRODUÇÃO POR EMPRESAS'!$A$6:$A$1000,"&lt;="&amp;$C89,'CONTROLE PRODUÇÃO POR EMPRESAS'!$G$6:$G$1000,"&gt;=0")+COUNTIFS('CONTROLE PRODUÇÃO POR EMPRESAS'!$A$6:$A$1000,"&gt;="&amp;$B89,'CONTROLE PRODUÇÃO POR EMPRESAS'!$A$6:$A$1000,"&lt;="&amp;$C89,'CONTROLE PRODUÇÃO POR EMPRESAS'!$G$6:$G$1000,"?*"))=0,"",SUMIFS('CONTROLE PRODUÇÃO POR EMPRESAS'!$G$6:$G$1000,'CONTROLE PRODUÇÃO POR EMPRESAS'!$A$6:$A$1000,"&gt;="&amp;$B89,'CONTROLE PRODUÇÃO POR EMPRESAS'!$A$6:$A$1000,"&lt;="&amp;$C89)),""))),"")))</f>
        <v/>
      </c>
      <c r="M89" s="298">
        <f>IF(L89="","",MAX(J89-L89,0))</f>
        <v/>
      </c>
      <c r="N89" s="298">
        <f>IF(L89="","",MAX(L89-J89,0))</f>
        <v/>
      </c>
      <c r="O89" s="299">
        <f>IF(L89="","",IFERROR(L89/J89,""))</f>
        <v/>
      </c>
      <c r="P89" s="298">
        <f>IF(H89="","",SUMIFS($H$6:H89,$D$6:D89,D89,$E$6:E89,E89))</f>
        <v/>
      </c>
      <c r="Q89" s="298">
        <f>IF(L89="","",SUMIFS($L$6:L89,$D$6:D89,D89,$E$6:E89,E89))</f>
        <v/>
      </c>
      <c r="R89" s="298">
        <f>IF(Q89="","",MAX(P89-Q89,0))</f>
        <v/>
      </c>
      <c r="S89" s="108">
        <f>IF(O89="","",IF(O89&gt;=1,"VERDE",IF(O89&gt;=0.9,"AMARELO","VERMELHO")))</f>
        <v/>
      </c>
      <c r="T89" s="109" t="n"/>
      <c r="U89" s="109" t="n"/>
      <c r="V89" s="110" t="n"/>
      <c r="W89" s="302" t="n"/>
    </row>
    <row r="90" ht="15.75" customHeight="1">
      <c r="A90" s="112" t="n">
        <v>15</v>
      </c>
      <c r="B90" s="301" t="n">
        <v>46356</v>
      </c>
      <c r="C90" s="301" t="n">
        <v>46360</v>
      </c>
      <c r="D90" s="114" t="inlineStr">
        <is>
          <t>CMM</t>
        </is>
      </c>
      <c r="E90" s="115" t="inlineStr">
        <is>
          <t>PREMONTAGEM</t>
        </is>
      </c>
      <c r="F90" s="296">
        <f>IF(OR(D90="",E90=""),"",IF(COUNTIFS('METAS EMPRESAS'!$A$5:$A$10,D90,'METAS EMPRESAS'!$B$5:$B$10,E90)=0,"",SUMIFS('METAS EMPRESAS'!$C$5:$C$10,'METAS EMPRESAS'!$A$5:$A$10,D90,'METAS EMPRESAS'!$B$5:$B$10,E90)))</f>
        <v/>
      </c>
      <c r="G90" s="297" t="n">
        <v>5</v>
      </c>
      <c r="H90" s="298">
        <f>IF(F90="","",F90*G90)</f>
        <v/>
      </c>
      <c r="I90" s="298">
        <f>IF(M84="",0,M84)</f>
        <v/>
      </c>
      <c r="J90" s="298">
        <f>IF(H90="","",H90+I90)</f>
        <v/>
      </c>
      <c r="K90" s="298">
        <f>IF(J90="","",J90/G90)</f>
        <v/>
      </c>
      <c r="L90" s="297">
        <f>IF(OR($B90="",$C90="",$D90="",$E90=""),"",IF($D90="EJ",IF($E90="PREMONTAGEM",IF((COUNTIFS('CONTROLE PRODUÇÃO POR EMPRESAS'!$A$6:$A$1000,"&gt;="&amp;$B90,'CONTROLE PRODUÇÃO POR EMPRESAS'!$A$6:$A$1000,"&lt;="&amp;$C90,'CONTROLE PRODUÇÃO POR EMPRESAS'!$B$6:$B$1000,"&gt;=0")+COUNTIFS('CONTROLE PRODUÇÃO POR EMPRESAS'!$A$6:$A$1000,"&gt;="&amp;$B90,'CONTROLE PRODUÇÃO POR EMPRESAS'!$A$6:$A$1000,"&lt;="&amp;$C90,'CONTROLE PRODUÇÃO POR EMPRESAS'!$B$6:$B$1000,"?*"))=0,"",SUMIFS('CONTROLE PRODUÇÃO POR EMPRESAS'!$B$6:$B$1000,'CONTROLE PRODUÇÃO POR EMPRESAS'!$A$6:$A$1000,"&gt;="&amp;$B90,'CONTROLE PRODUÇÃO POR EMPRESAS'!$A$6:$A$1000,"&lt;="&amp;$C90)),IF($E90="IÇAMENTO JOIST",IF((COUNTIFS('CONTROLE PRODUÇÃO POR EMPRESAS'!$A$6:$A$1000,"&gt;="&amp;$B90,'CONTROLE PRODUÇÃO POR EMPRESAS'!$A$6:$A$1000,"&lt;="&amp;$C90,'CONTROLE PRODUÇÃO POR EMPRESAS'!$C$6:$C$1000,"&gt;=0")+COUNTIFS('CONTROLE PRODUÇÃO POR EMPRESAS'!$A$6:$A$1000,"&gt;="&amp;$B90,'CONTROLE PRODUÇÃO POR EMPRESAS'!$A$6:$A$1000,"&lt;="&amp;$C90,'CONTROLE PRODUÇÃO POR EMPRESAS'!$C$6:$C$1000,"?*"))=0,"",SUMIFS('CONTROLE PRODUÇÃO POR EMPRESAS'!$C$6:$C$1000,'CONTROLE PRODUÇÃO POR EMPRESAS'!$A$6:$A$1000,"&gt;="&amp;$B90,'CONTROLE PRODUÇÃO POR EMPRESAS'!$A$6:$A$1000,"&lt;="&amp;$C90)),IF($E90="VIGAS",IF((COUNTIFS('CONTROLE PRODUÇÃO POR EMPRESAS'!$A$6:$A$1000,"&gt;="&amp;$B90,'CONTROLE PRODUÇÃO POR EMPRESAS'!$A$6:$A$1000,"&lt;="&amp;$C90,'CONTROLE PRODUÇÃO POR EMPRESAS'!$D$6:$D$1000,"&gt;=0")+COUNTIFS('CONTROLE PRODUÇÃO POR EMPRESAS'!$A$6:$A$1000,"&gt;="&amp;$B90,'CONTROLE PRODUÇÃO POR EMPRESAS'!$A$6:$A$1000,"&lt;="&amp;$C90,'CONTROLE PRODUÇÃO POR EMPRESAS'!$D$6:$D$1000,"?*"))=0,"",SUMIFS('CONTROLE PRODUÇÃO POR EMPRESAS'!$D$6:$D$1000,'CONTROLE PRODUÇÃO POR EMPRESAS'!$A$6:$A$1000,"&gt;="&amp;$B90,'CONTROLE PRODUÇÃO POR EMPRESAS'!$A$6:$A$1000,"&lt;="&amp;$C90)),""))),IF($D90="CMM",IF($E90="PREMONTAGEM",IF((COUNTIFS('CONTROLE PRODUÇÃO POR EMPRESAS'!$A$6:$A$1000,"&gt;="&amp;$B90,'CONTROLE PRODUÇÃO POR EMPRESAS'!$A$6:$A$1000,"&lt;="&amp;$C90,'CONTROLE PRODUÇÃO POR EMPRESAS'!$E$6:$E$1000,"&gt;=0")+COUNTIFS('CONTROLE PRODUÇÃO POR EMPRESAS'!$A$6:$A$1000,"&gt;="&amp;$B90,'CONTROLE PRODUÇÃO POR EMPRESAS'!$A$6:$A$1000,"&lt;="&amp;$C90,'CONTROLE PRODUÇÃO POR EMPRESAS'!$E$6:$E$1000,"?*"))=0,"",SUMIFS('CONTROLE PRODUÇÃO POR EMPRESAS'!$E$6:$E$1000,'CONTROLE PRODUÇÃO POR EMPRESAS'!$A$6:$A$1000,"&gt;="&amp;$B90,'CONTROLE PRODUÇÃO POR EMPRESAS'!$A$6:$A$1000,"&lt;="&amp;$C90)),IF($E90="IÇAMENTO JOIST",IF((COUNTIFS('CONTROLE PRODUÇÃO POR EMPRESAS'!$A$6:$A$1000,"&gt;="&amp;$B90,'CONTROLE PRODUÇÃO POR EMPRESAS'!$A$6:$A$1000,"&lt;="&amp;$C90,'CONTROLE PRODUÇÃO POR EMPRESAS'!$F$6:$F$1000,"&gt;=0")+COUNTIFS('CONTROLE PRODUÇÃO POR EMPRESAS'!$A$6:$A$1000,"&gt;="&amp;$B90,'CONTROLE PRODUÇÃO POR EMPRESAS'!$A$6:$A$1000,"&lt;="&amp;$C90,'CONTROLE PRODUÇÃO POR EMPRESAS'!$F$6:$F$1000,"?*"))=0,"",SUMIFS('CONTROLE PRODUÇÃO POR EMPRESAS'!$F$6:$F$1000,'CONTROLE PRODUÇÃO POR EMPRESAS'!$A$6:$A$1000,"&gt;="&amp;$B90,'CONTROLE PRODUÇÃO POR EMPRESAS'!$A$6:$A$1000,"&lt;="&amp;$C90)),IF($E90="VIGAS",IF((COUNTIFS('CONTROLE PRODUÇÃO POR EMPRESAS'!$A$6:$A$1000,"&gt;="&amp;$B90,'CONTROLE PRODUÇÃO POR EMPRESAS'!$A$6:$A$1000,"&lt;="&amp;$C90,'CONTROLE PRODUÇÃO POR EMPRESAS'!$G$6:$G$1000,"&gt;=0")+COUNTIFS('CONTROLE PRODUÇÃO POR EMPRESAS'!$A$6:$A$1000,"&gt;="&amp;$B90,'CONTROLE PRODUÇÃO POR EMPRESAS'!$A$6:$A$1000,"&lt;="&amp;$C90,'CONTROLE PRODUÇÃO POR EMPRESAS'!$G$6:$G$1000,"?*"))=0,"",SUMIFS('CONTROLE PRODUÇÃO POR EMPRESAS'!$G$6:$G$1000,'CONTROLE PRODUÇÃO POR EMPRESAS'!$A$6:$A$1000,"&gt;="&amp;$B90,'CONTROLE PRODUÇÃO POR EMPRESAS'!$A$6:$A$1000,"&lt;="&amp;$C90)),""))),"")))</f>
        <v/>
      </c>
      <c r="M90" s="298">
        <f>IF(L90="","",MAX(J90-L90,0))</f>
        <v/>
      </c>
      <c r="N90" s="298">
        <f>IF(L90="","",MAX(L90-J90,0))</f>
        <v/>
      </c>
      <c r="O90" s="299">
        <f>IF(L90="","",IFERROR(L90/J90,""))</f>
        <v/>
      </c>
      <c r="P90" s="298">
        <f>IF(H90="","",SUMIFS($H$6:H90,$D$6:D90,D90,$E$6:E90,E90))</f>
        <v/>
      </c>
      <c r="Q90" s="298">
        <f>IF(L90="","",SUMIFS($L$6:L90,$D$6:D90,D90,$E$6:E90,E90))</f>
        <v/>
      </c>
      <c r="R90" s="298">
        <f>IF(Q90="","",MAX(P90-Q90,0))</f>
        <v/>
      </c>
      <c r="S90" s="108">
        <f>IF(O90="","",IF(O90&gt;=1,"VERDE",IF(O90&gt;=0.9,"AMARELO","VERMELHO")))</f>
        <v/>
      </c>
      <c r="T90" s="109" t="n"/>
      <c r="U90" s="109" t="n"/>
      <c r="V90" s="110" t="n"/>
      <c r="W90" s="302" t="n"/>
    </row>
    <row r="91" ht="15.75" customHeight="1">
      <c r="A91" s="117" t="n">
        <v>15</v>
      </c>
      <c r="B91" s="295" t="n">
        <v>46356</v>
      </c>
      <c r="C91" s="295" t="n">
        <v>46360</v>
      </c>
      <c r="D91" s="101" t="inlineStr">
        <is>
          <t>CMM</t>
        </is>
      </c>
      <c r="E91" s="103" t="inlineStr">
        <is>
          <t>IÇAMENTO JOIST</t>
        </is>
      </c>
      <c r="F91" s="296">
        <f>IF(OR(D91="",E91=""),"",IF(COUNTIFS('METAS EMPRESAS'!$A$5:$A$10,D91,'METAS EMPRESAS'!$B$5:$B$10,E91)=0,"",SUMIFS('METAS EMPRESAS'!$C$5:$C$10,'METAS EMPRESAS'!$A$5:$A$10,D91,'METAS EMPRESAS'!$B$5:$B$10,E91)))</f>
        <v/>
      </c>
      <c r="G91" s="297" t="n">
        <v>5</v>
      </c>
      <c r="H91" s="298">
        <f>IF(F91="","",F91*G91)</f>
        <v/>
      </c>
      <c r="I91" s="298">
        <f>IF(M85="",0,M85)</f>
        <v/>
      </c>
      <c r="J91" s="298">
        <f>IF(H91="","",H91+I91)</f>
        <v/>
      </c>
      <c r="K91" s="298">
        <f>IF(J91="","",J91/G91)</f>
        <v/>
      </c>
      <c r="L91" s="297">
        <f>IF(OR($B91="",$C91="",$D91="",$E91=""),"",IF($D91="EJ",IF($E91="PREMONTAGEM",IF((COUNTIFS('CONTROLE PRODUÇÃO POR EMPRESAS'!$A$6:$A$1000,"&gt;="&amp;$B91,'CONTROLE PRODUÇÃO POR EMPRESAS'!$A$6:$A$1000,"&lt;="&amp;$C91,'CONTROLE PRODUÇÃO POR EMPRESAS'!$B$6:$B$1000,"&gt;=0")+COUNTIFS('CONTROLE PRODUÇÃO POR EMPRESAS'!$A$6:$A$1000,"&gt;="&amp;$B91,'CONTROLE PRODUÇÃO POR EMPRESAS'!$A$6:$A$1000,"&lt;="&amp;$C91,'CONTROLE PRODUÇÃO POR EMPRESAS'!$B$6:$B$1000,"?*"))=0,"",SUMIFS('CONTROLE PRODUÇÃO POR EMPRESAS'!$B$6:$B$1000,'CONTROLE PRODUÇÃO POR EMPRESAS'!$A$6:$A$1000,"&gt;="&amp;$B91,'CONTROLE PRODUÇÃO POR EMPRESAS'!$A$6:$A$1000,"&lt;="&amp;$C91)),IF($E91="IÇAMENTO JOIST",IF((COUNTIFS('CONTROLE PRODUÇÃO POR EMPRESAS'!$A$6:$A$1000,"&gt;="&amp;$B91,'CONTROLE PRODUÇÃO POR EMPRESAS'!$A$6:$A$1000,"&lt;="&amp;$C91,'CONTROLE PRODUÇÃO POR EMPRESAS'!$C$6:$C$1000,"&gt;=0")+COUNTIFS('CONTROLE PRODUÇÃO POR EMPRESAS'!$A$6:$A$1000,"&gt;="&amp;$B91,'CONTROLE PRODUÇÃO POR EMPRESAS'!$A$6:$A$1000,"&lt;="&amp;$C91,'CONTROLE PRODUÇÃO POR EMPRESAS'!$C$6:$C$1000,"?*"))=0,"",SUMIFS('CONTROLE PRODUÇÃO POR EMPRESAS'!$C$6:$C$1000,'CONTROLE PRODUÇÃO POR EMPRESAS'!$A$6:$A$1000,"&gt;="&amp;$B91,'CONTROLE PRODUÇÃO POR EMPRESAS'!$A$6:$A$1000,"&lt;="&amp;$C91)),IF($E91="VIGAS",IF((COUNTIFS('CONTROLE PRODUÇÃO POR EMPRESAS'!$A$6:$A$1000,"&gt;="&amp;$B91,'CONTROLE PRODUÇÃO POR EMPRESAS'!$A$6:$A$1000,"&lt;="&amp;$C91,'CONTROLE PRODUÇÃO POR EMPRESAS'!$D$6:$D$1000,"&gt;=0")+COUNTIFS('CONTROLE PRODUÇÃO POR EMPRESAS'!$A$6:$A$1000,"&gt;="&amp;$B91,'CONTROLE PRODUÇÃO POR EMPRESAS'!$A$6:$A$1000,"&lt;="&amp;$C91,'CONTROLE PRODUÇÃO POR EMPRESAS'!$D$6:$D$1000,"?*"))=0,"",SUMIFS('CONTROLE PRODUÇÃO POR EMPRESAS'!$D$6:$D$1000,'CONTROLE PRODUÇÃO POR EMPRESAS'!$A$6:$A$1000,"&gt;="&amp;$B91,'CONTROLE PRODUÇÃO POR EMPRESAS'!$A$6:$A$1000,"&lt;="&amp;$C91)),""))),IF($D91="CMM",IF($E91="PREMONTAGEM",IF((COUNTIFS('CONTROLE PRODUÇÃO POR EMPRESAS'!$A$6:$A$1000,"&gt;="&amp;$B91,'CONTROLE PRODUÇÃO POR EMPRESAS'!$A$6:$A$1000,"&lt;="&amp;$C91,'CONTROLE PRODUÇÃO POR EMPRESAS'!$E$6:$E$1000,"&gt;=0")+COUNTIFS('CONTROLE PRODUÇÃO POR EMPRESAS'!$A$6:$A$1000,"&gt;="&amp;$B91,'CONTROLE PRODUÇÃO POR EMPRESAS'!$A$6:$A$1000,"&lt;="&amp;$C91,'CONTROLE PRODUÇÃO POR EMPRESAS'!$E$6:$E$1000,"?*"))=0,"",SUMIFS('CONTROLE PRODUÇÃO POR EMPRESAS'!$E$6:$E$1000,'CONTROLE PRODUÇÃO POR EMPRESAS'!$A$6:$A$1000,"&gt;="&amp;$B91,'CONTROLE PRODUÇÃO POR EMPRESAS'!$A$6:$A$1000,"&lt;="&amp;$C91)),IF($E91="IÇAMENTO JOIST",IF((COUNTIFS('CONTROLE PRODUÇÃO POR EMPRESAS'!$A$6:$A$1000,"&gt;="&amp;$B91,'CONTROLE PRODUÇÃO POR EMPRESAS'!$A$6:$A$1000,"&lt;="&amp;$C91,'CONTROLE PRODUÇÃO POR EMPRESAS'!$F$6:$F$1000,"&gt;=0")+COUNTIFS('CONTROLE PRODUÇÃO POR EMPRESAS'!$A$6:$A$1000,"&gt;="&amp;$B91,'CONTROLE PRODUÇÃO POR EMPRESAS'!$A$6:$A$1000,"&lt;="&amp;$C91,'CONTROLE PRODUÇÃO POR EMPRESAS'!$F$6:$F$1000,"?*"))=0,"",SUMIFS('CONTROLE PRODUÇÃO POR EMPRESAS'!$F$6:$F$1000,'CONTROLE PRODUÇÃO POR EMPRESAS'!$A$6:$A$1000,"&gt;="&amp;$B91,'CONTROLE PRODUÇÃO POR EMPRESAS'!$A$6:$A$1000,"&lt;="&amp;$C91)),IF($E91="VIGAS",IF((COUNTIFS('CONTROLE PRODUÇÃO POR EMPRESAS'!$A$6:$A$1000,"&gt;="&amp;$B91,'CONTROLE PRODUÇÃO POR EMPRESAS'!$A$6:$A$1000,"&lt;="&amp;$C91,'CONTROLE PRODUÇÃO POR EMPRESAS'!$G$6:$G$1000,"&gt;=0")+COUNTIFS('CONTROLE PRODUÇÃO POR EMPRESAS'!$A$6:$A$1000,"&gt;="&amp;$B91,'CONTROLE PRODUÇÃO POR EMPRESAS'!$A$6:$A$1000,"&lt;="&amp;$C91,'CONTROLE PRODUÇÃO POR EMPRESAS'!$G$6:$G$1000,"?*"))=0,"",SUMIFS('CONTROLE PRODUÇÃO POR EMPRESAS'!$G$6:$G$1000,'CONTROLE PRODUÇÃO POR EMPRESAS'!$A$6:$A$1000,"&gt;="&amp;$B91,'CONTROLE PRODUÇÃO POR EMPRESAS'!$A$6:$A$1000,"&lt;="&amp;$C91)),""))),"")))</f>
        <v/>
      </c>
      <c r="M91" s="298">
        <f>IF(L91="","",MAX(J91-L91,0))</f>
        <v/>
      </c>
      <c r="N91" s="298">
        <f>IF(L91="","",MAX(L91-J91,0))</f>
        <v/>
      </c>
      <c r="O91" s="299">
        <f>IF(L91="","",IFERROR(L91/J91,""))</f>
        <v/>
      </c>
      <c r="P91" s="298">
        <f>IF(H91="","",SUMIFS($H$6:H91,$D$6:D91,D91,$E$6:E91,E91))</f>
        <v/>
      </c>
      <c r="Q91" s="298">
        <f>IF(L91="","",SUMIFS($L$6:L91,$D$6:D91,D91,$E$6:E91,E91))</f>
        <v/>
      </c>
      <c r="R91" s="298">
        <f>IF(Q91="","",MAX(P91-Q91,0))</f>
        <v/>
      </c>
      <c r="S91" s="108">
        <f>IF(O91="","",IF(O91&gt;=1,"VERDE",IF(O91&gt;=0.9,"AMARELO","VERMELHO")))</f>
        <v/>
      </c>
      <c r="T91" s="109" t="n"/>
      <c r="U91" s="109" t="n"/>
      <c r="V91" s="110" t="n"/>
      <c r="W91" s="302" t="n"/>
    </row>
    <row r="92" ht="15.75" customHeight="1">
      <c r="A92" s="112" t="n">
        <v>15</v>
      </c>
      <c r="B92" s="301" t="n">
        <v>46356</v>
      </c>
      <c r="C92" s="301" t="n">
        <v>46360</v>
      </c>
      <c r="D92" s="114" t="inlineStr">
        <is>
          <t>CMM</t>
        </is>
      </c>
      <c r="E92" s="115" t="inlineStr">
        <is>
          <t>VIGAS</t>
        </is>
      </c>
      <c r="F92" s="296">
        <f>IF(OR(D92="",E92=""),"",IF(COUNTIFS('METAS EMPRESAS'!$A$5:$A$10,D92,'METAS EMPRESAS'!$B$5:$B$10,E92)=0,"",SUMIFS('METAS EMPRESAS'!$C$5:$C$10,'METAS EMPRESAS'!$A$5:$A$10,D92,'METAS EMPRESAS'!$B$5:$B$10,E92)))</f>
        <v/>
      </c>
      <c r="G92" s="297" t="n">
        <v>5</v>
      </c>
      <c r="H92" s="298">
        <f>IF(F92="","",F92*G92)</f>
        <v/>
      </c>
      <c r="I92" s="298">
        <f>IF(M86="",0,M86)</f>
        <v/>
      </c>
      <c r="J92" s="298">
        <f>IF(H92="","",H92+I92)</f>
        <v/>
      </c>
      <c r="K92" s="298">
        <f>IF(J92="","",J92/G92)</f>
        <v/>
      </c>
      <c r="L92" s="297">
        <f>IF(OR($B92="",$C92="",$D92="",$E92=""),"",IF($D92="EJ",IF($E92="PREMONTAGEM",IF((COUNTIFS('CONTROLE PRODUÇÃO POR EMPRESAS'!$A$6:$A$1000,"&gt;="&amp;$B92,'CONTROLE PRODUÇÃO POR EMPRESAS'!$A$6:$A$1000,"&lt;="&amp;$C92,'CONTROLE PRODUÇÃO POR EMPRESAS'!$B$6:$B$1000,"&gt;=0")+COUNTIFS('CONTROLE PRODUÇÃO POR EMPRESAS'!$A$6:$A$1000,"&gt;="&amp;$B92,'CONTROLE PRODUÇÃO POR EMPRESAS'!$A$6:$A$1000,"&lt;="&amp;$C92,'CONTROLE PRODUÇÃO POR EMPRESAS'!$B$6:$B$1000,"?*"))=0,"",SUMIFS('CONTROLE PRODUÇÃO POR EMPRESAS'!$B$6:$B$1000,'CONTROLE PRODUÇÃO POR EMPRESAS'!$A$6:$A$1000,"&gt;="&amp;$B92,'CONTROLE PRODUÇÃO POR EMPRESAS'!$A$6:$A$1000,"&lt;="&amp;$C92)),IF($E92="IÇAMENTO JOIST",IF((COUNTIFS('CONTROLE PRODUÇÃO POR EMPRESAS'!$A$6:$A$1000,"&gt;="&amp;$B92,'CONTROLE PRODUÇÃO POR EMPRESAS'!$A$6:$A$1000,"&lt;="&amp;$C92,'CONTROLE PRODUÇÃO POR EMPRESAS'!$C$6:$C$1000,"&gt;=0")+COUNTIFS('CONTROLE PRODUÇÃO POR EMPRESAS'!$A$6:$A$1000,"&gt;="&amp;$B92,'CONTROLE PRODUÇÃO POR EMPRESAS'!$A$6:$A$1000,"&lt;="&amp;$C92,'CONTROLE PRODUÇÃO POR EMPRESAS'!$C$6:$C$1000,"?*"))=0,"",SUMIFS('CONTROLE PRODUÇÃO POR EMPRESAS'!$C$6:$C$1000,'CONTROLE PRODUÇÃO POR EMPRESAS'!$A$6:$A$1000,"&gt;="&amp;$B92,'CONTROLE PRODUÇÃO POR EMPRESAS'!$A$6:$A$1000,"&lt;="&amp;$C92)),IF($E92="VIGAS",IF((COUNTIFS('CONTROLE PRODUÇÃO POR EMPRESAS'!$A$6:$A$1000,"&gt;="&amp;$B92,'CONTROLE PRODUÇÃO POR EMPRESAS'!$A$6:$A$1000,"&lt;="&amp;$C92,'CONTROLE PRODUÇÃO POR EMPRESAS'!$D$6:$D$1000,"&gt;=0")+COUNTIFS('CONTROLE PRODUÇÃO POR EMPRESAS'!$A$6:$A$1000,"&gt;="&amp;$B92,'CONTROLE PRODUÇÃO POR EMPRESAS'!$A$6:$A$1000,"&lt;="&amp;$C92,'CONTROLE PRODUÇÃO POR EMPRESAS'!$D$6:$D$1000,"?*"))=0,"",SUMIFS('CONTROLE PRODUÇÃO POR EMPRESAS'!$D$6:$D$1000,'CONTROLE PRODUÇÃO POR EMPRESAS'!$A$6:$A$1000,"&gt;="&amp;$B92,'CONTROLE PRODUÇÃO POR EMPRESAS'!$A$6:$A$1000,"&lt;="&amp;$C92)),""))),IF($D92="CMM",IF($E92="PREMONTAGEM",IF((COUNTIFS('CONTROLE PRODUÇÃO POR EMPRESAS'!$A$6:$A$1000,"&gt;="&amp;$B92,'CONTROLE PRODUÇÃO POR EMPRESAS'!$A$6:$A$1000,"&lt;="&amp;$C92,'CONTROLE PRODUÇÃO POR EMPRESAS'!$E$6:$E$1000,"&gt;=0")+COUNTIFS('CONTROLE PRODUÇÃO POR EMPRESAS'!$A$6:$A$1000,"&gt;="&amp;$B92,'CONTROLE PRODUÇÃO POR EMPRESAS'!$A$6:$A$1000,"&lt;="&amp;$C92,'CONTROLE PRODUÇÃO POR EMPRESAS'!$E$6:$E$1000,"?*"))=0,"",SUMIFS('CONTROLE PRODUÇÃO POR EMPRESAS'!$E$6:$E$1000,'CONTROLE PRODUÇÃO POR EMPRESAS'!$A$6:$A$1000,"&gt;="&amp;$B92,'CONTROLE PRODUÇÃO POR EMPRESAS'!$A$6:$A$1000,"&lt;="&amp;$C92)),IF($E92="IÇAMENTO JOIST",IF((COUNTIFS('CONTROLE PRODUÇÃO POR EMPRESAS'!$A$6:$A$1000,"&gt;="&amp;$B92,'CONTROLE PRODUÇÃO POR EMPRESAS'!$A$6:$A$1000,"&lt;="&amp;$C92,'CONTROLE PRODUÇÃO POR EMPRESAS'!$F$6:$F$1000,"&gt;=0")+COUNTIFS('CONTROLE PRODUÇÃO POR EMPRESAS'!$A$6:$A$1000,"&gt;="&amp;$B92,'CONTROLE PRODUÇÃO POR EMPRESAS'!$A$6:$A$1000,"&lt;="&amp;$C92,'CONTROLE PRODUÇÃO POR EMPRESAS'!$F$6:$F$1000,"?*"))=0,"",SUMIFS('CONTROLE PRODUÇÃO POR EMPRESAS'!$F$6:$F$1000,'CONTROLE PRODUÇÃO POR EMPRESAS'!$A$6:$A$1000,"&gt;="&amp;$B92,'CONTROLE PRODUÇÃO POR EMPRESAS'!$A$6:$A$1000,"&lt;="&amp;$C92)),IF($E92="VIGAS",IF((COUNTIFS('CONTROLE PRODUÇÃO POR EMPRESAS'!$A$6:$A$1000,"&gt;="&amp;$B92,'CONTROLE PRODUÇÃO POR EMPRESAS'!$A$6:$A$1000,"&lt;="&amp;$C92,'CONTROLE PRODUÇÃO POR EMPRESAS'!$G$6:$G$1000,"&gt;=0")+COUNTIFS('CONTROLE PRODUÇÃO POR EMPRESAS'!$A$6:$A$1000,"&gt;="&amp;$B92,'CONTROLE PRODUÇÃO POR EMPRESAS'!$A$6:$A$1000,"&lt;="&amp;$C92,'CONTROLE PRODUÇÃO POR EMPRESAS'!$G$6:$G$1000,"?*"))=0,"",SUMIFS('CONTROLE PRODUÇÃO POR EMPRESAS'!$G$6:$G$1000,'CONTROLE PRODUÇÃO POR EMPRESAS'!$A$6:$A$1000,"&gt;="&amp;$B92,'CONTROLE PRODUÇÃO POR EMPRESAS'!$A$6:$A$1000,"&lt;="&amp;$C92)),""))),"")))</f>
        <v/>
      </c>
      <c r="M92" s="298">
        <f>IF(L92="","",MAX(J92-L92,0))</f>
        <v/>
      </c>
      <c r="N92" s="298">
        <f>IF(L92="","",MAX(L92-J92,0))</f>
        <v/>
      </c>
      <c r="O92" s="299">
        <f>IF(L92="","",IFERROR(L92/J92,""))</f>
        <v/>
      </c>
      <c r="P92" s="298">
        <f>IF(H92="","",SUMIFS($H$6:H92,$D$6:D92,D92,$E$6:E92,E92))</f>
        <v/>
      </c>
      <c r="Q92" s="298">
        <f>IF(L92="","",SUMIFS($L$6:L92,$D$6:D92,D92,$E$6:E92,E92))</f>
        <v/>
      </c>
      <c r="R92" s="298">
        <f>IF(Q92="","",MAX(P92-Q92,0))</f>
        <v/>
      </c>
      <c r="S92" s="108">
        <f>IF(O92="","",IF(O92&gt;=1,"VERDE",IF(O92&gt;=0.9,"AMARELO","VERMELHO")))</f>
        <v/>
      </c>
      <c r="T92" s="109" t="n"/>
      <c r="U92" s="109" t="n"/>
      <c r="V92" s="110" t="n"/>
      <c r="W92" s="302" t="n"/>
    </row>
    <row r="93" ht="15.75" customHeight="1">
      <c r="A93" s="117" t="n">
        <v>15</v>
      </c>
      <c r="B93" s="295" t="n">
        <v>46356</v>
      </c>
      <c r="C93" s="295" t="n">
        <v>46360</v>
      </c>
      <c r="D93" s="101" t="inlineStr">
        <is>
          <t>EJ</t>
        </is>
      </c>
      <c r="E93" s="103" t="inlineStr">
        <is>
          <t>PREMONTAGEM</t>
        </is>
      </c>
      <c r="F93" s="296">
        <f>IF(OR(D93="",E93=""),"",IF(COUNTIFS('METAS EMPRESAS'!$A$5:$A$10,D93,'METAS EMPRESAS'!$B$5:$B$10,E93)=0,"",SUMIFS('METAS EMPRESAS'!$C$5:$C$10,'METAS EMPRESAS'!$A$5:$A$10,D93,'METAS EMPRESAS'!$B$5:$B$10,E93)))</f>
        <v/>
      </c>
      <c r="G93" s="297" t="n">
        <v>5</v>
      </c>
      <c r="H93" s="298">
        <f>IF(F93="","",F93*G93)</f>
        <v/>
      </c>
      <c r="I93" s="298">
        <f>IF(M87="",0,M87)</f>
        <v/>
      </c>
      <c r="J93" s="298">
        <f>IF(H93="","",H93+I93)</f>
        <v/>
      </c>
      <c r="K93" s="298">
        <f>IF(J93="","",J93/G93)</f>
        <v/>
      </c>
      <c r="L93" s="297">
        <f>IF(OR($B93="",$C93="",$D93="",$E93=""),"",IF($D93="EJ",IF($E93="PREMONTAGEM",IF((COUNTIFS('CONTROLE PRODUÇÃO POR EMPRESAS'!$A$6:$A$1000,"&gt;="&amp;$B93,'CONTROLE PRODUÇÃO POR EMPRESAS'!$A$6:$A$1000,"&lt;="&amp;$C93,'CONTROLE PRODUÇÃO POR EMPRESAS'!$B$6:$B$1000,"&gt;=0")+COUNTIFS('CONTROLE PRODUÇÃO POR EMPRESAS'!$A$6:$A$1000,"&gt;="&amp;$B93,'CONTROLE PRODUÇÃO POR EMPRESAS'!$A$6:$A$1000,"&lt;="&amp;$C93,'CONTROLE PRODUÇÃO POR EMPRESAS'!$B$6:$B$1000,"?*"))=0,"",SUMIFS('CONTROLE PRODUÇÃO POR EMPRESAS'!$B$6:$B$1000,'CONTROLE PRODUÇÃO POR EMPRESAS'!$A$6:$A$1000,"&gt;="&amp;$B93,'CONTROLE PRODUÇÃO POR EMPRESAS'!$A$6:$A$1000,"&lt;="&amp;$C93)),IF($E93="IÇAMENTO JOIST",IF((COUNTIFS('CONTROLE PRODUÇÃO POR EMPRESAS'!$A$6:$A$1000,"&gt;="&amp;$B93,'CONTROLE PRODUÇÃO POR EMPRESAS'!$A$6:$A$1000,"&lt;="&amp;$C93,'CONTROLE PRODUÇÃO POR EMPRESAS'!$C$6:$C$1000,"&gt;=0")+COUNTIFS('CONTROLE PRODUÇÃO POR EMPRESAS'!$A$6:$A$1000,"&gt;="&amp;$B93,'CONTROLE PRODUÇÃO POR EMPRESAS'!$A$6:$A$1000,"&lt;="&amp;$C93,'CONTROLE PRODUÇÃO POR EMPRESAS'!$C$6:$C$1000,"?*"))=0,"",SUMIFS('CONTROLE PRODUÇÃO POR EMPRESAS'!$C$6:$C$1000,'CONTROLE PRODUÇÃO POR EMPRESAS'!$A$6:$A$1000,"&gt;="&amp;$B93,'CONTROLE PRODUÇÃO POR EMPRESAS'!$A$6:$A$1000,"&lt;="&amp;$C93)),IF($E93="VIGAS",IF((COUNTIFS('CONTROLE PRODUÇÃO POR EMPRESAS'!$A$6:$A$1000,"&gt;="&amp;$B93,'CONTROLE PRODUÇÃO POR EMPRESAS'!$A$6:$A$1000,"&lt;="&amp;$C93,'CONTROLE PRODUÇÃO POR EMPRESAS'!$D$6:$D$1000,"&gt;=0")+COUNTIFS('CONTROLE PRODUÇÃO POR EMPRESAS'!$A$6:$A$1000,"&gt;="&amp;$B93,'CONTROLE PRODUÇÃO POR EMPRESAS'!$A$6:$A$1000,"&lt;="&amp;$C93,'CONTROLE PRODUÇÃO POR EMPRESAS'!$D$6:$D$1000,"?*"))=0,"",SUMIFS('CONTROLE PRODUÇÃO POR EMPRESAS'!$D$6:$D$1000,'CONTROLE PRODUÇÃO POR EMPRESAS'!$A$6:$A$1000,"&gt;="&amp;$B93,'CONTROLE PRODUÇÃO POR EMPRESAS'!$A$6:$A$1000,"&lt;="&amp;$C93)),""))),IF($D93="CMM",IF($E93="PREMONTAGEM",IF((COUNTIFS('CONTROLE PRODUÇÃO POR EMPRESAS'!$A$6:$A$1000,"&gt;="&amp;$B93,'CONTROLE PRODUÇÃO POR EMPRESAS'!$A$6:$A$1000,"&lt;="&amp;$C93,'CONTROLE PRODUÇÃO POR EMPRESAS'!$E$6:$E$1000,"&gt;=0")+COUNTIFS('CONTROLE PRODUÇÃO POR EMPRESAS'!$A$6:$A$1000,"&gt;="&amp;$B93,'CONTROLE PRODUÇÃO POR EMPRESAS'!$A$6:$A$1000,"&lt;="&amp;$C93,'CONTROLE PRODUÇÃO POR EMPRESAS'!$E$6:$E$1000,"?*"))=0,"",SUMIFS('CONTROLE PRODUÇÃO POR EMPRESAS'!$E$6:$E$1000,'CONTROLE PRODUÇÃO POR EMPRESAS'!$A$6:$A$1000,"&gt;="&amp;$B93,'CONTROLE PRODUÇÃO POR EMPRESAS'!$A$6:$A$1000,"&lt;="&amp;$C93)),IF($E93="IÇAMENTO JOIST",IF((COUNTIFS('CONTROLE PRODUÇÃO POR EMPRESAS'!$A$6:$A$1000,"&gt;="&amp;$B93,'CONTROLE PRODUÇÃO POR EMPRESAS'!$A$6:$A$1000,"&lt;="&amp;$C93,'CONTROLE PRODUÇÃO POR EMPRESAS'!$F$6:$F$1000,"&gt;=0")+COUNTIFS('CONTROLE PRODUÇÃO POR EMPRESAS'!$A$6:$A$1000,"&gt;="&amp;$B93,'CONTROLE PRODUÇÃO POR EMPRESAS'!$A$6:$A$1000,"&lt;="&amp;$C93,'CONTROLE PRODUÇÃO POR EMPRESAS'!$F$6:$F$1000,"?*"))=0,"",SUMIFS('CONTROLE PRODUÇÃO POR EMPRESAS'!$F$6:$F$1000,'CONTROLE PRODUÇÃO POR EMPRESAS'!$A$6:$A$1000,"&gt;="&amp;$B93,'CONTROLE PRODUÇÃO POR EMPRESAS'!$A$6:$A$1000,"&lt;="&amp;$C93)),IF($E93="VIGAS",IF((COUNTIFS('CONTROLE PRODUÇÃO POR EMPRESAS'!$A$6:$A$1000,"&gt;="&amp;$B93,'CONTROLE PRODUÇÃO POR EMPRESAS'!$A$6:$A$1000,"&lt;="&amp;$C93,'CONTROLE PRODUÇÃO POR EMPRESAS'!$G$6:$G$1000,"&gt;=0")+COUNTIFS('CONTROLE PRODUÇÃO POR EMPRESAS'!$A$6:$A$1000,"&gt;="&amp;$B93,'CONTROLE PRODUÇÃO POR EMPRESAS'!$A$6:$A$1000,"&lt;="&amp;$C93,'CONTROLE PRODUÇÃO POR EMPRESAS'!$G$6:$G$1000,"?*"))=0,"",SUMIFS('CONTROLE PRODUÇÃO POR EMPRESAS'!$G$6:$G$1000,'CONTROLE PRODUÇÃO POR EMPRESAS'!$A$6:$A$1000,"&gt;="&amp;$B93,'CONTROLE PRODUÇÃO POR EMPRESAS'!$A$6:$A$1000,"&lt;="&amp;$C93)),""))),"")))</f>
        <v/>
      </c>
      <c r="M93" s="298">
        <f>IF(L93="","",MAX(J93-L93,0))</f>
        <v/>
      </c>
      <c r="N93" s="298">
        <f>IF(L93="","",MAX(L93-J93,0))</f>
        <v/>
      </c>
      <c r="O93" s="299">
        <f>IF(L93="","",IFERROR(L93/J93,""))</f>
        <v/>
      </c>
      <c r="P93" s="298">
        <f>IF(H93="","",SUMIFS($H$6:H93,$D$6:D93,D93,$E$6:E93,E93))</f>
        <v/>
      </c>
      <c r="Q93" s="298">
        <f>IF(L93="","",SUMIFS($L$6:L93,$D$6:D93,D93,$E$6:E93,E93))</f>
        <v/>
      </c>
      <c r="R93" s="298">
        <f>IF(Q93="","",MAX(P93-Q93,0))</f>
        <v/>
      </c>
      <c r="S93" s="108">
        <f>IF(O93="","",IF(O93&gt;=1,"VERDE",IF(O93&gt;=0.9,"AMARELO","VERMELHO")))</f>
        <v/>
      </c>
      <c r="T93" s="109" t="n"/>
      <c r="U93" s="109" t="n"/>
      <c r="V93" s="110" t="n"/>
      <c r="W93" s="302" t="n"/>
    </row>
    <row r="94" ht="15.75" customHeight="1">
      <c r="A94" s="112" t="n">
        <v>15</v>
      </c>
      <c r="B94" s="301" t="n">
        <v>46356</v>
      </c>
      <c r="C94" s="301" t="n">
        <v>46360</v>
      </c>
      <c r="D94" s="114" t="inlineStr">
        <is>
          <t>EJ</t>
        </is>
      </c>
      <c r="E94" s="115" t="inlineStr">
        <is>
          <t>IÇAMENTO JOIST</t>
        </is>
      </c>
      <c r="F94" s="296">
        <f>IF(OR(D94="",E94=""),"",IF(COUNTIFS('METAS EMPRESAS'!$A$5:$A$10,D94,'METAS EMPRESAS'!$B$5:$B$10,E94)=0,"",SUMIFS('METAS EMPRESAS'!$C$5:$C$10,'METAS EMPRESAS'!$A$5:$A$10,D94,'METAS EMPRESAS'!$B$5:$B$10,E94)))</f>
        <v/>
      </c>
      <c r="G94" s="297" t="n">
        <v>5</v>
      </c>
      <c r="H94" s="298">
        <f>IF(F94="","",F94*G94)</f>
        <v/>
      </c>
      <c r="I94" s="298">
        <f>IF(M88="",0,M88)</f>
        <v/>
      </c>
      <c r="J94" s="298">
        <f>IF(H94="","",H94+I94)</f>
        <v/>
      </c>
      <c r="K94" s="298">
        <f>IF(J94="","",J94/G94)</f>
        <v/>
      </c>
      <c r="L94" s="297">
        <f>IF(OR($B94="",$C94="",$D94="",$E94=""),"",IF($D94="EJ",IF($E94="PREMONTAGEM",IF((COUNTIFS('CONTROLE PRODUÇÃO POR EMPRESAS'!$A$6:$A$1000,"&gt;="&amp;$B94,'CONTROLE PRODUÇÃO POR EMPRESAS'!$A$6:$A$1000,"&lt;="&amp;$C94,'CONTROLE PRODUÇÃO POR EMPRESAS'!$B$6:$B$1000,"&gt;=0")+COUNTIFS('CONTROLE PRODUÇÃO POR EMPRESAS'!$A$6:$A$1000,"&gt;="&amp;$B94,'CONTROLE PRODUÇÃO POR EMPRESAS'!$A$6:$A$1000,"&lt;="&amp;$C94,'CONTROLE PRODUÇÃO POR EMPRESAS'!$B$6:$B$1000,"?*"))=0,"",SUMIFS('CONTROLE PRODUÇÃO POR EMPRESAS'!$B$6:$B$1000,'CONTROLE PRODUÇÃO POR EMPRESAS'!$A$6:$A$1000,"&gt;="&amp;$B94,'CONTROLE PRODUÇÃO POR EMPRESAS'!$A$6:$A$1000,"&lt;="&amp;$C94)),IF($E94="IÇAMENTO JOIST",IF((COUNTIFS('CONTROLE PRODUÇÃO POR EMPRESAS'!$A$6:$A$1000,"&gt;="&amp;$B94,'CONTROLE PRODUÇÃO POR EMPRESAS'!$A$6:$A$1000,"&lt;="&amp;$C94,'CONTROLE PRODUÇÃO POR EMPRESAS'!$C$6:$C$1000,"&gt;=0")+COUNTIFS('CONTROLE PRODUÇÃO POR EMPRESAS'!$A$6:$A$1000,"&gt;="&amp;$B94,'CONTROLE PRODUÇÃO POR EMPRESAS'!$A$6:$A$1000,"&lt;="&amp;$C94,'CONTROLE PRODUÇÃO POR EMPRESAS'!$C$6:$C$1000,"?*"))=0,"",SUMIFS('CONTROLE PRODUÇÃO POR EMPRESAS'!$C$6:$C$1000,'CONTROLE PRODUÇÃO POR EMPRESAS'!$A$6:$A$1000,"&gt;="&amp;$B94,'CONTROLE PRODUÇÃO POR EMPRESAS'!$A$6:$A$1000,"&lt;="&amp;$C94)),IF($E94="VIGAS",IF((COUNTIFS('CONTROLE PRODUÇÃO POR EMPRESAS'!$A$6:$A$1000,"&gt;="&amp;$B94,'CONTROLE PRODUÇÃO POR EMPRESAS'!$A$6:$A$1000,"&lt;="&amp;$C94,'CONTROLE PRODUÇÃO POR EMPRESAS'!$D$6:$D$1000,"&gt;=0")+COUNTIFS('CONTROLE PRODUÇÃO POR EMPRESAS'!$A$6:$A$1000,"&gt;="&amp;$B94,'CONTROLE PRODUÇÃO POR EMPRESAS'!$A$6:$A$1000,"&lt;="&amp;$C94,'CONTROLE PRODUÇÃO POR EMPRESAS'!$D$6:$D$1000,"?*"))=0,"",SUMIFS('CONTROLE PRODUÇÃO POR EMPRESAS'!$D$6:$D$1000,'CONTROLE PRODUÇÃO POR EMPRESAS'!$A$6:$A$1000,"&gt;="&amp;$B94,'CONTROLE PRODUÇÃO POR EMPRESAS'!$A$6:$A$1000,"&lt;="&amp;$C94)),""))),IF($D94="CMM",IF($E94="PREMONTAGEM",IF((COUNTIFS('CONTROLE PRODUÇÃO POR EMPRESAS'!$A$6:$A$1000,"&gt;="&amp;$B94,'CONTROLE PRODUÇÃO POR EMPRESAS'!$A$6:$A$1000,"&lt;="&amp;$C94,'CONTROLE PRODUÇÃO POR EMPRESAS'!$E$6:$E$1000,"&gt;=0")+COUNTIFS('CONTROLE PRODUÇÃO POR EMPRESAS'!$A$6:$A$1000,"&gt;="&amp;$B94,'CONTROLE PRODUÇÃO POR EMPRESAS'!$A$6:$A$1000,"&lt;="&amp;$C94,'CONTROLE PRODUÇÃO POR EMPRESAS'!$E$6:$E$1000,"?*"))=0,"",SUMIFS('CONTROLE PRODUÇÃO POR EMPRESAS'!$E$6:$E$1000,'CONTROLE PRODUÇÃO POR EMPRESAS'!$A$6:$A$1000,"&gt;="&amp;$B94,'CONTROLE PRODUÇÃO POR EMPRESAS'!$A$6:$A$1000,"&lt;="&amp;$C94)),IF($E94="IÇAMENTO JOIST",IF((COUNTIFS('CONTROLE PRODUÇÃO POR EMPRESAS'!$A$6:$A$1000,"&gt;="&amp;$B94,'CONTROLE PRODUÇÃO POR EMPRESAS'!$A$6:$A$1000,"&lt;="&amp;$C94,'CONTROLE PRODUÇÃO POR EMPRESAS'!$F$6:$F$1000,"&gt;=0")+COUNTIFS('CONTROLE PRODUÇÃO POR EMPRESAS'!$A$6:$A$1000,"&gt;="&amp;$B94,'CONTROLE PRODUÇÃO POR EMPRESAS'!$A$6:$A$1000,"&lt;="&amp;$C94,'CONTROLE PRODUÇÃO POR EMPRESAS'!$F$6:$F$1000,"?*"))=0,"",SUMIFS('CONTROLE PRODUÇÃO POR EMPRESAS'!$F$6:$F$1000,'CONTROLE PRODUÇÃO POR EMPRESAS'!$A$6:$A$1000,"&gt;="&amp;$B94,'CONTROLE PRODUÇÃO POR EMPRESAS'!$A$6:$A$1000,"&lt;="&amp;$C94)),IF($E94="VIGAS",IF((COUNTIFS('CONTROLE PRODUÇÃO POR EMPRESAS'!$A$6:$A$1000,"&gt;="&amp;$B94,'CONTROLE PRODUÇÃO POR EMPRESAS'!$A$6:$A$1000,"&lt;="&amp;$C94,'CONTROLE PRODUÇÃO POR EMPRESAS'!$G$6:$G$1000,"&gt;=0")+COUNTIFS('CONTROLE PRODUÇÃO POR EMPRESAS'!$A$6:$A$1000,"&gt;="&amp;$B94,'CONTROLE PRODUÇÃO POR EMPRESAS'!$A$6:$A$1000,"&lt;="&amp;$C94,'CONTROLE PRODUÇÃO POR EMPRESAS'!$G$6:$G$1000,"?*"))=0,"",SUMIFS('CONTROLE PRODUÇÃO POR EMPRESAS'!$G$6:$G$1000,'CONTROLE PRODUÇÃO POR EMPRESAS'!$A$6:$A$1000,"&gt;="&amp;$B94,'CONTROLE PRODUÇÃO POR EMPRESAS'!$A$6:$A$1000,"&lt;="&amp;$C94)),""))),"")))</f>
        <v/>
      </c>
      <c r="M94" s="298">
        <f>IF(L94="","",MAX(J94-L94,0))</f>
        <v/>
      </c>
      <c r="N94" s="298">
        <f>IF(L94="","",MAX(L94-J94,0))</f>
        <v/>
      </c>
      <c r="O94" s="299">
        <f>IF(L94="","",IFERROR(L94/J94,""))</f>
        <v/>
      </c>
      <c r="P94" s="298">
        <f>IF(H94="","",SUMIFS($H$6:H94,$D$6:D94,D94,$E$6:E94,E94))</f>
        <v/>
      </c>
      <c r="Q94" s="298">
        <f>IF(L94="","",SUMIFS($L$6:L94,$D$6:D94,D94,$E$6:E94,E94))</f>
        <v/>
      </c>
      <c r="R94" s="298">
        <f>IF(Q94="","",MAX(P94-Q94,0))</f>
        <v/>
      </c>
      <c r="S94" s="108">
        <f>IF(O94="","",IF(O94&gt;=1,"VERDE",IF(O94&gt;=0.9,"AMARELO","VERMELHO")))</f>
        <v/>
      </c>
      <c r="T94" s="109" t="n"/>
      <c r="U94" s="109" t="n"/>
      <c r="V94" s="110" t="n"/>
      <c r="W94" s="302" t="n"/>
    </row>
    <row r="95" ht="15.75" customHeight="1">
      <c r="A95" s="117" t="n">
        <v>15</v>
      </c>
      <c r="B95" s="295" t="n">
        <v>46356</v>
      </c>
      <c r="C95" s="295" t="n">
        <v>46360</v>
      </c>
      <c r="D95" s="101" t="inlineStr">
        <is>
          <t>EJ</t>
        </is>
      </c>
      <c r="E95" s="103" t="inlineStr">
        <is>
          <t>VIGAS</t>
        </is>
      </c>
      <c r="F95" s="296">
        <f>IF(OR(D95="",E95=""),"",IF(COUNTIFS('METAS EMPRESAS'!$A$5:$A$10,D95,'METAS EMPRESAS'!$B$5:$B$10,E95)=0,"",SUMIFS('METAS EMPRESAS'!$C$5:$C$10,'METAS EMPRESAS'!$A$5:$A$10,D95,'METAS EMPRESAS'!$B$5:$B$10,E95)))</f>
        <v/>
      </c>
      <c r="G95" s="297" t="n">
        <v>5</v>
      </c>
      <c r="H95" s="298">
        <f>IF(F95="","",F95*G95)</f>
        <v/>
      </c>
      <c r="I95" s="298">
        <f>IF(M89="",0,M89)</f>
        <v/>
      </c>
      <c r="J95" s="298">
        <f>IF(H95="","",H95+I95)</f>
        <v/>
      </c>
      <c r="K95" s="298">
        <f>IF(J95="","",J95/G95)</f>
        <v/>
      </c>
      <c r="L95" s="297">
        <f>IF(OR($B95="",$C95="",$D95="",$E95=""),"",IF($D95="EJ",IF($E95="PREMONTAGEM",IF((COUNTIFS('CONTROLE PRODUÇÃO POR EMPRESAS'!$A$6:$A$1000,"&gt;="&amp;$B95,'CONTROLE PRODUÇÃO POR EMPRESAS'!$A$6:$A$1000,"&lt;="&amp;$C95,'CONTROLE PRODUÇÃO POR EMPRESAS'!$B$6:$B$1000,"&gt;=0")+COUNTIFS('CONTROLE PRODUÇÃO POR EMPRESAS'!$A$6:$A$1000,"&gt;="&amp;$B95,'CONTROLE PRODUÇÃO POR EMPRESAS'!$A$6:$A$1000,"&lt;="&amp;$C95,'CONTROLE PRODUÇÃO POR EMPRESAS'!$B$6:$B$1000,"?*"))=0,"",SUMIFS('CONTROLE PRODUÇÃO POR EMPRESAS'!$B$6:$B$1000,'CONTROLE PRODUÇÃO POR EMPRESAS'!$A$6:$A$1000,"&gt;="&amp;$B95,'CONTROLE PRODUÇÃO POR EMPRESAS'!$A$6:$A$1000,"&lt;="&amp;$C95)),IF($E95="IÇAMENTO JOIST",IF((COUNTIFS('CONTROLE PRODUÇÃO POR EMPRESAS'!$A$6:$A$1000,"&gt;="&amp;$B95,'CONTROLE PRODUÇÃO POR EMPRESAS'!$A$6:$A$1000,"&lt;="&amp;$C95,'CONTROLE PRODUÇÃO POR EMPRESAS'!$C$6:$C$1000,"&gt;=0")+COUNTIFS('CONTROLE PRODUÇÃO POR EMPRESAS'!$A$6:$A$1000,"&gt;="&amp;$B95,'CONTROLE PRODUÇÃO POR EMPRESAS'!$A$6:$A$1000,"&lt;="&amp;$C95,'CONTROLE PRODUÇÃO POR EMPRESAS'!$C$6:$C$1000,"?*"))=0,"",SUMIFS('CONTROLE PRODUÇÃO POR EMPRESAS'!$C$6:$C$1000,'CONTROLE PRODUÇÃO POR EMPRESAS'!$A$6:$A$1000,"&gt;="&amp;$B95,'CONTROLE PRODUÇÃO POR EMPRESAS'!$A$6:$A$1000,"&lt;="&amp;$C95)),IF($E95="VIGAS",IF((COUNTIFS('CONTROLE PRODUÇÃO POR EMPRESAS'!$A$6:$A$1000,"&gt;="&amp;$B95,'CONTROLE PRODUÇÃO POR EMPRESAS'!$A$6:$A$1000,"&lt;="&amp;$C95,'CONTROLE PRODUÇÃO POR EMPRESAS'!$D$6:$D$1000,"&gt;=0")+COUNTIFS('CONTROLE PRODUÇÃO POR EMPRESAS'!$A$6:$A$1000,"&gt;="&amp;$B95,'CONTROLE PRODUÇÃO POR EMPRESAS'!$A$6:$A$1000,"&lt;="&amp;$C95,'CONTROLE PRODUÇÃO POR EMPRESAS'!$D$6:$D$1000,"?*"))=0,"",SUMIFS('CONTROLE PRODUÇÃO POR EMPRESAS'!$D$6:$D$1000,'CONTROLE PRODUÇÃO POR EMPRESAS'!$A$6:$A$1000,"&gt;="&amp;$B95,'CONTROLE PRODUÇÃO POR EMPRESAS'!$A$6:$A$1000,"&lt;="&amp;$C95)),""))),IF($D95="CMM",IF($E95="PREMONTAGEM",IF((COUNTIFS('CONTROLE PRODUÇÃO POR EMPRESAS'!$A$6:$A$1000,"&gt;="&amp;$B95,'CONTROLE PRODUÇÃO POR EMPRESAS'!$A$6:$A$1000,"&lt;="&amp;$C95,'CONTROLE PRODUÇÃO POR EMPRESAS'!$E$6:$E$1000,"&gt;=0")+COUNTIFS('CONTROLE PRODUÇÃO POR EMPRESAS'!$A$6:$A$1000,"&gt;="&amp;$B95,'CONTROLE PRODUÇÃO POR EMPRESAS'!$A$6:$A$1000,"&lt;="&amp;$C95,'CONTROLE PRODUÇÃO POR EMPRESAS'!$E$6:$E$1000,"?*"))=0,"",SUMIFS('CONTROLE PRODUÇÃO POR EMPRESAS'!$E$6:$E$1000,'CONTROLE PRODUÇÃO POR EMPRESAS'!$A$6:$A$1000,"&gt;="&amp;$B95,'CONTROLE PRODUÇÃO POR EMPRESAS'!$A$6:$A$1000,"&lt;="&amp;$C95)),IF($E95="IÇAMENTO JOIST",IF((COUNTIFS('CONTROLE PRODUÇÃO POR EMPRESAS'!$A$6:$A$1000,"&gt;="&amp;$B95,'CONTROLE PRODUÇÃO POR EMPRESAS'!$A$6:$A$1000,"&lt;="&amp;$C95,'CONTROLE PRODUÇÃO POR EMPRESAS'!$F$6:$F$1000,"&gt;=0")+COUNTIFS('CONTROLE PRODUÇÃO POR EMPRESAS'!$A$6:$A$1000,"&gt;="&amp;$B95,'CONTROLE PRODUÇÃO POR EMPRESAS'!$A$6:$A$1000,"&lt;="&amp;$C95,'CONTROLE PRODUÇÃO POR EMPRESAS'!$F$6:$F$1000,"?*"))=0,"",SUMIFS('CONTROLE PRODUÇÃO POR EMPRESAS'!$F$6:$F$1000,'CONTROLE PRODUÇÃO POR EMPRESAS'!$A$6:$A$1000,"&gt;="&amp;$B95,'CONTROLE PRODUÇÃO POR EMPRESAS'!$A$6:$A$1000,"&lt;="&amp;$C95)),IF($E95="VIGAS",IF((COUNTIFS('CONTROLE PRODUÇÃO POR EMPRESAS'!$A$6:$A$1000,"&gt;="&amp;$B95,'CONTROLE PRODUÇÃO POR EMPRESAS'!$A$6:$A$1000,"&lt;="&amp;$C95,'CONTROLE PRODUÇÃO POR EMPRESAS'!$G$6:$G$1000,"&gt;=0")+COUNTIFS('CONTROLE PRODUÇÃO POR EMPRESAS'!$A$6:$A$1000,"&gt;="&amp;$B95,'CONTROLE PRODUÇÃO POR EMPRESAS'!$A$6:$A$1000,"&lt;="&amp;$C95,'CONTROLE PRODUÇÃO POR EMPRESAS'!$G$6:$G$1000,"?*"))=0,"",SUMIFS('CONTROLE PRODUÇÃO POR EMPRESAS'!$G$6:$G$1000,'CONTROLE PRODUÇÃO POR EMPRESAS'!$A$6:$A$1000,"&gt;="&amp;$B95,'CONTROLE PRODUÇÃO POR EMPRESAS'!$A$6:$A$1000,"&lt;="&amp;$C95)),""))),"")))</f>
        <v/>
      </c>
      <c r="M95" s="298">
        <f>IF(L95="","",MAX(J95-L95,0))</f>
        <v/>
      </c>
      <c r="N95" s="298">
        <f>IF(L95="","",MAX(L95-J95,0))</f>
        <v/>
      </c>
      <c r="O95" s="299">
        <f>IF(L95="","",IFERROR(L95/J95,""))</f>
        <v/>
      </c>
      <c r="P95" s="298">
        <f>IF(H95="","",SUMIFS($H$6:H95,$D$6:D95,D95,$E$6:E95,E95))</f>
        <v/>
      </c>
      <c r="Q95" s="298">
        <f>IF(L95="","",SUMIFS($L$6:L95,$D$6:D95,D95,$E$6:E95,E95))</f>
        <v/>
      </c>
      <c r="R95" s="298">
        <f>IF(Q95="","",MAX(P95-Q95,0))</f>
        <v/>
      </c>
      <c r="S95" s="108">
        <f>IF(O95="","",IF(O95&gt;=1,"VERDE",IF(O95&gt;=0.9,"AMARELO","VERMELHO")))</f>
        <v/>
      </c>
      <c r="T95" s="109" t="n"/>
      <c r="U95" s="109" t="n"/>
      <c r="V95" s="110" t="n"/>
      <c r="W95" s="302" t="n"/>
    </row>
    <row r="96" ht="15.75" customHeight="1">
      <c r="A96" s="112" t="n">
        <v>16</v>
      </c>
      <c r="B96" s="301" t="n">
        <v>46363</v>
      </c>
      <c r="C96" s="301" t="n">
        <v>46367</v>
      </c>
      <c r="D96" s="114" t="inlineStr">
        <is>
          <t>CMM</t>
        </is>
      </c>
      <c r="E96" s="115" t="inlineStr">
        <is>
          <t>PREMONTAGEM</t>
        </is>
      </c>
      <c r="F96" s="296">
        <f>IF(OR(D96="",E96=""),"",IF(COUNTIFS('METAS EMPRESAS'!$A$5:$A$10,D96,'METAS EMPRESAS'!$B$5:$B$10,E96)=0,"",SUMIFS('METAS EMPRESAS'!$C$5:$C$10,'METAS EMPRESAS'!$A$5:$A$10,D96,'METAS EMPRESAS'!$B$5:$B$10,E96)))</f>
        <v/>
      </c>
      <c r="G96" s="297" t="n">
        <v>5</v>
      </c>
      <c r="H96" s="298">
        <f>IF(F96="","",F96*G96)</f>
        <v/>
      </c>
      <c r="I96" s="298">
        <f>IF(M90="",0,M90)</f>
        <v/>
      </c>
      <c r="J96" s="298">
        <f>IF(H96="","",H96+I96)</f>
        <v/>
      </c>
      <c r="K96" s="298">
        <f>IF(J96="","",J96/G96)</f>
        <v/>
      </c>
      <c r="L96" s="297">
        <f>IF(OR($B96="",$C96="",$D96="",$E96=""),"",IF($D96="EJ",IF($E96="PREMONTAGEM",IF((COUNTIFS('CONTROLE PRODUÇÃO POR EMPRESAS'!$A$6:$A$1000,"&gt;="&amp;$B96,'CONTROLE PRODUÇÃO POR EMPRESAS'!$A$6:$A$1000,"&lt;="&amp;$C96,'CONTROLE PRODUÇÃO POR EMPRESAS'!$B$6:$B$1000,"&gt;=0")+COUNTIFS('CONTROLE PRODUÇÃO POR EMPRESAS'!$A$6:$A$1000,"&gt;="&amp;$B96,'CONTROLE PRODUÇÃO POR EMPRESAS'!$A$6:$A$1000,"&lt;="&amp;$C96,'CONTROLE PRODUÇÃO POR EMPRESAS'!$B$6:$B$1000,"?*"))=0,"",SUMIFS('CONTROLE PRODUÇÃO POR EMPRESAS'!$B$6:$B$1000,'CONTROLE PRODUÇÃO POR EMPRESAS'!$A$6:$A$1000,"&gt;="&amp;$B96,'CONTROLE PRODUÇÃO POR EMPRESAS'!$A$6:$A$1000,"&lt;="&amp;$C96)),IF($E96="IÇAMENTO JOIST",IF((COUNTIFS('CONTROLE PRODUÇÃO POR EMPRESAS'!$A$6:$A$1000,"&gt;="&amp;$B96,'CONTROLE PRODUÇÃO POR EMPRESAS'!$A$6:$A$1000,"&lt;="&amp;$C96,'CONTROLE PRODUÇÃO POR EMPRESAS'!$C$6:$C$1000,"&gt;=0")+COUNTIFS('CONTROLE PRODUÇÃO POR EMPRESAS'!$A$6:$A$1000,"&gt;="&amp;$B96,'CONTROLE PRODUÇÃO POR EMPRESAS'!$A$6:$A$1000,"&lt;="&amp;$C96,'CONTROLE PRODUÇÃO POR EMPRESAS'!$C$6:$C$1000,"?*"))=0,"",SUMIFS('CONTROLE PRODUÇÃO POR EMPRESAS'!$C$6:$C$1000,'CONTROLE PRODUÇÃO POR EMPRESAS'!$A$6:$A$1000,"&gt;="&amp;$B96,'CONTROLE PRODUÇÃO POR EMPRESAS'!$A$6:$A$1000,"&lt;="&amp;$C96)),IF($E96="VIGAS",IF((COUNTIFS('CONTROLE PRODUÇÃO POR EMPRESAS'!$A$6:$A$1000,"&gt;="&amp;$B96,'CONTROLE PRODUÇÃO POR EMPRESAS'!$A$6:$A$1000,"&lt;="&amp;$C96,'CONTROLE PRODUÇÃO POR EMPRESAS'!$D$6:$D$1000,"&gt;=0")+COUNTIFS('CONTROLE PRODUÇÃO POR EMPRESAS'!$A$6:$A$1000,"&gt;="&amp;$B96,'CONTROLE PRODUÇÃO POR EMPRESAS'!$A$6:$A$1000,"&lt;="&amp;$C96,'CONTROLE PRODUÇÃO POR EMPRESAS'!$D$6:$D$1000,"?*"))=0,"",SUMIFS('CONTROLE PRODUÇÃO POR EMPRESAS'!$D$6:$D$1000,'CONTROLE PRODUÇÃO POR EMPRESAS'!$A$6:$A$1000,"&gt;="&amp;$B96,'CONTROLE PRODUÇÃO POR EMPRESAS'!$A$6:$A$1000,"&lt;="&amp;$C96)),""))),IF($D96="CMM",IF($E96="PREMONTAGEM",IF((COUNTIFS('CONTROLE PRODUÇÃO POR EMPRESAS'!$A$6:$A$1000,"&gt;="&amp;$B96,'CONTROLE PRODUÇÃO POR EMPRESAS'!$A$6:$A$1000,"&lt;="&amp;$C96,'CONTROLE PRODUÇÃO POR EMPRESAS'!$E$6:$E$1000,"&gt;=0")+COUNTIFS('CONTROLE PRODUÇÃO POR EMPRESAS'!$A$6:$A$1000,"&gt;="&amp;$B96,'CONTROLE PRODUÇÃO POR EMPRESAS'!$A$6:$A$1000,"&lt;="&amp;$C96,'CONTROLE PRODUÇÃO POR EMPRESAS'!$E$6:$E$1000,"?*"))=0,"",SUMIFS('CONTROLE PRODUÇÃO POR EMPRESAS'!$E$6:$E$1000,'CONTROLE PRODUÇÃO POR EMPRESAS'!$A$6:$A$1000,"&gt;="&amp;$B96,'CONTROLE PRODUÇÃO POR EMPRESAS'!$A$6:$A$1000,"&lt;="&amp;$C96)),IF($E96="IÇAMENTO JOIST",IF((COUNTIFS('CONTROLE PRODUÇÃO POR EMPRESAS'!$A$6:$A$1000,"&gt;="&amp;$B96,'CONTROLE PRODUÇÃO POR EMPRESAS'!$A$6:$A$1000,"&lt;="&amp;$C96,'CONTROLE PRODUÇÃO POR EMPRESAS'!$F$6:$F$1000,"&gt;=0")+COUNTIFS('CONTROLE PRODUÇÃO POR EMPRESAS'!$A$6:$A$1000,"&gt;="&amp;$B96,'CONTROLE PRODUÇÃO POR EMPRESAS'!$A$6:$A$1000,"&lt;="&amp;$C96,'CONTROLE PRODUÇÃO POR EMPRESAS'!$F$6:$F$1000,"?*"))=0,"",SUMIFS('CONTROLE PRODUÇÃO POR EMPRESAS'!$F$6:$F$1000,'CONTROLE PRODUÇÃO POR EMPRESAS'!$A$6:$A$1000,"&gt;="&amp;$B96,'CONTROLE PRODUÇÃO POR EMPRESAS'!$A$6:$A$1000,"&lt;="&amp;$C96)),IF($E96="VIGAS",IF((COUNTIFS('CONTROLE PRODUÇÃO POR EMPRESAS'!$A$6:$A$1000,"&gt;="&amp;$B96,'CONTROLE PRODUÇÃO POR EMPRESAS'!$A$6:$A$1000,"&lt;="&amp;$C96,'CONTROLE PRODUÇÃO POR EMPRESAS'!$G$6:$G$1000,"&gt;=0")+COUNTIFS('CONTROLE PRODUÇÃO POR EMPRESAS'!$A$6:$A$1000,"&gt;="&amp;$B96,'CONTROLE PRODUÇÃO POR EMPRESAS'!$A$6:$A$1000,"&lt;="&amp;$C96,'CONTROLE PRODUÇÃO POR EMPRESAS'!$G$6:$G$1000,"?*"))=0,"",SUMIFS('CONTROLE PRODUÇÃO POR EMPRESAS'!$G$6:$G$1000,'CONTROLE PRODUÇÃO POR EMPRESAS'!$A$6:$A$1000,"&gt;="&amp;$B96,'CONTROLE PRODUÇÃO POR EMPRESAS'!$A$6:$A$1000,"&lt;="&amp;$C96)),""))),"")))</f>
        <v/>
      </c>
      <c r="M96" s="298">
        <f>IF(L96="","",MAX(J96-L96,0))</f>
        <v/>
      </c>
      <c r="N96" s="298">
        <f>IF(L96="","",MAX(L96-J96,0))</f>
        <v/>
      </c>
      <c r="O96" s="299">
        <f>IF(L96="","",IFERROR(L96/J96,""))</f>
        <v/>
      </c>
      <c r="P96" s="298">
        <f>IF(H96="","",SUMIFS($H$6:H96,$D$6:D96,D96,$E$6:E96,E96))</f>
        <v/>
      </c>
      <c r="Q96" s="298">
        <f>IF(L96="","",SUMIFS($L$6:L96,$D$6:D96,D96,$E$6:E96,E96))</f>
        <v/>
      </c>
      <c r="R96" s="298">
        <f>IF(Q96="","",MAX(P96-Q96,0))</f>
        <v/>
      </c>
      <c r="S96" s="108">
        <f>IF(O96="","",IF(O96&gt;=1,"VERDE",IF(O96&gt;=0.9,"AMARELO","VERMELHO")))</f>
        <v/>
      </c>
      <c r="T96" s="109" t="n"/>
      <c r="U96" s="109" t="n"/>
      <c r="V96" s="110" t="n"/>
      <c r="W96" s="302" t="n"/>
    </row>
    <row r="97" ht="15.75" customHeight="1">
      <c r="A97" s="117" t="n">
        <v>16</v>
      </c>
      <c r="B97" s="295" t="n">
        <v>46363</v>
      </c>
      <c r="C97" s="295" t="n">
        <v>46367</v>
      </c>
      <c r="D97" s="101" t="inlineStr">
        <is>
          <t>CMM</t>
        </is>
      </c>
      <c r="E97" s="103" t="inlineStr">
        <is>
          <t>IÇAMENTO JOIST</t>
        </is>
      </c>
      <c r="F97" s="296">
        <f>IF(OR(D97="",E97=""),"",IF(COUNTIFS('METAS EMPRESAS'!$A$5:$A$10,D97,'METAS EMPRESAS'!$B$5:$B$10,E97)=0,"",SUMIFS('METAS EMPRESAS'!$C$5:$C$10,'METAS EMPRESAS'!$A$5:$A$10,D97,'METAS EMPRESAS'!$B$5:$B$10,E97)))</f>
        <v/>
      </c>
      <c r="G97" s="297" t="n">
        <v>5</v>
      </c>
      <c r="H97" s="298">
        <f>IF(F97="","",F97*G97)</f>
        <v/>
      </c>
      <c r="I97" s="298">
        <f>IF(M91="",0,M91)</f>
        <v/>
      </c>
      <c r="J97" s="298">
        <f>IF(H97="","",H97+I97)</f>
        <v/>
      </c>
      <c r="K97" s="298">
        <f>IF(J97="","",J97/G97)</f>
        <v/>
      </c>
      <c r="L97" s="297">
        <f>IF(OR($B97="",$C97="",$D97="",$E97=""),"",IF($D97="EJ",IF($E97="PREMONTAGEM",IF((COUNTIFS('CONTROLE PRODUÇÃO POR EMPRESAS'!$A$6:$A$1000,"&gt;="&amp;$B97,'CONTROLE PRODUÇÃO POR EMPRESAS'!$A$6:$A$1000,"&lt;="&amp;$C97,'CONTROLE PRODUÇÃO POR EMPRESAS'!$B$6:$B$1000,"&gt;=0")+COUNTIFS('CONTROLE PRODUÇÃO POR EMPRESAS'!$A$6:$A$1000,"&gt;="&amp;$B97,'CONTROLE PRODUÇÃO POR EMPRESAS'!$A$6:$A$1000,"&lt;="&amp;$C97,'CONTROLE PRODUÇÃO POR EMPRESAS'!$B$6:$B$1000,"?*"))=0,"",SUMIFS('CONTROLE PRODUÇÃO POR EMPRESAS'!$B$6:$B$1000,'CONTROLE PRODUÇÃO POR EMPRESAS'!$A$6:$A$1000,"&gt;="&amp;$B97,'CONTROLE PRODUÇÃO POR EMPRESAS'!$A$6:$A$1000,"&lt;="&amp;$C97)),IF($E97="IÇAMENTO JOIST",IF((COUNTIFS('CONTROLE PRODUÇÃO POR EMPRESAS'!$A$6:$A$1000,"&gt;="&amp;$B97,'CONTROLE PRODUÇÃO POR EMPRESAS'!$A$6:$A$1000,"&lt;="&amp;$C97,'CONTROLE PRODUÇÃO POR EMPRESAS'!$C$6:$C$1000,"&gt;=0")+COUNTIFS('CONTROLE PRODUÇÃO POR EMPRESAS'!$A$6:$A$1000,"&gt;="&amp;$B97,'CONTROLE PRODUÇÃO POR EMPRESAS'!$A$6:$A$1000,"&lt;="&amp;$C97,'CONTROLE PRODUÇÃO POR EMPRESAS'!$C$6:$C$1000,"?*"))=0,"",SUMIFS('CONTROLE PRODUÇÃO POR EMPRESAS'!$C$6:$C$1000,'CONTROLE PRODUÇÃO POR EMPRESAS'!$A$6:$A$1000,"&gt;="&amp;$B97,'CONTROLE PRODUÇÃO POR EMPRESAS'!$A$6:$A$1000,"&lt;="&amp;$C97)),IF($E97="VIGAS",IF((COUNTIFS('CONTROLE PRODUÇÃO POR EMPRESAS'!$A$6:$A$1000,"&gt;="&amp;$B97,'CONTROLE PRODUÇÃO POR EMPRESAS'!$A$6:$A$1000,"&lt;="&amp;$C97,'CONTROLE PRODUÇÃO POR EMPRESAS'!$D$6:$D$1000,"&gt;=0")+COUNTIFS('CONTROLE PRODUÇÃO POR EMPRESAS'!$A$6:$A$1000,"&gt;="&amp;$B97,'CONTROLE PRODUÇÃO POR EMPRESAS'!$A$6:$A$1000,"&lt;="&amp;$C97,'CONTROLE PRODUÇÃO POR EMPRESAS'!$D$6:$D$1000,"?*"))=0,"",SUMIFS('CONTROLE PRODUÇÃO POR EMPRESAS'!$D$6:$D$1000,'CONTROLE PRODUÇÃO POR EMPRESAS'!$A$6:$A$1000,"&gt;="&amp;$B97,'CONTROLE PRODUÇÃO POR EMPRESAS'!$A$6:$A$1000,"&lt;="&amp;$C97)),""))),IF($D97="CMM",IF($E97="PREMONTAGEM",IF((COUNTIFS('CONTROLE PRODUÇÃO POR EMPRESAS'!$A$6:$A$1000,"&gt;="&amp;$B97,'CONTROLE PRODUÇÃO POR EMPRESAS'!$A$6:$A$1000,"&lt;="&amp;$C97,'CONTROLE PRODUÇÃO POR EMPRESAS'!$E$6:$E$1000,"&gt;=0")+COUNTIFS('CONTROLE PRODUÇÃO POR EMPRESAS'!$A$6:$A$1000,"&gt;="&amp;$B97,'CONTROLE PRODUÇÃO POR EMPRESAS'!$A$6:$A$1000,"&lt;="&amp;$C97,'CONTROLE PRODUÇÃO POR EMPRESAS'!$E$6:$E$1000,"?*"))=0,"",SUMIFS('CONTROLE PRODUÇÃO POR EMPRESAS'!$E$6:$E$1000,'CONTROLE PRODUÇÃO POR EMPRESAS'!$A$6:$A$1000,"&gt;="&amp;$B97,'CONTROLE PRODUÇÃO POR EMPRESAS'!$A$6:$A$1000,"&lt;="&amp;$C97)),IF($E97="IÇAMENTO JOIST",IF((COUNTIFS('CONTROLE PRODUÇÃO POR EMPRESAS'!$A$6:$A$1000,"&gt;="&amp;$B97,'CONTROLE PRODUÇÃO POR EMPRESAS'!$A$6:$A$1000,"&lt;="&amp;$C97,'CONTROLE PRODUÇÃO POR EMPRESAS'!$F$6:$F$1000,"&gt;=0")+COUNTIFS('CONTROLE PRODUÇÃO POR EMPRESAS'!$A$6:$A$1000,"&gt;="&amp;$B97,'CONTROLE PRODUÇÃO POR EMPRESAS'!$A$6:$A$1000,"&lt;="&amp;$C97,'CONTROLE PRODUÇÃO POR EMPRESAS'!$F$6:$F$1000,"?*"))=0,"",SUMIFS('CONTROLE PRODUÇÃO POR EMPRESAS'!$F$6:$F$1000,'CONTROLE PRODUÇÃO POR EMPRESAS'!$A$6:$A$1000,"&gt;="&amp;$B97,'CONTROLE PRODUÇÃO POR EMPRESAS'!$A$6:$A$1000,"&lt;="&amp;$C97)),IF($E97="VIGAS",IF((COUNTIFS('CONTROLE PRODUÇÃO POR EMPRESAS'!$A$6:$A$1000,"&gt;="&amp;$B97,'CONTROLE PRODUÇÃO POR EMPRESAS'!$A$6:$A$1000,"&lt;="&amp;$C97,'CONTROLE PRODUÇÃO POR EMPRESAS'!$G$6:$G$1000,"&gt;=0")+COUNTIFS('CONTROLE PRODUÇÃO POR EMPRESAS'!$A$6:$A$1000,"&gt;="&amp;$B97,'CONTROLE PRODUÇÃO POR EMPRESAS'!$A$6:$A$1000,"&lt;="&amp;$C97,'CONTROLE PRODUÇÃO POR EMPRESAS'!$G$6:$G$1000,"?*"))=0,"",SUMIFS('CONTROLE PRODUÇÃO POR EMPRESAS'!$G$6:$G$1000,'CONTROLE PRODUÇÃO POR EMPRESAS'!$A$6:$A$1000,"&gt;="&amp;$B97,'CONTROLE PRODUÇÃO POR EMPRESAS'!$A$6:$A$1000,"&lt;="&amp;$C97)),""))),"")))</f>
        <v/>
      </c>
      <c r="M97" s="298">
        <f>IF(L97="","",MAX(J97-L97,0))</f>
        <v/>
      </c>
      <c r="N97" s="298">
        <f>IF(L97="","",MAX(L97-J97,0))</f>
        <v/>
      </c>
      <c r="O97" s="299">
        <f>IF(L97="","",IFERROR(L97/J97,""))</f>
        <v/>
      </c>
      <c r="P97" s="298">
        <f>IF(H97="","",SUMIFS($H$6:H97,$D$6:D97,D97,$E$6:E97,E97))</f>
        <v/>
      </c>
      <c r="Q97" s="298">
        <f>IF(L97="","",SUMIFS($L$6:L97,$D$6:D97,D97,$E$6:E97,E97))</f>
        <v/>
      </c>
      <c r="R97" s="298">
        <f>IF(Q97="","",MAX(P97-Q97,0))</f>
        <v/>
      </c>
      <c r="S97" s="108">
        <f>IF(O97="","",IF(O97&gt;=1,"VERDE",IF(O97&gt;=0.9,"AMARELO","VERMELHO")))</f>
        <v/>
      </c>
      <c r="T97" s="109" t="n"/>
      <c r="U97" s="109" t="n"/>
      <c r="V97" s="110" t="n"/>
      <c r="W97" s="302" t="n"/>
    </row>
    <row r="98" ht="15.75" customHeight="1">
      <c r="A98" s="112" t="n">
        <v>16</v>
      </c>
      <c r="B98" s="301" t="n">
        <v>46363</v>
      </c>
      <c r="C98" s="301" t="n">
        <v>46367</v>
      </c>
      <c r="D98" s="114" t="inlineStr">
        <is>
          <t>CMM</t>
        </is>
      </c>
      <c r="E98" s="115" t="inlineStr">
        <is>
          <t>VIGAS</t>
        </is>
      </c>
      <c r="F98" s="296">
        <f>IF(OR(D98="",E98=""),"",IF(COUNTIFS('METAS EMPRESAS'!$A$5:$A$10,D98,'METAS EMPRESAS'!$B$5:$B$10,E98)=0,"",SUMIFS('METAS EMPRESAS'!$C$5:$C$10,'METAS EMPRESAS'!$A$5:$A$10,D98,'METAS EMPRESAS'!$B$5:$B$10,E98)))</f>
        <v/>
      </c>
      <c r="G98" s="297" t="n">
        <v>5</v>
      </c>
      <c r="H98" s="298">
        <f>IF(F98="","",F98*G98)</f>
        <v/>
      </c>
      <c r="I98" s="298">
        <f>IF(M92="",0,M92)</f>
        <v/>
      </c>
      <c r="J98" s="298">
        <f>IF(H98="","",H98+I98)</f>
        <v/>
      </c>
      <c r="K98" s="298">
        <f>IF(J98="","",J98/G98)</f>
        <v/>
      </c>
      <c r="L98" s="297">
        <f>IF(OR($B98="",$C98="",$D98="",$E98=""),"",IF($D98="EJ",IF($E98="PREMONTAGEM",IF((COUNTIFS('CONTROLE PRODUÇÃO POR EMPRESAS'!$A$6:$A$1000,"&gt;="&amp;$B98,'CONTROLE PRODUÇÃO POR EMPRESAS'!$A$6:$A$1000,"&lt;="&amp;$C98,'CONTROLE PRODUÇÃO POR EMPRESAS'!$B$6:$B$1000,"&gt;=0")+COUNTIFS('CONTROLE PRODUÇÃO POR EMPRESAS'!$A$6:$A$1000,"&gt;="&amp;$B98,'CONTROLE PRODUÇÃO POR EMPRESAS'!$A$6:$A$1000,"&lt;="&amp;$C98,'CONTROLE PRODUÇÃO POR EMPRESAS'!$B$6:$B$1000,"?*"))=0,"",SUMIFS('CONTROLE PRODUÇÃO POR EMPRESAS'!$B$6:$B$1000,'CONTROLE PRODUÇÃO POR EMPRESAS'!$A$6:$A$1000,"&gt;="&amp;$B98,'CONTROLE PRODUÇÃO POR EMPRESAS'!$A$6:$A$1000,"&lt;="&amp;$C98)),IF($E98="IÇAMENTO JOIST",IF((COUNTIFS('CONTROLE PRODUÇÃO POR EMPRESAS'!$A$6:$A$1000,"&gt;="&amp;$B98,'CONTROLE PRODUÇÃO POR EMPRESAS'!$A$6:$A$1000,"&lt;="&amp;$C98,'CONTROLE PRODUÇÃO POR EMPRESAS'!$C$6:$C$1000,"&gt;=0")+COUNTIFS('CONTROLE PRODUÇÃO POR EMPRESAS'!$A$6:$A$1000,"&gt;="&amp;$B98,'CONTROLE PRODUÇÃO POR EMPRESAS'!$A$6:$A$1000,"&lt;="&amp;$C98,'CONTROLE PRODUÇÃO POR EMPRESAS'!$C$6:$C$1000,"?*"))=0,"",SUMIFS('CONTROLE PRODUÇÃO POR EMPRESAS'!$C$6:$C$1000,'CONTROLE PRODUÇÃO POR EMPRESAS'!$A$6:$A$1000,"&gt;="&amp;$B98,'CONTROLE PRODUÇÃO POR EMPRESAS'!$A$6:$A$1000,"&lt;="&amp;$C98)),IF($E98="VIGAS",IF((COUNTIFS('CONTROLE PRODUÇÃO POR EMPRESAS'!$A$6:$A$1000,"&gt;="&amp;$B98,'CONTROLE PRODUÇÃO POR EMPRESAS'!$A$6:$A$1000,"&lt;="&amp;$C98,'CONTROLE PRODUÇÃO POR EMPRESAS'!$D$6:$D$1000,"&gt;=0")+COUNTIFS('CONTROLE PRODUÇÃO POR EMPRESAS'!$A$6:$A$1000,"&gt;="&amp;$B98,'CONTROLE PRODUÇÃO POR EMPRESAS'!$A$6:$A$1000,"&lt;="&amp;$C98,'CONTROLE PRODUÇÃO POR EMPRESAS'!$D$6:$D$1000,"?*"))=0,"",SUMIFS('CONTROLE PRODUÇÃO POR EMPRESAS'!$D$6:$D$1000,'CONTROLE PRODUÇÃO POR EMPRESAS'!$A$6:$A$1000,"&gt;="&amp;$B98,'CONTROLE PRODUÇÃO POR EMPRESAS'!$A$6:$A$1000,"&lt;="&amp;$C98)),""))),IF($D98="CMM",IF($E98="PREMONTAGEM",IF((COUNTIFS('CONTROLE PRODUÇÃO POR EMPRESAS'!$A$6:$A$1000,"&gt;="&amp;$B98,'CONTROLE PRODUÇÃO POR EMPRESAS'!$A$6:$A$1000,"&lt;="&amp;$C98,'CONTROLE PRODUÇÃO POR EMPRESAS'!$E$6:$E$1000,"&gt;=0")+COUNTIFS('CONTROLE PRODUÇÃO POR EMPRESAS'!$A$6:$A$1000,"&gt;="&amp;$B98,'CONTROLE PRODUÇÃO POR EMPRESAS'!$A$6:$A$1000,"&lt;="&amp;$C98,'CONTROLE PRODUÇÃO POR EMPRESAS'!$E$6:$E$1000,"?*"))=0,"",SUMIFS('CONTROLE PRODUÇÃO POR EMPRESAS'!$E$6:$E$1000,'CONTROLE PRODUÇÃO POR EMPRESAS'!$A$6:$A$1000,"&gt;="&amp;$B98,'CONTROLE PRODUÇÃO POR EMPRESAS'!$A$6:$A$1000,"&lt;="&amp;$C98)),IF($E98="IÇAMENTO JOIST",IF((COUNTIFS('CONTROLE PRODUÇÃO POR EMPRESAS'!$A$6:$A$1000,"&gt;="&amp;$B98,'CONTROLE PRODUÇÃO POR EMPRESAS'!$A$6:$A$1000,"&lt;="&amp;$C98,'CONTROLE PRODUÇÃO POR EMPRESAS'!$F$6:$F$1000,"&gt;=0")+COUNTIFS('CONTROLE PRODUÇÃO POR EMPRESAS'!$A$6:$A$1000,"&gt;="&amp;$B98,'CONTROLE PRODUÇÃO POR EMPRESAS'!$A$6:$A$1000,"&lt;="&amp;$C98,'CONTROLE PRODUÇÃO POR EMPRESAS'!$F$6:$F$1000,"?*"))=0,"",SUMIFS('CONTROLE PRODUÇÃO POR EMPRESAS'!$F$6:$F$1000,'CONTROLE PRODUÇÃO POR EMPRESAS'!$A$6:$A$1000,"&gt;="&amp;$B98,'CONTROLE PRODUÇÃO POR EMPRESAS'!$A$6:$A$1000,"&lt;="&amp;$C98)),IF($E98="VIGAS",IF((COUNTIFS('CONTROLE PRODUÇÃO POR EMPRESAS'!$A$6:$A$1000,"&gt;="&amp;$B98,'CONTROLE PRODUÇÃO POR EMPRESAS'!$A$6:$A$1000,"&lt;="&amp;$C98,'CONTROLE PRODUÇÃO POR EMPRESAS'!$G$6:$G$1000,"&gt;=0")+COUNTIFS('CONTROLE PRODUÇÃO POR EMPRESAS'!$A$6:$A$1000,"&gt;="&amp;$B98,'CONTROLE PRODUÇÃO POR EMPRESAS'!$A$6:$A$1000,"&lt;="&amp;$C98,'CONTROLE PRODUÇÃO POR EMPRESAS'!$G$6:$G$1000,"?*"))=0,"",SUMIFS('CONTROLE PRODUÇÃO POR EMPRESAS'!$G$6:$G$1000,'CONTROLE PRODUÇÃO POR EMPRESAS'!$A$6:$A$1000,"&gt;="&amp;$B98,'CONTROLE PRODUÇÃO POR EMPRESAS'!$A$6:$A$1000,"&lt;="&amp;$C98)),""))),"")))</f>
        <v/>
      </c>
      <c r="M98" s="298">
        <f>IF(L98="","",MAX(J98-L98,0))</f>
        <v/>
      </c>
      <c r="N98" s="298">
        <f>IF(L98="","",MAX(L98-J98,0))</f>
        <v/>
      </c>
      <c r="O98" s="299">
        <f>IF(L98="","",IFERROR(L98/J98,""))</f>
        <v/>
      </c>
      <c r="P98" s="298">
        <f>IF(H98="","",SUMIFS($H$6:H98,$D$6:D98,D98,$E$6:E98,E98))</f>
        <v/>
      </c>
      <c r="Q98" s="298">
        <f>IF(L98="","",SUMIFS($L$6:L98,$D$6:D98,D98,$E$6:E98,E98))</f>
        <v/>
      </c>
      <c r="R98" s="298">
        <f>IF(Q98="","",MAX(P98-Q98,0))</f>
        <v/>
      </c>
      <c r="S98" s="108">
        <f>IF(O98="","",IF(O98&gt;=1,"VERDE",IF(O98&gt;=0.9,"AMARELO","VERMELHO")))</f>
        <v/>
      </c>
      <c r="T98" s="109" t="n"/>
      <c r="U98" s="109" t="n"/>
      <c r="V98" s="110" t="n"/>
      <c r="W98" s="302" t="n"/>
    </row>
    <row r="99" ht="15.75" customHeight="1">
      <c r="A99" s="117" t="n">
        <v>16</v>
      </c>
      <c r="B99" s="295" t="n">
        <v>46363</v>
      </c>
      <c r="C99" s="295" t="n">
        <v>46367</v>
      </c>
      <c r="D99" s="101" t="inlineStr">
        <is>
          <t>EJ</t>
        </is>
      </c>
      <c r="E99" s="103" t="inlineStr">
        <is>
          <t>PREMONTAGEM</t>
        </is>
      </c>
      <c r="F99" s="296">
        <f>IF(OR(D99="",E99=""),"",IF(COUNTIFS('METAS EMPRESAS'!$A$5:$A$10,D99,'METAS EMPRESAS'!$B$5:$B$10,E99)=0,"",SUMIFS('METAS EMPRESAS'!$C$5:$C$10,'METAS EMPRESAS'!$A$5:$A$10,D99,'METAS EMPRESAS'!$B$5:$B$10,E99)))</f>
        <v/>
      </c>
      <c r="G99" s="297" t="n">
        <v>5</v>
      </c>
      <c r="H99" s="298">
        <f>IF(F99="","",F99*G99)</f>
        <v/>
      </c>
      <c r="I99" s="298">
        <f>IF(M93="",0,M93)</f>
        <v/>
      </c>
      <c r="J99" s="298">
        <f>IF(H99="","",H99+I99)</f>
        <v/>
      </c>
      <c r="K99" s="298">
        <f>IF(J99="","",J99/G99)</f>
        <v/>
      </c>
      <c r="L99" s="297">
        <f>IF(OR($B99="",$C99="",$D99="",$E99=""),"",IF($D99="EJ",IF($E99="PREMONTAGEM",IF((COUNTIFS('CONTROLE PRODUÇÃO POR EMPRESAS'!$A$6:$A$1000,"&gt;="&amp;$B99,'CONTROLE PRODUÇÃO POR EMPRESAS'!$A$6:$A$1000,"&lt;="&amp;$C99,'CONTROLE PRODUÇÃO POR EMPRESAS'!$B$6:$B$1000,"&gt;=0")+COUNTIFS('CONTROLE PRODUÇÃO POR EMPRESAS'!$A$6:$A$1000,"&gt;="&amp;$B99,'CONTROLE PRODUÇÃO POR EMPRESAS'!$A$6:$A$1000,"&lt;="&amp;$C99,'CONTROLE PRODUÇÃO POR EMPRESAS'!$B$6:$B$1000,"?*"))=0,"",SUMIFS('CONTROLE PRODUÇÃO POR EMPRESAS'!$B$6:$B$1000,'CONTROLE PRODUÇÃO POR EMPRESAS'!$A$6:$A$1000,"&gt;="&amp;$B99,'CONTROLE PRODUÇÃO POR EMPRESAS'!$A$6:$A$1000,"&lt;="&amp;$C99)),IF($E99="IÇAMENTO JOIST",IF((COUNTIFS('CONTROLE PRODUÇÃO POR EMPRESAS'!$A$6:$A$1000,"&gt;="&amp;$B99,'CONTROLE PRODUÇÃO POR EMPRESAS'!$A$6:$A$1000,"&lt;="&amp;$C99,'CONTROLE PRODUÇÃO POR EMPRESAS'!$C$6:$C$1000,"&gt;=0")+COUNTIFS('CONTROLE PRODUÇÃO POR EMPRESAS'!$A$6:$A$1000,"&gt;="&amp;$B99,'CONTROLE PRODUÇÃO POR EMPRESAS'!$A$6:$A$1000,"&lt;="&amp;$C99,'CONTROLE PRODUÇÃO POR EMPRESAS'!$C$6:$C$1000,"?*"))=0,"",SUMIFS('CONTROLE PRODUÇÃO POR EMPRESAS'!$C$6:$C$1000,'CONTROLE PRODUÇÃO POR EMPRESAS'!$A$6:$A$1000,"&gt;="&amp;$B99,'CONTROLE PRODUÇÃO POR EMPRESAS'!$A$6:$A$1000,"&lt;="&amp;$C99)),IF($E99="VIGAS",IF((COUNTIFS('CONTROLE PRODUÇÃO POR EMPRESAS'!$A$6:$A$1000,"&gt;="&amp;$B99,'CONTROLE PRODUÇÃO POR EMPRESAS'!$A$6:$A$1000,"&lt;="&amp;$C99,'CONTROLE PRODUÇÃO POR EMPRESAS'!$D$6:$D$1000,"&gt;=0")+COUNTIFS('CONTROLE PRODUÇÃO POR EMPRESAS'!$A$6:$A$1000,"&gt;="&amp;$B99,'CONTROLE PRODUÇÃO POR EMPRESAS'!$A$6:$A$1000,"&lt;="&amp;$C99,'CONTROLE PRODUÇÃO POR EMPRESAS'!$D$6:$D$1000,"?*"))=0,"",SUMIFS('CONTROLE PRODUÇÃO POR EMPRESAS'!$D$6:$D$1000,'CONTROLE PRODUÇÃO POR EMPRESAS'!$A$6:$A$1000,"&gt;="&amp;$B99,'CONTROLE PRODUÇÃO POR EMPRESAS'!$A$6:$A$1000,"&lt;="&amp;$C99)),""))),IF($D99="CMM",IF($E99="PREMONTAGEM",IF((COUNTIFS('CONTROLE PRODUÇÃO POR EMPRESAS'!$A$6:$A$1000,"&gt;="&amp;$B99,'CONTROLE PRODUÇÃO POR EMPRESAS'!$A$6:$A$1000,"&lt;="&amp;$C99,'CONTROLE PRODUÇÃO POR EMPRESAS'!$E$6:$E$1000,"&gt;=0")+COUNTIFS('CONTROLE PRODUÇÃO POR EMPRESAS'!$A$6:$A$1000,"&gt;="&amp;$B99,'CONTROLE PRODUÇÃO POR EMPRESAS'!$A$6:$A$1000,"&lt;="&amp;$C99,'CONTROLE PRODUÇÃO POR EMPRESAS'!$E$6:$E$1000,"?*"))=0,"",SUMIFS('CONTROLE PRODUÇÃO POR EMPRESAS'!$E$6:$E$1000,'CONTROLE PRODUÇÃO POR EMPRESAS'!$A$6:$A$1000,"&gt;="&amp;$B99,'CONTROLE PRODUÇÃO POR EMPRESAS'!$A$6:$A$1000,"&lt;="&amp;$C99)),IF($E99="IÇAMENTO JOIST",IF((COUNTIFS('CONTROLE PRODUÇÃO POR EMPRESAS'!$A$6:$A$1000,"&gt;="&amp;$B99,'CONTROLE PRODUÇÃO POR EMPRESAS'!$A$6:$A$1000,"&lt;="&amp;$C99,'CONTROLE PRODUÇÃO POR EMPRESAS'!$F$6:$F$1000,"&gt;=0")+COUNTIFS('CONTROLE PRODUÇÃO POR EMPRESAS'!$A$6:$A$1000,"&gt;="&amp;$B99,'CONTROLE PRODUÇÃO POR EMPRESAS'!$A$6:$A$1000,"&lt;="&amp;$C99,'CONTROLE PRODUÇÃO POR EMPRESAS'!$F$6:$F$1000,"?*"))=0,"",SUMIFS('CONTROLE PRODUÇÃO POR EMPRESAS'!$F$6:$F$1000,'CONTROLE PRODUÇÃO POR EMPRESAS'!$A$6:$A$1000,"&gt;="&amp;$B99,'CONTROLE PRODUÇÃO POR EMPRESAS'!$A$6:$A$1000,"&lt;="&amp;$C99)),IF($E99="VIGAS",IF((COUNTIFS('CONTROLE PRODUÇÃO POR EMPRESAS'!$A$6:$A$1000,"&gt;="&amp;$B99,'CONTROLE PRODUÇÃO POR EMPRESAS'!$A$6:$A$1000,"&lt;="&amp;$C99,'CONTROLE PRODUÇÃO POR EMPRESAS'!$G$6:$G$1000,"&gt;=0")+COUNTIFS('CONTROLE PRODUÇÃO POR EMPRESAS'!$A$6:$A$1000,"&gt;="&amp;$B99,'CONTROLE PRODUÇÃO POR EMPRESAS'!$A$6:$A$1000,"&lt;="&amp;$C99,'CONTROLE PRODUÇÃO POR EMPRESAS'!$G$6:$G$1000,"?*"))=0,"",SUMIFS('CONTROLE PRODUÇÃO POR EMPRESAS'!$G$6:$G$1000,'CONTROLE PRODUÇÃO POR EMPRESAS'!$A$6:$A$1000,"&gt;="&amp;$B99,'CONTROLE PRODUÇÃO POR EMPRESAS'!$A$6:$A$1000,"&lt;="&amp;$C99)),""))),"")))</f>
        <v/>
      </c>
      <c r="M99" s="298">
        <f>IF(L99="","",MAX(J99-L99,0))</f>
        <v/>
      </c>
      <c r="N99" s="298">
        <f>IF(L99="","",MAX(L99-J99,0))</f>
        <v/>
      </c>
      <c r="O99" s="299">
        <f>IF(L99="","",IFERROR(L99/J99,""))</f>
        <v/>
      </c>
      <c r="P99" s="298">
        <f>IF(H99="","",SUMIFS($H$6:H99,$D$6:D99,D99,$E$6:E99,E99))</f>
        <v/>
      </c>
      <c r="Q99" s="298">
        <f>IF(L99="","",SUMIFS($L$6:L99,$D$6:D99,D99,$E$6:E99,E99))</f>
        <v/>
      </c>
      <c r="R99" s="298">
        <f>IF(Q99="","",MAX(P99-Q99,0))</f>
        <v/>
      </c>
      <c r="S99" s="108">
        <f>IF(O99="","",IF(O99&gt;=1,"VERDE",IF(O99&gt;=0.9,"AMARELO","VERMELHO")))</f>
        <v/>
      </c>
      <c r="T99" s="109" t="n"/>
      <c r="U99" s="109" t="n"/>
      <c r="V99" s="110" t="n"/>
      <c r="W99" s="302" t="n"/>
    </row>
    <row r="100" ht="15.75" customHeight="1">
      <c r="A100" s="112" t="n">
        <v>16</v>
      </c>
      <c r="B100" s="301" t="n">
        <v>46363</v>
      </c>
      <c r="C100" s="301" t="n">
        <v>46367</v>
      </c>
      <c r="D100" s="114" t="inlineStr">
        <is>
          <t>EJ</t>
        </is>
      </c>
      <c r="E100" s="115" t="inlineStr">
        <is>
          <t>IÇAMENTO JOIST</t>
        </is>
      </c>
      <c r="F100" s="296">
        <f>IF(OR(D100="",E100=""),"",IF(COUNTIFS('METAS EMPRESAS'!$A$5:$A$10,D100,'METAS EMPRESAS'!$B$5:$B$10,E100)=0,"",SUMIFS('METAS EMPRESAS'!$C$5:$C$10,'METAS EMPRESAS'!$A$5:$A$10,D100,'METAS EMPRESAS'!$B$5:$B$10,E100)))</f>
        <v/>
      </c>
      <c r="G100" s="297" t="n">
        <v>5</v>
      </c>
      <c r="H100" s="298">
        <f>IF(F100="","",F100*G100)</f>
        <v/>
      </c>
      <c r="I100" s="298">
        <f>IF(M94="",0,M94)</f>
        <v/>
      </c>
      <c r="J100" s="298">
        <f>IF(H100="","",H100+I100)</f>
        <v/>
      </c>
      <c r="K100" s="298">
        <f>IF(J100="","",J100/G100)</f>
        <v/>
      </c>
      <c r="L100" s="297">
        <f>IF(OR($B100="",$C100="",$D100="",$E100=""),"",IF($D100="EJ",IF($E100="PREMONTAGEM",IF((COUNTIFS('CONTROLE PRODUÇÃO POR EMPRESAS'!$A$6:$A$1000,"&gt;="&amp;$B100,'CONTROLE PRODUÇÃO POR EMPRESAS'!$A$6:$A$1000,"&lt;="&amp;$C100,'CONTROLE PRODUÇÃO POR EMPRESAS'!$B$6:$B$1000,"&gt;=0")+COUNTIFS('CONTROLE PRODUÇÃO POR EMPRESAS'!$A$6:$A$1000,"&gt;="&amp;$B100,'CONTROLE PRODUÇÃO POR EMPRESAS'!$A$6:$A$1000,"&lt;="&amp;$C100,'CONTROLE PRODUÇÃO POR EMPRESAS'!$B$6:$B$1000,"?*"))=0,"",SUMIFS('CONTROLE PRODUÇÃO POR EMPRESAS'!$B$6:$B$1000,'CONTROLE PRODUÇÃO POR EMPRESAS'!$A$6:$A$1000,"&gt;="&amp;$B100,'CONTROLE PRODUÇÃO POR EMPRESAS'!$A$6:$A$1000,"&lt;="&amp;$C100)),IF($E100="IÇAMENTO JOIST",IF((COUNTIFS('CONTROLE PRODUÇÃO POR EMPRESAS'!$A$6:$A$1000,"&gt;="&amp;$B100,'CONTROLE PRODUÇÃO POR EMPRESAS'!$A$6:$A$1000,"&lt;="&amp;$C100,'CONTROLE PRODUÇÃO POR EMPRESAS'!$C$6:$C$1000,"&gt;=0")+COUNTIFS('CONTROLE PRODUÇÃO POR EMPRESAS'!$A$6:$A$1000,"&gt;="&amp;$B100,'CONTROLE PRODUÇÃO POR EMPRESAS'!$A$6:$A$1000,"&lt;="&amp;$C100,'CONTROLE PRODUÇÃO POR EMPRESAS'!$C$6:$C$1000,"?*"))=0,"",SUMIFS('CONTROLE PRODUÇÃO POR EMPRESAS'!$C$6:$C$1000,'CONTROLE PRODUÇÃO POR EMPRESAS'!$A$6:$A$1000,"&gt;="&amp;$B100,'CONTROLE PRODUÇÃO POR EMPRESAS'!$A$6:$A$1000,"&lt;="&amp;$C100)),IF($E100="VIGAS",IF((COUNTIFS('CONTROLE PRODUÇÃO POR EMPRESAS'!$A$6:$A$1000,"&gt;="&amp;$B100,'CONTROLE PRODUÇÃO POR EMPRESAS'!$A$6:$A$1000,"&lt;="&amp;$C100,'CONTROLE PRODUÇÃO POR EMPRESAS'!$D$6:$D$1000,"&gt;=0")+COUNTIFS('CONTROLE PRODUÇÃO POR EMPRESAS'!$A$6:$A$1000,"&gt;="&amp;$B100,'CONTROLE PRODUÇÃO POR EMPRESAS'!$A$6:$A$1000,"&lt;="&amp;$C100,'CONTROLE PRODUÇÃO POR EMPRESAS'!$D$6:$D$1000,"?*"))=0,"",SUMIFS('CONTROLE PRODUÇÃO POR EMPRESAS'!$D$6:$D$1000,'CONTROLE PRODUÇÃO POR EMPRESAS'!$A$6:$A$1000,"&gt;="&amp;$B100,'CONTROLE PRODUÇÃO POR EMPRESAS'!$A$6:$A$1000,"&lt;="&amp;$C100)),""))),IF($D100="CMM",IF($E100="PREMONTAGEM",IF((COUNTIFS('CONTROLE PRODUÇÃO POR EMPRESAS'!$A$6:$A$1000,"&gt;="&amp;$B100,'CONTROLE PRODUÇÃO POR EMPRESAS'!$A$6:$A$1000,"&lt;="&amp;$C100,'CONTROLE PRODUÇÃO POR EMPRESAS'!$E$6:$E$1000,"&gt;=0")+COUNTIFS('CONTROLE PRODUÇÃO POR EMPRESAS'!$A$6:$A$1000,"&gt;="&amp;$B100,'CONTROLE PRODUÇÃO POR EMPRESAS'!$A$6:$A$1000,"&lt;="&amp;$C100,'CONTROLE PRODUÇÃO POR EMPRESAS'!$E$6:$E$1000,"?*"))=0,"",SUMIFS('CONTROLE PRODUÇÃO POR EMPRESAS'!$E$6:$E$1000,'CONTROLE PRODUÇÃO POR EMPRESAS'!$A$6:$A$1000,"&gt;="&amp;$B100,'CONTROLE PRODUÇÃO POR EMPRESAS'!$A$6:$A$1000,"&lt;="&amp;$C100)),IF($E100="IÇAMENTO JOIST",IF((COUNTIFS('CONTROLE PRODUÇÃO POR EMPRESAS'!$A$6:$A$1000,"&gt;="&amp;$B100,'CONTROLE PRODUÇÃO POR EMPRESAS'!$A$6:$A$1000,"&lt;="&amp;$C100,'CONTROLE PRODUÇÃO POR EMPRESAS'!$F$6:$F$1000,"&gt;=0")+COUNTIFS('CONTROLE PRODUÇÃO POR EMPRESAS'!$A$6:$A$1000,"&gt;="&amp;$B100,'CONTROLE PRODUÇÃO POR EMPRESAS'!$A$6:$A$1000,"&lt;="&amp;$C100,'CONTROLE PRODUÇÃO POR EMPRESAS'!$F$6:$F$1000,"?*"))=0,"",SUMIFS('CONTROLE PRODUÇÃO POR EMPRESAS'!$F$6:$F$1000,'CONTROLE PRODUÇÃO POR EMPRESAS'!$A$6:$A$1000,"&gt;="&amp;$B100,'CONTROLE PRODUÇÃO POR EMPRESAS'!$A$6:$A$1000,"&lt;="&amp;$C100)),IF($E100="VIGAS",IF((COUNTIFS('CONTROLE PRODUÇÃO POR EMPRESAS'!$A$6:$A$1000,"&gt;="&amp;$B100,'CONTROLE PRODUÇÃO POR EMPRESAS'!$A$6:$A$1000,"&lt;="&amp;$C100,'CONTROLE PRODUÇÃO POR EMPRESAS'!$G$6:$G$1000,"&gt;=0")+COUNTIFS('CONTROLE PRODUÇÃO POR EMPRESAS'!$A$6:$A$1000,"&gt;="&amp;$B100,'CONTROLE PRODUÇÃO POR EMPRESAS'!$A$6:$A$1000,"&lt;="&amp;$C100,'CONTROLE PRODUÇÃO POR EMPRESAS'!$G$6:$G$1000,"?*"))=0,"",SUMIFS('CONTROLE PRODUÇÃO POR EMPRESAS'!$G$6:$G$1000,'CONTROLE PRODUÇÃO POR EMPRESAS'!$A$6:$A$1000,"&gt;="&amp;$B100,'CONTROLE PRODUÇÃO POR EMPRESAS'!$A$6:$A$1000,"&lt;="&amp;$C100)),""))),"")))</f>
        <v/>
      </c>
      <c r="M100" s="298">
        <f>IF(L100="","",MAX(J100-L100,0))</f>
        <v/>
      </c>
      <c r="N100" s="298">
        <f>IF(L100="","",MAX(L100-J100,0))</f>
        <v/>
      </c>
      <c r="O100" s="299">
        <f>IF(L100="","",IFERROR(L100/J100,""))</f>
        <v/>
      </c>
      <c r="P100" s="298">
        <f>IF(H100="","",SUMIFS($H$6:H100,$D$6:D100,D100,$E$6:E100,E100))</f>
        <v/>
      </c>
      <c r="Q100" s="298">
        <f>IF(L100="","",SUMIFS($L$6:L100,$D$6:D100,D100,$E$6:E100,E100))</f>
        <v/>
      </c>
      <c r="R100" s="298">
        <f>IF(Q100="","",MAX(P100-Q100,0))</f>
        <v/>
      </c>
      <c r="S100" s="108">
        <f>IF(O100="","",IF(O100&gt;=1,"VERDE",IF(O100&gt;=0.9,"AMARELO","VERMELHO")))</f>
        <v/>
      </c>
      <c r="T100" s="109" t="n"/>
      <c r="U100" s="109" t="n"/>
      <c r="V100" s="110" t="n"/>
      <c r="W100" s="302" t="n"/>
    </row>
    <row r="101" ht="15.75" customHeight="1">
      <c r="A101" s="118" t="n">
        <v>16</v>
      </c>
      <c r="B101" s="303" t="n">
        <v>46363</v>
      </c>
      <c r="C101" s="303" t="n">
        <v>46367</v>
      </c>
      <c r="D101" s="120" t="inlineStr">
        <is>
          <t>EJ</t>
        </is>
      </c>
      <c r="E101" s="121" t="inlineStr">
        <is>
          <t>VIGAS</t>
        </is>
      </c>
      <c r="F101" s="304">
        <f>IF(OR(D101="",E101=""),"",IF(COUNTIFS('METAS EMPRESAS'!$A$5:$A$10,D101,'METAS EMPRESAS'!$B$5:$B$10,E101)=0,"",SUMIFS('METAS EMPRESAS'!$C$5:$C$10,'METAS EMPRESAS'!$A$5:$A$10,D101,'METAS EMPRESAS'!$B$5:$B$10,E101)))</f>
        <v/>
      </c>
      <c r="G101" s="305" t="n">
        <v>5</v>
      </c>
      <c r="H101" s="306">
        <f>IF(F101="","",F101*G101)</f>
        <v/>
      </c>
      <c r="I101" s="306">
        <f>IF(M95="",0,M95)</f>
        <v/>
      </c>
      <c r="J101" s="306">
        <f>IF(H101="","",H101+I101)</f>
        <v/>
      </c>
      <c r="K101" s="306">
        <f>IF(J101="","",J101/G101)</f>
        <v/>
      </c>
      <c r="L101" s="305">
        <f>IF(OR($B101="",$C101="",$D101="",$E101=""),"",IF($D101="EJ",IF($E101="PREMONTAGEM",IF((COUNTIFS('CONTROLE PRODUÇÃO POR EMPRESAS'!$A$6:$A$1000,"&gt;="&amp;$B101,'CONTROLE PRODUÇÃO POR EMPRESAS'!$A$6:$A$1000,"&lt;="&amp;$C101,'CONTROLE PRODUÇÃO POR EMPRESAS'!$B$6:$B$1000,"&gt;=0")+COUNTIFS('CONTROLE PRODUÇÃO POR EMPRESAS'!$A$6:$A$1000,"&gt;="&amp;$B101,'CONTROLE PRODUÇÃO POR EMPRESAS'!$A$6:$A$1000,"&lt;="&amp;$C101,'CONTROLE PRODUÇÃO POR EMPRESAS'!$B$6:$B$1000,"?*"))=0,"",SUMIFS('CONTROLE PRODUÇÃO POR EMPRESAS'!$B$6:$B$1000,'CONTROLE PRODUÇÃO POR EMPRESAS'!$A$6:$A$1000,"&gt;="&amp;$B101,'CONTROLE PRODUÇÃO POR EMPRESAS'!$A$6:$A$1000,"&lt;="&amp;$C101)),IF($E101="IÇAMENTO JOIST",IF((COUNTIFS('CONTROLE PRODUÇÃO POR EMPRESAS'!$A$6:$A$1000,"&gt;="&amp;$B101,'CONTROLE PRODUÇÃO POR EMPRESAS'!$A$6:$A$1000,"&lt;="&amp;$C101,'CONTROLE PRODUÇÃO POR EMPRESAS'!$C$6:$C$1000,"&gt;=0")+COUNTIFS('CONTROLE PRODUÇÃO POR EMPRESAS'!$A$6:$A$1000,"&gt;="&amp;$B101,'CONTROLE PRODUÇÃO POR EMPRESAS'!$A$6:$A$1000,"&lt;="&amp;$C101,'CONTROLE PRODUÇÃO POR EMPRESAS'!$C$6:$C$1000,"?*"))=0,"",SUMIFS('CONTROLE PRODUÇÃO POR EMPRESAS'!$C$6:$C$1000,'CONTROLE PRODUÇÃO POR EMPRESAS'!$A$6:$A$1000,"&gt;="&amp;$B101,'CONTROLE PRODUÇÃO POR EMPRESAS'!$A$6:$A$1000,"&lt;="&amp;$C101)),IF($E101="VIGAS",IF((COUNTIFS('CONTROLE PRODUÇÃO POR EMPRESAS'!$A$6:$A$1000,"&gt;="&amp;$B101,'CONTROLE PRODUÇÃO POR EMPRESAS'!$A$6:$A$1000,"&lt;="&amp;$C101,'CONTROLE PRODUÇÃO POR EMPRESAS'!$D$6:$D$1000,"&gt;=0")+COUNTIFS('CONTROLE PRODUÇÃO POR EMPRESAS'!$A$6:$A$1000,"&gt;="&amp;$B101,'CONTROLE PRODUÇÃO POR EMPRESAS'!$A$6:$A$1000,"&lt;="&amp;$C101,'CONTROLE PRODUÇÃO POR EMPRESAS'!$D$6:$D$1000,"?*"))=0,"",SUMIFS('CONTROLE PRODUÇÃO POR EMPRESAS'!$D$6:$D$1000,'CONTROLE PRODUÇÃO POR EMPRESAS'!$A$6:$A$1000,"&gt;="&amp;$B101,'CONTROLE PRODUÇÃO POR EMPRESAS'!$A$6:$A$1000,"&lt;="&amp;$C101)),""))),IF($D101="CMM",IF($E101="PREMONTAGEM",IF((COUNTIFS('CONTROLE PRODUÇÃO POR EMPRESAS'!$A$6:$A$1000,"&gt;="&amp;$B101,'CONTROLE PRODUÇÃO POR EMPRESAS'!$A$6:$A$1000,"&lt;="&amp;$C101,'CONTROLE PRODUÇÃO POR EMPRESAS'!$E$6:$E$1000,"&gt;=0")+COUNTIFS('CONTROLE PRODUÇÃO POR EMPRESAS'!$A$6:$A$1000,"&gt;="&amp;$B101,'CONTROLE PRODUÇÃO POR EMPRESAS'!$A$6:$A$1000,"&lt;="&amp;$C101,'CONTROLE PRODUÇÃO POR EMPRESAS'!$E$6:$E$1000,"?*"))=0,"",SUMIFS('CONTROLE PRODUÇÃO POR EMPRESAS'!$E$6:$E$1000,'CONTROLE PRODUÇÃO POR EMPRESAS'!$A$6:$A$1000,"&gt;="&amp;$B101,'CONTROLE PRODUÇÃO POR EMPRESAS'!$A$6:$A$1000,"&lt;="&amp;$C101)),IF($E101="IÇAMENTO JOIST",IF((COUNTIFS('CONTROLE PRODUÇÃO POR EMPRESAS'!$A$6:$A$1000,"&gt;="&amp;$B101,'CONTROLE PRODUÇÃO POR EMPRESAS'!$A$6:$A$1000,"&lt;="&amp;$C101,'CONTROLE PRODUÇÃO POR EMPRESAS'!$F$6:$F$1000,"&gt;=0")+COUNTIFS('CONTROLE PRODUÇÃO POR EMPRESAS'!$A$6:$A$1000,"&gt;="&amp;$B101,'CONTROLE PRODUÇÃO POR EMPRESAS'!$A$6:$A$1000,"&lt;="&amp;$C101,'CONTROLE PRODUÇÃO POR EMPRESAS'!$F$6:$F$1000,"?*"))=0,"",SUMIFS('CONTROLE PRODUÇÃO POR EMPRESAS'!$F$6:$F$1000,'CONTROLE PRODUÇÃO POR EMPRESAS'!$A$6:$A$1000,"&gt;="&amp;$B101,'CONTROLE PRODUÇÃO POR EMPRESAS'!$A$6:$A$1000,"&lt;="&amp;$C101)),IF($E101="VIGAS",IF((COUNTIFS('CONTROLE PRODUÇÃO POR EMPRESAS'!$A$6:$A$1000,"&gt;="&amp;$B101,'CONTROLE PRODUÇÃO POR EMPRESAS'!$A$6:$A$1000,"&lt;="&amp;$C101,'CONTROLE PRODUÇÃO POR EMPRESAS'!$G$6:$G$1000,"&gt;=0")+COUNTIFS('CONTROLE PRODUÇÃO POR EMPRESAS'!$A$6:$A$1000,"&gt;="&amp;$B101,'CONTROLE PRODUÇÃO POR EMPRESAS'!$A$6:$A$1000,"&lt;="&amp;$C101,'CONTROLE PRODUÇÃO POR EMPRESAS'!$G$6:$G$1000,"?*"))=0,"",SUMIFS('CONTROLE PRODUÇÃO POR EMPRESAS'!$G$6:$G$1000,'CONTROLE PRODUÇÃO POR EMPRESAS'!$A$6:$A$1000,"&gt;="&amp;$B101,'CONTROLE PRODUÇÃO POR EMPRESAS'!$A$6:$A$1000,"&lt;="&amp;$C101)),""))),"")))</f>
        <v/>
      </c>
      <c r="M101" s="306">
        <f>IF(L101="","",MAX(J101-L101,0))</f>
        <v/>
      </c>
      <c r="N101" s="306">
        <f>IF(L101="","",MAX(L101-J101,0))</f>
        <v/>
      </c>
      <c r="O101" s="307">
        <f>IF(L101="","",IFERROR(L101/J101,""))</f>
        <v/>
      </c>
      <c r="P101" s="306">
        <f>IF(H101="","",SUMIFS($H$6:H101,$D$6:D101,D101,$E$6:E101,E101))</f>
        <v/>
      </c>
      <c r="Q101" s="306">
        <f>IF(L101="","",SUMIFS($L$6:L101,$D$6:D101,D101,$E$6:E101,E101))</f>
        <v/>
      </c>
      <c r="R101" s="306">
        <f>IF(Q101="","",MAX(P101-Q101,0))</f>
        <v/>
      </c>
      <c r="S101" s="126">
        <f>IF(O101="","",IF(O101&gt;=1,"VERDE",IF(O101&gt;=0.9,"AMARELO","VERMELHO")))</f>
        <v/>
      </c>
      <c r="T101" s="127" t="n"/>
      <c r="U101" s="127" t="n"/>
      <c r="V101" s="128" t="n"/>
      <c r="W101" s="308" t="n"/>
    </row>
  </sheetData>
  <mergeCells count="3">
    <mergeCell ref="A3:W3"/>
    <mergeCell ref="D1:G1"/>
    <mergeCell ref="A4:W4"/>
  </mergeCells>
  <conditionalFormatting sqref="M6:M101">
    <cfRule type="cellIs" priority="2" operator="greaterThan" dxfId="2">
      <formula>0</formula>
    </cfRule>
  </conditionalFormatting>
  <conditionalFormatting sqref="N6:N101">
    <cfRule type="cellIs" priority="3" operator="greaterThan" dxfId="49">
      <formula>0</formula>
    </cfRule>
  </conditionalFormatting>
  <conditionalFormatting sqref="O6:O101">
    <cfRule type="expression" priority="4" dxfId="31">
      <formula>O6&gt;=1</formula>
    </cfRule>
    <cfRule type="expression" priority="5" dxfId="44">
      <formula>AND(O6&gt;=0.9,O6&lt;1)</formula>
    </cfRule>
    <cfRule type="expression" priority="6" dxfId="2">
      <formula>AND(O6&lt;&gt;"",O6&lt;0.9)</formula>
    </cfRule>
  </conditionalFormatting>
  <conditionalFormatting sqref="S6:S101">
    <cfRule type="expression" priority="7" dxfId="31">
      <formula>S6="VERDE"</formula>
    </cfRule>
    <cfRule type="expression" priority="8" dxfId="44">
      <formula>S6="AMARELO"</formula>
    </cfRule>
    <cfRule type="expression" priority="9" dxfId="2">
      <formula>S6="VERMELHO"</formula>
    </cfRule>
  </conditionalFormatting>
  <conditionalFormatting sqref="T6:U101">
    <cfRule type="expression" priority="10" dxfId="42">
      <formula>AND($M6&gt;0,$T6="")</formula>
    </cfRule>
  </conditionalFormatting>
  <dataValidations count="2">
    <dataValidation sqref="D6:D101" showDropDown="0" showInputMessage="0" showErrorMessage="0" allowBlank="0" type="list">
      <formula1>"CMM,EJ"</formula1>
      <formula2>0</formula2>
    </dataValidation>
    <dataValidation sqref="E6:E101" showDropDown="0" showInputMessage="0" showErrorMessage="0" allowBlank="0" type="list">
      <formula1>"PREMONTAGEM,IÇAMENTO JOIST,VIGAS"</formula1>
      <formula2>0</formula2>
    </dataValidation>
  </dataValidations>
  <pageMargins left="0.7" right="0.7" top="0.75" bottom="0.75" header="0.511811023622047" footer="0.511811023622047"/>
  <pageSetup orientation="portrait" paperSize="9" horizontalDpi="300" verticalDpi="300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3:Y36"/>
  <sheetViews>
    <sheetView topLeftCell="A9" zoomScale="85" zoomScaleNormal="85" workbookViewId="0">
      <selection activeCell="L20" sqref="L20"/>
    </sheetView>
  </sheetViews>
  <sheetFormatPr baseColWidth="8" defaultColWidth="8.5546875" defaultRowHeight="14.4"/>
  <cols>
    <col width="17" customWidth="1" min="2" max="2"/>
    <col width="11.88671875" customWidth="1" min="3" max="3"/>
    <col width="23.88671875" customWidth="1" min="4" max="4"/>
    <col width="12.33203125" customWidth="1" min="7" max="7"/>
    <col width="11.5546875" customWidth="1" min="8" max="8"/>
    <col width="16.109375" customWidth="1" min="11" max="11"/>
    <col width="13.6640625" customWidth="1" min="12" max="12"/>
    <col width="11.88671875" customWidth="1" min="13" max="13"/>
    <col width="12.88671875" customWidth="1" min="15" max="15"/>
    <col width="18.5546875" customWidth="1" min="16" max="16"/>
    <col width="12.21875" customWidth="1" min="17" max="17"/>
    <col width="13" customWidth="1" min="18" max="18"/>
    <col width="12.6640625" customWidth="1" min="24" max="24"/>
  </cols>
  <sheetData>
    <row r="3">
      <c r="A3" s="240" t="inlineStr">
        <is>
          <t>GUINDASTE SANY/OUTROS</t>
        </is>
      </c>
      <c r="B3" s="131" t="n"/>
      <c r="C3" s="71" t="n"/>
      <c r="E3" t="inlineStr">
        <is>
          <t>GUINDASTE LOCADO</t>
        </is>
      </c>
      <c r="I3" s="130" t="inlineStr">
        <is>
          <t>SKYJACK</t>
        </is>
      </c>
      <c r="J3" s="131" t="n"/>
      <c r="K3" s="71" t="n"/>
      <c r="M3" s="240" t="inlineStr">
        <is>
          <t>ABASTECIMENTO</t>
        </is>
      </c>
      <c r="N3" s="131" t="n"/>
      <c r="O3" s="131" t="n"/>
      <c r="P3" s="131" t="n"/>
      <c r="Q3" s="71" t="n"/>
      <c r="R3" s="222" t="inlineStr">
        <is>
          <t>combustivel</t>
        </is>
      </c>
      <c r="S3" s="222" t="n"/>
      <c r="U3" s="240" t="inlineStr">
        <is>
          <t>ABASTECIMENTO qpc/cmm</t>
        </is>
      </c>
      <c r="V3" s="131" t="n"/>
      <c r="W3" s="131" t="n"/>
      <c r="X3" s="131" t="n"/>
      <c r="Y3" s="71" t="n"/>
    </row>
    <row r="4">
      <c r="A4" s="130" t="inlineStr">
        <is>
          <t>DATA</t>
        </is>
      </c>
      <c r="B4" s="130" t="inlineStr">
        <is>
          <t>EMPRESA</t>
        </is>
      </c>
      <c r="C4" s="130" t="inlineStr">
        <is>
          <t xml:space="preserve">VALOR </t>
        </is>
      </c>
      <c r="E4" t="inlineStr">
        <is>
          <t>DATA</t>
        </is>
      </c>
      <c r="F4" t="inlineStr">
        <is>
          <t>USO</t>
        </is>
      </c>
      <c r="G4" t="inlineStr">
        <is>
          <t>VALOR</t>
        </is>
      </c>
      <c r="H4" t="inlineStr">
        <is>
          <t>OPERADOR</t>
        </is>
      </c>
      <c r="I4" s="130" t="inlineStr">
        <is>
          <t>DATA</t>
        </is>
      </c>
      <c r="J4" s="130" t="inlineStr">
        <is>
          <t>EMPRESA</t>
        </is>
      </c>
      <c r="K4" s="130" t="inlineStr">
        <is>
          <t xml:space="preserve">VALOR </t>
        </is>
      </c>
      <c r="M4" s="130" t="inlineStr">
        <is>
          <t>DATA</t>
        </is>
      </c>
      <c r="N4" s="130" t="inlineStr">
        <is>
          <t>EMPRESA</t>
        </is>
      </c>
      <c r="O4" s="130" t="inlineStr">
        <is>
          <t xml:space="preserve">LITROS </t>
        </is>
      </c>
      <c r="P4" s="130" t="inlineStr">
        <is>
          <t>VALOR</t>
        </is>
      </c>
      <c r="Q4" s="130" t="inlineStr">
        <is>
          <t>MAQUINA</t>
        </is>
      </c>
      <c r="R4" t="inlineStr">
        <is>
          <t>pago</t>
        </is>
      </c>
      <c r="S4" s="132" t="n"/>
      <c r="U4" s="130" t="inlineStr">
        <is>
          <t>DATA</t>
        </is>
      </c>
      <c r="V4" s="130" t="inlineStr">
        <is>
          <t>EMPRESA</t>
        </is>
      </c>
      <c r="W4" s="130" t="inlineStr">
        <is>
          <t xml:space="preserve">LITROS </t>
        </is>
      </c>
      <c r="X4" s="130" t="inlineStr">
        <is>
          <t>VALOR</t>
        </is>
      </c>
      <c r="Y4" s="130" t="inlineStr">
        <is>
          <t>MAQUINA</t>
        </is>
      </c>
    </row>
    <row r="5">
      <c r="A5" s="291" t="n">
        <v>46266</v>
      </c>
      <c r="B5" s="130" t="inlineStr">
        <is>
          <t>EJ</t>
        </is>
      </c>
      <c r="C5" s="309" t="n">
        <v>3000</v>
      </c>
      <c r="E5" s="291" t="n">
        <v>46266</v>
      </c>
      <c r="G5" s="275" t="n"/>
      <c r="I5" s="291" t="n">
        <v>46266</v>
      </c>
      <c r="J5" s="130" t="inlineStr">
        <is>
          <t>CMM</t>
        </is>
      </c>
      <c r="K5" s="309" t="n">
        <v>300</v>
      </c>
      <c r="M5" s="291" t="n">
        <v>46266</v>
      </c>
      <c r="N5" s="130" t="n"/>
      <c r="O5" s="134" t="n"/>
      <c r="P5" s="309">
        <f>7.58*O5</f>
        <v/>
      </c>
      <c r="Q5" s="18" t="n"/>
      <c r="R5" t="inlineStr">
        <is>
          <t>aguardando</t>
        </is>
      </c>
      <c r="U5" s="310" t="n">
        <v>46266</v>
      </c>
      <c r="V5" s="136" t="n"/>
      <c r="W5" s="137" t="n"/>
      <c r="X5" s="311">
        <f>7.84*W5</f>
        <v/>
      </c>
      <c r="Y5" s="139" t="n"/>
    </row>
    <row r="6">
      <c r="A6" s="291" t="n">
        <v>46267</v>
      </c>
      <c r="B6" s="18" t="inlineStr">
        <is>
          <t>EJ</t>
        </is>
      </c>
      <c r="C6" s="309" t="n">
        <v>3000</v>
      </c>
      <c r="E6" s="291" t="n">
        <v>46267</v>
      </c>
      <c r="G6" s="275" t="n"/>
      <c r="I6" s="291" t="n">
        <v>46267</v>
      </c>
      <c r="J6" s="130" t="inlineStr">
        <is>
          <t>CMM</t>
        </is>
      </c>
      <c r="K6" s="309" t="n">
        <v>300</v>
      </c>
      <c r="M6" s="291" t="n">
        <v>46267</v>
      </c>
      <c r="N6" s="130" t="n"/>
      <c r="O6" s="134" t="n"/>
      <c r="P6" s="309">
        <f>7.58*O6</f>
        <v/>
      </c>
      <c r="Q6" s="18" t="n"/>
      <c r="R6" t="inlineStr">
        <is>
          <t>atenção</t>
        </is>
      </c>
      <c r="S6" s="140" t="n"/>
      <c r="U6" s="310" t="n">
        <v>46267</v>
      </c>
      <c r="V6" s="136" t="n"/>
      <c r="W6" s="137" t="n"/>
      <c r="X6" s="311">
        <f>7.84*W6</f>
        <v/>
      </c>
      <c r="Y6" s="139" t="n"/>
    </row>
    <row r="7">
      <c r="A7" s="291" t="n">
        <v>46268</v>
      </c>
      <c r="B7" s="18" t="inlineStr">
        <is>
          <t>EJ</t>
        </is>
      </c>
      <c r="C7" s="309" t="n">
        <v>3000</v>
      </c>
      <c r="E7" s="291" t="n">
        <v>46268</v>
      </c>
      <c r="G7" s="275" t="n"/>
      <c r="I7" s="291" t="n">
        <v>46268</v>
      </c>
      <c r="J7" s="130" t="inlineStr">
        <is>
          <t>CMM</t>
        </is>
      </c>
      <c r="K7" s="309" t="n">
        <v>300</v>
      </c>
      <c r="M7" s="291" t="n">
        <v>46268</v>
      </c>
      <c r="N7" s="130" t="n"/>
      <c r="O7" s="134" t="n"/>
      <c r="P7" s="309">
        <f>7.58*O7</f>
        <v/>
      </c>
      <c r="Q7" s="18" t="n"/>
      <c r="U7" s="310" t="n">
        <v>46268</v>
      </c>
      <c r="V7" s="136" t="n"/>
      <c r="W7" s="137" t="n"/>
      <c r="X7" s="311">
        <f>7.84*W7</f>
        <v/>
      </c>
      <c r="Y7" s="139" t="n"/>
    </row>
    <row r="8">
      <c r="A8" s="291" t="n">
        <v>46269</v>
      </c>
      <c r="B8" s="18" t="inlineStr">
        <is>
          <t>CMM</t>
        </is>
      </c>
      <c r="C8" s="309" t="n">
        <v>3000</v>
      </c>
      <c r="E8" s="291" t="n">
        <v>46269</v>
      </c>
      <c r="G8" s="275" t="n"/>
      <c r="I8" s="291" t="n">
        <v>46269</v>
      </c>
      <c r="J8" s="130" t="inlineStr">
        <is>
          <t>CMM</t>
        </is>
      </c>
      <c r="K8" s="309" t="n">
        <v>300</v>
      </c>
      <c r="M8" s="291" t="n">
        <v>46269</v>
      </c>
      <c r="N8" s="130" t="n"/>
      <c r="O8" s="134" t="n"/>
      <c r="P8" s="309">
        <f>7.58*O8</f>
        <v/>
      </c>
      <c r="Q8" s="18" t="n"/>
      <c r="U8" s="310" t="n">
        <v>46269</v>
      </c>
      <c r="V8" s="136" t="n"/>
      <c r="W8" s="137" t="n"/>
      <c r="X8" s="311">
        <f>7.84*W8</f>
        <v/>
      </c>
      <c r="Y8" s="139" t="n"/>
    </row>
    <row r="9">
      <c r="A9" s="291" t="n">
        <v>46270</v>
      </c>
      <c r="B9" s="130" t="inlineStr">
        <is>
          <t>CMM</t>
        </is>
      </c>
      <c r="C9" s="309">
        <f>3000+522</f>
        <v/>
      </c>
      <c r="D9" t="inlineStr">
        <is>
          <t>OP MUNCK+</t>
        </is>
      </c>
      <c r="E9" s="291" t="n">
        <v>46270</v>
      </c>
      <c r="G9" s="275" t="n"/>
      <c r="I9" s="291" t="n">
        <v>46270</v>
      </c>
      <c r="J9" s="130" t="inlineStr">
        <is>
          <t>CMM</t>
        </is>
      </c>
      <c r="K9" s="309" t="n">
        <v>300</v>
      </c>
      <c r="M9" s="312" t="n">
        <v>46270</v>
      </c>
      <c r="N9" s="142" t="inlineStr">
        <is>
          <t>CMM</t>
        </is>
      </c>
      <c r="O9" s="143" t="n">
        <v>28</v>
      </c>
      <c r="P9" s="313">
        <f>7.58*O9</f>
        <v/>
      </c>
      <c r="Q9" s="145" t="n"/>
      <c r="U9" s="310" t="n">
        <v>46270</v>
      </c>
      <c r="V9" s="136" t="n"/>
      <c r="W9" s="137" t="n"/>
      <c r="X9" s="311">
        <f>7.84*W9</f>
        <v/>
      </c>
      <c r="Y9" s="139" t="n"/>
    </row>
    <row r="10">
      <c r="A10" s="291" t="n">
        <v>46271</v>
      </c>
      <c r="B10" s="130" t="n"/>
      <c r="C10" s="309" t="n"/>
      <c r="E10" s="291" t="n">
        <v>46271</v>
      </c>
      <c r="G10" s="275" t="n"/>
      <c r="I10" s="291" t="n">
        <v>46271</v>
      </c>
      <c r="J10" s="130" t="inlineStr">
        <is>
          <t>CMM</t>
        </is>
      </c>
      <c r="K10" s="309" t="n">
        <v>300</v>
      </c>
      <c r="M10" s="291" t="n">
        <v>46271</v>
      </c>
      <c r="N10" s="130" t="n"/>
      <c r="O10" s="134" t="n"/>
      <c r="P10" s="309">
        <f>7.58*O10</f>
        <v/>
      </c>
      <c r="Q10" s="18" t="n"/>
      <c r="U10" s="310" t="n">
        <v>46271</v>
      </c>
      <c r="V10" s="136" t="n"/>
      <c r="W10" s="137" t="n"/>
      <c r="X10" s="311">
        <f>7.84*W10</f>
        <v/>
      </c>
      <c r="Y10" s="139" t="n"/>
    </row>
    <row r="11">
      <c r="A11" s="291" t="n">
        <v>46272</v>
      </c>
      <c r="B11" s="130" t="n"/>
      <c r="C11" s="309" t="n"/>
      <c r="E11" s="291" t="n">
        <v>46272</v>
      </c>
      <c r="G11" s="275" t="n"/>
      <c r="I11" s="291" t="n">
        <v>46272</v>
      </c>
      <c r="J11" s="130" t="inlineStr">
        <is>
          <t>CMM</t>
        </is>
      </c>
      <c r="K11" s="309" t="n">
        <v>300</v>
      </c>
      <c r="M11" s="291" t="n">
        <v>46272</v>
      </c>
      <c r="N11" s="130" t="n"/>
      <c r="O11" s="134" t="n"/>
      <c r="P11" s="309">
        <f>7.58*O11</f>
        <v/>
      </c>
      <c r="Q11" s="18" t="n"/>
      <c r="U11" s="310" t="n">
        <v>46272</v>
      </c>
      <c r="V11" s="136" t="n"/>
      <c r="W11" s="137" t="n"/>
      <c r="X11" s="311">
        <f>7.84*W11</f>
        <v/>
      </c>
      <c r="Y11" s="139" t="n"/>
    </row>
    <row r="12">
      <c r="A12" s="291" t="n">
        <v>46273</v>
      </c>
      <c r="B12" s="130" t="inlineStr">
        <is>
          <t>CMM</t>
        </is>
      </c>
      <c r="C12" s="309" t="n">
        <v>3000</v>
      </c>
      <c r="D12" s="314" t="n"/>
      <c r="E12" s="291" t="n">
        <v>46273</v>
      </c>
      <c r="G12" s="275" t="n"/>
      <c r="I12" s="291" t="n">
        <v>46273</v>
      </c>
      <c r="J12" s="130" t="inlineStr">
        <is>
          <t>CMM</t>
        </is>
      </c>
      <c r="K12" s="309" t="n">
        <v>300</v>
      </c>
      <c r="M12" s="291" t="n">
        <v>46273</v>
      </c>
      <c r="N12" s="130" t="n"/>
      <c r="O12" s="134" t="n"/>
      <c r="P12" s="309">
        <f>7.58*O12</f>
        <v/>
      </c>
      <c r="Q12" s="18" t="n"/>
      <c r="U12" s="310" t="n">
        <v>46273</v>
      </c>
      <c r="V12" s="136" t="n"/>
      <c r="W12" s="137" t="n"/>
      <c r="X12" s="311">
        <f>7.84*W12</f>
        <v/>
      </c>
      <c r="Y12" s="139" t="n"/>
    </row>
    <row r="13">
      <c r="A13" s="291" t="n">
        <v>46274</v>
      </c>
      <c r="B13" s="130" t="inlineStr">
        <is>
          <t>CMM</t>
        </is>
      </c>
      <c r="C13" s="309" t="n">
        <v>3000</v>
      </c>
      <c r="E13" s="291" t="n">
        <v>46274</v>
      </c>
      <c r="G13" s="275" t="n"/>
      <c r="I13" s="291" t="n">
        <v>46274</v>
      </c>
      <c r="J13" s="130" t="inlineStr">
        <is>
          <t>EJ</t>
        </is>
      </c>
      <c r="K13" s="309" t="n">
        <v>300</v>
      </c>
      <c r="M13" s="315" t="n">
        <v>46274</v>
      </c>
      <c r="N13" s="148" t="inlineStr">
        <is>
          <t>CMM/EJ</t>
        </is>
      </c>
      <c r="O13" s="149" t="n">
        <v>133</v>
      </c>
      <c r="P13" s="316">
        <f>7.58*O13</f>
        <v/>
      </c>
      <c r="Q13" s="148" t="inlineStr">
        <is>
          <t>SKYJACK</t>
        </is>
      </c>
      <c r="R13" s="314">
        <f>P13/2</f>
        <v/>
      </c>
      <c r="U13" s="310" t="n">
        <v>46274</v>
      </c>
      <c r="V13" s="136" t="n"/>
      <c r="W13" s="137" t="n"/>
      <c r="X13" s="311">
        <f>7.84*W13</f>
        <v/>
      </c>
      <c r="Y13" s="136" t="n"/>
    </row>
    <row r="14">
      <c r="A14" s="291" t="n">
        <v>46275</v>
      </c>
      <c r="B14" s="130" t="inlineStr">
        <is>
          <t>CMM</t>
        </is>
      </c>
      <c r="C14" s="309">
        <f>300*3.5</f>
        <v/>
      </c>
      <c r="D14" t="inlineStr">
        <is>
          <t>HORIMETRO</t>
        </is>
      </c>
      <c r="E14" s="291" t="n">
        <v>46275</v>
      </c>
      <c r="G14" s="275" t="n"/>
      <c r="I14" s="291" t="n">
        <v>46275</v>
      </c>
      <c r="J14" s="130" t="inlineStr">
        <is>
          <t>EJ</t>
        </is>
      </c>
      <c r="K14" s="309" t="n">
        <v>300</v>
      </c>
      <c r="M14" s="315" t="n">
        <v>46274</v>
      </c>
      <c r="N14" s="148" t="inlineStr">
        <is>
          <t>CMM/EJ</t>
        </is>
      </c>
      <c r="O14" s="149" t="n">
        <v>54.57</v>
      </c>
      <c r="P14" s="316">
        <f>7.58*O14</f>
        <v/>
      </c>
      <c r="Q14" s="148" t="inlineStr">
        <is>
          <t>MUNCK</t>
        </is>
      </c>
      <c r="R14" s="314">
        <f>P14/2</f>
        <v/>
      </c>
      <c r="U14" s="310" t="n">
        <v>46274</v>
      </c>
      <c r="V14" s="136" t="n"/>
      <c r="W14" s="137" t="n"/>
      <c r="X14" s="311">
        <f>7.84*W14</f>
        <v/>
      </c>
      <c r="Y14" s="136" t="n"/>
    </row>
    <row r="15">
      <c r="A15" s="291" t="n">
        <v>46276</v>
      </c>
      <c r="B15" s="130" t="inlineStr">
        <is>
          <t>CMM</t>
        </is>
      </c>
      <c r="C15" s="309" t="n">
        <v>3000</v>
      </c>
      <c r="E15" s="291" t="n">
        <v>46276</v>
      </c>
      <c r="G15" s="275" t="n"/>
      <c r="I15" s="291" t="n">
        <v>46276</v>
      </c>
      <c r="J15" s="130" t="inlineStr">
        <is>
          <t>EJ</t>
        </is>
      </c>
      <c r="K15" s="309" t="n">
        <v>300</v>
      </c>
      <c r="M15" s="315" t="n">
        <v>46276</v>
      </c>
      <c r="N15" s="148" t="inlineStr">
        <is>
          <t>CMM</t>
        </is>
      </c>
      <c r="O15" s="149" t="n">
        <v>32.9</v>
      </c>
      <c r="P15" s="316">
        <f>7.58*O15</f>
        <v/>
      </c>
      <c r="Q15" s="148" t="inlineStr">
        <is>
          <t>LOCAR258</t>
        </is>
      </c>
      <c r="R15" s="314">
        <f>P15/2</f>
        <v/>
      </c>
      <c r="U15" s="310" t="n">
        <v>46276</v>
      </c>
      <c r="V15" s="136" t="n"/>
      <c r="W15" s="137" t="n"/>
      <c r="X15" s="311">
        <f>7.84*W15</f>
        <v/>
      </c>
      <c r="Y15" s="136" t="n"/>
    </row>
    <row r="16">
      <c r="A16" s="291" t="n">
        <v>46277</v>
      </c>
      <c r="B16" s="130" t="inlineStr">
        <is>
          <t>CMM</t>
        </is>
      </c>
      <c r="C16" s="309" t="n">
        <v>3000</v>
      </c>
      <c r="E16" s="291" t="n">
        <v>46277</v>
      </c>
      <c r="G16" s="275" t="n"/>
      <c r="I16" s="291" t="n">
        <v>46277</v>
      </c>
      <c r="J16" s="130" t="inlineStr">
        <is>
          <t>EJ</t>
        </is>
      </c>
      <c r="K16" s="309" t="n">
        <v>300</v>
      </c>
      <c r="M16" s="315" t="n">
        <v>46276</v>
      </c>
      <c r="N16" s="148" t="inlineStr">
        <is>
          <t>EJ</t>
        </is>
      </c>
      <c r="O16" s="149" t="n">
        <v>14.1</v>
      </c>
      <c r="P16" s="316">
        <f>7.58*O16</f>
        <v/>
      </c>
      <c r="Q16" s="148" t="inlineStr">
        <is>
          <t>LOCAR259</t>
        </is>
      </c>
      <c r="R16" s="314">
        <f>P16/2</f>
        <v/>
      </c>
      <c r="U16" s="310" t="n">
        <v>46276</v>
      </c>
      <c r="V16" s="136" t="n"/>
      <c r="W16" s="137" t="n"/>
      <c r="X16" s="311">
        <f>7.84*W16</f>
        <v/>
      </c>
      <c r="Y16" s="136" t="n"/>
    </row>
    <row r="17">
      <c r="A17" s="291" t="n">
        <v>46277</v>
      </c>
      <c r="B17" s="130" t="inlineStr">
        <is>
          <t>EJ</t>
        </is>
      </c>
      <c r="C17" s="309" t="n">
        <v>522</v>
      </c>
      <c r="E17" s="291" t="n">
        <v>46278</v>
      </c>
      <c r="G17" s="275" t="n"/>
      <c r="I17" s="291" t="n">
        <v>46278</v>
      </c>
      <c r="J17" s="130" t="inlineStr">
        <is>
          <t>EJ</t>
        </is>
      </c>
      <c r="K17" s="309" t="n">
        <v>300</v>
      </c>
      <c r="M17" s="315" t="n">
        <v>46280</v>
      </c>
      <c r="N17" s="148" t="inlineStr">
        <is>
          <t>EJ/CMM</t>
        </is>
      </c>
      <c r="O17" s="149" t="n">
        <v>137.04</v>
      </c>
      <c r="P17" s="316">
        <f>7.84*O17</f>
        <v/>
      </c>
      <c r="Q17" s="151" t="inlineStr">
        <is>
          <t>SANY</t>
        </is>
      </c>
      <c r="R17" s="314">
        <f>P17/2</f>
        <v/>
      </c>
      <c r="U17" s="310" t="n">
        <v>46280</v>
      </c>
      <c r="V17" s="136" t="n"/>
      <c r="W17" s="137" t="n"/>
      <c r="X17" s="311">
        <f>7.84*W17</f>
        <v/>
      </c>
      <c r="Y17" s="139" t="n"/>
    </row>
    <row r="18">
      <c r="A18" s="291" t="n">
        <v>46278</v>
      </c>
      <c r="B18" s="18" t="n"/>
      <c r="C18" s="309" t="n"/>
      <c r="E18" s="291" t="n">
        <v>46279</v>
      </c>
      <c r="G18" s="275" t="n"/>
      <c r="I18" s="291" t="n">
        <v>46279</v>
      </c>
      <c r="J18" s="130" t="inlineStr">
        <is>
          <t>EJ</t>
        </is>
      </c>
      <c r="K18" s="309" t="n">
        <v>300</v>
      </c>
      <c r="M18" s="315" t="n">
        <v>46280</v>
      </c>
      <c r="N18" s="148" t="inlineStr">
        <is>
          <t>GA</t>
        </is>
      </c>
      <c r="O18" s="149" t="n">
        <v>36</v>
      </c>
      <c r="P18" s="316">
        <f>7.84*O18</f>
        <v/>
      </c>
      <c r="Q18" s="151" t="inlineStr">
        <is>
          <t>SKYJACK</t>
        </is>
      </c>
      <c r="R18" s="314">
        <f>P18/2</f>
        <v/>
      </c>
      <c r="U18" s="310" t="n">
        <v>46280</v>
      </c>
      <c r="V18" s="136" t="n"/>
      <c r="W18" s="137" t="n"/>
      <c r="X18" s="311">
        <f>7.84*W18</f>
        <v/>
      </c>
      <c r="Y18" s="139" t="n"/>
    </row>
    <row r="19">
      <c r="A19" s="291" t="n">
        <v>46279</v>
      </c>
      <c r="B19" s="18" t="inlineStr">
        <is>
          <t>CMM</t>
        </is>
      </c>
      <c r="C19" s="309" t="n">
        <v>3000</v>
      </c>
      <c r="E19" s="291" t="n">
        <v>46280</v>
      </c>
      <c r="G19" s="275" t="n"/>
      <c r="I19" s="291" t="n">
        <v>46280</v>
      </c>
      <c r="J19" s="130" t="inlineStr">
        <is>
          <t>EJ</t>
        </is>
      </c>
      <c r="K19" s="309" t="n">
        <v>300</v>
      </c>
      <c r="M19" s="315" t="n">
        <v>46280</v>
      </c>
      <c r="N19" s="148" t="inlineStr">
        <is>
          <t>GA</t>
        </is>
      </c>
      <c r="O19" s="149" t="n">
        <v>18.43</v>
      </c>
      <c r="P19" s="316">
        <f>7.84*O19</f>
        <v/>
      </c>
      <c r="Q19" s="151" t="inlineStr">
        <is>
          <t>MUNCK</t>
        </is>
      </c>
      <c r="R19" s="314">
        <f>P19/2</f>
        <v/>
      </c>
      <c r="U19" s="310" t="n">
        <v>46280</v>
      </c>
      <c r="V19" s="136" t="n"/>
      <c r="W19" s="137" t="n"/>
      <c r="X19" s="311">
        <f>7.84*W19</f>
        <v/>
      </c>
      <c r="Y19" s="139" t="n"/>
    </row>
    <row r="20">
      <c r="A20" s="291" t="n">
        <v>46280</v>
      </c>
      <c r="B20" s="18" t="inlineStr">
        <is>
          <t>CMM</t>
        </is>
      </c>
      <c r="C20" s="309" t="n">
        <v>3000</v>
      </c>
      <c r="E20" s="291" t="n">
        <v>46281</v>
      </c>
      <c r="G20" s="275" t="n"/>
      <c r="I20" s="291" t="n">
        <v>46281</v>
      </c>
      <c r="J20" s="130" t="inlineStr">
        <is>
          <t>GA</t>
        </is>
      </c>
      <c r="K20" s="309" t="n">
        <v>300</v>
      </c>
      <c r="M20" s="315" t="n">
        <v>46280</v>
      </c>
      <c r="N20" s="148" t="inlineStr">
        <is>
          <t>EJ</t>
        </is>
      </c>
      <c r="O20" s="149" t="n">
        <v>11.77</v>
      </c>
      <c r="P20" s="316">
        <f>7.84*O20</f>
        <v/>
      </c>
      <c r="Q20" s="148" t="inlineStr">
        <is>
          <t>LOCAR259</t>
        </is>
      </c>
      <c r="R20" s="314">
        <f>P20/2</f>
        <v/>
      </c>
      <c r="U20" s="310" t="n">
        <v>46280</v>
      </c>
      <c r="V20" s="136" t="n"/>
      <c r="W20" s="137" t="n"/>
      <c r="X20" s="311">
        <f>7.84*W20</f>
        <v/>
      </c>
      <c r="Y20" s="136" t="n"/>
    </row>
    <row r="21">
      <c r="A21" s="291" t="n">
        <v>46281</v>
      </c>
      <c r="B21" s="18" t="inlineStr">
        <is>
          <t>EJ</t>
        </is>
      </c>
      <c r="C21" s="309" t="n">
        <v>3000</v>
      </c>
      <c r="E21" s="291" t="n">
        <v>46282</v>
      </c>
      <c r="G21" s="275" t="n"/>
      <c r="I21" s="291" t="n">
        <v>46282</v>
      </c>
      <c r="J21" s="130" t="inlineStr">
        <is>
          <t>GA</t>
        </is>
      </c>
      <c r="K21" s="309" t="n">
        <v>300</v>
      </c>
      <c r="M21" s="315" t="n">
        <v>46280</v>
      </c>
      <c r="N21" s="148" t="inlineStr">
        <is>
          <t>CMM</t>
        </is>
      </c>
      <c r="O21" s="149" t="n">
        <v>20.87</v>
      </c>
      <c r="P21" s="316">
        <f>7.84*O21</f>
        <v/>
      </c>
      <c r="Q21" s="151" t="inlineStr">
        <is>
          <t>LOCAR258</t>
        </is>
      </c>
      <c r="R21" s="314">
        <f>P21/2</f>
        <v/>
      </c>
      <c r="U21" s="310" t="n">
        <v>46280</v>
      </c>
      <c r="V21" s="136" t="n"/>
      <c r="W21" s="137" t="n"/>
      <c r="X21" s="311">
        <f>7.84*W21</f>
        <v/>
      </c>
      <c r="Y21" s="139" t="n"/>
    </row>
    <row r="22">
      <c r="A22" s="291" t="n">
        <v>46283</v>
      </c>
      <c r="B22" s="18" t="inlineStr">
        <is>
          <t>CMM</t>
        </is>
      </c>
      <c r="C22" s="309" t="n">
        <v>1500</v>
      </c>
      <c r="E22" s="291" t="n">
        <v>46283</v>
      </c>
      <c r="F22" t="inlineStr">
        <is>
          <t>CHEGADA</t>
        </is>
      </c>
      <c r="G22" s="275" t="n"/>
      <c r="I22" s="291" t="n">
        <v>46283</v>
      </c>
      <c r="J22" s="130" t="inlineStr">
        <is>
          <t>GA</t>
        </is>
      </c>
      <c r="K22" s="309" t="n">
        <v>300</v>
      </c>
      <c r="M22" s="315" t="n">
        <v>46281</v>
      </c>
      <c r="N22" s="148" t="inlineStr">
        <is>
          <t>CMM</t>
        </is>
      </c>
      <c r="O22" s="149" t="n">
        <v>105.18</v>
      </c>
      <c r="P22" s="316">
        <f>7.84*O22</f>
        <v/>
      </c>
      <c r="Q22" s="151" t="inlineStr">
        <is>
          <t>LOCAR124</t>
        </is>
      </c>
      <c r="R22" s="314">
        <f>P22/2</f>
        <v/>
      </c>
      <c r="U22" s="310" t="n">
        <v>46281</v>
      </c>
      <c r="V22" s="136" t="n"/>
      <c r="W22" s="137" t="n"/>
      <c r="X22" s="311">
        <f>7.84*W22</f>
        <v/>
      </c>
      <c r="Y22" s="139" t="n"/>
    </row>
    <row r="23">
      <c r="A23" s="291" t="n">
        <v>46284</v>
      </c>
      <c r="B23" s="18" t="inlineStr">
        <is>
          <t>CMM</t>
        </is>
      </c>
      <c r="C23" s="309" t="n">
        <v>1500</v>
      </c>
      <c r="E23" s="291" t="n">
        <v>46284</v>
      </c>
      <c r="F23" t="inlineStr">
        <is>
          <t>EJ</t>
        </is>
      </c>
      <c r="G23" s="275" t="n">
        <v>3000</v>
      </c>
      <c r="H23" t="inlineStr">
        <is>
          <t>ERIVALDO</t>
        </is>
      </c>
      <c r="I23" s="291" t="n">
        <v>46284</v>
      </c>
      <c r="J23" s="130" t="inlineStr">
        <is>
          <t>EJ</t>
        </is>
      </c>
      <c r="K23" s="309" t="n">
        <v>300</v>
      </c>
      <c r="M23" s="315" t="n">
        <v>46287</v>
      </c>
      <c r="N23" s="148" t="inlineStr">
        <is>
          <t>CMM/EJ</t>
        </is>
      </c>
      <c r="O23" s="149" t="n">
        <v>239</v>
      </c>
      <c r="P23" s="316">
        <f>8.64*O23</f>
        <v/>
      </c>
      <c r="Q23" s="148" t="inlineStr">
        <is>
          <t>MUNCK</t>
        </is>
      </c>
      <c r="R23" s="314">
        <f>P23/2</f>
        <v/>
      </c>
      <c r="U23" s="310" t="n">
        <v>46282</v>
      </c>
      <c r="V23" s="136" t="n"/>
      <c r="W23" s="137" t="n"/>
      <c r="X23" s="311">
        <f>7.84*W23</f>
        <v/>
      </c>
      <c r="Y23" s="139" t="n"/>
    </row>
    <row r="24">
      <c r="A24" s="291" t="n">
        <v>46286</v>
      </c>
      <c r="B24" s="18" t="inlineStr">
        <is>
          <t>GLOBO AÇO</t>
        </is>
      </c>
      <c r="C24" s="309" t="n">
        <v>3000</v>
      </c>
      <c r="D24" t="inlineStr">
        <is>
          <t>S/PERFILADEIRA</t>
        </is>
      </c>
      <c r="E24" s="291" t="n">
        <v>46285</v>
      </c>
      <c r="G24" s="275" t="n"/>
      <c r="I24" s="291" t="n">
        <v>46285</v>
      </c>
      <c r="J24" s="130" t="inlineStr">
        <is>
          <t>GA</t>
        </is>
      </c>
      <c r="K24" s="309" t="n">
        <v>300</v>
      </c>
      <c r="M24" s="315" t="n">
        <v>46287</v>
      </c>
      <c r="N24" s="148" t="inlineStr">
        <is>
          <t>EJ/CMM</t>
        </is>
      </c>
      <c r="O24" s="149" t="n">
        <v>135.77</v>
      </c>
      <c r="P24" s="316">
        <f>8.64*O24</f>
        <v/>
      </c>
      <c r="Q24" s="148" t="inlineStr">
        <is>
          <t>SANY</t>
        </is>
      </c>
      <c r="R24" s="314">
        <f>P24/2</f>
        <v/>
      </c>
      <c r="U24" s="310" t="n">
        <v>46283</v>
      </c>
      <c r="V24" s="136" t="n"/>
      <c r="W24" s="137" t="n"/>
      <c r="X24" s="311">
        <f>7.84*W24</f>
        <v/>
      </c>
      <c r="Y24" s="139" t="n"/>
    </row>
    <row r="25">
      <c r="A25" s="291" t="n">
        <v>46287</v>
      </c>
      <c r="B25" s="18" t="n"/>
      <c r="C25" s="309" t="n"/>
      <c r="D25" t="inlineStr">
        <is>
          <t>SAIDA FABRICA MAN</t>
        </is>
      </c>
      <c r="E25" s="291" t="n">
        <v>46286</v>
      </c>
      <c r="F25" t="inlineStr">
        <is>
          <t>CMM</t>
        </is>
      </c>
      <c r="G25" s="275" t="n">
        <v>3000</v>
      </c>
      <c r="H25" t="inlineStr">
        <is>
          <t>ERIVALDO</t>
        </is>
      </c>
      <c r="I25" s="291" t="n">
        <v>46286</v>
      </c>
      <c r="J25" s="130" t="inlineStr">
        <is>
          <t>GA</t>
        </is>
      </c>
      <c r="K25" s="309" t="n">
        <v>300</v>
      </c>
      <c r="M25" s="315" t="n">
        <v>46287</v>
      </c>
      <c r="N25" s="148" t="inlineStr">
        <is>
          <t>EJ</t>
        </is>
      </c>
      <c r="O25" s="149" t="n">
        <v>35.86</v>
      </c>
      <c r="P25" s="316">
        <f>8.64*O25</f>
        <v/>
      </c>
      <c r="Q25" s="148" t="inlineStr">
        <is>
          <t>LOCAR259</t>
        </is>
      </c>
      <c r="R25" s="314">
        <f>P25/2</f>
        <v/>
      </c>
      <c r="U25" s="291" t="n">
        <v>46284</v>
      </c>
      <c r="V25" s="130" t="n"/>
      <c r="W25" s="134" t="n"/>
      <c r="X25" s="309">
        <f>7.84*W25</f>
        <v/>
      </c>
      <c r="Y25" s="18" t="n"/>
    </row>
    <row r="26">
      <c r="A26" s="291" t="n">
        <v>46288</v>
      </c>
      <c r="B26" s="130" t="n"/>
      <c r="C26" s="309" t="n"/>
      <c r="E26" s="291" t="n">
        <v>46287</v>
      </c>
      <c r="F26" t="inlineStr">
        <is>
          <t>EJ</t>
        </is>
      </c>
      <c r="G26" s="275" t="n">
        <v>3000</v>
      </c>
      <c r="H26" t="inlineStr">
        <is>
          <t>ERIVALDO</t>
        </is>
      </c>
      <c r="I26" s="291" t="n">
        <v>46287</v>
      </c>
      <c r="J26" s="130" t="inlineStr">
        <is>
          <t>GA</t>
        </is>
      </c>
      <c r="K26" s="309" t="n">
        <v>300</v>
      </c>
      <c r="M26" s="315" t="n">
        <v>46287</v>
      </c>
      <c r="N26" s="148" t="inlineStr">
        <is>
          <t>CMM</t>
        </is>
      </c>
      <c r="O26" s="149" t="n">
        <v>42.09</v>
      </c>
      <c r="P26" s="316">
        <f>8.64*O26</f>
        <v/>
      </c>
      <c r="Q26" s="148" t="inlineStr">
        <is>
          <t>LOCAR258</t>
        </is>
      </c>
      <c r="R26" s="314">
        <f>P26/2</f>
        <v/>
      </c>
      <c r="U26" s="291" t="n">
        <v>46285</v>
      </c>
      <c r="V26" s="18" t="n"/>
      <c r="W26" s="134" t="n"/>
      <c r="X26" s="309">
        <f>7.84*W26</f>
        <v/>
      </c>
      <c r="Y26" s="18" t="n"/>
    </row>
    <row r="27">
      <c r="A27" s="291" t="n">
        <v>46289</v>
      </c>
      <c r="B27" s="18" t="n"/>
      <c r="C27" s="309" t="n"/>
      <c r="E27" s="291" t="n">
        <v>46288</v>
      </c>
      <c r="F27" t="inlineStr">
        <is>
          <t>CMM</t>
        </is>
      </c>
      <c r="G27" s="275" t="n">
        <v>3000</v>
      </c>
      <c r="H27" t="inlineStr">
        <is>
          <t>ERIVALDO</t>
        </is>
      </c>
      <c r="I27" s="291" t="n">
        <v>46288</v>
      </c>
      <c r="J27" s="130" t="inlineStr">
        <is>
          <t>GA</t>
        </is>
      </c>
      <c r="K27" s="309" t="n">
        <v>300</v>
      </c>
      <c r="M27" s="315" t="n">
        <v>46286</v>
      </c>
      <c r="N27" s="148" t="inlineStr">
        <is>
          <t>CMM</t>
        </is>
      </c>
      <c r="O27" s="149" t="n">
        <v>47.18</v>
      </c>
      <c r="P27" s="316">
        <f>8.64*O27</f>
        <v/>
      </c>
      <c r="Q27" s="148" t="inlineStr">
        <is>
          <t>LOCAR124</t>
        </is>
      </c>
      <c r="R27" s="314">
        <f>P27/2</f>
        <v/>
      </c>
      <c r="U27" s="291" t="n">
        <v>46286</v>
      </c>
      <c r="V27" s="18" t="n"/>
      <c r="W27" s="134" t="n"/>
      <c r="X27" s="309">
        <f>7.84*W27</f>
        <v/>
      </c>
      <c r="Y27" s="18" t="n"/>
    </row>
    <row r="28">
      <c r="A28" s="291" t="n">
        <v>46290</v>
      </c>
      <c r="B28" s="18" t="inlineStr">
        <is>
          <t>GLOBO AÇO</t>
        </is>
      </c>
      <c r="C28" s="309" t="n">
        <v>3000</v>
      </c>
      <c r="D28" t="inlineStr">
        <is>
          <t>RETORNO FABRICA 10H</t>
        </is>
      </c>
      <c r="E28" s="291" t="n">
        <v>46289</v>
      </c>
      <c r="F28" t="inlineStr">
        <is>
          <t>NÃO USO</t>
        </is>
      </c>
      <c r="G28" s="275" t="n">
        <v>0</v>
      </c>
      <c r="I28" s="291" t="n">
        <v>46289</v>
      </c>
      <c r="J28" s="130" t="inlineStr">
        <is>
          <t>GA</t>
        </is>
      </c>
      <c r="K28" s="309" t="n">
        <v>300</v>
      </c>
      <c r="M28" s="291" t="n">
        <v>46291</v>
      </c>
      <c r="N28" s="18" t="inlineStr">
        <is>
          <t>CMM</t>
        </is>
      </c>
      <c r="O28" s="134" t="n">
        <v>41.73</v>
      </c>
      <c r="P28" s="309">
        <f>9.08*O28</f>
        <v/>
      </c>
      <c r="Q28" s="18" t="inlineStr">
        <is>
          <t>LOCAR124</t>
        </is>
      </c>
      <c r="R28" s="314">
        <f>P28/2</f>
        <v/>
      </c>
      <c r="U28" s="291" t="n">
        <v>46287</v>
      </c>
      <c r="V28" s="18" t="n"/>
      <c r="W28" s="134" t="n"/>
      <c r="X28" s="309">
        <f>7.84*W28</f>
        <v/>
      </c>
      <c r="Y28" s="18" t="n"/>
    </row>
    <row r="29">
      <c r="A29" s="291" t="n">
        <v>46291</v>
      </c>
      <c r="B29" s="18" t="inlineStr">
        <is>
          <t>GLOBO AÇO</t>
        </is>
      </c>
      <c r="C29" s="309" t="n">
        <v>3000</v>
      </c>
      <c r="E29" s="291" t="n">
        <v>46290</v>
      </c>
      <c r="F29" t="inlineStr">
        <is>
          <t>EJ</t>
        </is>
      </c>
      <c r="G29" s="275" t="n">
        <v>3000</v>
      </c>
      <c r="H29" t="inlineStr">
        <is>
          <t>ERIVALDO</t>
        </is>
      </c>
      <c r="I29" s="291" t="n">
        <v>46290</v>
      </c>
      <c r="J29" s="130" t="inlineStr">
        <is>
          <t>GA</t>
        </is>
      </c>
      <c r="K29" s="309" t="n">
        <v>300</v>
      </c>
      <c r="M29" s="291" t="n">
        <v>46291</v>
      </c>
      <c r="N29" s="18" t="inlineStr">
        <is>
          <t>ROTULA</t>
        </is>
      </c>
      <c r="O29" s="134" t="n">
        <v>141.77</v>
      </c>
      <c r="P29" s="309">
        <f>9.08*O29</f>
        <v/>
      </c>
      <c r="Q29" s="18" t="inlineStr">
        <is>
          <t>GUINDASTE CA</t>
        </is>
      </c>
      <c r="R29" s="314">
        <f>P29/2</f>
        <v/>
      </c>
      <c r="U29" s="291" t="n">
        <v>46288</v>
      </c>
      <c r="V29" s="18" t="n"/>
      <c r="W29" s="134" t="n"/>
      <c r="X29" s="309">
        <f>7.84*W29</f>
        <v/>
      </c>
      <c r="Y29" s="18" t="n"/>
    </row>
    <row r="30">
      <c r="A30" s="291" t="n">
        <v>46292</v>
      </c>
      <c r="B30" s="18" t="n"/>
      <c r="C30" s="309" t="n"/>
      <c r="E30" s="291" t="n">
        <v>46291</v>
      </c>
      <c r="F30" t="inlineStr">
        <is>
          <t>EJ</t>
        </is>
      </c>
      <c r="G30" s="275" t="n">
        <v>3000</v>
      </c>
      <c r="H30" t="inlineStr">
        <is>
          <t>ERIVALDO</t>
        </is>
      </c>
      <c r="I30" s="291" t="n">
        <v>46291</v>
      </c>
      <c r="J30" s="130" t="inlineStr">
        <is>
          <t>GA</t>
        </is>
      </c>
      <c r="K30" s="309" t="n">
        <v>300</v>
      </c>
      <c r="M30" s="291" t="n">
        <v>46291</v>
      </c>
      <c r="N30" s="18" t="inlineStr">
        <is>
          <t>ROTULA</t>
        </is>
      </c>
      <c r="O30" s="134" t="n">
        <v>56.74</v>
      </c>
      <c r="P30" s="309">
        <f>9.08*O30</f>
        <v/>
      </c>
      <c r="Q30" s="18" t="inlineStr">
        <is>
          <t>SKYJACK</t>
        </is>
      </c>
      <c r="R30" s="314">
        <f>P30/2</f>
        <v/>
      </c>
      <c r="U30" s="291" t="n">
        <v>46289</v>
      </c>
      <c r="V30" s="18" t="n"/>
      <c r="W30" s="134" t="n"/>
      <c r="X30" s="309">
        <f>7.84*W30</f>
        <v/>
      </c>
      <c r="Y30" s="18" t="n"/>
    </row>
    <row r="31">
      <c r="A31" s="291" t="n">
        <v>46293</v>
      </c>
      <c r="B31" s="18" t="inlineStr">
        <is>
          <t xml:space="preserve">GLOBO AÇO </t>
        </is>
      </c>
      <c r="C31" s="309" t="n">
        <v>3000</v>
      </c>
      <c r="D31" t="inlineStr">
        <is>
          <t>S/PERFILADEIRA</t>
        </is>
      </c>
      <c r="E31" s="291" t="n">
        <v>46292</v>
      </c>
      <c r="G31" s="275" t="n"/>
      <c r="I31" s="291" t="n">
        <v>46292</v>
      </c>
      <c r="J31" s="130" t="inlineStr">
        <is>
          <t>GA</t>
        </is>
      </c>
      <c r="K31" s="309" t="n">
        <v>300</v>
      </c>
      <c r="M31" s="291" t="n">
        <v>46291</v>
      </c>
      <c r="N31" s="18" t="inlineStr">
        <is>
          <t>EJ</t>
        </is>
      </c>
      <c r="O31" s="134" t="n">
        <v>19.58</v>
      </c>
      <c r="P31" s="309">
        <f>9.08*O31</f>
        <v/>
      </c>
      <c r="Q31" s="18" t="inlineStr">
        <is>
          <t>LOCAR259</t>
        </is>
      </c>
      <c r="R31" s="314">
        <f>P31/2</f>
        <v/>
      </c>
      <c r="U31" s="291" t="n">
        <v>46290</v>
      </c>
      <c r="V31" s="18" t="n"/>
      <c r="W31" s="134" t="n"/>
      <c r="X31" s="309">
        <f>7.84*W31</f>
        <v/>
      </c>
      <c r="Y31" s="18" t="n"/>
    </row>
    <row r="32">
      <c r="A32" s="291" t="n">
        <v>46294</v>
      </c>
      <c r="B32" s="18" t="inlineStr">
        <is>
          <t>FERIADO</t>
        </is>
      </c>
      <c r="C32" s="309" t="inlineStr">
        <is>
          <t>FERIADO</t>
        </is>
      </c>
      <c r="E32" s="291" t="n">
        <v>46293</v>
      </c>
      <c r="F32" t="inlineStr">
        <is>
          <t>CMM</t>
        </is>
      </c>
      <c r="G32" s="275" t="n">
        <v>3000</v>
      </c>
      <c r="H32" t="inlineStr">
        <is>
          <t>OSVALDO</t>
        </is>
      </c>
      <c r="I32" s="291" t="n">
        <v>46293</v>
      </c>
      <c r="J32" s="130" t="inlineStr">
        <is>
          <t>GA</t>
        </is>
      </c>
      <c r="K32" s="309" t="n">
        <v>300</v>
      </c>
      <c r="M32" s="291" t="n">
        <v>46291</v>
      </c>
      <c r="N32" s="130" t="inlineStr">
        <is>
          <t>EJ/CMM</t>
        </is>
      </c>
      <c r="O32" s="134" t="n">
        <v>120</v>
      </c>
      <c r="P32" s="309">
        <f>9.08*O32</f>
        <v/>
      </c>
      <c r="Q32" s="18" t="inlineStr">
        <is>
          <t>SANY</t>
        </is>
      </c>
      <c r="R32" s="314">
        <f>P32/2</f>
        <v/>
      </c>
      <c r="U32" s="291" t="n">
        <v>46291</v>
      </c>
      <c r="V32" s="130" t="n"/>
      <c r="W32" s="134" t="n"/>
      <c r="X32" s="309">
        <f>7.84*W32</f>
        <v/>
      </c>
      <c r="Y32" s="18" t="n"/>
    </row>
    <row r="33">
      <c r="A33" s="291" t="n">
        <v>46295</v>
      </c>
      <c r="B33" s="18" t="n"/>
      <c r="C33" s="309" t="n"/>
      <c r="E33" s="291" t="n">
        <v>46294</v>
      </c>
      <c r="F33" t="inlineStr">
        <is>
          <t>FERIADO</t>
        </is>
      </c>
      <c r="G33" s="275" t="n"/>
      <c r="H33" t="inlineStr">
        <is>
          <t>RETORNO CA</t>
        </is>
      </c>
      <c r="I33" s="291" t="n">
        <v>46294</v>
      </c>
      <c r="J33" s="130" t="inlineStr">
        <is>
          <t>GA</t>
        </is>
      </c>
      <c r="K33" s="309" t="n">
        <v>300</v>
      </c>
      <c r="M33" s="291" t="n">
        <v>46291</v>
      </c>
      <c r="N33" s="18" t="inlineStr">
        <is>
          <t>CMM</t>
        </is>
      </c>
      <c r="O33" s="134" t="n">
        <v>24.78</v>
      </c>
      <c r="P33" s="309">
        <f>9.08*O33</f>
        <v/>
      </c>
      <c r="Q33" s="18" t="inlineStr">
        <is>
          <t>LOCAR258</t>
        </is>
      </c>
      <c r="R33" s="314">
        <f>P33/2</f>
        <v/>
      </c>
      <c r="U33" s="291" t="n">
        <v>46292</v>
      </c>
      <c r="V33" s="18" t="n"/>
      <c r="W33" s="134" t="n"/>
      <c r="X33" s="309">
        <f>7.84*W33</f>
        <v/>
      </c>
      <c r="Y33" s="18" t="n"/>
    </row>
    <row r="34">
      <c r="A34" s="291" t="n">
        <v>46296</v>
      </c>
      <c r="B34" s="18" t="n"/>
      <c r="C34" s="309" t="n"/>
      <c r="E34" s="291" t="n">
        <v>46295</v>
      </c>
      <c r="G34" s="275" t="n"/>
      <c r="I34" s="291" t="n">
        <v>46295</v>
      </c>
      <c r="J34" s="130" t="inlineStr">
        <is>
          <t>GA</t>
        </is>
      </c>
      <c r="K34" s="309" t="n">
        <v>300</v>
      </c>
      <c r="M34" s="291" t="n">
        <v>46293</v>
      </c>
      <c r="N34" s="18" t="n"/>
      <c r="O34" s="134" t="n"/>
      <c r="P34" s="309">
        <f>9.08*O34</f>
        <v/>
      </c>
      <c r="Q34" s="18" t="n"/>
      <c r="U34" s="291" t="n">
        <v>46293</v>
      </c>
      <c r="V34" s="18" t="n"/>
      <c r="W34" s="134" t="n"/>
      <c r="X34" s="309">
        <f>7.84*W34</f>
        <v/>
      </c>
      <c r="Y34" s="18" t="n"/>
    </row>
    <row r="35">
      <c r="A35" s="291" t="n">
        <v>46297</v>
      </c>
      <c r="B35" s="18" t="n"/>
      <c r="C35" s="309" t="n"/>
      <c r="E35" s="291" t="n">
        <v>46296</v>
      </c>
      <c r="G35" s="275" t="n"/>
      <c r="M35" s="291" t="n">
        <v>46294</v>
      </c>
      <c r="N35" s="18" t="n"/>
      <c r="O35" s="134" t="n"/>
      <c r="P35" s="309">
        <f>9.08*O35</f>
        <v/>
      </c>
      <c r="Q35" s="18" t="n"/>
      <c r="U35" s="291" t="n">
        <v>46294</v>
      </c>
      <c r="V35" s="18" t="n"/>
      <c r="W35" s="134" t="n"/>
      <c r="X35" s="309">
        <f>7.84*W35</f>
        <v/>
      </c>
      <c r="Y35" s="18" t="n"/>
    </row>
    <row r="36">
      <c r="M36" s="291" t="n">
        <v>46295</v>
      </c>
      <c r="N36" s="18" t="n"/>
      <c r="O36" s="134" t="n"/>
      <c r="P36" s="309">
        <f>9.08*O36</f>
        <v/>
      </c>
      <c r="Q36" s="18" t="n"/>
      <c r="U36" s="291" t="n">
        <v>46295</v>
      </c>
      <c r="V36" s="18" t="n"/>
      <c r="W36" s="134" t="n"/>
      <c r="X36" s="309">
        <f>7.84*W36</f>
        <v/>
      </c>
      <c r="Y36" s="18" t="n"/>
    </row>
  </sheetData>
  <mergeCells count="3">
    <mergeCell ref="M3:Q3"/>
    <mergeCell ref="A3:C3"/>
    <mergeCell ref="U3:Y3"/>
  </mergeCells>
  <pageMargins left="0.7" right="0.7" top="0.75" bottom="0.75" header="0.511811023622047" footer="0.511811023622047"/>
  <pageSetup orientation="portrait" paperSize="9" horizontalDpi="300" verticalDpi="300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I21"/>
  <sheetViews>
    <sheetView zoomScaleNormal="100" workbookViewId="0">
      <selection activeCell="B4" sqref="B4"/>
    </sheetView>
  </sheetViews>
  <sheetFormatPr baseColWidth="8" defaultColWidth="8.5546875" defaultRowHeight="14.4"/>
  <cols>
    <col width="14" customWidth="1" min="1" max="1"/>
    <col width="22" customWidth="1" min="2" max="2"/>
    <col width="16" customWidth="1" min="3" max="3"/>
    <col width="18" customWidth="1" min="4" max="4"/>
    <col width="16" customWidth="1" min="5" max="5"/>
    <col width="18" customWidth="1" min="6" max="8"/>
    <col width="20" customWidth="1" min="9" max="9"/>
  </cols>
  <sheetData>
    <row r="1" ht="21" customHeight="1">
      <c r="A1" s="14" t="inlineStr">
        <is>
          <t>PAINEL DE PRODUÇÃO | PREVISTO x REALIZADO</t>
        </is>
      </c>
    </row>
    <row r="3" ht="18.75" customHeight="1">
      <c r="A3" s="152" t="inlineStr">
        <is>
          <t>Data de referência</t>
        </is>
      </c>
      <c r="B3" s="317" t="n">
        <v>46293</v>
      </c>
      <c r="D3" s="89" t="inlineStr">
        <is>
          <t>Previsto do dia</t>
        </is>
      </c>
      <c r="E3" s="154">
        <f>SUMIFS('CONTROLE KPI'!$G$2:$G$3214,'CONTROLE KPI'!$A$2:$A$3214,$B$3)</f>
        <v/>
      </c>
      <c r="F3" s="89" t="inlineStr">
        <is>
          <t>Realizado do dia</t>
        </is>
      </c>
      <c r="G3" s="154">
        <f>SUMIFS('CONTROLE KPI'!$H$2:$H$3214,'CONTROLE KPI'!$A$2:$A$3214,$B$3)</f>
        <v/>
      </c>
      <c r="H3" s="89" t="inlineStr">
        <is>
          <t>Desvio do dia</t>
        </is>
      </c>
      <c r="I3" s="155">
        <f>G3-E3</f>
        <v/>
      </c>
    </row>
    <row r="4">
      <c r="A4" s="152" t="inlineStr">
        <is>
          <t>Início da semana</t>
        </is>
      </c>
      <c r="B4" s="317" t="n">
        <v>46286</v>
      </c>
    </row>
    <row r="5" ht="18.75" customHeight="1">
      <c r="A5" s="152" t="inlineStr">
        <is>
          <t>Fim da semana</t>
        </is>
      </c>
      <c r="B5" s="317" t="n">
        <v>46290</v>
      </c>
      <c r="D5" s="89" t="inlineStr">
        <is>
          <t>Atingimento</t>
        </is>
      </c>
      <c r="E5" s="318">
        <f>IFERROR(G3/E3,"")</f>
        <v/>
      </c>
      <c r="F5" s="89" t="inlineStr">
        <is>
          <t>Itens críticos</t>
        </is>
      </c>
      <c r="G5" s="154">
        <f>COUNTIFS('CONTROLE KPI'!$A$2:$A$3214,$B$3,'CONTROLE KPI'!$L$2:$L$3214,"VERMELHO")</f>
        <v/>
      </c>
      <c r="H5" s="89" t="inlineStr">
        <is>
          <t>Perdas sem causa</t>
        </is>
      </c>
      <c r="I5" s="154">
        <f>COUNTIFS('CONTROLE KPI'!$A$2:$A$3214,"&gt;="&amp;$B$4,'CONTROLE KPI'!$A$2:$A$3214,"&lt;="&amp;$B$5,'CONTROLE KPI'!$I$2:$I$3214,"&lt;0",'CONTROLE KPI'!$M$2:$M$3214,"=")</f>
        <v/>
      </c>
    </row>
    <row r="6">
      <c r="A6" s="152" t="inlineStr">
        <is>
          <t>Uso</t>
        </is>
      </c>
      <c r="B6" s="157" t="inlineStr">
        <is>
          <t>Altere B3 para a data de referência. Metas são lidas automaticamente da aba METAS EMPRESAS.</t>
        </is>
      </c>
    </row>
    <row r="8">
      <c r="A8" s="89" t="inlineStr">
        <is>
          <t>RESUMO DA SEMANA POR EMPRESA / PROCESSO</t>
        </is>
      </c>
    </row>
    <row r="9" ht="30" customHeight="1">
      <c r="A9" s="158" t="inlineStr">
        <is>
          <t>Empresa</t>
        </is>
      </c>
      <c r="B9" s="158" t="inlineStr">
        <is>
          <t>Processo/Item</t>
        </is>
      </c>
      <c r="C9" s="158" t="inlineStr">
        <is>
          <t>Previsto Semana</t>
        </is>
      </c>
      <c r="D9" s="158" t="inlineStr">
        <is>
          <t>Realizado Semana</t>
        </is>
      </c>
      <c r="E9" s="158" t="inlineStr">
        <is>
          <t>Desvio</t>
        </is>
      </c>
      <c r="F9" s="158" t="inlineStr">
        <is>
          <t>Atingimento</t>
        </is>
      </c>
      <c r="G9" s="158" t="inlineStr">
        <is>
          <t>Farol</t>
        </is>
      </c>
    </row>
    <row r="10">
      <c r="A10" t="inlineStr">
        <is>
          <t>EJ</t>
        </is>
      </c>
      <c r="B10" t="inlineStr">
        <is>
          <t>PREMONTAGEM</t>
        </is>
      </c>
      <c r="C10" s="159">
        <f>SUMIFS('CONTROLE KPI'!$G$2:$G$3214,'CONTROLE KPI'!$A$2:$A$3214,"&gt;="&amp;$B$4,'CONTROLE KPI'!$A$2:$A$3214,"&lt;="&amp;$B$5,'CONTROLE KPI'!$C$2:$C$3214,$A10,'CONTROLE KPI'!$D$2:$D$3214,$B10)</f>
        <v/>
      </c>
      <c r="D10" s="159">
        <f>SUMIFS('CONTROLE KPI'!$H$2:$H$3214,'CONTROLE KPI'!$A$2:$A$3214,"&gt;="&amp;$B$4,'CONTROLE KPI'!$A$2:$A$3214,"&lt;="&amp;$B$5,'CONTROLE KPI'!$C$2:$C$3214,$A10,'CONTROLE KPI'!$D$2:$D$3214,$B10)</f>
        <v/>
      </c>
      <c r="E10" s="159">
        <f>D10-C10</f>
        <v/>
      </c>
      <c r="F10" s="319">
        <f>IFERROR(D10/C10,"")</f>
        <v/>
      </c>
      <c r="G10">
        <f>IF(C10="","SEM META",IF(C10=0,IF(D10&gt;=0,"VERDE","VERMELHO"),IF(D10&gt;=C10,"VERDE",IF(D10&gt;=C10*0.9,"AMARELO","VERMELHO"))))</f>
        <v/>
      </c>
    </row>
    <row r="11">
      <c r="A11" t="inlineStr">
        <is>
          <t>EJ</t>
        </is>
      </c>
      <c r="B11" t="inlineStr">
        <is>
          <t>IÇAMENTO JOIST</t>
        </is>
      </c>
      <c r="C11" s="159">
        <f>SUMIFS('CONTROLE KPI'!$G$2:$G$3214,'CONTROLE KPI'!$A$2:$A$3214,"&gt;="&amp;$B$4,'CONTROLE KPI'!$A$2:$A$3214,"&lt;="&amp;$B$5,'CONTROLE KPI'!$C$2:$C$3214,$A11,'CONTROLE KPI'!$D$2:$D$3214,$B11)</f>
        <v/>
      </c>
      <c r="D11" s="159">
        <f>SUMIFS('CONTROLE KPI'!$H$2:$H$3214,'CONTROLE KPI'!$A$2:$A$3214,"&gt;="&amp;$B$4,'CONTROLE KPI'!$A$2:$A$3214,"&lt;="&amp;$B$5,'CONTROLE KPI'!$C$2:$C$3214,$A11,'CONTROLE KPI'!$D$2:$D$3214,$B11)</f>
        <v/>
      </c>
      <c r="E11" s="159">
        <f>D11-C11</f>
        <v/>
      </c>
      <c r="F11" s="319">
        <f>IFERROR(D11/C11,"")</f>
        <v/>
      </c>
      <c r="G11">
        <f>IF(C11="","SEM META",IF(C11=0,IF(D11&gt;=0,"VERDE","VERMELHO"),IF(D11&gt;=C11,"VERDE",IF(D11&gt;=C11*0.9,"AMARELO","VERMELHO"))))</f>
        <v/>
      </c>
    </row>
    <row r="12">
      <c r="A12" t="inlineStr">
        <is>
          <t>EJ</t>
        </is>
      </c>
      <c r="B12" t="inlineStr">
        <is>
          <t>VIGAS</t>
        </is>
      </c>
      <c r="C12" s="159">
        <f>SUMIFS('CONTROLE KPI'!$G$2:$G$3214,'CONTROLE KPI'!$A$2:$A$3214,"&gt;="&amp;$B$4,'CONTROLE KPI'!$A$2:$A$3214,"&lt;="&amp;$B$5,'CONTROLE KPI'!$C$2:$C$3214,$A12,'CONTROLE KPI'!$D$2:$D$3214,$B12)</f>
        <v/>
      </c>
      <c r="D12" s="159">
        <f>SUMIFS('CONTROLE KPI'!$H$2:$H$3214,'CONTROLE KPI'!$A$2:$A$3214,"&gt;="&amp;$B$4,'CONTROLE KPI'!$A$2:$A$3214,"&lt;="&amp;$B$5,'CONTROLE KPI'!$C$2:$C$3214,$A12,'CONTROLE KPI'!$D$2:$D$3214,$B12)</f>
        <v/>
      </c>
      <c r="E12" s="159">
        <f>D12-C12</f>
        <v/>
      </c>
      <c r="F12" s="319">
        <f>IFERROR(D12/C12,"")</f>
        <v/>
      </c>
      <c r="G12">
        <f>IF(C12="","SEM META",IF(C12=0,IF(D12&gt;=0,"VERDE","VERMELHO"),IF(D12&gt;=C12,"VERDE",IF(D12&gt;=C12*0.9,"AMARELO","VERMELHO"))))</f>
        <v/>
      </c>
    </row>
    <row r="13">
      <c r="A13" t="inlineStr">
        <is>
          <t>CMM</t>
        </is>
      </c>
      <c r="B13" t="inlineStr">
        <is>
          <t>PREMONTAGEM</t>
        </is>
      </c>
      <c r="C13" s="159">
        <f>SUMIFS('CONTROLE KPI'!$G$2:$G$3214,'CONTROLE KPI'!$A$2:$A$3214,"&gt;="&amp;$B$4,'CONTROLE KPI'!$A$2:$A$3214,"&lt;="&amp;$B$5,'CONTROLE KPI'!$C$2:$C$3214,$A13,'CONTROLE KPI'!$D$2:$D$3214,$B13)</f>
        <v/>
      </c>
      <c r="D13" s="159">
        <f>SUMIFS('CONTROLE KPI'!$H$2:$H$3214,'CONTROLE KPI'!$A$2:$A$3214,"&gt;="&amp;$B$4,'CONTROLE KPI'!$A$2:$A$3214,"&lt;="&amp;$B$5,'CONTROLE KPI'!$C$2:$C$3214,$A13,'CONTROLE KPI'!$D$2:$D$3214,$B13)</f>
        <v/>
      </c>
      <c r="E13" s="159">
        <f>D13-C13</f>
        <v/>
      </c>
      <c r="F13" s="319">
        <f>IFERROR(D13/C13,"")</f>
        <v/>
      </c>
      <c r="G13">
        <f>IF(C13="","SEM META",IF(C13=0,IF(D13&gt;=0,"VERDE","VERMELHO"),IF(D13&gt;=C13,"VERDE",IF(D13&gt;=C13*0.9,"AMARELO","VERMELHO"))))</f>
        <v/>
      </c>
    </row>
    <row r="14">
      <c r="A14" t="inlineStr">
        <is>
          <t>CMM</t>
        </is>
      </c>
      <c r="B14" t="inlineStr">
        <is>
          <t>IÇAMENTO JOIST</t>
        </is>
      </c>
      <c r="C14" s="159">
        <f>SUMIFS('CONTROLE KPI'!$G$2:$G$3214,'CONTROLE KPI'!$A$2:$A$3214,"&gt;="&amp;$B$4,'CONTROLE KPI'!$A$2:$A$3214,"&lt;="&amp;$B$5,'CONTROLE KPI'!$C$2:$C$3214,$A14,'CONTROLE KPI'!$D$2:$D$3214,$B14)</f>
        <v/>
      </c>
      <c r="D14" s="159">
        <f>SUMIFS('CONTROLE KPI'!$H$2:$H$3214,'CONTROLE KPI'!$A$2:$A$3214,"&gt;="&amp;$B$4,'CONTROLE KPI'!$A$2:$A$3214,"&lt;="&amp;$B$5,'CONTROLE KPI'!$C$2:$C$3214,$A14,'CONTROLE KPI'!$D$2:$D$3214,$B14)</f>
        <v/>
      </c>
      <c r="E14" s="159">
        <f>D14-C14</f>
        <v/>
      </c>
      <c r="F14" s="319">
        <f>IFERROR(D14/C14,"")</f>
        <v/>
      </c>
      <c r="G14">
        <f>IF(C14="","SEM META",IF(C14=0,IF(D14&gt;=0,"VERDE","VERMELHO"),IF(D14&gt;=C14,"VERDE",IF(D14&gt;=C14*0.9,"AMARELO","VERMELHO"))))</f>
        <v/>
      </c>
    </row>
    <row r="15">
      <c r="A15" t="inlineStr">
        <is>
          <t>CMM</t>
        </is>
      </c>
      <c r="B15" t="inlineStr">
        <is>
          <t>VIGAS</t>
        </is>
      </c>
      <c r="C15" s="159">
        <f>SUMIFS('CONTROLE KPI'!$G$2:$G$3214,'CONTROLE KPI'!$A$2:$A$3214,"&gt;="&amp;$B$4,'CONTROLE KPI'!$A$2:$A$3214,"&lt;="&amp;$B$5,'CONTROLE KPI'!$C$2:$C$3214,$A15,'CONTROLE KPI'!$D$2:$D$3214,$B15)</f>
        <v/>
      </c>
      <c r="D15" s="159">
        <f>SUMIFS('CONTROLE KPI'!$H$2:$H$3214,'CONTROLE KPI'!$A$2:$A$3214,"&gt;="&amp;$B$4,'CONTROLE KPI'!$A$2:$A$3214,"&lt;="&amp;$B$5,'CONTROLE KPI'!$C$2:$C$3214,$A15,'CONTROLE KPI'!$D$2:$D$3214,$B15)</f>
        <v/>
      </c>
      <c r="E15" s="159">
        <f>D15-C15</f>
        <v/>
      </c>
      <c r="F15" s="319">
        <f>IFERROR(D15/C15,"")</f>
        <v/>
      </c>
      <c r="G15">
        <f>IF(C15="","SEM META",IF(C15=0,IF(D15&gt;=0,"VERDE","VERMELHO"),IF(D15&gt;=C15,"VERDE",IF(D15&gt;=C15*0.9,"AMARELO","VERMELHO"))))</f>
        <v/>
      </c>
    </row>
    <row r="16">
      <c r="A16" s="161" t="inlineStr">
        <is>
          <t>GLOBO AÇOS</t>
        </is>
      </c>
      <c r="B16" t="inlineStr">
        <is>
          <t>PERFILAÇÃO</t>
        </is>
      </c>
      <c r="C16" s="159">
        <f>SUMIFS('CONTROLE KPI'!$G$2:$G$3214,'CONTROLE KPI'!$A$2:$A$3214,"&gt;="&amp;$B$4,'CONTROLE KPI'!$A$2:$A$3214,"&lt;="&amp;$B$5,'CONTROLE KPI'!$C$2:$C$3214,$A16,'CONTROLE KPI'!$D$2:$D$3214,$B16)</f>
        <v/>
      </c>
      <c r="D16" s="159">
        <f>SUMIFS('CONTROLE KPI'!$H$2:$H$3214,'CONTROLE KPI'!$A$2:$A$3214,"&gt;="&amp;$B$4,'CONTROLE KPI'!$A$2:$A$3214,"&lt;="&amp;$B$5,'CONTROLE KPI'!$C$2:$C$3214,$A16,'CONTROLE KPI'!$D$2:$D$3214,$B16)</f>
        <v/>
      </c>
      <c r="E16" s="159">
        <f>D16-C16</f>
        <v/>
      </c>
      <c r="F16" s="319">
        <f>IFERROR(D16/C16,"")</f>
        <v/>
      </c>
      <c r="G16">
        <f>IF(C16="","SEM META",IF(C16=0,IF(D16&gt;=0,"VERDE","VERMELHO"),IF(D16&gt;=C16,"VERDE",IF(D16&gt;=C16*0.9,"AMARELO","VERMELHO"))))</f>
        <v/>
      </c>
    </row>
    <row r="17">
      <c r="A17" t="inlineStr">
        <is>
          <t>GLOBO AÇOS</t>
        </is>
      </c>
      <c r="B17" t="inlineStr">
        <is>
          <t>TELHAR</t>
        </is>
      </c>
      <c r="C17" s="159">
        <f>SUMIFS('CONTROLE KPI'!$G$2:$G$3214,'CONTROLE KPI'!$A$2:$A$3214,"&gt;="&amp;$B$4,'CONTROLE KPI'!$A$2:$A$3214,"&lt;="&amp;$B$5,'CONTROLE KPI'!$C$2:$C$3214,$A17,'CONTROLE KPI'!$D$2:$D$3214,$B17)</f>
        <v/>
      </c>
      <c r="D17" s="159">
        <f>SUMIFS('CONTROLE KPI'!$H$2:$H$3214,'CONTROLE KPI'!$A$2:$A$3214,"&gt;="&amp;$B$4,'CONTROLE KPI'!$A$2:$A$3214,"&lt;="&amp;$B$5,'CONTROLE KPI'!$C$2:$C$3214,$A17,'CONTROLE KPI'!$D$2:$D$3214,$B17)</f>
        <v/>
      </c>
      <c r="E17" s="159">
        <f>D17-C17</f>
        <v/>
      </c>
      <c r="F17" s="319">
        <f>IFERROR(D17/C17,"")</f>
        <v/>
      </c>
      <c r="G17">
        <f>IF(C17="","SEM META",IF(C17=0,IF(D17&gt;=0,"VERDE","VERMELHO"),IF(D17&gt;=C17,"VERDE",IF(D17&gt;=C17*0.9,"AMARELO","VERMELHO"))))</f>
        <v/>
      </c>
    </row>
    <row r="18" ht="14.25" customHeight="1">
      <c r="A18" s="11" t="inlineStr">
        <is>
          <t>GLOBO AÇOS</t>
        </is>
      </c>
      <c r="B18" t="inlineStr">
        <is>
          <t>FECHAMENTO</t>
        </is>
      </c>
      <c r="C18" s="159">
        <f>SUMIFS('CONTROLE KPI'!$G$2:$G$3214,'CONTROLE KPI'!$A$2:$A$3214,"&gt;="&amp;$B$4,'CONTROLE KPI'!$A$2:$A$3214,"&lt;="&amp;$B$5,'CONTROLE KPI'!$C$2:$C$3214,$A18,'CONTROLE KPI'!$D$2:$D$3214,$B18)</f>
        <v/>
      </c>
      <c r="D18" s="159">
        <f>SUMIFS('CONTROLE KPI'!$H$2:$H$3214,'CONTROLE KPI'!$A$2:$A$3214,"&gt;="&amp;$B$4,'CONTROLE KPI'!$A$2:$A$3214,"&lt;="&amp;$B$5,'CONTROLE KPI'!$C$2:$C$3214,$A18,'CONTROLE KPI'!$D$2:$D$3214,$B18)</f>
        <v/>
      </c>
      <c r="E18" s="159">
        <f>D18-C18</f>
        <v/>
      </c>
      <c r="F18" s="319">
        <f>IFERROR(D18/C18,"")</f>
        <v/>
      </c>
      <c r="G18">
        <f>IF(C18="","SEM META",IF(C18=0,IF(D18&gt;=0,"VERDE","VERMELHO"),IF(D18&gt;=C18,"VERDE",IF(D18&gt;=C18*0.9,"AMARELO","VERMELHO"))))</f>
        <v/>
      </c>
    </row>
    <row r="19">
      <c r="A19" t="inlineStr">
        <is>
          <t>TOTAL</t>
        </is>
      </c>
      <c r="C19">
        <f>SUM(C10:C18)</f>
        <v/>
      </c>
      <c r="D19">
        <f>SUM(D10:D18)</f>
        <v/>
      </c>
      <c r="E19">
        <f>D19-C19</f>
        <v/>
      </c>
      <c r="F19">
        <f>IFERROR(D19/C19,"")</f>
        <v/>
      </c>
      <c r="G19">
        <f>IF(C19=0,"SEM META",IF(D19&gt;=C19,"VERDE",IF(D19&gt;=C19*0.9,"AMARELO","VERMELHO")))</f>
        <v/>
      </c>
    </row>
    <row r="21">
      <c r="A21" t="inlineStr">
        <is>
          <t>Ação Lean: priorize linhas VERMELHAS; registre Categoria + Causa Raiz + Ação Corretiva no CONTROLE KPI.</t>
        </is>
      </c>
    </row>
  </sheetData>
  <autoFilter ref="A9:I16"/>
  <mergeCells count="4">
    <mergeCell ref="A1:I1"/>
    <mergeCell ref="A21:G21"/>
    <mergeCell ref="A8:G8"/>
    <mergeCell ref="A19:B19"/>
  </mergeCells>
  <conditionalFormatting sqref="E10:E16">
    <cfRule type="cellIs" priority="8" operator="lessThan" dxfId="41">
      <formula>0</formula>
    </cfRule>
    <cfRule type="cellIs" priority="9" operator="greaterThan" dxfId="40">
      <formula>0</formula>
    </cfRule>
  </conditionalFormatting>
  <conditionalFormatting sqref="G10:G16">
    <cfRule type="expression" priority="5" dxfId="31">
      <formula>G10="VERDE"</formula>
    </cfRule>
    <cfRule type="expression" priority="6" dxfId="13">
      <formula>G10="AMARELO"</formula>
    </cfRule>
    <cfRule type="expression" priority="7" dxfId="5">
      <formula>G10="VERMELHO"</formula>
    </cfRule>
  </conditionalFormatting>
  <conditionalFormatting sqref="I3">
    <cfRule type="cellIs" priority="2" operator="lessThan" dxfId="5">
      <formula>0</formula>
    </cfRule>
    <cfRule type="cellIs" priority="3" operator="greaterThanOrEqual" dxfId="31">
      <formula>0</formula>
    </cfRule>
  </conditionalFormatting>
  <conditionalFormatting sqref="I5">
    <cfRule type="cellIs" priority="4" operator="greaterThan" dxfId="5">
      <formula>0</formula>
    </cfRule>
  </conditionalFormatting>
  <pageMargins left="0.7" right="0.7" top="0.75" bottom="0.75" header="0.511811023622047" footer="0.511811023622047"/>
  <pageSetup orientation="portrait" paperSize="9" horizontalDpi="300" verticalDpi="300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R3214"/>
  <sheetViews>
    <sheetView zoomScaleNormal="100" workbookViewId="0">
      <pane ySplit="1" topLeftCell="A881" activePane="bottomLeft" state="frozen"/>
      <selection pane="bottomLeft" activeCell="L308" sqref="L308"/>
    </sheetView>
  </sheetViews>
  <sheetFormatPr baseColWidth="8" defaultColWidth="8.5546875" defaultRowHeight="14.4"/>
  <cols>
    <col width="12" customWidth="1" min="1" max="1"/>
    <col width="11" customWidth="1" min="2" max="2"/>
    <col width="10" customWidth="1" min="3" max="3"/>
    <col width="20" customWidth="1" min="4" max="4"/>
    <col width="18" customWidth="1" min="5" max="5"/>
    <col width="15" customWidth="1" min="6" max="7"/>
    <col width="14" customWidth="1" min="8" max="9"/>
    <col width="13" customWidth="1" min="10" max="11"/>
    <col width="18" customWidth="1" min="12" max="12"/>
    <col width="28" customWidth="1" min="13" max="13"/>
    <col width="34" customWidth="1" min="14" max="15"/>
    <col width="18" customWidth="1" min="16" max="16"/>
    <col width="12" customWidth="1" min="17" max="17"/>
    <col width="34" customWidth="1" min="18" max="18"/>
  </cols>
  <sheetData>
    <row r="1" ht="30" customHeight="1">
      <c r="A1" s="73" t="inlineStr">
        <is>
          <t>Data</t>
        </is>
      </c>
      <c r="B1" s="73" t="inlineStr">
        <is>
          <t>Turno</t>
        </is>
      </c>
      <c r="C1" s="73" t="inlineStr">
        <is>
          <t>Empresa</t>
        </is>
      </c>
      <c r="D1" s="73" t="inlineStr">
        <is>
          <t>Processo/Item</t>
        </is>
      </c>
      <c r="E1" s="73" t="inlineStr">
        <is>
          <t>Ordem/Frente</t>
        </is>
      </c>
      <c r="F1" s="73" t="inlineStr">
        <is>
          <t>Meta (Período)</t>
        </is>
      </c>
      <c r="G1" s="73" t="inlineStr">
        <is>
          <t>Previsto (Dia)</t>
        </is>
      </c>
      <c r="H1" s="73" t="inlineStr">
        <is>
          <t>Realizado</t>
        </is>
      </c>
      <c r="I1" s="73" t="inlineStr">
        <is>
          <t>Desvio Absoluto</t>
        </is>
      </c>
      <c r="J1" s="73" t="inlineStr">
        <is>
          <t>Desvio %</t>
        </is>
      </c>
      <c r="K1" s="73" t="inlineStr">
        <is>
          <t>Atingimento %</t>
        </is>
      </c>
      <c r="L1" s="73" t="inlineStr">
        <is>
          <t>Status/Farol</t>
        </is>
      </c>
      <c r="M1" s="73" t="inlineStr">
        <is>
          <t>Categoria da Causa</t>
        </is>
      </c>
      <c r="N1" s="73" t="inlineStr">
        <is>
          <t>Causa Raiz / Detalhe</t>
        </is>
      </c>
      <c r="O1" s="73" t="inlineStr">
        <is>
          <t>Ação Corretiva</t>
        </is>
      </c>
      <c r="P1" s="73" t="inlineStr">
        <is>
          <t>Responsável</t>
        </is>
      </c>
      <c r="Q1" s="73" t="inlineStr">
        <is>
          <t>Prazo</t>
        </is>
      </c>
      <c r="R1" s="73" t="inlineStr">
        <is>
          <t>Fonte</t>
        </is>
      </c>
    </row>
    <row r="2" hidden="1" ht="28.5" customHeight="1">
      <c r="A2" s="317" t="n">
        <v>46223</v>
      </c>
      <c r="B2" t="inlineStr">
        <is>
          <t>GERAL</t>
        </is>
      </c>
      <c r="C2" t="inlineStr">
        <is>
          <t>EJ</t>
        </is>
      </c>
      <c r="D2" t="inlineStr">
        <is>
          <t>PREMONTAGEM</t>
        </is>
      </c>
      <c r="F2" s="159">
        <f>IFERROR(INDEX('BASE METAS DIÁRIAS'!$N$2:$S$358,MATCH($A2,'BASE METAS DIÁRIAS'!$A$2:$A$358,0),MOD(ROW()-2,6)+1),"")</f>
        <v/>
      </c>
      <c r="G2" s="159">
        <f>IFERROR(IF(WEEKDAY($A2,2)&lt;=INDEX('BASE METAS DIÁRIAS'!$H$2:$M$358,MATCH($A2,'BASE METAS DIÁRIAS'!$A$2:$A$358,0),MOD(ROW()-2,6)+1),INDEX('BASE METAS DIÁRIAS'!$B$2:$G$358,MATCH($A2,'BASE METAS DIÁRIAS'!$A$2:$A$358,0),MOD(ROW()-2,6)+1),""),"")</f>
        <v/>
      </c>
      <c r="H2" s="159">
        <f>IFERROR(IF(INDEX('CONTROLE PRODUÇÃO POR EMPRESAS'!$B$6:$G$5000,MATCH($A2,'CONTROLE PRODUÇÃO POR EMPRESAS'!$A$6:$A$5000,0),MOD(ROW()-2,6)+1)="","",IFERROR(1*INDEX('CONTROLE PRODUÇÃO POR EMPRESAS'!$B$6:$G$5000,MATCH($A2,'CONTROLE PRODUÇÃO POR EMPRESAS'!$A$6:$A$5000,0),MOD(ROW()-2,6)+1),"")),"")</f>
        <v/>
      </c>
      <c r="I2" s="159">
        <f>IF(OR(NOT(ISNUMBER(G2)),NOT(ISNUMBER(H2))),"",H2-G2)</f>
        <v/>
      </c>
      <c r="J2" s="319">
        <f>IF(OR(NOT(ISNUMBER(G2)),NOT(ISNUMBER(H2)),G2=0),"",I2/G2)</f>
        <v/>
      </c>
      <c r="K2" s="319">
        <f>IF(OR(NOT(ISNUMBER(G2)),NOT(ISNUMBER(H2)),G2=0),"",H2/G2)</f>
        <v/>
      </c>
      <c r="L2">
        <f>IF(NOT(ISNUMBER(G2)),"SEM META",IF(G2=0,"SEM META",IF(NOT(ISNUMBER(H2)),"SEM APONTAMENTO",IF(H2&gt;=G2,"VERDE",IF(H2&gt;=G2*0.9,"AMARELO","VERMELHO")))))</f>
        <v/>
      </c>
      <c r="M2" s="162" t="n"/>
      <c r="N2" s="162" t="n"/>
      <c r="O2" s="162" t="n"/>
      <c r="P2" s="162" t="n"/>
      <c r="Q2" s="320" t="n"/>
      <c r="R2" s="162" t="inlineStr">
        <is>
          <t>CONTROLE PRODUÇÃO POR EMPRESAS!B6</t>
        </is>
      </c>
    </row>
    <row r="3" hidden="1" ht="28.5" customHeight="1">
      <c r="A3" s="317" t="n">
        <v>46223</v>
      </c>
      <c r="B3" t="inlineStr">
        <is>
          <t>GERAL</t>
        </is>
      </c>
      <c r="C3" t="inlineStr">
        <is>
          <t>EJ</t>
        </is>
      </c>
      <c r="D3" t="inlineStr">
        <is>
          <t>IÇAMENTO JOIST</t>
        </is>
      </c>
      <c r="F3" s="159">
        <f>IFERROR(INDEX('BASE METAS DIÁRIAS'!$N$2:$S$358,MATCH($A3,'BASE METAS DIÁRIAS'!$A$2:$A$358,0),MOD(ROW()-2,6)+1),"")</f>
        <v/>
      </c>
      <c r="G3" s="159">
        <f>IFERROR(IF(WEEKDAY($A3,2)&lt;=INDEX('BASE METAS DIÁRIAS'!$H$2:$M$358,MATCH($A3,'BASE METAS DIÁRIAS'!$A$2:$A$358,0),MOD(ROW()-2,6)+1),INDEX('BASE METAS DIÁRIAS'!$B$2:$G$358,MATCH($A3,'BASE METAS DIÁRIAS'!$A$2:$A$358,0),MOD(ROW()-2,6)+1),""),"")</f>
        <v/>
      </c>
      <c r="H3" s="159">
        <f>IFERROR(IF(INDEX('CONTROLE PRODUÇÃO POR EMPRESAS'!$B$6:$G$5000,MATCH($A3,'CONTROLE PRODUÇÃO POR EMPRESAS'!$A$6:$A$5000,0),MOD(ROW()-2,6)+1)="","",IFERROR(1*INDEX('CONTROLE PRODUÇÃO POR EMPRESAS'!$B$6:$G$5000,MATCH($A3,'CONTROLE PRODUÇÃO POR EMPRESAS'!$A$6:$A$5000,0),MOD(ROW()-2,6)+1),"")),"")</f>
        <v/>
      </c>
      <c r="I3" s="159">
        <f>IF(OR(NOT(ISNUMBER(G3)),NOT(ISNUMBER(H3))),"",H3-G3)</f>
        <v/>
      </c>
      <c r="J3" s="319">
        <f>IF(OR(NOT(ISNUMBER(G3)),NOT(ISNUMBER(H3)),G3=0),"",I3/G3)</f>
        <v/>
      </c>
      <c r="K3" s="319">
        <f>IF(OR(NOT(ISNUMBER(G3)),NOT(ISNUMBER(H3)),G3=0),"",H3/G3)</f>
        <v/>
      </c>
      <c r="L3">
        <f>IF(NOT(ISNUMBER(G3)),"SEM META",IF(G3=0,"SEM META",IF(NOT(ISNUMBER(H3)),"SEM APONTAMENTO",IF(H3&gt;=G3,"VERDE",IF(H3&gt;=G3*0.9,"AMARELO","VERMELHO")))))</f>
        <v/>
      </c>
      <c r="M3" s="162" t="n"/>
      <c r="N3" s="162" t="n"/>
      <c r="O3" s="162" t="n"/>
      <c r="P3" s="162" t="n"/>
      <c r="Q3" s="320" t="n"/>
      <c r="R3" s="162" t="inlineStr">
        <is>
          <t>CONTROLE PRODUÇÃO POR EMPRESAS!C6</t>
        </is>
      </c>
    </row>
    <row r="4" hidden="1" ht="28.5" customHeight="1">
      <c r="A4" s="317" t="n">
        <v>46223</v>
      </c>
      <c r="B4" t="inlineStr">
        <is>
          <t>GERAL</t>
        </is>
      </c>
      <c r="C4" t="inlineStr">
        <is>
          <t>EJ</t>
        </is>
      </c>
      <c r="D4" t="inlineStr">
        <is>
          <t>VIGAS</t>
        </is>
      </c>
      <c r="F4" s="159">
        <f>IFERROR(INDEX('BASE METAS DIÁRIAS'!$N$2:$S$358,MATCH($A4,'BASE METAS DIÁRIAS'!$A$2:$A$358,0),MOD(ROW()-2,6)+1),"")</f>
        <v/>
      </c>
      <c r="G4" s="159">
        <f>IFERROR(IF(WEEKDAY($A4,2)&lt;=INDEX('BASE METAS DIÁRIAS'!$H$2:$M$358,MATCH($A4,'BASE METAS DIÁRIAS'!$A$2:$A$358,0),MOD(ROW()-2,6)+1),INDEX('BASE METAS DIÁRIAS'!$B$2:$G$358,MATCH($A4,'BASE METAS DIÁRIAS'!$A$2:$A$358,0),MOD(ROW()-2,6)+1),""),"")</f>
        <v/>
      </c>
      <c r="H4" s="159">
        <f>IFERROR(IF(INDEX('CONTROLE PRODUÇÃO POR EMPRESAS'!$B$6:$G$5000,MATCH($A4,'CONTROLE PRODUÇÃO POR EMPRESAS'!$A$6:$A$5000,0),MOD(ROW()-2,6)+1)="","",IFERROR(1*INDEX('CONTROLE PRODUÇÃO POR EMPRESAS'!$B$6:$G$5000,MATCH($A4,'CONTROLE PRODUÇÃO POR EMPRESAS'!$A$6:$A$5000,0),MOD(ROW()-2,6)+1),"")),"")</f>
        <v/>
      </c>
      <c r="I4" s="159">
        <f>IF(OR(NOT(ISNUMBER(G4)),NOT(ISNUMBER(H4))),"",H4-G4)</f>
        <v/>
      </c>
      <c r="J4" s="319">
        <f>IF(OR(NOT(ISNUMBER(G4)),NOT(ISNUMBER(H4)),G4=0),"",I4/G4)</f>
        <v/>
      </c>
      <c r="K4" s="319">
        <f>IF(OR(NOT(ISNUMBER(G4)),NOT(ISNUMBER(H4)),G4=0),"",H4/G4)</f>
        <v/>
      </c>
      <c r="L4">
        <f>IF(NOT(ISNUMBER(G4)),"SEM META",IF(G4=0,"SEM META",IF(NOT(ISNUMBER(H4)),"SEM APONTAMENTO",IF(H4&gt;=G4,"VERDE",IF(H4&gt;=G4*0.9,"AMARELO","VERMELHO")))))</f>
        <v/>
      </c>
      <c r="M4" s="162" t="n"/>
      <c r="N4" s="162" t="n"/>
      <c r="O4" s="162" t="n"/>
      <c r="P4" s="162" t="n"/>
      <c r="Q4" s="320" t="n"/>
      <c r="R4" s="162" t="inlineStr">
        <is>
          <t>CONTROLE PRODUÇÃO POR EMPRESAS!D6</t>
        </is>
      </c>
    </row>
    <row r="5" hidden="1" ht="28.5" customHeight="1">
      <c r="A5" s="317" t="n">
        <v>46223</v>
      </c>
      <c r="B5" t="inlineStr">
        <is>
          <t>GERAL</t>
        </is>
      </c>
      <c r="C5" t="inlineStr">
        <is>
          <t>CMM</t>
        </is>
      </c>
      <c r="D5" t="inlineStr">
        <is>
          <t>PREMONTAGEM</t>
        </is>
      </c>
      <c r="F5" s="159">
        <f>IFERROR(INDEX('BASE METAS DIÁRIAS'!$N$2:$S$358,MATCH($A5,'BASE METAS DIÁRIAS'!$A$2:$A$358,0),MOD(ROW()-2,6)+1),"")</f>
        <v/>
      </c>
      <c r="G5" s="159">
        <f>IFERROR(IF(WEEKDAY($A5,2)&lt;=INDEX('BASE METAS DIÁRIAS'!$H$2:$M$358,MATCH($A5,'BASE METAS DIÁRIAS'!$A$2:$A$358,0),MOD(ROW()-2,6)+1),INDEX('BASE METAS DIÁRIAS'!$B$2:$G$358,MATCH($A5,'BASE METAS DIÁRIAS'!$A$2:$A$358,0),MOD(ROW()-2,6)+1),""),"")</f>
        <v/>
      </c>
      <c r="H5" s="159">
        <f>IFERROR(IF(INDEX('CONTROLE PRODUÇÃO POR EMPRESAS'!$B$6:$G$5000,MATCH($A5,'CONTROLE PRODUÇÃO POR EMPRESAS'!$A$6:$A$5000,0),MOD(ROW()-2,6)+1)="","",IFERROR(1*INDEX('CONTROLE PRODUÇÃO POR EMPRESAS'!$B$6:$G$5000,MATCH($A5,'CONTROLE PRODUÇÃO POR EMPRESAS'!$A$6:$A$5000,0),MOD(ROW()-2,6)+1),"")),"")</f>
        <v/>
      </c>
      <c r="I5" s="159">
        <f>IF(OR(NOT(ISNUMBER(G5)),NOT(ISNUMBER(H5))),"",H5-G5)</f>
        <v/>
      </c>
      <c r="J5" s="319">
        <f>IF(OR(NOT(ISNUMBER(G5)),NOT(ISNUMBER(H5)),G5=0),"",I5/G5)</f>
        <v/>
      </c>
      <c r="K5" s="319">
        <f>IF(OR(NOT(ISNUMBER(G5)),NOT(ISNUMBER(H5)),G5=0),"",H5/G5)</f>
        <v/>
      </c>
      <c r="L5">
        <f>IF(NOT(ISNUMBER(G5)),"SEM META",IF(G5=0,"SEM META",IF(NOT(ISNUMBER(H5)),"SEM APONTAMENTO",IF(H5&gt;=G5,"VERDE",IF(H5&gt;=G5*0.9,"AMARELO","VERMELHO")))))</f>
        <v/>
      </c>
      <c r="M5" s="162" t="n"/>
      <c r="N5" s="162" t="n"/>
      <c r="O5" s="162" t="n"/>
      <c r="P5" s="162" t="n"/>
      <c r="Q5" s="320" t="n"/>
      <c r="R5" s="162" t="inlineStr">
        <is>
          <t>CONTROLE PRODUÇÃO POR EMPRESAS!E6</t>
        </is>
      </c>
    </row>
    <row r="6" hidden="1" ht="28.5" customHeight="1">
      <c r="A6" s="317" t="n">
        <v>46223</v>
      </c>
      <c r="B6" t="inlineStr">
        <is>
          <t>GERAL</t>
        </is>
      </c>
      <c r="C6" t="inlineStr">
        <is>
          <t>CMM</t>
        </is>
      </c>
      <c r="D6" t="inlineStr">
        <is>
          <t>IÇAMENTO JOIST</t>
        </is>
      </c>
      <c r="F6" s="159">
        <f>IFERROR(INDEX('BASE METAS DIÁRIAS'!$N$2:$S$358,MATCH($A6,'BASE METAS DIÁRIAS'!$A$2:$A$358,0),MOD(ROW()-2,6)+1),"")</f>
        <v/>
      </c>
      <c r="G6" s="159">
        <f>IFERROR(IF(WEEKDAY($A6,2)&lt;=INDEX('BASE METAS DIÁRIAS'!$H$2:$M$358,MATCH($A6,'BASE METAS DIÁRIAS'!$A$2:$A$358,0),MOD(ROW()-2,6)+1),INDEX('BASE METAS DIÁRIAS'!$B$2:$G$358,MATCH($A6,'BASE METAS DIÁRIAS'!$A$2:$A$358,0),MOD(ROW()-2,6)+1),""),"")</f>
        <v/>
      </c>
      <c r="H6" s="159">
        <f>IFERROR(IF(INDEX('CONTROLE PRODUÇÃO POR EMPRESAS'!$B$6:$G$5000,MATCH($A6,'CONTROLE PRODUÇÃO POR EMPRESAS'!$A$6:$A$5000,0),MOD(ROW()-2,6)+1)="","",IFERROR(1*INDEX('CONTROLE PRODUÇÃO POR EMPRESAS'!$B$6:$G$5000,MATCH($A6,'CONTROLE PRODUÇÃO POR EMPRESAS'!$A$6:$A$5000,0),MOD(ROW()-2,6)+1),"")),"")</f>
        <v/>
      </c>
      <c r="I6" s="159">
        <f>IF(OR(NOT(ISNUMBER(G6)),NOT(ISNUMBER(H6))),"",H6-G6)</f>
        <v/>
      </c>
      <c r="J6" s="319">
        <f>IF(OR(NOT(ISNUMBER(G6)),NOT(ISNUMBER(H6)),G6=0),"",I6/G6)</f>
        <v/>
      </c>
      <c r="K6" s="319">
        <f>IF(OR(NOT(ISNUMBER(G6)),NOT(ISNUMBER(H6)),G6=0),"",H6/G6)</f>
        <v/>
      </c>
      <c r="L6">
        <f>IF(NOT(ISNUMBER(G6)),"SEM META",IF(G6=0,"SEM META",IF(NOT(ISNUMBER(H6)),"SEM APONTAMENTO",IF(H6&gt;=G6,"VERDE",IF(H6&gt;=G6*0.9,"AMARELO","VERMELHO")))))</f>
        <v/>
      </c>
      <c r="M6" s="162" t="n"/>
      <c r="N6" s="162" t="n"/>
      <c r="O6" s="162" t="n"/>
      <c r="P6" s="162" t="n"/>
      <c r="Q6" s="320" t="n"/>
      <c r="R6" s="162" t="inlineStr">
        <is>
          <t>CONTROLE PRODUÇÃO POR EMPRESAS!F6</t>
        </is>
      </c>
    </row>
    <row r="7" hidden="1" ht="28.5" customHeight="1">
      <c r="A7" s="317" t="n">
        <v>46223</v>
      </c>
      <c r="B7" t="inlineStr">
        <is>
          <t>GERAL</t>
        </is>
      </c>
      <c r="C7" t="inlineStr">
        <is>
          <t>CMM</t>
        </is>
      </c>
      <c r="D7" t="inlineStr">
        <is>
          <t>VIGAS</t>
        </is>
      </c>
      <c r="F7" s="159">
        <f>IFERROR(INDEX('BASE METAS DIÁRIAS'!$N$2:$S$358,MATCH($A7,'BASE METAS DIÁRIAS'!$A$2:$A$358,0),MOD(ROW()-2,6)+1),"")</f>
        <v/>
      </c>
      <c r="G7" s="159">
        <f>IFERROR(IF(WEEKDAY($A7,2)&lt;=INDEX('BASE METAS DIÁRIAS'!$H$2:$M$358,MATCH($A7,'BASE METAS DIÁRIAS'!$A$2:$A$358,0),MOD(ROW()-2,6)+1),INDEX('BASE METAS DIÁRIAS'!$B$2:$G$358,MATCH($A7,'BASE METAS DIÁRIAS'!$A$2:$A$358,0),MOD(ROW()-2,6)+1),""),"")</f>
        <v/>
      </c>
      <c r="H7" s="159">
        <f>IFERROR(IF(INDEX('CONTROLE PRODUÇÃO POR EMPRESAS'!$B$6:$G$5000,MATCH($A7,'CONTROLE PRODUÇÃO POR EMPRESAS'!$A$6:$A$5000,0),MOD(ROW()-2,6)+1)="","",IFERROR(1*INDEX('CONTROLE PRODUÇÃO POR EMPRESAS'!$B$6:$G$5000,MATCH($A7,'CONTROLE PRODUÇÃO POR EMPRESAS'!$A$6:$A$5000,0),MOD(ROW()-2,6)+1),"")),"")</f>
        <v/>
      </c>
      <c r="I7" s="159">
        <f>IF(OR(NOT(ISNUMBER(G7)),NOT(ISNUMBER(H7))),"",H7-G7)</f>
        <v/>
      </c>
      <c r="J7" s="319">
        <f>IF(OR(NOT(ISNUMBER(G7)),NOT(ISNUMBER(H7)),G7=0),"",I7/G7)</f>
        <v/>
      </c>
      <c r="K7" s="319">
        <f>IF(OR(NOT(ISNUMBER(G7)),NOT(ISNUMBER(H7)),G7=0),"",H7/G7)</f>
        <v/>
      </c>
      <c r="L7">
        <f>IF(NOT(ISNUMBER(G7)),"SEM META",IF(G7=0,"SEM META",IF(NOT(ISNUMBER(H7)),"SEM APONTAMENTO",IF(H7&gt;=G7,"VERDE",IF(H7&gt;=G7*0.9,"AMARELO","VERMELHO")))))</f>
        <v/>
      </c>
      <c r="M7" s="162" t="n"/>
      <c r="N7" s="162" t="n"/>
      <c r="O7" s="162" t="n"/>
      <c r="P7" s="162" t="n"/>
      <c r="Q7" s="320" t="n"/>
      <c r="R7" s="162" t="inlineStr">
        <is>
          <t>CONTROLE PRODUÇÃO POR EMPRESAS!G6</t>
        </is>
      </c>
    </row>
    <row r="8" hidden="1" ht="28.5" customHeight="1">
      <c r="A8" s="317" t="n">
        <v>46224</v>
      </c>
      <c r="B8" t="inlineStr">
        <is>
          <t>GERAL</t>
        </is>
      </c>
      <c r="C8" t="inlineStr">
        <is>
          <t>EJ</t>
        </is>
      </c>
      <c r="D8" t="inlineStr">
        <is>
          <t>PREMONTAGEM</t>
        </is>
      </c>
      <c r="F8" s="159">
        <f>IFERROR(INDEX('BASE METAS DIÁRIAS'!$N$2:$S$358,MATCH($A8,'BASE METAS DIÁRIAS'!$A$2:$A$358,0),MOD(ROW()-2,6)+1),"")</f>
        <v/>
      </c>
      <c r="G8" s="159">
        <f>IFERROR(IF(WEEKDAY($A8,2)&lt;=INDEX('BASE METAS DIÁRIAS'!$H$2:$M$358,MATCH($A8,'BASE METAS DIÁRIAS'!$A$2:$A$358,0),MOD(ROW()-2,6)+1),INDEX('BASE METAS DIÁRIAS'!$B$2:$G$358,MATCH($A8,'BASE METAS DIÁRIAS'!$A$2:$A$358,0),MOD(ROW()-2,6)+1),""),"")</f>
        <v/>
      </c>
      <c r="H8" s="159">
        <f>IFERROR(IF(INDEX('CONTROLE PRODUÇÃO POR EMPRESAS'!$B$6:$G$5000,MATCH($A8,'CONTROLE PRODUÇÃO POR EMPRESAS'!$A$6:$A$5000,0),MOD(ROW()-2,6)+1)="","",IFERROR(1*INDEX('CONTROLE PRODUÇÃO POR EMPRESAS'!$B$6:$G$5000,MATCH($A8,'CONTROLE PRODUÇÃO POR EMPRESAS'!$A$6:$A$5000,0),MOD(ROW()-2,6)+1),"")),"")</f>
        <v/>
      </c>
      <c r="I8" s="159">
        <f>IF(OR(NOT(ISNUMBER(G8)),NOT(ISNUMBER(H8))),"",H8-G8)</f>
        <v/>
      </c>
      <c r="J8" s="319">
        <f>IF(OR(NOT(ISNUMBER(G8)),NOT(ISNUMBER(H8)),G8=0),"",I8/G8)</f>
        <v/>
      </c>
      <c r="K8" s="319">
        <f>IF(OR(NOT(ISNUMBER(G8)),NOT(ISNUMBER(H8)),G8=0),"",H8/G8)</f>
        <v/>
      </c>
      <c r="L8">
        <f>IF(NOT(ISNUMBER(G8)),"SEM META",IF(G8=0,"SEM META",IF(NOT(ISNUMBER(H8)),"SEM APONTAMENTO",IF(H8&gt;=G8,"VERDE",IF(H8&gt;=G8*0.9,"AMARELO","VERMELHO")))))</f>
        <v/>
      </c>
      <c r="M8" s="162" t="n"/>
      <c r="N8" s="162" t="n"/>
      <c r="O8" s="162" t="n"/>
      <c r="P8" s="162" t="n"/>
      <c r="Q8" s="320" t="n"/>
      <c r="R8" s="162" t="inlineStr">
        <is>
          <t>CONTROLE PRODUÇÃO POR EMPRESAS!B7</t>
        </is>
      </c>
    </row>
    <row r="9" hidden="1" ht="28.5" customHeight="1">
      <c r="A9" s="317" t="n">
        <v>46224</v>
      </c>
      <c r="B9" t="inlineStr">
        <is>
          <t>GERAL</t>
        </is>
      </c>
      <c r="C9" t="inlineStr">
        <is>
          <t>EJ</t>
        </is>
      </c>
      <c r="D9" t="inlineStr">
        <is>
          <t>IÇAMENTO JOIST</t>
        </is>
      </c>
      <c r="F9" s="159">
        <f>IFERROR(INDEX('BASE METAS DIÁRIAS'!$N$2:$S$358,MATCH($A9,'BASE METAS DIÁRIAS'!$A$2:$A$358,0),MOD(ROW()-2,6)+1),"")</f>
        <v/>
      </c>
      <c r="G9" s="159">
        <f>IFERROR(IF(WEEKDAY($A9,2)&lt;=INDEX('BASE METAS DIÁRIAS'!$H$2:$M$358,MATCH($A9,'BASE METAS DIÁRIAS'!$A$2:$A$358,0),MOD(ROW()-2,6)+1),INDEX('BASE METAS DIÁRIAS'!$B$2:$G$358,MATCH($A9,'BASE METAS DIÁRIAS'!$A$2:$A$358,0),MOD(ROW()-2,6)+1),""),"")</f>
        <v/>
      </c>
      <c r="H9" s="159">
        <f>IFERROR(IF(INDEX('CONTROLE PRODUÇÃO POR EMPRESAS'!$B$6:$G$5000,MATCH($A9,'CONTROLE PRODUÇÃO POR EMPRESAS'!$A$6:$A$5000,0),MOD(ROW()-2,6)+1)="","",IFERROR(1*INDEX('CONTROLE PRODUÇÃO POR EMPRESAS'!$B$6:$G$5000,MATCH($A9,'CONTROLE PRODUÇÃO POR EMPRESAS'!$A$6:$A$5000,0),MOD(ROW()-2,6)+1),"")),"")</f>
        <v/>
      </c>
      <c r="I9" s="159">
        <f>IF(OR(NOT(ISNUMBER(G9)),NOT(ISNUMBER(H9))),"",H9-G9)</f>
        <v/>
      </c>
      <c r="J9" s="319">
        <f>IF(OR(NOT(ISNUMBER(G9)),NOT(ISNUMBER(H9)),G9=0),"",I9/G9)</f>
        <v/>
      </c>
      <c r="K9" s="319">
        <f>IF(OR(NOT(ISNUMBER(G9)),NOT(ISNUMBER(H9)),G9=0),"",H9/G9)</f>
        <v/>
      </c>
      <c r="L9">
        <f>IF(NOT(ISNUMBER(G9)),"SEM META",IF(G9=0,"SEM META",IF(NOT(ISNUMBER(H9)),"SEM APONTAMENTO",IF(H9&gt;=G9,"VERDE",IF(H9&gt;=G9*0.9,"AMARELO","VERMELHO")))))</f>
        <v/>
      </c>
      <c r="M9" s="162" t="n"/>
      <c r="N9" s="162" t="n"/>
      <c r="O9" s="162" t="n"/>
      <c r="P9" s="162" t="n"/>
      <c r="Q9" s="320" t="n"/>
      <c r="R9" s="162" t="inlineStr">
        <is>
          <t>CONTROLE PRODUÇÃO POR EMPRESAS!C7</t>
        </is>
      </c>
    </row>
    <row r="10" hidden="1" ht="28.5" customHeight="1">
      <c r="A10" s="317" t="n">
        <v>46224</v>
      </c>
      <c r="B10" t="inlineStr">
        <is>
          <t>GERAL</t>
        </is>
      </c>
      <c r="C10" t="inlineStr">
        <is>
          <t>EJ</t>
        </is>
      </c>
      <c r="D10" t="inlineStr">
        <is>
          <t>VIGAS</t>
        </is>
      </c>
      <c r="F10" s="159">
        <f>IFERROR(INDEX('BASE METAS DIÁRIAS'!$N$2:$S$358,MATCH($A10,'BASE METAS DIÁRIAS'!$A$2:$A$358,0),MOD(ROW()-2,6)+1),"")</f>
        <v/>
      </c>
      <c r="G10" s="159">
        <f>IFERROR(IF(WEEKDAY($A10,2)&lt;=INDEX('BASE METAS DIÁRIAS'!$H$2:$M$358,MATCH($A10,'BASE METAS DIÁRIAS'!$A$2:$A$358,0),MOD(ROW()-2,6)+1),INDEX('BASE METAS DIÁRIAS'!$B$2:$G$358,MATCH($A10,'BASE METAS DIÁRIAS'!$A$2:$A$358,0),MOD(ROW()-2,6)+1),""),"")</f>
        <v/>
      </c>
      <c r="H10" s="159">
        <f>IFERROR(IF(INDEX('CONTROLE PRODUÇÃO POR EMPRESAS'!$B$6:$G$5000,MATCH($A10,'CONTROLE PRODUÇÃO POR EMPRESAS'!$A$6:$A$5000,0),MOD(ROW()-2,6)+1)="","",IFERROR(1*INDEX('CONTROLE PRODUÇÃO POR EMPRESAS'!$B$6:$G$5000,MATCH($A10,'CONTROLE PRODUÇÃO POR EMPRESAS'!$A$6:$A$5000,0),MOD(ROW()-2,6)+1),"")),"")</f>
        <v/>
      </c>
      <c r="I10" s="159">
        <f>IF(OR(NOT(ISNUMBER(G10)),NOT(ISNUMBER(H10))),"",H10-G10)</f>
        <v/>
      </c>
      <c r="J10" s="319">
        <f>IF(OR(NOT(ISNUMBER(G10)),NOT(ISNUMBER(H10)),G10=0),"",I10/G10)</f>
        <v/>
      </c>
      <c r="K10" s="319">
        <f>IF(OR(NOT(ISNUMBER(G10)),NOT(ISNUMBER(H10)),G10=0),"",H10/G10)</f>
        <v/>
      </c>
      <c r="L10">
        <f>IF(NOT(ISNUMBER(G10)),"SEM META",IF(G10=0,"SEM META",IF(NOT(ISNUMBER(H10)),"SEM APONTAMENTO",IF(H10&gt;=G10,"VERDE",IF(H10&gt;=G10*0.9,"AMARELO","VERMELHO")))))</f>
        <v/>
      </c>
      <c r="M10" s="162" t="n"/>
      <c r="N10" s="162" t="n"/>
      <c r="O10" s="162" t="n"/>
      <c r="P10" s="162" t="n"/>
      <c r="Q10" s="320" t="n"/>
      <c r="R10" s="162" t="inlineStr">
        <is>
          <t>CONTROLE PRODUÇÃO POR EMPRESAS!D7</t>
        </is>
      </c>
    </row>
    <row r="11" hidden="1" ht="28.5" customHeight="1">
      <c r="A11" s="317" t="n">
        <v>46224</v>
      </c>
      <c r="B11" t="inlineStr">
        <is>
          <t>GERAL</t>
        </is>
      </c>
      <c r="C11" t="inlineStr">
        <is>
          <t>CMM</t>
        </is>
      </c>
      <c r="D11" t="inlineStr">
        <is>
          <t>PREMONTAGEM</t>
        </is>
      </c>
      <c r="F11" s="159">
        <f>IFERROR(INDEX('BASE METAS DIÁRIAS'!$N$2:$S$358,MATCH($A11,'BASE METAS DIÁRIAS'!$A$2:$A$358,0),MOD(ROW()-2,6)+1),"")</f>
        <v/>
      </c>
      <c r="G11" s="159">
        <f>IFERROR(IF(WEEKDAY($A11,2)&lt;=INDEX('BASE METAS DIÁRIAS'!$H$2:$M$358,MATCH($A11,'BASE METAS DIÁRIAS'!$A$2:$A$358,0),MOD(ROW()-2,6)+1),INDEX('BASE METAS DIÁRIAS'!$B$2:$G$358,MATCH($A11,'BASE METAS DIÁRIAS'!$A$2:$A$358,0),MOD(ROW()-2,6)+1),""),"")</f>
        <v/>
      </c>
      <c r="H11" s="159">
        <f>IFERROR(IF(INDEX('CONTROLE PRODUÇÃO POR EMPRESAS'!$B$6:$G$5000,MATCH($A11,'CONTROLE PRODUÇÃO POR EMPRESAS'!$A$6:$A$5000,0),MOD(ROW()-2,6)+1)="","",IFERROR(1*INDEX('CONTROLE PRODUÇÃO POR EMPRESAS'!$B$6:$G$5000,MATCH($A11,'CONTROLE PRODUÇÃO POR EMPRESAS'!$A$6:$A$5000,0),MOD(ROW()-2,6)+1),"")),"")</f>
        <v/>
      </c>
      <c r="I11" s="159">
        <f>IF(OR(NOT(ISNUMBER(G11)),NOT(ISNUMBER(H11))),"",H11-G11)</f>
        <v/>
      </c>
      <c r="J11" s="319">
        <f>IF(OR(NOT(ISNUMBER(G11)),NOT(ISNUMBER(H11)),G11=0),"",I11/G11)</f>
        <v/>
      </c>
      <c r="K11" s="319">
        <f>IF(OR(NOT(ISNUMBER(G11)),NOT(ISNUMBER(H11)),G11=0),"",H11/G11)</f>
        <v/>
      </c>
      <c r="L11">
        <f>IF(NOT(ISNUMBER(G11)),"SEM META",IF(G11=0,"SEM META",IF(NOT(ISNUMBER(H11)),"SEM APONTAMENTO",IF(H11&gt;=G11,"VERDE",IF(H11&gt;=G11*0.9,"AMARELO","VERMELHO")))))</f>
        <v/>
      </c>
      <c r="M11" s="162" t="n"/>
      <c r="N11" s="162" t="n"/>
      <c r="O11" s="162" t="n"/>
      <c r="P11" s="162" t="n"/>
      <c r="Q11" s="320" t="n"/>
      <c r="R11" s="162" t="inlineStr">
        <is>
          <t>CONTROLE PRODUÇÃO POR EMPRESAS!E7</t>
        </is>
      </c>
    </row>
    <row r="12" hidden="1" ht="28.5" customHeight="1">
      <c r="A12" s="317" t="n">
        <v>46224</v>
      </c>
      <c r="B12" t="inlineStr">
        <is>
          <t>GERAL</t>
        </is>
      </c>
      <c r="C12" t="inlineStr">
        <is>
          <t>CMM</t>
        </is>
      </c>
      <c r="D12" t="inlineStr">
        <is>
          <t>IÇAMENTO JOIST</t>
        </is>
      </c>
      <c r="F12" s="159">
        <f>IFERROR(INDEX('BASE METAS DIÁRIAS'!$N$2:$S$358,MATCH($A12,'BASE METAS DIÁRIAS'!$A$2:$A$358,0),MOD(ROW()-2,6)+1),"")</f>
        <v/>
      </c>
      <c r="G12" s="159">
        <f>IFERROR(IF(WEEKDAY($A12,2)&lt;=INDEX('BASE METAS DIÁRIAS'!$H$2:$M$358,MATCH($A12,'BASE METAS DIÁRIAS'!$A$2:$A$358,0),MOD(ROW()-2,6)+1),INDEX('BASE METAS DIÁRIAS'!$B$2:$G$358,MATCH($A12,'BASE METAS DIÁRIAS'!$A$2:$A$358,0),MOD(ROW()-2,6)+1),""),"")</f>
        <v/>
      </c>
      <c r="H12" s="159">
        <f>IFERROR(IF(INDEX('CONTROLE PRODUÇÃO POR EMPRESAS'!$B$6:$G$5000,MATCH($A12,'CONTROLE PRODUÇÃO POR EMPRESAS'!$A$6:$A$5000,0),MOD(ROW()-2,6)+1)="","",IFERROR(1*INDEX('CONTROLE PRODUÇÃO POR EMPRESAS'!$B$6:$G$5000,MATCH($A12,'CONTROLE PRODUÇÃO POR EMPRESAS'!$A$6:$A$5000,0),MOD(ROW()-2,6)+1),"")),"")</f>
        <v/>
      </c>
      <c r="I12" s="159">
        <f>IF(OR(NOT(ISNUMBER(G12)),NOT(ISNUMBER(H12))),"",H12-G12)</f>
        <v/>
      </c>
      <c r="J12" s="319">
        <f>IF(OR(NOT(ISNUMBER(G12)),NOT(ISNUMBER(H12)),G12=0),"",I12/G12)</f>
        <v/>
      </c>
      <c r="K12" s="319">
        <f>IF(OR(NOT(ISNUMBER(G12)),NOT(ISNUMBER(H12)),G12=0),"",H12/G12)</f>
        <v/>
      </c>
      <c r="L12">
        <f>IF(NOT(ISNUMBER(G12)),"SEM META",IF(G12=0,"SEM META",IF(NOT(ISNUMBER(H12)),"SEM APONTAMENTO",IF(H12&gt;=G12,"VERDE",IF(H12&gt;=G12*0.9,"AMARELO","VERMELHO")))))</f>
        <v/>
      </c>
      <c r="M12" s="162" t="n"/>
      <c r="N12" s="162" t="n"/>
      <c r="O12" s="162" t="n"/>
      <c r="P12" s="162" t="n"/>
      <c r="Q12" s="320" t="n"/>
      <c r="R12" s="162" t="inlineStr">
        <is>
          <t>CONTROLE PRODUÇÃO POR EMPRESAS!F7</t>
        </is>
      </c>
    </row>
    <row r="13" hidden="1" ht="28.5" customHeight="1">
      <c r="A13" s="317" t="n">
        <v>46224</v>
      </c>
      <c r="B13" t="inlineStr">
        <is>
          <t>GERAL</t>
        </is>
      </c>
      <c r="C13" t="inlineStr">
        <is>
          <t>CMM</t>
        </is>
      </c>
      <c r="D13" t="inlineStr">
        <is>
          <t>VIGAS</t>
        </is>
      </c>
      <c r="F13" s="159">
        <f>IFERROR(INDEX('BASE METAS DIÁRIAS'!$N$2:$S$358,MATCH($A13,'BASE METAS DIÁRIAS'!$A$2:$A$358,0),MOD(ROW()-2,6)+1),"")</f>
        <v/>
      </c>
      <c r="G13" s="159">
        <f>IFERROR(IF(WEEKDAY($A13,2)&lt;=INDEX('BASE METAS DIÁRIAS'!$H$2:$M$358,MATCH($A13,'BASE METAS DIÁRIAS'!$A$2:$A$358,0),MOD(ROW()-2,6)+1),INDEX('BASE METAS DIÁRIAS'!$B$2:$G$358,MATCH($A13,'BASE METAS DIÁRIAS'!$A$2:$A$358,0),MOD(ROW()-2,6)+1),""),"")</f>
        <v/>
      </c>
      <c r="H13" s="159">
        <f>IFERROR(IF(INDEX('CONTROLE PRODUÇÃO POR EMPRESAS'!$B$6:$G$5000,MATCH($A13,'CONTROLE PRODUÇÃO POR EMPRESAS'!$A$6:$A$5000,0),MOD(ROW()-2,6)+1)="","",IFERROR(1*INDEX('CONTROLE PRODUÇÃO POR EMPRESAS'!$B$6:$G$5000,MATCH($A13,'CONTROLE PRODUÇÃO POR EMPRESAS'!$A$6:$A$5000,0),MOD(ROW()-2,6)+1),"")),"")</f>
        <v/>
      </c>
      <c r="I13" s="159">
        <f>IF(OR(NOT(ISNUMBER(G13)),NOT(ISNUMBER(H13))),"",H13-G13)</f>
        <v/>
      </c>
      <c r="J13" s="319">
        <f>IF(OR(NOT(ISNUMBER(G13)),NOT(ISNUMBER(H13)),G13=0),"",I13/G13)</f>
        <v/>
      </c>
      <c r="K13" s="319">
        <f>IF(OR(NOT(ISNUMBER(G13)),NOT(ISNUMBER(H13)),G13=0),"",H13/G13)</f>
        <v/>
      </c>
      <c r="L13">
        <f>IF(NOT(ISNUMBER(G13)),"SEM META",IF(G13=0,"SEM META",IF(NOT(ISNUMBER(H13)),"SEM APONTAMENTO",IF(H13&gt;=G13,"VERDE",IF(H13&gt;=G13*0.9,"AMARELO","VERMELHO")))))</f>
        <v/>
      </c>
      <c r="M13" s="162" t="n"/>
      <c r="N13" s="162" t="n"/>
      <c r="O13" s="162" t="n"/>
      <c r="P13" s="162" t="n"/>
      <c r="Q13" s="320" t="n"/>
      <c r="R13" s="162" t="inlineStr">
        <is>
          <t>CONTROLE PRODUÇÃO POR EMPRESAS!G7</t>
        </is>
      </c>
    </row>
    <row r="14" hidden="1" ht="28.5" customHeight="1">
      <c r="A14" s="317" t="n">
        <v>46225</v>
      </c>
      <c r="B14" t="inlineStr">
        <is>
          <t>GERAL</t>
        </is>
      </c>
      <c r="C14" t="inlineStr">
        <is>
          <t>EJ</t>
        </is>
      </c>
      <c r="D14" t="inlineStr">
        <is>
          <t>PREMONTAGEM</t>
        </is>
      </c>
      <c r="F14" s="159">
        <f>IFERROR(INDEX('BASE METAS DIÁRIAS'!$N$2:$S$358,MATCH($A14,'BASE METAS DIÁRIAS'!$A$2:$A$358,0),MOD(ROW()-2,6)+1),"")</f>
        <v/>
      </c>
      <c r="G14" s="159">
        <f>IFERROR(IF(WEEKDAY($A14,2)&lt;=INDEX('BASE METAS DIÁRIAS'!$H$2:$M$358,MATCH($A14,'BASE METAS DIÁRIAS'!$A$2:$A$358,0),MOD(ROW()-2,6)+1),INDEX('BASE METAS DIÁRIAS'!$B$2:$G$358,MATCH($A14,'BASE METAS DIÁRIAS'!$A$2:$A$358,0),MOD(ROW()-2,6)+1),""),"")</f>
        <v/>
      </c>
      <c r="H14" s="159">
        <f>IFERROR(IF(INDEX('CONTROLE PRODUÇÃO POR EMPRESAS'!$B$6:$G$5000,MATCH($A14,'CONTROLE PRODUÇÃO POR EMPRESAS'!$A$6:$A$5000,0),MOD(ROW()-2,6)+1)="","",IFERROR(1*INDEX('CONTROLE PRODUÇÃO POR EMPRESAS'!$B$6:$G$5000,MATCH($A14,'CONTROLE PRODUÇÃO POR EMPRESAS'!$A$6:$A$5000,0),MOD(ROW()-2,6)+1),"")),"")</f>
        <v/>
      </c>
      <c r="I14" s="159">
        <f>IF(OR(NOT(ISNUMBER(G14)),NOT(ISNUMBER(H14))),"",H14-G14)</f>
        <v/>
      </c>
      <c r="J14" s="319">
        <f>IF(OR(NOT(ISNUMBER(G14)),NOT(ISNUMBER(H14)),G14=0),"",I14/G14)</f>
        <v/>
      </c>
      <c r="K14" s="319">
        <f>IF(OR(NOT(ISNUMBER(G14)),NOT(ISNUMBER(H14)),G14=0),"",H14/G14)</f>
        <v/>
      </c>
      <c r="L14">
        <f>IF(NOT(ISNUMBER(G14)),"SEM META",IF(G14=0,"SEM META",IF(NOT(ISNUMBER(H14)),"SEM APONTAMENTO",IF(H14&gt;=G14,"VERDE",IF(H14&gt;=G14*0.9,"AMARELO","VERMELHO")))))</f>
        <v/>
      </c>
      <c r="M14" s="162" t="n"/>
      <c r="N14" s="162" t="n"/>
      <c r="O14" s="162" t="n"/>
      <c r="P14" s="162" t="n"/>
      <c r="Q14" s="320" t="n"/>
      <c r="R14" s="162" t="inlineStr">
        <is>
          <t>CONTROLE PRODUÇÃO POR EMPRESAS!B8</t>
        </is>
      </c>
    </row>
    <row r="15" hidden="1" ht="28.5" customHeight="1">
      <c r="A15" s="317" t="n">
        <v>46225</v>
      </c>
      <c r="B15" t="inlineStr">
        <is>
          <t>GERAL</t>
        </is>
      </c>
      <c r="C15" t="inlineStr">
        <is>
          <t>EJ</t>
        </is>
      </c>
      <c r="D15" t="inlineStr">
        <is>
          <t>IÇAMENTO JOIST</t>
        </is>
      </c>
      <c r="F15" s="159">
        <f>IFERROR(INDEX('BASE METAS DIÁRIAS'!$N$2:$S$358,MATCH($A15,'BASE METAS DIÁRIAS'!$A$2:$A$358,0),MOD(ROW()-2,6)+1),"")</f>
        <v/>
      </c>
      <c r="G15" s="159">
        <f>IFERROR(IF(WEEKDAY($A15,2)&lt;=INDEX('BASE METAS DIÁRIAS'!$H$2:$M$358,MATCH($A15,'BASE METAS DIÁRIAS'!$A$2:$A$358,0),MOD(ROW()-2,6)+1),INDEX('BASE METAS DIÁRIAS'!$B$2:$G$358,MATCH($A15,'BASE METAS DIÁRIAS'!$A$2:$A$358,0),MOD(ROW()-2,6)+1),""),"")</f>
        <v/>
      </c>
      <c r="H15" s="159">
        <f>IFERROR(IF(INDEX('CONTROLE PRODUÇÃO POR EMPRESAS'!$B$6:$G$5000,MATCH($A15,'CONTROLE PRODUÇÃO POR EMPRESAS'!$A$6:$A$5000,0),MOD(ROW()-2,6)+1)="","",IFERROR(1*INDEX('CONTROLE PRODUÇÃO POR EMPRESAS'!$B$6:$G$5000,MATCH($A15,'CONTROLE PRODUÇÃO POR EMPRESAS'!$A$6:$A$5000,0),MOD(ROW()-2,6)+1),"")),"")</f>
        <v/>
      </c>
      <c r="I15" s="159">
        <f>IF(OR(NOT(ISNUMBER(G15)),NOT(ISNUMBER(H15))),"",H15-G15)</f>
        <v/>
      </c>
      <c r="J15" s="319">
        <f>IF(OR(NOT(ISNUMBER(G15)),NOT(ISNUMBER(H15)),G15=0),"",I15/G15)</f>
        <v/>
      </c>
      <c r="K15" s="319">
        <f>IF(OR(NOT(ISNUMBER(G15)),NOT(ISNUMBER(H15)),G15=0),"",H15/G15)</f>
        <v/>
      </c>
      <c r="L15">
        <f>IF(NOT(ISNUMBER(G15)),"SEM META",IF(G15=0,"SEM META",IF(NOT(ISNUMBER(H15)),"SEM APONTAMENTO",IF(H15&gt;=G15,"VERDE",IF(H15&gt;=G15*0.9,"AMARELO","VERMELHO")))))</f>
        <v/>
      </c>
      <c r="M15" s="162" t="n"/>
      <c r="N15" s="162" t="n"/>
      <c r="O15" s="162" t="n"/>
      <c r="P15" s="162" t="n"/>
      <c r="Q15" s="320" t="n"/>
      <c r="R15" s="162" t="inlineStr">
        <is>
          <t>CONTROLE PRODUÇÃO POR EMPRESAS!C8</t>
        </is>
      </c>
    </row>
    <row r="16" hidden="1" ht="28.5" customHeight="1">
      <c r="A16" s="317" t="n">
        <v>46225</v>
      </c>
      <c r="B16" t="inlineStr">
        <is>
          <t>GERAL</t>
        </is>
      </c>
      <c r="C16" t="inlineStr">
        <is>
          <t>EJ</t>
        </is>
      </c>
      <c r="D16" t="inlineStr">
        <is>
          <t>VIGAS</t>
        </is>
      </c>
      <c r="F16" s="159">
        <f>IFERROR(INDEX('BASE METAS DIÁRIAS'!$N$2:$S$358,MATCH($A16,'BASE METAS DIÁRIAS'!$A$2:$A$358,0),MOD(ROW()-2,6)+1),"")</f>
        <v/>
      </c>
      <c r="G16" s="159">
        <f>IFERROR(IF(WEEKDAY($A16,2)&lt;=INDEX('BASE METAS DIÁRIAS'!$H$2:$M$358,MATCH($A16,'BASE METAS DIÁRIAS'!$A$2:$A$358,0),MOD(ROW()-2,6)+1),INDEX('BASE METAS DIÁRIAS'!$B$2:$G$358,MATCH($A16,'BASE METAS DIÁRIAS'!$A$2:$A$358,0),MOD(ROW()-2,6)+1),""),"")</f>
        <v/>
      </c>
      <c r="H16" s="159">
        <f>IFERROR(IF(INDEX('CONTROLE PRODUÇÃO POR EMPRESAS'!$B$6:$G$5000,MATCH($A16,'CONTROLE PRODUÇÃO POR EMPRESAS'!$A$6:$A$5000,0),MOD(ROW()-2,6)+1)="","",IFERROR(1*INDEX('CONTROLE PRODUÇÃO POR EMPRESAS'!$B$6:$G$5000,MATCH($A16,'CONTROLE PRODUÇÃO POR EMPRESAS'!$A$6:$A$5000,0),MOD(ROW()-2,6)+1),"")),"")</f>
        <v/>
      </c>
      <c r="I16" s="159">
        <f>IF(OR(NOT(ISNUMBER(G16)),NOT(ISNUMBER(H16))),"",H16-G16)</f>
        <v/>
      </c>
      <c r="J16" s="319">
        <f>IF(OR(NOT(ISNUMBER(G16)),NOT(ISNUMBER(H16)),G16=0),"",I16/G16)</f>
        <v/>
      </c>
      <c r="K16" s="319">
        <f>IF(OR(NOT(ISNUMBER(G16)),NOT(ISNUMBER(H16)),G16=0),"",H16/G16)</f>
        <v/>
      </c>
      <c r="L16">
        <f>IF(NOT(ISNUMBER(G16)),"SEM META",IF(G16=0,"SEM META",IF(NOT(ISNUMBER(H16)),"SEM APONTAMENTO",IF(H16&gt;=G16,"VERDE",IF(H16&gt;=G16*0.9,"AMARELO","VERMELHO")))))</f>
        <v/>
      </c>
      <c r="M16" s="162" t="n"/>
      <c r="N16" s="162" t="n"/>
      <c r="O16" s="162" t="n"/>
      <c r="P16" s="162" t="n"/>
      <c r="Q16" s="320" t="n"/>
      <c r="R16" s="162" t="inlineStr">
        <is>
          <t>CONTROLE PRODUÇÃO POR EMPRESAS!D8</t>
        </is>
      </c>
    </row>
    <row r="17" hidden="1" ht="28.5" customHeight="1">
      <c r="A17" s="317" t="n">
        <v>46225</v>
      </c>
      <c r="B17" t="inlineStr">
        <is>
          <t>GERAL</t>
        </is>
      </c>
      <c r="C17" t="inlineStr">
        <is>
          <t>CMM</t>
        </is>
      </c>
      <c r="D17" t="inlineStr">
        <is>
          <t>PREMONTAGEM</t>
        </is>
      </c>
      <c r="F17" s="159">
        <f>IFERROR(INDEX('BASE METAS DIÁRIAS'!$N$2:$S$358,MATCH($A17,'BASE METAS DIÁRIAS'!$A$2:$A$358,0),MOD(ROW()-2,6)+1),"")</f>
        <v/>
      </c>
      <c r="G17" s="159">
        <f>IFERROR(IF(WEEKDAY($A17,2)&lt;=INDEX('BASE METAS DIÁRIAS'!$H$2:$M$358,MATCH($A17,'BASE METAS DIÁRIAS'!$A$2:$A$358,0),MOD(ROW()-2,6)+1),INDEX('BASE METAS DIÁRIAS'!$B$2:$G$358,MATCH($A17,'BASE METAS DIÁRIAS'!$A$2:$A$358,0),MOD(ROW()-2,6)+1),""),"")</f>
        <v/>
      </c>
      <c r="H17" s="159">
        <f>IFERROR(IF(INDEX('CONTROLE PRODUÇÃO POR EMPRESAS'!$B$6:$G$5000,MATCH($A17,'CONTROLE PRODUÇÃO POR EMPRESAS'!$A$6:$A$5000,0),MOD(ROW()-2,6)+1)="","",IFERROR(1*INDEX('CONTROLE PRODUÇÃO POR EMPRESAS'!$B$6:$G$5000,MATCH($A17,'CONTROLE PRODUÇÃO POR EMPRESAS'!$A$6:$A$5000,0),MOD(ROW()-2,6)+1),"")),"")</f>
        <v/>
      </c>
      <c r="I17" s="159">
        <f>IF(OR(NOT(ISNUMBER(G17)),NOT(ISNUMBER(H17))),"",H17-G17)</f>
        <v/>
      </c>
      <c r="J17" s="319">
        <f>IF(OR(NOT(ISNUMBER(G17)),NOT(ISNUMBER(H17)),G17=0),"",I17/G17)</f>
        <v/>
      </c>
      <c r="K17" s="319">
        <f>IF(OR(NOT(ISNUMBER(G17)),NOT(ISNUMBER(H17)),G17=0),"",H17/G17)</f>
        <v/>
      </c>
      <c r="L17">
        <f>IF(NOT(ISNUMBER(G17)),"SEM META",IF(G17=0,"SEM META",IF(NOT(ISNUMBER(H17)),"SEM APONTAMENTO",IF(H17&gt;=G17,"VERDE",IF(H17&gt;=G17*0.9,"AMARELO","VERMELHO")))))</f>
        <v/>
      </c>
      <c r="M17" s="162" t="n"/>
      <c r="N17" s="162" t="n"/>
      <c r="O17" s="162" t="n"/>
      <c r="P17" s="162" t="n"/>
      <c r="Q17" s="320" t="n"/>
      <c r="R17" s="162" t="inlineStr">
        <is>
          <t>CONTROLE PRODUÇÃO POR EMPRESAS!E8</t>
        </is>
      </c>
    </row>
    <row r="18" hidden="1" ht="28.5" customHeight="1">
      <c r="A18" s="317" t="n">
        <v>46225</v>
      </c>
      <c r="B18" t="inlineStr">
        <is>
          <t>GERAL</t>
        </is>
      </c>
      <c r="C18" t="inlineStr">
        <is>
          <t>CMM</t>
        </is>
      </c>
      <c r="D18" t="inlineStr">
        <is>
          <t>IÇAMENTO JOIST</t>
        </is>
      </c>
      <c r="F18" s="159">
        <f>IFERROR(INDEX('BASE METAS DIÁRIAS'!$N$2:$S$358,MATCH($A18,'BASE METAS DIÁRIAS'!$A$2:$A$358,0),MOD(ROW()-2,6)+1),"")</f>
        <v/>
      </c>
      <c r="G18" s="159">
        <f>IFERROR(IF(WEEKDAY($A18,2)&lt;=INDEX('BASE METAS DIÁRIAS'!$H$2:$M$358,MATCH($A18,'BASE METAS DIÁRIAS'!$A$2:$A$358,0),MOD(ROW()-2,6)+1),INDEX('BASE METAS DIÁRIAS'!$B$2:$G$358,MATCH($A18,'BASE METAS DIÁRIAS'!$A$2:$A$358,0),MOD(ROW()-2,6)+1),""),"")</f>
        <v/>
      </c>
      <c r="H18" s="159">
        <f>IFERROR(IF(INDEX('CONTROLE PRODUÇÃO POR EMPRESAS'!$B$6:$G$5000,MATCH($A18,'CONTROLE PRODUÇÃO POR EMPRESAS'!$A$6:$A$5000,0),MOD(ROW()-2,6)+1)="","",IFERROR(1*INDEX('CONTROLE PRODUÇÃO POR EMPRESAS'!$B$6:$G$5000,MATCH($A18,'CONTROLE PRODUÇÃO POR EMPRESAS'!$A$6:$A$5000,0),MOD(ROW()-2,6)+1),"")),"")</f>
        <v/>
      </c>
      <c r="I18" s="159">
        <f>IF(OR(NOT(ISNUMBER(G18)),NOT(ISNUMBER(H18))),"",H18-G18)</f>
        <v/>
      </c>
      <c r="J18" s="319">
        <f>IF(OR(NOT(ISNUMBER(G18)),NOT(ISNUMBER(H18)),G18=0),"",I18/G18)</f>
        <v/>
      </c>
      <c r="K18" s="319">
        <f>IF(OR(NOT(ISNUMBER(G18)),NOT(ISNUMBER(H18)),G18=0),"",H18/G18)</f>
        <v/>
      </c>
      <c r="L18">
        <f>IF(NOT(ISNUMBER(G18)),"SEM META",IF(G18=0,"SEM META",IF(NOT(ISNUMBER(H18)),"SEM APONTAMENTO",IF(H18&gt;=G18,"VERDE",IF(H18&gt;=G18*0.9,"AMARELO","VERMELHO")))))</f>
        <v/>
      </c>
      <c r="M18" s="162" t="n"/>
      <c r="N18" s="162" t="n"/>
      <c r="O18" s="162" t="n"/>
      <c r="P18" s="162" t="n"/>
      <c r="Q18" s="320" t="n"/>
      <c r="R18" s="162" t="inlineStr">
        <is>
          <t>CONTROLE PRODUÇÃO POR EMPRESAS!F8</t>
        </is>
      </c>
    </row>
    <row r="19" hidden="1" ht="28.5" customHeight="1">
      <c r="A19" s="317" t="n">
        <v>46225</v>
      </c>
      <c r="B19" t="inlineStr">
        <is>
          <t>GERAL</t>
        </is>
      </c>
      <c r="C19" t="inlineStr">
        <is>
          <t>CMM</t>
        </is>
      </c>
      <c r="D19" t="inlineStr">
        <is>
          <t>VIGAS</t>
        </is>
      </c>
      <c r="F19" s="159">
        <f>IFERROR(INDEX('BASE METAS DIÁRIAS'!$N$2:$S$358,MATCH($A19,'BASE METAS DIÁRIAS'!$A$2:$A$358,0),MOD(ROW()-2,6)+1),"")</f>
        <v/>
      </c>
      <c r="G19" s="159">
        <f>IFERROR(IF(WEEKDAY($A19,2)&lt;=INDEX('BASE METAS DIÁRIAS'!$H$2:$M$358,MATCH($A19,'BASE METAS DIÁRIAS'!$A$2:$A$358,0),MOD(ROW()-2,6)+1),INDEX('BASE METAS DIÁRIAS'!$B$2:$G$358,MATCH($A19,'BASE METAS DIÁRIAS'!$A$2:$A$358,0),MOD(ROW()-2,6)+1),""),"")</f>
        <v/>
      </c>
      <c r="H19" s="159">
        <f>IFERROR(IF(INDEX('CONTROLE PRODUÇÃO POR EMPRESAS'!$B$6:$G$5000,MATCH($A19,'CONTROLE PRODUÇÃO POR EMPRESAS'!$A$6:$A$5000,0),MOD(ROW()-2,6)+1)="","",IFERROR(1*INDEX('CONTROLE PRODUÇÃO POR EMPRESAS'!$B$6:$G$5000,MATCH($A19,'CONTROLE PRODUÇÃO POR EMPRESAS'!$A$6:$A$5000,0),MOD(ROW()-2,6)+1),"")),"")</f>
        <v/>
      </c>
      <c r="I19" s="159">
        <f>IF(OR(NOT(ISNUMBER(G19)),NOT(ISNUMBER(H19))),"",H19-G19)</f>
        <v/>
      </c>
      <c r="J19" s="319">
        <f>IF(OR(NOT(ISNUMBER(G19)),NOT(ISNUMBER(H19)),G19=0),"",I19/G19)</f>
        <v/>
      </c>
      <c r="K19" s="319">
        <f>IF(OR(NOT(ISNUMBER(G19)),NOT(ISNUMBER(H19)),G19=0),"",H19/G19)</f>
        <v/>
      </c>
      <c r="L19">
        <f>IF(NOT(ISNUMBER(G19)),"SEM META",IF(G19=0,"SEM META",IF(NOT(ISNUMBER(H19)),"SEM APONTAMENTO",IF(H19&gt;=G19,"VERDE",IF(H19&gt;=G19*0.9,"AMARELO","VERMELHO")))))</f>
        <v/>
      </c>
      <c r="M19" s="162" t="n"/>
      <c r="N19" s="162" t="n"/>
      <c r="O19" s="162" t="n"/>
      <c r="P19" s="162" t="n"/>
      <c r="Q19" s="320" t="n"/>
      <c r="R19" s="162" t="inlineStr">
        <is>
          <t>CONTROLE PRODUÇÃO POR EMPRESAS!G8</t>
        </is>
      </c>
    </row>
    <row r="20" hidden="1" ht="28.5" customHeight="1">
      <c r="A20" s="317" t="n">
        <v>46226</v>
      </c>
      <c r="B20" t="inlineStr">
        <is>
          <t>GERAL</t>
        </is>
      </c>
      <c r="C20" t="inlineStr">
        <is>
          <t>EJ</t>
        </is>
      </c>
      <c r="D20" t="inlineStr">
        <is>
          <t>PREMONTAGEM</t>
        </is>
      </c>
      <c r="F20" s="159">
        <f>IFERROR(INDEX('BASE METAS DIÁRIAS'!$N$2:$S$358,MATCH($A20,'BASE METAS DIÁRIAS'!$A$2:$A$358,0),MOD(ROW()-2,6)+1),"")</f>
        <v/>
      </c>
      <c r="G20" s="159">
        <f>IFERROR(IF(WEEKDAY($A20,2)&lt;=INDEX('BASE METAS DIÁRIAS'!$H$2:$M$358,MATCH($A20,'BASE METAS DIÁRIAS'!$A$2:$A$358,0),MOD(ROW()-2,6)+1),INDEX('BASE METAS DIÁRIAS'!$B$2:$G$358,MATCH($A20,'BASE METAS DIÁRIAS'!$A$2:$A$358,0),MOD(ROW()-2,6)+1),""),"")</f>
        <v/>
      </c>
      <c r="H20" s="159">
        <f>IFERROR(IF(INDEX('CONTROLE PRODUÇÃO POR EMPRESAS'!$B$6:$G$5000,MATCH($A20,'CONTROLE PRODUÇÃO POR EMPRESAS'!$A$6:$A$5000,0),MOD(ROW()-2,6)+1)="","",IFERROR(1*INDEX('CONTROLE PRODUÇÃO POR EMPRESAS'!$B$6:$G$5000,MATCH($A20,'CONTROLE PRODUÇÃO POR EMPRESAS'!$A$6:$A$5000,0),MOD(ROW()-2,6)+1),"")),"")</f>
        <v/>
      </c>
      <c r="I20" s="159">
        <f>IF(OR(NOT(ISNUMBER(G20)),NOT(ISNUMBER(H20))),"",H20-G20)</f>
        <v/>
      </c>
      <c r="J20" s="319">
        <f>IF(OR(NOT(ISNUMBER(G20)),NOT(ISNUMBER(H20)),G20=0),"",I20/G20)</f>
        <v/>
      </c>
      <c r="K20" s="319">
        <f>IF(OR(NOT(ISNUMBER(G20)),NOT(ISNUMBER(H20)),G20=0),"",H20/G20)</f>
        <v/>
      </c>
      <c r="L20">
        <f>IF(NOT(ISNUMBER(G20)),"SEM META",IF(G20=0,"SEM META",IF(NOT(ISNUMBER(H20)),"SEM APONTAMENTO",IF(H20&gt;=G20,"VERDE",IF(H20&gt;=G20*0.9,"AMARELO","VERMELHO")))))</f>
        <v/>
      </c>
      <c r="M20" s="162" t="n"/>
      <c r="N20" s="162" t="n"/>
      <c r="O20" s="162" t="n"/>
      <c r="P20" s="162" t="n"/>
      <c r="Q20" s="320" t="n"/>
      <c r="R20" s="162" t="inlineStr">
        <is>
          <t>CONTROLE PRODUÇÃO POR EMPRESAS!B9</t>
        </is>
      </c>
    </row>
    <row r="21" hidden="1" ht="28.5" customHeight="1">
      <c r="A21" s="317" t="n">
        <v>46226</v>
      </c>
      <c r="B21" t="inlineStr">
        <is>
          <t>GERAL</t>
        </is>
      </c>
      <c r="C21" t="inlineStr">
        <is>
          <t>EJ</t>
        </is>
      </c>
      <c r="D21" t="inlineStr">
        <is>
          <t>IÇAMENTO JOIST</t>
        </is>
      </c>
      <c r="F21" s="159">
        <f>IFERROR(INDEX('BASE METAS DIÁRIAS'!$N$2:$S$358,MATCH($A21,'BASE METAS DIÁRIAS'!$A$2:$A$358,0),MOD(ROW()-2,6)+1),"")</f>
        <v/>
      </c>
      <c r="G21" s="159">
        <f>IFERROR(IF(WEEKDAY($A21,2)&lt;=INDEX('BASE METAS DIÁRIAS'!$H$2:$M$358,MATCH($A21,'BASE METAS DIÁRIAS'!$A$2:$A$358,0),MOD(ROW()-2,6)+1),INDEX('BASE METAS DIÁRIAS'!$B$2:$G$358,MATCH($A21,'BASE METAS DIÁRIAS'!$A$2:$A$358,0),MOD(ROW()-2,6)+1),""),"")</f>
        <v/>
      </c>
      <c r="H21" s="159">
        <f>IFERROR(IF(INDEX('CONTROLE PRODUÇÃO POR EMPRESAS'!$B$6:$G$5000,MATCH($A21,'CONTROLE PRODUÇÃO POR EMPRESAS'!$A$6:$A$5000,0),MOD(ROW()-2,6)+1)="","",IFERROR(1*INDEX('CONTROLE PRODUÇÃO POR EMPRESAS'!$B$6:$G$5000,MATCH($A21,'CONTROLE PRODUÇÃO POR EMPRESAS'!$A$6:$A$5000,0),MOD(ROW()-2,6)+1),"")),"")</f>
        <v/>
      </c>
      <c r="I21" s="159">
        <f>IF(OR(NOT(ISNUMBER(G21)),NOT(ISNUMBER(H21))),"",H21-G21)</f>
        <v/>
      </c>
      <c r="J21" s="319">
        <f>IF(OR(NOT(ISNUMBER(G21)),NOT(ISNUMBER(H21)),G21=0),"",I21/G21)</f>
        <v/>
      </c>
      <c r="K21" s="319">
        <f>IF(OR(NOT(ISNUMBER(G21)),NOT(ISNUMBER(H21)),G21=0),"",H21/G21)</f>
        <v/>
      </c>
      <c r="L21">
        <f>IF(NOT(ISNUMBER(G21)),"SEM META",IF(G21=0,"SEM META",IF(NOT(ISNUMBER(H21)),"SEM APONTAMENTO",IF(H21&gt;=G21,"VERDE",IF(H21&gt;=G21*0.9,"AMARELO","VERMELHO")))))</f>
        <v/>
      </c>
      <c r="M21" s="162" t="n"/>
      <c r="N21" s="162" t="n"/>
      <c r="O21" s="162" t="n"/>
      <c r="P21" s="162" t="n"/>
      <c r="Q21" s="320" t="n"/>
      <c r="R21" s="162" t="inlineStr">
        <is>
          <t>CONTROLE PRODUÇÃO POR EMPRESAS!C9</t>
        </is>
      </c>
    </row>
    <row r="22" hidden="1" ht="28.5" customHeight="1">
      <c r="A22" s="317" t="n">
        <v>46226</v>
      </c>
      <c r="B22" t="inlineStr">
        <is>
          <t>GERAL</t>
        </is>
      </c>
      <c r="C22" t="inlineStr">
        <is>
          <t>EJ</t>
        </is>
      </c>
      <c r="D22" t="inlineStr">
        <is>
          <t>VIGAS</t>
        </is>
      </c>
      <c r="F22" s="159">
        <f>IFERROR(INDEX('BASE METAS DIÁRIAS'!$N$2:$S$358,MATCH($A22,'BASE METAS DIÁRIAS'!$A$2:$A$358,0),MOD(ROW()-2,6)+1),"")</f>
        <v/>
      </c>
      <c r="G22" s="159">
        <f>IFERROR(IF(WEEKDAY($A22,2)&lt;=INDEX('BASE METAS DIÁRIAS'!$H$2:$M$358,MATCH($A22,'BASE METAS DIÁRIAS'!$A$2:$A$358,0),MOD(ROW()-2,6)+1),INDEX('BASE METAS DIÁRIAS'!$B$2:$G$358,MATCH($A22,'BASE METAS DIÁRIAS'!$A$2:$A$358,0),MOD(ROW()-2,6)+1),""),"")</f>
        <v/>
      </c>
      <c r="H22" s="159">
        <f>IFERROR(IF(INDEX('CONTROLE PRODUÇÃO POR EMPRESAS'!$B$6:$G$5000,MATCH($A22,'CONTROLE PRODUÇÃO POR EMPRESAS'!$A$6:$A$5000,0),MOD(ROW()-2,6)+1)="","",IFERROR(1*INDEX('CONTROLE PRODUÇÃO POR EMPRESAS'!$B$6:$G$5000,MATCH($A22,'CONTROLE PRODUÇÃO POR EMPRESAS'!$A$6:$A$5000,0),MOD(ROW()-2,6)+1),"")),"")</f>
        <v/>
      </c>
      <c r="I22" s="159">
        <f>IF(OR(NOT(ISNUMBER(G22)),NOT(ISNUMBER(H22))),"",H22-G22)</f>
        <v/>
      </c>
      <c r="J22" s="319">
        <f>IF(OR(NOT(ISNUMBER(G22)),NOT(ISNUMBER(H22)),G22=0),"",I22/G22)</f>
        <v/>
      </c>
      <c r="K22" s="319">
        <f>IF(OR(NOT(ISNUMBER(G22)),NOT(ISNUMBER(H22)),G22=0),"",H22/G22)</f>
        <v/>
      </c>
      <c r="L22">
        <f>IF(NOT(ISNUMBER(G22)),"SEM META",IF(G22=0,"SEM META",IF(NOT(ISNUMBER(H22)),"SEM APONTAMENTO",IF(H22&gt;=G22,"VERDE",IF(H22&gt;=G22*0.9,"AMARELO","VERMELHO")))))</f>
        <v/>
      </c>
      <c r="M22" s="162" t="n"/>
      <c r="N22" s="162" t="n"/>
      <c r="O22" s="162" t="n"/>
      <c r="P22" s="162" t="n"/>
      <c r="Q22" s="320" t="n"/>
      <c r="R22" s="162" t="inlineStr">
        <is>
          <t>CONTROLE PRODUÇÃO POR EMPRESAS!D9</t>
        </is>
      </c>
    </row>
    <row r="23" hidden="1" ht="28.5" customHeight="1">
      <c r="A23" s="317" t="n">
        <v>46226</v>
      </c>
      <c r="B23" t="inlineStr">
        <is>
          <t>GERAL</t>
        </is>
      </c>
      <c r="C23" t="inlineStr">
        <is>
          <t>CMM</t>
        </is>
      </c>
      <c r="D23" t="inlineStr">
        <is>
          <t>PREMONTAGEM</t>
        </is>
      </c>
      <c r="F23" s="159">
        <f>IFERROR(INDEX('BASE METAS DIÁRIAS'!$N$2:$S$358,MATCH($A23,'BASE METAS DIÁRIAS'!$A$2:$A$358,0),MOD(ROW()-2,6)+1),"")</f>
        <v/>
      </c>
      <c r="G23" s="159">
        <f>IFERROR(IF(WEEKDAY($A23,2)&lt;=INDEX('BASE METAS DIÁRIAS'!$H$2:$M$358,MATCH($A23,'BASE METAS DIÁRIAS'!$A$2:$A$358,0),MOD(ROW()-2,6)+1),INDEX('BASE METAS DIÁRIAS'!$B$2:$G$358,MATCH($A23,'BASE METAS DIÁRIAS'!$A$2:$A$358,0),MOD(ROW()-2,6)+1),""),"")</f>
        <v/>
      </c>
      <c r="H23" s="159">
        <f>IFERROR(IF(INDEX('CONTROLE PRODUÇÃO POR EMPRESAS'!$B$6:$G$5000,MATCH($A23,'CONTROLE PRODUÇÃO POR EMPRESAS'!$A$6:$A$5000,0),MOD(ROW()-2,6)+1)="","",IFERROR(1*INDEX('CONTROLE PRODUÇÃO POR EMPRESAS'!$B$6:$G$5000,MATCH($A23,'CONTROLE PRODUÇÃO POR EMPRESAS'!$A$6:$A$5000,0),MOD(ROW()-2,6)+1),"")),"")</f>
        <v/>
      </c>
      <c r="I23" s="159">
        <f>IF(OR(NOT(ISNUMBER(G23)),NOT(ISNUMBER(H23))),"",H23-G23)</f>
        <v/>
      </c>
      <c r="J23" s="319">
        <f>IF(OR(NOT(ISNUMBER(G23)),NOT(ISNUMBER(H23)),G23=0),"",I23/G23)</f>
        <v/>
      </c>
      <c r="K23" s="319">
        <f>IF(OR(NOT(ISNUMBER(G23)),NOT(ISNUMBER(H23)),G23=0),"",H23/G23)</f>
        <v/>
      </c>
      <c r="L23">
        <f>IF(NOT(ISNUMBER(G23)),"SEM META",IF(G23=0,"SEM META",IF(NOT(ISNUMBER(H23)),"SEM APONTAMENTO",IF(H23&gt;=G23,"VERDE",IF(H23&gt;=G23*0.9,"AMARELO","VERMELHO")))))</f>
        <v/>
      </c>
      <c r="M23" s="162" t="n"/>
      <c r="N23" s="162" t="n"/>
      <c r="O23" s="162" t="n"/>
      <c r="P23" s="162" t="n"/>
      <c r="Q23" s="320" t="n"/>
      <c r="R23" s="162" t="inlineStr">
        <is>
          <t>CONTROLE PRODUÇÃO POR EMPRESAS!E9</t>
        </is>
      </c>
    </row>
    <row r="24" hidden="1" ht="28.5" customHeight="1">
      <c r="A24" s="317" t="n">
        <v>46226</v>
      </c>
      <c r="B24" t="inlineStr">
        <is>
          <t>GERAL</t>
        </is>
      </c>
      <c r="C24" t="inlineStr">
        <is>
          <t>CMM</t>
        </is>
      </c>
      <c r="D24" t="inlineStr">
        <is>
          <t>IÇAMENTO JOIST</t>
        </is>
      </c>
      <c r="F24" s="159">
        <f>IFERROR(INDEX('BASE METAS DIÁRIAS'!$N$2:$S$358,MATCH($A24,'BASE METAS DIÁRIAS'!$A$2:$A$358,0),MOD(ROW()-2,6)+1),"")</f>
        <v/>
      </c>
      <c r="G24" s="159">
        <f>IFERROR(IF(WEEKDAY($A24,2)&lt;=INDEX('BASE METAS DIÁRIAS'!$H$2:$M$358,MATCH($A24,'BASE METAS DIÁRIAS'!$A$2:$A$358,0),MOD(ROW()-2,6)+1),INDEX('BASE METAS DIÁRIAS'!$B$2:$G$358,MATCH($A24,'BASE METAS DIÁRIAS'!$A$2:$A$358,0),MOD(ROW()-2,6)+1),""),"")</f>
        <v/>
      </c>
      <c r="H24" s="159">
        <f>IFERROR(IF(INDEX('CONTROLE PRODUÇÃO POR EMPRESAS'!$B$6:$G$5000,MATCH($A24,'CONTROLE PRODUÇÃO POR EMPRESAS'!$A$6:$A$5000,0),MOD(ROW()-2,6)+1)="","",IFERROR(1*INDEX('CONTROLE PRODUÇÃO POR EMPRESAS'!$B$6:$G$5000,MATCH($A24,'CONTROLE PRODUÇÃO POR EMPRESAS'!$A$6:$A$5000,0),MOD(ROW()-2,6)+1),"")),"")</f>
        <v/>
      </c>
      <c r="I24" s="159">
        <f>IF(OR(NOT(ISNUMBER(G24)),NOT(ISNUMBER(H24))),"",H24-G24)</f>
        <v/>
      </c>
      <c r="J24" s="319">
        <f>IF(OR(NOT(ISNUMBER(G24)),NOT(ISNUMBER(H24)),G24=0),"",I24/G24)</f>
        <v/>
      </c>
      <c r="K24" s="319">
        <f>IF(OR(NOT(ISNUMBER(G24)),NOT(ISNUMBER(H24)),G24=0),"",H24/G24)</f>
        <v/>
      </c>
      <c r="L24">
        <f>IF(NOT(ISNUMBER(G24)),"SEM META",IF(G24=0,"SEM META",IF(NOT(ISNUMBER(H24)),"SEM APONTAMENTO",IF(H24&gt;=G24,"VERDE",IF(H24&gt;=G24*0.9,"AMARELO","VERMELHO")))))</f>
        <v/>
      </c>
      <c r="M24" s="162" t="n"/>
      <c r="N24" s="162" t="n"/>
      <c r="O24" s="162" t="n"/>
      <c r="P24" s="162" t="n"/>
      <c r="Q24" s="320" t="n"/>
      <c r="R24" s="162" t="inlineStr">
        <is>
          <t>CONTROLE PRODUÇÃO POR EMPRESAS!F9</t>
        </is>
      </c>
    </row>
    <row r="25" hidden="1" ht="28.5" customHeight="1">
      <c r="A25" s="317" t="n">
        <v>46226</v>
      </c>
      <c r="B25" t="inlineStr">
        <is>
          <t>GERAL</t>
        </is>
      </c>
      <c r="C25" t="inlineStr">
        <is>
          <t>CMM</t>
        </is>
      </c>
      <c r="D25" t="inlineStr">
        <is>
          <t>VIGAS</t>
        </is>
      </c>
      <c r="F25" s="159">
        <f>IFERROR(INDEX('BASE METAS DIÁRIAS'!$N$2:$S$358,MATCH($A25,'BASE METAS DIÁRIAS'!$A$2:$A$358,0),MOD(ROW()-2,6)+1),"")</f>
        <v/>
      </c>
      <c r="G25" s="159">
        <f>IFERROR(IF(WEEKDAY($A25,2)&lt;=INDEX('BASE METAS DIÁRIAS'!$H$2:$M$358,MATCH($A25,'BASE METAS DIÁRIAS'!$A$2:$A$358,0),MOD(ROW()-2,6)+1),INDEX('BASE METAS DIÁRIAS'!$B$2:$G$358,MATCH($A25,'BASE METAS DIÁRIAS'!$A$2:$A$358,0),MOD(ROW()-2,6)+1),""),"")</f>
        <v/>
      </c>
      <c r="H25" s="159">
        <f>IFERROR(IF(INDEX('CONTROLE PRODUÇÃO POR EMPRESAS'!$B$6:$G$5000,MATCH($A25,'CONTROLE PRODUÇÃO POR EMPRESAS'!$A$6:$A$5000,0),MOD(ROW()-2,6)+1)="","",IFERROR(1*INDEX('CONTROLE PRODUÇÃO POR EMPRESAS'!$B$6:$G$5000,MATCH($A25,'CONTROLE PRODUÇÃO POR EMPRESAS'!$A$6:$A$5000,0),MOD(ROW()-2,6)+1),"")),"")</f>
        <v/>
      </c>
      <c r="I25" s="159">
        <f>IF(OR(NOT(ISNUMBER(G25)),NOT(ISNUMBER(H25))),"",H25-G25)</f>
        <v/>
      </c>
      <c r="J25" s="319">
        <f>IF(OR(NOT(ISNUMBER(G25)),NOT(ISNUMBER(H25)),G25=0),"",I25/G25)</f>
        <v/>
      </c>
      <c r="K25" s="319">
        <f>IF(OR(NOT(ISNUMBER(G25)),NOT(ISNUMBER(H25)),G25=0),"",H25/G25)</f>
        <v/>
      </c>
      <c r="L25">
        <f>IF(NOT(ISNUMBER(G25)),"SEM META",IF(G25=0,"SEM META",IF(NOT(ISNUMBER(H25)),"SEM APONTAMENTO",IF(H25&gt;=G25,"VERDE",IF(H25&gt;=G25*0.9,"AMARELO","VERMELHO")))))</f>
        <v/>
      </c>
      <c r="M25" s="162" t="n"/>
      <c r="N25" s="162" t="n"/>
      <c r="O25" s="162" t="n"/>
      <c r="P25" s="162" t="n"/>
      <c r="Q25" s="320" t="n"/>
      <c r="R25" s="162" t="inlineStr">
        <is>
          <t>CONTROLE PRODUÇÃO POR EMPRESAS!G9</t>
        </is>
      </c>
    </row>
    <row r="26" hidden="1" ht="28.5" customHeight="1">
      <c r="A26" s="317" t="n">
        <v>46227</v>
      </c>
      <c r="B26" t="inlineStr">
        <is>
          <t>GERAL</t>
        </is>
      </c>
      <c r="C26" t="inlineStr">
        <is>
          <t>EJ</t>
        </is>
      </c>
      <c r="D26" t="inlineStr">
        <is>
          <t>PREMONTAGEM</t>
        </is>
      </c>
      <c r="F26" s="159">
        <f>IFERROR(INDEX('BASE METAS DIÁRIAS'!$N$2:$S$358,MATCH($A26,'BASE METAS DIÁRIAS'!$A$2:$A$358,0),MOD(ROW()-2,6)+1),"")</f>
        <v/>
      </c>
      <c r="G26" s="159">
        <f>IFERROR(IF(WEEKDAY($A26,2)&lt;=INDEX('BASE METAS DIÁRIAS'!$H$2:$M$358,MATCH($A26,'BASE METAS DIÁRIAS'!$A$2:$A$358,0),MOD(ROW()-2,6)+1),INDEX('BASE METAS DIÁRIAS'!$B$2:$G$358,MATCH($A26,'BASE METAS DIÁRIAS'!$A$2:$A$358,0),MOD(ROW()-2,6)+1),""),"")</f>
        <v/>
      </c>
      <c r="H26" s="159">
        <f>IFERROR(IF(INDEX('CONTROLE PRODUÇÃO POR EMPRESAS'!$B$6:$G$5000,MATCH($A26,'CONTROLE PRODUÇÃO POR EMPRESAS'!$A$6:$A$5000,0),MOD(ROW()-2,6)+1)="","",IFERROR(1*INDEX('CONTROLE PRODUÇÃO POR EMPRESAS'!$B$6:$G$5000,MATCH($A26,'CONTROLE PRODUÇÃO POR EMPRESAS'!$A$6:$A$5000,0),MOD(ROW()-2,6)+1),"")),"")</f>
        <v/>
      </c>
      <c r="I26" s="159">
        <f>IF(OR(NOT(ISNUMBER(G26)),NOT(ISNUMBER(H26))),"",H26-G26)</f>
        <v/>
      </c>
      <c r="J26" s="319">
        <f>IF(OR(NOT(ISNUMBER(G26)),NOT(ISNUMBER(H26)),G26=0),"",I26/G26)</f>
        <v/>
      </c>
      <c r="K26" s="319">
        <f>IF(OR(NOT(ISNUMBER(G26)),NOT(ISNUMBER(H26)),G26=0),"",H26/G26)</f>
        <v/>
      </c>
      <c r="L26">
        <f>IF(NOT(ISNUMBER(G26)),"SEM META",IF(G26=0,"SEM META",IF(NOT(ISNUMBER(H26)),"SEM APONTAMENTO",IF(H26&gt;=G26,"VERDE",IF(H26&gt;=G26*0.9,"AMARELO","VERMELHO")))))</f>
        <v/>
      </c>
      <c r="M26" s="162" t="n"/>
      <c r="N26" s="162" t="n"/>
      <c r="O26" s="162" t="n"/>
      <c r="P26" s="162" t="n"/>
      <c r="Q26" s="320" t="n"/>
      <c r="R26" s="162" t="inlineStr">
        <is>
          <t>CONTROLE PRODUÇÃO POR EMPRESAS!B10</t>
        </is>
      </c>
    </row>
    <row r="27" hidden="1" ht="28.5" customHeight="1">
      <c r="A27" s="317" t="n">
        <v>46227</v>
      </c>
      <c r="B27" t="inlineStr">
        <is>
          <t>GERAL</t>
        </is>
      </c>
      <c r="C27" t="inlineStr">
        <is>
          <t>EJ</t>
        </is>
      </c>
      <c r="D27" t="inlineStr">
        <is>
          <t>IÇAMENTO JOIST</t>
        </is>
      </c>
      <c r="F27" s="159">
        <f>IFERROR(INDEX('BASE METAS DIÁRIAS'!$N$2:$S$358,MATCH($A27,'BASE METAS DIÁRIAS'!$A$2:$A$358,0),MOD(ROW()-2,6)+1),"")</f>
        <v/>
      </c>
      <c r="G27" s="159">
        <f>IFERROR(IF(WEEKDAY($A27,2)&lt;=INDEX('BASE METAS DIÁRIAS'!$H$2:$M$358,MATCH($A27,'BASE METAS DIÁRIAS'!$A$2:$A$358,0),MOD(ROW()-2,6)+1),INDEX('BASE METAS DIÁRIAS'!$B$2:$G$358,MATCH($A27,'BASE METAS DIÁRIAS'!$A$2:$A$358,0),MOD(ROW()-2,6)+1),""),"")</f>
        <v/>
      </c>
      <c r="H27" s="159">
        <f>IFERROR(IF(INDEX('CONTROLE PRODUÇÃO POR EMPRESAS'!$B$6:$G$5000,MATCH($A27,'CONTROLE PRODUÇÃO POR EMPRESAS'!$A$6:$A$5000,0),MOD(ROW()-2,6)+1)="","",IFERROR(1*INDEX('CONTROLE PRODUÇÃO POR EMPRESAS'!$B$6:$G$5000,MATCH($A27,'CONTROLE PRODUÇÃO POR EMPRESAS'!$A$6:$A$5000,0),MOD(ROW()-2,6)+1),"")),"")</f>
        <v/>
      </c>
      <c r="I27" s="159">
        <f>IF(OR(NOT(ISNUMBER(G27)),NOT(ISNUMBER(H27))),"",H27-G27)</f>
        <v/>
      </c>
      <c r="J27" s="319">
        <f>IF(OR(NOT(ISNUMBER(G27)),NOT(ISNUMBER(H27)),G27=0),"",I27/G27)</f>
        <v/>
      </c>
      <c r="K27" s="319">
        <f>IF(OR(NOT(ISNUMBER(G27)),NOT(ISNUMBER(H27)),G27=0),"",H27/G27)</f>
        <v/>
      </c>
      <c r="L27">
        <f>IF(NOT(ISNUMBER(G27)),"SEM META",IF(G27=0,"SEM META",IF(NOT(ISNUMBER(H27)),"SEM APONTAMENTO",IF(H27&gt;=G27,"VERDE",IF(H27&gt;=G27*0.9,"AMARELO","VERMELHO")))))</f>
        <v/>
      </c>
      <c r="M27" s="162" t="n"/>
      <c r="N27" s="162" t="n"/>
      <c r="O27" s="162" t="n"/>
      <c r="P27" s="162" t="n"/>
      <c r="Q27" s="320" t="n"/>
      <c r="R27" s="162" t="inlineStr">
        <is>
          <t>CONTROLE PRODUÇÃO POR EMPRESAS!C10</t>
        </is>
      </c>
    </row>
    <row r="28" hidden="1" ht="28.5" customHeight="1">
      <c r="A28" s="317" t="n">
        <v>46227</v>
      </c>
      <c r="B28" t="inlineStr">
        <is>
          <t>GERAL</t>
        </is>
      </c>
      <c r="C28" t="inlineStr">
        <is>
          <t>EJ</t>
        </is>
      </c>
      <c r="D28" t="inlineStr">
        <is>
          <t>VIGAS</t>
        </is>
      </c>
      <c r="F28" s="159">
        <f>IFERROR(INDEX('BASE METAS DIÁRIAS'!$N$2:$S$358,MATCH($A28,'BASE METAS DIÁRIAS'!$A$2:$A$358,0),MOD(ROW()-2,6)+1),"")</f>
        <v/>
      </c>
      <c r="G28" s="159">
        <f>IFERROR(IF(WEEKDAY($A28,2)&lt;=INDEX('BASE METAS DIÁRIAS'!$H$2:$M$358,MATCH($A28,'BASE METAS DIÁRIAS'!$A$2:$A$358,0),MOD(ROW()-2,6)+1),INDEX('BASE METAS DIÁRIAS'!$B$2:$G$358,MATCH($A28,'BASE METAS DIÁRIAS'!$A$2:$A$358,0),MOD(ROW()-2,6)+1),""),"")</f>
        <v/>
      </c>
      <c r="H28" s="159">
        <f>IFERROR(IF(INDEX('CONTROLE PRODUÇÃO POR EMPRESAS'!$B$6:$G$5000,MATCH($A28,'CONTROLE PRODUÇÃO POR EMPRESAS'!$A$6:$A$5000,0),MOD(ROW()-2,6)+1)="","",IFERROR(1*INDEX('CONTROLE PRODUÇÃO POR EMPRESAS'!$B$6:$G$5000,MATCH($A28,'CONTROLE PRODUÇÃO POR EMPRESAS'!$A$6:$A$5000,0),MOD(ROW()-2,6)+1),"")),"")</f>
        <v/>
      </c>
      <c r="I28" s="159">
        <f>IF(OR(NOT(ISNUMBER(G28)),NOT(ISNUMBER(H28))),"",H28-G28)</f>
        <v/>
      </c>
      <c r="J28" s="319">
        <f>IF(OR(NOT(ISNUMBER(G28)),NOT(ISNUMBER(H28)),G28=0),"",I28/G28)</f>
        <v/>
      </c>
      <c r="K28" s="319">
        <f>IF(OR(NOT(ISNUMBER(G28)),NOT(ISNUMBER(H28)),G28=0),"",H28/G28)</f>
        <v/>
      </c>
      <c r="L28">
        <f>IF(NOT(ISNUMBER(G28)),"SEM META",IF(G28=0,"SEM META",IF(NOT(ISNUMBER(H28)),"SEM APONTAMENTO",IF(H28&gt;=G28,"VERDE",IF(H28&gt;=G28*0.9,"AMARELO","VERMELHO")))))</f>
        <v/>
      </c>
      <c r="M28" s="162" t="n"/>
      <c r="N28" s="162" t="n"/>
      <c r="O28" s="162" t="n"/>
      <c r="P28" s="162" t="n"/>
      <c r="Q28" s="320" t="n"/>
      <c r="R28" s="162" t="inlineStr">
        <is>
          <t>CONTROLE PRODUÇÃO POR EMPRESAS!D10</t>
        </is>
      </c>
    </row>
    <row r="29" hidden="1" ht="28.5" customHeight="1">
      <c r="A29" s="317" t="n">
        <v>46227</v>
      </c>
      <c r="B29" t="inlineStr">
        <is>
          <t>GERAL</t>
        </is>
      </c>
      <c r="C29" t="inlineStr">
        <is>
          <t>CMM</t>
        </is>
      </c>
      <c r="D29" t="inlineStr">
        <is>
          <t>PREMONTAGEM</t>
        </is>
      </c>
      <c r="F29" s="159">
        <f>IFERROR(INDEX('BASE METAS DIÁRIAS'!$N$2:$S$358,MATCH($A29,'BASE METAS DIÁRIAS'!$A$2:$A$358,0),MOD(ROW()-2,6)+1),"")</f>
        <v/>
      </c>
      <c r="G29" s="159">
        <f>IFERROR(IF(WEEKDAY($A29,2)&lt;=INDEX('BASE METAS DIÁRIAS'!$H$2:$M$358,MATCH($A29,'BASE METAS DIÁRIAS'!$A$2:$A$358,0),MOD(ROW()-2,6)+1),INDEX('BASE METAS DIÁRIAS'!$B$2:$G$358,MATCH($A29,'BASE METAS DIÁRIAS'!$A$2:$A$358,0),MOD(ROW()-2,6)+1),""),"")</f>
        <v/>
      </c>
      <c r="H29" s="159">
        <f>IFERROR(IF(INDEX('CONTROLE PRODUÇÃO POR EMPRESAS'!$B$6:$G$5000,MATCH($A29,'CONTROLE PRODUÇÃO POR EMPRESAS'!$A$6:$A$5000,0),MOD(ROW()-2,6)+1)="","",IFERROR(1*INDEX('CONTROLE PRODUÇÃO POR EMPRESAS'!$B$6:$G$5000,MATCH($A29,'CONTROLE PRODUÇÃO POR EMPRESAS'!$A$6:$A$5000,0),MOD(ROW()-2,6)+1),"")),"")</f>
        <v/>
      </c>
      <c r="I29" s="159">
        <f>IF(OR(NOT(ISNUMBER(G29)),NOT(ISNUMBER(H29))),"",H29-G29)</f>
        <v/>
      </c>
      <c r="J29" s="319">
        <f>IF(OR(NOT(ISNUMBER(G29)),NOT(ISNUMBER(H29)),G29=0),"",I29/G29)</f>
        <v/>
      </c>
      <c r="K29" s="319">
        <f>IF(OR(NOT(ISNUMBER(G29)),NOT(ISNUMBER(H29)),G29=0),"",H29/G29)</f>
        <v/>
      </c>
      <c r="L29">
        <f>IF(NOT(ISNUMBER(G29)),"SEM META",IF(G29=0,"SEM META",IF(NOT(ISNUMBER(H29)),"SEM APONTAMENTO",IF(H29&gt;=G29,"VERDE",IF(H29&gt;=G29*0.9,"AMARELO","VERMELHO")))))</f>
        <v/>
      </c>
      <c r="M29" s="162" t="n"/>
      <c r="N29" s="162" t="n"/>
      <c r="O29" s="162" t="n"/>
      <c r="P29" s="162" t="n"/>
      <c r="Q29" s="320" t="n"/>
      <c r="R29" s="162" t="inlineStr">
        <is>
          <t>CONTROLE PRODUÇÃO POR EMPRESAS!E10</t>
        </is>
      </c>
    </row>
    <row r="30" hidden="1" ht="28.5" customHeight="1">
      <c r="A30" s="317" t="n">
        <v>46227</v>
      </c>
      <c r="B30" t="inlineStr">
        <is>
          <t>GERAL</t>
        </is>
      </c>
      <c r="C30" t="inlineStr">
        <is>
          <t>CMM</t>
        </is>
      </c>
      <c r="D30" t="inlineStr">
        <is>
          <t>IÇAMENTO JOIST</t>
        </is>
      </c>
      <c r="F30" s="159">
        <f>IFERROR(INDEX('BASE METAS DIÁRIAS'!$N$2:$S$358,MATCH($A30,'BASE METAS DIÁRIAS'!$A$2:$A$358,0),MOD(ROW()-2,6)+1),"")</f>
        <v/>
      </c>
      <c r="G30" s="159">
        <f>IFERROR(IF(WEEKDAY($A30,2)&lt;=INDEX('BASE METAS DIÁRIAS'!$H$2:$M$358,MATCH($A30,'BASE METAS DIÁRIAS'!$A$2:$A$358,0),MOD(ROW()-2,6)+1),INDEX('BASE METAS DIÁRIAS'!$B$2:$G$358,MATCH($A30,'BASE METAS DIÁRIAS'!$A$2:$A$358,0),MOD(ROW()-2,6)+1),""),"")</f>
        <v/>
      </c>
      <c r="H30" s="159">
        <f>IFERROR(IF(INDEX('CONTROLE PRODUÇÃO POR EMPRESAS'!$B$6:$G$5000,MATCH($A30,'CONTROLE PRODUÇÃO POR EMPRESAS'!$A$6:$A$5000,0),MOD(ROW()-2,6)+1)="","",IFERROR(1*INDEX('CONTROLE PRODUÇÃO POR EMPRESAS'!$B$6:$G$5000,MATCH($A30,'CONTROLE PRODUÇÃO POR EMPRESAS'!$A$6:$A$5000,0),MOD(ROW()-2,6)+1),"")),"")</f>
        <v/>
      </c>
      <c r="I30" s="159">
        <f>IF(OR(NOT(ISNUMBER(G30)),NOT(ISNUMBER(H30))),"",H30-G30)</f>
        <v/>
      </c>
      <c r="J30" s="319">
        <f>IF(OR(NOT(ISNUMBER(G30)),NOT(ISNUMBER(H30)),G30=0),"",I30/G30)</f>
        <v/>
      </c>
      <c r="K30" s="319">
        <f>IF(OR(NOT(ISNUMBER(G30)),NOT(ISNUMBER(H30)),G30=0),"",H30/G30)</f>
        <v/>
      </c>
      <c r="L30">
        <f>IF(NOT(ISNUMBER(G30)),"SEM META",IF(G30=0,"SEM META",IF(NOT(ISNUMBER(H30)),"SEM APONTAMENTO",IF(H30&gt;=G30,"VERDE",IF(H30&gt;=G30*0.9,"AMARELO","VERMELHO")))))</f>
        <v/>
      </c>
      <c r="M30" s="162" t="n"/>
      <c r="N30" s="162" t="n"/>
      <c r="O30" s="162" t="n"/>
      <c r="P30" s="162" t="n"/>
      <c r="Q30" s="320" t="n"/>
      <c r="R30" s="162" t="inlineStr">
        <is>
          <t>CONTROLE PRODUÇÃO POR EMPRESAS!F10</t>
        </is>
      </c>
    </row>
    <row r="31" hidden="1" ht="28.5" customHeight="1">
      <c r="A31" s="317" t="n">
        <v>46227</v>
      </c>
      <c r="B31" t="inlineStr">
        <is>
          <t>GERAL</t>
        </is>
      </c>
      <c r="C31" t="inlineStr">
        <is>
          <t>CMM</t>
        </is>
      </c>
      <c r="D31" t="inlineStr">
        <is>
          <t>VIGAS</t>
        </is>
      </c>
      <c r="F31" s="159">
        <f>IFERROR(INDEX('BASE METAS DIÁRIAS'!$N$2:$S$358,MATCH($A31,'BASE METAS DIÁRIAS'!$A$2:$A$358,0),MOD(ROW()-2,6)+1),"")</f>
        <v/>
      </c>
      <c r="G31" s="159">
        <f>IFERROR(IF(WEEKDAY($A31,2)&lt;=INDEX('BASE METAS DIÁRIAS'!$H$2:$M$358,MATCH($A31,'BASE METAS DIÁRIAS'!$A$2:$A$358,0),MOD(ROW()-2,6)+1),INDEX('BASE METAS DIÁRIAS'!$B$2:$G$358,MATCH($A31,'BASE METAS DIÁRIAS'!$A$2:$A$358,0),MOD(ROW()-2,6)+1),""),"")</f>
        <v/>
      </c>
      <c r="H31" s="159">
        <f>IFERROR(IF(INDEX('CONTROLE PRODUÇÃO POR EMPRESAS'!$B$6:$G$5000,MATCH($A31,'CONTROLE PRODUÇÃO POR EMPRESAS'!$A$6:$A$5000,0),MOD(ROW()-2,6)+1)="","",IFERROR(1*INDEX('CONTROLE PRODUÇÃO POR EMPRESAS'!$B$6:$G$5000,MATCH($A31,'CONTROLE PRODUÇÃO POR EMPRESAS'!$A$6:$A$5000,0),MOD(ROW()-2,6)+1),"")),"")</f>
        <v/>
      </c>
      <c r="I31" s="159">
        <f>IF(OR(NOT(ISNUMBER(G31)),NOT(ISNUMBER(H31))),"",H31-G31)</f>
        <v/>
      </c>
      <c r="J31" s="319">
        <f>IF(OR(NOT(ISNUMBER(G31)),NOT(ISNUMBER(H31)),G31=0),"",I31/G31)</f>
        <v/>
      </c>
      <c r="K31" s="319">
        <f>IF(OR(NOT(ISNUMBER(G31)),NOT(ISNUMBER(H31)),G31=0),"",H31/G31)</f>
        <v/>
      </c>
      <c r="L31">
        <f>IF(NOT(ISNUMBER(G31)),"SEM META",IF(G31=0,"SEM META",IF(NOT(ISNUMBER(H31)),"SEM APONTAMENTO",IF(H31&gt;=G31,"VERDE",IF(H31&gt;=G31*0.9,"AMARELO","VERMELHO")))))</f>
        <v/>
      </c>
      <c r="M31" s="162" t="n"/>
      <c r="N31" s="162" t="n"/>
      <c r="O31" s="162" t="n"/>
      <c r="P31" s="162" t="n"/>
      <c r="Q31" s="320" t="n"/>
      <c r="R31" s="162" t="inlineStr">
        <is>
          <t>CONTROLE PRODUÇÃO POR EMPRESAS!G10</t>
        </is>
      </c>
    </row>
    <row r="32" hidden="1" ht="28.5" customHeight="1">
      <c r="A32" s="317" t="n">
        <v>46228</v>
      </c>
      <c r="B32" t="inlineStr">
        <is>
          <t>GERAL</t>
        </is>
      </c>
      <c r="C32" t="inlineStr">
        <is>
          <t>EJ</t>
        </is>
      </c>
      <c r="D32" t="inlineStr">
        <is>
          <t>PREMONTAGEM</t>
        </is>
      </c>
      <c r="F32" s="159">
        <f>IFERROR(INDEX('BASE METAS DIÁRIAS'!$N$2:$S$358,MATCH($A32,'BASE METAS DIÁRIAS'!$A$2:$A$358,0),MOD(ROW()-2,6)+1),"")</f>
        <v/>
      </c>
      <c r="G32" s="159">
        <f>IFERROR(IF(WEEKDAY($A32,2)&lt;=INDEX('BASE METAS DIÁRIAS'!$H$2:$M$358,MATCH($A32,'BASE METAS DIÁRIAS'!$A$2:$A$358,0),MOD(ROW()-2,6)+1),INDEX('BASE METAS DIÁRIAS'!$B$2:$G$358,MATCH($A32,'BASE METAS DIÁRIAS'!$A$2:$A$358,0),MOD(ROW()-2,6)+1),""),"")</f>
        <v/>
      </c>
      <c r="H32" s="159">
        <f>IFERROR(IF(INDEX('CONTROLE PRODUÇÃO POR EMPRESAS'!$B$6:$G$5000,MATCH($A32,'CONTROLE PRODUÇÃO POR EMPRESAS'!$A$6:$A$5000,0),MOD(ROW()-2,6)+1)="","",IFERROR(1*INDEX('CONTROLE PRODUÇÃO POR EMPRESAS'!$B$6:$G$5000,MATCH($A32,'CONTROLE PRODUÇÃO POR EMPRESAS'!$A$6:$A$5000,0),MOD(ROW()-2,6)+1),"")),"")</f>
        <v/>
      </c>
      <c r="I32" s="159">
        <f>IF(OR(NOT(ISNUMBER(G32)),NOT(ISNUMBER(H32))),"",H32-G32)</f>
        <v/>
      </c>
      <c r="J32" s="319">
        <f>IF(OR(NOT(ISNUMBER(G32)),NOT(ISNUMBER(H32)),G32=0),"",I32/G32)</f>
        <v/>
      </c>
      <c r="K32" s="319">
        <f>IF(OR(NOT(ISNUMBER(G32)),NOT(ISNUMBER(H32)),G32=0),"",H32/G32)</f>
        <v/>
      </c>
      <c r="L32">
        <f>IF(NOT(ISNUMBER(G32)),"SEM META",IF(G32=0,"SEM META",IF(NOT(ISNUMBER(H32)),"SEM APONTAMENTO",IF(H32&gt;=G32,"VERDE",IF(H32&gt;=G32*0.9,"AMARELO","VERMELHO")))))</f>
        <v/>
      </c>
      <c r="M32" s="162" t="n"/>
      <c r="N32" s="162" t="n"/>
      <c r="O32" s="162" t="n"/>
      <c r="P32" s="162" t="n"/>
      <c r="Q32" s="320" t="n"/>
      <c r="R32" s="162" t="inlineStr">
        <is>
          <t>CONTROLE PRODUÇÃO POR EMPRESAS!B11</t>
        </is>
      </c>
    </row>
    <row r="33" hidden="1" ht="28.5" customHeight="1">
      <c r="A33" s="317" t="n">
        <v>46228</v>
      </c>
      <c r="B33" t="inlineStr">
        <is>
          <t>GERAL</t>
        </is>
      </c>
      <c r="C33" t="inlineStr">
        <is>
          <t>EJ</t>
        </is>
      </c>
      <c r="D33" t="inlineStr">
        <is>
          <t>IÇAMENTO JOIST</t>
        </is>
      </c>
      <c r="F33" s="159">
        <f>IFERROR(INDEX('BASE METAS DIÁRIAS'!$N$2:$S$358,MATCH($A33,'BASE METAS DIÁRIAS'!$A$2:$A$358,0),MOD(ROW()-2,6)+1),"")</f>
        <v/>
      </c>
      <c r="G33" s="159">
        <f>IFERROR(IF(WEEKDAY($A33,2)&lt;=INDEX('BASE METAS DIÁRIAS'!$H$2:$M$358,MATCH($A33,'BASE METAS DIÁRIAS'!$A$2:$A$358,0),MOD(ROW()-2,6)+1),INDEX('BASE METAS DIÁRIAS'!$B$2:$G$358,MATCH($A33,'BASE METAS DIÁRIAS'!$A$2:$A$358,0),MOD(ROW()-2,6)+1),""),"")</f>
        <v/>
      </c>
      <c r="H33" s="159">
        <f>IFERROR(IF(INDEX('CONTROLE PRODUÇÃO POR EMPRESAS'!$B$6:$G$5000,MATCH($A33,'CONTROLE PRODUÇÃO POR EMPRESAS'!$A$6:$A$5000,0),MOD(ROW()-2,6)+1)="","",IFERROR(1*INDEX('CONTROLE PRODUÇÃO POR EMPRESAS'!$B$6:$G$5000,MATCH($A33,'CONTROLE PRODUÇÃO POR EMPRESAS'!$A$6:$A$5000,0),MOD(ROW()-2,6)+1),"")),"")</f>
        <v/>
      </c>
      <c r="I33" s="159">
        <f>IF(OR(NOT(ISNUMBER(G33)),NOT(ISNUMBER(H33))),"",H33-G33)</f>
        <v/>
      </c>
      <c r="J33" s="319">
        <f>IF(OR(NOT(ISNUMBER(G33)),NOT(ISNUMBER(H33)),G33=0),"",I33/G33)</f>
        <v/>
      </c>
      <c r="K33" s="319">
        <f>IF(OR(NOT(ISNUMBER(G33)),NOT(ISNUMBER(H33)),G33=0),"",H33/G33)</f>
        <v/>
      </c>
      <c r="L33">
        <f>IF(NOT(ISNUMBER(G33)),"SEM META",IF(G33=0,"SEM META",IF(NOT(ISNUMBER(H33)),"SEM APONTAMENTO",IF(H33&gt;=G33,"VERDE",IF(H33&gt;=G33*0.9,"AMARELO","VERMELHO")))))</f>
        <v/>
      </c>
      <c r="M33" s="162" t="n"/>
      <c r="N33" s="162" t="n"/>
      <c r="O33" s="162" t="n"/>
      <c r="P33" s="162" t="n"/>
      <c r="Q33" s="320" t="n"/>
      <c r="R33" s="162" t="inlineStr">
        <is>
          <t>CONTROLE PRODUÇÃO POR EMPRESAS!C11</t>
        </is>
      </c>
    </row>
    <row r="34" hidden="1" ht="28.5" customHeight="1">
      <c r="A34" s="317" t="n">
        <v>46228</v>
      </c>
      <c r="B34" t="inlineStr">
        <is>
          <t>GERAL</t>
        </is>
      </c>
      <c r="C34" t="inlineStr">
        <is>
          <t>EJ</t>
        </is>
      </c>
      <c r="D34" t="inlineStr">
        <is>
          <t>VIGAS</t>
        </is>
      </c>
      <c r="F34" s="159">
        <f>IFERROR(INDEX('BASE METAS DIÁRIAS'!$N$2:$S$358,MATCH($A34,'BASE METAS DIÁRIAS'!$A$2:$A$358,0),MOD(ROW()-2,6)+1),"")</f>
        <v/>
      </c>
      <c r="G34" s="159">
        <f>IFERROR(IF(WEEKDAY($A34,2)&lt;=INDEX('BASE METAS DIÁRIAS'!$H$2:$M$358,MATCH($A34,'BASE METAS DIÁRIAS'!$A$2:$A$358,0),MOD(ROW()-2,6)+1),INDEX('BASE METAS DIÁRIAS'!$B$2:$G$358,MATCH($A34,'BASE METAS DIÁRIAS'!$A$2:$A$358,0),MOD(ROW()-2,6)+1),""),"")</f>
        <v/>
      </c>
      <c r="H34" s="159">
        <f>IFERROR(IF(INDEX('CONTROLE PRODUÇÃO POR EMPRESAS'!$B$6:$G$5000,MATCH($A34,'CONTROLE PRODUÇÃO POR EMPRESAS'!$A$6:$A$5000,0),MOD(ROW()-2,6)+1)="","",IFERROR(1*INDEX('CONTROLE PRODUÇÃO POR EMPRESAS'!$B$6:$G$5000,MATCH($A34,'CONTROLE PRODUÇÃO POR EMPRESAS'!$A$6:$A$5000,0),MOD(ROW()-2,6)+1),"")),"")</f>
        <v/>
      </c>
      <c r="I34" s="159">
        <f>IF(OR(NOT(ISNUMBER(G34)),NOT(ISNUMBER(H34))),"",H34-G34)</f>
        <v/>
      </c>
      <c r="J34" s="319">
        <f>IF(OR(NOT(ISNUMBER(G34)),NOT(ISNUMBER(H34)),G34=0),"",I34/G34)</f>
        <v/>
      </c>
      <c r="K34" s="319">
        <f>IF(OR(NOT(ISNUMBER(G34)),NOT(ISNUMBER(H34)),G34=0),"",H34/G34)</f>
        <v/>
      </c>
      <c r="L34">
        <f>IF(NOT(ISNUMBER(G34)),"SEM META",IF(G34=0,"SEM META",IF(NOT(ISNUMBER(H34)),"SEM APONTAMENTO",IF(H34&gt;=G34,"VERDE",IF(H34&gt;=G34*0.9,"AMARELO","VERMELHO")))))</f>
        <v/>
      </c>
      <c r="M34" s="162" t="n"/>
      <c r="N34" s="162" t="n"/>
      <c r="O34" s="162" t="n"/>
      <c r="P34" s="162" t="n"/>
      <c r="Q34" s="320" t="n"/>
      <c r="R34" s="162" t="inlineStr">
        <is>
          <t>CONTROLE PRODUÇÃO POR EMPRESAS!D11</t>
        </is>
      </c>
    </row>
    <row r="35" hidden="1" ht="28.5" customHeight="1">
      <c r="A35" s="317" t="n">
        <v>46228</v>
      </c>
      <c r="B35" t="inlineStr">
        <is>
          <t>GERAL</t>
        </is>
      </c>
      <c r="C35" t="inlineStr">
        <is>
          <t>CMM</t>
        </is>
      </c>
      <c r="D35" t="inlineStr">
        <is>
          <t>PREMONTAGEM</t>
        </is>
      </c>
      <c r="F35" s="159">
        <f>IFERROR(INDEX('BASE METAS DIÁRIAS'!$N$2:$S$358,MATCH($A35,'BASE METAS DIÁRIAS'!$A$2:$A$358,0),MOD(ROW()-2,6)+1),"")</f>
        <v/>
      </c>
      <c r="G35" s="159">
        <f>IFERROR(IF(WEEKDAY($A35,2)&lt;=INDEX('BASE METAS DIÁRIAS'!$H$2:$M$358,MATCH($A35,'BASE METAS DIÁRIAS'!$A$2:$A$358,0),MOD(ROW()-2,6)+1),INDEX('BASE METAS DIÁRIAS'!$B$2:$G$358,MATCH($A35,'BASE METAS DIÁRIAS'!$A$2:$A$358,0),MOD(ROW()-2,6)+1),""),"")</f>
        <v/>
      </c>
      <c r="H35" s="159">
        <f>IFERROR(IF(INDEX('CONTROLE PRODUÇÃO POR EMPRESAS'!$B$6:$G$5000,MATCH($A35,'CONTROLE PRODUÇÃO POR EMPRESAS'!$A$6:$A$5000,0),MOD(ROW()-2,6)+1)="","",IFERROR(1*INDEX('CONTROLE PRODUÇÃO POR EMPRESAS'!$B$6:$G$5000,MATCH($A35,'CONTROLE PRODUÇÃO POR EMPRESAS'!$A$6:$A$5000,0),MOD(ROW()-2,6)+1),"")),"")</f>
        <v/>
      </c>
      <c r="I35" s="159">
        <f>IF(OR(NOT(ISNUMBER(G35)),NOT(ISNUMBER(H35))),"",H35-G35)</f>
        <v/>
      </c>
      <c r="J35" s="319">
        <f>IF(OR(NOT(ISNUMBER(G35)),NOT(ISNUMBER(H35)),G35=0),"",I35/G35)</f>
        <v/>
      </c>
      <c r="K35" s="319">
        <f>IF(OR(NOT(ISNUMBER(G35)),NOT(ISNUMBER(H35)),G35=0),"",H35/G35)</f>
        <v/>
      </c>
      <c r="L35">
        <f>IF(NOT(ISNUMBER(G35)),"SEM META",IF(G35=0,"SEM META",IF(NOT(ISNUMBER(H35)),"SEM APONTAMENTO",IF(H35&gt;=G35,"VERDE",IF(H35&gt;=G35*0.9,"AMARELO","VERMELHO")))))</f>
        <v/>
      </c>
      <c r="M35" s="162" t="n"/>
      <c r="N35" s="162" t="n"/>
      <c r="O35" s="162" t="n"/>
      <c r="P35" s="162" t="n"/>
      <c r="Q35" s="320" t="n"/>
      <c r="R35" s="162" t="inlineStr">
        <is>
          <t>CONTROLE PRODUÇÃO POR EMPRESAS!E11</t>
        </is>
      </c>
    </row>
    <row r="36" hidden="1" ht="28.5" customHeight="1">
      <c r="A36" s="317" t="n">
        <v>46228</v>
      </c>
      <c r="B36" t="inlineStr">
        <is>
          <t>GERAL</t>
        </is>
      </c>
      <c r="C36" t="inlineStr">
        <is>
          <t>CMM</t>
        </is>
      </c>
      <c r="D36" t="inlineStr">
        <is>
          <t>IÇAMENTO JOIST</t>
        </is>
      </c>
      <c r="F36" s="159">
        <f>IFERROR(INDEX('BASE METAS DIÁRIAS'!$N$2:$S$358,MATCH($A36,'BASE METAS DIÁRIAS'!$A$2:$A$358,0),MOD(ROW()-2,6)+1),"")</f>
        <v/>
      </c>
      <c r="G36" s="159">
        <f>IFERROR(IF(WEEKDAY($A36,2)&lt;=INDEX('BASE METAS DIÁRIAS'!$H$2:$M$358,MATCH($A36,'BASE METAS DIÁRIAS'!$A$2:$A$358,0),MOD(ROW()-2,6)+1),INDEX('BASE METAS DIÁRIAS'!$B$2:$G$358,MATCH($A36,'BASE METAS DIÁRIAS'!$A$2:$A$358,0),MOD(ROW()-2,6)+1),""),"")</f>
        <v/>
      </c>
      <c r="H36" s="159">
        <f>IFERROR(IF(INDEX('CONTROLE PRODUÇÃO POR EMPRESAS'!$B$6:$G$5000,MATCH($A36,'CONTROLE PRODUÇÃO POR EMPRESAS'!$A$6:$A$5000,0),MOD(ROW()-2,6)+1)="","",IFERROR(1*INDEX('CONTROLE PRODUÇÃO POR EMPRESAS'!$B$6:$G$5000,MATCH($A36,'CONTROLE PRODUÇÃO POR EMPRESAS'!$A$6:$A$5000,0),MOD(ROW()-2,6)+1),"")),"")</f>
        <v/>
      </c>
      <c r="I36" s="159">
        <f>IF(OR(NOT(ISNUMBER(G36)),NOT(ISNUMBER(H36))),"",H36-G36)</f>
        <v/>
      </c>
      <c r="J36" s="319">
        <f>IF(OR(NOT(ISNUMBER(G36)),NOT(ISNUMBER(H36)),G36=0),"",I36/G36)</f>
        <v/>
      </c>
      <c r="K36" s="319">
        <f>IF(OR(NOT(ISNUMBER(G36)),NOT(ISNUMBER(H36)),G36=0),"",H36/G36)</f>
        <v/>
      </c>
      <c r="L36">
        <f>IF(NOT(ISNUMBER(G36)),"SEM META",IF(G36=0,"SEM META",IF(NOT(ISNUMBER(H36)),"SEM APONTAMENTO",IF(H36&gt;=G36,"VERDE",IF(H36&gt;=G36*0.9,"AMARELO","VERMELHO")))))</f>
        <v/>
      </c>
      <c r="M36" s="162" t="n"/>
      <c r="N36" s="162" t="n"/>
      <c r="O36" s="162" t="n"/>
      <c r="P36" s="162" t="n"/>
      <c r="Q36" s="320" t="n"/>
      <c r="R36" s="162" t="inlineStr">
        <is>
          <t>CONTROLE PRODUÇÃO POR EMPRESAS!F11</t>
        </is>
      </c>
    </row>
    <row r="37" hidden="1" ht="28.5" customHeight="1">
      <c r="A37" s="317" t="n">
        <v>46228</v>
      </c>
      <c r="B37" t="inlineStr">
        <is>
          <t>GERAL</t>
        </is>
      </c>
      <c r="C37" t="inlineStr">
        <is>
          <t>CMM</t>
        </is>
      </c>
      <c r="D37" t="inlineStr">
        <is>
          <t>VIGAS</t>
        </is>
      </c>
      <c r="F37" s="159">
        <f>IFERROR(INDEX('BASE METAS DIÁRIAS'!$N$2:$S$358,MATCH($A37,'BASE METAS DIÁRIAS'!$A$2:$A$358,0),MOD(ROW()-2,6)+1),"")</f>
        <v/>
      </c>
      <c r="G37" s="159">
        <f>IFERROR(IF(WEEKDAY($A37,2)&lt;=INDEX('BASE METAS DIÁRIAS'!$H$2:$M$358,MATCH($A37,'BASE METAS DIÁRIAS'!$A$2:$A$358,0),MOD(ROW()-2,6)+1),INDEX('BASE METAS DIÁRIAS'!$B$2:$G$358,MATCH($A37,'BASE METAS DIÁRIAS'!$A$2:$A$358,0),MOD(ROW()-2,6)+1),""),"")</f>
        <v/>
      </c>
      <c r="H37" s="159">
        <f>IFERROR(IF(INDEX('CONTROLE PRODUÇÃO POR EMPRESAS'!$B$6:$G$5000,MATCH($A37,'CONTROLE PRODUÇÃO POR EMPRESAS'!$A$6:$A$5000,0),MOD(ROW()-2,6)+1)="","",IFERROR(1*INDEX('CONTROLE PRODUÇÃO POR EMPRESAS'!$B$6:$G$5000,MATCH($A37,'CONTROLE PRODUÇÃO POR EMPRESAS'!$A$6:$A$5000,0),MOD(ROW()-2,6)+1),"")),"")</f>
        <v/>
      </c>
      <c r="I37" s="159">
        <f>IF(OR(NOT(ISNUMBER(G37)),NOT(ISNUMBER(H37))),"",H37-G37)</f>
        <v/>
      </c>
      <c r="J37" s="319">
        <f>IF(OR(NOT(ISNUMBER(G37)),NOT(ISNUMBER(H37)),G37=0),"",I37/G37)</f>
        <v/>
      </c>
      <c r="K37" s="319">
        <f>IF(OR(NOT(ISNUMBER(G37)),NOT(ISNUMBER(H37)),G37=0),"",H37/G37)</f>
        <v/>
      </c>
      <c r="L37">
        <f>IF(NOT(ISNUMBER(G37)),"SEM META",IF(G37=0,"SEM META",IF(NOT(ISNUMBER(H37)),"SEM APONTAMENTO",IF(H37&gt;=G37,"VERDE",IF(H37&gt;=G37*0.9,"AMARELO","VERMELHO")))))</f>
        <v/>
      </c>
      <c r="M37" s="162" t="n"/>
      <c r="N37" s="162" t="n"/>
      <c r="O37" s="162" t="n"/>
      <c r="P37" s="162" t="n"/>
      <c r="Q37" s="320" t="n"/>
      <c r="R37" s="162" t="inlineStr">
        <is>
          <t>CONTROLE PRODUÇÃO POR EMPRESAS!G11</t>
        </is>
      </c>
    </row>
    <row r="38" hidden="1" ht="28.5" customHeight="1">
      <c r="A38" s="317" t="n">
        <v>46229</v>
      </c>
      <c r="B38" t="inlineStr">
        <is>
          <t>GERAL</t>
        </is>
      </c>
      <c r="C38" t="inlineStr">
        <is>
          <t>EJ</t>
        </is>
      </c>
      <c r="D38" t="inlineStr">
        <is>
          <t>PREMONTAGEM</t>
        </is>
      </c>
      <c r="F38" s="159">
        <f>IFERROR(INDEX('BASE METAS DIÁRIAS'!$N$2:$S$358,MATCH($A38,'BASE METAS DIÁRIAS'!$A$2:$A$358,0),MOD(ROW()-2,6)+1),"")</f>
        <v/>
      </c>
      <c r="G38" s="159">
        <f>IFERROR(IF(WEEKDAY($A38,2)&lt;=INDEX('BASE METAS DIÁRIAS'!$H$2:$M$358,MATCH($A38,'BASE METAS DIÁRIAS'!$A$2:$A$358,0),MOD(ROW()-2,6)+1),INDEX('BASE METAS DIÁRIAS'!$B$2:$G$358,MATCH($A38,'BASE METAS DIÁRIAS'!$A$2:$A$358,0),MOD(ROW()-2,6)+1),""),"")</f>
        <v/>
      </c>
      <c r="H38" s="159">
        <f>IFERROR(IF(INDEX('CONTROLE PRODUÇÃO POR EMPRESAS'!$B$6:$G$5000,MATCH($A38,'CONTROLE PRODUÇÃO POR EMPRESAS'!$A$6:$A$5000,0),MOD(ROW()-2,6)+1)="","",IFERROR(1*INDEX('CONTROLE PRODUÇÃO POR EMPRESAS'!$B$6:$G$5000,MATCH($A38,'CONTROLE PRODUÇÃO POR EMPRESAS'!$A$6:$A$5000,0),MOD(ROW()-2,6)+1),"")),"")</f>
        <v/>
      </c>
      <c r="I38" s="159">
        <f>IF(OR(NOT(ISNUMBER(G38)),NOT(ISNUMBER(H38))),"",H38-G38)</f>
        <v/>
      </c>
      <c r="J38" s="319">
        <f>IF(OR(NOT(ISNUMBER(G38)),NOT(ISNUMBER(H38)),G38=0),"",I38/G38)</f>
        <v/>
      </c>
      <c r="K38" s="319">
        <f>IF(OR(NOT(ISNUMBER(G38)),NOT(ISNUMBER(H38)),G38=0),"",H38/G38)</f>
        <v/>
      </c>
      <c r="L38">
        <f>IF(NOT(ISNUMBER(G38)),"SEM META",IF(G38=0,"SEM META",IF(NOT(ISNUMBER(H38)),"SEM APONTAMENTO",IF(H38&gt;=G38,"VERDE",IF(H38&gt;=G38*0.9,"AMARELO","VERMELHO")))))</f>
        <v/>
      </c>
      <c r="M38" s="162" t="n"/>
      <c r="N38" s="162" t="n"/>
      <c r="O38" s="162" t="n"/>
      <c r="P38" s="162" t="n"/>
      <c r="Q38" s="320" t="n"/>
      <c r="R38" s="162" t="inlineStr">
        <is>
          <t>CONTROLE PRODUÇÃO POR EMPRESAS!B12</t>
        </is>
      </c>
    </row>
    <row r="39" hidden="1" ht="28.5" customHeight="1">
      <c r="A39" s="317" t="n">
        <v>46229</v>
      </c>
      <c r="B39" t="inlineStr">
        <is>
          <t>GERAL</t>
        </is>
      </c>
      <c r="C39" t="inlineStr">
        <is>
          <t>EJ</t>
        </is>
      </c>
      <c r="D39" t="inlineStr">
        <is>
          <t>IÇAMENTO JOIST</t>
        </is>
      </c>
      <c r="F39" s="159">
        <f>IFERROR(INDEX('BASE METAS DIÁRIAS'!$N$2:$S$358,MATCH($A39,'BASE METAS DIÁRIAS'!$A$2:$A$358,0),MOD(ROW()-2,6)+1),"")</f>
        <v/>
      </c>
      <c r="G39" s="159">
        <f>IFERROR(IF(WEEKDAY($A39,2)&lt;=INDEX('BASE METAS DIÁRIAS'!$H$2:$M$358,MATCH($A39,'BASE METAS DIÁRIAS'!$A$2:$A$358,0),MOD(ROW()-2,6)+1),INDEX('BASE METAS DIÁRIAS'!$B$2:$G$358,MATCH($A39,'BASE METAS DIÁRIAS'!$A$2:$A$358,0),MOD(ROW()-2,6)+1),""),"")</f>
        <v/>
      </c>
      <c r="H39" s="159">
        <f>IFERROR(IF(INDEX('CONTROLE PRODUÇÃO POR EMPRESAS'!$B$6:$G$5000,MATCH($A39,'CONTROLE PRODUÇÃO POR EMPRESAS'!$A$6:$A$5000,0),MOD(ROW()-2,6)+1)="","",IFERROR(1*INDEX('CONTROLE PRODUÇÃO POR EMPRESAS'!$B$6:$G$5000,MATCH($A39,'CONTROLE PRODUÇÃO POR EMPRESAS'!$A$6:$A$5000,0),MOD(ROW()-2,6)+1),"")),"")</f>
        <v/>
      </c>
      <c r="I39" s="159">
        <f>IF(OR(NOT(ISNUMBER(G39)),NOT(ISNUMBER(H39))),"",H39-G39)</f>
        <v/>
      </c>
      <c r="J39" s="319">
        <f>IF(OR(NOT(ISNUMBER(G39)),NOT(ISNUMBER(H39)),G39=0),"",I39/G39)</f>
        <v/>
      </c>
      <c r="K39" s="319">
        <f>IF(OR(NOT(ISNUMBER(G39)),NOT(ISNUMBER(H39)),G39=0),"",H39/G39)</f>
        <v/>
      </c>
      <c r="L39">
        <f>IF(NOT(ISNUMBER(G39)),"SEM META",IF(G39=0,"SEM META",IF(NOT(ISNUMBER(H39)),"SEM APONTAMENTO",IF(H39&gt;=G39,"VERDE",IF(H39&gt;=G39*0.9,"AMARELO","VERMELHO")))))</f>
        <v/>
      </c>
      <c r="M39" s="162" t="n"/>
      <c r="N39" s="162" t="n"/>
      <c r="O39" s="162" t="n"/>
      <c r="P39" s="162" t="n"/>
      <c r="Q39" s="320" t="n"/>
      <c r="R39" s="162" t="inlineStr">
        <is>
          <t>CONTROLE PRODUÇÃO POR EMPRESAS!C12</t>
        </is>
      </c>
    </row>
    <row r="40" hidden="1" ht="28.5" customHeight="1">
      <c r="A40" s="317" t="n">
        <v>46229</v>
      </c>
      <c r="B40" t="inlineStr">
        <is>
          <t>GERAL</t>
        </is>
      </c>
      <c r="C40" t="inlineStr">
        <is>
          <t>EJ</t>
        </is>
      </c>
      <c r="D40" t="inlineStr">
        <is>
          <t>VIGAS</t>
        </is>
      </c>
      <c r="F40" s="159">
        <f>IFERROR(INDEX('BASE METAS DIÁRIAS'!$N$2:$S$358,MATCH($A40,'BASE METAS DIÁRIAS'!$A$2:$A$358,0),MOD(ROW()-2,6)+1),"")</f>
        <v/>
      </c>
      <c r="G40" s="159">
        <f>IFERROR(IF(WEEKDAY($A40,2)&lt;=INDEX('BASE METAS DIÁRIAS'!$H$2:$M$358,MATCH($A40,'BASE METAS DIÁRIAS'!$A$2:$A$358,0),MOD(ROW()-2,6)+1),INDEX('BASE METAS DIÁRIAS'!$B$2:$G$358,MATCH($A40,'BASE METAS DIÁRIAS'!$A$2:$A$358,0),MOD(ROW()-2,6)+1),""),"")</f>
        <v/>
      </c>
      <c r="H40" s="159">
        <f>IFERROR(IF(INDEX('CONTROLE PRODUÇÃO POR EMPRESAS'!$B$6:$G$5000,MATCH($A40,'CONTROLE PRODUÇÃO POR EMPRESAS'!$A$6:$A$5000,0),MOD(ROW()-2,6)+1)="","",IFERROR(1*INDEX('CONTROLE PRODUÇÃO POR EMPRESAS'!$B$6:$G$5000,MATCH($A40,'CONTROLE PRODUÇÃO POR EMPRESAS'!$A$6:$A$5000,0),MOD(ROW()-2,6)+1),"")),"")</f>
        <v/>
      </c>
      <c r="I40" s="159">
        <f>IF(OR(NOT(ISNUMBER(G40)),NOT(ISNUMBER(H40))),"",H40-G40)</f>
        <v/>
      </c>
      <c r="J40" s="319">
        <f>IF(OR(NOT(ISNUMBER(G40)),NOT(ISNUMBER(H40)),G40=0),"",I40/G40)</f>
        <v/>
      </c>
      <c r="K40" s="319">
        <f>IF(OR(NOT(ISNUMBER(G40)),NOT(ISNUMBER(H40)),G40=0),"",H40/G40)</f>
        <v/>
      </c>
      <c r="L40">
        <f>IF(NOT(ISNUMBER(G40)),"SEM META",IF(G40=0,"SEM META",IF(NOT(ISNUMBER(H40)),"SEM APONTAMENTO",IF(H40&gt;=G40,"VERDE",IF(H40&gt;=G40*0.9,"AMARELO","VERMELHO")))))</f>
        <v/>
      </c>
      <c r="M40" s="162" t="n"/>
      <c r="N40" s="162" t="n"/>
      <c r="O40" s="162" t="n"/>
      <c r="P40" s="162" t="n"/>
      <c r="Q40" s="320" t="n"/>
      <c r="R40" s="162" t="inlineStr">
        <is>
          <t>CONTROLE PRODUÇÃO POR EMPRESAS!D12</t>
        </is>
      </c>
    </row>
    <row r="41" hidden="1" ht="28.5" customHeight="1">
      <c r="A41" s="317" t="n">
        <v>46229</v>
      </c>
      <c r="B41" t="inlineStr">
        <is>
          <t>GERAL</t>
        </is>
      </c>
      <c r="C41" t="inlineStr">
        <is>
          <t>CMM</t>
        </is>
      </c>
      <c r="D41" t="inlineStr">
        <is>
          <t>PREMONTAGEM</t>
        </is>
      </c>
      <c r="F41" s="159">
        <f>IFERROR(INDEX('BASE METAS DIÁRIAS'!$N$2:$S$358,MATCH($A41,'BASE METAS DIÁRIAS'!$A$2:$A$358,0),MOD(ROW()-2,6)+1),"")</f>
        <v/>
      </c>
      <c r="G41" s="159">
        <f>IFERROR(IF(WEEKDAY($A41,2)&lt;=INDEX('BASE METAS DIÁRIAS'!$H$2:$M$358,MATCH($A41,'BASE METAS DIÁRIAS'!$A$2:$A$358,0),MOD(ROW()-2,6)+1),INDEX('BASE METAS DIÁRIAS'!$B$2:$G$358,MATCH($A41,'BASE METAS DIÁRIAS'!$A$2:$A$358,0),MOD(ROW()-2,6)+1),""),"")</f>
        <v/>
      </c>
      <c r="H41" s="159">
        <f>IFERROR(IF(INDEX('CONTROLE PRODUÇÃO POR EMPRESAS'!$B$6:$G$5000,MATCH($A41,'CONTROLE PRODUÇÃO POR EMPRESAS'!$A$6:$A$5000,0),MOD(ROW()-2,6)+1)="","",IFERROR(1*INDEX('CONTROLE PRODUÇÃO POR EMPRESAS'!$B$6:$G$5000,MATCH($A41,'CONTROLE PRODUÇÃO POR EMPRESAS'!$A$6:$A$5000,0),MOD(ROW()-2,6)+1),"")),"")</f>
        <v/>
      </c>
      <c r="I41" s="159">
        <f>IF(OR(NOT(ISNUMBER(G41)),NOT(ISNUMBER(H41))),"",H41-G41)</f>
        <v/>
      </c>
      <c r="J41" s="319">
        <f>IF(OR(NOT(ISNUMBER(G41)),NOT(ISNUMBER(H41)),G41=0),"",I41/G41)</f>
        <v/>
      </c>
      <c r="K41" s="319">
        <f>IF(OR(NOT(ISNUMBER(G41)),NOT(ISNUMBER(H41)),G41=0),"",H41/G41)</f>
        <v/>
      </c>
      <c r="L41">
        <f>IF(NOT(ISNUMBER(G41)),"SEM META",IF(G41=0,"SEM META",IF(NOT(ISNUMBER(H41)),"SEM APONTAMENTO",IF(H41&gt;=G41,"VERDE",IF(H41&gt;=G41*0.9,"AMARELO","VERMELHO")))))</f>
        <v/>
      </c>
      <c r="M41" s="162" t="n"/>
      <c r="N41" s="162" t="n"/>
      <c r="O41" s="162" t="n"/>
      <c r="P41" s="162" t="n"/>
      <c r="Q41" s="320" t="n"/>
      <c r="R41" s="162" t="inlineStr">
        <is>
          <t>CONTROLE PRODUÇÃO POR EMPRESAS!E12</t>
        </is>
      </c>
    </row>
    <row r="42" hidden="1" ht="28.5" customHeight="1">
      <c r="A42" s="317" t="n">
        <v>46229</v>
      </c>
      <c r="B42" t="inlineStr">
        <is>
          <t>GERAL</t>
        </is>
      </c>
      <c r="C42" t="inlineStr">
        <is>
          <t>CMM</t>
        </is>
      </c>
      <c r="D42" t="inlineStr">
        <is>
          <t>IÇAMENTO JOIST</t>
        </is>
      </c>
      <c r="F42" s="159">
        <f>IFERROR(INDEX('BASE METAS DIÁRIAS'!$N$2:$S$358,MATCH($A42,'BASE METAS DIÁRIAS'!$A$2:$A$358,0),MOD(ROW()-2,6)+1),"")</f>
        <v/>
      </c>
      <c r="G42" s="159">
        <f>IFERROR(IF(WEEKDAY($A42,2)&lt;=INDEX('BASE METAS DIÁRIAS'!$H$2:$M$358,MATCH($A42,'BASE METAS DIÁRIAS'!$A$2:$A$358,0),MOD(ROW()-2,6)+1),INDEX('BASE METAS DIÁRIAS'!$B$2:$G$358,MATCH($A42,'BASE METAS DIÁRIAS'!$A$2:$A$358,0),MOD(ROW()-2,6)+1),""),"")</f>
        <v/>
      </c>
      <c r="H42" s="159">
        <f>IFERROR(IF(INDEX('CONTROLE PRODUÇÃO POR EMPRESAS'!$B$6:$G$5000,MATCH($A42,'CONTROLE PRODUÇÃO POR EMPRESAS'!$A$6:$A$5000,0),MOD(ROW()-2,6)+1)="","",IFERROR(1*INDEX('CONTROLE PRODUÇÃO POR EMPRESAS'!$B$6:$G$5000,MATCH($A42,'CONTROLE PRODUÇÃO POR EMPRESAS'!$A$6:$A$5000,0),MOD(ROW()-2,6)+1),"")),"")</f>
        <v/>
      </c>
      <c r="I42" s="159">
        <f>IF(OR(NOT(ISNUMBER(G42)),NOT(ISNUMBER(H42))),"",H42-G42)</f>
        <v/>
      </c>
      <c r="J42" s="319">
        <f>IF(OR(NOT(ISNUMBER(G42)),NOT(ISNUMBER(H42)),G42=0),"",I42/G42)</f>
        <v/>
      </c>
      <c r="K42" s="319">
        <f>IF(OR(NOT(ISNUMBER(G42)),NOT(ISNUMBER(H42)),G42=0),"",H42/G42)</f>
        <v/>
      </c>
      <c r="L42">
        <f>IF(NOT(ISNUMBER(G42)),"SEM META",IF(G42=0,"SEM META",IF(NOT(ISNUMBER(H42)),"SEM APONTAMENTO",IF(H42&gt;=G42,"VERDE",IF(H42&gt;=G42*0.9,"AMARELO","VERMELHO")))))</f>
        <v/>
      </c>
      <c r="M42" s="162" t="n"/>
      <c r="N42" s="162" t="n"/>
      <c r="O42" s="162" t="n"/>
      <c r="P42" s="162" t="n"/>
      <c r="Q42" s="320" t="n"/>
      <c r="R42" s="162" t="inlineStr">
        <is>
          <t>CONTROLE PRODUÇÃO POR EMPRESAS!F12</t>
        </is>
      </c>
    </row>
    <row r="43" hidden="1" ht="28.5" customHeight="1">
      <c r="A43" s="317" t="n">
        <v>46229</v>
      </c>
      <c r="B43" t="inlineStr">
        <is>
          <t>GERAL</t>
        </is>
      </c>
      <c r="C43" t="inlineStr">
        <is>
          <t>CMM</t>
        </is>
      </c>
      <c r="D43" t="inlineStr">
        <is>
          <t>VIGAS</t>
        </is>
      </c>
      <c r="F43" s="159">
        <f>IFERROR(INDEX('BASE METAS DIÁRIAS'!$N$2:$S$358,MATCH($A43,'BASE METAS DIÁRIAS'!$A$2:$A$358,0),MOD(ROW()-2,6)+1),"")</f>
        <v/>
      </c>
      <c r="G43" s="159">
        <f>IFERROR(IF(WEEKDAY($A43,2)&lt;=INDEX('BASE METAS DIÁRIAS'!$H$2:$M$358,MATCH($A43,'BASE METAS DIÁRIAS'!$A$2:$A$358,0),MOD(ROW()-2,6)+1),INDEX('BASE METAS DIÁRIAS'!$B$2:$G$358,MATCH($A43,'BASE METAS DIÁRIAS'!$A$2:$A$358,0),MOD(ROW()-2,6)+1),""),"")</f>
        <v/>
      </c>
      <c r="H43" s="159">
        <f>IFERROR(IF(INDEX('CONTROLE PRODUÇÃO POR EMPRESAS'!$B$6:$G$5000,MATCH($A43,'CONTROLE PRODUÇÃO POR EMPRESAS'!$A$6:$A$5000,0),MOD(ROW()-2,6)+1)="","",IFERROR(1*INDEX('CONTROLE PRODUÇÃO POR EMPRESAS'!$B$6:$G$5000,MATCH($A43,'CONTROLE PRODUÇÃO POR EMPRESAS'!$A$6:$A$5000,0),MOD(ROW()-2,6)+1),"")),"")</f>
        <v/>
      </c>
      <c r="I43" s="159">
        <f>IF(OR(NOT(ISNUMBER(G43)),NOT(ISNUMBER(H43))),"",H43-G43)</f>
        <v/>
      </c>
      <c r="J43" s="319">
        <f>IF(OR(NOT(ISNUMBER(G43)),NOT(ISNUMBER(H43)),G43=0),"",I43/G43)</f>
        <v/>
      </c>
      <c r="K43" s="319">
        <f>IF(OR(NOT(ISNUMBER(G43)),NOT(ISNUMBER(H43)),G43=0),"",H43/G43)</f>
        <v/>
      </c>
      <c r="L43">
        <f>IF(NOT(ISNUMBER(G43)),"SEM META",IF(G43=0,"SEM META",IF(NOT(ISNUMBER(H43)),"SEM APONTAMENTO",IF(H43&gt;=G43,"VERDE",IF(H43&gt;=G43*0.9,"AMARELO","VERMELHO")))))</f>
        <v/>
      </c>
      <c r="M43" s="162" t="n"/>
      <c r="N43" s="162" t="n"/>
      <c r="O43" s="162" t="n"/>
      <c r="P43" s="162" t="n"/>
      <c r="Q43" s="320" t="n"/>
      <c r="R43" s="162" t="inlineStr">
        <is>
          <t>CONTROLE PRODUÇÃO POR EMPRESAS!G12</t>
        </is>
      </c>
    </row>
    <row r="44" hidden="1" ht="28.5" customHeight="1">
      <c r="A44" s="317" t="n">
        <v>46230</v>
      </c>
      <c r="B44" t="inlineStr">
        <is>
          <t>GERAL</t>
        </is>
      </c>
      <c r="C44" t="inlineStr">
        <is>
          <t>EJ</t>
        </is>
      </c>
      <c r="D44" t="inlineStr">
        <is>
          <t>PREMONTAGEM</t>
        </is>
      </c>
      <c r="F44" s="159">
        <f>IFERROR(INDEX('BASE METAS DIÁRIAS'!$N$2:$S$358,MATCH($A44,'BASE METAS DIÁRIAS'!$A$2:$A$358,0),MOD(ROW()-2,6)+1),"")</f>
        <v/>
      </c>
      <c r="G44" s="159">
        <f>IFERROR(IF(WEEKDAY($A44,2)&lt;=INDEX('BASE METAS DIÁRIAS'!$H$2:$M$358,MATCH($A44,'BASE METAS DIÁRIAS'!$A$2:$A$358,0),MOD(ROW()-2,6)+1),INDEX('BASE METAS DIÁRIAS'!$B$2:$G$358,MATCH($A44,'BASE METAS DIÁRIAS'!$A$2:$A$358,0),MOD(ROW()-2,6)+1),""),"")</f>
        <v/>
      </c>
      <c r="H44" s="159">
        <f>IFERROR(IF(INDEX('CONTROLE PRODUÇÃO POR EMPRESAS'!$B$6:$G$5000,MATCH($A44,'CONTROLE PRODUÇÃO POR EMPRESAS'!$A$6:$A$5000,0),MOD(ROW()-2,6)+1)="","",IFERROR(1*INDEX('CONTROLE PRODUÇÃO POR EMPRESAS'!$B$6:$G$5000,MATCH($A44,'CONTROLE PRODUÇÃO POR EMPRESAS'!$A$6:$A$5000,0),MOD(ROW()-2,6)+1),"")),"")</f>
        <v/>
      </c>
      <c r="I44" s="159">
        <f>IF(OR(NOT(ISNUMBER(G44)),NOT(ISNUMBER(H44))),"",H44-G44)</f>
        <v/>
      </c>
      <c r="J44" s="319">
        <f>IF(OR(NOT(ISNUMBER(G44)),NOT(ISNUMBER(H44)),G44=0),"",I44/G44)</f>
        <v/>
      </c>
      <c r="K44" s="319">
        <f>IF(OR(NOT(ISNUMBER(G44)),NOT(ISNUMBER(H44)),G44=0),"",H44/G44)</f>
        <v/>
      </c>
      <c r="L44">
        <f>IF(NOT(ISNUMBER(G44)),"SEM META",IF(G44=0,"SEM META",IF(NOT(ISNUMBER(H44)),"SEM APONTAMENTO",IF(H44&gt;=G44,"VERDE",IF(H44&gt;=G44*0.9,"AMARELO","VERMELHO")))))</f>
        <v/>
      </c>
      <c r="M44" s="162" t="n"/>
      <c r="N44" s="162" t="n"/>
      <c r="O44" s="162" t="n"/>
      <c r="P44" s="162" t="n"/>
      <c r="Q44" s="320" t="n"/>
      <c r="R44" s="162" t="inlineStr">
        <is>
          <t>CONTROLE PRODUÇÃO POR EMPRESAS!B13</t>
        </is>
      </c>
    </row>
    <row r="45" hidden="1" ht="28.5" customHeight="1">
      <c r="A45" s="317" t="n">
        <v>46230</v>
      </c>
      <c r="B45" t="inlineStr">
        <is>
          <t>GERAL</t>
        </is>
      </c>
      <c r="C45" t="inlineStr">
        <is>
          <t>EJ</t>
        </is>
      </c>
      <c r="D45" t="inlineStr">
        <is>
          <t>IÇAMENTO JOIST</t>
        </is>
      </c>
      <c r="F45" s="159">
        <f>IFERROR(INDEX('BASE METAS DIÁRIAS'!$N$2:$S$358,MATCH($A45,'BASE METAS DIÁRIAS'!$A$2:$A$358,0),MOD(ROW()-2,6)+1),"")</f>
        <v/>
      </c>
      <c r="G45" s="159">
        <f>IFERROR(IF(WEEKDAY($A45,2)&lt;=INDEX('BASE METAS DIÁRIAS'!$H$2:$M$358,MATCH($A45,'BASE METAS DIÁRIAS'!$A$2:$A$358,0),MOD(ROW()-2,6)+1),INDEX('BASE METAS DIÁRIAS'!$B$2:$G$358,MATCH($A45,'BASE METAS DIÁRIAS'!$A$2:$A$358,0),MOD(ROW()-2,6)+1),""),"")</f>
        <v/>
      </c>
      <c r="H45" s="159">
        <f>IFERROR(IF(INDEX('CONTROLE PRODUÇÃO POR EMPRESAS'!$B$6:$G$5000,MATCH($A45,'CONTROLE PRODUÇÃO POR EMPRESAS'!$A$6:$A$5000,0),MOD(ROW()-2,6)+1)="","",IFERROR(1*INDEX('CONTROLE PRODUÇÃO POR EMPRESAS'!$B$6:$G$5000,MATCH($A45,'CONTROLE PRODUÇÃO POR EMPRESAS'!$A$6:$A$5000,0),MOD(ROW()-2,6)+1),"")),"")</f>
        <v/>
      </c>
      <c r="I45" s="159">
        <f>IF(OR(NOT(ISNUMBER(G45)),NOT(ISNUMBER(H45))),"",H45-G45)</f>
        <v/>
      </c>
      <c r="J45" s="319">
        <f>IF(OR(NOT(ISNUMBER(G45)),NOT(ISNUMBER(H45)),G45=0),"",I45/G45)</f>
        <v/>
      </c>
      <c r="K45" s="319">
        <f>IF(OR(NOT(ISNUMBER(G45)),NOT(ISNUMBER(H45)),G45=0),"",H45/G45)</f>
        <v/>
      </c>
      <c r="L45">
        <f>IF(NOT(ISNUMBER(G45)),"SEM META",IF(G45=0,"SEM META",IF(NOT(ISNUMBER(H45)),"SEM APONTAMENTO",IF(H45&gt;=G45,"VERDE",IF(H45&gt;=G45*0.9,"AMARELO","VERMELHO")))))</f>
        <v/>
      </c>
      <c r="M45" s="162" t="n"/>
      <c r="N45" s="162" t="n"/>
      <c r="O45" s="162" t="n"/>
      <c r="P45" s="162" t="n"/>
      <c r="Q45" s="320" t="n"/>
      <c r="R45" s="162" t="inlineStr">
        <is>
          <t>CONTROLE PRODUÇÃO POR EMPRESAS!C13</t>
        </is>
      </c>
    </row>
    <row r="46" hidden="1" ht="28.5" customHeight="1">
      <c r="A46" s="317" t="n">
        <v>46230</v>
      </c>
      <c r="B46" t="inlineStr">
        <is>
          <t>GERAL</t>
        </is>
      </c>
      <c r="C46" t="inlineStr">
        <is>
          <t>EJ</t>
        </is>
      </c>
      <c r="D46" t="inlineStr">
        <is>
          <t>VIGAS</t>
        </is>
      </c>
      <c r="F46" s="159">
        <f>IFERROR(INDEX('BASE METAS DIÁRIAS'!$N$2:$S$358,MATCH($A46,'BASE METAS DIÁRIAS'!$A$2:$A$358,0),MOD(ROW()-2,6)+1),"")</f>
        <v/>
      </c>
      <c r="G46" s="159">
        <f>IFERROR(IF(WEEKDAY($A46,2)&lt;=INDEX('BASE METAS DIÁRIAS'!$H$2:$M$358,MATCH($A46,'BASE METAS DIÁRIAS'!$A$2:$A$358,0),MOD(ROW()-2,6)+1),INDEX('BASE METAS DIÁRIAS'!$B$2:$G$358,MATCH($A46,'BASE METAS DIÁRIAS'!$A$2:$A$358,0),MOD(ROW()-2,6)+1),""),"")</f>
        <v/>
      </c>
      <c r="H46" s="159">
        <f>IFERROR(IF(INDEX('CONTROLE PRODUÇÃO POR EMPRESAS'!$B$6:$G$5000,MATCH($A46,'CONTROLE PRODUÇÃO POR EMPRESAS'!$A$6:$A$5000,0),MOD(ROW()-2,6)+1)="","",IFERROR(1*INDEX('CONTROLE PRODUÇÃO POR EMPRESAS'!$B$6:$G$5000,MATCH($A46,'CONTROLE PRODUÇÃO POR EMPRESAS'!$A$6:$A$5000,0),MOD(ROW()-2,6)+1),"")),"")</f>
        <v/>
      </c>
      <c r="I46" s="159">
        <f>IF(OR(NOT(ISNUMBER(G46)),NOT(ISNUMBER(H46))),"",H46-G46)</f>
        <v/>
      </c>
      <c r="J46" s="319">
        <f>IF(OR(NOT(ISNUMBER(G46)),NOT(ISNUMBER(H46)),G46=0),"",I46/G46)</f>
        <v/>
      </c>
      <c r="K46" s="319">
        <f>IF(OR(NOT(ISNUMBER(G46)),NOT(ISNUMBER(H46)),G46=0),"",H46/G46)</f>
        <v/>
      </c>
      <c r="L46">
        <f>IF(NOT(ISNUMBER(G46)),"SEM META",IF(G46=0,"SEM META",IF(NOT(ISNUMBER(H46)),"SEM APONTAMENTO",IF(H46&gt;=G46,"VERDE",IF(H46&gt;=G46*0.9,"AMARELO","VERMELHO")))))</f>
        <v/>
      </c>
      <c r="M46" s="162" t="n"/>
      <c r="N46" s="162" t="n"/>
      <c r="O46" s="162" t="n"/>
      <c r="P46" s="162" t="n"/>
      <c r="Q46" s="320" t="n"/>
      <c r="R46" s="162" t="inlineStr">
        <is>
          <t>CONTROLE PRODUÇÃO POR EMPRESAS!D13</t>
        </is>
      </c>
    </row>
    <row r="47" hidden="1" ht="28.5" customHeight="1">
      <c r="A47" s="317" t="n">
        <v>46230</v>
      </c>
      <c r="B47" t="inlineStr">
        <is>
          <t>GERAL</t>
        </is>
      </c>
      <c r="C47" t="inlineStr">
        <is>
          <t>CMM</t>
        </is>
      </c>
      <c r="D47" t="inlineStr">
        <is>
          <t>PREMONTAGEM</t>
        </is>
      </c>
      <c r="F47" s="159">
        <f>IFERROR(INDEX('BASE METAS DIÁRIAS'!$N$2:$S$358,MATCH($A47,'BASE METAS DIÁRIAS'!$A$2:$A$358,0),MOD(ROW()-2,6)+1),"")</f>
        <v/>
      </c>
      <c r="G47" s="159">
        <f>IFERROR(IF(WEEKDAY($A47,2)&lt;=INDEX('BASE METAS DIÁRIAS'!$H$2:$M$358,MATCH($A47,'BASE METAS DIÁRIAS'!$A$2:$A$358,0),MOD(ROW()-2,6)+1),INDEX('BASE METAS DIÁRIAS'!$B$2:$G$358,MATCH($A47,'BASE METAS DIÁRIAS'!$A$2:$A$358,0),MOD(ROW()-2,6)+1),""),"")</f>
        <v/>
      </c>
      <c r="H47" s="159">
        <f>IFERROR(IF(INDEX('CONTROLE PRODUÇÃO POR EMPRESAS'!$B$6:$G$5000,MATCH($A47,'CONTROLE PRODUÇÃO POR EMPRESAS'!$A$6:$A$5000,0),MOD(ROW()-2,6)+1)="","",IFERROR(1*INDEX('CONTROLE PRODUÇÃO POR EMPRESAS'!$B$6:$G$5000,MATCH($A47,'CONTROLE PRODUÇÃO POR EMPRESAS'!$A$6:$A$5000,0),MOD(ROW()-2,6)+1),"")),"")</f>
        <v/>
      </c>
      <c r="I47" s="159">
        <f>IF(OR(NOT(ISNUMBER(G47)),NOT(ISNUMBER(H47))),"",H47-G47)</f>
        <v/>
      </c>
      <c r="J47" s="319">
        <f>IF(OR(NOT(ISNUMBER(G47)),NOT(ISNUMBER(H47)),G47=0),"",I47/G47)</f>
        <v/>
      </c>
      <c r="K47" s="319">
        <f>IF(OR(NOT(ISNUMBER(G47)),NOT(ISNUMBER(H47)),G47=0),"",H47/G47)</f>
        <v/>
      </c>
      <c r="L47">
        <f>IF(NOT(ISNUMBER(G47)),"SEM META",IF(G47=0,"SEM META",IF(NOT(ISNUMBER(H47)),"SEM APONTAMENTO",IF(H47&gt;=G47,"VERDE",IF(H47&gt;=G47*0.9,"AMARELO","VERMELHO")))))</f>
        <v/>
      </c>
      <c r="M47" s="162" t="n"/>
      <c r="N47" s="162" t="n"/>
      <c r="O47" s="162" t="n"/>
      <c r="P47" s="162" t="n"/>
      <c r="Q47" s="320" t="n"/>
      <c r="R47" s="162" t="inlineStr">
        <is>
          <t>CONTROLE PRODUÇÃO POR EMPRESAS!E13</t>
        </is>
      </c>
    </row>
    <row r="48" hidden="1" ht="28.5" customHeight="1">
      <c r="A48" s="317" t="n">
        <v>46230</v>
      </c>
      <c r="B48" t="inlineStr">
        <is>
          <t>GERAL</t>
        </is>
      </c>
      <c r="C48" t="inlineStr">
        <is>
          <t>CMM</t>
        </is>
      </c>
      <c r="D48" t="inlineStr">
        <is>
          <t>IÇAMENTO JOIST</t>
        </is>
      </c>
      <c r="F48" s="159">
        <f>IFERROR(INDEX('BASE METAS DIÁRIAS'!$N$2:$S$358,MATCH($A48,'BASE METAS DIÁRIAS'!$A$2:$A$358,0),MOD(ROW()-2,6)+1),"")</f>
        <v/>
      </c>
      <c r="G48" s="159">
        <f>IFERROR(IF(WEEKDAY($A48,2)&lt;=INDEX('BASE METAS DIÁRIAS'!$H$2:$M$358,MATCH($A48,'BASE METAS DIÁRIAS'!$A$2:$A$358,0),MOD(ROW()-2,6)+1),INDEX('BASE METAS DIÁRIAS'!$B$2:$G$358,MATCH($A48,'BASE METAS DIÁRIAS'!$A$2:$A$358,0),MOD(ROW()-2,6)+1),""),"")</f>
        <v/>
      </c>
      <c r="H48" s="159">
        <f>IFERROR(IF(INDEX('CONTROLE PRODUÇÃO POR EMPRESAS'!$B$6:$G$5000,MATCH($A48,'CONTROLE PRODUÇÃO POR EMPRESAS'!$A$6:$A$5000,0),MOD(ROW()-2,6)+1)="","",IFERROR(1*INDEX('CONTROLE PRODUÇÃO POR EMPRESAS'!$B$6:$G$5000,MATCH($A48,'CONTROLE PRODUÇÃO POR EMPRESAS'!$A$6:$A$5000,0),MOD(ROW()-2,6)+1),"")),"")</f>
        <v/>
      </c>
      <c r="I48" s="159">
        <f>IF(OR(NOT(ISNUMBER(G48)),NOT(ISNUMBER(H48))),"",H48-G48)</f>
        <v/>
      </c>
      <c r="J48" s="319">
        <f>IF(OR(NOT(ISNUMBER(G48)),NOT(ISNUMBER(H48)),G48=0),"",I48/G48)</f>
        <v/>
      </c>
      <c r="K48" s="319">
        <f>IF(OR(NOT(ISNUMBER(G48)),NOT(ISNUMBER(H48)),G48=0),"",H48/G48)</f>
        <v/>
      </c>
      <c r="L48">
        <f>IF(NOT(ISNUMBER(G48)),"SEM META",IF(G48=0,"SEM META",IF(NOT(ISNUMBER(H48)),"SEM APONTAMENTO",IF(H48&gt;=G48,"VERDE",IF(H48&gt;=G48*0.9,"AMARELO","VERMELHO")))))</f>
        <v/>
      </c>
      <c r="M48" s="162" t="n"/>
      <c r="N48" s="162" t="n"/>
      <c r="O48" s="162" t="n"/>
      <c r="P48" s="162" t="n"/>
      <c r="Q48" s="320" t="n"/>
      <c r="R48" s="162" t="inlineStr">
        <is>
          <t>CONTROLE PRODUÇÃO POR EMPRESAS!F13</t>
        </is>
      </c>
    </row>
    <row r="49" hidden="1" ht="28.5" customHeight="1">
      <c r="A49" s="317" t="n">
        <v>46230</v>
      </c>
      <c r="B49" t="inlineStr">
        <is>
          <t>GERAL</t>
        </is>
      </c>
      <c r="C49" t="inlineStr">
        <is>
          <t>CMM</t>
        </is>
      </c>
      <c r="D49" t="inlineStr">
        <is>
          <t>VIGAS</t>
        </is>
      </c>
      <c r="F49" s="159">
        <f>IFERROR(INDEX('BASE METAS DIÁRIAS'!$N$2:$S$358,MATCH($A49,'BASE METAS DIÁRIAS'!$A$2:$A$358,0),MOD(ROW()-2,6)+1),"")</f>
        <v/>
      </c>
      <c r="G49" s="159">
        <f>IFERROR(IF(WEEKDAY($A49,2)&lt;=INDEX('BASE METAS DIÁRIAS'!$H$2:$M$358,MATCH($A49,'BASE METAS DIÁRIAS'!$A$2:$A$358,0),MOD(ROW()-2,6)+1),INDEX('BASE METAS DIÁRIAS'!$B$2:$G$358,MATCH($A49,'BASE METAS DIÁRIAS'!$A$2:$A$358,0),MOD(ROW()-2,6)+1),""),"")</f>
        <v/>
      </c>
      <c r="H49" s="159">
        <f>IFERROR(IF(INDEX('CONTROLE PRODUÇÃO POR EMPRESAS'!$B$6:$G$5000,MATCH($A49,'CONTROLE PRODUÇÃO POR EMPRESAS'!$A$6:$A$5000,0),MOD(ROW()-2,6)+1)="","",IFERROR(1*INDEX('CONTROLE PRODUÇÃO POR EMPRESAS'!$B$6:$G$5000,MATCH($A49,'CONTROLE PRODUÇÃO POR EMPRESAS'!$A$6:$A$5000,0),MOD(ROW()-2,6)+1),"")),"")</f>
        <v/>
      </c>
      <c r="I49" s="159">
        <f>IF(OR(NOT(ISNUMBER(G49)),NOT(ISNUMBER(H49))),"",H49-G49)</f>
        <v/>
      </c>
      <c r="J49" s="319">
        <f>IF(OR(NOT(ISNUMBER(G49)),NOT(ISNUMBER(H49)),G49=0),"",I49/G49)</f>
        <v/>
      </c>
      <c r="K49" s="319">
        <f>IF(OR(NOT(ISNUMBER(G49)),NOT(ISNUMBER(H49)),G49=0),"",H49/G49)</f>
        <v/>
      </c>
      <c r="L49">
        <f>IF(NOT(ISNUMBER(G49)),"SEM META",IF(G49=0,"SEM META",IF(NOT(ISNUMBER(H49)),"SEM APONTAMENTO",IF(H49&gt;=G49,"VERDE",IF(H49&gt;=G49*0.9,"AMARELO","VERMELHO")))))</f>
        <v/>
      </c>
      <c r="M49" s="162" t="n"/>
      <c r="N49" s="162" t="n"/>
      <c r="O49" s="162" t="n"/>
      <c r="P49" s="162" t="n"/>
      <c r="Q49" s="320" t="n"/>
      <c r="R49" s="162" t="inlineStr">
        <is>
          <t>CONTROLE PRODUÇÃO POR EMPRESAS!G13</t>
        </is>
      </c>
    </row>
    <row r="50" hidden="1" ht="28.5" customHeight="1">
      <c r="A50" s="317" t="n">
        <v>46231</v>
      </c>
      <c r="B50" t="inlineStr">
        <is>
          <t>GERAL</t>
        </is>
      </c>
      <c r="C50" t="inlineStr">
        <is>
          <t>EJ</t>
        </is>
      </c>
      <c r="D50" t="inlineStr">
        <is>
          <t>PREMONTAGEM</t>
        </is>
      </c>
      <c r="F50" s="159">
        <f>IFERROR(INDEX('BASE METAS DIÁRIAS'!$N$2:$S$358,MATCH($A50,'BASE METAS DIÁRIAS'!$A$2:$A$358,0),MOD(ROW()-2,6)+1),"")</f>
        <v/>
      </c>
      <c r="G50" s="159">
        <f>IFERROR(IF(WEEKDAY($A50,2)&lt;=INDEX('BASE METAS DIÁRIAS'!$H$2:$M$358,MATCH($A50,'BASE METAS DIÁRIAS'!$A$2:$A$358,0),MOD(ROW()-2,6)+1),INDEX('BASE METAS DIÁRIAS'!$B$2:$G$358,MATCH($A50,'BASE METAS DIÁRIAS'!$A$2:$A$358,0),MOD(ROW()-2,6)+1),""),"")</f>
        <v/>
      </c>
      <c r="H50" s="159">
        <f>IFERROR(IF(INDEX('CONTROLE PRODUÇÃO POR EMPRESAS'!$B$6:$G$5000,MATCH($A50,'CONTROLE PRODUÇÃO POR EMPRESAS'!$A$6:$A$5000,0),MOD(ROW()-2,6)+1)="","",IFERROR(1*INDEX('CONTROLE PRODUÇÃO POR EMPRESAS'!$B$6:$G$5000,MATCH($A50,'CONTROLE PRODUÇÃO POR EMPRESAS'!$A$6:$A$5000,0),MOD(ROW()-2,6)+1),"")),"")</f>
        <v/>
      </c>
      <c r="I50" s="159">
        <f>IF(OR(NOT(ISNUMBER(G50)),NOT(ISNUMBER(H50))),"",H50-G50)</f>
        <v/>
      </c>
      <c r="J50" s="319">
        <f>IF(OR(NOT(ISNUMBER(G50)),NOT(ISNUMBER(H50)),G50=0),"",I50/G50)</f>
        <v/>
      </c>
      <c r="K50" s="319">
        <f>IF(OR(NOT(ISNUMBER(G50)),NOT(ISNUMBER(H50)),G50=0),"",H50/G50)</f>
        <v/>
      </c>
      <c r="L50">
        <f>IF(NOT(ISNUMBER(G50)),"SEM META",IF(G50=0,"SEM META",IF(NOT(ISNUMBER(H50)),"SEM APONTAMENTO",IF(H50&gt;=G50,"VERDE",IF(H50&gt;=G50*0.9,"AMARELO","VERMELHO")))))</f>
        <v/>
      </c>
      <c r="M50" s="162" t="n"/>
      <c r="N50" s="162" t="n"/>
      <c r="O50" s="162" t="n"/>
      <c r="P50" s="162" t="n"/>
      <c r="Q50" s="320" t="n"/>
      <c r="R50" s="162" t="inlineStr">
        <is>
          <t>CONTROLE PRODUÇÃO POR EMPRESAS!B14</t>
        </is>
      </c>
    </row>
    <row r="51" hidden="1" ht="28.5" customHeight="1">
      <c r="A51" s="317" t="n">
        <v>46231</v>
      </c>
      <c r="B51" t="inlineStr">
        <is>
          <t>GERAL</t>
        </is>
      </c>
      <c r="C51" t="inlineStr">
        <is>
          <t>EJ</t>
        </is>
      </c>
      <c r="D51" t="inlineStr">
        <is>
          <t>IÇAMENTO JOIST</t>
        </is>
      </c>
      <c r="F51" s="159">
        <f>IFERROR(INDEX('BASE METAS DIÁRIAS'!$N$2:$S$358,MATCH($A51,'BASE METAS DIÁRIAS'!$A$2:$A$358,0),MOD(ROW()-2,6)+1),"")</f>
        <v/>
      </c>
      <c r="G51" s="159">
        <f>IFERROR(IF(WEEKDAY($A51,2)&lt;=INDEX('BASE METAS DIÁRIAS'!$H$2:$M$358,MATCH($A51,'BASE METAS DIÁRIAS'!$A$2:$A$358,0),MOD(ROW()-2,6)+1),INDEX('BASE METAS DIÁRIAS'!$B$2:$G$358,MATCH($A51,'BASE METAS DIÁRIAS'!$A$2:$A$358,0),MOD(ROW()-2,6)+1),""),"")</f>
        <v/>
      </c>
      <c r="H51" s="159">
        <f>IFERROR(IF(INDEX('CONTROLE PRODUÇÃO POR EMPRESAS'!$B$6:$G$5000,MATCH($A51,'CONTROLE PRODUÇÃO POR EMPRESAS'!$A$6:$A$5000,0),MOD(ROW()-2,6)+1)="","",IFERROR(1*INDEX('CONTROLE PRODUÇÃO POR EMPRESAS'!$B$6:$G$5000,MATCH($A51,'CONTROLE PRODUÇÃO POR EMPRESAS'!$A$6:$A$5000,0),MOD(ROW()-2,6)+1),"")),"")</f>
        <v/>
      </c>
      <c r="I51" s="159">
        <f>IF(OR(NOT(ISNUMBER(G51)),NOT(ISNUMBER(H51))),"",H51-G51)</f>
        <v/>
      </c>
      <c r="J51" s="319">
        <f>IF(OR(NOT(ISNUMBER(G51)),NOT(ISNUMBER(H51)),G51=0),"",I51/G51)</f>
        <v/>
      </c>
      <c r="K51" s="319">
        <f>IF(OR(NOT(ISNUMBER(G51)),NOT(ISNUMBER(H51)),G51=0),"",H51/G51)</f>
        <v/>
      </c>
      <c r="L51">
        <f>IF(NOT(ISNUMBER(G51)),"SEM META",IF(G51=0,"SEM META",IF(NOT(ISNUMBER(H51)),"SEM APONTAMENTO",IF(H51&gt;=G51,"VERDE",IF(H51&gt;=G51*0.9,"AMARELO","VERMELHO")))))</f>
        <v/>
      </c>
      <c r="M51" s="162" t="n"/>
      <c r="N51" s="162" t="n"/>
      <c r="O51" s="162" t="n"/>
      <c r="P51" s="162" t="n"/>
      <c r="Q51" s="320" t="n"/>
      <c r="R51" s="162" t="inlineStr">
        <is>
          <t>CONTROLE PRODUÇÃO POR EMPRESAS!C14</t>
        </is>
      </c>
    </row>
    <row r="52" hidden="1" ht="28.5" customHeight="1">
      <c r="A52" s="317" t="n">
        <v>46231</v>
      </c>
      <c r="B52" t="inlineStr">
        <is>
          <t>GERAL</t>
        </is>
      </c>
      <c r="C52" t="inlineStr">
        <is>
          <t>EJ</t>
        </is>
      </c>
      <c r="D52" t="inlineStr">
        <is>
          <t>VIGAS</t>
        </is>
      </c>
      <c r="F52" s="159">
        <f>IFERROR(INDEX('BASE METAS DIÁRIAS'!$N$2:$S$358,MATCH($A52,'BASE METAS DIÁRIAS'!$A$2:$A$358,0),MOD(ROW()-2,6)+1),"")</f>
        <v/>
      </c>
      <c r="G52" s="159">
        <f>IFERROR(IF(WEEKDAY($A52,2)&lt;=INDEX('BASE METAS DIÁRIAS'!$H$2:$M$358,MATCH($A52,'BASE METAS DIÁRIAS'!$A$2:$A$358,0),MOD(ROW()-2,6)+1),INDEX('BASE METAS DIÁRIAS'!$B$2:$G$358,MATCH($A52,'BASE METAS DIÁRIAS'!$A$2:$A$358,0),MOD(ROW()-2,6)+1),""),"")</f>
        <v/>
      </c>
      <c r="H52" s="159">
        <f>IFERROR(IF(INDEX('CONTROLE PRODUÇÃO POR EMPRESAS'!$B$6:$G$5000,MATCH($A52,'CONTROLE PRODUÇÃO POR EMPRESAS'!$A$6:$A$5000,0),MOD(ROW()-2,6)+1)="","",IFERROR(1*INDEX('CONTROLE PRODUÇÃO POR EMPRESAS'!$B$6:$G$5000,MATCH($A52,'CONTROLE PRODUÇÃO POR EMPRESAS'!$A$6:$A$5000,0),MOD(ROW()-2,6)+1),"")),"")</f>
        <v/>
      </c>
      <c r="I52" s="159">
        <f>IF(OR(NOT(ISNUMBER(G52)),NOT(ISNUMBER(H52))),"",H52-G52)</f>
        <v/>
      </c>
      <c r="J52" s="319">
        <f>IF(OR(NOT(ISNUMBER(G52)),NOT(ISNUMBER(H52)),G52=0),"",I52/G52)</f>
        <v/>
      </c>
      <c r="K52" s="319">
        <f>IF(OR(NOT(ISNUMBER(G52)),NOT(ISNUMBER(H52)),G52=0),"",H52/G52)</f>
        <v/>
      </c>
      <c r="L52">
        <f>IF(NOT(ISNUMBER(G52)),"SEM META",IF(G52=0,"SEM META",IF(NOT(ISNUMBER(H52)),"SEM APONTAMENTO",IF(H52&gt;=G52,"VERDE",IF(H52&gt;=G52*0.9,"AMARELO","VERMELHO")))))</f>
        <v/>
      </c>
      <c r="M52" s="162" t="n"/>
      <c r="N52" s="162" t="n"/>
      <c r="O52" s="162" t="n"/>
      <c r="P52" s="162" t="n"/>
      <c r="Q52" s="320" t="n"/>
      <c r="R52" s="162" t="inlineStr">
        <is>
          <t>CONTROLE PRODUÇÃO POR EMPRESAS!D14</t>
        </is>
      </c>
    </row>
    <row r="53" hidden="1" ht="28.5" customHeight="1">
      <c r="A53" s="317" t="n">
        <v>46231</v>
      </c>
      <c r="B53" t="inlineStr">
        <is>
          <t>GERAL</t>
        </is>
      </c>
      <c r="C53" t="inlineStr">
        <is>
          <t>CMM</t>
        </is>
      </c>
      <c r="D53" t="inlineStr">
        <is>
          <t>PREMONTAGEM</t>
        </is>
      </c>
      <c r="F53" s="159">
        <f>IFERROR(INDEX('BASE METAS DIÁRIAS'!$N$2:$S$358,MATCH($A53,'BASE METAS DIÁRIAS'!$A$2:$A$358,0),MOD(ROW()-2,6)+1),"")</f>
        <v/>
      </c>
      <c r="G53" s="159">
        <f>IFERROR(IF(WEEKDAY($A53,2)&lt;=INDEX('BASE METAS DIÁRIAS'!$H$2:$M$358,MATCH($A53,'BASE METAS DIÁRIAS'!$A$2:$A$358,0),MOD(ROW()-2,6)+1),INDEX('BASE METAS DIÁRIAS'!$B$2:$G$358,MATCH($A53,'BASE METAS DIÁRIAS'!$A$2:$A$358,0),MOD(ROW()-2,6)+1),""),"")</f>
        <v/>
      </c>
      <c r="H53" s="159">
        <f>IFERROR(IF(INDEX('CONTROLE PRODUÇÃO POR EMPRESAS'!$B$6:$G$5000,MATCH($A53,'CONTROLE PRODUÇÃO POR EMPRESAS'!$A$6:$A$5000,0),MOD(ROW()-2,6)+1)="","",IFERROR(1*INDEX('CONTROLE PRODUÇÃO POR EMPRESAS'!$B$6:$G$5000,MATCH($A53,'CONTROLE PRODUÇÃO POR EMPRESAS'!$A$6:$A$5000,0),MOD(ROW()-2,6)+1),"")),"")</f>
        <v/>
      </c>
      <c r="I53" s="159">
        <f>IF(OR(NOT(ISNUMBER(G53)),NOT(ISNUMBER(H53))),"",H53-G53)</f>
        <v/>
      </c>
      <c r="J53" s="319">
        <f>IF(OR(NOT(ISNUMBER(G53)),NOT(ISNUMBER(H53)),G53=0),"",I53/G53)</f>
        <v/>
      </c>
      <c r="K53" s="319">
        <f>IF(OR(NOT(ISNUMBER(G53)),NOT(ISNUMBER(H53)),G53=0),"",H53/G53)</f>
        <v/>
      </c>
      <c r="L53">
        <f>IF(NOT(ISNUMBER(G53)),"SEM META",IF(G53=0,"SEM META",IF(NOT(ISNUMBER(H53)),"SEM APONTAMENTO",IF(H53&gt;=G53,"VERDE",IF(H53&gt;=G53*0.9,"AMARELO","VERMELHO")))))</f>
        <v/>
      </c>
      <c r="M53" s="162" t="n"/>
      <c r="N53" s="162" t="n"/>
      <c r="O53" s="162" t="n"/>
      <c r="P53" s="162" t="n"/>
      <c r="Q53" s="320" t="n"/>
      <c r="R53" s="162" t="inlineStr">
        <is>
          <t>CONTROLE PRODUÇÃO POR EMPRESAS!E14</t>
        </is>
      </c>
    </row>
    <row r="54" hidden="1" ht="28.5" customHeight="1">
      <c r="A54" s="317" t="n">
        <v>46231</v>
      </c>
      <c r="B54" t="inlineStr">
        <is>
          <t>GERAL</t>
        </is>
      </c>
      <c r="C54" t="inlineStr">
        <is>
          <t>CMM</t>
        </is>
      </c>
      <c r="D54" t="inlineStr">
        <is>
          <t>IÇAMENTO JOIST</t>
        </is>
      </c>
      <c r="F54" s="159">
        <f>IFERROR(INDEX('BASE METAS DIÁRIAS'!$N$2:$S$358,MATCH($A54,'BASE METAS DIÁRIAS'!$A$2:$A$358,0),MOD(ROW()-2,6)+1),"")</f>
        <v/>
      </c>
      <c r="G54" s="159">
        <f>IFERROR(IF(WEEKDAY($A54,2)&lt;=INDEX('BASE METAS DIÁRIAS'!$H$2:$M$358,MATCH($A54,'BASE METAS DIÁRIAS'!$A$2:$A$358,0),MOD(ROW()-2,6)+1),INDEX('BASE METAS DIÁRIAS'!$B$2:$G$358,MATCH($A54,'BASE METAS DIÁRIAS'!$A$2:$A$358,0),MOD(ROW()-2,6)+1),""),"")</f>
        <v/>
      </c>
      <c r="H54" s="159">
        <f>IFERROR(IF(INDEX('CONTROLE PRODUÇÃO POR EMPRESAS'!$B$6:$G$5000,MATCH($A54,'CONTROLE PRODUÇÃO POR EMPRESAS'!$A$6:$A$5000,0),MOD(ROW()-2,6)+1)="","",IFERROR(1*INDEX('CONTROLE PRODUÇÃO POR EMPRESAS'!$B$6:$G$5000,MATCH($A54,'CONTROLE PRODUÇÃO POR EMPRESAS'!$A$6:$A$5000,0),MOD(ROW()-2,6)+1),"")),"")</f>
        <v/>
      </c>
      <c r="I54" s="159">
        <f>IF(OR(NOT(ISNUMBER(G54)),NOT(ISNUMBER(H54))),"",H54-G54)</f>
        <v/>
      </c>
      <c r="J54" s="319">
        <f>IF(OR(NOT(ISNUMBER(G54)),NOT(ISNUMBER(H54)),G54=0),"",I54/G54)</f>
        <v/>
      </c>
      <c r="K54" s="319">
        <f>IF(OR(NOT(ISNUMBER(G54)),NOT(ISNUMBER(H54)),G54=0),"",H54/G54)</f>
        <v/>
      </c>
      <c r="L54">
        <f>IF(NOT(ISNUMBER(G54)),"SEM META",IF(G54=0,"SEM META",IF(NOT(ISNUMBER(H54)),"SEM APONTAMENTO",IF(H54&gt;=G54,"VERDE",IF(H54&gt;=G54*0.9,"AMARELO","VERMELHO")))))</f>
        <v/>
      </c>
      <c r="M54" s="162" t="n"/>
      <c r="N54" s="162" t="n"/>
      <c r="O54" s="162" t="n"/>
      <c r="P54" s="162" t="n"/>
      <c r="Q54" s="320" t="n"/>
      <c r="R54" s="162" t="inlineStr">
        <is>
          <t>CONTROLE PRODUÇÃO POR EMPRESAS!F14</t>
        </is>
      </c>
    </row>
    <row r="55" hidden="1" ht="28.5" customHeight="1">
      <c r="A55" s="317" t="n">
        <v>46231</v>
      </c>
      <c r="B55" t="inlineStr">
        <is>
          <t>GERAL</t>
        </is>
      </c>
      <c r="C55" t="inlineStr">
        <is>
          <t>CMM</t>
        </is>
      </c>
      <c r="D55" t="inlineStr">
        <is>
          <t>VIGAS</t>
        </is>
      </c>
      <c r="F55" s="159">
        <f>IFERROR(INDEX('BASE METAS DIÁRIAS'!$N$2:$S$358,MATCH($A55,'BASE METAS DIÁRIAS'!$A$2:$A$358,0),MOD(ROW()-2,6)+1),"")</f>
        <v/>
      </c>
      <c r="G55" s="159">
        <f>IFERROR(IF(WEEKDAY($A55,2)&lt;=INDEX('BASE METAS DIÁRIAS'!$H$2:$M$358,MATCH($A55,'BASE METAS DIÁRIAS'!$A$2:$A$358,0),MOD(ROW()-2,6)+1),INDEX('BASE METAS DIÁRIAS'!$B$2:$G$358,MATCH($A55,'BASE METAS DIÁRIAS'!$A$2:$A$358,0),MOD(ROW()-2,6)+1),""),"")</f>
        <v/>
      </c>
      <c r="H55" s="159">
        <f>IFERROR(IF(INDEX('CONTROLE PRODUÇÃO POR EMPRESAS'!$B$6:$G$5000,MATCH($A55,'CONTROLE PRODUÇÃO POR EMPRESAS'!$A$6:$A$5000,0),MOD(ROW()-2,6)+1)="","",IFERROR(1*INDEX('CONTROLE PRODUÇÃO POR EMPRESAS'!$B$6:$G$5000,MATCH($A55,'CONTROLE PRODUÇÃO POR EMPRESAS'!$A$6:$A$5000,0),MOD(ROW()-2,6)+1),"")),"")</f>
        <v/>
      </c>
      <c r="I55" s="159">
        <f>IF(OR(NOT(ISNUMBER(G55)),NOT(ISNUMBER(H55))),"",H55-G55)</f>
        <v/>
      </c>
      <c r="J55" s="319">
        <f>IF(OR(NOT(ISNUMBER(G55)),NOT(ISNUMBER(H55)),G55=0),"",I55/G55)</f>
        <v/>
      </c>
      <c r="K55" s="319">
        <f>IF(OR(NOT(ISNUMBER(G55)),NOT(ISNUMBER(H55)),G55=0),"",H55/G55)</f>
        <v/>
      </c>
      <c r="L55">
        <f>IF(NOT(ISNUMBER(G55)),"SEM META",IF(G55=0,"SEM META",IF(NOT(ISNUMBER(H55)),"SEM APONTAMENTO",IF(H55&gt;=G55,"VERDE",IF(H55&gt;=G55*0.9,"AMARELO","VERMELHO")))))</f>
        <v/>
      </c>
      <c r="M55" s="162" t="n"/>
      <c r="N55" s="162" t="n"/>
      <c r="O55" s="162" t="n"/>
      <c r="P55" s="162" t="n"/>
      <c r="Q55" s="320" t="n"/>
      <c r="R55" s="162" t="inlineStr">
        <is>
          <t>CONTROLE PRODUÇÃO POR EMPRESAS!G14</t>
        </is>
      </c>
    </row>
    <row r="56" hidden="1" ht="28.5" customHeight="1">
      <c r="A56" s="317" t="n">
        <v>46232</v>
      </c>
      <c r="B56" t="inlineStr">
        <is>
          <t>GERAL</t>
        </is>
      </c>
      <c r="C56" t="inlineStr">
        <is>
          <t>EJ</t>
        </is>
      </c>
      <c r="D56" t="inlineStr">
        <is>
          <t>PREMONTAGEM</t>
        </is>
      </c>
      <c r="F56" s="159">
        <f>IFERROR(INDEX('BASE METAS DIÁRIAS'!$N$2:$S$358,MATCH($A56,'BASE METAS DIÁRIAS'!$A$2:$A$358,0),MOD(ROW()-2,6)+1),"")</f>
        <v/>
      </c>
      <c r="G56" s="159">
        <f>IFERROR(IF(WEEKDAY($A56,2)&lt;=INDEX('BASE METAS DIÁRIAS'!$H$2:$M$358,MATCH($A56,'BASE METAS DIÁRIAS'!$A$2:$A$358,0),MOD(ROW()-2,6)+1),INDEX('BASE METAS DIÁRIAS'!$B$2:$G$358,MATCH($A56,'BASE METAS DIÁRIAS'!$A$2:$A$358,0),MOD(ROW()-2,6)+1),""),"")</f>
        <v/>
      </c>
      <c r="H56" s="159">
        <f>IFERROR(IF(INDEX('CONTROLE PRODUÇÃO POR EMPRESAS'!$B$6:$G$5000,MATCH($A56,'CONTROLE PRODUÇÃO POR EMPRESAS'!$A$6:$A$5000,0),MOD(ROW()-2,6)+1)="","",IFERROR(1*INDEX('CONTROLE PRODUÇÃO POR EMPRESAS'!$B$6:$G$5000,MATCH($A56,'CONTROLE PRODUÇÃO POR EMPRESAS'!$A$6:$A$5000,0),MOD(ROW()-2,6)+1),"")),"")</f>
        <v/>
      </c>
      <c r="I56" s="159">
        <f>IF(OR(NOT(ISNUMBER(G56)),NOT(ISNUMBER(H56))),"",H56-G56)</f>
        <v/>
      </c>
      <c r="J56" s="319">
        <f>IF(OR(NOT(ISNUMBER(G56)),NOT(ISNUMBER(H56)),G56=0),"",I56/G56)</f>
        <v/>
      </c>
      <c r="K56" s="319">
        <f>IF(OR(NOT(ISNUMBER(G56)),NOT(ISNUMBER(H56)),G56=0),"",H56/G56)</f>
        <v/>
      </c>
      <c r="L56">
        <f>IF(NOT(ISNUMBER(G56)),"SEM META",IF(G56=0,"SEM META",IF(NOT(ISNUMBER(H56)),"SEM APONTAMENTO",IF(H56&gt;=G56,"VERDE",IF(H56&gt;=G56*0.9,"AMARELO","VERMELHO")))))</f>
        <v/>
      </c>
      <c r="M56" s="162" t="n"/>
      <c r="N56" s="162" t="n"/>
      <c r="O56" s="162" t="n"/>
      <c r="P56" s="162" t="n"/>
      <c r="Q56" s="320" t="n"/>
      <c r="R56" s="162" t="inlineStr">
        <is>
          <t>CONTROLE PRODUÇÃO POR EMPRESAS!B15</t>
        </is>
      </c>
    </row>
    <row r="57" hidden="1" ht="28.5" customHeight="1">
      <c r="A57" s="317" t="n">
        <v>46232</v>
      </c>
      <c r="B57" t="inlineStr">
        <is>
          <t>GERAL</t>
        </is>
      </c>
      <c r="C57" t="inlineStr">
        <is>
          <t>EJ</t>
        </is>
      </c>
      <c r="D57" t="inlineStr">
        <is>
          <t>IÇAMENTO JOIST</t>
        </is>
      </c>
      <c r="F57" s="159">
        <f>IFERROR(INDEX('BASE METAS DIÁRIAS'!$N$2:$S$358,MATCH($A57,'BASE METAS DIÁRIAS'!$A$2:$A$358,0),MOD(ROW()-2,6)+1),"")</f>
        <v/>
      </c>
      <c r="G57" s="159">
        <f>IFERROR(IF(WEEKDAY($A57,2)&lt;=INDEX('BASE METAS DIÁRIAS'!$H$2:$M$358,MATCH($A57,'BASE METAS DIÁRIAS'!$A$2:$A$358,0),MOD(ROW()-2,6)+1),INDEX('BASE METAS DIÁRIAS'!$B$2:$G$358,MATCH($A57,'BASE METAS DIÁRIAS'!$A$2:$A$358,0),MOD(ROW()-2,6)+1),""),"")</f>
        <v/>
      </c>
      <c r="H57" s="159">
        <f>IFERROR(IF(INDEX('CONTROLE PRODUÇÃO POR EMPRESAS'!$B$6:$G$5000,MATCH($A57,'CONTROLE PRODUÇÃO POR EMPRESAS'!$A$6:$A$5000,0),MOD(ROW()-2,6)+1)="","",IFERROR(1*INDEX('CONTROLE PRODUÇÃO POR EMPRESAS'!$B$6:$G$5000,MATCH($A57,'CONTROLE PRODUÇÃO POR EMPRESAS'!$A$6:$A$5000,0),MOD(ROW()-2,6)+1),"")),"")</f>
        <v/>
      </c>
      <c r="I57" s="159">
        <f>IF(OR(NOT(ISNUMBER(G57)),NOT(ISNUMBER(H57))),"",H57-G57)</f>
        <v/>
      </c>
      <c r="J57" s="319">
        <f>IF(OR(NOT(ISNUMBER(G57)),NOT(ISNUMBER(H57)),G57=0),"",I57/G57)</f>
        <v/>
      </c>
      <c r="K57" s="319">
        <f>IF(OR(NOT(ISNUMBER(G57)),NOT(ISNUMBER(H57)),G57=0),"",H57/G57)</f>
        <v/>
      </c>
      <c r="L57">
        <f>IF(NOT(ISNUMBER(G57)),"SEM META",IF(G57=0,"SEM META",IF(NOT(ISNUMBER(H57)),"SEM APONTAMENTO",IF(H57&gt;=G57,"VERDE",IF(H57&gt;=G57*0.9,"AMARELO","VERMELHO")))))</f>
        <v/>
      </c>
      <c r="M57" s="162" t="n"/>
      <c r="N57" s="162" t="n"/>
      <c r="O57" s="162" t="n"/>
      <c r="P57" s="162" t="n"/>
      <c r="Q57" s="320" t="n"/>
      <c r="R57" s="162" t="inlineStr">
        <is>
          <t>CONTROLE PRODUÇÃO POR EMPRESAS!C15</t>
        </is>
      </c>
    </row>
    <row r="58" hidden="1" ht="28.5" customHeight="1">
      <c r="A58" s="317" t="n">
        <v>46232</v>
      </c>
      <c r="B58" t="inlineStr">
        <is>
          <t>GERAL</t>
        </is>
      </c>
      <c r="C58" t="inlineStr">
        <is>
          <t>EJ</t>
        </is>
      </c>
      <c r="D58" t="inlineStr">
        <is>
          <t>VIGAS</t>
        </is>
      </c>
      <c r="F58" s="159">
        <f>IFERROR(INDEX('BASE METAS DIÁRIAS'!$N$2:$S$358,MATCH($A58,'BASE METAS DIÁRIAS'!$A$2:$A$358,0),MOD(ROW()-2,6)+1),"")</f>
        <v/>
      </c>
      <c r="G58" s="159">
        <f>IFERROR(IF(WEEKDAY($A58,2)&lt;=INDEX('BASE METAS DIÁRIAS'!$H$2:$M$358,MATCH($A58,'BASE METAS DIÁRIAS'!$A$2:$A$358,0),MOD(ROW()-2,6)+1),INDEX('BASE METAS DIÁRIAS'!$B$2:$G$358,MATCH($A58,'BASE METAS DIÁRIAS'!$A$2:$A$358,0),MOD(ROW()-2,6)+1),""),"")</f>
        <v/>
      </c>
      <c r="H58" s="159">
        <f>IFERROR(IF(INDEX('CONTROLE PRODUÇÃO POR EMPRESAS'!$B$6:$G$5000,MATCH($A58,'CONTROLE PRODUÇÃO POR EMPRESAS'!$A$6:$A$5000,0),MOD(ROW()-2,6)+1)="","",IFERROR(1*INDEX('CONTROLE PRODUÇÃO POR EMPRESAS'!$B$6:$G$5000,MATCH($A58,'CONTROLE PRODUÇÃO POR EMPRESAS'!$A$6:$A$5000,0),MOD(ROW()-2,6)+1),"")),"")</f>
        <v/>
      </c>
      <c r="I58" s="159">
        <f>IF(OR(NOT(ISNUMBER(G58)),NOT(ISNUMBER(H58))),"",H58-G58)</f>
        <v/>
      </c>
      <c r="J58" s="319">
        <f>IF(OR(NOT(ISNUMBER(G58)),NOT(ISNUMBER(H58)),G58=0),"",I58/G58)</f>
        <v/>
      </c>
      <c r="K58" s="319">
        <f>IF(OR(NOT(ISNUMBER(G58)),NOT(ISNUMBER(H58)),G58=0),"",H58/G58)</f>
        <v/>
      </c>
      <c r="L58">
        <f>IF(NOT(ISNUMBER(G58)),"SEM META",IF(G58=0,"SEM META",IF(NOT(ISNUMBER(H58)),"SEM APONTAMENTO",IF(H58&gt;=G58,"VERDE",IF(H58&gt;=G58*0.9,"AMARELO","VERMELHO")))))</f>
        <v/>
      </c>
      <c r="M58" s="162" t="n"/>
      <c r="N58" s="162" t="n"/>
      <c r="O58" s="162" t="n"/>
      <c r="P58" s="162" t="n"/>
      <c r="Q58" s="320" t="n"/>
      <c r="R58" s="162" t="inlineStr">
        <is>
          <t>CONTROLE PRODUÇÃO POR EMPRESAS!D15</t>
        </is>
      </c>
    </row>
    <row r="59" hidden="1" ht="28.5" customHeight="1">
      <c r="A59" s="317" t="n">
        <v>46232</v>
      </c>
      <c r="B59" t="inlineStr">
        <is>
          <t>GERAL</t>
        </is>
      </c>
      <c r="C59" t="inlineStr">
        <is>
          <t>CMM</t>
        </is>
      </c>
      <c r="D59" t="inlineStr">
        <is>
          <t>PREMONTAGEM</t>
        </is>
      </c>
      <c r="F59" s="159">
        <f>IFERROR(INDEX('BASE METAS DIÁRIAS'!$N$2:$S$358,MATCH($A59,'BASE METAS DIÁRIAS'!$A$2:$A$358,0),MOD(ROW()-2,6)+1),"")</f>
        <v/>
      </c>
      <c r="G59" s="159">
        <f>IFERROR(IF(WEEKDAY($A59,2)&lt;=INDEX('BASE METAS DIÁRIAS'!$H$2:$M$358,MATCH($A59,'BASE METAS DIÁRIAS'!$A$2:$A$358,0),MOD(ROW()-2,6)+1),INDEX('BASE METAS DIÁRIAS'!$B$2:$G$358,MATCH($A59,'BASE METAS DIÁRIAS'!$A$2:$A$358,0),MOD(ROW()-2,6)+1),""),"")</f>
        <v/>
      </c>
      <c r="H59" s="159">
        <f>IFERROR(IF(INDEX('CONTROLE PRODUÇÃO POR EMPRESAS'!$B$6:$G$5000,MATCH($A59,'CONTROLE PRODUÇÃO POR EMPRESAS'!$A$6:$A$5000,0),MOD(ROW()-2,6)+1)="","",IFERROR(1*INDEX('CONTROLE PRODUÇÃO POR EMPRESAS'!$B$6:$G$5000,MATCH($A59,'CONTROLE PRODUÇÃO POR EMPRESAS'!$A$6:$A$5000,0),MOD(ROW()-2,6)+1),"")),"")</f>
        <v/>
      </c>
      <c r="I59" s="159">
        <f>IF(OR(NOT(ISNUMBER(G59)),NOT(ISNUMBER(H59))),"",H59-G59)</f>
        <v/>
      </c>
      <c r="J59" s="319">
        <f>IF(OR(NOT(ISNUMBER(G59)),NOT(ISNUMBER(H59)),G59=0),"",I59/G59)</f>
        <v/>
      </c>
      <c r="K59" s="319">
        <f>IF(OR(NOT(ISNUMBER(G59)),NOT(ISNUMBER(H59)),G59=0),"",H59/G59)</f>
        <v/>
      </c>
      <c r="L59">
        <f>IF(NOT(ISNUMBER(G59)),"SEM META",IF(G59=0,"SEM META",IF(NOT(ISNUMBER(H59)),"SEM APONTAMENTO",IF(H59&gt;=G59,"VERDE",IF(H59&gt;=G59*0.9,"AMARELO","VERMELHO")))))</f>
        <v/>
      </c>
      <c r="M59" s="162" t="n"/>
      <c r="N59" s="162" t="n"/>
      <c r="O59" s="162" t="n"/>
      <c r="P59" s="162" t="n"/>
      <c r="Q59" s="320" t="n"/>
      <c r="R59" s="162" t="inlineStr">
        <is>
          <t>CONTROLE PRODUÇÃO POR EMPRESAS!E15</t>
        </is>
      </c>
    </row>
    <row r="60" hidden="1" ht="28.5" customHeight="1">
      <c r="A60" s="317" t="n">
        <v>46232</v>
      </c>
      <c r="B60" t="inlineStr">
        <is>
          <t>GERAL</t>
        </is>
      </c>
      <c r="C60" t="inlineStr">
        <is>
          <t>CMM</t>
        </is>
      </c>
      <c r="D60" t="inlineStr">
        <is>
          <t>IÇAMENTO JOIST</t>
        </is>
      </c>
      <c r="F60" s="159">
        <f>IFERROR(INDEX('BASE METAS DIÁRIAS'!$N$2:$S$358,MATCH($A60,'BASE METAS DIÁRIAS'!$A$2:$A$358,0),MOD(ROW()-2,6)+1),"")</f>
        <v/>
      </c>
      <c r="G60" s="159">
        <f>IFERROR(IF(WEEKDAY($A60,2)&lt;=INDEX('BASE METAS DIÁRIAS'!$H$2:$M$358,MATCH($A60,'BASE METAS DIÁRIAS'!$A$2:$A$358,0),MOD(ROW()-2,6)+1),INDEX('BASE METAS DIÁRIAS'!$B$2:$G$358,MATCH($A60,'BASE METAS DIÁRIAS'!$A$2:$A$358,0),MOD(ROW()-2,6)+1),""),"")</f>
        <v/>
      </c>
      <c r="H60" s="159">
        <f>IFERROR(IF(INDEX('CONTROLE PRODUÇÃO POR EMPRESAS'!$B$6:$G$5000,MATCH($A60,'CONTROLE PRODUÇÃO POR EMPRESAS'!$A$6:$A$5000,0),MOD(ROW()-2,6)+1)="","",IFERROR(1*INDEX('CONTROLE PRODUÇÃO POR EMPRESAS'!$B$6:$G$5000,MATCH($A60,'CONTROLE PRODUÇÃO POR EMPRESAS'!$A$6:$A$5000,0),MOD(ROW()-2,6)+1),"")),"")</f>
        <v/>
      </c>
      <c r="I60" s="159">
        <f>IF(OR(NOT(ISNUMBER(G60)),NOT(ISNUMBER(H60))),"",H60-G60)</f>
        <v/>
      </c>
      <c r="J60" s="319">
        <f>IF(OR(NOT(ISNUMBER(G60)),NOT(ISNUMBER(H60)),G60=0),"",I60/G60)</f>
        <v/>
      </c>
      <c r="K60" s="319">
        <f>IF(OR(NOT(ISNUMBER(G60)),NOT(ISNUMBER(H60)),G60=0),"",H60/G60)</f>
        <v/>
      </c>
      <c r="L60">
        <f>IF(NOT(ISNUMBER(G60)),"SEM META",IF(G60=0,"SEM META",IF(NOT(ISNUMBER(H60)),"SEM APONTAMENTO",IF(H60&gt;=G60,"VERDE",IF(H60&gt;=G60*0.9,"AMARELO","VERMELHO")))))</f>
        <v/>
      </c>
      <c r="M60" s="162" t="n"/>
      <c r="N60" s="162" t="n"/>
      <c r="O60" s="162" t="n"/>
      <c r="P60" s="162" t="n"/>
      <c r="Q60" s="320" t="n"/>
      <c r="R60" s="162" t="inlineStr">
        <is>
          <t>CONTROLE PRODUÇÃO POR EMPRESAS!F15</t>
        </is>
      </c>
    </row>
    <row r="61" hidden="1" ht="28.5" customHeight="1">
      <c r="A61" s="317" t="n">
        <v>46232</v>
      </c>
      <c r="B61" t="inlineStr">
        <is>
          <t>GERAL</t>
        </is>
      </c>
      <c r="C61" t="inlineStr">
        <is>
          <t>CMM</t>
        </is>
      </c>
      <c r="D61" t="inlineStr">
        <is>
          <t>VIGAS</t>
        </is>
      </c>
      <c r="F61" s="159">
        <f>IFERROR(INDEX('BASE METAS DIÁRIAS'!$N$2:$S$358,MATCH($A61,'BASE METAS DIÁRIAS'!$A$2:$A$358,0),MOD(ROW()-2,6)+1),"")</f>
        <v/>
      </c>
      <c r="G61" s="159">
        <f>IFERROR(IF(WEEKDAY($A61,2)&lt;=INDEX('BASE METAS DIÁRIAS'!$H$2:$M$358,MATCH($A61,'BASE METAS DIÁRIAS'!$A$2:$A$358,0),MOD(ROW()-2,6)+1),INDEX('BASE METAS DIÁRIAS'!$B$2:$G$358,MATCH($A61,'BASE METAS DIÁRIAS'!$A$2:$A$358,0),MOD(ROW()-2,6)+1),""),"")</f>
        <v/>
      </c>
      <c r="H61" s="159">
        <f>IFERROR(IF(INDEX('CONTROLE PRODUÇÃO POR EMPRESAS'!$B$6:$G$5000,MATCH($A61,'CONTROLE PRODUÇÃO POR EMPRESAS'!$A$6:$A$5000,0),MOD(ROW()-2,6)+1)="","",IFERROR(1*INDEX('CONTROLE PRODUÇÃO POR EMPRESAS'!$B$6:$G$5000,MATCH($A61,'CONTROLE PRODUÇÃO POR EMPRESAS'!$A$6:$A$5000,0),MOD(ROW()-2,6)+1),"")),"")</f>
        <v/>
      </c>
      <c r="I61" s="159">
        <f>IF(OR(NOT(ISNUMBER(G61)),NOT(ISNUMBER(H61))),"",H61-G61)</f>
        <v/>
      </c>
      <c r="J61" s="319">
        <f>IF(OR(NOT(ISNUMBER(G61)),NOT(ISNUMBER(H61)),G61=0),"",I61/G61)</f>
        <v/>
      </c>
      <c r="K61" s="319">
        <f>IF(OR(NOT(ISNUMBER(G61)),NOT(ISNUMBER(H61)),G61=0),"",H61/G61)</f>
        <v/>
      </c>
      <c r="L61">
        <f>IF(NOT(ISNUMBER(G61)),"SEM META",IF(G61=0,"SEM META",IF(NOT(ISNUMBER(H61)),"SEM APONTAMENTO",IF(H61&gt;=G61,"VERDE",IF(H61&gt;=G61*0.9,"AMARELO","VERMELHO")))))</f>
        <v/>
      </c>
      <c r="M61" s="162" t="n"/>
      <c r="N61" s="162" t="n"/>
      <c r="O61" s="162" t="n"/>
      <c r="P61" s="162" t="n"/>
      <c r="Q61" s="320" t="n"/>
      <c r="R61" s="162" t="inlineStr">
        <is>
          <t>CONTROLE PRODUÇÃO POR EMPRESAS!G15</t>
        </is>
      </c>
    </row>
    <row r="62" hidden="1" ht="28.5" customHeight="1">
      <c r="A62" s="317" t="n">
        <v>46233</v>
      </c>
      <c r="B62" t="inlineStr">
        <is>
          <t>GERAL</t>
        </is>
      </c>
      <c r="C62" t="inlineStr">
        <is>
          <t>EJ</t>
        </is>
      </c>
      <c r="D62" t="inlineStr">
        <is>
          <t>PREMONTAGEM</t>
        </is>
      </c>
      <c r="F62" s="159">
        <f>IFERROR(INDEX('BASE METAS DIÁRIAS'!$N$2:$S$358,MATCH($A62,'BASE METAS DIÁRIAS'!$A$2:$A$358,0),MOD(ROW()-2,6)+1),"")</f>
        <v/>
      </c>
      <c r="G62" s="159">
        <f>IFERROR(IF(WEEKDAY($A62,2)&lt;=INDEX('BASE METAS DIÁRIAS'!$H$2:$M$358,MATCH($A62,'BASE METAS DIÁRIAS'!$A$2:$A$358,0),MOD(ROW()-2,6)+1),INDEX('BASE METAS DIÁRIAS'!$B$2:$G$358,MATCH($A62,'BASE METAS DIÁRIAS'!$A$2:$A$358,0),MOD(ROW()-2,6)+1),""),"")</f>
        <v/>
      </c>
      <c r="H62" s="159">
        <f>IFERROR(IF(INDEX('CONTROLE PRODUÇÃO POR EMPRESAS'!$B$6:$G$5000,MATCH($A62,'CONTROLE PRODUÇÃO POR EMPRESAS'!$A$6:$A$5000,0),MOD(ROW()-2,6)+1)="","",IFERROR(1*INDEX('CONTROLE PRODUÇÃO POR EMPRESAS'!$B$6:$G$5000,MATCH($A62,'CONTROLE PRODUÇÃO POR EMPRESAS'!$A$6:$A$5000,0),MOD(ROW()-2,6)+1),"")),"")</f>
        <v/>
      </c>
      <c r="I62" s="159">
        <f>IF(OR(NOT(ISNUMBER(G62)),NOT(ISNUMBER(H62))),"",H62-G62)</f>
        <v/>
      </c>
      <c r="J62" s="319">
        <f>IF(OR(NOT(ISNUMBER(G62)),NOT(ISNUMBER(H62)),G62=0),"",I62/G62)</f>
        <v/>
      </c>
      <c r="K62" s="319">
        <f>IF(OR(NOT(ISNUMBER(G62)),NOT(ISNUMBER(H62)),G62=0),"",H62/G62)</f>
        <v/>
      </c>
      <c r="L62">
        <f>IF(NOT(ISNUMBER(G62)),"SEM META",IF(G62=0,"SEM META",IF(NOT(ISNUMBER(H62)),"SEM APONTAMENTO",IF(H62&gt;=G62,"VERDE",IF(H62&gt;=G62*0.9,"AMARELO","VERMELHO")))))</f>
        <v/>
      </c>
      <c r="M62" s="162" t="n"/>
      <c r="N62" s="162" t="n"/>
      <c r="O62" s="162" t="n"/>
      <c r="P62" s="162" t="n"/>
      <c r="Q62" s="320" t="n"/>
      <c r="R62" s="162" t="inlineStr">
        <is>
          <t>CONTROLE PRODUÇÃO POR EMPRESAS!B16</t>
        </is>
      </c>
    </row>
    <row r="63" hidden="1" ht="28.5" customHeight="1">
      <c r="A63" s="317" t="n">
        <v>46233</v>
      </c>
      <c r="B63" t="inlineStr">
        <is>
          <t>GERAL</t>
        </is>
      </c>
      <c r="C63" t="inlineStr">
        <is>
          <t>EJ</t>
        </is>
      </c>
      <c r="D63" t="inlineStr">
        <is>
          <t>IÇAMENTO JOIST</t>
        </is>
      </c>
      <c r="F63" s="159">
        <f>IFERROR(INDEX('BASE METAS DIÁRIAS'!$N$2:$S$358,MATCH($A63,'BASE METAS DIÁRIAS'!$A$2:$A$358,0),MOD(ROW()-2,6)+1),"")</f>
        <v/>
      </c>
      <c r="G63" s="159">
        <f>IFERROR(IF(WEEKDAY($A63,2)&lt;=INDEX('BASE METAS DIÁRIAS'!$H$2:$M$358,MATCH($A63,'BASE METAS DIÁRIAS'!$A$2:$A$358,0),MOD(ROW()-2,6)+1),INDEX('BASE METAS DIÁRIAS'!$B$2:$G$358,MATCH($A63,'BASE METAS DIÁRIAS'!$A$2:$A$358,0),MOD(ROW()-2,6)+1),""),"")</f>
        <v/>
      </c>
      <c r="H63" s="159">
        <f>IFERROR(IF(INDEX('CONTROLE PRODUÇÃO POR EMPRESAS'!$B$6:$G$5000,MATCH($A63,'CONTROLE PRODUÇÃO POR EMPRESAS'!$A$6:$A$5000,0),MOD(ROW()-2,6)+1)="","",IFERROR(1*INDEX('CONTROLE PRODUÇÃO POR EMPRESAS'!$B$6:$G$5000,MATCH($A63,'CONTROLE PRODUÇÃO POR EMPRESAS'!$A$6:$A$5000,0),MOD(ROW()-2,6)+1),"")),"")</f>
        <v/>
      </c>
      <c r="I63" s="159">
        <f>IF(OR(NOT(ISNUMBER(G63)),NOT(ISNUMBER(H63))),"",H63-G63)</f>
        <v/>
      </c>
      <c r="J63" s="319">
        <f>IF(OR(NOT(ISNUMBER(G63)),NOT(ISNUMBER(H63)),G63=0),"",I63/G63)</f>
        <v/>
      </c>
      <c r="K63" s="319">
        <f>IF(OR(NOT(ISNUMBER(G63)),NOT(ISNUMBER(H63)),G63=0),"",H63/G63)</f>
        <v/>
      </c>
      <c r="L63">
        <f>IF(NOT(ISNUMBER(G63)),"SEM META",IF(G63=0,"SEM META",IF(NOT(ISNUMBER(H63)),"SEM APONTAMENTO",IF(H63&gt;=G63,"VERDE",IF(H63&gt;=G63*0.9,"AMARELO","VERMELHO")))))</f>
        <v/>
      </c>
      <c r="M63" s="162" t="n"/>
      <c r="N63" s="162" t="n"/>
      <c r="O63" s="162" t="n"/>
      <c r="P63" s="162" t="n"/>
      <c r="Q63" s="320" t="n"/>
      <c r="R63" s="162" t="inlineStr">
        <is>
          <t>CONTROLE PRODUÇÃO POR EMPRESAS!C16</t>
        </is>
      </c>
    </row>
    <row r="64" hidden="1" ht="28.5" customHeight="1">
      <c r="A64" s="317" t="n">
        <v>46233</v>
      </c>
      <c r="B64" t="inlineStr">
        <is>
          <t>GERAL</t>
        </is>
      </c>
      <c r="C64" t="inlineStr">
        <is>
          <t>EJ</t>
        </is>
      </c>
      <c r="D64" t="inlineStr">
        <is>
          <t>VIGAS</t>
        </is>
      </c>
      <c r="F64" s="159">
        <f>IFERROR(INDEX('BASE METAS DIÁRIAS'!$N$2:$S$358,MATCH($A64,'BASE METAS DIÁRIAS'!$A$2:$A$358,0),MOD(ROW()-2,6)+1),"")</f>
        <v/>
      </c>
      <c r="G64" s="159">
        <f>IFERROR(IF(WEEKDAY($A64,2)&lt;=INDEX('BASE METAS DIÁRIAS'!$H$2:$M$358,MATCH($A64,'BASE METAS DIÁRIAS'!$A$2:$A$358,0),MOD(ROW()-2,6)+1),INDEX('BASE METAS DIÁRIAS'!$B$2:$G$358,MATCH($A64,'BASE METAS DIÁRIAS'!$A$2:$A$358,0),MOD(ROW()-2,6)+1),""),"")</f>
        <v/>
      </c>
      <c r="H64" s="159">
        <f>IFERROR(IF(INDEX('CONTROLE PRODUÇÃO POR EMPRESAS'!$B$6:$G$5000,MATCH($A64,'CONTROLE PRODUÇÃO POR EMPRESAS'!$A$6:$A$5000,0),MOD(ROW()-2,6)+1)="","",IFERROR(1*INDEX('CONTROLE PRODUÇÃO POR EMPRESAS'!$B$6:$G$5000,MATCH($A64,'CONTROLE PRODUÇÃO POR EMPRESAS'!$A$6:$A$5000,0),MOD(ROW()-2,6)+1),"")),"")</f>
        <v/>
      </c>
      <c r="I64" s="159">
        <f>IF(OR(NOT(ISNUMBER(G64)),NOT(ISNUMBER(H64))),"",H64-G64)</f>
        <v/>
      </c>
      <c r="J64" s="319">
        <f>IF(OR(NOT(ISNUMBER(G64)),NOT(ISNUMBER(H64)),G64=0),"",I64/G64)</f>
        <v/>
      </c>
      <c r="K64" s="319">
        <f>IF(OR(NOT(ISNUMBER(G64)),NOT(ISNUMBER(H64)),G64=0),"",H64/G64)</f>
        <v/>
      </c>
      <c r="L64">
        <f>IF(NOT(ISNUMBER(G64)),"SEM META",IF(G64=0,"SEM META",IF(NOT(ISNUMBER(H64)),"SEM APONTAMENTO",IF(H64&gt;=G64,"VERDE",IF(H64&gt;=G64*0.9,"AMARELO","VERMELHO")))))</f>
        <v/>
      </c>
      <c r="M64" s="162" t="n"/>
      <c r="N64" s="162" t="n"/>
      <c r="O64" s="162" t="n"/>
      <c r="P64" s="162" t="n"/>
      <c r="Q64" s="320" t="n"/>
      <c r="R64" s="162" t="inlineStr">
        <is>
          <t>CONTROLE PRODUÇÃO POR EMPRESAS!D16</t>
        </is>
      </c>
    </row>
    <row r="65" hidden="1" ht="28.5" customHeight="1">
      <c r="A65" s="317" t="n">
        <v>46233</v>
      </c>
      <c r="B65" t="inlineStr">
        <is>
          <t>GERAL</t>
        </is>
      </c>
      <c r="C65" t="inlineStr">
        <is>
          <t>CMM</t>
        </is>
      </c>
      <c r="D65" t="inlineStr">
        <is>
          <t>PREMONTAGEM</t>
        </is>
      </c>
      <c r="F65" s="159">
        <f>IFERROR(INDEX('BASE METAS DIÁRIAS'!$N$2:$S$358,MATCH($A65,'BASE METAS DIÁRIAS'!$A$2:$A$358,0),MOD(ROW()-2,6)+1),"")</f>
        <v/>
      </c>
      <c r="G65" s="159">
        <f>IFERROR(IF(WEEKDAY($A65,2)&lt;=INDEX('BASE METAS DIÁRIAS'!$H$2:$M$358,MATCH($A65,'BASE METAS DIÁRIAS'!$A$2:$A$358,0),MOD(ROW()-2,6)+1),INDEX('BASE METAS DIÁRIAS'!$B$2:$G$358,MATCH($A65,'BASE METAS DIÁRIAS'!$A$2:$A$358,0),MOD(ROW()-2,6)+1),""),"")</f>
        <v/>
      </c>
      <c r="H65" s="159">
        <f>IFERROR(IF(INDEX('CONTROLE PRODUÇÃO POR EMPRESAS'!$B$6:$G$5000,MATCH($A65,'CONTROLE PRODUÇÃO POR EMPRESAS'!$A$6:$A$5000,0),MOD(ROW()-2,6)+1)="","",IFERROR(1*INDEX('CONTROLE PRODUÇÃO POR EMPRESAS'!$B$6:$G$5000,MATCH($A65,'CONTROLE PRODUÇÃO POR EMPRESAS'!$A$6:$A$5000,0),MOD(ROW()-2,6)+1),"")),"")</f>
        <v/>
      </c>
      <c r="I65" s="159">
        <f>IF(OR(NOT(ISNUMBER(G65)),NOT(ISNUMBER(H65))),"",H65-G65)</f>
        <v/>
      </c>
      <c r="J65" s="319">
        <f>IF(OR(NOT(ISNUMBER(G65)),NOT(ISNUMBER(H65)),G65=0),"",I65/G65)</f>
        <v/>
      </c>
      <c r="K65" s="319">
        <f>IF(OR(NOT(ISNUMBER(G65)),NOT(ISNUMBER(H65)),G65=0),"",H65/G65)</f>
        <v/>
      </c>
      <c r="L65">
        <f>IF(NOT(ISNUMBER(G65)),"SEM META",IF(G65=0,"SEM META",IF(NOT(ISNUMBER(H65)),"SEM APONTAMENTO",IF(H65&gt;=G65,"VERDE",IF(H65&gt;=G65*0.9,"AMARELO","VERMELHO")))))</f>
        <v/>
      </c>
      <c r="M65" s="162" t="n"/>
      <c r="N65" s="162" t="n"/>
      <c r="O65" s="162" t="n"/>
      <c r="P65" s="162" t="n"/>
      <c r="Q65" s="320" t="n"/>
      <c r="R65" s="162" t="inlineStr">
        <is>
          <t>CONTROLE PRODUÇÃO POR EMPRESAS!E16</t>
        </is>
      </c>
    </row>
    <row r="66" hidden="1" ht="28.5" customHeight="1">
      <c r="A66" s="317" t="n">
        <v>46233</v>
      </c>
      <c r="B66" t="inlineStr">
        <is>
          <t>GERAL</t>
        </is>
      </c>
      <c r="C66" t="inlineStr">
        <is>
          <t>CMM</t>
        </is>
      </c>
      <c r="D66" t="inlineStr">
        <is>
          <t>IÇAMENTO JOIST</t>
        </is>
      </c>
      <c r="F66" s="159">
        <f>IFERROR(INDEX('BASE METAS DIÁRIAS'!$N$2:$S$358,MATCH($A66,'BASE METAS DIÁRIAS'!$A$2:$A$358,0),MOD(ROW()-2,6)+1),"")</f>
        <v/>
      </c>
      <c r="G66" s="159">
        <f>IFERROR(IF(WEEKDAY($A66,2)&lt;=INDEX('BASE METAS DIÁRIAS'!$H$2:$M$358,MATCH($A66,'BASE METAS DIÁRIAS'!$A$2:$A$358,0),MOD(ROW()-2,6)+1),INDEX('BASE METAS DIÁRIAS'!$B$2:$G$358,MATCH($A66,'BASE METAS DIÁRIAS'!$A$2:$A$358,0),MOD(ROW()-2,6)+1),""),"")</f>
        <v/>
      </c>
      <c r="H66" s="159">
        <f>IFERROR(IF(INDEX('CONTROLE PRODUÇÃO POR EMPRESAS'!$B$6:$G$5000,MATCH($A66,'CONTROLE PRODUÇÃO POR EMPRESAS'!$A$6:$A$5000,0),MOD(ROW()-2,6)+1)="","",IFERROR(1*INDEX('CONTROLE PRODUÇÃO POR EMPRESAS'!$B$6:$G$5000,MATCH($A66,'CONTROLE PRODUÇÃO POR EMPRESAS'!$A$6:$A$5000,0),MOD(ROW()-2,6)+1),"")),"")</f>
        <v/>
      </c>
      <c r="I66" s="159">
        <f>IF(OR(NOT(ISNUMBER(G66)),NOT(ISNUMBER(H66))),"",H66-G66)</f>
        <v/>
      </c>
      <c r="J66" s="319">
        <f>IF(OR(NOT(ISNUMBER(G66)),NOT(ISNUMBER(H66)),G66=0),"",I66/G66)</f>
        <v/>
      </c>
      <c r="K66" s="319">
        <f>IF(OR(NOT(ISNUMBER(G66)),NOT(ISNUMBER(H66)),G66=0),"",H66/G66)</f>
        <v/>
      </c>
      <c r="L66">
        <f>IF(NOT(ISNUMBER(G66)),"SEM META",IF(G66=0,"SEM META",IF(NOT(ISNUMBER(H66)),"SEM APONTAMENTO",IF(H66&gt;=G66,"VERDE",IF(H66&gt;=G66*0.9,"AMARELO","VERMELHO")))))</f>
        <v/>
      </c>
      <c r="M66" s="162" t="n"/>
      <c r="N66" s="162" t="n"/>
      <c r="O66" s="162" t="n"/>
      <c r="P66" s="162" t="n"/>
      <c r="Q66" s="320" t="n"/>
      <c r="R66" s="162" t="inlineStr">
        <is>
          <t>CONTROLE PRODUÇÃO POR EMPRESAS!F16</t>
        </is>
      </c>
    </row>
    <row r="67" hidden="1" ht="28.5" customHeight="1">
      <c r="A67" s="317" t="n">
        <v>46233</v>
      </c>
      <c r="B67" t="inlineStr">
        <is>
          <t>GERAL</t>
        </is>
      </c>
      <c r="C67" t="inlineStr">
        <is>
          <t>CMM</t>
        </is>
      </c>
      <c r="D67" t="inlineStr">
        <is>
          <t>VIGAS</t>
        </is>
      </c>
      <c r="F67" s="159">
        <f>IFERROR(INDEX('BASE METAS DIÁRIAS'!$N$2:$S$358,MATCH($A67,'BASE METAS DIÁRIAS'!$A$2:$A$358,0),MOD(ROW()-2,6)+1),"")</f>
        <v/>
      </c>
      <c r="G67" s="159">
        <f>IFERROR(IF(WEEKDAY($A67,2)&lt;=INDEX('BASE METAS DIÁRIAS'!$H$2:$M$358,MATCH($A67,'BASE METAS DIÁRIAS'!$A$2:$A$358,0),MOD(ROW()-2,6)+1),INDEX('BASE METAS DIÁRIAS'!$B$2:$G$358,MATCH($A67,'BASE METAS DIÁRIAS'!$A$2:$A$358,0),MOD(ROW()-2,6)+1),""),"")</f>
        <v/>
      </c>
      <c r="H67" s="159">
        <f>IFERROR(IF(INDEX('CONTROLE PRODUÇÃO POR EMPRESAS'!$B$6:$G$5000,MATCH($A67,'CONTROLE PRODUÇÃO POR EMPRESAS'!$A$6:$A$5000,0),MOD(ROW()-2,6)+1)="","",IFERROR(1*INDEX('CONTROLE PRODUÇÃO POR EMPRESAS'!$B$6:$G$5000,MATCH($A67,'CONTROLE PRODUÇÃO POR EMPRESAS'!$A$6:$A$5000,0),MOD(ROW()-2,6)+1),"")),"")</f>
        <v/>
      </c>
      <c r="I67" s="159">
        <f>IF(OR(NOT(ISNUMBER(G67)),NOT(ISNUMBER(H67))),"",H67-G67)</f>
        <v/>
      </c>
      <c r="J67" s="319">
        <f>IF(OR(NOT(ISNUMBER(G67)),NOT(ISNUMBER(H67)),G67=0),"",I67/G67)</f>
        <v/>
      </c>
      <c r="K67" s="319">
        <f>IF(OR(NOT(ISNUMBER(G67)),NOT(ISNUMBER(H67)),G67=0),"",H67/G67)</f>
        <v/>
      </c>
      <c r="L67">
        <f>IF(NOT(ISNUMBER(G67)),"SEM META",IF(G67=0,"SEM META",IF(NOT(ISNUMBER(H67)),"SEM APONTAMENTO",IF(H67&gt;=G67,"VERDE",IF(H67&gt;=G67*0.9,"AMARELO","VERMELHO")))))</f>
        <v/>
      </c>
      <c r="M67" s="162" t="n"/>
      <c r="N67" s="162" t="n"/>
      <c r="O67" s="162" t="n"/>
      <c r="P67" s="162" t="n"/>
      <c r="Q67" s="320" t="n"/>
      <c r="R67" s="162" t="inlineStr">
        <is>
          <t>CONTROLE PRODUÇÃO POR EMPRESAS!G16</t>
        </is>
      </c>
    </row>
    <row r="68" hidden="1" ht="28.5" customHeight="1">
      <c r="A68" s="317" t="n">
        <v>46234</v>
      </c>
      <c r="B68" t="inlineStr">
        <is>
          <t>GERAL</t>
        </is>
      </c>
      <c r="C68" t="inlineStr">
        <is>
          <t>EJ</t>
        </is>
      </c>
      <c r="D68" t="inlineStr">
        <is>
          <t>PREMONTAGEM</t>
        </is>
      </c>
      <c r="F68" s="159">
        <f>IFERROR(INDEX('BASE METAS DIÁRIAS'!$N$2:$S$358,MATCH($A68,'BASE METAS DIÁRIAS'!$A$2:$A$358,0),MOD(ROW()-2,6)+1),"")</f>
        <v/>
      </c>
      <c r="G68" s="159">
        <f>IFERROR(IF(WEEKDAY($A68,2)&lt;=INDEX('BASE METAS DIÁRIAS'!$H$2:$M$358,MATCH($A68,'BASE METAS DIÁRIAS'!$A$2:$A$358,0),MOD(ROW()-2,6)+1),INDEX('BASE METAS DIÁRIAS'!$B$2:$G$358,MATCH($A68,'BASE METAS DIÁRIAS'!$A$2:$A$358,0),MOD(ROW()-2,6)+1),""),"")</f>
        <v/>
      </c>
      <c r="H68" s="159">
        <f>IFERROR(IF(INDEX('CONTROLE PRODUÇÃO POR EMPRESAS'!$B$6:$G$5000,MATCH($A68,'CONTROLE PRODUÇÃO POR EMPRESAS'!$A$6:$A$5000,0),MOD(ROW()-2,6)+1)="","",IFERROR(1*INDEX('CONTROLE PRODUÇÃO POR EMPRESAS'!$B$6:$G$5000,MATCH($A68,'CONTROLE PRODUÇÃO POR EMPRESAS'!$A$6:$A$5000,0),MOD(ROW()-2,6)+1),"")),"")</f>
        <v/>
      </c>
      <c r="I68" s="159">
        <f>IF(OR(NOT(ISNUMBER(G68)),NOT(ISNUMBER(H68))),"",H68-G68)</f>
        <v/>
      </c>
      <c r="J68" s="319">
        <f>IF(OR(NOT(ISNUMBER(G68)),NOT(ISNUMBER(H68)),G68=0),"",I68/G68)</f>
        <v/>
      </c>
      <c r="K68" s="319">
        <f>IF(OR(NOT(ISNUMBER(G68)),NOT(ISNUMBER(H68)),G68=0),"",H68/G68)</f>
        <v/>
      </c>
      <c r="L68">
        <f>IF(NOT(ISNUMBER(G68)),"SEM META",IF(G68=0,"SEM META",IF(NOT(ISNUMBER(H68)),"SEM APONTAMENTO",IF(H68&gt;=G68,"VERDE",IF(H68&gt;=G68*0.9,"AMARELO","VERMELHO")))))</f>
        <v/>
      </c>
      <c r="M68" s="162" t="n"/>
      <c r="N68" s="162" t="n"/>
      <c r="O68" s="162" t="n"/>
      <c r="P68" s="162" t="n"/>
      <c r="Q68" s="320" t="n"/>
      <c r="R68" s="162" t="inlineStr">
        <is>
          <t>CONTROLE PRODUÇÃO POR EMPRESAS!B17</t>
        </is>
      </c>
    </row>
    <row r="69" hidden="1" ht="28.5" customHeight="1">
      <c r="A69" s="317" t="n">
        <v>46234</v>
      </c>
      <c r="B69" t="inlineStr">
        <is>
          <t>GERAL</t>
        </is>
      </c>
      <c r="C69" t="inlineStr">
        <is>
          <t>EJ</t>
        </is>
      </c>
      <c r="D69" t="inlineStr">
        <is>
          <t>IÇAMENTO JOIST</t>
        </is>
      </c>
      <c r="F69" s="159">
        <f>IFERROR(INDEX('BASE METAS DIÁRIAS'!$N$2:$S$358,MATCH($A69,'BASE METAS DIÁRIAS'!$A$2:$A$358,0),MOD(ROW()-2,6)+1),"")</f>
        <v/>
      </c>
      <c r="G69" s="159">
        <f>IFERROR(IF(WEEKDAY($A69,2)&lt;=INDEX('BASE METAS DIÁRIAS'!$H$2:$M$358,MATCH($A69,'BASE METAS DIÁRIAS'!$A$2:$A$358,0),MOD(ROW()-2,6)+1),INDEX('BASE METAS DIÁRIAS'!$B$2:$G$358,MATCH($A69,'BASE METAS DIÁRIAS'!$A$2:$A$358,0),MOD(ROW()-2,6)+1),""),"")</f>
        <v/>
      </c>
      <c r="H69" s="159">
        <f>IFERROR(IF(INDEX('CONTROLE PRODUÇÃO POR EMPRESAS'!$B$6:$G$5000,MATCH($A69,'CONTROLE PRODUÇÃO POR EMPRESAS'!$A$6:$A$5000,0),MOD(ROW()-2,6)+1)="","",IFERROR(1*INDEX('CONTROLE PRODUÇÃO POR EMPRESAS'!$B$6:$G$5000,MATCH($A69,'CONTROLE PRODUÇÃO POR EMPRESAS'!$A$6:$A$5000,0),MOD(ROW()-2,6)+1),"")),"")</f>
        <v/>
      </c>
      <c r="I69" s="159">
        <f>IF(OR(NOT(ISNUMBER(G69)),NOT(ISNUMBER(H69))),"",H69-G69)</f>
        <v/>
      </c>
      <c r="J69" s="319">
        <f>IF(OR(NOT(ISNUMBER(G69)),NOT(ISNUMBER(H69)),G69=0),"",I69/G69)</f>
        <v/>
      </c>
      <c r="K69" s="319">
        <f>IF(OR(NOT(ISNUMBER(G69)),NOT(ISNUMBER(H69)),G69=0),"",H69/G69)</f>
        <v/>
      </c>
      <c r="L69">
        <f>IF(NOT(ISNUMBER(G69)),"SEM META",IF(G69=0,"SEM META",IF(NOT(ISNUMBER(H69)),"SEM APONTAMENTO",IF(H69&gt;=G69,"VERDE",IF(H69&gt;=G69*0.9,"AMARELO","VERMELHO")))))</f>
        <v/>
      </c>
      <c r="M69" s="162" t="n"/>
      <c r="N69" s="162" t="n"/>
      <c r="O69" s="162" t="n"/>
      <c r="P69" s="162" t="n"/>
      <c r="Q69" s="320" t="n"/>
      <c r="R69" s="162" t="inlineStr">
        <is>
          <t>CONTROLE PRODUÇÃO POR EMPRESAS!C17</t>
        </is>
      </c>
    </row>
    <row r="70" hidden="1" ht="28.5" customHeight="1">
      <c r="A70" s="317" t="n">
        <v>46234</v>
      </c>
      <c r="B70" t="inlineStr">
        <is>
          <t>GERAL</t>
        </is>
      </c>
      <c r="C70" t="inlineStr">
        <is>
          <t>EJ</t>
        </is>
      </c>
      <c r="D70" t="inlineStr">
        <is>
          <t>VIGAS</t>
        </is>
      </c>
      <c r="F70" s="159">
        <f>IFERROR(INDEX('BASE METAS DIÁRIAS'!$N$2:$S$358,MATCH($A70,'BASE METAS DIÁRIAS'!$A$2:$A$358,0),MOD(ROW()-2,6)+1),"")</f>
        <v/>
      </c>
      <c r="G70" s="159">
        <f>IFERROR(IF(WEEKDAY($A70,2)&lt;=INDEX('BASE METAS DIÁRIAS'!$H$2:$M$358,MATCH($A70,'BASE METAS DIÁRIAS'!$A$2:$A$358,0),MOD(ROW()-2,6)+1),INDEX('BASE METAS DIÁRIAS'!$B$2:$G$358,MATCH($A70,'BASE METAS DIÁRIAS'!$A$2:$A$358,0),MOD(ROW()-2,6)+1),""),"")</f>
        <v/>
      </c>
      <c r="H70" s="159">
        <f>IFERROR(IF(INDEX('CONTROLE PRODUÇÃO POR EMPRESAS'!$B$6:$G$5000,MATCH($A70,'CONTROLE PRODUÇÃO POR EMPRESAS'!$A$6:$A$5000,0),MOD(ROW()-2,6)+1)="","",IFERROR(1*INDEX('CONTROLE PRODUÇÃO POR EMPRESAS'!$B$6:$G$5000,MATCH($A70,'CONTROLE PRODUÇÃO POR EMPRESAS'!$A$6:$A$5000,0),MOD(ROW()-2,6)+1),"")),"")</f>
        <v/>
      </c>
      <c r="I70" s="159">
        <f>IF(OR(NOT(ISNUMBER(G70)),NOT(ISNUMBER(H70))),"",H70-G70)</f>
        <v/>
      </c>
      <c r="J70" s="319">
        <f>IF(OR(NOT(ISNUMBER(G70)),NOT(ISNUMBER(H70)),G70=0),"",I70/G70)</f>
        <v/>
      </c>
      <c r="K70" s="319">
        <f>IF(OR(NOT(ISNUMBER(G70)),NOT(ISNUMBER(H70)),G70=0),"",H70/G70)</f>
        <v/>
      </c>
      <c r="L70">
        <f>IF(NOT(ISNUMBER(G70)),"SEM META",IF(G70=0,"SEM META",IF(NOT(ISNUMBER(H70)),"SEM APONTAMENTO",IF(H70&gt;=G70,"VERDE",IF(H70&gt;=G70*0.9,"AMARELO","VERMELHO")))))</f>
        <v/>
      </c>
      <c r="M70" s="162" t="n"/>
      <c r="N70" s="162" t="n"/>
      <c r="O70" s="162" t="n"/>
      <c r="P70" s="162" t="n"/>
      <c r="Q70" s="320" t="n"/>
      <c r="R70" s="162" t="inlineStr">
        <is>
          <t>CONTROLE PRODUÇÃO POR EMPRESAS!D17</t>
        </is>
      </c>
    </row>
    <row r="71" hidden="1" ht="28.5" customHeight="1">
      <c r="A71" s="317" t="n">
        <v>46234</v>
      </c>
      <c r="B71" t="inlineStr">
        <is>
          <t>GERAL</t>
        </is>
      </c>
      <c r="C71" t="inlineStr">
        <is>
          <t>CMM</t>
        </is>
      </c>
      <c r="D71" t="inlineStr">
        <is>
          <t>PREMONTAGEM</t>
        </is>
      </c>
      <c r="F71" s="159">
        <f>IFERROR(INDEX('BASE METAS DIÁRIAS'!$N$2:$S$358,MATCH($A71,'BASE METAS DIÁRIAS'!$A$2:$A$358,0),MOD(ROW()-2,6)+1),"")</f>
        <v/>
      </c>
      <c r="G71" s="159">
        <f>IFERROR(IF(WEEKDAY($A71,2)&lt;=INDEX('BASE METAS DIÁRIAS'!$H$2:$M$358,MATCH($A71,'BASE METAS DIÁRIAS'!$A$2:$A$358,0),MOD(ROW()-2,6)+1),INDEX('BASE METAS DIÁRIAS'!$B$2:$G$358,MATCH($A71,'BASE METAS DIÁRIAS'!$A$2:$A$358,0),MOD(ROW()-2,6)+1),""),"")</f>
        <v/>
      </c>
      <c r="H71" s="159">
        <f>IFERROR(IF(INDEX('CONTROLE PRODUÇÃO POR EMPRESAS'!$B$6:$G$5000,MATCH($A71,'CONTROLE PRODUÇÃO POR EMPRESAS'!$A$6:$A$5000,0),MOD(ROW()-2,6)+1)="","",IFERROR(1*INDEX('CONTROLE PRODUÇÃO POR EMPRESAS'!$B$6:$G$5000,MATCH($A71,'CONTROLE PRODUÇÃO POR EMPRESAS'!$A$6:$A$5000,0),MOD(ROW()-2,6)+1),"")),"")</f>
        <v/>
      </c>
      <c r="I71" s="159">
        <f>IF(OR(NOT(ISNUMBER(G71)),NOT(ISNUMBER(H71))),"",H71-G71)</f>
        <v/>
      </c>
      <c r="J71" s="319">
        <f>IF(OR(NOT(ISNUMBER(G71)),NOT(ISNUMBER(H71)),G71=0),"",I71/G71)</f>
        <v/>
      </c>
      <c r="K71" s="319">
        <f>IF(OR(NOT(ISNUMBER(G71)),NOT(ISNUMBER(H71)),G71=0),"",H71/G71)</f>
        <v/>
      </c>
      <c r="L71">
        <f>IF(NOT(ISNUMBER(G71)),"SEM META",IF(G71=0,"SEM META",IF(NOT(ISNUMBER(H71)),"SEM APONTAMENTO",IF(H71&gt;=G71,"VERDE",IF(H71&gt;=G71*0.9,"AMARELO","VERMELHO")))))</f>
        <v/>
      </c>
      <c r="M71" s="162" t="n"/>
      <c r="N71" s="162" t="n"/>
      <c r="O71" s="162" t="n"/>
      <c r="P71" s="162" t="n"/>
      <c r="Q71" s="320" t="n"/>
      <c r="R71" s="162" t="inlineStr">
        <is>
          <t>CONTROLE PRODUÇÃO POR EMPRESAS!E17</t>
        </is>
      </c>
    </row>
    <row r="72" hidden="1" ht="28.5" customHeight="1">
      <c r="A72" s="317" t="n">
        <v>46234</v>
      </c>
      <c r="B72" t="inlineStr">
        <is>
          <t>GERAL</t>
        </is>
      </c>
      <c r="C72" t="inlineStr">
        <is>
          <t>CMM</t>
        </is>
      </c>
      <c r="D72" t="inlineStr">
        <is>
          <t>IÇAMENTO JOIST</t>
        </is>
      </c>
      <c r="F72" s="159">
        <f>IFERROR(INDEX('BASE METAS DIÁRIAS'!$N$2:$S$358,MATCH($A72,'BASE METAS DIÁRIAS'!$A$2:$A$358,0),MOD(ROW()-2,6)+1),"")</f>
        <v/>
      </c>
      <c r="G72" s="159">
        <f>IFERROR(IF(WEEKDAY($A72,2)&lt;=INDEX('BASE METAS DIÁRIAS'!$H$2:$M$358,MATCH($A72,'BASE METAS DIÁRIAS'!$A$2:$A$358,0),MOD(ROW()-2,6)+1),INDEX('BASE METAS DIÁRIAS'!$B$2:$G$358,MATCH($A72,'BASE METAS DIÁRIAS'!$A$2:$A$358,0),MOD(ROW()-2,6)+1),""),"")</f>
        <v/>
      </c>
      <c r="H72" s="159">
        <f>IFERROR(IF(INDEX('CONTROLE PRODUÇÃO POR EMPRESAS'!$B$6:$G$5000,MATCH($A72,'CONTROLE PRODUÇÃO POR EMPRESAS'!$A$6:$A$5000,0),MOD(ROW()-2,6)+1)="","",IFERROR(1*INDEX('CONTROLE PRODUÇÃO POR EMPRESAS'!$B$6:$G$5000,MATCH($A72,'CONTROLE PRODUÇÃO POR EMPRESAS'!$A$6:$A$5000,0),MOD(ROW()-2,6)+1),"")),"")</f>
        <v/>
      </c>
      <c r="I72" s="159">
        <f>IF(OR(NOT(ISNUMBER(G72)),NOT(ISNUMBER(H72))),"",H72-G72)</f>
        <v/>
      </c>
      <c r="J72" s="319">
        <f>IF(OR(NOT(ISNUMBER(G72)),NOT(ISNUMBER(H72)),G72=0),"",I72/G72)</f>
        <v/>
      </c>
      <c r="K72" s="319">
        <f>IF(OR(NOT(ISNUMBER(G72)),NOT(ISNUMBER(H72)),G72=0),"",H72/G72)</f>
        <v/>
      </c>
      <c r="L72">
        <f>IF(NOT(ISNUMBER(G72)),"SEM META",IF(G72=0,"SEM META",IF(NOT(ISNUMBER(H72)),"SEM APONTAMENTO",IF(H72&gt;=G72,"VERDE",IF(H72&gt;=G72*0.9,"AMARELO","VERMELHO")))))</f>
        <v/>
      </c>
      <c r="M72" s="162" t="n"/>
      <c r="N72" s="162" t="n"/>
      <c r="O72" s="162" t="n"/>
      <c r="P72" s="162" t="n"/>
      <c r="Q72" s="320" t="n"/>
      <c r="R72" s="162" t="inlineStr">
        <is>
          <t>CONTROLE PRODUÇÃO POR EMPRESAS!F17</t>
        </is>
      </c>
    </row>
    <row r="73" hidden="1" ht="28.5" customHeight="1">
      <c r="A73" s="317" t="n">
        <v>46234</v>
      </c>
      <c r="B73" t="inlineStr">
        <is>
          <t>GERAL</t>
        </is>
      </c>
      <c r="C73" t="inlineStr">
        <is>
          <t>CMM</t>
        </is>
      </c>
      <c r="D73" t="inlineStr">
        <is>
          <t>VIGAS</t>
        </is>
      </c>
      <c r="F73" s="159">
        <f>IFERROR(INDEX('BASE METAS DIÁRIAS'!$N$2:$S$358,MATCH($A73,'BASE METAS DIÁRIAS'!$A$2:$A$358,0),MOD(ROW()-2,6)+1),"")</f>
        <v/>
      </c>
      <c r="G73" s="159">
        <f>IFERROR(IF(WEEKDAY($A73,2)&lt;=INDEX('BASE METAS DIÁRIAS'!$H$2:$M$358,MATCH($A73,'BASE METAS DIÁRIAS'!$A$2:$A$358,0),MOD(ROW()-2,6)+1),INDEX('BASE METAS DIÁRIAS'!$B$2:$G$358,MATCH($A73,'BASE METAS DIÁRIAS'!$A$2:$A$358,0),MOD(ROW()-2,6)+1),""),"")</f>
        <v/>
      </c>
      <c r="H73" s="159">
        <f>IFERROR(IF(INDEX('CONTROLE PRODUÇÃO POR EMPRESAS'!$B$6:$G$5000,MATCH($A73,'CONTROLE PRODUÇÃO POR EMPRESAS'!$A$6:$A$5000,0),MOD(ROW()-2,6)+1)="","",IFERROR(1*INDEX('CONTROLE PRODUÇÃO POR EMPRESAS'!$B$6:$G$5000,MATCH($A73,'CONTROLE PRODUÇÃO POR EMPRESAS'!$A$6:$A$5000,0),MOD(ROW()-2,6)+1),"")),"")</f>
        <v/>
      </c>
      <c r="I73" s="159">
        <f>IF(OR(NOT(ISNUMBER(G73)),NOT(ISNUMBER(H73))),"",H73-G73)</f>
        <v/>
      </c>
      <c r="J73" s="319">
        <f>IF(OR(NOT(ISNUMBER(G73)),NOT(ISNUMBER(H73)),G73=0),"",I73/G73)</f>
        <v/>
      </c>
      <c r="K73" s="319">
        <f>IF(OR(NOT(ISNUMBER(G73)),NOT(ISNUMBER(H73)),G73=0),"",H73/G73)</f>
        <v/>
      </c>
      <c r="L73">
        <f>IF(NOT(ISNUMBER(G73)),"SEM META",IF(G73=0,"SEM META",IF(NOT(ISNUMBER(H73)),"SEM APONTAMENTO",IF(H73&gt;=G73,"VERDE",IF(H73&gt;=G73*0.9,"AMARELO","VERMELHO")))))</f>
        <v/>
      </c>
      <c r="M73" s="162" t="n"/>
      <c r="N73" s="162" t="n"/>
      <c r="O73" s="162" t="n"/>
      <c r="P73" s="162" t="n"/>
      <c r="Q73" s="320" t="n"/>
      <c r="R73" s="162" t="inlineStr">
        <is>
          <t>CONTROLE PRODUÇÃO POR EMPRESAS!G17</t>
        </is>
      </c>
    </row>
    <row r="74" hidden="1" ht="28.5" customHeight="1">
      <c r="A74" s="317" t="n">
        <v>46235</v>
      </c>
      <c r="B74" t="inlineStr">
        <is>
          <t>GERAL</t>
        </is>
      </c>
      <c r="C74" t="inlineStr">
        <is>
          <t>EJ</t>
        </is>
      </c>
      <c r="D74" t="inlineStr">
        <is>
          <t>PREMONTAGEM</t>
        </is>
      </c>
      <c r="F74" s="159">
        <f>IFERROR(INDEX('BASE METAS DIÁRIAS'!$N$2:$S$358,MATCH($A74,'BASE METAS DIÁRIAS'!$A$2:$A$358,0),MOD(ROW()-2,6)+1),"")</f>
        <v/>
      </c>
      <c r="G74" s="159">
        <f>IFERROR(IF(WEEKDAY($A74,2)&lt;=INDEX('BASE METAS DIÁRIAS'!$H$2:$M$358,MATCH($A74,'BASE METAS DIÁRIAS'!$A$2:$A$358,0),MOD(ROW()-2,6)+1),INDEX('BASE METAS DIÁRIAS'!$B$2:$G$358,MATCH($A74,'BASE METAS DIÁRIAS'!$A$2:$A$358,0),MOD(ROW()-2,6)+1),""),"")</f>
        <v/>
      </c>
      <c r="H74" s="159">
        <f>IFERROR(IF(INDEX('CONTROLE PRODUÇÃO POR EMPRESAS'!$B$6:$G$5000,MATCH($A74,'CONTROLE PRODUÇÃO POR EMPRESAS'!$A$6:$A$5000,0),MOD(ROW()-2,6)+1)="","",IFERROR(1*INDEX('CONTROLE PRODUÇÃO POR EMPRESAS'!$B$6:$G$5000,MATCH($A74,'CONTROLE PRODUÇÃO POR EMPRESAS'!$A$6:$A$5000,0),MOD(ROW()-2,6)+1),"")),"")</f>
        <v/>
      </c>
      <c r="I74" s="159">
        <f>IF(OR(NOT(ISNUMBER(G74)),NOT(ISNUMBER(H74))),"",H74-G74)</f>
        <v/>
      </c>
      <c r="J74" s="319">
        <f>IF(OR(NOT(ISNUMBER(G74)),NOT(ISNUMBER(H74)),G74=0),"",I74/G74)</f>
        <v/>
      </c>
      <c r="K74" s="319">
        <f>IF(OR(NOT(ISNUMBER(G74)),NOT(ISNUMBER(H74)),G74=0),"",H74/G74)</f>
        <v/>
      </c>
      <c r="L74">
        <f>IF(NOT(ISNUMBER(G74)),"SEM META",IF(G74=0,"SEM META",IF(NOT(ISNUMBER(H74)),"SEM APONTAMENTO",IF(H74&gt;=G74,"VERDE",IF(H74&gt;=G74*0.9,"AMARELO","VERMELHO")))))</f>
        <v/>
      </c>
      <c r="M74" s="162" t="n"/>
      <c r="N74" s="162" t="n"/>
      <c r="O74" s="162" t="n"/>
      <c r="P74" s="162" t="n"/>
      <c r="Q74" s="320" t="n"/>
      <c r="R74" s="162" t="inlineStr">
        <is>
          <t>CONTROLE PRODUÇÃO POR EMPRESAS!B18</t>
        </is>
      </c>
    </row>
    <row r="75" hidden="1" ht="28.5" customHeight="1">
      <c r="A75" s="317" t="n">
        <v>46235</v>
      </c>
      <c r="B75" t="inlineStr">
        <is>
          <t>GERAL</t>
        </is>
      </c>
      <c r="C75" t="inlineStr">
        <is>
          <t>EJ</t>
        </is>
      </c>
      <c r="D75" t="inlineStr">
        <is>
          <t>IÇAMENTO JOIST</t>
        </is>
      </c>
      <c r="F75" s="159">
        <f>IFERROR(INDEX('BASE METAS DIÁRIAS'!$N$2:$S$358,MATCH($A75,'BASE METAS DIÁRIAS'!$A$2:$A$358,0),MOD(ROW()-2,6)+1),"")</f>
        <v/>
      </c>
      <c r="G75" s="159">
        <f>IFERROR(IF(WEEKDAY($A75,2)&lt;=INDEX('BASE METAS DIÁRIAS'!$H$2:$M$358,MATCH($A75,'BASE METAS DIÁRIAS'!$A$2:$A$358,0),MOD(ROW()-2,6)+1),INDEX('BASE METAS DIÁRIAS'!$B$2:$G$358,MATCH($A75,'BASE METAS DIÁRIAS'!$A$2:$A$358,0),MOD(ROW()-2,6)+1),""),"")</f>
        <v/>
      </c>
      <c r="H75" s="159">
        <f>IFERROR(IF(INDEX('CONTROLE PRODUÇÃO POR EMPRESAS'!$B$6:$G$5000,MATCH($A75,'CONTROLE PRODUÇÃO POR EMPRESAS'!$A$6:$A$5000,0),MOD(ROW()-2,6)+1)="","",IFERROR(1*INDEX('CONTROLE PRODUÇÃO POR EMPRESAS'!$B$6:$G$5000,MATCH($A75,'CONTROLE PRODUÇÃO POR EMPRESAS'!$A$6:$A$5000,0),MOD(ROW()-2,6)+1),"")),"")</f>
        <v/>
      </c>
      <c r="I75" s="159">
        <f>IF(OR(NOT(ISNUMBER(G75)),NOT(ISNUMBER(H75))),"",H75-G75)</f>
        <v/>
      </c>
      <c r="J75" s="319">
        <f>IF(OR(NOT(ISNUMBER(G75)),NOT(ISNUMBER(H75)),G75=0),"",I75/G75)</f>
        <v/>
      </c>
      <c r="K75" s="319">
        <f>IF(OR(NOT(ISNUMBER(G75)),NOT(ISNUMBER(H75)),G75=0),"",H75/G75)</f>
        <v/>
      </c>
      <c r="L75">
        <f>IF(NOT(ISNUMBER(G75)),"SEM META",IF(G75=0,"SEM META",IF(NOT(ISNUMBER(H75)),"SEM APONTAMENTO",IF(H75&gt;=G75,"VERDE",IF(H75&gt;=G75*0.9,"AMARELO","VERMELHO")))))</f>
        <v/>
      </c>
      <c r="M75" s="162" t="n"/>
      <c r="N75" s="162" t="n"/>
      <c r="O75" s="162" t="n"/>
      <c r="P75" s="162" t="n"/>
      <c r="Q75" s="320" t="n"/>
      <c r="R75" s="162" t="inlineStr">
        <is>
          <t>CONTROLE PRODUÇÃO POR EMPRESAS!C18</t>
        </is>
      </c>
    </row>
    <row r="76" hidden="1" ht="28.5" customHeight="1">
      <c r="A76" s="317" t="n">
        <v>46235</v>
      </c>
      <c r="B76" t="inlineStr">
        <is>
          <t>GERAL</t>
        </is>
      </c>
      <c r="C76" t="inlineStr">
        <is>
          <t>EJ</t>
        </is>
      </c>
      <c r="D76" t="inlineStr">
        <is>
          <t>VIGAS</t>
        </is>
      </c>
      <c r="F76" s="159">
        <f>IFERROR(INDEX('BASE METAS DIÁRIAS'!$N$2:$S$358,MATCH($A76,'BASE METAS DIÁRIAS'!$A$2:$A$358,0),MOD(ROW()-2,6)+1),"")</f>
        <v/>
      </c>
      <c r="G76" s="159">
        <f>IFERROR(IF(WEEKDAY($A76,2)&lt;=INDEX('BASE METAS DIÁRIAS'!$H$2:$M$358,MATCH($A76,'BASE METAS DIÁRIAS'!$A$2:$A$358,0),MOD(ROW()-2,6)+1),INDEX('BASE METAS DIÁRIAS'!$B$2:$G$358,MATCH($A76,'BASE METAS DIÁRIAS'!$A$2:$A$358,0),MOD(ROW()-2,6)+1),""),"")</f>
        <v/>
      </c>
      <c r="H76" s="159">
        <f>IFERROR(IF(INDEX('CONTROLE PRODUÇÃO POR EMPRESAS'!$B$6:$G$5000,MATCH($A76,'CONTROLE PRODUÇÃO POR EMPRESAS'!$A$6:$A$5000,0),MOD(ROW()-2,6)+1)="","",IFERROR(1*INDEX('CONTROLE PRODUÇÃO POR EMPRESAS'!$B$6:$G$5000,MATCH($A76,'CONTROLE PRODUÇÃO POR EMPRESAS'!$A$6:$A$5000,0),MOD(ROW()-2,6)+1),"")),"")</f>
        <v/>
      </c>
      <c r="I76" s="159">
        <f>IF(OR(NOT(ISNUMBER(G76)),NOT(ISNUMBER(H76))),"",H76-G76)</f>
        <v/>
      </c>
      <c r="J76" s="319">
        <f>IF(OR(NOT(ISNUMBER(G76)),NOT(ISNUMBER(H76)),G76=0),"",I76/G76)</f>
        <v/>
      </c>
      <c r="K76" s="319">
        <f>IF(OR(NOT(ISNUMBER(G76)),NOT(ISNUMBER(H76)),G76=0),"",H76/G76)</f>
        <v/>
      </c>
      <c r="L76">
        <f>IF(NOT(ISNUMBER(G76)),"SEM META",IF(G76=0,"SEM META",IF(NOT(ISNUMBER(H76)),"SEM APONTAMENTO",IF(H76&gt;=G76,"VERDE",IF(H76&gt;=G76*0.9,"AMARELO","VERMELHO")))))</f>
        <v/>
      </c>
      <c r="M76" s="162" t="n"/>
      <c r="N76" s="162" t="n"/>
      <c r="O76" s="162" t="n"/>
      <c r="P76" s="162" t="n"/>
      <c r="Q76" s="320" t="n"/>
      <c r="R76" s="162" t="inlineStr">
        <is>
          <t>CONTROLE PRODUÇÃO POR EMPRESAS!D18</t>
        </is>
      </c>
    </row>
    <row r="77" hidden="1" ht="28.5" customHeight="1">
      <c r="A77" s="317" t="n">
        <v>46235</v>
      </c>
      <c r="B77" t="inlineStr">
        <is>
          <t>GERAL</t>
        </is>
      </c>
      <c r="C77" t="inlineStr">
        <is>
          <t>CMM</t>
        </is>
      </c>
      <c r="D77" t="inlineStr">
        <is>
          <t>PREMONTAGEM</t>
        </is>
      </c>
      <c r="F77" s="159">
        <f>IFERROR(INDEX('BASE METAS DIÁRIAS'!$N$2:$S$358,MATCH($A77,'BASE METAS DIÁRIAS'!$A$2:$A$358,0),MOD(ROW()-2,6)+1),"")</f>
        <v/>
      </c>
      <c r="G77" s="159">
        <f>IFERROR(IF(WEEKDAY($A77,2)&lt;=INDEX('BASE METAS DIÁRIAS'!$H$2:$M$358,MATCH($A77,'BASE METAS DIÁRIAS'!$A$2:$A$358,0),MOD(ROW()-2,6)+1),INDEX('BASE METAS DIÁRIAS'!$B$2:$G$358,MATCH($A77,'BASE METAS DIÁRIAS'!$A$2:$A$358,0),MOD(ROW()-2,6)+1),""),"")</f>
        <v/>
      </c>
      <c r="H77" s="159">
        <f>IFERROR(IF(INDEX('CONTROLE PRODUÇÃO POR EMPRESAS'!$B$6:$G$5000,MATCH($A77,'CONTROLE PRODUÇÃO POR EMPRESAS'!$A$6:$A$5000,0),MOD(ROW()-2,6)+1)="","",IFERROR(1*INDEX('CONTROLE PRODUÇÃO POR EMPRESAS'!$B$6:$G$5000,MATCH($A77,'CONTROLE PRODUÇÃO POR EMPRESAS'!$A$6:$A$5000,0),MOD(ROW()-2,6)+1),"")),"")</f>
        <v/>
      </c>
      <c r="I77" s="159">
        <f>IF(OR(NOT(ISNUMBER(G77)),NOT(ISNUMBER(H77))),"",H77-G77)</f>
        <v/>
      </c>
      <c r="J77" s="319">
        <f>IF(OR(NOT(ISNUMBER(G77)),NOT(ISNUMBER(H77)),G77=0),"",I77/G77)</f>
        <v/>
      </c>
      <c r="K77" s="319">
        <f>IF(OR(NOT(ISNUMBER(G77)),NOT(ISNUMBER(H77)),G77=0),"",H77/G77)</f>
        <v/>
      </c>
      <c r="L77">
        <f>IF(NOT(ISNUMBER(G77)),"SEM META",IF(G77=0,"SEM META",IF(NOT(ISNUMBER(H77)),"SEM APONTAMENTO",IF(H77&gt;=G77,"VERDE",IF(H77&gt;=G77*0.9,"AMARELO","VERMELHO")))))</f>
        <v/>
      </c>
      <c r="M77" s="162" t="n"/>
      <c r="N77" s="162" t="n"/>
      <c r="O77" s="162" t="n"/>
      <c r="P77" s="162" t="n"/>
      <c r="Q77" s="320" t="n"/>
      <c r="R77" s="162" t="inlineStr">
        <is>
          <t>CONTROLE PRODUÇÃO POR EMPRESAS!E18</t>
        </is>
      </c>
    </row>
    <row r="78" hidden="1" ht="28.5" customHeight="1">
      <c r="A78" s="317" t="n">
        <v>46235</v>
      </c>
      <c r="B78" t="inlineStr">
        <is>
          <t>GERAL</t>
        </is>
      </c>
      <c r="C78" t="inlineStr">
        <is>
          <t>CMM</t>
        </is>
      </c>
      <c r="D78" t="inlineStr">
        <is>
          <t>IÇAMENTO JOIST</t>
        </is>
      </c>
      <c r="F78" s="159">
        <f>IFERROR(INDEX('BASE METAS DIÁRIAS'!$N$2:$S$358,MATCH($A78,'BASE METAS DIÁRIAS'!$A$2:$A$358,0),MOD(ROW()-2,6)+1),"")</f>
        <v/>
      </c>
      <c r="G78" s="159">
        <f>IFERROR(IF(WEEKDAY($A78,2)&lt;=INDEX('BASE METAS DIÁRIAS'!$H$2:$M$358,MATCH($A78,'BASE METAS DIÁRIAS'!$A$2:$A$358,0),MOD(ROW()-2,6)+1),INDEX('BASE METAS DIÁRIAS'!$B$2:$G$358,MATCH($A78,'BASE METAS DIÁRIAS'!$A$2:$A$358,0),MOD(ROW()-2,6)+1),""),"")</f>
        <v/>
      </c>
      <c r="H78" s="159">
        <f>IFERROR(IF(INDEX('CONTROLE PRODUÇÃO POR EMPRESAS'!$B$6:$G$5000,MATCH($A78,'CONTROLE PRODUÇÃO POR EMPRESAS'!$A$6:$A$5000,0),MOD(ROW()-2,6)+1)="","",IFERROR(1*INDEX('CONTROLE PRODUÇÃO POR EMPRESAS'!$B$6:$G$5000,MATCH($A78,'CONTROLE PRODUÇÃO POR EMPRESAS'!$A$6:$A$5000,0),MOD(ROW()-2,6)+1),"")),"")</f>
        <v/>
      </c>
      <c r="I78" s="159">
        <f>IF(OR(NOT(ISNUMBER(G78)),NOT(ISNUMBER(H78))),"",H78-G78)</f>
        <v/>
      </c>
      <c r="J78" s="319">
        <f>IF(OR(NOT(ISNUMBER(G78)),NOT(ISNUMBER(H78)),G78=0),"",I78/G78)</f>
        <v/>
      </c>
      <c r="K78" s="319">
        <f>IF(OR(NOT(ISNUMBER(G78)),NOT(ISNUMBER(H78)),G78=0),"",H78/G78)</f>
        <v/>
      </c>
      <c r="L78">
        <f>IF(NOT(ISNUMBER(G78)),"SEM META",IF(G78=0,"SEM META",IF(NOT(ISNUMBER(H78)),"SEM APONTAMENTO",IF(H78&gt;=G78,"VERDE",IF(H78&gt;=G78*0.9,"AMARELO","VERMELHO")))))</f>
        <v/>
      </c>
      <c r="M78" s="162" t="n"/>
      <c r="N78" s="162" t="n"/>
      <c r="O78" s="162" t="n"/>
      <c r="P78" s="162" t="n"/>
      <c r="Q78" s="320" t="n"/>
      <c r="R78" s="162" t="inlineStr">
        <is>
          <t>CONTROLE PRODUÇÃO POR EMPRESAS!F18</t>
        </is>
      </c>
    </row>
    <row r="79" hidden="1" ht="28.5" customHeight="1">
      <c r="A79" s="317" t="n">
        <v>46235</v>
      </c>
      <c r="B79" t="inlineStr">
        <is>
          <t>GERAL</t>
        </is>
      </c>
      <c r="C79" t="inlineStr">
        <is>
          <t>CMM</t>
        </is>
      </c>
      <c r="D79" t="inlineStr">
        <is>
          <t>VIGAS</t>
        </is>
      </c>
      <c r="F79" s="159">
        <f>IFERROR(INDEX('BASE METAS DIÁRIAS'!$N$2:$S$358,MATCH($A79,'BASE METAS DIÁRIAS'!$A$2:$A$358,0),MOD(ROW()-2,6)+1),"")</f>
        <v/>
      </c>
      <c r="G79" s="159">
        <f>IFERROR(IF(WEEKDAY($A79,2)&lt;=INDEX('BASE METAS DIÁRIAS'!$H$2:$M$358,MATCH($A79,'BASE METAS DIÁRIAS'!$A$2:$A$358,0),MOD(ROW()-2,6)+1),INDEX('BASE METAS DIÁRIAS'!$B$2:$G$358,MATCH($A79,'BASE METAS DIÁRIAS'!$A$2:$A$358,0),MOD(ROW()-2,6)+1),""),"")</f>
        <v/>
      </c>
      <c r="H79" s="159">
        <f>IFERROR(IF(INDEX('CONTROLE PRODUÇÃO POR EMPRESAS'!$B$6:$G$5000,MATCH($A79,'CONTROLE PRODUÇÃO POR EMPRESAS'!$A$6:$A$5000,0),MOD(ROW()-2,6)+1)="","",IFERROR(1*INDEX('CONTROLE PRODUÇÃO POR EMPRESAS'!$B$6:$G$5000,MATCH($A79,'CONTROLE PRODUÇÃO POR EMPRESAS'!$A$6:$A$5000,0),MOD(ROW()-2,6)+1),"")),"")</f>
        <v/>
      </c>
      <c r="I79" s="159">
        <f>IF(OR(NOT(ISNUMBER(G79)),NOT(ISNUMBER(H79))),"",H79-G79)</f>
        <v/>
      </c>
      <c r="J79" s="319">
        <f>IF(OR(NOT(ISNUMBER(G79)),NOT(ISNUMBER(H79)),G79=0),"",I79/G79)</f>
        <v/>
      </c>
      <c r="K79" s="319">
        <f>IF(OR(NOT(ISNUMBER(G79)),NOT(ISNUMBER(H79)),G79=0),"",H79/G79)</f>
        <v/>
      </c>
      <c r="L79">
        <f>IF(NOT(ISNUMBER(G79)),"SEM META",IF(G79=0,"SEM META",IF(NOT(ISNUMBER(H79)),"SEM APONTAMENTO",IF(H79&gt;=G79,"VERDE",IF(H79&gt;=G79*0.9,"AMARELO","VERMELHO")))))</f>
        <v/>
      </c>
      <c r="M79" s="162" t="n"/>
      <c r="N79" s="162" t="n"/>
      <c r="O79" s="162" t="n"/>
      <c r="P79" s="162" t="n"/>
      <c r="Q79" s="320" t="n"/>
      <c r="R79" s="162" t="inlineStr">
        <is>
          <t>CONTROLE PRODUÇÃO POR EMPRESAS!G18</t>
        </is>
      </c>
    </row>
    <row r="80" hidden="1" ht="28.5" customHeight="1">
      <c r="A80" s="317" t="n">
        <v>46236</v>
      </c>
      <c r="B80" t="inlineStr">
        <is>
          <t>GERAL</t>
        </is>
      </c>
      <c r="C80" t="inlineStr">
        <is>
          <t>EJ</t>
        </is>
      </c>
      <c r="D80" t="inlineStr">
        <is>
          <t>PREMONTAGEM</t>
        </is>
      </c>
      <c r="F80" s="159">
        <f>IFERROR(INDEX('BASE METAS DIÁRIAS'!$N$2:$S$358,MATCH($A80,'BASE METAS DIÁRIAS'!$A$2:$A$358,0),MOD(ROW()-2,6)+1),"")</f>
        <v/>
      </c>
      <c r="G80" s="159">
        <f>IFERROR(IF(WEEKDAY($A80,2)&lt;=INDEX('BASE METAS DIÁRIAS'!$H$2:$M$358,MATCH($A80,'BASE METAS DIÁRIAS'!$A$2:$A$358,0),MOD(ROW()-2,6)+1),INDEX('BASE METAS DIÁRIAS'!$B$2:$G$358,MATCH($A80,'BASE METAS DIÁRIAS'!$A$2:$A$358,0),MOD(ROW()-2,6)+1),""),"")</f>
        <v/>
      </c>
      <c r="H80" s="159">
        <f>IFERROR(IF(INDEX('CONTROLE PRODUÇÃO POR EMPRESAS'!$B$6:$G$5000,MATCH($A80,'CONTROLE PRODUÇÃO POR EMPRESAS'!$A$6:$A$5000,0),MOD(ROW()-2,6)+1)="","",IFERROR(1*INDEX('CONTROLE PRODUÇÃO POR EMPRESAS'!$B$6:$G$5000,MATCH($A80,'CONTROLE PRODUÇÃO POR EMPRESAS'!$A$6:$A$5000,0),MOD(ROW()-2,6)+1),"")),"")</f>
        <v/>
      </c>
      <c r="I80" s="159">
        <f>IF(OR(NOT(ISNUMBER(G80)),NOT(ISNUMBER(H80))),"",H80-G80)</f>
        <v/>
      </c>
      <c r="J80" s="319">
        <f>IF(OR(NOT(ISNUMBER(G80)),NOT(ISNUMBER(H80)),G80=0),"",I80/G80)</f>
        <v/>
      </c>
      <c r="K80" s="319">
        <f>IF(OR(NOT(ISNUMBER(G80)),NOT(ISNUMBER(H80)),G80=0),"",H80/G80)</f>
        <v/>
      </c>
      <c r="L80">
        <f>IF(NOT(ISNUMBER(G80)),"SEM META",IF(G80=0,"SEM META",IF(NOT(ISNUMBER(H80)),"SEM APONTAMENTO",IF(H80&gt;=G80,"VERDE",IF(H80&gt;=G80*0.9,"AMARELO","VERMELHO")))))</f>
        <v/>
      </c>
      <c r="M80" s="162" t="n"/>
      <c r="N80" s="162" t="n"/>
      <c r="O80" s="162" t="n"/>
      <c r="P80" s="162" t="n"/>
      <c r="Q80" s="320" t="n"/>
      <c r="R80" s="162" t="inlineStr">
        <is>
          <t>CONTROLE PRODUÇÃO POR EMPRESAS!B19</t>
        </is>
      </c>
    </row>
    <row r="81" hidden="1" ht="28.5" customHeight="1">
      <c r="A81" s="317" t="n">
        <v>46236</v>
      </c>
      <c r="B81" t="inlineStr">
        <is>
          <t>GERAL</t>
        </is>
      </c>
      <c r="C81" t="inlineStr">
        <is>
          <t>EJ</t>
        </is>
      </c>
      <c r="D81" t="inlineStr">
        <is>
          <t>IÇAMENTO JOIST</t>
        </is>
      </c>
      <c r="F81" s="159">
        <f>IFERROR(INDEX('BASE METAS DIÁRIAS'!$N$2:$S$358,MATCH($A81,'BASE METAS DIÁRIAS'!$A$2:$A$358,0),MOD(ROW()-2,6)+1),"")</f>
        <v/>
      </c>
      <c r="G81" s="159">
        <f>IFERROR(IF(WEEKDAY($A81,2)&lt;=INDEX('BASE METAS DIÁRIAS'!$H$2:$M$358,MATCH($A81,'BASE METAS DIÁRIAS'!$A$2:$A$358,0),MOD(ROW()-2,6)+1),INDEX('BASE METAS DIÁRIAS'!$B$2:$G$358,MATCH($A81,'BASE METAS DIÁRIAS'!$A$2:$A$358,0),MOD(ROW()-2,6)+1),""),"")</f>
        <v/>
      </c>
      <c r="H81" s="159">
        <f>IFERROR(IF(INDEX('CONTROLE PRODUÇÃO POR EMPRESAS'!$B$6:$G$5000,MATCH($A81,'CONTROLE PRODUÇÃO POR EMPRESAS'!$A$6:$A$5000,0),MOD(ROW()-2,6)+1)="","",IFERROR(1*INDEX('CONTROLE PRODUÇÃO POR EMPRESAS'!$B$6:$G$5000,MATCH($A81,'CONTROLE PRODUÇÃO POR EMPRESAS'!$A$6:$A$5000,0),MOD(ROW()-2,6)+1),"")),"")</f>
        <v/>
      </c>
      <c r="I81" s="159">
        <f>IF(OR(NOT(ISNUMBER(G81)),NOT(ISNUMBER(H81))),"",H81-G81)</f>
        <v/>
      </c>
      <c r="J81" s="319">
        <f>IF(OR(NOT(ISNUMBER(G81)),NOT(ISNUMBER(H81)),G81=0),"",I81/G81)</f>
        <v/>
      </c>
      <c r="K81" s="319">
        <f>IF(OR(NOT(ISNUMBER(G81)),NOT(ISNUMBER(H81)),G81=0),"",H81/G81)</f>
        <v/>
      </c>
      <c r="L81">
        <f>IF(NOT(ISNUMBER(G81)),"SEM META",IF(G81=0,"SEM META",IF(NOT(ISNUMBER(H81)),"SEM APONTAMENTO",IF(H81&gt;=G81,"VERDE",IF(H81&gt;=G81*0.9,"AMARELO","VERMELHO")))))</f>
        <v/>
      </c>
      <c r="M81" s="162" t="n"/>
      <c r="N81" s="162" t="n"/>
      <c r="O81" s="162" t="n"/>
      <c r="P81" s="162" t="n"/>
      <c r="Q81" s="320" t="n"/>
      <c r="R81" s="162" t="inlineStr">
        <is>
          <t>CONTROLE PRODUÇÃO POR EMPRESAS!C19</t>
        </is>
      </c>
    </row>
    <row r="82" hidden="1" ht="28.5" customHeight="1">
      <c r="A82" s="317" t="n">
        <v>46236</v>
      </c>
      <c r="B82" t="inlineStr">
        <is>
          <t>GERAL</t>
        </is>
      </c>
      <c r="C82" t="inlineStr">
        <is>
          <t>EJ</t>
        </is>
      </c>
      <c r="D82" t="inlineStr">
        <is>
          <t>VIGAS</t>
        </is>
      </c>
      <c r="F82" s="159">
        <f>IFERROR(INDEX('BASE METAS DIÁRIAS'!$N$2:$S$358,MATCH($A82,'BASE METAS DIÁRIAS'!$A$2:$A$358,0),MOD(ROW()-2,6)+1),"")</f>
        <v/>
      </c>
      <c r="G82" s="159">
        <f>IFERROR(IF(WEEKDAY($A82,2)&lt;=INDEX('BASE METAS DIÁRIAS'!$H$2:$M$358,MATCH($A82,'BASE METAS DIÁRIAS'!$A$2:$A$358,0),MOD(ROW()-2,6)+1),INDEX('BASE METAS DIÁRIAS'!$B$2:$G$358,MATCH($A82,'BASE METAS DIÁRIAS'!$A$2:$A$358,0),MOD(ROW()-2,6)+1),""),"")</f>
        <v/>
      </c>
      <c r="H82" s="159">
        <f>IFERROR(IF(INDEX('CONTROLE PRODUÇÃO POR EMPRESAS'!$B$6:$G$5000,MATCH($A82,'CONTROLE PRODUÇÃO POR EMPRESAS'!$A$6:$A$5000,0),MOD(ROW()-2,6)+1)="","",IFERROR(1*INDEX('CONTROLE PRODUÇÃO POR EMPRESAS'!$B$6:$G$5000,MATCH($A82,'CONTROLE PRODUÇÃO POR EMPRESAS'!$A$6:$A$5000,0),MOD(ROW()-2,6)+1),"")),"")</f>
        <v/>
      </c>
      <c r="I82" s="159">
        <f>IF(OR(NOT(ISNUMBER(G82)),NOT(ISNUMBER(H82))),"",H82-G82)</f>
        <v/>
      </c>
      <c r="J82" s="319">
        <f>IF(OR(NOT(ISNUMBER(G82)),NOT(ISNUMBER(H82)),G82=0),"",I82/G82)</f>
        <v/>
      </c>
      <c r="K82" s="319">
        <f>IF(OR(NOT(ISNUMBER(G82)),NOT(ISNUMBER(H82)),G82=0),"",H82/G82)</f>
        <v/>
      </c>
      <c r="L82">
        <f>IF(NOT(ISNUMBER(G82)),"SEM META",IF(G82=0,"SEM META",IF(NOT(ISNUMBER(H82)),"SEM APONTAMENTO",IF(H82&gt;=G82,"VERDE",IF(H82&gt;=G82*0.9,"AMARELO","VERMELHO")))))</f>
        <v/>
      </c>
      <c r="M82" s="162" t="n"/>
      <c r="N82" s="162" t="n"/>
      <c r="O82" s="162" t="n"/>
      <c r="P82" s="162" t="n"/>
      <c r="Q82" s="320" t="n"/>
      <c r="R82" s="162" t="inlineStr">
        <is>
          <t>CONTROLE PRODUÇÃO POR EMPRESAS!D19</t>
        </is>
      </c>
    </row>
    <row r="83" hidden="1" ht="28.5" customHeight="1">
      <c r="A83" s="317" t="n">
        <v>46236</v>
      </c>
      <c r="B83" t="inlineStr">
        <is>
          <t>GERAL</t>
        </is>
      </c>
      <c r="C83" t="inlineStr">
        <is>
          <t>CMM</t>
        </is>
      </c>
      <c r="D83" t="inlineStr">
        <is>
          <t>PREMONTAGEM</t>
        </is>
      </c>
      <c r="F83" s="159">
        <f>IFERROR(INDEX('BASE METAS DIÁRIAS'!$N$2:$S$358,MATCH($A83,'BASE METAS DIÁRIAS'!$A$2:$A$358,0),MOD(ROW()-2,6)+1),"")</f>
        <v/>
      </c>
      <c r="G83" s="159">
        <f>IFERROR(IF(WEEKDAY($A83,2)&lt;=INDEX('BASE METAS DIÁRIAS'!$H$2:$M$358,MATCH($A83,'BASE METAS DIÁRIAS'!$A$2:$A$358,0),MOD(ROW()-2,6)+1),INDEX('BASE METAS DIÁRIAS'!$B$2:$G$358,MATCH($A83,'BASE METAS DIÁRIAS'!$A$2:$A$358,0),MOD(ROW()-2,6)+1),""),"")</f>
        <v/>
      </c>
      <c r="H83" s="159">
        <f>IFERROR(IF(INDEX('CONTROLE PRODUÇÃO POR EMPRESAS'!$B$6:$G$5000,MATCH($A83,'CONTROLE PRODUÇÃO POR EMPRESAS'!$A$6:$A$5000,0),MOD(ROW()-2,6)+1)="","",IFERROR(1*INDEX('CONTROLE PRODUÇÃO POR EMPRESAS'!$B$6:$G$5000,MATCH($A83,'CONTROLE PRODUÇÃO POR EMPRESAS'!$A$6:$A$5000,0),MOD(ROW()-2,6)+1),"")),"")</f>
        <v/>
      </c>
      <c r="I83" s="159">
        <f>IF(OR(NOT(ISNUMBER(G83)),NOT(ISNUMBER(H83))),"",H83-G83)</f>
        <v/>
      </c>
      <c r="J83" s="319">
        <f>IF(OR(NOT(ISNUMBER(G83)),NOT(ISNUMBER(H83)),G83=0),"",I83/G83)</f>
        <v/>
      </c>
      <c r="K83" s="319">
        <f>IF(OR(NOT(ISNUMBER(G83)),NOT(ISNUMBER(H83)),G83=0),"",H83/G83)</f>
        <v/>
      </c>
      <c r="L83">
        <f>IF(NOT(ISNUMBER(G83)),"SEM META",IF(G83=0,"SEM META",IF(NOT(ISNUMBER(H83)),"SEM APONTAMENTO",IF(H83&gt;=G83,"VERDE",IF(H83&gt;=G83*0.9,"AMARELO","VERMELHO")))))</f>
        <v/>
      </c>
      <c r="M83" s="162" t="n"/>
      <c r="N83" s="162" t="n"/>
      <c r="O83" s="162" t="n"/>
      <c r="P83" s="162" t="n"/>
      <c r="Q83" s="320" t="n"/>
      <c r="R83" s="162" t="inlineStr">
        <is>
          <t>CONTROLE PRODUÇÃO POR EMPRESAS!E19</t>
        </is>
      </c>
    </row>
    <row r="84" hidden="1" ht="28.5" customHeight="1">
      <c r="A84" s="317" t="n">
        <v>46236</v>
      </c>
      <c r="B84" t="inlineStr">
        <is>
          <t>GERAL</t>
        </is>
      </c>
      <c r="C84" t="inlineStr">
        <is>
          <t>CMM</t>
        </is>
      </c>
      <c r="D84" t="inlineStr">
        <is>
          <t>IÇAMENTO JOIST</t>
        </is>
      </c>
      <c r="F84" s="159">
        <f>IFERROR(INDEX('BASE METAS DIÁRIAS'!$N$2:$S$358,MATCH($A84,'BASE METAS DIÁRIAS'!$A$2:$A$358,0),MOD(ROW()-2,6)+1),"")</f>
        <v/>
      </c>
      <c r="G84" s="159">
        <f>IFERROR(IF(WEEKDAY($A84,2)&lt;=INDEX('BASE METAS DIÁRIAS'!$H$2:$M$358,MATCH($A84,'BASE METAS DIÁRIAS'!$A$2:$A$358,0),MOD(ROW()-2,6)+1),INDEX('BASE METAS DIÁRIAS'!$B$2:$G$358,MATCH($A84,'BASE METAS DIÁRIAS'!$A$2:$A$358,0),MOD(ROW()-2,6)+1),""),"")</f>
        <v/>
      </c>
      <c r="H84" s="159">
        <f>IFERROR(IF(INDEX('CONTROLE PRODUÇÃO POR EMPRESAS'!$B$6:$G$5000,MATCH($A84,'CONTROLE PRODUÇÃO POR EMPRESAS'!$A$6:$A$5000,0),MOD(ROW()-2,6)+1)="","",IFERROR(1*INDEX('CONTROLE PRODUÇÃO POR EMPRESAS'!$B$6:$G$5000,MATCH($A84,'CONTROLE PRODUÇÃO POR EMPRESAS'!$A$6:$A$5000,0),MOD(ROW()-2,6)+1),"")),"")</f>
        <v/>
      </c>
      <c r="I84" s="159">
        <f>IF(OR(NOT(ISNUMBER(G84)),NOT(ISNUMBER(H84))),"",H84-G84)</f>
        <v/>
      </c>
      <c r="J84" s="319">
        <f>IF(OR(NOT(ISNUMBER(G84)),NOT(ISNUMBER(H84)),G84=0),"",I84/G84)</f>
        <v/>
      </c>
      <c r="K84" s="319">
        <f>IF(OR(NOT(ISNUMBER(G84)),NOT(ISNUMBER(H84)),G84=0),"",H84/G84)</f>
        <v/>
      </c>
      <c r="L84">
        <f>IF(NOT(ISNUMBER(G84)),"SEM META",IF(G84=0,"SEM META",IF(NOT(ISNUMBER(H84)),"SEM APONTAMENTO",IF(H84&gt;=G84,"VERDE",IF(H84&gt;=G84*0.9,"AMARELO","VERMELHO")))))</f>
        <v/>
      </c>
      <c r="M84" s="162" t="n"/>
      <c r="N84" s="162" t="n"/>
      <c r="O84" s="162" t="n"/>
      <c r="P84" s="162" t="n"/>
      <c r="Q84" s="320" t="n"/>
      <c r="R84" s="162" t="inlineStr">
        <is>
          <t>CONTROLE PRODUÇÃO POR EMPRESAS!F19</t>
        </is>
      </c>
    </row>
    <row r="85" hidden="1" ht="28.5" customHeight="1">
      <c r="A85" s="317" t="n">
        <v>46236</v>
      </c>
      <c r="B85" t="inlineStr">
        <is>
          <t>GERAL</t>
        </is>
      </c>
      <c r="C85" t="inlineStr">
        <is>
          <t>CMM</t>
        </is>
      </c>
      <c r="D85" t="inlineStr">
        <is>
          <t>VIGAS</t>
        </is>
      </c>
      <c r="F85" s="159">
        <f>IFERROR(INDEX('BASE METAS DIÁRIAS'!$N$2:$S$358,MATCH($A85,'BASE METAS DIÁRIAS'!$A$2:$A$358,0),MOD(ROW()-2,6)+1),"")</f>
        <v/>
      </c>
      <c r="G85" s="159">
        <f>IFERROR(IF(WEEKDAY($A85,2)&lt;=INDEX('BASE METAS DIÁRIAS'!$H$2:$M$358,MATCH($A85,'BASE METAS DIÁRIAS'!$A$2:$A$358,0),MOD(ROW()-2,6)+1),INDEX('BASE METAS DIÁRIAS'!$B$2:$G$358,MATCH($A85,'BASE METAS DIÁRIAS'!$A$2:$A$358,0),MOD(ROW()-2,6)+1),""),"")</f>
        <v/>
      </c>
      <c r="H85" s="159">
        <f>IFERROR(IF(INDEX('CONTROLE PRODUÇÃO POR EMPRESAS'!$B$6:$G$5000,MATCH($A85,'CONTROLE PRODUÇÃO POR EMPRESAS'!$A$6:$A$5000,0),MOD(ROW()-2,6)+1)="","",IFERROR(1*INDEX('CONTROLE PRODUÇÃO POR EMPRESAS'!$B$6:$G$5000,MATCH($A85,'CONTROLE PRODUÇÃO POR EMPRESAS'!$A$6:$A$5000,0),MOD(ROW()-2,6)+1),"")),"")</f>
        <v/>
      </c>
      <c r="I85" s="159">
        <f>IF(OR(NOT(ISNUMBER(G85)),NOT(ISNUMBER(H85))),"",H85-G85)</f>
        <v/>
      </c>
      <c r="J85" s="319">
        <f>IF(OR(NOT(ISNUMBER(G85)),NOT(ISNUMBER(H85)),G85=0),"",I85/G85)</f>
        <v/>
      </c>
      <c r="K85" s="319">
        <f>IF(OR(NOT(ISNUMBER(G85)),NOT(ISNUMBER(H85)),G85=0),"",H85/G85)</f>
        <v/>
      </c>
      <c r="L85">
        <f>IF(NOT(ISNUMBER(G85)),"SEM META",IF(G85=0,"SEM META",IF(NOT(ISNUMBER(H85)),"SEM APONTAMENTO",IF(H85&gt;=G85,"VERDE",IF(H85&gt;=G85*0.9,"AMARELO","VERMELHO")))))</f>
        <v/>
      </c>
      <c r="M85" s="162" t="n"/>
      <c r="N85" s="162" t="n"/>
      <c r="O85" s="162" t="n"/>
      <c r="P85" s="162" t="n"/>
      <c r="Q85" s="320" t="n"/>
      <c r="R85" s="162" t="inlineStr">
        <is>
          <t>CONTROLE PRODUÇÃO POR EMPRESAS!G19</t>
        </is>
      </c>
    </row>
    <row r="86" hidden="1" ht="28.5" customHeight="1">
      <c r="A86" s="317" t="n">
        <v>46237</v>
      </c>
      <c r="B86" t="inlineStr">
        <is>
          <t>GERAL</t>
        </is>
      </c>
      <c r="C86" t="inlineStr">
        <is>
          <t>EJ</t>
        </is>
      </c>
      <c r="D86" t="inlineStr">
        <is>
          <t>PREMONTAGEM</t>
        </is>
      </c>
      <c r="F86" s="159">
        <f>IFERROR(INDEX('BASE METAS DIÁRIAS'!$N$2:$S$358,MATCH($A86,'BASE METAS DIÁRIAS'!$A$2:$A$358,0),MOD(ROW()-2,6)+1),"")</f>
        <v/>
      </c>
      <c r="G86" s="159">
        <f>IFERROR(IF(WEEKDAY($A86,2)&lt;=INDEX('BASE METAS DIÁRIAS'!$H$2:$M$358,MATCH($A86,'BASE METAS DIÁRIAS'!$A$2:$A$358,0),MOD(ROW()-2,6)+1),INDEX('BASE METAS DIÁRIAS'!$B$2:$G$358,MATCH($A86,'BASE METAS DIÁRIAS'!$A$2:$A$358,0),MOD(ROW()-2,6)+1),""),"")</f>
        <v/>
      </c>
      <c r="H86" s="159">
        <f>IFERROR(IF(INDEX('CONTROLE PRODUÇÃO POR EMPRESAS'!$B$6:$G$5000,MATCH($A86,'CONTROLE PRODUÇÃO POR EMPRESAS'!$A$6:$A$5000,0),MOD(ROW()-2,6)+1)="","",IFERROR(1*INDEX('CONTROLE PRODUÇÃO POR EMPRESAS'!$B$6:$G$5000,MATCH($A86,'CONTROLE PRODUÇÃO POR EMPRESAS'!$A$6:$A$5000,0),MOD(ROW()-2,6)+1),"")),"")</f>
        <v/>
      </c>
      <c r="I86" s="159">
        <f>IF(OR(NOT(ISNUMBER(G86)),NOT(ISNUMBER(H86))),"",H86-G86)</f>
        <v/>
      </c>
      <c r="J86" s="319">
        <f>IF(OR(NOT(ISNUMBER(G86)),NOT(ISNUMBER(H86)),G86=0),"",I86/G86)</f>
        <v/>
      </c>
      <c r="K86" s="319">
        <f>IF(OR(NOT(ISNUMBER(G86)),NOT(ISNUMBER(H86)),G86=0),"",H86/G86)</f>
        <v/>
      </c>
      <c r="L86">
        <f>IF(NOT(ISNUMBER(G86)),"SEM META",IF(G86=0,"SEM META",IF(NOT(ISNUMBER(H86)),"SEM APONTAMENTO",IF(H86&gt;=G86,"VERDE",IF(H86&gt;=G86*0.9,"AMARELO","VERMELHO")))))</f>
        <v/>
      </c>
      <c r="M86" s="162" t="n"/>
      <c r="N86" s="162" t="n"/>
      <c r="O86" s="162" t="n"/>
      <c r="P86" s="162" t="n"/>
      <c r="Q86" s="320" t="n"/>
      <c r="R86" s="162" t="inlineStr">
        <is>
          <t>CONTROLE PRODUÇÃO POR EMPRESAS!B20</t>
        </is>
      </c>
    </row>
    <row r="87" hidden="1" ht="28.5" customHeight="1">
      <c r="A87" s="317" t="n">
        <v>46237</v>
      </c>
      <c r="B87" t="inlineStr">
        <is>
          <t>GERAL</t>
        </is>
      </c>
      <c r="C87" t="inlineStr">
        <is>
          <t>EJ</t>
        </is>
      </c>
      <c r="D87" t="inlineStr">
        <is>
          <t>IÇAMENTO JOIST</t>
        </is>
      </c>
      <c r="F87" s="159">
        <f>IFERROR(INDEX('BASE METAS DIÁRIAS'!$N$2:$S$358,MATCH($A87,'BASE METAS DIÁRIAS'!$A$2:$A$358,0),MOD(ROW()-2,6)+1),"")</f>
        <v/>
      </c>
      <c r="G87" s="159">
        <f>IFERROR(IF(WEEKDAY($A87,2)&lt;=INDEX('BASE METAS DIÁRIAS'!$H$2:$M$358,MATCH($A87,'BASE METAS DIÁRIAS'!$A$2:$A$358,0),MOD(ROW()-2,6)+1),INDEX('BASE METAS DIÁRIAS'!$B$2:$G$358,MATCH($A87,'BASE METAS DIÁRIAS'!$A$2:$A$358,0),MOD(ROW()-2,6)+1),""),"")</f>
        <v/>
      </c>
      <c r="H87" s="159">
        <f>IFERROR(IF(INDEX('CONTROLE PRODUÇÃO POR EMPRESAS'!$B$6:$G$5000,MATCH($A87,'CONTROLE PRODUÇÃO POR EMPRESAS'!$A$6:$A$5000,0),MOD(ROW()-2,6)+1)="","",IFERROR(1*INDEX('CONTROLE PRODUÇÃO POR EMPRESAS'!$B$6:$G$5000,MATCH($A87,'CONTROLE PRODUÇÃO POR EMPRESAS'!$A$6:$A$5000,0),MOD(ROW()-2,6)+1),"")),"")</f>
        <v/>
      </c>
      <c r="I87" s="159">
        <f>IF(OR(NOT(ISNUMBER(G87)),NOT(ISNUMBER(H87))),"",H87-G87)</f>
        <v/>
      </c>
      <c r="J87" s="319">
        <f>IF(OR(NOT(ISNUMBER(G87)),NOT(ISNUMBER(H87)),G87=0),"",I87/G87)</f>
        <v/>
      </c>
      <c r="K87" s="319">
        <f>IF(OR(NOT(ISNUMBER(G87)),NOT(ISNUMBER(H87)),G87=0),"",H87/G87)</f>
        <v/>
      </c>
      <c r="L87">
        <f>IF(NOT(ISNUMBER(G87)),"SEM META",IF(G87=0,"SEM META",IF(NOT(ISNUMBER(H87)),"SEM APONTAMENTO",IF(H87&gt;=G87,"VERDE",IF(H87&gt;=G87*0.9,"AMARELO","VERMELHO")))))</f>
        <v/>
      </c>
      <c r="M87" s="162" t="n"/>
      <c r="N87" s="162" t="n"/>
      <c r="O87" s="162" t="n"/>
      <c r="P87" s="162" t="n"/>
      <c r="Q87" s="320" t="n"/>
      <c r="R87" s="162" t="inlineStr">
        <is>
          <t>CONTROLE PRODUÇÃO POR EMPRESAS!C20</t>
        </is>
      </c>
    </row>
    <row r="88" hidden="1" ht="28.5" customHeight="1">
      <c r="A88" s="317" t="n">
        <v>46237</v>
      </c>
      <c r="B88" t="inlineStr">
        <is>
          <t>GERAL</t>
        </is>
      </c>
      <c r="C88" t="inlineStr">
        <is>
          <t>EJ</t>
        </is>
      </c>
      <c r="D88" t="inlineStr">
        <is>
          <t>VIGAS</t>
        </is>
      </c>
      <c r="F88" s="159">
        <f>IFERROR(INDEX('BASE METAS DIÁRIAS'!$N$2:$S$358,MATCH($A88,'BASE METAS DIÁRIAS'!$A$2:$A$358,0),MOD(ROW()-2,6)+1),"")</f>
        <v/>
      </c>
      <c r="G88" s="159">
        <f>IFERROR(IF(WEEKDAY($A88,2)&lt;=INDEX('BASE METAS DIÁRIAS'!$H$2:$M$358,MATCH($A88,'BASE METAS DIÁRIAS'!$A$2:$A$358,0),MOD(ROW()-2,6)+1),INDEX('BASE METAS DIÁRIAS'!$B$2:$G$358,MATCH($A88,'BASE METAS DIÁRIAS'!$A$2:$A$358,0),MOD(ROW()-2,6)+1),""),"")</f>
        <v/>
      </c>
      <c r="H88" s="159">
        <f>IFERROR(IF(INDEX('CONTROLE PRODUÇÃO POR EMPRESAS'!$B$6:$G$5000,MATCH($A88,'CONTROLE PRODUÇÃO POR EMPRESAS'!$A$6:$A$5000,0),MOD(ROW()-2,6)+1)="","",IFERROR(1*INDEX('CONTROLE PRODUÇÃO POR EMPRESAS'!$B$6:$G$5000,MATCH($A88,'CONTROLE PRODUÇÃO POR EMPRESAS'!$A$6:$A$5000,0),MOD(ROW()-2,6)+1),"")),"")</f>
        <v/>
      </c>
      <c r="I88" s="159">
        <f>IF(OR(NOT(ISNUMBER(G88)),NOT(ISNUMBER(H88))),"",H88-G88)</f>
        <v/>
      </c>
      <c r="J88" s="319">
        <f>IF(OR(NOT(ISNUMBER(G88)),NOT(ISNUMBER(H88)),G88=0),"",I88/G88)</f>
        <v/>
      </c>
      <c r="K88" s="319">
        <f>IF(OR(NOT(ISNUMBER(G88)),NOT(ISNUMBER(H88)),G88=0),"",H88/G88)</f>
        <v/>
      </c>
      <c r="L88">
        <f>IF(NOT(ISNUMBER(G88)),"SEM META",IF(G88=0,"SEM META",IF(NOT(ISNUMBER(H88)),"SEM APONTAMENTO",IF(H88&gt;=G88,"VERDE",IF(H88&gt;=G88*0.9,"AMARELO","VERMELHO")))))</f>
        <v/>
      </c>
      <c r="M88" s="162" t="n"/>
      <c r="N88" s="162" t="n"/>
      <c r="O88" s="162" t="n"/>
      <c r="P88" s="162" t="n"/>
      <c r="Q88" s="320" t="n"/>
      <c r="R88" s="162" t="inlineStr">
        <is>
          <t>CONTROLE PRODUÇÃO POR EMPRESAS!D20</t>
        </is>
      </c>
    </row>
    <row r="89" hidden="1" ht="28.5" customHeight="1">
      <c r="A89" s="317" t="n">
        <v>46237</v>
      </c>
      <c r="B89" t="inlineStr">
        <is>
          <t>GERAL</t>
        </is>
      </c>
      <c r="C89" t="inlineStr">
        <is>
          <t>CMM</t>
        </is>
      </c>
      <c r="D89" t="inlineStr">
        <is>
          <t>PREMONTAGEM</t>
        </is>
      </c>
      <c r="F89" s="159">
        <f>IFERROR(INDEX('BASE METAS DIÁRIAS'!$N$2:$S$358,MATCH($A89,'BASE METAS DIÁRIAS'!$A$2:$A$358,0),MOD(ROW()-2,6)+1),"")</f>
        <v/>
      </c>
      <c r="G89" s="159">
        <f>IFERROR(IF(WEEKDAY($A89,2)&lt;=INDEX('BASE METAS DIÁRIAS'!$H$2:$M$358,MATCH($A89,'BASE METAS DIÁRIAS'!$A$2:$A$358,0),MOD(ROW()-2,6)+1),INDEX('BASE METAS DIÁRIAS'!$B$2:$G$358,MATCH($A89,'BASE METAS DIÁRIAS'!$A$2:$A$358,0),MOD(ROW()-2,6)+1),""),"")</f>
        <v/>
      </c>
      <c r="H89" s="159">
        <f>IFERROR(IF(INDEX('CONTROLE PRODUÇÃO POR EMPRESAS'!$B$6:$G$5000,MATCH($A89,'CONTROLE PRODUÇÃO POR EMPRESAS'!$A$6:$A$5000,0),MOD(ROW()-2,6)+1)="","",IFERROR(1*INDEX('CONTROLE PRODUÇÃO POR EMPRESAS'!$B$6:$G$5000,MATCH($A89,'CONTROLE PRODUÇÃO POR EMPRESAS'!$A$6:$A$5000,0),MOD(ROW()-2,6)+1),"")),"")</f>
        <v/>
      </c>
      <c r="I89" s="159">
        <f>IF(OR(NOT(ISNUMBER(G89)),NOT(ISNUMBER(H89))),"",H89-G89)</f>
        <v/>
      </c>
      <c r="J89" s="319">
        <f>IF(OR(NOT(ISNUMBER(G89)),NOT(ISNUMBER(H89)),G89=0),"",I89/G89)</f>
        <v/>
      </c>
      <c r="K89" s="319">
        <f>IF(OR(NOT(ISNUMBER(G89)),NOT(ISNUMBER(H89)),G89=0),"",H89/G89)</f>
        <v/>
      </c>
      <c r="L89">
        <f>IF(NOT(ISNUMBER(G89)),"SEM META",IF(G89=0,"SEM META",IF(NOT(ISNUMBER(H89)),"SEM APONTAMENTO",IF(H89&gt;=G89,"VERDE",IF(H89&gt;=G89*0.9,"AMARELO","VERMELHO")))))</f>
        <v/>
      </c>
      <c r="M89" s="162" t="n"/>
      <c r="N89" s="162" t="n"/>
      <c r="O89" s="162" t="n"/>
      <c r="P89" s="162" t="n"/>
      <c r="Q89" s="320" t="n"/>
      <c r="R89" s="162" t="inlineStr">
        <is>
          <t>CONTROLE PRODUÇÃO POR EMPRESAS!E20</t>
        </is>
      </c>
    </row>
    <row r="90" hidden="1" ht="28.5" customHeight="1">
      <c r="A90" s="317" t="n">
        <v>46237</v>
      </c>
      <c r="B90" t="inlineStr">
        <is>
          <t>GERAL</t>
        </is>
      </c>
      <c r="C90" t="inlineStr">
        <is>
          <t>CMM</t>
        </is>
      </c>
      <c r="D90" t="inlineStr">
        <is>
          <t>IÇAMENTO JOIST</t>
        </is>
      </c>
      <c r="F90" s="159">
        <f>IFERROR(INDEX('BASE METAS DIÁRIAS'!$N$2:$S$358,MATCH($A90,'BASE METAS DIÁRIAS'!$A$2:$A$358,0),MOD(ROW()-2,6)+1),"")</f>
        <v/>
      </c>
      <c r="G90" s="159">
        <f>IFERROR(IF(WEEKDAY($A90,2)&lt;=INDEX('BASE METAS DIÁRIAS'!$H$2:$M$358,MATCH($A90,'BASE METAS DIÁRIAS'!$A$2:$A$358,0),MOD(ROW()-2,6)+1),INDEX('BASE METAS DIÁRIAS'!$B$2:$G$358,MATCH($A90,'BASE METAS DIÁRIAS'!$A$2:$A$358,0),MOD(ROW()-2,6)+1),""),"")</f>
        <v/>
      </c>
      <c r="H90" s="159">
        <f>IFERROR(IF(INDEX('CONTROLE PRODUÇÃO POR EMPRESAS'!$B$6:$G$5000,MATCH($A90,'CONTROLE PRODUÇÃO POR EMPRESAS'!$A$6:$A$5000,0),MOD(ROW()-2,6)+1)="","",IFERROR(1*INDEX('CONTROLE PRODUÇÃO POR EMPRESAS'!$B$6:$G$5000,MATCH($A90,'CONTROLE PRODUÇÃO POR EMPRESAS'!$A$6:$A$5000,0),MOD(ROW()-2,6)+1),"")),"")</f>
        <v/>
      </c>
      <c r="I90" s="159">
        <f>IF(OR(NOT(ISNUMBER(G90)),NOT(ISNUMBER(H90))),"",H90-G90)</f>
        <v/>
      </c>
      <c r="J90" s="319">
        <f>IF(OR(NOT(ISNUMBER(G90)),NOT(ISNUMBER(H90)),G90=0),"",I90/G90)</f>
        <v/>
      </c>
      <c r="K90" s="319">
        <f>IF(OR(NOT(ISNUMBER(G90)),NOT(ISNUMBER(H90)),G90=0),"",H90/G90)</f>
        <v/>
      </c>
      <c r="L90">
        <f>IF(NOT(ISNUMBER(G90)),"SEM META",IF(G90=0,"SEM META",IF(NOT(ISNUMBER(H90)),"SEM APONTAMENTO",IF(H90&gt;=G90,"VERDE",IF(H90&gt;=G90*0.9,"AMARELO","VERMELHO")))))</f>
        <v/>
      </c>
      <c r="M90" s="162" t="n"/>
      <c r="N90" s="162" t="n"/>
      <c r="O90" s="162" t="n"/>
      <c r="P90" s="162" t="n"/>
      <c r="Q90" s="320" t="n"/>
      <c r="R90" s="162" t="inlineStr">
        <is>
          <t>CONTROLE PRODUÇÃO POR EMPRESAS!F20</t>
        </is>
      </c>
    </row>
    <row r="91" hidden="1" ht="28.5" customHeight="1">
      <c r="A91" s="317" t="n">
        <v>46237</v>
      </c>
      <c r="B91" t="inlineStr">
        <is>
          <t>GERAL</t>
        </is>
      </c>
      <c r="C91" t="inlineStr">
        <is>
          <t>CMM</t>
        </is>
      </c>
      <c r="D91" t="inlineStr">
        <is>
          <t>VIGAS</t>
        </is>
      </c>
      <c r="F91" s="159">
        <f>IFERROR(INDEX('BASE METAS DIÁRIAS'!$N$2:$S$358,MATCH($A91,'BASE METAS DIÁRIAS'!$A$2:$A$358,0),MOD(ROW()-2,6)+1),"")</f>
        <v/>
      </c>
      <c r="G91" s="159">
        <f>IFERROR(IF(WEEKDAY($A91,2)&lt;=INDEX('BASE METAS DIÁRIAS'!$H$2:$M$358,MATCH($A91,'BASE METAS DIÁRIAS'!$A$2:$A$358,0),MOD(ROW()-2,6)+1),INDEX('BASE METAS DIÁRIAS'!$B$2:$G$358,MATCH($A91,'BASE METAS DIÁRIAS'!$A$2:$A$358,0),MOD(ROW()-2,6)+1),""),"")</f>
        <v/>
      </c>
      <c r="H91" s="159">
        <f>IFERROR(IF(INDEX('CONTROLE PRODUÇÃO POR EMPRESAS'!$B$6:$G$5000,MATCH($A91,'CONTROLE PRODUÇÃO POR EMPRESAS'!$A$6:$A$5000,0),MOD(ROW()-2,6)+1)="","",IFERROR(1*INDEX('CONTROLE PRODUÇÃO POR EMPRESAS'!$B$6:$G$5000,MATCH($A91,'CONTROLE PRODUÇÃO POR EMPRESAS'!$A$6:$A$5000,0),MOD(ROW()-2,6)+1),"")),"")</f>
        <v/>
      </c>
      <c r="I91" s="159">
        <f>IF(OR(NOT(ISNUMBER(G91)),NOT(ISNUMBER(H91))),"",H91-G91)</f>
        <v/>
      </c>
      <c r="J91" s="319">
        <f>IF(OR(NOT(ISNUMBER(G91)),NOT(ISNUMBER(H91)),G91=0),"",I91/G91)</f>
        <v/>
      </c>
      <c r="K91" s="319">
        <f>IF(OR(NOT(ISNUMBER(G91)),NOT(ISNUMBER(H91)),G91=0),"",H91/G91)</f>
        <v/>
      </c>
      <c r="L91">
        <f>IF(NOT(ISNUMBER(G91)),"SEM META",IF(G91=0,"SEM META",IF(NOT(ISNUMBER(H91)),"SEM APONTAMENTO",IF(H91&gt;=G91,"VERDE",IF(H91&gt;=G91*0.9,"AMARELO","VERMELHO")))))</f>
        <v/>
      </c>
      <c r="M91" s="162" t="n"/>
      <c r="N91" s="162" t="n"/>
      <c r="O91" s="162" t="n"/>
      <c r="P91" s="162" t="n"/>
      <c r="Q91" s="320" t="n"/>
      <c r="R91" s="162" t="inlineStr">
        <is>
          <t>CONTROLE PRODUÇÃO POR EMPRESAS!G20</t>
        </is>
      </c>
    </row>
    <row r="92" hidden="1" ht="28.5" customHeight="1">
      <c r="A92" s="317" t="n">
        <v>46238</v>
      </c>
      <c r="B92" t="inlineStr">
        <is>
          <t>GERAL</t>
        </is>
      </c>
      <c r="C92" t="inlineStr">
        <is>
          <t>EJ</t>
        </is>
      </c>
      <c r="D92" t="inlineStr">
        <is>
          <t>PREMONTAGEM</t>
        </is>
      </c>
      <c r="F92" s="159">
        <f>IFERROR(INDEX('BASE METAS DIÁRIAS'!$N$2:$S$358,MATCH($A92,'BASE METAS DIÁRIAS'!$A$2:$A$358,0),MOD(ROW()-2,6)+1),"")</f>
        <v/>
      </c>
      <c r="G92" s="159">
        <f>IFERROR(IF(WEEKDAY($A92,2)&lt;=INDEX('BASE METAS DIÁRIAS'!$H$2:$M$358,MATCH($A92,'BASE METAS DIÁRIAS'!$A$2:$A$358,0),MOD(ROW()-2,6)+1),INDEX('BASE METAS DIÁRIAS'!$B$2:$G$358,MATCH($A92,'BASE METAS DIÁRIAS'!$A$2:$A$358,0),MOD(ROW()-2,6)+1),""),"")</f>
        <v/>
      </c>
      <c r="H92" s="159">
        <f>IFERROR(IF(INDEX('CONTROLE PRODUÇÃO POR EMPRESAS'!$B$6:$G$5000,MATCH($A92,'CONTROLE PRODUÇÃO POR EMPRESAS'!$A$6:$A$5000,0),MOD(ROW()-2,6)+1)="","",IFERROR(1*INDEX('CONTROLE PRODUÇÃO POR EMPRESAS'!$B$6:$G$5000,MATCH($A92,'CONTROLE PRODUÇÃO POR EMPRESAS'!$A$6:$A$5000,0),MOD(ROW()-2,6)+1),"")),"")</f>
        <v/>
      </c>
      <c r="I92" s="159">
        <f>IF(OR(NOT(ISNUMBER(G92)),NOT(ISNUMBER(H92))),"",H92-G92)</f>
        <v/>
      </c>
      <c r="J92" s="319">
        <f>IF(OR(NOT(ISNUMBER(G92)),NOT(ISNUMBER(H92)),G92=0),"",I92/G92)</f>
        <v/>
      </c>
      <c r="K92" s="319">
        <f>IF(OR(NOT(ISNUMBER(G92)),NOT(ISNUMBER(H92)),G92=0),"",H92/G92)</f>
        <v/>
      </c>
      <c r="L92">
        <f>IF(NOT(ISNUMBER(G92)),"SEM META",IF(G92=0,"SEM META",IF(NOT(ISNUMBER(H92)),"SEM APONTAMENTO",IF(H92&gt;=G92,"VERDE",IF(H92&gt;=G92*0.9,"AMARELO","VERMELHO")))))</f>
        <v/>
      </c>
      <c r="M92" s="162" t="n"/>
      <c r="N92" s="162" t="n"/>
      <c r="O92" s="162" t="n"/>
      <c r="P92" s="162" t="n"/>
      <c r="Q92" s="320" t="n"/>
      <c r="R92" s="162" t="inlineStr">
        <is>
          <t>CONTROLE PRODUÇÃO POR EMPRESAS!B21</t>
        </is>
      </c>
    </row>
    <row r="93" hidden="1" ht="28.5" customHeight="1">
      <c r="A93" s="317" t="n">
        <v>46238</v>
      </c>
      <c r="B93" t="inlineStr">
        <is>
          <t>GERAL</t>
        </is>
      </c>
      <c r="C93" t="inlineStr">
        <is>
          <t>EJ</t>
        </is>
      </c>
      <c r="D93" t="inlineStr">
        <is>
          <t>IÇAMENTO JOIST</t>
        </is>
      </c>
      <c r="F93" s="159">
        <f>IFERROR(INDEX('BASE METAS DIÁRIAS'!$N$2:$S$358,MATCH($A93,'BASE METAS DIÁRIAS'!$A$2:$A$358,0),MOD(ROW()-2,6)+1),"")</f>
        <v/>
      </c>
      <c r="G93" s="159">
        <f>IFERROR(IF(WEEKDAY($A93,2)&lt;=INDEX('BASE METAS DIÁRIAS'!$H$2:$M$358,MATCH($A93,'BASE METAS DIÁRIAS'!$A$2:$A$358,0),MOD(ROW()-2,6)+1),INDEX('BASE METAS DIÁRIAS'!$B$2:$G$358,MATCH($A93,'BASE METAS DIÁRIAS'!$A$2:$A$358,0),MOD(ROW()-2,6)+1),""),"")</f>
        <v/>
      </c>
      <c r="H93" s="159">
        <f>IFERROR(IF(INDEX('CONTROLE PRODUÇÃO POR EMPRESAS'!$B$6:$G$5000,MATCH($A93,'CONTROLE PRODUÇÃO POR EMPRESAS'!$A$6:$A$5000,0),MOD(ROW()-2,6)+1)="","",IFERROR(1*INDEX('CONTROLE PRODUÇÃO POR EMPRESAS'!$B$6:$G$5000,MATCH($A93,'CONTROLE PRODUÇÃO POR EMPRESAS'!$A$6:$A$5000,0),MOD(ROW()-2,6)+1),"")),"")</f>
        <v/>
      </c>
      <c r="I93" s="159">
        <f>IF(OR(NOT(ISNUMBER(G93)),NOT(ISNUMBER(H93))),"",H93-G93)</f>
        <v/>
      </c>
      <c r="J93" s="319">
        <f>IF(OR(NOT(ISNUMBER(G93)),NOT(ISNUMBER(H93)),G93=0),"",I93/G93)</f>
        <v/>
      </c>
      <c r="K93" s="319">
        <f>IF(OR(NOT(ISNUMBER(G93)),NOT(ISNUMBER(H93)),G93=0),"",H93/G93)</f>
        <v/>
      </c>
      <c r="L93">
        <f>IF(NOT(ISNUMBER(G93)),"SEM META",IF(G93=0,"SEM META",IF(NOT(ISNUMBER(H93)),"SEM APONTAMENTO",IF(H93&gt;=G93,"VERDE",IF(H93&gt;=G93*0.9,"AMARELO","VERMELHO")))))</f>
        <v/>
      </c>
      <c r="M93" s="162" t="n"/>
      <c r="N93" s="162" t="n"/>
      <c r="O93" s="162" t="n"/>
      <c r="P93" s="162" t="n"/>
      <c r="Q93" s="320" t="n"/>
      <c r="R93" s="162" t="inlineStr">
        <is>
          <t>CONTROLE PRODUÇÃO POR EMPRESAS!C21</t>
        </is>
      </c>
    </row>
    <row r="94" hidden="1" ht="28.5" customHeight="1">
      <c r="A94" s="317" t="n">
        <v>46238</v>
      </c>
      <c r="B94" t="inlineStr">
        <is>
          <t>GERAL</t>
        </is>
      </c>
      <c r="C94" t="inlineStr">
        <is>
          <t>EJ</t>
        </is>
      </c>
      <c r="D94" t="inlineStr">
        <is>
          <t>VIGAS</t>
        </is>
      </c>
      <c r="F94" s="159">
        <f>IFERROR(INDEX('BASE METAS DIÁRIAS'!$N$2:$S$358,MATCH($A94,'BASE METAS DIÁRIAS'!$A$2:$A$358,0),MOD(ROW()-2,6)+1),"")</f>
        <v/>
      </c>
      <c r="G94" s="159">
        <f>IFERROR(IF(WEEKDAY($A94,2)&lt;=INDEX('BASE METAS DIÁRIAS'!$H$2:$M$358,MATCH($A94,'BASE METAS DIÁRIAS'!$A$2:$A$358,0),MOD(ROW()-2,6)+1),INDEX('BASE METAS DIÁRIAS'!$B$2:$G$358,MATCH($A94,'BASE METAS DIÁRIAS'!$A$2:$A$358,0),MOD(ROW()-2,6)+1),""),"")</f>
        <v/>
      </c>
      <c r="H94" s="159">
        <f>IFERROR(IF(INDEX('CONTROLE PRODUÇÃO POR EMPRESAS'!$B$6:$G$5000,MATCH($A94,'CONTROLE PRODUÇÃO POR EMPRESAS'!$A$6:$A$5000,0),MOD(ROW()-2,6)+1)="","",IFERROR(1*INDEX('CONTROLE PRODUÇÃO POR EMPRESAS'!$B$6:$G$5000,MATCH($A94,'CONTROLE PRODUÇÃO POR EMPRESAS'!$A$6:$A$5000,0),MOD(ROW()-2,6)+1),"")),"")</f>
        <v/>
      </c>
      <c r="I94" s="159">
        <f>IF(OR(NOT(ISNUMBER(G94)),NOT(ISNUMBER(H94))),"",H94-G94)</f>
        <v/>
      </c>
      <c r="J94" s="319">
        <f>IF(OR(NOT(ISNUMBER(G94)),NOT(ISNUMBER(H94)),G94=0),"",I94/G94)</f>
        <v/>
      </c>
      <c r="K94" s="319">
        <f>IF(OR(NOT(ISNUMBER(G94)),NOT(ISNUMBER(H94)),G94=0),"",H94/G94)</f>
        <v/>
      </c>
      <c r="L94">
        <f>IF(NOT(ISNUMBER(G94)),"SEM META",IF(G94=0,"SEM META",IF(NOT(ISNUMBER(H94)),"SEM APONTAMENTO",IF(H94&gt;=G94,"VERDE",IF(H94&gt;=G94*0.9,"AMARELO","VERMELHO")))))</f>
        <v/>
      </c>
      <c r="M94" s="162" t="n"/>
      <c r="N94" s="162" t="n"/>
      <c r="O94" s="162" t="n"/>
      <c r="P94" s="162" t="n"/>
      <c r="Q94" s="320" t="n"/>
      <c r="R94" s="162" t="inlineStr">
        <is>
          <t>CONTROLE PRODUÇÃO POR EMPRESAS!D21</t>
        </is>
      </c>
    </row>
    <row r="95" hidden="1" ht="28.5" customHeight="1">
      <c r="A95" s="317" t="n">
        <v>46238</v>
      </c>
      <c r="B95" t="inlineStr">
        <is>
          <t>GERAL</t>
        </is>
      </c>
      <c r="C95" t="inlineStr">
        <is>
          <t>CMM</t>
        </is>
      </c>
      <c r="D95" t="inlineStr">
        <is>
          <t>PREMONTAGEM</t>
        </is>
      </c>
      <c r="F95" s="159">
        <f>IFERROR(INDEX('BASE METAS DIÁRIAS'!$N$2:$S$358,MATCH($A95,'BASE METAS DIÁRIAS'!$A$2:$A$358,0),MOD(ROW()-2,6)+1),"")</f>
        <v/>
      </c>
      <c r="G95" s="159">
        <f>IFERROR(IF(WEEKDAY($A95,2)&lt;=INDEX('BASE METAS DIÁRIAS'!$H$2:$M$358,MATCH($A95,'BASE METAS DIÁRIAS'!$A$2:$A$358,0),MOD(ROW()-2,6)+1),INDEX('BASE METAS DIÁRIAS'!$B$2:$G$358,MATCH($A95,'BASE METAS DIÁRIAS'!$A$2:$A$358,0),MOD(ROW()-2,6)+1),""),"")</f>
        <v/>
      </c>
      <c r="H95" s="159">
        <f>IFERROR(IF(INDEX('CONTROLE PRODUÇÃO POR EMPRESAS'!$B$6:$G$5000,MATCH($A95,'CONTROLE PRODUÇÃO POR EMPRESAS'!$A$6:$A$5000,0),MOD(ROW()-2,6)+1)="","",IFERROR(1*INDEX('CONTROLE PRODUÇÃO POR EMPRESAS'!$B$6:$G$5000,MATCH($A95,'CONTROLE PRODUÇÃO POR EMPRESAS'!$A$6:$A$5000,0),MOD(ROW()-2,6)+1),"")),"")</f>
        <v/>
      </c>
      <c r="I95" s="159">
        <f>IF(OR(NOT(ISNUMBER(G95)),NOT(ISNUMBER(H95))),"",H95-G95)</f>
        <v/>
      </c>
      <c r="J95" s="319">
        <f>IF(OR(NOT(ISNUMBER(G95)),NOT(ISNUMBER(H95)),G95=0),"",I95/G95)</f>
        <v/>
      </c>
      <c r="K95" s="319">
        <f>IF(OR(NOT(ISNUMBER(G95)),NOT(ISNUMBER(H95)),G95=0),"",H95/G95)</f>
        <v/>
      </c>
      <c r="L95">
        <f>IF(NOT(ISNUMBER(G95)),"SEM META",IF(G95=0,"SEM META",IF(NOT(ISNUMBER(H95)),"SEM APONTAMENTO",IF(H95&gt;=G95,"VERDE",IF(H95&gt;=G95*0.9,"AMARELO","VERMELHO")))))</f>
        <v/>
      </c>
      <c r="M95" s="162" t="n"/>
      <c r="N95" s="162" t="n"/>
      <c r="O95" s="162" t="n"/>
      <c r="P95" s="162" t="n"/>
      <c r="Q95" s="320" t="n"/>
      <c r="R95" s="162" t="inlineStr">
        <is>
          <t>CONTROLE PRODUÇÃO POR EMPRESAS!E21</t>
        </is>
      </c>
    </row>
    <row r="96" hidden="1" ht="28.5" customHeight="1">
      <c r="A96" s="317" t="n">
        <v>46238</v>
      </c>
      <c r="B96" t="inlineStr">
        <is>
          <t>GERAL</t>
        </is>
      </c>
      <c r="C96" t="inlineStr">
        <is>
          <t>CMM</t>
        </is>
      </c>
      <c r="D96" t="inlineStr">
        <is>
          <t>IÇAMENTO JOIST</t>
        </is>
      </c>
      <c r="F96" s="159">
        <f>IFERROR(INDEX('BASE METAS DIÁRIAS'!$N$2:$S$358,MATCH($A96,'BASE METAS DIÁRIAS'!$A$2:$A$358,0),MOD(ROW()-2,6)+1),"")</f>
        <v/>
      </c>
      <c r="G96" s="159">
        <f>IFERROR(IF(WEEKDAY($A96,2)&lt;=INDEX('BASE METAS DIÁRIAS'!$H$2:$M$358,MATCH($A96,'BASE METAS DIÁRIAS'!$A$2:$A$358,0),MOD(ROW()-2,6)+1),INDEX('BASE METAS DIÁRIAS'!$B$2:$G$358,MATCH($A96,'BASE METAS DIÁRIAS'!$A$2:$A$358,0),MOD(ROW()-2,6)+1),""),"")</f>
        <v/>
      </c>
      <c r="H96" s="159">
        <f>IFERROR(IF(INDEX('CONTROLE PRODUÇÃO POR EMPRESAS'!$B$6:$G$5000,MATCH($A96,'CONTROLE PRODUÇÃO POR EMPRESAS'!$A$6:$A$5000,0),MOD(ROW()-2,6)+1)="","",IFERROR(1*INDEX('CONTROLE PRODUÇÃO POR EMPRESAS'!$B$6:$G$5000,MATCH($A96,'CONTROLE PRODUÇÃO POR EMPRESAS'!$A$6:$A$5000,0),MOD(ROW()-2,6)+1),"")),"")</f>
        <v/>
      </c>
      <c r="I96" s="159">
        <f>IF(OR(NOT(ISNUMBER(G96)),NOT(ISNUMBER(H96))),"",H96-G96)</f>
        <v/>
      </c>
      <c r="J96" s="319">
        <f>IF(OR(NOT(ISNUMBER(G96)),NOT(ISNUMBER(H96)),G96=0),"",I96/G96)</f>
        <v/>
      </c>
      <c r="K96" s="319">
        <f>IF(OR(NOT(ISNUMBER(G96)),NOT(ISNUMBER(H96)),G96=0),"",H96/G96)</f>
        <v/>
      </c>
      <c r="L96">
        <f>IF(NOT(ISNUMBER(G96)),"SEM META",IF(G96=0,"SEM META",IF(NOT(ISNUMBER(H96)),"SEM APONTAMENTO",IF(H96&gt;=G96,"VERDE",IF(H96&gt;=G96*0.9,"AMARELO","VERMELHO")))))</f>
        <v/>
      </c>
      <c r="M96" s="162" t="n"/>
      <c r="N96" s="162" t="n"/>
      <c r="O96" s="162" t="n"/>
      <c r="P96" s="162" t="n"/>
      <c r="Q96" s="320" t="n"/>
      <c r="R96" s="162" t="inlineStr">
        <is>
          <t>CONTROLE PRODUÇÃO POR EMPRESAS!F21</t>
        </is>
      </c>
    </row>
    <row r="97" hidden="1" ht="28.5" customHeight="1">
      <c r="A97" s="317" t="n">
        <v>46238</v>
      </c>
      <c r="B97" t="inlineStr">
        <is>
          <t>GERAL</t>
        </is>
      </c>
      <c r="C97" t="inlineStr">
        <is>
          <t>CMM</t>
        </is>
      </c>
      <c r="D97" t="inlineStr">
        <is>
          <t>VIGAS</t>
        </is>
      </c>
      <c r="F97" s="159">
        <f>IFERROR(INDEX('BASE METAS DIÁRIAS'!$N$2:$S$358,MATCH($A97,'BASE METAS DIÁRIAS'!$A$2:$A$358,0),MOD(ROW()-2,6)+1),"")</f>
        <v/>
      </c>
      <c r="G97" s="159">
        <f>IFERROR(IF(WEEKDAY($A97,2)&lt;=INDEX('BASE METAS DIÁRIAS'!$H$2:$M$358,MATCH($A97,'BASE METAS DIÁRIAS'!$A$2:$A$358,0),MOD(ROW()-2,6)+1),INDEX('BASE METAS DIÁRIAS'!$B$2:$G$358,MATCH($A97,'BASE METAS DIÁRIAS'!$A$2:$A$358,0),MOD(ROW()-2,6)+1),""),"")</f>
        <v/>
      </c>
      <c r="H97" s="159">
        <f>IFERROR(IF(INDEX('CONTROLE PRODUÇÃO POR EMPRESAS'!$B$6:$G$5000,MATCH($A97,'CONTROLE PRODUÇÃO POR EMPRESAS'!$A$6:$A$5000,0),MOD(ROW()-2,6)+1)="","",IFERROR(1*INDEX('CONTROLE PRODUÇÃO POR EMPRESAS'!$B$6:$G$5000,MATCH($A97,'CONTROLE PRODUÇÃO POR EMPRESAS'!$A$6:$A$5000,0),MOD(ROW()-2,6)+1),"")),"")</f>
        <v/>
      </c>
      <c r="I97" s="159">
        <f>IF(OR(NOT(ISNUMBER(G97)),NOT(ISNUMBER(H97))),"",H97-G97)</f>
        <v/>
      </c>
      <c r="J97" s="319">
        <f>IF(OR(NOT(ISNUMBER(G97)),NOT(ISNUMBER(H97)),G97=0),"",I97/G97)</f>
        <v/>
      </c>
      <c r="K97" s="319">
        <f>IF(OR(NOT(ISNUMBER(G97)),NOT(ISNUMBER(H97)),G97=0),"",H97/G97)</f>
        <v/>
      </c>
      <c r="L97">
        <f>IF(NOT(ISNUMBER(G97)),"SEM META",IF(G97=0,"SEM META",IF(NOT(ISNUMBER(H97)),"SEM APONTAMENTO",IF(H97&gt;=G97,"VERDE",IF(H97&gt;=G97*0.9,"AMARELO","VERMELHO")))))</f>
        <v/>
      </c>
      <c r="M97" s="162" t="n"/>
      <c r="N97" s="162" t="n"/>
      <c r="O97" s="162" t="n"/>
      <c r="P97" s="162" t="n"/>
      <c r="Q97" s="320" t="n"/>
      <c r="R97" s="162" t="inlineStr">
        <is>
          <t>CONTROLE PRODUÇÃO POR EMPRESAS!G21</t>
        </is>
      </c>
    </row>
    <row r="98" hidden="1" ht="28.5" customHeight="1">
      <c r="A98" s="317" t="n">
        <v>46239</v>
      </c>
      <c r="B98" t="inlineStr">
        <is>
          <t>GERAL</t>
        </is>
      </c>
      <c r="C98" t="inlineStr">
        <is>
          <t>EJ</t>
        </is>
      </c>
      <c r="D98" t="inlineStr">
        <is>
          <t>PREMONTAGEM</t>
        </is>
      </c>
      <c r="F98" s="159">
        <f>IFERROR(INDEX('BASE METAS DIÁRIAS'!$N$2:$S$358,MATCH($A98,'BASE METAS DIÁRIAS'!$A$2:$A$358,0),MOD(ROW()-2,6)+1),"")</f>
        <v/>
      </c>
      <c r="G98" s="159">
        <f>IFERROR(IF(WEEKDAY($A98,2)&lt;=INDEX('BASE METAS DIÁRIAS'!$H$2:$M$358,MATCH($A98,'BASE METAS DIÁRIAS'!$A$2:$A$358,0),MOD(ROW()-2,6)+1),INDEX('BASE METAS DIÁRIAS'!$B$2:$G$358,MATCH($A98,'BASE METAS DIÁRIAS'!$A$2:$A$358,0),MOD(ROW()-2,6)+1),""),"")</f>
        <v/>
      </c>
      <c r="H98" s="159">
        <f>IFERROR(IF(INDEX('CONTROLE PRODUÇÃO POR EMPRESAS'!$B$6:$G$5000,MATCH($A98,'CONTROLE PRODUÇÃO POR EMPRESAS'!$A$6:$A$5000,0),MOD(ROW()-2,6)+1)="","",IFERROR(1*INDEX('CONTROLE PRODUÇÃO POR EMPRESAS'!$B$6:$G$5000,MATCH($A98,'CONTROLE PRODUÇÃO POR EMPRESAS'!$A$6:$A$5000,0),MOD(ROW()-2,6)+1),"")),"")</f>
        <v/>
      </c>
      <c r="I98" s="159">
        <f>IF(OR(NOT(ISNUMBER(G98)),NOT(ISNUMBER(H98))),"",H98-G98)</f>
        <v/>
      </c>
      <c r="J98" s="319">
        <f>IF(OR(NOT(ISNUMBER(G98)),NOT(ISNUMBER(H98)),G98=0),"",I98/G98)</f>
        <v/>
      </c>
      <c r="K98" s="319">
        <f>IF(OR(NOT(ISNUMBER(G98)),NOT(ISNUMBER(H98)),G98=0),"",H98/G98)</f>
        <v/>
      </c>
      <c r="L98">
        <f>IF(NOT(ISNUMBER(G98)),"SEM META",IF(G98=0,"SEM META",IF(NOT(ISNUMBER(H98)),"SEM APONTAMENTO",IF(H98&gt;=G98,"VERDE",IF(H98&gt;=G98*0.9,"AMARELO","VERMELHO")))))</f>
        <v/>
      </c>
      <c r="M98" s="162" t="n"/>
      <c r="N98" s="162" t="n"/>
      <c r="O98" s="162" t="n"/>
      <c r="P98" s="162" t="n"/>
      <c r="Q98" s="320" t="n"/>
      <c r="R98" s="162" t="inlineStr">
        <is>
          <t>CONTROLE PRODUÇÃO POR EMPRESAS!B22</t>
        </is>
      </c>
    </row>
    <row r="99" hidden="1" ht="28.5" customHeight="1">
      <c r="A99" s="317" t="n">
        <v>46239</v>
      </c>
      <c r="B99" t="inlineStr">
        <is>
          <t>GERAL</t>
        </is>
      </c>
      <c r="C99" t="inlineStr">
        <is>
          <t>EJ</t>
        </is>
      </c>
      <c r="D99" t="inlineStr">
        <is>
          <t>IÇAMENTO JOIST</t>
        </is>
      </c>
      <c r="F99" s="159">
        <f>IFERROR(INDEX('BASE METAS DIÁRIAS'!$N$2:$S$358,MATCH($A99,'BASE METAS DIÁRIAS'!$A$2:$A$358,0),MOD(ROW()-2,6)+1),"")</f>
        <v/>
      </c>
      <c r="G99" s="159">
        <f>IFERROR(IF(WEEKDAY($A99,2)&lt;=INDEX('BASE METAS DIÁRIAS'!$H$2:$M$358,MATCH($A99,'BASE METAS DIÁRIAS'!$A$2:$A$358,0),MOD(ROW()-2,6)+1),INDEX('BASE METAS DIÁRIAS'!$B$2:$G$358,MATCH($A99,'BASE METAS DIÁRIAS'!$A$2:$A$358,0),MOD(ROW()-2,6)+1),""),"")</f>
        <v/>
      </c>
      <c r="H99" s="159">
        <f>IFERROR(IF(INDEX('CONTROLE PRODUÇÃO POR EMPRESAS'!$B$6:$G$5000,MATCH($A99,'CONTROLE PRODUÇÃO POR EMPRESAS'!$A$6:$A$5000,0),MOD(ROW()-2,6)+1)="","",IFERROR(1*INDEX('CONTROLE PRODUÇÃO POR EMPRESAS'!$B$6:$G$5000,MATCH($A99,'CONTROLE PRODUÇÃO POR EMPRESAS'!$A$6:$A$5000,0),MOD(ROW()-2,6)+1),"")),"")</f>
        <v/>
      </c>
      <c r="I99" s="159">
        <f>IF(OR(NOT(ISNUMBER(G99)),NOT(ISNUMBER(H99))),"",H99-G99)</f>
        <v/>
      </c>
      <c r="J99" s="319">
        <f>IF(OR(NOT(ISNUMBER(G99)),NOT(ISNUMBER(H99)),G99=0),"",I99/G99)</f>
        <v/>
      </c>
      <c r="K99" s="319">
        <f>IF(OR(NOT(ISNUMBER(G99)),NOT(ISNUMBER(H99)),G99=0),"",H99/G99)</f>
        <v/>
      </c>
      <c r="L99">
        <f>IF(NOT(ISNUMBER(G99)),"SEM META",IF(G99=0,"SEM META",IF(NOT(ISNUMBER(H99)),"SEM APONTAMENTO",IF(H99&gt;=G99,"VERDE",IF(H99&gt;=G99*0.9,"AMARELO","VERMELHO")))))</f>
        <v/>
      </c>
      <c r="M99" s="162" t="n"/>
      <c r="N99" s="162" t="n"/>
      <c r="O99" s="162" t="n"/>
      <c r="P99" s="162" t="n"/>
      <c r="Q99" s="320" t="n"/>
      <c r="R99" s="162" t="inlineStr">
        <is>
          <t>CONTROLE PRODUÇÃO POR EMPRESAS!C22</t>
        </is>
      </c>
    </row>
    <row r="100" hidden="1" ht="28.5" customHeight="1">
      <c r="A100" s="317" t="n">
        <v>46239</v>
      </c>
      <c r="B100" t="inlineStr">
        <is>
          <t>GERAL</t>
        </is>
      </c>
      <c r="C100" t="inlineStr">
        <is>
          <t>EJ</t>
        </is>
      </c>
      <c r="D100" t="inlineStr">
        <is>
          <t>VIGAS</t>
        </is>
      </c>
      <c r="F100" s="159">
        <f>IFERROR(INDEX('BASE METAS DIÁRIAS'!$N$2:$S$358,MATCH($A100,'BASE METAS DIÁRIAS'!$A$2:$A$358,0),MOD(ROW()-2,6)+1),"")</f>
        <v/>
      </c>
      <c r="G100" s="159">
        <f>IFERROR(IF(WEEKDAY($A100,2)&lt;=INDEX('BASE METAS DIÁRIAS'!$H$2:$M$358,MATCH($A100,'BASE METAS DIÁRIAS'!$A$2:$A$358,0),MOD(ROW()-2,6)+1),INDEX('BASE METAS DIÁRIAS'!$B$2:$G$358,MATCH($A100,'BASE METAS DIÁRIAS'!$A$2:$A$358,0),MOD(ROW()-2,6)+1),""),"")</f>
        <v/>
      </c>
      <c r="H100" s="159">
        <f>IFERROR(IF(INDEX('CONTROLE PRODUÇÃO POR EMPRESAS'!$B$6:$G$5000,MATCH($A100,'CONTROLE PRODUÇÃO POR EMPRESAS'!$A$6:$A$5000,0),MOD(ROW()-2,6)+1)="","",IFERROR(1*INDEX('CONTROLE PRODUÇÃO POR EMPRESAS'!$B$6:$G$5000,MATCH($A100,'CONTROLE PRODUÇÃO POR EMPRESAS'!$A$6:$A$5000,0),MOD(ROW()-2,6)+1),"")),"")</f>
        <v/>
      </c>
      <c r="I100" s="159">
        <f>IF(OR(NOT(ISNUMBER(G100)),NOT(ISNUMBER(H100))),"",H100-G100)</f>
        <v/>
      </c>
      <c r="J100" s="319">
        <f>IF(OR(NOT(ISNUMBER(G100)),NOT(ISNUMBER(H100)),G100=0),"",I100/G100)</f>
        <v/>
      </c>
      <c r="K100" s="319">
        <f>IF(OR(NOT(ISNUMBER(G100)),NOT(ISNUMBER(H100)),G100=0),"",H100/G100)</f>
        <v/>
      </c>
      <c r="L100">
        <f>IF(NOT(ISNUMBER(G100)),"SEM META",IF(G100=0,"SEM META",IF(NOT(ISNUMBER(H100)),"SEM APONTAMENTO",IF(H100&gt;=G100,"VERDE",IF(H100&gt;=G100*0.9,"AMARELO","VERMELHO")))))</f>
        <v/>
      </c>
      <c r="M100" s="162" t="n"/>
      <c r="N100" s="162" t="n"/>
      <c r="O100" s="162" t="n"/>
      <c r="P100" s="162" t="n"/>
      <c r="Q100" s="320" t="n"/>
      <c r="R100" s="162" t="inlineStr">
        <is>
          <t>CONTROLE PRODUÇÃO POR EMPRESAS!D22</t>
        </is>
      </c>
    </row>
    <row r="101" hidden="1" ht="28.5" customHeight="1">
      <c r="A101" s="317" t="n">
        <v>46239</v>
      </c>
      <c r="B101" t="inlineStr">
        <is>
          <t>GERAL</t>
        </is>
      </c>
      <c r="C101" t="inlineStr">
        <is>
          <t>CMM</t>
        </is>
      </c>
      <c r="D101" t="inlineStr">
        <is>
          <t>PREMONTAGEM</t>
        </is>
      </c>
      <c r="F101" s="159">
        <f>IFERROR(INDEX('BASE METAS DIÁRIAS'!$N$2:$S$358,MATCH($A101,'BASE METAS DIÁRIAS'!$A$2:$A$358,0),MOD(ROW()-2,6)+1),"")</f>
        <v/>
      </c>
      <c r="G101" s="159">
        <f>IFERROR(IF(WEEKDAY($A101,2)&lt;=INDEX('BASE METAS DIÁRIAS'!$H$2:$M$358,MATCH($A101,'BASE METAS DIÁRIAS'!$A$2:$A$358,0),MOD(ROW()-2,6)+1),INDEX('BASE METAS DIÁRIAS'!$B$2:$G$358,MATCH($A101,'BASE METAS DIÁRIAS'!$A$2:$A$358,0),MOD(ROW()-2,6)+1),""),"")</f>
        <v/>
      </c>
      <c r="H101" s="159">
        <f>IFERROR(IF(INDEX('CONTROLE PRODUÇÃO POR EMPRESAS'!$B$6:$G$5000,MATCH($A101,'CONTROLE PRODUÇÃO POR EMPRESAS'!$A$6:$A$5000,0),MOD(ROW()-2,6)+1)="","",IFERROR(1*INDEX('CONTROLE PRODUÇÃO POR EMPRESAS'!$B$6:$G$5000,MATCH($A101,'CONTROLE PRODUÇÃO POR EMPRESAS'!$A$6:$A$5000,0),MOD(ROW()-2,6)+1),"")),"")</f>
        <v/>
      </c>
      <c r="I101" s="159">
        <f>IF(OR(NOT(ISNUMBER(G101)),NOT(ISNUMBER(H101))),"",H101-G101)</f>
        <v/>
      </c>
      <c r="J101" s="319">
        <f>IF(OR(NOT(ISNUMBER(G101)),NOT(ISNUMBER(H101)),G101=0),"",I101/G101)</f>
        <v/>
      </c>
      <c r="K101" s="319">
        <f>IF(OR(NOT(ISNUMBER(G101)),NOT(ISNUMBER(H101)),G101=0),"",H101/G101)</f>
        <v/>
      </c>
      <c r="L101">
        <f>IF(NOT(ISNUMBER(G101)),"SEM META",IF(G101=0,"SEM META",IF(NOT(ISNUMBER(H101)),"SEM APONTAMENTO",IF(H101&gt;=G101,"VERDE",IF(H101&gt;=G101*0.9,"AMARELO","VERMELHO")))))</f>
        <v/>
      </c>
      <c r="M101" s="162" t="n"/>
      <c r="N101" s="162" t="n"/>
      <c r="O101" s="162" t="n"/>
      <c r="P101" s="162" t="n"/>
      <c r="Q101" s="320" t="n"/>
      <c r="R101" s="162" t="inlineStr">
        <is>
          <t>CONTROLE PRODUÇÃO POR EMPRESAS!E22</t>
        </is>
      </c>
    </row>
    <row r="102" hidden="1" ht="28.5" customHeight="1">
      <c r="A102" s="317" t="n">
        <v>46239</v>
      </c>
      <c r="B102" t="inlineStr">
        <is>
          <t>GERAL</t>
        </is>
      </c>
      <c r="C102" t="inlineStr">
        <is>
          <t>CMM</t>
        </is>
      </c>
      <c r="D102" t="inlineStr">
        <is>
          <t>IÇAMENTO JOIST</t>
        </is>
      </c>
      <c r="F102" s="159">
        <f>IFERROR(INDEX('BASE METAS DIÁRIAS'!$N$2:$S$358,MATCH($A102,'BASE METAS DIÁRIAS'!$A$2:$A$358,0),MOD(ROW()-2,6)+1),"")</f>
        <v/>
      </c>
      <c r="G102" s="159">
        <f>IFERROR(IF(WEEKDAY($A102,2)&lt;=INDEX('BASE METAS DIÁRIAS'!$H$2:$M$358,MATCH($A102,'BASE METAS DIÁRIAS'!$A$2:$A$358,0),MOD(ROW()-2,6)+1),INDEX('BASE METAS DIÁRIAS'!$B$2:$G$358,MATCH($A102,'BASE METAS DIÁRIAS'!$A$2:$A$358,0),MOD(ROW()-2,6)+1),""),"")</f>
        <v/>
      </c>
      <c r="H102" s="159">
        <f>IFERROR(IF(INDEX('CONTROLE PRODUÇÃO POR EMPRESAS'!$B$6:$G$5000,MATCH($A102,'CONTROLE PRODUÇÃO POR EMPRESAS'!$A$6:$A$5000,0),MOD(ROW()-2,6)+1)="","",IFERROR(1*INDEX('CONTROLE PRODUÇÃO POR EMPRESAS'!$B$6:$G$5000,MATCH($A102,'CONTROLE PRODUÇÃO POR EMPRESAS'!$A$6:$A$5000,0),MOD(ROW()-2,6)+1),"")),"")</f>
        <v/>
      </c>
      <c r="I102" s="159">
        <f>IF(OR(NOT(ISNUMBER(G102)),NOT(ISNUMBER(H102))),"",H102-G102)</f>
        <v/>
      </c>
      <c r="J102" s="319">
        <f>IF(OR(NOT(ISNUMBER(G102)),NOT(ISNUMBER(H102)),G102=0),"",I102/G102)</f>
        <v/>
      </c>
      <c r="K102" s="319">
        <f>IF(OR(NOT(ISNUMBER(G102)),NOT(ISNUMBER(H102)),G102=0),"",H102/G102)</f>
        <v/>
      </c>
      <c r="L102">
        <f>IF(NOT(ISNUMBER(G102)),"SEM META",IF(G102=0,"SEM META",IF(NOT(ISNUMBER(H102)),"SEM APONTAMENTO",IF(H102&gt;=G102,"VERDE",IF(H102&gt;=G102*0.9,"AMARELO","VERMELHO")))))</f>
        <v/>
      </c>
      <c r="M102" s="162" t="n"/>
      <c r="N102" s="162" t="n"/>
      <c r="O102" s="162" t="n"/>
      <c r="P102" s="162" t="n"/>
      <c r="Q102" s="320" t="n"/>
      <c r="R102" s="162" t="inlineStr">
        <is>
          <t>CONTROLE PRODUÇÃO POR EMPRESAS!F22</t>
        </is>
      </c>
    </row>
    <row r="103" hidden="1" ht="28.5" customHeight="1">
      <c r="A103" s="317" t="n">
        <v>46239</v>
      </c>
      <c r="B103" t="inlineStr">
        <is>
          <t>GERAL</t>
        </is>
      </c>
      <c r="C103" t="inlineStr">
        <is>
          <t>CMM</t>
        </is>
      </c>
      <c r="D103" t="inlineStr">
        <is>
          <t>VIGAS</t>
        </is>
      </c>
      <c r="F103" s="159">
        <f>IFERROR(INDEX('BASE METAS DIÁRIAS'!$N$2:$S$358,MATCH($A103,'BASE METAS DIÁRIAS'!$A$2:$A$358,0),MOD(ROW()-2,6)+1),"")</f>
        <v/>
      </c>
      <c r="G103" s="159">
        <f>IFERROR(IF(WEEKDAY($A103,2)&lt;=INDEX('BASE METAS DIÁRIAS'!$H$2:$M$358,MATCH($A103,'BASE METAS DIÁRIAS'!$A$2:$A$358,0),MOD(ROW()-2,6)+1),INDEX('BASE METAS DIÁRIAS'!$B$2:$G$358,MATCH($A103,'BASE METAS DIÁRIAS'!$A$2:$A$358,0),MOD(ROW()-2,6)+1),""),"")</f>
        <v/>
      </c>
      <c r="H103" s="159">
        <f>IFERROR(IF(INDEX('CONTROLE PRODUÇÃO POR EMPRESAS'!$B$6:$G$5000,MATCH($A103,'CONTROLE PRODUÇÃO POR EMPRESAS'!$A$6:$A$5000,0),MOD(ROW()-2,6)+1)="","",IFERROR(1*INDEX('CONTROLE PRODUÇÃO POR EMPRESAS'!$B$6:$G$5000,MATCH($A103,'CONTROLE PRODUÇÃO POR EMPRESAS'!$A$6:$A$5000,0),MOD(ROW()-2,6)+1),"")),"")</f>
        <v/>
      </c>
      <c r="I103" s="159">
        <f>IF(OR(NOT(ISNUMBER(G103)),NOT(ISNUMBER(H103))),"",H103-G103)</f>
        <v/>
      </c>
      <c r="J103" s="319">
        <f>IF(OR(NOT(ISNUMBER(G103)),NOT(ISNUMBER(H103)),G103=0),"",I103/G103)</f>
        <v/>
      </c>
      <c r="K103" s="319">
        <f>IF(OR(NOT(ISNUMBER(G103)),NOT(ISNUMBER(H103)),G103=0),"",H103/G103)</f>
        <v/>
      </c>
      <c r="L103">
        <f>IF(NOT(ISNUMBER(G103)),"SEM META",IF(G103=0,"SEM META",IF(NOT(ISNUMBER(H103)),"SEM APONTAMENTO",IF(H103&gt;=G103,"VERDE",IF(H103&gt;=G103*0.9,"AMARELO","VERMELHO")))))</f>
        <v/>
      </c>
      <c r="M103" s="162" t="n"/>
      <c r="N103" s="162" t="n"/>
      <c r="O103" s="162" t="n"/>
      <c r="P103" s="162" t="n"/>
      <c r="Q103" s="320" t="n"/>
      <c r="R103" s="162" t="inlineStr">
        <is>
          <t>CONTROLE PRODUÇÃO POR EMPRESAS!G22</t>
        </is>
      </c>
    </row>
    <row r="104" hidden="1" ht="28.5" customHeight="1">
      <c r="A104" s="317" t="n">
        <v>46240</v>
      </c>
      <c r="B104" t="inlineStr">
        <is>
          <t>GERAL</t>
        </is>
      </c>
      <c r="C104" t="inlineStr">
        <is>
          <t>EJ</t>
        </is>
      </c>
      <c r="D104" t="inlineStr">
        <is>
          <t>PREMONTAGEM</t>
        </is>
      </c>
      <c r="F104" s="159">
        <f>IFERROR(INDEX('BASE METAS DIÁRIAS'!$N$2:$S$358,MATCH($A104,'BASE METAS DIÁRIAS'!$A$2:$A$358,0),MOD(ROW()-2,6)+1),"")</f>
        <v/>
      </c>
      <c r="G104" s="159">
        <f>IFERROR(IF(WEEKDAY($A104,2)&lt;=INDEX('BASE METAS DIÁRIAS'!$H$2:$M$358,MATCH($A104,'BASE METAS DIÁRIAS'!$A$2:$A$358,0),MOD(ROW()-2,6)+1),INDEX('BASE METAS DIÁRIAS'!$B$2:$G$358,MATCH($A104,'BASE METAS DIÁRIAS'!$A$2:$A$358,0),MOD(ROW()-2,6)+1),""),"")</f>
        <v/>
      </c>
      <c r="H104" s="159">
        <f>IFERROR(IF(INDEX('CONTROLE PRODUÇÃO POR EMPRESAS'!$B$6:$G$5000,MATCH($A104,'CONTROLE PRODUÇÃO POR EMPRESAS'!$A$6:$A$5000,0),MOD(ROW()-2,6)+1)="","",IFERROR(1*INDEX('CONTROLE PRODUÇÃO POR EMPRESAS'!$B$6:$G$5000,MATCH($A104,'CONTROLE PRODUÇÃO POR EMPRESAS'!$A$6:$A$5000,0),MOD(ROW()-2,6)+1),"")),"")</f>
        <v/>
      </c>
      <c r="I104" s="159">
        <f>IF(OR(NOT(ISNUMBER(G104)),NOT(ISNUMBER(H104))),"",H104-G104)</f>
        <v/>
      </c>
      <c r="J104" s="319">
        <f>IF(OR(NOT(ISNUMBER(G104)),NOT(ISNUMBER(H104)),G104=0),"",I104/G104)</f>
        <v/>
      </c>
      <c r="K104" s="319">
        <f>IF(OR(NOT(ISNUMBER(G104)),NOT(ISNUMBER(H104)),G104=0),"",H104/G104)</f>
        <v/>
      </c>
      <c r="L104">
        <f>IF(NOT(ISNUMBER(G104)),"SEM META",IF(G104=0,"SEM META",IF(NOT(ISNUMBER(H104)),"SEM APONTAMENTO",IF(H104&gt;=G104,"VERDE",IF(H104&gt;=G104*0.9,"AMARELO","VERMELHO")))))</f>
        <v/>
      </c>
      <c r="M104" s="162" t="n"/>
      <c r="N104" s="162" t="n"/>
      <c r="O104" s="162" t="n"/>
      <c r="P104" s="162" t="n"/>
      <c r="Q104" s="320" t="n"/>
      <c r="R104" s="162" t="inlineStr">
        <is>
          <t>CONTROLE PRODUÇÃO POR EMPRESAS!B23</t>
        </is>
      </c>
    </row>
    <row r="105" hidden="1" ht="28.5" customHeight="1">
      <c r="A105" s="317" t="n">
        <v>46240</v>
      </c>
      <c r="B105" t="inlineStr">
        <is>
          <t>GERAL</t>
        </is>
      </c>
      <c r="C105" t="inlineStr">
        <is>
          <t>EJ</t>
        </is>
      </c>
      <c r="D105" t="inlineStr">
        <is>
          <t>IÇAMENTO JOIST</t>
        </is>
      </c>
      <c r="F105" s="159">
        <f>IFERROR(INDEX('BASE METAS DIÁRIAS'!$N$2:$S$358,MATCH($A105,'BASE METAS DIÁRIAS'!$A$2:$A$358,0),MOD(ROW()-2,6)+1),"")</f>
        <v/>
      </c>
      <c r="G105" s="159">
        <f>IFERROR(IF(WEEKDAY($A105,2)&lt;=INDEX('BASE METAS DIÁRIAS'!$H$2:$M$358,MATCH($A105,'BASE METAS DIÁRIAS'!$A$2:$A$358,0),MOD(ROW()-2,6)+1),INDEX('BASE METAS DIÁRIAS'!$B$2:$G$358,MATCH($A105,'BASE METAS DIÁRIAS'!$A$2:$A$358,0),MOD(ROW()-2,6)+1),""),"")</f>
        <v/>
      </c>
      <c r="H105" s="159">
        <f>IFERROR(IF(INDEX('CONTROLE PRODUÇÃO POR EMPRESAS'!$B$6:$G$5000,MATCH($A105,'CONTROLE PRODUÇÃO POR EMPRESAS'!$A$6:$A$5000,0),MOD(ROW()-2,6)+1)="","",IFERROR(1*INDEX('CONTROLE PRODUÇÃO POR EMPRESAS'!$B$6:$G$5000,MATCH($A105,'CONTROLE PRODUÇÃO POR EMPRESAS'!$A$6:$A$5000,0),MOD(ROW()-2,6)+1),"")),"")</f>
        <v/>
      </c>
      <c r="I105" s="159">
        <f>IF(OR(NOT(ISNUMBER(G105)),NOT(ISNUMBER(H105))),"",H105-G105)</f>
        <v/>
      </c>
      <c r="J105" s="319">
        <f>IF(OR(NOT(ISNUMBER(G105)),NOT(ISNUMBER(H105)),G105=0),"",I105/G105)</f>
        <v/>
      </c>
      <c r="K105" s="319">
        <f>IF(OR(NOT(ISNUMBER(G105)),NOT(ISNUMBER(H105)),G105=0),"",H105/G105)</f>
        <v/>
      </c>
      <c r="L105">
        <f>IF(NOT(ISNUMBER(G105)),"SEM META",IF(G105=0,"SEM META",IF(NOT(ISNUMBER(H105)),"SEM APONTAMENTO",IF(H105&gt;=G105,"VERDE",IF(H105&gt;=G105*0.9,"AMARELO","VERMELHO")))))</f>
        <v/>
      </c>
      <c r="M105" s="162" t="n"/>
      <c r="N105" s="162" t="n"/>
      <c r="O105" s="162" t="n"/>
      <c r="P105" s="162" t="n"/>
      <c r="Q105" s="320" t="n"/>
      <c r="R105" s="162" t="inlineStr">
        <is>
          <t>CONTROLE PRODUÇÃO POR EMPRESAS!C23</t>
        </is>
      </c>
    </row>
    <row r="106" hidden="1" ht="28.5" customHeight="1">
      <c r="A106" s="317" t="n">
        <v>46240</v>
      </c>
      <c r="B106" t="inlineStr">
        <is>
          <t>GERAL</t>
        </is>
      </c>
      <c r="C106" t="inlineStr">
        <is>
          <t>EJ</t>
        </is>
      </c>
      <c r="D106" t="inlineStr">
        <is>
          <t>VIGAS</t>
        </is>
      </c>
      <c r="F106" s="159">
        <f>IFERROR(INDEX('BASE METAS DIÁRIAS'!$N$2:$S$358,MATCH($A106,'BASE METAS DIÁRIAS'!$A$2:$A$358,0),MOD(ROW()-2,6)+1),"")</f>
        <v/>
      </c>
      <c r="G106" s="159">
        <f>IFERROR(IF(WEEKDAY($A106,2)&lt;=INDEX('BASE METAS DIÁRIAS'!$H$2:$M$358,MATCH($A106,'BASE METAS DIÁRIAS'!$A$2:$A$358,0),MOD(ROW()-2,6)+1),INDEX('BASE METAS DIÁRIAS'!$B$2:$G$358,MATCH($A106,'BASE METAS DIÁRIAS'!$A$2:$A$358,0),MOD(ROW()-2,6)+1),""),"")</f>
        <v/>
      </c>
      <c r="H106" s="159">
        <f>IFERROR(IF(INDEX('CONTROLE PRODUÇÃO POR EMPRESAS'!$B$6:$G$5000,MATCH($A106,'CONTROLE PRODUÇÃO POR EMPRESAS'!$A$6:$A$5000,0),MOD(ROW()-2,6)+1)="","",IFERROR(1*INDEX('CONTROLE PRODUÇÃO POR EMPRESAS'!$B$6:$G$5000,MATCH($A106,'CONTROLE PRODUÇÃO POR EMPRESAS'!$A$6:$A$5000,0),MOD(ROW()-2,6)+1),"")),"")</f>
        <v/>
      </c>
      <c r="I106" s="159">
        <f>IF(OR(NOT(ISNUMBER(G106)),NOT(ISNUMBER(H106))),"",H106-G106)</f>
        <v/>
      </c>
      <c r="J106" s="319">
        <f>IF(OR(NOT(ISNUMBER(G106)),NOT(ISNUMBER(H106)),G106=0),"",I106/G106)</f>
        <v/>
      </c>
      <c r="K106" s="319">
        <f>IF(OR(NOT(ISNUMBER(G106)),NOT(ISNUMBER(H106)),G106=0),"",H106/G106)</f>
        <v/>
      </c>
      <c r="L106">
        <f>IF(NOT(ISNUMBER(G106)),"SEM META",IF(G106=0,"SEM META",IF(NOT(ISNUMBER(H106)),"SEM APONTAMENTO",IF(H106&gt;=G106,"VERDE",IF(H106&gt;=G106*0.9,"AMARELO","VERMELHO")))))</f>
        <v/>
      </c>
      <c r="M106" s="162" t="n"/>
      <c r="N106" s="162" t="n"/>
      <c r="O106" s="162" t="n"/>
      <c r="P106" s="162" t="n"/>
      <c r="Q106" s="320" t="n"/>
      <c r="R106" s="162" t="inlineStr">
        <is>
          <t>CONTROLE PRODUÇÃO POR EMPRESAS!D23</t>
        </is>
      </c>
    </row>
    <row r="107" hidden="1" ht="28.5" customHeight="1">
      <c r="A107" s="317" t="n">
        <v>46240</v>
      </c>
      <c r="B107" t="inlineStr">
        <is>
          <t>GERAL</t>
        </is>
      </c>
      <c r="C107" t="inlineStr">
        <is>
          <t>CMM</t>
        </is>
      </c>
      <c r="D107" t="inlineStr">
        <is>
          <t>PREMONTAGEM</t>
        </is>
      </c>
      <c r="F107" s="159">
        <f>IFERROR(INDEX('BASE METAS DIÁRIAS'!$N$2:$S$358,MATCH($A107,'BASE METAS DIÁRIAS'!$A$2:$A$358,0),MOD(ROW()-2,6)+1),"")</f>
        <v/>
      </c>
      <c r="G107" s="159">
        <f>IFERROR(IF(WEEKDAY($A107,2)&lt;=INDEX('BASE METAS DIÁRIAS'!$H$2:$M$358,MATCH($A107,'BASE METAS DIÁRIAS'!$A$2:$A$358,0),MOD(ROW()-2,6)+1),INDEX('BASE METAS DIÁRIAS'!$B$2:$G$358,MATCH($A107,'BASE METAS DIÁRIAS'!$A$2:$A$358,0),MOD(ROW()-2,6)+1),""),"")</f>
        <v/>
      </c>
      <c r="H107" s="159">
        <f>IFERROR(IF(INDEX('CONTROLE PRODUÇÃO POR EMPRESAS'!$B$6:$G$5000,MATCH($A107,'CONTROLE PRODUÇÃO POR EMPRESAS'!$A$6:$A$5000,0),MOD(ROW()-2,6)+1)="","",IFERROR(1*INDEX('CONTROLE PRODUÇÃO POR EMPRESAS'!$B$6:$G$5000,MATCH($A107,'CONTROLE PRODUÇÃO POR EMPRESAS'!$A$6:$A$5000,0),MOD(ROW()-2,6)+1),"")),"")</f>
        <v/>
      </c>
      <c r="I107" s="159">
        <f>IF(OR(NOT(ISNUMBER(G107)),NOT(ISNUMBER(H107))),"",H107-G107)</f>
        <v/>
      </c>
      <c r="J107" s="319">
        <f>IF(OR(NOT(ISNUMBER(G107)),NOT(ISNUMBER(H107)),G107=0),"",I107/G107)</f>
        <v/>
      </c>
      <c r="K107" s="319">
        <f>IF(OR(NOT(ISNUMBER(G107)),NOT(ISNUMBER(H107)),G107=0),"",H107/G107)</f>
        <v/>
      </c>
      <c r="L107">
        <f>IF(NOT(ISNUMBER(G107)),"SEM META",IF(G107=0,"SEM META",IF(NOT(ISNUMBER(H107)),"SEM APONTAMENTO",IF(H107&gt;=G107,"VERDE",IF(H107&gt;=G107*0.9,"AMARELO","VERMELHO")))))</f>
        <v/>
      </c>
      <c r="M107" s="162" t="n"/>
      <c r="N107" s="162" t="n"/>
      <c r="O107" s="162" t="n"/>
      <c r="P107" s="162" t="n"/>
      <c r="Q107" s="320" t="n"/>
      <c r="R107" s="162" t="inlineStr">
        <is>
          <t>CONTROLE PRODUÇÃO POR EMPRESAS!E23</t>
        </is>
      </c>
    </row>
    <row r="108" hidden="1" ht="28.5" customHeight="1">
      <c r="A108" s="317" t="n">
        <v>46240</v>
      </c>
      <c r="B108" t="inlineStr">
        <is>
          <t>GERAL</t>
        </is>
      </c>
      <c r="C108" t="inlineStr">
        <is>
          <t>CMM</t>
        </is>
      </c>
      <c r="D108" t="inlineStr">
        <is>
          <t>IÇAMENTO JOIST</t>
        </is>
      </c>
      <c r="F108" s="159">
        <f>IFERROR(INDEX('BASE METAS DIÁRIAS'!$N$2:$S$358,MATCH($A108,'BASE METAS DIÁRIAS'!$A$2:$A$358,0),MOD(ROW()-2,6)+1),"")</f>
        <v/>
      </c>
      <c r="G108" s="159">
        <f>IFERROR(IF(WEEKDAY($A108,2)&lt;=INDEX('BASE METAS DIÁRIAS'!$H$2:$M$358,MATCH($A108,'BASE METAS DIÁRIAS'!$A$2:$A$358,0),MOD(ROW()-2,6)+1),INDEX('BASE METAS DIÁRIAS'!$B$2:$G$358,MATCH($A108,'BASE METAS DIÁRIAS'!$A$2:$A$358,0),MOD(ROW()-2,6)+1),""),"")</f>
        <v/>
      </c>
      <c r="H108" s="159">
        <f>IFERROR(IF(INDEX('CONTROLE PRODUÇÃO POR EMPRESAS'!$B$6:$G$5000,MATCH($A108,'CONTROLE PRODUÇÃO POR EMPRESAS'!$A$6:$A$5000,0),MOD(ROW()-2,6)+1)="","",IFERROR(1*INDEX('CONTROLE PRODUÇÃO POR EMPRESAS'!$B$6:$G$5000,MATCH($A108,'CONTROLE PRODUÇÃO POR EMPRESAS'!$A$6:$A$5000,0),MOD(ROW()-2,6)+1),"")),"")</f>
        <v/>
      </c>
      <c r="I108" s="159">
        <f>IF(OR(NOT(ISNUMBER(G108)),NOT(ISNUMBER(H108))),"",H108-G108)</f>
        <v/>
      </c>
      <c r="J108" s="319">
        <f>IF(OR(NOT(ISNUMBER(G108)),NOT(ISNUMBER(H108)),G108=0),"",I108/G108)</f>
        <v/>
      </c>
      <c r="K108" s="319">
        <f>IF(OR(NOT(ISNUMBER(G108)),NOT(ISNUMBER(H108)),G108=0),"",H108/G108)</f>
        <v/>
      </c>
      <c r="L108">
        <f>IF(NOT(ISNUMBER(G108)),"SEM META",IF(G108=0,"SEM META",IF(NOT(ISNUMBER(H108)),"SEM APONTAMENTO",IF(H108&gt;=G108,"VERDE",IF(H108&gt;=G108*0.9,"AMARELO","VERMELHO")))))</f>
        <v/>
      </c>
      <c r="M108" s="162" t="n"/>
      <c r="N108" s="162" t="n"/>
      <c r="O108" s="162" t="n"/>
      <c r="P108" s="162" t="n"/>
      <c r="Q108" s="320" t="n"/>
      <c r="R108" s="162" t="inlineStr">
        <is>
          <t>CONTROLE PRODUÇÃO POR EMPRESAS!F23</t>
        </is>
      </c>
    </row>
    <row r="109" hidden="1" ht="28.5" customHeight="1">
      <c r="A109" s="317" t="n">
        <v>46240</v>
      </c>
      <c r="B109" t="inlineStr">
        <is>
          <t>GERAL</t>
        </is>
      </c>
      <c r="C109" t="inlineStr">
        <is>
          <t>CMM</t>
        </is>
      </c>
      <c r="D109" t="inlineStr">
        <is>
          <t>VIGAS</t>
        </is>
      </c>
      <c r="F109" s="159">
        <f>IFERROR(INDEX('BASE METAS DIÁRIAS'!$N$2:$S$358,MATCH($A109,'BASE METAS DIÁRIAS'!$A$2:$A$358,0),MOD(ROW()-2,6)+1),"")</f>
        <v/>
      </c>
      <c r="G109" s="159">
        <f>IFERROR(IF(WEEKDAY($A109,2)&lt;=INDEX('BASE METAS DIÁRIAS'!$H$2:$M$358,MATCH($A109,'BASE METAS DIÁRIAS'!$A$2:$A$358,0),MOD(ROW()-2,6)+1),INDEX('BASE METAS DIÁRIAS'!$B$2:$G$358,MATCH($A109,'BASE METAS DIÁRIAS'!$A$2:$A$358,0),MOD(ROW()-2,6)+1),""),"")</f>
        <v/>
      </c>
      <c r="H109" s="159">
        <f>IFERROR(IF(INDEX('CONTROLE PRODUÇÃO POR EMPRESAS'!$B$6:$G$5000,MATCH($A109,'CONTROLE PRODUÇÃO POR EMPRESAS'!$A$6:$A$5000,0),MOD(ROW()-2,6)+1)="","",IFERROR(1*INDEX('CONTROLE PRODUÇÃO POR EMPRESAS'!$B$6:$G$5000,MATCH($A109,'CONTROLE PRODUÇÃO POR EMPRESAS'!$A$6:$A$5000,0),MOD(ROW()-2,6)+1),"")),"")</f>
        <v/>
      </c>
      <c r="I109" s="159">
        <f>IF(OR(NOT(ISNUMBER(G109)),NOT(ISNUMBER(H109))),"",H109-G109)</f>
        <v/>
      </c>
      <c r="J109" s="319">
        <f>IF(OR(NOT(ISNUMBER(G109)),NOT(ISNUMBER(H109)),G109=0),"",I109/G109)</f>
        <v/>
      </c>
      <c r="K109" s="319">
        <f>IF(OR(NOT(ISNUMBER(G109)),NOT(ISNUMBER(H109)),G109=0),"",H109/G109)</f>
        <v/>
      </c>
      <c r="L109">
        <f>IF(NOT(ISNUMBER(G109)),"SEM META",IF(G109=0,"SEM META",IF(NOT(ISNUMBER(H109)),"SEM APONTAMENTO",IF(H109&gt;=G109,"VERDE",IF(H109&gt;=G109*0.9,"AMARELO","VERMELHO")))))</f>
        <v/>
      </c>
      <c r="M109" s="162" t="n"/>
      <c r="N109" s="162" t="n"/>
      <c r="O109" s="162" t="n"/>
      <c r="P109" s="162" t="n"/>
      <c r="Q109" s="320" t="n"/>
      <c r="R109" s="162" t="inlineStr">
        <is>
          <t>CONTROLE PRODUÇÃO POR EMPRESAS!G23</t>
        </is>
      </c>
    </row>
    <row r="110" hidden="1" ht="28.5" customHeight="1">
      <c r="A110" s="317" t="n">
        <v>46241</v>
      </c>
      <c r="B110" t="inlineStr">
        <is>
          <t>GERAL</t>
        </is>
      </c>
      <c r="C110" t="inlineStr">
        <is>
          <t>EJ</t>
        </is>
      </c>
      <c r="D110" t="inlineStr">
        <is>
          <t>PREMONTAGEM</t>
        </is>
      </c>
      <c r="F110" s="159">
        <f>IFERROR(INDEX('BASE METAS DIÁRIAS'!$N$2:$S$358,MATCH($A110,'BASE METAS DIÁRIAS'!$A$2:$A$358,0),MOD(ROW()-2,6)+1),"")</f>
        <v/>
      </c>
      <c r="G110" s="159">
        <f>IFERROR(IF(WEEKDAY($A110,2)&lt;=INDEX('BASE METAS DIÁRIAS'!$H$2:$M$358,MATCH($A110,'BASE METAS DIÁRIAS'!$A$2:$A$358,0),MOD(ROW()-2,6)+1),INDEX('BASE METAS DIÁRIAS'!$B$2:$G$358,MATCH($A110,'BASE METAS DIÁRIAS'!$A$2:$A$358,0),MOD(ROW()-2,6)+1),""),"")</f>
        <v/>
      </c>
      <c r="H110" s="159">
        <f>IFERROR(IF(INDEX('CONTROLE PRODUÇÃO POR EMPRESAS'!$B$6:$G$5000,MATCH($A110,'CONTROLE PRODUÇÃO POR EMPRESAS'!$A$6:$A$5000,0),MOD(ROW()-2,6)+1)="","",IFERROR(1*INDEX('CONTROLE PRODUÇÃO POR EMPRESAS'!$B$6:$G$5000,MATCH($A110,'CONTROLE PRODUÇÃO POR EMPRESAS'!$A$6:$A$5000,0),MOD(ROW()-2,6)+1),"")),"")</f>
        <v/>
      </c>
      <c r="I110" s="159">
        <f>IF(OR(NOT(ISNUMBER(G110)),NOT(ISNUMBER(H110))),"",H110-G110)</f>
        <v/>
      </c>
      <c r="J110" s="319">
        <f>IF(OR(NOT(ISNUMBER(G110)),NOT(ISNUMBER(H110)),G110=0),"",I110/G110)</f>
        <v/>
      </c>
      <c r="K110" s="319">
        <f>IF(OR(NOT(ISNUMBER(G110)),NOT(ISNUMBER(H110)),G110=0),"",H110/G110)</f>
        <v/>
      </c>
      <c r="L110">
        <f>IF(NOT(ISNUMBER(G110)),"SEM META",IF(G110=0,"SEM META",IF(NOT(ISNUMBER(H110)),"SEM APONTAMENTO",IF(H110&gt;=G110,"VERDE",IF(H110&gt;=G110*0.9,"AMARELO","VERMELHO")))))</f>
        <v/>
      </c>
      <c r="M110" s="162" t="n"/>
      <c r="N110" s="162" t="n"/>
      <c r="O110" s="162" t="n"/>
      <c r="P110" s="162" t="n"/>
      <c r="Q110" s="320" t="n"/>
      <c r="R110" s="162" t="inlineStr">
        <is>
          <t>CONTROLE PRODUÇÃO POR EMPRESAS!B24</t>
        </is>
      </c>
    </row>
    <row r="111" hidden="1" ht="28.5" customHeight="1">
      <c r="A111" s="317" t="n">
        <v>46241</v>
      </c>
      <c r="B111" t="inlineStr">
        <is>
          <t>GERAL</t>
        </is>
      </c>
      <c r="C111" t="inlineStr">
        <is>
          <t>EJ</t>
        </is>
      </c>
      <c r="D111" t="inlineStr">
        <is>
          <t>IÇAMENTO JOIST</t>
        </is>
      </c>
      <c r="F111" s="159">
        <f>IFERROR(INDEX('BASE METAS DIÁRIAS'!$N$2:$S$358,MATCH($A111,'BASE METAS DIÁRIAS'!$A$2:$A$358,0),MOD(ROW()-2,6)+1),"")</f>
        <v/>
      </c>
      <c r="G111" s="159">
        <f>IFERROR(IF(WEEKDAY($A111,2)&lt;=INDEX('BASE METAS DIÁRIAS'!$H$2:$M$358,MATCH($A111,'BASE METAS DIÁRIAS'!$A$2:$A$358,0),MOD(ROW()-2,6)+1),INDEX('BASE METAS DIÁRIAS'!$B$2:$G$358,MATCH($A111,'BASE METAS DIÁRIAS'!$A$2:$A$358,0),MOD(ROW()-2,6)+1),""),"")</f>
        <v/>
      </c>
      <c r="H111" s="159">
        <f>IFERROR(IF(INDEX('CONTROLE PRODUÇÃO POR EMPRESAS'!$B$6:$G$5000,MATCH($A111,'CONTROLE PRODUÇÃO POR EMPRESAS'!$A$6:$A$5000,0),MOD(ROW()-2,6)+1)="","",IFERROR(1*INDEX('CONTROLE PRODUÇÃO POR EMPRESAS'!$B$6:$G$5000,MATCH($A111,'CONTROLE PRODUÇÃO POR EMPRESAS'!$A$6:$A$5000,0),MOD(ROW()-2,6)+1),"")),"")</f>
        <v/>
      </c>
      <c r="I111" s="159">
        <f>IF(OR(NOT(ISNUMBER(G111)),NOT(ISNUMBER(H111))),"",H111-G111)</f>
        <v/>
      </c>
      <c r="J111" s="319">
        <f>IF(OR(NOT(ISNUMBER(G111)),NOT(ISNUMBER(H111)),G111=0),"",I111/G111)</f>
        <v/>
      </c>
      <c r="K111" s="319">
        <f>IF(OR(NOT(ISNUMBER(G111)),NOT(ISNUMBER(H111)),G111=0),"",H111/G111)</f>
        <v/>
      </c>
      <c r="L111">
        <f>IF(NOT(ISNUMBER(G111)),"SEM META",IF(G111=0,"SEM META",IF(NOT(ISNUMBER(H111)),"SEM APONTAMENTO",IF(H111&gt;=G111,"VERDE",IF(H111&gt;=G111*0.9,"AMARELO","VERMELHO")))))</f>
        <v/>
      </c>
      <c r="M111" s="162" t="n"/>
      <c r="N111" s="162" t="n"/>
      <c r="O111" s="162" t="n"/>
      <c r="P111" s="162" t="n"/>
      <c r="Q111" s="320" t="n"/>
      <c r="R111" s="162" t="inlineStr">
        <is>
          <t>CONTROLE PRODUÇÃO POR EMPRESAS!C24</t>
        </is>
      </c>
    </row>
    <row r="112" hidden="1" ht="28.5" customHeight="1">
      <c r="A112" s="317" t="n">
        <v>46241</v>
      </c>
      <c r="B112" t="inlineStr">
        <is>
          <t>GERAL</t>
        </is>
      </c>
      <c r="C112" t="inlineStr">
        <is>
          <t>EJ</t>
        </is>
      </c>
      <c r="D112" t="inlineStr">
        <is>
          <t>VIGAS</t>
        </is>
      </c>
      <c r="F112" s="159">
        <f>IFERROR(INDEX('BASE METAS DIÁRIAS'!$N$2:$S$358,MATCH($A112,'BASE METAS DIÁRIAS'!$A$2:$A$358,0),MOD(ROW()-2,6)+1),"")</f>
        <v/>
      </c>
      <c r="G112" s="159">
        <f>IFERROR(IF(WEEKDAY($A112,2)&lt;=INDEX('BASE METAS DIÁRIAS'!$H$2:$M$358,MATCH($A112,'BASE METAS DIÁRIAS'!$A$2:$A$358,0),MOD(ROW()-2,6)+1),INDEX('BASE METAS DIÁRIAS'!$B$2:$G$358,MATCH($A112,'BASE METAS DIÁRIAS'!$A$2:$A$358,0),MOD(ROW()-2,6)+1),""),"")</f>
        <v/>
      </c>
      <c r="H112" s="159">
        <f>IFERROR(IF(INDEX('CONTROLE PRODUÇÃO POR EMPRESAS'!$B$6:$G$5000,MATCH($A112,'CONTROLE PRODUÇÃO POR EMPRESAS'!$A$6:$A$5000,0),MOD(ROW()-2,6)+1)="","",IFERROR(1*INDEX('CONTROLE PRODUÇÃO POR EMPRESAS'!$B$6:$G$5000,MATCH($A112,'CONTROLE PRODUÇÃO POR EMPRESAS'!$A$6:$A$5000,0),MOD(ROW()-2,6)+1),"")),"")</f>
        <v/>
      </c>
      <c r="I112" s="159">
        <f>IF(OR(NOT(ISNUMBER(G112)),NOT(ISNUMBER(H112))),"",H112-G112)</f>
        <v/>
      </c>
      <c r="J112" s="319">
        <f>IF(OR(NOT(ISNUMBER(G112)),NOT(ISNUMBER(H112)),G112=0),"",I112/G112)</f>
        <v/>
      </c>
      <c r="K112" s="319">
        <f>IF(OR(NOT(ISNUMBER(G112)),NOT(ISNUMBER(H112)),G112=0),"",H112/G112)</f>
        <v/>
      </c>
      <c r="L112">
        <f>IF(NOT(ISNUMBER(G112)),"SEM META",IF(G112=0,"SEM META",IF(NOT(ISNUMBER(H112)),"SEM APONTAMENTO",IF(H112&gt;=G112,"VERDE",IF(H112&gt;=G112*0.9,"AMARELO","VERMELHO")))))</f>
        <v/>
      </c>
      <c r="M112" s="162" t="n"/>
      <c r="N112" s="162" t="n"/>
      <c r="O112" s="162" t="n"/>
      <c r="P112" s="162" t="n"/>
      <c r="Q112" s="320" t="n"/>
      <c r="R112" s="162" t="inlineStr">
        <is>
          <t>CONTROLE PRODUÇÃO POR EMPRESAS!D24</t>
        </is>
      </c>
    </row>
    <row r="113" hidden="1" ht="28.5" customHeight="1">
      <c r="A113" s="317" t="n">
        <v>46241</v>
      </c>
      <c r="B113" t="inlineStr">
        <is>
          <t>GERAL</t>
        </is>
      </c>
      <c r="C113" t="inlineStr">
        <is>
          <t>CMM</t>
        </is>
      </c>
      <c r="D113" t="inlineStr">
        <is>
          <t>PREMONTAGEM</t>
        </is>
      </c>
      <c r="F113" s="159">
        <f>IFERROR(INDEX('BASE METAS DIÁRIAS'!$N$2:$S$358,MATCH($A113,'BASE METAS DIÁRIAS'!$A$2:$A$358,0),MOD(ROW()-2,6)+1),"")</f>
        <v/>
      </c>
      <c r="G113" s="159">
        <f>IFERROR(IF(WEEKDAY($A113,2)&lt;=INDEX('BASE METAS DIÁRIAS'!$H$2:$M$358,MATCH($A113,'BASE METAS DIÁRIAS'!$A$2:$A$358,0),MOD(ROW()-2,6)+1),INDEX('BASE METAS DIÁRIAS'!$B$2:$G$358,MATCH($A113,'BASE METAS DIÁRIAS'!$A$2:$A$358,0),MOD(ROW()-2,6)+1),""),"")</f>
        <v/>
      </c>
      <c r="H113" s="159">
        <f>IFERROR(IF(INDEX('CONTROLE PRODUÇÃO POR EMPRESAS'!$B$6:$G$5000,MATCH($A113,'CONTROLE PRODUÇÃO POR EMPRESAS'!$A$6:$A$5000,0),MOD(ROW()-2,6)+1)="","",IFERROR(1*INDEX('CONTROLE PRODUÇÃO POR EMPRESAS'!$B$6:$G$5000,MATCH($A113,'CONTROLE PRODUÇÃO POR EMPRESAS'!$A$6:$A$5000,0),MOD(ROW()-2,6)+1),"")),"")</f>
        <v/>
      </c>
      <c r="I113" s="159">
        <f>IF(OR(NOT(ISNUMBER(G113)),NOT(ISNUMBER(H113))),"",H113-G113)</f>
        <v/>
      </c>
      <c r="J113" s="319">
        <f>IF(OR(NOT(ISNUMBER(G113)),NOT(ISNUMBER(H113)),G113=0),"",I113/G113)</f>
        <v/>
      </c>
      <c r="K113" s="319">
        <f>IF(OR(NOT(ISNUMBER(G113)),NOT(ISNUMBER(H113)),G113=0),"",H113/G113)</f>
        <v/>
      </c>
      <c r="L113">
        <f>IF(NOT(ISNUMBER(G113)),"SEM META",IF(G113=0,"SEM META",IF(NOT(ISNUMBER(H113)),"SEM APONTAMENTO",IF(H113&gt;=G113,"VERDE",IF(H113&gt;=G113*0.9,"AMARELO","VERMELHO")))))</f>
        <v/>
      </c>
      <c r="M113" s="162" t="n"/>
      <c r="N113" s="162" t="n"/>
      <c r="O113" s="162" t="n"/>
      <c r="P113" s="162" t="n"/>
      <c r="Q113" s="320" t="n"/>
      <c r="R113" s="162" t="inlineStr">
        <is>
          <t>CONTROLE PRODUÇÃO POR EMPRESAS!E24</t>
        </is>
      </c>
    </row>
    <row r="114" hidden="1" ht="28.5" customHeight="1">
      <c r="A114" s="317" t="n">
        <v>46241</v>
      </c>
      <c r="B114" t="inlineStr">
        <is>
          <t>GERAL</t>
        </is>
      </c>
      <c r="C114" t="inlineStr">
        <is>
          <t>CMM</t>
        </is>
      </c>
      <c r="D114" t="inlineStr">
        <is>
          <t>IÇAMENTO JOIST</t>
        </is>
      </c>
      <c r="F114" s="159">
        <f>IFERROR(INDEX('BASE METAS DIÁRIAS'!$N$2:$S$358,MATCH($A114,'BASE METAS DIÁRIAS'!$A$2:$A$358,0),MOD(ROW()-2,6)+1),"")</f>
        <v/>
      </c>
      <c r="G114" s="159">
        <f>IFERROR(IF(WEEKDAY($A114,2)&lt;=INDEX('BASE METAS DIÁRIAS'!$H$2:$M$358,MATCH($A114,'BASE METAS DIÁRIAS'!$A$2:$A$358,0),MOD(ROW()-2,6)+1),INDEX('BASE METAS DIÁRIAS'!$B$2:$G$358,MATCH($A114,'BASE METAS DIÁRIAS'!$A$2:$A$358,0),MOD(ROW()-2,6)+1),""),"")</f>
        <v/>
      </c>
      <c r="H114" s="159">
        <f>IFERROR(IF(INDEX('CONTROLE PRODUÇÃO POR EMPRESAS'!$B$6:$G$5000,MATCH($A114,'CONTROLE PRODUÇÃO POR EMPRESAS'!$A$6:$A$5000,0),MOD(ROW()-2,6)+1)="","",IFERROR(1*INDEX('CONTROLE PRODUÇÃO POR EMPRESAS'!$B$6:$G$5000,MATCH($A114,'CONTROLE PRODUÇÃO POR EMPRESAS'!$A$6:$A$5000,0),MOD(ROW()-2,6)+1),"")),"")</f>
        <v/>
      </c>
      <c r="I114" s="159">
        <f>IF(OR(NOT(ISNUMBER(G114)),NOT(ISNUMBER(H114))),"",H114-G114)</f>
        <v/>
      </c>
      <c r="J114" s="319">
        <f>IF(OR(NOT(ISNUMBER(G114)),NOT(ISNUMBER(H114)),G114=0),"",I114/G114)</f>
        <v/>
      </c>
      <c r="K114" s="319">
        <f>IF(OR(NOT(ISNUMBER(G114)),NOT(ISNUMBER(H114)),G114=0),"",H114/G114)</f>
        <v/>
      </c>
      <c r="L114">
        <f>IF(NOT(ISNUMBER(G114)),"SEM META",IF(G114=0,"SEM META",IF(NOT(ISNUMBER(H114)),"SEM APONTAMENTO",IF(H114&gt;=G114,"VERDE",IF(H114&gt;=G114*0.9,"AMARELO","VERMELHO")))))</f>
        <v/>
      </c>
      <c r="M114" s="162" t="n"/>
      <c r="N114" s="162" t="n"/>
      <c r="O114" s="162" t="n"/>
      <c r="P114" s="162" t="n"/>
      <c r="Q114" s="320" t="n"/>
      <c r="R114" s="162" t="inlineStr">
        <is>
          <t>CONTROLE PRODUÇÃO POR EMPRESAS!F24</t>
        </is>
      </c>
    </row>
    <row r="115" hidden="1" ht="28.5" customHeight="1">
      <c r="A115" s="317" t="n">
        <v>46241</v>
      </c>
      <c r="B115" t="inlineStr">
        <is>
          <t>GERAL</t>
        </is>
      </c>
      <c r="C115" t="inlineStr">
        <is>
          <t>CMM</t>
        </is>
      </c>
      <c r="D115" t="inlineStr">
        <is>
          <t>VIGAS</t>
        </is>
      </c>
      <c r="F115" s="159">
        <f>IFERROR(INDEX('BASE METAS DIÁRIAS'!$N$2:$S$358,MATCH($A115,'BASE METAS DIÁRIAS'!$A$2:$A$358,0),MOD(ROW()-2,6)+1),"")</f>
        <v/>
      </c>
      <c r="G115" s="159">
        <f>IFERROR(IF(WEEKDAY($A115,2)&lt;=INDEX('BASE METAS DIÁRIAS'!$H$2:$M$358,MATCH($A115,'BASE METAS DIÁRIAS'!$A$2:$A$358,0),MOD(ROW()-2,6)+1),INDEX('BASE METAS DIÁRIAS'!$B$2:$G$358,MATCH($A115,'BASE METAS DIÁRIAS'!$A$2:$A$358,0),MOD(ROW()-2,6)+1),""),"")</f>
        <v/>
      </c>
      <c r="H115" s="159">
        <f>IFERROR(IF(INDEX('CONTROLE PRODUÇÃO POR EMPRESAS'!$B$6:$G$5000,MATCH($A115,'CONTROLE PRODUÇÃO POR EMPRESAS'!$A$6:$A$5000,0),MOD(ROW()-2,6)+1)="","",IFERROR(1*INDEX('CONTROLE PRODUÇÃO POR EMPRESAS'!$B$6:$G$5000,MATCH($A115,'CONTROLE PRODUÇÃO POR EMPRESAS'!$A$6:$A$5000,0),MOD(ROW()-2,6)+1),"")),"")</f>
        <v/>
      </c>
      <c r="I115" s="159">
        <f>IF(OR(NOT(ISNUMBER(G115)),NOT(ISNUMBER(H115))),"",H115-G115)</f>
        <v/>
      </c>
      <c r="J115" s="319">
        <f>IF(OR(NOT(ISNUMBER(G115)),NOT(ISNUMBER(H115)),G115=0),"",I115/G115)</f>
        <v/>
      </c>
      <c r="K115" s="319">
        <f>IF(OR(NOT(ISNUMBER(G115)),NOT(ISNUMBER(H115)),G115=0),"",H115/G115)</f>
        <v/>
      </c>
      <c r="L115">
        <f>IF(NOT(ISNUMBER(G115)),"SEM META",IF(G115=0,"SEM META",IF(NOT(ISNUMBER(H115)),"SEM APONTAMENTO",IF(H115&gt;=G115,"VERDE",IF(H115&gt;=G115*0.9,"AMARELO","VERMELHO")))))</f>
        <v/>
      </c>
      <c r="M115" s="162" t="n"/>
      <c r="N115" s="162" t="n"/>
      <c r="O115" s="162" t="n"/>
      <c r="P115" s="162" t="n"/>
      <c r="Q115" s="320" t="n"/>
      <c r="R115" s="162" t="inlineStr">
        <is>
          <t>CONTROLE PRODUÇÃO POR EMPRESAS!G24</t>
        </is>
      </c>
    </row>
    <row r="116" hidden="1" ht="28.5" customHeight="1">
      <c r="A116" s="317" t="n">
        <v>46242</v>
      </c>
      <c r="B116" t="inlineStr">
        <is>
          <t>GERAL</t>
        </is>
      </c>
      <c r="C116" t="inlineStr">
        <is>
          <t>EJ</t>
        </is>
      </c>
      <c r="D116" t="inlineStr">
        <is>
          <t>PREMONTAGEM</t>
        </is>
      </c>
      <c r="F116" s="159">
        <f>IFERROR(INDEX('BASE METAS DIÁRIAS'!$N$2:$S$358,MATCH($A116,'BASE METAS DIÁRIAS'!$A$2:$A$358,0),MOD(ROW()-2,6)+1),"")</f>
        <v/>
      </c>
      <c r="G116" s="159">
        <f>IFERROR(IF(WEEKDAY($A116,2)&lt;=INDEX('BASE METAS DIÁRIAS'!$H$2:$M$358,MATCH($A116,'BASE METAS DIÁRIAS'!$A$2:$A$358,0),MOD(ROW()-2,6)+1),INDEX('BASE METAS DIÁRIAS'!$B$2:$G$358,MATCH($A116,'BASE METAS DIÁRIAS'!$A$2:$A$358,0),MOD(ROW()-2,6)+1),""),"")</f>
        <v/>
      </c>
      <c r="H116" s="159">
        <f>IFERROR(IF(INDEX('CONTROLE PRODUÇÃO POR EMPRESAS'!$B$6:$G$5000,MATCH($A116,'CONTROLE PRODUÇÃO POR EMPRESAS'!$A$6:$A$5000,0),MOD(ROW()-2,6)+1)="","",IFERROR(1*INDEX('CONTROLE PRODUÇÃO POR EMPRESAS'!$B$6:$G$5000,MATCH($A116,'CONTROLE PRODUÇÃO POR EMPRESAS'!$A$6:$A$5000,0),MOD(ROW()-2,6)+1),"")),"")</f>
        <v/>
      </c>
      <c r="I116" s="159">
        <f>IF(OR(NOT(ISNUMBER(G116)),NOT(ISNUMBER(H116))),"",H116-G116)</f>
        <v/>
      </c>
      <c r="J116" s="319">
        <f>IF(OR(NOT(ISNUMBER(G116)),NOT(ISNUMBER(H116)),G116=0),"",I116/G116)</f>
        <v/>
      </c>
      <c r="K116" s="319">
        <f>IF(OR(NOT(ISNUMBER(G116)),NOT(ISNUMBER(H116)),G116=0),"",H116/G116)</f>
        <v/>
      </c>
      <c r="L116">
        <f>IF(NOT(ISNUMBER(G116)),"SEM META",IF(G116=0,"SEM META",IF(NOT(ISNUMBER(H116)),"SEM APONTAMENTO",IF(H116&gt;=G116,"VERDE",IF(H116&gt;=G116*0.9,"AMARELO","VERMELHO")))))</f>
        <v/>
      </c>
      <c r="M116" s="162" t="n"/>
      <c r="N116" s="162" t="n"/>
      <c r="O116" s="162" t="n"/>
      <c r="P116" s="162" t="n"/>
      <c r="Q116" s="320" t="n"/>
      <c r="R116" s="162" t="inlineStr">
        <is>
          <t>CONTROLE PRODUÇÃO POR EMPRESAS!B25</t>
        </is>
      </c>
    </row>
    <row r="117" hidden="1" ht="28.5" customHeight="1">
      <c r="A117" s="317" t="n">
        <v>46242</v>
      </c>
      <c r="B117" t="inlineStr">
        <is>
          <t>GERAL</t>
        </is>
      </c>
      <c r="C117" t="inlineStr">
        <is>
          <t>EJ</t>
        </is>
      </c>
      <c r="D117" t="inlineStr">
        <is>
          <t>IÇAMENTO JOIST</t>
        </is>
      </c>
      <c r="F117" s="159">
        <f>IFERROR(INDEX('BASE METAS DIÁRIAS'!$N$2:$S$358,MATCH($A117,'BASE METAS DIÁRIAS'!$A$2:$A$358,0),MOD(ROW()-2,6)+1),"")</f>
        <v/>
      </c>
      <c r="G117" s="159">
        <f>IFERROR(IF(WEEKDAY($A117,2)&lt;=INDEX('BASE METAS DIÁRIAS'!$H$2:$M$358,MATCH($A117,'BASE METAS DIÁRIAS'!$A$2:$A$358,0),MOD(ROW()-2,6)+1),INDEX('BASE METAS DIÁRIAS'!$B$2:$G$358,MATCH($A117,'BASE METAS DIÁRIAS'!$A$2:$A$358,0),MOD(ROW()-2,6)+1),""),"")</f>
        <v/>
      </c>
      <c r="H117" s="159">
        <f>IFERROR(IF(INDEX('CONTROLE PRODUÇÃO POR EMPRESAS'!$B$6:$G$5000,MATCH($A117,'CONTROLE PRODUÇÃO POR EMPRESAS'!$A$6:$A$5000,0),MOD(ROW()-2,6)+1)="","",IFERROR(1*INDEX('CONTROLE PRODUÇÃO POR EMPRESAS'!$B$6:$G$5000,MATCH($A117,'CONTROLE PRODUÇÃO POR EMPRESAS'!$A$6:$A$5000,0),MOD(ROW()-2,6)+1),"")),"")</f>
        <v/>
      </c>
      <c r="I117" s="159">
        <f>IF(OR(NOT(ISNUMBER(G117)),NOT(ISNUMBER(H117))),"",H117-G117)</f>
        <v/>
      </c>
      <c r="J117" s="319">
        <f>IF(OR(NOT(ISNUMBER(G117)),NOT(ISNUMBER(H117)),G117=0),"",I117/G117)</f>
        <v/>
      </c>
      <c r="K117" s="319">
        <f>IF(OR(NOT(ISNUMBER(G117)),NOT(ISNUMBER(H117)),G117=0),"",H117/G117)</f>
        <v/>
      </c>
      <c r="L117">
        <f>IF(NOT(ISNUMBER(G117)),"SEM META",IF(G117=0,"SEM META",IF(NOT(ISNUMBER(H117)),"SEM APONTAMENTO",IF(H117&gt;=G117,"VERDE",IF(H117&gt;=G117*0.9,"AMARELO","VERMELHO")))))</f>
        <v/>
      </c>
      <c r="M117" s="162" t="n"/>
      <c r="N117" s="162" t="n"/>
      <c r="O117" s="162" t="n"/>
      <c r="P117" s="162" t="n"/>
      <c r="Q117" s="320" t="n"/>
      <c r="R117" s="162" t="inlineStr">
        <is>
          <t>CONTROLE PRODUÇÃO POR EMPRESAS!C25</t>
        </is>
      </c>
    </row>
    <row r="118" hidden="1" ht="28.5" customHeight="1">
      <c r="A118" s="317" t="n">
        <v>46242</v>
      </c>
      <c r="B118" t="inlineStr">
        <is>
          <t>GERAL</t>
        </is>
      </c>
      <c r="C118" t="inlineStr">
        <is>
          <t>EJ</t>
        </is>
      </c>
      <c r="D118" t="inlineStr">
        <is>
          <t>VIGAS</t>
        </is>
      </c>
      <c r="F118" s="159">
        <f>IFERROR(INDEX('BASE METAS DIÁRIAS'!$N$2:$S$358,MATCH($A118,'BASE METAS DIÁRIAS'!$A$2:$A$358,0),MOD(ROW()-2,6)+1),"")</f>
        <v/>
      </c>
      <c r="G118" s="159">
        <f>IFERROR(IF(WEEKDAY($A118,2)&lt;=INDEX('BASE METAS DIÁRIAS'!$H$2:$M$358,MATCH($A118,'BASE METAS DIÁRIAS'!$A$2:$A$358,0),MOD(ROW()-2,6)+1),INDEX('BASE METAS DIÁRIAS'!$B$2:$G$358,MATCH($A118,'BASE METAS DIÁRIAS'!$A$2:$A$358,0),MOD(ROW()-2,6)+1),""),"")</f>
        <v/>
      </c>
      <c r="H118" s="159">
        <f>IFERROR(IF(INDEX('CONTROLE PRODUÇÃO POR EMPRESAS'!$B$6:$G$5000,MATCH($A118,'CONTROLE PRODUÇÃO POR EMPRESAS'!$A$6:$A$5000,0),MOD(ROW()-2,6)+1)="","",IFERROR(1*INDEX('CONTROLE PRODUÇÃO POR EMPRESAS'!$B$6:$G$5000,MATCH($A118,'CONTROLE PRODUÇÃO POR EMPRESAS'!$A$6:$A$5000,0),MOD(ROW()-2,6)+1),"")),"")</f>
        <v/>
      </c>
      <c r="I118" s="159">
        <f>IF(OR(NOT(ISNUMBER(G118)),NOT(ISNUMBER(H118))),"",H118-G118)</f>
        <v/>
      </c>
      <c r="J118" s="319">
        <f>IF(OR(NOT(ISNUMBER(G118)),NOT(ISNUMBER(H118)),G118=0),"",I118/G118)</f>
        <v/>
      </c>
      <c r="K118" s="319">
        <f>IF(OR(NOT(ISNUMBER(G118)),NOT(ISNUMBER(H118)),G118=0),"",H118/G118)</f>
        <v/>
      </c>
      <c r="L118">
        <f>IF(NOT(ISNUMBER(G118)),"SEM META",IF(G118=0,"SEM META",IF(NOT(ISNUMBER(H118)),"SEM APONTAMENTO",IF(H118&gt;=G118,"VERDE",IF(H118&gt;=G118*0.9,"AMARELO","VERMELHO")))))</f>
        <v/>
      </c>
      <c r="M118" s="162" t="n"/>
      <c r="N118" s="162" t="n"/>
      <c r="O118" s="162" t="n"/>
      <c r="P118" s="162" t="n"/>
      <c r="Q118" s="320" t="n"/>
      <c r="R118" s="162" t="inlineStr">
        <is>
          <t>CONTROLE PRODUÇÃO POR EMPRESAS!D25</t>
        </is>
      </c>
    </row>
    <row r="119" hidden="1" ht="28.5" customHeight="1">
      <c r="A119" s="317" t="n">
        <v>46242</v>
      </c>
      <c r="B119" t="inlineStr">
        <is>
          <t>GERAL</t>
        </is>
      </c>
      <c r="C119" t="inlineStr">
        <is>
          <t>CMM</t>
        </is>
      </c>
      <c r="D119" t="inlineStr">
        <is>
          <t>PREMONTAGEM</t>
        </is>
      </c>
      <c r="F119" s="159">
        <f>IFERROR(INDEX('BASE METAS DIÁRIAS'!$N$2:$S$358,MATCH($A119,'BASE METAS DIÁRIAS'!$A$2:$A$358,0),MOD(ROW()-2,6)+1),"")</f>
        <v/>
      </c>
      <c r="G119" s="159">
        <f>IFERROR(IF(WEEKDAY($A119,2)&lt;=INDEX('BASE METAS DIÁRIAS'!$H$2:$M$358,MATCH($A119,'BASE METAS DIÁRIAS'!$A$2:$A$358,0),MOD(ROW()-2,6)+1),INDEX('BASE METAS DIÁRIAS'!$B$2:$G$358,MATCH($A119,'BASE METAS DIÁRIAS'!$A$2:$A$358,0),MOD(ROW()-2,6)+1),""),"")</f>
        <v/>
      </c>
      <c r="H119" s="159">
        <f>IFERROR(IF(INDEX('CONTROLE PRODUÇÃO POR EMPRESAS'!$B$6:$G$5000,MATCH($A119,'CONTROLE PRODUÇÃO POR EMPRESAS'!$A$6:$A$5000,0),MOD(ROW()-2,6)+1)="","",IFERROR(1*INDEX('CONTROLE PRODUÇÃO POR EMPRESAS'!$B$6:$G$5000,MATCH($A119,'CONTROLE PRODUÇÃO POR EMPRESAS'!$A$6:$A$5000,0),MOD(ROW()-2,6)+1),"")),"")</f>
        <v/>
      </c>
      <c r="I119" s="159">
        <f>IF(OR(NOT(ISNUMBER(G119)),NOT(ISNUMBER(H119))),"",H119-G119)</f>
        <v/>
      </c>
      <c r="J119" s="319">
        <f>IF(OR(NOT(ISNUMBER(G119)),NOT(ISNUMBER(H119)),G119=0),"",I119/G119)</f>
        <v/>
      </c>
      <c r="K119" s="319">
        <f>IF(OR(NOT(ISNUMBER(G119)),NOT(ISNUMBER(H119)),G119=0),"",H119/G119)</f>
        <v/>
      </c>
      <c r="L119">
        <f>IF(NOT(ISNUMBER(G119)),"SEM META",IF(G119=0,"SEM META",IF(NOT(ISNUMBER(H119)),"SEM APONTAMENTO",IF(H119&gt;=G119,"VERDE",IF(H119&gt;=G119*0.9,"AMARELO","VERMELHO")))))</f>
        <v/>
      </c>
      <c r="M119" s="162" t="n"/>
      <c r="N119" s="162" t="n"/>
      <c r="O119" s="162" t="n"/>
      <c r="P119" s="162" t="n"/>
      <c r="Q119" s="320" t="n"/>
      <c r="R119" s="162" t="inlineStr">
        <is>
          <t>CONTROLE PRODUÇÃO POR EMPRESAS!E25</t>
        </is>
      </c>
    </row>
    <row r="120" hidden="1" ht="28.5" customHeight="1">
      <c r="A120" s="317" t="n">
        <v>46242</v>
      </c>
      <c r="B120" t="inlineStr">
        <is>
          <t>GERAL</t>
        </is>
      </c>
      <c r="C120" t="inlineStr">
        <is>
          <t>CMM</t>
        </is>
      </c>
      <c r="D120" t="inlineStr">
        <is>
          <t>IÇAMENTO JOIST</t>
        </is>
      </c>
      <c r="F120" s="159">
        <f>IFERROR(INDEX('BASE METAS DIÁRIAS'!$N$2:$S$358,MATCH($A120,'BASE METAS DIÁRIAS'!$A$2:$A$358,0),MOD(ROW()-2,6)+1),"")</f>
        <v/>
      </c>
      <c r="G120" s="159">
        <f>IFERROR(IF(WEEKDAY($A120,2)&lt;=INDEX('BASE METAS DIÁRIAS'!$H$2:$M$358,MATCH($A120,'BASE METAS DIÁRIAS'!$A$2:$A$358,0),MOD(ROW()-2,6)+1),INDEX('BASE METAS DIÁRIAS'!$B$2:$G$358,MATCH($A120,'BASE METAS DIÁRIAS'!$A$2:$A$358,0),MOD(ROW()-2,6)+1),""),"")</f>
        <v/>
      </c>
      <c r="H120" s="159">
        <f>IFERROR(IF(INDEX('CONTROLE PRODUÇÃO POR EMPRESAS'!$B$6:$G$5000,MATCH($A120,'CONTROLE PRODUÇÃO POR EMPRESAS'!$A$6:$A$5000,0),MOD(ROW()-2,6)+1)="","",IFERROR(1*INDEX('CONTROLE PRODUÇÃO POR EMPRESAS'!$B$6:$G$5000,MATCH($A120,'CONTROLE PRODUÇÃO POR EMPRESAS'!$A$6:$A$5000,0),MOD(ROW()-2,6)+1),"")),"")</f>
        <v/>
      </c>
      <c r="I120" s="159">
        <f>IF(OR(NOT(ISNUMBER(G120)),NOT(ISNUMBER(H120))),"",H120-G120)</f>
        <v/>
      </c>
      <c r="J120" s="319">
        <f>IF(OR(NOT(ISNUMBER(G120)),NOT(ISNUMBER(H120)),G120=0),"",I120/G120)</f>
        <v/>
      </c>
      <c r="K120" s="319">
        <f>IF(OR(NOT(ISNUMBER(G120)),NOT(ISNUMBER(H120)),G120=0),"",H120/G120)</f>
        <v/>
      </c>
      <c r="L120">
        <f>IF(NOT(ISNUMBER(G120)),"SEM META",IF(G120=0,"SEM META",IF(NOT(ISNUMBER(H120)),"SEM APONTAMENTO",IF(H120&gt;=G120,"VERDE",IF(H120&gt;=G120*0.9,"AMARELO","VERMELHO")))))</f>
        <v/>
      </c>
      <c r="M120" s="162" t="n"/>
      <c r="N120" s="162" t="n"/>
      <c r="O120" s="162" t="n"/>
      <c r="P120" s="162" t="n"/>
      <c r="Q120" s="320" t="n"/>
      <c r="R120" s="162" t="inlineStr">
        <is>
          <t>CONTROLE PRODUÇÃO POR EMPRESAS!F25</t>
        </is>
      </c>
    </row>
    <row r="121" hidden="1" ht="28.5" customHeight="1">
      <c r="A121" s="317" t="n">
        <v>46242</v>
      </c>
      <c r="B121" t="inlineStr">
        <is>
          <t>GERAL</t>
        </is>
      </c>
      <c r="C121" t="inlineStr">
        <is>
          <t>CMM</t>
        </is>
      </c>
      <c r="D121" t="inlineStr">
        <is>
          <t>VIGAS</t>
        </is>
      </c>
      <c r="F121" s="159">
        <f>IFERROR(INDEX('BASE METAS DIÁRIAS'!$N$2:$S$358,MATCH($A121,'BASE METAS DIÁRIAS'!$A$2:$A$358,0),MOD(ROW()-2,6)+1),"")</f>
        <v/>
      </c>
      <c r="G121" s="159">
        <f>IFERROR(IF(WEEKDAY($A121,2)&lt;=INDEX('BASE METAS DIÁRIAS'!$H$2:$M$358,MATCH($A121,'BASE METAS DIÁRIAS'!$A$2:$A$358,0),MOD(ROW()-2,6)+1),INDEX('BASE METAS DIÁRIAS'!$B$2:$G$358,MATCH($A121,'BASE METAS DIÁRIAS'!$A$2:$A$358,0),MOD(ROW()-2,6)+1),""),"")</f>
        <v/>
      </c>
      <c r="H121" s="159">
        <f>IFERROR(IF(INDEX('CONTROLE PRODUÇÃO POR EMPRESAS'!$B$6:$G$5000,MATCH($A121,'CONTROLE PRODUÇÃO POR EMPRESAS'!$A$6:$A$5000,0),MOD(ROW()-2,6)+1)="","",IFERROR(1*INDEX('CONTROLE PRODUÇÃO POR EMPRESAS'!$B$6:$G$5000,MATCH($A121,'CONTROLE PRODUÇÃO POR EMPRESAS'!$A$6:$A$5000,0),MOD(ROW()-2,6)+1),"")),"")</f>
        <v/>
      </c>
      <c r="I121" s="159">
        <f>IF(OR(NOT(ISNUMBER(G121)),NOT(ISNUMBER(H121))),"",H121-G121)</f>
        <v/>
      </c>
      <c r="J121" s="319">
        <f>IF(OR(NOT(ISNUMBER(G121)),NOT(ISNUMBER(H121)),G121=0),"",I121/G121)</f>
        <v/>
      </c>
      <c r="K121" s="319">
        <f>IF(OR(NOT(ISNUMBER(G121)),NOT(ISNUMBER(H121)),G121=0),"",H121/G121)</f>
        <v/>
      </c>
      <c r="L121">
        <f>IF(NOT(ISNUMBER(G121)),"SEM META",IF(G121=0,"SEM META",IF(NOT(ISNUMBER(H121)),"SEM APONTAMENTO",IF(H121&gt;=G121,"VERDE",IF(H121&gt;=G121*0.9,"AMARELO","VERMELHO")))))</f>
        <v/>
      </c>
      <c r="M121" s="162" t="n"/>
      <c r="N121" s="162" t="n"/>
      <c r="O121" s="162" t="n"/>
      <c r="P121" s="162" t="n"/>
      <c r="Q121" s="320" t="n"/>
      <c r="R121" s="162" t="inlineStr">
        <is>
          <t>CONTROLE PRODUÇÃO POR EMPRESAS!G25</t>
        </is>
      </c>
    </row>
    <row r="122" hidden="1" ht="28.5" customHeight="1">
      <c r="A122" s="317" t="n">
        <v>46243</v>
      </c>
      <c r="B122" t="inlineStr">
        <is>
          <t>GERAL</t>
        </is>
      </c>
      <c r="C122" t="inlineStr">
        <is>
          <t>EJ</t>
        </is>
      </c>
      <c r="D122" t="inlineStr">
        <is>
          <t>PREMONTAGEM</t>
        </is>
      </c>
      <c r="F122" s="159">
        <f>IFERROR(INDEX('BASE METAS DIÁRIAS'!$N$2:$S$358,MATCH($A122,'BASE METAS DIÁRIAS'!$A$2:$A$358,0),MOD(ROW()-2,6)+1),"")</f>
        <v/>
      </c>
      <c r="G122" s="159">
        <f>IFERROR(IF(WEEKDAY($A122,2)&lt;=INDEX('BASE METAS DIÁRIAS'!$H$2:$M$358,MATCH($A122,'BASE METAS DIÁRIAS'!$A$2:$A$358,0),MOD(ROW()-2,6)+1),INDEX('BASE METAS DIÁRIAS'!$B$2:$G$358,MATCH($A122,'BASE METAS DIÁRIAS'!$A$2:$A$358,0),MOD(ROW()-2,6)+1),""),"")</f>
        <v/>
      </c>
      <c r="H122" s="159">
        <f>IFERROR(IF(INDEX('CONTROLE PRODUÇÃO POR EMPRESAS'!$B$6:$G$5000,MATCH($A122,'CONTROLE PRODUÇÃO POR EMPRESAS'!$A$6:$A$5000,0),MOD(ROW()-2,6)+1)="","",IFERROR(1*INDEX('CONTROLE PRODUÇÃO POR EMPRESAS'!$B$6:$G$5000,MATCH($A122,'CONTROLE PRODUÇÃO POR EMPRESAS'!$A$6:$A$5000,0),MOD(ROW()-2,6)+1),"")),"")</f>
        <v/>
      </c>
      <c r="I122" s="159">
        <f>IF(OR(NOT(ISNUMBER(G122)),NOT(ISNUMBER(H122))),"",H122-G122)</f>
        <v/>
      </c>
      <c r="J122" s="319">
        <f>IF(OR(NOT(ISNUMBER(G122)),NOT(ISNUMBER(H122)),G122=0),"",I122/G122)</f>
        <v/>
      </c>
      <c r="K122" s="319">
        <f>IF(OR(NOT(ISNUMBER(G122)),NOT(ISNUMBER(H122)),G122=0),"",H122/G122)</f>
        <v/>
      </c>
      <c r="L122">
        <f>IF(NOT(ISNUMBER(G122)),"SEM META",IF(G122=0,"SEM META",IF(NOT(ISNUMBER(H122)),"SEM APONTAMENTO",IF(H122&gt;=G122,"VERDE",IF(H122&gt;=G122*0.9,"AMARELO","VERMELHO")))))</f>
        <v/>
      </c>
      <c r="M122" s="162" t="n"/>
      <c r="N122" s="162" t="n"/>
      <c r="O122" s="162" t="n"/>
      <c r="P122" s="162" t="n"/>
      <c r="Q122" s="320" t="n"/>
      <c r="R122" s="162" t="inlineStr">
        <is>
          <t>CONTROLE PRODUÇÃO POR EMPRESAS!B26</t>
        </is>
      </c>
    </row>
    <row r="123" hidden="1" ht="28.5" customHeight="1">
      <c r="A123" s="317" t="n">
        <v>46243</v>
      </c>
      <c r="B123" t="inlineStr">
        <is>
          <t>GERAL</t>
        </is>
      </c>
      <c r="C123" t="inlineStr">
        <is>
          <t>EJ</t>
        </is>
      </c>
      <c r="D123" t="inlineStr">
        <is>
          <t>IÇAMENTO JOIST</t>
        </is>
      </c>
      <c r="F123" s="159">
        <f>IFERROR(INDEX('BASE METAS DIÁRIAS'!$N$2:$S$358,MATCH($A123,'BASE METAS DIÁRIAS'!$A$2:$A$358,0),MOD(ROW()-2,6)+1),"")</f>
        <v/>
      </c>
      <c r="G123" s="159">
        <f>IFERROR(IF(WEEKDAY($A123,2)&lt;=INDEX('BASE METAS DIÁRIAS'!$H$2:$M$358,MATCH($A123,'BASE METAS DIÁRIAS'!$A$2:$A$358,0),MOD(ROW()-2,6)+1),INDEX('BASE METAS DIÁRIAS'!$B$2:$G$358,MATCH($A123,'BASE METAS DIÁRIAS'!$A$2:$A$358,0),MOD(ROW()-2,6)+1),""),"")</f>
        <v/>
      </c>
      <c r="H123" s="159">
        <f>IFERROR(IF(INDEX('CONTROLE PRODUÇÃO POR EMPRESAS'!$B$6:$G$5000,MATCH($A123,'CONTROLE PRODUÇÃO POR EMPRESAS'!$A$6:$A$5000,0),MOD(ROW()-2,6)+1)="","",IFERROR(1*INDEX('CONTROLE PRODUÇÃO POR EMPRESAS'!$B$6:$G$5000,MATCH($A123,'CONTROLE PRODUÇÃO POR EMPRESAS'!$A$6:$A$5000,0),MOD(ROW()-2,6)+1),"")),"")</f>
        <v/>
      </c>
      <c r="I123" s="159">
        <f>IF(OR(NOT(ISNUMBER(G123)),NOT(ISNUMBER(H123))),"",H123-G123)</f>
        <v/>
      </c>
      <c r="J123" s="319">
        <f>IF(OR(NOT(ISNUMBER(G123)),NOT(ISNUMBER(H123)),G123=0),"",I123/G123)</f>
        <v/>
      </c>
      <c r="K123" s="319">
        <f>IF(OR(NOT(ISNUMBER(G123)),NOT(ISNUMBER(H123)),G123=0),"",H123/G123)</f>
        <v/>
      </c>
      <c r="L123">
        <f>IF(NOT(ISNUMBER(G123)),"SEM META",IF(G123=0,"SEM META",IF(NOT(ISNUMBER(H123)),"SEM APONTAMENTO",IF(H123&gt;=G123,"VERDE",IF(H123&gt;=G123*0.9,"AMARELO","VERMELHO")))))</f>
        <v/>
      </c>
      <c r="M123" s="162" t="n"/>
      <c r="N123" s="162" t="n"/>
      <c r="O123" s="162" t="n"/>
      <c r="P123" s="162" t="n"/>
      <c r="Q123" s="320" t="n"/>
      <c r="R123" s="162" t="inlineStr">
        <is>
          <t>CONTROLE PRODUÇÃO POR EMPRESAS!C26</t>
        </is>
      </c>
    </row>
    <row r="124" hidden="1" ht="28.5" customHeight="1">
      <c r="A124" s="317" t="n">
        <v>46243</v>
      </c>
      <c r="B124" t="inlineStr">
        <is>
          <t>GERAL</t>
        </is>
      </c>
      <c r="C124" t="inlineStr">
        <is>
          <t>EJ</t>
        </is>
      </c>
      <c r="D124" t="inlineStr">
        <is>
          <t>VIGAS</t>
        </is>
      </c>
      <c r="F124" s="159">
        <f>IFERROR(INDEX('BASE METAS DIÁRIAS'!$N$2:$S$358,MATCH($A124,'BASE METAS DIÁRIAS'!$A$2:$A$358,0),MOD(ROW()-2,6)+1),"")</f>
        <v/>
      </c>
      <c r="G124" s="159">
        <f>IFERROR(IF(WEEKDAY($A124,2)&lt;=INDEX('BASE METAS DIÁRIAS'!$H$2:$M$358,MATCH($A124,'BASE METAS DIÁRIAS'!$A$2:$A$358,0),MOD(ROW()-2,6)+1),INDEX('BASE METAS DIÁRIAS'!$B$2:$G$358,MATCH($A124,'BASE METAS DIÁRIAS'!$A$2:$A$358,0),MOD(ROW()-2,6)+1),""),"")</f>
        <v/>
      </c>
      <c r="H124" s="159">
        <f>IFERROR(IF(INDEX('CONTROLE PRODUÇÃO POR EMPRESAS'!$B$6:$G$5000,MATCH($A124,'CONTROLE PRODUÇÃO POR EMPRESAS'!$A$6:$A$5000,0),MOD(ROW()-2,6)+1)="","",IFERROR(1*INDEX('CONTROLE PRODUÇÃO POR EMPRESAS'!$B$6:$G$5000,MATCH($A124,'CONTROLE PRODUÇÃO POR EMPRESAS'!$A$6:$A$5000,0),MOD(ROW()-2,6)+1),"")),"")</f>
        <v/>
      </c>
      <c r="I124" s="159">
        <f>IF(OR(NOT(ISNUMBER(G124)),NOT(ISNUMBER(H124))),"",H124-G124)</f>
        <v/>
      </c>
      <c r="J124" s="319">
        <f>IF(OR(NOT(ISNUMBER(G124)),NOT(ISNUMBER(H124)),G124=0),"",I124/G124)</f>
        <v/>
      </c>
      <c r="K124" s="319">
        <f>IF(OR(NOT(ISNUMBER(G124)),NOT(ISNUMBER(H124)),G124=0),"",H124/G124)</f>
        <v/>
      </c>
      <c r="L124">
        <f>IF(NOT(ISNUMBER(G124)),"SEM META",IF(G124=0,"SEM META",IF(NOT(ISNUMBER(H124)),"SEM APONTAMENTO",IF(H124&gt;=G124,"VERDE",IF(H124&gt;=G124*0.9,"AMARELO","VERMELHO")))))</f>
        <v/>
      </c>
      <c r="M124" s="162" t="n"/>
      <c r="N124" s="162" t="n"/>
      <c r="O124" s="162" t="n"/>
      <c r="P124" s="162" t="n"/>
      <c r="Q124" s="320" t="n"/>
      <c r="R124" s="162" t="inlineStr">
        <is>
          <t>CONTROLE PRODUÇÃO POR EMPRESAS!D26</t>
        </is>
      </c>
    </row>
    <row r="125" hidden="1" ht="28.5" customHeight="1">
      <c r="A125" s="317" t="n">
        <v>46243</v>
      </c>
      <c r="B125" t="inlineStr">
        <is>
          <t>GERAL</t>
        </is>
      </c>
      <c r="C125" t="inlineStr">
        <is>
          <t>CMM</t>
        </is>
      </c>
      <c r="D125" t="inlineStr">
        <is>
          <t>PREMONTAGEM</t>
        </is>
      </c>
      <c r="F125" s="159">
        <f>IFERROR(INDEX('BASE METAS DIÁRIAS'!$N$2:$S$358,MATCH($A125,'BASE METAS DIÁRIAS'!$A$2:$A$358,0),MOD(ROW()-2,6)+1),"")</f>
        <v/>
      </c>
      <c r="G125" s="159">
        <f>IFERROR(IF(WEEKDAY($A125,2)&lt;=INDEX('BASE METAS DIÁRIAS'!$H$2:$M$358,MATCH($A125,'BASE METAS DIÁRIAS'!$A$2:$A$358,0),MOD(ROW()-2,6)+1),INDEX('BASE METAS DIÁRIAS'!$B$2:$G$358,MATCH($A125,'BASE METAS DIÁRIAS'!$A$2:$A$358,0),MOD(ROW()-2,6)+1),""),"")</f>
        <v/>
      </c>
      <c r="H125" s="159">
        <f>IFERROR(IF(INDEX('CONTROLE PRODUÇÃO POR EMPRESAS'!$B$6:$G$5000,MATCH($A125,'CONTROLE PRODUÇÃO POR EMPRESAS'!$A$6:$A$5000,0),MOD(ROW()-2,6)+1)="","",IFERROR(1*INDEX('CONTROLE PRODUÇÃO POR EMPRESAS'!$B$6:$G$5000,MATCH($A125,'CONTROLE PRODUÇÃO POR EMPRESAS'!$A$6:$A$5000,0),MOD(ROW()-2,6)+1),"")),"")</f>
        <v/>
      </c>
      <c r="I125" s="159">
        <f>IF(OR(NOT(ISNUMBER(G125)),NOT(ISNUMBER(H125))),"",H125-G125)</f>
        <v/>
      </c>
      <c r="J125" s="319">
        <f>IF(OR(NOT(ISNUMBER(G125)),NOT(ISNUMBER(H125)),G125=0),"",I125/G125)</f>
        <v/>
      </c>
      <c r="K125" s="319">
        <f>IF(OR(NOT(ISNUMBER(G125)),NOT(ISNUMBER(H125)),G125=0),"",H125/G125)</f>
        <v/>
      </c>
      <c r="L125">
        <f>IF(NOT(ISNUMBER(G125)),"SEM META",IF(G125=0,"SEM META",IF(NOT(ISNUMBER(H125)),"SEM APONTAMENTO",IF(H125&gt;=G125,"VERDE",IF(H125&gt;=G125*0.9,"AMARELO","VERMELHO")))))</f>
        <v/>
      </c>
      <c r="M125" s="162" t="n"/>
      <c r="N125" s="162" t="n"/>
      <c r="O125" s="162" t="n"/>
      <c r="P125" s="162" t="n"/>
      <c r="Q125" s="320" t="n"/>
      <c r="R125" s="162" t="inlineStr">
        <is>
          <t>CONTROLE PRODUÇÃO POR EMPRESAS!E26</t>
        </is>
      </c>
    </row>
    <row r="126" hidden="1" ht="28.5" customHeight="1">
      <c r="A126" s="317" t="n">
        <v>46243</v>
      </c>
      <c r="B126" t="inlineStr">
        <is>
          <t>GERAL</t>
        </is>
      </c>
      <c r="C126" t="inlineStr">
        <is>
          <t>CMM</t>
        </is>
      </c>
      <c r="D126" t="inlineStr">
        <is>
          <t>IÇAMENTO JOIST</t>
        </is>
      </c>
      <c r="F126" s="159">
        <f>IFERROR(INDEX('BASE METAS DIÁRIAS'!$N$2:$S$358,MATCH($A126,'BASE METAS DIÁRIAS'!$A$2:$A$358,0),MOD(ROW()-2,6)+1),"")</f>
        <v/>
      </c>
      <c r="G126" s="159">
        <f>IFERROR(IF(WEEKDAY($A126,2)&lt;=INDEX('BASE METAS DIÁRIAS'!$H$2:$M$358,MATCH($A126,'BASE METAS DIÁRIAS'!$A$2:$A$358,0),MOD(ROW()-2,6)+1),INDEX('BASE METAS DIÁRIAS'!$B$2:$G$358,MATCH($A126,'BASE METAS DIÁRIAS'!$A$2:$A$358,0),MOD(ROW()-2,6)+1),""),"")</f>
        <v/>
      </c>
      <c r="H126" s="159">
        <f>IFERROR(IF(INDEX('CONTROLE PRODUÇÃO POR EMPRESAS'!$B$6:$G$5000,MATCH($A126,'CONTROLE PRODUÇÃO POR EMPRESAS'!$A$6:$A$5000,0),MOD(ROW()-2,6)+1)="","",IFERROR(1*INDEX('CONTROLE PRODUÇÃO POR EMPRESAS'!$B$6:$G$5000,MATCH($A126,'CONTROLE PRODUÇÃO POR EMPRESAS'!$A$6:$A$5000,0),MOD(ROW()-2,6)+1),"")),"")</f>
        <v/>
      </c>
      <c r="I126" s="159">
        <f>IF(OR(NOT(ISNUMBER(G126)),NOT(ISNUMBER(H126))),"",H126-G126)</f>
        <v/>
      </c>
      <c r="J126" s="319">
        <f>IF(OR(NOT(ISNUMBER(G126)),NOT(ISNUMBER(H126)),G126=0),"",I126/G126)</f>
        <v/>
      </c>
      <c r="K126" s="319">
        <f>IF(OR(NOT(ISNUMBER(G126)),NOT(ISNUMBER(H126)),G126=0),"",H126/G126)</f>
        <v/>
      </c>
      <c r="L126">
        <f>IF(NOT(ISNUMBER(G126)),"SEM META",IF(G126=0,"SEM META",IF(NOT(ISNUMBER(H126)),"SEM APONTAMENTO",IF(H126&gt;=G126,"VERDE",IF(H126&gt;=G126*0.9,"AMARELO","VERMELHO")))))</f>
        <v/>
      </c>
      <c r="M126" s="162" t="n"/>
      <c r="N126" s="162" t="n"/>
      <c r="O126" s="162" t="n"/>
      <c r="P126" s="162" t="n"/>
      <c r="Q126" s="320" t="n"/>
      <c r="R126" s="162" t="inlineStr">
        <is>
          <t>CONTROLE PRODUÇÃO POR EMPRESAS!F26</t>
        </is>
      </c>
    </row>
    <row r="127" hidden="1" ht="28.5" customHeight="1">
      <c r="A127" s="317" t="n">
        <v>46243</v>
      </c>
      <c r="B127" t="inlineStr">
        <is>
          <t>GERAL</t>
        </is>
      </c>
      <c r="C127" t="inlineStr">
        <is>
          <t>CMM</t>
        </is>
      </c>
      <c r="D127" t="inlineStr">
        <is>
          <t>VIGAS</t>
        </is>
      </c>
      <c r="F127" s="159">
        <f>IFERROR(INDEX('BASE METAS DIÁRIAS'!$N$2:$S$358,MATCH($A127,'BASE METAS DIÁRIAS'!$A$2:$A$358,0),MOD(ROW()-2,6)+1),"")</f>
        <v/>
      </c>
      <c r="G127" s="159">
        <f>IFERROR(IF(WEEKDAY($A127,2)&lt;=INDEX('BASE METAS DIÁRIAS'!$H$2:$M$358,MATCH($A127,'BASE METAS DIÁRIAS'!$A$2:$A$358,0),MOD(ROW()-2,6)+1),INDEX('BASE METAS DIÁRIAS'!$B$2:$G$358,MATCH($A127,'BASE METAS DIÁRIAS'!$A$2:$A$358,0),MOD(ROW()-2,6)+1),""),"")</f>
        <v/>
      </c>
      <c r="H127" s="159">
        <f>IFERROR(IF(INDEX('CONTROLE PRODUÇÃO POR EMPRESAS'!$B$6:$G$5000,MATCH($A127,'CONTROLE PRODUÇÃO POR EMPRESAS'!$A$6:$A$5000,0),MOD(ROW()-2,6)+1)="","",IFERROR(1*INDEX('CONTROLE PRODUÇÃO POR EMPRESAS'!$B$6:$G$5000,MATCH($A127,'CONTROLE PRODUÇÃO POR EMPRESAS'!$A$6:$A$5000,0),MOD(ROW()-2,6)+1),"")),"")</f>
        <v/>
      </c>
      <c r="I127" s="159">
        <f>IF(OR(NOT(ISNUMBER(G127)),NOT(ISNUMBER(H127))),"",H127-G127)</f>
        <v/>
      </c>
      <c r="J127" s="319">
        <f>IF(OR(NOT(ISNUMBER(G127)),NOT(ISNUMBER(H127)),G127=0),"",I127/G127)</f>
        <v/>
      </c>
      <c r="K127" s="319">
        <f>IF(OR(NOT(ISNUMBER(G127)),NOT(ISNUMBER(H127)),G127=0),"",H127/G127)</f>
        <v/>
      </c>
      <c r="L127">
        <f>IF(NOT(ISNUMBER(G127)),"SEM META",IF(G127=0,"SEM META",IF(NOT(ISNUMBER(H127)),"SEM APONTAMENTO",IF(H127&gt;=G127,"VERDE",IF(H127&gt;=G127*0.9,"AMARELO","VERMELHO")))))</f>
        <v/>
      </c>
      <c r="M127" s="162" t="n"/>
      <c r="N127" s="162" t="n"/>
      <c r="O127" s="162" t="n"/>
      <c r="P127" s="162" t="n"/>
      <c r="Q127" s="320" t="n"/>
      <c r="R127" s="162" t="inlineStr">
        <is>
          <t>CONTROLE PRODUÇÃO POR EMPRESAS!G26</t>
        </is>
      </c>
    </row>
    <row r="128" hidden="1" ht="28.5" customHeight="1">
      <c r="A128" s="317" t="n">
        <v>46244</v>
      </c>
      <c r="B128" t="inlineStr">
        <is>
          <t>GERAL</t>
        </is>
      </c>
      <c r="C128" t="inlineStr">
        <is>
          <t>EJ</t>
        </is>
      </c>
      <c r="D128" t="inlineStr">
        <is>
          <t>PREMONTAGEM</t>
        </is>
      </c>
      <c r="F128" s="159">
        <f>IFERROR(INDEX('BASE METAS DIÁRIAS'!$N$2:$S$358,MATCH($A128,'BASE METAS DIÁRIAS'!$A$2:$A$358,0),MOD(ROW()-2,6)+1),"")</f>
        <v/>
      </c>
      <c r="G128" s="159">
        <f>IFERROR(IF(WEEKDAY($A128,2)&lt;=INDEX('BASE METAS DIÁRIAS'!$H$2:$M$358,MATCH($A128,'BASE METAS DIÁRIAS'!$A$2:$A$358,0),MOD(ROW()-2,6)+1),INDEX('BASE METAS DIÁRIAS'!$B$2:$G$358,MATCH($A128,'BASE METAS DIÁRIAS'!$A$2:$A$358,0),MOD(ROW()-2,6)+1),""),"")</f>
        <v/>
      </c>
      <c r="H128" s="159">
        <f>IFERROR(IF(INDEX('CONTROLE PRODUÇÃO POR EMPRESAS'!$B$6:$G$5000,MATCH($A128,'CONTROLE PRODUÇÃO POR EMPRESAS'!$A$6:$A$5000,0),MOD(ROW()-2,6)+1)="","",IFERROR(1*INDEX('CONTROLE PRODUÇÃO POR EMPRESAS'!$B$6:$G$5000,MATCH($A128,'CONTROLE PRODUÇÃO POR EMPRESAS'!$A$6:$A$5000,0),MOD(ROW()-2,6)+1),"")),"")</f>
        <v/>
      </c>
      <c r="I128" s="159">
        <f>IF(OR(NOT(ISNUMBER(G128)),NOT(ISNUMBER(H128))),"",H128-G128)</f>
        <v/>
      </c>
      <c r="J128" s="319">
        <f>IF(OR(NOT(ISNUMBER(G128)),NOT(ISNUMBER(H128)),G128=0),"",I128/G128)</f>
        <v/>
      </c>
      <c r="K128" s="319">
        <f>IF(OR(NOT(ISNUMBER(G128)),NOT(ISNUMBER(H128)),G128=0),"",H128/G128)</f>
        <v/>
      </c>
      <c r="L128">
        <f>IF(NOT(ISNUMBER(G128)),"SEM META",IF(G128=0,"SEM META",IF(NOT(ISNUMBER(H128)),"SEM APONTAMENTO",IF(H128&gt;=G128,"VERDE",IF(H128&gt;=G128*0.9,"AMARELO","VERMELHO")))))</f>
        <v/>
      </c>
      <c r="M128" s="162" t="n"/>
      <c r="N128" s="162" t="n"/>
      <c r="O128" s="162" t="n"/>
      <c r="P128" s="162" t="n"/>
      <c r="Q128" s="320" t="n"/>
      <c r="R128" s="162" t="inlineStr">
        <is>
          <t>CONTROLE PRODUÇÃO POR EMPRESAS!B27</t>
        </is>
      </c>
    </row>
    <row r="129" hidden="1" ht="28.5" customHeight="1">
      <c r="A129" s="317" t="n">
        <v>46244</v>
      </c>
      <c r="B129" t="inlineStr">
        <is>
          <t>GERAL</t>
        </is>
      </c>
      <c r="C129" t="inlineStr">
        <is>
          <t>EJ</t>
        </is>
      </c>
      <c r="D129" t="inlineStr">
        <is>
          <t>IÇAMENTO JOIST</t>
        </is>
      </c>
      <c r="F129" s="159">
        <f>IFERROR(INDEX('BASE METAS DIÁRIAS'!$N$2:$S$358,MATCH($A129,'BASE METAS DIÁRIAS'!$A$2:$A$358,0),MOD(ROW()-2,6)+1),"")</f>
        <v/>
      </c>
      <c r="G129" s="159">
        <f>IFERROR(IF(WEEKDAY($A129,2)&lt;=INDEX('BASE METAS DIÁRIAS'!$H$2:$M$358,MATCH($A129,'BASE METAS DIÁRIAS'!$A$2:$A$358,0),MOD(ROW()-2,6)+1),INDEX('BASE METAS DIÁRIAS'!$B$2:$G$358,MATCH($A129,'BASE METAS DIÁRIAS'!$A$2:$A$358,0),MOD(ROW()-2,6)+1),""),"")</f>
        <v/>
      </c>
      <c r="H129" s="159">
        <f>IFERROR(IF(INDEX('CONTROLE PRODUÇÃO POR EMPRESAS'!$B$6:$G$5000,MATCH($A129,'CONTROLE PRODUÇÃO POR EMPRESAS'!$A$6:$A$5000,0),MOD(ROW()-2,6)+1)="","",IFERROR(1*INDEX('CONTROLE PRODUÇÃO POR EMPRESAS'!$B$6:$G$5000,MATCH($A129,'CONTROLE PRODUÇÃO POR EMPRESAS'!$A$6:$A$5000,0),MOD(ROW()-2,6)+1),"")),"")</f>
        <v/>
      </c>
      <c r="I129" s="159">
        <f>IF(OR(NOT(ISNUMBER(G129)),NOT(ISNUMBER(H129))),"",H129-G129)</f>
        <v/>
      </c>
      <c r="J129" s="319">
        <f>IF(OR(NOT(ISNUMBER(G129)),NOT(ISNUMBER(H129)),G129=0),"",I129/G129)</f>
        <v/>
      </c>
      <c r="K129" s="319">
        <f>IF(OR(NOT(ISNUMBER(G129)),NOT(ISNUMBER(H129)),G129=0),"",H129/G129)</f>
        <v/>
      </c>
      <c r="L129">
        <f>IF(NOT(ISNUMBER(G129)),"SEM META",IF(G129=0,"SEM META",IF(NOT(ISNUMBER(H129)),"SEM APONTAMENTO",IF(H129&gt;=G129,"VERDE",IF(H129&gt;=G129*0.9,"AMARELO","VERMELHO")))))</f>
        <v/>
      </c>
      <c r="M129" s="162" t="n"/>
      <c r="N129" s="162" t="n"/>
      <c r="O129" s="162" t="n"/>
      <c r="P129" s="162" t="n"/>
      <c r="Q129" s="320" t="n"/>
      <c r="R129" s="162" t="inlineStr">
        <is>
          <t>CONTROLE PRODUÇÃO POR EMPRESAS!C27</t>
        </is>
      </c>
    </row>
    <row r="130" hidden="1" ht="28.5" customHeight="1">
      <c r="A130" s="317" t="n">
        <v>46244</v>
      </c>
      <c r="B130" t="inlineStr">
        <is>
          <t>GERAL</t>
        </is>
      </c>
      <c r="C130" t="inlineStr">
        <is>
          <t>EJ</t>
        </is>
      </c>
      <c r="D130" t="inlineStr">
        <is>
          <t>VIGAS</t>
        </is>
      </c>
      <c r="F130" s="159">
        <f>IFERROR(INDEX('BASE METAS DIÁRIAS'!$N$2:$S$358,MATCH($A130,'BASE METAS DIÁRIAS'!$A$2:$A$358,0),MOD(ROW()-2,6)+1),"")</f>
        <v/>
      </c>
      <c r="G130" s="159">
        <f>IFERROR(IF(WEEKDAY($A130,2)&lt;=INDEX('BASE METAS DIÁRIAS'!$H$2:$M$358,MATCH($A130,'BASE METAS DIÁRIAS'!$A$2:$A$358,0),MOD(ROW()-2,6)+1),INDEX('BASE METAS DIÁRIAS'!$B$2:$G$358,MATCH($A130,'BASE METAS DIÁRIAS'!$A$2:$A$358,0),MOD(ROW()-2,6)+1),""),"")</f>
        <v/>
      </c>
      <c r="H130" s="159">
        <f>IFERROR(IF(INDEX('CONTROLE PRODUÇÃO POR EMPRESAS'!$B$6:$G$5000,MATCH($A130,'CONTROLE PRODUÇÃO POR EMPRESAS'!$A$6:$A$5000,0),MOD(ROW()-2,6)+1)="","",IFERROR(1*INDEX('CONTROLE PRODUÇÃO POR EMPRESAS'!$B$6:$G$5000,MATCH($A130,'CONTROLE PRODUÇÃO POR EMPRESAS'!$A$6:$A$5000,0),MOD(ROW()-2,6)+1),"")),"")</f>
        <v/>
      </c>
      <c r="I130" s="159">
        <f>IF(OR(NOT(ISNUMBER(G130)),NOT(ISNUMBER(H130))),"",H130-G130)</f>
        <v/>
      </c>
      <c r="J130" s="319">
        <f>IF(OR(NOT(ISNUMBER(G130)),NOT(ISNUMBER(H130)),G130=0),"",I130/G130)</f>
        <v/>
      </c>
      <c r="K130" s="319">
        <f>IF(OR(NOT(ISNUMBER(G130)),NOT(ISNUMBER(H130)),G130=0),"",H130/G130)</f>
        <v/>
      </c>
      <c r="L130">
        <f>IF(NOT(ISNUMBER(G130)),"SEM META",IF(G130=0,"SEM META",IF(NOT(ISNUMBER(H130)),"SEM APONTAMENTO",IF(H130&gt;=G130,"VERDE",IF(H130&gt;=G130*0.9,"AMARELO","VERMELHO")))))</f>
        <v/>
      </c>
      <c r="M130" s="162" t="n"/>
      <c r="N130" s="162" t="n"/>
      <c r="O130" s="162" t="n"/>
      <c r="P130" s="162" t="n"/>
      <c r="Q130" s="320" t="n"/>
      <c r="R130" s="162" t="inlineStr">
        <is>
          <t>CONTROLE PRODUÇÃO POR EMPRESAS!D27</t>
        </is>
      </c>
    </row>
    <row r="131" hidden="1" ht="28.5" customHeight="1">
      <c r="A131" s="317" t="n">
        <v>46244</v>
      </c>
      <c r="B131" t="inlineStr">
        <is>
          <t>GERAL</t>
        </is>
      </c>
      <c r="C131" t="inlineStr">
        <is>
          <t>CMM</t>
        </is>
      </c>
      <c r="D131" t="inlineStr">
        <is>
          <t>PREMONTAGEM</t>
        </is>
      </c>
      <c r="F131" s="159">
        <f>IFERROR(INDEX('BASE METAS DIÁRIAS'!$N$2:$S$358,MATCH($A131,'BASE METAS DIÁRIAS'!$A$2:$A$358,0),MOD(ROW()-2,6)+1),"")</f>
        <v/>
      </c>
      <c r="G131" s="159">
        <f>IFERROR(IF(WEEKDAY($A131,2)&lt;=INDEX('BASE METAS DIÁRIAS'!$H$2:$M$358,MATCH($A131,'BASE METAS DIÁRIAS'!$A$2:$A$358,0),MOD(ROW()-2,6)+1),INDEX('BASE METAS DIÁRIAS'!$B$2:$G$358,MATCH($A131,'BASE METAS DIÁRIAS'!$A$2:$A$358,0),MOD(ROW()-2,6)+1),""),"")</f>
        <v/>
      </c>
      <c r="H131" s="159">
        <f>IFERROR(IF(INDEX('CONTROLE PRODUÇÃO POR EMPRESAS'!$B$6:$G$5000,MATCH($A131,'CONTROLE PRODUÇÃO POR EMPRESAS'!$A$6:$A$5000,0),MOD(ROW()-2,6)+1)="","",IFERROR(1*INDEX('CONTROLE PRODUÇÃO POR EMPRESAS'!$B$6:$G$5000,MATCH($A131,'CONTROLE PRODUÇÃO POR EMPRESAS'!$A$6:$A$5000,0),MOD(ROW()-2,6)+1),"")),"")</f>
        <v/>
      </c>
      <c r="I131" s="159">
        <f>IF(OR(NOT(ISNUMBER(G131)),NOT(ISNUMBER(H131))),"",H131-G131)</f>
        <v/>
      </c>
      <c r="J131" s="319">
        <f>IF(OR(NOT(ISNUMBER(G131)),NOT(ISNUMBER(H131)),G131=0),"",I131/G131)</f>
        <v/>
      </c>
      <c r="K131" s="319">
        <f>IF(OR(NOT(ISNUMBER(G131)),NOT(ISNUMBER(H131)),G131=0),"",H131/G131)</f>
        <v/>
      </c>
      <c r="L131">
        <f>IF(NOT(ISNUMBER(G131)),"SEM META",IF(G131=0,"SEM META",IF(NOT(ISNUMBER(H131)),"SEM APONTAMENTO",IF(H131&gt;=G131,"VERDE",IF(H131&gt;=G131*0.9,"AMARELO","VERMELHO")))))</f>
        <v/>
      </c>
      <c r="M131" s="162" t="n"/>
      <c r="N131" s="162" t="n"/>
      <c r="O131" s="162" t="n"/>
      <c r="P131" s="162" t="n"/>
      <c r="Q131" s="320" t="n"/>
      <c r="R131" s="162" t="inlineStr">
        <is>
          <t>CONTROLE PRODUÇÃO POR EMPRESAS!E27</t>
        </is>
      </c>
    </row>
    <row r="132" hidden="1" ht="28.5" customHeight="1">
      <c r="A132" s="317" t="n">
        <v>46244</v>
      </c>
      <c r="B132" t="inlineStr">
        <is>
          <t>GERAL</t>
        </is>
      </c>
      <c r="C132" t="inlineStr">
        <is>
          <t>CMM</t>
        </is>
      </c>
      <c r="D132" t="inlineStr">
        <is>
          <t>IÇAMENTO JOIST</t>
        </is>
      </c>
      <c r="F132" s="159">
        <f>IFERROR(INDEX('BASE METAS DIÁRIAS'!$N$2:$S$358,MATCH($A132,'BASE METAS DIÁRIAS'!$A$2:$A$358,0),MOD(ROW()-2,6)+1),"")</f>
        <v/>
      </c>
      <c r="G132" s="159">
        <f>IFERROR(IF(WEEKDAY($A132,2)&lt;=INDEX('BASE METAS DIÁRIAS'!$H$2:$M$358,MATCH($A132,'BASE METAS DIÁRIAS'!$A$2:$A$358,0),MOD(ROW()-2,6)+1),INDEX('BASE METAS DIÁRIAS'!$B$2:$G$358,MATCH($A132,'BASE METAS DIÁRIAS'!$A$2:$A$358,0),MOD(ROW()-2,6)+1),""),"")</f>
        <v/>
      </c>
      <c r="H132" s="159">
        <f>IFERROR(IF(INDEX('CONTROLE PRODUÇÃO POR EMPRESAS'!$B$6:$G$5000,MATCH($A132,'CONTROLE PRODUÇÃO POR EMPRESAS'!$A$6:$A$5000,0),MOD(ROW()-2,6)+1)="","",IFERROR(1*INDEX('CONTROLE PRODUÇÃO POR EMPRESAS'!$B$6:$G$5000,MATCH($A132,'CONTROLE PRODUÇÃO POR EMPRESAS'!$A$6:$A$5000,0),MOD(ROW()-2,6)+1),"")),"")</f>
        <v/>
      </c>
      <c r="I132" s="159">
        <f>IF(OR(NOT(ISNUMBER(G132)),NOT(ISNUMBER(H132))),"",H132-G132)</f>
        <v/>
      </c>
      <c r="J132" s="319">
        <f>IF(OR(NOT(ISNUMBER(G132)),NOT(ISNUMBER(H132)),G132=0),"",I132/G132)</f>
        <v/>
      </c>
      <c r="K132" s="319">
        <f>IF(OR(NOT(ISNUMBER(G132)),NOT(ISNUMBER(H132)),G132=0),"",H132/G132)</f>
        <v/>
      </c>
      <c r="L132">
        <f>IF(NOT(ISNUMBER(G132)),"SEM META",IF(G132=0,"SEM META",IF(NOT(ISNUMBER(H132)),"SEM APONTAMENTO",IF(H132&gt;=G132,"VERDE",IF(H132&gt;=G132*0.9,"AMARELO","VERMELHO")))))</f>
        <v/>
      </c>
      <c r="M132" s="162" t="n"/>
      <c r="N132" s="162" t="n"/>
      <c r="O132" s="162" t="n"/>
      <c r="P132" s="162" t="n"/>
      <c r="Q132" s="320" t="n"/>
      <c r="R132" s="162" t="inlineStr">
        <is>
          <t>CONTROLE PRODUÇÃO POR EMPRESAS!F27</t>
        </is>
      </c>
    </row>
    <row r="133" hidden="1" ht="28.5" customHeight="1">
      <c r="A133" s="317" t="n">
        <v>46244</v>
      </c>
      <c r="B133" t="inlineStr">
        <is>
          <t>GERAL</t>
        </is>
      </c>
      <c r="C133" t="inlineStr">
        <is>
          <t>CMM</t>
        </is>
      </c>
      <c r="D133" t="inlineStr">
        <is>
          <t>VIGAS</t>
        </is>
      </c>
      <c r="F133" s="159">
        <f>IFERROR(INDEX('BASE METAS DIÁRIAS'!$N$2:$S$358,MATCH($A133,'BASE METAS DIÁRIAS'!$A$2:$A$358,0),MOD(ROW()-2,6)+1),"")</f>
        <v/>
      </c>
      <c r="G133" s="159">
        <f>IFERROR(IF(WEEKDAY($A133,2)&lt;=INDEX('BASE METAS DIÁRIAS'!$H$2:$M$358,MATCH($A133,'BASE METAS DIÁRIAS'!$A$2:$A$358,0),MOD(ROW()-2,6)+1),INDEX('BASE METAS DIÁRIAS'!$B$2:$G$358,MATCH($A133,'BASE METAS DIÁRIAS'!$A$2:$A$358,0),MOD(ROW()-2,6)+1),""),"")</f>
        <v/>
      </c>
      <c r="H133" s="159">
        <f>IFERROR(IF(INDEX('CONTROLE PRODUÇÃO POR EMPRESAS'!$B$6:$G$5000,MATCH($A133,'CONTROLE PRODUÇÃO POR EMPRESAS'!$A$6:$A$5000,0),MOD(ROW()-2,6)+1)="","",IFERROR(1*INDEX('CONTROLE PRODUÇÃO POR EMPRESAS'!$B$6:$G$5000,MATCH($A133,'CONTROLE PRODUÇÃO POR EMPRESAS'!$A$6:$A$5000,0),MOD(ROW()-2,6)+1),"")),"")</f>
        <v/>
      </c>
      <c r="I133" s="159">
        <f>IF(OR(NOT(ISNUMBER(G133)),NOT(ISNUMBER(H133))),"",H133-G133)</f>
        <v/>
      </c>
      <c r="J133" s="319">
        <f>IF(OR(NOT(ISNUMBER(G133)),NOT(ISNUMBER(H133)),G133=0),"",I133/G133)</f>
        <v/>
      </c>
      <c r="K133" s="319">
        <f>IF(OR(NOT(ISNUMBER(G133)),NOT(ISNUMBER(H133)),G133=0),"",H133/G133)</f>
        <v/>
      </c>
      <c r="L133">
        <f>IF(NOT(ISNUMBER(G133)),"SEM META",IF(G133=0,"SEM META",IF(NOT(ISNUMBER(H133)),"SEM APONTAMENTO",IF(H133&gt;=G133,"VERDE",IF(H133&gt;=G133*0.9,"AMARELO","VERMELHO")))))</f>
        <v/>
      </c>
      <c r="M133" s="162" t="n"/>
      <c r="N133" s="162" t="n"/>
      <c r="O133" s="162" t="n"/>
      <c r="P133" s="162" t="n"/>
      <c r="Q133" s="320" t="n"/>
      <c r="R133" s="162" t="inlineStr">
        <is>
          <t>CONTROLE PRODUÇÃO POR EMPRESAS!G27</t>
        </is>
      </c>
    </row>
    <row r="134" hidden="1" ht="28.5" customHeight="1">
      <c r="A134" s="317" t="n">
        <v>46245</v>
      </c>
      <c r="B134" t="inlineStr">
        <is>
          <t>GERAL</t>
        </is>
      </c>
      <c r="C134" t="inlineStr">
        <is>
          <t>EJ</t>
        </is>
      </c>
      <c r="D134" t="inlineStr">
        <is>
          <t>PREMONTAGEM</t>
        </is>
      </c>
      <c r="F134" s="159">
        <f>IFERROR(INDEX('BASE METAS DIÁRIAS'!$N$2:$S$358,MATCH($A134,'BASE METAS DIÁRIAS'!$A$2:$A$358,0),MOD(ROW()-2,6)+1),"")</f>
        <v/>
      </c>
      <c r="G134" s="159">
        <f>IFERROR(IF(WEEKDAY($A134,2)&lt;=INDEX('BASE METAS DIÁRIAS'!$H$2:$M$358,MATCH($A134,'BASE METAS DIÁRIAS'!$A$2:$A$358,0),MOD(ROW()-2,6)+1),INDEX('BASE METAS DIÁRIAS'!$B$2:$G$358,MATCH($A134,'BASE METAS DIÁRIAS'!$A$2:$A$358,0),MOD(ROW()-2,6)+1),""),"")</f>
        <v/>
      </c>
      <c r="H134" s="159">
        <f>IFERROR(IF(INDEX('CONTROLE PRODUÇÃO POR EMPRESAS'!$B$6:$G$5000,MATCH($A134,'CONTROLE PRODUÇÃO POR EMPRESAS'!$A$6:$A$5000,0),MOD(ROW()-2,6)+1)="","",IFERROR(1*INDEX('CONTROLE PRODUÇÃO POR EMPRESAS'!$B$6:$G$5000,MATCH($A134,'CONTROLE PRODUÇÃO POR EMPRESAS'!$A$6:$A$5000,0),MOD(ROW()-2,6)+1),"")),"")</f>
        <v/>
      </c>
      <c r="I134" s="159">
        <f>IF(OR(NOT(ISNUMBER(G134)),NOT(ISNUMBER(H134))),"",H134-G134)</f>
        <v/>
      </c>
      <c r="J134" s="319">
        <f>IF(OR(NOT(ISNUMBER(G134)),NOT(ISNUMBER(H134)),G134=0),"",I134/G134)</f>
        <v/>
      </c>
      <c r="K134" s="319">
        <f>IF(OR(NOT(ISNUMBER(G134)),NOT(ISNUMBER(H134)),G134=0),"",H134/G134)</f>
        <v/>
      </c>
      <c r="L134">
        <f>IF(NOT(ISNUMBER(G134)),"SEM META",IF(G134=0,"SEM META",IF(NOT(ISNUMBER(H134)),"SEM APONTAMENTO",IF(H134&gt;=G134,"VERDE",IF(H134&gt;=G134*0.9,"AMARELO","VERMELHO")))))</f>
        <v/>
      </c>
      <c r="M134" s="162" t="n"/>
      <c r="N134" s="162" t="n"/>
      <c r="O134" s="162" t="n"/>
      <c r="P134" s="162" t="n"/>
      <c r="Q134" s="320" t="n"/>
      <c r="R134" s="162" t="inlineStr">
        <is>
          <t>CONTROLE PRODUÇÃO POR EMPRESAS!B28</t>
        </is>
      </c>
    </row>
    <row r="135" hidden="1" ht="28.5" customHeight="1">
      <c r="A135" s="317" t="n">
        <v>46245</v>
      </c>
      <c r="B135" t="inlineStr">
        <is>
          <t>GERAL</t>
        </is>
      </c>
      <c r="C135" t="inlineStr">
        <is>
          <t>EJ</t>
        </is>
      </c>
      <c r="D135" t="inlineStr">
        <is>
          <t>IÇAMENTO JOIST</t>
        </is>
      </c>
      <c r="F135" s="159">
        <f>IFERROR(INDEX('BASE METAS DIÁRIAS'!$N$2:$S$358,MATCH($A135,'BASE METAS DIÁRIAS'!$A$2:$A$358,0),MOD(ROW()-2,6)+1),"")</f>
        <v/>
      </c>
      <c r="G135" s="159">
        <f>IFERROR(IF(WEEKDAY($A135,2)&lt;=INDEX('BASE METAS DIÁRIAS'!$H$2:$M$358,MATCH($A135,'BASE METAS DIÁRIAS'!$A$2:$A$358,0),MOD(ROW()-2,6)+1),INDEX('BASE METAS DIÁRIAS'!$B$2:$G$358,MATCH($A135,'BASE METAS DIÁRIAS'!$A$2:$A$358,0),MOD(ROW()-2,6)+1),""),"")</f>
        <v/>
      </c>
      <c r="H135" s="159">
        <f>IFERROR(IF(INDEX('CONTROLE PRODUÇÃO POR EMPRESAS'!$B$6:$G$5000,MATCH($A135,'CONTROLE PRODUÇÃO POR EMPRESAS'!$A$6:$A$5000,0),MOD(ROW()-2,6)+1)="","",IFERROR(1*INDEX('CONTROLE PRODUÇÃO POR EMPRESAS'!$B$6:$G$5000,MATCH($A135,'CONTROLE PRODUÇÃO POR EMPRESAS'!$A$6:$A$5000,0),MOD(ROW()-2,6)+1),"")),"")</f>
        <v/>
      </c>
      <c r="I135" s="159">
        <f>IF(OR(NOT(ISNUMBER(G135)),NOT(ISNUMBER(H135))),"",H135-G135)</f>
        <v/>
      </c>
      <c r="J135" s="319">
        <f>IF(OR(NOT(ISNUMBER(G135)),NOT(ISNUMBER(H135)),G135=0),"",I135/G135)</f>
        <v/>
      </c>
      <c r="K135" s="319">
        <f>IF(OR(NOT(ISNUMBER(G135)),NOT(ISNUMBER(H135)),G135=0),"",H135/G135)</f>
        <v/>
      </c>
      <c r="L135">
        <f>IF(NOT(ISNUMBER(G135)),"SEM META",IF(G135=0,"SEM META",IF(NOT(ISNUMBER(H135)),"SEM APONTAMENTO",IF(H135&gt;=G135,"VERDE",IF(H135&gt;=G135*0.9,"AMARELO","VERMELHO")))))</f>
        <v/>
      </c>
      <c r="M135" s="162" t="n"/>
      <c r="N135" s="162" t="n"/>
      <c r="O135" s="162" t="n"/>
      <c r="P135" s="162" t="n"/>
      <c r="Q135" s="320" t="n"/>
      <c r="R135" s="162" t="inlineStr">
        <is>
          <t>CONTROLE PRODUÇÃO POR EMPRESAS!C28</t>
        </is>
      </c>
    </row>
    <row r="136" hidden="1" ht="28.5" customHeight="1">
      <c r="A136" s="317" t="n">
        <v>46245</v>
      </c>
      <c r="B136" t="inlineStr">
        <is>
          <t>GERAL</t>
        </is>
      </c>
      <c r="C136" t="inlineStr">
        <is>
          <t>EJ</t>
        </is>
      </c>
      <c r="D136" t="inlineStr">
        <is>
          <t>VIGAS</t>
        </is>
      </c>
      <c r="F136" s="159">
        <f>IFERROR(INDEX('BASE METAS DIÁRIAS'!$N$2:$S$358,MATCH($A136,'BASE METAS DIÁRIAS'!$A$2:$A$358,0),MOD(ROW()-2,6)+1),"")</f>
        <v/>
      </c>
      <c r="G136" s="159">
        <f>IFERROR(IF(WEEKDAY($A136,2)&lt;=INDEX('BASE METAS DIÁRIAS'!$H$2:$M$358,MATCH($A136,'BASE METAS DIÁRIAS'!$A$2:$A$358,0),MOD(ROW()-2,6)+1),INDEX('BASE METAS DIÁRIAS'!$B$2:$G$358,MATCH($A136,'BASE METAS DIÁRIAS'!$A$2:$A$358,0),MOD(ROW()-2,6)+1),""),"")</f>
        <v/>
      </c>
      <c r="H136" s="159">
        <f>IFERROR(IF(INDEX('CONTROLE PRODUÇÃO POR EMPRESAS'!$B$6:$G$5000,MATCH($A136,'CONTROLE PRODUÇÃO POR EMPRESAS'!$A$6:$A$5000,0),MOD(ROW()-2,6)+1)="","",IFERROR(1*INDEX('CONTROLE PRODUÇÃO POR EMPRESAS'!$B$6:$G$5000,MATCH($A136,'CONTROLE PRODUÇÃO POR EMPRESAS'!$A$6:$A$5000,0),MOD(ROW()-2,6)+1),"")),"")</f>
        <v/>
      </c>
      <c r="I136" s="159">
        <f>IF(OR(NOT(ISNUMBER(G136)),NOT(ISNUMBER(H136))),"",H136-G136)</f>
        <v/>
      </c>
      <c r="J136" s="319">
        <f>IF(OR(NOT(ISNUMBER(G136)),NOT(ISNUMBER(H136)),G136=0),"",I136/G136)</f>
        <v/>
      </c>
      <c r="K136" s="319">
        <f>IF(OR(NOT(ISNUMBER(G136)),NOT(ISNUMBER(H136)),G136=0),"",H136/G136)</f>
        <v/>
      </c>
      <c r="L136">
        <f>IF(NOT(ISNUMBER(G136)),"SEM META",IF(G136=0,"SEM META",IF(NOT(ISNUMBER(H136)),"SEM APONTAMENTO",IF(H136&gt;=G136,"VERDE",IF(H136&gt;=G136*0.9,"AMARELO","VERMELHO")))))</f>
        <v/>
      </c>
      <c r="M136" s="162" t="n"/>
      <c r="N136" s="162" t="n"/>
      <c r="O136" s="162" t="n"/>
      <c r="P136" s="162" t="n"/>
      <c r="Q136" s="320" t="n"/>
      <c r="R136" s="162" t="inlineStr">
        <is>
          <t>CONTROLE PRODUÇÃO POR EMPRESAS!D28</t>
        </is>
      </c>
    </row>
    <row r="137" hidden="1" ht="28.5" customHeight="1">
      <c r="A137" s="317" t="n">
        <v>46245</v>
      </c>
      <c r="B137" t="inlineStr">
        <is>
          <t>GERAL</t>
        </is>
      </c>
      <c r="C137" t="inlineStr">
        <is>
          <t>CMM</t>
        </is>
      </c>
      <c r="D137" t="inlineStr">
        <is>
          <t>PREMONTAGEM</t>
        </is>
      </c>
      <c r="F137" s="159">
        <f>IFERROR(INDEX('BASE METAS DIÁRIAS'!$N$2:$S$358,MATCH($A137,'BASE METAS DIÁRIAS'!$A$2:$A$358,0),MOD(ROW()-2,6)+1),"")</f>
        <v/>
      </c>
      <c r="G137" s="159">
        <f>IFERROR(IF(WEEKDAY($A137,2)&lt;=INDEX('BASE METAS DIÁRIAS'!$H$2:$M$358,MATCH($A137,'BASE METAS DIÁRIAS'!$A$2:$A$358,0),MOD(ROW()-2,6)+1),INDEX('BASE METAS DIÁRIAS'!$B$2:$G$358,MATCH($A137,'BASE METAS DIÁRIAS'!$A$2:$A$358,0),MOD(ROW()-2,6)+1),""),"")</f>
        <v/>
      </c>
      <c r="H137" s="159">
        <f>IFERROR(IF(INDEX('CONTROLE PRODUÇÃO POR EMPRESAS'!$B$6:$G$5000,MATCH($A137,'CONTROLE PRODUÇÃO POR EMPRESAS'!$A$6:$A$5000,0),MOD(ROW()-2,6)+1)="","",IFERROR(1*INDEX('CONTROLE PRODUÇÃO POR EMPRESAS'!$B$6:$G$5000,MATCH($A137,'CONTROLE PRODUÇÃO POR EMPRESAS'!$A$6:$A$5000,0),MOD(ROW()-2,6)+1),"")),"")</f>
        <v/>
      </c>
      <c r="I137" s="159">
        <f>IF(OR(NOT(ISNUMBER(G137)),NOT(ISNUMBER(H137))),"",H137-G137)</f>
        <v/>
      </c>
      <c r="J137" s="319">
        <f>IF(OR(NOT(ISNUMBER(G137)),NOT(ISNUMBER(H137)),G137=0),"",I137/G137)</f>
        <v/>
      </c>
      <c r="K137" s="319">
        <f>IF(OR(NOT(ISNUMBER(G137)),NOT(ISNUMBER(H137)),G137=0),"",H137/G137)</f>
        <v/>
      </c>
      <c r="L137">
        <f>IF(NOT(ISNUMBER(G137)),"SEM META",IF(G137=0,"SEM META",IF(NOT(ISNUMBER(H137)),"SEM APONTAMENTO",IF(H137&gt;=G137,"VERDE",IF(H137&gt;=G137*0.9,"AMARELO","VERMELHO")))))</f>
        <v/>
      </c>
      <c r="M137" s="162" t="n"/>
      <c r="N137" s="162" t="n"/>
      <c r="O137" s="162" t="n"/>
      <c r="P137" s="162" t="n"/>
      <c r="Q137" s="320" t="n"/>
      <c r="R137" s="162" t="inlineStr">
        <is>
          <t>CONTROLE PRODUÇÃO POR EMPRESAS!E28</t>
        </is>
      </c>
    </row>
    <row r="138" hidden="1" ht="28.5" customHeight="1">
      <c r="A138" s="317" t="n">
        <v>46245</v>
      </c>
      <c r="B138" t="inlineStr">
        <is>
          <t>GERAL</t>
        </is>
      </c>
      <c r="C138" t="inlineStr">
        <is>
          <t>CMM</t>
        </is>
      </c>
      <c r="D138" t="inlineStr">
        <is>
          <t>IÇAMENTO JOIST</t>
        </is>
      </c>
      <c r="F138" s="159">
        <f>IFERROR(INDEX('BASE METAS DIÁRIAS'!$N$2:$S$358,MATCH($A138,'BASE METAS DIÁRIAS'!$A$2:$A$358,0),MOD(ROW()-2,6)+1),"")</f>
        <v/>
      </c>
      <c r="G138" s="159">
        <f>IFERROR(IF(WEEKDAY($A138,2)&lt;=INDEX('BASE METAS DIÁRIAS'!$H$2:$M$358,MATCH($A138,'BASE METAS DIÁRIAS'!$A$2:$A$358,0),MOD(ROW()-2,6)+1),INDEX('BASE METAS DIÁRIAS'!$B$2:$G$358,MATCH($A138,'BASE METAS DIÁRIAS'!$A$2:$A$358,0),MOD(ROW()-2,6)+1),""),"")</f>
        <v/>
      </c>
      <c r="H138" s="159">
        <f>IFERROR(IF(INDEX('CONTROLE PRODUÇÃO POR EMPRESAS'!$B$6:$G$5000,MATCH($A138,'CONTROLE PRODUÇÃO POR EMPRESAS'!$A$6:$A$5000,0),MOD(ROW()-2,6)+1)="","",IFERROR(1*INDEX('CONTROLE PRODUÇÃO POR EMPRESAS'!$B$6:$G$5000,MATCH($A138,'CONTROLE PRODUÇÃO POR EMPRESAS'!$A$6:$A$5000,0),MOD(ROW()-2,6)+1),"")),"")</f>
        <v/>
      </c>
      <c r="I138" s="159">
        <f>IF(OR(NOT(ISNUMBER(G138)),NOT(ISNUMBER(H138))),"",H138-G138)</f>
        <v/>
      </c>
      <c r="J138" s="319">
        <f>IF(OR(NOT(ISNUMBER(G138)),NOT(ISNUMBER(H138)),G138=0),"",I138/G138)</f>
        <v/>
      </c>
      <c r="K138" s="319">
        <f>IF(OR(NOT(ISNUMBER(G138)),NOT(ISNUMBER(H138)),G138=0),"",H138/G138)</f>
        <v/>
      </c>
      <c r="L138">
        <f>IF(NOT(ISNUMBER(G138)),"SEM META",IF(G138=0,"SEM META",IF(NOT(ISNUMBER(H138)),"SEM APONTAMENTO",IF(H138&gt;=G138,"VERDE",IF(H138&gt;=G138*0.9,"AMARELO","VERMELHO")))))</f>
        <v/>
      </c>
      <c r="M138" s="162" t="n"/>
      <c r="N138" s="162" t="n"/>
      <c r="O138" s="162" t="n"/>
      <c r="P138" s="162" t="n"/>
      <c r="Q138" s="320" t="n"/>
      <c r="R138" s="162" t="inlineStr">
        <is>
          <t>CONTROLE PRODUÇÃO POR EMPRESAS!F28</t>
        </is>
      </c>
    </row>
    <row r="139" hidden="1" ht="28.5" customHeight="1">
      <c r="A139" s="317" t="n">
        <v>46245</v>
      </c>
      <c r="B139" t="inlineStr">
        <is>
          <t>GERAL</t>
        </is>
      </c>
      <c r="C139" t="inlineStr">
        <is>
          <t>CMM</t>
        </is>
      </c>
      <c r="D139" t="inlineStr">
        <is>
          <t>VIGAS</t>
        </is>
      </c>
      <c r="F139" s="159">
        <f>IFERROR(INDEX('BASE METAS DIÁRIAS'!$N$2:$S$358,MATCH($A139,'BASE METAS DIÁRIAS'!$A$2:$A$358,0),MOD(ROW()-2,6)+1),"")</f>
        <v/>
      </c>
      <c r="G139" s="159">
        <f>IFERROR(IF(WEEKDAY($A139,2)&lt;=INDEX('BASE METAS DIÁRIAS'!$H$2:$M$358,MATCH($A139,'BASE METAS DIÁRIAS'!$A$2:$A$358,0),MOD(ROW()-2,6)+1),INDEX('BASE METAS DIÁRIAS'!$B$2:$G$358,MATCH($A139,'BASE METAS DIÁRIAS'!$A$2:$A$358,0),MOD(ROW()-2,6)+1),""),"")</f>
        <v/>
      </c>
      <c r="H139" s="159">
        <f>IFERROR(IF(INDEX('CONTROLE PRODUÇÃO POR EMPRESAS'!$B$6:$G$5000,MATCH($A139,'CONTROLE PRODUÇÃO POR EMPRESAS'!$A$6:$A$5000,0),MOD(ROW()-2,6)+1)="","",IFERROR(1*INDEX('CONTROLE PRODUÇÃO POR EMPRESAS'!$B$6:$G$5000,MATCH($A139,'CONTROLE PRODUÇÃO POR EMPRESAS'!$A$6:$A$5000,0),MOD(ROW()-2,6)+1),"")),"")</f>
        <v/>
      </c>
      <c r="I139" s="159">
        <f>IF(OR(NOT(ISNUMBER(G139)),NOT(ISNUMBER(H139))),"",H139-G139)</f>
        <v/>
      </c>
      <c r="J139" s="319">
        <f>IF(OR(NOT(ISNUMBER(G139)),NOT(ISNUMBER(H139)),G139=0),"",I139/G139)</f>
        <v/>
      </c>
      <c r="K139" s="319">
        <f>IF(OR(NOT(ISNUMBER(G139)),NOT(ISNUMBER(H139)),G139=0),"",H139/G139)</f>
        <v/>
      </c>
      <c r="L139">
        <f>IF(NOT(ISNUMBER(G139)),"SEM META",IF(G139=0,"SEM META",IF(NOT(ISNUMBER(H139)),"SEM APONTAMENTO",IF(H139&gt;=G139,"VERDE",IF(H139&gt;=G139*0.9,"AMARELO","VERMELHO")))))</f>
        <v/>
      </c>
      <c r="M139" s="162" t="n"/>
      <c r="N139" s="162" t="n"/>
      <c r="O139" s="162" t="n"/>
      <c r="P139" s="162" t="n"/>
      <c r="Q139" s="320" t="n"/>
      <c r="R139" s="162" t="inlineStr">
        <is>
          <t>CONTROLE PRODUÇÃO POR EMPRESAS!G28</t>
        </is>
      </c>
    </row>
    <row r="140" hidden="1" ht="28.5" customHeight="1">
      <c r="A140" s="317" t="n">
        <v>46246</v>
      </c>
      <c r="B140" t="inlineStr">
        <is>
          <t>GERAL</t>
        </is>
      </c>
      <c r="C140" t="inlineStr">
        <is>
          <t>EJ</t>
        </is>
      </c>
      <c r="D140" t="inlineStr">
        <is>
          <t>PREMONTAGEM</t>
        </is>
      </c>
      <c r="F140" s="159">
        <f>IFERROR(INDEX('BASE METAS DIÁRIAS'!$N$2:$S$358,MATCH($A140,'BASE METAS DIÁRIAS'!$A$2:$A$358,0),MOD(ROW()-2,6)+1),"")</f>
        <v/>
      </c>
      <c r="G140" s="159">
        <f>IFERROR(IF(WEEKDAY($A140,2)&lt;=INDEX('BASE METAS DIÁRIAS'!$H$2:$M$358,MATCH($A140,'BASE METAS DIÁRIAS'!$A$2:$A$358,0),MOD(ROW()-2,6)+1),INDEX('BASE METAS DIÁRIAS'!$B$2:$G$358,MATCH($A140,'BASE METAS DIÁRIAS'!$A$2:$A$358,0),MOD(ROW()-2,6)+1),""),"")</f>
        <v/>
      </c>
      <c r="H140" s="159">
        <f>IFERROR(IF(INDEX('CONTROLE PRODUÇÃO POR EMPRESAS'!$B$6:$G$5000,MATCH($A140,'CONTROLE PRODUÇÃO POR EMPRESAS'!$A$6:$A$5000,0),MOD(ROW()-2,6)+1)="","",IFERROR(1*INDEX('CONTROLE PRODUÇÃO POR EMPRESAS'!$B$6:$G$5000,MATCH($A140,'CONTROLE PRODUÇÃO POR EMPRESAS'!$A$6:$A$5000,0),MOD(ROW()-2,6)+1),"")),"")</f>
        <v/>
      </c>
      <c r="I140" s="159">
        <f>IF(OR(NOT(ISNUMBER(G140)),NOT(ISNUMBER(H140))),"",H140-G140)</f>
        <v/>
      </c>
      <c r="J140" s="319">
        <f>IF(OR(NOT(ISNUMBER(G140)),NOT(ISNUMBER(H140)),G140=0),"",I140/G140)</f>
        <v/>
      </c>
      <c r="K140" s="319">
        <f>IF(OR(NOT(ISNUMBER(G140)),NOT(ISNUMBER(H140)),G140=0),"",H140/G140)</f>
        <v/>
      </c>
      <c r="L140">
        <f>IF(NOT(ISNUMBER(G140)),"SEM META",IF(G140=0,"SEM META",IF(NOT(ISNUMBER(H140)),"SEM APONTAMENTO",IF(H140&gt;=G140,"VERDE",IF(H140&gt;=G140*0.9,"AMARELO","VERMELHO")))))</f>
        <v/>
      </c>
      <c r="M140" s="162" t="n"/>
      <c r="N140" s="162" t="n"/>
      <c r="O140" s="162" t="n"/>
      <c r="P140" s="162" t="n"/>
      <c r="Q140" s="320" t="n"/>
      <c r="R140" s="162" t="inlineStr">
        <is>
          <t>CONTROLE PRODUÇÃO POR EMPRESAS!B29</t>
        </is>
      </c>
    </row>
    <row r="141" hidden="1" ht="28.5" customHeight="1">
      <c r="A141" s="317" t="n">
        <v>46246</v>
      </c>
      <c r="B141" t="inlineStr">
        <is>
          <t>GERAL</t>
        </is>
      </c>
      <c r="C141" t="inlineStr">
        <is>
          <t>EJ</t>
        </is>
      </c>
      <c r="D141" t="inlineStr">
        <is>
          <t>IÇAMENTO JOIST</t>
        </is>
      </c>
      <c r="F141" s="159">
        <f>IFERROR(INDEX('BASE METAS DIÁRIAS'!$N$2:$S$358,MATCH($A141,'BASE METAS DIÁRIAS'!$A$2:$A$358,0),MOD(ROW()-2,6)+1),"")</f>
        <v/>
      </c>
      <c r="G141" s="159">
        <f>IFERROR(IF(WEEKDAY($A141,2)&lt;=INDEX('BASE METAS DIÁRIAS'!$H$2:$M$358,MATCH($A141,'BASE METAS DIÁRIAS'!$A$2:$A$358,0),MOD(ROW()-2,6)+1),INDEX('BASE METAS DIÁRIAS'!$B$2:$G$358,MATCH($A141,'BASE METAS DIÁRIAS'!$A$2:$A$358,0),MOD(ROW()-2,6)+1),""),"")</f>
        <v/>
      </c>
      <c r="H141" s="159">
        <f>IFERROR(IF(INDEX('CONTROLE PRODUÇÃO POR EMPRESAS'!$B$6:$G$5000,MATCH($A141,'CONTROLE PRODUÇÃO POR EMPRESAS'!$A$6:$A$5000,0),MOD(ROW()-2,6)+1)="","",IFERROR(1*INDEX('CONTROLE PRODUÇÃO POR EMPRESAS'!$B$6:$G$5000,MATCH($A141,'CONTROLE PRODUÇÃO POR EMPRESAS'!$A$6:$A$5000,0),MOD(ROW()-2,6)+1),"")),"")</f>
        <v/>
      </c>
      <c r="I141" s="159">
        <f>IF(OR(NOT(ISNUMBER(G141)),NOT(ISNUMBER(H141))),"",H141-G141)</f>
        <v/>
      </c>
      <c r="J141" s="319">
        <f>IF(OR(NOT(ISNUMBER(G141)),NOT(ISNUMBER(H141)),G141=0),"",I141/G141)</f>
        <v/>
      </c>
      <c r="K141" s="319">
        <f>IF(OR(NOT(ISNUMBER(G141)),NOT(ISNUMBER(H141)),G141=0),"",H141/G141)</f>
        <v/>
      </c>
      <c r="L141">
        <f>IF(NOT(ISNUMBER(G141)),"SEM META",IF(G141=0,"SEM META",IF(NOT(ISNUMBER(H141)),"SEM APONTAMENTO",IF(H141&gt;=G141,"VERDE",IF(H141&gt;=G141*0.9,"AMARELO","VERMELHO")))))</f>
        <v/>
      </c>
      <c r="M141" s="162" t="n"/>
      <c r="N141" s="162" t="n"/>
      <c r="O141" s="162" t="n"/>
      <c r="P141" s="162" t="n"/>
      <c r="Q141" s="320" t="n"/>
      <c r="R141" s="162" t="inlineStr">
        <is>
          <t>CONTROLE PRODUÇÃO POR EMPRESAS!C29</t>
        </is>
      </c>
    </row>
    <row r="142" hidden="1" ht="28.5" customHeight="1">
      <c r="A142" s="317" t="n">
        <v>46246</v>
      </c>
      <c r="B142" t="inlineStr">
        <is>
          <t>GERAL</t>
        </is>
      </c>
      <c r="C142" t="inlineStr">
        <is>
          <t>EJ</t>
        </is>
      </c>
      <c r="D142" t="inlineStr">
        <is>
          <t>VIGAS</t>
        </is>
      </c>
      <c r="F142" s="159">
        <f>IFERROR(INDEX('BASE METAS DIÁRIAS'!$N$2:$S$358,MATCH($A142,'BASE METAS DIÁRIAS'!$A$2:$A$358,0),MOD(ROW()-2,6)+1),"")</f>
        <v/>
      </c>
      <c r="G142" s="159">
        <f>IFERROR(IF(WEEKDAY($A142,2)&lt;=INDEX('BASE METAS DIÁRIAS'!$H$2:$M$358,MATCH($A142,'BASE METAS DIÁRIAS'!$A$2:$A$358,0),MOD(ROW()-2,6)+1),INDEX('BASE METAS DIÁRIAS'!$B$2:$G$358,MATCH($A142,'BASE METAS DIÁRIAS'!$A$2:$A$358,0),MOD(ROW()-2,6)+1),""),"")</f>
        <v/>
      </c>
      <c r="H142" s="159">
        <f>IFERROR(IF(INDEX('CONTROLE PRODUÇÃO POR EMPRESAS'!$B$6:$G$5000,MATCH($A142,'CONTROLE PRODUÇÃO POR EMPRESAS'!$A$6:$A$5000,0),MOD(ROW()-2,6)+1)="","",IFERROR(1*INDEX('CONTROLE PRODUÇÃO POR EMPRESAS'!$B$6:$G$5000,MATCH($A142,'CONTROLE PRODUÇÃO POR EMPRESAS'!$A$6:$A$5000,0),MOD(ROW()-2,6)+1),"")),"")</f>
        <v/>
      </c>
      <c r="I142" s="159">
        <f>IF(OR(NOT(ISNUMBER(G142)),NOT(ISNUMBER(H142))),"",H142-G142)</f>
        <v/>
      </c>
      <c r="J142" s="319">
        <f>IF(OR(NOT(ISNUMBER(G142)),NOT(ISNUMBER(H142)),G142=0),"",I142/G142)</f>
        <v/>
      </c>
      <c r="K142" s="319">
        <f>IF(OR(NOT(ISNUMBER(G142)),NOT(ISNUMBER(H142)),G142=0),"",H142/G142)</f>
        <v/>
      </c>
      <c r="L142">
        <f>IF(NOT(ISNUMBER(G142)),"SEM META",IF(G142=0,"SEM META",IF(NOT(ISNUMBER(H142)),"SEM APONTAMENTO",IF(H142&gt;=G142,"VERDE",IF(H142&gt;=G142*0.9,"AMARELO","VERMELHO")))))</f>
        <v/>
      </c>
      <c r="M142" s="162" t="n"/>
      <c r="N142" s="162" t="n"/>
      <c r="O142" s="162" t="n"/>
      <c r="P142" s="162" t="n"/>
      <c r="Q142" s="320" t="n"/>
      <c r="R142" s="162" t="inlineStr">
        <is>
          <t>CONTROLE PRODUÇÃO POR EMPRESAS!D29</t>
        </is>
      </c>
    </row>
    <row r="143" hidden="1" ht="28.5" customHeight="1">
      <c r="A143" s="317" t="n">
        <v>46246</v>
      </c>
      <c r="B143" t="inlineStr">
        <is>
          <t>GERAL</t>
        </is>
      </c>
      <c r="C143" t="inlineStr">
        <is>
          <t>CMM</t>
        </is>
      </c>
      <c r="D143" t="inlineStr">
        <is>
          <t>PREMONTAGEM</t>
        </is>
      </c>
      <c r="F143" s="159">
        <f>IFERROR(INDEX('BASE METAS DIÁRIAS'!$N$2:$S$358,MATCH($A143,'BASE METAS DIÁRIAS'!$A$2:$A$358,0),MOD(ROW()-2,6)+1),"")</f>
        <v/>
      </c>
      <c r="G143" s="159">
        <f>IFERROR(IF(WEEKDAY($A143,2)&lt;=INDEX('BASE METAS DIÁRIAS'!$H$2:$M$358,MATCH($A143,'BASE METAS DIÁRIAS'!$A$2:$A$358,0),MOD(ROW()-2,6)+1),INDEX('BASE METAS DIÁRIAS'!$B$2:$G$358,MATCH($A143,'BASE METAS DIÁRIAS'!$A$2:$A$358,0),MOD(ROW()-2,6)+1),""),"")</f>
        <v/>
      </c>
      <c r="H143" s="159">
        <f>IFERROR(IF(INDEX('CONTROLE PRODUÇÃO POR EMPRESAS'!$B$6:$G$5000,MATCH($A143,'CONTROLE PRODUÇÃO POR EMPRESAS'!$A$6:$A$5000,0),MOD(ROW()-2,6)+1)="","",IFERROR(1*INDEX('CONTROLE PRODUÇÃO POR EMPRESAS'!$B$6:$G$5000,MATCH($A143,'CONTROLE PRODUÇÃO POR EMPRESAS'!$A$6:$A$5000,0),MOD(ROW()-2,6)+1),"")),"")</f>
        <v/>
      </c>
      <c r="I143" s="159">
        <f>IF(OR(NOT(ISNUMBER(G143)),NOT(ISNUMBER(H143))),"",H143-G143)</f>
        <v/>
      </c>
      <c r="J143" s="319">
        <f>IF(OR(NOT(ISNUMBER(G143)),NOT(ISNUMBER(H143)),G143=0),"",I143/G143)</f>
        <v/>
      </c>
      <c r="K143" s="319">
        <f>IF(OR(NOT(ISNUMBER(G143)),NOT(ISNUMBER(H143)),G143=0),"",H143/G143)</f>
        <v/>
      </c>
      <c r="L143">
        <f>IF(NOT(ISNUMBER(G143)),"SEM META",IF(G143=0,"SEM META",IF(NOT(ISNUMBER(H143)),"SEM APONTAMENTO",IF(H143&gt;=G143,"VERDE",IF(H143&gt;=G143*0.9,"AMARELO","VERMELHO")))))</f>
        <v/>
      </c>
      <c r="M143" s="162" t="n"/>
      <c r="N143" s="162" t="n"/>
      <c r="O143" s="162" t="n"/>
      <c r="P143" s="162" t="n"/>
      <c r="Q143" s="320" t="n"/>
      <c r="R143" s="162" t="inlineStr">
        <is>
          <t>CONTROLE PRODUÇÃO POR EMPRESAS!E29</t>
        </is>
      </c>
    </row>
    <row r="144" hidden="1" ht="28.5" customHeight="1">
      <c r="A144" s="317" t="n">
        <v>46246</v>
      </c>
      <c r="B144" t="inlineStr">
        <is>
          <t>GERAL</t>
        </is>
      </c>
      <c r="C144" t="inlineStr">
        <is>
          <t>CMM</t>
        </is>
      </c>
      <c r="D144" t="inlineStr">
        <is>
          <t>IÇAMENTO JOIST</t>
        </is>
      </c>
      <c r="F144" s="159">
        <f>IFERROR(INDEX('BASE METAS DIÁRIAS'!$N$2:$S$358,MATCH($A144,'BASE METAS DIÁRIAS'!$A$2:$A$358,0),MOD(ROW()-2,6)+1),"")</f>
        <v/>
      </c>
      <c r="G144" s="159">
        <f>IFERROR(IF(WEEKDAY($A144,2)&lt;=INDEX('BASE METAS DIÁRIAS'!$H$2:$M$358,MATCH($A144,'BASE METAS DIÁRIAS'!$A$2:$A$358,0),MOD(ROW()-2,6)+1),INDEX('BASE METAS DIÁRIAS'!$B$2:$G$358,MATCH($A144,'BASE METAS DIÁRIAS'!$A$2:$A$358,0),MOD(ROW()-2,6)+1),""),"")</f>
        <v/>
      </c>
      <c r="H144" s="159">
        <f>IFERROR(IF(INDEX('CONTROLE PRODUÇÃO POR EMPRESAS'!$B$6:$G$5000,MATCH($A144,'CONTROLE PRODUÇÃO POR EMPRESAS'!$A$6:$A$5000,0),MOD(ROW()-2,6)+1)="","",IFERROR(1*INDEX('CONTROLE PRODUÇÃO POR EMPRESAS'!$B$6:$G$5000,MATCH($A144,'CONTROLE PRODUÇÃO POR EMPRESAS'!$A$6:$A$5000,0),MOD(ROW()-2,6)+1),"")),"")</f>
        <v/>
      </c>
      <c r="I144" s="159">
        <f>IF(OR(NOT(ISNUMBER(G144)),NOT(ISNUMBER(H144))),"",H144-G144)</f>
        <v/>
      </c>
      <c r="J144" s="319">
        <f>IF(OR(NOT(ISNUMBER(G144)),NOT(ISNUMBER(H144)),G144=0),"",I144/G144)</f>
        <v/>
      </c>
      <c r="K144" s="319">
        <f>IF(OR(NOT(ISNUMBER(G144)),NOT(ISNUMBER(H144)),G144=0),"",H144/G144)</f>
        <v/>
      </c>
      <c r="L144">
        <f>IF(NOT(ISNUMBER(G144)),"SEM META",IF(G144=0,"SEM META",IF(NOT(ISNUMBER(H144)),"SEM APONTAMENTO",IF(H144&gt;=G144,"VERDE",IF(H144&gt;=G144*0.9,"AMARELO","VERMELHO")))))</f>
        <v/>
      </c>
      <c r="M144" s="162" t="n"/>
      <c r="N144" s="162" t="n"/>
      <c r="O144" s="162" t="n"/>
      <c r="P144" s="162" t="n"/>
      <c r="Q144" s="320" t="n"/>
      <c r="R144" s="162" t="inlineStr">
        <is>
          <t>CONTROLE PRODUÇÃO POR EMPRESAS!F29</t>
        </is>
      </c>
    </row>
    <row r="145" hidden="1" ht="28.5" customHeight="1">
      <c r="A145" s="317" t="n">
        <v>46246</v>
      </c>
      <c r="B145" t="inlineStr">
        <is>
          <t>GERAL</t>
        </is>
      </c>
      <c r="C145" t="inlineStr">
        <is>
          <t>CMM</t>
        </is>
      </c>
      <c r="D145" t="inlineStr">
        <is>
          <t>VIGAS</t>
        </is>
      </c>
      <c r="F145" s="159">
        <f>IFERROR(INDEX('BASE METAS DIÁRIAS'!$N$2:$S$358,MATCH($A145,'BASE METAS DIÁRIAS'!$A$2:$A$358,0),MOD(ROW()-2,6)+1),"")</f>
        <v/>
      </c>
      <c r="G145" s="159">
        <f>IFERROR(IF(WEEKDAY($A145,2)&lt;=INDEX('BASE METAS DIÁRIAS'!$H$2:$M$358,MATCH($A145,'BASE METAS DIÁRIAS'!$A$2:$A$358,0),MOD(ROW()-2,6)+1),INDEX('BASE METAS DIÁRIAS'!$B$2:$G$358,MATCH($A145,'BASE METAS DIÁRIAS'!$A$2:$A$358,0),MOD(ROW()-2,6)+1),""),"")</f>
        <v/>
      </c>
      <c r="H145" s="159">
        <f>IFERROR(IF(INDEX('CONTROLE PRODUÇÃO POR EMPRESAS'!$B$6:$G$5000,MATCH($A145,'CONTROLE PRODUÇÃO POR EMPRESAS'!$A$6:$A$5000,0),MOD(ROW()-2,6)+1)="","",IFERROR(1*INDEX('CONTROLE PRODUÇÃO POR EMPRESAS'!$B$6:$G$5000,MATCH($A145,'CONTROLE PRODUÇÃO POR EMPRESAS'!$A$6:$A$5000,0),MOD(ROW()-2,6)+1),"")),"")</f>
        <v/>
      </c>
      <c r="I145" s="159">
        <f>IF(OR(NOT(ISNUMBER(G145)),NOT(ISNUMBER(H145))),"",H145-G145)</f>
        <v/>
      </c>
      <c r="J145" s="319">
        <f>IF(OR(NOT(ISNUMBER(G145)),NOT(ISNUMBER(H145)),G145=0),"",I145/G145)</f>
        <v/>
      </c>
      <c r="K145" s="319">
        <f>IF(OR(NOT(ISNUMBER(G145)),NOT(ISNUMBER(H145)),G145=0),"",H145/G145)</f>
        <v/>
      </c>
      <c r="L145">
        <f>IF(NOT(ISNUMBER(G145)),"SEM META",IF(G145=0,"SEM META",IF(NOT(ISNUMBER(H145)),"SEM APONTAMENTO",IF(H145&gt;=G145,"VERDE",IF(H145&gt;=G145*0.9,"AMARELO","VERMELHO")))))</f>
        <v/>
      </c>
      <c r="M145" s="162" t="n"/>
      <c r="N145" s="162" t="n"/>
      <c r="O145" s="162" t="n"/>
      <c r="P145" s="162" t="n"/>
      <c r="Q145" s="320" t="n"/>
      <c r="R145" s="162" t="inlineStr">
        <is>
          <t>CONTROLE PRODUÇÃO POR EMPRESAS!G29</t>
        </is>
      </c>
    </row>
    <row r="146" hidden="1" ht="28.5" customHeight="1">
      <c r="A146" s="317" t="n">
        <v>46247</v>
      </c>
      <c r="B146" t="inlineStr">
        <is>
          <t>GERAL</t>
        </is>
      </c>
      <c r="C146" t="inlineStr">
        <is>
          <t>EJ</t>
        </is>
      </c>
      <c r="D146" t="inlineStr">
        <is>
          <t>PREMONTAGEM</t>
        </is>
      </c>
      <c r="F146" s="159">
        <f>IFERROR(INDEX('BASE METAS DIÁRIAS'!$N$2:$S$358,MATCH($A146,'BASE METAS DIÁRIAS'!$A$2:$A$358,0),MOD(ROW()-2,6)+1),"")</f>
        <v/>
      </c>
      <c r="G146" s="159">
        <f>IFERROR(IF(WEEKDAY($A146,2)&lt;=INDEX('BASE METAS DIÁRIAS'!$H$2:$M$358,MATCH($A146,'BASE METAS DIÁRIAS'!$A$2:$A$358,0),MOD(ROW()-2,6)+1),INDEX('BASE METAS DIÁRIAS'!$B$2:$G$358,MATCH($A146,'BASE METAS DIÁRIAS'!$A$2:$A$358,0),MOD(ROW()-2,6)+1),""),"")</f>
        <v/>
      </c>
      <c r="H146" s="159">
        <f>IFERROR(IF(INDEX('CONTROLE PRODUÇÃO POR EMPRESAS'!$B$6:$G$5000,MATCH($A146,'CONTROLE PRODUÇÃO POR EMPRESAS'!$A$6:$A$5000,0),MOD(ROW()-2,6)+1)="","",IFERROR(1*INDEX('CONTROLE PRODUÇÃO POR EMPRESAS'!$B$6:$G$5000,MATCH($A146,'CONTROLE PRODUÇÃO POR EMPRESAS'!$A$6:$A$5000,0),MOD(ROW()-2,6)+1),"")),"")</f>
        <v/>
      </c>
      <c r="I146" s="159">
        <f>IF(OR(NOT(ISNUMBER(G146)),NOT(ISNUMBER(H146))),"",H146-G146)</f>
        <v/>
      </c>
      <c r="J146" s="319">
        <f>IF(OR(NOT(ISNUMBER(G146)),NOT(ISNUMBER(H146)),G146=0),"",I146/G146)</f>
        <v/>
      </c>
      <c r="K146" s="319">
        <f>IF(OR(NOT(ISNUMBER(G146)),NOT(ISNUMBER(H146)),G146=0),"",H146/G146)</f>
        <v/>
      </c>
      <c r="L146">
        <f>IF(NOT(ISNUMBER(G146)),"SEM META",IF(G146=0,"SEM META",IF(NOT(ISNUMBER(H146)),"SEM APONTAMENTO",IF(H146&gt;=G146,"VERDE",IF(H146&gt;=G146*0.9,"AMARELO","VERMELHO")))))</f>
        <v/>
      </c>
      <c r="M146" s="162" t="n"/>
      <c r="N146" s="162" t="n"/>
      <c r="O146" s="162" t="n"/>
      <c r="P146" s="162" t="n"/>
      <c r="Q146" s="320" t="n"/>
      <c r="R146" s="162" t="inlineStr">
        <is>
          <t>CONTROLE PRODUÇÃO POR EMPRESAS!B30</t>
        </is>
      </c>
    </row>
    <row r="147" hidden="1" ht="28.5" customHeight="1">
      <c r="A147" s="317" t="n">
        <v>46247</v>
      </c>
      <c r="B147" t="inlineStr">
        <is>
          <t>GERAL</t>
        </is>
      </c>
      <c r="C147" t="inlineStr">
        <is>
          <t>EJ</t>
        </is>
      </c>
      <c r="D147" t="inlineStr">
        <is>
          <t>IÇAMENTO JOIST</t>
        </is>
      </c>
      <c r="F147" s="159">
        <f>IFERROR(INDEX('BASE METAS DIÁRIAS'!$N$2:$S$358,MATCH($A147,'BASE METAS DIÁRIAS'!$A$2:$A$358,0),MOD(ROW()-2,6)+1),"")</f>
        <v/>
      </c>
      <c r="G147" s="159">
        <f>IFERROR(IF(WEEKDAY($A147,2)&lt;=INDEX('BASE METAS DIÁRIAS'!$H$2:$M$358,MATCH($A147,'BASE METAS DIÁRIAS'!$A$2:$A$358,0),MOD(ROW()-2,6)+1),INDEX('BASE METAS DIÁRIAS'!$B$2:$G$358,MATCH($A147,'BASE METAS DIÁRIAS'!$A$2:$A$358,0),MOD(ROW()-2,6)+1),""),"")</f>
        <v/>
      </c>
      <c r="H147" s="159">
        <f>IFERROR(IF(INDEX('CONTROLE PRODUÇÃO POR EMPRESAS'!$B$6:$G$5000,MATCH($A147,'CONTROLE PRODUÇÃO POR EMPRESAS'!$A$6:$A$5000,0),MOD(ROW()-2,6)+1)="","",IFERROR(1*INDEX('CONTROLE PRODUÇÃO POR EMPRESAS'!$B$6:$G$5000,MATCH($A147,'CONTROLE PRODUÇÃO POR EMPRESAS'!$A$6:$A$5000,0),MOD(ROW()-2,6)+1),"")),"")</f>
        <v/>
      </c>
      <c r="I147" s="159">
        <f>IF(OR(NOT(ISNUMBER(G147)),NOT(ISNUMBER(H147))),"",H147-G147)</f>
        <v/>
      </c>
      <c r="J147" s="319">
        <f>IF(OR(NOT(ISNUMBER(G147)),NOT(ISNUMBER(H147)),G147=0),"",I147/G147)</f>
        <v/>
      </c>
      <c r="K147" s="319">
        <f>IF(OR(NOT(ISNUMBER(G147)),NOT(ISNUMBER(H147)),G147=0),"",H147/G147)</f>
        <v/>
      </c>
      <c r="L147">
        <f>IF(NOT(ISNUMBER(G147)),"SEM META",IF(G147=0,"SEM META",IF(NOT(ISNUMBER(H147)),"SEM APONTAMENTO",IF(H147&gt;=G147,"VERDE",IF(H147&gt;=G147*0.9,"AMARELO","VERMELHO")))))</f>
        <v/>
      </c>
      <c r="M147" s="162" t="n"/>
      <c r="N147" s="162" t="n"/>
      <c r="O147" s="162" t="n"/>
      <c r="P147" s="162" t="n"/>
      <c r="Q147" s="320" t="n"/>
      <c r="R147" s="162" t="inlineStr">
        <is>
          <t>CONTROLE PRODUÇÃO POR EMPRESAS!C30</t>
        </is>
      </c>
    </row>
    <row r="148" hidden="1" ht="28.5" customHeight="1">
      <c r="A148" s="317" t="n">
        <v>46247</v>
      </c>
      <c r="B148" t="inlineStr">
        <is>
          <t>GERAL</t>
        </is>
      </c>
      <c r="C148" t="inlineStr">
        <is>
          <t>EJ</t>
        </is>
      </c>
      <c r="D148" t="inlineStr">
        <is>
          <t>VIGAS</t>
        </is>
      </c>
      <c r="F148" s="159">
        <f>IFERROR(INDEX('BASE METAS DIÁRIAS'!$N$2:$S$358,MATCH($A148,'BASE METAS DIÁRIAS'!$A$2:$A$358,0),MOD(ROW()-2,6)+1),"")</f>
        <v/>
      </c>
      <c r="G148" s="159">
        <f>IFERROR(IF(WEEKDAY($A148,2)&lt;=INDEX('BASE METAS DIÁRIAS'!$H$2:$M$358,MATCH($A148,'BASE METAS DIÁRIAS'!$A$2:$A$358,0),MOD(ROW()-2,6)+1),INDEX('BASE METAS DIÁRIAS'!$B$2:$G$358,MATCH($A148,'BASE METAS DIÁRIAS'!$A$2:$A$358,0),MOD(ROW()-2,6)+1),""),"")</f>
        <v/>
      </c>
      <c r="H148" s="159">
        <f>IFERROR(IF(INDEX('CONTROLE PRODUÇÃO POR EMPRESAS'!$B$6:$G$5000,MATCH($A148,'CONTROLE PRODUÇÃO POR EMPRESAS'!$A$6:$A$5000,0),MOD(ROW()-2,6)+1)="","",IFERROR(1*INDEX('CONTROLE PRODUÇÃO POR EMPRESAS'!$B$6:$G$5000,MATCH($A148,'CONTROLE PRODUÇÃO POR EMPRESAS'!$A$6:$A$5000,0),MOD(ROW()-2,6)+1),"")),"")</f>
        <v/>
      </c>
      <c r="I148" s="159">
        <f>IF(OR(NOT(ISNUMBER(G148)),NOT(ISNUMBER(H148))),"",H148-G148)</f>
        <v/>
      </c>
      <c r="J148" s="319">
        <f>IF(OR(NOT(ISNUMBER(G148)),NOT(ISNUMBER(H148)),G148=0),"",I148/G148)</f>
        <v/>
      </c>
      <c r="K148" s="319">
        <f>IF(OR(NOT(ISNUMBER(G148)),NOT(ISNUMBER(H148)),G148=0),"",H148/G148)</f>
        <v/>
      </c>
      <c r="L148">
        <f>IF(NOT(ISNUMBER(G148)),"SEM META",IF(G148=0,"SEM META",IF(NOT(ISNUMBER(H148)),"SEM APONTAMENTO",IF(H148&gt;=G148,"VERDE",IF(H148&gt;=G148*0.9,"AMARELO","VERMELHO")))))</f>
        <v/>
      </c>
      <c r="M148" s="162" t="n"/>
      <c r="N148" s="162" t="n"/>
      <c r="O148" s="162" t="n"/>
      <c r="P148" s="162" t="n"/>
      <c r="Q148" s="320" t="n"/>
      <c r="R148" s="162" t="inlineStr">
        <is>
          <t>CONTROLE PRODUÇÃO POR EMPRESAS!D30</t>
        </is>
      </c>
    </row>
    <row r="149" hidden="1" ht="28.5" customHeight="1">
      <c r="A149" s="317" t="n">
        <v>46247</v>
      </c>
      <c r="B149" t="inlineStr">
        <is>
          <t>GERAL</t>
        </is>
      </c>
      <c r="C149" t="inlineStr">
        <is>
          <t>CMM</t>
        </is>
      </c>
      <c r="D149" t="inlineStr">
        <is>
          <t>PREMONTAGEM</t>
        </is>
      </c>
      <c r="F149" s="159">
        <f>IFERROR(INDEX('BASE METAS DIÁRIAS'!$N$2:$S$358,MATCH($A149,'BASE METAS DIÁRIAS'!$A$2:$A$358,0),MOD(ROW()-2,6)+1),"")</f>
        <v/>
      </c>
      <c r="G149" s="159">
        <f>IFERROR(IF(WEEKDAY($A149,2)&lt;=INDEX('BASE METAS DIÁRIAS'!$H$2:$M$358,MATCH($A149,'BASE METAS DIÁRIAS'!$A$2:$A$358,0),MOD(ROW()-2,6)+1),INDEX('BASE METAS DIÁRIAS'!$B$2:$G$358,MATCH($A149,'BASE METAS DIÁRIAS'!$A$2:$A$358,0),MOD(ROW()-2,6)+1),""),"")</f>
        <v/>
      </c>
      <c r="H149" s="159">
        <f>IFERROR(IF(INDEX('CONTROLE PRODUÇÃO POR EMPRESAS'!$B$6:$G$5000,MATCH($A149,'CONTROLE PRODUÇÃO POR EMPRESAS'!$A$6:$A$5000,0),MOD(ROW()-2,6)+1)="","",IFERROR(1*INDEX('CONTROLE PRODUÇÃO POR EMPRESAS'!$B$6:$G$5000,MATCH($A149,'CONTROLE PRODUÇÃO POR EMPRESAS'!$A$6:$A$5000,0),MOD(ROW()-2,6)+1),"")),"")</f>
        <v/>
      </c>
      <c r="I149" s="159">
        <f>IF(OR(NOT(ISNUMBER(G149)),NOT(ISNUMBER(H149))),"",H149-G149)</f>
        <v/>
      </c>
      <c r="J149" s="319">
        <f>IF(OR(NOT(ISNUMBER(G149)),NOT(ISNUMBER(H149)),G149=0),"",I149/G149)</f>
        <v/>
      </c>
      <c r="K149" s="319">
        <f>IF(OR(NOT(ISNUMBER(G149)),NOT(ISNUMBER(H149)),G149=0),"",H149/G149)</f>
        <v/>
      </c>
      <c r="L149">
        <f>IF(NOT(ISNUMBER(G149)),"SEM META",IF(G149=0,"SEM META",IF(NOT(ISNUMBER(H149)),"SEM APONTAMENTO",IF(H149&gt;=G149,"VERDE",IF(H149&gt;=G149*0.9,"AMARELO","VERMELHO")))))</f>
        <v/>
      </c>
      <c r="M149" s="162" t="n"/>
      <c r="N149" s="162" t="n"/>
      <c r="O149" s="162" t="n"/>
      <c r="P149" s="162" t="n"/>
      <c r="Q149" s="320" t="n"/>
      <c r="R149" s="162" t="inlineStr">
        <is>
          <t>CONTROLE PRODUÇÃO POR EMPRESAS!E30</t>
        </is>
      </c>
    </row>
    <row r="150" hidden="1" ht="28.5" customHeight="1">
      <c r="A150" s="317" t="n">
        <v>46247</v>
      </c>
      <c r="B150" t="inlineStr">
        <is>
          <t>GERAL</t>
        </is>
      </c>
      <c r="C150" t="inlineStr">
        <is>
          <t>CMM</t>
        </is>
      </c>
      <c r="D150" t="inlineStr">
        <is>
          <t>IÇAMENTO JOIST</t>
        </is>
      </c>
      <c r="F150" s="159">
        <f>IFERROR(INDEX('BASE METAS DIÁRIAS'!$N$2:$S$358,MATCH($A150,'BASE METAS DIÁRIAS'!$A$2:$A$358,0),MOD(ROW()-2,6)+1),"")</f>
        <v/>
      </c>
      <c r="G150" s="159">
        <f>IFERROR(IF(WEEKDAY($A150,2)&lt;=INDEX('BASE METAS DIÁRIAS'!$H$2:$M$358,MATCH($A150,'BASE METAS DIÁRIAS'!$A$2:$A$358,0),MOD(ROW()-2,6)+1),INDEX('BASE METAS DIÁRIAS'!$B$2:$G$358,MATCH($A150,'BASE METAS DIÁRIAS'!$A$2:$A$358,0),MOD(ROW()-2,6)+1),""),"")</f>
        <v/>
      </c>
      <c r="H150" s="159">
        <f>IFERROR(IF(INDEX('CONTROLE PRODUÇÃO POR EMPRESAS'!$B$6:$G$5000,MATCH($A150,'CONTROLE PRODUÇÃO POR EMPRESAS'!$A$6:$A$5000,0),MOD(ROW()-2,6)+1)="","",IFERROR(1*INDEX('CONTROLE PRODUÇÃO POR EMPRESAS'!$B$6:$G$5000,MATCH($A150,'CONTROLE PRODUÇÃO POR EMPRESAS'!$A$6:$A$5000,0),MOD(ROW()-2,6)+1),"")),"")</f>
        <v/>
      </c>
      <c r="I150" s="159">
        <f>IF(OR(NOT(ISNUMBER(G150)),NOT(ISNUMBER(H150))),"",H150-G150)</f>
        <v/>
      </c>
      <c r="J150" s="319">
        <f>IF(OR(NOT(ISNUMBER(G150)),NOT(ISNUMBER(H150)),G150=0),"",I150/G150)</f>
        <v/>
      </c>
      <c r="K150" s="319">
        <f>IF(OR(NOT(ISNUMBER(G150)),NOT(ISNUMBER(H150)),G150=0),"",H150/G150)</f>
        <v/>
      </c>
      <c r="L150">
        <f>IF(NOT(ISNUMBER(G150)),"SEM META",IF(G150=0,"SEM META",IF(NOT(ISNUMBER(H150)),"SEM APONTAMENTO",IF(H150&gt;=G150,"VERDE",IF(H150&gt;=G150*0.9,"AMARELO","VERMELHO")))))</f>
        <v/>
      </c>
      <c r="M150" s="162" t="n"/>
      <c r="N150" s="162" t="n"/>
      <c r="O150" s="162" t="n"/>
      <c r="P150" s="162" t="n"/>
      <c r="Q150" s="320" t="n"/>
      <c r="R150" s="162" t="inlineStr">
        <is>
          <t>CONTROLE PRODUÇÃO POR EMPRESAS!F30</t>
        </is>
      </c>
    </row>
    <row r="151" hidden="1" ht="28.5" customHeight="1">
      <c r="A151" s="317" t="n">
        <v>46247</v>
      </c>
      <c r="B151" t="inlineStr">
        <is>
          <t>GERAL</t>
        </is>
      </c>
      <c r="C151" t="inlineStr">
        <is>
          <t>CMM</t>
        </is>
      </c>
      <c r="D151" t="inlineStr">
        <is>
          <t>VIGAS</t>
        </is>
      </c>
      <c r="F151" s="159">
        <f>IFERROR(INDEX('BASE METAS DIÁRIAS'!$N$2:$S$358,MATCH($A151,'BASE METAS DIÁRIAS'!$A$2:$A$358,0),MOD(ROW()-2,6)+1),"")</f>
        <v/>
      </c>
      <c r="G151" s="159">
        <f>IFERROR(IF(WEEKDAY($A151,2)&lt;=INDEX('BASE METAS DIÁRIAS'!$H$2:$M$358,MATCH($A151,'BASE METAS DIÁRIAS'!$A$2:$A$358,0),MOD(ROW()-2,6)+1),INDEX('BASE METAS DIÁRIAS'!$B$2:$G$358,MATCH($A151,'BASE METAS DIÁRIAS'!$A$2:$A$358,0),MOD(ROW()-2,6)+1),""),"")</f>
        <v/>
      </c>
      <c r="H151" s="159">
        <f>IFERROR(IF(INDEX('CONTROLE PRODUÇÃO POR EMPRESAS'!$B$6:$G$5000,MATCH($A151,'CONTROLE PRODUÇÃO POR EMPRESAS'!$A$6:$A$5000,0),MOD(ROW()-2,6)+1)="","",IFERROR(1*INDEX('CONTROLE PRODUÇÃO POR EMPRESAS'!$B$6:$G$5000,MATCH($A151,'CONTROLE PRODUÇÃO POR EMPRESAS'!$A$6:$A$5000,0),MOD(ROW()-2,6)+1),"")),"")</f>
        <v/>
      </c>
      <c r="I151" s="159">
        <f>IF(OR(NOT(ISNUMBER(G151)),NOT(ISNUMBER(H151))),"",H151-G151)</f>
        <v/>
      </c>
      <c r="J151" s="319">
        <f>IF(OR(NOT(ISNUMBER(G151)),NOT(ISNUMBER(H151)),G151=0),"",I151/G151)</f>
        <v/>
      </c>
      <c r="K151" s="319">
        <f>IF(OR(NOT(ISNUMBER(G151)),NOT(ISNUMBER(H151)),G151=0),"",H151/G151)</f>
        <v/>
      </c>
      <c r="L151">
        <f>IF(NOT(ISNUMBER(G151)),"SEM META",IF(G151=0,"SEM META",IF(NOT(ISNUMBER(H151)),"SEM APONTAMENTO",IF(H151&gt;=G151,"VERDE",IF(H151&gt;=G151*0.9,"AMARELO","VERMELHO")))))</f>
        <v/>
      </c>
      <c r="M151" s="162" t="n"/>
      <c r="N151" s="162" t="n"/>
      <c r="O151" s="162" t="n"/>
      <c r="P151" s="162" t="n"/>
      <c r="Q151" s="320" t="n"/>
      <c r="R151" s="162" t="inlineStr">
        <is>
          <t>CONTROLE PRODUÇÃO POR EMPRESAS!G30</t>
        </is>
      </c>
    </row>
    <row r="152" hidden="1" ht="28.5" customHeight="1">
      <c r="A152" s="317" t="n">
        <v>46248</v>
      </c>
      <c r="B152" t="inlineStr">
        <is>
          <t>GERAL</t>
        </is>
      </c>
      <c r="C152" t="inlineStr">
        <is>
          <t>EJ</t>
        </is>
      </c>
      <c r="D152" t="inlineStr">
        <is>
          <t>PREMONTAGEM</t>
        </is>
      </c>
      <c r="F152" s="159">
        <f>IFERROR(INDEX('BASE METAS DIÁRIAS'!$N$2:$S$358,MATCH($A152,'BASE METAS DIÁRIAS'!$A$2:$A$358,0),MOD(ROW()-2,6)+1),"")</f>
        <v/>
      </c>
      <c r="G152" s="159">
        <f>IFERROR(IF(WEEKDAY($A152,2)&lt;=INDEX('BASE METAS DIÁRIAS'!$H$2:$M$358,MATCH($A152,'BASE METAS DIÁRIAS'!$A$2:$A$358,0),MOD(ROW()-2,6)+1),INDEX('BASE METAS DIÁRIAS'!$B$2:$G$358,MATCH($A152,'BASE METAS DIÁRIAS'!$A$2:$A$358,0),MOD(ROW()-2,6)+1),""),"")</f>
        <v/>
      </c>
      <c r="H152" s="159">
        <f>IFERROR(IF(INDEX('CONTROLE PRODUÇÃO POR EMPRESAS'!$B$6:$G$5000,MATCH($A152,'CONTROLE PRODUÇÃO POR EMPRESAS'!$A$6:$A$5000,0),MOD(ROW()-2,6)+1)="","",IFERROR(1*INDEX('CONTROLE PRODUÇÃO POR EMPRESAS'!$B$6:$G$5000,MATCH($A152,'CONTROLE PRODUÇÃO POR EMPRESAS'!$A$6:$A$5000,0),MOD(ROW()-2,6)+1),"")),"")</f>
        <v/>
      </c>
      <c r="I152" s="159">
        <f>IF(OR(NOT(ISNUMBER(G152)),NOT(ISNUMBER(H152))),"",H152-G152)</f>
        <v/>
      </c>
      <c r="J152" s="319">
        <f>IF(OR(NOT(ISNUMBER(G152)),NOT(ISNUMBER(H152)),G152=0),"",I152/G152)</f>
        <v/>
      </c>
      <c r="K152" s="319">
        <f>IF(OR(NOT(ISNUMBER(G152)),NOT(ISNUMBER(H152)),G152=0),"",H152/G152)</f>
        <v/>
      </c>
      <c r="L152">
        <f>IF(NOT(ISNUMBER(G152)),"SEM META",IF(G152=0,"SEM META",IF(NOT(ISNUMBER(H152)),"SEM APONTAMENTO",IF(H152&gt;=G152,"VERDE",IF(H152&gt;=G152*0.9,"AMARELO","VERMELHO")))))</f>
        <v/>
      </c>
      <c r="M152" s="162" t="n"/>
      <c r="N152" s="162" t="n"/>
      <c r="O152" s="162" t="n"/>
      <c r="P152" s="162" t="n"/>
      <c r="Q152" s="320" t="n"/>
      <c r="R152" s="162" t="inlineStr">
        <is>
          <t>CONTROLE PRODUÇÃO POR EMPRESAS!B31</t>
        </is>
      </c>
    </row>
    <row r="153" hidden="1" ht="28.5" customHeight="1">
      <c r="A153" s="317" t="n">
        <v>46248</v>
      </c>
      <c r="B153" t="inlineStr">
        <is>
          <t>GERAL</t>
        </is>
      </c>
      <c r="C153" t="inlineStr">
        <is>
          <t>EJ</t>
        </is>
      </c>
      <c r="D153" t="inlineStr">
        <is>
          <t>IÇAMENTO JOIST</t>
        </is>
      </c>
      <c r="F153" s="159">
        <f>IFERROR(INDEX('BASE METAS DIÁRIAS'!$N$2:$S$358,MATCH($A153,'BASE METAS DIÁRIAS'!$A$2:$A$358,0),MOD(ROW()-2,6)+1),"")</f>
        <v/>
      </c>
      <c r="G153" s="159">
        <f>IFERROR(IF(WEEKDAY($A153,2)&lt;=INDEX('BASE METAS DIÁRIAS'!$H$2:$M$358,MATCH($A153,'BASE METAS DIÁRIAS'!$A$2:$A$358,0),MOD(ROW()-2,6)+1),INDEX('BASE METAS DIÁRIAS'!$B$2:$G$358,MATCH($A153,'BASE METAS DIÁRIAS'!$A$2:$A$358,0),MOD(ROW()-2,6)+1),""),"")</f>
        <v/>
      </c>
      <c r="H153" s="159">
        <f>IFERROR(IF(INDEX('CONTROLE PRODUÇÃO POR EMPRESAS'!$B$6:$G$5000,MATCH($A153,'CONTROLE PRODUÇÃO POR EMPRESAS'!$A$6:$A$5000,0),MOD(ROW()-2,6)+1)="","",IFERROR(1*INDEX('CONTROLE PRODUÇÃO POR EMPRESAS'!$B$6:$G$5000,MATCH($A153,'CONTROLE PRODUÇÃO POR EMPRESAS'!$A$6:$A$5000,0),MOD(ROW()-2,6)+1),"")),"")</f>
        <v/>
      </c>
      <c r="I153" s="159">
        <f>IF(OR(NOT(ISNUMBER(G153)),NOT(ISNUMBER(H153))),"",H153-G153)</f>
        <v/>
      </c>
      <c r="J153" s="319">
        <f>IF(OR(NOT(ISNUMBER(G153)),NOT(ISNUMBER(H153)),G153=0),"",I153/G153)</f>
        <v/>
      </c>
      <c r="K153" s="319">
        <f>IF(OR(NOT(ISNUMBER(G153)),NOT(ISNUMBER(H153)),G153=0),"",H153/G153)</f>
        <v/>
      </c>
      <c r="L153">
        <f>IF(NOT(ISNUMBER(G153)),"SEM META",IF(G153=0,"SEM META",IF(NOT(ISNUMBER(H153)),"SEM APONTAMENTO",IF(H153&gt;=G153,"VERDE",IF(H153&gt;=G153*0.9,"AMARELO","VERMELHO")))))</f>
        <v/>
      </c>
      <c r="M153" s="162" t="n"/>
      <c r="N153" s="162" t="n"/>
      <c r="O153" s="162" t="n"/>
      <c r="P153" s="162" t="n"/>
      <c r="Q153" s="320" t="n"/>
      <c r="R153" s="162" t="inlineStr">
        <is>
          <t>CONTROLE PRODUÇÃO POR EMPRESAS!C31</t>
        </is>
      </c>
    </row>
    <row r="154" hidden="1" ht="28.5" customHeight="1">
      <c r="A154" s="317" t="n">
        <v>46248</v>
      </c>
      <c r="B154" t="inlineStr">
        <is>
          <t>GERAL</t>
        </is>
      </c>
      <c r="C154" t="inlineStr">
        <is>
          <t>EJ</t>
        </is>
      </c>
      <c r="D154" t="inlineStr">
        <is>
          <t>VIGAS</t>
        </is>
      </c>
      <c r="F154" s="159">
        <f>IFERROR(INDEX('BASE METAS DIÁRIAS'!$N$2:$S$358,MATCH($A154,'BASE METAS DIÁRIAS'!$A$2:$A$358,0),MOD(ROW()-2,6)+1),"")</f>
        <v/>
      </c>
      <c r="G154" s="159">
        <f>IFERROR(IF(WEEKDAY($A154,2)&lt;=INDEX('BASE METAS DIÁRIAS'!$H$2:$M$358,MATCH($A154,'BASE METAS DIÁRIAS'!$A$2:$A$358,0),MOD(ROW()-2,6)+1),INDEX('BASE METAS DIÁRIAS'!$B$2:$G$358,MATCH($A154,'BASE METAS DIÁRIAS'!$A$2:$A$358,0),MOD(ROW()-2,6)+1),""),"")</f>
        <v/>
      </c>
      <c r="H154" s="159">
        <f>IFERROR(IF(INDEX('CONTROLE PRODUÇÃO POR EMPRESAS'!$B$6:$G$5000,MATCH($A154,'CONTROLE PRODUÇÃO POR EMPRESAS'!$A$6:$A$5000,0),MOD(ROW()-2,6)+1)="","",IFERROR(1*INDEX('CONTROLE PRODUÇÃO POR EMPRESAS'!$B$6:$G$5000,MATCH($A154,'CONTROLE PRODUÇÃO POR EMPRESAS'!$A$6:$A$5000,0),MOD(ROW()-2,6)+1),"")),"")</f>
        <v/>
      </c>
      <c r="I154" s="159">
        <f>IF(OR(NOT(ISNUMBER(G154)),NOT(ISNUMBER(H154))),"",H154-G154)</f>
        <v/>
      </c>
      <c r="J154" s="319">
        <f>IF(OR(NOT(ISNUMBER(G154)),NOT(ISNUMBER(H154)),G154=0),"",I154/G154)</f>
        <v/>
      </c>
      <c r="K154" s="319">
        <f>IF(OR(NOT(ISNUMBER(G154)),NOT(ISNUMBER(H154)),G154=0),"",H154/G154)</f>
        <v/>
      </c>
      <c r="L154">
        <f>IF(NOT(ISNUMBER(G154)),"SEM META",IF(G154=0,"SEM META",IF(NOT(ISNUMBER(H154)),"SEM APONTAMENTO",IF(H154&gt;=G154,"VERDE",IF(H154&gt;=G154*0.9,"AMARELO","VERMELHO")))))</f>
        <v/>
      </c>
      <c r="M154" s="162" t="n"/>
      <c r="N154" s="162" t="n"/>
      <c r="O154" s="162" t="n"/>
      <c r="P154" s="162" t="n"/>
      <c r="Q154" s="320" t="n"/>
      <c r="R154" s="162" t="inlineStr">
        <is>
          <t>CONTROLE PRODUÇÃO POR EMPRESAS!D31</t>
        </is>
      </c>
    </row>
    <row r="155" hidden="1" ht="28.5" customHeight="1">
      <c r="A155" s="317" t="n">
        <v>46248</v>
      </c>
      <c r="B155" t="inlineStr">
        <is>
          <t>GERAL</t>
        </is>
      </c>
      <c r="C155" t="inlineStr">
        <is>
          <t>CMM</t>
        </is>
      </c>
      <c r="D155" t="inlineStr">
        <is>
          <t>PREMONTAGEM</t>
        </is>
      </c>
      <c r="F155" s="159">
        <f>IFERROR(INDEX('BASE METAS DIÁRIAS'!$N$2:$S$358,MATCH($A155,'BASE METAS DIÁRIAS'!$A$2:$A$358,0),MOD(ROW()-2,6)+1),"")</f>
        <v/>
      </c>
      <c r="G155" s="159">
        <f>IFERROR(IF(WEEKDAY($A155,2)&lt;=INDEX('BASE METAS DIÁRIAS'!$H$2:$M$358,MATCH($A155,'BASE METAS DIÁRIAS'!$A$2:$A$358,0),MOD(ROW()-2,6)+1),INDEX('BASE METAS DIÁRIAS'!$B$2:$G$358,MATCH($A155,'BASE METAS DIÁRIAS'!$A$2:$A$358,0),MOD(ROW()-2,6)+1),""),"")</f>
        <v/>
      </c>
      <c r="H155" s="159">
        <f>IFERROR(IF(INDEX('CONTROLE PRODUÇÃO POR EMPRESAS'!$B$6:$G$5000,MATCH($A155,'CONTROLE PRODUÇÃO POR EMPRESAS'!$A$6:$A$5000,0),MOD(ROW()-2,6)+1)="","",IFERROR(1*INDEX('CONTROLE PRODUÇÃO POR EMPRESAS'!$B$6:$G$5000,MATCH($A155,'CONTROLE PRODUÇÃO POR EMPRESAS'!$A$6:$A$5000,0),MOD(ROW()-2,6)+1),"")),"")</f>
        <v/>
      </c>
      <c r="I155" s="159">
        <f>IF(OR(NOT(ISNUMBER(G155)),NOT(ISNUMBER(H155))),"",H155-G155)</f>
        <v/>
      </c>
      <c r="J155" s="319">
        <f>IF(OR(NOT(ISNUMBER(G155)),NOT(ISNUMBER(H155)),G155=0),"",I155/G155)</f>
        <v/>
      </c>
      <c r="K155" s="319">
        <f>IF(OR(NOT(ISNUMBER(G155)),NOT(ISNUMBER(H155)),G155=0),"",H155/G155)</f>
        <v/>
      </c>
      <c r="L155">
        <f>IF(NOT(ISNUMBER(G155)),"SEM META",IF(G155=0,"SEM META",IF(NOT(ISNUMBER(H155)),"SEM APONTAMENTO",IF(H155&gt;=G155,"VERDE",IF(H155&gt;=G155*0.9,"AMARELO","VERMELHO")))))</f>
        <v/>
      </c>
      <c r="M155" s="162" t="n"/>
      <c r="N155" s="162" t="n"/>
      <c r="O155" s="162" t="n"/>
      <c r="P155" s="162" t="n"/>
      <c r="Q155" s="320" t="n"/>
      <c r="R155" s="162" t="inlineStr">
        <is>
          <t>CONTROLE PRODUÇÃO POR EMPRESAS!E31</t>
        </is>
      </c>
    </row>
    <row r="156" hidden="1" ht="28.5" customHeight="1">
      <c r="A156" s="317" t="n">
        <v>46248</v>
      </c>
      <c r="B156" t="inlineStr">
        <is>
          <t>GERAL</t>
        </is>
      </c>
      <c r="C156" t="inlineStr">
        <is>
          <t>CMM</t>
        </is>
      </c>
      <c r="D156" t="inlineStr">
        <is>
          <t>IÇAMENTO JOIST</t>
        </is>
      </c>
      <c r="F156" s="159">
        <f>IFERROR(INDEX('BASE METAS DIÁRIAS'!$N$2:$S$358,MATCH($A156,'BASE METAS DIÁRIAS'!$A$2:$A$358,0),MOD(ROW()-2,6)+1),"")</f>
        <v/>
      </c>
      <c r="G156" s="159">
        <f>IFERROR(IF(WEEKDAY($A156,2)&lt;=INDEX('BASE METAS DIÁRIAS'!$H$2:$M$358,MATCH($A156,'BASE METAS DIÁRIAS'!$A$2:$A$358,0),MOD(ROW()-2,6)+1),INDEX('BASE METAS DIÁRIAS'!$B$2:$G$358,MATCH($A156,'BASE METAS DIÁRIAS'!$A$2:$A$358,0),MOD(ROW()-2,6)+1),""),"")</f>
        <v/>
      </c>
      <c r="H156" s="159">
        <f>IFERROR(IF(INDEX('CONTROLE PRODUÇÃO POR EMPRESAS'!$B$6:$G$5000,MATCH($A156,'CONTROLE PRODUÇÃO POR EMPRESAS'!$A$6:$A$5000,0),MOD(ROW()-2,6)+1)="","",IFERROR(1*INDEX('CONTROLE PRODUÇÃO POR EMPRESAS'!$B$6:$G$5000,MATCH($A156,'CONTROLE PRODUÇÃO POR EMPRESAS'!$A$6:$A$5000,0),MOD(ROW()-2,6)+1),"")),"")</f>
        <v/>
      </c>
      <c r="I156" s="159">
        <f>IF(OR(NOT(ISNUMBER(G156)),NOT(ISNUMBER(H156))),"",H156-G156)</f>
        <v/>
      </c>
      <c r="J156" s="319">
        <f>IF(OR(NOT(ISNUMBER(G156)),NOT(ISNUMBER(H156)),G156=0),"",I156/G156)</f>
        <v/>
      </c>
      <c r="K156" s="319">
        <f>IF(OR(NOT(ISNUMBER(G156)),NOT(ISNUMBER(H156)),G156=0),"",H156/G156)</f>
        <v/>
      </c>
      <c r="L156">
        <f>IF(NOT(ISNUMBER(G156)),"SEM META",IF(G156=0,"SEM META",IF(NOT(ISNUMBER(H156)),"SEM APONTAMENTO",IF(H156&gt;=G156,"VERDE",IF(H156&gt;=G156*0.9,"AMARELO","VERMELHO")))))</f>
        <v/>
      </c>
      <c r="M156" s="162" t="n"/>
      <c r="N156" s="162" t="n"/>
      <c r="O156" s="162" t="n"/>
      <c r="P156" s="162" t="n"/>
      <c r="Q156" s="320" t="n"/>
      <c r="R156" s="162" t="inlineStr">
        <is>
          <t>CONTROLE PRODUÇÃO POR EMPRESAS!F31</t>
        </is>
      </c>
    </row>
    <row r="157" hidden="1" ht="28.5" customHeight="1">
      <c r="A157" s="317" t="n">
        <v>46248</v>
      </c>
      <c r="B157" t="inlineStr">
        <is>
          <t>GERAL</t>
        </is>
      </c>
      <c r="C157" t="inlineStr">
        <is>
          <t>CMM</t>
        </is>
      </c>
      <c r="D157" t="inlineStr">
        <is>
          <t>VIGAS</t>
        </is>
      </c>
      <c r="F157" s="159">
        <f>IFERROR(INDEX('BASE METAS DIÁRIAS'!$N$2:$S$358,MATCH($A157,'BASE METAS DIÁRIAS'!$A$2:$A$358,0),MOD(ROW()-2,6)+1),"")</f>
        <v/>
      </c>
      <c r="G157" s="159">
        <f>IFERROR(IF(WEEKDAY($A157,2)&lt;=INDEX('BASE METAS DIÁRIAS'!$H$2:$M$358,MATCH($A157,'BASE METAS DIÁRIAS'!$A$2:$A$358,0),MOD(ROW()-2,6)+1),INDEX('BASE METAS DIÁRIAS'!$B$2:$G$358,MATCH($A157,'BASE METAS DIÁRIAS'!$A$2:$A$358,0),MOD(ROW()-2,6)+1),""),"")</f>
        <v/>
      </c>
      <c r="H157" s="159">
        <f>IFERROR(IF(INDEX('CONTROLE PRODUÇÃO POR EMPRESAS'!$B$6:$G$5000,MATCH($A157,'CONTROLE PRODUÇÃO POR EMPRESAS'!$A$6:$A$5000,0),MOD(ROW()-2,6)+1)="","",IFERROR(1*INDEX('CONTROLE PRODUÇÃO POR EMPRESAS'!$B$6:$G$5000,MATCH($A157,'CONTROLE PRODUÇÃO POR EMPRESAS'!$A$6:$A$5000,0),MOD(ROW()-2,6)+1),"")),"")</f>
        <v/>
      </c>
      <c r="I157" s="159">
        <f>IF(OR(NOT(ISNUMBER(G157)),NOT(ISNUMBER(H157))),"",H157-G157)</f>
        <v/>
      </c>
      <c r="J157" s="319">
        <f>IF(OR(NOT(ISNUMBER(G157)),NOT(ISNUMBER(H157)),G157=0),"",I157/G157)</f>
        <v/>
      </c>
      <c r="K157" s="319">
        <f>IF(OR(NOT(ISNUMBER(G157)),NOT(ISNUMBER(H157)),G157=0),"",H157/G157)</f>
        <v/>
      </c>
      <c r="L157">
        <f>IF(NOT(ISNUMBER(G157)),"SEM META",IF(G157=0,"SEM META",IF(NOT(ISNUMBER(H157)),"SEM APONTAMENTO",IF(H157&gt;=G157,"VERDE",IF(H157&gt;=G157*0.9,"AMARELO","VERMELHO")))))</f>
        <v/>
      </c>
      <c r="M157" s="162" t="n"/>
      <c r="N157" s="162" t="n"/>
      <c r="O157" s="162" t="n"/>
      <c r="P157" s="162" t="n"/>
      <c r="Q157" s="320" t="n"/>
      <c r="R157" s="162" t="inlineStr">
        <is>
          <t>CONTROLE PRODUÇÃO POR EMPRESAS!G31</t>
        </is>
      </c>
    </row>
    <row r="158" hidden="1" ht="28.5" customHeight="1">
      <c r="A158" s="317" t="n">
        <v>46249</v>
      </c>
      <c r="B158" t="inlineStr">
        <is>
          <t>GERAL</t>
        </is>
      </c>
      <c r="C158" t="inlineStr">
        <is>
          <t>EJ</t>
        </is>
      </c>
      <c r="D158" t="inlineStr">
        <is>
          <t>PREMONTAGEM</t>
        </is>
      </c>
      <c r="F158" s="159">
        <f>IFERROR(INDEX('BASE METAS DIÁRIAS'!$N$2:$S$358,MATCH($A158,'BASE METAS DIÁRIAS'!$A$2:$A$358,0),MOD(ROW()-2,6)+1),"")</f>
        <v/>
      </c>
      <c r="G158" s="159">
        <f>IFERROR(IF(WEEKDAY($A158,2)&lt;=INDEX('BASE METAS DIÁRIAS'!$H$2:$M$358,MATCH($A158,'BASE METAS DIÁRIAS'!$A$2:$A$358,0),MOD(ROW()-2,6)+1),INDEX('BASE METAS DIÁRIAS'!$B$2:$G$358,MATCH($A158,'BASE METAS DIÁRIAS'!$A$2:$A$358,0),MOD(ROW()-2,6)+1),""),"")</f>
        <v/>
      </c>
      <c r="H158" s="159">
        <f>IFERROR(IF(INDEX('CONTROLE PRODUÇÃO POR EMPRESAS'!$B$6:$G$5000,MATCH($A158,'CONTROLE PRODUÇÃO POR EMPRESAS'!$A$6:$A$5000,0),MOD(ROW()-2,6)+1)="","",IFERROR(1*INDEX('CONTROLE PRODUÇÃO POR EMPRESAS'!$B$6:$G$5000,MATCH($A158,'CONTROLE PRODUÇÃO POR EMPRESAS'!$A$6:$A$5000,0),MOD(ROW()-2,6)+1),"")),"")</f>
        <v/>
      </c>
      <c r="I158" s="159">
        <f>IF(OR(NOT(ISNUMBER(G158)),NOT(ISNUMBER(H158))),"",H158-G158)</f>
        <v/>
      </c>
      <c r="J158" s="319">
        <f>IF(OR(NOT(ISNUMBER(G158)),NOT(ISNUMBER(H158)),G158=0),"",I158/G158)</f>
        <v/>
      </c>
      <c r="K158" s="319">
        <f>IF(OR(NOT(ISNUMBER(G158)),NOT(ISNUMBER(H158)),G158=0),"",H158/G158)</f>
        <v/>
      </c>
      <c r="L158">
        <f>IF(NOT(ISNUMBER(G158)),"SEM META",IF(G158=0,"SEM META",IF(NOT(ISNUMBER(H158)),"SEM APONTAMENTO",IF(H158&gt;=G158,"VERDE",IF(H158&gt;=G158*0.9,"AMARELO","VERMELHO")))))</f>
        <v/>
      </c>
      <c r="M158" s="162" t="n"/>
      <c r="N158" s="162" t="n"/>
      <c r="O158" s="162" t="n"/>
      <c r="P158" s="162" t="n"/>
      <c r="Q158" s="320" t="n"/>
      <c r="R158" s="162" t="inlineStr">
        <is>
          <t>CONTROLE PRODUÇÃO POR EMPRESAS!B32</t>
        </is>
      </c>
    </row>
    <row r="159" hidden="1" ht="28.5" customHeight="1">
      <c r="A159" s="317" t="n">
        <v>46249</v>
      </c>
      <c r="B159" t="inlineStr">
        <is>
          <t>GERAL</t>
        </is>
      </c>
      <c r="C159" t="inlineStr">
        <is>
          <t>EJ</t>
        </is>
      </c>
      <c r="D159" t="inlineStr">
        <is>
          <t>IÇAMENTO JOIST</t>
        </is>
      </c>
      <c r="F159" s="159">
        <f>IFERROR(INDEX('BASE METAS DIÁRIAS'!$N$2:$S$358,MATCH($A159,'BASE METAS DIÁRIAS'!$A$2:$A$358,0),MOD(ROW()-2,6)+1),"")</f>
        <v/>
      </c>
      <c r="G159" s="159">
        <f>IFERROR(IF(WEEKDAY($A159,2)&lt;=INDEX('BASE METAS DIÁRIAS'!$H$2:$M$358,MATCH($A159,'BASE METAS DIÁRIAS'!$A$2:$A$358,0),MOD(ROW()-2,6)+1),INDEX('BASE METAS DIÁRIAS'!$B$2:$G$358,MATCH($A159,'BASE METAS DIÁRIAS'!$A$2:$A$358,0),MOD(ROW()-2,6)+1),""),"")</f>
        <v/>
      </c>
      <c r="H159" s="159">
        <f>IFERROR(IF(INDEX('CONTROLE PRODUÇÃO POR EMPRESAS'!$B$6:$G$5000,MATCH($A159,'CONTROLE PRODUÇÃO POR EMPRESAS'!$A$6:$A$5000,0),MOD(ROW()-2,6)+1)="","",IFERROR(1*INDEX('CONTROLE PRODUÇÃO POR EMPRESAS'!$B$6:$G$5000,MATCH($A159,'CONTROLE PRODUÇÃO POR EMPRESAS'!$A$6:$A$5000,0),MOD(ROW()-2,6)+1),"")),"")</f>
        <v/>
      </c>
      <c r="I159" s="159">
        <f>IF(OR(NOT(ISNUMBER(G159)),NOT(ISNUMBER(H159))),"",H159-G159)</f>
        <v/>
      </c>
      <c r="J159" s="319">
        <f>IF(OR(NOT(ISNUMBER(G159)),NOT(ISNUMBER(H159)),G159=0),"",I159/G159)</f>
        <v/>
      </c>
      <c r="K159" s="319">
        <f>IF(OR(NOT(ISNUMBER(G159)),NOT(ISNUMBER(H159)),G159=0),"",H159/G159)</f>
        <v/>
      </c>
      <c r="L159">
        <f>IF(NOT(ISNUMBER(G159)),"SEM META",IF(G159=0,"SEM META",IF(NOT(ISNUMBER(H159)),"SEM APONTAMENTO",IF(H159&gt;=G159,"VERDE",IF(H159&gt;=G159*0.9,"AMARELO","VERMELHO")))))</f>
        <v/>
      </c>
      <c r="M159" s="162" t="n"/>
      <c r="N159" s="162" t="n"/>
      <c r="O159" s="162" t="n"/>
      <c r="P159" s="162" t="n"/>
      <c r="Q159" s="320" t="n"/>
      <c r="R159" s="162" t="inlineStr">
        <is>
          <t>CONTROLE PRODUÇÃO POR EMPRESAS!C32</t>
        </is>
      </c>
    </row>
    <row r="160" hidden="1" ht="28.5" customHeight="1">
      <c r="A160" s="317" t="n">
        <v>46249</v>
      </c>
      <c r="B160" t="inlineStr">
        <is>
          <t>GERAL</t>
        </is>
      </c>
      <c r="C160" t="inlineStr">
        <is>
          <t>EJ</t>
        </is>
      </c>
      <c r="D160" t="inlineStr">
        <is>
          <t>VIGAS</t>
        </is>
      </c>
      <c r="F160" s="159">
        <f>IFERROR(INDEX('BASE METAS DIÁRIAS'!$N$2:$S$358,MATCH($A160,'BASE METAS DIÁRIAS'!$A$2:$A$358,0),MOD(ROW()-2,6)+1),"")</f>
        <v/>
      </c>
      <c r="G160" s="159">
        <f>IFERROR(IF(WEEKDAY($A160,2)&lt;=INDEX('BASE METAS DIÁRIAS'!$H$2:$M$358,MATCH($A160,'BASE METAS DIÁRIAS'!$A$2:$A$358,0),MOD(ROW()-2,6)+1),INDEX('BASE METAS DIÁRIAS'!$B$2:$G$358,MATCH($A160,'BASE METAS DIÁRIAS'!$A$2:$A$358,0),MOD(ROW()-2,6)+1),""),"")</f>
        <v/>
      </c>
      <c r="H160" s="159">
        <f>IFERROR(IF(INDEX('CONTROLE PRODUÇÃO POR EMPRESAS'!$B$6:$G$5000,MATCH($A160,'CONTROLE PRODUÇÃO POR EMPRESAS'!$A$6:$A$5000,0),MOD(ROW()-2,6)+1)="","",IFERROR(1*INDEX('CONTROLE PRODUÇÃO POR EMPRESAS'!$B$6:$G$5000,MATCH($A160,'CONTROLE PRODUÇÃO POR EMPRESAS'!$A$6:$A$5000,0),MOD(ROW()-2,6)+1),"")),"")</f>
        <v/>
      </c>
      <c r="I160" s="159">
        <f>IF(OR(NOT(ISNUMBER(G160)),NOT(ISNUMBER(H160))),"",H160-G160)</f>
        <v/>
      </c>
      <c r="J160" s="319">
        <f>IF(OR(NOT(ISNUMBER(G160)),NOT(ISNUMBER(H160)),G160=0),"",I160/G160)</f>
        <v/>
      </c>
      <c r="K160" s="319">
        <f>IF(OR(NOT(ISNUMBER(G160)),NOT(ISNUMBER(H160)),G160=0),"",H160/G160)</f>
        <v/>
      </c>
      <c r="L160">
        <f>IF(NOT(ISNUMBER(G160)),"SEM META",IF(G160=0,"SEM META",IF(NOT(ISNUMBER(H160)),"SEM APONTAMENTO",IF(H160&gt;=G160,"VERDE",IF(H160&gt;=G160*0.9,"AMARELO","VERMELHO")))))</f>
        <v/>
      </c>
      <c r="M160" s="162" t="n"/>
      <c r="N160" s="162" t="n"/>
      <c r="O160" s="162" t="n"/>
      <c r="P160" s="162" t="n"/>
      <c r="Q160" s="320" t="n"/>
      <c r="R160" s="162" t="inlineStr">
        <is>
          <t>CONTROLE PRODUÇÃO POR EMPRESAS!D32</t>
        </is>
      </c>
    </row>
    <row r="161" hidden="1" ht="28.5" customHeight="1">
      <c r="A161" s="317" t="n">
        <v>46249</v>
      </c>
      <c r="B161" t="inlineStr">
        <is>
          <t>GERAL</t>
        </is>
      </c>
      <c r="C161" t="inlineStr">
        <is>
          <t>CMM</t>
        </is>
      </c>
      <c r="D161" t="inlineStr">
        <is>
          <t>PREMONTAGEM</t>
        </is>
      </c>
      <c r="F161" s="159">
        <f>IFERROR(INDEX('BASE METAS DIÁRIAS'!$N$2:$S$358,MATCH($A161,'BASE METAS DIÁRIAS'!$A$2:$A$358,0),MOD(ROW()-2,6)+1),"")</f>
        <v/>
      </c>
      <c r="G161" s="159">
        <f>IFERROR(IF(WEEKDAY($A161,2)&lt;=INDEX('BASE METAS DIÁRIAS'!$H$2:$M$358,MATCH($A161,'BASE METAS DIÁRIAS'!$A$2:$A$358,0),MOD(ROW()-2,6)+1),INDEX('BASE METAS DIÁRIAS'!$B$2:$G$358,MATCH($A161,'BASE METAS DIÁRIAS'!$A$2:$A$358,0),MOD(ROW()-2,6)+1),""),"")</f>
        <v/>
      </c>
      <c r="H161" s="159">
        <f>IFERROR(IF(INDEX('CONTROLE PRODUÇÃO POR EMPRESAS'!$B$6:$G$5000,MATCH($A161,'CONTROLE PRODUÇÃO POR EMPRESAS'!$A$6:$A$5000,0),MOD(ROW()-2,6)+1)="","",IFERROR(1*INDEX('CONTROLE PRODUÇÃO POR EMPRESAS'!$B$6:$G$5000,MATCH($A161,'CONTROLE PRODUÇÃO POR EMPRESAS'!$A$6:$A$5000,0),MOD(ROW()-2,6)+1),"")),"")</f>
        <v/>
      </c>
      <c r="I161" s="159">
        <f>IF(OR(NOT(ISNUMBER(G161)),NOT(ISNUMBER(H161))),"",H161-G161)</f>
        <v/>
      </c>
      <c r="J161" s="319">
        <f>IF(OR(NOT(ISNUMBER(G161)),NOT(ISNUMBER(H161)),G161=0),"",I161/G161)</f>
        <v/>
      </c>
      <c r="K161" s="319">
        <f>IF(OR(NOT(ISNUMBER(G161)),NOT(ISNUMBER(H161)),G161=0),"",H161/G161)</f>
        <v/>
      </c>
      <c r="L161">
        <f>IF(NOT(ISNUMBER(G161)),"SEM META",IF(G161=0,"SEM META",IF(NOT(ISNUMBER(H161)),"SEM APONTAMENTO",IF(H161&gt;=G161,"VERDE",IF(H161&gt;=G161*0.9,"AMARELO","VERMELHO")))))</f>
        <v/>
      </c>
      <c r="M161" s="162" t="n"/>
      <c r="N161" s="162" t="n"/>
      <c r="O161" s="162" t="n"/>
      <c r="P161" s="162" t="n"/>
      <c r="Q161" s="320" t="n"/>
      <c r="R161" s="162" t="inlineStr">
        <is>
          <t>CONTROLE PRODUÇÃO POR EMPRESAS!E32</t>
        </is>
      </c>
    </row>
    <row r="162" hidden="1" ht="28.5" customHeight="1">
      <c r="A162" s="317" t="n">
        <v>46249</v>
      </c>
      <c r="B162" t="inlineStr">
        <is>
          <t>GERAL</t>
        </is>
      </c>
      <c r="C162" t="inlineStr">
        <is>
          <t>CMM</t>
        </is>
      </c>
      <c r="D162" t="inlineStr">
        <is>
          <t>IÇAMENTO JOIST</t>
        </is>
      </c>
      <c r="F162" s="159">
        <f>IFERROR(INDEX('BASE METAS DIÁRIAS'!$N$2:$S$358,MATCH($A162,'BASE METAS DIÁRIAS'!$A$2:$A$358,0),MOD(ROW()-2,6)+1),"")</f>
        <v/>
      </c>
      <c r="G162" s="159">
        <f>IFERROR(IF(WEEKDAY($A162,2)&lt;=INDEX('BASE METAS DIÁRIAS'!$H$2:$M$358,MATCH($A162,'BASE METAS DIÁRIAS'!$A$2:$A$358,0),MOD(ROW()-2,6)+1),INDEX('BASE METAS DIÁRIAS'!$B$2:$G$358,MATCH($A162,'BASE METAS DIÁRIAS'!$A$2:$A$358,0),MOD(ROW()-2,6)+1),""),"")</f>
        <v/>
      </c>
      <c r="H162" s="159">
        <f>IFERROR(IF(INDEX('CONTROLE PRODUÇÃO POR EMPRESAS'!$B$6:$G$5000,MATCH($A162,'CONTROLE PRODUÇÃO POR EMPRESAS'!$A$6:$A$5000,0),MOD(ROW()-2,6)+1)="","",IFERROR(1*INDEX('CONTROLE PRODUÇÃO POR EMPRESAS'!$B$6:$G$5000,MATCH($A162,'CONTROLE PRODUÇÃO POR EMPRESAS'!$A$6:$A$5000,0),MOD(ROW()-2,6)+1),"")),"")</f>
        <v/>
      </c>
      <c r="I162" s="159">
        <f>IF(OR(NOT(ISNUMBER(G162)),NOT(ISNUMBER(H162))),"",H162-G162)</f>
        <v/>
      </c>
      <c r="J162" s="319">
        <f>IF(OR(NOT(ISNUMBER(G162)),NOT(ISNUMBER(H162)),G162=0),"",I162/G162)</f>
        <v/>
      </c>
      <c r="K162" s="319">
        <f>IF(OR(NOT(ISNUMBER(G162)),NOT(ISNUMBER(H162)),G162=0),"",H162/G162)</f>
        <v/>
      </c>
      <c r="L162">
        <f>IF(NOT(ISNUMBER(G162)),"SEM META",IF(G162=0,"SEM META",IF(NOT(ISNUMBER(H162)),"SEM APONTAMENTO",IF(H162&gt;=G162,"VERDE",IF(H162&gt;=G162*0.9,"AMARELO","VERMELHO")))))</f>
        <v/>
      </c>
      <c r="M162" s="162" t="n"/>
      <c r="N162" s="162" t="n"/>
      <c r="O162" s="162" t="n"/>
      <c r="P162" s="162" t="n"/>
      <c r="Q162" s="320" t="n"/>
      <c r="R162" s="162" t="inlineStr">
        <is>
          <t>CONTROLE PRODUÇÃO POR EMPRESAS!F32</t>
        </is>
      </c>
    </row>
    <row r="163" hidden="1" ht="28.5" customHeight="1">
      <c r="A163" s="317" t="n">
        <v>46249</v>
      </c>
      <c r="B163" t="inlineStr">
        <is>
          <t>GERAL</t>
        </is>
      </c>
      <c r="C163" t="inlineStr">
        <is>
          <t>CMM</t>
        </is>
      </c>
      <c r="D163" t="inlineStr">
        <is>
          <t>VIGAS</t>
        </is>
      </c>
      <c r="F163" s="159">
        <f>IFERROR(INDEX('BASE METAS DIÁRIAS'!$N$2:$S$358,MATCH($A163,'BASE METAS DIÁRIAS'!$A$2:$A$358,0),MOD(ROW()-2,6)+1),"")</f>
        <v/>
      </c>
      <c r="G163" s="159">
        <f>IFERROR(IF(WEEKDAY($A163,2)&lt;=INDEX('BASE METAS DIÁRIAS'!$H$2:$M$358,MATCH($A163,'BASE METAS DIÁRIAS'!$A$2:$A$358,0),MOD(ROW()-2,6)+1),INDEX('BASE METAS DIÁRIAS'!$B$2:$G$358,MATCH($A163,'BASE METAS DIÁRIAS'!$A$2:$A$358,0),MOD(ROW()-2,6)+1),""),"")</f>
        <v/>
      </c>
      <c r="H163" s="159">
        <f>IFERROR(IF(INDEX('CONTROLE PRODUÇÃO POR EMPRESAS'!$B$6:$G$5000,MATCH($A163,'CONTROLE PRODUÇÃO POR EMPRESAS'!$A$6:$A$5000,0),MOD(ROW()-2,6)+1)="","",IFERROR(1*INDEX('CONTROLE PRODUÇÃO POR EMPRESAS'!$B$6:$G$5000,MATCH($A163,'CONTROLE PRODUÇÃO POR EMPRESAS'!$A$6:$A$5000,0),MOD(ROW()-2,6)+1),"")),"")</f>
        <v/>
      </c>
      <c r="I163" s="159">
        <f>IF(OR(NOT(ISNUMBER(G163)),NOT(ISNUMBER(H163))),"",H163-G163)</f>
        <v/>
      </c>
      <c r="J163" s="319">
        <f>IF(OR(NOT(ISNUMBER(G163)),NOT(ISNUMBER(H163)),G163=0),"",I163/G163)</f>
        <v/>
      </c>
      <c r="K163" s="319">
        <f>IF(OR(NOT(ISNUMBER(G163)),NOT(ISNUMBER(H163)),G163=0),"",H163/G163)</f>
        <v/>
      </c>
      <c r="L163">
        <f>IF(NOT(ISNUMBER(G163)),"SEM META",IF(G163=0,"SEM META",IF(NOT(ISNUMBER(H163)),"SEM APONTAMENTO",IF(H163&gt;=G163,"VERDE",IF(H163&gt;=G163*0.9,"AMARELO","VERMELHO")))))</f>
        <v/>
      </c>
      <c r="M163" s="162" t="n"/>
      <c r="N163" s="162" t="n"/>
      <c r="O163" s="162" t="n"/>
      <c r="P163" s="162" t="n"/>
      <c r="Q163" s="320" t="n"/>
      <c r="R163" s="162" t="inlineStr">
        <is>
          <t>CONTROLE PRODUÇÃO POR EMPRESAS!G32</t>
        </is>
      </c>
    </row>
    <row r="164" hidden="1" ht="28.5" customHeight="1">
      <c r="A164" s="317" t="n">
        <v>46250</v>
      </c>
      <c r="B164" t="inlineStr">
        <is>
          <t>GERAL</t>
        </is>
      </c>
      <c r="C164" t="inlineStr">
        <is>
          <t>EJ</t>
        </is>
      </c>
      <c r="D164" t="inlineStr">
        <is>
          <t>PREMONTAGEM</t>
        </is>
      </c>
      <c r="F164" s="159">
        <f>IFERROR(INDEX('BASE METAS DIÁRIAS'!$N$2:$S$358,MATCH($A164,'BASE METAS DIÁRIAS'!$A$2:$A$358,0),MOD(ROW()-2,6)+1),"")</f>
        <v/>
      </c>
      <c r="G164" s="159">
        <f>IFERROR(IF(WEEKDAY($A164,2)&lt;=INDEX('BASE METAS DIÁRIAS'!$H$2:$M$358,MATCH($A164,'BASE METAS DIÁRIAS'!$A$2:$A$358,0),MOD(ROW()-2,6)+1),INDEX('BASE METAS DIÁRIAS'!$B$2:$G$358,MATCH($A164,'BASE METAS DIÁRIAS'!$A$2:$A$358,0),MOD(ROW()-2,6)+1),""),"")</f>
        <v/>
      </c>
      <c r="H164" s="159">
        <f>IFERROR(IF(INDEX('CONTROLE PRODUÇÃO POR EMPRESAS'!$B$6:$G$5000,MATCH($A164,'CONTROLE PRODUÇÃO POR EMPRESAS'!$A$6:$A$5000,0),MOD(ROW()-2,6)+1)="","",IFERROR(1*INDEX('CONTROLE PRODUÇÃO POR EMPRESAS'!$B$6:$G$5000,MATCH($A164,'CONTROLE PRODUÇÃO POR EMPRESAS'!$A$6:$A$5000,0),MOD(ROW()-2,6)+1),"")),"")</f>
        <v/>
      </c>
      <c r="I164" s="159">
        <f>IF(OR(NOT(ISNUMBER(G164)),NOT(ISNUMBER(H164))),"",H164-G164)</f>
        <v/>
      </c>
      <c r="J164" s="319">
        <f>IF(OR(NOT(ISNUMBER(G164)),NOT(ISNUMBER(H164)),G164=0),"",I164/G164)</f>
        <v/>
      </c>
      <c r="K164" s="319">
        <f>IF(OR(NOT(ISNUMBER(G164)),NOT(ISNUMBER(H164)),G164=0),"",H164/G164)</f>
        <v/>
      </c>
      <c r="L164">
        <f>IF(NOT(ISNUMBER(G164)),"SEM META",IF(G164=0,"SEM META",IF(NOT(ISNUMBER(H164)),"SEM APONTAMENTO",IF(H164&gt;=G164,"VERDE",IF(H164&gt;=G164*0.9,"AMARELO","VERMELHO")))))</f>
        <v/>
      </c>
      <c r="M164" s="162" t="n"/>
      <c r="N164" s="162" t="n"/>
      <c r="O164" s="162" t="n"/>
      <c r="P164" s="162" t="n"/>
      <c r="Q164" s="320" t="n"/>
      <c r="R164" s="162" t="inlineStr">
        <is>
          <t>CONTROLE PRODUÇÃO POR EMPRESAS!B33</t>
        </is>
      </c>
    </row>
    <row r="165" hidden="1" ht="28.5" customHeight="1">
      <c r="A165" s="317" t="n">
        <v>46250</v>
      </c>
      <c r="B165" t="inlineStr">
        <is>
          <t>GERAL</t>
        </is>
      </c>
      <c r="C165" t="inlineStr">
        <is>
          <t>EJ</t>
        </is>
      </c>
      <c r="D165" t="inlineStr">
        <is>
          <t>IÇAMENTO JOIST</t>
        </is>
      </c>
      <c r="F165" s="159">
        <f>IFERROR(INDEX('BASE METAS DIÁRIAS'!$N$2:$S$358,MATCH($A165,'BASE METAS DIÁRIAS'!$A$2:$A$358,0),MOD(ROW()-2,6)+1),"")</f>
        <v/>
      </c>
      <c r="G165" s="159">
        <f>IFERROR(IF(WEEKDAY($A165,2)&lt;=INDEX('BASE METAS DIÁRIAS'!$H$2:$M$358,MATCH($A165,'BASE METAS DIÁRIAS'!$A$2:$A$358,0),MOD(ROW()-2,6)+1),INDEX('BASE METAS DIÁRIAS'!$B$2:$G$358,MATCH($A165,'BASE METAS DIÁRIAS'!$A$2:$A$358,0),MOD(ROW()-2,6)+1),""),"")</f>
        <v/>
      </c>
      <c r="H165" s="159">
        <f>IFERROR(IF(INDEX('CONTROLE PRODUÇÃO POR EMPRESAS'!$B$6:$G$5000,MATCH($A165,'CONTROLE PRODUÇÃO POR EMPRESAS'!$A$6:$A$5000,0),MOD(ROW()-2,6)+1)="","",IFERROR(1*INDEX('CONTROLE PRODUÇÃO POR EMPRESAS'!$B$6:$G$5000,MATCH($A165,'CONTROLE PRODUÇÃO POR EMPRESAS'!$A$6:$A$5000,0),MOD(ROW()-2,6)+1),"")),"")</f>
        <v/>
      </c>
      <c r="I165" s="159">
        <f>IF(OR(NOT(ISNUMBER(G165)),NOT(ISNUMBER(H165))),"",H165-G165)</f>
        <v/>
      </c>
      <c r="J165" s="319">
        <f>IF(OR(NOT(ISNUMBER(G165)),NOT(ISNUMBER(H165)),G165=0),"",I165/G165)</f>
        <v/>
      </c>
      <c r="K165" s="319">
        <f>IF(OR(NOT(ISNUMBER(G165)),NOT(ISNUMBER(H165)),G165=0),"",H165/G165)</f>
        <v/>
      </c>
      <c r="L165">
        <f>IF(NOT(ISNUMBER(G165)),"SEM META",IF(G165=0,"SEM META",IF(NOT(ISNUMBER(H165)),"SEM APONTAMENTO",IF(H165&gt;=G165,"VERDE",IF(H165&gt;=G165*0.9,"AMARELO","VERMELHO")))))</f>
        <v/>
      </c>
      <c r="M165" s="162" t="n"/>
      <c r="N165" s="162" t="n"/>
      <c r="O165" s="162" t="n"/>
      <c r="P165" s="162" t="n"/>
      <c r="Q165" s="320" t="n"/>
      <c r="R165" s="162" t="inlineStr">
        <is>
          <t>CONTROLE PRODUÇÃO POR EMPRESAS!C33</t>
        </is>
      </c>
    </row>
    <row r="166" hidden="1" ht="28.5" customHeight="1">
      <c r="A166" s="317" t="n">
        <v>46250</v>
      </c>
      <c r="B166" t="inlineStr">
        <is>
          <t>GERAL</t>
        </is>
      </c>
      <c r="C166" t="inlineStr">
        <is>
          <t>EJ</t>
        </is>
      </c>
      <c r="D166" t="inlineStr">
        <is>
          <t>VIGAS</t>
        </is>
      </c>
      <c r="F166" s="159">
        <f>IFERROR(INDEX('BASE METAS DIÁRIAS'!$N$2:$S$358,MATCH($A166,'BASE METAS DIÁRIAS'!$A$2:$A$358,0),MOD(ROW()-2,6)+1),"")</f>
        <v/>
      </c>
      <c r="G166" s="159">
        <f>IFERROR(IF(WEEKDAY($A166,2)&lt;=INDEX('BASE METAS DIÁRIAS'!$H$2:$M$358,MATCH($A166,'BASE METAS DIÁRIAS'!$A$2:$A$358,0),MOD(ROW()-2,6)+1),INDEX('BASE METAS DIÁRIAS'!$B$2:$G$358,MATCH($A166,'BASE METAS DIÁRIAS'!$A$2:$A$358,0),MOD(ROW()-2,6)+1),""),"")</f>
        <v/>
      </c>
      <c r="H166" s="159">
        <f>IFERROR(IF(INDEX('CONTROLE PRODUÇÃO POR EMPRESAS'!$B$6:$G$5000,MATCH($A166,'CONTROLE PRODUÇÃO POR EMPRESAS'!$A$6:$A$5000,0),MOD(ROW()-2,6)+1)="","",IFERROR(1*INDEX('CONTROLE PRODUÇÃO POR EMPRESAS'!$B$6:$G$5000,MATCH($A166,'CONTROLE PRODUÇÃO POR EMPRESAS'!$A$6:$A$5000,0),MOD(ROW()-2,6)+1),"")),"")</f>
        <v/>
      </c>
      <c r="I166" s="159">
        <f>IF(OR(NOT(ISNUMBER(G166)),NOT(ISNUMBER(H166))),"",H166-G166)</f>
        <v/>
      </c>
      <c r="J166" s="319">
        <f>IF(OR(NOT(ISNUMBER(G166)),NOT(ISNUMBER(H166)),G166=0),"",I166/G166)</f>
        <v/>
      </c>
      <c r="K166" s="319">
        <f>IF(OR(NOT(ISNUMBER(G166)),NOT(ISNUMBER(H166)),G166=0),"",H166/G166)</f>
        <v/>
      </c>
      <c r="L166">
        <f>IF(NOT(ISNUMBER(G166)),"SEM META",IF(G166=0,"SEM META",IF(NOT(ISNUMBER(H166)),"SEM APONTAMENTO",IF(H166&gt;=G166,"VERDE",IF(H166&gt;=G166*0.9,"AMARELO","VERMELHO")))))</f>
        <v/>
      </c>
      <c r="M166" s="162" t="n"/>
      <c r="N166" s="162" t="n"/>
      <c r="O166" s="162" t="n"/>
      <c r="P166" s="162" t="n"/>
      <c r="Q166" s="320" t="n"/>
      <c r="R166" s="162" t="inlineStr">
        <is>
          <t>CONTROLE PRODUÇÃO POR EMPRESAS!D33</t>
        </is>
      </c>
    </row>
    <row r="167" hidden="1" ht="28.5" customHeight="1">
      <c r="A167" s="317" t="n">
        <v>46250</v>
      </c>
      <c r="B167" t="inlineStr">
        <is>
          <t>GERAL</t>
        </is>
      </c>
      <c r="C167" t="inlineStr">
        <is>
          <t>CMM</t>
        </is>
      </c>
      <c r="D167" t="inlineStr">
        <is>
          <t>PREMONTAGEM</t>
        </is>
      </c>
      <c r="F167" s="159">
        <f>IFERROR(INDEX('BASE METAS DIÁRIAS'!$N$2:$S$358,MATCH($A167,'BASE METAS DIÁRIAS'!$A$2:$A$358,0),MOD(ROW()-2,6)+1),"")</f>
        <v/>
      </c>
      <c r="G167" s="159">
        <f>IFERROR(IF(WEEKDAY($A167,2)&lt;=INDEX('BASE METAS DIÁRIAS'!$H$2:$M$358,MATCH($A167,'BASE METAS DIÁRIAS'!$A$2:$A$358,0),MOD(ROW()-2,6)+1),INDEX('BASE METAS DIÁRIAS'!$B$2:$G$358,MATCH($A167,'BASE METAS DIÁRIAS'!$A$2:$A$358,0),MOD(ROW()-2,6)+1),""),"")</f>
        <v/>
      </c>
      <c r="H167" s="159">
        <f>IFERROR(IF(INDEX('CONTROLE PRODUÇÃO POR EMPRESAS'!$B$6:$G$5000,MATCH($A167,'CONTROLE PRODUÇÃO POR EMPRESAS'!$A$6:$A$5000,0),MOD(ROW()-2,6)+1)="","",IFERROR(1*INDEX('CONTROLE PRODUÇÃO POR EMPRESAS'!$B$6:$G$5000,MATCH($A167,'CONTROLE PRODUÇÃO POR EMPRESAS'!$A$6:$A$5000,0),MOD(ROW()-2,6)+1),"")),"")</f>
        <v/>
      </c>
      <c r="I167" s="159">
        <f>IF(OR(NOT(ISNUMBER(G167)),NOT(ISNUMBER(H167))),"",H167-G167)</f>
        <v/>
      </c>
      <c r="J167" s="319">
        <f>IF(OR(NOT(ISNUMBER(G167)),NOT(ISNUMBER(H167)),G167=0),"",I167/G167)</f>
        <v/>
      </c>
      <c r="K167" s="319">
        <f>IF(OR(NOT(ISNUMBER(G167)),NOT(ISNUMBER(H167)),G167=0),"",H167/G167)</f>
        <v/>
      </c>
      <c r="L167">
        <f>IF(NOT(ISNUMBER(G167)),"SEM META",IF(G167=0,"SEM META",IF(NOT(ISNUMBER(H167)),"SEM APONTAMENTO",IF(H167&gt;=G167,"VERDE",IF(H167&gt;=G167*0.9,"AMARELO","VERMELHO")))))</f>
        <v/>
      </c>
      <c r="M167" s="162" t="n"/>
      <c r="N167" s="162" t="n"/>
      <c r="O167" s="162" t="n"/>
      <c r="P167" s="162" t="n"/>
      <c r="Q167" s="320" t="n"/>
      <c r="R167" s="162" t="inlineStr">
        <is>
          <t>CONTROLE PRODUÇÃO POR EMPRESAS!E33</t>
        </is>
      </c>
    </row>
    <row r="168" hidden="1" ht="28.5" customHeight="1">
      <c r="A168" s="317" t="n">
        <v>46250</v>
      </c>
      <c r="B168" t="inlineStr">
        <is>
          <t>GERAL</t>
        </is>
      </c>
      <c r="C168" t="inlineStr">
        <is>
          <t>CMM</t>
        </is>
      </c>
      <c r="D168" t="inlineStr">
        <is>
          <t>IÇAMENTO JOIST</t>
        </is>
      </c>
      <c r="F168" s="159">
        <f>IFERROR(INDEX('BASE METAS DIÁRIAS'!$N$2:$S$358,MATCH($A168,'BASE METAS DIÁRIAS'!$A$2:$A$358,0),MOD(ROW()-2,6)+1),"")</f>
        <v/>
      </c>
      <c r="G168" s="159">
        <f>IFERROR(IF(WEEKDAY($A168,2)&lt;=INDEX('BASE METAS DIÁRIAS'!$H$2:$M$358,MATCH($A168,'BASE METAS DIÁRIAS'!$A$2:$A$358,0),MOD(ROW()-2,6)+1),INDEX('BASE METAS DIÁRIAS'!$B$2:$G$358,MATCH($A168,'BASE METAS DIÁRIAS'!$A$2:$A$358,0),MOD(ROW()-2,6)+1),""),"")</f>
        <v/>
      </c>
      <c r="H168" s="159">
        <f>IFERROR(IF(INDEX('CONTROLE PRODUÇÃO POR EMPRESAS'!$B$6:$G$5000,MATCH($A168,'CONTROLE PRODUÇÃO POR EMPRESAS'!$A$6:$A$5000,0),MOD(ROW()-2,6)+1)="","",IFERROR(1*INDEX('CONTROLE PRODUÇÃO POR EMPRESAS'!$B$6:$G$5000,MATCH($A168,'CONTROLE PRODUÇÃO POR EMPRESAS'!$A$6:$A$5000,0),MOD(ROW()-2,6)+1),"")),"")</f>
        <v/>
      </c>
      <c r="I168" s="159">
        <f>IF(OR(NOT(ISNUMBER(G168)),NOT(ISNUMBER(H168))),"",H168-G168)</f>
        <v/>
      </c>
      <c r="J168" s="319">
        <f>IF(OR(NOT(ISNUMBER(G168)),NOT(ISNUMBER(H168)),G168=0),"",I168/G168)</f>
        <v/>
      </c>
      <c r="K168" s="319">
        <f>IF(OR(NOT(ISNUMBER(G168)),NOT(ISNUMBER(H168)),G168=0),"",H168/G168)</f>
        <v/>
      </c>
      <c r="L168">
        <f>IF(NOT(ISNUMBER(G168)),"SEM META",IF(G168=0,"SEM META",IF(NOT(ISNUMBER(H168)),"SEM APONTAMENTO",IF(H168&gt;=G168,"VERDE",IF(H168&gt;=G168*0.9,"AMARELO","VERMELHO")))))</f>
        <v/>
      </c>
      <c r="M168" s="162" t="n"/>
      <c r="N168" s="162" t="n"/>
      <c r="O168" s="162" t="n"/>
      <c r="P168" s="162" t="n"/>
      <c r="Q168" s="320" t="n"/>
      <c r="R168" s="162" t="inlineStr">
        <is>
          <t>CONTROLE PRODUÇÃO POR EMPRESAS!F33</t>
        </is>
      </c>
    </row>
    <row r="169" hidden="1" ht="28.5" customHeight="1">
      <c r="A169" s="317" t="n">
        <v>46250</v>
      </c>
      <c r="B169" t="inlineStr">
        <is>
          <t>GERAL</t>
        </is>
      </c>
      <c r="C169" t="inlineStr">
        <is>
          <t>CMM</t>
        </is>
      </c>
      <c r="D169" t="inlineStr">
        <is>
          <t>VIGAS</t>
        </is>
      </c>
      <c r="F169" s="159">
        <f>IFERROR(INDEX('BASE METAS DIÁRIAS'!$N$2:$S$358,MATCH($A169,'BASE METAS DIÁRIAS'!$A$2:$A$358,0),MOD(ROW()-2,6)+1),"")</f>
        <v/>
      </c>
      <c r="G169" s="159">
        <f>IFERROR(IF(WEEKDAY($A169,2)&lt;=INDEX('BASE METAS DIÁRIAS'!$H$2:$M$358,MATCH($A169,'BASE METAS DIÁRIAS'!$A$2:$A$358,0),MOD(ROW()-2,6)+1),INDEX('BASE METAS DIÁRIAS'!$B$2:$G$358,MATCH($A169,'BASE METAS DIÁRIAS'!$A$2:$A$358,0),MOD(ROW()-2,6)+1),""),"")</f>
        <v/>
      </c>
      <c r="H169" s="159">
        <f>IFERROR(IF(INDEX('CONTROLE PRODUÇÃO POR EMPRESAS'!$B$6:$G$5000,MATCH($A169,'CONTROLE PRODUÇÃO POR EMPRESAS'!$A$6:$A$5000,0),MOD(ROW()-2,6)+1)="","",IFERROR(1*INDEX('CONTROLE PRODUÇÃO POR EMPRESAS'!$B$6:$G$5000,MATCH($A169,'CONTROLE PRODUÇÃO POR EMPRESAS'!$A$6:$A$5000,0),MOD(ROW()-2,6)+1),"")),"")</f>
        <v/>
      </c>
      <c r="I169" s="159">
        <f>IF(OR(NOT(ISNUMBER(G169)),NOT(ISNUMBER(H169))),"",H169-G169)</f>
        <v/>
      </c>
      <c r="J169" s="319">
        <f>IF(OR(NOT(ISNUMBER(G169)),NOT(ISNUMBER(H169)),G169=0),"",I169/G169)</f>
        <v/>
      </c>
      <c r="K169" s="319">
        <f>IF(OR(NOT(ISNUMBER(G169)),NOT(ISNUMBER(H169)),G169=0),"",H169/G169)</f>
        <v/>
      </c>
      <c r="L169">
        <f>IF(NOT(ISNUMBER(G169)),"SEM META",IF(G169=0,"SEM META",IF(NOT(ISNUMBER(H169)),"SEM APONTAMENTO",IF(H169&gt;=G169,"VERDE",IF(H169&gt;=G169*0.9,"AMARELO","VERMELHO")))))</f>
        <v/>
      </c>
      <c r="M169" s="162" t="n"/>
      <c r="N169" s="162" t="n"/>
      <c r="O169" s="162" t="n"/>
      <c r="P169" s="162" t="n"/>
      <c r="Q169" s="320" t="n"/>
      <c r="R169" s="162" t="inlineStr">
        <is>
          <t>CONTROLE PRODUÇÃO POR EMPRESAS!G33</t>
        </is>
      </c>
    </row>
    <row r="170" hidden="1" ht="28.5" customHeight="1">
      <c r="A170" s="317" t="n">
        <v>46251</v>
      </c>
      <c r="B170" t="inlineStr">
        <is>
          <t>GERAL</t>
        </is>
      </c>
      <c r="C170" t="inlineStr">
        <is>
          <t>EJ</t>
        </is>
      </c>
      <c r="D170" t="inlineStr">
        <is>
          <t>PREMONTAGEM</t>
        </is>
      </c>
      <c r="F170" s="159">
        <f>IFERROR(INDEX('BASE METAS DIÁRIAS'!$N$2:$S$358,MATCH($A170,'BASE METAS DIÁRIAS'!$A$2:$A$358,0),MOD(ROW()-2,6)+1),"")</f>
        <v/>
      </c>
      <c r="G170" s="159">
        <f>IFERROR(IF(WEEKDAY($A170,2)&lt;=INDEX('BASE METAS DIÁRIAS'!$H$2:$M$358,MATCH($A170,'BASE METAS DIÁRIAS'!$A$2:$A$358,0),MOD(ROW()-2,6)+1),INDEX('BASE METAS DIÁRIAS'!$B$2:$G$358,MATCH($A170,'BASE METAS DIÁRIAS'!$A$2:$A$358,0),MOD(ROW()-2,6)+1),""),"")</f>
        <v/>
      </c>
      <c r="H170" s="159">
        <f>IFERROR(IF(INDEX('CONTROLE PRODUÇÃO POR EMPRESAS'!$B$6:$G$5000,MATCH($A170,'CONTROLE PRODUÇÃO POR EMPRESAS'!$A$6:$A$5000,0),MOD(ROW()-2,6)+1)="","",IFERROR(1*INDEX('CONTROLE PRODUÇÃO POR EMPRESAS'!$B$6:$G$5000,MATCH($A170,'CONTROLE PRODUÇÃO POR EMPRESAS'!$A$6:$A$5000,0),MOD(ROW()-2,6)+1),"")),"")</f>
        <v/>
      </c>
      <c r="I170" s="159">
        <f>IF(OR(NOT(ISNUMBER(G170)),NOT(ISNUMBER(H170))),"",H170-G170)</f>
        <v/>
      </c>
      <c r="J170" s="319">
        <f>IF(OR(NOT(ISNUMBER(G170)),NOT(ISNUMBER(H170)),G170=0),"",I170/G170)</f>
        <v/>
      </c>
      <c r="K170" s="319">
        <f>IF(OR(NOT(ISNUMBER(G170)),NOT(ISNUMBER(H170)),G170=0),"",H170/G170)</f>
        <v/>
      </c>
      <c r="L170">
        <f>IF(NOT(ISNUMBER(G170)),"SEM META",IF(G170=0,"SEM META",IF(NOT(ISNUMBER(H170)),"SEM APONTAMENTO",IF(H170&gt;=G170,"VERDE",IF(H170&gt;=G170*0.9,"AMARELO","VERMELHO")))))</f>
        <v/>
      </c>
      <c r="M170" s="162" t="n"/>
      <c r="N170" s="162" t="n"/>
      <c r="O170" s="162" t="n"/>
      <c r="P170" s="162" t="n"/>
      <c r="Q170" s="320" t="n"/>
      <c r="R170" s="162" t="inlineStr">
        <is>
          <t>CONTROLE PRODUÇÃO POR EMPRESAS!B34</t>
        </is>
      </c>
    </row>
    <row r="171" hidden="1" ht="28.5" customHeight="1">
      <c r="A171" s="317" t="n">
        <v>46251</v>
      </c>
      <c r="B171" t="inlineStr">
        <is>
          <t>GERAL</t>
        </is>
      </c>
      <c r="C171" t="inlineStr">
        <is>
          <t>EJ</t>
        </is>
      </c>
      <c r="D171" t="inlineStr">
        <is>
          <t>IÇAMENTO JOIST</t>
        </is>
      </c>
      <c r="F171" s="159">
        <f>IFERROR(INDEX('BASE METAS DIÁRIAS'!$N$2:$S$358,MATCH($A171,'BASE METAS DIÁRIAS'!$A$2:$A$358,0),MOD(ROW()-2,6)+1),"")</f>
        <v/>
      </c>
      <c r="G171" s="159">
        <f>IFERROR(IF(WEEKDAY($A171,2)&lt;=INDEX('BASE METAS DIÁRIAS'!$H$2:$M$358,MATCH($A171,'BASE METAS DIÁRIAS'!$A$2:$A$358,0),MOD(ROW()-2,6)+1),INDEX('BASE METAS DIÁRIAS'!$B$2:$G$358,MATCH($A171,'BASE METAS DIÁRIAS'!$A$2:$A$358,0),MOD(ROW()-2,6)+1),""),"")</f>
        <v/>
      </c>
      <c r="H171" s="159">
        <f>IFERROR(IF(INDEX('CONTROLE PRODUÇÃO POR EMPRESAS'!$B$6:$G$5000,MATCH($A171,'CONTROLE PRODUÇÃO POR EMPRESAS'!$A$6:$A$5000,0),MOD(ROW()-2,6)+1)="","",IFERROR(1*INDEX('CONTROLE PRODUÇÃO POR EMPRESAS'!$B$6:$G$5000,MATCH($A171,'CONTROLE PRODUÇÃO POR EMPRESAS'!$A$6:$A$5000,0),MOD(ROW()-2,6)+1),"")),"")</f>
        <v/>
      </c>
      <c r="I171" s="159">
        <f>IF(OR(NOT(ISNUMBER(G171)),NOT(ISNUMBER(H171))),"",H171-G171)</f>
        <v/>
      </c>
      <c r="J171" s="319">
        <f>IF(OR(NOT(ISNUMBER(G171)),NOT(ISNUMBER(H171)),G171=0),"",I171/G171)</f>
        <v/>
      </c>
      <c r="K171" s="319">
        <f>IF(OR(NOT(ISNUMBER(G171)),NOT(ISNUMBER(H171)),G171=0),"",H171/G171)</f>
        <v/>
      </c>
      <c r="L171">
        <f>IF(NOT(ISNUMBER(G171)),"SEM META",IF(G171=0,"SEM META",IF(NOT(ISNUMBER(H171)),"SEM APONTAMENTO",IF(H171&gt;=G171,"VERDE",IF(H171&gt;=G171*0.9,"AMARELO","VERMELHO")))))</f>
        <v/>
      </c>
      <c r="M171" s="162" t="n"/>
      <c r="N171" s="162" t="n"/>
      <c r="O171" s="162" t="n"/>
      <c r="P171" s="162" t="n"/>
      <c r="Q171" s="320" t="n"/>
      <c r="R171" s="162" t="inlineStr">
        <is>
          <t>CONTROLE PRODUÇÃO POR EMPRESAS!C34</t>
        </is>
      </c>
    </row>
    <row r="172" hidden="1" ht="28.5" customHeight="1">
      <c r="A172" s="317" t="n">
        <v>46251</v>
      </c>
      <c r="B172" t="inlineStr">
        <is>
          <t>GERAL</t>
        </is>
      </c>
      <c r="C172" t="inlineStr">
        <is>
          <t>EJ</t>
        </is>
      </c>
      <c r="D172" t="inlineStr">
        <is>
          <t>VIGAS</t>
        </is>
      </c>
      <c r="F172" s="159">
        <f>IFERROR(INDEX('BASE METAS DIÁRIAS'!$N$2:$S$358,MATCH($A172,'BASE METAS DIÁRIAS'!$A$2:$A$358,0),MOD(ROW()-2,6)+1),"")</f>
        <v/>
      </c>
      <c r="G172" s="159">
        <f>IFERROR(IF(WEEKDAY($A172,2)&lt;=INDEX('BASE METAS DIÁRIAS'!$H$2:$M$358,MATCH($A172,'BASE METAS DIÁRIAS'!$A$2:$A$358,0),MOD(ROW()-2,6)+1),INDEX('BASE METAS DIÁRIAS'!$B$2:$G$358,MATCH($A172,'BASE METAS DIÁRIAS'!$A$2:$A$358,0),MOD(ROW()-2,6)+1),""),"")</f>
        <v/>
      </c>
      <c r="H172" s="159">
        <f>IFERROR(IF(INDEX('CONTROLE PRODUÇÃO POR EMPRESAS'!$B$6:$G$5000,MATCH($A172,'CONTROLE PRODUÇÃO POR EMPRESAS'!$A$6:$A$5000,0),MOD(ROW()-2,6)+1)="","",IFERROR(1*INDEX('CONTROLE PRODUÇÃO POR EMPRESAS'!$B$6:$G$5000,MATCH($A172,'CONTROLE PRODUÇÃO POR EMPRESAS'!$A$6:$A$5000,0),MOD(ROW()-2,6)+1),"")),"")</f>
        <v/>
      </c>
      <c r="I172" s="159">
        <f>IF(OR(NOT(ISNUMBER(G172)),NOT(ISNUMBER(H172))),"",H172-G172)</f>
        <v/>
      </c>
      <c r="J172" s="319">
        <f>IF(OR(NOT(ISNUMBER(G172)),NOT(ISNUMBER(H172)),G172=0),"",I172/G172)</f>
        <v/>
      </c>
      <c r="K172" s="319">
        <f>IF(OR(NOT(ISNUMBER(G172)),NOT(ISNUMBER(H172)),G172=0),"",H172/G172)</f>
        <v/>
      </c>
      <c r="L172">
        <f>IF(NOT(ISNUMBER(G172)),"SEM META",IF(G172=0,"SEM META",IF(NOT(ISNUMBER(H172)),"SEM APONTAMENTO",IF(H172&gt;=G172,"VERDE",IF(H172&gt;=G172*0.9,"AMARELO","VERMELHO")))))</f>
        <v/>
      </c>
      <c r="M172" s="162" t="n"/>
      <c r="N172" s="162" t="n"/>
      <c r="O172" s="162" t="n"/>
      <c r="P172" s="162" t="n"/>
      <c r="Q172" s="320" t="n"/>
      <c r="R172" s="162" t="inlineStr">
        <is>
          <t>CONTROLE PRODUÇÃO POR EMPRESAS!D34</t>
        </is>
      </c>
    </row>
    <row r="173" hidden="1" ht="28.5" customHeight="1">
      <c r="A173" s="317" t="n">
        <v>46251</v>
      </c>
      <c r="B173" t="inlineStr">
        <is>
          <t>GERAL</t>
        </is>
      </c>
      <c r="C173" t="inlineStr">
        <is>
          <t>CMM</t>
        </is>
      </c>
      <c r="D173" t="inlineStr">
        <is>
          <t>PREMONTAGEM</t>
        </is>
      </c>
      <c r="F173" s="159">
        <f>IFERROR(INDEX('BASE METAS DIÁRIAS'!$N$2:$S$358,MATCH($A173,'BASE METAS DIÁRIAS'!$A$2:$A$358,0),MOD(ROW()-2,6)+1),"")</f>
        <v/>
      </c>
      <c r="G173" s="159">
        <f>IFERROR(IF(WEEKDAY($A173,2)&lt;=INDEX('BASE METAS DIÁRIAS'!$H$2:$M$358,MATCH($A173,'BASE METAS DIÁRIAS'!$A$2:$A$358,0),MOD(ROW()-2,6)+1),INDEX('BASE METAS DIÁRIAS'!$B$2:$G$358,MATCH($A173,'BASE METAS DIÁRIAS'!$A$2:$A$358,0),MOD(ROW()-2,6)+1),""),"")</f>
        <v/>
      </c>
      <c r="H173" s="159">
        <f>IFERROR(IF(INDEX('CONTROLE PRODUÇÃO POR EMPRESAS'!$B$6:$G$5000,MATCH($A173,'CONTROLE PRODUÇÃO POR EMPRESAS'!$A$6:$A$5000,0),MOD(ROW()-2,6)+1)="","",IFERROR(1*INDEX('CONTROLE PRODUÇÃO POR EMPRESAS'!$B$6:$G$5000,MATCH($A173,'CONTROLE PRODUÇÃO POR EMPRESAS'!$A$6:$A$5000,0),MOD(ROW()-2,6)+1),"")),"")</f>
        <v/>
      </c>
      <c r="I173" s="159">
        <f>IF(OR(NOT(ISNUMBER(G173)),NOT(ISNUMBER(H173))),"",H173-G173)</f>
        <v/>
      </c>
      <c r="J173" s="319">
        <f>IF(OR(NOT(ISNUMBER(G173)),NOT(ISNUMBER(H173)),G173=0),"",I173/G173)</f>
        <v/>
      </c>
      <c r="K173" s="319">
        <f>IF(OR(NOT(ISNUMBER(G173)),NOT(ISNUMBER(H173)),G173=0),"",H173/G173)</f>
        <v/>
      </c>
      <c r="L173">
        <f>IF(NOT(ISNUMBER(G173)),"SEM META",IF(G173=0,"SEM META",IF(NOT(ISNUMBER(H173)),"SEM APONTAMENTO",IF(H173&gt;=G173,"VERDE",IF(H173&gt;=G173*0.9,"AMARELO","VERMELHO")))))</f>
        <v/>
      </c>
      <c r="M173" s="162" t="n"/>
      <c r="N173" s="162" t="n"/>
      <c r="O173" s="162" t="n"/>
      <c r="P173" s="162" t="n"/>
      <c r="Q173" s="320" t="n"/>
      <c r="R173" s="162" t="inlineStr">
        <is>
          <t>CONTROLE PRODUÇÃO POR EMPRESAS!E34</t>
        </is>
      </c>
    </row>
    <row r="174" hidden="1" ht="28.5" customHeight="1">
      <c r="A174" s="317" t="n">
        <v>46251</v>
      </c>
      <c r="B174" t="inlineStr">
        <is>
          <t>GERAL</t>
        </is>
      </c>
      <c r="C174" t="inlineStr">
        <is>
          <t>CMM</t>
        </is>
      </c>
      <c r="D174" t="inlineStr">
        <is>
          <t>IÇAMENTO JOIST</t>
        </is>
      </c>
      <c r="F174" s="159">
        <f>IFERROR(INDEX('BASE METAS DIÁRIAS'!$N$2:$S$358,MATCH($A174,'BASE METAS DIÁRIAS'!$A$2:$A$358,0),MOD(ROW()-2,6)+1),"")</f>
        <v/>
      </c>
      <c r="G174" s="159">
        <f>IFERROR(IF(WEEKDAY($A174,2)&lt;=INDEX('BASE METAS DIÁRIAS'!$H$2:$M$358,MATCH($A174,'BASE METAS DIÁRIAS'!$A$2:$A$358,0),MOD(ROW()-2,6)+1),INDEX('BASE METAS DIÁRIAS'!$B$2:$G$358,MATCH($A174,'BASE METAS DIÁRIAS'!$A$2:$A$358,0),MOD(ROW()-2,6)+1),""),"")</f>
        <v/>
      </c>
      <c r="H174" s="159">
        <f>IFERROR(IF(INDEX('CONTROLE PRODUÇÃO POR EMPRESAS'!$B$6:$G$5000,MATCH($A174,'CONTROLE PRODUÇÃO POR EMPRESAS'!$A$6:$A$5000,0),MOD(ROW()-2,6)+1)="","",IFERROR(1*INDEX('CONTROLE PRODUÇÃO POR EMPRESAS'!$B$6:$G$5000,MATCH($A174,'CONTROLE PRODUÇÃO POR EMPRESAS'!$A$6:$A$5000,0),MOD(ROW()-2,6)+1),"")),"")</f>
        <v/>
      </c>
      <c r="I174" s="159">
        <f>IF(OR(NOT(ISNUMBER(G174)),NOT(ISNUMBER(H174))),"",H174-G174)</f>
        <v/>
      </c>
      <c r="J174" s="319">
        <f>IF(OR(NOT(ISNUMBER(G174)),NOT(ISNUMBER(H174)),G174=0),"",I174/G174)</f>
        <v/>
      </c>
      <c r="K174" s="319">
        <f>IF(OR(NOT(ISNUMBER(G174)),NOT(ISNUMBER(H174)),G174=0),"",H174/G174)</f>
        <v/>
      </c>
      <c r="L174">
        <f>IF(NOT(ISNUMBER(G174)),"SEM META",IF(G174=0,"SEM META",IF(NOT(ISNUMBER(H174)),"SEM APONTAMENTO",IF(H174&gt;=G174,"VERDE",IF(H174&gt;=G174*0.9,"AMARELO","VERMELHO")))))</f>
        <v/>
      </c>
      <c r="M174" s="162" t="n"/>
      <c r="N174" s="162" t="n"/>
      <c r="O174" s="162" t="n"/>
      <c r="P174" s="162" t="n"/>
      <c r="Q174" s="320" t="n"/>
      <c r="R174" s="162" t="inlineStr">
        <is>
          <t>CONTROLE PRODUÇÃO POR EMPRESAS!F34</t>
        </is>
      </c>
    </row>
    <row r="175" hidden="1" ht="28.5" customHeight="1">
      <c r="A175" s="317" t="n">
        <v>46251</v>
      </c>
      <c r="B175" t="inlineStr">
        <is>
          <t>GERAL</t>
        </is>
      </c>
      <c r="C175" t="inlineStr">
        <is>
          <t>CMM</t>
        </is>
      </c>
      <c r="D175" t="inlineStr">
        <is>
          <t>VIGAS</t>
        </is>
      </c>
      <c r="F175" s="159">
        <f>IFERROR(INDEX('BASE METAS DIÁRIAS'!$N$2:$S$358,MATCH($A175,'BASE METAS DIÁRIAS'!$A$2:$A$358,0),MOD(ROW()-2,6)+1),"")</f>
        <v/>
      </c>
      <c r="G175" s="159">
        <f>IFERROR(IF(WEEKDAY($A175,2)&lt;=INDEX('BASE METAS DIÁRIAS'!$H$2:$M$358,MATCH($A175,'BASE METAS DIÁRIAS'!$A$2:$A$358,0),MOD(ROW()-2,6)+1),INDEX('BASE METAS DIÁRIAS'!$B$2:$G$358,MATCH($A175,'BASE METAS DIÁRIAS'!$A$2:$A$358,0),MOD(ROW()-2,6)+1),""),"")</f>
        <v/>
      </c>
      <c r="H175" s="159">
        <f>IFERROR(IF(INDEX('CONTROLE PRODUÇÃO POR EMPRESAS'!$B$6:$G$5000,MATCH($A175,'CONTROLE PRODUÇÃO POR EMPRESAS'!$A$6:$A$5000,0),MOD(ROW()-2,6)+1)="","",IFERROR(1*INDEX('CONTROLE PRODUÇÃO POR EMPRESAS'!$B$6:$G$5000,MATCH($A175,'CONTROLE PRODUÇÃO POR EMPRESAS'!$A$6:$A$5000,0),MOD(ROW()-2,6)+1),"")),"")</f>
        <v/>
      </c>
      <c r="I175" s="159">
        <f>IF(OR(NOT(ISNUMBER(G175)),NOT(ISNUMBER(H175))),"",H175-G175)</f>
        <v/>
      </c>
      <c r="J175" s="319">
        <f>IF(OR(NOT(ISNUMBER(G175)),NOT(ISNUMBER(H175)),G175=0),"",I175/G175)</f>
        <v/>
      </c>
      <c r="K175" s="319">
        <f>IF(OR(NOT(ISNUMBER(G175)),NOT(ISNUMBER(H175)),G175=0),"",H175/G175)</f>
        <v/>
      </c>
      <c r="L175">
        <f>IF(NOT(ISNUMBER(G175)),"SEM META",IF(G175=0,"SEM META",IF(NOT(ISNUMBER(H175)),"SEM APONTAMENTO",IF(H175&gt;=G175,"VERDE",IF(H175&gt;=G175*0.9,"AMARELO","VERMELHO")))))</f>
        <v/>
      </c>
      <c r="M175" s="162" t="n"/>
      <c r="N175" s="162" t="n"/>
      <c r="O175" s="162" t="n"/>
      <c r="P175" s="162" t="n"/>
      <c r="Q175" s="320" t="n"/>
      <c r="R175" s="162" t="inlineStr">
        <is>
          <t>CONTROLE PRODUÇÃO POR EMPRESAS!G34</t>
        </is>
      </c>
    </row>
    <row r="176" hidden="1" ht="28.5" customHeight="1">
      <c r="A176" s="317" t="n">
        <v>46252</v>
      </c>
      <c r="B176" t="inlineStr">
        <is>
          <t>GERAL</t>
        </is>
      </c>
      <c r="C176" t="inlineStr">
        <is>
          <t>EJ</t>
        </is>
      </c>
      <c r="D176" t="inlineStr">
        <is>
          <t>PREMONTAGEM</t>
        </is>
      </c>
      <c r="F176" s="159">
        <f>IFERROR(INDEX('BASE METAS DIÁRIAS'!$N$2:$S$358,MATCH($A176,'BASE METAS DIÁRIAS'!$A$2:$A$358,0),MOD(ROW()-2,6)+1),"")</f>
        <v/>
      </c>
      <c r="G176" s="159">
        <f>IFERROR(IF(WEEKDAY($A176,2)&lt;=INDEX('BASE METAS DIÁRIAS'!$H$2:$M$358,MATCH($A176,'BASE METAS DIÁRIAS'!$A$2:$A$358,0),MOD(ROW()-2,6)+1),INDEX('BASE METAS DIÁRIAS'!$B$2:$G$358,MATCH($A176,'BASE METAS DIÁRIAS'!$A$2:$A$358,0),MOD(ROW()-2,6)+1),""),"")</f>
        <v/>
      </c>
      <c r="H176" s="159">
        <f>IFERROR(IF(INDEX('CONTROLE PRODUÇÃO POR EMPRESAS'!$B$6:$G$5000,MATCH($A176,'CONTROLE PRODUÇÃO POR EMPRESAS'!$A$6:$A$5000,0),MOD(ROW()-2,6)+1)="","",IFERROR(1*INDEX('CONTROLE PRODUÇÃO POR EMPRESAS'!$B$6:$G$5000,MATCH($A176,'CONTROLE PRODUÇÃO POR EMPRESAS'!$A$6:$A$5000,0),MOD(ROW()-2,6)+1),"")),"")</f>
        <v/>
      </c>
      <c r="I176" s="159">
        <f>IF(OR(NOT(ISNUMBER(G176)),NOT(ISNUMBER(H176))),"",H176-G176)</f>
        <v/>
      </c>
      <c r="J176" s="319">
        <f>IF(OR(NOT(ISNUMBER(G176)),NOT(ISNUMBER(H176)),G176=0),"",I176/G176)</f>
        <v/>
      </c>
      <c r="K176" s="319">
        <f>IF(OR(NOT(ISNUMBER(G176)),NOT(ISNUMBER(H176)),G176=0),"",H176/G176)</f>
        <v/>
      </c>
      <c r="L176">
        <f>IF(NOT(ISNUMBER(G176)),"SEM META",IF(G176=0,"SEM META",IF(NOT(ISNUMBER(H176)),"SEM APONTAMENTO",IF(H176&gt;=G176,"VERDE",IF(H176&gt;=G176*0.9,"AMARELO","VERMELHO")))))</f>
        <v/>
      </c>
      <c r="M176" s="162" t="n"/>
      <c r="N176" s="162" t="n"/>
      <c r="O176" s="162" t="n"/>
      <c r="P176" s="162" t="n"/>
      <c r="Q176" s="320" t="n"/>
      <c r="R176" s="162" t="inlineStr">
        <is>
          <t>CONTROLE PRODUÇÃO POR EMPRESAS!B35</t>
        </is>
      </c>
    </row>
    <row r="177" hidden="1" ht="28.5" customHeight="1">
      <c r="A177" s="317" t="n">
        <v>46252</v>
      </c>
      <c r="B177" t="inlineStr">
        <is>
          <t>GERAL</t>
        </is>
      </c>
      <c r="C177" t="inlineStr">
        <is>
          <t>EJ</t>
        </is>
      </c>
      <c r="D177" t="inlineStr">
        <is>
          <t>IÇAMENTO JOIST</t>
        </is>
      </c>
      <c r="F177" s="159">
        <f>IFERROR(INDEX('BASE METAS DIÁRIAS'!$N$2:$S$358,MATCH($A177,'BASE METAS DIÁRIAS'!$A$2:$A$358,0),MOD(ROW()-2,6)+1),"")</f>
        <v/>
      </c>
      <c r="G177" s="159">
        <f>IFERROR(IF(WEEKDAY($A177,2)&lt;=INDEX('BASE METAS DIÁRIAS'!$H$2:$M$358,MATCH($A177,'BASE METAS DIÁRIAS'!$A$2:$A$358,0),MOD(ROW()-2,6)+1),INDEX('BASE METAS DIÁRIAS'!$B$2:$G$358,MATCH($A177,'BASE METAS DIÁRIAS'!$A$2:$A$358,0),MOD(ROW()-2,6)+1),""),"")</f>
        <v/>
      </c>
      <c r="H177" s="159">
        <f>IFERROR(IF(INDEX('CONTROLE PRODUÇÃO POR EMPRESAS'!$B$6:$G$5000,MATCH($A177,'CONTROLE PRODUÇÃO POR EMPRESAS'!$A$6:$A$5000,0),MOD(ROW()-2,6)+1)="","",IFERROR(1*INDEX('CONTROLE PRODUÇÃO POR EMPRESAS'!$B$6:$G$5000,MATCH($A177,'CONTROLE PRODUÇÃO POR EMPRESAS'!$A$6:$A$5000,0),MOD(ROW()-2,6)+1),"")),"")</f>
        <v/>
      </c>
      <c r="I177" s="159">
        <f>IF(OR(NOT(ISNUMBER(G177)),NOT(ISNUMBER(H177))),"",H177-G177)</f>
        <v/>
      </c>
      <c r="J177" s="319">
        <f>IF(OR(NOT(ISNUMBER(G177)),NOT(ISNUMBER(H177)),G177=0),"",I177/G177)</f>
        <v/>
      </c>
      <c r="K177" s="319">
        <f>IF(OR(NOT(ISNUMBER(G177)),NOT(ISNUMBER(H177)),G177=0),"",H177/G177)</f>
        <v/>
      </c>
      <c r="L177">
        <f>IF(NOT(ISNUMBER(G177)),"SEM META",IF(G177=0,"SEM META",IF(NOT(ISNUMBER(H177)),"SEM APONTAMENTO",IF(H177&gt;=G177,"VERDE",IF(H177&gt;=G177*0.9,"AMARELO","VERMELHO")))))</f>
        <v/>
      </c>
      <c r="M177" s="162" t="n"/>
      <c r="N177" s="162" t="n"/>
      <c r="O177" s="162" t="n"/>
      <c r="P177" s="162" t="n"/>
      <c r="Q177" s="320" t="n"/>
      <c r="R177" s="162" t="inlineStr">
        <is>
          <t>CONTROLE PRODUÇÃO POR EMPRESAS!C35</t>
        </is>
      </c>
    </row>
    <row r="178" hidden="1" ht="28.5" customHeight="1">
      <c r="A178" s="317" t="n">
        <v>46252</v>
      </c>
      <c r="B178" t="inlineStr">
        <is>
          <t>GERAL</t>
        </is>
      </c>
      <c r="C178" t="inlineStr">
        <is>
          <t>EJ</t>
        </is>
      </c>
      <c r="D178" t="inlineStr">
        <is>
          <t>VIGAS</t>
        </is>
      </c>
      <c r="F178" s="159">
        <f>IFERROR(INDEX('BASE METAS DIÁRIAS'!$N$2:$S$358,MATCH($A178,'BASE METAS DIÁRIAS'!$A$2:$A$358,0),MOD(ROW()-2,6)+1),"")</f>
        <v/>
      </c>
      <c r="G178" s="159">
        <f>IFERROR(IF(WEEKDAY($A178,2)&lt;=INDEX('BASE METAS DIÁRIAS'!$H$2:$M$358,MATCH($A178,'BASE METAS DIÁRIAS'!$A$2:$A$358,0),MOD(ROW()-2,6)+1),INDEX('BASE METAS DIÁRIAS'!$B$2:$G$358,MATCH($A178,'BASE METAS DIÁRIAS'!$A$2:$A$358,0),MOD(ROW()-2,6)+1),""),"")</f>
        <v/>
      </c>
      <c r="H178" s="159">
        <f>IFERROR(IF(INDEX('CONTROLE PRODUÇÃO POR EMPRESAS'!$B$6:$G$5000,MATCH($A178,'CONTROLE PRODUÇÃO POR EMPRESAS'!$A$6:$A$5000,0),MOD(ROW()-2,6)+1)="","",IFERROR(1*INDEX('CONTROLE PRODUÇÃO POR EMPRESAS'!$B$6:$G$5000,MATCH($A178,'CONTROLE PRODUÇÃO POR EMPRESAS'!$A$6:$A$5000,0),MOD(ROW()-2,6)+1),"")),"")</f>
        <v/>
      </c>
      <c r="I178" s="159">
        <f>IF(OR(NOT(ISNUMBER(G178)),NOT(ISNUMBER(H178))),"",H178-G178)</f>
        <v/>
      </c>
      <c r="J178" s="319">
        <f>IF(OR(NOT(ISNUMBER(G178)),NOT(ISNUMBER(H178)),G178=0),"",I178/G178)</f>
        <v/>
      </c>
      <c r="K178" s="319">
        <f>IF(OR(NOT(ISNUMBER(G178)),NOT(ISNUMBER(H178)),G178=0),"",H178/G178)</f>
        <v/>
      </c>
      <c r="L178">
        <f>IF(NOT(ISNUMBER(G178)),"SEM META",IF(G178=0,"SEM META",IF(NOT(ISNUMBER(H178)),"SEM APONTAMENTO",IF(H178&gt;=G178,"VERDE",IF(H178&gt;=G178*0.9,"AMARELO","VERMELHO")))))</f>
        <v/>
      </c>
      <c r="M178" s="162" t="n"/>
      <c r="N178" s="162" t="n"/>
      <c r="O178" s="162" t="n"/>
      <c r="P178" s="162" t="n"/>
      <c r="Q178" s="320" t="n"/>
      <c r="R178" s="162" t="inlineStr">
        <is>
          <t>CONTROLE PRODUÇÃO POR EMPRESAS!D35</t>
        </is>
      </c>
    </row>
    <row r="179" hidden="1" ht="28.5" customHeight="1">
      <c r="A179" s="317" t="n">
        <v>46252</v>
      </c>
      <c r="B179" t="inlineStr">
        <is>
          <t>GERAL</t>
        </is>
      </c>
      <c r="C179" t="inlineStr">
        <is>
          <t>CMM</t>
        </is>
      </c>
      <c r="D179" t="inlineStr">
        <is>
          <t>PREMONTAGEM</t>
        </is>
      </c>
      <c r="F179" s="159">
        <f>IFERROR(INDEX('BASE METAS DIÁRIAS'!$N$2:$S$358,MATCH($A179,'BASE METAS DIÁRIAS'!$A$2:$A$358,0),MOD(ROW()-2,6)+1),"")</f>
        <v/>
      </c>
      <c r="G179" s="159">
        <f>IFERROR(IF(WEEKDAY($A179,2)&lt;=INDEX('BASE METAS DIÁRIAS'!$H$2:$M$358,MATCH($A179,'BASE METAS DIÁRIAS'!$A$2:$A$358,0),MOD(ROW()-2,6)+1),INDEX('BASE METAS DIÁRIAS'!$B$2:$G$358,MATCH($A179,'BASE METAS DIÁRIAS'!$A$2:$A$358,0),MOD(ROW()-2,6)+1),""),"")</f>
        <v/>
      </c>
      <c r="H179" s="159">
        <f>IFERROR(IF(INDEX('CONTROLE PRODUÇÃO POR EMPRESAS'!$B$6:$G$5000,MATCH($A179,'CONTROLE PRODUÇÃO POR EMPRESAS'!$A$6:$A$5000,0),MOD(ROW()-2,6)+1)="","",IFERROR(1*INDEX('CONTROLE PRODUÇÃO POR EMPRESAS'!$B$6:$G$5000,MATCH($A179,'CONTROLE PRODUÇÃO POR EMPRESAS'!$A$6:$A$5000,0),MOD(ROW()-2,6)+1),"")),"")</f>
        <v/>
      </c>
      <c r="I179" s="159">
        <f>IF(OR(NOT(ISNUMBER(G179)),NOT(ISNUMBER(H179))),"",H179-G179)</f>
        <v/>
      </c>
      <c r="J179" s="319">
        <f>IF(OR(NOT(ISNUMBER(G179)),NOT(ISNUMBER(H179)),G179=0),"",I179/G179)</f>
        <v/>
      </c>
      <c r="K179" s="319">
        <f>IF(OR(NOT(ISNUMBER(G179)),NOT(ISNUMBER(H179)),G179=0),"",H179/G179)</f>
        <v/>
      </c>
      <c r="L179">
        <f>IF(NOT(ISNUMBER(G179)),"SEM META",IF(G179=0,"SEM META",IF(NOT(ISNUMBER(H179)),"SEM APONTAMENTO",IF(H179&gt;=G179,"VERDE",IF(H179&gt;=G179*0.9,"AMARELO","VERMELHO")))))</f>
        <v/>
      </c>
      <c r="M179" s="162" t="n"/>
      <c r="N179" s="162" t="n"/>
      <c r="O179" s="162" t="n"/>
      <c r="P179" s="162" t="n"/>
      <c r="Q179" s="320" t="n"/>
      <c r="R179" s="162" t="inlineStr">
        <is>
          <t>CONTROLE PRODUÇÃO POR EMPRESAS!E35</t>
        </is>
      </c>
    </row>
    <row r="180" hidden="1" ht="28.5" customHeight="1">
      <c r="A180" s="317" t="n">
        <v>46252</v>
      </c>
      <c r="B180" t="inlineStr">
        <is>
          <t>GERAL</t>
        </is>
      </c>
      <c r="C180" t="inlineStr">
        <is>
          <t>CMM</t>
        </is>
      </c>
      <c r="D180" t="inlineStr">
        <is>
          <t>IÇAMENTO JOIST</t>
        </is>
      </c>
      <c r="F180" s="159">
        <f>IFERROR(INDEX('BASE METAS DIÁRIAS'!$N$2:$S$358,MATCH($A180,'BASE METAS DIÁRIAS'!$A$2:$A$358,0),MOD(ROW()-2,6)+1),"")</f>
        <v/>
      </c>
      <c r="G180" s="159">
        <f>IFERROR(IF(WEEKDAY($A180,2)&lt;=INDEX('BASE METAS DIÁRIAS'!$H$2:$M$358,MATCH($A180,'BASE METAS DIÁRIAS'!$A$2:$A$358,0),MOD(ROW()-2,6)+1),INDEX('BASE METAS DIÁRIAS'!$B$2:$G$358,MATCH($A180,'BASE METAS DIÁRIAS'!$A$2:$A$358,0),MOD(ROW()-2,6)+1),""),"")</f>
        <v/>
      </c>
      <c r="H180" s="159">
        <f>IFERROR(IF(INDEX('CONTROLE PRODUÇÃO POR EMPRESAS'!$B$6:$G$5000,MATCH($A180,'CONTROLE PRODUÇÃO POR EMPRESAS'!$A$6:$A$5000,0),MOD(ROW()-2,6)+1)="","",IFERROR(1*INDEX('CONTROLE PRODUÇÃO POR EMPRESAS'!$B$6:$G$5000,MATCH($A180,'CONTROLE PRODUÇÃO POR EMPRESAS'!$A$6:$A$5000,0),MOD(ROW()-2,6)+1),"")),"")</f>
        <v/>
      </c>
      <c r="I180" s="159">
        <f>IF(OR(NOT(ISNUMBER(G180)),NOT(ISNUMBER(H180))),"",H180-G180)</f>
        <v/>
      </c>
      <c r="J180" s="319">
        <f>IF(OR(NOT(ISNUMBER(G180)),NOT(ISNUMBER(H180)),G180=0),"",I180/G180)</f>
        <v/>
      </c>
      <c r="K180" s="319">
        <f>IF(OR(NOT(ISNUMBER(G180)),NOT(ISNUMBER(H180)),G180=0),"",H180/G180)</f>
        <v/>
      </c>
      <c r="L180">
        <f>IF(NOT(ISNUMBER(G180)),"SEM META",IF(G180=0,"SEM META",IF(NOT(ISNUMBER(H180)),"SEM APONTAMENTO",IF(H180&gt;=G180,"VERDE",IF(H180&gt;=G180*0.9,"AMARELO","VERMELHO")))))</f>
        <v/>
      </c>
      <c r="M180" s="162" t="n"/>
      <c r="N180" s="162" t="n"/>
      <c r="O180" s="162" t="n"/>
      <c r="P180" s="162" t="n"/>
      <c r="Q180" s="320" t="n"/>
      <c r="R180" s="162" t="inlineStr">
        <is>
          <t>CONTROLE PRODUÇÃO POR EMPRESAS!F35</t>
        </is>
      </c>
    </row>
    <row r="181" hidden="1" ht="28.5" customHeight="1">
      <c r="A181" s="317" t="n">
        <v>46252</v>
      </c>
      <c r="B181" t="inlineStr">
        <is>
          <t>GERAL</t>
        </is>
      </c>
      <c r="C181" t="inlineStr">
        <is>
          <t>CMM</t>
        </is>
      </c>
      <c r="D181" t="inlineStr">
        <is>
          <t>VIGAS</t>
        </is>
      </c>
      <c r="F181" s="159">
        <f>IFERROR(INDEX('BASE METAS DIÁRIAS'!$N$2:$S$358,MATCH($A181,'BASE METAS DIÁRIAS'!$A$2:$A$358,0),MOD(ROW()-2,6)+1),"")</f>
        <v/>
      </c>
      <c r="G181" s="159">
        <f>IFERROR(IF(WEEKDAY($A181,2)&lt;=INDEX('BASE METAS DIÁRIAS'!$H$2:$M$358,MATCH($A181,'BASE METAS DIÁRIAS'!$A$2:$A$358,0),MOD(ROW()-2,6)+1),INDEX('BASE METAS DIÁRIAS'!$B$2:$G$358,MATCH($A181,'BASE METAS DIÁRIAS'!$A$2:$A$358,0),MOD(ROW()-2,6)+1),""),"")</f>
        <v/>
      </c>
      <c r="H181" s="159">
        <f>IFERROR(IF(INDEX('CONTROLE PRODUÇÃO POR EMPRESAS'!$B$6:$G$5000,MATCH($A181,'CONTROLE PRODUÇÃO POR EMPRESAS'!$A$6:$A$5000,0),MOD(ROW()-2,6)+1)="","",IFERROR(1*INDEX('CONTROLE PRODUÇÃO POR EMPRESAS'!$B$6:$G$5000,MATCH($A181,'CONTROLE PRODUÇÃO POR EMPRESAS'!$A$6:$A$5000,0),MOD(ROW()-2,6)+1),"")),"")</f>
        <v/>
      </c>
      <c r="I181" s="159">
        <f>IF(OR(NOT(ISNUMBER(G181)),NOT(ISNUMBER(H181))),"",H181-G181)</f>
        <v/>
      </c>
      <c r="J181" s="319">
        <f>IF(OR(NOT(ISNUMBER(G181)),NOT(ISNUMBER(H181)),G181=0),"",I181/G181)</f>
        <v/>
      </c>
      <c r="K181" s="319">
        <f>IF(OR(NOT(ISNUMBER(G181)),NOT(ISNUMBER(H181)),G181=0),"",H181/G181)</f>
        <v/>
      </c>
      <c r="L181">
        <f>IF(NOT(ISNUMBER(G181)),"SEM META",IF(G181=0,"SEM META",IF(NOT(ISNUMBER(H181)),"SEM APONTAMENTO",IF(H181&gt;=G181,"VERDE",IF(H181&gt;=G181*0.9,"AMARELO","VERMELHO")))))</f>
        <v/>
      </c>
      <c r="M181" s="162" t="n"/>
      <c r="N181" s="162" t="n"/>
      <c r="O181" s="162" t="n"/>
      <c r="P181" s="162" t="n"/>
      <c r="Q181" s="320" t="n"/>
      <c r="R181" s="162" t="inlineStr">
        <is>
          <t>CONTROLE PRODUÇÃO POR EMPRESAS!G35</t>
        </is>
      </c>
    </row>
    <row r="182" hidden="1" ht="28.5" customHeight="1">
      <c r="A182" s="317" t="n">
        <v>46253</v>
      </c>
      <c r="B182" t="inlineStr">
        <is>
          <t>GERAL</t>
        </is>
      </c>
      <c r="C182" t="inlineStr">
        <is>
          <t>EJ</t>
        </is>
      </c>
      <c r="D182" t="inlineStr">
        <is>
          <t>PREMONTAGEM</t>
        </is>
      </c>
      <c r="F182" s="159">
        <f>IFERROR(INDEX('BASE METAS DIÁRIAS'!$N$2:$S$358,MATCH($A182,'BASE METAS DIÁRIAS'!$A$2:$A$358,0),MOD(ROW()-2,6)+1),"")</f>
        <v/>
      </c>
      <c r="G182" s="159">
        <f>IFERROR(IF(WEEKDAY($A182,2)&lt;=INDEX('BASE METAS DIÁRIAS'!$H$2:$M$358,MATCH($A182,'BASE METAS DIÁRIAS'!$A$2:$A$358,0),MOD(ROW()-2,6)+1),INDEX('BASE METAS DIÁRIAS'!$B$2:$G$358,MATCH($A182,'BASE METAS DIÁRIAS'!$A$2:$A$358,0),MOD(ROW()-2,6)+1),""),"")</f>
        <v/>
      </c>
      <c r="H182" s="159">
        <f>IFERROR(IF(INDEX('CONTROLE PRODUÇÃO POR EMPRESAS'!$B$6:$G$5000,MATCH($A182,'CONTROLE PRODUÇÃO POR EMPRESAS'!$A$6:$A$5000,0),MOD(ROW()-2,6)+1)="","",IFERROR(1*INDEX('CONTROLE PRODUÇÃO POR EMPRESAS'!$B$6:$G$5000,MATCH($A182,'CONTROLE PRODUÇÃO POR EMPRESAS'!$A$6:$A$5000,0),MOD(ROW()-2,6)+1),"")),"")</f>
        <v/>
      </c>
      <c r="I182" s="159">
        <f>IF(OR(NOT(ISNUMBER(G182)),NOT(ISNUMBER(H182))),"",H182-G182)</f>
        <v/>
      </c>
      <c r="J182" s="319">
        <f>IF(OR(NOT(ISNUMBER(G182)),NOT(ISNUMBER(H182)),G182=0),"",I182/G182)</f>
        <v/>
      </c>
      <c r="K182" s="319">
        <f>IF(OR(NOT(ISNUMBER(G182)),NOT(ISNUMBER(H182)),G182=0),"",H182/G182)</f>
        <v/>
      </c>
      <c r="L182">
        <f>IF(NOT(ISNUMBER(G182)),"SEM META",IF(G182=0,"SEM META",IF(NOT(ISNUMBER(H182)),"SEM APONTAMENTO",IF(H182&gt;=G182,"VERDE",IF(H182&gt;=G182*0.9,"AMARELO","VERMELHO")))))</f>
        <v/>
      </c>
      <c r="M182" s="162" t="n"/>
      <c r="N182" s="162" t="n"/>
      <c r="O182" s="162" t="n"/>
      <c r="P182" s="162" t="n"/>
      <c r="Q182" s="320" t="n"/>
      <c r="R182" s="162" t="inlineStr">
        <is>
          <t>CONTROLE PRODUÇÃO POR EMPRESAS!B36</t>
        </is>
      </c>
    </row>
    <row r="183" hidden="1" ht="28.5" customHeight="1">
      <c r="A183" s="317" t="n">
        <v>46253</v>
      </c>
      <c r="B183" t="inlineStr">
        <is>
          <t>GERAL</t>
        </is>
      </c>
      <c r="C183" t="inlineStr">
        <is>
          <t>EJ</t>
        </is>
      </c>
      <c r="D183" t="inlineStr">
        <is>
          <t>IÇAMENTO JOIST</t>
        </is>
      </c>
      <c r="F183" s="159">
        <f>IFERROR(INDEX('BASE METAS DIÁRIAS'!$N$2:$S$358,MATCH($A183,'BASE METAS DIÁRIAS'!$A$2:$A$358,0),MOD(ROW()-2,6)+1),"")</f>
        <v/>
      </c>
      <c r="G183" s="159">
        <f>IFERROR(IF(WEEKDAY($A183,2)&lt;=INDEX('BASE METAS DIÁRIAS'!$H$2:$M$358,MATCH($A183,'BASE METAS DIÁRIAS'!$A$2:$A$358,0),MOD(ROW()-2,6)+1),INDEX('BASE METAS DIÁRIAS'!$B$2:$G$358,MATCH($A183,'BASE METAS DIÁRIAS'!$A$2:$A$358,0),MOD(ROW()-2,6)+1),""),"")</f>
        <v/>
      </c>
      <c r="H183" s="159">
        <f>IFERROR(IF(INDEX('CONTROLE PRODUÇÃO POR EMPRESAS'!$B$6:$G$5000,MATCH($A183,'CONTROLE PRODUÇÃO POR EMPRESAS'!$A$6:$A$5000,0),MOD(ROW()-2,6)+1)="","",IFERROR(1*INDEX('CONTROLE PRODUÇÃO POR EMPRESAS'!$B$6:$G$5000,MATCH($A183,'CONTROLE PRODUÇÃO POR EMPRESAS'!$A$6:$A$5000,0),MOD(ROW()-2,6)+1),"")),"")</f>
        <v/>
      </c>
      <c r="I183" s="159">
        <f>IF(OR(NOT(ISNUMBER(G183)),NOT(ISNUMBER(H183))),"",H183-G183)</f>
        <v/>
      </c>
      <c r="J183" s="319">
        <f>IF(OR(NOT(ISNUMBER(G183)),NOT(ISNUMBER(H183)),G183=0),"",I183/G183)</f>
        <v/>
      </c>
      <c r="K183" s="319">
        <f>IF(OR(NOT(ISNUMBER(G183)),NOT(ISNUMBER(H183)),G183=0),"",H183/G183)</f>
        <v/>
      </c>
      <c r="L183">
        <f>IF(NOT(ISNUMBER(G183)),"SEM META",IF(G183=0,"SEM META",IF(NOT(ISNUMBER(H183)),"SEM APONTAMENTO",IF(H183&gt;=G183,"VERDE",IF(H183&gt;=G183*0.9,"AMARELO","VERMELHO")))))</f>
        <v/>
      </c>
      <c r="M183" s="162" t="n"/>
      <c r="N183" s="162" t="n"/>
      <c r="O183" s="162" t="n"/>
      <c r="P183" s="162" t="n"/>
      <c r="Q183" s="320" t="n"/>
      <c r="R183" s="162" t="inlineStr">
        <is>
          <t>CONTROLE PRODUÇÃO POR EMPRESAS!C36</t>
        </is>
      </c>
    </row>
    <row r="184" hidden="1" ht="28.5" customHeight="1">
      <c r="A184" s="317" t="n">
        <v>46253</v>
      </c>
      <c r="B184" t="inlineStr">
        <is>
          <t>GERAL</t>
        </is>
      </c>
      <c r="C184" t="inlineStr">
        <is>
          <t>EJ</t>
        </is>
      </c>
      <c r="D184" t="inlineStr">
        <is>
          <t>VIGAS</t>
        </is>
      </c>
      <c r="F184" s="159">
        <f>IFERROR(INDEX('BASE METAS DIÁRIAS'!$N$2:$S$358,MATCH($A184,'BASE METAS DIÁRIAS'!$A$2:$A$358,0),MOD(ROW()-2,6)+1),"")</f>
        <v/>
      </c>
      <c r="G184" s="159">
        <f>IFERROR(IF(WEEKDAY($A184,2)&lt;=INDEX('BASE METAS DIÁRIAS'!$H$2:$M$358,MATCH($A184,'BASE METAS DIÁRIAS'!$A$2:$A$358,0),MOD(ROW()-2,6)+1),INDEX('BASE METAS DIÁRIAS'!$B$2:$G$358,MATCH($A184,'BASE METAS DIÁRIAS'!$A$2:$A$358,0),MOD(ROW()-2,6)+1),""),"")</f>
        <v/>
      </c>
      <c r="H184" s="159">
        <f>IFERROR(IF(INDEX('CONTROLE PRODUÇÃO POR EMPRESAS'!$B$6:$G$5000,MATCH($A184,'CONTROLE PRODUÇÃO POR EMPRESAS'!$A$6:$A$5000,0),MOD(ROW()-2,6)+1)="","",IFERROR(1*INDEX('CONTROLE PRODUÇÃO POR EMPRESAS'!$B$6:$G$5000,MATCH($A184,'CONTROLE PRODUÇÃO POR EMPRESAS'!$A$6:$A$5000,0),MOD(ROW()-2,6)+1),"")),"")</f>
        <v/>
      </c>
      <c r="I184" s="159">
        <f>IF(OR(NOT(ISNUMBER(G184)),NOT(ISNUMBER(H184))),"",H184-G184)</f>
        <v/>
      </c>
      <c r="J184" s="319">
        <f>IF(OR(NOT(ISNUMBER(G184)),NOT(ISNUMBER(H184)),G184=0),"",I184/G184)</f>
        <v/>
      </c>
      <c r="K184" s="319">
        <f>IF(OR(NOT(ISNUMBER(G184)),NOT(ISNUMBER(H184)),G184=0),"",H184/G184)</f>
        <v/>
      </c>
      <c r="L184">
        <f>IF(NOT(ISNUMBER(G184)),"SEM META",IF(G184=0,"SEM META",IF(NOT(ISNUMBER(H184)),"SEM APONTAMENTO",IF(H184&gt;=G184,"VERDE",IF(H184&gt;=G184*0.9,"AMARELO","VERMELHO")))))</f>
        <v/>
      </c>
      <c r="M184" s="162" t="n"/>
      <c r="N184" s="162" t="n"/>
      <c r="O184" s="162" t="n"/>
      <c r="P184" s="162" t="n"/>
      <c r="Q184" s="320" t="n"/>
      <c r="R184" s="162" t="inlineStr">
        <is>
          <t>CONTROLE PRODUÇÃO POR EMPRESAS!D36</t>
        </is>
      </c>
    </row>
    <row r="185" hidden="1" ht="28.5" customHeight="1">
      <c r="A185" s="317" t="n">
        <v>46253</v>
      </c>
      <c r="B185" t="inlineStr">
        <is>
          <t>GERAL</t>
        </is>
      </c>
      <c r="C185" t="inlineStr">
        <is>
          <t>CMM</t>
        </is>
      </c>
      <c r="D185" t="inlineStr">
        <is>
          <t>PREMONTAGEM</t>
        </is>
      </c>
      <c r="F185" s="159">
        <f>IFERROR(INDEX('BASE METAS DIÁRIAS'!$N$2:$S$358,MATCH($A185,'BASE METAS DIÁRIAS'!$A$2:$A$358,0),MOD(ROW()-2,6)+1),"")</f>
        <v/>
      </c>
      <c r="G185" s="159">
        <f>IFERROR(IF(WEEKDAY($A185,2)&lt;=INDEX('BASE METAS DIÁRIAS'!$H$2:$M$358,MATCH($A185,'BASE METAS DIÁRIAS'!$A$2:$A$358,0),MOD(ROW()-2,6)+1),INDEX('BASE METAS DIÁRIAS'!$B$2:$G$358,MATCH($A185,'BASE METAS DIÁRIAS'!$A$2:$A$358,0),MOD(ROW()-2,6)+1),""),"")</f>
        <v/>
      </c>
      <c r="H185" s="159">
        <f>IFERROR(IF(INDEX('CONTROLE PRODUÇÃO POR EMPRESAS'!$B$6:$G$5000,MATCH($A185,'CONTROLE PRODUÇÃO POR EMPRESAS'!$A$6:$A$5000,0),MOD(ROW()-2,6)+1)="","",IFERROR(1*INDEX('CONTROLE PRODUÇÃO POR EMPRESAS'!$B$6:$G$5000,MATCH($A185,'CONTROLE PRODUÇÃO POR EMPRESAS'!$A$6:$A$5000,0),MOD(ROW()-2,6)+1),"")),"")</f>
        <v/>
      </c>
      <c r="I185" s="159">
        <f>IF(OR(NOT(ISNUMBER(G185)),NOT(ISNUMBER(H185))),"",H185-G185)</f>
        <v/>
      </c>
      <c r="J185" s="319">
        <f>IF(OR(NOT(ISNUMBER(G185)),NOT(ISNUMBER(H185)),G185=0),"",I185/G185)</f>
        <v/>
      </c>
      <c r="K185" s="319">
        <f>IF(OR(NOT(ISNUMBER(G185)),NOT(ISNUMBER(H185)),G185=0),"",H185/G185)</f>
        <v/>
      </c>
      <c r="L185">
        <f>IF(NOT(ISNUMBER(G185)),"SEM META",IF(G185=0,"SEM META",IF(NOT(ISNUMBER(H185)),"SEM APONTAMENTO",IF(H185&gt;=G185,"VERDE",IF(H185&gt;=G185*0.9,"AMARELO","VERMELHO")))))</f>
        <v/>
      </c>
      <c r="M185" s="162" t="n"/>
      <c r="N185" s="162" t="n"/>
      <c r="O185" s="162" t="n"/>
      <c r="P185" s="162" t="n"/>
      <c r="Q185" s="320" t="n"/>
      <c r="R185" s="162" t="inlineStr">
        <is>
          <t>CONTROLE PRODUÇÃO POR EMPRESAS!E36</t>
        </is>
      </c>
    </row>
    <row r="186" hidden="1" ht="28.5" customHeight="1">
      <c r="A186" s="317" t="n">
        <v>46253</v>
      </c>
      <c r="B186" t="inlineStr">
        <is>
          <t>GERAL</t>
        </is>
      </c>
      <c r="C186" t="inlineStr">
        <is>
          <t>CMM</t>
        </is>
      </c>
      <c r="D186" t="inlineStr">
        <is>
          <t>IÇAMENTO JOIST</t>
        </is>
      </c>
      <c r="F186" s="159">
        <f>IFERROR(INDEX('BASE METAS DIÁRIAS'!$N$2:$S$358,MATCH($A186,'BASE METAS DIÁRIAS'!$A$2:$A$358,0),MOD(ROW()-2,6)+1),"")</f>
        <v/>
      </c>
      <c r="G186" s="159">
        <f>IFERROR(IF(WEEKDAY($A186,2)&lt;=INDEX('BASE METAS DIÁRIAS'!$H$2:$M$358,MATCH($A186,'BASE METAS DIÁRIAS'!$A$2:$A$358,0),MOD(ROW()-2,6)+1),INDEX('BASE METAS DIÁRIAS'!$B$2:$G$358,MATCH($A186,'BASE METAS DIÁRIAS'!$A$2:$A$358,0),MOD(ROW()-2,6)+1),""),"")</f>
        <v/>
      </c>
      <c r="H186" s="159">
        <f>IFERROR(IF(INDEX('CONTROLE PRODUÇÃO POR EMPRESAS'!$B$6:$G$5000,MATCH($A186,'CONTROLE PRODUÇÃO POR EMPRESAS'!$A$6:$A$5000,0),MOD(ROW()-2,6)+1)="","",IFERROR(1*INDEX('CONTROLE PRODUÇÃO POR EMPRESAS'!$B$6:$G$5000,MATCH($A186,'CONTROLE PRODUÇÃO POR EMPRESAS'!$A$6:$A$5000,0),MOD(ROW()-2,6)+1),"")),"")</f>
        <v/>
      </c>
      <c r="I186" s="159">
        <f>IF(OR(NOT(ISNUMBER(G186)),NOT(ISNUMBER(H186))),"",H186-G186)</f>
        <v/>
      </c>
      <c r="J186" s="319">
        <f>IF(OR(NOT(ISNUMBER(G186)),NOT(ISNUMBER(H186)),G186=0),"",I186/G186)</f>
        <v/>
      </c>
      <c r="K186" s="319">
        <f>IF(OR(NOT(ISNUMBER(G186)),NOT(ISNUMBER(H186)),G186=0),"",H186/G186)</f>
        <v/>
      </c>
      <c r="L186">
        <f>IF(NOT(ISNUMBER(G186)),"SEM META",IF(G186=0,"SEM META",IF(NOT(ISNUMBER(H186)),"SEM APONTAMENTO",IF(H186&gt;=G186,"VERDE",IF(H186&gt;=G186*0.9,"AMARELO","VERMELHO")))))</f>
        <v/>
      </c>
      <c r="M186" s="162" t="n"/>
      <c r="N186" s="162" t="n"/>
      <c r="O186" s="162" t="n"/>
      <c r="P186" s="162" t="n"/>
      <c r="Q186" s="320" t="n"/>
      <c r="R186" s="162" t="inlineStr">
        <is>
          <t>CONTROLE PRODUÇÃO POR EMPRESAS!F36</t>
        </is>
      </c>
    </row>
    <row r="187" hidden="1" ht="28.5" customHeight="1">
      <c r="A187" s="317" t="n">
        <v>46253</v>
      </c>
      <c r="B187" t="inlineStr">
        <is>
          <t>GERAL</t>
        </is>
      </c>
      <c r="C187" t="inlineStr">
        <is>
          <t>CMM</t>
        </is>
      </c>
      <c r="D187" t="inlineStr">
        <is>
          <t>VIGAS</t>
        </is>
      </c>
      <c r="F187" s="159">
        <f>IFERROR(INDEX('BASE METAS DIÁRIAS'!$N$2:$S$358,MATCH($A187,'BASE METAS DIÁRIAS'!$A$2:$A$358,0),MOD(ROW()-2,6)+1),"")</f>
        <v/>
      </c>
      <c r="G187" s="159">
        <f>IFERROR(IF(WEEKDAY($A187,2)&lt;=INDEX('BASE METAS DIÁRIAS'!$H$2:$M$358,MATCH($A187,'BASE METAS DIÁRIAS'!$A$2:$A$358,0),MOD(ROW()-2,6)+1),INDEX('BASE METAS DIÁRIAS'!$B$2:$G$358,MATCH($A187,'BASE METAS DIÁRIAS'!$A$2:$A$358,0),MOD(ROW()-2,6)+1),""),"")</f>
        <v/>
      </c>
      <c r="H187" s="159">
        <f>IFERROR(IF(INDEX('CONTROLE PRODUÇÃO POR EMPRESAS'!$B$6:$G$5000,MATCH($A187,'CONTROLE PRODUÇÃO POR EMPRESAS'!$A$6:$A$5000,0),MOD(ROW()-2,6)+1)="","",IFERROR(1*INDEX('CONTROLE PRODUÇÃO POR EMPRESAS'!$B$6:$G$5000,MATCH($A187,'CONTROLE PRODUÇÃO POR EMPRESAS'!$A$6:$A$5000,0),MOD(ROW()-2,6)+1),"")),"")</f>
        <v/>
      </c>
      <c r="I187" s="159">
        <f>IF(OR(NOT(ISNUMBER(G187)),NOT(ISNUMBER(H187))),"",H187-G187)</f>
        <v/>
      </c>
      <c r="J187" s="319">
        <f>IF(OR(NOT(ISNUMBER(G187)),NOT(ISNUMBER(H187)),G187=0),"",I187/G187)</f>
        <v/>
      </c>
      <c r="K187" s="319">
        <f>IF(OR(NOT(ISNUMBER(G187)),NOT(ISNUMBER(H187)),G187=0),"",H187/G187)</f>
        <v/>
      </c>
      <c r="L187">
        <f>IF(NOT(ISNUMBER(G187)),"SEM META",IF(G187=0,"SEM META",IF(NOT(ISNUMBER(H187)),"SEM APONTAMENTO",IF(H187&gt;=G187,"VERDE",IF(H187&gt;=G187*0.9,"AMARELO","VERMELHO")))))</f>
        <v/>
      </c>
      <c r="M187" s="162" t="n"/>
      <c r="N187" s="162" t="n"/>
      <c r="O187" s="162" t="n"/>
      <c r="P187" s="162" t="n"/>
      <c r="Q187" s="320" t="n"/>
      <c r="R187" s="162" t="inlineStr">
        <is>
          <t>CONTROLE PRODUÇÃO POR EMPRESAS!G36</t>
        </is>
      </c>
    </row>
    <row r="188" hidden="1" ht="28.5" customHeight="1">
      <c r="A188" s="317" t="n">
        <v>46254</v>
      </c>
      <c r="B188" t="inlineStr">
        <is>
          <t>GERAL</t>
        </is>
      </c>
      <c r="C188" t="inlineStr">
        <is>
          <t>EJ</t>
        </is>
      </c>
      <c r="D188" t="inlineStr">
        <is>
          <t>PREMONTAGEM</t>
        </is>
      </c>
      <c r="F188" s="159">
        <f>IFERROR(INDEX('BASE METAS DIÁRIAS'!$N$2:$S$358,MATCH($A188,'BASE METAS DIÁRIAS'!$A$2:$A$358,0),MOD(ROW()-2,6)+1),"")</f>
        <v/>
      </c>
      <c r="G188" s="159">
        <f>IFERROR(IF(WEEKDAY($A188,2)&lt;=INDEX('BASE METAS DIÁRIAS'!$H$2:$M$358,MATCH($A188,'BASE METAS DIÁRIAS'!$A$2:$A$358,0),MOD(ROW()-2,6)+1),INDEX('BASE METAS DIÁRIAS'!$B$2:$G$358,MATCH($A188,'BASE METAS DIÁRIAS'!$A$2:$A$358,0),MOD(ROW()-2,6)+1),""),"")</f>
        <v/>
      </c>
      <c r="H188" s="159">
        <f>IFERROR(IF(INDEX('CONTROLE PRODUÇÃO POR EMPRESAS'!$B$6:$G$5000,MATCH($A188,'CONTROLE PRODUÇÃO POR EMPRESAS'!$A$6:$A$5000,0),MOD(ROW()-2,6)+1)="","",IFERROR(1*INDEX('CONTROLE PRODUÇÃO POR EMPRESAS'!$B$6:$G$5000,MATCH($A188,'CONTROLE PRODUÇÃO POR EMPRESAS'!$A$6:$A$5000,0),MOD(ROW()-2,6)+1),"")),"")</f>
        <v/>
      </c>
      <c r="I188" s="159">
        <f>IF(OR(NOT(ISNUMBER(G188)),NOT(ISNUMBER(H188))),"",H188-G188)</f>
        <v/>
      </c>
      <c r="J188" s="319">
        <f>IF(OR(NOT(ISNUMBER(G188)),NOT(ISNUMBER(H188)),G188=0),"",I188/G188)</f>
        <v/>
      </c>
      <c r="K188" s="319">
        <f>IF(OR(NOT(ISNUMBER(G188)),NOT(ISNUMBER(H188)),G188=0),"",H188/G188)</f>
        <v/>
      </c>
      <c r="L188">
        <f>IF(NOT(ISNUMBER(G188)),"SEM META",IF(G188=0,"SEM META",IF(NOT(ISNUMBER(H188)),"SEM APONTAMENTO",IF(H188&gt;=G188,"VERDE",IF(H188&gt;=G188*0.9,"AMARELO","VERMELHO")))))</f>
        <v/>
      </c>
      <c r="M188" s="162" t="n"/>
      <c r="N188" s="162" t="n"/>
      <c r="O188" s="162" t="n"/>
      <c r="P188" s="162" t="n"/>
      <c r="Q188" s="320" t="n"/>
      <c r="R188" s="162" t="inlineStr">
        <is>
          <t>CONTROLE PRODUÇÃO POR EMPRESAS!B37</t>
        </is>
      </c>
    </row>
    <row r="189" hidden="1" ht="28.5" customHeight="1">
      <c r="A189" s="317" t="n">
        <v>46254</v>
      </c>
      <c r="B189" t="inlineStr">
        <is>
          <t>GERAL</t>
        </is>
      </c>
      <c r="C189" t="inlineStr">
        <is>
          <t>EJ</t>
        </is>
      </c>
      <c r="D189" t="inlineStr">
        <is>
          <t>IÇAMENTO JOIST</t>
        </is>
      </c>
      <c r="F189" s="159">
        <f>IFERROR(INDEX('BASE METAS DIÁRIAS'!$N$2:$S$358,MATCH($A189,'BASE METAS DIÁRIAS'!$A$2:$A$358,0),MOD(ROW()-2,6)+1),"")</f>
        <v/>
      </c>
      <c r="G189" s="159">
        <f>IFERROR(IF(WEEKDAY($A189,2)&lt;=INDEX('BASE METAS DIÁRIAS'!$H$2:$M$358,MATCH($A189,'BASE METAS DIÁRIAS'!$A$2:$A$358,0),MOD(ROW()-2,6)+1),INDEX('BASE METAS DIÁRIAS'!$B$2:$G$358,MATCH($A189,'BASE METAS DIÁRIAS'!$A$2:$A$358,0),MOD(ROW()-2,6)+1),""),"")</f>
        <v/>
      </c>
      <c r="H189" s="159">
        <f>IFERROR(IF(INDEX('CONTROLE PRODUÇÃO POR EMPRESAS'!$B$6:$G$5000,MATCH($A189,'CONTROLE PRODUÇÃO POR EMPRESAS'!$A$6:$A$5000,0),MOD(ROW()-2,6)+1)="","",IFERROR(1*INDEX('CONTROLE PRODUÇÃO POR EMPRESAS'!$B$6:$G$5000,MATCH($A189,'CONTROLE PRODUÇÃO POR EMPRESAS'!$A$6:$A$5000,0),MOD(ROW()-2,6)+1),"")),"")</f>
        <v/>
      </c>
      <c r="I189" s="159">
        <f>IF(OR(NOT(ISNUMBER(G189)),NOT(ISNUMBER(H189))),"",H189-G189)</f>
        <v/>
      </c>
      <c r="J189" s="319">
        <f>IF(OR(NOT(ISNUMBER(G189)),NOT(ISNUMBER(H189)),G189=0),"",I189/G189)</f>
        <v/>
      </c>
      <c r="K189" s="319">
        <f>IF(OR(NOT(ISNUMBER(G189)),NOT(ISNUMBER(H189)),G189=0),"",H189/G189)</f>
        <v/>
      </c>
      <c r="L189">
        <f>IF(NOT(ISNUMBER(G189)),"SEM META",IF(G189=0,"SEM META",IF(NOT(ISNUMBER(H189)),"SEM APONTAMENTO",IF(H189&gt;=G189,"VERDE",IF(H189&gt;=G189*0.9,"AMARELO","VERMELHO")))))</f>
        <v/>
      </c>
      <c r="M189" s="162" t="n"/>
      <c r="N189" s="162" t="n"/>
      <c r="O189" s="162" t="n"/>
      <c r="P189" s="162" t="n"/>
      <c r="Q189" s="320" t="n"/>
      <c r="R189" s="162" t="inlineStr">
        <is>
          <t>CONTROLE PRODUÇÃO POR EMPRESAS!C37</t>
        </is>
      </c>
    </row>
    <row r="190" hidden="1" ht="28.5" customHeight="1">
      <c r="A190" s="317" t="n">
        <v>46254</v>
      </c>
      <c r="B190" t="inlineStr">
        <is>
          <t>GERAL</t>
        </is>
      </c>
      <c r="C190" t="inlineStr">
        <is>
          <t>EJ</t>
        </is>
      </c>
      <c r="D190" t="inlineStr">
        <is>
          <t>VIGAS</t>
        </is>
      </c>
      <c r="F190" s="159">
        <f>IFERROR(INDEX('BASE METAS DIÁRIAS'!$N$2:$S$358,MATCH($A190,'BASE METAS DIÁRIAS'!$A$2:$A$358,0),MOD(ROW()-2,6)+1),"")</f>
        <v/>
      </c>
      <c r="G190" s="159">
        <f>IFERROR(IF(WEEKDAY($A190,2)&lt;=INDEX('BASE METAS DIÁRIAS'!$H$2:$M$358,MATCH($A190,'BASE METAS DIÁRIAS'!$A$2:$A$358,0),MOD(ROW()-2,6)+1),INDEX('BASE METAS DIÁRIAS'!$B$2:$G$358,MATCH($A190,'BASE METAS DIÁRIAS'!$A$2:$A$358,0),MOD(ROW()-2,6)+1),""),"")</f>
        <v/>
      </c>
      <c r="H190" s="159">
        <f>IFERROR(IF(INDEX('CONTROLE PRODUÇÃO POR EMPRESAS'!$B$6:$G$5000,MATCH($A190,'CONTROLE PRODUÇÃO POR EMPRESAS'!$A$6:$A$5000,0),MOD(ROW()-2,6)+1)="","",IFERROR(1*INDEX('CONTROLE PRODUÇÃO POR EMPRESAS'!$B$6:$G$5000,MATCH($A190,'CONTROLE PRODUÇÃO POR EMPRESAS'!$A$6:$A$5000,0),MOD(ROW()-2,6)+1),"")),"")</f>
        <v/>
      </c>
      <c r="I190" s="159">
        <f>IF(OR(NOT(ISNUMBER(G190)),NOT(ISNUMBER(H190))),"",H190-G190)</f>
        <v/>
      </c>
      <c r="J190" s="319">
        <f>IF(OR(NOT(ISNUMBER(G190)),NOT(ISNUMBER(H190)),G190=0),"",I190/G190)</f>
        <v/>
      </c>
      <c r="K190" s="319">
        <f>IF(OR(NOT(ISNUMBER(G190)),NOT(ISNUMBER(H190)),G190=0),"",H190/G190)</f>
        <v/>
      </c>
      <c r="L190">
        <f>IF(NOT(ISNUMBER(G190)),"SEM META",IF(G190=0,"SEM META",IF(NOT(ISNUMBER(H190)),"SEM APONTAMENTO",IF(H190&gt;=G190,"VERDE",IF(H190&gt;=G190*0.9,"AMARELO","VERMELHO")))))</f>
        <v/>
      </c>
      <c r="M190" s="162" t="n"/>
      <c r="N190" s="162" t="n"/>
      <c r="O190" s="162" t="n"/>
      <c r="P190" s="162" t="n"/>
      <c r="Q190" s="320" t="n"/>
      <c r="R190" s="162" t="inlineStr">
        <is>
          <t>CONTROLE PRODUÇÃO POR EMPRESAS!D37</t>
        </is>
      </c>
    </row>
    <row r="191" hidden="1" ht="28.5" customHeight="1">
      <c r="A191" s="317" t="n">
        <v>46254</v>
      </c>
      <c r="B191" t="inlineStr">
        <is>
          <t>GERAL</t>
        </is>
      </c>
      <c r="C191" t="inlineStr">
        <is>
          <t>CMM</t>
        </is>
      </c>
      <c r="D191" t="inlineStr">
        <is>
          <t>PREMONTAGEM</t>
        </is>
      </c>
      <c r="F191" s="159">
        <f>IFERROR(INDEX('BASE METAS DIÁRIAS'!$N$2:$S$358,MATCH($A191,'BASE METAS DIÁRIAS'!$A$2:$A$358,0),MOD(ROW()-2,6)+1),"")</f>
        <v/>
      </c>
      <c r="G191" s="159">
        <f>IFERROR(IF(WEEKDAY($A191,2)&lt;=INDEX('BASE METAS DIÁRIAS'!$H$2:$M$358,MATCH($A191,'BASE METAS DIÁRIAS'!$A$2:$A$358,0),MOD(ROW()-2,6)+1),INDEX('BASE METAS DIÁRIAS'!$B$2:$G$358,MATCH($A191,'BASE METAS DIÁRIAS'!$A$2:$A$358,0),MOD(ROW()-2,6)+1),""),"")</f>
        <v/>
      </c>
      <c r="H191" s="159">
        <f>IFERROR(IF(INDEX('CONTROLE PRODUÇÃO POR EMPRESAS'!$B$6:$G$5000,MATCH($A191,'CONTROLE PRODUÇÃO POR EMPRESAS'!$A$6:$A$5000,0),MOD(ROW()-2,6)+1)="","",IFERROR(1*INDEX('CONTROLE PRODUÇÃO POR EMPRESAS'!$B$6:$G$5000,MATCH($A191,'CONTROLE PRODUÇÃO POR EMPRESAS'!$A$6:$A$5000,0),MOD(ROW()-2,6)+1),"")),"")</f>
        <v/>
      </c>
      <c r="I191" s="159">
        <f>IF(OR(NOT(ISNUMBER(G191)),NOT(ISNUMBER(H191))),"",H191-G191)</f>
        <v/>
      </c>
      <c r="J191" s="319">
        <f>IF(OR(NOT(ISNUMBER(G191)),NOT(ISNUMBER(H191)),G191=0),"",I191/G191)</f>
        <v/>
      </c>
      <c r="K191" s="319">
        <f>IF(OR(NOT(ISNUMBER(G191)),NOT(ISNUMBER(H191)),G191=0),"",H191/G191)</f>
        <v/>
      </c>
      <c r="L191">
        <f>IF(NOT(ISNUMBER(G191)),"SEM META",IF(G191=0,"SEM META",IF(NOT(ISNUMBER(H191)),"SEM APONTAMENTO",IF(H191&gt;=G191,"VERDE",IF(H191&gt;=G191*0.9,"AMARELO","VERMELHO")))))</f>
        <v/>
      </c>
      <c r="M191" s="162" t="n"/>
      <c r="N191" s="162" t="n"/>
      <c r="O191" s="162" t="n"/>
      <c r="P191" s="162" t="n"/>
      <c r="Q191" s="320" t="n"/>
      <c r="R191" s="162" t="inlineStr">
        <is>
          <t>CONTROLE PRODUÇÃO POR EMPRESAS!E37</t>
        </is>
      </c>
    </row>
    <row r="192" hidden="1" ht="28.5" customHeight="1">
      <c r="A192" s="317" t="n">
        <v>46254</v>
      </c>
      <c r="B192" t="inlineStr">
        <is>
          <t>GERAL</t>
        </is>
      </c>
      <c r="C192" t="inlineStr">
        <is>
          <t>CMM</t>
        </is>
      </c>
      <c r="D192" t="inlineStr">
        <is>
          <t>IÇAMENTO JOIST</t>
        </is>
      </c>
      <c r="F192" s="159">
        <f>IFERROR(INDEX('BASE METAS DIÁRIAS'!$N$2:$S$358,MATCH($A192,'BASE METAS DIÁRIAS'!$A$2:$A$358,0),MOD(ROW()-2,6)+1),"")</f>
        <v/>
      </c>
      <c r="G192" s="159">
        <f>IFERROR(IF(WEEKDAY($A192,2)&lt;=INDEX('BASE METAS DIÁRIAS'!$H$2:$M$358,MATCH($A192,'BASE METAS DIÁRIAS'!$A$2:$A$358,0),MOD(ROW()-2,6)+1),INDEX('BASE METAS DIÁRIAS'!$B$2:$G$358,MATCH($A192,'BASE METAS DIÁRIAS'!$A$2:$A$358,0),MOD(ROW()-2,6)+1),""),"")</f>
        <v/>
      </c>
      <c r="H192" s="159">
        <f>IFERROR(IF(INDEX('CONTROLE PRODUÇÃO POR EMPRESAS'!$B$6:$G$5000,MATCH($A192,'CONTROLE PRODUÇÃO POR EMPRESAS'!$A$6:$A$5000,0),MOD(ROW()-2,6)+1)="","",IFERROR(1*INDEX('CONTROLE PRODUÇÃO POR EMPRESAS'!$B$6:$G$5000,MATCH($A192,'CONTROLE PRODUÇÃO POR EMPRESAS'!$A$6:$A$5000,0),MOD(ROW()-2,6)+1),"")),"")</f>
        <v/>
      </c>
      <c r="I192" s="159">
        <f>IF(OR(NOT(ISNUMBER(G192)),NOT(ISNUMBER(H192))),"",H192-G192)</f>
        <v/>
      </c>
      <c r="J192" s="319">
        <f>IF(OR(NOT(ISNUMBER(G192)),NOT(ISNUMBER(H192)),G192=0),"",I192/G192)</f>
        <v/>
      </c>
      <c r="K192" s="319">
        <f>IF(OR(NOT(ISNUMBER(G192)),NOT(ISNUMBER(H192)),G192=0),"",H192/G192)</f>
        <v/>
      </c>
      <c r="L192">
        <f>IF(NOT(ISNUMBER(G192)),"SEM META",IF(G192=0,"SEM META",IF(NOT(ISNUMBER(H192)),"SEM APONTAMENTO",IF(H192&gt;=G192,"VERDE",IF(H192&gt;=G192*0.9,"AMARELO","VERMELHO")))))</f>
        <v/>
      </c>
      <c r="M192" s="162" t="n"/>
      <c r="N192" s="162" t="n"/>
      <c r="O192" s="162" t="n"/>
      <c r="P192" s="162" t="n"/>
      <c r="Q192" s="320" t="n"/>
      <c r="R192" s="162" t="inlineStr">
        <is>
          <t>CONTROLE PRODUÇÃO POR EMPRESAS!F37</t>
        </is>
      </c>
    </row>
    <row r="193" hidden="1" ht="28.5" customHeight="1">
      <c r="A193" s="317" t="n">
        <v>46254</v>
      </c>
      <c r="B193" t="inlineStr">
        <is>
          <t>GERAL</t>
        </is>
      </c>
      <c r="C193" t="inlineStr">
        <is>
          <t>CMM</t>
        </is>
      </c>
      <c r="D193" t="inlineStr">
        <is>
          <t>VIGAS</t>
        </is>
      </c>
      <c r="F193" s="159">
        <f>IFERROR(INDEX('BASE METAS DIÁRIAS'!$N$2:$S$358,MATCH($A193,'BASE METAS DIÁRIAS'!$A$2:$A$358,0),MOD(ROW()-2,6)+1),"")</f>
        <v/>
      </c>
      <c r="G193" s="159">
        <f>IFERROR(IF(WEEKDAY($A193,2)&lt;=INDEX('BASE METAS DIÁRIAS'!$H$2:$M$358,MATCH($A193,'BASE METAS DIÁRIAS'!$A$2:$A$358,0),MOD(ROW()-2,6)+1),INDEX('BASE METAS DIÁRIAS'!$B$2:$G$358,MATCH($A193,'BASE METAS DIÁRIAS'!$A$2:$A$358,0),MOD(ROW()-2,6)+1),""),"")</f>
        <v/>
      </c>
      <c r="H193" s="159">
        <f>IFERROR(IF(INDEX('CONTROLE PRODUÇÃO POR EMPRESAS'!$B$6:$G$5000,MATCH($A193,'CONTROLE PRODUÇÃO POR EMPRESAS'!$A$6:$A$5000,0),MOD(ROW()-2,6)+1)="","",IFERROR(1*INDEX('CONTROLE PRODUÇÃO POR EMPRESAS'!$B$6:$G$5000,MATCH($A193,'CONTROLE PRODUÇÃO POR EMPRESAS'!$A$6:$A$5000,0),MOD(ROW()-2,6)+1),"")),"")</f>
        <v/>
      </c>
      <c r="I193" s="159">
        <f>IF(OR(NOT(ISNUMBER(G193)),NOT(ISNUMBER(H193))),"",H193-G193)</f>
        <v/>
      </c>
      <c r="J193" s="319">
        <f>IF(OR(NOT(ISNUMBER(G193)),NOT(ISNUMBER(H193)),G193=0),"",I193/G193)</f>
        <v/>
      </c>
      <c r="K193" s="319">
        <f>IF(OR(NOT(ISNUMBER(G193)),NOT(ISNUMBER(H193)),G193=0),"",H193/G193)</f>
        <v/>
      </c>
      <c r="L193">
        <f>IF(NOT(ISNUMBER(G193)),"SEM META",IF(G193=0,"SEM META",IF(NOT(ISNUMBER(H193)),"SEM APONTAMENTO",IF(H193&gt;=G193,"VERDE",IF(H193&gt;=G193*0.9,"AMARELO","VERMELHO")))))</f>
        <v/>
      </c>
      <c r="M193" s="162" t="n"/>
      <c r="N193" s="162" t="n"/>
      <c r="O193" s="162" t="n"/>
      <c r="P193" s="162" t="n"/>
      <c r="Q193" s="320" t="n"/>
      <c r="R193" s="162" t="inlineStr">
        <is>
          <t>CONTROLE PRODUÇÃO POR EMPRESAS!G37</t>
        </is>
      </c>
    </row>
    <row r="194" hidden="1" ht="28.5" customHeight="1">
      <c r="A194" s="317" t="n">
        <v>46255</v>
      </c>
      <c r="B194" t="inlineStr">
        <is>
          <t>GERAL</t>
        </is>
      </c>
      <c r="C194" t="inlineStr">
        <is>
          <t>EJ</t>
        </is>
      </c>
      <c r="D194" t="inlineStr">
        <is>
          <t>PREMONTAGEM</t>
        </is>
      </c>
      <c r="F194" s="159">
        <f>IFERROR(INDEX('BASE METAS DIÁRIAS'!$N$2:$S$358,MATCH($A194,'BASE METAS DIÁRIAS'!$A$2:$A$358,0),MOD(ROW()-2,6)+1),"")</f>
        <v/>
      </c>
      <c r="G194" s="159">
        <f>IFERROR(IF(WEEKDAY($A194,2)&lt;=INDEX('BASE METAS DIÁRIAS'!$H$2:$M$358,MATCH($A194,'BASE METAS DIÁRIAS'!$A$2:$A$358,0),MOD(ROW()-2,6)+1),INDEX('BASE METAS DIÁRIAS'!$B$2:$G$358,MATCH($A194,'BASE METAS DIÁRIAS'!$A$2:$A$358,0),MOD(ROW()-2,6)+1),""),"")</f>
        <v/>
      </c>
      <c r="H194" s="159">
        <f>IFERROR(IF(INDEX('CONTROLE PRODUÇÃO POR EMPRESAS'!$B$6:$G$5000,MATCH($A194,'CONTROLE PRODUÇÃO POR EMPRESAS'!$A$6:$A$5000,0),MOD(ROW()-2,6)+1)="","",IFERROR(1*INDEX('CONTROLE PRODUÇÃO POR EMPRESAS'!$B$6:$G$5000,MATCH($A194,'CONTROLE PRODUÇÃO POR EMPRESAS'!$A$6:$A$5000,0),MOD(ROW()-2,6)+1),"")),"")</f>
        <v/>
      </c>
      <c r="I194" s="159">
        <f>IF(OR(NOT(ISNUMBER(G194)),NOT(ISNUMBER(H194))),"",H194-G194)</f>
        <v/>
      </c>
      <c r="J194" s="319">
        <f>IF(OR(NOT(ISNUMBER(G194)),NOT(ISNUMBER(H194)),G194=0),"",I194/G194)</f>
        <v/>
      </c>
      <c r="K194" s="319">
        <f>IF(OR(NOT(ISNUMBER(G194)),NOT(ISNUMBER(H194)),G194=0),"",H194/G194)</f>
        <v/>
      </c>
      <c r="L194">
        <f>IF(NOT(ISNUMBER(G194)),"SEM META",IF(G194=0,"SEM META",IF(NOT(ISNUMBER(H194)),"SEM APONTAMENTO",IF(H194&gt;=G194,"VERDE",IF(H194&gt;=G194*0.9,"AMARELO","VERMELHO")))))</f>
        <v/>
      </c>
      <c r="M194" s="162" t="n"/>
      <c r="N194" s="162" t="n"/>
      <c r="O194" s="162" t="n"/>
      <c r="P194" s="162" t="n"/>
      <c r="Q194" s="320" t="n"/>
      <c r="R194" s="162" t="inlineStr">
        <is>
          <t>CONTROLE PRODUÇÃO POR EMPRESAS!B38</t>
        </is>
      </c>
    </row>
    <row r="195" hidden="1" ht="28.5" customHeight="1">
      <c r="A195" s="317" t="n">
        <v>46255</v>
      </c>
      <c r="B195" t="inlineStr">
        <is>
          <t>GERAL</t>
        </is>
      </c>
      <c r="C195" t="inlineStr">
        <is>
          <t>EJ</t>
        </is>
      </c>
      <c r="D195" t="inlineStr">
        <is>
          <t>IÇAMENTO JOIST</t>
        </is>
      </c>
      <c r="F195" s="159">
        <f>IFERROR(INDEX('BASE METAS DIÁRIAS'!$N$2:$S$358,MATCH($A195,'BASE METAS DIÁRIAS'!$A$2:$A$358,0),MOD(ROW()-2,6)+1),"")</f>
        <v/>
      </c>
      <c r="G195" s="159">
        <f>IFERROR(IF(WEEKDAY($A195,2)&lt;=INDEX('BASE METAS DIÁRIAS'!$H$2:$M$358,MATCH($A195,'BASE METAS DIÁRIAS'!$A$2:$A$358,0),MOD(ROW()-2,6)+1),INDEX('BASE METAS DIÁRIAS'!$B$2:$G$358,MATCH($A195,'BASE METAS DIÁRIAS'!$A$2:$A$358,0),MOD(ROW()-2,6)+1),""),"")</f>
        <v/>
      </c>
      <c r="H195" s="159">
        <f>IFERROR(IF(INDEX('CONTROLE PRODUÇÃO POR EMPRESAS'!$B$6:$G$5000,MATCH($A195,'CONTROLE PRODUÇÃO POR EMPRESAS'!$A$6:$A$5000,0),MOD(ROW()-2,6)+1)="","",IFERROR(1*INDEX('CONTROLE PRODUÇÃO POR EMPRESAS'!$B$6:$G$5000,MATCH($A195,'CONTROLE PRODUÇÃO POR EMPRESAS'!$A$6:$A$5000,0),MOD(ROW()-2,6)+1),"")),"")</f>
        <v/>
      </c>
      <c r="I195" s="159">
        <f>IF(OR(NOT(ISNUMBER(G195)),NOT(ISNUMBER(H195))),"",H195-G195)</f>
        <v/>
      </c>
      <c r="J195" s="319">
        <f>IF(OR(NOT(ISNUMBER(G195)),NOT(ISNUMBER(H195)),G195=0),"",I195/G195)</f>
        <v/>
      </c>
      <c r="K195" s="319">
        <f>IF(OR(NOT(ISNUMBER(G195)),NOT(ISNUMBER(H195)),G195=0),"",H195/G195)</f>
        <v/>
      </c>
      <c r="L195">
        <f>IF(NOT(ISNUMBER(G195)),"SEM META",IF(G195=0,"SEM META",IF(NOT(ISNUMBER(H195)),"SEM APONTAMENTO",IF(H195&gt;=G195,"VERDE",IF(H195&gt;=G195*0.9,"AMARELO","VERMELHO")))))</f>
        <v/>
      </c>
      <c r="M195" s="162" t="n"/>
      <c r="N195" s="162" t="n"/>
      <c r="O195" s="162" t="n"/>
      <c r="P195" s="162" t="n"/>
      <c r="Q195" s="320" t="n"/>
      <c r="R195" s="162" t="inlineStr">
        <is>
          <t>CONTROLE PRODUÇÃO POR EMPRESAS!C38</t>
        </is>
      </c>
    </row>
    <row r="196" hidden="1" ht="28.5" customHeight="1">
      <c r="A196" s="317" t="n">
        <v>46255</v>
      </c>
      <c r="B196" t="inlineStr">
        <is>
          <t>GERAL</t>
        </is>
      </c>
      <c r="C196" t="inlineStr">
        <is>
          <t>EJ</t>
        </is>
      </c>
      <c r="D196" t="inlineStr">
        <is>
          <t>VIGAS</t>
        </is>
      </c>
      <c r="F196" s="159">
        <f>IFERROR(INDEX('BASE METAS DIÁRIAS'!$N$2:$S$358,MATCH($A196,'BASE METAS DIÁRIAS'!$A$2:$A$358,0),MOD(ROW()-2,6)+1),"")</f>
        <v/>
      </c>
      <c r="G196" s="159">
        <f>IFERROR(IF(WEEKDAY($A196,2)&lt;=INDEX('BASE METAS DIÁRIAS'!$H$2:$M$358,MATCH($A196,'BASE METAS DIÁRIAS'!$A$2:$A$358,0),MOD(ROW()-2,6)+1),INDEX('BASE METAS DIÁRIAS'!$B$2:$G$358,MATCH($A196,'BASE METAS DIÁRIAS'!$A$2:$A$358,0),MOD(ROW()-2,6)+1),""),"")</f>
        <v/>
      </c>
      <c r="H196" s="159">
        <f>IFERROR(IF(INDEX('CONTROLE PRODUÇÃO POR EMPRESAS'!$B$6:$G$5000,MATCH($A196,'CONTROLE PRODUÇÃO POR EMPRESAS'!$A$6:$A$5000,0),MOD(ROW()-2,6)+1)="","",IFERROR(1*INDEX('CONTROLE PRODUÇÃO POR EMPRESAS'!$B$6:$G$5000,MATCH($A196,'CONTROLE PRODUÇÃO POR EMPRESAS'!$A$6:$A$5000,0),MOD(ROW()-2,6)+1),"")),"")</f>
        <v/>
      </c>
      <c r="I196" s="159">
        <f>IF(OR(NOT(ISNUMBER(G196)),NOT(ISNUMBER(H196))),"",H196-G196)</f>
        <v/>
      </c>
      <c r="J196" s="319">
        <f>IF(OR(NOT(ISNUMBER(G196)),NOT(ISNUMBER(H196)),G196=0),"",I196/G196)</f>
        <v/>
      </c>
      <c r="K196" s="319">
        <f>IF(OR(NOT(ISNUMBER(G196)),NOT(ISNUMBER(H196)),G196=0),"",H196/G196)</f>
        <v/>
      </c>
      <c r="L196">
        <f>IF(NOT(ISNUMBER(G196)),"SEM META",IF(G196=0,"SEM META",IF(NOT(ISNUMBER(H196)),"SEM APONTAMENTO",IF(H196&gt;=G196,"VERDE",IF(H196&gt;=G196*0.9,"AMARELO","VERMELHO")))))</f>
        <v/>
      </c>
      <c r="M196" s="162" t="n"/>
      <c r="N196" s="162" t="n"/>
      <c r="O196" s="162" t="n"/>
      <c r="P196" s="162" t="n"/>
      <c r="Q196" s="320" t="n"/>
      <c r="R196" s="162" t="inlineStr">
        <is>
          <t>CONTROLE PRODUÇÃO POR EMPRESAS!D38</t>
        </is>
      </c>
    </row>
    <row r="197" hidden="1" ht="28.5" customHeight="1">
      <c r="A197" s="317" t="n">
        <v>46255</v>
      </c>
      <c r="B197" t="inlineStr">
        <is>
          <t>GERAL</t>
        </is>
      </c>
      <c r="C197" t="inlineStr">
        <is>
          <t>CMM</t>
        </is>
      </c>
      <c r="D197" t="inlineStr">
        <is>
          <t>PREMONTAGEM</t>
        </is>
      </c>
      <c r="F197" s="159">
        <f>IFERROR(INDEX('BASE METAS DIÁRIAS'!$N$2:$S$358,MATCH($A197,'BASE METAS DIÁRIAS'!$A$2:$A$358,0),MOD(ROW()-2,6)+1),"")</f>
        <v/>
      </c>
      <c r="G197" s="159">
        <f>IFERROR(IF(WEEKDAY($A197,2)&lt;=INDEX('BASE METAS DIÁRIAS'!$H$2:$M$358,MATCH($A197,'BASE METAS DIÁRIAS'!$A$2:$A$358,0),MOD(ROW()-2,6)+1),INDEX('BASE METAS DIÁRIAS'!$B$2:$G$358,MATCH($A197,'BASE METAS DIÁRIAS'!$A$2:$A$358,0),MOD(ROW()-2,6)+1),""),"")</f>
        <v/>
      </c>
      <c r="H197" s="159">
        <f>IFERROR(IF(INDEX('CONTROLE PRODUÇÃO POR EMPRESAS'!$B$6:$G$5000,MATCH($A197,'CONTROLE PRODUÇÃO POR EMPRESAS'!$A$6:$A$5000,0),MOD(ROW()-2,6)+1)="","",IFERROR(1*INDEX('CONTROLE PRODUÇÃO POR EMPRESAS'!$B$6:$G$5000,MATCH($A197,'CONTROLE PRODUÇÃO POR EMPRESAS'!$A$6:$A$5000,0),MOD(ROW()-2,6)+1),"")),"")</f>
        <v/>
      </c>
      <c r="I197" s="159">
        <f>IF(OR(NOT(ISNUMBER(G197)),NOT(ISNUMBER(H197))),"",H197-G197)</f>
        <v/>
      </c>
      <c r="J197" s="319">
        <f>IF(OR(NOT(ISNUMBER(G197)),NOT(ISNUMBER(H197)),G197=0),"",I197/G197)</f>
        <v/>
      </c>
      <c r="K197" s="319">
        <f>IF(OR(NOT(ISNUMBER(G197)),NOT(ISNUMBER(H197)),G197=0),"",H197/G197)</f>
        <v/>
      </c>
      <c r="L197">
        <f>IF(NOT(ISNUMBER(G197)),"SEM META",IF(G197=0,"SEM META",IF(NOT(ISNUMBER(H197)),"SEM APONTAMENTO",IF(H197&gt;=G197,"VERDE",IF(H197&gt;=G197*0.9,"AMARELO","VERMELHO")))))</f>
        <v/>
      </c>
      <c r="M197" s="162" t="n"/>
      <c r="N197" s="162" t="n"/>
      <c r="O197" s="162" t="n"/>
      <c r="P197" s="162" t="n"/>
      <c r="Q197" s="320" t="n"/>
      <c r="R197" s="162" t="inlineStr">
        <is>
          <t>CONTROLE PRODUÇÃO POR EMPRESAS!E38</t>
        </is>
      </c>
    </row>
    <row r="198" hidden="1" ht="28.5" customHeight="1">
      <c r="A198" s="317" t="n">
        <v>46255</v>
      </c>
      <c r="B198" t="inlineStr">
        <is>
          <t>GERAL</t>
        </is>
      </c>
      <c r="C198" t="inlineStr">
        <is>
          <t>CMM</t>
        </is>
      </c>
      <c r="D198" t="inlineStr">
        <is>
          <t>IÇAMENTO JOIST</t>
        </is>
      </c>
      <c r="F198" s="159">
        <f>IFERROR(INDEX('BASE METAS DIÁRIAS'!$N$2:$S$358,MATCH($A198,'BASE METAS DIÁRIAS'!$A$2:$A$358,0),MOD(ROW()-2,6)+1),"")</f>
        <v/>
      </c>
      <c r="G198" s="159">
        <f>IFERROR(IF(WEEKDAY($A198,2)&lt;=INDEX('BASE METAS DIÁRIAS'!$H$2:$M$358,MATCH($A198,'BASE METAS DIÁRIAS'!$A$2:$A$358,0),MOD(ROW()-2,6)+1),INDEX('BASE METAS DIÁRIAS'!$B$2:$G$358,MATCH($A198,'BASE METAS DIÁRIAS'!$A$2:$A$358,0),MOD(ROW()-2,6)+1),""),"")</f>
        <v/>
      </c>
      <c r="H198" s="159">
        <f>IFERROR(IF(INDEX('CONTROLE PRODUÇÃO POR EMPRESAS'!$B$6:$G$5000,MATCH($A198,'CONTROLE PRODUÇÃO POR EMPRESAS'!$A$6:$A$5000,0),MOD(ROW()-2,6)+1)="","",IFERROR(1*INDEX('CONTROLE PRODUÇÃO POR EMPRESAS'!$B$6:$G$5000,MATCH($A198,'CONTROLE PRODUÇÃO POR EMPRESAS'!$A$6:$A$5000,0),MOD(ROW()-2,6)+1),"")),"")</f>
        <v/>
      </c>
      <c r="I198" s="159">
        <f>IF(OR(NOT(ISNUMBER(G198)),NOT(ISNUMBER(H198))),"",H198-G198)</f>
        <v/>
      </c>
      <c r="J198" s="319">
        <f>IF(OR(NOT(ISNUMBER(G198)),NOT(ISNUMBER(H198)),G198=0),"",I198/G198)</f>
        <v/>
      </c>
      <c r="K198" s="319">
        <f>IF(OR(NOT(ISNUMBER(G198)),NOT(ISNUMBER(H198)),G198=0),"",H198/G198)</f>
        <v/>
      </c>
      <c r="L198">
        <f>IF(NOT(ISNUMBER(G198)),"SEM META",IF(G198=0,"SEM META",IF(NOT(ISNUMBER(H198)),"SEM APONTAMENTO",IF(H198&gt;=G198,"VERDE",IF(H198&gt;=G198*0.9,"AMARELO","VERMELHO")))))</f>
        <v/>
      </c>
      <c r="M198" s="162" t="n"/>
      <c r="N198" s="162" t="n"/>
      <c r="O198" s="162" t="n"/>
      <c r="P198" s="162" t="n"/>
      <c r="Q198" s="320" t="n"/>
      <c r="R198" s="162" t="inlineStr">
        <is>
          <t>CONTROLE PRODUÇÃO POR EMPRESAS!F38</t>
        </is>
      </c>
    </row>
    <row r="199" hidden="1" ht="28.5" customHeight="1">
      <c r="A199" s="317" t="n">
        <v>46255</v>
      </c>
      <c r="B199" t="inlineStr">
        <is>
          <t>GERAL</t>
        </is>
      </c>
      <c r="C199" t="inlineStr">
        <is>
          <t>CMM</t>
        </is>
      </c>
      <c r="D199" t="inlineStr">
        <is>
          <t>VIGAS</t>
        </is>
      </c>
      <c r="F199" s="159">
        <f>IFERROR(INDEX('BASE METAS DIÁRIAS'!$N$2:$S$358,MATCH($A199,'BASE METAS DIÁRIAS'!$A$2:$A$358,0),MOD(ROW()-2,6)+1),"")</f>
        <v/>
      </c>
      <c r="G199" s="159">
        <f>IFERROR(IF(WEEKDAY($A199,2)&lt;=INDEX('BASE METAS DIÁRIAS'!$H$2:$M$358,MATCH($A199,'BASE METAS DIÁRIAS'!$A$2:$A$358,0),MOD(ROW()-2,6)+1),INDEX('BASE METAS DIÁRIAS'!$B$2:$G$358,MATCH($A199,'BASE METAS DIÁRIAS'!$A$2:$A$358,0),MOD(ROW()-2,6)+1),""),"")</f>
        <v/>
      </c>
      <c r="H199" s="159">
        <f>IFERROR(IF(INDEX('CONTROLE PRODUÇÃO POR EMPRESAS'!$B$6:$G$5000,MATCH($A199,'CONTROLE PRODUÇÃO POR EMPRESAS'!$A$6:$A$5000,0),MOD(ROW()-2,6)+1)="","",IFERROR(1*INDEX('CONTROLE PRODUÇÃO POR EMPRESAS'!$B$6:$G$5000,MATCH($A199,'CONTROLE PRODUÇÃO POR EMPRESAS'!$A$6:$A$5000,0),MOD(ROW()-2,6)+1),"")),"")</f>
        <v/>
      </c>
      <c r="I199" s="159">
        <f>IF(OR(NOT(ISNUMBER(G199)),NOT(ISNUMBER(H199))),"",H199-G199)</f>
        <v/>
      </c>
      <c r="J199" s="319">
        <f>IF(OR(NOT(ISNUMBER(G199)),NOT(ISNUMBER(H199)),G199=0),"",I199/G199)</f>
        <v/>
      </c>
      <c r="K199" s="319">
        <f>IF(OR(NOT(ISNUMBER(G199)),NOT(ISNUMBER(H199)),G199=0),"",H199/G199)</f>
        <v/>
      </c>
      <c r="L199">
        <f>IF(NOT(ISNUMBER(G199)),"SEM META",IF(G199=0,"SEM META",IF(NOT(ISNUMBER(H199)),"SEM APONTAMENTO",IF(H199&gt;=G199,"VERDE",IF(H199&gt;=G199*0.9,"AMARELO","VERMELHO")))))</f>
        <v/>
      </c>
      <c r="M199" s="162" t="n"/>
      <c r="N199" s="162" t="n"/>
      <c r="O199" s="162" t="n"/>
      <c r="P199" s="162" t="n"/>
      <c r="Q199" s="320" t="n"/>
      <c r="R199" s="162" t="inlineStr">
        <is>
          <t>CONTROLE PRODUÇÃO POR EMPRESAS!G38</t>
        </is>
      </c>
    </row>
    <row r="200" hidden="1" ht="28.5" customHeight="1">
      <c r="A200" s="317" t="n">
        <v>46256</v>
      </c>
      <c r="B200" t="inlineStr">
        <is>
          <t>GERAL</t>
        </is>
      </c>
      <c r="C200" t="inlineStr">
        <is>
          <t>EJ</t>
        </is>
      </c>
      <c r="D200" t="inlineStr">
        <is>
          <t>PREMONTAGEM</t>
        </is>
      </c>
      <c r="F200" s="159">
        <f>IFERROR(INDEX('BASE METAS DIÁRIAS'!$N$2:$S$358,MATCH($A200,'BASE METAS DIÁRIAS'!$A$2:$A$358,0),MOD(ROW()-2,6)+1),"")</f>
        <v/>
      </c>
      <c r="G200" s="159">
        <f>IFERROR(IF(WEEKDAY($A200,2)&lt;=INDEX('BASE METAS DIÁRIAS'!$H$2:$M$358,MATCH($A200,'BASE METAS DIÁRIAS'!$A$2:$A$358,0),MOD(ROW()-2,6)+1),INDEX('BASE METAS DIÁRIAS'!$B$2:$G$358,MATCH($A200,'BASE METAS DIÁRIAS'!$A$2:$A$358,0),MOD(ROW()-2,6)+1),""),"")</f>
        <v/>
      </c>
      <c r="H200" s="159">
        <f>IFERROR(IF(INDEX('CONTROLE PRODUÇÃO POR EMPRESAS'!$B$6:$G$5000,MATCH($A200,'CONTROLE PRODUÇÃO POR EMPRESAS'!$A$6:$A$5000,0),MOD(ROW()-2,6)+1)="","",IFERROR(1*INDEX('CONTROLE PRODUÇÃO POR EMPRESAS'!$B$6:$G$5000,MATCH($A200,'CONTROLE PRODUÇÃO POR EMPRESAS'!$A$6:$A$5000,0),MOD(ROW()-2,6)+1),"")),"")</f>
        <v/>
      </c>
      <c r="I200" s="159">
        <f>IF(OR(NOT(ISNUMBER(G200)),NOT(ISNUMBER(H200))),"",H200-G200)</f>
        <v/>
      </c>
      <c r="J200" s="319">
        <f>IF(OR(NOT(ISNUMBER(G200)),NOT(ISNUMBER(H200)),G200=0),"",I200/G200)</f>
        <v/>
      </c>
      <c r="K200" s="319">
        <f>IF(OR(NOT(ISNUMBER(G200)),NOT(ISNUMBER(H200)),G200=0),"",H200/G200)</f>
        <v/>
      </c>
      <c r="L200">
        <f>IF(NOT(ISNUMBER(G200)),"SEM META",IF(G200=0,"SEM META",IF(NOT(ISNUMBER(H200)),"SEM APONTAMENTO",IF(H200&gt;=G200,"VERDE",IF(H200&gt;=G200*0.9,"AMARELO","VERMELHO")))))</f>
        <v/>
      </c>
      <c r="M200" s="162" t="n"/>
      <c r="N200" s="162" t="n"/>
      <c r="O200" s="162" t="n"/>
      <c r="P200" s="162" t="n"/>
      <c r="Q200" s="320" t="n"/>
      <c r="R200" s="162" t="inlineStr">
        <is>
          <t>CONTROLE PRODUÇÃO POR EMPRESAS!B39</t>
        </is>
      </c>
    </row>
    <row r="201" hidden="1" ht="28.5" customHeight="1">
      <c r="A201" s="317" t="n">
        <v>46256</v>
      </c>
      <c r="B201" t="inlineStr">
        <is>
          <t>GERAL</t>
        </is>
      </c>
      <c r="C201" t="inlineStr">
        <is>
          <t>EJ</t>
        </is>
      </c>
      <c r="D201" t="inlineStr">
        <is>
          <t>IÇAMENTO JOIST</t>
        </is>
      </c>
      <c r="F201" s="159">
        <f>IFERROR(INDEX('BASE METAS DIÁRIAS'!$N$2:$S$358,MATCH($A201,'BASE METAS DIÁRIAS'!$A$2:$A$358,0),MOD(ROW()-2,6)+1),"")</f>
        <v/>
      </c>
      <c r="G201" s="159">
        <f>IFERROR(IF(WEEKDAY($A201,2)&lt;=INDEX('BASE METAS DIÁRIAS'!$H$2:$M$358,MATCH($A201,'BASE METAS DIÁRIAS'!$A$2:$A$358,0),MOD(ROW()-2,6)+1),INDEX('BASE METAS DIÁRIAS'!$B$2:$G$358,MATCH($A201,'BASE METAS DIÁRIAS'!$A$2:$A$358,0),MOD(ROW()-2,6)+1),""),"")</f>
        <v/>
      </c>
      <c r="H201" s="159">
        <f>IFERROR(IF(INDEX('CONTROLE PRODUÇÃO POR EMPRESAS'!$B$6:$G$5000,MATCH($A201,'CONTROLE PRODUÇÃO POR EMPRESAS'!$A$6:$A$5000,0),MOD(ROW()-2,6)+1)="","",IFERROR(1*INDEX('CONTROLE PRODUÇÃO POR EMPRESAS'!$B$6:$G$5000,MATCH($A201,'CONTROLE PRODUÇÃO POR EMPRESAS'!$A$6:$A$5000,0),MOD(ROW()-2,6)+1),"")),"")</f>
        <v/>
      </c>
      <c r="I201" s="159">
        <f>IF(OR(NOT(ISNUMBER(G201)),NOT(ISNUMBER(H201))),"",H201-G201)</f>
        <v/>
      </c>
      <c r="J201" s="319">
        <f>IF(OR(NOT(ISNUMBER(G201)),NOT(ISNUMBER(H201)),G201=0),"",I201/G201)</f>
        <v/>
      </c>
      <c r="K201" s="319">
        <f>IF(OR(NOT(ISNUMBER(G201)),NOT(ISNUMBER(H201)),G201=0),"",H201/G201)</f>
        <v/>
      </c>
      <c r="L201">
        <f>IF(NOT(ISNUMBER(G201)),"SEM META",IF(G201=0,"SEM META",IF(NOT(ISNUMBER(H201)),"SEM APONTAMENTO",IF(H201&gt;=G201,"VERDE",IF(H201&gt;=G201*0.9,"AMARELO","VERMELHO")))))</f>
        <v/>
      </c>
      <c r="M201" s="162" t="n"/>
      <c r="N201" s="162" t="n"/>
      <c r="O201" s="162" t="n"/>
      <c r="P201" s="162" t="n"/>
      <c r="Q201" s="320" t="n"/>
      <c r="R201" s="162" t="inlineStr">
        <is>
          <t>CONTROLE PRODUÇÃO POR EMPRESAS!C39</t>
        </is>
      </c>
    </row>
    <row r="202" hidden="1" ht="28.5" customHeight="1">
      <c r="A202" s="317" t="n">
        <v>46256</v>
      </c>
      <c r="B202" t="inlineStr">
        <is>
          <t>GERAL</t>
        </is>
      </c>
      <c r="C202" t="inlineStr">
        <is>
          <t>EJ</t>
        </is>
      </c>
      <c r="D202" t="inlineStr">
        <is>
          <t>VIGAS</t>
        </is>
      </c>
      <c r="F202" s="159">
        <f>IFERROR(INDEX('BASE METAS DIÁRIAS'!$N$2:$S$358,MATCH($A202,'BASE METAS DIÁRIAS'!$A$2:$A$358,0),MOD(ROW()-2,6)+1),"")</f>
        <v/>
      </c>
      <c r="G202" s="159">
        <f>IFERROR(IF(WEEKDAY($A202,2)&lt;=INDEX('BASE METAS DIÁRIAS'!$H$2:$M$358,MATCH($A202,'BASE METAS DIÁRIAS'!$A$2:$A$358,0),MOD(ROW()-2,6)+1),INDEX('BASE METAS DIÁRIAS'!$B$2:$G$358,MATCH($A202,'BASE METAS DIÁRIAS'!$A$2:$A$358,0),MOD(ROW()-2,6)+1),""),"")</f>
        <v/>
      </c>
      <c r="H202" s="159">
        <f>IFERROR(IF(INDEX('CONTROLE PRODUÇÃO POR EMPRESAS'!$B$6:$G$5000,MATCH($A202,'CONTROLE PRODUÇÃO POR EMPRESAS'!$A$6:$A$5000,0),MOD(ROW()-2,6)+1)="","",IFERROR(1*INDEX('CONTROLE PRODUÇÃO POR EMPRESAS'!$B$6:$G$5000,MATCH($A202,'CONTROLE PRODUÇÃO POR EMPRESAS'!$A$6:$A$5000,0),MOD(ROW()-2,6)+1),"")),"")</f>
        <v/>
      </c>
      <c r="I202" s="159">
        <f>IF(OR(NOT(ISNUMBER(G202)),NOT(ISNUMBER(H202))),"",H202-G202)</f>
        <v/>
      </c>
      <c r="J202" s="319">
        <f>IF(OR(NOT(ISNUMBER(G202)),NOT(ISNUMBER(H202)),G202=0),"",I202/G202)</f>
        <v/>
      </c>
      <c r="K202" s="319">
        <f>IF(OR(NOT(ISNUMBER(G202)),NOT(ISNUMBER(H202)),G202=0),"",H202/G202)</f>
        <v/>
      </c>
      <c r="L202">
        <f>IF(NOT(ISNUMBER(G202)),"SEM META",IF(G202=0,"SEM META",IF(NOT(ISNUMBER(H202)),"SEM APONTAMENTO",IF(H202&gt;=G202,"VERDE",IF(H202&gt;=G202*0.9,"AMARELO","VERMELHO")))))</f>
        <v/>
      </c>
      <c r="M202" s="162" t="n"/>
      <c r="N202" s="162" t="n"/>
      <c r="O202" s="162" t="n"/>
      <c r="P202" s="162" t="n"/>
      <c r="Q202" s="320" t="n"/>
      <c r="R202" s="162" t="inlineStr">
        <is>
          <t>CONTROLE PRODUÇÃO POR EMPRESAS!D39</t>
        </is>
      </c>
    </row>
    <row r="203" hidden="1" ht="28.5" customHeight="1">
      <c r="A203" s="317" t="n">
        <v>46256</v>
      </c>
      <c r="B203" t="inlineStr">
        <is>
          <t>GERAL</t>
        </is>
      </c>
      <c r="C203" t="inlineStr">
        <is>
          <t>CMM</t>
        </is>
      </c>
      <c r="D203" t="inlineStr">
        <is>
          <t>PREMONTAGEM</t>
        </is>
      </c>
      <c r="F203" s="159">
        <f>IFERROR(INDEX('BASE METAS DIÁRIAS'!$N$2:$S$358,MATCH($A203,'BASE METAS DIÁRIAS'!$A$2:$A$358,0),MOD(ROW()-2,6)+1),"")</f>
        <v/>
      </c>
      <c r="G203" s="159">
        <f>IFERROR(IF(WEEKDAY($A203,2)&lt;=INDEX('BASE METAS DIÁRIAS'!$H$2:$M$358,MATCH($A203,'BASE METAS DIÁRIAS'!$A$2:$A$358,0),MOD(ROW()-2,6)+1),INDEX('BASE METAS DIÁRIAS'!$B$2:$G$358,MATCH($A203,'BASE METAS DIÁRIAS'!$A$2:$A$358,0),MOD(ROW()-2,6)+1),""),"")</f>
        <v/>
      </c>
      <c r="H203" s="159">
        <f>IFERROR(IF(INDEX('CONTROLE PRODUÇÃO POR EMPRESAS'!$B$6:$G$5000,MATCH($A203,'CONTROLE PRODUÇÃO POR EMPRESAS'!$A$6:$A$5000,0),MOD(ROW()-2,6)+1)="","",IFERROR(1*INDEX('CONTROLE PRODUÇÃO POR EMPRESAS'!$B$6:$G$5000,MATCH($A203,'CONTROLE PRODUÇÃO POR EMPRESAS'!$A$6:$A$5000,0),MOD(ROW()-2,6)+1),"")),"")</f>
        <v/>
      </c>
      <c r="I203" s="159">
        <f>IF(OR(NOT(ISNUMBER(G203)),NOT(ISNUMBER(H203))),"",H203-G203)</f>
        <v/>
      </c>
      <c r="J203" s="319">
        <f>IF(OR(NOT(ISNUMBER(G203)),NOT(ISNUMBER(H203)),G203=0),"",I203/G203)</f>
        <v/>
      </c>
      <c r="K203" s="319">
        <f>IF(OR(NOT(ISNUMBER(G203)),NOT(ISNUMBER(H203)),G203=0),"",H203/G203)</f>
        <v/>
      </c>
      <c r="L203">
        <f>IF(NOT(ISNUMBER(G203)),"SEM META",IF(G203=0,"SEM META",IF(NOT(ISNUMBER(H203)),"SEM APONTAMENTO",IF(H203&gt;=G203,"VERDE",IF(H203&gt;=G203*0.9,"AMARELO","VERMELHO")))))</f>
        <v/>
      </c>
      <c r="M203" s="162" t="n"/>
      <c r="N203" s="162" t="n"/>
      <c r="O203" s="162" t="n"/>
      <c r="P203" s="162" t="n"/>
      <c r="Q203" s="320" t="n"/>
      <c r="R203" s="162" t="inlineStr">
        <is>
          <t>CONTROLE PRODUÇÃO POR EMPRESAS!E39</t>
        </is>
      </c>
    </row>
    <row r="204" hidden="1" ht="28.5" customHeight="1">
      <c r="A204" s="317" t="n">
        <v>46256</v>
      </c>
      <c r="B204" t="inlineStr">
        <is>
          <t>GERAL</t>
        </is>
      </c>
      <c r="C204" t="inlineStr">
        <is>
          <t>CMM</t>
        </is>
      </c>
      <c r="D204" t="inlineStr">
        <is>
          <t>IÇAMENTO JOIST</t>
        </is>
      </c>
      <c r="F204" s="159">
        <f>IFERROR(INDEX('BASE METAS DIÁRIAS'!$N$2:$S$358,MATCH($A204,'BASE METAS DIÁRIAS'!$A$2:$A$358,0),MOD(ROW()-2,6)+1),"")</f>
        <v/>
      </c>
      <c r="G204" s="159">
        <f>IFERROR(IF(WEEKDAY($A204,2)&lt;=INDEX('BASE METAS DIÁRIAS'!$H$2:$M$358,MATCH($A204,'BASE METAS DIÁRIAS'!$A$2:$A$358,0),MOD(ROW()-2,6)+1),INDEX('BASE METAS DIÁRIAS'!$B$2:$G$358,MATCH($A204,'BASE METAS DIÁRIAS'!$A$2:$A$358,0),MOD(ROW()-2,6)+1),""),"")</f>
        <v/>
      </c>
      <c r="H204" s="159">
        <f>IFERROR(IF(INDEX('CONTROLE PRODUÇÃO POR EMPRESAS'!$B$6:$G$5000,MATCH($A204,'CONTROLE PRODUÇÃO POR EMPRESAS'!$A$6:$A$5000,0),MOD(ROW()-2,6)+1)="","",IFERROR(1*INDEX('CONTROLE PRODUÇÃO POR EMPRESAS'!$B$6:$G$5000,MATCH($A204,'CONTROLE PRODUÇÃO POR EMPRESAS'!$A$6:$A$5000,0),MOD(ROW()-2,6)+1),"")),"")</f>
        <v/>
      </c>
      <c r="I204" s="159">
        <f>IF(OR(NOT(ISNUMBER(G204)),NOT(ISNUMBER(H204))),"",H204-G204)</f>
        <v/>
      </c>
      <c r="J204" s="319">
        <f>IF(OR(NOT(ISNUMBER(G204)),NOT(ISNUMBER(H204)),G204=0),"",I204/G204)</f>
        <v/>
      </c>
      <c r="K204" s="319">
        <f>IF(OR(NOT(ISNUMBER(G204)),NOT(ISNUMBER(H204)),G204=0),"",H204/G204)</f>
        <v/>
      </c>
      <c r="L204">
        <f>IF(NOT(ISNUMBER(G204)),"SEM META",IF(G204=0,"SEM META",IF(NOT(ISNUMBER(H204)),"SEM APONTAMENTO",IF(H204&gt;=G204,"VERDE",IF(H204&gt;=G204*0.9,"AMARELO","VERMELHO")))))</f>
        <v/>
      </c>
      <c r="M204" s="162" t="n"/>
      <c r="N204" s="162" t="n"/>
      <c r="O204" s="162" t="n"/>
      <c r="P204" s="162" t="n"/>
      <c r="Q204" s="320" t="n"/>
      <c r="R204" s="162" t="inlineStr">
        <is>
          <t>CONTROLE PRODUÇÃO POR EMPRESAS!F39</t>
        </is>
      </c>
    </row>
    <row r="205" hidden="1" ht="28.5" customHeight="1">
      <c r="A205" s="317" t="n">
        <v>46256</v>
      </c>
      <c r="B205" t="inlineStr">
        <is>
          <t>GERAL</t>
        </is>
      </c>
      <c r="C205" t="inlineStr">
        <is>
          <t>CMM</t>
        </is>
      </c>
      <c r="D205" t="inlineStr">
        <is>
          <t>VIGAS</t>
        </is>
      </c>
      <c r="F205" s="159">
        <f>IFERROR(INDEX('BASE METAS DIÁRIAS'!$N$2:$S$358,MATCH($A205,'BASE METAS DIÁRIAS'!$A$2:$A$358,0),MOD(ROW()-2,6)+1),"")</f>
        <v/>
      </c>
      <c r="G205" s="159">
        <f>IFERROR(IF(WEEKDAY($A205,2)&lt;=INDEX('BASE METAS DIÁRIAS'!$H$2:$M$358,MATCH($A205,'BASE METAS DIÁRIAS'!$A$2:$A$358,0),MOD(ROW()-2,6)+1),INDEX('BASE METAS DIÁRIAS'!$B$2:$G$358,MATCH($A205,'BASE METAS DIÁRIAS'!$A$2:$A$358,0),MOD(ROW()-2,6)+1),""),"")</f>
        <v/>
      </c>
      <c r="H205" s="159">
        <f>IFERROR(IF(INDEX('CONTROLE PRODUÇÃO POR EMPRESAS'!$B$6:$G$5000,MATCH($A205,'CONTROLE PRODUÇÃO POR EMPRESAS'!$A$6:$A$5000,0),MOD(ROW()-2,6)+1)="","",IFERROR(1*INDEX('CONTROLE PRODUÇÃO POR EMPRESAS'!$B$6:$G$5000,MATCH($A205,'CONTROLE PRODUÇÃO POR EMPRESAS'!$A$6:$A$5000,0),MOD(ROW()-2,6)+1),"")),"")</f>
        <v/>
      </c>
      <c r="I205" s="159">
        <f>IF(OR(NOT(ISNUMBER(G205)),NOT(ISNUMBER(H205))),"",H205-G205)</f>
        <v/>
      </c>
      <c r="J205" s="319">
        <f>IF(OR(NOT(ISNUMBER(G205)),NOT(ISNUMBER(H205)),G205=0),"",I205/G205)</f>
        <v/>
      </c>
      <c r="K205" s="319">
        <f>IF(OR(NOT(ISNUMBER(G205)),NOT(ISNUMBER(H205)),G205=0),"",H205/G205)</f>
        <v/>
      </c>
      <c r="L205">
        <f>IF(NOT(ISNUMBER(G205)),"SEM META",IF(G205=0,"SEM META",IF(NOT(ISNUMBER(H205)),"SEM APONTAMENTO",IF(H205&gt;=G205,"VERDE",IF(H205&gt;=G205*0.9,"AMARELO","VERMELHO")))))</f>
        <v/>
      </c>
      <c r="M205" s="162" t="n"/>
      <c r="N205" s="162" t="n"/>
      <c r="O205" s="162" t="n"/>
      <c r="P205" s="162" t="n"/>
      <c r="Q205" s="320" t="n"/>
      <c r="R205" s="162" t="inlineStr">
        <is>
          <t>CONTROLE PRODUÇÃO POR EMPRESAS!G39</t>
        </is>
      </c>
    </row>
    <row r="206" hidden="1" ht="28.5" customHeight="1">
      <c r="A206" s="317" t="n">
        <v>46257</v>
      </c>
      <c r="B206" t="inlineStr">
        <is>
          <t>GERAL</t>
        </is>
      </c>
      <c r="C206" t="inlineStr">
        <is>
          <t>EJ</t>
        </is>
      </c>
      <c r="D206" t="inlineStr">
        <is>
          <t>PREMONTAGEM</t>
        </is>
      </c>
      <c r="F206" s="159">
        <f>IFERROR(INDEX('BASE METAS DIÁRIAS'!$N$2:$S$358,MATCH($A206,'BASE METAS DIÁRIAS'!$A$2:$A$358,0),MOD(ROW()-2,6)+1),"")</f>
        <v/>
      </c>
      <c r="G206" s="159">
        <f>IFERROR(IF(WEEKDAY($A206,2)&lt;=INDEX('BASE METAS DIÁRIAS'!$H$2:$M$358,MATCH($A206,'BASE METAS DIÁRIAS'!$A$2:$A$358,0),MOD(ROW()-2,6)+1),INDEX('BASE METAS DIÁRIAS'!$B$2:$G$358,MATCH($A206,'BASE METAS DIÁRIAS'!$A$2:$A$358,0),MOD(ROW()-2,6)+1),""),"")</f>
        <v/>
      </c>
      <c r="H206" s="159">
        <f>IFERROR(IF(INDEX('CONTROLE PRODUÇÃO POR EMPRESAS'!$B$6:$G$5000,MATCH($A206,'CONTROLE PRODUÇÃO POR EMPRESAS'!$A$6:$A$5000,0),MOD(ROW()-2,6)+1)="","",IFERROR(1*INDEX('CONTROLE PRODUÇÃO POR EMPRESAS'!$B$6:$G$5000,MATCH($A206,'CONTROLE PRODUÇÃO POR EMPRESAS'!$A$6:$A$5000,0),MOD(ROW()-2,6)+1),"")),"")</f>
        <v/>
      </c>
      <c r="I206" s="159">
        <f>IF(OR(NOT(ISNUMBER(G206)),NOT(ISNUMBER(H206))),"",H206-G206)</f>
        <v/>
      </c>
      <c r="J206" s="319">
        <f>IF(OR(NOT(ISNUMBER(G206)),NOT(ISNUMBER(H206)),G206=0),"",I206/G206)</f>
        <v/>
      </c>
      <c r="K206" s="319">
        <f>IF(OR(NOT(ISNUMBER(G206)),NOT(ISNUMBER(H206)),G206=0),"",H206/G206)</f>
        <v/>
      </c>
      <c r="L206">
        <f>IF(NOT(ISNUMBER(G206)),"SEM META",IF(G206=0,"SEM META",IF(NOT(ISNUMBER(H206)),"SEM APONTAMENTO",IF(H206&gt;=G206,"VERDE",IF(H206&gt;=G206*0.9,"AMARELO","VERMELHO")))))</f>
        <v/>
      </c>
      <c r="M206" s="162" t="n"/>
      <c r="N206" s="162" t="n"/>
      <c r="O206" s="162" t="n"/>
      <c r="P206" s="162" t="n"/>
      <c r="Q206" s="320" t="n"/>
      <c r="R206" s="162" t="inlineStr">
        <is>
          <t>CONTROLE PRODUÇÃO POR EMPRESAS!B40</t>
        </is>
      </c>
    </row>
    <row r="207" hidden="1" ht="28.5" customHeight="1">
      <c r="A207" s="317" t="n">
        <v>46257</v>
      </c>
      <c r="B207" t="inlineStr">
        <is>
          <t>GERAL</t>
        </is>
      </c>
      <c r="C207" t="inlineStr">
        <is>
          <t>EJ</t>
        </is>
      </c>
      <c r="D207" t="inlineStr">
        <is>
          <t>IÇAMENTO JOIST</t>
        </is>
      </c>
      <c r="F207" s="159">
        <f>IFERROR(INDEX('BASE METAS DIÁRIAS'!$N$2:$S$358,MATCH($A207,'BASE METAS DIÁRIAS'!$A$2:$A$358,0),MOD(ROW()-2,6)+1),"")</f>
        <v/>
      </c>
      <c r="G207" s="159">
        <f>IFERROR(IF(WEEKDAY($A207,2)&lt;=INDEX('BASE METAS DIÁRIAS'!$H$2:$M$358,MATCH($A207,'BASE METAS DIÁRIAS'!$A$2:$A$358,0),MOD(ROW()-2,6)+1),INDEX('BASE METAS DIÁRIAS'!$B$2:$G$358,MATCH($A207,'BASE METAS DIÁRIAS'!$A$2:$A$358,0),MOD(ROW()-2,6)+1),""),"")</f>
        <v/>
      </c>
      <c r="H207" s="159">
        <f>IFERROR(IF(INDEX('CONTROLE PRODUÇÃO POR EMPRESAS'!$B$6:$G$5000,MATCH($A207,'CONTROLE PRODUÇÃO POR EMPRESAS'!$A$6:$A$5000,0),MOD(ROW()-2,6)+1)="","",IFERROR(1*INDEX('CONTROLE PRODUÇÃO POR EMPRESAS'!$B$6:$G$5000,MATCH($A207,'CONTROLE PRODUÇÃO POR EMPRESAS'!$A$6:$A$5000,0),MOD(ROW()-2,6)+1),"")),"")</f>
        <v/>
      </c>
      <c r="I207" s="159">
        <f>IF(OR(NOT(ISNUMBER(G207)),NOT(ISNUMBER(H207))),"",H207-G207)</f>
        <v/>
      </c>
      <c r="J207" s="319">
        <f>IF(OR(NOT(ISNUMBER(G207)),NOT(ISNUMBER(H207)),G207=0),"",I207/G207)</f>
        <v/>
      </c>
      <c r="K207" s="319">
        <f>IF(OR(NOT(ISNUMBER(G207)),NOT(ISNUMBER(H207)),G207=0),"",H207/G207)</f>
        <v/>
      </c>
      <c r="L207">
        <f>IF(NOT(ISNUMBER(G207)),"SEM META",IF(G207=0,"SEM META",IF(NOT(ISNUMBER(H207)),"SEM APONTAMENTO",IF(H207&gt;=G207,"VERDE",IF(H207&gt;=G207*0.9,"AMARELO","VERMELHO")))))</f>
        <v/>
      </c>
      <c r="M207" s="162" t="n"/>
      <c r="N207" s="162" t="n"/>
      <c r="O207" s="162" t="n"/>
      <c r="P207" s="162" t="n"/>
      <c r="Q207" s="320" t="n"/>
      <c r="R207" s="162" t="inlineStr">
        <is>
          <t>CONTROLE PRODUÇÃO POR EMPRESAS!C40</t>
        </is>
      </c>
    </row>
    <row r="208" hidden="1" ht="28.5" customHeight="1">
      <c r="A208" s="317" t="n">
        <v>46257</v>
      </c>
      <c r="B208" t="inlineStr">
        <is>
          <t>GERAL</t>
        </is>
      </c>
      <c r="C208" t="inlineStr">
        <is>
          <t>EJ</t>
        </is>
      </c>
      <c r="D208" t="inlineStr">
        <is>
          <t>VIGAS</t>
        </is>
      </c>
      <c r="F208" s="159">
        <f>IFERROR(INDEX('BASE METAS DIÁRIAS'!$N$2:$S$358,MATCH($A208,'BASE METAS DIÁRIAS'!$A$2:$A$358,0),MOD(ROW()-2,6)+1),"")</f>
        <v/>
      </c>
      <c r="G208" s="159">
        <f>IFERROR(IF(WEEKDAY($A208,2)&lt;=INDEX('BASE METAS DIÁRIAS'!$H$2:$M$358,MATCH($A208,'BASE METAS DIÁRIAS'!$A$2:$A$358,0),MOD(ROW()-2,6)+1),INDEX('BASE METAS DIÁRIAS'!$B$2:$G$358,MATCH($A208,'BASE METAS DIÁRIAS'!$A$2:$A$358,0),MOD(ROW()-2,6)+1),""),"")</f>
        <v/>
      </c>
      <c r="H208" s="159">
        <f>IFERROR(IF(INDEX('CONTROLE PRODUÇÃO POR EMPRESAS'!$B$6:$G$5000,MATCH($A208,'CONTROLE PRODUÇÃO POR EMPRESAS'!$A$6:$A$5000,0),MOD(ROW()-2,6)+1)="","",IFERROR(1*INDEX('CONTROLE PRODUÇÃO POR EMPRESAS'!$B$6:$G$5000,MATCH($A208,'CONTROLE PRODUÇÃO POR EMPRESAS'!$A$6:$A$5000,0),MOD(ROW()-2,6)+1),"")),"")</f>
        <v/>
      </c>
      <c r="I208" s="159">
        <f>IF(OR(NOT(ISNUMBER(G208)),NOT(ISNUMBER(H208))),"",H208-G208)</f>
        <v/>
      </c>
      <c r="J208" s="319">
        <f>IF(OR(NOT(ISNUMBER(G208)),NOT(ISNUMBER(H208)),G208=0),"",I208/G208)</f>
        <v/>
      </c>
      <c r="K208" s="319">
        <f>IF(OR(NOT(ISNUMBER(G208)),NOT(ISNUMBER(H208)),G208=0),"",H208/G208)</f>
        <v/>
      </c>
      <c r="L208">
        <f>IF(NOT(ISNUMBER(G208)),"SEM META",IF(G208=0,"SEM META",IF(NOT(ISNUMBER(H208)),"SEM APONTAMENTO",IF(H208&gt;=G208,"VERDE",IF(H208&gt;=G208*0.9,"AMARELO","VERMELHO")))))</f>
        <v/>
      </c>
      <c r="M208" s="162" t="n"/>
      <c r="N208" s="162" t="n"/>
      <c r="O208" s="162" t="n"/>
      <c r="P208" s="162" t="n"/>
      <c r="Q208" s="320" t="n"/>
      <c r="R208" s="162" t="inlineStr">
        <is>
          <t>CONTROLE PRODUÇÃO POR EMPRESAS!D40</t>
        </is>
      </c>
    </row>
    <row r="209" hidden="1" ht="28.5" customHeight="1">
      <c r="A209" s="317" t="n">
        <v>46257</v>
      </c>
      <c r="B209" t="inlineStr">
        <is>
          <t>GERAL</t>
        </is>
      </c>
      <c r="C209" t="inlineStr">
        <is>
          <t>CMM</t>
        </is>
      </c>
      <c r="D209" t="inlineStr">
        <is>
          <t>PREMONTAGEM</t>
        </is>
      </c>
      <c r="F209" s="159">
        <f>IFERROR(INDEX('BASE METAS DIÁRIAS'!$N$2:$S$358,MATCH($A209,'BASE METAS DIÁRIAS'!$A$2:$A$358,0),MOD(ROW()-2,6)+1),"")</f>
        <v/>
      </c>
      <c r="G209" s="159">
        <f>IFERROR(IF(WEEKDAY($A209,2)&lt;=INDEX('BASE METAS DIÁRIAS'!$H$2:$M$358,MATCH($A209,'BASE METAS DIÁRIAS'!$A$2:$A$358,0),MOD(ROW()-2,6)+1),INDEX('BASE METAS DIÁRIAS'!$B$2:$G$358,MATCH($A209,'BASE METAS DIÁRIAS'!$A$2:$A$358,0),MOD(ROW()-2,6)+1),""),"")</f>
        <v/>
      </c>
      <c r="H209" s="159">
        <f>IFERROR(IF(INDEX('CONTROLE PRODUÇÃO POR EMPRESAS'!$B$6:$G$5000,MATCH($A209,'CONTROLE PRODUÇÃO POR EMPRESAS'!$A$6:$A$5000,0),MOD(ROW()-2,6)+1)="","",IFERROR(1*INDEX('CONTROLE PRODUÇÃO POR EMPRESAS'!$B$6:$G$5000,MATCH($A209,'CONTROLE PRODUÇÃO POR EMPRESAS'!$A$6:$A$5000,0),MOD(ROW()-2,6)+1),"")),"")</f>
        <v/>
      </c>
      <c r="I209" s="159">
        <f>IF(OR(NOT(ISNUMBER(G209)),NOT(ISNUMBER(H209))),"",H209-G209)</f>
        <v/>
      </c>
      <c r="J209" s="319">
        <f>IF(OR(NOT(ISNUMBER(G209)),NOT(ISNUMBER(H209)),G209=0),"",I209/G209)</f>
        <v/>
      </c>
      <c r="K209" s="319">
        <f>IF(OR(NOT(ISNUMBER(G209)),NOT(ISNUMBER(H209)),G209=0),"",H209/G209)</f>
        <v/>
      </c>
      <c r="L209">
        <f>IF(NOT(ISNUMBER(G209)),"SEM META",IF(G209=0,"SEM META",IF(NOT(ISNUMBER(H209)),"SEM APONTAMENTO",IF(H209&gt;=G209,"VERDE",IF(H209&gt;=G209*0.9,"AMARELO","VERMELHO")))))</f>
        <v/>
      </c>
      <c r="M209" s="162" t="n"/>
      <c r="N209" s="162" t="n"/>
      <c r="O209" s="162" t="n"/>
      <c r="P209" s="162" t="n"/>
      <c r="Q209" s="320" t="n"/>
      <c r="R209" s="162" t="inlineStr">
        <is>
          <t>CONTROLE PRODUÇÃO POR EMPRESAS!E40</t>
        </is>
      </c>
    </row>
    <row r="210" hidden="1" ht="28.5" customHeight="1">
      <c r="A210" s="317" t="n">
        <v>46257</v>
      </c>
      <c r="B210" t="inlineStr">
        <is>
          <t>GERAL</t>
        </is>
      </c>
      <c r="C210" t="inlineStr">
        <is>
          <t>CMM</t>
        </is>
      </c>
      <c r="D210" t="inlineStr">
        <is>
          <t>IÇAMENTO JOIST</t>
        </is>
      </c>
      <c r="F210" s="159">
        <f>IFERROR(INDEX('BASE METAS DIÁRIAS'!$N$2:$S$358,MATCH($A210,'BASE METAS DIÁRIAS'!$A$2:$A$358,0),MOD(ROW()-2,6)+1),"")</f>
        <v/>
      </c>
      <c r="G210" s="159">
        <f>IFERROR(IF(WEEKDAY($A210,2)&lt;=INDEX('BASE METAS DIÁRIAS'!$H$2:$M$358,MATCH($A210,'BASE METAS DIÁRIAS'!$A$2:$A$358,0),MOD(ROW()-2,6)+1),INDEX('BASE METAS DIÁRIAS'!$B$2:$G$358,MATCH($A210,'BASE METAS DIÁRIAS'!$A$2:$A$358,0),MOD(ROW()-2,6)+1),""),"")</f>
        <v/>
      </c>
      <c r="H210" s="159">
        <f>IFERROR(IF(INDEX('CONTROLE PRODUÇÃO POR EMPRESAS'!$B$6:$G$5000,MATCH($A210,'CONTROLE PRODUÇÃO POR EMPRESAS'!$A$6:$A$5000,0),MOD(ROW()-2,6)+1)="","",IFERROR(1*INDEX('CONTROLE PRODUÇÃO POR EMPRESAS'!$B$6:$G$5000,MATCH($A210,'CONTROLE PRODUÇÃO POR EMPRESAS'!$A$6:$A$5000,0),MOD(ROW()-2,6)+1),"")),"")</f>
        <v/>
      </c>
      <c r="I210" s="159">
        <f>IF(OR(NOT(ISNUMBER(G210)),NOT(ISNUMBER(H210))),"",H210-G210)</f>
        <v/>
      </c>
      <c r="J210" s="319">
        <f>IF(OR(NOT(ISNUMBER(G210)),NOT(ISNUMBER(H210)),G210=0),"",I210/G210)</f>
        <v/>
      </c>
      <c r="K210" s="319">
        <f>IF(OR(NOT(ISNUMBER(G210)),NOT(ISNUMBER(H210)),G210=0),"",H210/G210)</f>
        <v/>
      </c>
      <c r="L210">
        <f>IF(NOT(ISNUMBER(G210)),"SEM META",IF(G210=0,"SEM META",IF(NOT(ISNUMBER(H210)),"SEM APONTAMENTO",IF(H210&gt;=G210,"VERDE",IF(H210&gt;=G210*0.9,"AMARELO","VERMELHO")))))</f>
        <v/>
      </c>
      <c r="M210" s="162" t="n"/>
      <c r="N210" s="162" t="n"/>
      <c r="O210" s="162" t="n"/>
      <c r="P210" s="162" t="n"/>
      <c r="Q210" s="320" t="n"/>
      <c r="R210" s="162" t="inlineStr">
        <is>
          <t>CONTROLE PRODUÇÃO POR EMPRESAS!F40</t>
        </is>
      </c>
    </row>
    <row r="211" hidden="1" ht="28.5" customHeight="1">
      <c r="A211" s="317" t="n">
        <v>46257</v>
      </c>
      <c r="B211" t="inlineStr">
        <is>
          <t>GERAL</t>
        </is>
      </c>
      <c r="C211" t="inlineStr">
        <is>
          <t>CMM</t>
        </is>
      </c>
      <c r="D211" t="inlineStr">
        <is>
          <t>VIGAS</t>
        </is>
      </c>
      <c r="F211" s="159">
        <f>IFERROR(INDEX('BASE METAS DIÁRIAS'!$N$2:$S$358,MATCH($A211,'BASE METAS DIÁRIAS'!$A$2:$A$358,0),MOD(ROW()-2,6)+1),"")</f>
        <v/>
      </c>
      <c r="G211" s="159">
        <f>IFERROR(IF(WEEKDAY($A211,2)&lt;=INDEX('BASE METAS DIÁRIAS'!$H$2:$M$358,MATCH($A211,'BASE METAS DIÁRIAS'!$A$2:$A$358,0),MOD(ROW()-2,6)+1),INDEX('BASE METAS DIÁRIAS'!$B$2:$G$358,MATCH($A211,'BASE METAS DIÁRIAS'!$A$2:$A$358,0),MOD(ROW()-2,6)+1),""),"")</f>
        <v/>
      </c>
      <c r="H211" s="159">
        <f>IFERROR(IF(INDEX('CONTROLE PRODUÇÃO POR EMPRESAS'!$B$6:$G$5000,MATCH($A211,'CONTROLE PRODUÇÃO POR EMPRESAS'!$A$6:$A$5000,0),MOD(ROW()-2,6)+1)="","",IFERROR(1*INDEX('CONTROLE PRODUÇÃO POR EMPRESAS'!$B$6:$G$5000,MATCH($A211,'CONTROLE PRODUÇÃO POR EMPRESAS'!$A$6:$A$5000,0),MOD(ROW()-2,6)+1),"")),"")</f>
        <v/>
      </c>
      <c r="I211" s="159">
        <f>IF(OR(NOT(ISNUMBER(G211)),NOT(ISNUMBER(H211))),"",H211-G211)</f>
        <v/>
      </c>
      <c r="J211" s="319">
        <f>IF(OR(NOT(ISNUMBER(G211)),NOT(ISNUMBER(H211)),G211=0),"",I211/G211)</f>
        <v/>
      </c>
      <c r="K211" s="319">
        <f>IF(OR(NOT(ISNUMBER(G211)),NOT(ISNUMBER(H211)),G211=0),"",H211/G211)</f>
        <v/>
      </c>
      <c r="L211">
        <f>IF(NOT(ISNUMBER(G211)),"SEM META",IF(G211=0,"SEM META",IF(NOT(ISNUMBER(H211)),"SEM APONTAMENTO",IF(H211&gt;=G211,"VERDE",IF(H211&gt;=G211*0.9,"AMARELO","VERMELHO")))))</f>
        <v/>
      </c>
      <c r="M211" s="162" t="n"/>
      <c r="N211" s="162" t="n"/>
      <c r="O211" s="162" t="n"/>
      <c r="P211" s="162" t="n"/>
      <c r="Q211" s="320" t="n"/>
      <c r="R211" s="162" t="inlineStr">
        <is>
          <t>CONTROLE PRODUÇÃO POR EMPRESAS!G40</t>
        </is>
      </c>
    </row>
    <row r="212" hidden="1" ht="28.5" customHeight="1">
      <c r="A212" s="317" t="n">
        <v>46258</v>
      </c>
      <c r="B212" t="inlineStr">
        <is>
          <t>GERAL</t>
        </is>
      </c>
      <c r="C212" t="inlineStr">
        <is>
          <t>EJ</t>
        </is>
      </c>
      <c r="D212" t="inlineStr">
        <is>
          <t>PREMONTAGEM</t>
        </is>
      </c>
      <c r="F212" s="159">
        <f>IFERROR(INDEX('BASE METAS DIÁRIAS'!$N$2:$S$358,MATCH($A212,'BASE METAS DIÁRIAS'!$A$2:$A$358,0),MOD(ROW()-2,6)+1),"")</f>
        <v/>
      </c>
      <c r="G212" s="159">
        <f>IFERROR(IF(WEEKDAY($A212,2)&lt;=INDEX('BASE METAS DIÁRIAS'!$H$2:$M$358,MATCH($A212,'BASE METAS DIÁRIAS'!$A$2:$A$358,0),MOD(ROW()-2,6)+1),INDEX('BASE METAS DIÁRIAS'!$B$2:$G$358,MATCH($A212,'BASE METAS DIÁRIAS'!$A$2:$A$358,0),MOD(ROW()-2,6)+1),""),"")</f>
        <v/>
      </c>
      <c r="H212" s="159">
        <f>IFERROR(IF(INDEX('CONTROLE PRODUÇÃO POR EMPRESAS'!$B$6:$G$5000,MATCH($A212,'CONTROLE PRODUÇÃO POR EMPRESAS'!$A$6:$A$5000,0),MOD(ROW()-2,6)+1)="","",IFERROR(1*INDEX('CONTROLE PRODUÇÃO POR EMPRESAS'!$B$6:$G$5000,MATCH($A212,'CONTROLE PRODUÇÃO POR EMPRESAS'!$A$6:$A$5000,0),MOD(ROW()-2,6)+1),"")),"")</f>
        <v/>
      </c>
      <c r="I212" s="159">
        <f>IF(OR(NOT(ISNUMBER(G212)),NOT(ISNUMBER(H212))),"",H212-G212)</f>
        <v/>
      </c>
      <c r="J212" s="319">
        <f>IF(OR(NOT(ISNUMBER(G212)),NOT(ISNUMBER(H212)),G212=0),"",I212/G212)</f>
        <v/>
      </c>
      <c r="K212" s="319">
        <f>IF(OR(NOT(ISNUMBER(G212)),NOT(ISNUMBER(H212)),G212=0),"",H212/G212)</f>
        <v/>
      </c>
      <c r="L212">
        <f>IF(NOT(ISNUMBER(G212)),"SEM META",IF(G212=0,"SEM META",IF(NOT(ISNUMBER(H212)),"SEM APONTAMENTO",IF(H212&gt;=G212,"VERDE",IF(H212&gt;=G212*0.9,"AMARELO","VERMELHO")))))</f>
        <v/>
      </c>
      <c r="M212" s="162" t="n"/>
      <c r="N212" s="162" t="n"/>
      <c r="O212" s="162" t="n"/>
      <c r="P212" s="162" t="n"/>
      <c r="Q212" s="320" t="n"/>
      <c r="R212" s="162" t="inlineStr">
        <is>
          <t>CONTROLE PRODUÇÃO POR EMPRESAS!B41</t>
        </is>
      </c>
    </row>
    <row r="213" hidden="1" ht="28.5" customHeight="1">
      <c r="A213" s="317" t="n">
        <v>46258</v>
      </c>
      <c r="B213" t="inlineStr">
        <is>
          <t>GERAL</t>
        </is>
      </c>
      <c r="C213" t="inlineStr">
        <is>
          <t>EJ</t>
        </is>
      </c>
      <c r="D213" t="inlineStr">
        <is>
          <t>IÇAMENTO JOIST</t>
        </is>
      </c>
      <c r="F213" s="159">
        <f>IFERROR(INDEX('BASE METAS DIÁRIAS'!$N$2:$S$358,MATCH($A213,'BASE METAS DIÁRIAS'!$A$2:$A$358,0),MOD(ROW()-2,6)+1),"")</f>
        <v/>
      </c>
      <c r="G213" s="159">
        <f>IFERROR(IF(WEEKDAY($A213,2)&lt;=INDEX('BASE METAS DIÁRIAS'!$H$2:$M$358,MATCH($A213,'BASE METAS DIÁRIAS'!$A$2:$A$358,0),MOD(ROW()-2,6)+1),INDEX('BASE METAS DIÁRIAS'!$B$2:$G$358,MATCH($A213,'BASE METAS DIÁRIAS'!$A$2:$A$358,0),MOD(ROW()-2,6)+1),""),"")</f>
        <v/>
      </c>
      <c r="H213" s="159">
        <f>IFERROR(IF(INDEX('CONTROLE PRODUÇÃO POR EMPRESAS'!$B$6:$G$5000,MATCH($A213,'CONTROLE PRODUÇÃO POR EMPRESAS'!$A$6:$A$5000,0),MOD(ROW()-2,6)+1)="","",IFERROR(1*INDEX('CONTROLE PRODUÇÃO POR EMPRESAS'!$B$6:$G$5000,MATCH($A213,'CONTROLE PRODUÇÃO POR EMPRESAS'!$A$6:$A$5000,0),MOD(ROW()-2,6)+1),"")),"")</f>
        <v/>
      </c>
      <c r="I213" s="159">
        <f>IF(OR(NOT(ISNUMBER(G213)),NOT(ISNUMBER(H213))),"",H213-G213)</f>
        <v/>
      </c>
      <c r="J213" s="319">
        <f>IF(OR(NOT(ISNUMBER(G213)),NOT(ISNUMBER(H213)),G213=0),"",I213/G213)</f>
        <v/>
      </c>
      <c r="K213" s="319">
        <f>IF(OR(NOT(ISNUMBER(G213)),NOT(ISNUMBER(H213)),G213=0),"",H213/G213)</f>
        <v/>
      </c>
      <c r="L213">
        <f>IF(NOT(ISNUMBER(G213)),"SEM META",IF(G213=0,"SEM META",IF(NOT(ISNUMBER(H213)),"SEM APONTAMENTO",IF(H213&gt;=G213,"VERDE",IF(H213&gt;=G213*0.9,"AMARELO","VERMELHO")))))</f>
        <v/>
      </c>
      <c r="M213" s="162" t="n"/>
      <c r="N213" s="162" t="n"/>
      <c r="O213" s="162" t="n"/>
      <c r="P213" s="162" t="n"/>
      <c r="Q213" s="320" t="n"/>
      <c r="R213" s="162" t="inlineStr">
        <is>
          <t>CONTROLE PRODUÇÃO POR EMPRESAS!C41</t>
        </is>
      </c>
    </row>
    <row r="214" hidden="1" ht="28.5" customHeight="1">
      <c r="A214" s="317" t="n">
        <v>46258</v>
      </c>
      <c r="B214" t="inlineStr">
        <is>
          <t>GERAL</t>
        </is>
      </c>
      <c r="C214" t="inlineStr">
        <is>
          <t>EJ</t>
        </is>
      </c>
      <c r="D214" t="inlineStr">
        <is>
          <t>VIGAS</t>
        </is>
      </c>
      <c r="F214" s="159">
        <f>IFERROR(INDEX('BASE METAS DIÁRIAS'!$N$2:$S$358,MATCH($A214,'BASE METAS DIÁRIAS'!$A$2:$A$358,0),MOD(ROW()-2,6)+1),"")</f>
        <v/>
      </c>
      <c r="G214" s="159">
        <f>IFERROR(IF(WEEKDAY($A214,2)&lt;=INDEX('BASE METAS DIÁRIAS'!$H$2:$M$358,MATCH($A214,'BASE METAS DIÁRIAS'!$A$2:$A$358,0),MOD(ROW()-2,6)+1),INDEX('BASE METAS DIÁRIAS'!$B$2:$G$358,MATCH($A214,'BASE METAS DIÁRIAS'!$A$2:$A$358,0),MOD(ROW()-2,6)+1),""),"")</f>
        <v/>
      </c>
      <c r="H214" s="159">
        <f>IFERROR(IF(INDEX('CONTROLE PRODUÇÃO POR EMPRESAS'!$B$6:$G$5000,MATCH($A214,'CONTROLE PRODUÇÃO POR EMPRESAS'!$A$6:$A$5000,0),MOD(ROW()-2,6)+1)="","",IFERROR(1*INDEX('CONTROLE PRODUÇÃO POR EMPRESAS'!$B$6:$G$5000,MATCH($A214,'CONTROLE PRODUÇÃO POR EMPRESAS'!$A$6:$A$5000,0),MOD(ROW()-2,6)+1),"")),"")</f>
        <v/>
      </c>
      <c r="I214" s="159">
        <f>IF(OR(NOT(ISNUMBER(G214)),NOT(ISNUMBER(H214))),"",H214-G214)</f>
        <v/>
      </c>
      <c r="J214" s="319">
        <f>IF(OR(NOT(ISNUMBER(G214)),NOT(ISNUMBER(H214)),G214=0),"",I214/G214)</f>
        <v/>
      </c>
      <c r="K214" s="319">
        <f>IF(OR(NOT(ISNUMBER(G214)),NOT(ISNUMBER(H214)),G214=0),"",H214/G214)</f>
        <v/>
      </c>
      <c r="L214">
        <f>IF(NOT(ISNUMBER(G214)),"SEM META",IF(G214=0,"SEM META",IF(NOT(ISNUMBER(H214)),"SEM APONTAMENTO",IF(H214&gt;=G214,"VERDE",IF(H214&gt;=G214*0.9,"AMARELO","VERMELHO")))))</f>
        <v/>
      </c>
      <c r="M214" s="162" t="n"/>
      <c r="N214" s="162" t="n"/>
      <c r="O214" s="162" t="n"/>
      <c r="P214" s="162" t="n"/>
      <c r="Q214" s="320" t="n"/>
      <c r="R214" s="162" t="inlineStr">
        <is>
          <t>CONTROLE PRODUÇÃO POR EMPRESAS!D41</t>
        </is>
      </c>
    </row>
    <row r="215" hidden="1" ht="28.5" customHeight="1">
      <c r="A215" s="317" t="n">
        <v>46258</v>
      </c>
      <c r="B215" t="inlineStr">
        <is>
          <t>GERAL</t>
        </is>
      </c>
      <c r="C215" t="inlineStr">
        <is>
          <t>CMM</t>
        </is>
      </c>
      <c r="D215" t="inlineStr">
        <is>
          <t>PREMONTAGEM</t>
        </is>
      </c>
      <c r="F215" s="159">
        <f>IFERROR(INDEX('BASE METAS DIÁRIAS'!$N$2:$S$358,MATCH($A215,'BASE METAS DIÁRIAS'!$A$2:$A$358,0),MOD(ROW()-2,6)+1),"")</f>
        <v/>
      </c>
      <c r="G215" s="159">
        <f>IFERROR(IF(WEEKDAY($A215,2)&lt;=INDEX('BASE METAS DIÁRIAS'!$H$2:$M$358,MATCH($A215,'BASE METAS DIÁRIAS'!$A$2:$A$358,0),MOD(ROW()-2,6)+1),INDEX('BASE METAS DIÁRIAS'!$B$2:$G$358,MATCH($A215,'BASE METAS DIÁRIAS'!$A$2:$A$358,0),MOD(ROW()-2,6)+1),""),"")</f>
        <v/>
      </c>
      <c r="H215" s="159">
        <f>IFERROR(IF(INDEX('CONTROLE PRODUÇÃO POR EMPRESAS'!$B$6:$G$5000,MATCH($A215,'CONTROLE PRODUÇÃO POR EMPRESAS'!$A$6:$A$5000,0),MOD(ROW()-2,6)+1)="","",IFERROR(1*INDEX('CONTROLE PRODUÇÃO POR EMPRESAS'!$B$6:$G$5000,MATCH($A215,'CONTROLE PRODUÇÃO POR EMPRESAS'!$A$6:$A$5000,0),MOD(ROW()-2,6)+1),"")),"")</f>
        <v/>
      </c>
      <c r="I215" s="159">
        <f>IF(OR(NOT(ISNUMBER(G215)),NOT(ISNUMBER(H215))),"",H215-G215)</f>
        <v/>
      </c>
      <c r="J215" s="319">
        <f>IF(OR(NOT(ISNUMBER(G215)),NOT(ISNUMBER(H215)),G215=0),"",I215/G215)</f>
        <v/>
      </c>
      <c r="K215" s="319">
        <f>IF(OR(NOT(ISNUMBER(G215)),NOT(ISNUMBER(H215)),G215=0),"",H215/G215)</f>
        <v/>
      </c>
      <c r="L215">
        <f>IF(NOT(ISNUMBER(G215)),"SEM META",IF(G215=0,"SEM META",IF(NOT(ISNUMBER(H215)),"SEM APONTAMENTO",IF(H215&gt;=G215,"VERDE",IF(H215&gt;=G215*0.9,"AMARELO","VERMELHO")))))</f>
        <v/>
      </c>
      <c r="M215" s="162" t="n"/>
      <c r="N215" s="162" t="n"/>
      <c r="O215" s="162" t="n"/>
      <c r="P215" s="162" t="n"/>
      <c r="Q215" s="320" t="n"/>
      <c r="R215" s="162" t="inlineStr">
        <is>
          <t>CONTROLE PRODUÇÃO POR EMPRESAS!E41</t>
        </is>
      </c>
    </row>
    <row r="216" hidden="1" ht="28.5" customHeight="1">
      <c r="A216" s="317" t="n">
        <v>46258</v>
      </c>
      <c r="B216" t="inlineStr">
        <is>
          <t>GERAL</t>
        </is>
      </c>
      <c r="C216" t="inlineStr">
        <is>
          <t>CMM</t>
        </is>
      </c>
      <c r="D216" t="inlineStr">
        <is>
          <t>IÇAMENTO JOIST</t>
        </is>
      </c>
      <c r="F216" s="159">
        <f>IFERROR(INDEX('BASE METAS DIÁRIAS'!$N$2:$S$358,MATCH($A216,'BASE METAS DIÁRIAS'!$A$2:$A$358,0),MOD(ROW()-2,6)+1),"")</f>
        <v/>
      </c>
      <c r="G216" s="159">
        <f>IFERROR(IF(WEEKDAY($A216,2)&lt;=INDEX('BASE METAS DIÁRIAS'!$H$2:$M$358,MATCH($A216,'BASE METAS DIÁRIAS'!$A$2:$A$358,0),MOD(ROW()-2,6)+1),INDEX('BASE METAS DIÁRIAS'!$B$2:$G$358,MATCH($A216,'BASE METAS DIÁRIAS'!$A$2:$A$358,0),MOD(ROW()-2,6)+1),""),"")</f>
        <v/>
      </c>
      <c r="H216" s="159">
        <f>IFERROR(IF(INDEX('CONTROLE PRODUÇÃO POR EMPRESAS'!$B$6:$G$5000,MATCH($A216,'CONTROLE PRODUÇÃO POR EMPRESAS'!$A$6:$A$5000,0),MOD(ROW()-2,6)+1)="","",IFERROR(1*INDEX('CONTROLE PRODUÇÃO POR EMPRESAS'!$B$6:$G$5000,MATCH($A216,'CONTROLE PRODUÇÃO POR EMPRESAS'!$A$6:$A$5000,0),MOD(ROW()-2,6)+1),"")),"")</f>
        <v/>
      </c>
      <c r="I216" s="159">
        <f>IF(OR(NOT(ISNUMBER(G216)),NOT(ISNUMBER(H216))),"",H216-G216)</f>
        <v/>
      </c>
      <c r="J216" s="319">
        <f>IF(OR(NOT(ISNUMBER(G216)),NOT(ISNUMBER(H216)),G216=0),"",I216/G216)</f>
        <v/>
      </c>
      <c r="K216" s="319">
        <f>IF(OR(NOT(ISNUMBER(G216)),NOT(ISNUMBER(H216)),G216=0),"",H216/G216)</f>
        <v/>
      </c>
      <c r="L216">
        <f>IF(NOT(ISNUMBER(G216)),"SEM META",IF(G216=0,"SEM META",IF(NOT(ISNUMBER(H216)),"SEM APONTAMENTO",IF(H216&gt;=G216,"VERDE",IF(H216&gt;=G216*0.9,"AMARELO","VERMELHO")))))</f>
        <v/>
      </c>
      <c r="M216" s="162" t="n"/>
      <c r="N216" s="162" t="n"/>
      <c r="O216" s="162" t="n"/>
      <c r="P216" s="162" t="n"/>
      <c r="Q216" s="320" t="n"/>
      <c r="R216" s="162" t="inlineStr">
        <is>
          <t>CONTROLE PRODUÇÃO POR EMPRESAS!F41</t>
        </is>
      </c>
    </row>
    <row r="217" hidden="1" ht="28.5" customHeight="1">
      <c r="A217" s="317" t="n">
        <v>46258</v>
      </c>
      <c r="B217" t="inlineStr">
        <is>
          <t>GERAL</t>
        </is>
      </c>
      <c r="C217" t="inlineStr">
        <is>
          <t>CMM</t>
        </is>
      </c>
      <c r="D217" t="inlineStr">
        <is>
          <t>VIGAS</t>
        </is>
      </c>
      <c r="F217" s="159">
        <f>IFERROR(INDEX('BASE METAS DIÁRIAS'!$N$2:$S$358,MATCH($A217,'BASE METAS DIÁRIAS'!$A$2:$A$358,0),MOD(ROW()-2,6)+1),"")</f>
        <v/>
      </c>
      <c r="G217" s="159">
        <f>IFERROR(IF(WEEKDAY($A217,2)&lt;=INDEX('BASE METAS DIÁRIAS'!$H$2:$M$358,MATCH($A217,'BASE METAS DIÁRIAS'!$A$2:$A$358,0),MOD(ROW()-2,6)+1),INDEX('BASE METAS DIÁRIAS'!$B$2:$G$358,MATCH($A217,'BASE METAS DIÁRIAS'!$A$2:$A$358,0),MOD(ROW()-2,6)+1),""),"")</f>
        <v/>
      </c>
      <c r="H217" s="159">
        <f>IFERROR(IF(INDEX('CONTROLE PRODUÇÃO POR EMPRESAS'!$B$6:$G$5000,MATCH($A217,'CONTROLE PRODUÇÃO POR EMPRESAS'!$A$6:$A$5000,0),MOD(ROW()-2,6)+1)="","",IFERROR(1*INDEX('CONTROLE PRODUÇÃO POR EMPRESAS'!$B$6:$G$5000,MATCH($A217,'CONTROLE PRODUÇÃO POR EMPRESAS'!$A$6:$A$5000,0),MOD(ROW()-2,6)+1),"")),"")</f>
        <v/>
      </c>
      <c r="I217" s="159">
        <f>IF(OR(NOT(ISNUMBER(G217)),NOT(ISNUMBER(H217))),"",H217-G217)</f>
        <v/>
      </c>
      <c r="J217" s="319">
        <f>IF(OR(NOT(ISNUMBER(G217)),NOT(ISNUMBER(H217)),G217=0),"",I217/G217)</f>
        <v/>
      </c>
      <c r="K217" s="319">
        <f>IF(OR(NOT(ISNUMBER(G217)),NOT(ISNUMBER(H217)),G217=0),"",H217/G217)</f>
        <v/>
      </c>
      <c r="L217">
        <f>IF(NOT(ISNUMBER(G217)),"SEM META",IF(G217=0,"SEM META",IF(NOT(ISNUMBER(H217)),"SEM APONTAMENTO",IF(H217&gt;=G217,"VERDE",IF(H217&gt;=G217*0.9,"AMARELO","VERMELHO")))))</f>
        <v/>
      </c>
      <c r="M217" s="162" t="n"/>
      <c r="N217" s="162" t="n"/>
      <c r="O217" s="162" t="n"/>
      <c r="P217" s="162" t="n"/>
      <c r="Q217" s="320" t="n"/>
      <c r="R217" s="162" t="inlineStr">
        <is>
          <t>CONTROLE PRODUÇÃO POR EMPRESAS!G41</t>
        </is>
      </c>
    </row>
    <row r="218" hidden="1" ht="28.5" customHeight="1">
      <c r="A218" s="317" t="n">
        <v>46259</v>
      </c>
      <c r="B218" t="inlineStr">
        <is>
          <t>GERAL</t>
        </is>
      </c>
      <c r="C218" t="inlineStr">
        <is>
          <t>EJ</t>
        </is>
      </c>
      <c r="D218" t="inlineStr">
        <is>
          <t>PREMONTAGEM</t>
        </is>
      </c>
      <c r="F218" s="159">
        <f>IFERROR(INDEX('BASE METAS DIÁRIAS'!$N$2:$S$358,MATCH($A218,'BASE METAS DIÁRIAS'!$A$2:$A$358,0),MOD(ROW()-2,6)+1),"")</f>
        <v/>
      </c>
      <c r="G218" s="159">
        <f>IFERROR(IF(WEEKDAY($A218,2)&lt;=INDEX('BASE METAS DIÁRIAS'!$H$2:$M$358,MATCH($A218,'BASE METAS DIÁRIAS'!$A$2:$A$358,0),MOD(ROW()-2,6)+1),INDEX('BASE METAS DIÁRIAS'!$B$2:$G$358,MATCH($A218,'BASE METAS DIÁRIAS'!$A$2:$A$358,0),MOD(ROW()-2,6)+1),""),"")</f>
        <v/>
      </c>
      <c r="H218" s="159">
        <f>IFERROR(IF(INDEX('CONTROLE PRODUÇÃO POR EMPRESAS'!$B$6:$G$5000,MATCH($A218,'CONTROLE PRODUÇÃO POR EMPRESAS'!$A$6:$A$5000,0),MOD(ROW()-2,6)+1)="","",IFERROR(1*INDEX('CONTROLE PRODUÇÃO POR EMPRESAS'!$B$6:$G$5000,MATCH($A218,'CONTROLE PRODUÇÃO POR EMPRESAS'!$A$6:$A$5000,0),MOD(ROW()-2,6)+1),"")),"")</f>
        <v/>
      </c>
      <c r="I218" s="159">
        <f>IF(OR(NOT(ISNUMBER(G218)),NOT(ISNUMBER(H218))),"",H218-G218)</f>
        <v/>
      </c>
      <c r="J218" s="319">
        <f>IF(OR(NOT(ISNUMBER(G218)),NOT(ISNUMBER(H218)),G218=0),"",I218/G218)</f>
        <v/>
      </c>
      <c r="K218" s="319">
        <f>IF(OR(NOT(ISNUMBER(G218)),NOT(ISNUMBER(H218)),G218=0),"",H218/G218)</f>
        <v/>
      </c>
      <c r="L218">
        <f>IF(NOT(ISNUMBER(G218)),"SEM META",IF(G218=0,"SEM META",IF(NOT(ISNUMBER(H218)),"SEM APONTAMENTO",IF(H218&gt;=G218,"VERDE",IF(H218&gt;=G218*0.9,"AMARELO","VERMELHO")))))</f>
        <v/>
      </c>
      <c r="M218" s="162" t="n"/>
      <c r="N218" s="162" t="n"/>
      <c r="O218" s="162" t="n"/>
      <c r="P218" s="162" t="n"/>
      <c r="Q218" s="320" t="n"/>
      <c r="R218" s="162" t="inlineStr">
        <is>
          <t>CONTROLE PRODUÇÃO POR EMPRESAS!B42</t>
        </is>
      </c>
    </row>
    <row r="219" hidden="1" ht="28.5" customHeight="1">
      <c r="A219" s="317" t="n">
        <v>46259</v>
      </c>
      <c r="B219" t="inlineStr">
        <is>
          <t>GERAL</t>
        </is>
      </c>
      <c r="C219" t="inlineStr">
        <is>
          <t>EJ</t>
        </is>
      </c>
      <c r="D219" t="inlineStr">
        <is>
          <t>IÇAMENTO JOIST</t>
        </is>
      </c>
      <c r="F219" s="159">
        <f>IFERROR(INDEX('BASE METAS DIÁRIAS'!$N$2:$S$358,MATCH($A219,'BASE METAS DIÁRIAS'!$A$2:$A$358,0),MOD(ROW()-2,6)+1),"")</f>
        <v/>
      </c>
      <c r="G219" s="159">
        <f>IFERROR(IF(WEEKDAY($A219,2)&lt;=INDEX('BASE METAS DIÁRIAS'!$H$2:$M$358,MATCH($A219,'BASE METAS DIÁRIAS'!$A$2:$A$358,0),MOD(ROW()-2,6)+1),INDEX('BASE METAS DIÁRIAS'!$B$2:$G$358,MATCH($A219,'BASE METAS DIÁRIAS'!$A$2:$A$358,0),MOD(ROW()-2,6)+1),""),"")</f>
        <v/>
      </c>
      <c r="H219" s="159">
        <f>IFERROR(IF(INDEX('CONTROLE PRODUÇÃO POR EMPRESAS'!$B$6:$G$5000,MATCH($A219,'CONTROLE PRODUÇÃO POR EMPRESAS'!$A$6:$A$5000,0),MOD(ROW()-2,6)+1)="","",IFERROR(1*INDEX('CONTROLE PRODUÇÃO POR EMPRESAS'!$B$6:$G$5000,MATCH($A219,'CONTROLE PRODUÇÃO POR EMPRESAS'!$A$6:$A$5000,0),MOD(ROW()-2,6)+1),"")),"")</f>
        <v/>
      </c>
      <c r="I219" s="159">
        <f>IF(OR(NOT(ISNUMBER(G219)),NOT(ISNUMBER(H219))),"",H219-G219)</f>
        <v/>
      </c>
      <c r="J219" s="319">
        <f>IF(OR(NOT(ISNUMBER(G219)),NOT(ISNUMBER(H219)),G219=0),"",I219/G219)</f>
        <v/>
      </c>
      <c r="K219" s="319">
        <f>IF(OR(NOT(ISNUMBER(G219)),NOT(ISNUMBER(H219)),G219=0),"",H219/G219)</f>
        <v/>
      </c>
      <c r="L219">
        <f>IF(NOT(ISNUMBER(G219)),"SEM META",IF(G219=0,"SEM META",IF(NOT(ISNUMBER(H219)),"SEM APONTAMENTO",IF(H219&gt;=G219,"VERDE",IF(H219&gt;=G219*0.9,"AMARELO","VERMELHO")))))</f>
        <v/>
      </c>
      <c r="M219" s="162" t="n"/>
      <c r="N219" s="162" t="n"/>
      <c r="O219" s="162" t="n"/>
      <c r="P219" s="162" t="n"/>
      <c r="Q219" s="320" t="n"/>
      <c r="R219" s="162" t="inlineStr">
        <is>
          <t>CONTROLE PRODUÇÃO POR EMPRESAS!C42</t>
        </is>
      </c>
    </row>
    <row r="220" hidden="1" ht="28.5" customHeight="1">
      <c r="A220" s="317" t="n">
        <v>46259</v>
      </c>
      <c r="B220" t="inlineStr">
        <is>
          <t>GERAL</t>
        </is>
      </c>
      <c r="C220" t="inlineStr">
        <is>
          <t>EJ</t>
        </is>
      </c>
      <c r="D220" t="inlineStr">
        <is>
          <t>VIGAS</t>
        </is>
      </c>
      <c r="F220" s="159">
        <f>IFERROR(INDEX('BASE METAS DIÁRIAS'!$N$2:$S$358,MATCH($A220,'BASE METAS DIÁRIAS'!$A$2:$A$358,0),MOD(ROW()-2,6)+1),"")</f>
        <v/>
      </c>
      <c r="G220" s="159">
        <f>IFERROR(IF(WEEKDAY($A220,2)&lt;=INDEX('BASE METAS DIÁRIAS'!$H$2:$M$358,MATCH($A220,'BASE METAS DIÁRIAS'!$A$2:$A$358,0),MOD(ROW()-2,6)+1),INDEX('BASE METAS DIÁRIAS'!$B$2:$G$358,MATCH($A220,'BASE METAS DIÁRIAS'!$A$2:$A$358,0),MOD(ROW()-2,6)+1),""),"")</f>
        <v/>
      </c>
      <c r="H220" s="159">
        <f>IFERROR(IF(INDEX('CONTROLE PRODUÇÃO POR EMPRESAS'!$B$6:$G$5000,MATCH($A220,'CONTROLE PRODUÇÃO POR EMPRESAS'!$A$6:$A$5000,0),MOD(ROW()-2,6)+1)="","",IFERROR(1*INDEX('CONTROLE PRODUÇÃO POR EMPRESAS'!$B$6:$G$5000,MATCH($A220,'CONTROLE PRODUÇÃO POR EMPRESAS'!$A$6:$A$5000,0),MOD(ROW()-2,6)+1),"")),"")</f>
        <v/>
      </c>
      <c r="I220" s="159">
        <f>IF(OR(NOT(ISNUMBER(G220)),NOT(ISNUMBER(H220))),"",H220-G220)</f>
        <v/>
      </c>
      <c r="J220" s="319">
        <f>IF(OR(NOT(ISNUMBER(G220)),NOT(ISNUMBER(H220)),G220=0),"",I220/G220)</f>
        <v/>
      </c>
      <c r="K220" s="319">
        <f>IF(OR(NOT(ISNUMBER(G220)),NOT(ISNUMBER(H220)),G220=0),"",H220/G220)</f>
        <v/>
      </c>
      <c r="L220">
        <f>IF(NOT(ISNUMBER(G220)),"SEM META",IF(G220=0,"SEM META",IF(NOT(ISNUMBER(H220)),"SEM APONTAMENTO",IF(H220&gt;=G220,"VERDE",IF(H220&gt;=G220*0.9,"AMARELO","VERMELHO")))))</f>
        <v/>
      </c>
      <c r="M220" s="162" t="n"/>
      <c r="N220" s="162" t="n"/>
      <c r="O220" s="162" t="n"/>
      <c r="P220" s="162" t="n"/>
      <c r="Q220" s="320" t="n"/>
      <c r="R220" s="162" t="inlineStr">
        <is>
          <t>CONTROLE PRODUÇÃO POR EMPRESAS!D42</t>
        </is>
      </c>
    </row>
    <row r="221" hidden="1" ht="28.5" customHeight="1">
      <c r="A221" s="317" t="n">
        <v>46259</v>
      </c>
      <c r="B221" t="inlineStr">
        <is>
          <t>GERAL</t>
        </is>
      </c>
      <c r="C221" t="inlineStr">
        <is>
          <t>CMM</t>
        </is>
      </c>
      <c r="D221" t="inlineStr">
        <is>
          <t>PREMONTAGEM</t>
        </is>
      </c>
      <c r="F221" s="159">
        <f>IFERROR(INDEX('BASE METAS DIÁRIAS'!$N$2:$S$358,MATCH($A221,'BASE METAS DIÁRIAS'!$A$2:$A$358,0),MOD(ROW()-2,6)+1),"")</f>
        <v/>
      </c>
      <c r="G221" s="159">
        <f>IFERROR(IF(WEEKDAY($A221,2)&lt;=INDEX('BASE METAS DIÁRIAS'!$H$2:$M$358,MATCH($A221,'BASE METAS DIÁRIAS'!$A$2:$A$358,0),MOD(ROW()-2,6)+1),INDEX('BASE METAS DIÁRIAS'!$B$2:$G$358,MATCH($A221,'BASE METAS DIÁRIAS'!$A$2:$A$358,0),MOD(ROW()-2,6)+1),""),"")</f>
        <v/>
      </c>
      <c r="H221" s="159">
        <f>IFERROR(IF(INDEX('CONTROLE PRODUÇÃO POR EMPRESAS'!$B$6:$G$5000,MATCH($A221,'CONTROLE PRODUÇÃO POR EMPRESAS'!$A$6:$A$5000,0),MOD(ROW()-2,6)+1)="","",IFERROR(1*INDEX('CONTROLE PRODUÇÃO POR EMPRESAS'!$B$6:$G$5000,MATCH($A221,'CONTROLE PRODUÇÃO POR EMPRESAS'!$A$6:$A$5000,0),MOD(ROW()-2,6)+1),"")),"")</f>
        <v/>
      </c>
      <c r="I221" s="159">
        <f>IF(OR(NOT(ISNUMBER(G221)),NOT(ISNUMBER(H221))),"",H221-G221)</f>
        <v/>
      </c>
      <c r="J221" s="319">
        <f>IF(OR(NOT(ISNUMBER(G221)),NOT(ISNUMBER(H221)),G221=0),"",I221/G221)</f>
        <v/>
      </c>
      <c r="K221" s="319">
        <f>IF(OR(NOT(ISNUMBER(G221)),NOT(ISNUMBER(H221)),G221=0),"",H221/G221)</f>
        <v/>
      </c>
      <c r="L221">
        <f>IF(NOT(ISNUMBER(G221)),"SEM META",IF(G221=0,"SEM META",IF(NOT(ISNUMBER(H221)),"SEM APONTAMENTO",IF(H221&gt;=G221,"VERDE",IF(H221&gt;=G221*0.9,"AMARELO","VERMELHO")))))</f>
        <v/>
      </c>
      <c r="M221" s="162" t="n"/>
      <c r="N221" s="162" t="n"/>
      <c r="O221" s="162" t="n"/>
      <c r="P221" s="162" t="n"/>
      <c r="Q221" s="320" t="n"/>
      <c r="R221" s="162" t="inlineStr">
        <is>
          <t>CONTROLE PRODUÇÃO POR EMPRESAS!E42</t>
        </is>
      </c>
    </row>
    <row r="222" hidden="1" ht="28.5" customHeight="1">
      <c r="A222" s="317" t="n">
        <v>46259</v>
      </c>
      <c r="B222" t="inlineStr">
        <is>
          <t>GERAL</t>
        </is>
      </c>
      <c r="C222" t="inlineStr">
        <is>
          <t>CMM</t>
        </is>
      </c>
      <c r="D222" t="inlineStr">
        <is>
          <t>IÇAMENTO JOIST</t>
        </is>
      </c>
      <c r="F222" s="159">
        <f>IFERROR(INDEX('BASE METAS DIÁRIAS'!$N$2:$S$358,MATCH($A222,'BASE METAS DIÁRIAS'!$A$2:$A$358,0),MOD(ROW()-2,6)+1),"")</f>
        <v/>
      </c>
      <c r="G222" s="159">
        <f>IFERROR(IF(WEEKDAY($A222,2)&lt;=INDEX('BASE METAS DIÁRIAS'!$H$2:$M$358,MATCH($A222,'BASE METAS DIÁRIAS'!$A$2:$A$358,0),MOD(ROW()-2,6)+1),INDEX('BASE METAS DIÁRIAS'!$B$2:$G$358,MATCH($A222,'BASE METAS DIÁRIAS'!$A$2:$A$358,0),MOD(ROW()-2,6)+1),""),"")</f>
        <v/>
      </c>
      <c r="H222" s="159">
        <f>IFERROR(IF(INDEX('CONTROLE PRODUÇÃO POR EMPRESAS'!$B$6:$G$5000,MATCH($A222,'CONTROLE PRODUÇÃO POR EMPRESAS'!$A$6:$A$5000,0),MOD(ROW()-2,6)+1)="","",IFERROR(1*INDEX('CONTROLE PRODUÇÃO POR EMPRESAS'!$B$6:$G$5000,MATCH($A222,'CONTROLE PRODUÇÃO POR EMPRESAS'!$A$6:$A$5000,0),MOD(ROW()-2,6)+1),"")),"")</f>
        <v/>
      </c>
      <c r="I222" s="159">
        <f>IF(OR(NOT(ISNUMBER(G222)),NOT(ISNUMBER(H222))),"",H222-G222)</f>
        <v/>
      </c>
      <c r="J222" s="319">
        <f>IF(OR(NOT(ISNUMBER(G222)),NOT(ISNUMBER(H222)),G222=0),"",I222/G222)</f>
        <v/>
      </c>
      <c r="K222" s="319">
        <f>IF(OR(NOT(ISNUMBER(G222)),NOT(ISNUMBER(H222)),G222=0),"",H222/G222)</f>
        <v/>
      </c>
      <c r="L222">
        <f>IF(NOT(ISNUMBER(G222)),"SEM META",IF(G222=0,"SEM META",IF(NOT(ISNUMBER(H222)),"SEM APONTAMENTO",IF(H222&gt;=G222,"VERDE",IF(H222&gt;=G222*0.9,"AMARELO","VERMELHO")))))</f>
        <v/>
      </c>
      <c r="M222" s="162" t="n"/>
      <c r="N222" s="162" t="n"/>
      <c r="O222" s="162" t="n"/>
      <c r="P222" s="162" t="n"/>
      <c r="Q222" s="320" t="n"/>
      <c r="R222" s="162" t="inlineStr">
        <is>
          <t>CONTROLE PRODUÇÃO POR EMPRESAS!F42</t>
        </is>
      </c>
    </row>
    <row r="223" hidden="1" ht="28.5" customHeight="1">
      <c r="A223" s="317" t="n">
        <v>46259</v>
      </c>
      <c r="B223" t="inlineStr">
        <is>
          <t>GERAL</t>
        </is>
      </c>
      <c r="C223" t="inlineStr">
        <is>
          <t>CMM</t>
        </is>
      </c>
      <c r="D223" t="inlineStr">
        <is>
          <t>VIGAS</t>
        </is>
      </c>
      <c r="F223" s="159">
        <f>IFERROR(INDEX('BASE METAS DIÁRIAS'!$N$2:$S$358,MATCH($A223,'BASE METAS DIÁRIAS'!$A$2:$A$358,0),MOD(ROW()-2,6)+1),"")</f>
        <v/>
      </c>
      <c r="G223" s="159">
        <f>IFERROR(IF(WEEKDAY($A223,2)&lt;=INDEX('BASE METAS DIÁRIAS'!$H$2:$M$358,MATCH($A223,'BASE METAS DIÁRIAS'!$A$2:$A$358,0),MOD(ROW()-2,6)+1),INDEX('BASE METAS DIÁRIAS'!$B$2:$G$358,MATCH($A223,'BASE METAS DIÁRIAS'!$A$2:$A$358,0),MOD(ROW()-2,6)+1),""),"")</f>
        <v/>
      </c>
      <c r="H223" s="159">
        <f>IFERROR(IF(INDEX('CONTROLE PRODUÇÃO POR EMPRESAS'!$B$6:$G$5000,MATCH($A223,'CONTROLE PRODUÇÃO POR EMPRESAS'!$A$6:$A$5000,0),MOD(ROW()-2,6)+1)="","",IFERROR(1*INDEX('CONTROLE PRODUÇÃO POR EMPRESAS'!$B$6:$G$5000,MATCH($A223,'CONTROLE PRODUÇÃO POR EMPRESAS'!$A$6:$A$5000,0),MOD(ROW()-2,6)+1),"")),"")</f>
        <v/>
      </c>
      <c r="I223" s="159">
        <f>IF(OR(NOT(ISNUMBER(G223)),NOT(ISNUMBER(H223))),"",H223-G223)</f>
        <v/>
      </c>
      <c r="J223" s="319">
        <f>IF(OR(NOT(ISNUMBER(G223)),NOT(ISNUMBER(H223)),G223=0),"",I223/G223)</f>
        <v/>
      </c>
      <c r="K223" s="319">
        <f>IF(OR(NOT(ISNUMBER(G223)),NOT(ISNUMBER(H223)),G223=0),"",H223/G223)</f>
        <v/>
      </c>
      <c r="L223">
        <f>IF(NOT(ISNUMBER(G223)),"SEM META",IF(G223=0,"SEM META",IF(NOT(ISNUMBER(H223)),"SEM APONTAMENTO",IF(H223&gt;=G223,"VERDE",IF(H223&gt;=G223*0.9,"AMARELO","VERMELHO")))))</f>
        <v/>
      </c>
      <c r="M223" s="162" t="n"/>
      <c r="N223" s="162" t="n"/>
      <c r="O223" s="162" t="n"/>
      <c r="P223" s="162" t="n"/>
      <c r="Q223" s="320" t="n"/>
      <c r="R223" s="162" t="inlineStr">
        <is>
          <t>CONTROLE PRODUÇÃO POR EMPRESAS!G42</t>
        </is>
      </c>
    </row>
    <row r="224" hidden="1" ht="28.5" customHeight="1">
      <c r="A224" s="317" t="n">
        <v>46260</v>
      </c>
      <c r="B224" t="inlineStr">
        <is>
          <t>GERAL</t>
        </is>
      </c>
      <c r="C224" t="inlineStr">
        <is>
          <t>EJ</t>
        </is>
      </c>
      <c r="D224" t="inlineStr">
        <is>
          <t>PREMONTAGEM</t>
        </is>
      </c>
      <c r="F224" s="159">
        <f>IFERROR(INDEX('BASE METAS DIÁRIAS'!$N$2:$S$358,MATCH($A224,'BASE METAS DIÁRIAS'!$A$2:$A$358,0),MOD(ROW()-2,6)+1),"")</f>
        <v/>
      </c>
      <c r="G224" s="159">
        <f>IFERROR(IF(WEEKDAY($A224,2)&lt;=INDEX('BASE METAS DIÁRIAS'!$H$2:$M$358,MATCH($A224,'BASE METAS DIÁRIAS'!$A$2:$A$358,0),MOD(ROW()-2,6)+1),INDEX('BASE METAS DIÁRIAS'!$B$2:$G$358,MATCH($A224,'BASE METAS DIÁRIAS'!$A$2:$A$358,0),MOD(ROW()-2,6)+1),""),"")</f>
        <v/>
      </c>
      <c r="H224" s="159">
        <f>IFERROR(IF(INDEX('CONTROLE PRODUÇÃO POR EMPRESAS'!$B$6:$G$5000,MATCH($A224,'CONTROLE PRODUÇÃO POR EMPRESAS'!$A$6:$A$5000,0),MOD(ROW()-2,6)+1)="","",IFERROR(1*INDEX('CONTROLE PRODUÇÃO POR EMPRESAS'!$B$6:$G$5000,MATCH($A224,'CONTROLE PRODUÇÃO POR EMPRESAS'!$A$6:$A$5000,0),MOD(ROW()-2,6)+1),"")),"")</f>
        <v/>
      </c>
      <c r="I224" s="159">
        <f>IF(OR(NOT(ISNUMBER(G224)),NOT(ISNUMBER(H224))),"",H224-G224)</f>
        <v/>
      </c>
      <c r="J224" s="319">
        <f>IF(OR(NOT(ISNUMBER(G224)),NOT(ISNUMBER(H224)),G224=0),"",I224/G224)</f>
        <v/>
      </c>
      <c r="K224" s="319">
        <f>IF(OR(NOT(ISNUMBER(G224)),NOT(ISNUMBER(H224)),G224=0),"",H224/G224)</f>
        <v/>
      </c>
      <c r="L224">
        <f>IF(NOT(ISNUMBER(G224)),"SEM META",IF(G224=0,"SEM META",IF(NOT(ISNUMBER(H224)),"SEM APONTAMENTO",IF(H224&gt;=G224,"VERDE",IF(H224&gt;=G224*0.9,"AMARELO","VERMELHO")))))</f>
        <v/>
      </c>
      <c r="M224" s="162" t="n"/>
      <c r="N224" s="162" t="n"/>
      <c r="O224" s="162" t="n"/>
      <c r="P224" s="162" t="n"/>
      <c r="Q224" s="320" t="n"/>
      <c r="R224" s="162" t="inlineStr">
        <is>
          <t>CONTROLE PRODUÇÃO POR EMPRESAS!B43</t>
        </is>
      </c>
    </row>
    <row r="225" hidden="1" ht="28.5" customHeight="1">
      <c r="A225" s="317" t="n">
        <v>46260</v>
      </c>
      <c r="B225" t="inlineStr">
        <is>
          <t>GERAL</t>
        </is>
      </c>
      <c r="C225" t="inlineStr">
        <is>
          <t>EJ</t>
        </is>
      </c>
      <c r="D225" t="inlineStr">
        <is>
          <t>IÇAMENTO JOIST</t>
        </is>
      </c>
      <c r="F225" s="159">
        <f>IFERROR(INDEX('BASE METAS DIÁRIAS'!$N$2:$S$358,MATCH($A225,'BASE METAS DIÁRIAS'!$A$2:$A$358,0),MOD(ROW()-2,6)+1),"")</f>
        <v/>
      </c>
      <c r="G225" s="159">
        <f>IFERROR(IF(WEEKDAY($A225,2)&lt;=INDEX('BASE METAS DIÁRIAS'!$H$2:$M$358,MATCH($A225,'BASE METAS DIÁRIAS'!$A$2:$A$358,0),MOD(ROW()-2,6)+1),INDEX('BASE METAS DIÁRIAS'!$B$2:$G$358,MATCH($A225,'BASE METAS DIÁRIAS'!$A$2:$A$358,0),MOD(ROW()-2,6)+1),""),"")</f>
        <v/>
      </c>
      <c r="H225" s="159">
        <f>IFERROR(IF(INDEX('CONTROLE PRODUÇÃO POR EMPRESAS'!$B$6:$G$5000,MATCH($A225,'CONTROLE PRODUÇÃO POR EMPRESAS'!$A$6:$A$5000,0),MOD(ROW()-2,6)+1)="","",IFERROR(1*INDEX('CONTROLE PRODUÇÃO POR EMPRESAS'!$B$6:$G$5000,MATCH($A225,'CONTROLE PRODUÇÃO POR EMPRESAS'!$A$6:$A$5000,0),MOD(ROW()-2,6)+1),"")),"")</f>
        <v/>
      </c>
      <c r="I225" s="159">
        <f>IF(OR(NOT(ISNUMBER(G225)),NOT(ISNUMBER(H225))),"",H225-G225)</f>
        <v/>
      </c>
      <c r="J225" s="319">
        <f>IF(OR(NOT(ISNUMBER(G225)),NOT(ISNUMBER(H225)),G225=0),"",I225/G225)</f>
        <v/>
      </c>
      <c r="K225" s="319">
        <f>IF(OR(NOT(ISNUMBER(G225)),NOT(ISNUMBER(H225)),G225=0),"",H225/G225)</f>
        <v/>
      </c>
      <c r="L225">
        <f>IF(NOT(ISNUMBER(G225)),"SEM META",IF(G225=0,"SEM META",IF(NOT(ISNUMBER(H225)),"SEM APONTAMENTO",IF(H225&gt;=G225,"VERDE",IF(H225&gt;=G225*0.9,"AMARELO","VERMELHO")))))</f>
        <v/>
      </c>
      <c r="M225" s="162" t="n"/>
      <c r="N225" s="162" t="n"/>
      <c r="O225" s="162" t="n"/>
      <c r="P225" s="162" t="n"/>
      <c r="Q225" s="320" t="n"/>
      <c r="R225" s="162" t="inlineStr">
        <is>
          <t>CONTROLE PRODUÇÃO POR EMPRESAS!C43</t>
        </is>
      </c>
    </row>
    <row r="226" hidden="1" ht="28.5" customHeight="1">
      <c r="A226" s="317" t="n">
        <v>46260</v>
      </c>
      <c r="B226" t="inlineStr">
        <is>
          <t>GERAL</t>
        </is>
      </c>
      <c r="C226" t="inlineStr">
        <is>
          <t>EJ</t>
        </is>
      </c>
      <c r="D226" t="inlineStr">
        <is>
          <t>VIGAS</t>
        </is>
      </c>
      <c r="F226" s="159">
        <f>IFERROR(INDEX('BASE METAS DIÁRIAS'!$N$2:$S$358,MATCH($A226,'BASE METAS DIÁRIAS'!$A$2:$A$358,0),MOD(ROW()-2,6)+1),"")</f>
        <v/>
      </c>
      <c r="G226" s="159">
        <f>IFERROR(IF(WEEKDAY($A226,2)&lt;=INDEX('BASE METAS DIÁRIAS'!$H$2:$M$358,MATCH($A226,'BASE METAS DIÁRIAS'!$A$2:$A$358,0),MOD(ROW()-2,6)+1),INDEX('BASE METAS DIÁRIAS'!$B$2:$G$358,MATCH($A226,'BASE METAS DIÁRIAS'!$A$2:$A$358,0),MOD(ROW()-2,6)+1),""),"")</f>
        <v/>
      </c>
      <c r="H226" s="159">
        <f>IFERROR(IF(INDEX('CONTROLE PRODUÇÃO POR EMPRESAS'!$B$6:$G$5000,MATCH($A226,'CONTROLE PRODUÇÃO POR EMPRESAS'!$A$6:$A$5000,0),MOD(ROW()-2,6)+1)="","",IFERROR(1*INDEX('CONTROLE PRODUÇÃO POR EMPRESAS'!$B$6:$G$5000,MATCH($A226,'CONTROLE PRODUÇÃO POR EMPRESAS'!$A$6:$A$5000,0),MOD(ROW()-2,6)+1),"")),"")</f>
        <v/>
      </c>
      <c r="I226" s="159">
        <f>IF(OR(NOT(ISNUMBER(G226)),NOT(ISNUMBER(H226))),"",H226-G226)</f>
        <v/>
      </c>
      <c r="J226" s="319">
        <f>IF(OR(NOT(ISNUMBER(G226)),NOT(ISNUMBER(H226)),G226=0),"",I226/G226)</f>
        <v/>
      </c>
      <c r="K226" s="319">
        <f>IF(OR(NOT(ISNUMBER(G226)),NOT(ISNUMBER(H226)),G226=0),"",H226/G226)</f>
        <v/>
      </c>
      <c r="L226">
        <f>IF(NOT(ISNUMBER(G226)),"SEM META",IF(G226=0,"SEM META",IF(NOT(ISNUMBER(H226)),"SEM APONTAMENTO",IF(H226&gt;=G226,"VERDE",IF(H226&gt;=G226*0.9,"AMARELO","VERMELHO")))))</f>
        <v/>
      </c>
      <c r="M226" s="162" t="n"/>
      <c r="N226" s="162" t="n"/>
      <c r="O226" s="162" t="n"/>
      <c r="P226" s="162" t="n"/>
      <c r="Q226" s="320" t="n"/>
      <c r="R226" s="162" t="inlineStr">
        <is>
          <t>CONTROLE PRODUÇÃO POR EMPRESAS!D43</t>
        </is>
      </c>
    </row>
    <row r="227" hidden="1" ht="28.5" customHeight="1">
      <c r="A227" s="317" t="n">
        <v>46260</v>
      </c>
      <c r="B227" t="inlineStr">
        <is>
          <t>GERAL</t>
        </is>
      </c>
      <c r="C227" t="inlineStr">
        <is>
          <t>CMM</t>
        </is>
      </c>
      <c r="D227" t="inlineStr">
        <is>
          <t>PREMONTAGEM</t>
        </is>
      </c>
      <c r="F227" s="159">
        <f>IFERROR(INDEX('BASE METAS DIÁRIAS'!$N$2:$S$358,MATCH($A227,'BASE METAS DIÁRIAS'!$A$2:$A$358,0),MOD(ROW()-2,6)+1),"")</f>
        <v/>
      </c>
      <c r="G227" s="159">
        <f>IFERROR(IF(WEEKDAY($A227,2)&lt;=INDEX('BASE METAS DIÁRIAS'!$H$2:$M$358,MATCH($A227,'BASE METAS DIÁRIAS'!$A$2:$A$358,0),MOD(ROW()-2,6)+1),INDEX('BASE METAS DIÁRIAS'!$B$2:$G$358,MATCH($A227,'BASE METAS DIÁRIAS'!$A$2:$A$358,0),MOD(ROW()-2,6)+1),""),"")</f>
        <v/>
      </c>
      <c r="H227" s="159">
        <f>IFERROR(IF(INDEX('CONTROLE PRODUÇÃO POR EMPRESAS'!$B$6:$G$5000,MATCH($A227,'CONTROLE PRODUÇÃO POR EMPRESAS'!$A$6:$A$5000,0),MOD(ROW()-2,6)+1)="","",IFERROR(1*INDEX('CONTROLE PRODUÇÃO POR EMPRESAS'!$B$6:$G$5000,MATCH($A227,'CONTROLE PRODUÇÃO POR EMPRESAS'!$A$6:$A$5000,0),MOD(ROW()-2,6)+1),"")),"")</f>
        <v/>
      </c>
      <c r="I227" s="159">
        <f>IF(OR(NOT(ISNUMBER(G227)),NOT(ISNUMBER(H227))),"",H227-G227)</f>
        <v/>
      </c>
      <c r="J227" s="319">
        <f>IF(OR(NOT(ISNUMBER(G227)),NOT(ISNUMBER(H227)),G227=0),"",I227/G227)</f>
        <v/>
      </c>
      <c r="K227" s="319">
        <f>IF(OR(NOT(ISNUMBER(G227)),NOT(ISNUMBER(H227)),G227=0),"",H227/G227)</f>
        <v/>
      </c>
      <c r="L227">
        <f>IF(NOT(ISNUMBER(G227)),"SEM META",IF(G227=0,"SEM META",IF(NOT(ISNUMBER(H227)),"SEM APONTAMENTO",IF(H227&gt;=G227,"VERDE",IF(H227&gt;=G227*0.9,"AMARELO","VERMELHO")))))</f>
        <v/>
      </c>
      <c r="M227" s="162" t="n"/>
      <c r="N227" s="162" t="n"/>
      <c r="O227" s="162" t="n"/>
      <c r="P227" s="162" t="n"/>
      <c r="Q227" s="320" t="n"/>
      <c r="R227" s="162" t="inlineStr">
        <is>
          <t>CONTROLE PRODUÇÃO POR EMPRESAS!E43</t>
        </is>
      </c>
    </row>
    <row r="228" hidden="1" ht="28.5" customHeight="1">
      <c r="A228" s="317" t="n">
        <v>46260</v>
      </c>
      <c r="B228" t="inlineStr">
        <is>
          <t>GERAL</t>
        </is>
      </c>
      <c r="C228" t="inlineStr">
        <is>
          <t>CMM</t>
        </is>
      </c>
      <c r="D228" t="inlineStr">
        <is>
          <t>IÇAMENTO JOIST</t>
        </is>
      </c>
      <c r="F228" s="159">
        <f>IFERROR(INDEX('BASE METAS DIÁRIAS'!$N$2:$S$358,MATCH($A228,'BASE METAS DIÁRIAS'!$A$2:$A$358,0),MOD(ROW()-2,6)+1),"")</f>
        <v/>
      </c>
      <c r="G228" s="159">
        <f>IFERROR(IF(WEEKDAY($A228,2)&lt;=INDEX('BASE METAS DIÁRIAS'!$H$2:$M$358,MATCH($A228,'BASE METAS DIÁRIAS'!$A$2:$A$358,0),MOD(ROW()-2,6)+1),INDEX('BASE METAS DIÁRIAS'!$B$2:$G$358,MATCH($A228,'BASE METAS DIÁRIAS'!$A$2:$A$358,0),MOD(ROW()-2,6)+1),""),"")</f>
        <v/>
      </c>
      <c r="H228" s="159">
        <f>IFERROR(IF(INDEX('CONTROLE PRODUÇÃO POR EMPRESAS'!$B$6:$G$5000,MATCH($A228,'CONTROLE PRODUÇÃO POR EMPRESAS'!$A$6:$A$5000,0),MOD(ROW()-2,6)+1)="","",IFERROR(1*INDEX('CONTROLE PRODUÇÃO POR EMPRESAS'!$B$6:$G$5000,MATCH($A228,'CONTROLE PRODUÇÃO POR EMPRESAS'!$A$6:$A$5000,0),MOD(ROW()-2,6)+1),"")),"")</f>
        <v/>
      </c>
      <c r="I228" s="159">
        <f>IF(OR(NOT(ISNUMBER(G228)),NOT(ISNUMBER(H228))),"",H228-G228)</f>
        <v/>
      </c>
      <c r="J228" s="319">
        <f>IF(OR(NOT(ISNUMBER(G228)),NOT(ISNUMBER(H228)),G228=0),"",I228/G228)</f>
        <v/>
      </c>
      <c r="K228" s="319">
        <f>IF(OR(NOT(ISNUMBER(G228)),NOT(ISNUMBER(H228)),G228=0),"",H228/G228)</f>
        <v/>
      </c>
      <c r="L228">
        <f>IF(NOT(ISNUMBER(G228)),"SEM META",IF(G228=0,"SEM META",IF(NOT(ISNUMBER(H228)),"SEM APONTAMENTO",IF(H228&gt;=G228,"VERDE",IF(H228&gt;=G228*0.9,"AMARELO","VERMELHO")))))</f>
        <v/>
      </c>
      <c r="M228" s="162" t="n"/>
      <c r="N228" s="162" t="n"/>
      <c r="O228" s="162" t="n"/>
      <c r="P228" s="162" t="n"/>
      <c r="Q228" s="320" t="n"/>
      <c r="R228" s="162" t="inlineStr">
        <is>
          <t>CONTROLE PRODUÇÃO POR EMPRESAS!F43</t>
        </is>
      </c>
    </row>
    <row r="229" hidden="1" ht="28.5" customHeight="1">
      <c r="A229" s="317" t="n">
        <v>46260</v>
      </c>
      <c r="B229" t="inlineStr">
        <is>
          <t>GERAL</t>
        </is>
      </c>
      <c r="C229" t="inlineStr">
        <is>
          <t>CMM</t>
        </is>
      </c>
      <c r="D229" t="inlineStr">
        <is>
          <t>VIGAS</t>
        </is>
      </c>
      <c r="F229" s="159">
        <f>IFERROR(INDEX('BASE METAS DIÁRIAS'!$N$2:$S$358,MATCH($A229,'BASE METAS DIÁRIAS'!$A$2:$A$358,0),MOD(ROW()-2,6)+1),"")</f>
        <v/>
      </c>
      <c r="G229" s="159">
        <f>IFERROR(IF(WEEKDAY($A229,2)&lt;=INDEX('BASE METAS DIÁRIAS'!$H$2:$M$358,MATCH($A229,'BASE METAS DIÁRIAS'!$A$2:$A$358,0),MOD(ROW()-2,6)+1),INDEX('BASE METAS DIÁRIAS'!$B$2:$G$358,MATCH($A229,'BASE METAS DIÁRIAS'!$A$2:$A$358,0),MOD(ROW()-2,6)+1),""),"")</f>
        <v/>
      </c>
      <c r="H229" s="159">
        <f>IFERROR(IF(INDEX('CONTROLE PRODUÇÃO POR EMPRESAS'!$B$6:$G$5000,MATCH($A229,'CONTROLE PRODUÇÃO POR EMPRESAS'!$A$6:$A$5000,0),MOD(ROW()-2,6)+1)="","",IFERROR(1*INDEX('CONTROLE PRODUÇÃO POR EMPRESAS'!$B$6:$G$5000,MATCH($A229,'CONTROLE PRODUÇÃO POR EMPRESAS'!$A$6:$A$5000,0),MOD(ROW()-2,6)+1),"")),"")</f>
        <v/>
      </c>
      <c r="I229" s="159">
        <f>IF(OR(NOT(ISNUMBER(G229)),NOT(ISNUMBER(H229))),"",H229-G229)</f>
        <v/>
      </c>
      <c r="J229" s="319">
        <f>IF(OR(NOT(ISNUMBER(G229)),NOT(ISNUMBER(H229)),G229=0),"",I229/G229)</f>
        <v/>
      </c>
      <c r="K229" s="319">
        <f>IF(OR(NOT(ISNUMBER(G229)),NOT(ISNUMBER(H229)),G229=0),"",H229/G229)</f>
        <v/>
      </c>
      <c r="L229">
        <f>IF(NOT(ISNUMBER(G229)),"SEM META",IF(G229=0,"SEM META",IF(NOT(ISNUMBER(H229)),"SEM APONTAMENTO",IF(H229&gt;=G229,"VERDE",IF(H229&gt;=G229*0.9,"AMARELO","VERMELHO")))))</f>
        <v/>
      </c>
      <c r="M229" s="162" t="n"/>
      <c r="N229" s="162" t="n"/>
      <c r="O229" s="162" t="n"/>
      <c r="P229" s="162" t="n"/>
      <c r="Q229" s="320" t="n"/>
      <c r="R229" s="162" t="inlineStr">
        <is>
          <t>CONTROLE PRODUÇÃO POR EMPRESAS!G43</t>
        </is>
      </c>
    </row>
    <row r="230" hidden="1" ht="28.5" customHeight="1">
      <c r="A230" s="317" t="n">
        <v>46261</v>
      </c>
      <c r="B230" t="inlineStr">
        <is>
          <t>GERAL</t>
        </is>
      </c>
      <c r="C230" t="inlineStr">
        <is>
          <t>EJ</t>
        </is>
      </c>
      <c r="D230" t="inlineStr">
        <is>
          <t>PREMONTAGEM</t>
        </is>
      </c>
      <c r="F230" s="159">
        <f>IFERROR(INDEX('BASE METAS DIÁRIAS'!$N$2:$S$358,MATCH($A230,'BASE METAS DIÁRIAS'!$A$2:$A$358,0),MOD(ROW()-2,6)+1),"")</f>
        <v/>
      </c>
      <c r="G230" s="159">
        <f>IFERROR(IF(WEEKDAY($A230,2)&lt;=INDEX('BASE METAS DIÁRIAS'!$H$2:$M$358,MATCH($A230,'BASE METAS DIÁRIAS'!$A$2:$A$358,0),MOD(ROW()-2,6)+1),INDEX('BASE METAS DIÁRIAS'!$B$2:$G$358,MATCH($A230,'BASE METAS DIÁRIAS'!$A$2:$A$358,0),MOD(ROW()-2,6)+1),""),"")</f>
        <v/>
      </c>
      <c r="H230" s="159">
        <f>IFERROR(IF(INDEX('CONTROLE PRODUÇÃO POR EMPRESAS'!$B$6:$G$5000,MATCH($A230,'CONTROLE PRODUÇÃO POR EMPRESAS'!$A$6:$A$5000,0),MOD(ROW()-2,6)+1)="","",IFERROR(1*INDEX('CONTROLE PRODUÇÃO POR EMPRESAS'!$B$6:$G$5000,MATCH($A230,'CONTROLE PRODUÇÃO POR EMPRESAS'!$A$6:$A$5000,0),MOD(ROW()-2,6)+1),"")),"")</f>
        <v/>
      </c>
      <c r="I230" s="159">
        <f>IF(OR(NOT(ISNUMBER(G230)),NOT(ISNUMBER(H230))),"",H230-G230)</f>
        <v/>
      </c>
      <c r="J230" s="319">
        <f>IF(OR(NOT(ISNUMBER(G230)),NOT(ISNUMBER(H230)),G230=0),"",I230/G230)</f>
        <v/>
      </c>
      <c r="K230" s="319">
        <f>IF(OR(NOT(ISNUMBER(G230)),NOT(ISNUMBER(H230)),G230=0),"",H230/G230)</f>
        <v/>
      </c>
      <c r="L230">
        <f>IF(NOT(ISNUMBER(G230)),"SEM META",IF(G230=0,"SEM META",IF(NOT(ISNUMBER(H230)),"SEM APONTAMENTO",IF(H230&gt;=G230,"VERDE",IF(H230&gt;=G230*0.9,"AMARELO","VERMELHO")))))</f>
        <v/>
      </c>
      <c r="M230" s="162" t="n"/>
      <c r="N230" s="162" t="n"/>
      <c r="O230" s="162" t="n"/>
      <c r="P230" s="162" t="n"/>
      <c r="Q230" s="320" t="n"/>
      <c r="R230" s="162" t="inlineStr">
        <is>
          <t>CONTROLE PRODUÇÃO POR EMPRESAS!B44</t>
        </is>
      </c>
    </row>
    <row r="231" hidden="1" ht="28.5" customHeight="1">
      <c r="A231" s="317" t="n">
        <v>46261</v>
      </c>
      <c r="B231" t="inlineStr">
        <is>
          <t>GERAL</t>
        </is>
      </c>
      <c r="C231" t="inlineStr">
        <is>
          <t>EJ</t>
        </is>
      </c>
      <c r="D231" t="inlineStr">
        <is>
          <t>IÇAMENTO JOIST</t>
        </is>
      </c>
      <c r="F231" s="159">
        <f>IFERROR(INDEX('BASE METAS DIÁRIAS'!$N$2:$S$358,MATCH($A231,'BASE METAS DIÁRIAS'!$A$2:$A$358,0),MOD(ROW()-2,6)+1),"")</f>
        <v/>
      </c>
      <c r="G231" s="159">
        <f>IFERROR(IF(WEEKDAY($A231,2)&lt;=INDEX('BASE METAS DIÁRIAS'!$H$2:$M$358,MATCH($A231,'BASE METAS DIÁRIAS'!$A$2:$A$358,0),MOD(ROW()-2,6)+1),INDEX('BASE METAS DIÁRIAS'!$B$2:$G$358,MATCH($A231,'BASE METAS DIÁRIAS'!$A$2:$A$358,0),MOD(ROW()-2,6)+1),""),"")</f>
        <v/>
      </c>
      <c r="H231" s="159">
        <f>IFERROR(IF(INDEX('CONTROLE PRODUÇÃO POR EMPRESAS'!$B$6:$G$5000,MATCH($A231,'CONTROLE PRODUÇÃO POR EMPRESAS'!$A$6:$A$5000,0),MOD(ROW()-2,6)+1)="","",IFERROR(1*INDEX('CONTROLE PRODUÇÃO POR EMPRESAS'!$B$6:$G$5000,MATCH($A231,'CONTROLE PRODUÇÃO POR EMPRESAS'!$A$6:$A$5000,0),MOD(ROW()-2,6)+1),"")),"")</f>
        <v/>
      </c>
      <c r="I231" s="159">
        <f>IF(OR(NOT(ISNUMBER(G231)),NOT(ISNUMBER(H231))),"",H231-G231)</f>
        <v/>
      </c>
      <c r="J231" s="319">
        <f>IF(OR(NOT(ISNUMBER(G231)),NOT(ISNUMBER(H231)),G231=0),"",I231/G231)</f>
        <v/>
      </c>
      <c r="K231" s="319">
        <f>IF(OR(NOT(ISNUMBER(G231)),NOT(ISNUMBER(H231)),G231=0),"",H231/G231)</f>
        <v/>
      </c>
      <c r="L231">
        <f>IF(NOT(ISNUMBER(G231)),"SEM META",IF(G231=0,"SEM META",IF(NOT(ISNUMBER(H231)),"SEM APONTAMENTO",IF(H231&gt;=G231,"VERDE",IF(H231&gt;=G231*0.9,"AMARELO","VERMELHO")))))</f>
        <v/>
      </c>
      <c r="M231" s="162" t="n"/>
      <c r="N231" s="162" t="n"/>
      <c r="O231" s="162" t="n"/>
      <c r="P231" s="162" t="n"/>
      <c r="Q231" s="320" t="n"/>
      <c r="R231" s="162" t="inlineStr">
        <is>
          <t>CONTROLE PRODUÇÃO POR EMPRESAS!C44</t>
        </is>
      </c>
    </row>
    <row r="232" hidden="1" ht="28.5" customHeight="1">
      <c r="A232" s="317" t="n">
        <v>46261</v>
      </c>
      <c r="B232" t="inlineStr">
        <is>
          <t>GERAL</t>
        </is>
      </c>
      <c r="C232" t="inlineStr">
        <is>
          <t>EJ</t>
        </is>
      </c>
      <c r="D232" t="inlineStr">
        <is>
          <t>VIGAS</t>
        </is>
      </c>
      <c r="F232" s="159">
        <f>IFERROR(INDEX('BASE METAS DIÁRIAS'!$N$2:$S$358,MATCH($A232,'BASE METAS DIÁRIAS'!$A$2:$A$358,0),MOD(ROW()-2,6)+1),"")</f>
        <v/>
      </c>
      <c r="G232" s="159">
        <f>IFERROR(IF(WEEKDAY($A232,2)&lt;=INDEX('BASE METAS DIÁRIAS'!$H$2:$M$358,MATCH($A232,'BASE METAS DIÁRIAS'!$A$2:$A$358,0),MOD(ROW()-2,6)+1),INDEX('BASE METAS DIÁRIAS'!$B$2:$G$358,MATCH($A232,'BASE METAS DIÁRIAS'!$A$2:$A$358,0),MOD(ROW()-2,6)+1),""),"")</f>
        <v/>
      </c>
      <c r="H232" s="159">
        <f>IFERROR(IF(INDEX('CONTROLE PRODUÇÃO POR EMPRESAS'!$B$6:$G$5000,MATCH($A232,'CONTROLE PRODUÇÃO POR EMPRESAS'!$A$6:$A$5000,0),MOD(ROW()-2,6)+1)="","",IFERROR(1*INDEX('CONTROLE PRODUÇÃO POR EMPRESAS'!$B$6:$G$5000,MATCH($A232,'CONTROLE PRODUÇÃO POR EMPRESAS'!$A$6:$A$5000,0),MOD(ROW()-2,6)+1),"")),"")</f>
        <v/>
      </c>
      <c r="I232" s="159">
        <f>IF(OR(NOT(ISNUMBER(G232)),NOT(ISNUMBER(H232))),"",H232-G232)</f>
        <v/>
      </c>
      <c r="J232" s="319">
        <f>IF(OR(NOT(ISNUMBER(G232)),NOT(ISNUMBER(H232)),G232=0),"",I232/G232)</f>
        <v/>
      </c>
      <c r="K232" s="319">
        <f>IF(OR(NOT(ISNUMBER(G232)),NOT(ISNUMBER(H232)),G232=0),"",H232/G232)</f>
        <v/>
      </c>
      <c r="L232">
        <f>IF(NOT(ISNUMBER(G232)),"SEM META",IF(G232=0,"SEM META",IF(NOT(ISNUMBER(H232)),"SEM APONTAMENTO",IF(H232&gt;=G232,"VERDE",IF(H232&gt;=G232*0.9,"AMARELO","VERMELHO")))))</f>
        <v/>
      </c>
      <c r="M232" s="162" t="n"/>
      <c r="N232" s="162" t="n"/>
      <c r="O232" s="162" t="n"/>
      <c r="P232" s="162" t="n"/>
      <c r="Q232" s="320" t="n"/>
      <c r="R232" s="162" t="inlineStr">
        <is>
          <t>CONTROLE PRODUÇÃO POR EMPRESAS!D44</t>
        </is>
      </c>
    </row>
    <row r="233" hidden="1" ht="28.5" customHeight="1">
      <c r="A233" s="317" t="n">
        <v>46261</v>
      </c>
      <c r="B233" t="inlineStr">
        <is>
          <t>GERAL</t>
        </is>
      </c>
      <c r="C233" t="inlineStr">
        <is>
          <t>CMM</t>
        </is>
      </c>
      <c r="D233" t="inlineStr">
        <is>
          <t>PREMONTAGEM</t>
        </is>
      </c>
      <c r="F233" s="159">
        <f>IFERROR(INDEX('BASE METAS DIÁRIAS'!$N$2:$S$358,MATCH($A233,'BASE METAS DIÁRIAS'!$A$2:$A$358,0),MOD(ROW()-2,6)+1),"")</f>
        <v/>
      </c>
      <c r="G233" s="159">
        <f>IFERROR(IF(WEEKDAY($A233,2)&lt;=INDEX('BASE METAS DIÁRIAS'!$H$2:$M$358,MATCH($A233,'BASE METAS DIÁRIAS'!$A$2:$A$358,0),MOD(ROW()-2,6)+1),INDEX('BASE METAS DIÁRIAS'!$B$2:$G$358,MATCH($A233,'BASE METAS DIÁRIAS'!$A$2:$A$358,0),MOD(ROW()-2,6)+1),""),"")</f>
        <v/>
      </c>
      <c r="H233" s="159">
        <f>IFERROR(IF(INDEX('CONTROLE PRODUÇÃO POR EMPRESAS'!$B$6:$G$5000,MATCH($A233,'CONTROLE PRODUÇÃO POR EMPRESAS'!$A$6:$A$5000,0),MOD(ROW()-2,6)+1)="","",IFERROR(1*INDEX('CONTROLE PRODUÇÃO POR EMPRESAS'!$B$6:$G$5000,MATCH($A233,'CONTROLE PRODUÇÃO POR EMPRESAS'!$A$6:$A$5000,0),MOD(ROW()-2,6)+1),"")),"")</f>
        <v/>
      </c>
      <c r="I233" s="159">
        <f>IF(OR(NOT(ISNUMBER(G233)),NOT(ISNUMBER(H233))),"",H233-G233)</f>
        <v/>
      </c>
      <c r="J233" s="319">
        <f>IF(OR(NOT(ISNUMBER(G233)),NOT(ISNUMBER(H233)),G233=0),"",I233/G233)</f>
        <v/>
      </c>
      <c r="K233" s="319">
        <f>IF(OR(NOT(ISNUMBER(G233)),NOT(ISNUMBER(H233)),G233=0),"",H233/G233)</f>
        <v/>
      </c>
      <c r="L233">
        <f>IF(NOT(ISNUMBER(G233)),"SEM META",IF(G233=0,"SEM META",IF(NOT(ISNUMBER(H233)),"SEM APONTAMENTO",IF(H233&gt;=G233,"VERDE",IF(H233&gt;=G233*0.9,"AMARELO","VERMELHO")))))</f>
        <v/>
      </c>
      <c r="M233" s="162" t="n"/>
      <c r="N233" s="162" t="n"/>
      <c r="O233" s="162" t="n"/>
      <c r="P233" s="162" t="n"/>
      <c r="Q233" s="320" t="n"/>
      <c r="R233" s="162" t="inlineStr">
        <is>
          <t>CONTROLE PRODUÇÃO POR EMPRESAS!E44</t>
        </is>
      </c>
    </row>
    <row r="234" hidden="1" ht="28.5" customHeight="1">
      <c r="A234" s="317" t="n">
        <v>46261</v>
      </c>
      <c r="B234" t="inlineStr">
        <is>
          <t>GERAL</t>
        </is>
      </c>
      <c r="C234" t="inlineStr">
        <is>
          <t>CMM</t>
        </is>
      </c>
      <c r="D234" t="inlineStr">
        <is>
          <t>IÇAMENTO JOIST</t>
        </is>
      </c>
      <c r="F234" s="159">
        <f>IFERROR(INDEX('BASE METAS DIÁRIAS'!$N$2:$S$358,MATCH($A234,'BASE METAS DIÁRIAS'!$A$2:$A$358,0),MOD(ROW()-2,6)+1),"")</f>
        <v/>
      </c>
      <c r="G234" s="159">
        <f>IFERROR(IF(WEEKDAY($A234,2)&lt;=INDEX('BASE METAS DIÁRIAS'!$H$2:$M$358,MATCH($A234,'BASE METAS DIÁRIAS'!$A$2:$A$358,0),MOD(ROW()-2,6)+1),INDEX('BASE METAS DIÁRIAS'!$B$2:$G$358,MATCH($A234,'BASE METAS DIÁRIAS'!$A$2:$A$358,0),MOD(ROW()-2,6)+1),""),"")</f>
        <v/>
      </c>
      <c r="H234" s="159">
        <f>IFERROR(IF(INDEX('CONTROLE PRODUÇÃO POR EMPRESAS'!$B$6:$G$5000,MATCH($A234,'CONTROLE PRODUÇÃO POR EMPRESAS'!$A$6:$A$5000,0),MOD(ROW()-2,6)+1)="","",IFERROR(1*INDEX('CONTROLE PRODUÇÃO POR EMPRESAS'!$B$6:$G$5000,MATCH($A234,'CONTROLE PRODUÇÃO POR EMPRESAS'!$A$6:$A$5000,0),MOD(ROW()-2,6)+1),"")),"")</f>
        <v/>
      </c>
      <c r="I234" s="159">
        <f>IF(OR(NOT(ISNUMBER(G234)),NOT(ISNUMBER(H234))),"",H234-G234)</f>
        <v/>
      </c>
      <c r="J234" s="319">
        <f>IF(OR(NOT(ISNUMBER(G234)),NOT(ISNUMBER(H234)),G234=0),"",I234/G234)</f>
        <v/>
      </c>
      <c r="K234" s="319">
        <f>IF(OR(NOT(ISNUMBER(G234)),NOT(ISNUMBER(H234)),G234=0),"",H234/G234)</f>
        <v/>
      </c>
      <c r="L234">
        <f>IF(NOT(ISNUMBER(G234)),"SEM META",IF(G234=0,"SEM META",IF(NOT(ISNUMBER(H234)),"SEM APONTAMENTO",IF(H234&gt;=G234,"VERDE",IF(H234&gt;=G234*0.9,"AMARELO","VERMELHO")))))</f>
        <v/>
      </c>
      <c r="M234" s="162" t="n"/>
      <c r="N234" s="162" t="n"/>
      <c r="O234" s="162" t="n"/>
      <c r="P234" s="162" t="n"/>
      <c r="Q234" s="320" t="n"/>
      <c r="R234" s="162" t="inlineStr">
        <is>
          <t>CONTROLE PRODUÇÃO POR EMPRESAS!F44</t>
        </is>
      </c>
    </row>
    <row r="235" hidden="1" ht="28.5" customHeight="1">
      <c r="A235" s="317" t="n">
        <v>46261</v>
      </c>
      <c r="B235" t="inlineStr">
        <is>
          <t>GERAL</t>
        </is>
      </c>
      <c r="C235" t="inlineStr">
        <is>
          <t>CMM</t>
        </is>
      </c>
      <c r="D235" t="inlineStr">
        <is>
          <t>VIGAS</t>
        </is>
      </c>
      <c r="F235" s="159">
        <f>IFERROR(INDEX('BASE METAS DIÁRIAS'!$N$2:$S$358,MATCH($A235,'BASE METAS DIÁRIAS'!$A$2:$A$358,0),MOD(ROW()-2,6)+1),"")</f>
        <v/>
      </c>
      <c r="G235" s="159">
        <f>IFERROR(IF(WEEKDAY($A235,2)&lt;=INDEX('BASE METAS DIÁRIAS'!$H$2:$M$358,MATCH($A235,'BASE METAS DIÁRIAS'!$A$2:$A$358,0),MOD(ROW()-2,6)+1),INDEX('BASE METAS DIÁRIAS'!$B$2:$G$358,MATCH($A235,'BASE METAS DIÁRIAS'!$A$2:$A$358,0),MOD(ROW()-2,6)+1),""),"")</f>
        <v/>
      </c>
      <c r="H235" s="159">
        <f>IFERROR(IF(INDEX('CONTROLE PRODUÇÃO POR EMPRESAS'!$B$6:$G$5000,MATCH($A235,'CONTROLE PRODUÇÃO POR EMPRESAS'!$A$6:$A$5000,0),MOD(ROW()-2,6)+1)="","",IFERROR(1*INDEX('CONTROLE PRODUÇÃO POR EMPRESAS'!$B$6:$G$5000,MATCH($A235,'CONTROLE PRODUÇÃO POR EMPRESAS'!$A$6:$A$5000,0),MOD(ROW()-2,6)+1),"")),"")</f>
        <v/>
      </c>
      <c r="I235" s="159">
        <f>IF(OR(NOT(ISNUMBER(G235)),NOT(ISNUMBER(H235))),"",H235-G235)</f>
        <v/>
      </c>
      <c r="J235" s="319">
        <f>IF(OR(NOT(ISNUMBER(G235)),NOT(ISNUMBER(H235)),G235=0),"",I235/G235)</f>
        <v/>
      </c>
      <c r="K235" s="319">
        <f>IF(OR(NOT(ISNUMBER(G235)),NOT(ISNUMBER(H235)),G235=0),"",H235/G235)</f>
        <v/>
      </c>
      <c r="L235">
        <f>IF(NOT(ISNUMBER(G235)),"SEM META",IF(G235=0,"SEM META",IF(NOT(ISNUMBER(H235)),"SEM APONTAMENTO",IF(H235&gt;=G235,"VERDE",IF(H235&gt;=G235*0.9,"AMARELO","VERMELHO")))))</f>
        <v/>
      </c>
      <c r="M235" s="162" t="n"/>
      <c r="N235" s="162" t="n"/>
      <c r="O235" s="162" t="n"/>
      <c r="P235" s="162" t="n"/>
      <c r="Q235" s="320" t="n"/>
      <c r="R235" s="162" t="inlineStr">
        <is>
          <t>CONTROLE PRODUÇÃO POR EMPRESAS!G44</t>
        </is>
      </c>
    </row>
    <row r="236" hidden="1" ht="28.5" customHeight="1">
      <c r="A236" s="317" t="n">
        <v>46262</v>
      </c>
      <c r="B236" t="inlineStr">
        <is>
          <t>GERAL</t>
        </is>
      </c>
      <c r="C236" t="inlineStr">
        <is>
          <t>EJ</t>
        </is>
      </c>
      <c r="D236" t="inlineStr">
        <is>
          <t>PREMONTAGEM</t>
        </is>
      </c>
      <c r="F236" s="159">
        <f>IFERROR(INDEX('BASE METAS DIÁRIAS'!$N$2:$S$358,MATCH($A236,'BASE METAS DIÁRIAS'!$A$2:$A$358,0),MOD(ROW()-2,6)+1),"")</f>
        <v/>
      </c>
      <c r="G236" s="159">
        <f>IFERROR(IF(WEEKDAY($A236,2)&lt;=INDEX('BASE METAS DIÁRIAS'!$H$2:$M$358,MATCH($A236,'BASE METAS DIÁRIAS'!$A$2:$A$358,0),MOD(ROW()-2,6)+1),INDEX('BASE METAS DIÁRIAS'!$B$2:$G$358,MATCH($A236,'BASE METAS DIÁRIAS'!$A$2:$A$358,0),MOD(ROW()-2,6)+1),""),"")</f>
        <v/>
      </c>
      <c r="H236" s="159">
        <f>IFERROR(IF(INDEX('CONTROLE PRODUÇÃO POR EMPRESAS'!$B$6:$G$5000,MATCH($A236,'CONTROLE PRODUÇÃO POR EMPRESAS'!$A$6:$A$5000,0),MOD(ROW()-2,6)+1)="","",IFERROR(1*INDEX('CONTROLE PRODUÇÃO POR EMPRESAS'!$B$6:$G$5000,MATCH($A236,'CONTROLE PRODUÇÃO POR EMPRESAS'!$A$6:$A$5000,0),MOD(ROW()-2,6)+1),"")),"")</f>
        <v/>
      </c>
      <c r="I236" s="159">
        <f>IF(OR(NOT(ISNUMBER(G236)),NOT(ISNUMBER(H236))),"",H236-G236)</f>
        <v/>
      </c>
      <c r="J236" s="319">
        <f>IF(OR(NOT(ISNUMBER(G236)),NOT(ISNUMBER(H236)),G236=0),"",I236/G236)</f>
        <v/>
      </c>
      <c r="K236" s="319">
        <f>IF(OR(NOT(ISNUMBER(G236)),NOT(ISNUMBER(H236)),G236=0),"",H236/G236)</f>
        <v/>
      </c>
      <c r="L236">
        <f>IF(NOT(ISNUMBER(G236)),"SEM META",IF(G236=0,"SEM META",IF(NOT(ISNUMBER(H236)),"SEM APONTAMENTO",IF(H236&gt;=G236,"VERDE",IF(H236&gt;=G236*0.9,"AMARELO","VERMELHO")))))</f>
        <v/>
      </c>
      <c r="M236" s="162" t="n"/>
      <c r="N236" s="162" t="n"/>
      <c r="O236" s="162" t="n"/>
      <c r="P236" s="162" t="n"/>
      <c r="Q236" s="320" t="n"/>
      <c r="R236" s="162" t="inlineStr">
        <is>
          <t>CONTROLE PRODUÇÃO POR EMPRESAS!B45</t>
        </is>
      </c>
    </row>
    <row r="237" hidden="1" ht="28.5" customHeight="1">
      <c r="A237" s="317" t="n">
        <v>46262</v>
      </c>
      <c r="B237" t="inlineStr">
        <is>
          <t>GERAL</t>
        </is>
      </c>
      <c r="C237" t="inlineStr">
        <is>
          <t>EJ</t>
        </is>
      </c>
      <c r="D237" t="inlineStr">
        <is>
          <t>IÇAMENTO JOIST</t>
        </is>
      </c>
      <c r="F237" s="159">
        <f>IFERROR(INDEX('BASE METAS DIÁRIAS'!$N$2:$S$358,MATCH($A237,'BASE METAS DIÁRIAS'!$A$2:$A$358,0),MOD(ROW()-2,6)+1),"")</f>
        <v/>
      </c>
      <c r="G237" s="159">
        <f>IFERROR(IF(WEEKDAY($A237,2)&lt;=INDEX('BASE METAS DIÁRIAS'!$H$2:$M$358,MATCH($A237,'BASE METAS DIÁRIAS'!$A$2:$A$358,0),MOD(ROW()-2,6)+1),INDEX('BASE METAS DIÁRIAS'!$B$2:$G$358,MATCH($A237,'BASE METAS DIÁRIAS'!$A$2:$A$358,0),MOD(ROW()-2,6)+1),""),"")</f>
        <v/>
      </c>
      <c r="H237" s="159">
        <f>IFERROR(IF(INDEX('CONTROLE PRODUÇÃO POR EMPRESAS'!$B$6:$G$5000,MATCH($A237,'CONTROLE PRODUÇÃO POR EMPRESAS'!$A$6:$A$5000,0),MOD(ROW()-2,6)+1)="","",IFERROR(1*INDEX('CONTROLE PRODUÇÃO POR EMPRESAS'!$B$6:$G$5000,MATCH($A237,'CONTROLE PRODUÇÃO POR EMPRESAS'!$A$6:$A$5000,0),MOD(ROW()-2,6)+1),"")),"")</f>
        <v/>
      </c>
      <c r="I237" s="159">
        <f>IF(OR(NOT(ISNUMBER(G237)),NOT(ISNUMBER(H237))),"",H237-G237)</f>
        <v/>
      </c>
      <c r="J237" s="319">
        <f>IF(OR(NOT(ISNUMBER(G237)),NOT(ISNUMBER(H237)),G237=0),"",I237/G237)</f>
        <v/>
      </c>
      <c r="K237" s="319">
        <f>IF(OR(NOT(ISNUMBER(G237)),NOT(ISNUMBER(H237)),G237=0),"",H237/G237)</f>
        <v/>
      </c>
      <c r="L237">
        <f>IF(NOT(ISNUMBER(G237)),"SEM META",IF(G237=0,"SEM META",IF(NOT(ISNUMBER(H237)),"SEM APONTAMENTO",IF(H237&gt;=G237,"VERDE",IF(H237&gt;=G237*0.9,"AMARELO","VERMELHO")))))</f>
        <v/>
      </c>
      <c r="M237" s="162" t="n"/>
      <c r="N237" s="162" t="n"/>
      <c r="O237" s="162" t="n"/>
      <c r="P237" s="162" t="n"/>
      <c r="Q237" s="320" t="n"/>
      <c r="R237" s="162" t="inlineStr">
        <is>
          <t>CONTROLE PRODUÇÃO POR EMPRESAS!C45</t>
        </is>
      </c>
    </row>
    <row r="238" hidden="1" ht="28.5" customHeight="1">
      <c r="A238" s="317" t="n">
        <v>46262</v>
      </c>
      <c r="B238" t="inlineStr">
        <is>
          <t>GERAL</t>
        </is>
      </c>
      <c r="C238" t="inlineStr">
        <is>
          <t>EJ</t>
        </is>
      </c>
      <c r="D238" t="inlineStr">
        <is>
          <t>VIGAS</t>
        </is>
      </c>
      <c r="F238" s="159">
        <f>IFERROR(INDEX('BASE METAS DIÁRIAS'!$N$2:$S$358,MATCH($A238,'BASE METAS DIÁRIAS'!$A$2:$A$358,0),MOD(ROW()-2,6)+1),"")</f>
        <v/>
      </c>
      <c r="G238" s="159">
        <f>IFERROR(IF(WEEKDAY($A238,2)&lt;=INDEX('BASE METAS DIÁRIAS'!$H$2:$M$358,MATCH($A238,'BASE METAS DIÁRIAS'!$A$2:$A$358,0),MOD(ROW()-2,6)+1),INDEX('BASE METAS DIÁRIAS'!$B$2:$G$358,MATCH($A238,'BASE METAS DIÁRIAS'!$A$2:$A$358,0),MOD(ROW()-2,6)+1),""),"")</f>
        <v/>
      </c>
      <c r="H238" s="159">
        <f>IFERROR(IF(INDEX('CONTROLE PRODUÇÃO POR EMPRESAS'!$B$6:$G$5000,MATCH($A238,'CONTROLE PRODUÇÃO POR EMPRESAS'!$A$6:$A$5000,0),MOD(ROW()-2,6)+1)="","",IFERROR(1*INDEX('CONTROLE PRODUÇÃO POR EMPRESAS'!$B$6:$G$5000,MATCH($A238,'CONTROLE PRODUÇÃO POR EMPRESAS'!$A$6:$A$5000,0),MOD(ROW()-2,6)+1),"")),"")</f>
        <v/>
      </c>
      <c r="I238" s="159">
        <f>IF(OR(NOT(ISNUMBER(G238)),NOT(ISNUMBER(H238))),"",H238-G238)</f>
        <v/>
      </c>
      <c r="J238" s="319">
        <f>IF(OR(NOT(ISNUMBER(G238)),NOT(ISNUMBER(H238)),G238=0),"",I238/G238)</f>
        <v/>
      </c>
      <c r="K238" s="319">
        <f>IF(OR(NOT(ISNUMBER(G238)),NOT(ISNUMBER(H238)),G238=0),"",H238/G238)</f>
        <v/>
      </c>
      <c r="L238">
        <f>IF(NOT(ISNUMBER(G238)),"SEM META",IF(G238=0,"SEM META",IF(NOT(ISNUMBER(H238)),"SEM APONTAMENTO",IF(H238&gt;=G238,"VERDE",IF(H238&gt;=G238*0.9,"AMARELO","VERMELHO")))))</f>
        <v/>
      </c>
      <c r="M238" s="162" t="n"/>
      <c r="N238" s="162" t="n"/>
      <c r="O238" s="162" t="n"/>
      <c r="P238" s="162" t="n"/>
      <c r="Q238" s="320" t="n"/>
      <c r="R238" s="162" t="inlineStr">
        <is>
          <t>CONTROLE PRODUÇÃO POR EMPRESAS!D45</t>
        </is>
      </c>
    </row>
    <row r="239" hidden="1" ht="28.5" customHeight="1">
      <c r="A239" s="317" t="n">
        <v>46262</v>
      </c>
      <c r="B239" t="inlineStr">
        <is>
          <t>GERAL</t>
        </is>
      </c>
      <c r="C239" t="inlineStr">
        <is>
          <t>CMM</t>
        </is>
      </c>
      <c r="D239" t="inlineStr">
        <is>
          <t>PREMONTAGEM</t>
        </is>
      </c>
      <c r="F239" s="159">
        <f>IFERROR(INDEX('BASE METAS DIÁRIAS'!$N$2:$S$358,MATCH($A239,'BASE METAS DIÁRIAS'!$A$2:$A$358,0),MOD(ROW()-2,6)+1),"")</f>
        <v/>
      </c>
      <c r="G239" s="159">
        <f>IFERROR(IF(WEEKDAY($A239,2)&lt;=INDEX('BASE METAS DIÁRIAS'!$H$2:$M$358,MATCH($A239,'BASE METAS DIÁRIAS'!$A$2:$A$358,0),MOD(ROW()-2,6)+1),INDEX('BASE METAS DIÁRIAS'!$B$2:$G$358,MATCH($A239,'BASE METAS DIÁRIAS'!$A$2:$A$358,0),MOD(ROW()-2,6)+1),""),"")</f>
        <v/>
      </c>
      <c r="H239" s="159">
        <f>IFERROR(IF(INDEX('CONTROLE PRODUÇÃO POR EMPRESAS'!$B$6:$G$5000,MATCH($A239,'CONTROLE PRODUÇÃO POR EMPRESAS'!$A$6:$A$5000,0),MOD(ROW()-2,6)+1)="","",IFERROR(1*INDEX('CONTROLE PRODUÇÃO POR EMPRESAS'!$B$6:$G$5000,MATCH($A239,'CONTROLE PRODUÇÃO POR EMPRESAS'!$A$6:$A$5000,0),MOD(ROW()-2,6)+1),"")),"")</f>
        <v/>
      </c>
      <c r="I239" s="159">
        <f>IF(OR(NOT(ISNUMBER(G239)),NOT(ISNUMBER(H239))),"",H239-G239)</f>
        <v/>
      </c>
      <c r="J239" s="319">
        <f>IF(OR(NOT(ISNUMBER(G239)),NOT(ISNUMBER(H239)),G239=0),"",I239/G239)</f>
        <v/>
      </c>
      <c r="K239" s="319">
        <f>IF(OR(NOT(ISNUMBER(G239)),NOT(ISNUMBER(H239)),G239=0),"",H239/G239)</f>
        <v/>
      </c>
      <c r="L239">
        <f>IF(NOT(ISNUMBER(G239)),"SEM META",IF(G239=0,"SEM META",IF(NOT(ISNUMBER(H239)),"SEM APONTAMENTO",IF(H239&gt;=G239,"VERDE",IF(H239&gt;=G239*0.9,"AMARELO","VERMELHO")))))</f>
        <v/>
      </c>
      <c r="M239" s="162" t="n"/>
      <c r="N239" s="162" t="n"/>
      <c r="O239" s="162" t="n"/>
      <c r="P239" s="162" t="n"/>
      <c r="Q239" s="320" t="n"/>
      <c r="R239" s="162" t="inlineStr">
        <is>
          <t>CONTROLE PRODUÇÃO POR EMPRESAS!E45</t>
        </is>
      </c>
    </row>
    <row r="240" hidden="1" ht="28.5" customHeight="1">
      <c r="A240" s="317" t="n">
        <v>46262</v>
      </c>
      <c r="B240" t="inlineStr">
        <is>
          <t>GERAL</t>
        </is>
      </c>
      <c r="C240" t="inlineStr">
        <is>
          <t>CMM</t>
        </is>
      </c>
      <c r="D240" t="inlineStr">
        <is>
          <t>IÇAMENTO JOIST</t>
        </is>
      </c>
      <c r="F240" s="159">
        <f>IFERROR(INDEX('BASE METAS DIÁRIAS'!$N$2:$S$358,MATCH($A240,'BASE METAS DIÁRIAS'!$A$2:$A$358,0),MOD(ROW()-2,6)+1),"")</f>
        <v/>
      </c>
      <c r="G240" s="159">
        <f>IFERROR(IF(WEEKDAY($A240,2)&lt;=INDEX('BASE METAS DIÁRIAS'!$H$2:$M$358,MATCH($A240,'BASE METAS DIÁRIAS'!$A$2:$A$358,0),MOD(ROW()-2,6)+1),INDEX('BASE METAS DIÁRIAS'!$B$2:$G$358,MATCH($A240,'BASE METAS DIÁRIAS'!$A$2:$A$358,0),MOD(ROW()-2,6)+1),""),"")</f>
        <v/>
      </c>
      <c r="H240" s="159">
        <f>IFERROR(IF(INDEX('CONTROLE PRODUÇÃO POR EMPRESAS'!$B$6:$G$5000,MATCH($A240,'CONTROLE PRODUÇÃO POR EMPRESAS'!$A$6:$A$5000,0),MOD(ROW()-2,6)+1)="","",IFERROR(1*INDEX('CONTROLE PRODUÇÃO POR EMPRESAS'!$B$6:$G$5000,MATCH($A240,'CONTROLE PRODUÇÃO POR EMPRESAS'!$A$6:$A$5000,0),MOD(ROW()-2,6)+1),"")),"")</f>
        <v/>
      </c>
      <c r="I240" s="159">
        <f>IF(OR(NOT(ISNUMBER(G240)),NOT(ISNUMBER(H240))),"",H240-G240)</f>
        <v/>
      </c>
      <c r="J240" s="319">
        <f>IF(OR(NOT(ISNUMBER(G240)),NOT(ISNUMBER(H240)),G240=0),"",I240/G240)</f>
        <v/>
      </c>
      <c r="K240" s="319">
        <f>IF(OR(NOT(ISNUMBER(G240)),NOT(ISNUMBER(H240)),G240=0),"",H240/G240)</f>
        <v/>
      </c>
      <c r="L240">
        <f>IF(NOT(ISNUMBER(G240)),"SEM META",IF(G240=0,"SEM META",IF(NOT(ISNUMBER(H240)),"SEM APONTAMENTO",IF(H240&gt;=G240,"VERDE",IF(H240&gt;=G240*0.9,"AMARELO","VERMELHO")))))</f>
        <v/>
      </c>
      <c r="M240" s="162" t="n"/>
      <c r="N240" s="162" t="n"/>
      <c r="O240" s="162" t="n"/>
      <c r="P240" s="162" t="n"/>
      <c r="Q240" s="320" t="n"/>
      <c r="R240" s="162" t="inlineStr">
        <is>
          <t>CONTROLE PRODUÇÃO POR EMPRESAS!F45</t>
        </is>
      </c>
    </row>
    <row r="241" hidden="1" ht="28.5" customHeight="1">
      <c r="A241" s="317" t="n">
        <v>46262</v>
      </c>
      <c r="B241" t="inlineStr">
        <is>
          <t>GERAL</t>
        </is>
      </c>
      <c r="C241" t="inlineStr">
        <is>
          <t>CMM</t>
        </is>
      </c>
      <c r="D241" t="inlineStr">
        <is>
          <t>VIGAS</t>
        </is>
      </c>
      <c r="F241" s="159">
        <f>IFERROR(INDEX('BASE METAS DIÁRIAS'!$N$2:$S$358,MATCH($A241,'BASE METAS DIÁRIAS'!$A$2:$A$358,0),MOD(ROW()-2,6)+1),"")</f>
        <v/>
      </c>
      <c r="G241" s="159">
        <f>IFERROR(IF(WEEKDAY($A241,2)&lt;=INDEX('BASE METAS DIÁRIAS'!$H$2:$M$358,MATCH($A241,'BASE METAS DIÁRIAS'!$A$2:$A$358,0),MOD(ROW()-2,6)+1),INDEX('BASE METAS DIÁRIAS'!$B$2:$G$358,MATCH($A241,'BASE METAS DIÁRIAS'!$A$2:$A$358,0),MOD(ROW()-2,6)+1),""),"")</f>
        <v/>
      </c>
      <c r="H241" s="159">
        <f>IFERROR(IF(INDEX('CONTROLE PRODUÇÃO POR EMPRESAS'!$B$6:$G$5000,MATCH($A241,'CONTROLE PRODUÇÃO POR EMPRESAS'!$A$6:$A$5000,0),MOD(ROW()-2,6)+1)="","",IFERROR(1*INDEX('CONTROLE PRODUÇÃO POR EMPRESAS'!$B$6:$G$5000,MATCH($A241,'CONTROLE PRODUÇÃO POR EMPRESAS'!$A$6:$A$5000,0),MOD(ROW()-2,6)+1),"")),"")</f>
        <v/>
      </c>
      <c r="I241" s="159">
        <f>IF(OR(NOT(ISNUMBER(G241)),NOT(ISNUMBER(H241))),"",H241-G241)</f>
        <v/>
      </c>
      <c r="J241" s="319">
        <f>IF(OR(NOT(ISNUMBER(G241)),NOT(ISNUMBER(H241)),G241=0),"",I241/G241)</f>
        <v/>
      </c>
      <c r="K241" s="319">
        <f>IF(OR(NOT(ISNUMBER(G241)),NOT(ISNUMBER(H241)),G241=0),"",H241/G241)</f>
        <v/>
      </c>
      <c r="L241">
        <f>IF(NOT(ISNUMBER(G241)),"SEM META",IF(G241=0,"SEM META",IF(NOT(ISNUMBER(H241)),"SEM APONTAMENTO",IF(H241&gt;=G241,"VERDE",IF(H241&gt;=G241*0.9,"AMARELO","VERMELHO")))))</f>
        <v/>
      </c>
      <c r="M241" s="162" t="n"/>
      <c r="N241" s="162" t="n"/>
      <c r="O241" s="162" t="n"/>
      <c r="P241" s="162" t="n"/>
      <c r="Q241" s="320" t="n"/>
      <c r="R241" s="162" t="inlineStr">
        <is>
          <t>CONTROLE PRODUÇÃO POR EMPRESAS!G45</t>
        </is>
      </c>
    </row>
    <row r="242" hidden="1" ht="28.5" customHeight="1">
      <c r="A242" s="317" t="n">
        <v>46263</v>
      </c>
      <c r="B242" t="inlineStr">
        <is>
          <t>GERAL</t>
        </is>
      </c>
      <c r="C242" t="inlineStr">
        <is>
          <t>EJ</t>
        </is>
      </c>
      <c r="D242" t="inlineStr">
        <is>
          <t>PREMONTAGEM</t>
        </is>
      </c>
      <c r="F242" s="159">
        <f>IFERROR(INDEX('BASE METAS DIÁRIAS'!$N$2:$S$358,MATCH($A242,'BASE METAS DIÁRIAS'!$A$2:$A$358,0),MOD(ROW()-2,6)+1),"")</f>
        <v/>
      </c>
      <c r="G242" s="159">
        <f>IFERROR(IF(WEEKDAY($A242,2)&lt;=INDEX('BASE METAS DIÁRIAS'!$H$2:$M$358,MATCH($A242,'BASE METAS DIÁRIAS'!$A$2:$A$358,0),MOD(ROW()-2,6)+1),INDEX('BASE METAS DIÁRIAS'!$B$2:$G$358,MATCH($A242,'BASE METAS DIÁRIAS'!$A$2:$A$358,0),MOD(ROW()-2,6)+1),""),"")</f>
        <v/>
      </c>
      <c r="H242" s="159">
        <f>IFERROR(IF(INDEX('CONTROLE PRODUÇÃO POR EMPRESAS'!$B$6:$G$5000,MATCH($A242,'CONTROLE PRODUÇÃO POR EMPRESAS'!$A$6:$A$5000,0),MOD(ROW()-2,6)+1)="","",IFERROR(1*INDEX('CONTROLE PRODUÇÃO POR EMPRESAS'!$B$6:$G$5000,MATCH($A242,'CONTROLE PRODUÇÃO POR EMPRESAS'!$A$6:$A$5000,0),MOD(ROW()-2,6)+1),"")),"")</f>
        <v/>
      </c>
      <c r="I242" s="159">
        <f>IF(OR(NOT(ISNUMBER(G242)),NOT(ISNUMBER(H242))),"",H242-G242)</f>
        <v/>
      </c>
      <c r="J242" s="319">
        <f>IF(OR(NOT(ISNUMBER(G242)),NOT(ISNUMBER(H242)),G242=0),"",I242/G242)</f>
        <v/>
      </c>
      <c r="K242" s="319">
        <f>IF(OR(NOT(ISNUMBER(G242)),NOT(ISNUMBER(H242)),G242=0),"",H242/G242)</f>
        <v/>
      </c>
      <c r="L242">
        <f>IF(NOT(ISNUMBER(G242)),"SEM META",IF(G242=0,"SEM META",IF(NOT(ISNUMBER(H242)),"SEM APONTAMENTO",IF(H242&gt;=G242,"VERDE",IF(H242&gt;=G242*0.9,"AMARELO","VERMELHO")))))</f>
        <v/>
      </c>
      <c r="M242" s="162" t="n"/>
      <c r="N242" s="162" t="n"/>
      <c r="O242" s="162" t="n"/>
      <c r="P242" s="162" t="n"/>
      <c r="Q242" s="320" t="n"/>
      <c r="R242" s="162" t="inlineStr">
        <is>
          <t>CONTROLE PRODUÇÃO POR EMPRESAS!B46</t>
        </is>
      </c>
    </row>
    <row r="243" hidden="1" ht="28.5" customHeight="1">
      <c r="A243" s="317" t="n">
        <v>46263</v>
      </c>
      <c r="B243" t="inlineStr">
        <is>
          <t>GERAL</t>
        </is>
      </c>
      <c r="C243" t="inlineStr">
        <is>
          <t>EJ</t>
        </is>
      </c>
      <c r="D243" t="inlineStr">
        <is>
          <t>IÇAMENTO JOIST</t>
        </is>
      </c>
      <c r="F243" s="159">
        <f>IFERROR(INDEX('BASE METAS DIÁRIAS'!$N$2:$S$358,MATCH($A243,'BASE METAS DIÁRIAS'!$A$2:$A$358,0),MOD(ROW()-2,6)+1),"")</f>
        <v/>
      </c>
      <c r="G243" s="159">
        <f>IFERROR(IF(WEEKDAY($A243,2)&lt;=INDEX('BASE METAS DIÁRIAS'!$H$2:$M$358,MATCH($A243,'BASE METAS DIÁRIAS'!$A$2:$A$358,0),MOD(ROW()-2,6)+1),INDEX('BASE METAS DIÁRIAS'!$B$2:$G$358,MATCH($A243,'BASE METAS DIÁRIAS'!$A$2:$A$358,0),MOD(ROW()-2,6)+1),""),"")</f>
        <v/>
      </c>
      <c r="H243" s="159">
        <f>IFERROR(IF(INDEX('CONTROLE PRODUÇÃO POR EMPRESAS'!$B$6:$G$5000,MATCH($A243,'CONTROLE PRODUÇÃO POR EMPRESAS'!$A$6:$A$5000,0),MOD(ROW()-2,6)+1)="","",IFERROR(1*INDEX('CONTROLE PRODUÇÃO POR EMPRESAS'!$B$6:$G$5000,MATCH($A243,'CONTROLE PRODUÇÃO POR EMPRESAS'!$A$6:$A$5000,0),MOD(ROW()-2,6)+1),"")),"")</f>
        <v/>
      </c>
      <c r="I243" s="159">
        <f>IF(OR(NOT(ISNUMBER(G243)),NOT(ISNUMBER(H243))),"",H243-G243)</f>
        <v/>
      </c>
      <c r="J243" s="319">
        <f>IF(OR(NOT(ISNUMBER(G243)),NOT(ISNUMBER(H243)),G243=0),"",I243/G243)</f>
        <v/>
      </c>
      <c r="K243" s="319">
        <f>IF(OR(NOT(ISNUMBER(G243)),NOT(ISNUMBER(H243)),G243=0),"",H243/G243)</f>
        <v/>
      </c>
      <c r="L243">
        <f>IF(NOT(ISNUMBER(G243)),"SEM META",IF(G243=0,"SEM META",IF(NOT(ISNUMBER(H243)),"SEM APONTAMENTO",IF(H243&gt;=G243,"VERDE",IF(H243&gt;=G243*0.9,"AMARELO","VERMELHO")))))</f>
        <v/>
      </c>
      <c r="M243" s="162" t="n"/>
      <c r="N243" s="162" t="n"/>
      <c r="O243" s="162" t="n"/>
      <c r="P243" s="162" t="n"/>
      <c r="Q243" s="320" t="n"/>
      <c r="R243" s="162" t="inlineStr">
        <is>
          <t>CONTROLE PRODUÇÃO POR EMPRESAS!C46</t>
        </is>
      </c>
    </row>
    <row r="244" hidden="1" ht="28.5" customHeight="1">
      <c r="A244" s="317" t="n">
        <v>46263</v>
      </c>
      <c r="B244" t="inlineStr">
        <is>
          <t>GERAL</t>
        </is>
      </c>
      <c r="C244" t="inlineStr">
        <is>
          <t>EJ</t>
        </is>
      </c>
      <c r="D244" t="inlineStr">
        <is>
          <t>VIGAS</t>
        </is>
      </c>
      <c r="F244" s="159">
        <f>IFERROR(INDEX('BASE METAS DIÁRIAS'!$N$2:$S$358,MATCH($A244,'BASE METAS DIÁRIAS'!$A$2:$A$358,0),MOD(ROW()-2,6)+1),"")</f>
        <v/>
      </c>
      <c r="G244" s="159">
        <f>IFERROR(IF(WEEKDAY($A244,2)&lt;=INDEX('BASE METAS DIÁRIAS'!$H$2:$M$358,MATCH($A244,'BASE METAS DIÁRIAS'!$A$2:$A$358,0),MOD(ROW()-2,6)+1),INDEX('BASE METAS DIÁRIAS'!$B$2:$G$358,MATCH($A244,'BASE METAS DIÁRIAS'!$A$2:$A$358,0),MOD(ROW()-2,6)+1),""),"")</f>
        <v/>
      </c>
      <c r="H244" s="159">
        <f>IFERROR(IF(INDEX('CONTROLE PRODUÇÃO POR EMPRESAS'!$B$6:$G$5000,MATCH($A244,'CONTROLE PRODUÇÃO POR EMPRESAS'!$A$6:$A$5000,0),MOD(ROW()-2,6)+1)="","",IFERROR(1*INDEX('CONTROLE PRODUÇÃO POR EMPRESAS'!$B$6:$G$5000,MATCH($A244,'CONTROLE PRODUÇÃO POR EMPRESAS'!$A$6:$A$5000,0),MOD(ROW()-2,6)+1),"")),"")</f>
        <v/>
      </c>
      <c r="I244" s="159">
        <f>IF(OR(NOT(ISNUMBER(G244)),NOT(ISNUMBER(H244))),"",H244-G244)</f>
        <v/>
      </c>
      <c r="J244" s="319">
        <f>IF(OR(NOT(ISNUMBER(G244)),NOT(ISNUMBER(H244)),G244=0),"",I244/G244)</f>
        <v/>
      </c>
      <c r="K244" s="319">
        <f>IF(OR(NOT(ISNUMBER(G244)),NOT(ISNUMBER(H244)),G244=0),"",H244/G244)</f>
        <v/>
      </c>
      <c r="L244">
        <f>IF(NOT(ISNUMBER(G244)),"SEM META",IF(G244=0,"SEM META",IF(NOT(ISNUMBER(H244)),"SEM APONTAMENTO",IF(H244&gt;=G244,"VERDE",IF(H244&gt;=G244*0.9,"AMARELO","VERMELHO")))))</f>
        <v/>
      </c>
      <c r="M244" s="162" t="n"/>
      <c r="N244" s="162" t="n"/>
      <c r="O244" s="162" t="n"/>
      <c r="P244" s="162" t="n"/>
      <c r="Q244" s="320" t="n"/>
      <c r="R244" s="162" t="inlineStr">
        <is>
          <t>CONTROLE PRODUÇÃO POR EMPRESAS!D46</t>
        </is>
      </c>
    </row>
    <row r="245" hidden="1" ht="28.5" customHeight="1">
      <c r="A245" s="317" t="n">
        <v>46263</v>
      </c>
      <c r="B245" t="inlineStr">
        <is>
          <t>GERAL</t>
        </is>
      </c>
      <c r="C245" t="inlineStr">
        <is>
          <t>CMM</t>
        </is>
      </c>
      <c r="D245" t="inlineStr">
        <is>
          <t>PREMONTAGEM</t>
        </is>
      </c>
      <c r="F245" s="159">
        <f>IFERROR(INDEX('BASE METAS DIÁRIAS'!$N$2:$S$358,MATCH($A245,'BASE METAS DIÁRIAS'!$A$2:$A$358,0),MOD(ROW()-2,6)+1),"")</f>
        <v/>
      </c>
      <c r="G245" s="159">
        <f>IFERROR(IF(WEEKDAY($A245,2)&lt;=INDEX('BASE METAS DIÁRIAS'!$H$2:$M$358,MATCH($A245,'BASE METAS DIÁRIAS'!$A$2:$A$358,0),MOD(ROW()-2,6)+1),INDEX('BASE METAS DIÁRIAS'!$B$2:$G$358,MATCH($A245,'BASE METAS DIÁRIAS'!$A$2:$A$358,0),MOD(ROW()-2,6)+1),""),"")</f>
        <v/>
      </c>
      <c r="H245" s="159">
        <f>IFERROR(IF(INDEX('CONTROLE PRODUÇÃO POR EMPRESAS'!$B$6:$G$5000,MATCH($A245,'CONTROLE PRODUÇÃO POR EMPRESAS'!$A$6:$A$5000,0),MOD(ROW()-2,6)+1)="","",IFERROR(1*INDEX('CONTROLE PRODUÇÃO POR EMPRESAS'!$B$6:$G$5000,MATCH($A245,'CONTROLE PRODUÇÃO POR EMPRESAS'!$A$6:$A$5000,0),MOD(ROW()-2,6)+1),"")),"")</f>
        <v/>
      </c>
      <c r="I245" s="159">
        <f>IF(OR(NOT(ISNUMBER(G245)),NOT(ISNUMBER(H245))),"",H245-G245)</f>
        <v/>
      </c>
      <c r="J245" s="319">
        <f>IF(OR(NOT(ISNUMBER(G245)),NOT(ISNUMBER(H245)),G245=0),"",I245/G245)</f>
        <v/>
      </c>
      <c r="K245" s="319">
        <f>IF(OR(NOT(ISNUMBER(G245)),NOT(ISNUMBER(H245)),G245=0),"",H245/G245)</f>
        <v/>
      </c>
      <c r="L245">
        <f>IF(NOT(ISNUMBER(G245)),"SEM META",IF(G245=0,"SEM META",IF(NOT(ISNUMBER(H245)),"SEM APONTAMENTO",IF(H245&gt;=G245,"VERDE",IF(H245&gt;=G245*0.9,"AMARELO","VERMELHO")))))</f>
        <v/>
      </c>
      <c r="M245" s="162" t="n"/>
      <c r="N245" s="162" t="n"/>
      <c r="O245" s="162" t="n"/>
      <c r="P245" s="162" t="n"/>
      <c r="Q245" s="320" t="n"/>
      <c r="R245" s="162" t="inlineStr">
        <is>
          <t>CONTROLE PRODUÇÃO POR EMPRESAS!E46</t>
        </is>
      </c>
    </row>
    <row r="246" hidden="1" ht="28.5" customHeight="1">
      <c r="A246" s="317" t="n">
        <v>46263</v>
      </c>
      <c r="B246" t="inlineStr">
        <is>
          <t>GERAL</t>
        </is>
      </c>
      <c r="C246" t="inlineStr">
        <is>
          <t>CMM</t>
        </is>
      </c>
      <c r="D246" t="inlineStr">
        <is>
          <t>IÇAMENTO JOIST</t>
        </is>
      </c>
      <c r="F246" s="159">
        <f>IFERROR(INDEX('BASE METAS DIÁRIAS'!$N$2:$S$358,MATCH($A246,'BASE METAS DIÁRIAS'!$A$2:$A$358,0),MOD(ROW()-2,6)+1),"")</f>
        <v/>
      </c>
      <c r="G246" s="159">
        <f>IFERROR(IF(WEEKDAY($A246,2)&lt;=INDEX('BASE METAS DIÁRIAS'!$H$2:$M$358,MATCH($A246,'BASE METAS DIÁRIAS'!$A$2:$A$358,0),MOD(ROW()-2,6)+1),INDEX('BASE METAS DIÁRIAS'!$B$2:$G$358,MATCH($A246,'BASE METAS DIÁRIAS'!$A$2:$A$358,0),MOD(ROW()-2,6)+1),""),"")</f>
        <v/>
      </c>
      <c r="H246" s="159">
        <f>IFERROR(IF(INDEX('CONTROLE PRODUÇÃO POR EMPRESAS'!$B$6:$G$5000,MATCH($A246,'CONTROLE PRODUÇÃO POR EMPRESAS'!$A$6:$A$5000,0),MOD(ROW()-2,6)+1)="","",IFERROR(1*INDEX('CONTROLE PRODUÇÃO POR EMPRESAS'!$B$6:$G$5000,MATCH($A246,'CONTROLE PRODUÇÃO POR EMPRESAS'!$A$6:$A$5000,0),MOD(ROW()-2,6)+1),"")),"")</f>
        <v/>
      </c>
      <c r="I246" s="159">
        <f>IF(OR(NOT(ISNUMBER(G246)),NOT(ISNUMBER(H246))),"",H246-G246)</f>
        <v/>
      </c>
      <c r="J246" s="319">
        <f>IF(OR(NOT(ISNUMBER(G246)),NOT(ISNUMBER(H246)),G246=0),"",I246/G246)</f>
        <v/>
      </c>
      <c r="K246" s="319">
        <f>IF(OR(NOT(ISNUMBER(G246)),NOT(ISNUMBER(H246)),G246=0),"",H246/G246)</f>
        <v/>
      </c>
      <c r="L246">
        <f>IF(NOT(ISNUMBER(G246)),"SEM META",IF(G246=0,"SEM META",IF(NOT(ISNUMBER(H246)),"SEM APONTAMENTO",IF(H246&gt;=G246,"VERDE",IF(H246&gt;=G246*0.9,"AMARELO","VERMELHO")))))</f>
        <v/>
      </c>
      <c r="M246" s="162" t="n"/>
      <c r="N246" s="162" t="n"/>
      <c r="O246" s="162" t="n"/>
      <c r="P246" s="162" t="n"/>
      <c r="Q246" s="320" t="n"/>
      <c r="R246" s="162" t="inlineStr">
        <is>
          <t>CONTROLE PRODUÇÃO POR EMPRESAS!F46</t>
        </is>
      </c>
    </row>
    <row r="247" hidden="1" ht="28.5" customHeight="1">
      <c r="A247" s="317" t="n">
        <v>46263</v>
      </c>
      <c r="B247" t="inlineStr">
        <is>
          <t>GERAL</t>
        </is>
      </c>
      <c r="C247" t="inlineStr">
        <is>
          <t>CMM</t>
        </is>
      </c>
      <c r="D247" t="inlineStr">
        <is>
          <t>VIGAS</t>
        </is>
      </c>
      <c r="F247" s="159">
        <f>IFERROR(INDEX('BASE METAS DIÁRIAS'!$N$2:$S$358,MATCH($A247,'BASE METAS DIÁRIAS'!$A$2:$A$358,0),MOD(ROW()-2,6)+1),"")</f>
        <v/>
      </c>
      <c r="G247" s="159">
        <f>IFERROR(IF(WEEKDAY($A247,2)&lt;=INDEX('BASE METAS DIÁRIAS'!$H$2:$M$358,MATCH($A247,'BASE METAS DIÁRIAS'!$A$2:$A$358,0),MOD(ROW()-2,6)+1),INDEX('BASE METAS DIÁRIAS'!$B$2:$G$358,MATCH($A247,'BASE METAS DIÁRIAS'!$A$2:$A$358,0),MOD(ROW()-2,6)+1),""),"")</f>
        <v/>
      </c>
      <c r="H247" s="159">
        <f>IFERROR(IF(INDEX('CONTROLE PRODUÇÃO POR EMPRESAS'!$B$6:$G$5000,MATCH($A247,'CONTROLE PRODUÇÃO POR EMPRESAS'!$A$6:$A$5000,0),MOD(ROW()-2,6)+1)="","",IFERROR(1*INDEX('CONTROLE PRODUÇÃO POR EMPRESAS'!$B$6:$G$5000,MATCH($A247,'CONTROLE PRODUÇÃO POR EMPRESAS'!$A$6:$A$5000,0),MOD(ROW()-2,6)+1),"")),"")</f>
        <v/>
      </c>
      <c r="I247" s="159">
        <f>IF(OR(NOT(ISNUMBER(G247)),NOT(ISNUMBER(H247))),"",H247-G247)</f>
        <v/>
      </c>
      <c r="J247" s="319">
        <f>IF(OR(NOT(ISNUMBER(G247)),NOT(ISNUMBER(H247)),G247=0),"",I247/G247)</f>
        <v/>
      </c>
      <c r="K247" s="319">
        <f>IF(OR(NOT(ISNUMBER(G247)),NOT(ISNUMBER(H247)),G247=0),"",H247/G247)</f>
        <v/>
      </c>
      <c r="L247">
        <f>IF(NOT(ISNUMBER(G247)),"SEM META",IF(G247=0,"SEM META",IF(NOT(ISNUMBER(H247)),"SEM APONTAMENTO",IF(H247&gt;=G247,"VERDE",IF(H247&gt;=G247*0.9,"AMARELO","VERMELHO")))))</f>
        <v/>
      </c>
      <c r="M247" s="162" t="n"/>
      <c r="N247" s="162" t="n"/>
      <c r="O247" s="162" t="n"/>
      <c r="P247" s="162" t="n"/>
      <c r="Q247" s="320" t="n"/>
      <c r="R247" s="162" t="inlineStr">
        <is>
          <t>CONTROLE PRODUÇÃO POR EMPRESAS!G46</t>
        </is>
      </c>
    </row>
    <row r="248" hidden="1" ht="28.5" customHeight="1">
      <c r="A248" s="317" t="n">
        <v>46264</v>
      </c>
      <c r="B248" t="inlineStr">
        <is>
          <t>GERAL</t>
        </is>
      </c>
      <c r="C248" t="inlineStr">
        <is>
          <t>EJ</t>
        </is>
      </c>
      <c r="D248" t="inlineStr">
        <is>
          <t>PREMONTAGEM</t>
        </is>
      </c>
      <c r="F248" s="159">
        <f>IFERROR(INDEX('BASE METAS DIÁRIAS'!$N$2:$S$358,MATCH($A248,'BASE METAS DIÁRIAS'!$A$2:$A$358,0),MOD(ROW()-2,6)+1),"")</f>
        <v/>
      </c>
      <c r="G248" s="159">
        <f>IFERROR(IF(WEEKDAY($A248,2)&lt;=INDEX('BASE METAS DIÁRIAS'!$H$2:$M$358,MATCH($A248,'BASE METAS DIÁRIAS'!$A$2:$A$358,0),MOD(ROW()-2,6)+1),INDEX('BASE METAS DIÁRIAS'!$B$2:$G$358,MATCH($A248,'BASE METAS DIÁRIAS'!$A$2:$A$358,0),MOD(ROW()-2,6)+1),""),"")</f>
        <v/>
      </c>
      <c r="H248" s="159">
        <f>IFERROR(IF(INDEX('CONTROLE PRODUÇÃO POR EMPRESAS'!$B$6:$G$5000,MATCH($A248,'CONTROLE PRODUÇÃO POR EMPRESAS'!$A$6:$A$5000,0),MOD(ROW()-2,6)+1)="","",IFERROR(1*INDEX('CONTROLE PRODUÇÃO POR EMPRESAS'!$B$6:$G$5000,MATCH($A248,'CONTROLE PRODUÇÃO POR EMPRESAS'!$A$6:$A$5000,0),MOD(ROW()-2,6)+1),"")),"")</f>
        <v/>
      </c>
      <c r="I248" s="159">
        <f>IF(OR(NOT(ISNUMBER(G248)),NOT(ISNUMBER(H248))),"",H248-G248)</f>
        <v/>
      </c>
      <c r="J248" s="319">
        <f>IF(OR(NOT(ISNUMBER(G248)),NOT(ISNUMBER(H248)),G248=0),"",I248/G248)</f>
        <v/>
      </c>
      <c r="K248" s="319">
        <f>IF(OR(NOT(ISNUMBER(G248)),NOT(ISNUMBER(H248)),G248=0),"",H248/G248)</f>
        <v/>
      </c>
      <c r="L248">
        <f>IF(NOT(ISNUMBER(G248)),"SEM META",IF(G248=0,"SEM META",IF(NOT(ISNUMBER(H248)),"SEM APONTAMENTO",IF(H248&gt;=G248,"VERDE",IF(H248&gt;=G248*0.9,"AMARELO","VERMELHO")))))</f>
        <v/>
      </c>
      <c r="M248" s="162" t="n"/>
      <c r="N248" s="162" t="n"/>
      <c r="O248" s="162" t="n"/>
      <c r="P248" s="162" t="n"/>
      <c r="Q248" s="320" t="n"/>
      <c r="R248" s="162" t="inlineStr">
        <is>
          <t>CONTROLE PRODUÇÃO POR EMPRESAS!B47</t>
        </is>
      </c>
    </row>
    <row r="249" hidden="1" ht="28.5" customHeight="1">
      <c r="A249" s="317" t="n">
        <v>46264</v>
      </c>
      <c r="B249" t="inlineStr">
        <is>
          <t>GERAL</t>
        </is>
      </c>
      <c r="C249" t="inlineStr">
        <is>
          <t>EJ</t>
        </is>
      </c>
      <c r="D249" t="inlineStr">
        <is>
          <t>IÇAMENTO JOIST</t>
        </is>
      </c>
      <c r="F249" s="159">
        <f>IFERROR(INDEX('BASE METAS DIÁRIAS'!$N$2:$S$358,MATCH($A249,'BASE METAS DIÁRIAS'!$A$2:$A$358,0),MOD(ROW()-2,6)+1),"")</f>
        <v/>
      </c>
      <c r="G249" s="159">
        <f>IFERROR(IF(WEEKDAY($A249,2)&lt;=INDEX('BASE METAS DIÁRIAS'!$H$2:$M$358,MATCH($A249,'BASE METAS DIÁRIAS'!$A$2:$A$358,0),MOD(ROW()-2,6)+1),INDEX('BASE METAS DIÁRIAS'!$B$2:$G$358,MATCH($A249,'BASE METAS DIÁRIAS'!$A$2:$A$358,0),MOD(ROW()-2,6)+1),""),"")</f>
        <v/>
      </c>
      <c r="H249" s="159">
        <f>IFERROR(IF(INDEX('CONTROLE PRODUÇÃO POR EMPRESAS'!$B$6:$G$5000,MATCH($A249,'CONTROLE PRODUÇÃO POR EMPRESAS'!$A$6:$A$5000,0),MOD(ROW()-2,6)+1)="","",IFERROR(1*INDEX('CONTROLE PRODUÇÃO POR EMPRESAS'!$B$6:$G$5000,MATCH($A249,'CONTROLE PRODUÇÃO POR EMPRESAS'!$A$6:$A$5000,0),MOD(ROW()-2,6)+1),"")),"")</f>
        <v/>
      </c>
      <c r="I249" s="159">
        <f>IF(OR(NOT(ISNUMBER(G249)),NOT(ISNUMBER(H249))),"",H249-G249)</f>
        <v/>
      </c>
      <c r="J249" s="319">
        <f>IF(OR(NOT(ISNUMBER(G249)),NOT(ISNUMBER(H249)),G249=0),"",I249/G249)</f>
        <v/>
      </c>
      <c r="K249" s="319">
        <f>IF(OR(NOT(ISNUMBER(G249)),NOT(ISNUMBER(H249)),G249=0),"",H249/G249)</f>
        <v/>
      </c>
      <c r="L249">
        <f>IF(NOT(ISNUMBER(G249)),"SEM META",IF(G249=0,"SEM META",IF(NOT(ISNUMBER(H249)),"SEM APONTAMENTO",IF(H249&gt;=G249,"VERDE",IF(H249&gt;=G249*0.9,"AMARELO","VERMELHO")))))</f>
        <v/>
      </c>
      <c r="M249" s="162" t="n"/>
      <c r="N249" s="162" t="n"/>
      <c r="O249" s="162" t="n"/>
      <c r="P249" s="162" t="n"/>
      <c r="Q249" s="320" t="n"/>
      <c r="R249" s="162" t="inlineStr">
        <is>
          <t>CONTROLE PRODUÇÃO POR EMPRESAS!C47</t>
        </is>
      </c>
    </row>
    <row r="250" hidden="1" ht="28.5" customHeight="1">
      <c r="A250" s="317" t="n">
        <v>46264</v>
      </c>
      <c r="B250" t="inlineStr">
        <is>
          <t>GERAL</t>
        </is>
      </c>
      <c r="C250" t="inlineStr">
        <is>
          <t>EJ</t>
        </is>
      </c>
      <c r="D250" t="inlineStr">
        <is>
          <t>VIGAS</t>
        </is>
      </c>
      <c r="F250" s="159">
        <f>IFERROR(INDEX('BASE METAS DIÁRIAS'!$N$2:$S$358,MATCH($A250,'BASE METAS DIÁRIAS'!$A$2:$A$358,0),MOD(ROW()-2,6)+1),"")</f>
        <v/>
      </c>
      <c r="G250" s="159">
        <f>IFERROR(IF(WEEKDAY($A250,2)&lt;=INDEX('BASE METAS DIÁRIAS'!$H$2:$M$358,MATCH($A250,'BASE METAS DIÁRIAS'!$A$2:$A$358,0),MOD(ROW()-2,6)+1),INDEX('BASE METAS DIÁRIAS'!$B$2:$G$358,MATCH($A250,'BASE METAS DIÁRIAS'!$A$2:$A$358,0),MOD(ROW()-2,6)+1),""),"")</f>
        <v/>
      </c>
      <c r="H250" s="159">
        <f>IFERROR(IF(INDEX('CONTROLE PRODUÇÃO POR EMPRESAS'!$B$6:$G$5000,MATCH($A250,'CONTROLE PRODUÇÃO POR EMPRESAS'!$A$6:$A$5000,0),MOD(ROW()-2,6)+1)="","",IFERROR(1*INDEX('CONTROLE PRODUÇÃO POR EMPRESAS'!$B$6:$G$5000,MATCH($A250,'CONTROLE PRODUÇÃO POR EMPRESAS'!$A$6:$A$5000,0),MOD(ROW()-2,6)+1),"")),"")</f>
        <v/>
      </c>
      <c r="I250" s="159">
        <f>IF(OR(NOT(ISNUMBER(G250)),NOT(ISNUMBER(H250))),"",H250-G250)</f>
        <v/>
      </c>
      <c r="J250" s="319">
        <f>IF(OR(NOT(ISNUMBER(G250)),NOT(ISNUMBER(H250)),G250=0),"",I250/G250)</f>
        <v/>
      </c>
      <c r="K250" s="319">
        <f>IF(OR(NOT(ISNUMBER(G250)),NOT(ISNUMBER(H250)),G250=0),"",H250/G250)</f>
        <v/>
      </c>
      <c r="L250">
        <f>IF(NOT(ISNUMBER(G250)),"SEM META",IF(G250=0,"SEM META",IF(NOT(ISNUMBER(H250)),"SEM APONTAMENTO",IF(H250&gt;=G250,"VERDE",IF(H250&gt;=G250*0.9,"AMARELO","VERMELHO")))))</f>
        <v/>
      </c>
      <c r="M250" s="162" t="n"/>
      <c r="N250" s="162" t="n"/>
      <c r="O250" s="162" t="n"/>
      <c r="P250" s="162" t="n"/>
      <c r="Q250" s="320" t="n"/>
      <c r="R250" s="162" t="inlineStr">
        <is>
          <t>CONTROLE PRODUÇÃO POR EMPRESAS!D47</t>
        </is>
      </c>
    </row>
    <row r="251" hidden="1" ht="28.5" customHeight="1">
      <c r="A251" s="317" t="n">
        <v>46264</v>
      </c>
      <c r="B251" t="inlineStr">
        <is>
          <t>GERAL</t>
        </is>
      </c>
      <c r="C251" t="inlineStr">
        <is>
          <t>CMM</t>
        </is>
      </c>
      <c r="D251" t="inlineStr">
        <is>
          <t>PREMONTAGEM</t>
        </is>
      </c>
      <c r="F251" s="159">
        <f>IFERROR(INDEX('BASE METAS DIÁRIAS'!$N$2:$S$358,MATCH($A251,'BASE METAS DIÁRIAS'!$A$2:$A$358,0),MOD(ROW()-2,6)+1),"")</f>
        <v/>
      </c>
      <c r="G251" s="159">
        <f>IFERROR(IF(WEEKDAY($A251,2)&lt;=INDEX('BASE METAS DIÁRIAS'!$H$2:$M$358,MATCH($A251,'BASE METAS DIÁRIAS'!$A$2:$A$358,0),MOD(ROW()-2,6)+1),INDEX('BASE METAS DIÁRIAS'!$B$2:$G$358,MATCH($A251,'BASE METAS DIÁRIAS'!$A$2:$A$358,0),MOD(ROW()-2,6)+1),""),"")</f>
        <v/>
      </c>
      <c r="H251" s="159">
        <f>IFERROR(IF(INDEX('CONTROLE PRODUÇÃO POR EMPRESAS'!$B$6:$G$5000,MATCH($A251,'CONTROLE PRODUÇÃO POR EMPRESAS'!$A$6:$A$5000,0),MOD(ROW()-2,6)+1)="","",IFERROR(1*INDEX('CONTROLE PRODUÇÃO POR EMPRESAS'!$B$6:$G$5000,MATCH($A251,'CONTROLE PRODUÇÃO POR EMPRESAS'!$A$6:$A$5000,0),MOD(ROW()-2,6)+1),"")),"")</f>
        <v/>
      </c>
      <c r="I251" s="159">
        <f>IF(OR(NOT(ISNUMBER(G251)),NOT(ISNUMBER(H251))),"",H251-G251)</f>
        <v/>
      </c>
      <c r="J251" s="319">
        <f>IF(OR(NOT(ISNUMBER(G251)),NOT(ISNUMBER(H251)),G251=0),"",I251/G251)</f>
        <v/>
      </c>
      <c r="K251" s="319">
        <f>IF(OR(NOT(ISNUMBER(G251)),NOT(ISNUMBER(H251)),G251=0),"",H251/G251)</f>
        <v/>
      </c>
      <c r="L251">
        <f>IF(NOT(ISNUMBER(G251)),"SEM META",IF(G251=0,"SEM META",IF(NOT(ISNUMBER(H251)),"SEM APONTAMENTO",IF(H251&gt;=G251,"VERDE",IF(H251&gt;=G251*0.9,"AMARELO","VERMELHO")))))</f>
        <v/>
      </c>
      <c r="M251" s="162" t="n"/>
      <c r="N251" s="162" t="n"/>
      <c r="O251" s="162" t="n"/>
      <c r="P251" s="162" t="n"/>
      <c r="Q251" s="320" t="n"/>
      <c r="R251" s="162" t="inlineStr">
        <is>
          <t>CONTROLE PRODUÇÃO POR EMPRESAS!E47</t>
        </is>
      </c>
    </row>
    <row r="252" hidden="1" ht="28.5" customHeight="1">
      <c r="A252" s="317" t="n">
        <v>46264</v>
      </c>
      <c r="B252" t="inlineStr">
        <is>
          <t>GERAL</t>
        </is>
      </c>
      <c r="C252" t="inlineStr">
        <is>
          <t>CMM</t>
        </is>
      </c>
      <c r="D252" t="inlineStr">
        <is>
          <t>IÇAMENTO JOIST</t>
        </is>
      </c>
      <c r="F252" s="159">
        <f>IFERROR(INDEX('BASE METAS DIÁRIAS'!$N$2:$S$358,MATCH($A252,'BASE METAS DIÁRIAS'!$A$2:$A$358,0),MOD(ROW()-2,6)+1),"")</f>
        <v/>
      </c>
      <c r="G252" s="159">
        <f>IFERROR(IF(WEEKDAY($A252,2)&lt;=INDEX('BASE METAS DIÁRIAS'!$H$2:$M$358,MATCH($A252,'BASE METAS DIÁRIAS'!$A$2:$A$358,0),MOD(ROW()-2,6)+1),INDEX('BASE METAS DIÁRIAS'!$B$2:$G$358,MATCH($A252,'BASE METAS DIÁRIAS'!$A$2:$A$358,0),MOD(ROW()-2,6)+1),""),"")</f>
        <v/>
      </c>
      <c r="H252" s="159">
        <f>IFERROR(IF(INDEX('CONTROLE PRODUÇÃO POR EMPRESAS'!$B$6:$G$5000,MATCH($A252,'CONTROLE PRODUÇÃO POR EMPRESAS'!$A$6:$A$5000,0),MOD(ROW()-2,6)+1)="","",IFERROR(1*INDEX('CONTROLE PRODUÇÃO POR EMPRESAS'!$B$6:$G$5000,MATCH($A252,'CONTROLE PRODUÇÃO POR EMPRESAS'!$A$6:$A$5000,0),MOD(ROW()-2,6)+1),"")),"")</f>
        <v/>
      </c>
      <c r="I252" s="159">
        <f>IF(OR(NOT(ISNUMBER(G252)),NOT(ISNUMBER(H252))),"",H252-G252)</f>
        <v/>
      </c>
      <c r="J252" s="319">
        <f>IF(OR(NOT(ISNUMBER(G252)),NOT(ISNUMBER(H252)),G252=0),"",I252/G252)</f>
        <v/>
      </c>
      <c r="K252" s="319">
        <f>IF(OR(NOT(ISNUMBER(G252)),NOT(ISNUMBER(H252)),G252=0),"",H252/G252)</f>
        <v/>
      </c>
      <c r="L252">
        <f>IF(NOT(ISNUMBER(G252)),"SEM META",IF(G252=0,"SEM META",IF(NOT(ISNUMBER(H252)),"SEM APONTAMENTO",IF(H252&gt;=G252,"VERDE",IF(H252&gt;=G252*0.9,"AMARELO","VERMELHO")))))</f>
        <v/>
      </c>
      <c r="M252" s="162" t="n"/>
      <c r="N252" s="162" t="n"/>
      <c r="O252" s="162" t="n"/>
      <c r="P252" s="162" t="n"/>
      <c r="Q252" s="320" t="n"/>
      <c r="R252" s="162" t="inlineStr">
        <is>
          <t>CONTROLE PRODUÇÃO POR EMPRESAS!F47</t>
        </is>
      </c>
    </row>
    <row r="253" hidden="1" ht="28.5" customHeight="1">
      <c r="A253" s="317" t="n">
        <v>46264</v>
      </c>
      <c r="B253" t="inlineStr">
        <is>
          <t>GERAL</t>
        </is>
      </c>
      <c r="C253" t="inlineStr">
        <is>
          <t>CMM</t>
        </is>
      </c>
      <c r="D253" t="inlineStr">
        <is>
          <t>VIGAS</t>
        </is>
      </c>
      <c r="F253" s="159">
        <f>IFERROR(INDEX('BASE METAS DIÁRIAS'!$N$2:$S$358,MATCH($A253,'BASE METAS DIÁRIAS'!$A$2:$A$358,0),MOD(ROW()-2,6)+1),"")</f>
        <v/>
      </c>
      <c r="G253" s="159">
        <f>IFERROR(IF(WEEKDAY($A253,2)&lt;=INDEX('BASE METAS DIÁRIAS'!$H$2:$M$358,MATCH($A253,'BASE METAS DIÁRIAS'!$A$2:$A$358,0),MOD(ROW()-2,6)+1),INDEX('BASE METAS DIÁRIAS'!$B$2:$G$358,MATCH($A253,'BASE METAS DIÁRIAS'!$A$2:$A$358,0),MOD(ROW()-2,6)+1),""),"")</f>
        <v/>
      </c>
      <c r="H253" s="159">
        <f>IFERROR(IF(INDEX('CONTROLE PRODUÇÃO POR EMPRESAS'!$B$6:$G$5000,MATCH($A253,'CONTROLE PRODUÇÃO POR EMPRESAS'!$A$6:$A$5000,0),MOD(ROW()-2,6)+1)="","",IFERROR(1*INDEX('CONTROLE PRODUÇÃO POR EMPRESAS'!$B$6:$G$5000,MATCH($A253,'CONTROLE PRODUÇÃO POR EMPRESAS'!$A$6:$A$5000,0),MOD(ROW()-2,6)+1),"")),"")</f>
        <v/>
      </c>
      <c r="I253" s="159">
        <f>IF(OR(NOT(ISNUMBER(G253)),NOT(ISNUMBER(H253))),"",H253-G253)</f>
        <v/>
      </c>
      <c r="J253" s="319">
        <f>IF(OR(NOT(ISNUMBER(G253)),NOT(ISNUMBER(H253)),G253=0),"",I253/G253)</f>
        <v/>
      </c>
      <c r="K253" s="319">
        <f>IF(OR(NOT(ISNUMBER(G253)),NOT(ISNUMBER(H253)),G253=0),"",H253/G253)</f>
        <v/>
      </c>
      <c r="L253">
        <f>IF(NOT(ISNUMBER(G253)),"SEM META",IF(G253=0,"SEM META",IF(NOT(ISNUMBER(H253)),"SEM APONTAMENTO",IF(H253&gt;=G253,"VERDE",IF(H253&gt;=G253*0.9,"AMARELO","VERMELHO")))))</f>
        <v/>
      </c>
      <c r="M253" s="162" t="n"/>
      <c r="N253" s="162" t="n"/>
      <c r="O253" s="162" t="n"/>
      <c r="P253" s="162" t="n"/>
      <c r="Q253" s="320" t="n"/>
      <c r="R253" s="162" t="inlineStr">
        <is>
          <t>CONTROLE PRODUÇÃO POR EMPRESAS!G47</t>
        </is>
      </c>
    </row>
    <row r="254" hidden="1" ht="28.5" customHeight="1">
      <c r="A254" s="317" t="n">
        <v>46265</v>
      </c>
      <c r="B254" t="inlineStr">
        <is>
          <t>GERAL</t>
        </is>
      </c>
      <c r="C254" t="inlineStr">
        <is>
          <t>EJ</t>
        </is>
      </c>
      <c r="D254" t="inlineStr">
        <is>
          <t>PREMONTAGEM</t>
        </is>
      </c>
      <c r="F254" s="159">
        <f>IFERROR(INDEX('BASE METAS DIÁRIAS'!$N$2:$S$358,MATCH($A254,'BASE METAS DIÁRIAS'!$A$2:$A$358,0),MOD(ROW()-2,6)+1),"")</f>
        <v/>
      </c>
      <c r="G254" s="159">
        <f>IFERROR(IF(WEEKDAY($A254,2)&lt;=INDEX('BASE METAS DIÁRIAS'!$H$2:$M$358,MATCH($A254,'BASE METAS DIÁRIAS'!$A$2:$A$358,0),MOD(ROW()-2,6)+1),INDEX('BASE METAS DIÁRIAS'!$B$2:$G$358,MATCH($A254,'BASE METAS DIÁRIAS'!$A$2:$A$358,0),MOD(ROW()-2,6)+1),""),"")</f>
        <v/>
      </c>
      <c r="H254" s="159">
        <f>IFERROR(IF(INDEX('CONTROLE PRODUÇÃO POR EMPRESAS'!$B$6:$G$5000,MATCH($A254,'CONTROLE PRODUÇÃO POR EMPRESAS'!$A$6:$A$5000,0),MOD(ROW()-2,6)+1)="","",IFERROR(1*INDEX('CONTROLE PRODUÇÃO POR EMPRESAS'!$B$6:$G$5000,MATCH($A254,'CONTROLE PRODUÇÃO POR EMPRESAS'!$A$6:$A$5000,0),MOD(ROW()-2,6)+1),"")),"")</f>
        <v/>
      </c>
      <c r="I254" s="159">
        <f>IF(OR(NOT(ISNUMBER(G254)),NOT(ISNUMBER(H254))),"",H254-G254)</f>
        <v/>
      </c>
      <c r="J254" s="319">
        <f>IF(OR(NOT(ISNUMBER(G254)),NOT(ISNUMBER(H254)),G254=0),"",I254/G254)</f>
        <v/>
      </c>
      <c r="K254" s="319">
        <f>IF(OR(NOT(ISNUMBER(G254)),NOT(ISNUMBER(H254)),G254=0),"",H254/G254)</f>
        <v/>
      </c>
      <c r="L254">
        <f>IF(NOT(ISNUMBER(G254)),"SEM META",IF(G254=0,"SEM META",IF(NOT(ISNUMBER(H254)),"SEM APONTAMENTO",IF(H254&gt;=G254,"VERDE",IF(H254&gt;=G254*0.9,"AMARELO","VERMELHO")))))</f>
        <v/>
      </c>
      <c r="M254" s="162" t="n"/>
      <c r="N254" s="162" t="n"/>
      <c r="O254" s="162" t="n"/>
      <c r="P254" s="162" t="n"/>
      <c r="Q254" s="320" t="n"/>
      <c r="R254" s="162" t="inlineStr">
        <is>
          <t>CONTROLE PRODUÇÃO POR EMPRESAS!B48</t>
        </is>
      </c>
    </row>
    <row r="255" hidden="1" ht="28.5" customHeight="1">
      <c r="A255" s="317" t="n">
        <v>46265</v>
      </c>
      <c r="B255" t="inlineStr">
        <is>
          <t>GERAL</t>
        </is>
      </c>
      <c r="C255" t="inlineStr">
        <is>
          <t>EJ</t>
        </is>
      </c>
      <c r="D255" t="inlineStr">
        <is>
          <t>IÇAMENTO JOIST</t>
        </is>
      </c>
      <c r="F255" s="159">
        <f>IFERROR(INDEX('BASE METAS DIÁRIAS'!$N$2:$S$358,MATCH($A255,'BASE METAS DIÁRIAS'!$A$2:$A$358,0),MOD(ROW()-2,6)+1),"")</f>
        <v/>
      </c>
      <c r="G255" s="159">
        <f>IFERROR(IF(WEEKDAY($A255,2)&lt;=INDEX('BASE METAS DIÁRIAS'!$H$2:$M$358,MATCH($A255,'BASE METAS DIÁRIAS'!$A$2:$A$358,0),MOD(ROW()-2,6)+1),INDEX('BASE METAS DIÁRIAS'!$B$2:$G$358,MATCH($A255,'BASE METAS DIÁRIAS'!$A$2:$A$358,0),MOD(ROW()-2,6)+1),""),"")</f>
        <v/>
      </c>
      <c r="H255" s="159">
        <f>IFERROR(IF(INDEX('CONTROLE PRODUÇÃO POR EMPRESAS'!$B$6:$G$5000,MATCH($A255,'CONTROLE PRODUÇÃO POR EMPRESAS'!$A$6:$A$5000,0),MOD(ROW()-2,6)+1)="","",IFERROR(1*INDEX('CONTROLE PRODUÇÃO POR EMPRESAS'!$B$6:$G$5000,MATCH($A255,'CONTROLE PRODUÇÃO POR EMPRESAS'!$A$6:$A$5000,0),MOD(ROW()-2,6)+1),"")),"")</f>
        <v/>
      </c>
      <c r="I255" s="159">
        <f>IF(OR(NOT(ISNUMBER(G255)),NOT(ISNUMBER(H255))),"",H255-G255)</f>
        <v/>
      </c>
      <c r="J255" s="319">
        <f>IF(OR(NOT(ISNUMBER(G255)),NOT(ISNUMBER(H255)),G255=0),"",I255/G255)</f>
        <v/>
      </c>
      <c r="K255" s="319">
        <f>IF(OR(NOT(ISNUMBER(G255)),NOT(ISNUMBER(H255)),G255=0),"",H255/G255)</f>
        <v/>
      </c>
      <c r="L255">
        <f>IF(NOT(ISNUMBER(G255)),"SEM META",IF(G255=0,"SEM META",IF(NOT(ISNUMBER(H255)),"SEM APONTAMENTO",IF(H255&gt;=G255,"VERDE",IF(H255&gt;=G255*0.9,"AMARELO","VERMELHO")))))</f>
        <v/>
      </c>
      <c r="M255" s="162" t="n"/>
      <c r="N255" s="162" t="n"/>
      <c r="O255" s="162" t="n"/>
      <c r="P255" s="162" t="n"/>
      <c r="Q255" s="320" t="n"/>
      <c r="R255" s="162" t="inlineStr">
        <is>
          <t>CONTROLE PRODUÇÃO POR EMPRESAS!C48</t>
        </is>
      </c>
    </row>
    <row r="256" hidden="1" ht="28.5" customHeight="1">
      <c r="A256" s="317" t="n">
        <v>46265</v>
      </c>
      <c r="B256" t="inlineStr">
        <is>
          <t>GERAL</t>
        </is>
      </c>
      <c r="C256" t="inlineStr">
        <is>
          <t>EJ</t>
        </is>
      </c>
      <c r="D256" t="inlineStr">
        <is>
          <t>VIGAS</t>
        </is>
      </c>
      <c r="F256" s="159">
        <f>IFERROR(INDEX('BASE METAS DIÁRIAS'!$N$2:$S$358,MATCH($A256,'BASE METAS DIÁRIAS'!$A$2:$A$358,0),MOD(ROW()-2,6)+1),"")</f>
        <v/>
      </c>
      <c r="G256" s="159">
        <f>IFERROR(IF(WEEKDAY($A256,2)&lt;=INDEX('BASE METAS DIÁRIAS'!$H$2:$M$358,MATCH($A256,'BASE METAS DIÁRIAS'!$A$2:$A$358,0),MOD(ROW()-2,6)+1),INDEX('BASE METAS DIÁRIAS'!$B$2:$G$358,MATCH($A256,'BASE METAS DIÁRIAS'!$A$2:$A$358,0),MOD(ROW()-2,6)+1),""),"")</f>
        <v/>
      </c>
      <c r="H256" s="159">
        <f>IFERROR(IF(INDEX('CONTROLE PRODUÇÃO POR EMPRESAS'!$B$6:$G$5000,MATCH($A256,'CONTROLE PRODUÇÃO POR EMPRESAS'!$A$6:$A$5000,0),MOD(ROW()-2,6)+1)="","",IFERROR(1*INDEX('CONTROLE PRODUÇÃO POR EMPRESAS'!$B$6:$G$5000,MATCH($A256,'CONTROLE PRODUÇÃO POR EMPRESAS'!$A$6:$A$5000,0),MOD(ROW()-2,6)+1),"")),"")</f>
        <v/>
      </c>
      <c r="I256" s="159">
        <f>IF(OR(NOT(ISNUMBER(G256)),NOT(ISNUMBER(H256))),"",H256-G256)</f>
        <v/>
      </c>
      <c r="J256" s="319">
        <f>IF(OR(NOT(ISNUMBER(G256)),NOT(ISNUMBER(H256)),G256=0),"",I256/G256)</f>
        <v/>
      </c>
      <c r="K256" s="319">
        <f>IF(OR(NOT(ISNUMBER(G256)),NOT(ISNUMBER(H256)),G256=0),"",H256/G256)</f>
        <v/>
      </c>
      <c r="L256">
        <f>IF(NOT(ISNUMBER(G256)),"SEM META",IF(G256=0,"SEM META",IF(NOT(ISNUMBER(H256)),"SEM APONTAMENTO",IF(H256&gt;=G256,"VERDE",IF(H256&gt;=G256*0.9,"AMARELO","VERMELHO")))))</f>
        <v/>
      </c>
      <c r="M256" s="162" t="n"/>
      <c r="N256" s="162" t="n"/>
      <c r="O256" s="162" t="n"/>
      <c r="P256" s="162" t="n"/>
      <c r="Q256" s="320" t="n"/>
      <c r="R256" s="162" t="inlineStr">
        <is>
          <t>CONTROLE PRODUÇÃO POR EMPRESAS!D48</t>
        </is>
      </c>
    </row>
    <row r="257" hidden="1" ht="28.5" customHeight="1">
      <c r="A257" s="317" t="n">
        <v>46265</v>
      </c>
      <c r="B257" t="inlineStr">
        <is>
          <t>GERAL</t>
        </is>
      </c>
      <c r="C257" t="inlineStr">
        <is>
          <t>CMM</t>
        </is>
      </c>
      <c r="D257" t="inlineStr">
        <is>
          <t>PREMONTAGEM</t>
        </is>
      </c>
      <c r="F257" s="159">
        <f>IFERROR(INDEX('BASE METAS DIÁRIAS'!$N$2:$S$358,MATCH($A257,'BASE METAS DIÁRIAS'!$A$2:$A$358,0),MOD(ROW()-2,6)+1),"")</f>
        <v/>
      </c>
      <c r="G257" s="159">
        <f>IFERROR(IF(WEEKDAY($A257,2)&lt;=INDEX('BASE METAS DIÁRIAS'!$H$2:$M$358,MATCH($A257,'BASE METAS DIÁRIAS'!$A$2:$A$358,0),MOD(ROW()-2,6)+1),INDEX('BASE METAS DIÁRIAS'!$B$2:$G$358,MATCH($A257,'BASE METAS DIÁRIAS'!$A$2:$A$358,0),MOD(ROW()-2,6)+1),""),"")</f>
        <v/>
      </c>
      <c r="H257" s="159">
        <f>IFERROR(IF(INDEX('CONTROLE PRODUÇÃO POR EMPRESAS'!$B$6:$G$5000,MATCH($A257,'CONTROLE PRODUÇÃO POR EMPRESAS'!$A$6:$A$5000,0),MOD(ROW()-2,6)+1)="","",IFERROR(1*INDEX('CONTROLE PRODUÇÃO POR EMPRESAS'!$B$6:$G$5000,MATCH($A257,'CONTROLE PRODUÇÃO POR EMPRESAS'!$A$6:$A$5000,0),MOD(ROW()-2,6)+1),"")),"")</f>
        <v/>
      </c>
      <c r="I257" s="159">
        <f>IF(OR(NOT(ISNUMBER(G257)),NOT(ISNUMBER(H257))),"",H257-G257)</f>
        <v/>
      </c>
      <c r="J257" s="319">
        <f>IF(OR(NOT(ISNUMBER(G257)),NOT(ISNUMBER(H257)),G257=0),"",I257/G257)</f>
        <v/>
      </c>
      <c r="K257" s="319">
        <f>IF(OR(NOT(ISNUMBER(G257)),NOT(ISNUMBER(H257)),G257=0),"",H257/G257)</f>
        <v/>
      </c>
      <c r="L257">
        <f>IF(NOT(ISNUMBER(G257)),"SEM META",IF(G257=0,"SEM META",IF(NOT(ISNUMBER(H257)),"SEM APONTAMENTO",IF(H257&gt;=G257,"VERDE",IF(H257&gt;=G257*0.9,"AMARELO","VERMELHO")))))</f>
        <v/>
      </c>
      <c r="M257" s="162" t="n"/>
      <c r="N257" s="162" t="n"/>
      <c r="O257" s="162" t="n"/>
      <c r="P257" s="162" t="n"/>
      <c r="Q257" s="320" t="n"/>
      <c r="R257" s="162" t="inlineStr">
        <is>
          <t>CONTROLE PRODUÇÃO POR EMPRESAS!E48</t>
        </is>
      </c>
    </row>
    <row r="258" hidden="1" ht="28.5" customHeight="1">
      <c r="A258" s="317" t="n">
        <v>46265</v>
      </c>
      <c r="B258" t="inlineStr">
        <is>
          <t>GERAL</t>
        </is>
      </c>
      <c r="C258" t="inlineStr">
        <is>
          <t>CMM</t>
        </is>
      </c>
      <c r="D258" t="inlineStr">
        <is>
          <t>IÇAMENTO JOIST</t>
        </is>
      </c>
      <c r="F258" s="159">
        <f>IFERROR(INDEX('BASE METAS DIÁRIAS'!$N$2:$S$358,MATCH($A258,'BASE METAS DIÁRIAS'!$A$2:$A$358,0),MOD(ROW()-2,6)+1),"")</f>
        <v/>
      </c>
      <c r="G258" s="159">
        <f>IFERROR(IF(WEEKDAY($A258,2)&lt;=INDEX('BASE METAS DIÁRIAS'!$H$2:$M$358,MATCH($A258,'BASE METAS DIÁRIAS'!$A$2:$A$358,0),MOD(ROW()-2,6)+1),INDEX('BASE METAS DIÁRIAS'!$B$2:$G$358,MATCH($A258,'BASE METAS DIÁRIAS'!$A$2:$A$358,0),MOD(ROW()-2,6)+1),""),"")</f>
        <v/>
      </c>
      <c r="H258" s="159">
        <f>IFERROR(IF(INDEX('CONTROLE PRODUÇÃO POR EMPRESAS'!$B$6:$G$5000,MATCH($A258,'CONTROLE PRODUÇÃO POR EMPRESAS'!$A$6:$A$5000,0),MOD(ROW()-2,6)+1)="","",IFERROR(1*INDEX('CONTROLE PRODUÇÃO POR EMPRESAS'!$B$6:$G$5000,MATCH($A258,'CONTROLE PRODUÇÃO POR EMPRESAS'!$A$6:$A$5000,0),MOD(ROW()-2,6)+1),"")),"")</f>
        <v/>
      </c>
      <c r="I258" s="159">
        <f>IF(OR(NOT(ISNUMBER(G258)),NOT(ISNUMBER(H258))),"",H258-G258)</f>
        <v/>
      </c>
      <c r="J258" s="319">
        <f>IF(OR(NOT(ISNUMBER(G258)),NOT(ISNUMBER(H258)),G258=0),"",I258/G258)</f>
        <v/>
      </c>
      <c r="K258" s="319">
        <f>IF(OR(NOT(ISNUMBER(G258)),NOT(ISNUMBER(H258)),G258=0),"",H258/G258)</f>
        <v/>
      </c>
      <c r="L258">
        <f>IF(NOT(ISNUMBER(G258)),"SEM META",IF(G258=0,"SEM META",IF(NOT(ISNUMBER(H258)),"SEM APONTAMENTO",IF(H258&gt;=G258,"VERDE",IF(H258&gt;=G258*0.9,"AMARELO","VERMELHO")))))</f>
        <v/>
      </c>
      <c r="M258" s="162" t="n"/>
      <c r="N258" s="162" t="n"/>
      <c r="O258" s="162" t="n"/>
      <c r="P258" s="162" t="n"/>
      <c r="Q258" s="320" t="n"/>
      <c r="R258" s="162" t="inlineStr">
        <is>
          <t>CONTROLE PRODUÇÃO POR EMPRESAS!F48</t>
        </is>
      </c>
    </row>
    <row r="259" hidden="1" ht="28.5" customHeight="1">
      <c r="A259" s="317" t="n">
        <v>46265</v>
      </c>
      <c r="B259" t="inlineStr">
        <is>
          <t>GERAL</t>
        </is>
      </c>
      <c r="C259" t="inlineStr">
        <is>
          <t>CMM</t>
        </is>
      </c>
      <c r="D259" t="inlineStr">
        <is>
          <t>VIGAS</t>
        </is>
      </c>
      <c r="F259" s="159">
        <f>IFERROR(INDEX('BASE METAS DIÁRIAS'!$N$2:$S$358,MATCH($A259,'BASE METAS DIÁRIAS'!$A$2:$A$358,0),MOD(ROW()-2,6)+1),"")</f>
        <v/>
      </c>
      <c r="G259" s="159">
        <f>IFERROR(IF(WEEKDAY($A259,2)&lt;=INDEX('BASE METAS DIÁRIAS'!$H$2:$M$358,MATCH($A259,'BASE METAS DIÁRIAS'!$A$2:$A$358,0),MOD(ROW()-2,6)+1),INDEX('BASE METAS DIÁRIAS'!$B$2:$G$358,MATCH($A259,'BASE METAS DIÁRIAS'!$A$2:$A$358,0),MOD(ROW()-2,6)+1),""),"")</f>
        <v/>
      </c>
      <c r="H259" s="159">
        <f>IFERROR(IF(INDEX('CONTROLE PRODUÇÃO POR EMPRESAS'!$B$6:$G$5000,MATCH($A259,'CONTROLE PRODUÇÃO POR EMPRESAS'!$A$6:$A$5000,0),MOD(ROW()-2,6)+1)="","",IFERROR(1*INDEX('CONTROLE PRODUÇÃO POR EMPRESAS'!$B$6:$G$5000,MATCH($A259,'CONTROLE PRODUÇÃO POR EMPRESAS'!$A$6:$A$5000,0),MOD(ROW()-2,6)+1),"")),"")</f>
        <v/>
      </c>
      <c r="I259" s="159">
        <f>IF(OR(NOT(ISNUMBER(G259)),NOT(ISNUMBER(H259))),"",H259-G259)</f>
        <v/>
      </c>
      <c r="J259" s="319">
        <f>IF(OR(NOT(ISNUMBER(G259)),NOT(ISNUMBER(H259)),G259=0),"",I259/G259)</f>
        <v/>
      </c>
      <c r="K259" s="319">
        <f>IF(OR(NOT(ISNUMBER(G259)),NOT(ISNUMBER(H259)),G259=0),"",H259/G259)</f>
        <v/>
      </c>
      <c r="L259">
        <f>IF(NOT(ISNUMBER(G259)),"SEM META",IF(G259=0,"SEM META",IF(NOT(ISNUMBER(H259)),"SEM APONTAMENTO",IF(H259&gt;=G259,"VERDE",IF(H259&gt;=G259*0.9,"AMARELO","VERMELHO")))))</f>
        <v/>
      </c>
      <c r="M259" s="162" t="n"/>
      <c r="N259" s="162" t="n"/>
      <c r="O259" s="162" t="n"/>
      <c r="P259" s="162" t="n"/>
      <c r="Q259" s="320" t="n"/>
      <c r="R259" s="162" t="inlineStr">
        <is>
          <t>CONTROLE PRODUÇÃO POR EMPRESAS!G48</t>
        </is>
      </c>
    </row>
    <row r="260" hidden="1" ht="28.5" customHeight="1">
      <c r="A260" s="317" t="n">
        <v>46266</v>
      </c>
      <c r="B260" t="inlineStr">
        <is>
          <t>GERAL</t>
        </is>
      </c>
      <c r="C260" t="inlineStr">
        <is>
          <t>EJ</t>
        </is>
      </c>
      <c r="D260" t="inlineStr">
        <is>
          <t>PREMONTAGEM</t>
        </is>
      </c>
      <c r="F260" s="159">
        <f>IFERROR(INDEX('BASE METAS DIÁRIAS'!$N$2:$S$358,MATCH($A260,'BASE METAS DIÁRIAS'!$A$2:$A$358,0),MOD(ROW()-2,6)+1),"")</f>
        <v/>
      </c>
      <c r="G260" s="159">
        <f>IFERROR(IF(WEEKDAY($A260,2)&lt;=INDEX('BASE METAS DIÁRIAS'!$H$2:$M$358,MATCH($A260,'BASE METAS DIÁRIAS'!$A$2:$A$358,0),MOD(ROW()-2,6)+1),INDEX('BASE METAS DIÁRIAS'!$B$2:$G$358,MATCH($A260,'BASE METAS DIÁRIAS'!$A$2:$A$358,0),MOD(ROW()-2,6)+1),""),"")</f>
        <v/>
      </c>
      <c r="H260" s="159">
        <f>IFERROR(IF(INDEX('CONTROLE PRODUÇÃO POR EMPRESAS'!$B$6:$G$5000,MATCH($A260,'CONTROLE PRODUÇÃO POR EMPRESAS'!$A$6:$A$5000,0),MOD(ROW()-2,6)+1)="","",IFERROR(1*INDEX('CONTROLE PRODUÇÃO POR EMPRESAS'!$B$6:$G$5000,MATCH($A260,'CONTROLE PRODUÇÃO POR EMPRESAS'!$A$6:$A$5000,0),MOD(ROW()-2,6)+1),"")),"")</f>
        <v/>
      </c>
      <c r="I260" s="159">
        <f>IF(OR(NOT(ISNUMBER(G260)),NOT(ISNUMBER(H260))),"",H260-G260)</f>
        <v/>
      </c>
      <c r="J260" s="319">
        <f>IF(OR(NOT(ISNUMBER(G260)),NOT(ISNUMBER(H260)),G260=0),"",I260/G260)</f>
        <v/>
      </c>
      <c r="K260" s="319">
        <f>IF(OR(NOT(ISNUMBER(G260)),NOT(ISNUMBER(H260)),G260=0),"",H260/G260)</f>
        <v/>
      </c>
      <c r="L260">
        <f>IF(NOT(ISNUMBER(G260)),"SEM META",IF(G260=0,"SEM META",IF(NOT(ISNUMBER(H260)),"SEM APONTAMENTO",IF(H260&gt;=G260,"VERDE",IF(H260&gt;=G260*0.9,"AMARELO","VERMELHO")))))</f>
        <v/>
      </c>
      <c r="M260" s="162" t="n"/>
      <c r="N260" s="162" t="n"/>
      <c r="O260" s="162" t="n"/>
      <c r="P260" s="162" t="n"/>
      <c r="Q260" s="320" t="n"/>
      <c r="R260" s="162" t="inlineStr">
        <is>
          <t>CONTROLE PRODUÇÃO POR EMPRESAS!B49</t>
        </is>
      </c>
    </row>
    <row r="261" hidden="1" ht="28.5" customHeight="1">
      <c r="A261" s="317" t="n">
        <v>46266</v>
      </c>
      <c r="B261" t="inlineStr">
        <is>
          <t>GERAL</t>
        </is>
      </c>
      <c r="C261" t="inlineStr">
        <is>
          <t>EJ</t>
        </is>
      </c>
      <c r="D261" t="inlineStr">
        <is>
          <t>IÇAMENTO JOIST</t>
        </is>
      </c>
      <c r="F261" s="159">
        <f>IFERROR(INDEX('BASE METAS DIÁRIAS'!$N$2:$S$358,MATCH($A261,'BASE METAS DIÁRIAS'!$A$2:$A$358,0),MOD(ROW()-2,6)+1),"")</f>
        <v/>
      </c>
      <c r="G261" s="159">
        <f>IFERROR(IF(WEEKDAY($A261,2)&lt;=INDEX('BASE METAS DIÁRIAS'!$H$2:$M$358,MATCH($A261,'BASE METAS DIÁRIAS'!$A$2:$A$358,0),MOD(ROW()-2,6)+1),INDEX('BASE METAS DIÁRIAS'!$B$2:$G$358,MATCH($A261,'BASE METAS DIÁRIAS'!$A$2:$A$358,0),MOD(ROW()-2,6)+1),""),"")</f>
        <v/>
      </c>
      <c r="H261" s="159">
        <f>IFERROR(IF(INDEX('CONTROLE PRODUÇÃO POR EMPRESAS'!$B$6:$G$5000,MATCH($A261,'CONTROLE PRODUÇÃO POR EMPRESAS'!$A$6:$A$5000,0),MOD(ROW()-2,6)+1)="","",IFERROR(1*INDEX('CONTROLE PRODUÇÃO POR EMPRESAS'!$B$6:$G$5000,MATCH($A261,'CONTROLE PRODUÇÃO POR EMPRESAS'!$A$6:$A$5000,0),MOD(ROW()-2,6)+1),"")),"")</f>
        <v/>
      </c>
      <c r="I261" s="159">
        <f>IF(OR(NOT(ISNUMBER(G261)),NOT(ISNUMBER(H261))),"",H261-G261)</f>
        <v/>
      </c>
      <c r="J261" s="319">
        <f>IF(OR(NOT(ISNUMBER(G261)),NOT(ISNUMBER(H261)),G261=0),"",I261/G261)</f>
        <v/>
      </c>
      <c r="K261" s="319">
        <f>IF(OR(NOT(ISNUMBER(G261)),NOT(ISNUMBER(H261)),G261=0),"",H261/G261)</f>
        <v/>
      </c>
      <c r="L261">
        <f>IF(NOT(ISNUMBER(G261)),"SEM META",IF(G261=0,"SEM META",IF(NOT(ISNUMBER(H261)),"SEM APONTAMENTO",IF(H261&gt;=G261,"VERDE",IF(H261&gt;=G261*0.9,"AMARELO","VERMELHO")))))</f>
        <v/>
      </c>
      <c r="M261" s="162" t="n"/>
      <c r="N261" s="162" t="n"/>
      <c r="O261" s="162" t="n"/>
      <c r="P261" s="162" t="n"/>
      <c r="Q261" s="320" t="n"/>
      <c r="R261" s="162" t="inlineStr">
        <is>
          <t>CONTROLE PRODUÇÃO POR EMPRESAS!C49</t>
        </is>
      </c>
    </row>
    <row r="262" hidden="1" ht="28.5" customHeight="1">
      <c r="A262" s="317" t="n">
        <v>46266</v>
      </c>
      <c r="B262" t="inlineStr">
        <is>
          <t>GERAL</t>
        </is>
      </c>
      <c r="C262" t="inlineStr">
        <is>
          <t>EJ</t>
        </is>
      </c>
      <c r="D262" t="inlineStr">
        <is>
          <t>VIGAS</t>
        </is>
      </c>
      <c r="F262" s="159">
        <f>IFERROR(INDEX('BASE METAS DIÁRIAS'!$N$2:$S$358,MATCH($A262,'BASE METAS DIÁRIAS'!$A$2:$A$358,0),MOD(ROW()-2,6)+1),"")</f>
        <v/>
      </c>
      <c r="G262" s="159">
        <f>IFERROR(IF(WEEKDAY($A262,2)&lt;=INDEX('BASE METAS DIÁRIAS'!$H$2:$M$358,MATCH($A262,'BASE METAS DIÁRIAS'!$A$2:$A$358,0),MOD(ROW()-2,6)+1),INDEX('BASE METAS DIÁRIAS'!$B$2:$G$358,MATCH($A262,'BASE METAS DIÁRIAS'!$A$2:$A$358,0),MOD(ROW()-2,6)+1),""),"")</f>
        <v/>
      </c>
      <c r="H262" s="159">
        <f>IFERROR(IF(INDEX('CONTROLE PRODUÇÃO POR EMPRESAS'!$B$6:$G$5000,MATCH($A262,'CONTROLE PRODUÇÃO POR EMPRESAS'!$A$6:$A$5000,0),MOD(ROW()-2,6)+1)="","",IFERROR(1*INDEX('CONTROLE PRODUÇÃO POR EMPRESAS'!$B$6:$G$5000,MATCH($A262,'CONTROLE PRODUÇÃO POR EMPRESAS'!$A$6:$A$5000,0),MOD(ROW()-2,6)+1),"")),"")</f>
        <v/>
      </c>
      <c r="I262" s="159">
        <f>IF(OR(NOT(ISNUMBER(G262)),NOT(ISNUMBER(H262))),"",H262-G262)</f>
        <v/>
      </c>
      <c r="J262" s="319">
        <f>IF(OR(NOT(ISNUMBER(G262)),NOT(ISNUMBER(H262)),G262=0),"",I262/G262)</f>
        <v/>
      </c>
      <c r="K262" s="319">
        <f>IF(OR(NOT(ISNUMBER(G262)),NOT(ISNUMBER(H262)),G262=0),"",H262/G262)</f>
        <v/>
      </c>
      <c r="L262">
        <f>IF(NOT(ISNUMBER(G262)),"SEM META",IF(G262=0,"SEM META",IF(NOT(ISNUMBER(H262)),"SEM APONTAMENTO",IF(H262&gt;=G262,"VERDE",IF(H262&gt;=G262*0.9,"AMARELO","VERMELHO")))))</f>
        <v/>
      </c>
      <c r="M262" s="162" t="n"/>
      <c r="N262" s="162" t="n"/>
      <c r="O262" s="162" t="n"/>
      <c r="P262" s="162" t="n"/>
      <c r="Q262" s="320" t="n"/>
      <c r="R262" s="162" t="inlineStr">
        <is>
          <t>CONTROLE PRODUÇÃO POR EMPRESAS!D49</t>
        </is>
      </c>
    </row>
    <row r="263" hidden="1" ht="28.5" customHeight="1">
      <c r="A263" s="317" t="n">
        <v>46266</v>
      </c>
      <c r="B263" t="inlineStr">
        <is>
          <t>GERAL</t>
        </is>
      </c>
      <c r="C263" t="inlineStr">
        <is>
          <t>CMM</t>
        </is>
      </c>
      <c r="D263" t="inlineStr">
        <is>
          <t>PREMONTAGEM</t>
        </is>
      </c>
      <c r="F263" s="159">
        <f>IFERROR(INDEX('BASE METAS DIÁRIAS'!$N$2:$S$358,MATCH($A263,'BASE METAS DIÁRIAS'!$A$2:$A$358,0),MOD(ROW()-2,6)+1),"")</f>
        <v/>
      </c>
      <c r="G263" s="159">
        <f>IFERROR(IF(WEEKDAY($A263,2)&lt;=INDEX('BASE METAS DIÁRIAS'!$H$2:$M$358,MATCH($A263,'BASE METAS DIÁRIAS'!$A$2:$A$358,0),MOD(ROW()-2,6)+1),INDEX('BASE METAS DIÁRIAS'!$B$2:$G$358,MATCH($A263,'BASE METAS DIÁRIAS'!$A$2:$A$358,0),MOD(ROW()-2,6)+1),""),"")</f>
        <v/>
      </c>
      <c r="H263" s="159">
        <f>IFERROR(IF(INDEX('CONTROLE PRODUÇÃO POR EMPRESAS'!$B$6:$G$5000,MATCH($A263,'CONTROLE PRODUÇÃO POR EMPRESAS'!$A$6:$A$5000,0),MOD(ROW()-2,6)+1)="","",IFERROR(1*INDEX('CONTROLE PRODUÇÃO POR EMPRESAS'!$B$6:$G$5000,MATCH($A263,'CONTROLE PRODUÇÃO POR EMPRESAS'!$A$6:$A$5000,0),MOD(ROW()-2,6)+1),"")),"")</f>
        <v/>
      </c>
      <c r="I263" s="159">
        <f>IF(OR(NOT(ISNUMBER(G263)),NOT(ISNUMBER(H263))),"",H263-G263)</f>
        <v/>
      </c>
      <c r="J263" s="319">
        <f>IF(OR(NOT(ISNUMBER(G263)),NOT(ISNUMBER(H263)),G263=0),"",I263/G263)</f>
        <v/>
      </c>
      <c r="K263" s="319">
        <f>IF(OR(NOT(ISNUMBER(G263)),NOT(ISNUMBER(H263)),G263=0),"",H263/G263)</f>
        <v/>
      </c>
      <c r="L263">
        <f>IF(NOT(ISNUMBER(G263)),"SEM META",IF(G263=0,"SEM META",IF(NOT(ISNUMBER(H263)),"SEM APONTAMENTO",IF(H263&gt;=G263,"VERDE",IF(H263&gt;=G263*0.9,"AMARELO","VERMELHO")))))</f>
        <v/>
      </c>
      <c r="M263" s="162" t="n"/>
      <c r="N263" s="162" t="n"/>
      <c r="O263" s="162" t="n"/>
      <c r="P263" s="162" t="n"/>
      <c r="Q263" s="320" t="n"/>
      <c r="R263" s="162" t="inlineStr">
        <is>
          <t>CONTROLE PRODUÇÃO POR EMPRESAS!E49</t>
        </is>
      </c>
    </row>
    <row r="264" hidden="1" ht="28.5" customHeight="1">
      <c r="A264" s="317" t="n">
        <v>46266</v>
      </c>
      <c r="B264" t="inlineStr">
        <is>
          <t>GERAL</t>
        </is>
      </c>
      <c r="C264" t="inlineStr">
        <is>
          <t>CMM</t>
        </is>
      </c>
      <c r="D264" t="inlineStr">
        <is>
          <t>IÇAMENTO JOIST</t>
        </is>
      </c>
      <c r="F264" s="159">
        <f>IFERROR(INDEX('BASE METAS DIÁRIAS'!$N$2:$S$358,MATCH($A264,'BASE METAS DIÁRIAS'!$A$2:$A$358,0),MOD(ROW()-2,6)+1),"")</f>
        <v/>
      </c>
      <c r="G264" s="159">
        <f>IFERROR(IF(WEEKDAY($A264,2)&lt;=INDEX('BASE METAS DIÁRIAS'!$H$2:$M$358,MATCH($A264,'BASE METAS DIÁRIAS'!$A$2:$A$358,0),MOD(ROW()-2,6)+1),INDEX('BASE METAS DIÁRIAS'!$B$2:$G$358,MATCH($A264,'BASE METAS DIÁRIAS'!$A$2:$A$358,0),MOD(ROW()-2,6)+1),""),"")</f>
        <v/>
      </c>
      <c r="H264" s="159">
        <f>IFERROR(IF(INDEX('CONTROLE PRODUÇÃO POR EMPRESAS'!$B$6:$G$5000,MATCH($A264,'CONTROLE PRODUÇÃO POR EMPRESAS'!$A$6:$A$5000,0),MOD(ROW()-2,6)+1)="","",IFERROR(1*INDEX('CONTROLE PRODUÇÃO POR EMPRESAS'!$B$6:$G$5000,MATCH($A264,'CONTROLE PRODUÇÃO POR EMPRESAS'!$A$6:$A$5000,0),MOD(ROW()-2,6)+1),"")),"")</f>
        <v/>
      </c>
      <c r="I264" s="159">
        <f>IF(OR(NOT(ISNUMBER(G264)),NOT(ISNUMBER(H264))),"",H264-G264)</f>
        <v/>
      </c>
      <c r="J264" s="319">
        <f>IF(OR(NOT(ISNUMBER(G264)),NOT(ISNUMBER(H264)),G264=0),"",I264/G264)</f>
        <v/>
      </c>
      <c r="K264" s="319">
        <f>IF(OR(NOT(ISNUMBER(G264)),NOT(ISNUMBER(H264)),G264=0),"",H264/G264)</f>
        <v/>
      </c>
      <c r="L264">
        <f>IF(NOT(ISNUMBER(G264)),"SEM META",IF(G264=0,"SEM META",IF(NOT(ISNUMBER(H264)),"SEM APONTAMENTO",IF(H264&gt;=G264,"VERDE",IF(H264&gt;=G264*0.9,"AMARELO","VERMELHO")))))</f>
        <v/>
      </c>
      <c r="M264" s="162" t="n"/>
      <c r="N264" s="162" t="n"/>
      <c r="O264" s="162" t="n"/>
      <c r="P264" s="162" t="n"/>
      <c r="Q264" s="320" t="n"/>
      <c r="R264" s="162" t="inlineStr">
        <is>
          <t>CONTROLE PRODUÇÃO POR EMPRESAS!F49</t>
        </is>
      </c>
    </row>
    <row r="265" hidden="1" ht="28.5" customHeight="1">
      <c r="A265" s="317" t="n">
        <v>46266</v>
      </c>
      <c r="B265" t="inlineStr">
        <is>
          <t>GERAL</t>
        </is>
      </c>
      <c r="C265" t="inlineStr">
        <is>
          <t>CMM</t>
        </is>
      </c>
      <c r="D265" t="inlineStr">
        <is>
          <t>VIGAS</t>
        </is>
      </c>
      <c r="F265" s="159">
        <f>IFERROR(INDEX('BASE METAS DIÁRIAS'!$N$2:$S$358,MATCH($A265,'BASE METAS DIÁRIAS'!$A$2:$A$358,0),MOD(ROW()-2,6)+1),"")</f>
        <v/>
      </c>
      <c r="G265" s="159">
        <f>IFERROR(IF(WEEKDAY($A265,2)&lt;=INDEX('BASE METAS DIÁRIAS'!$H$2:$M$358,MATCH($A265,'BASE METAS DIÁRIAS'!$A$2:$A$358,0),MOD(ROW()-2,6)+1),INDEX('BASE METAS DIÁRIAS'!$B$2:$G$358,MATCH($A265,'BASE METAS DIÁRIAS'!$A$2:$A$358,0),MOD(ROW()-2,6)+1),""),"")</f>
        <v/>
      </c>
      <c r="H265" s="159">
        <f>IFERROR(IF(INDEX('CONTROLE PRODUÇÃO POR EMPRESAS'!$B$6:$G$5000,MATCH($A265,'CONTROLE PRODUÇÃO POR EMPRESAS'!$A$6:$A$5000,0),MOD(ROW()-2,6)+1)="","",IFERROR(1*INDEX('CONTROLE PRODUÇÃO POR EMPRESAS'!$B$6:$G$5000,MATCH($A265,'CONTROLE PRODUÇÃO POR EMPRESAS'!$A$6:$A$5000,0),MOD(ROW()-2,6)+1),"")),"")</f>
        <v/>
      </c>
      <c r="I265" s="159">
        <f>IF(OR(NOT(ISNUMBER(G265)),NOT(ISNUMBER(H265))),"",H265-G265)</f>
        <v/>
      </c>
      <c r="J265" s="319">
        <f>IF(OR(NOT(ISNUMBER(G265)),NOT(ISNUMBER(H265)),G265=0),"",I265/G265)</f>
        <v/>
      </c>
      <c r="K265" s="319">
        <f>IF(OR(NOT(ISNUMBER(G265)),NOT(ISNUMBER(H265)),G265=0),"",H265/G265)</f>
        <v/>
      </c>
      <c r="L265">
        <f>IF(NOT(ISNUMBER(G265)),"SEM META",IF(G265=0,"SEM META",IF(NOT(ISNUMBER(H265)),"SEM APONTAMENTO",IF(H265&gt;=G265,"VERDE",IF(H265&gt;=G265*0.9,"AMARELO","VERMELHO")))))</f>
        <v/>
      </c>
      <c r="M265" s="162" t="n"/>
      <c r="N265" s="162" t="n"/>
      <c r="O265" s="162" t="n"/>
      <c r="P265" s="162" t="n"/>
      <c r="Q265" s="320" t="n"/>
      <c r="R265" s="162" t="inlineStr">
        <is>
          <t>CONTROLE PRODUÇÃO POR EMPRESAS!G49</t>
        </is>
      </c>
    </row>
    <row r="266" hidden="1" ht="28.5" customHeight="1">
      <c r="A266" s="317" t="n">
        <v>46267</v>
      </c>
      <c r="B266" t="inlineStr">
        <is>
          <t>GERAL</t>
        </is>
      </c>
      <c r="C266" t="inlineStr">
        <is>
          <t>EJ</t>
        </is>
      </c>
      <c r="D266" t="inlineStr">
        <is>
          <t>PREMONTAGEM</t>
        </is>
      </c>
      <c r="F266" s="159">
        <f>IFERROR(INDEX('BASE METAS DIÁRIAS'!$N$2:$S$358,MATCH($A266,'BASE METAS DIÁRIAS'!$A$2:$A$358,0),MOD(ROW()-2,6)+1),"")</f>
        <v/>
      </c>
      <c r="G266" s="159">
        <f>IFERROR(IF(WEEKDAY($A266,2)&lt;=INDEX('BASE METAS DIÁRIAS'!$H$2:$M$358,MATCH($A266,'BASE METAS DIÁRIAS'!$A$2:$A$358,0),MOD(ROW()-2,6)+1),INDEX('BASE METAS DIÁRIAS'!$B$2:$G$358,MATCH($A266,'BASE METAS DIÁRIAS'!$A$2:$A$358,0),MOD(ROW()-2,6)+1),""),"")</f>
        <v/>
      </c>
      <c r="H266" s="159">
        <f>IFERROR(IF(INDEX('CONTROLE PRODUÇÃO POR EMPRESAS'!$B$6:$G$5000,MATCH($A266,'CONTROLE PRODUÇÃO POR EMPRESAS'!$A$6:$A$5000,0),MOD(ROW()-2,6)+1)="","",IFERROR(1*INDEX('CONTROLE PRODUÇÃO POR EMPRESAS'!$B$6:$G$5000,MATCH($A266,'CONTROLE PRODUÇÃO POR EMPRESAS'!$A$6:$A$5000,0),MOD(ROW()-2,6)+1),"")),"")</f>
        <v/>
      </c>
      <c r="I266" s="159">
        <f>IF(OR(NOT(ISNUMBER(G266)),NOT(ISNUMBER(H266))),"",H266-G266)</f>
        <v/>
      </c>
      <c r="J266" s="319">
        <f>IF(OR(NOT(ISNUMBER(G266)),NOT(ISNUMBER(H266)),G266=0),"",I266/G266)</f>
        <v/>
      </c>
      <c r="K266" s="319">
        <f>IF(OR(NOT(ISNUMBER(G266)),NOT(ISNUMBER(H266)),G266=0),"",H266/G266)</f>
        <v/>
      </c>
      <c r="L266">
        <f>IF(NOT(ISNUMBER(G266)),"SEM META",IF(G266=0,"SEM META",IF(NOT(ISNUMBER(H266)),"SEM APONTAMENTO",IF(H266&gt;=G266,"VERDE",IF(H266&gt;=G266*0.9,"AMARELO","VERMELHO")))))</f>
        <v/>
      </c>
      <c r="M266" s="162" t="n"/>
      <c r="N266" s="162" t="n"/>
      <c r="O266" s="162" t="n"/>
      <c r="P266" s="162" t="n"/>
      <c r="Q266" s="320" t="n"/>
      <c r="R266" s="162" t="inlineStr">
        <is>
          <t>CONTROLE PRODUÇÃO POR EMPRESAS!B50</t>
        </is>
      </c>
    </row>
    <row r="267" hidden="1" ht="28.5" customHeight="1">
      <c r="A267" s="317" t="n">
        <v>46267</v>
      </c>
      <c r="B267" t="inlineStr">
        <is>
          <t>GERAL</t>
        </is>
      </c>
      <c r="C267" t="inlineStr">
        <is>
          <t>EJ</t>
        </is>
      </c>
      <c r="D267" t="inlineStr">
        <is>
          <t>IÇAMENTO JOIST</t>
        </is>
      </c>
      <c r="F267" s="159">
        <f>IFERROR(INDEX('BASE METAS DIÁRIAS'!$N$2:$S$358,MATCH($A267,'BASE METAS DIÁRIAS'!$A$2:$A$358,0),MOD(ROW()-2,6)+1),"")</f>
        <v/>
      </c>
      <c r="G267" s="159">
        <f>IFERROR(IF(WEEKDAY($A267,2)&lt;=INDEX('BASE METAS DIÁRIAS'!$H$2:$M$358,MATCH($A267,'BASE METAS DIÁRIAS'!$A$2:$A$358,0),MOD(ROW()-2,6)+1),INDEX('BASE METAS DIÁRIAS'!$B$2:$G$358,MATCH($A267,'BASE METAS DIÁRIAS'!$A$2:$A$358,0),MOD(ROW()-2,6)+1),""),"")</f>
        <v/>
      </c>
      <c r="H267" s="159">
        <f>IFERROR(IF(INDEX('CONTROLE PRODUÇÃO POR EMPRESAS'!$B$6:$G$5000,MATCH($A267,'CONTROLE PRODUÇÃO POR EMPRESAS'!$A$6:$A$5000,0),MOD(ROW()-2,6)+1)="","",IFERROR(1*INDEX('CONTROLE PRODUÇÃO POR EMPRESAS'!$B$6:$G$5000,MATCH($A267,'CONTROLE PRODUÇÃO POR EMPRESAS'!$A$6:$A$5000,0),MOD(ROW()-2,6)+1),"")),"")</f>
        <v/>
      </c>
      <c r="I267" s="159">
        <f>IF(OR(NOT(ISNUMBER(G267)),NOT(ISNUMBER(H267))),"",H267-G267)</f>
        <v/>
      </c>
      <c r="J267" s="319">
        <f>IF(OR(NOT(ISNUMBER(G267)),NOT(ISNUMBER(H267)),G267=0),"",I267/G267)</f>
        <v/>
      </c>
      <c r="K267" s="319">
        <f>IF(OR(NOT(ISNUMBER(G267)),NOT(ISNUMBER(H267)),G267=0),"",H267/G267)</f>
        <v/>
      </c>
      <c r="L267">
        <f>IF(NOT(ISNUMBER(G267)),"SEM META",IF(G267=0,"SEM META",IF(NOT(ISNUMBER(H267)),"SEM APONTAMENTO",IF(H267&gt;=G267,"VERDE",IF(H267&gt;=G267*0.9,"AMARELO","VERMELHO")))))</f>
        <v/>
      </c>
      <c r="M267" s="162" t="n"/>
      <c r="N267" s="162" t="n"/>
      <c r="O267" s="162" t="n"/>
      <c r="P267" s="162" t="n"/>
      <c r="Q267" s="320" t="n"/>
      <c r="R267" s="162" t="inlineStr">
        <is>
          <t>CONTROLE PRODUÇÃO POR EMPRESAS!C50</t>
        </is>
      </c>
    </row>
    <row r="268" hidden="1" ht="28.5" customHeight="1">
      <c r="A268" s="317" t="n">
        <v>46267</v>
      </c>
      <c r="B268" t="inlineStr">
        <is>
          <t>GERAL</t>
        </is>
      </c>
      <c r="C268" t="inlineStr">
        <is>
          <t>EJ</t>
        </is>
      </c>
      <c r="D268" t="inlineStr">
        <is>
          <t>VIGAS</t>
        </is>
      </c>
      <c r="F268" s="159">
        <f>IFERROR(INDEX('BASE METAS DIÁRIAS'!$N$2:$S$358,MATCH($A268,'BASE METAS DIÁRIAS'!$A$2:$A$358,0),MOD(ROW()-2,6)+1),"")</f>
        <v/>
      </c>
      <c r="G268" s="159">
        <f>IFERROR(IF(WEEKDAY($A268,2)&lt;=INDEX('BASE METAS DIÁRIAS'!$H$2:$M$358,MATCH($A268,'BASE METAS DIÁRIAS'!$A$2:$A$358,0),MOD(ROW()-2,6)+1),INDEX('BASE METAS DIÁRIAS'!$B$2:$G$358,MATCH($A268,'BASE METAS DIÁRIAS'!$A$2:$A$358,0),MOD(ROW()-2,6)+1),""),"")</f>
        <v/>
      </c>
      <c r="H268" s="159">
        <f>IFERROR(IF(INDEX('CONTROLE PRODUÇÃO POR EMPRESAS'!$B$6:$G$5000,MATCH($A268,'CONTROLE PRODUÇÃO POR EMPRESAS'!$A$6:$A$5000,0),MOD(ROW()-2,6)+1)="","",IFERROR(1*INDEX('CONTROLE PRODUÇÃO POR EMPRESAS'!$B$6:$G$5000,MATCH($A268,'CONTROLE PRODUÇÃO POR EMPRESAS'!$A$6:$A$5000,0),MOD(ROW()-2,6)+1),"")),"")</f>
        <v/>
      </c>
      <c r="I268" s="159">
        <f>IF(OR(NOT(ISNUMBER(G268)),NOT(ISNUMBER(H268))),"",H268-G268)</f>
        <v/>
      </c>
      <c r="J268" s="319">
        <f>IF(OR(NOT(ISNUMBER(G268)),NOT(ISNUMBER(H268)),G268=0),"",I268/G268)</f>
        <v/>
      </c>
      <c r="K268" s="319">
        <f>IF(OR(NOT(ISNUMBER(G268)),NOT(ISNUMBER(H268)),G268=0),"",H268/G268)</f>
        <v/>
      </c>
      <c r="L268">
        <f>IF(NOT(ISNUMBER(G268)),"SEM META",IF(G268=0,"SEM META",IF(NOT(ISNUMBER(H268)),"SEM APONTAMENTO",IF(H268&gt;=G268,"VERDE",IF(H268&gt;=G268*0.9,"AMARELO","VERMELHO")))))</f>
        <v/>
      </c>
      <c r="M268" s="162" t="n"/>
      <c r="N268" s="162" t="n"/>
      <c r="O268" s="162" t="n"/>
      <c r="P268" s="162" t="n"/>
      <c r="Q268" s="320" t="n"/>
      <c r="R268" s="162" t="inlineStr">
        <is>
          <t>CONTROLE PRODUÇÃO POR EMPRESAS!D50</t>
        </is>
      </c>
    </row>
    <row r="269" hidden="1" ht="28.5" customHeight="1">
      <c r="A269" s="317" t="n">
        <v>46267</v>
      </c>
      <c r="B269" t="inlineStr">
        <is>
          <t>GERAL</t>
        </is>
      </c>
      <c r="C269" t="inlineStr">
        <is>
          <t>CMM</t>
        </is>
      </c>
      <c r="D269" t="inlineStr">
        <is>
          <t>PREMONTAGEM</t>
        </is>
      </c>
      <c r="F269" s="159">
        <f>IFERROR(INDEX('BASE METAS DIÁRIAS'!$N$2:$S$358,MATCH($A269,'BASE METAS DIÁRIAS'!$A$2:$A$358,0),MOD(ROW()-2,6)+1),"")</f>
        <v/>
      </c>
      <c r="G269" s="159">
        <f>IFERROR(IF(WEEKDAY($A269,2)&lt;=INDEX('BASE METAS DIÁRIAS'!$H$2:$M$358,MATCH($A269,'BASE METAS DIÁRIAS'!$A$2:$A$358,0),MOD(ROW()-2,6)+1),INDEX('BASE METAS DIÁRIAS'!$B$2:$G$358,MATCH($A269,'BASE METAS DIÁRIAS'!$A$2:$A$358,0),MOD(ROW()-2,6)+1),""),"")</f>
        <v/>
      </c>
      <c r="H269" s="159">
        <f>IFERROR(IF(INDEX('CONTROLE PRODUÇÃO POR EMPRESAS'!$B$6:$G$5000,MATCH($A269,'CONTROLE PRODUÇÃO POR EMPRESAS'!$A$6:$A$5000,0),MOD(ROW()-2,6)+1)="","",IFERROR(1*INDEX('CONTROLE PRODUÇÃO POR EMPRESAS'!$B$6:$G$5000,MATCH($A269,'CONTROLE PRODUÇÃO POR EMPRESAS'!$A$6:$A$5000,0),MOD(ROW()-2,6)+1),"")),"")</f>
        <v/>
      </c>
      <c r="I269" s="159">
        <f>IF(OR(NOT(ISNUMBER(G269)),NOT(ISNUMBER(H269))),"",H269-G269)</f>
        <v/>
      </c>
      <c r="J269" s="319">
        <f>IF(OR(NOT(ISNUMBER(G269)),NOT(ISNUMBER(H269)),G269=0),"",I269/G269)</f>
        <v/>
      </c>
      <c r="K269" s="319">
        <f>IF(OR(NOT(ISNUMBER(G269)),NOT(ISNUMBER(H269)),G269=0),"",H269/G269)</f>
        <v/>
      </c>
      <c r="L269">
        <f>IF(NOT(ISNUMBER(G269)),"SEM META",IF(G269=0,"SEM META",IF(NOT(ISNUMBER(H269)),"SEM APONTAMENTO",IF(H269&gt;=G269,"VERDE",IF(H269&gt;=G269*0.9,"AMARELO","VERMELHO")))))</f>
        <v/>
      </c>
      <c r="M269" s="162" t="n"/>
      <c r="N269" s="162" t="n"/>
      <c r="O269" s="162" t="n"/>
      <c r="P269" s="162" t="n"/>
      <c r="Q269" s="320" t="n"/>
      <c r="R269" s="162" t="inlineStr">
        <is>
          <t>CONTROLE PRODUÇÃO POR EMPRESAS!E50</t>
        </is>
      </c>
    </row>
    <row r="270" hidden="1" ht="28.5" customHeight="1">
      <c r="A270" s="317" t="n">
        <v>46267</v>
      </c>
      <c r="B270" t="inlineStr">
        <is>
          <t>GERAL</t>
        </is>
      </c>
      <c r="C270" t="inlineStr">
        <is>
          <t>CMM</t>
        </is>
      </c>
      <c r="D270" t="inlineStr">
        <is>
          <t>IÇAMENTO JOIST</t>
        </is>
      </c>
      <c r="F270" s="159">
        <f>IFERROR(INDEX('BASE METAS DIÁRIAS'!$N$2:$S$358,MATCH($A270,'BASE METAS DIÁRIAS'!$A$2:$A$358,0),MOD(ROW()-2,6)+1),"")</f>
        <v/>
      </c>
      <c r="G270" s="159">
        <f>IFERROR(IF(WEEKDAY($A270,2)&lt;=INDEX('BASE METAS DIÁRIAS'!$H$2:$M$358,MATCH($A270,'BASE METAS DIÁRIAS'!$A$2:$A$358,0),MOD(ROW()-2,6)+1),INDEX('BASE METAS DIÁRIAS'!$B$2:$G$358,MATCH($A270,'BASE METAS DIÁRIAS'!$A$2:$A$358,0),MOD(ROW()-2,6)+1),""),"")</f>
        <v/>
      </c>
      <c r="H270" s="159">
        <f>IFERROR(IF(INDEX('CONTROLE PRODUÇÃO POR EMPRESAS'!$B$6:$G$5000,MATCH($A270,'CONTROLE PRODUÇÃO POR EMPRESAS'!$A$6:$A$5000,0),MOD(ROW()-2,6)+1)="","",IFERROR(1*INDEX('CONTROLE PRODUÇÃO POR EMPRESAS'!$B$6:$G$5000,MATCH($A270,'CONTROLE PRODUÇÃO POR EMPRESAS'!$A$6:$A$5000,0),MOD(ROW()-2,6)+1),"")),"")</f>
        <v/>
      </c>
      <c r="I270" s="159">
        <f>IF(OR(NOT(ISNUMBER(G270)),NOT(ISNUMBER(H270))),"",H270-G270)</f>
        <v/>
      </c>
      <c r="J270" s="319">
        <f>IF(OR(NOT(ISNUMBER(G270)),NOT(ISNUMBER(H270)),G270=0),"",I270/G270)</f>
        <v/>
      </c>
      <c r="K270" s="319">
        <f>IF(OR(NOT(ISNUMBER(G270)),NOT(ISNUMBER(H270)),G270=0),"",H270/G270)</f>
        <v/>
      </c>
      <c r="L270">
        <f>IF(NOT(ISNUMBER(G270)),"SEM META",IF(G270=0,"SEM META",IF(NOT(ISNUMBER(H270)),"SEM APONTAMENTO",IF(H270&gt;=G270,"VERDE",IF(H270&gt;=G270*0.9,"AMARELO","VERMELHO")))))</f>
        <v/>
      </c>
      <c r="M270" s="162" t="n"/>
      <c r="N270" s="162" t="n"/>
      <c r="O270" s="162" t="n"/>
      <c r="P270" s="162" t="n"/>
      <c r="Q270" s="320" t="n"/>
      <c r="R270" s="162" t="inlineStr">
        <is>
          <t>CONTROLE PRODUÇÃO POR EMPRESAS!F50</t>
        </is>
      </c>
    </row>
    <row r="271" hidden="1" ht="28.5" customHeight="1">
      <c r="A271" s="317" t="n">
        <v>46267</v>
      </c>
      <c r="B271" t="inlineStr">
        <is>
          <t>GERAL</t>
        </is>
      </c>
      <c r="C271" t="inlineStr">
        <is>
          <t>CMM</t>
        </is>
      </c>
      <c r="D271" t="inlineStr">
        <is>
          <t>VIGAS</t>
        </is>
      </c>
      <c r="F271" s="159">
        <f>IFERROR(INDEX('BASE METAS DIÁRIAS'!$N$2:$S$358,MATCH($A271,'BASE METAS DIÁRIAS'!$A$2:$A$358,0),MOD(ROW()-2,6)+1),"")</f>
        <v/>
      </c>
      <c r="G271" s="159">
        <f>IFERROR(IF(WEEKDAY($A271,2)&lt;=INDEX('BASE METAS DIÁRIAS'!$H$2:$M$358,MATCH($A271,'BASE METAS DIÁRIAS'!$A$2:$A$358,0),MOD(ROW()-2,6)+1),INDEX('BASE METAS DIÁRIAS'!$B$2:$G$358,MATCH($A271,'BASE METAS DIÁRIAS'!$A$2:$A$358,0),MOD(ROW()-2,6)+1),""),"")</f>
        <v/>
      </c>
      <c r="H271" s="159">
        <f>IFERROR(IF(INDEX('CONTROLE PRODUÇÃO POR EMPRESAS'!$B$6:$G$5000,MATCH($A271,'CONTROLE PRODUÇÃO POR EMPRESAS'!$A$6:$A$5000,0),MOD(ROW()-2,6)+1)="","",IFERROR(1*INDEX('CONTROLE PRODUÇÃO POR EMPRESAS'!$B$6:$G$5000,MATCH($A271,'CONTROLE PRODUÇÃO POR EMPRESAS'!$A$6:$A$5000,0),MOD(ROW()-2,6)+1),"")),"")</f>
        <v/>
      </c>
      <c r="I271" s="159">
        <f>IF(OR(NOT(ISNUMBER(G271)),NOT(ISNUMBER(H271))),"",H271-G271)</f>
        <v/>
      </c>
      <c r="J271" s="319">
        <f>IF(OR(NOT(ISNUMBER(G271)),NOT(ISNUMBER(H271)),G271=0),"",I271/G271)</f>
        <v/>
      </c>
      <c r="K271" s="319">
        <f>IF(OR(NOT(ISNUMBER(G271)),NOT(ISNUMBER(H271)),G271=0),"",H271/G271)</f>
        <v/>
      </c>
      <c r="L271">
        <f>IF(NOT(ISNUMBER(G271)),"SEM META",IF(G271=0,"SEM META",IF(NOT(ISNUMBER(H271)),"SEM APONTAMENTO",IF(H271&gt;=G271,"VERDE",IF(H271&gt;=G271*0.9,"AMARELO","VERMELHO")))))</f>
        <v/>
      </c>
      <c r="M271" s="162" t="n"/>
      <c r="N271" s="162" t="n"/>
      <c r="O271" s="162" t="n"/>
      <c r="P271" s="162" t="n"/>
      <c r="Q271" s="320" t="n"/>
      <c r="R271" s="162" t="inlineStr">
        <is>
          <t>CONTROLE PRODUÇÃO POR EMPRESAS!G50</t>
        </is>
      </c>
    </row>
    <row r="272" hidden="1" ht="28.5" customHeight="1">
      <c r="A272" s="317" t="n">
        <v>46268</v>
      </c>
      <c r="B272" t="inlineStr">
        <is>
          <t>GERAL</t>
        </is>
      </c>
      <c r="C272" t="inlineStr">
        <is>
          <t>EJ</t>
        </is>
      </c>
      <c r="D272" t="inlineStr">
        <is>
          <t>PREMONTAGEM</t>
        </is>
      </c>
      <c r="F272" s="159">
        <f>IFERROR(INDEX('BASE METAS DIÁRIAS'!$N$2:$S$358,MATCH($A272,'BASE METAS DIÁRIAS'!$A$2:$A$358,0),MOD(ROW()-2,6)+1),"")</f>
        <v/>
      </c>
      <c r="G272" s="159">
        <f>IFERROR(IF(WEEKDAY($A272,2)&lt;=INDEX('BASE METAS DIÁRIAS'!$H$2:$M$358,MATCH($A272,'BASE METAS DIÁRIAS'!$A$2:$A$358,0),MOD(ROW()-2,6)+1),INDEX('BASE METAS DIÁRIAS'!$B$2:$G$358,MATCH($A272,'BASE METAS DIÁRIAS'!$A$2:$A$358,0),MOD(ROW()-2,6)+1),""),"")</f>
        <v/>
      </c>
      <c r="H272" s="159">
        <f>IFERROR(IF(INDEX('CONTROLE PRODUÇÃO POR EMPRESAS'!$B$6:$G$5000,MATCH($A272,'CONTROLE PRODUÇÃO POR EMPRESAS'!$A$6:$A$5000,0),MOD(ROW()-2,6)+1)="","",IFERROR(1*INDEX('CONTROLE PRODUÇÃO POR EMPRESAS'!$B$6:$G$5000,MATCH($A272,'CONTROLE PRODUÇÃO POR EMPRESAS'!$A$6:$A$5000,0),MOD(ROW()-2,6)+1),"")),"")</f>
        <v/>
      </c>
      <c r="I272" s="159">
        <f>IF(OR(NOT(ISNUMBER(G272)),NOT(ISNUMBER(H272))),"",H272-G272)</f>
        <v/>
      </c>
      <c r="J272" s="319">
        <f>IF(OR(NOT(ISNUMBER(G272)),NOT(ISNUMBER(H272)),G272=0),"",I272/G272)</f>
        <v/>
      </c>
      <c r="K272" s="319">
        <f>IF(OR(NOT(ISNUMBER(G272)),NOT(ISNUMBER(H272)),G272=0),"",H272/G272)</f>
        <v/>
      </c>
      <c r="L272">
        <f>IF(NOT(ISNUMBER(G272)),"SEM META",IF(G272=0,"SEM META",IF(NOT(ISNUMBER(H272)),"SEM APONTAMENTO",IF(H272&gt;=G272,"VERDE",IF(H272&gt;=G272*0.9,"AMARELO","VERMELHO")))))</f>
        <v/>
      </c>
      <c r="M272" s="162" t="n"/>
      <c r="N272" s="162" t="n"/>
      <c r="O272" s="162" t="n"/>
      <c r="P272" s="162" t="n"/>
      <c r="Q272" s="320" t="n"/>
      <c r="R272" s="162" t="inlineStr">
        <is>
          <t>CONTROLE PRODUÇÃO POR EMPRESAS!B51</t>
        </is>
      </c>
    </row>
    <row r="273" hidden="1" ht="28.5" customHeight="1">
      <c r="A273" s="317" t="n">
        <v>46268</v>
      </c>
      <c r="B273" t="inlineStr">
        <is>
          <t>GERAL</t>
        </is>
      </c>
      <c r="C273" t="inlineStr">
        <is>
          <t>EJ</t>
        </is>
      </c>
      <c r="D273" t="inlineStr">
        <is>
          <t>IÇAMENTO JOIST</t>
        </is>
      </c>
      <c r="F273" s="159">
        <f>IFERROR(INDEX('BASE METAS DIÁRIAS'!$N$2:$S$358,MATCH($A273,'BASE METAS DIÁRIAS'!$A$2:$A$358,0),MOD(ROW()-2,6)+1),"")</f>
        <v/>
      </c>
      <c r="G273" s="159">
        <f>IFERROR(IF(WEEKDAY($A273,2)&lt;=INDEX('BASE METAS DIÁRIAS'!$H$2:$M$358,MATCH($A273,'BASE METAS DIÁRIAS'!$A$2:$A$358,0),MOD(ROW()-2,6)+1),INDEX('BASE METAS DIÁRIAS'!$B$2:$G$358,MATCH($A273,'BASE METAS DIÁRIAS'!$A$2:$A$358,0),MOD(ROW()-2,6)+1),""),"")</f>
        <v/>
      </c>
      <c r="H273" s="159">
        <f>IFERROR(IF(INDEX('CONTROLE PRODUÇÃO POR EMPRESAS'!$B$6:$G$5000,MATCH($A273,'CONTROLE PRODUÇÃO POR EMPRESAS'!$A$6:$A$5000,0),MOD(ROW()-2,6)+1)="","",IFERROR(1*INDEX('CONTROLE PRODUÇÃO POR EMPRESAS'!$B$6:$G$5000,MATCH($A273,'CONTROLE PRODUÇÃO POR EMPRESAS'!$A$6:$A$5000,0),MOD(ROW()-2,6)+1),"")),"")</f>
        <v/>
      </c>
      <c r="I273" s="159">
        <f>IF(OR(NOT(ISNUMBER(G273)),NOT(ISNUMBER(H273))),"",H273-G273)</f>
        <v/>
      </c>
      <c r="J273" s="319">
        <f>IF(OR(NOT(ISNUMBER(G273)),NOT(ISNUMBER(H273)),G273=0),"",I273/G273)</f>
        <v/>
      </c>
      <c r="K273" s="319">
        <f>IF(OR(NOT(ISNUMBER(G273)),NOT(ISNUMBER(H273)),G273=0),"",H273/G273)</f>
        <v/>
      </c>
      <c r="L273">
        <f>IF(NOT(ISNUMBER(G273)),"SEM META",IF(G273=0,"SEM META",IF(NOT(ISNUMBER(H273)),"SEM APONTAMENTO",IF(H273&gt;=G273,"VERDE",IF(H273&gt;=G273*0.9,"AMARELO","VERMELHO")))))</f>
        <v/>
      </c>
      <c r="M273" s="162" t="n"/>
      <c r="N273" s="162" t="n"/>
      <c r="O273" s="162" t="n"/>
      <c r="P273" s="162" t="n"/>
      <c r="Q273" s="320" t="n"/>
      <c r="R273" s="162" t="inlineStr">
        <is>
          <t>CONTROLE PRODUÇÃO POR EMPRESAS!C51</t>
        </is>
      </c>
    </row>
    <row r="274" hidden="1" ht="28.5" customHeight="1">
      <c r="A274" s="317" t="n">
        <v>46268</v>
      </c>
      <c r="B274" t="inlineStr">
        <is>
          <t>GERAL</t>
        </is>
      </c>
      <c r="C274" t="inlineStr">
        <is>
          <t>EJ</t>
        </is>
      </c>
      <c r="D274" t="inlineStr">
        <is>
          <t>VIGAS</t>
        </is>
      </c>
      <c r="F274" s="159">
        <f>IFERROR(INDEX('BASE METAS DIÁRIAS'!$N$2:$S$358,MATCH($A274,'BASE METAS DIÁRIAS'!$A$2:$A$358,0),MOD(ROW()-2,6)+1),"")</f>
        <v/>
      </c>
      <c r="G274" s="159">
        <f>IFERROR(IF(WEEKDAY($A274,2)&lt;=INDEX('BASE METAS DIÁRIAS'!$H$2:$M$358,MATCH($A274,'BASE METAS DIÁRIAS'!$A$2:$A$358,0),MOD(ROW()-2,6)+1),INDEX('BASE METAS DIÁRIAS'!$B$2:$G$358,MATCH($A274,'BASE METAS DIÁRIAS'!$A$2:$A$358,0),MOD(ROW()-2,6)+1),""),"")</f>
        <v/>
      </c>
      <c r="H274" s="159">
        <f>IFERROR(IF(INDEX('CONTROLE PRODUÇÃO POR EMPRESAS'!$B$6:$G$5000,MATCH($A274,'CONTROLE PRODUÇÃO POR EMPRESAS'!$A$6:$A$5000,0),MOD(ROW()-2,6)+1)="","",IFERROR(1*INDEX('CONTROLE PRODUÇÃO POR EMPRESAS'!$B$6:$G$5000,MATCH($A274,'CONTROLE PRODUÇÃO POR EMPRESAS'!$A$6:$A$5000,0),MOD(ROW()-2,6)+1),"")),"")</f>
        <v/>
      </c>
      <c r="I274" s="159">
        <f>IF(OR(NOT(ISNUMBER(G274)),NOT(ISNUMBER(H274))),"",H274-G274)</f>
        <v/>
      </c>
      <c r="J274" s="319">
        <f>IF(OR(NOT(ISNUMBER(G274)),NOT(ISNUMBER(H274)),G274=0),"",I274/G274)</f>
        <v/>
      </c>
      <c r="K274" s="319">
        <f>IF(OR(NOT(ISNUMBER(G274)),NOT(ISNUMBER(H274)),G274=0),"",H274/G274)</f>
        <v/>
      </c>
      <c r="L274">
        <f>IF(NOT(ISNUMBER(G274)),"SEM META",IF(G274=0,"SEM META",IF(NOT(ISNUMBER(H274)),"SEM APONTAMENTO",IF(H274&gt;=G274,"VERDE",IF(H274&gt;=G274*0.9,"AMARELO","VERMELHO")))))</f>
        <v/>
      </c>
      <c r="M274" s="162" t="n"/>
      <c r="N274" s="162" t="n"/>
      <c r="O274" s="162" t="n"/>
      <c r="P274" s="162" t="n"/>
      <c r="Q274" s="320" t="n"/>
      <c r="R274" s="162" t="inlineStr">
        <is>
          <t>CONTROLE PRODUÇÃO POR EMPRESAS!D51</t>
        </is>
      </c>
    </row>
    <row r="275" hidden="1" ht="28.5" customHeight="1">
      <c r="A275" s="317" t="n">
        <v>46268</v>
      </c>
      <c r="B275" t="inlineStr">
        <is>
          <t>GERAL</t>
        </is>
      </c>
      <c r="C275" t="inlineStr">
        <is>
          <t>CMM</t>
        </is>
      </c>
      <c r="D275" t="inlineStr">
        <is>
          <t>PREMONTAGEM</t>
        </is>
      </c>
      <c r="F275" s="159">
        <f>IFERROR(INDEX('BASE METAS DIÁRIAS'!$N$2:$S$358,MATCH($A275,'BASE METAS DIÁRIAS'!$A$2:$A$358,0),MOD(ROW()-2,6)+1),"")</f>
        <v/>
      </c>
      <c r="G275" s="159">
        <f>IFERROR(IF(WEEKDAY($A275,2)&lt;=INDEX('BASE METAS DIÁRIAS'!$H$2:$M$358,MATCH($A275,'BASE METAS DIÁRIAS'!$A$2:$A$358,0),MOD(ROW()-2,6)+1),INDEX('BASE METAS DIÁRIAS'!$B$2:$G$358,MATCH($A275,'BASE METAS DIÁRIAS'!$A$2:$A$358,0),MOD(ROW()-2,6)+1),""),"")</f>
        <v/>
      </c>
      <c r="H275" s="159">
        <f>IFERROR(IF(INDEX('CONTROLE PRODUÇÃO POR EMPRESAS'!$B$6:$G$5000,MATCH($A275,'CONTROLE PRODUÇÃO POR EMPRESAS'!$A$6:$A$5000,0),MOD(ROW()-2,6)+1)="","",IFERROR(1*INDEX('CONTROLE PRODUÇÃO POR EMPRESAS'!$B$6:$G$5000,MATCH($A275,'CONTROLE PRODUÇÃO POR EMPRESAS'!$A$6:$A$5000,0),MOD(ROW()-2,6)+1),"")),"")</f>
        <v/>
      </c>
      <c r="I275" s="159">
        <f>IF(OR(NOT(ISNUMBER(G275)),NOT(ISNUMBER(H275))),"",H275-G275)</f>
        <v/>
      </c>
      <c r="J275" s="319">
        <f>IF(OR(NOT(ISNUMBER(G275)),NOT(ISNUMBER(H275)),G275=0),"",I275/G275)</f>
        <v/>
      </c>
      <c r="K275" s="319">
        <f>IF(OR(NOT(ISNUMBER(G275)),NOT(ISNUMBER(H275)),G275=0),"",H275/G275)</f>
        <v/>
      </c>
      <c r="L275">
        <f>IF(NOT(ISNUMBER(G275)),"SEM META",IF(G275=0,"SEM META",IF(NOT(ISNUMBER(H275)),"SEM APONTAMENTO",IF(H275&gt;=G275,"VERDE",IF(H275&gt;=G275*0.9,"AMARELO","VERMELHO")))))</f>
        <v/>
      </c>
      <c r="M275" s="162" t="n"/>
      <c r="N275" s="162" t="n"/>
      <c r="O275" s="162" t="n"/>
      <c r="P275" s="162" t="n"/>
      <c r="Q275" s="320" t="n"/>
      <c r="R275" s="162" t="inlineStr">
        <is>
          <t>CONTROLE PRODUÇÃO POR EMPRESAS!E51</t>
        </is>
      </c>
    </row>
    <row r="276" hidden="1" ht="28.5" customHeight="1">
      <c r="A276" s="317" t="n">
        <v>46268</v>
      </c>
      <c r="B276" t="inlineStr">
        <is>
          <t>GERAL</t>
        </is>
      </c>
      <c r="C276" t="inlineStr">
        <is>
          <t>CMM</t>
        </is>
      </c>
      <c r="D276" t="inlineStr">
        <is>
          <t>IÇAMENTO JOIST</t>
        </is>
      </c>
      <c r="F276" s="159">
        <f>IFERROR(INDEX('BASE METAS DIÁRIAS'!$N$2:$S$358,MATCH($A276,'BASE METAS DIÁRIAS'!$A$2:$A$358,0),MOD(ROW()-2,6)+1),"")</f>
        <v/>
      </c>
      <c r="G276" s="159">
        <f>IFERROR(IF(WEEKDAY($A276,2)&lt;=INDEX('BASE METAS DIÁRIAS'!$H$2:$M$358,MATCH($A276,'BASE METAS DIÁRIAS'!$A$2:$A$358,0),MOD(ROW()-2,6)+1),INDEX('BASE METAS DIÁRIAS'!$B$2:$G$358,MATCH($A276,'BASE METAS DIÁRIAS'!$A$2:$A$358,0),MOD(ROW()-2,6)+1),""),"")</f>
        <v/>
      </c>
      <c r="H276" s="159">
        <f>IFERROR(IF(INDEX('CONTROLE PRODUÇÃO POR EMPRESAS'!$B$6:$G$5000,MATCH($A276,'CONTROLE PRODUÇÃO POR EMPRESAS'!$A$6:$A$5000,0),MOD(ROW()-2,6)+1)="","",IFERROR(1*INDEX('CONTROLE PRODUÇÃO POR EMPRESAS'!$B$6:$G$5000,MATCH($A276,'CONTROLE PRODUÇÃO POR EMPRESAS'!$A$6:$A$5000,0),MOD(ROW()-2,6)+1),"")),"")</f>
        <v/>
      </c>
      <c r="I276" s="159">
        <f>IF(OR(NOT(ISNUMBER(G276)),NOT(ISNUMBER(H276))),"",H276-G276)</f>
        <v/>
      </c>
      <c r="J276" s="319">
        <f>IF(OR(NOT(ISNUMBER(G276)),NOT(ISNUMBER(H276)),G276=0),"",I276/G276)</f>
        <v/>
      </c>
      <c r="K276" s="319">
        <f>IF(OR(NOT(ISNUMBER(G276)),NOT(ISNUMBER(H276)),G276=0),"",H276/G276)</f>
        <v/>
      </c>
      <c r="L276">
        <f>IF(NOT(ISNUMBER(G276)),"SEM META",IF(G276=0,"SEM META",IF(NOT(ISNUMBER(H276)),"SEM APONTAMENTO",IF(H276&gt;=G276,"VERDE",IF(H276&gt;=G276*0.9,"AMARELO","VERMELHO")))))</f>
        <v/>
      </c>
      <c r="M276" s="162" t="n"/>
      <c r="N276" s="162" t="n"/>
      <c r="O276" s="162" t="n"/>
      <c r="P276" s="162" t="n"/>
      <c r="Q276" s="320" t="n"/>
      <c r="R276" s="162" t="inlineStr">
        <is>
          <t>CONTROLE PRODUÇÃO POR EMPRESAS!F51</t>
        </is>
      </c>
    </row>
    <row r="277" hidden="1" ht="28.5" customHeight="1">
      <c r="A277" s="317" t="n">
        <v>46268</v>
      </c>
      <c r="B277" t="inlineStr">
        <is>
          <t>GERAL</t>
        </is>
      </c>
      <c r="C277" t="inlineStr">
        <is>
          <t>CMM</t>
        </is>
      </c>
      <c r="D277" t="inlineStr">
        <is>
          <t>VIGAS</t>
        </is>
      </c>
      <c r="F277" s="159">
        <f>IFERROR(INDEX('BASE METAS DIÁRIAS'!$N$2:$S$358,MATCH($A277,'BASE METAS DIÁRIAS'!$A$2:$A$358,0),MOD(ROW()-2,6)+1),"")</f>
        <v/>
      </c>
      <c r="G277" s="159">
        <f>IFERROR(IF(WEEKDAY($A277,2)&lt;=INDEX('BASE METAS DIÁRIAS'!$H$2:$M$358,MATCH($A277,'BASE METAS DIÁRIAS'!$A$2:$A$358,0),MOD(ROW()-2,6)+1),INDEX('BASE METAS DIÁRIAS'!$B$2:$G$358,MATCH($A277,'BASE METAS DIÁRIAS'!$A$2:$A$358,0),MOD(ROW()-2,6)+1),""),"")</f>
        <v/>
      </c>
      <c r="H277" s="159">
        <f>IFERROR(IF(INDEX('CONTROLE PRODUÇÃO POR EMPRESAS'!$B$6:$G$5000,MATCH($A277,'CONTROLE PRODUÇÃO POR EMPRESAS'!$A$6:$A$5000,0),MOD(ROW()-2,6)+1)="","",IFERROR(1*INDEX('CONTROLE PRODUÇÃO POR EMPRESAS'!$B$6:$G$5000,MATCH($A277,'CONTROLE PRODUÇÃO POR EMPRESAS'!$A$6:$A$5000,0),MOD(ROW()-2,6)+1),"")),"")</f>
        <v/>
      </c>
      <c r="I277" s="159">
        <f>IF(OR(NOT(ISNUMBER(G277)),NOT(ISNUMBER(H277))),"",H277-G277)</f>
        <v/>
      </c>
      <c r="J277" s="319">
        <f>IF(OR(NOT(ISNUMBER(G277)),NOT(ISNUMBER(H277)),G277=0),"",I277/G277)</f>
        <v/>
      </c>
      <c r="K277" s="319">
        <f>IF(OR(NOT(ISNUMBER(G277)),NOT(ISNUMBER(H277)),G277=0),"",H277/G277)</f>
        <v/>
      </c>
      <c r="L277">
        <f>IF(NOT(ISNUMBER(G277)),"SEM META",IF(G277=0,"SEM META",IF(NOT(ISNUMBER(H277)),"SEM APONTAMENTO",IF(H277&gt;=G277,"VERDE",IF(H277&gt;=G277*0.9,"AMARELO","VERMELHO")))))</f>
        <v/>
      </c>
      <c r="M277" s="162" t="n"/>
      <c r="N277" s="162" t="n"/>
      <c r="O277" s="162" t="n"/>
      <c r="P277" s="162" t="n"/>
      <c r="Q277" s="320" t="n"/>
      <c r="R277" s="162" t="inlineStr">
        <is>
          <t>CONTROLE PRODUÇÃO POR EMPRESAS!G51</t>
        </is>
      </c>
    </row>
    <row r="278" hidden="1" ht="28.5" customHeight="1">
      <c r="A278" s="317" t="n">
        <v>46269</v>
      </c>
      <c r="B278" t="inlineStr">
        <is>
          <t>GERAL</t>
        </is>
      </c>
      <c r="C278" t="inlineStr">
        <is>
          <t>EJ</t>
        </is>
      </c>
      <c r="D278" t="inlineStr">
        <is>
          <t>PREMONTAGEM</t>
        </is>
      </c>
      <c r="F278" s="159">
        <f>IFERROR(INDEX('BASE METAS DIÁRIAS'!$N$2:$S$358,MATCH($A278,'BASE METAS DIÁRIAS'!$A$2:$A$358,0),MOD(ROW()-2,6)+1),"")</f>
        <v/>
      </c>
      <c r="G278" s="159">
        <f>IFERROR(IF(WEEKDAY($A278,2)&lt;=INDEX('BASE METAS DIÁRIAS'!$H$2:$M$358,MATCH($A278,'BASE METAS DIÁRIAS'!$A$2:$A$358,0),MOD(ROW()-2,6)+1),INDEX('BASE METAS DIÁRIAS'!$B$2:$G$358,MATCH($A278,'BASE METAS DIÁRIAS'!$A$2:$A$358,0),MOD(ROW()-2,6)+1),""),"")</f>
        <v/>
      </c>
      <c r="H278" s="159">
        <f>IFERROR(IF(INDEX('CONTROLE PRODUÇÃO POR EMPRESAS'!$B$6:$G$5000,MATCH($A278,'CONTROLE PRODUÇÃO POR EMPRESAS'!$A$6:$A$5000,0),MOD(ROW()-2,6)+1)="","",IFERROR(1*INDEX('CONTROLE PRODUÇÃO POR EMPRESAS'!$B$6:$G$5000,MATCH($A278,'CONTROLE PRODUÇÃO POR EMPRESAS'!$A$6:$A$5000,0),MOD(ROW()-2,6)+1),"")),"")</f>
        <v/>
      </c>
      <c r="I278" s="159">
        <f>IF(OR(NOT(ISNUMBER(G278)),NOT(ISNUMBER(H278))),"",H278-G278)</f>
        <v/>
      </c>
      <c r="J278" s="319">
        <f>IF(OR(NOT(ISNUMBER(G278)),NOT(ISNUMBER(H278)),G278=0),"",I278/G278)</f>
        <v/>
      </c>
      <c r="K278" s="319">
        <f>IF(OR(NOT(ISNUMBER(G278)),NOT(ISNUMBER(H278)),G278=0),"",H278/G278)</f>
        <v/>
      </c>
      <c r="L278">
        <f>IF(NOT(ISNUMBER(G278)),"SEM META",IF(G278=0,"SEM META",IF(NOT(ISNUMBER(H278)),"SEM APONTAMENTO",IF(H278&gt;=G278,"VERDE",IF(H278&gt;=G278*0.9,"AMARELO","VERMELHO")))))</f>
        <v/>
      </c>
      <c r="M278" s="162" t="n"/>
      <c r="N278" s="162" t="n"/>
      <c r="O278" s="162" t="n"/>
      <c r="P278" s="162" t="n"/>
      <c r="Q278" s="320" t="n"/>
      <c r="R278" s="162" t="inlineStr">
        <is>
          <t>CONTROLE PRODUÇÃO POR EMPRESAS!B52</t>
        </is>
      </c>
    </row>
    <row r="279" hidden="1" ht="28.5" customHeight="1">
      <c r="A279" s="317" t="n">
        <v>46269</v>
      </c>
      <c r="B279" t="inlineStr">
        <is>
          <t>GERAL</t>
        </is>
      </c>
      <c r="C279" t="inlineStr">
        <is>
          <t>EJ</t>
        </is>
      </c>
      <c r="D279" t="inlineStr">
        <is>
          <t>IÇAMENTO JOIST</t>
        </is>
      </c>
      <c r="F279" s="159">
        <f>IFERROR(INDEX('BASE METAS DIÁRIAS'!$N$2:$S$358,MATCH($A279,'BASE METAS DIÁRIAS'!$A$2:$A$358,0),MOD(ROW()-2,6)+1),"")</f>
        <v/>
      </c>
      <c r="G279" s="159">
        <f>IFERROR(IF(WEEKDAY($A279,2)&lt;=INDEX('BASE METAS DIÁRIAS'!$H$2:$M$358,MATCH($A279,'BASE METAS DIÁRIAS'!$A$2:$A$358,0),MOD(ROW()-2,6)+1),INDEX('BASE METAS DIÁRIAS'!$B$2:$G$358,MATCH($A279,'BASE METAS DIÁRIAS'!$A$2:$A$358,0),MOD(ROW()-2,6)+1),""),"")</f>
        <v/>
      </c>
      <c r="H279" s="159">
        <f>IFERROR(IF(INDEX('CONTROLE PRODUÇÃO POR EMPRESAS'!$B$6:$G$5000,MATCH($A279,'CONTROLE PRODUÇÃO POR EMPRESAS'!$A$6:$A$5000,0),MOD(ROW()-2,6)+1)="","",IFERROR(1*INDEX('CONTROLE PRODUÇÃO POR EMPRESAS'!$B$6:$G$5000,MATCH($A279,'CONTROLE PRODUÇÃO POR EMPRESAS'!$A$6:$A$5000,0),MOD(ROW()-2,6)+1),"")),"")</f>
        <v/>
      </c>
      <c r="I279" s="159">
        <f>IF(OR(NOT(ISNUMBER(G279)),NOT(ISNUMBER(H279))),"",H279-G279)</f>
        <v/>
      </c>
      <c r="J279" s="319">
        <f>IF(OR(NOT(ISNUMBER(G279)),NOT(ISNUMBER(H279)),G279=0),"",I279/G279)</f>
        <v/>
      </c>
      <c r="K279" s="319">
        <f>IF(OR(NOT(ISNUMBER(G279)),NOT(ISNUMBER(H279)),G279=0),"",H279/G279)</f>
        <v/>
      </c>
      <c r="L279">
        <f>IF(NOT(ISNUMBER(G279)),"SEM META",IF(G279=0,"SEM META",IF(NOT(ISNUMBER(H279)),"SEM APONTAMENTO",IF(H279&gt;=G279,"VERDE",IF(H279&gt;=G279*0.9,"AMARELO","VERMELHO")))))</f>
        <v/>
      </c>
      <c r="M279" s="162" t="n"/>
      <c r="N279" s="162" t="n"/>
      <c r="O279" s="162" t="n"/>
      <c r="P279" s="162" t="n"/>
      <c r="Q279" s="320" t="n"/>
      <c r="R279" s="162" t="inlineStr">
        <is>
          <t>CONTROLE PRODUÇÃO POR EMPRESAS!C52</t>
        </is>
      </c>
    </row>
    <row r="280" hidden="1" ht="28.5" customHeight="1">
      <c r="A280" s="317" t="n">
        <v>46269</v>
      </c>
      <c r="B280" t="inlineStr">
        <is>
          <t>GERAL</t>
        </is>
      </c>
      <c r="C280" t="inlineStr">
        <is>
          <t>EJ</t>
        </is>
      </c>
      <c r="D280" t="inlineStr">
        <is>
          <t>VIGAS</t>
        </is>
      </c>
      <c r="F280" s="159">
        <f>IFERROR(INDEX('BASE METAS DIÁRIAS'!$N$2:$S$358,MATCH($A280,'BASE METAS DIÁRIAS'!$A$2:$A$358,0),MOD(ROW()-2,6)+1),"")</f>
        <v/>
      </c>
      <c r="G280" s="159">
        <f>IFERROR(IF(WEEKDAY($A280,2)&lt;=INDEX('BASE METAS DIÁRIAS'!$H$2:$M$358,MATCH($A280,'BASE METAS DIÁRIAS'!$A$2:$A$358,0),MOD(ROW()-2,6)+1),INDEX('BASE METAS DIÁRIAS'!$B$2:$G$358,MATCH($A280,'BASE METAS DIÁRIAS'!$A$2:$A$358,0),MOD(ROW()-2,6)+1),""),"")</f>
        <v/>
      </c>
      <c r="H280" s="159">
        <f>IFERROR(IF(INDEX('CONTROLE PRODUÇÃO POR EMPRESAS'!$B$6:$G$5000,MATCH($A280,'CONTROLE PRODUÇÃO POR EMPRESAS'!$A$6:$A$5000,0),MOD(ROW()-2,6)+1)="","",IFERROR(1*INDEX('CONTROLE PRODUÇÃO POR EMPRESAS'!$B$6:$G$5000,MATCH($A280,'CONTROLE PRODUÇÃO POR EMPRESAS'!$A$6:$A$5000,0),MOD(ROW()-2,6)+1),"")),"")</f>
        <v/>
      </c>
      <c r="I280" s="159">
        <f>IF(OR(NOT(ISNUMBER(G280)),NOT(ISNUMBER(H280))),"",H280-G280)</f>
        <v/>
      </c>
      <c r="J280" s="319">
        <f>IF(OR(NOT(ISNUMBER(G280)),NOT(ISNUMBER(H280)),G280=0),"",I280/G280)</f>
        <v/>
      </c>
      <c r="K280" s="319">
        <f>IF(OR(NOT(ISNUMBER(G280)),NOT(ISNUMBER(H280)),G280=0),"",H280/G280)</f>
        <v/>
      </c>
      <c r="L280">
        <f>IF(NOT(ISNUMBER(G280)),"SEM META",IF(G280=0,"SEM META",IF(NOT(ISNUMBER(H280)),"SEM APONTAMENTO",IF(H280&gt;=G280,"VERDE",IF(H280&gt;=G280*0.9,"AMARELO","VERMELHO")))))</f>
        <v/>
      </c>
      <c r="M280" s="162" t="n"/>
      <c r="N280" s="162" t="n"/>
      <c r="O280" s="162" t="n"/>
      <c r="P280" s="162" t="n"/>
      <c r="Q280" s="320" t="n"/>
      <c r="R280" s="162" t="inlineStr">
        <is>
          <t>CONTROLE PRODUÇÃO POR EMPRESAS!D52</t>
        </is>
      </c>
    </row>
    <row r="281" hidden="1" ht="28.5" customHeight="1">
      <c r="A281" s="317" t="n">
        <v>46269</v>
      </c>
      <c r="B281" t="inlineStr">
        <is>
          <t>GERAL</t>
        </is>
      </c>
      <c r="C281" t="inlineStr">
        <is>
          <t>CMM</t>
        </is>
      </c>
      <c r="D281" t="inlineStr">
        <is>
          <t>PREMONTAGEM</t>
        </is>
      </c>
      <c r="F281" s="159">
        <f>IFERROR(INDEX('BASE METAS DIÁRIAS'!$N$2:$S$358,MATCH($A281,'BASE METAS DIÁRIAS'!$A$2:$A$358,0),MOD(ROW()-2,6)+1),"")</f>
        <v/>
      </c>
      <c r="G281" s="159">
        <f>IFERROR(IF(WEEKDAY($A281,2)&lt;=INDEX('BASE METAS DIÁRIAS'!$H$2:$M$358,MATCH($A281,'BASE METAS DIÁRIAS'!$A$2:$A$358,0),MOD(ROW()-2,6)+1),INDEX('BASE METAS DIÁRIAS'!$B$2:$G$358,MATCH($A281,'BASE METAS DIÁRIAS'!$A$2:$A$358,0),MOD(ROW()-2,6)+1),""),"")</f>
        <v/>
      </c>
      <c r="H281" s="159">
        <f>IFERROR(IF(INDEX('CONTROLE PRODUÇÃO POR EMPRESAS'!$B$6:$G$5000,MATCH($A281,'CONTROLE PRODUÇÃO POR EMPRESAS'!$A$6:$A$5000,0),MOD(ROW()-2,6)+1)="","",IFERROR(1*INDEX('CONTROLE PRODUÇÃO POR EMPRESAS'!$B$6:$G$5000,MATCH($A281,'CONTROLE PRODUÇÃO POR EMPRESAS'!$A$6:$A$5000,0),MOD(ROW()-2,6)+1),"")),"")</f>
        <v/>
      </c>
      <c r="I281" s="159">
        <f>IF(OR(NOT(ISNUMBER(G281)),NOT(ISNUMBER(H281))),"",H281-G281)</f>
        <v/>
      </c>
      <c r="J281" s="319">
        <f>IF(OR(NOT(ISNUMBER(G281)),NOT(ISNUMBER(H281)),G281=0),"",I281/G281)</f>
        <v/>
      </c>
      <c r="K281" s="319">
        <f>IF(OR(NOT(ISNUMBER(G281)),NOT(ISNUMBER(H281)),G281=0),"",H281/G281)</f>
        <v/>
      </c>
      <c r="L281">
        <f>IF(NOT(ISNUMBER(G281)),"SEM META",IF(G281=0,"SEM META",IF(NOT(ISNUMBER(H281)),"SEM APONTAMENTO",IF(H281&gt;=G281,"VERDE",IF(H281&gt;=G281*0.9,"AMARELO","VERMELHO")))))</f>
        <v/>
      </c>
      <c r="M281" s="162" t="n"/>
      <c r="N281" s="162" t="n"/>
      <c r="O281" s="162" t="n"/>
      <c r="P281" s="162" t="n"/>
      <c r="Q281" s="320" t="n"/>
      <c r="R281" s="162" t="inlineStr">
        <is>
          <t>CONTROLE PRODUÇÃO POR EMPRESAS!E52</t>
        </is>
      </c>
    </row>
    <row r="282" hidden="1" ht="28.5" customHeight="1">
      <c r="A282" s="317" t="n">
        <v>46269</v>
      </c>
      <c r="B282" t="inlineStr">
        <is>
          <t>GERAL</t>
        </is>
      </c>
      <c r="C282" t="inlineStr">
        <is>
          <t>CMM</t>
        </is>
      </c>
      <c r="D282" t="inlineStr">
        <is>
          <t>IÇAMENTO JOIST</t>
        </is>
      </c>
      <c r="F282" s="159">
        <f>IFERROR(INDEX('BASE METAS DIÁRIAS'!$N$2:$S$358,MATCH($A282,'BASE METAS DIÁRIAS'!$A$2:$A$358,0),MOD(ROW()-2,6)+1),"")</f>
        <v/>
      </c>
      <c r="G282" s="159">
        <f>IFERROR(IF(WEEKDAY($A282,2)&lt;=INDEX('BASE METAS DIÁRIAS'!$H$2:$M$358,MATCH($A282,'BASE METAS DIÁRIAS'!$A$2:$A$358,0),MOD(ROW()-2,6)+1),INDEX('BASE METAS DIÁRIAS'!$B$2:$G$358,MATCH($A282,'BASE METAS DIÁRIAS'!$A$2:$A$358,0),MOD(ROW()-2,6)+1),""),"")</f>
        <v/>
      </c>
      <c r="H282" s="159">
        <f>IFERROR(IF(INDEX('CONTROLE PRODUÇÃO POR EMPRESAS'!$B$6:$G$5000,MATCH($A282,'CONTROLE PRODUÇÃO POR EMPRESAS'!$A$6:$A$5000,0),MOD(ROW()-2,6)+1)="","",IFERROR(1*INDEX('CONTROLE PRODUÇÃO POR EMPRESAS'!$B$6:$G$5000,MATCH($A282,'CONTROLE PRODUÇÃO POR EMPRESAS'!$A$6:$A$5000,0),MOD(ROW()-2,6)+1),"")),"")</f>
        <v/>
      </c>
      <c r="I282" s="159">
        <f>IF(OR(NOT(ISNUMBER(G282)),NOT(ISNUMBER(H282))),"",H282-G282)</f>
        <v/>
      </c>
      <c r="J282" s="319">
        <f>IF(OR(NOT(ISNUMBER(G282)),NOT(ISNUMBER(H282)),G282=0),"",I282/G282)</f>
        <v/>
      </c>
      <c r="K282" s="319">
        <f>IF(OR(NOT(ISNUMBER(G282)),NOT(ISNUMBER(H282)),G282=0),"",H282/G282)</f>
        <v/>
      </c>
      <c r="L282">
        <f>IF(NOT(ISNUMBER(G282)),"SEM META",IF(G282=0,"SEM META",IF(NOT(ISNUMBER(H282)),"SEM APONTAMENTO",IF(H282&gt;=G282,"VERDE",IF(H282&gt;=G282*0.9,"AMARELO","VERMELHO")))))</f>
        <v/>
      </c>
      <c r="M282" s="162" t="n"/>
      <c r="N282" s="162" t="n"/>
      <c r="O282" s="162" t="n"/>
      <c r="P282" s="162" t="n"/>
      <c r="Q282" s="320" t="n"/>
      <c r="R282" s="162" t="inlineStr">
        <is>
          <t>CONTROLE PRODUÇÃO POR EMPRESAS!F52</t>
        </is>
      </c>
    </row>
    <row r="283" hidden="1" ht="28.5" customHeight="1">
      <c r="A283" s="317" t="n">
        <v>46269</v>
      </c>
      <c r="B283" t="inlineStr">
        <is>
          <t>GERAL</t>
        </is>
      </c>
      <c r="C283" t="inlineStr">
        <is>
          <t>CMM</t>
        </is>
      </c>
      <c r="D283" t="inlineStr">
        <is>
          <t>VIGAS</t>
        </is>
      </c>
      <c r="F283" s="159">
        <f>IFERROR(INDEX('BASE METAS DIÁRIAS'!$N$2:$S$358,MATCH($A283,'BASE METAS DIÁRIAS'!$A$2:$A$358,0),MOD(ROW()-2,6)+1),"")</f>
        <v/>
      </c>
      <c r="G283" s="159">
        <f>IFERROR(IF(WEEKDAY($A283,2)&lt;=INDEX('BASE METAS DIÁRIAS'!$H$2:$M$358,MATCH($A283,'BASE METAS DIÁRIAS'!$A$2:$A$358,0),MOD(ROW()-2,6)+1),INDEX('BASE METAS DIÁRIAS'!$B$2:$G$358,MATCH($A283,'BASE METAS DIÁRIAS'!$A$2:$A$358,0),MOD(ROW()-2,6)+1),""),"")</f>
        <v/>
      </c>
      <c r="H283" s="159">
        <f>IFERROR(IF(INDEX('CONTROLE PRODUÇÃO POR EMPRESAS'!$B$6:$G$5000,MATCH($A283,'CONTROLE PRODUÇÃO POR EMPRESAS'!$A$6:$A$5000,0),MOD(ROW()-2,6)+1)="","",IFERROR(1*INDEX('CONTROLE PRODUÇÃO POR EMPRESAS'!$B$6:$G$5000,MATCH($A283,'CONTROLE PRODUÇÃO POR EMPRESAS'!$A$6:$A$5000,0),MOD(ROW()-2,6)+1),"")),"")</f>
        <v/>
      </c>
      <c r="I283" s="159">
        <f>IF(OR(NOT(ISNUMBER(G283)),NOT(ISNUMBER(H283))),"",H283-G283)</f>
        <v/>
      </c>
      <c r="J283" s="319">
        <f>IF(OR(NOT(ISNUMBER(G283)),NOT(ISNUMBER(H283)),G283=0),"",I283/G283)</f>
        <v/>
      </c>
      <c r="K283" s="319">
        <f>IF(OR(NOT(ISNUMBER(G283)),NOT(ISNUMBER(H283)),G283=0),"",H283/G283)</f>
        <v/>
      </c>
      <c r="L283">
        <f>IF(NOT(ISNUMBER(G283)),"SEM META",IF(G283=0,"SEM META",IF(NOT(ISNUMBER(H283)),"SEM APONTAMENTO",IF(H283&gt;=G283,"VERDE",IF(H283&gt;=G283*0.9,"AMARELO","VERMELHO")))))</f>
        <v/>
      </c>
      <c r="M283" s="162" t="n"/>
      <c r="N283" s="162" t="n"/>
      <c r="O283" s="162" t="n"/>
      <c r="P283" s="162" t="n"/>
      <c r="Q283" s="320" t="n"/>
      <c r="R283" s="162" t="inlineStr">
        <is>
          <t>CONTROLE PRODUÇÃO POR EMPRESAS!G52</t>
        </is>
      </c>
    </row>
    <row r="284" hidden="1" ht="28.5" customHeight="1">
      <c r="A284" s="317" t="n">
        <v>46270</v>
      </c>
      <c r="B284" t="inlineStr">
        <is>
          <t>GERAL</t>
        </is>
      </c>
      <c r="C284" t="inlineStr">
        <is>
          <t>EJ</t>
        </is>
      </c>
      <c r="D284" t="inlineStr">
        <is>
          <t>PREMONTAGEM</t>
        </is>
      </c>
      <c r="F284" s="159">
        <f>IFERROR(INDEX('BASE METAS DIÁRIAS'!$N$2:$S$358,MATCH($A284,'BASE METAS DIÁRIAS'!$A$2:$A$358,0),MOD(ROW()-2,6)+1),"")</f>
        <v/>
      </c>
      <c r="G284" s="159">
        <f>IFERROR(IF(WEEKDAY($A284,2)&lt;=INDEX('BASE METAS DIÁRIAS'!$H$2:$M$358,MATCH($A284,'BASE METAS DIÁRIAS'!$A$2:$A$358,0),MOD(ROW()-2,6)+1),INDEX('BASE METAS DIÁRIAS'!$B$2:$G$358,MATCH($A284,'BASE METAS DIÁRIAS'!$A$2:$A$358,0),MOD(ROW()-2,6)+1),""),"")</f>
        <v/>
      </c>
      <c r="H284" s="159">
        <f>IFERROR(IF(INDEX('CONTROLE PRODUÇÃO POR EMPRESAS'!$B$6:$G$5000,MATCH($A284,'CONTROLE PRODUÇÃO POR EMPRESAS'!$A$6:$A$5000,0),MOD(ROW()-2,6)+1)="","",IFERROR(1*INDEX('CONTROLE PRODUÇÃO POR EMPRESAS'!$B$6:$G$5000,MATCH($A284,'CONTROLE PRODUÇÃO POR EMPRESAS'!$A$6:$A$5000,0),MOD(ROW()-2,6)+1),"")),"")</f>
        <v/>
      </c>
      <c r="I284" s="159">
        <f>IF(OR(NOT(ISNUMBER(G284)),NOT(ISNUMBER(H284))),"",H284-G284)</f>
        <v/>
      </c>
      <c r="J284" s="319">
        <f>IF(OR(NOT(ISNUMBER(G284)),NOT(ISNUMBER(H284)),G284=0),"",I284/G284)</f>
        <v/>
      </c>
      <c r="K284" s="319">
        <f>IF(OR(NOT(ISNUMBER(G284)),NOT(ISNUMBER(H284)),G284=0),"",H284/G284)</f>
        <v/>
      </c>
      <c r="L284">
        <f>IF(NOT(ISNUMBER(G284)),"SEM META",IF(G284=0,"SEM META",IF(NOT(ISNUMBER(H284)),"SEM APONTAMENTO",IF(H284&gt;=G284,"VERDE",IF(H284&gt;=G284*0.9,"AMARELO","VERMELHO")))))</f>
        <v/>
      </c>
      <c r="M284" s="162" t="n"/>
      <c r="N284" s="162" t="n"/>
      <c r="O284" s="162" t="n"/>
      <c r="P284" s="162" t="n"/>
      <c r="Q284" s="320" t="n"/>
      <c r="R284" s="162" t="inlineStr">
        <is>
          <t>CONTROLE PRODUÇÃO POR EMPRESAS!B53</t>
        </is>
      </c>
    </row>
    <row r="285" hidden="1" ht="28.5" customHeight="1">
      <c r="A285" s="317" t="n">
        <v>46270</v>
      </c>
      <c r="B285" t="inlineStr">
        <is>
          <t>GERAL</t>
        </is>
      </c>
      <c r="C285" t="inlineStr">
        <is>
          <t>EJ</t>
        </is>
      </c>
      <c r="D285" t="inlineStr">
        <is>
          <t>IÇAMENTO JOIST</t>
        </is>
      </c>
      <c r="F285" s="159">
        <f>IFERROR(INDEX('BASE METAS DIÁRIAS'!$N$2:$S$358,MATCH($A285,'BASE METAS DIÁRIAS'!$A$2:$A$358,0),MOD(ROW()-2,6)+1),"")</f>
        <v/>
      </c>
      <c r="G285" s="159">
        <f>IFERROR(IF(WEEKDAY($A285,2)&lt;=INDEX('BASE METAS DIÁRIAS'!$H$2:$M$358,MATCH($A285,'BASE METAS DIÁRIAS'!$A$2:$A$358,0),MOD(ROW()-2,6)+1),INDEX('BASE METAS DIÁRIAS'!$B$2:$G$358,MATCH($A285,'BASE METAS DIÁRIAS'!$A$2:$A$358,0),MOD(ROW()-2,6)+1),""),"")</f>
        <v/>
      </c>
      <c r="H285" s="159">
        <f>IFERROR(IF(INDEX('CONTROLE PRODUÇÃO POR EMPRESAS'!$B$6:$G$5000,MATCH($A285,'CONTROLE PRODUÇÃO POR EMPRESAS'!$A$6:$A$5000,0),MOD(ROW()-2,6)+1)="","",IFERROR(1*INDEX('CONTROLE PRODUÇÃO POR EMPRESAS'!$B$6:$G$5000,MATCH($A285,'CONTROLE PRODUÇÃO POR EMPRESAS'!$A$6:$A$5000,0),MOD(ROW()-2,6)+1),"")),"")</f>
        <v/>
      </c>
      <c r="I285" s="159">
        <f>IF(OR(NOT(ISNUMBER(G285)),NOT(ISNUMBER(H285))),"",H285-G285)</f>
        <v/>
      </c>
      <c r="J285" s="319">
        <f>IF(OR(NOT(ISNUMBER(G285)),NOT(ISNUMBER(H285)),G285=0),"",I285/G285)</f>
        <v/>
      </c>
      <c r="K285" s="319">
        <f>IF(OR(NOT(ISNUMBER(G285)),NOT(ISNUMBER(H285)),G285=0),"",H285/G285)</f>
        <v/>
      </c>
      <c r="L285">
        <f>IF(NOT(ISNUMBER(G285)),"SEM META",IF(G285=0,"SEM META",IF(NOT(ISNUMBER(H285)),"SEM APONTAMENTO",IF(H285&gt;=G285,"VERDE",IF(H285&gt;=G285*0.9,"AMARELO","VERMELHO")))))</f>
        <v/>
      </c>
      <c r="M285" s="162" t="n"/>
      <c r="N285" s="162" t="n"/>
      <c r="O285" s="162" t="n"/>
      <c r="P285" s="162" t="n"/>
      <c r="Q285" s="320" t="n"/>
      <c r="R285" s="162" t="inlineStr">
        <is>
          <t>CONTROLE PRODUÇÃO POR EMPRESAS!C53</t>
        </is>
      </c>
    </row>
    <row r="286" hidden="1" ht="28.5" customHeight="1">
      <c r="A286" s="317" t="n">
        <v>46270</v>
      </c>
      <c r="B286" t="inlineStr">
        <is>
          <t>GERAL</t>
        </is>
      </c>
      <c r="C286" t="inlineStr">
        <is>
          <t>EJ</t>
        </is>
      </c>
      <c r="D286" t="inlineStr">
        <is>
          <t>VIGAS</t>
        </is>
      </c>
      <c r="F286" s="159">
        <f>IFERROR(INDEX('BASE METAS DIÁRIAS'!$N$2:$S$358,MATCH($A286,'BASE METAS DIÁRIAS'!$A$2:$A$358,0),MOD(ROW()-2,6)+1),"")</f>
        <v/>
      </c>
      <c r="G286" s="159">
        <f>IFERROR(IF(WEEKDAY($A286,2)&lt;=INDEX('BASE METAS DIÁRIAS'!$H$2:$M$358,MATCH($A286,'BASE METAS DIÁRIAS'!$A$2:$A$358,0),MOD(ROW()-2,6)+1),INDEX('BASE METAS DIÁRIAS'!$B$2:$G$358,MATCH($A286,'BASE METAS DIÁRIAS'!$A$2:$A$358,0),MOD(ROW()-2,6)+1),""),"")</f>
        <v/>
      </c>
      <c r="H286" s="159">
        <f>IFERROR(IF(INDEX('CONTROLE PRODUÇÃO POR EMPRESAS'!$B$6:$G$5000,MATCH($A286,'CONTROLE PRODUÇÃO POR EMPRESAS'!$A$6:$A$5000,0),MOD(ROW()-2,6)+1)="","",IFERROR(1*INDEX('CONTROLE PRODUÇÃO POR EMPRESAS'!$B$6:$G$5000,MATCH($A286,'CONTROLE PRODUÇÃO POR EMPRESAS'!$A$6:$A$5000,0),MOD(ROW()-2,6)+1),"")),"")</f>
        <v/>
      </c>
      <c r="I286" s="159">
        <f>IF(OR(NOT(ISNUMBER(G286)),NOT(ISNUMBER(H286))),"",H286-G286)</f>
        <v/>
      </c>
      <c r="J286" s="319">
        <f>IF(OR(NOT(ISNUMBER(G286)),NOT(ISNUMBER(H286)),G286=0),"",I286/G286)</f>
        <v/>
      </c>
      <c r="K286" s="319">
        <f>IF(OR(NOT(ISNUMBER(G286)),NOT(ISNUMBER(H286)),G286=0),"",H286/G286)</f>
        <v/>
      </c>
      <c r="L286">
        <f>IF(NOT(ISNUMBER(G286)),"SEM META",IF(G286=0,"SEM META",IF(NOT(ISNUMBER(H286)),"SEM APONTAMENTO",IF(H286&gt;=G286,"VERDE",IF(H286&gt;=G286*0.9,"AMARELO","VERMELHO")))))</f>
        <v/>
      </c>
      <c r="M286" s="162" t="n"/>
      <c r="N286" s="162" t="n"/>
      <c r="O286" s="162" t="n"/>
      <c r="P286" s="162" t="n"/>
      <c r="Q286" s="320" t="n"/>
      <c r="R286" s="162" t="inlineStr">
        <is>
          <t>CONTROLE PRODUÇÃO POR EMPRESAS!D53</t>
        </is>
      </c>
    </row>
    <row r="287" hidden="1" ht="28.5" customHeight="1">
      <c r="A287" s="317" t="n">
        <v>46270</v>
      </c>
      <c r="B287" t="inlineStr">
        <is>
          <t>GERAL</t>
        </is>
      </c>
      <c r="C287" t="inlineStr">
        <is>
          <t>CMM</t>
        </is>
      </c>
      <c r="D287" t="inlineStr">
        <is>
          <t>PREMONTAGEM</t>
        </is>
      </c>
      <c r="F287" s="159">
        <f>IFERROR(INDEX('BASE METAS DIÁRIAS'!$N$2:$S$358,MATCH($A287,'BASE METAS DIÁRIAS'!$A$2:$A$358,0),MOD(ROW()-2,6)+1),"")</f>
        <v/>
      </c>
      <c r="G287" s="159">
        <f>IFERROR(IF(WEEKDAY($A287,2)&lt;=INDEX('BASE METAS DIÁRIAS'!$H$2:$M$358,MATCH($A287,'BASE METAS DIÁRIAS'!$A$2:$A$358,0),MOD(ROW()-2,6)+1),INDEX('BASE METAS DIÁRIAS'!$B$2:$G$358,MATCH($A287,'BASE METAS DIÁRIAS'!$A$2:$A$358,0),MOD(ROW()-2,6)+1),""),"")</f>
        <v/>
      </c>
      <c r="H287" s="159">
        <f>IFERROR(IF(INDEX('CONTROLE PRODUÇÃO POR EMPRESAS'!$B$6:$G$5000,MATCH($A287,'CONTROLE PRODUÇÃO POR EMPRESAS'!$A$6:$A$5000,0),MOD(ROW()-2,6)+1)="","",IFERROR(1*INDEX('CONTROLE PRODUÇÃO POR EMPRESAS'!$B$6:$G$5000,MATCH($A287,'CONTROLE PRODUÇÃO POR EMPRESAS'!$A$6:$A$5000,0),MOD(ROW()-2,6)+1),"")),"")</f>
        <v/>
      </c>
      <c r="I287" s="159">
        <f>IF(OR(NOT(ISNUMBER(G287)),NOT(ISNUMBER(H287))),"",H287-G287)</f>
        <v/>
      </c>
      <c r="J287" s="319">
        <f>IF(OR(NOT(ISNUMBER(G287)),NOT(ISNUMBER(H287)),G287=0),"",I287/G287)</f>
        <v/>
      </c>
      <c r="K287" s="319">
        <f>IF(OR(NOT(ISNUMBER(G287)),NOT(ISNUMBER(H287)),G287=0),"",H287/G287)</f>
        <v/>
      </c>
      <c r="L287">
        <f>IF(NOT(ISNUMBER(G287)),"SEM META",IF(G287=0,"SEM META",IF(NOT(ISNUMBER(H287)),"SEM APONTAMENTO",IF(H287&gt;=G287,"VERDE",IF(H287&gt;=G287*0.9,"AMARELO","VERMELHO")))))</f>
        <v/>
      </c>
      <c r="M287" s="162" t="n"/>
      <c r="N287" s="162" t="n"/>
      <c r="O287" s="162" t="n"/>
      <c r="P287" s="162" t="n"/>
      <c r="Q287" s="320" t="n"/>
      <c r="R287" s="162" t="inlineStr">
        <is>
          <t>CONTROLE PRODUÇÃO POR EMPRESAS!E53</t>
        </is>
      </c>
    </row>
    <row r="288" hidden="1" ht="28.5" customHeight="1">
      <c r="A288" s="317" t="n">
        <v>46270</v>
      </c>
      <c r="B288" t="inlineStr">
        <is>
          <t>GERAL</t>
        </is>
      </c>
      <c r="C288" t="inlineStr">
        <is>
          <t>CMM</t>
        </is>
      </c>
      <c r="D288" t="inlineStr">
        <is>
          <t>IÇAMENTO JOIST</t>
        </is>
      </c>
      <c r="F288" s="159">
        <f>IFERROR(INDEX('BASE METAS DIÁRIAS'!$N$2:$S$358,MATCH($A288,'BASE METAS DIÁRIAS'!$A$2:$A$358,0),MOD(ROW()-2,6)+1),"")</f>
        <v/>
      </c>
      <c r="G288" s="159">
        <f>IFERROR(IF(WEEKDAY($A288,2)&lt;=INDEX('BASE METAS DIÁRIAS'!$H$2:$M$358,MATCH($A288,'BASE METAS DIÁRIAS'!$A$2:$A$358,0),MOD(ROW()-2,6)+1),INDEX('BASE METAS DIÁRIAS'!$B$2:$G$358,MATCH($A288,'BASE METAS DIÁRIAS'!$A$2:$A$358,0),MOD(ROW()-2,6)+1),""),"")</f>
        <v/>
      </c>
      <c r="H288" s="159">
        <f>IFERROR(IF(INDEX('CONTROLE PRODUÇÃO POR EMPRESAS'!$B$6:$G$5000,MATCH($A288,'CONTROLE PRODUÇÃO POR EMPRESAS'!$A$6:$A$5000,0),MOD(ROW()-2,6)+1)="","",IFERROR(1*INDEX('CONTROLE PRODUÇÃO POR EMPRESAS'!$B$6:$G$5000,MATCH($A288,'CONTROLE PRODUÇÃO POR EMPRESAS'!$A$6:$A$5000,0),MOD(ROW()-2,6)+1),"")),"")</f>
        <v/>
      </c>
      <c r="I288" s="159">
        <f>IF(OR(NOT(ISNUMBER(G288)),NOT(ISNUMBER(H288))),"",H288-G288)</f>
        <v/>
      </c>
      <c r="J288" s="319">
        <f>IF(OR(NOT(ISNUMBER(G288)),NOT(ISNUMBER(H288)),G288=0),"",I288/G288)</f>
        <v/>
      </c>
      <c r="K288" s="319">
        <f>IF(OR(NOT(ISNUMBER(G288)),NOT(ISNUMBER(H288)),G288=0),"",H288/G288)</f>
        <v/>
      </c>
      <c r="L288">
        <f>IF(NOT(ISNUMBER(G288)),"SEM META",IF(G288=0,"SEM META",IF(NOT(ISNUMBER(H288)),"SEM APONTAMENTO",IF(H288&gt;=G288,"VERDE",IF(H288&gt;=G288*0.9,"AMARELO","VERMELHO")))))</f>
        <v/>
      </c>
      <c r="M288" s="162" t="n"/>
      <c r="N288" s="162" t="n"/>
      <c r="O288" s="162" t="n"/>
      <c r="P288" s="162" t="n"/>
      <c r="Q288" s="320" t="n"/>
      <c r="R288" s="162" t="inlineStr">
        <is>
          <t>CONTROLE PRODUÇÃO POR EMPRESAS!F53</t>
        </is>
      </c>
    </row>
    <row r="289" hidden="1" ht="28.5" customHeight="1">
      <c r="A289" s="317" t="n">
        <v>46270</v>
      </c>
      <c r="B289" t="inlineStr">
        <is>
          <t>GERAL</t>
        </is>
      </c>
      <c r="C289" t="inlineStr">
        <is>
          <t>CMM</t>
        </is>
      </c>
      <c r="D289" t="inlineStr">
        <is>
          <t>VIGAS</t>
        </is>
      </c>
      <c r="F289" s="159">
        <f>IFERROR(INDEX('BASE METAS DIÁRIAS'!$N$2:$S$358,MATCH($A289,'BASE METAS DIÁRIAS'!$A$2:$A$358,0),MOD(ROW()-2,6)+1),"")</f>
        <v/>
      </c>
      <c r="G289" s="159">
        <f>IFERROR(IF(WEEKDAY($A289,2)&lt;=INDEX('BASE METAS DIÁRIAS'!$H$2:$M$358,MATCH($A289,'BASE METAS DIÁRIAS'!$A$2:$A$358,0),MOD(ROW()-2,6)+1),INDEX('BASE METAS DIÁRIAS'!$B$2:$G$358,MATCH($A289,'BASE METAS DIÁRIAS'!$A$2:$A$358,0),MOD(ROW()-2,6)+1),""),"")</f>
        <v/>
      </c>
      <c r="H289" s="159">
        <f>IFERROR(IF(INDEX('CONTROLE PRODUÇÃO POR EMPRESAS'!$B$6:$G$5000,MATCH($A289,'CONTROLE PRODUÇÃO POR EMPRESAS'!$A$6:$A$5000,0),MOD(ROW()-2,6)+1)="","",IFERROR(1*INDEX('CONTROLE PRODUÇÃO POR EMPRESAS'!$B$6:$G$5000,MATCH($A289,'CONTROLE PRODUÇÃO POR EMPRESAS'!$A$6:$A$5000,0),MOD(ROW()-2,6)+1),"")),"")</f>
        <v/>
      </c>
      <c r="I289" s="159">
        <f>IF(OR(NOT(ISNUMBER(G289)),NOT(ISNUMBER(H289))),"",H289-G289)</f>
        <v/>
      </c>
      <c r="J289" s="319">
        <f>IF(OR(NOT(ISNUMBER(G289)),NOT(ISNUMBER(H289)),G289=0),"",I289/G289)</f>
        <v/>
      </c>
      <c r="K289" s="319">
        <f>IF(OR(NOT(ISNUMBER(G289)),NOT(ISNUMBER(H289)),G289=0),"",H289/G289)</f>
        <v/>
      </c>
      <c r="L289">
        <f>IF(NOT(ISNUMBER(G289)),"SEM META",IF(G289=0,"SEM META",IF(NOT(ISNUMBER(H289)),"SEM APONTAMENTO",IF(H289&gt;=G289,"VERDE",IF(H289&gt;=G289*0.9,"AMARELO","VERMELHO")))))</f>
        <v/>
      </c>
      <c r="M289" s="162" t="n"/>
      <c r="N289" s="162" t="n"/>
      <c r="O289" s="162" t="n"/>
      <c r="P289" s="162" t="n"/>
      <c r="Q289" s="320" t="n"/>
      <c r="R289" s="162" t="inlineStr">
        <is>
          <t>CONTROLE PRODUÇÃO POR EMPRESAS!G53</t>
        </is>
      </c>
    </row>
    <row r="290" hidden="1" ht="28.5" customHeight="1">
      <c r="A290" s="317" t="n">
        <v>46271</v>
      </c>
      <c r="B290" t="inlineStr">
        <is>
          <t>GERAL</t>
        </is>
      </c>
      <c r="C290" t="inlineStr">
        <is>
          <t>EJ</t>
        </is>
      </c>
      <c r="D290" t="inlineStr">
        <is>
          <t>PREMONTAGEM</t>
        </is>
      </c>
      <c r="F290" s="159">
        <f>IFERROR(INDEX('BASE METAS DIÁRIAS'!$N$2:$S$358,MATCH($A290,'BASE METAS DIÁRIAS'!$A$2:$A$358,0),MOD(ROW()-2,6)+1),"")</f>
        <v/>
      </c>
      <c r="G290" s="159">
        <f>IFERROR(IF(WEEKDAY($A290,2)&lt;=INDEX('BASE METAS DIÁRIAS'!$H$2:$M$358,MATCH($A290,'BASE METAS DIÁRIAS'!$A$2:$A$358,0),MOD(ROW()-2,6)+1),INDEX('BASE METAS DIÁRIAS'!$B$2:$G$358,MATCH($A290,'BASE METAS DIÁRIAS'!$A$2:$A$358,0),MOD(ROW()-2,6)+1),""),"")</f>
        <v/>
      </c>
      <c r="H290" s="159">
        <f>IFERROR(IF(INDEX('CONTROLE PRODUÇÃO POR EMPRESAS'!$B$6:$G$5000,MATCH($A290,'CONTROLE PRODUÇÃO POR EMPRESAS'!$A$6:$A$5000,0),MOD(ROW()-2,6)+1)="","",IFERROR(1*INDEX('CONTROLE PRODUÇÃO POR EMPRESAS'!$B$6:$G$5000,MATCH($A290,'CONTROLE PRODUÇÃO POR EMPRESAS'!$A$6:$A$5000,0),MOD(ROW()-2,6)+1),"")),"")</f>
        <v/>
      </c>
      <c r="I290" s="159">
        <f>IF(OR(NOT(ISNUMBER(G290)),NOT(ISNUMBER(H290))),"",H290-G290)</f>
        <v/>
      </c>
      <c r="J290" s="319">
        <f>IF(OR(NOT(ISNUMBER(G290)),NOT(ISNUMBER(H290)),G290=0),"",I290/G290)</f>
        <v/>
      </c>
      <c r="K290" s="319">
        <f>IF(OR(NOT(ISNUMBER(G290)),NOT(ISNUMBER(H290)),G290=0),"",H290/G290)</f>
        <v/>
      </c>
      <c r="L290">
        <f>IF(NOT(ISNUMBER(G290)),"SEM META",IF(G290=0,"SEM META",IF(NOT(ISNUMBER(H290)),"SEM APONTAMENTO",IF(H290&gt;=G290,"VERDE",IF(H290&gt;=G290*0.9,"AMARELO","VERMELHO")))))</f>
        <v/>
      </c>
      <c r="M290" s="162" t="n"/>
      <c r="N290" s="162" t="n"/>
      <c r="O290" s="162" t="n"/>
      <c r="P290" s="162" t="n"/>
      <c r="Q290" s="320" t="n"/>
      <c r="R290" s="162" t="inlineStr">
        <is>
          <t>CONTROLE PRODUÇÃO POR EMPRESAS!B54</t>
        </is>
      </c>
    </row>
    <row r="291" hidden="1" ht="28.5" customHeight="1">
      <c r="A291" s="317" t="n">
        <v>46271</v>
      </c>
      <c r="B291" t="inlineStr">
        <is>
          <t>GERAL</t>
        </is>
      </c>
      <c r="C291" t="inlineStr">
        <is>
          <t>EJ</t>
        </is>
      </c>
      <c r="D291" t="inlineStr">
        <is>
          <t>IÇAMENTO JOIST</t>
        </is>
      </c>
      <c r="F291" s="159">
        <f>IFERROR(INDEX('BASE METAS DIÁRIAS'!$N$2:$S$358,MATCH($A291,'BASE METAS DIÁRIAS'!$A$2:$A$358,0),MOD(ROW()-2,6)+1),"")</f>
        <v/>
      </c>
      <c r="G291" s="159">
        <f>IFERROR(IF(WEEKDAY($A291,2)&lt;=INDEX('BASE METAS DIÁRIAS'!$H$2:$M$358,MATCH($A291,'BASE METAS DIÁRIAS'!$A$2:$A$358,0),MOD(ROW()-2,6)+1),INDEX('BASE METAS DIÁRIAS'!$B$2:$G$358,MATCH($A291,'BASE METAS DIÁRIAS'!$A$2:$A$358,0),MOD(ROW()-2,6)+1),""),"")</f>
        <v/>
      </c>
      <c r="H291" s="159">
        <f>IFERROR(IF(INDEX('CONTROLE PRODUÇÃO POR EMPRESAS'!$B$6:$G$5000,MATCH($A291,'CONTROLE PRODUÇÃO POR EMPRESAS'!$A$6:$A$5000,0),MOD(ROW()-2,6)+1)="","",IFERROR(1*INDEX('CONTROLE PRODUÇÃO POR EMPRESAS'!$B$6:$G$5000,MATCH($A291,'CONTROLE PRODUÇÃO POR EMPRESAS'!$A$6:$A$5000,0),MOD(ROW()-2,6)+1),"")),"")</f>
        <v/>
      </c>
      <c r="I291" s="159">
        <f>IF(OR(NOT(ISNUMBER(G291)),NOT(ISNUMBER(H291))),"",H291-G291)</f>
        <v/>
      </c>
      <c r="J291" s="319">
        <f>IF(OR(NOT(ISNUMBER(G291)),NOT(ISNUMBER(H291)),G291=0),"",I291/G291)</f>
        <v/>
      </c>
      <c r="K291" s="319">
        <f>IF(OR(NOT(ISNUMBER(G291)),NOT(ISNUMBER(H291)),G291=0),"",H291/G291)</f>
        <v/>
      </c>
      <c r="L291">
        <f>IF(NOT(ISNUMBER(G291)),"SEM META",IF(G291=0,"SEM META",IF(NOT(ISNUMBER(H291)),"SEM APONTAMENTO",IF(H291&gt;=G291,"VERDE",IF(H291&gt;=G291*0.9,"AMARELO","VERMELHO")))))</f>
        <v/>
      </c>
      <c r="M291" s="162" t="n"/>
      <c r="N291" s="162" t="n"/>
      <c r="O291" s="162" t="n"/>
      <c r="P291" s="162" t="n"/>
      <c r="Q291" s="320" t="n"/>
      <c r="R291" s="162" t="inlineStr">
        <is>
          <t>CONTROLE PRODUÇÃO POR EMPRESAS!C54</t>
        </is>
      </c>
    </row>
    <row r="292" hidden="1" ht="28.5" customHeight="1">
      <c r="A292" s="317" t="n">
        <v>46271</v>
      </c>
      <c r="B292" t="inlineStr">
        <is>
          <t>GERAL</t>
        </is>
      </c>
      <c r="C292" t="inlineStr">
        <is>
          <t>EJ</t>
        </is>
      </c>
      <c r="D292" t="inlineStr">
        <is>
          <t>VIGAS</t>
        </is>
      </c>
      <c r="F292" s="159">
        <f>IFERROR(INDEX('BASE METAS DIÁRIAS'!$N$2:$S$358,MATCH($A292,'BASE METAS DIÁRIAS'!$A$2:$A$358,0),MOD(ROW()-2,6)+1),"")</f>
        <v/>
      </c>
      <c r="G292" s="159">
        <f>IFERROR(IF(WEEKDAY($A292,2)&lt;=INDEX('BASE METAS DIÁRIAS'!$H$2:$M$358,MATCH($A292,'BASE METAS DIÁRIAS'!$A$2:$A$358,0),MOD(ROW()-2,6)+1),INDEX('BASE METAS DIÁRIAS'!$B$2:$G$358,MATCH($A292,'BASE METAS DIÁRIAS'!$A$2:$A$358,0),MOD(ROW()-2,6)+1),""),"")</f>
        <v/>
      </c>
      <c r="H292" s="159">
        <f>IFERROR(IF(INDEX('CONTROLE PRODUÇÃO POR EMPRESAS'!$B$6:$G$5000,MATCH($A292,'CONTROLE PRODUÇÃO POR EMPRESAS'!$A$6:$A$5000,0),MOD(ROW()-2,6)+1)="","",IFERROR(1*INDEX('CONTROLE PRODUÇÃO POR EMPRESAS'!$B$6:$G$5000,MATCH($A292,'CONTROLE PRODUÇÃO POR EMPRESAS'!$A$6:$A$5000,0),MOD(ROW()-2,6)+1),"")),"")</f>
        <v/>
      </c>
      <c r="I292" s="159">
        <f>IF(OR(NOT(ISNUMBER(G292)),NOT(ISNUMBER(H292))),"",H292-G292)</f>
        <v/>
      </c>
      <c r="J292" s="319">
        <f>IF(OR(NOT(ISNUMBER(G292)),NOT(ISNUMBER(H292)),G292=0),"",I292/G292)</f>
        <v/>
      </c>
      <c r="K292" s="319">
        <f>IF(OR(NOT(ISNUMBER(G292)),NOT(ISNUMBER(H292)),G292=0),"",H292/G292)</f>
        <v/>
      </c>
      <c r="L292">
        <f>IF(NOT(ISNUMBER(G292)),"SEM META",IF(G292=0,"SEM META",IF(NOT(ISNUMBER(H292)),"SEM APONTAMENTO",IF(H292&gt;=G292,"VERDE",IF(H292&gt;=G292*0.9,"AMARELO","VERMELHO")))))</f>
        <v/>
      </c>
      <c r="M292" s="162" t="n"/>
      <c r="N292" s="162" t="n"/>
      <c r="O292" s="162" t="n"/>
      <c r="P292" s="162" t="n"/>
      <c r="Q292" s="320" t="n"/>
      <c r="R292" s="162" t="inlineStr">
        <is>
          <t>CONTROLE PRODUÇÃO POR EMPRESAS!D54</t>
        </is>
      </c>
    </row>
    <row r="293" hidden="1" ht="28.5" customHeight="1">
      <c r="A293" s="317" t="n">
        <v>46271</v>
      </c>
      <c r="B293" t="inlineStr">
        <is>
          <t>GERAL</t>
        </is>
      </c>
      <c r="C293" t="inlineStr">
        <is>
          <t>CMM</t>
        </is>
      </c>
      <c r="D293" t="inlineStr">
        <is>
          <t>PREMONTAGEM</t>
        </is>
      </c>
      <c r="F293" s="159">
        <f>IFERROR(INDEX('BASE METAS DIÁRIAS'!$N$2:$S$358,MATCH($A293,'BASE METAS DIÁRIAS'!$A$2:$A$358,0),MOD(ROW()-2,6)+1),"")</f>
        <v/>
      </c>
      <c r="G293" s="159">
        <f>IFERROR(IF(WEEKDAY($A293,2)&lt;=INDEX('BASE METAS DIÁRIAS'!$H$2:$M$358,MATCH($A293,'BASE METAS DIÁRIAS'!$A$2:$A$358,0),MOD(ROW()-2,6)+1),INDEX('BASE METAS DIÁRIAS'!$B$2:$G$358,MATCH($A293,'BASE METAS DIÁRIAS'!$A$2:$A$358,0),MOD(ROW()-2,6)+1),""),"")</f>
        <v/>
      </c>
      <c r="H293" s="159">
        <f>IFERROR(IF(INDEX('CONTROLE PRODUÇÃO POR EMPRESAS'!$B$6:$G$5000,MATCH($A293,'CONTROLE PRODUÇÃO POR EMPRESAS'!$A$6:$A$5000,0),MOD(ROW()-2,6)+1)="","",IFERROR(1*INDEX('CONTROLE PRODUÇÃO POR EMPRESAS'!$B$6:$G$5000,MATCH($A293,'CONTROLE PRODUÇÃO POR EMPRESAS'!$A$6:$A$5000,0),MOD(ROW()-2,6)+1),"")),"")</f>
        <v/>
      </c>
      <c r="I293" s="159">
        <f>IF(OR(NOT(ISNUMBER(G293)),NOT(ISNUMBER(H293))),"",H293-G293)</f>
        <v/>
      </c>
      <c r="J293" s="319">
        <f>IF(OR(NOT(ISNUMBER(G293)),NOT(ISNUMBER(H293)),G293=0),"",I293/G293)</f>
        <v/>
      </c>
      <c r="K293" s="319">
        <f>IF(OR(NOT(ISNUMBER(G293)),NOT(ISNUMBER(H293)),G293=0),"",H293/G293)</f>
        <v/>
      </c>
      <c r="L293">
        <f>IF(NOT(ISNUMBER(G293)),"SEM META",IF(G293=0,"SEM META",IF(NOT(ISNUMBER(H293)),"SEM APONTAMENTO",IF(H293&gt;=G293,"VERDE",IF(H293&gt;=G293*0.9,"AMARELO","VERMELHO")))))</f>
        <v/>
      </c>
      <c r="M293" s="162" t="n"/>
      <c r="N293" s="162" t="n"/>
      <c r="O293" s="162" t="n"/>
      <c r="P293" s="162" t="n"/>
      <c r="Q293" s="320" t="n"/>
      <c r="R293" s="162" t="inlineStr">
        <is>
          <t>CONTROLE PRODUÇÃO POR EMPRESAS!E54</t>
        </is>
      </c>
    </row>
    <row r="294" hidden="1" ht="28.5" customHeight="1">
      <c r="A294" s="317" t="n">
        <v>46271</v>
      </c>
      <c r="B294" t="inlineStr">
        <is>
          <t>GERAL</t>
        </is>
      </c>
      <c r="C294" t="inlineStr">
        <is>
          <t>CMM</t>
        </is>
      </c>
      <c r="D294" t="inlineStr">
        <is>
          <t>IÇAMENTO JOIST</t>
        </is>
      </c>
      <c r="F294" s="159">
        <f>IFERROR(INDEX('BASE METAS DIÁRIAS'!$N$2:$S$358,MATCH($A294,'BASE METAS DIÁRIAS'!$A$2:$A$358,0),MOD(ROW()-2,6)+1),"")</f>
        <v/>
      </c>
      <c r="G294" s="159">
        <f>IFERROR(IF(WEEKDAY($A294,2)&lt;=INDEX('BASE METAS DIÁRIAS'!$H$2:$M$358,MATCH($A294,'BASE METAS DIÁRIAS'!$A$2:$A$358,0),MOD(ROW()-2,6)+1),INDEX('BASE METAS DIÁRIAS'!$B$2:$G$358,MATCH($A294,'BASE METAS DIÁRIAS'!$A$2:$A$358,0),MOD(ROW()-2,6)+1),""),"")</f>
        <v/>
      </c>
      <c r="H294" s="159">
        <f>IFERROR(IF(INDEX('CONTROLE PRODUÇÃO POR EMPRESAS'!$B$6:$G$5000,MATCH($A294,'CONTROLE PRODUÇÃO POR EMPRESAS'!$A$6:$A$5000,0),MOD(ROW()-2,6)+1)="","",IFERROR(1*INDEX('CONTROLE PRODUÇÃO POR EMPRESAS'!$B$6:$G$5000,MATCH($A294,'CONTROLE PRODUÇÃO POR EMPRESAS'!$A$6:$A$5000,0),MOD(ROW()-2,6)+1),"")),"")</f>
        <v/>
      </c>
      <c r="I294" s="159">
        <f>IF(OR(NOT(ISNUMBER(G294)),NOT(ISNUMBER(H294))),"",H294-G294)</f>
        <v/>
      </c>
      <c r="J294" s="319">
        <f>IF(OR(NOT(ISNUMBER(G294)),NOT(ISNUMBER(H294)),G294=0),"",I294/G294)</f>
        <v/>
      </c>
      <c r="K294" s="319">
        <f>IF(OR(NOT(ISNUMBER(G294)),NOT(ISNUMBER(H294)),G294=0),"",H294/G294)</f>
        <v/>
      </c>
      <c r="L294">
        <f>IF(NOT(ISNUMBER(G294)),"SEM META",IF(G294=0,"SEM META",IF(NOT(ISNUMBER(H294)),"SEM APONTAMENTO",IF(H294&gt;=G294,"VERDE",IF(H294&gt;=G294*0.9,"AMARELO","VERMELHO")))))</f>
        <v/>
      </c>
      <c r="M294" s="162" t="n"/>
      <c r="N294" s="162" t="n"/>
      <c r="O294" s="162" t="n"/>
      <c r="P294" s="162" t="n"/>
      <c r="Q294" s="320" t="n"/>
      <c r="R294" s="162" t="inlineStr">
        <is>
          <t>CONTROLE PRODUÇÃO POR EMPRESAS!F54</t>
        </is>
      </c>
    </row>
    <row r="295" hidden="1" ht="28.5" customHeight="1">
      <c r="A295" s="317" t="n">
        <v>46271</v>
      </c>
      <c r="B295" t="inlineStr">
        <is>
          <t>GERAL</t>
        </is>
      </c>
      <c r="C295" t="inlineStr">
        <is>
          <t>CMM</t>
        </is>
      </c>
      <c r="D295" t="inlineStr">
        <is>
          <t>VIGAS</t>
        </is>
      </c>
      <c r="F295" s="159">
        <f>IFERROR(INDEX('BASE METAS DIÁRIAS'!$N$2:$S$358,MATCH($A295,'BASE METAS DIÁRIAS'!$A$2:$A$358,0),MOD(ROW()-2,6)+1),"")</f>
        <v/>
      </c>
      <c r="G295" s="159">
        <f>IFERROR(IF(WEEKDAY($A295,2)&lt;=INDEX('BASE METAS DIÁRIAS'!$H$2:$M$358,MATCH($A295,'BASE METAS DIÁRIAS'!$A$2:$A$358,0),MOD(ROW()-2,6)+1),INDEX('BASE METAS DIÁRIAS'!$B$2:$G$358,MATCH($A295,'BASE METAS DIÁRIAS'!$A$2:$A$358,0),MOD(ROW()-2,6)+1),""),"")</f>
        <v/>
      </c>
      <c r="H295" s="159">
        <f>IFERROR(IF(INDEX('CONTROLE PRODUÇÃO POR EMPRESAS'!$B$6:$G$5000,MATCH($A295,'CONTROLE PRODUÇÃO POR EMPRESAS'!$A$6:$A$5000,0),MOD(ROW()-2,6)+1)="","",IFERROR(1*INDEX('CONTROLE PRODUÇÃO POR EMPRESAS'!$B$6:$G$5000,MATCH($A295,'CONTROLE PRODUÇÃO POR EMPRESAS'!$A$6:$A$5000,0),MOD(ROW()-2,6)+1),"")),"")</f>
        <v/>
      </c>
      <c r="I295" s="159">
        <f>IF(OR(NOT(ISNUMBER(G295)),NOT(ISNUMBER(H295))),"",H295-G295)</f>
        <v/>
      </c>
      <c r="J295" s="319">
        <f>IF(OR(NOT(ISNUMBER(G295)),NOT(ISNUMBER(H295)),G295=0),"",I295/G295)</f>
        <v/>
      </c>
      <c r="K295" s="319">
        <f>IF(OR(NOT(ISNUMBER(G295)),NOT(ISNUMBER(H295)),G295=0),"",H295/G295)</f>
        <v/>
      </c>
      <c r="L295">
        <f>IF(NOT(ISNUMBER(G295)),"SEM META",IF(G295=0,"SEM META",IF(NOT(ISNUMBER(H295)),"SEM APONTAMENTO",IF(H295&gt;=G295,"VERDE",IF(H295&gt;=G295*0.9,"AMARELO","VERMELHO")))))</f>
        <v/>
      </c>
      <c r="M295" s="162" t="n"/>
      <c r="N295" s="162" t="n"/>
      <c r="O295" s="162" t="n"/>
      <c r="P295" s="162" t="n"/>
      <c r="Q295" s="320" t="n"/>
      <c r="R295" s="162" t="inlineStr">
        <is>
          <t>CONTROLE PRODUÇÃO POR EMPRESAS!G54</t>
        </is>
      </c>
    </row>
    <row r="296" hidden="1" ht="28.5" customHeight="1">
      <c r="A296" s="317" t="n">
        <v>46272</v>
      </c>
      <c r="B296" t="inlineStr">
        <is>
          <t>GERAL</t>
        </is>
      </c>
      <c r="C296" t="inlineStr">
        <is>
          <t>EJ</t>
        </is>
      </c>
      <c r="D296" t="inlineStr">
        <is>
          <t>PREMONTAGEM</t>
        </is>
      </c>
      <c r="F296" s="159">
        <f>IFERROR(INDEX('BASE METAS DIÁRIAS'!$N$2:$S$358,MATCH($A296,'BASE METAS DIÁRIAS'!$A$2:$A$358,0),MOD(ROW()-2,6)+1),"")</f>
        <v/>
      </c>
      <c r="G296" s="159">
        <f>IFERROR(IF(WEEKDAY($A296,2)&lt;=INDEX('BASE METAS DIÁRIAS'!$H$2:$M$358,MATCH($A296,'BASE METAS DIÁRIAS'!$A$2:$A$358,0),MOD(ROW()-2,6)+1),INDEX('BASE METAS DIÁRIAS'!$B$2:$G$358,MATCH($A296,'BASE METAS DIÁRIAS'!$A$2:$A$358,0),MOD(ROW()-2,6)+1),""),"")</f>
        <v/>
      </c>
      <c r="H296" s="159">
        <f>IFERROR(IF(INDEX('CONTROLE PRODUÇÃO POR EMPRESAS'!$B$6:$G$5000,MATCH($A296,'CONTROLE PRODUÇÃO POR EMPRESAS'!$A$6:$A$5000,0),MOD(ROW()-2,6)+1)="","",IFERROR(1*INDEX('CONTROLE PRODUÇÃO POR EMPRESAS'!$B$6:$G$5000,MATCH($A296,'CONTROLE PRODUÇÃO POR EMPRESAS'!$A$6:$A$5000,0),MOD(ROW()-2,6)+1),"")),"")</f>
        <v/>
      </c>
      <c r="I296" s="159">
        <f>IF(OR(NOT(ISNUMBER(G296)),NOT(ISNUMBER(H296))),"",H296-G296)</f>
        <v/>
      </c>
      <c r="J296" s="319">
        <f>IF(OR(NOT(ISNUMBER(G296)),NOT(ISNUMBER(H296)),G296=0),"",I296/G296)</f>
        <v/>
      </c>
      <c r="K296" s="319">
        <f>IF(OR(NOT(ISNUMBER(G296)),NOT(ISNUMBER(H296)),G296=0),"",H296/G296)</f>
        <v/>
      </c>
      <c r="L296">
        <f>IF(NOT(ISNUMBER(G296)),"SEM META",IF(G296=0,"SEM META",IF(NOT(ISNUMBER(H296)),"SEM APONTAMENTO",IF(H296&gt;=G296,"VERDE",IF(H296&gt;=G296*0.9,"AMARELO","VERMELHO")))))</f>
        <v/>
      </c>
      <c r="M296" s="162" t="n"/>
      <c r="N296" s="162" t="n"/>
      <c r="O296" s="162" t="n"/>
      <c r="P296" s="162" t="n"/>
      <c r="Q296" s="320" t="n"/>
      <c r="R296" s="162" t="inlineStr">
        <is>
          <t>CONTROLE PRODUÇÃO POR EMPRESAS!B55</t>
        </is>
      </c>
    </row>
    <row r="297" hidden="1" ht="28.5" customHeight="1">
      <c r="A297" s="317" t="n">
        <v>46272</v>
      </c>
      <c r="B297" t="inlineStr">
        <is>
          <t>GERAL</t>
        </is>
      </c>
      <c r="C297" t="inlineStr">
        <is>
          <t>EJ</t>
        </is>
      </c>
      <c r="D297" t="inlineStr">
        <is>
          <t>IÇAMENTO JOIST</t>
        </is>
      </c>
      <c r="F297" s="159">
        <f>IFERROR(INDEX('BASE METAS DIÁRIAS'!$N$2:$S$358,MATCH($A297,'BASE METAS DIÁRIAS'!$A$2:$A$358,0),MOD(ROW()-2,6)+1),"")</f>
        <v/>
      </c>
      <c r="G297" s="159">
        <f>IFERROR(IF(WEEKDAY($A297,2)&lt;=INDEX('BASE METAS DIÁRIAS'!$H$2:$M$358,MATCH($A297,'BASE METAS DIÁRIAS'!$A$2:$A$358,0),MOD(ROW()-2,6)+1),INDEX('BASE METAS DIÁRIAS'!$B$2:$G$358,MATCH($A297,'BASE METAS DIÁRIAS'!$A$2:$A$358,0),MOD(ROW()-2,6)+1),""),"")</f>
        <v/>
      </c>
      <c r="H297" s="159">
        <f>IFERROR(IF(INDEX('CONTROLE PRODUÇÃO POR EMPRESAS'!$B$6:$G$5000,MATCH($A297,'CONTROLE PRODUÇÃO POR EMPRESAS'!$A$6:$A$5000,0),MOD(ROW()-2,6)+1)="","",IFERROR(1*INDEX('CONTROLE PRODUÇÃO POR EMPRESAS'!$B$6:$G$5000,MATCH($A297,'CONTROLE PRODUÇÃO POR EMPRESAS'!$A$6:$A$5000,0),MOD(ROW()-2,6)+1),"")),"")</f>
        <v/>
      </c>
      <c r="I297" s="159">
        <f>IF(OR(NOT(ISNUMBER(G297)),NOT(ISNUMBER(H297))),"",H297-G297)</f>
        <v/>
      </c>
      <c r="J297" s="319">
        <f>IF(OR(NOT(ISNUMBER(G297)),NOT(ISNUMBER(H297)),G297=0),"",I297/G297)</f>
        <v/>
      </c>
      <c r="K297" s="319">
        <f>IF(OR(NOT(ISNUMBER(G297)),NOT(ISNUMBER(H297)),G297=0),"",H297/G297)</f>
        <v/>
      </c>
      <c r="L297">
        <f>IF(NOT(ISNUMBER(G297)),"SEM META",IF(G297=0,"SEM META",IF(NOT(ISNUMBER(H297)),"SEM APONTAMENTO",IF(H297&gt;=G297,"VERDE",IF(H297&gt;=G297*0.9,"AMARELO","VERMELHO")))))</f>
        <v/>
      </c>
      <c r="M297" s="162" t="n"/>
      <c r="N297" s="162" t="n"/>
      <c r="O297" s="162" t="n"/>
      <c r="P297" s="162" t="n"/>
      <c r="Q297" s="320" t="n"/>
      <c r="R297" s="162" t="inlineStr">
        <is>
          <t>CONTROLE PRODUÇÃO POR EMPRESAS!C55</t>
        </is>
      </c>
    </row>
    <row r="298" hidden="1" ht="28.5" customHeight="1">
      <c r="A298" s="317" t="n">
        <v>46272</v>
      </c>
      <c r="B298" t="inlineStr">
        <is>
          <t>GERAL</t>
        </is>
      </c>
      <c r="C298" t="inlineStr">
        <is>
          <t>EJ</t>
        </is>
      </c>
      <c r="D298" t="inlineStr">
        <is>
          <t>VIGAS</t>
        </is>
      </c>
      <c r="F298" s="159">
        <f>IFERROR(INDEX('BASE METAS DIÁRIAS'!$N$2:$S$358,MATCH($A298,'BASE METAS DIÁRIAS'!$A$2:$A$358,0),MOD(ROW()-2,6)+1),"")</f>
        <v/>
      </c>
      <c r="G298" s="159">
        <f>IFERROR(IF(WEEKDAY($A298,2)&lt;=INDEX('BASE METAS DIÁRIAS'!$H$2:$M$358,MATCH($A298,'BASE METAS DIÁRIAS'!$A$2:$A$358,0),MOD(ROW()-2,6)+1),INDEX('BASE METAS DIÁRIAS'!$B$2:$G$358,MATCH($A298,'BASE METAS DIÁRIAS'!$A$2:$A$358,0),MOD(ROW()-2,6)+1),""),"")</f>
        <v/>
      </c>
      <c r="H298" s="159">
        <f>IFERROR(IF(INDEX('CONTROLE PRODUÇÃO POR EMPRESAS'!$B$6:$G$5000,MATCH($A298,'CONTROLE PRODUÇÃO POR EMPRESAS'!$A$6:$A$5000,0),MOD(ROW()-2,6)+1)="","",IFERROR(1*INDEX('CONTROLE PRODUÇÃO POR EMPRESAS'!$B$6:$G$5000,MATCH($A298,'CONTROLE PRODUÇÃO POR EMPRESAS'!$A$6:$A$5000,0),MOD(ROW()-2,6)+1),"")),"")</f>
        <v/>
      </c>
      <c r="I298" s="159">
        <f>IF(OR(NOT(ISNUMBER(G298)),NOT(ISNUMBER(H298))),"",H298-G298)</f>
        <v/>
      </c>
      <c r="J298" s="319">
        <f>IF(OR(NOT(ISNUMBER(G298)),NOT(ISNUMBER(H298)),G298=0),"",I298/G298)</f>
        <v/>
      </c>
      <c r="K298" s="319">
        <f>IF(OR(NOT(ISNUMBER(G298)),NOT(ISNUMBER(H298)),G298=0),"",H298/G298)</f>
        <v/>
      </c>
      <c r="L298">
        <f>IF(NOT(ISNUMBER(G298)),"SEM META",IF(G298=0,"SEM META",IF(NOT(ISNUMBER(H298)),"SEM APONTAMENTO",IF(H298&gt;=G298,"VERDE",IF(H298&gt;=G298*0.9,"AMARELO","VERMELHO")))))</f>
        <v/>
      </c>
      <c r="M298" s="162" t="n"/>
      <c r="N298" s="162" t="n"/>
      <c r="O298" s="162" t="n"/>
      <c r="P298" s="162" t="n"/>
      <c r="Q298" s="320" t="n"/>
      <c r="R298" s="162" t="inlineStr">
        <is>
          <t>CONTROLE PRODUÇÃO POR EMPRESAS!D55</t>
        </is>
      </c>
    </row>
    <row r="299" hidden="1" ht="28.5" customHeight="1">
      <c r="A299" s="317" t="n">
        <v>46272</v>
      </c>
      <c r="B299" t="inlineStr">
        <is>
          <t>GERAL</t>
        </is>
      </c>
      <c r="C299" t="inlineStr">
        <is>
          <t>CMM</t>
        </is>
      </c>
      <c r="D299" t="inlineStr">
        <is>
          <t>PREMONTAGEM</t>
        </is>
      </c>
      <c r="F299" s="159">
        <f>IFERROR(INDEX('BASE METAS DIÁRIAS'!$N$2:$S$358,MATCH($A299,'BASE METAS DIÁRIAS'!$A$2:$A$358,0),MOD(ROW()-2,6)+1),"")</f>
        <v/>
      </c>
      <c r="G299" s="159">
        <f>IFERROR(IF(WEEKDAY($A299,2)&lt;=INDEX('BASE METAS DIÁRIAS'!$H$2:$M$358,MATCH($A299,'BASE METAS DIÁRIAS'!$A$2:$A$358,0),MOD(ROW()-2,6)+1),INDEX('BASE METAS DIÁRIAS'!$B$2:$G$358,MATCH($A299,'BASE METAS DIÁRIAS'!$A$2:$A$358,0),MOD(ROW()-2,6)+1),""),"")</f>
        <v/>
      </c>
      <c r="H299" s="159">
        <f>IFERROR(IF(INDEX('CONTROLE PRODUÇÃO POR EMPRESAS'!$B$6:$G$5000,MATCH($A299,'CONTROLE PRODUÇÃO POR EMPRESAS'!$A$6:$A$5000,0),MOD(ROW()-2,6)+1)="","",IFERROR(1*INDEX('CONTROLE PRODUÇÃO POR EMPRESAS'!$B$6:$G$5000,MATCH($A299,'CONTROLE PRODUÇÃO POR EMPRESAS'!$A$6:$A$5000,0),MOD(ROW()-2,6)+1),"")),"")</f>
        <v/>
      </c>
      <c r="I299" s="159">
        <f>IF(OR(NOT(ISNUMBER(G299)),NOT(ISNUMBER(H299))),"",H299-G299)</f>
        <v/>
      </c>
      <c r="J299" s="319">
        <f>IF(OR(NOT(ISNUMBER(G299)),NOT(ISNUMBER(H299)),G299=0),"",I299/G299)</f>
        <v/>
      </c>
      <c r="K299" s="319">
        <f>IF(OR(NOT(ISNUMBER(G299)),NOT(ISNUMBER(H299)),G299=0),"",H299/G299)</f>
        <v/>
      </c>
      <c r="L299">
        <f>IF(NOT(ISNUMBER(G299)),"SEM META",IF(G299=0,"SEM META",IF(NOT(ISNUMBER(H299)),"SEM APONTAMENTO",IF(H299&gt;=G299,"VERDE",IF(H299&gt;=G299*0.9,"AMARELO","VERMELHO")))))</f>
        <v/>
      </c>
      <c r="M299" s="162" t="n"/>
      <c r="N299" s="162" t="n"/>
      <c r="O299" s="162" t="n"/>
      <c r="P299" s="162" t="n"/>
      <c r="Q299" s="320" t="n"/>
      <c r="R299" s="162" t="inlineStr">
        <is>
          <t>CONTROLE PRODUÇÃO POR EMPRESAS!E55</t>
        </is>
      </c>
    </row>
    <row r="300" hidden="1" ht="28.5" customHeight="1">
      <c r="A300" s="317" t="n">
        <v>46272</v>
      </c>
      <c r="B300" t="inlineStr">
        <is>
          <t>GERAL</t>
        </is>
      </c>
      <c r="C300" t="inlineStr">
        <is>
          <t>CMM</t>
        </is>
      </c>
      <c r="D300" t="inlineStr">
        <is>
          <t>IÇAMENTO JOIST</t>
        </is>
      </c>
      <c r="F300" s="159">
        <f>IFERROR(INDEX('BASE METAS DIÁRIAS'!$N$2:$S$358,MATCH($A300,'BASE METAS DIÁRIAS'!$A$2:$A$358,0),MOD(ROW()-2,6)+1),"")</f>
        <v/>
      </c>
      <c r="G300" s="159">
        <f>IFERROR(IF(WEEKDAY($A300,2)&lt;=INDEX('BASE METAS DIÁRIAS'!$H$2:$M$358,MATCH($A300,'BASE METAS DIÁRIAS'!$A$2:$A$358,0),MOD(ROW()-2,6)+1),INDEX('BASE METAS DIÁRIAS'!$B$2:$G$358,MATCH($A300,'BASE METAS DIÁRIAS'!$A$2:$A$358,0),MOD(ROW()-2,6)+1),""),"")</f>
        <v/>
      </c>
      <c r="H300" s="159">
        <f>IFERROR(IF(INDEX('CONTROLE PRODUÇÃO POR EMPRESAS'!$B$6:$G$5000,MATCH($A300,'CONTROLE PRODUÇÃO POR EMPRESAS'!$A$6:$A$5000,0),MOD(ROW()-2,6)+1)="","",IFERROR(1*INDEX('CONTROLE PRODUÇÃO POR EMPRESAS'!$B$6:$G$5000,MATCH($A300,'CONTROLE PRODUÇÃO POR EMPRESAS'!$A$6:$A$5000,0),MOD(ROW()-2,6)+1),"")),"")</f>
        <v/>
      </c>
      <c r="I300" s="159">
        <f>IF(OR(NOT(ISNUMBER(G300)),NOT(ISNUMBER(H300))),"",H300-G300)</f>
        <v/>
      </c>
      <c r="J300" s="319">
        <f>IF(OR(NOT(ISNUMBER(G300)),NOT(ISNUMBER(H300)),G300=0),"",I300/G300)</f>
        <v/>
      </c>
      <c r="K300" s="319">
        <f>IF(OR(NOT(ISNUMBER(G300)),NOT(ISNUMBER(H300)),G300=0),"",H300/G300)</f>
        <v/>
      </c>
      <c r="L300">
        <f>IF(NOT(ISNUMBER(G300)),"SEM META",IF(G300=0,"SEM META",IF(NOT(ISNUMBER(H300)),"SEM APONTAMENTO",IF(H300&gt;=G300,"VERDE",IF(H300&gt;=G300*0.9,"AMARELO","VERMELHO")))))</f>
        <v/>
      </c>
      <c r="M300" s="162" t="n"/>
      <c r="N300" s="162" t="n"/>
      <c r="O300" s="162" t="n"/>
      <c r="P300" s="162" t="n"/>
      <c r="Q300" s="320" t="n"/>
      <c r="R300" s="162" t="inlineStr">
        <is>
          <t>CONTROLE PRODUÇÃO POR EMPRESAS!F55</t>
        </is>
      </c>
    </row>
    <row r="301" hidden="1" ht="28.5" customHeight="1">
      <c r="A301" s="317" t="n">
        <v>46272</v>
      </c>
      <c r="B301" t="inlineStr">
        <is>
          <t>GERAL</t>
        </is>
      </c>
      <c r="C301" t="inlineStr">
        <is>
          <t>CMM</t>
        </is>
      </c>
      <c r="D301" t="inlineStr">
        <is>
          <t>VIGAS</t>
        </is>
      </c>
      <c r="F301" s="159">
        <f>IFERROR(INDEX('BASE METAS DIÁRIAS'!$N$2:$S$358,MATCH($A301,'BASE METAS DIÁRIAS'!$A$2:$A$358,0),MOD(ROW()-2,6)+1),"")</f>
        <v/>
      </c>
      <c r="G301" s="159">
        <f>IFERROR(IF(WEEKDAY($A301,2)&lt;=INDEX('BASE METAS DIÁRIAS'!$H$2:$M$358,MATCH($A301,'BASE METAS DIÁRIAS'!$A$2:$A$358,0),MOD(ROW()-2,6)+1),INDEX('BASE METAS DIÁRIAS'!$B$2:$G$358,MATCH($A301,'BASE METAS DIÁRIAS'!$A$2:$A$358,0),MOD(ROW()-2,6)+1),""),"")</f>
        <v/>
      </c>
      <c r="H301" s="159">
        <f>IFERROR(IF(INDEX('CONTROLE PRODUÇÃO POR EMPRESAS'!$B$6:$G$5000,MATCH($A301,'CONTROLE PRODUÇÃO POR EMPRESAS'!$A$6:$A$5000,0),MOD(ROW()-2,6)+1)="","",IFERROR(1*INDEX('CONTROLE PRODUÇÃO POR EMPRESAS'!$B$6:$G$5000,MATCH($A301,'CONTROLE PRODUÇÃO POR EMPRESAS'!$A$6:$A$5000,0),MOD(ROW()-2,6)+1),"")),"")</f>
        <v/>
      </c>
      <c r="I301" s="159">
        <f>IF(OR(NOT(ISNUMBER(G301)),NOT(ISNUMBER(H301))),"",H301-G301)</f>
        <v/>
      </c>
      <c r="J301" s="319">
        <f>IF(OR(NOT(ISNUMBER(G301)),NOT(ISNUMBER(H301)),G301=0),"",I301/G301)</f>
        <v/>
      </c>
      <c r="K301" s="319">
        <f>IF(OR(NOT(ISNUMBER(G301)),NOT(ISNUMBER(H301)),G301=0),"",H301/G301)</f>
        <v/>
      </c>
      <c r="L301">
        <f>IF(NOT(ISNUMBER(G301)),"SEM META",IF(G301=0,"SEM META",IF(NOT(ISNUMBER(H301)),"SEM APONTAMENTO",IF(H301&gt;=G301,"VERDE",IF(H301&gt;=G301*0.9,"AMARELO","VERMELHO")))))</f>
        <v/>
      </c>
      <c r="M301" s="162" t="n"/>
      <c r="N301" s="162" t="n"/>
      <c r="O301" s="162" t="n"/>
      <c r="P301" s="162" t="n"/>
      <c r="Q301" s="320" t="n"/>
      <c r="R301" s="162" t="inlineStr">
        <is>
          <t>CONTROLE PRODUÇÃO POR EMPRESAS!G55</t>
        </is>
      </c>
    </row>
    <row r="302" ht="28.5" customHeight="1">
      <c r="A302" s="317" t="n">
        <v>46273</v>
      </c>
      <c r="B302" t="inlineStr">
        <is>
          <t>GERAL</t>
        </is>
      </c>
      <c r="C302" t="inlineStr">
        <is>
          <t>EJ</t>
        </is>
      </c>
      <c r="D302" t="inlineStr">
        <is>
          <t>PREMONTAGEM</t>
        </is>
      </c>
      <c r="F302" s="159">
        <f>IFERROR(INDEX('BASE METAS DIÁRIAS'!$N$2:$S$358,MATCH($A302,'BASE METAS DIÁRIAS'!$A$2:$A$358,0),MOD(ROW()-2,6)+1),"")</f>
        <v/>
      </c>
      <c r="G302" s="159">
        <f>IFERROR(IF(WEEKDAY($A302,2)&lt;=INDEX('BASE METAS DIÁRIAS'!$H$2:$M$358,MATCH($A302,'BASE METAS DIÁRIAS'!$A$2:$A$358,0),MOD(ROW()-2,6)+1),INDEX('BASE METAS DIÁRIAS'!$B$2:$G$358,MATCH($A302,'BASE METAS DIÁRIAS'!$A$2:$A$358,0),MOD(ROW()-2,6)+1),""),"")</f>
        <v/>
      </c>
      <c r="H302" s="159">
        <f>IFERROR(IF(INDEX('CONTROLE PRODUÇÃO POR EMPRESAS'!$B$6:$G$5000,MATCH($A302,'CONTROLE PRODUÇÃO POR EMPRESAS'!$A$6:$A$5000,0),MOD(ROW()-2,6)+1)="","",IFERROR(1*INDEX('CONTROLE PRODUÇÃO POR EMPRESAS'!$B$6:$G$5000,MATCH($A302,'CONTROLE PRODUÇÃO POR EMPRESAS'!$A$6:$A$5000,0),MOD(ROW()-2,6)+1),"")),"")</f>
        <v/>
      </c>
      <c r="I302" s="159">
        <f>IF(OR(NOT(ISNUMBER(G302)),NOT(ISNUMBER(H302))),"",H302-G302)</f>
        <v/>
      </c>
      <c r="J302" s="319">
        <f>IF(OR(NOT(ISNUMBER(G302)),NOT(ISNUMBER(H302)),G302=0),"",I302/G302)</f>
        <v/>
      </c>
      <c r="K302" s="319">
        <f>IF(OR(NOT(ISNUMBER(G302)),NOT(ISNUMBER(H302)),G302=0),"",H302/G302)</f>
        <v/>
      </c>
      <c r="L302">
        <f>IF(NOT(ISNUMBER(G302)),"SEM META",IF(G302=0,"SEM META",IF(NOT(ISNUMBER(H302)),"SEM APONTAMENTO",IF(H302&gt;=G302,"VERDE",IF(H302&gt;=G302*0.9,"AMARELO","VERMELHO")))))</f>
        <v/>
      </c>
      <c r="M302" s="162" t="n"/>
      <c r="N302" s="162" t="n"/>
      <c r="O302" s="162" t="n"/>
      <c r="P302" s="162" t="n"/>
      <c r="Q302" s="320" t="n"/>
      <c r="R302" s="162" t="inlineStr">
        <is>
          <t>CONTROLE PRODUÇÃO POR EMPRESAS!B56</t>
        </is>
      </c>
    </row>
    <row r="303" ht="28.5" customHeight="1">
      <c r="A303" s="317" t="n">
        <v>46273</v>
      </c>
      <c r="B303" t="inlineStr">
        <is>
          <t>GERAL</t>
        </is>
      </c>
      <c r="C303" t="inlineStr">
        <is>
          <t>EJ</t>
        </is>
      </c>
      <c r="D303" t="inlineStr">
        <is>
          <t>IÇAMENTO JOIST</t>
        </is>
      </c>
      <c r="F303" s="159">
        <f>IFERROR(INDEX('BASE METAS DIÁRIAS'!$N$2:$S$358,MATCH($A303,'BASE METAS DIÁRIAS'!$A$2:$A$358,0),MOD(ROW()-2,6)+1),"")</f>
        <v/>
      </c>
      <c r="G303" s="159">
        <f>IFERROR(IF(WEEKDAY($A303,2)&lt;=INDEX('BASE METAS DIÁRIAS'!$H$2:$M$358,MATCH($A303,'BASE METAS DIÁRIAS'!$A$2:$A$358,0),MOD(ROW()-2,6)+1),INDEX('BASE METAS DIÁRIAS'!$B$2:$G$358,MATCH($A303,'BASE METAS DIÁRIAS'!$A$2:$A$358,0),MOD(ROW()-2,6)+1),""),"")</f>
        <v/>
      </c>
      <c r="H303" s="159">
        <f>IFERROR(IF(INDEX('CONTROLE PRODUÇÃO POR EMPRESAS'!$B$6:$G$5000,MATCH($A303,'CONTROLE PRODUÇÃO POR EMPRESAS'!$A$6:$A$5000,0),MOD(ROW()-2,6)+1)="","",IFERROR(1*INDEX('CONTROLE PRODUÇÃO POR EMPRESAS'!$B$6:$G$5000,MATCH($A303,'CONTROLE PRODUÇÃO POR EMPRESAS'!$A$6:$A$5000,0),MOD(ROW()-2,6)+1),"")),"")</f>
        <v/>
      </c>
      <c r="I303" s="159">
        <f>IF(OR(NOT(ISNUMBER(G303)),NOT(ISNUMBER(H303))),"",H303-G303)</f>
        <v/>
      </c>
      <c r="J303" s="319">
        <f>IF(OR(NOT(ISNUMBER(G303)),NOT(ISNUMBER(H303)),G303=0),"",I303/G303)</f>
        <v/>
      </c>
      <c r="K303" s="319">
        <f>IF(OR(NOT(ISNUMBER(G303)),NOT(ISNUMBER(H303)),G303=0),"",H303/G303)</f>
        <v/>
      </c>
      <c r="L303">
        <f>IF(NOT(ISNUMBER(G303)),"SEM META",IF(G303=0,"SEM META",IF(NOT(ISNUMBER(H303)),"SEM APONTAMENTO",IF(H303&gt;=G303,"VERDE",IF(H303&gt;=G303*0.9,"AMARELO","VERMELHO")))))</f>
        <v/>
      </c>
      <c r="M303" s="162" t="n"/>
      <c r="N303" s="162" t="n"/>
      <c r="O303" s="162" t="n"/>
      <c r="P303" s="162" t="n"/>
      <c r="Q303" s="320" t="n"/>
      <c r="R303" s="162" t="inlineStr">
        <is>
          <t>CONTROLE PRODUÇÃO POR EMPRESAS!C56</t>
        </is>
      </c>
    </row>
    <row r="304" ht="28.5" customHeight="1">
      <c r="A304" s="317" t="n">
        <v>46273</v>
      </c>
      <c r="B304" t="inlineStr">
        <is>
          <t>GERAL</t>
        </is>
      </c>
      <c r="C304" t="inlineStr">
        <is>
          <t>EJ</t>
        </is>
      </c>
      <c r="D304" t="inlineStr">
        <is>
          <t>VIGAS</t>
        </is>
      </c>
      <c r="F304" s="159">
        <f>IFERROR(INDEX('BASE METAS DIÁRIAS'!$N$2:$S$358,MATCH($A304,'BASE METAS DIÁRIAS'!$A$2:$A$358,0),MOD(ROW()-2,6)+1),"")</f>
        <v/>
      </c>
      <c r="G304" s="159">
        <f>IFERROR(IF(WEEKDAY($A304,2)&lt;=INDEX('BASE METAS DIÁRIAS'!$H$2:$M$358,MATCH($A304,'BASE METAS DIÁRIAS'!$A$2:$A$358,0),MOD(ROW()-2,6)+1),INDEX('BASE METAS DIÁRIAS'!$B$2:$G$358,MATCH($A304,'BASE METAS DIÁRIAS'!$A$2:$A$358,0),MOD(ROW()-2,6)+1),""),"")</f>
        <v/>
      </c>
      <c r="H304" s="159">
        <f>IFERROR(IF(INDEX('CONTROLE PRODUÇÃO POR EMPRESAS'!$B$6:$G$5000,MATCH($A304,'CONTROLE PRODUÇÃO POR EMPRESAS'!$A$6:$A$5000,0),MOD(ROW()-2,6)+1)="","",IFERROR(1*INDEX('CONTROLE PRODUÇÃO POR EMPRESAS'!$B$6:$G$5000,MATCH($A304,'CONTROLE PRODUÇÃO POR EMPRESAS'!$A$6:$A$5000,0),MOD(ROW()-2,6)+1),"")),"")</f>
        <v/>
      </c>
      <c r="I304" s="159">
        <f>IF(OR(NOT(ISNUMBER(G304)),NOT(ISNUMBER(H304))),"",H304-G304)</f>
        <v/>
      </c>
      <c r="J304" s="319">
        <f>IF(OR(NOT(ISNUMBER(G304)),NOT(ISNUMBER(H304)),G304=0),"",I304/G304)</f>
        <v/>
      </c>
      <c r="K304" s="319">
        <f>IF(OR(NOT(ISNUMBER(G304)),NOT(ISNUMBER(H304)),G304=0),"",H304/G304)</f>
        <v/>
      </c>
      <c r="L304">
        <f>IF(NOT(ISNUMBER(G304)),"SEM META",IF(G304=0,"SEM META",IF(NOT(ISNUMBER(H304)),"SEM APONTAMENTO",IF(H304&gt;=G304,"VERDE",IF(H304&gt;=G304*0.9,"AMARELO","VERMELHO")))))</f>
        <v/>
      </c>
      <c r="M304" s="162" t="n"/>
      <c r="N304" s="162" t="n"/>
      <c r="O304" s="162" t="n"/>
      <c r="P304" s="162" t="n"/>
      <c r="Q304" s="320" t="n"/>
      <c r="R304" s="162" t="inlineStr">
        <is>
          <t>CONTROLE PRODUÇÃO POR EMPRESAS!D56</t>
        </is>
      </c>
    </row>
    <row r="305" ht="28.5" customHeight="1">
      <c r="A305" s="317" t="n">
        <v>46273</v>
      </c>
      <c r="B305" t="inlineStr">
        <is>
          <t>GERAL</t>
        </is>
      </c>
      <c r="C305" t="inlineStr">
        <is>
          <t>CMM</t>
        </is>
      </c>
      <c r="D305" t="inlineStr">
        <is>
          <t>PREMONTAGEM</t>
        </is>
      </c>
      <c r="F305" s="159">
        <f>IFERROR(INDEX('BASE METAS DIÁRIAS'!$N$2:$S$358,MATCH($A305,'BASE METAS DIÁRIAS'!$A$2:$A$358,0),MOD(ROW()-2,6)+1),"")</f>
        <v/>
      </c>
      <c r="G305" s="159">
        <f>IFERROR(IF(WEEKDAY($A305,2)&lt;=INDEX('BASE METAS DIÁRIAS'!$H$2:$M$358,MATCH($A305,'BASE METAS DIÁRIAS'!$A$2:$A$358,0),MOD(ROW()-2,6)+1),INDEX('BASE METAS DIÁRIAS'!$B$2:$G$358,MATCH($A305,'BASE METAS DIÁRIAS'!$A$2:$A$358,0),MOD(ROW()-2,6)+1),""),"")</f>
        <v/>
      </c>
      <c r="H305" s="159">
        <f>IFERROR(IF(INDEX('CONTROLE PRODUÇÃO POR EMPRESAS'!$B$6:$G$5000,MATCH($A305,'CONTROLE PRODUÇÃO POR EMPRESAS'!$A$6:$A$5000,0),MOD(ROW()-2,6)+1)="","",IFERROR(1*INDEX('CONTROLE PRODUÇÃO POR EMPRESAS'!$B$6:$G$5000,MATCH($A305,'CONTROLE PRODUÇÃO POR EMPRESAS'!$A$6:$A$5000,0),MOD(ROW()-2,6)+1),"")),"")</f>
        <v/>
      </c>
      <c r="I305" s="159">
        <f>IF(OR(NOT(ISNUMBER(G305)),NOT(ISNUMBER(H305))),"",H305-G305)</f>
        <v/>
      </c>
      <c r="J305" s="319">
        <f>IF(OR(NOT(ISNUMBER(G305)),NOT(ISNUMBER(H305)),G305=0),"",I305/G305)</f>
        <v/>
      </c>
      <c r="K305" s="319">
        <f>IF(OR(NOT(ISNUMBER(G305)),NOT(ISNUMBER(H305)),G305=0),"",H305/G305)</f>
        <v/>
      </c>
      <c r="L305">
        <f>IF(NOT(ISNUMBER(G305)),"SEM META",IF(G305=0,"SEM META",IF(NOT(ISNUMBER(H305)),"SEM APONTAMENTO",IF(H305&gt;=G305,"VERDE",IF(H305&gt;=G305*0.9,"AMARELO","VERMELHO")))))</f>
        <v/>
      </c>
      <c r="M305" s="162" t="n"/>
      <c r="N305" s="162" t="n"/>
      <c r="O305" s="162" t="n"/>
      <c r="P305" s="162" t="n"/>
      <c r="Q305" s="320" t="n"/>
      <c r="R305" s="162" t="inlineStr">
        <is>
          <t>CONTROLE PRODUÇÃO POR EMPRESAS!E56</t>
        </is>
      </c>
    </row>
    <row r="306" ht="28.5" customHeight="1">
      <c r="A306" s="317" t="n">
        <v>46273</v>
      </c>
      <c r="B306" t="inlineStr">
        <is>
          <t>GERAL</t>
        </is>
      </c>
      <c r="C306" t="inlineStr">
        <is>
          <t>CMM</t>
        </is>
      </c>
      <c r="D306" t="inlineStr">
        <is>
          <t>IÇAMENTO JOIST</t>
        </is>
      </c>
      <c r="F306" s="159">
        <f>IFERROR(INDEX('BASE METAS DIÁRIAS'!$N$2:$S$358,MATCH($A306,'BASE METAS DIÁRIAS'!$A$2:$A$358,0),MOD(ROW()-2,6)+1),"")</f>
        <v/>
      </c>
      <c r="G306" s="159">
        <f>IFERROR(IF(WEEKDAY($A306,2)&lt;=INDEX('BASE METAS DIÁRIAS'!$H$2:$M$358,MATCH($A306,'BASE METAS DIÁRIAS'!$A$2:$A$358,0),MOD(ROW()-2,6)+1),INDEX('BASE METAS DIÁRIAS'!$B$2:$G$358,MATCH($A306,'BASE METAS DIÁRIAS'!$A$2:$A$358,0),MOD(ROW()-2,6)+1),""),"")</f>
        <v/>
      </c>
      <c r="H306" s="159">
        <f>IFERROR(IF(INDEX('CONTROLE PRODUÇÃO POR EMPRESAS'!$B$6:$G$5000,MATCH($A306,'CONTROLE PRODUÇÃO POR EMPRESAS'!$A$6:$A$5000,0),MOD(ROW()-2,6)+1)="","",IFERROR(1*INDEX('CONTROLE PRODUÇÃO POR EMPRESAS'!$B$6:$G$5000,MATCH($A306,'CONTROLE PRODUÇÃO POR EMPRESAS'!$A$6:$A$5000,0),MOD(ROW()-2,6)+1),"")),"")</f>
        <v/>
      </c>
      <c r="I306" s="159">
        <f>IF(OR(NOT(ISNUMBER(G306)),NOT(ISNUMBER(H306))),"",H306-G306)</f>
        <v/>
      </c>
      <c r="J306" s="319">
        <f>IF(OR(NOT(ISNUMBER(G306)),NOT(ISNUMBER(H306)),G306=0),"",I306/G306)</f>
        <v/>
      </c>
      <c r="K306" s="319">
        <f>IF(OR(NOT(ISNUMBER(G306)),NOT(ISNUMBER(H306)),G306=0),"",H306/G306)</f>
        <v/>
      </c>
      <c r="L306">
        <f>IF(NOT(ISNUMBER(G306)),"SEM META",IF(G306=0,"SEM META",IF(NOT(ISNUMBER(H306)),"SEM APONTAMENTO",IF(H306&gt;=G306,"VERDE",IF(H306&gt;=G306*0.9,"AMARELO","VERMELHO")))))</f>
        <v/>
      </c>
      <c r="M306" s="162" t="n"/>
      <c r="N306" s="162" t="n"/>
      <c r="O306" s="162" t="n"/>
      <c r="P306" s="162" t="n"/>
      <c r="Q306" s="320" t="n"/>
      <c r="R306" s="162" t="inlineStr">
        <is>
          <t>CONTROLE PRODUÇÃO POR EMPRESAS!F56</t>
        </is>
      </c>
    </row>
    <row r="307" ht="28.5" customHeight="1">
      <c r="A307" s="317" t="n">
        <v>46273</v>
      </c>
      <c r="B307" t="inlineStr">
        <is>
          <t>GERAL</t>
        </is>
      </c>
      <c r="C307" t="inlineStr">
        <is>
          <t>CMM</t>
        </is>
      </c>
      <c r="D307" t="inlineStr">
        <is>
          <t>VIGAS</t>
        </is>
      </c>
      <c r="F307" s="159">
        <f>IFERROR(INDEX('BASE METAS DIÁRIAS'!$N$2:$S$358,MATCH($A307,'BASE METAS DIÁRIAS'!$A$2:$A$358,0),MOD(ROW()-2,6)+1),"")</f>
        <v/>
      </c>
      <c r="G307" s="159">
        <f>IFERROR(IF(WEEKDAY($A307,2)&lt;=INDEX('BASE METAS DIÁRIAS'!$H$2:$M$358,MATCH($A307,'BASE METAS DIÁRIAS'!$A$2:$A$358,0),MOD(ROW()-2,6)+1),INDEX('BASE METAS DIÁRIAS'!$B$2:$G$358,MATCH($A307,'BASE METAS DIÁRIAS'!$A$2:$A$358,0),MOD(ROW()-2,6)+1),""),"")</f>
        <v/>
      </c>
      <c r="H307" s="159">
        <f>IFERROR(IF(INDEX('CONTROLE PRODUÇÃO POR EMPRESAS'!$B$6:$G$5000,MATCH($A307,'CONTROLE PRODUÇÃO POR EMPRESAS'!$A$6:$A$5000,0),MOD(ROW()-2,6)+1)="","",IFERROR(1*INDEX('CONTROLE PRODUÇÃO POR EMPRESAS'!$B$6:$G$5000,MATCH($A307,'CONTROLE PRODUÇÃO POR EMPRESAS'!$A$6:$A$5000,0),MOD(ROW()-2,6)+1),"")),"")</f>
        <v/>
      </c>
      <c r="I307" s="159">
        <f>IF(OR(NOT(ISNUMBER(G307)),NOT(ISNUMBER(H307))),"",H307-G307)</f>
        <v/>
      </c>
      <c r="J307" s="319">
        <f>IF(OR(NOT(ISNUMBER(G307)),NOT(ISNUMBER(H307)),G307=0),"",I307/G307)</f>
        <v/>
      </c>
      <c r="K307" s="319">
        <f>IF(OR(NOT(ISNUMBER(G307)),NOT(ISNUMBER(H307)),G307=0),"",H307/G307)</f>
        <v/>
      </c>
      <c r="L307">
        <f>IF(NOT(ISNUMBER(G307)),"SEM META",IF(G307=0,"SEM META",IF(NOT(ISNUMBER(H307)),"SEM APONTAMENTO",IF(H307&gt;=G307,"VERDE",IF(H307&gt;=G307*0.9,"AMARELO","VERMELHO")))))</f>
        <v/>
      </c>
      <c r="M307" s="162" t="n"/>
      <c r="N307" s="162" t="n"/>
      <c r="O307" s="162" t="n"/>
      <c r="P307" s="162" t="n"/>
      <c r="Q307" s="320" t="n"/>
      <c r="R307" s="162" t="inlineStr">
        <is>
          <t>CONTROLE PRODUÇÃO POR EMPRESAS!G56</t>
        </is>
      </c>
    </row>
    <row r="308" ht="28.5" customHeight="1">
      <c r="A308" s="317" t="n">
        <v>46274</v>
      </c>
      <c r="B308" t="inlineStr">
        <is>
          <t>GERAL</t>
        </is>
      </c>
      <c r="C308" t="inlineStr">
        <is>
          <t>EJ</t>
        </is>
      </c>
      <c r="D308" t="inlineStr">
        <is>
          <t>PREMONTAGEM</t>
        </is>
      </c>
      <c r="F308" s="159">
        <f>IFERROR(INDEX('BASE METAS DIÁRIAS'!$N$2:$S$358,MATCH($A308,'BASE METAS DIÁRIAS'!$A$2:$A$358,0),MOD(ROW()-2,6)+1),"")</f>
        <v/>
      </c>
      <c r="G308" s="159">
        <f>IFERROR(IF(WEEKDAY($A308,2)&lt;=INDEX('BASE METAS DIÁRIAS'!$H$2:$M$358,MATCH($A308,'BASE METAS DIÁRIAS'!$A$2:$A$358,0),MOD(ROW()-2,6)+1),INDEX('BASE METAS DIÁRIAS'!$B$2:$G$358,MATCH($A308,'BASE METAS DIÁRIAS'!$A$2:$A$358,0),MOD(ROW()-2,6)+1),""),"")</f>
        <v/>
      </c>
      <c r="H308" s="159">
        <f>IFERROR(IF(INDEX('CONTROLE PRODUÇÃO POR EMPRESAS'!$B$6:$G$5000,MATCH($A308,'CONTROLE PRODUÇÃO POR EMPRESAS'!$A$6:$A$5000,0),MOD(ROW()-2,6)+1)="","",IFERROR(1*INDEX('CONTROLE PRODUÇÃO POR EMPRESAS'!$B$6:$G$5000,MATCH($A308,'CONTROLE PRODUÇÃO POR EMPRESAS'!$A$6:$A$5000,0),MOD(ROW()-2,6)+1),"")),"")</f>
        <v/>
      </c>
      <c r="I308" s="159">
        <f>IF(OR(NOT(ISNUMBER(G308)),NOT(ISNUMBER(H308))),"",H308-G308)</f>
        <v/>
      </c>
      <c r="J308" s="319">
        <f>IF(OR(NOT(ISNUMBER(G308)),NOT(ISNUMBER(H308)),G308=0),"",I308/G308)</f>
        <v/>
      </c>
      <c r="K308" s="319">
        <f>IF(OR(NOT(ISNUMBER(G308)),NOT(ISNUMBER(H308)),G308=0),"",H308/G308)</f>
        <v/>
      </c>
      <c r="L308">
        <f>IF(NOT(ISNUMBER(G308)),"SEM META",IF(G308=0,"SEM META",IF(NOT(ISNUMBER(H308)),"SEM APONTAMENTO",IF(H308&gt;=G308,"VERDE",IF(H308&gt;=G308*0.9,"AMARELO","VERMELHO")))))</f>
        <v/>
      </c>
      <c r="M308" s="162" t="n"/>
      <c r="N308" s="162" t="n"/>
      <c r="O308" s="162" t="n"/>
      <c r="P308" s="162" t="n"/>
      <c r="Q308" s="320" t="n"/>
      <c r="R308" s="162" t="inlineStr">
        <is>
          <t>CONTROLE PRODUÇÃO POR EMPRESAS!B57</t>
        </is>
      </c>
    </row>
    <row r="309" ht="28.5" customHeight="1">
      <c r="A309" s="317" t="n">
        <v>46274</v>
      </c>
      <c r="B309" t="inlineStr">
        <is>
          <t>GERAL</t>
        </is>
      </c>
      <c r="C309" t="inlineStr">
        <is>
          <t>EJ</t>
        </is>
      </c>
      <c r="D309" t="inlineStr">
        <is>
          <t>IÇAMENTO JOIST</t>
        </is>
      </c>
      <c r="F309" s="159">
        <f>IFERROR(INDEX('BASE METAS DIÁRIAS'!$N$2:$S$358,MATCH($A309,'BASE METAS DIÁRIAS'!$A$2:$A$358,0),MOD(ROW()-2,6)+1),"")</f>
        <v/>
      </c>
      <c r="G309" s="159">
        <f>IFERROR(IF(WEEKDAY($A309,2)&lt;=INDEX('BASE METAS DIÁRIAS'!$H$2:$M$358,MATCH($A309,'BASE METAS DIÁRIAS'!$A$2:$A$358,0),MOD(ROW()-2,6)+1),INDEX('BASE METAS DIÁRIAS'!$B$2:$G$358,MATCH($A309,'BASE METAS DIÁRIAS'!$A$2:$A$358,0),MOD(ROW()-2,6)+1),""),"")</f>
        <v/>
      </c>
      <c r="H309" s="159">
        <f>IFERROR(IF(INDEX('CONTROLE PRODUÇÃO POR EMPRESAS'!$B$6:$G$5000,MATCH($A309,'CONTROLE PRODUÇÃO POR EMPRESAS'!$A$6:$A$5000,0),MOD(ROW()-2,6)+1)="","",IFERROR(1*INDEX('CONTROLE PRODUÇÃO POR EMPRESAS'!$B$6:$G$5000,MATCH($A309,'CONTROLE PRODUÇÃO POR EMPRESAS'!$A$6:$A$5000,0),MOD(ROW()-2,6)+1),"")),"")</f>
        <v/>
      </c>
      <c r="I309" s="159">
        <f>IF(OR(NOT(ISNUMBER(G309)),NOT(ISNUMBER(H309))),"",H309-G309)</f>
        <v/>
      </c>
      <c r="J309" s="319">
        <f>IF(OR(NOT(ISNUMBER(G309)),NOT(ISNUMBER(H309)),G309=0),"",I309/G309)</f>
        <v/>
      </c>
      <c r="K309" s="319">
        <f>IF(OR(NOT(ISNUMBER(G309)),NOT(ISNUMBER(H309)),G309=0),"",H309/G309)</f>
        <v/>
      </c>
      <c r="L309">
        <f>IF(NOT(ISNUMBER(G309)),"SEM META",IF(G309=0,"SEM META",IF(NOT(ISNUMBER(H309)),"SEM APONTAMENTO",IF(H309&gt;=G309,"VERDE",IF(H309&gt;=G309*0.9,"AMARELO","VERMELHO")))))</f>
        <v/>
      </c>
      <c r="M309" s="162" t="n"/>
      <c r="N309" s="162" t="n"/>
      <c r="O309" s="162" t="n"/>
      <c r="P309" s="162" t="n"/>
      <c r="Q309" s="320" t="n"/>
      <c r="R309" s="162" t="inlineStr">
        <is>
          <t>CONTROLE PRODUÇÃO POR EMPRESAS!C57</t>
        </is>
      </c>
    </row>
    <row r="310" ht="28.5" customHeight="1">
      <c r="A310" s="317" t="n">
        <v>46274</v>
      </c>
      <c r="B310" t="inlineStr">
        <is>
          <t>GERAL</t>
        </is>
      </c>
      <c r="C310" t="inlineStr">
        <is>
          <t>EJ</t>
        </is>
      </c>
      <c r="D310" t="inlineStr">
        <is>
          <t>VIGAS</t>
        </is>
      </c>
      <c r="F310" s="159">
        <f>IFERROR(INDEX('BASE METAS DIÁRIAS'!$N$2:$S$358,MATCH($A310,'BASE METAS DIÁRIAS'!$A$2:$A$358,0),MOD(ROW()-2,6)+1),"")</f>
        <v/>
      </c>
      <c r="G310" s="159">
        <f>IFERROR(IF(WEEKDAY($A310,2)&lt;=INDEX('BASE METAS DIÁRIAS'!$H$2:$M$358,MATCH($A310,'BASE METAS DIÁRIAS'!$A$2:$A$358,0),MOD(ROW()-2,6)+1),INDEX('BASE METAS DIÁRIAS'!$B$2:$G$358,MATCH($A310,'BASE METAS DIÁRIAS'!$A$2:$A$358,0),MOD(ROW()-2,6)+1),""),"")</f>
        <v/>
      </c>
      <c r="H310" s="159">
        <f>IFERROR(IF(INDEX('CONTROLE PRODUÇÃO POR EMPRESAS'!$B$6:$G$5000,MATCH($A310,'CONTROLE PRODUÇÃO POR EMPRESAS'!$A$6:$A$5000,0),MOD(ROW()-2,6)+1)="","",IFERROR(1*INDEX('CONTROLE PRODUÇÃO POR EMPRESAS'!$B$6:$G$5000,MATCH($A310,'CONTROLE PRODUÇÃO POR EMPRESAS'!$A$6:$A$5000,0),MOD(ROW()-2,6)+1),"")),"")</f>
        <v/>
      </c>
      <c r="I310" s="159">
        <f>IF(OR(NOT(ISNUMBER(G310)),NOT(ISNUMBER(H310))),"",H310-G310)</f>
        <v/>
      </c>
      <c r="J310" s="319">
        <f>IF(OR(NOT(ISNUMBER(G310)),NOT(ISNUMBER(H310)),G310=0),"",I310/G310)</f>
        <v/>
      </c>
      <c r="K310" s="319">
        <f>IF(OR(NOT(ISNUMBER(G310)),NOT(ISNUMBER(H310)),G310=0),"",H310/G310)</f>
        <v/>
      </c>
      <c r="L310">
        <f>IF(NOT(ISNUMBER(G310)),"SEM META",IF(G310=0,"SEM META",IF(NOT(ISNUMBER(H310)),"SEM APONTAMENTO",IF(H310&gt;=G310,"VERDE",IF(H310&gt;=G310*0.9,"AMARELO","VERMELHO")))))</f>
        <v/>
      </c>
      <c r="M310" s="162" t="n"/>
      <c r="N310" s="162" t="n"/>
      <c r="O310" s="162" t="n"/>
      <c r="P310" s="162" t="n"/>
      <c r="Q310" s="320" t="n"/>
      <c r="R310" s="162" t="inlineStr">
        <is>
          <t>CONTROLE PRODUÇÃO POR EMPRESAS!D57</t>
        </is>
      </c>
    </row>
    <row r="311" ht="28.5" customHeight="1">
      <c r="A311" s="317" t="n">
        <v>46274</v>
      </c>
      <c r="B311" t="inlineStr">
        <is>
          <t>GERAL</t>
        </is>
      </c>
      <c r="C311" t="inlineStr">
        <is>
          <t>CMM</t>
        </is>
      </c>
      <c r="D311" t="inlineStr">
        <is>
          <t>PREMONTAGEM</t>
        </is>
      </c>
      <c r="F311" s="159">
        <f>IFERROR(INDEX('BASE METAS DIÁRIAS'!$N$2:$S$358,MATCH($A311,'BASE METAS DIÁRIAS'!$A$2:$A$358,0),MOD(ROW()-2,6)+1),"")</f>
        <v/>
      </c>
      <c r="G311" s="159">
        <f>IFERROR(IF(WEEKDAY($A311,2)&lt;=INDEX('BASE METAS DIÁRIAS'!$H$2:$M$358,MATCH($A311,'BASE METAS DIÁRIAS'!$A$2:$A$358,0),MOD(ROW()-2,6)+1),INDEX('BASE METAS DIÁRIAS'!$B$2:$G$358,MATCH($A311,'BASE METAS DIÁRIAS'!$A$2:$A$358,0),MOD(ROW()-2,6)+1),""),"")</f>
        <v/>
      </c>
      <c r="H311" s="159">
        <f>IFERROR(IF(INDEX('CONTROLE PRODUÇÃO POR EMPRESAS'!$B$6:$G$5000,MATCH($A311,'CONTROLE PRODUÇÃO POR EMPRESAS'!$A$6:$A$5000,0),MOD(ROW()-2,6)+1)="","",IFERROR(1*INDEX('CONTROLE PRODUÇÃO POR EMPRESAS'!$B$6:$G$5000,MATCH($A311,'CONTROLE PRODUÇÃO POR EMPRESAS'!$A$6:$A$5000,0),MOD(ROW()-2,6)+1),"")),"")</f>
        <v/>
      </c>
      <c r="I311" s="159">
        <f>IF(OR(NOT(ISNUMBER(G311)),NOT(ISNUMBER(H311))),"",H311-G311)</f>
        <v/>
      </c>
      <c r="J311" s="319">
        <f>IF(OR(NOT(ISNUMBER(G311)),NOT(ISNUMBER(H311)),G311=0),"",I311/G311)</f>
        <v/>
      </c>
      <c r="K311" s="319">
        <f>IF(OR(NOT(ISNUMBER(G311)),NOT(ISNUMBER(H311)),G311=0),"",H311/G311)</f>
        <v/>
      </c>
      <c r="L311">
        <f>IF(NOT(ISNUMBER(G311)),"SEM META",IF(G311=0,"SEM META",IF(NOT(ISNUMBER(H311)),"SEM APONTAMENTO",IF(H311&gt;=G311,"VERDE",IF(H311&gt;=G311*0.9,"AMARELO","VERMELHO")))))</f>
        <v/>
      </c>
      <c r="M311" s="162" t="n"/>
      <c r="N311" s="162" t="n"/>
      <c r="O311" s="162" t="n"/>
      <c r="P311" s="162" t="n"/>
      <c r="Q311" s="320" t="n"/>
      <c r="R311" s="162" t="inlineStr">
        <is>
          <t>CONTROLE PRODUÇÃO POR EMPRESAS!E57</t>
        </is>
      </c>
    </row>
    <row r="312" ht="28.5" customHeight="1">
      <c r="A312" s="317" t="n">
        <v>46274</v>
      </c>
      <c r="B312" t="inlineStr">
        <is>
          <t>GERAL</t>
        </is>
      </c>
      <c r="C312" t="inlineStr">
        <is>
          <t>CMM</t>
        </is>
      </c>
      <c r="D312" t="inlineStr">
        <is>
          <t>IÇAMENTO JOIST</t>
        </is>
      </c>
      <c r="F312" s="159">
        <f>IFERROR(INDEX('BASE METAS DIÁRIAS'!$N$2:$S$358,MATCH($A312,'BASE METAS DIÁRIAS'!$A$2:$A$358,0),MOD(ROW()-2,6)+1),"")</f>
        <v/>
      </c>
      <c r="G312" s="159">
        <f>IFERROR(IF(WEEKDAY($A312,2)&lt;=INDEX('BASE METAS DIÁRIAS'!$H$2:$M$358,MATCH($A312,'BASE METAS DIÁRIAS'!$A$2:$A$358,0),MOD(ROW()-2,6)+1),INDEX('BASE METAS DIÁRIAS'!$B$2:$G$358,MATCH($A312,'BASE METAS DIÁRIAS'!$A$2:$A$358,0),MOD(ROW()-2,6)+1),""),"")</f>
        <v/>
      </c>
      <c r="H312" s="159">
        <f>IFERROR(IF(INDEX('CONTROLE PRODUÇÃO POR EMPRESAS'!$B$6:$G$5000,MATCH($A312,'CONTROLE PRODUÇÃO POR EMPRESAS'!$A$6:$A$5000,0),MOD(ROW()-2,6)+1)="","",IFERROR(1*INDEX('CONTROLE PRODUÇÃO POR EMPRESAS'!$B$6:$G$5000,MATCH($A312,'CONTROLE PRODUÇÃO POR EMPRESAS'!$A$6:$A$5000,0),MOD(ROW()-2,6)+1),"")),"")</f>
        <v/>
      </c>
      <c r="I312" s="159">
        <f>IF(OR(NOT(ISNUMBER(G312)),NOT(ISNUMBER(H312))),"",H312-G312)</f>
        <v/>
      </c>
      <c r="J312" s="319">
        <f>IF(OR(NOT(ISNUMBER(G312)),NOT(ISNUMBER(H312)),G312=0),"",I312/G312)</f>
        <v/>
      </c>
      <c r="K312" s="319">
        <f>IF(OR(NOT(ISNUMBER(G312)),NOT(ISNUMBER(H312)),G312=0),"",H312/G312)</f>
        <v/>
      </c>
      <c r="L312">
        <f>IF(NOT(ISNUMBER(G312)),"SEM META",IF(G312=0,"SEM META",IF(NOT(ISNUMBER(H312)),"SEM APONTAMENTO",IF(H312&gt;=G312,"VERDE",IF(H312&gt;=G312*0.9,"AMARELO","VERMELHO")))))</f>
        <v/>
      </c>
      <c r="M312" s="162" t="n"/>
      <c r="N312" s="162" t="n"/>
      <c r="O312" s="162" t="n"/>
      <c r="P312" s="162" t="n"/>
      <c r="Q312" s="320" t="n"/>
      <c r="R312" s="162" t="inlineStr">
        <is>
          <t>CONTROLE PRODUÇÃO POR EMPRESAS!F57</t>
        </is>
      </c>
    </row>
    <row r="313" ht="28.5" customHeight="1">
      <c r="A313" s="317" t="n">
        <v>46274</v>
      </c>
      <c r="B313" t="inlineStr">
        <is>
          <t>GERAL</t>
        </is>
      </c>
      <c r="C313" t="inlineStr">
        <is>
          <t>CMM</t>
        </is>
      </c>
      <c r="D313" t="inlineStr">
        <is>
          <t>VIGAS</t>
        </is>
      </c>
      <c r="F313" s="159">
        <f>IFERROR(INDEX('BASE METAS DIÁRIAS'!$N$2:$S$358,MATCH($A313,'BASE METAS DIÁRIAS'!$A$2:$A$358,0),MOD(ROW()-2,6)+1),"")</f>
        <v/>
      </c>
      <c r="G313" s="159">
        <f>IFERROR(IF(WEEKDAY($A313,2)&lt;=INDEX('BASE METAS DIÁRIAS'!$H$2:$M$358,MATCH($A313,'BASE METAS DIÁRIAS'!$A$2:$A$358,0),MOD(ROW()-2,6)+1),INDEX('BASE METAS DIÁRIAS'!$B$2:$G$358,MATCH($A313,'BASE METAS DIÁRIAS'!$A$2:$A$358,0),MOD(ROW()-2,6)+1),""),"")</f>
        <v/>
      </c>
      <c r="H313" s="159">
        <f>IFERROR(IF(INDEX('CONTROLE PRODUÇÃO POR EMPRESAS'!$B$6:$G$5000,MATCH($A313,'CONTROLE PRODUÇÃO POR EMPRESAS'!$A$6:$A$5000,0),MOD(ROW()-2,6)+1)="","",IFERROR(1*INDEX('CONTROLE PRODUÇÃO POR EMPRESAS'!$B$6:$G$5000,MATCH($A313,'CONTROLE PRODUÇÃO POR EMPRESAS'!$A$6:$A$5000,0),MOD(ROW()-2,6)+1),"")),"")</f>
        <v/>
      </c>
      <c r="I313" s="159">
        <f>IF(OR(NOT(ISNUMBER(G313)),NOT(ISNUMBER(H313))),"",H313-G313)</f>
        <v/>
      </c>
      <c r="J313" s="319">
        <f>IF(OR(NOT(ISNUMBER(G313)),NOT(ISNUMBER(H313)),G313=0),"",I313/G313)</f>
        <v/>
      </c>
      <c r="K313" s="319">
        <f>IF(OR(NOT(ISNUMBER(G313)),NOT(ISNUMBER(H313)),G313=0),"",H313/G313)</f>
        <v/>
      </c>
      <c r="L313">
        <f>IF(NOT(ISNUMBER(G313)),"SEM META",IF(G313=0,"SEM META",IF(NOT(ISNUMBER(H313)),"SEM APONTAMENTO",IF(H313&gt;=G313,"VERDE",IF(H313&gt;=G313*0.9,"AMARELO","VERMELHO")))))</f>
        <v/>
      </c>
      <c r="M313" s="162" t="n"/>
      <c r="N313" s="162" t="n"/>
      <c r="O313" s="162" t="n"/>
      <c r="P313" s="162" t="n"/>
      <c r="Q313" s="320" t="n"/>
      <c r="R313" s="162" t="inlineStr">
        <is>
          <t>CONTROLE PRODUÇÃO POR EMPRESAS!G57</t>
        </is>
      </c>
    </row>
    <row r="314" ht="28.5" customHeight="1">
      <c r="A314" s="317" t="n">
        <v>46275</v>
      </c>
      <c r="B314" t="inlineStr">
        <is>
          <t>GERAL</t>
        </is>
      </c>
      <c r="C314" t="inlineStr">
        <is>
          <t>EJ</t>
        </is>
      </c>
      <c r="D314" t="inlineStr">
        <is>
          <t>PREMONTAGEM</t>
        </is>
      </c>
      <c r="F314" s="159">
        <f>IFERROR(INDEX('BASE METAS DIÁRIAS'!$N$2:$S$358,MATCH($A314,'BASE METAS DIÁRIAS'!$A$2:$A$358,0),MOD(ROW()-2,6)+1),"")</f>
        <v/>
      </c>
      <c r="G314" s="159">
        <f>IFERROR(IF(WEEKDAY($A314,2)&lt;=INDEX('BASE METAS DIÁRIAS'!$H$2:$M$358,MATCH($A314,'BASE METAS DIÁRIAS'!$A$2:$A$358,0),MOD(ROW()-2,6)+1),INDEX('BASE METAS DIÁRIAS'!$B$2:$G$358,MATCH($A314,'BASE METAS DIÁRIAS'!$A$2:$A$358,0),MOD(ROW()-2,6)+1),""),"")</f>
        <v/>
      </c>
      <c r="H314" s="159">
        <f>IFERROR(IF(INDEX('CONTROLE PRODUÇÃO POR EMPRESAS'!$B$6:$G$5000,MATCH($A314,'CONTROLE PRODUÇÃO POR EMPRESAS'!$A$6:$A$5000,0),MOD(ROW()-2,6)+1)="","",IFERROR(1*INDEX('CONTROLE PRODUÇÃO POR EMPRESAS'!$B$6:$G$5000,MATCH($A314,'CONTROLE PRODUÇÃO POR EMPRESAS'!$A$6:$A$5000,0),MOD(ROW()-2,6)+1),"")),"")</f>
        <v/>
      </c>
      <c r="I314" s="159">
        <f>IF(OR(NOT(ISNUMBER(G314)),NOT(ISNUMBER(H314))),"",H314-G314)</f>
        <v/>
      </c>
      <c r="J314" s="319">
        <f>IF(OR(NOT(ISNUMBER(G314)),NOT(ISNUMBER(H314)),G314=0),"",I314/G314)</f>
        <v/>
      </c>
      <c r="K314" s="319">
        <f>IF(OR(NOT(ISNUMBER(G314)),NOT(ISNUMBER(H314)),G314=0),"",H314/G314)</f>
        <v/>
      </c>
      <c r="L314">
        <f>IF(NOT(ISNUMBER(G314)),"SEM META",IF(G314=0,"SEM META",IF(NOT(ISNUMBER(H314)),"SEM APONTAMENTO",IF(H314&gt;=G314,"VERDE",IF(H314&gt;=G314*0.9,"AMARELO","VERMELHO")))))</f>
        <v/>
      </c>
      <c r="M314" s="162" t="n"/>
      <c r="N314" s="162" t="n"/>
      <c r="O314" s="162" t="n"/>
      <c r="P314" s="162" t="n"/>
      <c r="Q314" s="320" t="n"/>
      <c r="R314" s="162" t="inlineStr">
        <is>
          <t>CONTROLE PRODUÇÃO POR EMPRESAS!B58</t>
        </is>
      </c>
    </row>
    <row r="315" ht="28.5" customHeight="1">
      <c r="A315" s="317" t="n">
        <v>46275</v>
      </c>
      <c r="B315" t="inlineStr">
        <is>
          <t>GERAL</t>
        </is>
      </c>
      <c r="C315" t="inlineStr">
        <is>
          <t>EJ</t>
        </is>
      </c>
      <c r="D315" t="inlineStr">
        <is>
          <t>IÇAMENTO JOIST</t>
        </is>
      </c>
      <c r="F315" s="159">
        <f>IFERROR(INDEX('BASE METAS DIÁRIAS'!$N$2:$S$358,MATCH($A315,'BASE METAS DIÁRIAS'!$A$2:$A$358,0),MOD(ROW()-2,6)+1),"")</f>
        <v/>
      </c>
      <c r="G315" s="159">
        <f>IFERROR(IF(WEEKDAY($A315,2)&lt;=INDEX('BASE METAS DIÁRIAS'!$H$2:$M$358,MATCH($A315,'BASE METAS DIÁRIAS'!$A$2:$A$358,0),MOD(ROW()-2,6)+1),INDEX('BASE METAS DIÁRIAS'!$B$2:$G$358,MATCH($A315,'BASE METAS DIÁRIAS'!$A$2:$A$358,0),MOD(ROW()-2,6)+1),""),"")</f>
        <v/>
      </c>
      <c r="H315" s="159">
        <f>IFERROR(IF(INDEX('CONTROLE PRODUÇÃO POR EMPRESAS'!$B$6:$G$5000,MATCH($A315,'CONTROLE PRODUÇÃO POR EMPRESAS'!$A$6:$A$5000,0),MOD(ROW()-2,6)+1)="","",IFERROR(1*INDEX('CONTROLE PRODUÇÃO POR EMPRESAS'!$B$6:$G$5000,MATCH($A315,'CONTROLE PRODUÇÃO POR EMPRESAS'!$A$6:$A$5000,0),MOD(ROW()-2,6)+1),"")),"")</f>
        <v/>
      </c>
      <c r="I315" s="159">
        <f>IF(OR(NOT(ISNUMBER(G315)),NOT(ISNUMBER(H315))),"",H315-G315)</f>
        <v/>
      </c>
      <c r="J315" s="319">
        <f>IF(OR(NOT(ISNUMBER(G315)),NOT(ISNUMBER(H315)),G315=0),"",I315/G315)</f>
        <v/>
      </c>
      <c r="K315" s="319">
        <f>IF(OR(NOT(ISNUMBER(G315)),NOT(ISNUMBER(H315)),G315=0),"",H315/G315)</f>
        <v/>
      </c>
      <c r="L315">
        <f>IF(NOT(ISNUMBER(G315)),"SEM META",IF(G315=0,"SEM META",IF(NOT(ISNUMBER(H315)),"SEM APONTAMENTO",IF(H315&gt;=G315,"VERDE",IF(H315&gt;=G315*0.9,"AMARELO","VERMELHO")))))</f>
        <v/>
      </c>
      <c r="M315" s="162" t="n"/>
      <c r="N315" s="162" t="n"/>
      <c r="O315" s="162" t="n"/>
      <c r="P315" s="162" t="n"/>
      <c r="Q315" s="320" t="n"/>
      <c r="R315" s="162" t="inlineStr">
        <is>
          <t>CONTROLE PRODUÇÃO POR EMPRESAS!C58</t>
        </is>
      </c>
    </row>
    <row r="316" ht="28.5" customHeight="1">
      <c r="A316" s="317" t="n">
        <v>46275</v>
      </c>
      <c r="B316" t="inlineStr">
        <is>
          <t>GERAL</t>
        </is>
      </c>
      <c r="C316" t="inlineStr">
        <is>
          <t>EJ</t>
        </is>
      </c>
      <c r="D316" t="inlineStr">
        <is>
          <t>VIGAS</t>
        </is>
      </c>
      <c r="F316" s="159">
        <f>IFERROR(INDEX('BASE METAS DIÁRIAS'!$N$2:$S$358,MATCH($A316,'BASE METAS DIÁRIAS'!$A$2:$A$358,0),MOD(ROW()-2,6)+1),"")</f>
        <v/>
      </c>
      <c r="G316" s="159">
        <f>IFERROR(IF(WEEKDAY($A316,2)&lt;=INDEX('BASE METAS DIÁRIAS'!$H$2:$M$358,MATCH($A316,'BASE METAS DIÁRIAS'!$A$2:$A$358,0),MOD(ROW()-2,6)+1),INDEX('BASE METAS DIÁRIAS'!$B$2:$G$358,MATCH($A316,'BASE METAS DIÁRIAS'!$A$2:$A$358,0),MOD(ROW()-2,6)+1),""),"")</f>
        <v/>
      </c>
      <c r="H316" s="159">
        <f>IFERROR(IF(INDEX('CONTROLE PRODUÇÃO POR EMPRESAS'!$B$6:$G$5000,MATCH($A316,'CONTROLE PRODUÇÃO POR EMPRESAS'!$A$6:$A$5000,0),MOD(ROW()-2,6)+1)="","",IFERROR(1*INDEX('CONTROLE PRODUÇÃO POR EMPRESAS'!$B$6:$G$5000,MATCH($A316,'CONTROLE PRODUÇÃO POR EMPRESAS'!$A$6:$A$5000,0),MOD(ROW()-2,6)+1),"")),"")</f>
        <v/>
      </c>
      <c r="I316" s="159">
        <f>IF(OR(NOT(ISNUMBER(G316)),NOT(ISNUMBER(H316))),"",H316-G316)</f>
        <v/>
      </c>
      <c r="J316" s="319">
        <f>IF(OR(NOT(ISNUMBER(G316)),NOT(ISNUMBER(H316)),G316=0),"",I316/G316)</f>
        <v/>
      </c>
      <c r="K316" s="319">
        <f>IF(OR(NOT(ISNUMBER(G316)),NOT(ISNUMBER(H316)),G316=0),"",H316/G316)</f>
        <v/>
      </c>
      <c r="L316">
        <f>IF(NOT(ISNUMBER(G316)),"SEM META",IF(G316=0,"SEM META",IF(NOT(ISNUMBER(H316)),"SEM APONTAMENTO",IF(H316&gt;=G316,"VERDE",IF(H316&gt;=G316*0.9,"AMARELO","VERMELHO")))))</f>
        <v/>
      </c>
      <c r="M316" s="162" t="n"/>
      <c r="N316" s="162" t="n"/>
      <c r="O316" s="162" t="n"/>
      <c r="P316" s="162" t="n"/>
      <c r="Q316" s="320" t="n"/>
      <c r="R316" s="162" t="inlineStr">
        <is>
          <t>CONTROLE PRODUÇÃO POR EMPRESAS!D58</t>
        </is>
      </c>
    </row>
    <row r="317" ht="28.5" customHeight="1">
      <c r="A317" s="317" t="n">
        <v>46275</v>
      </c>
      <c r="B317" t="inlineStr">
        <is>
          <t>GERAL</t>
        </is>
      </c>
      <c r="C317" t="inlineStr">
        <is>
          <t>CMM</t>
        </is>
      </c>
      <c r="D317" t="inlineStr">
        <is>
          <t>PREMONTAGEM</t>
        </is>
      </c>
      <c r="F317" s="159">
        <f>IFERROR(INDEX('BASE METAS DIÁRIAS'!$N$2:$S$358,MATCH($A317,'BASE METAS DIÁRIAS'!$A$2:$A$358,0),MOD(ROW()-2,6)+1),"")</f>
        <v/>
      </c>
      <c r="G317" s="159">
        <f>IFERROR(IF(WEEKDAY($A317,2)&lt;=INDEX('BASE METAS DIÁRIAS'!$H$2:$M$358,MATCH($A317,'BASE METAS DIÁRIAS'!$A$2:$A$358,0),MOD(ROW()-2,6)+1),INDEX('BASE METAS DIÁRIAS'!$B$2:$G$358,MATCH($A317,'BASE METAS DIÁRIAS'!$A$2:$A$358,0),MOD(ROW()-2,6)+1),""),"")</f>
        <v/>
      </c>
      <c r="H317" s="159">
        <f>IFERROR(IF(INDEX('CONTROLE PRODUÇÃO POR EMPRESAS'!$B$6:$G$5000,MATCH($A317,'CONTROLE PRODUÇÃO POR EMPRESAS'!$A$6:$A$5000,0),MOD(ROW()-2,6)+1)="","",IFERROR(1*INDEX('CONTROLE PRODUÇÃO POR EMPRESAS'!$B$6:$G$5000,MATCH($A317,'CONTROLE PRODUÇÃO POR EMPRESAS'!$A$6:$A$5000,0),MOD(ROW()-2,6)+1),"")),"")</f>
        <v/>
      </c>
      <c r="I317" s="159">
        <f>IF(OR(NOT(ISNUMBER(G317)),NOT(ISNUMBER(H317))),"",H317-G317)</f>
        <v/>
      </c>
      <c r="J317" s="319">
        <f>IF(OR(NOT(ISNUMBER(G317)),NOT(ISNUMBER(H317)),G317=0),"",I317/G317)</f>
        <v/>
      </c>
      <c r="K317" s="319">
        <f>IF(OR(NOT(ISNUMBER(G317)),NOT(ISNUMBER(H317)),G317=0),"",H317/G317)</f>
        <v/>
      </c>
      <c r="L317">
        <f>IF(NOT(ISNUMBER(G317)),"SEM META",IF(G317=0,"SEM META",IF(NOT(ISNUMBER(H317)),"SEM APONTAMENTO",IF(H317&gt;=G317,"VERDE",IF(H317&gt;=G317*0.9,"AMARELO","VERMELHO")))))</f>
        <v/>
      </c>
      <c r="M317" s="162" t="n"/>
      <c r="N317" s="162" t="n"/>
      <c r="O317" s="162" t="n"/>
      <c r="P317" s="162" t="n"/>
      <c r="Q317" s="320" t="n"/>
      <c r="R317" s="162" t="inlineStr">
        <is>
          <t>CONTROLE PRODUÇÃO POR EMPRESAS!E58</t>
        </is>
      </c>
    </row>
    <row r="318" ht="28.5" customHeight="1">
      <c r="A318" s="317" t="n">
        <v>46275</v>
      </c>
      <c r="B318" t="inlineStr">
        <is>
          <t>GERAL</t>
        </is>
      </c>
      <c r="C318" t="inlineStr">
        <is>
          <t>CMM</t>
        </is>
      </c>
      <c r="D318" t="inlineStr">
        <is>
          <t>IÇAMENTO JOIST</t>
        </is>
      </c>
      <c r="F318" s="159">
        <f>IFERROR(INDEX('BASE METAS DIÁRIAS'!$N$2:$S$358,MATCH($A318,'BASE METAS DIÁRIAS'!$A$2:$A$358,0),MOD(ROW()-2,6)+1),"")</f>
        <v/>
      </c>
      <c r="G318" s="159">
        <f>IFERROR(IF(WEEKDAY($A318,2)&lt;=INDEX('BASE METAS DIÁRIAS'!$H$2:$M$358,MATCH($A318,'BASE METAS DIÁRIAS'!$A$2:$A$358,0),MOD(ROW()-2,6)+1),INDEX('BASE METAS DIÁRIAS'!$B$2:$G$358,MATCH($A318,'BASE METAS DIÁRIAS'!$A$2:$A$358,0),MOD(ROW()-2,6)+1),""),"")</f>
        <v/>
      </c>
      <c r="H318" s="159">
        <f>IFERROR(IF(INDEX('CONTROLE PRODUÇÃO POR EMPRESAS'!$B$6:$G$5000,MATCH($A318,'CONTROLE PRODUÇÃO POR EMPRESAS'!$A$6:$A$5000,0),MOD(ROW()-2,6)+1)="","",IFERROR(1*INDEX('CONTROLE PRODUÇÃO POR EMPRESAS'!$B$6:$G$5000,MATCH($A318,'CONTROLE PRODUÇÃO POR EMPRESAS'!$A$6:$A$5000,0),MOD(ROW()-2,6)+1),"")),"")</f>
        <v/>
      </c>
      <c r="I318" s="159">
        <f>IF(OR(NOT(ISNUMBER(G318)),NOT(ISNUMBER(H318))),"",H318-G318)</f>
        <v/>
      </c>
      <c r="J318" s="319">
        <f>IF(OR(NOT(ISNUMBER(G318)),NOT(ISNUMBER(H318)),G318=0),"",I318/G318)</f>
        <v/>
      </c>
      <c r="K318" s="319">
        <f>IF(OR(NOT(ISNUMBER(G318)),NOT(ISNUMBER(H318)),G318=0),"",H318/G318)</f>
        <v/>
      </c>
      <c r="L318">
        <f>IF(NOT(ISNUMBER(G318)),"SEM META",IF(G318=0,"SEM META",IF(NOT(ISNUMBER(H318)),"SEM APONTAMENTO",IF(H318&gt;=G318,"VERDE",IF(H318&gt;=G318*0.9,"AMARELO","VERMELHO")))))</f>
        <v/>
      </c>
      <c r="M318" s="162" t="n"/>
      <c r="N318" s="162" t="n"/>
      <c r="O318" s="162" t="n"/>
      <c r="P318" s="162" t="n"/>
      <c r="Q318" s="320" t="n"/>
      <c r="R318" s="162" t="inlineStr">
        <is>
          <t>CONTROLE PRODUÇÃO POR EMPRESAS!F58</t>
        </is>
      </c>
    </row>
    <row r="319" ht="28.5" customHeight="1">
      <c r="A319" s="317" t="n">
        <v>46275</v>
      </c>
      <c r="B319" t="inlineStr">
        <is>
          <t>GERAL</t>
        </is>
      </c>
      <c r="C319" t="inlineStr">
        <is>
          <t>CMM</t>
        </is>
      </c>
      <c r="D319" t="inlineStr">
        <is>
          <t>VIGAS</t>
        </is>
      </c>
      <c r="F319" s="159">
        <f>IFERROR(INDEX('BASE METAS DIÁRIAS'!$N$2:$S$358,MATCH($A319,'BASE METAS DIÁRIAS'!$A$2:$A$358,0),MOD(ROW()-2,6)+1),"")</f>
        <v/>
      </c>
      <c r="G319" s="159">
        <f>IFERROR(IF(WEEKDAY($A319,2)&lt;=INDEX('BASE METAS DIÁRIAS'!$H$2:$M$358,MATCH($A319,'BASE METAS DIÁRIAS'!$A$2:$A$358,0),MOD(ROW()-2,6)+1),INDEX('BASE METAS DIÁRIAS'!$B$2:$G$358,MATCH($A319,'BASE METAS DIÁRIAS'!$A$2:$A$358,0),MOD(ROW()-2,6)+1),""),"")</f>
        <v/>
      </c>
      <c r="H319" s="159">
        <f>IFERROR(IF(INDEX('CONTROLE PRODUÇÃO POR EMPRESAS'!$B$6:$G$5000,MATCH($A319,'CONTROLE PRODUÇÃO POR EMPRESAS'!$A$6:$A$5000,0),MOD(ROW()-2,6)+1)="","",IFERROR(1*INDEX('CONTROLE PRODUÇÃO POR EMPRESAS'!$B$6:$G$5000,MATCH($A319,'CONTROLE PRODUÇÃO POR EMPRESAS'!$A$6:$A$5000,0),MOD(ROW()-2,6)+1),"")),"")</f>
        <v/>
      </c>
      <c r="I319" s="159">
        <f>IF(OR(NOT(ISNUMBER(G319)),NOT(ISNUMBER(H319))),"",H319-G319)</f>
        <v/>
      </c>
      <c r="J319" s="319">
        <f>IF(OR(NOT(ISNUMBER(G319)),NOT(ISNUMBER(H319)),G319=0),"",I319/G319)</f>
        <v/>
      </c>
      <c r="K319" s="319">
        <f>IF(OR(NOT(ISNUMBER(G319)),NOT(ISNUMBER(H319)),G319=0),"",H319/G319)</f>
        <v/>
      </c>
      <c r="L319">
        <f>IF(NOT(ISNUMBER(G319)),"SEM META",IF(G319=0,"SEM META",IF(NOT(ISNUMBER(H319)),"SEM APONTAMENTO",IF(H319&gt;=G319,"VERDE",IF(H319&gt;=G319*0.9,"AMARELO","VERMELHO")))))</f>
        <v/>
      </c>
      <c r="M319" s="162" t="n"/>
      <c r="N319" s="162" t="n"/>
      <c r="O319" s="162" t="n"/>
      <c r="P319" s="162" t="n"/>
      <c r="Q319" s="320" t="n"/>
      <c r="R319" s="162" t="inlineStr">
        <is>
          <t>CONTROLE PRODUÇÃO POR EMPRESAS!G58</t>
        </is>
      </c>
    </row>
    <row r="320" ht="28.5" customHeight="1">
      <c r="A320" s="317" t="n">
        <v>46276</v>
      </c>
      <c r="B320" t="inlineStr">
        <is>
          <t>GERAL</t>
        </is>
      </c>
      <c r="C320" t="inlineStr">
        <is>
          <t>EJ</t>
        </is>
      </c>
      <c r="D320" t="inlineStr">
        <is>
          <t>PREMONTAGEM</t>
        </is>
      </c>
      <c r="F320" s="159">
        <f>IFERROR(INDEX('BASE METAS DIÁRIAS'!$N$2:$S$358,MATCH($A320,'BASE METAS DIÁRIAS'!$A$2:$A$358,0),MOD(ROW()-2,6)+1),"")</f>
        <v/>
      </c>
      <c r="G320" s="159">
        <f>IFERROR(IF(WEEKDAY($A320,2)&lt;=INDEX('BASE METAS DIÁRIAS'!$H$2:$M$358,MATCH($A320,'BASE METAS DIÁRIAS'!$A$2:$A$358,0),MOD(ROW()-2,6)+1),INDEX('BASE METAS DIÁRIAS'!$B$2:$G$358,MATCH($A320,'BASE METAS DIÁRIAS'!$A$2:$A$358,0),MOD(ROW()-2,6)+1),""),"")</f>
        <v/>
      </c>
      <c r="H320" s="159">
        <f>IFERROR(IF(INDEX('CONTROLE PRODUÇÃO POR EMPRESAS'!$B$6:$G$5000,MATCH($A320,'CONTROLE PRODUÇÃO POR EMPRESAS'!$A$6:$A$5000,0),MOD(ROW()-2,6)+1)="","",IFERROR(1*INDEX('CONTROLE PRODUÇÃO POR EMPRESAS'!$B$6:$G$5000,MATCH($A320,'CONTROLE PRODUÇÃO POR EMPRESAS'!$A$6:$A$5000,0),MOD(ROW()-2,6)+1),"")),"")</f>
        <v/>
      </c>
      <c r="I320" s="159">
        <f>IF(OR(NOT(ISNUMBER(G320)),NOT(ISNUMBER(H320))),"",H320-G320)</f>
        <v/>
      </c>
      <c r="J320" s="319">
        <f>IF(OR(NOT(ISNUMBER(G320)),NOT(ISNUMBER(H320)),G320=0),"",I320/G320)</f>
        <v/>
      </c>
      <c r="K320" s="319">
        <f>IF(OR(NOT(ISNUMBER(G320)),NOT(ISNUMBER(H320)),G320=0),"",H320/G320)</f>
        <v/>
      </c>
      <c r="L320">
        <f>IF(NOT(ISNUMBER(G320)),"SEM META",IF(G320=0,"SEM META",IF(NOT(ISNUMBER(H320)),"SEM APONTAMENTO",IF(H320&gt;=G320,"VERDE",IF(H320&gt;=G320*0.9,"AMARELO","VERMELHO")))))</f>
        <v/>
      </c>
      <c r="M320" s="162" t="n"/>
      <c r="N320" s="162" t="n"/>
      <c r="O320" s="162" t="n"/>
      <c r="P320" s="162" t="n"/>
      <c r="Q320" s="320" t="n"/>
      <c r="R320" s="162" t="inlineStr">
        <is>
          <t>CONTROLE PRODUÇÃO POR EMPRESAS!B59</t>
        </is>
      </c>
    </row>
    <row r="321" ht="28.5" customHeight="1">
      <c r="A321" s="317" t="n">
        <v>46276</v>
      </c>
      <c r="B321" t="inlineStr">
        <is>
          <t>GERAL</t>
        </is>
      </c>
      <c r="C321" t="inlineStr">
        <is>
          <t>EJ</t>
        </is>
      </c>
      <c r="D321" t="inlineStr">
        <is>
          <t>IÇAMENTO JOIST</t>
        </is>
      </c>
      <c r="F321" s="159">
        <f>IFERROR(INDEX('BASE METAS DIÁRIAS'!$N$2:$S$358,MATCH($A321,'BASE METAS DIÁRIAS'!$A$2:$A$358,0),MOD(ROW()-2,6)+1),"")</f>
        <v/>
      </c>
      <c r="G321" s="159">
        <f>IFERROR(IF(WEEKDAY($A321,2)&lt;=INDEX('BASE METAS DIÁRIAS'!$H$2:$M$358,MATCH($A321,'BASE METAS DIÁRIAS'!$A$2:$A$358,0),MOD(ROW()-2,6)+1),INDEX('BASE METAS DIÁRIAS'!$B$2:$G$358,MATCH($A321,'BASE METAS DIÁRIAS'!$A$2:$A$358,0),MOD(ROW()-2,6)+1),""),"")</f>
        <v/>
      </c>
      <c r="H321" s="159">
        <f>IFERROR(IF(INDEX('CONTROLE PRODUÇÃO POR EMPRESAS'!$B$6:$G$5000,MATCH($A321,'CONTROLE PRODUÇÃO POR EMPRESAS'!$A$6:$A$5000,0),MOD(ROW()-2,6)+1)="","",IFERROR(1*INDEX('CONTROLE PRODUÇÃO POR EMPRESAS'!$B$6:$G$5000,MATCH($A321,'CONTROLE PRODUÇÃO POR EMPRESAS'!$A$6:$A$5000,0),MOD(ROW()-2,6)+1),"")),"")</f>
        <v/>
      </c>
      <c r="I321" s="159">
        <f>IF(OR(NOT(ISNUMBER(G321)),NOT(ISNUMBER(H321))),"",H321-G321)</f>
        <v/>
      </c>
      <c r="J321" s="319">
        <f>IF(OR(NOT(ISNUMBER(G321)),NOT(ISNUMBER(H321)),G321=0),"",I321/G321)</f>
        <v/>
      </c>
      <c r="K321" s="319">
        <f>IF(OR(NOT(ISNUMBER(G321)),NOT(ISNUMBER(H321)),G321=0),"",H321/G321)</f>
        <v/>
      </c>
      <c r="L321">
        <f>IF(NOT(ISNUMBER(G321)),"SEM META",IF(G321=0,"SEM META",IF(NOT(ISNUMBER(H321)),"SEM APONTAMENTO",IF(H321&gt;=G321,"VERDE",IF(H321&gt;=G321*0.9,"AMARELO","VERMELHO")))))</f>
        <v/>
      </c>
      <c r="M321" s="162" t="n"/>
      <c r="N321" s="162" t="n"/>
      <c r="O321" s="162" t="n"/>
      <c r="P321" s="162" t="n"/>
      <c r="Q321" s="320" t="n"/>
      <c r="R321" s="162" t="inlineStr">
        <is>
          <t>CONTROLE PRODUÇÃO POR EMPRESAS!C59</t>
        </is>
      </c>
    </row>
    <row r="322" ht="28.5" customHeight="1">
      <c r="A322" s="317" t="n">
        <v>46276</v>
      </c>
      <c r="B322" t="inlineStr">
        <is>
          <t>GERAL</t>
        </is>
      </c>
      <c r="C322" t="inlineStr">
        <is>
          <t>EJ</t>
        </is>
      </c>
      <c r="D322" t="inlineStr">
        <is>
          <t>VIGAS</t>
        </is>
      </c>
      <c r="F322" s="159">
        <f>IFERROR(INDEX('BASE METAS DIÁRIAS'!$N$2:$S$358,MATCH($A322,'BASE METAS DIÁRIAS'!$A$2:$A$358,0),MOD(ROW()-2,6)+1),"")</f>
        <v/>
      </c>
      <c r="G322" s="159">
        <f>IFERROR(IF(WEEKDAY($A322,2)&lt;=INDEX('BASE METAS DIÁRIAS'!$H$2:$M$358,MATCH($A322,'BASE METAS DIÁRIAS'!$A$2:$A$358,0),MOD(ROW()-2,6)+1),INDEX('BASE METAS DIÁRIAS'!$B$2:$G$358,MATCH($A322,'BASE METAS DIÁRIAS'!$A$2:$A$358,0),MOD(ROW()-2,6)+1),""),"")</f>
        <v/>
      </c>
      <c r="H322" s="159">
        <f>IFERROR(IF(INDEX('CONTROLE PRODUÇÃO POR EMPRESAS'!$B$6:$G$5000,MATCH($A322,'CONTROLE PRODUÇÃO POR EMPRESAS'!$A$6:$A$5000,0),MOD(ROW()-2,6)+1)="","",IFERROR(1*INDEX('CONTROLE PRODUÇÃO POR EMPRESAS'!$B$6:$G$5000,MATCH($A322,'CONTROLE PRODUÇÃO POR EMPRESAS'!$A$6:$A$5000,0),MOD(ROW()-2,6)+1),"")),"")</f>
        <v/>
      </c>
      <c r="I322" s="159">
        <f>IF(OR(NOT(ISNUMBER(G322)),NOT(ISNUMBER(H322))),"",H322-G322)</f>
        <v/>
      </c>
      <c r="J322" s="319">
        <f>IF(OR(NOT(ISNUMBER(G322)),NOT(ISNUMBER(H322)),G322=0),"",I322/G322)</f>
        <v/>
      </c>
      <c r="K322" s="319">
        <f>IF(OR(NOT(ISNUMBER(G322)),NOT(ISNUMBER(H322)),G322=0),"",H322/G322)</f>
        <v/>
      </c>
      <c r="L322">
        <f>IF(NOT(ISNUMBER(G322)),"SEM META",IF(G322=0,"SEM META",IF(NOT(ISNUMBER(H322)),"SEM APONTAMENTO",IF(H322&gt;=G322,"VERDE",IF(H322&gt;=G322*0.9,"AMARELO","VERMELHO")))))</f>
        <v/>
      </c>
      <c r="M322" s="162" t="n"/>
      <c r="N322" s="162" t="n"/>
      <c r="O322" s="162" t="n"/>
      <c r="P322" s="162" t="n"/>
      <c r="Q322" s="320" t="n"/>
      <c r="R322" s="162" t="inlineStr">
        <is>
          <t>CONTROLE PRODUÇÃO POR EMPRESAS!D59</t>
        </is>
      </c>
    </row>
    <row r="323" ht="28.5" customHeight="1">
      <c r="A323" s="317" t="n">
        <v>46276</v>
      </c>
      <c r="B323" t="inlineStr">
        <is>
          <t>GERAL</t>
        </is>
      </c>
      <c r="C323" t="inlineStr">
        <is>
          <t>CMM</t>
        </is>
      </c>
      <c r="D323" t="inlineStr">
        <is>
          <t>PREMONTAGEM</t>
        </is>
      </c>
      <c r="F323" s="159">
        <f>IFERROR(INDEX('BASE METAS DIÁRIAS'!$N$2:$S$358,MATCH($A323,'BASE METAS DIÁRIAS'!$A$2:$A$358,0),MOD(ROW()-2,6)+1),"")</f>
        <v/>
      </c>
      <c r="G323" s="159">
        <f>IFERROR(IF(WEEKDAY($A323,2)&lt;=INDEX('BASE METAS DIÁRIAS'!$H$2:$M$358,MATCH($A323,'BASE METAS DIÁRIAS'!$A$2:$A$358,0),MOD(ROW()-2,6)+1),INDEX('BASE METAS DIÁRIAS'!$B$2:$G$358,MATCH($A323,'BASE METAS DIÁRIAS'!$A$2:$A$358,0),MOD(ROW()-2,6)+1),""),"")</f>
        <v/>
      </c>
      <c r="H323" s="159">
        <f>IFERROR(IF(INDEX('CONTROLE PRODUÇÃO POR EMPRESAS'!$B$6:$G$5000,MATCH($A323,'CONTROLE PRODUÇÃO POR EMPRESAS'!$A$6:$A$5000,0),MOD(ROW()-2,6)+1)="","",IFERROR(1*INDEX('CONTROLE PRODUÇÃO POR EMPRESAS'!$B$6:$G$5000,MATCH($A323,'CONTROLE PRODUÇÃO POR EMPRESAS'!$A$6:$A$5000,0),MOD(ROW()-2,6)+1),"")),"")</f>
        <v/>
      </c>
      <c r="I323" s="159">
        <f>IF(OR(NOT(ISNUMBER(G323)),NOT(ISNUMBER(H323))),"",H323-G323)</f>
        <v/>
      </c>
      <c r="J323" s="319">
        <f>IF(OR(NOT(ISNUMBER(G323)),NOT(ISNUMBER(H323)),G323=0),"",I323/G323)</f>
        <v/>
      </c>
      <c r="K323" s="319">
        <f>IF(OR(NOT(ISNUMBER(G323)),NOT(ISNUMBER(H323)),G323=0),"",H323/G323)</f>
        <v/>
      </c>
      <c r="L323">
        <f>IF(NOT(ISNUMBER(G323)),"SEM META",IF(G323=0,"SEM META",IF(NOT(ISNUMBER(H323)),"SEM APONTAMENTO",IF(H323&gt;=G323,"VERDE",IF(H323&gt;=G323*0.9,"AMARELO","VERMELHO")))))</f>
        <v/>
      </c>
      <c r="M323" s="162" t="n"/>
      <c r="N323" s="162" t="n"/>
      <c r="O323" s="162" t="n"/>
      <c r="P323" s="162" t="n"/>
      <c r="Q323" s="320" t="n"/>
      <c r="R323" s="162" t="inlineStr">
        <is>
          <t>CONTROLE PRODUÇÃO POR EMPRESAS!E59</t>
        </is>
      </c>
    </row>
    <row r="324" ht="28.5" customHeight="1">
      <c r="A324" s="317" t="n">
        <v>46276</v>
      </c>
      <c r="B324" t="inlineStr">
        <is>
          <t>GERAL</t>
        </is>
      </c>
      <c r="C324" t="inlineStr">
        <is>
          <t>CMM</t>
        </is>
      </c>
      <c r="D324" t="inlineStr">
        <is>
          <t>IÇAMENTO JOIST</t>
        </is>
      </c>
      <c r="F324" s="159">
        <f>IFERROR(INDEX('BASE METAS DIÁRIAS'!$N$2:$S$358,MATCH($A324,'BASE METAS DIÁRIAS'!$A$2:$A$358,0),MOD(ROW()-2,6)+1),"")</f>
        <v/>
      </c>
      <c r="G324" s="159">
        <f>IFERROR(IF(WEEKDAY($A324,2)&lt;=INDEX('BASE METAS DIÁRIAS'!$H$2:$M$358,MATCH($A324,'BASE METAS DIÁRIAS'!$A$2:$A$358,0),MOD(ROW()-2,6)+1),INDEX('BASE METAS DIÁRIAS'!$B$2:$G$358,MATCH($A324,'BASE METAS DIÁRIAS'!$A$2:$A$358,0),MOD(ROW()-2,6)+1),""),"")</f>
        <v/>
      </c>
      <c r="H324" s="159">
        <f>IFERROR(IF(INDEX('CONTROLE PRODUÇÃO POR EMPRESAS'!$B$6:$G$5000,MATCH($A324,'CONTROLE PRODUÇÃO POR EMPRESAS'!$A$6:$A$5000,0),MOD(ROW()-2,6)+1)="","",IFERROR(1*INDEX('CONTROLE PRODUÇÃO POR EMPRESAS'!$B$6:$G$5000,MATCH($A324,'CONTROLE PRODUÇÃO POR EMPRESAS'!$A$6:$A$5000,0),MOD(ROW()-2,6)+1),"")),"")</f>
        <v/>
      </c>
      <c r="I324" s="159">
        <f>IF(OR(NOT(ISNUMBER(G324)),NOT(ISNUMBER(H324))),"",H324-G324)</f>
        <v/>
      </c>
      <c r="J324" s="319">
        <f>IF(OR(NOT(ISNUMBER(G324)),NOT(ISNUMBER(H324)),G324=0),"",I324/G324)</f>
        <v/>
      </c>
      <c r="K324" s="319">
        <f>IF(OR(NOT(ISNUMBER(G324)),NOT(ISNUMBER(H324)),G324=0),"",H324/G324)</f>
        <v/>
      </c>
      <c r="L324">
        <f>IF(NOT(ISNUMBER(G324)),"SEM META",IF(G324=0,"SEM META",IF(NOT(ISNUMBER(H324)),"SEM APONTAMENTO",IF(H324&gt;=G324,"VERDE",IF(H324&gt;=G324*0.9,"AMARELO","VERMELHO")))))</f>
        <v/>
      </c>
      <c r="M324" s="162" t="n"/>
      <c r="N324" s="162" t="n"/>
      <c r="O324" s="162" t="n"/>
      <c r="P324" s="162" t="n"/>
      <c r="Q324" s="320" t="n"/>
      <c r="R324" s="162" t="inlineStr">
        <is>
          <t>CONTROLE PRODUÇÃO POR EMPRESAS!F59</t>
        </is>
      </c>
    </row>
    <row r="325" ht="28.5" customHeight="1">
      <c r="A325" s="317" t="n">
        <v>46276</v>
      </c>
      <c r="B325" t="inlineStr">
        <is>
          <t>GERAL</t>
        </is>
      </c>
      <c r="C325" t="inlineStr">
        <is>
          <t>CMM</t>
        </is>
      </c>
      <c r="D325" t="inlineStr">
        <is>
          <t>VIGAS</t>
        </is>
      </c>
      <c r="F325" s="159">
        <f>IFERROR(INDEX('BASE METAS DIÁRIAS'!$N$2:$S$358,MATCH($A325,'BASE METAS DIÁRIAS'!$A$2:$A$358,0),MOD(ROW()-2,6)+1),"")</f>
        <v/>
      </c>
      <c r="G325" s="159">
        <f>IFERROR(IF(WEEKDAY($A325,2)&lt;=INDEX('BASE METAS DIÁRIAS'!$H$2:$M$358,MATCH($A325,'BASE METAS DIÁRIAS'!$A$2:$A$358,0),MOD(ROW()-2,6)+1),INDEX('BASE METAS DIÁRIAS'!$B$2:$G$358,MATCH($A325,'BASE METAS DIÁRIAS'!$A$2:$A$358,0),MOD(ROW()-2,6)+1),""),"")</f>
        <v/>
      </c>
      <c r="H325" s="159">
        <f>IFERROR(IF(INDEX('CONTROLE PRODUÇÃO POR EMPRESAS'!$B$6:$G$5000,MATCH($A325,'CONTROLE PRODUÇÃO POR EMPRESAS'!$A$6:$A$5000,0),MOD(ROW()-2,6)+1)="","",IFERROR(1*INDEX('CONTROLE PRODUÇÃO POR EMPRESAS'!$B$6:$G$5000,MATCH($A325,'CONTROLE PRODUÇÃO POR EMPRESAS'!$A$6:$A$5000,0),MOD(ROW()-2,6)+1),"")),"")</f>
        <v/>
      </c>
      <c r="I325" s="159">
        <f>IF(OR(NOT(ISNUMBER(G325)),NOT(ISNUMBER(H325))),"",H325-G325)</f>
        <v/>
      </c>
      <c r="J325" s="319">
        <f>IF(OR(NOT(ISNUMBER(G325)),NOT(ISNUMBER(H325)),G325=0),"",I325/G325)</f>
        <v/>
      </c>
      <c r="K325" s="319">
        <f>IF(OR(NOT(ISNUMBER(G325)),NOT(ISNUMBER(H325)),G325=0),"",H325/G325)</f>
        <v/>
      </c>
      <c r="L325">
        <f>IF(NOT(ISNUMBER(G325)),"SEM META",IF(G325=0,"SEM META",IF(NOT(ISNUMBER(H325)),"SEM APONTAMENTO",IF(H325&gt;=G325,"VERDE",IF(H325&gt;=G325*0.9,"AMARELO","VERMELHO")))))</f>
        <v/>
      </c>
      <c r="M325" s="162" t="n"/>
      <c r="N325" s="162" t="n"/>
      <c r="O325" s="162" t="n"/>
      <c r="P325" s="162" t="n"/>
      <c r="Q325" s="320" t="n"/>
      <c r="R325" s="162" t="inlineStr">
        <is>
          <t>CONTROLE PRODUÇÃO POR EMPRESAS!G59</t>
        </is>
      </c>
    </row>
    <row r="326" ht="28.5" customHeight="1">
      <c r="A326" s="317" t="n">
        <v>46277</v>
      </c>
      <c r="B326" t="inlineStr">
        <is>
          <t>GERAL</t>
        </is>
      </c>
      <c r="C326" t="inlineStr">
        <is>
          <t>EJ</t>
        </is>
      </c>
      <c r="D326" t="inlineStr">
        <is>
          <t>PREMONTAGEM</t>
        </is>
      </c>
      <c r="F326" s="159">
        <f>IFERROR(INDEX('BASE METAS DIÁRIAS'!$N$2:$S$358,MATCH($A326,'BASE METAS DIÁRIAS'!$A$2:$A$358,0),MOD(ROW()-2,6)+1),"")</f>
        <v/>
      </c>
      <c r="G326" s="159">
        <f>IFERROR(IF(WEEKDAY($A326,2)&lt;=INDEX('BASE METAS DIÁRIAS'!$H$2:$M$358,MATCH($A326,'BASE METAS DIÁRIAS'!$A$2:$A$358,0),MOD(ROW()-2,6)+1),INDEX('BASE METAS DIÁRIAS'!$B$2:$G$358,MATCH($A326,'BASE METAS DIÁRIAS'!$A$2:$A$358,0),MOD(ROW()-2,6)+1),""),"")</f>
        <v/>
      </c>
      <c r="H326" s="159">
        <f>IFERROR(IF(INDEX('CONTROLE PRODUÇÃO POR EMPRESAS'!$B$6:$G$5000,MATCH($A326,'CONTROLE PRODUÇÃO POR EMPRESAS'!$A$6:$A$5000,0),MOD(ROW()-2,6)+1)="","",IFERROR(1*INDEX('CONTROLE PRODUÇÃO POR EMPRESAS'!$B$6:$G$5000,MATCH($A326,'CONTROLE PRODUÇÃO POR EMPRESAS'!$A$6:$A$5000,0),MOD(ROW()-2,6)+1),"")),"")</f>
        <v/>
      </c>
      <c r="I326" s="159">
        <f>IF(OR(NOT(ISNUMBER(G326)),NOT(ISNUMBER(H326))),"",H326-G326)</f>
        <v/>
      </c>
      <c r="J326" s="319">
        <f>IF(OR(NOT(ISNUMBER(G326)),NOT(ISNUMBER(H326)),G326=0),"",I326/G326)</f>
        <v/>
      </c>
      <c r="K326" s="319">
        <f>IF(OR(NOT(ISNUMBER(G326)),NOT(ISNUMBER(H326)),G326=0),"",H326/G326)</f>
        <v/>
      </c>
      <c r="L326">
        <f>IF(NOT(ISNUMBER(G326)),"SEM META",IF(G326=0,"SEM META",IF(NOT(ISNUMBER(H326)),"SEM APONTAMENTO",IF(H326&gt;=G326,"VERDE",IF(H326&gt;=G326*0.9,"AMARELO","VERMELHO")))))</f>
        <v/>
      </c>
      <c r="M326" s="162" t="n"/>
      <c r="N326" s="162" t="n"/>
      <c r="O326" s="162" t="n"/>
      <c r="P326" s="162" t="n"/>
      <c r="Q326" s="320" t="n"/>
      <c r="R326" s="162" t="inlineStr">
        <is>
          <t>CONTROLE PRODUÇÃO POR EMPRESAS!B60</t>
        </is>
      </c>
    </row>
    <row r="327" ht="28.5" customHeight="1">
      <c r="A327" s="317" t="n">
        <v>46277</v>
      </c>
      <c r="B327" t="inlineStr">
        <is>
          <t>GERAL</t>
        </is>
      </c>
      <c r="C327" t="inlineStr">
        <is>
          <t>EJ</t>
        </is>
      </c>
      <c r="D327" t="inlineStr">
        <is>
          <t>IÇAMENTO JOIST</t>
        </is>
      </c>
      <c r="F327" s="159">
        <f>IFERROR(INDEX('BASE METAS DIÁRIAS'!$N$2:$S$358,MATCH($A327,'BASE METAS DIÁRIAS'!$A$2:$A$358,0),MOD(ROW()-2,6)+1),"")</f>
        <v/>
      </c>
      <c r="G327" s="159">
        <f>IFERROR(IF(WEEKDAY($A327,2)&lt;=INDEX('BASE METAS DIÁRIAS'!$H$2:$M$358,MATCH($A327,'BASE METAS DIÁRIAS'!$A$2:$A$358,0),MOD(ROW()-2,6)+1),INDEX('BASE METAS DIÁRIAS'!$B$2:$G$358,MATCH($A327,'BASE METAS DIÁRIAS'!$A$2:$A$358,0),MOD(ROW()-2,6)+1),""),"")</f>
        <v/>
      </c>
      <c r="H327" s="159">
        <f>IFERROR(IF(INDEX('CONTROLE PRODUÇÃO POR EMPRESAS'!$B$6:$G$5000,MATCH($A327,'CONTROLE PRODUÇÃO POR EMPRESAS'!$A$6:$A$5000,0),MOD(ROW()-2,6)+1)="","",IFERROR(1*INDEX('CONTROLE PRODUÇÃO POR EMPRESAS'!$B$6:$G$5000,MATCH($A327,'CONTROLE PRODUÇÃO POR EMPRESAS'!$A$6:$A$5000,0),MOD(ROW()-2,6)+1),"")),"")</f>
        <v/>
      </c>
      <c r="I327" s="159">
        <f>IF(OR(NOT(ISNUMBER(G327)),NOT(ISNUMBER(H327))),"",H327-G327)</f>
        <v/>
      </c>
      <c r="J327" s="319">
        <f>IF(OR(NOT(ISNUMBER(G327)),NOT(ISNUMBER(H327)),G327=0),"",I327/G327)</f>
        <v/>
      </c>
      <c r="K327" s="319">
        <f>IF(OR(NOT(ISNUMBER(G327)),NOT(ISNUMBER(H327)),G327=0),"",H327/G327)</f>
        <v/>
      </c>
      <c r="L327">
        <f>IF(NOT(ISNUMBER(G327)),"SEM META",IF(G327=0,"SEM META",IF(NOT(ISNUMBER(H327)),"SEM APONTAMENTO",IF(H327&gt;=G327,"VERDE",IF(H327&gt;=G327*0.9,"AMARELO","VERMELHO")))))</f>
        <v/>
      </c>
      <c r="M327" s="162" t="n"/>
      <c r="N327" s="162" t="n"/>
      <c r="O327" s="162" t="n"/>
      <c r="P327" s="162" t="n"/>
      <c r="Q327" s="320" t="n"/>
      <c r="R327" s="162" t="inlineStr">
        <is>
          <t>CONTROLE PRODUÇÃO POR EMPRESAS!C60</t>
        </is>
      </c>
    </row>
    <row r="328" ht="28.5" customHeight="1">
      <c r="A328" s="317" t="n">
        <v>46277</v>
      </c>
      <c r="B328" t="inlineStr">
        <is>
          <t>GERAL</t>
        </is>
      </c>
      <c r="C328" t="inlineStr">
        <is>
          <t>EJ</t>
        </is>
      </c>
      <c r="D328" t="inlineStr">
        <is>
          <t>VIGAS</t>
        </is>
      </c>
      <c r="F328" s="159">
        <f>IFERROR(INDEX('BASE METAS DIÁRIAS'!$N$2:$S$358,MATCH($A328,'BASE METAS DIÁRIAS'!$A$2:$A$358,0),MOD(ROW()-2,6)+1),"")</f>
        <v/>
      </c>
      <c r="G328" s="159">
        <f>IFERROR(IF(WEEKDAY($A328,2)&lt;=INDEX('BASE METAS DIÁRIAS'!$H$2:$M$358,MATCH($A328,'BASE METAS DIÁRIAS'!$A$2:$A$358,0),MOD(ROW()-2,6)+1),INDEX('BASE METAS DIÁRIAS'!$B$2:$G$358,MATCH($A328,'BASE METAS DIÁRIAS'!$A$2:$A$358,0),MOD(ROW()-2,6)+1),""),"")</f>
        <v/>
      </c>
      <c r="H328" s="159">
        <f>IFERROR(IF(INDEX('CONTROLE PRODUÇÃO POR EMPRESAS'!$B$6:$G$5000,MATCH($A328,'CONTROLE PRODUÇÃO POR EMPRESAS'!$A$6:$A$5000,0),MOD(ROW()-2,6)+1)="","",IFERROR(1*INDEX('CONTROLE PRODUÇÃO POR EMPRESAS'!$B$6:$G$5000,MATCH($A328,'CONTROLE PRODUÇÃO POR EMPRESAS'!$A$6:$A$5000,0),MOD(ROW()-2,6)+1),"")),"")</f>
        <v/>
      </c>
      <c r="I328" s="159">
        <f>IF(OR(NOT(ISNUMBER(G328)),NOT(ISNUMBER(H328))),"",H328-G328)</f>
        <v/>
      </c>
      <c r="J328" s="319">
        <f>IF(OR(NOT(ISNUMBER(G328)),NOT(ISNUMBER(H328)),G328=0),"",I328/G328)</f>
        <v/>
      </c>
      <c r="K328" s="319">
        <f>IF(OR(NOT(ISNUMBER(G328)),NOT(ISNUMBER(H328)),G328=0),"",H328/G328)</f>
        <v/>
      </c>
      <c r="L328">
        <f>IF(NOT(ISNUMBER(G328)),"SEM META",IF(G328=0,"SEM META",IF(NOT(ISNUMBER(H328)),"SEM APONTAMENTO",IF(H328&gt;=G328,"VERDE",IF(H328&gt;=G328*0.9,"AMARELO","VERMELHO")))))</f>
        <v/>
      </c>
      <c r="M328" s="162" t="n"/>
      <c r="N328" s="162" t="n"/>
      <c r="O328" s="162" t="n"/>
      <c r="P328" s="162" t="n"/>
      <c r="Q328" s="320" t="n"/>
      <c r="R328" s="162" t="inlineStr">
        <is>
          <t>CONTROLE PRODUÇÃO POR EMPRESAS!D60</t>
        </is>
      </c>
    </row>
    <row r="329" ht="28.5" customHeight="1">
      <c r="A329" s="317" t="n">
        <v>46277</v>
      </c>
      <c r="B329" t="inlineStr">
        <is>
          <t>GERAL</t>
        </is>
      </c>
      <c r="C329" t="inlineStr">
        <is>
          <t>CMM</t>
        </is>
      </c>
      <c r="D329" t="inlineStr">
        <is>
          <t>PREMONTAGEM</t>
        </is>
      </c>
      <c r="F329" s="159">
        <f>IFERROR(INDEX('BASE METAS DIÁRIAS'!$N$2:$S$358,MATCH($A329,'BASE METAS DIÁRIAS'!$A$2:$A$358,0),MOD(ROW()-2,6)+1),"")</f>
        <v/>
      </c>
      <c r="G329" s="159">
        <f>IFERROR(IF(WEEKDAY($A329,2)&lt;=INDEX('BASE METAS DIÁRIAS'!$H$2:$M$358,MATCH($A329,'BASE METAS DIÁRIAS'!$A$2:$A$358,0),MOD(ROW()-2,6)+1),INDEX('BASE METAS DIÁRIAS'!$B$2:$G$358,MATCH($A329,'BASE METAS DIÁRIAS'!$A$2:$A$358,0),MOD(ROW()-2,6)+1),""),"")</f>
        <v/>
      </c>
      <c r="H329" s="159">
        <f>IFERROR(IF(INDEX('CONTROLE PRODUÇÃO POR EMPRESAS'!$B$6:$G$5000,MATCH($A329,'CONTROLE PRODUÇÃO POR EMPRESAS'!$A$6:$A$5000,0),MOD(ROW()-2,6)+1)="","",IFERROR(1*INDEX('CONTROLE PRODUÇÃO POR EMPRESAS'!$B$6:$G$5000,MATCH($A329,'CONTROLE PRODUÇÃO POR EMPRESAS'!$A$6:$A$5000,0),MOD(ROW()-2,6)+1),"")),"")</f>
        <v/>
      </c>
      <c r="I329" s="159">
        <f>IF(OR(NOT(ISNUMBER(G329)),NOT(ISNUMBER(H329))),"",H329-G329)</f>
        <v/>
      </c>
      <c r="J329" s="319">
        <f>IF(OR(NOT(ISNUMBER(G329)),NOT(ISNUMBER(H329)),G329=0),"",I329/G329)</f>
        <v/>
      </c>
      <c r="K329" s="319">
        <f>IF(OR(NOT(ISNUMBER(G329)),NOT(ISNUMBER(H329)),G329=0),"",H329/G329)</f>
        <v/>
      </c>
      <c r="L329">
        <f>IF(NOT(ISNUMBER(G329)),"SEM META",IF(G329=0,"SEM META",IF(NOT(ISNUMBER(H329)),"SEM APONTAMENTO",IF(H329&gt;=G329,"VERDE",IF(H329&gt;=G329*0.9,"AMARELO","VERMELHO")))))</f>
        <v/>
      </c>
      <c r="M329" s="162" t="n"/>
      <c r="N329" s="162" t="n"/>
      <c r="O329" s="162" t="n"/>
      <c r="P329" s="162" t="n"/>
      <c r="Q329" s="320" t="n"/>
      <c r="R329" s="162" t="inlineStr">
        <is>
          <t>CONTROLE PRODUÇÃO POR EMPRESAS!E60</t>
        </is>
      </c>
    </row>
    <row r="330" ht="28.5" customHeight="1">
      <c r="A330" s="317" t="n">
        <v>46277</v>
      </c>
      <c r="B330" t="inlineStr">
        <is>
          <t>GERAL</t>
        </is>
      </c>
      <c r="C330" t="inlineStr">
        <is>
          <t>CMM</t>
        </is>
      </c>
      <c r="D330" t="inlineStr">
        <is>
          <t>IÇAMENTO JOIST</t>
        </is>
      </c>
      <c r="F330" s="159">
        <f>IFERROR(INDEX('BASE METAS DIÁRIAS'!$N$2:$S$358,MATCH($A330,'BASE METAS DIÁRIAS'!$A$2:$A$358,0),MOD(ROW()-2,6)+1),"")</f>
        <v/>
      </c>
      <c r="G330" s="159">
        <f>IFERROR(IF(WEEKDAY($A330,2)&lt;=INDEX('BASE METAS DIÁRIAS'!$H$2:$M$358,MATCH($A330,'BASE METAS DIÁRIAS'!$A$2:$A$358,0),MOD(ROW()-2,6)+1),INDEX('BASE METAS DIÁRIAS'!$B$2:$G$358,MATCH($A330,'BASE METAS DIÁRIAS'!$A$2:$A$358,0),MOD(ROW()-2,6)+1),""),"")</f>
        <v/>
      </c>
      <c r="H330" s="159">
        <f>IFERROR(IF(INDEX('CONTROLE PRODUÇÃO POR EMPRESAS'!$B$6:$G$5000,MATCH($A330,'CONTROLE PRODUÇÃO POR EMPRESAS'!$A$6:$A$5000,0),MOD(ROW()-2,6)+1)="","",IFERROR(1*INDEX('CONTROLE PRODUÇÃO POR EMPRESAS'!$B$6:$G$5000,MATCH($A330,'CONTROLE PRODUÇÃO POR EMPRESAS'!$A$6:$A$5000,0),MOD(ROW()-2,6)+1),"")),"")</f>
        <v/>
      </c>
      <c r="I330" s="159">
        <f>IF(OR(NOT(ISNUMBER(G330)),NOT(ISNUMBER(H330))),"",H330-G330)</f>
        <v/>
      </c>
      <c r="J330" s="319">
        <f>IF(OR(NOT(ISNUMBER(G330)),NOT(ISNUMBER(H330)),G330=0),"",I330/G330)</f>
        <v/>
      </c>
      <c r="K330" s="319">
        <f>IF(OR(NOT(ISNUMBER(G330)),NOT(ISNUMBER(H330)),G330=0),"",H330/G330)</f>
        <v/>
      </c>
      <c r="L330">
        <f>IF(NOT(ISNUMBER(G330)),"SEM META",IF(G330=0,"SEM META",IF(NOT(ISNUMBER(H330)),"SEM APONTAMENTO",IF(H330&gt;=G330,"VERDE",IF(H330&gt;=G330*0.9,"AMARELO","VERMELHO")))))</f>
        <v/>
      </c>
      <c r="M330" s="162" t="n"/>
      <c r="N330" s="162" t="n"/>
      <c r="O330" s="162" t="n"/>
      <c r="P330" s="162" t="n"/>
      <c r="Q330" s="320" t="n"/>
      <c r="R330" s="162" t="inlineStr">
        <is>
          <t>CONTROLE PRODUÇÃO POR EMPRESAS!F60</t>
        </is>
      </c>
    </row>
    <row r="331" ht="28.5" customHeight="1">
      <c r="A331" s="317" t="n">
        <v>46277</v>
      </c>
      <c r="B331" t="inlineStr">
        <is>
          <t>GERAL</t>
        </is>
      </c>
      <c r="C331" t="inlineStr">
        <is>
          <t>CMM</t>
        </is>
      </c>
      <c r="D331" t="inlineStr">
        <is>
          <t>VIGAS</t>
        </is>
      </c>
      <c r="F331" s="159">
        <f>IFERROR(INDEX('BASE METAS DIÁRIAS'!$N$2:$S$358,MATCH($A331,'BASE METAS DIÁRIAS'!$A$2:$A$358,0),MOD(ROW()-2,6)+1),"")</f>
        <v/>
      </c>
      <c r="G331" s="159">
        <f>IFERROR(IF(WEEKDAY($A331,2)&lt;=INDEX('BASE METAS DIÁRIAS'!$H$2:$M$358,MATCH($A331,'BASE METAS DIÁRIAS'!$A$2:$A$358,0),MOD(ROW()-2,6)+1),INDEX('BASE METAS DIÁRIAS'!$B$2:$G$358,MATCH($A331,'BASE METAS DIÁRIAS'!$A$2:$A$358,0),MOD(ROW()-2,6)+1),""),"")</f>
        <v/>
      </c>
      <c r="H331" s="159">
        <f>IFERROR(IF(INDEX('CONTROLE PRODUÇÃO POR EMPRESAS'!$B$6:$G$5000,MATCH($A331,'CONTROLE PRODUÇÃO POR EMPRESAS'!$A$6:$A$5000,0),MOD(ROW()-2,6)+1)="","",IFERROR(1*INDEX('CONTROLE PRODUÇÃO POR EMPRESAS'!$B$6:$G$5000,MATCH($A331,'CONTROLE PRODUÇÃO POR EMPRESAS'!$A$6:$A$5000,0),MOD(ROW()-2,6)+1),"")),"")</f>
        <v/>
      </c>
      <c r="I331" s="159">
        <f>IF(OR(NOT(ISNUMBER(G331)),NOT(ISNUMBER(H331))),"",H331-G331)</f>
        <v/>
      </c>
      <c r="J331" s="319">
        <f>IF(OR(NOT(ISNUMBER(G331)),NOT(ISNUMBER(H331)),G331=0),"",I331/G331)</f>
        <v/>
      </c>
      <c r="K331" s="319">
        <f>IF(OR(NOT(ISNUMBER(G331)),NOT(ISNUMBER(H331)),G331=0),"",H331/G331)</f>
        <v/>
      </c>
      <c r="L331">
        <f>IF(NOT(ISNUMBER(G331)),"SEM META",IF(G331=0,"SEM META",IF(NOT(ISNUMBER(H331)),"SEM APONTAMENTO",IF(H331&gt;=G331,"VERDE",IF(H331&gt;=G331*0.9,"AMARELO","VERMELHO")))))</f>
        <v/>
      </c>
      <c r="M331" s="162" t="n"/>
      <c r="N331" s="162" t="n"/>
      <c r="O331" s="162" t="n"/>
      <c r="P331" s="162" t="n"/>
      <c r="Q331" s="320" t="n"/>
      <c r="R331" s="162" t="inlineStr">
        <is>
          <t>CONTROLE PRODUÇÃO POR EMPRESAS!G60</t>
        </is>
      </c>
    </row>
    <row r="332" ht="28.5" customHeight="1">
      <c r="A332" s="317" t="n">
        <v>46278</v>
      </c>
      <c r="B332" t="inlineStr">
        <is>
          <t>GERAL</t>
        </is>
      </c>
      <c r="C332" t="inlineStr">
        <is>
          <t>EJ</t>
        </is>
      </c>
      <c r="D332" t="inlineStr">
        <is>
          <t>PREMONTAGEM</t>
        </is>
      </c>
      <c r="F332" s="159">
        <f>IFERROR(INDEX('BASE METAS DIÁRIAS'!$N$2:$S$358,MATCH($A332,'BASE METAS DIÁRIAS'!$A$2:$A$358,0),MOD(ROW()-2,6)+1),"")</f>
        <v/>
      </c>
      <c r="G332" s="159">
        <f>IFERROR(IF(WEEKDAY($A332,2)&lt;=INDEX('BASE METAS DIÁRIAS'!$H$2:$M$358,MATCH($A332,'BASE METAS DIÁRIAS'!$A$2:$A$358,0),MOD(ROW()-2,6)+1),INDEX('BASE METAS DIÁRIAS'!$B$2:$G$358,MATCH($A332,'BASE METAS DIÁRIAS'!$A$2:$A$358,0),MOD(ROW()-2,6)+1),""),"")</f>
        <v/>
      </c>
      <c r="H332" s="159">
        <f>IFERROR(IF(INDEX('CONTROLE PRODUÇÃO POR EMPRESAS'!$B$6:$G$5000,MATCH($A332,'CONTROLE PRODUÇÃO POR EMPRESAS'!$A$6:$A$5000,0),MOD(ROW()-2,6)+1)="","",IFERROR(1*INDEX('CONTROLE PRODUÇÃO POR EMPRESAS'!$B$6:$G$5000,MATCH($A332,'CONTROLE PRODUÇÃO POR EMPRESAS'!$A$6:$A$5000,0),MOD(ROW()-2,6)+1),"")),"")</f>
        <v/>
      </c>
      <c r="I332" s="159">
        <f>IF(OR(NOT(ISNUMBER(G332)),NOT(ISNUMBER(H332))),"",H332-G332)</f>
        <v/>
      </c>
      <c r="J332" s="319">
        <f>IF(OR(NOT(ISNUMBER(G332)),NOT(ISNUMBER(H332)),G332=0),"",I332/G332)</f>
        <v/>
      </c>
      <c r="K332" s="319">
        <f>IF(OR(NOT(ISNUMBER(G332)),NOT(ISNUMBER(H332)),G332=0),"",H332/G332)</f>
        <v/>
      </c>
      <c r="L332">
        <f>IF(NOT(ISNUMBER(G332)),"SEM META",IF(G332=0,"SEM META",IF(NOT(ISNUMBER(H332)),"SEM APONTAMENTO",IF(H332&gt;=G332,"VERDE",IF(H332&gt;=G332*0.9,"AMARELO","VERMELHO")))))</f>
        <v/>
      </c>
      <c r="M332" s="162" t="n"/>
      <c r="N332" s="162" t="n"/>
      <c r="O332" s="162" t="n"/>
      <c r="P332" s="162" t="n"/>
      <c r="Q332" s="320" t="n"/>
      <c r="R332" s="162" t="inlineStr">
        <is>
          <t>CONTROLE PRODUÇÃO POR EMPRESAS!B61</t>
        </is>
      </c>
    </row>
    <row r="333" ht="28.5" customHeight="1">
      <c r="A333" s="317" t="n">
        <v>46278</v>
      </c>
      <c r="B333" t="inlineStr">
        <is>
          <t>GERAL</t>
        </is>
      </c>
      <c r="C333" t="inlineStr">
        <is>
          <t>EJ</t>
        </is>
      </c>
      <c r="D333" t="inlineStr">
        <is>
          <t>IÇAMENTO JOIST</t>
        </is>
      </c>
      <c r="F333" s="159">
        <f>IFERROR(INDEX('BASE METAS DIÁRIAS'!$N$2:$S$358,MATCH($A333,'BASE METAS DIÁRIAS'!$A$2:$A$358,0),MOD(ROW()-2,6)+1),"")</f>
        <v/>
      </c>
      <c r="G333" s="159">
        <f>IFERROR(IF(WEEKDAY($A333,2)&lt;=INDEX('BASE METAS DIÁRIAS'!$H$2:$M$358,MATCH($A333,'BASE METAS DIÁRIAS'!$A$2:$A$358,0),MOD(ROW()-2,6)+1),INDEX('BASE METAS DIÁRIAS'!$B$2:$G$358,MATCH($A333,'BASE METAS DIÁRIAS'!$A$2:$A$358,0),MOD(ROW()-2,6)+1),""),"")</f>
        <v/>
      </c>
      <c r="H333" s="159">
        <f>IFERROR(IF(INDEX('CONTROLE PRODUÇÃO POR EMPRESAS'!$B$6:$G$5000,MATCH($A333,'CONTROLE PRODUÇÃO POR EMPRESAS'!$A$6:$A$5000,0),MOD(ROW()-2,6)+1)="","",IFERROR(1*INDEX('CONTROLE PRODUÇÃO POR EMPRESAS'!$B$6:$G$5000,MATCH($A333,'CONTROLE PRODUÇÃO POR EMPRESAS'!$A$6:$A$5000,0),MOD(ROW()-2,6)+1),"")),"")</f>
        <v/>
      </c>
      <c r="I333" s="159">
        <f>IF(OR(NOT(ISNUMBER(G333)),NOT(ISNUMBER(H333))),"",H333-G333)</f>
        <v/>
      </c>
      <c r="J333" s="319">
        <f>IF(OR(NOT(ISNUMBER(G333)),NOT(ISNUMBER(H333)),G333=0),"",I333/G333)</f>
        <v/>
      </c>
      <c r="K333" s="319">
        <f>IF(OR(NOT(ISNUMBER(G333)),NOT(ISNUMBER(H333)),G333=0),"",H333/G333)</f>
        <v/>
      </c>
      <c r="L333">
        <f>IF(NOT(ISNUMBER(G333)),"SEM META",IF(G333=0,"SEM META",IF(NOT(ISNUMBER(H333)),"SEM APONTAMENTO",IF(H333&gt;=G333,"VERDE",IF(H333&gt;=G333*0.9,"AMARELO","VERMELHO")))))</f>
        <v/>
      </c>
      <c r="M333" s="162" t="n"/>
      <c r="N333" s="162" t="n"/>
      <c r="O333" s="162" t="n"/>
      <c r="P333" s="162" t="n"/>
      <c r="Q333" s="320" t="n"/>
      <c r="R333" s="162" t="inlineStr">
        <is>
          <t>CONTROLE PRODUÇÃO POR EMPRESAS!C61</t>
        </is>
      </c>
    </row>
    <row r="334" ht="28.5" customHeight="1">
      <c r="A334" s="317" t="n">
        <v>46278</v>
      </c>
      <c r="B334" t="inlineStr">
        <is>
          <t>GERAL</t>
        </is>
      </c>
      <c r="C334" t="inlineStr">
        <is>
          <t>EJ</t>
        </is>
      </c>
      <c r="D334" t="inlineStr">
        <is>
          <t>VIGAS</t>
        </is>
      </c>
      <c r="F334" s="159">
        <f>IFERROR(INDEX('BASE METAS DIÁRIAS'!$N$2:$S$358,MATCH($A334,'BASE METAS DIÁRIAS'!$A$2:$A$358,0),MOD(ROW()-2,6)+1),"")</f>
        <v/>
      </c>
      <c r="G334" s="159">
        <f>IFERROR(IF(WEEKDAY($A334,2)&lt;=INDEX('BASE METAS DIÁRIAS'!$H$2:$M$358,MATCH($A334,'BASE METAS DIÁRIAS'!$A$2:$A$358,0),MOD(ROW()-2,6)+1),INDEX('BASE METAS DIÁRIAS'!$B$2:$G$358,MATCH($A334,'BASE METAS DIÁRIAS'!$A$2:$A$358,0),MOD(ROW()-2,6)+1),""),"")</f>
        <v/>
      </c>
      <c r="H334" s="159">
        <f>IFERROR(IF(INDEX('CONTROLE PRODUÇÃO POR EMPRESAS'!$B$6:$G$5000,MATCH($A334,'CONTROLE PRODUÇÃO POR EMPRESAS'!$A$6:$A$5000,0),MOD(ROW()-2,6)+1)="","",IFERROR(1*INDEX('CONTROLE PRODUÇÃO POR EMPRESAS'!$B$6:$G$5000,MATCH($A334,'CONTROLE PRODUÇÃO POR EMPRESAS'!$A$6:$A$5000,0),MOD(ROW()-2,6)+1),"")),"")</f>
        <v/>
      </c>
      <c r="I334" s="159">
        <f>IF(OR(NOT(ISNUMBER(G334)),NOT(ISNUMBER(H334))),"",H334-G334)</f>
        <v/>
      </c>
      <c r="J334" s="319">
        <f>IF(OR(NOT(ISNUMBER(G334)),NOT(ISNUMBER(H334)),G334=0),"",I334/G334)</f>
        <v/>
      </c>
      <c r="K334" s="319">
        <f>IF(OR(NOT(ISNUMBER(G334)),NOT(ISNUMBER(H334)),G334=0),"",H334/G334)</f>
        <v/>
      </c>
      <c r="L334">
        <f>IF(NOT(ISNUMBER(G334)),"SEM META",IF(G334=0,"SEM META",IF(NOT(ISNUMBER(H334)),"SEM APONTAMENTO",IF(H334&gt;=G334,"VERDE",IF(H334&gt;=G334*0.9,"AMARELO","VERMELHO")))))</f>
        <v/>
      </c>
      <c r="M334" s="162" t="n"/>
      <c r="N334" s="162" t="n"/>
      <c r="O334" s="162" t="n"/>
      <c r="P334" s="162" t="n"/>
      <c r="Q334" s="320" t="n"/>
      <c r="R334" s="162" t="inlineStr">
        <is>
          <t>CONTROLE PRODUÇÃO POR EMPRESAS!D61</t>
        </is>
      </c>
    </row>
    <row r="335" ht="28.5" customHeight="1">
      <c r="A335" s="317" t="n">
        <v>46278</v>
      </c>
      <c r="B335" t="inlineStr">
        <is>
          <t>GERAL</t>
        </is>
      </c>
      <c r="C335" t="inlineStr">
        <is>
          <t>CMM</t>
        </is>
      </c>
      <c r="D335" t="inlineStr">
        <is>
          <t>PREMONTAGEM</t>
        </is>
      </c>
      <c r="F335" s="159">
        <f>IFERROR(INDEX('BASE METAS DIÁRIAS'!$N$2:$S$358,MATCH($A335,'BASE METAS DIÁRIAS'!$A$2:$A$358,0),MOD(ROW()-2,6)+1),"")</f>
        <v/>
      </c>
      <c r="G335" s="159">
        <f>IFERROR(IF(WEEKDAY($A335,2)&lt;=INDEX('BASE METAS DIÁRIAS'!$H$2:$M$358,MATCH($A335,'BASE METAS DIÁRIAS'!$A$2:$A$358,0),MOD(ROW()-2,6)+1),INDEX('BASE METAS DIÁRIAS'!$B$2:$G$358,MATCH($A335,'BASE METAS DIÁRIAS'!$A$2:$A$358,0),MOD(ROW()-2,6)+1),""),"")</f>
        <v/>
      </c>
      <c r="H335" s="159">
        <f>IFERROR(IF(INDEX('CONTROLE PRODUÇÃO POR EMPRESAS'!$B$6:$G$5000,MATCH($A335,'CONTROLE PRODUÇÃO POR EMPRESAS'!$A$6:$A$5000,0),MOD(ROW()-2,6)+1)="","",IFERROR(1*INDEX('CONTROLE PRODUÇÃO POR EMPRESAS'!$B$6:$G$5000,MATCH($A335,'CONTROLE PRODUÇÃO POR EMPRESAS'!$A$6:$A$5000,0),MOD(ROW()-2,6)+1),"")),"")</f>
        <v/>
      </c>
      <c r="I335" s="159">
        <f>IF(OR(NOT(ISNUMBER(G335)),NOT(ISNUMBER(H335))),"",H335-G335)</f>
        <v/>
      </c>
      <c r="J335" s="319">
        <f>IF(OR(NOT(ISNUMBER(G335)),NOT(ISNUMBER(H335)),G335=0),"",I335/G335)</f>
        <v/>
      </c>
      <c r="K335" s="319">
        <f>IF(OR(NOT(ISNUMBER(G335)),NOT(ISNUMBER(H335)),G335=0),"",H335/G335)</f>
        <v/>
      </c>
      <c r="L335">
        <f>IF(NOT(ISNUMBER(G335)),"SEM META",IF(G335=0,"SEM META",IF(NOT(ISNUMBER(H335)),"SEM APONTAMENTO",IF(H335&gt;=G335,"VERDE",IF(H335&gt;=G335*0.9,"AMARELO","VERMELHO")))))</f>
        <v/>
      </c>
      <c r="M335" s="162" t="n"/>
      <c r="N335" s="162" t="n"/>
      <c r="O335" s="162" t="n"/>
      <c r="P335" s="162" t="n"/>
      <c r="Q335" s="320" t="n"/>
      <c r="R335" s="162" t="inlineStr">
        <is>
          <t>CONTROLE PRODUÇÃO POR EMPRESAS!E61</t>
        </is>
      </c>
    </row>
    <row r="336" ht="28.5" customHeight="1">
      <c r="A336" s="317" t="n">
        <v>46278</v>
      </c>
      <c r="B336" t="inlineStr">
        <is>
          <t>GERAL</t>
        </is>
      </c>
      <c r="C336" t="inlineStr">
        <is>
          <t>CMM</t>
        </is>
      </c>
      <c r="D336" t="inlineStr">
        <is>
          <t>IÇAMENTO JOIST</t>
        </is>
      </c>
      <c r="F336" s="159">
        <f>IFERROR(INDEX('BASE METAS DIÁRIAS'!$N$2:$S$358,MATCH($A336,'BASE METAS DIÁRIAS'!$A$2:$A$358,0),MOD(ROW()-2,6)+1),"")</f>
        <v/>
      </c>
      <c r="G336" s="159">
        <f>IFERROR(IF(WEEKDAY($A336,2)&lt;=INDEX('BASE METAS DIÁRIAS'!$H$2:$M$358,MATCH($A336,'BASE METAS DIÁRIAS'!$A$2:$A$358,0),MOD(ROW()-2,6)+1),INDEX('BASE METAS DIÁRIAS'!$B$2:$G$358,MATCH($A336,'BASE METAS DIÁRIAS'!$A$2:$A$358,0),MOD(ROW()-2,6)+1),""),"")</f>
        <v/>
      </c>
      <c r="H336" s="159">
        <f>IFERROR(IF(INDEX('CONTROLE PRODUÇÃO POR EMPRESAS'!$B$6:$G$5000,MATCH($A336,'CONTROLE PRODUÇÃO POR EMPRESAS'!$A$6:$A$5000,0),MOD(ROW()-2,6)+1)="","",IFERROR(1*INDEX('CONTROLE PRODUÇÃO POR EMPRESAS'!$B$6:$G$5000,MATCH($A336,'CONTROLE PRODUÇÃO POR EMPRESAS'!$A$6:$A$5000,0),MOD(ROW()-2,6)+1),"")),"")</f>
        <v/>
      </c>
      <c r="I336" s="159">
        <f>IF(OR(NOT(ISNUMBER(G336)),NOT(ISNUMBER(H336))),"",H336-G336)</f>
        <v/>
      </c>
      <c r="J336" s="319">
        <f>IF(OR(NOT(ISNUMBER(G336)),NOT(ISNUMBER(H336)),G336=0),"",I336/G336)</f>
        <v/>
      </c>
      <c r="K336" s="319">
        <f>IF(OR(NOT(ISNUMBER(G336)),NOT(ISNUMBER(H336)),G336=0),"",H336/G336)</f>
        <v/>
      </c>
      <c r="L336">
        <f>IF(NOT(ISNUMBER(G336)),"SEM META",IF(G336=0,"SEM META",IF(NOT(ISNUMBER(H336)),"SEM APONTAMENTO",IF(H336&gt;=G336,"VERDE",IF(H336&gt;=G336*0.9,"AMARELO","VERMELHO")))))</f>
        <v/>
      </c>
      <c r="M336" s="162" t="n"/>
      <c r="N336" s="162" t="n"/>
      <c r="O336" s="162" t="n"/>
      <c r="P336" s="162" t="n"/>
      <c r="Q336" s="320" t="n"/>
      <c r="R336" s="162" t="inlineStr">
        <is>
          <t>CONTROLE PRODUÇÃO POR EMPRESAS!F61</t>
        </is>
      </c>
    </row>
    <row r="337" ht="28.5" customHeight="1">
      <c r="A337" s="317" t="n">
        <v>46278</v>
      </c>
      <c r="B337" t="inlineStr">
        <is>
          <t>GERAL</t>
        </is>
      </c>
      <c r="C337" t="inlineStr">
        <is>
          <t>CMM</t>
        </is>
      </c>
      <c r="D337" t="inlineStr">
        <is>
          <t>VIGAS</t>
        </is>
      </c>
      <c r="F337" s="159">
        <f>IFERROR(INDEX('BASE METAS DIÁRIAS'!$N$2:$S$358,MATCH($A337,'BASE METAS DIÁRIAS'!$A$2:$A$358,0),MOD(ROW()-2,6)+1),"")</f>
        <v/>
      </c>
      <c r="G337" s="159">
        <f>IFERROR(IF(WEEKDAY($A337,2)&lt;=INDEX('BASE METAS DIÁRIAS'!$H$2:$M$358,MATCH($A337,'BASE METAS DIÁRIAS'!$A$2:$A$358,0),MOD(ROW()-2,6)+1),INDEX('BASE METAS DIÁRIAS'!$B$2:$G$358,MATCH($A337,'BASE METAS DIÁRIAS'!$A$2:$A$358,0),MOD(ROW()-2,6)+1),""),"")</f>
        <v/>
      </c>
      <c r="H337" s="159">
        <f>IFERROR(IF(INDEX('CONTROLE PRODUÇÃO POR EMPRESAS'!$B$6:$G$5000,MATCH($A337,'CONTROLE PRODUÇÃO POR EMPRESAS'!$A$6:$A$5000,0),MOD(ROW()-2,6)+1)="","",IFERROR(1*INDEX('CONTROLE PRODUÇÃO POR EMPRESAS'!$B$6:$G$5000,MATCH($A337,'CONTROLE PRODUÇÃO POR EMPRESAS'!$A$6:$A$5000,0),MOD(ROW()-2,6)+1),"")),"")</f>
        <v/>
      </c>
      <c r="I337" s="159">
        <f>IF(OR(NOT(ISNUMBER(G337)),NOT(ISNUMBER(H337))),"",H337-G337)</f>
        <v/>
      </c>
      <c r="J337" s="319">
        <f>IF(OR(NOT(ISNUMBER(G337)),NOT(ISNUMBER(H337)),G337=0),"",I337/G337)</f>
        <v/>
      </c>
      <c r="K337" s="319">
        <f>IF(OR(NOT(ISNUMBER(G337)),NOT(ISNUMBER(H337)),G337=0),"",H337/G337)</f>
        <v/>
      </c>
      <c r="L337">
        <f>IF(NOT(ISNUMBER(G337)),"SEM META",IF(G337=0,"SEM META",IF(NOT(ISNUMBER(H337)),"SEM APONTAMENTO",IF(H337&gt;=G337,"VERDE",IF(H337&gt;=G337*0.9,"AMARELO","VERMELHO")))))</f>
        <v/>
      </c>
      <c r="M337" s="162" t="n"/>
      <c r="N337" s="162" t="n"/>
      <c r="O337" s="162" t="n"/>
      <c r="P337" s="162" t="n"/>
      <c r="Q337" s="320" t="n"/>
      <c r="R337" s="162" t="inlineStr">
        <is>
          <t>CONTROLE PRODUÇÃO POR EMPRESAS!G61</t>
        </is>
      </c>
    </row>
    <row r="338" ht="28.5" customHeight="1">
      <c r="A338" s="317" t="n">
        <v>46279</v>
      </c>
      <c r="B338" t="inlineStr">
        <is>
          <t>GERAL</t>
        </is>
      </c>
      <c r="C338" t="inlineStr">
        <is>
          <t>EJ</t>
        </is>
      </c>
      <c r="D338" t="inlineStr">
        <is>
          <t>PREMONTAGEM</t>
        </is>
      </c>
      <c r="F338" s="159">
        <f>IFERROR(INDEX('BASE METAS DIÁRIAS'!$N$2:$S$358,MATCH($A338,'BASE METAS DIÁRIAS'!$A$2:$A$358,0),MOD(ROW()-2,6)+1),"")</f>
        <v/>
      </c>
      <c r="G338" s="159">
        <f>IFERROR(IF(WEEKDAY($A338,2)&lt;=INDEX('BASE METAS DIÁRIAS'!$H$2:$M$358,MATCH($A338,'BASE METAS DIÁRIAS'!$A$2:$A$358,0),MOD(ROW()-2,6)+1),INDEX('BASE METAS DIÁRIAS'!$B$2:$G$358,MATCH($A338,'BASE METAS DIÁRIAS'!$A$2:$A$358,0),MOD(ROW()-2,6)+1),""),"")</f>
        <v/>
      </c>
      <c r="H338" s="159">
        <f>IFERROR(IF(INDEX('CONTROLE PRODUÇÃO POR EMPRESAS'!$B$6:$G$5000,MATCH($A338,'CONTROLE PRODUÇÃO POR EMPRESAS'!$A$6:$A$5000,0),MOD(ROW()-2,6)+1)="","",IFERROR(1*INDEX('CONTROLE PRODUÇÃO POR EMPRESAS'!$B$6:$G$5000,MATCH($A338,'CONTROLE PRODUÇÃO POR EMPRESAS'!$A$6:$A$5000,0),MOD(ROW()-2,6)+1),"")),"")</f>
        <v/>
      </c>
      <c r="I338" s="159">
        <f>IF(OR(NOT(ISNUMBER(G338)),NOT(ISNUMBER(H338))),"",H338-G338)</f>
        <v/>
      </c>
      <c r="J338" s="319">
        <f>IF(OR(NOT(ISNUMBER(G338)),NOT(ISNUMBER(H338)),G338=0),"",I338/G338)</f>
        <v/>
      </c>
      <c r="K338" s="319">
        <f>IF(OR(NOT(ISNUMBER(G338)),NOT(ISNUMBER(H338)),G338=0),"",H338/G338)</f>
        <v/>
      </c>
      <c r="L338">
        <f>IF(NOT(ISNUMBER(G338)),"SEM META",IF(G338=0,"SEM META",IF(NOT(ISNUMBER(H338)),"SEM APONTAMENTO",IF(H338&gt;=G338,"VERDE",IF(H338&gt;=G338*0.9,"AMARELO","VERMELHO")))))</f>
        <v/>
      </c>
      <c r="M338" s="162" t="n"/>
      <c r="N338" s="162" t="n"/>
      <c r="O338" s="162" t="n"/>
      <c r="P338" s="162" t="n"/>
      <c r="Q338" s="320" t="n"/>
      <c r="R338" s="162" t="inlineStr">
        <is>
          <t>CONTROLE PRODUÇÃO POR EMPRESAS!B62</t>
        </is>
      </c>
    </row>
    <row r="339" ht="28.5" customHeight="1">
      <c r="A339" s="317" t="n">
        <v>46279</v>
      </c>
      <c r="B339" t="inlineStr">
        <is>
          <t>GERAL</t>
        </is>
      </c>
      <c r="C339" t="inlineStr">
        <is>
          <t>EJ</t>
        </is>
      </c>
      <c r="D339" t="inlineStr">
        <is>
          <t>IÇAMENTO JOIST</t>
        </is>
      </c>
      <c r="F339" s="159">
        <f>IFERROR(INDEX('BASE METAS DIÁRIAS'!$N$2:$S$358,MATCH($A339,'BASE METAS DIÁRIAS'!$A$2:$A$358,0),MOD(ROW()-2,6)+1),"")</f>
        <v/>
      </c>
      <c r="G339" s="159">
        <f>IFERROR(IF(WEEKDAY($A339,2)&lt;=INDEX('BASE METAS DIÁRIAS'!$H$2:$M$358,MATCH($A339,'BASE METAS DIÁRIAS'!$A$2:$A$358,0),MOD(ROW()-2,6)+1),INDEX('BASE METAS DIÁRIAS'!$B$2:$G$358,MATCH($A339,'BASE METAS DIÁRIAS'!$A$2:$A$358,0),MOD(ROW()-2,6)+1),""),"")</f>
        <v/>
      </c>
      <c r="H339" s="159">
        <f>IFERROR(IF(INDEX('CONTROLE PRODUÇÃO POR EMPRESAS'!$B$6:$G$5000,MATCH($A339,'CONTROLE PRODUÇÃO POR EMPRESAS'!$A$6:$A$5000,0),MOD(ROW()-2,6)+1)="","",IFERROR(1*INDEX('CONTROLE PRODUÇÃO POR EMPRESAS'!$B$6:$G$5000,MATCH($A339,'CONTROLE PRODUÇÃO POR EMPRESAS'!$A$6:$A$5000,0),MOD(ROW()-2,6)+1),"")),"")</f>
        <v/>
      </c>
      <c r="I339" s="159">
        <f>IF(OR(NOT(ISNUMBER(G339)),NOT(ISNUMBER(H339))),"",H339-G339)</f>
        <v/>
      </c>
      <c r="J339" s="319">
        <f>IF(OR(NOT(ISNUMBER(G339)),NOT(ISNUMBER(H339)),G339=0),"",I339/G339)</f>
        <v/>
      </c>
      <c r="K339" s="319">
        <f>IF(OR(NOT(ISNUMBER(G339)),NOT(ISNUMBER(H339)),G339=0),"",H339/G339)</f>
        <v/>
      </c>
      <c r="L339">
        <f>IF(NOT(ISNUMBER(G339)),"SEM META",IF(G339=0,"SEM META",IF(NOT(ISNUMBER(H339)),"SEM APONTAMENTO",IF(H339&gt;=G339,"VERDE",IF(H339&gt;=G339*0.9,"AMARELO","VERMELHO")))))</f>
        <v/>
      </c>
      <c r="M339" s="162" t="n"/>
      <c r="N339" s="162" t="n"/>
      <c r="O339" s="162" t="n"/>
      <c r="P339" s="162" t="n"/>
      <c r="Q339" s="320" t="n"/>
      <c r="R339" s="162" t="inlineStr">
        <is>
          <t>CONTROLE PRODUÇÃO POR EMPRESAS!C62</t>
        </is>
      </c>
    </row>
    <row r="340" ht="28.5" customHeight="1">
      <c r="A340" s="317" t="n">
        <v>46279</v>
      </c>
      <c r="B340" t="inlineStr">
        <is>
          <t>GERAL</t>
        </is>
      </c>
      <c r="C340" t="inlineStr">
        <is>
          <t>EJ</t>
        </is>
      </c>
      <c r="D340" t="inlineStr">
        <is>
          <t>VIGAS</t>
        </is>
      </c>
      <c r="F340" s="159">
        <f>IFERROR(INDEX('BASE METAS DIÁRIAS'!$N$2:$S$358,MATCH($A340,'BASE METAS DIÁRIAS'!$A$2:$A$358,0),MOD(ROW()-2,6)+1),"")</f>
        <v/>
      </c>
      <c r="G340" s="159">
        <f>IFERROR(IF(WEEKDAY($A340,2)&lt;=INDEX('BASE METAS DIÁRIAS'!$H$2:$M$358,MATCH($A340,'BASE METAS DIÁRIAS'!$A$2:$A$358,0),MOD(ROW()-2,6)+1),INDEX('BASE METAS DIÁRIAS'!$B$2:$G$358,MATCH($A340,'BASE METAS DIÁRIAS'!$A$2:$A$358,0),MOD(ROW()-2,6)+1),""),"")</f>
        <v/>
      </c>
      <c r="H340" s="159">
        <f>IFERROR(IF(INDEX('CONTROLE PRODUÇÃO POR EMPRESAS'!$B$6:$G$5000,MATCH($A340,'CONTROLE PRODUÇÃO POR EMPRESAS'!$A$6:$A$5000,0),MOD(ROW()-2,6)+1)="","",IFERROR(1*INDEX('CONTROLE PRODUÇÃO POR EMPRESAS'!$B$6:$G$5000,MATCH($A340,'CONTROLE PRODUÇÃO POR EMPRESAS'!$A$6:$A$5000,0),MOD(ROW()-2,6)+1),"")),"")</f>
        <v/>
      </c>
      <c r="I340" s="159">
        <f>IF(OR(NOT(ISNUMBER(G340)),NOT(ISNUMBER(H340))),"",H340-G340)</f>
        <v/>
      </c>
      <c r="J340" s="319">
        <f>IF(OR(NOT(ISNUMBER(G340)),NOT(ISNUMBER(H340)),G340=0),"",I340/G340)</f>
        <v/>
      </c>
      <c r="K340" s="319">
        <f>IF(OR(NOT(ISNUMBER(G340)),NOT(ISNUMBER(H340)),G340=0),"",H340/G340)</f>
        <v/>
      </c>
      <c r="L340">
        <f>IF(NOT(ISNUMBER(G340)),"SEM META",IF(G340=0,"SEM META",IF(NOT(ISNUMBER(H340)),"SEM APONTAMENTO",IF(H340&gt;=G340,"VERDE",IF(H340&gt;=G340*0.9,"AMARELO","VERMELHO")))))</f>
        <v/>
      </c>
      <c r="M340" s="162" t="n"/>
      <c r="N340" s="162" t="n"/>
      <c r="O340" s="162" t="n"/>
      <c r="P340" s="162" t="n"/>
      <c r="Q340" s="320" t="n"/>
      <c r="R340" s="162" t="inlineStr">
        <is>
          <t>CONTROLE PRODUÇÃO POR EMPRESAS!D62</t>
        </is>
      </c>
    </row>
    <row r="341" ht="28.5" customHeight="1">
      <c r="A341" s="317" t="n">
        <v>46279</v>
      </c>
      <c r="B341" t="inlineStr">
        <is>
          <t>GERAL</t>
        </is>
      </c>
      <c r="C341" t="inlineStr">
        <is>
          <t>CMM</t>
        </is>
      </c>
      <c r="D341" t="inlineStr">
        <is>
          <t>PREMONTAGEM</t>
        </is>
      </c>
      <c r="F341" s="159">
        <f>IFERROR(INDEX('BASE METAS DIÁRIAS'!$N$2:$S$358,MATCH($A341,'BASE METAS DIÁRIAS'!$A$2:$A$358,0),MOD(ROW()-2,6)+1),"")</f>
        <v/>
      </c>
      <c r="G341" s="159">
        <f>IFERROR(IF(WEEKDAY($A341,2)&lt;=INDEX('BASE METAS DIÁRIAS'!$H$2:$M$358,MATCH($A341,'BASE METAS DIÁRIAS'!$A$2:$A$358,0),MOD(ROW()-2,6)+1),INDEX('BASE METAS DIÁRIAS'!$B$2:$G$358,MATCH($A341,'BASE METAS DIÁRIAS'!$A$2:$A$358,0),MOD(ROW()-2,6)+1),""),"")</f>
        <v/>
      </c>
      <c r="H341" s="159">
        <f>IFERROR(IF(INDEX('CONTROLE PRODUÇÃO POR EMPRESAS'!$B$6:$G$5000,MATCH($A341,'CONTROLE PRODUÇÃO POR EMPRESAS'!$A$6:$A$5000,0),MOD(ROW()-2,6)+1)="","",IFERROR(1*INDEX('CONTROLE PRODUÇÃO POR EMPRESAS'!$B$6:$G$5000,MATCH($A341,'CONTROLE PRODUÇÃO POR EMPRESAS'!$A$6:$A$5000,0),MOD(ROW()-2,6)+1),"")),"")</f>
        <v/>
      </c>
      <c r="I341" s="159">
        <f>IF(OR(NOT(ISNUMBER(G341)),NOT(ISNUMBER(H341))),"",H341-G341)</f>
        <v/>
      </c>
      <c r="J341" s="319">
        <f>IF(OR(NOT(ISNUMBER(G341)),NOT(ISNUMBER(H341)),G341=0),"",I341/G341)</f>
        <v/>
      </c>
      <c r="K341" s="319">
        <f>IF(OR(NOT(ISNUMBER(G341)),NOT(ISNUMBER(H341)),G341=0),"",H341/G341)</f>
        <v/>
      </c>
      <c r="L341">
        <f>IF(NOT(ISNUMBER(G341)),"SEM META",IF(G341=0,"SEM META",IF(NOT(ISNUMBER(H341)),"SEM APONTAMENTO",IF(H341&gt;=G341,"VERDE",IF(H341&gt;=G341*0.9,"AMARELO","VERMELHO")))))</f>
        <v/>
      </c>
      <c r="M341" s="162" t="n"/>
      <c r="N341" s="162" t="n"/>
      <c r="O341" s="162" t="n"/>
      <c r="P341" s="162" t="n"/>
      <c r="Q341" s="320" t="n"/>
      <c r="R341" s="162" t="inlineStr">
        <is>
          <t>CONTROLE PRODUÇÃO POR EMPRESAS!E62</t>
        </is>
      </c>
    </row>
    <row r="342" ht="28.5" customHeight="1">
      <c r="A342" s="317" t="n">
        <v>46279</v>
      </c>
      <c r="B342" t="inlineStr">
        <is>
          <t>GERAL</t>
        </is>
      </c>
      <c r="C342" t="inlineStr">
        <is>
          <t>CMM</t>
        </is>
      </c>
      <c r="D342" t="inlineStr">
        <is>
          <t>IÇAMENTO JOIST</t>
        </is>
      </c>
      <c r="F342" s="159">
        <f>IFERROR(INDEX('BASE METAS DIÁRIAS'!$N$2:$S$358,MATCH($A342,'BASE METAS DIÁRIAS'!$A$2:$A$358,0),MOD(ROW()-2,6)+1),"")</f>
        <v/>
      </c>
      <c r="G342" s="159">
        <f>IFERROR(IF(WEEKDAY($A342,2)&lt;=INDEX('BASE METAS DIÁRIAS'!$H$2:$M$358,MATCH($A342,'BASE METAS DIÁRIAS'!$A$2:$A$358,0),MOD(ROW()-2,6)+1),INDEX('BASE METAS DIÁRIAS'!$B$2:$G$358,MATCH($A342,'BASE METAS DIÁRIAS'!$A$2:$A$358,0),MOD(ROW()-2,6)+1),""),"")</f>
        <v/>
      </c>
      <c r="H342" s="159">
        <f>IFERROR(IF(INDEX('CONTROLE PRODUÇÃO POR EMPRESAS'!$B$6:$G$5000,MATCH($A342,'CONTROLE PRODUÇÃO POR EMPRESAS'!$A$6:$A$5000,0),MOD(ROW()-2,6)+1)="","",IFERROR(1*INDEX('CONTROLE PRODUÇÃO POR EMPRESAS'!$B$6:$G$5000,MATCH($A342,'CONTROLE PRODUÇÃO POR EMPRESAS'!$A$6:$A$5000,0),MOD(ROW()-2,6)+1),"")),"")</f>
        <v/>
      </c>
      <c r="I342" s="159">
        <f>IF(OR(NOT(ISNUMBER(G342)),NOT(ISNUMBER(H342))),"",H342-G342)</f>
        <v/>
      </c>
      <c r="J342" s="319">
        <f>IF(OR(NOT(ISNUMBER(G342)),NOT(ISNUMBER(H342)),G342=0),"",I342/G342)</f>
        <v/>
      </c>
      <c r="K342" s="319">
        <f>IF(OR(NOT(ISNUMBER(G342)),NOT(ISNUMBER(H342)),G342=0),"",H342/G342)</f>
        <v/>
      </c>
      <c r="L342">
        <f>IF(NOT(ISNUMBER(G342)),"SEM META",IF(G342=0,"SEM META",IF(NOT(ISNUMBER(H342)),"SEM APONTAMENTO",IF(H342&gt;=G342,"VERDE",IF(H342&gt;=G342*0.9,"AMARELO","VERMELHO")))))</f>
        <v/>
      </c>
      <c r="M342" s="162" t="n"/>
      <c r="N342" s="162" t="n"/>
      <c r="O342" s="162" t="n"/>
      <c r="P342" s="162" t="n"/>
      <c r="Q342" s="320" t="n"/>
      <c r="R342" s="162" t="inlineStr">
        <is>
          <t>CONTROLE PRODUÇÃO POR EMPRESAS!F62</t>
        </is>
      </c>
    </row>
    <row r="343" ht="28.5" customHeight="1">
      <c r="A343" s="317" t="n">
        <v>46279</v>
      </c>
      <c r="B343" t="inlineStr">
        <is>
          <t>GERAL</t>
        </is>
      </c>
      <c r="C343" t="inlineStr">
        <is>
          <t>CMM</t>
        </is>
      </c>
      <c r="D343" t="inlineStr">
        <is>
          <t>VIGAS</t>
        </is>
      </c>
      <c r="F343" s="159">
        <f>IFERROR(INDEX('BASE METAS DIÁRIAS'!$N$2:$S$358,MATCH($A343,'BASE METAS DIÁRIAS'!$A$2:$A$358,0),MOD(ROW()-2,6)+1),"")</f>
        <v/>
      </c>
      <c r="G343" s="159">
        <f>IFERROR(IF(WEEKDAY($A343,2)&lt;=INDEX('BASE METAS DIÁRIAS'!$H$2:$M$358,MATCH($A343,'BASE METAS DIÁRIAS'!$A$2:$A$358,0),MOD(ROW()-2,6)+1),INDEX('BASE METAS DIÁRIAS'!$B$2:$G$358,MATCH($A343,'BASE METAS DIÁRIAS'!$A$2:$A$358,0),MOD(ROW()-2,6)+1),""),"")</f>
        <v/>
      </c>
      <c r="H343" s="159">
        <f>IFERROR(IF(INDEX('CONTROLE PRODUÇÃO POR EMPRESAS'!$B$6:$G$5000,MATCH($A343,'CONTROLE PRODUÇÃO POR EMPRESAS'!$A$6:$A$5000,0),MOD(ROW()-2,6)+1)="","",IFERROR(1*INDEX('CONTROLE PRODUÇÃO POR EMPRESAS'!$B$6:$G$5000,MATCH($A343,'CONTROLE PRODUÇÃO POR EMPRESAS'!$A$6:$A$5000,0),MOD(ROW()-2,6)+1),"")),"")</f>
        <v/>
      </c>
      <c r="I343" s="159">
        <f>IF(OR(NOT(ISNUMBER(G343)),NOT(ISNUMBER(H343))),"",H343-G343)</f>
        <v/>
      </c>
      <c r="J343" s="319">
        <f>IF(OR(NOT(ISNUMBER(G343)),NOT(ISNUMBER(H343)),G343=0),"",I343/G343)</f>
        <v/>
      </c>
      <c r="K343" s="319">
        <f>IF(OR(NOT(ISNUMBER(G343)),NOT(ISNUMBER(H343)),G343=0),"",H343/G343)</f>
        <v/>
      </c>
      <c r="L343">
        <f>IF(NOT(ISNUMBER(G343)),"SEM META",IF(G343=0,"SEM META",IF(NOT(ISNUMBER(H343)),"SEM APONTAMENTO",IF(H343&gt;=G343,"VERDE",IF(H343&gt;=G343*0.9,"AMARELO","VERMELHO")))))</f>
        <v/>
      </c>
      <c r="M343" s="162" t="n"/>
      <c r="N343" s="162" t="n"/>
      <c r="O343" s="162" t="n"/>
      <c r="P343" s="162" t="n"/>
      <c r="Q343" s="320" t="n"/>
      <c r="R343" s="162" t="inlineStr">
        <is>
          <t>CONTROLE PRODUÇÃO POR EMPRESAS!G62</t>
        </is>
      </c>
    </row>
    <row r="344" ht="28.5" customHeight="1">
      <c r="A344" s="317" t="n">
        <v>46280</v>
      </c>
      <c r="B344" t="inlineStr">
        <is>
          <t>GERAL</t>
        </is>
      </c>
      <c r="C344" t="inlineStr">
        <is>
          <t>EJ</t>
        </is>
      </c>
      <c r="D344" t="inlineStr">
        <is>
          <t>PREMONTAGEM</t>
        </is>
      </c>
      <c r="F344" s="159">
        <f>IFERROR(INDEX('BASE METAS DIÁRIAS'!$N$2:$S$358,MATCH($A344,'BASE METAS DIÁRIAS'!$A$2:$A$358,0),MOD(ROW()-2,6)+1),"")</f>
        <v/>
      </c>
      <c r="G344" s="159">
        <f>IFERROR(IF(WEEKDAY($A344,2)&lt;=INDEX('BASE METAS DIÁRIAS'!$H$2:$M$358,MATCH($A344,'BASE METAS DIÁRIAS'!$A$2:$A$358,0),MOD(ROW()-2,6)+1),INDEX('BASE METAS DIÁRIAS'!$B$2:$G$358,MATCH($A344,'BASE METAS DIÁRIAS'!$A$2:$A$358,0),MOD(ROW()-2,6)+1),""),"")</f>
        <v/>
      </c>
      <c r="H344" s="159">
        <f>IFERROR(IF(INDEX('CONTROLE PRODUÇÃO POR EMPRESAS'!$B$6:$G$5000,MATCH($A344,'CONTROLE PRODUÇÃO POR EMPRESAS'!$A$6:$A$5000,0),MOD(ROW()-2,6)+1)="","",IFERROR(1*INDEX('CONTROLE PRODUÇÃO POR EMPRESAS'!$B$6:$G$5000,MATCH($A344,'CONTROLE PRODUÇÃO POR EMPRESAS'!$A$6:$A$5000,0),MOD(ROW()-2,6)+1),"")),"")</f>
        <v/>
      </c>
      <c r="I344" s="159">
        <f>IF(OR(NOT(ISNUMBER(G344)),NOT(ISNUMBER(H344))),"",H344-G344)</f>
        <v/>
      </c>
      <c r="J344" s="319">
        <f>IF(OR(NOT(ISNUMBER(G344)),NOT(ISNUMBER(H344)),G344=0),"",I344/G344)</f>
        <v/>
      </c>
      <c r="K344" s="319">
        <f>IF(OR(NOT(ISNUMBER(G344)),NOT(ISNUMBER(H344)),G344=0),"",H344/G344)</f>
        <v/>
      </c>
      <c r="L344">
        <f>IF(NOT(ISNUMBER(G344)),"SEM META",IF(G344=0,"SEM META",IF(NOT(ISNUMBER(H344)),"SEM APONTAMENTO",IF(H344&gt;=G344,"VERDE",IF(H344&gt;=G344*0.9,"AMARELO","VERMELHO")))))</f>
        <v/>
      </c>
      <c r="M344" s="162" t="n"/>
      <c r="N344" s="162" t="n"/>
      <c r="O344" s="162" t="n"/>
      <c r="P344" s="162" t="n"/>
      <c r="Q344" s="320" t="n"/>
      <c r="R344" s="162" t="inlineStr">
        <is>
          <t>CONTROLE PRODUÇÃO POR EMPRESAS!B63</t>
        </is>
      </c>
    </row>
    <row r="345" ht="28.5" customHeight="1">
      <c r="A345" s="317" t="n">
        <v>46280</v>
      </c>
      <c r="B345" t="inlineStr">
        <is>
          <t>GERAL</t>
        </is>
      </c>
      <c r="C345" t="inlineStr">
        <is>
          <t>EJ</t>
        </is>
      </c>
      <c r="D345" t="inlineStr">
        <is>
          <t>IÇAMENTO JOIST</t>
        </is>
      </c>
      <c r="F345" s="159">
        <f>IFERROR(INDEX('BASE METAS DIÁRIAS'!$N$2:$S$358,MATCH($A345,'BASE METAS DIÁRIAS'!$A$2:$A$358,0),MOD(ROW()-2,6)+1),"")</f>
        <v/>
      </c>
      <c r="G345" s="159">
        <f>IFERROR(IF(WEEKDAY($A345,2)&lt;=INDEX('BASE METAS DIÁRIAS'!$H$2:$M$358,MATCH($A345,'BASE METAS DIÁRIAS'!$A$2:$A$358,0),MOD(ROW()-2,6)+1),INDEX('BASE METAS DIÁRIAS'!$B$2:$G$358,MATCH($A345,'BASE METAS DIÁRIAS'!$A$2:$A$358,0),MOD(ROW()-2,6)+1),""),"")</f>
        <v/>
      </c>
      <c r="H345" s="159">
        <f>IFERROR(IF(INDEX('CONTROLE PRODUÇÃO POR EMPRESAS'!$B$6:$G$5000,MATCH($A345,'CONTROLE PRODUÇÃO POR EMPRESAS'!$A$6:$A$5000,0),MOD(ROW()-2,6)+1)="","",IFERROR(1*INDEX('CONTROLE PRODUÇÃO POR EMPRESAS'!$B$6:$G$5000,MATCH($A345,'CONTROLE PRODUÇÃO POR EMPRESAS'!$A$6:$A$5000,0),MOD(ROW()-2,6)+1),"")),"")</f>
        <v/>
      </c>
      <c r="I345" s="159">
        <f>IF(OR(NOT(ISNUMBER(G345)),NOT(ISNUMBER(H345))),"",H345-G345)</f>
        <v/>
      </c>
      <c r="J345" s="319">
        <f>IF(OR(NOT(ISNUMBER(G345)),NOT(ISNUMBER(H345)),G345=0),"",I345/G345)</f>
        <v/>
      </c>
      <c r="K345" s="319">
        <f>IF(OR(NOT(ISNUMBER(G345)),NOT(ISNUMBER(H345)),G345=0),"",H345/G345)</f>
        <v/>
      </c>
      <c r="L345">
        <f>IF(NOT(ISNUMBER(G345)),"SEM META",IF(G345=0,"SEM META",IF(NOT(ISNUMBER(H345)),"SEM APONTAMENTO",IF(H345&gt;=G345,"VERDE",IF(H345&gt;=G345*0.9,"AMARELO","VERMELHO")))))</f>
        <v/>
      </c>
      <c r="M345" s="162" t="n"/>
      <c r="N345" s="162" t="n"/>
      <c r="O345" s="162" t="n"/>
      <c r="P345" s="162" t="n"/>
      <c r="Q345" s="320" t="n"/>
      <c r="R345" s="162" t="inlineStr">
        <is>
          <t>CONTROLE PRODUÇÃO POR EMPRESAS!C63</t>
        </is>
      </c>
    </row>
    <row r="346" ht="28.5" customHeight="1">
      <c r="A346" s="317" t="n">
        <v>46280</v>
      </c>
      <c r="B346" t="inlineStr">
        <is>
          <t>GERAL</t>
        </is>
      </c>
      <c r="C346" t="inlineStr">
        <is>
          <t>EJ</t>
        </is>
      </c>
      <c r="D346" t="inlineStr">
        <is>
          <t>VIGAS</t>
        </is>
      </c>
      <c r="F346" s="159">
        <f>IFERROR(INDEX('BASE METAS DIÁRIAS'!$N$2:$S$358,MATCH($A346,'BASE METAS DIÁRIAS'!$A$2:$A$358,0),MOD(ROW()-2,6)+1),"")</f>
        <v/>
      </c>
      <c r="G346" s="159">
        <f>IFERROR(IF(WEEKDAY($A346,2)&lt;=INDEX('BASE METAS DIÁRIAS'!$H$2:$M$358,MATCH($A346,'BASE METAS DIÁRIAS'!$A$2:$A$358,0),MOD(ROW()-2,6)+1),INDEX('BASE METAS DIÁRIAS'!$B$2:$G$358,MATCH($A346,'BASE METAS DIÁRIAS'!$A$2:$A$358,0),MOD(ROW()-2,6)+1),""),"")</f>
        <v/>
      </c>
      <c r="H346" s="159">
        <f>IFERROR(IF(INDEX('CONTROLE PRODUÇÃO POR EMPRESAS'!$B$6:$G$5000,MATCH($A346,'CONTROLE PRODUÇÃO POR EMPRESAS'!$A$6:$A$5000,0),MOD(ROW()-2,6)+1)="","",IFERROR(1*INDEX('CONTROLE PRODUÇÃO POR EMPRESAS'!$B$6:$G$5000,MATCH($A346,'CONTROLE PRODUÇÃO POR EMPRESAS'!$A$6:$A$5000,0),MOD(ROW()-2,6)+1),"")),"")</f>
        <v/>
      </c>
      <c r="I346" s="159">
        <f>IF(OR(NOT(ISNUMBER(G346)),NOT(ISNUMBER(H346))),"",H346-G346)</f>
        <v/>
      </c>
      <c r="J346" s="319">
        <f>IF(OR(NOT(ISNUMBER(G346)),NOT(ISNUMBER(H346)),G346=0),"",I346/G346)</f>
        <v/>
      </c>
      <c r="K346" s="319">
        <f>IF(OR(NOT(ISNUMBER(G346)),NOT(ISNUMBER(H346)),G346=0),"",H346/G346)</f>
        <v/>
      </c>
      <c r="L346">
        <f>IF(NOT(ISNUMBER(G346)),"SEM META",IF(G346=0,"SEM META",IF(NOT(ISNUMBER(H346)),"SEM APONTAMENTO",IF(H346&gt;=G346,"VERDE",IF(H346&gt;=G346*0.9,"AMARELO","VERMELHO")))))</f>
        <v/>
      </c>
      <c r="M346" s="162" t="n"/>
      <c r="N346" s="162" t="n"/>
      <c r="O346" s="162" t="n"/>
      <c r="P346" s="162" t="n"/>
      <c r="Q346" s="320" t="n"/>
      <c r="R346" s="162" t="inlineStr">
        <is>
          <t>CONTROLE PRODUÇÃO POR EMPRESAS!D63</t>
        </is>
      </c>
    </row>
    <row r="347" ht="28.5" customHeight="1">
      <c r="A347" s="317" t="n">
        <v>46280</v>
      </c>
      <c r="B347" t="inlineStr">
        <is>
          <t>GERAL</t>
        </is>
      </c>
      <c r="C347" t="inlineStr">
        <is>
          <t>CMM</t>
        </is>
      </c>
      <c r="D347" t="inlineStr">
        <is>
          <t>PREMONTAGEM</t>
        </is>
      </c>
      <c r="F347" s="159">
        <f>IFERROR(INDEX('BASE METAS DIÁRIAS'!$N$2:$S$358,MATCH($A347,'BASE METAS DIÁRIAS'!$A$2:$A$358,0),MOD(ROW()-2,6)+1),"")</f>
        <v/>
      </c>
      <c r="G347" s="159">
        <f>IFERROR(IF(WEEKDAY($A347,2)&lt;=INDEX('BASE METAS DIÁRIAS'!$H$2:$M$358,MATCH($A347,'BASE METAS DIÁRIAS'!$A$2:$A$358,0),MOD(ROW()-2,6)+1),INDEX('BASE METAS DIÁRIAS'!$B$2:$G$358,MATCH($A347,'BASE METAS DIÁRIAS'!$A$2:$A$358,0),MOD(ROW()-2,6)+1),""),"")</f>
        <v/>
      </c>
      <c r="H347" s="159">
        <f>IFERROR(IF(INDEX('CONTROLE PRODUÇÃO POR EMPRESAS'!$B$6:$G$5000,MATCH($A347,'CONTROLE PRODUÇÃO POR EMPRESAS'!$A$6:$A$5000,0),MOD(ROW()-2,6)+1)="","",IFERROR(1*INDEX('CONTROLE PRODUÇÃO POR EMPRESAS'!$B$6:$G$5000,MATCH($A347,'CONTROLE PRODUÇÃO POR EMPRESAS'!$A$6:$A$5000,0),MOD(ROW()-2,6)+1),"")),"")</f>
        <v/>
      </c>
      <c r="I347" s="159">
        <f>IF(OR(NOT(ISNUMBER(G347)),NOT(ISNUMBER(H347))),"",H347-G347)</f>
        <v/>
      </c>
      <c r="J347" s="319">
        <f>IF(OR(NOT(ISNUMBER(G347)),NOT(ISNUMBER(H347)),G347=0),"",I347/G347)</f>
        <v/>
      </c>
      <c r="K347" s="319">
        <f>IF(OR(NOT(ISNUMBER(G347)),NOT(ISNUMBER(H347)),G347=0),"",H347/G347)</f>
        <v/>
      </c>
      <c r="L347">
        <f>IF(NOT(ISNUMBER(G347)),"SEM META",IF(G347=0,"SEM META",IF(NOT(ISNUMBER(H347)),"SEM APONTAMENTO",IF(H347&gt;=G347,"VERDE",IF(H347&gt;=G347*0.9,"AMARELO","VERMELHO")))))</f>
        <v/>
      </c>
      <c r="M347" s="162" t="n"/>
      <c r="N347" s="162" t="n"/>
      <c r="O347" s="162" t="n"/>
      <c r="P347" s="162" t="n"/>
      <c r="Q347" s="320" t="n"/>
      <c r="R347" s="162" t="inlineStr">
        <is>
          <t>CONTROLE PRODUÇÃO POR EMPRESAS!E63</t>
        </is>
      </c>
    </row>
    <row r="348" ht="28.5" customHeight="1">
      <c r="A348" s="317" t="n">
        <v>46280</v>
      </c>
      <c r="B348" t="inlineStr">
        <is>
          <t>GERAL</t>
        </is>
      </c>
      <c r="C348" t="inlineStr">
        <is>
          <t>CMM</t>
        </is>
      </c>
      <c r="D348" t="inlineStr">
        <is>
          <t>IÇAMENTO JOIST</t>
        </is>
      </c>
      <c r="F348" s="159">
        <f>IFERROR(INDEX('BASE METAS DIÁRIAS'!$N$2:$S$358,MATCH($A348,'BASE METAS DIÁRIAS'!$A$2:$A$358,0),MOD(ROW()-2,6)+1),"")</f>
        <v/>
      </c>
      <c r="G348" s="159">
        <f>IFERROR(IF(WEEKDAY($A348,2)&lt;=INDEX('BASE METAS DIÁRIAS'!$H$2:$M$358,MATCH($A348,'BASE METAS DIÁRIAS'!$A$2:$A$358,0),MOD(ROW()-2,6)+1),INDEX('BASE METAS DIÁRIAS'!$B$2:$G$358,MATCH($A348,'BASE METAS DIÁRIAS'!$A$2:$A$358,0),MOD(ROW()-2,6)+1),""),"")</f>
        <v/>
      </c>
      <c r="H348" s="159">
        <f>IFERROR(IF(INDEX('CONTROLE PRODUÇÃO POR EMPRESAS'!$B$6:$G$5000,MATCH($A348,'CONTROLE PRODUÇÃO POR EMPRESAS'!$A$6:$A$5000,0),MOD(ROW()-2,6)+1)="","",IFERROR(1*INDEX('CONTROLE PRODUÇÃO POR EMPRESAS'!$B$6:$G$5000,MATCH($A348,'CONTROLE PRODUÇÃO POR EMPRESAS'!$A$6:$A$5000,0),MOD(ROW()-2,6)+1),"")),"")</f>
        <v/>
      </c>
      <c r="I348" s="159">
        <f>IF(OR(NOT(ISNUMBER(G348)),NOT(ISNUMBER(H348))),"",H348-G348)</f>
        <v/>
      </c>
      <c r="J348" s="319">
        <f>IF(OR(NOT(ISNUMBER(G348)),NOT(ISNUMBER(H348)),G348=0),"",I348/G348)</f>
        <v/>
      </c>
      <c r="K348" s="319">
        <f>IF(OR(NOT(ISNUMBER(G348)),NOT(ISNUMBER(H348)),G348=0),"",H348/G348)</f>
        <v/>
      </c>
      <c r="L348">
        <f>IF(NOT(ISNUMBER(G348)),"SEM META",IF(G348=0,"SEM META",IF(NOT(ISNUMBER(H348)),"SEM APONTAMENTO",IF(H348&gt;=G348,"VERDE",IF(H348&gt;=G348*0.9,"AMARELO","VERMELHO")))))</f>
        <v/>
      </c>
      <c r="M348" s="162" t="n"/>
      <c r="N348" s="162" t="n"/>
      <c r="O348" s="162" t="n"/>
      <c r="P348" s="162" t="n"/>
      <c r="Q348" s="320" t="n"/>
      <c r="R348" s="162" t="inlineStr">
        <is>
          <t>CONTROLE PRODUÇÃO POR EMPRESAS!F63</t>
        </is>
      </c>
    </row>
    <row r="349" ht="28.5" customHeight="1">
      <c r="A349" s="317" t="n">
        <v>46280</v>
      </c>
      <c r="B349" t="inlineStr">
        <is>
          <t>GERAL</t>
        </is>
      </c>
      <c r="C349" t="inlineStr">
        <is>
          <t>CMM</t>
        </is>
      </c>
      <c r="D349" t="inlineStr">
        <is>
          <t>VIGAS</t>
        </is>
      </c>
      <c r="F349" s="159">
        <f>IFERROR(INDEX('BASE METAS DIÁRIAS'!$N$2:$S$358,MATCH($A349,'BASE METAS DIÁRIAS'!$A$2:$A$358,0),MOD(ROW()-2,6)+1),"")</f>
        <v/>
      </c>
      <c r="G349" s="159">
        <f>IFERROR(IF(WEEKDAY($A349,2)&lt;=INDEX('BASE METAS DIÁRIAS'!$H$2:$M$358,MATCH($A349,'BASE METAS DIÁRIAS'!$A$2:$A$358,0),MOD(ROW()-2,6)+1),INDEX('BASE METAS DIÁRIAS'!$B$2:$G$358,MATCH($A349,'BASE METAS DIÁRIAS'!$A$2:$A$358,0),MOD(ROW()-2,6)+1),""),"")</f>
        <v/>
      </c>
      <c r="H349" s="159">
        <f>IFERROR(IF(INDEX('CONTROLE PRODUÇÃO POR EMPRESAS'!$B$6:$G$5000,MATCH($A349,'CONTROLE PRODUÇÃO POR EMPRESAS'!$A$6:$A$5000,0),MOD(ROW()-2,6)+1)="","",IFERROR(1*INDEX('CONTROLE PRODUÇÃO POR EMPRESAS'!$B$6:$G$5000,MATCH($A349,'CONTROLE PRODUÇÃO POR EMPRESAS'!$A$6:$A$5000,0),MOD(ROW()-2,6)+1),"")),"")</f>
        <v/>
      </c>
      <c r="I349" s="159">
        <f>IF(OR(NOT(ISNUMBER(G349)),NOT(ISNUMBER(H349))),"",H349-G349)</f>
        <v/>
      </c>
      <c r="J349" s="319">
        <f>IF(OR(NOT(ISNUMBER(G349)),NOT(ISNUMBER(H349)),G349=0),"",I349/G349)</f>
        <v/>
      </c>
      <c r="K349" s="319">
        <f>IF(OR(NOT(ISNUMBER(G349)),NOT(ISNUMBER(H349)),G349=0),"",H349/G349)</f>
        <v/>
      </c>
      <c r="L349">
        <f>IF(NOT(ISNUMBER(G349)),"SEM META",IF(G349=0,"SEM META",IF(NOT(ISNUMBER(H349)),"SEM APONTAMENTO",IF(H349&gt;=G349,"VERDE",IF(H349&gt;=G349*0.9,"AMARELO","VERMELHO")))))</f>
        <v/>
      </c>
      <c r="M349" s="162" t="n"/>
      <c r="N349" s="162" t="n"/>
      <c r="O349" s="162" t="n"/>
      <c r="P349" s="162" t="n"/>
      <c r="Q349" s="320" t="n"/>
      <c r="R349" s="162" t="inlineStr">
        <is>
          <t>CONTROLE PRODUÇÃO POR EMPRESAS!G63</t>
        </is>
      </c>
    </row>
    <row r="350" ht="28.5" customHeight="1">
      <c r="A350" s="317" t="n">
        <v>46281</v>
      </c>
      <c r="B350" t="inlineStr">
        <is>
          <t>GERAL</t>
        </is>
      </c>
      <c r="C350" t="inlineStr">
        <is>
          <t>EJ</t>
        </is>
      </c>
      <c r="D350" t="inlineStr">
        <is>
          <t>PREMONTAGEM</t>
        </is>
      </c>
      <c r="F350" s="159">
        <f>IFERROR(INDEX('BASE METAS DIÁRIAS'!$N$2:$S$358,MATCH($A350,'BASE METAS DIÁRIAS'!$A$2:$A$358,0),MOD(ROW()-2,6)+1),"")</f>
        <v/>
      </c>
      <c r="G350" s="159">
        <f>IFERROR(IF(WEEKDAY($A350,2)&lt;=INDEX('BASE METAS DIÁRIAS'!$H$2:$M$358,MATCH($A350,'BASE METAS DIÁRIAS'!$A$2:$A$358,0),MOD(ROW()-2,6)+1),INDEX('BASE METAS DIÁRIAS'!$B$2:$G$358,MATCH($A350,'BASE METAS DIÁRIAS'!$A$2:$A$358,0),MOD(ROW()-2,6)+1),""),"")</f>
        <v/>
      </c>
      <c r="H350" s="159">
        <f>IFERROR(IF(INDEX('CONTROLE PRODUÇÃO POR EMPRESAS'!$B$6:$G$5000,MATCH($A350,'CONTROLE PRODUÇÃO POR EMPRESAS'!$A$6:$A$5000,0),MOD(ROW()-2,6)+1)="","",IFERROR(1*INDEX('CONTROLE PRODUÇÃO POR EMPRESAS'!$B$6:$G$5000,MATCH($A350,'CONTROLE PRODUÇÃO POR EMPRESAS'!$A$6:$A$5000,0),MOD(ROW()-2,6)+1),"")),"")</f>
        <v/>
      </c>
      <c r="I350" s="159">
        <f>IF(OR(NOT(ISNUMBER(G350)),NOT(ISNUMBER(H350))),"",H350-G350)</f>
        <v/>
      </c>
      <c r="J350" s="319">
        <f>IF(OR(NOT(ISNUMBER(G350)),NOT(ISNUMBER(H350)),G350=0),"",I350/G350)</f>
        <v/>
      </c>
      <c r="K350" s="319">
        <f>IF(OR(NOT(ISNUMBER(G350)),NOT(ISNUMBER(H350)),G350=0),"",H350/G350)</f>
        <v/>
      </c>
      <c r="L350">
        <f>IF(NOT(ISNUMBER(G350)),"SEM META",IF(G350=0,"SEM META",IF(NOT(ISNUMBER(H350)),"SEM APONTAMENTO",IF(H350&gt;=G350,"VERDE",IF(H350&gt;=G350*0.9,"AMARELO","VERMELHO")))))</f>
        <v/>
      </c>
      <c r="M350" s="162" t="n"/>
      <c r="N350" s="162" t="n"/>
      <c r="O350" s="162" t="n"/>
      <c r="P350" s="162" t="n"/>
      <c r="Q350" s="320" t="n"/>
      <c r="R350" s="162" t="inlineStr">
        <is>
          <t>CONTROLE PRODUÇÃO POR EMPRESAS!B64</t>
        </is>
      </c>
    </row>
    <row r="351" ht="28.5" customHeight="1">
      <c r="A351" s="317" t="n">
        <v>46281</v>
      </c>
      <c r="B351" t="inlineStr">
        <is>
          <t>GERAL</t>
        </is>
      </c>
      <c r="C351" t="inlineStr">
        <is>
          <t>EJ</t>
        </is>
      </c>
      <c r="D351" t="inlineStr">
        <is>
          <t>IÇAMENTO JOIST</t>
        </is>
      </c>
      <c r="F351" s="159">
        <f>IFERROR(INDEX('BASE METAS DIÁRIAS'!$N$2:$S$358,MATCH($A351,'BASE METAS DIÁRIAS'!$A$2:$A$358,0),MOD(ROW()-2,6)+1),"")</f>
        <v/>
      </c>
      <c r="G351" s="159">
        <f>IFERROR(IF(WEEKDAY($A351,2)&lt;=INDEX('BASE METAS DIÁRIAS'!$H$2:$M$358,MATCH($A351,'BASE METAS DIÁRIAS'!$A$2:$A$358,0),MOD(ROW()-2,6)+1),INDEX('BASE METAS DIÁRIAS'!$B$2:$G$358,MATCH($A351,'BASE METAS DIÁRIAS'!$A$2:$A$358,0),MOD(ROW()-2,6)+1),""),"")</f>
        <v/>
      </c>
      <c r="H351" s="159">
        <f>IFERROR(IF(INDEX('CONTROLE PRODUÇÃO POR EMPRESAS'!$B$6:$G$5000,MATCH($A351,'CONTROLE PRODUÇÃO POR EMPRESAS'!$A$6:$A$5000,0),MOD(ROW()-2,6)+1)="","",IFERROR(1*INDEX('CONTROLE PRODUÇÃO POR EMPRESAS'!$B$6:$G$5000,MATCH($A351,'CONTROLE PRODUÇÃO POR EMPRESAS'!$A$6:$A$5000,0),MOD(ROW()-2,6)+1),"")),"")</f>
        <v/>
      </c>
      <c r="I351" s="159">
        <f>IF(OR(NOT(ISNUMBER(G351)),NOT(ISNUMBER(H351))),"",H351-G351)</f>
        <v/>
      </c>
      <c r="J351" s="319">
        <f>IF(OR(NOT(ISNUMBER(G351)),NOT(ISNUMBER(H351)),G351=0),"",I351/G351)</f>
        <v/>
      </c>
      <c r="K351" s="319">
        <f>IF(OR(NOT(ISNUMBER(G351)),NOT(ISNUMBER(H351)),G351=0),"",H351/G351)</f>
        <v/>
      </c>
      <c r="L351">
        <f>IF(NOT(ISNUMBER(G351)),"SEM META",IF(G351=0,"SEM META",IF(NOT(ISNUMBER(H351)),"SEM APONTAMENTO",IF(H351&gt;=G351,"VERDE",IF(H351&gt;=G351*0.9,"AMARELO","VERMELHO")))))</f>
        <v/>
      </c>
      <c r="M351" s="162" t="n"/>
      <c r="N351" s="162" t="n"/>
      <c r="O351" s="162" t="n"/>
      <c r="P351" s="162" t="n"/>
      <c r="Q351" s="320" t="n"/>
      <c r="R351" s="162" t="inlineStr">
        <is>
          <t>CONTROLE PRODUÇÃO POR EMPRESAS!C64</t>
        </is>
      </c>
    </row>
    <row r="352" ht="28.5" customHeight="1">
      <c r="A352" s="317" t="n">
        <v>46281</v>
      </c>
      <c r="B352" t="inlineStr">
        <is>
          <t>GERAL</t>
        </is>
      </c>
      <c r="C352" t="inlineStr">
        <is>
          <t>EJ</t>
        </is>
      </c>
      <c r="D352" t="inlineStr">
        <is>
          <t>VIGAS</t>
        </is>
      </c>
      <c r="F352" s="159">
        <f>IFERROR(INDEX('BASE METAS DIÁRIAS'!$N$2:$S$358,MATCH($A352,'BASE METAS DIÁRIAS'!$A$2:$A$358,0),MOD(ROW()-2,6)+1),"")</f>
        <v/>
      </c>
      <c r="G352" s="159">
        <f>IFERROR(IF(WEEKDAY($A352,2)&lt;=INDEX('BASE METAS DIÁRIAS'!$H$2:$M$358,MATCH($A352,'BASE METAS DIÁRIAS'!$A$2:$A$358,0),MOD(ROW()-2,6)+1),INDEX('BASE METAS DIÁRIAS'!$B$2:$G$358,MATCH($A352,'BASE METAS DIÁRIAS'!$A$2:$A$358,0),MOD(ROW()-2,6)+1),""),"")</f>
        <v/>
      </c>
      <c r="H352" s="159">
        <f>IFERROR(IF(INDEX('CONTROLE PRODUÇÃO POR EMPRESAS'!$B$6:$G$5000,MATCH($A352,'CONTROLE PRODUÇÃO POR EMPRESAS'!$A$6:$A$5000,0),MOD(ROW()-2,6)+1)="","",IFERROR(1*INDEX('CONTROLE PRODUÇÃO POR EMPRESAS'!$B$6:$G$5000,MATCH($A352,'CONTROLE PRODUÇÃO POR EMPRESAS'!$A$6:$A$5000,0),MOD(ROW()-2,6)+1),"")),"")</f>
        <v/>
      </c>
      <c r="I352" s="159">
        <f>IF(OR(NOT(ISNUMBER(G352)),NOT(ISNUMBER(H352))),"",H352-G352)</f>
        <v/>
      </c>
      <c r="J352" s="319">
        <f>IF(OR(NOT(ISNUMBER(G352)),NOT(ISNUMBER(H352)),G352=0),"",I352/G352)</f>
        <v/>
      </c>
      <c r="K352" s="319">
        <f>IF(OR(NOT(ISNUMBER(G352)),NOT(ISNUMBER(H352)),G352=0),"",H352/G352)</f>
        <v/>
      </c>
      <c r="L352">
        <f>IF(NOT(ISNUMBER(G352)),"SEM META",IF(G352=0,"SEM META",IF(NOT(ISNUMBER(H352)),"SEM APONTAMENTO",IF(H352&gt;=G352,"VERDE",IF(H352&gt;=G352*0.9,"AMARELO","VERMELHO")))))</f>
        <v/>
      </c>
      <c r="M352" s="162" t="n"/>
      <c r="N352" s="162" t="n"/>
      <c r="O352" s="162" t="n"/>
      <c r="P352" s="162" t="n"/>
      <c r="Q352" s="320" t="n"/>
      <c r="R352" s="162" t="inlineStr">
        <is>
          <t>CONTROLE PRODUÇÃO POR EMPRESAS!D64</t>
        </is>
      </c>
    </row>
    <row r="353" ht="28.5" customHeight="1">
      <c r="A353" s="317" t="n">
        <v>46281</v>
      </c>
      <c r="B353" t="inlineStr">
        <is>
          <t>GERAL</t>
        </is>
      </c>
      <c r="C353" t="inlineStr">
        <is>
          <t>CMM</t>
        </is>
      </c>
      <c r="D353" t="inlineStr">
        <is>
          <t>PREMONTAGEM</t>
        </is>
      </c>
      <c r="F353" s="159">
        <f>IFERROR(INDEX('BASE METAS DIÁRIAS'!$N$2:$S$358,MATCH($A353,'BASE METAS DIÁRIAS'!$A$2:$A$358,0),MOD(ROW()-2,6)+1),"")</f>
        <v/>
      </c>
      <c r="G353" s="159">
        <f>IFERROR(IF(WEEKDAY($A353,2)&lt;=INDEX('BASE METAS DIÁRIAS'!$H$2:$M$358,MATCH($A353,'BASE METAS DIÁRIAS'!$A$2:$A$358,0),MOD(ROW()-2,6)+1),INDEX('BASE METAS DIÁRIAS'!$B$2:$G$358,MATCH($A353,'BASE METAS DIÁRIAS'!$A$2:$A$358,0),MOD(ROW()-2,6)+1),""),"")</f>
        <v/>
      </c>
      <c r="H353" s="159">
        <f>IFERROR(IF(INDEX('CONTROLE PRODUÇÃO POR EMPRESAS'!$B$6:$G$5000,MATCH($A353,'CONTROLE PRODUÇÃO POR EMPRESAS'!$A$6:$A$5000,0),MOD(ROW()-2,6)+1)="","",IFERROR(1*INDEX('CONTROLE PRODUÇÃO POR EMPRESAS'!$B$6:$G$5000,MATCH($A353,'CONTROLE PRODUÇÃO POR EMPRESAS'!$A$6:$A$5000,0),MOD(ROW()-2,6)+1),"")),"")</f>
        <v/>
      </c>
      <c r="I353" s="159">
        <f>IF(OR(NOT(ISNUMBER(G353)),NOT(ISNUMBER(H353))),"",H353-G353)</f>
        <v/>
      </c>
      <c r="J353" s="319">
        <f>IF(OR(NOT(ISNUMBER(G353)),NOT(ISNUMBER(H353)),G353=0),"",I353/G353)</f>
        <v/>
      </c>
      <c r="K353" s="319">
        <f>IF(OR(NOT(ISNUMBER(G353)),NOT(ISNUMBER(H353)),G353=0),"",H353/G353)</f>
        <v/>
      </c>
      <c r="L353">
        <f>IF(NOT(ISNUMBER(G353)),"SEM META",IF(G353=0,"SEM META",IF(NOT(ISNUMBER(H353)),"SEM APONTAMENTO",IF(H353&gt;=G353,"VERDE",IF(H353&gt;=G353*0.9,"AMARELO","VERMELHO")))))</f>
        <v/>
      </c>
      <c r="M353" s="162" t="n"/>
      <c r="N353" s="162" t="n"/>
      <c r="O353" s="162" t="n"/>
      <c r="P353" s="162" t="n"/>
      <c r="Q353" s="320" t="n"/>
      <c r="R353" s="162" t="inlineStr">
        <is>
          <t>CONTROLE PRODUÇÃO POR EMPRESAS!E64</t>
        </is>
      </c>
    </row>
    <row r="354" ht="28.5" customHeight="1">
      <c r="A354" s="317" t="n">
        <v>46281</v>
      </c>
      <c r="B354" t="inlineStr">
        <is>
          <t>GERAL</t>
        </is>
      </c>
      <c r="C354" t="inlineStr">
        <is>
          <t>CMM</t>
        </is>
      </c>
      <c r="D354" t="inlineStr">
        <is>
          <t>IÇAMENTO JOIST</t>
        </is>
      </c>
      <c r="F354" s="159">
        <f>IFERROR(INDEX('BASE METAS DIÁRIAS'!$N$2:$S$358,MATCH($A354,'BASE METAS DIÁRIAS'!$A$2:$A$358,0),MOD(ROW()-2,6)+1),"")</f>
        <v/>
      </c>
      <c r="G354" s="159">
        <f>IFERROR(IF(WEEKDAY($A354,2)&lt;=INDEX('BASE METAS DIÁRIAS'!$H$2:$M$358,MATCH($A354,'BASE METAS DIÁRIAS'!$A$2:$A$358,0),MOD(ROW()-2,6)+1),INDEX('BASE METAS DIÁRIAS'!$B$2:$G$358,MATCH($A354,'BASE METAS DIÁRIAS'!$A$2:$A$358,0),MOD(ROW()-2,6)+1),""),"")</f>
        <v/>
      </c>
      <c r="H354" s="159">
        <f>IFERROR(IF(INDEX('CONTROLE PRODUÇÃO POR EMPRESAS'!$B$6:$G$5000,MATCH($A354,'CONTROLE PRODUÇÃO POR EMPRESAS'!$A$6:$A$5000,0),MOD(ROW()-2,6)+1)="","",IFERROR(1*INDEX('CONTROLE PRODUÇÃO POR EMPRESAS'!$B$6:$G$5000,MATCH($A354,'CONTROLE PRODUÇÃO POR EMPRESAS'!$A$6:$A$5000,0),MOD(ROW()-2,6)+1),"")),"")</f>
        <v/>
      </c>
      <c r="I354" s="159">
        <f>IF(OR(NOT(ISNUMBER(G354)),NOT(ISNUMBER(H354))),"",H354-G354)</f>
        <v/>
      </c>
      <c r="J354" s="319">
        <f>IF(OR(NOT(ISNUMBER(G354)),NOT(ISNUMBER(H354)),G354=0),"",I354/G354)</f>
        <v/>
      </c>
      <c r="K354" s="319">
        <f>IF(OR(NOT(ISNUMBER(G354)),NOT(ISNUMBER(H354)),G354=0),"",H354/G354)</f>
        <v/>
      </c>
      <c r="L354">
        <f>IF(NOT(ISNUMBER(G354)),"SEM META",IF(G354=0,"SEM META",IF(NOT(ISNUMBER(H354)),"SEM APONTAMENTO",IF(H354&gt;=G354,"VERDE",IF(H354&gt;=G354*0.9,"AMARELO","VERMELHO")))))</f>
        <v/>
      </c>
      <c r="M354" s="162" t="n"/>
      <c r="N354" s="162" t="n"/>
      <c r="O354" s="162" t="n"/>
      <c r="P354" s="162" t="n"/>
      <c r="Q354" s="320" t="n"/>
      <c r="R354" s="162" t="inlineStr">
        <is>
          <t>CONTROLE PRODUÇÃO POR EMPRESAS!F64</t>
        </is>
      </c>
    </row>
    <row r="355" ht="28.5" customHeight="1">
      <c r="A355" s="317" t="n">
        <v>46281</v>
      </c>
      <c r="B355" t="inlineStr">
        <is>
          <t>GERAL</t>
        </is>
      </c>
      <c r="C355" t="inlineStr">
        <is>
          <t>CMM</t>
        </is>
      </c>
      <c r="D355" t="inlineStr">
        <is>
          <t>VIGAS</t>
        </is>
      </c>
      <c r="F355" s="159">
        <f>IFERROR(INDEX('BASE METAS DIÁRIAS'!$N$2:$S$358,MATCH($A355,'BASE METAS DIÁRIAS'!$A$2:$A$358,0),MOD(ROW()-2,6)+1),"")</f>
        <v/>
      </c>
      <c r="G355" s="159">
        <f>IFERROR(IF(WEEKDAY($A355,2)&lt;=INDEX('BASE METAS DIÁRIAS'!$H$2:$M$358,MATCH($A355,'BASE METAS DIÁRIAS'!$A$2:$A$358,0),MOD(ROW()-2,6)+1),INDEX('BASE METAS DIÁRIAS'!$B$2:$G$358,MATCH($A355,'BASE METAS DIÁRIAS'!$A$2:$A$358,0),MOD(ROW()-2,6)+1),""),"")</f>
        <v/>
      </c>
      <c r="H355" s="159">
        <f>IFERROR(IF(INDEX('CONTROLE PRODUÇÃO POR EMPRESAS'!$B$6:$G$5000,MATCH($A355,'CONTROLE PRODUÇÃO POR EMPRESAS'!$A$6:$A$5000,0),MOD(ROW()-2,6)+1)="","",IFERROR(1*INDEX('CONTROLE PRODUÇÃO POR EMPRESAS'!$B$6:$G$5000,MATCH($A355,'CONTROLE PRODUÇÃO POR EMPRESAS'!$A$6:$A$5000,0),MOD(ROW()-2,6)+1),"")),"")</f>
        <v/>
      </c>
      <c r="I355" s="159">
        <f>IF(OR(NOT(ISNUMBER(G355)),NOT(ISNUMBER(H355))),"",H355-G355)</f>
        <v/>
      </c>
      <c r="J355" s="319">
        <f>IF(OR(NOT(ISNUMBER(G355)),NOT(ISNUMBER(H355)),G355=0),"",I355/G355)</f>
        <v/>
      </c>
      <c r="K355" s="319">
        <f>IF(OR(NOT(ISNUMBER(G355)),NOT(ISNUMBER(H355)),G355=0),"",H355/G355)</f>
        <v/>
      </c>
      <c r="L355">
        <f>IF(NOT(ISNUMBER(G355)),"SEM META",IF(G355=0,"SEM META",IF(NOT(ISNUMBER(H355)),"SEM APONTAMENTO",IF(H355&gt;=G355,"VERDE",IF(H355&gt;=G355*0.9,"AMARELO","VERMELHO")))))</f>
        <v/>
      </c>
      <c r="M355" s="162" t="n"/>
      <c r="N355" s="162" t="n"/>
      <c r="O355" s="162" t="n"/>
      <c r="P355" s="162" t="n"/>
      <c r="Q355" s="320" t="n"/>
      <c r="R355" s="162" t="inlineStr">
        <is>
          <t>CONTROLE PRODUÇÃO POR EMPRESAS!G64</t>
        </is>
      </c>
    </row>
    <row r="356" ht="28.5" customHeight="1">
      <c r="A356" s="317" t="n">
        <v>46282</v>
      </c>
      <c r="B356" t="inlineStr">
        <is>
          <t>GERAL</t>
        </is>
      </c>
      <c r="C356" t="inlineStr">
        <is>
          <t>EJ</t>
        </is>
      </c>
      <c r="D356" t="inlineStr">
        <is>
          <t>PREMONTAGEM</t>
        </is>
      </c>
      <c r="F356" s="159">
        <f>IFERROR(INDEX('BASE METAS DIÁRIAS'!$N$2:$S$358,MATCH($A356,'BASE METAS DIÁRIAS'!$A$2:$A$358,0),MOD(ROW()-2,6)+1),"")</f>
        <v/>
      </c>
      <c r="G356" s="159">
        <f>IFERROR(IF(WEEKDAY($A356,2)&lt;=INDEX('BASE METAS DIÁRIAS'!$H$2:$M$358,MATCH($A356,'BASE METAS DIÁRIAS'!$A$2:$A$358,0),MOD(ROW()-2,6)+1),INDEX('BASE METAS DIÁRIAS'!$B$2:$G$358,MATCH($A356,'BASE METAS DIÁRIAS'!$A$2:$A$358,0),MOD(ROW()-2,6)+1),""),"")</f>
        <v/>
      </c>
      <c r="H356" s="159">
        <f>IFERROR(IF(INDEX('CONTROLE PRODUÇÃO POR EMPRESAS'!$B$6:$G$5000,MATCH($A356,'CONTROLE PRODUÇÃO POR EMPRESAS'!$A$6:$A$5000,0),MOD(ROW()-2,6)+1)="","",IFERROR(1*INDEX('CONTROLE PRODUÇÃO POR EMPRESAS'!$B$6:$G$5000,MATCH($A356,'CONTROLE PRODUÇÃO POR EMPRESAS'!$A$6:$A$5000,0),MOD(ROW()-2,6)+1),"")),"")</f>
        <v/>
      </c>
      <c r="I356" s="159">
        <f>IF(OR(NOT(ISNUMBER(G356)),NOT(ISNUMBER(H356))),"",H356-G356)</f>
        <v/>
      </c>
      <c r="J356" s="319">
        <f>IF(OR(NOT(ISNUMBER(G356)),NOT(ISNUMBER(H356)),G356=0),"",I356/G356)</f>
        <v/>
      </c>
      <c r="K356" s="319">
        <f>IF(OR(NOT(ISNUMBER(G356)),NOT(ISNUMBER(H356)),G356=0),"",H356/G356)</f>
        <v/>
      </c>
      <c r="L356">
        <f>IF(NOT(ISNUMBER(G356)),"SEM META",IF(G356=0,"SEM META",IF(NOT(ISNUMBER(H356)),"SEM APONTAMENTO",IF(H356&gt;=G356,"VERDE",IF(H356&gt;=G356*0.9,"AMARELO","VERMELHO")))))</f>
        <v/>
      </c>
      <c r="M356" s="162" t="n"/>
      <c r="N356" s="162" t="n"/>
      <c r="O356" s="162" t="n"/>
      <c r="P356" s="162" t="n"/>
      <c r="Q356" s="320" t="n"/>
      <c r="R356" s="162" t="inlineStr">
        <is>
          <t>CONTROLE PRODUÇÃO POR EMPRESAS!B65</t>
        </is>
      </c>
    </row>
    <row r="357" ht="28.5" customHeight="1">
      <c r="A357" s="317" t="n">
        <v>46282</v>
      </c>
      <c r="B357" t="inlineStr">
        <is>
          <t>GERAL</t>
        </is>
      </c>
      <c r="C357" t="inlineStr">
        <is>
          <t>EJ</t>
        </is>
      </c>
      <c r="D357" t="inlineStr">
        <is>
          <t>IÇAMENTO JOIST</t>
        </is>
      </c>
      <c r="F357" s="159">
        <f>IFERROR(INDEX('BASE METAS DIÁRIAS'!$N$2:$S$358,MATCH($A357,'BASE METAS DIÁRIAS'!$A$2:$A$358,0),MOD(ROW()-2,6)+1),"")</f>
        <v/>
      </c>
      <c r="G357" s="159">
        <f>IFERROR(IF(WEEKDAY($A357,2)&lt;=INDEX('BASE METAS DIÁRIAS'!$H$2:$M$358,MATCH($A357,'BASE METAS DIÁRIAS'!$A$2:$A$358,0),MOD(ROW()-2,6)+1),INDEX('BASE METAS DIÁRIAS'!$B$2:$G$358,MATCH($A357,'BASE METAS DIÁRIAS'!$A$2:$A$358,0),MOD(ROW()-2,6)+1),""),"")</f>
        <v/>
      </c>
      <c r="H357" s="159">
        <f>IFERROR(IF(INDEX('CONTROLE PRODUÇÃO POR EMPRESAS'!$B$6:$G$5000,MATCH($A357,'CONTROLE PRODUÇÃO POR EMPRESAS'!$A$6:$A$5000,0),MOD(ROW()-2,6)+1)="","",IFERROR(1*INDEX('CONTROLE PRODUÇÃO POR EMPRESAS'!$B$6:$G$5000,MATCH($A357,'CONTROLE PRODUÇÃO POR EMPRESAS'!$A$6:$A$5000,0),MOD(ROW()-2,6)+1),"")),"")</f>
        <v/>
      </c>
      <c r="I357" s="159">
        <f>IF(OR(NOT(ISNUMBER(G357)),NOT(ISNUMBER(H357))),"",H357-G357)</f>
        <v/>
      </c>
      <c r="J357" s="319">
        <f>IF(OR(NOT(ISNUMBER(G357)),NOT(ISNUMBER(H357)),G357=0),"",I357/G357)</f>
        <v/>
      </c>
      <c r="K357" s="319">
        <f>IF(OR(NOT(ISNUMBER(G357)),NOT(ISNUMBER(H357)),G357=0),"",H357/G357)</f>
        <v/>
      </c>
      <c r="L357">
        <f>IF(NOT(ISNUMBER(G357)),"SEM META",IF(G357=0,"SEM META",IF(NOT(ISNUMBER(H357)),"SEM APONTAMENTO",IF(H357&gt;=G357,"VERDE",IF(H357&gt;=G357*0.9,"AMARELO","VERMELHO")))))</f>
        <v/>
      </c>
      <c r="M357" s="162" t="n"/>
      <c r="N357" s="162" t="n"/>
      <c r="O357" s="162" t="n"/>
      <c r="P357" s="162" t="n"/>
      <c r="Q357" s="320" t="n"/>
      <c r="R357" s="162" t="inlineStr">
        <is>
          <t>CONTROLE PRODUÇÃO POR EMPRESAS!C65</t>
        </is>
      </c>
    </row>
    <row r="358" ht="28.5" customHeight="1">
      <c r="A358" s="317" t="n">
        <v>46282</v>
      </c>
      <c r="B358" t="inlineStr">
        <is>
          <t>GERAL</t>
        </is>
      </c>
      <c r="C358" t="inlineStr">
        <is>
          <t>EJ</t>
        </is>
      </c>
      <c r="D358" t="inlineStr">
        <is>
          <t>VIGAS</t>
        </is>
      </c>
      <c r="F358" s="159">
        <f>IFERROR(INDEX('BASE METAS DIÁRIAS'!$N$2:$S$358,MATCH($A358,'BASE METAS DIÁRIAS'!$A$2:$A$358,0),MOD(ROW()-2,6)+1),"")</f>
        <v/>
      </c>
      <c r="G358" s="159">
        <f>IFERROR(IF(WEEKDAY($A358,2)&lt;=INDEX('BASE METAS DIÁRIAS'!$H$2:$M$358,MATCH($A358,'BASE METAS DIÁRIAS'!$A$2:$A$358,0),MOD(ROW()-2,6)+1),INDEX('BASE METAS DIÁRIAS'!$B$2:$G$358,MATCH($A358,'BASE METAS DIÁRIAS'!$A$2:$A$358,0),MOD(ROW()-2,6)+1),""),"")</f>
        <v/>
      </c>
      <c r="H358" s="159">
        <f>IFERROR(IF(INDEX('CONTROLE PRODUÇÃO POR EMPRESAS'!$B$6:$G$5000,MATCH($A358,'CONTROLE PRODUÇÃO POR EMPRESAS'!$A$6:$A$5000,0),MOD(ROW()-2,6)+1)="","",IFERROR(1*INDEX('CONTROLE PRODUÇÃO POR EMPRESAS'!$B$6:$G$5000,MATCH($A358,'CONTROLE PRODUÇÃO POR EMPRESAS'!$A$6:$A$5000,0),MOD(ROW()-2,6)+1),"")),"")</f>
        <v/>
      </c>
      <c r="I358" s="159">
        <f>IF(OR(NOT(ISNUMBER(G358)),NOT(ISNUMBER(H358))),"",H358-G358)</f>
        <v/>
      </c>
      <c r="J358" s="319">
        <f>IF(OR(NOT(ISNUMBER(G358)),NOT(ISNUMBER(H358)),G358=0),"",I358/G358)</f>
        <v/>
      </c>
      <c r="K358" s="319">
        <f>IF(OR(NOT(ISNUMBER(G358)),NOT(ISNUMBER(H358)),G358=0),"",H358/G358)</f>
        <v/>
      </c>
      <c r="L358">
        <f>IF(NOT(ISNUMBER(G358)),"SEM META",IF(G358=0,"SEM META",IF(NOT(ISNUMBER(H358)),"SEM APONTAMENTO",IF(H358&gt;=G358,"VERDE",IF(H358&gt;=G358*0.9,"AMARELO","VERMELHO")))))</f>
        <v/>
      </c>
      <c r="M358" s="162" t="n"/>
      <c r="N358" s="162" t="n"/>
      <c r="O358" s="162" t="n"/>
      <c r="P358" s="162" t="n"/>
      <c r="Q358" s="320" t="n"/>
      <c r="R358" s="162" t="inlineStr">
        <is>
          <t>CONTROLE PRODUÇÃO POR EMPRESAS!D65</t>
        </is>
      </c>
    </row>
    <row r="359" ht="28.5" customHeight="1">
      <c r="A359" s="317" t="n">
        <v>46282</v>
      </c>
      <c r="B359" t="inlineStr">
        <is>
          <t>GERAL</t>
        </is>
      </c>
      <c r="C359" t="inlineStr">
        <is>
          <t>CMM</t>
        </is>
      </c>
      <c r="D359" t="inlineStr">
        <is>
          <t>PREMONTAGEM</t>
        </is>
      </c>
      <c r="F359" s="159">
        <f>IFERROR(INDEX('BASE METAS DIÁRIAS'!$N$2:$S$358,MATCH($A359,'BASE METAS DIÁRIAS'!$A$2:$A$358,0),MOD(ROW()-2,6)+1),"")</f>
        <v/>
      </c>
      <c r="G359" s="159">
        <f>IFERROR(IF(WEEKDAY($A359,2)&lt;=INDEX('BASE METAS DIÁRIAS'!$H$2:$M$358,MATCH($A359,'BASE METAS DIÁRIAS'!$A$2:$A$358,0),MOD(ROW()-2,6)+1),INDEX('BASE METAS DIÁRIAS'!$B$2:$G$358,MATCH($A359,'BASE METAS DIÁRIAS'!$A$2:$A$358,0),MOD(ROW()-2,6)+1),""),"")</f>
        <v/>
      </c>
      <c r="H359" s="159">
        <f>IFERROR(IF(INDEX('CONTROLE PRODUÇÃO POR EMPRESAS'!$B$6:$G$5000,MATCH($A359,'CONTROLE PRODUÇÃO POR EMPRESAS'!$A$6:$A$5000,0),MOD(ROW()-2,6)+1)="","",IFERROR(1*INDEX('CONTROLE PRODUÇÃO POR EMPRESAS'!$B$6:$G$5000,MATCH($A359,'CONTROLE PRODUÇÃO POR EMPRESAS'!$A$6:$A$5000,0),MOD(ROW()-2,6)+1),"")),"")</f>
        <v/>
      </c>
      <c r="I359" s="159">
        <f>IF(OR(NOT(ISNUMBER(G359)),NOT(ISNUMBER(H359))),"",H359-G359)</f>
        <v/>
      </c>
      <c r="J359" s="319">
        <f>IF(OR(NOT(ISNUMBER(G359)),NOT(ISNUMBER(H359)),G359=0),"",I359/G359)</f>
        <v/>
      </c>
      <c r="K359" s="319">
        <f>IF(OR(NOT(ISNUMBER(G359)),NOT(ISNUMBER(H359)),G359=0),"",H359/G359)</f>
        <v/>
      </c>
      <c r="L359">
        <f>IF(NOT(ISNUMBER(G359)),"SEM META",IF(G359=0,"SEM META",IF(NOT(ISNUMBER(H359)),"SEM APONTAMENTO",IF(H359&gt;=G359,"VERDE",IF(H359&gt;=G359*0.9,"AMARELO","VERMELHO")))))</f>
        <v/>
      </c>
      <c r="M359" s="162" t="n"/>
      <c r="N359" s="162" t="n"/>
      <c r="O359" s="162" t="n"/>
      <c r="P359" s="162" t="n"/>
      <c r="Q359" s="320" t="n"/>
      <c r="R359" s="162" t="inlineStr">
        <is>
          <t>CONTROLE PRODUÇÃO POR EMPRESAS!E65</t>
        </is>
      </c>
    </row>
    <row r="360" ht="28.5" customHeight="1">
      <c r="A360" s="317" t="n">
        <v>46282</v>
      </c>
      <c r="B360" t="inlineStr">
        <is>
          <t>GERAL</t>
        </is>
      </c>
      <c r="C360" t="inlineStr">
        <is>
          <t>CMM</t>
        </is>
      </c>
      <c r="D360" t="inlineStr">
        <is>
          <t>IÇAMENTO JOIST</t>
        </is>
      </c>
      <c r="F360" s="159">
        <f>IFERROR(INDEX('BASE METAS DIÁRIAS'!$N$2:$S$358,MATCH($A360,'BASE METAS DIÁRIAS'!$A$2:$A$358,0),MOD(ROW()-2,6)+1),"")</f>
        <v/>
      </c>
      <c r="G360" s="159">
        <f>IFERROR(IF(WEEKDAY($A360,2)&lt;=INDEX('BASE METAS DIÁRIAS'!$H$2:$M$358,MATCH($A360,'BASE METAS DIÁRIAS'!$A$2:$A$358,0),MOD(ROW()-2,6)+1),INDEX('BASE METAS DIÁRIAS'!$B$2:$G$358,MATCH($A360,'BASE METAS DIÁRIAS'!$A$2:$A$358,0),MOD(ROW()-2,6)+1),""),"")</f>
        <v/>
      </c>
      <c r="H360" s="159">
        <f>IFERROR(IF(INDEX('CONTROLE PRODUÇÃO POR EMPRESAS'!$B$6:$G$5000,MATCH($A360,'CONTROLE PRODUÇÃO POR EMPRESAS'!$A$6:$A$5000,0),MOD(ROW()-2,6)+1)="","",IFERROR(1*INDEX('CONTROLE PRODUÇÃO POR EMPRESAS'!$B$6:$G$5000,MATCH($A360,'CONTROLE PRODUÇÃO POR EMPRESAS'!$A$6:$A$5000,0),MOD(ROW()-2,6)+1),"")),"")</f>
        <v/>
      </c>
      <c r="I360" s="159">
        <f>IF(OR(NOT(ISNUMBER(G360)),NOT(ISNUMBER(H360))),"",H360-G360)</f>
        <v/>
      </c>
      <c r="J360" s="319">
        <f>IF(OR(NOT(ISNUMBER(G360)),NOT(ISNUMBER(H360)),G360=0),"",I360/G360)</f>
        <v/>
      </c>
      <c r="K360" s="319">
        <f>IF(OR(NOT(ISNUMBER(G360)),NOT(ISNUMBER(H360)),G360=0),"",H360/G360)</f>
        <v/>
      </c>
      <c r="L360">
        <f>IF(NOT(ISNUMBER(G360)),"SEM META",IF(G360=0,"SEM META",IF(NOT(ISNUMBER(H360)),"SEM APONTAMENTO",IF(H360&gt;=G360,"VERDE",IF(H360&gt;=G360*0.9,"AMARELO","VERMELHO")))))</f>
        <v/>
      </c>
      <c r="M360" s="162" t="n"/>
      <c r="N360" s="162" t="n"/>
      <c r="O360" s="162" t="n"/>
      <c r="P360" s="162" t="n"/>
      <c r="Q360" s="320" t="n"/>
      <c r="R360" s="162" t="inlineStr">
        <is>
          <t>CONTROLE PRODUÇÃO POR EMPRESAS!F65</t>
        </is>
      </c>
    </row>
    <row r="361" ht="28.5" customHeight="1">
      <c r="A361" s="317" t="n">
        <v>46282</v>
      </c>
      <c r="B361" t="inlineStr">
        <is>
          <t>GERAL</t>
        </is>
      </c>
      <c r="C361" t="inlineStr">
        <is>
          <t>CMM</t>
        </is>
      </c>
      <c r="D361" t="inlineStr">
        <is>
          <t>VIGAS</t>
        </is>
      </c>
      <c r="F361" s="159">
        <f>IFERROR(INDEX('BASE METAS DIÁRIAS'!$N$2:$S$358,MATCH($A361,'BASE METAS DIÁRIAS'!$A$2:$A$358,0),MOD(ROW()-2,6)+1),"")</f>
        <v/>
      </c>
      <c r="G361" s="159">
        <f>IFERROR(IF(WEEKDAY($A361,2)&lt;=INDEX('BASE METAS DIÁRIAS'!$H$2:$M$358,MATCH($A361,'BASE METAS DIÁRIAS'!$A$2:$A$358,0),MOD(ROW()-2,6)+1),INDEX('BASE METAS DIÁRIAS'!$B$2:$G$358,MATCH($A361,'BASE METAS DIÁRIAS'!$A$2:$A$358,0),MOD(ROW()-2,6)+1),""),"")</f>
        <v/>
      </c>
      <c r="H361" s="159">
        <f>IFERROR(IF(INDEX('CONTROLE PRODUÇÃO POR EMPRESAS'!$B$6:$G$5000,MATCH($A361,'CONTROLE PRODUÇÃO POR EMPRESAS'!$A$6:$A$5000,0),MOD(ROW()-2,6)+1)="","",IFERROR(1*INDEX('CONTROLE PRODUÇÃO POR EMPRESAS'!$B$6:$G$5000,MATCH($A361,'CONTROLE PRODUÇÃO POR EMPRESAS'!$A$6:$A$5000,0),MOD(ROW()-2,6)+1),"")),"")</f>
        <v/>
      </c>
      <c r="I361" s="159">
        <f>IF(OR(NOT(ISNUMBER(G361)),NOT(ISNUMBER(H361))),"",H361-G361)</f>
        <v/>
      </c>
      <c r="J361" s="319">
        <f>IF(OR(NOT(ISNUMBER(G361)),NOT(ISNUMBER(H361)),G361=0),"",I361/G361)</f>
        <v/>
      </c>
      <c r="K361" s="319">
        <f>IF(OR(NOT(ISNUMBER(G361)),NOT(ISNUMBER(H361)),G361=0),"",H361/G361)</f>
        <v/>
      </c>
      <c r="L361">
        <f>IF(NOT(ISNUMBER(G361)),"SEM META",IF(G361=0,"SEM META",IF(NOT(ISNUMBER(H361)),"SEM APONTAMENTO",IF(H361&gt;=G361,"VERDE",IF(H361&gt;=G361*0.9,"AMARELO","VERMELHO")))))</f>
        <v/>
      </c>
      <c r="M361" s="162" t="n"/>
      <c r="N361" s="162" t="n"/>
      <c r="O361" s="162" t="n"/>
      <c r="P361" s="162" t="n"/>
      <c r="Q361" s="320" t="n"/>
      <c r="R361" s="162" t="inlineStr">
        <is>
          <t>CONTROLE PRODUÇÃO POR EMPRESAS!G65</t>
        </is>
      </c>
    </row>
    <row r="362" ht="28.5" customHeight="1">
      <c r="A362" s="317" t="n">
        <v>46283</v>
      </c>
      <c r="B362" t="inlineStr">
        <is>
          <t>GERAL</t>
        </is>
      </c>
      <c r="C362" t="inlineStr">
        <is>
          <t>EJ</t>
        </is>
      </c>
      <c r="D362" t="inlineStr">
        <is>
          <t>PREMONTAGEM</t>
        </is>
      </c>
      <c r="F362" s="159">
        <f>IFERROR(INDEX('BASE METAS DIÁRIAS'!$N$2:$S$358,MATCH($A362,'BASE METAS DIÁRIAS'!$A$2:$A$358,0),MOD(ROW()-2,6)+1),"")</f>
        <v/>
      </c>
      <c r="G362" s="159">
        <f>IFERROR(IF(WEEKDAY($A362,2)&lt;=INDEX('BASE METAS DIÁRIAS'!$H$2:$M$358,MATCH($A362,'BASE METAS DIÁRIAS'!$A$2:$A$358,0),MOD(ROW()-2,6)+1),INDEX('BASE METAS DIÁRIAS'!$B$2:$G$358,MATCH($A362,'BASE METAS DIÁRIAS'!$A$2:$A$358,0),MOD(ROW()-2,6)+1),""),"")</f>
        <v/>
      </c>
      <c r="H362" s="159">
        <f>IFERROR(IF(INDEX('CONTROLE PRODUÇÃO POR EMPRESAS'!$B$6:$G$5000,MATCH($A362,'CONTROLE PRODUÇÃO POR EMPRESAS'!$A$6:$A$5000,0),MOD(ROW()-2,6)+1)="","",IFERROR(1*INDEX('CONTROLE PRODUÇÃO POR EMPRESAS'!$B$6:$G$5000,MATCH($A362,'CONTROLE PRODUÇÃO POR EMPRESAS'!$A$6:$A$5000,0),MOD(ROW()-2,6)+1),"")),"")</f>
        <v/>
      </c>
      <c r="I362" s="159">
        <f>IF(OR(NOT(ISNUMBER(G362)),NOT(ISNUMBER(H362))),"",H362-G362)</f>
        <v/>
      </c>
      <c r="J362" s="319">
        <f>IF(OR(NOT(ISNUMBER(G362)),NOT(ISNUMBER(H362)),G362=0),"",I362/G362)</f>
        <v/>
      </c>
      <c r="K362" s="319">
        <f>IF(OR(NOT(ISNUMBER(G362)),NOT(ISNUMBER(H362)),G362=0),"",H362/G362)</f>
        <v/>
      </c>
      <c r="L362">
        <f>IF(NOT(ISNUMBER(G362)),"SEM META",IF(G362=0,"SEM META",IF(NOT(ISNUMBER(H362)),"SEM APONTAMENTO",IF(H362&gt;=G362,"VERDE",IF(H362&gt;=G362*0.9,"AMARELO","VERMELHO")))))</f>
        <v/>
      </c>
      <c r="M362" s="162" t="n"/>
      <c r="N362" s="162" t="n"/>
      <c r="O362" s="162" t="n"/>
      <c r="P362" s="162" t="n"/>
      <c r="Q362" s="320" t="n"/>
      <c r="R362" s="162" t="inlineStr">
        <is>
          <t>CONTROLE PRODUÇÃO POR EMPRESAS!B66</t>
        </is>
      </c>
    </row>
    <row r="363" ht="28.5" customHeight="1">
      <c r="A363" s="317" t="n">
        <v>46283</v>
      </c>
      <c r="B363" t="inlineStr">
        <is>
          <t>GERAL</t>
        </is>
      </c>
      <c r="C363" t="inlineStr">
        <is>
          <t>EJ</t>
        </is>
      </c>
      <c r="D363" t="inlineStr">
        <is>
          <t>IÇAMENTO JOIST</t>
        </is>
      </c>
      <c r="F363" s="159">
        <f>IFERROR(INDEX('BASE METAS DIÁRIAS'!$N$2:$S$358,MATCH($A363,'BASE METAS DIÁRIAS'!$A$2:$A$358,0),MOD(ROW()-2,6)+1),"")</f>
        <v/>
      </c>
      <c r="G363" s="159">
        <f>IFERROR(IF(WEEKDAY($A363,2)&lt;=INDEX('BASE METAS DIÁRIAS'!$H$2:$M$358,MATCH($A363,'BASE METAS DIÁRIAS'!$A$2:$A$358,0),MOD(ROW()-2,6)+1),INDEX('BASE METAS DIÁRIAS'!$B$2:$G$358,MATCH($A363,'BASE METAS DIÁRIAS'!$A$2:$A$358,0),MOD(ROW()-2,6)+1),""),"")</f>
        <v/>
      </c>
      <c r="H363" s="159">
        <f>IFERROR(IF(INDEX('CONTROLE PRODUÇÃO POR EMPRESAS'!$B$6:$G$5000,MATCH($A363,'CONTROLE PRODUÇÃO POR EMPRESAS'!$A$6:$A$5000,0),MOD(ROW()-2,6)+1)="","",IFERROR(1*INDEX('CONTROLE PRODUÇÃO POR EMPRESAS'!$B$6:$G$5000,MATCH($A363,'CONTROLE PRODUÇÃO POR EMPRESAS'!$A$6:$A$5000,0),MOD(ROW()-2,6)+1),"")),"")</f>
        <v/>
      </c>
      <c r="I363" s="159">
        <f>IF(OR(NOT(ISNUMBER(G363)),NOT(ISNUMBER(H363))),"",H363-G363)</f>
        <v/>
      </c>
      <c r="J363" s="319">
        <f>IF(OR(NOT(ISNUMBER(G363)),NOT(ISNUMBER(H363)),G363=0),"",I363/G363)</f>
        <v/>
      </c>
      <c r="K363" s="319">
        <f>IF(OR(NOT(ISNUMBER(G363)),NOT(ISNUMBER(H363)),G363=0),"",H363/G363)</f>
        <v/>
      </c>
      <c r="L363">
        <f>IF(NOT(ISNUMBER(G363)),"SEM META",IF(G363=0,"SEM META",IF(NOT(ISNUMBER(H363)),"SEM APONTAMENTO",IF(H363&gt;=G363,"VERDE",IF(H363&gt;=G363*0.9,"AMARELO","VERMELHO")))))</f>
        <v/>
      </c>
      <c r="M363" s="162" t="n"/>
      <c r="N363" s="162" t="n"/>
      <c r="O363" s="162" t="n"/>
      <c r="P363" s="162" t="n"/>
      <c r="Q363" s="320" t="n"/>
      <c r="R363" s="162" t="inlineStr">
        <is>
          <t>CONTROLE PRODUÇÃO POR EMPRESAS!C66</t>
        </is>
      </c>
    </row>
    <row r="364" ht="28.5" customHeight="1">
      <c r="A364" s="317" t="n">
        <v>46283</v>
      </c>
      <c r="B364" t="inlineStr">
        <is>
          <t>GERAL</t>
        </is>
      </c>
      <c r="C364" t="inlineStr">
        <is>
          <t>EJ</t>
        </is>
      </c>
      <c r="D364" t="inlineStr">
        <is>
          <t>VIGAS</t>
        </is>
      </c>
      <c r="F364" s="159">
        <f>IFERROR(INDEX('BASE METAS DIÁRIAS'!$N$2:$S$358,MATCH($A364,'BASE METAS DIÁRIAS'!$A$2:$A$358,0),MOD(ROW()-2,6)+1),"")</f>
        <v/>
      </c>
      <c r="G364" s="159">
        <f>IFERROR(IF(WEEKDAY($A364,2)&lt;=INDEX('BASE METAS DIÁRIAS'!$H$2:$M$358,MATCH($A364,'BASE METAS DIÁRIAS'!$A$2:$A$358,0),MOD(ROW()-2,6)+1),INDEX('BASE METAS DIÁRIAS'!$B$2:$G$358,MATCH($A364,'BASE METAS DIÁRIAS'!$A$2:$A$358,0),MOD(ROW()-2,6)+1),""),"")</f>
        <v/>
      </c>
      <c r="H364" s="159">
        <f>IFERROR(IF(INDEX('CONTROLE PRODUÇÃO POR EMPRESAS'!$B$6:$G$5000,MATCH($A364,'CONTROLE PRODUÇÃO POR EMPRESAS'!$A$6:$A$5000,0),MOD(ROW()-2,6)+1)="","",IFERROR(1*INDEX('CONTROLE PRODUÇÃO POR EMPRESAS'!$B$6:$G$5000,MATCH($A364,'CONTROLE PRODUÇÃO POR EMPRESAS'!$A$6:$A$5000,0),MOD(ROW()-2,6)+1),"")),"")</f>
        <v/>
      </c>
      <c r="I364" s="159">
        <f>IF(OR(NOT(ISNUMBER(G364)),NOT(ISNUMBER(H364))),"",H364-G364)</f>
        <v/>
      </c>
      <c r="J364" s="319">
        <f>IF(OR(NOT(ISNUMBER(G364)),NOT(ISNUMBER(H364)),G364=0),"",I364/G364)</f>
        <v/>
      </c>
      <c r="K364" s="319">
        <f>IF(OR(NOT(ISNUMBER(G364)),NOT(ISNUMBER(H364)),G364=0),"",H364/G364)</f>
        <v/>
      </c>
      <c r="L364">
        <f>IF(NOT(ISNUMBER(G364)),"SEM META",IF(G364=0,"SEM META",IF(NOT(ISNUMBER(H364)),"SEM APONTAMENTO",IF(H364&gt;=G364,"VERDE",IF(H364&gt;=G364*0.9,"AMARELO","VERMELHO")))))</f>
        <v/>
      </c>
      <c r="M364" s="162" t="n"/>
      <c r="N364" s="162" t="n"/>
      <c r="O364" s="162" t="n"/>
      <c r="P364" s="162" t="n"/>
      <c r="Q364" s="320" t="n"/>
      <c r="R364" s="162" t="inlineStr">
        <is>
          <t>CONTROLE PRODUÇÃO POR EMPRESAS!D66</t>
        </is>
      </c>
    </row>
    <row r="365" ht="28.5" customHeight="1">
      <c r="A365" s="317" t="n">
        <v>46283</v>
      </c>
      <c r="B365" t="inlineStr">
        <is>
          <t>GERAL</t>
        </is>
      </c>
      <c r="C365" t="inlineStr">
        <is>
          <t>CMM</t>
        </is>
      </c>
      <c r="D365" t="inlineStr">
        <is>
          <t>PREMONTAGEM</t>
        </is>
      </c>
      <c r="F365" s="159">
        <f>IFERROR(INDEX('BASE METAS DIÁRIAS'!$N$2:$S$358,MATCH($A365,'BASE METAS DIÁRIAS'!$A$2:$A$358,0),MOD(ROW()-2,6)+1),"")</f>
        <v/>
      </c>
      <c r="G365" s="159">
        <f>IFERROR(IF(WEEKDAY($A365,2)&lt;=INDEX('BASE METAS DIÁRIAS'!$H$2:$M$358,MATCH($A365,'BASE METAS DIÁRIAS'!$A$2:$A$358,0),MOD(ROW()-2,6)+1),INDEX('BASE METAS DIÁRIAS'!$B$2:$G$358,MATCH($A365,'BASE METAS DIÁRIAS'!$A$2:$A$358,0),MOD(ROW()-2,6)+1),""),"")</f>
        <v/>
      </c>
      <c r="H365" s="159">
        <f>IFERROR(IF(INDEX('CONTROLE PRODUÇÃO POR EMPRESAS'!$B$6:$G$5000,MATCH($A365,'CONTROLE PRODUÇÃO POR EMPRESAS'!$A$6:$A$5000,0),MOD(ROW()-2,6)+1)="","",IFERROR(1*INDEX('CONTROLE PRODUÇÃO POR EMPRESAS'!$B$6:$G$5000,MATCH($A365,'CONTROLE PRODUÇÃO POR EMPRESAS'!$A$6:$A$5000,0),MOD(ROW()-2,6)+1),"")),"")</f>
        <v/>
      </c>
      <c r="I365" s="159">
        <f>IF(OR(NOT(ISNUMBER(G365)),NOT(ISNUMBER(H365))),"",H365-G365)</f>
        <v/>
      </c>
      <c r="J365" s="319">
        <f>IF(OR(NOT(ISNUMBER(G365)),NOT(ISNUMBER(H365)),G365=0),"",I365/G365)</f>
        <v/>
      </c>
      <c r="K365" s="319">
        <f>IF(OR(NOT(ISNUMBER(G365)),NOT(ISNUMBER(H365)),G365=0),"",H365/G365)</f>
        <v/>
      </c>
      <c r="L365">
        <f>IF(NOT(ISNUMBER(G365)),"SEM META",IF(G365=0,"SEM META",IF(NOT(ISNUMBER(H365)),"SEM APONTAMENTO",IF(H365&gt;=G365,"VERDE",IF(H365&gt;=G365*0.9,"AMARELO","VERMELHO")))))</f>
        <v/>
      </c>
      <c r="M365" s="162" t="n"/>
      <c r="N365" s="162" t="n"/>
      <c r="O365" s="162" t="n"/>
      <c r="P365" s="162" t="n"/>
      <c r="Q365" s="320" t="n"/>
      <c r="R365" s="162" t="inlineStr">
        <is>
          <t>CONTROLE PRODUÇÃO POR EMPRESAS!E66</t>
        </is>
      </c>
    </row>
    <row r="366" ht="28.5" customHeight="1">
      <c r="A366" s="317" t="n">
        <v>46283</v>
      </c>
      <c r="B366" t="inlineStr">
        <is>
          <t>GERAL</t>
        </is>
      </c>
      <c r="C366" t="inlineStr">
        <is>
          <t>CMM</t>
        </is>
      </c>
      <c r="D366" t="inlineStr">
        <is>
          <t>IÇAMENTO JOIST</t>
        </is>
      </c>
      <c r="F366" s="159">
        <f>IFERROR(INDEX('BASE METAS DIÁRIAS'!$N$2:$S$358,MATCH($A366,'BASE METAS DIÁRIAS'!$A$2:$A$358,0),MOD(ROW()-2,6)+1),"")</f>
        <v/>
      </c>
      <c r="G366" s="159">
        <f>IFERROR(IF(WEEKDAY($A366,2)&lt;=INDEX('BASE METAS DIÁRIAS'!$H$2:$M$358,MATCH($A366,'BASE METAS DIÁRIAS'!$A$2:$A$358,0),MOD(ROW()-2,6)+1),INDEX('BASE METAS DIÁRIAS'!$B$2:$G$358,MATCH($A366,'BASE METAS DIÁRIAS'!$A$2:$A$358,0),MOD(ROW()-2,6)+1),""),"")</f>
        <v/>
      </c>
      <c r="H366" s="159">
        <f>IFERROR(IF(INDEX('CONTROLE PRODUÇÃO POR EMPRESAS'!$B$6:$G$5000,MATCH($A366,'CONTROLE PRODUÇÃO POR EMPRESAS'!$A$6:$A$5000,0),MOD(ROW()-2,6)+1)="","",IFERROR(1*INDEX('CONTROLE PRODUÇÃO POR EMPRESAS'!$B$6:$G$5000,MATCH($A366,'CONTROLE PRODUÇÃO POR EMPRESAS'!$A$6:$A$5000,0),MOD(ROW()-2,6)+1),"")),"")</f>
        <v/>
      </c>
      <c r="I366" s="159">
        <f>IF(OR(NOT(ISNUMBER(G366)),NOT(ISNUMBER(H366))),"",H366-G366)</f>
        <v/>
      </c>
      <c r="J366" s="319">
        <f>IF(OR(NOT(ISNUMBER(G366)),NOT(ISNUMBER(H366)),G366=0),"",I366/G366)</f>
        <v/>
      </c>
      <c r="K366" s="319">
        <f>IF(OR(NOT(ISNUMBER(G366)),NOT(ISNUMBER(H366)),G366=0),"",H366/G366)</f>
        <v/>
      </c>
      <c r="L366">
        <f>IF(NOT(ISNUMBER(G366)),"SEM META",IF(G366=0,"SEM META",IF(NOT(ISNUMBER(H366)),"SEM APONTAMENTO",IF(H366&gt;=G366,"VERDE",IF(H366&gt;=G366*0.9,"AMARELO","VERMELHO")))))</f>
        <v/>
      </c>
      <c r="M366" s="162" t="n"/>
      <c r="N366" s="162" t="n"/>
      <c r="O366" s="162" t="n"/>
      <c r="P366" s="162" t="n"/>
      <c r="Q366" s="320" t="n"/>
      <c r="R366" s="162" t="inlineStr">
        <is>
          <t>CONTROLE PRODUÇÃO POR EMPRESAS!F66</t>
        </is>
      </c>
    </row>
    <row r="367" ht="28.5" customHeight="1">
      <c r="A367" s="317" t="n">
        <v>46283</v>
      </c>
      <c r="B367" t="inlineStr">
        <is>
          <t>GERAL</t>
        </is>
      </c>
      <c r="C367" t="inlineStr">
        <is>
          <t>CMM</t>
        </is>
      </c>
      <c r="D367" t="inlineStr">
        <is>
          <t>VIGAS</t>
        </is>
      </c>
      <c r="F367" s="159">
        <f>IFERROR(INDEX('BASE METAS DIÁRIAS'!$N$2:$S$358,MATCH($A367,'BASE METAS DIÁRIAS'!$A$2:$A$358,0),MOD(ROW()-2,6)+1),"")</f>
        <v/>
      </c>
      <c r="G367" s="159">
        <f>IFERROR(IF(WEEKDAY($A367,2)&lt;=INDEX('BASE METAS DIÁRIAS'!$H$2:$M$358,MATCH($A367,'BASE METAS DIÁRIAS'!$A$2:$A$358,0),MOD(ROW()-2,6)+1),INDEX('BASE METAS DIÁRIAS'!$B$2:$G$358,MATCH($A367,'BASE METAS DIÁRIAS'!$A$2:$A$358,0),MOD(ROW()-2,6)+1),""),"")</f>
        <v/>
      </c>
      <c r="H367" s="159">
        <f>IFERROR(IF(INDEX('CONTROLE PRODUÇÃO POR EMPRESAS'!$B$6:$G$5000,MATCH($A367,'CONTROLE PRODUÇÃO POR EMPRESAS'!$A$6:$A$5000,0),MOD(ROW()-2,6)+1)="","",IFERROR(1*INDEX('CONTROLE PRODUÇÃO POR EMPRESAS'!$B$6:$G$5000,MATCH($A367,'CONTROLE PRODUÇÃO POR EMPRESAS'!$A$6:$A$5000,0),MOD(ROW()-2,6)+1),"")),"")</f>
        <v/>
      </c>
      <c r="I367" s="159">
        <f>IF(OR(NOT(ISNUMBER(G367)),NOT(ISNUMBER(H367))),"",H367-G367)</f>
        <v/>
      </c>
      <c r="J367" s="319">
        <f>IF(OR(NOT(ISNUMBER(G367)),NOT(ISNUMBER(H367)),G367=0),"",I367/G367)</f>
        <v/>
      </c>
      <c r="K367" s="319">
        <f>IF(OR(NOT(ISNUMBER(G367)),NOT(ISNUMBER(H367)),G367=0),"",H367/G367)</f>
        <v/>
      </c>
      <c r="L367">
        <f>IF(NOT(ISNUMBER(G367)),"SEM META",IF(G367=0,"SEM META",IF(NOT(ISNUMBER(H367)),"SEM APONTAMENTO",IF(H367&gt;=G367,"VERDE",IF(H367&gt;=G367*0.9,"AMARELO","VERMELHO")))))</f>
        <v/>
      </c>
      <c r="M367" s="162" t="n"/>
      <c r="N367" s="162" t="n"/>
      <c r="O367" s="162" t="n"/>
      <c r="P367" s="162" t="n"/>
      <c r="Q367" s="320" t="n"/>
      <c r="R367" s="162" t="inlineStr">
        <is>
          <t>CONTROLE PRODUÇÃO POR EMPRESAS!G66</t>
        </is>
      </c>
    </row>
    <row r="368" ht="28.5" customHeight="1">
      <c r="A368" s="317" t="n">
        <v>46284</v>
      </c>
      <c r="B368" t="inlineStr">
        <is>
          <t>GERAL</t>
        </is>
      </c>
      <c r="C368" t="inlineStr">
        <is>
          <t>EJ</t>
        </is>
      </c>
      <c r="D368" t="inlineStr">
        <is>
          <t>PREMONTAGEM</t>
        </is>
      </c>
      <c r="F368" s="159">
        <f>IFERROR(INDEX('BASE METAS DIÁRIAS'!$N$2:$S$358,MATCH($A368,'BASE METAS DIÁRIAS'!$A$2:$A$358,0),MOD(ROW()-2,6)+1),"")</f>
        <v/>
      </c>
      <c r="G368" s="159">
        <f>IFERROR(IF(WEEKDAY($A368,2)&lt;=INDEX('BASE METAS DIÁRIAS'!$H$2:$M$358,MATCH($A368,'BASE METAS DIÁRIAS'!$A$2:$A$358,0),MOD(ROW()-2,6)+1),INDEX('BASE METAS DIÁRIAS'!$B$2:$G$358,MATCH($A368,'BASE METAS DIÁRIAS'!$A$2:$A$358,0),MOD(ROW()-2,6)+1),""),"")</f>
        <v/>
      </c>
      <c r="H368" s="159">
        <f>IFERROR(IF(INDEX('CONTROLE PRODUÇÃO POR EMPRESAS'!$B$6:$G$5000,MATCH($A368,'CONTROLE PRODUÇÃO POR EMPRESAS'!$A$6:$A$5000,0),MOD(ROW()-2,6)+1)="","",IFERROR(1*INDEX('CONTROLE PRODUÇÃO POR EMPRESAS'!$B$6:$G$5000,MATCH($A368,'CONTROLE PRODUÇÃO POR EMPRESAS'!$A$6:$A$5000,0),MOD(ROW()-2,6)+1),"")),"")</f>
        <v/>
      </c>
      <c r="I368" s="159">
        <f>IF(OR(NOT(ISNUMBER(G368)),NOT(ISNUMBER(H368))),"",H368-G368)</f>
        <v/>
      </c>
      <c r="J368" s="319">
        <f>IF(OR(NOT(ISNUMBER(G368)),NOT(ISNUMBER(H368)),G368=0),"",I368/G368)</f>
        <v/>
      </c>
      <c r="K368" s="319">
        <f>IF(OR(NOT(ISNUMBER(G368)),NOT(ISNUMBER(H368)),G368=0),"",H368/G368)</f>
        <v/>
      </c>
      <c r="L368">
        <f>IF(NOT(ISNUMBER(G368)),"SEM META",IF(G368=0,"SEM META",IF(NOT(ISNUMBER(H368)),"SEM APONTAMENTO",IF(H368&gt;=G368,"VERDE",IF(H368&gt;=G368*0.9,"AMARELO","VERMELHO")))))</f>
        <v/>
      </c>
      <c r="M368" s="162" t="n"/>
      <c r="N368" s="162" t="n"/>
      <c r="O368" s="162" t="n"/>
      <c r="P368" s="162" t="n"/>
      <c r="Q368" s="320" t="n"/>
      <c r="R368" s="162" t="inlineStr">
        <is>
          <t>CONTROLE PRODUÇÃO POR EMPRESAS!B67</t>
        </is>
      </c>
    </row>
    <row r="369" ht="28.5" customHeight="1">
      <c r="A369" s="317" t="n">
        <v>46284</v>
      </c>
      <c r="B369" t="inlineStr">
        <is>
          <t>GERAL</t>
        </is>
      </c>
      <c r="C369" t="inlineStr">
        <is>
          <t>EJ</t>
        </is>
      </c>
      <c r="D369" t="inlineStr">
        <is>
          <t>IÇAMENTO JOIST</t>
        </is>
      </c>
      <c r="F369" s="159">
        <f>IFERROR(INDEX('BASE METAS DIÁRIAS'!$N$2:$S$358,MATCH($A369,'BASE METAS DIÁRIAS'!$A$2:$A$358,0),MOD(ROW()-2,6)+1),"")</f>
        <v/>
      </c>
      <c r="G369" s="159">
        <f>IFERROR(IF(WEEKDAY($A369,2)&lt;=INDEX('BASE METAS DIÁRIAS'!$H$2:$M$358,MATCH($A369,'BASE METAS DIÁRIAS'!$A$2:$A$358,0),MOD(ROW()-2,6)+1),INDEX('BASE METAS DIÁRIAS'!$B$2:$G$358,MATCH($A369,'BASE METAS DIÁRIAS'!$A$2:$A$358,0),MOD(ROW()-2,6)+1),""),"")</f>
        <v/>
      </c>
      <c r="H369" s="159">
        <f>IFERROR(IF(INDEX('CONTROLE PRODUÇÃO POR EMPRESAS'!$B$6:$G$5000,MATCH($A369,'CONTROLE PRODUÇÃO POR EMPRESAS'!$A$6:$A$5000,0),MOD(ROW()-2,6)+1)="","",IFERROR(1*INDEX('CONTROLE PRODUÇÃO POR EMPRESAS'!$B$6:$G$5000,MATCH($A369,'CONTROLE PRODUÇÃO POR EMPRESAS'!$A$6:$A$5000,0),MOD(ROW()-2,6)+1),"")),"")</f>
        <v/>
      </c>
      <c r="I369" s="159">
        <f>IF(OR(NOT(ISNUMBER(G369)),NOT(ISNUMBER(H369))),"",H369-G369)</f>
        <v/>
      </c>
      <c r="J369" s="319">
        <f>IF(OR(NOT(ISNUMBER(G369)),NOT(ISNUMBER(H369)),G369=0),"",I369/G369)</f>
        <v/>
      </c>
      <c r="K369" s="319">
        <f>IF(OR(NOT(ISNUMBER(G369)),NOT(ISNUMBER(H369)),G369=0),"",H369/G369)</f>
        <v/>
      </c>
      <c r="L369">
        <f>IF(NOT(ISNUMBER(G369)),"SEM META",IF(G369=0,"SEM META",IF(NOT(ISNUMBER(H369)),"SEM APONTAMENTO",IF(H369&gt;=G369,"VERDE",IF(H369&gt;=G369*0.9,"AMARELO","VERMELHO")))))</f>
        <v/>
      </c>
      <c r="M369" s="162" t="n"/>
      <c r="N369" s="162" t="n"/>
      <c r="O369" s="162" t="n"/>
      <c r="P369" s="162" t="n"/>
      <c r="Q369" s="320" t="n"/>
      <c r="R369" s="162" t="inlineStr">
        <is>
          <t>CONTROLE PRODUÇÃO POR EMPRESAS!C67</t>
        </is>
      </c>
    </row>
    <row r="370" ht="28.5" customHeight="1">
      <c r="A370" s="317" t="n">
        <v>46284</v>
      </c>
      <c r="B370" t="inlineStr">
        <is>
          <t>GERAL</t>
        </is>
      </c>
      <c r="C370" t="inlineStr">
        <is>
          <t>EJ</t>
        </is>
      </c>
      <c r="D370" t="inlineStr">
        <is>
          <t>VIGAS</t>
        </is>
      </c>
      <c r="F370" s="159">
        <f>IFERROR(INDEX('BASE METAS DIÁRIAS'!$N$2:$S$358,MATCH($A370,'BASE METAS DIÁRIAS'!$A$2:$A$358,0),MOD(ROW()-2,6)+1),"")</f>
        <v/>
      </c>
      <c r="G370" s="159">
        <f>IFERROR(IF(WEEKDAY($A370,2)&lt;=INDEX('BASE METAS DIÁRIAS'!$H$2:$M$358,MATCH($A370,'BASE METAS DIÁRIAS'!$A$2:$A$358,0),MOD(ROW()-2,6)+1),INDEX('BASE METAS DIÁRIAS'!$B$2:$G$358,MATCH($A370,'BASE METAS DIÁRIAS'!$A$2:$A$358,0),MOD(ROW()-2,6)+1),""),"")</f>
        <v/>
      </c>
      <c r="H370" s="159">
        <f>IFERROR(IF(INDEX('CONTROLE PRODUÇÃO POR EMPRESAS'!$B$6:$G$5000,MATCH($A370,'CONTROLE PRODUÇÃO POR EMPRESAS'!$A$6:$A$5000,0),MOD(ROW()-2,6)+1)="","",IFERROR(1*INDEX('CONTROLE PRODUÇÃO POR EMPRESAS'!$B$6:$G$5000,MATCH($A370,'CONTROLE PRODUÇÃO POR EMPRESAS'!$A$6:$A$5000,0),MOD(ROW()-2,6)+1),"")),"")</f>
        <v/>
      </c>
      <c r="I370" s="159">
        <f>IF(OR(NOT(ISNUMBER(G370)),NOT(ISNUMBER(H370))),"",H370-G370)</f>
        <v/>
      </c>
      <c r="J370" s="319">
        <f>IF(OR(NOT(ISNUMBER(G370)),NOT(ISNUMBER(H370)),G370=0),"",I370/G370)</f>
        <v/>
      </c>
      <c r="K370" s="319">
        <f>IF(OR(NOT(ISNUMBER(G370)),NOT(ISNUMBER(H370)),G370=0),"",H370/G370)</f>
        <v/>
      </c>
      <c r="L370">
        <f>IF(NOT(ISNUMBER(G370)),"SEM META",IF(G370=0,"SEM META",IF(NOT(ISNUMBER(H370)),"SEM APONTAMENTO",IF(H370&gt;=G370,"VERDE",IF(H370&gt;=G370*0.9,"AMARELO","VERMELHO")))))</f>
        <v/>
      </c>
      <c r="M370" s="162" t="n"/>
      <c r="N370" s="162" t="n"/>
      <c r="O370" s="162" t="n"/>
      <c r="P370" s="162" t="n"/>
      <c r="Q370" s="320" t="n"/>
      <c r="R370" s="162" t="inlineStr">
        <is>
          <t>CONTROLE PRODUÇÃO POR EMPRESAS!D67</t>
        </is>
      </c>
    </row>
    <row r="371" ht="28.5" customHeight="1">
      <c r="A371" s="317" t="n">
        <v>46284</v>
      </c>
      <c r="B371" t="inlineStr">
        <is>
          <t>GERAL</t>
        </is>
      </c>
      <c r="C371" t="inlineStr">
        <is>
          <t>CMM</t>
        </is>
      </c>
      <c r="D371" t="inlineStr">
        <is>
          <t>PREMONTAGEM</t>
        </is>
      </c>
      <c r="F371" s="159">
        <f>IFERROR(INDEX('BASE METAS DIÁRIAS'!$N$2:$S$358,MATCH($A371,'BASE METAS DIÁRIAS'!$A$2:$A$358,0),MOD(ROW()-2,6)+1),"")</f>
        <v/>
      </c>
      <c r="G371" s="159">
        <f>IFERROR(IF(WEEKDAY($A371,2)&lt;=INDEX('BASE METAS DIÁRIAS'!$H$2:$M$358,MATCH($A371,'BASE METAS DIÁRIAS'!$A$2:$A$358,0),MOD(ROW()-2,6)+1),INDEX('BASE METAS DIÁRIAS'!$B$2:$G$358,MATCH($A371,'BASE METAS DIÁRIAS'!$A$2:$A$358,0),MOD(ROW()-2,6)+1),""),"")</f>
        <v/>
      </c>
      <c r="H371" s="159">
        <f>IFERROR(IF(INDEX('CONTROLE PRODUÇÃO POR EMPRESAS'!$B$6:$G$5000,MATCH($A371,'CONTROLE PRODUÇÃO POR EMPRESAS'!$A$6:$A$5000,0),MOD(ROW()-2,6)+1)="","",IFERROR(1*INDEX('CONTROLE PRODUÇÃO POR EMPRESAS'!$B$6:$G$5000,MATCH($A371,'CONTROLE PRODUÇÃO POR EMPRESAS'!$A$6:$A$5000,0),MOD(ROW()-2,6)+1),"")),"")</f>
        <v/>
      </c>
      <c r="I371" s="159">
        <f>IF(OR(NOT(ISNUMBER(G371)),NOT(ISNUMBER(H371))),"",H371-G371)</f>
        <v/>
      </c>
      <c r="J371" s="319">
        <f>IF(OR(NOT(ISNUMBER(G371)),NOT(ISNUMBER(H371)),G371=0),"",I371/G371)</f>
        <v/>
      </c>
      <c r="K371" s="319">
        <f>IF(OR(NOT(ISNUMBER(G371)),NOT(ISNUMBER(H371)),G371=0),"",H371/G371)</f>
        <v/>
      </c>
      <c r="L371">
        <f>IF(NOT(ISNUMBER(G371)),"SEM META",IF(G371=0,"SEM META",IF(NOT(ISNUMBER(H371)),"SEM APONTAMENTO",IF(H371&gt;=G371,"VERDE",IF(H371&gt;=G371*0.9,"AMARELO","VERMELHO")))))</f>
        <v/>
      </c>
      <c r="M371" s="162" t="n"/>
      <c r="N371" s="162" t="n"/>
      <c r="O371" s="162" t="n"/>
      <c r="P371" s="162" t="n"/>
      <c r="Q371" s="320" t="n"/>
      <c r="R371" s="162" t="inlineStr">
        <is>
          <t>CONTROLE PRODUÇÃO POR EMPRESAS!E67</t>
        </is>
      </c>
    </row>
    <row r="372" ht="28.5" customHeight="1">
      <c r="A372" s="317" t="n">
        <v>46284</v>
      </c>
      <c r="B372" t="inlineStr">
        <is>
          <t>GERAL</t>
        </is>
      </c>
      <c r="C372" t="inlineStr">
        <is>
          <t>CMM</t>
        </is>
      </c>
      <c r="D372" t="inlineStr">
        <is>
          <t>IÇAMENTO JOIST</t>
        </is>
      </c>
      <c r="F372" s="159">
        <f>IFERROR(INDEX('BASE METAS DIÁRIAS'!$N$2:$S$358,MATCH($A372,'BASE METAS DIÁRIAS'!$A$2:$A$358,0),MOD(ROW()-2,6)+1),"")</f>
        <v/>
      </c>
      <c r="G372" s="159">
        <f>IFERROR(IF(WEEKDAY($A372,2)&lt;=INDEX('BASE METAS DIÁRIAS'!$H$2:$M$358,MATCH($A372,'BASE METAS DIÁRIAS'!$A$2:$A$358,0),MOD(ROW()-2,6)+1),INDEX('BASE METAS DIÁRIAS'!$B$2:$G$358,MATCH($A372,'BASE METAS DIÁRIAS'!$A$2:$A$358,0),MOD(ROW()-2,6)+1),""),"")</f>
        <v/>
      </c>
      <c r="H372" s="159">
        <f>IFERROR(IF(INDEX('CONTROLE PRODUÇÃO POR EMPRESAS'!$B$6:$G$5000,MATCH($A372,'CONTROLE PRODUÇÃO POR EMPRESAS'!$A$6:$A$5000,0),MOD(ROW()-2,6)+1)="","",IFERROR(1*INDEX('CONTROLE PRODUÇÃO POR EMPRESAS'!$B$6:$G$5000,MATCH($A372,'CONTROLE PRODUÇÃO POR EMPRESAS'!$A$6:$A$5000,0),MOD(ROW()-2,6)+1),"")),"")</f>
        <v/>
      </c>
      <c r="I372" s="159">
        <f>IF(OR(NOT(ISNUMBER(G372)),NOT(ISNUMBER(H372))),"",H372-G372)</f>
        <v/>
      </c>
      <c r="J372" s="319">
        <f>IF(OR(NOT(ISNUMBER(G372)),NOT(ISNUMBER(H372)),G372=0),"",I372/G372)</f>
        <v/>
      </c>
      <c r="K372" s="319">
        <f>IF(OR(NOT(ISNUMBER(G372)),NOT(ISNUMBER(H372)),G372=0),"",H372/G372)</f>
        <v/>
      </c>
      <c r="L372">
        <f>IF(NOT(ISNUMBER(G372)),"SEM META",IF(G372=0,"SEM META",IF(NOT(ISNUMBER(H372)),"SEM APONTAMENTO",IF(H372&gt;=G372,"VERDE",IF(H372&gt;=G372*0.9,"AMARELO","VERMELHO")))))</f>
        <v/>
      </c>
      <c r="M372" s="162" t="n"/>
      <c r="N372" s="162" t="n"/>
      <c r="O372" s="162" t="n"/>
      <c r="P372" s="162" t="n"/>
      <c r="Q372" s="320" t="n"/>
      <c r="R372" s="162" t="inlineStr">
        <is>
          <t>CONTROLE PRODUÇÃO POR EMPRESAS!F67</t>
        </is>
      </c>
    </row>
    <row r="373" ht="28.5" customHeight="1">
      <c r="A373" s="317" t="n">
        <v>46284</v>
      </c>
      <c r="B373" t="inlineStr">
        <is>
          <t>GERAL</t>
        </is>
      </c>
      <c r="C373" t="inlineStr">
        <is>
          <t>CMM</t>
        </is>
      </c>
      <c r="D373" t="inlineStr">
        <is>
          <t>VIGAS</t>
        </is>
      </c>
      <c r="F373" s="159">
        <f>IFERROR(INDEX('BASE METAS DIÁRIAS'!$N$2:$S$358,MATCH($A373,'BASE METAS DIÁRIAS'!$A$2:$A$358,0),MOD(ROW()-2,6)+1),"")</f>
        <v/>
      </c>
      <c r="G373" s="159">
        <f>IFERROR(IF(WEEKDAY($A373,2)&lt;=INDEX('BASE METAS DIÁRIAS'!$H$2:$M$358,MATCH($A373,'BASE METAS DIÁRIAS'!$A$2:$A$358,0),MOD(ROW()-2,6)+1),INDEX('BASE METAS DIÁRIAS'!$B$2:$G$358,MATCH($A373,'BASE METAS DIÁRIAS'!$A$2:$A$358,0),MOD(ROW()-2,6)+1),""),"")</f>
        <v/>
      </c>
      <c r="H373" s="159">
        <f>IFERROR(IF(INDEX('CONTROLE PRODUÇÃO POR EMPRESAS'!$B$6:$G$5000,MATCH($A373,'CONTROLE PRODUÇÃO POR EMPRESAS'!$A$6:$A$5000,0),MOD(ROW()-2,6)+1)="","",IFERROR(1*INDEX('CONTROLE PRODUÇÃO POR EMPRESAS'!$B$6:$G$5000,MATCH($A373,'CONTROLE PRODUÇÃO POR EMPRESAS'!$A$6:$A$5000,0),MOD(ROW()-2,6)+1),"")),"")</f>
        <v/>
      </c>
      <c r="I373" s="159">
        <f>IF(OR(NOT(ISNUMBER(G373)),NOT(ISNUMBER(H373))),"",H373-G373)</f>
        <v/>
      </c>
      <c r="J373" s="319">
        <f>IF(OR(NOT(ISNUMBER(G373)),NOT(ISNUMBER(H373)),G373=0),"",I373/G373)</f>
        <v/>
      </c>
      <c r="K373" s="319">
        <f>IF(OR(NOT(ISNUMBER(G373)),NOT(ISNUMBER(H373)),G373=0),"",H373/G373)</f>
        <v/>
      </c>
      <c r="L373">
        <f>IF(NOT(ISNUMBER(G373)),"SEM META",IF(G373=0,"SEM META",IF(NOT(ISNUMBER(H373)),"SEM APONTAMENTO",IF(H373&gt;=G373,"VERDE",IF(H373&gt;=G373*0.9,"AMARELO","VERMELHO")))))</f>
        <v/>
      </c>
      <c r="M373" s="162" t="n"/>
      <c r="N373" s="162" t="n"/>
      <c r="O373" s="162" t="n"/>
      <c r="P373" s="162" t="n"/>
      <c r="Q373" s="320" t="n"/>
      <c r="R373" s="162" t="inlineStr">
        <is>
          <t>CONTROLE PRODUÇÃO POR EMPRESAS!G67</t>
        </is>
      </c>
    </row>
    <row r="374" ht="28.5" customHeight="1">
      <c r="A374" s="317" t="n">
        <v>46285</v>
      </c>
      <c r="B374" t="inlineStr">
        <is>
          <t>GERAL</t>
        </is>
      </c>
      <c r="C374" t="inlineStr">
        <is>
          <t>EJ</t>
        </is>
      </c>
      <c r="D374" t="inlineStr">
        <is>
          <t>PREMONTAGEM</t>
        </is>
      </c>
      <c r="F374" s="159">
        <f>IFERROR(INDEX('BASE METAS DIÁRIAS'!$N$2:$S$358,MATCH($A374,'BASE METAS DIÁRIAS'!$A$2:$A$358,0),MOD(ROW()-2,6)+1),"")</f>
        <v/>
      </c>
      <c r="G374" s="159">
        <f>IFERROR(IF(WEEKDAY($A374,2)&lt;=INDEX('BASE METAS DIÁRIAS'!$H$2:$M$358,MATCH($A374,'BASE METAS DIÁRIAS'!$A$2:$A$358,0),MOD(ROW()-2,6)+1),INDEX('BASE METAS DIÁRIAS'!$B$2:$G$358,MATCH($A374,'BASE METAS DIÁRIAS'!$A$2:$A$358,0),MOD(ROW()-2,6)+1),""),"")</f>
        <v/>
      </c>
      <c r="H374" s="159">
        <f>IFERROR(IF(INDEX('CONTROLE PRODUÇÃO POR EMPRESAS'!$B$6:$G$5000,MATCH($A374,'CONTROLE PRODUÇÃO POR EMPRESAS'!$A$6:$A$5000,0),MOD(ROW()-2,6)+1)="","",IFERROR(1*INDEX('CONTROLE PRODUÇÃO POR EMPRESAS'!$B$6:$G$5000,MATCH($A374,'CONTROLE PRODUÇÃO POR EMPRESAS'!$A$6:$A$5000,0),MOD(ROW()-2,6)+1),"")),"")</f>
        <v/>
      </c>
      <c r="I374" s="159">
        <f>IF(OR(NOT(ISNUMBER(G374)),NOT(ISNUMBER(H374))),"",H374-G374)</f>
        <v/>
      </c>
      <c r="J374" s="319">
        <f>IF(OR(NOT(ISNUMBER(G374)),NOT(ISNUMBER(H374)),G374=0),"",I374/G374)</f>
        <v/>
      </c>
      <c r="K374" s="319">
        <f>IF(OR(NOT(ISNUMBER(G374)),NOT(ISNUMBER(H374)),G374=0),"",H374/G374)</f>
        <v/>
      </c>
      <c r="L374">
        <f>IF(NOT(ISNUMBER(G374)),"SEM META",IF(G374=0,"SEM META",IF(NOT(ISNUMBER(H374)),"SEM APONTAMENTO",IF(H374&gt;=G374,"VERDE",IF(H374&gt;=G374*0.9,"AMARELO","VERMELHO")))))</f>
        <v/>
      </c>
      <c r="M374" s="162" t="n"/>
      <c r="N374" s="162" t="n"/>
      <c r="O374" s="162" t="n"/>
      <c r="P374" s="162" t="n"/>
      <c r="Q374" s="320" t="n"/>
      <c r="R374" s="162" t="inlineStr">
        <is>
          <t>CONTROLE PRODUÇÃO POR EMPRESAS!B68</t>
        </is>
      </c>
    </row>
    <row r="375" ht="28.5" customHeight="1">
      <c r="A375" s="317" t="n">
        <v>46285</v>
      </c>
      <c r="B375" t="inlineStr">
        <is>
          <t>GERAL</t>
        </is>
      </c>
      <c r="C375" t="inlineStr">
        <is>
          <t>EJ</t>
        </is>
      </c>
      <c r="D375" t="inlineStr">
        <is>
          <t>IÇAMENTO JOIST</t>
        </is>
      </c>
      <c r="F375" s="159">
        <f>IFERROR(INDEX('BASE METAS DIÁRIAS'!$N$2:$S$358,MATCH($A375,'BASE METAS DIÁRIAS'!$A$2:$A$358,0),MOD(ROW()-2,6)+1),"")</f>
        <v/>
      </c>
      <c r="G375" s="159">
        <f>IFERROR(IF(WEEKDAY($A375,2)&lt;=INDEX('BASE METAS DIÁRIAS'!$H$2:$M$358,MATCH($A375,'BASE METAS DIÁRIAS'!$A$2:$A$358,0),MOD(ROW()-2,6)+1),INDEX('BASE METAS DIÁRIAS'!$B$2:$G$358,MATCH($A375,'BASE METAS DIÁRIAS'!$A$2:$A$358,0),MOD(ROW()-2,6)+1),""),"")</f>
        <v/>
      </c>
      <c r="H375" s="159">
        <f>IFERROR(IF(INDEX('CONTROLE PRODUÇÃO POR EMPRESAS'!$B$6:$G$5000,MATCH($A375,'CONTROLE PRODUÇÃO POR EMPRESAS'!$A$6:$A$5000,0),MOD(ROW()-2,6)+1)="","",IFERROR(1*INDEX('CONTROLE PRODUÇÃO POR EMPRESAS'!$B$6:$G$5000,MATCH($A375,'CONTROLE PRODUÇÃO POR EMPRESAS'!$A$6:$A$5000,0),MOD(ROW()-2,6)+1),"")),"")</f>
        <v/>
      </c>
      <c r="I375" s="159">
        <f>IF(OR(NOT(ISNUMBER(G375)),NOT(ISNUMBER(H375))),"",H375-G375)</f>
        <v/>
      </c>
      <c r="J375" s="319">
        <f>IF(OR(NOT(ISNUMBER(G375)),NOT(ISNUMBER(H375)),G375=0),"",I375/G375)</f>
        <v/>
      </c>
      <c r="K375" s="319">
        <f>IF(OR(NOT(ISNUMBER(G375)),NOT(ISNUMBER(H375)),G375=0),"",H375/G375)</f>
        <v/>
      </c>
      <c r="L375">
        <f>IF(NOT(ISNUMBER(G375)),"SEM META",IF(G375=0,"SEM META",IF(NOT(ISNUMBER(H375)),"SEM APONTAMENTO",IF(H375&gt;=G375,"VERDE",IF(H375&gt;=G375*0.9,"AMARELO","VERMELHO")))))</f>
        <v/>
      </c>
      <c r="M375" s="162" t="n"/>
      <c r="N375" s="162" t="n"/>
      <c r="O375" s="162" t="n"/>
      <c r="P375" s="162" t="n"/>
      <c r="Q375" s="320" t="n"/>
      <c r="R375" s="162" t="inlineStr">
        <is>
          <t>CONTROLE PRODUÇÃO POR EMPRESAS!C68</t>
        </is>
      </c>
    </row>
    <row r="376" ht="28.5" customHeight="1">
      <c r="A376" s="317" t="n">
        <v>46285</v>
      </c>
      <c r="B376" t="inlineStr">
        <is>
          <t>GERAL</t>
        </is>
      </c>
      <c r="C376" t="inlineStr">
        <is>
          <t>EJ</t>
        </is>
      </c>
      <c r="D376" t="inlineStr">
        <is>
          <t>VIGAS</t>
        </is>
      </c>
      <c r="F376" s="159">
        <f>IFERROR(INDEX('BASE METAS DIÁRIAS'!$N$2:$S$358,MATCH($A376,'BASE METAS DIÁRIAS'!$A$2:$A$358,0),MOD(ROW()-2,6)+1),"")</f>
        <v/>
      </c>
      <c r="G376" s="159">
        <f>IFERROR(IF(WEEKDAY($A376,2)&lt;=INDEX('BASE METAS DIÁRIAS'!$H$2:$M$358,MATCH($A376,'BASE METAS DIÁRIAS'!$A$2:$A$358,0),MOD(ROW()-2,6)+1),INDEX('BASE METAS DIÁRIAS'!$B$2:$G$358,MATCH($A376,'BASE METAS DIÁRIAS'!$A$2:$A$358,0),MOD(ROW()-2,6)+1),""),"")</f>
        <v/>
      </c>
      <c r="H376" s="159">
        <f>IFERROR(IF(INDEX('CONTROLE PRODUÇÃO POR EMPRESAS'!$B$6:$G$5000,MATCH($A376,'CONTROLE PRODUÇÃO POR EMPRESAS'!$A$6:$A$5000,0),MOD(ROW()-2,6)+1)="","",IFERROR(1*INDEX('CONTROLE PRODUÇÃO POR EMPRESAS'!$B$6:$G$5000,MATCH($A376,'CONTROLE PRODUÇÃO POR EMPRESAS'!$A$6:$A$5000,0),MOD(ROW()-2,6)+1),"")),"")</f>
        <v/>
      </c>
      <c r="I376" s="159">
        <f>IF(OR(NOT(ISNUMBER(G376)),NOT(ISNUMBER(H376))),"",H376-G376)</f>
        <v/>
      </c>
      <c r="J376" s="319">
        <f>IF(OR(NOT(ISNUMBER(G376)),NOT(ISNUMBER(H376)),G376=0),"",I376/G376)</f>
        <v/>
      </c>
      <c r="K376" s="319">
        <f>IF(OR(NOT(ISNUMBER(G376)),NOT(ISNUMBER(H376)),G376=0),"",H376/G376)</f>
        <v/>
      </c>
      <c r="L376">
        <f>IF(NOT(ISNUMBER(G376)),"SEM META",IF(G376=0,"SEM META",IF(NOT(ISNUMBER(H376)),"SEM APONTAMENTO",IF(H376&gt;=G376,"VERDE",IF(H376&gt;=G376*0.9,"AMARELO","VERMELHO")))))</f>
        <v/>
      </c>
      <c r="M376" s="162" t="n"/>
      <c r="N376" s="162" t="n"/>
      <c r="O376" s="162" t="n"/>
      <c r="P376" s="162" t="n"/>
      <c r="Q376" s="320" t="n"/>
      <c r="R376" s="162" t="inlineStr">
        <is>
          <t>CONTROLE PRODUÇÃO POR EMPRESAS!D68</t>
        </is>
      </c>
    </row>
    <row r="377" ht="28.5" customHeight="1">
      <c r="A377" s="317" t="n">
        <v>46285</v>
      </c>
      <c r="B377" t="inlineStr">
        <is>
          <t>GERAL</t>
        </is>
      </c>
      <c r="C377" t="inlineStr">
        <is>
          <t>CMM</t>
        </is>
      </c>
      <c r="D377" t="inlineStr">
        <is>
          <t>PREMONTAGEM</t>
        </is>
      </c>
      <c r="F377" s="159">
        <f>IFERROR(INDEX('BASE METAS DIÁRIAS'!$N$2:$S$358,MATCH($A377,'BASE METAS DIÁRIAS'!$A$2:$A$358,0),MOD(ROW()-2,6)+1),"")</f>
        <v/>
      </c>
      <c r="G377" s="159">
        <f>IFERROR(IF(WEEKDAY($A377,2)&lt;=INDEX('BASE METAS DIÁRIAS'!$H$2:$M$358,MATCH($A377,'BASE METAS DIÁRIAS'!$A$2:$A$358,0),MOD(ROW()-2,6)+1),INDEX('BASE METAS DIÁRIAS'!$B$2:$G$358,MATCH($A377,'BASE METAS DIÁRIAS'!$A$2:$A$358,0),MOD(ROW()-2,6)+1),""),"")</f>
        <v/>
      </c>
      <c r="H377" s="159">
        <f>IFERROR(IF(INDEX('CONTROLE PRODUÇÃO POR EMPRESAS'!$B$6:$G$5000,MATCH($A377,'CONTROLE PRODUÇÃO POR EMPRESAS'!$A$6:$A$5000,0),MOD(ROW()-2,6)+1)="","",IFERROR(1*INDEX('CONTROLE PRODUÇÃO POR EMPRESAS'!$B$6:$G$5000,MATCH($A377,'CONTROLE PRODUÇÃO POR EMPRESAS'!$A$6:$A$5000,0),MOD(ROW()-2,6)+1),"")),"")</f>
        <v/>
      </c>
      <c r="I377" s="159">
        <f>IF(OR(NOT(ISNUMBER(G377)),NOT(ISNUMBER(H377))),"",H377-G377)</f>
        <v/>
      </c>
      <c r="J377" s="319">
        <f>IF(OR(NOT(ISNUMBER(G377)),NOT(ISNUMBER(H377)),G377=0),"",I377/G377)</f>
        <v/>
      </c>
      <c r="K377" s="319">
        <f>IF(OR(NOT(ISNUMBER(G377)),NOT(ISNUMBER(H377)),G377=0),"",H377/G377)</f>
        <v/>
      </c>
      <c r="L377">
        <f>IF(NOT(ISNUMBER(G377)),"SEM META",IF(G377=0,"SEM META",IF(NOT(ISNUMBER(H377)),"SEM APONTAMENTO",IF(H377&gt;=G377,"VERDE",IF(H377&gt;=G377*0.9,"AMARELO","VERMELHO")))))</f>
        <v/>
      </c>
      <c r="M377" s="162" t="n"/>
      <c r="N377" s="162" t="n"/>
      <c r="O377" s="162" t="n"/>
      <c r="P377" s="162" t="n"/>
      <c r="Q377" s="320" t="n"/>
      <c r="R377" s="162" t="inlineStr">
        <is>
          <t>CONTROLE PRODUÇÃO POR EMPRESAS!E68</t>
        </is>
      </c>
    </row>
    <row r="378" ht="28.5" customHeight="1">
      <c r="A378" s="317" t="n">
        <v>46285</v>
      </c>
      <c r="B378" t="inlineStr">
        <is>
          <t>GERAL</t>
        </is>
      </c>
      <c r="C378" t="inlineStr">
        <is>
          <t>CMM</t>
        </is>
      </c>
      <c r="D378" t="inlineStr">
        <is>
          <t>IÇAMENTO JOIST</t>
        </is>
      </c>
      <c r="F378" s="159">
        <f>IFERROR(INDEX('BASE METAS DIÁRIAS'!$N$2:$S$358,MATCH($A378,'BASE METAS DIÁRIAS'!$A$2:$A$358,0),MOD(ROW()-2,6)+1),"")</f>
        <v/>
      </c>
      <c r="G378" s="159">
        <f>IFERROR(IF(WEEKDAY($A378,2)&lt;=INDEX('BASE METAS DIÁRIAS'!$H$2:$M$358,MATCH($A378,'BASE METAS DIÁRIAS'!$A$2:$A$358,0),MOD(ROW()-2,6)+1),INDEX('BASE METAS DIÁRIAS'!$B$2:$G$358,MATCH($A378,'BASE METAS DIÁRIAS'!$A$2:$A$358,0),MOD(ROW()-2,6)+1),""),"")</f>
        <v/>
      </c>
      <c r="H378" s="159">
        <f>IFERROR(IF(INDEX('CONTROLE PRODUÇÃO POR EMPRESAS'!$B$6:$G$5000,MATCH($A378,'CONTROLE PRODUÇÃO POR EMPRESAS'!$A$6:$A$5000,0),MOD(ROW()-2,6)+1)="","",IFERROR(1*INDEX('CONTROLE PRODUÇÃO POR EMPRESAS'!$B$6:$G$5000,MATCH($A378,'CONTROLE PRODUÇÃO POR EMPRESAS'!$A$6:$A$5000,0),MOD(ROW()-2,6)+1),"")),"")</f>
        <v/>
      </c>
      <c r="I378" s="159">
        <f>IF(OR(NOT(ISNUMBER(G378)),NOT(ISNUMBER(H378))),"",H378-G378)</f>
        <v/>
      </c>
      <c r="J378" s="319">
        <f>IF(OR(NOT(ISNUMBER(G378)),NOT(ISNUMBER(H378)),G378=0),"",I378/G378)</f>
        <v/>
      </c>
      <c r="K378" s="319">
        <f>IF(OR(NOT(ISNUMBER(G378)),NOT(ISNUMBER(H378)),G378=0),"",H378/G378)</f>
        <v/>
      </c>
      <c r="L378">
        <f>IF(NOT(ISNUMBER(G378)),"SEM META",IF(G378=0,"SEM META",IF(NOT(ISNUMBER(H378)),"SEM APONTAMENTO",IF(H378&gt;=G378,"VERDE",IF(H378&gt;=G378*0.9,"AMARELO","VERMELHO")))))</f>
        <v/>
      </c>
      <c r="M378" s="162" t="n"/>
      <c r="N378" s="162" t="n"/>
      <c r="O378" s="162" t="n"/>
      <c r="P378" s="162" t="n"/>
      <c r="Q378" s="320" t="n"/>
      <c r="R378" s="162" t="inlineStr">
        <is>
          <t>CONTROLE PRODUÇÃO POR EMPRESAS!F68</t>
        </is>
      </c>
    </row>
    <row r="379" ht="28.5" customHeight="1">
      <c r="A379" s="317" t="n">
        <v>46285</v>
      </c>
      <c r="B379" t="inlineStr">
        <is>
          <t>GERAL</t>
        </is>
      </c>
      <c r="C379" t="inlineStr">
        <is>
          <t>CMM</t>
        </is>
      </c>
      <c r="D379" t="inlineStr">
        <is>
          <t>VIGAS</t>
        </is>
      </c>
      <c r="F379" s="159">
        <f>IFERROR(INDEX('BASE METAS DIÁRIAS'!$N$2:$S$358,MATCH($A379,'BASE METAS DIÁRIAS'!$A$2:$A$358,0),MOD(ROW()-2,6)+1),"")</f>
        <v/>
      </c>
      <c r="G379" s="159">
        <f>IFERROR(IF(WEEKDAY($A379,2)&lt;=INDEX('BASE METAS DIÁRIAS'!$H$2:$M$358,MATCH($A379,'BASE METAS DIÁRIAS'!$A$2:$A$358,0),MOD(ROW()-2,6)+1),INDEX('BASE METAS DIÁRIAS'!$B$2:$G$358,MATCH($A379,'BASE METAS DIÁRIAS'!$A$2:$A$358,0),MOD(ROW()-2,6)+1),""),"")</f>
        <v/>
      </c>
      <c r="H379" s="159">
        <f>IFERROR(IF(INDEX('CONTROLE PRODUÇÃO POR EMPRESAS'!$B$6:$G$5000,MATCH($A379,'CONTROLE PRODUÇÃO POR EMPRESAS'!$A$6:$A$5000,0),MOD(ROW()-2,6)+1)="","",IFERROR(1*INDEX('CONTROLE PRODUÇÃO POR EMPRESAS'!$B$6:$G$5000,MATCH($A379,'CONTROLE PRODUÇÃO POR EMPRESAS'!$A$6:$A$5000,0),MOD(ROW()-2,6)+1),"")),"")</f>
        <v/>
      </c>
      <c r="I379" s="159">
        <f>IF(OR(NOT(ISNUMBER(G379)),NOT(ISNUMBER(H379))),"",H379-G379)</f>
        <v/>
      </c>
      <c r="J379" s="319">
        <f>IF(OR(NOT(ISNUMBER(G379)),NOT(ISNUMBER(H379)),G379=0),"",I379/G379)</f>
        <v/>
      </c>
      <c r="K379" s="319">
        <f>IF(OR(NOT(ISNUMBER(G379)),NOT(ISNUMBER(H379)),G379=0),"",H379/G379)</f>
        <v/>
      </c>
      <c r="L379">
        <f>IF(NOT(ISNUMBER(G379)),"SEM META",IF(G379=0,"SEM META",IF(NOT(ISNUMBER(H379)),"SEM APONTAMENTO",IF(H379&gt;=G379,"VERDE",IF(H379&gt;=G379*0.9,"AMARELO","VERMELHO")))))</f>
        <v/>
      </c>
      <c r="M379" s="162" t="n"/>
      <c r="N379" s="162" t="n"/>
      <c r="O379" s="162" t="n"/>
      <c r="P379" s="162" t="n"/>
      <c r="Q379" s="320" t="n"/>
      <c r="R379" s="162" t="inlineStr">
        <is>
          <t>CONTROLE PRODUÇÃO POR EMPRESAS!G68</t>
        </is>
      </c>
    </row>
    <row r="380" ht="28.5" customHeight="1">
      <c r="A380" s="317" t="n">
        <v>46286</v>
      </c>
      <c r="B380" t="inlineStr">
        <is>
          <t>GERAL</t>
        </is>
      </c>
      <c r="C380" t="inlineStr">
        <is>
          <t>EJ</t>
        </is>
      </c>
      <c r="D380" t="inlineStr">
        <is>
          <t>PREMONTAGEM</t>
        </is>
      </c>
      <c r="F380" s="159">
        <f>IFERROR(INDEX('BASE METAS DIÁRIAS'!$N$2:$S$358,MATCH($A380,'BASE METAS DIÁRIAS'!$A$2:$A$358,0),MOD(ROW()-2,6)+1),"")</f>
        <v/>
      </c>
      <c r="G380" s="159">
        <f>IFERROR(IF(WEEKDAY($A380,2)&lt;=INDEX('BASE METAS DIÁRIAS'!$H$2:$M$358,MATCH($A380,'BASE METAS DIÁRIAS'!$A$2:$A$358,0),MOD(ROW()-2,6)+1),INDEX('BASE METAS DIÁRIAS'!$B$2:$G$358,MATCH($A380,'BASE METAS DIÁRIAS'!$A$2:$A$358,0),MOD(ROW()-2,6)+1),""),"")</f>
        <v/>
      </c>
      <c r="H380" s="159">
        <f>IFERROR(IF(INDEX('CONTROLE PRODUÇÃO POR EMPRESAS'!$B$6:$G$5000,MATCH($A380,'CONTROLE PRODUÇÃO POR EMPRESAS'!$A$6:$A$5000,0),MOD(ROW()-2,6)+1)="","",IFERROR(1*INDEX('CONTROLE PRODUÇÃO POR EMPRESAS'!$B$6:$G$5000,MATCH($A380,'CONTROLE PRODUÇÃO POR EMPRESAS'!$A$6:$A$5000,0),MOD(ROW()-2,6)+1),"")),"")</f>
        <v/>
      </c>
      <c r="I380" s="159">
        <f>IF(OR(NOT(ISNUMBER(G380)),NOT(ISNUMBER(H380))),"",H380-G380)</f>
        <v/>
      </c>
      <c r="J380" s="319">
        <f>IF(OR(NOT(ISNUMBER(G380)),NOT(ISNUMBER(H380)),G380=0),"",I380/G380)</f>
        <v/>
      </c>
      <c r="K380" s="319">
        <f>IF(OR(NOT(ISNUMBER(G380)),NOT(ISNUMBER(H380)),G380=0),"",H380/G380)</f>
        <v/>
      </c>
      <c r="L380">
        <f>IF(NOT(ISNUMBER(G380)),"SEM META",IF(G380=0,"SEM META",IF(NOT(ISNUMBER(H380)),"SEM APONTAMENTO",IF(H380&gt;=G380,"VERDE",IF(H380&gt;=G380*0.9,"AMARELO","VERMELHO")))))</f>
        <v/>
      </c>
      <c r="M380" s="162" t="n"/>
      <c r="N380" s="162" t="n"/>
      <c r="O380" s="162" t="n"/>
      <c r="P380" s="162" t="n"/>
      <c r="Q380" s="320" t="n"/>
      <c r="R380" s="162" t="inlineStr">
        <is>
          <t>CONTROLE PRODUÇÃO POR EMPRESAS!B69</t>
        </is>
      </c>
    </row>
    <row r="381" ht="28.5" customHeight="1">
      <c r="A381" s="317" t="n">
        <v>46286</v>
      </c>
      <c r="B381" t="inlineStr">
        <is>
          <t>GERAL</t>
        </is>
      </c>
      <c r="C381" t="inlineStr">
        <is>
          <t>EJ</t>
        </is>
      </c>
      <c r="D381" t="inlineStr">
        <is>
          <t>IÇAMENTO JOIST</t>
        </is>
      </c>
      <c r="F381" s="159">
        <f>IFERROR(INDEX('BASE METAS DIÁRIAS'!$N$2:$S$358,MATCH($A381,'BASE METAS DIÁRIAS'!$A$2:$A$358,0),MOD(ROW()-2,6)+1),"")</f>
        <v/>
      </c>
      <c r="G381" s="159">
        <f>IFERROR(IF(WEEKDAY($A381,2)&lt;=INDEX('BASE METAS DIÁRIAS'!$H$2:$M$358,MATCH($A381,'BASE METAS DIÁRIAS'!$A$2:$A$358,0),MOD(ROW()-2,6)+1),INDEX('BASE METAS DIÁRIAS'!$B$2:$G$358,MATCH($A381,'BASE METAS DIÁRIAS'!$A$2:$A$358,0),MOD(ROW()-2,6)+1),""),"")</f>
        <v/>
      </c>
      <c r="H381" s="159">
        <f>IFERROR(IF(INDEX('CONTROLE PRODUÇÃO POR EMPRESAS'!$B$6:$G$5000,MATCH($A381,'CONTROLE PRODUÇÃO POR EMPRESAS'!$A$6:$A$5000,0),MOD(ROW()-2,6)+1)="","",IFERROR(1*INDEX('CONTROLE PRODUÇÃO POR EMPRESAS'!$B$6:$G$5000,MATCH($A381,'CONTROLE PRODUÇÃO POR EMPRESAS'!$A$6:$A$5000,0),MOD(ROW()-2,6)+1),"")),"")</f>
        <v/>
      </c>
      <c r="I381" s="159">
        <f>IF(OR(NOT(ISNUMBER(G381)),NOT(ISNUMBER(H381))),"",H381-G381)</f>
        <v/>
      </c>
      <c r="J381" s="319">
        <f>IF(OR(NOT(ISNUMBER(G381)),NOT(ISNUMBER(H381)),G381=0),"",I381/G381)</f>
        <v/>
      </c>
      <c r="K381" s="319">
        <f>IF(OR(NOT(ISNUMBER(G381)),NOT(ISNUMBER(H381)),G381=0),"",H381/G381)</f>
        <v/>
      </c>
      <c r="L381">
        <f>IF(NOT(ISNUMBER(G381)),"SEM META",IF(G381=0,"SEM META",IF(NOT(ISNUMBER(H381)),"SEM APONTAMENTO",IF(H381&gt;=G381,"VERDE",IF(H381&gt;=G381*0.9,"AMARELO","VERMELHO")))))</f>
        <v/>
      </c>
      <c r="M381" s="162" t="n"/>
      <c r="N381" s="162" t="n"/>
      <c r="O381" s="162" t="n"/>
      <c r="P381" s="162" t="n"/>
      <c r="Q381" s="320" t="n"/>
      <c r="R381" s="162" t="inlineStr">
        <is>
          <t>CONTROLE PRODUÇÃO POR EMPRESAS!C69</t>
        </is>
      </c>
    </row>
    <row r="382" ht="28.5" customHeight="1">
      <c r="A382" s="317" t="n">
        <v>46286</v>
      </c>
      <c r="B382" t="inlineStr">
        <is>
          <t>GERAL</t>
        </is>
      </c>
      <c r="C382" t="inlineStr">
        <is>
          <t>EJ</t>
        </is>
      </c>
      <c r="D382" t="inlineStr">
        <is>
          <t>VIGAS</t>
        </is>
      </c>
      <c r="F382" s="159">
        <f>IFERROR(INDEX('BASE METAS DIÁRIAS'!$N$2:$S$358,MATCH($A382,'BASE METAS DIÁRIAS'!$A$2:$A$358,0),MOD(ROW()-2,6)+1),"")</f>
        <v/>
      </c>
      <c r="G382" s="159">
        <f>IFERROR(IF(WEEKDAY($A382,2)&lt;=INDEX('BASE METAS DIÁRIAS'!$H$2:$M$358,MATCH($A382,'BASE METAS DIÁRIAS'!$A$2:$A$358,0),MOD(ROW()-2,6)+1),INDEX('BASE METAS DIÁRIAS'!$B$2:$G$358,MATCH($A382,'BASE METAS DIÁRIAS'!$A$2:$A$358,0),MOD(ROW()-2,6)+1),""),"")</f>
        <v/>
      </c>
      <c r="H382" s="159">
        <f>IFERROR(IF(INDEX('CONTROLE PRODUÇÃO POR EMPRESAS'!$B$6:$G$5000,MATCH($A382,'CONTROLE PRODUÇÃO POR EMPRESAS'!$A$6:$A$5000,0),MOD(ROW()-2,6)+1)="","",IFERROR(1*INDEX('CONTROLE PRODUÇÃO POR EMPRESAS'!$B$6:$G$5000,MATCH($A382,'CONTROLE PRODUÇÃO POR EMPRESAS'!$A$6:$A$5000,0),MOD(ROW()-2,6)+1),"")),"")</f>
        <v/>
      </c>
      <c r="I382" s="159">
        <f>IF(OR(NOT(ISNUMBER(G382)),NOT(ISNUMBER(H382))),"",H382-G382)</f>
        <v/>
      </c>
      <c r="J382" s="319">
        <f>IF(OR(NOT(ISNUMBER(G382)),NOT(ISNUMBER(H382)),G382=0),"",I382/G382)</f>
        <v/>
      </c>
      <c r="K382" s="319">
        <f>IF(OR(NOT(ISNUMBER(G382)),NOT(ISNUMBER(H382)),G382=0),"",H382/G382)</f>
        <v/>
      </c>
      <c r="L382">
        <f>IF(NOT(ISNUMBER(G382)),"SEM META",IF(G382=0,"SEM META",IF(NOT(ISNUMBER(H382)),"SEM APONTAMENTO",IF(H382&gt;=G382,"VERDE",IF(H382&gt;=G382*0.9,"AMARELO","VERMELHO")))))</f>
        <v/>
      </c>
      <c r="M382" s="162" t="n"/>
      <c r="N382" s="162" t="n"/>
      <c r="O382" s="162" t="n"/>
      <c r="P382" s="162" t="n"/>
      <c r="Q382" s="320" t="n"/>
      <c r="R382" s="162" t="inlineStr">
        <is>
          <t>CONTROLE PRODUÇÃO POR EMPRESAS!D69</t>
        </is>
      </c>
    </row>
    <row r="383" ht="28.5" customHeight="1">
      <c r="A383" s="317" t="n">
        <v>46286</v>
      </c>
      <c r="B383" t="inlineStr">
        <is>
          <t>GERAL</t>
        </is>
      </c>
      <c r="C383" t="inlineStr">
        <is>
          <t>CMM</t>
        </is>
      </c>
      <c r="D383" t="inlineStr">
        <is>
          <t>PREMONTAGEM</t>
        </is>
      </c>
      <c r="F383" s="159">
        <f>IFERROR(INDEX('BASE METAS DIÁRIAS'!$N$2:$S$358,MATCH($A383,'BASE METAS DIÁRIAS'!$A$2:$A$358,0),MOD(ROW()-2,6)+1),"")</f>
        <v/>
      </c>
      <c r="G383" s="159">
        <f>IFERROR(IF(WEEKDAY($A383,2)&lt;=INDEX('BASE METAS DIÁRIAS'!$H$2:$M$358,MATCH($A383,'BASE METAS DIÁRIAS'!$A$2:$A$358,0),MOD(ROW()-2,6)+1),INDEX('BASE METAS DIÁRIAS'!$B$2:$G$358,MATCH($A383,'BASE METAS DIÁRIAS'!$A$2:$A$358,0),MOD(ROW()-2,6)+1),""),"")</f>
        <v/>
      </c>
      <c r="H383" s="159">
        <f>IFERROR(IF(INDEX('CONTROLE PRODUÇÃO POR EMPRESAS'!$B$6:$G$5000,MATCH($A383,'CONTROLE PRODUÇÃO POR EMPRESAS'!$A$6:$A$5000,0),MOD(ROW()-2,6)+1)="","",IFERROR(1*INDEX('CONTROLE PRODUÇÃO POR EMPRESAS'!$B$6:$G$5000,MATCH($A383,'CONTROLE PRODUÇÃO POR EMPRESAS'!$A$6:$A$5000,0),MOD(ROW()-2,6)+1),"")),"")</f>
        <v/>
      </c>
      <c r="I383" s="159">
        <f>IF(OR(NOT(ISNUMBER(G383)),NOT(ISNUMBER(H383))),"",H383-G383)</f>
        <v/>
      </c>
      <c r="J383" s="319">
        <f>IF(OR(NOT(ISNUMBER(G383)),NOT(ISNUMBER(H383)),G383=0),"",I383/G383)</f>
        <v/>
      </c>
      <c r="K383" s="319">
        <f>IF(OR(NOT(ISNUMBER(G383)),NOT(ISNUMBER(H383)),G383=0),"",H383/G383)</f>
        <v/>
      </c>
      <c r="L383">
        <f>IF(NOT(ISNUMBER(G383)),"SEM META",IF(G383=0,"SEM META",IF(NOT(ISNUMBER(H383)),"SEM APONTAMENTO",IF(H383&gt;=G383,"VERDE",IF(H383&gt;=G383*0.9,"AMARELO","VERMELHO")))))</f>
        <v/>
      </c>
      <c r="M383" s="162" t="n"/>
      <c r="N383" s="162" t="n"/>
      <c r="O383" s="162" t="n"/>
      <c r="P383" s="162" t="n"/>
      <c r="Q383" s="320" t="n"/>
      <c r="R383" s="162" t="inlineStr">
        <is>
          <t>CONTROLE PRODUÇÃO POR EMPRESAS!E69</t>
        </is>
      </c>
    </row>
    <row r="384" ht="28.5" customHeight="1">
      <c r="A384" s="317" t="n">
        <v>46286</v>
      </c>
      <c r="B384" t="inlineStr">
        <is>
          <t>GERAL</t>
        </is>
      </c>
      <c r="C384" t="inlineStr">
        <is>
          <t>CMM</t>
        </is>
      </c>
      <c r="D384" t="inlineStr">
        <is>
          <t>IÇAMENTO JOIST</t>
        </is>
      </c>
      <c r="F384" s="159">
        <f>IFERROR(INDEX('BASE METAS DIÁRIAS'!$N$2:$S$358,MATCH($A384,'BASE METAS DIÁRIAS'!$A$2:$A$358,0),MOD(ROW()-2,6)+1),"")</f>
        <v/>
      </c>
      <c r="G384" s="159">
        <f>IFERROR(IF(WEEKDAY($A384,2)&lt;=INDEX('BASE METAS DIÁRIAS'!$H$2:$M$358,MATCH($A384,'BASE METAS DIÁRIAS'!$A$2:$A$358,0),MOD(ROW()-2,6)+1),INDEX('BASE METAS DIÁRIAS'!$B$2:$G$358,MATCH($A384,'BASE METAS DIÁRIAS'!$A$2:$A$358,0),MOD(ROW()-2,6)+1),""),"")</f>
        <v/>
      </c>
      <c r="H384" s="159">
        <f>IFERROR(IF(INDEX('CONTROLE PRODUÇÃO POR EMPRESAS'!$B$6:$G$5000,MATCH($A384,'CONTROLE PRODUÇÃO POR EMPRESAS'!$A$6:$A$5000,0),MOD(ROW()-2,6)+1)="","",IFERROR(1*INDEX('CONTROLE PRODUÇÃO POR EMPRESAS'!$B$6:$G$5000,MATCH($A384,'CONTROLE PRODUÇÃO POR EMPRESAS'!$A$6:$A$5000,0),MOD(ROW()-2,6)+1),"")),"")</f>
        <v/>
      </c>
      <c r="I384" s="159">
        <f>IF(OR(NOT(ISNUMBER(G384)),NOT(ISNUMBER(H384))),"",H384-G384)</f>
        <v/>
      </c>
      <c r="J384" s="319">
        <f>IF(OR(NOT(ISNUMBER(G384)),NOT(ISNUMBER(H384)),G384=0),"",I384/G384)</f>
        <v/>
      </c>
      <c r="K384" s="319">
        <f>IF(OR(NOT(ISNUMBER(G384)),NOT(ISNUMBER(H384)),G384=0),"",H384/G384)</f>
        <v/>
      </c>
      <c r="L384">
        <f>IF(NOT(ISNUMBER(G384)),"SEM META",IF(G384=0,"SEM META",IF(NOT(ISNUMBER(H384)),"SEM APONTAMENTO",IF(H384&gt;=G384,"VERDE",IF(H384&gt;=G384*0.9,"AMARELO","VERMELHO")))))</f>
        <v/>
      </c>
      <c r="M384" s="162" t="n"/>
      <c r="N384" s="162" t="n"/>
      <c r="O384" s="162" t="n"/>
      <c r="P384" s="162" t="n"/>
      <c r="Q384" s="320" t="n"/>
      <c r="R384" s="162" t="inlineStr">
        <is>
          <t>CONTROLE PRODUÇÃO POR EMPRESAS!F69</t>
        </is>
      </c>
    </row>
    <row r="385" ht="28.5" customHeight="1">
      <c r="A385" s="317" t="n">
        <v>46286</v>
      </c>
      <c r="B385" t="inlineStr">
        <is>
          <t>GERAL</t>
        </is>
      </c>
      <c r="C385" t="inlineStr">
        <is>
          <t>CMM</t>
        </is>
      </c>
      <c r="D385" t="inlineStr">
        <is>
          <t>VIGAS</t>
        </is>
      </c>
      <c r="F385" s="159">
        <f>IFERROR(INDEX('BASE METAS DIÁRIAS'!$N$2:$S$358,MATCH($A385,'BASE METAS DIÁRIAS'!$A$2:$A$358,0),MOD(ROW()-2,6)+1),"")</f>
        <v/>
      </c>
      <c r="G385" s="159">
        <f>IFERROR(IF(WEEKDAY($A385,2)&lt;=INDEX('BASE METAS DIÁRIAS'!$H$2:$M$358,MATCH($A385,'BASE METAS DIÁRIAS'!$A$2:$A$358,0),MOD(ROW()-2,6)+1),INDEX('BASE METAS DIÁRIAS'!$B$2:$G$358,MATCH($A385,'BASE METAS DIÁRIAS'!$A$2:$A$358,0),MOD(ROW()-2,6)+1),""),"")</f>
        <v/>
      </c>
      <c r="H385" s="159">
        <f>IFERROR(IF(INDEX('CONTROLE PRODUÇÃO POR EMPRESAS'!$B$6:$G$5000,MATCH($A385,'CONTROLE PRODUÇÃO POR EMPRESAS'!$A$6:$A$5000,0),MOD(ROW()-2,6)+1)="","",IFERROR(1*INDEX('CONTROLE PRODUÇÃO POR EMPRESAS'!$B$6:$G$5000,MATCH($A385,'CONTROLE PRODUÇÃO POR EMPRESAS'!$A$6:$A$5000,0),MOD(ROW()-2,6)+1),"")),"")</f>
        <v/>
      </c>
      <c r="I385" s="159">
        <f>IF(OR(NOT(ISNUMBER(G385)),NOT(ISNUMBER(H385))),"",H385-G385)</f>
        <v/>
      </c>
      <c r="J385" s="319">
        <f>IF(OR(NOT(ISNUMBER(G385)),NOT(ISNUMBER(H385)),G385=0),"",I385/G385)</f>
        <v/>
      </c>
      <c r="K385" s="319">
        <f>IF(OR(NOT(ISNUMBER(G385)),NOT(ISNUMBER(H385)),G385=0),"",H385/G385)</f>
        <v/>
      </c>
      <c r="L385">
        <f>IF(NOT(ISNUMBER(G385)),"SEM META",IF(G385=0,"SEM META",IF(NOT(ISNUMBER(H385)),"SEM APONTAMENTO",IF(H385&gt;=G385,"VERDE",IF(H385&gt;=G385*0.9,"AMARELO","VERMELHO")))))</f>
        <v/>
      </c>
      <c r="M385" s="162" t="n"/>
      <c r="N385" s="162" t="n"/>
      <c r="O385" s="162" t="n"/>
      <c r="P385" s="162" t="n"/>
      <c r="Q385" s="320" t="n"/>
      <c r="R385" s="162" t="inlineStr">
        <is>
          <t>CONTROLE PRODUÇÃO POR EMPRESAS!G69</t>
        </is>
      </c>
    </row>
    <row r="386" ht="28.5" customHeight="1">
      <c r="A386" s="317" t="n">
        <v>46287</v>
      </c>
      <c r="B386" t="inlineStr">
        <is>
          <t>GERAL</t>
        </is>
      </c>
      <c r="C386" t="inlineStr">
        <is>
          <t>EJ</t>
        </is>
      </c>
      <c r="D386" t="inlineStr">
        <is>
          <t>PREMONTAGEM</t>
        </is>
      </c>
      <c r="F386" s="159">
        <f>IFERROR(INDEX('BASE METAS DIÁRIAS'!$N$2:$S$358,MATCH($A386,'BASE METAS DIÁRIAS'!$A$2:$A$358,0),MOD(ROW()-2,6)+1),"")</f>
        <v/>
      </c>
      <c r="G386" s="159">
        <f>IFERROR(IF(WEEKDAY($A386,2)&lt;=INDEX('BASE METAS DIÁRIAS'!$H$2:$M$358,MATCH($A386,'BASE METAS DIÁRIAS'!$A$2:$A$358,0),MOD(ROW()-2,6)+1),INDEX('BASE METAS DIÁRIAS'!$B$2:$G$358,MATCH($A386,'BASE METAS DIÁRIAS'!$A$2:$A$358,0),MOD(ROW()-2,6)+1),""),"")</f>
        <v/>
      </c>
      <c r="H386" s="159">
        <f>IFERROR(IF(INDEX('CONTROLE PRODUÇÃO POR EMPRESAS'!$B$6:$G$5000,MATCH($A386,'CONTROLE PRODUÇÃO POR EMPRESAS'!$A$6:$A$5000,0),MOD(ROW()-2,6)+1)="","",IFERROR(1*INDEX('CONTROLE PRODUÇÃO POR EMPRESAS'!$B$6:$G$5000,MATCH($A386,'CONTROLE PRODUÇÃO POR EMPRESAS'!$A$6:$A$5000,0),MOD(ROW()-2,6)+1),"")),"")</f>
        <v/>
      </c>
      <c r="I386" s="159">
        <f>IF(OR(NOT(ISNUMBER(G386)),NOT(ISNUMBER(H386))),"",H386-G386)</f>
        <v/>
      </c>
      <c r="J386" s="319">
        <f>IF(OR(NOT(ISNUMBER(G386)),NOT(ISNUMBER(H386)),G386=0),"",I386/G386)</f>
        <v/>
      </c>
      <c r="K386" s="319">
        <f>IF(OR(NOT(ISNUMBER(G386)),NOT(ISNUMBER(H386)),G386=0),"",H386/G386)</f>
        <v/>
      </c>
      <c r="L386">
        <f>IF(NOT(ISNUMBER(G386)),"SEM META",IF(G386=0,"SEM META",IF(NOT(ISNUMBER(H386)),"SEM APONTAMENTO",IF(H386&gt;=G386,"VERDE",IF(H386&gt;=G386*0.9,"AMARELO","VERMELHO")))))</f>
        <v/>
      </c>
      <c r="M386" s="162" t="n"/>
      <c r="N386" s="162" t="n"/>
      <c r="O386" s="162" t="n"/>
      <c r="P386" s="162" t="n"/>
      <c r="Q386" s="320" t="n"/>
      <c r="R386" s="162" t="inlineStr">
        <is>
          <t>CONTROLE PRODUÇÃO POR EMPRESAS!B70</t>
        </is>
      </c>
    </row>
    <row r="387" ht="28.5" customHeight="1">
      <c r="A387" s="317" t="n">
        <v>46287</v>
      </c>
      <c r="B387" t="inlineStr">
        <is>
          <t>GERAL</t>
        </is>
      </c>
      <c r="C387" t="inlineStr">
        <is>
          <t>EJ</t>
        </is>
      </c>
      <c r="D387" t="inlineStr">
        <is>
          <t>IÇAMENTO JOIST</t>
        </is>
      </c>
      <c r="F387" s="159">
        <f>IFERROR(INDEX('BASE METAS DIÁRIAS'!$N$2:$S$358,MATCH($A387,'BASE METAS DIÁRIAS'!$A$2:$A$358,0),MOD(ROW()-2,6)+1),"")</f>
        <v/>
      </c>
      <c r="G387" s="159">
        <f>IFERROR(IF(WEEKDAY($A387,2)&lt;=INDEX('BASE METAS DIÁRIAS'!$H$2:$M$358,MATCH($A387,'BASE METAS DIÁRIAS'!$A$2:$A$358,0),MOD(ROW()-2,6)+1),INDEX('BASE METAS DIÁRIAS'!$B$2:$G$358,MATCH($A387,'BASE METAS DIÁRIAS'!$A$2:$A$358,0),MOD(ROW()-2,6)+1),""),"")</f>
        <v/>
      </c>
      <c r="H387" s="159">
        <f>IFERROR(IF(INDEX('CONTROLE PRODUÇÃO POR EMPRESAS'!$B$6:$G$5000,MATCH($A387,'CONTROLE PRODUÇÃO POR EMPRESAS'!$A$6:$A$5000,0),MOD(ROW()-2,6)+1)="","",IFERROR(1*INDEX('CONTROLE PRODUÇÃO POR EMPRESAS'!$B$6:$G$5000,MATCH($A387,'CONTROLE PRODUÇÃO POR EMPRESAS'!$A$6:$A$5000,0),MOD(ROW()-2,6)+1),"")),"")</f>
        <v/>
      </c>
      <c r="I387" s="159">
        <f>IF(OR(NOT(ISNUMBER(G387)),NOT(ISNUMBER(H387))),"",H387-G387)</f>
        <v/>
      </c>
      <c r="J387" s="319">
        <f>IF(OR(NOT(ISNUMBER(G387)),NOT(ISNUMBER(H387)),G387=0),"",I387/G387)</f>
        <v/>
      </c>
      <c r="K387" s="319">
        <f>IF(OR(NOT(ISNUMBER(G387)),NOT(ISNUMBER(H387)),G387=0),"",H387/G387)</f>
        <v/>
      </c>
      <c r="L387">
        <f>IF(NOT(ISNUMBER(G387)),"SEM META",IF(G387=0,"SEM META",IF(NOT(ISNUMBER(H387)),"SEM APONTAMENTO",IF(H387&gt;=G387,"VERDE",IF(H387&gt;=G387*0.9,"AMARELO","VERMELHO")))))</f>
        <v/>
      </c>
      <c r="M387" s="162" t="n"/>
      <c r="N387" s="162" t="n"/>
      <c r="O387" s="162" t="n"/>
      <c r="P387" s="162" t="n"/>
      <c r="Q387" s="320" t="n"/>
      <c r="R387" s="162" t="inlineStr">
        <is>
          <t>CONTROLE PRODUÇÃO POR EMPRESAS!C70</t>
        </is>
      </c>
    </row>
    <row r="388" ht="28.5" customHeight="1">
      <c r="A388" s="317" t="n">
        <v>46287</v>
      </c>
      <c r="B388" t="inlineStr">
        <is>
          <t>GERAL</t>
        </is>
      </c>
      <c r="C388" t="inlineStr">
        <is>
          <t>EJ</t>
        </is>
      </c>
      <c r="D388" t="inlineStr">
        <is>
          <t>VIGAS</t>
        </is>
      </c>
      <c r="F388" s="159">
        <f>IFERROR(INDEX('BASE METAS DIÁRIAS'!$N$2:$S$358,MATCH($A388,'BASE METAS DIÁRIAS'!$A$2:$A$358,0),MOD(ROW()-2,6)+1),"")</f>
        <v/>
      </c>
      <c r="G388" s="159">
        <f>IFERROR(IF(WEEKDAY($A388,2)&lt;=INDEX('BASE METAS DIÁRIAS'!$H$2:$M$358,MATCH($A388,'BASE METAS DIÁRIAS'!$A$2:$A$358,0),MOD(ROW()-2,6)+1),INDEX('BASE METAS DIÁRIAS'!$B$2:$G$358,MATCH($A388,'BASE METAS DIÁRIAS'!$A$2:$A$358,0),MOD(ROW()-2,6)+1),""),"")</f>
        <v/>
      </c>
      <c r="H388" s="159">
        <f>IFERROR(IF(INDEX('CONTROLE PRODUÇÃO POR EMPRESAS'!$B$6:$G$5000,MATCH($A388,'CONTROLE PRODUÇÃO POR EMPRESAS'!$A$6:$A$5000,0),MOD(ROW()-2,6)+1)="","",IFERROR(1*INDEX('CONTROLE PRODUÇÃO POR EMPRESAS'!$B$6:$G$5000,MATCH($A388,'CONTROLE PRODUÇÃO POR EMPRESAS'!$A$6:$A$5000,0),MOD(ROW()-2,6)+1),"")),"")</f>
        <v/>
      </c>
      <c r="I388" s="159">
        <f>IF(OR(NOT(ISNUMBER(G388)),NOT(ISNUMBER(H388))),"",H388-G388)</f>
        <v/>
      </c>
      <c r="J388" s="319">
        <f>IF(OR(NOT(ISNUMBER(G388)),NOT(ISNUMBER(H388)),G388=0),"",I388/G388)</f>
        <v/>
      </c>
      <c r="K388" s="319">
        <f>IF(OR(NOT(ISNUMBER(G388)),NOT(ISNUMBER(H388)),G388=0),"",H388/G388)</f>
        <v/>
      </c>
      <c r="L388">
        <f>IF(NOT(ISNUMBER(G388)),"SEM META",IF(G388=0,"SEM META",IF(NOT(ISNUMBER(H388)),"SEM APONTAMENTO",IF(H388&gt;=G388,"VERDE",IF(H388&gt;=G388*0.9,"AMARELO","VERMELHO")))))</f>
        <v/>
      </c>
      <c r="M388" s="162" t="n"/>
      <c r="N388" s="162" t="n"/>
      <c r="O388" s="162" t="n"/>
      <c r="P388" s="162" t="n"/>
      <c r="Q388" s="320" t="n"/>
      <c r="R388" s="162" t="inlineStr">
        <is>
          <t>CONTROLE PRODUÇÃO POR EMPRESAS!D70</t>
        </is>
      </c>
    </row>
    <row r="389" ht="28.5" customHeight="1">
      <c r="A389" s="317" t="n">
        <v>46287</v>
      </c>
      <c r="B389" t="inlineStr">
        <is>
          <t>GERAL</t>
        </is>
      </c>
      <c r="C389" t="inlineStr">
        <is>
          <t>CMM</t>
        </is>
      </c>
      <c r="D389" t="inlineStr">
        <is>
          <t>PREMONTAGEM</t>
        </is>
      </c>
      <c r="F389" s="159">
        <f>IFERROR(INDEX('BASE METAS DIÁRIAS'!$N$2:$S$358,MATCH($A389,'BASE METAS DIÁRIAS'!$A$2:$A$358,0),MOD(ROW()-2,6)+1),"")</f>
        <v/>
      </c>
      <c r="G389" s="159">
        <f>IFERROR(IF(WEEKDAY($A389,2)&lt;=INDEX('BASE METAS DIÁRIAS'!$H$2:$M$358,MATCH($A389,'BASE METAS DIÁRIAS'!$A$2:$A$358,0),MOD(ROW()-2,6)+1),INDEX('BASE METAS DIÁRIAS'!$B$2:$G$358,MATCH($A389,'BASE METAS DIÁRIAS'!$A$2:$A$358,0),MOD(ROW()-2,6)+1),""),"")</f>
        <v/>
      </c>
      <c r="H389" s="159">
        <f>IFERROR(IF(INDEX('CONTROLE PRODUÇÃO POR EMPRESAS'!$B$6:$G$5000,MATCH($A389,'CONTROLE PRODUÇÃO POR EMPRESAS'!$A$6:$A$5000,0),MOD(ROW()-2,6)+1)="","",IFERROR(1*INDEX('CONTROLE PRODUÇÃO POR EMPRESAS'!$B$6:$G$5000,MATCH($A389,'CONTROLE PRODUÇÃO POR EMPRESAS'!$A$6:$A$5000,0),MOD(ROW()-2,6)+1),"")),"")</f>
        <v/>
      </c>
      <c r="I389" s="159">
        <f>IF(OR(NOT(ISNUMBER(G389)),NOT(ISNUMBER(H389))),"",H389-G389)</f>
        <v/>
      </c>
      <c r="J389" s="319">
        <f>IF(OR(NOT(ISNUMBER(G389)),NOT(ISNUMBER(H389)),G389=0),"",I389/G389)</f>
        <v/>
      </c>
      <c r="K389" s="319">
        <f>IF(OR(NOT(ISNUMBER(G389)),NOT(ISNUMBER(H389)),G389=0),"",H389/G389)</f>
        <v/>
      </c>
      <c r="L389">
        <f>IF(NOT(ISNUMBER(G389)),"SEM META",IF(G389=0,"SEM META",IF(NOT(ISNUMBER(H389)),"SEM APONTAMENTO",IF(H389&gt;=G389,"VERDE",IF(H389&gt;=G389*0.9,"AMARELO","VERMELHO")))))</f>
        <v/>
      </c>
      <c r="M389" s="162" t="n"/>
      <c r="N389" s="162" t="n"/>
      <c r="O389" s="162" t="n"/>
      <c r="P389" s="162" t="n"/>
      <c r="Q389" s="320" t="n"/>
      <c r="R389" s="162" t="inlineStr">
        <is>
          <t>CONTROLE PRODUÇÃO POR EMPRESAS!E70</t>
        </is>
      </c>
    </row>
    <row r="390" ht="28.5" customHeight="1">
      <c r="A390" s="317" t="n">
        <v>46287</v>
      </c>
      <c r="B390" t="inlineStr">
        <is>
          <t>GERAL</t>
        </is>
      </c>
      <c r="C390" t="inlineStr">
        <is>
          <t>CMM</t>
        </is>
      </c>
      <c r="D390" t="inlineStr">
        <is>
          <t>IÇAMENTO JOIST</t>
        </is>
      </c>
      <c r="F390" s="159">
        <f>IFERROR(INDEX('BASE METAS DIÁRIAS'!$N$2:$S$358,MATCH($A390,'BASE METAS DIÁRIAS'!$A$2:$A$358,0),MOD(ROW()-2,6)+1),"")</f>
        <v/>
      </c>
      <c r="G390" s="159">
        <f>IFERROR(IF(WEEKDAY($A390,2)&lt;=INDEX('BASE METAS DIÁRIAS'!$H$2:$M$358,MATCH($A390,'BASE METAS DIÁRIAS'!$A$2:$A$358,0),MOD(ROW()-2,6)+1),INDEX('BASE METAS DIÁRIAS'!$B$2:$G$358,MATCH($A390,'BASE METAS DIÁRIAS'!$A$2:$A$358,0),MOD(ROW()-2,6)+1),""),"")</f>
        <v/>
      </c>
      <c r="H390" s="159">
        <f>IFERROR(IF(INDEX('CONTROLE PRODUÇÃO POR EMPRESAS'!$B$6:$G$5000,MATCH($A390,'CONTROLE PRODUÇÃO POR EMPRESAS'!$A$6:$A$5000,0),MOD(ROW()-2,6)+1)="","",IFERROR(1*INDEX('CONTROLE PRODUÇÃO POR EMPRESAS'!$B$6:$G$5000,MATCH($A390,'CONTROLE PRODUÇÃO POR EMPRESAS'!$A$6:$A$5000,0),MOD(ROW()-2,6)+1),"")),"")</f>
        <v/>
      </c>
      <c r="I390" s="159">
        <f>IF(OR(NOT(ISNUMBER(G390)),NOT(ISNUMBER(H390))),"",H390-G390)</f>
        <v/>
      </c>
      <c r="J390" s="319">
        <f>IF(OR(NOT(ISNUMBER(G390)),NOT(ISNUMBER(H390)),G390=0),"",I390/G390)</f>
        <v/>
      </c>
      <c r="K390" s="319">
        <f>IF(OR(NOT(ISNUMBER(G390)),NOT(ISNUMBER(H390)),G390=0),"",H390/G390)</f>
        <v/>
      </c>
      <c r="L390">
        <f>IF(NOT(ISNUMBER(G390)),"SEM META",IF(G390=0,"SEM META",IF(NOT(ISNUMBER(H390)),"SEM APONTAMENTO",IF(H390&gt;=G390,"VERDE",IF(H390&gt;=G390*0.9,"AMARELO","VERMELHO")))))</f>
        <v/>
      </c>
      <c r="M390" s="162" t="n"/>
      <c r="N390" s="162" t="n"/>
      <c r="O390" s="162" t="n"/>
      <c r="P390" s="162" t="n"/>
      <c r="Q390" s="320" t="n"/>
      <c r="R390" s="162" t="inlineStr">
        <is>
          <t>CONTROLE PRODUÇÃO POR EMPRESAS!F70</t>
        </is>
      </c>
    </row>
    <row r="391" ht="28.5" customHeight="1">
      <c r="A391" s="317" t="n">
        <v>46287</v>
      </c>
      <c r="B391" t="inlineStr">
        <is>
          <t>GERAL</t>
        </is>
      </c>
      <c r="C391" t="inlineStr">
        <is>
          <t>CMM</t>
        </is>
      </c>
      <c r="D391" t="inlineStr">
        <is>
          <t>VIGAS</t>
        </is>
      </c>
      <c r="F391" s="159">
        <f>IFERROR(INDEX('BASE METAS DIÁRIAS'!$N$2:$S$358,MATCH($A391,'BASE METAS DIÁRIAS'!$A$2:$A$358,0),MOD(ROW()-2,6)+1),"")</f>
        <v/>
      </c>
      <c r="G391" s="159">
        <f>IFERROR(IF(WEEKDAY($A391,2)&lt;=INDEX('BASE METAS DIÁRIAS'!$H$2:$M$358,MATCH($A391,'BASE METAS DIÁRIAS'!$A$2:$A$358,0),MOD(ROW()-2,6)+1),INDEX('BASE METAS DIÁRIAS'!$B$2:$G$358,MATCH($A391,'BASE METAS DIÁRIAS'!$A$2:$A$358,0),MOD(ROW()-2,6)+1),""),"")</f>
        <v/>
      </c>
      <c r="H391" s="159">
        <f>IFERROR(IF(INDEX('CONTROLE PRODUÇÃO POR EMPRESAS'!$B$6:$G$5000,MATCH($A391,'CONTROLE PRODUÇÃO POR EMPRESAS'!$A$6:$A$5000,0),MOD(ROW()-2,6)+1)="","",IFERROR(1*INDEX('CONTROLE PRODUÇÃO POR EMPRESAS'!$B$6:$G$5000,MATCH($A391,'CONTROLE PRODUÇÃO POR EMPRESAS'!$A$6:$A$5000,0),MOD(ROW()-2,6)+1),"")),"")</f>
        <v/>
      </c>
      <c r="I391" s="159">
        <f>IF(OR(NOT(ISNUMBER(G391)),NOT(ISNUMBER(H391))),"",H391-G391)</f>
        <v/>
      </c>
      <c r="J391" s="319">
        <f>IF(OR(NOT(ISNUMBER(G391)),NOT(ISNUMBER(H391)),G391=0),"",I391/G391)</f>
        <v/>
      </c>
      <c r="K391" s="319">
        <f>IF(OR(NOT(ISNUMBER(G391)),NOT(ISNUMBER(H391)),G391=0),"",H391/G391)</f>
        <v/>
      </c>
      <c r="L391">
        <f>IF(NOT(ISNUMBER(G391)),"SEM META",IF(G391=0,"SEM META",IF(NOT(ISNUMBER(H391)),"SEM APONTAMENTO",IF(H391&gt;=G391,"VERDE",IF(H391&gt;=G391*0.9,"AMARELO","VERMELHO")))))</f>
        <v/>
      </c>
      <c r="M391" s="162" t="n"/>
      <c r="N391" s="162" t="n"/>
      <c r="O391" s="162" t="n"/>
      <c r="P391" s="162" t="n"/>
      <c r="Q391" s="320" t="n"/>
      <c r="R391" s="162" t="inlineStr">
        <is>
          <t>CONTROLE PRODUÇÃO POR EMPRESAS!G70</t>
        </is>
      </c>
    </row>
    <row r="392" ht="28.5" customHeight="1">
      <c r="A392" s="317" t="n">
        <v>46288</v>
      </c>
      <c r="B392" t="inlineStr">
        <is>
          <t>GERAL</t>
        </is>
      </c>
      <c r="C392" t="inlineStr">
        <is>
          <t>EJ</t>
        </is>
      </c>
      <c r="D392" t="inlineStr">
        <is>
          <t>PREMONTAGEM</t>
        </is>
      </c>
      <c r="F392" s="159">
        <f>IFERROR(INDEX('BASE METAS DIÁRIAS'!$N$2:$S$358,MATCH($A392,'BASE METAS DIÁRIAS'!$A$2:$A$358,0),MOD(ROW()-2,6)+1),"")</f>
        <v/>
      </c>
      <c r="G392" s="159">
        <f>IFERROR(IF(WEEKDAY($A392,2)&lt;=INDEX('BASE METAS DIÁRIAS'!$H$2:$M$358,MATCH($A392,'BASE METAS DIÁRIAS'!$A$2:$A$358,0),MOD(ROW()-2,6)+1),INDEX('BASE METAS DIÁRIAS'!$B$2:$G$358,MATCH($A392,'BASE METAS DIÁRIAS'!$A$2:$A$358,0),MOD(ROW()-2,6)+1),""),"")</f>
        <v/>
      </c>
      <c r="H392" s="159">
        <f>IFERROR(IF(INDEX('CONTROLE PRODUÇÃO POR EMPRESAS'!$B$6:$G$5000,MATCH($A392,'CONTROLE PRODUÇÃO POR EMPRESAS'!$A$6:$A$5000,0),MOD(ROW()-2,6)+1)="","",IFERROR(1*INDEX('CONTROLE PRODUÇÃO POR EMPRESAS'!$B$6:$G$5000,MATCH($A392,'CONTROLE PRODUÇÃO POR EMPRESAS'!$A$6:$A$5000,0),MOD(ROW()-2,6)+1),"")),"")</f>
        <v/>
      </c>
      <c r="I392" s="159">
        <f>IF(OR(NOT(ISNUMBER(G392)),NOT(ISNUMBER(H392))),"",H392-G392)</f>
        <v/>
      </c>
      <c r="J392" s="319">
        <f>IF(OR(NOT(ISNUMBER(G392)),NOT(ISNUMBER(H392)),G392=0),"",I392/G392)</f>
        <v/>
      </c>
      <c r="K392" s="319">
        <f>IF(OR(NOT(ISNUMBER(G392)),NOT(ISNUMBER(H392)),G392=0),"",H392/G392)</f>
        <v/>
      </c>
      <c r="L392">
        <f>IF(NOT(ISNUMBER(G392)),"SEM META",IF(G392=0,"SEM META",IF(NOT(ISNUMBER(H392)),"SEM APONTAMENTO",IF(H392&gt;=G392,"VERDE",IF(H392&gt;=G392*0.9,"AMARELO","VERMELHO")))))</f>
        <v/>
      </c>
      <c r="M392" s="162" t="n"/>
      <c r="N392" s="162" t="n"/>
      <c r="O392" s="162" t="n"/>
      <c r="P392" s="162" t="n"/>
      <c r="Q392" s="320" t="n"/>
      <c r="R392" s="162" t="inlineStr">
        <is>
          <t>CONTROLE PRODUÇÃO POR EMPRESAS!B71</t>
        </is>
      </c>
    </row>
    <row r="393" ht="28.5" customHeight="1">
      <c r="A393" s="317" t="n">
        <v>46288</v>
      </c>
      <c r="B393" t="inlineStr">
        <is>
          <t>GERAL</t>
        </is>
      </c>
      <c r="C393" t="inlineStr">
        <is>
          <t>EJ</t>
        </is>
      </c>
      <c r="D393" t="inlineStr">
        <is>
          <t>IÇAMENTO JOIST</t>
        </is>
      </c>
      <c r="F393" s="159">
        <f>IFERROR(INDEX('BASE METAS DIÁRIAS'!$N$2:$S$358,MATCH($A393,'BASE METAS DIÁRIAS'!$A$2:$A$358,0),MOD(ROW()-2,6)+1),"")</f>
        <v/>
      </c>
      <c r="G393" s="159">
        <f>IFERROR(IF(WEEKDAY($A393,2)&lt;=INDEX('BASE METAS DIÁRIAS'!$H$2:$M$358,MATCH($A393,'BASE METAS DIÁRIAS'!$A$2:$A$358,0),MOD(ROW()-2,6)+1),INDEX('BASE METAS DIÁRIAS'!$B$2:$G$358,MATCH($A393,'BASE METAS DIÁRIAS'!$A$2:$A$358,0),MOD(ROW()-2,6)+1),""),"")</f>
        <v/>
      </c>
      <c r="H393" s="159">
        <f>IFERROR(IF(INDEX('CONTROLE PRODUÇÃO POR EMPRESAS'!$B$6:$G$5000,MATCH($A393,'CONTROLE PRODUÇÃO POR EMPRESAS'!$A$6:$A$5000,0),MOD(ROW()-2,6)+1)="","",IFERROR(1*INDEX('CONTROLE PRODUÇÃO POR EMPRESAS'!$B$6:$G$5000,MATCH($A393,'CONTROLE PRODUÇÃO POR EMPRESAS'!$A$6:$A$5000,0),MOD(ROW()-2,6)+1),"")),"")</f>
        <v/>
      </c>
      <c r="I393" s="159">
        <f>IF(OR(NOT(ISNUMBER(G393)),NOT(ISNUMBER(H393))),"",H393-G393)</f>
        <v/>
      </c>
      <c r="J393" s="319">
        <f>IF(OR(NOT(ISNUMBER(G393)),NOT(ISNUMBER(H393)),G393=0),"",I393/G393)</f>
        <v/>
      </c>
      <c r="K393" s="319">
        <f>IF(OR(NOT(ISNUMBER(G393)),NOT(ISNUMBER(H393)),G393=0),"",H393/G393)</f>
        <v/>
      </c>
      <c r="L393">
        <f>IF(NOT(ISNUMBER(G393)),"SEM META",IF(G393=0,"SEM META",IF(NOT(ISNUMBER(H393)),"SEM APONTAMENTO",IF(H393&gt;=G393,"VERDE",IF(H393&gt;=G393*0.9,"AMARELO","VERMELHO")))))</f>
        <v/>
      </c>
      <c r="M393" s="162" t="n"/>
      <c r="N393" s="162" t="n"/>
      <c r="O393" s="162" t="n"/>
      <c r="P393" s="162" t="n"/>
      <c r="Q393" s="320" t="n"/>
      <c r="R393" s="162" t="inlineStr">
        <is>
          <t>CONTROLE PRODUÇÃO POR EMPRESAS!C71</t>
        </is>
      </c>
    </row>
    <row r="394" ht="28.5" customHeight="1">
      <c r="A394" s="317" t="n">
        <v>46288</v>
      </c>
      <c r="B394" t="inlineStr">
        <is>
          <t>GERAL</t>
        </is>
      </c>
      <c r="C394" t="inlineStr">
        <is>
          <t>EJ</t>
        </is>
      </c>
      <c r="D394" t="inlineStr">
        <is>
          <t>VIGAS</t>
        </is>
      </c>
      <c r="F394" s="159">
        <f>IFERROR(INDEX('BASE METAS DIÁRIAS'!$N$2:$S$358,MATCH($A394,'BASE METAS DIÁRIAS'!$A$2:$A$358,0),MOD(ROW()-2,6)+1),"")</f>
        <v/>
      </c>
      <c r="G394" s="159">
        <f>IFERROR(IF(WEEKDAY($A394,2)&lt;=INDEX('BASE METAS DIÁRIAS'!$H$2:$M$358,MATCH($A394,'BASE METAS DIÁRIAS'!$A$2:$A$358,0),MOD(ROW()-2,6)+1),INDEX('BASE METAS DIÁRIAS'!$B$2:$G$358,MATCH($A394,'BASE METAS DIÁRIAS'!$A$2:$A$358,0),MOD(ROW()-2,6)+1),""),"")</f>
        <v/>
      </c>
      <c r="H394" s="159">
        <f>IFERROR(IF(INDEX('CONTROLE PRODUÇÃO POR EMPRESAS'!$B$6:$G$5000,MATCH($A394,'CONTROLE PRODUÇÃO POR EMPRESAS'!$A$6:$A$5000,0),MOD(ROW()-2,6)+1)="","",IFERROR(1*INDEX('CONTROLE PRODUÇÃO POR EMPRESAS'!$B$6:$G$5000,MATCH($A394,'CONTROLE PRODUÇÃO POR EMPRESAS'!$A$6:$A$5000,0),MOD(ROW()-2,6)+1),"")),"")</f>
        <v/>
      </c>
      <c r="I394" s="159">
        <f>IF(OR(NOT(ISNUMBER(G394)),NOT(ISNUMBER(H394))),"",H394-G394)</f>
        <v/>
      </c>
      <c r="J394" s="319">
        <f>IF(OR(NOT(ISNUMBER(G394)),NOT(ISNUMBER(H394)),G394=0),"",I394/G394)</f>
        <v/>
      </c>
      <c r="K394" s="319">
        <f>IF(OR(NOT(ISNUMBER(G394)),NOT(ISNUMBER(H394)),G394=0),"",H394/G394)</f>
        <v/>
      </c>
      <c r="L394">
        <f>IF(NOT(ISNUMBER(G394)),"SEM META",IF(G394=0,"SEM META",IF(NOT(ISNUMBER(H394)),"SEM APONTAMENTO",IF(H394&gt;=G394,"VERDE",IF(H394&gt;=G394*0.9,"AMARELO","VERMELHO")))))</f>
        <v/>
      </c>
      <c r="M394" s="162" t="n"/>
      <c r="N394" s="162" t="n"/>
      <c r="O394" s="162" t="n"/>
      <c r="P394" s="162" t="n"/>
      <c r="Q394" s="320" t="n"/>
      <c r="R394" s="162" t="inlineStr">
        <is>
          <t>CONTROLE PRODUÇÃO POR EMPRESAS!D71</t>
        </is>
      </c>
    </row>
    <row r="395" ht="28.5" customHeight="1">
      <c r="A395" s="317" t="n">
        <v>46288</v>
      </c>
      <c r="B395" t="inlineStr">
        <is>
          <t>GERAL</t>
        </is>
      </c>
      <c r="C395" t="inlineStr">
        <is>
          <t>CMM</t>
        </is>
      </c>
      <c r="D395" t="inlineStr">
        <is>
          <t>PREMONTAGEM</t>
        </is>
      </c>
      <c r="F395" s="159">
        <f>IFERROR(INDEX('BASE METAS DIÁRIAS'!$N$2:$S$358,MATCH($A395,'BASE METAS DIÁRIAS'!$A$2:$A$358,0),MOD(ROW()-2,6)+1),"")</f>
        <v/>
      </c>
      <c r="G395" s="159">
        <f>IFERROR(IF(WEEKDAY($A395,2)&lt;=INDEX('BASE METAS DIÁRIAS'!$H$2:$M$358,MATCH($A395,'BASE METAS DIÁRIAS'!$A$2:$A$358,0),MOD(ROW()-2,6)+1),INDEX('BASE METAS DIÁRIAS'!$B$2:$G$358,MATCH($A395,'BASE METAS DIÁRIAS'!$A$2:$A$358,0),MOD(ROW()-2,6)+1),""),"")</f>
        <v/>
      </c>
      <c r="H395" s="159">
        <f>IFERROR(IF(INDEX('CONTROLE PRODUÇÃO POR EMPRESAS'!$B$6:$G$5000,MATCH($A395,'CONTROLE PRODUÇÃO POR EMPRESAS'!$A$6:$A$5000,0),MOD(ROW()-2,6)+1)="","",IFERROR(1*INDEX('CONTROLE PRODUÇÃO POR EMPRESAS'!$B$6:$G$5000,MATCH($A395,'CONTROLE PRODUÇÃO POR EMPRESAS'!$A$6:$A$5000,0),MOD(ROW()-2,6)+1),"")),"")</f>
        <v/>
      </c>
      <c r="I395" s="159">
        <f>IF(OR(NOT(ISNUMBER(G395)),NOT(ISNUMBER(H395))),"",H395-G395)</f>
        <v/>
      </c>
      <c r="J395" s="319">
        <f>IF(OR(NOT(ISNUMBER(G395)),NOT(ISNUMBER(H395)),G395=0),"",I395/G395)</f>
        <v/>
      </c>
      <c r="K395" s="319">
        <f>IF(OR(NOT(ISNUMBER(G395)),NOT(ISNUMBER(H395)),G395=0),"",H395/G395)</f>
        <v/>
      </c>
      <c r="L395">
        <f>IF(NOT(ISNUMBER(G395)),"SEM META",IF(G395=0,"SEM META",IF(NOT(ISNUMBER(H395)),"SEM APONTAMENTO",IF(H395&gt;=G395,"VERDE",IF(H395&gt;=G395*0.9,"AMARELO","VERMELHO")))))</f>
        <v/>
      </c>
      <c r="M395" s="162" t="n"/>
      <c r="N395" s="162" t="n"/>
      <c r="O395" s="162" t="n"/>
      <c r="P395" s="162" t="n"/>
      <c r="Q395" s="320" t="n"/>
      <c r="R395" s="162" t="inlineStr">
        <is>
          <t>CONTROLE PRODUÇÃO POR EMPRESAS!E71</t>
        </is>
      </c>
    </row>
    <row r="396" ht="28.5" customHeight="1">
      <c r="A396" s="317" t="n">
        <v>46288</v>
      </c>
      <c r="B396" t="inlineStr">
        <is>
          <t>GERAL</t>
        </is>
      </c>
      <c r="C396" t="inlineStr">
        <is>
          <t>CMM</t>
        </is>
      </c>
      <c r="D396" t="inlineStr">
        <is>
          <t>IÇAMENTO JOIST</t>
        </is>
      </c>
      <c r="F396" s="159">
        <f>IFERROR(INDEX('BASE METAS DIÁRIAS'!$N$2:$S$358,MATCH($A396,'BASE METAS DIÁRIAS'!$A$2:$A$358,0),MOD(ROW()-2,6)+1),"")</f>
        <v/>
      </c>
      <c r="G396" s="159">
        <f>IFERROR(IF(WEEKDAY($A396,2)&lt;=INDEX('BASE METAS DIÁRIAS'!$H$2:$M$358,MATCH($A396,'BASE METAS DIÁRIAS'!$A$2:$A$358,0),MOD(ROW()-2,6)+1),INDEX('BASE METAS DIÁRIAS'!$B$2:$G$358,MATCH($A396,'BASE METAS DIÁRIAS'!$A$2:$A$358,0),MOD(ROW()-2,6)+1),""),"")</f>
        <v/>
      </c>
      <c r="H396" s="159">
        <f>IFERROR(IF(INDEX('CONTROLE PRODUÇÃO POR EMPRESAS'!$B$6:$G$5000,MATCH($A396,'CONTROLE PRODUÇÃO POR EMPRESAS'!$A$6:$A$5000,0),MOD(ROW()-2,6)+1)="","",IFERROR(1*INDEX('CONTROLE PRODUÇÃO POR EMPRESAS'!$B$6:$G$5000,MATCH($A396,'CONTROLE PRODUÇÃO POR EMPRESAS'!$A$6:$A$5000,0),MOD(ROW()-2,6)+1),"")),"")</f>
        <v/>
      </c>
      <c r="I396" s="159">
        <f>IF(OR(NOT(ISNUMBER(G396)),NOT(ISNUMBER(H396))),"",H396-G396)</f>
        <v/>
      </c>
      <c r="J396" s="319">
        <f>IF(OR(NOT(ISNUMBER(G396)),NOT(ISNUMBER(H396)),G396=0),"",I396/G396)</f>
        <v/>
      </c>
      <c r="K396" s="319">
        <f>IF(OR(NOT(ISNUMBER(G396)),NOT(ISNUMBER(H396)),G396=0),"",H396/G396)</f>
        <v/>
      </c>
      <c r="L396">
        <f>IF(NOT(ISNUMBER(G396)),"SEM META",IF(G396=0,"SEM META",IF(NOT(ISNUMBER(H396)),"SEM APONTAMENTO",IF(H396&gt;=G396,"VERDE",IF(H396&gt;=G396*0.9,"AMARELO","VERMELHO")))))</f>
        <v/>
      </c>
      <c r="M396" s="162" t="n"/>
      <c r="N396" s="162" t="n"/>
      <c r="O396" s="162" t="n"/>
      <c r="P396" s="162" t="n"/>
      <c r="Q396" s="320" t="n"/>
      <c r="R396" s="162" t="inlineStr">
        <is>
          <t>CONTROLE PRODUÇÃO POR EMPRESAS!F71</t>
        </is>
      </c>
    </row>
    <row r="397" ht="28.5" customHeight="1">
      <c r="A397" s="317" t="n">
        <v>46288</v>
      </c>
      <c r="B397" t="inlineStr">
        <is>
          <t>GERAL</t>
        </is>
      </c>
      <c r="C397" t="inlineStr">
        <is>
          <t>CMM</t>
        </is>
      </c>
      <c r="D397" t="inlineStr">
        <is>
          <t>VIGAS</t>
        </is>
      </c>
      <c r="F397" s="159">
        <f>IFERROR(INDEX('BASE METAS DIÁRIAS'!$N$2:$S$358,MATCH($A397,'BASE METAS DIÁRIAS'!$A$2:$A$358,0),MOD(ROW()-2,6)+1),"")</f>
        <v/>
      </c>
      <c r="G397" s="159">
        <f>IFERROR(IF(WEEKDAY($A397,2)&lt;=INDEX('BASE METAS DIÁRIAS'!$H$2:$M$358,MATCH($A397,'BASE METAS DIÁRIAS'!$A$2:$A$358,0),MOD(ROW()-2,6)+1),INDEX('BASE METAS DIÁRIAS'!$B$2:$G$358,MATCH($A397,'BASE METAS DIÁRIAS'!$A$2:$A$358,0),MOD(ROW()-2,6)+1),""),"")</f>
        <v/>
      </c>
      <c r="H397" s="159">
        <f>IFERROR(IF(INDEX('CONTROLE PRODUÇÃO POR EMPRESAS'!$B$6:$G$5000,MATCH($A397,'CONTROLE PRODUÇÃO POR EMPRESAS'!$A$6:$A$5000,0),MOD(ROW()-2,6)+1)="","",IFERROR(1*INDEX('CONTROLE PRODUÇÃO POR EMPRESAS'!$B$6:$G$5000,MATCH($A397,'CONTROLE PRODUÇÃO POR EMPRESAS'!$A$6:$A$5000,0),MOD(ROW()-2,6)+1),"")),"")</f>
        <v/>
      </c>
      <c r="I397" s="159">
        <f>IF(OR(NOT(ISNUMBER(G397)),NOT(ISNUMBER(H397))),"",H397-G397)</f>
        <v/>
      </c>
      <c r="J397" s="319">
        <f>IF(OR(NOT(ISNUMBER(G397)),NOT(ISNUMBER(H397)),G397=0),"",I397/G397)</f>
        <v/>
      </c>
      <c r="K397" s="319">
        <f>IF(OR(NOT(ISNUMBER(G397)),NOT(ISNUMBER(H397)),G397=0),"",H397/G397)</f>
        <v/>
      </c>
      <c r="L397">
        <f>IF(NOT(ISNUMBER(G397)),"SEM META",IF(G397=0,"SEM META",IF(NOT(ISNUMBER(H397)),"SEM APONTAMENTO",IF(H397&gt;=G397,"VERDE",IF(H397&gt;=G397*0.9,"AMARELO","VERMELHO")))))</f>
        <v/>
      </c>
      <c r="M397" s="162" t="n"/>
      <c r="N397" s="162" t="n"/>
      <c r="O397" s="162" t="n"/>
      <c r="P397" s="162" t="n"/>
      <c r="Q397" s="320" t="n"/>
      <c r="R397" s="162" t="inlineStr">
        <is>
          <t>CONTROLE PRODUÇÃO POR EMPRESAS!G71</t>
        </is>
      </c>
    </row>
    <row r="398" ht="28.5" customHeight="1">
      <c r="A398" s="317" t="n">
        <v>46289</v>
      </c>
      <c r="B398" t="inlineStr">
        <is>
          <t>GERAL</t>
        </is>
      </c>
      <c r="C398" t="inlineStr">
        <is>
          <t>EJ</t>
        </is>
      </c>
      <c r="D398" t="inlineStr">
        <is>
          <t>PREMONTAGEM</t>
        </is>
      </c>
      <c r="F398" s="159">
        <f>IFERROR(INDEX('BASE METAS DIÁRIAS'!$N$2:$S$358,MATCH($A398,'BASE METAS DIÁRIAS'!$A$2:$A$358,0),MOD(ROW()-2,6)+1),"")</f>
        <v/>
      </c>
      <c r="G398" s="159">
        <f>IFERROR(IF(WEEKDAY($A398,2)&lt;=INDEX('BASE METAS DIÁRIAS'!$H$2:$M$358,MATCH($A398,'BASE METAS DIÁRIAS'!$A$2:$A$358,0),MOD(ROW()-2,6)+1),INDEX('BASE METAS DIÁRIAS'!$B$2:$G$358,MATCH($A398,'BASE METAS DIÁRIAS'!$A$2:$A$358,0),MOD(ROW()-2,6)+1),""),"")</f>
        <v/>
      </c>
      <c r="H398" s="159">
        <f>IFERROR(IF(INDEX('CONTROLE PRODUÇÃO POR EMPRESAS'!$B$6:$G$5000,MATCH($A398,'CONTROLE PRODUÇÃO POR EMPRESAS'!$A$6:$A$5000,0),MOD(ROW()-2,6)+1)="","",IFERROR(1*INDEX('CONTROLE PRODUÇÃO POR EMPRESAS'!$B$6:$G$5000,MATCH($A398,'CONTROLE PRODUÇÃO POR EMPRESAS'!$A$6:$A$5000,0),MOD(ROW()-2,6)+1),"")),"")</f>
        <v/>
      </c>
      <c r="I398" s="159">
        <f>IF(OR(NOT(ISNUMBER(G398)),NOT(ISNUMBER(H398))),"",H398-G398)</f>
        <v/>
      </c>
      <c r="J398" s="319">
        <f>IF(OR(NOT(ISNUMBER(G398)),NOT(ISNUMBER(H398)),G398=0),"",I398/G398)</f>
        <v/>
      </c>
      <c r="K398" s="319">
        <f>IF(OR(NOT(ISNUMBER(G398)),NOT(ISNUMBER(H398)),G398=0),"",H398/G398)</f>
        <v/>
      </c>
      <c r="L398">
        <f>IF(NOT(ISNUMBER(G398)),"SEM META",IF(G398=0,"SEM META",IF(NOT(ISNUMBER(H398)),"SEM APONTAMENTO",IF(H398&gt;=G398,"VERDE",IF(H398&gt;=G398*0.9,"AMARELO","VERMELHO")))))</f>
        <v/>
      </c>
      <c r="M398" s="162" t="n"/>
      <c r="N398" s="162" t="n"/>
      <c r="O398" s="162" t="n"/>
      <c r="P398" s="162" t="n"/>
      <c r="Q398" s="320" t="n"/>
      <c r="R398" s="162" t="inlineStr">
        <is>
          <t>CONTROLE PRODUÇÃO POR EMPRESAS!B72</t>
        </is>
      </c>
    </row>
    <row r="399" ht="28.5" customHeight="1">
      <c r="A399" s="317" t="n">
        <v>46289</v>
      </c>
      <c r="B399" t="inlineStr">
        <is>
          <t>GERAL</t>
        </is>
      </c>
      <c r="C399" t="inlineStr">
        <is>
          <t>EJ</t>
        </is>
      </c>
      <c r="D399" t="inlineStr">
        <is>
          <t>IÇAMENTO JOIST</t>
        </is>
      </c>
      <c r="F399" s="159">
        <f>IFERROR(INDEX('BASE METAS DIÁRIAS'!$N$2:$S$358,MATCH($A399,'BASE METAS DIÁRIAS'!$A$2:$A$358,0),MOD(ROW()-2,6)+1),"")</f>
        <v/>
      </c>
      <c r="G399" s="159">
        <f>IFERROR(IF(WEEKDAY($A399,2)&lt;=INDEX('BASE METAS DIÁRIAS'!$H$2:$M$358,MATCH($A399,'BASE METAS DIÁRIAS'!$A$2:$A$358,0),MOD(ROW()-2,6)+1),INDEX('BASE METAS DIÁRIAS'!$B$2:$G$358,MATCH($A399,'BASE METAS DIÁRIAS'!$A$2:$A$358,0),MOD(ROW()-2,6)+1),""),"")</f>
        <v/>
      </c>
      <c r="H399" s="159">
        <f>IFERROR(IF(INDEX('CONTROLE PRODUÇÃO POR EMPRESAS'!$B$6:$G$5000,MATCH($A399,'CONTROLE PRODUÇÃO POR EMPRESAS'!$A$6:$A$5000,0),MOD(ROW()-2,6)+1)="","",IFERROR(1*INDEX('CONTROLE PRODUÇÃO POR EMPRESAS'!$B$6:$G$5000,MATCH($A399,'CONTROLE PRODUÇÃO POR EMPRESAS'!$A$6:$A$5000,0),MOD(ROW()-2,6)+1),"")),"")</f>
        <v/>
      </c>
      <c r="I399" s="159">
        <f>IF(OR(NOT(ISNUMBER(G399)),NOT(ISNUMBER(H399))),"",H399-G399)</f>
        <v/>
      </c>
      <c r="J399" s="319">
        <f>IF(OR(NOT(ISNUMBER(G399)),NOT(ISNUMBER(H399)),G399=0),"",I399/G399)</f>
        <v/>
      </c>
      <c r="K399" s="319">
        <f>IF(OR(NOT(ISNUMBER(G399)),NOT(ISNUMBER(H399)),G399=0),"",H399/G399)</f>
        <v/>
      </c>
      <c r="L399">
        <f>IF(NOT(ISNUMBER(G399)),"SEM META",IF(G399=0,"SEM META",IF(NOT(ISNUMBER(H399)),"SEM APONTAMENTO",IF(H399&gt;=G399,"VERDE",IF(H399&gt;=G399*0.9,"AMARELO","VERMELHO")))))</f>
        <v/>
      </c>
      <c r="M399" s="162" t="n"/>
      <c r="N399" s="162" t="n"/>
      <c r="O399" s="162" t="n"/>
      <c r="P399" s="162" t="n"/>
      <c r="Q399" s="320" t="n"/>
      <c r="R399" s="162" t="inlineStr">
        <is>
          <t>CONTROLE PRODUÇÃO POR EMPRESAS!C72</t>
        </is>
      </c>
    </row>
    <row r="400" ht="28.5" customHeight="1">
      <c r="A400" s="317" t="n">
        <v>46289</v>
      </c>
      <c r="B400" t="inlineStr">
        <is>
          <t>GERAL</t>
        </is>
      </c>
      <c r="C400" t="inlineStr">
        <is>
          <t>EJ</t>
        </is>
      </c>
      <c r="D400" t="inlineStr">
        <is>
          <t>VIGAS</t>
        </is>
      </c>
      <c r="F400" s="159">
        <f>IFERROR(INDEX('BASE METAS DIÁRIAS'!$N$2:$S$358,MATCH($A400,'BASE METAS DIÁRIAS'!$A$2:$A$358,0),MOD(ROW()-2,6)+1),"")</f>
        <v/>
      </c>
      <c r="G400" s="159">
        <f>IFERROR(IF(WEEKDAY($A400,2)&lt;=INDEX('BASE METAS DIÁRIAS'!$H$2:$M$358,MATCH($A400,'BASE METAS DIÁRIAS'!$A$2:$A$358,0),MOD(ROW()-2,6)+1),INDEX('BASE METAS DIÁRIAS'!$B$2:$G$358,MATCH($A400,'BASE METAS DIÁRIAS'!$A$2:$A$358,0),MOD(ROW()-2,6)+1),""),"")</f>
        <v/>
      </c>
      <c r="H400" s="159">
        <f>IFERROR(IF(INDEX('CONTROLE PRODUÇÃO POR EMPRESAS'!$B$6:$G$5000,MATCH($A400,'CONTROLE PRODUÇÃO POR EMPRESAS'!$A$6:$A$5000,0),MOD(ROW()-2,6)+1)="","",IFERROR(1*INDEX('CONTROLE PRODUÇÃO POR EMPRESAS'!$B$6:$G$5000,MATCH($A400,'CONTROLE PRODUÇÃO POR EMPRESAS'!$A$6:$A$5000,0),MOD(ROW()-2,6)+1),"")),"")</f>
        <v/>
      </c>
      <c r="I400" s="159">
        <f>IF(OR(NOT(ISNUMBER(G400)),NOT(ISNUMBER(H400))),"",H400-G400)</f>
        <v/>
      </c>
      <c r="J400" s="319">
        <f>IF(OR(NOT(ISNUMBER(G400)),NOT(ISNUMBER(H400)),G400=0),"",I400/G400)</f>
        <v/>
      </c>
      <c r="K400" s="319">
        <f>IF(OR(NOT(ISNUMBER(G400)),NOT(ISNUMBER(H400)),G400=0),"",H400/G400)</f>
        <v/>
      </c>
      <c r="L400">
        <f>IF(NOT(ISNUMBER(G400)),"SEM META",IF(G400=0,"SEM META",IF(NOT(ISNUMBER(H400)),"SEM APONTAMENTO",IF(H400&gt;=G400,"VERDE",IF(H400&gt;=G400*0.9,"AMARELO","VERMELHO")))))</f>
        <v/>
      </c>
      <c r="M400" s="162" t="n"/>
      <c r="N400" s="162" t="n"/>
      <c r="O400" s="162" t="n"/>
      <c r="P400" s="162" t="n"/>
      <c r="Q400" s="320" t="n"/>
      <c r="R400" s="162" t="inlineStr">
        <is>
          <t>CONTROLE PRODUÇÃO POR EMPRESAS!D72</t>
        </is>
      </c>
    </row>
    <row r="401" ht="28.5" customHeight="1">
      <c r="A401" s="317" t="n">
        <v>46289</v>
      </c>
      <c r="B401" t="inlineStr">
        <is>
          <t>GERAL</t>
        </is>
      </c>
      <c r="C401" t="inlineStr">
        <is>
          <t>CMM</t>
        </is>
      </c>
      <c r="D401" t="inlineStr">
        <is>
          <t>PREMONTAGEM</t>
        </is>
      </c>
      <c r="F401" s="159">
        <f>IFERROR(INDEX('BASE METAS DIÁRIAS'!$N$2:$S$358,MATCH($A401,'BASE METAS DIÁRIAS'!$A$2:$A$358,0),MOD(ROW()-2,6)+1),"")</f>
        <v/>
      </c>
      <c r="G401" s="159">
        <f>IFERROR(IF(WEEKDAY($A401,2)&lt;=INDEX('BASE METAS DIÁRIAS'!$H$2:$M$358,MATCH($A401,'BASE METAS DIÁRIAS'!$A$2:$A$358,0),MOD(ROW()-2,6)+1),INDEX('BASE METAS DIÁRIAS'!$B$2:$G$358,MATCH($A401,'BASE METAS DIÁRIAS'!$A$2:$A$358,0),MOD(ROW()-2,6)+1),""),"")</f>
        <v/>
      </c>
      <c r="H401" s="159">
        <f>IFERROR(IF(INDEX('CONTROLE PRODUÇÃO POR EMPRESAS'!$B$6:$G$5000,MATCH($A401,'CONTROLE PRODUÇÃO POR EMPRESAS'!$A$6:$A$5000,0),MOD(ROW()-2,6)+1)="","",IFERROR(1*INDEX('CONTROLE PRODUÇÃO POR EMPRESAS'!$B$6:$G$5000,MATCH($A401,'CONTROLE PRODUÇÃO POR EMPRESAS'!$A$6:$A$5000,0),MOD(ROW()-2,6)+1),"")),"")</f>
        <v/>
      </c>
      <c r="I401" s="159">
        <f>IF(OR(NOT(ISNUMBER(G401)),NOT(ISNUMBER(H401))),"",H401-G401)</f>
        <v/>
      </c>
      <c r="J401" s="319">
        <f>IF(OR(NOT(ISNUMBER(G401)),NOT(ISNUMBER(H401)),G401=0),"",I401/G401)</f>
        <v/>
      </c>
      <c r="K401" s="319">
        <f>IF(OR(NOT(ISNUMBER(G401)),NOT(ISNUMBER(H401)),G401=0),"",H401/G401)</f>
        <v/>
      </c>
      <c r="L401">
        <f>IF(NOT(ISNUMBER(G401)),"SEM META",IF(G401=0,"SEM META",IF(NOT(ISNUMBER(H401)),"SEM APONTAMENTO",IF(H401&gt;=G401,"VERDE",IF(H401&gt;=G401*0.9,"AMARELO","VERMELHO")))))</f>
        <v/>
      </c>
      <c r="M401" s="162" t="n"/>
      <c r="N401" s="162" t="n"/>
      <c r="O401" s="162" t="n"/>
      <c r="P401" s="162" t="n"/>
      <c r="Q401" s="320" t="n"/>
      <c r="R401" s="162" t="inlineStr">
        <is>
          <t>CONTROLE PRODUÇÃO POR EMPRESAS!E72</t>
        </is>
      </c>
    </row>
    <row r="402" ht="28.5" customHeight="1">
      <c r="A402" s="317" t="n">
        <v>46289</v>
      </c>
      <c r="B402" t="inlineStr">
        <is>
          <t>GERAL</t>
        </is>
      </c>
      <c r="C402" t="inlineStr">
        <is>
          <t>CMM</t>
        </is>
      </c>
      <c r="D402" t="inlineStr">
        <is>
          <t>IÇAMENTO JOIST</t>
        </is>
      </c>
      <c r="F402" s="159">
        <f>IFERROR(INDEX('BASE METAS DIÁRIAS'!$N$2:$S$358,MATCH($A402,'BASE METAS DIÁRIAS'!$A$2:$A$358,0),MOD(ROW()-2,6)+1),"")</f>
        <v/>
      </c>
      <c r="G402" s="159">
        <f>IFERROR(IF(WEEKDAY($A402,2)&lt;=INDEX('BASE METAS DIÁRIAS'!$H$2:$M$358,MATCH($A402,'BASE METAS DIÁRIAS'!$A$2:$A$358,0),MOD(ROW()-2,6)+1),INDEX('BASE METAS DIÁRIAS'!$B$2:$G$358,MATCH($A402,'BASE METAS DIÁRIAS'!$A$2:$A$358,0),MOD(ROW()-2,6)+1),""),"")</f>
        <v/>
      </c>
      <c r="H402" s="159">
        <f>IFERROR(IF(INDEX('CONTROLE PRODUÇÃO POR EMPRESAS'!$B$6:$G$5000,MATCH($A402,'CONTROLE PRODUÇÃO POR EMPRESAS'!$A$6:$A$5000,0),MOD(ROW()-2,6)+1)="","",IFERROR(1*INDEX('CONTROLE PRODUÇÃO POR EMPRESAS'!$B$6:$G$5000,MATCH($A402,'CONTROLE PRODUÇÃO POR EMPRESAS'!$A$6:$A$5000,0),MOD(ROW()-2,6)+1),"")),"")</f>
        <v/>
      </c>
      <c r="I402" s="159">
        <f>IF(OR(NOT(ISNUMBER(G402)),NOT(ISNUMBER(H402))),"",H402-G402)</f>
        <v/>
      </c>
      <c r="J402" s="319">
        <f>IF(OR(NOT(ISNUMBER(G402)),NOT(ISNUMBER(H402)),G402=0),"",I402/G402)</f>
        <v/>
      </c>
      <c r="K402" s="319">
        <f>IF(OR(NOT(ISNUMBER(G402)),NOT(ISNUMBER(H402)),G402=0),"",H402/G402)</f>
        <v/>
      </c>
      <c r="L402">
        <f>IF(NOT(ISNUMBER(G402)),"SEM META",IF(G402=0,"SEM META",IF(NOT(ISNUMBER(H402)),"SEM APONTAMENTO",IF(H402&gt;=G402,"VERDE",IF(H402&gt;=G402*0.9,"AMARELO","VERMELHO")))))</f>
        <v/>
      </c>
      <c r="M402" s="162" t="n"/>
      <c r="N402" s="162" t="n"/>
      <c r="O402" s="162" t="n"/>
      <c r="P402" s="162" t="n"/>
      <c r="Q402" s="320" t="n"/>
      <c r="R402" s="162" t="inlineStr">
        <is>
          <t>CONTROLE PRODUÇÃO POR EMPRESAS!F72</t>
        </is>
      </c>
    </row>
    <row r="403" ht="28.5" customHeight="1">
      <c r="A403" s="317" t="n">
        <v>46289</v>
      </c>
      <c r="B403" t="inlineStr">
        <is>
          <t>GERAL</t>
        </is>
      </c>
      <c r="C403" t="inlineStr">
        <is>
          <t>CMM</t>
        </is>
      </c>
      <c r="D403" t="inlineStr">
        <is>
          <t>VIGAS</t>
        </is>
      </c>
      <c r="F403" s="159">
        <f>IFERROR(INDEX('BASE METAS DIÁRIAS'!$N$2:$S$358,MATCH($A403,'BASE METAS DIÁRIAS'!$A$2:$A$358,0),MOD(ROW()-2,6)+1),"")</f>
        <v/>
      </c>
      <c r="G403" s="159">
        <f>IFERROR(IF(WEEKDAY($A403,2)&lt;=INDEX('BASE METAS DIÁRIAS'!$H$2:$M$358,MATCH($A403,'BASE METAS DIÁRIAS'!$A$2:$A$358,0),MOD(ROW()-2,6)+1),INDEX('BASE METAS DIÁRIAS'!$B$2:$G$358,MATCH($A403,'BASE METAS DIÁRIAS'!$A$2:$A$358,0),MOD(ROW()-2,6)+1),""),"")</f>
        <v/>
      </c>
      <c r="H403" s="159">
        <f>IFERROR(IF(INDEX('CONTROLE PRODUÇÃO POR EMPRESAS'!$B$6:$G$5000,MATCH($A403,'CONTROLE PRODUÇÃO POR EMPRESAS'!$A$6:$A$5000,0),MOD(ROW()-2,6)+1)="","",IFERROR(1*INDEX('CONTROLE PRODUÇÃO POR EMPRESAS'!$B$6:$G$5000,MATCH($A403,'CONTROLE PRODUÇÃO POR EMPRESAS'!$A$6:$A$5000,0),MOD(ROW()-2,6)+1),"")),"")</f>
        <v/>
      </c>
      <c r="I403" s="159">
        <f>IF(OR(NOT(ISNUMBER(G403)),NOT(ISNUMBER(H403))),"",H403-G403)</f>
        <v/>
      </c>
      <c r="J403" s="319">
        <f>IF(OR(NOT(ISNUMBER(G403)),NOT(ISNUMBER(H403)),G403=0),"",I403/G403)</f>
        <v/>
      </c>
      <c r="K403" s="319">
        <f>IF(OR(NOT(ISNUMBER(G403)),NOT(ISNUMBER(H403)),G403=0),"",H403/G403)</f>
        <v/>
      </c>
      <c r="L403">
        <f>IF(NOT(ISNUMBER(G403)),"SEM META",IF(G403=0,"SEM META",IF(NOT(ISNUMBER(H403)),"SEM APONTAMENTO",IF(H403&gt;=G403,"VERDE",IF(H403&gt;=G403*0.9,"AMARELO","VERMELHO")))))</f>
        <v/>
      </c>
      <c r="M403" s="162" t="n"/>
      <c r="N403" s="162" t="n"/>
      <c r="O403" s="162" t="n"/>
      <c r="P403" s="162" t="n"/>
      <c r="Q403" s="320" t="n"/>
      <c r="R403" s="162" t="inlineStr">
        <is>
          <t>CONTROLE PRODUÇÃO POR EMPRESAS!G72</t>
        </is>
      </c>
    </row>
    <row r="404" ht="28.5" customHeight="1">
      <c r="A404" s="317" t="n">
        <v>46290</v>
      </c>
      <c r="B404" t="inlineStr">
        <is>
          <t>GERAL</t>
        </is>
      </c>
      <c r="C404" t="inlineStr">
        <is>
          <t>EJ</t>
        </is>
      </c>
      <c r="D404" t="inlineStr">
        <is>
          <t>PREMONTAGEM</t>
        </is>
      </c>
      <c r="F404" s="159">
        <f>IFERROR(INDEX('BASE METAS DIÁRIAS'!$N$2:$S$358,MATCH($A404,'BASE METAS DIÁRIAS'!$A$2:$A$358,0),MOD(ROW()-2,6)+1),"")</f>
        <v/>
      </c>
      <c r="G404" s="159">
        <f>IFERROR(IF(WEEKDAY($A404,2)&lt;=INDEX('BASE METAS DIÁRIAS'!$H$2:$M$358,MATCH($A404,'BASE METAS DIÁRIAS'!$A$2:$A$358,0),MOD(ROW()-2,6)+1),INDEX('BASE METAS DIÁRIAS'!$B$2:$G$358,MATCH($A404,'BASE METAS DIÁRIAS'!$A$2:$A$358,0),MOD(ROW()-2,6)+1),""),"")</f>
        <v/>
      </c>
      <c r="H404" s="159">
        <f>IFERROR(IF(INDEX('CONTROLE PRODUÇÃO POR EMPRESAS'!$B$6:$G$5000,MATCH($A404,'CONTROLE PRODUÇÃO POR EMPRESAS'!$A$6:$A$5000,0),MOD(ROW()-2,6)+1)="","",IFERROR(1*INDEX('CONTROLE PRODUÇÃO POR EMPRESAS'!$B$6:$G$5000,MATCH($A404,'CONTROLE PRODUÇÃO POR EMPRESAS'!$A$6:$A$5000,0),MOD(ROW()-2,6)+1),"")),"")</f>
        <v/>
      </c>
      <c r="I404" s="159">
        <f>IF(OR(NOT(ISNUMBER(G404)),NOT(ISNUMBER(H404))),"",H404-G404)</f>
        <v/>
      </c>
      <c r="J404" s="319">
        <f>IF(OR(NOT(ISNUMBER(G404)),NOT(ISNUMBER(H404)),G404=0),"",I404/G404)</f>
        <v/>
      </c>
      <c r="K404" s="319">
        <f>IF(OR(NOT(ISNUMBER(G404)),NOT(ISNUMBER(H404)),G404=0),"",H404/G404)</f>
        <v/>
      </c>
      <c r="L404">
        <f>IF(NOT(ISNUMBER(G404)),"SEM META",IF(G404=0,"SEM META",IF(NOT(ISNUMBER(H404)),"SEM APONTAMENTO",IF(H404&gt;=G404,"VERDE",IF(H404&gt;=G404*0.9,"AMARELO","VERMELHO")))))</f>
        <v/>
      </c>
      <c r="M404" s="162" t="n"/>
      <c r="N404" s="162" t="n"/>
      <c r="O404" s="162" t="n"/>
      <c r="P404" s="162" t="n"/>
      <c r="Q404" s="320" t="n"/>
      <c r="R404" s="162" t="inlineStr">
        <is>
          <t>CONTROLE PRODUÇÃO POR EMPRESAS!B73</t>
        </is>
      </c>
    </row>
    <row r="405" ht="28.5" customHeight="1">
      <c r="A405" s="317" t="n">
        <v>46290</v>
      </c>
      <c r="B405" t="inlineStr">
        <is>
          <t>GERAL</t>
        </is>
      </c>
      <c r="C405" t="inlineStr">
        <is>
          <t>EJ</t>
        </is>
      </c>
      <c r="D405" t="inlineStr">
        <is>
          <t>IÇAMENTO JOIST</t>
        </is>
      </c>
      <c r="F405" s="159">
        <f>IFERROR(INDEX('BASE METAS DIÁRIAS'!$N$2:$S$358,MATCH($A405,'BASE METAS DIÁRIAS'!$A$2:$A$358,0),MOD(ROW()-2,6)+1),"")</f>
        <v/>
      </c>
      <c r="G405" s="159">
        <f>IFERROR(IF(WEEKDAY($A405,2)&lt;=INDEX('BASE METAS DIÁRIAS'!$H$2:$M$358,MATCH($A405,'BASE METAS DIÁRIAS'!$A$2:$A$358,0),MOD(ROW()-2,6)+1),INDEX('BASE METAS DIÁRIAS'!$B$2:$G$358,MATCH($A405,'BASE METAS DIÁRIAS'!$A$2:$A$358,0),MOD(ROW()-2,6)+1),""),"")</f>
        <v/>
      </c>
      <c r="H405" s="159">
        <f>IFERROR(IF(INDEX('CONTROLE PRODUÇÃO POR EMPRESAS'!$B$6:$G$5000,MATCH($A405,'CONTROLE PRODUÇÃO POR EMPRESAS'!$A$6:$A$5000,0),MOD(ROW()-2,6)+1)="","",IFERROR(1*INDEX('CONTROLE PRODUÇÃO POR EMPRESAS'!$B$6:$G$5000,MATCH($A405,'CONTROLE PRODUÇÃO POR EMPRESAS'!$A$6:$A$5000,0),MOD(ROW()-2,6)+1),"")),"")</f>
        <v/>
      </c>
      <c r="I405" s="159">
        <f>IF(OR(NOT(ISNUMBER(G405)),NOT(ISNUMBER(H405))),"",H405-G405)</f>
        <v/>
      </c>
      <c r="J405" s="319">
        <f>IF(OR(NOT(ISNUMBER(G405)),NOT(ISNUMBER(H405)),G405=0),"",I405/G405)</f>
        <v/>
      </c>
      <c r="K405" s="319">
        <f>IF(OR(NOT(ISNUMBER(G405)),NOT(ISNUMBER(H405)),G405=0),"",H405/G405)</f>
        <v/>
      </c>
      <c r="L405">
        <f>IF(NOT(ISNUMBER(G405)),"SEM META",IF(G405=0,"SEM META",IF(NOT(ISNUMBER(H405)),"SEM APONTAMENTO",IF(H405&gt;=G405,"VERDE",IF(H405&gt;=G405*0.9,"AMARELO","VERMELHO")))))</f>
        <v/>
      </c>
      <c r="M405" s="162" t="n"/>
      <c r="N405" s="162" t="n"/>
      <c r="O405" s="162" t="n"/>
      <c r="P405" s="162" t="n"/>
      <c r="Q405" s="320" t="n"/>
      <c r="R405" s="162" t="inlineStr">
        <is>
          <t>CONTROLE PRODUÇÃO POR EMPRESAS!C73</t>
        </is>
      </c>
    </row>
    <row r="406" ht="28.5" customHeight="1">
      <c r="A406" s="317" t="n">
        <v>46290</v>
      </c>
      <c r="B406" t="inlineStr">
        <is>
          <t>GERAL</t>
        </is>
      </c>
      <c r="C406" t="inlineStr">
        <is>
          <t>EJ</t>
        </is>
      </c>
      <c r="D406" t="inlineStr">
        <is>
          <t>VIGAS</t>
        </is>
      </c>
      <c r="F406" s="159">
        <f>IFERROR(INDEX('BASE METAS DIÁRIAS'!$N$2:$S$358,MATCH($A406,'BASE METAS DIÁRIAS'!$A$2:$A$358,0),MOD(ROW()-2,6)+1),"")</f>
        <v/>
      </c>
      <c r="G406" s="159">
        <f>IFERROR(IF(WEEKDAY($A406,2)&lt;=INDEX('BASE METAS DIÁRIAS'!$H$2:$M$358,MATCH($A406,'BASE METAS DIÁRIAS'!$A$2:$A$358,0),MOD(ROW()-2,6)+1),INDEX('BASE METAS DIÁRIAS'!$B$2:$G$358,MATCH($A406,'BASE METAS DIÁRIAS'!$A$2:$A$358,0),MOD(ROW()-2,6)+1),""),"")</f>
        <v/>
      </c>
      <c r="H406" s="159">
        <f>IFERROR(IF(INDEX('CONTROLE PRODUÇÃO POR EMPRESAS'!$B$6:$G$5000,MATCH($A406,'CONTROLE PRODUÇÃO POR EMPRESAS'!$A$6:$A$5000,0),MOD(ROW()-2,6)+1)="","",IFERROR(1*INDEX('CONTROLE PRODUÇÃO POR EMPRESAS'!$B$6:$G$5000,MATCH($A406,'CONTROLE PRODUÇÃO POR EMPRESAS'!$A$6:$A$5000,0),MOD(ROW()-2,6)+1),"")),"")</f>
        <v/>
      </c>
      <c r="I406" s="159">
        <f>IF(OR(NOT(ISNUMBER(G406)),NOT(ISNUMBER(H406))),"",H406-G406)</f>
        <v/>
      </c>
      <c r="J406" s="319">
        <f>IF(OR(NOT(ISNUMBER(G406)),NOT(ISNUMBER(H406)),G406=0),"",I406/G406)</f>
        <v/>
      </c>
      <c r="K406" s="319">
        <f>IF(OR(NOT(ISNUMBER(G406)),NOT(ISNUMBER(H406)),G406=0),"",H406/G406)</f>
        <v/>
      </c>
      <c r="L406">
        <f>IF(NOT(ISNUMBER(G406)),"SEM META",IF(G406=0,"SEM META",IF(NOT(ISNUMBER(H406)),"SEM APONTAMENTO",IF(H406&gt;=G406,"VERDE",IF(H406&gt;=G406*0.9,"AMARELO","VERMELHO")))))</f>
        <v/>
      </c>
      <c r="M406" s="162" t="n"/>
      <c r="N406" s="162" t="n"/>
      <c r="O406" s="162" t="n"/>
      <c r="P406" s="162" t="n"/>
      <c r="Q406" s="320" t="n"/>
      <c r="R406" s="162" t="inlineStr">
        <is>
          <t>CONTROLE PRODUÇÃO POR EMPRESAS!D73</t>
        </is>
      </c>
    </row>
    <row r="407" ht="28.5" customHeight="1">
      <c r="A407" s="317" t="n">
        <v>46290</v>
      </c>
      <c r="B407" t="inlineStr">
        <is>
          <t>GERAL</t>
        </is>
      </c>
      <c r="C407" t="inlineStr">
        <is>
          <t>CMM</t>
        </is>
      </c>
      <c r="D407" t="inlineStr">
        <is>
          <t>PREMONTAGEM</t>
        </is>
      </c>
      <c r="F407" s="159">
        <f>IFERROR(INDEX('BASE METAS DIÁRIAS'!$N$2:$S$358,MATCH($A407,'BASE METAS DIÁRIAS'!$A$2:$A$358,0),MOD(ROW()-2,6)+1),"")</f>
        <v/>
      </c>
      <c r="G407" s="159">
        <f>IFERROR(IF(WEEKDAY($A407,2)&lt;=INDEX('BASE METAS DIÁRIAS'!$H$2:$M$358,MATCH($A407,'BASE METAS DIÁRIAS'!$A$2:$A$358,0),MOD(ROW()-2,6)+1),INDEX('BASE METAS DIÁRIAS'!$B$2:$G$358,MATCH($A407,'BASE METAS DIÁRIAS'!$A$2:$A$358,0),MOD(ROW()-2,6)+1),""),"")</f>
        <v/>
      </c>
      <c r="H407" s="159">
        <f>IFERROR(IF(INDEX('CONTROLE PRODUÇÃO POR EMPRESAS'!$B$6:$G$5000,MATCH($A407,'CONTROLE PRODUÇÃO POR EMPRESAS'!$A$6:$A$5000,0),MOD(ROW()-2,6)+1)="","",IFERROR(1*INDEX('CONTROLE PRODUÇÃO POR EMPRESAS'!$B$6:$G$5000,MATCH($A407,'CONTROLE PRODUÇÃO POR EMPRESAS'!$A$6:$A$5000,0),MOD(ROW()-2,6)+1),"")),"")</f>
        <v/>
      </c>
      <c r="I407" s="159">
        <f>IF(OR(NOT(ISNUMBER(G407)),NOT(ISNUMBER(H407))),"",H407-G407)</f>
        <v/>
      </c>
      <c r="J407" s="319">
        <f>IF(OR(NOT(ISNUMBER(G407)),NOT(ISNUMBER(H407)),G407=0),"",I407/G407)</f>
        <v/>
      </c>
      <c r="K407" s="319">
        <f>IF(OR(NOT(ISNUMBER(G407)),NOT(ISNUMBER(H407)),G407=0),"",H407/G407)</f>
        <v/>
      </c>
      <c r="L407">
        <f>IF(NOT(ISNUMBER(G407)),"SEM META",IF(G407=0,"SEM META",IF(NOT(ISNUMBER(H407)),"SEM APONTAMENTO",IF(H407&gt;=G407,"VERDE",IF(H407&gt;=G407*0.9,"AMARELO","VERMELHO")))))</f>
        <v/>
      </c>
      <c r="M407" s="162" t="n"/>
      <c r="N407" s="162" t="n"/>
      <c r="O407" s="162" t="n"/>
      <c r="P407" s="162" t="n"/>
      <c r="Q407" s="320" t="n"/>
      <c r="R407" s="162" t="inlineStr">
        <is>
          <t>CONTROLE PRODUÇÃO POR EMPRESAS!E73</t>
        </is>
      </c>
    </row>
    <row r="408" ht="28.5" customHeight="1">
      <c r="A408" s="317" t="n">
        <v>46290</v>
      </c>
      <c r="B408" t="inlineStr">
        <is>
          <t>GERAL</t>
        </is>
      </c>
      <c r="C408" t="inlineStr">
        <is>
          <t>CMM</t>
        </is>
      </c>
      <c r="D408" t="inlineStr">
        <is>
          <t>IÇAMENTO JOIST</t>
        </is>
      </c>
      <c r="F408" s="159">
        <f>IFERROR(INDEX('BASE METAS DIÁRIAS'!$N$2:$S$358,MATCH($A408,'BASE METAS DIÁRIAS'!$A$2:$A$358,0),MOD(ROW()-2,6)+1),"")</f>
        <v/>
      </c>
      <c r="G408" s="159">
        <f>IFERROR(IF(WEEKDAY($A408,2)&lt;=INDEX('BASE METAS DIÁRIAS'!$H$2:$M$358,MATCH($A408,'BASE METAS DIÁRIAS'!$A$2:$A$358,0),MOD(ROW()-2,6)+1),INDEX('BASE METAS DIÁRIAS'!$B$2:$G$358,MATCH($A408,'BASE METAS DIÁRIAS'!$A$2:$A$358,0),MOD(ROW()-2,6)+1),""),"")</f>
        <v/>
      </c>
      <c r="H408" s="159">
        <f>IFERROR(IF(INDEX('CONTROLE PRODUÇÃO POR EMPRESAS'!$B$6:$G$5000,MATCH($A408,'CONTROLE PRODUÇÃO POR EMPRESAS'!$A$6:$A$5000,0),MOD(ROW()-2,6)+1)="","",IFERROR(1*INDEX('CONTROLE PRODUÇÃO POR EMPRESAS'!$B$6:$G$5000,MATCH($A408,'CONTROLE PRODUÇÃO POR EMPRESAS'!$A$6:$A$5000,0),MOD(ROW()-2,6)+1),"")),"")</f>
        <v/>
      </c>
      <c r="I408" s="159">
        <f>IF(OR(NOT(ISNUMBER(G408)),NOT(ISNUMBER(H408))),"",H408-G408)</f>
        <v/>
      </c>
      <c r="J408" s="319">
        <f>IF(OR(NOT(ISNUMBER(G408)),NOT(ISNUMBER(H408)),G408=0),"",I408/G408)</f>
        <v/>
      </c>
      <c r="K408" s="319">
        <f>IF(OR(NOT(ISNUMBER(G408)),NOT(ISNUMBER(H408)),G408=0),"",H408/G408)</f>
        <v/>
      </c>
      <c r="L408">
        <f>IF(NOT(ISNUMBER(G408)),"SEM META",IF(G408=0,"SEM META",IF(NOT(ISNUMBER(H408)),"SEM APONTAMENTO",IF(H408&gt;=G408,"VERDE",IF(H408&gt;=G408*0.9,"AMARELO","VERMELHO")))))</f>
        <v/>
      </c>
      <c r="M408" s="162" t="n"/>
      <c r="N408" s="162" t="n"/>
      <c r="O408" s="162" t="n"/>
      <c r="P408" s="162" t="n"/>
      <c r="Q408" s="320" t="n"/>
      <c r="R408" s="162" t="inlineStr">
        <is>
          <t>CONTROLE PRODUÇÃO POR EMPRESAS!F73</t>
        </is>
      </c>
    </row>
    <row r="409" ht="28.5" customHeight="1">
      <c r="A409" s="317" t="n">
        <v>46290</v>
      </c>
      <c r="B409" t="inlineStr">
        <is>
          <t>GERAL</t>
        </is>
      </c>
      <c r="C409" t="inlineStr">
        <is>
          <t>CMM</t>
        </is>
      </c>
      <c r="D409" t="inlineStr">
        <is>
          <t>VIGAS</t>
        </is>
      </c>
      <c r="F409" s="159">
        <f>IFERROR(INDEX('BASE METAS DIÁRIAS'!$N$2:$S$358,MATCH($A409,'BASE METAS DIÁRIAS'!$A$2:$A$358,0),MOD(ROW()-2,6)+1),"")</f>
        <v/>
      </c>
      <c r="G409" s="159">
        <f>IFERROR(IF(WEEKDAY($A409,2)&lt;=INDEX('BASE METAS DIÁRIAS'!$H$2:$M$358,MATCH($A409,'BASE METAS DIÁRIAS'!$A$2:$A$358,0),MOD(ROW()-2,6)+1),INDEX('BASE METAS DIÁRIAS'!$B$2:$G$358,MATCH($A409,'BASE METAS DIÁRIAS'!$A$2:$A$358,0),MOD(ROW()-2,6)+1),""),"")</f>
        <v/>
      </c>
      <c r="H409" s="159">
        <f>IFERROR(IF(INDEX('CONTROLE PRODUÇÃO POR EMPRESAS'!$B$6:$G$5000,MATCH($A409,'CONTROLE PRODUÇÃO POR EMPRESAS'!$A$6:$A$5000,0),MOD(ROW()-2,6)+1)="","",IFERROR(1*INDEX('CONTROLE PRODUÇÃO POR EMPRESAS'!$B$6:$G$5000,MATCH($A409,'CONTROLE PRODUÇÃO POR EMPRESAS'!$A$6:$A$5000,0),MOD(ROW()-2,6)+1),"")),"")</f>
        <v/>
      </c>
      <c r="I409" s="159">
        <f>IF(OR(NOT(ISNUMBER(G409)),NOT(ISNUMBER(H409))),"",H409-G409)</f>
        <v/>
      </c>
      <c r="J409" s="319">
        <f>IF(OR(NOT(ISNUMBER(G409)),NOT(ISNUMBER(H409)),G409=0),"",I409/G409)</f>
        <v/>
      </c>
      <c r="K409" s="319">
        <f>IF(OR(NOT(ISNUMBER(G409)),NOT(ISNUMBER(H409)),G409=0),"",H409/G409)</f>
        <v/>
      </c>
      <c r="L409">
        <f>IF(NOT(ISNUMBER(G409)),"SEM META",IF(G409=0,"SEM META",IF(NOT(ISNUMBER(H409)),"SEM APONTAMENTO",IF(H409&gt;=G409,"VERDE",IF(H409&gt;=G409*0.9,"AMARELO","VERMELHO")))))</f>
        <v/>
      </c>
      <c r="M409" s="162" t="n"/>
      <c r="N409" s="162" t="n"/>
      <c r="O409" s="162" t="n"/>
      <c r="P409" s="162" t="n"/>
      <c r="Q409" s="320" t="n"/>
      <c r="R409" s="162" t="inlineStr">
        <is>
          <t>CONTROLE PRODUÇÃO POR EMPRESAS!G73</t>
        </is>
      </c>
    </row>
    <row r="410" ht="28.5" customHeight="1">
      <c r="A410" s="317" t="n">
        <v>46291</v>
      </c>
      <c r="B410" t="inlineStr">
        <is>
          <t>GERAL</t>
        </is>
      </c>
      <c r="C410" t="inlineStr">
        <is>
          <t>EJ</t>
        </is>
      </c>
      <c r="D410" t="inlineStr">
        <is>
          <t>PREMONTAGEM</t>
        </is>
      </c>
      <c r="F410" s="159">
        <f>IFERROR(INDEX('BASE METAS DIÁRIAS'!$N$2:$S$358,MATCH($A410,'BASE METAS DIÁRIAS'!$A$2:$A$358,0),MOD(ROW()-2,6)+1),"")</f>
        <v/>
      </c>
      <c r="G410" s="159">
        <f>IFERROR(IF(WEEKDAY($A410,2)&lt;=INDEX('BASE METAS DIÁRIAS'!$H$2:$M$358,MATCH($A410,'BASE METAS DIÁRIAS'!$A$2:$A$358,0),MOD(ROW()-2,6)+1),INDEX('BASE METAS DIÁRIAS'!$B$2:$G$358,MATCH($A410,'BASE METAS DIÁRIAS'!$A$2:$A$358,0),MOD(ROW()-2,6)+1),""),"")</f>
        <v/>
      </c>
      <c r="H410" s="159">
        <f>IFERROR(IF(INDEX('CONTROLE PRODUÇÃO POR EMPRESAS'!$B$6:$G$5000,MATCH($A410,'CONTROLE PRODUÇÃO POR EMPRESAS'!$A$6:$A$5000,0),MOD(ROW()-2,6)+1)="","",IFERROR(1*INDEX('CONTROLE PRODUÇÃO POR EMPRESAS'!$B$6:$G$5000,MATCH($A410,'CONTROLE PRODUÇÃO POR EMPRESAS'!$A$6:$A$5000,0),MOD(ROW()-2,6)+1),"")),"")</f>
        <v/>
      </c>
      <c r="I410" s="159">
        <f>IF(OR(NOT(ISNUMBER(G410)),NOT(ISNUMBER(H410))),"",H410-G410)</f>
        <v/>
      </c>
      <c r="J410" s="319">
        <f>IF(OR(NOT(ISNUMBER(G410)),NOT(ISNUMBER(H410)),G410=0),"",I410/G410)</f>
        <v/>
      </c>
      <c r="K410" s="319">
        <f>IF(OR(NOT(ISNUMBER(G410)),NOT(ISNUMBER(H410)),G410=0),"",H410/G410)</f>
        <v/>
      </c>
      <c r="L410">
        <f>IF(NOT(ISNUMBER(G410)),"SEM META",IF(G410=0,"SEM META",IF(NOT(ISNUMBER(H410)),"SEM APONTAMENTO",IF(H410&gt;=G410,"VERDE",IF(H410&gt;=G410*0.9,"AMARELO","VERMELHO")))))</f>
        <v/>
      </c>
      <c r="M410" s="162" t="n"/>
      <c r="N410" s="162" t="n"/>
      <c r="O410" s="162" t="n"/>
      <c r="P410" s="162" t="n"/>
      <c r="Q410" s="320" t="n"/>
      <c r="R410" s="162" t="inlineStr">
        <is>
          <t>CONTROLE PRODUÇÃO POR EMPRESAS!B74</t>
        </is>
      </c>
    </row>
    <row r="411" ht="28.5" customHeight="1">
      <c r="A411" s="317" t="n">
        <v>46291</v>
      </c>
      <c r="B411" t="inlineStr">
        <is>
          <t>GERAL</t>
        </is>
      </c>
      <c r="C411" t="inlineStr">
        <is>
          <t>EJ</t>
        </is>
      </c>
      <c r="D411" t="inlineStr">
        <is>
          <t>IÇAMENTO JOIST</t>
        </is>
      </c>
      <c r="F411" s="159">
        <f>IFERROR(INDEX('BASE METAS DIÁRIAS'!$N$2:$S$358,MATCH($A411,'BASE METAS DIÁRIAS'!$A$2:$A$358,0),MOD(ROW()-2,6)+1),"")</f>
        <v/>
      </c>
      <c r="G411" s="159">
        <f>IFERROR(IF(WEEKDAY($A411,2)&lt;=INDEX('BASE METAS DIÁRIAS'!$H$2:$M$358,MATCH($A411,'BASE METAS DIÁRIAS'!$A$2:$A$358,0),MOD(ROW()-2,6)+1),INDEX('BASE METAS DIÁRIAS'!$B$2:$G$358,MATCH($A411,'BASE METAS DIÁRIAS'!$A$2:$A$358,0),MOD(ROW()-2,6)+1),""),"")</f>
        <v/>
      </c>
      <c r="H411" s="159">
        <f>IFERROR(IF(INDEX('CONTROLE PRODUÇÃO POR EMPRESAS'!$B$6:$G$5000,MATCH($A411,'CONTROLE PRODUÇÃO POR EMPRESAS'!$A$6:$A$5000,0),MOD(ROW()-2,6)+1)="","",IFERROR(1*INDEX('CONTROLE PRODUÇÃO POR EMPRESAS'!$B$6:$G$5000,MATCH($A411,'CONTROLE PRODUÇÃO POR EMPRESAS'!$A$6:$A$5000,0),MOD(ROW()-2,6)+1),"")),"")</f>
        <v/>
      </c>
      <c r="I411" s="159">
        <f>IF(OR(NOT(ISNUMBER(G411)),NOT(ISNUMBER(H411))),"",H411-G411)</f>
        <v/>
      </c>
      <c r="J411" s="319">
        <f>IF(OR(NOT(ISNUMBER(G411)),NOT(ISNUMBER(H411)),G411=0),"",I411/G411)</f>
        <v/>
      </c>
      <c r="K411" s="319">
        <f>IF(OR(NOT(ISNUMBER(G411)),NOT(ISNUMBER(H411)),G411=0),"",H411/G411)</f>
        <v/>
      </c>
      <c r="L411">
        <f>IF(NOT(ISNUMBER(G411)),"SEM META",IF(G411=0,"SEM META",IF(NOT(ISNUMBER(H411)),"SEM APONTAMENTO",IF(H411&gt;=G411,"VERDE",IF(H411&gt;=G411*0.9,"AMARELO","VERMELHO")))))</f>
        <v/>
      </c>
      <c r="M411" s="162" t="n"/>
      <c r="N411" s="162" t="n"/>
      <c r="O411" s="162" t="n"/>
      <c r="P411" s="162" t="n"/>
      <c r="Q411" s="320" t="n"/>
      <c r="R411" s="162" t="inlineStr">
        <is>
          <t>CONTROLE PRODUÇÃO POR EMPRESAS!C74</t>
        </is>
      </c>
    </row>
    <row r="412" ht="28.5" customHeight="1">
      <c r="A412" s="317" t="n">
        <v>46291</v>
      </c>
      <c r="B412" t="inlineStr">
        <is>
          <t>GERAL</t>
        </is>
      </c>
      <c r="C412" t="inlineStr">
        <is>
          <t>EJ</t>
        </is>
      </c>
      <c r="D412" t="inlineStr">
        <is>
          <t>VIGAS</t>
        </is>
      </c>
      <c r="F412" s="159">
        <f>IFERROR(INDEX('BASE METAS DIÁRIAS'!$N$2:$S$358,MATCH($A412,'BASE METAS DIÁRIAS'!$A$2:$A$358,0),MOD(ROW()-2,6)+1),"")</f>
        <v/>
      </c>
      <c r="G412" s="159">
        <f>IFERROR(IF(WEEKDAY($A412,2)&lt;=INDEX('BASE METAS DIÁRIAS'!$H$2:$M$358,MATCH($A412,'BASE METAS DIÁRIAS'!$A$2:$A$358,0),MOD(ROW()-2,6)+1),INDEX('BASE METAS DIÁRIAS'!$B$2:$G$358,MATCH($A412,'BASE METAS DIÁRIAS'!$A$2:$A$358,0),MOD(ROW()-2,6)+1),""),"")</f>
        <v/>
      </c>
      <c r="H412" s="159">
        <f>IFERROR(IF(INDEX('CONTROLE PRODUÇÃO POR EMPRESAS'!$B$6:$G$5000,MATCH($A412,'CONTROLE PRODUÇÃO POR EMPRESAS'!$A$6:$A$5000,0),MOD(ROW()-2,6)+1)="","",IFERROR(1*INDEX('CONTROLE PRODUÇÃO POR EMPRESAS'!$B$6:$G$5000,MATCH($A412,'CONTROLE PRODUÇÃO POR EMPRESAS'!$A$6:$A$5000,0),MOD(ROW()-2,6)+1),"")),"")</f>
        <v/>
      </c>
      <c r="I412" s="159">
        <f>IF(OR(NOT(ISNUMBER(G412)),NOT(ISNUMBER(H412))),"",H412-G412)</f>
        <v/>
      </c>
      <c r="J412" s="319">
        <f>IF(OR(NOT(ISNUMBER(G412)),NOT(ISNUMBER(H412)),G412=0),"",I412/G412)</f>
        <v/>
      </c>
      <c r="K412" s="319">
        <f>IF(OR(NOT(ISNUMBER(G412)),NOT(ISNUMBER(H412)),G412=0),"",H412/G412)</f>
        <v/>
      </c>
      <c r="L412">
        <f>IF(NOT(ISNUMBER(G412)),"SEM META",IF(G412=0,"SEM META",IF(NOT(ISNUMBER(H412)),"SEM APONTAMENTO",IF(H412&gt;=G412,"VERDE",IF(H412&gt;=G412*0.9,"AMARELO","VERMELHO")))))</f>
        <v/>
      </c>
      <c r="M412" s="162" t="n"/>
      <c r="N412" s="162" t="n"/>
      <c r="O412" s="162" t="n"/>
      <c r="P412" s="162" t="n"/>
      <c r="Q412" s="320" t="n"/>
      <c r="R412" s="162" t="inlineStr">
        <is>
          <t>CONTROLE PRODUÇÃO POR EMPRESAS!D74</t>
        </is>
      </c>
    </row>
    <row r="413" ht="28.5" customHeight="1">
      <c r="A413" s="317" t="n">
        <v>46291</v>
      </c>
      <c r="B413" t="inlineStr">
        <is>
          <t>GERAL</t>
        </is>
      </c>
      <c r="C413" t="inlineStr">
        <is>
          <t>CMM</t>
        </is>
      </c>
      <c r="D413" t="inlineStr">
        <is>
          <t>PREMONTAGEM</t>
        </is>
      </c>
      <c r="F413" s="159">
        <f>IFERROR(INDEX('BASE METAS DIÁRIAS'!$N$2:$S$358,MATCH($A413,'BASE METAS DIÁRIAS'!$A$2:$A$358,0),MOD(ROW()-2,6)+1),"")</f>
        <v/>
      </c>
      <c r="G413" s="159">
        <f>IFERROR(IF(WEEKDAY($A413,2)&lt;=INDEX('BASE METAS DIÁRIAS'!$H$2:$M$358,MATCH($A413,'BASE METAS DIÁRIAS'!$A$2:$A$358,0),MOD(ROW()-2,6)+1),INDEX('BASE METAS DIÁRIAS'!$B$2:$G$358,MATCH($A413,'BASE METAS DIÁRIAS'!$A$2:$A$358,0),MOD(ROW()-2,6)+1),""),"")</f>
        <v/>
      </c>
      <c r="H413" s="159">
        <f>IFERROR(IF(INDEX('CONTROLE PRODUÇÃO POR EMPRESAS'!$B$6:$G$5000,MATCH($A413,'CONTROLE PRODUÇÃO POR EMPRESAS'!$A$6:$A$5000,0),MOD(ROW()-2,6)+1)="","",IFERROR(1*INDEX('CONTROLE PRODUÇÃO POR EMPRESAS'!$B$6:$G$5000,MATCH($A413,'CONTROLE PRODUÇÃO POR EMPRESAS'!$A$6:$A$5000,0),MOD(ROW()-2,6)+1),"")),"")</f>
        <v/>
      </c>
      <c r="I413" s="159">
        <f>IF(OR(NOT(ISNUMBER(G413)),NOT(ISNUMBER(H413))),"",H413-G413)</f>
        <v/>
      </c>
      <c r="J413" s="319">
        <f>IF(OR(NOT(ISNUMBER(G413)),NOT(ISNUMBER(H413)),G413=0),"",I413/G413)</f>
        <v/>
      </c>
      <c r="K413" s="319">
        <f>IF(OR(NOT(ISNUMBER(G413)),NOT(ISNUMBER(H413)),G413=0),"",H413/G413)</f>
        <v/>
      </c>
      <c r="L413">
        <f>IF(NOT(ISNUMBER(G413)),"SEM META",IF(G413=0,"SEM META",IF(NOT(ISNUMBER(H413)),"SEM APONTAMENTO",IF(H413&gt;=G413,"VERDE",IF(H413&gt;=G413*0.9,"AMARELO","VERMELHO")))))</f>
        <v/>
      </c>
      <c r="M413" s="162" t="n"/>
      <c r="N413" s="162" t="n"/>
      <c r="O413" s="162" t="n"/>
      <c r="P413" s="162" t="n"/>
      <c r="Q413" s="320" t="n"/>
      <c r="R413" s="162" t="inlineStr">
        <is>
          <t>CONTROLE PRODUÇÃO POR EMPRESAS!E74</t>
        </is>
      </c>
    </row>
    <row r="414" ht="28.5" customHeight="1">
      <c r="A414" s="317" t="n">
        <v>46291</v>
      </c>
      <c r="B414" t="inlineStr">
        <is>
          <t>GERAL</t>
        </is>
      </c>
      <c r="C414" t="inlineStr">
        <is>
          <t>CMM</t>
        </is>
      </c>
      <c r="D414" t="inlineStr">
        <is>
          <t>IÇAMENTO JOIST</t>
        </is>
      </c>
      <c r="F414" s="159">
        <f>IFERROR(INDEX('BASE METAS DIÁRIAS'!$N$2:$S$358,MATCH($A414,'BASE METAS DIÁRIAS'!$A$2:$A$358,0),MOD(ROW()-2,6)+1),"")</f>
        <v/>
      </c>
      <c r="G414" s="159">
        <f>IFERROR(IF(WEEKDAY($A414,2)&lt;=INDEX('BASE METAS DIÁRIAS'!$H$2:$M$358,MATCH($A414,'BASE METAS DIÁRIAS'!$A$2:$A$358,0),MOD(ROW()-2,6)+1),INDEX('BASE METAS DIÁRIAS'!$B$2:$G$358,MATCH($A414,'BASE METAS DIÁRIAS'!$A$2:$A$358,0),MOD(ROW()-2,6)+1),""),"")</f>
        <v/>
      </c>
      <c r="H414" s="159">
        <f>IFERROR(IF(INDEX('CONTROLE PRODUÇÃO POR EMPRESAS'!$B$6:$G$5000,MATCH($A414,'CONTROLE PRODUÇÃO POR EMPRESAS'!$A$6:$A$5000,0),MOD(ROW()-2,6)+1)="","",IFERROR(1*INDEX('CONTROLE PRODUÇÃO POR EMPRESAS'!$B$6:$G$5000,MATCH($A414,'CONTROLE PRODUÇÃO POR EMPRESAS'!$A$6:$A$5000,0),MOD(ROW()-2,6)+1),"")),"")</f>
        <v/>
      </c>
      <c r="I414" s="159">
        <f>IF(OR(NOT(ISNUMBER(G414)),NOT(ISNUMBER(H414))),"",H414-G414)</f>
        <v/>
      </c>
      <c r="J414" s="319">
        <f>IF(OR(NOT(ISNUMBER(G414)),NOT(ISNUMBER(H414)),G414=0),"",I414/G414)</f>
        <v/>
      </c>
      <c r="K414" s="319">
        <f>IF(OR(NOT(ISNUMBER(G414)),NOT(ISNUMBER(H414)),G414=0),"",H414/G414)</f>
        <v/>
      </c>
      <c r="L414">
        <f>IF(NOT(ISNUMBER(G414)),"SEM META",IF(G414=0,"SEM META",IF(NOT(ISNUMBER(H414)),"SEM APONTAMENTO",IF(H414&gt;=G414,"VERDE",IF(H414&gt;=G414*0.9,"AMARELO","VERMELHO")))))</f>
        <v/>
      </c>
      <c r="M414" s="162" t="n"/>
      <c r="N414" s="162" t="n"/>
      <c r="O414" s="162" t="n"/>
      <c r="P414" s="162" t="n"/>
      <c r="Q414" s="320" t="n"/>
      <c r="R414" s="162" t="inlineStr">
        <is>
          <t>CONTROLE PRODUÇÃO POR EMPRESAS!F74</t>
        </is>
      </c>
    </row>
    <row r="415" ht="28.5" customHeight="1">
      <c r="A415" s="317" t="n">
        <v>46291</v>
      </c>
      <c r="B415" t="inlineStr">
        <is>
          <t>GERAL</t>
        </is>
      </c>
      <c r="C415" t="inlineStr">
        <is>
          <t>CMM</t>
        </is>
      </c>
      <c r="D415" t="inlineStr">
        <is>
          <t>VIGAS</t>
        </is>
      </c>
      <c r="F415" s="159">
        <f>IFERROR(INDEX('BASE METAS DIÁRIAS'!$N$2:$S$358,MATCH($A415,'BASE METAS DIÁRIAS'!$A$2:$A$358,0),MOD(ROW()-2,6)+1),"")</f>
        <v/>
      </c>
      <c r="G415" s="159">
        <f>IFERROR(IF(WEEKDAY($A415,2)&lt;=INDEX('BASE METAS DIÁRIAS'!$H$2:$M$358,MATCH($A415,'BASE METAS DIÁRIAS'!$A$2:$A$358,0),MOD(ROW()-2,6)+1),INDEX('BASE METAS DIÁRIAS'!$B$2:$G$358,MATCH($A415,'BASE METAS DIÁRIAS'!$A$2:$A$358,0),MOD(ROW()-2,6)+1),""),"")</f>
        <v/>
      </c>
      <c r="H415" s="159">
        <f>IFERROR(IF(INDEX('CONTROLE PRODUÇÃO POR EMPRESAS'!$B$6:$G$5000,MATCH($A415,'CONTROLE PRODUÇÃO POR EMPRESAS'!$A$6:$A$5000,0),MOD(ROW()-2,6)+1)="","",IFERROR(1*INDEX('CONTROLE PRODUÇÃO POR EMPRESAS'!$B$6:$G$5000,MATCH($A415,'CONTROLE PRODUÇÃO POR EMPRESAS'!$A$6:$A$5000,0),MOD(ROW()-2,6)+1),"")),"")</f>
        <v/>
      </c>
      <c r="I415" s="159">
        <f>IF(OR(NOT(ISNUMBER(G415)),NOT(ISNUMBER(H415))),"",H415-G415)</f>
        <v/>
      </c>
      <c r="J415" s="319">
        <f>IF(OR(NOT(ISNUMBER(G415)),NOT(ISNUMBER(H415)),G415=0),"",I415/G415)</f>
        <v/>
      </c>
      <c r="K415" s="319">
        <f>IF(OR(NOT(ISNUMBER(G415)),NOT(ISNUMBER(H415)),G415=0),"",H415/G415)</f>
        <v/>
      </c>
      <c r="L415">
        <f>IF(NOT(ISNUMBER(G415)),"SEM META",IF(G415=0,"SEM META",IF(NOT(ISNUMBER(H415)),"SEM APONTAMENTO",IF(H415&gt;=G415,"VERDE",IF(H415&gt;=G415*0.9,"AMARELO","VERMELHO")))))</f>
        <v/>
      </c>
      <c r="M415" s="162" t="n"/>
      <c r="N415" s="162" t="n"/>
      <c r="O415" s="162" t="n"/>
      <c r="P415" s="162" t="n"/>
      <c r="Q415" s="320" t="n"/>
      <c r="R415" s="162" t="inlineStr">
        <is>
          <t>CONTROLE PRODUÇÃO POR EMPRESAS!G74</t>
        </is>
      </c>
    </row>
    <row r="416" ht="28.5" customHeight="1">
      <c r="A416" s="317" t="n">
        <v>46292</v>
      </c>
      <c r="B416" t="inlineStr">
        <is>
          <t>GERAL</t>
        </is>
      </c>
      <c r="C416" t="inlineStr">
        <is>
          <t>EJ</t>
        </is>
      </c>
      <c r="D416" t="inlineStr">
        <is>
          <t>PREMONTAGEM</t>
        </is>
      </c>
      <c r="F416" s="159">
        <f>IFERROR(INDEX('BASE METAS DIÁRIAS'!$N$2:$S$358,MATCH($A416,'BASE METAS DIÁRIAS'!$A$2:$A$358,0),MOD(ROW()-2,6)+1),"")</f>
        <v/>
      </c>
      <c r="G416" s="159">
        <f>IFERROR(IF(WEEKDAY($A416,2)&lt;=INDEX('BASE METAS DIÁRIAS'!$H$2:$M$358,MATCH($A416,'BASE METAS DIÁRIAS'!$A$2:$A$358,0),MOD(ROW()-2,6)+1),INDEX('BASE METAS DIÁRIAS'!$B$2:$G$358,MATCH($A416,'BASE METAS DIÁRIAS'!$A$2:$A$358,0),MOD(ROW()-2,6)+1),""),"")</f>
        <v/>
      </c>
      <c r="H416" s="159">
        <f>IFERROR(IF(INDEX('CONTROLE PRODUÇÃO POR EMPRESAS'!$B$6:$G$5000,MATCH($A416,'CONTROLE PRODUÇÃO POR EMPRESAS'!$A$6:$A$5000,0),MOD(ROW()-2,6)+1)="","",IFERROR(1*INDEX('CONTROLE PRODUÇÃO POR EMPRESAS'!$B$6:$G$5000,MATCH($A416,'CONTROLE PRODUÇÃO POR EMPRESAS'!$A$6:$A$5000,0),MOD(ROW()-2,6)+1),"")),"")</f>
        <v/>
      </c>
      <c r="I416" s="159">
        <f>IF(OR(NOT(ISNUMBER(G416)),NOT(ISNUMBER(H416))),"",H416-G416)</f>
        <v/>
      </c>
      <c r="J416" s="319">
        <f>IF(OR(NOT(ISNUMBER(G416)),NOT(ISNUMBER(H416)),G416=0),"",I416/G416)</f>
        <v/>
      </c>
      <c r="K416" s="319">
        <f>IF(OR(NOT(ISNUMBER(G416)),NOT(ISNUMBER(H416)),G416=0),"",H416/G416)</f>
        <v/>
      </c>
      <c r="L416">
        <f>IF(NOT(ISNUMBER(G416)),"SEM META",IF(G416=0,"SEM META",IF(NOT(ISNUMBER(H416)),"SEM APONTAMENTO",IF(H416&gt;=G416,"VERDE",IF(H416&gt;=G416*0.9,"AMARELO","VERMELHO")))))</f>
        <v/>
      </c>
      <c r="M416" s="162" t="n"/>
      <c r="N416" s="162" t="n"/>
      <c r="O416" s="162" t="n"/>
      <c r="P416" s="162" t="n"/>
      <c r="Q416" s="320" t="n"/>
      <c r="R416" s="162" t="inlineStr">
        <is>
          <t>CONTROLE PRODUÇÃO POR EMPRESAS!B75</t>
        </is>
      </c>
    </row>
    <row r="417" ht="28.5" customHeight="1">
      <c r="A417" s="317" t="n">
        <v>46292</v>
      </c>
      <c r="B417" t="inlineStr">
        <is>
          <t>GERAL</t>
        </is>
      </c>
      <c r="C417" t="inlineStr">
        <is>
          <t>EJ</t>
        </is>
      </c>
      <c r="D417" t="inlineStr">
        <is>
          <t>IÇAMENTO JOIST</t>
        </is>
      </c>
      <c r="F417" s="159">
        <f>IFERROR(INDEX('BASE METAS DIÁRIAS'!$N$2:$S$358,MATCH($A417,'BASE METAS DIÁRIAS'!$A$2:$A$358,0),MOD(ROW()-2,6)+1),"")</f>
        <v/>
      </c>
      <c r="G417" s="159">
        <f>IFERROR(IF(WEEKDAY($A417,2)&lt;=INDEX('BASE METAS DIÁRIAS'!$H$2:$M$358,MATCH($A417,'BASE METAS DIÁRIAS'!$A$2:$A$358,0),MOD(ROW()-2,6)+1),INDEX('BASE METAS DIÁRIAS'!$B$2:$G$358,MATCH($A417,'BASE METAS DIÁRIAS'!$A$2:$A$358,0),MOD(ROW()-2,6)+1),""),"")</f>
        <v/>
      </c>
      <c r="H417" s="159">
        <f>IFERROR(IF(INDEX('CONTROLE PRODUÇÃO POR EMPRESAS'!$B$6:$G$5000,MATCH($A417,'CONTROLE PRODUÇÃO POR EMPRESAS'!$A$6:$A$5000,0),MOD(ROW()-2,6)+1)="","",IFERROR(1*INDEX('CONTROLE PRODUÇÃO POR EMPRESAS'!$B$6:$G$5000,MATCH($A417,'CONTROLE PRODUÇÃO POR EMPRESAS'!$A$6:$A$5000,0),MOD(ROW()-2,6)+1),"")),"")</f>
        <v/>
      </c>
      <c r="I417" s="159">
        <f>IF(OR(NOT(ISNUMBER(G417)),NOT(ISNUMBER(H417))),"",H417-G417)</f>
        <v/>
      </c>
      <c r="J417" s="319">
        <f>IF(OR(NOT(ISNUMBER(G417)),NOT(ISNUMBER(H417)),G417=0),"",I417/G417)</f>
        <v/>
      </c>
      <c r="K417" s="319">
        <f>IF(OR(NOT(ISNUMBER(G417)),NOT(ISNUMBER(H417)),G417=0),"",H417/G417)</f>
        <v/>
      </c>
      <c r="L417">
        <f>IF(NOT(ISNUMBER(G417)),"SEM META",IF(G417=0,"SEM META",IF(NOT(ISNUMBER(H417)),"SEM APONTAMENTO",IF(H417&gt;=G417,"VERDE",IF(H417&gt;=G417*0.9,"AMARELO","VERMELHO")))))</f>
        <v/>
      </c>
      <c r="M417" s="162" t="n"/>
      <c r="N417" s="162" t="n"/>
      <c r="O417" s="162" t="n"/>
      <c r="P417" s="162" t="n"/>
      <c r="Q417" s="320" t="n"/>
      <c r="R417" s="162" t="inlineStr">
        <is>
          <t>CONTROLE PRODUÇÃO POR EMPRESAS!C75</t>
        </is>
      </c>
    </row>
    <row r="418" ht="28.5" customHeight="1">
      <c r="A418" s="317" t="n">
        <v>46292</v>
      </c>
      <c r="B418" t="inlineStr">
        <is>
          <t>GERAL</t>
        </is>
      </c>
      <c r="C418" t="inlineStr">
        <is>
          <t>EJ</t>
        </is>
      </c>
      <c r="D418" t="inlineStr">
        <is>
          <t>VIGAS</t>
        </is>
      </c>
      <c r="F418" s="159">
        <f>IFERROR(INDEX('BASE METAS DIÁRIAS'!$N$2:$S$358,MATCH($A418,'BASE METAS DIÁRIAS'!$A$2:$A$358,0),MOD(ROW()-2,6)+1),"")</f>
        <v/>
      </c>
      <c r="G418" s="159">
        <f>IFERROR(IF(WEEKDAY($A418,2)&lt;=INDEX('BASE METAS DIÁRIAS'!$H$2:$M$358,MATCH($A418,'BASE METAS DIÁRIAS'!$A$2:$A$358,0),MOD(ROW()-2,6)+1),INDEX('BASE METAS DIÁRIAS'!$B$2:$G$358,MATCH($A418,'BASE METAS DIÁRIAS'!$A$2:$A$358,0),MOD(ROW()-2,6)+1),""),"")</f>
        <v/>
      </c>
      <c r="H418" s="159">
        <f>IFERROR(IF(INDEX('CONTROLE PRODUÇÃO POR EMPRESAS'!$B$6:$G$5000,MATCH($A418,'CONTROLE PRODUÇÃO POR EMPRESAS'!$A$6:$A$5000,0),MOD(ROW()-2,6)+1)="","",IFERROR(1*INDEX('CONTROLE PRODUÇÃO POR EMPRESAS'!$B$6:$G$5000,MATCH($A418,'CONTROLE PRODUÇÃO POR EMPRESAS'!$A$6:$A$5000,0),MOD(ROW()-2,6)+1),"")),"")</f>
        <v/>
      </c>
      <c r="I418" s="159">
        <f>IF(OR(NOT(ISNUMBER(G418)),NOT(ISNUMBER(H418))),"",H418-G418)</f>
        <v/>
      </c>
      <c r="J418" s="319">
        <f>IF(OR(NOT(ISNUMBER(G418)),NOT(ISNUMBER(H418)),G418=0),"",I418/G418)</f>
        <v/>
      </c>
      <c r="K418" s="319">
        <f>IF(OR(NOT(ISNUMBER(G418)),NOT(ISNUMBER(H418)),G418=0),"",H418/G418)</f>
        <v/>
      </c>
      <c r="L418">
        <f>IF(NOT(ISNUMBER(G418)),"SEM META",IF(G418=0,"SEM META",IF(NOT(ISNUMBER(H418)),"SEM APONTAMENTO",IF(H418&gt;=G418,"VERDE",IF(H418&gt;=G418*0.9,"AMARELO","VERMELHO")))))</f>
        <v/>
      </c>
      <c r="M418" s="162" t="n"/>
      <c r="N418" s="162" t="n"/>
      <c r="O418" s="162" t="n"/>
      <c r="P418" s="162" t="n"/>
      <c r="Q418" s="320" t="n"/>
      <c r="R418" s="162" t="inlineStr">
        <is>
          <t>CONTROLE PRODUÇÃO POR EMPRESAS!D75</t>
        </is>
      </c>
    </row>
    <row r="419" ht="28.5" customHeight="1">
      <c r="A419" s="317" t="n">
        <v>46292</v>
      </c>
      <c r="B419" t="inlineStr">
        <is>
          <t>GERAL</t>
        </is>
      </c>
      <c r="C419" t="inlineStr">
        <is>
          <t>CMM</t>
        </is>
      </c>
      <c r="D419" t="inlineStr">
        <is>
          <t>PREMONTAGEM</t>
        </is>
      </c>
      <c r="F419" s="159">
        <f>IFERROR(INDEX('BASE METAS DIÁRIAS'!$N$2:$S$358,MATCH($A419,'BASE METAS DIÁRIAS'!$A$2:$A$358,0),MOD(ROW()-2,6)+1),"")</f>
        <v/>
      </c>
      <c r="G419" s="159">
        <f>IFERROR(IF(WEEKDAY($A419,2)&lt;=INDEX('BASE METAS DIÁRIAS'!$H$2:$M$358,MATCH($A419,'BASE METAS DIÁRIAS'!$A$2:$A$358,0),MOD(ROW()-2,6)+1),INDEX('BASE METAS DIÁRIAS'!$B$2:$G$358,MATCH($A419,'BASE METAS DIÁRIAS'!$A$2:$A$358,0),MOD(ROW()-2,6)+1),""),"")</f>
        <v/>
      </c>
      <c r="H419" s="159">
        <f>IFERROR(IF(INDEX('CONTROLE PRODUÇÃO POR EMPRESAS'!$B$6:$G$5000,MATCH($A419,'CONTROLE PRODUÇÃO POR EMPRESAS'!$A$6:$A$5000,0),MOD(ROW()-2,6)+1)="","",IFERROR(1*INDEX('CONTROLE PRODUÇÃO POR EMPRESAS'!$B$6:$G$5000,MATCH($A419,'CONTROLE PRODUÇÃO POR EMPRESAS'!$A$6:$A$5000,0),MOD(ROW()-2,6)+1),"")),"")</f>
        <v/>
      </c>
      <c r="I419" s="159">
        <f>IF(OR(NOT(ISNUMBER(G419)),NOT(ISNUMBER(H419))),"",H419-G419)</f>
        <v/>
      </c>
      <c r="J419" s="319">
        <f>IF(OR(NOT(ISNUMBER(G419)),NOT(ISNUMBER(H419)),G419=0),"",I419/G419)</f>
        <v/>
      </c>
      <c r="K419" s="319">
        <f>IF(OR(NOT(ISNUMBER(G419)),NOT(ISNUMBER(H419)),G419=0),"",H419/G419)</f>
        <v/>
      </c>
      <c r="L419">
        <f>IF(NOT(ISNUMBER(G419)),"SEM META",IF(G419=0,"SEM META",IF(NOT(ISNUMBER(H419)),"SEM APONTAMENTO",IF(H419&gt;=G419,"VERDE",IF(H419&gt;=G419*0.9,"AMARELO","VERMELHO")))))</f>
        <v/>
      </c>
      <c r="M419" s="162" t="n"/>
      <c r="N419" s="162" t="n"/>
      <c r="O419" s="162" t="n"/>
      <c r="P419" s="162" t="n"/>
      <c r="Q419" s="320" t="n"/>
      <c r="R419" s="162" t="inlineStr">
        <is>
          <t>CONTROLE PRODUÇÃO POR EMPRESAS!E75</t>
        </is>
      </c>
    </row>
    <row r="420" ht="28.5" customHeight="1">
      <c r="A420" s="317" t="n">
        <v>46292</v>
      </c>
      <c r="B420" t="inlineStr">
        <is>
          <t>GERAL</t>
        </is>
      </c>
      <c r="C420" t="inlineStr">
        <is>
          <t>CMM</t>
        </is>
      </c>
      <c r="D420" t="inlineStr">
        <is>
          <t>IÇAMENTO JOIST</t>
        </is>
      </c>
      <c r="F420" s="159">
        <f>IFERROR(INDEX('BASE METAS DIÁRIAS'!$N$2:$S$358,MATCH($A420,'BASE METAS DIÁRIAS'!$A$2:$A$358,0),MOD(ROW()-2,6)+1),"")</f>
        <v/>
      </c>
      <c r="G420" s="159">
        <f>IFERROR(IF(WEEKDAY($A420,2)&lt;=INDEX('BASE METAS DIÁRIAS'!$H$2:$M$358,MATCH($A420,'BASE METAS DIÁRIAS'!$A$2:$A$358,0),MOD(ROW()-2,6)+1),INDEX('BASE METAS DIÁRIAS'!$B$2:$G$358,MATCH($A420,'BASE METAS DIÁRIAS'!$A$2:$A$358,0),MOD(ROW()-2,6)+1),""),"")</f>
        <v/>
      </c>
      <c r="H420" s="159">
        <f>IFERROR(IF(INDEX('CONTROLE PRODUÇÃO POR EMPRESAS'!$B$6:$G$5000,MATCH($A420,'CONTROLE PRODUÇÃO POR EMPRESAS'!$A$6:$A$5000,0),MOD(ROW()-2,6)+1)="","",IFERROR(1*INDEX('CONTROLE PRODUÇÃO POR EMPRESAS'!$B$6:$G$5000,MATCH($A420,'CONTROLE PRODUÇÃO POR EMPRESAS'!$A$6:$A$5000,0),MOD(ROW()-2,6)+1),"")),"")</f>
        <v/>
      </c>
      <c r="I420" s="159">
        <f>IF(OR(NOT(ISNUMBER(G420)),NOT(ISNUMBER(H420))),"",H420-G420)</f>
        <v/>
      </c>
      <c r="J420" s="319">
        <f>IF(OR(NOT(ISNUMBER(G420)),NOT(ISNUMBER(H420)),G420=0),"",I420/G420)</f>
        <v/>
      </c>
      <c r="K420" s="319">
        <f>IF(OR(NOT(ISNUMBER(G420)),NOT(ISNUMBER(H420)),G420=0),"",H420/G420)</f>
        <v/>
      </c>
      <c r="L420">
        <f>IF(NOT(ISNUMBER(G420)),"SEM META",IF(G420=0,"SEM META",IF(NOT(ISNUMBER(H420)),"SEM APONTAMENTO",IF(H420&gt;=G420,"VERDE",IF(H420&gt;=G420*0.9,"AMARELO","VERMELHO")))))</f>
        <v/>
      </c>
      <c r="M420" s="162" t="n"/>
      <c r="N420" s="162" t="n"/>
      <c r="O420" s="162" t="n"/>
      <c r="P420" s="162" t="n"/>
      <c r="Q420" s="320" t="n"/>
      <c r="R420" s="162" t="inlineStr">
        <is>
          <t>CONTROLE PRODUÇÃO POR EMPRESAS!F75</t>
        </is>
      </c>
    </row>
    <row r="421" ht="28.5" customHeight="1">
      <c r="A421" s="317" t="n">
        <v>46292</v>
      </c>
      <c r="B421" t="inlineStr">
        <is>
          <t>GERAL</t>
        </is>
      </c>
      <c r="C421" t="inlineStr">
        <is>
          <t>CMM</t>
        </is>
      </c>
      <c r="D421" t="inlineStr">
        <is>
          <t>VIGAS</t>
        </is>
      </c>
      <c r="F421" s="159">
        <f>IFERROR(INDEX('BASE METAS DIÁRIAS'!$N$2:$S$358,MATCH($A421,'BASE METAS DIÁRIAS'!$A$2:$A$358,0),MOD(ROW()-2,6)+1),"")</f>
        <v/>
      </c>
      <c r="G421" s="159">
        <f>IFERROR(IF(WEEKDAY($A421,2)&lt;=INDEX('BASE METAS DIÁRIAS'!$H$2:$M$358,MATCH($A421,'BASE METAS DIÁRIAS'!$A$2:$A$358,0),MOD(ROW()-2,6)+1),INDEX('BASE METAS DIÁRIAS'!$B$2:$G$358,MATCH($A421,'BASE METAS DIÁRIAS'!$A$2:$A$358,0),MOD(ROW()-2,6)+1),""),"")</f>
        <v/>
      </c>
      <c r="H421" s="159">
        <f>IFERROR(IF(INDEX('CONTROLE PRODUÇÃO POR EMPRESAS'!$B$6:$G$5000,MATCH($A421,'CONTROLE PRODUÇÃO POR EMPRESAS'!$A$6:$A$5000,0),MOD(ROW()-2,6)+1)="","",IFERROR(1*INDEX('CONTROLE PRODUÇÃO POR EMPRESAS'!$B$6:$G$5000,MATCH($A421,'CONTROLE PRODUÇÃO POR EMPRESAS'!$A$6:$A$5000,0),MOD(ROW()-2,6)+1),"")),"")</f>
        <v/>
      </c>
      <c r="I421" s="159">
        <f>IF(OR(NOT(ISNUMBER(G421)),NOT(ISNUMBER(H421))),"",H421-G421)</f>
        <v/>
      </c>
      <c r="J421" s="319">
        <f>IF(OR(NOT(ISNUMBER(G421)),NOT(ISNUMBER(H421)),G421=0),"",I421/G421)</f>
        <v/>
      </c>
      <c r="K421" s="319">
        <f>IF(OR(NOT(ISNUMBER(G421)),NOT(ISNUMBER(H421)),G421=0),"",H421/G421)</f>
        <v/>
      </c>
      <c r="L421">
        <f>IF(NOT(ISNUMBER(G421)),"SEM META",IF(G421=0,"SEM META",IF(NOT(ISNUMBER(H421)),"SEM APONTAMENTO",IF(H421&gt;=G421,"VERDE",IF(H421&gt;=G421*0.9,"AMARELO","VERMELHO")))))</f>
        <v/>
      </c>
      <c r="M421" s="162" t="n"/>
      <c r="N421" s="162" t="n"/>
      <c r="O421" s="162" t="n"/>
      <c r="P421" s="162" t="n"/>
      <c r="Q421" s="320" t="n"/>
      <c r="R421" s="162" t="inlineStr">
        <is>
          <t>CONTROLE PRODUÇÃO POR EMPRESAS!G75</t>
        </is>
      </c>
    </row>
    <row r="422" ht="28.5" customHeight="1">
      <c r="A422" s="317" t="n">
        <v>46293</v>
      </c>
      <c r="B422" t="inlineStr">
        <is>
          <t>GERAL</t>
        </is>
      </c>
      <c r="C422" t="inlineStr">
        <is>
          <t>EJ</t>
        </is>
      </c>
      <c r="D422" t="inlineStr">
        <is>
          <t>PREMONTAGEM</t>
        </is>
      </c>
      <c r="F422" s="159">
        <f>IFERROR(INDEX('BASE METAS DIÁRIAS'!$N$2:$S$358,MATCH($A422,'BASE METAS DIÁRIAS'!$A$2:$A$358,0),MOD(ROW()-2,6)+1),"")</f>
        <v/>
      </c>
      <c r="G422" s="159">
        <f>IFERROR(IF(WEEKDAY($A422,2)&lt;=INDEX('BASE METAS DIÁRIAS'!$H$2:$M$358,MATCH($A422,'BASE METAS DIÁRIAS'!$A$2:$A$358,0),MOD(ROW()-2,6)+1),INDEX('BASE METAS DIÁRIAS'!$B$2:$G$358,MATCH($A422,'BASE METAS DIÁRIAS'!$A$2:$A$358,0),MOD(ROW()-2,6)+1),""),"")</f>
        <v/>
      </c>
      <c r="H422" s="159">
        <f>IFERROR(IF(INDEX('CONTROLE PRODUÇÃO POR EMPRESAS'!$B$6:$G$5000,MATCH($A422,'CONTROLE PRODUÇÃO POR EMPRESAS'!$A$6:$A$5000,0),MOD(ROW()-2,6)+1)="","",IFERROR(1*INDEX('CONTROLE PRODUÇÃO POR EMPRESAS'!$B$6:$G$5000,MATCH($A422,'CONTROLE PRODUÇÃO POR EMPRESAS'!$A$6:$A$5000,0),MOD(ROW()-2,6)+1),"")),"")</f>
        <v/>
      </c>
      <c r="I422" s="159">
        <f>IF(OR(NOT(ISNUMBER(G422)),NOT(ISNUMBER(H422))),"",H422-G422)</f>
        <v/>
      </c>
      <c r="J422" s="319">
        <f>IF(OR(NOT(ISNUMBER(G422)),NOT(ISNUMBER(H422)),G422=0),"",I422/G422)</f>
        <v/>
      </c>
      <c r="K422" s="319">
        <f>IF(OR(NOT(ISNUMBER(G422)),NOT(ISNUMBER(H422)),G422=0),"",H422/G422)</f>
        <v/>
      </c>
      <c r="L422">
        <f>IF(NOT(ISNUMBER(G422)),"SEM META",IF(G422=0,"SEM META",IF(NOT(ISNUMBER(H422)),"SEM APONTAMENTO",IF(H422&gt;=G422,"VERDE",IF(H422&gt;=G422*0.9,"AMARELO","VERMELHO")))))</f>
        <v/>
      </c>
      <c r="M422" s="162" t="n"/>
      <c r="N422" s="162" t="n"/>
      <c r="O422" s="162" t="n"/>
      <c r="P422" s="162" t="n"/>
      <c r="Q422" s="320" t="n"/>
      <c r="R422" s="162" t="inlineStr">
        <is>
          <t>CONTROLE PRODUÇÃO POR EMPRESAS!B76</t>
        </is>
      </c>
    </row>
    <row r="423" ht="28.5" customHeight="1">
      <c r="A423" s="317" t="n">
        <v>46293</v>
      </c>
      <c r="B423" t="inlineStr">
        <is>
          <t>GERAL</t>
        </is>
      </c>
      <c r="C423" t="inlineStr">
        <is>
          <t>EJ</t>
        </is>
      </c>
      <c r="D423" t="inlineStr">
        <is>
          <t>IÇAMENTO JOIST</t>
        </is>
      </c>
      <c r="F423" s="159">
        <f>IFERROR(INDEX('BASE METAS DIÁRIAS'!$N$2:$S$358,MATCH($A423,'BASE METAS DIÁRIAS'!$A$2:$A$358,0),MOD(ROW()-2,6)+1),"")</f>
        <v/>
      </c>
      <c r="G423" s="159">
        <f>IFERROR(IF(WEEKDAY($A423,2)&lt;=INDEX('BASE METAS DIÁRIAS'!$H$2:$M$358,MATCH($A423,'BASE METAS DIÁRIAS'!$A$2:$A$358,0),MOD(ROW()-2,6)+1),INDEX('BASE METAS DIÁRIAS'!$B$2:$G$358,MATCH($A423,'BASE METAS DIÁRIAS'!$A$2:$A$358,0),MOD(ROW()-2,6)+1),""),"")</f>
        <v/>
      </c>
      <c r="H423" s="159">
        <f>IFERROR(IF(INDEX('CONTROLE PRODUÇÃO POR EMPRESAS'!$B$6:$G$5000,MATCH($A423,'CONTROLE PRODUÇÃO POR EMPRESAS'!$A$6:$A$5000,0),MOD(ROW()-2,6)+1)="","",IFERROR(1*INDEX('CONTROLE PRODUÇÃO POR EMPRESAS'!$B$6:$G$5000,MATCH($A423,'CONTROLE PRODUÇÃO POR EMPRESAS'!$A$6:$A$5000,0),MOD(ROW()-2,6)+1),"")),"")</f>
        <v/>
      </c>
      <c r="I423" s="159">
        <f>IF(OR(NOT(ISNUMBER(G423)),NOT(ISNUMBER(H423))),"",H423-G423)</f>
        <v/>
      </c>
      <c r="J423" s="319">
        <f>IF(OR(NOT(ISNUMBER(G423)),NOT(ISNUMBER(H423)),G423=0),"",I423/G423)</f>
        <v/>
      </c>
      <c r="K423" s="319">
        <f>IF(OR(NOT(ISNUMBER(G423)),NOT(ISNUMBER(H423)),G423=0),"",H423/G423)</f>
        <v/>
      </c>
      <c r="L423">
        <f>IF(NOT(ISNUMBER(G423)),"SEM META",IF(G423=0,"SEM META",IF(NOT(ISNUMBER(H423)),"SEM APONTAMENTO",IF(H423&gt;=G423,"VERDE",IF(H423&gt;=G423*0.9,"AMARELO","VERMELHO")))))</f>
        <v/>
      </c>
      <c r="M423" s="162" t="n"/>
      <c r="N423" s="162" t="n"/>
      <c r="O423" s="162" t="n"/>
      <c r="P423" s="162" t="n"/>
      <c r="Q423" s="320" t="n"/>
      <c r="R423" s="162" t="inlineStr">
        <is>
          <t>CONTROLE PRODUÇÃO POR EMPRESAS!C76</t>
        </is>
      </c>
    </row>
    <row r="424" ht="28.5" customHeight="1">
      <c r="A424" s="317" t="n">
        <v>46293</v>
      </c>
      <c r="B424" t="inlineStr">
        <is>
          <t>GERAL</t>
        </is>
      </c>
      <c r="C424" t="inlineStr">
        <is>
          <t>EJ</t>
        </is>
      </c>
      <c r="D424" t="inlineStr">
        <is>
          <t>VIGAS</t>
        </is>
      </c>
      <c r="F424" s="159">
        <f>IFERROR(INDEX('BASE METAS DIÁRIAS'!$N$2:$S$358,MATCH($A424,'BASE METAS DIÁRIAS'!$A$2:$A$358,0),MOD(ROW()-2,6)+1),"")</f>
        <v/>
      </c>
      <c r="G424" s="159">
        <f>IFERROR(IF(WEEKDAY($A424,2)&lt;=INDEX('BASE METAS DIÁRIAS'!$H$2:$M$358,MATCH($A424,'BASE METAS DIÁRIAS'!$A$2:$A$358,0),MOD(ROW()-2,6)+1),INDEX('BASE METAS DIÁRIAS'!$B$2:$G$358,MATCH($A424,'BASE METAS DIÁRIAS'!$A$2:$A$358,0),MOD(ROW()-2,6)+1),""),"")</f>
        <v/>
      </c>
      <c r="H424" s="159">
        <f>IFERROR(IF(INDEX('CONTROLE PRODUÇÃO POR EMPRESAS'!$B$6:$G$5000,MATCH($A424,'CONTROLE PRODUÇÃO POR EMPRESAS'!$A$6:$A$5000,0),MOD(ROW()-2,6)+1)="","",IFERROR(1*INDEX('CONTROLE PRODUÇÃO POR EMPRESAS'!$B$6:$G$5000,MATCH($A424,'CONTROLE PRODUÇÃO POR EMPRESAS'!$A$6:$A$5000,0),MOD(ROW()-2,6)+1),"")),"")</f>
        <v/>
      </c>
      <c r="I424" s="159">
        <f>IF(OR(NOT(ISNUMBER(G424)),NOT(ISNUMBER(H424))),"",H424-G424)</f>
        <v/>
      </c>
      <c r="J424" s="319">
        <f>IF(OR(NOT(ISNUMBER(G424)),NOT(ISNUMBER(H424)),G424=0),"",I424/G424)</f>
        <v/>
      </c>
      <c r="K424" s="319">
        <f>IF(OR(NOT(ISNUMBER(G424)),NOT(ISNUMBER(H424)),G424=0),"",H424/G424)</f>
        <v/>
      </c>
      <c r="L424">
        <f>IF(NOT(ISNUMBER(G424)),"SEM META",IF(G424=0,"SEM META",IF(NOT(ISNUMBER(H424)),"SEM APONTAMENTO",IF(H424&gt;=G424,"VERDE",IF(H424&gt;=G424*0.9,"AMARELO","VERMELHO")))))</f>
        <v/>
      </c>
      <c r="M424" s="162" t="n"/>
      <c r="N424" s="162" t="n"/>
      <c r="O424" s="162" t="n"/>
      <c r="P424" s="162" t="n"/>
      <c r="Q424" s="320" t="n"/>
      <c r="R424" s="162" t="inlineStr">
        <is>
          <t>CONTROLE PRODUÇÃO POR EMPRESAS!D76</t>
        </is>
      </c>
    </row>
    <row r="425" ht="28.5" customHeight="1">
      <c r="A425" s="317" t="n">
        <v>46293</v>
      </c>
      <c r="B425" t="inlineStr">
        <is>
          <t>GERAL</t>
        </is>
      </c>
      <c r="C425" t="inlineStr">
        <is>
          <t>CMM</t>
        </is>
      </c>
      <c r="D425" t="inlineStr">
        <is>
          <t>PREMONTAGEM</t>
        </is>
      </c>
      <c r="F425" s="159">
        <f>IFERROR(INDEX('BASE METAS DIÁRIAS'!$N$2:$S$358,MATCH($A425,'BASE METAS DIÁRIAS'!$A$2:$A$358,0),MOD(ROW()-2,6)+1),"")</f>
        <v/>
      </c>
      <c r="G425" s="159">
        <f>IFERROR(IF(WEEKDAY($A425,2)&lt;=INDEX('BASE METAS DIÁRIAS'!$H$2:$M$358,MATCH($A425,'BASE METAS DIÁRIAS'!$A$2:$A$358,0),MOD(ROW()-2,6)+1),INDEX('BASE METAS DIÁRIAS'!$B$2:$G$358,MATCH($A425,'BASE METAS DIÁRIAS'!$A$2:$A$358,0),MOD(ROW()-2,6)+1),""),"")</f>
        <v/>
      </c>
      <c r="H425" s="159">
        <f>IFERROR(IF(INDEX('CONTROLE PRODUÇÃO POR EMPRESAS'!$B$6:$G$5000,MATCH($A425,'CONTROLE PRODUÇÃO POR EMPRESAS'!$A$6:$A$5000,0),MOD(ROW()-2,6)+1)="","",IFERROR(1*INDEX('CONTROLE PRODUÇÃO POR EMPRESAS'!$B$6:$G$5000,MATCH($A425,'CONTROLE PRODUÇÃO POR EMPRESAS'!$A$6:$A$5000,0),MOD(ROW()-2,6)+1),"")),"")</f>
        <v/>
      </c>
      <c r="I425" s="159">
        <f>IF(OR(NOT(ISNUMBER(G425)),NOT(ISNUMBER(H425))),"",H425-G425)</f>
        <v/>
      </c>
      <c r="J425" s="319">
        <f>IF(OR(NOT(ISNUMBER(G425)),NOT(ISNUMBER(H425)),G425=0),"",I425/G425)</f>
        <v/>
      </c>
      <c r="K425" s="319">
        <f>IF(OR(NOT(ISNUMBER(G425)),NOT(ISNUMBER(H425)),G425=0),"",H425/G425)</f>
        <v/>
      </c>
      <c r="L425">
        <f>IF(NOT(ISNUMBER(G425)),"SEM META",IF(G425=0,"SEM META",IF(NOT(ISNUMBER(H425)),"SEM APONTAMENTO",IF(H425&gt;=G425,"VERDE",IF(H425&gt;=G425*0.9,"AMARELO","VERMELHO")))))</f>
        <v/>
      </c>
      <c r="M425" s="162" t="n"/>
      <c r="N425" s="162" t="n"/>
      <c r="O425" s="162" t="n"/>
      <c r="P425" s="162" t="n"/>
      <c r="Q425" s="320" t="n"/>
      <c r="R425" s="162" t="inlineStr">
        <is>
          <t>CONTROLE PRODUÇÃO POR EMPRESAS!E76</t>
        </is>
      </c>
    </row>
    <row r="426" ht="28.5" customHeight="1">
      <c r="A426" s="317" t="n">
        <v>46293</v>
      </c>
      <c r="B426" t="inlineStr">
        <is>
          <t>GERAL</t>
        </is>
      </c>
      <c r="C426" t="inlineStr">
        <is>
          <t>CMM</t>
        </is>
      </c>
      <c r="D426" t="inlineStr">
        <is>
          <t>IÇAMENTO JOIST</t>
        </is>
      </c>
      <c r="F426" s="159">
        <f>IFERROR(INDEX('BASE METAS DIÁRIAS'!$N$2:$S$358,MATCH($A426,'BASE METAS DIÁRIAS'!$A$2:$A$358,0),MOD(ROW()-2,6)+1),"")</f>
        <v/>
      </c>
      <c r="G426" s="159">
        <f>IFERROR(IF(WEEKDAY($A426,2)&lt;=INDEX('BASE METAS DIÁRIAS'!$H$2:$M$358,MATCH($A426,'BASE METAS DIÁRIAS'!$A$2:$A$358,0),MOD(ROW()-2,6)+1),INDEX('BASE METAS DIÁRIAS'!$B$2:$G$358,MATCH($A426,'BASE METAS DIÁRIAS'!$A$2:$A$358,0),MOD(ROW()-2,6)+1),""),"")</f>
        <v/>
      </c>
      <c r="H426" s="159">
        <f>IFERROR(IF(INDEX('CONTROLE PRODUÇÃO POR EMPRESAS'!$B$6:$G$5000,MATCH($A426,'CONTROLE PRODUÇÃO POR EMPRESAS'!$A$6:$A$5000,0),MOD(ROW()-2,6)+1)="","",IFERROR(1*INDEX('CONTROLE PRODUÇÃO POR EMPRESAS'!$B$6:$G$5000,MATCH($A426,'CONTROLE PRODUÇÃO POR EMPRESAS'!$A$6:$A$5000,0),MOD(ROW()-2,6)+1),"")),"")</f>
        <v/>
      </c>
      <c r="I426" s="159">
        <f>IF(OR(NOT(ISNUMBER(G426)),NOT(ISNUMBER(H426))),"",H426-G426)</f>
        <v/>
      </c>
      <c r="J426" s="319">
        <f>IF(OR(NOT(ISNUMBER(G426)),NOT(ISNUMBER(H426)),G426=0),"",I426/G426)</f>
        <v/>
      </c>
      <c r="K426" s="319">
        <f>IF(OR(NOT(ISNUMBER(G426)),NOT(ISNUMBER(H426)),G426=0),"",H426/G426)</f>
        <v/>
      </c>
      <c r="L426">
        <f>IF(NOT(ISNUMBER(G426)),"SEM META",IF(G426=0,"SEM META",IF(NOT(ISNUMBER(H426)),"SEM APONTAMENTO",IF(H426&gt;=G426,"VERDE",IF(H426&gt;=G426*0.9,"AMARELO","VERMELHO")))))</f>
        <v/>
      </c>
      <c r="M426" s="162" t="n"/>
      <c r="N426" s="162" t="n"/>
      <c r="O426" s="162" t="n"/>
      <c r="P426" s="162" t="n"/>
      <c r="Q426" s="320" t="n"/>
      <c r="R426" s="162" t="inlineStr">
        <is>
          <t>CONTROLE PRODUÇÃO POR EMPRESAS!F76</t>
        </is>
      </c>
    </row>
    <row r="427" ht="28.5" customHeight="1">
      <c r="A427" s="317" t="n">
        <v>46293</v>
      </c>
      <c r="B427" t="inlineStr">
        <is>
          <t>GERAL</t>
        </is>
      </c>
      <c r="C427" t="inlineStr">
        <is>
          <t>CMM</t>
        </is>
      </c>
      <c r="D427" t="inlineStr">
        <is>
          <t>VIGAS</t>
        </is>
      </c>
      <c r="F427" s="159">
        <f>IFERROR(INDEX('BASE METAS DIÁRIAS'!$N$2:$S$358,MATCH($A427,'BASE METAS DIÁRIAS'!$A$2:$A$358,0),MOD(ROW()-2,6)+1),"")</f>
        <v/>
      </c>
      <c r="G427" s="159">
        <f>IFERROR(IF(WEEKDAY($A427,2)&lt;=INDEX('BASE METAS DIÁRIAS'!$H$2:$M$358,MATCH($A427,'BASE METAS DIÁRIAS'!$A$2:$A$358,0),MOD(ROW()-2,6)+1),INDEX('BASE METAS DIÁRIAS'!$B$2:$G$358,MATCH($A427,'BASE METAS DIÁRIAS'!$A$2:$A$358,0),MOD(ROW()-2,6)+1),""),"")</f>
        <v/>
      </c>
      <c r="H427" s="159">
        <f>IFERROR(IF(INDEX('CONTROLE PRODUÇÃO POR EMPRESAS'!$B$6:$G$5000,MATCH($A427,'CONTROLE PRODUÇÃO POR EMPRESAS'!$A$6:$A$5000,0),MOD(ROW()-2,6)+1)="","",IFERROR(1*INDEX('CONTROLE PRODUÇÃO POR EMPRESAS'!$B$6:$G$5000,MATCH($A427,'CONTROLE PRODUÇÃO POR EMPRESAS'!$A$6:$A$5000,0),MOD(ROW()-2,6)+1),"")),"")</f>
        <v/>
      </c>
      <c r="I427" s="159">
        <f>IF(OR(NOT(ISNUMBER(G427)),NOT(ISNUMBER(H427))),"",H427-G427)</f>
        <v/>
      </c>
      <c r="J427" s="319">
        <f>IF(OR(NOT(ISNUMBER(G427)),NOT(ISNUMBER(H427)),G427=0),"",I427/G427)</f>
        <v/>
      </c>
      <c r="K427" s="319">
        <f>IF(OR(NOT(ISNUMBER(G427)),NOT(ISNUMBER(H427)),G427=0),"",H427/G427)</f>
        <v/>
      </c>
      <c r="L427">
        <f>IF(NOT(ISNUMBER(G427)),"SEM META",IF(G427=0,"SEM META",IF(NOT(ISNUMBER(H427)),"SEM APONTAMENTO",IF(H427&gt;=G427,"VERDE",IF(H427&gt;=G427*0.9,"AMARELO","VERMELHO")))))</f>
        <v/>
      </c>
      <c r="M427" s="162" t="n"/>
      <c r="N427" s="162" t="n"/>
      <c r="O427" s="162" t="n"/>
      <c r="P427" s="162" t="n"/>
      <c r="Q427" s="320" t="n"/>
      <c r="R427" s="162" t="inlineStr">
        <is>
          <t>CONTROLE PRODUÇÃO POR EMPRESAS!G76</t>
        </is>
      </c>
    </row>
    <row r="428" ht="28.5" customHeight="1">
      <c r="A428" s="317" t="n">
        <v>46294</v>
      </c>
      <c r="B428" t="inlineStr">
        <is>
          <t>GERAL</t>
        </is>
      </c>
      <c r="C428" t="inlineStr">
        <is>
          <t>EJ</t>
        </is>
      </c>
      <c r="D428" t="inlineStr">
        <is>
          <t>PREMONTAGEM</t>
        </is>
      </c>
      <c r="F428" s="159">
        <f>IFERROR(INDEX('BASE METAS DIÁRIAS'!$N$2:$S$358,MATCH($A428,'BASE METAS DIÁRIAS'!$A$2:$A$358,0),MOD(ROW()-2,6)+1),"")</f>
        <v/>
      </c>
      <c r="G428" s="159">
        <f>IFERROR(IF(WEEKDAY($A428,2)&lt;=INDEX('BASE METAS DIÁRIAS'!$H$2:$M$358,MATCH($A428,'BASE METAS DIÁRIAS'!$A$2:$A$358,0),MOD(ROW()-2,6)+1),INDEX('BASE METAS DIÁRIAS'!$B$2:$G$358,MATCH($A428,'BASE METAS DIÁRIAS'!$A$2:$A$358,0),MOD(ROW()-2,6)+1),""),"")</f>
        <v/>
      </c>
      <c r="H428" s="159">
        <f>IFERROR(IF(INDEX('CONTROLE PRODUÇÃO POR EMPRESAS'!$B$6:$G$5000,MATCH($A428,'CONTROLE PRODUÇÃO POR EMPRESAS'!$A$6:$A$5000,0),MOD(ROW()-2,6)+1)="","",IFERROR(1*INDEX('CONTROLE PRODUÇÃO POR EMPRESAS'!$B$6:$G$5000,MATCH($A428,'CONTROLE PRODUÇÃO POR EMPRESAS'!$A$6:$A$5000,0),MOD(ROW()-2,6)+1),"")),"")</f>
        <v/>
      </c>
      <c r="I428" s="159">
        <f>IF(OR(NOT(ISNUMBER(G428)),NOT(ISNUMBER(H428))),"",H428-G428)</f>
        <v/>
      </c>
      <c r="J428" s="319">
        <f>IF(OR(NOT(ISNUMBER(G428)),NOT(ISNUMBER(H428)),G428=0),"",I428/G428)</f>
        <v/>
      </c>
      <c r="K428" s="319">
        <f>IF(OR(NOT(ISNUMBER(G428)),NOT(ISNUMBER(H428)),G428=0),"",H428/G428)</f>
        <v/>
      </c>
      <c r="L428">
        <f>IF(NOT(ISNUMBER(G428)),"SEM META",IF(G428=0,"SEM META",IF(NOT(ISNUMBER(H428)),"SEM APONTAMENTO",IF(H428&gt;=G428,"VERDE",IF(H428&gt;=G428*0.9,"AMARELO","VERMELHO")))))</f>
        <v/>
      </c>
      <c r="M428" s="162" t="n"/>
      <c r="N428" s="162" t="n"/>
      <c r="O428" s="162" t="n"/>
      <c r="P428" s="162" t="n"/>
      <c r="Q428" s="320" t="n"/>
      <c r="R428" s="162" t="inlineStr">
        <is>
          <t>CONTROLE PRODUÇÃO POR EMPRESAS!B77</t>
        </is>
      </c>
    </row>
    <row r="429" ht="28.5" customHeight="1">
      <c r="A429" s="317" t="n">
        <v>46294</v>
      </c>
      <c r="B429" t="inlineStr">
        <is>
          <t>GERAL</t>
        </is>
      </c>
      <c r="C429" t="inlineStr">
        <is>
          <t>EJ</t>
        </is>
      </c>
      <c r="D429" t="inlineStr">
        <is>
          <t>IÇAMENTO JOIST</t>
        </is>
      </c>
      <c r="F429" s="159">
        <f>IFERROR(INDEX('BASE METAS DIÁRIAS'!$N$2:$S$358,MATCH($A429,'BASE METAS DIÁRIAS'!$A$2:$A$358,0),MOD(ROW()-2,6)+1),"")</f>
        <v/>
      </c>
      <c r="G429" s="159">
        <f>IFERROR(IF(WEEKDAY($A429,2)&lt;=INDEX('BASE METAS DIÁRIAS'!$H$2:$M$358,MATCH($A429,'BASE METAS DIÁRIAS'!$A$2:$A$358,0),MOD(ROW()-2,6)+1),INDEX('BASE METAS DIÁRIAS'!$B$2:$G$358,MATCH($A429,'BASE METAS DIÁRIAS'!$A$2:$A$358,0),MOD(ROW()-2,6)+1),""),"")</f>
        <v/>
      </c>
      <c r="H429" s="159">
        <f>IFERROR(IF(INDEX('CONTROLE PRODUÇÃO POR EMPRESAS'!$B$6:$G$5000,MATCH($A429,'CONTROLE PRODUÇÃO POR EMPRESAS'!$A$6:$A$5000,0),MOD(ROW()-2,6)+1)="","",IFERROR(1*INDEX('CONTROLE PRODUÇÃO POR EMPRESAS'!$B$6:$G$5000,MATCH($A429,'CONTROLE PRODUÇÃO POR EMPRESAS'!$A$6:$A$5000,0),MOD(ROW()-2,6)+1),"")),"")</f>
        <v/>
      </c>
      <c r="I429" s="159">
        <f>IF(OR(NOT(ISNUMBER(G429)),NOT(ISNUMBER(H429))),"",H429-G429)</f>
        <v/>
      </c>
      <c r="J429" s="319">
        <f>IF(OR(NOT(ISNUMBER(G429)),NOT(ISNUMBER(H429)),G429=0),"",I429/G429)</f>
        <v/>
      </c>
      <c r="K429" s="319">
        <f>IF(OR(NOT(ISNUMBER(G429)),NOT(ISNUMBER(H429)),G429=0),"",H429/G429)</f>
        <v/>
      </c>
      <c r="L429">
        <f>IF(NOT(ISNUMBER(G429)),"SEM META",IF(G429=0,"SEM META",IF(NOT(ISNUMBER(H429)),"SEM APONTAMENTO",IF(H429&gt;=G429,"VERDE",IF(H429&gt;=G429*0.9,"AMARELO","VERMELHO")))))</f>
        <v/>
      </c>
      <c r="M429" s="162" t="n"/>
      <c r="N429" s="162" t="n"/>
      <c r="O429" s="162" t="n"/>
      <c r="P429" s="162" t="n"/>
      <c r="Q429" s="320" t="n"/>
      <c r="R429" s="162" t="inlineStr">
        <is>
          <t>CONTROLE PRODUÇÃO POR EMPRESAS!C77</t>
        </is>
      </c>
    </row>
    <row r="430" ht="28.5" customHeight="1">
      <c r="A430" s="317" t="n">
        <v>46294</v>
      </c>
      <c r="B430" t="inlineStr">
        <is>
          <t>GERAL</t>
        </is>
      </c>
      <c r="C430" t="inlineStr">
        <is>
          <t>EJ</t>
        </is>
      </c>
      <c r="D430" t="inlineStr">
        <is>
          <t>VIGAS</t>
        </is>
      </c>
      <c r="F430" s="159">
        <f>IFERROR(INDEX('BASE METAS DIÁRIAS'!$N$2:$S$358,MATCH($A430,'BASE METAS DIÁRIAS'!$A$2:$A$358,0),MOD(ROW()-2,6)+1),"")</f>
        <v/>
      </c>
      <c r="G430" s="159">
        <f>IFERROR(IF(WEEKDAY($A430,2)&lt;=INDEX('BASE METAS DIÁRIAS'!$H$2:$M$358,MATCH($A430,'BASE METAS DIÁRIAS'!$A$2:$A$358,0),MOD(ROW()-2,6)+1),INDEX('BASE METAS DIÁRIAS'!$B$2:$G$358,MATCH($A430,'BASE METAS DIÁRIAS'!$A$2:$A$358,0),MOD(ROW()-2,6)+1),""),"")</f>
        <v/>
      </c>
      <c r="H430" s="159">
        <f>IFERROR(IF(INDEX('CONTROLE PRODUÇÃO POR EMPRESAS'!$B$6:$G$5000,MATCH($A430,'CONTROLE PRODUÇÃO POR EMPRESAS'!$A$6:$A$5000,0),MOD(ROW()-2,6)+1)="","",IFERROR(1*INDEX('CONTROLE PRODUÇÃO POR EMPRESAS'!$B$6:$G$5000,MATCH($A430,'CONTROLE PRODUÇÃO POR EMPRESAS'!$A$6:$A$5000,0),MOD(ROW()-2,6)+1),"")),"")</f>
        <v/>
      </c>
      <c r="I430" s="159">
        <f>IF(OR(NOT(ISNUMBER(G430)),NOT(ISNUMBER(H430))),"",H430-G430)</f>
        <v/>
      </c>
      <c r="J430" s="319">
        <f>IF(OR(NOT(ISNUMBER(G430)),NOT(ISNUMBER(H430)),G430=0),"",I430/G430)</f>
        <v/>
      </c>
      <c r="K430" s="319">
        <f>IF(OR(NOT(ISNUMBER(G430)),NOT(ISNUMBER(H430)),G430=0),"",H430/G430)</f>
        <v/>
      </c>
      <c r="L430">
        <f>IF(NOT(ISNUMBER(G430)),"SEM META",IF(G430=0,"SEM META",IF(NOT(ISNUMBER(H430)),"SEM APONTAMENTO",IF(H430&gt;=G430,"VERDE",IF(H430&gt;=G430*0.9,"AMARELO","VERMELHO")))))</f>
        <v/>
      </c>
      <c r="M430" s="162" t="n"/>
      <c r="N430" s="162" t="n"/>
      <c r="O430" s="162" t="n"/>
      <c r="P430" s="162" t="n"/>
      <c r="Q430" s="320" t="n"/>
      <c r="R430" s="162" t="inlineStr">
        <is>
          <t>CONTROLE PRODUÇÃO POR EMPRESAS!D77</t>
        </is>
      </c>
    </row>
    <row r="431" ht="28.5" customHeight="1">
      <c r="A431" s="317" t="n">
        <v>46294</v>
      </c>
      <c r="B431" t="inlineStr">
        <is>
          <t>GERAL</t>
        </is>
      </c>
      <c r="C431" t="inlineStr">
        <is>
          <t>CMM</t>
        </is>
      </c>
      <c r="D431" t="inlineStr">
        <is>
          <t>PREMONTAGEM</t>
        </is>
      </c>
      <c r="F431" s="159">
        <f>IFERROR(INDEX('BASE METAS DIÁRIAS'!$N$2:$S$358,MATCH($A431,'BASE METAS DIÁRIAS'!$A$2:$A$358,0),MOD(ROW()-2,6)+1),"")</f>
        <v/>
      </c>
      <c r="G431" s="159">
        <f>IFERROR(IF(WEEKDAY($A431,2)&lt;=INDEX('BASE METAS DIÁRIAS'!$H$2:$M$358,MATCH($A431,'BASE METAS DIÁRIAS'!$A$2:$A$358,0),MOD(ROW()-2,6)+1),INDEX('BASE METAS DIÁRIAS'!$B$2:$G$358,MATCH($A431,'BASE METAS DIÁRIAS'!$A$2:$A$358,0),MOD(ROW()-2,6)+1),""),"")</f>
        <v/>
      </c>
      <c r="H431" s="159">
        <f>IFERROR(IF(INDEX('CONTROLE PRODUÇÃO POR EMPRESAS'!$B$6:$G$5000,MATCH($A431,'CONTROLE PRODUÇÃO POR EMPRESAS'!$A$6:$A$5000,0),MOD(ROW()-2,6)+1)="","",IFERROR(1*INDEX('CONTROLE PRODUÇÃO POR EMPRESAS'!$B$6:$G$5000,MATCH($A431,'CONTROLE PRODUÇÃO POR EMPRESAS'!$A$6:$A$5000,0),MOD(ROW()-2,6)+1),"")),"")</f>
        <v/>
      </c>
      <c r="I431" s="159">
        <f>IF(OR(NOT(ISNUMBER(G431)),NOT(ISNUMBER(H431))),"",H431-G431)</f>
        <v/>
      </c>
      <c r="J431" s="319">
        <f>IF(OR(NOT(ISNUMBER(G431)),NOT(ISNUMBER(H431)),G431=0),"",I431/G431)</f>
        <v/>
      </c>
      <c r="K431" s="319">
        <f>IF(OR(NOT(ISNUMBER(G431)),NOT(ISNUMBER(H431)),G431=0),"",H431/G431)</f>
        <v/>
      </c>
      <c r="L431">
        <f>IF(NOT(ISNUMBER(G431)),"SEM META",IF(G431=0,"SEM META",IF(NOT(ISNUMBER(H431)),"SEM APONTAMENTO",IF(H431&gt;=G431,"VERDE",IF(H431&gt;=G431*0.9,"AMARELO","VERMELHO")))))</f>
        <v/>
      </c>
      <c r="M431" s="162" t="n"/>
      <c r="N431" s="162" t="n"/>
      <c r="O431" s="162" t="n"/>
      <c r="P431" s="162" t="n"/>
      <c r="Q431" s="320" t="n"/>
      <c r="R431" s="162" t="inlineStr">
        <is>
          <t>CONTROLE PRODUÇÃO POR EMPRESAS!E77</t>
        </is>
      </c>
    </row>
    <row r="432" ht="28.5" customHeight="1">
      <c r="A432" s="317" t="n">
        <v>46294</v>
      </c>
      <c r="B432" t="inlineStr">
        <is>
          <t>GERAL</t>
        </is>
      </c>
      <c r="C432" t="inlineStr">
        <is>
          <t>CMM</t>
        </is>
      </c>
      <c r="D432" t="inlineStr">
        <is>
          <t>IÇAMENTO JOIST</t>
        </is>
      </c>
      <c r="F432" s="159">
        <f>IFERROR(INDEX('BASE METAS DIÁRIAS'!$N$2:$S$358,MATCH($A432,'BASE METAS DIÁRIAS'!$A$2:$A$358,0),MOD(ROW()-2,6)+1),"")</f>
        <v/>
      </c>
      <c r="G432" s="159">
        <f>IFERROR(IF(WEEKDAY($A432,2)&lt;=INDEX('BASE METAS DIÁRIAS'!$H$2:$M$358,MATCH($A432,'BASE METAS DIÁRIAS'!$A$2:$A$358,0),MOD(ROW()-2,6)+1),INDEX('BASE METAS DIÁRIAS'!$B$2:$G$358,MATCH($A432,'BASE METAS DIÁRIAS'!$A$2:$A$358,0),MOD(ROW()-2,6)+1),""),"")</f>
        <v/>
      </c>
      <c r="H432" s="159">
        <f>IFERROR(IF(INDEX('CONTROLE PRODUÇÃO POR EMPRESAS'!$B$6:$G$5000,MATCH($A432,'CONTROLE PRODUÇÃO POR EMPRESAS'!$A$6:$A$5000,0),MOD(ROW()-2,6)+1)="","",IFERROR(1*INDEX('CONTROLE PRODUÇÃO POR EMPRESAS'!$B$6:$G$5000,MATCH($A432,'CONTROLE PRODUÇÃO POR EMPRESAS'!$A$6:$A$5000,0),MOD(ROW()-2,6)+1),"")),"")</f>
        <v/>
      </c>
      <c r="I432" s="159">
        <f>IF(OR(NOT(ISNUMBER(G432)),NOT(ISNUMBER(H432))),"",H432-G432)</f>
        <v/>
      </c>
      <c r="J432" s="319">
        <f>IF(OR(NOT(ISNUMBER(G432)),NOT(ISNUMBER(H432)),G432=0),"",I432/G432)</f>
        <v/>
      </c>
      <c r="K432" s="319">
        <f>IF(OR(NOT(ISNUMBER(G432)),NOT(ISNUMBER(H432)),G432=0),"",H432/G432)</f>
        <v/>
      </c>
      <c r="L432">
        <f>IF(NOT(ISNUMBER(G432)),"SEM META",IF(G432=0,"SEM META",IF(NOT(ISNUMBER(H432)),"SEM APONTAMENTO",IF(H432&gt;=G432,"VERDE",IF(H432&gt;=G432*0.9,"AMARELO","VERMELHO")))))</f>
        <v/>
      </c>
      <c r="M432" s="162" t="n"/>
      <c r="N432" s="162" t="n"/>
      <c r="O432" s="162" t="n"/>
      <c r="P432" s="162" t="n"/>
      <c r="Q432" s="320" t="n"/>
      <c r="R432" s="162" t="inlineStr">
        <is>
          <t>CONTROLE PRODUÇÃO POR EMPRESAS!F77</t>
        </is>
      </c>
    </row>
    <row r="433" ht="28.5" customHeight="1">
      <c r="A433" s="317" t="n">
        <v>46294</v>
      </c>
      <c r="B433" t="inlineStr">
        <is>
          <t>GERAL</t>
        </is>
      </c>
      <c r="C433" t="inlineStr">
        <is>
          <t>CMM</t>
        </is>
      </c>
      <c r="D433" t="inlineStr">
        <is>
          <t>VIGAS</t>
        </is>
      </c>
      <c r="F433" s="159">
        <f>IFERROR(INDEX('BASE METAS DIÁRIAS'!$N$2:$S$358,MATCH($A433,'BASE METAS DIÁRIAS'!$A$2:$A$358,0),MOD(ROW()-2,6)+1),"")</f>
        <v/>
      </c>
      <c r="G433" s="159">
        <f>IFERROR(IF(WEEKDAY($A433,2)&lt;=INDEX('BASE METAS DIÁRIAS'!$H$2:$M$358,MATCH($A433,'BASE METAS DIÁRIAS'!$A$2:$A$358,0),MOD(ROW()-2,6)+1),INDEX('BASE METAS DIÁRIAS'!$B$2:$G$358,MATCH($A433,'BASE METAS DIÁRIAS'!$A$2:$A$358,0),MOD(ROW()-2,6)+1),""),"")</f>
        <v/>
      </c>
      <c r="H433" s="159">
        <f>IFERROR(IF(INDEX('CONTROLE PRODUÇÃO POR EMPRESAS'!$B$6:$G$5000,MATCH($A433,'CONTROLE PRODUÇÃO POR EMPRESAS'!$A$6:$A$5000,0),MOD(ROW()-2,6)+1)="","",IFERROR(1*INDEX('CONTROLE PRODUÇÃO POR EMPRESAS'!$B$6:$G$5000,MATCH($A433,'CONTROLE PRODUÇÃO POR EMPRESAS'!$A$6:$A$5000,0),MOD(ROW()-2,6)+1),"")),"")</f>
        <v/>
      </c>
      <c r="I433" s="159">
        <f>IF(OR(NOT(ISNUMBER(G433)),NOT(ISNUMBER(H433))),"",H433-G433)</f>
        <v/>
      </c>
      <c r="J433" s="319">
        <f>IF(OR(NOT(ISNUMBER(G433)),NOT(ISNUMBER(H433)),G433=0),"",I433/G433)</f>
        <v/>
      </c>
      <c r="K433" s="319">
        <f>IF(OR(NOT(ISNUMBER(G433)),NOT(ISNUMBER(H433)),G433=0),"",H433/G433)</f>
        <v/>
      </c>
      <c r="L433">
        <f>IF(NOT(ISNUMBER(G433)),"SEM META",IF(G433=0,"SEM META",IF(NOT(ISNUMBER(H433)),"SEM APONTAMENTO",IF(H433&gt;=G433,"VERDE",IF(H433&gt;=G433*0.9,"AMARELO","VERMELHO")))))</f>
        <v/>
      </c>
      <c r="M433" s="162" t="n"/>
      <c r="N433" s="162" t="n"/>
      <c r="O433" s="162" t="n"/>
      <c r="P433" s="162" t="n"/>
      <c r="Q433" s="320" t="n"/>
      <c r="R433" s="162" t="inlineStr">
        <is>
          <t>CONTROLE PRODUÇÃO POR EMPRESAS!G77</t>
        </is>
      </c>
    </row>
    <row r="434" ht="28.5" customHeight="1">
      <c r="A434" s="317" t="n">
        <v>46295</v>
      </c>
      <c r="B434" t="inlineStr">
        <is>
          <t>GERAL</t>
        </is>
      </c>
      <c r="C434" t="inlineStr">
        <is>
          <t>EJ</t>
        </is>
      </c>
      <c r="D434" t="inlineStr">
        <is>
          <t>PREMONTAGEM</t>
        </is>
      </c>
      <c r="F434" s="159">
        <f>IFERROR(INDEX('BASE METAS DIÁRIAS'!$N$2:$S$358,MATCH($A434,'BASE METAS DIÁRIAS'!$A$2:$A$358,0),MOD(ROW()-2,6)+1),"")</f>
        <v/>
      </c>
      <c r="G434" s="159">
        <f>IFERROR(IF(WEEKDAY($A434,2)&lt;=INDEX('BASE METAS DIÁRIAS'!$H$2:$M$358,MATCH($A434,'BASE METAS DIÁRIAS'!$A$2:$A$358,0),MOD(ROW()-2,6)+1),INDEX('BASE METAS DIÁRIAS'!$B$2:$G$358,MATCH($A434,'BASE METAS DIÁRIAS'!$A$2:$A$358,0),MOD(ROW()-2,6)+1),""),"")</f>
        <v/>
      </c>
      <c r="H434" s="159">
        <f>IFERROR(IF(INDEX('CONTROLE PRODUÇÃO POR EMPRESAS'!$B$6:$G$5000,MATCH($A434,'CONTROLE PRODUÇÃO POR EMPRESAS'!$A$6:$A$5000,0),MOD(ROW()-2,6)+1)="","",IFERROR(1*INDEX('CONTROLE PRODUÇÃO POR EMPRESAS'!$B$6:$G$5000,MATCH($A434,'CONTROLE PRODUÇÃO POR EMPRESAS'!$A$6:$A$5000,0),MOD(ROW()-2,6)+1),"")),"")</f>
        <v/>
      </c>
      <c r="I434" s="159">
        <f>IF(OR(NOT(ISNUMBER(G434)),NOT(ISNUMBER(H434))),"",H434-G434)</f>
        <v/>
      </c>
      <c r="J434" s="319">
        <f>IF(OR(NOT(ISNUMBER(G434)),NOT(ISNUMBER(H434)),G434=0),"",I434/G434)</f>
        <v/>
      </c>
      <c r="K434" s="319">
        <f>IF(OR(NOT(ISNUMBER(G434)),NOT(ISNUMBER(H434)),G434=0),"",H434/G434)</f>
        <v/>
      </c>
      <c r="L434">
        <f>IF(NOT(ISNUMBER(G434)),"SEM META",IF(G434=0,"SEM META",IF(NOT(ISNUMBER(H434)),"SEM APONTAMENTO",IF(H434&gt;=G434,"VERDE",IF(H434&gt;=G434*0.9,"AMARELO","VERMELHO")))))</f>
        <v/>
      </c>
      <c r="M434" s="162" t="n"/>
      <c r="N434" s="162" t="n"/>
      <c r="O434" s="162" t="n"/>
      <c r="P434" s="162" t="n"/>
      <c r="Q434" s="320" t="n"/>
      <c r="R434" s="162" t="inlineStr">
        <is>
          <t>CONTROLE PRODUÇÃO POR EMPRESAS!B78</t>
        </is>
      </c>
    </row>
    <row r="435" ht="28.5" customHeight="1">
      <c r="A435" s="317" t="n">
        <v>46295</v>
      </c>
      <c r="B435" t="inlineStr">
        <is>
          <t>GERAL</t>
        </is>
      </c>
      <c r="C435" t="inlineStr">
        <is>
          <t>EJ</t>
        </is>
      </c>
      <c r="D435" t="inlineStr">
        <is>
          <t>IÇAMENTO JOIST</t>
        </is>
      </c>
      <c r="F435" s="159">
        <f>IFERROR(INDEX('BASE METAS DIÁRIAS'!$N$2:$S$358,MATCH($A435,'BASE METAS DIÁRIAS'!$A$2:$A$358,0),MOD(ROW()-2,6)+1),"")</f>
        <v/>
      </c>
      <c r="G435" s="159">
        <f>IFERROR(IF(WEEKDAY($A435,2)&lt;=INDEX('BASE METAS DIÁRIAS'!$H$2:$M$358,MATCH($A435,'BASE METAS DIÁRIAS'!$A$2:$A$358,0),MOD(ROW()-2,6)+1),INDEX('BASE METAS DIÁRIAS'!$B$2:$G$358,MATCH($A435,'BASE METAS DIÁRIAS'!$A$2:$A$358,0),MOD(ROW()-2,6)+1),""),"")</f>
        <v/>
      </c>
      <c r="H435" s="159">
        <f>IFERROR(IF(INDEX('CONTROLE PRODUÇÃO POR EMPRESAS'!$B$6:$G$5000,MATCH($A435,'CONTROLE PRODUÇÃO POR EMPRESAS'!$A$6:$A$5000,0),MOD(ROW()-2,6)+1)="","",IFERROR(1*INDEX('CONTROLE PRODUÇÃO POR EMPRESAS'!$B$6:$G$5000,MATCH($A435,'CONTROLE PRODUÇÃO POR EMPRESAS'!$A$6:$A$5000,0),MOD(ROW()-2,6)+1),"")),"")</f>
        <v/>
      </c>
      <c r="I435" s="159">
        <f>IF(OR(NOT(ISNUMBER(G435)),NOT(ISNUMBER(H435))),"",H435-G435)</f>
        <v/>
      </c>
      <c r="J435" s="319">
        <f>IF(OR(NOT(ISNUMBER(G435)),NOT(ISNUMBER(H435)),G435=0),"",I435/G435)</f>
        <v/>
      </c>
      <c r="K435" s="319">
        <f>IF(OR(NOT(ISNUMBER(G435)),NOT(ISNUMBER(H435)),G435=0),"",H435/G435)</f>
        <v/>
      </c>
      <c r="L435">
        <f>IF(NOT(ISNUMBER(G435)),"SEM META",IF(G435=0,"SEM META",IF(NOT(ISNUMBER(H435)),"SEM APONTAMENTO",IF(H435&gt;=G435,"VERDE",IF(H435&gt;=G435*0.9,"AMARELO","VERMELHO")))))</f>
        <v/>
      </c>
      <c r="M435" s="162" t="n"/>
      <c r="N435" s="162" t="n"/>
      <c r="O435" s="162" t="n"/>
      <c r="P435" s="162" t="n"/>
      <c r="Q435" s="320" t="n"/>
      <c r="R435" s="162" t="inlineStr">
        <is>
          <t>CONTROLE PRODUÇÃO POR EMPRESAS!C78</t>
        </is>
      </c>
    </row>
    <row r="436" ht="28.5" customHeight="1">
      <c r="A436" s="317" t="n">
        <v>46295</v>
      </c>
      <c r="B436" t="inlineStr">
        <is>
          <t>GERAL</t>
        </is>
      </c>
      <c r="C436" t="inlineStr">
        <is>
          <t>EJ</t>
        </is>
      </c>
      <c r="D436" t="inlineStr">
        <is>
          <t>VIGAS</t>
        </is>
      </c>
      <c r="F436" s="159">
        <f>IFERROR(INDEX('BASE METAS DIÁRIAS'!$N$2:$S$358,MATCH($A436,'BASE METAS DIÁRIAS'!$A$2:$A$358,0),MOD(ROW()-2,6)+1),"")</f>
        <v/>
      </c>
      <c r="G436" s="159">
        <f>IFERROR(IF(WEEKDAY($A436,2)&lt;=INDEX('BASE METAS DIÁRIAS'!$H$2:$M$358,MATCH($A436,'BASE METAS DIÁRIAS'!$A$2:$A$358,0),MOD(ROW()-2,6)+1),INDEX('BASE METAS DIÁRIAS'!$B$2:$G$358,MATCH($A436,'BASE METAS DIÁRIAS'!$A$2:$A$358,0),MOD(ROW()-2,6)+1),""),"")</f>
        <v/>
      </c>
      <c r="H436" s="159">
        <f>IFERROR(IF(INDEX('CONTROLE PRODUÇÃO POR EMPRESAS'!$B$6:$G$5000,MATCH($A436,'CONTROLE PRODUÇÃO POR EMPRESAS'!$A$6:$A$5000,0),MOD(ROW()-2,6)+1)="","",IFERROR(1*INDEX('CONTROLE PRODUÇÃO POR EMPRESAS'!$B$6:$G$5000,MATCH($A436,'CONTROLE PRODUÇÃO POR EMPRESAS'!$A$6:$A$5000,0),MOD(ROW()-2,6)+1),"")),"")</f>
        <v/>
      </c>
      <c r="I436" s="159">
        <f>IF(OR(NOT(ISNUMBER(G436)),NOT(ISNUMBER(H436))),"",H436-G436)</f>
        <v/>
      </c>
      <c r="J436" s="319">
        <f>IF(OR(NOT(ISNUMBER(G436)),NOT(ISNUMBER(H436)),G436=0),"",I436/G436)</f>
        <v/>
      </c>
      <c r="K436" s="319">
        <f>IF(OR(NOT(ISNUMBER(G436)),NOT(ISNUMBER(H436)),G436=0),"",H436/G436)</f>
        <v/>
      </c>
      <c r="L436">
        <f>IF(NOT(ISNUMBER(G436)),"SEM META",IF(G436=0,"SEM META",IF(NOT(ISNUMBER(H436)),"SEM APONTAMENTO",IF(H436&gt;=G436,"VERDE",IF(H436&gt;=G436*0.9,"AMARELO","VERMELHO")))))</f>
        <v/>
      </c>
      <c r="M436" s="162" t="n"/>
      <c r="N436" s="162" t="n"/>
      <c r="O436" s="162" t="n"/>
      <c r="P436" s="162" t="n"/>
      <c r="Q436" s="320" t="n"/>
      <c r="R436" s="162" t="inlineStr">
        <is>
          <t>CONTROLE PRODUÇÃO POR EMPRESAS!D78</t>
        </is>
      </c>
    </row>
    <row r="437" ht="28.5" customHeight="1">
      <c r="A437" s="317" t="n">
        <v>46295</v>
      </c>
      <c r="B437" t="inlineStr">
        <is>
          <t>GERAL</t>
        </is>
      </c>
      <c r="C437" t="inlineStr">
        <is>
          <t>CMM</t>
        </is>
      </c>
      <c r="D437" t="inlineStr">
        <is>
          <t>PREMONTAGEM</t>
        </is>
      </c>
      <c r="F437" s="159">
        <f>IFERROR(INDEX('BASE METAS DIÁRIAS'!$N$2:$S$358,MATCH($A437,'BASE METAS DIÁRIAS'!$A$2:$A$358,0),MOD(ROW()-2,6)+1),"")</f>
        <v/>
      </c>
      <c r="G437" s="159">
        <f>IFERROR(IF(WEEKDAY($A437,2)&lt;=INDEX('BASE METAS DIÁRIAS'!$H$2:$M$358,MATCH($A437,'BASE METAS DIÁRIAS'!$A$2:$A$358,0),MOD(ROW()-2,6)+1),INDEX('BASE METAS DIÁRIAS'!$B$2:$G$358,MATCH($A437,'BASE METAS DIÁRIAS'!$A$2:$A$358,0),MOD(ROW()-2,6)+1),""),"")</f>
        <v/>
      </c>
      <c r="H437" s="159">
        <f>IFERROR(IF(INDEX('CONTROLE PRODUÇÃO POR EMPRESAS'!$B$6:$G$5000,MATCH($A437,'CONTROLE PRODUÇÃO POR EMPRESAS'!$A$6:$A$5000,0),MOD(ROW()-2,6)+1)="","",IFERROR(1*INDEX('CONTROLE PRODUÇÃO POR EMPRESAS'!$B$6:$G$5000,MATCH($A437,'CONTROLE PRODUÇÃO POR EMPRESAS'!$A$6:$A$5000,0),MOD(ROW()-2,6)+1),"")),"")</f>
        <v/>
      </c>
      <c r="I437" s="159">
        <f>IF(OR(NOT(ISNUMBER(G437)),NOT(ISNUMBER(H437))),"",H437-G437)</f>
        <v/>
      </c>
      <c r="J437" s="319">
        <f>IF(OR(NOT(ISNUMBER(G437)),NOT(ISNUMBER(H437)),G437=0),"",I437/G437)</f>
        <v/>
      </c>
      <c r="K437" s="319">
        <f>IF(OR(NOT(ISNUMBER(G437)),NOT(ISNUMBER(H437)),G437=0),"",H437/G437)</f>
        <v/>
      </c>
      <c r="L437">
        <f>IF(NOT(ISNUMBER(G437)),"SEM META",IF(G437=0,"SEM META",IF(NOT(ISNUMBER(H437)),"SEM APONTAMENTO",IF(H437&gt;=G437,"VERDE",IF(H437&gt;=G437*0.9,"AMARELO","VERMELHO")))))</f>
        <v/>
      </c>
      <c r="M437" s="162" t="n"/>
      <c r="N437" s="162" t="n"/>
      <c r="O437" s="162" t="n"/>
      <c r="P437" s="162" t="n"/>
      <c r="Q437" s="320" t="n"/>
      <c r="R437" s="162" t="inlineStr">
        <is>
          <t>CONTROLE PRODUÇÃO POR EMPRESAS!E78</t>
        </is>
      </c>
    </row>
    <row r="438" ht="28.5" customHeight="1">
      <c r="A438" s="317" t="n">
        <v>46295</v>
      </c>
      <c r="B438" t="inlineStr">
        <is>
          <t>GERAL</t>
        </is>
      </c>
      <c r="C438" t="inlineStr">
        <is>
          <t>CMM</t>
        </is>
      </c>
      <c r="D438" t="inlineStr">
        <is>
          <t>IÇAMENTO JOIST</t>
        </is>
      </c>
      <c r="F438" s="159">
        <f>IFERROR(INDEX('BASE METAS DIÁRIAS'!$N$2:$S$358,MATCH($A438,'BASE METAS DIÁRIAS'!$A$2:$A$358,0),MOD(ROW()-2,6)+1),"")</f>
        <v/>
      </c>
      <c r="G438" s="159">
        <f>IFERROR(IF(WEEKDAY($A438,2)&lt;=INDEX('BASE METAS DIÁRIAS'!$H$2:$M$358,MATCH($A438,'BASE METAS DIÁRIAS'!$A$2:$A$358,0),MOD(ROW()-2,6)+1),INDEX('BASE METAS DIÁRIAS'!$B$2:$G$358,MATCH($A438,'BASE METAS DIÁRIAS'!$A$2:$A$358,0),MOD(ROW()-2,6)+1),""),"")</f>
        <v/>
      </c>
      <c r="H438" s="159">
        <f>IFERROR(IF(INDEX('CONTROLE PRODUÇÃO POR EMPRESAS'!$B$6:$G$5000,MATCH($A438,'CONTROLE PRODUÇÃO POR EMPRESAS'!$A$6:$A$5000,0),MOD(ROW()-2,6)+1)="","",IFERROR(1*INDEX('CONTROLE PRODUÇÃO POR EMPRESAS'!$B$6:$G$5000,MATCH($A438,'CONTROLE PRODUÇÃO POR EMPRESAS'!$A$6:$A$5000,0),MOD(ROW()-2,6)+1),"")),"")</f>
        <v/>
      </c>
      <c r="I438" s="159">
        <f>IF(OR(NOT(ISNUMBER(G438)),NOT(ISNUMBER(H438))),"",H438-G438)</f>
        <v/>
      </c>
      <c r="J438" s="319">
        <f>IF(OR(NOT(ISNUMBER(G438)),NOT(ISNUMBER(H438)),G438=0),"",I438/G438)</f>
        <v/>
      </c>
      <c r="K438" s="319">
        <f>IF(OR(NOT(ISNUMBER(G438)),NOT(ISNUMBER(H438)),G438=0),"",H438/G438)</f>
        <v/>
      </c>
      <c r="L438">
        <f>IF(NOT(ISNUMBER(G438)),"SEM META",IF(G438=0,"SEM META",IF(NOT(ISNUMBER(H438)),"SEM APONTAMENTO",IF(H438&gt;=G438,"VERDE",IF(H438&gt;=G438*0.9,"AMARELO","VERMELHO")))))</f>
        <v/>
      </c>
      <c r="M438" s="162" t="n"/>
      <c r="N438" s="162" t="n"/>
      <c r="O438" s="162" t="n"/>
      <c r="P438" s="162" t="n"/>
      <c r="Q438" s="320" t="n"/>
      <c r="R438" s="162" t="inlineStr">
        <is>
          <t>CONTROLE PRODUÇÃO POR EMPRESAS!F78</t>
        </is>
      </c>
    </row>
    <row r="439" ht="28.5" customHeight="1">
      <c r="A439" s="317" t="n">
        <v>46295</v>
      </c>
      <c r="B439" t="inlineStr">
        <is>
          <t>GERAL</t>
        </is>
      </c>
      <c r="C439" t="inlineStr">
        <is>
          <t>CMM</t>
        </is>
      </c>
      <c r="D439" t="inlineStr">
        <is>
          <t>VIGAS</t>
        </is>
      </c>
      <c r="F439" s="159">
        <f>IFERROR(INDEX('BASE METAS DIÁRIAS'!$N$2:$S$358,MATCH($A439,'BASE METAS DIÁRIAS'!$A$2:$A$358,0),MOD(ROW()-2,6)+1),"")</f>
        <v/>
      </c>
      <c r="G439" s="159">
        <f>IFERROR(IF(WEEKDAY($A439,2)&lt;=INDEX('BASE METAS DIÁRIAS'!$H$2:$M$358,MATCH($A439,'BASE METAS DIÁRIAS'!$A$2:$A$358,0),MOD(ROW()-2,6)+1),INDEX('BASE METAS DIÁRIAS'!$B$2:$G$358,MATCH($A439,'BASE METAS DIÁRIAS'!$A$2:$A$358,0),MOD(ROW()-2,6)+1),""),"")</f>
        <v/>
      </c>
      <c r="H439" s="159">
        <f>IFERROR(IF(INDEX('CONTROLE PRODUÇÃO POR EMPRESAS'!$B$6:$G$5000,MATCH($A439,'CONTROLE PRODUÇÃO POR EMPRESAS'!$A$6:$A$5000,0),MOD(ROW()-2,6)+1)="","",IFERROR(1*INDEX('CONTROLE PRODUÇÃO POR EMPRESAS'!$B$6:$G$5000,MATCH($A439,'CONTROLE PRODUÇÃO POR EMPRESAS'!$A$6:$A$5000,0),MOD(ROW()-2,6)+1),"")),"")</f>
        <v/>
      </c>
      <c r="I439" s="159">
        <f>IF(OR(NOT(ISNUMBER(G439)),NOT(ISNUMBER(H439))),"",H439-G439)</f>
        <v/>
      </c>
      <c r="J439" s="319">
        <f>IF(OR(NOT(ISNUMBER(G439)),NOT(ISNUMBER(H439)),G439=0),"",I439/G439)</f>
        <v/>
      </c>
      <c r="K439" s="319">
        <f>IF(OR(NOT(ISNUMBER(G439)),NOT(ISNUMBER(H439)),G439=0),"",H439/G439)</f>
        <v/>
      </c>
      <c r="L439">
        <f>IF(NOT(ISNUMBER(G439)),"SEM META",IF(G439=0,"SEM META",IF(NOT(ISNUMBER(H439)),"SEM APONTAMENTO",IF(H439&gt;=G439,"VERDE",IF(H439&gt;=G439*0.9,"AMARELO","VERMELHO")))))</f>
        <v/>
      </c>
      <c r="M439" s="162" t="n"/>
      <c r="N439" s="162" t="n"/>
      <c r="O439" s="162" t="n"/>
      <c r="P439" s="162" t="n"/>
      <c r="Q439" s="320" t="n"/>
      <c r="R439" s="162" t="inlineStr">
        <is>
          <t>CONTROLE PRODUÇÃO POR EMPRESAS!G78</t>
        </is>
      </c>
    </row>
    <row r="440" ht="28.5" customHeight="1">
      <c r="A440" s="317" t="n">
        <v>46296</v>
      </c>
      <c r="B440" t="inlineStr">
        <is>
          <t>GERAL</t>
        </is>
      </c>
      <c r="C440" t="inlineStr">
        <is>
          <t>EJ</t>
        </is>
      </c>
      <c r="D440" t="inlineStr">
        <is>
          <t>PREMONTAGEM</t>
        </is>
      </c>
      <c r="F440" s="159">
        <f>IFERROR(INDEX('BASE METAS DIÁRIAS'!$N$2:$S$358,MATCH($A440,'BASE METAS DIÁRIAS'!$A$2:$A$358,0),MOD(ROW()-2,6)+1),"")</f>
        <v/>
      </c>
      <c r="G440" s="159">
        <f>IFERROR(IF(WEEKDAY($A440,2)&lt;=INDEX('BASE METAS DIÁRIAS'!$H$2:$M$358,MATCH($A440,'BASE METAS DIÁRIAS'!$A$2:$A$358,0),MOD(ROW()-2,6)+1),INDEX('BASE METAS DIÁRIAS'!$B$2:$G$358,MATCH($A440,'BASE METAS DIÁRIAS'!$A$2:$A$358,0),MOD(ROW()-2,6)+1),""),"")</f>
        <v/>
      </c>
      <c r="H440" s="159">
        <f>IFERROR(IF(INDEX('CONTROLE PRODUÇÃO POR EMPRESAS'!$B$6:$G$5000,MATCH($A440,'CONTROLE PRODUÇÃO POR EMPRESAS'!$A$6:$A$5000,0),MOD(ROW()-2,6)+1)="","",IFERROR(1*INDEX('CONTROLE PRODUÇÃO POR EMPRESAS'!$B$6:$G$5000,MATCH($A440,'CONTROLE PRODUÇÃO POR EMPRESAS'!$A$6:$A$5000,0),MOD(ROW()-2,6)+1),"")),"")</f>
        <v/>
      </c>
      <c r="I440" s="159">
        <f>IF(OR(NOT(ISNUMBER(G440)),NOT(ISNUMBER(H440))),"",H440-G440)</f>
        <v/>
      </c>
      <c r="J440" s="319">
        <f>IF(OR(NOT(ISNUMBER(G440)),NOT(ISNUMBER(H440)),G440=0),"",I440/G440)</f>
        <v/>
      </c>
      <c r="K440" s="319">
        <f>IF(OR(NOT(ISNUMBER(G440)),NOT(ISNUMBER(H440)),G440=0),"",H440/G440)</f>
        <v/>
      </c>
      <c r="L440">
        <f>IF(NOT(ISNUMBER(G440)),"SEM META",IF(G440=0,"SEM META",IF(NOT(ISNUMBER(H440)),"SEM APONTAMENTO",IF(H440&gt;=G440,"VERDE",IF(H440&gt;=G440*0.9,"AMARELO","VERMELHO")))))</f>
        <v/>
      </c>
      <c r="M440" s="162" t="n"/>
      <c r="N440" s="162" t="n"/>
      <c r="O440" s="162" t="n"/>
      <c r="P440" s="162" t="n"/>
      <c r="Q440" s="320" t="n"/>
      <c r="R440" s="162" t="inlineStr">
        <is>
          <t>CONTROLE PRODUÇÃO POR EMPRESAS!B79</t>
        </is>
      </c>
    </row>
    <row r="441" ht="28.5" customHeight="1">
      <c r="A441" s="317" t="n">
        <v>46296</v>
      </c>
      <c r="B441" t="inlineStr">
        <is>
          <t>GERAL</t>
        </is>
      </c>
      <c r="C441" t="inlineStr">
        <is>
          <t>EJ</t>
        </is>
      </c>
      <c r="D441" t="inlineStr">
        <is>
          <t>IÇAMENTO JOIST</t>
        </is>
      </c>
      <c r="F441" s="159">
        <f>IFERROR(INDEX('BASE METAS DIÁRIAS'!$N$2:$S$358,MATCH($A441,'BASE METAS DIÁRIAS'!$A$2:$A$358,0),MOD(ROW()-2,6)+1),"")</f>
        <v/>
      </c>
      <c r="G441" s="159">
        <f>IFERROR(IF(WEEKDAY($A441,2)&lt;=INDEX('BASE METAS DIÁRIAS'!$H$2:$M$358,MATCH($A441,'BASE METAS DIÁRIAS'!$A$2:$A$358,0),MOD(ROW()-2,6)+1),INDEX('BASE METAS DIÁRIAS'!$B$2:$G$358,MATCH($A441,'BASE METAS DIÁRIAS'!$A$2:$A$358,0),MOD(ROW()-2,6)+1),""),"")</f>
        <v/>
      </c>
      <c r="H441" s="159">
        <f>IFERROR(IF(INDEX('CONTROLE PRODUÇÃO POR EMPRESAS'!$B$6:$G$5000,MATCH($A441,'CONTROLE PRODUÇÃO POR EMPRESAS'!$A$6:$A$5000,0),MOD(ROW()-2,6)+1)="","",IFERROR(1*INDEX('CONTROLE PRODUÇÃO POR EMPRESAS'!$B$6:$G$5000,MATCH($A441,'CONTROLE PRODUÇÃO POR EMPRESAS'!$A$6:$A$5000,0),MOD(ROW()-2,6)+1),"")),"")</f>
        <v/>
      </c>
      <c r="I441" s="159">
        <f>IF(OR(NOT(ISNUMBER(G441)),NOT(ISNUMBER(H441))),"",H441-G441)</f>
        <v/>
      </c>
      <c r="J441" s="319">
        <f>IF(OR(NOT(ISNUMBER(G441)),NOT(ISNUMBER(H441)),G441=0),"",I441/G441)</f>
        <v/>
      </c>
      <c r="K441" s="319">
        <f>IF(OR(NOT(ISNUMBER(G441)),NOT(ISNUMBER(H441)),G441=0),"",H441/G441)</f>
        <v/>
      </c>
      <c r="L441">
        <f>IF(NOT(ISNUMBER(G441)),"SEM META",IF(G441=0,"SEM META",IF(NOT(ISNUMBER(H441)),"SEM APONTAMENTO",IF(H441&gt;=G441,"VERDE",IF(H441&gt;=G441*0.9,"AMARELO","VERMELHO")))))</f>
        <v/>
      </c>
      <c r="M441" s="162" t="n"/>
      <c r="N441" s="162" t="n"/>
      <c r="O441" s="162" t="n"/>
      <c r="P441" s="162" t="n"/>
      <c r="Q441" s="320" t="n"/>
      <c r="R441" s="162" t="inlineStr">
        <is>
          <t>CONTROLE PRODUÇÃO POR EMPRESAS!C79</t>
        </is>
      </c>
    </row>
    <row r="442" ht="28.5" customHeight="1">
      <c r="A442" s="317" t="n">
        <v>46296</v>
      </c>
      <c r="B442" t="inlineStr">
        <is>
          <t>GERAL</t>
        </is>
      </c>
      <c r="C442" t="inlineStr">
        <is>
          <t>EJ</t>
        </is>
      </c>
      <c r="D442" t="inlineStr">
        <is>
          <t>VIGAS</t>
        </is>
      </c>
      <c r="F442" s="159">
        <f>IFERROR(INDEX('BASE METAS DIÁRIAS'!$N$2:$S$358,MATCH($A442,'BASE METAS DIÁRIAS'!$A$2:$A$358,0),MOD(ROW()-2,6)+1),"")</f>
        <v/>
      </c>
      <c r="G442" s="159">
        <f>IFERROR(IF(WEEKDAY($A442,2)&lt;=INDEX('BASE METAS DIÁRIAS'!$H$2:$M$358,MATCH($A442,'BASE METAS DIÁRIAS'!$A$2:$A$358,0),MOD(ROW()-2,6)+1),INDEX('BASE METAS DIÁRIAS'!$B$2:$G$358,MATCH($A442,'BASE METAS DIÁRIAS'!$A$2:$A$358,0),MOD(ROW()-2,6)+1),""),"")</f>
        <v/>
      </c>
      <c r="H442" s="159">
        <f>IFERROR(IF(INDEX('CONTROLE PRODUÇÃO POR EMPRESAS'!$B$6:$G$5000,MATCH($A442,'CONTROLE PRODUÇÃO POR EMPRESAS'!$A$6:$A$5000,0),MOD(ROW()-2,6)+1)="","",IFERROR(1*INDEX('CONTROLE PRODUÇÃO POR EMPRESAS'!$B$6:$G$5000,MATCH($A442,'CONTROLE PRODUÇÃO POR EMPRESAS'!$A$6:$A$5000,0),MOD(ROW()-2,6)+1),"")),"")</f>
        <v/>
      </c>
      <c r="I442" s="159">
        <f>IF(OR(NOT(ISNUMBER(G442)),NOT(ISNUMBER(H442))),"",H442-G442)</f>
        <v/>
      </c>
      <c r="J442" s="319">
        <f>IF(OR(NOT(ISNUMBER(G442)),NOT(ISNUMBER(H442)),G442=0),"",I442/G442)</f>
        <v/>
      </c>
      <c r="K442" s="319">
        <f>IF(OR(NOT(ISNUMBER(G442)),NOT(ISNUMBER(H442)),G442=0),"",H442/G442)</f>
        <v/>
      </c>
      <c r="L442">
        <f>IF(NOT(ISNUMBER(G442)),"SEM META",IF(G442=0,"SEM META",IF(NOT(ISNUMBER(H442)),"SEM APONTAMENTO",IF(H442&gt;=G442,"VERDE",IF(H442&gt;=G442*0.9,"AMARELO","VERMELHO")))))</f>
        <v/>
      </c>
      <c r="M442" s="162" t="n"/>
      <c r="N442" s="162" t="n"/>
      <c r="O442" s="162" t="n"/>
      <c r="P442" s="162" t="n"/>
      <c r="Q442" s="320" t="n"/>
      <c r="R442" s="162" t="inlineStr">
        <is>
          <t>CONTROLE PRODUÇÃO POR EMPRESAS!D79</t>
        </is>
      </c>
    </row>
    <row r="443" ht="28.5" customHeight="1">
      <c r="A443" s="317" t="n">
        <v>46296</v>
      </c>
      <c r="B443" t="inlineStr">
        <is>
          <t>GERAL</t>
        </is>
      </c>
      <c r="C443" t="inlineStr">
        <is>
          <t>CMM</t>
        </is>
      </c>
      <c r="D443" t="inlineStr">
        <is>
          <t>PREMONTAGEM</t>
        </is>
      </c>
      <c r="F443" s="159">
        <f>IFERROR(INDEX('BASE METAS DIÁRIAS'!$N$2:$S$358,MATCH($A443,'BASE METAS DIÁRIAS'!$A$2:$A$358,0),MOD(ROW()-2,6)+1),"")</f>
        <v/>
      </c>
      <c r="G443" s="159">
        <f>IFERROR(IF(WEEKDAY($A443,2)&lt;=INDEX('BASE METAS DIÁRIAS'!$H$2:$M$358,MATCH($A443,'BASE METAS DIÁRIAS'!$A$2:$A$358,0),MOD(ROW()-2,6)+1),INDEX('BASE METAS DIÁRIAS'!$B$2:$G$358,MATCH($A443,'BASE METAS DIÁRIAS'!$A$2:$A$358,0),MOD(ROW()-2,6)+1),""),"")</f>
        <v/>
      </c>
      <c r="H443" s="159">
        <f>IFERROR(IF(INDEX('CONTROLE PRODUÇÃO POR EMPRESAS'!$B$6:$G$5000,MATCH($A443,'CONTROLE PRODUÇÃO POR EMPRESAS'!$A$6:$A$5000,0),MOD(ROW()-2,6)+1)="","",IFERROR(1*INDEX('CONTROLE PRODUÇÃO POR EMPRESAS'!$B$6:$G$5000,MATCH($A443,'CONTROLE PRODUÇÃO POR EMPRESAS'!$A$6:$A$5000,0),MOD(ROW()-2,6)+1),"")),"")</f>
        <v/>
      </c>
      <c r="I443" s="159">
        <f>IF(OR(NOT(ISNUMBER(G443)),NOT(ISNUMBER(H443))),"",H443-G443)</f>
        <v/>
      </c>
      <c r="J443" s="319">
        <f>IF(OR(NOT(ISNUMBER(G443)),NOT(ISNUMBER(H443)),G443=0),"",I443/G443)</f>
        <v/>
      </c>
      <c r="K443" s="319">
        <f>IF(OR(NOT(ISNUMBER(G443)),NOT(ISNUMBER(H443)),G443=0),"",H443/G443)</f>
        <v/>
      </c>
      <c r="L443">
        <f>IF(NOT(ISNUMBER(G443)),"SEM META",IF(G443=0,"SEM META",IF(NOT(ISNUMBER(H443)),"SEM APONTAMENTO",IF(H443&gt;=G443,"VERDE",IF(H443&gt;=G443*0.9,"AMARELO","VERMELHO")))))</f>
        <v/>
      </c>
      <c r="M443" s="162" t="n"/>
      <c r="N443" s="162" t="n"/>
      <c r="O443" s="162" t="n"/>
      <c r="P443" s="162" t="n"/>
      <c r="Q443" s="320" t="n"/>
      <c r="R443" s="162" t="inlineStr">
        <is>
          <t>CONTROLE PRODUÇÃO POR EMPRESAS!E79</t>
        </is>
      </c>
    </row>
    <row r="444" ht="28.5" customHeight="1">
      <c r="A444" s="317" t="n">
        <v>46296</v>
      </c>
      <c r="B444" t="inlineStr">
        <is>
          <t>GERAL</t>
        </is>
      </c>
      <c r="C444" t="inlineStr">
        <is>
          <t>CMM</t>
        </is>
      </c>
      <c r="D444" t="inlineStr">
        <is>
          <t>IÇAMENTO JOIST</t>
        </is>
      </c>
      <c r="F444" s="159">
        <f>IFERROR(INDEX('BASE METAS DIÁRIAS'!$N$2:$S$358,MATCH($A444,'BASE METAS DIÁRIAS'!$A$2:$A$358,0),MOD(ROW()-2,6)+1),"")</f>
        <v/>
      </c>
      <c r="G444" s="159">
        <f>IFERROR(IF(WEEKDAY($A444,2)&lt;=INDEX('BASE METAS DIÁRIAS'!$H$2:$M$358,MATCH($A444,'BASE METAS DIÁRIAS'!$A$2:$A$358,0),MOD(ROW()-2,6)+1),INDEX('BASE METAS DIÁRIAS'!$B$2:$G$358,MATCH($A444,'BASE METAS DIÁRIAS'!$A$2:$A$358,0),MOD(ROW()-2,6)+1),""),"")</f>
        <v/>
      </c>
      <c r="H444" s="159">
        <f>IFERROR(IF(INDEX('CONTROLE PRODUÇÃO POR EMPRESAS'!$B$6:$G$5000,MATCH($A444,'CONTROLE PRODUÇÃO POR EMPRESAS'!$A$6:$A$5000,0),MOD(ROW()-2,6)+1)="","",IFERROR(1*INDEX('CONTROLE PRODUÇÃO POR EMPRESAS'!$B$6:$G$5000,MATCH($A444,'CONTROLE PRODUÇÃO POR EMPRESAS'!$A$6:$A$5000,0),MOD(ROW()-2,6)+1),"")),"")</f>
        <v/>
      </c>
      <c r="I444" s="159">
        <f>IF(OR(NOT(ISNUMBER(G444)),NOT(ISNUMBER(H444))),"",H444-G444)</f>
        <v/>
      </c>
      <c r="J444" s="319">
        <f>IF(OR(NOT(ISNUMBER(G444)),NOT(ISNUMBER(H444)),G444=0),"",I444/G444)</f>
        <v/>
      </c>
      <c r="K444" s="319">
        <f>IF(OR(NOT(ISNUMBER(G444)),NOT(ISNUMBER(H444)),G444=0),"",H444/G444)</f>
        <v/>
      </c>
      <c r="L444">
        <f>IF(NOT(ISNUMBER(G444)),"SEM META",IF(G444=0,"SEM META",IF(NOT(ISNUMBER(H444)),"SEM APONTAMENTO",IF(H444&gt;=G444,"VERDE",IF(H444&gt;=G444*0.9,"AMARELO","VERMELHO")))))</f>
        <v/>
      </c>
      <c r="M444" s="162" t="n"/>
      <c r="N444" s="162" t="n"/>
      <c r="O444" s="162" t="n"/>
      <c r="P444" s="162" t="n"/>
      <c r="Q444" s="320" t="n"/>
      <c r="R444" s="162" t="inlineStr">
        <is>
          <t>CONTROLE PRODUÇÃO POR EMPRESAS!F79</t>
        </is>
      </c>
    </row>
    <row r="445" ht="28.5" customHeight="1">
      <c r="A445" s="317" t="n">
        <v>46296</v>
      </c>
      <c r="B445" t="inlineStr">
        <is>
          <t>GERAL</t>
        </is>
      </c>
      <c r="C445" t="inlineStr">
        <is>
          <t>CMM</t>
        </is>
      </c>
      <c r="D445" t="inlineStr">
        <is>
          <t>VIGAS</t>
        </is>
      </c>
      <c r="F445" s="159">
        <f>IFERROR(INDEX('BASE METAS DIÁRIAS'!$N$2:$S$358,MATCH($A445,'BASE METAS DIÁRIAS'!$A$2:$A$358,0),MOD(ROW()-2,6)+1),"")</f>
        <v/>
      </c>
      <c r="G445" s="159">
        <f>IFERROR(IF(WEEKDAY($A445,2)&lt;=INDEX('BASE METAS DIÁRIAS'!$H$2:$M$358,MATCH($A445,'BASE METAS DIÁRIAS'!$A$2:$A$358,0),MOD(ROW()-2,6)+1),INDEX('BASE METAS DIÁRIAS'!$B$2:$G$358,MATCH($A445,'BASE METAS DIÁRIAS'!$A$2:$A$358,0),MOD(ROW()-2,6)+1),""),"")</f>
        <v/>
      </c>
      <c r="H445" s="159">
        <f>IFERROR(IF(INDEX('CONTROLE PRODUÇÃO POR EMPRESAS'!$B$6:$G$5000,MATCH($A445,'CONTROLE PRODUÇÃO POR EMPRESAS'!$A$6:$A$5000,0),MOD(ROW()-2,6)+1)="","",IFERROR(1*INDEX('CONTROLE PRODUÇÃO POR EMPRESAS'!$B$6:$G$5000,MATCH($A445,'CONTROLE PRODUÇÃO POR EMPRESAS'!$A$6:$A$5000,0),MOD(ROW()-2,6)+1),"")),"")</f>
        <v/>
      </c>
      <c r="I445" s="159">
        <f>IF(OR(NOT(ISNUMBER(G445)),NOT(ISNUMBER(H445))),"",H445-G445)</f>
        <v/>
      </c>
      <c r="J445" s="319">
        <f>IF(OR(NOT(ISNUMBER(G445)),NOT(ISNUMBER(H445)),G445=0),"",I445/G445)</f>
        <v/>
      </c>
      <c r="K445" s="319">
        <f>IF(OR(NOT(ISNUMBER(G445)),NOT(ISNUMBER(H445)),G445=0),"",H445/G445)</f>
        <v/>
      </c>
      <c r="L445">
        <f>IF(NOT(ISNUMBER(G445)),"SEM META",IF(G445=0,"SEM META",IF(NOT(ISNUMBER(H445)),"SEM APONTAMENTO",IF(H445&gt;=G445,"VERDE",IF(H445&gt;=G445*0.9,"AMARELO","VERMELHO")))))</f>
        <v/>
      </c>
      <c r="M445" s="162" t="n"/>
      <c r="N445" s="162" t="n"/>
      <c r="O445" s="162" t="n"/>
      <c r="P445" s="162" t="n"/>
      <c r="Q445" s="320" t="n"/>
      <c r="R445" s="162" t="inlineStr">
        <is>
          <t>CONTROLE PRODUÇÃO POR EMPRESAS!G79</t>
        </is>
      </c>
    </row>
    <row r="446" ht="28.5" customHeight="1">
      <c r="A446" s="317" t="n">
        <v>46297</v>
      </c>
      <c r="B446" t="inlineStr">
        <is>
          <t>GERAL</t>
        </is>
      </c>
      <c r="C446" t="inlineStr">
        <is>
          <t>EJ</t>
        </is>
      </c>
      <c r="D446" t="inlineStr">
        <is>
          <t>PREMONTAGEM</t>
        </is>
      </c>
      <c r="F446" s="159">
        <f>IFERROR(INDEX('BASE METAS DIÁRIAS'!$N$2:$S$358,MATCH($A446,'BASE METAS DIÁRIAS'!$A$2:$A$358,0),MOD(ROW()-2,6)+1),"")</f>
        <v/>
      </c>
      <c r="G446" s="159">
        <f>IFERROR(IF(WEEKDAY($A446,2)&lt;=INDEX('BASE METAS DIÁRIAS'!$H$2:$M$358,MATCH($A446,'BASE METAS DIÁRIAS'!$A$2:$A$358,0),MOD(ROW()-2,6)+1),INDEX('BASE METAS DIÁRIAS'!$B$2:$G$358,MATCH($A446,'BASE METAS DIÁRIAS'!$A$2:$A$358,0),MOD(ROW()-2,6)+1),""),"")</f>
        <v/>
      </c>
      <c r="H446" s="159">
        <f>IFERROR(IF(INDEX('CONTROLE PRODUÇÃO POR EMPRESAS'!$B$6:$G$5000,MATCH($A446,'CONTROLE PRODUÇÃO POR EMPRESAS'!$A$6:$A$5000,0),MOD(ROW()-2,6)+1)="","",IFERROR(1*INDEX('CONTROLE PRODUÇÃO POR EMPRESAS'!$B$6:$G$5000,MATCH($A446,'CONTROLE PRODUÇÃO POR EMPRESAS'!$A$6:$A$5000,0),MOD(ROW()-2,6)+1),"")),"")</f>
        <v/>
      </c>
      <c r="I446" s="159">
        <f>IF(OR(NOT(ISNUMBER(G446)),NOT(ISNUMBER(H446))),"",H446-G446)</f>
        <v/>
      </c>
      <c r="J446" s="319">
        <f>IF(OR(NOT(ISNUMBER(G446)),NOT(ISNUMBER(H446)),G446=0),"",I446/G446)</f>
        <v/>
      </c>
      <c r="K446" s="319">
        <f>IF(OR(NOT(ISNUMBER(G446)),NOT(ISNUMBER(H446)),G446=0),"",H446/G446)</f>
        <v/>
      </c>
      <c r="L446">
        <f>IF(NOT(ISNUMBER(G446)),"SEM META",IF(G446=0,"SEM META",IF(NOT(ISNUMBER(H446)),"SEM APONTAMENTO",IF(H446&gt;=G446,"VERDE",IF(H446&gt;=G446*0.9,"AMARELO","VERMELHO")))))</f>
        <v/>
      </c>
      <c r="M446" s="162" t="n"/>
      <c r="N446" s="162" t="n"/>
      <c r="O446" s="162" t="n"/>
      <c r="P446" s="162" t="n"/>
      <c r="Q446" s="320" t="n"/>
      <c r="R446" s="162" t="inlineStr">
        <is>
          <t>CONTROLE PRODUÇÃO POR EMPRESAS!B80</t>
        </is>
      </c>
    </row>
    <row r="447" ht="28.5" customHeight="1">
      <c r="A447" s="317" t="n">
        <v>46297</v>
      </c>
      <c r="B447" t="inlineStr">
        <is>
          <t>GERAL</t>
        </is>
      </c>
      <c r="C447" t="inlineStr">
        <is>
          <t>EJ</t>
        </is>
      </c>
      <c r="D447" t="inlineStr">
        <is>
          <t>IÇAMENTO JOIST</t>
        </is>
      </c>
      <c r="F447" s="159">
        <f>IFERROR(INDEX('BASE METAS DIÁRIAS'!$N$2:$S$358,MATCH($A447,'BASE METAS DIÁRIAS'!$A$2:$A$358,0),MOD(ROW()-2,6)+1),"")</f>
        <v/>
      </c>
      <c r="G447" s="159">
        <f>IFERROR(IF(WEEKDAY($A447,2)&lt;=INDEX('BASE METAS DIÁRIAS'!$H$2:$M$358,MATCH($A447,'BASE METAS DIÁRIAS'!$A$2:$A$358,0),MOD(ROW()-2,6)+1),INDEX('BASE METAS DIÁRIAS'!$B$2:$G$358,MATCH($A447,'BASE METAS DIÁRIAS'!$A$2:$A$358,0),MOD(ROW()-2,6)+1),""),"")</f>
        <v/>
      </c>
      <c r="H447" s="159">
        <f>IFERROR(IF(INDEX('CONTROLE PRODUÇÃO POR EMPRESAS'!$B$6:$G$5000,MATCH($A447,'CONTROLE PRODUÇÃO POR EMPRESAS'!$A$6:$A$5000,0),MOD(ROW()-2,6)+1)="","",IFERROR(1*INDEX('CONTROLE PRODUÇÃO POR EMPRESAS'!$B$6:$G$5000,MATCH($A447,'CONTROLE PRODUÇÃO POR EMPRESAS'!$A$6:$A$5000,0),MOD(ROW()-2,6)+1),"")),"")</f>
        <v/>
      </c>
      <c r="I447" s="159">
        <f>IF(OR(NOT(ISNUMBER(G447)),NOT(ISNUMBER(H447))),"",H447-G447)</f>
        <v/>
      </c>
      <c r="J447" s="319">
        <f>IF(OR(NOT(ISNUMBER(G447)),NOT(ISNUMBER(H447)),G447=0),"",I447/G447)</f>
        <v/>
      </c>
      <c r="K447" s="319">
        <f>IF(OR(NOT(ISNUMBER(G447)),NOT(ISNUMBER(H447)),G447=0),"",H447/G447)</f>
        <v/>
      </c>
      <c r="L447">
        <f>IF(NOT(ISNUMBER(G447)),"SEM META",IF(G447=0,"SEM META",IF(NOT(ISNUMBER(H447)),"SEM APONTAMENTO",IF(H447&gt;=G447,"VERDE",IF(H447&gt;=G447*0.9,"AMARELO","VERMELHO")))))</f>
        <v/>
      </c>
      <c r="M447" s="162" t="n"/>
      <c r="N447" s="162" t="n"/>
      <c r="O447" s="162" t="n"/>
      <c r="P447" s="162" t="n"/>
      <c r="Q447" s="320" t="n"/>
      <c r="R447" s="162" t="inlineStr">
        <is>
          <t>CONTROLE PRODUÇÃO POR EMPRESAS!C80</t>
        </is>
      </c>
    </row>
    <row r="448" ht="28.5" customHeight="1">
      <c r="A448" s="317" t="n">
        <v>46297</v>
      </c>
      <c r="B448" t="inlineStr">
        <is>
          <t>GERAL</t>
        </is>
      </c>
      <c r="C448" t="inlineStr">
        <is>
          <t>EJ</t>
        </is>
      </c>
      <c r="D448" t="inlineStr">
        <is>
          <t>VIGAS</t>
        </is>
      </c>
      <c r="F448" s="159">
        <f>IFERROR(INDEX('BASE METAS DIÁRIAS'!$N$2:$S$358,MATCH($A448,'BASE METAS DIÁRIAS'!$A$2:$A$358,0),MOD(ROW()-2,6)+1),"")</f>
        <v/>
      </c>
      <c r="G448" s="159">
        <f>IFERROR(IF(WEEKDAY($A448,2)&lt;=INDEX('BASE METAS DIÁRIAS'!$H$2:$M$358,MATCH($A448,'BASE METAS DIÁRIAS'!$A$2:$A$358,0),MOD(ROW()-2,6)+1),INDEX('BASE METAS DIÁRIAS'!$B$2:$G$358,MATCH($A448,'BASE METAS DIÁRIAS'!$A$2:$A$358,0),MOD(ROW()-2,6)+1),""),"")</f>
        <v/>
      </c>
      <c r="H448" s="159">
        <f>IFERROR(IF(INDEX('CONTROLE PRODUÇÃO POR EMPRESAS'!$B$6:$G$5000,MATCH($A448,'CONTROLE PRODUÇÃO POR EMPRESAS'!$A$6:$A$5000,0),MOD(ROW()-2,6)+1)="","",IFERROR(1*INDEX('CONTROLE PRODUÇÃO POR EMPRESAS'!$B$6:$G$5000,MATCH($A448,'CONTROLE PRODUÇÃO POR EMPRESAS'!$A$6:$A$5000,0),MOD(ROW()-2,6)+1),"")),"")</f>
        <v/>
      </c>
      <c r="I448" s="159">
        <f>IF(OR(NOT(ISNUMBER(G448)),NOT(ISNUMBER(H448))),"",H448-G448)</f>
        <v/>
      </c>
      <c r="J448" s="319">
        <f>IF(OR(NOT(ISNUMBER(G448)),NOT(ISNUMBER(H448)),G448=0),"",I448/G448)</f>
        <v/>
      </c>
      <c r="K448" s="319">
        <f>IF(OR(NOT(ISNUMBER(G448)),NOT(ISNUMBER(H448)),G448=0),"",H448/G448)</f>
        <v/>
      </c>
      <c r="L448">
        <f>IF(NOT(ISNUMBER(G448)),"SEM META",IF(G448=0,"SEM META",IF(NOT(ISNUMBER(H448)),"SEM APONTAMENTO",IF(H448&gt;=G448,"VERDE",IF(H448&gt;=G448*0.9,"AMARELO","VERMELHO")))))</f>
        <v/>
      </c>
      <c r="M448" s="162" t="n"/>
      <c r="N448" s="162" t="n"/>
      <c r="O448" s="162" t="n"/>
      <c r="P448" s="162" t="n"/>
      <c r="Q448" s="320" t="n"/>
      <c r="R448" s="162" t="inlineStr">
        <is>
          <t>CONTROLE PRODUÇÃO POR EMPRESAS!D80</t>
        </is>
      </c>
    </row>
    <row r="449" ht="28.5" customHeight="1">
      <c r="A449" s="317" t="n">
        <v>46297</v>
      </c>
      <c r="B449" t="inlineStr">
        <is>
          <t>GERAL</t>
        </is>
      </c>
      <c r="C449" t="inlineStr">
        <is>
          <t>CMM</t>
        </is>
      </c>
      <c r="D449" t="inlineStr">
        <is>
          <t>PREMONTAGEM</t>
        </is>
      </c>
      <c r="F449" s="159">
        <f>IFERROR(INDEX('BASE METAS DIÁRIAS'!$N$2:$S$358,MATCH($A449,'BASE METAS DIÁRIAS'!$A$2:$A$358,0),MOD(ROW()-2,6)+1),"")</f>
        <v/>
      </c>
      <c r="G449" s="159">
        <f>IFERROR(IF(WEEKDAY($A449,2)&lt;=INDEX('BASE METAS DIÁRIAS'!$H$2:$M$358,MATCH($A449,'BASE METAS DIÁRIAS'!$A$2:$A$358,0),MOD(ROW()-2,6)+1),INDEX('BASE METAS DIÁRIAS'!$B$2:$G$358,MATCH($A449,'BASE METAS DIÁRIAS'!$A$2:$A$358,0),MOD(ROW()-2,6)+1),""),"")</f>
        <v/>
      </c>
      <c r="H449" s="159">
        <f>IFERROR(IF(INDEX('CONTROLE PRODUÇÃO POR EMPRESAS'!$B$6:$G$5000,MATCH($A449,'CONTROLE PRODUÇÃO POR EMPRESAS'!$A$6:$A$5000,0),MOD(ROW()-2,6)+1)="","",IFERROR(1*INDEX('CONTROLE PRODUÇÃO POR EMPRESAS'!$B$6:$G$5000,MATCH($A449,'CONTROLE PRODUÇÃO POR EMPRESAS'!$A$6:$A$5000,0),MOD(ROW()-2,6)+1),"")),"")</f>
        <v/>
      </c>
      <c r="I449" s="159">
        <f>IF(OR(NOT(ISNUMBER(G449)),NOT(ISNUMBER(H449))),"",H449-G449)</f>
        <v/>
      </c>
      <c r="J449" s="319">
        <f>IF(OR(NOT(ISNUMBER(G449)),NOT(ISNUMBER(H449)),G449=0),"",I449/G449)</f>
        <v/>
      </c>
      <c r="K449" s="319">
        <f>IF(OR(NOT(ISNUMBER(G449)),NOT(ISNUMBER(H449)),G449=0),"",H449/G449)</f>
        <v/>
      </c>
      <c r="L449">
        <f>IF(NOT(ISNUMBER(G449)),"SEM META",IF(G449=0,"SEM META",IF(NOT(ISNUMBER(H449)),"SEM APONTAMENTO",IF(H449&gt;=G449,"VERDE",IF(H449&gt;=G449*0.9,"AMARELO","VERMELHO")))))</f>
        <v/>
      </c>
      <c r="M449" s="162" t="n"/>
      <c r="N449" s="162" t="n"/>
      <c r="O449" s="162" t="n"/>
      <c r="P449" s="162" t="n"/>
      <c r="Q449" s="320" t="n"/>
      <c r="R449" s="162" t="inlineStr">
        <is>
          <t>CONTROLE PRODUÇÃO POR EMPRESAS!E80</t>
        </is>
      </c>
    </row>
    <row r="450" ht="28.5" customHeight="1">
      <c r="A450" s="317" t="n">
        <v>46297</v>
      </c>
      <c r="B450" t="inlineStr">
        <is>
          <t>GERAL</t>
        </is>
      </c>
      <c r="C450" t="inlineStr">
        <is>
          <t>CMM</t>
        </is>
      </c>
      <c r="D450" t="inlineStr">
        <is>
          <t>IÇAMENTO JOIST</t>
        </is>
      </c>
      <c r="F450" s="159">
        <f>IFERROR(INDEX('BASE METAS DIÁRIAS'!$N$2:$S$358,MATCH($A450,'BASE METAS DIÁRIAS'!$A$2:$A$358,0),MOD(ROW()-2,6)+1),"")</f>
        <v/>
      </c>
      <c r="G450" s="159">
        <f>IFERROR(IF(WEEKDAY($A450,2)&lt;=INDEX('BASE METAS DIÁRIAS'!$H$2:$M$358,MATCH($A450,'BASE METAS DIÁRIAS'!$A$2:$A$358,0),MOD(ROW()-2,6)+1),INDEX('BASE METAS DIÁRIAS'!$B$2:$G$358,MATCH($A450,'BASE METAS DIÁRIAS'!$A$2:$A$358,0),MOD(ROW()-2,6)+1),""),"")</f>
        <v/>
      </c>
      <c r="H450" s="159">
        <f>IFERROR(IF(INDEX('CONTROLE PRODUÇÃO POR EMPRESAS'!$B$6:$G$5000,MATCH($A450,'CONTROLE PRODUÇÃO POR EMPRESAS'!$A$6:$A$5000,0),MOD(ROW()-2,6)+1)="","",IFERROR(1*INDEX('CONTROLE PRODUÇÃO POR EMPRESAS'!$B$6:$G$5000,MATCH($A450,'CONTROLE PRODUÇÃO POR EMPRESAS'!$A$6:$A$5000,0),MOD(ROW()-2,6)+1),"")),"")</f>
        <v/>
      </c>
      <c r="I450" s="159">
        <f>IF(OR(NOT(ISNUMBER(G450)),NOT(ISNUMBER(H450))),"",H450-G450)</f>
        <v/>
      </c>
      <c r="J450" s="319">
        <f>IF(OR(NOT(ISNUMBER(G450)),NOT(ISNUMBER(H450)),G450=0),"",I450/G450)</f>
        <v/>
      </c>
      <c r="K450" s="319">
        <f>IF(OR(NOT(ISNUMBER(G450)),NOT(ISNUMBER(H450)),G450=0),"",H450/G450)</f>
        <v/>
      </c>
      <c r="L450">
        <f>IF(NOT(ISNUMBER(G450)),"SEM META",IF(G450=0,"SEM META",IF(NOT(ISNUMBER(H450)),"SEM APONTAMENTO",IF(H450&gt;=G450,"VERDE",IF(H450&gt;=G450*0.9,"AMARELO","VERMELHO")))))</f>
        <v/>
      </c>
      <c r="M450" s="162" t="n"/>
      <c r="N450" s="162" t="n"/>
      <c r="O450" s="162" t="n"/>
      <c r="P450" s="162" t="n"/>
      <c r="Q450" s="320" t="n"/>
      <c r="R450" s="162" t="inlineStr">
        <is>
          <t>CONTROLE PRODUÇÃO POR EMPRESAS!F80</t>
        </is>
      </c>
    </row>
    <row r="451" ht="28.5" customHeight="1">
      <c r="A451" s="317" t="n">
        <v>46297</v>
      </c>
      <c r="B451" t="inlineStr">
        <is>
          <t>GERAL</t>
        </is>
      </c>
      <c r="C451" t="inlineStr">
        <is>
          <t>CMM</t>
        </is>
      </c>
      <c r="D451" t="inlineStr">
        <is>
          <t>VIGAS</t>
        </is>
      </c>
      <c r="F451" s="159">
        <f>IFERROR(INDEX('BASE METAS DIÁRIAS'!$N$2:$S$358,MATCH($A451,'BASE METAS DIÁRIAS'!$A$2:$A$358,0),MOD(ROW()-2,6)+1),"")</f>
        <v/>
      </c>
      <c r="G451" s="159">
        <f>IFERROR(IF(WEEKDAY($A451,2)&lt;=INDEX('BASE METAS DIÁRIAS'!$H$2:$M$358,MATCH($A451,'BASE METAS DIÁRIAS'!$A$2:$A$358,0),MOD(ROW()-2,6)+1),INDEX('BASE METAS DIÁRIAS'!$B$2:$G$358,MATCH($A451,'BASE METAS DIÁRIAS'!$A$2:$A$358,0),MOD(ROW()-2,6)+1),""),"")</f>
        <v/>
      </c>
      <c r="H451" s="159">
        <f>IFERROR(IF(INDEX('CONTROLE PRODUÇÃO POR EMPRESAS'!$B$6:$G$5000,MATCH($A451,'CONTROLE PRODUÇÃO POR EMPRESAS'!$A$6:$A$5000,0),MOD(ROW()-2,6)+1)="","",IFERROR(1*INDEX('CONTROLE PRODUÇÃO POR EMPRESAS'!$B$6:$G$5000,MATCH($A451,'CONTROLE PRODUÇÃO POR EMPRESAS'!$A$6:$A$5000,0),MOD(ROW()-2,6)+1),"")),"")</f>
        <v/>
      </c>
      <c r="I451" s="159">
        <f>IF(OR(NOT(ISNUMBER(G451)),NOT(ISNUMBER(H451))),"",H451-G451)</f>
        <v/>
      </c>
      <c r="J451" s="319">
        <f>IF(OR(NOT(ISNUMBER(G451)),NOT(ISNUMBER(H451)),G451=0),"",I451/G451)</f>
        <v/>
      </c>
      <c r="K451" s="319">
        <f>IF(OR(NOT(ISNUMBER(G451)),NOT(ISNUMBER(H451)),G451=0),"",H451/G451)</f>
        <v/>
      </c>
      <c r="L451">
        <f>IF(NOT(ISNUMBER(G451)),"SEM META",IF(G451=0,"SEM META",IF(NOT(ISNUMBER(H451)),"SEM APONTAMENTO",IF(H451&gt;=G451,"VERDE",IF(H451&gt;=G451*0.9,"AMARELO","VERMELHO")))))</f>
        <v/>
      </c>
      <c r="M451" s="162" t="n"/>
      <c r="N451" s="162" t="n"/>
      <c r="O451" s="162" t="n"/>
      <c r="P451" s="162" t="n"/>
      <c r="Q451" s="320" t="n"/>
      <c r="R451" s="162" t="inlineStr">
        <is>
          <t>CONTROLE PRODUÇÃO POR EMPRESAS!G80</t>
        </is>
      </c>
    </row>
    <row r="452" ht="28.5" customHeight="1">
      <c r="A452" s="317" t="n">
        <v>46298</v>
      </c>
      <c r="B452" t="inlineStr">
        <is>
          <t>GERAL</t>
        </is>
      </c>
      <c r="C452" t="inlineStr">
        <is>
          <t>EJ</t>
        </is>
      </c>
      <c r="D452" t="inlineStr">
        <is>
          <t>PREMONTAGEM</t>
        </is>
      </c>
      <c r="F452" s="159">
        <f>IFERROR(INDEX('BASE METAS DIÁRIAS'!$N$2:$S$358,MATCH($A452,'BASE METAS DIÁRIAS'!$A$2:$A$358,0),MOD(ROW()-2,6)+1),"")</f>
        <v/>
      </c>
      <c r="G452" s="159">
        <f>IFERROR(IF(WEEKDAY($A452,2)&lt;=INDEX('BASE METAS DIÁRIAS'!$H$2:$M$358,MATCH($A452,'BASE METAS DIÁRIAS'!$A$2:$A$358,0),MOD(ROW()-2,6)+1),INDEX('BASE METAS DIÁRIAS'!$B$2:$G$358,MATCH($A452,'BASE METAS DIÁRIAS'!$A$2:$A$358,0),MOD(ROW()-2,6)+1),""),"")</f>
        <v/>
      </c>
      <c r="H452" s="159">
        <f>IFERROR(IF(INDEX('CONTROLE PRODUÇÃO POR EMPRESAS'!$B$6:$G$5000,MATCH($A452,'CONTROLE PRODUÇÃO POR EMPRESAS'!$A$6:$A$5000,0),MOD(ROW()-2,6)+1)="","",IFERROR(1*INDEX('CONTROLE PRODUÇÃO POR EMPRESAS'!$B$6:$G$5000,MATCH($A452,'CONTROLE PRODUÇÃO POR EMPRESAS'!$A$6:$A$5000,0),MOD(ROW()-2,6)+1),"")),"")</f>
        <v/>
      </c>
      <c r="I452" s="159">
        <f>IF(OR(NOT(ISNUMBER(G452)),NOT(ISNUMBER(H452))),"",H452-G452)</f>
        <v/>
      </c>
      <c r="J452" s="319">
        <f>IF(OR(NOT(ISNUMBER(G452)),NOT(ISNUMBER(H452)),G452=0),"",I452/G452)</f>
        <v/>
      </c>
      <c r="K452" s="319">
        <f>IF(OR(NOT(ISNUMBER(G452)),NOT(ISNUMBER(H452)),G452=0),"",H452/G452)</f>
        <v/>
      </c>
      <c r="L452">
        <f>IF(NOT(ISNUMBER(G452)),"SEM META",IF(G452=0,"SEM META",IF(NOT(ISNUMBER(H452)),"SEM APONTAMENTO",IF(H452&gt;=G452,"VERDE",IF(H452&gt;=G452*0.9,"AMARELO","VERMELHO")))))</f>
        <v/>
      </c>
      <c r="M452" s="162" t="n"/>
      <c r="N452" s="162" t="n"/>
      <c r="O452" s="162" t="n"/>
      <c r="P452" s="162" t="n"/>
      <c r="Q452" s="320" t="n"/>
      <c r="R452" s="162" t="inlineStr">
        <is>
          <t>CONTROLE PRODUÇÃO POR EMPRESAS!B81</t>
        </is>
      </c>
    </row>
    <row r="453" ht="28.5" customHeight="1">
      <c r="A453" s="317" t="n">
        <v>46298</v>
      </c>
      <c r="B453" t="inlineStr">
        <is>
          <t>GERAL</t>
        </is>
      </c>
      <c r="C453" t="inlineStr">
        <is>
          <t>EJ</t>
        </is>
      </c>
      <c r="D453" t="inlineStr">
        <is>
          <t>IÇAMENTO JOIST</t>
        </is>
      </c>
      <c r="F453" s="159">
        <f>IFERROR(INDEX('BASE METAS DIÁRIAS'!$N$2:$S$358,MATCH($A453,'BASE METAS DIÁRIAS'!$A$2:$A$358,0),MOD(ROW()-2,6)+1),"")</f>
        <v/>
      </c>
      <c r="G453" s="159">
        <f>IFERROR(IF(WEEKDAY($A453,2)&lt;=INDEX('BASE METAS DIÁRIAS'!$H$2:$M$358,MATCH($A453,'BASE METAS DIÁRIAS'!$A$2:$A$358,0),MOD(ROW()-2,6)+1),INDEX('BASE METAS DIÁRIAS'!$B$2:$G$358,MATCH($A453,'BASE METAS DIÁRIAS'!$A$2:$A$358,0),MOD(ROW()-2,6)+1),""),"")</f>
        <v/>
      </c>
      <c r="H453" s="159">
        <f>IFERROR(IF(INDEX('CONTROLE PRODUÇÃO POR EMPRESAS'!$B$6:$G$5000,MATCH($A453,'CONTROLE PRODUÇÃO POR EMPRESAS'!$A$6:$A$5000,0),MOD(ROW()-2,6)+1)="","",IFERROR(1*INDEX('CONTROLE PRODUÇÃO POR EMPRESAS'!$B$6:$G$5000,MATCH($A453,'CONTROLE PRODUÇÃO POR EMPRESAS'!$A$6:$A$5000,0),MOD(ROW()-2,6)+1),"")),"")</f>
        <v/>
      </c>
      <c r="I453" s="159">
        <f>IF(OR(NOT(ISNUMBER(G453)),NOT(ISNUMBER(H453))),"",H453-G453)</f>
        <v/>
      </c>
      <c r="J453" s="319">
        <f>IF(OR(NOT(ISNUMBER(G453)),NOT(ISNUMBER(H453)),G453=0),"",I453/G453)</f>
        <v/>
      </c>
      <c r="K453" s="319">
        <f>IF(OR(NOT(ISNUMBER(G453)),NOT(ISNUMBER(H453)),G453=0),"",H453/G453)</f>
        <v/>
      </c>
      <c r="L453">
        <f>IF(NOT(ISNUMBER(G453)),"SEM META",IF(G453=0,"SEM META",IF(NOT(ISNUMBER(H453)),"SEM APONTAMENTO",IF(H453&gt;=G453,"VERDE",IF(H453&gt;=G453*0.9,"AMARELO","VERMELHO")))))</f>
        <v/>
      </c>
      <c r="M453" s="162" t="n"/>
      <c r="N453" s="162" t="n"/>
      <c r="O453" s="162" t="n"/>
      <c r="P453" s="162" t="n"/>
      <c r="Q453" s="320" t="n"/>
      <c r="R453" s="162" t="inlineStr">
        <is>
          <t>CONTROLE PRODUÇÃO POR EMPRESAS!C81</t>
        </is>
      </c>
    </row>
    <row r="454" ht="28.5" customHeight="1">
      <c r="A454" s="317" t="n">
        <v>46298</v>
      </c>
      <c r="B454" t="inlineStr">
        <is>
          <t>GERAL</t>
        </is>
      </c>
      <c r="C454" t="inlineStr">
        <is>
          <t>EJ</t>
        </is>
      </c>
      <c r="D454" t="inlineStr">
        <is>
          <t>VIGAS</t>
        </is>
      </c>
      <c r="F454" s="159">
        <f>IFERROR(INDEX('BASE METAS DIÁRIAS'!$N$2:$S$358,MATCH($A454,'BASE METAS DIÁRIAS'!$A$2:$A$358,0),MOD(ROW()-2,6)+1),"")</f>
        <v/>
      </c>
      <c r="G454" s="159">
        <f>IFERROR(IF(WEEKDAY($A454,2)&lt;=INDEX('BASE METAS DIÁRIAS'!$H$2:$M$358,MATCH($A454,'BASE METAS DIÁRIAS'!$A$2:$A$358,0),MOD(ROW()-2,6)+1),INDEX('BASE METAS DIÁRIAS'!$B$2:$G$358,MATCH($A454,'BASE METAS DIÁRIAS'!$A$2:$A$358,0),MOD(ROW()-2,6)+1),""),"")</f>
        <v/>
      </c>
      <c r="H454" s="159">
        <f>IFERROR(IF(INDEX('CONTROLE PRODUÇÃO POR EMPRESAS'!$B$6:$G$5000,MATCH($A454,'CONTROLE PRODUÇÃO POR EMPRESAS'!$A$6:$A$5000,0),MOD(ROW()-2,6)+1)="","",IFERROR(1*INDEX('CONTROLE PRODUÇÃO POR EMPRESAS'!$B$6:$G$5000,MATCH($A454,'CONTROLE PRODUÇÃO POR EMPRESAS'!$A$6:$A$5000,0),MOD(ROW()-2,6)+1),"")),"")</f>
        <v/>
      </c>
      <c r="I454" s="159">
        <f>IF(OR(NOT(ISNUMBER(G454)),NOT(ISNUMBER(H454))),"",H454-G454)</f>
        <v/>
      </c>
      <c r="J454" s="319">
        <f>IF(OR(NOT(ISNUMBER(G454)),NOT(ISNUMBER(H454)),G454=0),"",I454/G454)</f>
        <v/>
      </c>
      <c r="K454" s="319">
        <f>IF(OR(NOT(ISNUMBER(G454)),NOT(ISNUMBER(H454)),G454=0),"",H454/G454)</f>
        <v/>
      </c>
      <c r="L454">
        <f>IF(NOT(ISNUMBER(G454)),"SEM META",IF(G454=0,"SEM META",IF(NOT(ISNUMBER(H454)),"SEM APONTAMENTO",IF(H454&gt;=G454,"VERDE",IF(H454&gt;=G454*0.9,"AMARELO","VERMELHO")))))</f>
        <v/>
      </c>
      <c r="M454" s="162" t="n"/>
      <c r="N454" s="162" t="n"/>
      <c r="O454" s="162" t="n"/>
      <c r="P454" s="162" t="n"/>
      <c r="Q454" s="320" t="n"/>
      <c r="R454" s="162" t="inlineStr">
        <is>
          <t>CONTROLE PRODUÇÃO POR EMPRESAS!D81</t>
        </is>
      </c>
    </row>
    <row r="455" ht="28.5" customHeight="1">
      <c r="A455" s="317" t="n">
        <v>46298</v>
      </c>
      <c r="B455" t="inlineStr">
        <is>
          <t>GERAL</t>
        </is>
      </c>
      <c r="C455" t="inlineStr">
        <is>
          <t>CMM</t>
        </is>
      </c>
      <c r="D455" t="inlineStr">
        <is>
          <t>PREMONTAGEM</t>
        </is>
      </c>
      <c r="F455" s="159">
        <f>IFERROR(INDEX('BASE METAS DIÁRIAS'!$N$2:$S$358,MATCH($A455,'BASE METAS DIÁRIAS'!$A$2:$A$358,0),MOD(ROW()-2,6)+1),"")</f>
        <v/>
      </c>
      <c r="G455" s="159">
        <f>IFERROR(IF(WEEKDAY($A455,2)&lt;=INDEX('BASE METAS DIÁRIAS'!$H$2:$M$358,MATCH($A455,'BASE METAS DIÁRIAS'!$A$2:$A$358,0),MOD(ROW()-2,6)+1),INDEX('BASE METAS DIÁRIAS'!$B$2:$G$358,MATCH($A455,'BASE METAS DIÁRIAS'!$A$2:$A$358,0),MOD(ROW()-2,6)+1),""),"")</f>
        <v/>
      </c>
      <c r="H455" s="159">
        <f>IFERROR(IF(INDEX('CONTROLE PRODUÇÃO POR EMPRESAS'!$B$6:$G$5000,MATCH($A455,'CONTROLE PRODUÇÃO POR EMPRESAS'!$A$6:$A$5000,0),MOD(ROW()-2,6)+1)="","",IFERROR(1*INDEX('CONTROLE PRODUÇÃO POR EMPRESAS'!$B$6:$G$5000,MATCH($A455,'CONTROLE PRODUÇÃO POR EMPRESAS'!$A$6:$A$5000,0),MOD(ROW()-2,6)+1),"")),"")</f>
        <v/>
      </c>
      <c r="I455" s="159">
        <f>IF(OR(NOT(ISNUMBER(G455)),NOT(ISNUMBER(H455))),"",H455-G455)</f>
        <v/>
      </c>
      <c r="J455" s="319">
        <f>IF(OR(NOT(ISNUMBER(G455)),NOT(ISNUMBER(H455)),G455=0),"",I455/G455)</f>
        <v/>
      </c>
      <c r="K455" s="319">
        <f>IF(OR(NOT(ISNUMBER(G455)),NOT(ISNUMBER(H455)),G455=0),"",H455/G455)</f>
        <v/>
      </c>
      <c r="L455">
        <f>IF(NOT(ISNUMBER(G455)),"SEM META",IF(G455=0,"SEM META",IF(NOT(ISNUMBER(H455)),"SEM APONTAMENTO",IF(H455&gt;=G455,"VERDE",IF(H455&gt;=G455*0.9,"AMARELO","VERMELHO")))))</f>
        <v/>
      </c>
      <c r="M455" s="162" t="n"/>
      <c r="N455" s="162" t="n"/>
      <c r="O455" s="162" t="n"/>
      <c r="P455" s="162" t="n"/>
      <c r="Q455" s="320" t="n"/>
      <c r="R455" s="162" t="inlineStr">
        <is>
          <t>CONTROLE PRODUÇÃO POR EMPRESAS!E81</t>
        </is>
      </c>
    </row>
    <row r="456" ht="28.5" customHeight="1">
      <c r="A456" s="317" t="n">
        <v>46298</v>
      </c>
      <c r="B456" t="inlineStr">
        <is>
          <t>GERAL</t>
        </is>
      </c>
      <c r="C456" t="inlineStr">
        <is>
          <t>CMM</t>
        </is>
      </c>
      <c r="D456" t="inlineStr">
        <is>
          <t>IÇAMENTO JOIST</t>
        </is>
      </c>
      <c r="F456" s="159">
        <f>IFERROR(INDEX('BASE METAS DIÁRIAS'!$N$2:$S$358,MATCH($A456,'BASE METAS DIÁRIAS'!$A$2:$A$358,0),MOD(ROW()-2,6)+1),"")</f>
        <v/>
      </c>
      <c r="G456" s="159">
        <f>IFERROR(IF(WEEKDAY($A456,2)&lt;=INDEX('BASE METAS DIÁRIAS'!$H$2:$M$358,MATCH($A456,'BASE METAS DIÁRIAS'!$A$2:$A$358,0),MOD(ROW()-2,6)+1),INDEX('BASE METAS DIÁRIAS'!$B$2:$G$358,MATCH($A456,'BASE METAS DIÁRIAS'!$A$2:$A$358,0),MOD(ROW()-2,6)+1),""),"")</f>
        <v/>
      </c>
      <c r="H456" s="159">
        <f>IFERROR(IF(INDEX('CONTROLE PRODUÇÃO POR EMPRESAS'!$B$6:$G$5000,MATCH($A456,'CONTROLE PRODUÇÃO POR EMPRESAS'!$A$6:$A$5000,0),MOD(ROW()-2,6)+1)="","",IFERROR(1*INDEX('CONTROLE PRODUÇÃO POR EMPRESAS'!$B$6:$G$5000,MATCH($A456,'CONTROLE PRODUÇÃO POR EMPRESAS'!$A$6:$A$5000,0),MOD(ROW()-2,6)+1),"")),"")</f>
        <v/>
      </c>
      <c r="I456" s="159">
        <f>IF(OR(NOT(ISNUMBER(G456)),NOT(ISNUMBER(H456))),"",H456-G456)</f>
        <v/>
      </c>
      <c r="J456" s="319">
        <f>IF(OR(NOT(ISNUMBER(G456)),NOT(ISNUMBER(H456)),G456=0),"",I456/G456)</f>
        <v/>
      </c>
      <c r="K456" s="319">
        <f>IF(OR(NOT(ISNUMBER(G456)),NOT(ISNUMBER(H456)),G456=0),"",H456/G456)</f>
        <v/>
      </c>
      <c r="L456">
        <f>IF(NOT(ISNUMBER(G456)),"SEM META",IF(G456=0,"SEM META",IF(NOT(ISNUMBER(H456)),"SEM APONTAMENTO",IF(H456&gt;=G456,"VERDE",IF(H456&gt;=G456*0.9,"AMARELO","VERMELHO")))))</f>
        <v/>
      </c>
      <c r="M456" s="162" t="n"/>
      <c r="N456" s="162" t="n"/>
      <c r="O456" s="162" t="n"/>
      <c r="P456" s="162" t="n"/>
      <c r="Q456" s="320" t="n"/>
      <c r="R456" s="162" t="inlineStr">
        <is>
          <t>CONTROLE PRODUÇÃO POR EMPRESAS!F81</t>
        </is>
      </c>
    </row>
    <row r="457" ht="28.5" customHeight="1">
      <c r="A457" s="317" t="n">
        <v>46298</v>
      </c>
      <c r="B457" t="inlineStr">
        <is>
          <t>GERAL</t>
        </is>
      </c>
      <c r="C457" t="inlineStr">
        <is>
          <t>CMM</t>
        </is>
      </c>
      <c r="D457" t="inlineStr">
        <is>
          <t>VIGAS</t>
        </is>
      </c>
      <c r="F457" s="159">
        <f>IFERROR(INDEX('BASE METAS DIÁRIAS'!$N$2:$S$358,MATCH($A457,'BASE METAS DIÁRIAS'!$A$2:$A$358,0),MOD(ROW()-2,6)+1),"")</f>
        <v/>
      </c>
      <c r="G457" s="159">
        <f>IFERROR(IF(WEEKDAY($A457,2)&lt;=INDEX('BASE METAS DIÁRIAS'!$H$2:$M$358,MATCH($A457,'BASE METAS DIÁRIAS'!$A$2:$A$358,0),MOD(ROW()-2,6)+1),INDEX('BASE METAS DIÁRIAS'!$B$2:$G$358,MATCH($A457,'BASE METAS DIÁRIAS'!$A$2:$A$358,0),MOD(ROW()-2,6)+1),""),"")</f>
        <v/>
      </c>
      <c r="H457" s="159">
        <f>IFERROR(IF(INDEX('CONTROLE PRODUÇÃO POR EMPRESAS'!$B$6:$G$5000,MATCH($A457,'CONTROLE PRODUÇÃO POR EMPRESAS'!$A$6:$A$5000,0),MOD(ROW()-2,6)+1)="","",IFERROR(1*INDEX('CONTROLE PRODUÇÃO POR EMPRESAS'!$B$6:$G$5000,MATCH($A457,'CONTROLE PRODUÇÃO POR EMPRESAS'!$A$6:$A$5000,0),MOD(ROW()-2,6)+1),"")),"")</f>
        <v/>
      </c>
      <c r="I457" s="159">
        <f>IF(OR(NOT(ISNUMBER(G457)),NOT(ISNUMBER(H457))),"",H457-G457)</f>
        <v/>
      </c>
      <c r="J457" s="319">
        <f>IF(OR(NOT(ISNUMBER(G457)),NOT(ISNUMBER(H457)),G457=0),"",I457/G457)</f>
        <v/>
      </c>
      <c r="K457" s="319">
        <f>IF(OR(NOT(ISNUMBER(G457)),NOT(ISNUMBER(H457)),G457=0),"",H457/G457)</f>
        <v/>
      </c>
      <c r="L457">
        <f>IF(NOT(ISNUMBER(G457)),"SEM META",IF(G457=0,"SEM META",IF(NOT(ISNUMBER(H457)),"SEM APONTAMENTO",IF(H457&gt;=G457,"VERDE",IF(H457&gt;=G457*0.9,"AMARELO","VERMELHO")))))</f>
        <v/>
      </c>
      <c r="M457" s="162" t="n"/>
      <c r="N457" s="162" t="n"/>
      <c r="O457" s="162" t="n"/>
      <c r="P457" s="162" t="n"/>
      <c r="Q457" s="320" t="n"/>
      <c r="R457" s="162" t="inlineStr">
        <is>
          <t>CONTROLE PRODUÇÃO POR EMPRESAS!G81</t>
        </is>
      </c>
    </row>
    <row r="458" ht="28.5" customHeight="1">
      <c r="A458" s="317" t="n">
        <v>46299</v>
      </c>
      <c r="B458" t="inlineStr">
        <is>
          <t>GERAL</t>
        </is>
      </c>
      <c r="C458" t="inlineStr">
        <is>
          <t>EJ</t>
        </is>
      </c>
      <c r="D458" t="inlineStr">
        <is>
          <t>PREMONTAGEM</t>
        </is>
      </c>
      <c r="F458" s="159">
        <f>IFERROR(INDEX('BASE METAS DIÁRIAS'!$N$2:$S$358,MATCH($A458,'BASE METAS DIÁRIAS'!$A$2:$A$358,0),MOD(ROW()-2,6)+1),"")</f>
        <v/>
      </c>
      <c r="G458" s="159">
        <f>IFERROR(IF(WEEKDAY($A458,2)&lt;=INDEX('BASE METAS DIÁRIAS'!$H$2:$M$358,MATCH($A458,'BASE METAS DIÁRIAS'!$A$2:$A$358,0),MOD(ROW()-2,6)+1),INDEX('BASE METAS DIÁRIAS'!$B$2:$G$358,MATCH($A458,'BASE METAS DIÁRIAS'!$A$2:$A$358,0),MOD(ROW()-2,6)+1),""),"")</f>
        <v/>
      </c>
      <c r="H458" s="159">
        <f>IFERROR(IF(INDEX('CONTROLE PRODUÇÃO POR EMPRESAS'!$B$6:$G$5000,MATCH($A458,'CONTROLE PRODUÇÃO POR EMPRESAS'!$A$6:$A$5000,0),MOD(ROW()-2,6)+1)="","",IFERROR(1*INDEX('CONTROLE PRODUÇÃO POR EMPRESAS'!$B$6:$G$5000,MATCH($A458,'CONTROLE PRODUÇÃO POR EMPRESAS'!$A$6:$A$5000,0),MOD(ROW()-2,6)+1),"")),"")</f>
        <v/>
      </c>
      <c r="I458" s="159">
        <f>IF(OR(NOT(ISNUMBER(G458)),NOT(ISNUMBER(H458))),"",H458-G458)</f>
        <v/>
      </c>
      <c r="J458" s="319">
        <f>IF(OR(NOT(ISNUMBER(G458)),NOT(ISNUMBER(H458)),G458=0),"",I458/G458)</f>
        <v/>
      </c>
      <c r="K458" s="319">
        <f>IF(OR(NOT(ISNUMBER(G458)),NOT(ISNUMBER(H458)),G458=0),"",H458/G458)</f>
        <v/>
      </c>
      <c r="L458">
        <f>IF(NOT(ISNUMBER(G458)),"SEM META",IF(G458=0,"SEM META",IF(NOT(ISNUMBER(H458)),"SEM APONTAMENTO",IF(H458&gt;=G458,"VERDE",IF(H458&gt;=G458*0.9,"AMARELO","VERMELHO")))))</f>
        <v/>
      </c>
      <c r="M458" s="162" t="n"/>
      <c r="N458" s="162" t="n"/>
      <c r="O458" s="162" t="n"/>
      <c r="P458" s="162" t="n"/>
      <c r="Q458" s="320" t="n"/>
      <c r="R458" s="162" t="inlineStr">
        <is>
          <t>CONTROLE PRODUÇÃO POR EMPRESAS!B82</t>
        </is>
      </c>
    </row>
    <row r="459" ht="28.5" customHeight="1">
      <c r="A459" s="317" t="n">
        <v>46299</v>
      </c>
      <c r="B459" t="inlineStr">
        <is>
          <t>GERAL</t>
        </is>
      </c>
      <c r="C459" t="inlineStr">
        <is>
          <t>EJ</t>
        </is>
      </c>
      <c r="D459" t="inlineStr">
        <is>
          <t>IÇAMENTO JOIST</t>
        </is>
      </c>
      <c r="F459" s="159">
        <f>IFERROR(INDEX('BASE METAS DIÁRIAS'!$N$2:$S$358,MATCH($A459,'BASE METAS DIÁRIAS'!$A$2:$A$358,0),MOD(ROW()-2,6)+1),"")</f>
        <v/>
      </c>
      <c r="G459" s="159">
        <f>IFERROR(IF(WEEKDAY($A459,2)&lt;=INDEX('BASE METAS DIÁRIAS'!$H$2:$M$358,MATCH($A459,'BASE METAS DIÁRIAS'!$A$2:$A$358,0),MOD(ROW()-2,6)+1),INDEX('BASE METAS DIÁRIAS'!$B$2:$G$358,MATCH($A459,'BASE METAS DIÁRIAS'!$A$2:$A$358,0),MOD(ROW()-2,6)+1),""),"")</f>
        <v/>
      </c>
      <c r="H459" s="159">
        <f>IFERROR(IF(INDEX('CONTROLE PRODUÇÃO POR EMPRESAS'!$B$6:$G$5000,MATCH($A459,'CONTROLE PRODUÇÃO POR EMPRESAS'!$A$6:$A$5000,0),MOD(ROW()-2,6)+1)="","",IFERROR(1*INDEX('CONTROLE PRODUÇÃO POR EMPRESAS'!$B$6:$G$5000,MATCH($A459,'CONTROLE PRODUÇÃO POR EMPRESAS'!$A$6:$A$5000,0),MOD(ROW()-2,6)+1),"")),"")</f>
        <v/>
      </c>
      <c r="I459" s="159">
        <f>IF(OR(NOT(ISNUMBER(G459)),NOT(ISNUMBER(H459))),"",H459-G459)</f>
        <v/>
      </c>
      <c r="J459" s="319">
        <f>IF(OR(NOT(ISNUMBER(G459)),NOT(ISNUMBER(H459)),G459=0),"",I459/G459)</f>
        <v/>
      </c>
      <c r="K459" s="319">
        <f>IF(OR(NOT(ISNUMBER(G459)),NOT(ISNUMBER(H459)),G459=0),"",H459/G459)</f>
        <v/>
      </c>
      <c r="L459">
        <f>IF(NOT(ISNUMBER(G459)),"SEM META",IF(G459=0,"SEM META",IF(NOT(ISNUMBER(H459)),"SEM APONTAMENTO",IF(H459&gt;=G459,"VERDE",IF(H459&gt;=G459*0.9,"AMARELO","VERMELHO")))))</f>
        <v/>
      </c>
      <c r="M459" s="162" t="n"/>
      <c r="N459" s="162" t="n"/>
      <c r="O459" s="162" t="n"/>
      <c r="P459" s="162" t="n"/>
      <c r="Q459" s="320" t="n"/>
      <c r="R459" s="162" t="inlineStr">
        <is>
          <t>CONTROLE PRODUÇÃO POR EMPRESAS!C82</t>
        </is>
      </c>
    </row>
    <row r="460" ht="28.5" customHeight="1">
      <c r="A460" s="317" t="n">
        <v>46299</v>
      </c>
      <c r="B460" t="inlineStr">
        <is>
          <t>GERAL</t>
        </is>
      </c>
      <c r="C460" t="inlineStr">
        <is>
          <t>EJ</t>
        </is>
      </c>
      <c r="D460" t="inlineStr">
        <is>
          <t>VIGAS</t>
        </is>
      </c>
      <c r="F460" s="159">
        <f>IFERROR(INDEX('BASE METAS DIÁRIAS'!$N$2:$S$358,MATCH($A460,'BASE METAS DIÁRIAS'!$A$2:$A$358,0),MOD(ROW()-2,6)+1),"")</f>
        <v/>
      </c>
      <c r="G460" s="159">
        <f>IFERROR(IF(WEEKDAY($A460,2)&lt;=INDEX('BASE METAS DIÁRIAS'!$H$2:$M$358,MATCH($A460,'BASE METAS DIÁRIAS'!$A$2:$A$358,0),MOD(ROW()-2,6)+1),INDEX('BASE METAS DIÁRIAS'!$B$2:$G$358,MATCH($A460,'BASE METAS DIÁRIAS'!$A$2:$A$358,0),MOD(ROW()-2,6)+1),""),"")</f>
        <v/>
      </c>
      <c r="H460" s="159">
        <f>IFERROR(IF(INDEX('CONTROLE PRODUÇÃO POR EMPRESAS'!$B$6:$G$5000,MATCH($A460,'CONTROLE PRODUÇÃO POR EMPRESAS'!$A$6:$A$5000,0),MOD(ROW()-2,6)+1)="","",IFERROR(1*INDEX('CONTROLE PRODUÇÃO POR EMPRESAS'!$B$6:$G$5000,MATCH($A460,'CONTROLE PRODUÇÃO POR EMPRESAS'!$A$6:$A$5000,0),MOD(ROW()-2,6)+1),"")),"")</f>
        <v/>
      </c>
      <c r="I460" s="159">
        <f>IF(OR(NOT(ISNUMBER(G460)),NOT(ISNUMBER(H460))),"",H460-G460)</f>
        <v/>
      </c>
      <c r="J460" s="319">
        <f>IF(OR(NOT(ISNUMBER(G460)),NOT(ISNUMBER(H460)),G460=0),"",I460/G460)</f>
        <v/>
      </c>
      <c r="K460" s="319">
        <f>IF(OR(NOT(ISNUMBER(G460)),NOT(ISNUMBER(H460)),G460=0),"",H460/G460)</f>
        <v/>
      </c>
      <c r="L460">
        <f>IF(NOT(ISNUMBER(G460)),"SEM META",IF(G460=0,"SEM META",IF(NOT(ISNUMBER(H460)),"SEM APONTAMENTO",IF(H460&gt;=G460,"VERDE",IF(H460&gt;=G460*0.9,"AMARELO","VERMELHO")))))</f>
        <v/>
      </c>
      <c r="M460" s="162" t="n"/>
      <c r="N460" s="162" t="n"/>
      <c r="O460" s="162" t="n"/>
      <c r="P460" s="162" t="n"/>
      <c r="Q460" s="320" t="n"/>
      <c r="R460" s="162" t="inlineStr">
        <is>
          <t>CONTROLE PRODUÇÃO POR EMPRESAS!D82</t>
        </is>
      </c>
    </row>
    <row r="461" ht="28.5" customHeight="1">
      <c r="A461" s="317" t="n">
        <v>46299</v>
      </c>
      <c r="B461" t="inlineStr">
        <is>
          <t>GERAL</t>
        </is>
      </c>
      <c r="C461" t="inlineStr">
        <is>
          <t>CMM</t>
        </is>
      </c>
      <c r="D461" t="inlineStr">
        <is>
          <t>PREMONTAGEM</t>
        </is>
      </c>
      <c r="F461" s="159">
        <f>IFERROR(INDEX('BASE METAS DIÁRIAS'!$N$2:$S$358,MATCH($A461,'BASE METAS DIÁRIAS'!$A$2:$A$358,0),MOD(ROW()-2,6)+1),"")</f>
        <v/>
      </c>
      <c r="G461" s="159">
        <f>IFERROR(IF(WEEKDAY($A461,2)&lt;=INDEX('BASE METAS DIÁRIAS'!$H$2:$M$358,MATCH($A461,'BASE METAS DIÁRIAS'!$A$2:$A$358,0),MOD(ROW()-2,6)+1),INDEX('BASE METAS DIÁRIAS'!$B$2:$G$358,MATCH($A461,'BASE METAS DIÁRIAS'!$A$2:$A$358,0),MOD(ROW()-2,6)+1),""),"")</f>
        <v/>
      </c>
      <c r="H461" s="159">
        <f>IFERROR(IF(INDEX('CONTROLE PRODUÇÃO POR EMPRESAS'!$B$6:$G$5000,MATCH($A461,'CONTROLE PRODUÇÃO POR EMPRESAS'!$A$6:$A$5000,0),MOD(ROW()-2,6)+1)="","",IFERROR(1*INDEX('CONTROLE PRODUÇÃO POR EMPRESAS'!$B$6:$G$5000,MATCH($A461,'CONTROLE PRODUÇÃO POR EMPRESAS'!$A$6:$A$5000,0),MOD(ROW()-2,6)+1),"")),"")</f>
        <v/>
      </c>
      <c r="I461" s="159">
        <f>IF(OR(NOT(ISNUMBER(G461)),NOT(ISNUMBER(H461))),"",H461-G461)</f>
        <v/>
      </c>
      <c r="J461" s="319">
        <f>IF(OR(NOT(ISNUMBER(G461)),NOT(ISNUMBER(H461)),G461=0),"",I461/G461)</f>
        <v/>
      </c>
      <c r="K461" s="319">
        <f>IF(OR(NOT(ISNUMBER(G461)),NOT(ISNUMBER(H461)),G461=0),"",H461/G461)</f>
        <v/>
      </c>
      <c r="L461">
        <f>IF(NOT(ISNUMBER(G461)),"SEM META",IF(G461=0,"SEM META",IF(NOT(ISNUMBER(H461)),"SEM APONTAMENTO",IF(H461&gt;=G461,"VERDE",IF(H461&gt;=G461*0.9,"AMARELO","VERMELHO")))))</f>
        <v/>
      </c>
      <c r="M461" s="162" t="n"/>
      <c r="N461" s="162" t="n"/>
      <c r="O461" s="162" t="n"/>
      <c r="P461" s="162" t="n"/>
      <c r="Q461" s="320" t="n"/>
      <c r="R461" s="162" t="inlineStr">
        <is>
          <t>CONTROLE PRODUÇÃO POR EMPRESAS!E82</t>
        </is>
      </c>
    </row>
    <row r="462" ht="28.5" customHeight="1">
      <c r="A462" s="317" t="n">
        <v>46299</v>
      </c>
      <c r="B462" t="inlineStr">
        <is>
          <t>GERAL</t>
        </is>
      </c>
      <c r="C462" t="inlineStr">
        <is>
          <t>CMM</t>
        </is>
      </c>
      <c r="D462" t="inlineStr">
        <is>
          <t>IÇAMENTO JOIST</t>
        </is>
      </c>
      <c r="F462" s="159">
        <f>IFERROR(INDEX('BASE METAS DIÁRIAS'!$N$2:$S$358,MATCH($A462,'BASE METAS DIÁRIAS'!$A$2:$A$358,0),MOD(ROW()-2,6)+1),"")</f>
        <v/>
      </c>
      <c r="G462" s="159">
        <f>IFERROR(IF(WEEKDAY($A462,2)&lt;=INDEX('BASE METAS DIÁRIAS'!$H$2:$M$358,MATCH($A462,'BASE METAS DIÁRIAS'!$A$2:$A$358,0),MOD(ROW()-2,6)+1),INDEX('BASE METAS DIÁRIAS'!$B$2:$G$358,MATCH($A462,'BASE METAS DIÁRIAS'!$A$2:$A$358,0),MOD(ROW()-2,6)+1),""),"")</f>
        <v/>
      </c>
      <c r="H462" s="159">
        <f>IFERROR(IF(INDEX('CONTROLE PRODUÇÃO POR EMPRESAS'!$B$6:$G$5000,MATCH($A462,'CONTROLE PRODUÇÃO POR EMPRESAS'!$A$6:$A$5000,0),MOD(ROW()-2,6)+1)="","",IFERROR(1*INDEX('CONTROLE PRODUÇÃO POR EMPRESAS'!$B$6:$G$5000,MATCH($A462,'CONTROLE PRODUÇÃO POR EMPRESAS'!$A$6:$A$5000,0),MOD(ROW()-2,6)+1),"")),"")</f>
        <v/>
      </c>
      <c r="I462" s="159">
        <f>IF(OR(NOT(ISNUMBER(G462)),NOT(ISNUMBER(H462))),"",H462-G462)</f>
        <v/>
      </c>
      <c r="J462" s="319">
        <f>IF(OR(NOT(ISNUMBER(G462)),NOT(ISNUMBER(H462)),G462=0),"",I462/G462)</f>
        <v/>
      </c>
      <c r="K462" s="319">
        <f>IF(OR(NOT(ISNUMBER(G462)),NOT(ISNUMBER(H462)),G462=0),"",H462/G462)</f>
        <v/>
      </c>
      <c r="L462">
        <f>IF(NOT(ISNUMBER(G462)),"SEM META",IF(G462=0,"SEM META",IF(NOT(ISNUMBER(H462)),"SEM APONTAMENTO",IF(H462&gt;=G462,"VERDE",IF(H462&gt;=G462*0.9,"AMARELO","VERMELHO")))))</f>
        <v/>
      </c>
      <c r="M462" s="162" t="n"/>
      <c r="N462" s="162" t="n"/>
      <c r="O462" s="162" t="n"/>
      <c r="P462" s="162" t="n"/>
      <c r="Q462" s="320" t="n"/>
      <c r="R462" s="162" t="inlineStr">
        <is>
          <t>CONTROLE PRODUÇÃO POR EMPRESAS!F82</t>
        </is>
      </c>
    </row>
    <row r="463" ht="28.5" customHeight="1">
      <c r="A463" s="317" t="n">
        <v>46299</v>
      </c>
      <c r="B463" t="inlineStr">
        <is>
          <t>GERAL</t>
        </is>
      </c>
      <c r="C463" t="inlineStr">
        <is>
          <t>CMM</t>
        </is>
      </c>
      <c r="D463" t="inlineStr">
        <is>
          <t>VIGAS</t>
        </is>
      </c>
      <c r="F463" s="159">
        <f>IFERROR(INDEX('BASE METAS DIÁRIAS'!$N$2:$S$358,MATCH($A463,'BASE METAS DIÁRIAS'!$A$2:$A$358,0),MOD(ROW()-2,6)+1),"")</f>
        <v/>
      </c>
      <c r="G463" s="159">
        <f>IFERROR(IF(WEEKDAY($A463,2)&lt;=INDEX('BASE METAS DIÁRIAS'!$H$2:$M$358,MATCH($A463,'BASE METAS DIÁRIAS'!$A$2:$A$358,0),MOD(ROW()-2,6)+1),INDEX('BASE METAS DIÁRIAS'!$B$2:$G$358,MATCH($A463,'BASE METAS DIÁRIAS'!$A$2:$A$358,0),MOD(ROW()-2,6)+1),""),"")</f>
        <v/>
      </c>
      <c r="H463" s="159">
        <f>IFERROR(IF(INDEX('CONTROLE PRODUÇÃO POR EMPRESAS'!$B$6:$G$5000,MATCH($A463,'CONTROLE PRODUÇÃO POR EMPRESAS'!$A$6:$A$5000,0),MOD(ROW()-2,6)+1)="","",IFERROR(1*INDEX('CONTROLE PRODUÇÃO POR EMPRESAS'!$B$6:$G$5000,MATCH($A463,'CONTROLE PRODUÇÃO POR EMPRESAS'!$A$6:$A$5000,0),MOD(ROW()-2,6)+1),"")),"")</f>
        <v/>
      </c>
      <c r="I463" s="159">
        <f>IF(OR(NOT(ISNUMBER(G463)),NOT(ISNUMBER(H463))),"",H463-G463)</f>
        <v/>
      </c>
      <c r="J463" s="319">
        <f>IF(OR(NOT(ISNUMBER(G463)),NOT(ISNUMBER(H463)),G463=0),"",I463/G463)</f>
        <v/>
      </c>
      <c r="K463" s="319">
        <f>IF(OR(NOT(ISNUMBER(G463)),NOT(ISNUMBER(H463)),G463=0),"",H463/G463)</f>
        <v/>
      </c>
      <c r="L463">
        <f>IF(NOT(ISNUMBER(G463)),"SEM META",IF(G463=0,"SEM META",IF(NOT(ISNUMBER(H463)),"SEM APONTAMENTO",IF(H463&gt;=G463,"VERDE",IF(H463&gt;=G463*0.9,"AMARELO","VERMELHO")))))</f>
        <v/>
      </c>
      <c r="M463" s="162" t="n"/>
      <c r="N463" s="162" t="n"/>
      <c r="O463" s="162" t="n"/>
      <c r="P463" s="162" t="n"/>
      <c r="Q463" s="320" t="n"/>
      <c r="R463" s="162" t="inlineStr">
        <is>
          <t>CONTROLE PRODUÇÃO POR EMPRESAS!G82</t>
        </is>
      </c>
    </row>
    <row r="464" ht="28.5" customHeight="1">
      <c r="A464" s="317" t="n">
        <v>46300</v>
      </c>
      <c r="B464" t="inlineStr">
        <is>
          <t>GERAL</t>
        </is>
      </c>
      <c r="C464" t="inlineStr">
        <is>
          <t>EJ</t>
        </is>
      </c>
      <c r="D464" t="inlineStr">
        <is>
          <t>PREMONTAGEM</t>
        </is>
      </c>
      <c r="F464" s="159">
        <f>IFERROR(INDEX('BASE METAS DIÁRIAS'!$N$2:$S$358,MATCH($A464,'BASE METAS DIÁRIAS'!$A$2:$A$358,0),MOD(ROW()-2,6)+1),"")</f>
        <v/>
      </c>
      <c r="G464" s="159">
        <f>IFERROR(IF(WEEKDAY($A464,2)&lt;=INDEX('BASE METAS DIÁRIAS'!$H$2:$M$358,MATCH($A464,'BASE METAS DIÁRIAS'!$A$2:$A$358,0),MOD(ROW()-2,6)+1),INDEX('BASE METAS DIÁRIAS'!$B$2:$G$358,MATCH($A464,'BASE METAS DIÁRIAS'!$A$2:$A$358,0),MOD(ROW()-2,6)+1),""),"")</f>
        <v/>
      </c>
      <c r="H464" s="159">
        <f>IFERROR(IF(INDEX('CONTROLE PRODUÇÃO POR EMPRESAS'!$B$6:$G$5000,MATCH($A464,'CONTROLE PRODUÇÃO POR EMPRESAS'!$A$6:$A$5000,0),MOD(ROW()-2,6)+1)="","",IFERROR(1*INDEX('CONTROLE PRODUÇÃO POR EMPRESAS'!$B$6:$G$5000,MATCH($A464,'CONTROLE PRODUÇÃO POR EMPRESAS'!$A$6:$A$5000,0),MOD(ROW()-2,6)+1),"")),"")</f>
        <v/>
      </c>
      <c r="I464" s="159">
        <f>IF(OR(NOT(ISNUMBER(G464)),NOT(ISNUMBER(H464))),"",H464-G464)</f>
        <v/>
      </c>
      <c r="J464" s="319">
        <f>IF(OR(NOT(ISNUMBER(G464)),NOT(ISNUMBER(H464)),G464=0),"",I464/G464)</f>
        <v/>
      </c>
      <c r="K464" s="319">
        <f>IF(OR(NOT(ISNUMBER(G464)),NOT(ISNUMBER(H464)),G464=0),"",H464/G464)</f>
        <v/>
      </c>
      <c r="L464">
        <f>IF(NOT(ISNUMBER(G464)),"SEM META",IF(G464=0,"SEM META",IF(NOT(ISNUMBER(H464)),"SEM APONTAMENTO",IF(H464&gt;=G464,"VERDE",IF(H464&gt;=G464*0.9,"AMARELO","VERMELHO")))))</f>
        <v/>
      </c>
      <c r="M464" s="162" t="n"/>
      <c r="N464" s="162" t="n"/>
      <c r="O464" s="162" t="n"/>
      <c r="P464" s="162" t="n"/>
      <c r="Q464" s="320" t="n"/>
      <c r="R464" s="162" t="inlineStr">
        <is>
          <t>CONTROLE PRODUÇÃO POR EMPRESAS!B83</t>
        </is>
      </c>
    </row>
    <row r="465" ht="28.5" customHeight="1">
      <c r="A465" s="317" t="n">
        <v>46300</v>
      </c>
      <c r="B465" t="inlineStr">
        <is>
          <t>GERAL</t>
        </is>
      </c>
      <c r="C465" t="inlineStr">
        <is>
          <t>EJ</t>
        </is>
      </c>
      <c r="D465" t="inlineStr">
        <is>
          <t>IÇAMENTO JOIST</t>
        </is>
      </c>
      <c r="F465" s="159">
        <f>IFERROR(INDEX('BASE METAS DIÁRIAS'!$N$2:$S$358,MATCH($A465,'BASE METAS DIÁRIAS'!$A$2:$A$358,0),MOD(ROW()-2,6)+1),"")</f>
        <v/>
      </c>
      <c r="G465" s="159">
        <f>IFERROR(IF(WEEKDAY($A465,2)&lt;=INDEX('BASE METAS DIÁRIAS'!$H$2:$M$358,MATCH($A465,'BASE METAS DIÁRIAS'!$A$2:$A$358,0),MOD(ROW()-2,6)+1),INDEX('BASE METAS DIÁRIAS'!$B$2:$G$358,MATCH($A465,'BASE METAS DIÁRIAS'!$A$2:$A$358,0),MOD(ROW()-2,6)+1),""),"")</f>
        <v/>
      </c>
      <c r="H465" s="159">
        <f>IFERROR(IF(INDEX('CONTROLE PRODUÇÃO POR EMPRESAS'!$B$6:$G$5000,MATCH($A465,'CONTROLE PRODUÇÃO POR EMPRESAS'!$A$6:$A$5000,0),MOD(ROW()-2,6)+1)="","",IFERROR(1*INDEX('CONTROLE PRODUÇÃO POR EMPRESAS'!$B$6:$G$5000,MATCH($A465,'CONTROLE PRODUÇÃO POR EMPRESAS'!$A$6:$A$5000,0),MOD(ROW()-2,6)+1),"")),"")</f>
        <v/>
      </c>
      <c r="I465" s="159">
        <f>IF(OR(NOT(ISNUMBER(G465)),NOT(ISNUMBER(H465))),"",H465-G465)</f>
        <v/>
      </c>
      <c r="J465" s="319">
        <f>IF(OR(NOT(ISNUMBER(G465)),NOT(ISNUMBER(H465)),G465=0),"",I465/G465)</f>
        <v/>
      </c>
      <c r="K465" s="319">
        <f>IF(OR(NOT(ISNUMBER(G465)),NOT(ISNUMBER(H465)),G465=0),"",H465/G465)</f>
        <v/>
      </c>
      <c r="L465">
        <f>IF(NOT(ISNUMBER(G465)),"SEM META",IF(G465=0,"SEM META",IF(NOT(ISNUMBER(H465)),"SEM APONTAMENTO",IF(H465&gt;=G465,"VERDE",IF(H465&gt;=G465*0.9,"AMARELO","VERMELHO")))))</f>
        <v/>
      </c>
      <c r="M465" s="162" t="n"/>
      <c r="N465" s="162" t="n"/>
      <c r="O465" s="162" t="n"/>
      <c r="P465" s="162" t="n"/>
      <c r="Q465" s="320" t="n"/>
      <c r="R465" s="162" t="inlineStr">
        <is>
          <t>CONTROLE PRODUÇÃO POR EMPRESAS!C83</t>
        </is>
      </c>
    </row>
    <row r="466" ht="28.5" customHeight="1">
      <c r="A466" s="317" t="n">
        <v>46300</v>
      </c>
      <c r="B466" t="inlineStr">
        <is>
          <t>GERAL</t>
        </is>
      </c>
      <c r="C466" t="inlineStr">
        <is>
          <t>EJ</t>
        </is>
      </c>
      <c r="D466" t="inlineStr">
        <is>
          <t>VIGAS</t>
        </is>
      </c>
      <c r="F466" s="159">
        <f>IFERROR(INDEX('BASE METAS DIÁRIAS'!$N$2:$S$358,MATCH($A466,'BASE METAS DIÁRIAS'!$A$2:$A$358,0),MOD(ROW()-2,6)+1),"")</f>
        <v/>
      </c>
      <c r="G466" s="159">
        <f>IFERROR(IF(WEEKDAY($A466,2)&lt;=INDEX('BASE METAS DIÁRIAS'!$H$2:$M$358,MATCH($A466,'BASE METAS DIÁRIAS'!$A$2:$A$358,0),MOD(ROW()-2,6)+1),INDEX('BASE METAS DIÁRIAS'!$B$2:$G$358,MATCH($A466,'BASE METAS DIÁRIAS'!$A$2:$A$358,0),MOD(ROW()-2,6)+1),""),"")</f>
        <v/>
      </c>
      <c r="H466" s="159">
        <f>IFERROR(IF(INDEX('CONTROLE PRODUÇÃO POR EMPRESAS'!$B$6:$G$5000,MATCH($A466,'CONTROLE PRODUÇÃO POR EMPRESAS'!$A$6:$A$5000,0),MOD(ROW()-2,6)+1)="","",IFERROR(1*INDEX('CONTROLE PRODUÇÃO POR EMPRESAS'!$B$6:$G$5000,MATCH($A466,'CONTROLE PRODUÇÃO POR EMPRESAS'!$A$6:$A$5000,0),MOD(ROW()-2,6)+1),"")),"")</f>
        <v/>
      </c>
      <c r="I466" s="159">
        <f>IF(OR(NOT(ISNUMBER(G466)),NOT(ISNUMBER(H466))),"",H466-G466)</f>
        <v/>
      </c>
      <c r="J466" s="319">
        <f>IF(OR(NOT(ISNUMBER(G466)),NOT(ISNUMBER(H466)),G466=0),"",I466/G466)</f>
        <v/>
      </c>
      <c r="K466" s="319">
        <f>IF(OR(NOT(ISNUMBER(G466)),NOT(ISNUMBER(H466)),G466=0),"",H466/G466)</f>
        <v/>
      </c>
      <c r="L466">
        <f>IF(NOT(ISNUMBER(G466)),"SEM META",IF(G466=0,"SEM META",IF(NOT(ISNUMBER(H466)),"SEM APONTAMENTO",IF(H466&gt;=G466,"VERDE",IF(H466&gt;=G466*0.9,"AMARELO","VERMELHO")))))</f>
        <v/>
      </c>
      <c r="M466" s="162" t="n"/>
      <c r="N466" s="162" t="n"/>
      <c r="O466" s="162" t="n"/>
      <c r="P466" s="162" t="n"/>
      <c r="Q466" s="320" t="n"/>
      <c r="R466" s="162" t="inlineStr">
        <is>
          <t>CONTROLE PRODUÇÃO POR EMPRESAS!D83</t>
        </is>
      </c>
    </row>
    <row r="467" ht="28.5" customHeight="1">
      <c r="A467" s="317" t="n">
        <v>46300</v>
      </c>
      <c r="B467" t="inlineStr">
        <is>
          <t>GERAL</t>
        </is>
      </c>
      <c r="C467" t="inlineStr">
        <is>
          <t>CMM</t>
        </is>
      </c>
      <c r="D467" t="inlineStr">
        <is>
          <t>PREMONTAGEM</t>
        </is>
      </c>
      <c r="F467" s="159">
        <f>IFERROR(INDEX('BASE METAS DIÁRIAS'!$N$2:$S$358,MATCH($A467,'BASE METAS DIÁRIAS'!$A$2:$A$358,0),MOD(ROW()-2,6)+1),"")</f>
        <v/>
      </c>
      <c r="G467" s="159">
        <f>IFERROR(IF(WEEKDAY($A467,2)&lt;=INDEX('BASE METAS DIÁRIAS'!$H$2:$M$358,MATCH($A467,'BASE METAS DIÁRIAS'!$A$2:$A$358,0),MOD(ROW()-2,6)+1),INDEX('BASE METAS DIÁRIAS'!$B$2:$G$358,MATCH($A467,'BASE METAS DIÁRIAS'!$A$2:$A$358,0),MOD(ROW()-2,6)+1),""),"")</f>
        <v/>
      </c>
      <c r="H467" s="159">
        <f>IFERROR(IF(INDEX('CONTROLE PRODUÇÃO POR EMPRESAS'!$B$6:$G$5000,MATCH($A467,'CONTROLE PRODUÇÃO POR EMPRESAS'!$A$6:$A$5000,0),MOD(ROW()-2,6)+1)="","",IFERROR(1*INDEX('CONTROLE PRODUÇÃO POR EMPRESAS'!$B$6:$G$5000,MATCH($A467,'CONTROLE PRODUÇÃO POR EMPRESAS'!$A$6:$A$5000,0),MOD(ROW()-2,6)+1),"")),"")</f>
        <v/>
      </c>
      <c r="I467" s="159">
        <f>IF(OR(NOT(ISNUMBER(G467)),NOT(ISNUMBER(H467))),"",H467-G467)</f>
        <v/>
      </c>
      <c r="J467" s="319">
        <f>IF(OR(NOT(ISNUMBER(G467)),NOT(ISNUMBER(H467)),G467=0),"",I467/G467)</f>
        <v/>
      </c>
      <c r="K467" s="319">
        <f>IF(OR(NOT(ISNUMBER(G467)),NOT(ISNUMBER(H467)),G467=0),"",H467/G467)</f>
        <v/>
      </c>
      <c r="L467">
        <f>IF(NOT(ISNUMBER(G467)),"SEM META",IF(G467=0,"SEM META",IF(NOT(ISNUMBER(H467)),"SEM APONTAMENTO",IF(H467&gt;=G467,"VERDE",IF(H467&gt;=G467*0.9,"AMARELO","VERMELHO")))))</f>
        <v/>
      </c>
      <c r="M467" s="162" t="n"/>
      <c r="N467" s="162" t="n"/>
      <c r="O467" s="162" t="n"/>
      <c r="P467" s="162" t="n"/>
      <c r="Q467" s="320" t="n"/>
      <c r="R467" s="162" t="inlineStr">
        <is>
          <t>CONTROLE PRODUÇÃO POR EMPRESAS!E83</t>
        </is>
      </c>
    </row>
    <row r="468" ht="28.5" customHeight="1">
      <c r="A468" s="317" t="n">
        <v>46300</v>
      </c>
      <c r="B468" t="inlineStr">
        <is>
          <t>GERAL</t>
        </is>
      </c>
      <c r="C468" t="inlineStr">
        <is>
          <t>CMM</t>
        </is>
      </c>
      <c r="D468" t="inlineStr">
        <is>
          <t>IÇAMENTO JOIST</t>
        </is>
      </c>
      <c r="F468" s="159">
        <f>IFERROR(INDEX('BASE METAS DIÁRIAS'!$N$2:$S$358,MATCH($A468,'BASE METAS DIÁRIAS'!$A$2:$A$358,0),MOD(ROW()-2,6)+1),"")</f>
        <v/>
      </c>
      <c r="G468" s="159">
        <f>IFERROR(IF(WEEKDAY($A468,2)&lt;=INDEX('BASE METAS DIÁRIAS'!$H$2:$M$358,MATCH($A468,'BASE METAS DIÁRIAS'!$A$2:$A$358,0),MOD(ROW()-2,6)+1),INDEX('BASE METAS DIÁRIAS'!$B$2:$G$358,MATCH($A468,'BASE METAS DIÁRIAS'!$A$2:$A$358,0),MOD(ROW()-2,6)+1),""),"")</f>
        <v/>
      </c>
      <c r="H468" s="159">
        <f>IFERROR(IF(INDEX('CONTROLE PRODUÇÃO POR EMPRESAS'!$B$6:$G$5000,MATCH($A468,'CONTROLE PRODUÇÃO POR EMPRESAS'!$A$6:$A$5000,0),MOD(ROW()-2,6)+1)="","",IFERROR(1*INDEX('CONTROLE PRODUÇÃO POR EMPRESAS'!$B$6:$G$5000,MATCH($A468,'CONTROLE PRODUÇÃO POR EMPRESAS'!$A$6:$A$5000,0),MOD(ROW()-2,6)+1),"")),"")</f>
        <v/>
      </c>
      <c r="I468" s="159">
        <f>IF(OR(NOT(ISNUMBER(G468)),NOT(ISNUMBER(H468))),"",H468-G468)</f>
        <v/>
      </c>
      <c r="J468" s="319">
        <f>IF(OR(NOT(ISNUMBER(G468)),NOT(ISNUMBER(H468)),G468=0),"",I468/G468)</f>
        <v/>
      </c>
      <c r="K468" s="319">
        <f>IF(OR(NOT(ISNUMBER(G468)),NOT(ISNUMBER(H468)),G468=0),"",H468/G468)</f>
        <v/>
      </c>
      <c r="L468">
        <f>IF(NOT(ISNUMBER(G468)),"SEM META",IF(G468=0,"SEM META",IF(NOT(ISNUMBER(H468)),"SEM APONTAMENTO",IF(H468&gt;=G468,"VERDE",IF(H468&gt;=G468*0.9,"AMARELO","VERMELHO")))))</f>
        <v/>
      </c>
      <c r="M468" s="162" t="n"/>
      <c r="N468" s="162" t="n"/>
      <c r="O468" s="162" t="n"/>
      <c r="P468" s="162" t="n"/>
      <c r="Q468" s="320" t="n"/>
      <c r="R468" s="162" t="inlineStr">
        <is>
          <t>CONTROLE PRODUÇÃO POR EMPRESAS!F83</t>
        </is>
      </c>
    </row>
    <row r="469" ht="28.5" customHeight="1">
      <c r="A469" s="317" t="n">
        <v>46300</v>
      </c>
      <c r="B469" t="inlineStr">
        <is>
          <t>GERAL</t>
        </is>
      </c>
      <c r="C469" t="inlineStr">
        <is>
          <t>CMM</t>
        </is>
      </c>
      <c r="D469" t="inlineStr">
        <is>
          <t>VIGAS</t>
        </is>
      </c>
      <c r="F469" s="159">
        <f>IFERROR(INDEX('BASE METAS DIÁRIAS'!$N$2:$S$358,MATCH($A469,'BASE METAS DIÁRIAS'!$A$2:$A$358,0),MOD(ROW()-2,6)+1),"")</f>
        <v/>
      </c>
      <c r="G469" s="159">
        <f>IFERROR(IF(WEEKDAY($A469,2)&lt;=INDEX('BASE METAS DIÁRIAS'!$H$2:$M$358,MATCH($A469,'BASE METAS DIÁRIAS'!$A$2:$A$358,0),MOD(ROW()-2,6)+1),INDEX('BASE METAS DIÁRIAS'!$B$2:$G$358,MATCH($A469,'BASE METAS DIÁRIAS'!$A$2:$A$358,0),MOD(ROW()-2,6)+1),""),"")</f>
        <v/>
      </c>
      <c r="H469" s="159">
        <f>IFERROR(IF(INDEX('CONTROLE PRODUÇÃO POR EMPRESAS'!$B$6:$G$5000,MATCH($A469,'CONTROLE PRODUÇÃO POR EMPRESAS'!$A$6:$A$5000,0),MOD(ROW()-2,6)+1)="","",IFERROR(1*INDEX('CONTROLE PRODUÇÃO POR EMPRESAS'!$B$6:$G$5000,MATCH($A469,'CONTROLE PRODUÇÃO POR EMPRESAS'!$A$6:$A$5000,0),MOD(ROW()-2,6)+1),"")),"")</f>
        <v/>
      </c>
      <c r="I469" s="159">
        <f>IF(OR(NOT(ISNUMBER(G469)),NOT(ISNUMBER(H469))),"",H469-G469)</f>
        <v/>
      </c>
      <c r="J469" s="319">
        <f>IF(OR(NOT(ISNUMBER(G469)),NOT(ISNUMBER(H469)),G469=0),"",I469/G469)</f>
        <v/>
      </c>
      <c r="K469" s="319">
        <f>IF(OR(NOT(ISNUMBER(G469)),NOT(ISNUMBER(H469)),G469=0),"",H469/G469)</f>
        <v/>
      </c>
      <c r="L469">
        <f>IF(NOT(ISNUMBER(G469)),"SEM META",IF(G469=0,"SEM META",IF(NOT(ISNUMBER(H469)),"SEM APONTAMENTO",IF(H469&gt;=G469,"VERDE",IF(H469&gt;=G469*0.9,"AMARELO","VERMELHO")))))</f>
        <v/>
      </c>
      <c r="M469" s="162" t="n"/>
      <c r="N469" s="162" t="n"/>
      <c r="O469" s="162" t="n"/>
      <c r="P469" s="162" t="n"/>
      <c r="Q469" s="320" t="n"/>
      <c r="R469" s="162" t="inlineStr">
        <is>
          <t>CONTROLE PRODUÇÃO POR EMPRESAS!G83</t>
        </is>
      </c>
    </row>
    <row r="470" ht="28.5" customHeight="1">
      <c r="A470" s="317" t="n">
        <v>46301</v>
      </c>
      <c r="B470" t="inlineStr">
        <is>
          <t>GERAL</t>
        </is>
      </c>
      <c r="C470" t="inlineStr">
        <is>
          <t>EJ</t>
        </is>
      </c>
      <c r="D470" t="inlineStr">
        <is>
          <t>PREMONTAGEM</t>
        </is>
      </c>
      <c r="F470" s="159">
        <f>IFERROR(INDEX('BASE METAS DIÁRIAS'!$N$2:$S$358,MATCH($A470,'BASE METAS DIÁRIAS'!$A$2:$A$358,0),MOD(ROW()-2,6)+1),"")</f>
        <v/>
      </c>
      <c r="G470" s="159">
        <f>IFERROR(IF(WEEKDAY($A470,2)&lt;=INDEX('BASE METAS DIÁRIAS'!$H$2:$M$358,MATCH($A470,'BASE METAS DIÁRIAS'!$A$2:$A$358,0),MOD(ROW()-2,6)+1),INDEX('BASE METAS DIÁRIAS'!$B$2:$G$358,MATCH($A470,'BASE METAS DIÁRIAS'!$A$2:$A$358,0),MOD(ROW()-2,6)+1),""),"")</f>
        <v/>
      </c>
      <c r="H470" s="159">
        <f>IFERROR(IF(INDEX('CONTROLE PRODUÇÃO POR EMPRESAS'!$B$6:$G$5000,MATCH($A470,'CONTROLE PRODUÇÃO POR EMPRESAS'!$A$6:$A$5000,0),MOD(ROW()-2,6)+1)="","",IFERROR(1*INDEX('CONTROLE PRODUÇÃO POR EMPRESAS'!$B$6:$G$5000,MATCH($A470,'CONTROLE PRODUÇÃO POR EMPRESAS'!$A$6:$A$5000,0),MOD(ROW()-2,6)+1),"")),"")</f>
        <v/>
      </c>
      <c r="I470" s="159">
        <f>IF(OR(NOT(ISNUMBER(G470)),NOT(ISNUMBER(H470))),"",H470-G470)</f>
        <v/>
      </c>
      <c r="J470" s="319">
        <f>IF(OR(NOT(ISNUMBER(G470)),NOT(ISNUMBER(H470)),G470=0),"",I470/G470)</f>
        <v/>
      </c>
      <c r="K470" s="319">
        <f>IF(OR(NOT(ISNUMBER(G470)),NOT(ISNUMBER(H470)),G470=0),"",H470/G470)</f>
        <v/>
      </c>
      <c r="L470">
        <f>IF(NOT(ISNUMBER(G470)),"SEM META",IF(G470=0,"SEM META",IF(NOT(ISNUMBER(H470)),"SEM APONTAMENTO",IF(H470&gt;=G470,"VERDE",IF(H470&gt;=G470*0.9,"AMARELO","VERMELHO")))))</f>
        <v/>
      </c>
      <c r="M470" s="162" t="n"/>
      <c r="N470" s="162" t="n"/>
      <c r="O470" s="162" t="n"/>
      <c r="P470" s="162" t="n"/>
      <c r="Q470" s="320" t="n"/>
      <c r="R470" s="162" t="inlineStr">
        <is>
          <t>CONTROLE PRODUÇÃO POR EMPRESAS!B84</t>
        </is>
      </c>
    </row>
    <row r="471" ht="28.5" customHeight="1">
      <c r="A471" s="317" t="n">
        <v>46301</v>
      </c>
      <c r="B471" t="inlineStr">
        <is>
          <t>GERAL</t>
        </is>
      </c>
      <c r="C471" t="inlineStr">
        <is>
          <t>EJ</t>
        </is>
      </c>
      <c r="D471" t="inlineStr">
        <is>
          <t>IÇAMENTO JOIST</t>
        </is>
      </c>
      <c r="F471" s="159">
        <f>IFERROR(INDEX('BASE METAS DIÁRIAS'!$N$2:$S$358,MATCH($A471,'BASE METAS DIÁRIAS'!$A$2:$A$358,0),MOD(ROW()-2,6)+1),"")</f>
        <v/>
      </c>
      <c r="G471" s="159">
        <f>IFERROR(IF(WEEKDAY($A471,2)&lt;=INDEX('BASE METAS DIÁRIAS'!$H$2:$M$358,MATCH($A471,'BASE METAS DIÁRIAS'!$A$2:$A$358,0),MOD(ROW()-2,6)+1),INDEX('BASE METAS DIÁRIAS'!$B$2:$G$358,MATCH($A471,'BASE METAS DIÁRIAS'!$A$2:$A$358,0),MOD(ROW()-2,6)+1),""),"")</f>
        <v/>
      </c>
      <c r="H471" s="159">
        <f>IFERROR(IF(INDEX('CONTROLE PRODUÇÃO POR EMPRESAS'!$B$6:$G$5000,MATCH($A471,'CONTROLE PRODUÇÃO POR EMPRESAS'!$A$6:$A$5000,0),MOD(ROW()-2,6)+1)="","",IFERROR(1*INDEX('CONTROLE PRODUÇÃO POR EMPRESAS'!$B$6:$G$5000,MATCH($A471,'CONTROLE PRODUÇÃO POR EMPRESAS'!$A$6:$A$5000,0),MOD(ROW()-2,6)+1),"")),"")</f>
        <v/>
      </c>
      <c r="I471" s="159">
        <f>IF(OR(NOT(ISNUMBER(G471)),NOT(ISNUMBER(H471))),"",H471-G471)</f>
        <v/>
      </c>
      <c r="J471" s="319">
        <f>IF(OR(NOT(ISNUMBER(G471)),NOT(ISNUMBER(H471)),G471=0),"",I471/G471)</f>
        <v/>
      </c>
      <c r="K471" s="319">
        <f>IF(OR(NOT(ISNUMBER(G471)),NOT(ISNUMBER(H471)),G471=0),"",H471/G471)</f>
        <v/>
      </c>
      <c r="L471">
        <f>IF(NOT(ISNUMBER(G471)),"SEM META",IF(G471=0,"SEM META",IF(NOT(ISNUMBER(H471)),"SEM APONTAMENTO",IF(H471&gt;=G471,"VERDE",IF(H471&gt;=G471*0.9,"AMARELO","VERMELHO")))))</f>
        <v/>
      </c>
      <c r="M471" s="162" t="n"/>
      <c r="N471" s="162" t="n"/>
      <c r="O471" s="162" t="n"/>
      <c r="P471" s="162" t="n"/>
      <c r="Q471" s="320" t="n"/>
      <c r="R471" s="162" t="inlineStr">
        <is>
          <t>CONTROLE PRODUÇÃO POR EMPRESAS!C84</t>
        </is>
      </c>
    </row>
    <row r="472" ht="28.5" customHeight="1">
      <c r="A472" s="317" t="n">
        <v>46301</v>
      </c>
      <c r="B472" t="inlineStr">
        <is>
          <t>GERAL</t>
        </is>
      </c>
      <c r="C472" t="inlineStr">
        <is>
          <t>EJ</t>
        </is>
      </c>
      <c r="D472" t="inlineStr">
        <is>
          <t>VIGAS</t>
        </is>
      </c>
      <c r="F472" s="159">
        <f>IFERROR(INDEX('BASE METAS DIÁRIAS'!$N$2:$S$358,MATCH($A472,'BASE METAS DIÁRIAS'!$A$2:$A$358,0),MOD(ROW()-2,6)+1),"")</f>
        <v/>
      </c>
      <c r="G472" s="159">
        <f>IFERROR(IF(WEEKDAY($A472,2)&lt;=INDEX('BASE METAS DIÁRIAS'!$H$2:$M$358,MATCH($A472,'BASE METAS DIÁRIAS'!$A$2:$A$358,0),MOD(ROW()-2,6)+1),INDEX('BASE METAS DIÁRIAS'!$B$2:$G$358,MATCH($A472,'BASE METAS DIÁRIAS'!$A$2:$A$358,0),MOD(ROW()-2,6)+1),""),"")</f>
        <v/>
      </c>
      <c r="H472" s="159">
        <f>IFERROR(IF(INDEX('CONTROLE PRODUÇÃO POR EMPRESAS'!$B$6:$G$5000,MATCH($A472,'CONTROLE PRODUÇÃO POR EMPRESAS'!$A$6:$A$5000,0),MOD(ROW()-2,6)+1)="","",IFERROR(1*INDEX('CONTROLE PRODUÇÃO POR EMPRESAS'!$B$6:$G$5000,MATCH($A472,'CONTROLE PRODUÇÃO POR EMPRESAS'!$A$6:$A$5000,0),MOD(ROW()-2,6)+1),"")),"")</f>
        <v/>
      </c>
      <c r="I472" s="159">
        <f>IF(OR(NOT(ISNUMBER(G472)),NOT(ISNUMBER(H472))),"",H472-G472)</f>
        <v/>
      </c>
      <c r="J472" s="319">
        <f>IF(OR(NOT(ISNUMBER(G472)),NOT(ISNUMBER(H472)),G472=0),"",I472/G472)</f>
        <v/>
      </c>
      <c r="K472" s="319">
        <f>IF(OR(NOT(ISNUMBER(G472)),NOT(ISNUMBER(H472)),G472=0),"",H472/G472)</f>
        <v/>
      </c>
      <c r="L472">
        <f>IF(NOT(ISNUMBER(G472)),"SEM META",IF(G472=0,"SEM META",IF(NOT(ISNUMBER(H472)),"SEM APONTAMENTO",IF(H472&gt;=G472,"VERDE",IF(H472&gt;=G472*0.9,"AMARELO","VERMELHO")))))</f>
        <v/>
      </c>
      <c r="M472" s="162" t="n"/>
      <c r="N472" s="162" t="n"/>
      <c r="O472" s="162" t="n"/>
      <c r="P472" s="162" t="n"/>
      <c r="Q472" s="320" t="n"/>
      <c r="R472" s="162" t="inlineStr">
        <is>
          <t>CONTROLE PRODUÇÃO POR EMPRESAS!D84</t>
        </is>
      </c>
    </row>
    <row r="473" ht="28.5" customHeight="1">
      <c r="A473" s="317" t="n">
        <v>46301</v>
      </c>
      <c r="B473" t="inlineStr">
        <is>
          <t>GERAL</t>
        </is>
      </c>
      <c r="C473" t="inlineStr">
        <is>
          <t>CMM</t>
        </is>
      </c>
      <c r="D473" t="inlineStr">
        <is>
          <t>PREMONTAGEM</t>
        </is>
      </c>
      <c r="F473" s="159">
        <f>IFERROR(INDEX('BASE METAS DIÁRIAS'!$N$2:$S$358,MATCH($A473,'BASE METAS DIÁRIAS'!$A$2:$A$358,0),MOD(ROW()-2,6)+1),"")</f>
        <v/>
      </c>
      <c r="G473" s="159">
        <f>IFERROR(IF(WEEKDAY($A473,2)&lt;=INDEX('BASE METAS DIÁRIAS'!$H$2:$M$358,MATCH($A473,'BASE METAS DIÁRIAS'!$A$2:$A$358,0),MOD(ROW()-2,6)+1),INDEX('BASE METAS DIÁRIAS'!$B$2:$G$358,MATCH($A473,'BASE METAS DIÁRIAS'!$A$2:$A$358,0),MOD(ROW()-2,6)+1),""),"")</f>
        <v/>
      </c>
      <c r="H473" s="159">
        <f>IFERROR(IF(INDEX('CONTROLE PRODUÇÃO POR EMPRESAS'!$B$6:$G$5000,MATCH($A473,'CONTROLE PRODUÇÃO POR EMPRESAS'!$A$6:$A$5000,0),MOD(ROW()-2,6)+1)="","",IFERROR(1*INDEX('CONTROLE PRODUÇÃO POR EMPRESAS'!$B$6:$G$5000,MATCH($A473,'CONTROLE PRODUÇÃO POR EMPRESAS'!$A$6:$A$5000,0),MOD(ROW()-2,6)+1),"")),"")</f>
        <v/>
      </c>
      <c r="I473" s="159">
        <f>IF(OR(NOT(ISNUMBER(G473)),NOT(ISNUMBER(H473))),"",H473-G473)</f>
        <v/>
      </c>
      <c r="J473" s="319">
        <f>IF(OR(NOT(ISNUMBER(G473)),NOT(ISNUMBER(H473)),G473=0),"",I473/G473)</f>
        <v/>
      </c>
      <c r="K473" s="319">
        <f>IF(OR(NOT(ISNUMBER(G473)),NOT(ISNUMBER(H473)),G473=0),"",H473/G473)</f>
        <v/>
      </c>
      <c r="L473">
        <f>IF(NOT(ISNUMBER(G473)),"SEM META",IF(G473=0,"SEM META",IF(NOT(ISNUMBER(H473)),"SEM APONTAMENTO",IF(H473&gt;=G473,"VERDE",IF(H473&gt;=G473*0.9,"AMARELO","VERMELHO")))))</f>
        <v/>
      </c>
      <c r="M473" s="162" t="n"/>
      <c r="N473" s="162" t="n"/>
      <c r="O473" s="162" t="n"/>
      <c r="P473" s="162" t="n"/>
      <c r="Q473" s="320" t="n"/>
      <c r="R473" s="162" t="inlineStr">
        <is>
          <t>CONTROLE PRODUÇÃO POR EMPRESAS!E84</t>
        </is>
      </c>
    </row>
    <row r="474" ht="28.5" customHeight="1">
      <c r="A474" s="317" t="n">
        <v>46301</v>
      </c>
      <c r="B474" t="inlineStr">
        <is>
          <t>GERAL</t>
        </is>
      </c>
      <c r="C474" t="inlineStr">
        <is>
          <t>CMM</t>
        </is>
      </c>
      <c r="D474" t="inlineStr">
        <is>
          <t>IÇAMENTO JOIST</t>
        </is>
      </c>
      <c r="F474" s="159">
        <f>IFERROR(INDEX('BASE METAS DIÁRIAS'!$N$2:$S$358,MATCH($A474,'BASE METAS DIÁRIAS'!$A$2:$A$358,0),MOD(ROW()-2,6)+1),"")</f>
        <v/>
      </c>
      <c r="G474" s="159">
        <f>IFERROR(IF(WEEKDAY($A474,2)&lt;=INDEX('BASE METAS DIÁRIAS'!$H$2:$M$358,MATCH($A474,'BASE METAS DIÁRIAS'!$A$2:$A$358,0),MOD(ROW()-2,6)+1),INDEX('BASE METAS DIÁRIAS'!$B$2:$G$358,MATCH($A474,'BASE METAS DIÁRIAS'!$A$2:$A$358,0),MOD(ROW()-2,6)+1),""),"")</f>
        <v/>
      </c>
      <c r="H474" s="159">
        <f>IFERROR(IF(INDEX('CONTROLE PRODUÇÃO POR EMPRESAS'!$B$6:$G$5000,MATCH($A474,'CONTROLE PRODUÇÃO POR EMPRESAS'!$A$6:$A$5000,0),MOD(ROW()-2,6)+1)="","",IFERROR(1*INDEX('CONTROLE PRODUÇÃO POR EMPRESAS'!$B$6:$G$5000,MATCH($A474,'CONTROLE PRODUÇÃO POR EMPRESAS'!$A$6:$A$5000,0),MOD(ROW()-2,6)+1),"")),"")</f>
        <v/>
      </c>
      <c r="I474" s="159">
        <f>IF(OR(NOT(ISNUMBER(G474)),NOT(ISNUMBER(H474))),"",H474-G474)</f>
        <v/>
      </c>
      <c r="J474" s="319">
        <f>IF(OR(NOT(ISNUMBER(G474)),NOT(ISNUMBER(H474)),G474=0),"",I474/G474)</f>
        <v/>
      </c>
      <c r="K474" s="319">
        <f>IF(OR(NOT(ISNUMBER(G474)),NOT(ISNUMBER(H474)),G474=0),"",H474/G474)</f>
        <v/>
      </c>
      <c r="L474">
        <f>IF(NOT(ISNUMBER(G474)),"SEM META",IF(G474=0,"SEM META",IF(NOT(ISNUMBER(H474)),"SEM APONTAMENTO",IF(H474&gt;=G474,"VERDE",IF(H474&gt;=G474*0.9,"AMARELO","VERMELHO")))))</f>
        <v/>
      </c>
      <c r="M474" s="162" t="n"/>
      <c r="N474" s="162" t="n"/>
      <c r="O474" s="162" t="n"/>
      <c r="P474" s="162" t="n"/>
      <c r="Q474" s="320" t="n"/>
      <c r="R474" s="162" t="inlineStr">
        <is>
          <t>CONTROLE PRODUÇÃO POR EMPRESAS!F84</t>
        </is>
      </c>
    </row>
    <row r="475" ht="28.5" customHeight="1">
      <c r="A475" s="317" t="n">
        <v>46301</v>
      </c>
      <c r="B475" t="inlineStr">
        <is>
          <t>GERAL</t>
        </is>
      </c>
      <c r="C475" t="inlineStr">
        <is>
          <t>CMM</t>
        </is>
      </c>
      <c r="D475" t="inlineStr">
        <is>
          <t>VIGAS</t>
        </is>
      </c>
      <c r="F475" s="159">
        <f>IFERROR(INDEX('BASE METAS DIÁRIAS'!$N$2:$S$358,MATCH($A475,'BASE METAS DIÁRIAS'!$A$2:$A$358,0),MOD(ROW()-2,6)+1),"")</f>
        <v/>
      </c>
      <c r="G475" s="159">
        <f>IFERROR(IF(WEEKDAY($A475,2)&lt;=INDEX('BASE METAS DIÁRIAS'!$H$2:$M$358,MATCH($A475,'BASE METAS DIÁRIAS'!$A$2:$A$358,0),MOD(ROW()-2,6)+1),INDEX('BASE METAS DIÁRIAS'!$B$2:$G$358,MATCH($A475,'BASE METAS DIÁRIAS'!$A$2:$A$358,0),MOD(ROW()-2,6)+1),""),"")</f>
        <v/>
      </c>
      <c r="H475" s="159">
        <f>IFERROR(IF(INDEX('CONTROLE PRODUÇÃO POR EMPRESAS'!$B$6:$G$5000,MATCH($A475,'CONTROLE PRODUÇÃO POR EMPRESAS'!$A$6:$A$5000,0),MOD(ROW()-2,6)+1)="","",IFERROR(1*INDEX('CONTROLE PRODUÇÃO POR EMPRESAS'!$B$6:$G$5000,MATCH($A475,'CONTROLE PRODUÇÃO POR EMPRESAS'!$A$6:$A$5000,0),MOD(ROW()-2,6)+1),"")),"")</f>
        <v/>
      </c>
      <c r="I475" s="159">
        <f>IF(OR(NOT(ISNUMBER(G475)),NOT(ISNUMBER(H475))),"",H475-G475)</f>
        <v/>
      </c>
      <c r="J475" s="319">
        <f>IF(OR(NOT(ISNUMBER(G475)),NOT(ISNUMBER(H475)),G475=0),"",I475/G475)</f>
        <v/>
      </c>
      <c r="K475" s="319">
        <f>IF(OR(NOT(ISNUMBER(G475)),NOT(ISNUMBER(H475)),G475=0),"",H475/G475)</f>
        <v/>
      </c>
      <c r="L475">
        <f>IF(NOT(ISNUMBER(G475)),"SEM META",IF(G475=0,"SEM META",IF(NOT(ISNUMBER(H475)),"SEM APONTAMENTO",IF(H475&gt;=G475,"VERDE",IF(H475&gt;=G475*0.9,"AMARELO","VERMELHO")))))</f>
        <v/>
      </c>
      <c r="M475" s="162" t="n"/>
      <c r="N475" s="162" t="n"/>
      <c r="O475" s="162" t="n"/>
      <c r="P475" s="162" t="n"/>
      <c r="Q475" s="320" t="n"/>
      <c r="R475" s="162" t="inlineStr">
        <is>
          <t>CONTROLE PRODUÇÃO POR EMPRESAS!G84</t>
        </is>
      </c>
    </row>
    <row r="476" ht="28.5" customHeight="1">
      <c r="A476" s="317" t="n">
        <v>46302</v>
      </c>
      <c r="B476" t="inlineStr">
        <is>
          <t>GERAL</t>
        </is>
      </c>
      <c r="C476" t="inlineStr">
        <is>
          <t>EJ</t>
        </is>
      </c>
      <c r="D476" t="inlineStr">
        <is>
          <t>PREMONTAGEM</t>
        </is>
      </c>
      <c r="F476" s="159">
        <f>IFERROR(INDEX('BASE METAS DIÁRIAS'!$N$2:$S$358,MATCH($A476,'BASE METAS DIÁRIAS'!$A$2:$A$358,0),MOD(ROW()-2,6)+1),"")</f>
        <v/>
      </c>
      <c r="G476" s="159">
        <f>IFERROR(IF(WEEKDAY($A476,2)&lt;=INDEX('BASE METAS DIÁRIAS'!$H$2:$M$358,MATCH($A476,'BASE METAS DIÁRIAS'!$A$2:$A$358,0),MOD(ROW()-2,6)+1),INDEX('BASE METAS DIÁRIAS'!$B$2:$G$358,MATCH($A476,'BASE METAS DIÁRIAS'!$A$2:$A$358,0),MOD(ROW()-2,6)+1),""),"")</f>
        <v/>
      </c>
      <c r="H476" s="159">
        <f>IFERROR(IF(INDEX('CONTROLE PRODUÇÃO POR EMPRESAS'!$B$6:$G$5000,MATCH($A476,'CONTROLE PRODUÇÃO POR EMPRESAS'!$A$6:$A$5000,0),MOD(ROW()-2,6)+1)="","",IFERROR(1*INDEX('CONTROLE PRODUÇÃO POR EMPRESAS'!$B$6:$G$5000,MATCH($A476,'CONTROLE PRODUÇÃO POR EMPRESAS'!$A$6:$A$5000,0),MOD(ROW()-2,6)+1),"")),"")</f>
        <v/>
      </c>
      <c r="I476" s="159">
        <f>IF(OR(NOT(ISNUMBER(G476)),NOT(ISNUMBER(H476))),"",H476-G476)</f>
        <v/>
      </c>
      <c r="J476" s="319">
        <f>IF(OR(NOT(ISNUMBER(G476)),NOT(ISNUMBER(H476)),G476=0),"",I476/G476)</f>
        <v/>
      </c>
      <c r="K476" s="319">
        <f>IF(OR(NOT(ISNUMBER(G476)),NOT(ISNUMBER(H476)),G476=0),"",H476/G476)</f>
        <v/>
      </c>
      <c r="L476">
        <f>IF(NOT(ISNUMBER(G476)),"SEM META",IF(G476=0,"SEM META",IF(NOT(ISNUMBER(H476)),"SEM APONTAMENTO",IF(H476&gt;=G476,"VERDE",IF(H476&gt;=G476*0.9,"AMARELO","VERMELHO")))))</f>
        <v/>
      </c>
      <c r="M476" s="162" t="n"/>
      <c r="N476" s="162" t="n"/>
      <c r="O476" s="162" t="n"/>
      <c r="P476" s="162" t="n"/>
      <c r="Q476" s="320" t="n"/>
      <c r="R476" s="162" t="inlineStr">
        <is>
          <t>CONTROLE PRODUÇÃO POR EMPRESAS!B85</t>
        </is>
      </c>
    </row>
    <row r="477" ht="28.5" customHeight="1">
      <c r="A477" s="317" t="n">
        <v>46302</v>
      </c>
      <c r="B477" t="inlineStr">
        <is>
          <t>GERAL</t>
        </is>
      </c>
      <c r="C477" t="inlineStr">
        <is>
          <t>EJ</t>
        </is>
      </c>
      <c r="D477" t="inlineStr">
        <is>
          <t>IÇAMENTO JOIST</t>
        </is>
      </c>
      <c r="F477" s="159">
        <f>IFERROR(INDEX('BASE METAS DIÁRIAS'!$N$2:$S$358,MATCH($A477,'BASE METAS DIÁRIAS'!$A$2:$A$358,0),MOD(ROW()-2,6)+1),"")</f>
        <v/>
      </c>
      <c r="G477" s="159">
        <f>IFERROR(IF(WEEKDAY($A477,2)&lt;=INDEX('BASE METAS DIÁRIAS'!$H$2:$M$358,MATCH($A477,'BASE METAS DIÁRIAS'!$A$2:$A$358,0),MOD(ROW()-2,6)+1),INDEX('BASE METAS DIÁRIAS'!$B$2:$G$358,MATCH($A477,'BASE METAS DIÁRIAS'!$A$2:$A$358,0),MOD(ROW()-2,6)+1),""),"")</f>
        <v/>
      </c>
      <c r="H477" s="159">
        <f>IFERROR(IF(INDEX('CONTROLE PRODUÇÃO POR EMPRESAS'!$B$6:$G$5000,MATCH($A477,'CONTROLE PRODUÇÃO POR EMPRESAS'!$A$6:$A$5000,0),MOD(ROW()-2,6)+1)="","",IFERROR(1*INDEX('CONTROLE PRODUÇÃO POR EMPRESAS'!$B$6:$G$5000,MATCH($A477,'CONTROLE PRODUÇÃO POR EMPRESAS'!$A$6:$A$5000,0),MOD(ROW()-2,6)+1),"")),"")</f>
        <v/>
      </c>
      <c r="I477" s="159">
        <f>IF(OR(NOT(ISNUMBER(G477)),NOT(ISNUMBER(H477))),"",H477-G477)</f>
        <v/>
      </c>
      <c r="J477" s="319">
        <f>IF(OR(NOT(ISNUMBER(G477)),NOT(ISNUMBER(H477)),G477=0),"",I477/G477)</f>
        <v/>
      </c>
      <c r="K477" s="319">
        <f>IF(OR(NOT(ISNUMBER(G477)),NOT(ISNUMBER(H477)),G477=0),"",H477/G477)</f>
        <v/>
      </c>
      <c r="L477">
        <f>IF(NOT(ISNUMBER(G477)),"SEM META",IF(G477=0,"SEM META",IF(NOT(ISNUMBER(H477)),"SEM APONTAMENTO",IF(H477&gt;=G477,"VERDE",IF(H477&gt;=G477*0.9,"AMARELO","VERMELHO")))))</f>
        <v/>
      </c>
      <c r="M477" s="162" t="n"/>
      <c r="N477" s="162" t="n"/>
      <c r="O477" s="162" t="n"/>
      <c r="P477" s="162" t="n"/>
      <c r="Q477" s="320" t="n"/>
      <c r="R477" s="162" t="inlineStr">
        <is>
          <t>CONTROLE PRODUÇÃO POR EMPRESAS!C85</t>
        </is>
      </c>
    </row>
    <row r="478" ht="28.5" customHeight="1">
      <c r="A478" s="317" t="n">
        <v>46302</v>
      </c>
      <c r="B478" t="inlineStr">
        <is>
          <t>GERAL</t>
        </is>
      </c>
      <c r="C478" t="inlineStr">
        <is>
          <t>EJ</t>
        </is>
      </c>
      <c r="D478" t="inlineStr">
        <is>
          <t>VIGAS</t>
        </is>
      </c>
      <c r="F478" s="159">
        <f>IFERROR(INDEX('BASE METAS DIÁRIAS'!$N$2:$S$358,MATCH($A478,'BASE METAS DIÁRIAS'!$A$2:$A$358,0),MOD(ROW()-2,6)+1),"")</f>
        <v/>
      </c>
      <c r="G478" s="159">
        <f>IFERROR(IF(WEEKDAY($A478,2)&lt;=INDEX('BASE METAS DIÁRIAS'!$H$2:$M$358,MATCH($A478,'BASE METAS DIÁRIAS'!$A$2:$A$358,0),MOD(ROW()-2,6)+1),INDEX('BASE METAS DIÁRIAS'!$B$2:$G$358,MATCH($A478,'BASE METAS DIÁRIAS'!$A$2:$A$358,0),MOD(ROW()-2,6)+1),""),"")</f>
        <v/>
      </c>
      <c r="H478" s="159">
        <f>IFERROR(IF(INDEX('CONTROLE PRODUÇÃO POR EMPRESAS'!$B$6:$G$5000,MATCH($A478,'CONTROLE PRODUÇÃO POR EMPRESAS'!$A$6:$A$5000,0),MOD(ROW()-2,6)+1)="","",IFERROR(1*INDEX('CONTROLE PRODUÇÃO POR EMPRESAS'!$B$6:$G$5000,MATCH($A478,'CONTROLE PRODUÇÃO POR EMPRESAS'!$A$6:$A$5000,0),MOD(ROW()-2,6)+1),"")),"")</f>
        <v/>
      </c>
      <c r="I478" s="159">
        <f>IF(OR(NOT(ISNUMBER(G478)),NOT(ISNUMBER(H478))),"",H478-G478)</f>
        <v/>
      </c>
      <c r="J478" s="319">
        <f>IF(OR(NOT(ISNUMBER(G478)),NOT(ISNUMBER(H478)),G478=0),"",I478/G478)</f>
        <v/>
      </c>
      <c r="K478" s="319">
        <f>IF(OR(NOT(ISNUMBER(G478)),NOT(ISNUMBER(H478)),G478=0),"",H478/G478)</f>
        <v/>
      </c>
      <c r="L478">
        <f>IF(NOT(ISNUMBER(G478)),"SEM META",IF(G478=0,"SEM META",IF(NOT(ISNUMBER(H478)),"SEM APONTAMENTO",IF(H478&gt;=G478,"VERDE",IF(H478&gt;=G478*0.9,"AMARELO","VERMELHO")))))</f>
        <v/>
      </c>
      <c r="M478" s="162" t="n"/>
      <c r="N478" s="162" t="n"/>
      <c r="O478" s="162" t="n"/>
      <c r="P478" s="162" t="n"/>
      <c r="Q478" s="320" t="n"/>
      <c r="R478" s="162" t="inlineStr">
        <is>
          <t>CONTROLE PRODUÇÃO POR EMPRESAS!D85</t>
        </is>
      </c>
    </row>
    <row r="479" ht="28.5" customHeight="1">
      <c r="A479" s="317" t="n">
        <v>46302</v>
      </c>
      <c r="B479" t="inlineStr">
        <is>
          <t>GERAL</t>
        </is>
      </c>
      <c r="C479" t="inlineStr">
        <is>
          <t>CMM</t>
        </is>
      </c>
      <c r="D479" t="inlineStr">
        <is>
          <t>PREMONTAGEM</t>
        </is>
      </c>
      <c r="F479" s="159">
        <f>IFERROR(INDEX('BASE METAS DIÁRIAS'!$N$2:$S$358,MATCH($A479,'BASE METAS DIÁRIAS'!$A$2:$A$358,0),MOD(ROW()-2,6)+1),"")</f>
        <v/>
      </c>
      <c r="G479" s="159">
        <f>IFERROR(IF(WEEKDAY($A479,2)&lt;=INDEX('BASE METAS DIÁRIAS'!$H$2:$M$358,MATCH($A479,'BASE METAS DIÁRIAS'!$A$2:$A$358,0),MOD(ROW()-2,6)+1),INDEX('BASE METAS DIÁRIAS'!$B$2:$G$358,MATCH($A479,'BASE METAS DIÁRIAS'!$A$2:$A$358,0),MOD(ROW()-2,6)+1),""),"")</f>
        <v/>
      </c>
      <c r="H479" s="159">
        <f>IFERROR(IF(INDEX('CONTROLE PRODUÇÃO POR EMPRESAS'!$B$6:$G$5000,MATCH($A479,'CONTROLE PRODUÇÃO POR EMPRESAS'!$A$6:$A$5000,0),MOD(ROW()-2,6)+1)="","",IFERROR(1*INDEX('CONTROLE PRODUÇÃO POR EMPRESAS'!$B$6:$G$5000,MATCH($A479,'CONTROLE PRODUÇÃO POR EMPRESAS'!$A$6:$A$5000,0),MOD(ROW()-2,6)+1),"")),"")</f>
        <v/>
      </c>
      <c r="I479" s="159">
        <f>IF(OR(NOT(ISNUMBER(G479)),NOT(ISNUMBER(H479))),"",H479-G479)</f>
        <v/>
      </c>
      <c r="J479" s="319">
        <f>IF(OR(NOT(ISNUMBER(G479)),NOT(ISNUMBER(H479)),G479=0),"",I479/G479)</f>
        <v/>
      </c>
      <c r="K479" s="319">
        <f>IF(OR(NOT(ISNUMBER(G479)),NOT(ISNUMBER(H479)),G479=0),"",H479/G479)</f>
        <v/>
      </c>
      <c r="L479">
        <f>IF(NOT(ISNUMBER(G479)),"SEM META",IF(G479=0,"SEM META",IF(NOT(ISNUMBER(H479)),"SEM APONTAMENTO",IF(H479&gt;=G479,"VERDE",IF(H479&gt;=G479*0.9,"AMARELO","VERMELHO")))))</f>
        <v/>
      </c>
      <c r="M479" s="162" t="n"/>
      <c r="N479" s="162" t="n"/>
      <c r="O479" s="162" t="n"/>
      <c r="P479" s="162" t="n"/>
      <c r="Q479" s="320" t="n"/>
      <c r="R479" s="162" t="inlineStr">
        <is>
          <t>CONTROLE PRODUÇÃO POR EMPRESAS!E85</t>
        </is>
      </c>
    </row>
    <row r="480" ht="28.5" customHeight="1">
      <c r="A480" s="317" t="n">
        <v>46302</v>
      </c>
      <c r="B480" t="inlineStr">
        <is>
          <t>GERAL</t>
        </is>
      </c>
      <c r="C480" t="inlineStr">
        <is>
          <t>CMM</t>
        </is>
      </c>
      <c r="D480" t="inlineStr">
        <is>
          <t>IÇAMENTO JOIST</t>
        </is>
      </c>
      <c r="F480" s="159">
        <f>IFERROR(INDEX('BASE METAS DIÁRIAS'!$N$2:$S$358,MATCH($A480,'BASE METAS DIÁRIAS'!$A$2:$A$358,0),MOD(ROW()-2,6)+1),"")</f>
        <v/>
      </c>
      <c r="G480" s="159">
        <f>IFERROR(IF(WEEKDAY($A480,2)&lt;=INDEX('BASE METAS DIÁRIAS'!$H$2:$M$358,MATCH($A480,'BASE METAS DIÁRIAS'!$A$2:$A$358,0),MOD(ROW()-2,6)+1),INDEX('BASE METAS DIÁRIAS'!$B$2:$G$358,MATCH($A480,'BASE METAS DIÁRIAS'!$A$2:$A$358,0),MOD(ROW()-2,6)+1),""),"")</f>
        <v/>
      </c>
      <c r="H480" s="159">
        <f>IFERROR(IF(INDEX('CONTROLE PRODUÇÃO POR EMPRESAS'!$B$6:$G$5000,MATCH($A480,'CONTROLE PRODUÇÃO POR EMPRESAS'!$A$6:$A$5000,0),MOD(ROW()-2,6)+1)="","",IFERROR(1*INDEX('CONTROLE PRODUÇÃO POR EMPRESAS'!$B$6:$G$5000,MATCH($A480,'CONTROLE PRODUÇÃO POR EMPRESAS'!$A$6:$A$5000,0),MOD(ROW()-2,6)+1),"")),"")</f>
        <v/>
      </c>
      <c r="I480" s="159">
        <f>IF(OR(NOT(ISNUMBER(G480)),NOT(ISNUMBER(H480))),"",H480-G480)</f>
        <v/>
      </c>
      <c r="J480" s="319">
        <f>IF(OR(NOT(ISNUMBER(G480)),NOT(ISNUMBER(H480)),G480=0),"",I480/G480)</f>
        <v/>
      </c>
      <c r="K480" s="319">
        <f>IF(OR(NOT(ISNUMBER(G480)),NOT(ISNUMBER(H480)),G480=0),"",H480/G480)</f>
        <v/>
      </c>
      <c r="L480">
        <f>IF(NOT(ISNUMBER(G480)),"SEM META",IF(G480=0,"SEM META",IF(NOT(ISNUMBER(H480)),"SEM APONTAMENTO",IF(H480&gt;=G480,"VERDE",IF(H480&gt;=G480*0.9,"AMARELO","VERMELHO")))))</f>
        <v/>
      </c>
      <c r="M480" s="162" t="n"/>
      <c r="N480" s="162" t="n"/>
      <c r="O480" s="162" t="n"/>
      <c r="P480" s="162" t="n"/>
      <c r="Q480" s="320" t="n"/>
      <c r="R480" s="162" t="inlineStr">
        <is>
          <t>CONTROLE PRODUÇÃO POR EMPRESAS!F85</t>
        </is>
      </c>
    </row>
    <row r="481" ht="28.5" customHeight="1">
      <c r="A481" s="317" t="n">
        <v>46302</v>
      </c>
      <c r="B481" t="inlineStr">
        <is>
          <t>GERAL</t>
        </is>
      </c>
      <c r="C481" t="inlineStr">
        <is>
          <t>CMM</t>
        </is>
      </c>
      <c r="D481" t="inlineStr">
        <is>
          <t>VIGAS</t>
        </is>
      </c>
      <c r="F481" s="159">
        <f>IFERROR(INDEX('BASE METAS DIÁRIAS'!$N$2:$S$358,MATCH($A481,'BASE METAS DIÁRIAS'!$A$2:$A$358,0),MOD(ROW()-2,6)+1),"")</f>
        <v/>
      </c>
      <c r="G481" s="159">
        <f>IFERROR(IF(WEEKDAY($A481,2)&lt;=INDEX('BASE METAS DIÁRIAS'!$H$2:$M$358,MATCH($A481,'BASE METAS DIÁRIAS'!$A$2:$A$358,0),MOD(ROW()-2,6)+1),INDEX('BASE METAS DIÁRIAS'!$B$2:$G$358,MATCH($A481,'BASE METAS DIÁRIAS'!$A$2:$A$358,0),MOD(ROW()-2,6)+1),""),"")</f>
        <v/>
      </c>
      <c r="H481" s="159">
        <f>IFERROR(IF(INDEX('CONTROLE PRODUÇÃO POR EMPRESAS'!$B$6:$G$5000,MATCH($A481,'CONTROLE PRODUÇÃO POR EMPRESAS'!$A$6:$A$5000,0),MOD(ROW()-2,6)+1)="","",IFERROR(1*INDEX('CONTROLE PRODUÇÃO POR EMPRESAS'!$B$6:$G$5000,MATCH($A481,'CONTROLE PRODUÇÃO POR EMPRESAS'!$A$6:$A$5000,0),MOD(ROW()-2,6)+1),"")),"")</f>
        <v/>
      </c>
      <c r="I481" s="159">
        <f>IF(OR(NOT(ISNUMBER(G481)),NOT(ISNUMBER(H481))),"",H481-G481)</f>
        <v/>
      </c>
      <c r="J481" s="319">
        <f>IF(OR(NOT(ISNUMBER(G481)),NOT(ISNUMBER(H481)),G481=0),"",I481/G481)</f>
        <v/>
      </c>
      <c r="K481" s="319">
        <f>IF(OR(NOT(ISNUMBER(G481)),NOT(ISNUMBER(H481)),G481=0),"",H481/G481)</f>
        <v/>
      </c>
      <c r="L481">
        <f>IF(NOT(ISNUMBER(G481)),"SEM META",IF(G481=0,"SEM META",IF(NOT(ISNUMBER(H481)),"SEM APONTAMENTO",IF(H481&gt;=G481,"VERDE",IF(H481&gt;=G481*0.9,"AMARELO","VERMELHO")))))</f>
        <v/>
      </c>
      <c r="M481" s="162" t="n"/>
      <c r="N481" s="162" t="n"/>
      <c r="O481" s="162" t="n"/>
      <c r="P481" s="162" t="n"/>
      <c r="Q481" s="320" t="n"/>
      <c r="R481" s="162" t="inlineStr">
        <is>
          <t>CONTROLE PRODUÇÃO POR EMPRESAS!G85</t>
        </is>
      </c>
    </row>
    <row r="482" ht="28.5" customHeight="1">
      <c r="A482" s="317" t="n">
        <v>46303</v>
      </c>
      <c r="B482" t="inlineStr">
        <is>
          <t>GERAL</t>
        </is>
      </c>
      <c r="C482" t="inlineStr">
        <is>
          <t>EJ</t>
        </is>
      </c>
      <c r="D482" t="inlineStr">
        <is>
          <t>PREMONTAGEM</t>
        </is>
      </c>
      <c r="F482" s="159">
        <f>IFERROR(INDEX('BASE METAS DIÁRIAS'!$N$2:$S$358,MATCH($A482,'BASE METAS DIÁRIAS'!$A$2:$A$358,0),MOD(ROW()-2,6)+1),"")</f>
        <v/>
      </c>
      <c r="G482" s="159">
        <f>IFERROR(IF(WEEKDAY($A482,2)&lt;=INDEX('BASE METAS DIÁRIAS'!$H$2:$M$358,MATCH($A482,'BASE METAS DIÁRIAS'!$A$2:$A$358,0),MOD(ROW()-2,6)+1),INDEX('BASE METAS DIÁRIAS'!$B$2:$G$358,MATCH($A482,'BASE METAS DIÁRIAS'!$A$2:$A$358,0),MOD(ROW()-2,6)+1),""),"")</f>
        <v/>
      </c>
      <c r="H482" s="159">
        <f>IFERROR(IF(INDEX('CONTROLE PRODUÇÃO POR EMPRESAS'!$B$6:$G$5000,MATCH($A482,'CONTROLE PRODUÇÃO POR EMPRESAS'!$A$6:$A$5000,0),MOD(ROW()-2,6)+1)="","",IFERROR(1*INDEX('CONTROLE PRODUÇÃO POR EMPRESAS'!$B$6:$G$5000,MATCH($A482,'CONTROLE PRODUÇÃO POR EMPRESAS'!$A$6:$A$5000,0),MOD(ROW()-2,6)+1),"")),"")</f>
        <v/>
      </c>
      <c r="I482" s="159">
        <f>IF(OR(NOT(ISNUMBER(G482)),NOT(ISNUMBER(H482))),"",H482-G482)</f>
        <v/>
      </c>
      <c r="J482" s="319">
        <f>IF(OR(NOT(ISNUMBER(G482)),NOT(ISNUMBER(H482)),G482=0),"",I482/G482)</f>
        <v/>
      </c>
      <c r="K482" s="319">
        <f>IF(OR(NOT(ISNUMBER(G482)),NOT(ISNUMBER(H482)),G482=0),"",H482/G482)</f>
        <v/>
      </c>
      <c r="L482">
        <f>IF(NOT(ISNUMBER(G482)),"SEM META",IF(G482=0,"SEM META",IF(NOT(ISNUMBER(H482)),"SEM APONTAMENTO",IF(H482&gt;=G482,"VERDE",IF(H482&gt;=G482*0.9,"AMARELO","VERMELHO")))))</f>
        <v/>
      </c>
      <c r="M482" s="162" t="n"/>
      <c r="N482" s="162" t="n"/>
      <c r="O482" s="162" t="n"/>
      <c r="P482" s="162" t="n"/>
      <c r="Q482" s="320" t="n"/>
      <c r="R482" s="162" t="inlineStr">
        <is>
          <t>CONTROLE PRODUÇÃO POR EMPRESAS!B86</t>
        </is>
      </c>
    </row>
    <row r="483" ht="28.5" customHeight="1">
      <c r="A483" s="317" t="n">
        <v>46303</v>
      </c>
      <c r="B483" t="inlineStr">
        <is>
          <t>GERAL</t>
        </is>
      </c>
      <c r="C483" t="inlineStr">
        <is>
          <t>EJ</t>
        </is>
      </c>
      <c r="D483" t="inlineStr">
        <is>
          <t>IÇAMENTO JOIST</t>
        </is>
      </c>
      <c r="F483" s="159">
        <f>IFERROR(INDEX('BASE METAS DIÁRIAS'!$N$2:$S$358,MATCH($A483,'BASE METAS DIÁRIAS'!$A$2:$A$358,0),MOD(ROW()-2,6)+1),"")</f>
        <v/>
      </c>
      <c r="G483" s="159">
        <f>IFERROR(IF(WEEKDAY($A483,2)&lt;=INDEX('BASE METAS DIÁRIAS'!$H$2:$M$358,MATCH($A483,'BASE METAS DIÁRIAS'!$A$2:$A$358,0),MOD(ROW()-2,6)+1),INDEX('BASE METAS DIÁRIAS'!$B$2:$G$358,MATCH($A483,'BASE METAS DIÁRIAS'!$A$2:$A$358,0),MOD(ROW()-2,6)+1),""),"")</f>
        <v/>
      </c>
      <c r="H483" s="159">
        <f>IFERROR(IF(INDEX('CONTROLE PRODUÇÃO POR EMPRESAS'!$B$6:$G$5000,MATCH($A483,'CONTROLE PRODUÇÃO POR EMPRESAS'!$A$6:$A$5000,0),MOD(ROW()-2,6)+1)="","",IFERROR(1*INDEX('CONTROLE PRODUÇÃO POR EMPRESAS'!$B$6:$G$5000,MATCH($A483,'CONTROLE PRODUÇÃO POR EMPRESAS'!$A$6:$A$5000,0),MOD(ROW()-2,6)+1),"")),"")</f>
        <v/>
      </c>
      <c r="I483" s="159">
        <f>IF(OR(NOT(ISNUMBER(G483)),NOT(ISNUMBER(H483))),"",H483-G483)</f>
        <v/>
      </c>
      <c r="J483" s="319">
        <f>IF(OR(NOT(ISNUMBER(G483)),NOT(ISNUMBER(H483)),G483=0),"",I483/G483)</f>
        <v/>
      </c>
      <c r="K483" s="319">
        <f>IF(OR(NOT(ISNUMBER(G483)),NOT(ISNUMBER(H483)),G483=0),"",H483/G483)</f>
        <v/>
      </c>
      <c r="L483">
        <f>IF(NOT(ISNUMBER(G483)),"SEM META",IF(G483=0,"SEM META",IF(NOT(ISNUMBER(H483)),"SEM APONTAMENTO",IF(H483&gt;=G483,"VERDE",IF(H483&gt;=G483*0.9,"AMARELO","VERMELHO")))))</f>
        <v/>
      </c>
      <c r="M483" s="162" t="n"/>
      <c r="N483" s="162" t="n"/>
      <c r="O483" s="162" t="n"/>
      <c r="P483" s="162" t="n"/>
      <c r="Q483" s="320" t="n"/>
      <c r="R483" s="162" t="inlineStr">
        <is>
          <t>CONTROLE PRODUÇÃO POR EMPRESAS!C86</t>
        </is>
      </c>
    </row>
    <row r="484" ht="28.5" customHeight="1">
      <c r="A484" s="317" t="n">
        <v>46303</v>
      </c>
      <c r="B484" t="inlineStr">
        <is>
          <t>GERAL</t>
        </is>
      </c>
      <c r="C484" t="inlineStr">
        <is>
          <t>EJ</t>
        </is>
      </c>
      <c r="D484" t="inlineStr">
        <is>
          <t>VIGAS</t>
        </is>
      </c>
      <c r="F484" s="159">
        <f>IFERROR(INDEX('BASE METAS DIÁRIAS'!$N$2:$S$358,MATCH($A484,'BASE METAS DIÁRIAS'!$A$2:$A$358,0),MOD(ROW()-2,6)+1),"")</f>
        <v/>
      </c>
      <c r="G484" s="159">
        <f>IFERROR(IF(WEEKDAY($A484,2)&lt;=INDEX('BASE METAS DIÁRIAS'!$H$2:$M$358,MATCH($A484,'BASE METAS DIÁRIAS'!$A$2:$A$358,0),MOD(ROW()-2,6)+1),INDEX('BASE METAS DIÁRIAS'!$B$2:$G$358,MATCH($A484,'BASE METAS DIÁRIAS'!$A$2:$A$358,0),MOD(ROW()-2,6)+1),""),"")</f>
        <v/>
      </c>
      <c r="H484" s="159">
        <f>IFERROR(IF(INDEX('CONTROLE PRODUÇÃO POR EMPRESAS'!$B$6:$G$5000,MATCH($A484,'CONTROLE PRODUÇÃO POR EMPRESAS'!$A$6:$A$5000,0),MOD(ROW()-2,6)+1)="","",IFERROR(1*INDEX('CONTROLE PRODUÇÃO POR EMPRESAS'!$B$6:$G$5000,MATCH($A484,'CONTROLE PRODUÇÃO POR EMPRESAS'!$A$6:$A$5000,0),MOD(ROW()-2,6)+1),"")),"")</f>
        <v/>
      </c>
      <c r="I484" s="159">
        <f>IF(OR(NOT(ISNUMBER(G484)),NOT(ISNUMBER(H484))),"",H484-G484)</f>
        <v/>
      </c>
      <c r="J484" s="319">
        <f>IF(OR(NOT(ISNUMBER(G484)),NOT(ISNUMBER(H484)),G484=0),"",I484/G484)</f>
        <v/>
      </c>
      <c r="K484" s="319">
        <f>IF(OR(NOT(ISNUMBER(G484)),NOT(ISNUMBER(H484)),G484=0),"",H484/G484)</f>
        <v/>
      </c>
      <c r="L484">
        <f>IF(NOT(ISNUMBER(G484)),"SEM META",IF(G484=0,"SEM META",IF(NOT(ISNUMBER(H484)),"SEM APONTAMENTO",IF(H484&gt;=G484,"VERDE",IF(H484&gt;=G484*0.9,"AMARELO","VERMELHO")))))</f>
        <v/>
      </c>
      <c r="M484" s="162" t="n"/>
      <c r="N484" s="162" t="n"/>
      <c r="O484" s="162" t="n"/>
      <c r="P484" s="162" t="n"/>
      <c r="Q484" s="320" t="n"/>
      <c r="R484" s="162" t="inlineStr">
        <is>
          <t>CONTROLE PRODUÇÃO POR EMPRESAS!D86</t>
        </is>
      </c>
    </row>
    <row r="485" ht="28.5" customHeight="1">
      <c r="A485" s="317" t="n">
        <v>46303</v>
      </c>
      <c r="B485" t="inlineStr">
        <is>
          <t>GERAL</t>
        </is>
      </c>
      <c r="C485" t="inlineStr">
        <is>
          <t>CMM</t>
        </is>
      </c>
      <c r="D485" t="inlineStr">
        <is>
          <t>PREMONTAGEM</t>
        </is>
      </c>
      <c r="F485" s="159">
        <f>IFERROR(INDEX('BASE METAS DIÁRIAS'!$N$2:$S$358,MATCH($A485,'BASE METAS DIÁRIAS'!$A$2:$A$358,0),MOD(ROW()-2,6)+1),"")</f>
        <v/>
      </c>
      <c r="G485" s="159">
        <f>IFERROR(IF(WEEKDAY($A485,2)&lt;=INDEX('BASE METAS DIÁRIAS'!$H$2:$M$358,MATCH($A485,'BASE METAS DIÁRIAS'!$A$2:$A$358,0),MOD(ROW()-2,6)+1),INDEX('BASE METAS DIÁRIAS'!$B$2:$G$358,MATCH($A485,'BASE METAS DIÁRIAS'!$A$2:$A$358,0),MOD(ROW()-2,6)+1),""),"")</f>
        <v/>
      </c>
      <c r="H485" s="159">
        <f>IFERROR(IF(INDEX('CONTROLE PRODUÇÃO POR EMPRESAS'!$B$6:$G$5000,MATCH($A485,'CONTROLE PRODUÇÃO POR EMPRESAS'!$A$6:$A$5000,0),MOD(ROW()-2,6)+1)="","",IFERROR(1*INDEX('CONTROLE PRODUÇÃO POR EMPRESAS'!$B$6:$G$5000,MATCH($A485,'CONTROLE PRODUÇÃO POR EMPRESAS'!$A$6:$A$5000,0),MOD(ROW()-2,6)+1),"")),"")</f>
        <v/>
      </c>
      <c r="I485" s="159">
        <f>IF(OR(NOT(ISNUMBER(G485)),NOT(ISNUMBER(H485))),"",H485-G485)</f>
        <v/>
      </c>
      <c r="J485" s="319">
        <f>IF(OR(NOT(ISNUMBER(G485)),NOT(ISNUMBER(H485)),G485=0),"",I485/G485)</f>
        <v/>
      </c>
      <c r="K485" s="319">
        <f>IF(OR(NOT(ISNUMBER(G485)),NOT(ISNUMBER(H485)),G485=0),"",H485/G485)</f>
        <v/>
      </c>
      <c r="L485">
        <f>IF(NOT(ISNUMBER(G485)),"SEM META",IF(G485=0,"SEM META",IF(NOT(ISNUMBER(H485)),"SEM APONTAMENTO",IF(H485&gt;=G485,"VERDE",IF(H485&gt;=G485*0.9,"AMARELO","VERMELHO")))))</f>
        <v/>
      </c>
      <c r="M485" s="162" t="n"/>
      <c r="N485" s="162" t="n"/>
      <c r="O485" s="162" t="n"/>
      <c r="P485" s="162" t="n"/>
      <c r="Q485" s="320" t="n"/>
      <c r="R485" s="162" t="inlineStr">
        <is>
          <t>CONTROLE PRODUÇÃO POR EMPRESAS!E86</t>
        </is>
      </c>
    </row>
    <row r="486" ht="28.5" customHeight="1">
      <c r="A486" s="317" t="n">
        <v>46303</v>
      </c>
      <c r="B486" t="inlineStr">
        <is>
          <t>GERAL</t>
        </is>
      </c>
      <c r="C486" t="inlineStr">
        <is>
          <t>CMM</t>
        </is>
      </c>
      <c r="D486" t="inlineStr">
        <is>
          <t>IÇAMENTO JOIST</t>
        </is>
      </c>
      <c r="F486" s="159">
        <f>IFERROR(INDEX('BASE METAS DIÁRIAS'!$N$2:$S$358,MATCH($A486,'BASE METAS DIÁRIAS'!$A$2:$A$358,0),MOD(ROW()-2,6)+1),"")</f>
        <v/>
      </c>
      <c r="G486" s="159">
        <f>IFERROR(IF(WEEKDAY($A486,2)&lt;=INDEX('BASE METAS DIÁRIAS'!$H$2:$M$358,MATCH($A486,'BASE METAS DIÁRIAS'!$A$2:$A$358,0),MOD(ROW()-2,6)+1),INDEX('BASE METAS DIÁRIAS'!$B$2:$G$358,MATCH($A486,'BASE METAS DIÁRIAS'!$A$2:$A$358,0),MOD(ROW()-2,6)+1),""),"")</f>
        <v/>
      </c>
      <c r="H486" s="159">
        <f>IFERROR(IF(INDEX('CONTROLE PRODUÇÃO POR EMPRESAS'!$B$6:$G$5000,MATCH($A486,'CONTROLE PRODUÇÃO POR EMPRESAS'!$A$6:$A$5000,0),MOD(ROW()-2,6)+1)="","",IFERROR(1*INDEX('CONTROLE PRODUÇÃO POR EMPRESAS'!$B$6:$G$5000,MATCH($A486,'CONTROLE PRODUÇÃO POR EMPRESAS'!$A$6:$A$5000,0),MOD(ROW()-2,6)+1),"")),"")</f>
        <v/>
      </c>
      <c r="I486" s="159">
        <f>IF(OR(NOT(ISNUMBER(G486)),NOT(ISNUMBER(H486))),"",H486-G486)</f>
        <v/>
      </c>
      <c r="J486" s="319">
        <f>IF(OR(NOT(ISNUMBER(G486)),NOT(ISNUMBER(H486)),G486=0),"",I486/G486)</f>
        <v/>
      </c>
      <c r="K486" s="319">
        <f>IF(OR(NOT(ISNUMBER(G486)),NOT(ISNUMBER(H486)),G486=0),"",H486/G486)</f>
        <v/>
      </c>
      <c r="L486">
        <f>IF(NOT(ISNUMBER(G486)),"SEM META",IF(G486=0,"SEM META",IF(NOT(ISNUMBER(H486)),"SEM APONTAMENTO",IF(H486&gt;=G486,"VERDE",IF(H486&gt;=G486*0.9,"AMARELO","VERMELHO")))))</f>
        <v/>
      </c>
      <c r="M486" s="162" t="n"/>
      <c r="N486" s="162" t="n"/>
      <c r="O486" s="162" t="n"/>
      <c r="P486" s="162" t="n"/>
      <c r="Q486" s="320" t="n"/>
      <c r="R486" s="162" t="inlineStr">
        <is>
          <t>CONTROLE PRODUÇÃO POR EMPRESAS!F86</t>
        </is>
      </c>
    </row>
    <row r="487" ht="28.5" customHeight="1">
      <c r="A487" s="317" t="n">
        <v>46303</v>
      </c>
      <c r="B487" t="inlineStr">
        <is>
          <t>GERAL</t>
        </is>
      </c>
      <c r="C487" t="inlineStr">
        <is>
          <t>CMM</t>
        </is>
      </c>
      <c r="D487" t="inlineStr">
        <is>
          <t>VIGAS</t>
        </is>
      </c>
      <c r="F487" s="159">
        <f>IFERROR(INDEX('BASE METAS DIÁRIAS'!$N$2:$S$358,MATCH($A487,'BASE METAS DIÁRIAS'!$A$2:$A$358,0),MOD(ROW()-2,6)+1),"")</f>
        <v/>
      </c>
      <c r="G487" s="159">
        <f>IFERROR(IF(WEEKDAY($A487,2)&lt;=INDEX('BASE METAS DIÁRIAS'!$H$2:$M$358,MATCH($A487,'BASE METAS DIÁRIAS'!$A$2:$A$358,0),MOD(ROW()-2,6)+1),INDEX('BASE METAS DIÁRIAS'!$B$2:$G$358,MATCH($A487,'BASE METAS DIÁRIAS'!$A$2:$A$358,0),MOD(ROW()-2,6)+1),""),"")</f>
        <v/>
      </c>
      <c r="H487" s="159">
        <f>IFERROR(IF(INDEX('CONTROLE PRODUÇÃO POR EMPRESAS'!$B$6:$G$5000,MATCH($A487,'CONTROLE PRODUÇÃO POR EMPRESAS'!$A$6:$A$5000,0),MOD(ROW()-2,6)+1)="","",IFERROR(1*INDEX('CONTROLE PRODUÇÃO POR EMPRESAS'!$B$6:$G$5000,MATCH($A487,'CONTROLE PRODUÇÃO POR EMPRESAS'!$A$6:$A$5000,0),MOD(ROW()-2,6)+1),"")),"")</f>
        <v/>
      </c>
      <c r="I487" s="159">
        <f>IF(OR(NOT(ISNUMBER(G487)),NOT(ISNUMBER(H487))),"",H487-G487)</f>
        <v/>
      </c>
      <c r="J487" s="319">
        <f>IF(OR(NOT(ISNUMBER(G487)),NOT(ISNUMBER(H487)),G487=0),"",I487/G487)</f>
        <v/>
      </c>
      <c r="K487" s="319">
        <f>IF(OR(NOT(ISNUMBER(G487)),NOT(ISNUMBER(H487)),G487=0),"",H487/G487)</f>
        <v/>
      </c>
      <c r="L487">
        <f>IF(NOT(ISNUMBER(G487)),"SEM META",IF(G487=0,"SEM META",IF(NOT(ISNUMBER(H487)),"SEM APONTAMENTO",IF(H487&gt;=G487,"VERDE",IF(H487&gt;=G487*0.9,"AMARELO","VERMELHO")))))</f>
        <v/>
      </c>
      <c r="M487" s="162" t="n"/>
      <c r="N487" s="162" t="n"/>
      <c r="O487" s="162" t="n"/>
      <c r="P487" s="162" t="n"/>
      <c r="Q487" s="320" t="n"/>
      <c r="R487" s="162" t="inlineStr">
        <is>
          <t>CONTROLE PRODUÇÃO POR EMPRESAS!G86</t>
        </is>
      </c>
    </row>
    <row r="488" ht="28.5" customHeight="1">
      <c r="A488" s="317" t="n">
        <v>46304</v>
      </c>
      <c r="B488" t="inlineStr">
        <is>
          <t>GERAL</t>
        </is>
      </c>
      <c r="C488" t="inlineStr">
        <is>
          <t>EJ</t>
        </is>
      </c>
      <c r="D488" t="inlineStr">
        <is>
          <t>PREMONTAGEM</t>
        </is>
      </c>
      <c r="F488" s="159">
        <f>IFERROR(INDEX('BASE METAS DIÁRIAS'!$N$2:$S$358,MATCH($A488,'BASE METAS DIÁRIAS'!$A$2:$A$358,0),MOD(ROW()-2,6)+1),"")</f>
        <v/>
      </c>
      <c r="G488" s="159">
        <f>IFERROR(IF(WEEKDAY($A488,2)&lt;=INDEX('BASE METAS DIÁRIAS'!$H$2:$M$358,MATCH($A488,'BASE METAS DIÁRIAS'!$A$2:$A$358,0),MOD(ROW()-2,6)+1),INDEX('BASE METAS DIÁRIAS'!$B$2:$G$358,MATCH($A488,'BASE METAS DIÁRIAS'!$A$2:$A$358,0),MOD(ROW()-2,6)+1),""),"")</f>
        <v/>
      </c>
      <c r="H488" s="159">
        <f>IFERROR(IF(INDEX('CONTROLE PRODUÇÃO POR EMPRESAS'!$B$6:$G$5000,MATCH($A488,'CONTROLE PRODUÇÃO POR EMPRESAS'!$A$6:$A$5000,0),MOD(ROW()-2,6)+1)="","",IFERROR(1*INDEX('CONTROLE PRODUÇÃO POR EMPRESAS'!$B$6:$G$5000,MATCH($A488,'CONTROLE PRODUÇÃO POR EMPRESAS'!$A$6:$A$5000,0),MOD(ROW()-2,6)+1),"")),"")</f>
        <v/>
      </c>
      <c r="I488" s="159">
        <f>IF(OR(NOT(ISNUMBER(G488)),NOT(ISNUMBER(H488))),"",H488-G488)</f>
        <v/>
      </c>
      <c r="J488" s="319">
        <f>IF(OR(NOT(ISNUMBER(G488)),NOT(ISNUMBER(H488)),G488=0),"",I488/G488)</f>
        <v/>
      </c>
      <c r="K488" s="319">
        <f>IF(OR(NOT(ISNUMBER(G488)),NOT(ISNUMBER(H488)),G488=0),"",H488/G488)</f>
        <v/>
      </c>
      <c r="L488">
        <f>IF(NOT(ISNUMBER(G488)),"SEM META",IF(G488=0,"SEM META",IF(NOT(ISNUMBER(H488)),"SEM APONTAMENTO",IF(H488&gt;=G488,"VERDE",IF(H488&gt;=G488*0.9,"AMARELO","VERMELHO")))))</f>
        <v/>
      </c>
      <c r="M488" s="162" t="n"/>
      <c r="N488" s="162" t="n"/>
      <c r="O488" s="162" t="n"/>
      <c r="P488" s="162" t="n"/>
      <c r="Q488" s="320" t="n"/>
      <c r="R488" s="162" t="inlineStr">
        <is>
          <t>CONTROLE PRODUÇÃO POR EMPRESAS!B87</t>
        </is>
      </c>
    </row>
    <row r="489" ht="28.5" customHeight="1">
      <c r="A489" s="317" t="n">
        <v>46304</v>
      </c>
      <c r="B489" t="inlineStr">
        <is>
          <t>GERAL</t>
        </is>
      </c>
      <c r="C489" t="inlineStr">
        <is>
          <t>EJ</t>
        </is>
      </c>
      <c r="D489" t="inlineStr">
        <is>
          <t>IÇAMENTO JOIST</t>
        </is>
      </c>
      <c r="F489" s="159">
        <f>IFERROR(INDEX('BASE METAS DIÁRIAS'!$N$2:$S$358,MATCH($A489,'BASE METAS DIÁRIAS'!$A$2:$A$358,0),MOD(ROW()-2,6)+1),"")</f>
        <v/>
      </c>
      <c r="G489" s="159">
        <f>IFERROR(IF(WEEKDAY($A489,2)&lt;=INDEX('BASE METAS DIÁRIAS'!$H$2:$M$358,MATCH($A489,'BASE METAS DIÁRIAS'!$A$2:$A$358,0),MOD(ROW()-2,6)+1),INDEX('BASE METAS DIÁRIAS'!$B$2:$G$358,MATCH($A489,'BASE METAS DIÁRIAS'!$A$2:$A$358,0),MOD(ROW()-2,6)+1),""),"")</f>
        <v/>
      </c>
      <c r="H489" s="159">
        <f>IFERROR(IF(INDEX('CONTROLE PRODUÇÃO POR EMPRESAS'!$B$6:$G$5000,MATCH($A489,'CONTROLE PRODUÇÃO POR EMPRESAS'!$A$6:$A$5000,0),MOD(ROW()-2,6)+1)="","",IFERROR(1*INDEX('CONTROLE PRODUÇÃO POR EMPRESAS'!$B$6:$G$5000,MATCH($A489,'CONTROLE PRODUÇÃO POR EMPRESAS'!$A$6:$A$5000,0),MOD(ROW()-2,6)+1),"")),"")</f>
        <v/>
      </c>
      <c r="I489" s="159">
        <f>IF(OR(NOT(ISNUMBER(G489)),NOT(ISNUMBER(H489))),"",H489-G489)</f>
        <v/>
      </c>
      <c r="J489" s="319">
        <f>IF(OR(NOT(ISNUMBER(G489)),NOT(ISNUMBER(H489)),G489=0),"",I489/G489)</f>
        <v/>
      </c>
      <c r="K489" s="319">
        <f>IF(OR(NOT(ISNUMBER(G489)),NOT(ISNUMBER(H489)),G489=0),"",H489/G489)</f>
        <v/>
      </c>
      <c r="L489">
        <f>IF(NOT(ISNUMBER(G489)),"SEM META",IF(G489=0,"SEM META",IF(NOT(ISNUMBER(H489)),"SEM APONTAMENTO",IF(H489&gt;=G489,"VERDE",IF(H489&gt;=G489*0.9,"AMARELO","VERMELHO")))))</f>
        <v/>
      </c>
      <c r="M489" s="162" t="n"/>
      <c r="N489" s="162" t="n"/>
      <c r="O489" s="162" t="n"/>
      <c r="P489" s="162" t="n"/>
      <c r="Q489" s="320" t="n"/>
      <c r="R489" s="162" t="inlineStr">
        <is>
          <t>CONTROLE PRODUÇÃO POR EMPRESAS!C87</t>
        </is>
      </c>
    </row>
    <row r="490" ht="28.5" customHeight="1">
      <c r="A490" s="317" t="n">
        <v>46304</v>
      </c>
      <c r="B490" t="inlineStr">
        <is>
          <t>GERAL</t>
        </is>
      </c>
      <c r="C490" t="inlineStr">
        <is>
          <t>EJ</t>
        </is>
      </c>
      <c r="D490" t="inlineStr">
        <is>
          <t>VIGAS</t>
        </is>
      </c>
      <c r="F490" s="159">
        <f>IFERROR(INDEX('BASE METAS DIÁRIAS'!$N$2:$S$358,MATCH($A490,'BASE METAS DIÁRIAS'!$A$2:$A$358,0),MOD(ROW()-2,6)+1),"")</f>
        <v/>
      </c>
      <c r="G490" s="159">
        <f>IFERROR(IF(WEEKDAY($A490,2)&lt;=INDEX('BASE METAS DIÁRIAS'!$H$2:$M$358,MATCH($A490,'BASE METAS DIÁRIAS'!$A$2:$A$358,0),MOD(ROW()-2,6)+1),INDEX('BASE METAS DIÁRIAS'!$B$2:$G$358,MATCH($A490,'BASE METAS DIÁRIAS'!$A$2:$A$358,0),MOD(ROW()-2,6)+1),""),"")</f>
        <v/>
      </c>
      <c r="H490" s="159">
        <f>IFERROR(IF(INDEX('CONTROLE PRODUÇÃO POR EMPRESAS'!$B$6:$G$5000,MATCH($A490,'CONTROLE PRODUÇÃO POR EMPRESAS'!$A$6:$A$5000,0),MOD(ROW()-2,6)+1)="","",IFERROR(1*INDEX('CONTROLE PRODUÇÃO POR EMPRESAS'!$B$6:$G$5000,MATCH($A490,'CONTROLE PRODUÇÃO POR EMPRESAS'!$A$6:$A$5000,0),MOD(ROW()-2,6)+1),"")),"")</f>
        <v/>
      </c>
      <c r="I490" s="159">
        <f>IF(OR(NOT(ISNUMBER(G490)),NOT(ISNUMBER(H490))),"",H490-G490)</f>
        <v/>
      </c>
      <c r="J490" s="319">
        <f>IF(OR(NOT(ISNUMBER(G490)),NOT(ISNUMBER(H490)),G490=0),"",I490/G490)</f>
        <v/>
      </c>
      <c r="K490" s="319">
        <f>IF(OR(NOT(ISNUMBER(G490)),NOT(ISNUMBER(H490)),G490=0),"",H490/G490)</f>
        <v/>
      </c>
      <c r="L490">
        <f>IF(NOT(ISNUMBER(G490)),"SEM META",IF(G490=0,"SEM META",IF(NOT(ISNUMBER(H490)),"SEM APONTAMENTO",IF(H490&gt;=G490,"VERDE",IF(H490&gt;=G490*0.9,"AMARELO","VERMELHO")))))</f>
        <v/>
      </c>
      <c r="M490" s="162" t="n"/>
      <c r="N490" s="162" t="n"/>
      <c r="O490" s="162" t="n"/>
      <c r="P490" s="162" t="n"/>
      <c r="Q490" s="320" t="n"/>
      <c r="R490" s="162" t="inlineStr">
        <is>
          <t>CONTROLE PRODUÇÃO POR EMPRESAS!D87</t>
        </is>
      </c>
    </row>
    <row r="491" ht="28.5" customHeight="1">
      <c r="A491" s="317" t="n">
        <v>46304</v>
      </c>
      <c r="B491" t="inlineStr">
        <is>
          <t>GERAL</t>
        </is>
      </c>
      <c r="C491" t="inlineStr">
        <is>
          <t>CMM</t>
        </is>
      </c>
      <c r="D491" t="inlineStr">
        <is>
          <t>PREMONTAGEM</t>
        </is>
      </c>
      <c r="F491" s="159">
        <f>IFERROR(INDEX('BASE METAS DIÁRIAS'!$N$2:$S$358,MATCH($A491,'BASE METAS DIÁRIAS'!$A$2:$A$358,0),MOD(ROW()-2,6)+1),"")</f>
        <v/>
      </c>
      <c r="G491" s="159">
        <f>IFERROR(IF(WEEKDAY($A491,2)&lt;=INDEX('BASE METAS DIÁRIAS'!$H$2:$M$358,MATCH($A491,'BASE METAS DIÁRIAS'!$A$2:$A$358,0),MOD(ROW()-2,6)+1),INDEX('BASE METAS DIÁRIAS'!$B$2:$G$358,MATCH($A491,'BASE METAS DIÁRIAS'!$A$2:$A$358,0),MOD(ROW()-2,6)+1),""),"")</f>
        <v/>
      </c>
      <c r="H491" s="159">
        <f>IFERROR(IF(INDEX('CONTROLE PRODUÇÃO POR EMPRESAS'!$B$6:$G$5000,MATCH($A491,'CONTROLE PRODUÇÃO POR EMPRESAS'!$A$6:$A$5000,0),MOD(ROW()-2,6)+1)="","",IFERROR(1*INDEX('CONTROLE PRODUÇÃO POR EMPRESAS'!$B$6:$G$5000,MATCH($A491,'CONTROLE PRODUÇÃO POR EMPRESAS'!$A$6:$A$5000,0),MOD(ROW()-2,6)+1),"")),"")</f>
        <v/>
      </c>
      <c r="I491" s="159">
        <f>IF(OR(NOT(ISNUMBER(G491)),NOT(ISNUMBER(H491))),"",H491-G491)</f>
        <v/>
      </c>
      <c r="J491" s="319">
        <f>IF(OR(NOT(ISNUMBER(G491)),NOT(ISNUMBER(H491)),G491=0),"",I491/G491)</f>
        <v/>
      </c>
      <c r="K491" s="319">
        <f>IF(OR(NOT(ISNUMBER(G491)),NOT(ISNUMBER(H491)),G491=0),"",H491/G491)</f>
        <v/>
      </c>
      <c r="L491">
        <f>IF(NOT(ISNUMBER(G491)),"SEM META",IF(G491=0,"SEM META",IF(NOT(ISNUMBER(H491)),"SEM APONTAMENTO",IF(H491&gt;=G491,"VERDE",IF(H491&gt;=G491*0.9,"AMARELO","VERMELHO")))))</f>
        <v/>
      </c>
      <c r="M491" s="162" t="n"/>
      <c r="N491" s="162" t="n"/>
      <c r="O491" s="162" t="n"/>
      <c r="P491" s="162" t="n"/>
      <c r="Q491" s="320" t="n"/>
      <c r="R491" s="162" t="inlineStr">
        <is>
          <t>CONTROLE PRODUÇÃO POR EMPRESAS!E87</t>
        </is>
      </c>
    </row>
    <row r="492" ht="28.5" customHeight="1">
      <c r="A492" s="317" t="n">
        <v>46304</v>
      </c>
      <c r="B492" t="inlineStr">
        <is>
          <t>GERAL</t>
        </is>
      </c>
      <c r="C492" t="inlineStr">
        <is>
          <t>CMM</t>
        </is>
      </c>
      <c r="D492" t="inlineStr">
        <is>
          <t>IÇAMENTO JOIST</t>
        </is>
      </c>
      <c r="F492" s="159">
        <f>IFERROR(INDEX('BASE METAS DIÁRIAS'!$N$2:$S$358,MATCH($A492,'BASE METAS DIÁRIAS'!$A$2:$A$358,0),MOD(ROW()-2,6)+1),"")</f>
        <v/>
      </c>
      <c r="G492" s="159">
        <f>IFERROR(IF(WEEKDAY($A492,2)&lt;=INDEX('BASE METAS DIÁRIAS'!$H$2:$M$358,MATCH($A492,'BASE METAS DIÁRIAS'!$A$2:$A$358,0),MOD(ROW()-2,6)+1),INDEX('BASE METAS DIÁRIAS'!$B$2:$G$358,MATCH($A492,'BASE METAS DIÁRIAS'!$A$2:$A$358,0),MOD(ROW()-2,6)+1),""),"")</f>
        <v/>
      </c>
      <c r="H492" s="159">
        <f>IFERROR(IF(INDEX('CONTROLE PRODUÇÃO POR EMPRESAS'!$B$6:$G$5000,MATCH($A492,'CONTROLE PRODUÇÃO POR EMPRESAS'!$A$6:$A$5000,0),MOD(ROW()-2,6)+1)="","",IFERROR(1*INDEX('CONTROLE PRODUÇÃO POR EMPRESAS'!$B$6:$G$5000,MATCH($A492,'CONTROLE PRODUÇÃO POR EMPRESAS'!$A$6:$A$5000,0),MOD(ROW()-2,6)+1),"")),"")</f>
        <v/>
      </c>
      <c r="I492" s="159">
        <f>IF(OR(NOT(ISNUMBER(G492)),NOT(ISNUMBER(H492))),"",H492-G492)</f>
        <v/>
      </c>
      <c r="J492" s="319">
        <f>IF(OR(NOT(ISNUMBER(G492)),NOT(ISNUMBER(H492)),G492=0),"",I492/G492)</f>
        <v/>
      </c>
      <c r="K492" s="319">
        <f>IF(OR(NOT(ISNUMBER(G492)),NOT(ISNUMBER(H492)),G492=0),"",H492/G492)</f>
        <v/>
      </c>
      <c r="L492">
        <f>IF(NOT(ISNUMBER(G492)),"SEM META",IF(G492=0,"SEM META",IF(NOT(ISNUMBER(H492)),"SEM APONTAMENTO",IF(H492&gt;=G492,"VERDE",IF(H492&gt;=G492*0.9,"AMARELO","VERMELHO")))))</f>
        <v/>
      </c>
      <c r="M492" s="162" t="n"/>
      <c r="N492" s="162" t="n"/>
      <c r="O492" s="162" t="n"/>
      <c r="P492" s="162" t="n"/>
      <c r="Q492" s="320" t="n"/>
      <c r="R492" s="162" t="inlineStr">
        <is>
          <t>CONTROLE PRODUÇÃO POR EMPRESAS!F87</t>
        </is>
      </c>
    </row>
    <row r="493" ht="28.5" customHeight="1">
      <c r="A493" s="317" t="n">
        <v>46304</v>
      </c>
      <c r="B493" t="inlineStr">
        <is>
          <t>GERAL</t>
        </is>
      </c>
      <c r="C493" t="inlineStr">
        <is>
          <t>CMM</t>
        </is>
      </c>
      <c r="D493" t="inlineStr">
        <is>
          <t>VIGAS</t>
        </is>
      </c>
      <c r="F493" s="159">
        <f>IFERROR(INDEX('BASE METAS DIÁRIAS'!$N$2:$S$358,MATCH($A493,'BASE METAS DIÁRIAS'!$A$2:$A$358,0),MOD(ROW()-2,6)+1),"")</f>
        <v/>
      </c>
      <c r="G493" s="159">
        <f>IFERROR(IF(WEEKDAY($A493,2)&lt;=INDEX('BASE METAS DIÁRIAS'!$H$2:$M$358,MATCH($A493,'BASE METAS DIÁRIAS'!$A$2:$A$358,0),MOD(ROW()-2,6)+1),INDEX('BASE METAS DIÁRIAS'!$B$2:$G$358,MATCH($A493,'BASE METAS DIÁRIAS'!$A$2:$A$358,0),MOD(ROW()-2,6)+1),""),"")</f>
        <v/>
      </c>
      <c r="H493" s="159">
        <f>IFERROR(IF(INDEX('CONTROLE PRODUÇÃO POR EMPRESAS'!$B$6:$G$5000,MATCH($A493,'CONTROLE PRODUÇÃO POR EMPRESAS'!$A$6:$A$5000,0),MOD(ROW()-2,6)+1)="","",IFERROR(1*INDEX('CONTROLE PRODUÇÃO POR EMPRESAS'!$B$6:$G$5000,MATCH($A493,'CONTROLE PRODUÇÃO POR EMPRESAS'!$A$6:$A$5000,0),MOD(ROW()-2,6)+1),"")),"")</f>
        <v/>
      </c>
      <c r="I493" s="159">
        <f>IF(OR(NOT(ISNUMBER(G493)),NOT(ISNUMBER(H493))),"",H493-G493)</f>
        <v/>
      </c>
      <c r="J493" s="319">
        <f>IF(OR(NOT(ISNUMBER(G493)),NOT(ISNUMBER(H493)),G493=0),"",I493/G493)</f>
        <v/>
      </c>
      <c r="K493" s="319">
        <f>IF(OR(NOT(ISNUMBER(G493)),NOT(ISNUMBER(H493)),G493=0),"",H493/G493)</f>
        <v/>
      </c>
      <c r="L493">
        <f>IF(NOT(ISNUMBER(G493)),"SEM META",IF(G493=0,"SEM META",IF(NOT(ISNUMBER(H493)),"SEM APONTAMENTO",IF(H493&gt;=G493,"VERDE",IF(H493&gt;=G493*0.9,"AMARELO","VERMELHO")))))</f>
        <v/>
      </c>
      <c r="M493" s="162" t="n"/>
      <c r="N493" s="162" t="n"/>
      <c r="O493" s="162" t="n"/>
      <c r="P493" s="162" t="n"/>
      <c r="Q493" s="320" t="n"/>
      <c r="R493" s="162" t="inlineStr">
        <is>
          <t>CONTROLE PRODUÇÃO POR EMPRESAS!G87</t>
        </is>
      </c>
    </row>
    <row r="494" ht="28.5" customHeight="1">
      <c r="A494" s="317" t="n">
        <v>46305</v>
      </c>
      <c r="B494" t="inlineStr">
        <is>
          <t>GERAL</t>
        </is>
      </c>
      <c r="C494" t="inlineStr">
        <is>
          <t>EJ</t>
        </is>
      </c>
      <c r="D494" t="inlineStr">
        <is>
          <t>PREMONTAGEM</t>
        </is>
      </c>
      <c r="F494" s="159">
        <f>IFERROR(INDEX('BASE METAS DIÁRIAS'!$N$2:$S$358,MATCH($A494,'BASE METAS DIÁRIAS'!$A$2:$A$358,0),MOD(ROW()-2,6)+1),"")</f>
        <v/>
      </c>
      <c r="G494" s="159">
        <f>IFERROR(IF(WEEKDAY($A494,2)&lt;=INDEX('BASE METAS DIÁRIAS'!$H$2:$M$358,MATCH($A494,'BASE METAS DIÁRIAS'!$A$2:$A$358,0),MOD(ROW()-2,6)+1),INDEX('BASE METAS DIÁRIAS'!$B$2:$G$358,MATCH($A494,'BASE METAS DIÁRIAS'!$A$2:$A$358,0),MOD(ROW()-2,6)+1),""),"")</f>
        <v/>
      </c>
      <c r="H494" s="159">
        <f>IFERROR(IF(INDEX('CONTROLE PRODUÇÃO POR EMPRESAS'!$B$6:$G$5000,MATCH($A494,'CONTROLE PRODUÇÃO POR EMPRESAS'!$A$6:$A$5000,0),MOD(ROW()-2,6)+1)="","",IFERROR(1*INDEX('CONTROLE PRODUÇÃO POR EMPRESAS'!$B$6:$G$5000,MATCH($A494,'CONTROLE PRODUÇÃO POR EMPRESAS'!$A$6:$A$5000,0),MOD(ROW()-2,6)+1),"")),"")</f>
        <v/>
      </c>
      <c r="I494" s="159">
        <f>IF(OR(NOT(ISNUMBER(G494)),NOT(ISNUMBER(H494))),"",H494-G494)</f>
        <v/>
      </c>
      <c r="J494" s="319">
        <f>IF(OR(NOT(ISNUMBER(G494)),NOT(ISNUMBER(H494)),G494=0),"",I494/G494)</f>
        <v/>
      </c>
      <c r="K494" s="319">
        <f>IF(OR(NOT(ISNUMBER(G494)),NOT(ISNUMBER(H494)),G494=0),"",H494/G494)</f>
        <v/>
      </c>
      <c r="L494">
        <f>IF(NOT(ISNUMBER(G494)),"SEM META",IF(G494=0,"SEM META",IF(NOT(ISNUMBER(H494)),"SEM APONTAMENTO",IF(H494&gt;=G494,"VERDE",IF(H494&gt;=G494*0.9,"AMARELO","VERMELHO")))))</f>
        <v/>
      </c>
      <c r="M494" s="162" t="n"/>
      <c r="N494" s="162" t="n"/>
      <c r="O494" s="162" t="n"/>
      <c r="P494" s="162" t="n"/>
      <c r="Q494" s="320" t="n"/>
      <c r="R494" s="162" t="inlineStr">
        <is>
          <t>CONTROLE PRODUÇÃO POR EMPRESAS!B88</t>
        </is>
      </c>
    </row>
    <row r="495" ht="28.5" customHeight="1">
      <c r="A495" s="317" t="n">
        <v>46305</v>
      </c>
      <c r="B495" t="inlineStr">
        <is>
          <t>GERAL</t>
        </is>
      </c>
      <c r="C495" t="inlineStr">
        <is>
          <t>EJ</t>
        </is>
      </c>
      <c r="D495" t="inlineStr">
        <is>
          <t>IÇAMENTO JOIST</t>
        </is>
      </c>
      <c r="F495" s="159">
        <f>IFERROR(INDEX('BASE METAS DIÁRIAS'!$N$2:$S$358,MATCH($A495,'BASE METAS DIÁRIAS'!$A$2:$A$358,0),MOD(ROW()-2,6)+1),"")</f>
        <v/>
      </c>
      <c r="G495" s="159">
        <f>IFERROR(IF(WEEKDAY($A495,2)&lt;=INDEX('BASE METAS DIÁRIAS'!$H$2:$M$358,MATCH($A495,'BASE METAS DIÁRIAS'!$A$2:$A$358,0),MOD(ROW()-2,6)+1),INDEX('BASE METAS DIÁRIAS'!$B$2:$G$358,MATCH($A495,'BASE METAS DIÁRIAS'!$A$2:$A$358,0),MOD(ROW()-2,6)+1),""),"")</f>
        <v/>
      </c>
      <c r="H495" s="159">
        <f>IFERROR(IF(INDEX('CONTROLE PRODUÇÃO POR EMPRESAS'!$B$6:$G$5000,MATCH($A495,'CONTROLE PRODUÇÃO POR EMPRESAS'!$A$6:$A$5000,0),MOD(ROW()-2,6)+1)="","",IFERROR(1*INDEX('CONTROLE PRODUÇÃO POR EMPRESAS'!$B$6:$G$5000,MATCH($A495,'CONTROLE PRODUÇÃO POR EMPRESAS'!$A$6:$A$5000,0),MOD(ROW()-2,6)+1),"")),"")</f>
        <v/>
      </c>
      <c r="I495" s="159">
        <f>IF(OR(NOT(ISNUMBER(G495)),NOT(ISNUMBER(H495))),"",H495-G495)</f>
        <v/>
      </c>
      <c r="J495" s="319">
        <f>IF(OR(NOT(ISNUMBER(G495)),NOT(ISNUMBER(H495)),G495=0),"",I495/G495)</f>
        <v/>
      </c>
      <c r="K495" s="319">
        <f>IF(OR(NOT(ISNUMBER(G495)),NOT(ISNUMBER(H495)),G495=0),"",H495/G495)</f>
        <v/>
      </c>
      <c r="L495">
        <f>IF(NOT(ISNUMBER(G495)),"SEM META",IF(G495=0,"SEM META",IF(NOT(ISNUMBER(H495)),"SEM APONTAMENTO",IF(H495&gt;=G495,"VERDE",IF(H495&gt;=G495*0.9,"AMARELO","VERMELHO")))))</f>
        <v/>
      </c>
      <c r="M495" s="162" t="n"/>
      <c r="N495" s="162" t="n"/>
      <c r="O495" s="162" t="n"/>
      <c r="P495" s="162" t="n"/>
      <c r="Q495" s="320" t="n"/>
      <c r="R495" s="162" t="inlineStr">
        <is>
          <t>CONTROLE PRODUÇÃO POR EMPRESAS!C88</t>
        </is>
      </c>
    </row>
    <row r="496" ht="28.5" customHeight="1">
      <c r="A496" s="317" t="n">
        <v>46305</v>
      </c>
      <c r="B496" t="inlineStr">
        <is>
          <t>GERAL</t>
        </is>
      </c>
      <c r="C496" t="inlineStr">
        <is>
          <t>EJ</t>
        </is>
      </c>
      <c r="D496" t="inlineStr">
        <is>
          <t>VIGAS</t>
        </is>
      </c>
      <c r="F496" s="159">
        <f>IFERROR(INDEX('BASE METAS DIÁRIAS'!$N$2:$S$358,MATCH($A496,'BASE METAS DIÁRIAS'!$A$2:$A$358,0),MOD(ROW()-2,6)+1),"")</f>
        <v/>
      </c>
      <c r="G496" s="159">
        <f>IFERROR(IF(WEEKDAY($A496,2)&lt;=INDEX('BASE METAS DIÁRIAS'!$H$2:$M$358,MATCH($A496,'BASE METAS DIÁRIAS'!$A$2:$A$358,0),MOD(ROW()-2,6)+1),INDEX('BASE METAS DIÁRIAS'!$B$2:$G$358,MATCH($A496,'BASE METAS DIÁRIAS'!$A$2:$A$358,0),MOD(ROW()-2,6)+1),""),"")</f>
        <v/>
      </c>
      <c r="H496" s="159">
        <f>IFERROR(IF(INDEX('CONTROLE PRODUÇÃO POR EMPRESAS'!$B$6:$G$5000,MATCH($A496,'CONTROLE PRODUÇÃO POR EMPRESAS'!$A$6:$A$5000,0),MOD(ROW()-2,6)+1)="","",IFERROR(1*INDEX('CONTROLE PRODUÇÃO POR EMPRESAS'!$B$6:$G$5000,MATCH($A496,'CONTROLE PRODUÇÃO POR EMPRESAS'!$A$6:$A$5000,0),MOD(ROW()-2,6)+1),"")),"")</f>
        <v/>
      </c>
      <c r="I496" s="159">
        <f>IF(OR(NOT(ISNUMBER(G496)),NOT(ISNUMBER(H496))),"",H496-G496)</f>
        <v/>
      </c>
      <c r="J496" s="319">
        <f>IF(OR(NOT(ISNUMBER(G496)),NOT(ISNUMBER(H496)),G496=0),"",I496/G496)</f>
        <v/>
      </c>
      <c r="K496" s="319">
        <f>IF(OR(NOT(ISNUMBER(G496)),NOT(ISNUMBER(H496)),G496=0),"",H496/G496)</f>
        <v/>
      </c>
      <c r="L496">
        <f>IF(NOT(ISNUMBER(G496)),"SEM META",IF(G496=0,"SEM META",IF(NOT(ISNUMBER(H496)),"SEM APONTAMENTO",IF(H496&gt;=G496,"VERDE",IF(H496&gt;=G496*0.9,"AMARELO","VERMELHO")))))</f>
        <v/>
      </c>
      <c r="M496" s="162" t="n"/>
      <c r="N496" s="162" t="n"/>
      <c r="O496" s="162" t="n"/>
      <c r="P496" s="162" t="n"/>
      <c r="Q496" s="320" t="n"/>
      <c r="R496" s="162" t="inlineStr">
        <is>
          <t>CONTROLE PRODUÇÃO POR EMPRESAS!D88</t>
        </is>
      </c>
    </row>
    <row r="497" ht="28.5" customHeight="1">
      <c r="A497" s="317" t="n">
        <v>46305</v>
      </c>
      <c r="B497" t="inlineStr">
        <is>
          <t>GERAL</t>
        </is>
      </c>
      <c r="C497" t="inlineStr">
        <is>
          <t>CMM</t>
        </is>
      </c>
      <c r="D497" t="inlineStr">
        <is>
          <t>PREMONTAGEM</t>
        </is>
      </c>
      <c r="F497" s="159">
        <f>IFERROR(INDEX('BASE METAS DIÁRIAS'!$N$2:$S$358,MATCH($A497,'BASE METAS DIÁRIAS'!$A$2:$A$358,0),MOD(ROW()-2,6)+1),"")</f>
        <v/>
      </c>
      <c r="G497" s="159">
        <f>IFERROR(IF(WEEKDAY($A497,2)&lt;=INDEX('BASE METAS DIÁRIAS'!$H$2:$M$358,MATCH($A497,'BASE METAS DIÁRIAS'!$A$2:$A$358,0),MOD(ROW()-2,6)+1),INDEX('BASE METAS DIÁRIAS'!$B$2:$G$358,MATCH($A497,'BASE METAS DIÁRIAS'!$A$2:$A$358,0),MOD(ROW()-2,6)+1),""),"")</f>
        <v/>
      </c>
      <c r="H497" s="159">
        <f>IFERROR(IF(INDEX('CONTROLE PRODUÇÃO POR EMPRESAS'!$B$6:$G$5000,MATCH($A497,'CONTROLE PRODUÇÃO POR EMPRESAS'!$A$6:$A$5000,0),MOD(ROW()-2,6)+1)="","",IFERROR(1*INDEX('CONTROLE PRODUÇÃO POR EMPRESAS'!$B$6:$G$5000,MATCH($A497,'CONTROLE PRODUÇÃO POR EMPRESAS'!$A$6:$A$5000,0),MOD(ROW()-2,6)+1),"")),"")</f>
        <v/>
      </c>
      <c r="I497" s="159">
        <f>IF(OR(NOT(ISNUMBER(G497)),NOT(ISNUMBER(H497))),"",H497-G497)</f>
        <v/>
      </c>
      <c r="J497" s="319">
        <f>IF(OR(NOT(ISNUMBER(G497)),NOT(ISNUMBER(H497)),G497=0),"",I497/G497)</f>
        <v/>
      </c>
      <c r="K497" s="319">
        <f>IF(OR(NOT(ISNUMBER(G497)),NOT(ISNUMBER(H497)),G497=0),"",H497/G497)</f>
        <v/>
      </c>
      <c r="L497">
        <f>IF(NOT(ISNUMBER(G497)),"SEM META",IF(G497=0,"SEM META",IF(NOT(ISNUMBER(H497)),"SEM APONTAMENTO",IF(H497&gt;=G497,"VERDE",IF(H497&gt;=G497*0.9,"AMARELO","VERMELHO")))))</f>
        <v/>
      </c>
      <c r="M497" s="162" t="n"/>
      <c r="N497" s="162" t="n"/>
      <c r="O497" s="162" t="n"/>
      <c r="P497" s="162" t="n"/>
      <c r="Q497" s="320" t="n"/>
      <c r="R497" s="162" t="inlineStr">
        <is>
          <t>CONTROLE PRODUÇÃO POR EMPRESAS!E88</t>
        </is>
      </c>
    </row>
    <row r="498" ht="28.5" customHeight="1">
      <c r="A498" s="317" t="n">
        <v>46305</v>
      </c>
      <c r="B498" t="inlineStr">
        <is>
          <t>GERAL</t>
        </is>
      </c>
      <c r="C498" t="inlineStr">
        <is>
          <t>CMM</t>
        </is>
      </c>
      <c r="D498" t="inlineStr">
        <is>
          <t>IÇAMENTO JOIST</t>
        </is>
      </c>
      <c r="F498" s="159">
        <f>IFERROR(INDEX('BASE METAS DIÁRIAS'!$N$2:$S$358,MATCH($A498,'BASE METAS DIÁRIAS'!$A$2:$A$358,0),MOD(ROW()-2,6)+1),"")</f>
        <v/>
      </c>
      <c r="G498" s="159">
        <f>IFERROR(IF(WEEKDAY($A498,2)&lt;=INDEX('BASE METAS DIÁRIAS'!$H$2:$M$358,MATCH($A498,'BASE METAS DIÁRIAS'!$A$2:$A$358,0),MOD(ROW()-2,6)+1),INDEX('BASE METAS DIÁRIAS'!$B$2:$G$358,MATCH($A498,'BASE METAS DIÁRIAS'!$A$2:$A$358,0),MOD(ROW()-2,6)+1),""),"")</f>
        <v/>
      </c>
      <c r="H498" s="159">
        <f>IFERROR(IF(INDEX('CONTROLE PRODUÇÃO POR EMPRESAS'!$B$6:$G$5000,MATCH($A498,'CONTROLE PRODUÇÃO POR EMPRESAS'!$A$6:$A$5000,0),MOD(ROW()-2,6)+1)="","",IFERROR(1*INDEX('CONTROLE PRODUÇÃO POR EMPRESAS'!$B$6:$G$5000,MATCH($A498,'CONTROLE PRODUÇÃO POR EMPRESAS'!$A$6:$A$5000,0),MOD(ROW()-2,6)+1),"")),"")</f>
        <v/>
      </c>
      <c r="I498" s="159">
        <f>IF(OR(NOT(ISNUMBER(G498)),NOT(ISNUMBER(H498))),"",H498-G498)</f>
        <v/>
      </c>
      <c r="J498" s="319">
        <f>IF(OR(NOT(ISNUMBER(G498)),NOT(ISNUMBER(H498)),G498=0),"",I498/G498)</f>
        <v/>
      </c>
      <c r="K498" s="319">
        <f>IF(OR(NOT(ISNUMBER(G498)),NOT(ISNUMBER(H498)),G498=0),"",H498/G498)</f>
        <v/>
      </c>
      <c r="L498">
        <f>IF(NOT(ISNUMBER(G498)),"SEM META",IF(G498=0,"SEM META",IF(NOT(ISNUMBER(H498)),"SEM APONTAMENTO",IF(H498&gt;=G498,"VERDE",IF(H498&gt;=G498*0.9,"AMARELO","VERMELHO")))))</f>
        <v/>
      </c>
      <c r="M498" s="162" t="n"/>
      <c r="N498" s="162" t="n"/>
      <c r="O498" s="162" t="n"/>
      <c r="P498" s="162" t="n"/>
      <c r="Q498" s="320" t="n"/>
      <c r="R498" s="162" t="inlineStr">
        <is>
          <t>CONTROLE PRODUÇÃO POR EMPRESAS!F88</t>
        </is>
      </c>
    </row>
    <row r="499" ht="28.5" customHeight="1">
      <c r="A499" s="317" t="n">
        <v>46305</v>
      </c>
      <c r="B499" t="inlineStr">
        <is>
          <t>GERAL</t>
        </is>
      </c>
      <c r="C499" t="inlineStr">
        <is>
          <t>CMM</t>
        </is>
      </c>
      <c r="D499" t="inlineStr">
        <is>
          <t>VIGAS</t>
        </is>
      </c>
      <c r="F499" s="159">
        <f>IFERROR(INDEX('BASE METAS DIÁRIAS'!$N$2:$S$358,MATCH($A499,'BASE METAS DIÁRIAS'!$A$2:$A$358,0),MOD(ROW()-2,6)+1),"")</f>
        <v/>
      </c>
      <c r="G499" s="159">
        <f>IFERROR(IF(WEEKDAY($A499,2)&lt;=INDEX('BASE METAS DIÁRIAS'!$H$2:$M$358,MATCH($A499,'BASE METAS DIÁRIAS'!$A$2:$A$358,0),MOD(ROW()-2,6)+1),INDEX('BASE METAS DIÁRIAS'!$B$2:$G$358,MATCH($A499,'BASE METAS DIÁRIAS'!$A$2:$A$358,0),MOD(ROW()-2,6)+1),""),"")</f>
        <v/>
      </c>
      <c r="H499" s="159">
        <f>IFERROR(IF(INDEX('CONTROLE PRODUÇÃO POR EMPRESAS'!$B$6:$G$5000,MATCH($A499,'CONTROLE PRODUÇÃO POR EMPRESAS'!$A$6:$A$5000,0),MOD(ROW()-2,6)+1)="","",IFERROR(1*INDEX('CONTROLE PRODUÇÃO POR EMPRESAS'!$B$6:$G$5000,MATCH($A499,'CONTROLE PRODUÇÃO POR EMPRESAS'!$A$6:$A$5000,0),MOD(ROW()-2,6)+1),"")),"")</f>
        <v/>
      </c>
      <c r="I499" s="159">
        <f>IF(OR(NOT(ISNUMBER(G499)),NOT(ISNUMBER(H499))),"",H499-G499)</f>
        <v/>
      </c>
      <c r="J499" s="319">
        <f>IF(OR(NOT(ISNUMBER(G499)),NOT(ISNUMBER(H499)),G499=0),"",I499/G499)</f>
        <v/>
      </c>
      <c r="K499" s="319">
        <f>IF(OR(NOT(ISNUMBER(G499)),NOT(ISNUMBER(H499)),G499=0),"",H499/G499)</f>
        <v/>
      </c>
      <c r="L499">
        <f>IF(NOT(ISNUMBER(G499)),"SEM META",IF(G499=0,"SEM META",IF(NOT(ISNUMBER(H499)),"SEM APONTAMENTO",IF(H499&gt;=G499,"VERDE",IF(H499&gt;=G499*0.9,"AMARELO","VERMELHO")))))</f>
        <v/>
      </c>
      <c r="M499" s="162" t="n"/>
      <c r="N499" s="162" t="n"/>
      <c r="O499" s="162" t="n"/>
      <c r="P499" s="162" t="n"/>
      <c r="Q499" s="320" t="n"/>
      <c r="R499" s="162" t="inlineStr">
        <is>
          <t>CONTROLE PRODUÇÃO POR EMPRESAS!G88</t>
        </is>
      </c>
    </row>
    <row r="500" ht="28.5" customHeight="1">
      <c r="A500" s="317" t="n">
        <v>46306</v>
      </c>
      <c r="B500" t="inlineStr">
        <is>
          <t>GERAL</t>
        </is>
      </c>
      <c r="C500" t="inlineStr">
        <is>
          <t>EJ</t>
        </is>
      </c>
      <c r="D500" t="inlineStr">
        <is>
          <t>PREMONTAGEM</t>
        </is>
      </c>
      <c r="F500" s="159">
        <f>IFERROR(INDEX('BASE METAS DIÁRIAS'!$N$2:$S$358,MATCH($A500,'BASE METAS DIÁRIAS'!$A$2:$A$358,0),MOD(ROW()-2,6)+1),"")</f>
        <v/>
      </c>
      <c r="G500" s="159">
        <f>IFERROR(IF(WEEKDAY($A500,2)&lt;=INDEX('BASE METAS DIÁRIAS'!$H$2:$M$358,MATCH($A500,'BASE METAS DIÁRIAS'!$A$2:$A$358,0),MOD(ROW()-2,6)+1),INDEX('BASE METAS DIÁRIAS'!$B$2:$G$358,MATCH($A500,'BASE METAS DIÁRIAS'!$A$2:$A$358,0),MOD(ROW()-2,6)+1),""),"")</f>
        <v/>
      </c>
      <c r="H500" s="159">
        <f>IFERROR(IF(INDEX('CONTROLE PRODUÇÃO POR EMPRESAS'!$B$6:$G$5000,MATCH($A500,'CONTROLE PRODUÇÃO POR EMPRESAS'!$A$6:$A$5000,0),MOD(ROW()-2,6)+1)="","",IFERROR(1*INDEX('CONTROLE PRODUÇÃO POR EMPRESAS'!$B$6:$G$5000,MATCH($A500,'CONTROLE PRODUÇÃO POR EMPRESAS'!$A$6:$A$5000,0),MOD(ROW()-2,6)+1),"")),"")</f>
        <v/>
      </c>
      <c r="I500" s="159">
        <f>IF(OR(NOT(ISNUMBER(G500)),NOT(ISNUMBER(H500))),"",H500-G500)</f>
        <v/>
      </c>
      <c r="J500" s="319">
        <f>IF(OR(NOT(ISNUMBER(G500)),NOT(ISNUMBER(H500)),G500=0),"",I500/G500)</f>
        <v/>
      </c>
      <c r="K500" s="319">
        <f>IF(OR(NOT(ISNUMBER(G500)),NOT(ISNUMBER(H500)),G500=0),"",H500/G500)</f>
        <v/>
      </c>
      <c r="L500">
        <f>IF(NOT(ISNUMBER(G500)),"SEM META",IF(G500=0,"SEM META",IF(NOT(ISNUMBER(H500)),"SEM APONTAMENTO",IF(H500&gt;=G500,"VERDE",IF(H500&gt;=G500*0.9,"AMARELO","VERMELHO")))))</f>
        <v/>
      </c>
      <c r="M500" s="162" t="n"/>
      <c r="N500" s="162" t="n"/>
      <c r="O500" s="162" t="n"/>
      <c r="P500" s="162" t="n"/>
      <c r="Q500" s="320" t="n"/>
      <c r="R500" s="162" t="inlineStr">
        <is>
          <t>CONTROLE PRODUÇÃO POR EMPRESAS!B89</t>
        </is>
      </c>
    </row>
    <row r="501" ht="28.5" customHeight="1">
      <c r="A501" s="317" t="n">
        <v>46306</v>
      </c>
      <c r="B501" t="inlineStr">
        <is>
          <t>GERAL</t>
        </is>
      </c>
      <c r="C501" t="inlineStr">
        <is>
          <t>EJ</t>
        </is>
      </c>
      <c r="D501" t="inlineStr">
        <is>
          <t>IÇAMENTO JOIST</t>
        </is>
      </c>
      <c r="F501" s="159">
        <f>IFERROR(INDEX('BASE METAS DIÁRIAS'!$N$2:$S$358,MATCH($A501,'BASE METAS DIÁRIAS'!$A$2:$A$358,0),MOD(ROW()-2,6)+1),"")</f>
        <v/>
      </c>
      <c r="G501" s="159">
        <f>IFERROR(IF(WEEKDAY($A501,2)&lt;=INDEX('BASE METAS DIÁRIAS'!$H$2:$M$358,MATCH($A501,'BASE METAS DIÁRIAS'!$A$2:$A$358,0),MOD(ROW()-2,6)+1),INDEX('BASE METAS DIÁRIAS'!$B$2:$G$358,MATCH($A501,'BASE METAS DIÁRIAS'!$A$2:$A$358,0),MOD(ROW()-2,6)+1),""),"")</f>
        <v/>
      </c>
      <c r="H501" s="159">
        <f>IFERROR(IF(INDEX('CONTROLE PRODUÇÃO POR EMPRESAS'!$B$6:$G$5000,MATCH($A501,'CONTROLE PRODUÇÃO POR EMPRESAS'!$A$6:$A$5000,0),MOD(ROW()-2,6)+1)="","",IFERROR(1*INDEX('CONTROLE PRODUÇÃO POR EMPRESAS'!$B$6:$G$5000,MATCH($A501,'CONTROLE PRODUÇÃO POR EMPRESAS'!$A$6:$A$5000,0),MOD(ROW()-2,6)+1),"")),"")</f>
        <v/>
      </c>
      <c r="I501" s="159">
        <f>IF(OR(NOT(ISNUMBER(G501)),NOT(ISNUMBER(H501))),"",H501-G501)</f>
        <v/>
      </c>
      <c r="J501" s="319">
        <f>IF(OR(NOT(ISNUMBER(G501)),NOT(ISNUMBER(H501)),G501=0),"",I501/G501)</f>
        <v/>
      </c>
      <c r="K501" s="319">
        <f>IF(OR(NOT(ISNUMBER(G501)),NOT(ISNUMBER(H501)),G501=0),"",H501/G501)</f>
        <v/>
      </c>
      <c r="L501">
        <f>IF(NOT(ISNUMBER(G501)),"SEM META",IF(G501=0,"SEM META",IF(NOT(ISNUMBER(H501)),"SEM APONTAMENTO",IF(H501&gt;=G501,"VERDE",IF(H501&gt;=G501*0.9,"AMARELO","VERMELHO")))))</f>
        <v/>
      </c>
      <c r="M501" s="162" t="n"/>
      <c r="N501" s="162" t="n"/>
      <c r="O501" s="162" t="n"/>
      <c r="P501" s="162" t="n"/>
      <c r="Q501" s="320" t="n"/>
      <c r="R501" s="162" t="inlineStr">
        <is>
          <t>CONTROLE PRODUÇÃO POR EMPRESAS!C89</t>
        </is>
      </c>
    </row>
    <row r="502" ht="28.5" customHeight="1">
      <c r="A502" s="317" t="n">
        <v>46306</v>
      </c>
      <c r="B502" t="inlineStr">
        <is>
          <t>GERAL</t>
        </is>
      </c>
      <c r="C502" t="inlineStr">
        <is>
          <t>EJ</t>
        </is>
      </c>
      <c r="D502" t="inlineStr">
        <is>
          <t>VIGAS</t>
        </is>
      </c>
      <c r="F502" s="159">
        <f>IFERROR(INDEX('BASE METAS DIÁRIAS'!$N$2:$S$358,MATCH($A502,'BASE METAS DIÁRIAS'!$A$2:$A$358,0),MOD(ROW()-2,6)+1),"")</f>
        <v/>
      </c>
      <c r="G502" s="159">
        <f>IFERROR(IF(WEEKDAY($A502,2)&lt;=INDEX('BASE METAS DIÁRIAS'!$H$2:$M$358,MATCH($A502,'BASE METAS DIÁRIAS'!$A$2:$A$358,0),MOD(ROW()-2,6)+1),INDEX('BASE METAS DIÁRIAS'!$B$2:$G$358,MATCH($A502,'BASE METAS DIÁRIAS'!$A$2:$A$358,0),MOD(ROW()-2,6)+1),""),"")</f>
        <v/>
      </c>
      <c r="H502" s="159">
        <f>IFERROR(IF(INDEX('CONTROLE PRODUÇÃO POR EMPRESAS'!$B$6:$G$5000,MATCH($A502,'CONTROLE PRODUÇÃO POR EMPRESAS'!$A$6:$A$5000,0),MOD(ROW()-2,6)+1)="","",IFERROR(1*INDEX('CONTROLE PRODUÇÃO POR EMPRESAS'!$B$6:$G$5000,MATCH($A502,'CONTROLE PRODUÇÃO POR EMPRESAS'!$A$6:$A$5000,0),MOD(ROW()-2,6)+1),"")),"")</f>
        <v/>
      </c>
      <c r="I502" s="159">
        <f>IF(OR(NOT(ISNUMBER(G502)),NOT(ISNUMBER(H502))),"",H502-G502)</f>
        <v/>
      </c>
      <c r="J502" s="319">
        <f>IF(OR(NOT(ISNUMBER(G502)),NOT(ISNUMBER(H502)),G502=0),"",I502/G502)</f>
        <v/>
      </c>
      <c r="K502" s="319">
        <f>IF(OR(NOT(ISNUMBER(G502)),NOT(ISNUMBER(H502)),G502=0),"",H502/G502)</f>
        <v/>
      </c>
      <c r="L502">
        <f>IF(NOT(ISNUMBER(G502)),"SEM META",IF(G502=0,"SEM META",IF(NOT(ISNUMBER(H502)),"SEM APONTAMENTO",IF(H502&gt;=G502,"VERDE",IF(H502&gt;=G502*0.9,"AMARELO","VERMELHO")))))</f>
        <v/>
      </c>
      <c r="M502" s="162" t="n"/>
      <c r="N502" s="162" t="n"/>
      <c r="O502" s="162" t="n"/>
      <c r="P502" s="162" t="n"/>
      <c r="Q502" s="320" t="n"/>
      <c r="R502" s="162" t="inlineStr">
        <is>
          <t>CONTROLE PRODUÇÃO POR EMPRESAS!D89</t>
        </is>
      </c>
    </row>
    <row r="503" ht="28.5" customHeight="1">
      <c r="A503" s="317" t="n">
        <v>46306</v>
      </c>
      <c r="B503" t="inlineStr">
        <is>
          <t>GERAL</t>
        </is>
      </c>
      <c r="C503" t="inlineStr">
        <is>
          <t>CMM</t>
        </is>
      </c>
      <c r="D503" t="inlineStr">
        <is>
          <t>PREMONTAGEM</t>
        </is>
      </c>
      <c r="F503" s="159">
        <f>IFERROR(INDEX('BASE METAS DIÁRIAS'!$N$2:$S$358,MATCH($A503,'BASE METAS DIÁRIAS'!$A$2:$A$358,0),MOD(ROW()-2,6)+1),"")</f>
        <v/>
      </c>
      <c r="G503" s="159">
        <f>IFERROR(IF(WEEKDAY($A503,2)&lt;=INDEX('BASE METAS DIÁRIAS'!$H$2:$M$358,MATCH($A503,'BASE METAS DIÁRIAS'!$A$2:$A$358,0),MOD(ROW()-2,6)+1),INDEX('BASE METAS DIÁRIAS'!$B$2:$G$358,MATCH($A503,'BASE METAS DIÁRIAS'!$A$2:$A$358,0),MOD(ROW()-2,6)+1),""),"")</f>
        <v/>
      </c>
      <c r="H503" s="159">
        <f>IFERROR(IF(INDEX('CONTROLE PRODUÇÃO POR EMPRESAS'!$B$6:$G$5000,MATCH($A503,'CONTROLE PRODUÇÃO POR EMPRESAS'!$A$6:$A$5000,0),MOD(ROW()-2,6)+1)="","",IFERROR(1*INDEX('CONTROLE PRODUÇÃO POR EMPRESAS'!$B$6:$G$5000,MATCH($A503,'CONTROLE PRODUÇÃO POR EMPRESAS'!$A$6:$A$5000,0),MOD(ROW()-2,6)+1),"")),"")</f>
        <v/>
      </c>
      <c r="I503" s="159">
        <f>IF(OR(NOT(ISNUMBER(G503)),NOT(ISNUMBER(H503))),"",H503-G503)</f>
        <v/>
      </c>
      <c r="J503" s="319">
        <f>IF(OR(NOT(ISNUMBER(G503)),NOT(ISNUMBER(H503)),G503=0),"",I503/G503)</f>
        <v/>
      </c>
      <c r="K503" s="319">
        <f>IF(OR(NOT(ISNUMBER(G503)),NOT(ISNUMBER(H503)),G503=0),"",H503/G503)</f>
        <v/>
      </c>
      <c r="L503">
        <f>IF(NOT(ISNUMBER(G503)),"SEM META",IF(G503=0,"SEM META",IF(NOT(ISNUMBER(H503)),"SEM APONTAMENTO",IF(H503&gt;=G503,"VERDE",IF(H503&gt;=G503*0.9,"AMARELO","VERMELHO")))))</f>
        <v/>
      </c>
      <c r="M503" s="162" t="n"/>
      <c r="N503" s="162" t="n"/>
      <c r="O503" s="162" t="n"/>
      <c r="P503" s="162" t="n"/>
      <c r="Q503" s="320" t="n"/>
      <c r="R503" s="162" t="inlineStr">
        <is>
          <t>CONTROLE PRODUÇÃO POR EMPRESAS!E89</t>
        </is>
      </c>
    </row>
    <row r="504" ht="28.5" customHeight="1">
      <c r="A504" s="317" t="n">
        <v>46306</v>
      </c>
      <c r="B504" t="inlineStr">
        <is>
          <t>GERAL</t>
        </is>
      </c>
      <c r="C504" t="inlineStr">
        <is>
          <t>CMM</t>
        </is>
      </c>
      <c r="D504" t="inlineStr">
        <is>
          <t>IÇAMENTO JOIST</t>
        </is>
      </c>
      <c r="F504" s="159">
        <f>IFERROR(INDEX('BASE METAS DIÁRIAS'!$N$2:$S$358,MATCH($A504,'BASE METAS DIÁRIAS'!$A$2:$A$358,0),MOD(ROW()-2,6)+1),"")</f>
        <v/>
      </c>
      <c r="G504" s="159">
        <f>IFERROR(IF(WEEKDAY($A504,2)&lt;=INDEX('BASE METAS DIÁRIAS'!$H$2:$M$358,MATCH($A504,'BASE METAS DIÁRIAS'!$A$2:$A$358,0),MOD(ROW()-2,6)+1),INDEX('BASE METAS DIÁRIAS'!$B$2:$G$358,MATCH($A504,'BASE METAS DIÁRIAS'!$A$2:$A$358,0),MOD(ROW()-2,6)+1),""),"")</f>
        <v/>
      </c>
      <c r="H504" s="159">
        <f>IFERROR(IF(INDEX('CONTROLE PRODUÇÃO POR EMPRESAS'!$B$6:$G$5000,MATCH($A504,'CONTROLE PRODUÇÃO POR EMPRESAS'!$A$6:$A$5000,0),MOD(ROW()-2,6)+1)="","",IFERROR(1*INDEX('CONTROLE PRODUÇÃO POR EMPRESAS'!$B$6:$G$5000,MATCH($A504,'CONTROLE PRODUÇÃO POR EMPRESAS'!$A$6:$A$5000,0),MOD(ROW()-2,6)+1),"")),"")</f>
        <v/>
      </c>
      <c r="I504" s="159">
        <f>IF(OR(NOT(ISNUMBER(G504)),NOT(ISNUMBER(H504))),"",H504-G504)</f>
        <v/>
      </c>
      <c r="J504" s="319">
        <f>IF(OR(NOT(ISNUMBER(G504)),NOT(ISNUMBER(H504)),G504=0),"",I504/G504)</f>
        <v/>
      </c>
      <c r="K504" s="319">
        <f>IF(OR(NOT(ISNUMBER(G504)),NOT(ISNUMBER(H504)),G504=0),"",H504/G504)</f>
        <v/>
      </c>
      <c r="L504">
        <f>IF(NOT(ISNUMBER(G504)),"SEM META",IF(G504=0,"SEM META",IF(NOT(ISNUMBER(H504)),"SEM APONTAMENTO",IF(H504&gt;=G504,"VERDE",IF(H504&gt;=G504*0.9,"AMARELO","VERMELHO")))))</f>
        <v/>
      </c>
      <c r="M504" s="162" t="n"/>
      <c r="N504" s="162" t="n"/>
      <c r="O504" s="162" t="n"/>
      <c r="P504" s="162" t="n"/>
      <c r="Q504" s="320" t="n"/>
      <c r="R504" s="162" t="inlineStr">
        <is>
          <t>CONTROLE PRODUÇÃO POR EMPRESAS!F89</t>
        </is>
      </c>
    </row>
    <row r="505" ht="28.5" customHeight="1">
      <c r="A505" s="317" t="n">
        <v>46306</v>
      </c>
      <c r="B505" t="inlineStr">
        <is>
          <t>GERAL</t>
        </is>
      </c>
      <c r="C505" t="inlineStr">
        <is>
          <t>CMM</t>
        </is>
      </c>
      <c r="D505" t="inlineStr">
        <is>
          <t>VIGAS</t>
        </is>
      </c>
      <c r="F505" s="159">
        <f>IFERROR(INDEX('BASE METAS DIÁRIAS'!$N$2:$S$358,MATCH($A505,'BASE METAS DIÁRIAS'!$A$2:$A$358,0),MOD(ROW()-2,6)+1),"")</f>
        <v/>
      </c>
      <c r="G505" s="159">
        <f>IFERROR(IF(WEEKDAY($A505,2)&lt;=INDEX('BASE METAS DIÁRIAS'!$H$2:$M$358,MATCH($A505,'BASE METAS DIÁRIAS'!$A$2:$A$358,0),MOD(ROW()-2,6)+1),INDEX('BASE METAS DIÁRIAS'!$B$2:$G$358,MATCH($A505,'BASE METAS DIÁRIAS'!$A$2:$A$358,0),MOD(ROW()-2,6)+1),""),"")</f>
        <v/>
      </c>
      <c r="H505" s="159">
        <f>IFERROR(IF(INDEX('CONTROLE PRODUÇÃO POR EMPRESAS'!$B$6:$G$5000,MATCH($A505,'CONTROLE PRODUÇÃO POR EMPRESAS'!$A$6:$A$5000,0),MOD(ROW()-2,6)+1)="","",IFERROR(1*INDEX('CONTROLE PRODUÇÃO POR EMPRESAS'!$B$6:$G$5000,MATCH($A505,'CONTROLE PRODUÇÃO POR EMPRESAS'!$A$6:$A$5000,0),MOD(ROW()-2,6)+1),"")),"")</f>
        <v/>
      </c>
      <c r="I505" s="159">
        <f>IF(OR(NOT(ISNUMBER(G505)),NOT(ISNUMBER(H505))),"",H505-G505)</f>
        <v/>
      </c>
      <c r="J505" s="319">
        <f>IF(OR(NOT(ISNUMBER(G505)),NOT(ISNUMBER(H505)),G505=0),"",I505/G505)</f>
        <v/>
      </c>
      <c r="K505" s="319">
        <f>IF(OR(NOT(ISNUMBER(G505)),NOT(ISNUMBER(H505)),G505=0),"",H505/G505)</f>
        <v/>
      </c>
      <c r="L505">
        <f>IF(NOT(ISNUMBER(G505)),"SEM META",IF(G505=0,"SEM META",IF(NOT(ISNUMBER(H505)),"SEM APONTAMENTO",IF(H505&gt;=G505,"VERDE",IF(H505&gt;=G505*0.9,"AMARELO","VERMELHO")))))</f>
        <v/>
      </c>
      <c r="M505" s="162" t="n"/>
      <c r="N505" s="162" t="n"/>
      <c r="O505" s="162" t="n"/>
      <c r="P505" s="162" t="n"/>
      <c r="Q505" s="320" t="n"/>
      <c r="R505" s="162" t="inlineStr">
        <is>
          <t>CONTROLE PRODUÇÃO POR EMPRESAS!G89</t>
        </is>
      </c>
    </row>
    <row r="506" ht="28.5" customHeight="1">
      <c r="A506" s="317" t="n">
        <v>46307</v>
      </c>
      <c r="B506" t="inlineStr">
        <is>
          <t>GERAL</t>
        </is>
      </c>
      <c r="C506" t="inlineStr">
        <is>
          <t>EJ</t>
        </is>
      </c>
      <c r="D506" t="inlineStr">
        <is>
          <t>PREMONTAGEM</t>
        </is>
      </c>
      <c r="F506" s="159">
        <f>IFERROR(INDEX('BASE METAS DIÁRIAS'!$N$2:$S$358,MATCH($A506,'BASE METAS DIÁRIAS'!$A$2:$A$358,0),MOD(ROW()-2,6)+1),"")</f>
        <v/>
      </c>
      <c r="G506" s="159">
        <f>IFERROR(IF(WEEKDAY($A506,2)&lt;=INDEX('BASE METAS DIÁRIAS'!$H$2:$M$358,MATCH($A506,'BASE METAS DIÁRIAS'!$A$2:$A$358,0),MOD(ROW()-2,6)+1),INDEX('BASE METAS DIÁRIAS'!$B$2:$G$358,MATCH($A506,'BASE METAS DIÁRIAS'!$A$2:$A$358,0),MOD(ROW()-2,6)+1),""),"")</f>
        <v/>
      </c>
      <c r="H506" s="159">
        <f>IFERROR(IF(INDEX('CONTROLE PRODUÇÃO POR EMPRESAS'!$B$6:$G$5000,MATCH($A506,'CONTROLE PRODUÇÃO POR EMPRESAS'!$A$6:$A$5000,0),MOD(ROW()-2,6)+1)="","",IFERROR(1*INDEX('CONTROLE PRODUÇÃO POR EMPRESAS'!$B$6:$G$5000,MATCH($A506,'CONTROLE PRODUÇÃO POR EMPRESAS'!$A$6:$A$5000,0),MOD(ROW()-2,6)+1),"")),"")</f>
        <v/>
      </c>
      <c r="I506" s="159">
        <f>IF(OR(NOT(ISNUMBER(G506)),NOT(ISNUMBER(H506))),"",H506-G506)</f>
        <v/>
      </c>
      <c r="J506" s="319">
        <f>IF(OR(NOT(ISNUMBER(G506)),NOT(ISNUMBER(H506)),G506=0),"",I506/G506)</f>
        <v/>
      </c>
      <c r="K506" s="319">
        <f>IF(OR(NOT(ISNUMBER(G506)),NOT(ISNUMBER(H506)),G506=0),"",H506/G506)</f>
        <v/>
      </c>
      <c r="L506">
        <f>IF(NOT(ISNUMBER(G506)),"SEM META",IF(G506=0,"SEM META",IF(NOT(ISNUMBER(H506)),"SEM APONTAMENTO",IF(H506&gt;=G506,"VERDE",IF(H506&gt;=G506*0.9,"AMARELO","VERMELHO")))))</f>
        <v/>
      </c>
      <c r="M506" s="162" t="n"/>
      <c r="N506" s="162" t="n"/>
      <c r="O506" s="162" t="n"/>
      <c r="P506" s="162" t="n"/>
      <c r="Q506" s="320" t="n"/>
      <c r="R506" s="162" t="inlineStr">
        <is>
          <t>CONTROLE PRODUÇÃO POR EMPRESAS!B90</t>
        </is>
      </c>
    </row>
    <row r="507" ht="28.5" customHeight="1">
      <c r="A507" s="317" t="n">
        <v>46307</v>
      </c>
      <c r="B507" t="inlineStr">
        <is>
          <t>GERAL</t>
        </is>
      </c>
      <c r="C507" t="inlineStr">
        <is>
          <t>EJ</t>
        </is>
      </c>
      <c r="D507" t="inlineStr">
        <is>
          <t>IÇAMENTO JOIST</t>
        </is>
      </c>
      <c r="F507" s="159">
        <f>IFERROR(INDEX('BASE METAS DIÁRIAS'!$N$2:$S$358,MATCH($A507,'BASE METAS DIÁRIAS'!$A$2:$A$358,0),MOD(ROW()-2,6)+1),"")</f>
        <v/>
      </c>
      <c r="G507" s="159">
        <f>IFERROR(IF(WEEKDAY($A507,2)&lt;=INDEX('BASE METAS DIÁRIAS'!$H$2:$M$358,MATCH($A507,'BASE METAS DIÁRIAS'!$A$2:$A$358,0),MOD(ROW()-2,6)+1),INDEX('BASE METAS DIÁRIAS'!$B$2:$G$358,MATCH($A507,'BASE METAS DIÁRIAS'!$A$2:$A$358,0),MOD(ROW()-2,6)+1),""),"")</f>
        <v/>
      </c>
      <c r="H507" s="159">
        <f>IFERROR(IF(INDEX('CONTROLE PRODUÇÃO POR EMPRESAS'!$B$6:$G$5000,MATCH($A507,'CONTROLE PRODUÇÃO POR EMPRESAS'!$A$6:$A$5000,0),MOD(ROW()-2,6)+1)="","",IFERROR(1*INDEX('CONTROLE PRODUÇÃO POR EMPRESAS'!$B$6:$G$5000,MATCH($A507,'CONTROLE PRODUÇÃO POR EMPRESAS'!$A$6:$A$5000,0),MOD(ROW()-2,6)+1),"")),"")</f>
        <v/>
      </c>
      <c r="I507" s="159">
        <f>IF(OR(NOT(ISNUMBER(G507)),NOT(ISNUMBER(H507))),"",H507-G507)</f>
        <v/>
      </c>
      <c r="J507" s="319">
        <f>IF(OR(NOT(ISNUMBER(G507)),NOT(ISNUMBER(H507)),G507=0),"",I507/G507)</f>
        <v/>
      </c>
      <c r="K507" s="319">
        <f>IF(OR(NOT(ISNUMBER(G507)),NOT(ISNUMBER(H507)),G507=0),"",H507/G507)</f>
        <v/>
      </c>
      <c r="L507">
        <f>IF(NOT(ISNUMBER(G507)),"SEM META",IF(G507=0,"SEM META",IF(NOT(ISNUMBER(H507)),"SEM APONTAMENTO",IF(H507&gt;=G507,"VERDE",IF(H507&gt;=G507*0.9,"AMARELO","VERMELHO")))))</f>
        <v/>
      </c>
      <c r="M507" s="162" t="n"/>
      <c r="N507" s="162" t="n"/>
      <c r="O507" s="162" t="n"/>
      <c r="P507" s="162" t="n"/>
      <c r="Q507" s="320" t="n"/>
      <c r="R507" s="162" t="inlineStr">
        <is>
          <t>CONTROLE PRODUÇÃO POR EMPRESAS!C90</t>
        </is>
      </c>
    </row>
    <row r="508" ht="28.5" customHeight="1">
      <c r="A508" s="317" t="n">
        <v>46307</v>
      </c>
      <c r="B508" t="inlineStr">
        <is>
          <t>GERAL</t>
        </is>
      </c>
      <c r="C508" t="inlineStr">
        <is>
          <t>EJ</t>
        </is>
      </c>
      <c r="D508" t="inlineStr">
        <is>
          <t>VIGAS</t>
        </is>
      </c>
      <c r="F508" s="159">
        <f>IFERROR(INDEX('BASE METAS DIÁRIAS'!$N$2:$S$358,MATCH($A508,'BASE METAS DIÁRIAS'!$A$2:$A$358,0),MOD(ROW()-2,6)+1),"")</f>
        <v/>
      </c>
      <c r="G508" s="159">
        <f>IFERROR(IF(WEEKDAY($A508,2)&lt;=INDEX('BASE METAS DIÁRIAS'!$H$2:$M$358,MATCH($A508,'BASE METAS DIÁRIAS'!$A$2:$A$358,0),MOD(ROW()-2,6)+1),INDEX('BASE METAS DIÁRIAS'!$B$2:$G$358,MATCH($A508,'BASE METAS DIÁRIAS'!$A$2:$A$358,0),MOD(ROW()-2,6)+1),""),"")</f>
        <v/>
      </c>
      <c r="H508" s="159">
        <f>IFERROR(IF(INDEX('CONTROLE PRODUÇÃO POR EMPRESAS'!$B$6:$G$5000,MATCH($A508,'CONTROLE PRODUÇÃO POR EMPRESAS'!$A$6:$A$5000,0),MOD(ROW()-2,6)+1)="","",IFERROR(1*INDEX('CONTROLE PRODUÇÃO POR EMPRESAS'!$B$6:$G$5000,MATCH($A508,'CONTROLE PRODUÇÃO POR EMPRESAS'!$A$6:$A$5000,0),MOD(ROW()-2,6)+1),"")),"")</f>
        <v/>
      </c>
      <c r="I508" s="159">
        <f>IF(OR(NOT(ISNUMBER(G508)),NOT(ISNUMBER(H508))),"",H508-G508)</f>
        <v/>
      </c>
      <c r="J508" s="319">
        <f>IF(OR(NOT(ISNUMBER(G508)),NOT(ISNUMBER(H508)),G508=0),"",I508/G508)</f>
        <v/>
      </c>
      <c r="K508" s="319">
        <f>IF(OR(NOT(ISNUMBER(G508)),NOT(ISNUMBER(H508)),G508=0),"",H508/G508)</f>
        <v/>
      </c>
      <c r="L508">
        <f>IF(NOT(ISNUMBER(G508)),"SEM META",IF(G508=0,"SEM META",IF(NOT(ISNUMBER(H508)),"SEM APONTAMENTO",IF(H508&gt;=G508,"VERDE",IF(H508&gt;=G508*0.9,"AMARELO","VERMELHO")))))</f>
        <v/>
      </c>
      <c r="M508" s="162" t="n"/>
      <c r="N508" s="162" t="n"/>
      <c r="O508" s="162" t="n"/>
      <c r="P508" s="162" t="n"/>
      <c r="Q508" s="320" t="n"/>
      <c r="R508" s="162" t="inlineStr">
        <is>
          <t>CONTROLE PRODUÇÃO POR EMPRESAS!D90</t>
        </is>
      </c>
    </row>
    <row r="509" ht="28.5" customHeight="1">
      <c r="A509" s="317" t="n">
        <v>46307</v>
      </c>
      <c r="B509" t="inlineStr">
        <is>
          <t>GERAL</t>
        </is>
      </c>
      <c r="C509" t="inlineStr">
        <is>
          <t>CMM</t>
        </is>
      </c>
      <c r="D509" t="inlineStr">
        <is>
          <t>PREMONTAGEM</t>
        </is>
      </c>
      <c r="F509" s="159">
        <f>IFERROR(INDEX('BASE METAS DIÁRIAS'!$N$2:$S$358,MATCH($A509,'BASE METAS DIÁRIAS'!$A$2:$A$358,0),MOD(ROW()-2,6)+1),"")</f>
        <v/>
      </c>
      <c r="G509" s="159">
        <f>IFERROR(IF(WEEKDAY($A509,2)&lt;=INDEX('BASE METAS DIÁRIAS'!$H$2:$M$358,MATCH($A509,'BASE METAS DIÁRIAS'!$A$2:$A$358,0),MOD(ROW()-2,6)+1),INDEX('BASE METAS DIÁRIAS'!$B$2:$G$358,MATCH($A509,'BASE METAS DIÁRIAS'!$A$2:$A$358,0),MOD(ROW()-2,6)+1),""),"")</f>
        <v/>
      </c>
      <c r="H509" s="159">
        <f>IFERROR(IF(INDEX('CONTROLE PRODUÇÃO POR EMPRESAS'!$B$6:$G$5000,MATCH($A509,'CONTROLE PRODUÇÃO POR EMPRESAS'!$A$6:$A$5000,0),MOD(ROW()-2,6)+1)="","",IFERROR(1*INDEX('CONTROLE PRODUÇÃO POR EMPRESAS'!$B$6:$G$5000,MATCH($A509,'CONTROLE PRODUÇÃO POR EMPRESAS'!$A$6:$A$5000,0),MOD(ROW()-2,6)+1),"")),"")</f>
        <v/>
      </c>
      <c r="I509" s="159">
        <f>IF(OR(NOT(ISNUMBER(G509)),NOT(ISNUMBER(H509))),"",H509-G509)</f>
        <v/>
      </c>
      <c r="J509" s="319">
        <f>IF(OR(NOT(ISNUMBER(G509)),NOT(ISNUMBER(H509)),G509=0),"",I509/G509)</f>
        <v/>
      </c>
      <c r="K509" s="319">
        <f>IF(OR(NOT(ISNUMBER(G509)),NOT(ISNUMBER(H509)),G509=0),"",H509/G509)</f>
        <v/>
      </c>
      <c r="L509">
        <f>IF(NOT(ISNUMBER(G509)),"SEM META",IF(G509=0,"SEM META",IF(NOT(ISNUMBER(H509)),"SEM APONTAMENTO",IF(H509&gt;=G509,"VERDE",IF(H509&gt;=G509*0.9,"AMARELO","VERMELHO")))))</f>
        <v/>
      </c>
      <c r="M509" s="162" t="n"/>
      <c r="N509" s="162" t="n"/>
      <c r="O509" s="162" t="n"/>
      <c r="P509" s="162" t="n"/>
      <c r="Q509" s="320" t="n"/>
      <c r="R509" s="162" t="inlineStr">
        <is>
          <t>CONTROLE PRODUÇÃO POR EMPRESAS!E90</t>
        </is>
      </c>
    </row>
    <row r="510" ht="28.5" customHeight="1">
      <c r="A510" s="317" t="n">
        <v>46307</v>
      </c>
      <c r="B510" t="inlineStr">
        <is>
          <t>GERAL</t>
        </is>
      </c>
      <c r="C510" t="inlineStr">
        <is>
          <t>CMM</t>
        </is>
      </c>
      <c r="D510" t="inlineStr">
        <is>
          <t>IÇAMENTO JOIST</t>
        </is>
      </c>
      <c r="F510" s="159">
        <f>IFERROR(INDEX('BASE METAS DIÁRIAS'!$N$2:$S$358,MATCH($A510,'BASE METAS DIÁRIAS'!$A$2:$A$358,0),MOD(ROW()-2,6)+1),"")</f>
        <v/>
      </c>
      <c r="G510" s="159">
        <f>IFERROR(IF(WEEKDAY($A510,2)&lt;=INDEX('BASE METAS DIÁRIAS'!$H$2:$M$358,MATCH($A510,'BASE METAS DIÁRIAS'!$A$2:$A$358,0),MOD(ROW()-2,6)+1),INDEX('BASE METAS DIÁRIAS'!$B$2:$G$358,MATCH($A510,'BASE METAS DIÁRIAS'!$A$2:$A$358,0),MOD(ROW()-2,6)+1),""),"")</f>
        <v/>
      </c>
      <c r="H510" s="159">
        <f>IFERROR(IF(INDEX('CONTROLE PRODUÇÃO POR EMPRESAS'!$B$6:$G$5000,MATCH($A510,'CONTROLE PRODUÇÃO POR EMPRESAS'!$A$6:$A$5000,0),MOD(ROW()-2,6)+1)="","",IFERROR(1*INDEX('CONTROLE PRODUÇÃO POR EMPRESAS'!$B$6:$G$5000,MATCH($A510,'CONTROLE PRODUÇÃO POR EMPRESAS'!$A$6:$A$5000,0),MOD(ROW()-2,6)+1),"")),"")</f>
        <v/>
      </c>
      <c r="I510" s="159">
        <f>IF(OR(NOT(ISNUMBER(G510)),NOT(ISNUMBER(H510))),"",H510-G510)</f>
        <v/>
      </c>
      <c r="J510" s="319">
        <f>IF(OR(NOT(ISNUMBER(G510)),NOT(ISNUMBER(H510)),G510=0),"",I510/G510)</f>
        <v/>
      </c>
      <c r="K510" s="319">
        <f>IF(OR(NOT(ISNUMBER(G510)),NOT(ISNUMBER(H510)),G510=0),"",H510/G510)</f>
        <v/>
      </c>
      <c r="L510">
        <f>IF(NOT(ISNUMBER(G510)),"SEM META",IF(G510=0,"SEM META",IF(NOT(ISNUMBER(H510)),"SEM APONTAMENTO",IF(H510&gt;=G510,"VERDE",IF(H510&gt;=G510*0.9,"AMARELO","VERMELHO")))))</f>
        <v/>
      </c>
      <c r="M510" s="162" t="n"/>
      <c r="N510" s="162" t="n"/>
      <c r="O510" s="162" t="n"/>
      <c r="P510" s="162" t="n"/>
      <c r="Q510" s="320" t="n"/>
      <c r="R510" s="162" t="inlineStr">
        <is>
          <t>CONTROLE PRODUÇÃO POR EMPRESAS!F90</t>
        </is>
      </c>
    </row>
    <row r="511" ht="28.5" customHeight="1">
      <c r="A511" s="317" t="n">
        <v>46307</v>
      </c>
      <c r="B511" t="inlineStr">
        <is>
          <t>GERAL</t>
        </is>
      </c>
      <c r="C511" t="inlineStr">
        <is>
          <t>CMM</t>
        </is>
      </c>
      <c r="D511" t="inlineStr">
        <is>
          <t>VIGAS</t>
        </is>
      </c>
      <c r="F511" s="159">
        <f>IFERROR(INDEX('BASE METAS DIÁRIAS'!$N$2:$S$358,MATCH($A511,'BASE METAS DIÁRIAS'!$A$2:$A$358,0),MOD(ROW()-2,6)+1),"")</f>
        <v/>
      </c>
      <c r="G511" s="159">
        <f>IFERROR(IF(WEEKDAY($A511,2)&lt;=INDEX('BASE METAS DIÁRIAS'!$H$2:$M$358,MATCH($A511,'BASE METAS DIÁRIAS'!$A$2:$A$358,0),MOD(ROW()-2,6)+1),INDEX('BASE METAS DIÁRIAS'!$B$2:$G$358,MATCH($A511,'BASE METAS DIÁRIAS'!$A$2:$A$358,0),MOD(ROW()-2,6)+1),""),"")</f>
        <v/>
      </c>
      <c r="H511" s="159">
        <f>IFERROR(IF(INDEX('CONTROLE PRODUÇÃO POR EMPRESAS'!$B$6:$G$5000,MATCH($A511,'CONTROLE PRODUÇÃO POR EMPRESAS'!$A$6:$A$5000,0),MOD(ROW()-2,6)+1)="","",IFERROR(1*INDEX('CONTROLE PRODUÇÃO POR EMPRESAS'!$B$6:$G$5000,MATCH($A511,'CONTROLE PRODUÇÃO POR EMPRESAS'!$A$6:$A$5000,0),MOD(ROW()-2,6)+1),"")),"")</f>
        <v/>
      </c>
      <c r="I511" s="159">
        <f>IF(OR(NOT(ISNUMBER(G511)),NOT(ISNUMBER(H511))),"",H511-G511)</f>
        <v/>
      </c>
      <c r="J511" s="319">
        <f>IF(OR(NOT(ISNUMBER(G511)),NOT(ISNUMBER(H511)),G511=0),"",I511/G511)</f>
        <v/>
      </c>
      <c r="K511" s="319">
        <f>IF(OR(NOT(ISNUMBER(G511)),NOT(ISNUMBER(H511)),G511=0),"",H511/G511)</f>
        <v/>
      </c>
      <c r="L511">
        <f>IF(NOT(ISNUMBER(G511)),"SEM META",IF(G511=0,"SEM META",IF(NOT(ISNUMBER(H511)),"SEM APONTAMENTO",IF(H511&gt;=G511,"VERDE",IF(H511&gt;=G511*0.9,"AMARELO","VERMELHO")))))</f>
        <v/>
      </c>
      <c r="M511" s="162" t="n"/>
      <c r="N511" s="162" t="n"/>
      <c r="O511" s="162" t="n"/>
      <c r="P511" s="162" t="n"/>
      <c r="Q511" s="320" t="n"/>
      <c r="R511" s="162" t="inlineStr">
        <is>
          <t>CONTROLE PRODUÇÃO POR EMPRESAS!G90</t>
        </is>
      </c>
    </row>
    <row r="512" ht="28.5" customHeight="1">
      <c r="A512" s="317" t="n">
        <v>46308</v>
      </c>
      <c r="B512" t="inlineStr">
        <is>
          <t>GERAL</t>
        </is>
      </c>
      <c r="C512" t="inlineStr">
        <is>
          <t>EJ</t>
        </is>
      </c>
      <c r="D512" t="inlineStr">
        <is>
          <t>PREMONTAGEM</t>
        </is>
      </c>
      <c r="F512" s="159">
        <f>IFERROR(INDEX('BASE METAS DIÁRIAS'!$N$2:$S$358,MATCH($A512,'BASE METAS DIÁRIAS'!$A$2:$A$358,0),MOD(ROW()-2,6)+1),"")</f>
        <v/>
      </c>
      <c r="G512" s="159">
        <f>IFERROR(IF(WEEKDAY($A512,2)&lt;=INDEX('BASE METAS DIÁRIAS'!$H$2:$M$358,MATCH($A512,'BASE METAS DIÁRIAS'!$A$2:$A$358,0),MOD(ROW()-2,6)+1),INDEX('BASE METAS DIÁRIAS'!$B$2:$G$358,MATCH($A512,'BASE METAS DIÁRIAS'!$A$2:$A$358,0),MOD(ROW()-2,6)+1),""),"")</f>
        <v/>
      </c>
      <c r="H512" s="159">
        <f>IFERROR(IF(INDEX('CONTROLE PRODUÇÃO POR EMPRESAS'!$B$6:$G$5000,MATCH($A512,'CONTROLE PRODUÇÃO POR EMPRESAS'!$A$6:$A$5000,0),MOD(ROW()-2,6)+1)="","",IFERROR(1*INDEX('CONTROLE PRODUÇÃO POR EMPRESAS'!$B$6:$G$5000,MATCH($A512,'CONTROLE PRODUÇÃO POR EMPRESAS'!$A$6:$A$5000,0),MOD(ROW()-2,6)+1),"")),"")</f>
        <v/>
      </c>
      <c r="I512" s="159">
        <f>IF(OR(NOT(ISNUMBER(G512)),NOT(ISNUMBER(H512))),"",H512-G512)</f>
        <v/>
      </c>
      <c r="J512" s="319">
        <f>IF(OR(NOT(ISNUMBER(G512)),NOT(ISNUMBER(H512)),G512=0),"",I512/G512)</f>
        <v/>
      </c>
      <c r="K512" s="319">
        <f>IF(OR(NOT(ISNUMBER(G512)),NOT(ISNUMBER(H512)),G512=0),"",H512/G512)</f>
        <v/>
      </c>
      <c r="L512">
        <f>IF(NOT(ISNUMBER(G512)),"SEM META",IF(G512=0,"SEM META",IF(NOT(ISNUMBER(H512)),"SEM APONTAMENTO",IF(H512&gt;=G512,"VERDE",IF(H512&gt;=G512*0.9,"AMARELO","VERMELHO")))))</f>
        <v/>
      </c>
      <c r="M512" s="162" t="n"/>
      <c r="N512" s="162" t="n"/>
      <c r="O512" s="162" t="n"/>
      <c r="P512" s="162" t="n"/>
      <c r="Q512" s="320" t="n"/>
      <c r="R512" s="162" t="inlineStr">
        <is>
          <t>CONTROLE PRODUÇÃO POR EMPRESAS!B91</t>
        </is>
      </c>
    </row>
    <row r="513" ht="28.5" customHeight="1">
      <c r="A513" s="317" t="n">
        <v>46308</v>
      </c>
      <c r="B513" t="inlineStr">
        <is>
          <t>GERAL</t>
        </is>
      </c>
      <c r="C513" t="inlineStr">
        <is>
          <t>EJ</t>
        </is>
      </c>
      <c r="D513" t="inlineStr">
        <is>
          <t>IÇAMENTO JOIST</t>
        </is>
      </c>
      <c r="F513" s="159">
        <f>IFERROR(INDEX('BASE METAS DIÁRIAS'!$N$2:$S$358,MATCH($A513,'BASE METAS DIÁRIAS'!$A$2:$A$358,0),MOD(ROW()-2,6)+1),"")</f>
        <v/>
      </c>
      <c r="G513" s="159">
        <f>IFERROR(IF(WEEKDAY($A513,2)&lt;=INDEX('BASE METAS DIÁRIAS'!$H$2:$M$358,MATCH($A513,'BASE METAS DIÁRIAS'!$A$2:$A$358,0),MOD(ROW()-2,6)+1),INDEX('BASE METAS DIÁRIAS'!$B$2:$G$358,MATCH($A513,'BASE METAS DIÁRIAS'!$A$2:$A$358,0),MOD(ROW()-2,6)+1),""),"")</f>
        <v/>
      </c>
      <c r="H513" s="159">
        <f>IFERROR(IF(INDEX('CONTROLE PRODUÇÃO POR EMPRESAS'!$B$6:$G$5000,MATCH($A513,'CONTROLE PRODUÇÃO POR EMPRESAS'!$A$6:$A$5000,0),MOD(ROW()-2,6)+1)="","",IFERROR(1*INDEX('CONTROLE PRODUÇÃO POR EMPRESAS'!$B$6:$G$5000,MATCH($A513,'CONTROLE PRODUÇÃO POR EMPRESAS'!$A$6:$A$5000,0),MOD(ROW()-2,6)+1),"")),"")</f>
        <v/>
      </c>
      <c r="I513" s="159">
        <f>IF(OR(NOT(ISNUMBER(G513)),NOT(ISNUMBER(H513))),"",H513-G513)</f>
        <v/>
      </c>
      <c r="J513" s="319">
        <f>IF(OR(NOT(ISNUMBER(G513)),NOT(ISNUMBER(H513)),G513=0),"",I513/G513)</f>
        <v/>
      </c>
      <c r="K513" s="319">
        <f>IF(OR(NOT(ISNUMBER(G513)),NOT(ISNUMBER(H513)),G513=0),"",H513/G513)</f>
        <v/>
      </c>
      <c r="L513">
        <f>IF(NOT(ISNUMBER(G513)),"SEM META",IF(G513=0,"SEM META",IF(NOT(ISNUMBER(H513)),"SEM APONTAMENTO",IF(H513&gt;=G513,"VERDE",IF(H513&gt;=G513*0.9,"AMARELO","VERMELHO")))))</f>
        <v/>
      </c>
      <c r="M513" s="162" t="n"/>
      <c r="N513" s="162" t="n"/>
      <c r="O513" s="162" t="n"/>
      <c r="P513" s="162" t="n"/>
      <c r="Q513" s="320" t="n"/>
      <c r="R513" s="162" t="inlineStr">
        <is>
          <t>CONTROLE PRODUÇÃO POR EMPRESAS!C91</t>
        </is>
      </c>
    </row>
    <row r="514" ht="28.5" customHeight="1">
      <c r="A514" s="317" t="n">
        <v>46308</v>
      </c>
      <c r="B514" t="inlineStr">
        <is>
          <t>GERAL</t>
        </is>
      </c>
      <c r="C514" t="inlineStr">
        <is>
          <t>EJ</t>
        </is>
      </c>
      <c r="D514" t="inlineStr">
        <is>
          <t>VIGAS</t>
        </is>
      </c>
      <c r="F514" s="159">
        <f>IFERROR(INDEX('BASE METAS DIÁRIAS'!$N$2:$S$358,MATCH($A514,'BASE METAS DIÁRIAS'!$A$2:$A$358,0),MOD(ROW()-2,6)+1),"")</f>
        <v/>
      </c>
      <c r="G514" s="159">
        <f>IFERROR(IF(WEEKDAY($A514,2)&lt;=INDEX('BASE METAS DIÁRIAS'!$H$2:$M$358,MATCH($A514,'BASE METAS DIÁRIAS'!$A$2:$A$358,0),MOD(ROW()-2,6)+1),INDEX('BASE METAS DIÁRIAS'!$B$2:$G$358,MATCH($A514,'BASE METAS DIÁRIAS'!$A$2:$A$358,0),MOD(ROW()-2,6)+1),""),"")</f>
        <v/>
      </c>
      <c r="H514" s="159">
        <f>IFERROR(IF(INDEX('CONTROLE PRODUÇÃO POR EMPRESAS'!$B$6:$G$5000,MATCH($A514,'CONTROLE PRODUÇÃO POR EMPRESAS'!$A$6:$A$5000,0),MOD(ROW()-2,6)+1)="","",IFERROR(1*INDEX('CONTROLE PRODUÇÃO POR EMPRESAS'!$B$6:$G$5000,MATCH($A514,'CONTROLE PRODUÇÃO POR EMPRESAS'!$A$6:$A$5000,0),MOD(ROW()-2,6)+1),"")),"")</f>
        <v/>
      </c>
      <c r="I514" s="159">
        <f>IF(OR(NOT(ISNUMBER(G514)),NOT(ISNUMBER(H514))),"",H514-G514)</f>
        <v/>
      </c>
      <c r="J514" s="319">
        <f>IF(OR(NOT(ISNUMBER(G514)),NOT(ISNUMBER(H514)),G514=0),"",I514/G514)</f>
        <v/>
      </c>
      <c r="K514" s="319">
        <f>IF(OR(NOT(ISNUMBER(G514)),NOT(ISNUMBER(H514)),G514=0),"",H514/G514)</f>
        <v/>
      </c>
      <c r="L514">
        <f>IF(NOT(ISNUMBER(G514)),"SEM META",IF(G514=0,"SEM META",IF(NOT(ISNUMBER(H514)),"SEM APONTAMENTO",IF(H514&gt;=G514,"VERDE",IF(H514&gt;=G514*0.9,"AMARELO","VERMELHO")))))</f>
        <v/>
      </c>
      <c r="M514" s="162" t="n"/>
      <c r="N514" s="162" t="n"/>
      <c r="O514" s="162" t="n"/>
      <c r="P514" s="162" t="n"/>
      <c r="Q514" s="320" t="n"/>
      <c r="R514" s="162" t="inlineStr">
        <is>
          <t>CONTROLE PRODUÇÃO POR EMPRESAS!D91</t>
        </is>
      </c>
    </row>
    <row r="515" ht="28.5" customHeight="1">
      <c r="A515" s="317" t="n">
        <v>46308</v>
      </c>
      <c r="B515" t="inlineStr">
        <is>
          <t>GERAL</t>
        </is>
      </c>
      <c r="C515" t="inlineStr">
        <is>
          <t>CMM</t>
        </is>
      </c>
      <c r="D515" t="inlineStr">
        <is>
          <t>PREMONTAGEM</t>
        </is>
      </c>
      <c r="F515" s="159">
        <f>IFERROR(INDEX('BASE METAS DIÁRIAS'!$N$2:$S$358,MATCH($A515,'BASE METAS DIÁRIAS'!$A$2:$A$358,0),MOD(ROW()-2,6)+1),"")</f>
        <v/>
      </c>
      <c r="G515" s="159">
        <f>IFERROR(IF(WEEKDAY($A515,2)&lt;=INDEX('BASE METAS DIÁRIAS'!$H$2:$M$358,MATCH($A515,'BASE METAS DIÁRIAS'!$A$2:$A$358,0),MOD(ROW()-2,6)+1),INDEX('BASE METAS DIÁRIAS'!$B$2:$G$358,MATCH($A515,'BASE METAS DIÁRIAS'!$A$2:$A$358,0),MOD(ROW()-2,6)+1),""),"")</f>
        <v/>
      </c>
      <c r="H515" s="159">
        <f>IFERROR(IF(INDEX('CONTROLE PRODUÇÃO POR EMPRESAS'!$B$6:$G$5000,MATCH($A515,'CONTROLE PRODUÇÃO POR EMPRESAS'!$A$6:$A$5000,0),MOD(ROW()-2,6)+1)="","",IFERROR(1*INDEX('CONTROLE PRODUÇÃO POR EMPRESAS'!$B$6:$G$5000,MATCH($A515,'CONTROLE PRODUÇÃO POR EMPRESAS'!$A$6:$A$5000,0),MOD(ROW()-2,6)+1),"")),"")</f>
        <v/>
      </c>
      <c r="I515" s="159">
        <f>IF(OR(NOT(ISNUMBER(G515)),NOT(ISNUMBER(H515))),"",H515-G515)</f>
        <v/>
      </c>
      <c r="J515" s="319">
        <f>IF(OR(NOT(ISNUMBER(G515)),NOT(ISNUMBER(H515)),G515=0),"",I515/G515)</f>
        <v/>
      </c>
      <c r="K515" s="319">
        <f>IF(OR(NOT(ISNUMBER(G515)),NOT(ISNUMBER(H515)),G515=0),"",H515/G515)</f>
        <v/>
      </c>
      <c r="L515">
        <f>IF(NOT(ISNUMBER(G515)),"SEM META",IF(G515=0,"SEM META",IF(NOT(ISNUMBER(H515)),"SEM APONTAMENTO",IF(H515&gt;=G515,"VERDE",IF(H515&gt;=G515*0.9,"AMARELO","VERMELHO")))))</f>
        <v/>
      </c>
      <c r="M515" s="162" t="n"/>
      <c r="N515" s="162" t="n"/>
      <c r="O515" s="162" t="n"/>
      <c r="P515" s="162" t="n"/>
      <c r="Q515" s="320" t="n"/>
      <c r="R515" s="162" t="inlineStr">
        <is>
          <t>CONTROLE PRODUÇÃO POR EMPRESAS!E91</t>
        </is>
      </c>
    </row>
    <row r="516" ht="28.5" customHeight="1">
      <c r="A516" s="317" t="n">
        <v>46308</v>
      </c>
      <c r="B516" t="inlineStr">
        <is>
          <t>GERAL</t>
        </is>
      </c>
      <c r="C516" t="inlineStr">
        <is>
          <t>CMM</t>
        </is>
      </c>
      <c r="D516" t="inlineStr">
        <is>
          <t>IÇAMENTO JOIST</t>
        </is>
      </c>
      <c r="F516" s="159">
        <f>IFERROR(INDEX('BASE METAS DIÁRIAS'!$N$2:$S$358,MATCH($A516,'BASE METAS DIÁRIAS'!$A$2:$A$358,0),MOD(ROW()-2,6)+1),"")</f>
        <v/>
      </c>
      <c r="G516" s="159">
        <f>IFERROR(IF(WEEKDAY($A516,2)&lt;=INDEX('BASE METAS DIÁRIAS'!$H$2:$M$358,MATCH($A516,'BASE METAS DIÁRIAS'!$A$2:$A$358,0),MOD(ROW()-2,6)+1),INDEX('BASE METAS DIÁRIAS'!$B$2:$G$358,MATCH($A516,'BASE METAS DIÁRIAS'!$A$2:$A$358,0),MOD(ROW()-2,6)+1),""),"")</f>
        <v/>
      </c>
      <c r="H516" s="159">
        <f>IFERROR(IF(INDEX('CONTROLE PRODUÇÃO POR EMPRESAS'!$B$6:$G$5000,MATCH($A516,'CONTROLE PRODUÇÃO POR EMPRESAS'!$A$6:$A$5000,0),MOD(ROW()-2,6)+1)="","",IFERROR(1*INDEX('CONTROLE PRODUÇÃO POR EMPRESAS'!$B$6:$G$5000,MATCH($A516,'CONTROLE PRODUÇÃO POR EMPRESAS'!$A$6:$A$5000,0),MOD(ROW()-2,6)+1),"")),"")</f>
        <v/>
      </c>
      <c r="I516" s="159">
        <f>IF(OR(NOT(ISNUMBER(G516)),NOT(ISNUMBER(H516))),"",H516-G516)</f>
        <v/>
      </c>
      <c r="J516" s="319">
        <f>IF(OR(NOT(ISNUMBER(G516)),NOT(ISNUMBER(H516)),G516=0),"",I516/G516)</f>
        <v/>
      </c>
      <c r="K516" s="319">
        <f>IF(OR(NOT(ISNUMBER(G516)),NOT(ISNUMBER(H516)),G516=0),"",H516/G516)</f>
        <v/>
      </c>
      <c r="L516">
        <f>IF(NOT(ISNUMBER(G516)),"SEM META",IF(G516=0,"SEM META",IF(NOT(ISNUMBER(H516)),"SEM APONTAMENTO",IF(H516&gt;=G516,"VERDE",IF(H516&gt;=G516*0.9,"AMARELO","VERMELHO")))))</f>
        <v/>
      </c>
      <c r="M516" s="162" t="n"/>
      <c r="N516" s="162" t="n"/>
      <c r="O516" s="162" t="n"/>
      <c r="P516" s="162" t="n"/>
      <c r="Q516" s="320" t="n"/>
      <c r="R516" s="162" t="inlineStr">
        <is>
          <t>CONTROLE PRODUÇÃO POR EMPRESAS!F91</t>
        </is>
      </c>
    </row>
    <row r="517" ht="28.5" customHeight="1">
      <c r="A517" s="317" t="n">
        <v>46308</v>
      </c>
      <c r="B517" t="inlineStr">
        <is>
          <t>GERAL</t>
        </is>
      </c>
      <c r="C517" t="inlineStr">
        <is>
          <t>CMM</t>
        </is>
      </c>
      <c r="D517" t="inlineStr">
        <is>
          <t>VIGAS</t>
        </is>
      </c>
      <c r="F517" s="159">
        <f>IFERROR(INDEX('BASE METAS DIÁRIAS'!$N$2:$S$358,MATCH($A517,'BASE METAS DIÁRIAS'!$A$2:$A$358,0),MOD(ROW()-2,6)+1),"")</f>
        <v/>
      </c>
      <c r="G517" s="159">
        <f>IFERROR(IF(WEEKDAY($A517,2)&lt;=INDEX('BASE METAS DIÁRIAS'!$H$2:$M$358,MATCH($A517,'BASE METAS DIÁRIAS'!$A$2:$A$358,0),MOD(ROW()-2,6)+1),INDEX('BASE METAS DIÁRIAS'!$B$2:$G$358,MATCH($A517,'BASE METAS DIÁRIAS'!$A$2:$A$358,0),MOD(ROW()-2,6)+1),""),"")</f>
        <v/>
      </c>
      <c r="H517" s="159">
        <f>IFERROR(IF(INDEX('CONTROLE PRODUÇÃO POR EMPRESAS'!$B$6:$G$5000,MATCH($A517,'CONTROLE PRODUÇÃO POR EMPRESAS'!$A$6:$A$5000,0),MOD(ROW()-2,6)+1)="","",IFERROR(1*INDEX('CONTROLE PRODUÇÃO POR EMPRESAS'!$B$6:$G$5000,MATCH($A517,'CONTROLE PRODUÇÃO POR EMPRESAS'!$A$6:$A$5000,0),MOD(ROW()-2,6)+1),"")),"")</f>
        <v/>
      </c>
      <c r="I517" s="159">
        <f>IF(OR(NOT(ISNUMBER(G517)),NOT(ISNUMBER(H517))),"",H517-G517)</f>
        <v/>
      </c>
      <c r="J517" s="319">
        <f>IF(OR(NOT(ISNUMBER(G517)),NOT(ISNUMBER(H517)),G517=0),"",I517/G517)</f>
        <v/>
      </c>
      <c r="K517" s="319">
        <f>IF(OR(NOT(ISNUMBER(G517)),NOT(ISNUMBER(H517)),G517=0),"",H517/G517)</f>
        <v/>
      </c>
      <c r="L517">
        <f>IF(NOT(ISNUMBER(G517)),"SEM META",IF(G517=0,"SEM META",IF(NOT(ISNUMBER(H517)),"SEM APONTAMENTO",IF(H517&gt;=G517,"VERDE",IF(H517&gt;=G517*0.9,"AMARELO","VERMELHO")))))</f>
        <v/>
      </c>
      <c r="M517" s="162" t="n"/>
      <c r="N517" s="162" t="n"/>
      <c r="O517" s="162" t="n"/>
      <c r="P517" s="162" t="n"/>
      <c r="Q517" s="320" t="n"/>
      <c r="R517" s="162" t="inlineStr">
        <is>
          <t>CONTROLE PRODUÇÃO POR EMPRESAS!G91</t>
        </is>
      </c>
    </row>
    <row r="518" ht="28.5" customHeight="1">
      <c r="A518" s="317" t="n">
        <v>46309</v>
      </c>
      <c r="B518" t="inlineStr">
        <is>
          <t>GERAL</t>
        </is>
      </c>
      <c r="C518" t="inlineStr">
        <is>
          <t>EJ</t>
        </is>
      </c>
      <c r="D518" t="inlineStr">
        <is>
          <t>PREMONTAGEM</t>
        </is>
      </c>
      <c r="F518" s="159">
        <f>IFERROR(INDEX('BASE METAS DIÁRIAS'!$N$2:$S$358,MATCH($A518,'BASE METAS DIÁRIAS'!$A$2:$A$358,0),MOD(ROW()-2,6)+1),"")</f>
        <v/>
      </c>
      <c r="G518" s="159">
        <f>IFERROR(IF(WEEKDAY($A518,2)&lt;=INDEX('BASE METAS DIÁRIAS'!$H$2:$M$358,MATCH($A518,'BASE METAS DIÁRIAS'!$A$2:$A$358,0),MOD(ROW()-2,6)+1),INDEX('BASE METAS DIÁRIAS'!$B$2:$G$358,MATCH($A518,'BASE METAS DIÁRIAS'!$A$2:$A$358,0),MOD(ROW()-2,6)+1),""),"")</f>
        <v/>
      </c>
      <c r="H518" s="159">
        <f>IFERROR(IF(INDEX('CONTROLE PRODUÇÃO POR EMPRESAS'!$B$6:$G$5000,MATCH($A518,'CONTROLE PRODUÇÃO POR EMPRESAS'!$A$6:$A$5000,0),MOD(ROW()-2,6)+1)="","",IFERROR(1*INDEX('CONTROLE PRODUÇÃO POR EMPRESAS'!$B$6:$G$5000,MATCH($A518,'CONTROLE PRODUÇÃO POR EMPRESAS'!$A$6:$A$5000,0),MOD(ROW()-2,6)+1),"")),"")</f>
        <v/>
      </c>
      <c r="I518" s="159">
        <f>IF(OR(NOT(ISNUMBER(G518)),NOT(ISNUMBER(H518))),"",H518-G518)</f>
        <v/>
      </c>
      <c r="J518" s="319">
        <f>IF(OR(NOT(ISNUMBER(G518)),NOT(ISNUMBER(H518)),G518=0),"",I518/G518)</f>
        <v/>
      </c>
      <c r="K518" s="319">
        <f>IF(OR(NOT(ISNUMBER(G518)),NOT(ISNUMBER(H518)),G518=0),"",H518/G518)</f>
        <v/>
      </c>
      <c r="L518">
        <f>IF(NOT(ISNUMBER(G518)),"SEM META",IF(G518=0,"SEM META",IF(NOT(ISNUMBER(H518)),"SEM APONTAMENTO",IF(H518&gt;=G518,"VERDE",IF(H518&gt;=G518*0.9,"AMARELO","VERMELHO")))))</f>
        <v/>
      </c>
      <c r="M518" s="162" t="n"/>
      <c r="N518" s="162" t="n"/>
      <c r="O518" s="162" t="n"/>
      <c r="P518" s="162" t="n"/>
      <c r="Q518" s="320" t="n"/>
      <c r="R518" s="162" t="inlineStr">
        <is>
          <t>CONTROLE PRODUÇÃO POR EMPRESAS!B92</t>
        </is>
      </c>
    </row>
    <row r="519" ht="28.5" customHeight="1">
      <c r="A519" s="317" t="n">
        <v>46309</v>
      </c>
      <c r="B519" t="inlineStr">
        <is>
          <t>GERAL</t>
        </is>
      </c>
      <c r="C519" t="inlineStr">
        <is>
          <t>EJ</t>
        </is>
      </c>
      <c r="D519" t="inlineStr">
        <is>
          <t>IÇAMENTO JOIST</t>
        </is>
      </c>
      <c r="F519" s="159">
        <f>IFERROR(INDEX('BASE METAS DIÁRIAS'!$N$2:$S$358,MATCH($A519,'BASE METAS DIÁRIAS'!$A$2:$A$358,0),MOD(ROW()-2,6)+1),"")</f>
        <v/>
      </c>
      <c r="G519" s="159">
        <f>IFERROR(IF(WEEKDAY($A519,2)&lt;=INDEX('BASE METAS DIÁRIAS'!$H$2:$M$358,MATCH($A519,'BASE METAS DIÁRIAS'!$A$2:$A$358,0),MOD(ROW()-2,6)+1),INDEX('BASE METAS DIÁRIAS'!$B$2:$G$358,MATCH($A519,'BASE METAS DIÁRIAS'!$A$2:$A$358,0),MOD(ROW()-2,6)+1),""),"")</f>
        <v/>
      </c>
      <c r="H519" s="159">
        <f>IFERROR(IF(INDEX('CONTROLE PRODUÇÃO POR EMPRESAS'!$B$6:$G$5000,MATCH($A519,'CONTROLE PRODUÇÃO POR EMPRESAS'!$A$6:$A$5000,0),MOD(ROW()-2,6)+1)="","",IFERROR(1*INDEX('CONTROLE PRODUÇÃO POR EMPRESAS'!$B$6:$G$5000,MATCH($A519,'CONTROLE PRODUÇÃO POR EMPRESAS'!$A$6:$A$5000,0),MOD(ROW()-2,6)+1),"")),"")</f>
        <v/>
      </c>
      <c r="I519" s="159">
        <f>IF(OR(NOT(ISNUMBER(G519)),NOT(ISNUMBER(H519))),"",H519-G519)</f>
        <v/>
      </c>
      <c r="J519" s="319">
        <f>IF(OR(NOT(ISNUMBER(G519)),NOT(ISNUMBER(H519)),G519=0),"",I519/G519)</f>
        <v/>
      </c>
      <c r="K519" s="319">
        <f>IF(OR(NOT(ISNUMBER(G519)),NOT(ISNUMBER(H519)),G519=0),"",H519/G519)</f>
        <v/>
      </c>
      <c r="L519">
        <f>IF(NOT(ISNUMBER(G519)),"SEM META",IF(G519=0,"SEM META",IF(NOT(ISNUMBER(H519)),"SEM APONTAMENTO",IF(H519&gt;=G519,"VERDE",IF(H519&gt;=G519*0.9,"AMARELO","VERMELHO")))))</f>
        <v/>
      </c>
      <c r="M519" s="162" t="n"/>
      <c r="N519" s="162" t="n"/>
      <c r="O519" s="162" t="n"/>
      <c r="P519" s="162" t="n"/>
      <c r="Q519" s="320" t="n"/>
      <c r="R519" s="162" t="inlineStr">
        <is>
          <t>CONTROLE PRODUÇÃO POR EMPRESAS!C92</t>
        </is>
      </c>
    </row>
    <row r="520" ht="28.5" customHeight="1">
      <c r="A520" s="317" t="n">
        <v>46309</v>
      </c>
      <c r="B520" t="inlineStr">
        <is>
          <t>GERAL</t>
        </is>
      </c>
      <c r="C520" t="inlineStr">
        <is>
          <t>EJ</t>
        </is>
      </c>
      <c r="D520" t="inlineStr">
        <is>
          <t>VIGAS</t>
        </is>
      </c>
      <c r="F520" s="159">
        <f>IFERROR(INDEX('BASE METAS DIÁRIAS'!$N$2:$S$358,MATCH($A520,'BASE METAS DIÁRIAS'!$A$2:$A$358,0),MOD(ROW()-2,6)+1),"")</f>
        <v/>
      </c>
      <c r="G520" s="159">
        <f>IFERROR(IF(WEEKDAY($A520,2)&lt;=INDEX('BASE METAS DIÁRIAS'!$H$2:$M$358,MATCH($A520,'BASE METAS DIÁRIAS'!$A$2:$A$358,0),MOD(ROW()-2,6)+1),INDEX('BASE METAS DIÁRIAS'!$B$2:$G$358,MATCH($A520,'BASE METAS DIÁRIAS'!$A$2:$A$358,0),MOD(ROW()-2,6)+1),""),"")</f>
        <v/>
      </c>
      <c r="H520" s="159">
        <f>IFERROR(IF(INDEX('CONTROLE PRODUÇÃO POR EMPRESAS'!$B$6:$G$5000,MATCH($A520,'CONTROLE PRODUÇÃO POR EMPRESAS'!$A$6:$A$5000,0),MOD(ROW()-2,6)+1)="","",IFERROR(1*INDEX('CONTROLE PRODUÇÃO POR EMPRESAS'!$B$6:$G$5000,MATCH($A520,'CONTROLE PRODUÇÃO POR EMPRESAS'!$A$6:$A$5000,0),MOD(ROW()-2,6)+1),"")),"")</f>
        <v/>
      </c>
      <c r="I520" s="159">
        <f>IF(OR(NOT(ISNUMBER(G520)),NOT(ISNUMBER(H520))),"",H520-G520)</f>
        <v/>
      </c>
      <c r="J520" s="319">
        <f>IF(OR(NOT(ISNUMBER(G520)),NOT(ISNUMBER(H520)),G520=0),"",I520/G520)</f>
        <v/>
      </c>
      <c r="K520" s="319">
        <f>IF(OR(NOT(ISNUMBER(G520)),NOT(ISNUMBER(H520)),G520=0),"",H520/G520)</f>
        <v/>
      </c>
      <c r="L520">
        <f>IF(NOT(ISNUMBER(G520)),"SEM META",IF(G520=0,"SEM META",IF(NOT(ISNUMBER(H520)),"SEM APONTAMENTO",IF(H520&gt;=G520,"VERDE",IF(H520&gt;=G520*0.9,"AMARELO","VERMELHO")))))</f>
        <v/>
      </c>
      <c r="M520" s="162" t="n"/>
      <c r="N520" s="162" t="n"/>
      <c r="O520" s="162" t="n"/>
      <c r="P520" s="162" t="n"/>
      <c r="Q520" s="320" t="n"/>
      <c r="R520" s="162" t="inlineStr">
        <is>
          <t>CONTROLE PRODUÇÃO POR EMPRESAS!D92</t>
        </is>
      </c>
    </row>
    <row r="521" ht="28.5" customHeight="1">
      <c r="A521" s="317" t="n">
        <v>46309</v>
      </c>
      <c r="B521" t="inlineStr">
        <is>
          <t>GERAL</t>
        </is>
      </c>
      <c r="C521" t="inlineStr">
        <is>
          <t>CMM</t>
        </is>
      </c>
      <c r="D521" t="inlineStr">
        <is>
          <t>PREMONTAGEM</t>
        </is>
      </c>
      <c r="F521" s="159">
        <f>IFERROR(INDEX('BASE METAS DIÁRIAS'!$N$2:$S$358,MATCH($A521,'BASE METAS DIÁRIAS'!$A$2:$A$358,0),MOD(ROW()-2,6)+1),"")</f>
        <v/>
      </c>
      <c r="G521" s="159">
        <f>IFERROR(IF(WEEKDAY($A521,2)&lt;=INDEX('BASE METAS DIÁRIAS'!$H$2:$M$358,MATCH($A521,'BASE METAS DIÁRIAS'!$A$2:$A$358,0),MOD(ROW()-2,6)+1),INDEX('BASE METAS DIÁRIAS'!$B$2:$G$358,MATCH($A521,'BASE METAS DIÁRIAS'!$A$2:$A$358,0),MOD(ROW()-2,6)+1),""),"")</f>
        <v/>
      </c>
      <c r="H521" s="159">
        <f>IFERROR(IF(INDEX('CONTROLE PRODUÇÃO POR EMPRESAS'!$B$6:$G$5000,MATCH($A521,'CONTROLE PRODUÇÃO POR EMPRESAS'!$A$6:$A$5000,0),MOD(ROW()-2,6)+1)="","",IFERROR(1*INDEX('CONTROLE PRODUÇÃO POR EMPRESAS'!$B$6:$G$5000,MATCH($A521,'CONTROLE PRODUÇÃO POR EMPRESAS'!$A$6:$A$5000,0),MOD(ROW()-2,6)+1),"")),"")</f>
        <v/>
      </c>
      <c r="I521" s="159">
        <f>IF(OR(NOT(ISNUMBER(G521)),NOT(ISNUMBER(H521))),"",H521-G521)</f>
        <v/>
      </c>
      <c r="J521" s="319">
        <f>IF(OR(NOT(ISNUMBER(G521)),NOT(ISNUMBER(H521)),G521=0),"",I521/G521)</f>
        <v/>
      </c>
      <c r="K521" s="319">
        <f>IF(OR(NOT(ISNUMBER(G521)),NOT(ISNUMBER(H521)),G521=0),"",H521/G521)</f>
        <v/>
      </c>
      <c r="L521">
        <f>IF(NOT(ISNUMBER(G521)),"SEM META",IF(G521=0,"SEM META",IF(NOT(ISNUMBER(H521)),"SEM APONTAMENTO",IF(H521&gt;=G521,"VERDE",IF(H521&gt;=G521*0.9,"AMARELO","VERMELHO")))))</f>
        <v/>
      </c>
      <c r="M521" s="162" t="n"/>
      <c r="N521" s="162" t="n"/>
      <c r="O521" s="162" t="n"/>
      <c r="P521" s="162" t="n"/>
      <c r="Q521" s="320" t="n"/>
      <c r="R521" s="162" t="inlineStr">
        <is>
          <t>CONTROLE PRODUÇÃO POR EMPRESAS!E92</t>
        </is>
      </c>
    </row>
    <row r="522" ht="28.5" customHeight="1">
      <c r="A522" s="317" t="n">
        <v>46309</v>
      </c>
      <c r="B522" t="inlineStr">
        <is>
          <t>GERAL</t>
        </is>
      </c>
      <c r="C522" t="inlineStr">
        <is>
          <t>CMM</t>
        </is>
      </c>
      <c r="D522" t="inlineStr">
        <is>
          <t>IÇAMENTO JOIST</t>
        </is>
      </c>
      <c r="F522" s="159">
        <f>IFERROR(INDEX('BASE METAS DIÁRIAS'!$N$2:$S$358,MATCH($A522,'BASE METAS DIÁRIAS'!$A$2:$A$358,0),MOD(ROW()-2,6)+1),"")</f>
        <v/>
      </c>
      <c r="G522" s="159">
        <f>IFERROR(IF(WEEKDAY($A522,2)&lt;=INDEX('BASE METAS DIÁRIAS'!$H$2:$M$358,MATCH($A522,'BASE METAS DIÁRIAS'!$A$2:$A$358,0),MOD(ROW()-2,6)+1),INDEX('BASE METAS DIÁRIAS'!$B$2:$G$358,MATCH($A522,'BASE METAS DIÁRIAS'!$A$2:$A$358,0),MOD(ROW()-2,6)+1),""),"")</f>
        <v/>
      </c>
      <c r="H522" s="159">
        <f>IFERROR(IF(INDEX('CONTROLE PRODUÇÃO POR EMPRESAS'!$B$6:$G$5000,MATCH($A522,'CONTROLE PRODUÇÃO POR EMPRESAS'!$A$6:$A$5000,0),MOD(ROW()-2,6)+1)="","",IFERROR(1*INDEX('CONTROLE PRODUÇÃO POR EMPRESAS'!$B$6:$G$5000,MATCH($A522,'CONTROLE PRODUÇÃO POR EMPRESAS'!$A$6:$A$5000,0),MOD(ROW()-2,6)+1),"")),"")</f>
        <v/>
      </c>
      <c r="I522" s="159">
        <f>IF(OR(NOT(ISNUMBER(G522)),NOT(ISNUMBER(H522))),"",H522-G522)</f>
        <v/>
      </c>
      <c r="J522" s="319">
        <f>IF(OR(NOT(ISNUMBER(G522)),NOT(ISNUMBER(H522)),G522=0),"",I522/G522)</f>
        <v/>
      </c>
      <c r="K522" s="319">
        <f>IF(OR(NOT(ISNUMBER(G522)),NOT(ISNUMBER(H522)),G522=0),"",H522/G522)</f>
        <v/>
      </c>
      <c r="L522">
        <f>IF(NOT(ISNUMBER(G522)),"SEM META",IF(G522=0,"SEM META",IF(NOT(ISNUMBER(H522)),"SEM APONTAMENTO",IF(H522&gt;=G522,"VERDE",IF(H522&gt;=G522*0.9,"AMARELO","VERMELHO")))))</f>
        <v/>
      </c>
      <c r="M522" s="162" t="n"/>
      <c r="N522" s="162" t="n"/>
      <c r="O522" s="162" t="n"/>
      <c r="P522" s="162" t="n"/>
      <c r="Q522" s="320" t="n"/>
      <c r="R522" s="162" t="inlineStr">
        <is>
          <t>CONTROLE PRODUÇÃO POR EMPRESAS!F92</t>
        </is>
      </c>
    </row>
    <row r="523" ht="28.5" customHeight="1">
      <c r="A523" s="317" t="n">
        <v>46309</v>
      </c>
      <c r="B523" t="inlineStr">
        <is>
          <t>GERAL</t>
        </is>
      </c>
      <c r="C523" t="inlineStr">
        <is>
          <t>CMM</t>
        </is>
      </c>
      <c r="D523" t="inlineStr">
        <is>
          <t>VIGAS</t>
        </is>
      </c>
      <c r="F523" s="159">
        <f>IFERROR(INDEX('BASE METAS DIÁRIAS'!$N$2:$S$358,MATCH($A523,'BASE METAS DIÁRIAS'!$A$2:$A$358,0),MOD(ROW()-2,6)+1),"")</f>
        <v/>
      </c>
      <c r="G523" s="159">
        <f>IFERROR(IF(WEEKDAY($A523,2)&lt;=INDEX('BASE METAS DIÁRIAS'!$H$2:$M$358,MATCH($A523,'BASE METAS DIÁRIAS'!$A$2:$A$358,0),MOD(ROW()-2,6)+1),INDEX('BASE METAS DIÁRIAS'!$B$2:$G$358,MATCH($A523,'BASE METAS DIÁRIAS'!$A$2:$A$358,0),MOD(ROW()-2,6)+1),""),"")</f>
        <v/>
      </c>
      <c r="H523" s="159">
        <f>IFERROR(IF(INDEX('CONTROLE PRODUÇÃO POR EMPRESAS'!$B$6:$G$5000,MATCH($A523,'CONTROLE PRODUÇÃO POR EMPRESAS'!$A$6:$A$5000,0),MOD(ROW()-2,6)+1)="","",IFERROR(1*INDEX('CONTROLE PRODUÇÃO POR EMPRESAS'!$B$6:$G$5000,MATCH($A523,'CONTROLE PRODUÇÃO POR EMPRESAS'!$A$6:$A$5000,0),MOD(ROW()-2,6)+1),"")),"")</f>
        <v/>
      </c>
      <c r="I523" s="159">
        <f>IF(OR(NOT(ISNUMBER(G523)),NOT(ISNUMBER(H523))),"",H523-G523)</f>
        <v/>
      </c>
      <c r="J523" s="319">
        <f>IF(OR(NOT(ISNUMBER(G523)),NOT(ISNUMBER(H523)),G523=0),"",I523/G523)</f>
        <v/>
      </c>
      <c r="K523" s="319">
        <f>IF(OR(NOT(ISNUMBER(G523)),NOT(ISNUMBER(H523)),G523=0),"",H523/G523)</f>
        <v/>
      </c>
      <c r="L523">
        <f>IF(NOT(ISNUMBER(G523)),"SEM META",IF(G523=0,"SEM META",IF(NOT(ISNUMBER(H523)),"SEM APONTAMENTO",IF(H523&gt;=G523,"VERDE",IF(H523&gt;=G523*0.9,"AMARELO","VERMELHO")))))</f>
        <v/>
      </c>
      <c r="M523" s="162" t="n"/>
      <c r="N523" s="162" t="n"/>
      <c r="O523" s="162" t="n"/>
      <c r="P523" s="162" t="n"/>
      <c r="Q523" s="320" t="n"/>
      <c r="R523" s="162" t="inlineStr">
        <is>
          <t>CONTROLE PRODUÇÃO POR EMPRESAS!G92</t>
        </is>
      </c>
    </row>
    <row r="524" ht="28.5" customHeight="1">
      <c r="A524" s="317" t="n">
        <v>46310</v>
      </c>
      <c r="B524" t="inlineStr">
        <is>
          <t>GERAL</t>
        </is>
      </c>
      <c r="C524" t="inlineStr">
        <is>
          <t>EJ</t>
        </is>
      </c>
      <c r="D524" t="inlineStr">
        <is>
          <t>PREMONTAGEM</t>
        </is>
      </c>
      <c r="F524" s="159">
        <f>IFERROR(INDEX('BASE METAS DIÁRIAS'!$N$2:$S$358,MATCH($A524,'BASE METAS DIÁRIAS'!$A$2:$A$358,0),MOD(ROW()-2,6)+1),"")</f>
        <v/>
      </c>
      <c r="G524" s="159">
        <f>IFERROR(IF(WEEKDAY($A524,2)&lt;=INDEX('BASE METAS DIÁRIAS'!$H$2:$M$358,MATCH($A524,'BASE METAS DIÁRIAS'!$A$2:$A$358,0),MOD(ROW()-2,6)+1),INDEX('BASE METAS DIÁRIAS'!$B$2:$G$358,MATCH($A524,'BASE METAS DIÁRIAS'!$A$2:$A$358,0),MOD(ROW()-2,6)+1),""),"")</f>
        <v/>
      </c>
      <c r="H524" s="159">
        <f>IFERROR(IF(INDEX('CONTROLE PRODUÇÃO POR EMPRESAS'!$B$6:$G$5000,MATCH($A524,'CONTROLE PRODUÇÃO POR EMPRESAS'!$A$6:$A$5000,0),MOD(ROW()-2,6)+1)="","",IFERROR(1*INDEX('CONTROLE PRODUÇÃO POR EMPRESAS'!$B$6:$G$5000,MATCH($A524,'CONTROLE PRODUÇÃO POR EMPRESAS'!$A$6:$A$5000,0),MOD(ROW()-2,6)+1),"")),"")</f>
        <v/>
      </c>
      <c r="I524" s="159">
        <f>IF(OR(NOT(ISNUMBER(G524)),NOT(ISNUMBER(H524))),"",H524-G524)</f>
        <v/>
      </c>
      <c r="J524" s="319">
        <f>IF(OR(NOT(ISNUMBER(G524)),NOT(ISNUMBER(H524)),G524=0),"",I524/G524)</f>
        <v/>
      </c>
      <c r="K524" s="319">
        <f>IF(OR(NOT(ISNUMBER(G524)),NOT(ISNUMBER(H524)),G524=0),"",H524/G524)</f>
        <v/>
      </c>
      <c r="L524">
        <f>IF(NOT(ISNUMBER(G524)),"SEM META",IF(G524=0,"SEM META",IF(NOT(ISNUMBER(H524)),"SEM APONTAMENTO",IF(H524&gt;=G524,"VERDE",IF(H524&gt;=G524*0.9,"AMARELO","VERMELHO")))))</f>
        <v/>
      </c>
      <c r="M524" s="162" t="n"/>
      <c r="N524" s="162" t="n"/>
      <c r="O524" s="162" t="n"/>
      <c r="P524" s="162" t="n"/>
      <c r="Q524" s="320" t="n"/>
      <c r="R524" s="162" t="inlineStr">
        <is>
          <t>CONTROLE PRODUÇÃO POR EMPRESAS!B93</t>
        </is>
      </c>
    </row>
    <row r="525" ht="28.5" customHeight="1">
      <c r="A525" s="317" t="n">
        <v>46310</v>
      </c>
      <c r="B525" t="inlineStr">
        <is>
          <t>GERAL</t>
        </is>
      </c>
      <c r="C525" t="inlineStr">
        <is>
          <t>EJ</t>
        </is>
      </c>
      <c r="D525" t="inlineStr">
        <is>
          <t>IÇAMENTO JOIST</t>
        </is>
      </c>
      <c r="F525" s="159">
        <f>IFERROR(INDEX('BASE METAS DIÁRIAS'!$N$2:$S$358,MATCH($A525,'BASE METAS DIÁRIAS'!$A$2:$A$358,0),MOD(ROW()-2,6)+1),"")</f>
        <v/>
      </c>
      <c r="G525" s="159">
        <f>IFERROR(IF(WEEKDAY($A525,2)&lt;=INDEX('BASE METAS DIÁRIAS'!$H$2:$M$358,MATCH($A525,'BASE METAS DIÁRIAS'!$A$2:$A$358,0),MOD(ROW()-2,6)+1),INDEX('BASE METAS DIÁRIAS'!$B$2:$G$358,MATCH($A525,'BASE METAS DIÁRIAS'!$A$2:$A$358,0),MOD(ROW()-2,6)+1),""),"")</f>
        <v/>
      </c>
      <c r="H525" s="159">
        <f>IFERROR(IF(INDEX('CONTROLE PRODUÇÃO POR EMPRESAS'!$B$6:$G$5000,MATCH($A525,'CONTROLE PRODUÇÃO POR EMPRESAS'!$A$6:$A$5000,0),MOD(ROW()-2,6)+1)="","",IFERROR(1*INDEX('CONTROLE PRODUÇÃO POR EMPRESAS'!$B$6:$G$5000,MATCH($A525,'CONTROLE PRODUÇÃO POR EMPRESAS'!$A$6:$A$5000,0),MOD(ROW()-2,6)+1),"")),"")</f>
        <v/>
      </c>
      <c r="I525" s="159">
        <f>IF(OR(NOT(ISNUMBER(G525)),NOT(ISNUMBER(H525))),"",H525-G525)</f>
        <v/>
      </c>
      <c r="J525" s="319">
        <f>IF(OR(NOT(ISNUMBER(G525)),NOT(ISNUMBER(H525)),G525=0),"",I525/G525)</f>
        <v/>
      </c>
      <c r="K525" s="319">
        <f>IF(OR(NOT(ISNUMBER(G525)),NOT(ISNUMBER(H525)),G525=0),"",H525/G525)</f>
        <v/>
      </c>
      <c r="L525">
        <f>IF(NOT(ISNUMBER(G525)),"SEM META",IF(G525=0,"SEM META",IF(NOT(ISNUMBER(H525)),"SEM APONTAMENTO",IF(H525&gt;=G525,"VERDE",IF(H525&gt;=G525*0.9,"AMARELO","VERMELHO")))))</f>
        <v/>
      </c>
      <c r="M525" s="162" t="n"/>
      <c r="N525" s="162" t="n"/>
      <c r="O525" s="162" t="n"/>
      <c r="P525" s="162" t="n"/>
      <c r="Q525" s="320" t="n"/>
      <c r="R525" s="162" t="inlineStr">
        <is>
          <t>CONTROLE PRODUÇÃO POR EMPRESAS!C93</t>
        </is>
      </c>
    </row>
    <row r="526" ht="28.5" customHeight="1">
      <c r="A526" s="317" t="n">
        <v>46310</v>
      </c>
      <c r="B526" t="inlineStr">
        <is>
          <t>GERAL</t>
        </is>
      </c>
      <c r="C526" t="inlineStr">
        <is>
          <t>EJ</t>
        </is>
      </c>
      <c r="D526" t="inlineStr">
        <is>
          <t>VIGAS</t>
        </is>
      </c>
      <c r="F526" s="159">
        <f>IFERROR(INDEX('BASE METAS DIÁRIAS'!$N$2:$S$358,MATCH($A526,'BASE METAS DIÁRIAS'!$A$2:$A$358,0),MOD(ROW()-2,6)+1),"")</f>
        <v/>
      </c>
      <c r="G526" s="159">
        <f>IFERROR(IF(WEEKDAY($A526,2)&lt;=INDEX('BASE METAS DIÁRIAS'!$H$2:$M$358,MATCH($A526,'BASE METAS DIÁRIAS'!$A$2:$A$358,0),MOD(ROW()-2,6)+1),INDEX('BASE METAS DIÁRIAS'!$B$2:$G$358,MATCH($A526,'BASE METAS DIÁRIAS'!$A$2:$A$358,0),MOD(ROW()-2,6)+1),""),"")</f>
        <v/>
      </c>
      <c r="H526" s="159">
        <f>IFERROR(IF(INDEX('CONTROLE PRODUÇÃO POR EMPRESAS'!$B$6:$G$5000,MATCH($A526,'CONTROLE PRODUÇÃO POR EMPRESAS'!$A$6:$A$5000,0),MOD(ROW()-2,6)+1)="","",IFERROR(1*INDEX('CONTROLE PRODUÇÃO POR EMPRESAS'!$B$6:$G$5000,MATCH($A526,'CONTROLE PRODUÇÃO POR EMPRESAS'!$A$6:$A$5000,0),MOD(ROW()-2,6)+1),"")),"")</f>
        <v/>
      </c>
      <c r="I526" s="159">
        <f>IF(OR(NOT(ISNUMBER(G526)),NOT(ISNUMBER(H526))),"",H526-G526)</f>
        <v/>
      </c>
      <c r="J526" s="319">
        <f>IF(OR(NOT(ISNUMBER(G526)),NOT(ISNUMBER(H526)),G526=0),"",I526/G526)</f>
        <v/>
      </c>
      <c r="K526" s="319">
        <f>IF(OR(NOT(ISNUMBER(G526)),NOT(ISNUMBER(H526)),G526=0),"",H526/G526)</f>
        <v/>
      </c>
      <c r="L526">
        <f>IF(NOT(ISNUMBER(G526)),"SEM META",IF(G526=0,"SEM META",IF(NOT(ISNUMBER(H526)),"SEM APONTAMENTO",IF(H526&gt;=G526,"VERDE",IF(H526&gt;=G526*0.9,"AMARELO","VERMELHO")))))</f>
        <v/>
      </c>
      <c r="M526" s="162" t="n"/>
      <c r="N526" s="162" t="n"/>
      <c r="O526" s="162" t="n"/>
      <c r="P526" s="162" t="n"/>
      <c r="Q526" s="320" t="n"/>
      <c r="R526" s="162" t="inlineStr">
        <is>
          <t>CONTROLE PRODUÇÃO POR EMPRESAS!D93</t>
        </is>
      </c>
    </row>
    <row r="527" ht="28.5" customHeight="1">
      <c r="A527" s="317" t="n">
        <v>46310</v>
      </c>
      <c r="B527" t="inlineStr">
        <is>
          <t>GERAL</t>
        </is>
      </c>
      <c r="C527" t="inlineStr">
        <is>
          <t>CMM</t>
        </is>
      </c>
      <c r="D527" t="inlineStr">
        <is>
          <t>PREMONTAGEM</t>
        </is>
      </c>
      <c r="F527" s="159">
        <f>IFERROR(INDEX('BASE METAS DIÁRIAS'!$N$2:$S$358,MATCH($A527,'BASE METAS DIÁRIAS'!$A$2:$A$358,0),MOD(ROW()-2,6)+1),"")</f>
        <v/>
      </c>
      <c r="G527" s="159">
        <f>IFERROR(IF(WEEKDAY($A527,2)&lt;=INDEX('BASE METAS DIÁRIAS'!$H$2:$M$358,MATCH($A527,'BASE METAS DIÁRIAS'!$A$2:$A$358,0),MOD(ROW()-2,6)+1),INDEX('BASE METAS DIÁRIAS'!$B$2:$G$358,MATCH($A527,'BASE METAS DIÁRIAS'!$A$2:$A$358,0),MOD(ROW()-2,6)+1),""),"")</f>
        <v/>
      </c>
      <c r="H527" s="159">
        <f>IFERROR(IF(INDEX('CONTROLE PRODUÇÃO POR EMPRESAS'!$B$6:$G$5000,MATCH($A527,'CONTROLE PRODUÇÃO POR EMPRESAS'!$A$6:$A$5000,0),MOD(ROW()-2,6)+1)="","",IFERROR(1*INDEX('CONTROLE PRODUÇÃO POR EMPRESAS'!$B$6:$G$5000,MATCH($A527,'CONTROLE PRODUÇÃO POR EMPRESAS'!$A$6:$A$5000,0),MOD(ROW()-2,6)+1),"")),"")</f>
        <v/>
      </c>
      <c r="I527" s="159">
        <f>IF(OR(NOT(ISNUMBER(G527)),NOT(ISNUMBER(H527))),"",H527-G527)</f>
        <v/>
      </c>
      <c r="J527" s="319">
        <f>IF(OR(NOT(ISNUMBER(G527)),NOT(ISNUMBER(H527)),G527=0),"",I527/G527)</f>
        <v/>
      </c>
      <c r="K527" s="319">
        <f>IF(OR(NOT(ISNUMBER(G527)),NOT(ISNUMBER(H527)),G527=0),"",H527/G527)</f>
        <v/>
      </c>
      <c r="L527">
        <f>IF(NOT(ISNUMBER(G527)),"SEM META",IF(G527=0,"SEM META",IF(NOT(ISNUMBER(H527)),"SEM APONTAMENTO",IF(H527&gt;=G527,"VERDE",IF(H527&gt;=G527*0.9,"AMARELO","VERMELHO")))))</f>
        <v/>
      </c>
      <c r="M527" s="162" t="n"/>
      <c r="N527" s="162" t="n"/>
      <c r="O527" s="162" t="n"/>
      <c r="P527" s="162" t="n"/>
      <c r="Q527" s="320" t="n"/>
      <c r="R527" s="162" t="inlineStr">
        <is>
          <t>CONTROLE PRODUÇÃO POR EMPRESAS!E93</t>
        </is>
      </c>
    </row>
    <row r="528" ht="28.5" customHeight="1">
      <c r="A528" s="317" t="n">
        <v>46310</v>
      </c>
      <c r="B528" t="inlineStr">
        <is>
          <t>GERAL</t>
        </is>
      </c>
      <c r="C528" t="inlineStr">
        <is>
          <t>CMM</t>
        </is>
      </c>
      <c r="D528" t="inlineStr">
        <is>
          <t>IÇAMENTO JOIST</t>
        </is>
      </c>
      <c r="F528" s="159">
        <f>IFERROR(INDEX('BASE METAS DIÁRIAS'!$N$2:$S$358,MATCH($A528,'BASE METAS DIÁRIAS'!$A$2:$A$358,0),MOD(ROW()-2,6)+1),"")</f>
        <v/>
      </c>
      <c r="G528" s="159">
        <f>IFERROR(IF(WEEKDAY($A528,2)&lt;=INDEX('BASE METAS DIÁRIAS'!$H$2:$M$358,MATCH($A528,'BASE METAS DIÁRIAS'!$A$2:$A$358,0),MOD(ROW()-2,6)+1),INDEX('BASE METAS DIÁRIAS'!$B$2:$G$358,MATCH($A528,'BASE METAS DIÁRIAS'!$A$2:$A$358,0),MOD(ROW()-2,6)+1),""),"")</f>
        <v/>
      </c>
      <c r="H528" s="159">
        <f>IFERROR(IF(INDEX('CONTROLE PRODUÇÃO POR EMPRESAS'!$B$6:$G$5000,MATCH($A528,'CONTROLE PRODUÇÃO POR EMPRESAS'!$A$6:$A$5000,0),MOD(ROW()-2,6)+1)="","",IFERROR(1*INDEX('CONTROLE PRODUÇÃO POR EMPRESAS'!$B$6:$G$5000,MATCH($A528,'CONTROLE PRODUÇÃO POR EMPRESAS'!$A$6:$A$5000,0),MOD(ROW()-2,6)+1),"")),"")</f>
        <v/>
      </c>
      <c r="I528" s="159">
        <f>IF(OR(NOT(ISNUMBER(G528)),NOT(ISNUMBER(H528))),"",H528-G528)</f>
        <v/>
      </c>
      <c r="J528" s="319">
        <f>IF(OR(NOT(ISNUMBER(G528)),NOT(ISNUMBER(H528)),G528=0),"",I528/G528)</f>
        <v/>
      </c>
      <c r="K528" s="319">
        <f>IF(OR(NOT(ISNUMBER(G528)),NOT(ISNUMBER(H528)),G528=0),"",H528/G528)</f>
        <v/>
      </c>
      <c r="L528">
        <f>IF(NOT(ISNUMBER(G528)),"SEM META",IF(G528=0,"SEM META",IF(NOT(ISNUMBER(H528)),"SEM APONTAMENTO",IF(H528&gt;=G528,"VERDE",IF(H528&gt;=G528*0.9,"AMARELO","VERMELHO")))))</f>
        <v/>
      </c>
      <c r="M528" s="162" t="n"/>
      <c r="N528" s="162" t="n"/>
      <c r="O528" s="162" t="n"/>
      <c r="P528" s="162" t="n"/>
      <c r="Q528" s="320" t="n"/>
      <c r="R528" s="162" t="inlineStr">
        <is>
          <t>CONTROLE PRODUÇÃO POR EMPRESAS!F93</t>
        </is>
      </c>
    </row>
    <row r="529" ht="28.5" customHeight="1">
      <c r="A529" s="317" t="n">
        <v>46310</v>
      </c>
      <c r="B529" t="inlineStr">
        <is>
          <t>GERAL</t>
        </is>
      </c>
      <c r="C529" t="inlineStr">
        <is>
          <t>CMM</t>
        </is>
      </c>
      <c r="D529" t="inlineStr">
        <is>
          <t>VIGAS</t>
        </is>
      </c>
      <c r="F529" s="159">
        <f>IFERROR(INDEX('BASE METAS DIÁRIAS'!$N$2:$S$358,MATCH($A529,'BASE METAS DIÁRIAS'!$A$2:$A$358,0),MOD(ROW()-2,6)+1),"")</f>
        <v/>
      </c>
      <c r="G529" s="159">
        <f>IFERROR(IF(WEEKDAY($A529,2)&lt;=INDEX('BASE METAS DIÁRIAS'!$H$2:$M$358,MATCH($A529,'BASE METAS DIÁRIAS'!$A$2:$A$358,0),MOD(ROW()-2,6)+1),INDEX('BASE METAS DIÁRIAS'!$B$2:$G$358,MATCH($A529,'BASE METAS DIÁRIAS'!$A$2:$A$358,0),MOD(ROW()-2,6)+1),""),"")</f>
        <v/>
      </c>
      <c r="H529" s="159">
        <f>IFERROR(IF(INDEX('CONTROLE PRODUÇÃO POR EMPRESAS'!$B$6:$G$5000,MATCH($A529,'CONTROLE PRODUÇÃO POR EMPRESAS'!$A$6:$A$5000,0),MOD(ROW()-2,6)+1)="","",IFERROR(1*INDEX('CONTROLE PRODUÇÃO POR EMPRESAS'!$B$6:$G$5000,MATCH($A529,'CONTROLE PRODUÇÃO POR EMPRESAS'!$A$6:$A$5000,0),MOD(ROW()-2,6)+1),"")),"")</f>
        <v/>
      </c>
      <c r="I529" s="159">
        <f>IF(OR(NOT(ISNUMBER(G529)),NOT(ISNUMBER(H529))),"",H529-G529)</f>
        <v/>
      </c>
      <c r="J529" s="319">
        <f>IF(OR(NOT(ISNUMBER(G529)),NOT(ISNUMBER(H529)),G529=0),"",I529/G529)</f>
        <v/>
      </c>
      <c r="K529" s="319">
        <f>IF(OR(NOT(ISNUMBER(G529)),NOT(ISNUMBER(H529)),G529=0),"",H529/G529)</f>
        <v/>
      </c>
      <c r="L529">
        <f>IF(NOT(ISNUMBER(G529)),"SEM META",IF(G529=0,"SEM META",IF(NOT(ISNUMBER(H529)),"SEM APONTAMENTO",IF(H529&gt;=G529,"VERDE",IF(H529&gt;=G529*0.9,"AMARELO","VERMELHO")))))</f>
        <v/>
      </c>
      <c r="M529" s="162" t="n"/>
      <c r="N529" s="162" t="n"/>
      <c r="O529" s="162" t="n"/>
      <c r="P529" s="162" t="n"/>
      <c r="Q529" s="320" t="n"/>
      <c r="R529" s="162" t="inlineStr">
        <is>
          <t>CONTROLE PRODUÇÃO POR EMPRESAS!G93</t>
        </is>
      </c>
    </row>
    <row r="530" ht="28.5" customHeight="1">
      <c r="A530" s="317" t="n">
        <v>46311</v>
      </c>
      <c r="B530" t="inlineStr">
        <is>
          <t>GERAL</t>
        </is>
      </c>
      <c r="C530" t="inlineStr">
        <is>
          <t>EJ</t>
        </is>
      </c>
      <c r="D530" t="inlineStr">
        <is>
          <t>PREMONTAGEM</t>
        </is>
      </c>
      <c r="F530" s="159">
        <f>IFERROR(INDEX('BASE METAS DIÁRIAS'!$N$2:$S$358,MATCH($A530,'BASE METAS DIÁRIAS'!$A$2:$A$358,0),MOD(ROW()-2,6)+1),"")</f>
        <v/>
      </c>
      <c r="G530" s="159">
        <f>IFERROR(IF(WEEKDAY($A530,2)&lt;=INDEX('BASE METAS DIÁRIAS'!$H$2:$M$358,MATCH($A530,'BASE METAS DIÁRIAS'!$A$2:$A$358,0),MOD(ROW()-2,6)+1),INDEX('BASE METAS DIÁRIAS'!$B$2:$G$358,MATCH($A530,'BASE METAS DIÁRIAS'!$A$2:$A$358,0),MOD(ROW()-2,6)+1),""),"")</f>
        <v/>
      </c>
      <c r="H530" s="159">
        <f>IFERROR(IF(INDEX('CONTROLE PRODUÇÃO POR EMPRESAS'!$B$6:$G$5000,MATCH($A530,'CONTROLE PRODUÇÃO POR EMPRESAS'!$A$6:$A$5000,0),MOD(ROW()-2,6)+1)="","",IFERROR(1*INDEX('CONTROLE PRODUÇÃO POR EMPRESAS'!$B$6:$G$5000,MATCH($A530,'CONTROLE PRODUÇÃO POR EMPRESAS'!$A$6:$A$5000,0),MOD(ROW()-2,6)+1),"")),"")</f>
        <v/>
      </c>
      <c r="I530" s="159">
        <f>IF(OR(NOT(ISNUMBER(G530)),NOT(ISNUMBER(H530))),"",H530-G530)</f>
        <v/>
      </c>
      <c r="J530" s="319">
        <f>IF(OR(NOT(ISNUMBER(G530)),NOT(ISNUMBER(H530)),G530=0),"",I530/G530)</f>
        <v/>
      </c>
      <c r="K530" s="319">
        <f>IF(OR(NOT(ISNUMBER(G530)),NOT(ISNUMBER(H530)),G530=0),"",H530/G530)</f>
        <v/>
      </c>
      <c r="L530">
        <f>IF(NOT(ISNUMBER(G530)),"SEM META",IF(G530=0,"SEM META",IF(NOT(ISNUMBER(H530)),"SEM APONTAMENTO",IF(H530&gt;=G530,"VERDE",IF(H530&gt;=G530*0.9,"AMARELO","VERMELHO")))))</f>
        <v/>
      </c>
      <c r="M530" s="162" t="n"/>
      <c r="N530" s="162" t="n"/>
      <c r="O530" s="162" t="n"/>
      <c r="P530" s="162" t="n"/>
      <c r="Q530" s="320" t="n"/>
      <c r="R530" s="162" t="inlineStr">
        <is>
          <t>CONTROLE PRODUÇÃO POR EMPRESAS!B94</t>
        </is>
      </c>
    </row>
    <row r="531" ht="28.5" customHeight="1">
      <c r="A531" s="317" t="n">
        <v>46311</v>
      </c>
      <c r="B531" t="inlineStr">
        <is>
          <t>GERAL</t>
        </is>
      </c>
      <c r="C531" t="inlineStr">
        <is>
          <t>EJ</t>
        </is>
      </c>
      <c r="D531" t="inlineStr">
        <is>
          <t>IÇAMENTO JOIST</t>
        </is>
      </c>
      <c r="F531" s="159">
        <f>IFERROR(INDEX('BASE METAS DIÁRIAS'!$N$2:$S$358,MATCH($A531,'BASE METAS DIÁRIAS'!$A$2:$A$358,0),MOD(ROW()-2,6)+1),"")</f>
        <v/>
      </c>
      <c r="G531" s="159">
        <f>IFERROR(IF(WEEKDAY($A531,2)&lt;=INDEX('BASE METAS DIÁRIAS'!$H$2:$M$358,MATCH($A531,'BASE METAS DIÁRIAS'!$A$2:$A$358,0),MOD(ROW()-2,6)+1),INDEX('BASE METAS DIÁRIAS'!$B$2:$G$358,MATCH($A531,'BASE METAS DIÁRIAS'!$A$2:$A$358,0),MOD(ROW()-2,6)+1),""),"")</f>
        <v/>
      </c>
      <c r="H531" s="159">
        <f>IFERROR(IF(INDEX('CONTROLE PRODUÇÃO POR EMPRESAS'!$B$6:$G$5000,MATCH($A531,'CONTROLE PRODUÇÃO POR EMPRESAS'!$A$6:$A$5000,0),MOD(ROW()-2,6)+1)="","",IFERROR(1*INDEX('CONTROLE PRODUÇÃO POR EMPRESAS'!$B$6:$G$5000,MATCH($A531,'CONTROLE PRODUÇÃO POR EMPRESAS'!$A$6:$A$5000,0),MOD(ROW()-2,6)+1),"")),"")</f>
        <v/>
      </c>
      <c r="I531" s="159">
        <f>IF(OR(NOT(ISNUMBER(G531)),NOT(ISNUMBER(H531))),"",H531-G531)</f>
        <v/>
      </c>
      <c r="J531" s="319">
        <f>IF(OR(NOT(ISNUMBER(G531)),NOT(ISNUMBER(H531)),G531=0),"",I531/G531)</f>
        <v/>
      </c>
      <c r="K531" s="319">
        <f>IF(OR(NOT(ISNUMBER(G531)),NOT(ISNUMBER(H531)),G531=0),"",H531/G531)</f>
        <v/>
      </c>
      <c r="L531">
        <f>IF(NOT(ISNUMBER(G531)),"SEM META",IF(G531=0,"SEM META",IF(NOT(ISNUMBER(H531)),"SEM APONTAMENTO",IF(H531&gt;=G531,"VERDE",IF(H531&gt;=G531*0.9,"AMARELO","VERMELHO")))))</f>
        <v/>
      </c>
      <c r="M531" s="162" t="n"/>
      <c r="N531" s="162" t="n"/>
      <c r="O531" s="162" t="n"/>
      <c r="P531" s="162" t="n"/>
      <c r="Q531" s="320" t="n"/>
      <c r="R531" s="162" t="inlineStr">
        <is>
          <t>CONTROLE PRODUÇÃO POR EMPRESAS!C94</t>
        </is>
      </c>
    </row>
    <row r="532" ht="28.5" customHeight="1">
      <c r="A532" s="317" t="n">
        <v>46311</v>
      </c>
      <c r="B532" t="inlineStr">
        <is>
          <t>GERAL</t>
        </is>
      </c>
      <c r="C532" t="inlineStr">
        <is>
          <t>EJ</t>
        </is>
      </c>
      <c r="D532" t="inlineStr">
        <is>
          <t>VIGAS</t>
        </is>
      </c>
      <c r="F532" s="159">
        <f>IFERROR(INDEX('BASE METAS DIÁRIAS'!$N$2:$S$358,MATCH($A532,'BASE METAS DIÁRIAS'!$A$2:$A$358,0),MOD(ROW()-2,6)+1),"")</f>
        <v/>
      </c>
      <c r="G532" s="159">
        <f>IFERROR(IF(WEEKDAY($A532,2)&lt;=INDEX('BASE METAS DIÁRIAS'!$H$2:$M$358,MATCH($A532,'BASE METAS DIÁRIAS'!$A$2:$A$358,0),MOD(ROW()-2,6)+1),INDEX('BASE METAS DIÁRIAS'!$B$2:$G$358,MATCH($A532,'BASE METAS DIÁRIAS'!$A$2:$A$358,0),MOD(ROW()-2,6)+1),""),"")</f>
        <v/>
      </c>
      <c r="H532" s="159">
        <f>IFERROR(IF(INDEX('CONTROLE PRODUÇÃO POR EMPRESAS'!$B$6:$G$5000,MATCH($A532,'CONTROLE PRODUÇÃO POR EMPRESAS'!$A$6:$A$5000,0),MOD(ROW()-2,6)+1)="","",IFERROR(1*INDEX('CONTROLE PRODUÇÃO POR EMPRESAS'!$B$6:$G$5000,MATCH($A532,'CONTROLE PRODUÇÃO POR EMPRESAS'!$A$6:$A$5000,0),MOD(ROW()-2,6)+1),"")),"")</f>
        <v/>
      </c>
      <c r="I532" s="159">
        <f>IF(OR(NOT(ISNUMBER(G532)),NOT(ISNUMBER(H532))),"",H532-G532)</f>
        <v/>
      </c>
      <c r="J532" s="319">
        <f>IF(OR(NOT(ISNUMBER(G532)),NOT(ISNUMBER(H532)),G532=0),"",I532/G532)</f>
        <v/>
      </c>
      <c r="K532" s="319">
        <f>IF(OR(NOT(ISNUMBER(G532)),NOT(ISNUMBER(H532)),G532=0),"",H532/G532)</f>
        <v/>
      </c>
      <c r="L532">
        <f>IF(NOT(ISNUMBER(G532)),"SEM META",IF(G532=0,"SEM META",IF(NOT(ISNUMBER(H532)),"SEM APONTAMENTO",IF(H532&gt;=G532,"VERDE",IF(H532&gt;=G532*0.9,"AMARELO","VERMELHO")))))</f>
        <v/>
      </c>
      <c r="M532" s="162" t="n"/>
      <c r="N532" s="162" t="n"/>
      <c r="O532" s="162" t="n"/>
      <c r="P532" s="162" t="n"/>
      <c r="Q532" s="320" t="n"/>
      <c r="R532" s="162" t="inlineStr">
        <is>
          <t>CONTROLE PRODUÇÃO POR EMPRESAS!D94</t>
        </is>
      </c>
    </row>
    <row r="533" ht="28.5" customHeight="1">
      <c r="A533" s="317" t="n">
        <v>46311</v>
      </c>
      <c r="B533" t="inlineStr">
        <is>
          <t>GERAL</t>
        </is>
      </c>
      <c r="C533" t="inlineStr">
        <is>
          <t>CMM</t>
        </is>
      </c>
      <c r="D533" t="inlineStr">
        <is>
          <t>PREMONTAGEM</t>
        </is>
      </c>
      <c r="F533" s="159">
        <f>IFERROR(INDEX('BASE METAS DIÁRIAS'!$N$2:$S$358,MATCH($A533,'BASE METAS DIÁRIAS'!$A$2:$A$358,0),MOD(ROW()-2,6)+1),"")</f>
        <v/>
      </c>
      <c r="G533" s="159">
        <f>IFERROR(IF(WEEKDAY($A533,2)&lt;=INDEX('BASE METAS DIÁRIAS'!$H$2:$M$358,MATCH($A533,'BASE METAS DIÁRIAS'!$A$2:$A$358,0),MOD(ROW()-2,6)+1),INDEX('BASE METAS DIÁRIAS'!$B$2:$G$358,MATCH($A533,'BASE METAS DIÁRIAS'!$A$2:$A$358,0),MOD(ROW()-2,6)+1),""),"")</f>
        <v/>
      </c>
      <c r="H533" s="159">
        <f>IFERROR(IF(INDEX('CONTROLE PRODUÇÃO POR EMPRESAS'!$B$6:$G$5000,MATCH($A533,'CONTROLE PRODUÇÃO POR EMPRESAS'!$A$6:$A$5000,0),MOD(ROW()-2,6)+1)="","",IFERROR(1*INDEX('CONTROLE PRODUÇÃO POR EMPRESAS'!$B$6:$G$5000,MATCH($A533,'CONTROLE PRODUÇÃO POR EMPRESAS'!$A$6:$A$5000,0),MOD(ROW()-2,6)+1),"")),"")</f>
        <v/>
      </c>
      <c r="I533" s="159">
        <f>IF(OR(NOT(ISNUMBER(G533)),NOT(ISNUMBER(H533))),"",H533-G533)</f>
        <v/>
      </c>
      <c r="J533" s="319">
        <f>IF(OR(NOT(ISNUMBER(G533)),NOT(ISNUMBER(H533)),G533=0),"",I533/G533)</f>
        <v/>
      </c>
      <c r="K533" s="319">
        <f>IF(OR(NOT(ISNUMBER(G533)),NOT(ISNUMBER(H533)),G533=0),"",H533/G533)</f>
        <v/>
      </c>
      <c r="L533">
        <f>IF(NOT(ISNUMBER(G533)),"SEM META",IF(G533=0,"SEM META",IF(NOT(ISNUMBER(H533)),"SEM APONTAMENTO",IF(H533&gt;=G533,"VERDE",IF(H533&gt;=G533*0.9,"AMARELO","VERMELHO")))))</f>
        <v/>
      </c>
      <c r="M533" s="162" t="n"/>
      <c r="N533" s="162" t="n"/>
      <c r="O533" s="162" t="n"/>
      <c r="P533" s="162" t="n"/>
      <c r="Q533" s="320" t="n"/>
      <c r="R533" s="162" t="inlineStr">
        <is>
          <t>CONTROLE PRODUÇÃO POR EMPRESAS!E94</t>
        </is>
      </c>
    </row>
    <row r="534" ht="28.5" customHeight="1">
      <c r="A534" s="317" t="n">
        <v>46311</v>
      </c>
      <c r="B534" t="inlineStr">
        <is>
          <t>GERAL</t>
        </is>
      </c>
      <c r="C534" t="inlineStr">
        <is>
          <t>CMM</t>
        </is>
      </c>
      <c r="D534" t="inlineStr">
        <is>
          <t>IÇAMENTO JOIST</t>
        </is>
      </c>
      <c r="F534" s="159">
        <f>IFERROR(INDEX('BASE METAS DIÁRIAS'!$N$2:$S$358,MATCH($A534,'BASE METAS DIÁRIAS'!$A$2:$A$358,0),MOD(ROW()-2,6)+1),"")</f>
        <v/>
      </c>
      <c r="G534" s="159">
        <f>IFERROR(IF(WEEKDAY($A534,2)&lt;=INDEX('BASE METAS DIÁRIAS'!$H$2:$M$358,MATCH($A534,'BASE METAS DIÁRIAS'!$A$2:$A$358,0),MOD(ROW()-2,6)+1),INDEX('BASE METAS DIÁRIAS'!$B$2:$G$358,MATCH($A534,'BASE METAS DIÁRIAS'!$A$2:$A$358,0),MOD(ROW()-2,6)+1),""),"")</f>
        <v/>
      </c>
      <c r="H534" s="159">
        <f>IFERROR(IF(INDEX('CONTROLE PRODUÇÃO POR EMPRESAS'!$B$6:$G$5000,MATCH($A534,'CONTROLE PRODUÇÃO POR EMPRESAS'!$A$6:$A$5000,0),MOD(ROW()-2,6)+1)="","",IFERROR(1*INDEX('CONTROLE PRODUÇÃO POR EMPRESAS'!$B$6:$G$5000,MATCH($A534,'CONTROLE PRODUÇÃO POR EMPRESAS'!$A$6:$A$5000,0),MOD(ROW()-2,6)+1),"")),"")</f>
        <v/>
      </c>
      <c r="I534" s="159">
        <f>IF(OR(NOT(ISNUMBER(G534)),NOT(ISNUMBER(H534))),"",H534-G534)</f>
        <v/>
      </c>
      <c r="J534" s="319">
        <f>IF(OR(NOT(ISNUMBER(G534)),NOT(ISNUMBER(H534)),G534=0),"",I534/G534)</f>
        <v/>
      </c>
      <c r="K534" s="319">
        <f>IF(OR(NOT(ISNUMBER(G534)),NOT(ISNUMBER(H534)),G534=0),"",H534/G534)</f>
        <v/>
      </c>
      <c r="L534">
        <f>IF(NOT(ISNUMBER(G534)),"SEM META",IF(G534=0,"SEM META",IF(NOT(ISNUMBER(H534)),"SEM APONTAMENTO",IF(H534&gt;=G534,"VERDE",IF(H534&gt;=G534*0.9,"AMARELO","VERMELHO")))))</f>
        <v/>
      </c>
      <c r="M534" s="162" t="n"/>
      <c r="N534" s="162" t="n"/>
      <c r="O534" s="162" t="n"/>
      <c r="P534" s="162" t="n"/>
      <c r="Q534" s="320" t="n"/>
      <c r="R534" s="162" t="inlineStr">
        <is>
          <t>CONTROLE PRODUÇÃO POR EMPRESAS!F94</t>
        </is>
      </c>
    </row>
    <row r="535" ht="28.5" customHeight="1">
      <c r="A535" s="317" t="n">
        <v>46311</v>
      </c>
      <c r="B535" t="inlineStr">
        <is>
          <t>GERAL</t>
        </is>
      </c>
      <c r="C535" t="inlineStr">
        <is>
          <t>CMM</t>
        </is>
      </c>
      <c r="D535" t="inlineStr">
        <is>
          <t>VIGAS</t>
        </is>
      </c>
      <c r="F535" s="159">
        <f>IFERROR(INDEX('BASE METAS DIÁRIAS'!$N$2:$S$358,MATCH($A535,'BASE METAS DIÁRIAS'!$A$2:$A$358,0),MOD(ROW()-2,6)+1),"")</f>
        <v/>
      </c>
      <c r="G535" s="159">
        <f>IFERROR(IF(WEEKDAY($A535,2)&lt;=INDEX('BASE METAS DIÁRIAS'!$H$2:$M$358,MATCH($A535,'BASE METAS DIÁRIAS'!$A$2:$A$358,0),MOD(ROW()-2,6)+1),INDEX('BASE METAS DIÁRIAS'!$B$2:$G$358,MATCH($A535,'BASE METAS DIÁRIAS'!$A$2:$A$358,0),MOD(ROW()-2,6)+1),""),"")</f>
        <v/>
      </c>
      <c r="H535" s="159">
        <f>IFERROR(IF(INDEX('CONTROLE PRODUÇÃO POR EMPRESAS'!$B$6:$G$5000,MATCH($A535,'CONTROLE PRODUÇÃO POR EMPRESAS'!$A$6:$A$5000,0),MOD(ROW()-2,6)+1)="","",IFERROR(1*INDEX('CONTROLE PRODUÇÃO POR EMPRESAS'!$B$6:$G$5000,MATCH($A535,'CONTROLE PRODUÇÃO POR EMPRESAS'!$A$6:$A$5000,0),MOD(ROW()-2,6)+1),"")),"")</f>
        <v/>
      </c>
      <c r="I535" s="159">
        <f>IF(OR(NOT(ISNUMBER(G535)),NOT(ISNUMBER(H535))),"",H535-G535)</f>
        <v/>
      </c>
      <c r="J535" s="319">
        <f>IF(OR(NOT(ISNUMBER(G535)),NOT(ISNUMBER(H535)),G535=0),"",I535/G535)</f>
        <v/>
      </c>
      <c r="K535" s="319">
        <f>IF(OR(NOT(ISNUMBER(G535)),NOT(ISNUMBER(H535)),G535=0),"",H535/G535)</f>
        <v/>
      </c>
      <c r="L535">
        <f>IF(NOT(ISNUMBER(G535)),"SEM META",IF(G535=0,"SEM META",IF(NOT(ISNUMBER(H535)),"SEM APONTAMENTO",IF(H535&gt;=G535,"VERDE",IF(H535&gt;=G535*0.9,"AMARELO","VERMELHO")))))</f>
        <v/>
      </c>
      <c r="M535" s="162" t="n"/>
      <c r="N535" s="162" t="n"/>
      <c r="O535" s="162" t="n"/>
      <c r="P535" s="162" t="n"/>
      <c r="Q535" s="320" t="n"/>
      <c r="R535" s="162" t="inlineStr">
        <is>
          <t>CONTROLE PRODUÇÃO POR EMPRESAS!G94</t>
        </is>
      </c>
    </row>
    <row r="536" ht="28.5" customHeight="1">
      <c r="A536" s="317" t="n">
        <v>46312</v>
      </c>
      <c r="B536" t="inlineStr">
        <is>
          <t>GERAL</t>
        </is>
      </c>
      <c r="C536" t="inlineStr">
        <is>
          <t>EJ</t>
        </is>
      </c>
      <c r="D536" t="inlineStr">
        <is>
          <t>PREMONTAGEM</t>
        </is>
      </c>
      <c r="F536" s="159">
        <f>IFERROR(INDEX('BASE METAS DIÁRIAS'!$N$2:$S$358,MATCH($A536,'BASE METAS DIÁRIAS'!$A$2:$A$358,0),MOD(ROW()-2,6)+1),"")</f>
        <v/>
      </c>
      <c r="G536" s="159">
        <f>IFERROR(IF(WEEKDAY($A536,2)&lt;=INDEX('BASE METAS DIÁRIAS'!$H$2:$M$358,MATCH($A536,'BASE METAS DIÁRIAS'!$A$2:$A$358,0),MOD(ROW()-2,6)+1),INDEX('BASE METAS DIÁRIAS'!$B$2:$G$358,MATCH($A536,'BASE METAS DIÁRIAS'!$A$2:$A$358,0),MOD(ROW()-2,6)+1),""),"")</f>
        <v/>
      </c>
      <c r="H536" s="159">
        <f>IFERROR(IF(INDEX('CONTROLE PRODUÇÃO POR EMPRESAS'!$B$6:$G$5000,MATCH($A536,'CONTROLE PRODUÇÃO POR EMPRESAS'!$A$6:$A$5000,0),MOD(ROW()-2,6)+1)="","",IFERROR(1*INDEX('CONTROLE PRODUÇÃO POR EMPRESAS'!$B$6:$G$5000,MATCH($A536,'CONTROLE PRODUÇÃO POR EMPRESAS'!$A$6:$A$5000,0),MOD(ROW()-2,6)+1),"")),"")</f>
        <v/>
      </c>
      <c r="I536" s="159">
        <f>IF(OR(NOT(ISNUMBER(G536)),NOT(ISNUMBER(H536))),"",H536-G536)</f>
        <v/>
      </c>
      <c r="J536" s="319">
        <f>IF(OR(NOT(ISNUMBER(G536)),NOT(ISNUMBER(H536)),G536=0),"",I536/G536)</f>
        <v/>
      </c>
      <c r="K536" s="319">
        <f>IF(OR(NOT(ISNUMBER(G536)),NOT(ISNUMBER(H536)),G536=0),"",H536/G536)</f>
        <v/>
      </c>
      <c r="L536">
        <f>IF(NOT(ISNUMBER(G536)),"SEM META",IF(G536=0,"SEM META",IF(NOT(ISNUMBER(H536)),"SEM APONTAMENTO",IF(H536&gt;=G536,"VERDE",IF(H536&gt;=G536*0.9,"AMARELO","VERMELHO")))))</f>
        <v/>
      </c>
      <c r="M536" s="162" t="n"/>
      <c r="N536" s="162" t="n"/>
      <c r="O536" s="162" t="n"/>
      <c r="P536" s="162" t="n"/>
      <c r="Q536" s="320" t="n"/>
      <c r="R536" s="162" t="inlineStr">
        <is>
          <t>CONTROLE PRODUÇÃO POR EMPRESAS!B95</t>
        </is>
      </c>
    </row>
    <row r="537" ht="28.5" customHeight="1">
      <c r="A537" s="317" t="n">
        <v>46312</v>
      </c>
      <c r="B537" t="inlineStr">
        <is>
          <t>GERAL</t>
        </is>
      </c>
      <c r="C537" t="inlineStr">
        <is>
          <t>EJ</t>
        </is>
      </c>
      <c r="D537" t="inlineStr">
        <is>
          <t>IÇAMENTO JOIST</t>
        </is>
      </c>
      <c r="F537" s="159">
        <f>IFERROR(INDEX('BASE METAS DIÁRIAS'!$N$2:$S$358,MATCH($A537,'BASE METAS DIÁRIAS'!$A$2:$A$358,0),MOD(ROW()-2,6)+1),"")</f>
        <v/>
      </c>
      <c r="G537" s="159">
        <f>IFERROR(IF(WEEKDAY($A537,2)&lt;=INDEX('BASE METAS DIÁRIAS'!$H$2:$M$358,MATCH($A537,'BASE METAS DIÁRIAS'!$A$2:$A$358,0),MOD(ROW()-2,6)+1),INDEX('BASE METAS DIÁRIAS'!$B$2:$G$358,MATCH($A537,'BASE METAS DIÁRIAS'!$A$2:$A$358,0),MOD(ROW()-2,6)+1),""),"")</f>
        <v/>
      </c>
      <c r="H537" s="159">
        <f>IFERROR(IF(INDEX('CONTROLE PRODUÇÃO POR EMPRESAS'!$B$6:$G$5000,MATCH($A537,'CONTROLE PRODUÇÃO POR EMPRESAS'!$A$6:$A$5000,0),MOD(ROW()-2,6)+1)="","",IFERROR(1*INDEX('CONTROLE PRODUÇÃO POR EMPRESAS'!$B$6:$G$5000,MATCH($A537,'CONTROLE PRODUÇÃO POR EMPRESAS'!$A$6:$A$5000,0),MOD(ROW()-2,6)+1),"")),"")</f>
        <v/>
      </c>
      <c r="I537" s="159">
        <f>IF(OR(NOT(ISNUMBER(G537)),NOT(ISNUMBER(H537))),"",H537-G537)</f>
        <v/>
      </c>
      <c r="J537" s="319">
        <f>IF(OR(NOT(ISNUMBER(G537)),NOT(ISNUMBER(H537)),G537=0),"",I537/G537)</f>
        <v/>
      </c>
      <c r="K537" s="319">
        <f>IF(OR(NOT(ISNUMBER(G537)),NOT(ISNUMBER(H537)),G537=0),"",H537/G537)</f>
        <v/>
      </c>
      <c r="L537">
        <f>IF(NOT(ISNUMBER(G537)),"SEM META",IF(G537=0,"SEM META",IF(NOT(ISNUMBER(H537)),"SEM APONTAMENTO",IF(H537&gt;=G537,"VERDE",IF(H537&gt;=G537*0.9,"AMARELO","VERMELHO")))))</f>
        <v/>
      </c>
      <c r="M537" s="162" t="n"/>
      <c r="N537" s="162" t="n"/>
      <c r="O537" s="162" t="n"/>
      <c r="P537" s="162" t="n"/>
      <c r="Q537" s="320" t="n"/>
      <c r="R537" s="162" t="inlineStr">
        <is>
          <t>CONTROLE PRODUÇÃO POR EMPRESAS!C95</t>
        </is>
      </c>
    </row>
    <row r="538" ht="28.5" customHeight="1">
      <c r="A538" s="317" t="n">
        <v>46312</v>
      </c>
      <c r="B538" t="inlineStr">
        <is>
          <t>GERAL</t>
        </is>
      </c>
      <c r="C538" t="inlineStr">
        <is>
          <t>EJ</t>
        </is>
      </c>
      <c r="D538" t="inlineStr">
        <is>
          <t>VIGAS</t>
        </is>
      </c>
      <c r="F538" s="159">
        <f>IFERROR(INDEX('BASE METAS DIÁRIAS'!$N$2:$S$358,MATCH($A538,'BASE METAS DIÁRIAS'!$A$2:$A$358,0),MOD(ROW()-2,6)+1),"")</f>
        <v/>
      </c>
      <c r="G538" s="159">
        <f>IFERROR(IF(WEEKDAY($A538,2)&lt;=INDEX('BASE METAS DIÁRIAS'!$H$2:$M$358,MATCH($A538,'BASE METAS DIÁRIAS'!$A$2:$A$358,0),MOD(ROW()-2,6)+1),INDEX('BASE METAS DIÁRIAS'!$B$2:$G$358,MATCH($A538,'BASE METAS DIÁRIAS'!$A$2:$A$358,0),MOD(ROW()-2,6)+1),""),"")</f>
        <v/>
      </c>
      <c r="H538" s="159">
        <f>IFERROR(IF(INDEX('CONTROLE PRODUÇÃO POR EMPRESAS'!$B$6:$G$5000,MATCH($A538,'CONTROLE PRODUÇÃO POR EMPRESAS'!$A$6:$A$5000,0),MOD(ROW()-2,6)+1)="","",IFERROR(1*INDEX('CONTROLE PRODUÇÃO POR EMPRESAS'!$B$6:$G$5000,MATCH($A538,'CONTROLE PRODUÇÃO POR EMPRESAS'!$A$6:$A$5000,0),MOD(ROW()-2,6)+1),"")),"")</f>
        <v/>
      </c>
      <c r="I538" s="159">
        <f>IF(OR(NOT(ISNUMBER(G538)),NOT(ISNUMBER(H538))),"",H538-G538)</f>
        <v/>
      </c>
      <c r="J538" s="319">
        <f>IF(OR(NOT(ISNUMBER(G538)),NOT(ISNUMBER(H538)),G538=0),"",I538/G538)</f>
        <v/>
      </c>
      <c r="K538" s="319">
        <f>IF(OR(NOT(ISNUMBER(G538)),NOT(ISNUMBER(H538)),G538=0),"",H538/G538)</f>
        <v/>
      </c>
      <c r="L538">
        <f>IF(NOT(ISNUMBER(G538)),"SEM META",IF(G538=0,"SEM META",IF(NOT(ISNUMBER(H538)),"SEM APONTAMENTO",IF(H538&gt;=G538,"VERDE",IF(H538&gt;=G538*0.9,"AMARELO","VERMELHO")))))</f>
        <v/>
      </c>
      <c r="M538" s="162" t="n"/>
      <c r="N538" s="162" t="n"/>
      <c r="O538" s="162" t="n"/>
      <c r="P538" s="162" t="n"/>
      <c r="Q538" s="320" t="n"/>
      <c r="R538" s="162" t="inlineStr">
        <is>
          <t>CONTROLE PRODUÇÃO POR EMPRESAS!D95</t>
        </is>
      </c>
    </row>
    <row r="539" ht="28.5" customHeight="1">
      <c r="A539" s="317" t="n">
        <v>46312</v>
      </c>
      <c r="B539" t="inlineStr">
        <is>
          <t>GERAL</t>
        </is>
      </c>
      <c r="C539" t="inlineStr">
        <is>
          <t>CMM</t>
        </is>
      </c>
      <c r="D539" t="inlineStr">
        <is>
          <t>PREMONTAGEM</t>
        </is>
      </c>
      <c r="F539" s="159">
        <f>IFERROR(INDEX('BASE METAS DIÁRIAS'!$N$2:$S$358,MATCH($A539,'BASE METAS DIÁRIAS'!$A$2:$A$358,0),MOD(ROW()-2,6)+1),"")</f>
        <v/>
      </c>
      <c r="G539" s="159">
        <f>IFERROR(IF(WEEKDAY($A539,2)&lt;=INDEX('BASE METAS DIÁRIAS'!$H$2:$M$358,MATCH($A539,'BASE METAS DIÁRIAS'!$A$2:$A$358,0),MOD(ROW()-2,6)+1),INDEX('BASE METAS DIÁRIAS'!$B$2:$G$358,MATCH($A539,'BASE METAS DIÁRIAS'!$A$2:$A$358,0),MOD(ROW()-2,6)+1),""),"")</f>
        <v/>
      </c>
      <c r="H539" s="159">
        <f>IFERROR(IF(INDEX('CONTROLE PRODUÇÃO POR EMPRESAS'!$B$6:$G$5000,MATCH($A539,'CONTROLE PRODUÇÃO POR EMPRESAS'!$A$6:$A$5000,0),MOD(ROW()-2,6)+1)="","",IFERROR(1*INDEX('CONTROLE PRODUÇÃO POR EMPRESAS'!$B$6:$G$5000,MATCH($A539,'CONTROLE PRODUÇÃO POR EMPRESAS'!$A$6:$A$5000,0),MOD(ROW()-2,6)+1),"")),"")</f>
        <v/>
      </c>
      <c r="I539" s="159">
        <f>IF(OR(NOT(ISNUMBER(G539)),NOT(ISNUMBER(H539))),"",H539-G539)</f>
        <v/>
      </c>
      <c r="J539" s="319">
        <f>IF(OR(NOT(ISNUMBER(G539)),NOT(ISNUMBER(H539)),G539=0),"",I539/G539)</f>
        <v/>
      </c>
      <c r="K539" s="319">
        <f>IF(OR(NOT(ISNUMBER(G539)),NOT(ISNUMBER(H539)),G539=0),"",H539/G539)</f>
        <v/>
      </c>
      <c r="L539">
        <f>IF(NOT(ISNUMBER(G539)),"SEM META",IF(G539=0,"SEM META",IF(NOT(ISNUMBER(H539)),"SEM APONTAMENTO",IF(H539&gt;=G539,"VERDE",IF(H539&gt;=G539*0.9,"AMARELO","VERMELHO")))))</f>
        <v/>
      </c>
      <c r="M539" s="162" t="n"/>
      <c r="N539" s="162" t="n"/>
      <c r="O539" s="162" t="n"/>
      <c r="P539" s="162" t="n"/>
      <c r="Q539" s="320" t="n"/>
      <c r="R539" s="162" t="inlineStr">
        <is>
          <t>CONTROLE PRODUÇÃO POR EMPRESAS!E95</t>
        </is>
      </c>
    </row>
    <row r="540" ht="28.5" customHeight="1">
      <c r="A540" s="317" t="n">
        <v>46312</v>
      </c>
      <c r="B540" t="inlineStr">
        <is>
          <t>GERAL</t>
        </is>
      </c>
      <c r="C540" t="inlineStr">
        <is>
          <t>CMM</t>
        </is>
      </c>
      <c r="D540" t="inlineStr">
        <is>
          <t>IÇAMENTO JOIST</t>
        </is>
      </c>
      <c r="F540" s="159">
        <f>IFERROR(INDEX('BASE METAS DIÁRIAS'!$N$2:$S$358,MATCH($A540,'BASE METAS DIÁRIAS'!$A$2:$A$358,0),MOD(ROW()-2,6)+1),"")</f>
        <v/>
      </c>
      <c r="G540" s="159">
        <f>IFERROR(IF(WEEKDAY($A540,2)&lt;=INDEX('BASE METAS DIÁRIAS'!$H$2:$M$358,MATCH($A540,'BASE METAS DIÁRIAS'!$A$2:$A$358,0),MOD(ROW()-2,6)+1),INDEX('BASE METAS DIÁRIAS'!$B$2:$G$358,MATCH($A540,'BASE METAS DIÁRIAS'!$A$2:$A$358,0),MOD(ROW()-2,6)+1),""),"")</f>
        <v/>
      </c>
      <c r="H540" s="159">
        <f>IFERROR(IF(INDEX('CONTROLE PRODUÇÃO POR EMPRESAS'!$B$6:$G$5000,MATCH($A540,'CONTROLE PRODUÇÃO POR EMPRESAS'!$A$6:$A$5000,0),MOD(ROW()-2,6)+1)="","",IFERROR(1*INDEX('CONTROLE PRODUÇÃO POR EMPRESAS'!$B$6:$G$5000,MATCH($A540,'CONTROLE PRODUÇÃO POR EMPRESAS'!$A$6:$A$5000,0),MOD(ROW()-2,6)+1),"")),"")</f>
        <v/>
      </c>
      <c r="I540" s="159">
        <f>IF(OR(NOT(ISNUMBER(G540)),NOT(ISNUMBER(H540))),"",H540-G540)</f>
        <v/>
      </c>
      <c r="J540" s="319">
        <f>IF(OR(NOT(ISNUMBER(G540)),NOT(ISNUMBER(H540)),G540=0),"",I540/G540)</f>
        <v/>
      </c>
      <c r="K540" s="319">
        <f>IF(OR(NOT(ISNUMBER(G540)),NOT(ISNUMBER(H540)),G540=0),"",H540/G540)</f>
        <v/>
      </c>
      <c r="L540">
        <f>IF(NOT(ISNUMBER(G540)),"SEM META",IF(G540=0,"SEM META",IF(NOT(ISNUMBER(H540)),"SEM APONTAMENTO",IF(H540&gt;=G540,"VERDE",IF(H540&gt;=G540*0.9,"AMARELO","VERMELHO")))))</f>
        <v/>
      </c>
      <c r="M540" s="162" t="n"/>
      <c r="N540" s="162" t="n"/>
      <c r="O540" s="162" t="n"/>
      <c r="P540" s="162" t="n"/>
      <c r="Q540" s="320" t="n"/>
      <c r="R540" s="162" t="inlineStr">
        <is>
          <t>CONTROLE PRODUÇÃO POR EMPRESAS!F95</t>
        </is>
      </c>
    </row>
    <row r="541" ht="28.5" customHeight="1">
      <c r="A541" s="317" t="n">
        <v>46312</v>
      </c>
      <c r="B541" t="inlineStr">
        <is>
          <t>GERAL</t>
        </is>
      </c>
      <c r="C541" t="inlineStr">
        <is>
          <t>CMM</t>
        </is>
      </c>
      <c r="D541" t="inlineStr">
        <is>
          <t>VIGAS</t>
        </is>
      </c>
      <c r="F541" s="159">
        <f>IFERROR(INDEX('BASE METAS DIÁRIAS'!$N$2:$S$358,MATCH($A541,'BASE METAS DIÁRIAS'!$A$2:$A$358,0),MOD(ROW()-2,6)+1),"")</f>
        <v/>
      </c>
      <c r="G541" s="159">
        <f>IFERROR(IF(WEEKDAY($A541,2)&lt;=INDEX('BASE METAS DIÁRIAS'!$H$2:$M$358,MATCH($A541,'BASE METAS DIÁRIAS'!$A$2:$A$358,0),MOD(ROW()-2,6)+1),INDEX('BASE METAS DIÁRIAS'!$B$2:$G$358,MATCH($A541,'BASE METAS DIÁRIAS'!$A$2:$A$358,0),MOD(ROW()-2,6)+1),""),"")</f>
        <v/>
      </c>
      <c r="H541" s="159">
        <f>IFERROR(IF(INDEX('CONTROLE PRODUÇÃO POR EMPRESAS'!$B$6:$G$5000,MATCH($A541,'CONTROLE PRODUÇÃO POR EMPRESAS'!$A$6:$A$5000,0),MOD(ROW()-2,6)+1)="","",IFERROR(1*INDEX('CONTROLE PRODUÇÃO POR EMPRESAS'!$B$6:$G$5000,MATCH($A541,'CONTROLE PRODUÇÃO POR EMPRESAS'!$A$6:$A$5000,0),MOD(ROW()-2,6)+1),"")),"")</f>
        <v/>
      </c>
      <c r="I541" s="159">
        <f>IF(OR(NOT(ISNUMBER(G541)),NOT(ISNUMBER(H541))),"",H541-G541)</f>
        <v/>
      </c>
      <c r="J541" s="319">
        <f>IF(OR(NOT(ISNUMBER(G541)),NOT(ISNUMBER(H541)),G541=0),"",I541/G541)</f>
        <v/>
      </c>
      <c r="K541" s="319">
        <f>IF(OR(NOT(ISNUMBER(G541)),NOT(ISNUMBER(H541)),G541=0),"",H541/G541)</f>
        <v/>
      </c>
      <c r="L541">
        <f>IF(NOT(ISNUMBER(G541)),"SEM META",IF(G541=0,"SEM META",IF(NOT(ISNUMBER(H541)),"SEM APONTAMENTO",IF(H541&gt;=G541,"VERDE",IF(H541&gt;=G541*0.9,"AMARELO","VERMELHO")))))</f>
        <v/>
      </c>
      <c r="M541" s="162" t="n"/>
      <c r="N541" s="162" t="n"/>
      <c r="O541" s="162" t="n"/>
      <c r="P541" s="162" t="n"/>
      <c r="Q541" s="320" t="n"/>
      <c r="R541" s="162" t="inlineStr">
        <is>
          <t>CONTROLE PRODUÇÃO POR EMPRESAS!G95</t>
        </is>
      </c>
    </row>
    <row r="542" ht="28.5" customHeight="1">
      <c r="A542" s="317" t="n">
        <v>46313</v>
      </c>
      <c r="B542" t="inlineStr">
        <is>
          <t>GERAL</t>
        </is>
      </c>
      <c r="C542" t="inlineStr">
        <is>
          <t>EJ</t>
        </is>
      </c>
      <c r="D542" t="inlineStr">
        <is>
          <t>PREMONTAGEM</t>
        </is>
      </c>
      <c r="F542" s="159">
        <f>IFERROR(INDEX('BASE METAS DIÁRIAS'!$N$2:$S$358,MATCH($A542,'BASE METAS DIÁRIAS'!$A$2:$A$358,0),MOD(ROW()-2,6)+1),"")</f>
        <v/>
      </c>
      <c r="G542" s="159">
        <f>IFERROR(IF(WEEKDAY($A542,2)&lt;=INDEX('BASE METAS DIÁRIAS'!$H$2:$M$358,MATCH($A542,'BASE METAS DIÁRIAS'!$A$2:$A$358,0),MOD(ROW()-2,6)+1),INDEX('BASE METAS DIÁRIAS'!$B$2:$G$358,MATCH($A542,'BASE METAS DIÁRIAS'!$A$2:$A$358,0),MOD(ROW()-2,6)+1),""),"")</f>
        <v/>
      </c>
      <c r="H542" s="159">
        <f>IFERROR(IF(INDEX('CONTROLE PRODUÇÃO POR EMPRESAS'!$B$6:$G$5000,MATCH($A542,'CONTROLE PRODUÇÃO POR EMPRESAS'!$A$6:$A$5000,0),MOD(ROW()-2,6)+1)="","",IFERROR(1*INDEX('CONTROLE PRODUÇÃO POR EMPRESAS'!$B$6:$G$5000,MATCH($A542,'CONTROLE PRODUÇÃO POR EMPRESAS'!$A$6:$A$5000,0),MOD(ROW()-2,6)+1),"")),"")</f>
        <v/>
      </c>
      <c r="I542" s="159">
        <f>IF(OR(NOT(ISNUMBER(G542)),NOT(ISNUMBER(H542))),"",H542-G542)</f>
        <v/>
      </c>
      <c r="J542" s="319">
        <f>IF(OR(NOT(ISNUMBER(G542)),NOT(ISNUMBER(H542)),G542=0),"",I542/G542)</f>
        <v/>
      </c>
      <c r="K542" s="319">
        <f>IF(OR(NOT(ISNUMBER(G542)),NOT(ISNUMBER(H542)),G542=0),"",H542/G542)</f>
        <v/>
      </c>
      <c r="L542">
        <f>IF(NOT(ISNUMBER(G542)),"SEM META",IF(G542=0,"SEM META",IF(NOT(ISNUMBER(H542)),"SEM APONTAMENTO",IF(H542&gt;=G542,"VERDE",IF(H542&gt;=G542*0.9,"AMARELO","VERMELHO")))))</f>
        <v/>
      </c>
      <c r="M542" s="162" t="n"/>
      <c r="N542" s="162" t="n"/>
      <c r="O542" s="162" t="n"/>
      <c r="P542" s="162" t="n"/>
      <c r="Q542" s="320" t="n"/>
      <c r="R542" s="162" t="inlineStr">
        <is>
          <t>CONTROLE PRODUÇÃO POR EMPRESAS!B96</t>
        </is>
      </c>
    </row>
    <row r="543" ht="28.5" customHeight="1">
      <c r="A543" s="317" t="n">
        <v>46313</v>
      </c>
      <c r="B543" t="inlineStr">
        <is>
          <t>GERAL</t>
        </is>
      </c>
      <c r="C543" t="inlineStr">
        <is>
          <t>EJ</t>
        </is>
      </c>
      <c r="D543" t="inlineStr">
        <is>
          <t>IÇAMENTO JOIST</t>
        </is>
      </c>
      <c r="F543" s="159">
        <f>IFERROR(INDEX('BASE METAS DIÁRIAS'!$N$2:$S$358,MATCH($A543,'BASE METAS DIÁRIAS'!$A$2:$A$358,0),MOD(ROW()-2,6)+1),"")</f>
        <v/>
      </c>
      <c r="G543" s="159">
        <f>IFERROR(IF(WEEKDAY($A543,2)&lt;=INDEX('BASE METAS DIÁRIAS'!$H$2:$M$358,MATCH($A543,'BASE METAS DIÁRIAS'!$A$2:$A$358,0),MOD(ROW()-2,6)+1),INDEX('BASE METAS DIÁRIAS'!$B$2:$G$358,MATCH($A543,'BASE METAS DIÁRIAS'!$A$2:$A$358,0),MOD(ROW()-2,6)+1),""),"")</f>
        <v/>
      </c>
      <c r="H543" s="159">
        <f>IFERROR(IF(INDEX('CONTROLE PRODUÇÃO POR EMPRESAS'!$B$6:$G$5000,MATCH($A543,'CONTROLE PRODUÇÃO POR EMPRESAS'!$A$6:$A$5000,0),MOD(ROW()-2,6)+1)="","",IFERROR(1*INDEX('CONTROLE PRODUÇÃO POR EMPRESAS'!$B$6:$G$5000,MATCH($A543,'CONTROLE PRODUÇÃO POR EMPRESAS'!$A$6:$A$5000,0),MOD(ROW()-2,6)+1),"")),"")</f>
        <v/>
      </c>
      <c r="I543" s="159">
        <f>IF(OR(NOT(ISNUMBER(G543)),NOT(ISNUMBER(H543))),"",H543-G543)</f>
        <v/>
      </c>
      <c r="J543" s="319">
        <f>IF(OR(NOT(ISNUMBER(G543)),NOT(ISNUMBER(H543)),G543=0),"",I543/G543)</f>
        <v/>
      </c>
      <c r="K543" s="319">
        <f>IF(OR(NOT(ISNUMBER(G543)),NOT(ISNUMBER(H543)),G543=0),"",H543/G543)</f>
        <v/>
      </c>
      <c r="L543">
        <f>IF(NOT(ISNUMBER(G543)),"SEM META",IF(G543=0,"SEM META",IF(NOT(ISNUMBER(H543)),"SEM APONTAMENTO",IF(H543&gt;=G543,"VERDE",IF(H543&gt;=G543*0.9,"AMARELO","VERMELHO")))))</f>
        <v/>
      </c>
      <c r="M543" s="162" t="n"/>
      <c r="N543" s="162" t="n"/>
      <c r="O543" s="162" t="n"/>
      <c r="P543" s="162" t="n"/>
      <c r="Q543" s="320" t="n"/>
      <c r="R543" s="162" t="inlineStr">
        <is>
          <t>CONTROLE PRODUÇÃO POR EMPRESAS!C96</t>
        </is>
      </c>
    </row>
    <row r="544" ht="28.5" customHeight="1">
      <c r="A544" s="317" t="n">
        <v>46313</v>
      </c>
      <c r="B544" t="inlineStr">
        <is>
          <t>GERAL</t>
        </is>
      </c>
      <c r="C544" t="inlineStr">
        <is>
          <t>EJ</t>
        </is>
      </c>
      <c r="D544" t="inlineStr">
        <is>
          <t>VIGAS</t>
        </is>
      </c>
      <c r="F544" s="159">
        <f>IFERROR(INDEX('BASE METAS DIÁRIAS'!$N$2:$S$358,MATCH($A544,'BASE METAS DIÁRIAS'!$A$2:$A$358,0),MOD(ROW()-2,6)+1),"")</f>
        <v/>
      </c>
      <c r="G544" s="159">
        <f>IFERROR(IF(WEEKDAY($A544,2)&lt;=INDEX('BASE METAS DIÁRIAS'!$H$2:$M$358,MATCH($A544,'BASE METAS DIÁRIAS'!$A$2:$A$358,0),MOD(ROW()-2,6)+1),INDEX('BASE METAS DIÁRIAS'!$B$2:$G$358,MATCH($A544,'BASE METAS DIÁRIAS'!$A$2:$A$358,0),MOD(ROW()-2,6)+1),""),"")</f>
        <v/>
      </c>
      <c r="H544" s="159">
        <f>IFERROR(IF(INDEX('CONTROLE PRODUÇÃO POR EMPRESAS'!$B$6:$G$5000,MATCH($A544,'CONTROLE PRODUÇÃO POR EMPRESAS'!$A$6:$A$5000,0),MOD(ROW()-2,6)+1)="","",IFERROR(1*INDEX('CONTROLE PRODUÇÃO POR EMPRESAS'!$B$6:$G$5000,MATCH($A544,'CONTROLE PRODUÇÃO POR EMPRESAS'!$A$6:$A$5000,0),MOD(ROW()-2,6)+1),"")),"")</f>
        <v/>
      </c>
      <c r="I544" s="159">
        <f>IF(OR(NOT(ISNUMBER(G544)),NOT(ISNUMBER(H544))),"",H544-G544)</f>
        <v/>
      </c>
      <c r="J544" s="319">
        <f>IF(OR(NOT(ISNUMBER(G544)),NOT(ISNUMBER(H544)),G544=0),"",I544/G544)</f>
        <v/>
      </c>
      <c r="K544" s="319">
        <f>IF(OR(NOT(ISNUMBER(G544)),NOT(ISNUMBER(H544)),G544=0),"",H544/G544)</f>
        <v/>
      </c>
      <c r="L544">
        <f>IF(NOT(ISNUMBER(G544)),"SEM META",IF(G544=0,"SEM META",IF(NOT(ISNUMBER(H544)),"SEM APONTAMENTO",IF(H544&gt;=G544,"VERDE",IF(H544&gt;=G544*0.9,"AMARELO","VERMELHO")))))</f>
        <v/>
      </c>
      <c r="M544" s="162" t="n"/>
      <c r="N544" s="162" t="n"/>
      <c r="O544" s="162" t="n"/>
      <c r="P544" s="162" t="n"/>
      <c r="Q544" s="320" t="n"/>
      <c r="R544" s="162" t="inlineStr">
        <is>
          <t>CONTROLE PRODUÇÃO POR EMPRESAS!D96</t>
        </is>
      </c>
    </row>
    <row r="545" ht="28.5" customHeight="1">
      <c r="A545" s="317" t="n">
        <v>46313</v>
      </c>
      <c r="B545" t="inlineStr">
        <is>
          <t>GERAL</t>
        </is>
      </c>
      <c r="C545" t="inlineStr">
        <is>
          <t>CMM</t>
        </is>
      </c>
      <c r="D545" t="inlineStr">
        <is>
          <t>PREMONTAGEM</t>
        </is>
      </c>
      <c r="F545" s="159">
        <f>IFERROR(INDEX('BASE METAS DIÁRIAS'!$N$2:$S$358,MATCH($A545,'BASE METAS DIÁRIAS'!$A$2:$A$358,0),MOD(ROW()-2,6)+1),"")</f>
        <v/>
      </c>
      <c r="G545" s="159">
        <f>IFERROR(IF(WEEKDAY($A545,2)&lt;=INDEX('BASE METAS DIÁRIAS'!$H$2:$M$358,MATCH($A545,'BASE METAS DIÁRIAS'!$A$2:$A$358,0),MOD(ROW()-2,6)+1),INDEX('BASE METAS DIÁRIAS'!$B$2:$G$358,MATCH($A545,'BASE METAS DIÁRIAS'!$A$2:$A$358,0),MOD(ROW()-2,6)+1),""),"")</f>
        <v/>
      </c>
      <c r="H545" s="159">
        <f>IFERROR(IF(INDEX('CONTROLE PRODUÇÃO POR EMPRESAS'!$B$6:$G$5000,MATCH($A545,'CONTROLE PRODUÇÃO POR EMPRESAS'!$A$6:$A$5000,0),MOD(ROW()-2,6)+1)="","",IFERROR(1*INDEX('CONTROLE PRODUÇÃO POR EMPRESAS'!$B$6:$G$5000,MATCH($A545,'CONTROLE PRODUÇÃO POR EMPRESAS'!$A$6:$A$5000,0),MOD(ROW()-2,6)+1),"")),"")</f>
        <v/>
      </c>
      <c r="I545" s="159">
        <f>IF(OR(NOT(ISNUMBER(G545)),NOT(ISNUMBER(H545))),"",H545-G545)</f>
        <v/>
      </c>
      <c r="J545" s="319">
        <f>IF(OR(NOT(ISNUMBER(G545)),NOT(ISNUMBER(H545)),G545=0),"",I545/G545)</f>
        <v/>
      </c>
      <c r="K545" s="319">
        <f>IF(OR(NOT(ISNUMBER(G545)),NOT(ISNUMBER(H545)),G545=0),"",H545/G545)</f>
        <v/>
      </c>
      <c r="L545">
        <f>IF(NOT(ISNUMBER(G545)),"SEM META",IF(G545=0,"SEM META",IF(NOT(ISNUMBER(H545)),"SEM APONTAMENTO",IF(H545&gt;=G545,"VERDE",IF(H545&gt;=G545*0.9,"AMARELO","VERMELHO")))))</f>
        <v/>
      </c>
      <c r="M545" s="162" t="n"/>
      <c r="N545" s="162" t="n"/>
      <c r="O545" s="162" t="n"/>
      <c r="P545" s="162" t="n"/>
      <c r="Q545" s="320" t="n"/>
      <c r="R545" s="162" t="inlineStr">
        <is>
          <t>CONTROLE PRODUÇÃO POR EMPRESAS!E96</t>
        </is>
      </c>
    </row>
    <row r="546" ht="28.5" customHeight="1">
      <c r="A546" s="317" t="n">
        <v>46313</v>
      </c>
      <c r="B546" t="inlineStr">
        <is>
          <t>GERAL</t>
        </is>
      </c>
      <c r="C546" t="inlineStr">
        <is>
          <t>CMM</t>
        </is>
      </c>
      <c r="D546" t="inlineStr">
        <is>
          <t>IÇAMENTO JOIST</t>
        </is>
      </c>
      <c r="F546" s="159">
        <f>IFERROR(INDEX('BASE METAS DIÁRIAS'!$N$2:$S$358,MATCH($A546,'BASE METAS DIÁRIAS'!$A$2:$A$358,0),MOD(ROW()-2,6)+1),"")</f>
        <v/>
      </c>
      <c r="G546" s="159">
        <f>IFERROR(IF(WEEKDAY($A546,2)&lt;=INDEX('BASE METAS DIÁRIAS'!$H$2:$M$358,MATCH($A546,'BASE METAS DIÁRIAS'!$A$2:$A$358,0),MOD(ROW()-2,6)+1),INDEX('BASE METAS DIÁRIAS'!$B$2:$G$358,MATCH($A546,'BASE METAS DIÁRIAS'!$A$2:$A$358,0),MOD(ROW()-2,6)+1),""),"")</f>
        <v/>
      </c>
      <c r="H546" s="159">
        <f>IFERROR(IF(INDEX('CONTROLE PRODUÇÃO POR EMPRESAS'!$B$6:$G$5000,MATCH($A546,'CONTROLE PRODUÇÃO POR EMPRESAS'!$A$6:$A$5000,0),MOD(ROW()-2,6)+1)="","",IFERROR(1*INDEX('CONTROLE PRODUÇÃO POR EMPRESAS'!$B$6:$G$5000,MATCH($A546,'CONTROLE PRODUÇÃO POR EMPRESAS'!$A$6:$A$5000,0),MOD(ROW()-2,6)+1),"")),"")</f>
        <v/>
      </c>
      <c r="I546" s="159">
        <f>IF(OR(NOT(ISNUMBER(G546)),NOT(ISNUMBER(H546))),"",H546-G546)</f>
        <v/>
      </c>
      <c r="J546" s="319">
        <f>IF(OR(NOT(ISNUMBER(G546)),NOT(ISNUMBER(H546)),G546=0),"",I546/G546)</f>
        <v/>
      </c>
      <c r="K546" s="319">
        <f>IF(OR(NOT(ISNUMBER(G546)),NOT(ISNUMBER(H546)),G546=0),"",H546/G546)</f>
        <v/>
      </c>
      <c r="L546">
        <f>IF(NOT(ISNUMBER(G546)),"SEM META",IF(G546=0,"SEM META",IF(NOT(ISNUMBER(H546)),"SEM APONTAMENTO",IF(H546&gt;=G546,"VERDE",IF(H546&gt;=G546*0.9,"AMARELO","VERMELHO")))))</f>
        <v/>
      </c>
      <c r="M546" s="162" t="n"/>
      <c r="N546" s="162" t="n"/>
      <c r="O546" s="162" t="n"/>
      <c r="P546" s="162" t="n"/>
      <c r="Q546" s="320" t="n"/>
      <c r="R546" s="162" t="inlineStr">
        <is>
          <t>CONTROLE PRODUÇÃO POR EMPRESAS!F96</t>
        </is>
      </c>
    </row>
    <row r="547" ht="28.5" customHeight="1">
      <c r="A547" s="317" t="n">
        <v>46313</v>
      </c>
      <c r="B547" t="inlineStr">
        <is>
          <t>GERAL</t>
        </is>
      </c>
      <c r="C547" t="inlineStr">
        <is>
          <t>CMM</t>
        </is>
      </c>
      <c r="D547" t="inlineStr">
        <is>
          <t>VIGAS</t>
        </is>
      </c>
      <c r="F547" s="159">
        <f>IFERROR(INDEX('BASE METAS DIÁRIAS'!$N$2:$S$358,MATCH($A547,'BASE METAS DIÁRIAS'!$A$2:$A$358,0),MOD(ROW()-2,6)+1),"")</f>
        <v/>
      </c>
      <c r="G547" s="159">
        <f>IFERROR(IF(WEEKDAY($A547,2)&lt;=INDEX('BASE METAS DIÁRIAS'!$H$2:$M$358,MATCH($A547,'BASE METAS DIÁRIAS'!$A$2:$A$358,0),MOD(ROW()-2,6)+1),INDEX('BASE METAS DIÁRIAS'!$B$2:$G$358,MATCH($A547,'BASE METAS DIÁRIAS'!$A$2:$A$358,0),MOD(ROW()-2,6)+1),""),"")</f>
        <v/>
      </c>
      <c r="H547" s="159">
        <f>IFERROR(IF(INDEX('CONTROLE PRODUÇÃO POR EMPRESAS'!$B$6:$G$5000,MATCH($A547,'CONTROLE PRODUÇÃO POR EMPRESAS'!$A$6:$A$5000,0),MOD(ROW()-2,6)+1)="","",IFERROR(1*INDEX('CONTROLE PRODUÇÃO POR EMPRESAS'!$B$6:$G$5000,MATCH($A547,'CONTROLE PRODUÇÃO POR EMPRESAS'!$A$6:$A$5000,0),MOD(ROW()-2,6)+1),"")),"")</f>
        <v/>
      </c>
      <c r="I547" s="159">
        <f>IF(OR(NOT(ISNUMBER(G547)),NOT(ISNUMBER(H547))),"",H547-G547)</f>
        <v/>
      </c>
      <c r="J547" s="319">
        <f>IF(OR(NOT(ISNUMBER(G547)),NOT(ISNUMBER(H547)),G547=0),"",I547/G547)</f>
        <v/>
      </c>
      <c r="K547" s="319">
        <f>IF(OR(NOT(ISNUMBER(G547)),NOT(ISNUMBER(H547)),G547=0),"",H547/G547)</f>
        <v/>
      </c>
      <c r="L547">
        <f>IF(NOT(ISNUMBER(G547)),"SEM META",IF(G547=0,"SEM META",IF(NOT(ISNUMBER(H547)),"SEM APONTAMENTO",IF(H547&gt;=G547,"VERDE",IF(H547&gt;=G547*0.9,"AMARELO","VERMELHO")))))</f>
        <v/>
      </c>
      <c r="M547" s="162" t="n"/>
      <c r="N547" s="162" t="n"/>
      <c r="O547" s="162" t="n"/>
      <c r="P547" s="162" t="n"/>
      <c r="Q547" s="320" t="n"/>
      <c r="R547" s="162" t="inlineStr">
        <is>
          <t>CONTROLE PRODUÇÃO POR EMPRESAS!G96</t>
        </is>
      </c>
    </row>
    <row r="548" ht="28.5" customHeight="1">
      <c r="A548" s="317" t="n">
        <v>46314</v>
      </c>
      <c r="B548" t="inlineStr">
        <is>
          <t>GERAL</t>
        </is>
      </c>
      <c r="C548" t="inlineStr">
        <is>
          <t>EJ</t>
        </is>
      </c>
      <c r="D548" t="inlineStr">
        <is>
          <t>PREMONTAGEM</t>
        </is>
      </c>
      <c r="F548" s="159">
        <f>IFERROR(INDEX('BASE METAS DIÁRIAS'!$N$2:$S$358,MATCH($A548,'BASE METAS DIÁRIAS'!$A$2:$A$358,0),MOD(ROW()-2,6)+1),"")</f>
        <v/>
      </c>
      <c r="G548" s="159">
        <f>IFERROR(IF(WEEKDAY($A548,2)&lt;=INDEX('BASE METAS DIÁRIAS'!$H$2:$M$358,MATCH($A548,'BASE METAS DIÁRIAS'!$A$2:$A$358,0),MOD(ROW()-2,6)+1),INDEX('BASE METAS DIÁRIAS'!$B$2:$G$358,MATCH($A548,'BASE METAS DIÁRIAS'!$A$2:$A$358,0),MOD(ROW()-2,6)+1),""),"")</f>
        <v/>
      </c>
      <c r="H548" s="159">
        <f>IFERROR(IF(INDEX('CONTROLE PRODUÇÃO POR EMPRESAS'!$B$6:$G$5000,MATCH($A548,'CONTROLE PRODUÇÃO POR EMPRESAS'!$A$6:$A$5000,0),MOD(ROW()-2,6)+1)="","",IFERROR(1*INDEX('CONTROLE PRODUÇÃO POR EMPRESAS'!$B$6:$G$5000,MATCH($A548,'CONTROLE PRODUÇÃO POR EMPRESAS'!$A$6:$A$5000,0),MOD(ROW()-2,6)+1),"")),"")</f>
        <v/>
      </c>
      <c r="I548" s="159">
        <f>IF(OR(NOT(ISNUMBER(G548)),NOT(ISNUMBER(H548))),"",H548-G548)</f>
        <v/>
      </c>
      <c r="J548" s="319">
        <f>IF(OR(NOT(ISNUMBER(G548)),NOT(ISNUMBER(H548)),G548=0),"",I548/G548)</f>
        <v/>
      </c>
      <c r="K548" s="319">
        <f>IF(OR(NOT(ISNUMBER(G548)),NOT(ISNUMBER(H548)),G548=0),"",H548/G548)</f>
        <v/>
      </c>
      <c r="L548">
        <f>IF(NOT(ISNUMBER(G548)),"SEM META",IF(G548=0,"SEM META",IF(NOT(ISNUMBER(H548)),"SEM APONTAMENTO",IF(H548&gt;=G548,"VERDE",IF(H548&gt;=G548*0.9,"AMARELO","VERMELHO")))))</f>
        <v/>
      </c>
      <c r="M548" s="162" t="n"/>
      <c r="N548" s="162" t="n"/>
      <c r="O548" s="162" t="n"/>
      <c r="P548" s="162" t="n"/>
      <c r="Q548" s="320" t="n"/>
      <c r="R548" s="162" t="inlineStr">
        <is>
          <t>CONTROLE PRODUÇÃO POR EMPRESAS!B97</t>
        </is>
      </c>
    </row>
    <row r="549" ht="28.5" customHeight="1">
      <c r="A549" s="317" t="n">
        <v>46314</v>
      </c>
      <c r="B549" t="inlineStr">
        <is>
          <t>GERAL</t>
        </is>
      </c>
      <c r="C549" t="inlineStr">
        <is>
          <t>EJ</t>
        </is>
      </c>
      <c r="D549" t="inlineStr">
        <is>
          <t>IÇAMENTO JOIST</t>
        </is>
      </c>
      <c r="F549" s="159">
        <f>IFERROR(INDEX('BASE METAS DIÁRIAS'!$N$2:$S$358,MATCH($A549,'BASE METAS DIÁRIAS'!$A$2:$A$358,0),MOD(ROW()-2,6)+1),"")</f>
        <v/>
      </c>
      <c r="G549" s="159">
        <f>IFERROR(IF(WEEKDAY($A549,2)&lt;=INDEX('BASE METAS DIÁRIAS'!$H$2:$M$358,MATCH($A549,'BASE METAS DIÁRIAS'!$A$2:$A$358,0),MOD(ROW()-2,6)+1),INDEX('BASE METAS DIÁRIAS'!$B$2:$G$358,MATCH($A549,'BASE METAS DIÁRIAS'!$A$2:$A$358,0),MOD(ROW()-2,6)+1),""),"")</f>
        <v/>
      </c>
      <c r="H549" s="159">
        <f>IFERROR(IF(INDEX('CONTROLE PRODUÇÃO POR EMPRESAS'!$B$6:$G$5000,MATCH($A549,'CONTROLE PRODUÇÃO POR EMPRESAS'!$A$6:$A$5000,0),MOD(ROW()-2,6)+1)="","",IFERROR(1*INDEX('CONTROLE PRODUÇÃO POR EMPRESAS'!$B$6:$G$5000,MATCH($A549,'CONTROLE PRODUÇÃO POR EMPRESAS'!$A$6:$A$5000,0),MOD(ROW()-2,6)+1),"")),"")</f>
        <v/>
      </c>
      <c r="I549" s="159">
        <f>IF(OR(NOT(ISNUMBER(G549)),NOT(ISNUMBER(H549))),"",H549-G549)</f>
        <v/>
      </c>
      <c r="J549" s="319">
        <f>IF(OR(NOT(ISNUMBER(G549)),NOT(ISNUMBER(H549)),G549=0),"",I549/G549)</f>
        <v/>
      </c>
      <c r="K549" s="319">
        <f>IF(OR(NOT(ISNUMBER(G549)),NOT(ISNUMBER(H549)),G549=0),"",H549/G549)</f>
        <v/>
      </c>
      <c r="L549">
        <f>IF(NOT(ISNUMBER(G549)),"SEM META",IF(G549=0,"SEM META",IF(NOT(ISNUMBER(H549)),"SEM APONTAMENTO",IF(H549&gt;=G549,"VERDE",IF(H549&gt;=G549*0.9,"AMARELO","VERMELHO")))))</f>
        <v/>
      </c>
      <c r="M549" s="162" t="n"/>
      <c r="N549" s="162" t="n"/>
      <c r="O549" s="162" t="n"/>
      <c r="P549" s="162" t="n"/>
      <c r="Q549" s="320" t="n"/>
      <c r="R549" s="162" t="inlineStr">
        <is>
          <t>CONTROLE PRODUÇÃO POR EMPRESAS!C97</t>
        </is>
      </c>
    </row>
    <row r="550" ht="28.5" customHeight="1">
      <c r="A550" s="317" t="n">
        <v>46314</v>
      </c>
      <c r="B550" t="inlineStr">
        <is>
          <t>GERAL</t>
        </is>
      </c>
      <c r="C550" t="inlineStr">
        <is>
          <t>EJ</t>
        </is>
      </c>
      <c r="D550" t="inlineStr">
        <is>
          <t>VIGAS</t>
        </is>
      </c>
      <c r="F550" s="159">
        <f>IFERROR(INDEX('BASE METAS DIÁRIAS'!$N$2:$S$358,MATCH($A550,'BASE METAS DIÁRIAS'!$A$2:$A$358,0),MOD(ROW()-2,6)+1),"")</f>
        <v/>
      </c>
      <c r="G550" s="159">
        <f>IFERROR(IF(WEEKDAY($A550,2)&lt;=INDEX('BASE METAS DIÁRIAS'!$H$2:$M$358,MATCH($A550,'BASE METAS DIÁRIAS'!$A$2:$A$358,0),MOD(ROW()-2,6)+1),INDEX('BASE METAS DIÁRIAS'!$B$2:$G$358,MATCH($A550,'BASE METAS DIÁRIAS'!$A$2:$A$358,0),MOD(ROW()-2,6)+1),""),"")</f>
        <v/>
      </c>
      <c r="H550" s="159">
        <f>IFERROR(IF(INDEX('CONTROLE PRODUÇÃO POR EMPRESAS'!$B$6:$G$5000,MATCH($A550,'CONTROLE PRODUÇÃO POR EMPRESAS'!$A$6:$A$5000,0),MOD(ROW()-2,6)+1)="","",IFERROR(1*INDEX('CONTROLE PRODUÇÃO POR EMPRESAS'!$B$6:$G$5000,MATCH($A550,'CONTROLE PRODUÇÃO POR EMPRESAS'!$A$6:$A$5000,0),MOD(ROW()-2,6)+1),"")),"")</f>
        <v/>
      </c>
      <c r="I550" s="159">
        <f>IF(OR(NOT(ISNUMBER(G550)),NOT(ISNUMBER(H550))),"",H550-G550)</f>
        <v/>
      </c>
      <c r="J550" s="319">
        <f>IF(OR(NOT(ISNUMBER(G550)),NOT(ISNUMBER(H550)),G550=0),"",I550/G550)</f>
        <v/>
      </c>
      <c r="K550" s="319">
        <f>IF(OR(NOT(ISNUMBER(G550)),NOT(ISNUMBER(H550)),G550=0),"",H550/G550)</f>
        <v/>
      </c>
      <c r="L550">
        <f>IF(NOT(ISNUMBER(G550)),"SEM META",IF(G550=0,"SEM META",IF(NOT(ISNUMBER(H550)),"SEM APONTAMENTO",IF(H550&gt;=G550,"VERDE",IF(H550&gt;=G550*0.9,"AMARELO","VERMELHO")))))</f>
        <v/>
      </c>
      <c r="M550" s="162" t="n"/>
      <c r="N550" s="162" t="n"/>
      <c r="O550" s="162" t="n"/>
      <c r="P550" s="162" t="n"/>
      <c r="Q550" s="320" t="n"/>
      <c r="R550" s="162" t="inlineStr">
        <is>
          <t>CONTROLE PRODUÇÃO POR EMPRESAS!D97</t>
        </is>
      </c>
    </row>
    <row r="551" ht="28.5" customHeight="1">
      <c r="A551" s="317" t="n">
        <v>46314</v>
      </c>
      <c r="B551" t="inlineStr">
        <is>
          <t>GERAL</t>
        </is>
      </c>
      <c r="C551" t="inlineStr">
        <is>
          <t>CMM</t>
        </is>
      </c>
      <c r="D551" t="inlineStr">
        <is>
          <t>PREMONTAGEM</t>
        </is>
      </c>
      <c r="F551" s="159">
        <f>IFERROR(INDEX('BASE METAS DIÁRIAS'!$N$2:$S$358,MATCH($A551,'BASE METAS DIÁRIAS'!$A$2:$A$358,0),MOD(ROW()-2,6)+1),"")</f>
        <v/>
      </c>
      <c r="G551" s="159">
        <f>IFERROR(IF(WEEKDAY($A551,2)&lt;=INDEX('BASE METAS DIÁRIAS'!$H$2:$M$358,MATCH($A551,'BASE METAS DIÁRIAS'!$A$2:$A$358,0),MOD(ROW()-2,6)+1),INDEX('BASE METAS DIÁRIAS'!$B$2:$G$358,MATCH($A551,'BASE METAS DIÁRIAS'!$A$2:$A$358,0),MOD(ROW()-2,6)+1),""),"")</f>
        <v/>
      </c>
      <c r="H551" s="159">
        <f>IFERROR(IF(INDEX('CONTROLE PRODUÇÃO POR EMPRESAS'!$B$6:$G$5000,MATCH($A551,'CONTROLE PRODUÇÃO POR EMPRESAS'!$A$6:$A$5000,0),MOD(ROW()-2,6)+1)="","",IFERROR(1*INDEX('CONTROLE PRODUÇÃO POR EMPRESAS'!$B$6:$G$5000,MATCH($A551,'CONTROLE PRODUÇÃO POR EMPRESAS'!$A$6:$A$5000,0),MOD(ROW()-2,6)+1),"")),"")</f>
        <v/>
      </c>
      <c r="I551" s="159">
        <f>IF(OR(NOT(ISNUMBER(G551)),NOT(ISNUMBER(H551))),"",H551-G551)</f>
        <v/>
      </c>
      <c r="J551" s="319">
        <f>IF(OR(NOT(ISNUMBER(G551)),NOT(ISNUMBER(H551)),G551=0),"",I551/G551)</f>
        <v/>
      </c>
      <c r="K551" s="319">
        <f>IF(OR(NOT(ISNUMBER(G551)),NOT(ISNUMBER(H551)),G551=0),"",H551/G551)</f>
        <v/>
      </c>
      <c r="L551">
        <f>IF(NOT(ISNUMBER(G551)),"SEM META",IF(G551=0,"SEM META",IF(NOT(ISNUMBER(H551)),"SEM APONTAMENTO",IF(H551&gt;=G551,"VERDE",IF(H551&gt;=G551*0.9,"AMARELO","VERMELHO")))))</f>
        <v/>
      </c>
      <c r="M551" s="162" t="n"/>
      <c r="N551" s="162" t="n"/>
      <c r="O551" s="162" t="n"/>
      <c r="P551" s="162" t="n"/>
      <c r="Q551" s="320" t="n"/>
      <c r="R551" s="162" t="inlineStr">
        <is>
          <t>CONTROLE PRODUÇÃO POR EMPRESAS!E97</t>
        </is>
      </c>
    </row>
    <row r="552" ht="28.5" customHeight="1">
      <c r="A552" s="317" t="n">
        <v>46314</v>
      </c>
      <c r="B552" t="inlineStr">
        <is>
          <t>GERAL</t>
        </is>
      </c>
      <c r="C552" t="inlineStr">
        <is>
          <t>CMM</t>
        </is>
      </c>
      <c r="D552" t="inlineStr">
        <is>
          <t>IÇAMENTO JOIST</t>
        </is>
      </c>
      <c r="F552" s="159">
        <f>IFERROR(INDEX('BASE METAS DIÁRIAS'!$N$2:$S$358,MATCH($A552,'BASE METAS DIÁRIAS'!$A$2:$A$358,0),MOD(ROW()-2,6)+1),"")</f>
        <v/>
      </c>
      <c r="G552" s="159">
        <f>IFERROR(IF(WEEKDAY($A552,2)&lt;=INDEX('BASE METAS DIÁRIAS'!$H$2:$M$358,MATCH($A552,'BASE METAS DIÁRIAS'!$A$2:$A$358,0),MOD(ROW()-2,6)+1),INDEX('BASE METAS DIÁRIAS'!$B$2:$G$358,MATCH($A552,'BASE METAS DIÁRIAS'!$A$2:$A$358,0),MOD(ROW()-2,6)+1),""),"")</f>
        <v/>
      </c>
      <c r="H552" s="159">
        <f>IFERROR(IF(INDEX('CONTROLE PRODUÇÃO POR EMPRESAS'!$B$6:$G$5000,MATCH($A552,'CONTROLE PRODUÇÃO POR EMPRESAS'!$A$6:$A$5000,0),MOD(ROW()-2,6)+1)="","",IFERROR(1*INDEX('CONTROLE PRODUÇÃO POR EMPRESAS'!$B$6:$G$5000,MATCH($A552,'CONTROLE PRODUÇÃO POR EMPRESAS'!$A$6:$A$5000,0),MOD(ROW()-2,6)+1),"")),"")</f>
        <v/>
      </c>
      <c r="I552" s="159">
        <f>IF(OR(NOT(ISNUMBER(G552)),NOT(ISNUMBER(H552))),"",H552-G552)</f>
        <v/>
      </c>
      <c r="J552" s="319">
        <f>IF(OR(NOT(ISNUMBER(G552)),NOT(ISNUMBER(H552)),G552=0),"",I552/G552)</f>
        <v/>
      </c>
      <c r="K552" s="319">
        <f>IF(OR(NOT(ISNUMBER(G552)),NOT(ISNUMBER(H552)),G552=0),"",H552/G552)</f>
        <v/>
      </c>
      <c r="L552">
        <f>IF(NOT(ISNUMBER(G552)),"SEM META",IF(G552=0,"SEM META",IF(NOT(ISNUMBER(H552)),"SEM APONTAMENTO",IF(H552&gt;=G552,"VERDE",IF(H552&gt;=G552*0.9,"AMARELO","VERMELHO")))))</f>
        <v/>
      </c>
      <c r="M552" s="162" t="n"/>
      <c r="N552" s="162" t="n"/>
      <c r="O552" s="162" t="n"/>
      <c r="P552" s="162" t="n"/>
      <c r="Q552" s="320" t="n"/>
      <c r="R552" s="162" t="inlineStr">
        <is>
          <t>CONTROLE PRODUÇÃO POR EMPRESAS!F97</t>
        </is>
      </c>
    </row>
    <row r="553" ht="28.5" customHeight="1">
      <c r="A553" s="317" t="n">
        <v>46314</v>
      </c>
      <c r="B553" t="inlineStr">
        <is>
          <t>GERAL</t>
        </is>
      </c>
      <c r="C553" t="inlineStr">
        <is>
          <t>CMM</t>
        </is>
      </c>
      <c r="D553" t="inlineStr">
        <is>
          <t>VIGAS</t>
        </is>
      </c>
      <c r="F553" s="159">
        <f>IFERROR(INDEX('BASE METAS DIÁRIAS'!$N$2:$S$358,MATCH($A553,'BASE METAS DIÁRIAS'!$A$2:$A$358,0),MOD(ROW()-2,6)+1),"")</f>
        <v/>
      </c>
      <c r="G553" s="159">
        <f>IFERROR(IF(WEEKDAY($A553,2)&lt;=INDEX('BASE METAS DIÁRIAS'!$H$2:$M$358,MATCH($A553,'BASE METAS DIÁRIAS'!$A$2:$A$358,0),MOD(ROW()-2,6)+1),INDEX('BASE METAS DIÁRIAS'!$B$2:$G$358,MATCH($A553,'BASE METAS DIÁRIAS'!$A$2:$A$358,0),MOD(ROW()-2,6)+1),""),"")</f>
        <v/>
      </c>
      <c r="H553" s="159">
        <f>IFERROR(IF(INDEX('CONTROLE PRODUÇÃO POR EMPRESAS'!$B$6:$G$5000,MATCH($A553,'CONTROLE PRODUÇÃO POR EMPRESAS'!$A$6:$A$5000,0),MOD(ROW()-2,6)+1)="","",IFERROR(1*INDEX('CONTROLE PRODUÇÃO POR EMPRESAS'!$B$6:$G$5000,MATCH($A553,'CONTROLE PRODUÇÃO POR EMPRESAS'!$A$6:$A$5000,0),MOD(ROW()-2,6)+1),"")),"")</f>
        <v/>
      </c>
      <c r="I553" s="159">
        <f>IF(OR(NOT(ISNUMBER(G553)),NOT(ISNUMBER(H553))),"",H553-G553)</f>
        <v/>
      </c>
      <c r="J553" s="319">
        <f>IF(OR(NOT(ISNUMBER(G553)),NOT(ISNUMBER(H553)),G553=0),"",I553/G553)</f>
        <v/>
      </c>
      <c r="K553" s="319">
        <f>IF(OR(NOT(ISNUMBER(G553)),NOT(ISNUMBER(H553)),G553=0),"",H553/G553)</f>
        <v/>
      </c>
      <c r="L553">
        <f>IF(NOT(ISNUMBER(G553)),"SEM META",IF(G553=0,"SEM META",IF(NOT(ISNUMBER(H553)),"SEM APONTAMENTO",IF(H553&gt;=G553,"VERDE",IF(H553&gt;=G553*0.9,"AMARELO","VERMELHO")))))</f>
        <v/>
      </c>
      <c r="M553" s="162" t="n"/>
      <c r="N553" s="162" t="n"/>
      <c r="O553" s="162" t="n"/>
      <c r="P553" s="162" t="n"/>
      <c r="Q553" s="320" t="n"/>
      <c r="R553" s="162" t="inlineStr">
        <is>
          <t>CONTROLE PRODUÇÃO POR EMPRESAS!G97</t>
        </is>
      </c>
    </row>
    <row r="554" ht="28.5" customHeight="1">
      <c r="A554" s="317" t="n">
        <v>46315</v>
      </c>
      <c r="B554" t="inlineStr">
        <is>
          <t>GERAL</t>
        </is>
      </c>
      <c r="C554" t="inlineStr">
        <is>
          <t>EJ</t>
        </is>
      </c>
      <c r="D554" t="inlineStr">
        <is>
          <t>PREMONTAGEM</t>
        </is>
      </c>
      <c r="F554" s="159">
        <f>IFERROR(INDEX('BASE METAS DIÁRIAS'!$N$2:$S$358,MATCH($A554,'BASE METAS DIÁRIAS'!$A$2:$A$358,0),MOD(ROW()-2,6)+1),"")</f>
        <v/>
      </c>
      <c r="G554" s="159">
        <f>IFERROR(IF(WEEKDAY($A554,2)&lt;=INDEX('BASE METAS DIÁRIAS'!$H$2:$M$358,MATCH($A554,'BASE METAS DIÁRIAS'!$A$2:$A$358,0),MOD(ROW()-2,6)+1),INDEX('BASE METAS DIÁRIAS'!$B$2:$G$358,MATCH($A554,'BASE METAS DIÁRIAS'!$A$2:$A$358,0),MOD(ROW()-2,6)+1),""),"")</f>
        <v/>
      </c>
      <c r="H554" s="159">
        <f>IFERROR(IF(INDEX('CONTROLE PRODUÇÃO POR EMPRESAS'!$B$6:$G$5000,MATCH($A554,'CONTROLE PRODUÇÃO POR EMPRESAS'!$A$6:$A$5000,0),MOD(ROW()-2,6)+1)="","",IFERROR(1*INDEX('CONTROLE PRODUÇÃO POR EMPRESAS'!$B$6:$G$5000,MATCH($A554,'CONTROLE PRODUÇÃO POR EMPRESAS'!$A$6:$A$5000,0),MOD(ROW()-2,6)+1),"")),"")</f>
        <v/>
      </c>
      <c r="I554" s="159">
        <f>IF(OR(NOT(ISNUMBER(G554)),NOT(ISNUMBER(H554))),"",H554-G554)</f>
        <v/>
      </c>
      <c r="J554" s="319">
        <f>IF(OR(NOT(ISNUMBER(G554)),NOT(ISNUMBER(H554)),G554=0),"",I554/G554)</f>
        <v/>
      </c>
      <c r="K554" s="319">
        <f>IF(OR(NOT(ISNUMBER(G554)),NOT(ISNUMBER(H554)),G554=0),"",H554/G554)</f>
        <v/>
      </c>
      <c r="L554">
        <f>IF(NOT(ISNUMBER(G554)),"SEM META",IF(G554=0,"SEM META",IF(NOT(ISNUMBER(H554)),"SEM APONTAMENTO",IF(H554&gt;=G554,"VERDE",IF(H554&gt;=G554*0.9,"AMARELO","VERMELHO")))))</f>
        <v/>
      </c>
      <c r="M554" s="162" t="n"/>
      <c r="N554" s="162" t="n"/>
      <c r="O554" s="162" t="n"/>
      <c r="P554" s="162" t="n"/>
      <c r="Q554" s="320" t="n"/>
      <c r="R554" s="162" t="inlineStr">
        <is>
          <t>CONTROLE PRODUÇÃO POR EMPRESAS!B98</t>
        </is>
      </c>
    </row>
    <row r="555" ht="28.5" customHeight="1">
      <c r="A555" s="317" t="n">
        <v>46315</v>
      </c>
      <c r="B555" t="inlineStr">
        <is>
          <t>GERAL</t>
        </is>
      </c>
      <c r="C555" t="inlineStr">
        <is>
          <t>EJ</t>
        </is>
      </c>
      <c r="D555" t="inlineStr">
        <is>
          <t>IÇAMENTO JOIST</t>
        </is>
      </c>
      <c r="F555" s="159">
        <f>IFERROR(INDEX('BASE METAS DIÁRIAS'!$N$2:$S$358,MATCH($A555,'BASE METAS DIÁRIAS'!$A$2:$A$358,0),MOD(ROW()-2,6)+1),"")</f>
        <v/>
      </c>
      <c r="G555" s="159">
        <f>IFERROR(IF(WEEKDAY($A555,2)&lt;=INDEX('BASE METAS DIÁRIAS'!$H$2:$M$358,MATCH($A555,'BASE METAS DIÁRIAS'!$A$2:$A$358,0),MOD(ROW()-2,6)+1),INDEX('BASE METAS DIÁRIAS'!$B$2:$G$358,MATCH($A555,'BASE METAS DIÁRIAS'!$A$2:$A$358,0),MOD(ROW()-2,6)+1),""),"")</f>
        <v/>
      </c>
      <c r="H555" s="159">
        <f>IFERROR(IF(INDEX('CONTROLE PRODUÇÃO POR EMPRESAS'!$B$6:$G$5000,MATCH($A555,'CONTROLE PRODUÇÃO POR EMPRESAS'!$A$6:$A$5000,0),MOD(ROW()-2,6)+1)="","",IFERROR(1*INDEX('CONTROLE PRODUÇÃO POR EMPRESAS'!$B$6:$G$5000,MATCH($A555,'CONTROLE PRODUÇÃO POR EMPRESAS'!$A$6:$A$5000,0),MOD(ROW()-2,6)+1),"")),"")</f>
        <v/>
      </c>
      <c r="I555" s="159">
        <f>IF(OR(NOT(ISNUMBER(G555)),NOT(ISNUMBER(H555))),"",H555-G555)</f>
        <v/>
      </c>
      <c r="J555" s="319">
        <f>IF(OR(NOT(ISNUMBER(G555)),NOT(ISNUMBER(H555)),G555=0),"",I555/G555)</f>
        <v/>
      </c>
      <c r="K555" s="319">
        <f>IF(OR(NOT(ISNUMBER(G555)),NOT(ISNUMBER(H555)),G555=0),"",H555/G555)</f>
        <v/>
      </c>
      <c r="L555">
        <f>IF(NOT(ISNUMBER(G555)),"SEM META",IF(G555=0,"SEM META",IF(NOT(ISNUMBER(H555)),"SEM APONTAMENTO",IF(H555&gt;=G555,"VERDE",IF(H555&gt;=G555*0.9,"AMARELO","VERMELHO")))))</f>
        <v/>
      </c>
      <c r="M555" s="162" t="n"/>
      <c r="N555" s="162" t="n"/>
      <c r="O555" s="162" t="n"/>
      <c r="P555" s="162" t="n"/>
      <c r="Q555" s="320" t="n"/>
      <c r="R555" s="162" t="inlineStr">
        <is>
          <t>CONTROLE PRODUÇÃO POR EMPRESAS!C98</t>
        </is>
      </c>
    </row>
    <row r="556" ht="28.5" customHeight="1">
      <c r="A556" s="317" t="n">
        <v>46315</v>
      </c>
      <c r="B556" t="inlineStr">
        <is>
          <t>GERAL</t>
        </is>
      </c>
      <c r="C556" t="inlineStr">
        <is>
          <t>EJ</t>
        </is>
      </c>
      <c r="D556" t="inlineStr">
        <is>
          <t>VIGAS</t>
        </is>
      </c>
      <c r="F556" s="159">
        <f>IFERROR(INDEX('BASE METAS DIÁRIAS'!$N$2:$S$358,MATCH($A556,'BASE METAS DIÁRIAS'!$A$2:$A$358,0),MOD(ROW()-2,6)+1),"")</f>
        <v/>
      </c>
      <c r="G556" s="159">
        <f>IFERROR(IF(WEEKDAY($A556,2)&lt;=INDEX('BASE METAS DIÁRIAS'!$H$2:$M$358,MATCH($A556,'BASE METAS DIÁRIAS'!$A$2:$A$358,0),MOD(ROW()-2,6)+1),INDEX('BASE METAS DIÁRIAS'!$B$2:$G$358,MATCH($A556,'BASE METAS DIÁRIAS'!$A$2:$A$358,0),MOD(ROW()-2,6)+1),""),"")</f>
        <v/>
      </c>
      <c r="H556" s="159">
        <f>IFERROR(IF(INDEX('CONTROLE PRODUÇÃO POR EMPRESAS'!$B$6:$G$5000,MATCH($A556,'CONTROLE PRODUÇÃO POR EMPRESAS'!$A$6:$A$5000,0),MOD(ROW()-2,6)+1)="","",IFERROR(1*INDEX('CONTROLE PRODUÇÃO POR EMPRESAS'!$B$6:$G$5000,MATCH($A556,'CONTROLE PRODUÇÃO POR EMPRESAS'!$A$6:$A$5000,0),MOD(ROW()-2,6)+1),"")),"")</f>
        <v/>
      </c>
      <c r="I556" s="159">
        <f>IF(OR(NOT(ISNUMBER(G556)),NOT(ISNUMBER(H556))),"",H556-G556)</f>
        <v/>
      </c>
      <c r="J556" s="319">
        <f>IF(OR(NOT(ISNUMBER(G556)),NOT(ISNUMBER(H556)),G556=0),"",I556/G556)</f>
        <v/>
      </c>
      <c r="K556" s="319">
        <f>IF(OR(NOT(ISNUMBER(G556)),NOT(ISNUMBER(H556)),G556=0),"",H556/G556)</f>
        <v/>
      </c>
      <c r="L556">
        <f>IF(NOT(ISNUMBER(G556)),"SEM META",IF(G556=0,"SEM META",IF(NOT(ISNUMBER(H556)),"SEM APONTAMENTO",IF(H556&gt;=G556,"VERDE",IF(H556&gt;=G556*0.9,"AMARELO","VERMELHO")))))</f>
        <v/>
      </c>
      <c r="M556" s="162" t="n"/>
      <c r="N556" s="162" t="n"/>
      <c r="O556" s="162" t="n"/>
      <c r="P556" s="162" t="n"/>
      <c r="Q556" s="320" t="n"/>
      <c r="R556" s="162" t="inlineStr">
        <is>
          <t>CONTROLE PRODUÇÃO POR EMPRESAS!D98</t>
        </is>
      </c>
    </row>
    <row r="557" ht="28.5" customHeight="1">
      <c r="A557" s="317" t="n">
        <v>46315</v>
      </c>
      <c r="B557" t="inlineStr">
        <is>
          <t>GERAL</t>
        </is>
      </c>
      <c r="C557" t="inlineStr">
        <is>
          <t>CMM</t>
        </is>
      </c>
      <c r="D557" t="inlineStr">
        <is>
          <t>PREMONTAGEM</t>
        </is>
      </c>
      <c r="F557" s="159">
        <f>IFERROR(INDEX('BASE METAS DIÁRIAS'!$N$2:$S$358,MATCH($A557,'BASE METAS DIÁRIAS'!$A$2:$A$358,0),MOD(ROW()-2,6)+1),"")</f>
        <v/>
      </c>
      <c r="G557" s="159">
        <f>IFERROR(IF(WEEKDAY($A557,2)&lt;=INDEX('BASE METAS DIÁRIAS'!$H$2:$M$358,MATCH($A557,'BASE METAS DIÁRIAS'!$A$2:$A$358,0),MOD(ROW()-2,6)+1),INDEX('BASE METAS DIÁRIAS'!$B$2:$G$358,MATCH($A557,'BASE METAS DIÁRIAS'!$A$2:$A$358,0),MOD(ROW()-2,6)+1),""),"")</f>
        <v/>
      </c>
      <c r="H557" s="159">
        <f>IFERROR(IF(INDEX('CONTROLE PRODUÇÃO POR EMPRESAS'!$B$6:$G$5000,MATCH($A557,'CONTROLE PRODUÇÃO POR EMPRESAS'!$A$6:$A$5000,0),MOD(ROW()-2,6)+1)="","",IFERROR(1*INDEX('CONTROLE PRODUÇÃO POR EMPRESAS'!$B$6:$G$5000,MATCH($A557,'CONTROLE PRODUÇÃO POR EMPRESAS'!$A$6:$A$5000,0),MOD(ROW()-2,6)+1),"")),"")</f>
        <v/>
      </c>
      <c r="I557" s="159">
        <f>IF(OR(NOT(ISNUMBER(G557)),NOT(ISNUMBER(H557))),"",H557-G557)</f>
        <v/>
      </c>
      <c r="J557" s="319">
        <f>IF(OR(NOT(ISNUMBER(G557)),NOT(ISNUMBER(H557)),G557=0),"",I557/G557)</f>
        <v/>
      </c>
      <c r="K557" s="319">
        <f>IF(OR(NOT(ISNUMBER(G557)),NOT(ISNUMBER(H557)),G557=0),"",H557/G557)</f>
        <v/>
      </c>
      <c r="L557">
        <f>IF(NOT(ISNUMBER(G557)),"SEM META",IF(G557=0,"SEM META",IF(NOT(ISNUMBER(H557)),"SEM APONTAMENTO",IF(H557&gt;=G557,"VERDE",IF(H557&gt;=G557*0.9,"AMARELO","VERMELHO")))))</f>
        <v/>
      </c>
      <c r="M557" s="162" t="n"/>
      <c r="N557" s="162" t="n"/>
      <c r="O557" s="162" t="n"/>
      <c r="P557" s="162" t="n"/>
      <c r="Q557" s="320" t="n"/>
      <c r="R557" s="162" t="inlineStr">
        <is>
          <t>CONTROLE PRODUÇÃO POR EMPRESAS!E98</t>
        </is>
      </c>
    </row>
    <row r="558" ht="28.5" customHeight="1">
      <c r="A558" s="317" t="n">
        <v>46315</v>
      </c>
      <c r="B558" t="inlineStr">
        <is>
          <t>GERAL</t>
        </is>
      </c>
      <c r="C558" t="inlineStr">
        <is>
          <t>CMM</t>
        </is>
      </c>
      <c r="D558" t="inlineStr">
        <is>
          <t>IÇAMENTO JOIST</t>
        </is>
      </c>
      <c r="F558" s="159">
        <f>IFERROR(INDEX('BASE METAS DIÁRIAS'!$N$2:$S$358,MATCH($A558,'BASE METAS DIÁRIAS'!$A$2:$A$358,0),MOD(ROW()-2,6)+1),"")</f>
        <v/>
      </c>
      <c r="G558" s="159">
        <f>IFERROR(IF(WEEKDAY($A558,2)&lt;=INDEX('BASE METAS DIÁRIAS'!$H$2:$M$358,MATCH($A558,'BASE METAS DIÁRIAS'!$A$2:$A$358,0),MOD(ROW()-2,6)+1),INDEX('BASE METAS DIÁRIAS'!$B$2:$G$358,MATCH($A558,'BASE METAS DIÁRIAS'!$A$2:$A$358,0),MOD(ROW()-2,6)+1),""),"")</f>
        <v/>
      </c>
      <c r="H558" s="159">
        <f>IFERROR(IF(INDEX('CONTROLE PRODUÇÃO POR EMPRESAS'!$B$6:$G$5000,MATCH($A558,'CONTROLE PRODUÇÃO POR EMPRESAS'!$A$6:$A$5000,0),MOD(ROW()-2,6)+1)="","",IFERROR(1*INDEX('CONTROLE PRODUÇÃO POR EMPRESAS'!$B$6:$G$5000,MATCH($A558,'CONTROLE PRODUÇÃO POR EMPRESAS'!$A$6:$A$5000,0),MOD(ROW()-2,6)+1),"")),"")</f>
        <v/>
      </c>
      <c r="I558" s="159">
        <f>IF(OR(NOT(ISNUMBER(G558)),NOT(ISNUMBER(H558))),"",H558-G558)</f>
        <v/>
      </c>
      <c r="J558" s="319">
        <f>IF(OR(NOT(ISNUMBER(G558)),NOT(ISNUMBER(H558)),G558=0),"",I558/G558)</f>
        <v/>
      </c>
      <c r="K558" s="319">
        <f>IF(OR(NOT(ISNUMBER(G558)),NOT(ISNUMBER(H558)),G558=0),"",H558/G558)</f>
        <v/>
      </c>
      <c r="L558">
        <f>IF(NOT(ISNUMBER(G558)),"SEM META",IF(G558=0,"SEM META",IF(NOT(ISNUMBER(H558)),"SEM APONTAMENTO",IF(H558&gt;=G558,"VERDE",IF(H558&gt;=G558*0.9,"AMARELO","VERMELHO")))))</f>
        <v/>
      </c>
      <c r="M558" s="162" t="n"/>
      <c r="N558" s="162" t="n"/>
      <c r="O558" s="162" t="n"/>
      <c r="P558" s="162" t="n"/>
      <c r="Q558" s="320" t="n"/>
      <c r="R558" s="162" t="inlineStr">
        <is>
          <t>CONTROLE PRODUÇÃO POR EMPRESAS!F98</t>
        </is>
      </c>
    </row>
    <row r="559" ht="28.5" customHeight="1">
      <c r="A559" s="317" t="n">
        <v>46315</v>
      </c>
      <c r="B559" t="inlineStr">
        <is>
          <t>GERAL</t>
        </is>
      </c>
      <c r="C559" t="inlineStr">
        <is>
          <t>CMM</t>
        </is>
      </c>
      <c r="D559" t="inlineStr">
        <is>
          <t>VIGAS</t>
        </is>
      </c>
      <c r="F559" s="159">
        <f>IFERROR(INDEX('BASE METAS DIÁRIAS'!$N$2:$S$358,MATCH($A559,'BASE METAS DIÁRIAS'!$A$2:$A$358,0),MOD(ROW()-2,6)+1),"")</f>
        <v/>
      </c>
      <c r="G559" s="159">
        <f>IFERROR(IF(WEEKDAY($A559,2)&lt;=INDEX('BASE METAS DIÁRIAS'!$H$2:$M$358,MATCH($A559,'BASE METAS DIÁRIAS'!$A$2:$A$358,0),MOD(ROW()-2,6)+1),INDEX('BASE METAS DIÁRIAS'!$B$2:$G$358,MATCH($A559,'BASE METAS DIÁRIAS'!$A$2:$A$358,0),MOD(ROW()-2,6)+1),""),"")</f>
        <v/>
      </c>
      <c r="H559" s="159">
        <f>IFERROR(IF(INDEX('CONTROLE PRODUÇÃO POR EMPRESAS'!$B$6:$G$5000,MATCH($A559,'CONTROLE PRODUÇÃO POR EMPRESAS'!$A$6:$A$5000,0),MOD(ROW()-2,6)+1)="","",IFERROR(1*INDEX('CONTROLE PRODUÇÃO POR EMPRESAS'!$B$6:$G$5000,MATCH($A559,'CONTROLE PRODUÇÃO POR EMPRESAS'!$A$6:$A$5000,0),MOD(ROW()-2,6)+1),"")),"")</f>
        <v/>
      </c>
      <c r="I559" s="159">
        <f>IF(OR(NOT(ISNUMBER(G559)),NOT(ISNUMBER(H559))),"",H559-G559)</f>
        <v/>
      </c>
      <c r="J559" s="319">
        <f>IF(OR(NOT(ISNUMBER(G559)),NOT(ISNUMBER(H559)),G559=0),"",I559/G559)</f>
        <v/>
      </c>
      <c r="K559" s="319">
        <f>IF(OR(NOT(ISNUMBER(G559)),NOT(ISNUMBER(H559)),G559=0),"",H559/G559)</f>
        <v/>
      </c>
      <c r="L559">
        <f>IF(NOT(ISNUMBER(G559)),"SEM META",IF(G559=0,"SEM META",IF(NOT(ISNUMBER(H559)),"SEM APONTAMENTO",IF(H559&gt;=G559,"VERDE",IF(H559&gt;=G559*0.9,"AMARELO","VERMELHO")))))</f>
        <v/>
      </c>
      <c r="M559" s="162" t="n"/>
      <c r="N559" s="162" t="n"/>
      <c r="O559" s="162" t="n"/>
      <c r="P559" s="162" t="n"/>
      <c r="Q559" s="320" t="n"/>
      <c r="R559" s="162" t="inlineStr">
        <is>
          <t>CONTROLE PRODUÇÃO POR EMPRESAS!G98</t>
        </is>
      </c>
    </row>
    <row r="560" ht="28.5" customHeight="1">
      <c r="A560" s="317" t="n">
        <v>46316</v>
      </c>
      <c r="B560" t="inlineStr">
        <is>
          <t>GERAL</t>
        </is>
      </c>
      <c r="C560" t="inlineStr">
        <is>
          <t>EJ</t>
        </is>
      </c>
      <c r="D560" t="inlineStr">
        <is>
          <t>PREMONTAGEM</t>
        </is>
      </c>
      <c r="F560" s="159">
        <f>IFERROR(INDEX('BASE METAS DIÁRIAS'!$N$2:$S$358,MATCH($A560,'BASE METAS DIÁRIAS'!$A$2:$A$358,0),MOD(ROW()-2,6)+1),"")</f>
        <v/>
      </c>
      <c r="G560" s="159">
        <f>IFERROR(IF(WEEKDAY($A560,2)&lt;=INDEX('BASE METAS DIÁRIAS'!$H$2:$M$358,MATCH($A560,'BASE METAS DIÁRIAS'!$A$2:$A$358,0),MOD(ROW()-2,6)+1),INDEX('BASE METAS DIÁRIAS'!$B$2:$G$358,MATCH($A560,'BASE METAS DIÁRIAS'!$A$2:$A$358,0),MOD(ROW()-2,6)+1),""),"")</f>
        <v/>
      </c>
      <c r="H560" s="159">
        <f>IFERROR(IF(INDEX('CONTROLE PRODUÇÃO POR EMPRESAS'!$B$6:$G$5000,MATCH($A560,'CONTROLE PRODUÇÃO POR EMPRESAS'!$A$6:$A$5000,0),MOD(ROW()-2,6)+1)="","",IFERROR(1*INDEX('CONTROLE PRODUÇÃO POR EMPRESAS'!$B$6:$G$5000,MATCH($A560,'CONTROLE PRODUÇÃO POR EMPRESAS'!$A$6:$A$5000,0),MOD(ROW()-2,6)+1),"")),"")</f>
        <v/>
      </c>
      <c r="I560" s="159">
        <f>IF(OR(NOT(ISNUMBER(G560)),NOT(ISNUMBER(H560))),"",H560-G560)</f>
        <v/>
      </c>
      <c r="J560" s="319">
        <f>IF(OR(NOT(ISNUMBER(G560)),NOT(ISNUMBER(H560)),G560=0),"",I560/G560)</f>
        <v/>
      </c>
      <c r="K560" s="319">
        <f>IF(OR(NOT(ISNUMBER(G560)),NOT(ISNUMBER(H560)),G560=0),"",H560/G560)</f>
        <v/>
      </c>
      <c r="L560">
        <f>IF(NOT(ISNUMBER(G560)),"SEM META",IF(G560=0,"SEM META",IF(NOT(ISNUMBER(H560)),"SEM APONTAMENTO",IF(H560&gt;=G560,"VERDE",IF(H560&gt;=G560*0.9,"AMARELO","VERMELHO")))))</f>
        <v/>
      </c>
      <c r="M560" s="162" t="n"/>
      <c r="N560" s="162" t="n"/>
      <c r="O560" s="162" t="n"/>
      <c r="P560" s="162" t="n"/>
      <c r="Q560" s="320" t="n"/>
      <c r="R560" s="162" t="inlineStr">
        <is>
          <t>CONTROLE PRODUÇÃO POR EMPRESAS!B99</t>
        </is>
      </c>
    </row>
    <row r="561" ht="28.5" customHeight="1">
      <c r="A561" s="317" t="n">
        <v>46316</v>
      </c>
      <c r="B561" t="inlineStr">
        <is>
          <t>GERAL</t>
        </is>
      </c>
      <c r="C561" t="inlineStr">
        <is>
          <t>EJ</t>
        </is>
      </c>
      <c r="D561" t="inlineStr">
        <is>
          <t>IÇAMENTO JOIST</t>
        </is>
      </c>
      <c r="F561" s="159">
        <f>IFERROR(INDEX('BASE METAS DIÁRIAS'!$N$2:$S$358,MATCH($A561,'BASE METAS DIÁRIAS'!$A$2:$A$358,0),MOD(ROW()-2,6)+1),"")</f>
        <v/>
      </c>
      <c r="G561" s="159">
        <f>IFERROR(IF(WEEKDAY($A561,2)&lt;=INDEX('BASE METAS DIÁRIAS'!$H$2:$M$358,MATCH($A561,'BASE METAS DIÁRIAS'!$A$2:$A$358,0),MOD(ROW()-2,6)+1),INDEX('BASE METAS DIÁRIAS'!$B$2:$G$358,MATCH($A561,'BASE METAS DIÁRIAS'!$A$2:$A$358,0),MOD(ROW()-2,6)+1),""),"")</f>
        <v/>
      </c>
      <c r="H561" s="159">
        <f>IFERROR(IF(INDEX('CONTROLE PRODUÇÃO POR EMPRESAS'!$B$6:$G$5000,MATCH($A561,'CONTROLE PRODUÇÃO POR EMPRESAS'!$A$6:$A$5000,0),MOD(ROW()-2,6)+1)="","",IFERROR(1*INDEX('CONTROLE PRODUÇÃO POR EMPRESAS'!$B$6:$G$5000,MATCH($A561,'CONTROLE PRODUÇÃO POR EMPRESAS'!$A$6:$A$5000,0),MOD(ROW()-2,6)+1),"")),"")</f>
        <v/>
      </c>
      <c r="I561" s="159">
        <f>IF(OR(NOT(ISNUMBER(G561)),NOT(ISNUMBER(H561))),"",H561-G561)</f>
        <v/>
      </c>
      <c r="J561" s="319">
        <f>IF(OR(NOT(ISNUMBER(G561)),NOT(ISNUMBER(H561)),G561=0),"",I561/G561)</f>
        <v/>
      </c>
      <c r="K561" s="319">
        <f>IF(OR(NOT(ISNUMBER(G561)),NOT(ISNUMBER(H561)),G561=0),"",H561/G561)</f>
        <v/>
      </c>
      <c r="L561">
        <f>IF(NOT(ISNUMBER(G561)),"SEM META",IF(G561=0,"SEM META",IF(NOT(ISNUMBER(H561)),"SEM APONTAMENTO",IF(H561&gt;=G561,"VERDE",IF(H561&gt;=G561*0.9,"AMARELO","VERMELHO")))))</f>
        <v/>
      </c>
      <c r="M561" s="162" t="n"/>
      <c r="N561" s="162" t="n"/>
      <c r="O561" s="162" t="n"/>
      <c r="P561" s="162" t="n"/>
      <c r="Q561" s="320" t="n"/>
      <c r="R561" s="162" t="inlineStr">
        <is>
          <t>CONTROLE PRODUÇÃO POR EMPRESAS!C99</t>
        </is>
      </c>
    </row>
    <row r="562" ht="28.5" customHeight="1">
      <c r="A562" s="317" t="n">
        <v>46316</v>
      </c>
      <c r="B562" t="inlineStr">
        <is>
          <t>GERAL</t>
        </is>
      </c>
      <c r="C562" t="inlineStr">
        <is>
          <t>EJ</t>
        </is>
      </c>
      <c r="D562" t="inlineStr">
        <is>
          <t>VIGAS</t>
        </is>
      </c>
      <c r="F562" s="159">
        <f>IFERROR(INDEX('BASE METAS DIÁRIAS'!$N$2:$S$358,MATCH($A562,'BASE METAS DIÁRIAS'!$A$2:$A$358,0),MOD(ROW()-2,6)+1),"")</f>
        <v/>
      </c>
      <c r="G562" s="159">
        <f>IFERROR(IF(WEEKDAY($A562,2)&lt;=INDEX('BASE METAS DIÁRIAS'!$H$2:$M$358,MATCH($A562,'BASE METAS DIÁRIAS'!$A$2:$A$358,0),MOD(ROW()-2,6)+1),INDEX('BASE METAS DIÁRIAS'!$B$2:$G$358,MATCH($A562,'BASE METAS DIÁRIAS'!$A$2:$A$358,0),MOD(ROW()-2,6)+1),""),"")</f>
        <v/>
      </c>
      <c r="H562" s="159">
        <f>IFERROR(IF(INDEX('CONTROLE PRODUÇÃO POR EMPRESAS'!$B$6:$G$5000,MATCH($A562,'CONTROLE PRODUÇÃO POR EMPRESAS'!$A$6:$A$5000,0),MOD(ROW()-2,6)+1)="","",IFERROR(1*INDEX('CONTROLE PRODUÇÃO POR EMPRESAS'!$B$6:$G$5000,MATCH($A562,'CONTROLE PRODUÇÃO POR EMPRESAS'!$A$6:$A$5000,0),MOD(ROW()-2,6)+1),"")),"")</f>
        <v/>
      </c>
      <c r="I562" s="159">
        <f>IF(OR(NOT(ISNUMBER(G562)),NOT(ISNUMBER(H562))),"",H562-G562)</f>
        <v/>
      </c>
      <c r="J562" s="319">
        <f>IF(OR(NOT(ISNUMBER(G562)),NOT(ISNUMBER(H562)),G562=0),"",I562/G562)</f>
        <v/>
      </c>
      <c r="K562" s="319">
        <f>IF(OR(NOT(ISNUMBER(G562)),NOT(ISNUMBER(H562)),G562=0),"",H562/G562)</f>
        <v/>
      </c>
      <c r="L562">
        <f>IF(NOT(ISNUMBER(G562)),"SEM META",IF(G562=0,"SEM META",IF(NOT(ISNUMBER(H562)),"SEM APONTAMENTO",IF(H562&gt;=G562,"VERDE",IF(H562&gt;=G562*0.9,"AMARELO","VERMELHO")))))</f>
        <v/>
      </c>
      <c r="M562" s="162" t="n"/>
      <c r="N562" s="162" t="n"/>
      <c r="O562" s="162" t="n"/>
      <c r="P562" s="162" t="n"/>
      <c r="Q562" s="320" t="n"/>
      <c r="R562" s="162" t="inlineStr">
        <is>
          <t>CONTROLE PRODUÇÃO POR EMPRESAS!D99</t>
        </is>
      </c>
    </row>
    <row r="563" ht="28.5" customHeight="1">
      <c r="A563" s="317" t="n">
        <v>46316</v>
      </c>
      <c r="B563" t="inlineStr">
        <is>
          <t>GERAL</t>
        </is>
      </c>
      <c r="C563" t="inlineStr">
        <is>
          <t>CMM</t>
        </is>
      </c>
      <c r="D563" t="inlineStr">
        <is>
          <t>PREMONTAGEM</t>
        </is>
      </c>
      <c r="F563" s="159">
        <f>IFERROR(INDEX('BASE METAS DIÁRIAS'!$N$2:$S$358,MATCH($A563,'BASE METAS DIÁRIAS'!$A$2:$A$358,0),MOD(ROW()-2,6)+1),"")</f>
        <v/>
      </c>
      <c r="G563" s="159">
        <f>IFERROR(IF(WEEKDAY($A563,2)&lt;=INDEX('BASE METAS DIÁRIAS'!$H$2:$M$358,MATCH($A563,'BASE METAS DIÁRIAS'!$A$2:$A$358,0),MOD(ROW()-2,6)+1),INDEX('BASE METAS DIÁRIAS'!$B$2:$G$358,MATCH($A563,'BASE METAS DIÁRIAS'!$A$2:$A$358,0),MOD(ROW()-2,6)+1),""),"")</f>
        <v/>
      </c>
      <c r="H563" s="159">
        <f>IFERROR(IF(INDEX('CONTROLE PRODUÇÃO POR EMPRESAS'!$B$6:$G$5000,MATCH($A563,'CONTROLE PRODUÇÃO POR EMPRESAS'!$A$6:$A$5000,0),MOD(ROW()-2,6)+1)="","",IFERROR(1*INDEX('CONTROLE PRODUÇÃO POR EMPRESAS'!$B$6:$G$5000,MATCH($A563,'CONTROLE PRODUÇÃO POR EMPRESAS'!$A$6:$A$5000,0),MOD(ROW()-2,6)+1),"")),"")</f>
        <v/>
      </c>
      <c r="I563" s="159">
        <f>IF(OR(NOT(ISNUMBER(G563)),NOT(ISNUMBER(H563))),"",H563-G563)</f>
        <v/>
      </c>
      <c r="J563" s="319">
        <f>IF(OR(NOT(ISNUMBER(G563)),NOT(ISNUMBER(H563)),G563=0),"",I563/G563)</f>
        <v/>
      </c>
      <c r="K563" s="319">
        <f>IF(OR(NOT(ISNUMBER(G563)),NOT(ISNUMBER(H563)),G563=0),"",H563/G563)</f>
        <v/>
      </c>
      <c r="L563">
        <f>IF(NOT(ISNUMBER(G563)),"SEM META",IF(G563=0,"SEM META",IF(NOT(ISNUMBER(H563)),"SEM APONTAMENTO",IF(H563&gt;=G563,"VERDE",IF(H563&gt;=G563*0.9,"AMARELO","VERMELHO")))))</f>
        <v/>
      </c>
      <c r="M563" s="162" t="n"/>
      <c r="N563" s="162" t="n"/>
      <c r="O563" s="162" t="n"/>
      <c r="P563" s="162" t="n"/>
      <c r="Q563" s="320" t="n"/>
      <c r="R563" s="162" t="inlineStr">
        <is>
          <t>CONTROLE PRODUÇÃO POR EMPRESAS!E99</t>
        </is>
      </c>
    </row>
    <row r="564" ht="28.5" customHeight="1">
      <c r="A564" s="317" t="n">
        <v>46316</v>
      </c>
      <c r="B564" t="inlineStr">
        <is>
          <t>GERAL</t>
        </is>
      </c>
      <c r="C564" t="inlineStr">
        <is>
          <t>CMM</t>
        </is>
      </c>
      <c r="D564" t="inlineStr">
        <is>
          <t>IÇAMENTO JOIST</t>
        </is>
      </c>
      <c r="F564" s="159">
        <f>IFERROR(INDEX('BASE METAS DIÁRIAS'!$N$2:$S$358,MATCH($A564,'BASE METAS DIÁRIAS'!$A$2:$A$358,0),MOD(ROW()-2,6)+1),"")</f>
        <v/>
      </c>
      <c r="G564" s="159">
        <f>IFERROR(IF(WEEKDAY($A564,2)&lt;=INDEX('BASE METAS DIÁRIAS'!$H$2:$M$358,MATCH($A564,'BASE METAS DIÁRIAS'!$A$2:$A$358,0),MOD(ROW()-2,6)+1),INDEX('BASE METAS DIÁRIAS'!$B$2:$G$358,MATCH($A564,'BASE METAS DIÁRIAS'!$A$2:$A$358,0),MOD(ROW()-2,6)+1),""),"")</f>
        <v/>
      </c>
      <c r="H564" s="159">
        <f>IFERROR(IF(INDEX('CONTROLE PRODUÇÃO POR EMPRESAS'!$B$6:$G$5000,MATCH($A564,'CONTROLE PRODUÇÃO POR EMPRESAS'!$A$6:$A$5000,0),MOD(ROW()-2,6)+1)="","",IFERROR(1*INDEX('CONTROLE PRODUÇÃO POR EMPRESAS'!$B$6:$G$5000,MATCH($A564,'CONTROLE PRODUÇÃO POR EMPRESAS'!$A$6:$A$5000,0),MOD(ROW()-2,6)+1),"")),"")</f>
        <v/>
      </c>
      <c r="I564" s="159">
        <f>IF(OR(NOT(ISNUMBER(G564)),NOT(ISNUMBER(H564))),"",H564-G564)</f>
        <v/>
      </c>
      <c r="J564" s="319">
        <f>IF(OR(NOT(ISNUMBER(G564)),NOT(ISNUMBER(H564)),G564=0),"",I564/G564)</f>
        <v/>
      </c>
      <c r="K564" s="319">
        <f>IF(OR(NOT(ISNUMBER(G564)),NOT(ISNUMBER(H564)),G564=0),"",H564/G564)</f>
        <v/>
      </c>
      <c r="L564">
        <f>IF(NOT(ISNUMBER(G564)),"SEM META",IF(G564=0,"SEM META",IF(NOT(ISNUMBER(H564)),"SEM APONTAMENTO",IF(H564&gt;=G564,"VERDE",IF(H564&gt;=G564*0.9,"AMARELO","VERMELHO")))))</f>
        <v/>
      </c>
      <c r="M564" s="162" t="n"/>
      <c r="N564" s="162" t="n"/>
      <c r="O564" s="162" t="n"/>
      <c r="P564" s="162" t="n"/>
      <c r="Q564" s="320" t="n"/>
      <c r="R564" s="162" t="inlineStr">
        <is>
          <t>CONTROLE PRODUÇÃO POR EMPRESAS!F99</t>
        </is>
      </c>
    </row>
    <row r="565" ht="28.5" customHeight="1">
      <c r="A565" s="317" t="n">
        <v>46316</v>
      </c>
      <c r="B565" t="inlineStr">
        <is>
          <t>GERAL</t>
        </is>
      </c>
      <c r="C565" t="inlineStr">
        <is>
          <t>CMM</t>
        </is>
      </c>
      <c r="D565" t="inlineStr">
        <is>
          <t>VIGAS</t>
        </is>
      </c>
      <c r="F565" s="159">
        <f>IFERROR(INDEX('BASE METAS DIÁRIAS'!$N$2:$S$358,MATCH($A565,'BASE METAS DIÁRIAS'!$A$2:$A$358,0),MOD(ROW()-2,6)+1),"")</f>
        <v/>
      </c>
      <c r="G565" s="159">
        <f>IFERROR(IF(WEEKDAY($A565,2)&lt;=INDEX('BASE METAS DIÁRIAS'!$H$2:$M$358,MATCH($A565,'BASE METAS DIÁRIAS'!$A$2:$A$358,0),MOD(ROW()-2,6)+1),INDEX('BASE METAS DIÁRIAS'!$B$2:$G$358,MATCH($A565,'BASE METAS DIÁRIAS'!$A$2:$A$358,0),MOD(ROW()-2,6)+1),""),"")</f>
        <v/>
      </c>
      <c r="H565" s="159">
        <f>IFERROR(IF(INDEX('CONTROLE PRODUÇÃO POR EMPRESAS'!$B$6:$G$5000,MATCH($A565,'CONTROLE PRODUÇÃO POR EMPRESAS'!$A$6:$A$5000,0),MOD(ROW()-2,6)+1)="","",IFERROR(1*INDEX('CONTROLE PRODUÇÃO POR EMPRESAS'!$B$6:$G$5000,MATCH($A565,'CONTROLE PRODUÇÃO POR EMPRESAS'!$A$6:$A$5000,0),MOD(ROW()-2,6)+1),"")),"")</f>
        <v/>
      </c>
      <c r="I565" s="159">
        <f>IF(OR(NOT(ISNUMBER(G565)),NOT(ISNUMBER(H565))),"",H565-G565)</f>
        <v/>
      </c>
      <c r="J565" s="319">
        <f>IF(OR(NOT(ISNUMBER(G565)),NOT(ISNUMBER(H565)),G565=0),"",I565/G565)</f>
        <v/>
      </c>
      <c r="K565" s="319">
        <f>IF(OR(NOT(ISNUMBER(G565)),NOT(ISNUMBER(H565)),G565=0),"",H565/G565)</f>
        <v/>
      </c>
      <c r="L565">
        <f>IF(NOT(ISNUMBER(G565)),"SEM META",IF(G565=0,"SEM META",IF(NOT(ISNUMBER(H565)),"SEM APONTAMENTO",IF(H565&gt;=G565,"VERDE",IF(H565&gt;=G565*0.9,"AMARELO","VERMELHO")))))</f>
        <v/>
      </c>
      <c r="M565" s="162" t="n"/>
      <c r="N565" s="162" t="n"/>
      <c r="O565" s="162" t="n"/>
      <c r="P565" s="162" t="n"/>
      <c r="Q565" s="320" t="n"/>
      <c r="R565" s="162" t="inlineStr">
        <is>
          <t>CONTROLE PRODUÇÃO POR EMPRESAS!G99</t>
        </is>
      </c>
    </row>
    <row r="566" ht="28.5" customHeight="1">
      <c r="A566" s="317" t="n">
        <v>46317</v>
      </c>
      <c r="B566" t="inlineStr">
        <is>
          <t>GERAL</t>
        </is>
      </c>
      <c r="C566" t="inlineStr">
        <is>
          <t>EJ</t>
        </is>
      </c>
      <c r="D566" t="inlineStr">
        <is>
          <t>PREMONTAGEM</t>
        </is>
      </c>
      <c r="F566" s="159">
        <f>IFERROR(INDEX('BASE METAS DIÁRIAS'!$N$2:$S$358,MATCH($A566,'BASE METAS DIÁRIAS'!$A$2:$A$358,0),MOD(ROW()-2,6)+1),"")</f>
        <v/>
      </c>
      <c r="G566" s="159">
        <f>IFERROR(IF(WEEKDAY($A566,2)&lt;=INDEX('BASE METAS DIÁRIAS'!$H$2:$M$358,MATCH($A566,'BASE METAS DIÁRIAS'!$A$2:$A$358,0),MOD(ROW()-2,6)+1),INDEX('BASE METAS DIÁRIAS'!$B$2:$G$358,MATCH($A566,'BASE METAS DIÁRIAS'!$A$2:$A$358,0),MOD(ROW()-2,6)+1),""),"")</f>
        <v/>
      </c>
      <c r="H566" s="159">
        <f>IFERROR(IF(INDEX('CONTROLE PRODUÇÃO POR EMPRESAS'!$B$6:$G$5000,MATCH($A566,'CONTROLE PRODUÇÃO POR EMPRESAS'!$A$6:$A$5000,0),MOD(ROW()-2,6)+1)="","",IFERROR(1*INDEX('CONTROLE PRODUÇÃO POR EMPRESAS'!$B$6:$G$5000,MATCH($A566,'CONTROLE PRODUÇÃO POR EMPRESAS'!$A$6:$A$5000,0),MOD(ROW()-2,6)+1),"")),"")</f>
        <v/>
      </c>
      <c r="I566" s="159">
        <f>IF(OR(NOT(ISNUMBER(G566)),NOT(ISNUMBER(H566))),"",H566-G566)</f>
        <v/>
      </c>
      <c r="J566" s="319">
        <f>IF(OR(NOT(ISNUMBER(G566)),NOT(ISNUMBER(H566)),G566=0),"",I566/G566)</f>
        <v/>
      </c>
      <c r="K566" s="319">
        <f>IF(OR(NOT(ISNUMBER(G566)),NOT(ISNUMBER(H566)),G566=0),"",H566/G566)</f>
        <v/>
      </c>
      <c r="L566">
        <f>IF(NOT(ISNUMBER(G566)),"SEM META",IF(G566=0,"SEM META",IF(NOT(ISNUMBER(H566)),"SEM APONTAMENTO",IF(H566&gt;=G566,"VERDE",IF(H566&gt;=G566*0.9,"AMARELO","VERMELHO")))))</f>
        <v/>
      </c>
      <c r="M566" s="162" t="n"/>
      <c r="N566" s="162" t="n"/>
      <c r="O566" s="162" t="n"/>
      <c r="P566" s="162" t="n"/>
      <c r="Q566" s="320" t="n"/>
      <c r="R566" s="162" t="inlineStr">
        <is>
          <t>CONTROLE PRODUÇÃO POR EMPRESAS!B100</t>
        </is>
      </c>
    </row>
    <row r="567" ht="28.5" customHeight="1">
      <c r="A567" s="317" t="n">
        <v>46317</v>
      </c>
      <c r="B567" t="inlineStr">
        <is>
          <t>GERAL</t>
        </is>
      </c>
      <c r="C567" t="inlineStr">
        <is>
          <t>EJ</t>
        </is>
      </c>
      <c r="D567" t="inlineStr">
        <is>
          <t>IÇAMENTO JOIST</t>
        </is>
      </c>
      <c r="F567" s="159">
        <f>IFERROR(INDEX('BASE METAS DIÁRIAS'!$N$2:$S$358,MATCH($A567,'BASE METAS DIÁRIAS'!$A$2:$A$358,0),MOD(ROW()-2,6)+1),"")</f>
        <v/>
      </c>
      <c r="G567" s="159">
        <f>IFERROR(IF(WEEKDAY($A567,2)&lt;=INDEX('BASE METAS DIÁRIAS'!$H$2:$M$358,MATCH($A567,'BASE METAS DIÁRIAS'!$A$2:$A$358,0),MOD(ROW()-2,6)+1),INDEX('BASE METAS DIÁRIAS'!$B$2:$G$358,MATCH($A567,'BASE METAS DIÁRIAS'!$A$2:$A$358,0),MOD(ROW()-2,6)+1),""),"")</f>
        <v/>
      </c>
      <c r="H567" s="159">
        <f>IFERROR(IF(INDEX('CONTROLE PRODUÇÃO POR EMPRESAS'!$B$6:$G$5000,MATCH($A567,'CONTROLE PRODUÇÃO POR EMPRESAS'!$A$6:$A$5000,0),MOD(ROW()-2,6)+1)="","",IFERROR(1*INDEX('CONTROLE PRODUÇÃO POR EMPRESAS'!$B$6:$G$5000,MATCH($A567,'CONTROLE PRODUÇÃO POR EMPRESAS'!$A$6:$A$5000,0),MOD(ROW()-2,6)+1),"")),"")</f>
        <v/>
      </c>
      <c r="I567" s="159">
        <f>IF(OR(NOT(ISNUMBER(G567)),NOT(ISNUMBER(H567))),"",H567-G567)</f>
        <v/>
      </c>
      <c r="J567" s="319">
        <f>IF(OR(NOT(ISNUMBER(G567)),NOT(ISNUMBER(H567)),G567=0),"",I567/G567)</f>
        <v/>
      </c>
      <c r="K567" s="319">
        <f>IF(OR(NOT(ISNUMBER(G567)),NOT(ISNUMBER(H567)),G567=0),"",H567/G567)</f>
        <v/>
      </c>
      <c r="L567">
        <f>IF(NOT(ISNUMBER(G567)),"SEM META",IF(G567=0,"SEM META",IF(NOT(ISNUMBER(H567)),"SEM APONTAMENTO",IF(H567&gt;=G567,"VERDE",IF(H567&gt;=G567*0.9,"AMARELO","VERMELHO")))))</f>
        <v/>
      </c>
      <c r="M567" s="162" t="n"/>
      <c r="N567" s="162" t="n"/>
      <c r="O567" s="162" t="n"/>
      <c r="P567" s="162" t="n"/>
      <c r="Q567" s="320" t="n"/>
      <c r="R567" s="162" t="inlineStr">
        <is>
          <t>CONTROLE PRODUÇÃO POR EMPRESAS!C100</t>
        </is>
      </c>
    </row>
    <row r="568" ht="28.5" customHeight="1">
      <c r="A568" s="317" t="n">
        <v>46317</v>
      </c>
      <c r="B568" t="inlineStr">
        <is>
          <t>GERAL</t>
        </is>
      </c>
      <c r="C568" t="inlineStr">
        <is>
          <t>EJ</t>
        </is>
      </c>
      <c r="D568" t="inlineStr">
        <is>
          <t>VIGAS</t>
        </is>
      </c>
      <c r="F568" s="159">
        <f>IFERROR(INDEX('BASE METAS DIÁRIAS'!$N$2:$S$358,MATCH($A568,'BASE METAS DIÁRIAS'!$A$2:$A$358,0),MOD(ROW()-2,6)+1),"")</f>
        <v/>
      </c>
      <c r="G568" s="159">
        <f>IFERROR(IF(WEEKDAY($A568,2)&lt;=INDEX('BASE METAS DIÁRIAS'!$H$2:$M$358,MATCH($A568,'BASE METAS DIÁRIAS'!$A$2:$A$358,0),MOD(ROW()-2,6)+1),INDEX('BASE METAS DIÁRIAS'!$B$2:$G$358,MATCH($A568,'BASE METAS DIÁRIAS'!$A$2:$A$358,0),MOD(ROW()-2,6)+1),""),"")</f>
        <v/>
      </c>
      <c r="H568" s="159">
        <f>IFERROR(IF(INDEX('CONTROLE PRODUÇÃO POR EMPRESAS'!$B$6:$G$5000,MATCH($A568,'CONTROLE PRODUÇÃO POR EMPRESAS'!$A$6:$A$5000,0),MOD(ROW()-2,6)+1)="","",IFERROR(1*INDEX('CONTROLE PRODUÇÃO POR EMPRESAS'!$B$6:$G$5000,MATCH($A568,'CONTROLE PRODUÇÃO POR EMPRESAS'!$A$6:$A$5000,0),MOD(ROW()-2,6)+1),"")),"")</f>
        <v/>
      </c>
      <c r="I568" s="159">
        <f>IF(OR(NOT(ISNUMBER(G568)),NOT(ISNUMBER(H568))),"",H568-G568)</f>
        <v/>
      </c>
      <c r="J568" s="319">
        <f>IF(OR(NOT(ISNUMBER(G568)),NOT(ISNUMBER(H568)),G568=0),"",I568/G568)</f>
        <v/>
      </c>
      <c r="K568" s="319">
        <f>IF(OR(NOT(ISNUMBER(G568)),NOT(ISNUMBER(H568)),G568=0),"",H568/G568)</f>
        <v/>
      </c>
      <c r="L568">
        <f>IF(NOT(ISNUMBER(G568)),"SEM META",IF(G568=0,"SEM META",IF(NOT(ISNUMBER(H568)),"SEM APONTAMENTO",IF(H568&gt;=G568,"VERDE",IF(H568&gt;=G568*0.9,"AMARELO","VERMELHO")))))</f>
        <v/>
      </c>
      <c r="M568" s="162" t="n"/>
      <c r="N568" s="162" t="n"/>
      <c r="O568" s="162" t="n"/>
      <c r="P568" s="162" t="n"/>
      <c r="Q568" s="320" t="n"/>
      <c r="R568" s="162" t="inlineStr">
        <is>
          <t>CONTROLE PRODUÇÃO POR EMPRESAS!D100</t>
        </is>
      </c>
    </row>
    <row r="569" ht="28.5" customHeight="1">
      <c r="A569" s="317" t="n">
        <v>46317</v>
      </c>
      <c r="B569" t="inlineStr">
        <is>
          <t>GERAL</t>
        </is>
      </c>
      <c r="C569" t="inlineStr">
        <is>
          <t>CMM</t>
        </is>
      </c>
      <c r="D569" t="inlineStr">
        <is>
          <t>PREMONTAGEM</t>
        </is>
      </c>
      <c r="F569" s="159">
        <f>IFERROR(INDEX('BASE METAS DIÁRIAS'!$N$2:$S$358,MATCH($A569,'BASE METAS DIÁRIAS'!$A$2:$A$358,0),MOD(ROW()-2,6)+1),"")</f>
        <v/>
      </c>
      <c r="G569" s="159">
        <f>IFERROR(IF(WEEKDAY($A569,2)&lt;=INDEX('BASE METAS DIÁRIAS'!$H$2:$M$358,MATCH($A569,'BASE METAS DIÁRIAS'!$A$2:$A$358,0),MOD(ROW()-2,6)+1),INDEX('BASE METAS DIÁRIAS'!$B$2:$G$358,MATCH($A569,'BASE METAS DIÁRIAS'!$A$2:$A$358,0),MOD(ROW()-2,6)+1),""),"")</f>
        <v/>
      </c>
      <c r="H569" s="159">
        <f>IFERROR(IF(INDEX('CONTROLE PRODUÇÃO POR EMPRESAS'!$B$6:$G$5000,MATCH($A569,'CONTROLE PRODUÇÃO POR EMPRESAS'!$A$6:$A$5000,0),MOD(ROW()-2,6)+1)="","",IFERROR(1*INDEX('CONTROLE PRODUÇÃO POR EMPRESAS'!$B$6:$G$5000,MATCH($A569,'CONTROLE PRODUÇÃO POR EMPRESAS'!$A$6:$A$5000,0),MOD(ROW()-2,6)+1),"")),"")</f>
        <v/>
      </c>
      <c r="I569" s="159">
        <f>IF(OR(NOT(ISNUMBER(G569)),NOT(ISNUMBER(H569))),"",H569-G569)</f>
        <v/>
      </c>
      <c r="J569" s="319">
        <f>IF(OR(NOT(ISNUMBER(G569)),NOT(ISNUMBER(H569)),G569=0),"",I569/G569)</f>
        <v/>
      </c>
      <c r="K569" s="319">
        <f>IF(OR(NOT(ISNUMBER(G569)),NOT(ISNUMBER(H569)),G569=0),"",H569/G569)</f>
        <v/>
      </c>
      <c r="L569">
        <f>IF(NOT(ISNUMBER(G569)),"SEM META",IF(G569=0,"SEM META",IF(NOT(ISNUMBER(H569)),"SEM APONTAMENTO",IF(H569&gt;=G569,"VERDE",IF(H569&gt;=G569*0.9,"AMARELO","VERMELHO")))))</f>
        <v/>
      </c>
      <c r="M569" s="162" t="n"/>
      <c r="N569" s="162" t="n"/>
      <c r="O569" s="162" t="n"/>
      <c r="P569" s="162" t="n"/>
      <c r="Q569" s="320" t="n"/>
      <c r="R569" s="162" t="inlineStr">
        <is>
          <t>CONTROLE PRODUÇÃO POR EMPRESAS!E100</t>
        </is>
      </c>
    </row>
    <row r="570" ht="28.5" customHeight="1">
      <c r="A570" s="317" t="n">
        <v>46317</v>
      </c>
      <c r="B570" t="inlineStr">
        <is>
          <t>GERAL</t>
        </is>
      </c>
      <c r="C570" t="inlineStr">
        <is>
          <t>CMM</t>
        </is>
      </c>
      <c r="D570" t="inlineStr">
        <is>
          <t>IÇAMENTO JOIST</t>
        </is>
      </c>
      <c r="F570" s="159">
        <f>IFERROR(INDEX('BASE METAS DIÁRIAS'!$N$2:$S$358,MATCH($A570,'BASE METAS DIÁRIAS'!$A$2:$A$358,0),MOD(ROW()-2,6)+1),"")</f>
        <v/>
      </c>
      <c r="G570" s="159">
        <f>IFERROR(IF(WEEKDAY($A570,2)&lt;=INDEX('BASE METAS DIÁRIAS'!$H$2:$M$358,MATCH($A570,'BASE METAS DIÁRIAS'!$A$2:$A$358,0),MOD(ROW()-2,6)+1),INDEX('BASE METAS DIÁRIAS'!$B$2:$G$358,MATCH($A570,'BASE METAS DIÁRIAS'!$A$2:$A$358,0),MOD(ROW()-2,6)+1),""),"")</f>
        <v/>
      </c>
      <c r="H570" s="159">
        <f>IFERROR(IF(INDEX('CONTROLE PRODUÇÃO POR EMPRESAS'!$B$6:$G$5000,MATCH($A570,'CONTROLE PRODUÇÃO POR EMPRESAS'!$A$6:$A$5000,0),MOD(ROW()-2,6)+1)="","",IFERROR(1*INDEX('CONTROLE PRODUÇÃO POR EMPRESAS'!$B$6:$G$5000,MATCH($A570,'CONTROLE PRODUÇÃO POR EMPRESAS'!$A$6:$A$5000,0),MOD(ROW()-2,6)+1),"")),"")</f>
        <v/>
      </c>
      <c r="I570" s="159">
        <f>IF(OR(NOT(ISNUMBER(G570)),NOT(ISNUMBER(H570))),"",H570-G570)</f>
        <v/>
      </c>
      <c r="J570" s="319">
        <f>IF(OR(NOT(ISNUMBER(G570)),NOT(ISNUMBER(H570)),G570=0),"",I570/G570)</f>
        <v/>
      </c>
      <c r="K570" s="319">
        <f>IF(OR(NOT(ISNUMBER(G570)),NOT(ISNUMBER(H570)),G570=0),"",H570/G570)</f>
        <v/>
      </c>
      <c r="L570">
        <f>IF(NOT(ISNUMBER(G570)),"SEM META",IF(G570=0,"SEM META",IF(NOT(ISNUMBER(H570)),"SEM APONTAMENTO",IF(H570&gt;=G570,"VERDE",IF(H570&gt;=G570*0.9,"AMARELO","VERMELHO")))))</f>
        <v/>
      </c>
      <c r="M570" s="162" t="n"/>
      <c r="N570" s="162" t="n"/>
      <c r="O570" s="162" t="n"/>
      <c r="P570" s="162" t="n"/>
      <c r="Q570" s="320" t="n"/>
      <c r="R570" s="162" t="inlineStr">
        <is>
          <t>CONTROLE PRODUÇÃO POR EMPRESAS!F100</t>
        </is>
      </c>
    </row>
    <row r="571" ht="28.5" customHeight="1">
      <c r="A571" s="317" t="n">
        <v>46317</v>
      </c>
      <c r="B571" t="inlineStr">
        <is>
          <t>GERAL</t>
        </is>
      </c>
      <c r="C571" t="inlineStr">
        <is>
          <t>CMM</t>
        </is>
      </c>
      <c r="D571" t="inlineStr">
        <is>
          <t>VIGAS</t>
        </is>
      </c>
      <c r="F571" s="159">
        <f>IFERROR(INDEX('BASE METAS DIÁRIAS'!$N$2:$S$358,MATCH($A571,'BASE METAS DIÁRIAS'!$A$2:$A$358,0),MOD(ROW()-2,6)+1),"")</f>
        <v/>
      </c>
      <c r="G571" s="159">
        <f>IFERROR(IF(WEEKDAY($A571,2)&lt;=INDEX('BASE METAS DIÁRIAS'!$H$2:$M$358,MATCH($A571,'BASE METAS DIÁRIAS'!$A$2:$A$358,0),MOD(ROW()-2,6)+1),INDEX('BASE METAS DIÁRIAS'!$B$2:$G$358,MATCH($A571,'BASE METAS DIÁRIAS'!$A$2:$A$358,0),MOD(ROW()-2,6)+1),""),"")</f>
        <v/>
      </c>
      <c r="H571" s="159">
        <f>IFERROR(IF(INDEX('CONTROLE PRODUÇÃO POR EMPRESAS'!$B$6:$G$5000,MATCH($A571,'CONTROLE PRODUÇÃO POR EMPRESAS'!$A$6:$A$5000,0),MOD(ROW()-2,6)+1)="","",IFERROR(1*INDEX('CONTROLE PRODUÇÃO POR EMPRESAS'!$B$6:$G$5000,MATCH($A571,'CONTROLE PRODUÇÃO POR EMPRESAS'!$A$6:$A$5000,0),MOD(ROW()-2,6)+1),"")),"")</f>
        <v/>
      </c>
      <c r="I571" s="159">
        <f>IF(OR(NOT(ISNUMBER(G571)),NOT(ISNUMBER(H571))),"",H571-G571)</f>
        <v/>
      </c>
      <c r="J571" s="319">
        <f>IF(OR(NOT(ISNUMBER(G571)),NOT(ISNUMBER(H571)),G571=0),"",I571/G571)</f>
        <v/>
      </c>
      <c r="K571" s="319">
        <f>IF(OR(NOT(ISNUMBER(G571)),NOT(ISNUMBER(H571)),G571=0),"",H571/G571)</f>
        <v/>
      </c>
      <c r="L571">
        <f>IF(NOT(ISNUMBER(G571)),"SEM META",IF(G571=0,"SEM META",IF(NOT(ISNUMBER(H571)),"SEM APONTAMENTO",IF(H571&gt;=G571,"VERDE",IF(H571&gt;=G571*0.9,"AMARELO","VERMELHO")))))</f>
        <v/>
      </c>
      <c r="M571" s="162" t="n"/>
      <c r="N571" s="162" t="n"/>
      <c r="O571" s="162" t="n"/>
      <c r="P571" s="162" t="n"/>
      <c r="Q571" s="320" t="n"/>
      <c r="R571" s="162" t="inlineStr">
        <is>
          <t>CONTROLE PRODUÇÃO POR EMPRESAS!G100</t>
        </is>
      </c>
    </row>
    <row r="572" ht="28.5" customHeight="1">
      <c r="A572" s="317" t="n">
        <v>46318</v>
      </c>
      <c r="B572" t="inlineStr">
        <is>
          <t>GERAL</t>
        </is>
      </c>
      <c r="C572" t="inlineStr">
        <is>
          <t>EJ</t>
        </is>
      </c>
      <c r="D572" t="inlineStr">
        <is>
          <t>PREMONTAGEM</t>
        </is>
      </c>
      <c r="F572" s="159">
        <f>IFERROR(INDEX('BASE METAS DIÁRIAS'!$N$2:$S$358,MATCH($A572,'BASE METAS DIÁRIAS'!$A$2:$A$358,0),MOD(ROW()-2,6)+1),"")</f>
        <v/>
      </c>
      <c r="G572" s="159">
        <f>IFERROR(IF(WEEKDAY($A572,2)&lt;=INDEX('BASE METAS DIÁRIAS'!$H$2:$M$358,MATCH($A572,'BASE METAS DIÁRIAS'!$A$2:$A$358,0),MOD(ROW()-2,6)+1),INDEX('BASE METAS DIÁRIAS'!$B$2:$G$358,MATCH($A572,'BASE METAS DIÁRIAS'!$A$2:$A$358,0),MOD(ROW()-2,6)+1),""),"")</f>
        <v/>
      </c>
      <c r="H572" s="159">
        <f>IFERROR(IF(INDEX('CONTROLE PRODUÇÃO POR EMPRESAS'!$B$6:$G$5000,MATCH($A572,'CONTROLE PRODUÇÃO POR EMPRESAS'!$A$6:$A$5000,0),MOD(ROW()-2,6)+1)="","",IFERROR(1*INDEX('CONTROLE PRODUÇÃO POR EMPRESAS'!$B$6:$G$5000,MATCH($A572,'CONTROLE PRODUÇÃO POR EMPRESAS'!$A$6:$A$5000,0),MOD(ROW()-2,6)+1),"")),"")</f>
        <v/>
      </c>
      <c r="I572" s="159">
        <f>IF(OR(NOT(ISNUMBER(G572)),NOT(ISNUMBER(H572))),"",H572-G572)</f>
        <v/>
      </c>
      <c r="J572" s="319">
        <f>IF(OR(NOT(ISNUMBER(G572)),NOT(ISNUMBER(H572)),G572=0),"",I572/G572)</f>
        <v/>
      </c>
      <c r="K572" s="319">
        <f>IF(OR(NOT(ISNUMBER(G572)),NOT(ISNUMBER(H572)),G572=0),"",H572/G572)</f>
        <v/>
      </c>
      <c r="L572">
        <f>IF(NOT(ISNUMBER(G572)),"SEM META",IF(G572=0,"SEM META",IF(NOT(ISNUMBER(H572)),"SEM APONTAMENTO",IF(H572&gt;=G572,"VERDE",IF(H572&gt;=G572*0.9,"AMARELO","VERMELHO")))))</f>
        <v/>
      </c>
      <c r="M572" s="162" t="n"/>
      <c r="N572" s="162" t="n"/>
      <c r="O572" s="162" t="n"/>
      <c r="P572" s="162" t="n"/>
      <c r="Q572" s="320" t="n"/>
      <c r="R572" s="162" t="inlineStr">
        <is>
          <t>CONTROLE PRODUÇÃO POR EMPRESAS!B101</t>
        </is>
      </c>
    </row>
    <row r="573" ht="28.5" customHeight="1">
      <c r="A573" s="317" t="n">
        <v>46318</v>
      </c>
      <c r="B573" t="inlineStr">
        <is>
          <t>GERAL</t>
        </is>
      </c>
      <c r="C573" t="inlineStr">
        <is>
          <t>EJ</t>
        </is>
      </c>
      <c r="D573" t="inlineStr">
        <is>
          <t>IÇAMENTO JOIST</t>
        </is>
      </c>
      <c r="F573" s="159">
        <f>IFERROR(INDEX('BASE METAS DIÁRIAS'!$N$2:$S$358,MATCH($A573,'BASE METAS DIÁRIAS'!$A$2:$A$358,0),MOD(ROW()-2,6)+1),"")</f>
        <v/>
      </c>
      <c r="G573" s="159">
        <f>IFERROR(IF(WEEKDAY($A573,2)&lt;=INDEX('BASE METAS DIÁRIAS'!$H$2:$M$358,MATCH($A573,'BASE METAS DIÁRIAS'!$A$2:$A$358,0),MOD(ROW()-2,6)+1),INDEX('BASE METAS DIÁRIAS'!$B$2:$G$358,MATCH($A573,'BASE METAS DIÁRIAS'!$A$2:$A$358,0),MOD(ROW()-2,6)+1),""),"")</f>
        <v/>
      </c>
      <c r="H573" s="159">
        <f>IFERROR(IF(INDEX('CONTROLE PRODUÇÃO POR EMPRESAS'!$B$6:$G$5000,MATCH($A573,'CONTROLE PRODUÇÃO POR EMPRESAS'!$A$6:$A$5000,0),MOD(ROW()-2,6)+1)="","",IFERROR(1*INDEX('CONTROLE PRODUÇÃO POR EMPRESAS'!$B$6:$G$5000,MATCH($A573,'CONTROLE PRODUÇÃO POR EMPRESAS'!$A$6:$A$5000,0),MOD(ROW()-2,6)+1),"")),"")</f>
        <v/>
      </c>
      <c r="I573" s="159">
        <f>IF(OR(NOT(ISNUMBER(G573)),NOT(ISNUMBER(H573))),"",H573-G573)</f>
        <v/>
      </c>
      <c r="J573" s="319">
        <f>IF(OR(NOT(ISNUMBER(G573)),NOT(ISNUMBER(H573)),G573=0),"",I573/G573)</f>
        <v/>
      </c>
      <c r="K573" s="319">
        <f>IF(OR(NOT(ISNUMBER(G573)),NOT(ISNUMBER(H573)),G573=0),"",H573/G573)</f>
        <v/>
      </c>
      <c r="L573">
        <f>IF(NOT(ISNUMBER(G573)),"SEM META",IF(G573=0,"SEM META",IF(NOT(ISNUMBER(H573)),"SEM APONTAMENTO",IF(H573&gt;=G573,"VERDE",IF(H573&gt;=G573*0.9,"AMARELO","VERMELHO")))))</f>
        <v/>
      </c>
      <c r="M573" s="162" t="n"/>
      <c r="N573" s="162" t="n"/>
      <c r="O573" s="162" t="n"/>
      <c r="P573" s="162" t="n"/>
      <c r="Q573" s="320" t="n"/>
      <c r="R573" s="162" t="inlineStr">
        <is>
          <t>CONTROLE PRODUÇÃO POR EMPRESAS!C101</t>
        </is>
      </c>
    </row>
    <row r="574" ht="28.5" customHeight="1">
      <c r="A574" s="317" t="n">
        <v>46318</v>
      </c>
      <c r="B574" t="inlineStr">
        <is>
          <t>GERAL</t>
        </is>
      </c>
      <c r="C574" t="inlineStr">
        <is>
          <t>EJ</t>
        </is>
      </c>
      <c r="D574" t="inlineStr">
        <is>
          <t>VIGAS</t>
        </is>
      </c>
      <c r="F574" s="159">
        <f>IFERROR(INDEX('BASE METAS DIÁRIAS'!$N$2:$S$358,MATCH($A574,'BASE METAS DIÁRIAS'!$A$2:$A$358,0),MOD(ROW()-2,6)+1),"")</f>
        <v/>
      </c>
      <c r="G574" s="159">
        <f>IFERROR(IF(WEEKDAY($A574,2)&lt;=INDEX('BASE METAS DIÁRIAS'!$H$2:$M$358,MATCH($A574,'BASE METAS DIÁRIAS'!$A$2:$A$358,0),MOD(ROW()-2,6)+1),INDEX('BASE METAS DIÁRIAS'!$B$2:$G$358,MATCH($A574,'BASE METAS DIÁRIAS'!$A$2:$A$358,0),MOD(ROW()-2,6)+1),""),"")</f>
        <v/>
      </c>
      <c r="H574" s="159">
        <f>IFERROR(IF(INDEX('CONTROLE PRODUÇÃO POR EMPRESAS'!$B$6:$G$5000,MATCH($A574,'CONTROLE PRODUÇÃO POR EMPRESAS'!$A$6:$A$5000,0),MOD(ROW()-2,6)+1)="","",IFERROR(1*INDEX('CONTROLE PRODUÇÃO POR EMPRESAS'!$B$6:$G$5000,MATCH($A574,'CONTROLE PRODUÇÃO POR EMPRESAS'!$A$6:$A$5000,0),MOD(ROW()-2,6)+1),"")),"")</f>
        <v/>
      </c>
      <c r="I574" s="159">
        <f>IF(OR(NOT(ISNUMBER(G574)),NOT(ISNUMBER(H574))),"",H574-G574)</f>
        <v/>
      </c>
      <c r="J574" s="319">
        <f>IF(OR(NOT(ISNUMBER(G574)),NOT(ISNUMBER(H574)),G574=0),"",I574/G574)</f>
        <v/>
      </c>
      <c r="K574" s="319">
        <f>IF(OR(NOT(ISNUMBER(G574)),NOT(ISNUMBER(H574)),G574=0),"",H574/G574)</f>
        <v/>
      </c>
      <c r="L574">
        <f>IF(NOT(ISNUMBER(G574)),"SEM META",IF(G574=0,"SEM META",IF(NOT(ISNUMBER(H574)),"SEM APONTAMENTO",IF(H574&gt;=G574,"VERDE",IF(H574&gt;=G574*0.9,"AMARELO","VERMELHO")))))</f>
        <v/>
      </c>
      <c r="M574" s="162" t="n"/>
      <c r="N574" s="162" t="n"/>
      <c r="O574" s="162" t="n"/>
      <c r="P574" s="162" t="n"/>
      <c r="Q574" s="320" t="n"/>
      <c r="R574" s="162" t="inlineStr">
        <is>
          <t>CONTROLE PRODUÇÃO POR EMPRESAS!D101</t>
        </is>
      </c>
    </row>
    <row r="575" ht="28.5" customHeight="1">
      <c r="A575" s="317" t="n">
        <v>46318</v>
      </c>
      <c r="B575" t="inlineStr">
        <is>
          <t>GERAL</t>
        </is>
      </c>
      <c r="C575" t="inlineStr">
        <is>
          <t>CMM</t>
        </is>
      </c>
      <c r="D575" t="inlineStr">
        <is>
          <t>PREMONTAGEM</t>
        </is>
      </c>
      <c r="F575" s="159">
        <f>IFERROR(INDEX('BASE METAS DIÁRIAS'!$N$2:$S$358,MATCH($A575,'BASE METAS DIÁRIAS'!$A$2:$A$358,0),MOD(ROW()-2,6)+1),"")</f>
        <v/>
      </c>
      <c r="G575" s="159">
        <f>IFERROR(IF(WEEKDAY($A575,2)&lt;=INDEX('BASE METAS DIÁRIAS'!$H$2:$M$358,MATCH($A575,'BASE METAS DIÁRIAS'!$A$2:$A$358,0),MOD(ROW()-2,6)+1),INDEX('BASE METAS DIÁRIAS'!$B$2:$G$358,MATCH($A575,'BASE METAS DIÁRIAS'!$A$2:$A$358,0),MOD(ROW()-2,6)+1),""),"")</f>
        <v/>
      </c>
      <c r="H575" s="159">
        <f>IFERROR(IF(INDEX('CONTROLE PRODUÇÃO POR EMPRESAS'!$B$6:$G$5000,MATCH($A575,'CONTROLE PRODUÇÃO POR EMPRESAS'!$A$6:$A$5000,0),MOD(ROW()-2,6)+1)="","",IFERROR(1*INDEX('CONTROLE PRODUÇÃO POR EMPRESAS'!$B$6:$G$5000,MATCH($A575,'CONTROLE PRODUÇÃO POR EMPRESAS'!$A$6:$A$5000,0),MOD(ROW()-2,6)+1),"")),"")</f>
        <v/>
      </c>
      <c r="I575" s="159">
        <f>IF(OR(NOT(ISNUMBER(G575)),NOT(ISNUMBER(H575))),"",H575-G575)</f>
        <v/>
      </c>
      <c r="J575" s="319">
        <f>IF(OR(NOT(ISNUMBER(G575)),NOT(ISNUMBER(H575)),G575=0),"",I575/G575)</f>
        <v/>
      </c>
      <c r="K575" s="319">
        <f>IF(OR(NOT(ISNUMBER(G575)),NOT(ISNUMBER(H575)),G575=0),"",H575/G575)</f>
        <v/>
      </c>
      <c r="L575">
        <f>IF(NOT(ISNUMBER(G575)),"SEM META",IF(G575=0,"SEM META",IF(NOT(ISNUMBER(H575)),"SEM APONTAMENTO",IF(H575&gt;=G575,"VERDE",IF(H575&gt;=G575*0.9,"AMARELO","VERMELHO")))))</f>
        <v/>
      </c>
      <c r="M575" s="162" t="n"/>
      <c r="N575" s="162" t="n"/>
      <c r="O575" s="162" t="n"/>
      <c r="P575" s="162" t="n"/>
      <c r="Q575" s="320" t="n"/>
      <c r="R575" s="162" t="inlineStr">
        <is>
          <t>CONTROLE PRODUÇÃO POR EMPRESAS!E101</t>
        </is>
      </c>
    </row>
    <row r="576" ht="28.5" customHeight="1">
      <c r="A576" s="317" t="n">
        <v>46318</v>
      </c>
      <c r="B576" t="inlineStr">
        <is>
          <t>GERAL</t>
        </is>
      </c>
      <c r="C576" t="inlineStr">
        <is>
          <t>CMM</t>
        </is>
      </c>
      <c r="D576" t="inlineStr">
        <is>
          <t>IÇAMENTO JOIST</t>
        </is>
      </c>
      <c r="F576" s="159">
        <f>IFERROR(INDEX('BASE METAS DIÁRIAS'!$N$2:$S$358,MATCH($A576,'BASE METAS DIÁRIAS'!$A$2:$A$358,0),MOD(ROW()-2,6)+1),"")</f>
        <v/>
      </c>
      <c r="G576" s="159">
        <f>IFERROR(IF(WEEKDAY($A576,2)&lt;=INDEX('BASE METAS DIÁRIAS'!$H$2:$M$358,MATCH($A576,'BASE METAS DIÁRIAS'!$A$2:$A$358,0),MOD(ROW()-2,6)+1),INDEX('BASE METAS DIÁRIAS'!$B$2:$G$358,MATCH($A576,'BASE METAS DIÁRIAS'!$A$2:$A$358,0),MOD(ROW()-2,6)+1),""),"")</f>
        <v/>
      </c>
      <c r="H576" s="159">
        <f>IFERROR(IF(INDEX('CONTROLE PRODUÇÃO POR EMPRESAS'!$B$6:$G$5000,MATCH($A576,'CONTROLE PRODUÇÃO POR EMPRESAS'!$A$6:$A$5000,0),MOD(ROW()-2,6)+1)="","",IFERROR(1*INDEX('CONTROLE PRODUÇÃO POR EMPRESAS'!$B$6:$G$5000,MATCH($A576,'CONTROLE PRODUÇÃO POR EMPRESAS'!$A$6:$A$5000,0),MOD(ROW()-2,6)+1),"")),"")</f>
        <v/>
      </c>
      <c r="I576" s="159">
        <f>IF(OR(NOT(ISNUMBER(G576)),NOT(ISNUMBER(H576))),"",H576-G576)</f>
        <v/>
      </c>
      <c r="J576" s="319">
        <f>IF(OR(NOT(ISNUMBER(G576)),NOT(ISNUMBER(H576)),G576=0),"",I576/G576)</f>
        <v/>
      </c>
      <c r="K576" s="319">
        <f>IF(OR(NOT(ISNUMBER(G576)),NOT(ISNUMBER(H576)),G576=0),"",H576/G576)</f>
        <v/>
      </c>
      <c r="L576">
        <f>IF(NOT(ISNUMBER(G576)),"SEM META",IF(G576=0,"SEM META",IF(NOT(ISNUMBER(H576)),"SEM APONTAMENTO",IF(H576&gt;=G576,"VERDE",IF(H576&gt;=G576*0.9,"AMARELO","VERMELHO")))))</f>
        <v/>
      </c>
      <c r="M576" s="162" t="n"/>
      <c r="N576" s="162" t="n"/>
      <c r="O576" s="162" t="n"/>
      <c r="P576" s="162" t="n"/>
      <c r="Q576" s="320" t="n"/>
      <c r="R576" s="162" t="inlineStr">
        <is>
          <t>CONTROLE PRODUÇÃO POR EMPRESAS!F101</t>
        </is>
      </c>
    </row>
    <row r="577" ht="28.5" customHeight="1">
      <c r="A577" s="317" t="n">
        <v>46318</v>
      </c>
      <c r="B577" t="inlineStr">
        <is>
          <t>GERAL</t>
        </is>
      </c>
      <c r="C577" t="inlineStr">
        <is>
          <t>CMM</t>
        </is>
      </c>
      <c r="D577" t="inlineStr">
        <is>
          <t>VIGAS</t>
        </is>
      </c>
      <c r="F577" s="159">
        <f>IFERROR(INDEX('BASE METAS DIÁRIAS'!$N$2:$S$358,MATCH($A577,'BASE METAS DIÁRIAS'!$A$2:$A$358,0),MOD(ROW()-2,6)+1),"")</f>
        <v/>
      </c>
      <c r="G577" s="159">
        <f>IFERROR(IF(WEEKDAY($A577,2)&lt;=INDEX('BASE METAS DIÁRIAS'!$H$2:$M$358,MATCH($A577,'BASE METAS DIÁRIAS'!$A$2:$A$358,0),MOD(ROW()-2,6)+1),INDEX('BASE METAS DIÁRIAS'!$B$2:$G$358,MATCH($A577,'BASE METAS DIÁRIAS'!$A$2:$A$358,0),MOD(ROW()-2,6)+1),""),"")</f>
        <v/>
      </c>
      <c r="H577" s="159">
        <f>IFERROR(IF(INDEX('CONTROLE PRODUÇÃO POR EMPRESAS'!$B$6:$G$5000,MATCH($A577,'CONTROLE PRODUÇÃO POR EMPRESAS'!$A$6:$A$5000,0),MOD(ROW()-2,6)+1)="","",IFERROR(1*INDEX('CONTROLE PRODUÇÃO POR EMPRESAS'!$B$6:$G$5000,MATCH($A577,'CONTROLE PRODUÇÃO POR EMPRESAS'!$A$6:$A$5000,0),MOD(ROW()-2,6)+1),"")),"")</f>
        <v/>
      </c>
      <c r="I577" s="159">
        <f>IF(OR(NOT(ISNUMBER(G577)),NOT(ISNUMBER(H577))),"",H577-G577)</f>
        <v/>
      </c>
      <c r="J577" s="319">
        <f>IF(OR(NOT(ISNUMBER(G577)),NOT(ISNUMBER(H577)),G577=0),"",I577/G577)</f>
        <v/>
      </c>
      <c r="K577" s="319">
        <f>IF(OR(NOT(ISNUMBER(G577)),NOT(ISNUMBER(H577)),G577=0),"",H577/G577)</f>
        <v/>
      </c>
      <c r="L577">
        <f>IF(NOT(ISNUMBER(G577)),"SEM META",IF(G577=0,"SEM META",IF(NOT(ISNUMBER(H577)),"SEM APONTAMENTO",IF(H577&gt;=G577,"VERDE",IF(H577&gt;=G577*0.9,"AMARELO","VERMELHO")))))</f>
        <v/>
      </c>
      <c r="M577" s="162" t="n"/>
      <c r="N577" s="162" t="n"/>
      <c r="O577" s="162" t="n"/>
      <c r="P577" s="162" t="n"/>
      <c r="Q577" s="320" t="n"/>
      <c r="R577" s="162" t="inlineStr">
        <is>
          <t>CONTROLE PRODUÇÃO POR EMPRESAS!G101</t>
        </is>
      </c>
    </row>
    <row r="578" ht="28.5" customHeight="1">
      <c r="A578" s="317" t="n">
        <v>46319</v>
      </c>
      <c r="B578" t="inlineStr">
        <is>
          <t>GERAL</t>
        </is>
      </c>
      <c r="C578" t="inlineStr">
        <is>
          <t>EJ</t>
        </is>
      </c>
      <c r="D578" t="inlineStr">
        <is>
          <t>PREMONTAGEM</t>
        </is>
      </c>
      <c r="F578" s="159">
        <f>IFERROR(INDEX('BASE METAS DIÁRIAS'!$N$2:$S$358,MATCH($A578,'BASE METAS DIÁRIAS'!$A$2:$A$358,0),MOD(ROW()-2,6)+1),"")</f>
        <v/>
      </c>
      <c r="G578" s="159">
        <f>IFERROR(IF(WEEKDAY($A578,2)&lt;=INDEX('BASE METAS DIÁRIAS'!$H$2:$M$358,MATCH($A578,'BASE METAS DIÁRIAS'!$A$2:$A$358,0),MOD(ROW()-2,6)+1),INDEX('BASE METAS DIÁRIAS'!$B$2:$G$358,MATCH($A578,'BASE METAS DIÁRIAS'!$A$2:$A$358,0),MOD(ROW()-2,6)+1),""),"")</f>
        <v/>
      </c>
      <c r="H578" s="159">
        <f>IFERROR(IF(INDEX('CONTROLE PRODUÇÃO POR EMPRESAS'!$B$6:$G$5000,MATCH($A578,'CONTROLE PRODUÇÃO POR EMPRESAS'!$A$6:$A$5000,0),MOD(ROW()-2,6)+1)="","",IFERROR(1*INDEX('CONTROLE PRODUÇÃO POR EMPRESAS'!$B$6:$G$5000,MATCH($A578,'CONTROLE PRODUÇÃO POR EMPRESAS'!$A$6:$A$5000,0),MOD(ROW()-2,6)+1),"")),"")</f>
        <v/>
      </c>
      <c r="I578" s="159">
        <f>IF(OR(NOT(ISNUMBER(G578)),NOT(ISNUMBER(H578))),"",H578-G578)</f>
        <v/>
      </c>
      <c r="J578" s="319">
        <f>IF(OR(NOT(ISNUMBER(G578)),NOT(ISNUMBER(H578)),G578=0),"",I578/G578)</f>
        <v/>
      </c>
      <c r="K578" s="319">
        <f>IF(OR(NOT(ISNUMBER(G578)),NOT(ISNUMBER(H578)),G578=0),"",H578/G578)</f>
        <v/>
      </c>
      <c r="L578">
        <f>IF(NOT(ISNUMBER(G578)),"SEM META",IF(G578=0,"SEM META",IF(NOT(ISNUMBER(H578)),"SEM APONTAMENTO",IF(H578&gt;=G578,"VERDE",IF(H578&gt;=G578*0.9,"AMARELO","VERMELHO")))))</f>
        <v/>
      </c>
      <c r="M578" s="162" t="n"/>
      <c r="N578" s="162" t="n"/>
      <c r="O578" s="162" t="n"/>
      <c r="P578" s="162" t="n"/>
      <c r="Q578" s="320" t="n"/>
      <c r="R578" s="162" t="inlineStr">
        <is>
          <t>CONTROLE PRODUÇÃO POR EMPRESAS!B102</t>
        </is>
      </c>
    </row>
    <row r="579" ht="28.5" customHeight="1">
      <c r="A579" s="317" t="n">
        <v>46319</v>
      </c>
      <c r="B579" t="inlineStr">
        <is>
          <t>GERAL</t>
        </is>
      </c>
      <c r="C579" t="inlineStr">
        <is>
          <t>EJ</t>
        </is>
      </c>
      <c r="D579" t="inlineStr">
        <is>
          <t>IÇAMENTO JOIST</t>
        </is>
      </c>
      <c r="F579" s="159">
        <f>IFERROR(INDEX('BASE METAS DIÁRIAS'!$N$2:$S$358,MATCH($A579,'BASE METAS DIÁRIAS'!$A$2:$A$358,0),MOD(ROW()-2,6)+1),"")</f>
        <v/>
      </c>
      <c r="G579" s="159">
        <f>IFERROR(IF(WEEKDAY($A579,2)&lt;=INDEX('BASE METAS DIÁRIAS'!$H$2:$M$358,MATCH($A579,'BASE METAS DIÁRIAS'!$A$2:$A$358,0),MOD(ROW()-2,6)+1),INDEX('BASE METAS DIÁRIAS'!$B$2:$G$358,MATCH($A579,'BASE METAS DIÁRIAS'!$A$2:$A$358,0),MOD(ROW()-2,6)+1),""),"")</f>
        <v/>
      </c>
      <c r="H579" s="159">
        <f>IFERROR(IF(INDEX('CONTROLE PRODUÇÃO POR EMPRESAS'!$B$6:$G$5000,MATCH($A579,'CONTROLE PRODUÇÃO POR EMPRESAS'!$A$6:$A$5000,0),MOD(ROW()-2,6)+1)="","",IFERROR(1*INDEX('CONTROLE PRODUÇÃO POR EMPRESAS'!$B$6:$G$5000,MATCH($A579,'CONTROLE PRODUÇÃO POR EMPRESAS'!$A$6:$A$5000,0),MOD(ROW()-2,6)+1),"")),"")</f>
        <v/>
      </c>
      <c r="I579" s="159">
        <f>IF(OR(NOT(ISNUMBER(G579)),NOT(ISNUMBER(H579))),"",H579-G579)</f>
        <v/>
      </c>
      <c r="J579" s="319">
        <f>IF(OR(NOT(ISNUMBER(G579)),NOT(ISNUMBER(H579)),G579=0),"",I579/G579)</f>
        <v/>
      </c>
      <c r="K579" s="319">
        <f>IF(OR(NOT(ISNUMBER(G579)),NOT(ISNUMBER(H579)),G579=0),"",H579/G579)</f>
        <v/>
      </c>
      <c r="L579">
        <f>IF(NOT(ISNUMBER(G579)),"SEM META",IF(G579=0,"SEM META",IF(NOT(ISNUMBER(H579)),"SEM APONTAMENTO",IF(H579&gt;=G579,"VERDE",IF(H579&gt;=G579*0.9,"AMARELO","VERMELHO")))))</f>
        <v/>
      </c>
      <c r="M579" s="162" t="n"/>
      <c r="N579" s="162" t="n"/>
      <c r="O579" s="162" t="n"/>
      <c r="P579" s="162" t="n"/>
      <c r="Q579" s="320" t="n"/>
      <c r="R579" s="162" t="inlineStr">
        <is>
          <t>CONTROLE PRODUÇÃO POR EMPRESAS!C102</t>
        </is>
      </c>
    </row>
    <row r="580" ht="28.5" customHeight="1">
      <c r="A580" s="317" t="n">
        <v>46319</v>
      </c>
      <c r="B580" t="inlineStr">
        <is>
          <t>GERAL</t>
        </is>
      </c>
      <c r="C580" t="inlineStr">
        <is>
          <t>EJ</t>
        </is>
      </c>
      <c r="D580" t="inlineStr">
        <is>
          <t>VIGAS</t>
        </is>
      </c>
      <c r="F580" s="159">
        <f>IFERROR(INDEX('BASE METAS DIÁRIAS'!$N$2:$S$358,MATCH($A580,'BASE METAS DIÁRIAS'!$A$2:$A$358,0),MOD(ROW()-2,6)+1),"")</f>
        <v/>
      </c>
      <c r="G580" s="159">
        <f>IFERROR(IF(WEEKDAY($A580,2)&lt;=INDEX('BASE METAS DIÁRIAS'!$H$2:$M$358,MATCH($A580,'BASE METAS DIÁRIAS'!$A$2:$A$358,0),MOD(ROW()-2,6)+1),INDEX('BASE METAS DIÁRIAS'!$B$2:$G$358,MATCH($A580,'BASE METAS DIÁRIAS'!$A$2:$A$358,0),MOD(ROW()-2,6)+1),""),"")</f>
        <v/>
      </c>
      <c r="H580" s="159">
        <f>IFERROR(IF(INDEX('CONTROLE PRODUÇÃO POR EMPRESAS'!$B$6:$G$5000,MATCH($A580,'CONTROLE PRODUÇÃO POR EMPRESAS'!$A$6:$A$5000,0),MOD(ROW()-2,6)+1)="","",IFERROR(1*INDEX('CONTROLE PRODUÇÃO POR EMPRESAS'!$B$6:$G$5000,MATCH($A580,'CONTROLE PRODUÇÃO POR EMPRESAS'!$A$6:$A$5000,0),MOD(ROW()-2,6)+1),"")),"")</f>
        <v/>
      </c>
      <c r="I580" s="159">
        <f>IF(OR(NOT(ISNUMBER(G580)),NOT(ISNUMBER(H580))),"",H580-G580)</f>
        <v/>
      </c>
      <c r="J580" s="319">
        <f>IF(OR(NOT(ISNUMBER(G580)),NOT(ISNUMBER(H580)),G580=0),"",I580/G580)</f>
        <v/>
      </c>
      <c r="K580" s="319">
        <f>IF(OR(NOT(ISNUMBER(G580)),NOT(ISNUMBER(H580)),G580=0),"",H580/G580)</f>
        <v/>
      </c>
      <c r="L580">
        <f>IF(NOT(ISNUMBER(G580)),"SEM META",IF(G580=0,"SEM META",IF(NOT(ISNUMBER(H580)),"SEM APONTAMENTO",IF(H580&gt;=G580,"VERDE",IF(H580&gt;=G580*0.9,"AMARELO","VERMELHO")))))</f>
        <v/>
      </c>
      <c r="M580" s="162" t="n"/>
      <c r="N580" s="162" t="n"/>
      <c r="O580" s="162" t="n"/>
      <c r="P580" s="162" t="n"/>
      <c r="Q580" s="320" t="n"/>
      <c r="R580" s="162" t="inlineStr">
        <is>
          <t>CONTROLE PRODUÇÃO POR EMPRESAS!D102</t>
        </is>
      </c>
    </row>
    <row r="581" ht="28.5" customHeight="1">
      <c r="A581" s="317" t="n">
        <v>46319</v>
      </c>
      <c r="B581" t="inlineStr">
        <is>
          <t>GERAL</t>
        </is>
      </c>
      <c r="C581" t="inlineStr">
        <is>
          <t>CMM</t>
        </is>
      </c>
      <c r="D581" t="inlineStr">
        <is>
          <t>PREMONTAGEM</t>
        </is>
      </c>
      <c r="F581" s="159">
        <f>IFERROR(INDEX('BASE METAS DIÁRIAS'!$N$2:$S$358,MATCH($A581,'BASE METAS DIÁRIAS'!$A$2:$A$358,0),MOD(ROW()-2,6)+1),"")</f>
        <v/>
      </c>
      <c r="G581" s="159">
        <f>IFERROR(IF(WEEKDAY($A581,2)&lt;=INDEX('BASE METAS DIÁRIAS'!$H$2:$M$358,MATCH($A581,'BASE METAS DIÁRIAS'!$A$2:$A$358,0),MOD(ROW()-2,6)+1),INDEX('BASE METAS DIÁRIAS'!$B$2:$G$358,MATCH($A581,'BASE METAS DIÁRIAS'!$A$2:$A$358,0),MOD(ROW()-2,6)+1),""),"")</f>
        <v/>
      </c>
      <c r="H581" s="159">
        <f>IFERROR(IF(INDEX('CONTROLE PRODUÇÃO POR EMPRESAS'!$B$6:$G$5000,MATCH($A581,'CONTROLE PRODUÇÃO POR EMPRESAS'!$A$6:$A$5000,0),MOD(ROW()-2,6)+1)="","",IFERROR(1*INDEX('CONTROLE PRODUÇÃO POR EMPRESAS'!$B$6:$G$5000,MATCH($A581,'CONTROLE PRODUÇÃO POR EMPRESAS'!$A$6:$A$5000,0),MOD(ROW()-2,6)+1),"")),"")</f>
        <v/>
      </c>
      <c r="I581" s="159">
        <f>IF(OR(NOT(ISNUMBER(G581)),NOT(ISNUMBER(H581))),"",H581-G581)</f>
        <v/>
      </c>
      <c r="J581" s="319">
        <f>IF(OR(NOT(ISNUMBER(G581)),NOT(ISNUMBER(H581)),G581=0),"",I581/G581)</f>
        <v/>
      </c>
      <c r="K581" s="319">
        <f>IF(OR(NOT(ISNUMBER(G581)),NOT(ISNUMBER(H581)),G581=0),"",H581/G581)</f>
        <v/>
      </c>
      <c r="L581">
        <f>IF(NOT(ISNUMBER(G581)),"SEM META",IF(G581=0,"SEM META",IF(NOT(ISNUMBER(H581)),"SEM APONTAMENTO",IF(H581&gt;=G581,"VERDE",IF(H581&gt;=G581*0.9,"AMARELO","VERMELHO")))))</f>
        <v/>
      </c>
      <c r="M581" s="162" t="n"/>
      <c r="N581" s="162" t="n"/>
      <c r="O581" s="162" t="n"/>
      <c r="P581" s="162" t="n"/>
      <c r="Q581" s="320" t="n"/>
      <c r="R581" s="162" t="inlineStr">
        <is>
          <t>CONTROLE PRODUÇÃO POR EMPRESAS!E102</t>
        </is>
      </c>
    </row>
    <row r="582" ht="28.5" customHeight="1">
      <c r="A582" s="317" t="n">
        <v>46319</v>
      </c>
      <c r="B582" t="inlineStr">
        <is>
          <t>GERAL</t>
        </is>
      </c>
      <c r="C582" t="inlineStr">
        <is>
          <t>CMM</t>
        </is>
      </c>
      <c r="D582" t="inlineStr">
        <is>
          <t>IÇAMENTO JOIST</t>
        </is>
      </c>
      <c r="F582" s="159">
        <f>IFERROR(INDEX('BASE METAS DIÁRIAS'!$N$2:$S$358,MATCH($A582,'BASE METAS DIÁRIAS'!$A$2:$A$358,0),MOD(ROW()-2,6)+1),"")</f>
        <v/>
      </c>
      <c r="G582" s="159">
        <f>IFERROR(IF(WEEKDAY($A582,2)&lt;=INDEX('BASE METAS DIÁRIAS'!$H$2:$M$358,MATCH($A582,'BASE METAS DIÁRIAS'!$A$2:$A$358,0),MOD(ROW()-2,6)+1),INDEX('BASE METAS DIÁRIAS'!$B$2:$G$358,MATCH($A582,'BASE METAS DIÁRIAS'!$A$2:$A$358,0),MOD(ROW()-2,6)+1),""),"")</f>
        <v/>
      </c>
      <c r="H582" s="159">
        <f>IFERROR(IF(INDEX('CONTROLE PRODUÇÃO POR EMPRESAS'!$B$6:$G$5000,MATCH($A582,'CONTROLE PRODUÇÃO POR EMPRESAS'!$A$6:$A$5000,0),MOD(ROW()-2,6)+1)="","",IFERROR(1*INDEX('CONTROLE PRODUÇÃO POR EMPRESAS'!$B$6:$G$5000,MATCH($A582,'CONTROLE PRODUÇÃO POR EMPRESAS'!$A$6:$A$5000,0),MOD(ROW()-2,6)+1),"")),"")</f>
        <v/>
      </c>
      <c r="I582" s="159">
        <f>IF(OR(NOT(ISNUMBER(G582)),NOT(ISNUMBER(H582))),"",H582-G582)</f>
        <v/>
      </c>
      <c r="J582" s="319">
        <f>IF(OR(NOT(ISNUMBER(G582)),NOT(ISNUMBER(H582)),G582=0),"",I582/G582)</f>
        <v/>
      </c>
      <c r="K582" s="319">
        <f>IF(OR(NOT(ISNUMBER(G582)),NOT(ISNUMBER(H582)),G582=0),"",H582/G582)</f>
        <v/>
      </c>
      <c r="L582">
        <f>IF(NOT(ISNUMBER(G582)),"SEM META",IF(G582=0,"SEM META",IF(NOT(ISNUMBER(H582)),"SEM APONTAMENTO",IF(H582&gt;=G582,"VERDE",IF(H582&gt;=G582*0.9,"AMARELO","VERMELHO")))))</f>
        <v/>
      </c>
      <c r="M582" s="162" t="n"/>
      <c r="N582" s="162" t="n"/>
      <c r="O582" s="162" t="n"/>
      <c r="P582" s="162" t="n"/>
      <c r="Q582" s="320" t="n"/>
      <c r="R582" s="162" t="inlineStr">
        <is>
          <t>CONTROLE PRODUÇÃO POR EMPRESAS!F102</t>
        </is>
      </c>
    </row>
    <row r="583" ht="28.5" customHeight="1">
      <c r="A583" s="317" t="n">
        <v>46319</v>
      </c>
      <c r="B583" t="inlineStr">
        <is>
          <t>GERAL</t>
        </is>
      </c>
      <c r="C583" t="inlineStr">
        <is>
          <t>CMM</t>
        </is>
      </c>
      <c r="D583" t="inlineStr">
        <is>
          <t>VIGAS</t>
        </is>
      </c>
      <c r="F583" s="159">
        <f>IFERROR(INDEX('BASE METAS DIÁRIAS'!$N$2:$S$358,MATCH($A583,'BASE METAS DIÁRIAS'!$A$2:$A$358,0),MOD(ROW()-2,6)+1),"")</f>
        <v/>
      </c>
      <c r="G583" s="159">
        <f>IFERROR(IF(WEEKDAY($A583,2)&lt;=INDEX('BASE METAS DIÁRIAS'!$H$2:$M$358,MATCH($A583,'BASE METAS DIÁRIAS'!$A$2:$A$358,0),MOD(ROW()-2,6)+1),INDEX('BASE METAS DIÁRIAS'!$B$2:$G$358,MATCH($A583,'BASE METAS DIÁRIAS'!$A$2:$A$358,0),MOD(ROW()-2,6)+1),""),"")</f>
        <v/>
      </c>
      <c r="H583" s="159">
        <f>IFERROR(IF(INDEX('CONTROLE PRODUÇÃO POR EMPRESAS'!$B$6:$G$5000,MATCH($A583,'CONTROLE PRODUÇÃO POR EMPRESAS'!$A$6:$A$5000,0),MOD(ROW()-2,6)+1)="","",IFERROR(1*INDEX('CONTROLE PRODUÇÃO POR EMPRESAS'!$B$6:$G$5000,MATCH($A583,'CONTROLE PRODUÇÃO POR EMPRESAS'!$A$6:$A$5000,0),MOD(ROW()-2,6)+1),"")),"")</f>
        <v/>
      </c>
      <c r="I583" s="159">
        <f>IF(OR(NOT(ISNUMBER(G583)),NOT(ISNUMBER(H583))),"",H583-G583)</f>
        <v/>
      </c>
      <c r="J583" s="319">
        <f>IF(OR(NOT(ISNUMBER(G583)),NOT(ISNUMBER(H583)),G583=0),"",I583/G583)</f>
        <v/>
      </c>
      <c r="K583" s="319">
        <f>IF(OR(NOT(ISNUMBER(G583)),NOT(ISNUMBER(H583)),G583=0),"",H583/G583)</f>
        <v/>
      </c>
      <c r="L583">
        <f>IF(NOT(ISNUMBER(G583)),"SEM META",IF(G583=0,"SEM META",IF(NOT(ISNUMBER(H583)),"SEM APONTAMENTO",IF(H583&gt;=G583,"VERDE",IF(H583&gt;=G583*0.9,"AMARELO","VERMELHO")))))</f>
        <v/>
      </c>
      <c r="M583" s="162" t="n"/>
      <c r="N583" s="162" t="n"/>
      <c r="O583" s="162" t="n"/>
      <c r="P583" s="162" t="n"/>
      <c r="Q583" s="320" t="n"/>
      <c r="R583" s="162" t="inlineStr">
        <is>
          <t>CONTROLE PRODUÇÃO POR EMPRESAS!G102</t>
        </is>
      </c>
    </row>
    <row r="584" ht="28.5" customHeight="1">
      <c r="A584" s="317" t="n">
        <v>46320</v>
      </c>
      <c r="B584" t="inlineStr">
        <is>
          <t>GERAL</t>
        </is>
      </c>
      <c r="C584" t="inlineStr">
        <is>
          <t>EJ</t>
        </is>
      </c>
      <c r="D584" t="inlineStr">
        <is>
          <t>PREMONTAGEM</t>
        </is>
      </c>
      <c r="F584" s="159">
        <f>IFERROR(INDEX('BASE METAS DIÁRIAS'!$N$2:$S$358,MATCH($A584,'BASE METAS DIÁRIAS'!$A$2:$A$358,0),MOD(ROW()-2,6)+1),"")</f>
        <v/>
      </c>
      <c r="G584" s="159">
        <f>IFERROR(IF(WEEKDAY($A584,2)&lt;=INDEX('BASE METAS DIÁRIAS'!$H$2:$M$358,MATCH($A584,'BASE METAS DIÁRIAS'!$A$2:$A$358,0),MOD(ROW()-2,6)+1),INDEX('BASE METAS DIÁRIAS'!$B$2:$G$358,MATCH($A584,'BASE METAS DIÁRIAS'!$A$2:$A$358,0),MOD(ROW()-2,6)+1),""),"")</f>
        <v/>
      </c>
      <c r="H584" s="159">
        <f>IFERROR(IF(INDEX('CONTROLE PRODUÇÃO POR EMPRESAS'!$B$6:$G$5000,MATCH($A584,'CONTROLE PRODUÇÃO POR EMPRESAS'!$A$6:$A$5000,0),MOD(ROW()-2,6)+1)="","",IFERROR(1*INDEX('CONTROLE PRODUÇÃO POR EMPRESAS'!$B$6:$G$5000,MATCH($A584,'CONTROLE PRODUÇÃO POR EMPRESAS'!$A$6:$A$5000,0),MOD(ROW()-2,6)+1),"")),"")</f>
        <v/>
      </c>
      <c r="I584" s="159">
        <f>IF(OR(NOT(ISNUMBER(G584)),NOT(ISNUMBER(H584))),"",H584-G584)</f>
        <v/>
      </c>
      <c r="J584" s="319">
        <f>IF(OR(NOT(ISNUMBER(G584)),NOT(ISNUMBER(H584)),G584=0),"",I584/G584)</f>
        <v/>
      </c>
      <c r="K584" s="319">
        <f>IF(OR(NOT(ISNUMBER(G584)),NOT(ISNUMBER(H584)),G584=0),"",H584/G584)</f>
        <v/>
      </c>
      <c r="L584">
        <f>IF(NOT(ISNUMBER(G584)),"SEM META",IF(G584=0,"SEM META",IF(NOT(ISNUMBER(H584)),"SEM APONTAMENTO",IF(H584&gt;=G584,"VERDE",IF(H584&gt;=G584*0.9,"AMARELO","VERMELHO")))))</f>
        <v/>
      </c>
      <c r="M584" s="162" t="n"/>
      <c r="N584" s="162" t="n"/>
      <c r="O584" s="162" t="n"/>
      <c r="P584" s="162" t="n"/>
      <c r="Q584" s="320" t="n"/>
      <c r="R584" s="162" t="inlineStr">
        <is>
          <t>CONTROLE PRODUÇÃO POR EMPRESAS!B103</t>
        </is>
      </c>
    </row>
    <row r="585" ht="28.5" customHeight="1">
      <c r="A585" s="317" t="n">
        <v>46320</v>
      </c>
      <c r="B585" t="inlineStr">
        <is>
          <t>GERAL</t>
        </is>
      </c>
      <c r="C585" t="inlineStr">
        <is>
          <t>EJ</t>
        </is>
      </c>
      <c r="D585" t="inlineStr">
        <is>
          <t>IÇAMENTO JOIST</t>
        </is>
      </c>
      <c r="F585" s="159">
        <f>IFERROR(INDEX('BASE METAS DIÁRIAS'!$N$2:$S$358,MATCH($A585,'BASE METAS DIÁRIAS'!$A$2:$A$358,0),MOD(ROW()-2,6)+1),"")</f>
        <v/>
      </c>
      <c r="G585" s="159">
        <f>IFERROR(IF(WEEKDAY($A585,2)&lt;=INDEX('BASE METAS DIÁRIAS'!$H$2:$M$358,MATCH($A585,'BASE METAS DIÁRIAS'!$A$2:$A$358,0),MOD(ROW()-2,6)+1),INDEX('BASE METAS DIÁRIAS'!$B$2:$G$358,MATCH($A585,'BASE METAS DIÁRIAS'!$A$2:$A$358,0),MOD(ROW()-2,6)+1),""),"")</f>
        <v/>
      </c>
      <c r="H585" s="159">
        <f>IFERROR(IF(INDEX('CONTROLE PRODUÇÃO POR EMPRESAS'!$B$6:$G$5000,MATCH($A585,'CONTROLE PRODUÇÃO POR EMPRESAS'!$A$6:$A$5000,0),MOD(ROW()-2,6)+1)="","",IFERROR(1*INDEX('CONTROLE PRODUÇÃO POR EMPRESAS'!$B$6:$G$5000,MATCH($A585,'CONTROLE PRODUÇÃO POR EMPRESAS'!$A$6:$A$5000,0),MOD(ROW()-2,6)+1),"")),"")</f>
        <v/>
      </c>
      <c r="I585" s="159">
        <f>IF(OR(NOT(ISNUMBER(G585)),NOT(ISNUMBER(H585))),"",H585-G585)</f>
        <v/>
      </c>
      <c r="J585" s="319">
        <f>IF(OR(NOT(ISNUMBER(G585)),NOT(ISNUMBER(H585)),G585=0),"",I585/G585)</f>
        <v/>
      </c>
      <c r="K585" s="319">
        <f>IF(OR(NOT(ISNUMBER(G585)),NOT(ISNUMBER(H585)),G585=0),"",H585/G585)</f>
        <v/>
      </c>
      <c r="L585">
        <f>IF(NOT(ISNUMBER(G585)),"SEM META",IF(G585=0,"SEM META",IF(NOT(ISNUMBER(H585)),"SEM APONTAMENTO",IF(H585&gt;=G585,"VERDE",IF(H585&gt;=G585*0.9,"AMARELO","VERMELHO")))))</f>
        <v/>
      </c>
      <c r="M585" s="162" t="n"/>
      <c r="N585" s="162" t="n"/>
      <c r="O585" s="162" t="n"/>
      <c r="P585" s="162" t="n"/>
      <c r="Q585" s="320" t="n"/>
      <c r="R585" s="162" t="inlineStr">
        <is>
          <t>CONTROLE PRODUÇÃO POR EMPRESAS!C103</t>
        </is>
      </c>
    </row>
    <row r="586" ht="28.5" customHeight="1">
      <c r="A586" s="317" t="n">
        <v>46320</v>
      </c>
      <c r="B586" t="inlineStr">
        <is>
          <t>GERAL</t>
        </is>
      </c>
      <c r="C586" t="inlineStr">
        <is>
          <t>EJ</t>
        </is>
      </c>
      <c r="D586" t="inlineStr">
        <is>
          <t>VIGAS</t>
        </is>
      </c>
      <c r="F586" s="159">
        <f>IFERROR(INDEX('BASE METAS DIÁRIAS'!$N$2:$S$358,MATCH($A586,'BASE METAS DIÁRIAS'!$A$2:$A$358,0),MOD(ROW()-2,6)+1),"")</f>
        <v/>
      </c>
      <c r="G586" s="159">
        <f>IFERROR(IF(WEEKDAY($A586,2)&lt;=INDEX('BASE METAS DIÁRIAS'!$H$2:$M$358,MATCH($A586,'BASE METAS DIÁRIAS'!$A$2:$A$358,0),MOD(ROW()-2,6)+1),INDEX('BASE METAS DIÁRIAS'!$B$2:$G$358,MATCH($A586,'BASE METAS DIÁRIAS'!$A$2:$A$358,0),MOD(ROW()-2,6)+1),""),"")</f>
        <v/>
      </c>
      <c r="H586" s="159">
        <f>IFERROR(IF(INDEX('CONTROLE PRODUÇÃO POR EMPRESAS'!$B$6:$G$5000,MATCH($A586,'CONTROLE PRODUÇÃO POR EMPRESAS'!$A$6:$A$5000,0),MOD(ROW()-2,6)+1)="","",IFERROR(1*INDEX('CONTROLE PRODUÇÃO POR EMPRESAS'!$B$6:$G$5000,MATCH($A586,'CONTROLE PRODUÇÃO POR EMPRESAS'!$A$6:$A$5000,0),MOD(ROW()-2,6)+1),"")),"")</f>
        <v/>
      </c>
      <c r="I586" s="159">
        <f>IF(OR(NOT(ISNUMBER(G586)),NOT(ISNUMBER(H586))),"",H586-G586)</f>
        <v/>
      </c>
      <c r="J586" s="319">
        <f>IF(OR(NOT(ISNUMBER(G586)),NOT(ISNUMBER(H586)),G586=0),"",I586/G586)</f>
        <v/>
      </c>
      <c r="K586" s="319">
        <f>IF(OR(NOT(ISNUMBER(G586)),NOT(ISNUMBER(H586)),G586=0),"",H586/G586)</f>
        <v/>
      </c>
      <c r="L586">
        <f>IF(NOT(ISNUMBER(G586)),"SEM META",IF(G586=0,"SEM META",IF(NOT(ISNUMBER(H586)),"SEM APONTAMENTO",IF(H586&gt;=G586,"VERDE",IF(H586&gt;=G586*0.9,"AMARELO","VERMELHO")))))</f>
        <v/>
      </c>
      <c r="M586" s="162" t="n"/>
      <c r="N586" s="162" t="n"/>
      <c r="O586" s="162" t="n"/>
      <c r="P586" s="162" t="n"/>
      <c r="Q586" s="320" t="n"/>
      <c r="R586" s="162" t="inlineStr">
        <is>
          <t>CONTROLE PRODUÇÃO POR EMPRESAS!D103</t>
        </is>
      </c>
    </row>
    <row r="587" ht="28.5" customHeight="1">
      <c r="A587" s="317" t="n">
        <v>46320</v>
      </c>
      <c r="B587" t="inlineStr">
        <is>
          <t>GERAL</t>
        </is>
      </c>
      <c r="C587" t="inlineStr">
        <is>
          <t>CMM</t>
        </is>
      </c>
      <c r="D587" t="inlineStr">
        <is>
          <t>PREMONTAGEM</t>
        </is>
      </c>
      <c r="F587" s="159">
        <f>IFERROR(INDEX('BASE METAS DIÁRIAS'!$N$2:$S$358,MATCH($A587,'BASE METAS DIÁRIAS'!$A$2:$A$358,0),MOD(ROW()-2,6)+1),"")</f>
        <v/>
      </c>
      <c r="G587" s="159">
        <f>IFERROR(IF(WEEKDAY($A587,2)&lt;=INDEX('BASE METAS DIÁRIAS'!$H$2:$M$358,MATCH($A587,'BASE METAS DIÁRIAS'!$A$2:$A$358,0),MOD(ROW()-2,6)+1),INDEX('BASE METAS DIÁRIAS'!$B$2:$G$358,MATCH($A587,'BASE METAS DIÁRIAS'!$A$2:$A$358,0),MOD(ROW()-2,6)+1),""),"")</f>
        <v/>
      </c>
      <c r="H587" s="159">
        <f>IFERROR(IF(INDEX('CONTROLE PRODUÇÃO POR EMPRESAS'!$B$6:$G$5000,MATCH($A587,'CONTROLE PRODUÇÃO POR EMPRESAS'!$A$6:$A$5000,0),MOD(ROW()-2,6)+1)="","",IFERROR(1*INDEX('CONTROLE PRODUÇÃO POR EMPRESAS'!$B$6:$G$5000,MATCH($A587,'CONTROLE PRODUÇÃO POR EMPRESAS'!$A$6:$A$5000,0),MOD(ROW()-2,6)+1),"")),"")</f>
        <v/>
      </c>
      <c r="I587" s="159">
        <f>IF(OR(NOT(ISNUMBER(G587)),NOT(ISNUMBER(H587))),"",H587-G587)</f>
        <v/>
      </c>
      <c r="J587" s="319">
        <f>IF(OR(NOT(ISNUMBER(G587)),NOT(ISNUMBER(H587)),G587=0),"",I587/G587)</f>
        <v/>
      </c>
      <c r="K587" s="319">
        <f>IF(OR(NOT(ISNUMBER(G587)),NOT(ISNUMBER(H587)),G587=0),"",H587/G587)</f>
        <v/>
      </c>
      <c r="L587">
        <f>IF(NOT(ISNUMBER(G587)),"SEM META",IF(G587=0,"SEM META",IF(NOT(ISNUMBER(H587)),"SEM APONTAMENTO",IF(H587&gt;=G587,"VERDE",IF(H587&gt;=G587*0.9,"AMARELO","VERMELHO")))))</f>
        <v/>
      </c>
      <c r="M587" s="162" t="n"/>
      <c r="N587" s="162" t="n"/>
      <c r="O587" s="162" t="n"/>
      <c r="P587" s="162" t="n"/>
      <c r="Q587" s="320" t="n"/>
      <c r="R587" s="162" t="inlineStr">
        <is>
          <t>CONTROLE PRODUÇÃO POR EMPRESAS!E103</t>
        </is>
      </c>
    </row>
    <row r="588" ht="28.5" customHeight="1">
      <c r="A588" s="317" t="n">
        <v>46320</v>
      </c>
      <c r="B588" t="inlineStr">
        <is>
          <t>GERAL</t>
        </is>
      </c>
      <c r="C588" t="inlineStr">
        <is>
          <t>CMM</t>
        </is>
      </c>
      <c r="D588" t="inlineStr">
        <is>
          <t>IÇAMENTO JOIST</t>
        </is>
      </c>
      <c r="F588" s="159">
        <f>IFERROR(INDEX('BASE METAS DIÁRIAS'!$N$2:$S$358,MATCH($A588,'BASE METAS DIÁRIAS'!$A$2:$A$358,0),MOD(ROW()-2,6)+1),"")</f>
        <v/>
      </c>
      <c r="G588" s="159">
        <f>IFERROR(IF(WEEKDAY($A588,2)&lt;=INDEX('BASE METAS DIÁRIAS'!$H$2:$M$358,MATCH($A588,'BASE METAS DIÁRIAS'!$A$2:$A$358,0),MOD(ROW()-2,6)+1),INDEX('BASE METAS DIÁRIAS'!$B$2:$G$358,MATCH($A588,'BASE METAS DIÁRIAS'!$A$2:$A$358,0),MOD(ROW()-2,6)+1),""),"")</f>
        <v/>
      </c>
      <c r="H588" s="159">
        <f>IFERROR(IF(INDEX('CONTROLE PRODUÇÃO POR EMPRESAS'!$B$6:$G$5000,MATCH($A588,'CONTROLE PRODUÇÃO POR EMPRESAS'!$A$6:$A$5000,0),MOD(ROW()-2,6)+1)="","",IFERROR(1*INDEX('CONTROLE PRODUÇÃO POR EMPRESAS'!$B$6:$G$5000,MATCH($A588,'CONTROLE PRODUÇÃO POR EMPRESAS'!$A$6:$A$5000,0),MOD(ROW()-2,6)+1),"")),"")</f>
        <v/>
      </c>
      <c r="I588" s="159">
        <f>IF(OR(NOT(ISNUMBER(G588)),NOT(ISNUMBER(H588))),"",H588-G588)</f>
        <v/>
      </c>
      <c r="J588" s="319">
        <f>IF(OR(NOT(ISNUMBER(G588)),NOT(ISNUMBER(H588)),G588=0),"",I588/G588)</f>
        <v/>
      </c>
      <c r="K588" s="319">
        <f>IF(OR(NOT(ISNUMBER(G588)),NOT(ISNUMBER(H588)),G588=0),"",H588/G588)</f>
        <v/>
      </c>
      <c r="L588">
        <f>IF(NOT(ISNUMBER(G588)),"SEM META",IF(G588=0,"SEM META",IF(NOT(ISNUMBER(H588)),"SEM APONTAMENTO",IF(H588&gt;=G588,"VERDE",IF(H588&gt;=G588*0.9,"AMARELO","VERMELHO")))))</f>
        <v/>
      </c>
      <c r="M588" s="162" t="n"/>
      <c r="N588" s="162" t="n"/>
      <c r="O588" s="162" t="n"/>
      <c r="P588" s="162" t="n"/>
      <c r="Q588" s="320" t="n"/>
      <c r="R588" s="162" t="inlineStr">
        <is>
          <t>CONTROLE PRODUÇÃO POR EMPRESAS!F103</t>
        </is>
      </c>
    </row>
    <row r="589" ht="28.5" customHeight="1">
      <c r="A589" s="317" t="n">
        <v>46320</v>
      </c>
      <c r="B589" t="inlineStr">
        <is>
          <t>GERAL</t>
        </is>
      </c>
      <c r="C589" t="inlineStr">
        <is>
          <t>CMM</t>
        </is>
      </c>
      <c r="D589" t="inlineStr">
        <is>
          <t>VIGAS</t>
        </is>
      </c>
      <c r="F589" s="159">
        <f>IFERROR(INDEX('BASE METAS DIÁRIAS'!$N$2:$S$358,MATCH($A589,'BASE METAS DIÁRIAS'!$A$2:$A$358,0),MOD(ROW()-2,6)+1),"")</f>
        <v/>
      </c>
      <c r="G589" s="159">
        <f>IFERROR(IF(WEEKDAY($A589,2)&lt;=INDEX('BASE METAS DIÁRIAS'!$H$2:$M$358,MATCH($A589,'BASE METAS DIÁRIAS'!$A$2:$A$358,0),MOD(ROW()-2,6)+1),INDEX('BASE METAS DIÁRIAS'!$B$2:$G$358,MATCH($A589,'BASE METAS DIÁRIAS'!$A$2:$A$358,0),MOD(ROW()-2,6)+1),""),"")</f>
        <v/>
      </c>
      <c r="H589" s="159">
        <f>IFERROR(IF(INDEX('CONTROLE PRODUÇÃO POR EMPRESAS'!$B$6:$G$5000,MATCH($A589,'CONTROLE PRODUÇÃO POR EMPRESAS'!$A$6:$A$5000,0),MOD(ROW()-2,6)+1)="","",IFERROR(1*INDEX('CONTROLE PRODUÇÃO POR EMPRESAS'!$B$6:$G$5000,MATCH($A589,'CONTROLE PRODUÇÃO POR EMPRESAS'!$A$6:$A$5000,0),MOD(ROW()-2,6)+1),"")),"")</f>
        <v/>
      </c>
      <c r="I589" s="159">
        <f>IF(OR(NOT(ISNUMBER(G589)),NOT(ISNUMBER(H589))),"",H589-G589)</f>
        <v/>
      </c>
      <c r="J589" s="319">
        <f>IF(OR(NOT(ISNUMBER(G589)),NOT(ISNUMBER(H589)),G589=0),"",I589/G589)</f>
        <v/>
      </c>
      <c r="K589" s="319">
        <f>IF(OR(NOT(ISNUMBER(G589)),NOT(ISNUMBER(H589)),G589=0),"",H589/G589)</f>
        <v/>
      </c>
      <c r="L589">
        <f>IF(NOT(ISNUMBER(G589)),"SEM META",IF(G589=0,"SEM META",IF(NOT(ISNUMBER(H589)),"SEM APONTAMENTO",IF(H589&gt;=G589,"VERDE",IF(H589&gt;=G589*0.9,"AMARELO","VERMELHO")))))</f>
        <v/>
      </c>
      <c r="M589" s="162" t="n"/>
      <c r="N589" s="162" t="n"/>
      <c r="O589" s="162" t="n"/>
      <c r="P589" s="162" t="n"/>
      <c r="Q589" s="320" t="n"/>
      <c r="R589" s="162" t="inlineStr">
        <is>
          <t>CONTROLE PRODUÇÃO POR EMPRESAS!G103</t>
        </is>
      </c>
    </row>
    <row r="590" ht="28.5" customHeight="1">
      <c r="A590" s="317" t="n">
        <v>46321</v>
      </c>
      <c r="B590" t="inlineStr">
        <is>
          <t>GERAL</t>
        </is>
      </c>
      <c r="C590" t="inlineStr">
        <is>
          <t>EJ</t>
        </is>
      </c>
      <c r="D590" t="inlineStr">
        <is>
          <t>PREMONTAGEM</t>
        </is>
      </c>
      <c r="F590" s="159">
        <f>IFERROR(INDEX('BASE METAS DIÁRIAS'!$N$2:$S$358,MATCH($A590,'BASE METAS DIÁRIAS'!$A$2:$A$358,0),MOD(ROW()-2,6)+1),"")</f>
        <v/>
      </c>
      <c r="G590" s="159">
        <f>IFERROR(IF(WEEKDAY($A590,2)&lt;=INDEX('BASE METAS DIÁRIAS'!$H$2:$M$358,MATCH($A590,'BASE METAS DIÁRIAS'!$A$2:$A$358,0),MOD(ROW()-2,6)+1),INDEX('BASE METAS DIÁRIAS'!$B$2:$G$358,MATCH($A590,'BASE METAS DIÁRIAS'!$A$2:$A$358,0),MOD(ROW()-2,6)+1),""),"")</f>
        <v/>
      </c>
      <c r="H590" s="159">
        <f>IFERROR(IF(INDEX('CONTROLE PRODUÇÃO POR EMPRESAS'!$B$6:$G$5000,MATCH($A590,'CONTROLE PRODUÇÃO POR EMPRESAS'!$A$6:$A$5000,0),MOD(ROW()-2,6)+1)="","",IFERROR(1*INDEX('CONTROLE PRODUÇÃO POR EMPRESAS'!$B$6:$G$5000,MATCH($A590,'CONTROLE PRODUÇÃO POR EMPRESAS'!$A$6:$A$5000,0),MOD(ROW()-2,6)+1),"")),"")</f>
        <v/>
      </c>
      <c r="I590" s="159">
        <f>IF(OR(NOT(ISNUMBER(G590)),NOT(ISNUMBER(H590))),"",H590-G590)</f>
        <v/>
      </c>
      <c r="J590" s="319">
        <f>IF(OR(NOT(ISNUMBER(G590)),NOT(ISNUMBER(H590)),G590=0),"",I590/G590)</f>
        <v/>
      </c>
      <c r="K590" s="319">
        <f>IF(OR(NOT(ISNUMBER(G590)),NOT(ISNUMBER(H590)),G590=0),"",H590/G590)</f>
        <v/>
      </c>
      <c r="L590">
        <f>IF(NOT(ISNUMBER(G590)),"SEM META",IF(G590=0,"SEM META",IF(NOT(ISNUMBER(H590)),"SEM APONTAMENTO",IF(H590&gt;=G590,"VERDE",IF(H590&gt;=G590*0.9,"AMARELO","VERMELHO")))))</f>
        <v/>
      </c>
      <c r="M590" s="162" t="n"/>
      <c r="N590" s="162" t="n"/>
      <c r="O590" s="162" t="n"/>
      <c r="P590" s="162" t="n"/>
      <c r="Q590" s="320" t="n"/>
      <c r="R590" s="162" t="inlineStr">
        <is>
          <t>CONTROLE PRODUÇÃO POR EMPRESAS!B104</t>
        </is>
      </c>
    </row>
    <row r="591" ht="28.5" customHeight="1">
      <c r="A591" s="317" t="n">
        <v>46321</v>
      </c>
      <c r="B591" t="inlineStr">
        <is>
          <t>GERAL</t>
        </is>
      </c>
      <c r="C591" t="inlineStr">
        <is>
          <t>EJ</t>
        </is>
      </c>
      <c r="D591" t="inlineStr">
        <is>
          <t>IÇAMENTO JOIST</t>
        </is>
      </c>
      <c r="F591" s="159">
        <f>IFERROR(INDEX('BASE METAS DIÁRIAS'!$N$2:$S$358,MATCH($A591,'BASE METAS DIÁRIAS'!$A$2:$A$358,0),MOD(ROW()-2,6)+1),"")</f>
        <v/>
      </c>
      <c r="G591" s="159">
        <f>IFERROR(IF(WEEKDAY($A591,2)&lt;=INDEX('BASE METAS DIÁRIAS'!$H$2:$M$358,MATCH($A591,'BASE METAS DIÁRIAS'!$A$2:$A$358,0),MOD(ROW()-2,6)+1),INDEX('BASE METAS DIÁRIAS'!$B$2:$G$358,MATCH($A591,'BASE METAS DIÁRIAS'!$A$2:$A$358,0),MOD(ROW()-2,6)+1),""),"")</f>
        <v/>
      </c>
      <c r="H591" s="159">
        <f>IFERROR(IF(INDEX('CONTROLE PRODUÇÃO POR EMPRESAS'!$B$6:$G$5000,MATCH($A591,'CONTROLE PRODUÇÃO POR EMPRESAS'!$A$6:$A$5000,0),MOD(ROW()-2,6)+1)="","",IFERROR(1*INDEX('CONTROLE PRODUÇÃO POR EMPRESAS'!$B$6:$G$5000,MATCH($A591,'CONTROLE PRODUÇÃO POR EMPRESAS'!$A$6:$A$5000,0),MOD(ROW()-2,6)+1),"")),"")</f>
        <v/>
      </c>
      <c r="I591" s="159">
        <f>IF(OR(NOT(ISNUMBER(G591)),NOT(ISNUMBER(H591))),"",H591-G591)</f>
        <v/>
      </c>
      <c r="J591" s="319">
        <f>IF(OR(NOT(ISNUMBER(G591)),NOT(ISNUMBER(H591)),G591=0),"",I591/G591)</f>
        <v/>
      </c>
      <c r="K591" s="319">
        <f>IF(OR(NOT(ISNUMBER(G591)),NOT(ISNUMBER(H591)),G591=0),"",H591/G591)</f>
        <v/>
      </c>
      <c r="L591">
        <f>IF(NOT(ISNUMBER(G591)),"SEM META",IF(G591=0,"SEM META",IF(NOT(ISNUMBER(H591)),"SEM APONTAMENTO",IF(H591&gt;=G591,"VERDE",IF(H591&gt;=G591*0.9,"AMARELO","VERMELHO")))))</f>
        <v/>
      </c>
      <c r="M591" s="162" t="n"/>
      <c r="N591" s="162" t="n"/>
      <c r="O591" s="162" t="n"/>
      <c r="P591" s="162" t="n"/>
      <c r="Q591" s="320" t="n"/>
      <c r="R591" s="162" t="inlineStr">
        <is>
          <t>CONTROLE PRODUÇÃO POR EMPRESAS!C104</t>
        </is>
      </c>
    </row>
    <row r="592" ht="28.5" customHeight="1">
      <c r="A592" s="317" t="n">
        <v>46321</v>
      </c>
      <c r="B592" t="inlineStr">
        <is>
          <t>GERAL</t>
        </is>
      </c>
      <c r="C592" t="inlineStr">
        <is>
          <t>EJ</t>
        </is>
      </c>
      <c r="D592" t="inlineStr">
        <is>
          <t>VIGAS</t>
        </is>
      </c>
      <c r="F592" s="159">
        <f>IFERROR(INDEX('BASE METAS DIÁRIAS'!$N$2:$S$358,MATCH($A592,'BASE METAS DIÁRIAS'!$A$2:$A$358,0),MOD(ROW()-2,6)+1),"")</f>
        <v/>
      </c>
      <c r="G592" s="159">
        <f>IFERROR(IF(WEEKDAY($A592,2)&lt;=INDEX('BASE METAS DIÁRIAS'!$H$2:$M$358,MATCH($A592,'BASE METAS DIÁRIAS'!$A$2:$A$358,0),MOD(ROW()-2,6)+1),INDEX('BASE METAS DIÁRIAS'!$B$2:$G$358,MATCH($A592,'BASE METAS DIÁRIAS'!$A$2:$A$358,0),MOD(ROW()-2,6)+1),""),"")</f>
        <v/>
      </c>
      <c r="H592" s="159">
        <f>IFERROR(IF(INDEX('CONTROLE PRODUÇÃO POR EMPRESAS'!$B$6:$G$5000,MATCH($A592,'CONTROLE PRODUÇÃO POR EMPRESAS'!$A$6:$A$5000,0),MOD(ROW()-2,6)+1)="","",IFERROR(1*INDEX('CONTROLE PRODUÇÃO POR EMPRESAS'!$B$6:$G$5000,MATCH($A592,'CONTROLE PRODUÇÃO POR EMPRESAS'!$A$6:$A$5000,0),MOD(ROW()-2,6)+1),"")),"")</f>
        <v/>
      </c>
      <c r="I592" s="159">
        <f>IF(OR(NOT(ISNUMBER(G592)),NOT(ISNUMBER(H592))),"",H592-G592)</f>
        <v/>
      </c>
      <c r="J592" s="319">
        <f>IF(OR(NOT(ISNUMBER(G592)),NOT(ISNUMBER(H592)),G592=0),"",I592/G592)</f>
        <v/>
      </c>
      <c r="K592" s="319">
        <f>IF(OR(NOT(ISNUMBER(G592)),NOT(ISNUMBER(H592)),G592=0),"",H592/G592)</f>
        <v/>
      </c>
      <c r="L592">
        <f>IF(NOT(ISNUMBER(G592)),"SEM META",IF(G592=0,"SEM META",IF(NOT(ISNUMBER(H592)),"SEM APONTAMENTO",IF(H592&gt;=G592,"VERDE",IF(H592&gt;=G592*0.9,"AMARELO","VERMELHO")))))</f>
        <v/>
      </c>
      <c r="M592" s="162" t="n"/>
      <c r="N592" s="162" t="n"/>
      <c r="O592" s="162" t="n"/>
      <c r="P592" s="162" t="n"/>
      <c r="Q592" s="320" t="n"/>
      <c r="R592" s="162" t="inlineStr">
        <is>
          <t>CONTROLE PRODUÇÃO POR EMPRESAS!D104</t>
        </is>
      </c>
    </row>
    <row r="593" ht="28.5" customHeight="1">
      <c r="A593" s="317" t="n">
        <v>46321</v>
      </c>
      <c r="B593" t="inlineStr">
        <is>
          <t>GERAL</t>
        </is>
      </c>
      <c r="C593" t="inlineStr">
        <is>
          <t>CMM</t>
        </is>
      </c>
      <c r="D593" t="inlineStr">
        <is>
          <t>PREMONTAGEM</t>
        </is>
      </c>
      <c r="F593" s="159">
        <f>IFERROR(INDEX('BASE METAS DIÁRIAS'!$N$2:$S$358,MATCH($A593,'BASE METAS DIÁRIAS'!$A$2:$A$358,0),MOD(ROW()-2,6)+1),"")</f>
        <v/>
      </c>
      <c r="G593" s="159">
        <f>IFERROR(IF(WEEKDAY($A593,2)&lt;=INDEX('BASE METAS DIÁRIAS'!$H$2:$M$358,MATCH($A593,'BASE METAS DIÁRIAS'!$A$2:$A$358,0),MOD(ROW()-2,6)+1),INDEX('BASE METAS DIÁRIAS'!$B$2:$G$358,MATCH($A593,'BASE METAS DIÁRIAS'!$A$2:$A$358,0),MOD(ROW()-2,6)+1),""),"")</f>
        <v/>
      </c>
      <c r="H593" s="159">
        <f>IFERROR(IF(INDEX('CONTROLE PRODUÇÃO POR EMPRESAS'!$B$6:$G$5000,MATCH($A593,'CONTROLE PRODUÇÃO POR EMPRESAS'!$A$6:$A$5000,0),MOD(ROW()-2,6)+1)="","",IFERROR(1*INDEX('CONTROLE PRODUÇÃO POR EMPRESAS'!$B$6:$G$5000,MATCH($A593,'CONTROLE PRODUÇÃO POR EMPRESAS'!$A$6:$A$5000,0),MOD(ROW()-2,6)+1),"")),"")</f>
        <v/>
      </c>
      <c r="I593" s="159">
        <f>IF(OR(NOT(ISNUMBER(G593)),NOT(ISNUMBER(H593))),"",H593-G593)</f>
        <v/>
      </c>
      <c r="J593" s="319">
        <f>IF(OR(NOT(ISNUMBER(G593)),NOT(ISNUMBER(H593)),G593=0),"",I593/G593)</f>
        <v/>
      </c>
      <c r="K593" s="319">
        <f>IF(OR(NOT(ISNUMBER(G593)),NOT(ISNUMBER(H593)),G593=0),"",H593/G593)</f>
        <v/>
      </c>
      <c r="L593">
        <f>IF(NOT(ISNUMBER(G593)),"SEM META",IF(G593=0,"SEM META",IF(NOT(ISNUMBER(H593)),"SEM APONTAMENTO",IF(H593&gt;=G593,"VERDE",IF(H593&gt;=G593*0.9,"AMARELO","VERMELHO")))))</f>
        <v/>
      </c>
      <c r="M593" s="162" t="n"/>
      <c r="N593" s="162" t="n"/>
      <c r="O593" s="162" t="n"/>
      <c r="P593" s="162" t="n"/>
      <c r="Q593" s="320" t="n"/>
      <c r="R593" s="162" t="inlineStr">
        <is>
          <t>CONTROLE PRODUÇÃO POR EMPRESAS!E104</t>
        </is>
      </c>
    </row>
    <row r="594" ht="28.5" customHeight="1">
      <c r="A594" s="317" t="n">
        <v>46321</v>
      </c>
      <c r="B594" t="inlineStr">
        <is>
          <t>GERAL</t>
        </is>
      </c>
      <c r="C594" t="inlineStr">
        <is>
          <t>CMM</t>
        </is>
      </c>
      <c r="D594" t="inlineStr">
        <is>
          <t>IÇAMENTO JOIST</t>
        </is>
      </c>
      <c r="F594" s="159">
        <f>IFERROR(INDEX('BASE METAS DIÁRIAS'!$N$2:$S$358,MATCH($A594,'BASE METAS DIÁRIAS'!$A$2:$A$358,0),MOD(ROW()-2,6)+1),"")</f>
        <v/>
      </c>
      <c r="G594" s="159">
        <f>IFERROR(IF(WEEKDAY($A594,2)&lt;=INDEX('BASE METAS DIÁRIAS'!$H$2:$M$358,MATCH($A594,'BASE METAS DIÁRIAS'!$A$2:$A$358,0),MOD(ROW()-2,6)+1),INDEX('BASE METAS DIÁRIAS'!$B$2:$G$358,MATCH($A594,'BASE METAS DIÁRIAS'!$A$2:$A$358,0),MOD(ROW()-2,6)+1),""),"")</f>
        <v/>
      </c>
      <c r="H594" s="159">
        <f>IFERROR(IF(INDEX('CONTROLE PRODUÇÃO POR EMPRESAS'!$B$6:$G$5000,MATCH($A594,'CONTROLE PRODUÇÃO POR EMPRESAS'!$A$6:$A$5000,0),MOD(ROW()-2,6)+1)="","",IFERROR(1*INDEX('CONTROLE PRODUÇÃO POR EMPRESAS'!$B$6:$G$5000,MATCH($A594,'CONTROLE PRODUÇÃO POR EMPRESAS'!$A$6:$A$5000,0),MOD(ROW()-2,6)+1),"")),"")</f>
        <v/>
      </c>
      <c r="I594" s="159">
        <f>IF(OR(NOT(ISNUMBER(G594)),NOT(ISNUMBER(H594))),"",H594-G594)</f>
        <v/>
      </c>
      <c r="J594" s="319">
        <f>IF(OR(NOT(ISNUMBER(G594)),NOT(ISNUMBER(H594)),G594=0),"",I594/G594)</f>
        <v/>
      </c>
      <c r="K594" s="319">
        <f>IF(OR(NOT(ISNUMBER(G594)),NOT(ISNUMBER(H594)),G594=0),"",H594/G594)</f>
        <v/>
      </c>
      <c r="L594">
        <f>IF(NOT(ISNUMBER(G594)),"SEM META",IF(G594=0,"SEM META",IF(NOT(ISNUMBER(H594)),"SEM APONTAMENTO",IF(H594&gt;=G594,"VERDE",IF(H594&gt;=G594*0.9,"AMARELO","VERMELHO")))))</f>
        <v/>
      </c>
      <c r="M594" s="162" t="n"/>
      <c r="N594" s="162" t="n"/>
      <c r="O594" s="162" t="n"/>
      <c r="P594" s="162" t="n"/>
      <c r="Q594" s="320" t="n"/>
      <c r="R594" s="162" t="inlineStr">
        <is>
          <t>CONTROLE PRODUÇÃO POR EMPRESAS!F104</t>
        </is>
      </c>
    </row>
    <row r="595" ht="28.5" customHeight="1">
      <c r="A595" s="317" t="n">
        <v>46321</v>
      </c>
      <c r="B595" t="inlineStr">
        <is>
          <t>GERAL</t>
        </is>
      </c>
      <c r="C595" t="inlineStr">
        <is>
          <t>CMM</t>
        </is>
      </c>
      <c r="D595" t="inlineStr">
        <is>
          <t>VIGAS</t>
        </is>
      </c>
      <c r="F595" s="159">
        <f>IFERROR(INDEX('BASE METAS DIÁRIAS'!$N$2:$S$358,MATCH($A595,'BASE METAS DIÁRIAS'!$A$2:$A$358,0),MOD(ROW()-2,6)+1),"")</f>
        <v/>
      </c>
      <c r="G595" s="159">
        <f>IFERROR(IF(WEEKDAY($A595,2)&lt;=INDEX('BASE METAS DIÁRIAS'!$H$2:$M$358,MATCH($A595,'BASE METAS DIÁRIAS'!$A$2:$A$358,0),MOD(ROW()-2,6)+1),INDEX('BASE METAS DIÁRIAS'!$B$2:$G$358,MATCH($A595,'BASE METAS DIÁRIAS'!$A$2:$A$358,0),MOD(ROW()-2,6)+1),""),"")</f>
        <v/>
      </c>
      <c r="H595" s="159">
        <f>IFERROR(IF(INDEX('CONTROLE PRODUÇÃO POR EMPRESAS'!$B$6:$G$5000,MATCH($A595,'CONTROLE PRODUÇÃO POR EMPRESAS'!$A$6:$A$5000,0),MOD(ROW()-2,6)+1)="","",IFERROR(1*INDEX('CONTROLE PRODUÇÃO POR EMPRESAS'!$B$6:$G$5000,MATCH($A595,'CONTROLE PRODUÇÃO POR EMPRESAS'!$A$6:$A$5000,0),MOD(ROW()-2,6)+1),"")),"")</f>
        <v/>
      </c>
      <c r="I595" s="159">
        <f>IF(OR(NOT(ISNUMBER(G595)),NOT(ISNUMBER(H595))),"",H595-G595)</f>
        <v/>
      </c>
      <c r="J595" s="319">
        <f>IF(OR(NOT(ISNUMBER(G595)),NOT(ISNUMBER(H595)),G595=0),"",I595/G595)</f>
        <v/>
      </c>
      <c r="K595" s="319">
        <f>IF(OR(NOT(ISNUMBER(G595)),NOT(ISNUMBER(H595)),G595=0),"",H595/G595)</f>
        <v/>
      </c>
      <c r="L595">
        <f>IF(NOT(ISNUMBER(G595)),"SEM META",IF(G595=0,"SEM META",IF(NOT(ISNUMBER(H595)),"SEM APONTAMENTO",IF(H595&gt;=G595,"VERDE",IF(H595&gt;=G595*0.9,"AMARELO","VERMELHO")))))</f>
        <v/>
      </c>
      <c r="M595" s="162" t="n"/>
      <c r="N595" s="162" t="n"/>
      <c r="O595" s="162" t="n"/>
      <c r="P595" s="162" t="n"/>
      <c r="Q595" s="320" t="n"/>
      <c r="R595" s="162" t="inlineStr">
        <is>
          <t>CONTROLE PRODUÇÃO POR EMPRESAS!G104</t>
        </is>
      </c>
    </row>
    <row r="596" ht="28.5" customHeight="1">
      <c r="A596" s="317" t="n">
        <v>46322</v>
      </c>
      <c r="B596" t="inlineStr">
        <is>
          <t>GERAL</t>
        </is>
      </c>
      <c r="C596" t="inlineStr">
        <is>
          <t>EJ</t>
        </is>
      </c>
      <c r="D596" t="inlineStr">
        <is>
          <t>PREMONTAGEM</t>
        </is>
      </c>
      <c r="F596" s="159">
        <f>IFERROR(INDEX('BASE METAS DIÁRIAS'!$N$2:$S$358,MATCH($A596,'BASE METAS DIÁRIAS'!$A$2:$A$358,0),MOD(ROW()-2,6)+1),"")</f>
        <v/>
      </c>
      <c r="G596" s="159">
        <f>IFERROR(IF(WEEKDAY($A596,2)&lt;=INDEX('BASE METAS DIÁRIAS'!$H$2:$M$358,MATCH($A596,'BASE METAS DIÁRIAS'!$A$2:$A$358,0),MOD(ROW()-2,6)+1),INDEX('BASE METAS DIÁRIAS'!$B$2:$G$358,MATCH($A596,'BASE METAS DIÁRIAS'!$A$2:$A$358,0),MOD(ROW()-2,6)+1),""),"")</f>
        <v/>
      </c>
      <c r="H596" s="159">
        <f>IFERROR(IF(INDEX('CONTROLE PRODUÇÃO POR EMPRESAS'!$B$6:$G$5000,MATCH($A596,'CONTROLE PRODUÇÃO POR EMPRESAS'!$A$6:$A$5000,0),MOD(ROW()-2,6)+1)="","",IFERROR(1*INDEX('CONTROLE PRODUÇÃO POR EMPRESAS'!$B$6:$G$5000,MATCH($A596,'CONTROLE PRODUÇÃO POR EMPRESAS'!$A$6:$A$5000,0),MOD(ROW()-2,6)+1),"")),"")</f>
        <v/>
      </c>
      <c r="I596" s="159">
        <f>IF(OR(NOT(ISNUMBER(G596)),NOT(ISNUMBER(H596))),"",H596-G596)</f>
        <v/>
      </c>
      <c r="J596" s="319">
        <f>IF(OR(NOT(ISNUMBER(G596)),NOT(ISNUMBER(H596)),G596=0),"",I596/G596)</f>
        <v/>
      </c>
      <c r="K596" s="319">
        <f>IF(OR(NOT(ISNUMBER(G596)),NOT(ISNUMBER(H596)),G596=0),"",H596/G596)</f>
        <v/>
      </c>
      <c r="L596">
        <f>IF(NOT(ISNUMBER(G596)),"SEM META",IF(G596=0,"SEM META",IF(NOT(ISNUMBER(H596)),"SEM APONTAMENTO",IF(H596&gt;=G596,"VERDE",IF(H596&gt;=G596*0.9,"AMARELO","VERMELHO")))))</f>
        <v/>
      </c>
      <c r="M596" s="162" t="n"/>
      <c r="N596" s="162" t="n"/>
      <c r="O596" s="162" t="n"/>
      <c r="P596" s="162" t="n"/>
      <c r="Q596" s="320" t="n"/>
      <c r="R596" s="162" t="inlineStr">
        <is>
          <t>CONTROLE PRODUÇÃO POR EMPRESAS!B105</t>
        </is>
      </c>
    </row>
    <row r="597" ht="28.5" customHeight="1">
      <c r="A597" s="317" t="n">
        <v>46322</v>
      </c>
      <c r="B597" t="inlineStr">
        <is>
          <t>GERAL</t>
        </is>
      </c>
      <c r="C597" t="inlineStr">
        <is>
          <t>EJ</t>
        </is>
      </c>
      <c r="D597" t="inlineStr">
        <is>
          <t>IÇAMENTO JOIST</t>
        </is>
      </c>
      <c r="F597" s="159">
        <f>IFERROR(INDEX('BASE METAS DIÁRIAS'!$N$2:$S$358,MATCH($A597,'BASE METAS DIÁRIAS'!$A$2:$A$358,0),MOD(ROW()-2,6)+1),"")</f>
        <v/>
      </c>
      <c r="G597" s="159">
        <f>IFERROR(IF(WEEKDAY($A597,2)&lt;=INDEX('BASE METAS DIÁRIAS'!$H$2:$M$358,MATCH($A597,'BASE METAS DIÁRIAS'!$A$2:$A$358,0),MOD(ROW()-2,6)+1),INDEX('BASE METAS DIÁRIAS'!$B$2:$G$358,MATCH($A597,'BASE METAS DIÁRIAS'!$A$2:$A$358,0),MOD(ROW()-2,6)+1),""),"")</f>
        <v/>
      </c>
      <c r="H597" s="159">
        <f>IFERROR(IF(INDEX('CONTROLE PRODUÇÃO POR EMPRESAS'!$B$6:$G$5000,MATCH($A597,'CONTROLE PRODUÇÃO POR EMPRESAS'!$A$6:$A$5000,0),MOD(ROW()-2,6)+1)="","",IFERROR(1*INDEX('CONTROLE PRODUÇÃO POR EMPRESAS'!$B$6:$G$5000,MATCH($A597,'CONTROLE PRODUÇÃO POR EMPRESAS'!$A$6:$A$5000,0),MOD(ROW()-2,6)+1),"")),"")</f>
        <v/>
      </c>
      <c r="I597" s="159">
        <f>IF(OR(NOT(ISNUMBER(G597)),NOT(ISNUMBER(H597))),"",H597-G597)</f>
        <v/>
      </c>
      <c r="J597" s="319">
        <f>IF(OR(NOT(ISNUMBER(G597)),NOT(ISNUMBER(H597)),G597=0),"",I597/G597)</f>
        <v/>
      </c>
      <c r="K597" s="319">
        <f>IF(OR(NOT(ISNUMBER(G597)),NOT(ISNUMBER(H597)),G597=0),"",H597/G597)</f>
        <v/>
      </c>
      <c r="L597">
        <f>IF(NOT(ISNUMBER(G597)),"SEM META",IF(G597=0,"SEM META",IF(NOT(ISNUMBER(H597)),"SEM APONTAMENTO",IF(H597&gt;=G597,"VERDE",IF(H597&gt;=G597*0.9,"AMARELO","VERMELHO")))))</f>
        <v/>
      </c>
      <c r="M597" s="162" t="n"/>
      <c r="N597" s="162" t="n"/>
      <c r="O597" s="162" t="n"/>
      <c r="P597" s="162" t="n"/>
      <c r="Q597" s="320" t="n"/>
      <c r="R597" s="162" t="inlineStr">
        <is>
          <t>CONTROLE PRODUÇÃO POR EMPRESAS!C105</t>
        </is>
      </c>
    </row>
    <row r="598" ht="28.5" customHeight="1">
      <c r="A598" s="317" t="n">
        <v>46322</v>
      </c>
      <c r="B598" t="inlineStr">
        <is>
          <t>GERAL</t>
        </is>
      </c>
      <c r="C598" t="inlineStr">
        <is>
          <t>EJ</t>
        </is>
      </c>
      <c r="D598" t="inlineStr">
        <is>
          <t>VIGAS</t>
        </is>
      </c>
      <c r="F598" s="159">
        <f>IFERROR(INDEX('BASE METAS DIÁRIAS'!$N$2:$S$358,MATCH($A598,'BASE METAS DIÁRIAS'!$A$2:$A$358,0),MOD(ROW()-2,6)+1),"")</f>
        <v/>
      </c>
      <c r="G598" s="159">
        <f>IFERROR(IF(WEEKDAY($A598,2)&lt;=INDEX('BASE METAS DIÁRIAS'!$H$2:$M$358,MATCH($A598,'BASE METAS DIÁRIAS'!$A$2:$A$358,0),MOD(ROW()-2,6)+1),INDEX('BASE METAS DIÁRIAS'!$B$2:$G$358,MATCH($A598,'BASE METAS DIÁRIAS'!$A$2:$A$358,0),MOD(ROW()-2,6)+1),""),"")</f>
        <v/>
      </c>
      <c r="H598" s="159">
        <f>IFERROR(IF(INDEX('CONTROLE PRODUÇÃO POR EMPRESAS'!$B$6:$G$5000,MATCH($A598,'CONTROLE PRODUÇÃO POR EMPRESAS'!$A$6:$A$5000,0),MOD(ROW()-2,6)+1)="","",IFERROR(1*INDEX('CONTROLE PRODUÇÃO POR EMPRESAS'!$B$6:$G$5000,MATCH($A598,'CONTROLE PRODUÇÃO POR EMPRESAS'!$A$6:$A$5000,0),MOD(ROW()-2,6)+1),"")),"")</f>
        <v/>
      </c>
      <c r="I598" s="159">
        <f>IF(OR(NOT(ISNUMBER(G598)),NOT(ISNUMBER(H598))),"",H598-G598)</f>
        <v/>
      </c>
      <c r="J598" s="319">
        <f>IF(OR(NOT(ISNUMBER(G598)),NOT(ISNUMBER(H598)),G598=0),"",I598/G598)</f>
        <v/>
      </c>
      <c r="K598" s="319">
        <f>IF(OR(NOT(ISNUMBER(G598)),NOT(ISNUMBER(H598)),G598=0),"",H598/G598)</f>
        <v/>
      </c>
      <c r="L598">
        <f>IF(NOT(ISNUMBER(G598)),"SEM META",IF(G598=0,"SEM META",IF(NOT(ISNUMBER(H598)),"SEM APONTAMENTO",IF(H598&gt;=G598,"VERDE",IF(H598&gt;=G598*0.9,"AMARELO","VERMELHO")))))</f>
        <v/>
      </c>
      <c r="M598" s="162" t="n"/>
      <c r="N598" s="162" t="n"/>
      <c r="O598" s="162" t="n"/>
      <c r="P598" s="162" t="n"/>
      <c r="Q598" s="320" t="n"/>
      <c r="R598" s="162" t="inlineStr">
        <is>
          <t>CONTROLE PRODUÇÃO POR EMPRESAS!D105</t>
        </is>
      </c>
    </row>
    <row r="599" ht="28.5" customHeight="1">
      <c r="A599" s="317" t="n">
        <v>46322</v>
      </c>
      <c r="B599" t="inlineStr">
        <is>
          <t>GERAL</t>
        </is>
      </c>
      <c r="C599" t="inlineStr">
        <is>
          <t>CMM</t>
        </is>
      </c>
      <c r="D599" t="inlineStr">
        <is>
          <t>PREMONTAGEM</t>
        </is>
      </c>
      <c r="F599" s="159">
        <f>IFERROR(INDEX('BASE METAS DIÁRIAS'!$N$2:$S$358,MATCH($A599,'BASE METAS DIÁRIAS'!$A$2:$A$358,0),MOD(ROW()-2,6)+1),"")</f>
        <v/>
      </c>
      <c r="G599" s="159">
        <f>IFERROR(IF(WEEKDAY($A599,2)&lt;=INDEX('BASE METAS DIÁRIAS'!$H$2:$M$358,MATCH($A599,'BASE METAS DIÁRIAS'!$A$2:$A$358,0),MOD(ROW()-2,6)+1),INDEX('BASE METAS DIÁRIAS'!$B$2:$G$358,MATCH($A599,'BASE METAS DIÁRIAS'!$A$2:$A$358,0),MOD(ROW()-2,6)+1),""),"")</f>
        <v/>
      </c>
      <c r="H599" s="159">
        <f>IFERROR(IF(INDEX('CONTROLE PRODUÇÃO POR EMPRESAS'!$B$6:$G$5000,MATCH($A599,'CONTROLE PRODUÇÃO POR EMPRESAS'!$A$6:$A$5000,0),MOD(ROW()-2,6)+1)="","",IFERROR(1*INDEX('CONTROLE PRODUÇÃO POR EMPRESAS'!$B$6:$G$5000,MATCH($A599,'CONTROLE PRODUÇÃO POR EMPRESAS'!$A$6:$A$5000,0),MOD(ROW()-2,6)+1),"")),"")</f>
        <v/>
      </c>
      <c r="I599" s="159">
        <f>IF(OR(NOT(ISNUMBER(G599)),NOT(ISNUMBER(H599))),"",H599-G599)</f>
        <v/>
      </c>
      <c r="J599" s="319">
        <f>IF(OR(NOT(ISNUMBER(G599)),NOT(ISNUMBER(H599)),G599=0),"",I599/G599)</f>
        <v/>
      </c>
      <c r="K599" s="319">
        <f>IF(OR(NOT(ISNUMBER(G599)),NOT(ISNUMBER(H599)),G599=0),"",H599/G599)</f>
        <v/>
      </c>
      <c r="L599">
        <f>IF(NOT(ISNUMBER(G599)),"SEM META",IF(G599=0,"SEM META",IF(NOT(ISNUMBER(H599)),"SEM APONTAMENTO",IF(H599&gt;=G599,"VERDE",IF(H599&gt;=G599*0.9,"AMARELO","VERMELHO")))))</f>
        <v/>
      </c>
      <c r="M599" s="162" t="n"/>
      <c r="N599" s="162" t="n"/>
      <c r="O599" s="162" t="n"/>
      <c r="P599" s="162" t="n"/>
      <c r="Q599" s="320" t="n"/>
      <c r="R599" s="162" t="inlineStr">
        <is>
          <t>CONTROLE PRODUÇÃO POR EMPRESAS!E105</t>
        </is>
      </c>
    </row>
    <row r="600" ht="28.5" customHeight="1">
      <c r="A600" s="317" t="n">
        <v>46322</v>
      </c>
      <c r="B600" t="inlineStr">
        <is>
          <t>GERAL</t>
        </is>
      </c>
      <c r="C600" t="inlineStr">
        <is>
          <t>CMM</t>
        </is>
      </c>
      <c r="D600" t="inlineStr">
        <is>
          <t>IÇAMENTO JOIST</t>
        </is>
      </c>
      <c r="F600" s="159">
        <f>IFERROR(INDEX('BASE METAS DIÁRIAS'!$N$2:$S$358,MATCH($A600,'BASE METAS DIÁRIAS'!$A$2:$A$358,0),MOD(ROW()-2,6)+1),"")</f>
        <v/>
      </c>
      <c r="G600" s="159">
        <f>IFERROR(IF(WEEKDAY($A600,2)&lt;=INDEX('BASE METAS DIÁRIAS'!$H$2:$M$358,MATCH($A600,'BASE METAS DIÁRIAS'!$A$2:$A$358,0),MOD(ROW()-2,6)+1),INDEX('BASE METAS DIÁRIAS'!$B$2:$G$358,MATCH($A600,'BASE METAS DIÁRIAS'!$A$2:$A$358,0),MOD(ROW()-2,6)+1),""),"")</f>
        <v/>
      </c>
      <c r="H600" s="159">
        <f>IFERROR(IF(INDEX('CONTROLE PRODUÇÃO POR EMPRESAS'!$B$6:$G$5000,MATCH($A600,'CONTROLE PRODUÇÃO POR EMPRESAS'!$A$6:$A$5000,0),MOD(ROW()-2,6)+1)="","",IFERROR(1*INDEX('CONTROLE PRODUÇÃO POR EMPRESAS'!$B$6:$G$5000,MATCH($A600,'CONTROLE PRODUÇÃO POR EMPRESAS'!$A$6:$A$5000,0),MOD(ROW()-2,6)+1),"")),"")</f>
        <v/>
      </c>
      <c r="I600" s="159">
        <f>IF(OR(NOT(ISNUMBER(G600)),NOT(ISNUMBER(H600))),"",H600-G600)</f>
        <v/>
      </c>
      <c r="J600" s="319">
        <f>IF(OR(NOT(ISNUMBER(G600)),NOT(ISNUMBER(H600)),G600=0),"",I600/G600)</f>
        <v/>
      </c>
      <c r="K600" s="319">
        <f>IF(OR(NOT(ISNUMBER(G600)),NOT(ISNUMBER(H600)),G600=0),"",H600/G600)</f>
        <v/>
      </c>
      <c r="L600">
        <f>IF(NOT(ISNUMBER(G600)),"SEM META",IF(G600=0,"SEM META",IF(NOT(ISNUMBER(H600)),"SEM APONTAMENTO",IF(H600&gt;=G600,"VERDE",IF(H600&gt;=G600*0.9,"AMARELO","VERMELHO")))))</f>
        <v/>
      </c>
      <c r="M600" s="162" t="n"/>
      <c r="N600" s="162" t="n"/>
      <c r="O600" s="162" t="n"/>
      <c r="P600" s="162" t="n"/>
      <c r="Q600" s="320" t="n"/>
      <c r="R600" s="162" t="inlineStr">
        <is>
          <t>CONTROLE PRODUÇÃO POR EMPRESAS!F105</t>
        </is>
      </c>
    </row>
    <row r="601" ht="28.5" customHeight="1">
      <c r="A601" s="317" t="n">
        <v>46322</v>
      </c>
      <c r="B601" t="inlineStr">
        <is>
          <t>GERAL</t>
        </is>
      </c>
      <c r="C601" t="inlineStr">
        <is>
          <t>CMM</t>
        </is>
      </c>
      <c r="D601" t="inlineStr">
        <is>
          <t>VIGAS</t>
        </is>
      </c>
      <c r="F601" s="159">
        <f>IFERROR(INDEX('BASE METAS DIÁRIAS'!$N$2:$S$358,MATCH($A601,'BASE METAS DIÁRIAS'!$A$2:$A$358,0),MOD(ROW()-2,6)+1),"")</f>
        <v/>
      </c>
      <c r="G601" s="159">
        <f>IFERROR(IF(WEEKDAY($A601,2)&lt;=INDEX('BASE METAS DIÁRIAS'!$H$2:$M$358,MATCH($A601,'BASE METAS DIÁRIAS'!$A$2:$A$358,0),MOD(ROW()-2,6)+1),INDEX('BASE METAS DIÁRIAS'!$B$2:$G$358,MATCH($A601,'BASE METAS DIÁRIAS'!$A$2:$A$358,0),MOD(ROW()-2,6)+1),""),"")</f>
        <v/>
      </c>
      <c r="H601" s="159">
        <f>IFERROR(IF(INDEX('CONTROLE PRODUÇÃO POR EMPRESAS'!$B$6:$G$5000,MATCH($A601,'CONTROLE PRODUÇÃO POR EMPRESAS'!$A$6:$A$5000,0),MOD(ROW()-2,6)+1)="","",IFERROR(1*INDEX('CONTROLE PRODUÇÃO POR EMPRESAS'!$B$6:$G$5000,MATCH($A601,'CONTROLE PRODUÇÃO POR EMPRESAS'!$A$6:$A$5000,0),MOD(ROW()-2,6)+1),"")),"")</f>
        <v/>
      </c>
      <c r="I601" s="159">
        <f>IF(OR(NOT(ISNUMBER(G601)),NOT(ISNUMBER(H601))),"",H601-G601)</f>
        <v/>
      </c>
      <c r="J601" s="319">
        <f>IF(OR(NOT(ISNUMBER(G601)),NOT(ISNUMBER(H601)),G601=0),"",I601/G601)</f>
        <v/>
      </c>
      <c r="K601" s="319">
        <f>IF(OR(NOT(ISNUMBER(G601)),NOT(ISNUMBER(H601)),G601=0),"",H601/G601)</f>
        <v/>
      </c>
      <c r="L601">
        <f>IF(NOT(ISNUMBER(G601)),"SEM META",IF(G601=0,"SEM META",IF(NOT(ISNUMBER(H601)),"SEM APONTAMENTO",IF(H601&gt;=G601,"VERDE",IF(H601&gt;=G601*0.9,"AMARELO","VERMELHO")))))</f>
        <v/>
      </c>
      <c r="M601" s="162" t="n"/>
      <c r="N601" s="162" t="n"/>
      <c r="O601" s="162" t="n"/>
      <c r="P601" s="162" t="n"/>
      <c r="Q601" s="320" t="n"/>
      <c r="R601" s="162" t="inlineStr">
        <is>
          <t>CONTROLE PRODUÇÃO POR EMPRESAS!G105</t>
        </is>
      </c>
    </row>
    <row r="602" ht="28.5" customHeight="1">
      <c r="A602" s="317" t="n">
        <v>46323</v>
      </c>
      <c r="B602" t="inlineStr">
        <is>
          <t>GERAL</t>
        </is>
      </c>
      <c r="C602" t="inlineStr">
        <is>
          <t>EJ</t>
        </is>
      </c>
      <c r="D602" t="inlineStr">
        <is>
          <t>PREMONTAGEM</t>
        </is>
      </c>
      <c r="F602" s="159">
        <f>IFERROR(INDEX('BASE METAS DIÁRIAS'!$N$2:$S$358,MATCH($A602,'BASE METAS DIÁRIAS'!$A$2:$A$358,0),MOD(ROW()-2,6)+1),"")</f>
        <v/>
      </c>
      <c r="G602" s="159">
        <f>IFERROR(IF(WEEKDAY($A602,2)&lt;=INDEX('BASE METAS DIÁRIAS'!$H$2:$M$358,MATCH($A602,'BASE METAS DIÁRIAS'!$A$2:$A$358,0),MOD(ROW()-2,6)+1),INDEX('BASE METAS DIÁRIAS'!$B$2:$G$358,MATCH($A602,'BASE METAS DIÁRIAS'!$A$2:$A$358,0),MOD(ROW()-2,6)+1),""),"")</f>
        <v/>
      </c>
      <c r="H602" s="159">
        <f>IFERROR(IF(INDEX('CONTROLE PRODUÇÃO POR EMPRESAS'!$B$6:$G$5000,MATCH($A602,'CONTROLE PRODUÇÃO POR EMPRESAS'!$A$6:$A$5000,0),MOD(ROW()-2,6)+1)="","",IFERROR(1*INDEX('CONTROLE PRODUÇÃO POR EMPRESAS'!$B$6:$G$5000,MATCH($A602,'CONTROLE PRODUÇÃO POR EMPRESAS'!$A$6:$A$5000,0),MOD(ROW()-2,6)+1),"")),"")</f>
        <v/>
      </c>
      <c r="I602" s="159">
        <f>IF(OR(NOT(ISNUMBER(G602)),NOT(ISNUMBER(H602))),"",H602-G602)</f>
        <v/>
      </c>
      <c r="J602" s="319">
        <f>IF(OR(NOT(ISNUMBER(G602)),NOT(ISNUMBER(H602)),G602=0),"",I602/G602)</f>
        <v/>
      </c>
      <c r="K602" s="319">
        <f>IF(OR(NOT(ISNUMBER(G602)),NOT(ISNUMBER(H602)),G602=0),"",H602/G602)</f>
        <v/>
      </c>
      <c r="L602">
        <f>IF(NOT(ISNUMBER(G602)),"SEM META",IF(G602=0,"SEM META",IF(NOT(ISNUMBER(H602)),"SEM APONTAMENTO",IF(H602&gt;=G602,"VERDE",IF(H602&gt;=G602*0.9,"AMARELO","VERMELHO")))))</f>
        <v/>
      </c>
      <c r="M602" s="162" t="n"/>
      <c r="N602" s="162" t="n"/>
      <c r="O602" s="162" t="n"/>
      <c r="P602" s="162" t="n"/>
      <c r="Q602" s="320" t="n"/>
      <c r="R602" s="162" t="inlineStr">
        <is>
          <t>CONTROLE PRODUÇÃO POR EMPRESAS!B106</t>
        </is>
      </c>
    </row>
    <row r="603" ht="28.5" customHeight="1">
      <c r="A603" s="317" t="n">
        <v>46323</v>
      </c>
      <c r="B603" t="inlineStr">
        <is>
          <t>GERAL</t>
        </is>
      </c>
      <c r="C603" t="inlineStr">
        <is>
          <t>EJ</t>
        </is>
      </c>
      <c r="D603" t="inlineStr">
        <is>
          <t>IÇAMENTO JOIST</t>
        </is>
      </c>
      <c r="F603" s="159">
        <f>IFERROR(INDEX('BASE METAS DIÁRIAS'!$N$2:$S$358,MATCH($A603,'BASE METAS DIÁRIAS'!$A$2:$A$358,0),MOD(ROW()-2,6)+1),"")</f>
        <v/>
      </c>
      <c r="G603" s="159">
        <f>IFERROR(IF(WEEKDAY($A603,2)&lt;=INDEX('BASE METAS DIÁRIAS'!$H$2:$M$358,MATCH($A603,'BASE METAS DIÁRIAS'!$A$2:$A$358,0),MOD(ROW()-2,6)+1),INDEX('BASE METAS DIÁRIAS'!$B$2:$G$358,MATCH($A603,'BASE METAS DIÁRIAS'!$A$2:$A$358,0),MOD(ROW()-2,6)+1),""),"")</f>
        <v/>
      </c>
      <c r="H603" s="159">
        <f>IFERROR(IF(INDEX('CONTROLE PRODUÇÃO POR EMPRESAS'!$B$6:$G$5000,MATCH($A603,'CONTROLE PRODUÇÃO POR EMPRESAS'!$A$6:$A$5000,0),MOD(ROW()-2,6)+1)="","",IFERROR(1*INDEX('CONTROLE PRODUÇÃO POR EMPRESAS'!$B$6:$G$5000,MATCH($A603,'CONTROLE PRODUÇÃO POR EMPRESAS'!$A$6:$A$5000,0),MOD(ROW()-2,6)+1),"")),"")</f>
        <v/>
      </c>
      <c r="I603" s="159">
        <f>IF(OR(NOT(ISNUMBER(G603)),NOT(ISNUMBER(H603))),"",H603-G603)</f>
        <v/>
      </c>
      <c r="J603" s="319">
        <f>IF(OR(NOT(ISNUMBER(G603)),NOT(ISNUMBER(H603)),G603=0),"",I603/G603)</f>
        <v/>
      </c>
      <c r="K603" s="319">
        <f>IF(OR(NOT(ISNUMBER(G603)),NOT(ISNUMBER(H603)),G603=0),"",H603/G603)</f>
        <v/>
      </c>
      <c r="L603">
        <f>IF(NOT(ISNUMBER(G603)),"SEM META",IF(G603=0,"SEM META",IF(NOT(ISNUMBER(H603)),"SEM APONTAMENTO",IF(H603&gt;=G603,"VERDE",IF(H603&gt;=G603*0.9,"AMARELO","VERMELHO")))))</f>
        <v/>
      </c>
      <c r="M603" s="162" t="n"/>
      <c r="N603" s="162" t="n"/>
      <c r="O603" s="162" t="n"/>
      <c r="P603" s="162" t="n"/>
      <c r="Q603" s="320" t="n"/>
      <c r="R603" s="162" t="inlineStr">
        <is>
          <t>CONTROLE PRODUÇÃO POR EMPRESAS!C106</t>
        </is>
      </c>
    </row>
    <row r="604" ht="28.5" customHeight="1">
      <c r="A604" s="317" t="n">
        <v>46323</v>
      </c>
      <c r="B604" t="inlineStr">
        <is>
          <t>GERAL</t>
        </is>
      </c>
      <c r="C604" t="inlineStr">
        <is>
          <t>EJ</t>
        </is>
      </c>
      <c r="D604" t="inlineStr">
        <is>
          <t>VIGAS</t>
        </is>
      </c>
      <c r="F604" s="159">
        <f>IFERROR(INDEX('BASE METAS DIÁRIAS'!$N$2:$S$358,MATCH($A604,'BASE METAS DIÁRIAS'!$A$2:$A$358,0),MOD(ROW()-2,6)+1),"")</f>
        <v/>
      </c>
      <c r="G604" s="159">
        <f>IFERROR(IF(WEEKDAY($A604,2)&lt;=INDEX('BASE METAS DIÁRIAS'!$H$2:$M$358,MATCH($A604,'BASE METAS DIÁRIAS'!$A$2:$A$358,0),MOD(ROW()-2,6)+1),INDEX('BASE METAS DIÁRIAS'!$B$2:$G$358,MATCH($A604,'BASE METAS DIÁRIAS'!$A$2:$A$358,0),MOD(ROW()-2,6)+1),""),"")</f>
        <v/>
      </c>
      <c r="H604" s="159">
        <f>IFERROR(IF(INDEX('CONTROLE PRODUÇÃO POR EMPRESAS'!$B$6:$G$5000,MATCH($A604,'CONTROLE PRODUÇÃO POR EMPRESAS'!$A$6:$A$5000,0),MOD(ROW()-2,6)+1)="","",IFERROR(1*INDEX('CONTROLE PRODUÇÃO POR EMPRESAS'!$B$6:$G$5000,MATCH($A604,'CONTROLE PRODUÇÃO POR EMPRESAS'!$A$6:$A$5000,0),MOD(ROW()-2,6)+1),"")),"")</f>
        <v/>
      </c>
      <c r="I604" s="159">
        <f>IF(OR(NOT(ISNUMBER(G604)),NOT(ISNUMBER(H604))),"",H604-G604)</f>
        <v/>
      </c>
      <c r="J604" s="319">
        <f>IF(OR(NOT(ISNUMBER(G604)),NOT(ISNUMBER(H604)),G604=0),"",I604/G604)</f>
        <v/>
      </c>
      <c r="K604" s="319">
        <f>IF(OR(NOT(ISNUMBER(G604)),NOT(ISNUMBER(H604)),G604=0),"",H604/G604)</f>
        <v/>
      </c>
      <c r="L604">
        <f>IF(NOT(ISNUMBER(G604)),"SEM META",IF(G604=0,"SEM META",IF(NOT(ISNUMBER(H604)),"SEM APONTAMENTO",IF(H604&gt;=G604,"VERDE",IF(H604&gt;=G604*0.9,"AMARELO","VERMELHO")))))</f>
        <v/>
      </c>
      <c r="M604" s="162" t="n"/>
      <c r="N604" s="162" t="n"/>
      <c r="O604" s="162" t="n"/>
      <c r="P604" s="162" t="n"/>
      <c r="Q604" s="320" t="n"/>
      <c r="R604" s="162" t="inlineStr">
        <is>
          <t>CONTROLE PRODUÇÃO POR EMPRESAS!D106</t>
        </is>
      </c>
    </row>
    <row r="605" ht="28.5" customHeight="1">
      <c r="A605" s="317" t="n">
        <v>46323</v>
      </c>
      <c r="B605" t="inlineStr">
        <is>
          <t>GERAL</t>
        </is>
      </c>
      <c r="C605" t="inlineStr">
        <is>
          <t>CMM</t>
        </is>
      </c>
      <c r="D605" t="inlineStr">
        <is>
          <t>PREMONTAGEM</t>
        </is>
      </c>
      <c r="F605" s="159">
        <f>IFERROR(INDEX('BASE METAS DIÁRIAS'!$N$2:$S$358,MATCH($A605,'BASE METAS DIÁRIAS'!$A$2:$A$358,0),MOD(ROW()-2,6)+1),"")</f>
        <v/>
      </c>
      <c r="G605" s="159">
        <f>IFERROR(IF(WEEKDAY($A605,2)&lt;=INDEX('BASE METAS DIÁRIAS'!$H$2:$M$358,MATCH($A605,'BASE METAS DIÁRIAS'!$A$2:$A$358,0),MOD(ROW()-2,6)+1),INDEX('BASE METAS DIÁRIAS'!$B$2:$G$358,MATCH($A605,'BASE METAS DIÁRIAS'!$A$2:$A$358,0),MOD(ROW()-2,6)+1),""),"")</f>
        <v/>
      </c>
      <c r="H605" s="159">
        <f>IFERROR(IF(INDEX('CONTROLE PRODUÇÃO POR EMPRESAS'!$B$6:$G$5000,MATCH($A605,'CONTROLE PRODUÇÃO POR EMPRESAS'!$A$6:$A$5000,0),MOD(ROW()-2,6)+1)="","",IFERROR(1*INDEX('CONTROLE PRODUÇÃO POR EMPRESAS'!$B$6:$G$5000,MATCH($A605,'CONTROLE PRODUÇÃO POR EMPRESAS'!$A$6:$A$5000,0),MOD(ROW()-2,6)+1),"")),"")</f>
        <v/>
      </c>
      <c r="I605" s="159">
        <f>IF(OR(NOT(ISNUMBER(G605)),NOT(ISNUMBER(H605))),"",H605-G605)</f>
        <v/>
      </c>
      <c r="J605" s="319">
        <f>IF(OR(NOT(ISNUMBER(G605)),NOT(ISNUMBER(H605)),G605=0),"",I605/G605)</f>
        <v/>
      </c>
      <c r="K605" s="319">
        <f>IF(OR(NOT(ISNUMBER(G605)),NOT(ISNUMBER(H605)),G605=0),"",H605/G605)</f>
        <v/>
      </c>
      <c r="L605">
        <f>IF(NOT(ISNUMBER(G605)),"SEM META",IF(G605=0,"SEM META",IF(NOT(ISNUMBER(H605)),"SEM APONTAMENTO",IF(H605&gt;=G605,"VERDE",IF(H605&gt;=G605*0.9,"AMARELO","VERMELHO")))))</f>
        <v/>
      </c>
      <c r="M605" s="162" t="n"/>
      <c r="N605" s="162" t="n"/>
      <c r="O605" s="162" t="n"/>
      <c r="P605" s="162" t="n"/>
      <c r="Q605" s="320" t="n"/>
      <c r="R605" s="162" t="inlineStr">
        <is>
          <t>CONTROLE PRODUÇÃO POR EMPRESAS!E106</t>
        </is>
      </c>
    </row>
    <row r="606" ht="28.5" customHeight="1">
      <c r="A606" s="317" t="n">
        <v>46323</v>
      </c>
      <c r="B606" t="inlineStr">
        <is>
          <t>GERAL</t>
        </is>
      </c>
      <c r="C606" t="inlineStr">
        <is>
          <t>CMM</t>
        </is>
      </c>
      <c r="D606" t="inlineStr">
        <is>
          <t>IÇAMENTO JOIST</t>
        </is>
      </c>
      <c r="F606" s="159">
        <f>IFERROR(INDEX('BASE METAS DIÁRIAS'!$N$2:$S$358,MATCH($A606,'BASE METAS DIÁRIAS'!$A$2:$A$358,0),MOD(ROW()-2,6)+1),"")</f>
        <v/>
      </c>
      <c r="G606" s="159">
        <f>IFERROR(IF(WEEKDAY($A606,2)&lt;=INDEX('BASE METAS DIÁRIAS'!$H$2:$M$358,MATCH($A606,'BASE METAS DIÁRIAS'!$A$2:$A$358,0),MOD(ROW()-2,6)+1),INDEX('BASE METAS DIÁRIAS'!$B$2:$G$358,MATCH($A606,'BASE METAS DIÁRIAS'!$A$2:$A$358,0),MOD(ROW()-2,6)+1),""),"")</f>
        <v/>
      </c>
      <c r="H606" s="159">
        <f>IFERROR(IF(INDEX('CONTROLE PRODUÇÃO POR EMPRESAS'!$B$6:$G$5000,MATCH($A606,'CONTROLE PRODUÇÃO POR EMPRESAS'!$A$6:$A$5000,0),MOD(ROW()-2,6)+1)="","",IFERROR(1*INDEX('CONTROLE PRODUÇÃO POR EMPRESAS'!$B$6:$G$5000,MATCH($A606,'CONTROLE PRODUÇÃO POR EMPRESAS'!$A$6:$A$5000,0),MOD(ROW()-2,6)+1),"")),"")</f>
        <v/>
      </c>
      <c r="I606" s="159">
        <f>IF(OR(NOT(ISNUMBER(G606)),NOT(ISNUMBER(H606))),"",H606-G606)</f>
        <v/>
      </c>
      <c r="J606" s="319">
        <f>IF(OR(NOT(ISNUMBER(G606)),NOT(ISNUMBER(H606)),G606=0),"",I606/G606)</f>
        <v/>
      </c>
      <c r="K606" s="319">
        <f>IF(OR(NOT(ISNUMBER(G606)),NOT(ISNUMBER(H606)),G606=0),"",H606/G606)</f>
        <v/>
      </c>
      <c r="L606">
        <f>IF(NOT(ISNUMBER(G606)),"SEM META",IF(G606=0,"SEM META",IF(NOT(ISNUMBER(H606)),"SEM APONTAMENTO",IF(H606&gt;=G606,"VERDE",IF(H606&gt;=G606*0.9,"AMARELO","VERMELHO")))))</f>
        <v/>
      </c>
      <c r="M606" s="162" t="n"/>
      <c r="N606" s="162" t="n"/>
      <c r="O606" s="162" t="n"/>
      <c r="P606" s="162" t="n"/>
      <c r="Q606" s="320" t="n"/>
      <c r="R606" s="162" t="inlineStr">
        <is>
          <t>CONTROLE PRODUÇÃO POR EMPRESAS!F106</t>
        </is>
      </c>
    </row>
    <row r="607" ht="28.5" customHeight="1">
      <c r="A607" s="317" t="n">
        <v>46323</v>
      </c>
      <c r="B607" t="inlineStr">
        <is>
          <t>GERAL</t>
        </is>
      </c>
      <c r="C607" t="inlineStr">
        <is>
          <t>CMM</t>
        </is>
      </c>
      <c r="D607" t="inlineStr">
        <is>
          <t>VIGAS</t>
        </is>
      </c>
      <c r="F607" s="159">
        <f>IFERROR(INDEX('BASE METAS DIÁRIAS'!$N$2:$S$358,MATCH($A607,'BASE METAS DIÁRIAS'!$A$2:$A$358,0),MOD(ROW()-2,6)+1),"")</f>
        <v/>
      </c>
      <c r="G607" s="159">
        <f>IFERROR(IF(WEEKDAY($A607,2)&lt;=INDEX('BASE METAS DIÁRIAS'!$H$2:$M$358,MATCH($A607,'BASE METAS DIÁRIAS'!$A$2:$A$358,0),MOD(ROW()-2,6)+1),INDEX('BASE METAS DIÁRIAS'!$B$2:$G$358,MATCH($A607,'BASE METAS DIÁRIAS'!$A$2:$A$358,0),MOD(ROW()-2,6)+1),""),"")</f>
        <v/>
      </c>
      <c r="H607" s="159">
        <f>IFERROR(IF(INDEX('CONTROLE PRODUÇÃO POR EMPRESAS'!$B$6:$G$5000,MATCH($A607,'CONTROLE PRODUÇÃO POR EMPRESAS'!$A$6:$A$5000,0),MOD(ROW()-2,6)+1)="","",IFERROR(1*INDEX('CONTROLE PRODUÇÃO POR EMPRESAS'!$B$6:$G$5000,MATCH($A607,'CONTROLE PRODUÇÃO POR EMPRESAS'!$A$6:$A$5000,0),MOD(ROW()-2,6)+1),"")),"")</f>
        <v/>
      </c>
      <c r="I607" s="159">
        <f>IF(OR(NOT(ISNUMBER(G607)),NOT(ISNUMBER(H607))),"",H607-G607)</f>
        <v/>
      </c>
      <c r="J607" s="319">
        <f>IF(OR(NOT(ISNUMBER(G607)),NOT(ISNUMBER(H607)),G607=0),"",I607/G607)</f>
        <v/>
      </c>
      <c r="K607" s="319">
        <f>IF(OR(NOT(ISNUMBER(G607)),NOT(ISNUMBER(H607)),G607=0),"",H607/G607)</f>
        <v/>
      </c>
      <c r="L607">
        <f>IF(NOT(ISNUMBER(G607)),"SEM META",IF(G607=0,"SEM META",IF(NOT(ISNUMBER(H607)),"SEM APONTAMENTO",IF(H607&gt;=G607,"VERDE",IF(H607&gt;=G607*0.9,"AMARELO","VERMELHO")))))</f>
        <v/>
      </c>
      <c r="M607" s="162" t="n"/>
      <c r="N607" s="162" t="n"/>
      <c r="O607" s="162" t="n"/>
      <c r="P607" s="162" t="n"/>
      <c r="Q607" s="320" t="n"/>
      <c r="R607" s="162" t="inlineStr">
        <is>
          <t>CONTROLE PRODUÇÃO POR EMPRESAS!G106</t>
        </is>
      </c>
    </row>
    <row r="608" ht="28.5" customHeight="1">
      <c r="A608" s="317" t="n">
        <v>46324</v>
      </c>
      <c r="B608" t="inlineStr">
        <is>
          <t>GERAL</t>
        </is>
      </c>
      <c r="C608" t="inlineStr">
        <is>
          <t>EJ</t>
        </is>
      </c>
      <c r="D608" t="inlineStr">
        <is>
          <t>PREMONTAGEM</t>
        </is>
      </c>
      <c r="F608" s="159">
        <f>IFERROR(INDEX('BASE METAS DIÁRIAS'!$N$2:$S$358,MATCH($A608,'BASE METAS DIÁRIAS'!$A$2:$A$358,0),MOD(ROW()-2,6)+1),"")</f>
        <v/>
      </c>
      <c r="G608" s="159">
        <f>IFERROR(IF(WEEKDAY($A608,2)&lt;=INDEX('BASE METAS DIÁRIAS'!$H$2:$M$358,MATCH($A608,'BASE METAS DIÁRIAS'!$A$2:$A$358,0),MOD(ROW()-2,6)+1),INDEX('BASE METAS DIÁRIAS'!$B$2:$G$358,MATCH($A608,'BASE METAS DIÁRIAS'!$A$2:$A$358,0),MOD(ROW()-2,6)+1),""),"")</f>
        <v/>
      </c>
      <c r="H608" s="159">
        <f>IFERROR(IF(INDEX('CONTROLE PRODUÇÃO POR EMPRESAS'!$B$6:$G$5000,MATCH($A608,'CONTROLE PRODUÇÃO POR EMPRESAS'!$A$6:$A$5000,0),MOD(ROW()-2,6)+1)="","",IFERROR(1*INDEX('CONTROLE PRODUÇÃO POR EMPRESAS'!$B$6:$G$5000,MATCH($A608,'CONTROLE PRODUÇÃO POR EMPRESAS'!$A$6:$A$5000,0),MOD(ROW()-2,6)+1),"")),"")</f>
        <v/>
      </c>
      <c r="I608" s="159">
        <f>IF(OR(NOT(ISNUMBER(G608)),NOT(ISNUMBER(H608))),"",H608-G608)</f>
        <v/>
      </c>
      <c r="J608" s="319">
        <f>IF(OR(NOT(ISNUMBER(G608)),NOT(ISNUMBER(H608)),G608=0),"",I608/G608)</f>
        <v/>
      </c>
      <c r="K608" s="319">
        <f>IF(OR(NOT(ISNUMBER(G608)),NOT(ISNUMBER(H608)),G608=0),"",H608/G608)</f>
        <v/>
      </c>
      <c r="L608">
        <f>IF(NOT(ISNUMBER(G608)),"SEM META",IF(G608=0,"SEM META",IF(NOT(ISNUMBER(H608)),"SEM APONTAMENTO",IF(H608&gt;=G608,"VERDE",IF(H608&gt;=G608*0.9,"AMARELO","VERMELHO")))))</f>
        <v/>
      </c>
      <c r="M608" s="162" t="n"/>
      <c r="N608" s="162" t="n"/>
      <c r="O608" s="162" t="n"/>
      <c r="P608" s="162" t="n"/>
      <c r="Q608" s="320" t="n"/>
      <c r="R608" s="162" t="inlineStr">
        <is>
          <t>CONTROLE PRODUÇÃO POR EMPRESAS!B107</t>
        </is>
      </c>
    </row>
    <row r="609" ht="28.5" customHeight="1">
      <c r="A609" s="317" t="n">
        <v>46324</v>
      </c>
      <c r="B609" t="inlineStr">
        <is>
          <t>GERAL</t>
        </is>
      </c>
      <c r="C609" t="inlineStr">
        <is>
          <t>EJ</t>
        </is>
      </c>
      <c r="D609" t="inlineStr">
        <is>
          <t>IÇAMENTO JOIST</t>
        </is>
      </c>
      <c r="F609" s="159">
        <f>IFERROR(INDEX('BASE METAS DIÁRIAS'!$N$2:$S$358,MATCH($A609,'BASE METAS DIÁRIAS'!$A$2:$A$358,0),MOD(ROW()-2,6)+1),"")</f>
        <v/>
      </c>
      <c r="G609" s="159">
        <f>IFERROR(IF(WEEKDAY($A609,2)&lt;=INDEX('BASE METAS DIÁRIAS'!$H$2:$M$358,MATCH($A609,'BASE METAS DIÁRIAS'!$A$2:$A$358,0),MOD(ROW()-2,6)+1),INDEX('BASE METAS DIÁRIAS'!$B$2:$G$358,MATCH($A609,'BASE METAS DIÁRIAS'!$A$2:$A$358,0),MOD(ROW()-2,6)+1),""),"")</f>
        <v/>
      </c>
      <c r="H609" s="159">
        <f>IFERROR(IF(INDEX('CONTROLE PRODUÇÃO POR EMPRESAS'!$B$6:$G$5000,MATCH($A609,'CONTROLE PRODUÇÃO POR EMPRESAS'!$A$6:$A$5000,0),MOD(ROW()-2,6)+1)="","",IFERROR(1*INDEX('CONTROLE PRODUÇÃO POR EMPRESAS'!$B$6:$G$5000,MATCH($A609,'CONTROLE PRODUÇÃO POR EMPRESAS'!$A$6:$A$5000,0),MOD(ROW()-2,6)+1),"")),"")</f>
        <v/>
      </c>
      <c r="I609" s="159">
        <f>IF(OR(NOT(ISNUMBER(G609)),NOT(ISNUMBER(H609))),"",H609-G609)</f>
        <v/>
      </c>
      <c r="J609" s="319">
        <f>IF(OR(NOT(ISNUMBER(G609)),NOT(ISNUMBER(H609)),G609=0),"",I609/G609)</f>
        <v/>
      </c>
      <c r="K609" s="319">
        <f>IF(OR(NOT(ISNUMBER(G609)),NOT(ISNUMBER(H609)),G609=0),"",H609/G609)</f>
        <v/>
      </c>
      <c r="L609">
        <f>IF(NOT(ISNUMBER(G609)),"SEM META",IF(G609=0,"SEM META",IF(NOT(ISNUMBER(H609)),"SEM APONTAMENTO",IF(H609&gt;=G609,"VERDE",IF(H609&gt;=G609*0.9,"AMARELO","VERMELHO")))))</f>
        <v/>
      </c>
      <c r="M609" s="162" t="n"/>
      <c r="N609" s="162" t="n"/>
      <c r="O609" s="162" t="n"/>
      <c r="P609" s="162" t="n"/>
      <c r="Q609" s="320" t="n"/>
      <c r="R609" s="162" t="inlineStr">
        <is>
          <t>CONTROLE PRODUÇÃO POR EMPRESAS!C107</t>
        </is>
      </c>
    </row>
    <row r="610" ht="28.5" customHeight="1">
      <c r="A610" s="317" t="n">
        <v>46324</v>
      </c>
      <c r="B610" t="inlineStr">
        <is>
          <t>GERAL</t>
        </is>
      </c>
      <c r="C610" t="inlineStr">
        <is>
          <t>EJ</t>
        </is>
      </c>
      <c r="D610" t="inlineStr">
        <is>
          <t>VIGAS</t>
        </is>
      </c>
      <c r="F610" s="159">
        <f>IFERROR(INDEX('BASE METAS DIÁRIAS'!$N$2:$S$358,MATCH($A610,'BASE METAS DIÁRIAS'!$A$2:$A$358,0),MOD(ROW()-2,6)+1),"")</f>
        <v/>
      </c>
      <c r="G610" s="159">
        <f>IFERROR(IF(WEEKDAY($A610,2)&lt;=INDEX('BASE METAS DIÁRIAS'!$H$2:$M$358,MATCH($A610,'BASE METAS DIÁRIAS'!$A$2:$A$358,0),MOD(ROW()-2,6)+1),INDEX('BASE METAS DIÁRIAS'!$B$2:$G$358,MATCH($A610,'BASE METAS DIÁRIAS'!$A$2:$A$358,0),MOD(ROW()-2,6)+1),""),"")</f>
        <v/>
      </c>
      <c r="H610" s="159">
        <f>IFERROR(IF(INDEX('CONTROLE PRODUÇÃO POR EMPRESAS'!$B$6:$G$5000,MATCH($A610,'CONTROLE PRODUÇÃO POR EMPRESAS'!$A$6:$A$5000,0),MOD(ROW()-2,6)+1)="","",IFERROR(1*INDEX('CONTROLE PRODUÇÃO POR EMPRESAS'!$B$6:$G$5000,MATCH($A610,'CONTROLE PRODUÇÃO POR EMPRESAS'!$A$6:$A$5000,0),MOD(ROW()-2,6)+1),"")),"")</f>
        <v/>
      </c>
      <c r="I610" s="159">
        <f>IF(OR(NOT(ISNUMBER(G610)),NOT(ISNUMBER(H610))),"",H610-G610)</f>
        <v/>
      </c>
      <c r="J610" s="319">
        <f>IF(OR(NOT(ISNUMBER(G610)),NOT(ISNUMBER(H610)),G610=0),"",I610/G610)</f>
        <v/>
      </c>
      <c r="K610" s="319">
        <f>IF(OR(NOT(ISNUMBER(G610)),NOT(ISNUMBER(H610)),G610=0),"",H610/G610)</f>
        <v/>
      </c>
      <c r="L610">
        <f>IF(NOT(ISNUMBER(G610)),"SEM META",IF(G610=0,"SEM META",IF(NOT(ISNUMBER(H610)),"SEM APONTAMENTO",IF(H610&gt;=G610,"VERDE",IF(H610&gt;=G610*0.9,"AMARELO","VERMELHO")))))</f>
        <v/>
      </c>
      <c r="M610" s="162" t="n"/>
      <c r="N610" s="162" t="n"/>
      <c r="O610" s="162" t="n"/>
      <c r="P610" s="162" t="n"/>
      <c r="Q610" s="320" t="n"/>
      <c r="R610" s="162" t="inlineStr">
        <is>
          <t>CONTROLE PRODUÇÃO POR EMPRESAS!D107</t>
        </is>
      </c>
    </row>
    <row r="611" ht="28.5" customHeight="1">
      <c r="A611" s="317" t="n">
        <v>46324</v>
      </c>
      <c r="B611" t="inlineStr">
        <is>
          <t>GERAL</t>
        </is>
      </c>
      <c r="C611" t="inlineStr">
        <is>
          <t>CMM</t>
        </is>
      </c>
      <c r="D611" t="inlineStr">
        <is>
          <t>PREMONTAGEM</t>
        </is>
      </c>
      <c r="F611" s="159">
        <f>IFERROR(INDEX('BASE METAS DIÁRIAS'!$N$2:$S$358,MATCH($A611,'BASE METAS DIÁRIAS'!$A$2:$A$358,0),MOD(ROW()-2,6)+1),"")</f>
        <v/>
      </c>
      <c r="G611" s="159">
        <f>IFERROR(IF(WEEKDAY($A611,2)&lt;=INDEX('BASE METAS DIÁRIAS'!$H$2:$M$358,MATCH($A611,'BASE METAS DIÁRIAS'!$A$2:$A$358,0),MOD(ROW()-2,6)+1),INDEX('BASE METAS DIÁRIAS'!$B$2:$G$358,MATCH($A611,'BASE METAS DIÁRIAS'!$A$2:$A$358,0),MOD(ROW()-2,6)+1),""),"")</f>
        <v/>
      </c>
      <c r="H611" s="159">
        <f>IFERROR(IF(INDEX('CONTROLE PRODUÇÃO POR EMPRESAS'!$B$6:$G$5000,MATCH($A611,'CONTROLE PRODUÇÃO POR EMPRESAS'!$A$6:$A$5000,0),MOD(ROW()-2,6)+1)="","",IFERROR(1*INDEX('CONTROLE PRODUÇÃO POR EMPRESAS'!$B$6:$G$5000,MATCH($A611,'CONTROLE PRODUÇÃO POR EMPRESAS'!$A$6:$A$5000,0),MOD(ROW()-2,6)+1),"")),"")</f>
        <v/>
      </c>
      <c r="I611" s="159">
        <f>IF(OR(NOT(ISNUMBER(G611)),NOT(ISNUMBER(H611))),"",H611-G611)</f>
        <v/>
      </c>
      <c r="J611" s="319">
        <f>IF(OR(NOT(ISNUMBER(G611)),NOT(ISNUMBER(H611)),G611=0),"",I611/G611)</f>
        <v/>
      </c>
      <c r="K611" s="319">
        <f>IF(OR(NOT(ISNUMBER(G611)),NOT(ISNUMBER(H611)),G611=0),"",H611/G611)</f>
        <v/>
      </c>
      <c r="L611">
        <f>IF(NOT(ISNUMBER(G611)),"SEM META",IF(G611=0,"SEM META",IF(NOT(ISNUMBER(H611)),"SEM APONTAMENTO",IF(H611&gt;=G611,"VERDE",IF(H611&gt;=G611*0.9,"AMARELO","VERMELHO")))))</f>
        <v/>
      </c>
      <c r="M611" s="162" t="n"/>
      <c r="N611" s="162" t="n"/>
      <c r="O611" s="162" t="n"/>
      <c r="P611" s="162" t="n"/>
      <c r="Q611" s="320" t="n"/>
      <c r="R611" s="162" t="inlineStr">
        <is>
          <t>CONTROLE PRODUÇÃO POR EMPRESAS!E107</t>
        </is>
      </c>
    </row>
    <row r="612" ht="28.5" customHeight="1">
      <c r="A612" s="317" t="n">
        <v>46324</v>
      </c>
      <c r="B612" t="inlineStr">
        <is>
          <t>GERAL</t>
        </is>
      </c>
      <c r="C612" t="inlineStr">
        <is>
          <t>CMM</t>
        </is>
      </c>
      <c r="D612" t="inlineStr">
        <is>
          <t>IÇAMENTO JOIST</t>
        </is>
      </c>
      <c r="F612" s="159">
        <f>IFERROR(INDEX('BASE METAS DIÁRIAS'!$N$2:$S$358,MATCH($A612,'BASE METAS DIÁRIAS'!$A$2:$A$358,0),MOD(ROW()-2,6)+1),"")</f>
        <v/>
      </c>
      <c r="G612" s="159">
        <f>IFERROR(IF(WEEKDAY($A612,2)&lt;=INDEX('BASE METAS DIÁRIAS'!$H$2:$M$358,MATCH($A612,'BASE METAS DIÁRIAS'!$A$2:$A$358,0),MOD(ROW()-2,6)+1),INDEX('BASE METAS DIÁRIAS'!$B$2:$G$358,MATCH($A612,'BASE METAS DIÁRIAS'!$A$2:$A$358,0),MOD(ROW()-2,6)+1),""),"")</f>
        <v/>
      </c>
      <c r="H612" s="159">
        <f>IFERROR(IF(INDEX('CONTROLE PRODUÇÃO POR EMPRESAS'!$B$6:$G$5000,MATCH($A612,'CONTROLE PRODUÇÃO POR EMPRESAS'!$A$6:$A$5000,0),MOD(ROW()-2,6)+1)="","",IFERROR(1*INDEX('CONTROLE PRODUÇÃO POR EMPRESAS'!$B$6:$G$5000,MATCH($A612,'CONTROLE PRODUÇÃO POR EMPRESAS'!$A$6:$A$5000,0),MOD(ROW()-2,6)+1),"")),"")</f>
        <v/>
      </c>
      <c r="I612" s="159">
        <f>IF(OR(NOT(ISNUMBER(G612)),NOT(ISNUMBER(H612))),"",H612-G612)</f>
        <v/>
      </c>
      <c r="J612" s="319">
        <f>IF(OR(NOT(ISNUMBER(G612)),NOT(ISNUMBER(H612)),G612=0),"",I612/G612)</f>
        <v/>
      </c>
      <c r="K612" s="319">
        <f>IF(OR(NOT(ISNUMBER(G612)),NOT(ISNUMBER(H612)),G612=0),"",H612/G612)</f>
        <v/>
      </c>
      <c r="L612">
        <f>IF(NOT(ISNUMBER(G612)),"SEM META",IF(G612=0,"SEM META",IF(NOT(ISNUMBER(H612)),"SEM APONTAMENTO",IF(H612&gt;=G612,"VERDE",IF(H612&gt;=G612*0.9,"AMARELO","VERMELHO")))))</f>
        <v/>
      </c>
      <c r="M612" s="162" t="n"/>
      <c r="N612" s="162" t="n"/>
      <c r="O612" s="162" t="n"/>
      <c r="P612" s="162" t="n"/>
      <c r="Q612" s="320" t="n"/>
      <c r="R612" s="162" t="inlineStr">
        <is>
          <t>CONTROLE PRODUÇÃO POR EMPRESAS!F107</t>
        </is>
      </c>
    </row>
    <row r="613" ht="28.5" customHeight="1">
      <c r="A613" s="317" t="n">
        <v>46324</v>
      </c>
      <c r="B613" t="inlineStr">
        <is>
          <t>GERAL</t>
        </is>
      </c>
      <c r="C613" t="inlineStr">
        <is>
          <t>CMM</t>
        </is>
      </c>
      <c r="D613" t="inlineStr">
        <is>
          <t>VIGAS</t>
        </is>
      </c>
      <c r="F613" s="159">
        <f>IFERROR(INDEX('BASE METAS DIÁRIAS'!$N$2:$S$358,MATCH($A613,'BASE METAS DIÁRIAS'!$A$2:$A$358,0),MOD(ROW()-2,6)+1),"")</f>
        <v/>
      </c>
      <c r="G613" s="159">
        <f>IFERROR(IF(WEEKDAY($A613,2)&lt;=INDEX('BASE METAS DIÁRIAS'!$H$2:$M$358,MATCH($A613,'BASE METAS DIÁRIAS'!$A$2:$A$358,0),MOD(ROW()-2,6)+1),INDEX('BASE METAS DIÁRIAS'!$B$2:$G$358,MATCH($A613,'BASE METAS DIÁRIAS'!$A$2:$A$358,0),MOD(ROW()-2,6)+1),""),"")</f>
        <v/>
      </c>
      <c r="H613" s="159">
        <f>IFERROR(IF(INDEX('CONTROLE PRODUÇÃO POR EMPRESAS'!$B$6:$G$5000,MATCH($A613,'CONTROLE PRODUÇÃO POR EMPRESAS'!$A$6:$A$5000,0),MOD(ROW()-2,6)+1)="","",IFERROR(1*INDEX('CONTROLE PRODUÇÃO POR EMPRESAS'!$B$6:$G$5000,MATCH($A613,'CONTROLE PRODUÇÃO POR EMPRESAS'!$A$6:$A$5000,0),MOD(ROW()-2,6)+1),"")),"")</f>
        <v/>
      </c>
      <c r="I613" s="159">
        <f>IF(OR(NOT(ISNUMBER(G613)),NOT(ISNUMBER(H613))),"",H613-G613)</f>
        <v/>
      </c>
      <c r="J613" s="319">
        <f>IF(OR(NOT(ISNUMBER(G613)),NOT(ISNUMBER(H613)),G613=0),"",I613/G613)</f>
        <v/>
      </c>
      <c r="K613" s="319">
        <f>IF(OR(NOT(ISNUMBER(G613)),NOT(ISNUMBER(H613)),G613=0),"",H613/G613)</f>
        <v/>
      </c>
      <c r="L613">
        <f>IF(NOT(ISNUMBER(G613)),"SEM META",IF(G613=0,"SEM META",IF(NOT(ISNUMBER(H613)),"SEM APONTAMENTO",IF(H613&gt;=G613,"VERDE",IF(H613&gt;=G613*0.9,"AMARELO","VERMELHO")))))</f>
        <v/>
      </c>
      <c r="M613" s="162" t="n"/>
      <c r="N613" s="162" t="n"/>
      <c r="O613" s="162" t="n"/>
      <c r="P613" s="162" t="n"/>
      <c r="Q613" s="320" t="n"/>
      <c r="R613" s="162" t="inlineStr">
        <is>
          <t>CONTROLE PRODUÇÃO POR EMPRESAS!G107</t>
        </is>
      </c>
    </row>
    <row r="614" ht="28.5" customHeight="1">
      <c r="A614" s="317" t="n">
        <v>46325</v>
      </c>
      <c r="B614" t="inlineStr">
        <is>
          <t>GERAL</t>
        </is>
      </c>
      <c r="C614" t="inlineStr">
        <is>
          <t>EJ</t>
        </is>
      </c>
      <c r="D614" t="inlineStr">
        <is>
          <t>PREMONTAGEM</t>
        </is>
      </c>
      <c r="F614" s="159">
        <f>IFERROR(INDEX('BASE METAS DIÁRIAS'!$N$2:$S$358,MATCH($A614,'BASE METAS DIÁRIAS'!$A$2:$A$358,0),MOD(ROW()-2,6)+1),"")</f>
        <v/>
      </c>
      <c r="G614" s="159">
        <f>IFERROR(IF(WEEKDAY($A614,2)&lt;=INDEX('BASE METAS DIÁRIAS'!$H$2:$M$358,MATCH($A614,'BASE METAS DIÁRIAS'!$A$2:$A$358,0),MOD(ROW()-2,6)+1),INDEX('BASE METAS DIÁRIAS'!$B$2:$G$358,MATCH($A614,'BASE METAS DIÁRIAS'!$A$2:$A$358,0),MOD(ROW()-2,6)+1),""),"")</f>
        <v/>
      </c>
      <c r="H614" s="159">
        <f>IFERROR(IF(INDEX('CONTROLE PRODUÇÃO POR EMPRESAS'!$B$6:$G$5000,MATCH($A614,'CONTROLE PRODUÇÃO POR EMPRESAS'!$A$6:$A$5000,0),MOD(ROW()-2,6)+1)="","",IFERROR(1*INDEX('CONTROLE PRODUÇÃO POR EMPRESAS'!$B$6:$G$5000,MATCH($A614,'CONTROLE PRODUÇÃO POR EMPRESAS'!$A$6:$A$5000,0),MOD(ROW()-2,6)+1),"")),"")</f>
        <v/>
      </c>
      <c r="I614" s="159">
        <f>IF(OR(NOT(ISNUMBER(G614)),NOT(ISNUMBER(H614))),"",H614-G614)</f>
        <v/>
      </c>
      <c r="J614" s="319">
        <f>IF(OR(NOT(ISNUMBER(G614)),NOT(ISNUMBER(H614)),G614=0),"",I614/G614)</f>
        <v/>
      </c>
      <c r="K614" s="319">
        <f>IF(OR(NOT(ISNUMBER(G614)),NOT(ISNUMBER(H614)),G614=0),"",H614/G614)</f>
        <v/>
      </c>
      <c r="L614">
        <f>IF(NOT(ISNUMBER(G614)),"SEM META",IF(G614=0,"SEM META",IF(NOT(ISNUMBER(H614)),"SEM APONTAMENTO",IF(H614&gt;=G614,"VERDE",IF(H614&gt;=G614*0.9,"AMARELO","VERMELHO")))))</f>
        <v/>
      </c>
      <c r="M614" s="162" t="n"/>
      <c r="N614" s="162" t="n"/>
      <c r="O614" s="162" t="n"/>
      <c r="P614" s="162" t="n"/>
      <c r="Q614" s="320" t="n"/>
      <c r="R614" s="162" t="inlineStr">
        <is>
          <t>CONTROLE PRODUÇÃO POR EMPRESAS!B108</t>
        </is>
      </c>
    </row>
    <row r="615" ht="28.5" customHeight="1">
      <c r="A615" s="317" t="n">
        <v>46325</v>
      </c>
      <c r="B615" t="inlineStr">
        <is>
          <t>GERAL</t>
        </is>
      </c>
      <c r="C615" t="inlineStr">
        <is>
          <t>EJ</t>
        </is>
      </c>
      <c r="D615" t="inlineStr">
        <is>
          <t>IÇAMENTO JOIST</t>
        </is>
      </c>
      <c r="F615" s="159">
        <f>IFERROR(INDEX('BASE METAS DIÁRIAS'!$N$2:$S$358,MATCH($A615,'BASE METAS DIÁRIAS'!$A$2:$A$358,0),MOD(ROW()-2,6)+1),"")</f>
        <v/>
      </c>
      <c r="G615" s="159">
        <f>IFERROR(IF(WEEKDAY($A615,2)&lt;=INDEX('BASE METAS DIÁRIAS'!$H$2:$M$358,MATCH($A615,'BASE METAS DIÁRIAS'!$A$2:$A$358,0),MOD(ROW()-2,6)+1),INDEX('BASE METAS DIÁRIAS'!$B$2:$G$358,MATCH($A615,'BASE METAS DIÁRIAS'!$A$2:$A$358,0),MOD(ROW()-2,6)+1),""),"")</f>
        <v/>
      </c>
      <c r="H615" s="159">
        <f>IFERROR(IF(INDEX('CONTROLE PRODUÇÃO POR EMPRESAS'!$B$6:$G$5000,MATCH($A615,'CONTROLE PRODUÇÃO POR EMPRESAS'!$A$6:$A$5000,0),MOD(ROW()-2,6)+1)="","",IFERROR(1*INDEX('CONTROLE PRODUÇÃO POR EMPRESAS'!$B$6:$G$5000,MATCH($A615,'CONTROLE PRODUÇÃO POR EMPRESAS'!$A$6:$A$5000,0),MOD(ROW()-2,6)+1),"")),"")</f>
        <v/>
      </c>
      <c r="I615" s="159">
        <f>IF(OR(NOT(ISNUMBER(G615)),NOT(ISNUMBER(H615))),"",H615-G615)</f>
        <v/>
      </c>
      <c r="J615" s="319">
        <f>IF(OR(NOT(ISNUMBER(G615)),NOT(ISNUMBER(H615)),G615=0),"",I615/G615)</f>
        <v/>
      </c>
      <c r="K615" s="319">
        <f>IF(OR(NOT(ISNUMBER(G615)),NOT(ISNUMBER(H615)),G615=0),"",H615/G615)</f>
        <v/>
      </c>
      <c r="L615">
        <f>IF(NOT(ISNUMBER(G615)),"SEM META",IF(G615=0,"SEM META",IF(NOT(ISNUMBER(H615)),"SEM APONTAMENTO",IF(H615&gt;=G615,"VERDE",IF(H615&gt;=G615*0.9,"AMARELO","VERMELHO")))))</f>
        <v/>
      </c>
      <c r="M615" s="162" t="n"/>
      <c r="N615" s="162" t="n"/>
      <c r="O615" s="162" t="n"/>
      <c r="P615" s="162" t="n"/>
      <c r="Q615" s="320" t="n"/>
      <c r="R615" s="162" t="inlineStr">
        <is>
          <t>CONTROLE PRODUÇÃO POR EMPRESAS!C108</t>
        </is>
      </c>
    </row>
    <row r="616" ht="28.5" customHeight="1">
      <c r="A616" s="317" t="n">
        <v>46325</v>
      </c>
      <c r="B616" t="inlineStr">
        <is>
          <t>GERAL</t>
        </is>
      </c>
      <c r="C616" t="inlineStr">
        <is>
          <t>EJ</t>
        </is>
      </c>
      <c r="D616" t="inlineStr">
        <is>
          <t>VIGAS</t>
        </is>
      </c>
      <c r="F616" s="159">
        <f>IFERROR(INDEX('BASE METAS DIÁRIAS'!$N$2:$S$358,MATCH($A616,'BASE METAS DIÁRIAS'!$A$2:$A$358,0),MOD(ROW()-2,6)+1),"")</f>
        <v/>
      </c>
      <c r="G616" s="159">
        <f>IFERROR(IF(WEEKDAY($A616,2)&lt;=INDEX('BASE METAS DIÁRIAS'!$H$2:$M$358,MATCH($A616,'BASE METAS DIÁRIAS'!$A$2:$A$358,0),MOD(ROW()-2,6)+1),INDEX('BASE METAS DIÁRIAS'!$B$2:$G$358,MATCH($A616,'BASE METAS DIÁRIAS'!$A$2:$A$358,0),MOD(ROW()-2,6)+1),""),"")</f>
        <v/>
      </c>
      <c r="H616" s="159">
        <f>IFERROR(IF(INDEX('CONTROLE PRODUÇÃO POR EMPRESAS'!$B$6:$G$5000,MATCH($A616,'CONTROLE PRODUÇÃO POR EMPRESAS'!$A$6:$A$5000,0),MOD(ROW()-2,6)+1)="","",IFERROR(1*INDEX('CONTROLE PRODUÇÃO POR EMPRESAS'!$B$6:$G$5000,MATCH($A616,'CONTROLE PRODUÇÃO POR EMPRESAS'!$A$6:$A$5000,0),MOD(ROW()-2,6)+1),"")),"")</f>
        <v/>
      </c>
      <c r="I616" s="159">
        <f>IF(OR(NOT(ISNUMBER(G616)),NOT(ISNUMBER(H616))),"",H616-G616)</f>
        <v/>
      </c>
      <c r="J616" s="319">
        <f>IF(OR(NOT(ISNUMBER(G616)),NOT(ISNUMBER(H616)),G616=0),"",I616/G616)</f>
        <v/>
      </c>
      <c r="K616" s="319">
        <f>IF(OR(NOT(ISNUMBER(G616)),NOT(ISNUMBER(H616)),G616=0),"",H616/G616)</f>
        <v/>
      </c>
      <c r="L616">
        <f>IF(NOT(ISNUMBER(G616)),"SEM META",IF(G616=0,"SEM META",IF(NOT(ISNUMBER(H616)),"SEM APONTAMENTO",IF(H616&gt;=G616,"VERDE",IF(H616&gt;=G616*0.9,"AMARELO","VERMELHO")))))</f>
        <v/>
      </c>
      <c r="M616" s="162" t="n"/>
      <c r="N616" s="162" t="n"/>
      <c r="O616" s="162" t="n"/>
      <c r="P616" s="162" t="n"/>
      <c r="Q616" s="320" t="n"/>
      <c r="R616" s="162" t="inlineStr">
        <is>
          <t>CONTROLE PRODUÇÃO POR EMPRESAS!D108</t>
        </is>
      </c>
    </row>
    <row r="617" ht="28.5" customHeight="1">
      <c r="A617" s="317" t="n">
        <v>46325</v>
      </c>
      <c r="B617" t="inlineStr">
        <is>
          <t>GERAL</t>
        </is>
      </c>
      <c r="C617" t="inlineStr">
        <is>
          <t>CMM</t>
        </is>
      </c>
      <c r="D617" t="inlineStr">
        <is>
          <t>PREMONTAGEM</t>
        </is>
      </c>
      <c r="F617" s="159">
        <f>IFERROR(INDEX('BASE METAS DIÁRIAS'!$N$2:$S$358,MATCH($A617,'BASE METAS DIÁRIAS'!$A$2:$A$358,0),MOD(ROW()-2,6)+1),"")</f>
        <v/>
      </c>
      <c r="G617" s="159">
        <f>IFERROR(IF(WEEKDAY($A617,2)&lt;=INDEX('BASE METAS DIÁRIAS'!$H$2:$M$358,MATCH($A617,'BASE METAS DIÁRIAS'!$A$2:$A$358,0),MOD(ROW()-2,6)+1),INDEX('BASE METAS DIÁRIAS'!$B$2:$G$358,MATCH($A617,'BASE METAS DIÁRIAS'!$A$2:$A$358,0),MOD(ROW()-2,6)+1),""),"")</f>
        <v/>
      </c>
      <c r="H617" s="159">
        <f>IFERROR(IF(INDEX('CONTROLE PRODUÇÃO POR EMPRESAS'!$B$6:$G$5000,MATCH($A617,'CONTROLE PRODUÇÃO POR EMPRESAS'!$A$6:$A$5000,0),MOD(ROW()-2,6)+1)="","",IFERROR(1*INDEX('CONTROLE PRODUÇÃO POR EMPRESAS'!$B$6:$G$5000,MATCH($A617,'CONTROLE PRODUÇÃO POR EMPRESAS'!$A$6:$A$5000,0),MOD(ROW()-2,6)+1),"")),"")</f>
        <v/>
      </c>
      <c r="I617" s="159">
        <f>IF(OR(NOT(ISNUMBER(G617)),NOT(ISNUMBER(H617))),"",H617-G617)</f>
        <v/>
      </c>
      <c r="J617" s="319">
        <f>IF(OR(NOT(ISNUMBER(G617)),NOT(ISNUMBER(H617)),G617=0),"",I617/G617)</f>
        <v/>
      </c>
      <c r="K617" s="319">
        <f>IF(OR(NOT(ISNUMBER(G617)),NOT(ISNUMBER(H617)),G617=0),"",H617/G617)</f>
        <v/>
      </c>
      <c r="L617">
        <f>IF(NOT(ISNUMBER(G617)),"SEM META",IF(G617=0,"SEM META",IF(NOT(ISNUMBER(H617)),"SEM APONTAMENTO",IF(H617&gt;=G617,"VERDE",IF(H617&gt;=G617*0.9,"AMARELO","VERMELHO")))))</f>
        <v/>
      </c>
      <c r="M617" s="162" t="n"/>
      <c r="N617" s="162" t="n"/>
      <c r="O617" s="162" t="n"/>
      <c r="P617" s="162" t="n"/>
      <c r="Q617" s="320" t="n"/>
      <c r="R617" s="162" t="inlineStr">
        <is>
          <t>CONTROLE PRODUÇÃO POR EMPRESAS!E108</t>
        </is>
      </c>
    </row>
    <row r="618" ht="28.5" customHeight="1">
      <c r="A618" s="317" t="n">
        <v>46325</v>
      </c>
      <c r="B618" t="inlineStr">
        <is>
          <t>GERAL</t>
        </is>
      </c>
      <c r="C618" t="inlineStr">
        <is>
          <t>CMM</t>
        </is>
      </c>
      <c r="D618" t="inlineStr">
        <is>
          <t>IÇAMENTO JOIST</t>
        </is>
      </c>
      <c r="F618" s="159">
        <f>IFERROR(INDEX('BASE METAS DIÁRIAS'!$N$2:$S$358,MATCH($A618,'BASE METAS DIÁRIAS'!$A$2:$A$358,0),MOD(ROW()-2,6)+1),"")</f>
        <v/>
      </c>
      <c r="G618" s="159">
        <f>IFERROR(IF(WEEKDAY($A618,2)&lt;=INDEX('BASE METAS DIÁRIAS'!$H$2:$M$358,MATCH($A618,'BASE METAS DIÁRIAS'!$A$2:$A$358,0),MOD(ROW()-2,6)+1),INDEX('BASE METAS DIÁRIAS'!$B$2:$G$358,MATCH($A618,'BASE METAS DIÁRIAS'!$A$2:$A$358,0),MOD(ROW()-2,6)+1),""),"")</f>
        <v/>
      </c>
      <c r="H618" s="159">
        <f>IFERROR(IF(INDEX('CONTROLE PRODUÇÃO POR EMPRESAS'!$B$6:$G$5000,MATCH($A618,'CONTROLE PRODUÇÃO POR EMPRESAS'!$A$6:$A$5000,0),MOD(ROW()-2,6)+1)="","",IFERROR(1*INDEX('CONTROLE PRODUÇÃO POR EMPRESAS'!$B$6:$G$5000,MATCH($A618,'CONTROLE PRODUÇÃO POR EMPRESAS'!$A$6:$A$5000,0),MOD(ROW()-2,6)+1),"")),"")</f>
        <v/>
      </c>
      <c r="I618" s="159">
        <f>IF(OR(NOT(ISNUMBER(G618)),NOT(ISNUMBER(H618))),"",H618-G618)</f>
        <v/>
      </c>
      <c r="J618" s="319">
        <f>IF(OR(NOT(ISNUMBER(G618)),NOT(ISNUMBER(H618)),G618=0),"",I618/G618)</f>
        <v/>
      </c>
      <c r="K618" s="319">
        <f>IF(OR(NOT(ISNUMBER(G618)),NOT(ISNUMBER(H618)),G618=0),"",H618/G618)</f>
        <v/>
      </c>
      <c r="L618">
        <f>IF(NOT(ISNUMBER(G618)),"SEM META",IF(G618=0,"SEM META",IF(NOT(ISNUMBER(H618)),"SEM APONTAMENTO",IF(H618&gt;=G618,"VERDE",IF(H618&gt;=G618*0.9,"AMARELO","VERMELHO")))))</f>
        <v/>
      </c>
      <c r="M618" s="162" t="n"/>
      <c r="N618" s="162" t="n"/>
      <c r="O618" s="162" t="n"/>
      <c r="P618" s="162" t="n"/>
      <c r="Q618" s="320" t="n"/>
      <c r="R618" s="162" t="inlineStr">
        <is>
          <t>CONTROLE PRODUÇÃO POR EMPRESAS!F108</t>
        </is>
      </c>
    </row>
    <row r="619" ht="28.5" customHeight="1">
      <c r="A619" s="317" t="n">
        <v>46325</v>
      </c>
      <c r="B619" t="inlineStr">
        <is>
          <t>GERAL</t>
        </is>
      </c>
      <c r="C619" t="inlineStr">
        <is>
          <t>CMM</t>
        </is>
      </c>
      <c r="D619" t="inlineStr">
        <is>
          <t>VIGAS</t>
        </is>
      </c>
      <c r="F619" s="159">
        <f>IFERROR(INDEX('BASE METAS DIÁRIAS'!$N$2:$S$358,MATCH($A619,'BASE METAS DIÁRIAS'!$A$2:$A$358,0),MOD(ROW()-2,6)+1),"")</f>
        <v/>
      </c>
      <c r="G619" s="159">
        <f>IFERROR(IF(WEEKDAY($A619,2)&lt;=INDEX('BASE METAS DIÁRIAS'!$H$2:$M$358,MATCH($A619,'BASE METAS DIÁRIAS'!$A$2:$A$358,0),MOD(ROW()-2,6)+1),INDEX('BASE METAS DIÁRIAS'!$B$2:$G$358,MATCH($A619,'BASE METAS DIÁRIAS'!$A$2:$A$358,0),MOD(ROW()-2,6)+1),""),"")</f>
        <v/>
      </c>
      <c r="H619" s="159">
        <f>IFERROR(IF(INDEX('CONTROLE PRODUÇÃO POR EMPRESAS'!$B$6:$G$5000,MATCH($A619,'CONTROLE PRODUÇÃO POR EMPRESAS'!$A$6:$A$5000,0),MOD(ROW()-2,6)+1)="","",IFERROR(1*INDEX('CONTROLE PRODUÇÃO POR EMPRESAS'!$B$6:$G$5000,MATCH($A619,'CONTROLE PRODUÇÃO POR EMPRESAS'!$A$6:$A$5000,0),MOD(ROW()-2,6)+1),"")),"")</f>
        <v/>
      </c>
      <c r="I619" s="159">
        <f>IF(OR(NOT(ISNUMBER(G619)),NOT(ISNUMBER(H619))),"",H619-G619)</f>
        <v/>
      </c>
      <c r="J619" s="319">
        <f>IF(OR(NOT(ISNUMBER(G619)),NOT(ISNUMBER(H619)),G619=0),"",I619/G619)</f>
        <v/>
      </c>
      <c r="K619" s="319">
        <f>IF(OR(NOT(ISNUMBER(G619)),NOT(ISNUMBER(H619)),G619=0),"",H619/G619)</f>
        <v/>
      </c>
      <c r="L619">
        <f>IF(NOT(ISNUMBER(G619)),"SEM META",IF(G619=0,"SEM META",IF(NOT(ISNUMBER(H619)),"SEM APONTAMENTO",IF(H619&gt;=G619,"VERDE",IF(H619&gt;=G619*0.9,"AMARELO","VERMELHO")))))</f>
        <v/>
      </c>
      <c r="M619" s="162" t="n"/>
      <c r="N619" s="162" t="n"/>
      <c r="O619" s="162" t="n"/>
      <c r="P619" s="162" t="n"/>
      <c r="Q619" s="320" t="n"/>
      <c r="R619" s="162" t="inlineStr">
        <is>
          <t>CONTROLE PRODUÇÃO POR EMPRESAS!G108</t>
        </is>
      </c>
    </row>
    <row r="620" ht="28.5" customHeight="1">
      <c r="A620" s="317" t="n">
        <v>46326</v>
      </c>
      <c r="B620" t="inlineStr">
        <is>
          <t>GERAL</t>
        </is>
      </c>
      <c r="C620" t="inlineStr">
        <is>
          <t>EJ</t>
        </is>
      </c>
      <c r="D620" t="inlineStr">
        <is>
          <t>PREMONTAGEM</t>
        </is>
      </c>
      <c r="F620" s="159">
        <f>IFERROR(INDEX('BASE METAS DIÁRIAS'!$N$2:$S$358,MATCH($A620,'BASE METAS DIÁRIAS'!$A$2:$A$358,0),MOD(ROW()-2,6)+1),"")</f>
        <v/>
      </c>
      <c r="G620" s="159">
        <f>IFERROR(IF(WEEKDAY($A620,2)&lt;=INDEX('BASE METAS DIÁRIAS'!$H$2:$M$358,MATCH($A620,'BASE METAS DIÁRIAS'!$A$2:$A$358,0),MOD(ROW()-2,6)+1),INDEX('BASE METAS DIÁRIAS'!$B$2:$G$358,MATCH($A620,'BASE METAS DIÁRIAS'!$A$2:$A$358,0),MOD(ROW()-2,6)+1),""),"")</f>
        <v/>
      </c>
      <c r="H620" s="159">
        <f>IFERROR(IF(INDEX('CONTROLE PRODUÇÃO POR EMPRESAS'!$B$6:$G$5000,MATCH($A620,'CONTROLE PRODUÇÃO POR EMPRESAS'!$A$6:$A$5000,0),MOD(ROW()-2,6)+1)="","",IFERROR(1*INDEX('CONTROLE PRODUÇÃO POR EMPRESAS'!$B$6:$G$5000,MATCH($A620,'CONTROLE PRODUÇÃO POR EMPRESAS'!$A$6:$A$5000,0),MOD(ROW()-2,6)+1),"")),"")</f>
        <v/>
      </c>
      <c r="I620" s="159">
        <f>IF(OR(NOT(ISNUMBER(G620)),NOT(ISNUMBER(H620))),"",H620-G620)</f>
        <v/>
      </c>
      <c r="J620" s="319">
        <f>IF(OR(NOT(ISNUMBER(G620)),NOT(ISNUMBER(H620)),G620=0),"",I620/G620)</f>
        <v/>
      </c>
      <c r="K620" s="319">
        <f>IF(OR(NOT(ISNUMBER(G620)),NOT(ISNUMBER(H620)),G620=0),"",H620/G620)</f>
        <v/>
      </c>
      <c r="L620">
        <f>IF(NOT(ISNUMBER(G620)),"SEM META",IF(G620=0,"SEM META",IF(NOT(ISNUMBER(H620)),"SEM APONTAMENTO",IF(H620&gt;=G620,"VERDE",IF(H620&gt;=G620*0.9,"AMARELO","VERMELHO")))))</f>
        <v/>
      </c>
      <c r="M620" s="162" t="n"/>
      <c r="N620" s="162" t="n"/>
      <c r="O620" s="162" t="n"/>
      <c r="P620" s="162" t="n"/>
      <c r="Q620" s="320" t="n"/>
      <c r="R620" s="162" t="inlineStr">
        <is>
          <t>CONTROLE PRODUÇÃO POR EMPRESAS!B109</t>
        </is>
      </c>
    </row>
    <row r="621" ht="28.5" customHeight="1">
      <c r="A621" s="317" t="n">
        <v>46326</v>
      </c>
      <c r="B621" t="inlineStr">
        <is>
          <t>GERAL</t>
        </is>
      </c>
      <c r="C621" t="inlineStr">
        <is>
          <t>EJ</t>
        </is>
      </c>
      <c r="D621" t="inlineStr">
        <is>
          <t>IÇAMENTO JOIST</t>
        </is>
      </c>
      <c r="F621" s="159">
        <f>IFERROR(INDEX('BASE METAS DIÁRIAS'!$N$2:$S$358,MATCH($A621,'BASE METAS DIÁRIAS'!$A$2:$A$358,0),MOD(ROW()-2,6)+1),"")</f>
        <v/>
      </c>
      <c r="G621" s="159">
        <f>IFERROR(IF(WEEKDAY($A621,2)&lt;=INDEX('BASE METAS DIÁRIAS'!$H$2:$M$358,MATCH($A621,'BASE METAS DIÁRIAS'!$A$2:$A$358,0),MOD(ROW()-2,6)+1),INDEX('BASE METAS DIÁRIAS'!$B$2:$G$358,MATCH($A621,'BASE METAS DIÁRIAS'!$A$2:$A$358,0),MOD(ROW()-2,6)+1),""),"")</f>
        <v/>
      </c>
      <c r="H621" s="159">
        <f>IFERROR(IF(INDEX('CONTROLE PRODUÇÃO POR EMPRESAS'!$B$6:$G$5000,MATCH($A621,'CONTROLE PRODUÇÃO POR EMPRESAS'!$A$6:$A$5000,0),MOD(ROW()-2,6)+1)="","",IFERROR(1*INDEX('CONTROLE PRODUÇÃO POR EMPRESAS'!$B$6:$G$5000,MATCH($A621,'CONTROLE PRODUÇÃO POR EMPRESAS'!$A$6:$A$5000,0),MOD(ROW()-2,6)+1),"")),"")</f>
        <v/>
      </c>
      <c r="I621" s="159">
        <f>IF(OR(NOT(ISNUMBER(G621)),NOT(ISNUMBER(H621))),"",H621-G621)</f>
        <v/>
      </c>
      <c r="J621" s="319">
        <f>IF(OR(NOT(ISNUMBER(G621)),NOT(ISNUMBER(H621)),G621=0),"",I621/G621)</f>
        <v/>
      </c>
      <c r="K621" s="319">
        <f>IF(OR(NOT(ISNUMBER(G621)),NOT(ISNUMBER(H621)),G621=0),"",H621/G621)</f>
        <v/>
      </c>
      <c r="L621">
        <f>IF(NOT(ISNUMBER(G621)),"SEM META",IF(G621=0,"SEM META",IF(NOT(ISNUMBER(H621)),"SEM APONTAMENTO",IF(H621&gt;=G621,"VERDE",IF(H621&gt;=G621*0.9,"AMARELO","VERMELHO")))))</f>
        <v/>
      </c>
      <c r="M621" s="162" t="n"/>
      <c r="N621" s="162" t="n"/>
      <c r="O621" s="162" t="n"/>
      <c r="P621" s="162" t="n"/>
      <c r="Q621" s="320" t="n"/>
      <c r="R621" s="162" t="inlineStr">
        <is>
          <t>CONTROLE PRODUÇÃO POR EMPRESAS!C109</t>
        </is>
      </c>
    </row>
    <row r="622" ht="28.5" customHeight="1">
      <c r="A622" s="317" t="n">
        <v>46326</v>
      </c>
      <c r="B622" t="inlineStr">
        <is>
          <t>GERAL</t>
        </is>
      </c>
      <c r="C622" t="inlineStr">
        <is>
          <t>EJ</t>
        </is>
      </c>
      <c r="D622" t="inlineStr">
        <is>
          <t>VIGAS</t>
        </is>
      </c>
      <c r="F622" s="159">
        <f>IFERROR(INDEX('BASE METAS DIÁRIAS'!$N$2:$S$358,MATCH($A622,'BASE METAS DIÁRIAS'!$A$2:$A$358,0),MOD(ROW()-2,6)+1),"")</f>
        <v/>
      </c>
      <c r="G622" s="159">
        <f>IFERROR(IF(WEEKDAY($A622,2)&lt;=INDEX('BASE METAS DIÁRIAS'!$H$2:$M$358,MATCH($A622,'BASE METAS DIÁRIAS'!$A$2:$A$358,0),MOD(ROW()-2,6)+1),INDEX('BASE METAS DIÁRIAS'!$B$2:$G$358,MATCH($A622,'BASE METAS DIÁRIAS'!$A$2:$A$358,0),MOD(ROW()-2,6)+1),""),"")</f>
        <v/>
      </c>
      <c r="H622" s="159">
        <f>IFERROR(IF(INDEX('CONTROLE PRODUÇÃO POR EMPRESAS'!$B$6:$G$5000,MATCH($A622,'CONTROLE PRODUÇÃO POR EMPRESAS'!$A$6:$A$5000,0),MOD(ROW()-2,6)+1)="","",IFERROR(1*INDEX('CONTROLE PRODUÇÃO POR EMPRESAS'!$B$6:$G$5000,MATCH($A622,'CONTROLE PRODUÇÃO POR EMPRESAS'!$A$6:$A$5000,0),MOD(ROW()-2,6)+1),"")),"")</f>
        <v/>
      </c>
      <c r="I622" s="159">
        <f>IF(OR(NOT(ISNUMBER(G622)),NOT(ISNUMBER(H622))),"",H622-G622)</f>
        <v/>
      </c>
      <c r="J622" s="319">
        <f>IF(OR(NOT(ISNUMBER(G622)),NOT(ISNUMBER(H622)),G622=0),"",I622/G622)</f>
        <v/>
      </c>
      <c r="K622" s="319">
        <f>IF(OR(NOT(ISNUMBER(G622)),NOT(ISNUMBER(H622)),G622=0),"",H622/G622)</f>
        <v/>
      </c>
      <c r="L622">
        <f>IF(NOT(ISNUMBER(G622)),"SEM META",IF(G622=0,"SEM META",IF(NOT(ISNUMBER(H622)),"SEM APONTAMENTO",IF(H622&gt;=G622,"VERDE",IF(H622&gt;=G622*0.9,"AMARELO","VERMELHO")))))</f>
        <v/>
      </c>
      <c r="M622" s="162" t="n"/>
      <c r="N622" s="162" t="n"/>
      <c r="O622" s="162" t="n"/>
      <c r="P622" s="162" t="n"/>
      <c r="Q622" s="320" t="n"/>
      <c r="R622" s="162" t="inlineStr">
        <is>
          <t>CONTROLE PRODUÇÃO POR EMPRESAS!D109</t>
        </is>
      </c>
    </row>
    <row r="623" ht="28.5" customHeight="1">
      <c r="A623" s="317" t="n">
        <v>46326</v>
      </c>
      <c r="B623" t="inlineStr">
        <is>
          <t>GERAL</t>
        </is>
      </c>
      <c r="C623" t="inlineStr">
        <is>
          <t>CMM</t>
        </is>
      </c>
      <c r="D623" t="inlineStr">
        <is>
          <t>PREMONTAGEM</t>
        </is>
      </c>
      <c r="F623" s="159">
        <f>IFERROR(INDEX('BASE METAS DIÁRIAS'!$N$2:$S$358,MATCH($A623,'BASE METAS DIÁRIAS'!$A$2:$A$358,0),MOD(ROW()-2,6)+1),"")</f>
        <v/>
      </c>
      <c r="G623" s="159">
        <f>IFERROR(IF(WEEKDAY($A623,2)&lt;=INDEX('BASE METAS DIÁRIAS'!$H$2:$M$358,MATCH($A623,'BASE METAS DIÁRIAS'!$A$2:$A$358,0),MOD(ROW()-2,6)+1),INDEX('BASE METAS DIÁRIAS'!$B$2:$G$358,MATCH($A623,'BASE METAS DIÁRIAS'!$A$2:$A$358,0),MOD(ROW()-2,6)+1),""),"")</f>
        <v/>
      </c>
      <c r="H623" s="159">
        <f>IFERROR(IF(INDEX('CONTROLE PRODUÇÃO POR EMPRESAS'!$B$6:$G$5000,MATCH($A623,'CONTROLE PRODUÇÃO POR EMPRESAS'!$A$6:$A$5000,0),MOD(ROW()-2,6)+1)="","",IFERROR(1*INDEX('CONTROLE PRODUÇÃO POR EMPRESAS'!$B$6:$G$5000,MATCH($A623,'CONTROLE PRODUÇÃO POR EMPRESAS'!$A$6:$A$5000,0),MOD(ROW()-2,6)+1),"")),"")</f>
        <v/>
      </c>
      <c r="I623" s="159">
        <f>IF(OR(NOT(ISNUMBER(G623)),NOT(ISNUMBER(H623))),"",H623-G623)</f>
        <v/>
      </c>
      <c r="J623" s="319">
        <f>IF(OR(NOT(ISNUMBER(G623)),NOT(ISNUMBER(H623)),G623=0),"",I623/G623)</f>
        <v/>
      </c>
      <c r="K623" s="319">
        <f>IF(OR(NOT(ISNUMBER(G623)),NOT(ISNUMBER(H623)),G623=0),"",H623/G623)</f>
        <v/>
      </c>
      <c r="L623">
        <f>IF(NOT(ISNUMBER(G623)),"SEM META",IF(G623=0,"SEM META",IF(NOT(ISNUMBER(H623)),"SEM APONTAMENTO",IF(H623&gt;=G623,"VERDE",IF(H623&gt;=G623*0.9,"AMARELO","VERMELHO")))))</f>
        <v/>
      </c>
      <c r="M623" s="162" t="n"/>
      <c r="N623" s="162" t="n"/>
      <c r="O623" s="162" t="n"/>
      <c r="P623" s="162" t="n"/>
      <c r="Q623" s="320" t="n"/>
      <c r="R623" s="162" t="inlineStr">
        <is>
          <t>CONTROLE PRODUÇÃO POR EMPRESAS!E109</t>
        </is>
      </c>
    </row>
    <row r="624" ht="28.5" customHeight="1">
      <c r="A624" s="317" t="n">
        <v>46326</v>
      </c>
      <c r="B624" t="inlineStr">
        <is>
          <t>GERAL</t>
        </is>
      </c>
      <c r="C624" t="inlineStr">
        <is>
          <t>CMM</t>
        </is>
      </c>
      <c r="D624" t="inlineStr">
        <is>
          <t>IÇAMENTO JOIST</t>
        </is>
      </c>
      <c r="F624" s="159">
        <f>IFERROR(INDEX('BASE METAS DIÁRIAS'!$N$2:$S$358,MATCH($A624,'BASE METAS DIÁRIAS'!$A$2:$A$358,0),MOD(ROW()-2,6)+1),"")</f>
        <v/>
      </c>
      <c r="G624" s="159">
        <f>IFERROR(IF(WEEKDAY($A624,2)&lt;=INDEX('BASE METAS DIÁRIAS'!$H$2:$M$358,MATCH($A624,'BASE METAS DIÁRIAS'!$A$2:$A$358,0),MOD(ROW()-2,6)+1),INDEX('BASE METAS DIÁRIAS'!$B$2:$G$358,MATCH($A624,'BASE METAS DIÁRIAS'!$A$2:$A$358,0),MOD(ROW()-2,6)+1),""),"")</f>
        <v/>
      </c>
      <c r="H624" s="159">
        <f>IFERROR(IF(INDEX('CONTROLE PRODUÇÃO POR EMPRESAS'!$B$6:$G$5000,MATCH($A624,'CONTROLE PRODUÇÃO POR EMPRESAS'!$A$6:$A$5000,0),MOD(ROW()-2,6)+1)="","",IFERROR(1*INDEX('CONTROLE PRODUÇÃO POR EMPRESAS'!$B$6:$G$5000,MATCH($A624,'CONTROLE PRODUÇÃO POR EMPRESAS'!$A$6:$A$5000,0),MOD(ROW()-2,6)+1),"")),"")</f>
        <v/>
      </c>
      <c r="I624" s="159">
        <f>IF(OR(NOT(ISNUMBER(G624)),NOT(ISNUMBER(H624))),"",H624-G624)</f>
        <v/>
      </c>
      <c r="J624" s="319">
        <f>IF(OR(NOT(ISNUMBER(G624)),NOT(ISNUMBER(H624)),G624=0),"",I624/G624)</f>
        <v/>
      </c>
      <c r="K624" s="319">
        <f>IF(OR(NOT(ISNUMBER(G624)),NOT(ISNUMBER(H624)),G624=0),"",H624/G624)</f>
        <v/>
      </c>
      <c r="L624">
        <f>IF(NOT(ISNUMBER(G624)),"SEM META",IF(G624=0,"SEM META",IF(NOT(ISNUMBER(H624)),"SEM APONTAMENTO",IF(H624&gt;=G624,"VERDE",IF(H624&gt;=G624*0.9,"AMARELO","VERMELHO")))))</f>
        <v/>
      </c>
      <c r="M624" s="162" t="n"/>
      <c r="N624" s="162" t="n"/>
      <c r="O624" s="162" t="n"/>
      <c r="P624" s="162" t="n"/>
      <c r="Q624" s="320" t="n"/>
      <c r="R624" s="162" t="inlineStr">
        <is>
          <t>CONTROLE PRODUÇÃO POR EMPRESAS!F109</t>
        </is>
      </c>
    </row>
    <row r="625" ht="28.5" customHeight="1">
      <c r="A625" s="317" t="n">
        <v>46326</v>
      </c>
      <c r="B625" t="inlineStr">
        <is>
          <t>GERAL</t>
        </is>
      </c>
      <c r="C625" t="inlineStr">
        <is>
          <t>CMM</t>
        </is>
      </c>
      <c r="D625" t="inlineStr">
        <is>
          <t>VIGAS</t>
        </is>
      </c>
      <c r="F625" s="159">
        <f>IFERROR(INDEX('BASE METAS DIÁRIAS'!$N$2:$S$358,MATCH($A625,'BASE METAS DIÁRIAS'!$A$2:$A$358,0),MOD(ROW()-2,6)+1),"")</f>
        <v/>
      </c>
      <c r="G625" s="159">
        <f>IFERROR(IF(WEEKDAY($A625,2)&lt;=INDEX('BASE METAS DIÁRIAS'!$H$2:$M$358,MATCH($A625,'BASE METAS DIÁRIAS'!$A$2:$A$358,0),MOD(ROW()-2,6)+1),INDEX('BASE METAS DIÁRIAS'!$B$2:$G$358,MATCH($A625,'BASE METAS DIÁRIAS'!$A$2:$A$358,0),MOD(ROW()-2,6)+1),""),"")</f>
        <v/>
      </c>
      <c r="H625" s="159">
        <f>IFERROR(IF(INDEX('CONTROLE PRODUÇÃO POR EMPRESAS'!$B$6:$G$5000,MATCH($A625,'CONTROLE PRODUÇÃO POR EMPRESAS'!$A$6:$A$5000,0),MOD(ROW()-2,6)+1)="","",IFERROR(1*INDEX('CONTROLE PRODUÇÃO POR EMPRESAS'!$B$6:$G$5000,MATCH($A625,'CONTROLE PRODUÇÃO POR EMPRESAS'!$A$6:$A$5000,0),MOD(ROW()-2,6)+1),"")),"")</f>
        <v/>
      </c>
      <c r="I625" s="159">
        <f>IF(OR(NOT(ISNUMBER(G625)),NOT(ISNUMBER(H625))),"",H625-G625)</f>
        <v/>
      </c>
      <c r="J625" s="319">
        <f>IF(OR(NOT(ISNUMBER(G625)),NOT(ISNUMBER(H625)),G625=0),"",I625/G625)</f>
        <v/>
      </c>
      <c r="K625" s="319">
        <f>IF(OR(NOT(ISNUMBER(G625)),NOT(ISNUMBER(H625)),G625=0),"",H625/G625)</f>
        <v/>
      </c>
      <c r="L625">
        <f>IF(NOT(ISNUMBER(G625)),"SEM META",IF(G625=0,"SEM META",IF(NOT(ISNUMBER(H625)),"SEM APONTAMENTO",IF(H625&gt;=G625,"VERDE",IF(H625&gt;=G625*0.9,"AMARELO","VERMELHO")))))</f>
        <v/>
      </c>
      <c r="M625" s="162" t="n"/>
      <c r="N625" s="162" t="n"/>
      <c r="O625" s="162" t="n"/>
      <c r="P625" s="162" t="n"/>
      <c r="Q625" s="320" t="n"/>
      <c r="R625" s="162" t="inlineStr">
        <is>
          <t>CONTROLE PRODUÇÃO POR EMPRESAS!G109</t>
        </is>
      </c>
    </row>
    <row r="626" ht="28.5" customHeight="1">
      <c r="A626" s="317" t="n">
        <v>46327</v>
      </c>
      <c r="B626" t="inlineStr">
        <is>
          <t>GERAL</t>
        </is>
      </c>
      <c r="C626" t="inlineStr">
        <is>
          <t>EJ</t>
        </is>
      </c>
      <c r="D626" t="inlineStr">
        <is>
          <t>PREMONTAGEM</t>
        </is>
      </c>
      <c r="F626" s="159">
        <f>IFERROR(INDEX('BASE METAS DIÁRIAS'!$N$2:$S$358,MATCH($A626,'BASE METAS DIÁRIAS'!$A$2:$A$358,0),MOD(ROW()-2,6)+1),"")</f>
        <v/>
      </c>
      <c r="G626" s="159">
        <f>IFERROR(IF(WEEKDAY($A626,2)&lt;=INDEX('BASE METAS DIÁRIAS'!$H$2:$M$358,MATCH($A626,'BASE METAS DIÁRIAS'!$A$2:$A$358,0),MOD(ROW()-2,6)+1),INDEX('BASE METAS DIÁRIAS'!$B$2:$G$358,MATCH($A626,'BASE METAS DIÁRIAS'!$A$2:$A$358,0),MOD(ROW()-2,6)+1),""),"")</f>
        <v/>
      </c>
      <c r="H626" s="159">
        <f>IFERROR(IF(INDEX('CONTROLE PRODUÇÃO POR EMPRESAS'!$B$6:$G$5000,MATCH($A626,'CONTROLE PRODUÇÃO POR EMPRESAS'!$A$6:$A$5000,0),MOD(ROW()-2,6)+1)="","",IFERROR(1*INDEX('CONTROLE PRODUÇÃO POR EMPRESAS'!$B$6:$G$5000,MATCH($A626,'CONTROLE PRODUÇÃO POR EMPRESAS'!$A$6:$A$5000,0),MOD(ROW()-2,6)+1),"")),"")</f>
        <v/>
      </c>
      <c r="I626" s="159">
        <f>IF(OR(NOT(ISNUMBER(G626)),NOT(ISNUMBER(H626))),"",H626-G626)</f>
        <v/>
      </c>
      <c r="J626" s="319">
        <f>IF(OR(NOT(ISNUMBER(G626)),NOT(ISNUMBER(H626)),G626=0),"",I626/G626)</f>
        <v/>
      </c>
      <c r="K626" s="319">
        <f>IF(OR(NOT(ISNUMBER(G626)),NOT(ISNUMBER(H626)),G626=0),"",H626/G626)</f>
        <v/>
      </c>
      <c r="L626">
        <f>IF(NOT(ISNUMBER(G626)),"SEM META",IF(G626=0,"SEM META",IF(NOT(ISNUMBER(H626)),"SEM APONTAMENTO",IF(H626&gt;=G626,"VERDE",IF(H626&gt;=G626*0.9,"AMARELO","VERMELHO")))))</f>
        <v/>
      </c>
      <c r="M626" s="162" t="n"/>
      <c r="N626" s="162" t="n"/>
      <c r="O626" s="162" t="n"/>
      <c r="P626" s="162" t="n"/>
      <c r="Q626" s="320" t="n"/>
      <c r="R626" s="162" t="inlineStr">
        <is>
          <t>CONTROLE PRODUÇÃO POR EMPRESAS!B110</t>
        </is>
      </c>
    </row>
    <row r="627" ht="28.5" customHeight="1">
      <c r="A627" s="317" t="n">
        <v>46327</v>
      </c>
      <c r="B627" t="inlineStr">
        <is>
          <t>GERAL</t>
        </is>
      </c>
      <c r="C627" t="inlineStr">
        <is>
          <t>EJ</t>
        </is>
      </c>
      <c r="D627" t="inlineStr">
        <is>
          <t>IÇAMENTO JOIST</t>
        </is>
      </c>
      <c r="F627" s="159">
        <f>IFERROR(INDEX('BASE METAS DIÁRIAS'!$N$2:$S$358,MATCH($A627,'BASE METAS DIÁRIAS'!$A$2:$A$358,0),MOD(ROW()-2,6)+1),"")</f>
        <v/>
      </c>
      <c r="G627" s="159">
        <f>IFERROR(IF(WEEKDAY($A627,2)&lt;=INDEX('BASE METAS DIÁRIAS'!$H$2:$M$358,MATCH($A627,'BASE METAS DIÁRIAS'!$A$2:$A$358,0),MOD(ROW()-2,6)+1),INDEX('BASE METAS DIÁRIAS'!$B$2:$G$358,MATCH($A627,'BASE METAS DIÁRIAS'!$A$2:$A$358,0),MOD(ROW()-2,6)+1),""),"")</f>
        <v/>
      </c>
      <c r="H627" s="159">
        <f>IFERROR(IF(INDEX('CONTROLE PRODUÇÃO POR EMPRESAS'!$B$6:$G$5000,MATCH($A627,'CONTROLE PRODUÇÃO POR EMPRESAS'!$A$6:$A$5000,0),MOD(ROW()-2,6)+1)="","",IFERROR(1*INDEX('CONTROLE PRODUÇÃO POR EMPRESAS'!$B$6:$G$5000,MATCH($A627,'CONTROLE PRODUÇÃO POR EMPRESAS'!$A$6:$A$5000,0),MOD(ROW()-2,6)+1),"")),"")</f>
        <v/>
      </c>
      <c r="I627" s="159">
        <f>IF(OR(NOT(ISNUMBER(G627)),NOT(ISNUMBER(H627))),"",H627-G627)</f>
        <v/>
      </c>
      <c r="J627" s="319">
        <f>IF(OR(NOT(ISNUMBER(G627)),NOT(ISNUMBER(H627)),G627=0),"",I627/G627)</f>
        <v/>
      </c>
      <c r="K627" s="319">
        <f>IF(OR(NOT(ISNUMBER(G627)),NOT(ISNUMBER(H627)),G627=0),"",H627/G627)</f>
        <v/>
      </c>
      <c r="L627">
        <f>IF(NOT(ISNUMBER(G627)),"SEM META",IF(G627=0,"SEM META",IF(NOT(ISNUMBER(H627)),"SEM APONTAMENTO",IF(H627&gt;=G627,"VERDE",IF(H627&gt;=G627*0.9,"AMARELO","VERMELHO")))))</f>
        <v/>
      </c>
      <c r="M627" s="162" t="n"/>
      <c r="N627" s="162" t="n"/>
      <c r="O627" s="162" t="n"/>
      <c r="P627" s="162" t="n"/>
      <c r="Q627" s="320" t="n"/>
      <c r="R627" s="162" t="inlineStr">
        <is>
          <t>CONTROLE PRODUÇÃO POR EMPRESAS!C110</t>
        </is>
      </c>
    </row>
    <row r="628" ht="28.5" customHeight="1">
      <c r="A628" s="317" t="n">
        <v>46327</v>
      </c>
      <c r="B628" t="inlineStr">
        <is>
          <t>GERAL</t>
        </is>
      </c>
      <c r="C628" t="inlineStr">
        <is>
          <t>EJ</t>
        </is>
      </c>
      <c r="D628" t="inlineStr">
        <is>
          <t>VIGAS</t>
        </is>
      </c>
      <c r="F628" s="159">
        <f>IFERROR(INDEX('BASE METAS DIÁRIAS'!$N$2:$S$358,MATCH($A628,'BASE METAS DIÁRIAS'!$A$2:$A$358,0),MOD(ROW()-2,6)+1),"")</f>
        <v/>
      </c>
      <c r="G628" s="159">
        <f>IFERROR(IF(WEEKDAY($A628,2)&lt;=INDEX('BASE METAS DIÁRIAS'!$H$2:$M$358,MATCH($A628,'BASE METAS DIÁRIAS'!$A$2:$A$358,0),MOD(ROW()-2,6)+1),INDEX('BASE METAS DIÁRIAS'!$B$2:$G$358,MATCH($A628,'BASE METAS DIÁRIAS'!$A$2:$A$358,0),MOD(ROW()-2,6)+1),""),"")</f>
        <v/>
      </c>
      <c r="H628" s="159">
        <f>IFERROR(IF(INDEX('CONTROLE PRODUÇÃO POR EMPRESAS'!$B$6:$G$5000,MATCH($A628,'CONTROLE PRODUÇÃO POR EMPRESAS'!$A$6:$A$5000,0),MOD(ROW()-2,6)+1)="","",IFERROR(1*INDEX('CONTROLE PRODUÇÃO POR EMPRESAS'!$B$6:$G$5000,MATCH($A628,'CONTROLE PRODUÇÃO POR EMPRESAS'!$A$6:$A$5000,0),MOD(ROW()-2,6)+1),"")),"")</f>
        <v/>
      </c>
      <c r="I628" s="159">
        <f>IF(OR(NOT(ISNUMBER(G628)),NOT(ISNUMBER(H628))),"",H628-G628)</f>
        <v/>
      </c>
      <c r="J628" s="319">
        <f>IF(OR(NOT(ISNUMBER(G628)),NOT(ISNUMBER(H628)),G628=0),"",I628/G628)</f>
        <v/>
      </c>
      <c r="K628" s="319">
        <f>IF(OR(NOT(ISNUMBER(G628)),NOT(ISNUMBER(H628)),G628=0),"",H628/G628)</f>
        <v/>
      </c>
      <c r="L628">
        <f>IF(NOT(ISNUMBER(G628)),"SEM META",IF(G628=0,"SEM META",IF(NOT(ISNUMBER(H628)),"SEM APONTAMENTO",IF(H628&gt;=G628,"VERDE",IF(H628&gt;=G628*0.9,"AMARELO","VERMELHO")))))</f>
        <v/>
      </c>
      <c r="M628" s="162" t="n"/>
      <c r="N628" s="162" t="n"/>
      <c r="O628" s="162" t="n"/>
      <c r="P628" s="162" t="n"/>
      <c r="Q628" s="320" t="n"/>
      <c r="R628" s="162" t="inlineStr">
        <is>
          <t>CONTROLE PRODUÇÃO POR EMPRESAS!D110</t>
        </is>
      </c>
    </row>
    <row r="629" ht="28.5" customHeight="1">
      <c r="A629" s="317" t="n">
        <v>46327</v>
      </c>
      <c r="B629" t="inlineStr">
        <is>
          <t>GERAL</t>
        </is>
      </c>
      <c r="C629" t="inlineStr">
        <is>
          <t>CMM</t>
        </is>
      </c>
      <c r="D629" t="inlineStr">
        <is>
          <t>PREMONTAGEM</t>
        </is>
      </c>
      <c r="F629" s="159">
        <f>IFERROR(INDEX('BASE METAS DIÁRIAS'!$N$2:$S$358,MATCH($A629,'BASE METAS DIÁRIAS'!$A$2:$A$358,0),MOD(ROW()-2,6)+1),"")</f>
        <v/>
      </c>
      <c r="G629" s="159">
        <f>IFERROR(IF(WEEKDAY($A629,2)&lt;=INDEX('BASE METAS DIÁRIAS'!$H$2:$M$358,MATCH($A629,'BASE METAS DIÁRIAS'!$A$2:$A$358,0),MOD(ROW()-2,6)+1),INDEX('BASE METAS DIÁRIAS'!$B$2:$G$358,MATCH($A629,'BASE METAS DIÁRIAS'!$A$2:$A$358,0),MOD(ROW()-2,6)+1),""),"")</f>
        <v/>
      </c>
      <c r="H629" s="159">
        <f>IFERROR(IF(INDEX('CONTROLE PRODUÇÃO POR EMPRESAS'!$B$6:$G$5000,MATCH($A629,'CONTROLE PRODUÇÃO POR EMPRESAS'!$A$6:$A$5000,0),MOD(ROW()-2,6)+1)="","",IFERROR(1*INDEX('CONTROLE PRODUÇÃO POR EMPRESAS'!$B$6:$G$5000,MATCH($A629,'CONTROLE PRODUÇÃO POR EMPRESAS'!$A$6:$A$5000,0),MOD(ROW()-2,6)+1),"")),"")</f>
        <v/>
      </c>
      <c r="I629" s="159">
        <f>IF(OR(NOT(ISNUMBER(G629)),NOT(ISNUMBER(H629))),"",H629-G629)</f>
        <v/>
      </c>
      <c r="J629" s="319">
        <f>IF(OR(NOT(ISNUMBER(G629)),NOT(ISNUMBER(H629)),G629=0),"",I629/G629)</f>
        <v/>
      </c>
      <c r="K629" s="319">
        <f>IF(OR(NOT(ISNUMBER(G629)),NOT(ISNUMBER(H629)),G629=0),"",H629/G629)</f>
        <v/>
      </c>
      <c r="L629">
        <f>IF(NOT(ISNUMBER(G629)),"SEM META",IF(G629=0,"SEM META",IF(NOT(ISNUMBER(H629)),"SEM APONTAMENTO",IF(H629&gt;=G629,"VERDE",IF(H629&gt;=G629*0.9,"AMARELO","VERMELHO")))))</f>
        <v/>
      </c>
      <c r="M629" s="162" t="n"/>
      <c r="N629" s="162" t="n"/>
      <c r="O629" s="162" t="n"/>
      <c r="P629" s="162" t="n"/>
      <c r="Q629" s="320" t="n"/>
      <c r="R629" s="162" t="inlineStr">
        <is>
          <t>CONTROLE PRODUÇÃO POR EMPRESAS!E110</t>
        </is>
      </c>
    </row>
    <row r="630" ht="28.5" customHeight="1">
      <c r="A630" s="317" t="n">
        <v>46327</v>
      </c>
      <c r="B630" t="inlineStr">
        <is>
          <t>GERAL</t>
        </is>
      </c>
      <c r="C630" t="inlineStr">
        <is>
          <t>CMM</t>
        </is>
      </c>
      <c r="D630" t="inlineStr">
        <is>
          <t>IÇAMENTO JOIST</t>
        </is>
      </c>
      <c r="F630" s="159">
        <f>IFERROR(INDEX('BASE METAS DIÁRIAS'!$N$2:$S$358,MATCH($A630,'BASE METAS DIÁRIAS'!$A$2:$A$358,0),MOD(ROW()-2,6)+1),"")</f>
        <v/>
      </c>
      <c r="G630" s="159">
        <f>IFERROR(IF(WEEKDAY($A630,2)&lt;=INDEX('BASE METAS DIÁRIAS'!$H$2:$M$358,MATCH($A630,'BASE METAS DIÁRIAS'!$A$2:$A$358,0),MOD(ROW()-2,6)+1),INDEX('BASE METAS DIÁRIAS'!$B$2:$G$358,MATCH($A630,'BASE METAS DIÁRIAS'!$A$2:$A$358,0),MOD(ROW()-2,6)+1),""),"")</f>
        <v/>
      </c>
      <c r="H630" s="159">
        <f>IFERROR(IF(INDEX('CONTROLE PRODUÇÃO POR EMPRESAS'!$B$6:$G$5000,MATCH($A630,'CONTROLE PRODUÇÃO POR EMPRESAS'!$A$6:$A$5000,0),MOD(ROW()-2,6)+1)="","",IFERROR(1*INDEX('CONTROLE PRODUÇÃO POR EMPRESAS'!$B$6:$G$5000,MATCH($A630,'CONTROLE PRODUÇÃO POR EMPRESAS'!$A$6:$A$5000,0),MOD(ROW()-2,6)+1),"")),"")</f>
        <v/>
      </c>
      <c r="I630" s="159">
        <f>IF(OR(NOT(ISNUMBER(G630)),NOT(ISNUMBER(H630))),"",H630-G630)</f>
        <v/>
      </c>
      <c r="J630" s="319">
        <f>IF(OR(NOT(ISNUMBER(G630)),NOT(ISNUMBER(H630)),G630=0),"",I630/G630)</f>
        <v/>
      </c>
      <c r="K630" s="319">
        <f>IF(OR(NOT(ISNUMBER(G630)),NOT(ISNUMBER(H630)),G630=0),"",H630/G630)</f>
        <v/>
      </c>
      <c r="L630">
        <f>IF(NOT(ISNUMBER(G630)),"SEM META",IF(G630=0,"SEM META",IF(NOT(ISNUMBER(H630)),"SEM APONTAMENTO",IF(H630&gt;=G630,"VERDE",IF(H630&gt;=G630*0.9,"AMARELO","VERMELHO")))))</f>
        <v/>
      </c>
      <c r="M630" s="162" t="n"/>
      <c r="N630" s="162" t="n"/>
      <c r="O630" s="162" t="n"/>
      <c r="P630" s="162" t="n"/>
      <c r="Q630" s="320" t="n"/>
      <c r="R630" s="162" t="inlineStr">
        <is>
          <t>CONTROLE PRODUÇÃO POR EMPRESAS!F110</t>
        </is>
      </c>
    </row>
    <row r="631" ht="28.5" customHeight="1">
      <c r="A631" s="317" t="n">
        <v>46327</v>
      </c>
      <c r="B631" t="inlineStr">
        <is>
          <t>GERAL</t>
        </is>
      </c>
      <c r="C631" t="inlineStr">
        <is>
          <t>CMM</t>
        </is>
      </c>
      <c r="D631" t="inlineStr">
        <is>
          <t>VIGAS</t>
        </is>
      </c>
      <c r="F631" s="159">
        <f>IFERROR(INDEX('BASE METAS DIÁRIAS'!$N$2:$S$358,MATCH($A631,'BASE METAS DIÁRIAS'!$A$2:$A$358,0),MOD(ROW()-2,6)+1),"")</f>
        <v/>
      </c>
      <c r="G631" s="159">
        <f>IFERROR(IF(WEEKDAY($A631,2)&lt;=INDEX('BASE METAS DIÁRIAS'!$H$2:$M$358,MATCH($A631,'BASE METAS DIÁRIAS'!$A$2:$A$358,0),MOD(ROW()-2,6)+1),INDEX('BASE METAS DIÁRIAS'!$B$2:$G$358,MATCH($A631,'BASE METAS DIÁRIAS'!$A$2:$A$358,0),MOD(ROW()-2,6)+1),""),"")</f>
        <v/>
      </c>
      <c r="H631" s="159">
        <f>IFERROR(IF(INDEX('CONTROLE PRODUÇÃO POR EMPRESAS'!$B$6:$G$5000,MATCH($A631,'CONTROLE PRODUÇÃO POR EMPRESAS'!$A$6:$A$5000,0),MOD(ROW()-2,6)+1)="","",IFERROR(1*INDEX('CONTROLE PRODUÇÃO POR EMPRESAS'!$B$6:$G$5000,MATCH($A631,'CONTROLE PRODUÇÃO POR EMPRESAS'!$A$6:$A$5000,0),MOD(ROW()-2,6)+1),"")),"")</f>
        <v/>
      </c>
      <c r="I631" s="159">
        <f>IF(OR(NOT(ISNUMBER(G631)),NOT(ISNUMBER(H631))),"",H631-G631)</f>
        <v/>
      </c>
      <c r="J631" s="319">
        <f>IF(OR(NOT(ISNUMBER(G631)),NOT(ISNUMBER(H631)),G631=0),"",I631/G631)</f>
        <v/>
      </c>
      <c r="K631" s="319">
        <f>IF(OR(NOT(ISNUMBER(G631)),NOT(ISNUMBER(H631)),G631=0),"",H631/G631)</f>
        <v/>
      </c>
      <c r="L631">
        <f>IF(NOT(ISNUMBER(G631)),"SEM META",IF(G631=0,"SEM META",IF(NOT(ISNUMBER(H631)),"SEM APONTAMENTO",IF(H631&gt;=G631,"VERDE",IF(H631&gt;=G631*0.9,"AMARELO","VERMELHO")))))</f>
        <v/>
      </c>
      <c r="M631" s="162" t="n"/>
      <c r="N631" s="162" t="n"/>
      <c r="O631" s="162" t="n"/>
      <c r="P631" s="162" t="n"/>
      <c r="Q631" s="320" t="n"/>
      <c r="R631" s="162" t="inlineStr">
        <is>
          <t>CONTROLE PRODUÇÃO POR EMPRESAS!G110</t>
        </is>
      </c>
    </row>
    <row r="632" ht="28.5" customHeight="1">
      <c r="A632" s="317" t="n">
        <v>46328</v>
      </c>
      <c r="B632" t="inlineStr">
        <is>
          <t>GERAL</t>
        </is>
      </c>
      <c r="C632" t="inlineStr">
        <is>
          <t>EJ</t>
        </is>
      </c>
      <c r="D632" t="inlineStr">
        <is>
          <t>PREMONTAGEM</t>
        </is>
      </c>
      <c r="F632" s="159">
        <f>IFERROR(INDEX('BASE METAS DIÁRIAS'!$N$2:$S$358,MATCH($A632,'BASE METAS DIÁRIAS'!$A$2:$A$358,0),MOD(ROW()-2,6)+1),"")</f>
        <v/>
      </c>
      <c r="G632" s="159">
        <f>IFERROR(IF(WEEKDAY($A632,2)&lt;=INDEX('BASE METAS DIÁRIAS'!$H$2:$M$358,MATCH($A632,'BASE METAS DIÁRIAS'!$A$2:$A$358,0),MOD(ROW()-2,6)+1),INDEX('BASE METAS DIÁRIAS'!$B$2:$G$358,MATCH($A632,'BASE METAS DIÁRIAS'!$A$2:$A$358,0),MOD(ROW()-2,6)+1),""),"")</f>
        <v/>
      </c>
      <c r="H632" s="159">
        <f>IFERROR(IF(INDEX('CONTROLE PRODUÇÃO POR EMPRESAS'!$B$6:$G$5000,MATCH($A632,'CONTROLE PRODUÇÃO POR EMPRESAS'!$A$6:$A$5000,0),MOD(ROW()-2,6)+1)="","",IFERROR(1*INDEX('CONTROLE PRODUÇÃO POR EMPRESAS'!$B$6:$G$5000,MATCH($A632,'CONTROLE PRODUÇÃO POR EMPRESAS'!$A$6:$A$5000,0),MOD(ROW()-2,6)+1),"")),"")</f>
        <v/>
      </c>
      <c r="I632" s="159">
        <f>IF(OR(NOT(ISNUMBER(G632)),NOT(ISNUMBER(H632))),"",H632-G632)</f>
        <v/>
      </c>
      <c r="J632" s="319">
        <f>IF(OR(NOT(ISNUMBER(G632)),NOT(ISNUMBER(H632)),G632=0),"",I632/G632)</f>
        <v/>
      </c>
      <c r="K632" s="319">
        <f>IF(OR(NOT(ISNUMBER(G632)),NOT(ISNUMBER(H632)),G632=0),"",H632/G632)</f>
        <v/>
      </c>
      <c r="L632">
        <f>IF(NOT(ISNUMBER(G632)),"SEM META",IF(G632=0,"SEM META",IF(NOT(ISNUMBER(H632)),"SEM APONTAMENTO",IF(H632&gt;=G632,"VERDE",IF(H632&gt;=G632*0.9,"AMARELO","VERMELHO")))))</f>
        <v/>
      </c>
      <c r="M632" s="162" t="n"/>
      <c r="N632" s="162" t="n"/>
      <c r="O632" s="162" t="n"/>
      <c r="P632" s="162" t="n"/>
      <c r="Q632" s="320" t="n"/>
      <c r="R632" s="162" t="inlineStr">
        <is>
          <t>CONTROLE PRODUÇÃO POR EMPRESAS!B111</t>
        </is>
      </c>
    </row>
    <row r="633" ht="28.5" customHeight="1">
      <c r="A633" s="317" t="n">
        <v>46328</v>
      </c>
      <c r="B633" t="inlineStr">
        <is>
          <t>GERAL</t>
        </is>
      </c>
      <c r="C633" t="inlineStr">
        <is>
          <t>EJ</t>
        </is>
      </c>
      <c r="D633" t="inlineStr">
        <is>
          <t>IÇAMENTO JOIST</t>
        </is>
      </c>
      <c r="F633" s="159">
        <f>IFERROR(INDEX('BASE METAS DIÁRIAS'!$N$2:$S$358,MATCH($A633,'BASE METAS DIÁRIAS'!$A$2:$A$358,0),MOD(ROW()-2,6)+1),"")</f>
        <v/>
      </c>
      <c r="G633" s="159">
        <f>IFERROR(IF(WEEKDAY($A633,2)&lt;=INDEX('BASE METAS DIÁRIAS'!$H$2:$M$358,MATCH($A633,'BASE METAS DIÁRIAS'!$A$2:$A$358,0),MOD(ROW()-2,6)+1),INDEX('BASE METAS DIÁRIAS'!$B$2:$G$358,MATCH($A633,'BASE METAS DIÁRIAS'!$A$2:$A$358,0),MOD(ROW()-2,6)+1),""),"")</f>
        <v/>
      </c>
      <c r="H633" s="159">
        <f>IFERROR(IF(INDEX('CONTROLE PRODUÇÃO POR EMPRESAS'!$B$6:$G$5000,MATCH($A633,'CONTROLE PRODUÇÃO POR EMPRESAS'!$A$6:$A$5000,0),MOD(ROW()-2,6)+1)="","",IFERROR(1*INDEX('CONTROLE PRODUÇÃO POR EMPRESAS'!$B$6:$G$5000,MATCH($A633,'CONTROLE PRODUÇÃO POR EMPRESAS'!$A$6:$A$5000,0),MOD(ROW()-2,6)+1),"")),"")</f>
        <v/>
      </c>
      <c r="I633" s="159">
        <f>IF(OR(NOT(ISNUMBER(G633)),NOT(ISNUMBER(H633))),"",H633-G633)</f>
        <v/>
      </c>
      <c r="J633" s="319">
        <f>IF(OR(NOT(ISNUMBER(G633)),NOT(ISNUMBER(H633)),G633=0),"",I633/G633)</f>
        <v/>
      </c>
      <c r="K633" s="319">
        <f>IF(OR(NOT(ISNUMBER(G633)),NOT(ISNUMBER(H633)),G633=0),"",H633/G633)</f>
        <v/>
      </c>
      <c r="L633">
        <f>IF(NOT(ISNUMBER(G633)),"SEM META",IF(G633=0,"SEM META",IF(NOT(ISNUMBER(H633)),"SEM APONTAMENTO",IF(H633&gt;=G633,"VERDE",IF(H633&gt;=G633*0.9,"AMARELO","VERMELHO")))))</f>
        <v/>
      </c>
      <c r="M633" s="162" t="n"/>
      <c r="N633" s="162" t="n"/>
      <c r="O633" s="162" t="n"/>
      <c r="P633" s="162" t="n"/>
      <c r="Q633" s="320" t="n"/>
      <c r="R633" s="162" t="inlineStr">
        <is>
          <t>CONTROLE PRODUÇÃO POR EMPRESAS!C111</t>
        </is>
      </c>
    </row>
    <row r="634" ht="28.5" customHeight="1">
      <c r="A634" s="317" t="n">
        <v>46328</v>
      </c>
      <c r="B634" t="inlineStr">
        <is>
          <t>GERAL</t>
        </is>
      </c>
      <c r="C634" t="inlineStr">
        <is>
          <t>EJ</t>
        </is>
      </c>
      <c r="D634" t="inlineStr">
        <is>
          <t>VIGAS</t>
        </is>
      </c>
      <c r="F634" s="159">
        <f>IFERROR(INDEX('BASE METAS DIÁRIAS'!$N$2:$S$358,MATCH($A634,'BASE METAS DIÁRIAS'!$A$2:$A$358,0),MOD(ROW()-2,6)+1),"")</f>
        <v/>
      </c>
      <c r="G634" s="159">
        <f>IFERROR(IF(WEEKDAY($A634,2)&lt;=INDEX('BASE METAS DIÁRIAS'!$H$2:$M$358,MATCH($A634,'BASE METAS DIÁRIAS'!$A$2:$A$358,0),MOD(ROW()-2,6)+1),INDEX('BASE METAS DIÁRIAS'!$B$2:$G$358,MATCH($A634,'BASE METAS DIÁRIAS'!$A$2:$A$358,0),MOD(ROW()-2,6)+1),""),"")</f>
        <v/>
      </c>
      <c r="H634" s="159">
        <f>IFERROR(IF(INDEX('CONTROLE PRODUÇÃO POR EMPRESAS'!$B$6:$G$5000,MATCH($A634,'CONTROLE PRODUÇÃO POR EMPRESAS'!$A$6:$A$5000,0),MOD(ROW()-2,6)+1)="","",IFERROR(1*INDEX('CONTROLE PRODUÇÃO POR EMPRESAS'!$B$6:$G$5000,MATCH($A634,'CONTROLE PRODUÇÃO POR EMPRESAS'!$A$6:$A$5000,0),MOD(ROW()-2,6)+1),"")),"")</f>
        <v/>
      </c>
      <c r="I634" s="159">
        <f>IF(OR(NOT(ISNUMBER(G634)),NOT(ISNUMBER(H634))),"",H634-G634)</f>
        <v/>
      </c>
      <c r="J634" s="319">
        <f>IF(OR(NOT(ISNUMBER(G634)),NOT(ISNUMBER(H634)),G634=0),"",I634/G634)</f>
        <v/>
      </c>
      <c r="K634" s="319">
        <f>IF(OR(NOT(ISNUMBER(G634)),NOT(ISNUMBER(H634)),G634=0),"",H634/G634)</f>
        <v/>
      </c>
      <c r="L634">
        <f>IF(NOT(ISNUMBER(G634)),"SEM META",IF(G634=0,"SEM META",IF(NOT(ISNUMBER(H634)),"SEM APONTAMENTO",IF(H634&gt;=G634,"VERDE",IF(H634&gt;=G634*0.9,"AMARELO","VERMELHO")))))</f>
        <v/>
      </c>
      <c r="M634" s="162" t="n"/>
      <c r="N634" s="162" t="n"/>
      <c r="O634" s="162" t="n"/>
      <c r="P634" s="162" t="n"/>
      <c r="Q634" s="320" t="n"/>
      <c r="R634" s="162" t="inlineStr">
        <is>
          <t>CONTROLE PRODUÇÃO POR EMPRESAS!D111</t>
        </is>
      </c>
    </row>
    <row r="635" ht="28.5" customHeight="1">
      <c r="A635" s="317" t="n">
        <v>46328</v>
      </c>
      <c r="B635" t="inlineStr">
        <is>
          <t>GERAL</t>
        </is>
      </c>
      <c r="C635" t="inlineStr">
        <is>
          <t>CMM</t>
        </is>
      </c>
      <c r="D635" t="inlineStr">
        <is>
          <t>PREMONTAGEM</t>
        </is>
      </c>
      <c r="F635" s="159">
        <f>IFERROR(INDEX('BASE METAS DIÁRIAS'!$N$2:$S$358,MATCH($A635,'BASE METAS DIÁRIAS'!$A$2:$A$358,0),MOD(ROW()-2,6)+1),"")</f>
        <v/>
      </c>
      <c r="G635" s="159">
        <f>IFERROR(IF(WEEKDAY($A635,2)&lt;=INDEX('BASE METAS DIÁRIAS'!$H$2:$M$358,MATCH($A635,'BASE METAS DIÁRIAS'!$A$2:$A$358,0),MOD(ROW()-2,6)+1),INDEX('BASE METAS DIÁRIAS'!$B$2:$G$358,MATCH($A635,'BASE METAS DIÁRIAS'!$A$2:$A$358,0),MOD(ROW()-2,6)+1),""),"")</f>
        <v/>
      </c>
      <c r="H635" s="159">
        <f>IFERROR(IF(INDEX('CONTROLE PRODUÇÃO POR EMPRESAS'!$B$6:$G$5000,MATCH($A635,'CONTROLE PRODUÇÃO POR EMPRESAS'!$A$6:$A$5000,0),MOD(ROW()-2,6)+1)="","",IFERROR(1*INDEX('CONTROLE PRODUÇÃO POR EMPRESAS'!$B$6:$G$5000,MATCH($A635,'CONTROLE PRODUÇÃO POR EMPRESAS'!$A$6:$A$5000,0),MOD(ROW()-2,6)+1),"")),"")</f>
        <v/>
      </c>
      <c r="I635" s="159">
        <f>IF(OR(NOT(ISNUMBER(G635)),NOT(ISNUMBER(H635))),"",H635-G635)</f>
        <v/>
      </c>
      <c r="J635" s="319">
        <f>IF(OR(NOT(ISNUMBER(G635)),NOT(ISNUMBER(H635)),G635=0),"",I635/G635)</f>
        <v/>
      </c>
      <c r="K635" s="319">
        <f>IF(OR(NOT(ISNUMBER(G635)),NOT(ISNUMBER(H635)),G635=0),"",H635/G635)</f>
        <v/>
      </c>
      <c r="L635">
        <f>IF(NOT(ISNUMBER(G635)),"SEM META",IF(G635=0,"SEM META",IF(NOT(ISNUMBER(H635)),"SEM APONTAMENTO",IF(H635&gt;=G635,"VERDE",IF(H635&gt;=G635*0.9,"AMARELO","VERMELHO")))))</f>
        <v/>
      </c>
      <c r="M635" s="162" t="n"/>
      <c r="N635" s="162" t="n"/>
      <c r="O635" s="162" t="n"/>
      <c r="P635" s="162" t="n"/>
      <c r="Q635" s="320" t="n"/>
      <c r="R635" s="162" t="inlineStr">
        <is>
          <t>CONTROLE PRODUÇÃO POR EMPRESAS!E111</t>
        </is>
      </c>
    </row>
    <row r="636" ht="28.5" customHeight="1">
      <c r="A636" s="317" t="n">
        <v>46328</v>
      </c>
      <c r="B636" t="inlineStr">
        <is>
          <t>GERAL</t>
        </is>
      </c>
      <c r="C636" t="inlineStr">
        <is>
          <t>CMM</t>
        </is>
      </c>
      <c r="D636" t="inlineStr">
        <is>
          <t>IÇAMENTO JOIST</t>
        </is>
      </c>
      <c r="F636" s="159">
        <f>IFERROR(INDEX('BASE METAS DIÁRIAS'!$N$2:$S$358,MATCH($A636,'BASE METAS DIÁRIAS'!$A$2:$A$358,0),MOD(ROW()-2,6)+1),"")</f>
        <v/>
      </c>
      <c r="G636" s="159">
        <f>IFERROR(IF(WEEKDAY($A636,2)&lt;=INDEX('BASE METAS DIÁRIAS'!$H$2:$M$358,MATCH($A636,'BASE METAS DIÁRIAS'!$A$2:$A$358,0),MOD(ROW()-2,6)+1),INDEX('BASE METAS DIÁRIAS'!$B$2:$G$358,MATCH($A636,'BASE METAS DIÁRIAS'!$A$2:$A$358,0),MOD(ROW()-2,6)+1),""),"")</f>
        <v/>
      </c>
      <c r="H636" s="159">
        <f>IFERROR(IF(INDEX('CONTROLE PRODUÇÃO POR EMPRESAS'!$B$6:$G$5000,MATCH($A636,'CONTROLE PRODUÇÃO POR EMPRESAS'!$A$6:$A$5000,0),MOD(ROW()-2,6)+1)="","",IFERROR(1*INDEX('CONTROLE PRODUÇÃO POR EMPRESAS'!$B$6:$G$5000,MATCH($A636,'CONTROLE PRODUÇÃO POR EMPRESAS'!$A$6:$A$5000,0),MOD(ROW()-2,6)+1),"")),"")</f>
        <v/>
      </c>
      <c r="I636" s="159">
        <f>IF(OR(NOT(ISNUMBER(G636)),NOT(ISNUMBER(H636))),"",H636-G636)</f>
        <v/>
      </c>
      <c r="J636" s="319">
        <f>IF(OR(NOT(ISNUMBER(G636)),NOT(ISNUMBER(H636)),G636=0),"",I636/G636)</f>
        <v/>
      </c>
      <c r="K636" s="319">
        <f>IF(OR(NOT(ISNUMBER(G636)),NOT(ISNUMBER(H636)),G636=0),"",H636/G636)</f>
        <v/>
      </c>
      <c r="L636">
        <f>IF(NOT(ISNUMBER(G636)),"SEM META",IF(G636=0,"SEM META",IF(NOT(ISNUMBER(H636)),"SEM APONTAMENTO",IF(H636&gt;=G636,"VERDE",IF(H636&gt;=G636*0.9,"AMARELO","VERMELHO")))))</f>
        <v/>
      </c>
      <c r="M636" s="162" t="n"/>
      <c r="N636" s="162" t="n"/>
      <c r="O636" s="162" t="n"/>
      <c r="P636" s="162" t="n"/>
      <c r="Q636" s="320" t="n"/>
      <c r="R636" s="162" t="inlineStr">
        <is>
          <t>CONTROLE PRODUÇÃO POR EMPRESAS!F111</t>
        </is>
      </c>
    </row>
    <row r="637" ht="28.5" customHeight="1">
      <c r="A637" s="317" t="n">
        <v>46328</v>
      </c>
      <c r="B637" t="inlineStr">
        <is>
          <t>GERAL</t>
        </is>
      </c>
      <c r="C637" t="inlineStr">
        <is>
          <t>CMM</t>
        </is>
      </c>
      <c r="D637" t="inlineStr">
        <is>
          <t>VIGAS</t>
        </is>
      </c>
      <c r="F637" s="159">
        <f>IFERROR(INDEX('BASE METAS DIÁRIAS'!$N$2:$S$358,MATCH($A637,'BASE METAS DIÁRIAS'!$A$2:$A$358,0),MOD(ROW()-2,6)+1),"")</f>
        <v/>
      </c>
      <c r="G637" s="159">
        <f>IFERROR(IF(WEEKDAY($A637,2)&lt;=INDEX('BASE METAS DIÁRIAS'!$H$2:$M$358,MATCH($A637,'BASE METAS DIÁRIAS'!$A$2:$A$358,0),MOD(ROW()-2,6)+1),INDEX('BASE METAS DIÁRIAS'!$B$2:$G$358,MATCH($A637,'BASE METAS DIÁRIAS'!$A$2:$A$358,0),MOD(ROW()-2,6)+1),""),"")</f>
        <v/>
      </c>
      <c r="H637" s="159">
        <f>IFERROR(IF(INDEX('CONTROLE PRODUÇÃO POR EMPRESAS'!$B$6:$G$5000,MATCH($A637,'CONTROLE PRODUÇÃO POR EMPRESAS'!$A$6:$A$5000,0),MOD(ROW()-2,6)+1)="","",IFERROR(1*INDEX('CONTROLE PRODUÇÃO POR EMPRESAS'!$B$6:$G$5000,MATCH($A637,'CONTROLE PRODUÇÃO POR EMPRESAS'!$A$6:$A$5000,0),MOD(ROW()-2,6)+1),"")),"")</f>
        <v/>
      </c>
      <c r="I637" s="159">
        <f>IF(OR(NOT(ISNUMBER(G637)),NOT(ISNUMBER(H637))),"",H637-G637)</f>
        <v/>
      </c>
      <c r="J637" s="319">
        <f>IF(OR(NOT(ISNUMBER(G637)),NOT(ISNUMBER(H637)),G637=0),"",I637/G637)</f>
        <v/>
      </c>
      <c r="K637" s="319">
        <f>IF(OR(NOT(ISNUMBER(G637)),NOT(ISNUMBER(H637)),G637=0),"",H637/G637)</f>
        <v/>
      </c>
      <c r="L637">
        <f>IF(NOT(ISNUMBER(G637)),"SEM META",IF(G637=0,"SEM META",IF(NOT(ISNUMBER(H637)),"SEM APONTAMENTO",IF(H637&gt;=G637,"VERDE",IF(H637&gt;=G637*0.9,"AMARELO","VERMELHO")))))</f>
        <v/>
      </c>
      <c r="M637" s="162" t="n"/>
      <c r="N637" s="162" t="n"/>
      <c r="O637" s="162" t="n"/>
      <c r="P637" s="162" t="n"/>
      <c r="Q637" s="320" t="n"/>
      <c r="R637" s="162" t="inlineStr">
        <is>
          <t>CONTROLE PRODUÇÃO POR EMPRESAS!G111</t>
        </is>
      </c>
    </row>
    <row r="638" ht="28.5" customHeight="1">
      <c r="A638" s="317" t="n">
        <v>46329</v>
      </c>
      <c r="B638" t="inlineStr">
        <is>
          <t>GERAL</t>
        </is>
      </c>
      <c r="C638" t="inlineStr">
        <is>
          <t>EJ</t>
        </is>
      </c>
      <c r="D638" t="inlineStr">
        <is>
          <t>PREMONTAGEM</t>
        </is>
      </c>
      <c r="F638" s="159">
        <f>IFERROR(INDEX('BASE METAS DIÁRIAS'!$N$2:$S$358,MATCH($A638,'BASE METAS DIÁRIAS'!$A$2:$A$358,0),MOD(ROW()-2,6)+1),"")</f>
        <v/>
      </c>
      <c r="G638" s="159">
        <f>IFERROR(IF(WEEKDAY($A638,2)&lt;=INDEX('BASE METAS DIÁRIAS'!$H$2:$M$358,MATCH($A638,'BASE METAS DIÁRIAS'!$A$2:$A$358,0),MOD(ROW()-2,6)+1),INDEX('BASE METAS DIÁRIAS'!$B$2:$G$358,MATCH($A638,'BASE METAS DIÁRIAS'!$A$2:$A$358,0),MOD(ROW()-2,6)+1),""),"")</f>
        <v/>
      </c>
      <c r="H638" s="159">
        <f>IFERROR(IF(INDEX('CONTROLE PRODUÇÃO POR EMPRESAS'!$B$6:$G$5000,MATCH($A638,'CONTROLE PRODUÇÃO POR EMPRESAS'!$A$6:$A$5000,0),MOD(ROW()-2,6)+1)="","",IFERROR(1*INDEX('CONTROLE PRODUÇÃO POR EMPRESAS'!$B$6:$G$5000,MATCH($A638,'CONTROLE PRODUÇÃO POR EMPRESAS'!$A$6:$A$5000,0),MOD(ROW()-2,6)+1),"")),"")</f>
        <v/>
      </c>
      <c r="I638" s="159">
        <f>IF(OR(NOT(ISNUMBER(G638)),NOT(ISNUMBER(H638))),"",H638-G638)</f>
        <v/>
      </c>
      <c r="J638" s="319">
        <f>IF(OR(NOT(ISNUMBER(G638)),NOT(ISNUMBER(H638)),G638=0),"",I638/G638)</f>
        <v/>
      </c>
      <c r="K638" s="319">
        <f>IF(OR(NOT(ISNUMBER(G638)),NOT(ISNUMBER(H638)),G638=0),"",H638/G638)</f>
        <v/>
      </c>
      <c r="L638">
        <f>IF(NOT(ISNUMBER(G638)),"SEM META",IF(G638=0,"SEM META",IF(NOT(ISNUMBER(H638)),"SEM APONTAMENTO",IF(H638&gt;=G638,"VERDE",IF(H638&gt;=G638*0.9,"AMARELO","VERMELHO")))))</f>
        <v/>
      </c>
      <c r="M638" s="162" t="n"/>
      <c r="N638" s="162" t="n"/>
      <c r="O638" s="162" t="n"/>
      <c r="P638" s="162" t="n"/>
      <c r="Q638" s="320" t="n"/>
      <c r="R638" s="162" t="inlineStr">
        <is>
          <t>CONTROLE PRODUÇÃO POR EMPRESAS!B112</t>
        </is>
      </c>
    </row>
    <row r="639" ht="28.5" customHeight="1">
      <c r="A639" s="317" t="n">
        <v>46329</v>
      </c>
      <c r="B639" t="inlineStr">
        <is>
          <t>GERAL</t>
        </is>
      </c>
      <c r="C639" t="inlineStr">
        <is>
          <t>EJ</t>
        </is>
      </c>
      <c r="D639" t="inlineStr">
        <is>
          <t>IÇAMENTO JOIST</t>
        </is>
      </c>
      <c r="F639" s="159">
        <f>IFERROR(INDEX('BASE METAS DIÁRIAS'!$N$2:$S$358,MATCH($A639,'BASE METAS DIÁRIAS'!$A$2:$A$358,0),MOD(ROW()-2,6)+1),"")</f>
        <v/>
      </c>
      <c r="G639" s="159">
        <f>IFERROR(IF(WEEKDAY($A639,2)&lt;=INDEX('BASE METAS DIÁRIAS'!$H$2:$M$358,MATCH($A639,'BASE METAS DIÁRIAS'!$A$2:$A$358,0),MOD(ROW()-2,6)+1),INDEX('BASE METAS DIÁRIAS'!$B$2:$G$358,MATCH($A639,'BASE METAS DIÁRIAS'!$A$2:$A$358,0),MOD(ROW()-2,6)+1),""),"")</f>
        <v/>
      </c>
      <c r="H639" s="159">
        <f>IFERROR(IF(INDEX('CONTROLE PRODUÇÃO POR EMPRESAS'!$B$6:$G$5000,MATCH($A639,'CONTROLE PRODUÇÃO POR EMPRESAS'!$A$6:$A$5000,0),MOD(ROW()-2,6)+1)="","",IFERROR(1*INDEX('CONTROLE PRODUÇÃO POR EMPRESAS'!$B$6:$G$5000,MATCH($A639,'CONTROLE PRODUÇÃO POR EMPRESAS'!$A$6:$A$5000,0),MOD(ROW()-2,6)+1),"")),"")</f>
        <v/>
      </c>
      <c r="I639" s="159">
        <f>IF(OR(NOT(ISNUMBER(G639)),NOT(ISNUMBER(H639))),"",H639-G639)</f>
        <v/>
      </c>
      <c r="J639" s="319">
        <f>IF(OR(NOT(ISNUMBER(G639)),NOT(ISNUMBER(H639)),G639=0),"",I639/G639)</f>
        <v/>
      </c>
      <c r="K639" s="319">
        <f>IF(OR(NOT(ISNUMBER(G639)),NOT(ISNUMBER(H639)),G639=0),"",H639/G639)</f>
        <v/>
      </c>
      <c r="L639">
        <f>IF(NOT(ISNUMBER(G639)),"SEM META",IF(G639=0,"SEM META",IF(NOT(ISNUMBER(H639)),"SEM APONTAMENTO",IF(H639&gt;=G639,"VERDE",IF(H639&gt;=G639*0.9,"AMARELO","VERMELHO")))))</f>
        <v/>
      </c>
      <c r="M639" s="162" t="n"/>
      <c r="N639" s="162" t="n"/>
      <c r="O639" s="162" t="n"/>
      <c r="P639" s="162" t="n"/>
      <c r="Q639" s="320" t="n"/>
      <c r="R639" s="162" t="inlineStr">
        <is>
          <t>CONTROLE PRODUÇÃO POR EMPRESAS!C112</t>
        </is>
      </c>
    </row>
    <row r="640" ht="28.5" customHeight="1">
      <c r="A640" s="317" t="n">
        <v>46329</v>
      </c>
      <c r="B640" t="inlineStr">
        <is>
          <t>GERAL</t>
        </is>
      </c>
      <c r="C640" t="inlineStr">
        <is>
          <t>EJ</t>
        </is>
      </c>
      <c r="D640" t="inlineStr">
        <is>
          <t>VIGAS</t>
        </is>
      </c>
      <c r="F640" s="159">
        <f>IFERROR(INDEX('BASE METAS DIÁRIAS'!$N$2:$S$358,MATCH($A640,'BASE METAS DIÁRIAS'!$A$2:$A$358,0),MOD(ROW()-2,6)+1),"")</f>
        <v/>
      </c>
      <c r="G640" s="159">
        <f>IFERROR(IF(WEEKDAY($A640,2)&lt;=INDEX('BASE METAS DIÁRIAS'!$H$2:$M$358,MATCH($A640,'BASE METAS DIÁRIAS'!$A$2:$A$358,0),MOD(ROW()-2,6)+1),INDEX('BASE METAS DIÁRIAS'!$B$2:$G$358,MATCH($A640,'BASE METAS DIÁRIAS'!$A$2:$A$358,0),MOD(ROW()-2,6)+1),""),"")</f>
        <v/>
      </c>
      <c r="H640" s="159">
        <f>IFERROR(IF(INDEX('CONTROLE PRODUÇÃO POR EMPRESAS'!$B$6:$G$5000,MATCH($A640,'CONTROLE PRODUÇÃO POR EMPRESAS'!$A$6:$A$5000,0),MOD(ROW()-2,6)+1)="","",IFERROR(1*INDEX('CONTROLE PRODUÇÃO POR EMPRESAS'!$B$6:$G$5000,MATCH($A640,'CONTROLE PRODUÇÃO POR EMPRESAS'!$A$6:$A$5000,0),MOD(ROW()-2,6)+1),"")),"")</f>
        <v/>
      </c>
      <c r="I640" s="159">
        <f>IF(OR(NOT(ISNUMBER(G640)),NOT(ISNUMBER(H640))),"",H640-G640)</f>
        <v/>
      </c>
      <c r="J640" s="319">
        <f>IF(OR(NOT(ISNUMBER(G640)),NOT(ISNUMBER(H640)),G640=0),"",I640/G640)</f>
        <v/>
      </c>
      <c r="K640" s="319">
        <f>IF(OR(NOT(ISNUMBER(G640)),NOT(ISNUMBER(H640)),G640=0),"",H640/G640)</f>
        <v/>
      </c>
      <c r="L640">
        <f>IF(NOT(ISNUMBER(G640)),"SEM META",IF(G640=0,"SEM META",IF(NOT(ISNUMBER(H640)),"SEM APONTAMENTO",IF(H640&gt;=G640,"VERDE",IF(H640&gt;=G640*0.9,"AMARELO","VERMELHO")))))</f>
        <v/>
      </c>
      <c r="M640" s="162" t="n"/>
      <c r="N640" s="162" t="n"/>
      <c r="O640" s="162" t="n"/>
      <c r="P640" s="162" t="n"/>
      <c r="Q640" s="320" t="n"/>
      <c r="R640" s="162" t="inlineStr">
        <is>
          <t>CONTROLE PRODUÇÃO POR EMPRESAS!D112</t>
        </is>
      </c>
    </row>
    <row r="641" ht="28.5" customHeight="1">
      <c r="A641" s="317" t="n">
        <v>46329</v>
      </c>
      <c r="B641" t="inlineStr">
        <is>
          <t>GERAL</t>
        </is>
      </c>
      <c r="C641" t="inlineStr">
        <is>
          <t>CMM</t>
        </is>
      </c>
      <c r="D641" t="inlineStr">
        <is>
          <t>PREMONTAGEM</t>
        </is>
      </c>
      <c r="F641" s="159">
        <f>IFERROR(INDEX('BASE METAS DIÁRIAS'!$N$2:$S$358,MATCH($A641,'BASE METAS DIÁRIAS'!$A$2:$A$358,0),MOD(ROW()-2,6)+1),"")</f>
        <v/>
      </c>
      <c r="G641" s="159">
        <f>IFERROR(IF(WEEKDAY($A641,2)&lt;=INDEX('BASE METAS DIÁRIAS'!$H$2:$M$358,MATCH($A641,'BASE METAS DIÁRIAS'!$A$2:$A$358,0),MOD(ROW()-2,6)+1),INDEX('BASE METAS DIÁRIAS'!$B$2:$G$358,MATCH($A641,'BASE METAS DIÁRIAS'!$A$2:$A$358,0),MOD(ROW()-2,6)+1),""),"")</f>
        <v/>
      </c>
      <c r="H641" s="159">
        <f>IFERROR(IF(INDEX('CONTROLE PRODUÇÃO POR EMPRESAS'!$B$6:$G$5000,MATCH($A641,'CONTROLE PRODUÇÃO POR EMPRESAS'!$A$6:$A$5000,0),MOD(ROW()-2,6)+1)="","",IFERROR(1*INDEX('CONTROLE PRODUÇÃO POR EMPRESAS'!$B$6:$G$5000,MATCH($A641,'CONTROLE PRODUÇÃO POR EMPRESAS'!$A$6:$A$5000,0),MOD(ROW()-2,6)+1),"")),"")</f>
        <v/>
      </c>
      <c r="I641" s="159">
        <f>IF(OR(NOT(ISNUMBER(G641)),NOT(ISNUMBER(H641))),"",H641-G641)</f>
        <v/>
      </c>
      <c r="J641" s="319">
        <f>IF(OR(NOT(ISNUMBER(G641)),NOT(ISNUMBER(H641)),G641=0),"",I641/G641)</f>
        <v/>
      </c>
      <c r="K641" s="319">
        <f>IF(OR(NOT(ISNUMBER(G641)),NOT(ISNUMBER(H641)),G641=0),"",H641/G641)</f>
        <v/>
      </c>
      <c r="L641">
        <f>IF(NOT(ISNUMBER(G641)),"SEM META",IF(G641=0,"SEM META",IF(NOT(ISNUMBER(H641)),"SEM APONTAMENTO",IF(H641&gt;=G641,"VERDE",IF(H641&gt;=G641*0.9,"AMARELO","VERMELHO")))))</f>
        <v/>
      </c>
      <c r="M641" s="162" t="n"/>
      <c r="N641" s="162" t="n"/>
      <c r="O641" s="162" t="n"/>
      <c r="P641" s="162" t="n"/>
      <c r="Q641" s="320" t="n"/>
      <c r="R641" s="162" t="inlineStr">
        <is>
          <t>CONTROLE PRODUÇÃO POR EMPRESAS!E112</t>
        </is>
      </c>
    </row>
    <row r="642" ht="28.5" customHeight="1">
      <c r="A642" s="317" t="n">
        <v>46329</v>
      </c>
      <c r="B642" t="inlineStr">
        <is>
          <t>GERAL</t>
        </is>
      </c>
      <c r="C642" t="inlineStr">
        <is>
          <t>CMM</t>
        </is>
      </c>
      <c r="D642" t="inlineStr">
        <is>
          <t>IÇAMENTO JOIST</t>
        </is>
      </c>
      <c r="F642" s="159">
        <f>IFERROR(INDEX('BASE METAS DIÁRIAS'!$N$2:$S$358,MATCH($A642,'BASE METAS DIÁRIAS'!$A$2:$A$358,0),MOD(ROW()-2,6)+1),"")</f>
        <v/>
      </c>
      <c r="G642" s="159">
        <f>IFERROR(IF(WEEKDAY($A642,2)&lt;=INDEX('BASE METAS DIÁRIAS'!$H$2:$M$358,MATCH($A642,'BASE METAS DIÁRIAS'!$A$2:$A$358,0),MOD(ROW()-2,6)+1),INDEX('BASE METAS DIÁRIAS'!$B$2:$G$358,MATCH($A642,'BASE METAS DIÁRIAS'!$A$2:$A$358,0),MOD(ROW()-2,6)+1),""),"")</f>
        <v/>
      </c>
      <c r="H642" s="159">
        <f>IFERROR(IF(INDEX('CONTROLE PRODUÇÃO POR EMPRESAS'!$B$6:$G$5000,MATCH($A642,'CONTROLE PRODUÇÃO POR EMPRESAS'!$A$6:$A$5000,0),MOD(ROW()-2,6)+1)="","",IFERROR(1*INDEX('CONTROLE PRODUÇÃO POR EMPRESAS'!$B$6:$G$5000,MATCH($A642,'CONTROLE PRODUÇÃO POR EMPRESAS'!$A$6:$A$5000,0),MOD(ROW()-2,6)+1),"")),"")</f>
        <v/>
      </c>
      <c r="I642" s="159">
        <f>IF(OR(NOT(ISNUMBER(G642)),NOT(ISNUMBER(H642))),"",H642-G642)</f>
        <v/>
      </c>
      <c r="J642" s="319">
        <f>IF(OR(NOT(ISNUMBER(G642)),NOT(ISNUMBER(H642)),G642=0),"",I642/G642)</f>
        <v/>
      </c>
      <c r="K642" s="319">
        <f>IF(OR(NOT(ISNUMBER(G642)),NOT(ISNUMBER(H642)),G642=0),"",H642/G642)</f>
        <v/>
      </c>
      <c r="L642">
        <f>IF(NOT(ISNUMBER(G642)),"SEM META",IF(G642=0,"SEM META",IF(NOT(ISNUMBER(H642)),"SEM APONTAMENTO",IF(H642&gt;=G642,"VERDE",IF(H642&gt;=G642*0.9,"AMARELO","VERMELHO")))))</f>
        <v/>
      </c>
      <c r="M642" s="162" t="n"/>
      <c r="N642" s="162" t="n"/>
      <c r="O642" s="162" t="n"/>
      <c r="P642" s="162" t="n"/>
      <c r="Q642" s="320" t="n"/>
      <c r="R642" s="162" t="inlineStr">
        <is>
          <t>CONTROLE PRODUÇÃO POR EMPRESAS!F112</t>
        </is>
      </c>
    </row>
    <row r="643" ht="28.5" customHeight="1">
      <c r="A643" s="317" t="n">
        <v>46329</v>
      </c>
      <c r="B643" t="inlineStr">
        <is>
          <t>GERAL</t>
        </is>
      </c>
      <c r="C643" t="inlineStr">
        <is>
          <t>CMM</t>
        </is>
      </c>
      <c r="D643" t="inlineStr">
        <is>
          <t>VIGAS</t>
        </is>
      </c>
      <c r="F643" s="159">
        <f>IFERROR(INDEX('BASE METAS DIÁRIAS'!$N$2:$S$358,MATCH($A643,'BASE METAS DIÁRIAS'!$A$2:$A$358,0),MOD(ROW()-2,6)+1),"")</f>
        <v/>
      </c>
      <c r="G643" s="159">
        <f>IFERROR(IF(WEEKDAY($A643,2)&lt;=INDEX('BASE METAS DIÁRIAS'!$H$2:$M$358,MATCH($A643,'BASE METAS DIÁRIAS'!$A$2:$A$358,0),MOD(ROW()-2,6)+1),INDEX('BASE METAS DIÁRIAS'!$B$2:$G$358,MATCH($A643,'BASE METAS DIÁRIAS'!$A$2:$A$358,0),MOD(ROW()-2,6)+1),""),"")</f>
        <v/>
      </c>
      <c r="H643" s="159">
        <f>IFERROR(IF(INDEX('CONTROLE PRODUÇÃO POR EMPRESAS'!$B$6:$G$5000,MATCH($A643,'CONTROLE PRODUÇÃO POR EMPRESAS'!$A$6:$A$5000,0),MOD(ROW()-2,6)+1)="","",IFERROR(1*INDEX('CONTROLE PRODUÇÃO POR EMPRESAS'!$B$6:$G$5000,MATCH($A643,'CONTROLE PRODUÇÃO POR EMPRESAS'!$A$6:$A$5000,0),MOD(ROW()-2,6)+1),"")),"")</f>
        <v/>
      </c>
      <c r="I643" s="159">
        <f>IF(OR(NOT(ISNUMBER(G643)),NOT(ISNUMBER(H643))),"",H643-G643)</f>
        <v/>
      </c>
      <c r="J643" s="319">
        <f>IF(OR(NOT(ISNUMBER(G643)),NOT(ISNUMBER(H643)),G643=0),"",I643/G643)</f>
        <v/>
      </c>
      <c r="K643" s="319">
        <f>IF(OR(NOT(ISNUMBER(G643)),NOT(ISNUMBER(H643)),G643=0),"",H643/G643)</f>
        <v/>
      </c>
      <c r="L643">
        <f>IF(NOT(ISNUMBER(G643)),"SEM META",IF(G643=0,"SEM META",IF(NOT(ISNUMBER(H643)),"SEM APONTAMENTO",IF(H643&gt;=G643,"VERDE",IF(H643&gt;=G643*0.9,"AMARELO","VERMELHO")))))</f>
        <v/>
      </c>
      <c r="M643" s="162" t="n"/>
      <c r="N643" s="162" t="n"/>
      <c r="O643" s="162" t="n"/>
      <c r="P643" s="162" t="n"/>
      <c r="Q643" s="320" t="n"/>
      <c r="R643" s="162" t="inlineStr">
        <is>
          <t>CONTROLE PRODUÇÃO POR EMPRESAS!G112</t>
        </is>
      </c>
    </row>
    <row r="644" ht="28.5" customHeight="1">
      <c r="A644" s="317" t="n">
        <v>46330</v>
      </c>
      <c r="B644" t="inlineStr">
        <is>
          <t>GERAL</t>
        </is>
      </c>
      <c r="C644" t="inlineStr">
        <is>
          <t>EJ</t>
        </is>
      </c>
      <c r="D644" t="inlineStr">
        <is>
          <t>PREMONTAGEM</t>
        </is>
      </c>
      <c r="F644" s="159">
        <f>IFERROR(INDEX('BASE METAS DIÁRIAS'!$N$2:$S$358,MATCH($A644,'BASE METAS DIÁRIAS'!$A$2:$A$358,0),MOD(ROW()-2,6)+1),"")</f>
        <v/>
      </c>
      <c r="G644" s="159">
        <f>IFERROR(IF(WEEKDAY($A644,2)&lt;=INDEX('BASE METAS DIÁRIAS'!$H$2:$M$358,MATCH($A644,'BASE METAS DIÁRIAS'!$A$2:$A$358,0),MOD(ROW()-2,6)+1),INDEX('BASE METAS DIÁRIAS'!$B$2:$G$358,MATCH($A644,'BASE METAS DIÁRIAS'!$A$2:$A$358,0),MOD(ROW()-2,6)+1),""),"")</f>
        <v/>
      </c>
      <c r="H644" s="159">
        <f>IFERROR(IF(INDEX('CONTROLE PRODUÇÃO POR EMPRESAS'!$B$6:$G$5000,MATCH($A644,'CONTROLE PRODUÇÃO POR EMPRESAS'!$A$6:$A$5000,0),MOD(ROW()-2,6)+1)="","",IFERROR(1*INDEX('CONTROLE PRODUÇÃO POR EMPRESAS'!$B$6:$G$5000,MATCH($A644,'CONTROLE PRODUÇÃO POR EMPRESAS'!$A$6:$A$5000,0),MOD(ROW()-2,6)+1),"")),"")</f>
        <v/>
      </c>
      <c r="I644" s="159">
        <f>IF(OR(NOT(ISNUMBER(G644)),NOT(ISNUMBER(H644))),"",H644-G644)</f>
        <v/>
      </c>
      <c r="J644" s="319">
        <f>IF(OR(NOT(ISNUMBER(G644)),NOT(ISNUMBER(H644)),G644=0),"",I644/G644)</f>
        <v/>
      </c>
      <c r="K644" s="319">
        <f>IF(OR(NOT(ISNUMBER(G644)),NOT(ISNUMBER(H644)),G644=0),"",H644/G644)</f>
        <v/>
      </c>
      <c r="L644">
        <f>IF(NOT(ISNUMBER(G644)),"SEM META",IF(G644=0,"SEM META",IF(NOT(ISNUMBER(H644)),"SEM APONTAMENTO",IF(H644&gt;=G644,"VERDE",IF(H644&gt;=G644*0.9,"AMARELO","VERMELHO")))))</f>
        <v/>
      </c>
      <c r="M644" s="162" t="n"/>
      <c r="N644" s="162" t="n"/>
      <c r="O644" s="162" t="n"/>
      <c r="P644" s="162" t="n"/>
      <c r="Q644" s="320" t="n"/>
      <c r="R644" s="162" t="inlineStr">
        <is>
          <t>CONTROLE PRODUÇÃO POR EMPRESAS!B113</t>
        </is>
      </c>
    </row>
    <row r="645" ht="28.5" customHeight="1">
      <c r="A645" s="317" t="n">
        <v>46330</v>
      </c>
      <c r="B645" t="inlineStr">
        <is>
          <t>GERAL</t>
        </is>
      </c>
      <c r="C645" t="inlineStr">
        <is>
          <t>EJ</t>
        </is>
      </c>
      <c r="D645" t="inlineStr">
        <is>
          <t>IÇAMENTO JOIST</t>
        </is>
      </c>
      <c r="F645" s="159">
        <f>IFERROR(INDEX('BASE METAS DIÁRIAS'!$N$2:$S$358,MATCH($A645,'BASE METAS DIÁRIAS'!$A$2:$A$358,0),MOD(ROW()-2,6)+1),"")</f>
        <v/>
      </c>
      <c r="G645" s="159">
        <f>IFERROR(IF(WEEKDAY($A645,2)&lt;=INDEX('BASE METAS DIÁRIAS'!$H$2:$M$358,MATCH($A645,'BASE METAS DIÁRIAS'!$A$2:$A$358,0),MOD(ROW()-2,6)+1),INDEX('BASE METAS DIÁRIAS'!$B$2:$G$358,MATCH($A645,'BASE METAS DIÁRIAS'!$A$2:$A$358,0),MOD(ROW()-2,6)+1),""),"")</f>
        <v/>
      </c>
      <c r="H645" s="159">
        <f>IFERROR(IF(INDEX('CONTROLE PRODUÇÃO POR EMPRESAS'!$B$6:$G$5000,MATCH($A645,'CONTROLE PRODUÇÃO POR EMPRESAS'!$A$6:$A$5000,0),MOD(ROW()-2,6)+1)="","",IFERROR(1*INDEX('CONTROLE PRODUÇÃO POR EMPRESAS'!$B$6:$G$5000,MATCH($A645,'CONTROLE PRODUÇÃO POR EMPRESAS'!$A$6:$A$5000,0),MOD(ROW()-2,6)+1),"")),"")</f>
        <v/>
      </c>
      <c r="I645" s="159">
        <f>IF(OR(NOT(ISNUMBER(G645)),NOT(ISNUMBER(H645))),"",H645-G645)</f>
        <v/>
      </c>
      <c r="J645" s="319">
        <f>IF(OR(NOT(ISNUMBER(G645)),NOT(ISNUMBER(H645)),G645=0),"",I645/G645)</f>
        <v/>
      </c>
      <c r="K645" s="319">
        <f>IF(OR(NOT(ISNUMBER(G645)),NOT(ISNUMBER(H645)),G645=0),"",H645/G645)</f>
        <v/>
      </c>
      <c r="L645">
        <f>IF(NOT(ISNUMBER(G645)),"SEM META",IF(G645=0,"SEM META",IF(NOT(ISNUMBER(H645)),"SEM APONTAMENTO",IF(H645&gt;=G645,"VERDE",IF(H645&gt;=G645*0.9,"AMARELO","VERMELHO")))))</f>
        <v/>
      </c>
      <c r="M645" s="162" t="n"/>
      <c r="N645" s="162" t="n"/>
      <c r="O645" s="162" t="n"/>
      <c r="P645" s="162" t="n"/>
      <c r="Q645" s="320" t="n"/>
      <c r="R645" s="162" t="inlineStr">
        <is>
          <t>CONTROLE PRODUÇÃO POR EMPRESAS!C113</t>
        </is>
      </c>
    </row>
    <row r="646" ht="28.5" customHeight="1">
      <c r="A646" s="317" t="n">
        <v>46330</v>
      </c>
      <c r="B646" t="inlineStr">
        <is>
          <t>GERAL</t>
        </is>
      </c>
      <c r="C646" t="inlineStr">
        <is>
          <t>EJ</t>
        </is>
      </c>
      <c r="D646" t="inlineStr">
        <is>
          <t>VIGAS</t>
        </is>
      </c>
      <c r="F646" s="159">
        <f>IFERROR(INDEX('BASE METAS DIÁRIAS'!$N$2:$S$358,MATCH($A646,'BASE METAS DIÁRIAS'!$A$2:$A$358,0),MOD(ROW()-2,6)+1),"")</f>
        <v/>
      </c>
      <c r="G646" s="159">
        <f>IFERROR(IF(WEEKDAY($A646,2)&lt;=INDEX('BASE METAS DIÁRIAS'!$H$2:$M$358,MATCH($A646,'BASE METAS DIÁRIAS'!$A$2:$A$358,0),MOD(ROW()-2,6)+1),INDEX('BASE METAS DIÁRIAS'!$B$2:$G$358,MATCH($A646,'BASE METAS DIÁRIAS'!$A$2:$A$358,0),MOD(ROW()-2,6)+1),""),"")</f>
        <v/>
      </c>
      <c r="H646" s="159">
        <f>IFERROR(IF(INDEX('CONTROLE PRODUÇÃO POR EMPRESAS'!$B$6:$G$5000,MATCH($A646,'CONTROLE PRODUÇÃO POR EMPRESAS'!$A$6:$A$5000,0),MOD(ROW()-2,6)+1)="","",IFERROR(1*INDEX('CONTROLE PRODUÇÃO POR EMPRESAS'!$B$6:$G$5000,MATCH($A646,'CONTROLE PRODUÇÃO POR EMPRESAS'!$A$6:$A$5000,0),MOD(ROW()-2,6)+1),"")),"")</f>
        <v/>
      </c>
      <c r="I646" s="159">
        <f>IF(OR(NOT(ISNUMBER(G646)),NOT(ISNUMBER(H646))),"",H646-G646)</f>
        <v/>
      </c>
      <c r="J646" s="319">
        <f>IF(OR(NOT(ISNUMBER(G646)),NOT(ISNUMBER(H646)),G646=0),"",I646/G646)</f>
        <v/>
      </c>
      <c r="K646" s="319">
        <f>IF(OR(NOT(ISNUMBER(G646)),NOT(ISNUMBER(H646)),G646=0),"",H646/G646)</f>
        <v/>
      </c>
      <c r="L646">
        <f>IF(NOT(ISNUMBER(G646)),"SEM META",IF(G646=0,"SEM META",IF(NOT(ISNUMBER(H646)),"SEM APONTAMENTO",IF(H646&gt;=G646,"VERDE",IF(H646&gt;=G646*0.9,"AMARELO","VERMELHO")))))</f>
        <v/>
      </c>
      <c r="M646" s="162" t="n"/>
      <c r="N646" s="162" t="n"/>
      <c r="O646" s="162" t="n"/>
      <c r="P646" s="162" t="n"/>
      <c r="Q646" s="320" t="n"/>
      <c r="R646" s="162" t="inlineStr">
        <is>
          <t>CONTROLE PRODUÇÃO POR EMPRESAS!D113</t>
        </is>
      </c>
    </row>
    <row r="647" ht="28.5" customHeight="1">
      <c r="A647" s="317" t="n">
        <v>46330</v>
      </c>
      <c r="B647" t="inlineStr">
        <is>
          <t>GERAL</t>
        </is>
      </c>
      <c r="C647" t="inlineStr">
        <is>
          <t>CMM</t>
        </is>
      </c>
      <c r="D647" t="inlineStr">
        <is>
          <t>PREMONTAGEM</t>
        </is>
      </c>
      <c r="F647" s="159">
        <f>IFERROR(INDEX('BASE METAS DIÁRIAS'!$N$2:$S$358,MATCH($A647,'BASE METAS DIÁRIAS'!$A$2:$A$358,0),MOD(ROW()-2,6)+1),"")</f>
        <v/>
      </c>
      <c r="G647" s="159">
        <f>IFERROR(IF(WEEKDAY($A647,2)&lt;=INDEX('BASE METAS DIÁRIAS'!$H$2:$M$358,MATCH($A647,'BASE METAS DIÁRIAS'!$A$2:$A$358,0),MOD(ROW()-2,6)+1),INDEX('BASE METAS DIÁRIAS'!$B$2:$G$358,MATCH($A647,'BASE METAS DIÁRIAS'!$A$2:$A$358,0),MOD(ROW()-2,6)+1),""),"")</f>
        <v/>
      </c>
      <c r="H647" s="159">
        <f>IFERROR(IF(INDEX('CONTROLE PRODUÇÃO POR EMPRESAS'!$B$6:$G$5000,MATCH($A647,'CONTROLE PRODUÇÃO POR EMPRESAS'!$A$6:$A$5000,0),MOD(ROW()-2,6)+1)="","",IFERROR(1*INDEX('CONTROLE PRODUÇÃO POR EMPRESAS'!$B$6:$G$5000,MATCH($A647,'CONTROLE PRODUÇÃO POR EMPRESAS'!$A$6:$A$5000,0),MOD(ROW()-2,6)+1),"")),"")</f>
        <v/>
      </c>
      <c r="I647" s="159">
        <f>IF(OR(NOT(ISNUMBER(G647)),NOT(ISNUMBER(H647))),"",H647-G647)</f>
        <v/>
      </c>
      <c r="J647" s="319">
        <f>IF(OR(NOT(ISNUMBER(G647)),NOT(ISNUMBER(H647)),G647=0),"",I647/G647)</f>
        <v/>
      </c>
      <c r="K647" s="319">
        <f>IF(OR(NOT(ISNUMBER(G647)),NOT(ISNUMBER(H647)),G647=0),"",H647/G647)</f>
        <v/>
      </c>
      <c r="L647">
        <f>IF(NOT(ISNUMBER(G647)),"SEM META",IF(G647=0,"SEM META",IF(NOT(ISNUMBER(H647)),"SEM APONTAMENTO",IF(H647&gt;=G647,"VERDE",IF(H647&gt;=G647*0.9,"AMARELO","VERMELHO")))))</f>
        <v/>
      </c>
      <c r="M647" s="162" t="n"/>
      <c r="N647" s="162" t="n"/>
      <c r="O647" s="162" t="n"/>
      <c r="P647" s="162" t="n"/>
      <c r="Q647" s="320" t="n"/>
      <c r="R647" s="162" t="inlineStr">
        <is>
          <t>CONTROLE PRODUÇÃO POR EMPRESAS!E113</t>
        </is>
      </c>
    </row>
    <row r="648" ht="28.5" customHeight="1">
      <c r="A648" s="317" t="n">
        <v>46330</v>
      </c>
      <c r="B648" t="inlineStr">
        <is>
          <t>GERAL</t>
        </is>
      </c>
      <c r="C648" t="inlineStr">
        <is>
          <t>CMM</t>
        </is>
      </c>
      <c r="D648" t="inlineStr">
        <is>
          <t>IÇAMENTO JOIST</t>
        </is>
      </c>
      <c r="F648" s="159">
        <f>IFERROR(INDEX('BASE METAS DIÁRIAS'!$N$2:$S$358,MATCH($A648,'BASE METAS DIÁRIAS'!$A$2:$A$358,0),MOD(ROW()-2,6)+1),"")</f>
        <v/>
      </c>
      <c r="G648" s="159">
        <f>IFERROR(IF(WEEKDAY($A648,2)&lt;=INDEX('BASE METAS DIÁRIAS'!$H$2:$M$358,MATCH($A648,'BASE METAS DIÁRIAS'!$A$2:$A$358,0),MOD(ROW()-2,6)+1),INDEX('BASE METAS DIÁRIAS'!$B$2:$G$358,MATCH($A648,'BASE METAS DIÁRIAS'!$A$2:$A$358,0),MOD(ROW()-2,6)+1),""),"")</f>
        <v/>
      </c>
      <c r="H648" s="159">
        <f>IFERROR(IF(INDEX('CONTROLE PRODUÇÃO POR EMPRESAS'!$B$6:$G$5000,MATCH($A648,'CONTROLE PRODUÇÃO POR EMPRESAS'!$A$6:$A$5000,0),MOD(ROW()-2,6)+1)="","",IFERROR(1*INDEX('CONTROLE PRODUÇÃO POR EMPRESAS'!$B$6:$G$5000,MATCH($A648,'CONTROLE PRODUÇÃO POR EMPRESAS'!$A$6:$A$5000,0),MOD(ROW()-2,6)+1),"")),"")</f>
        <v/>
      </c>
      <c r="I648" s="159">
        <f>IF(OR(NOT(ISNUMBER(G648)),NOT(ISNUMBER(H648))),"",H648-G648)</f>
        <v/>
      </c>
      <c r="J648" s="319">
        <f>IF(OR(NOT(ISNUMBER(G648)),NOT(ISNUMBER(H648)),G648=0),"",I648/G648)</f>
        <v/>
      </c>
      <c r="K648" s="319">
        <f>IF(OR(NOT(ISNUMBER(G648)),NOT(ISNUMBER(H648)),G648=0),"",H648/G648)</f>
        <v/>
      </c>
      <c r="L648">
        <f>IF(NOT(ISNUMBER(G648)),"SEM META",IF(G648=0,"SEM META",IF(NOT(ISNUMBER(H648)),"SEM APONTAMENTO",IF(H648&gt;=G648,"VERDE",IF(H648&gt;=G648*0.9,"AMARELO","VERMELHO")))))</f>
        <v/>
      </c>
      <c r="M648" s="162" t="n"/>
      <c r="N648" s="162" t="n"/>
      <c r="O648" s="162" t="n"/>
      <c r="P648" s="162" t="n"/>
      <c r="Q648" s="320" t="n"/>
      <c r="R648" s="162" t="inlineStr">
        <is>
          <t>CONTROLE PRODUÇÃO POR EMPRESAS!F113</t>
        </is>
      </c>
    </row>
    <row r="649" ht="28.5" customHeight="1">
      <c r="A649" s="317" t="n">
        <v>46330</v>
      </c>
      <c r="B649" t="inlineStr">
        <is>
          <t>GERAL</t>
        </is>
      </c>
      <c r="C649" t="inlineStr">
        <is>
          <t>CMM</t>
        </is>
      </c>
      <c r="D649" t="inlineStr">
        <is>
          <t>VIGAS</t>
        </is>
      </c>
      <c r="F649" s="159">
        <f>IFERROR(INDEX('BASE METAS DIÁRIAS'!$N$2:$S$358,MATCH($A649,'BASE METAS DIÁRIAS'!$A$2:$A$358,0),MOD(ROW()-2,6)+1),"")</f>
        <v/>
      </c>
      <c r="G649" s="159">
        <f>IFERROR(IF(WEEKDAY($A649,2)&lt;=INDEX('BASE METAS DIÁRIAS'!$H$2:$M$358,MATCH($A649,'BASE METAS DIÁRIAS'!$A$2:$A$358,0),MOD(ROW()-2,6)+1),INDEX('BASE METAS DIÁRIAS'!$B$2:$G$358,MATCH($A649,'BASE METAS DIÁRIAS'!$A$2:$A$358,0),MOD(ROW()-2,6)+1),""),"")</f>
        <v/>
      </c>
      <c r="H649" s="159">
        <f>IFERROR(IF(INDEX('CONTROLE PRODUÇÃO POR EMPRESAS'!$B$6:$G$5000,MATCH($A649,'CONTROLE PRODUÇÃO POR EMPRESAS'!$A$6:$A$5000,0),MOD(ROW()-2,6)+1)="","",IFERROR(1*INDEX('CONTROLE PRODUÇÃO POR EMPRESAS'!$B$6:$G$5000,MATCH($A649,'CONTROLE PRODUÇÃO POR EMPRESAS'!$A$6:$A$5000,0),MOD(ROW()-2,6)+1),"")),"")</f>
        <v/>
      </c>
      <c r="I649" s="159">
        <f>IF(OR(NOT(ISNUMBER(G649)),NOT(ISNUMBER(H649))),"",H649-G649)</f>
        <v/>
      </c>
      <c r="J649" s="319">
        <f>IF(OR(NOT(ISNUMBER(G649)),NOT(ISNUMBER(H649)),G649=0),"",I649/G649)</f>
        <v/>
      </c>
      <c r="K649" s="319">
        <f>IF(OR(NOT(ISNUMBER(G649)),NOT(ISNUMBER(H649)),G649=0),"",H649/G649)</f>
        <v/>
      </c>
      <c r="L649">
        <f>IF(NOT(ISNUMBER(G649)),"SEM META",IF(G649=0,"SEM META",IF(NOT(ISNUMBER(H649)),"SEM APONTAMENTO",IF(H649&gt;=G649,"VERDE",IF(H649&gt;=G649*0.9,"AMARELO","VERMELHO")))))</f>
        <v/>
      </c>
      <c r="M649" s="162" t="n"/>
      <c r="N649" s="162" t="n"/>
      <c r="O649" s="162" t="n"/>
      <c r="P649" s="162" t="n"/>
      <c r="Q649" s="320" t="n"/>
      <c r="R649" s="162" t="inlineStr">
        <is>
          <t>CONTROLE PRODUÇÃO POR EMPRESAS!G113</t>
        </is>
      </c>
    </row>
    <row r="650" ht="28.5" customHeight="1">
      <c r="A650" s="317" t="n">
        <v>46331</v>
      </c>
      <c r="B650" t="inlineStr">
        <is>
          <t>GERAL</t>
        </is>
      </c>
      <c r="C650" t="inlineStr">
        <is>
          <t>EJ</t>
        </is>
      </c>
      <c r="D650" t="inlineStr">
        <is>
          <t>PREMONTAGEM</t>
        </is>
      </c>
      <c r="F650" s="159">
        <f>IFERROR(INDEX('BASE METAS DIÁRIAS'!$N$2:$S$358,MATCH($A650,'BASE METAS DIÁRIAS'!$A$2:$A$358,0),MOD(ROW()-2,6)+1),"")</f>
        <v/>
      </c>
      <c r="G650" s="159">
        <f>IFERROR(IF(WEEKDAY($A650,2)&lt;=INDEX('BASE METAS DIÁRIAS'!$H$2:$M$358,MATCH($A650,'BASE METAS DIÁRIAS'!$A$2:$A$358,0),MOD(ROW()-2,6)+1),INDEX('BASE METAS DIÁRIAS'!$B$2:$G$358,MATCH($A650,'BASE METAS DIÁRIAS'!$A$2:$A$358,0),MOD(ROW()-2,6)+1),""),"")</f>
        <v/>
      </c>
      <c r="H650" s="159">
        <f>IFERROR(IF(INDEX('CONTROLE PRODUÇÃO POR EMPRESAS'!$B$6:$G$5000,MATCH($A650,'CONTROLE PRODUÇÃO POR EMPRESAS'!$A$6:$A$5000,0),MOD(ROW()-2,6)+1)="","",IFERROR(1*INDEX('CONTROLE PRODUÇÃO POR EMPRESAS'!$B$6:$G$5000,MATCH($A650,'CONTROLE PRODUÇÃO POR EMPRESAS'!$A$6:$A$5000,0),MOD(ROW()-2,6)+1),"")),"")</f>
        <v/>
      </c>
      <c r="I650" s="159">
        <f>IF(OR(NOT(ISNUMBER(G650)),NOT(ISNUMBER(H650))),"",H650-G650)</f>
        <v/>
      </c>
      <c r="J650" s="319">
        <f>IF(OR(NOT(ISNUMBER(G650)),NOT(ISNUMBER(H650)),G650=0),"",I650/G650)</f>
        <v/>
      </c>
      <c r="K650" s="319">
        <f>IF(OR(NOT(ISNUMBER(G650)),NOT(ISNUMBER(H650)),G650=0),"",H650/G650)</f>
        <v/>
      </c>
      <c r="L650">
        <f>IF(NOT(ISNUMBER(G650)),"SEM META",IF(G650=0,"SEM META",IF(NOT(ISNUMBER(H650)),"SEM APONTAMENTO",IF(H650&gt;=G650,"VERDE",IF(H650&gt;=G650*0.9,"AMARELO","VERMELHO")))))</f>
        <v/>
      </c>
      <c r="M650" s="162" t="n"/>
      <c r="N650" s="162" t="n"/>
      <c r="O650" s="162" t="n"/>
      <c r="P650" s="162" t="n"/>
      <c r="Q650" s="320" t="n"/>
      <c r="R650" s="162" t="inlineStr">
        <is>
          <t>CONTROLE PRODUÇÃO POR EMPRESAS!B114</t>
        </is>
      </c>
    </row>
    <row r="651" ht="28.5" customHeight="1">
      <c r="A651" s="317" t="n">
        <v>46331</v>
      </c>
      <c r="B651" t="inlineStr">
        <is>
          <t>GERAL</t>
        </is>
      </c>
      <c r="C651" t="inlineStr">
        <is>
          <t>EJ</t>
        </is>
      </c>
      <c r="D651" t="inlineStr">
        <is>
          <t>IÇAMENTO JOIST</t>
        </is>
      </c>
      <c r="F651" s="159">
        <f>IFERROR(INDEX('BASE METAS DIÁRIAS'!$N$2:$S$358,MATCH($A651,'BASE METAS DIÁRIAS'!$A$2:$A$358,0),MOD(ROW()-2,6)+1),"")</f>
        <v/>
      </c>
      <c r="G651" s="159">
        <f>IFERROR(IF(WEEKDAY($A651,2)&lt;=INDEX('BASE METAS DIÁRIAS'!$H$2:$M$358,MATCH($A651,'BASE METAS DIÁRIAS'!$A$2:$A$358,0),MOD(ROW()-2,6)+1),INDEX('BASE METAS DIÁRIAS'!$B$2:$G$358,MATCH($A651,'BASE METAS DIÁRIAS'!$A$2:$A$358,0),MOD(ROW()-2,6)+1),""),"")</f>
        <v/>
      </c>
      <c r="H651" s="159">
        <f>IFERROR(IF(INDEX('CONTROLE PRODUÇÃO POR EMPRESAS'!$B$6:$G$5000,MATCH($A651,'CONTROLE PRODUÇÃO POR EMPRESAS'!$A$6:$A$5000,0),MOD(ROW()-2,6)+1)="","",IFERROR(1*INDEX('CONTROLE PRODUÇÃO POR EMPRESAS'!$B$6:$G$5000,MATCH($A651,'CONTROLE PRODUÇÃO POR EMPRESAS'!$A$6:$A$5000,0),MOD(ROW()-2,6)+1),"")),"")</f>
        <v/>
      </c>
      <c r="I651" s="159">
        <f>IF(OR(NOT(ISNUMBER(G651)),NOT(ISNUMBER(H651))),"",H651-G651)</f>
        <v/>
      </c>
      <c r="J651" s="319">
        <f>IF(OR(NOT(ISNUMBER(G651)),NOT(ISNUMBER(H651)),G651=0),"",I651/G651)</f>
        <v/>
      </c>
      <c r="K651" s="319">
        <f>IF(OR(NOT(ISNUMBER(G651)),NOT(ISNUMBER(H651)),G651=0),"",H651/G651)</f>
        <v/>
      </c>
      <c r="L651">
        <f>IF(NOT(ISNUMBER(G651)),"SEM META",IF(G651=0,"SEM META",IF(NOT(ISNUMBER(H651)),"SEM APONTAMENTO",IF(H651&gt;=G651,"VERDE",IF(H651&gt;=G651*0.9,"AMARELO","VERMELHO")))))</f>
        <v/>
      </c>
      <c r="M651" s="162" t="n"/>
      <c r="N651" s="162" t="n"/>
      <c r="O651" s="162" t="n"/>
      <c r="P651" s="162" t="n"/>
      <c r="Q651" s="320" t="n"/>
      <c r="R651" s="162" t="inlineStr">
        <is>
          <t>CONTROLE PRODUÇÃO POR EMPRESAS!C114</t>
        </is>
      </c>
    </row>
    <row r="652" ht="28.5" customHeight="1">
      <c r="A652" s="317" t="n">
        <v>46331</v>
      </c>
      <c r="B652" t="inlineStr">
        <is>
          <t>GERAL</t>
        </is>
      </c>
      <c r="C652" t="inlineStr">
        <is>
          <t>EJ</t>
        </is>
      </c>
      <c r="D652" t="inlineStr">
        <is>
          <t>VIGAS</t>
        </is>
      </c>
      <c r="F652" s="159">
        <f>IFERROR(INDEX('BASE METAS DIÁRIAS'!$N$2:$S$358,MATCH($A652,'BASE METAS DIÁRIAS'!$A$2:$A$358,0),MOD(ROW()-2,6)+1),"")</f>
        <v/>
      </c>
      <c r="G652" s="159">
        <f>IFERROR(IF(WEEKDAY($A652,2)&lt;=INDEX('BASE METAS DIÁRIAS'!$H$2:$M$358,MATCH($A652,'BASE METAS DIÁRIAS'!$A$2:$A$358,0),MOD(ROW()-2,6)+1),INDEX('BASE METAS DIÁRIAS'!$B$2:$G$358,MATCH($A652,'BASE METAS DIÁRIAS'!$A$2:$A$358,0),MOD(ROW()-2,6)+1),""),"")</f>
        <v/>
      </c>
      <c r="H652" s="159">
        <f>IFERROR(IF(INDEX('CONTROLE PRODUÇÃO POR EMPRESAS'!$B$6:$G$5000,MATCH($A652,'CONTROLE PRODUÇÃO POR EMPRESAS'!$A$6:$A$5000,0),MOD(ROW()-2,6)+1)="","",IFERROR(1*INDEX('CONTROLE PRODUÇÃO POR EMPRESAS'!$B$6:$G$5000,MATCH($A652,'CONTROLE PRODUÇÃO POR EMPRESAS'!$A$6:$A$5000,0),MOD(ROW()-2,6)+1),"")),"")</f>
        <v/>
      </c>
      <c r="I652" s="159">
        <f>IF(OR(NOT(ISNUMBER(G652)),NOT(ISNUMBER(H652))),"",H652-G652)</f>
        <v/>
      </c>
      <c r="J652" s="319">
        <f>IF(OR(NOT(ISNUMBER(G652)),NOT(ISNUMBER(H652)),G652=0),"",I652/G652)</f>
        <v/>
      </c>
      <c r="K652" s="319">
        <f>IF(OR(NOT(ISNUMBER(G652)),NOT(ISNUMBER(H652)),G652=0),"",H652/G652)</f>
        <v/>
      </c>
      <c r="L652">
        <f>IF(NOT(ISNUMBER(G652)),"SEM META",IF(G652=0,"SEM META",IF(NOT(ISNUMBER(H652)),"SEM APONTAMENTO",IF(H652&gt;=G652,"VERDE",IF(H652&gt;=G652*0.9,"AMARELO","VERMELHO")))))</f>
        <v/>
      </c>
      <c r="M652" s="162" t="n"/>
      <c r="N652" s="162" t="n"/>
      <c r="O652" s="162" t="n"/>
      <c r="P652" s="162" t="n"/>
      <c r="Q652" s="320" t="n"/>
      <c r="R652" s="162" t="inlineStr">
        <is>
          <t>CONTROLE PRODUÇÃO POR EMPRESAS!D114</t>
        </is>
      </c>
    </row>
    <row r="653" ht="28.5" customHeight="1">
      <c r="A653" s="317" t="n">
        <v>46331</v>
      </c>
      <c r="B653" t="inlineStr">
        <is>
          <t>GERAL</t>
        </is>
      </c>
      <c r="C653" t="inlineStr">
        <is>
          <t>CMM</t>
        </is>
      </c>
      <c r="D653" t="inlineStr">
        <is>
          <t>PREMONTAGEM</t>
        </is>
      </c>
      <c r="F653" s="159">
        <f>IFERROR(INDEX('BASE METAS DIÁRIAS'!$N$2:$S$358,MATCH($A653,'BASE METAS DIÁRIAS'!$A$2:$A$358,0),MOD(ROW()-2,6)+1),"")</f>
        <v/>
      </c>
      <c r="G653" s="159">
        <f>IFERROR(IF(WEEKDAY($A653,2)&lt;=INDEX('BASE METAS DIÁRIAS'!$H$2:$M$358,MATCH($A653,'BASE METAS DIÁRIAS'!$A$2:$A$358,0),MOD(ROW()-2,6)+1),INDEX('BASE METAS DIÁRIAS'!$B$2:$G$358,MATCH($A653,'BASE METAS DIÁRIAS'!$A$2:$A$358,0),MOD(ROW()-2,6)+1),""),"")</f>
        <v/>
      </c>
      <c r="H653" s="159">
        <f>IFERROR(IF(INDEX('CONTROLE PRODUÇÃO POR EMPRESAS'!$B$6:$G$5000,MATCH($A653,'CONTROLE PRODUÇÃO POR EMPRESAS'!$A$6:$A$5000,0),MOD(ROW()-2,6)+1)="","",IFERROR(1*INDEX('CONTROLE PRODUÇÃO POR EMPRESAS'!$B$6:$G$5000,MATCH($A653,'CONTROLE PRODUÇÃO POR EMPRESAS'!$A$6:$A$5000,0),MOD(ROW()-2,6)+1),"")),"")</f>
        <v/>
      </c>
      <c r="I653" s="159">
        <f>IF(OR(NOT(ISNUMBER(G653)),NOT(ISNUMBER(H653))),"",H653-G653)</f>
        <v/>
      </c>
      <c r="J653" s="319">
        <f>IF(OR(NOT(ISNUMBER(G653)),NOT(ISNUMBER(H653)),G653=0),"",I653/G653)</f>
        <v/>
      </c>
      <c r="K653" s="319">
        <f>IF(OR(NOT(ISNUMBER(G653)),NOT(ISNUMBER(H653)),G653=0),"",H653/G653)</f>
        <v/>
      </c>
      <c r="L653">
        <f>IF(NOT(ISNUMBER(G653)),"SEM META",IF(G653=0,"SEM META",IF(NOT(ISNUMBER(H653)),"SEM APONTAMENTO",IF(H653&gt;=G653,"VERDE",IF(H653&gt;=G653*0.9,"AMARELO","VERMELHO")))))</f>
        <v/>
      </c>
      <c r="M653" s="162" t="n"/>
      <c r="N653" s="162" t="n"/>
      <c r="O653" s="162" t="n"/>
      <c r="P653" s="162" t="n"/>
      <c r="Q653" s="320" t="n"/>
      <c r="R653" s="162" t="inlineStr">
        <is>
          <t>CONTROLE PRODUÇÃO POR EMPRESAS!E114</t>
        </is>
      </c>
    </row>
    <row r="654" ht="28.5" customHeight="1">
      <c r="A654" s="317" t="n">
        <v>46331</v>
      </c>
      <c r="B654" t="inlineStr">
        <is>
          <t>GERAL</t>
        </is>
      </c>
      <c r="C654" t="inlineStr">
        <is>
          <t>CMM</t>
        </is>
      </c>
      <c r="D654" t="inlineStr">
        <is>
          <t>IÇAMENTO JOIST</t>
        </is>
      </c>
      <c r="F654" s="159">
        <f>IFERROR(INDEX('BASE METAS DIÁRIAS'!$N$2:$S$358,MATCH($A654,'BASE METAS DIÁRIAS'!$A$2:$A$358,0),MOD(ROW()-2,6)+1),"")</f>
        <v/>
      </c>
      <c r="G654" s="159">
        <f>IFERROR(IF(WEEKDAY($A654,2)&lt;=INDEX('BASE METAS DIÁRIAS'!$H$2:$M$358,MATCH($A654,'BASE METAS DIÁRIAS'!$A$2:$A$358,0),MOD(ROW()-2,6)+1),INDEX('BASE METAS DIÁRIAS'!$B$2:$G$358,MATCH($A654,'BASE METAS DIÁRIAS'!$A$2:$A$358,0),MOD(ROW()-2,6)+1),""),"")</f>
        <v/>
      </c>
      <c r="H654" s="159">
        <f>IFERROR(IF(INDEX('CONTROLE PRODUÇÃO POR EMPRESAS'!$B$6:$G$5000,MATCH($A654,'CONTROLE PRODUÇÃO POR EMPRESAS'!$A$6:$A$5000,0),MOD(ROW()-2,6)+1)="","",IFERROR(1*INDEX('CONTROLE PRODUÇÃO POR EMPRESAS'!$B$6:$G$5000,MATCH($A654,'CONTROLE PRODUÇÃO POR EMPRESAS'!$A$6:$A$5000,0),MOD(ROW()-2,6)+1),"")),"")</f>
        <v/>
      </c>
      <c r="I654" s="159">
        <f>IF(OR(NOT(ISNUMBER(G654)),NOT(ISNUMBER(H654))),"",H654-G654)</f>
        <v/>
      </c>
      <c r="J654" s="319">
        <f>IF(OR(NOT(ISNUMBER(G654)),NOT(ISNUMBER(H654)),G654=0),"",I654/G654)</f>
        <v/>
      </c>
      <c r="K654" s="319">
        <f>IF(OR(NOT(ISNUMBER(G654)),NOT(ISNUMBER(H654)),G654=0),"",H654/G654)</f>
        <v/>
      </c>
      <c r="L654">
        <f>IF(NOT(ISNUMBER(G654)),"SEM META",IF(G654=0,"SEM META",IF(NOT(ISNUMBER(H654)),"SEM APONTAMENTO",IF(H654&gt;=G654,"VERDE",IF(H654&gt;=G654*0.9,"AMARELO","VERMELHO")))))</f>
        <v/>
      </c>
      <c r="M654" s="162" t="n"/>
      <c r="N654" s="162" t="n"/>
      <c r="O654" s="162" t="n"/>
      <c r="P654" s="162" t="n"/>
      <c r="Q654" s="320" t="n"/>
      <c r="R654" s="162" t="inlineStr">
        <is>
          <t>CONTROLE PRODUÇÃO POR EMPRESAS!F114</t>
        </is>
      </c>
    </row>
    <row r="655" ht="28.5" customHeight="1">
      <c r="A655" s="317" t="n">
        <v>46331</v>
      </c>
      <c r="B655" t="inlineStr">
        <is>
          <t>GERAL</t>
        </is>
      </c>
      <c r="C655" t="inlineStr">
        <is>
          <t>CMM</t>
        </is>
      </c>
      <c r="D655" t="inlineStr">
        <is>
          <t>VIGAS</t>
        </is>
      </c>
      <c r="F655" s="159">
        <f>IFERROR(INDEX('BASE METAS DIÁRIAS'!$N$2:$S$358,MATCH($A655,'BASE METAS DIÁRIAS'!$A$2:$A$358,0),MOD(ROW()-2,6)+1),"")</f>
        <v/>
      </c>
      <c r="G655" s="159">
        <f>IFERROR(IF(WEEKDAY($A655,2)&lt;=INDEX('BASE METAS DIÁRIAS'!$H$2:$M$358,MATCH($A655,'BASE METAS DIÁRIAS'!$A$2:$A$358,0),MOD(ROW()-2,6)+1),INDEX('BASE METAS DIÁRIAS'!$B$2:$G$358,MATCH($A655,'BASE METAS DIÁRIAS'!$A$2:$A$358,0),MOD(ROW()-2,6)+1),""),"")</f>
        <v/>
      </c>
      <c r="H655" s="159">
        <f>IFERROR(IF(INDEX('CONTROLE PRODUÇÃO POR EMPRESAS'!$B$6:$G$5000,MATCH($A655,'CONTROLE PRODUÇÃO POR EMPRESAS'!$A$6:$A$5000,0),MOD(ROW()-2,6)+1)="","",IFERROR(1*INDEX('CONTROLE PRODUÇÃO POR EMPRESAS'!$B$6:$G$5000,MATCH($A655,'CONTROLE PRODUÇÃO POR EMPRESAS'!$A$6:$A$5000,0),MOD(ROW()-2,6)+1),"")),"")</f>
        <v/>
      </c>
      <c r="I655" s="159">
        <f>IF(OR(NOT(ISNUMBER(G655)),NOT(ISNUMBER(H655))),"",H655-G655)</f>
        <v/>
      </c>
      <c r="J655" s="319">
        <f>IF(OR(NOT(ISNUMBER(G655)),NOT(ISNUMBER(H655)),G655=0),"",I655/G655)</f>
        <v/>
      </c>
      <c r="K655" s="319">
        <f>IF(OR(NOT(ISNUMBER(G655)),NOT(ISNUMBER(H655)),G655=0),"",H655/G655)</f>
        <v/>
      </c>
      <c r="L655">
        <f>IF(NOT(ISNUMBER(G655)),"SEM META",IF(G655=0,"SEM META",IF(NOT(ISNUMBER(H655)),"SEM APONTAMENTO",IF(H655&gt;=G655,"VERDE",IF(H655&gt;=G655*0.9,"AMARELO","VERMELHO")))))</f>
        <v/>
      </c>
      <c r="M655" s="162" t="n"/>
      <c r="N655" s="162" t="n"/>
      <c r="O655" s="162" t="n"/>
      <c r="P655" s="162" t="n"/>
      <c r="Q655" s="320" t="n"/>
      <c r="R655" s="162" t="inlineStr">
        <is>
          <t>CONTROLE PRODUÇÃO POR EMPRESAS!G114</t>
        </is>
      </c>
    </row>
    <row r="656" ht="28.5" customHeight="1">
      <c r="A656" s="317" t="n">
        <v>46332</v>
      </c>
      <c r="B656" t="inlineStr">
        <is>
          <t>GERAL</t>
        </is>
      </c>
      <c r="C656" t="inlineStr">
        <is>
          <t>EJ</t>
        </is>
      </c>
      <c r="D656" t="inlineStr">
        <is>
          <t>PREMONTAGEM</t>
        </is>
      </c>
      <c r="F656" s="159">
        <f>IFERROR(INDEX('BASE METAS DIÁRIAS'!$N$2:$S$358,MATCH($A656,'BASE METAS DIÁRIAS'!$A$2:$A$358,0),MOD(ROW()-2,6)+1),"")</f>
        <v/>
      </c>
      <c r="G656" s="159">
        <f>IFERROR(IF(WEEKDAY($A656,2)&lt;=INDEX('BASE METAS DIÁRIAS'!$H$2:$M$358,MATCH($A656,'BASE METAS DIÁRIAS'!$A$2:$A$358,0),MOD(ROW()-2,6)+1),INDEX('BASE METAS DIÁRIAS'!$B$2:$G$358,MATCH($A656,'BASE METAS DIÁRIAS'!$A$2:$A$358,0),MOD(ROW()-2,6)+1),""),"")</f>
        <v/>
      </c>
      <c r="H656" s="159">
        <f>IFERROR(IF(INDEX('CONTROLE PRODUÇÃO POR EMPRESAS'!$B$6:$G$5000,MATCH($A656,'CONTROLE PRODUÇÃO POR EMPRESAS'!$A$6:$A$5000,0),MOD(ROW()-2,6)+1)="","",IFERROR(1*INDEX('CONTROLE PRODUÇÃO POR EMPRESAS'!$B$6:$G$5000,MATCH($A656,'CONTROLE PRODUÇÃO POR EMPRESAS'!$A$6:$A$5000,0),MOD(ROW()-2,6)+1),"")),"")</f>
        <v/>
      </c>
      <c r="I656" s="159">
        <f>IF(OR(NOT(ISNUMBER(G656)),NOT(ISNUMBER(H656))),"",H656-G656)</f>
        <v/>
      </c>
      <c r="J656" s="319">
        <f>IF(OR(NOT(ISNUMBER(G656)),NOT(ISNUMBER(H656)),G656=0),"",I656/G656)</f>
        <v/>
      </c>
      <c r="K656" s="319">
        <f>IF(OR(NOT(ISNUMBER(G656)),NOT(ISNUMBER(H656)),G656=0),"",H656/G656)</f>
        <v/>
      </c>
      <c r="L656">
        <f>IF(NOT(ISNUMBER(G656)),"SEM META",IF(G656=0,"SEM META",IF(NOT(ISNUMBER(H656)),"SEM APONTAMENTO",IF(H656&gt;=G656,"VERDE",IF(H656&gt;=G656*0.9,"AMARELO","VERMELHO")))))</f>
        <v/>
      </c>
      <c r="M656" s="162" t="n"/>
      <c r="N656" s="162" t="n"/>
      <c r="O656" s="162" t="n"/>
      <c r="P656" s="162" t="n"/>
      <c r="Q656" s="320" t="n"/>
      <c r="R656" s="162" t="inlineStr">
        <is>
          <t>CONTROLE PRODUÇÃO POR EMPRESAS!B115</t>
        </is>
      </c>
    </row>
    <row r="657" ht="28.5" customHeight="1">
      <c r="A657" s="317" t="n">
        <v>46332</v>
      </c>
      <c r="B657" t="inlineStr">
        <is>
          <t>GERAL</t>
        </is>
      </c>
      <c r="C657" t="inlineStr">
        <is>
          <t>EJ</t>
        </is>
      </c>
      <c r="D657" t="inlineStr">
        <is>
          <t>IÇAMENTO JOIST</t>
        </is>
      </c>
      <c r="F657" s="159">
        <f>IFERROR(INDEX('BASE METAS DIÁRIAS'!$N$2:$S$358,MATCH($A657,'BASE METAS DIÁRIAS'!$A$2:$A$358,0),MOD(ROW()-2,6)+1),"")</f>
        <v/>
      </c>
      <c r="G657" s="159">
        <f>IFERROR(IF(WEEKDAY($A657,2)&lt;=INDEX('BASE METAS DIÁRIAS'!$H$2:$M$358,MATCH($A657,'BASE METAS DIÁRIAS'!$A$2:$A$358,0),MOD(ROW()-2,6)+1),INDEX('BASE METAS DIÁRIAS'!$B$2:$G$358,MATCH($A657,'BASE METAS DIÁRIAS'!$A$2:$A$358,0),MOD(ROW()-2,6)+1),""),"")</f>
        <v/>
      </c>
      <c r="H657" s="159">
        <f>IFERROR(IF(INDEX('CONTROLE PRODUÇÃO POR EMPRESAS'!$B$6:$G$5000,MATCH($A657,'CONTROLE PRODUÇÃO POR EMPRESAS'!$A$6:$A$5000,0),MOD(ROW()-2,6)+1)="","",IFERROR(1*INDEX('CONTROLE PRODUÇÃO POR EMPRESAS'!$B$6:$G$5000,MATCH($A657,'CONTROLE PRODUÇÃO POR EMPRESAS'!$A$6:$A$5000,0),MOD(ROW()-2,6)+1),"")),"")</f>
        <v/>
      </c>
      <c r="I657" s="159">
        <f>IF(OR(NOT(ISNUMBER(G657)),NOT(ISNUMBER(H657))),"",H657-G657)</f>
        <v/>
      </c>
      <c r="J657" s="319">
        <f>IF(OR(NOT(ISNUMBER(G657)),NOT(ISNUMBER(H657)),G657=0),"",I657/G657)</f>
        <v/>
      </c>
      <c r="K657" s="319">
        <f>IF(OR(NOT(ISNUMBER(G657)),NOT(ISNUMBER(H657)),G657=0),"",H657/G657)</f>
        <v/>
      </c>
      <c r="L657">
        <f>IF(NOT(ISNUMBER(G657)),"SEM META",IF(G657=0,"SEM META",IF(NOT(ISNUMBER(H657)),"SEM APONTAMENTO",IF(H657&gt;=G657,"VERDE",IF(H657&gt;=G657*0.9,"AMARELO","VERMELHO")))))</f>
        <v/>
      </c>
      <c r="M657" s="162" t="n"/>
      <c r="N657" s="162" t="n"/>
      <c r="O657" s="162" t="n"/>
      <c r="P657" s="162" t="n"/>
      <c r="Q657" s="320" t="n"/>
      <c r="R657" s="162" t="inlineStr">
        <is>
          <t>CONTROLE PRODUÇÃO POR EMPRESAS!C115</t>
        </is>
      </c>
    </row>
    <row r="658" ht="28.5" customHeight="1">
      <c r="A658" s="317" t="n">
        <v>46332</v>
      </c>
      <c r="B658" t="inlineStr">
        <is>
          <t>GERAL</t>
        </is>
      </c>
      <c r="C658" t="inlineStr">
        <is>
          <t>EJ</t>
        </is>
      </c>
      <c r="D658" t="inlineStr">
        <is>
          <t>VIGAS</t>
        </is>
      </c>
      <c r="F658" s="159">
        <f>IFERROR(INDEX('BASE METAS DIÁRIAS'!$N$2:$S$358,MATCH($A658,'BASE METAS DIÁRIAS'!$A$2:$A$358,0),MOD(ROW()-2,6)+1),"")</f>
        <v/>
      </c>
      <c r="G658" s="159">
        <f>IFERROR(IF(WEEKDAY($A658,2)&lt;=INDEX('BASE METAS DIÁRIAS'!$H$2:$M$358,MATCH($A658,'BASE METAS DIÁRIAS'!$A$2:$A$358,0),MOD(ROW()-2,6)+1),INDEX('BASE METAS DIÁRIAS'!$B$2:$G$358,MATCH($A658,'BASE METAS DIÁRIAS'!$A$2:$A$358,0),MOD(ROW()-2,6)+1),""),"")</f>
        <v/>
      </c>
      <c r="H658" s="159">
        <f>IFERROR(IF(INDEX('CONTROLE PRODUÇÃO POR EMPRESAS'!$B$6:$G$5000,MATCH($A658,'CONTROLE PRODUÇÃO POR EMPRESAS'!$A$6:$A$5000,0),MOD(ROW()-2,6)+1)="","",IFERROR(1*INDEX('CONTROLE PRODUÇÃO POR EMPRESAS'!$B$6:$G$5000,MATCH($A658,'CONTROLE PRODUÇÃO POR EMPRESAS'!$A$6:$A$5000,0),MOD(ROW()-2,6)+1),"")),"")</f>
        <v/>
      </c>
      <c r="I658" s="159">
        <f>IF(OR(NOT(ISNUMBER(G658)),NOT(ISNUMBER(H658))),"",H658-G658)</f>
        <v/>
      </c>
      <c r="J658" s="319">
        <f>IF(OR(NOT(ISNUMBER(G658)),NOT(ISNUMBER(H658)),G658=0),"",I658/G658)</f>
        <v/>
      </c>
      <c r="K658" s="319">
        <f>IF(OR(NOT(ISNUMBER(G658)),NOT(ISNUMBER(H658)),G658=0),"",H658/G658)</f>
        <v/>
      </c>
      <c r="L658">
        <f>IF(NOT(ISNUMBER(G658)),"SEM META",IF(G658=0,"SEM META",IF(NOT(ISNUMBER(H658)),"SEM APONTAMENTO",IF(H658&gt;=G658,"VERDE",IF(H658&gt;=G658*0.9,"AMARELO","VERMELHO")))))</f>
        <v/>
      </c>
      <c r="M658" s="162" t="n"/>
      <c r="N658" s="162" t="n"/>
      <c r="O658" s="162" t="n"/>
      <c r="P658" s="162" t="n"/>
      <c r="Q658" s="320" t="n"/>
      <c r="R658" s="162" t="inlineStr">
        <is>
          <t>CONTROLE PRODUÇÃO POR EMPRESAS!D115</t>
        </is>
      </c>
    </row>
    <row r="659" ht="28.5" customHeight="1">
      <c r="A659" s="317" t="n">
        <v>46332</v>
      </c>
      <c r="B659" t="inlineStr">
        <is>
          <t>GERAL</t>
        </is>
      </c>
      <c r="C659" t="inlineStr">
        <is>
          <t>CMM</t>
        </is>
      </c>
      <c r="D659" t="inlineStr">
        <is>
          <t>PREMONTAGEM</t>
        </is>
      </c>
      <c r="F659" s="159">
        <f>IFERROR(INDEX('BASE METAS DIÁRIAS'!$N$2:$S$358,MATCH($A659,'BASE METAS DIÁRIAS'!$A$2:$A$358,0),MOD(ROW()-2,6)+1),"")</f>
        <v/>
      </c>
      <c r="G659" s="159">
        <f>IFERROR(IF(WEEKDAY($A659,2)&lt;=INDEX('BASE METAS DIÁRIAS'!$H$2:$M$358,MATCH($A659,'BASE METAS DIÁRIAS'!$A$2:$A$358,0),MOD(ROW()-2,6)+1),INDEX('BASE METAS DIÁRIAS'!$B$2:$G$358,MATCH($A659,'BASE METAS DIÁRIAS'!$A$2:$A$358,0),MOD(ROW()-2,6)+1),""),"")</f>
        <v/>
      </c>
      <c r="H659" s="159">
        <f>IFERROR(IF(INDEX('CONTROLE PRODUÇÃO POR EMPRESAS'!$B$6:$G$5000,MATCH($A659,'CONTROLE PRODUÇÃO POR EMPRESAS'!$A$6:$A$5000,0),MOD(ROW()-2,6)+1)="","",IFERROR(1*INDEX('CONTROLE PRODUÇÃO POR EMPRESAS'!$B$6:$G$5000,MATCH($A659,'CONTROLE PRODUÇÃO POR EMPRESAS'!$A$6:$A$5000,0),MOD(ROW()-2,6)+1),"")),"")</f>
        <v/>
      </c>
      <c r="I659" s="159">
        <f>IF(OR(NOT(ISNUMBER(G659)),NOT(ISNUMBER(H659))),"",H659-G659)</f>
        <v/>
      </c>
      <c r="J659" s="319">
        <f>IF(OR(NOT(ISNUMBER(G659)),NOT(ISNUMBER(H659)),G659=0),"",I659/G659)</f>
        <v/>
      </c>
      <c r="K659" s="319">
        <f>IF(OR(NOT(ISNUMBER(G659)),NOT(ISNUMBER(H659)),G659=0),"",H659/G659)</f>
        <v/>
      </c>
      <c r="L659">
        <f>IF(NOT(ISNUMBER(G659)),"SEM META",IF(G659=0,"SEM META",IF(NOT(ISNUMBER(H659)),"SEM APONTAMENTO",IF(H659&gt;=G659,"VERDE",IF(H659&gt;=G659*0.9,"AMARELO","VERMELHO")))))</f>
        <v/>
      </c>
      <c r="M659" s="162" t="n"/>
      <c r="N659" s="162" t="n"/>
      <c r="O659" s="162" t="n"/>
      <c r="P659" s="162" t="n"/>
      <c r="Q659" s="320" t="n"/>
      <c r="R659" s="162" t="inlineStr">
        <is>
          <t>CONTROLE PRODUÇÃO POR EMPRESAS!E115</t>
        </is>
      </c>
    </row>
    <row r="660" ht="28.5" customHeight="1">
      <c r="A660" s="317" t="n">
        <v>46332</v>
      </c>
      <c r="B660" t="inlineStr">
        <is>
          <t>GERAL</t>
        </is>
      </c>
      <c r="C660" t="inlineStr">
        <is>
          <t>CMM</t>
        </is>
      </c>
      <c r="D660" t="inlineStr">
        <is>
          <t>IÇAMENTO JOIST</t>
        </is>
      </c>
      <c r="F660" s="159">
        <f>IFERROR(INDEX('BASE METAS DIÁRIAS'!$N$2:$S$358,MATCH($A660,'BASE METAS DIÁRIAS'!$A$2:$A$358,0),MOD(ROW()-2,6)+1),"")</f>
        <v/>
      </c>
      <c r="G660" s="159">
        <f>IFERROR(IF(WEEKDAY($A660,2)&lt;=INDEX('BASE METAS DIÁRIAS'!$H$2:$M$358,MATCH($A660,'BASE METAS DIÁRIAS'!$A$2:$A$358,0),MOD(ROW()-2,6)+1),INDEX('BASE METAS DIÁRIAS'!$B$2:$G$358,MATCH($A660,'BASE METAS DIÁRIAS'!$A$2:$A$358,0),MOD(ROW()-2,6)+1),""),"")</f>
        <v/>
      </c>
      <c r="H660" s="159">
        <f>IFERROR(IF(INDEX('CONTROLE PRODUÇÃO POR EMPRESAS'!$B$6:$G$5000,MATCH($A660,'CONTROLE PRODUÇÃO POR EMPRESAS'!$A$6:$A$5000,0),MOD(ROW()-2,6)+1)="","",IFERROR(1*INDEX('CONTROLE PRODUÇÃO POR EMPRESAS'!$B$6:$G$5000,MATCH($A660,'CONTROLE PRODUÇÃO POR EMPRESAS'!$A$6:$A$5000,0),MOD(ROW()-2,6)+1),"")),"")</f>
        <v/>
      </c>
      <c r="I660" s="159">
        <f>IF(OR(NOT(ISNUMBER(G660)),NOT(ISNUMBER(H660))),"",H660-G660)</f>
        <v/>
      </c>
      <c r="J660" s="319">
        <f>IF(OR(NOT(ISNUMBER(G660)),NOT(ISNUMBER(H660)),G660=0),"",I660/G660)</f>
        <v/>
      </c>
      <c r="K660" s="319">
        <f>IF(OR(NOT(ISNUMBER(G660)),NOT(ISNUMBER(H660)),G660=0),"",H660/G660)</f>
        <v/>
      </c>
      <c r="L660">
        <f>IF(NOT(ISNUMBER(G660)),"SEM META",IF(G660=0,"SEM META",IF(NOT(ISNUMBER(H660)),"SEM APONTAMENTO",IF(H660&gt;=G660,"VERDE",IF(H660&gt;=G660*0.9,"AMARELO","VERMELHO")))))</f>
        <v/>
      </c>
      <c r="M660" s="162" t="n"/>
      <c r="N660" s="162" t="n"/>
      <c r="O660" s="162" t="n"/>
      <c r="P660" s="162" t="n"/>
      <c r="Q660" s="320" t="n"/>
      <c r="R660" s="162" t="inlineStr">
        <is>
          <t>CONTROLE PRODUÇÃO POR EMPRESAS!F115</t>
        </is>
      </c>
    </row>
    <row r="661" ht="28.5" customHeight="1">
      <c r="A661" s="317" t="n">
        <v>46332</v>
      </c>
      <c r="B661" t="inlineStr">
        <is>
          <t>GERAL</t>
        </is>
      </c>
      <c r="C661" t="inlineStr">
        <is>
          <t>CMM</t>
        </is>
      </c>
      <c r="D661" t="inlineStr">
        <is>
          <t>VIGAS</t>
        </is>
      </c>
      <c r="F661" s="159">
        <f>IFERROR(INDEX('BASE METAS DIÁRIAS'!$N$2:$S$358,MATCH($A661,'BASE METAS DIÁRIAS'!$A$2:$A$358,0),MOD(ROW()-2,6)+1),"")</f>
        <v/>
      </c>
      <c r="G661" s="159">
        <f>IFERROR(IF(WEEKDAY($A661,2)&lt;=INDEX('BASE METAS DIÁRIAS'!$H$2:$M$358,MATCH($A661,'BASE METAS DIÁRIAS'!$A$2:$A$358,0),MOD(ROW()-2,6)+1),INDEX('BASE METAS DIÁRIAS'!$B$2:$G$358,MATCH($A661,'BASE METAS DIÁRIAS'!$A$2:$A$358,0),MOD(ROW()-2,6)+1),""),"")</f>
        <v/>
      </c>
      <c r="H661" s="159">
        <f>IFERROR(IF(INDEX('CONTROLE PRODUÇÃO POR EMPRESAS'!$B$6:$G$5000,MATCH($A661,'CONTROLE PRODUÇÃO POR EMPRESAS'!$A$6:$A$5000,0),MOD(ROW()-2,6)+1)="","",IFERROR(1*INDEX('CONTROLE PRODUÇÃO POR EMPRESAS'!$B$6:$G$5000,MATCH($A661,'CONTROLE PRODUÇÃO POR EMPRESAS'!$A$6:$A$5000,0),MOD(ROW()-2,6)+1),"")),"")</f>
        <v/>
      </c>
      <c r="I661" s="159">
        <f>IF(OR(NOT(ISNUMBER(G661)),NOT(ISNUMBER(H661))),"",H661-G661)</f>
        <v/>
      </c>
      <c r="J661" s="319">
        <f>IF(OR(NOT(ISNUMBER(G661)),NOT(ISNUMBER(H661)),G661=0),"",I661/G661)</f>
        <v/>
      </c>
      <c r="K661" s="319">
        <f>IF(OR(NOT(ISNUMBER(G661)),NOT(ISNUMBER(H661)),G661=0),"",H661/G661)</f>
        <v/>
      </c>
      <c r="L661">
        <f>IF(NOT(ISNUMBER(G661)),"SEM META",IF(G661=0,"SEM META",IF(NOT(ISNUMBER(H661)),"SEM APONTAMENTO",IF(H661&gt;=G661,"VERDE",IF(H661&gt;=G661*0.9,"AMARELO","VERMELHO")))))</f>
        <v/>
      </c>
      <c r="M661" s="162" t="n"/>
      <c r="N661" s="162" t="n"/>
      <c r="O661" s="162" t="n"/>
      <c r="P661" s="162" t="n"/>
      <c r="Q661" s="320" t="n"/>
      <c r="R661" s="162" t="inlineStr">
        <is>
          <t>CONTROLE PRODUÇÃO POR EMPRESAS!G115</t>
        </is>
      </c>
    </row>
    <row r="662" ht="28.5" customHeight="1">
      <c r="A662" s="317" t="n">
        <v>46333</v>
      </c>
      <c r="B662" t="inlineStr">
        <is>
          <t>GERAL</t>
        </is>
      </c>
      <c r="C662" t="inlineStr">
        <is>
          <t>EJ</t>
        </is>
      </c>
      <c r="D662" t="inlineStr">
        <is>
          <t>PREMONTAGEM</t>
        </is>
      </c>
      <c r="F662" s="159">
        <f>IFERROR(INDEX('BASE METAS DIÁRIAS'!$N$2:$S$358,MATCH($A662,'BASE METAS DIÁRIAS'!$A$2:$A$358,0),MOD(ROW()-2,6)+1),"")</f>
        <v/>
      </c>
      <c r="G662" s="159">
        <f>IFERROR(IF(WEEKDAY($A662,2)&lt;=INDEX('BASE METAS DIÁRIAS'!$H$2:$M$358,MATCH($A662,'BASE METAS DIÁRIAS'!$A$2:$A$358,0),MOD(ROW()-2,6)+1),INDEX('BASE METAS DIÁRIAS'!$B$2:$G$358,MATCH($A662,'BASE METAS DIÁRIAS'!$A$2:$A$358,0),MOD(ROW()-2,6)+1),""),"")</f>
        <v/>
      </c>
      <c r="H662" s="159">
        <f>IFERROR(IF(INDEX('CONTROLE PRODUÇÃO POR EMPRESAS'!$B$6:$G$5000,MATCH($A662,'CONTROLE PRODUÇÃO POR EMPRESAS'!$A$6:$A$5000,0),MOD(ROW()-2,6)+1)="","",IFERROR(1*INDEX('CONTROLE PRODUÇÃO POR EMPRESAS'!$B$6:$G$5000,MATCH($A662,'CONTROLE PRODUÇÃO POR EMPRESAS'!$A$6:$A$5000,0),MOD(ROW()-2,6)+1),"")),"")</f>
        <v/>
      </c>
      <c r="I662" s="159">
        <f>IF(OR(NOT(ISNUMBER(G662)),NOT(ISNUMBER(H662))),"",H662-G662)</f>
        <v/>
      </c>
      <c r="J662" s="319">
        <f>IF(OR(NOT(ISNUMBER(G662)),NOT(ISNUMBER(H662)),G662=0),"",I662/G662)</f>
        <v/>
      </c>
      <c r="K662" s="319">
        <f>IF(OR(NOT(ISNUMBER(G662)),NOT(ISNUMBER(H662)),G662=0),"",H662/G662)</f>
        <v/>
      </c>
      <c r="L662">
        <f>IF(NOT(ISNUMBER(G662)),"SEM META",IF(G662=0,"SEM META",IF(NOT(ISNUMBER(H662)),"SEM APONTAMENTO",IF(H662&gt;=G662,"VERDE",IF(H662&gt;=G662*0.9,"AMARELO","VERMELHO")))))</f>
        <v/>
      </c>
      <c r="M662" s="162" t="n"/>
      <c r="N662" s="162" t="n"/>
      <c r="O662" s="162" t="n"/>
      <c r="P662" s="162" t="n"/>
      <c r="Q662" s="320" t="n"/>
      <c r="R662" s="162" t="inlineStr">
        <is>
          <t>CONTROLE PRODUÇÃO POR EMPRESAS!B116</t>
        </is>
      </c>
    </row>
    <row r="663" ht="28.5" customHeight="1">
      <c r="A663" s="317" t="n">
        <v>46333</v>
      </c>
      <c r="B663" t="inlineStr">
        <is>
          <t>GERAL</t>
        </is>
      </c>
      <c r="C663" t="inlineStr">
        <is>
          <t>EJ</t>
        </is>
      </c>
      <c r="D663" t="inlineStr">
        <is>
          <t>IÇAMENTO JOIST</t>
        </is>
      </c>
      <c r="F663" s="159">
        <f>IFERROR(INDEX('BASE METAS DIÁRIAS'!$N$2:$S$358,MATCH($A663,'BASE METAS DIÁRIAS'!$A$2:$A$358,0),MOD(ROW()-2,6)+1),"")</f>
        <v/>
      </c>
      <c r="G663" s="159">
        <f>IFERROR(IF(WEEKDAY($A663,2)&lt;=INDEX('BASE METAS DIÁRIAS'!$H$2:$M$358,MATCH($A663,'BASE METAS DIÁRIAS'!$A$2:$A$358,0),MOD(ROW()-2,6)+1),INDEX('BASE METAS DIÁRIAS'!$B$2:$G$358,MATCH($A663,'BASE METAS DIÁRIAS'!$A$2:$A$358,0),MOD(ROW()-2,6)+1),""),"")</f>
        <v/>
      </c>
      <c r="H663" s="159">
        <f>IFERROR(IF(INDEX('CONTROLE PRODUÇÃO POR EMPRESAS'!$B$6:$G$5000,MATCH($A663,'CONTROLE PRODUÇÃO POR EMPRESAS'!$A$6:$A$5000,0),MOD(ROW()-2,6)+1)="","",IFERROR(1*INDEX('CONTROLE PRODUÇÃO POR EMPRESAS'!$B$6:$G$5000,MATCH($A663,'CONTROLE PRODUÇÃO POR EMPRESAS'!$A$6:$A$5000,0),MOD(ROW()-2,6)+1),"")),"")</f>
        <v/>
      </c>
      <c r="I663" s="159">
        <f>IF(OR(NOT(ISNUMBER(G663)),NOT(ISNUMBER(H663))),"",H663-G663)</f>
        <v/>
      </c>
      <c r="J663" s="319">
        <f>IF(OR(NOT(ISNUMBER(G663)),NOT(ISNUMBER(H663)),G663=0),"",I663/G663)</f>
        <v/>
      </c>
      <c r="K663" s="319">
        <f>IF(OR(NOT(ISNUMBER(G663)),NOT(ISNUMBER(H663)),G663=0),"",H663/G663)</f>
        <v/>
      </c>
      <c r="L663">
        <f>IF(NOT(ISNUMBER(G663)),"SEM META",IF(G663=0,"SEM META",IF(NOT(ISNUMBER(H663)),"SEM APONTAMENTO",IF(H663&gt;=G663,"VERDE",IF(H663&gt;=G663*0.9,"AMARELO","VERMELHO")))))</f>
        <v/>
      </c>
      <c r="M663" s="162" t="n"/>
      <c r="N663" s="162" t="n"/>
      <c r="O663" s="162" t="n"/>
      <c r="P663" s="162" t="n"/>
      <c r="Q663" s="320" t="n"/>
      <c r="R663" s="162" t="inlineStr">
        <is>
          <t>CONTROLE PRODUÇÃO POR EMPRESAS!C116</t>
        </is>
      </c>
    </row>
    <row r="664" ht="28.5" customHeight="1">
      <c r="A664" s="317" t="n">
        <v>46333</v>
      </c>
      <c r="B664" t="inlineStr">
        <is>
          <t>GERAL</t>
        </is>
      </c>
      <c r="C664" t="inlineStr">
        <is>
          <t>EJ</t>
        </is>
      </c>
      <c r="D664" t="inlineStr">
        <is>
          <t>VIGAS</t>
        </is>
      </c>
      <c r="F664" s="159">
        <f>IFERROR(INDEX('BASE METAS DIÁRIAS'!$N$2:$S$358,MATCH($A664,'BASE METAS DIÁRIAS'!$A$2:$A$358,0),MOD(ROW()-2,6)+1),"")</f>
        <v/>
      </c>
      <c r="G664" s="159">
        <f>IFERROR(IF(WEEKDAY($A664,2)&lt;=INDEX('BASE METAS DIÁRIAS'!$H$2:$M$358,MATCH($A664,'BASE METAS DIÁRIAS'!$A$2:$A$358,0),MOD(ROW()-2,6)+1),INDEX('BASE METAS DIÁRIAS'!$B$2:$G$358,MATCH($A664,'BASE METAS DIÁRIAS'!$A$2:$A$358,0),MOD(ROW()-2,6)+1),""),"")</f>
        <v/>
      </c>
      <c r="H664" s="159">
        <f>IFERROR(IF(INDEX('CONTROLE PRODUÇÃO POR EMPRESAS'!$B$6:$G$5000,MATCH($A664,'CONTROLE PRODUÇÃO POR EMPRESAS'!$A$6:$A$5000,0),MOD(ROW()-2,6)+1)="","",IFERROR(1*INDEX('CONTROLE PRODUÇÃO POR EMPRESAS'!$B$6:$G$5000,MATCH($A664,'CONTROLE PRODUÇÃO POR EMPRESAS'!$A$6:$A$5000,0),MOD(ROW()-2,6)+1),"")),"")</f>
        <v/>
      </c>
      <c r="I664" s="159">
        <f>IF(OR(NOT(ISNUMBER(G664)),NOT(ISNUMBER(H664))),"",H664-G664)</f>
        <v/>
      </c>
      <c r="J664" s="319">
        <f>IF(OR(NOT(ISNUMBER(G664)),NOT(ISNUMBER(H664)),G664=0),"",I664/G664)</f>
        <v/>
      </c>
      <c r="K664" s="319">
        <f>IF(OR(NOT(ISNUMBER(G664)),NOT(ISNUMBER(H664)),G664=0),"",H664/G664)</f>
        <v/>
      </c>
      <c r="L664">
        <f>IF(NOT(ISNUMBER(G664)),"SEM META",IF(G664=0,"SEM META",IF(NOT(ISNUMBER(H664)),"SEM APONTAMENTO",IF(H664&gt;=G664,"VERDE",IF(H664&gt;=G664*0.9,"AMARELO","VERMELHO")))))</f>
        <v/>
      </c>
      <c r="M664" s="162" t="n"/>
      <c r="N664" s="162" t="n"/>
      <c r="O664" s="162" t="n"/>
      <c r="P664" s="162" t="n"/>
      <c r="Q664" s="320" t="n"/>
      <c r="R664" s="162" t="inlineStr">
        <is>
          <t>CONTROLE PRODUÇÃO POR EMPRESAS!D116</t>
        </is>
      </c>
    </row>
    <row r="665" ht="28.5" customHeight="1">
      <c r="A665" s="317" t="n">
        <v>46333</v>
      </c>
      <c r="B665" t="inlineStr">
        <is>
          <t>GERAL</t>
        </is>
      </c>
      <c r="C665" t="inlineStr">
        <is>
          <t>CMM</t>
        </is>
      </c>
      <c r="D665" t="inlineStr">
        <is>
          <t>PREMONTAGEM</t>
        </is>
      </c>
      <c r="F665" s="159">
        <f>IFERROR(INDEX('BASE METAS DIÁRIAS'!$N$2:$S$358,MATCH($A665,'BASE METAS DIÁRIAS'!$A$2:$A$358,0),MOD(ROW()-2,6)+1),"")</f>
        <v/>
      </c>
      <c r="G665" s="159">
        <f>IFERROR(IF(WEEKDAY($A665,2)&lt;=INDEX('BASE METAS DIÁRIAS'!$H$2:$M$358,MATCH($A665,'BASE METAS DIÁRIAS'!$A$2:$A$358,0),MOD(ROW()-2,6)+1),INDEX('BASE METAS DIÁRIAS'!$B$2:$G$358,MATCH($A665,'BASE METAS DIÁRIAS'!$A$2:$A$358,0),MOD(ROW()-2,6)+1),""),"")</f>
        <v/>
      </c>
      <c r="H665" s="159">
        <f>IFERROR(IF(INDEX('CONTROLE PRODUÇÃO POR EMPRESAS'!$B$6:$G$5000,MATCH($A665,'CONTROLE PRODUÇÃO POR EMPRESAS'!$A$6:$A$5000,0),MOD(ROW()-2,6)+1)="","",IFERROR(1*INDEX('CONTROLE PRODUÇÃO POR EMPRESAS'!$B$6:$G$5000,MATCH($A665,'CONTROLE PRODUÇÃO POR EMPRESAS'!$A$6:$A$5000,0),MOD(ROW()-2,6)+1),"")),"")</f>
        <v/>
      </c>
      <c r="I665" s="159">
        <f>IF(OR(NOT(ISNUMBER(G665)),NOT(ISNUMBER(H665))),"",H665-G665)</f>
        <v/>
      </c>
      <c r="J665" s="319">
        <f>IF(OR(NOT(ISNUMBER(G665)),NOT(ISNUMBER(H665)),G665=0),"",I665/G665)</f>
        <v/>
      </c>
      <c r="K665" s="319">
        <f>IF(OR(NOT(ISNUMBER(G665)),NOT(ISNUMBER(H665)),G665=0),"",H665/G665)</f>
        <v/>
      </c>
      <c r="L665">
        <f>IF(NOT(ISNUMBER(G665)),"SEM META",IF(G665=0,"SEM META",IF(NOT(ISNUMBER(H665)),"SEM APONTAMENTO",IF(H665&gt;=G665,"VERDE",IF(H665&gt;=G665*0.9,"AMARELO","VERMELHO")))))</f>
        <v/>
      </c>
      <c r="M665" s="162" t="n"/>
      <c r="N665" s="162" t="n"/>
      <c r="O665" s="162" t="n"/>
      <c r="P665" s="162" t="n"/>
      <c r="Q665" s="320" t="n"/>
      <c r="R665" s="162" t="inlineStr">
        <is>
          <t>CONTROLE PRODUÇÃO POR EMPRESAS!E116</t>
        </is>
      </c>
    </row>
    <row r="666" ht="28.5" customHeight="1">
      <c r="A666" s="317" t="n">
        <v>46333</v>
      </c>
      <c r="B666" t="inlineStr">
        <is>
          <t>GERAL</t>
        </is>
      </c>
      <c r="C666" t="inlineStr">
        <is>
          <t>CMM</t>
        </is>
      </c>
      <c r="D666" t="inlineStr">
        <is>
          <t>IÇAMENTO JOIST</t>
        </is>
      </c>
      <c r="F666" s="159">
        <f>IFERROR(INDEX('BASE METAS DIÁRIAS'!$N$2:$S$358,MATCH($A666,'BASE METAS DIÁRIAS'!$A$2:$A$358,0),MOD(ROW()-2,6)+1),"")</f>
        <v/>
      </c>
      <c r="G666" s="159">
        <f>IFERROR(IF(WEEKDAY($A666,2)&lt;=INDEX('BASE METAS DIÁRIAS'!$H$2:$M$358,MATCH($A666,'BASE METAS DIÁRIAS'!$A$2:$A$358,0),MOD(ROW()-2,6)+1),INDEX('BASE METAS DIÁRIAS'!$B$2:$G$358,MATCH($A666,'BASE METAS DIÁRIAS'!$A$2:$A$358,0),MOD(ROW()-2,6)+1),""),"")</f>
        <v/>
      </c>
      <c r="H666" s="159">
        <f>IFERROR(IF(INDEX('CONTROLE PRODUÇÃO POR EMPRESAS'!$B$6:$G$5000,MATCH($A666,'CONTROLE PRODUÇÃO POR EMPRESAS'!$A$6:$A$5000,0),MOD(ROW()-2,6)+1)="","",IFERROR(1*INDEX('CONTROLE PRODUÇÃO POR EMPRESAS'!$B$6:$G$5000,MATCH($A666,'CONTROLE PRODUÇÃO POR EMPRESAS'!$A$6:$A$5000,0),MOD(ROW()-2,6)+1),"")),"")</f>
        <v/>
      </c>
      <c r="I666" s="159">
        <f>IF(OR(NOT(ISNUMBER(G666)),NOT(ISNUMBER(H666))),"",H666-G666)</f>
        <v/>
      </c>
      <c r="J666" s="319">
        <f>IF(OR(NOT(ISNUMBER(G666)),NOT(ISNUMBER(H666)),G666=0),"",I666/G666)</f>
        <v/>
      </c>
      <c r="K666" s="319">
        <f>IF(OR(NOT(ISNUMBER(G666)),NOT(ISNUMBER(H666)),G666=0),"",H666/G666)</f>
        <v/>
      </c>
      <c r="L666">
        <f>IF(NOT(ISNUMBER(G666)),"SEM META",IF(G666=0,"SEM META",IF(NOT(ISNUMBER(H666)),"SEM APONTAMENTO",IF(H666&gt;=G666,"VERDE",IF(H666&gt;=G666*0.9,"AMARELO","VERMELHO")))))</f>
        <v/>
      </c>
      <c r="M666" s="162" t="n"/>
      <c r="N666" s="162" t="n"/>
      <c r="O666" s="162" t="n"/>
      <c r="P666" s="162" t="n"/>
      <c r="Q666" s="320" t="n"/>
      <c r="R666" s="162" t="inlineStr">
        <is>
          <t>CONTROLE PRODUÇÃO POR EMPRESAS!F116</t>
        </is>
      </c>
    </row>
    <row r="667" ht="28.5" customHeight="1">
      <c r="A667" s="317" t="n">
        <v>46333</v>
      </c>
      <c r="B667" t="inlineStr">
        <is>
          <t>GERAL</t>
        </is>
      </c>
      <c r="C667" t="inlineStr">
        <is>
          <t>CMM</t>
        </is>
      </c>
      <c r="D667" t="inlineStr">
        <is>
          <t>VIGAS</t>
        </is>
      </c>
      <c r="F667" s="159">
        <f>IFERROR(INDEX('BASE METAS DIÁRIAS'!$N$2:$S$358,MATCH($A667,'BASE METAS DIÁRIAS'!$A$2:$A$358,0),MOD(ROW()-2,6)+1),"")</f>
        <v/>
      </c>
      <c r="G667" s="159">
        <f>IFERROR(IF(WEEKDAY($A667,2)&lt;=INDEX('BASE METAS DIÁRIAS'!$H$2:$M$358,MATCH($A667,'BASE METAS DIÁRIAS'!$A$2:$A$358,0),MOD(ROW()-2,6)+1),INDEX('BASE METAS DIÁRIAS'!$B$2:$G$358,MATCH($A667,'BASE METAS DIÁRIAS'!$A$2:$A$358,0),MOD(ROW()-2,6)+1),""),"")</f>
        <v/>
      </c>
      <c r="H667" s="159">
        <f>IFERROR(IF(INDEX('CONTROLE PRODUÇÃO POR EMPRESAS'!$B$6:$G$5000,MATCH($A667,'CONTROLE PRODUÇÃO POR EMPRESAS'!$A$6:$A$5000,0),MOD(ROW()-2,6)+1)="","",IFERROR(1*INDEX('CONTROLE PRODUÇÃO POR EMPRESAS'!$B$6:$G$5000,MATCH($A667,'CONTROLE PRODUÇÃO POR EMPRESAS'!$A$6:$A$5000,0),MOD(ROW()-2,6)+1),"")),"")</f>
        <v/>
      </c>
      <c r="I667" s="159">
        <f>IF(OR(NOT(ISNUMBER(G667)),NOT(ISNUMBER(H667))),"",H667-G667)</f>
        <v/>
      </c>
      <c r="J667" s="319">
        <f>IF(OR(NOT(ISNUMBER(G667)),NOT(ISNUMBER(H667)),G667=0),"",I667/G667)</f>
        <v/>
      </c>
      <c r="K667" s="319">
        <f>IF(OR(NOT(ISNUMBER(G667)),NOT(ISNUMBER(H667)),G667=0),"",H667/G667)</f>
        <v/>
      </c>
      <c r="L667">
        <f>IF(NOT(ISNUMBER(G667)),"SEM META",IF(G667=0,"SEM META",IF(NOT(ISNUMBER(H667)),"SEM APONTAMENTO",IF(H667&gt;=G667,"VERDE",IF(H667&gt;=G667*0.9,"AMARELO","VERMELHO")))))</f>
        <v/>
      </c>
      <c r="M667" s="162" t="n"/>
      <c r="N667" s="162" t="n"/>
      <c r="O667" s="162" t="n"/>
      <c r="P667" s="162" t="n"/>
      <c r="Q667" s="320" t="n"/>
      <c r="R667" s="162" t="inlineStr">
        <is>
          <t>CONTROLE PRODUÇÃO POR EMPRESAS!G116</t>
        </is>
      </c>
    </row>
    <row r="668" ht="28.5" customHeight="1">
      <c r="A668" s="317" t="n">
        <v>46334</v>
      </c>
      <c r="B668" t="inlineStr">
        <is>
          <t>GERAL</t>
        </is>
      </c>
      <c r="C668" t="inlineStr">
        <is>
          <t>EJ</t>
        </is>
      </c>
      <c r="D668" t="inlineStr">
        <is>
          <t>PREMONTAGEM</t>
        </is>
      </c>
      <c r="F668" s="159">
        <f>IFERROR(INDEX('BASE METAS DIÁRIAS'!$N$2:$S$358,MATCH($A668,'BASE METAS DIÁRIAS'!$A$2:$A$358,0),MOD(ROW()-2,6)+1),"")</f>
        <v/>
      </c>
      <c r="G668" s="159">
        <f>IFERROR(IF(WEEKDAY($A668,2)&lt;=INDEX('BASE METAS DIÁRIAS'!$H$2:$M$358,MATCH($A668,'BASE METAS DIÁRIAS'!$A$2:$A$358,0),MOD(ROW()-2,6)+1),INDEX('BASE METAS DIÁRIAS'!$B$2:$G$358,MATCH($A668,'BASE METAS DIÁRIAS'!$A$2:$A$358,0),MOD(ROW()-2,6)+1),""),"")</f>
        <v/>
      </c>
      <c r="H668" s="159">
        <f>IFERROR(IF(INDEX('CONTROLE PRODUÇÃO POR EMPRESAS'!$B$6:$G$5000,MATCH($A668,'CONTROLE PRODUÇÃO POR EMPRESAS'!$A$6:$A$5000,0),MOD(ROW()-2,6)+1)="","",IFERROR(1*INDEX('CONTROLE PRODUÇÃO POR EMPRESAS'!$B$6:$G$5000,MATCH($A668,'CONTROLE PRODUÇÃO POR EMPRESAS'!$A$6:$A$5000,0),MOD(ROW()-2,6)+1),"")),"")</f>
        <v/>
      </c>
      <c r="I668" s="159">
        <f>IF(OR(NOT(ISNUMBER(G668)),NOT(ISNUMBER(H668))),"",H668-G668)</f>
        <v/>
      </c>
      <c r="J668" s="319">
        <f>IF(OR(NOT(ISNUMBER(G668)),NOT(ISNUMBER(H668)),G668=0),"",I668/G668)</f>
        <v/>
      </c>
      <c r="K668" s="319">
        <f>IF(OR(NOT(ISNUMBER(G668)),NOT(ISNUMBER(H668)),G668=0),"",H668/G668)</f>
        <v/>
      </c>
      <c r="L668">
        <f>IF(NOT(ISNUMBER(G668)),"SEM META",IF(G668=0,"SEM META",IF(NOT(ISNUMBER(H668)),"SEM APONTAMENTO",IF(H668&gt;=G668,"VERDE",IF(H668&gt;=G668*0.9,"AMARELO","VERMELHO")))))</f>
        <v/>
      </c>
      <c r="M668" s="162" t="n"/>
      <c r="N668" s="162" t="n"/>
      <c r="O668" s="162" t="n"/>
      <c r="P668" s="162" t="n"/>
      <c r="Q668" s="320" t="n"/>
      <c r="R668" s="162" t="inlineStr">
        <is>
          <t>CONTROLE PRODUÇÃO POR EMPRESAS!B117</t>
        </is>
      </c>
    </row>
    <row r="669" ht="28.5" customHeight="1">
      <c r="A669" s="317" t="n">
        <v>46334</v>
      </c>
      <c r="B669" t="inlineStr">
        <is>
          <t>GERAL</t>
        </is>
      </c>
      <c r="C669" t="inlineStr">
        <is>
          <t>EJ</t>
        </is>
      </c>
      <c r="D669" t="inlineStr">
        <is>
          <t>IÇAMENTO JOIST</t>
        </is>
      </c>
      <c r="F669" s="159">
        <f>IFERROR(INDEX('BASE METAS DIÁRIAS'!$N$2:$S$358,MATCH($A669,'BASE METAS DIÁRIAS'!$A$2:$A$358,0),MOD(ROW()-2,6)+1),"")</f>
        <v/>
      </c>
      <c r="G669" s="159">
        <f>IFERROR(IF(WEEKDAY($A669,2)&lt;=INDEX('BASE METAS DIÁRIAS'!$H$2:$M$358,MATCH($A669,'BASE METAS DIÁRIAS'!$A$2:$A$358,0),MOD(ROW()-2,6)+1),INDEX('BASE METAS DIÁRIAS'!$B$2:$G$358,MATCH($A669,'BASE METAS DIÁRIAS'!$A$2:$A$358,0),MOD(ROW()-2,6)+1),""),"")</f>
        <v/>
      </c>
      <c r="H669" s="159">
        <f>IFERROR(IF(INDEX('CONTROLE PRODUÇÃO POR EMPRESAS'!$B$6:$G$5000,MATCH($A669,'CONTROLE PRODUÇÃO POR EMPRESAS'!$A$6:$A$5000,0),MOD(ROW()-2,6)+1)="","",IFERROR(1*INDEX('CONTROLE PRODUÇÃO POR EMPRESAS'!$B$6:$G$5000,MATCH($A669,'CONTROLE PRODUÇÃO POR EMPRESAS'!$A$6:$A$5000,0),MOD(ROW()-2,6)+1),"")),"")</f>
        <v/>
      </c>
      <c r="I669" s="159">
        <f>IF(OR(NOT(ISNUMBER(G669)),NOT(ISNUMBER(H669))),"",H669-G669)</f>
        <v/>
      </c>
      <c r="J669" s="319">
        <f>IF(OR(NOT(ISNUMBER(G669)),NOT(ISNUMBER(H669)),G669=0),"",I669/G669)</f>
        <v/>
      </c>
      <c r="K669" s="319">
        <f>IF(OR(NOT(ISNUMBER(G669)),NOT(ISNUMBER(H669)),G669=0),"",H669/G669)</f>
        <v/>
      </c>
      <c r="L669">
        <f>IF(NOT(ISNUMBER(G669)),"SEM META",IF(G669=0,"SEM META",IF(NOT(ISNUMBER(H669)),"SEM APONTAMENTO",IF(H669&gt;=G669,"VERDE",IF(H669&gt;=G669*0.9,"AMARELO","VERMELHO")))))</f>
        <v/>
      </c>
      <c r="M669" s="162" t="n"/>
      <c r="N669" s="162" t="n"/>
      <c r="O669" s="162" t="n"/>
      <c r="P669" s="162" t="n"/>
      <c r="Q669" s="320" t="n"/>
      <c r="R669" s="162" t="inlineStr">
        <is>
          <t>CONTROLE PRODUÇÃO POR EMPRESAS!C117</t>
        </is>
      </c>
    </row>
    <row r="670" ht="28.5" customHeight="1">
      <c r="A670" s="317" t="n">
        <v>46334</v>
      </c>
      <c r="B670" t="inlineStr">
        <is>
          <t>GERAL</t>
        </is>
      </c>
      <c r="C670" t="inlineStr">
        <is>
          <t>EJ</t>
        </is>
      </c>
      <c r="D670" t="inlineStr">
        <is>
          <t>VIGAS</t>
        </is>
      </c>
      <c r="F670" s="159">
        <f>IFERROR(INDEX('BASE METAS DIÁRIAS'!$N$2:$S$358,MATCH($A670,'BASE METAS DIÁRIAS'!$A$2:$A$358,0),MOD(ROW()-2,6)+1),"")</f>
        <v/>
      </c>
      <c r="G670" s="159">
        <f>IFERROR(IF(WEEKDAY($A670,2)&lt;=INDEX('BASE METAS DIÁRIAS'!$H$2:$M$358,MATCH($A670,'BASE METAS DIÁRIAS'!$A$2:$A$358,0),MOD(ROW()-2,6)+1),INDEX('BASE METAS DIÁRIAS'!$B$2:$G$358,MATCH($A670,'BASE METAS DIÁRIAS'!$A$2:$A$358,0),MOD(ROW()-2,6)+1),""),"")</f>
        <v/>
      </c>
      <c r="H670" s="159">
        <f>IFERROR(IF(INDEX('CONTROLE PRODUÇÃO POR EMPRESAS'!$B$6:$G$5000,MATCH($A670,'CONTROLE PRODUÇÃO POR EMPRESAS'!$A$6:$A$5000,0),MOD(ROW()-2,6)+1)="","",IFERROR(1*INDEX('CONTROLE PRODUÇÃO POR EMPRESAS'!$B$6:$G$5000,MATCH($A670,'CONTROLE PRODUÇÃO POR EMPRESAS'!$A$6:$A$5000,0),MOD(ROW()-2,6)+1),"")),"")</f>
        <v/>
      </c>
      <c r="I670" s="159">
        <f>IF(OR(NOT(ISNUMBER(G670)),NOT(ISNUMBER(H670))),"",H670-G670)</f>
        <v/>
      </c>
      <c r="J670" s="319">
        <f>IF(OR(NOT(ISNUMBER(G670)),NOT(ISNUMBER(H670)),G670=0),"",I670/G670)</f>
        <v/>
      </c>
      <c r="K670" s="319">
        <f>IF(OR(NOT(ISNUMBER(G670)),NOT(ISNUMBER(H670)),G670=0),"",H670/G670)</f>
        <v/>
      </c>
      <c r="L670">
        <f>IF(NOT(ISNUMBER(G670)),"SEM META",IF(G670=0,"SEM META",IF(NOT(ISNUMBER(H670)),"SEM APONTAMENTO",IF(H670&gt;=G670,"VERDE",IF(H670&gt;=G670*0.9,"AMARELO","VERMELHO")))))</f>
        <v/>
      </c>
      <c r="M670" s="162" t="n"/>
      <c r="N670" s="162" t="n"/>
      <c r="O670" s="162" t="n"/>
      <c r="P670" s="162" t="n"/>
      <c r="Q670" s="320" t="n"/>
      <c r="R670" s="162" t="inlineStr">
        <is>
          <t>CONTROLE PRODUÇÃO POR EMPRESAS!D117</t>
        </is>
      </c>
    </row>
    <row r="671" ht="28.5" customHeight="1">
      <c r="A671" s="317" t="n">
        <v>46334</v>
      </c>
      <c r="B671" t="inlineStr">
        <is>
          <t>GERAL</t>
        </is>
      </c>
      <c r="C671" t="inlineStr">
        <is>
          <t>CMM</t>
        </is>
      </c>
      <c r="D671" t="inlineStr">
        <is>
          <t>PREMONTAGEM</t>
        </is>
      </c>
      <c r="F671" s="159">
        <f>IFERROR(INDEX('BASE METAS DIÁRIAS'!$N$2:$S$358,MATCH($A671,'BASE METAS DIÁRIAS'!$A$2:$A$358,0),MOD(ROW()-2,6)+1),"")</f>
        <v/>
      </c>
      <c r="G671" s="159">
        <f>IFERROR(IF(WEEKDAY($A671,2)&lt;=INDEX('BASE METAS DIÁRIAS'!$H$2:$M$358,MATCH($A671,'BASE METAS DIÁRIAS'!$A$2:$A$358,0),MOD(ROW()-2,6)+1),INDEX('BASE METAS DIÁRIAS'!$B$2:$G$358,MATCH($A671,'BASE METAS DIÁRIAS'!$A$2:$A$358,0),MOD(ROW()-2,6)+1),""),"")</f>
        <v/>
      </c>
      <c r="H671" s="159">
        <f>IFERROR(IF(INDEX('CONTROLE PRODUÇÃO POR EMPRESAS'!$B$6:$G$5000,MATCH($A671,'CONTROLE PRODUÇÃO POR EMPRESAS'!$A$6:$A$5000,0),MOD(ROW()-2,6)+1)="","",IFERROR(1*INDEX('CONTROLE PRODUÇÃO POR EMPRESAS'!$B$6:$G$5000,MATCH($A671,'CONTROLE PRODUÇÃO POR EMPRESAS'!$A$6:$A$5000,0),MOD(ROW()-2,6)+1),"")),"")</f>
        <v/>
      </c>
      <c r="I671" s="159">
        <f>IF(OR(NOT(ISNUMBER(G671)),NOT(ISNUMBER(H671))),"",H671-G671)</f>
        <v/>
      </c>
      <c r="J671" s="319">
        <f>IF(OR(NOT(ISNUMBER(G671)),NOT(ISNUMBER(H671)),G671=0),"",I671/G671)</f>
        <v/>
      </c>
      <c r="K671" s="319">
        <f>IF(OR(NOT(ISNUMBER(G671)),NOT(ISNUMBER(H671)),G671=0),"",H671/G671)</f>
        <v/>
      </c>
      <c r="L671">
        <f>IF(NOT(ISNUMBER(G671)),"SEM META",IF(G671=0,"SEM META",IF(NOT(ISNUMBER(H671)),"SEM APONTAMENTO",IF(H671&gt;=G671,"VERDE",IF(H671&gt;=G671*0.9,"AMARELO","VERMELHO")))))</f>
        <v/>
      </c>
      <c r="M671" s="162" t="n"/>
      <c r="N671" s="162" t="n"/>
      <c r="O671" s="162" t="n"/>
      <c r="P671" s="162" t="n"/>
      <c r="Q671" s="320" t="n"/>
      <c r="R671" s="162" t="inlineStr">
        <is>
          <t>CONTROLE PRODUÇÃO POR EMPRESAS!E117</t>
        </is>
      </c>
    </row>
    <row r="672" ht="28.5" customHeight="1">
      <c r="A672" s="317" t="n">
        <v>46334</v>
      </c>
      <c r="B672" t="inlineStr">
        <is>
          <t>GERAL</t>
        </is>
      </c>
      <c r="C672" t="inlineStr">
        <is>
          <t>CMM</t>
        </is>
      </c>
      <c r="D672" t="inlineStr">
        <is>
          <t>IÇAMENTO JOIST</t>
        </is>
      </c>
      <c r="F672" s="159">
        <f>IFERROR(INDEX('BASE METAS DIÁRIAS'!$N$2:$S$358,MATCH($A672,'BASE METAS DIÁRIAS'!$A$2:$A$358,0),MOD(ROW()-2,6)+1),"")</f>
        <v/>
      </c>
      <c r="G672" s="159">
        <f>IFERROR(IF(WEEKDAY($A672,2)&lt;=INDEX('BASE METAS DIÁRIAS'!$H$2:$M$358,MATCH($A672,'BASE METAS DIÁRIAS'!$A$2:$A$358,0),MOD(ROW()-2,6)+1),INDEX('BASE METAS DIÁRIAS'!$B$2:$G$358,MATCH($A672,'BASE METAS DIÁRIAS'!$A$2:$A$358,0),MOD(ROW()-2,6)+1),""),"")</f>
        <v/>
      </c>
      <c r="H672" s="159">
        <f>IFERROR(IF(INDEX('CONTROLE PRODUÇÃO POR EMPRESAS'!$B$6:$G$5000,MATCH($A672,'CONTROLE PRODUÇÃO POR EMPRESAS'!$A$6:$A$5000,0),MOD(ROW()-2,6)+1)="","",IFERROR(1*INDEX('CONTROLE PRODUÇÃO POR EMPRESAS'!$B$6:$G$5000,MATCH($A672,'CONTROLE PRODUÇÃO POR EMPRESAS'!$A$6:$A$5000,0),MOD(ROW()-2,6)+1),"")),"")</f>
        <v/>
      </c>
      <c r="I672" s="159">
        <f>IF(OR(NOT(ISNUMBER(G672)),NOT(ISNUMBER(H672))),"",H672-G672)</f>
        <v/>
      </c>
      <c r="J672" s="319">
        <f>IF(OR(NOT(ISNUMBER(G672)),NOT(ISNUMBER(H672)),G672=0),"",I672/G672)</f>
        <v/>
      </c>
      <c r="K672" s="319">
        <f>IF(OR(NOT(ISNUMBER(G672)),NOT(ISNUMBER(H672)),G672=0),"",H672/G672)</f>
        <v/>
      </c>
      <c r="L672">
        <f>IF(NOT(ISNUMBER(G672)),"SEM META",IF(G672=0,"SEM META",IF(NOT(ISNUMBER(H672)),"SEM APONTAMENTO",IF(H672&gt;=G672,"VERDE",IF(H672&gt;=G672*0.9,"AMARELO","VERMELHO")))))</f>
        <v/>
      </c>
      <c r="M672" s="162" t="n"/>
      <c r="N672" s="162" t="n"/>
      <c r="O672" s="162" t="n"/>
      <c r="P672" s="162" t="n"/>
      <c r="Q672" s="320" t="n"/>
      <c r="R672" s="162" t="inlineStr">
        <is>
          <t>CONTROLE PRODUÇÃO POR EMPRESAS!F117</t>
        </is>
      </c>
    </row>
    <row r="673" ht="28.5" customHeight="1">
      <c r="A673" s="317" t="n">
        <v>46334</v>
      </c>
      <c r="B673" t="inlineStr">
        <is>
          <t>GERAL</t>
        </is>
      </c>
      <c r="C673" t="inlineStr">
        <is>
          <t>CMM</t>
        </is>
      </c>
      <c r="D673" t="inlineStr">
        <is>
          <t>VIGAS</t>
        </is>
      </c>
      <c r="F673" s="159">
        <f>IFERROR(INDEX('BASE METAS DIÁRIAS'!$N$2:$S$358,MATCH($A673,'BASE METAS DIÁRIAS'!$A$2:$A$358,0),MOD(ROW()-2,6)+1),"")</f>
        <v/>
      </c>
      <c r="G673" s="159">
        <f>IFERROR(IF(WEEKDAY($A673,2)&lt;=INDEX('BASE METAS DIÁRIAS'!$H$2:$M$358,MATCH($A673,'BASE METAS DIÁRIAS'!$A$2:$A$358,0),MOD(ROW()-2,6)+1),INDEX('BASE METAS DIÁRIAS'!$B$2:$G$358,MATCH($A673,'BASE METAS DIÁRIAS'!$A$2:$A$358,0),MOD(ROW()-2,6)+1),""),"")</f>
        <v/>
      </c>
      <c r="H673" s="159">
        <f>IFERROR(IF(INDEX('CONTROLE PRODUÇÃO POR EMPRESAS'!$B$6:$G$5000,MATCH($A673,'CONTROLE PRODUÇÃO POR EMPRESAS'!$A$6:$A$5000,0),MOD(ROW()-2,6)+1)="","",IFERROR(1*INDEX('CONTROLE PRODUÇÃO POR EMPRESAS'!$B$6:$G$5000,MATCH($A673,'CONTROLE PRODUÇÃO POR EMPRESAS'!$A$6:$A$5000,0),MOD(ROW()-2,6)+1),"")),"")</f>
        <v/>
      </c>
      <c r="I673" s="159">
        <f>IF(OR(NOT(ISNUMBER(G673)),NOT(ISNUMBER(H673))),"",H673-G673)</f>
        <v/>
      </c>
      <c r="J673" s="319">
        <f>IF(OR(NOT(ISNUMBER(G673)),NOT(ISNUMBER(H673)),G673=0),"",I673/G673)</f>
        <v/>
      </c>
      <c r="K673" s="319">
        <f>IF(OR(NOT(ISNUMBER(G673)),NOT(ISNUMBER(H673)),G673=0),"",H673/G673)</f>
        <v/>
      </c>
      <c r="L673">
        <f>IF(NOT(ISNUMBER(G673)),"SEM META",IF(G673=0,"SEM META",IF(NOT(ISNUMBER(H673)),"SEM APONTAMENTO",IF(H673&gt;=G673,"VERDE",IF(H673&gt;=G673*0.9,"AMARELO","VERMELHO")))))</f>
        <v/>
      </c>
      <c r="M673" s="162" t="n"/>
      <c r="N673" s="162" t="n"/>
      <c r="O673" s="162" t="n"/>
      <c r="P673" s="162" t="n"/>
      <c r="Q673" s="320" t="n"/>
      <c r="R673" s="162" t="inlineStr">
        <is>
          <t>CONTROLE PRODUÇÃO POR EMPRESAS!G117</t>
        </is>
      </c>
    </row>
    <row r="674" ht="28.5" customHeight="1">
      <c r="A674" s="317" t="n">
        <v>46335</v>
      </c>
      <c r="B674" t="inlineStr">
        <is>
          <t>GERAL</t>
        </is>
      </c>
      <c r="C674" t="inlineStr">
        <is>
          <t>EJ</t>
        </is>
      </c>
      <c r="D674" t="inlineStr">
        <is>
          <t>PREMONTAGEM</t>
        </is>
      </c>
      <c r="F674" s="159">
        <f>IFERROR(INDEX('BASE METAS DIÁRIAS'!$N$2:$S$358,MATCH($A674,'BASE METAS DIÁRIAS'!$A$2:$A$358,0),MOD(ROW()-2,6)+1),"")</f>
        <v/>
      </c>
      <c r="G674" s="159">
        <f>IFERROR(IF(WEEKDAY($A674,2)&lt;=INDEX('BASE METAS DIÁRIAS'!$H$2:$M$358,MATCH($A674,'BASE METAS DIÁRIAS'!$A$2:$A$358,0),MOD(ROW()-2,6)+1),INDEX('BASE METAS DIÁRIAS'!$B$2:$G$358,MATCH($A674,'BASE METAS DIÁRIAS'!$A$2:$A$358,0),MOD(ROW()-2,6)+1),""),"")</f>
        <v/>
      </c>
      <c r="H674" s="159">
        <f>IFERROR(IF(INDEX('CONTROLE PRODUÇÃO POR EMPRESAS'!$B$6:$G$5000,MATCH($A674,'CONTROLE PRODUÇÃO POR EMPRESAS'!$A$6:$A$5000,0),MOD(ROW()-2,6)+1)="","",IFERROR(1*INDEX('CONTROLE PRODUÇÃO POR EMPRESAS'!$B$6:$G$5000,MATCH($A674,'CONTROLE PRODUÇÃO POR EMPRESAS'!$A$6:$A$5000,0),MOD(ROW()-2,6)+1),"")),"")</f>
        <v/>
      </c>
      <c r="I674" s="159">
        <f>IF(OR(NOT(ISNUMBER(G674)),NOT(ISNUMBER(H674))),"",H674-G674)</f>
        <v/>
      </c>
      <c r="J674" s="319">
        <f>IF(OR(NOT(ISNUMBER(G674)),NOT(ISNUMBER(H674)),G674=0),"",I674/G674)</f>
        <v/>
      </c>
      <c r="K674" s="319">
        <f>IF(OR(NOT(ISNUMBER(G674)),NOT(ISNUMBER(H674)),G674=0),"",H674/G674)</f>
        <v/>
      </c>
      <c r="L674">
        <f>IF(NOT(ISNUMBER(G674)),"SEM META",IF(G674=0,"SEM META",IF(NOT(ISNUMBER(H674)),"SEM APONTAMENTO",IF(H674&gt;=G674,"VERDE",IF(H674&gt;=G674*0.9,"AMARELO","VERMELHO")))))</f>
        <v/>
      </c>
      <c r="M674" s="162" t="n"/>
      <c r="N674" s="162" t="n"/>
      <c r="O674" s="162" t="n"/>
      <c r="P674" s="162" t="n"/>
      <c r="Q674" s="320" t="n"/>
      <c r="R674" s="162" t="inlineStr">
        <is>
          <t>CONTROLE PRODUÇÃO POR EMPRESAS!B118</t>
        </is>
      </c>
    </row>
    <row r="675" ht="28.5" customHeight="1">
      <c r="A675" s="317" t="n">
        <v>46335</v>
      </c>
      <c r="B675" t="inlineStr">
        <is>
          <t>GERAL</t>
        </is>
      </c>
      <c r="C675" t="inlineStr">
        <is>
          <t>EJ</t>
        </is>
      </c>
      <c r="D675" t="inlineStr">
        <is>
          <t>IÇAMENTO JOIST</t>
        </is>
      </c>
      <c r="F675" s="159">
        <f>IFERROR(INDEX('BASE METAS DIÁRIAS'!$N$2:$S$358,MATCH($A675,'BASE METAS DIÁRIAS'!$A$2:$A$358,0),MOD(ROW()-2,6)+1),"")</f>
        <v/>
      </c>
      <c r="G675" s="159">
        <f>IFERROR(IF(WEEKDAY($A675,2)&lt;=INDEX('BASE METAS DIÁRIAS'!$H$2:$M$358,MATCH($A675,'BASE METAS DIÁRIAS'!$A$2:$A$358,0),MOD(ROW()-2,6)+1),INDEX('BASE METAS DIÁRIAS'!$B$2:$G$358,MATCH($A675,'BASE METAS DIÁRIAS'!$A$2:$A$358,0),MOD(ROW()-2,6)+1),""),"")</f>
        <v/>
      </c>
      <c r="H675" s="159">
        <f>IFERROR(IF(INDEX('CONTROLE PRODUÇÃO POR EMPRESAS'!$B$6:$G$5000,MATCH($A675,'CONTROLE PRODUÇÃO POR EMPRESAS'!$A$6:$A$5000,0),MOD(ROW()-2,6)+1)="","",IFERROR(1*INDEX('CONTROLE PRODUÇÃO POR EMPRESAS'!$B$6:$G$5000,MATCH($A675,'CONTROLE PRODUÇÃO POR EMPRESAS'!$A$6:$A$5000,0),MOD(ROW()-2,6)+1),"")),"")</f>
        <v/>
      </c>
      <c r="I675" s="159">
        <f>IF(OR(NOT(ISNUMBER(G675)),NOT(ISNUMBER(H675))),"",H675-G675)</f>
        <v/>
      </c>
      <c r="J675" s="319">
        <f>IF(OR(NOT(ISNUMBER(G675)),NOT(ISNUMBER(H675)),G675=0),"",I675/G675)</f>
        <v/>
      </c>
      <c r="K675" s="319">
        <f>IF(OR(NOT(ISNUMBER(G675)),NOT(ISNUMBER(H675)),G675=0),"",H675/G675)</f>
        <v/>
      </c>
      <c r="L675">
        <f>IF(NOT(ISNUMBER(G675)),"SEM META",IF(G675=0,"SEM META",IF(NOT(ISNUMBER(H675)),"SEM APONTAMENTO",IF(H675&gt;=G675,"VERDE",IF(H675&gt;=G675*0.9,"AMARELO","VERMELHO")))))</f>
        <v/>
      </c>
      <c r="M675" s="162" t="n"/>
      <c r="N675" s="162" t="n"/>
      <c r="O675" s="162" t="n"/>
      <c r="P675" s="162" t="n"/>
      <c r="Q675" s="320" t="n"/>
      <c r="R675" s="162" t="inlineStr">
        <is>
          <t>CONTROLE PRODUÇÃO POR EMPRESAS!C118</t>
        </is>
      </c>
    </row>
    <row r="676" ht="28.5" customHeight="1">
      <c r="A676" s="317" t="n">
        <v>46335</v>
      </c>
      <c r="B676" t="inlineStr">
        <is>
          <t>GERAL</t>
        </is>
      </c>
      <c r="C676" t="inlineStr">
        <is>
          <t>EJ</t>
        </is>
      </c>
      <c r="D676" t="inlineStr">
        <is>
          <t>VIGAS</t>
        </is>
      </c>
      <c r="F676" s="159">
        <f>IFERROR(INDEX('BASE METAS DIÁRIAS'!$N$2:$S$358,MATCH($A676,'BASE METAS DIÁRIAS'!$A$2:$A$358,0),MOD(ROW()-2,6)+1),"")</f>
        <v/>
      </c>
      <c r="G676" s="159">
        <f>IFERROR(IF(WEEKDAY($A676,2)&lt;=INDEX('BASE METAS DIÁRIAS'!$H$2:$M$358,MATCH($A676,'BASE METAS DIÁRIAS'!$A$2:$A$358,0),MOD(ROW()-2,6)+1),INDEX('BASE METAS DIÁRIAS'!$B$2:$G$358,MATCH($A676,'BASE METAS DIÁRIAS'!$A$2:$A$358,0),MOD(ROW()-2,6)+1),""),"")</f>
        <v/>
      </c>
      <c r="H676" s="159">
        <f>IFERROR(IF(INDEX('CONTROLE PRODUÇÃO POR EMPRESAS'!$B$6:$G$5000,MATCH($A676,'CONTROLE PRODUÇÃO POR EMPRESAS'!$A$6:$A$5000,0),MOD(ROW()-2,6)+1)="","",IFERROR(1*INDEX('CONTROLE PRODUÇÃO POR EMPRESAS'!$B$6:$G$5000,MATCH($A676,'CONTROLE PRODUÇÃO POR EMPRESAS'!$A$6:$A$5000,0),MOD(ROW()-2,6)+1),"")),"")</f>
        <v/>
      </c>
      <c r="I676" s="159">
        <f>IF(OR(NOT(ISNUMBER(G676)),NOT(ISNUMBER(H676))),"",H676-G676)</f>
        <v/>
      </c>
      <c r="J676" s="319">
        <f>IF(OR(NOT(ISNUMBER(G676)),NOT(ISNUMBER(H676)),G676=0),"",I676/G676)</f>
        <v/>
      </c>
      <c r="K676" s="319">
        <f>IF(OR(NOT(ISNUMBER(G676)),NOT(ISNUMBER(H676)),G676=0),"",H676/G676)</f>
        <v/>
      </c>
      <c r="L676">
        <f>IF(NOT(ISNUMBER(G676)),"SEM META",IF(G676=0,"SEM META",IF(NOT(ISNUMBER(H676)),"SEM APONTAMENTO",IF(H676&gt;=G676,"VERDE",IF(H676&gt;=G676*0.9,"AMARELO","VERMELHO")))))</f>
        <v/>
      </c>
      <c r="M676" s="162" t="n"/>
      <c r="N676" s="162" t="n"/>
      <c r="O676" s="162" t="n"/>
      <c r="P676" s="162" t="n"/>
      <c r="Q676" s="320" t="n"/>
      <c r="R676" s="162" t="inlineStr">
        <is>
          <t>CONTROLE PRODUÇÃO POR EMPRESAS!D118</t>
        </is>
      </c>
    </row>
    <row r="677" ht="28.5" customHeight="1">
      <c r="A677" s="317" t="n">
        <v>46335</v>
      </c>
      <c r="B677" t="inlineStr">
        <is>
          <t>GERAL</t>
        </is>
      </c>
      <c r="C677" t="inlineStr">
        <is>
          <t>CMM</t>
        </is>
      </c>
      <c r="D677" t="inlineStr">
        <is>
          <t>PREMONTAGEM</t>
        </is>
      </c>
      <c r="F677" s="159">
        <f>IFERROR(INDEX('BASE METAS DIÁRIAS'!$N$2:$S$358,MATCH($A677,'BASE METAS DIÁRIAS'!$A$2:$A$358,0),MOD(ROW()-2,6)+1),"")</f>
        <v/>
      </c>
      <c r="G677" s="159">
        <f>IFERROR(IF(WEEKDAY($A677,2)&lt;=INDEX('BASE METAS DIÁRIAS'!$H$2:$M$358,MATCH($A677,'BASE METAS DIÁRIAS'!$A$2:$A$358,0),MOD(ROW()-2,6)+1),INDEX('BASE METAS DIÁRIAS'!$B$2:$G$358,MATCH($A677,'BASE METAS DIÁRIAS'!$A$2:$A$358,0),MOD(ROW()-2,6)+1),""),"")</f>
        <v/>
      </c>
      <c r="H677" s="159">
        <f>IFERROR(IF(INDEX('CONTROLE PRODUÇÃO POR EMPRESAS'!$B$6:$G$5000,MATCH($A677,'CONTROLE PRODUÇÃO POR EMPRESAS'!$A$6:$A$5000,0),MOD(ROW()-2,6)+1)="","",IFERROR(1*INDEX('CONTROLE PRODUÇÃO POR EMPRESAS'!$B$6:$G$5000,MATCH($A677,'CONTROLE PRODUÇÃO POR EMPRESAS'!$A$6:$A$5000,0),MOD(ROW()-2,6)+1),"")),"")</f>
        <v/>
      </c>
      <c r="I677" s="159">
        <f>IF(OR(NOT(ISNUMBER(G677)),NOT(ISNUMBER(H677))),"",H677-G677)</f>
        <v/>
      </c>
      <c r="J677" s="319">
        <f>IF(OR(NOT(ISNUMBER(G677)),NOT(ISNUMBER(H677)),G677=0),"",I677/G677)</f>
        <v/>
      </c>
      <c r="K677" s="319">
        <f>IF(OR(NOT(ISNUMBER(G677)),NOT(ISNUMBER(H677)),G677=0),"",H677/G677)</f>
        <v/>
      </c>
      <c r="L677">
        <f>IF(NOT(ISNUMBER(G677)),"SEM META",IF(G677=0,"SEM META",IF(NOT(ISNUMBER(H677)),"SEM APONTAMENTO",IF(H677&gt;=G677,"VERDE",IF(H677&gt;=G677*0.9,"AMARELO","VERMELHO")))))</f>
        <v/>
      </c>
      <c r="M677" s="162" t="n"/>
      <c r="N677" s="162" t="n"/>
      <c r="O677" s="162" t="n"/>
      <c r="P677" s="162" t="n"/>
      <c r="Q677" s="320" t="n"/>
      <c r="R677" s="162" t="inlineStr">
        <is>
          <t>CONTROLE PRODUÇÃO POR EMPRESAS!E118</t>
        </is>
      </c>
    </row>
    <row r="678" ht="28.5" customHeight="1">
      <c r="A678" s="317" t="n">
        <v>46335</v>
      </c>
      <c r="B678" t="inlineStr">
        <is>
          <t>GERAL</t>
        </is>
      </c>
      <c r="C678" t="inlineStr">
        <is>
          <t>CMM</t>
        </is>
      </c>
      <c r="D678" t="inlineStr">
        <is>
          <t>IÇAMENTO JOIST</t>
        </is>
      </c>
      <c r="F678" s="159">
        <f>IFERROR(INDEX('BASE METAS DIÁRIAS'!$N$2:$S$358,MATCH($A678,'BASE METAS DIÁRIAS'!$A$2:$A$358,0),MOD(ROW()-2,6)+1),"")</f>
        <v/>
      </c>
      <c r="G678" s="159">
        <f>IFERROR(IF(WEEKDAY($A678,2)&lt;=INDEX('BASE METAS DIÁRIAS'!$H$2:$M$358,MATCH($A678,'BASE METAS DIÁRIAS'!$A$2:$A$358,0),MOD(ROW()-2,6)+1),INDEX('BASE METAS DIÁRIAS'!$B$2:$G$358,MATCH($A678,'BASE METAS DIÁRIAS'!$A$2:$A$358,0),MOD(ROW()-2,6)+1),""),"")</f>
        <v/>
      </c>
      <c r="H678" s="159">
        <f>IFERROR(IF(INDEX('CONTROLE PRODUÇÃO POR EMPRESAS'!$B$6:$G$5000,MATCH($A678,'CONTROLE PRODUÇÃO POR EMPRESAS'!$A$6:$A$5000,0),MOD(ROW()-2,6)+1)="","",IFERROR(1*INDEX('CONTROLE PRODUÇÃO POR EMPRESAS'!$B$6:$G$5000,MATCH($A678,'CONTROLE PRODUÇÃO POR EMPRESAS'!$A$6:$A$5000,0),MOD(ROW()-2,6)+1),"")),"")</f>
        <v/>
      </c>
      <c r="I678" s="159">
        <f>IF(OR(NOT(ISNUMBER(G678)),NOT(ISNUMBER(H678))),"",H678-G678)</f>
        <v/>
      </c>
      <c r="J678" s="319">
        <f>IF(OR(NOT(ISNUMBER(G678)),NOT(ISNUMBER(H678)),G678=0),"",I678/G678)</f>
        <v/>
      </c>
      <c r="K678" s="319">
        <f>IF(OR(NOT(ISNUMBER(G678)),NOT(ISNUMBER(H678)),G678=0),"",H678/G678)</f>
        <v/>
      </c>
      <c r="L678">
        <f>IF(NOT(ISNUMBER(G678)),"SEM META",IF(G678=0,"SEM META",IF(NOT(ISNUMBER(H678)),"SEM APONTAMENTO",IF(H678&gt;=G678,"VERDE",IF(H678&gt;=G678*0.9,"AMARELO","VERMELHO")))))</f>
        <v/>
      </c>
      <c r="M678" s="162" t="n"/>
      <c r="N678" s="162" t="n"/>
      <c r="O678" s="162" t="n"/>
      <c r="P678" s="162" t="n"/>
      <c r="Q678" s="320" t="n"/>
      <c r="R678" s="162" t="inlineStr">
        <is>
          <t>CONTROLE PRODUÇÃO POR EMPRESAS!F118</t>
        </is>
      </c>
    </row>
    <row r="679" ht="28.5" customHeight="1">
      <c r="A679" s="317" t="n">
        <v>46335</v>
      </c>
      <c r="B679" t="inlineStr">
        <is>
          <t>GERAL</t>
        </is>
      </c>
      <c r="C679" t="inlineStr">
        <is>
          <t>CMM</t>
        </is>
      </c>
      <c r="D679" t="inlineStr">
        <is>
          <t>VIGAS</t>
        </is>
      </c>
      <c r="F679" s="159">
        <f>IFERROR(INDEX('BASE METAS DIÁRIAS'!$N$2:$S$358,MATCH($A679,'BASE METAS DIÁRIAS'!$A$2:$A$358,0),MOD(ROW()-2,6)+1),"")</f>
        <v/>
      </c>
      <c r="G679" s="159">
        <f>IFERROR(IF(WEEKDAY($A679,2)&lt;=INDEX('BASE METAS DIÁRIAS'!$H$2:$M$358,MATCH($A679,'BASE METAS DIÁRIAS'!$A$2:$A$358,0),MOD(ROW()-2,6)+1),INDEX('BASE METAS DIÁRIAS'!$B$2:$G$358,MATCH($A679,'BASE METAS DIÁRIAS'!$A$2:$A$358,0),MOD(ROW()-2,6)+1),""),"")</f>
        <v/>
      </c>
      <c r="H679" s="159">
        <f>IFERROR(IF(INDEX('CONTROLE PRODUÇÃO POR EMPRESAS'!$B$6:$G$5000,MATCH($A679,'CONTROLE PRODUÇÃO POR EMPRESAS'!$A$6:$A$5000,0),MOD(ROW()-2,6)+1)="","",IFERROR(1*INDEX('CONTROLE PRODUÇÃO POR EMPRESAS'!$B$6:$G$5000,MATCH($A679,'CONTROLE PRODUÇÃO POR EMPRESAS'!$A$6:$A$5000,0),MOD(ROW()-2,6)+1),"")),"")</f>
        <v/>
      </c>
      <c r="I679" s="159">
        <f>IF(OR(NOT(ISNUMBER(G679)),NOT(ISNUMBER(H679))),"",H679-G679)</f>
        <v/>
      </c>
      <c r="J679" s="319">
        <f>IF(OR(NOT(ISNUMBER(G679)),NOT(ISNUMBER(H679)),G679=0),"",I679/G679)</f>
        <v/>
      </c>
      <c r="K679" s="319">
        <f>IF(OR(NOT(ISNUMBER(G679)),NOT(ISNUMBER(H679)),G679=0),"",H679/G679)</f>
        <v/>
      </c>
      <c r="L679">
        <f>IF(NOT(ISNUMBER(G679)),"SEM META",IF(G679=0,"SEM META",IF(NOT(ISNUMBER(H679)),"SEM APONTAMENTO",IF(H679&gt;=G679,"VERDE",IF(H679&gt;=G679*0.9,"AMARELO","VERMELHO")))))</f>
        <v/>
      </c>
      <c r="M679" s="162" t="n"/>
      <c r="N679" s="162" t="n"/>
      <c r="O679" s="162" t="n"/>
      <c r="P679" s="162" t="n"/>
      <c r="Q679" s="320" t="n"/>
      <c r="R679" s="162" t="inlineStr">
        <is>
          <t>CONTROLE PRODUÇÃO POR EMPRESAS!G118</t>
        </is>
      </c>
    </row>
    <row r="680" ht="28.5" customHeight="1">
      <c r="A680" s="317" t="n">
        <v>46336</v>
      </c>
      <c r="B680" t="inlineStr">
        <is>
          <t>GERAL</t>
        </is>
      </c>
      <c r="C680" t="inlineStr">
        <is>
          <t>EJ</t>
        </is>
      </c>
      <c r="D680" t="inlineStr">
        <is>
          <t>PREMONTAGEM</t>
        </is>
      </c>
      <c r="F680" s="159">
        <f>IFERROR(INDEX('BASE METAS DIÁRIAS'!$N$2:$S$358,MATCH($A680,'BASE METAS DIÁRIAS'!$A$2:$A$358,0),MOD(ROW()-2,6)+1),"")</f>
        <v/>
      </c>
      <c r="G680" s="159">
        <f>IFERROR(IF(WEEKDAY($A680,2)&lt;=INDEX('BASE METAS DIÁRIAS'!$H$2:$M$358,MATCH($A680,'BASE METAS DIÁRIAS'!$A$2:$A$358,0),MOD(ROW()-2,6)+1),INDEX('BASE METAS DIÁRIAS'!$B$2:$G$358,MATCH($A680,'BASE METAS DIÁRIAS'!$A$2:$A$358,0),MOD(ROW()-2,6)+1),""),"")</f>
        <v/>
      </c>
      <c r="H680" s="159">
        <f>IFERROR(IF(INDEX('CONTROLE PRODUÇÃO POR EMPRESAS'!$B$6:$G$5000,MATCH($A680,'CONTROLE PRODUÇÃO POR EMPRESAS'!$A$6:$A$5000,0),MOD(ROW()-2,6)+1)="","",IFERROR(1*INDEX('CONTROLE PRODUÇÃO POR EMPRESAS'!$B$6:$G$5000,MATCH($A680,'CONTROLE PRODUÇÃO POR EMPRESAS'!$A$6:$A$5000,0),MOD(ROW()-2,6)+1),"")),"")</f>
        <v/>
      </c>
      <c r="I680" s="159">
        <f>IF(OR(NOT(ISNUMBER(G680)),NOT(ISNUMBER(H680))),"",H680-G680)</f>
        <v/>
      </c>
      <c r="J680" s="319">
        <f>IF(OR(NOT(ISNUMBER(G680)),NOT(ISNUMBER(H680)),G680=0),"",I680/G680)</f>
        <v/>
      </c>
      <c r="K680" s="319">
        <f>IF(OR(NOT(ISNUMBER(G680)),NOT(ISNUMBER(H680)),G680=0),"",H680/G680)</f>
        <v/>
      </c>
      <c r="L680">
        <f>IF(NOT(ISNUMBER(G680)),"SEM META",IF(G680=0,"SEM META",IF(NOT(ISNUMBER(H680)),"SEM APONTAMENTO",IF(H680&gt;=G680,"VERDE",IF(H680&gt;=G680*0.9,"AMARELO","VERMELHO")))))</f>
        <v/>
      </c>
      <c r="M680" s="162" t="n"/>
      <c r="N680" s="162" t="n"/>
      <c r="O680" s="162" t="n"/>
      <c r="P680" s="162" t="n"/>
      <c r="Q680" s="320" t="n"/>
      <c r="R680" s="162" t="inlineStr">
        <is>
          <t>CONTROLE PRODUÇÃO POR EMPRESAS!B119</t>
        </is>
      </c>
    </row>
    <row r="681" ht="28.5" customHeight="1">
      <c r="A681" s="317" t="n">
        <v>46336</v>
      </c>
      <c r="B681" t="inlineStr">
        <is>
          <t>GERAL</t>
        </is>
      </c>
      <c r="C681" t="inlineStr">
        <is>
          <t>EJ</t>
        </is>
      </c>
      <c r="D681" t="inlineStr">
        <is>
          <t>IÇAMENTO JOIST</t>
        </is>
      </c>
      <c r="F681" s="159">
        <f>IFERROR(INDEX('BASE METAS DIÁRIAS'!$N$2:$S$358,MATCH($A681,'BASE METAS DIÁRIAS'!$A$2:$A$358,0),MOD(ROW()-2,6)+1),"")</f>
        <v/>
      </c>
      <c r="G681" s="159">
        <f>IFERROR(IF(WEEKDAY($A681,2)&lt;=INDEX('BASE METAS DIÁRIAS'!$H$2:$M$358,MATCH($A681,'BASE METAS DIÁRIAS'!$A$2:$A$358,0),MOD(ROW()-2,6)+1),INDEX('BASE METAS DIÁRIAS'!$B$2:$G$358,MATCH($A681,'BASE METAS DIÁRIAS'!$A$2:$A$358,0),MOD(ROW()-2,6)+1),""),"")</f>
        <v/>
      </c>
      <c r="H681" s="159">
        <f>IFERROR(IF(INDEX('CONTROLE PRODUÇÃO POR EMPRESAS'!$B$6:$G$5000,MATCH($A681,'CONTROLE PRODUÇÃO POR EMPRESAS'!$A$6:$A$5000,0),MOD(ROW()-2,6)+1)="","",IFERROR(1*INDEX('CONTROLE PRODUÇÃO POR EMPRESAS'!$B$6:$G$5000,MATCH($A681,'CONTROLE PRODUÇÃO POR EMPRESAS'!$A$6:$A$5000,0),MOD(ROW()-2,6)+1),"")),"")</f>
        <v/>
      </c>
      <c r="I681" s="159">
        <f>IF(OR(NOT(ISNUMBER(G681)),NOT(ISNUMBER(H681))),"",H681-G681)</f>
        <v/>
      </c>
      <c r="J681" s="319">
        <f>IF(OR(NOT(ISNUMBER(G681)),NOT(ISNUMBER(H681)),G681=0),"",I681/G681)</f>
        <v/>
      </c>
      <c r="K681" s="319">
        <f>IF(OR(NOT(ISNUMBER(G681)),NOT(ISNUMBER(H681)),G681=0),"",H681/G681)</f>
        <v/>
      </c>
      <c r="L681">
        <f>IF(NOT(ISNUMBER(G681)),"SEM META",IF(G681=0,"SEM META",IF(NOT(ISNUMBER(H681)),"SEM APONTAMENTO",IF(H681&gt;=G681,"VERDE",IF(H681&gt;=G681*0.9,"AMARELO","VERMELHO")))))</f>
        <v/>
      </c>
      <c r="M681" s="162" t="n"/>
      <c r="N681" s="162" t="n"/>
      <c r="O681" s="162" t="n"/>
      <c r="P681" s="162" t="n"/>
      <c r="Q681" s="320" t="n"/>
      <c r="R681" s="162" t="inlineStr">
        <is>
          <t>CONTROLE PRODUÇÃO POR EMPRESAS!C119</t>
        </is>
      </c>
    </row>
    <row r="682" ht="28.5" customHeight="1">
      <c r="A682" s="317" t="n">
        <v>46336</v>
      </c>
      <c r="B682" t="inlineStr">
        <is>
          <t>GERAL</t>
        </is>
      </c>
      <c r="C682" t="inlineStr">
        <is>
          <t>EJ</t>
        </is>
      </c>
      <c r="D682" t="inlineStr">
        <is>
          <t>VIGAS</t>
        </is>
      </c>
      <c r="F682" s="159">
        <f>IFERROR(INDEX('BASE METAS DIÁRIAS'!$N$2:$S$358,MATCH($A682,'BASE METAS DIÁRIAS'!$A$2:$A$358,0),MOD(ROW()-2,6)+1),"")</f>
        <v/>
      </c>
      <c r="G682" s="159">
        <f>IFERROR(IF(WEEKDAY($A682,2)&lt;=INDEX('BASE METAS DIÁRIAS'!$H$2:$M$358,MATCH($A682,'BASE METAS DIÁRIAS'!$A$2:$A$358,0),MOD(ROW()-2,6)+1),INDEX('BASE METAS DIÁRIAS'!$B$2:$G$358,MATCH($A682,'BASE METAS DIÁRIAS'!$A$2:$A$358,0),MOD(ROW()-2,6)+1),""),"")</f>
        <v/>
      </c>
      <c r="H682" s="159">
        <f>IFERROR(IF(INDEX('CONTROLE PRODUÇÃO POR EMPRESAS'!$B$6:$G$5000,MATCH($A682,'CONTROLE PRODUÇÃO POR EMPRESAS'!$A$6:$A$5000,0),MOD(ROW()-2,6)+1)="","",IFERROR(1*INDEX('CONTROLE PRODUÇÃO POR EMPRESAS'!$B$6:$G$5000,MATCH($A682,'CONTROLE PRODUÇÃO POR EMPRESAS'!$A$6:$A$5000,0),MOD(ROW()-2,6)+1),"")),"")</f>
        <v/>
      </c>
      <c r="I682" s="159">
        <f>IF(OR(NOT(ISNUMBER(G682)),NOT(ISNUMBER(H682))),"",H682-G682)</f>
        <v/>
      </c>
      <c r="J682" s="319">
        <f>IF(OR(NOT(ISNUMBER(G682)),NOT(ISNUMBER(H682)),G682=0),"",I682/G682)</f>
        <v/>
      </c>
      <c r="K682" s="319">
        <f>IF(OR(NOT(ISNUMBER(G682)),NOT(ISNUMBER(H682)),G682=0),"",H682/G682)</f>
        <v/>
      </c>
      <c r="L682">
        <f>IF(NOT(ISNUMBER(G682)),"SEM META",IF(G682=0,"SEM META",IF(NOT(ISNUMBER(H682)),"SEM APONTAMENTO",IF(H682&gt;=G682,"VERDE",IF(H682&gt;=G682*0.9,"AMARELO","VERMELHO")))))</f>
        <v/>
      </c>
      <c r="M682" s="162" t="n"/>
      <c r="N682" s="162" t="n"/>
      <c r="O682" s="162" t="n"/>
      <c r="P682" s="162" t="n"/>
      <c r="Q682" s="320" t="n"/>
      <c r="R682" s="162" t="inlineStr">
        <is>
          <t>CONTROLE PRODUÇÃO POR EMPRESAS!D119</t>
        </is>
      </c>
    </row>
    <row r="683" ht="28.5" customHeight="1">
      <c r="A683" s="317" t="n">
        <v>46336</v>
      </c>
      <c r="B683" t="inlineStr">
        <is>
          <t>GERAL</t>
        </is>
      </c>
      <c r="C683" t="inlineStr">
        <is>
          <t>CMM</t>
        </is>
      </c>
      <c r="D683" t="inlineStr">
        <is>
          <t>PREMONTAGEM</t>
        </is>
      </c>
      <c r="F683" s="159">
        <f>IFERROR(INDEX('BASE METAS DIÁRIAS'!$N$2:$S$358,MATCH($A683,'BASE METAS DIÁRIAS'!$A$2:$A$358,0),MOD(ROW()-2,6)+1),"")</f>
        <v/>
      </c>
      <c r="G683" s="159">
        <f>IFERROR(IF(WEEKDAY($A683,2)&lt;=INDEX('BASE METAS DIÁRIAS'!$H$2:$M$358,MATCH($A683,'BASE METAS DIÁRIAS'!$A$2:$A$358,0),MOD(ROW()-2,6)+1),INDEX('BASE METAS DIÁRIAS'!$B$2:$G$358,MATCH($A683,'BASE METAS DIÁRIAS'!$A$2:$A$358,0),MOD(ROW()-2,6)+1),""),"")</f>
        <v/>
      </c>
      <c r="H683" s="159">
        <f>IFERROR(IF(INDEX('CONTROLE PRODUÇÃO POR EMPRESAS'!$B$6:$G$5000,MATCH($A683,'CONTROLE PRODUÇÃO POR EMPRESAS'!$A$6:$A$5000,0),MOD(ROW()-2,6)+1)="","",IFERROR(1*INDEX('CONTROLE PRODUÇÃO POR EMPRESAS'!$B$6:$G$5000,MATCH($A683,'CONTROLE PRODUÇÃO POR EMPRESAS'!$A$6:$A$5000,0),MOD(ROW()-2,6)+1),"")),"")</f>
        <v/>
      </c>
      <c r="I683" s="159">
        <f>IF(OR(NOT(ISNUMBER(G683)),NOT(ISNUMBER(H683))),"",H683-G683)</f>
        <v/>
      </c>
      <c r="J683" s="319">
        <f>IF(OR(NOT(ISNUMBER(G683)),NOT(ISNUMBER(H683)),G683=0),"",I683/G683)</f>
        <v/>
      </c>
      <c r="K683" s="319">
        <f>IF(OR(NOT(ISNUMBER(G683)),NOT(ISNUMBER(H683)),G683=0),"",H683/G683)</f>
        <v/>
      </c>
      <c r="L683">
        <f>IF(NOT(ISNUMBER(G683)),"SEM META",IF(G683=0,"SEM META",IF(NOT(ISNUMBER(H683)),"SEM APONTAMENTO",IF(H683&gt;=G683,"VERDE",IF(H683&gt;=G683*0.9,"AMARELO","VERMELHO")))))</f>
        <v/>
      </c>
      <c r="M683" s="162" t="n"/>
      <c r="N683" s="162" t="n"/>
      <c r="O683" s="162" t="n"/>
      <c r="P683" s="162" t="n"/>
      <c r="Q683" s="320" t="n"/>
      <c r="R683" s="162" t="inlineStr">
        <is>
          <t>CONTROLE PRODUÇÃO POR EMPRESAS!E119</t>
        </is>
      </c>
    </row>
    <row r="684" ht="28.5" customHeight="1">
      <c r="A684" s="317" t="n">
        <v>46336</v>
      </c>
      <c r="B684" t="inlineStr">
        <is>
          <t>GERAL</t>
        </is>
      </c>
      <c r="C684" t="inlineStr">
        <is>
          <t>CMM</t>
        </is>
      </c>
      <c r="D684" t="inlineStr">
        <is>
          <t>IÇAMENTO JOIST</t>
        </is>
      </c>
      <c r="F684" s="159">
        <f>IFERROR(INDEX('BASE METAS DIÁRIAS'!$N$2:$S$358,MATCH($A684,'BASE METAS DIÁRIAS'!$A$2:$A$358,0),MOD(ROW()-2,6)+1),"")</f>
        <v/>
      </c>
      <c r="G684" s="159">
        <f>IFERROR(IF(WEEKDAY($A684,2)&lt;=INDEX('BASE METAS DIÁRIAS'!$H$2:$M$358,MATCH($A684,'BASE METAS DIÁRIAS'!$A$2:$A$358,0),MOD(ROW()-2,6)+1),INDEX('BASE METAS DIÁRIAS'!$B$2:$G$358,MATCH($A684,'BASE METAS DIÁRIAS'!$A$2:$A$358,0),MOD(ROW()-2,6)+1),""),"")</f>
        <v/>
      </c>
      <c r="H684" s="159">
        <f>IFERROR(IF(INDEX('CONTROLE PRODUÇÃO POR EMPRESAS'!$B$6:$G$5000,MATCH($A684,'CONTROLE PRODUÇÃO POR EMPRESAS'!$A$6:$A$5000,0),MOD(ROW()-2,6)+1)="","",IFERROR(1*INDEX('CONTROLE PRODUÇÃO POR EMPRESAS'!$B$6:$G$5000,MATCH($A684,'CONTROLE PRODUÇÃO POR EMPRESAS'!$A$6:$A$5000,0),MOD(ROW()-2,6)+1),"")),"")</f>
        <v/>
      </c>
      <c r="I684" s="159">
        <f>IF(OR(NOT(ISNUMBER(G684)),NOT(ISNUMBER(H684))),"",H684-G684)</f>
        <v/>
      </c>
      <c r="J684" s="319">
        <f>IF(OR(NOT(ISNUMBER(G684)),NOT(ISNUMBER(H684)),G684=0),"",I684/G684)</f>
        <v/>
      </c>
      <c r="K684" s="319">
        <f>IF(OR(NOT(ISNUMBER(G684)),NOT(ISNUMBER(H684)),G684=0),"",H684/G684)</f>
        <v/>
      </c>
      <c r="L684">
        <f>IF(NOT(ISNUMBER(G684)),"SEM META",IF(G684=0,"SEM META",IF(NOT(ISNUMBER(H684)),"SEM APONTAMENTO",IF(H684&gt;=G684,"VERDE",IF(H684&gt;=G684*0.9,"AMARELO","VERMELHO")))))</f>
        <v/>
      </c>
      <c r="M684" s="162" t="n"/>
      <c r="N684" s="162" t="n"/>
      <c r="O684" s="162" t="n"/>
      <c r="P684" s="162" t="n"/>
      <c r="Q684" s="320" t="n"/>
      <c r="R684" s="162" t="inlineStr">
        <is>
          <t>CONTROLE PRODUÇÃO POR EMPRESAS!F119</t>
        </is>
      </c>
    </row>
    <row r="685" ht="28.5" customHeight="1">
      <c r="A685" s="317" t="n">
        <v>46336</v>
      </c>
      <c r="B685" t="inlineStr">
        <is>
          <t>GERAL</t>
        </is>
      </c>
      <c r="C685" t="inlineStr">
        <is>
          <t>CMM</t>
        </is>
      </c>
      <c r="D685" t="inlineStr">
        <is>
          <t>VIGAS</t>
        </is>
      </c>
      <c r="F685" s="159">
        <f>IFERROR(INDEX('BASE METAS DIÁRIAS'!$N$2:$S$358,MATCH($A685,'BASE METAS DIÁRIAS'!$A$2:$A$358,0),MOD(ROW()-2,6)+1),"")</f>
        <v/>
      </c>
      <c r="G685" s="159">
        <f>IFERROR(IF(WEEKDAY($A685,2)&lt;=INDEX('BASE METAS DIÁRIAS'!$H$2:$M$358,MATCH($A685,'BASE METAS DIÁRIAS'!$A$2:$A$358,0),MOD(ROW()-2,6)+1),INDEX('BASE METAS DIÁRIAS'!$B$2:$G$358,MATCH($A685,'BASE METAS DIÁRIAS'!$A$2:$A$358,0),MOD(ROW()-2,6)+1),""),"")</f>
        <v/>
      </c>
      <c r="H685" s="159">
        <f>IFERROR(IF(INDEX('CONTROLE PRODUÇÃO POR EMPRESAS'!$B$6:$G$5000,MATCH($A685,'CONTROLE PRODUÇÃO POR EMPRESAS'!$A$6:$A$5000,0),MOD(ROW()-2,6)+1)="","",IFERROR(1*INDEX('CONTROLE PRODUÇÃO POR EMPRESAS'!$B$6:$G$5000,MATCH($A685,'CONTROLE PRODUÇÃO POR EMPRESAS'!$A$6:$A$5000,0),MOD(ROW()-2,6)+1),"")),"")</f>
        <v/>
      </c>
      <c r="I685" s="159">
        <f>IF(OR(NOT(ISNUMBER(G685)),NOT(ISNUMBER(H685))),"",H685-G685)</f>
        <v/>
      </c>
      <c r="J685" s="319">
        <f>IF(OR(NOT(ISNUMBER(G685)),NOT(ISNUMBER(H685)),G685=0),"",I685/G685)</f>
        <v/>
      </c>
      <c r="K685" s="319">
        <f>IF(OR(NOT(ISNUMBER(G685)),NOT(ISNUMBER(H685)),G685=0),"",H685/G685)</f>
        <v/>
      </c>
      <c r="L685">
        <f>IF(NOT(ISNUMBER(G685)),"SEM META",IF(G685=0,"SEM META",IF(NOT(ISNUMBER(H685)),"SEM APONTAMENTO",IF(H685&gt;=G685,"VERDE",IF(H685&gt;=G685*0.9,"AMARELO","VERMELHO")))))</f>
        <v/>
      </c>
      <c r="M685" s="162" t="n"/>
      <c r="N685" s="162" t="n"/>
      <c r="O685" s="162" t="n"/>
      <c r="P685" s="162" t="n"/>
      <c r="Q685" s="320" t="n"/>
      <c r="R685" s="162" t="inlineStr">
        <is>
          <t>CONTROLE PRODUÇÃO POR EMPRESAS!G119</t>
        </is>
      </c>
    </row>
    <row r="686" ht="28.5" customHeight="1">
      <c r="A686" s="317" t="n">
        <v>46337</v>
      </c>
      <c r="B686" t="inlineStr">
        <is>
          <t>GERAL</t>
        </is>
      </c>
      <c r="C686" t="inlineStr">
        <is>
          <t>EJ</t>
        </is>
      </c>
      <c r="D686" t="inlineStr">
        <is>
          <t>PREMONTAGEM</t>
        </is>
      </c>
      <c r="F686" s="159">
        <f>IFERROR(INDEX('BASE METAS DIÁRIAS'!$N$2:$S$358,MATCH($A686,'BASE METAS DIÁRIAS'!$A$2:$A$358,0),MOD(ROW()-2,6)+1),"")</f>
        <v/>
      </c>
      <c r="G686" s="159">
        <f>IFERROR(IF(WEEKDAY($A686,2)&lt;=INDEX('BASE METAS DIÁRIAS'!$H$2:$M$358,MATCH($A686,'BASE METAS DIÁRIAS'!$A$2:$A$358,0),MOD(ROW()-2,6)+1),INDEX('BASE METAS DIÁRIAS'!$B$2:$G$358,MATCH($A686,'BASE METAS DIÁRIAS'!$A$2:$A$358,0),MOD(ROW()-2,6)+1),""),"")</f>
        <v/>
      </c>
      <c r="H686" s="159">
        <f>IFERROR(IF(INDEX('CONTROLE PRODUÇÃO POR EMPRESAS'!$B$6:$G$5000,MATCH($A686,'CONTROLE PRODUÇÃO POR EMPRESAS'!$A$6:$A$5000,0),MOD(ROW()-2,6)+1)="","",IFERROR(1*INDEX('CONTROLE PRODUÇÃO POR EMPRESAS'!$B$6:$G$5000,MATCH($A686,'CONTROLE PRODUÇÃO POR EMPRESAS'!$A$6:$A$5000,0),MOD(ROW()-2,6)+1),"")),"")</f>
        <v/>
      </c>
      <c r="I686" s="159">
        <f>IF(OR(NOT(ISNUMBER(G686)),NOT(ISNUMBER(H686))),"",H686-G686)</f>
        <v/>
      </c>
      <c r="J686" s="319">
        <f>IF(OR(NOT(ISNUMBER(G686)),NOT(ISNUMBER(H686)),G686=0),"",I686/G686)</f>
        <v/>
      </c>
      <c r="K686" s="319">
        <f>IF(OR(NOT(ISNUMBER(G686)),NOT(ISNUMBER(H686)),G686=0),"",H686/G686)</f>
        <v/>
      </c>
      <c r="L686">
        <f>IF(NOT(ISNUMBER(G686)),"SEM META",IF(G686=0,"SEM META",IF(NOT(ISNUMBER(H686)),"SEM APONTAMENTO",IF(H686&gt;=G686,"VERDE",IF(H686&gt;=G686*0.9,"AMARELO","VERMELHO")))))</f>
        <v/>
      </c>
      <c r="M686" s="162" t="n"/>
      <c r="N686" s="162" t="n"/>
      <c r="O686" s="162" t="n"/>
      <c r="P686" s="162" t="n"/>
      <c r="Q686" s="320" t="n"/>
      <c r="R686" s="162" t="inlineStr">
        <is>
          <t>CONTROLE PRODUÇÃO POR EMPRESAS!B120</t>
        </is>
      </c>
    </row>
    <row r="687" ht="28.5" customHeight="1">
      <c r="A687" s="317" t="n">
        <v>46337</v>
      </c>
      <c r="B687" t="inlineStr">
        <is>
          <t>GERAL</t>
        </is>
      </c>
      <c r="C687" t="inlineStr">
        <is>
          <t>EJ</t>
        </is>
      </c>
      <c r="D687" t="inlineStr">
        <is>
          <t>IÇAMENTO JOIST</t>
        </is>
      </c>
      <c r="F687" s="159">
        <f>IFERROR(INDEX('BASE METAS DIÁRIAS'!$N$2:$S$358,MATCH($A687,'BASE METAS DIÁRIAS'!$A$2:$A$358,0),MOD(ROW()-2,6)+1),"")</f>
        <v/>
      </c>
      <c r="G687" s="159">
        <f>IFERROR(IF(WEEKDAY($A687,2)&lt;=INDEX('BASE METAS DIÁRIAS'!$H$2:$M$358,MATCH($A687,'BASE METAS DIÁRIAS'!$A$2:$A$358,0),MOD(ROW()-2,6)+1),INDEX('BASE METAS DIÁRIAS'!$B$2:$G$358,MATCH($A687,'BASE METAS DIÁRIAS'!$A$2:$A$358,0),MOD(ROW()-2,6)+1),""),"")</f>
        <v/>
      </c>
      <c r="H687" s="159">
        <f>IFERROR(IF(INDEX('CONTROLE PRODUÇÃO POR EMPRESAS'!$B$6:$G$5000,MATCH($A687,'CONTROLE PRODUÇÃO POR EMPRESAS'!$A$6:$A$5000,0),MOD(ROW()-2,6)+1)="","",IFERROR(1*INDEX('CONTROLE PRODUÇÃO POR EMPRESAS'!$B$6:$G$5000,MATCH($A687,'CONTROLE PRODUÇÃO POR EMPRESAS'!$A$6:$A$5000,0),MOD(ROW()-2,6)+1),"")),"")</f>
        <v/>
      </c>
      <c r="I687" s="159">
        <f>IF(OR(NOT(ISNUMBER(G687)),NOT(ISNUMBER(H687))),"",H687-G687)</f>
        <v/>
      </c>
      <c r="J687" s="319">
        <f>IF(OR(NOT(ISNUMBER(G687)),NOT(ISNUMBER(H687)),G687=0),"",I687/G687)</f>
        <v/>
      </c>
      <c r="K687" s="319">
        <f>IF(OR(NOT(ISNUMBER(G687)),NOT(ISNUMBER(H687)),G687=0),"",H687/G687)</f>
        <v/>
      </c>
      <c r="L687">
        <f>IF(NOT(ISNUMBER(G687)),"SEM META",IF(G687=0,"SEM META",IF(NOT(ISNUMBER(H687)),"SEM APONTAMENTO",IF(H687&gt;=G687,"VERDE",IF(H687&gt;=G687*0.9,"AMARELO","VERMELHO")))))</f>
        <v/>
      </c>
      <c r="M687" s="162" t="n"/>
      <c r="N687" s="162" t="n"/>
      <c r="O687" s="162" t="n"/>
      <c r="P687" s="162" t="n"/>
      <c r="Q687" s="320" t="n"/>
      <c r="R687" s="162" t="inlineStr">
        <is>
          <t>CONTROLE PRODUÇÃO POR EMPRESAS!C120</t>
        </is>
      </c>
    </row>
    <row r="688" ht="28.5" customHeight="1">
      <c r="A688" s="317" t="n">
        <v>46337</v>
      </c>
      <c r="B688" t="inlineStr">
        <is>
          <t>GERAL</t>
        </is>
      </c>
      <c r="C688" t="inlineStr">
        <is>
          <t>EJ</t>
        </is>
      </c>
      <c r="D688" t="inlineStr">
        <is>
          <t>VIGAS</t>
        </is>
      </c>
      <c r="F688" s="159">
        <f>IFERROR(INDEX('BASE METAS DIÁRIAS'!$N$2:$S$358,MATCH($A688,'BASE METAS DIÁRIAS'!$A$2:$A$358,0),MOD(ROW()-2,6)+1),"")</f>
        <v/>
      </c>
      <c r="G688" s="159">
        <f>IFERROR(IF(WEEKDAY($A688,2)&lt;=INDEX('BASE METAS DIÁRIAS'!$H$2:$M$358,MATCH($A688,'BASE METAS DIÁRIAS'!$A$2:$A$358,0),MOD(ROW()-2,6)+1),INDEX('BASE METAS DIÁRIAS'!$B$2:$G$358,MATCH($A688,'BASE METAS DIÁRIAS'!$A$2:$A$358,0),MOD(ROW()-2,6)+1),""),"")</f>
        <v/>
      </c>
      <c r="H688" s="159">
        <f>IFERROR(IF(INDEX('CONTROLE PRODUÇÃO POR EMPRESAS'!$B$6:$G$5000,MATCH($A688,'CONTROLE PRODUÇÃO POR EMPRESAS'!$A$6:$A$5000,0),MOD(ROW()-2,6)+1)="","",IFERROR(1*INDEX('CONTROLE PRODUÇÃO POR EMPRESAS'!$B$6:$G$5000,MATCH($A688,'CONTROLE PRODUÇÃO POR EMPRESAS'!$A$6:$A$5000,0),MOD(ROW()-2,6)+1),"")),"")</f>
        <v/>
      </c>
      <c r="I688" s="159">
        <f>IF(OR(NOT(ISNUMBER(G688)),NOT(ISNUMBER(H688))),"",H688-G688)</f>
        <v/>
      </c>
      <c r="J688" s="319">
        <f>IF(OR(NOT(ISNUMBER(G688)),NOT(ISNUMBER(H688)),G688=0),"",I688/G688)</f>
        <v/>
      </c>
      <c r="K688" s="319">
        <f>IF(OR(NOT(ISNUMBER(G688)),NOT(ISNUMBER(H688)),G688=0),"",H688/G688)</f>
        <v/>
      </c>
      <c r="L688">
        <f>IF(NOT(ISNUMBER(G688)),"SEM META",IF(G688=0,"SEM META",IF(NOT(ISNUMBER(H688)),"SEM APONTAMENTO",IF(H688&gt;=G688,"VERDE",IF(H688&gt;=G688*0.9,"AMARELO","VERMELHO")))))</f>
        <v/>
      </c>
      <c r="M688" s="162" t="n"/>
      <c r="N688" s="162" t="n"/>
      <c r="O688" s="162" t="n"/>
      <c r="P688" s="162" t="n"/>
      <c r="Q688" s="320" t="n"/>
      <c r="R688" s="162" t="inlineStr">
        <is>
          <t>CONTROLE PRODUÇÃO POR EMPRESAS!D120</t>
        </is>
      </c>
    </row>
    <row r="689" ht="28.5" customHeight="1">
      <c r="A689" s="317" t="n">
        <v>46337</v>
      </c>
      <c r="B689" t="inlineStr">
        <is>
          <t>GERAL</t>
        </is>
      </c>
      <c r="C689" t="inlineStr">
        <is>
          <t>CMM</t>
        </is>
      </c>
      <c r="D689" t="inlineStr">
        <is>
          <t>PREMONTAGEM</t>
        </is>
      </c>
      <c r="F689" s="159">
        <f>IFERROR(INDEX('BASE METAS DIÁRIAS'!$N$2:$S$358,MATCH($A689,'BASE METAS DIÁRIAS'!$A$2:$A$358,0),MOD(ROW()-2,6)+1),"")</f>
        <v/>
      </c>
      <c r="G689" s="159">
        <f>IFERROR(IF(WEEKDAY($A689,2)&lt;=INDEX('BASE METAS DIÁRIAS'!$H$2:$M$358,MATCH($A689,'BASE METAS DIÁRIAS'!$A$2:$A$358,0),MOD(ROW()-2,6)+1),INDEX('BASE METAS DIÁRIAS'!$B$2:$G$358,MATCH($A689,'BASE METAS DIÁRIAS'!$A$2:$A$358,0),MOD(ROW()-2,6)+1),""),"")</f>
        <v/>
      </c>
      <c r="H689" s="159">
        <f>IFERROR(IF(INDEX('CONTROLE PRODUÇÃO POR EMPRESAS'!$B$6:$G$5000,MATCH($A689,'CONTROLE PRODUÇÃO POR EMPRESAS'!$A$6:$A$5000,0),MOD(ROW()-2,6)+1)="","",IFERROR(1*INDEX('CONTROLE PRODUÇÃO POR EMPRESAS'!$B$6:$G$5000,MATCH($A689,'CONTROLE PRODUÇÃO POR EMPRESAS'!$A$6:$A$5000,0),MOD(ROW()-2,6)+1),"")),"")</f>
        <v/>
      </c>
      <c r="I689" s="159">
        <f>IF(OR(NOT(ISNUMBER(G689)),NOT(ISNUMBER(H689))),"",H689-G689)</f>
        <v/>
      </c>
      <c r="J689" s="319">
        <f>IF(OR(NOT(ISNUMBER(G689)),NOT(ISNUMBER(H689)),G689=0),"",I689/G689)</f>
        <v/>
      </c>
      <c r="K689" s="319">
        <f>IF(OR(NOT(ISNUMBER(G689)),NOT(ISNUMBER(H689)),G689=0),"",H689/G689)</f>
        <v/>
      </c>
      <c r="L689">
        <f>IF(NOT(ISNUMBER(G689)),"SEM META",IF(G689=0,"SEM META",IF(NOT(ISNUMBER(H689)),"SEM APONTAMENTO",IF(H689&gt;=G689,"VERDE",IF(H689&gt;=G689*0.9,"AMARELO","VERMELHO")))))</f>
        <v/>
      </c>
      <c r="M689" s="162" t="n"/>
      <c r="N689" s="162" t="n"/>
      <c r="O689" s="162" t="n"/>
      <c r="P689" s="162" t="n"/>
      <c r="Q689" s="320" t="n"/>
      <c r="R689" s="162" t="inlineStr">
        <is>
          <t>CONTROLE PRODUÇÃO POR EMPRESAS!E120</t>
        </is>
      </c>
    </row>
    <row r="690" ht="28.5" customHeight="1">
      <c r="A690" s="317" t="n">
        <v>46337</v>
      </c>
      <c r="B690" t="inlineStr">
        <is>
          <t>GERAL</t>
        </is>
      </c>
      <c r="C690" t="inlineStr">
        <is>
          <t>CMM</t>
        </is>
      </c>
      <c r="D690" t="inlineStr">
        <is>
          <t>IÇAMENTO JOIST</t>
        </is>
      </c>
      <c r="F690" s="159">
        <f>IFERROR(INDEX('BASE METAS DIÁRIAS'!$N$2:$S$358,MATCH($A690,'BASE METAS DIÁRIAS'!$A$2:$A$358,0),MOD(ROW()-2,6)+1),"")</f>
        <v/>
      </c>
      <c r="G690" s="159">
        <f>IFERROR(IF(WEEKDAY($A690,2)&lt;=INDEX('BASE METAS DIÁRIAS'!$H$2:$M$358,MATCH($A690,'BASE METAS DIÁRIAS'!$A$2:$A$358,0),MOD(ROW()-2,6)+1),INDEX('BASE METAS DIÁRIAS'!$B$2:$G$358,MATCH($A690,'BASE METAS DIÁRIAS'!$A$2:$A$358,0),MOD(ROW()-2,6)+1),""),"")</f>
        <v/>
      </c>
      <c r="H690" s="159">
        <f>IFERROR(IF(INDEX('CONTROLE PRODUÇÃO POR EMPRESAS'!$B$6:$G$5000,MATCH($A690,'CONTROLE PRODUÇÃO POR EMPRESAS'!$A$6:$A$5000,0),MOD(ROW()-2,6)+1)="","",IFERROR(1*INDEX('CONTROLE PRODUÇÃO POR EMPRESAS'!$B$6:$G$5000,MATCH($A690,'CONTROLE PRODUÇÃO POR EMPRESAS'!$A$6:$A$5000,0),MOD(ROW()-2,6)+1),"")),"")</f>
        <v/>
      </c>
      <c r="I690" s="159">
        <f>IF(OR(NOT(ISNUMBER(G690)),NOT(ISNUMBER(H690))),"",H690-G690)</f>
        <v/>
      </c>
      <c r="J690" s="319">
        <f>IF(OR(NOT(ISNUMBER(G690)),NOT(ISNUMBER(H690)),G690=0),"",I690/G690)</f>
        <v/>
      </c>
      <c r="K690" s="319">
        <f>IF(OR(NOT(ISNUMBER(G690)),NOT(ISNUMBER(H690)),G690=0),"",H690/G690)</f>
        <v/>
      </c>
      <c r="L690">
        <f>IF(NOT(ISNUMBER(G690)),"SEM META",IF(G690=0,"SEM META",IF(NOT(ISNUMBER(H690)),"SEM APONTAMENTO",IF(H690&gt;=G690,"VERDE",IF(H690&gt;=G690*0.9,"AMARELO","VERMELHO")))))</f>
        <v/>
      </c>
      <c r="M690" s="162" t="n"/>
      <c r="N690" s="162" t="n"/>
      <c r="O690" s="162" t="n"/>
      <c r="P690" s="162" t="n"/>
      <c r="Q690" s="320" t="n"/>
      <c r="R690" s="162" t="inlineStr">
        <is>
          <t>CONTROLE PRODUÇÃO POR EMPRESAS!F120</t>
        </is>
      </c>
    </row>
    <row r="691" ht="28.5" customHeight="1">
      <c r="A691" s="317" t="n">
        <v>46337</v>
      </c>
      <c r="B691" t="inlineStr">
        <is>
          <t>GERAL</t>
        </is>
      </c>
      <c r="C691" t="inlineStr">
        <is>
          <t>CMM</t>
        </is>
      </c>
      <c r="D691" t="inlineStr">
        <is>
          <t>VIGAS</t>
        </is>
      </c>
      <c r="F691" s="159">
        <f>IFERROR(INDEX('BASE METAS DIÁRIAS'!$N$2:$S$358,MATCH($A691,'BASE METAS DIÁRIAS'!$A$2:$A$358,0),MOD(ROW()-2,6)+1),"")</f>
        <v/>
      </c>
      <c r="G691" s="159">
        <f>IFERROR(IF(WEEKDAY($A691,2)&lt;=INDEX('BASE METAS DIÁRIAS'!$H$2:$M$358,MATCH($A691,'BASE METAS DIÁRIAS'!$A$2:$A$358,0),MOD(ROW()-2,6)+1),INDEX('BASE METAS DIÁRIAS'!$B$2:$G$358,MATCH($A691,'BASE METAS DIÁRIAS'!$A$2:$A$358,0),MOD(ROW()-2,6)+1),""),"")</f>
        <v/>
      </c>
      <c r="H691" s="159">
        <f>IFERROR(IF(INDEX('CONTROLE PRODUÇÃO POR EMPRESAS'!$B$6:$G$5000,MATCH($A691,'CONTROLE PRODUÇÃO POR EMPRESAS'!$A$6:$A$5000,0),MOD(ROW()-2,6)+1)="","",IFERROR(1*INDEX('CONTROLE PRODUÇÃO POR EMPRESAS'!$B$6:$G$5000,MATCH($A691,'CONTROLE PRODUÇÃO POR EMPRESAS'!$A$6:$A$5000,0),MOD(ROW()-2,6)+1),"")),"")</f>
        <v/>
      </c>
      <c r="I691" s="159">
        <f>IF(OR(NOT(ISNUMBER(G691)),NOT(ISNUMBER(H691))),"",H691-G691)</f>
        <v/>
      </c>
      <c r="J691" s="319">
        <f>IF(OR(NOT(ISNUMBER(G691)),NOT(ISNUMBER(H691)),G691=0),"",I691/G691)</f>
        <v/>
      </c>
      <c r="K691" s="319">
        <f>IF(OR(NOT(ISNUMBER(G691)),NOT(ISNUMBER(H691)),G691=0),"",H691/G691)</f>
        <v/>
      </c>
      <c r="L691">
        <f>IF(NOT(ISNUMBER(G691)),"SEM META",IF(G691=0,"SEM META",IF(NOT(ISNUMBER(H691)),"SEM APONTAMENTO",IF(H691&gt;=G691,"VERDE",IF(H691&gt;=G691*0.9,"AMARELO","VERMELHO")))))</f>
        <v/>
      </c>
      <c r="M691" s="162" t="n"/>
      <c r="N691" s="162" t="n"/>
      <c r="O691" s="162" t="n"/>
      <c r="P691" s="162" t="n"/>
      <c r="Q691" s="320" t="n"/>
      <c r="R691" s="162" t="inlineStr">
        <is>
          <t>CONTROLE PRODUÇÃO POR EMPRESAS!G120</t>
        </is>
      </c>
    </row>
    <row r="692" ht="28.5" customHeight="1">
      <c r="A692" s="317" t="n">
        <v>46338</v>
      </c>
      <c r="B692" t="inlineStr">
        <is>
          <t>GERAL</t>
        </is>
      </c>
      <c r="C692" t="inlineStr">
        <is>
          <t>EJ</t>
        </is>
      </c>
      <c r="D692" t="inlineStr">
        <is>
          <t>PREMONTAGEM</t>
        </is>
      </c>
      <c r="F692" s="159">
        <f>IFERROR(INDEX('BASE METAS DIÁRIAS'!$N$2:$S$358,MATCH($A692,'BASE METAS DIÁRIAS'!$A$2:$A$358,0),MOD(ROW()-2,6)+1),"")</f>
        <v/>
      </c>
      <c r="G692" s="159">
        <f>IFERROR(IF(WEEKDAY($A692,2)&lt;=INDEX('BASE METAS DIÁRIAS'!$H$2:$M$358,MATCH($A692,'BASE METAS DIÁRIAS'!$A$2:$A$358,0),MOD(ROW()-2,6)+1),INDEX('BASE METAS DIÁRIAS'!$B$2:$G$358,MATCH($A692,'BASE METAS DIÁRIAS'!$A$2:$A$358,0),MOD(ROW()-2,6)+1),""),"")</f>
        <v/>
      </c>
      <c r="H692" s="159">
        <f>IFERROR(IF(INDEX('CONTROLE PRODUÇÃO POR EMPRESAS'!$B$6:$G$5000,MATCH($A692,'CONTROLE PRODUÇÃO POR EMPRESAS'!$A$6:$A$5000,0),MOD(ROW()-2,6)+1)="","",IFERROR(1*INDEX('CONTROLE PRODUÇÃO POR EMPRESAS'!$B$6:$G$5000,MATCH($A692,'CONTROLE PRODUÇÃO POR EMPRESAS'!$A$6:$A$5000,0),MOD(ROW()-2,6)+1),"")),"")</f>
        <v/>
      </c>
      <c r="I692" s="159">
        <f>IF(OR(NOT(ISNUMBER(G692)),NOT(ISNUMBER(H692))),"",H692-G692)</f>
        <v/>
      </c>
      <c r="J692" s="319">
        <f>IF(OR(NOT(ISNUMBER(G692)),NOT(ISNUMBER(H692)),G692=0),"",I692/G692)</f>
        <v/>
      </c>
      <c r="K692" s="319">
        <f>IF(OR(NOT(ISNUMBER(G692)),NOT(ISNUMBER(H692)),G692=0),"",H692/G692)</f>
        <v/>
      </c>
      <c r="L692">
        <f>IF(NOT(ISNUMBER(G692)),"SEM META",IF(G692=0,"SEM META",IF(NOT(ISNUMBER(H692)),"SEM APONTAMENTO",IF(H692&gt;=G692,"VERDE",IF(H692&gt;=G692*0.9,"AMARELO","VERMELHO")))))</f>
        <v/>
      </c>
      <c r="M692" s="162" t="n"/>
      <c r="N692" s="162" t="n"/>
      <c r="O692" s="162" t="n"/>
      <c r="P692" s="162" t="n"/>
      <c r="Q692" s="320" t="n"/>
      <c r="R692" s="162" t="inlineStr">
        <is>
          <t>CONTROLE PRODUÇÃO POR EMPRESAS!B121</t>
        </is>
      </c>
    </row>
    <row r="693" ht="28.5" customHeight="1">
      <c r="A693" s="317" t="n">
        <v>46338</v>
      </c>
      <c r="B693" t="inlineStr">
        <is>
          <t>GERAL</t>
        </is>
      </c>
      <c r="C693" t="inlineStr">
        <is>
          <t>EJ</t>
        </is>
      </c>
      <c r="D693" t="inlineStr">
        <is>
          <t>IÇAMENTO JOIST</t>
        </is>
      </c>
      <c r="F693" s="159">
        <f>IFERROR(INDEX('BASE METAS DIÁRIAS'!$N$2:$S$358,MATCH($A693,'BASE METAS DIÁRIAS'!$A$2:$A$358,0),MOD(ROW()-2,6)+1),"")</f>
        <v/>
      </c>
      <c r="G693" s="159">
        <f>IFERROR(IF(WEEKDAY($A693,2)&lt;=INDEX('BASE METAS DIÁRIAS'!$H$2:$M$358,MATCH($A693,'BASE METAS DIÁRIAS'!$A$2:$A$358,0),MOD(ROW()-2,6)+1),INDEX('BASE METAS DIÁRIAS'!$B$2:$G$358,MATCH($A693,'BASE METAS DIÁRIAS'!$A$2:$A$358,0),MOD(ROW()-2,6)+1),""),"")</f>
        <v/>
      </c>
      <c r="H693" s="159">
        <f>IFERROR(IF(INDEX('CONTROLE PRODUÇÃO POR EMPRESAS'!$B$6:$G$5000,MATCH($A693,'CONTROLE PRODUÇÃO POR EMPRESAS'!$A$6:$A$5000,0),MOD(ROW()-2,6)+1)="","",IFERROR(1*INDEX('CONTROLE PRODUÇÃO POR EMPRESAS'!$B$6:$G$5000,MATCH($A693,'CONTROLE PRODUÇÃO POR EMPRESAS'!$A$6:$A$5000,0),MOD(ROW()-2,6)+1),"")),"")</f>
        <v/>
      </c>
      <c r="I693" s="159">
        <f>IF(OR(NOT(ISNUMBER(G693)),NOT(ISNUMBER(H693))),"",H693-G693)</f>
        <v/>
      </c>
      <c r="J693" s="319">
        <f>IF(OR(NOT(ISNUMBER(G693)),NOT(ISNUMBER(H693)),G693=0),"",I693/G693)</f>
        <v/>
      </c>
      <c r="K693" s="319">
        <f>IF(OR(NOT(ISNUMBER(G693)),NOT(ISNUMBER(H693)),G693=0),"",H693/G693)</f>
        <v/>
      </c>
      <c r="L693">
        <f>IF(NOT(ISNUMBER(G693)),"SEM META",IF(G693=0,"SEM META",IF(NOT(ISNUMBER(H693)),"SEM APONTAMENTO",IF(H693&gt;=G693,"VERDE",IF(H693&gt;=G693*0.9,"AMARELO","VERMELHO")))))</f>
        <v/>
      </c>
      <c r="M693" s="162" t="n"/>
      <c r="N693" s="162" t="n"/>
      <c r="O693" s="162" t="n"/>
      <c r="P693" s="162" t="n"/>
      <c r="Q693" s="320" t="n"/>
      <c r="R693" s="162" t="inlineStr">
        <is>
          <t>CONTROLE PRODUÇÃO POR EMPRESAS!C121</t>
        </is>
      </c>
    </row>
    <row r="694" ht="28.5" customHeight="1">
      <c r="A694" s="317" t="n">
        <v>46338</v>
      </c>
      <c r="B694" t="inlineStr">
        <is>
          <t>GERAL</t>
        </is>
      </c>
      <c r="C694" t="inlineStr">
        <is>
          <t>EJ</t>
        </is>
      </c>
      <c r="D694" t="inlineStr">
        <is>
          <t>VIGAS</t>
        </is>
      </c>
      <c r="F694" s="159">
        <f>IFERROR(INDEX('BASE METAS DIÁRIAS'!$N$2:$S$358,MATCH($A694,'BASE METAS DIÁRIAS'!$A$2:$A$358,0),MOD(ROW()-2,6)+1),"")</f>
        <v/>
      </c>
      <c r="G694" s="159">
        <f>IFERROR(IF(WEEKDAY($A694,2)&lt;=INDEX('BASE METAS DIÁRIAS'!$H$2:$M$358,MATCH($A694,'BASE METAS DIÁRIAS'!$A$2:$A$358,0),MOD(ROW()-2,6)+1),INDEX('BASE METAS DIÁRIAS'!$B$2:$G$358,MATCH($A694,'BASE METAS DIÁRIAS'!$A$2:$A$358,0),MOD(ROW()-2,6)+1),""),"")</f>
        <v/>
      </c>
      <c r="H694" s="159">
        <f>IFERROR(IF(INDEX('CONTROLE PRODUÇÃO POR EMPRESAS'!$B$6:$G$5000,MATCH($A694,'CONTROLE PRODUÇÃO POR EMPRESAS'!$A$6:$A$5000,0),MOD(ROW()-2,6)+1)="","",IFERROR(1*INDEX('CONTROLE PRODUÇÃO POR EMPRESAS'!$B$6:$G$5000,MATCH($A694,'CONTROLE PRODUÇÃO POR EMPRESAS'!$A$6:$A$5000,0),MOD(ROW()-2,6)+1),"")),"")</f>
        <v/>
      </c>
      <c r="I694" s="159">
        <f>IF(OR(NOT(ISNUMBER(G694)),NOT(ISNUMBER(H694))),"",H694-G694)</f>
        <v/>
      </c>
      <c r="J694" s="319">
        <f>IF(OR(NOT(ISNUMBER(G694)),NOT(ISNUMBER(H694)),G694=0),"",I694/G694)</f>
        <v/>
      </c>
      <c r="K694" s="319">
        <f>IF(OR(NOT(ISNUMBER(G694)),NOT(ISNUMBER(H694)),G694=0),"",H694/G694)</f>
        <v/>
      </c>
      <c r="L694">
        <f>IF(NOT(ISNUMBER(G694)),"SEM META",IF(G694=0,"SEM META",IF(NOT(ISNUMBER(H694)),"SEM APONTAMENTO",IF(H694&gt;=G694,"VERDE",IF(H694&gt;=G694*0.9,"AMARELO","VERMELHO")))))</f>
        <v/>
      </c>
      <c r="M694" s="162" t="n"/>
      <c r="N694" s="162" t="n"/>
      <c r="O694" s="162" t="n"/>
      <c r="P694" s="162" t="n"/>
      <c r="Q694" s="320" t="n"/>
      <c r="R694" s="162" t="inlineStr">
        <is>
          <t>CONTROLE PRODUÇÃO POR EMPRESAS!D121</t>
        </is>
      </c>
    </row>
    <row r="695" ht="28.5" customHeight="1">
      <c r="A695" s="317" t="n">
        <v>46338</v>
      </c>
      <c r="B695" t="inlineStr">
        <is>
          <t>GERAL</t>
        </is>
      </c>
      <c r="C695" t="inlineStr">
        <is>
          <t>CMM</t>
        </is>
      </c>
      <c r="D695" t="inlineStr">
        <is>
          <t>PREMONTAGEM</t>
        </is>
      </c>
      <c r="F695" s="159">
        <f>IFERROR(INDEX('BASE METAS DIÁRIAS'!$N$2:$S$358,MATCH($A695,'BASE METAS DIÁRIAS'!$A$2:$A$358,0),MOD(ROW()-2,6)+1),"")</f>
        <v/>
      </c>
      <c r="G695" s="159">
        <f>IFERROR(IF(WEEKDAY($A695,2)&lt;=INDEX('BASE METAS DIÁRIAS'!$H$2:$M$358,MATCH($A695,'BASE METAS DIÁRIAS'!$A$2:$A$358,0),MOD(ROW()-2,6)+1),INDEX('BASE METAS DIÁRIAS'!$B$2:$G$358,MATCH($A695,'BASE METAS DIÁRIAS'!$A$2:$A$358,0),MOD(ROW()-2,6)+1),""),"")</f>
        <v/>
      </c>
      <c r="H695" s="159">
        <f>IFERROR(IF(INDEX('CONTROLE PRODUÇÃO POR EMPRESAS'!$B$6:$G$5000,MATCH($A695,'CONTROLE PRODUÇÃO POR EMPRESAS'!$A$6:$A$5000,0),MOD(ROW()-2,6)+1)="","",IFERROR(1*INDEX('CONTROLE PRODUÇÃO POR EMPRESAS'!$B$6:$G$5000,MATCH($A695,'CONTROLE PRODUÇÃO POR EMPRESAS'!$A$6:$A$5000,0),MOD(ROW()-2,6)+1),"")),"")</f>
        <v/>
      </c>
      <c r="I695" s="159">
        <f>IF(OR(NOT(ISNUMBER(G695)),NOT(ISNUMBER(H695))),"",H695-G695)</f>
        <v/>
      </c>
      <c r="J695" s="319">
        <f>IF(OR(NOT(ISNUMBER(G695)),NOT(ISNUMBER(H695)),G695=0),"",I695/G695)</f>
        <v/>
      </c>
      <c r="K695" s="319">
        <f>IF(OR(NOT(ISNUMBER(G695)),NOT(ISNUMBER(H695)),G695=0),"",H695/G695)</f>
        <v/>
      </c>
      <c r="L695">
        <f>IF(NOT(ISNUMBER(G695)),"SEM META",IF(G695=0,"SEM META",IF(NOT(ISNUMBER(H695)),"SEM APONTAMENTO",IF(H695&gt;=G695,"VERDE",IF(H695&gt;=G695*0.9,"AMARELO","VERMELHO")))))</f>
        <v/>
      </c>
      <c r="M695" s="162" t="n"/>
      <c r="N695" s="162" t="n"/>
      <c r="O695" s="162" t="n"/>
      <c r="P695" s="162" t="n"/>
      <c r="Q695" s="320" t="n"/>
      <c r="R695" s="162" t="inlineStr">
        <is>
          <t>CONTROLE PRODUÇÃO POR EMPRESAS!E121</t>
        </is>
      </c>
    </row>
    <row r="696" ht="28.5" customHeight="1">
      <c r="A696" s="317" t="n">
        <v>46338</v>
      </c>
      <c r="B696" t="inlineStr">
        <is>
          <t>GERAL</t>
        </is>
      </c>
      <c r="C696" t="inlineStr">
        <is>
          <t>CMM</t>
        </is>
      </c>
      <c r="D696" t="inlineStr">
        <is>
          <t>IÇAMENTO JOIST</t>
        </is>
      </c>
      <c r="F696" s="159">
        <f>IFERROR(INDEX('BASE METAS DIÁRIAS'!$N$2:$S$358,MATCH($A696,'BASE METAS DIÁRIAS'!$A$2:$A$358,0),MOD(ROW()-2,6)+1),"")</f>
        <v/>
      </c>
      <c r="G696" s="159">
        <f>IFERROR(IF(WEEKDAY($A696,2)&lt;=INDEX('BASE METAS DIÁRIAS'!$H$2:$M$358,MATCH($A696,'BASE METAS DIÁRIAS'!$A$2:$A$358,0),MOD(ROW()-2,6)+1),INDEX('BASE METAS DIÁRIAS'!$B$2:$G$358,MATCH($A696,'BASE METAS DIÁRIAS'!$A$2:$A$358,0),MOD(ROW()-2,6)+1),""),"")</f>
        <v/>
      </c>
      <c r="H696" s="159">
        <f>IFERROR(IF(INDEX('CONTROLE PRODUÇÃO POR EMPRESAS'!$B$6:$G$5000,MATCH($A696,'CONTROLE PRODUÇÃO POR EMPRESAS'!$A$6:$A$5000,0),MOD(ROW()-2,6)+1)="","",IFERROR(1*INDEX('CONTROLE PRODUÇÃO POR EMPRESAS'!$B$6:$G$5000,MATCH($A696,'CONTROLE PRODUÇÃO POR EMPRESAS'!$A$6:$A$5000,0),MOD(ROW()-2,6)+1),"")),"")</f>
        <v/>
      </c>
      <c r="I696" s="159">
        <f>IF(OR(NOT(ISNUMBER(G696)),NOT(ISNUMBER(H696))),"",H696-G696)</f>
        <v/>
      </c>
      <c r="J696" s="319">
        <f>IF(OR(NOT(ISNUMBER(G696)),NOT(ISNUMBER(H696)),G696=0),"",I696/G696)</f>
        <v/>
      </c>
      <c r="K696" s="319">
        <f>IF(OR(NOT(ISNUMBER(G696)),NOT(ISNUMBER(H696)),G696=0),"",H696/G696)</f>
        <v/>
      </c>
      <c r="L696">
        <f>IF(NOT(ISNUMBER(G696)),"SEM META",IF(G696=0,"SEM META",IF(NOT(ISNUMBER(H696)),"SEM APONTAMENTO",IF(H696&gt;=G696,"VERDE",IF(H696&gt;=G696*0.9,"AMARELO","VERMELHO")))))</f>
        <v/>
      </c>
      <c r="M696" s="162" t="n"/>
      <c r="N696" s="162" t="n"/>
      <c r="O696" s="162" t="n"/>
      <c r="P696" s="162" t="n"/>
      <c r="Q696" s="320" t="n"/>
      <c r="R696" s="162" t="inlineStr">
        <is>
          <t>CONTROLE PRODUÇÃO POR EMPRESAS!F121</t>
        </is>
      </c>
    </row>
    <row r="697" ht="28.5" customHeight="1">
      <c r="A697" s="317" t="n">
        <v>46338</v>
      </c>
      <c r="B697" t="inlineStr">
        <is>
          <t>GERAL</t>
        </is>
      </c>
      <c r="C697" t="inlineStr">
        <is>
          <t>CMM</t>
        </is>
      </c>
      <c r="D697" t="inlineStr">
        <is>
          <t>VIGAS</t>
        </is>
      </c>
      <c r="F697" s="159">
        <f>IFERROR(INDEX('BASE METAS DIÁRIAS'!$N$2:$S$358,MATCH($A697,'BASE METAS DIÁRIAS'!$A$2:$A$358,0),MOD(ROW()-2,6)+1),"")</f>
        <v/>
      </c>
      <c r="G697" s="159">
        <f>IFERROR(IF(WEEKDAY($A697,2)&lt;=INDEX('BASE METAS DIÁRIAS'!$H$2:$M$358,MATCH($A697,'BASE METAS DIÁRIAS'!$A$2:$A$358,0),MOD(ROW()-2,6)+1),INDEX('BASE METAS DIÁRIAS'!$B$2:$G$358,MATCH($A697,'BASE METAS DIÁRIAS'!$A$2:$A$358,0),MOD(ROW()-2,6)+1),""),"")</f>
        <v/>
      </c>
      <c r="H697" s="159">
        <f>IFERROR(IF(INDEX('CONTROLE PRODUÇÃO POR EMPRESAS'!$B$6:$G$5000,MATCH($A697,'CONTROLE PRODUÇÃO POR EMPRESAS'!$A$6:$A$5000,0),MOD(ROW()-2,6)+1)="","",IFERROR(1*INDEX('CONTROLE PRODUÇÃO POR EMPRESAS'!$B$6:$G$5000,MATCH($A697,'CONTROLE PRODUÇÃO POR EMPRESAS'!$A$6:$A$5000,0),MOD(ROW()-2,6)+1),"")),"")</f>
        <v/>
      </c>
      <c r="I697" s="159">
        <f>IF(OR(NOT(ISNUMBER(G697)),NOT(ISNUMBER(H697))),"",H697-G697)</f>
        <v/>
      </c>
      <c r="J697" s="319">
        <f>IF(OR(NOT(ISNUMBER(G697)),NOT(ISNUMBER(H697)),G697=0),"",I697/G697)</f>
        <v/>
      </c>
      <c r="K697" s="319">
        <f>IF(OR(NOT(ISNUMBER(G697)),NOT(ISNUMBER(H697)),G697=0),"",H697/G697)</f>
        <v/>
      </c>
      <c r="L697">
        <f>IF(NOT(ISNUMBER(G697)),"SEM META",IF(G697=0,"SEM META",IF(NOT(ISNUMBER(H697)),"SEM APONTAMENTO",IF(H697&gt;=G697,"VERDE",IF(H697&gt;=G697*0.9,"AMARELO","VERMELHO")))))</f>
        <v/>
      </c>
      <c r="M697" s="162" t="n"/>
      <c r="N697" s="162" t="n"/>
      <c r="O697" s="162" t="n"/>
      <c r="P697" s="162" t="n"/>
      <c r="Q697" s="320" t="n"/>
      <c r="R697" s="162" t="inlineStr">
        <is>
          <t>CONTROLE PRODUÇÃO POR EMPRESAS!G121</t>
        </is>
      </c>
    </row>
    <row r="698" ht="28.5" customHeight="1">
      <c r="A698" s="317" t="n">
        <v>46339</v>
      </c>
      <c r="B698" t="inlineStr">
        <is>
          <t>GERAL</t>
        </is>
      </c>
      <c r="C698" t="inlineStr">
        <is>
          <t>EJ</t>
        </is>
      </c>
      <c r="D698" t="inlineStr">
        <is>
          <t>PREMONTAGEM</t>
        </is>
      </c>
      <c r="F698" s="159">
        <f>IFERROR(INDEX('BASE METAS DIÁRIAS'!$N$2:$S$358,MATCH($A698,'BASE METAS DIÁRIAS'!$A$2:$A$358,0),MOD(ROW()-2,6)+1),"")</f>
        <v/>
      </c>
      <c r="G698" s="159">
        <f>IFERROR(IF(WEEKDAY($A698,2)&lt;=INDEX('BASE METAS DIÁRIAS'!$H$2:$M$358,MATCH($A698,'BASE METAS DIÁRIAS'!$A$2:$A$358,0),MOD(ROW()-2,6)+1),INDEX('BASE METAS DIÁRIAS'!$B$2:$G$358,MATCH($A698,'BASE METAS DIÁRIAS'!$A$2:$A$358,0),MOD(ROW()-2,6)+1),""),"")</f>
        <v/>
      </c>
      <c r="H698" s="159">
        <f>IFERROR(IF(INDEX('CONTROLE PRODUÇÃO POR EMPRESAS'!$B$6:$G$5000,MATCH($A698,'CONTROLE PRODUÇÃO POR EMPRESAS'!$A$6:$A$5000,0),MOD(ROW()-2,6)+1)="","",IFERROR(1*INDEX('CONTROLE PRODUÇÃO POR EMPRESAS'!$B$6:$G$5000,MATCH($A698,'CONTROLE PRODUÇÃO POR EMPRESAS'!$A$6:$A$5000,0),MOD(ROW()-2,6)+1),"")),"")</f>
        <v/>
      </c>
      <c r="I698" s="159">
        <f>IF(OR(NOT(ISNUMBER(G698)),NOT(ISNUMBER(H698))),"",H698-G698)</f>
        <v/>
      </c>
      <c r="J698" s="319">
        <f>IF(OR(NOT(ISNUMBER(G698)),NOT(ISNUMBER(H698)),G698=0),"",I698/G698)</f>
        <v/>
      </c>
      <c r="K698" s="319">
        <f>IF(OR(NOT(ISNUMBER(G698)),NOT(ISNUMBER(H698)),G698=0),"",H698/G698)</f>
        <v/>
      </c>
      <c r="L698">
        <f>IF(NOT(ISNUMBER(G698)),"SEM META",IF(G698=0,"SEM META",IF(NOT(ISNUMBER(H698)),"SEM APONTAMENTO",IF(H698&gt;=G698,"VERDE",IF(H698&gt;=G698*0.9,"AMARELO","VERMELHO")))))</f>
        <v/>
      </c>
      <c r="M698" s="162" t="n"/>
      <c r="N698" s="162" t="n"/>
      <c r="O698" s="162" t="n"/>
      <c r="P698" s="162" t="n"/>
      <c r="Q698" s="320" t="n"/>
      <c r="R698" s="162" t="inlineStr">
        <is>
          <t>CONTROLE PRODUÇÃO POR EMPRESAS!B122</t>
        </is>
      </c>
    </row>
    <row r="699" ht="28.5" customHeight="1">
      <c r="A699" s="317" t="n">
        <v>46339</v>
      </c>
      <c r="B699" t="inlineStr">
        <is>
          <t>GERAL</t>
        </is>
      </c>
      <c r="C699" t="inlineStr">
        <is>
          <t>EJ</t>
        </is>
      </c>
      <c r="D699" t="inlineStr">
        <is>
          <t>IÇAMENTO JOIST</t>
        </is>
      </c>
      <c r="F699" s="159">
        <f>IFERROR(INDEX('BASE METAS DIÁRIAS'!$N$2:$S$358,MATCH($A699,'BASE METAS DIÁRIAS'!$A$2:$A$358,0),MOD(ROW()-2,6)+1),"")</f>
        <v/>
      </c>
      <c r="G699" s="159">
        <f>IFERROR(IF(WEEKDAY($A699,2)&lt;=INDEX('BASE METAS DIÁRIAS'!$H$2:$M$358,MATCH($A699,'BASE METAS DIÁRIAS'!$A$2:$A$358,0),MOD(ROW()-2,6)+1),INDEX('BASE METAS DIÁRIAS'!$B$2:$G$358,MATCH($A699,'BASE METAS DIÁRIAS'!$A$2:$A$358,0),MOD(ROW()-2,6)+1),""),"")</f>
        <v/>
      </c>
      <c r="H699" s="159">
        <f>IFERROR(IF(INDEX('CONTROLE PRODUÇÃO POR EMPRESAS'!$B$6:$G$5000,MATCH($A699,'CONTROLE PRODUÇÃO POR EMPRESAS'!$A$6:$A$5000,0),MOD(ROW()-2,6)+1)="","",IFERROR(1*INDEX('CONTROLE PRODUÇÃO POR EMPRESAS'!$B$6:$G$5000,MATCH($A699,'CONTROLE PRODUÇÃO POR EMPRESAS'!$A$6:$A$5000,0),MOD(ROW()-2,6)+1),"")),"")</f>
        <v/>
      </c>
      <c r="I699" s="159">
        <f>IF(OR(NOT(ISNUMBER(G699)),NOT(ISNUMBER(H699))),"",H699-G699)</f>
        <v/>
      </c>
      <c r="J699" s="319">
        <f>IF(OR(NOT(ISNUMBER(G699)),NOT(ISNUMBER(H699)),G699=0),"",I699/G699)</f>
        <v/>
      </c>
      <c r="K699" s="319">
        <f>IF(OR(NOT(ISNUMBER(G699)),NOT(ISNUMBER(H699)),G699=0),"",H699/G699)</f>
        <v/>
      </c>
      <c r="L699">
        <f>IF(NOT(ISNUMBER(G699)),"SEM META",IF(G699=0,"SEM META",IF(NOT(ISNUMBER(H699)),"SEM APONTAMENTO",IF(H699&gt;=G699,"VERDE",IF(H699&gt;=G699*0.9,"AMARELO","VERMELHO")))))</f>
        <v/>
      </c>
      <c r="M699" s="162" t="n"/>
      <c r="N699" s="162" t="n"/>
      <c r="O699" s="162" t="n"/>
      <c r="P699" s="162" t="n"/>
      <c r="Q699" s="320" t="n"/>
      <c r="R699" s="162" t="inlineStr">
        <is>
          <t>CONTROLE PRODUÇÃO POR EMPRESAS!C122</t>
        </is>
      </c>
    </row>
    <row r="700" ht="28.5" customHeight="1">
      <c r="A700" s="317" t="n">
        <v>46339</v>
      </c>
      <c r="B700" t="inlineStr">
        <is>
          <t>GERAL</t>
        </is>
      </c>
      <c r="C700" t="inlineStr">
        <is>
          <t>EJ</t>
        </is>
      </c>
      <c r="D700" t="inlineStr">
        <is>
          <t>VIGAS</t>
        </is>
      </c>
      <c r="F700" s="159">
        <f>IFERROR(INDEX('BASE METAS DIÁRIAS'!$N$2:$S$358,MATCH($A700,'BASE METAS DIÁRIAS'!$A$2:$A$358,0),MOD(ROW()-2,6)+1),"")</f>
        <v/>
      </c>
      <c r="G700" s="159">
        <f>IFERROR(IF(WEEKDAY($A700,2)&lt;=INDEX('BASE METAS DIÁRIAS'!$H$2:$M$358,MATCH($A700,'BASE METAS DIÁRIAS'!$A$2:$A$358,0),MOD(ROW()-2,6)+1),INDEX('BASE METAS DIÁRIAS'!$B$2:$G$358,MATCH($A700,'BASE METAS DIÁRIAS'!$A$2:$A$358,0),MOD(ROW()-2,6)+1),""),"")</f>
        <v/>
      </c>
      <c r="H700" s="159">
        <f>IFERROR(IF(INDEX('CONTROLE PRODUÇÃO POR EMPRESAS'!$B$6:$G$5000,MATCH($A700,'CONTROLE PRODUÇÃO POR EMPRESAS'!$A$6:$A$5000,0),MOD(ROW()-2,6)+1)="","",IFERROR(1*INDEX('CONTROLE PRODUÇÃO POR EMPRESAS'!$B$6:$G$5000,MATCH($A700,'CONTROLE PRODUÇÃO POR EMPRESAS'!$A$6:$A$5000,0),MOD(ROW()-2,6)+1),"")),"")</f>
        <v/>
      </c>
      <c r="I700" s="159">
        <f>IF(OR(NOT(ISNUMBER(G700)),NOT(ISNUMBER(H700))),"",H700-G700)</f>
        <v/>
      </c>
      <c r="J700" s="319">
        <f>IF(OR(NOT(ISNUMBER(G700)),NOT(ISNUMBER(H700)),G700=0),"",I700/G700)</f>
        <v/>
      </c>
      <c r="K700" s="319">
        <f>IF(OR(NOT(ISNUMBER(G700)),NOT(ISNUMBER(H700)),G700=0),"",H700/G700)</f>
        <v/>
      </c>
      <c r="L700">
        <f>IF(NOT(ISNUMBER(G700)),"SEM META",IF(G700=0,"SEM META",IF(NOT(ISNUMBER(H700)),"SEM APONTAMENTO",IF(H700&gt;=G700,"VERDE",IF(H700&gt;=G700*0.9,"AMARELO","VERMELHO")))))</f>
        <v/>
      </c>
      <c r="M700" s="162" t="n"/>
      <c r="N700" s="162" t="n"/>
      <c r="O700" s="162" t="n"/>
      <c r="P700" s="162" t="n"/>
      <c r="Q700" s="320" t="n"/>
      <c r="R700" s="162" t="inlineStr">
        <is>
          <t>CONTROLE PRODUÇÃO POR EMPRESAS!D122</t>
        </is>
      </c>
    </row>
    <row r="701" ht="28.5" customHeight="1">
      <c r="A701" s="317" t="n">
        <v>46339</v>
      </c>
      <c r="B701" t="inlineStr">
        <is>
          <t>GERAL</t>
        </is>
      </c>
      <c r="C701" t="inlineStr">
        <is>
          <t>CMM</t>
        </is>
      </c>
      <c r="D701" t="inlineStr">
        <is>
          <t>PREMONTAGEM</t>
        </is>
      </c>
      <c r="F701" s="159">
        <f>IFERROR(INDEX('BASE METAS DIÁRIAS'!$N$2:$S$358,MATCH($A701,'BASE METAS DIÁRIAS'!$A$2:$A$358,0),MOD(ROW()-2,6)+1),"")</f>
        <v/>
      </c>
      <c r="G701" s="159">
        <f>IFERROR(IF(WEEKDAY($A701,2)&lt;=INDEX('BASE METAS DIÁRIAS'!$H$2:$M$358,MATCH($A701,'BASE METAS DIÁRIAS'!$A$2:$A$358,0),MOD(ROW()-2,6)+1),INDEX('BASE METAS DIÁRIAS'!$B$2:$G$358,MATCH($A701,'BASE METAS DIÁRIAS'!$A$2:$A$358,0),MOD(ROW()-2,6)+1),""),"")</f>
        <v/>
      </c>
      <c r="H701" s="159">
        <f>IFERROR(IF(INDEX('CONTROLE PRODUÇÃO POR EMPRESAS'!$B$6:$G$5000,MATCH($A701,'CONTROLE PRODUÇÃO POR EMPRESAS'!$A$6:$A$5000,0),MOD(ROW()-2,6)+1)="","",IFERROR(1*INDEX('CONTROLE PRODUÇÃO POR EMPRESAS'!$B$6:$G$5000,MATCH($A701,'CONTROLE PRODUÇÃO POR EMPRESAS'!$A$6:$A$5000,0),MOD(ROW()-2,6)+1),"")),"")</f>
        <v/>
      </c>
      <c r="I701" s="159">
        <f>IF(OR(NOT(ISNUMBER(G701)),NOT(ISNUMBER(H701))),"",H701-G701)</f>
        <v/>
      </c>
      <c r="J701" s="319">
        <f>IF(OR(NOT(ISNUMBER(G701)),NOT(ISNUMBER(H701)),G701=0),"",I701/G701)</f>
        <v/>
      </c>
      <c r="K701" s="319">
        <f>IF(OR(NOT(ISNUMBER(G701)),NOT(ISNUMBER(H701)),G701=0),"",H701/G701)</f>
        <v/>
      </c>
      <c r="L701">
        <f>IF(NOT(ISNUMBER(G701)),"SEM META",IF(G701=0,"SEM META",IF(NOT(ISNUMBER(H701)),"SEM APONTAMENTO",IF(H701&gt;=G701,"VERDE",IF(H701&gt;=G701*0.9,"AMARELO","VERMELHO")))))</f>
        <v/>
      </c>
      <c r="M701" s="162" t="n"/>
      <c r="N701" s="162" t="n"/>
      <c r="O701" s="162" t="n"/>
      <c r="P701" s="162" t="n"/>
      <c r="Q701" s="320" t="n"/>
      <c r="R701" s="162" t="inlineStr">
        <is>
          <t>CONTROLE PRODUÇÃO POR EMPRESAS!E122</t>
        </is>
      </c>
    </row>
    <row r="702" ht="28.5" customHeight="1">
      <c r="A702" s="317" t="n">
        <v>46339</v>
      </c>
      <c r="B702" t="inlineStr">
        <is>
          <t>GERAL</t>
        </is>
      </c>
      <c r="C702" t="inlineStr">
        <is>
          <t>CMM</t>
        </is>
      </c>
      <c r="D702" t="inlineStr">
        <is>
          <t>IÇAMENTO JOIST</t>
        </is>
      </c>
      <c r="F702" s="159">
        <f>IFERROR(INDEX('BASE METAS DIÁRIAS'!$N$2:$S$358,MATCH($A702,'BASE METAS DIÁRIAS'!$A$2:$A$358,0),MOD(ROW()-2,6)+1),"")</f>
        <v/>
      </c>
      <c r="G702" s="159">
        <f>IFERROR(IF(WEEKDAY($A702,2)&lt;=INDEX('BASE METAS DIÁRIAS'!$H$2:$M$358,MATCH($A702,'BASE METAS DIÁRIAS'!$A$2:$A$358,0),MOD(ROW()-2,6)+1),INDEX('BASE METAS DIÁRIAS'!$B$2:$G$358,MATCH($A702,'BASE METAS DIÁRIAS'!$A$2:$A$358,0),MOD(ROW()-2,6)+1),""),"")</f>
        <v/>
      </c>
      <c r="H702" s="159">
        <f>IFERROR(IF(INDEX('CONTROLE PRODUÇÃO POR EMPRESAS'!$B$6:$G$5000,MATCH($A702,'CONTROLE PRODUÇÃO POR EMPRESAS'!$A$6:$A$5000,0),MOD(ROW()-2,6)+1)="","",IFERROR(1*INDEX('CONTROLE PRODUÇÃO POR EMPRESAS'!$B$6:$G$5000,MATCH($A702,'CONTROLE PRODUÇÃO POR EMPRESAS'!$A$6:$A$5000,0),MOD(ROW()-2,6)+1),"")),"")</f>
        <v/>
      </c>
      <c r="I702" s="159">
        <f>IF(OR(NOT(ISNUMBER(G702)),NOT(ISNUMBER(H702))),"",H702-G702)</f>
        <v/>
      </c>
      <c r="J702" s="319">
        <f>IF(OR(NOT(ISNUMBER(G702)),NOT(ISNUMBER(H702)),G702=0),"",I702/G702)</f>
        <v/>
      </c>
      <c r="K702" s="319">
        <f>IF(OR(NOT(ISNUMBER(G702)),NOT(ISNUMBER(H702)),G702=0),"",H702/G702)</f>
        <v/>
      </c>
      <c r="L702">
        <f>IF(NOT(ISNUMBER(G702)),"SEM META",IF(G702=0,"SEM META",IF(NOT(ISNUMBER(H702)),"SEM APONTAMENTO",IF(H702&gt;=G702,"VERDE",IF(H702&gt;=G702*0.9,"AMARELO","VERMELHO")))))</f>
        <v/>
      </c>
      <c r="M702" s="162" t="n"/>
      <c r="N702" s="162" t="n"/>
      <c r="O702" s="162" t="n"/>
      <c r="P702" s="162" t="n"/>
      <c r="Q702" s="320" t="n"/>
      <c r="R702" s="162" t="inlineStr">
        <is>
          <t>CONTROLE PRODUÇÃO POR EMPRESAS!F122</t>
        </is>
      </c>
    </row>
    <row r="703" ht="28.5" customHeight="1">
      <c r="A703" s="317" t="n">
        <v>46339</v>
      </c>
      <c r="B703" t="inlineStr">
        <is>
          <t>GERAL</t>
        </is>
      </c>
      <c r="C703" t="inlineStr">
        <is>
          <t>CMM</t>
        </is>
      </c>
      <c r="D703" t="inlineStr">
        <is>
          <t>VIGAS</t>
        </is>
      </c>
      <c r="F703" s="159">
        <f>IFERROR(INDEX('BASE METAS DIÁRIAS'!$N$2:$S$358,MATCH($A703,'BASE METAS DIÁRIAS'!$A$2:$A$358,0),MOD(ROW()-2,6)+1),"")</f>
        <v/>
      </c>
      <c r="G703" s="159">
        <f>IFERROR(IF(WEEKDAY($A703,2)&lt;=INDEX('BASE METAS DIÁRIAS'!$H$2:$M$358,MATCH($A703,'BASE METAS DIÁRIAS'!$A$2:$A$358,0),MOD(ROW()-2,6)+1),INDEX('BASE METAS DIÁRIAS'!$B$2:$G$358,MATCH($A703,'BASE METAS DIÁRIAS'!$A$2:$A$358,0),MOD(ROW()-2,6)+1),""),"")</f>
        <v/>
      </c>
      <c r="H703" s="159">
        <f>IFERROR(IF(INDEX('CONTROLE PRODUÇÃO POR EMPRESAS'!$B$6:$G$5000,MATCH($A703,'CONTROLE PRODUÇÃO POR EMPRESAS'!$A$6:$A$5000,0),MOD(ROW()-2,6)+1)="","",IFERROR(1*INDEX('CONTROLE PRODUÇÃO POR EMPRESAS'!$B$6:$G$5000,MATCH($A703,'CONTROLE PRODUÇÃO POR EMPRESAS'!$A$6:$A$5000,0),MOD(ROW()-2,6)+1),"")),"")</f>
        <v/>
      </c>
      <c r="I703" s="159">
        <f>IF(OR(NOT(ISNUMBER(G703)),NOT(ISNUMBER(H703))),"",H703-G703)</f>
        <v/>
      </c>
      <c r="J703" s="319">
        <f>IF(OR(NOT(ISNUMBER(G703)),NOT(ISNUMBER(H703)),G703=0),"",I703/G703)</f>
        <v/>
      </c>
      <c r="K703" s="319">
        <f>IF(OR(NOT(ISNUMBER(G703)),NOT(ISNUMBER(H703)),G703=0),"",H703/G703)</f>
        <v/>
      </c>
      <c r="L703">
        <f>IF(NOT(ISNUMBER(G703)),"SEM META",IF(G703=0,"SEM META",IF(NOT(ISNUMBER(H703)),"SEM APONTAMENTO",IF(H703&gt;=G703,"VERDE",IF(H703&gt;=G703*0.9,"AMARELO","VERMELHO")))))</f>
        <v/>
      </c>
      <c r="M703" s="162" t="n"/>
      <c r="N703" s="162" t="n"/>
      <c r="O703" s="162" t="n"/>
      <c r="P703" s="162" t="n"/>
      <c r="Q703" s="320" t="n"/>
      <c r="R703" s="162" t="inlineStr">
        <is>
          <t>CONTROLE PRODUÇÃO POR EMPRESAS!G122</t>
        </is>
      </c>
    </row>
    <row r="704" ht="28.5" customHeight="1">
      <c r="A704" s="317" t="n">
        <v>46340</v>
      </c>
      <c r="B704" t="inlineStr">
        <is>
          <t>GERAL</t>
        </is>
      </c>
      <c r="C704" t="inlineStr">
        <is>
          <t>EJ</t>
        </is>
      </c>
      <c r="D704" t="inlineStr">
        <is>
          <t>PREMONTAGEM</t>
        </is>
      </c>
      <c r="F704" s="159">
        <f>IFERROR(INDEX('BASE METAS DIÁRIAS'!$N$2:$S$358,MATCH($A704,'BASE METAS DIÁRIAS'!$A$2:$A$358,0),MOD(ROW()-2,6)+1),"")</f>
        <v/>
      </c>
      <c r="G704" s="159">
        <f>IFERROR(IF(WEEKDAY($A704,2)&lt;=INDEX('BASE METAS DIÁRIAS'!$H$2:$M$358,MATCH($A704,'BASE METAS DIÁRIAS'!$A$2:$A$358,0),MOD(ROW()-2,6)+1),INDEX('BASE METAS DIÁRIAS'!$B$2:$G$358,MATCH($A704,'BASE METAS DIÁRIAS'!$A$2:$A$358,0),MOD(ROW()-2,6)+1),""),"")</f>
        <v/>
      </c>
      <c r="H704" s="159">
        <f>IFERROR(IF(INDEX('CONTROLE PRODUÇÃO POR EMPRESAS'!$B$6:$G$5000,MATCH($A704,'CONTROLE PRODUÇÃO POR EMPRESAS'!$A$6:$A$5000,0),MOD(ROW()-2,6)+1)="","",IFERROR(1*INDEX('CONTROLE PRODUÇÃO POR EMPRESAS'!$B$6:$G$5000,MATCH($A704,'CONTROLE PRODUÇÃO POR EMPRESAS'!$A$6:$A$5000,0),MOD(ROW()-2,6)+1),"")),"")</f>
        <v/>
      </c>
      <c r="I704" s="159">
        <f>IF(OR(NOT(ISNUMBER(G704)),NOT(ISNUMBER(H704))),"",H704-G704)</f>
        <v/>
      </c>
      <c r="J704" s="319">
        <f>IF(OR(NOT(ISNUMBER(G704)),NOT(ISNUMBER(H704)),G704=0),"",I704/G704)</f>
        <v/>
      </c>
      <c r="K704" s="319">
        <f>IF(OR(NOT(ISNUMBER(G704)),NOT(ISNUMBER(H704)),G704=0),"",H704/G704)</f>
        <v/>
      </c>
      <c r="L704">
        <f>IF(NOT(ISNUMBER(G704)),"SEM META",IF(G704=0,"SEM META",IF(NOT(ISNUMBER(H704)),"SEM APONTAMENTO",IF(H704&gt;=G704,"VERDE",IF(H704&gt;=G704*0.9,"AMARELO","VERMELHO")))))</f>
        <v/>
      </c>
      <c r="M704" s="162" t="n"/>
      <c r="N704" s="162" t="n"/>
      <c r="O704" s="162" t="n"/>
      <c r="P704" s="162" t="n"/>
      <c r="Q704" s="320" t="n"/>
      <c r="R704" s="162" t="inlineStr">
        <is>
          <t>CONTROLE PRODUÇÃO POR EMPRESAS!B123</t>
        </is>
      </c>
    </row>
    <row r="705" ht="28.5" customHeight="1">
      <c r="A705" s="317" t="n">
        <v>46340</v>
      </c>
      <c r="B705" t="inlineStr">
        <is>
          <t>GERAL</t>
        </is>
      </c>
      <c r="C705" t="inlineStr">
        <is>
          <t>EJ</t>
        </is>
      </c>
      <c r="D705" t="inlineStr">
        <is>
          <t>IÇAMENTO JOIST</t>
        </is>
      </c>
      <c r="F705" s="159">
        <f>IFERROR(INDEX('BASE METAS DIÁRIAS'!$N$2:$S$358,MATCH($A705,'BASE METAS DIÁRIAS'!$A$2:$A$358,0),MOD(ROW()-2,6)+1),"")</f>
        <v/>
      </c>
      <c r="G705" s="159">
        <f>IFERROR(IF(WEEKDAY($A705,2)&lt;=INDEX('BASE METAS DIÁRIAS'!$H$2:$M$358,MATCH($A705,'BASE METAS DIÁRIAS'!$A$2:$A$358,0),MOD(ROW()-2,6)+1),INDEX('BASE METAS DIÁRIAS'!$B$2:$G$358,MATCH($A705,'BASE METAS DIÁRIAS'!$A$2:$A$358,0),MOD(ROW()-2,6)+1),""),"")</f>
        <v/>
      </c>
      <c r="H705" s="159">
        <f>IFERROR(IF(INDEX('CONTROLE PRODUÇÃO POR EMPRESAS'!$B$6:$G$5000,MATCH($A705,'CONTROLE PRODUÇÃO POR EMPRESAS'!$A$6:$A$5000,0),MOD(ROW()-2,6)+1)="","",IFERROR(1*INDEX('CONTROLE PRODUÇÃO POR EMPRESAS'!$B$6:$G$5000,MATCH($A705,'CONTROLE PRODUÇÃO POR EMPRESAS'!$A$6:$A$5000,0),MOD(ROW()-2,6)+1),"")),"")</f>
        <v/>
      </c>
      <c r="I705" s="159">
        <f>IF(OR(NOT(ISNUMBER(G705)),NOT(ISNUMBER(H705))),"",H705-G705)</f>
        <v/>
      </c>
      <c r="J705" s="319">
        <f>IF(OR(NOT(ISNUMBER(G705)),NOT(ISNUMBER(H705)),G705=0),"",I705/G705)</f>
        <v/>
      </c>
      <c r="K705" s="319">
        <f>IF(OR(NOT(ISNUMBER(G705)),NOT(ISNUMBER(H705)),G705=0),"",H705/G705)</f>
        <v/>
      </c>
      <c r="L705">
        <f>IF(NOT(ISNUMBER(G705)),"SEM META",IF(G705=0,"SEM META",IF(NOT(ISNUMBER(H705)),"SEM APONTAMENTO",IF(H705&gt;=G705,"VERDE",IF(H705&gt;=G705*0.9,"AMARELO","VERMELHO")))))</f>
        <v/>
      </c>
      <c r="M705" s="162" t="n"/>
      <c r="N705" s="162" t="n"/>
      <c r="O705" s="162" t="n"/>
      <c r="P705" s="162" t="n"/>
      <c r="Q705" s="320" t="n"/>
      <c r="R705" s="162" t="inlineStr">
        <is>
          <t>CONTROLE PRODUÇÃO POR EMPRESAS!C123</t>
        </is>
      </c>
    </row>
    <row r="706" ht="28.5" customHeight="1">
      <c r="A706" s="317" t="n">
        <v>46340</v>
      </c>
      <c r="B706" t="inlineStr">
        <is>
          <t>GERAL</t>
        </is>
      </c>
      <c r="C706" t="inlineStr">
        <is>
          <t>EJ</t>
        </is>
      </c>
      <c r="D706" t="inlineStr">
        <is>
          <t>VIGAS</t>
        </is>
      </c>
      <c r="F706" s="159">
        <f>IFERROR(INDEX('BASE METAS DIÁRIAS'!$N$2:$S$358,MATCH($A706,'BASE METAS DIÁRIAS'!$A$2:$A$358,0),MOD(ROW()-2,6)+1),"")</f>
        <v/>
      </c>
      <c r="G706" s="159">
        <f>IFERROR(IF(WEEKDAY($A706,2)&lt;=INDEX('BASE METAS DIÁRIAS'!$H$2:$M$358,MATCH($A706,'BASE METAS DIÁRIAS'!$A$2:$A$358,0),MOD(ROW()-2,6)+1),INDEX('BASE METAS DIÁRIAS'!$B$2:$G$358,MATCH($A706,'BASE METAS DIÁRIAS'!$A$2:$A$358,0),MOD(ROW()-2,6)+1),""),"")</f>
        <v/>
      </c>
      <c r="H706" s="159">
        <f>IFERROR(IF(INDEX('CONTROLE PRODUÇÃO POR EMPRESAS'!$B$6:$G$5000,MATCH($A706,'CONTROLE PRODUÇÃO POR EMPRESAS'!$A$6:$A$5000,0),MOD(ROW()-2,6)+1)="","",IFERROR(1*INDEX('CONTROLE PRODUÇÃO POR EMPRESAS'!$B$6:$G$5000,MATCH($A706,'CONTROLE PRODUÇÃO POR EMPRESAS'!$A$6:$A$5000,0),MOD(ROW()-2,6)+1),"")),"")</f>
        <v/>
      </c>
      <c r="I706" s="159">
        <f>IF(OR(NOT(ISNUMBER(G706)),NOT(ISNUMBER(H706))),"",H706-G706)</f>
        <v/>
      </c>
      <c r="J706" s="319">
        <f>IF(OR(NOT(ISNUMBER(G706)),NOT(ISNUMBER(H706)),G706=0),"",I706/G706)</f>
        <v/>
      </c>
      <c r="K706" s="319">
        <f>IF(OR(NOT(ISNUMBER(G706)),NOT(ISNUMBER(H706)),G706=0),"",H706/G706)</f>
        <v/>
      </c>
      <c r="L706">
        <f>IF(NOT(ISNUMBER(G706)),"SEM META",IF(G706=0,"SEM META",IF(NOT(ISNUMBER(H706)),"SEM APONTAMENTO",IF(H706&gt;=G706,"VERDE",IF(H706&gt;=G706*0.9,"AMARELO","VERMELHO")))))</f>
        <v/>
      </c>
      <c r="M706" s="162" t="n"/>
      <c r="N706" s="162" t="n"/>
      <c r="O706" s="162" t="n"/>
      <c r="P706" s="162" t="n"/>
      <c r="Q706" s="320" t="n"/>
      <c r="R706" s="162" t="inlineStr">
        <is>
          <t>CONTROLE PRODUÇÃO POR EMPRESAS!D123</t>
        </is>
      </c>
    </row>
    <row r="707" ht="28.5" customHeight="1">
      <c r="A707" s="317" t="n">
        <v>46340</v>
      </c>
      <c r="B707" t="inlineStr">
        <is>
          <t>GERAL</t>
        </is>
      </c>
      <c r="C707" t="inlineStr">
        <is>
          <t>CMM</t>
        </is>
      </c>
      <c r="D707" t="inlineStr">
        <is>
          <t>PREMONTAGEM</t>
        </is>
      </c>
      <c r="F707" s="159">
        <f>IFERROR(INDEX('BASE METAS DIÁRIAS'!$N$2:$S$358,MATCH($A707,'BASE METAS DIÁRIAS'!$A$2:$A$358,0),MOD(ROW()-2,6)+1),"")</f>
        <v/>
      </c>
      <c r="G707" s="159">
        <f>IFERROR(IF(WEEKDAY($A707,2)&lt;=INDEX('BASE METAS DIÁRIAS'!$H$2:$M$358,MATCH($A707,'BASE METAS DIÁRIAS'!$A$2:$A$358,0),MOD(ROW()-2,6)+1),INDEX('BASE METAS DIÁRIAS'!$B$2:$G$358,MATCH($A707,'BASE METAS DIÁRIAS'!$A$2:$A$358,0),MOD(ROW()-2,6)+1),""),"")</f>
        <v/>
      </c>
      <c r="H707" s="159">
        <f>IFERROR(IF(INDEX('CONTROLE PRODUÇÃO POR EMPRESAS'!$B$6:$G$5000,MATCH($A707,'CONTROLE PRODUÇÃO POR EMPRESAS'!$A$6:$A$5000,0),MOD(ROW()-2,6)+1)="","",IFERROR(1*INDEX('CONTROLE PRODUÇÃO POR EMPRESAS'!$B$6:$G$5000,MATCH($A707,'CONTROLE PRODUÇÃO POR EMPRESAS'!$A$6:$A$5000,0),MOD(ROW()-2,6)+1),"")),"")</f>
        <v/>
      </c>
      <c r="I707" s="159">
        <f>IF(OR(NOT(ISNUMBER(G707)),NOT(ISNUMBER(H707))),"",H707-G707)</f>
        <v/>
      </c>
      <c r="J707" s="319">
        <f>IF(OR(NOT(ISNUMBER(G707)),NOT(ISNUMBER(H707)),G707=0),"",I707/G707)</f>
        <v/>
      </c>
      <c r="K707" s="319">
        <f>IF(OR(NOT(ISNUMBER(G707)),NOT(ISNUMBER(H707)),G707=0),"",H707/G707)</f>
        <v/>
      </c>
      <c r="L707">
        <f>IF(NOT(ISNUMBER(G707)),"SEM META",IF(G707=0,"SEM META",IF(NOT(ISNUMBER(H707)),"SEM APONTAMENTO",IF(H707&gt;=G707,"VERDE",IF(H707&gt;=G707*0.9,"AMARELO","VERMELHO")))))</f>
        <v/>
      </c>
      <c r="M707" s="162" t="n"/>
      <c r="N707" s="162" t="n"/>
      <c r="O707" s="162" t="n"/>
      <c r="P707" s="162" t="n"/>
      <c r="Q707" s="320" t="n"/>
      <c r="R707" s="162" t="inlineStr">
        <is>
          <t>CONTROLE PRODUÇÃO POR EMPRESAS!E123</t>
        </is>
      </c>
    </row>
    <row r="708" ht="28.5" customHeight="1">
      <c r="A708" s="317" t="n">
        <v>46340</v>
      </c>
      <c r="B708" t="inlineStr">
        <is>
          <t>GERAL</t>
        </is>
      </c>
      <c r="C708" t="inlineStr">
        <is>
          <t>CMM</t>
        </is>
      </c>
      <c r="D708" t="inlineStr">
        <is>
          <t>IÇAMENTO JOIST</t>
        </is>
      </c>
      <c r="F708" s="159">
        <f>IFERROR(INDEX('BASE METAS DIÁRIAS'!$N$2:$S$358,MATCH($A708,'BASE METAS DIÁRIAS'!$A$2:$A$358,0),MOD(ROW()-2,6)+1),"")</f>
        <v/>
      </c>
      <c r="G708" s="159">
        <f>IFERROR(IF(WEEKDAY($A708,2)&lt;=INDEX('BASE METAS DIÁRIAS'!$H$2:$M$358,MATCH($A708,'BASE METAS DIÁRIAS'!$A$2:$A$358,0),MOD(ROW()-2,6)+1),INDEX('BASE METAS DIÁRIAS'!$B$2:$G$358,MATCH($A708,'BASE METAS DIÁRIAS'!$A$2:$A$358,0),MOD(ROW()-2,6)+1),""),"")</f>
        <v/>
      </c>
      <c r="H708" s="159">
        <f>IFERROR(IF(INDEX('CONTROLE PRODUÇÃO POR EMPRESAS'!$B$6:$G$5000,MATCH($A708,'CONTROLE PRODUÇÃO POR EMPRESAS'!$A$6:$A$5000,0),MOD(ROW()-2,6)+1)="","",IFERROR(1*INDEX('CONTROLE PRODUÇÃO POR EMPRESAS'!$B$6:$G$5000,MATCH($A708,'CONTROLE PRODUÇÃO POR EMPRESAS'!$A$6:$A$5000,0),MOD(ROW()-2,6)+1),"")),"")</f>
        <v/>
      </c>
      <c r="I708" s="159">
        <f>IF(OR(NOT(ISNUMBER(G708)),NOT(ISNUMBER(H708))),"",H708-G708)</f>
        <v/>
      </c>
      <c r="J708" s="319">
        <f>IF(OR(NOT(ISNUMBER(G708)),NOT(ISNUMBER(H708)),G708=0),"",I708/G708)</f>
        <v/>
      </c>
      <c r="K708" s="319">
        <f>IF(OR(NOT(ISNUMBER(G708)),NOT(ISNUMBER(H708)),G708=0),"",H708/G708)</f>
        <v/>
      </c>
      <c r="L708">
        <f>IF(NOT(ISNUMBER(G708)),"SEM META",IF(G708=0,"SEM META",IF(NOT(ISNUMBER(H708)),"SEM APONTAMENTO",IF(H708&gt;=G708,"VERDE",IF(H708&gt;=G708*0.9,"AMARELO","VERMELHO")))))</f>
        <v/>
      </c>
      <c r="M708" s="162" t="n"/>
      <c r="N708" s="162" t="n"/>
      <c r="O708" s="162" t="n"/>
      <c r="P708" s="162" t="n"/>
      <c r="Q708" s="320" t="n"/>
      <c r="R708" s="162" t="inlineStr">
        <is>
          <t>CONTROLE PRODUÇÃO POR EMPRESAS!F123</t>
        </is>
      </c>
    </row>
    <row r="709" ht="28.5" customHeight="1">
      <c r="A709" s="317" t="n">
        <v>46340</v>
      </c>
      <c r="B709" t="inlineStr">
        <is>
          <t>GERAL</t>
        </is>
      </c>
      <c r="C709" t="inlineStr">
        <is>
          <t>CMM</t>
        </is>
      </c>
      <c r="D709" t="inlineStr">
        <is>
          <t>VIGAS</t>
        </is>
      </c>
      <c r="F709" s="159">
        <f>IFERROR(INDEX('BASE METAS DIÁRIAS'!$N$2:$S$358,MATCH($A709,'BASE METAS DIÁRIAS'!$A$2:$A$358,0),MOD(ROW()-2,6)+1),"")</f>
        <v/>
      </c>
      <c r="G709" s="159">
        <f>IFERROR(IF(WEEKDAY($A709,2)&lt;=INDEX('BASE METAS DIÁRIAS'!$H$2:$M$358,MATCH($A709,'BASE METAS DIÁRIAS'!$A$2:$A$358,0),MOD(ROW()-2,6)+1),INDEX('BASE METAS DIÁRIAS'!$B$2:$G$358,MATCH($A709,'BASE METAS DIÁRIAS'!$A$2:$A$358,0),MOD(ROW()-2,6)+1),""),"")</f>
        <v/>
      </c>
      <c r="H709" s="159">
        <f>IFERROR(IF(INDEX('CONTROLE PRODUÇÃO POR EMPRESAS'!$B$6:$G$5000,MATCH($A709,'CONTROLE PRODUÇÃO POR EMPRESAS'!$A$6:$A$5000,0),MOD(ROW()-2,6)+1)="","",IFERROR(1*INDEX('CONTROLE PRODUÇÃO POR EMPRESAS'!$B$6:$G$5000,MATCH($A709,'CONTROLE PRODUÇÃO POR EMPRESAS'!$A$6:$A$5000,0),MOD(ROW()-2,6)+1),"")),"")</f>
        <v/>
      </c>
      <c r="I709" s="159">
        <f>IF(OR(NOT(ISNUMBER(G709)),NOT(ISNUMBER(H709))),"",H709-G709)</f>
        <v/>
      </c>
      <c r="J709" s="319">
        <f>IF(OR(NOT(ISNUMBER(G709)),NOT(ISNUMBER(H709)),G709=0),"",I709/G709)</f>
        <v/>
      </c>
      <c r="K709" s="319">
        <f>IF(OR(NOT(ISNUMBER(G709)),NOT(ISNUMBER(H709)),G709=0),"",H709/G709)</f>
        <v/>
      </c>
      <c r="L709">
        <f>IF(NOT(ISNUMBER(G709)),"SEM META",IF(G709=0,"SEM META",IF(NOT(ISNUMBER(H709)),"SEM APONTAMENTO",IF(H709&gt;=G709,"VERDE",IF(H709&gt;=G709*0.9,"AMARELO","VERMELHO")))))</f>
        <v/>
      </c>
      <c r="M709" s="162" t="n"/>
      <c r="N709" s="162" t="n"/>
      <c r="O709" s="162" t="n"/>
      <c r="P709" s="162" t="n"/>
      <c r="Q709" s="320" t="n"/>
      <c r="R709" s="162" t="inlineStr">
        <is>
          <t>CONTROLE PRODUÇÃO POR EMPRESAS!G123</t>
        </is>
      </c>
    </row>
    <row r="710" ht="28.5" customHeight="1">
      <c r="A710" s="317" t="n">
        <v>46341</v>
      </c>
      <c r="B710" t="inlineStr">
        <is>
          <t>GERAL</t>
        </is>
      </c>
      <c r="C710" t="inlineStr">
        <is>
          <t>EJ</t>
        </is>
      </c>
      <c r="D710" t="inlineStr">
        <is>
          <t>PREMONTAGEM</t>
        </is>
      </c>
      <c r="F710" s="159">
        <f>IFERROR(INDEX('BASE METAS DIÁRIAS'!$N$2:$S$358,MATCH($A710,'BASE METAS DIÁRIAS'!$A$2:$A$358,0),MOD(ROW()-2,6)+1),"")</f>
        <v/>
      </c>
      <c r="G710" s="159">
        <f>IFERROR(IF(WEEKDAY($A710,2)&lt;=INDEX('BASE METAS DIÁRIAS'!$H$2:$M$358,MATCH($A710,'BASE METAS DIÁRIAS'!$A$2:$A$358,0),MOD(ROW()-2,6)+1),INDEX('BASE METAS DIÁRIAS'!$B$2:$G$358,MATCH($A710,'BASE METAS DIÁRIAS'!$A$2:$A$358,0),MOD(ROW()-2,6)+1),""),"")</f>
        <v/>
      </c>
      <c r="H710" s="159">
        <f>IFERROR(IF(INDEX('CONTROLE PRODUÇÃO POR EMPRESAS'!$B$6:$G$5000,MATCH($A710,'CONTROLE PRODUÇÃO POR EMPRESAS'!$A$6:$A$5000,0),MOD(ROW()-2,6)+1)="","",IFERROR(1*INDEX('CONTROLE PRODUÇÃO POR EMPRESAS'!$B$6:$G$5000,MATCH($A710,'CONTROLE PRODUÇÃO POR EMPRESAS'!$A$6:$A$5000,0),MOD(ROW()-2,6)+1),"")),"")</f>
        <v/>
      </c>
      <c r="I710" s="159">
        <f>IF(OR(NOT(ISNUMBER(G710)),NOT(ISNUMBER(H710))),"",H710-G710)</f>
        <v/>
      </c>
      <c r="J710" s="319">
        <f>IF(OR(NOT(ISNUMBER(G710)),NOT(ISNUMBER(H710)),G710=0),"",I710/G710)</f>
        <v/>
      </c>
      <c r="K710" s="319">
        <f>IF(OR(NOT(ISNUMBER(G710)),NOT(ISNUMBER(H710)),G710=0),"",H710/G710)</f>
        <v/>
      </c>
      <c r="L710">
        <f>IF(NOT(ISNUMBER(G710)),"SEM META",IF(G710=0,"SEM META",IF(NOT(ISNUMBER(H710)),"SEM APONTAMENTO",IF(H710&gt;=G710,"VERDE",IF(H710&gt;=G710*0.9,"AMARELO","VERMELHO")))))</f>
        <v/>
      </c>
      <c r="M710" s="162" t="n"/>
      <c r="N710" s="162" t="n"/>
      <c r="O710" s="162" t="n"/>
      <c r="P710" s="162" t="n"/>
      <c r="Q710" s="320" t="n"/>
      <c r="R710" s="162" t="inlineStr">
        <is>
          <t>CONTROLE PRODUÇÃO POR EMPRESAS!B124</t>
        </is>
      </c>
    </row>
    <row r="711" ht="28.5" customHeight="1">
      <c r="A711" s="317" t="n">
        <v>46341</v>
      </c>
      <c r="B711" t="inlineStr">
        <is>
          <t>GERAL</t>
        </is>
      </c>
      <c r="C711" t="inlineStr">
        <is>
          <t>EJ</t>
        </is>
      </c>
      <c r="D711" t="inlineStr">
        <is>
          <t>IÇAMENTO JOIST</t>
        </is>
      </c>
      <c r="F711" s="159">
        <f>IFERROR(INDEX('BASE METAS DIÁRIAS'!$N$2:$S$358,MATCH($A711,'BASE METAS DIÁRIAS'!$A$2:$A$358,0),MOD(ROW()-2,6)+1),"")</f>
        <v/>
      </c>
      <c r="G711" s="159">
        <f>IFERROR(IF(WEEKDAY($A711,2)&lt;=INDEX('BASE METAS DIÁRIAS'!$H$2:$M$358,MATCH($A711,'BASE METAS DIÁRIAS'!$A$2:$A$358,0),MOD(ROW()-2,6)+1),INDEX('BASE METAS DIÁRIAS'!$B$2:$G$358,MATCH($A711,'BASE METAS DIÁRIAS'!$A$2:$A$358,0),MOD(ROW()-2,6)+1),""),"")</f>
        <v/>
      </c>
      <c r="H711" s="159">
        <f>IFERROR(IF(INDEX('CONTROLE PRODUÇÃO POR EMPRESAS'!$B$6:$G$5000,MATCH($A711,'CONTROLE PRODUÇÃO POR EMPRESAS'!$A$6:$A$5000,0),MOD(ROW()-2,6)+1)="","",IFERROR(1*INDEX('CONTROLE PRODUÇÃO POR EMPRESAS'!$B$6:$G$5000,MATCH($A711,'CONTROLE PRODUÇÃO POR EMPRESAS'!$A$6:$A$5000,0),MOD(ROW()-2,6)+1),"")),"")</f>
        <v/>
      </c>
      <c r="I711" s="159">
        <f>IF(OR(NOT(ISNUMBER(G711)),NOT(ISNUMBER(H711))),"",H711-G711)</f>
        <v/>
      </c>
      <c r="J711" s="319">
        <f>IF(OR(NOT(ISNUMBER(G711)),NOT(ISNUMBER(H711)),G711=0),"",I711/G711)</f>
        <v/>
      </c>
      <c r="K711" s="319">
        <f>IF(OR(NOT(ISNUMBER(G711)),NOT(ISNUMBER(H711)),G711=0),"",H711/G711)</f>
        <v/>
      </c>
      <c r="L711">
        <f>IF(NOT(ISNUMBER(G711)),"SEM META",IF(G711=0,"SEM META",IF(NOT(ISNUMBER(H711)),"SEM APONTAMENTO",IF(H711&gt;=G711,"VERDE",IF(H711&gt;=G711*0.9,"AMARELO","VERMELHO")))))</f>
        <v/>
      </c>
      <c r="M711" s="162" t="n"/>
      <c r="N711" s="162" t="n"/>
      <c r="O711" s="162" t="n"/>
      <c r="P711" s="162" t="n"/>
      <c r="Q711" s="320" t="n"/>
      <c r="R711" s="162" t="inlineStr">
        <is>
          <t>CONTROLE PRODUÇÃO POR EMPRESAS!C124</t>
        </is>
      </c>
    </row>
    <row r="712" ht="28.5" customHeight="1">
      <c r="A712" s="317" t="n">
        <v>46341</v>
      </c>
      <c r="B712" t="inlineStr">
        <is>
          <t>GERAL</t>
        </is>
      </c>
      <c r="C712" t="inlineStr">
        <is>
          <t>EJ</t>
        </is>
      </c>
      <c r="D712" t="inlineStr">
        <is>
          <t>VIGAS</t>
        </is>
      </c>
      <c r="F712" s="159">
        <f>IFERROR(INDEX('BASE METAS DIÁRIAS'!$N$2:$S$358,MATCH($A712,'BASE METAS DIÁRIAS'!$A$2:$A$358,0),MOD(ROW()-2,6)+1),"")</f>
        <v/>
      </c>
      <c r="G712" s="159">
        <f>IFERROR(IF(WEEKDAY($A712,2)&lt;=INDEX('BASE METAS DIÁRIAS'!$H$2:$M$358,MATCH($A712,'BASE METAS DIÁRIAS'!$A$2:$A$358,0),MOD(ROW()-2,6)+1),INDEX('BASE METAS DIÁRIAS'!$B$2:$G$358,MATCH($A712,'BASE METAS DIÁRIAS'!$A$2:$A$358,0),MOD(ROW()-2,6)+1),""),"")</f>
        <v/>
      </c>
      <c r="H712" s="159">
        <f>IFERROR(IF(INDEX('CONTROLE PRODUÇÃO POR EMPRESAS'!$B$6:$G$5000,MATCH($A712,'CONTROLE PRODUÇÃO POR EMPRESAS'!$A$6:$A$5000,0),MOD(ROW()-2,6)+1)="","",IFERROR(1*INDEX('CONTROLE PRODUÇÃO POR EMPRESAS'!$B$6:$G$5000,MATCH($A712,'CONTROLE PRODUÇÃO POR EMPRESAS'!$A$6:$A$5000,0),MOD(ROW()-2,6)+1),"")),"")</f>
        <v/>
      </c>
      <c r="I712" s="159">
        <f>IF(OR(NOT(ISNUMBER(G712)),NOT(ISNUMBER(H712))),"",H712-G712)</f>
        <v/>
      </c>
      <c r="J712" s="319">
        <f>IF(OR(NOT(ISNUMBER(G712)),NOT(ISNUMBER(H712)),G712=0),"",I712/G712)</f>
        <v/>
      </c>
      <c r="K712" s="319">
        <f>IF(OR(NOT(ISNUMBER(G712)),NOT(ISNUMBER(H712)),G712=0),"",H712/G712)</f>
        <v/>
      </c>
      <c r="L712">
        <f>IF(NOT(ISNUMBER(G712)),"SEM META",IF(G712=0,"SEM META",IF(NOT(ISNUMBER(H712)),"SEM APONTAMENTO",IF(H712&gt;=G712,"VERDE",IF(H712&gt;=G712*0.9,"AMARELO","VERMELHO")))))</f>
        <v/>
      </c>
      <c r="M712" s="162" t="n"/>
      <c r="N712" s="162" t="n"/>
      <c r="O712" s="162" t="n"/>
      <c r="P712" s="162" t="n"/>
      <c r="Q712" s="320" t="n"/>
      <c r="R712" s="162" t="inlineStr">
        <is>
          <t>CONTROLE PRODUÇÃO POR EMPRESAS!D124</t>
        </is>
      </c>
    </row>
    <row r="713" ht="28.5" customHeight="1">
      <c r="A713" s="317" t="n">
        <v>46341</v>
      </c>
      <c r="B713" t="inlineStr">
        <is>
          <t>GERAL</t>
        </is>
      </c>
      <c r="C713" t="inlineStr">
        <is>
          <t>CMM</t>
        </is>
      </c>
      <c r="D713" t="inlineStr">
        <is>
          <t>PREMONTAGEM</t>
        </is>
      </c>
      <c r="F713" s="159">
        <f>IFERROR(INDEX('BASE METAS DIÁRIAS'!$N$2:$S$358,MATCH($A713,'BASE METAS DIÁRIAS'!$A$2:$A$358,0),MOD(ROW()-2,6)+1),"")</f>
        <v/>
      </c>
      <c r="G713" s="159">
        <f>IFERROR(IF(WEEKDAY($A713,2)&lt;=INDEX('BASE METAS DIÁRIAS'!$H$2:$M$358,MATCH($A713,'BASE METAS DIÁRIAS'!$A$2:$A$358,0),MOD(ROW()-2,6)+1),INDEX('BASE METAS DIÁRIAS'!$B$2:$G$358,MATCH($A713,'BASE METAS DIÁRIAS'!$A$2:$A$358,0),MOD(ROW()-2,6)+1),""),"")</f>
        <v/>
      </c>
      <c r="H713" s="159">
        <f>IFERROR(IF(INDEX('CONTROLE PRODUÇÃO POR EMPRESAS'!$B$6:$G$5000,MATCH($A713,'CONTROLE PRODUÇÃO POR EMPRESAS'!$A$6:$A$5000,0),MOD(ROW()-2,6)+1)="","",IFERROR(1*INDEX('CONTROLE PRODUÇÃO POR EMPRESAS'!$B$6:$G$5000,MATCH($A713,'CONTROLE PRODUÇÃO POR EMPRESAS'!$A$6:$A$5000,0),MOD(ROW()-2,6)+1),"")),"")</f>
        <v/>
      </c>
      <c r="I713" s="159">
        <f>IF(OR(NOT(ISNUMBER(G713)),NOT(ISNUMBER(H713))),"",H713-G713)</f>
        <v/>
      </c>
      <c r="J713" s="319">
        <f>IF(OR(NOT(ISNUMBER(G713)),NOT(ISNUMBER(H713)),G713=0),"",I713/G713)</f>
        <v/>
      </c>
      <c r="K713" s="319">
        <f>IF(OR(NOT(ISNUMBER(G713)),NOT(ISNUMBER(H713)),G713=0),"",H713/G713)</f>
        <v/>
      </c>
      <c r="L713">
        <f>IF(NOT(ISNUMBER(G713)),"SEM META",IF(G713=0,"SEM META",IF(NOT(ISNUMBER(H713)),"SEM APONTAMENTO",IF(H713&gt;=G713,"VERDE",IF(H713&gt;=G713*0.9,"AMARELO","VERMELHO")))))</f>
        <v/>
      </c>
      <c r="M713" s="162" t="n"/>
      <c r="N713" s="162" t="n"/>
      <c r="O713" s="162" t="n"/>
      <c r="P713" s="162" t="n"/>
      <c r="Q713" s="320" t="n"/>
      <c r="R713" s="162" t="inlineStr">
        <is>
          <t>CONTROLE PRODUÇÃO POR EMPRESAS!E124</t>
        </is>
      </c>
    </row>
    <row r="714" ht="28.5" customHeight="1">
      <c r="A714" s="317" t="n">
        <v>46341</v>
      </c>
      <c r="B714" t="inlineStr">
        <is>
          <t>GERAL</t>
        </is>
      </c>
      <c r="C714" t="inlineStr">
        <is>
          <t>CMM</t>
        </is>
      </c>
      <c r="D714" t="inlineStr">
        <is>
          <t>IÇAMENTO JOIST</t>
        </is>
      </c>
      <c r="F714" s="159">
        <f>IFERROR(INDEX('BASE METAS DIÁRIAS'!$N$2:$S$358,MATCH($A714,'BASE METAS DIÁRIAS'!$A$2:$A$358,0),MOD(ROW()-2,6)+1),"")</f>
        <v/>
      </c>
      <c r="G714" s="159">
        <f>IFERROR(IF(WEEKDAY($A714,2)&lt;=INDEX('BASE METAS DIÁRIAS'!$H$2:$M$358,MATCH($A714,'BASE METAS DIÁRIAS'!$A$2:$A$358,0),MOD(ROW()-2,6)+1),INDEX('BASE METAS DIÁRIAS'!$B$2:$G$358,MATCH($A714,'BASE METAS DIÁRIAS'!$A$2:$A$358,0),MOD(ROW()-2,6)+1),""),"")</f>
        <v/>
      </c>
      <c r="H714" s="159">
        <f>IFERROR(IF(INDEX('CONTROLE PRODUÇÃO POR EMPRESAS'!$B$6:$G$5000,MATCH($A714,'CONTROLE PRODUÇÃO POR EMPRESAS'!$A$6:$A$5000,0),MOD(ROW()-2,6)+1)="","",IFERROR(1*INDEX('CONTROLE PRODUÇÃO POR EMPRESAS'!$B$6:$G$5000,MATCH($A714,'CONTROLE PRODUÇÃO POR EMPRESAS'!$A$6:$A$5000,0),MOD(ROW()-2,6)+1),"")),"")</f>
        <v/>
      </c>
      <c r="I714" s="159">
        <f>IF(OR(NOT(ISNUMBER(G714)),NOT(ISNUMBER(H714))),"",H714-G714)</f>
        <v/>
      </c>
      <c r="J714" s="319">
        <f>IF(OR(NOT(ISNUMBER(G714)),NOT(ISNUMBER(H714)),G714=0),"",I714/G714)</f>
        <v/>
      </c>
      <c r="K714" s="319">
        <f>IF(OR(NOT(ISNUMBER(G714)),NOT(ISNUMBER(H714)),G714=0),"",H714/G714)</f>
        <v/>
      </c>
      <c r="L714">
        <f>IF(NOT(ISNUMBER(G714)),"SEM META",IF(G714=0,"SEM META",IF(NOT(ISNUMBER(H714)),"SEM APONTAMENTO",IF(H714&gt;=G714,"VERDE",IF(H714&gt;=G714*0.9,"AMARELO","VERMELHO")))))</f>
        <v/>
      </c>
      <c r="M714" s="162" t="n"/>
      <c r="N714" s="162" t="n"/>
      <c r="O714" s="162" t="n"/>
      <c r="P714" s="162" t="n"/>
      <c r="Q714" s="320" t="n"/>
      <c r="R714" s="162" t="inlineStr">
        <is>
          <t>CONTROLE PRODUÇÃO POR EMPRESAS!F124</t>
        </is>
      </c>
    </row>
    <row r="715" ht="28.5" customHeight="1">
      <c r="A715" s="317" t="n">
        <v>46341</v>
      </c>
      <c r="B715" t="inlineStr">
        <is>
          <t>GERAL</t>
        </is>
      </c>
      <c r="C715" t="inlineStr">
        <is>
          <t>CMM</t>
        </is>
      </c>
      <c r="D715" t="inlineStr">
        <is>
          <t>VIGAS</t>
        </is>
      </c>
      <c r="F715" s="159">
        <f>IFERROR(INDEX('BASE METAS DIÁRIAS'!$N$2:$S$358,MATCH($A715,'BASE METAS DIÁRIAS'!$A$2:$A$358,0),MOD(ROW()-2,6)+1),"")</f>
        <v/>
      </c>
      <c r="G715" s="159">
        <f>IFERROR(IF(WEEKDAY($A715,2)&lt;=INDEX('BASE METAS DIÁRIAS'!$H$2:$M$358,MATCH($A715,'BASE METAS DIÁRIAS'!$A$2:$A$358,0),MOD(ROW()-2,6)+1),INDEX('BASE METAS DIÁRIAS'!$B$2:$G$358,MATCH($A715,'BASE METAS DIÁRIAS'!$A$2:$A$358,0),MOD(ROW()-2,6)+1),""),"")</f>
        <v/>
      </c>
      <c r="H715" s="159">
        <f>IFERROR(IF(INDEX('CONTROLE PRODUÇÃO POR EMPRESAS'!$B$6:$G$5000,MATCH($A715,'CONTROLE PRODUÇÃO POR EMPRESAS'!$A$6:$A$5000,0),MOD(ROW()-2,6)+1)="","",IFERROR(1*INDEX('CONTROLE PRODUÇÃO POR EMPRESAS'!$B$6:$G$5000,MATCH($A715,'CONTROLE PRODUÇÃO POR EMPRESAS'!$A$6:$A$5000,0),MOD(ROW()-2,6)+1),"")),"")</f>
        <v/>
      </c>
      <c r="I715" s="159">
        <f>IF(OR(NOT(ISNUMBER(G715)),NOT(ISNUMBER(H715))),"",H715-G715)</f>
        <v/>
      </c>
      <c r="J715" s="319">
        <f>IF(OR(NOT(ISNUMBER(G715)),NOT(ISNUMBER(H715)),G715=0),"",I715/G715)</f>
        <v/>
      </c>
      <c r="K715" s="319">
        <f>IF(OR(NOT(ISNUMBER(G715)),NOT(ISNUMBER(H715)),G715=0),"",H715/G715)</f>
        <v/>
      </c>
      <c r="L715">
        <f>IF(NOT(ISNUMBER(G715)),"SEM META",IF(G715=0,"SEM META",IF(NOT(ISNUMBER(H715)),"SEM APONTAMENTO",IF(H715&gt;=G715,"VERDE",IF(H715&gt;=G715*0.9,"AMARELO","VERMELHO")))))</f>
        <v/>
      </c>
      <c r="M715" s="162" t="n"/>
      <c r="N715" s="162" t="n"/>
      <c r="O715" s="162" t="n"/>
      <c r="P715" s="162" t="n"/>
      <c r="Q715" s="320" t="n"/>
      <c r="R715" s="162" t="inlineStr">
        <is>
          <t>CONTROLE PRODUÇÃO POR EMPRESAS!G124</t>
        </is>
      </c>
    </row>
    <row r="716" ht="28.5" customHeight="1">
      <c r="A716" s="317" t="n">
        <v>46342</v>
      </c>
      <c r="B716" t="inlineStr">
        <is>
          <t>GERAL</t>
        </is>
      </c>
      <c r="C716" t="inlineStr">
        <is>
          <t>EJ</t>
        </is>
      </c>
      <c r="D716" t="inlineStr">
        <is>
          <t>PREMONTAGEM</t>
        </is>
      </c>
      <c r="F716" s="159">
        <f>IFERROR(INDEX('BASE METAS DIÁRIAS'!$N$2:$S$358,MATCH($A716,'BASE METAS DIÁRIAS'!$A$2:$A$358,0),MOD(ROW()-2,6)+1),"")</f>
        <v/>
      </c>
      <c r="G716" s="159">
        <f>IFERROR(IF(WEEKDAY($A716,2)&lt;=INDEX('BASE METAS DIÁRIAS'!$H$2:$M$358,MATCH($A716,'BASE METAS DIÁRIAS'!$A$2:$A$358,0),MOD(ROW()-2,6)+1),INDEX('BASE METAS DIÁRIAS'!$B$2:$G$358,MATCH($A716,'BASE METAS DIÁRIAS'!$A$2:$A$358,0),MOD(ROW()-2,6)+1),""),"")</f>
        <v/>
      </c>
      <c r="H716" s="159">
        <f>IFERROR(IF(INDEX('CONTROLE PRODUÇÃO POR EMPRESAS'!$B$6:$G$5000,MATCH($A716,'CONTROLE PRODUÇÃO POR EMPRESAS'!$A$6:$A$5000,0),MOD(ROW()-2,6)+1)="","",IFERROR(1*INDEX('CONTROLE PRODUÇÃO POR EMPRESAS'!$B$6:$G$5000,MATCH($A716,'CONTROLE PRODUÇÃO POR EMPRESAS'!$A$6:$A$5000,0),MOD(ROW()-2,6)+1),"")),"")</f>
        <v/>
      </c>
      <c r="I716" s="159">
        <f>IF(OR(NOT(ISNUMBER(G716)),NOT(ISNUMBER(H716))),"",H716-G716)</f>
        <v/>
      </c>
      <c r="J716" s="319">
        <f>IF(OR(NOT(ISNUMBER(G716)),NOT(ISNUMBER(H716)),G716=0),"",I716/G716)</f>
        <v/>
      </c>
      <c r="K716" s="319">
        <f>IF(OR(NOT(ISNUMBER(G716)),NOT(ISNUMBER(H716)),G716=0),"",H716/G716)</f>
        <v/>
      </c>
      <c r="L716">
        <f>IF(NOT(ISNUMBER(G716)),"SEM META",IF(G716=0,"SEM META",IF(NOT(ISNUMBER(H716)),"SEM APONTAMENTO",IF(H716&gt;=G716,"VERDE",IF(H716&gt;=G716*0.9,"AMARELO","VERMELHO")))))</f>
        <v/>
      </c>
      <c r="M716" s="162" t="n"/>
      <c r="N716" s="162" t="n"/>
      <c r="O716" s="162" t="n"/>
      <c r="P716" s="162" t="n"/>
      <c r="Q716" s="320" t="n"/>
      <c r="R716" s="162" t="inlineStr">
        <is>
          <t>CONTROLE PRODUÇÃO POR EMPRESAS!B125</t>
        </is>
      </c>
    </row>
    <row r="717" ht="28.5" customHeight="1">
      <c r="A717" s="317" t="n">
        <v>46342</v>
      </c>
      <c r="B717" t="inlineStr">
        <is>
          <t>GERAL</t>
        </is>
      </c>
      <c r="C717" t="inlineStr">
        <is>
          <t>EJ</t>
        </is>
      </c>
      <c r="D717" t="inlineStr">
        <is>
          <t>IÇAMENTO JOIST</t>
        </is>
      </c>
      <c r="F717" s="159">
        <f>IFERROR(INDEX('BASE METAS DIÁRIAS'!$N$2:$S$358,MATCH($A717,'BASE METAS DIÁRIAS'!$A$2:$A$358,0),MOD(ROW()-2,6)+1),"")</f>
        <v/>
      </c>
      <c r="G717" s="159">
        <f>IFERROR(IF(WEEKDAY($A717,2)&lt;=INDEX('BASE METAS DIÁRIAS'!$H$2:$M$358,MATCH($A717,'BASE METAS DIÁRIAS'!$A$2:$A$358,0),MOD(ROW()-2,6)+1),INDEX('BASE METAS DIÁRIAS'!$B$2:$G$358,MATCH($A717,'BASE METAS DIÁRIAS'!$A$2:$A$358,0),MOD(ROW()-2,6)+1),""),"")</f>
        <v/>
      </c>
      <c r="H717" s="159">
        <f>IFERROR(IF(INDEX('CONTROLE PRODUÇÃO POR EMPRESAS'!$B$6:$G$5000,MATCH($A717,'CONTROLE PRODUÇÃO POR EMPRESAS'!$A$6:$A$5000,0),MOD(ROW()-2,6)+1)="","",IFERROR(1*INDEX('CONTROLE PRODUÇÃO POR EMPRESAS'!$B$6:$G$5000,MATCH($A717,'CONTROLE PRODUÇÃO POR EMPRESAS'!$A$6:$A$5000,0),MOD(ROW()-2,6)+1),"")),"")</f>
        <v/>
      </c>
      <c r="I717" s="159">
        <f>IF(OR(NOT(ISNUMBER(G717)),NOT(ISNUMBER(H717))),"",H717-G717)</f>
        <v/>
      </c>
      <c r="J717" s="319">
        <f>IF(OR(NOT(ISNUMBER(G717)),NOT(ISNUMBER(H717)),G717=0),"",I717/G717)</f>
        <v/>
      </c>
      <c r="K717" s="319">
        <f>IF(OR(NOT(ISNUMBER(G717)),NOT(ISNUMBER(H717)),G717=0),"",H717/G717)</f>
        <v/>
      </c>
      <c r="L717">
        <f>IF(NOT(ISNUMBER(G717)),"SEM META",IF(G717=0,"SEM META",IF(NOT(ISNUMBER(H717)),"SEM APONTAMENTO",IF(H717&gt;=G717,"VERDE",IF(H717&gt;=G717*0.9,"AMARELO","VERMELHO")))))</f>
        <v/>
      </c>
      <c r="M717" s="162" t="n"/>
      <c r="N717" s="162" t="n"/>
      <c r="O717" s="162" t="n"/>
      <c r="P717" s="162" t="n"/>
      <c r="Q717" s="320" t="n"/>
      <c r="R717" s="162" t="inlineStr">
        <is>
          <t>CONTROLE PRODUÇÃO POR EMPRESAS!C125</t>
        </is>
      </c>
    </row>
    <row r="718" ht="28.5" customHeight="1">
      <c r="A718" s="317" t="n">
        <v>46342</v>
      </c>
      <c r="B718" t="inlineStr">
        <is>
          <t>GERAL</t>
        </is>
      </c>
      <c r="C718" t="inlineStr">
        <is>
          <t>EJ</t>
        </is>
      </c>
      <c r="D718" t="inlineStr">
        <is>
          <t>VIGAS</t>
        </is>
      </c>
      <c r="F718" s="159">
        <f>IFERROR(INDEX('BASE METAS DIÁRIAS'!$N$2:$S$358,MATCH($A718,'BASE METAS DIÁRIAS'!$A$2:$A$358,0),MOD(ROW()-2,6)+1),"")</f>
        <v/>
      </c>
      <c r="G718" s="159">
        <f>IFERROR(IF(WEEKDAY($A718,2)&lt;=INDEX('BASE METAS DIÁRIAS'!$H$2:$M$358,MATCH($A718,'BASE METAS DIÁRIAS'!$A$2:$A$358,0),MOD(ROW()-2,6)+1),INDEX('BASE METAS DIÁRIAS'!$B$2:$G$358,MATCH($A718,'BASE METAS DIÁRIAS'!$A$2:$A$358,0),MOD(ROW()-2,6)+1),""),"")</f>
        <v/>
      </c>
      <c r="H718" s="159">
        <f>IFERROR(IF(INDEX('CONTROLE PRODUÇÃO POR EMPRESAS'!$B$6:$G$5000,MATCH($A718,'CONTROLE PRODUÇÃO POR EMPRESAS'!$A$6:$A$5000,0),MOD(ROW()-2,6)+1)="","",IFERROR(1*INDEX('CONTROLE PRODUÇÃO POR EMPRESAS'!$B$6:$G$5000,MATCH($A718,'CONTROLE PRODUÇÃO POR EMPRESAS'!$A$6:$A$5000,0),MOD(ROW()-2,6)+1),"")),"")</f>
        <v/>
      </c>
      <c r="I718" s="159">
        <f>IF(OR(NOT(ISNUMBER(G718)),NOT(ISNUMBER(H718))),"",H718-G718)</f>
        <v/>
      </c>
      <c r="J718" s="319">
        <f>IF(OR(NOT(ISNUMBER(G718)),NOT(ISNUMBER(H718)),G718=0),"",I718/G718)</f>
        <v/>
      </c>
      <c r="K718" s="319">
        <f>IF(OR(NOT(ISNUMBER(G718)),NOT(ISNUMBER(H718)),G718=0),"",H718/G718)</f>
        <v/>
      </c>
      <c r="L718">
        <f>IF(NOT(ISNUMBER(G718)),"SEM META",IF(G718=0,"SEM META",IF(NOT(ISNUMBER(H718)),"SEM APONTAMENTO",IF(H718&gt;=G718,"VERDE",IF(H718&gt;=G718*0.9,"AMARELO","VERMELHO")))))</f>
        <v/>
      </c>
      <c r="M718" s="162" t="n"/>
      <c r="N718" s="162" t="n"/>
      <c r="O718" s="162" t="n"/>
      <c r="P718" s="162" t="n"/>
      <c r="Q718" s="320" t="n"/>
      <c r="R718" s="162" t="inlineStr">
        <is>
          <t>CONTROLE PRODUÇÃO POR EMPRESAS!D125</t>
        </is>
      </c>
    </row>
    <row r="719" ht="28.5" customHeight="1">
      <c r="A719" s="317" t="n">
        <v>46342</v>
      </c>
      <c r="B719" t="inlineStr">
        <is>
          <t>GERAL</t>
        </is>
      </c>
      <c r="C719" t="inlineStr">
        <is>
          <t>CMM</t>
        </is>
      </c>
      <c r="D719" t="inlineStr">
        <is>
          <t>PREMONTAGEM</t>
        </is>
      </c>
      <c r="F719" s="159">
        <f>IFERROR(INDEX('BASE METAS DIÁRIAS'!$N$2:$S$358,MATCH($A719,'BASE METAS DIÁRIAS'!$A$2:$A$358,0),MOD(ROW()-2,6)+1),"")</f>
        <v/>
      </c>
      <c r="G719" s="159">
        <f>IFERROR(IF(WEEKDAY($A719,2)&lt;=INDEX('BASE METAS DIÁRIAS'!$H$2:$M$358,MATCH($A719,'BASE METAS DIÁRIAS'!$A$2:$A$358,0),MOD(ROW()-2,6)+1),INDEX('BASE METAS DIÁRIAS'!$B$2:$G$358,MATCH($A719,'BASE METAS DIÁRIAS'!$A$2:$A$358,0),MOD(ROW()-2,6)+1),""),"")</f>
        <v/>
      </c>
      <c r="H719" s="159">
        <f>IFERROR(IF(INDEX('CONTROLE PRODUÇÃO POR EMPRESAS'!$B$6:$G$5000,MATCH($A719,'CONTROLE PRODUÇÃO POR EMPRESAS'!$A$6:$A$5000,0),MOD(ROW()-2,6)+1)="","",IFERROR(1*INDEX('CONTROLE PRODUÇÃO POR EMPRESAS'!$B$6:$G$5000,MATCH($A719,'CONTROLE PRODUÇÃO POR EMPRESAS'!$A$6:$A$5000,0),MOD(ROW()-2,6)+1),"")),"")</f>
        <v/>
      </c>
      <c r="I719" s="159">
        <f>IF(OR(NOT(ISNUMBER(G719)),NOT(ISNUMBER(H719))),"",H719-G719)</f>
        <v/>
      </c>
      <c r="J719" s="319">
        <f>IF(OR(NOT(ISNUMBER(G719)),NOT(ISNUMBER(H719)),G719=0),"",I719/G719)</f>
        <v/>
      </c>
      <c r="K719" s="319">
        <f>IF(OR(NOT(ISNUMBER(G719)),NOT(ISNUMBER(H719)),G719=0),"",H719/G719)</f>
        <v/>
      </c>
      <c r="L719">
        <f>IF(NOT(ISNUMBER(G719)),"SEM META",IF(G719=0,"SEM META",IF(NOT(ISNUMBER(H719)),"SEM APONTAMENTO",IF(H719&gt;=G719,"VERDE",IF(H719&gt;=G719*0.9,"AMARELO","VERMELHO")))))</f>
        <v/>
      </c>
      <c r="M719" s="162" t="n"/>
      <c r="N719" s="162" t="n"/>
      <c r="O719" s="162" t="n"/>
      <c r="P719" s="162" t="n"/>
      <c r="Q719" s="320" t="n"/>
      <c r="R719" s="162" t="inlineStr">
        <is>
          <t>CONTROLE PRODUÇÃO POR EMPRESAS!E125</t>
        </is>
      </c>
    </row>
    <row r="720" ht="28.5" customHeight="1">
      <c r="A720" s="317" t="n">
        <v>46342</v>
      </c>
      <c r="B720" t="inlineStr">
        <is>
          <t>GERAL</t>
        </is>
      </c>
      <c r="C720" t="inlineStr">
        <is>
          <t>CMM</t>
        </is>
      </c>
      <c r="D720" t="inlineStr">
        <is>
          <t>IÇAMENTO JOIST</t>
        </is>
      </c>
      <c r="F720" s="159">
        <f>IFERROR(INDEX('BASE METAS DIÁRIAS'!$N$2:$S$358,MATCH($A720,'BASE METAS DIÁRIAS'!$A$2:$A$358,0),MOD(ROW()-2,6)+1),"")</f>
        <v/>
      </c>
      <c r="G720" s="159">
        <f>IFERROR(IF(WEEKDAY($A720,2)&lt;=INDEX('BASE METAS DIÁRIAS'!$H$2:$M$358,MATCH($A720,'BASE METAS DIÁRIAS'!$A$2:$A$358,0),MOD(ROW()-2,6)+1),INDEX('BASE METAS DIÁRIAS'!$B$2:$G$358,MATCH($A720,'BASE METAS DIÁRIAS'!$A$2:$A$358,0),MOD(ROW()-2,6)+1),""),"")</f>
        <v/>
      </c>
      <c r="H720" s="159">
        <f>IFERROR(IF(INDEX('CONTROLE PRODUÇÃO POR EMPRESAS'!$B$6:$G$5000,MATCH($A720,'CONTROLE PRODUÇÃO POR EMPRESAS'!$A$6:$A$5000,0),MOD(ROW()-2,6)+1)="","",IFERROR(1*INDEX('CONTROLE PRODUÇÃO POR EMPRESAS'!$B$6:$G$5000,MATCH($A720,'CONTROLE PRODUÇÃO POR EMPRESAS'!$A$6:$A$5000,0),MOD(ROW()-2,6)+1),"")),"")</f>
        <v/>
      </c>
      <c r="I720" s="159">
        <f>IF(OR(NOT(ISNUMBER(G720)),NOT(ISNUMBER(H720))),"",H720-G720)</f>
        <v/>
      </c>
      <c r="J720" s="319">
        <f>IF(OR(NOT(ISNUMBER(G720)),NOT(ISNUMBER(H720)),G720=0),"",I720/G720)</f>
        <v/>
      </c>
      <c r="K720" s="319">
        <f>IF(OR(NOT(ISNUMBER(G720)),NOT(ISNUMBER(H720)),G720=0),"",H720/G720)</f>
        <v/>
      </c>
      <c r="L720">
        <f>IF(NOT(ISNUMBER(G720)),"SEM META",IF(G720=0,"SEM META",IF(NOT(ISNUMBER(H720)),"SEM APONTAMENTO",IF(H720&gt;=G720,"VERDE",IF(H720&gt;=G720*0.9,"AMARELO","VERMELHO")))))</f>
        <v/>
      </c>
      <c r="M720" s="162" t="n"/>
      <c r="N720" s="162" t="n"/>
      <c r="O720" s="162" t="n"/>
      <c r="P720" s="162" t="n"/>
      <c r="Q720" s="320" t="n"/>
      <c r="R720" s="162" t="inlineStr">
        <is>
          <t>CONTROLE PRODUÇÃO POR EMPRESAS!F125</t>
        </is>
      </c>
    </row>
    <row r="721" ht="28.5" customHeight="1">
      <c r="A721" s="317" t="n">
        <v>46342</v>
      </c>
      <c r="B721" t="inlineStr">
        <is>
          <t>GERAL</t>
        </is>
      </c>
      <c r="C721" t="inlineStr">
        <is>
          <t>CMM</t>
        </is>
      </c>
      <c r="D721" t="inlineStr">
        <is>
          <t>VIGAS</t>
        </is>
      </c>
      <c r="F721" s="159">
        <f>IFERROR(INDEX('BASE METAS DIÁRIAS'!$N$2:$S$358,MATCH($A721,'BASE METAS DIÁRIAS'!$A$2:$A$358,0),MOD(ROW()-2,6)+1),"")</f>
        <v/>
      </c>
      <c r="G721" s="159">
        <f>IFERROR(IF(WEEKDAY($A721,2)&lt;=INDEX('BASE METAS DIÁRIAS'!$H$2:$M$358,MATCH($A721,'BASE METAS DIÁRIAS'!$A$2:$A$358,0),MOD(ROW()-2,6)+1),INDEX('BASE METAS DIÁRIAS'!$B$2:$G$358,MATCH($A721,'BASE METAS DIÁRIAS'!$A$2:$A$358,0),MOD(ROW()-2,6)+1),""),"")</f>
        <v/>
      </c>
      <c r="H721" s="159">
        <f>IFERROR(IF(INDEX('CONTROLE PRODUÇÃO POR EMPRESAS'!$B$6:$G$5000,MATCH($A721,'CONTROLE PRODUÇÃO POR EMPRESAS'!$A$6:$A$5000,0),MOD(ROW()-2,6)+1)="","",IFERROR(1*INDEX('CONTROLE PRODUÇÃO POR EMPRESAS'!$B$6:$G$5000,MATCH($A721,'CONTROLE PRODUÇÃO POR EMPRESAS'!$A$6:$A$5000,0),MOD(ROW()-2,6)+1),"")),"")</f>
        <v/>
      </c>
      <c r="I721" s="159">
        <f>IF(OR(NOT(ISNUMBER(G721)),NOT(ISNUMBER(H721))),"",H721-G721)</f>
        <v/>
      </c>
      <c r="J721" s="319">
        <f>IF(OR(NOT(ISNUMBER(G721)),NOT(ISNUMBER(H721)),G721=0),"",I721/G721)</f>
        <v/>
      </c>
      <c r="K721" s="319">
        <f>IF(OR(NOT(ISNUMBER(G721)),NOT(ISNUMBER(H721)),G721=0),"",H721/G721)</f>
        <v/>
      </c>
      <c r="L721">
        <f>IF(NOT(ISNUMBER(G721)),"SEM META",IF(G721=0,"SEM META",IF(NOT(ISNUMBER(H721)),"SEM APONTAMENTO",IF(H721&gt;=G721,"VERDE",IF(H721&gt;=G721*0.9,"AMARELO","VERMELHO")))))</f>
        <v/>
      </c>
      <c r="M721" s="162" t="n"/>
      <c r="N721" s="162" t="n"/>
      <c r="O721" s="162" t="n"/>
      <c r="P721" s="162" t="n"/>
      <c r="Q721" s="320" t="n"/>
      <c r="R721" s="162" t="inlineStr">
        <is>
          <t>CONTROLE PRODUÇÃO POR EMPRESAS!G125</t>
        </is>
      </c>
    </row>
    <row r="722" ht="28.5" customHeight="1">
      <c r="A722" s="317" t="n">
        <v>46343</v>
      </c>
      <c r="B722" t="inlineStr">
        <is>
          <t>GERAL</t>
        </is>
      </c>
      <c r="C722" t="inlineStr">
        <is>
          <t>EJ</t>
        </is>
      </c>
      <c r="D722" t="inlineStr">
        <is>
          <t>PREMONTAGEM</t>
        </is>
      </c>
      <c r="F722" s="159">
        <f>IFERROR(INDEX('BASE METAS DIÁRIAS'!$N$2:$S$358,MATCH($A722,'BASE METAS DIÁRIAS'!$A$2:$A$358,0),MOD(ROW()-2,6)+1),"")</f>
        <v/>
      </c>
      <c r="G722" s="159">
        <f>IFERROR(IF(WEEKDAY($A722,2)&lt;=INDEX('BASE METAS DIÁRIAS'!$H$2:$M$358,MATCH($A722,'BASE METAS DIÁRIAS'!$A$2:$A$358,0),MOD(ROW()-2,6)+1),INDEX('BASE METAS DIÁRIAS'!$B$2:$G$358,MATCH($A722,'BASE METAS DIÁRIAS'!$A$2:$A$358,0),MOD(ROW()-2,6)+1),""),"")</f>
        <v/>
      </c>
      <c r="H722" s="159">
        <f>IFERROR(IF(INDEX('CONTROLE PRODUÇÃO POR EMPRESAS'!$B$6:$G$5000,MATCH($A722,'CONTROLE PRODUÇÃO POR EMPRESAS'!$A$6:$A$5000,0),MOD(ROW()-2,6)+1)="","",IFERROR(1*INDEX('CONTROLE PRODUÇÃO POR EMPRESAS'!$B$6:$G$5000,MATCH($A722,'CONTROLE PRODUÇÃO POR EMPRESAS'!$A$6:$A$5000,0),MOD(ROW()-2,6)+1),"")),"")</f>
        <v/>
      </c>
      <c r="I722" s="159">
        <f>IF(OR(NOT(ISNUMBER(G722)),NOT(ISNUMBER(H722))),"",H722-G722)</f>
        <v/>
      </c>
      <c r="J722" s="319">
        <f>IF(OR(NOT(ISNUMBER(G722)),NOT(ISNUMBER(H722)),G722=0),"",I722/G722)</f>
        <v/>
      </c>
      <c r="K722" s="319">
        <f>IF(OR(NOT(ISNUMBER(G722)),NOT(ISNUMBER(H722)),G722=0),"",H722/G722)</f>
        <v/>
      </c>
      <c r="L722">
        <f>IF(NOT(ISNUMBER(G722)),"SEM META",IF(G722=0,"SEM META",IF(NOT(ISNUMBER(H722)),"SEM APONTAMENTO",IF(H722&gt;=G722,"VERDE",IF(H722&gt;=G722*0.9,"AMARELO","VERMELHO")))))</f>
        <v/>
      </c>
      <c r="M722" s="162" t="n"/>
      <c r="N722" s="162" t="n"/>
      <c r="O722" s="162" t="n"/>
      <c r="P722" s="162" t="n"/>
      <c r="Q722" s="320" t="n"/>
      <c r="R722" s="162" t="inlineStr">
        <is>
          <t>CONTROLE PRODUÇÃO POR EMPRESAS!B126</t>
        </is>
      </c>
    </row>
    <row r="723" ht="28.5" customHeight="1">
      <c r="A723" s="317" t="n">
        <v>46343</v>
      </c>
      <c r="B723" t="inlineStr">
        <is>
          <t>GERAL</t>
        </is>
      </c>
      <c r="C723" t="inlineStr">
        <is>
          <t>EJ</t>
        </is>
      </c>
      <c r="D723" t="inlineStr">
        <is>
          <t>IÇAMENTO JOIST</t>
        </is>
      </c>
      <c r="F723" s="159">
        <f>IFERROR(INDEX('BASE METAS DIÁRIAS'!$N$2:$S$358,MATCH($A723,'BASE METAS DIÁRIAS'!$A$2:$A$358,0),MOD(ROW()-2,6)+1),"")</f>
        <v/>
      </c>
      <c r="G723" s="159">
        <f>IFERROR(IF(WEEKDAY($A723,2)&lt;=INDEX('BASE METAS DIÁRIAS'!$H$2:$M$358,MATCH($A723,'BASE METAS DIÁRIAS'!$A$2:$A$358,0),MOD(ROW()-2,6)+1),INDEX('BASE METAS DIÁRIAS'!$B$2:$G$358,MATCH($A723,'BASE METAS DIÁRIAS'!$A$2:$A$358,0),MOD(ROW()-2,6)+1),""),"")</f>
        <v/>
      </c>
      <c r="H723" s="159">
        <f>IFERROR(IF(INDEX('CONTROLE PRODUÇÃO POR EMPRESAS'!$B$6:$G$5000,MATCH($A723,'CONTROLE PRODUÇÃO POR EMPRESAS'!$A$6:$A$5000,0),MOD(ROW()-2,6)+1)="","",IFERROR(1*INDEX('CONTROLE PRODUÇÃO POR EMPRESAS'!$B$6:$G$5000,MATCH($A723,'CONTROLE PRODUÇÃO POR EMPRESAS'!$A$6:$A$5000,0),MOD(ROW()-2,6)+1),"")),"")</f>
        <v/>
      </c>
      <c r="I723" s="159">
        <f>IF(OR(NOT(ISNUMBER(G723)),NOT(ISNUMBER(H723))),"",H723-G723)</f>
        <v/>
      </c>
      <c r="J723" s="319">
        <f>IF(OR(NOT(ISNUMBER(G723)),NOT(ISNUMBER(H723)),G723=0),"",I723/G723)</f>
        <v/>
      </c>
      <c r="K723" s="319">
        <f>IF(OR(NOT(ISNUMBER(G723)),NOT(ISNUMBER(H723)),G723=0),"",H723/G723)</f>
        <v/>
      </c>
      <c r="L723">
        <f>IF(NOT(ISNUMBER(G723)),"SEM META",IF(G723=0,"SEM META",IF(NOT(ISNUMBER(H723)),"SEM APONTAMENTO",IF(H723&gt;=G723,"VERDE",IF(H723&gt;=G723*0.9,"AMARELO","VERMELHO")))))</f>
        <v/>
      </c>
      <c r="M723" s="162" t="n"/>
      <c r="N723" s="162" t="n"/>
      <c r="O723" s="162" t="n"/>
      <c r="P723" s="162" t="n"/>
      <c r="Q723" s="320" t="n"/>
      <c r="R723" s="162" t="inlineStr">
        <is>
          <t>CONTROLE PRODUÇÃO POR EMPRESAS!C126</t>
        </is>
      </c>
    </row>
    <row r="724" ht="28.5" customHeight="1">
      <c r="A724" s="317" t="n">
        <v>46343</v>
      </c>
      <c r="B724" t="inlineStr">
        <is>
          <t>GERAL</t>
        </is>
      </c>
      <c r="C724" t="inlineStr">
        <is>
          <t>EJ</t>
        </is>
      </c>
      <c r="D724" t="inlineStr">
        <is>
          <t>VIGAS</t>
        </is>
      </c>
      <c r="F724" s="159">
        <f>IFERROR(INDEX('BASE METAS DIÁRIAS'!$N$2:$S$358,MATCH($A724,'BASE METAS DIÁRIAS'!$A$2:$A$358,0),MOD(ROW()-2,6)+1),"")</f>
        <v/>
      </c>
      <c r="G724" s="159">
        <f>IFERROR(IF(WEEKDAY($A724,2)&lt;=INDEX('BASE METAS DIÁRIAS'!$H$2:$M$358,MATCH($A724,'BASE METAS DIÁRIAS'!$A$2:$A$358,0),MOD(ROW()-2,6)+1),INDEX('BASE METAS DIÁRIAS'!$B$2:$G$358,MATCH($A724,'BASE METAS DIÁRIAS'!$A$2:$A$358,0),MOD(ROW()-2,6)+1),""),"")</f>
        <v/>
      </c>
      <c r="H724" s="159">
        <f>IFERROR(IF(INDEX('CONTROLE PRODUÇÃO POR EMPRESAS'!$B$6:$G$5000,MATCH($A724,'CONTROLE PRODUÇÃO POR EMPRESAS'!$A$6:$A$5000,0),MOD(ROW()-2,6)+1)="","",IFERROR(1*INDEX('CONTROLE PRODUÇÃO POR EMPRESAS'!$B$6:$G$5000,MATCH($A724,'CONTROLE PRODUÇÃO POR EMPRESAS'!$A$6:$A$5000,0),MOD(ROW()-2,6)+1),"")),"")</f>
        <v/>
      </c>
      <c r="I724" s="159">
        <f>IF(OR(NOT(ISNUMBER(G724)),NOT(ISNUMBER(H724))),"",H724-G724)</f>
        <v/>
      </c>
      <c r="J724" s="319">
        <f>IF(OR(NOT(ISNUMBER(G724)),NOT(ISNUMBER(H724)),G724=0),"",I724/G724)</f>
        <v/>
      </c>
      <c r="K724" s="319">
        <f>IF(OR(NOT(ISNUMBER(G724)),NOT(ISNUMBER(H724)),G724=0),"",H724/G724)</f>
        <v/>
      </c>
      <c r="L724">
        <f>IF(NOT(ISNUMBER(G724)),"SEM META",IF(G724=0,"SEM META",IF(NOT(ISNUMBER(H724)),"SEM APONTAMENTO",IF(H724&gt;=G724,"VERDE",IF(H724&gt;=G724*0.9,"AMARELO","VERMELHO")))))</f>
        <v/>
      </c>
      <c r="M724" s="162" t="n"/>
      <c r="N724" s="162" t="n"/>
      <c r="O724" s="162" t="n"/>
      <c r="P724" s="162" t="n"/>
      <c r="Q724" s="320" t="n"/>
      <c r="R724" s="162" t="inlineStr">
        <is>
          <t>CONTROLE PRODUÇÃO POR EMPRESAS!D126</t>
        </is>
      </c>
    </row>
    <row r="725" ht="28.5" customHeight="1">
      <c r="A725" s="317" t="n">
        <v>46343</v>
      </c>
      <c r="B725" t="inlineStr">
        <is>
          <t>GERAL</t>
        </is>
      </c>
      <c r="C725" t="inlineStr">
        <is>
          <t>CMM</t>
        </is>
      </c>
      <c r="D725" t="inlineStr">
        <is>
          <t>PREMONTAGEM</t>
        </is>
      </c>
      <c r="F725" s="159">
        <f>IFERROR(INDEX('BASE METAS DIÁRIAS'!$N$2:$S$358,MATCH($A725,'BASE METAS DIÁRIAS'!$A$2:$A$358,0),MOD(ROW()-2,6)+1),"")</f>
        <v/>
      </c>
      <c r="G725" s="159">
        <f>IFERROR(IF(WEEKDAY($A725,2)&lt;=INDEX('BASE METAS DIÁRIAS'!$H$2:$M$358,MATCH($A725,'BASE METAS DIÁRIAS'!$A$2:$A$358,0),MOD(ROW()-2,6)+1),INDEX('BASE METAS DIÁRIAS'!$B$2:$G$358,MATCH($A725,'BASE METAS DIÁRIAS'!$A$2:$A$358,0),MOD(ROW()-2,6)+1),""),"")</f>
        <v/>
      </c>
      <c r="H725" s="159">
        <f>IFERROR(IF(INDEX('CONTROLE PRODUÇÃO POR EMPRESAS'!$B$6:$G$5000,MATCH($A725,'CONTROLE PRODUÇÃO POR EMPRESAS'!$A$6:$A$5000,0),MOD(ROW()-2,6)+1)="","",IFERROR(1*INDEX('CONTROLE PRODUÇÃO POR EMPRESAS'!$B$6:$G$5000,MATCH($A725,'CONTROLE PRODUÇÃO POR EMPRESAS'!$A$6:$A$5000,0),MOD(ROW()-2,6)+1),"")),"")</f>
        <v/>
      </c>
      <c r="I725" s="159">
        <f>IF(OR(NOT(ISNUMBER(G725)),NOT(ISNUMBER(H725))),"",H725-G725)</f>
        <v/>
      </c>
      <c r="J725" s="319">
        <f>IF(OR(NOT(ISNUMBER(G725)),NOT(ISNUMBER(H725)),G725=0),"",I725/G725)</f>
        <v/>
      </c>
      <c r="K725" s="319">
        <f>IF(OR(NOT(ISNUMBER(G725)),NOT(ISNUMBER(H725)),G725=0),"",H725/G725)</f>
        <v/>
      </c>
      <c r="L725">
        <f>IF(NOT(ISNUMBER(G725)),"SEM META",IF(G725=0,"SEM META",IF(NOT(ISNUMBER(H725)),"SEM APONTAMENTO",IF(H725&gt;=G725,"VERDE",IF(H725&gt;=G725*0.9,"AMARELO","VERMELHO")))))</f>
        <v/>
      </c>
      <c r="M725" s="162" t="n"/>
      <c r="N725" s="162" t="n"/>
      <c r="O725" s="162" t="n"/>
      <c r="P725" s="162" t="n"/>
      <c r="Q725" s="320" t="n"/>
      <c r="R725" s="162" t="inlineStr">
        <is>
          <t>CONTROLE PRODUÇÃO POR EMPRESAS!E126</t>
        </is>
      </c>
    </row>
    <row r="726" ht="28.5" customHeight="1">
      <c r="A726" s="317" t="n">
        <v>46343</v>
      </c>
      <c r="B726" t="inlineStr">
        <is>
          <t>GERAL</t>
        </is>
      </c>
      <c r="C726" t="inlineStr">
        <is>
          <t>CMM</t>
        </is>
      </c>
      <c r="D726" t="inlineStr">
        <is>
          <t>IÇAMENTO JOIST</t>
        </is>
      </c>
      <c r="F726" s="159">
        <f>IFERROR(INDEX('BASE METAS DIÁRIAS'!$N$2:$S$358,MATCH($A726,'BASE METAS DIÁRIAS'!$A$2:$A$358,0),MOD(ROW()-2,6)+1),"")</f>
        <v/>
      </c>
      <c r="G726" s="159">
        <f>IFERROR(IF(WEEKDAY($A726,2)&lt;=INDEX('BASE METAS DIÁRIAS'!$H$2:$M$358,MATCH($A726,'BASE METAS DIÁRIAS'!$A$2:$A$358,0),MOD(ROW()-2,6)+1),INDEX('BASE METAS DIÁRIAS'!$B$2:$G$358,MATCH($A726,'BASE METAS DIÁRIAS'!$A$2:$A$358,0),MOD(ROW()-2,6)+1),""),"")</f>
        <v/>
      </c>
      <c r="H726" s="159">
        <f>IFERROR(IF(INDEX('CONTROLE PRODUÇÃO POR EMPRESAS'!$B$6:$G$5000,MATCH($A726,'CONTROLE PRODUÇÃO POR EMPRESAS'!$A$6:$A$5000,0),MOD(ROW()-2,6)+1)="","",IFERROR(1*INDEX('CONTROLE PRODUÇÃO POR EMPRESAS'!$B$6:$G$5000,MATCH($A726,'CONTROLE PRODUÇÃO POR EMPRESAS'!$A$6:$A$5000,0),MOD(ROW()-2,6)+1),"")),"")</f>
        <v/>
      </c>
      <c r="I726" s="159">
        <f>IF(OR(NOT(ISNUMBER(G726)),NOT(ISNUMBER(H726))),"",H726-G726)</f>
        <v/>
      </c>
      <c r="J726" s="319">
        <f>IF(OR(NOT(ISNUMBER(G726)),NOT(ISNUMBER(H726)),G726=0),"",I726/G726)</f>
        <v/>
      </c>
      <c r="K726" s="319">
        <f>IF(OR(NOT(ISNUMBER(G726)),NOT(ISNUMBER(H726)),G726=0),"",H726/G726)</f>
        <v/>
      </c>
      <c r="L726">
        <f>IF(NOT(ISNUMBER(G726)),"SEM META",IF(G726=0,"SEM META",IF(NOT(ISNUMBER(H726)),"SEM APONTAMENTO",IF(H726&gt;=G726,"VERDE",IF(H726&gt;=G726*0.9,"AMARELO","VERMELHO")))))</f>
        <v/>
      </c>
      <c r="M726" s="162" t="n"/>
      <c r="N726" s="162" t="n"/>
      <c r="O726" s="162" t="n"/>
      <c r="P726" s="162" t="n"/>
      <c r="Q726" s="320" t="n"/>
      <c r="R726" s="162" t="inlineStr">
        <is>
          <t>CONTROLE PRODUÇÃO POR EMPRESAS!F126</t>
        </is>
      </c>
    </row>
    <row r="727" ht="28.5" customHeight="1">
      <c r="A727" s="317" t="n">
        <v>46343</v>
      </c>
      <c r="B727" t="inlineStr">
        <is>
          <t>GERAL</t>
        </is>
      </c>
      <c r="C727" t="inlineStr">
        <is>
          <t>CMM</t>
        </is>
      </c>
      <c r="D727" t="inlineStr">
        <is>
          <t>VIGAS</t>
        </is>
      </c>
      <c r="F727" s="159">
        <f>IFERROR(INDEX('BASE METAS DIÁRIAS'!$N$2:$S$358,MATCH($A727,'BASE METAS DIÁRIAS'!$A$2:$A$358,0),MOD(ROW()-2,6)+1),"")</f>
        <v/>
      </c>
      <c r="G727" s="159">
        <f>IFERROR(IF(WEEKDAY($A727,2)&lt;=INDEX('BASE METAS DIÁRIAS'!$H$2:$M$358,MATCH($A727,'BASE METAS DIÁRIAS'!$A$2:$A$358,0),MOD(ROW()-2,6)+1),INDEX('BASE METAS DIÁRIAS'!$B$2:$G$358,MATCH($A727,'BASE METAS DIÁRIAS'!$A$2:$A$358,0),MOD(ROW()-2,6)+1),""),"")</f>
        <v/>
      </c>
      <c r="H727" s="159">
        <f>IFERROR(IF(INDEX('CONTROLE PRODUÇÃO POR EMPRESAS'!$B$6:$G$5000,MATCH($A727,'CONTROLE PRODUÇÃO POR EMPRESAS'!$A$6:$A$5000,0),MOD(ROW()-2,6)+1)="","",IFERROR(1*INDEX('CONTROLE PRODUÇÃO POR EMPRESAS'!$B$6:$G$5000,MATCH($A727,'CONTROLE PRODUÇÃO POR EMPRESAS'!$A$6:$A$5000,0),MOD(ROW()-2,6)+1),"")),"")</f>
        <v/>
      </c>
      <c r="I727" s="159">
        <f>IF(OR(NOT(ISNUMBER(G727)),NOT(ISNUMBER(H727))),"",H727-G727)</f>
        <v/>
      </c>
      <c r="J727" s="319">
        <f>IF(OR(NOT(ISNUMBER(G727)),NOT(ISNUMBER(H727)),G727=0),"",I727/G727)</f>
        <v/>
      </c>
      <c r="K727" s="319">
        <f>IF(OR(NOT(ISNUMBER(G727)),NOT(ISNUMBER(H727)),G727=0),"",H727/G727)</f>
        <v/>
      </c>
      <c r="L727">
        <f>IF(NOT(ISNUMBER(G727)),"SEM META",IF(G727=0,"SEM META",IF(NOT(ISNUMBER(H727)),"SEM APONTAMENTO",IF(H727&gt;=G727,"VERDE",IF(H727&gt;=G727*0.9,"AMARELO","VERMELHO")))))</f>
        <v/>
      </c>
      <c r="M727" s="162" t="n"/>
      <c r="N727" s="162" t="n"/>
      <c r="O727" s="162" t="n"/>
      <c r="P727" s="162" t="n"/>
      <c r="Q727" s="320" t="n"/>
      <c r="R727" s="162" t="inlineStr">
        <is>
          <t>CONTROLE PRODUÇÃO POR EMPRESAS!G126</t>
        </is>
      </c>
    </row>
    <row r="728" ht="28.5" customHeight="1">
      <c r="A728" s="317" t="n">
        <v>46344</v>
      </c>
      <c r="B728" t="inlineStr">
        <is>
          <t>GERAL</t>
        </is>
      </c>
      <c r="C728" t="inlineStr">
        <is>
          <t>EJ</t>
        </is>
      </c>
      <c r="D728" t="inlineStr">
        <is>
          <t>PREMONTAGEM</t>
        </is>
      </c>
      <c r="F728" s="159">
        <f>IFERROR(INDEX('BASE METAS DIÁRIAS'!$N$2:$S$358,MATCH($A728,'BASE METAS DIÁRIAS'!$A$2:$A$358,0),MOD(ROW()-2,6)+1),"")</f>
        <v/>
      </c>
      <c r="G728" s="159">
        <f>IFERROR(IF(WEEKDAY($A728,2)&lt;=INDEX('BASE METAS DIÁRIAS'!$H$2:$M$358,MATCH($A728,'BASE METAS DIÁRIAS'!$A$2:$A$358,0),MOD(ROW()-2,6)+1),INDEX('BASE METAS DIÁRIAS'!$B$2:$G$358,MATCH($A728,'BASE METAS DIÁRIAS'!$A$2:$A$358,0),MOD(ROW()-2,6)+1),""),"")</f>
        <v/>
      </c>
      <c r="H728" s="159">
        <f>IFERROR(IF(INDEX('CONTROLE PRODUÇÃO POR EMPRESAS'!$B$6:$G$5000,MATCH($A728,'CONTROLE PRODUÇÃO POR EMPRESAS'!$A$6:$A$5000,0),MOD(ROW()-2,6)+1)="","",IFERROR(1*INDEX('CONTROLE PRODUÇÃO POR EMPRESAS'!$B$6:$G$5000,MATCH($A728,'CONTROLE PRODUÇÃO POR EMPRESAS'!$A$6:$A$5000,0),MOD(ROW()-2,6)+1),"")),"")</f>
        <v/>
      </c>
      <c r="I728" s="159">
        <f>IF(OR(NOT(ISNUMBER(G728)),NOT(ISNUMBER(H728))),"",H728-G728)</f>
        <v/>
      </c>
      <c r="J728" s="319">
        <f>IF(OR(NOT(ISNUMBER(G728)),NOT(ISNUMBER(H728)),G728=0),"",I728/G728)</f>
        <v/>
      </c>
      <c r="K728" s="319">
        <f>IF(OR(NOT(ISNUMBER(G728)),NOT(ISNUMBER(H728)),G728=0),"",H728/G728)</f>
        <v/>
      </c>
      <c r="L728">
        <f>IF(NOT(ISNUMBER(G728)),"SEM META",IF(G728=0,"SEM META",IF(NOT(ISNUMBER(H728)),"SEM APONTAMENTO",IF(H728&gt;=G728,"VERDE",IF(H728&gt;=G728*0.9,"AMARELO","VERMELHO")))))</f>
        <v/>
      </c>
      <c r="M728" s="162" t="n"/>
      <c r="N728" s="162" t="n"/>
      <c r="O728" s="162" t="n"/>
      <c r="P728" s="162" t="n"/>
      <c r="Q728" s="320" t="n"/>
      <c r="R728" s="162" t="inlineStr">
        <is>
          <t>CONTROLE PRODUÇÃO POR EMPRESAS!B127</t>
        </is>
      </c>
    </row>
    <row r="729" ht="28.5" customHeight="1">
      <c r="A729" s="317" t="n">
        <v>46344</v>
      </c>
      <c r="B729" t="inlineStr">
        <is>
          <t>GERAL</t>
        </is>
      </c>
      <c r="C729" t="inlineStr">
        <is>
          <t>EJ</t>
        </is>
      </c>
      <c r="D729" t="inlineStr">
        <is>
          <t>IÇAMENTO JOIST</t>
        </is>
      </c>
      <c r="F729" s="159">
        <f>IFERROR(INDEX('BASE METAS DIÁRIAS'!$N$2:$S$358,MATCH($A729,'BASE METAS DIÁRIAS'!$A$2:$A$358,0),MOD(ROW()-2,6)+1),"")</f>
        <v/>
      </c>
      <c r="G729" s="159">
        <f>IFERROR(IF(WEEKDAY($A729,2)&lt;=INDEX('BASE METAS DIÁRIAS'!$H$2:$M$358,MATCH($A729,'BASE METAS DIÁRIAS'!$A$2:$A$358,0),MOD(ROW()-2,6)+1),INDEX('BASE METAS DIÁRIAS'!$B$2:$G$358,MATCH($A729,'BASE METAS DIÁRIAS'!$A$2:$A$358,0),MOD(ROW()-2,6)+1),""),"")</f>
        <v/>
      </c>
      <c r="H729" s="159">
        <f>IFERROR(IF(INDEX('CONTROLE PRODUÇÃO POR EMPRESAS'!$B$6:$G$5000,MATCH($A729,'CONTROLE PRODUÇÃO POR EMPRESAS'!$A$6:$A$5000,0),MOD(ROW()-2,6)+1)="","",IFERROR(1*INDEX('CONTROLE PRODUÇÃO POR EMPRESAS'!$B$6:$G$5000,MATCH($A729,'CONTROLE PRODUÇÃO POR EMPRESAS'!$A$6:$A$5000,0),MOD(ROW()-2,6)+1),"")),"")</f>
        <v/>
      </c>
      <c r="I729" s="159">
        <f>IF(OR(NOT(ISNUMBER(G729)),NOT(ISNUMBER(H729))),"",H729-G729)</f>
        <v/>
      </c>
      <c r="J729" s="319">
        <f>IF(OR(NOT(ISNUMBER(G729)),NOT(ISNUMBER(H729)),G729=0),"",I729/G729)</f>
        <v/>
      </c>
      <c r="K729" s="319">
        <f>IF(OR(NOT(ISNUMBER(G729)),NOT(ISNUMBER(H729)),G729=0),"",H729/G729)</f>
        <v/>
      </c>
      <c r="L729">
        <f>IF(NOT(ISNUMBER(G729)),"SEM META",IF(G729=0,"SEM META",IF(NOT(ISNUMBER(H729)),"SEM APONTAMENTO",IF(H729&gt;=G729,"VERDE",IF(H729&gt;=G729*0.9,"AMARELO","VERMELHO")))))</f>
        <v/>
      </c>
      <c r="M729" s="162" t="n"/>
      <c r="N729" s="162" t="n"/>
      <c r="O729" s="162" t="n"/>
      <c r="P729" s="162" t="n"/>
      <c r="Q729" s="320" t="n"/>
      <c r="R729" s="162" t="inlineStr">
        <is>
          <t>CONTROLE PRODUÇÃO POR EMPRESAS!C127</t>
        </is>
      </c>
    </row>
    <row r="730" ht="28.5" customHeight="1">
      <c r="A730" s="317" t="n">
        <v>46344</v>
      </c>
      <c r="B730" t="inlineStr">
        <is>
          <t>GERAL</t>
        </is>
      </c>
      <c r="C730" t="inlineStr">
        <is>
          <t>EJ</t>
        </is>
      </c>
      <c r="D730" t="inlineStr">
        <is>
          <t>VIGAS</t>
        </is>
      </c>
      <c r="F730" s="159">
        <f>IFERROR(INDEX('BASE METAS DIÁRIAS'!$N$2:$S$358,MATCH($A730,'BASE METAS DIÁRIAS'!$A$2:$A$358,0),MOD(ROW()-2,6)+1),"")</f>
        <v/>
      </c>
      <c r="G730" s="159">
        <f>IFERROR(IF(WEEKDAY($A730,2)&lt;=INDEX('BASE METAS DIÁRIAS'!$H$2:$M$358,MATCH($A730,'BASE METAS DIÁRIAS'!$A$2:$A$358,0),MOD(ROW()-2,6)+1),INDEX('BASE METAS DIÁRIAS'!$B$2:$G$358,MATCH($A730,'BASE METAS DIÁRIAS'!$A$2:$A$358,0),MOD(ROW()-2,6)+1),""),"")</f>
        <v/>
      </c>
      <c r="H730" s="159">
        <f>IFERROR(IF(INDEX('CONTROLE PRODUÇÃO POR EMPRESAS'!$B$6:$G$5000,MATCH($A730,'CONTROLE PRODUÇÃO POR EMPRESAS'!$A$6:$A$5000,0),MOD(ROW()-2,6)+1)="","",IFERROR(1*INDEX('CONTROLE PRODUÇÃO POR EMPRESAS'!$B$6:$G$5000,MATCH($A730,'CONTROLE PRODUÇÃO POR EMPRESAS'!$A$6:$A$5000,0),MOD(ROW()-2,6)+1),"")),"")</f>
        <v/>
      </c>
      <c r="I730" s="159">
        <f>IF(OR(NOT(ISNUMBER(G730)),NOT(ISNUMBER(H730))),"",H730-G730)</f>
        <v/>
      </c>
      <c r="J730" s="319">
        <f>IF(OR(NOT(ISNUMBER(G730)),NOT(ISNUMBER(H730)),G730=0),"",I730/G730)</f>
        <v/>
      </c>
      <c r="K730" s="319">
        <f>IF(OR(NOT(ISNUMBER(G730)),NOT(ISNUMBER(H730)),G730=0),"",H730/G730)</f>
        <v/>
      </c>
      <c r="L730">
        <f>IF(NOT(ISNUMBER(G730)),"SEM META",IF(G730=0,"SEM META",IF(NOT(ISNUMBER(H730)),"SEM APONTAMENTO",IF(H730&gt;=G730,"VERDE",IF(H730&gt;=G730*0.9,"AMARELO","VERMELHO")))))</f>
        <v/>
      </c>
      <c r="M730" s="162" t="n"/>
      <c r="N730" s="162" t="n"/>
      <c r="O730" s="162" t="n"/>
      <c r="P730" s="162" t="n"/>
      <c r="Q730" s="320" t="n"/>
      <c r="R730" s="162" t="inlineStr">
        <is>
          <t>CONTROLE PRODUÇÃO POR EMPRESAS!D127</t>
        </is>
      </c>
    </row>
    <row r="731" ht="28.5" customHeight="1">
      <c r="A731" s="317" t="n">
        <v>46344</v>
      </c>
      <c r="B731" t="inlineStr">
        <is>
          <t>GERAL</t>
        </is>
      </c>
      <c r="C731" t="inlineStr">
        <is>
          <t>CMM</t>
        </is>
      </c>
      <c r="D731" t="inlineStr">
        <is>
          <t>PREMONTAGEM</t>
        </is>
      </c>
      <c r="F731" s="159">
        <f>IFERROR(INDEX('BASE METAS DIÁRIAS'!$N$2:$S$358,MATCH($A731,'BASE METAS DIÁRIAS'!$A$2:$A$358,0),MOD(ROW()-2,6)+1),"")</f>
        <v/>
      </c>
      <c r="G731" s="159">
        <f>IFERROR(IF(WEEKDAY($A731,2)&lt;=INDEX('BASE METAS DIÁRIAS'!$H$2:$M$358,MATCH($A731,'BASE METAS DIÁRIAS'!$A$2:$A$358,0),MOD(ROW()-2,6)+1),INDEX('BASE METAS DIÁRIAS'!$B$2:$G$358,MATCH($A731,'BASE METAS DIÁRIAS'!$A$2:$A$358,0),MOD(ROW()-2,6)+1),""),"")</f>
        <v/>
      </c>
      <c r="H731" s="159">
        <f>IFERROR(IF(INDEX('CONTROLE PRODUÇÃO POR EMPRESAS'!$B$6:$G$5000,MATCH($A731,'CONTROLE PRODUÇÃO POR EMPRESAS'!$A$6:$A$5000,0),MOD(ROW()-2,6)+1)="","",IFERROR(1*INDEX('CONTROLE PRODUÇÃO POR EMPRESAS'!$B$6:$G$5000,MATCH($A731,'CONTROLE PRODUÇÃO POR EMPRESAS'!$A$6:$A$5000,0),MOD(ROW()-2,6)+1),"")),"")</f>
        <v/>
      </c>
      <c r="I731" s="159">
        <f>IF(OR(NOT(ISNUMBER(G731)),NOT(ISNUMBER(H731))),"",H731-G731)</f>
        <v/>
      </c>
      <c r="J731" s="319">
        <f>IF(OR(NOT(ISNUMBER(G731)),NOT(ISNUMBER(H731)),G731=0),"",I731/G731)</f>
        <v/>
      </c>
      <c r="K731" s="319">
        <f>IF(OR(NOT(ISNUMBER(G731)),NOT(ISNUMBER(H731)),G731=0),"",H731/G731)</f>
        <v/>
      </c>
      <c r="L731">
        <f>IF(NOT(ISNUMBER(G731)),"SEM META",IF(G731=0,"SEM META",IF(NOT(ISNUMBER(H731)),"SEM APONTAMENTO",IF(H731&gt;=G731,"VERDE",IF(H731&gt;=G731*0.9,"AMARELO","VERMELHO")))))</f>
        <v/>
      </c>
      <c r="M731" s="162" t="n"/>
      <c r="N731" s="162" t="n"/>
      <c r="O731" s="162" t="n"/>
      <c r="P731" s="162" t="n"/>
      <c r="Q731" s="320" t="n"/>
      <c r="R731" s="162" t="inlineStr">
        <is>
          <t>CONTROLE PRODUÇÃO POR EMPRESAS!E127</t>
        </is>
      </c>
    </row>
    <row r="732" ht="28.5" customHeight="1">
      <c r="A732" s="317" t="n">
        <v>46344</v>
      </c>
      <c r="B732" t="inlineStr">
        <is>
          <t>GERAL</t>
        </is>
      </c>
      <c r="C732" t="inlineStr">
        <is>
          <t>CMM</t>
        </is>
      </c>
      <c r="D732" t="inlineStr">
        <is>
          <t>IÇAMENTO JOIST</t>
        </is>
      </c>
      <c r="F732" s="159">
        <f>IFERROR(INDEX('BASE METAS DIÁRIAS'!$N$2:$S$358,MATCH($A732,'BASE METAS DIÁRIAS'!$A$2:$A$358,0),MOD(ROW()-2,6)+1),"")</f>
        <v/>
      </c>
      <c r="G732" s="159">
        <f>IFERROR(IF(WEEKDAY($A732,2)&lt;=INDEX('BASE METAS DIÁRIAS'!$H$2:$M$358,MATCH($A732,'BASE METAS DIÁRIAS'!$A$2:$A$358,0),MOD(ROW()-2,6)+1),INDEX('BASE METAS DIÁRIAS'!$B$2:$G$358,MATCH($A732,'BASE METAS DIÁRIAS'!$A$2:$A$358,0),MOD(ROW()-2,6)+1),""),"")</f>
        <v/>
      </c>
      <c r="H732" s="159">
        <f>IFERROR(IF(INDEX('CONTROLE PRODUÇÃO POR EMPRESAS'!$B$6:$G$5000,MATCH($A732,'CONTROLE PRODUÇÃO POR EMPRESAS'!$A$6:$A$5000,0),MOD(ROW()-2,6)+1)="","",IFERROR(1*INDEX('CONTROLE PRODUÇÃO POR EMPRESAS'!$B$6:$G$5000,MATCH($A732,'CONTROLE PRODUÇÃO POR EMPRESAS'!$A$6:$A$5000,0),MOD(ROW()-2,6)+1),"")),"")</f>
        <v/>
      </c>
      <c r="I732" s="159">
        <f>IF(OR(NOT(ISNUMBER(G732)),NOT(ISNUMBER(H732))),"",H732-G732)</f>
        <v/>
      </c>
      <c r="J732" s="319">
        <f>IF(OR(NOT(ISNUMBER(G732)),NOT(ISNUMBER(H732)),G732=0),"",I732/G732)</f>
        <v/>
      </c>
      <c r="K732" s="319">
        <f>IF(OR(NOT(ISNUMBER(G732)),NOT(ISNUMBER(H732)),G732=0),"",H732/G732)</f>
        <v/>
      </c>
      <c r="L732">
        <f>IF(NOT(ISNUMBER(G732)),"SEM META",IF(G732=0,"SEM META",IF(NOT(ISNUMBER(H732)),"SEM APONTAMENTO",IF(H732&gt;=G732,"VERDE",IF(H732&gt;=G732*0.9,"AMARELO","VERMELHO")))))</f>
        <v/>
      </c>
      <c r="M732" s="162" t="n"/>
      <c r="N732" s="162" t="n"/>
      <c r="O732" s="162" t="n"/>
      <c r="P732" s="162" t="n"/>
      <c r="Q732" s="320" t="n"/>
      <c r="R732" s="162" t="inlineStr">
        <is>
          <t>CONTROLE PRODUÇÃO POR EMPRESAS!F127</t>
        </is>
      </c>
    </row>
    <row r="733" ht="28.5" customHeight="1">
      <c r="A733" s="317" t="n">
        <v>46344</v>
      </c>
      <c r="B733" t="inlineStr">
        <is>
          <t>GERAL</t>
        </is>
      </c>
      <c r="C733" t="inlineStr">
        <is>
          <t>CMM</t>
        </is>
      </c>
      <c r="D733" t="inlineStr">
        <is>
          <t>VIGAS</t>
        </is>
      </c>
      <c r="F733" s="159">
        <f>IFERROR(INDEX('BASE METAS DIÁRIAS'!$N$2:$S$358,MATCH($A733,'BASE METAS DIÁRIAS'!$A$2:$A$358,0),MOD(ROW()-2,6)+1),"")</f>
        <v/>
      </c>
      <c r="G733" s="159">
        <f>IFERROR(IF(WEEKDAY($A733,2)&lt;=INDEX('BASE METAS DIÁRIAS'!$H$2:$M$358,MATCH($A733,'BASE METAS DIÁRIAS'!$A$2:$A$358,0),MOD(ROW()-2,6)+1),INDEX('BASE METAS DIÁRIAS'!$B$2:$G$358,MATCH($A733,'BASE METAS DIÁRIAS'!$A$2:$A$358,0),MOD(ROW()-2,6)+1),""),"")</f>
        <v/>
      </c>
      <c r="H733" s="159">
        <f>IFERROR(IF(INDEX('CONTROLE PRODUÇÃO POR EMPRESAS'!$B$6:$G$5000,MATCH($A733,'CONTROLE PRODUÇÃO POR EMPRESAS'!$A$6:$A$5000,0),MOD(ROW()-2,6)+1)="","",IFERROR(1*INDEX('CONTROLE PRODUÇÃO POR EMPRESAS'!$B$6:$G$5000,MATCH($A733,'CONTROLE PRODUÇÃO POR EMPRESAS'!$A$6:$A$5000,0),MOD(ROW()-2,6)+1),"")),"")</f>
        <v/>
      </c>
      <c r="I733" s="159">
        <f>IF(OR(NOT(ISNUMBER(G733)),NOT(ISNUMBER(H733))),"",H733-G733)</f>
        <v/>
      </c>
      <c r="J733" s="319">
        <f>IF(OR(NOT(ISNUMBER(G733)),NOT(ISNUMBER(H733)),G733=0),"",I733/G733)</f>
        <v/>
      </c>
      <c r="K733" s="319">
        <f>IF(OR(NOT(ISNUMBER(G733)),NOT(ISNUMBER(H733)),G733=0),"",H733/G733)</f>
        <v/>
      </c>
      <c r="L733">
        <f>IF(NOT(ISNUMBER(G733)),"SEM META",IF(G733=0,"SEM META",IF(NOT(ISNUMBER(H733)),"SEM APONTAMENTO",IF(H733&gt;=G733,"VERDE",IF(H733&gt;=G733*0.9,"AMARELO","VERMELHO")))))</f>
        <v/>
      </c>
      <c r="M733" s="162" t="n"/>
      <c r="N733" s="162" t="n"/>
      <c r="O733" s="162" t="n"/>
      <c r="P733" s="162" t="n"/>
      <c r="Q733" s="320" t="n"/>
      <c r="R733" s="162" t="inlineStr">
        <is>
          <t>CONTROLE PRODUÇÃO POR EMPRESAS!G127</t>
        </is>
      </c>
    </row>
    <row r="734" ht="28.5" customHeight="1">
      <c r="A734" s="317" t="n">
        <v>46345</v>
      </c>
      <c r="B734" t="inlineStr">
        <is>
          <t>GERAL</t>
        </is>
      </c>
      <c r="C734" t="inlineStr">
        <is>
          <t>EJ</t>
        </is>
      </c>
      <c r="D734" t="inlineStr">
        <is>
          <t>PREMONTAGEM</t>
        </is>
      </c>
      <c r="F734" s="159">
        <f>IFERROR(INDEX('BASE METAS DIÁRIAS'!$N$2:$S$358,MATCH($A734,'BASE METAS DIÁRIAS'!$A$2:$A$358,0),MOD(ROW()-2,6)+1),"")</f>
        <v/>
      </c>
      <c r="G734" s="159">
        <f>IFERROR(IF(WEEKDAY($A734,2)&lt;=INDEX('BASE METAS DIÁRIAS'!$H$2:$M$358,MATCH($A734,'BASE METAS DIÁRIAS'!$A$2:$A$358,0),MOD(ROW()-2,6)+1),INDEX('BASE METAS DIÁRIAS'!$B$2:$G$358,MATCH($A734,'BASE METAS DIÁRIAS'!$A$2:$A$358,0),MOD(ROW()-2,6)+1),""),"")</f>
        <v/>
      </c>
      <c r="H734" s="159">
        <f>IFERROR(IF(INDEX('CONTROLE PRODUÇÃO POR EMPRESAS'!$B$6:$G$5000,MATCH($A734,'CONTROLE PRODUÇÃO POR EMPRESAS'!$A$6:$A$5000,0),MOD(ROW()-2,6)+1)="","",IFERROR(1*INDEX('CONTROLE PRODUÇÃO POR EMPRESAS'!$B$6:$G$5000,MATCH($A734,'CONTROLE PRODUÇÃO POR EMPRESAS'!$A$6:$A$5000,0),MOD(ROW()-2,6)+1),"")),"")</f>
        <v/>
      </c>
      <c r="I734" s="159">
        <f>IF(OR(NOT(ISNUMBER(G734)),NOT(ISNUMBER(H734))),"",H734-G734)</f>
        <v/>
      </c>
      <c r="J734" s="319">
        <f>IF(OR(NOT(ISNUMBER(G734)),NOT(ISNUMBER(H734)),G734=0),"",I734/G734)</f>
        <v/>
      </c>
      <c r="K734" s="319">
        <f>IF(OR(NOT(ISNUMBER(G734)),NOT(ISNUMBER(H734)),G734=0),"",H734/G734)</f>
        <v/>
      </c>
      <c r="L734">
        <f>IF(NOT(ISNUMBER(G734)),"SEM META",IF(G734=0,"SEM META",IF(NOT(ISNUMBER(H734)),"SEM APONTAMENTO",IF(H734&gt;=G734,"VERDE",IF(H734&gt;=G734*0.9,"AMARELO","VERMELHO")))))</f>
        <v/>
      </c>
      <c r="M734" s="162" t="n"/>
      <c r="N734" s="162" t="n"/>
      <c r="O734" s="162" t="n"/>
      <c r="P734" s="162" t="n"/>
      <c r="Q734" s="320" t="n"/>
      <c r="R734" s="162" t="inlineStr">
        <is>
          <t>CONTROLE PRODUÇÃO POR EMPRESAS!B128</t>
        </is>
      </c>
    </row>
    <row r="735" ht="28.5" customHeight="1">
      <c r="A735" s="317" t="n">
        <v>46345</v>
      </c>
      <c r="B735" t="inlineStr">
        <is>
          <t>GERAL</t>
        </is>
      </c>
      <c r="C735" t="inlineStr">
        <is>
          <t>EJ</t>
        </is>
      </c>
      <c r="D735" t="inlineStr">
        <is>
          <t>IÇAMENTO JOIST</t>
        </is>
      </c>
      <c r="F735" s="159">
        <f>IFERROR(INDEX('BASE METAS DIÁRIAS'!$N$2:$S$358,MATCH($A735,'BASE METAS DIÁRIAS'!$A$2:$A$358,0),MOD(ROW()-2,6)+1),"")</f>
        <v/>
      </c>
      <c r="G735" s="159">
        <f>IFERROR(IF(WEEKDAY($A735,2)&lt;=INDEX('BASE METAS DIÁRIAS'!$H$2:$M$358,MATCH($A735,'BASE METAS DIÁRIAS'!$A$2:$A$358,0),MOD(ROW()-2,6)+1),INDEX('BASE METAS DIÁRIAS'!$B$2:$G$358,MATCH($A735,'BASE METAS DIÁRIAS'!$A$2:$A$358,0),MOD(ROW()-2,6)+1),""),"")</f>
        <v/>
      </c>
      <c r="H735" s="159">
        <f>IFERROR(IF(INDEX('CONTROLE PRODUÇÃO POR EMPRESAS'!$B$6:$G$5000,MATCH($A735,'CONTROLE PRODUÇÃO POR EMPRESAS'!$A$6:$A$5000,0),MOD(ROW()-2,6)+1)="","",IFERROR(1*INDEX('CONTROLE PRODUÇÃO POR EMPRESAS'!$B$6:$G$5000,MATCH($A735,'CONTROLE PRODUÇÃO POR EMPRESAS'!$A$6:$A$5000,0),MOD(ROW()-2,6)+1),"")),"")</f>
        <v/>
      </c>
      <c r="I735" s="159">
        <f>IF(OR(NOT(ISNUMBER(G735)),NOT(ISNUMBER(H735))),"",H735-G735)</f>
        <v/>
      </c>
      <c r="J735" s="319">
        <f>IF(OR(NOT(ISNUMBER(G735)),NOT(ISNUMBER(H735)),G735=0),"",I735/G735)</f>
        <v/>
      </c>
      <c r="K735" s="319">
        <f>IF(OR(NOT(ISNUMBER(G735)),NOT(ISNUMBER(H735)),G735=0),"",H735/G735)</f>
        <v/>
      </c>
      <c r="L735">
        <f>IF(NOT(ISNUMBER(G735)),"SEM META",IF(G735=0,"SEM META",IF(NOT(ISNUMBER(H735)),"SEM APONTAMENTO",IF(H735&gt;=G735,"VERDE",IF(H735&gt;=G735*0.9,"AMARELO","VERMELHO")))))</f>
        <v/>
      </c>
      <c r="M735" s="162" t="n"/>
      <c r="N735" s="162" t="n"/>
      <c r="O735" s="162" t="n"/>
      <c r="P735" s="162" t="n"/>
      <c r="Q735" s="320" t="n"/>
      <c r="R735" s="162" t="inlineStr">
        <is>
          <t>CONTROLE PRODUÇÃO POR EMPRESAS!C128</t>
        </is>
      </c>
    </row>
    <row r="736" ht="28.5" customHeight="1">
      <c r="A736" s="317" t="n">
        <v>46345</v>
      </c>
      <c r="B736" t="inlineStr">
        <is>
          <t>GERAL</t>
        </is>
      </c>
      <c r="C736" t="inlineStr">
        <is>
          <t>EJ</t>
        </is>
      </c>
      <c r="D736" t="inlineStr">
        <is>
          <t>VIGAS</t>
        </is>
      </c>
      <c r="F736" s="159">
        <f>IFERROR(INDEX('BASE METAS DIÁRIAS'!$N$2:$S$358,MATCH($A736,'BASE METAS DIÁRIAS'!$A$2:$A$358,0),MOD(ROW()-2,6)+1),"")</f>
        <v/>
      </c>
      <c r="G736" s="159">
        <f>IFERROR(IF(WEEKDAY($A736,2)&lt;=INDEX('BASE METAS DIÁRIAS'!$H$2:$M$358,MATCH($A736,'BASE METAS DIÁRIAS'!$A$2:$A$358,0),MOD(ROW()-2,6)+1),INDEX('BASE METAS DIÁRIAS'!$B$2:$G$358,MATCH($A736,'BASE METAS DIÁRIAS'!$A$2:$A$358,0),MOD(ROW()-2,6)+1),""),"")</f>
        <v/>
      </c>
      <c r="H736" s="159">
        <f>IFERROR(IF(INDEX('CONTROLE PRODUÇÃO POR EMPRESAS'!$B$6:$G$5000,MATCH($A736,'CONTROLE PRODUÇÃO POR EMPRESAS'!$A$6:$A$5000,0),MOD(ROW()-2,6)+1)="","",IFERROR(1*INDEX('CONTROLE PRODUÇÃO POR EMPRESAS'!$B$6:$G$5000,MATCH($A736,'CONTROLE PRODUÇÃO POR EMPRESAS'!$A$6:$A$5000,0),MOD(ROW()-2,6)+1),"")),"")</f>
        <v/>
      </c>
      <c r="I736" s="159">
        <f>IF(OR(NOT(ISNUMBER(G736)),NOT(ISNUMBER(H736))),"",H736-G736)</f>
        <v/>
      </c>
      <c r="J736" s="319">
        <f>IF(OR(NOT(ISNUMBER(G736)),NOT(ISNUMBER(H736)),G736=0),"",I736/G736)</f>
        <v/>
      </c>
      <c r="K736" s="319">
        <f>IF(OR(NOT(ISNUMBER(G736)),NOT(ISNUMBER(H736)),G736=0),"",H736/G736)</f>
        <v/>
      </c>
      <c r="L736">
        <f>IF(NOT(ISNUMBER(G736)),"SEM META",IF(G736=0,"SEM META",IF(NOT(ISNUMBER(H736)),"SEM APONTAMENTO",IF(H736&gt;=G736,"VERDE",IF(H736&gt;=G736*0.9,"AMARELO","VERMELHO")))))</f>
        <v/>
      </c>
      <c r="M736" s="162" t="n"/>
      <c r="N736" s="162" t="n"/>
      <c r="O736" s="162" t="n"/>
      <c r="P736" s="162" t="n"/>
      <c r="Q736" s="320" t="n"/>
      <c r="R736" s="162" t="inlineStr">
        <is>
          <t>CONTROLE PRODUÇÃO POR EMPRESAS!D128</t>
        </is>
      </c>
    </row>
    <row r="737" ht="28.5" customHeight="1">
      <c r="A737" s="317" t="n">
        <v>46345</v>
      </c>
      <c r="B737" t="inlineStr">
        <is>
          <t>GERAL</t>
        </is>
      </c>
      <c r="C737" t="inlineStr">
        <is>
          <t>CMM</t>
        </is>
      </c>
      <c r="D737" t="inlineStr">
        <is>
          <t>PREMONTAGEM</t>
        </is>
      </c>
      <c r="F737" s="159">
        <f>IFERROR(INDEX('BASE METAS DIÁRIAS'!$N$2:$S$358,MATCH($A737,'BASE METAS DIÁRIAS'!$A$2:$A$358,0),MOD(ROW()-2,6)+1),"")</f>
        <v/>
      </c>
      <c r="G737" s="159">
        <f>IFERROR(IF(WEEKDAY($A737,2)&lt;=INDEX('BASE METAS DIÁRIAS'!$H$2:$M$358,MATCH($A737,'BASE METAS DIÁRIAS'!$A$2:$A$358,0),MOD(ROW()-2,6)+1),INDEX('BASE METAS DIÁRIAS'!$B$2:$G$358,MATCH($A737,'BASE METAS DIÁRIAS'!$A$2:$A$358,0),MOD(ROW()-2,6)+1),""),"")</f>
        <v/>
      </c>
      <c r="H737" s="159">
        <f>IFERROR(IF(INDEX('CONTROLE PRODUÇÃO POR EMPRESAS'!$B$6:$G$5000,MATCH($A737,'CONTROLE PRODUÇÃO POR EMPRESAS'!$A$6:$A$5000,0),MOD(ROW()-2,6)+1)="","",IFERROR(1*INDEX('CONTROLE PRODUÇÃO POR EMPRESAS'!$B$6:$G$5000,MATCH($A737,'CONTROLE PRODUÇÃO POR EMPRESAS'!$A$6:$A$5000,0),MOD(ROW()-2,6)+1),"")),"")</f>
        <v/>
      </c>
      <c r="I737" s="159">
        <f>IF(OR(NOT(ISNUMBER(G737)),NOT(ISNUMBER(H737))),"",H737-G737)</f>
        <v/>
      </c>
      <c r="J737" s="319">
        <f>IF(OR(NOT(ISNUMBER(G737)),NOT(ISNUMBER(H737)),G737=0),"",I737/G737)</f>
        <v/>
      </c>
      <c r="K737" s="319">
        <f>IF(OR(NOT(ISNUMBER(G737)),NOT(ISNUMBER(H737)),G737=0),"",H737/G737)</f>
        <v/>
      </c>
      <c r="L737">
        <f>IF(NOT(ISNUMBER(G737)),"SEM META",IF(G737=0,"SEM META",IF(NOT(ISNUMBER(H737)),"SEM APONTAMENTO",IF(H737&gt;=G737,"VERDE",IF(H737&gt;=G737*0.9,"AMARELO","VERMELHO")))))</f>
        <v/>
      </c>
      <c r="M737" s="162" t="n"/>
      <c r="N737" s="162" t="n"/>
      <c r="O737" s="162" t="n"/>
      <c r="P737" s="162" t="n"/>
      <c r="Q737" s="320" t="n"/>
      <c r="R737" s="162" t="inlineStr">
        <is>
          <t>CONTROLE PRODUÇÃO POR EMPRESAS!E128</t>
        </is>
      </c>
    </row>
    <row r="738" ht="28.5" customHeight="1">
      <c r="A738" s="317" t="n">
        <v>46345</v>
      </c>
      <c r="B738" t="inlineStr">
        <is>
          <t>GERAL</t>
        </is>
      </c>
      <c r="C738" t="inlineStr">
        <is>
          <t>CMM</t>
        </is>
      </c>
      <c r="D738" t="inlineStr">
        <is>
          <t>IÇAMENTO JOIST</t>
        </is>
      </c>
      <c r="F738" s="159">
        <f>IFERROR(INDEX('BASE METAS DIÁRIAS'!$N$2:$S$358,MATCH($A738,'BASE METAS DIÁRIAS'!$A$2:$A$358,0),MOD(ROW()-2,6)+1),"")</f>
        <v/>
      </c>
      <c r="G738" s="159">
        <f>IFERROR(IF(WEEKDAY($A738,2)&lt;=INDEX('BASE METAS DIÁRIAS'!$H$2:$M$358,MATCH($A738,'BASE METAS DIÁRIAS'!$A$2:$A$358,0),MOD(ROW()-2,6)+1),INDEX('BASE METAS DIÁRIAS'!$B$2:$G$358,MATCH($A738,'BASE METAS DIÁRIAS'!$A$2:$A$358,0),MOD(ROW()-2,6)+1),""),"")</f>
        <v/>
      </c>
      <c r="H738" s="159">
        <f>IFERROR(IF(INDEX('CONTROLE PRODUÇÃO POR EMPRESAS'!$B$6:$G$5000,MATCH($A738,'CONTROLE PRODUÇÃO POR EMPRESAS'!$A$6:$A$5000,0),MOD(ROW()-2,6)+1)="","",IFERROR(1*INDEX('CONTROLE PRODUÇÃO POR EMPRESAS'!$B$6:$G$5000,MATCH($A738,'CONTROLE PRODUÇÃO POR EMPRESAS'!$A$6:$A$5000,0),MOD(ROW()-2,6)+1),"")),"")</f>
        <v/>
      </c>
      <c r="I738" s="159">
        <f>IF(OR(NOT(ISNUMBER(G738)),NOT(ISNUMBER(H738))),"",H738-G738)</f>
        <v/>
      </c>
      <c r="J738" s="319">
        <f>IF(OR(NOT(ISNUMBER(G738)),NOT(ISNUMBER(H738)),G738=0),"",I738/G738)</f>
        <v/>
      </c>
      <c r="K738" s="319">
        <f>IF(OR(NOT(ISNUMBER(G738)),NOT(ISNUMBER(H738)),G738=0),"",H738/G738)</f>
        <v/>
      </c>
      <c r="L738">
        <f>IF(NOT(ISNUMBER(G738)),"SEM META",IF(G738=0,"SEM META",IF(NOT(ISNUMBER(H738)),"SEM APONTAMENTO",IF(H738&gt;=G738,"VERDE",IF(H738&gt;=G738*0.9,"AMARELO","VERMELHO")))))</f>
        <v/>
      </c>
      <c r="M738" s="162" t="n"/>
      <c r="N738" s="162" t="n"/>
      <c r="O738" s="162" t="n"/>
      <c r="P738" s="162" t="n"/>
      <c r="Q738" s="320" t="n"/>
      <c r="R738" s="162" t="inlineStr">
        <is>
          <t>CONTROLE PRODUÇÃO POR EMPRESAS!F128</t>
        </is>
      </c>
    </row>
    <row r="739" ht="28.5" customHeight="1">
      <c r="A739" s="317" t="n">
        <v>46345</v>
      </c>
      <c r="B739" t="inlineStr">
        <is>
          <t>GERAL</t>
        </is>
      </c>
      <c r="C739" t="inlineStr">
        <is>
          <t>CMM</t>
        </is>
      </c>
      <c r="D739" t="inlineStr">
        <is>
          <t>VIGAS</t>
        </is>
      </c>
      <c r="F739" s="159">
        <f>IFERROR(INDEX('BASE METAS DIÁRIAS'!$N$2:$S$358,MATCH($A739,'BASE METAS DIÁRIAS'!$A$2:$A$358,0),MOD(ROW()-2,6)+1),"")</f>
        <v/>
      </c>
      <c r="G739" s="159">
        <f>IFERROR(IF(WEEKDAY($A739,2)&lt;=INDEX('BASE METAS DIÁRIAS'!$H$2:$M$358,MATCH($A739,'BASE METAS DIÁRIAS'!$A$2:$A$358,0),MOD(ROW()-2,6)+1),INDEX('BASE METAS DIÁRIAS'!$B$2:$G$358,MATCH($A739,'BASE METAS DIÁRIAS'!$A$2:$A$358,0),MOD(ROW()-2,6)+1),""),"")</f>
        <v/>
      </c>
      <c r="H739" s="159">
        <f>IFERROR(IF(INDEX('CONTROLE PRODUÇÃO POR EMPRESAS'!$B$6:$G$5000,MATCH($A739,'CONTROLE PRODUÇÃO POR EMPRESAS'!$A$6:$A$5000,0),MOD(ROW()-2,6)+1)="","",IFERROR(1*INDEX('CONTROLE PRODUÇÃO POR EMPRESAS'!$B$6:$G$5000,MATCH($A739,'CONTROLE PRODUÇÃO POR EMPRESAS'!$A$6:$A$5000,0),MOD(ROW()-2,6)+1),"")),"")</f>
        <v/>
      </c>
      <c r="I739" s="159">
        <f>IF(OR(NOT(ISNUMBER(G739)),NOT(ISNUMBER(H739))),"",H739-G739)</f>
        <v/>
      </c>
      <c r="J739" s="319">
        <f>IF(OR(NOT(ISNUMBER(G739)),NOT(ISNUMBER(H739)),G739=0),"",I739/G739)</f>
        <v/>
      </c>
      <c r="K739" s="319">
        <f>IF(OR(NOT(ISNUMBER(G739)),NOT(ISNUMBER(H739)),G739=0),"",H739/G739)</f>
        <v/>
      </c>
      <c r="L739">
        <f>IF(NOT(ISNUMBER(G739)),"SEM META",IF(G739=0,"SEM META",IF(NOT(ISNUMBER(H739)),"SEM APONTAMENTO",IF(H739&gt;=G739,"VERDE",IF(H739&gt;=G739*0.9,"AMARELO","VERMELHO")))))</f>
        <v/>
      </c>
      <c r="M739" s="162" t="n"/>
      <c r="N739" s="162" t="n"/>
      <c r="O739" s="162" t="n"/>
      <c r="P739" s="162" t="n"/>
      <c r="Q739" s="320" t="n"/>
      <c r="R739" s="162" t="inlineStr">
        <is>
          <t>CONTROLE PRODUÇÃO POR EMPRESAS!G128</t>
        </is>
      </c>
    </row>
    <row r="740" ht="28.5" customHeight="1">
      <c r="A740" s="317" t="n">
        <v>46346</v>
      </c>
      <c r="B740" t="inlineStr">
        <is>
          <t>GERAL</t>
        </is>
      </c>
      <c r="C740" t="inlineStr">
        <is>
          <t>EJ</t>
        </is>
      </c>
      <c r="D740" t="inlineStr">
        <is>
          <t>PREMONTAGEM</t>
        </is>
      </c>
      <c r="F740" s="159">
        <f>IFERROR(INDEX('BASE METAS DIÁRIAS'!$N$2:$S$358,MATCH($A740,'BASE METAS DIÁRIAS'!$A$2:$A$358,0),MOD(ROW()-2,6)+1),"")</f>
        <v/>
      </c>
      <c r="G740" s="159">
        <f>IFERROR(IF(WEEKDAY($A740,2)&lt;=INDEX('BASE METAS DIÁRIAS'!$H$2:$M$358,MATCH($A740,'BASE METAS DIÁRIAS'!$A$2:$A$358,0),MOD(ROW()-2,6)+1),INDEX('BASE METAS DIÁRIAS'!$B$2:$G$358,MATCH($A740,'BASE METAS DIÁRIAS'!$A$2:$A$358,0),MOD(ROW()-2,6)+1),""),"")</f>
        <v/>
      </c>
      <c r="H740" s="159">
        <f>IFERROR(IF(INDEX('CONTROLE PRODUÇÃO POR EMPRESAS'!$B$6:$G$5000,MATCH($A740,'CONTROLE PRODUÇÃO POR EMPRESAS'!$A$6:$A$5000,0),MOD(ROW()-2,6)+1)="","",IFERROR(1*INDEX('CONTROLE PRODUÇÃO POR EMPRESAS'!$B$6:$G$5000,MATCH($A740,'CONTROLE PRODUÇÃO POR EMPRESAS'!$A$6:$A$5000,0),MOD(ROW()-2,6)+1),"")),"")</f>
        <v/>
      </c>
      <c r="I740" s="159">
        <f>IF(OR(NOT(ISNUMBER(G740)),NOT(ISNUMBER(H740))),"",H740-G740)</f>
        <v/>
      </c>
      <c r="J740" s="319">
        <f>IF(OR(NOT(ISNUMBER(G740)),NOT(ISNUMBER(H740)),G740=0),"",I740/G740)</f>
        <v/>
      </c>
      <c r="K740" s="319">
        <f>IF(OR(NOT(ISNUMBER(G740)),NOT(ISNUMBER(H740)),G740=0),"",H740/G740)</f>
        <v/>
      </c>
      <c r="L740">
        <f>IF(NOT(ISNUMBER(G740)),"SEM META",IF(G740=0,"SEM META",IF(NOT(ISNUMBER(H740)),"SEM APONTAMENTO",IF(H740&gt;=G740,"VERDE",IF(H740&gt;=G740*0.9,"AMARELO","VERMELHO")))))</f>
        <v/>
      </c>
      <c r="M740" s="162" t="n"/>
      <c r="N740" s="162" t="n"/>
      <c r="O740" s="162" t="n"/>
      <c r="P740" s="162" t="n"/>
      <c r="Q740" s="320" t="n"/>
      <c r="R740" s="162" t="inlineStr">
        <is>
          <t>CONTROLE PRODUÇÃO POR EMPRESAS!B129</t>
        </is>
      </c>
    </row>
    <row r="741" ht="28.5" customHeight="1">
      <c r="A741" s="317" t="n">
        <v>46346</v>
      </c>
      <c r="B741" t="inlineStr">
        <is>
          <t>GERAL</t>
        </is>
      </c>
      <c r="C741" t="inlineStr">
        <is>
          <t>EJ</t>
        </is>
      </c>
      <c r="D741" t="inlineStr">
        <is>
          <t>IÇAMENTO JOIST</t>
        </is>
      </c>
      <c r="F741" s="159">
        <f>IFERROR(INDEX('BASE METAS DIÁRIAS'!$N$2:$S$358,MATCH($A741,'BASE METAS DIÁRIAS'!$A$2:$A$358,0),MOD(ROW()-2,6)+1),"")</f>
        <v/>
      </c>
      <c r="G741" s="159">
        <f>IFERROR(IF(WEEKDAY($A741,2)&lt;=INDEX('BASE METAS DIÁRIAS'!$H$2:$M$358,MATCH($A741,'BASE METAS DIÁRIAS'!$A$2:$A$358,0),MOD(ROW()-2,6)+1),INDEX('BASE METAS DIÁRIAS'!$B$2:$G$358,MATCH($A741,'BASE METAS DIÁRIAS'!$A$2:$A$358,0),MOD(ROW()-2,6)+1),""),"")</f>
        <v/>
      </c>
      <c r="H741" s="159">
        <f>IFERROR(IF(INDEX('CONTROLE PRODUÇÃO POR EMPRESAS'!$B$6:$G$5000,MATCH($A741,'CONTROLE PRODUÇÃO POR EMPRESAS'!$A$6:$A$5000,0),MOD(ROW()-2,6)+1)="","",IFERROR(1*INDEX('CONTROLE PRODUÇÃO POR EMPRESAS'!$B$6:$G$5000,MATCH($A741,'CONTROLE PRODUÇÃO POR EMPRESAS'!$A$6:$A$5000,0),MOD(ROW()-2,6)+1),"")),"")</f>
        <v/>
      </c>
      <c r="I741" s="159">
        <f>IF(OR(NOT(ISNUMBER(G741)),NOT(ISNUMBER(H741))),"",H741-G741)</f>
        <v/>
      </c>
      <c r="J741" s="319">
        <f>IF(OR(NOT(ISNUMBER(G741)),NOT(ISNUMBER(H741)),G741=0),"",I741/G741)</f>
        <v/>
      </c>
      <c r="K741" s="319">
        <f>IF(OR(NOT(ISNUMBER(G741)),NOT(ISNUMBER(H741)),G741=0),"",H741/G741)</f>
        <v/>
      </c>
      <c r="L741">
        <f>IF(NOT(ISNUMBER(G741)),"SEM META",IF(G741=0,"SEM META",IF(NOT(ISNUMBER(H741)),"SEM APONTAMENTO",IF(H741&gt;=G741,"VERDE",IF(H741&gt;=G741*0.9,"AMARELO","VERMELHO")))))</f>
        <v/>
      </c>
      <c r="M741" s="162" t="n"/>
      <c r="N741" s="162" t="n"/>
      <c r="O741" s="162" t="n"/>
      <c r="P741" s="162" t="n"/>
      <c r="Q741" s="320" t="n"/>
      <c r="R741" s="162" t="inlineStr">
        <is>
          <t>CONTROLE PRODUÇÃO POR EMPRESAS!C129</t>
        </is>
      </c>
    </row>
    <row r="742" ht="28.5" customHeight="1">
      <c r="A742" s="317" t="n">
        <v>46346</v>
      </c>
      <c r="B742" t="inlineStr">
        <is>
          <t>GERAL</t>
        </is>
      </c>
      <c r="C742" t="inlineStr">
        <is>
          <t>EJ</t>
        </is>
      </c>
      <c r="D742" t="inlineStr">
        <is>
          <t>VIGAS</t>
        </is>
      </c>
      <c r="F742" s="159">
        <f>IFERROR(INDEX('BASE METAS DIÁRIAS'!$N$2:$S$358,MATCH($A742,'BASE METAS DIÁRIAS'!$A$2:$A$358,0),MOD(ROW()-2,6)+1),"")</f>
        <v/>
      </c>
      <c r="G742" s="159">
        <f>IFERROR(IF(WEEKDAY($A742,2)&lt;=INDEX('BASE METAS DIÁRIAS'!$H$2:$M$358,MATCH($A742,'BASE METAS DIÁRIAS'!$A$2:$A$358,0),MOD(ROW()-2,6)+1),INDEX('BASE METAS DIÁRIAS'!$B$2:$G$358,MATCH($A742,'BASE METAS DIÁRIAS'!$A$2:$A$358,0),MOD(ROW()-2,6)+1),""),"")</f>
        <v/>
      </c>
      <c r="H742" s="159">
        <f>IFERROR(IF(INDEX('CONTROLE PRODUÇÃO POR EMPRESAS'!$B$6:$G$5000,MATCH($A742,'CONTROLE PRODUÇÃO POR EMPRESAS'!$A$6:$A$5000,0),MOD(ROW()-2,6)+1)="","",IFERROR(1*INDEX('CONTROLE PRODUÇÃO POR EMPRESAS'!$B$6:$G$5000,MATCH($A742,'CONTROLE PRODUÇÃO POR EMPRESAS'!$A$6:$A$5000,0),MOD(ROW()-2,6)+1),"")),"")</f>
        <v/>
      </c>
      <c r="I742" s="159">
        <f>IF(OR(NOT(ISNUMBER(G742)),NOT(ISNUMBER(H742))),"",H742-G742)</f>
        <v/>
      </c>
      <c r="J742" s="319">
        <f>IF(OR(NOT(ISNUMBER(G742)),NOT(ISNUMBER(H742)),G742=0),"",I742/G742)</f>
        <v/>
      </c>
      <c r="K742" s="319">
        <f>IF(OR(NOT(ISNUMBER(G742)),NOT(ISNUMBER(H742)),G742=0),"",H742/G742)</f>
        <v/>
      </c>
      <c r="L742">
        <f>IF(NOT(ISNUMBER(G742)),"SEM META",IF(G742=0,"SEM META",IF(NOT(ISNUMBER(H742)),"SEM APONTAMENTO",IF(H742&gt;=G742,"VERDE",IF(H742&gt;=G742*0.9,"AMARELO","VERMELHO")))))</f>
        <v/>
      </c>
      <c r="M742" s="162" t="n"/>
      <c r="N742" s="162" t="n"/>
      <c r="O742" s="162" t="n"/>
      <c r="P742" s="162" t="n"/>
      <c r="Q742" s="320" t="n"/>
      <c r="R742" s="162" t="inlineStr">
        <is>
          <t>CONTROLE PRODUÇÃO POR EMPRESAS!D129</t>
        </is>
      </c>
    </row>
    <row r="743" ht="28.5" customHeight="1">
      <c r="A743" s="317" t="n">
        <v>46346</v>
      </c>
      <c r="B743" t="inlineStr">
        <is>
          <t>GERAL</t>
        </is>
      </c>
      <c r="C743" t="inlineStr">
        <is>
          <t>CMM</t>
        </is>
      </c>
      <c r="D743" t="inlineStr">
        <is>
          <t>PREMONTAGEM</t>
        </is>
      </c>
      <c r="F743" s="159">
        <f>IFERROR(INDEX('BASE METAS DIÁRIAS'!$N$2:$S$358,MATCH($A743,'BASE METAS DIÁRIAS'!$A$2:$A$358,0),MOD(ROW()-2,6)+1),"")</f>
        <v/>
      </c>
      <c r="G743" s="159">
        <f>IFERROR(IF(WEEKDAY($A743,2)&lt;=INDEX('BASE METAS DIÁRIAS'!$H$2:$M$358,MATCH($A743,'BASE METAS DIÁRIAS'!$A$2:$A$358,0),MOD(ROW()-2,6)+1),INDEX('BASE METAS DIÁRIAS'!$B$2:$G$358,MATCH($A743,'BASE METAS DIÁRIAS'!$A$2:$A$358,0),MOD(ROW()-2,6)+1),""),"")</f>
        <v/>
      </c>
      <c r="H743" s="159">
        <f>IFERROR(IF(INDEX('CONTROLE PRODUÇÃO POR EMPRESAS'!$B$6:$G$5000,MATCH($A743,'CONTROLE PRODUÇÃO POR EMPRESAS'!$A$6:$A$5000,0),MOD(ROW()-2,6)+1)="","",IFERROR(1*INDEX('CONTROLE PRODUÇÃO POR EMPRESAS'!$B$6:$G$5000,MATCH($A743,'CONTROLE PRODUÇÃO POR EMPRESAS'!$A$6:$A$5000,0),MOD(ROW()-2,6)+1),"")),"")</f>
        <v/>
      </c>
      <c r="I743" s="159">
        <f>IF(OR(NOT(ISNUMBER(G743)),NOT(ISNUMBER(H743))),"",H743-G743)</f>
        <v/>
      </c>
      <c r="J743" s="319">
        <f>IF(OR(NOT(ISNUMBER(G743)),NOT(ISNUMBER(H743)),G743=0),"",I743/G743)</f>
        <v/>
      </c>
      <c r="K743" s="319">
        <f>IF(OR(NOT(ISNUMBER(G743)),NOT(ISNUMBER(H743)),G743=0),"",H743/G743)</f>
        <v/>
      </c>
      <c r="L743">
        <f>IF(NOT(ISNUMBER(G743)),"SEM META",IF(G743=0,"SEM META",IF(NOT(ISNUMBER(H743)),"SEM APONTAMENTO",IF(H743&gt;=G743,"VERDE",IF(H743&gt;=G743*0.9,"AMARELO","VERMELHO")))))</f>
        <v/>
      </c>
      <c r="M743" s="162" t="n"/>
      <c r="N743" s="162" t="n"/>
      <c r="O743" s="162" t="n"/>
      <c r="P743" s="162" t="n"/>
      <c r="Q743" s="320" t="n"/>
      <c r="R743" s="162" t="inlineStr">
        <is>
          <t>CONTROLE PRODUÇÃO POR EMPRESAS!E129</t>
        </is>
      </c>
    </row>
    <row r="744" ht="28.5" customHeight="1">
      <c r="A744" s="317" t="n">
        <v>46346</v>
      </c>
      <c r="B744" t="inlineStr">
        <is>
          <t>GERAL</t>
        </is>
      </c>
      <c r="C744" t="inlineStr">
        <is>
          <t>CMM</t>
        </is>
      </c>
      <c r="D744" t="inlineStr">
        <is>
          <t>IÇAMENTO JOIST</t>
        </is>
      </c>
      <c r="F744" s="159">
        <f>IFERROR(INDEX('BASE METAS DIÁRIAS'!$N$2:$S$358,MATCH($A744,'BASE METAS DIÁRIAS'!$A$2:$A$358,0),MOD(ROW()-2,6)+1),"")</f>
        <v/>
      </c>
      <c r="G744" s="159">
        <f>IFERROR(IF(WEEKDAY($A744,2)&lt;=INDEX('BASE METAS DIÁRIAS'!$H$2:$M$358,MATCH($A744,'BASE METAS DIÁRIAS'!$A$2:$A$358,0),MOD(ROW()-2,6)+1),INDEX('BASE METAS DIÁRIAS'!$B$2:$G$358,MATCH($A744,'BASE METAS DIÁRIAS'!$A$2:$A$358,0),MOD(ROW()-2,6)+1),""),"")</f>
        <v/>
      </c>
      <c r="H744" s="159">
        <f>IFERROR(IF(INDEX('CONTROLE PRODUÇÃO POR EMPRESAS'!$B$6:$G$5000,MATCH($A744,'CONTROLE PRODUÇÃO POR EMPRESAS'!$A$6:$A$5000,0),MOD(ROW()-2,6)+1)="","",IFERROR(1*INDEX('CONTROLE PRODUÇÃO POR EMPRESAS'!$B$6:$G$5000,MATCH($A744,'CONTROLE PRODUÇÃO POR EMPRESAS'!$A$6:$A$5000,0),MOD(ROW()-2,6)+1),"")),"")</f>
        <v/>
      </c>
      <c r="I744" s="159">
        <f>IF(OR(NOT(ISNUMBER(G744)),NOT(ISNUMBER(H744))),"",H744-G744)</f>
        <v/>
      </c>
      <c r="J744" s="319">
        <f>IF(OR(NOT(ISNUMBER(G744)),NOT(ISNUMBER(H744)),G744=0),"",I744/G744)</f>
        <v/>
      </c>
      <c r="K744" s="319">
        <f>IF(OR(NOT(ISNUMBER(G744)),NOT(ISNUMBER(H744)),G744=0),"",H744/G744)</f>
        <v/>
      </c>
      <c r="L744">
        <f>IF(NOT(ISNUMBER(G744)),"SEM META",IF(G744=0,"SEM META",IF(NOT(ISNUMBER(H744)),"SEM APONTAMENTO",IF(H744&gt;=G744,"VERDE",IF(H744&gt;=G744*0.9,"AMARELO","VERMELHO")))))</f>
        <v/>
      </c>
      <c r="M744" s="162" t="n"/>
      <c r="N744" s="162" t="n"/>
      <c r="O744" s="162" t="n"/>
      <c r="P744" s="162" t="n"/>
      <c r="Q744" s="320" t="n"/>
      <c r="R744" s="162" t="inlineStr">
        <is>
          <t>CONTROLE PRODUÇÃO POR EMPRESAS!F129</t>
        </is>
      </c>
    </row>
    <row r="745" ht="28.5" customHeight="1">
      <c r="A745" s="317" t="n">
        <v>46346</v>
      </c>
      <c r="B745" t="inlineStr">
        <is>
          <t>GERAL</t>
        </is>
      </c>
      <c r="C745" t="inlineStr">
        <is>
          <t>CMM</t>
        </is>
      </c>
      <c r="D745" t="inlineStr">
        <is>
          <t>VIGAS</t>
        </is>
      </c>
      <c r="F745" s="159">
        <f>IFERROR(INDEX('BASE METAS DIÁRIAS'!$N$2:$S$358,MATCH($A745,'BASE METAS DIÁRIAS'!$A$2:$A$358,0),MOD(ROW()-2,6)+1),"")</f>
        <v/>
      </c>
      <c r="G745" s="159">
        <f>IFERROR(IF(WEEKDAY($A745,2)&lt;=INDEX('BASE METAS DIÁRIAS'!$H$2:$M$358,MATCH($A745,'BASE METAS DIÁRIAS'!$A$2:$A$358,0),MOD(ROW()-2,6)+1),INDEX('BASE METAS DIÁRIAS'!$B$2:$G$358,MATCH($A745,'BASE METAS DIÁRIAS'!$A$2:$A$358,0),MOD(ROW()-2,6)+1),""),"")</f>
        <v/>
      </c>
      <c r="H745" s="159">
        <f>IFERROR(IF(INDEX('CONTROLE PRODUÇÃO POR EMPRESAS'!$B$6:$G$5000,MATCH($A745,'CONTROLE PRODUÇÃO POR EMPRESAS'!$A$6:$A$5000,0),MOD(ROW()-2,6)+1)="","",IFERROR(1*INDEX('CONTROLE PRODUÇÃO POR EMPRESAS'!$B$6:$G$5000,MATCH($A745,'CONTROLE PRODUÇÃO POR EMPRESAS'!$A$6:$A$5000,0),MOD(ROW()-2,6)+1),"")),"")</f>
        <v/>
      </c>
      <c r="I745" s="159">
        <f>IF(OR(NOT(ISNUMBER(G745)),NOT(ISNUMBER(H745))),"",H745-G745)</f>
        <v/>
      </c>
      <c r="J745" s="319">
        <f>IF(OR(NOT(ISNUMBER(G745)),NOT(ISNUMBER(H745)),G745=0),"",I745/G745)</f>
        <v/>
      </c>
      <c r="K745" s="319">
        <f>IF(OR(NOT(ISNUMBER(G745)),NOT(ISNUMBER(H745)),G745=0),"",H745/G745)</f>
        <v/>
      </c>
      <c r="L745">
        <f>IF(NOT(ISNUMBER(G745)),"SEM META",IF(G745=0,"SEM META",IF(NOT(ISNUMBER(H745)),"SEM APONTAMENTO",IF(H745&gt;=G745,"VERDE",IF(H745&gt;=G745*0.9,"AMARELO","VERMELHO")))))</f>
        <v/>
      </c>
      <c r="M745" s="162" t="n"/>
      <c r="N745" s="162" t="n"/>
      <c r="O745" s="162" t="n"/>
      <c r="P745" s="162" t="n"/>
      <c r="Q745" s="320" t="n"/>
      <c r="R745" s="162" t="inlineStr">
        <is>
          <t>CONTROLE PRODUÇÃO POR EMPRESAS!G129</t>
        </is>
      </c>
    </row>
    <row r="746" ht="28.5" customHeight="1">
      <c r="A746" s="317" t="n">
        <v>46347</v>
      </c>
      <c r="B746" t="inlineStr">
        <is>
          <t>GERAL</t>
        </is>
      </c>
      <c r="C746" t="inlineStr">
        <is>
          <t>EJ</t>
        </is>
      </c>
      <c r="D746" t="inlineStr">
        <is>
          <t>PREMONTAGEM</t>
        </is>
      </c>
      <c r="F746" s="159">
        <f>IFERROR(INDEX('BASE METAS DIÁRIAS'!$N$2:$S$358,MATCH($A746,'BASE METAS DIÁRIAS'!$A$2:$A$358,0),MOD(ROW()-2,6)+1),"")</f>
        <v/>
      </c>
      <c r="G746" s="159">
        <f>IFERROR(IF(WEEKDAY($A746,2)&lt;=INDEX('BASE METAS DIÁRIAS'!$H$2:$M$358,MATCH($A746,'BASE METAS DIÁRIAS'!$A$2:$A$358,0),MOD(ROW()-2,6)+1),INDEX('BASE METAS DIÁRIAS'!$B$2:$G$358,MATCH($A746,'BASE METAS DIÁRIAS'!$A$2:$A$358,0),MOD(ROW()-2,6)+1),""),"")</f>
        <v/>
      </c>
      <c r="H746" s="159">
        <f>IFERROR(IF(INDEX('CONTROLE PRODUÇÃO POR EMPRESAS'!$B$6:$G$5000,MATCH($A746,'CONTROLE PRODUÇÃO POR EMPRESAS'!$A$6:$A$5000,0),MOD(ROW()-2,6)+1)="","",IFERROR(1*INDEX('CONTROLE PRODUÇÃO POR EMPRESAS'!$B$6:$G$5000,MATCH($A746,'CONTROLE PRODUÇÃO POR EMPRESAS'!$A$6:$A$5000,0),MOD(ROW()-2,6)+1),"")),"")</f>
        <v/>
      </c>
      <c r="I746" s="159">
        <f>IF(OR(NOT(ISNUMBER(G746)),NOT(ISNUMBER(H746))),"",H746-G746)</f>
        <v/>
      </c>
      <c r="J746" s="319">
        <f>IF(OR(NOT(ISNUMBER(G746)),NOT(ISNUMBER(H746)),G746=0),"",I746/G746)</f>
        <v/>
      </c>
      <c r="K746" s="319">
        <f>IF(OR(NOT(ISNUMBER(G746)),NOT(ISNUMBER(H746)),G746=0),"",H746/G746)</f>
        <v/>
      </c>
      <c r="L746">
        <f>IF(NOT(ISNUMBER(G746)),"SEM META",IF(G746=0,"SEM META",IF(NOT(ISNUMBER(H746)),"SEM APONTAMENTO",IF(H746&gt;=G746,"VERDE",IF(H746&gt;=G746*0.9,"AMARELO","VERMELHO")))))</f>
        <v/>
      </c>
      <c r="M746" s="162" t="n"/>
      <c r="N746" s="162" t="n"/>
      <c r="O746" s="162" t="n"/>
      <c r="P746" s="162" t="n"/>
      <c r="Q746" s="320" t="n"/>
      <c r="R746" s="162" t="inlineStr">
        <is>
          <t>CONTROLE PRODUÇÃO POR EMPRESAS!B130</t>
        </is>
      </c>
    </row>
    <row r="747" ht="28.5" customHeight="1">
      <c r="A747" s="317" t="n">
        <v>46347</v>
      </c>
      <c r="B747" t="inlineStr">
        <is>
          <t>GERAL</t>
        </is>
      </c>
      <c r="C747" t="inlineStr">
        <is>
          <t>EJ</t>
        </is>
      </c>
      <c r="D747" t="inlineStr">
        <is>
          <t>IÇAMENTO JOIST</t>
        </is>
      </c>
      <c r="F747" s="159">
        <f>IFERROR(INDEX('BASE METAS DIÁRIAS'!$N$2:$S$358,MATCH($A747,'BASE METAS DIÁRIAS'!$A$2:$A$358,0),MOD(ROW()-2,6)+1),"")</f>
        <v/>
      </c>
      <c r="G747" s="159">
        <f>IFERROR(IF(WEEKDAY($A747,2)&lt;=INDEX('BASE METAS DIÁRIAS'!$H$2:$M$358,MATCH($A747,'BASE METAS DIÁRIAS'!$A$2:$A$358,0),MOD(ROW()-2,6)+1),INDEX('BASE METAS DIÁRIAS'!$B$2:$G$358,MATCH($A747,'BASE METAS DIÁRIAS'!$A$2:$A$358,0),MOD(ROW()-2,6)+1),""),"")</f>
        <v/>
      </c>
      <c r="H747" s="159">
        <f>IFERROR(IF(INDEX('CONTROLE PRODUÇÃO POR EMPRESAS'!$B$6:$G$5000,MATCH($A747,'CONTROLE PRODUÇÃO POR EMPRESAS'!$A$6:$A$5000,0),MOD(ROW()-2,6)+1)="","",IFERROR(1*INDEX('CONTROLE PRODUÇÃO POR EMPRESAS'!$B$6:$G$5000,MATCH($A747,'CONTROLE PRODUÇÃO POR EMPRESAS'!$A$6:$A$5000,0),MOD(ROW()-2,6)+1),"")),"")</f>
        <v/>
      </c>
      <c r="I747" s="159">
        <f>IF(OR(NOT(ISNUMBER(G747)),NOT(ISNUMBER(H747))),"",H747-G747)</f>
        <v/>
      </c>
      <c r="J747" s="319">
        <f>IF(OR(NOT(ISNUMBER(G747)),NOT(ISNUMBER(H747)),G747=0),"",I747/G747)</f>
        <v/>
      </c>
      <c r="K747" s="319">
        <f>IF(OR(NOT(ISNUMBER(G747)),NOT(ISNUMBER(H747)),G747=0),"",H747/G747)</f>
        <v/>
      </c>
      <c r="L747">
        <f>IF(NOT(ISNUMBER(G747)),"SEM META",IF(G747=0,"SEM META",IF(NOT(ISNUMBER(H747)),"SEM APONTAMENTO",IF(H747&gt;=G747,"VERDE",IF(H747&gt;=G747*0.9,"AMARELO","VERMELHO")))))</f>
        <v/>
      </c>
      <c r="M747" s="162" t="n"/>
      <c r="N747" s="162" t="n"/>
      <c r="O747" s="162" t="n"/>
      <c r="P747" s="162" t="n"/>
      <c r="Q747" s="320" t="n"/>
      <c r="R747" s="162" t="inlineStr">
        <is>
          <t>CONTROLE PRODUÇÃO POR EMPRESAS!C130</t>
        </is>
      </c>
    </row>
    <row r="748" ht="28.5" customHeight="1">
      <c r="A748" s="317" t="n">
        <v>46347</v>
      </c>
      <c r="B748" t="inlineStr">
        <is>
          <t>GERAL</t>
        </is>
      </c>
      <c r="C748" t="inlineStr">
        <is>
          <t>EJ</t>
        </is>
      </c>
      <c r="D748" t="inlineStr">
        <is>
          <t>VIGAS</t>
        </is>
      </c>
      <c r="F748" s="159">
        <f>IFERROR(INDEX('BASE METAS DIÁRIAS'!$N$2:$S$358,MATCH($A748,'BASE METAS DIÁRIAS'!$A$2:$A$358,0),MOD(ROW()-2,6)+1),"")</f>
        <v/>
      </c>
      <c r="G748" s="159">
        <f>IFERROR(IF(WEEKDAY($A748,2)&lt;=INDEX('BASE METAS DIÁRIAS'!$H$2:$M$358,MATCH($A748,'BASE METAS DIÁRIAS'!$A$2:$A$358,0),MOD(ROW()-2,6)+1),INDEX('BASE METAS DIÁRIAS'!$B$2:$G$358,MATCH($A748,'BASE METAS DIÁRIAS'!$A$2:$A$358,0),MOD(ROW()-2,6)+1),""),"")</f>
        <v/>
      </c>
      <c r="H748" s="159">
        <f>IFERROR(IF(INDEX('CONTROLE PRODUÇÃO POR EMPRESAS'!$B$6:$G$5000,MATCH($A748,'CONTROLE PRODUÇÃO POR EMPRESAS'!$A$6:$A$5000,0),MOD(ROW()-2,6)+1)="","",IFERROR(1*INDEX('CONTROLE PRODUÇÃO POR EMPRESAS'!$B$6:$G$5000,MATCH($A748,'CONTROLE PRODUÇÃO POR EMPRESAS'!$A$6:$A$5000,0),MOD(ROW()-2,6)+1),"")),"")</f>
        <v/>
      </c>
      <c r="I748" s="159">
        <f>IF(OR(NOT(ISNUMBER(G748)),NOT(ISNUMBER(H748))),"",H748-G748)</f>
        <v/>
      </c>
      <c r="J748" s="319">
        <f>IF(OR(NOT(ISNUMBER(G748)),NOT(ISNUMBER(H748)),G748=0),"",I748/G748)</f>
        <v/>
      </c>
      <c r="K748" s="319">
        <f>IF(OR(NOT(ISNUMBER(G748)),NOT(ISNUMBER(H748)),G748=0),"",H748/G748)</f>
        <v/>
      </c>
      <c r="L748">
        <f>IF(NOT(ISNUMBER(G748)),"SEM META",IF(G748=0,"SEM META",IF(NOT(ISNUMBER(H748)),"SEM APONTAMENTO",IF(H748&gt;=G748,"VERDE",IF(H748&gt;=G748*0.9,"AMARELO","VERMELHO")))))</f>
        <v/>
      </c>
      <c r="M748" s="162" t="n"/>
      <c r="N748" s="162" t="n"/>
      <c r="O748" s="162" t="n"/>
      <c r="P748" s="162" t="n"/>
      <c r="Q748" s="320" t="n"/>
      <c r="R748" s="162" t="inlineStr">
        <is>
          <t>CONTROLE PRODUÇÃO POR EMPRESAS!D130</t>
        </is>
      </c>
    </row>
    <row r="749" ht="28.5" customHeight="1">
      <c r="A749" s="317" t="n">
        <v>46347</v>
      </c>
      <c r="B749" t="inlineStr">
        <is>
          <t>GERAL</t>
        </is>
      </c>
      <c r="C749" t="inlineStr">
        <is>
          <t>CMM</t>
        </is>
      </c>
      <c r="D749" t="inlineStr">
        <is>
          <t>PREMONTAGEM</t>
        </is>
      </c>
      <c r="F749" s="159">
        <f>IFERROR(INDEX('BASE METAS DIÁRIAS'!$N$2:$S$358,MATCH($A749,'BASE METAS DIÁRIAS'!$A$2:$A$358,0),MOD(ROW()-2,6)+1),"")</f>
        <v/>
      </c>
      <c r="G749" s="159">
        <f>IFERROR(IF(WEEKDAY($A749,2)&lt;=INDEX('BASE METAS DIÁRIAS'!$H$2:$M$358,MATCH($A749,'BASE METAS DIÁRIAS'!$A$2:$A$358,0),MOD(ROW()-2,6)+1),INDEX('BASE METAS DIÁRIAS'!$B$2:$G$358,MATCH($A749,'BASE METAS DIÁRIAS'!$A$2:$A$358,0),MOD(ROW()-2,6)+1),""),"")</f>
        <v/>
      </c>
      <c r="H749" s="159">
        <f>IFERROR(IF(INDEX('CONTROLE PRODUÇÃO POR EMPRESAS'!$B$6:$G$5000,MATCH($A749,'CONTROLE PRODUÇÃO POR EMPRESAS'!$A$6:$A$5000,0),MOD(ROW()-2,6)+1)="","",IFERROR(1*INDEX('CONTROLE PRODUÇÃO POR EMPRESAS'!$B$6:$G$5000,MATCH($A749,'CONTROLE PRODUÇÃO POR EMPRESAS'!$A$6:$A$5000,0),MOD(ROW()-2,6)+1),"")),"")</f>
        <v/>
      </c>
      <c r="I749" s="159">
        <f>IF(OR(NOT(ISNUMBER(G749)),NOT(ISNUMBER(H749))),"",H749-G749)</f>
        <v/>
      </c>
      <c r="J749" s="319">
        <f>IF(OR(NOT(ISNUMBER(G749)),NOT(ISNUMBER(H749)),G749=0),"",I749/G749)</f>
        <v/>
      </c>
      <c r="K749" s="319">
        <f>IF(OR(NOT(ISNUMBER(G749)),NOT(ISNUMBER(H749)),G749=0),"",H749/G749)</f>
        <v/>
      </c>
      <c r="L749">
        <f>IF(NOT(ISNUMBER(G749)),"SEM META",IF(G749=0,"SEM META",IF(NOT(ISNUMBER(H749)),"SEM APONTAMENTO",IF(H749&gt;=G749,"VERDE",IF(H749&gt;=G749*0.9,"AMARELO","VERMELHO")))))</f>
        <v/>
      </c>
      <c r="M749" s="162" t="n"/>
      <c r="N749" s="162" t="n"/>
      <c r="O749" s="162" t="n"/>
      <c r="P749" s="162" t="n"/>
      <c r="Q749" s="320" t="n"/>
      <c r="R749" s="162" t="inlineStr">
        <is>
          <t>CONTROLE PRODUÇÃO POR EMPRESAS!E130</t>
        </is>
      </c>
    </row>
    <row r="750" ht="28.5" customHeight="1">
      <c r="A750" s="317" t="n">
        <v>46347</v>
      </c>
      <c r="B750" t="inlineStr">
        <is>
          <t>GERAL</t>
        </is>
      </c>
      <c r="C750" t="inlineStr">
        <is>
          <t>CMM</t>
        </is>
      </c>
      <c r="D750" t="inlineStr">
        <is>
          <t>IÇAMENTO JOIST</t>
        </is>
      </c>
      <c r="F750" s="159">
        <f>IFERROR(INDEX('BASE METAS DIÁRIAS'!$N$2:$S$358,MATCH($A750,'BASE METAS DIÁRIAS'!$A$2:$A$358,0),MOD(ROW()-2,6)+1),"")</f>
        <v/>
      </c>
      <c r="G750" s="159">
        <f>IFERROR(IF(WEEKDAY($A750,2)&lt;=INDEX('BASE METAS DIÁRIAS'!$H$2:$M$358,MATCH($A750,'BASE METAS DIÁRIAS'!$A$2:$A$358,0),MOD(ROW()-2,6)+1),INDEX('BASE METAS DIÁRIAS'!$B$2:$G$358,MATCH($A750,'BASE METAS DIÁRIAS'!$A$2:$A$358,0),MOD(ROW()-2,6)+1),""),"")</f>
        <v/>
      </c>
      <c r="H750" s="159">
        <f>IFERROR(IF(INDEX('CONTROLE PRODUÇÃO POR EMPRESAS'!$B$6:$G$5000,MATCH($A750,'CONTROLE PRODUÇÃO POR EMPRESAS'!$A$6:$A$5000,0),MOD(ROW()-2,6)+1)="","",IFERROR(1*INDEX('CONTROLE PRODUÇÃO POR EMPRESAS'!$B$6:$G$5000,MATCH($A750,'CONTROLE PRODUÇÃO POR EMPRESAS'!$A$6:$A$5000,0),MOD(ROW()-2,6)+1),"")),"")</f>
        <v/>
      </c>
      <c r="I750" s="159">
        <f>IF(OR(NOT(ISNUMBER(G750)),NOT(ISNUMBER(H750))),"",H750-G750)</f>
        <v/>
      </c>
      <c r="J750" s="319">
        <f>IF(OR(NOT(ISNUMBER(G750)),NOT(ISNUMBER(H750)),G750=0),"",I750/G750)</f>
        <v/>
      </c>
      <c r="K750" s="319">
        <f>IF(OR(NOT(ISNUMBER(G750)),NOT(ISNUMBER(H750)),G750=0),"",H750/G750)</f>
        <v/>
      </c>
      <c r="L750">
        <f>IF(NOT(ISNUMBER(G750)),"SEM META",IF(G750=0,"SEM META",IF(NOT(ISNUMBER(H750)),"SEM APONTAMENTO",IF(H750&gt;=G750,"VERDE",IF(H750&gt;=G750*0.9,"AMARELO","VERMELHO")))))</f>
        <v/>
      </c>
      <c r="M750" s="162" t="n"/>
      <c r="N750" s="162" t="n"/>
      <c r="O750" s="162" t="n"/>
      <c r="P750" s="162" t="n"/>
      <c r="Q750" s="320" t="n"/>
      <c r="R750" s="162" t="inlineStr">
        <is>
          <t>CONTROLE PRODUÇÃO POR EMPRESAS!F130</t>
        </is>
      </c>
    </row>
    <row r="751" ht="28.5" customHeight="1">
      <c r="A751" s="317" t="n">
        <v>46347</v>
      </c>
      <c r="B751" t="inlineStr">
        <is>
          <t>GERAL</t>
        </is>
      </c>
      <c r="C751" t="inlineStr">
        <is>
          <t>CMM</t>
        </is>
      </c>
      <c r="D751" t="inlineStr">
        <is>
          <t>VIGAS</t>
        </is>
      </c>
      <c r="F751" s="159">
        <f>IFERROR(INDEX('BASE METAS DIÁRIAS'!$N$2:$S$358,MATCH($A751,'BASE METAS DIÁRIAS'!$A$2:$A$358,0),MOD(ROW()-2,6)+1),"")</f>
        <v/>
      </c>
      <c r="G751" s="159">
        <f>IFERROR(IF(WEEKDAY($A751,2)&lt;=INDEX('BASE METAS DIÁRIAS'!$H$2:$M$358,MATCH($A751,'BASE METAS DIÁRIAS'!$A$2:$A$358,0),MOD(ROW()-2,6)+1),INDEX('BASE METAS DIÁRIAS'!$B$2:$G$358,MATCH($A751,'BASE METAS DIÁRIAS'!$A$2:$A$358,0),MOD(ROW()-2,6)+1),""),"")</f>
        <v/>
      </c>
      <c r="H751" s="159">
        <f>IFERROR(IF(INDEX('CONTROLE PRODUÇÃO POR EMPRESAS'!$B$6:$G$5000,MATCH($A751,'CONTROLE PRODUÇÃO POR EMPRESAS'!$A$6:$A$5000,0),MOD(ROW()-2,6)+1)="","",IFERROR(1*INDEX('CONTROLE PRODUÇÃO POR EMPRESAS'!$B$6:$G$5000,MATCH($A751,'CONTROLE PRODUÇÃO POR EMPRESAS'!$A$6:$A$5000,0),MOD(ROW()-2,6)+1),"")),"")</f>
        <v/>
      </c>
      <c r="I751" s="159">
        <f>IF(OR(NOT(ISNUMBER(G751)),NOT(ISNUMBER(H751))),"",H751-G751)</f>
        <v/>
      </c>
      <c r="J751" s="319">
        <f>IF(OR(NOT(ISNUMBER(G751)),NOT(ISNUMBER(H751)),G751=0),"",I751/G751)</f>
        <v/>
      </c>
      <c r="K751" s="319">
        <f>IF(OR(NOT(ISNUMBER(G751)),NOT(ISNUMBER(H751)),G751=0),"",H751/G751)</f>
        <v/>
      </c>
      <c r="L751">
        <f>IF(NOT(ISNUMBER(G751)),"SEM META",IF(G751=0,"SEM META",IF(NOT(ISNUMBER(H751)),"SEM APONTAMENTO",IF(H751&gt;=G751,"VERDE",IF(H751&gt;=G751*0.9,"AMARELO","VERMELHO")))))</f>
        <v/>
      </c>
      <c r="M751" s="162" t="n"/>
      <c r="N751" s="162" t="n"/>
      <c r="O751" s="162" t="n"/>
      <c r="P751" s="162" t="n"/>
      <c r="Q751" s="320" t="n"/>
      <c r="R751" s="162" t="inlineStr">
        <is>
          <t>CONTROLE PRODUÇÃO POR EMPRESAS!G130</t>
        </is>
      </c>
    </row>
    <row r="752" ht="28.5" customHeight="1">
      <c r="A752" s="317" t="n">
        <v>46348</v>
      </c>
      <c r="B752" t="inlineStr">
        <is>
          <t>GERAL</t>
        </is>
      </c>
      <c r="C752" t="inlineStr">
        <is>
          <t>EJ</t>
        </is>
      </c>
      <c r="D752" t="inlineStr">
        <is>
          <t>PREMONTAGEM</t>
        </is>
      </c>
      <c r="F752" s="159">
        <f>IFERROR(INDEX('BASE METAS DIÁRIAS'!$N$2:$S$358,MATCH($A752,'BASE METAS DIÁRIAS'!$A$2:$A$358,0),MOD(ROW()-2,6)+1),"")</f>
        <v/>
      </c>
      <c r="G752" s="159">
        <f>IFERROR(IF(WEEKDAY($A752,2)&lt;=INDEX('BASE METAS DIÁRIAS'!$H$2:$M$358,MATCH($A752,'BASE METAS DIÁRIAS'!$A$2:$A$358,0),MOD(ROW()-2,6)+1),INDEX('BASE METAS DIÁRIAS'!$B$2:$G$358,MATCH($A752,'BASE METAS DIÁRIAS'!$A$2:$A$358,0),MOD(ROW()-2,6)+1),""),"")</f>
        <v/>
      </c>
      <c r="H752" s="159">
        <f>IFERROR(IF(INDEX('CONTROLE PRODUÇÃO POR EMPRESAS'!$B$6:$G$5000,MATCH($A752,'CONTROLE PRODUÇÃO POR EMPRESAS'!$A$6:$A$5000,0),MOD(ROW()-2,6)+1)="","",IFERROR(1*INDEX('CONTROLE PRODUÇÃO POR EMPRESAS'!$B$6:$G$5000,MATCH($A752,'CONTROLE PRODUÇÃO POR EMPRESAS'!$A$6:$A$5000,0),MOD(ROW()-2,6)+1),"")),"")</f>
        <v/>
      </c>
      <c r="I752" s="159">
        <f>IF(OR(NOT(ISNUMBER(G752)),NOT(ISNUMBER(H752))),"",H752-G752)</f>
        <v/>
      </c>
      <c r="J752" s="319">
        <f>IF(OR(NOT(ISNUMBER(G752)),NOT(ISNUMBER(H752)),G752=0),"",I752/G752)</f>
        <v/>
      </c>
      <c r="K752" s="319">
        <f>IF(OR(NOT(ISNUMBER(G752)),NOT(ISNUMBER(H752)),G752=0),"",H752/G752)</f>
        <v/>
      </c>
      <c r="L752">
        <f>IF(NOT(ISNUMBER(G752)),"SEM META",IF(G752=0,"SEM META",IF(NOT(ISNUMBER(H752)),"SEM APONTAMENTO",IF(H752&gt;=G752,"VERDE",IF(H752&gt;=G752*0.9,"AMARELO","VERMELHO")))))</f>
        <v/>
      </c>
      <c r="M752" s="162" t="n"/>
      <c r="N752" s="162" t="n"/>
      <c r="O752" s="162" t="n"/>
      <c r="P752" s="162" t="n"/>
      <c r="Q752" s="320" t="n"/>
      <c r="R752" s="162" t="inlineStr">
        <is>
          <t>CONTROLE PRODUÇÃO POR EMPRESAS!B131</t>
        </is>
      </c>
    </row>
    <row r="753" ht="28.5" customHeight="1">
      <c r="A753" s="317" t="n">
        <v>46348</v>
      </c>
      <c r="B753" t="inlineStr">
        <is>
          <t>GERAL</t>
        </is>
      </c>
      <c r="C753" t="inlineStr">
        <is>
          <t>EJ</t>
        </is>
      </c>
      <c r="D753" t="inlineStr">
        <is>
          <t>IÇAMENTO JOIST</t>
        </is>
      </c>
      <c r="F753" s="159">
        <f>IFERROR(INDEX('BASE METAS DIÁRIAS'!$N$2:$S$358,MATCH($A753,'BASE METAS DIÁRIAS'!$A$2:$A$358,0),MOD(ROW()-2,6)+1),"")</f>
        <v/>
      </c>
      <c r="G753" s="159">
        <f>IFERROR(IF(WEEKDAY($A753,2)&lt;=INDEX('BASE METAS DIÁRIAS'!$H$2:$M$358,MATCH($A753,'BASE METAS DIÁRIAS'!$A$2:$A$358,0),MOD(ROW()-2,6)+1),INDEX('BASE METAS DIÁRIAS'!$B$2:$G$358,MATCH($A753,'BASE METAS DIÁRIAS'!$A$2:$A$358,0),MOD(ROW()-2,6)+1),""),"")</f>
        <v/>
      </c>
      <c r="H753" s="159">
        <f>IFERROR(IF(INDEX('CONTROLE PRODUÇÃO POR EMPRESAS'!$B$6:$G$5000,MATCH($A753,'CONTROLE PRODUÇÃO POR EMPRESAS'!$A$6:$A$5000,0),MOD(ROW()-2,6)+1)="","",IFERROR(1*INDEX('CONTROLE PRODUÇÃO POR EMPRESAS'!$B$6:$G$5000,MATCH($A753,'CONTROLE PRODUÇÃO POR EMPRESAS'!$A$6:$A$5000,0),MOD(ROW()-2,6)+1),"")),"")</f>
        <v/>
      </c>
      <c r="I753" s="159">
        <f>IF(OR(NOT(ISNUMBER(G753)),NOT(ISNUMBER(H753))),"",H753-G753)</f>
        <v/>
      </c>
      <c r="J753" s="319">
        <f>IF(OR(NOT(ISNUMBER(G753)),NOT(ISNUMBER(H753)),G753=0),"",I753/G753)</f>
        <v/>
      </c>
      <c r="K753" s="319">
        <f>IF(OR(NOT(ISNUMBER(G753)),NOT(ISNUMBER(H753)),G753=0),"",H753/G753)</f>
        <v/>
      </c>
      <c r="L753">
        <f>IF(NOT(ISNUMBER(G753)),"SEM META",IF(G753=0,"SEM META",IF(NOT(ISNUMBER(H753)),"SEM APONTAMENTO",IF(H753&gt;=G753,"VERDE",IF(H753&gt;=G753*0.9,"AMARELO","VERMELHO")))))</f>
        <v/>
      </c>
      <c r="M753" s="162" t="n"/>
      <c r="N753" s="162" t="n"/>
      <c r="O753" s="162" t="n"/>
      <c r="P753" s="162" t="n"/>
      <c r="Q753" s="320" t="n"/>
      <c r="R753" s="162" t="inlineStr">
        <is>
          <t>CONTROLE PRODUÇÃO POR EMPRESAS!C131</t>
        </is>
      </c>
    </row>
    <row r="754" ht="28.5" customHeight="1">
      <c r="A754" s="317" t="n">
        <v>46348</v>
      </c>
      <c r="B754" t="inlineStr">
        <is>
          <t>GERAL</t>
        </is>
      </c>
      <c r="C754" t="inlineStr">
        <is>
          <t>EJ</t>
        </is>
      </c>
      <c r="D754" t="inlineStr">
        <is>
          <t>VIGAS</t>
        </is>
      </c>
      <c r="F754" s="159">
        <f>IFERROR(INDEX('BASE METAS DIÁRIAS'!$N$2:$S$358,MATCH($A754,'BASE METAS DIÁRIAS'!$A$2:$A$358,0),MOD(ROW()-2,6)+1),"")</f>
        <v/>
      </c>
      <c r="G754" s="159">
        <f>IFERROR(IF(WEEKDAY($A754,2)&lt;=INDEX('BASE METAS DIÁRIAS'!$H$2:$M$358,MATCH($A754,'BASE METAS DIÁRIAS'!$A$2:$A$358,0),MOD(ROW()-2,6)+1),INDEX('BASE METAS DIÁRIAS'!$B$2:$G$358,MATCH($A754,'BASE METAS DIÁRIAS'!$A$2:$A$358,0),MOD(ROW()-2,6)+1),""),"")</f>
        <v/>
      </c>
      <c r="H754" s="159">
        <f>IFERROR(IF(INDEX('CONTROLE PRODUÇÃO POR EMPRESAS'!$B$6:$G$5000,MATCH($A754,'CONTROLE PRODUÇÃO POR EMPRESAS'!$A$6:$A$5000,0),MOD(ROW()-2,6)+1)="","",IFERROR(1*INDEX('CONTROLE PRODUÇÃO POR EMPRESAS'!$B$6:$G$5000,MATCH($A754,'CONTROLE PRODUÇÃO POR EMPRESAS'!$A$6:$A$5000,0),MOD(ROW()-2,6)+1),"")),"")</f>
        <v/>
      </c>
      <c r="I754" s="159">
        <f>IF(OR(NOT(ISNUMBER(G754)),NOT(ISNUMBER(H754))),"",H754-G754)</f>
        <v/>
      </c>
      <c r="J754" s="319">
        <f>IF(OR(NOT(ISNUMBER(G754)),NOT(ISNUMBER(H754)),G754=0),"",I754/G754)</f>
        <v/>
      </c>
      <c r="K754" s="319">
        <f>IF(OR(NOT(ISNUMBER(G754)),NOT(ISNUMBER(H754)),G754=0),"",H754/G754)</f>
        <v/>
      </c>
      <c r="L754">
        <f>IF(NOT(ISNUMBER(G754)),"SEM META",IF(G754=0,"SEM META",IF(NOT(ISNUMBER(H754)),"SEM APONTAMENTO",IF(H754&gt;=G754,"VERDE",IF(H754&gt;=G754*0.9,"AMARELO","VERMELHO")))))</f>
        <v/>
      </c>
      <c r="M754" s="162" t="n"/>
      <c r="N754" s="162" t="n"/>
      <c r="O754" s="162" t="n"/>
      <c r="P754" s="162" t="n"/>
      <c r="Q754" s="320" t="n"/>
      <c r="R754" s="162" t="inlineStr">
        <is>
          <t>CONTROLE PRODUÇÃO POR EMPRESAS!D131</t>
        </is>
      </c>
    </row>
    <row r="755" ht="28.5" customHeight="1">
      <c r="A755" s="317" t="n">
        <v>46348</v>
      </c>
      <c r="B755" t="inlineStr">
        <is>
          <t>GERAL</t>
        </is>
      </c>
      <c r="C755" t="inlineStr">
        <is>
          <t>CMM</t>
        </is>
      </c>
      <c r="D755" t="inlineStr">
        <is>
          <t>PREMONTAGEM</t>
        </is>
      </c>
      <c r="F755" s="159">
        <f>IFERROR(INDEX('BASE METAS DIÁRIAS'!$N$2:$S$358,MATCH($A755,'BASE METAS DIÁRIAS'!$A$2:$A$358,0),MOD(ROW()-2,6)+1),"")</f>
        <v/>
      </c>
      <c r="G755" s="159">
        <f>IFERROR(IF(WEEKDAY($A755,2)&lt;=INDEX('BASE METAS DIÁRIAS'!$H$2:$M$358,MATCH($A755,'BASE METAS DIÁRIAS'!$A$2:$A$358,0),MOD(ROW()-2,6)+1),INDEX('BASE METAS DIÁRIAS'!$B$2:$G$358,MATCH($A755,'BASE METAS DIÁRIAS'!$A$2:$A$358,0),MOD(ROW()-2,6)+1),""),"")</f>
        <v/>
      </c>
      <c r="H755" s="159">
        <f>IFERROR(IF(INDEX('CONTROLE PRODUÇÃO POR EMPRESAS'!$B$6:$G$5000,MATCH($A755,'CONTROLE PRODUÇÃO POR EMPRESAS'!$A$6:$A$5000,0),MOD(ROW()-2,6)+1)="","",IFERROR(1*INDEX('CONTROLE PRODUÇÃO POR EMPRESAS'!$B$6:$G$5000,MATCH($A755,'CONTROLE PRODUÇÃO POR EMPRESAS'!$A$6:$A$5000,0),MOD(ROW()-2,6)+1),"")),"")</f>
        <v/>
      </c>
      <c r="I755" s="159">
        <f>IF(OR(NOT(ISNUMBER(G755)),NOT(ISNUMBER(H755))),"",H755-G755)</f>
        <v/>
      </c>
      <c r="J755" s="319">
        <f>IF(OR(NOT(ISNUMBER(G755)),NOT(ISNUMBER(H755)),G755=0),"",I755/G755)</f>
        <v/>
      </c>
      <c r="K755" s="319">
        <f>IF(OR(NOT(ISNUMBER(G755)),NOT(ISNUMBER(H755)),G755=0),"",H755/G755)</f>
        <v/>
      </c>
      <c r="L755">
        <f>IF(NOT(ISNUMBER(G755)),"SEM META",IF(G755=0,"SEM META",IF(NOT(ISNUMBER(H755)),"SEM APONTAMENTO",IF(H755&gt;=G755,"VERDE",IF(H755&gt;=G755*0.9,"AMARELO","VERMELHO")))))</f>
        <v/>
      </c>
      <c r="M755" s="162" t="n"/>
      <c r="N755" s="162" t="n"/>
      <c r="O755" s="162" t="n"/>
      <c r="P755" s="162" t="n"/>
      <c r="Q755" s="320" t="n"/>
      <c r="R755" s="162" t="inlineStr">
        <is>
          <t>CONTROLE PRODUÇÃO POR EMPRESAS!E131</t>
        </is>
      </c>
    </row>
    <row r="756" ht="28.5" customHeight="1">
      <c r="A756" s="317" t="n">
        <v>46348</v>
      </c>
      <c r="B756" t="inlineStr">
        <is>
          <t>GERAL</t>
        </is>
      </c>
      <c r="C756" t="inlineStr">
        <is>
          <t>CMM</t>
        </is>
      </c>
      <c r="D756" t="inlineStr">
        <is>
          <t>IÇAMENTO JOIST</t>
        </is>
      </c>
      <c r="F756" s="159">
        <f>IFERROR(INDEX('BASE METAS DIÁRIAS'!$N$2:$S$358,MATCH($A756,'BASE METAS DIÁRIAS'!$A$2:$A$358,0),MOD(ROW()-2,6)+1),"")</f>
        <v/>
      </c>
      <c r="G756" s="159">
        <f>IFERROR(IF(WEEKDAY($A756,2)&lt;=INDEX('BASE METAS DIÁRIAS'!$H$2:$M$358,MATCH($A756,'BASE METAS DIÁRIAS'!$A$2:$A$358,0),MOD(ROW()-2,6)+1),INDEX('BASE METAS DIÁRIAS'!$B$2:$G$358,MATCH($A756,'BASE METAS DIÁRIAS'!$A$2:$A$358,0),MOD(ROW()-2,6)+1),""),"")</f>
        <v/>
      </c>
      <c r="H756" s="159">
        <f>IFERROR(IF(INDEX('CONTROLE PRODUÇÃO POR EMPRESAS'!$B$6:$G$5000,MATCH($A756,'CONTROLE PRODUÇÃO POR EMPRESAS'!$A$6:$A$5000,0),MOD(ROW()-2,6)+1)="","",IFERROR(1*INDEX('CONTROLE PRODUÇÃO POR EMPRESAS'!$B$6:$G$5000,MATCH($A756,'CONTROLE PRODUÇÃO POR EMPRESAS'!$A$6:$A$5000,0),MOD(ROW()-2,6)+1),"")),"")</f>
        <v/>
      </c>
      <c r="I756" s="159">
        <f>IF(OR(NOT(ISNUMBER(G756)),NOT(ISNUMBER(H756))),"",H756-G756)</f>
        <v/>
      </c>
      <c r="J756" s="319">
        <f>IF(OR(NOT(ISNUMBER(G756)),NOT(ISNUMBER(H756)),G756=0),"",I756/G756)</f>
        <v/>
      </c>
      <c r="K756" s="319">
        <f>IF(OR(NOT(ISNUMBER(G756)),NOT(ISNUMBER(H756)),G756=0),"",H756/G756)</f>
        <v/>
      </c>
      <c r="L756">
        <f>IF(NOT(ISNUMBER(G756)),"SEM META",IF(G756=0,"SEM META",IF(NOT(ISNUMBER(H756)),"SEM APONTAMENTO",IF(H756&gt;=G756,"VERDE",IF(H756&gt;=G756*0.9,"AMARELO","VERMELHO")))))</f>
        <v/>
      </c>
      <c r="M756" s="162" t="n"/>
      <c r="N756" s="162" t="n"/>
      <c r="O756" s="162" t="n"/>
      <c r="P756" s="162" t="n"/>
      <c r="Q756" s="320" t="n"/>
      <c r="R756" s="162" t="inlineStr">
        <is>
          <t>CONTROLE PRODUÇÃO POR EMPRESAS!F131</t>
        </is>
      </c>
    </row>
    <row r="757" ht="28.5" customHeight="1">
      <c r="A757" s="317" t="n">
        <v>46348</v>
      </c>
      <c r="B757" t="inlineStr">
        <is>
          <t>GERAL</t>
        </is>
      </c>
      <c r="C757" t="inlineStr">
        <is>
          <t>CMM</t>
        </is>
      </c>
      <c r="D757" t="inlineStr">
        <is>
          <t>VIGAS</t>
        </is>
      </c>
      <c r="F757" s="159">
        <f>IFERROR(INDEX('BASE METAS DIÁRIAS'!$N$2:$S$358,MATCH($A757,'BASE METAS DIÁRIAS'!$A$2:$A$358,0),MOD(ROW()-2,6)+1),"")</f>
        <v/>
      </c>
      <c r="G757" s="159">
        <f>IFERROR(IF(WEEKDAY($A757,2)&lt;=INDEX('BASE METAS DIÁRIAS'!$H$2:$M$358,MATCH($A757,'BASE METAS DIÁRIAS'!$A$2:$A$358,0),MOD(ROW()-2,6)+1),INDEX('BASE METAS DIÁRIAS'!$B$2:$G$358,MATCH($A757,'BASE METAS DIÁRIAS'!$A$2:$A$358,0),MOD(ROW()-2,6)+1),""),"")</f>
        <v/>
      </c>
      <c r="H757" s="159">
        <f>IFERROR(IF(INDEX('CONTROLE PRODUÇÃO POR EMPRESAS'!$B$6:$G$5000,MATCH($A757,'CONTROLE PRODUÇÃO POR EMPRESAS'!$A$6:$A$5000,0),MOD(ROW()-2,6)+1)="","",IFERROR(1*INDEX('CONTROLE PRODUÇÃO POR EMPRESAS'!$B$6:$G$5000,MATCH($A757,'CONTROLE PRODUÇÃO POR EMPRESAS'!$A$6:$A$5000,0),MOD(ROW()-2,6)+1),"")),"")</f>
        <v/>
      </c>
      <c r="I757" s="159">
        <f>IF(OR(NOT(ISNUMBER(G757)),NOT(ISNUMBER(H757))),"",H757-G757)</f>
        <v/>
      </c>
      <c r="J757" s="319">
        <f>IF(OR(NOT(ISNUMBER(G757)),NOT(ISNUMBER(H757)),G757=0),"",I757/G757)</f>
        <v/>
      </c>
      <c r="K757" s="319">
        <f>IF(OR(NOT(ISNUMBER(G757)),NOT(ISNUMBER(H757)),G757=0),"",H757/G757)</f>
        <v/>
      </c>
      <c r="L757">
        <f>IF(NOT(ISNUMBER(G757)),"SEM META",IF(G757=0,"SEM META",IF(NOT(ISNUMBER(H757)),"SEM APONTAMENTO",IF(H757&gt;=G757,"VERDE",IF(H757&gt;=G757*0.9,"AMARELO","VERMELHO")))))</f>
        <v/>
      </c>
      <c r="M757" s="162" t="n"/>
      <c r="N757" s="162" t="n"/>
      <c r="O757" s="162" t="n"/>
      <c r="P757" s="162" t="n"/>
      <c r="Q757" s="320" t="n"/>
      <c r="R757" s="162" t="inlineStr">
        <is>
          <t>CONTROLE PRODUÇÃO POR EMPRESAS!G131</t>
        </is>
      </c>
    </row>
    <row r="758" ht="28.5" customHeight="1">
      <c r="A758" s="317" t="n">
        <v>46349</v>
      </c>
      <c r="B758" t="inlineStr">
        <is>
          <t>GERAL</t>
        </is>
      </c>
      <c r="C758" t="inlineStr">
        <is>
          <t>EJ</t>
        </is>
      </c>
      <c r="D758" t="inlineStr">
        <is>
          <t>PREMONTAGEM</t>
        </is>
      </c>
      <c r="F758" s="159">
        <f>IFERROR(INDEX('BASE METAS DIÁRIAS'!$N$2:$S$358,MATCH($A758,'BASE METAS DIÁRIAS'!$A$2:$A$358,0),MOD(ROW()-2,6)+1),"")</f>
        <v/>
      </c>
      <c r="G758" s="159">
        <f>IFERROR(IF(WEEKDAY($A758,2)&lt;=INDEX('BASE METAS DIÁRIAS'!$H$2:$M$358,MATCH($A758,'BASE METAS DIÁRIAS'!$A$2:$A$358,0),MOD(ROW()-2,6)+1),INDEX('BASE METAS DIÁRIAS'!$B$2:$G$358,MATCH($A758,'BASE METAS DIÁRIAS'!$A$2:$A$358,0),MOD(ROW()-2,6)+1),""),"")</f>
        <v/>
      </c>
      <c r="H758" s="159">
        <f>IFERROR(IF(INDEX('CONTROLE PRODUÇÃO POR EMPRESAS'!$B$6:$G$5000,MATCH($A758,'CONTROLE PRODUÇÃO POR EMPRESAS'!$A$6:$A$5000,0),MOD(ROW()-2,6)+1)="","",IFERROR(1*INDEX('CONTROLE PRODUÇÃO POR EMPRESAS'!$B$6:$G$5000,MATCH($A758,'CONTROLE PRODUÇÃO POR EMPRESAS'!$A$6:$A$5000,0),MOD(ROW()-2,6)+1),"")),"")</f>
        <v/>
      </c>
      <c r="I758" s="159">
        <f>IF(OR(NOT(ISNUMBER(G758)),NOT(ISNUMBER(H758))),"",H758-G758)</f>
        <v/>
      </c>
      <c r="J758" s="319">
        <f>IF(OR(NOT(ISNUMBER(G758)),NOT(ISNUMBER(H758)),G758=0),"",I758/G758)</f>
        <v/>
      </c>
      <c r="K758" s="319">
        <f>IF(OR(NOT(ISNUMBER(G758)),NOT(ISNUMBER(H758)),G758=0),"",H758/G758)</f>
        <v/>
      </c>
      <c r="L758">
        <f>IF(NOT(ISNUMBER(G758)),"SEM META",IF(G758=0,"SEM META",IF(NOT(ISNUMBER(H758)),"SEM APONTAMENTO",IF(H758&gt;=G758,"VERDE",IF(H758&gt;=G758*0.9,"AMARELO","VERMELHO")))))</f>
        <v/>
      </c>
      <c r="M758" s="162" t="n"/>
      <c r="N758" s="162" t="n"/>
      <c r="O758" s="162" t="n"/>
      <c r="P758" s="162" t="n"/>
      <c r="Q758" s="320" t="n"/>
      <c r="R758" s="162" t="inlineStr">
        <is>
          <t>CONTROLE PRODUÇÃO POR EMPRESAS!B132</t>
        </is>
      </c>
    </row>
    <row r="759" ht="28.5" customHeight="1">
      <c r="A759" s="317" t="n">
        <v>46349</v>
      </c>
      <c r="B759" t="inlineStr">
        <is>
          <t>GERAL</t>
        </is>
      </c>
      <c r="C759" t="inlineStr">
        <is>
          <t>EJ</t>
        </is>
      </c>
      <c r="D759" t="inlineStr">
        <is>
          <t>IÇAMENTO JOIST</t>
        </is>
      </c>
      <c r="F759" s="159">
        <f>IFERROR(INDEX('BASE METAS DIÁRIAS'!$N$2:$S$358,MATCH($A759,'BASE METAS DIÁRIAS'!$A$2:$A$358,0),MOD(ROW()-2,6)+1),"")</f>
        <v/>
      </c>
      <c r="G759" s="159">
        <f>IFERROR(IF(WEEKDAY($A759,2)&lt;=INDEX('BASE METAS DIÁRIAS'!$H$2:$M$358,MATCH($A759,'BASE METAS DIÁRIAS'!$A$2:$A$358,0),MOD(ROW()-2,6)+1),INDEX('BASE METAS DIÁRIAS'!$B$2:$G$358,MATCH($A759,'BASE METAS DIÁRIAS'!$A$2:$A$358,0),MOD(ROW()-2,6)+1),""),"")</f>
        <v/>
      </c>
      <c r="H759" s="159">
        <f>IFERROR(IF(INDEX('CONTROLE PRODUÇÃO POR EMPRESAS'!$B$6:$G$5000,MATCH($A759,'CONTROLE PRODUÇÃO POR EMPRESAS'!$A$6:$A$5000,0),MOD(ROW()-2,6)+1)="","",IFERROR(1*INDEX('CONTROLE PRODUÇÃO POR EMPRESAS'!$B$6:$G$5000,MATCH($A759,'CONTROLE PRODUÇÃO POR EMPRESAS'!$A$6:$A$5000,0),MOD(ROW()-2,6)+1),"")),"")</f>
        <v/>
      </c>
      <c r="I759" s="159">
        <f>IF(OR(NOT(ISNUMBER(G759)),NOT(ISNUMBER(H759))),"",H759-G759)</f>
        <v/>
      </c>
      <c r="J759" s="319">
        <f>IF(OR(NOT(ISNUMBER(G759)),NOT(ISNUMBER(H759)),G759=0),"",I759/G759)</f>
        <v/>
      </c>
      <c r="K759" s="319">
        <f>IF(OR(NOT(ISNUMBER(G759)),NOT(ISNUMBER(H759)),G759=0),"",H759/G759)</f>
        <v/>
      </c>
      <c r="L759">
        <f>IF(NOT(ISNUMBER(G759)),"SEM META",IF(G759=0,"SEM META",IF(NOT(ISNUMBER(H759)),"SEM APONTAMENTO",IF(H759&gt;=G759,"VERDE",IF(H759&gt;=G759*0.9,"AMARELO","VERMELHO")))))</f>
        <v/>
      </c>
      <c r="M759" s="162" t="n"/>
      <c r="N759" s="162" t="n"/>
      <c r="O759" s="162" t="n"/>
      <c r="P759" s="162" t="n"/>
      <c r="Q759" s="320" t="n"/>
      <c r="R759" s="162" t="inlineStr">
        <is>
          <t>CONTROLE PRODUÇÃO POR EMPRESAS!C132</t>
        </is>
      </c>
    </row>
    <row r="760" ht="28.5" customHeight="1">
      <c r="A760" s="317" t="n">
        <v>46349</v>
      </c>
      <c r="B760" t="inlineStr">
        <is>
          <t>GERAL</t>
        </is>
      </c>
      <c r="C760" t="inlineStr">
        <is>
          <t>EJ</t>
        </is>
      </c>
      <c r="D760" t="inlineStr">
        <is>
          <t>VIGAS</t>
        </is>
      </c>
      <c r="F760" s="159">
        <f>IFERROR(INDEX('BASE METAS DIÁRIAS'!$N$2:$S$358,MATCH($A760,'BASE METAS DIÁRIAS'!$A$2:$A$358,0),MOD(ROW()-2,6)+1),"")</f>
        <v/>
      </c>
      <c r="G760" s="159">
        <f>IFERROR(IF(WEEKDAY($A760,2)&lt;=INDEX('BASE METAS DIÁRIAS'!$H$2:$M$358,MATCH($A760,'BASE METAS DIÁRIAS'!$A$2:$A$358,0),MOD(ROW()-2,6)+1),INDEX('BASE METAS DIÁRIAS'!$B$2:$G$358,MATCH($A760,'BASE METAS DIÁRIAS'!$A$2:$A$358,0),MOD(ROW()-2,6)+1),""),"")</f>
        <v/>
      </c>
      <c r="H760" s="159">
        <f>IFERROR(IF(INDEX('CONTROLE PRODUÇÃO POR EMPRESAS'!$B$6:$G$5000,MATCH($A760,'CONTROLE PRODUÇÃO POR EMPRESAS'!$A$6:$A$5000,0),MOD(ROW()-2,6)+1)="","",IFERROR(1*INDEX('CONTROLE PRODUÇÃO POR EMPRESAS'!$B$6:$G$5000,MATCH($A760,'CONTROLE PRODUÇÃO POR EMPRESAS'!$A$6:$A$5000,0),MOD(ROW()-2,6)+1),"")),"")</f>
        <v/>
      </c>
      <c r="I760" s="159">
        <f>IF(OR(NOT(ISNUMBER(G760)),NOT(ISNUMBER(H760))),"",H760-G760)</f>
        <v/>
      </c>
      <c r="J760" s="319">
        <f>IF(OR(NOT(ISNUMBER(G760)),NOT(ISNUMBER(H760)),G760=0),"",I760/G760)</f>
        <v/>
      </c>
      <c r="K760" s="319">
        <f>IF(OR(NOT(ISNUMBER(G760)),NOT(ISNUMBER(H760)),G760=0),"",H760/G760)</f>
        <v/>
      </c>
      <c r="L760">
        <f>IF(NOT(ISNUMBER(G760)),"SEM META",IF(G760=0,"SEM META",IF(NOT(ISNUMBER(H760)),"SEM APONTAMENTO",IF(H760&gt;=G760,"VERDE",IF(H760&gt;=G760*0.9,"AMARELO","VERMELHO")))))</f>
        <v/>
      </c>
      <c r="M760" s="162" t="n"/>
      <c r="N760" s="162" t="n"/>
      <c r="O760" s="162" t="n"/>
      <c r="P760" s="162" t="n"/>
      <c r="Q760" s="320" t="n"/>
      <c r="R760" s="162" t="inlineStr">
        <is>
          <t>CONTROLE PRODUÇÃO POR EMPRESAS!D132</t>
        </is>
      </c>
    </row>
    <row r="761" ht="28.5" customHeight="1">
      <c r="A761" s="317" t="n">
        <v>46349</v>
      </c>
      <c r="B761" t="inlineStr">
        <is>
          <t>GERAL</t>
        </is>
      </c>
      <c r="C761" t="inlineStr">
        <is>
          <t>CMM</t>
        </is>
      </c>
      <c r="D761" t="inlineStr">
        <is>
          <t>PREMONTAGEM</t>
        </is>
      </c>
      <c r="F761" s="159">
        <f>IFERROR(INDEX('BASE METAS DIÁRIAS'!$N$2:$S$358,MATCH($A761,'BASE METAS DIÁRIAS'!$A$2:$A$358,0),MOD(ROW()-2,6)+1),"")</f>
        <v/>
      </c>
      <c r="G761" s="159">
        <f>IFERROR(IF(WEEKDAY($A761,2)&lt;=INDEX('BASE METAS DIÁRIAS'!$H$2:$M$358,MATCH($A761,'BASE METAS DIÁRIAS'!$A$2:$A$358,0),MOD(ROW()-2,6)+1),INDEX('BASE METAS DIÁRIAS'!$B$2:$G$358,MATCH($A761,'BASE METAS DIÁRIAS'!$A$2:$A$358,0),MOD(ROW()-2,6)+1),""),"")</f>
        <v/>
      </c>
      <c r="H761" s="159">
        <f>IFERROR(IF(INDEX('CONTROLE PRODUÇÃO POR EMPRESAS'!$B$6:$G$5000,MATCH($A761,'CONTROLE PRODUÇÃO POR EMPRESAS'!$A$6:$A$5000,0),MOD(ROW()-2,6)+1)="","",IFERROR(1*INDEX('CONTROLE PRODUÇÃO POR EMPRESAS'!$B$6:$G$5000,MATCH($A761,'CONTROLE PRODUÇÃO POR EMPRESAS'!$A$6:$A$5000,0),MOD(ROW()-2,6)+1),"")),"")</f>
        <v/>
      </c>
      <c r="I761" s="159">
        <f>IF(OR(NOT(ISNUMBER(G761)),NOT(ISNUMBER(H761))),"",H761-G761)</f>
        <v/>
      </c>
      <c r="J761" s="319">
        <f>IF(OR(NOT(ISNUMBER(G761)),NOT(ISNUMBER(H761)),G761=0),"",I761/G761)</f>
        <v/>
      </c>
      <c r="K761" s="319">
        <f>IF(OR(NOT(ISNUMBER(G761)),NOT(ISNUMBER(H761)),G761=0),"",H761/G761)</f>
        <v/>
      </c>
      <c r="L761">
        <f>IF(NOT(ISNUMBER(G761)),"SEM META",IF(G761=0,"SEM META",IF(NOT(ISNUMBER(H761)),"SEM APONTAMENTO",IF(H761&gt;=G761,"VERDE",IF(H761&gt;=G761*0.9,"AMARELO","VERMELHO")))))</f>
        <v/>
      </c>
      <c r="M761" s="162" t="n"/>
      <c r="N761" s="162" t="n"/>
      <c r="O761" s="162" t="n"/>
      <c r="P761" s="162" t="n"/>
      <c r="Q761" s="320" t="n"/>
      <c r="R761" s="162" t="inlineStr">
        <is>
          <t>CONTROLE PRODUÇÃO POR EMPRESAS!E132</t>
        </is>
      </c>
    </row>
    <row r="762" ht="28.5" customHeight="1">
      <c r="A762" s="317" t="n">
        <v>46349</v>
      </c>
      <c r="B762" t="inlineStr">
        <is>
          <t>GERAL</t>
        </is>
      </c>
      <c r="C762" t="inlineStr">
        <is>
          <t>CMM</t>
        </is>
      </c>
      <c r="D762" t="inlineStr">
        <is>
          <t>IÇAMENTO JOIST</t>
        </is>
      </c>
      <c r="F762" s="159">
        <f>IFERROR(INDEX('BASE METAS DIÁRIAS'!$N$2:$S$358,MATCH($A762,'BASE METAS DIÁRIAS'!$A$2:$A$358,0),MOD(ROW()-2,6)+1),"")</f>
        <v/>
      </c>
      <c r="G762" s="159">
        <f>IFERROR(IF(WEEKDAY($A762,2)&lt;=INDEX('BASE METAS DIÁRIAS'!$H$2:$M$358,MATCH($A762,'BASE METAS DIÁRIAS'!$A$2:$A$358,0),MOD(ROW()-2,6)+1),INDEX('BASE METAS DIÁRIAS'!$B$2:$G$358,MATCH($A762,'BASE METAS DIÁRIAS'!$A$2:$A$358,0),MOD(ROW()-2,6)+1),""),"")</f>
        <v/>
      </c>
      <c r="H762" s="159">
        <f>IFERROR(IF(INDEX('CONTROLE PRODUÇÃO POR EMPRESAS'!$B$6:$G$5000,MATCH($A762,'CONTROLE PRODUÇÃO POR EMPRESAS'!$A$6:$A$5000,0),MOD(ROW()-2,6)+1)="","",IFERROR(1*INDEX('CONTROLE PRODUÇÃO POR EMPRESAS'!$B$6:$G$5000,MATCH($A762,'CONTROLE PRODUÇÃO POR EMPRESAS'!$A$6:$A$5000,0),MOD(ROW()-2,6)+1),"")),"")</f>
        <v/>
      </c>
      <c r="I762" s="159">
        <f>IF(OR(NOT(ISNUMBER(G762)),NOT(ISNUMBER(H762))),"",H762-G762)</f>
        <v/>
      </c>
      <c r="J762" s="319">
        <f>IF(OR(NOT(ISNUMBER(G762)),NOT(ISNUMBER(H762)),G762=0),"",I762/G762)</f>
        <v/>
      </c>
      <c r="K762" s="319">
        <f>IF(OR(NOT(ISNUMBER(G762)),NOT(ISNUMBER(H762)),G762=0),"",H762/G762)</f>
        <v/>
      </c>
      <c r="L762">
        <f>IF(NOT(ISNUMBER(G762)),"SEM META",IF(G762=0,"SEM META",IF(NOT(ISNUMBER(H762)),"SEM APONTAMENTO",IF(H762&gt;=G762,"VERDE",IF(H762&gt;=G762*0.9,"AMARELO","VERMELHO")))))</f>
        <v/>
      </c>
      <c r="M762" s="162" t="n"/>
      <c r="N762" s="162" t="n"/>
      <c r="O762" s="162" t="n"/>
      <c r="P762" s="162" t="n"/>
      <c r="Q762" s="320" t="n"/>
      <c r="R762" s="162" t="inlineStr">
        <is>
          <t>CONTROLE PRODUÇÃO POR EMPRESAS!F132</t>
        </is>
      </c>
    </row>
    <row r="763" ht="28.5" customHeight="1">
      <c r="A763" s="317" t="n">
        <v>46349</v>
      </c>
      <c r="B763" t="inlineStr">
        <is>
          <t>GERAL</t>
        </is>
      </c>
      <c r="C763" t="inlineStr">
        <is>
          <t>CMM</t>
        </is>
      </c>
      <c r="D763" t="inlineStr">
        <is>
          <t>VIGAS</t>
        </is>
      </c>
      <c r="F763" s="159">
        <f>IFERROR(INDEX('BASE METAS DIÁRIAS'!$N$2:$S$358,MATCH($A763,'BASE METAS DIÁRIAS'!$A$2:$A$358,0),MOD(ROW()-2,6)+1),"")</f>
        <v/>
      </c>
      <c r="G763" s="159">
        <f>IFERROR(IF(WEEKDAY($A763,2)&lt;=INDEX('BASE METAS DIÁRIAS'!$H$2:$M$358,MATCH($A763,'BASE METAS DIÁRIAS'!$A$2:$A$358,0),MOD(ROW()-2,6)+1),INDEX('BASE METAS DIÁRIAS'!$B$2:$G$358,MATCH($A763,'BASE METAS DIÁRIAS'!$A$2:$A$358,0),MOD(ROW()-2,6)+1),""),"")</f>
        <v/>
      </c>
      <c r="H763" s="159">
        <f>IFERROR(IF(INDEX('CONTROLE PRODUÇÃO POR EMPRESAS'!$B$6:$G$5000,MATCH($A763,'CONTROLE PRODUÇÃO POR EMPRESAS'!$A$6:$A$5000,0),MOD(ROW()-2,6)+1)="","",IFERROR(1*INDEX('CONTROLE PRODUÇÃO POR EMPRESAS'!$B$6:$G$5000,MATCH($A763,'CONTROLE PRODUÇÃO POR EMPRESAS'!$A$6:$A$5000,0),MOD(ROW()-2,6)+1),"")),"")</f>
        <v/>
      </c>
      <c r="I763" s="159">
        <f>IF(OR(NOT(ISNUMBER(G763)),NOT(ISNUMBER(H763))),"",H763-G763)</f>
        <v/>
      </c>
      <c r="J763" s="319">
        <f>IF(OR(NOT(ISNUMBER(G763)),NOT(ISNUMBER(H763)),G763=0),"",I763/G763)</f>
        <v/>
      </c>
      <c r="K763" s="319">
        <f>IF(OR(NOT(ISNUMBER(G763)),NOT(ISNUMBER(H763)),G763=0),"",H763/G763)</f>
        <v/>
      </c>
      <c r="L763">
        <f>IF(NOT(ISNUMBER(G763)),"SEM META",IF(G763=0,"SEM META",IF(NOT(ISNUMBER(H763)),"SEM APONTAMENTO",IF(H763&gt;=G763,"VERDE",IF(H763&gt;=G763*0.9,"AMARELO","VERMELHO")))))</f>
        <v/>
      </c>
      <c r="M763" s="162" t="n"/>
      <c r="N763" s="162" t="n"/>
      <c r="O763" s="162" t="n"/>
      <c r="P763" s="162" t="n"/>
      <c r="Q763" s="320" t="n"/>
      <c r="R763" s="162" t="inlineStr">
        <is>
          <t>CONTROLE PRODUÇÃO POR EMPRESAS!G132</t>
        </is>
      </c>
    </row>
    <row r="764" ht="28.5" customHeight="1">
      <c r="A764" s="317" t="n">
        <v>46350</v>
      </c>
      <c r="B764" t="inlineStr">
        <is>
          <t>GERAL</t>
        </is>
      </c>
      <c r="C764" t="inlineStr">
        <is>
          <t>EJ</t>
        </is>
      </c>
      <c r="D764" t="inlineStr">
        <is>
          <t>PREMONTAGEM</t>
        </is>
      </c>
      <c r="F764" s="159">
        <f>IFERROR(INDEX('BASE METAS DIÁRIAS'!$N$2:$S$358,MATCH($A764,'BASE METAS DIÁRIAS'!$A$2:$A$358,0),MOD(ROW()-2,6)+1),"")</f>
        <v/>
      </c>
      <c r="G764" s="159">
        <f>IFERROR(IF(WEEKDAY($A764,2)&lt;=INDEX('BASE METAS DIÁRIAS'!$H$2:$M$358,MATCH($A764,'BASE METAS DIÁRIAS'!$A$2:$A$358,0),MOD(ROW()-2,6)+1),INDEX('BASE METAS DIÁRIAS'!$B$2:$G$358,MATCH($A764,'BASE METAS DIÁRIAS'!$A$2:$A$358,0),MOD(ROW()-2,6)+1),""),"")</f>
        <v/>
      </c>
      <c r="H764" s="159">
        <f>IFERROR(IF(INDEX('CONTROLE PRODUÇÃO POR EMPRESAS'!$B$6:$G$5000,MATCH($A764,'CONTROLE PRODUÇÃO POR EMPRESAS'!$A$6:$A$5000,0),MOD(ROW()-2,6)+1)="","",IFERROR(1*INDEX('CONTROLE PRODUÇÃO POR EMPRESAS'!$B$6:$G$5000,MATCH($A764,'CONTROLE PRODUÇÃO POR EMPRESAS'!$A$6:$A$5000,0),MOD(ROW()-2,6)+1),"")),"")</f>
        <v/>
      </c>
      <c r="I764" s="159">
        <f>IF(OR(NOT(ISNUMBER(G764)),NOT(ISNUMBER(H764))),"",H764-G764)</f>
        <v/>
      </c>
      <c r="J764" s="319">
        <f>IF(OR(NOT(ISNUMBER(G764)),NOT(ISNUMBER(H764)),G764=0),"",I764/G764)</f>
        <v/>
      </c>
      <c r="K764" s="319">
        <f>IF(OR(NOT(ISNUMBER(G764)),NOT(ISNUMBER(H764)),G764=0),"",H764/G764)</f>
        <v/>
      </c>
      <c r="L764">
        <f>IF(NOT(ISNUMBER(G764)),"SEM META",IF(G764=0,"SEM META",IF(NOT(ISNUMBER(H764)),"SEM APONTAMENTO",IF(H764&gt;=G764,"VERDE",IF(H764&gt;=G764*0.9,"AMARELO","VERMELHO")))))</f>
        <v/>
      </c>
      <c r="M764" s="162" t="n"/>
      <c r="N764" s="162" t="n"/>
      <c r="O764" s="162" t="n"/>
      <c r="P764" s="162" t="n"/>
      <c r="Q764" s="320" t="n"/>
      <c r="R764" s="162" t="inlineStr">
        <is>
          <t>CONTROLE PRODUÇÃO POR EMPRESAS!B133</t>
        </is>
      </c>
    </row>
    <row r="765" ht="28.5" customHeight="1">
      <c r="A765" s="317" t="n">
        <v>46350</v>
      </c>
      <c r="B765" t="inlineStr">
        <is>
          <t>GERAL</t>
        </is>
      </c>
      <c r="C765" t="inlineStr">
        <is>
          <t>EJ</t>
        </is>
      </c>
      <c r="D765" t="inlineStr">
        <is>
          <t>IÇAMENTO JOIST</t>
        </is>
      </c>
      <c r="F765" s="159">
        <f>IFERROR(INDEX('BASE METAS DIÁRIAS'!$N$2:$S$358,MATCH($A765,'BASE METAS DIÁRIAS'!$A$2:$A$358,0),MOD(ROW()-2,6)+1),"")</f>
        <v/>
      </c>
      <c r="G765" s="159">
        <f>IFERROR(IF(WEEKDAY($A765,2)&lt;=INDEX('BASE METAS DIÁRIAS'!$H$2:$M$358,MATCH($A765,'BASE METAS DIÁRIAS'!$A$2:$A$358,0),MOD(ROW()-2,6)+1),INDEX('BASE METAS DIÁRIAS'!$B$2:$G$358,MATCH($A765,'BASE METAS DIÁRIAS'!$A$2:$A$358,0),MOD(ROW()-2,6)+1),""),"")</f>
        <v/>
      </c>
      <c r="H765" s="159">
        <f>IFERROR(IF(INDEX('CONTROLE PRODUÇÃO POR EMPRESAS'!$B$6:$G$5000,MATCH($A765,'CONTROLE PRODUÇÃO POR EMPRESAS'!$A$6:$A$5000,0),MOD(ROW()-2,6)+1)="","",IFERROR(1*INDEX('CONTROLE PRODUÇÃO POR EMPRESAS'!$B$6:$G$5000,MATCH($A765,'CONTROLE PRODUÇÃO POR EMPRESAS'!$A$6:$A$5000,0),MOD(ROW()-2,6)+1),"")),"")</f>
        <v/>
      </c>
      <c r="I765" s="159">
        <f>IF(OR(NOT(ISNUMBER(G765)),NOT(ISNUMBER(H765))),"",H765-G765)</f>
        <v/>
      </c>
      <c r="J765" s="319">
        <f>IF(OR(NOT(ISNUMBER(G765)),NOT(ISNUMBER(H765)),G765=0),"",I765/G765)</f>
        <v/>
      </c>
      <c r="K765" s="319">
        <f>IF(OR(NOT(ISNUMBER(G765)),NOT(ISNUMBER(H765)),G765=0),"",H765/G765)</f>
        <v/>
      </c>
      <c r="L765">
        <f>IF(NOT(ISNUMBER(G765)),"SEM META",IF(G765=0,"SEM META",IF(NOT(ISNUMBER(H765)),"SEM APONTAMENTO",IF(H765&gt;=G765,"VERDE",IF(H765&gt;=G765*0.9,"AMARELO","VERMELHO")))))</f>
        <v/>
      </c>
      <c r="M765" s="162" t="n"/>
      <c r="N765" s="162" t="n"/>
      <c r="O765" s="162" t="n"/>
      <c r="P765" s="162" t="n"/>
      <c r="Q765" s="320" t="n"/>
      <c r="R765" s="162" t="inlineStr">
        <is>
          <t>CONTROLE PRODUÇÃO POR EMPRESAS!C133</t>
        </is>
      </c>
    </row>
    <row r="766" ht="28.5" customHeight="1">
      <c r="A766" s="317" t="n">
        <v>46350</v>
      </c>
      <c r="B766" t="inlineStr">
        <is>
          <t>GERAL</t>
        </is>
      </c>
      <c r="C766" t="inlineStr">
        <is>
          <t>EJ</t>
        </is>
      </c>
      <c r="D766" t="inlineStr">
        <is>
          <t>VIGAS</t>
        </is>
      </c>
      <c r="F766" s="159">
        <f>IFERROR(INDEX('BASE METAS DIÁRIAS'!$N$2:$S$358,MATCH($A766,'BASE METAS DIÁRIAS'!$A$2:$A$358,0),MOD(ROW()-2,6)+1),"")</f>
        <v/>
      </c>
      <c r="G766" s="159">
        <f>IFERROR(IF(WEEKDAY($A766,2)&lt;=INDEX('BASE METAS DIÁRIAS'!$H$2:$M$358,MATCH($A766,'BASE METAS DIÁRIAS'!$A$2:$A$358,0),MOD(ROW()-2,6)+1),INDEX('BASE METAS DIÁRIAS'!$B$2:$G$358,MATCH($A766,'BASE METAS DIÁRIAS'!$A$2:$A$358,0),MOD(ROW()-2,6)+1),""),"")</f>
        <v/>
      </c>
      <c r="H766" s="159">
        <f>IFERROR(IF(INDEX('CONTROLE PRODUÇÃO POR EMPRESAS'!$B$6:$G$5000,MATCH($A766,'CONTROLE PRODUÇÃO POR EMPRESAS'!$A$6:$A$5000,0),MOD(ROW()-2,6)+1)="","",IFERROR(1*INDEX('CONTROLE PRODUÇÃO POR EMPRESAS'!$B$6:$G$5000,MATCH($A766,'CONTROLE PRODUÇÃO POR EMPRESAS'!$A$6:$A$5000,0),MOD(ROW()-2,6)+1),"")),"")</f>
        <v/>
      </c>
      <c r="I766" s="159">
        <f>IF(OR(NOT(ISNUMBER(G766)),NOT(ISNUMBER(H766))),"",H766-G766)</f>
        <v/>
      </c>
      <c r="J766" s="319">
        <f>IF(OR(NOT(ISNUMBER(G766)),NOT(ISNUMBER(H766)),G766=0),"",I766/G766)</f>
        <v/>
      </c>
      <c r="K766" s="319">
        <f>IF(OR(NOT(ISNUMBER(G766)),NOT(ISNUMBER(H766)),G766=0),"",H766/G766)</f>
        <v/>
      </c>
      <c r="L766">
        <f>IF(NOT(ISNUMBER(G766)),"SEM META",IF(G766=0,"SEM META",IF(NOT(ISNUMBER(H766)),"SEM APONTAMENTO",IF(H766&gt;=G766,"VERDE",IF(H766&gt;=G766*0.9,"AMARELO","VERMELHO")))))</f>
        <v/>
      </c>
      <c r="M766" s="162" t="n"/>
      <c r="N766" s="162" t="n"/>
      <c r="O766" s="162" t="n"/>
      <c r="P766" s="162" t="n"/>
      <c r="Q766" s="320" t="n"/>
      <c r="R766" s="162" t="inlineStr">
        <is>
          <t>CONTROLE PRODUÇÃO POR EMPRESAS!D133</t>
        </is>
      </c>
    </row>
    <row r="767" ht="28.5" customHeight="1">
      <c r="A767" s="317" t="n">
        <v>46350</v>
      </c>
      <c r="B767" t="inlineStr">
        <is>
          <t>GERAL</t>
        </is>
      </c>
      <c r="C767" t="inlineStr">
        <is>
          <t>CMM</t>
        </is>
      </c>
      <c r="D767" t="inlineStr">
        <is>
          <t>PREMONTAGEM</t>
        </is>
      </c>
      <c r="F767" s="159">
        <f>IFERROR(INDEX('BASE METAS DIÁRIAS'!$N$2:$S$358,MATCH($A767,'BASE METAS DIÁRIAS'!$A$2:$A$358,0),MOD(ROW()-2,6)+1),"")</f>
        <v/>
      </c>
      <c r="G767" s="159">
        <f>IFERROR(IF(WEEKDAY($A767,2)&lt;=INDEX('BASE METAS DIÁRIAS'!$H$2:$M$358,MATCH($A767,'BASE METAS DIÁRIAS'!$A$2:$A$358,0),MOD(ROW()-2,6)+1),INDEX('BASE METAS DIÁRIAS'!$B$2:$G$358,MATCH($A767,'BASE METAS DIÁRIAS'!$A$2:$A$358,0),MOD(ROW()-2,6)+1),""),"")</f>
        <v/>
      </c>
      <c r="H767" s="159">
        <f>IFERROR(IF(INDEX('CONTROLE PRODUÇÃO POR EMPRESAS'!$B$6:$G$5000,MATCH($A767,'CONTROLE PRODUÇÃO POR EMPRESAS'!$A$6:$A$5000,0),MOD(ROW()-2,6)+1)="","",IFERROR(1*INDEX('CONTROLE PRODUÇÃO POR EMPRESAS'!$B$6:$G$5000,MATCH($A767,'CONTROLE PRODUÇÃO POR EMPRESAS'!$A$6:$A$5000,0),MOD(ROW()-2,6)+1),"")),"")</f>
        <v/>
      </c>
      <c r="I767" s="159">
        <f>IF(OR(NOT(ISNUMBER(G767)),NOT(ISNUMBER(H767))),"",H767-G767)</f>
        <v/>
      </c>
      <c r="J767" s="319">
        <f>IF(OR(NOT(ISNUMBER(G767)),NOT(ISNUMBER(H767)),G767=0),"",I767/G767)</f>
        <v/>
      </c>
      <c r="K767" s="319">
        <f>IF(OR(NOT(ISNUMBER(G767)),NOT(ISNUMBER(H767)),G767=0),"",H767/G767)</f>
        <v/>
      </c>
      <c r="L767">
        <f>IF(NOT(ISNUMBER(G767)),"SEM META",IF(G767=0,"SEM META",IF(NOT(ISNUMBER(H767)),"SEM APONTAMENTO",IF(H767&gt;=G767,"VERDE",IF(H767&gt;=G767*0.9,"AMARELO","VERMELHO")))))</f>
        <v/>
      </c>
      <c r="M767" s="162" t="n"/>
      <c r="N767" s="162" t="n"/>
      <c r="O767" s="162" t="n"/>
      <c r="P767" s="162" t="n"/>
      <c r="Q767" s="320" t="n"/>
      <c r="R767" s="162" t="inlineStr">
        <is>
          <t>CONTROLE PRODUÇÃO POR EMPRESAS!E133</t>
        </is>
      </c>
    </row>
    <row r="768" ht="28.5" customHeight="1">
      <c r="A768" s="317" t="n">
        <v>46350</v>
      </c>
      <c r="B768" t="inlineStr">
        <is>
          <t>GERAL</t>
        </is>
      </c>
      <c r="C768" t="inlineStr">
        <is>
          <t>CMM</t>
        </is>
      </c>
      <c r="D768" t="inlineStr">
        <is>
          <t>IÇAMENTO JOIST</t>
        </is>
      </c>
      <c r="F768" s="159">
        <f>IFERROR(INDEX('BASE METAS DIÁRIAS'!$N$2:$S$358,MATCH($A768,'BASE METAS DIÁRIAS'!$A$2:$A$358,0),MOD(ROW()-2,6)+1),"")</f>
        <v/>
      </c>
      <c r="G768" s="159">
        <f>IFERROR(IF(WEEKDAY($A768,2)&lt;=INDEX('BASE METAS DIÁRIAS'!$H$2:$M$358,MATCH($A768,'BASE METAS DIÁRIAS'!$A$2:$A$358,0),MOD(ROW()-2,6)+1),INDEX('BASE METAS DIÁRIAS'!$B$2:$G$358,MATCH($A768,'BASE METAS DIÁRIAS'!$A$2:$A$358,0),MOD(ROW()-2,6)+1),""),"")</f>
        <v/>
      </c>
      <c r="H768" s="159">
        <f>IFERROR(IF(INDEX('CONTROLE PRODUÇÃO POR EMPRESAS'!$B$6:$G$5000,MATCH($A768,'CONTROLE PRODUÇÃO POR EMPRESAS'!$A$6:$A$5000,0),MOD(ROW()-2,6)+1)="","",IFERROR(1*INDEX('CONTROLE PRODUÇÃO POR EMPRESAS'!$B$6:$G$5000,MATCH($A768,'CONTROLE PRODUÇÃO POR EMPRESAS'!$A$6:$A$5000,0),MOD(ROW()-2,6)+1),"")),"")</f>
        <v/>
      </c>
      <c r="I768" s="159">
        <f>IF(OR(NOT(ISNUMBER(G768)),NOT(ISNUMBER(H768))),"",H768-G768)</f>
        <v/>
      </c>
      <c r="J768" s="319">
        <f>IF(OR(NOT(ISNUMBER(G768)),NOT(ISNUMBER(H768)),G768=0),"",I768/G768)</f>
        <v/>
      </c>
      <c r="K768" s="319">
        <f>IF(OR(NOT(ISNUMBER(G768)),NOT(ISNUMBER(H768)),G768=0),"",H768/G768)</f>
        <v/>
      </c>
      <c r="L768">
        <f>IF(NOT(ISNUMBER(G768)),"SEM META",IF(G768=0,"SEM META",IF(NOT(ISNUMBER(H768)),"SEM APONTAMENTO",IF(H768&gt;=G768,"VERDE",IF(H768&gt;=G768*0.9,"AMARELO","VERMELHO")))))</f>
        <v/>
      </c>
      <c r="M768" s="162" t="n"/>
      <c r="N768" s="162" t="n"/>
      <c r="O768" s="162" t="n"/>
      <c r="P768" s="162" t="n"/>
      <c r="Q768" s="320" t="n"/>
      <c r="R768" s="162" t="inlineStr">
        <is>
          <t>CONTROLE PRODUÇÃO POR EMPRESAS!F133</t>
        </is>
      </c>
    </row>
    <row r="769" ht="28.5" customHeight="1">
      <c r="A769" s="317" t="n">
        <v>46350</v>
      </c>
      <c r="B769" t="inlineStr">
        <is>
          <t>GERAL</t>
        </is>
      </c>
      <c r="C769" t="inlineStr">
        <is>
          <t>CMM</t>
        </is>
      </c>
      <c r="D769" t="inlineStr">
        <is>
          <t>VIGAS</t>
        </is>
      </c>
      <c r="F769" s="159">
        <f>IFERROR(INDEX('BASE METAS DIÁRIAS'!$N$2:$S$358,MATCH($A769,'BASE METAS DIÁRIAS'!$A$2:$A$358,0),MOD(ROW()-2,6)+1),"")</f>
        <v/>
      </c>
      <c r="G769" s="159">
        <f>IFERROR(IF(WEEKDAY($A769,2)&lt;=INDEX('BASE METAS DIÁRIAS'!$H$2:$M$358,MATCH($A769,'BASE METAS DIÁRIAS'!$A$2:$A$358,0),MOD(ROW()-2,6)+1),INDEX('BASE METAS DIÁRIAS'!$B$2:$G$358,MATCH($A769,'BASE METAS DIÁRIAS'!$A$2:$A$358,0),MOD(ROW()-2,6)+1),""),"")</f>
        <v/>
      </c>
      <c r="H769" s="159">
        <f>IFERROR(IF(INDEX('CONTROLE PRODUÇÃO POR EMPRESAS'!$B$6:$G$5000,MATCH($A769,'CONTROLE PRODUÇÃO POR EMPRESAS'!$A$6:$A$5000,0),MOD(ROW()-2,6)+1)="","",IFERROR(1*INDEX('CONTROLE PRODUÇÃO POR EMPRESAS'!$B$6:$G$5000,MATCH($A769,'CONTROLE PRODUÇÃO POR EMPRESAS'!$A$6:$A$5000,0),MOD(ROW()-2,6)+1),"")),"")</f>
        <v/>
      </c>
      <c r="I769" s="159">
        <f>IF(OR(NOT(ISNUMBER(G769)),NOT(ISNUMBER(H769))),"",H769-G769)</f>
        <v/>
      </c>
      <c r="J769" s="319">
        <f>IF(OR(NOT(ISNUMBER(G769)),NOT(ISNUMBER(H769)),G769=0),"",I769/G769)</f>
        <v/>
      </c>
      <c r="K769" s="319">
        <f>IF(OR(NOT(ISNUMBER(G769)),NOT(ISNUMBER(H769)),G769=0),"",H769/G769)</f>
        <v/>
      </c>
      <c r="L769">
        <f>IF(NOT(ISNUMBER(G769)),"SEM META",IF(G769=0,"SEM META",IF(NOT(ISNUMBER(H769)),"SEM APONTAMENTO",IF(H769&gt;=G769,"VERDE",IF(H769&gt;=G769*0.9,"AMARELO","VERMELHO")))))</f>
        <v/>
      </c>
      <c r="M769" s="162" t="n"/>
      <c r="N769" s="162" t="n"/>
      <c r="O769" s="162" t="n"/>
      <c r="P769" s="162" t="n"/>
      <c r="Q769" s="320" t="n"/>
      <c r="R769" s="162" t="inlineStr">
        <is>
          <t>CONTROLE PRODUÇÃO POR EMPRESAS!G133</t>
        </is>
      </c>
    </row>
    <row r="770" ht="28.5" customHeight="1">
      <c r="A770" s="317" t="n">
        <v>46351</v>
      </c>
      <c r="B770" t="inlineStr">
        <is>
          <t>GERAL</t>
        </is>
      </c>
      <c r="C770" t="inlineStr">
        <is>
          <t>EJ</t>
        </is>
      </c>
      <c r="D770" t="inlineStr">
        <is>
          <t>PREMONTAGEM</t>
        </is>
      </c>
      <c r="F770" s="159">
        <f>IFERROR(INDEX('BASE METAS DIÁRIAS'!$N$2:$S$358,MATCH($A770,'BASE METAS DIÁRIAS'!$A$2:$A$358,0),MOD(ROW()-2,6)+1),"")</f>
        <v/>
      </c>
      <c r="G770" s="159">
        <f>IFERROR(IF(WEEKDAY($A770,2)&lt;=INDEX('BASE METAS DIÁRIAS'!$H$2:$M$358,MATCH($A770,'BASE METAS DIÁRIAS'!$A$2:$A$358,0),MOD(ROW()-2,6)+1),INDEX('BASE METAS DIÁRIAS'!$B$2:$G$358,MATCH($A770,'BASE METAS DIÁRIAS'!$A$2:$A$358,0),MOD(ROW()-2,6)+1),""),"")</f>
        <v/>
      </c>
      <c r="H770" s="159">
        <f>IFERROR(IF(INDEX('CONTROLE PRODUÇÃO POR EMPRESAS'!$B$6:$G$5000,MATCH($A770,'CONTROLE PRODUÇÃO POR EMPRESAS'!$A$6:$A$5000,0),MOD(ROW()-2,6)+1)="","",IFERROR(1*INDEX('CONTROLE PRODUÇÃO POR EMPRESAS'!$B$6:$G$5000,MATCH($A770,'CONTROLE PRODUÇÃO POR EMPRESAS'!$A$6:$A$5000,0),MOD(ROW()-2,6)+1),"")),"")</f>
        <v/>
      </c>
      <c r="I770" s="159">
        <f>IF(OR(NOT(ISNUMBER(G770)),NOT(ISNUMBER(H770))),"",H770-G770)</f>
        <v/>
      </c>
      <c r="J770" s="319">
        <f>IF(OR(NOT(ISNUMBER(G770)),NOT(ISNUMBER(H770)),G770=0),"",I770/G770)</f>
        <v/>
      </c>
      <c r="K770" s="319">
        <f>IF(OR(NOT(ISNUMBER(G770)),NOT(ISNUMBER(H770)),G770=0),"",H770/G770)</f>
        <v/>
      </c>
      <c r="L770">
        <f>IF(NOT(ISNUMBER(G770)),"SEM META",IF(G770=0,"SEM META",IF(NOT(ISNUMBER(H770)),"SEM APONTAMENTO",IF(H770&gt;=G770,"VERDE",IF(H770&gt;=G770*0.9,"AMARELO","VERMELHO")))))</f>
        <v/>
      </c>
      <c r="M770" s="162" t="n"/>
      <c r="N770" s="162" t="n"/>
      <c r="O770" s="162" t="n"/>
      <c r="P770" s="162" t="n"/>
      <c r="Q770" s="320" t="n"/>
      <c r="R770" s="162" t="inlineStr">
        <is>
          <t>CONTROLE PRODUÇÃO POR EMPRESAS!B134</t>
        </is>
      </c>
    </row>
    <row r="771" ht="28.5" customHeight="1">
      <c r="A771" s="317" t="n">
        <v>46351</v>
      </c>
      <c r="B771" t="inlineStr">
        <is>
          <t>GERAL</t>
        </is>
      </c>
      <c r="C771" t="inlineStr">
        <is>
          <t>EJ</t>
        </is>
      </c>
      <c r="D771" t="inlineStr">
        <is>
          <t>IÇAMENTO JOIST</t>
        </is>
      </c>
      <c r="F771" s="159">
        <f>IFERROR(INDEX('BASE METAS DIÁRIAS'!$N$2:$S$358,MATCH($A771,'BASE METAS DIÁRIAS'!$A$2:$A$358,0),MOD(ROW()-2,6)+1),"")</f>
        <v/>
      </c>
      <c r="G771" s="159">
        <f>IFERROR(IF(WEEKDAY($A771,2)&lt;=INDEX('BASE METAS DIÁRIAS'!$H$2:$M$358,MATCH($A771,'BASE METAS DIÁRIAS'!$A$2:$A$358,0),MOD(ROW()-2,6)+1),INDEX('BASE METAS DIÁRIAS'!$B$2:$G$358,MATCH($A771,'BASE METAS DIÁRIAS'!$A$2:$A$358,0),MOD(ROW()-2,6)+1),""),"")</f>
        <v/>
      </c>
      <c r="H771" s="159">
        <f>IFERROR(IF(INDEX('CONTROLE PRODUÇÃO POR EMPRESAS'!$B$6:$G$5000,MATCH($A771,'CONTROLE PRODUÇÃO POR EMPRESAS'!$A$6:$A$5000,0),MOD(ROW()-2,6)+1)="","",IFERROR(1*INDEX('CONTROLE PRODUÇÃO POR EMPRESAS'!$B$6:$G$5000,MATCH($A771,'CONTROLE PRODUÇÃO POR EMPRESAS'!$A$6:$A$5000,0),MOD(ROW()-2,6)+1),"")),"")</f>
        <v/>
      </c>
      <c r="I771" s="159">
        <f>IF(OR(NOT(ISNUMBER(G771)),NOT(ISNUMBER(H771))),"",H771-G771)</f>
        <v/>
      </c>
      <c r="J771" s="319">
        <f>IF(OR(NOT(ISNUMBER(G771)),NOT(ISNUMBER(H771)),G771=0),"",I771/G771)</f>
        <v/>
      </c>
      <c r="K771" s="319">
        <f>IF(OR(NOT(ISNUMBER(G771)),NOT(ISNUMBER(H771)),G771=0),"",H771/G771)</f>
        <v/>
      </c>
      <c r="L771">
        <f>IF(NOT(ISNUMBER(G771)),"SEM META",IF(G771=0,"SEM META",IF(NOT(ISNUMBER(H771)),"SEM APONTAMENTO",IF(H771&gt;=G771,"VERDE",IF(H771&gt;=G771*0.9,"AMARELO","VERMELHO")))))</f>
        <v/>
      </c>
      <c r="M771" s="162" t="n"/>
      <c r="N771" s="162" t="n"/>
      <c r="O771" s="162" t="n"/>
      <c r="P771" s="162" t="n"/>
      <c r="Q771" s="320" t="n"/>
      <c r="R771" s="162" t="inlineStr">
        <is>
          <t>CONTROLE PRODUÇÃO POR EMPRESAS!C134</t>
        </is>
      </c>
    </row>
    <row r="772" ht="28.5" customHeight="1">
      <c r="A772" s="317" t="n">
        <v>46351</v>
      </c>
      <c r="B772" t="inlineStr">
        <is>
          <t>GERAL</t>
        </is>
      </c>
      <c r="C772" t="inlineStr">
        <is>
          <t>EJ</t>
        </is>
      </c>
      <c r="D772" t="inlineStr">
        <is>
          <t>VIGAS</t>
        </is>
      </c>
      <c r="F772" s="159">
        <f>IFERROR(INDEX('BASE METAS DIÁRIAS'!$N$2:$S$358,MATCH($A772,'BASE METAS DIÁRIAS'!$A$2:$A$358,0),MOD(ROW()-2,6)+1),"")</f>
        <v/>
      </c>
      <c r="G772" s="159">
        <f>IFERROR(IF(WEEKDAY($A772,2)&lt;=INDEX('BASE METAS DIÁRIAS'!$H$2:$M$358,MATCH($A772,'BASE METAS DIÁRIAS'!$A$2:$A$358,0),MOD(ROW()-2,6)+1),INDEX('BASE METAS DIÁRIAS'!$B$2:$G$358,MATCH($A772,'BASE METAS DIÁRIAS'!$A$2:$A$358,0),MOD(ROW()-2,6)+1),""),"")</f>
        <v/>
      </c>
      <c r="H772" s="159">
        <f>IFERROR(IF(INDEX('CONTROLE PRODUÇÃO POR EMPRESAS'!$B$6:$G$5000,MATCH($A772,'CONTROLE PRODUÇÃO POR EMPRESAS'!$A$6:$A$5000,0),MOD(ROW()-2,6)+1)="","",IFERROR(1*INDEX('CONTROLE PRODUÇÃO POR EMPRESAS'!$B$6:$G$5000,MATCH($A772,'CONTROLE PRODUÇÃO POR EMPRESAS'!$A$6:$A$5000,0),MOD(ROW()-2,6)+1),"")),"")</f>
        <v/>
      </c>
      <c r="I772" s="159">
        <f>IF(OR(NOT(ISNUMBER(G772)),NOT(ISNUMBER(H772))),"",H772-G772)</f>
        <v/>
      </c>
      <c r="J772" s="319">
        <f>IF(OR(NOT(ISNUMBER(G772)),NOT(ISNUMBER(H772)),G772=0),"",I772/G772)</f>
        <v/>
      </c>
      <c r="K772" s="319">
        <f>IF(OR(NOT(ISNUMBER(G772)),NOT(ISNUMBER(H772)),G772=0),"",H772/G772)</f>
        <v/>
      </c>
      <c r="L772">
        <f>IF(NOT(ISNUMBER(G772)),"SEM META",IF(G772=0,"SEM META",IF(NOT(ISNUMBER(H772)),"SEM APONTAMENTO",IF(H772&gt;=G772,"VERDE",IF(H772&gt;=G772*0.9,"AMARELO","VERMELHO")))))</f>
        <v/>
      </c>
      <c r="M772" s="162" t="n"/>
      <c r="N772" s="162" t="n"/>
      <c r="O772" s="162" t="n"/>
      <c r="P772" s="162" t="n"/>
      <c r="Q772" s="320" t="n"/>
      <c r="R772" s="162" t="inlineStr">
        <is>
          <t>CONTROLE PRODUÇÃO POR EMPRESAS!D134</t>
        </is>
      </c>
    </row>
    <row r="773" ht="28.5" customHeight="1">
      <c r="A773" s="317" t="n">
        <v>46351</v>
      </c>
      <c r="B773" t="inlineStr">
        <is>
          <t>GERAL</t>
        </is>
      </c>
      <c r="C773" t="inlineStr">
        <is>
          <t>CMM</t>
        </is>
      </c>
      <c r="D773" t="inlineStr">
        <is>
          <t>PREMONTAGEM</t>
        </is>
      </c>
      <c r="F773" s="159">
        <f>IFERROR(INDEX('BASE METAS DIÁRIAS'!$N$2:$S$358,MATCH($A773,'BASE METAS DIÁRIAS'!$A$2:$A$358,0),MOD(ROW()-2,6)+1),"")</f>
        <v/>
      </c>
      <c r="G773" s="159">
        <f>IFERROR(IF(WEEKDAY($A773,2)&lt;=INDEX('BASE METAS DIÁRIAS'!$H$2:$M$358,MATCH($A773,'BASE METAS DIÁRIAS'!$A$2:$A$358,0),MOD(ROW()-2,6)+1),INDEX('BASE METAS DIÁRIAS'!$B$2:$G$358,MATCH($A773,'BASE METAS DIÁRIAS'!$A$2:$A$358,0),MOD(ROW()-2,6)+1),""),"")</f>
        <v/>
      </c>
      <c r="H773" s="159">
        <f>IFERROR(IF(INDEX('CONTROLE PRODUÇÃO POR EMPRESAS'!$B$6:$G$5000,MATCH($A773,'CONTROLE PRODUÇÃO POR EMPRESAS'!$A$6:$A$5000,0),MOD(ROW()-2,6)+1)="","",IFERROR(1*INDEX('CONTROLE PRODUÇÃO POR EMPRESAS'!$B$6:$G$5000,MATCH($A773,'CONTROLE PRODUÇÃO POR EMPRESAS'!$A$6:$A$5000,0),MOD(ROW()-2,6)+1),"")),"")</f>
        <v/>
      </c>
      <c r="I773" s="159">
        <f>IF(OR(NOT(ISNUMBER(G773)),NOT(ISNUMBER(H773))),"",H773-G773)</f>
        <v/>
      </c>
      <c r="J773" s="319">
        <f>IF(OR(NOT(ISNUMBER(G773)),NOT(ISNUMBER(H773)),G773=0),"",I773/G773)</f>
        <v/>
      </c>
      <c r="K773" s="319">
        <f>IF(OR(NOT(ISNUMBER(G773)),NOT(ISNUMBER(H773)),G773=0),"",H773/G773)</f>
        <v/>
      </c>
      <c r="L773">
        <f>IF(NOT(ISNUMBER(G773)),"SEM META",IF(G773=0,"SEM META",IF(NOT(ISNUMBER(H773)),"SEM APONTAMENTO",IF(H773&gt;=G773,"VERDE",IF(H773&gt;=G773*0.9,"AMARELO","VERMELHO")))))</f>
        <v/>
      </c>
      <c r="M773" s="162" t="n"/>
      <c r="N773" s="162" t="n"/>
      <c r="O773" s="162" t="n"/>
      <c r="P773" s="162" t="n"/>
      <c r="Q773" s="320" t="n"/>
      <c r="R773" s="162" t="inlineStr">
        <is>
          <t>CONTROLE PRODUÇÃO POR EMPRESAS!E134</t>
        </is>
      </c>
    </row>
    <row r="774" ht="28.5" customHeight="1">
      <c r="A774" s="317" t="n">
        <v>46351</v>
      </c>
      <c r="B774" t="inlineStr">
        <is>
          <t>GERAL</t>
        </is>
      </c>
      <c r="C774" t="inlineStr">
        <is>
          <t>CMM</t>
        </is>
      </c>
      <c r="D774" t="inlineStr">
        <is>
          <t>IÇAMENTO JOIST</t>
        </is>
      </c>
      <c r="F774" s="159">
        <f>IFERROR(INDEX('BASE METAS DIÁRIAS'!$N$2:$S$358,MATCH($A774,'BASE METAS DIÁRIAS'!$A$2:$A$358,0),MOD(ROW()-2,6)+1),"")</f>
        <v/>
      </c>
      <c r="G774" s="159">
        <f>IFERROR(IF(WEEKDAY($A774,2)&lt;=INDEX('BASE METAS DIÁRIAS'!$H$2:$M$358,MATCH($A774,'BASE METAS DIÁRIAS'!$A$2:$A$358,0),MOD(ROW()-2,6)+1),INDEX('BASE METAS DIÁRIAS'!$B$2:$G$358,MATCH($A774,'BASE METAS DIÁRIAS'!$A$2:$A$358,0),MOD(ROW()-2,6)+1),""),"")</f>
        <v/>
      </c>
      <c r="H774" s="159">
        <f>IFERROR(IF(INDEX('CONTROLE PRODUÇÃO POR EMPRESAS'!$B$6:$G$5000,MATCH($A774,'CONTROLE PRODUÇÃO POR EMPRESAS'!$A$6:$A$5000,0),MOD(ROW()-2,6)+1)="","",IFERROR(1*INDEX('CONTROLE PRODUÇÃO POR EMPRESAS'!$B$6:$G$5000,MATCH($A774,'CONTROLE PRODUÇÃO POR EMPRESAS'!$A$6:$A$5000,0),MOD(ROW()-2,6)+1),"")),"")</f>
        <v/>
      </c>
      <c r="I774" s="159">
        <f>IF(OR(NOT(ISNUMBER(G774)),NOT(ISNUMBER(H774))),"",H774-G774)</f>
        <v/>
      </c>
      <c r="J774" s="319">
        <f>IF(OR(NOT(ISNUMBER(G774)),NOT(ISNUMBER(H774)),G774=0),"",I774/G774)</f>
        <v/>
      </c>
      <c r="K774" s="319">
        <f>IF(OR(NOT(ISNUMBER(G774)),NOT(ISNUMBER(H774)),G774=0),"",H774/G774)</f>
        <v/>
      </c>
      <c r="L774">
        <f>IF(NOT(ISNUMBER(G774)),"SEM META",IF(G774=0,"SEM META",IF(NOT(ISNUMBER(H774)),"SEM APONTAMENTO",IF(H774&gt;=G774,"VERDE",IF(H774&gt;=G774*0.9,"AMARELO","VERMELHO")))))</f>
        <v/>
      </c>
      <c r="M774" s="162" t="n"/>
      <c r="N774" s="162" t="n"/>
      <c r="O774" s="162" t="n"/>
      <c r="P774" s="162" t="n"/>
      <c r="Q774" s="320" t="n"/>
      <c r="R774" s="162" t="inlineStr">
        <is>
          <t>CONTROLE PRODUÇÃO POR EMPRESAS!F134</t>
        </is>
      </c>
    </row>
    <row r="775" ht="28.5" customHeight="1">
      <c r="A775" s="317" t="n">
        <v>46351</v>
      </c>
      <c r="B775" t="inlineStr">
        <is>
          <t>GERAL</t>
        </is>
      </c>
      <c r="C775" t="inlineStr">
        <is>
          <t>CMM</t>
        </is>
      </c>
      <c r="D775" t="inlineStr">
        <is>
          <t>VIGAS</t>
        </is>
      </c>
      <c r="F775" s="159">
        <f>IFERROR(INDEX('BASE METAS DIÁRIAS'!$N$2:$S$358,MATCH($A775,'BASE METAS DIÁRIAS'!$A$2:$A$358,0),MOD(ROW()-2,6)+1),"")</f>
        <v/>
      </c>
      <c r="G775" s="159">
        <f>IFERROR(IF(WEEKDAY($A775,2)&lt;=INDEX('BASE METAS DIÁRIAS'!$H$2:$M$358,MATCH($A775,'BASE METAS DIÁRIAS'!$A$2:$A$358,0),MOD(ROW()-2,6)+1),INDEX('BASE METAS DIÁRIAS'!$B$2:$G$358,MATCH($A775,'BASE METAS DIÁRIAS'!$A$2:$A$358,0),MOD(ROW()-2,6)+1),""),"")</f>
        <v/>
      </c>
      <c r="H775" s="159">
        <f>IFERROR(IF(INDEX('CONTROLE PRODUÇÃO POR EMPRESAS'!$B$6:$G$5000,MATCH($A775,'CONTROLE PRODUÇÃO POR EMPRESAS'!$A$6:$A$5000,0),MOD(ROW()-2,6)+1)="","",IFERROR(1*INDEX('CONTROLE PRODUÇÃO POR EMPRESAS'!$B$6:$G$5000,MATCH($A775,'CONTROLE PRODUÇÃO POR EMPRESAS'!$A$6:$A$5000,0),MOD(ROW()-2,6)+1),"")),"")</f>
        <v/>
      </c>
      <c r="I775" s="159">
        <f>IF(OR(NOT(ISNUMBER(G775)),NOT(ISNUMBER(H775))),"",H775-G775)</f>
        <v/>
      </c>
      <c r="J775" s="319">
        <f>IF(OR(NOT(ISNUMBER(G775)),NOT(ISNUMBER(H775)),G775=0),"",I775/G775)</f>
        <v/>
      </c>
      <c r="K775" s="319">
        <f>IF(OR(NOT(ISNUMBER(G775)),NOT(ISNUMBER(H775)),G775=0),"",H775/G775)</f>
        <v/>
      </c>
      <c r="L775">
        <f>IF(NOT(ISNUMBER(G775)),"SEM META",IF(G775=0,"SEM META",IF(NOT(ISNUMBER(H775)),"SEM APONTAMENTO",IF(H775&gt;=G775,"VERDE",IF(H775&gt;=G775*0.9,"AMARELO","VERMELHO")))))</f>
        <v/>
      </c>
      <c r="M775" s="162" t="n"/>
      <c r="N775" s="162" t="n"/>
      <c r="O775" s="162" t="n"/>
      <c r="P775" s="162" t="n"/>
      <c r="Q775" s="320" t="n"/>
      <c r="R775" s="162" t="inlineStr">
        <is>
          <t>CONTROLE PRODUÇÃO POR EMPRESAS!G134</t>
        </is>
      </c>
    </row>
    <row r="776" ht="28.5" customHeight="1">
      <c r="A776" s="317" t="n">
        <v>46352</v>
      </c>
      <c r="B776" t="inlineStr">
        <is>
          <t>GERAL</t>
        </is>
      </c>
      <c r="C776" t="inlineStr">
        <is>
          <t>EJ</t>
        </is>
      </c>
      <c r="D776" t="inlineStr">
        <is>
          <t>PREMONTAGEM</t>
        </is>
      </c>
      <c r="F776" s="159">
        <f>IFERROR(INDEX('BASE METAS DIÁRIAS'!$N$2:$S$358,MATCH($A776,'BASE METAS DIÁRIAS'!$A$2:$A$358,0),MOD(ROW()-2,6)+1),"")</f>
        <v/>
      </c>
      <c r="G776" s="159">
        <f>IFERROR(IF(WEEKDAY($A776,2)&lt;=INDEX('BASE METAS DIÁRIAS'!$H$2:$M$358,MATCH($A776,'BASE METAS DIÁRIAS'!$A$2:$A$358,0),MOD(ROW()-2,6)+1),INDEX('BASE METAS DIÁRIAS'!$B$2:$G$358,MATCH($A776,'BASE METAS DIÁRIAS'!$A$2:$A$358,0),MOD(ROW()-2,6)+1),""),"")</f>
        <v/>
      </c>
      <c r="H776" s="159">
        <f>IFERROR(IF(INDEX('CONTROLE PRODUÇÃO POR EMPRESAS'!$B$6:$G$5000,MATCH($A776,'CONTROLE PRODUÇÃO POR EMPRESAS'!$A$6:$A$5000,0),MOD(ROW()-2,6)+1)="","",IFERROR(1*INDEX('CONTROLE PRODUÇÃO POR EMPRESAS'!$B$6:$G$5000,MATCH($A776,'CONTROLE PRODUÇÃO POR EMPRESAS'!$A$6:$A$5000,0),MOD(ROW()-2,6)+1),"")),"")</f>
        <v/>
      </c>
      <c r="I776" s="159">
        <f>IF(OR(NOT(ISNUMBER(G776)),NOT(ISNUMBER(H776))),"",H776-G776)</f>
        <v/>
      </c>
      <c r="J776" s="319">
        <f>IF(OR(NOT(ISNUMBER(G776)),NOT(ISNUMBER(H776)),G776=0),"",I776/G776)</f>
        <v/>
      </c>
      <c r="K776" s="319">
        <f>IF(OR(NOT(ISNUMBER(G776)),NOT(ISNUMBER(H776)),G776=0),"",H776/G776)</f>
        <v/>
      </c>
      <c r="L776">
        <f>IF(NOT(ISNUMBER(G776)),"SEM META",IF(G776=0,"SEM META",IF(NOT(ISNUMBER(H776)),"SEM APONTAMENTO",IF(H776&gt;=G776,"VERDE",IF(H776&gt;=G776*0.9,"AMARELO","VERMELHO")))))</f>
        <v/>
      </c>
      <c r="M776" s="162" t="n"/>
      <c r="N776" s="162" t="n"/>
      <c r="O776" s="162" t="n"/>
      <c r="P776" s="162" t="n"/>
      <c r="Q776" s="320" t="n"/>
      <c r="R776" s="162" t="inlineStr">
        <is>
          <t>CONTROLE PRODUÇÃO POR EMPRESAS!B135</t>
        </is>
      </c>
    </row>
    <row r="777" ht="28.5" customHeight="1">
      <c r="A777" s="317" t="n">
        <v>46352</v>
      </c>
      <c r="B777" t="inlineStr">
        <is>
          <t>GERAL</t>
        </is>
      </c>
      <c r="C777" t="inlineStr">
        <is>
          <t>EJ</t>
        </is>
      </c>
      <c r="D777" t="inlineStr">
        <is>
          <t>IÇAMENTO JOIST</t>
        </is>
      </c>
      <c r="F777" s="159">
        <f>IFERROR(INDEX('BASE METAS DIÁRIAS'!$N$2:$S$358,MATCH($A777,'BASE METAS DIÁRIAS'!$A$2:$A$358,0),MOD(ROW()-2,6)+1),"")</f>
        <v/>
      </c>
      <c r="G777" s="159">
        <f>IFERROR(IF(WEEKDAY($A777,2)&lt;=INDEX('BASE METAS DIÁRIAS'!$H$2:$M$358,MATCH($A777,'BASE METAS DIÁRIAS'!$A$2:$A$358,0),MOD(ROW()-2,6)+1),INDEX('BASE METAS DIÁRIAS'!$B$2:$G$358,MATCH($A777,'BASE METAS DIÁRIAS'!$A$2:$A$358,0),MOD(ROW()-2,6)+1),""),"")</f>
        <v/>
      </c>
      <c r="H777" s="159">
        <f>IFERROR(IF(INDEX('CONTROLE PRODUÇÃO POR EMPRESAS'!$B$6:$G$5000,MATCH($A777,'CONTROLE PRODUÇÃO POR EMPRESAS'!$A$6:$A$5000,0),MOD(ROW()-2,6)+1)="","",IFERROR(1*INDEX('CONTROLE PRODUÇÃO POR EMPRESAS'!$B$6:$G$5000,MATCH($A777,'CONTROLE PRODUÇÃO POR EMPRESAS'!$A$6:$A$5000,0),MOD(ROW()-2,6)+1),"")),"")</f>
        <v/>
      </c>
      <c r="I777" s="159">
        <f>IF(OR(NOT(ISNUMBER(G777)),NOT(ISNUMBER(H777))),"",H777-G777)</f>
        <v/>
      </c>
      <c r="J777" s="319">
        <f>IF(OR(NOT(ISNUMBER(G777)),NOT(ISNUMBER(H777)),G777=0),"",I777/G777)</f>
        <v/>
      </c>
      <c r="K777" s="319">
        <f>IF(OR(NOT(ISNUMBER(G777)),NOT(ISNUMBER(H777)),G777=0),"",H777/G777)</f>
        <v/>
      </c>
      <c r="L777">
        <f>IF(NOT(ISNUMBER(G777)),"SEM META",IF(G777=0,"SEM META",IF(NOT(ISNUMBER(H777)),"SEM APONTAMENTO",IF(H777&gt;=G777,"VERDE",IF(H777&gt;=G777*0.9,"AMARELO","VERMELHO")))))</f>
        <v/>
      </c>
      <c r="M777" s="162" t="n"/>
      <c r="N777" s="162" t="n"/>
      <c r="O777" s="162" t="n"/>
      <c r="P777" s="162" t="n"/>
      <c r="Q777" s="320" t="n"/>
      <c r="R777" s="162" t="inlineStr">
        <is>
          <t>CONTROLE PRODUÇÃO POR EMPRESAS!C135</t>
        </is>
      </c>
    </row>
    <row r="778" ht="28.5" customHeight="1">
      <c r="A778" s="317" t="n">
        <v>46352</v>
      </c>
      <c r="B778" t="inlineStr">
        <is>
          <t>GERAL</t>
        </is>
      </c>
      <c r="C778" t="inlineStr">
        <is>
          <t>EJ</t>
        </is>
      </c>
      <c r="D778" t="inlineStr">
        <is>
          <t>VIGAS</t>
        </is>
      </c>
      <c r="F778" s="159">
        <f>IFERROR(INDEX('BASE METAS DIÁRIAS'!$N$2:$S$358,MATCH($A778,'BASE METAS DIÁRIAS'!$A$2:$A$358,0),MOD(ROW()-2,6)+1),"")</f>
        <v/>
      </c>
      <c r="G778" s="159">
        <f>IFERROR(IF(WEEKDAY($A778,2)&lt;=INDEX('BASE METAS DIÁRIAS'!$H$2:$M$358,MATCH($A778,'BASE METAS DIÁRIAS'!$A$2:$A$358,0),MOD(ROW()-2,6)+1),INDEX('BASE METAS DIÁRIAS'!$B$2:$G$358,MATCH($A778,'BASE METAS DIÁRIAS'!$A$2:$A$358,0),MOD(ROW()-2,6)+1),""),"")</f>
        <v/>
      </c>
      <c r="H778" s="159">
        <f>IFERROR(IF(INDEX('CONTROLE PRODUÇÃO POR EMPRESAS'!$B$6:$G$5000,MATCH($A778,'CONTROLE PRODUÇÃO POR EMPRESAS'!$A$6:$A$5000,0),MOD(ROW()-2,6)+1)="","",IFERROR(1*INDEX('CONTROLE PRODUÇÃO POR EMPRESAS'!$B$6:$G$5000,MATCH($A778,'CONTROLE PRODUÇÃO POR EMPRESAS'!$A$6:$A$5000,0),MOD(ROW()-2,6)+1),"")),"")</f>
        <v/>
      </c>
      <c r="I778" s="159">
        <f>IF(OR(NOT(ISNUMBER(G778)),NOT(ISNUMBER(H778))),"",H778-G778)</f>
        <v/>
      </c>
      <c r="J778" s="319">
        <f>IF(OR(NOT(ISNUMBER(G778)),NOT(ISNUMBER(H778)),G778=0),"",I778/G778)</f>
        <v/>
      </c>
      <c r="K778" s="319">
        <f>IF(OR(NOT(ISNUMBER(G778)),NOT(ISNUMBER(H778)),G778=0),"",H778/G778)</f>
        <v/>
      </c>
      <c r="L778">
        <f>IF(NOT(ISNUMBER(G778)),"SEM META",IF(G778=0,"SEM META",IF(NOT(ISNUMBER(H778)),"SEM APONTAMENTO",IF(H778&gt;=G778,"VERDE",IF(H778&gt;=G778*0.9,"AMARELO","VERMELHO")))))</f>
        <v/>
      </c>
      <c r="M778" s="162" t="n"/>
      <c r="N778" s="162" t="n"/>
      <c r="O778" s="162" t="n"/>
      <c r="P778" s="162" t="n"/>
      <c r="Q778" s="320" t="n"/>
      <c r="R778" s="162" t="inlineStr">
        <is>
          <t>CONTROLE PRODUÇÃO POR EMPRESAS!D135</t>
        </is>
      </c>
    </row>
    <row r="779" ht="28.5" customHeight="1">
      <c r="A779" s="317" t="n">
        <v>46352</v>
      </c>
      <c r="B779" t="inlineStr">
        <is>
          <t>GERAL</t>
        </is>
      </c>
      <c r="C779" t="inlineStr">
        <is>
          <t>CMM</t>
        </is>
      </c>
      <c r="D779" t="inlineStr">
        <is>
          <t>PREMONTAGEM</t>
        </is>
      </c>
      <c r="F779" s="159">
        <f>IFERROR(INDEX('BASE METAS DIÁRIAS'!$N$2:$S$358,MATCH($A779,'BASE METAS DIÁRIAS'!$A$2:$A$358,0),MOD(ROW()-2,6)+1),"")</f>
        <v/>
      </c>
      <c r="G779" s="159">
        <f>IFERROR(IF(WEEKDAY($A779,2)&lt;=INDEX('BASE METAS DIÁRIAS'!$H$2:$M$358,MATCH($A779,'BASE METAS DIÁRIAS'!$A$2:$A$358,0),MOD(ROW()-2,6)+1),INDEX('BASE METAS DIÁRIAS'!$B$2:$G$358,MATCH($A779,'BASE METAS DIÁRIAS'!$A$2:$A$358,0),MOD(ROW()-2,6)+1),""),"")</f>
        <v/>
      </c>
      <c r="H779" s="159">
        <f>IFERROR(IF(INDEX('CONTROLE PRODUÇÃO POR EMPRESAS'!$B$6:$G$5000,MATCH($A779,'CONTROLE PRODUÇÃO POR EMPRESAS'!$A$6:$A$5000,0),MOD(ROW()-2,6)+1)="","",IFERROR(1*INDEX('CONTROLE PRODUÇÃO POR EMPRESAS'!$B$6:$G$5000,MATCH($A779,'CONTROLE PRODUÇÃO POR EMPRESAS'!$A$6:$A$5000,0),MOD(ROW()-2,6)+1),"")),"")</f>
        <v/>
      </c>
      <c r="I779" s="159">
        <f>IF(OR(NOT(ISNUMBER(G779)),NOT(ISNUMBER(H779))),"",H779-G779)</f>
        <v/>
      </c>
      <c r="J779" s="319">
        <f>IF(OR(NOT(ISNUMBER(G779)),NOT(ISNUMBER(H779)),G779=0),"",I779/G779)</f>
        <v/>
      </c>
      <c r="K779" s="319">
        <f>IF(OR(NOT(ISNUMBER(G779)),NOT(ISNUMBER(H779)),G779=0),"",H779/G779)</f>
        <v/>
      </c>
      <c r="L779">
        <f>IF(NOT(ISNUMBER(G779)),"SEM META",IF(G779=0,"SEM META",IF(NOT(ISNUMBER(H779)),"SEM APONTAMENTO",IF(H779&gt;=G779,"VERDE",IF(H779&gt;=G779*0.9,"AMARELO","VERMELHO")))))</f>
        <v/>
      </c>
      <c r="M779" s="162" t="n"/>
      <c r="N779" s="162" t="n"/>
      <c r="O779" s="162" t="n"/>
      <c r="P779" s="162" t="n"/>
      <c r="Q779" s="320" t="n"/>
      <c r="R779" s="162" t="inlineStr">
        <is>
          <t>CONTROLE PRODUÇÃO POR EMPRESAS!E135</t>
        </is>
      </c>
    </row>
    <row r="780" ht="28.5" customHeight="1">
      <c r="A780" s="317" t="n">
        <v>46352</v>
      </c>
      <c r="B780" t="inlineStr">
        <is>
          <t>GERAL</t>
        </is>
      </c>
      <c r="C780" t="inlineStr">
        <is>
          <t>CMM</t>
        </is>
      </c>
      <c r="D780" t="inlineStr">
        <is>
          <t>IÇAMENTO JOIST</t>
        </is>
      </c>
      <c r="F780" s="159">
        <f>IFERROR(INDEX('BASE METAS DIÁRIAS'!$N$2:$S$358,MATCH($A780,'BASE METAS DIÁRIAS'!$A$2:$A$358,0),MOD(ROW()-2,6)+1),"")</f>
        <v/>
      </c>
      <c r="G780" s="159">
        <f>IFERROR(IF(WEEKDAY($A780,2)&lt;=INDEX('BASE METAS DIÁRIAS'!$H$2:$M$358,MATCH($A780,'BASE METAS DIÁRIAS'!$A$2:$A$358,0),MOD(ROW()-2,6)+1),INDEX('BASE METAS DIÁRIAS'!$B$2:$G$358,MATCH($A780,'BASE METAS DIÁRIAS'!$A$2:$A$358,0),MOD(ROW()-2,6)+1),""),"")</f>
        <v/>
      </c>
      <c r="H780" s="159">
        <f>IFERROR(IF(INDEX('CONTROLE PRODUÇÃO POR EMPRESAS'!$B$6:$G$5000,MATCH($A780,'CONTROLE PRODUÇÃO POR EMPRESAS'!$A$6:$A$5000,0),MOD(ROW()-2,6)+1)="","",IFERROR(1*INDEX('CONTROLE PRODUÇÃO POR EMPRESAS'!$B$6:$G$5000,MATCH($A780,'CONTROLE PRODUÇÃO POR EMPRESAS'!$A$6:$A$5000,0),MOD(ROW()-2,6)+1),"")),"")</f>
        <v/>
      </c>
      <c r="I780" s="159">
        <f>IF(OR(NOT(ISNUMBER(G780)),NOT(ISNUMBER(H780))),"",H780-G780)</f>
        <v/>
      </c>
      <c r="J780" s="319">
        <f>IF(OR(NOT(ISNUMBER(G780)),NOT(ISNUMBER(H780)),G780=0),"",I780/G780)</f>
        <v/>
      </c>
      <c r="K780" s="319">
        <f>IF(OR(NOT(ISNUMBER(G780)),NOT(ISNUMBER(H780)),G780=0),"",H780/G780)</f>
        <v/>
      </c>
      <c r="L780">
        <f>IF(NOT(ISNUMBER(G780)),"SEM META",IF(G780=0,"SEM META",IF(NOT(ISNUMBER(H780)),"SEM APONTAMENTO",IF(H780&gt;=G780,"VERDE",IF(H780&gt;=G780*0.9,"AMARELO","VERMELHO")))))</f>
        <v/>
      </c>
      <c r="M780" s="162" t="n"/>
      <c r="N780" s="162" t="n"/>
      <c r="O780" s="162" t="n"/>
      <c r="P780" s="162" t="n"/>
      <c r="Q780" s="320" t="n"/>
      <c r="R780" s="162" t="inlineStr">
        <is>
          <t>CONTROLE PRODUÇÃO POR EMPRESAS!F135</t>
        </is>
      </c>
    </row>
    <row r="781" ht="28.5" customHeight="1">
      <c r="A781" s="317" t="n">
        <v>46352</v>
      </c>
      <c r="B781" t="inlineStr">
        <is>
          <t>GERAL</t>
        </is>
      </c>
      <c r="C781" t="inlineStr">
        <is>
          <t>CMM</t>
        </is>
      </c>
      <c r="D781" t="inlineStr">
        <is>
          <t>VIGAS</t>
        </is>
      </c>
      <c r="F781" s="159">
        <f>IFERROR(INDEX('BASE METAS DIÁRIAS'!$N$2:$S$358,MATCH($A781,'BASE METAS DIÁRIAS'!$A$2:$A$358,0),MOD(ROW()-2,6)+1),"")</f>
        <v/>
      </c>
      <c r="G781" s="159">
        <f>IFERROR(IF(WEEKDAY($A781,2)&lt;=INDEX('BASE METAS DIÁRIAS'!$H$2:$M$358,MATCH($A781,'BASE METAS DIÁRIAS'!$A$2:$A$358,0),MOD(ROW()-2,6)+1),INDEX('BASE METAS DIÁRIAS'!$B$2:$G$358,MATCH($A781,'BASE METAS DIÁRIAS'!$A$2:$A$358,0),MOD(ROW()-2,6)+1),""),"")</f>
        <v/>
      </c>
      <c r="H781" s="159">
        <f>IFERROR(IF(INDEX('CONTROLE PRODUÇÃO POR EMPRESAS'!$B$6:$G$5000,MATCH($A781,'CONTROLE PRODUÇÃO POR EMPRESAS'!$A$6:$A$5000,0),MOD(ROW()-2,6)+1)="","",IFERROR(1*INDEX('CONTROLE PRODUÇÃO POR EMPRESAS'!$B$6:$G$5000,MATCH($A781,'CONTROLE PRODUÇÃO POR EMPRESAS'!$A$6:$A$5000,0),MOD(ROW()-2,6)+1),"")),"")</f>
        <v/>
      </c>
      <c r="I781" s="159">
        <f>IF(OR(NOT(ISNUMBER(G781)),NOT(ISNUMBER(H781))),"",H781-G781)</f>
        <v/>
      </c>
      <c r="J781" s="319">
        <f>IF(OR(NOT(ISNUMBER(G781)),NOT(ISNUMBER(H781)),G781=0),"",I781/G781)</f>
        <v/>
      </c>
      <c r="K781" s="319">
        <f>IF(OR(NOT(ISNUMBER(G781)),NOT(ISNUMBER(H781)),G781=0),"",H781/G781)</f>
        <v/>
      </c>
      <c r="L781">
        <f>IF(NOT(ISNUMBER(G781)),"SEM META",IF(G781=0,"SEM META",IF(NOT(ISNUMBER(H781)),"SEM APONTAMENTO",IF(H781&gt;=G781,"VERDE",IF(H781&gt;=G781*0.9,"AMARELO","VERMELHO")))))</f>
        <v/>
      </c>
      <c r="M781" s="162" t="n"/>
      <c r="N781" s="162" t="n"/>
      <c r="O781" s="162" t="n"/>
      <c r="P781" s="162" t="n"/>
      <c r="Q781" s="320" t="n"/>
      <c r="R781" s="162" t="inlineStr">
        <is>
          <t>CONTROLE PRODUÇÃO POR EMPRESAS!G135</t>
        </is>
      </c>
    </row>
    <row r="782" ht="28.5" customHeight="1">
      <c r="A782" s="317" t="n">
        <v>46353</v>
      </c>
      <c r="B782" t="inlineStr">
        <is>
          <t>GERAL</t>
        </is>
      </c>
      <c r="C782" t="inlineStr">
        <is>
          <t>EJ</t>
        </is>
      </c>
      <c r="D782" t="inlineStr">
        <is>
          <t>PREMONTAGEM</t>
        </is>
      </c>
      <c r="F782" s="159">
        <f>IFERROR(INDEX('BASE METAS DIÁRIAS'!$N$2:$S$358,MATCH($A782,'BASE METAS DIÁRIAS'!$A$2:$A$358,0),MOD(ROW()-2,6)+1),"")</f>
        <v/>
      </c>
      <c r="G782" s="159">
        <f>IFERROR(IF(WEEKDAY($A782,2)&lt;=INDEX('BASE METAS DIÁRIAS'!$H$2:$M$358,MATCH($A782,'BASE METAS DIÁRIAS'!$A$2:$A$358,0),MOD(ROW()-2,6)+1),INDEX('BASE METAS DIÁRIAS'!$B$2:$G$358,MATCH($A782,'BASE METAS DIÁRIAS'!$A$2:$A$358,0),MOD(ROW()-2,6)+1),""),"")</f>
        <v/>
      </c>
      <c r="H782" s="159">
        <f>IFERROR(IF(INDEX('CONTROLE PRODUÇÃO POR EMPRESAS'!$B$6:$G$5000,MATCH($A782,'CONTROLE PRODUÇÃO POR EMPRESAS'!$A$6:$A$5000,0),MOD(ROW()-2,6)+1)="","",IFERROR(1*INDEX('CONTROLE PRODUÇÃO POR EMPRESAS'!$B$6:$G$5000,MATCH($A782,'CONTROLE PRODUÇÃO POR EMPRESAS'!$A$6:$A$5000,0),MOD(ROW()-2,6)+1),"")),"")</f>
        <v/>
      </c>
      <c r="I782" s="159">
        <f>IF(OR(NOT(ISNUMBER(G782)),NOT(ISNUMBER(H782))),"",H782-G782)</f>
        <v/>
      </c>
      <c r="J782" s="319">
        <f>IF(OR(NOT(ISNUMBER(G782)),NOT(ISNUMBER(H782)),G782=0),"",I782/G782)</f>
        <v/>
      </c>
      <c r="K782" s="319">
        <f>IF(OR(NOT(ISNUMBER(G782)),NOT(ISNUMBER(H782)),G782=0),"",H782/G782)</f>
        <v/>
      </c>
      <c r="L782">
        <f>IF(NOT(ISNUMBER(G782)),"SEM META",IF(G782=0,"SEM META",IF(NOT(ISNUMBER(H782)),"SEM APONTAMENTO",IF(H782&gt;=G782,"VERDE",IF(H782&gt;=G782*0.9,"AMARELO","VERMELHO")))))</f>
        <v/>
      </c>
      <c r="M782" s="162" t="n"/>
      <c r="N782" s="162" t="n"/>
      <c r="O782" s="162" t="n"/>
      <c r="P782" s="162" t="n"/>
      <c r="Q782" s="320" t="n"/>
      <c r="R782" s="162" t="inlineStr">
        <is>
          <t>CONTROLE PRODUÇÃO POR EMPRESAS!B136</t>
        </is>
      </c>
    </row>
    <row r="783" ht="28.5" customHeight="1">
      <c r="A783" s="317" t="n">
        <v>46353</v>
      </c>
      <c r="B783" t="inlineStr">
        <is>
          <t>GERAL</t>
        </is>
      </c>
      <c r="C783" t="inlineStr">
        <is>
          <t>EJ</t>
        </is>
      </c>
      <c r="D783" t="inlineStr">
        <is>
          <t>IÇAMENTO JOIST</t>
        </is>
      </c>
      <c r="F783" s="159">
        <f>IFERROR(INDEX('BASE METAS DIÁRIAS'!$N$2:$S$358,MATCH($A783,'BASE METAS DIÁRIAS'!$A$2:$A$358,0),MOD(ROW()-2,6)+1),"")</f>
        <v/>
      </c>
      <c r="G783" s="159">
        <f>IFERROR(IF(WEEKDAY($A783,2)&lt;=INDEX('BASE METAS DIÁRIAS'!$H$2:$M$358,MATCH($A783,'BASE METAS DIÁRIAS'!$A$2:$A$358,0),MOD(ROW()-2,6)+1),INDEX('BASE METAS DIÁRIAS'!$B$2:$G$358,MATCH($A783,'BASE METAS DIÁRIAS'!$A$2:$A$358,0),MOD(ROW()-2,6)+1),""),"")</f>
        <v/>
      </c>
      <c r="H783" s="159">
        <f>IFERROR(IF(INDEX('CONTROLE PRODUÇÃO POR EMPRESAS'!$B$6:$G$5000,MATCH($A783,'CONTROLE PRODUÇÃO POR EMPRESAS'!$A$6:$A$5000,0),MOD(ROW()-2,6)+1)="","",IFERROR(1*INDEX('CONTROLE PRODUÇÃO POR EMPRESAS'!$B$6:$G$5000,MATCH($A783,'CONTROLE PRODUÇÃO POR EMPRESAS'!$A$6:$A$5000,0),MOD(ROW()-2,6)+1),"")),"")</f>
        <v/>
      </c>
      <c r="I783" s="159">
        <f>IF(OR(NOT(ISNUMBER(G783)),NOT(ISNUMBER(H783))),"",H783-G783)</f>
        <v/>
      </c>
      <c r="J783" s="319">
        <f>IF(OR(NOT(ISNUMBER(G783)),NOT(ISNUMBER(H783)),G783=0),"",I783/G783)</f>
        <v/>
      </c>
      <c r="K783" s="319">
        <f>IF(OR(NOT(ISNUMBER(G783)),NOT(ISNUMBER(H783)),G783=0),"",H783/G783)</f>
        <v/>
      </c>
      <c r="L783">
        <f>IF(NOT(ISNUMBER(G783)),"SEM META",IF(G783=0,"SEM META",IF(NOT(ISNUMBER(H783)),"SEM APONTAMENTO",IF(H783&gt;=G783,"VERDE",IF(H783&gt;=G783*0.9,"AMARELO","VERMELHO")))))</f>
        <v/>
      </c>
      <c r="M783" s="162" t="n"/>
      <c r="N783" s="162" t="n"/>
      <c r="O783" s="162" t="n"/>
      <c r="P783" s="162" t="n"/>
      <c r="Q783" s="320" t="n"/>
      <c r="R783" s="162" t="inlineStr">
        <is>
          <t>CONTROLE PRODUÇÃO POR EMPRESAS!C136</t>
        </is>
      </c>
    </row>
    <row r="784" ht="28.5" customHeight="1">
      <c r="A784" s="317" t="n">
        <v>46353</v>
      </c>
      <c r="B784" t="inlineStr">
        <is>
          <t>GERAL</t>
        </is>
      </c>
      <c r="C784" t="inlineStr">
        <is>
          <t>EJ</t>
        </is>
      </c>
      <c r="D784" t="inlineStr">
        <is>
          <t>VIGAS</t>
        </is>
      </c>
      <c r="F784" s="159">
        <f>IFERROR(INDEX('BASE METAS DIÁRIAS'!$N$2:$S$358,MATCH($A784,'BASE METAS DIÁRIAS'!$A$2:$A$358,0),MOD(ROW()-2,6)+1),"")</f>
        <v/>
      </c>
      <c r="G784" s="159">
        <f>IFERROR(IF(WEEKDAY($A784,2)&lt;=INDEX('BASE METAS DIÁRIAS'!$H$2:$M$358,MATCH($A784,'BASE METAS DIÁRIAS'!$A$2:$A$358,0),MOD(ROW()-2,6)+1),INDEX('BASE METAS DIÁRIAS'!$B$2:$G$358,MATCH($A784,'BASE METAS DIÁRIAS'!$A$2:$A$358,0),MOD(ROW()-2,6)+1),""),"")</f>
        <v/>
      </c>
      <c r="H784" s="159">
        <f>IFERROR(IF(INDEX('CONTROLE PRODUÇÃO POR EMPRESAS'!$B$6:$G$5000,MATCH($A784,'CONTROLE PRODUÇÃO POR EMPRESAS'!$A$6:$A$5000,0),MOD(ROW()-2,6)+1)="","",IFERROR(1*INDEX('CONTROLE PRODUÇÃO POR EMPRESAS'!$B$6:$G$5000,MATCH($A784,'CONTROLE PRODUÇÃO POR EMPRESAS'!$A$6:$A$5000,0),MOD(ROW()-2,6)+1),"")),"")</f>
        <v/>
      </c>
      <c r="I784" s="159">
        <f>IF(OR(NOT(ISNUMBER(G784)),NOT(ISNUMBER(H784))),"",H784-G784)</f>
        <v/>
      </c>
      <c r="J784" s="319">
        <f>IF(OR(NOT(ISNUMBER(G784)),NOT(ISNUMBER(H784)),G784=0),"",I784/G784)</f>
        <v/>
      </c>
      <c r="K784" s="319">
        <f>IF(OR(NOT(ISNUMBER(G784)),NOT(ISNUMBER(H784)),G784=0),"",H784/G784)</f>
        <v/>
      </c>
      <c r="L784">
        <f>IF(NOT(ISNUMBER(G784)),"SEM META",IF(G784=0,"SEM META",IF(NOT(ISNUMBER(H784)),"SEM APONTAMENTO",IF(H784&gt;=G784,"VERDE",IF(H784&gt;=G784*0.9,"AMARELO","VERMELHO")))))</f>
        <v/>
      </c>
      <c r="M784" s="162" t="n"/>
      <c r="N784" s="162" t="n"/>
      <c r="O784" s="162" t="n"/>
      <c r="P784" s="162" t="n"/>
      <c r="Q784" s="320" t="n"/>
      <c r="R784" s="162" t="inlineStr">
        <is>
          <t>CONTROLE PRODUÇÃO POR EMPRESAS!D136</t>
        </is>
      </c>
    </row>
    <row r="785" ht="28.5" customHeight="1">
      <c r="A785" s="317" t="n">
        <v>46353</v>
      </c>
      <c r="B785" t="inlineStr">
        <is>
          <t>GERAL</t>
        </is>
      </c>
      <c r="C785" t="inlineStr">
        <is>
          <t>CMM</t>
        </is>
      </c>
      <c r="D785" t="inlineStr">
        <is>
          <t>PREMONTAGEM</t>
        </is>
      </c>
      <c r="F785" s="159">
        <f>IFERROR(INDEX('BASE METAS DIÁRIAS'!$N$2:$S$358,MATCH($A785,'BASE METAS DIÁRIAS'!$A$2:$A$358,0),MOD(ROW()-2,6)+1),"")</f>
        <v/>
      </c>
      <c r="G785" s="159">
        <f>IFERROR(IF(WEEKDAY($A785,2)&lt;=INDEX('BASE METAS DIÁRIAS'!$H$2:$M$358,MATCH($A785,'BASE METAS DIÁRIAS'!$A$2:$A$358,0),MOD(ROW()-2,6)+1),INDEX('BASE METAS DIÁRIAS'!$B$2:$G$358,MATCH($A785,'BASE METAS DIÁRIAS'!$A$2:$A$358,0),MOD(ROW()-2,6)+1),""),"")</f>
        <v/>
      </c>
      <c r="H785" s="159">
        <f>IFERROR(IF(INDEX('CONTROLE PRODUÇÃO POR EMPRESAS'!$B$6:$G$5000,MATCH($A785,'CONTROLE PRODUÇÃO POR EMPRESAS'!$A$6:$A$5000,0),MOD(ROW()-2,6)+1)="","",IFERROR(1*INDEX('CONTROLE PRODUÇÃO POR EMPRESAS'!$B$6:$G$5000,MATCH($A785,'CONTROLE PRODUÇÃO POR EMPRESAS'!$A$6:$A$5000,0),MOD(ROW()-2,6)+1),"")),"")</f>
        <v/>
      </c>
      <c r="I785" s="159">
        <f>IF(OR(NOT(ISNUMBER(G785)),NOT(ISNUMBER(H785))),"",H785-G785)</f>
        <v/>
      </c>
      <c r="J785" s="319">
        <f>IF(OR(NOT(ISNUMBER(G785)),NOT(ISNUMBER(H785)),G785=0),"",I785/G785)</f>
        <v/>
      </c>
      <c r="K785" s="319">
        <f>IF(OR(NOT(ISNUMBER(G785)),NOT(ISNUMBER(H785)),G785=0),"",H785/G785)</f>
        <v/>
      </c>
      <c r="L785">
        <f>IF(NOT(ISNUMBER(G785)),"SEM META",IF(G785=0,"SEM META",IF(NOT(ISNUMBER(H785)),"SEM APONTAMENTO",IF(H785&gt;=G785,"VERDE",IF(H785&gt;=G785*0.9,"AMARELO","VERMELHO")))))</f>
        <v/>
      </c>
      <c r="M785" s="162" t="n"/>
      <c r="N785" s="162" t="n"/>
      <c r="O785" s="162" t="n"/>
      <c r="P785" s="162" t="n"/>
      <c r="Q785" s="320" t="n"/>
      <c r="R785" s="162" t="inlineStr">
        <is>
          <t>CONTROLE PRODUÇÃO POR EMPRESAS!E136</t>
        </is>
      </c>
    </row>
    <row r="786" ht="28.5" customHeight="1">
      <c r="A786" s="317" t="n">
        <v>46353</v>
      </c>
      <c r="B786" t="inlineStr">
        <is>
          <t>GERAL</t>
        </is>
      </c>
      <c r="C786" t="inlineStr">
        <is>
          <t>CMM</t>
        </is>
      </c>
      <c r="D786" t="inlineStr">
        <is>
          <t>IÇAMENTO JOIST</t>
        </is>
      </c>
      <c r="F786" s="159">
        <f>IFERROR(INDEX('BASE METAS DIÁRIAS'!$N$2:$S$358,MATCH($A786,'BASE METAS DIÁRIAS'!$A$2:$A$358,0),MOD(ROW()-2,6)+1),"")</f>
        <v/>
      </c>
      <c r="G786" s="159">
        <f>IFERROR(IF(WEEKDAY($A786,2)&lt;=INDEX('BASE METAS DIÁRIAS'!$H$2:$M$358,MATCH($A786,'BASE METAS DIÁRIAS'!$A$2:$A$358,0),MOD(ROW()-2,6)+1),INDEX('BASE METAS DIÁRIAS'!$B$2:$G$358,MATCH($A786,'BASE METAS DIÁRIAS'!$A$2:$A$358,0),MOD(ROW()-2,6)+1),""),"")</f>
        <v/>
      </c>
      <c r="H786" s="159">
        <f>IFERROR(IF(INDEX('CONTROLE PRODUÇÃO POR EMPRESAS'!$B$6:$G$5000,MATCH($A786,'CONTROLE PRODUÇÃO POR EMPRESAS'!$A$6:$A$5000,0),MOD(ROW()-2,6)+1)="","",IFERROR(1*INDEX('CONTROLE PRODUÇÃO POR EMPRESAS'!$B$6:$G$5000,MATCH($A786,'CONTROLE PRODUÇÃO POR EMPRESAS'!$A$6:$A$5000,0),MOD(ROW()-2,6)+1),"")),"")</f>
        <v/>
      </c>
      <c r="I786" s="159">
        <f>IF(OR(NOT(ISNUMBER(G786)),NOT(ISNUMBER(H786))),"",H786-G786)</f>
        <v/>
      </c>
      <c r="J786" s="319">
        <f>IF(OR(NOT(ISNUMBER(G786)),NOT(ISNUMBER(H786)),G786=0),"",I786/G786)</f>
        <v/>
      </c>
      <c r="K786" s="319">
        <f>IF(OR(NOT(ISNUMBER(G786)),NOT(ISNUMBER(H786)),G786=0),"",H786/G786)</f>
        <v/>
      </c>
      <c r="L786">
        <f>IF(NOT(ISNUMBER(G786)),"SEM META",IF(G786=0,"SEM META",IF(NOT(ISNUMBER(H786)),"SEM APONTAMENTO",IF(H786&gt;=G786,"VERDE",IF(H786&gt;=G786*0.9,"AMARELO","VERMELHO")))))</f>
        <v/>
      </c>
      <c r="M786" s="162" t="n"/>
      <c r="N786" s="162" t="n"/>
      <c r="O786" s="162" t="n"/>
      <c r="P786" s="162" t="n"/>
      <c r="Q786" s="320" t="n"/>
      <c r="R786" s="162" t="inlineStr">
        <is>
          <t>CONTROLE PRODUÇÃO POR EMPRESAS!F136</t>
        </is>
      </c>
    </row>
    <row r="787" ht="28.5" customHeight="1">
      <c r="A787" s="317" t="n">
        <v>46353</v>
      </c>
      <c r="B787" t="inlineStr">
        <is>
          <t>GERAL</t>
        </is>
      </c>
      <c r="C787" t="inlineStr">
        <is>
          <t>CMM</t>
        </is>
      </c>
      <c r="D787" t="inlineStr">
        <is>
          <t>VIGAS</t>
        </is>
      </c>
      <c r="F787" s="159">
        <f>IFERROR(INDEX('BASE METAS DIÁRIAS'!$N$2:$S$358,MATCH($A787,'BASE METAS DIÁRIAS'!$A$2:$A$358,0),MOD(ROW()-2,6)+1),"")</f>
        <v/>
      </c>
      <c r="G787" s="159">
        <f>IFERROR(IF(WEEKDAY($A787,2)&lt;=INDEX('BASE METAS DIÁRIAS'!$H$2:$M$358,MATCH($A787,'BASE METAS DIÁRIAS'!$A$2:$A$358,0),MOD(ROW()-2,6)+1),INDEX('BASE METAS DIÁRIAS'!$B$2:$G$358,MATCH($A787,'BASE METAS DIÁRIAS'!$A$2:$A$358,0),MOD(ROW()-2,6)+1),""),"")</f>
        <v/>
      </c>
      <c r="H787" s="159">
        <f>IFERROR(IF(INDEX('CONTROLE PRODUÇÃO POR EMPRESAS'!$B$6:$G$5000,MATCH($A787,'CONTROLE PRODUÇÃO POR EMPRESAS'!$A$6:$A$5000,0),MOD(ROW()-2,6)+1)="","",IFERROR(1*INDEX('CONTROLE PRODUÇÃO POR EMPRESAS'!$B$6:$G$5000,MATCH($A787,'CONTROLE PRODUÇÃO POR EMPRESAS'!$A$6:$A$5000,0),MOD(ROW()-2,6)+1),"")),"")</f>
        <v/>
      </c>
      <c r="I787" s="159">
        <f>IF(OR(NOT(ISNUMBER(G787)),NOT(ISNUMBER(H787))),"",H787-G787)</f>
        <v/>
      </c>
      <c r="J787" s="319">
        <f>IF(OR(NOT(ISNUMBER(G787)),NOT(ISNUMBER(H787)),G787=0),"",I787/G787)</f>
        <v/>
      </c>
      <c r="K787" s="319">
        <f>IF(OR(NOT(ISNUMBER(G787)),NOT(ISNUMBER(H787)),G787=0),"",H787/G787)</f>
        <v/>
      </c>
      <c r="L787">
        <f>IF(NOT(ISNUMBER(G787)),"SEM META",IF(G787=0,"SEM META",IF(NOT(ISNUMBER(H787)),"SEM APONTAMENTO",IF(H787&gt;=G787,"VERDE",IF(H787&gt;=G787*0.9,"AMARELO","VERMELHO")))))</f>
        <v/>
      </c>
      <c r="M787" s="162" t="n"/>
      <c r="N787" s="162" t="n"/>
      <c r="O787" s="162" t="n"/>
      <c r="P787" s="162" t="n"/>
      <c r="Q787" s="320" t="n"/>
      <c r="R787" s="162" t="inlineStr">
        <is>
          <t>CONTROLE PRODUÇÃO POR EMPRESAS!G136</t>
        </is>
      </c>
    </row>
    <row r="788" ht="28.5" customHeight="1">
      <c r="A788" s="317" t="n">
        <v>46354</v>
      </c>
      <c r="B788" t="inlineStr">
        <is>
          <t>GERAL</t>
        </is>
      </c>
      <c r="C788" t="inlineStr">
        <is>
          <t>EJ</t>
        </is>
      </c>
      <c r="D788" t="inlineStr">
        <is>
          <t>PREMONTAGEM</t>
        </is>
      </c>
      <c r="F788" s="159">
        <f>IFERROR(INDEX('BASE METAS DIÁRIAS'!$N$2:$S$358,MATCH($A788,'BASE METAS DIÁRIAS'!$A$2:$A$358,0),MOD(ROW()-2,6)+1),"")</f>
        <v/>
      </c>
      <c r="G788" s="159">
        <f>IFERROR(IF(WEEKDAY($A788,2)&lt;=INDEX('BASE METAS DIÁRIAS'!$H$2:$M$358,MATCH($A788,'BASE METAS DIÁRIAS'!$A$2:$A$358,0),MOD(ROW()-2,6)+1),INDEX('BASE METAS DIÁRIAS'!$B$2:$G$358,MATCH($A788,'BASE METAS DIÁRIAS'!$A$2:$A$358,0),MOD(ROW()-2,6)+1),""),"")</f>
        <v/>
      </c>
      <c r="H788" s="159">
        <f>IFERROR(IF(INDEX('CONTROLE PRODUÇÃO POR EMPRESAS'!$B$6:$G$5000,MATCH($A788,'CONTROLE PRODUÇÃO POR EMPRESAS'!$A$6:$A$5000,0),MOD(ROW()-2,6)+1)="","",IFERROR(1*INDEX('CONTROLE PRODUÇÃO POR EMPRESAS'!$B$6:$G$5000,MATCH($A788,'CONTROLE PRODUÇÃO POR EMPRESAS'!$A$6:$A$5000,0),MOD(ROW()-2,6)+1),"")),"")</f>
        <v/>
      </c>
      <c r="I788" s="159">
        <f>IF(OR(NOT(ISNUMBER(G788)),NOT(ISNUMBER(H788))),"",H788-G788)</f>
        <v/>
      </c>
      <c r="J788" s="319">
        <f>IF(OR(NOT(ISNUMBER(G788)),NOT(ISNUMBER(H788)),G788=0),"",I788/G788)</f>
        <v/>
      </c>
      <c r="K788" s="319">
        <f>IF(OR(NOT(ISNUMBER(G788)),NOT(ISNUMBER(H788)),G788=0),"",H788/G788)</f>
        <v/>
      </c>
      <c r="L788">
        <f>IF(NOT(ISNUMBER(G788)),"SEM META",IF(G788=0,"SEM META",IF(NOT(ISNUMBER(H788)),"SEM APONTAMENTO",IF(H788&gt;=G788,"VERDE",IF(H788&gt;=G788*0.9,"AMARELO","VERMELHO")))))</f>
        <v/>
      </c>
      <c r="M788" s="162" t="n"/>
      <c r="N788" s="162" t="n"/>
      <c r="O788" s="162" t="n"/>
      <c r="P788" s="162" t="n"/>
      <c r="Q788" s="320" t="n"/>
      <c r="R788" s="162" t="inlineStr">
        <is>
          <t>CONTROLE PRODUÇÃO POR EMPRESAS!B137</t>
        </is>
      </c>
    </row>
    <row r="789" ht="28.5" customHeight="1">
      <c r="A789" s="317" t="n">
        <v>46354</v>
      </c>
      <c r="B789" t="inlineStr">
        <is>
          <t>GERAL</t>
        </is>
      </c>
      <c r="C789" t="inlineStr">
        <is>
          <t>EJ</t>
        </is>
      </c>
      <c r="D789" t="inlineStr">
        <is>
          <t>IÇAMENTO JOIST</t>
        </is>
      </c>
      <c r="F789" s="159">
        <f>IFERROR(INDEX('BASE METAS DIÁRIAS'!$N$2:$S$358,MATCH($A789,'BASE METAS DIÁRIAS'!$A$2:$A$358,0),MOD(ROW()-2,6)+1),"")</f>
        <v/>
      </c>
      <c r="G789" s="159">
        <f>IFERROR(IF(WEEKDAY($A789,2)&lt;=INDEX('BASE METAS DIÁRIAS'!$H$2:$M$358,MATCH($A789,'BASE METAS DIÁRIAS'!$A$2:$A$358,0),MOD(ROW()-2,6)+1),INDEX('BASE METAS DIÁRIAS'!$B$2:$G$358,MATCH($A789,'BASE METAS DIÁRIAS'!$A$2:$A$358,0),MOD(ROW()-2,6)+1),""),"")</f>
        <v/>
      </c>
      <c r="H789" s="159">
        <f>IFERROR(IF(INDEX('CONTROLE PRODUÇÃO POR EMPRESAS'!$B$6:$G$5000,MATCH($A789,'CONTROLE PRODUÇÃO POR EMPRESAS'!$A$6:$A$5000,0),MOD(ROW()-2,6)+1)="","",IFERROR(1*INDEX('CONTROLE PRODUÇÃO POR EMPRESAS'!$B$6:$G$5000,MATCH($A789,'CONTROLE PRODUÇÃO POR EMPRESAS'!$A$6:$A$5000,0),MOD(ROW()-2,6)+1),"")),"")</f>
        <v/>
      </c>
      <c r="I789" s="159">
        <f>IF(OR(NOT(ISNUMBER(G789)),NOT(ISNUMBER(H789))),"",H789-G789)</f>
        <v/>
      </c>
      <c r="J789" s="319">
        <f>IF(OR(NOT(ISNUMBER(G789)),NOT(ISNUMBER(H789)),G789=0),"",I789/G789)</f>
        <v/>
      </c>
      <c r="K789" s="319">
        <f>IF(OR(NOT(ISNUMBER(G789)),NOT(ISNUMBER(H789)),G789=0),"",H789/G789)</f>
        <v/>
      </c>
      <c r="L789">
        <f>IF(NOT(ISNUMBER(G789)),"SEM META",IF(G789=0,"SEM META",IF(NOT(ISNUMBER(H789)),"SEM APONTAMENTO",IF(H789&gt;=G789,"VERDE",IF(H789&gt;=G789*0.9,"AMARELO","VERMELHO")))))</f>
        <v/>
      </c>
      <c r="M789" s="162" t="n"/>
      <c r="N789" s="162" t="n"/>
      <c r="O789" s="162" t="n"/>
      <c r="P789" s="162" t="n"/>
      <c r="Q789" s="320" t="n"/>
      <c r="R789" s="162" t="inlineStr">
        <is>
          <t>CONTROLE PRODUÇÃO POR EMPRESAS!C137</t>
        </is>
      </c>
    </row>
    <row r="790" ht="28.5" customHeight="1">
      <c r="A790" s="317" t="n">
        <v>46354</v>
      </c>
      <c r="B790" t="inlineStr">
        <is>
          <t>GERAL</t>
        </is>
      </c>
      <c r="C790" t="inlineStr">
        <is>
          <t>EJ</t>
        </is>
      </c>
      <c r="D790" t="inlineStr">
        <is>
          <t>VIGAS</t>
        </is>
      </c>
      <c r="F790" s="159">
        <f>IFERROR(INDEX('BASE METAS DIÁRIAS'!$N$2:$S$358,MATCH($A790,'BASE METAS DIÁRIAS'!$A$2:$A$358,0),MOD(ROW()-2,6)+1),"")</f>
        <v/>
      </c>
      <c r="G790" s="159">
        <f>IFERROR(IF(WEEKDAY($A790,2)&lt;=INDEX('BASE METAS DIÁRIAS'!$H$2:$M$358,MATCH($A790,'BASE METAS DIÁRIAS'!$A$2:$A$358,0),MOD(ROW()-2,6)+1),INDEX('BASE METAS DIÁRIAS'!$B$2:$G$358,MATCH($A790,'BASE METAS DIÁRIAS'!$A$2:$A$358,0),MOD(ROW()-2,6)+1),""),"")</f>
        <v/>
      </c>
      <c r="H790" s="159">
        <f>IFERROR(IF(INDEX('CONTROLE PRODUÇÃO POR EMPRESAS'!$B$6:$G$5000,MATCH($A790,'CONTROLE PRODUÇÃO POR EMPRESAS'!$A$6:$A$5000,0),MOD(ROW()-2,6)+1)="","",IFERROR(1*INDEX('CONTROLE PRODUÇÃO POR EMPRESAS'!$B$6:$G$5000,MATCH($A790,'CONTROLE PRODUÇÃO POR EMPRESAS'!$A$6:$A$5000,0),MOD(ROW()-2,6)+1),"")),"")</f>
        <v/>
      </c>
      <c r="I790" s="159">
        <f>IF(OR(NOT(ISNUMBER(G790)),NOT(ISNUMBER(H790))),"",H790-G790)</f>
        <v/>
      </c>
      <c r="J790" s="319">
        <f>IF(OR(NOT(ISNUMBER(G790)),NOT(ISNUMBER(H790)),G790=0),"",I790/G790)</f>
        <v/>
      </c>
      <c r="K790" s="319">
        <f>IF(OR(NOT(ISNUMBER(G790)),NOT(ISNUMBER(H790)),G790=0),"",H790/G790)</f>
        <v/>
      </c>
      <c r="L790">
        <f>IF(NOT(ISNUMBER(G790)),"SEM META",IF(G790=0,"SEM META",IF(NOT(ISNUMBER(H790)),"SEM APONTAMENTO",IF(H790&gt;=G790,"VERDE",IF(H790&gt;=G790*0.9,"AMARELO","VERMELHO")))))</f>
        <v/>
      </c>
      <c r="M790" s="162" t="n"/>
      <c r="N790" s="162" t="n"/>
      <c r="O790" s="162" t="n"/>
      <c r="P790" s="162" t="n"/>
      <c r="Q790" s="320" t="n"/>
      <c r="R790" s="162" t="inlineStr">
        <is>
          <t>CONTROLE PRODUÇÃO POR EMPRESAS!D137</t>
        </is>
      </c>
    </row>
    <row r="791" ht="28.5" customHeight="1">
      <c r="A791" s="317" t="n">
        <v>46354</v>
      </c>
      <c r="B791" t="inlineStr">
        <is>
          <t>GERAL</t>
        </is>
      </c>
      <c r="C791" t="inlineStr">
        <is>
          <t>CMM</t>
        </is>
      </c>
      <c r="D791" t="inlineStr">
        <is>
          <t>PREMONTAGEM</t>
        </is>
      </c>
      <c r="F791" s="159">
        <f>IFERROR(INDEX('BASE METAS DIÁRIAS'!$N$2:$S$358,MATCH($A791,'BASE METAS DIÁRIAS'!$A$2:$A$358,0),MOD(ROW()-2,6)+1),"")</f>
        <v/>
      </c>
      <c r="G791" s="159">
        <f>IFERROR(IF(WEEKDAY($A791,2)&lt;=INDEX('BASE METAS DIÁRIAS'!$H$2:$M$358,MATCH($A791,'BASE METAS DIÁRIAS'!$A$2:$A$358,0),MOD(ROW()-2,6)+1),INDEX('BASE METAS DIÁRIAS'!$B$2:$G$358,MATCH($A791,'BASE METAS DIÁRIAS'!$A$2:$A$358,0),MOD(ROW()-2,6)+1),""),"")</f>
        <v/>
      </c>
      <c r="H791" s="159">
        <f>IFERROR(IF(INDEX('CONTROLE PRODUÇÃO POR EMPRESAS'!$B$6:$G$5000,MATCH($A791,'CONTROLE PRODUÇÃO POR EMPRESAS'!$A$6:$A$5000,0),MOD(ROW()-2,6)+1)="","",IFERROR(1*INDEX('CONTROLE PRODUÇÃO POR EMPRESAS'!$B$6:$G$5000,MATCH($A791,'CONTROLE PRODUÇÃO POR EMPRESAS'!$A$6:$A$5000,0),MOD(ROW()-2,6)+1),"")),"")</f>
        <v/>
      </c>
      <c r="I791" s="159">
        <f>IF(OR(NOT(ISNUMBER(G791)),NOT(ISNUMBER(H791))),"",H791-G791)</f>
        <v/>
      </c>
      <c r="J791" s="319">
        <f>IF(OR(NOT(ISNUMBER(G791)),NOT(ISNUMBER(H791)),G791=0),"",I791/G791)</f>
        <v/>
      </c>
      <c r="K791" s="319">
        <f>IF(OR(NOT(ISNUMBER(G791)),NOT(ISNUMBER(H791)),G791=0),"",H791/G791)</f>
        <v/>
      </c>
      <c r="L791">
        <f>IF(NOT(ISNUMBER(G791)),"SEM META",IF(G791=0,"SEM META",IF(NOT(ISNUMBER(H791)),"SEM APONTAMENTO",IF(H791&gt;=G791,"VERDE",IF(H791&gt;=G791*0.9,"AMARELO","VERMELHO")))))</f>
        <v/>
      </c>
      <c r="M791" s="162" t="n"/>
      <c r="N791" s="162" t="n"/>
      <c r="O791" s="162" t="n"/>
      <c r="P791" s="162" t="n"/>
      <c r="Q791" s="320" t="n"/>
      <c r="R791" s="162" t="inlineStr">
        <is>
          <t>CONTROLE PRODUÇÃO POR EMPRESAS!E137</t>
        </is>
      </c>
    </row>
    <row r="792" ht="28.5" customHeight="1">
      <c r="A792" s="317" t="n">
        <v>46354</v>
      </c>
      <c r="B792" t="inlineStr">
        <is>
          <t>GERAL</t>
        </is>
      </c>
      <c r="C792" t="inlineStr">
        <is>
          <t>CMM</t>
        </is>
      </c>
      <c r="D792" t="inlineStr">
        <is>
          <t>IÇAMENTO JOIST</t>
        </is>
      </c>
      <c r="F792" s="159">
        <f>IFERROR(INDEX('BASE METAS DIÁRIAS'!$N$2:$S$358,MATCH($A792,'BASE METAS DIÁRIAS'!$A$2:$A$358,0),MOD(ROW()-2,6)+1),"")</f>
        <v/>
      </c>
      <c r="G792" s="159">
        <f>IFERROR(IF(WEEKDAY($A792,2)&lt;=INDEX('BASE METAS DIÁRIAS'!$H$2:$M$358,MATCH($A792,'BASE METAS DIÁRIAS'!$A$2:$A$358,0),MOD(ROW()-2,6)+1),INDEX('BASE METAS DIÁRIAS'!$B$2:$G$358,MATCH($A792,'BASE METAS DIÁRIAS'!$A$2:$A$358,0),MOD(ROW()-2,6)+1),""),"")</f>
        <v/>
      </c>
      <c r="H792" s="159">
        <f>IFERROR(IF(INDEX('CONTROLE PRODUÇÃO POR EMPRESAS'!$B$6:$G$5000,MATCH($A792,'CONTROLE PRODUÇÃO POR EMPRESAS'!$A$6:$A$5000,0),MOD(ROW()-2,6)+1)="","",IFERROR(1*INDEX('CONTROLE PRODUÇÃO POR EMPRESAS'!$B$6:$G$5000,MATCH($A792,'CONTROLE PRODUÇÃO POR EMPRESAS'!$A$6:$A$5000,0),MOD(ROW()-2,6)+1),"")),"")</f>
        <v/>
      </c>
      <c r="I792" s="159">
        <f>IF(OR(NOT(ISNUMBER(G792)),NOT(ISNUMBER(H792))),"",H792-G792)</f>
        <v/>
      </c>
      <c r="J792" s="319">
        <f>IF(OR(NOT(ISNUMBER(G792)),NOT(ISNUMBER(H792)),G792=0),"",I792/G792)</f>
        <v/>
      </c>
      <c r="K792" s="319">
        <f>IF(OR(NOT(ISNUMBER(G792)),NOT(ISNUMBER(H792)),G792=0),"",H792/G792)</f>
        <v/>
      </c>
      <c r="L792">
        <f>IF(NOT(ISNUMBER(G792)),"SEM META",IF(G792=0,"SEM META",IF(NOT(ISNUMBER(H792)),"SEM APONTAMENTO",IF(H792&gt;=G792,"VERDE",IF(H792&gt;=G792*0.9,"AMARELO","VERMELHO")))))</f>
        <v/>
      </c>
      <c r="M792" s="162" t="n"/>
      <c r="N792" s="162" t="n"/>
      <c r="O792" s="162" t="n"/>
      <c r="P792" s="162" t="n"/>
      <c r="Q792" s="320" t="n"/>
      <c r="R792" s="162" t="inlineStr">
        <is>
          <t>CONTROLE PRODUÇÃO POR EMPRESAS!F137</t>
        </is>
      </c>
    </row>
    <row r="793" ht="28.5" customHeight="1">
      <c r="A793" s="317" t="n">
        <v>46354</v>
      </c>
      <c r="B793" t="inlineStr">
        <is>
          <t>GERAL</t>
        </is>
      </c>
      <c r="C793" t="inlineStr">
        <is>
          <t>CMM</t>
        </is>
      </c>
      <c r="D793" t="inlineStr">
        <is>
          <t>VIGAS</t>
        </is>
      </c>
      <c r="F793" s="159">
        <f>IFERROR(INDEX('BASE METAS DIÁRIAS'!$N$2:$S$358,MATCH($A793,'BASE METAS DIÁRIAS'!$A$2:$A$358,0),MOD(ROW()-2,6)+1),"")</f>
        <v/>
      </c>
      <c r="G793" s="159">
        <f>IFERROR(IF(WEEKDAY($A793,2)&lt;=INDEX('BASE METAS DIÁRIAS'!$H$2:$M$358,MATCH($A793,'BASE METAS DIÁRIAS'!$A$2:$A$358,0),MOD(ROW()-2,6)+1),INDEX('BASE METAS DIÁRIAS'!$B$2:$G$358,MATCH($A793,'BASE METAS DIÁRIAS'!$A$2:$A$358,0),MOD(ROW()-2,6)+1),""),"")</f>
        <v/>
      </c>
      <c r="H793" s="159">
        <f>IFERROR(IF(INDEX('CONTROLE PRODUÇÃO POR EMPRESAS'!$B$6:$G$5000,MATCH($A793,'CONTROLE PRODUÇÃO POR EMPRESAS'!$A$6:$A$5000,0),MOD(ROW()-2,6)+1)="","",IFERROR(1*INDEX('CONTROLE PRODUÇÃO POR EMPRESAS'!$B$6:$G$5000,MATCH($A793,'CONTROLE PRODUÇÃO POR EMPRESAS'!$A$6:$A$5000,0),MOD(ROW()-2,6)+1),"")),"")</f>
        <v/>
      </c>
      <c r="I793" s="159">
        <f>IF(OR(NOT(ISNUMBER(G793)),NOT(ISNUMBER(H793))),"",H793-G793)</f>
        <v/>
      </c>
      <c r="J793" s="319">
        <f>IF(OR(NOT(ISNUMBER(G793)),NOT(ISNUMBER(H793)),G793=0),"",I793/G793)</f>
        <v/>
      </c>
      <c r="K793" s="319">
        <f>IF(OR(NOT(ISNUMBER(G793)),NOT(ISNUMBER(H793)),G793=0),"",H793/G793)</f>
        <v/>
      </c>
      <c r="L793">
        <f>IF(NOT(ISNUMBER(G793)),"SEM META",IF(G793=0,"SEM META",IF(NOT(ISNUMBER(H793)),"SEM APONTAMENTO",IF(H793&gt;=G793,"VERDE",IF(H793&gt;=G793*0.9,"AMARELO","VERMELHO")))))</f>
        <v/>
      </c>
      <c r="M793" s="162" t="n"/>
      <c r="N793" s="162" t="n"/>
      <c r="O793" s="162" t="n"/>
      <c r="P793" s="162" t="n"/>
      <c r="Q793" s="320" t="n"/>
      <c r="R793" s="162" t="inlineStr">
        <is>
          <t>CONTROLE PRODUÇÃO POR EMPRESAS!G137</t>
        </is>
      </c>
    </row>
    <row r="794" ht="28.5" customHeight="1">
      <c r="A794" s="317" t="n">
        <v>46355</v>
      </c>
      <c r="B794" t="inlineStr">
        <is>
          <t>GERAL</t>
        </is>
      </c>
      <c r="C794" t="inlineStr">
        <is>
          <t>EJ</t>
        </is>
      </c>
      <c r="D794" t="inlineStr">
        <is>
          <t>PREMONTAGEM</t>
        </is>
      </c>
      <c r="F794" s="159">
        <f>IFERROR(INDEX('BASE METAS DIÁRIAS'!$N$2:$S$358,MATCH($A794,'BASE METAS DIÁRIAS'!$A$2:$A$358,0),MOD(ROW()-2,6)+1),"")</f>
        <v/>
      </c>
      <c r="G794" s="159">
        <f>IFERROR(IF(WEEKDAY($A794,2)&lt;=INDEX('BASE METAS DIÁRIAS'!$H$2:$M$358,MATCH($A794,'BASE METAS DIÁRIAS'!$A$2:$A$358,0),MOD(ROW()-2,6)+1),INDEX('BASE METAS DIÁRIAS'!$B$2:$G$358,MATCH($A794,'BASE METAS DIÁRIAS'!$A$2:$A$358,0),MOD(ROW()-2,6)+1),""),"")</f>
        <v/>
      </c>
      <c r="H794" s="159">
        <f>IFERROR(IF(INDEX('CONTROLE PRODUÇÃO POR EMPRESAS'!$B$6:$G$5000,MATCH($A794,'CONTROLE PRODUÇÃO POR EMPRESAS'!$A$6:$A$5000,0),MOD(ROW()-2,6)+1)="","",IFERROR(1*INDEX('CONTROLE PRODUÇÃO POR EMPRESAS'!$B$6:$G$5000,MATCH($A794,'CONTROLE PRODUÇÃO POR EMPRESAS'!$A$6:$A$5000,0),MOD(ROW()-2,6)+1),"")),"")</f>
        <v/>
      </c>
      <c r="I794" s="159">
        <f>IF(OR(NOT(ISNUMBER(G794)),NOT(ISNUMBER(H794))),"",H794-G794)</f>
        <v/>
      </c>
      <c r="J794" s="319">
        <f>IF(OR(NOT(ISNUMBER(G794)),NOT(ISNUMBER(H794)),G794=0),"",I794/G794)</f>
        <v/>
      </c>
      <c r="K794" s="319">
        <f>IF(OR(NOT(ISNUMBER(G794)),NOT(ISNUMBER(H794)),G794=0),"",H794/G794)</f>
        <v/>
      </c>
      <c r="L794">
        <f>IF(NOT(ISNUMBER(G794)),"SEM META",IF(G794=0,"SEM META",IF(NOT(ISNUMBER(H794)),"SEM APONTAMENTO",IF(H794&gt;=G794,"VERDE",IF(H794&gt;=G794*0.9,"AMARELO","VERMELHO")))))</f>
        <v/>
      </c>
      <c r="M794" s="162" t="n"/>
      <c r="N794" s="162" t="n"/>
      <c r="O794" s="162" t="n"/>
      <c r="P794" s="162" t="n"/>
      <c r="Q794" s="320" t="n"/>
      <c r="R794" s="162" t="inlineStr">
        <is>
          <t>CONTROLE PRODUÇÃO POR EMPRESAS!B138</t>
        </is>
      </c>
    </row>
    <row r="795" ht="28.5" customHeight="1">
      <c r="A795" s="317" t="n">
        <v>46355</v>
      </c>
      <c r="B795" t="inlineStr">
        <is>
          <t>GERAL</t>
        </is>
      </c>
      <c r="C795" t="inlineStr">
        <is>
          <t>EJ</t>
        </is>
      </c>
      <c r="D795" t="inlineStr">
        <is>
          <t>IÇAMENTO JOIST</t>
        </is>
      </c>
      <c r="F795" s="159">
        <f>IFERROR(INDEX('BASE METAS DIÁRIAS'!$N$2:$S$358,MATCH($A795,'BASE METAS DIÁRIAS'!$A$2:$A$358,0),MOD(ROW()-2,6)+1),"")</f>
        <v/>
      </c>
      <c r="G795" s="159">
        <f>IFERROR(IF(WEEKDAY($A795,2)&lt;=INDEX('BASE METAS DIÁRIAS'!$H$2:$M$358,MATCH($A795,'BASE METAS DIÁRIAS'!$A$2:$A$358,0),MOD(ROW()-2,6)+1),INDEX('BASE METAS DIÁRIAS'!$B$2:$G$358,MATCH($A795,'BASE METAS DIÁRIAS'!$A$2:$A$358,0),MOD(ROW()-2,6)+1),""),"")</f>
        <v/>
      </c>
      <c r="H795" s="159">
        <f>IFERROR(IF(INDEX('CONTROLE PRODUÇÃO POR EMPRESAS'!$B$6:$G$5000,MATCH($A795,'CONTROLE PRODUÇÃO POR EMPRESAS'!$A$6:$A$5000,0),MOD(ROW()-2,6)+1)="","",IFERROR(1*INDEX('CONTROLE PRODUÇÃO POR EMPRESAS'!$B$6:$G$5000,MATCH($A795,'CONTROLE PRODUÇÃO POR EMPRESAS'!$A$6:$A$5000,0),MOD(ROW()-2,6)+1),"")),"")</f>
        <v/>
      </c>
      <c r="I795" s="159">
        <f>IF(OR(NOT(ISNUMBER(G795)),NOT(ISNUMBER(H795))),"",H795-G795)</f>
        <v/>
      </c>
      <c r="J795" s="319">
        <f>IF(OR(NOT(ISNUMBER(G795)),NOT(ISNUMBER(H795)),G795=0),"",I795/G795)</f>
        <v/>
      </c>
      <c r="K795" s="319">
        <f>IF(OR(NOT(ISNUMBER(G795)),NOT(ISNUMBER(H795)),G795=0),"",H795/G795)</f>
        <v/>
      </c>
      <c r="L795">
        <f>IF(NOT(ISNUMBER(G795)),"SEM META",IF(G795=0,"SEM META",IF(NOT(ISNUMBER(H795)),"SEM APONTAMENTO",IF(H795&gt;=G795,"VERDE",IF(H795&gt;=G795*0.9,"AMARELO","VERMELHO")))))</f>
        <v/>
      </c>
      <c r="M795" s="162" t="n"/>
      <c r="N795" s="162" t="n"/>
      <c r="O795" s="162" t="n"/>
      <c r="P795" s="162" t="n"/>
      <c r="Q795" s="320" t="n"/>
      <c r="R795" s="162" t="inlineStr">
        <is>
          <t>CONTROLE PRODUÇÃO POR EMPRESAS!C138</t>
        </is>
      </c>
    </row>
    <row r="796" ht="28.5" customHeight="1">
      <c r="A796" s="317" t="n">
        <v>46355</v>
      </c>
      <c r="B796" t="inlineStr">
        <is>
          <t>GERAL</t>
        </is>
      </c>
      <c r="C796" t="inlineStr">
        <is>
          <t>EJ</t>
        </is>
      </c>
      <c r="D796" t="inlineStr">
        <is>
          <t>VIGAS</t>
        </is>
      </c>
      <c r="F796" s="159">
        <f>IFERROR(INDEX('BASE METAS DIÁRIAS'!$N$2:$S$358,MATCH($A796,'BASE METAS DIÁRIAS'!$A$2:$A$358,0),MOD(ROW()-2,6)+1),"")</f>
        <v/>
      </c>
      <c r="G796" s="159">
        <f>IFERROR(IF(WEEKDAY($A796,2)&lt;=INDEX('BASE METAS DIÁRIAS'!$H$2:$M$358,MATCH($A796,'BASE METAS DIÁRIAS'!$A$2:$A$358,0),MOD(ROW()-2,6)+1),INDEX('BASE METAS DIÁRIAS'!$B$2:$G$358,MATCH($A796,'BASE METAS DIÁRIAS'!$A$2:$A$358,0),MOD(ROW()-2,6)+1),""),"")</f>
        <v/>
      </c>
      <c r="H796" s="159">
        <f>IFERROR(IF(INDEX('CONTROLE PRODUÇÃO POR EMPRESAS'!$B$6:$G$5000,MATCH($A796,'CONTROLE PRODUÇÃO POR EMPRESAS'!$A$6:$A$5000,0),MOD(ROW()-2,6)+1)="","",IFERROR(1*INDEX('CONTROLE PRODUÇÃO POR EMPRESAS'!$B$6:$G$5000,MATCH($A796,'CONTROLE PRODUÇÃO POR EMPRESAS'!$A$6:$A$5000,0),MOD(ROW()-2,6)+1),"")),"")</f>
        <v/>
      </c>
      <c r="I796" s="159">
        <f>IF(OR(NOT(ISNUMBER(G796)),NOT(ISNUMBER(H796))),"",H796-G796)</f>
        <v/>
      </c>
      <c r="J796" s="319">
        <f>IF(OR(NOT(ISNUMBER(G796)),NOT(ISNUMBER(H796)),G796=0),"",I796/G796)</f>
        <v/>
      </c>
      <c r="K796" s="319">
        <f>IF(OR(NOT(ISNUMBER(G796)),NOT(ISNUMBER(H796)),G796=0),"",H796/G796)</f>
        <v/>
      </c>
      <c r="L796">
        <f>IF(NOT(ISNUMBER(G796)),"SEM META",IF(G796=0,"SEM META",IF(NOT(ISNUMBER(H796)),"SEM APONTAMENTO",IF(H796&gt;=G796,"VERDE",IF(H796&gt;=G796*0.9,"AMARELO","VERMELHO")))))</f>
        <v/>
      </c>
      <c r="M796" s="162" t="n"/>
      <c r="N796" s="162" t="n"/>
      <c r="O796" s="162" t="n"/>
      <c r="P796" s="162" t="n"/>
      <c r="Q796" s="320" t="n"/>
      <c r="R796" s="162" t="inlineStr">
        <is>
          <t>CONTROLE PRODUÇÃO POR EMPRESAS!D138</t>
        </is>
      </c>
    </row>
    <row r="797" ht="28.5" customHeight="1">
      <c r="A797" s="317" t="n">
        <v>46355</v>
      </c>
      <c r="B797" t="inlineStr">
        <is>
          <t>GERAL</t>
        </is>
      </c>
      <c r="C797" t="inlineStr">
        <is>
          <t>CMM</t>
        </is>
      </c>
      <c r="D797" t="inlineStr">
        <is>
          <t>PREMONTAGEM</t>
        </is>
      </c>
      <c r="F797" s="159">
        <f>IFERROR(INDEX('BASE METAS DIÁRIAS'!$N$2:$S$358,MATCH($A797,'BASE METAS DIÁRIAS'!$A$2:$A$358,0),MOD(ROW()-2,6)+1),"")</f>
        <v/>
      </c>
      <c r="G797" s="159">
        <f>IFERROR(IF(WEEKDAY($A797,2)&lt;=INDEX('BASE METAS DIÁRIAS'!$H$2:$M$358,MATCH($A797,'BASE METAS DIÁRIAS'!$A$2:$A$358,0),MOD(ROW()-2,6)+1),INDEX('BASE METAS DIÁRIAS'!$B$2:$G$358,MATCH($A797,'BASE METAS DIÁRIAS'!$A$2:$A$358,0),MOD(ROW()-2,6)+1),""),"")</f>
        <v/>
      </c>
      <c r="H797" s="159">
        <f>IFERROR(IF(INDEX('CONTROLE PRODUÇÃO POR EMPRESAS'!$B$6:$G$5000,MATCH($A797,'CONTROLE PRODUÇÃO POR EMPRESAS'!$A$6:$A$5000,0),MOD(ROW()-2,6)+1)="","",IFERROR(1*INDEX('CONTROLE PRODUÇÃO POR EMPRESAS'!$B$6:$G$5000,MATCH($A797,'CONTROLE PRODUÇÃO POR EMPRESAS'!$A$6:$A$5000,0),MOD(ROW()-2,6)+1),"")),"")</f>
        <v/>
      </c>
      <c r="I797" s="159">
        <f>IF(OR(NOT(ISNUMBER(G797)),NOT(ISNUMBER(H797))),"",H797-G797)</f>
        <v/>
      </c>
      <c r="J797" s="319">
        <f>IF(OR(NOT(ISNUMBER(G797)),NOT(ISNUMBER(H797)),G797=0),"",I797/G797)</f>
        <v/>
      </c>
      <c r="K797" s="319">
        <f>IF(OR(NOT(ISNUMBER(G797)),NOT(ISNUMBER(H797)),G797=0),"",H797/G797)</f>
        <v/>
      </c>
      <c r="L797">
        <f>IF(NOT(ISNUMBER(G797)),"SEM META",IF(G797=0,"SEM META",IF(NOT(ISNUMBER(H797)),"SEM APONTAMENTO",IF(H797&gt;=G797,"VERDE",IF(H797&gt;=G797*0.9,"AMARELO","VERMELHO")))))</f>
        <v/>
      </c>
      <c r="M797" s="162" t="n"/>
      <c r="N797" s="162" t="n"/>
      <c r="O797" s="162" t="n"/>
      <c r="P797" s="162" t="n"/>
      <c r="Q797" s="320" t="n"/>
      <c r="R797" s="162" t="inlineStr">
        <is>
          <t>CONTROLE PRODUÇÃO POR EMPRESAS!E138</t>
        </is>
      </c>
    </row>
    <row r="798" ht="28.5" customHeight="1">
      <c r="A798" s="317" t="n">
        <v>46355</v>
      </c>
      <c r="B798" t="inlineStr">
        <is>
          <t>GERAL</t>
        </is>
      </c>
      <c r="C798" t="inlineStr">
        <is>
          <t>CMM</t>
        </is>
      </c>
      <c r="D798" t="inlineStr">
        <is>
          <t>IÇAMENTO JOIST</t>
        </is>
      </c>
      <c r="F798" s="159">
        <f>IFERROR(INDEX('BASE METAS DIÁRIAS'!$N$2:$S$358,MATCH($A798,'BASE METAS DIÁRIAS'!$A$2:$A$358,0),MOD(ROW()-2,6)+1),"")</f>
        <v/>
      </c>
      <c r="G798" s="159">
        <f>IFERROR(IF(WEEKDAY($A798,2)&lt;=INDEX('BASE METAS DIÁRIAS'!$H$2:$M$358,MATCH($A798,'BASE METAS DIÁRIAS'!$A$2:$A$358,0),MOD(ROW()-2,6)+1),INDEX('BASE METAS DIÁRIAS'!$B$2:$G$358,MATCH($A798,'BASE METAS DIÁRIAS'!$A$2:$A$358,0),MOD(ROW()-2,6)+1),""),"")</f>
        <v/>
      </c>
      <c r="H798" s="159">
        <f>IFERROR(IF(INDEX('CONTROLE PRODUÇÃO POR EMPRESAS'!$B$6:$G$5000,MATCH($A798,'CONTROLE PRODUÇÃO POR EMPRESAS'!$A$6:$A$5000,0),MOD(ROW()-2,6)+1)="","",IFERROR(1*INDEX('CONTROLE PRODUÇÃO POR EMPRESAS'!$B$6:$G$5000,MATCH($A798,'CONTROLE PRODUÇÃO POR EMPRESAS'!$A$6:$A$5000,0),MOD(ROW()-2,6)+1),"")),"")</f>
        <v/>
      </c>
      <c r="I798" s="159">
        <f>IF(OR(NOT(ISNUMBER(G798)),NOT(ISNUMBER(H798))),"",H798-G798)</f>
        <v/>
      </c>
      <c r="J798" s="319">
        <f>IF(OR(NOT(ISNUMBER(G798)),NOT(ISNUMBER(H798)),G798=0),"",I798/G798)</f>
        <v/>
      </c>
      <c r="K798" s="319">
        <f>IF(OR(NOT(ISNUMBER(G798)),NOT(ISNUMBER(H798)),G798=0),"",H798/G798)</f>
        <v/>
      </c>
      <c r="L798">
        <f>IF(NOT(ISNUMBER(G798)),"SEM META",IF(G798=0,"SEM META",IF(NOT(ISNUMBER(H798)),"SEM APONTAMENTO",IF(H798&gt;=G798,"VERDE",IF(H798&gt;=G798*0.9,"AMARELO","VERMELHO")))))</f>
        <v/>
      </c>
      <c r="M798" s="162" t="n"/>
      <c r="N798" s="162" t="n"/>
      <c r="O798" s="162" t="n"/>
      <c r="P798" s="162" t="n"/>
      <c r="Q798" s="320" t="n"/>
      <c r="R798" s="162" t="inlineStr">
        <is>
          <t>CONTROLE PRODUÇÃO POR EMPRESAS!F138</t>
        </is>
      </c>
    </row>
    <row r="799" ht="28.5" customHeight="1">
      <c r="A799" s="317" t="n">
        <v>46355</v>
      </c>
      <c r="B799" t="inlineStr">
        <is>
          <t>GERAL</t>
        </is>
      </c>
      <c r="C799" t="inlineStr">
        <is>
          <t>CMM</t>
        </is>
      </c>
      <c r="D799" t="inlineStr">
        <is>
          <t>VIGAS</t>
        </is>
      </c>
      <c r="F799" s="159">
        <f>IFERROR(INDEX('BASE METAS DIÁRIAS'!$N$2:$S$358,MATCH($A799,'BASE METAS DIÁRIAS'!$A$2:$A$358,0),MOD(ROW()-2,6)+1),"")</f>
        <v/>
      </c>
      <c r="G799" s="159">
        <f>IFERROR(IF(WEEKDAY($A799,2)&lt;=INDEX('BASE METAS DIÁRIAS'!$H$2:$M$358,MATCH($A799,'BASE METAS DIÁRIAS'!$A$2:$A$358,0),MOD(ROW()-2,6)+1),INDEX('BASE METAS DIÁRIAS'!$B$2:$G$358,MATCH($A799,'BASE METAS DIÁRIAS'!$A$2:$A$358,0),MOD(ROW()-2,6)+1),""),"")</f>
        <v/>
      </c>
      <c r="H799" s="159">
        <f>IFERROR(IF(INDEX('CONTROLE PRODUÇÃO POR EMPRESAS'!$B$6:$G$5000,MATCH($A799,'CONTROLE PRODUÇÃO POR EMPRESAS'!$A$6:$A$5000,0),MOD(ROW()-2,6)+1)="","",IFERROR(1*INDEX('CONTROLE PRODUÇÃO POR EMPRESAS'!$B$6:$G$5000,MATCH($A799,'CONTROLE PRODUÇÃO POR EMPRESAS'!$A$6:$A$5000,0),MOD(ROW()-2,6)+1),"")),"")</f>
        <v/>
      </c>
      <c r="I799" s="159">
        <f>IF(OR(NOT(ISNUMBER(G799)),NOT(ISNUMBER(H799))),"",H799-G799)</f>
        <v/>
      </c>
      <c r="J799" s="319">
        <f>IF(OR(NOT(ISNUMBER(G799)),NOT(ISNUMBER(H799)),G799=0),"",I799/G799)</f>
        <v/>
      </c>
      <c r="K799" s="319">
        <f>IF(OR(NOT(ISNUMBER(G799)),NOT(ISNUMBER(H799)),G799=0),"",H799/G799)</f>
        <v/>
      </c>
      <c r="L799">
        <f>IF(NOT(ISNUMBER(G799)),"SEM META",IF(G799=0,"SEM META",IF(NOT(ISNUMBER(H799)),"SEM APONTAMENTO",IF(H799&gt;=G799,"VERDE",IF(H799&gt;=G799*0.9,"AMARELO","VERMELHO")))))</f>
        <v/>
      </c>
      <c r="M799" s="162" t="n"/>
      <c r="N799" s="162" t="n"/>
      <c r="O799" s="162" t="n"/>
      <c r="P799" s="162" t="n"/>
      <c r="Q799" s="320" t="n"/>
      <c r="R799" s="162" t="inlineStr">
        <is>
          <t>CONTROLE PRODUÇÃO POR EMPRESAS!G138</t>
        </is>
      </c>
    </row>
    <row r="800" ht="28.5" customHeight="1">
      <c r="A800" s="317" t="n">
        <v>46356</v>
      </c>
      <c r="B800" t="inlineStr">
        <is>
          <t>GERAL</t>
        </is>
      </c>
      <c r="C800" t="inlineStr">
        <is>
          <t>EJ</t>
        </is>
      </c>
      <c r="D800" t="inlineStr">
        <is>
          <t>PREMONTAGEM</t>
        </is>
      </c>
      <c r="F800" s="159">
        <f>IFERROR(INDEX('BASE METAS DIÁRIAS'!$N$2:$S$358,MATCH($A800,'BASE METAS DIÁRIAS'!$A$2:$A$358,0),MOD(ROW()-2,6)+1),"")</f>
        <v/>
      </c>
      <c r="G800" s="159">
        <f>IFERROR(IF(WEEKDAY($A800,2)&lt;=INDEX('BASE METAS DIÁRIAS'!$H$2:$M$358,MATCH($A800,'BASE METAS DIÁRIAS'!$A$2:$A$358,0),MOD(ROW()-2,6)+1),INDEX('BASE METAS DIÁRIAS'!$B$2:$G$358,MATCH($A800,'BASE METAS DIÁRIAS'!$A$2:$A$358,0),MOD(ROW()-2,6)+1),""),"")</f>
        <v/>
      </c>
      <c r="H800" s="159">
        <f>IFERROR(IF(INDEX('CONTROLE PRODUÇÃO POR EMPRESAS'!$B$6:$G$5000,MATCH($A800,'CONTROLE PRODUÇÃO POR EMPRESAS'!$A$6:$A$5000,0),MOD(ROW()-2,6)+1)="","",IFERROR(1*INDEX('CONTROLE PRODUÇÃO POR EMPRESAS'!$B$6:$G$5000,MATCH($A800,'CONTROLE PRODUÇÃO POR EMPRESAS'!$A$6:$A$5000,0),MOD(ROW()-2,6)+1),"")),"")</f>
        <v/>
      </c>
      <c r="I800" s="159">
        <f>IF(OR(NOT(ISNUMBER(G800)),NOT(ISNUMBER(H800))),"",H800-G800)</f>
        <v/>
      </c>
      <c r="J800" s="319">
        <f>IF(OR(NOT(ISNUMBER(G800)),NOT(ISNUMBER(H800)),G800=0),"",I800/G800)</f>
        <v/>
      </c>
      <c r="K800" s="319">
        <f>IF(OR(NOT(ISNUMBER(G800)),NOT(ISNUMBER(H800)),G800=0),"",H800/G800)</f>
        <v/>
      </c>
      <c r="L800">
        <f>IF(NOT(ISNUMBER(G800)),"SEM META",IF(G800=0,"SEM META",IF(NOT(ISNUMBER(H800)),"SEM APONTAMENTO",IF(H800&gt;=G800,"VERDE",IF(H800&gt;=G800*0.9,"AMARELO","VERMELHO")))))</f>
        <v/>
      </c>
      <c r="M800" s="162" t="n"/>
      <c r="N800" s="162" t="n"/>
      <c r="O800" s="162" t="n"/>
      <c r="P800" s="162" t="n"/>
      <c r="Q800" s="320" t="n"/>
      <c r="R800" s="162" t="inlineStr">
        <is>
          <t>CONTROLE PRODUÇÃO POR EMPRESAS!B139</t>
        </is>
      </c>
    </row>
    <row r="801" ht="28.5" customHeight="1">
      <c r="A801" s="317" t="n">
        <v>46356</v>
      </c>
      <c r="B801" t="inlineStr">
        <is>
          <t>GERAL</t>
        </is>
      </c>
      <c r="C801" t="inlineStr">
        <is>
          <t>EJ</t>
        </is>
      </c>
      <c r="D801" t="inlineStr">
        <is>
          <t>IÇAMENTO JOIST</t>
        </is>
      </c>
      <c r="F801" s="159">
        <f>IFERROR(INDEX('BASE METAS DIÁRIAS'!$N$2:$S$358,MATCH($A801,'BASE METAS DIÁRIAS'!$A$2:$A$358,0),MOD(ROW()-2,6)+1),"")</f>
        <v/>
      </c>
      <c r="G801" s="159">
        <f>IFERROR(IF(WEEKDAY($A801,2)&lt;=INDEX('BASE METAS DIÁRIAS'!$H$2:$M$358,MATCH($A801,'BASE METAS DIÁRIAS'!$A$2:$A$358,0),MOD(ROW()-2,6)+1),INDEX('BASE METAS DIÁRIAS'!$B$2:$G$358,MATCH($A801,'BASE METAS DIÁRIAS'!$A$2:$A$358,0),MOD(ROW()-2,6)+1),""),"")</f>
        <v/>
      </c>
      <c r="H801" s="159">
        <f>IFERROR(IF(INDEX('CONTROLE PRODUÇÃO POR EMPRESAS'!$B$6:$G$5000,MATCH($A801,'CONTROLE PRODUÇÃO POR EMPRESAS'!$A$6:$A$5000,0),MOD(ROW()-2,6)+1)="","",IFERROR(1*INDEX('CONTROLE PRODUÇÃO POR EMPRESAS'!$B$6:$G$5000,MATCH($A801,'CONTROLE PRODUÇÃO POR EMPRESAS'!$A$6:$A$5000,0),MOD(ROW()-2,6)+1),"")),"")</f>
        <v/>
      </c>
      <c r="I801" s="159">
        <f>IF(OR(NOT(ISNUMBER(G801)),NOT(ISNUMBER(H801))),"",H801-G801)</f>
        <v/>
      </c>
      <c r="J801" s="319">
        <f>IF(OR(NOT(ISNUMBER(G801)),NOT(ISNUMBER(H801)),G801=0),"",I801/G801)</f>
        <v/>
      </c>
      <c r="K801" s="319">
        <f>IF(OR(NOT(ISNUMBER(G801)),NOT(ISNUMBER(H801)),G801=0),"",H801/G801)</f>
        <v/>
      </c>
      <c r="L801">
        <f>IF(NOT(ISNUMBER(G801)),"SEM META",IF(G801=0,"SEM META",IF(NOT(ISNUMBER(H801)),"SEM APONTAMENTO",IF(H801&gt;=G801,"VERDE",IF(H801&gt;=G801*0.9,"AMARELO","VERMELHO")))))</f>
        <v/>
      </c>
      <c r="M801" s="162" t="n"/>
      <c r="N801" s="162" t="n"/>
      <c r="O801" s="162" t="n"/>
      <c r="P801" s="162" t="n"/>
      <c r="Q801" s="320" t="n"/>
      <c r="R801" s="162" t="inlineStr">
        <is>
          <t>CONTROLE PRODUÇÃO POR EMPRESAS!C139</t>
        </is>
      </c>
    </row>
    <row r="802" ht="28.5" customHeight="1">
      <c r="A802" s="317" t="n">
        <v>46356</v>
      </c>
      <c r="B802" t="inlineStr">
        <is>
          <t>GERAL</t>
        </is>
      </c>
      <c r="C802" t="inlineStr">
        <is>
          <t>EJ</t>
        </is>
      </c>
      <c r="D802" t="inlineStr">
        <is>
          <t>VIGAS</t>
        </is>
      </c>
      <c r="F802" s="159">
        <f>IFERROR(INDEX('BASE METAS DIÁRIAS'!$N$2:$S$358,MATCH($A802,'BASE METAS DIÁRIAS'!$A$2:$A$358,0),MOD(ROW()-2,6)+1),"")</f>
        <v/>
      </c>
      <c r="G802" s="159">
        <f>IFERROR(IF(WEEKDAY($A802,2)&lt;=INDEX('BASE METAS DIÁRIAS'!$H$2:$M$358,MATCH($A802,'BASE METAS DIÁRIAS'!$A$2:$A$358,0),MOD(ROW()-2,6)+1),INDEX('BASE METAS DIÁRIAS'!$B$2:$G$358,MATCH($A802,'BASE METAS DIÁRIAS'!$A$2:$A$358,0),MOD(ROW()-2,6)+1),""),"")</f>
        <v/>
      </c>
      <c r="H802" s="159">
        <f>IFERROR(IF(INDEX('CONTROLE PRODUÇÃO POR EMPRESAS'!$B$6:$G$5000,MATCH($A802,'CONTROLE PRODUÇÃO POR EMPRESAS'!$A$6:$A$5000,0),MOD(ROW()-2,6)+1)="","",IFERROR(1*INDEX('CONTROLE PRODUÇÃO POR EMPRESAS'!$B$6:$G$5000,MATCH($A802,'CONTROLE PRODUÇÃO POR EMPRESAS'!$A$6:$A$5000,0),MOD(ROW()-2,6)+1),"")),"")</f>
        <v/>
      </c>
      <c r="I802" s="159">
        <f>IF(OR(NOT(ISNUMBER(G802)),NOT(ISNUMBER(H802))),"",H802-G802)</f>
        <v/>
      </c>
      <c r="J802" s="319">
        <f>IF(OR(NOT(ISNUMBER(G802)),NOT(ISNUMBER(H802)),G802=0),"",I802/G802)</f>
        <v/>
      </c>
      <c r="K802" s="319">
        <f>IF(OR(NOT(ISNUMBER(G802)),NOT(ISNUMBER(H802)),G802=0),"",H802/G802)</f>
        <v/>
      </c>
      <c r="L802">
        <f>IF(NOT(ISNUMBER(G802)),"SEM META",IF(G802=0,"SEM META",IF(NOT(ISNUMBER(H802)),"SEM APONTAMENTO",IF(H802&gt;=G802,"VERDE",IF(H802&gt;=G802*0.9,"AMARELO","VERMELHO")))))</f>
        <v/>
      </c>
      <c r="M802" s="162" t="n"/>
      <c r="N802" s="162" t="n"/>
      <c r="O802" s="162" t="n"/>
      <c r="P802" s="162" t="n"/>
      <c r="Q802" s="320" t="n"/>
      <c r="R802" s="162" t="inlineStr">
        <is>
          <t>CONTROLE PRODUÇÃO POR EMPRESAS!D139</t>
        </is>
      </c>
    </row>
    <row r="803" ht="28.5" customHeight="1">
      <c r="A803" s="317" t="n">
        <v>46356</v>
      </c>
      <c r="B803" t="inlineStr">
        <is>
          <t>GERAL</t>
        </is>
      </c>
      <c r="C803" t="inlineStr">
        <is>
          <t>CMM</t>
        </is>
      </c>
      <c r="D803" t="inlineStr">
        <is>
          <t>PREMONTAGEM</t>
        </is>
      </c>
      <c r="F803" s="159">
        <f>IFERROR(INDEX('BASE METAS DIÁRIAS'!$N$2:$S$358,MATCH($A803,'BASE METAS DIÁRIAS'!$A$2:$A$358,0),MOD(ROW()-2,6)+1),"")</f>
        <v/>
      </c>
      <c r="G803" s="159">
        <f>IFERROR(IF(WEEKDAY($A803,2)&lt;=INDEX('BASE METAS DIÁRIAS'!$H$2:$M$358,MATCH($A803,'BASE METAS DIÁRIAS'!$A$2:$A$358,0),MOD(ROW()-2,6)+1),INDEX('BASE METAS DIÁRIAS'!$B$2:$G$358,MATCH($A803,'BASE METAS DIÁRIAS'!$A$2:$A$358,0),MOD(ROW()-2,6)+1),""),"")</f>
        <v/>
      </c>
      <c r="H803" s="159">
        <f>IFERROR(IF(INDEX('CONTROLE PRODUÇÃO POR EMPRESAS'!$B$6:$G$5000,MATCH($A803,'CONTROLE PRODUÇÃO POR EMPRESAS'!$A$6:$A$5000,0),MOD(ROW()-2,6)+1)="","",IFERROR(1*INDEX('CONTROLE PRODUÇÃO POR EMPRESAS'!$B$6:$G$5000,MATCH($A803,'CONTROLE PRODUÇÃO POR EMPRESAS'!$A$6:$A$5000,0),MOD(ROW()-2,6)+1),"")),"")</f>
        <v/>
      </c>
      <c r="I803" s="159">
        <f>IF(OR(NOT(ISNUMBER(G803)),NOT(ISNUMBER(H803))),"",H803-G803)</f>
        <v/>
      </c>
      <c r="J803" s="319">
        <f>IF(OR(NOT(ISNUMBER(G803)),NOT(ISNUMBER(H803)),G803=0),"",I803/G803)</f>
        <v/>
      </c>
      <c r="K803" s="319">
        <f>IF(OR(NOT(ISNUMBER(G803)),NOT(ISNUMBER(H803)),G803=0),"",H803/G803)</f>
        <v/>
      </c>
      <c r="L803">
        <f>IF(NOT(ISNUMBER(G803)),"SEM META",IF(G803=0,"SEM META",IF(NOT(ISNUMBER(H803)),"SEM APONTAMENTO",IF(H803&gt;=G803,"VERDE",IF(H803&gt;=G803*0.9,"AMARELO","VERMELHO")))))</f>
        <v/>
      </c>
      <c r="M803" s="162" t="n"/>
      <c r="N803" s="162" t="n"/>
      <c r="O803" s="162" t="n"/>
      <c r="P803" s="162" t="n"/>
      <c r="Q803" s="320" t="n"/>
      <c r="R803" s="162" t="inlineStr">
        <is>
          <t>CONTROLE PRODUÇÃO POR EMPRESAS!E139</t>
        </is>
      </c>
    </row>
    <row r="804" ht="28.5" customHeight="1">
      <c r="A804" s="317" t="n">
        <v>46356</v>
      </c>
      <c r="B804" t="inlineStr">
        <is>
          <t>GERAL</t>
        </is>
      </c>
      <c r="C804" t="inlineStr">
        <is>
          <t>CMM</t>
        </is>
      </c>
      <c r="D804" t="inlineStr">
        <is>
          <t>IÇAMENTO JOIST</t>
        </is>
      </c>
      <c r="F804" s="159">
        <f>IFERROR(INDEX('BASE METAS DIÁRIAS'!$N$2:$S$358,MATCH($A804,'BASE METAS DIÁRIAS'!$A$2:$A$358,0),MOD(ROW()-2,6)+1),"")</f>
        <v/>
      </c>
      <c r="G804" s="159">
        <f>IFERROR(IF(WEEKDAY($A804,2)&lt;=INDEX('BASE METAS DIÁRIAS'!$H$2:$M$358,MATCH($A804,'BASE METAS DIÁRIAS'!$A$2:$A$358,0),MOD(ROW()-2,6)+1),INDEX('BASE METAS DIÁRIAS'!$B$2:$G$358,MATCH($A804,'BASE METAS DIÁRIAS'!$A$2:$A$358,0),MOD(ROW()-2,6)+1),""),"")</f>
        <v/>
      </c>
      <c r="H804" s="159">
        <f>IFERROR(IF(INDEX('CONTROLE PRODUÇÃO POR EMPRESAS'!$B$6:$G$5000,MATCH($A804,'CONTROLE PRODUÇÃO POR EMPRESAS'!$A$6:$A$5000,0),MOD(ROW()-2,6)+1)="","",IFERROR(1*INDEX('CONTROLE PRODUÇÃO POR EMPRESAS'!$B$6:$G$5000,MATCH($A804,'CONTROLE PRODUÇÃO POR EMPRESAS'!$A$6:$A$5000,0),MOD(ROW()-2,6)+1),"")),"")</f>
        <v/>
      </c>
      <c r="I804" s="159">
        <f>IF(OR(NOT(ISNUMBER(G804)),NOT(ISNUMBER(H804))),"",H804-G804)</f>
        <v/>
      </c>
      <c r="J804" s="319">
        <f>IF(OR(NOT(ISNUMBER(G804)),NOT(ISNUMBER(H804)),G804=0),"",I804/G804)</f>
        <v/>
      </c>
      <c r="K804" s="319">
        <f>IF(OR(NOT(ISNUMBER(G804)),NOT(ISNUMBER(H804)),G804=0),"",H804/G804)</f>
        <v/>
      </c>
      <c r="L804">
        <f>IF(NOT(ISNUMBER(G804)),"SEM META",IF(G804=0,"SEM META",IF(NOT(ISNUMBER(H804)),"SEM APONTAMENTO",IF(H804&gt;=G804,"VERDE",IF(H804&gt;=G804*0.9,"AMARELO","VERMELHO")))))</f>
        <v/>
      </c>
      <c r="M804" s="162" t="n"/>
      <c r="N804" s="162" t="n"/>
      <c r="O804" s="162" t="n"/>
      <c r="P804" s="162" t="n"/>
      <c r="Q804" s="320" t="n"/>
      <c r="R804" s="162" t="inlineStr">
        <is>
          <t>CONTROLE PRODUÇÃO POR EMPRESAS!F139</t>
        </is>
      </c>
    </row>
    <row r="805" ht="28.5" customHeight="1">
      <c r="A805" s="317" t="n">
        <v>46356</v>
      </c>
      <c r="B805" t="inlineStr">
        <is>
          <t>GERAL</t>
        </is>
      </c>
      <c r="C805" t="inlineStr">
        <is>
          <t>CMM</t>
        </is>
      </c>
      <c r="D805" t="inlineStr">
        <is>
          <t>VIGAS</t>
        </is>
      </c>
      <c r="F805" s="159">
        <f>IFERROR(INDEX('BASE METAS DIÁRIAS'!$N$2:$S$358,MATCH($A805,'BASE METAS DIÁRIAS'!$A$2:$A$358,0),MOD(ROW()-2,6)+1),"")</f>
        <v/>
      </c>
      <c r="G805" s="159">
        <f>IFERROR(IF(WEEKDAY($A805,2)&lt;=INDEX('BASE METAS DIÁRIAS'!$H$2:$M$358,MATCH($A805,'BASE METAS DIÁRIAS'!$A$2:$A$358,0),MOD(ROW()-2,6)+1),INDEX('BASE METAS DIÁRIAS'!$B$2:$G$358,MATCH($A805,'BASE METAS DIÁRIAS'!$A$2:$A$358,0),MOD(ROW()-2,6)+1),""),"")</f>
        <v/>
      </c>
      <c r="H805" s="159">
        <f>IFERROR(IF(INDEX('CONTROLE PRODUÇÃO POR EMPRESAS'!$B$6:$G$5000,MATCH($A805,'CONTROLE PRODUÇÃO POR EMPRESAS'!$A$6:$A$5000,0),MOD(ROW()-2,6)+1)="","",IFERROR(1*INDEX('CONTROLE PRODUÇÃO POR EMPRESAS'!$B$6:$G$5000,MATCH($A805,'CONTROLE PRODUÇÃO POR EMPRESAS'!$A$6:$A$5000,0),MOD(ROW()-2,6)+1),"")),"")</f>
        <v/>
      </c>
      <c r="I805" s="159">
        <f>IF(OR(NOT(ISNUMBER(G805)),NOT(ISNUMBER(H805))),"",H805-G805)</f>
        <v/>
      </c>
      <c r="J805" s="319">
        <f>IF(OR(NOT(ISNUMBER(G805)),NOT(ISNUMBER(H805)),G805=0),"",I805/G805)</f>
        <v/>
      </c>
      <c r="K805" s="319">
        <f>IF(OR(NOT(ISNUMBER(G805)),NOT(ISNUMBER(H805)),G805=0),"",H805/G805)</f>
        <v/>
      </c>
      <c r="L805">
        <f>IF(NOT(ISNUMBER(G805)),"SEM META",IF(G805=0,"SEM META",IF(NOT(ISNUMBER(H805)),"SEM APONTAMENTO",IF(H805&gt;=G805,"VERDE",IF(H805&gt;=G805*0.9,"AMARELO","VERMELHO")))))</f>
        <v/>
      </c>
      <c r="M805" s="162" t="n"/>
      <c r="N805" s="162" t="n"/>
      <c r="O805" s="162" t="n"/>
      <c r="P805" s="162" t="n"/>
      <c r="Q805" s="320" t="n"/>
      <c r="R805" s="162" t="inlineStr">
        <is>
          <t>CONTROLE PRODUÇÃO POR EMPRESAS!G139</t>
        </is>
      </c>
    </row>
    <row r="806" ht="28.5" customHeight="1">
      <c r="A806" s="317" t="n">
        <v>46357</v>
      </c>
      <c r="B806" t="inlineStr">
        <is>
          <t>GERAL</t>
        </is>
      </c>
      <c r="C806" t="inlineStr">
        <is>
          <t>EJ</t>
        </is>
      </c>
      <c r="D806" t="inlineStr">
        <is>
          <t>PREMONTAGEM</t>
        </is>
      </c>
      <c r="F806" s="159">
        <f>IFERROR(INDEX('BASE METAS DIÁRIAS'!$N$2:$S$358,MATCH($A806,'BASE METAS DIÁRIAS'!$A$2:$A$358,0),MOD(ROW()-2,6)+1),"")</f>
        <v/>
      </c>
      <c r="G806" s="159">
        <f>IFERROR(IF(WEEKDAY($A806,2)&lt;=INDEX('BASE METAS DIÁRIAS'!$H$2:$M$358,MATCH($A806,'BASE METAS DIÁRIAS'!$A$2:$A$358,0),MOD(ROW()-2,6)+1),INDEX('BASE METAS DIÁRIAS'!$B$2:$G$358,MATCH($A806,'BASE METAS DIÁRIAS'!$A$2:$A$358,0),MOD(ROW()-2,6)+1),""),"")</f>
        <v/>
      </c>
      <c r="H806" s="159">
        <f>IFERROR(IF(INDEX('CONTROLE PRODUÇÃO POR EMPRESAS'!$B$6:$G$5000,MATCH($A806,'CONTROLE PRODUÇÃO POR EMPRESAS'!$A$6:$A$5000,0),MOD(ROW()-2,6)+1)="","",IFERROR(1*INDEX('CONTROLE PRODUÇÃO POR EMPRESAS'!$B$6:$G$5000,MATCH($A806,'CONTROLE PRODUÇÃO POR EMPRESAS'!$A$6:$A$5000,0),MOD(ROW()-2,6)+1),"")),"")</f>
        <v/>
      </c>
      <c r="I806" s="159">
        <f>IF(OR(NOT(ISNUMBER(G806)),NOT(ISNUMBER(H806))),"",H806-G806)</f>
        <v/>
      </c>
      <c r="J806" s="319">
        <f>IF(OR(NOT(ISNUMBER(G806)),NOT(ISNUMBER(H806)),G806=0),"",I806/G806)</f>
        <v/>
      </c>
      <c r="K806" s="319">
        <f>IF(OR(NOT(ISNUMBER(G806)),NOT(ISNUMBER(H806)),G806=0),"",H806/G806)</f>
        <v/>
      </c>
      <c r="L806">
        <f>IF(NOT(ISNUMBER(G806)),"SEM META",IF(G806=0,"SEM META",IF(NOT(ISNUMBER(H806)),"SEM APONTAMENTO",IF(H806&gt;=G806,"VERDE",IF(H806&gt;=G806*0.9,"AMARELO","VERMELHO")))))</f>
        <v/>
      </c>
      <c r="M806" s="162" t="n"/>
      <c r="N806" s="162" t="n"/>
      <c r="O806" s="162" t="n"/>
      <c r="P806" s="162" t="n"/>
      <c r="Q806" s="320" t="n"/>
      <c r="R806" s="162" t="inlineStr">
        <is>
          <t>CONTROLE PRODUÇÃO POR EMPRESAS!B140</t>
        </is>
      </c>
    </row>
    <row r="807" ht="28.5" customHeight="1">
      <c r="A807" s="317" t="n">
        <v>46357</v>
      </c>
      <c r="B807" t="inlineStr">
        <is>
          <t>GERAL</t>
        </is>
      </c>
      <c r="C807" t="inlineStr">
        <is>
          <t>EJ</t>
        </is>
      </c>
      <c r="D807" t="inlineStr">
        <is>
          <t>IÇAMENTO JOIST</t>
        </is>
      </c>
      <c r="F807" s="159">
        <f>IFERROR(INDEX('BASE METAS DIÁRIAS'!$N$2:$S$358,MATCH($A807,'BASE METAS DIÁRIAS'!$A$2:$A$358,0),MOD(ROW()-2,6)+1),"")</f>
        <v/>
      </c>
      <c r="G807" s="159">
        <f>IFERROR(IF(WEEKDAY($A807,2)&lt;=INDEX('BASE METAS DIÁRIAS'!$H$2:$M$358,MATCH($A807,'BASE METAS DIÁRIAS'!$A$2:$A$358,0),MOD(ROW()-2,6)+1),INDEX('BASE METAS DIÁRIAS'!$B$2:$G$358,MATCH($A807,'BASE METAS DIÁRIAS'!$A$2:$A$358,0),MOD(ROW()-2,6)+1),""),"")</f>
        <v/>
      </c>
      <c r="H807" s="159">
        <f>IFERROR(IF(INDEX('CONTROLE PRODUÇÃO POR EMPRESAS'!$B$6:$G$5000,MATCH($A807,'CONTROLE PRODUÇÃO POR EMPRESAS'!$A$6:$A$5000,0),MOD(ROW()-2,6)+1)="","",IFERROR(1*INDEX('CONTROLE PRODUÇÃO POR EMPRESAS'!$B$6:$G$5000,MATCH($A807,'CONTROLE PRODUÇÃO POR EMPRESAS'!$A$6:$A$5000,0),MOD(ROW()-2,6)+1),"")),"")</f>
        <v/>
      </c>
      <c r="I807" s="159">
        <f>IF(OR(NOT(ISNUMBER(G807)),NOT(ISNUMBER(H807))),"",H807-G807)</f>
        <v/>
      </c>
      <c r="J807" s="319">
        <f>IF(OR(NOT(ISNUMBER(G807)),NOT(ISNUMBER(H807)),G807=0),"",I807/G807)</f>
        <v/>
      </c>
      <c r="K807" s="319">
        <f>IF(OR(NOT(ISNUMBER(G807)),NOT(ISNUMBER(H807)),G807=0),"",H807/G807)</f>
        <v/>
      </c>
      <c r="L807">
        <f>IF(NOT(ISNUMBER(G807)),"SEM META",IF(G807=0,"SEM META",IF(NOT(ISNUMBER(H807)),"SEM APONTAMENTO",IF(H807&gt;=G807,"VERDE",IF(H807&gt;=G807*0.9,"AMARELO","VERMELHO")))))</f>
        <v/>
      </c>
      <c r="M807" s="162" t="n"/>
      <c r="N807" s="162" t="n"/>
      <c r="O807" s="162" t="n"/>
      <c r="P807" s="162" t="n"/>
      <c r="Q807" s="320" t="n"/>
      <c r="R807" s="162" t="inlineStr">
        <is>
          <t>CONTROLE PRODUÇÃO POR EMPRESAS!C140</t>
        </is>
      </c>
    </row>
    <row r="808" ht="28.5" customHeight="1">
      <c r="A808" s="317" t="n">
        <v>46357</v>
      </c>
      <c r="B808" t="inlineStr">
        <is>
          <t>GERAL</t>
        </is>
      </c>
      <c r="C808" t="inlineStr">
        <is>
          <t>EJ</t>
        </is>
      </c>
      <c r="D808" t="inlineStr">
        <is>
          <t>VIGAS</t>
        </is>
      </c>
      <c r="F808" s="159">
        <f>IFERROR(INDEX('BASE METAS DIÁRIAS'!$N$2:$S$358,MATCH($A808,'BASE METAS DIÁRIAS'!$A$2:$A$358,0),MOD(ROW()-2,6)+1),"")</f>
        <v/>
      </c>
      <c r="G808" s="159">
        <f>IFERROR(IF(WEEKDAY($A808,2)&lt;=INDEX('BASE METAS DIÁRIAS'!$H$2:$M$358,MATCH($A808,'BASE METAS DIÁRIAS'!$A$2:$A$358,0),MOD(ROW()-2,6)+1),INDEX('BASE METAS DIÁRIAS'!$B$2:$G$358,MATCH($A808,'BASE METAS DIÁRIAS'!$A$2:$A$358,0),MOD(ROW()-2,6)+1),""),"")</f>
        <v/>
      </c>
      <c r="H808" s="159">
        <f>IFERROR(IF(INDEX('CONTROLE PRODUÇÃO POR EMPRESAS'!$B$6:$G$5000,MATCH($A808,'CONTROLE PRODUÇÃO POR EMPRESAS'!$A$6:$A$5000,0),MOD(ROW()-2,6)+1)="","",IFERROR(1*INDEX('CONTROLE PRODUÇÃO POR EMPRESAS'!$B$6:$G$5000,MATCH($A808,'CONTROLE PRODUÇÃO POR EMPRESAS'!$A$6:$A$5000,0),MOD(ROW()-2,6)+1),"")),"")</f>
        <v/>
      </c>
      <c r="I808" s="159">
        <f>IF(OR(NOT(ISNUMBER(G808)),NOT(ISNUMBER(H808))),"",H808-G808)</f>
        <v/>
      </c>
      <c r="J808" s="319">
        <f>IF(OR(NOT(ISNUMBER(G808)),NOT(ISNUMBER(H808)),G808=0),"",I808/G808)</f>
        <v/>
      </c>
      <c r="K808" s="319">
        <f>IF(OR(NOT(ISNUMBER(G808)),NOT(ISNUMBER(H808)),G808=0),"",H808/G808)</f>
        <v/>
      </c>
      <c r="L808">
        <f>IF(NOT(ISNUMBER(G808)),"SEM META",IF(G808=0,"SEM META",IF(NOT(ISNUMBER(H808)),"SEM APONTAMENTO",IF(H808&gt;=G808,"VERDE",IF(H808&gt;=G808*0.9,"AMARELO","VERMELHO")))))</f>
        <v/>
      </c>
      <c r="M808" s="162" t="n"/>
      <c r="N808" s="162" t="n"/>
      <c r="O808" s="162" t="n"/>
      <c r="P808" s="162" t="n"/>
      <c r="Q808" s="320" t="n"/>
      <c r="R808" s="162" t="inlineStr">
        <is>
          <t>CONTROLE PRODUÇÃO POR EMPRESAS!D140</t>
        </is>
      </c>
    </row>
    <row r="809" ht="28.5" customHeight="1">
      <c r="A809" s="317" t="n">
        <v>46357</v>
      </c>
      <c r="B809" t="inlineStr">
        <is>
          <t>GERAL</t>
        </is>
      </c>
      <c r="C809" t="inlineStr">
        <is>
          <t>CMM</t>
        </is>
      </c>
      <c r="D809" t="inlineStr">
        <is>
          <t>PREMONTAGEM</t>
        </is>
      </c>
      <c r="F809" s="159">
        <f>IFERROR(INDEX('BASE METAS DIÁRIAS'!$N$2:$S$358,MATCH($A809,'BASE METAS DIÁRIAS'!$A$2:$A$358,0),MOD(ROW()-2,6)+1),"")</f>
        <v/>
      </c>
      <c r="G809" s="159">
        <f>IFERROR(IF(WEEKDAY($A809,2)&lt;=INDEX('BASE METAS DIÁRIAS'!$H$2:$M$358,MATCH($A809,'BASE METAS DIÁRIAS'!$A$2:$A$358,0),MOD(ROW()-2,6)+1),INDEX('BASE METAS DIÁRIAS'!$B$2:$G$358,MATCH($A809,'BASE METAS DIÁRIAS'!$A$2:$A$358,0),MOD(ROW()-2,6)+1),""),"")</f>
        <v/>
      </c>
      <c r="H809" s="159">
        <f>IFERROR(IF(INDEX('CONTROLE PRODUÇÃO POR EMPRESAS'!$B$6:$G$5000,MATCH($A809,'CONTROLE PRODUÇÃO POR EMPRESAS'!$A$6:$A$5000,0),MOD(ROW()-2,6)+1)="","",IFERROR(1*INDEX('CONTROLE PRODUÇÃO POR EMPRESAS'!$B$6:$G$5000,MATCH($A809,'CONTROLE PRODUÇÃO POR EMPRESAS'!$A$6:$A$5000,0),MOD(ROW()-2,6)+1),"")),"")</f>
        <v/>
      </c>
      <c r="I809" s="159">
        <f>IF(OR(NOT(ISNUMBER(G809)),NOT(ISNUMBER(H809))),"",H809-G809)</f>
        <v/>
      </c>
      <c r="J809" s="319">
        <f>IF(OR(NOT(ISNUMBER(G809)),NOT(ISNUMBER(H809)),G809=0),"",I809/G809)</f>
        <v/>
      </c>
      <c r="K809" s="319">
        <f>IF(OR(NOT(ISNUMBER(G809)),NOT(ISNUMBER(H809)),G809=0),"",H809/G809)</f>
        <v/>
      </c>
      <c r="L809">
        <f>IF(NOT(ISNUMBER(G809)),"SEM META",IF(G809=0,"SEM META",IF(NOT(ISNUMBER(H809)),"SEM APONTAMENTO",IF(H809&gt;=G809,"VERDE",IF(H809&gt;=G809*0.9,"AMARELO","VERMELHO")))))</f>
        <v/>
      </c>
      <c r="M809" s="162" t="n"/>
      <c r="N809" s="162" t="n"/>
      <c r="O809" s="162" t="n"/>
      <c r="P809" s="162" t="n"/>
      <c r="Q809" s="320" t="n"/>
      <c r="R809" s="162" t="inlineStr">
        <is>
          <t>CONTROLE PRODUÇÃO POR EMPRESAS!E140</t>
        </is>
      </c>
    </row>
    <row r="810" ht="28.5" customHeight="1">
      <c r="A810" s="317" t="n">
        <v>46357</v>
      </c>
      <c r="B810" t="inlineStr">
        <is>
          <t>GERAL</t>
        </is>
      </c>
      <c r="C810" t="inlineStr">
        <is>
          <t>CMM</t>
        </is>
      </c>
      <c r="D810" t="inlineStr">
        <is>
          <t>IÇAMENTO JOIST</t>
        </is>
      </c>
      <c r="F810" s="159">
        <f>IFERROR(INDEX('BASE METAS DIÁRIAS'!$N$2:$S$358,MATCH($A810,'BASE METAS DIÁRIAS'!$A$2:$A$358,0),MOD(ROW()-2,6)+1),"")</f>
        <v/>
      </c>
      <c r="G810" s="159">
        <f>IFERROR(IF(WEEKDAY($A810,2)&lt;=INDEX('BASE METAS DIÁRIAS'!$H$2:$M$358,MATCH($A810,'BASE METAS DIÁRIAS'!$A$2:$A$358,0),MOD(ROW()-2,6)+1),INDEX('BASE METAS DIÁRIAS'!$B$2:$G$358,MATCH($A810,'BASE METAS DIÁRIAS'!$A$2:$A$358,0),MOD(ROW()-2,6)+1),""),"")</f>
        <v/>
      </c>
      <c r="H810" s="159">
        <f>IFERROR(IF(INDEX('CONTROLE PRODUÇÃO POR EMPRESAS'!$B$6:$G$5000,MATCH($A810,'CONTROLE PRODUÇÃO POR EMPRESAS'!$A$6:$A$5000,0),MOD(ROW()-2,6)+1)="","",IFERROR(1*INDEX('CONTROLE PRODUÇÃO POR EMPRESAS'!$B$6:$G$5000,MATCH($A810,'CONTROLE PRODUÇÃO POR EMPRESAS'!$A$6:$A$5000,0),MOD(ROW()-2,6)+1),"")),"")</f>
        <v/>
      </c>
      <c r="I810" s="159">
        <f>IF(OR(NOT(ISNUMBER(G810)),NOT(ISNUMBER(H810))),"",H810-G810)</f>
        <v/>
      </c>
      <c r="J810" s="319">
        <f>IF(OR(NOT(ISNUMBER(G810)),NOT(ISNUMBER(H810)),G810=0),"",I810/G810)</f>
        <v/>
      </c>
      <c r="K810" s="319">
        <f>IF(OR(NOT(ISNUMBER(G810)),NOT(ISNUMBER(H810)),G810=0),"",H810/G810)</f>
        <v/>
      </c>
      <c r="L810">
        <f>IF(NOT(ISNUMBER(G810)),"SEM META",IF(G810=0,"SEM META",IF(NOT(ISNUMBER(H810)),"SEM APONTAMENTO",IF(H810&gt;=G810,"VERDE",IF(H810&gt;=G810*0.9,"AMARELO","VERMELHO")))))</f>
        <v/>
      </c>
      <c r="M810" s="162" t="n"/>
      <c r="N810" s="162" t="n"/>
      <c r="O810" s="162" t="n"/>
      <c r="P810" s="162" t="n"/>
      <c r="Q810" s="320" t="n"/>
      <c r="R810" s="162" t="inlineStr">
        <is>
          <t>CONTROLE PRODUÇÃO POR EMPRESAS!F140</t>
        </is>
      </c>
    </row>
    <row r="811" ht="28.5" customHeight="1">
      <c r="A811" s="317" t="n">
        <v>46357</v>
      </c>
      <c r="B811" t="inlineStr">
        <is>
          <t>GERAL</t>
        </is>
      </c>
      <c r="C811" t="inlineStr">
        <is>
          <t>CMM</t>
        </is>
      </c>
      <c r="D811" t="inlineStr">
        <is>
          <t>VIGAS</t>
        </is>
      </c>
      <c r="F811" s="159">
        <f>IFERROR(INDEX('BASE METAS DIÁRIAS'!$N$2:$S$358,MATCH($A811,'BASE METAS DIÁRIAS'!$A$2:$A$358,0),MOD(ROW()-2,6)+1),"")</f>
        <v/>
      </c>
      <c r="G811" s="159">
        <f>IFERROR(IF(WEEKDAY($A811,2)&lt;=INDEX('BASE METAS DIÁRIAS'!$H$2:$M$358,MATCH($A811,'BASE METAS DIÁRIAS'!$A$2:$A$358,0),MOD(ROW()-2,6)+1),INDEX('BASE METAS DIÁRIAS'!$B$2:$G$358,MATCH($A811,'BASE METAS DIÁRIAS'!$A$2:$A$358,0),MOD(ROW()-2,6)+1),""),"")</f>
        <v/>
      </c>
      <c r="H811" s="159">
        <f>IFERROR(IF(INDEX('CONTROLE PRODUÇÃO POR EMPRESAS'!$B$6:$G$5000,MATCH($A811,'CONTROLE PRODUÇÃO POR EMPRESAS'!$A$6:$A$5000,0),MOD(ROW()-2,6)+1)="","",IFERROR(1*INDEX('CONTROLE PRODUÇÃO POR EMPRESAS'!$B$6:$G$5000,MATCH($A811,'CONTROLE PRODUÇÃO POR EMPRESAS'!$A$6:$A$5000,0),MOD(ROW()-2,6)+1),"")),"")</f>
        <v/>
      </c>
      <c r="I811" s="159">
        <f>IF(OR(NOT(ISNUMBER(G811)),NOT(ISNUMBER(H811))),"",H811-G811)</f>
        <v/>
      </c>
      <c r="J811" s="319">
        <f>IF(OR(NOT(ISNUMBER(G811)),NOT(ISNUMBER(H811)),G811=0),"",I811/G811)</f>
        <v/>
      </c>
      <c r="K811" s="319">
        <f>IF(OR(NOT(ISNUMBER(G811)),NOT(ISNUMBER(H811)),G811=0),"",H811/G811)</f>
        <v/>
      </c>
      <c r="L811">
        <f>IF(NOT(ISNUMBER(G811)),"SEM META",IF(G811=0,"SEM META",IF(NOT(ISNUMBER(H811)),"SEM APONTAMENTO",IF(H811&gt;=G811,"VERDE",IF(H811&gt;=G811*0.9,"AMARELO","VERMELHO")))))</f>
        <v/>
      </c>
      <c r="M811" s="162" t="n"/>
      <c r="N811" s="162" t="n"/>
      <c r="O811" s="162" t="n"/>
      <c r="P811" s="162" t="n"/>
      <c r="Q811" s="320" t="n"/>
      <c r="R811" s="162" t="inlineStr">
        <is>
          <t>CONTROLE PRODUÇÃO POR EMPRESAS!G140</t>
        </is>
      </c>
    </row>
    <row r="812" ht="28.5" customHeight="1">
      <c r="A812" s="317" t="n">
        <v>46358</v>
      </c>
      <c r="B812" t="inlineStr">
        <is>
          <t>GERAL</t>
        </is>
      </c>
      <c r="C812" t="inlineStr">
        <is>
          <t>EJ</t>
        </is>
      </c>
      <c r="D812" t="inlineStr">
        <is>
          <t>PREMONTAGEM</t>
        </is>
      </c>
      <c r="F812" s="159">
        <f>IFERROR(INDEX('BASE METAS DIÁRIAS'!$N$2:$S$358,MATCH($A812,'BASE METAS DIÁRIAS'!$A$2:$A$358,0),MOD(ROW()-2,6)+1),"")</f>
        <v/>
      </c>
      <c r="G812" s="159">
        <f>IFERROR(IF(WEEKDAY($A812,2)&lt;=INDEX('BASE METAS DIÁRIAS'!$H$2:$M$358,MATCH($A812,'BASE METAS DIÁRIAS'!$A$2:$A$358,0),MOD(ROW()-2,6)+1),INDEX('BASE METAS DIÁRIAS'!$B$2:$G$358,MATCH($A812,'BASE METAS DIÁRIAS'!$A$2:$A$358,0),MOD(ROW()-2,6)+1),""),"")</f>
        <v/>
      </c>
      <c r="H812" s="159">
        <f>IFERROR(IF(INDEX('CONTROLE PRODUÇÃO POR EMPRESAS'!$B$6:$G$5000,MATCH($A812,'CONTROLE PRODUÇÃO POR EMPRESAS'!$A$6:$A$5000,0),MOD(ROW()-2,6)+1)="","",IFERROR(1*INDEX('CONTROLE PRODUÇÃO POR EMPRESAS'!$B$6:$G$5000,MATCH($A812,'CONTROLE PRODUÇÃO POR EMPRESAS'!$A$6:$A$5000,0),MOD(ROW()-2,6)+1),"")),"")</f>
        <v/>
      </c>
      <c r="I812" s="159">
        <f>IF(OR(NOT(ISNUMBER(G812)),NOT(ISNUMBER(H812))),"",H812-G812)</f>
        <v/>
      </c>
      <c r="J812" s="319">
        <f>IF(OR(NOT(ISNUMBER(G812)),NOT(ISNUMBER(H812)),G812=0),"",I812/G812)</f>
        <v/>
      </c>
      <c r="K812" s="319">
        <f>IF(OR(NOT(ISNUMBER(G812)),NOT(ISNUMBER(H812)),G812=0),"",H812/G812)</f>
        <v/>
      </c>
      <c r="L812">
        <f>IF(NOT(ISNUMBER(G812)),"SEM META",IF(G812=0,"SEM META",IF(NOT(ISNUMBER(H812)),"SEM APONTAMENTO",IF(H812&gt;=G812,"VERDE",IF(H812&gt;=G812*0.9,"AMARELO","VERMELHO")))))</f>
        <v/>
      </c>
      <c r="M812" s="162" t="n"/>
      <c r="N812" s="162" t="n"/>
      <c r="O812" s="162" t="n"/>
      <c r="P812" s="162" t="n"/>
      <c r="Q812" s="320" t="n"/>
      <c r="R812" s="162" t="inlineStr">
        <is>
          <t>CONTROLE PRODUÇÃO POR EMPRESAS!B141</t>
        </is>
      </c>
    </row>
    <row r="813" ht="28.5" customHeight="1">
      <c r="A813" s="317" t="n">
        <v>46358</v>
      </c>
      <c r="B813" t="inlineStr">
        <is>
          <t>GERAL</t>
        </is>
      </c>
      <c r="C813" t="inlineStr">
        <is>
          <t>EJ</t>
        </is>
      </c>
      <c r="D813" t="inlineStr">
        <is>
          <t>IÇAMENTO JOIST</t>
        </is>
      </c>
      <c r="F813" s="159">
        <f>IFERROR(INDEX('BASE METAS DIÁRIAS'!$N$2:$S$358,MATCH($A813,'BASE METAS DIÁRIAS'!$A$2:$A$358,0),MOD(ROW()-2,6)+1),"")</f>
        <v/>
      </c>
      <c r="G813" s="159">
        <f>IFERROR(IF(WEEKDAY($A813,2)&lt;=INDEX('BASE METAS DIÁRIAS'!$H$2:$M$358,MATCH($A813,'BASE METAS DIÁRIAS'!$A$2:$A$358,0),MOD(ROW()-2,6)+1),INDEX('BASE METAS DIÁRIAS'!$B$2:$G$358,MATCH($A813,'BASE METAS DIÁRIAS'!$A$2:$A$358,0),MOD(ROW()-2,6)+1),""),"")</f>
        <v/>
      </c>
      <c r="H813" s="159">
        <f>IFERROR(IF(INDEX('CONTROLE PRODUÇÃO POR EMPRESAS'!$B$6:$G$5000,MATCH($A813,'CONTROLE PRODUÇÃO POR EMPRESAS'!$A$6:$A$5000,0),MOD(ROW()-2,6)+1)="","",IFERROR(1*INDEX('CONTROLE PRODUÇÃO POR EMPRESAS'!$B$6:$G$5000,MATCH($A813,'CONTROLE PRODUÇÃO POR EMPRESAS'!$A$6:$A$5000,0),MOD(ROW()-2,6)+1),"")),"")</f>
        <v/>
      </c>
      <c r="I813" s="159">
        <f>IF(OR(NOT(ISNUMBER(G813)),NOT(ISNUMBER(H813))),"",H813-G813)</f>
        <v/>
      </c>
      <c r="J813" s="319">
        <f>IF(OR(NOT(ISNUMBER(G813)),NOT(ISNUMBER(H813)),G813=0),"",I813/G813)</f>
        <v/>
      </c>
      <c r="K813" s="319">
        <f>IF(OR(NOT(ISNUMBER(G813)),NOT(ISNUMBER(H813)),G813=0),"",H813/G813)</f>
        <v/>
      </c>
      <c r="L813">
        <f>IF(NOT(ISNUMBER(G813)),"SEM META",IF(G813=0,"SEM META",IF(NOT(ISNUMBER(H813)),"SEM APONTAMENTO",IF(H813&gt;=G813,"VERDE",IF(H813&gt;=G813*0.9,"AMARELO","VERMELHO")))))</f>
        <v/>
      </c>
      <c r="M813" s="162" t="n"/>
      <c r="N813" s="162" t="n"/>
      <c r="O813" s="162" t="n"/>
      <c r="P813" s="162" t="n"/>
      <c r="Q813" s="320" t="n"/>
      <c r="R813" s="162" t="inlineStr">
        <is>
          <t>CONTROLE PRODUÇÃO POR EMPRESAS!C141</t>
        </is>
      </c>
    </row>
    <row r="814" ht="28.5" customHeight="1">
      <c r="A814" s="317" t="n">
        <v>46358</v>
      </c>
      <c r="B814" t="inlineStr">
        <is>
          <t>GERAL</t>
        </is>
      </c>
      <c r="C814" t="inlineStr">
        <is>
          <t>EJ</t>
        </is>
      </c>
      <c r="D814" t="inlineStr">
        <is>
          <t>VIGAS</t>
        </is>
      </c>
      <c r="F814" s="159">
        <f>IFERROR(INDEX('BASE METAS DIÁRIAS'!$N$2:$S$358,MATCH($A814,'BASE METAS DIÁRIAS'!$A$2:$A$358,0),MOD(ROW()-2,6)+1),"")</f>
        <v/>
      </c>
      <c r="G814" s="159">
        <f>IFERROR(IF(WEEKDAY($A814,2)&lt;=INDEX('BASE METAS DIÁRIAS'!$H$2:$M$358,MATCH($A814,'BASE METAS DIÁRIAS'!$A$2:$A$358,0),MOD(ROW()-2,6)+1),INDEX('BASE METAS DIÁRIAS'!$B$2:$G$358,MATCH($A814,'BASE METAS DIÁRIAS'!$A$2:$A$358,0),MOD(ROW()-2,6)+1),""),"")</f>
        <v/>
      </c>
      <c r="H814" s="159">
        <f>IFERROR(IF(INDEX('CONTROLE PRODUÇÃO POR EMPRESAS'!$B$6:$G$5000,MATCH($A814,'CONTROLE PRODUÇÃO POR EMPRESAS'!$A$6:$A$5000,0),MOD(ROW()-2,6)+1)="","",IFERROR(1*INDEX('CONTROLE PRODUÇÃO POR EMPRESAS'!$B$6:$G$5000,MATCH($A814,'CONTROLE PRODUÇÃO POR EMPRESAS'!$A$6:$A$5000,0),MOD(ROW()-2,6)+1),"")),"")</f>
        <v/>
      </c>
      <c r="I814" s="159">
        <f>IF(OR(NOT(ISNUMBER(G814)),NOT(ISNUMBER(H814))),"",H814-G814)</f>
        <v/>
      </c>
      <c r="J814" s="319">
        <f>IF(OR(NOT(ISNUMBER(G814)),NOT(ISNUMBER(H814)),G814=0),"",I814/G814)</f>
        <v/>
      </c>
      <c r="K814" s="319">
        <f>IF(OR(NOT(ISNUMBER(G814)),NOT(ISNUMBER(H814)),G814=0),"",H814/G814)</f>
        <v/>
      </c>
      <c r="L814">
        <f>IF(NOT(ISNUMBER(G814)),"SEM META",IF(G814=0,"SEM META",IF(NOT(ISNUMBER(H814)),"SEM APONTAMENTO",IF(H814&gt;=G814,"VERDE",IF(H814&gt;=G814*0.9,"AMARELO","VERMELHO")))))</f>
        <v/>
      </c>
      <c r="M814" s="162" t="n"/>
      <c r="N814" s="162" t="n"/>
      <c r="O814" s="162" t="n"/>
      <c r="P814" s="162" t="n"/>
      <c r="Q814" s="320" t="n"/>
      <c r="R814" s="162" t="inlineStr">
        <is>
          <t>CONTROLE PRODUÇÃO POR EMPRESAS!D141</t>
        </is>
      </c>
    </row>
    <row r="815" ht="28.5" customHeight="1">
      <c r="A815" s="317" t="n">
        <v>46358</v>
      </c>
      <c r="B815" t="inlineStr">
        <is>
          <t>GERAL</t>
        </is>
      </c>
      <c r="C815" t="inlineStr">
        <is>
          <t>CMM</t>
        </is>
      </c>
      <c r="D815" t="inlineStr">
        <is>
          <t>PREMONTAGEM</t>
        </is>
      </c>
      <c r="F815" s="159">
        <f>IFERROR(INDEX('BASE METAS DIÁRIAS'!$N$2:$S$358,MATCH($A815,'BASE METAS DIÁRIAS'!$A$2:$A$358,0),MOD(ROW()-2,6)+1),"")</f>
        <v/>
      </c>
      <c r="G815" s="159">
        <f>IFERROR(IF(WEEKDAY($A815,2)&lt;=INDEX('BASE METAS DIÁRIAS'!$H$2:$M$358,MATCH($A815,'BASE METAS DIÁRIAS'!$A$2:$A$358,0),MOD(ROW()-2,6)+1),INDEX('BASE METAS DIÁRIAS'!$B$2:$G$358,MATCH($A815,'BASE METAS DIÁRIAS'!$A$2:$A$358,0),MOD(ROW()-2,6)+1),""),"")</f>
        <v/>
      </c>
      <c r="H815" s="159">
        <f>IFERROR(IF(INDEX('CONTROLE PRODUÇÃO POR EMPRESAS'!$B$6:$G$5000,MATCH($A815,'CONTROLE PRODUÇÃO POR EMPRESAS'!$A$6:$A$5000,0),MOD(ROW()-2,6)+1)="","",IFERROR(1*INDEX('CONTROLE PRODUÇÃO POR EMPRESAS'!$B$6:$G$5000,MATCH($A815,'CONTROLE PRODUÇÃO POR EMPRESAS'!$A$6:$A$5000,0),MOD(ROW()-2,6)+1),"")),"")</f>
        <v/>
      </c>
      <c r="I815" s="159">
        <f>IF(OR(NOT(ISNUMBER(G815)),NOT(ISNUMBER(H815))),"",H815-G815)</f>
        <v/>
      </c>
      <c r="J815" s="319">
        <f>IF(OR(NOT(ISNUMBER(G815)),NOT(ISNUMBER(H815)),G815=0),"",I815/G815)</f>
        <v/>
      </c>
      <c r="K815" s="319">
        <f>IF(OR(NOT(ISNUMBER(G815)),NOT(ISNUMBER(H815)),G815=0),"",H815/G815)</f>
        <v/>
      </c>
      <c r="L815">
        <f>IF(NOT(ISNUMBER(G815)),"SEM META",IF(G815=0,"SEM META",IF(NOT(ISNUMBER(H815)),"SEM APONTAMENTO",IF(H815&gt;=G815,"VERDE",IF(H815&gt;=G815*0.9,"AMARELO","VERMELHO")))))</f>
        <v/>
      </c>
      <c r="M815" s="162" t="n"/>
      <c r="N815" s="162" t="n"/>
      <c r="O815" s="162" t="n"/>
      <c r="P815" s="162" t="n"/>
      <c r="Q815" s="320" t="n"/>
      <c r="R815" s="162" t="inlineStr">
        <is>
          <t>CONTROLE PRODUÇÃO POR EMPRESAS!E141</t>
        </is>
      </c>
    </row>
    <row r="816" ht="28.5" customHeight="1">
      <c r="A816" s="317" t="n">
        <v>46358</v>
      </c>
      <c r="B816" t="inlineStr">
        <is>
          <t>GERAL</t>
        </is>
      </c>
      <c r="C816" t="inlineStr">
        <is>
          <t>CMM</t>
        </is>
      </c>
      <c r="D816" t="inlineStr">
        <is>
          <t>IÇAMENTO JOIST</t>
        </is>
      </c>
      <c r="F816" s="159">
        <f>IFERROR(INDEX('BASE METAS DIÁRIAS'!$N$2:$S$358,MATCH($A816,'BASE METAS DIÁRIAS'!$A$2:$A$358,0),MOD(ROW()-2,6)+1),"")</f>
        <v/>
      </c>
      <c r="G816" s="159">
        <f>IFERROR(IF(WEEKDAY($A816,2)&lt;=INDEX('BASE METAS DIÁRIAS'!$H$2:$M$358,MATCH($A816,'BASE METAS DIÁRIAS'!$A$2:$A$358,0),MOD(ROW()-2,6)+1),INDEX('BASE METAS DIÁRIAS'!$B$2:$G$358,MATCH($A816,'BASE METAS DIÁRIAS'!$A$2:$A$358,0),MOD(ROW()-2,6)+1),""),"")</f>
        <v/>
      </c>
      <c r="H816" s="159">
        <f>IFERROR(IF(INDEX('CONTROLE PRODUÇÃO POR EMPRESAS'!$B$6:$G$5000,MATCH($A816,'CONTROLE PRODUÇÃO POR EMPRESAS'!$A$6:$A$5000,0),MOD(ROW()-2,6)+1)="","",IFERROR(1*INDEX('CONTROLE PRODUÇÃO POR EMPRESAS'!$B$6:$G$5000,MATCH($A816,'CONTROLE PRODUÇÃO POR EMPRESAS'!$A$6:$A$5000,0),MOD(ROW()-2,6)+1),"")),"")</f>
        <v/>
      </c>
      <c r="I816" s="159">
        <f>IF(OR(NOT(ISNUMBER(G816)),NOT(ISNUMBER(H816))),"",H816-G816)</f>
        <v/>
      </c>
      <c r="J816" s="319">
        <f>IF(OR(NOT(ISNUMBER(G816)),NOT(ISNUMBER(H816)),G816=0),"",I816/G816)</f>
        <v/>
      </c>
      <c r="K816" s="319">
        <f>IF(OR(NOT(ISNUMBER(G816)),NOT(ISNUMBER(H816)),G816=0),"",H816/G816)</f>
        <v/>
      </c>
      <c r="L816">
        <f>IF(NOT(ISNUMBER(G816)),"SEM META",IF(G816=0,"SEM META",IF(NOT(ISNUMBER(H816)),"SEM APONTAMENTO",IF(H816&gt;=G816,"VERDE",IF(H816&gt;=G816*0.9,"AMARELO","VERMELHO")))))</f>
        <v/>
      </c>
      <c r="M816" s="162" t="n"/>
      <c r="N816" s="162" t="n"/>
      <c r="O816" s="162" t="n"/>
      <c r="P816" s="162" t="n"/>
      <c r="Q816" s="320" t="n"/>
      <c r="R816" s="162" t="inlineStr">
        <is>
          <t>CONTROLE PRODUÇÃO POR EMPRESAS!F141</t>
        </is>
      </c>
    </row>
    <row r="817" ht="28.5" customHeight="1">
      <c r="A817" s="317" t="n">
        <v>46358</v>
      </c>
      <c r="B817" t="inlineStr">
        <is>
          <t>GERAL</t>
        </is>
      </c>
      <c r="C817" t="inlineStr">
        <is>
          <t>CMM</t>
        </is>
      </c>
      <c r="D817" t="inlineStr">
        <is>
          <t>VIGAS</t>
        </is>
      </c>
      <c r="F817" s="159">
        <f>IFERROR(INDEX('BASE METAS DIÁRIAS'!$N$2:$S$358,MATCH($A817,'BASE METAS DIÁRIAS'!$A$2:$A$358,0),MOD(ROW()-2,6)+1),"")</f>
        <v/>
      </c>
      <c r="G817" s="159">
        <f>IFERROR(IF(WEEKDAY($A817,2)&lt;=INDEX('BASE METAS DIÁRIAS'!$H$2:$M$358,MATCH($A817,'BASE METAS DIÁRIAS'!$A$2:$A$358,0),MOD(ROW()-2,6)+1),INDEX('BASE METAS DIÁRIAS'!$B$2:$G$358,MATCH($A817,'BASE METAS DIÁRIAS'!$A$2:$A$358,0),MOD(ROW()-2,6)+1),""),"")</f>
        <v/>
      </c>
      <c r="H817" s="159">
        <f>IFERROR(IF(INDEX('CONTROLE PRODUÇÃO POR EMPRESAS'!$B$6:$G$5000,MATCH($A817,'CONTROLE PRODUÇÃO POR EMPRESAS'!$A$6:$A$5000,0),MOD(ROW()-2,6)+1)="","",IFERROR(1*INDEX('CONTROLE PRODUÇÃO POR EMPRESAS'!$B$6:$G$5000,MATCH($A817,'CONTROLE PRODUÇÃO POR EMPRESAS'!$A$6:$A$5000,0),MOD(ROW()-2,6)+1),"")),"")</f>
        <v/>
      </c>
      <c r="I817" s="159">
        <f>IF(OR(NOT(ISNUMBER(G817)),NOT(ISNUMBER(H817))),"",H817-G817)</f>
        <v/>
      </c>
      <c r="J817" s="319">
        <f>IF(OR(NOT(ISNUMBER(G817)),NOT(ISNUMBER(H817)),G817=0),"",I817/G817)</f>
        <v/>
      </c>
      <c r="K817" s="319">
        <f>IF(OR(NOT(ISNUMBER(G817)),NOT(ISNUMBER(H817)),G817=0),"",H817/G817)</f>
        <v/>
      </c>
      <c r="L817">
        <f>IF(NOT(ISNUMBER(G817)),"SEM META",IF(G817=0,"SEM META",IF(NOT(ISNUMBER(H817)),"SEM APONTAMENTO",IF(H817&gt;=G817,"VERDE",IF(H817&gt;=G817*0.9,"AMARELO","VERMELHO")))))</f>
        <v/>
      </c>
      <c r="M817" s="162" t="n"/>
      <c r="N817" s="162" t="n"/>
      <c r="O817" s="162" t="n"/>
      <c r="P817" s="162" t="n"/>
      <c r="Q817" s="320" t="n"/>
      <c r="R817" s="162" t="inlineStr">
        <is>
          <t>CONTROLE PRODUÇÃO POR EMPRESAS!G141</t>
        </is>
      </c>
    </row>
    <row r="818" ht="28.5" customHeight="1">
      <c r="A818" s="317" t="n">
        <v>46359</v>
      </c>
      <c r="B818" t="inlineStr">
        <is>
          <t>GERAL</t>
        </is>
      </c>
      <c r="C818" t="inlineStr">
        <is>
          <t>EJ</t>
        </is>
      </c>
      <c r="D818" t="inlineStr">
        <is>
          <t>PREMONTAGEM</t>
        </is>
      </c>
      <c r="F818" s="159">
        <f>IFERROR(INDEX('BASE METAS DIÁRIAS'!$N$2:$S$358,MATCH($A818,'BASE METAS DIÁRIAS'!$A$2:$A$358,0),MOD(ROW()-2,6)+1),"")</f>
        <v/>
      </c>
      <c r="G818" s="159">
        <f>IFERROR(IF(WEEKDAY($A818,2)&lt;=INDEX('BASE METAS DIÁRIAS'!$H$2:$M$358,MATCH($A818,'BASE METAS DIÁRIAS'!$A$2:$A$358,0),MOD(ROW()-2,6)+1),INDEX('BASE METAS DIÁRIAS'!$B$2:$G$358,MATCH($A818,'BASE METAS DIÁRIAS'!$A$2:$A$358,0),MOD(ROW()-2,6)+1),""),"")</f>
        <v/>
      </c>
      <c r="H818" s="159">
        <f>IFERROR(IF(INDEX('CONTROLE PRODUÇÃO POR EMPRESAS'!$B$6:$G$5000,MATCH($A818,'CONTROLE PRODUÇÃO POR EMPRESAS'!$A$6:$A$5000,0),MOD(ROW()-2,6)+1)="","",IFERROR(1*INDEX('CONTROLE PRODUÇÃO POR EMPRESAS'!$B$6:$G$5000,MATCH($A818,'CONTROLE PRODUÇÃO POR EMPRESAS'!$A$6:$A$5000,0),MOD(ROW()-2,6)+1),"")),"")</f>
        <v/>
      </c>
      <c r="I818" s="159">
        <f>IF(OR(NOT(ISNUMBER(G818)),NOT(ISNUMBER(H818))),"",H818-G818)</f>
        <v/>
      </c>
      <c r="J818" s="319">
        <f>IF(OR(NOT(ISNUMBER(G818)),NOT(ISNUMBER(H818)),G818=0),"",I818/G818)</f>
        <v/>
      </c>
      <c r="K818" s="319">
        <f>IF(OR(NOT(ISNUMBER(G818)),NOT(ISNUMBER(H818)),G818=0),"",H818/G818)</f>
        <v/>
      </c>
      <c r="L818">
        <f>IF(NOT(ISNUMBER(G818)),"SEM META",IF(G818=0,"SEM META",IF(NOT(ISNUMBER(H818)),"SEM APONTAMENTO",IF(H818&gt;=G818,"VERDE",IF(H818&gt;=G818*0.9,"AMARELO","VERMELHO")))))</f>
        <v/>
      </c>
      <c r="M818" s="162" t="n"/>
      <c r="N818" s="162" t="n"/>
      <c r="O818" s="162" t="n"/>
      <c r="P818" s="162" t="n"/>
      <c r="Q818" s="320" t="n"/>
      <c r="R818" s="162" t="inlineStr">
        <is>
          <t>CONTROLE PRODUÇÃO POR EMPRESAS!B142</t>
        </is>
      </c>
    </row>
    <row r="819" ht="28.5" customHeight="1">
      <c r="A819" s="317" t="n">
        <v>46359</v>
      </c>
      <c r="B819" t="inlineStr">
        <is>
          <t>GERAL</t>
        </is>
      </c>
      <c r="C819" t="inlineStr">
        <is>
          <t>EJ</t>
        </is>
      </c>
      <c r="D819" t="inlineStr">
        <is>
          <t>IÇAMENTO JOIST</t>
        </is>
      </c>
      <c r="F819" s="159">
        <f>IFERROR(INDEX('BASE METAS DIÁRIAS'!$N$2:$S$358,MATCH($A819,'BASE METAS DIÁRIAS'!$A$2:$A$358,0),MOD(ROW()-2,6)+1),"")</f>
        <v/>
      </c>
      <c r="G819" s="159">
        <f>IFERROR(IF(WEEKDAY($A819,2)&lt;=INDEX('BASE METAS DIÁRIAS'!$H$2:$M$358,MATCH($A819,'BASE METAS DIÁRIAS'!$A$2:$A$358,0),MOD(ROW()-2,6)+1),INDEX('BASE METAS DIÁRIAS'!$B$2:$G$358,MATCH($A819,'BASE METAS DIÁRIAS'!$A$2:$A$358,0),MOD(ROW()-2,6)+1),""),"")</f>
        <v/>
      </c>
      <c r="H819" s="159">
        <f>IFERROR(IF(INDEX('CONTROLE PRODUÇÃO POR EMPRESAS'!$B$6:$G$5000,MATCH($A819,'CONTROLE PRODUÇÃO POR EMPRESAS'!$A$6:$A$5000,0),MOD(ROW()-2,6)+1)="","",IFERROR(1*INDEX('CONTROLE PRODUÇÃO POR EMPRESAS'!$B$6:$G$5000,MATCH($A819,'CONTROLE PRODUÇÃO POR EMPRESAS'!$A$6:$A$5000,0),MOD(ROW()-2,6)+1),"")),"")</f>
        <v/>
      </c>
      <c r="I819" s="159">
        <f>IF(OR(NOT(ISNUMBER(G819)),NOT(ISNUMBER(H819))),"",H819-G819)</f>
        <v/>
      </c>
      <c r="J819" s="319">
        <f>IF(OR(NOT(ISNUMBER(G819)),NOT(ISNUMBER(H819)),G819=0),"",I819/G819)</f>
        <v/>
      </c>
      <c r="K819" s="319">
        <f>IF(OR(NOT(ISNUMBER(G819)),NOT(ISNUMBER(H819)),G819=0),"",H819/G819)</f>
        <v/>
      </c>
      <c r="L819">
        <f>IF(NOT(ISNUMBER(G819)),"SEM META",IF(G819=0,"SEM META",IF(NOT(ISNUMBER(H819)),"SEM APONTAMENTO",IF(H819&gt;=G819,"VERDE",IF(H819&gt;=G819*0.9,"AMARELO","VERMELHO")))))</f>
        <v/>
      </c>
      <c r="M819" s="162" t="n"/>
      <c r="N819" s="162" t="n"/>
      <c r="O819" s="162" t="n"/>
      <c r="P819" s="162" t="n"/>
      <c r="Q819" s="320" t="n"/>
      <c r="R819" s="162" t="inlineStr">
        <is>
          <t>CONTROLE PRODUÇÃO POR EMPRESAS!C142</t>
        </is>
      </c>
    </row>
    <row r="820" ht="28.5" customHeight="1">
      <c r="A820" s="317" t="n">
        <v>46359</v>
      </c>
      <c r="B820" t="inlineStr">
        <is>
          <t>GERAL</t>
        </is>
      </c>
      <c r="C820" t="inlineStr">
        <is>
          <t>EJ</t>
        </is>
      </c>
      <c r="D820" t="inlineStr">
        <is>
          <t>VIGAS</t>
        </is>
      </c>
      <c r="F820" s="159">
        <f>IFERROR(INDEX('BASE METAS DIÁRIAS'!$N$2:$S$358,MATCH($A820,'BASE METAS DIÁRIAS'!$A$2:$A$358,0),MOD(ROW()-2,6)+1),"")</f>
        <v/>
      </c>
      <c r="G820" s="159">
        <f>IFERROR(IF(WEEKDAY($A820,2)&lt;=INDEX('BASE METAS DIÁRIAS'!$H$2:$M$358,MATCH($A820,'BASE METAS DIÁRIAS'!$A$2:$A$358,0),MOD(ROW()-2,6)+1),INDEX('BASE METAS DIÁRIAS'!$B$2:$G$358,MATCH($A820,'BASE METAS DIÁRIAS'!$A$2:$A$358,0),MOD(ROW()-2,6)+1),""),"")</f>
        <v/>
      </c>
      <c r="H820" s="159">
        <f>IFERROR(IF(INDEX('CONTROLE PRODUÇÃO POR EMPRESAS'!$B$6:$G$5000,MATCH($A820,'CONTROLE PRODUÇÃO POR EMPRESAS'!$A$6:$A$5000,0),MOD(ROW()-2,6)+1)="","",IFERROR(1*INDEX('CONTROLE PRODUÇÃO POR EMPRESAS'!$B$6:$G$5000,MATCH($A820,'CONTROLE PRODUÇÃO POR EMPRESAS'!$A$6:$A$5000,0),MOD(ROW()-2,6)+1),"")),"")</f>
        <v/>
      </c>
      <c r="I820" s="159">
        <f>IF(OR(NOT(ISNUMBER(G820)),NOT(ISNUMBER(H820))),"",H820-G820)</f>
        <v/>
      </c>
      <c r="J820" s="319">
        <f>IF(OR(NOT(ISNUMBER(G820)),NOT(ISNUMBER(H820)),G820=0),"",I820/G820)</f>
        <v/>
      </c>
      <c r="K820" s="319">
        <f>IF(OR(NOT(ISNUMBER(G820)),NOT(ISNUMBER(H820)),G820=0),"",H820/G820)</f>
        <v/>
      </c>
      <c r="L820">
        <f>IF(NOT(ISNUMBER(G820)),"SEM META",IF(G820=0,"SEM META",IF(NOT(ISNUMBER(H820)),"SEM APONTAMENTO",IF(H820&gt;=G820,"VERDE",IF(H820&gt;=G820*0.9,"AMARELO","VERMELHO")))))</f>
        <v/>
      </c>
      <c r="M820" s="162" t="n"/>
      <c r="N820" s="162" t="n"/>
      <c r="O820" s="162" t="n"/>
      <c r="P820" s="162" t="n"/>
      <c r="Q820" s="320" t="n"/>
      <c r="R820" s="162" t="inlineStr">
        <is>
          <t>CONTROLE PRODUÇÃO POR EMPRESAS!D142</t>
        </is>
      </c>
    </row>
    <row r="821" ht="28.5" customHeight="1">
      <c r="A821" s="317" t="n">
        <v>46359</v>
      </c>
      <c r="B821" t="inlineStr">
        <is>
          <t>GERAL</t>
        </is>
      </c>
      <c r="C821" t="inlineStr">
        <is>
          <t>CMM</t>
        </is>
      </c>
      <c r="D821" t="inlineStr">
        <is>
          <t>PREMONTAGEM</t>
        </is>
      </c>
      <c r="F821" s="159">
        <f>IFERROR(INDEX('BASE METAS DIÁRIAS'!$N$2:$S$358,MATCH($A821,'BASE METAS DIÁRIAS'!$A$2:$A$358,0),MOD(ROW()-2,6)+1),"")</f>
        <v/>
      </c>
      <c r="G821" s="159">
        <f>IFERROR(IF(WEEKDAY($A821,2)&lt;=INDEX('BASE METAS DIÁRIAS'!$H$2:$M$358,MATCH($A821,'BASE METAS DIÁRIAS'!$A$2:$A$358,0),MOD(ROW()-2,6)+1),INDEX('BASE METAS DIÁRIAS'!$B$2:$G$358,MATCH($A821,'BASE METAS DIÁRIAS'!$A$2:$A$358,0),MOD(ROW()-2,6)+1),""),"")</f>
        <v/>
      </c>
      <c r="H821" s="159">
        <f>IFERROR(IF(INDEX('CONTROLE PRODUÇÃO POR EMPRESAS'!$B$6:$G$5000,MATCH($A821,'CONTROLE PRODUÇÃO POR EMPRESAS'!$A$6:$A$5000,0),MOD(ROW()-2,6)+1)="","",IFERROR(1*INDEX('CONTROLE PRODUÇÃO POR EMPRESAS'!$B$6:$G$5000,MATCH($A821,'CONTROLE PRODUÇÃO POR EMPRESAS'!$A$6:$A$5000,0),MOD(ROW()-2,6)+1),"")),"")</f>
        <v/>
      </c>
      <c r="I821" s="159">
        <f>IF(OR(NOT(ISNUMBER(G821)),NOT(ISNUMBER(H821))),"",H821-G821)</f>
        <v/>
      </c>
      <c r="J821" s="319">
        <f>IF(OR(NOT(ISNUMBER(G821)),NOT(ISNUMBER(H821)),G821=0),"",I821/G821)</f>
        <v/>
      </c>
      <c r="K821" s="319">
        <f>IF(OR(NOT(ISNUMBER(G821)),NOT(ISNUMBER(H821)),G821=0),"",H821/G821)</f>
        <v/>
      </c>
      <c r="L821">
        <f>IF(NOT(ISNUMBER(G821)),"SEM META",IF(G821=0,"SEM META",IF(NOT(ISNUMBER(H821)),"SEM APONTAMENTO",IF(H821&gt;=G821,"VERDE",IF(H821&gt;=G821*0.9,"AMARELO","VERMELHO")))))</f>
        <v/>
      </c>
      <c r="M821" s="162" t="n"/>
      <c r="N821" s="162" t="n"/>
      <c r="O821" s="162" t="n"/>
      <c r="P821" s="162" t="n"/>
      <c r="Q821" s="320" t="n"/>
      <c r="R821" s="162" t="inlineStr">
        <is>
          <t>CONTROLE PRODUÇÃO POR EMPRESAS!E142</t>
        </is>
      </c>
    </row>
    <row r="822" ht="28.5" customHeight="1">
      <c r="A822" s="317" t="n">
        <v>46359</v>
      </c>
      <c r="B822" t="inlineStr">
        <is>
          <t>GERAL</t>
        </is>
      </c>
      <c r="C822" t="inlineStr">
        <is>
          <t>CMM</t>
        </is>
      </c>
      <c r="D822" t="inlineStr">
        <is>
          <t>IÇAMENTO JOIST</t>
        </is>
      </c>
      <c r="F822" s="159">
        <f>IFERROR(INDEX('BASE METAS DIÁRIAS'!$N$2:$S$358,MATCH($A822,'BASE METAS DIÁRIAS'!$A$2:$A$358,0),MOD(ROW()-2,6)+1),"")</f>
        <v/>
      </c>
      <c r="G822" s="159">
        <f>IFERROR(IF(WEEKDAY($A822,2)&lt;=INDEX('BASE METAS DIÁRIAS'!$H$2:$M$358,MATCH($A822,'BASE METAS DIÁRIAS'!$A$2:$A$358,0),MOD(ROW()-2,6)+1),INDEX('BASE METAS DIÁRIAS'!$B$2:$G$358,MATCH($A822,'BASE METAS DIÁRIAS'!$A$2:$A$358,0),MOD(ROW()-2,6)+1),""),"")</f>
        <v/>
      </c>
      <c r="H822" s="159">
        <f>IFERROR(IF(INDEX('CONTROLE PRODUÇÃO POR EMPRESAS'!$B$6:$G$5000,MATCH($A822,'CONTROLE PRODUÇÃO POR EMPRESAS'!$A$6:$A$5000,0),MOD(ROW()-2,6)+1)="","",IFERROR(1*INDEX('CONTROLE PRODUÇÃO POR EMPRESAS'!$B$6:$G$5000,MATCH($A822,'CONTROLE PRODUÇÃO POR EMPRESAS'!$A$6:$A$5000,0),MOD(ROW()-2,6)+1),"")),"")</f>
        <v/>
      </c>
      <c r="I822" s="159">
        <f>IF(OR(NOT(ISNUMBER(G822)),NOT(ISNUMBER(H822))),"",H822-G822)</f>
        <v/>
      </c>
      <c r="J822" s="319">
        <f>IF(OR(NOT(ISNUMBER(G822)),NOT(ISNUMBER(H822)),G822=0),"",I822/G822)</f>
        <v/>
      </c>
      <c r="K822" s="319">
        <f>IF(OR(NOT(ISNUMBER(G822)),NOT(ISNUMBER(H822)),G822=0),"",H822/G822)</f>
        <v/>
      </c>
      <c r="L822">
        <f>IF(NOT(ISNUMBER(G822)),"SEM META",IF(G822=0,"SEM META",IF(NOT(ISNUMBER(H822)),"SEM APONTAMENTO",IF(H822&gt;=G822,"VERDE",IF(H822&gt;=G822*0.9,"AMARELO","VERMELHO")))))</f>
        <v/>
      </c>
      <c r="M822" s="162" t="n"/>
      <c r="N822" s="162" t="n"/>
      <c r="O822" s="162" t="n"/>
      <c r="P822" s="162" t="n"/>
      <c r="Q822" s="320" t="n"/>
      <c r="R822" s="162" t="inlineStr">
        <is>
          <t>CONTROLE PRODUÇÃO POR EMPRESAS!F142</t>
        </is>
      </c>
    </row>
    <row r="823" ht="28.5" customHeight="1">
      <c r="A823" s="317" t="n">
        <v>46359</v>
      </c>
      <c r="B823" t="inlineStr">
        <is>
          <t>GERAL</t>
        </is>
      </c>
      <c r="C823" t="inlineStr">
        <is>
          <t>CMM</t>
        </is>
      </c>
      <c r="D823" t="inlineStr">
        <is>
          <t>VIGAS</t>
        </is>
      </c>
      <c r="F823" s="159">
        <f>IFERROR(INDEX('BASE METAS DIÁRIAS'!$N$2:$S$358,MATCH($A823,'BASE METAS DIÁRIAS'!$A$2:$A$358,0),MOD(ROW()-2,6)+1),"")</f>
        <v/>
      </c>
      <c r="G823" s="159">
        <f>IFERROR(IF(WEEKDAY($A823,2)&lt;=INDEX('BASE METAS DIÁRIAS'!$H$2:$M$358,MATCH($A823,'BASE METAS DIÁRIAS'!$A$2:$A$358,0),MOD(ROW()-2,6)+1),INDEX('BASE METAS DIÁRIAS'!$B$2:$G$358,MATCH($A823,'BASE METAS DIÁRIAS'!$A$2:$A$358,0),MOD(ROW()-2,6)+1),""),"")</f>
        <v/>
      </c>
      <c r="H823" s="159">
        <f>IFERROR(IF(INDEX('CONTROLE PRODUÇÃO POR EMPRESAS'!$B$6:$G$5000,MATCH($A823,'CONTROLE PRODUÇÃO POR EMPRESAS'!$A$6:$A$5000,0),MOD(ROW()-2,6)+1)="","",IFERROR(1*INDEX('CONTROLE PRODUÇÃO POR EMPRESAS'!$B$6:$G$5000,MATCH($A823,'CONTROLE PRODUÇÃO POR EMPRESAS'!$A$6:$A$5000,0),MOD(ROW()-2,6)+1),"")),"")</f>
        <v/>
      </c>
      <c r="I823" s="159">
        <f>IF(OR(NOT(ISNUMBER(G823)),NOT(ISNUMBER(H823))),"",H823-G823)</f>
        <v/>
      </c>
      <c r="J823" s="319">
        <f>IF(OR(NOT(ISNUMBER(G823)),NOT(ISNUMBER(H823)),G823=0),"",I823/G823)</f>
        <v/>
      </c>
      <c r="K823" s="319">
        <f>IF(OR(NOT(ISNUMBER(G823)),NOT(ISNUMBER(H823)),G823=0),"",H823/G823)</f>
        <v/>
      </c>
      <c r="L823">
        <f>IF(NOT(ISNUMBER(G823)),"SEM META",IF(G823=0,"SEM META",IF(NOT(ISNUMBER(H823)),"SEM APONTAMENTO",IF(H823&gt;=G823,"VERDE",IF(H823&gt;=G823*0.9,"AMARELO","VERMELHO")))))</f>
        <v/>
      </c>
      <c r="M823" s="162" t="n"/>
      <c r="N823" s="162" t="n"/>
      <c r="O823" s="162" t="n"/>
      <c r="P823" s="162" t="n"/>
      <c r="Q823" s="320" t="n"/>
      <c r="R823" s="162" t="inlineStr">
        <is>
          <t>CONTROLE PRODUÇÃO POR EMPRESAS!G142</t>
        </is>
      </c>
    </row>
    <row r="824" ht="28.5" customHeight="1">
      <c r="A824" s="317" t="n">
        <v>46360</v>
      </c>
      <c r="B824" t="inlineStr">
        <is>
          <t>GERAL</t>
        </is>
      </c>
      <c r="C824" t="inlineStr">
        <is>
          <t>EJ</t>
        </is>
      </c>
      <c r="D824" t="inlineStr">
        <is>
          <t>PREMONTAGEM</t>
        </is>
      </c>
      <c r="F824" s="159">
        <f>IFERROR(INDEX('BASE METAS DIÁRIAS'!$N$2:$S$358,MATCH($A824,'BASE METAS DIÁRIAS'!$A$2:$A$358,0),MOD(ROW()-2,6)+1),"")</f>
        <v/>
      </c>
      <c r="G824" s="159">
        <f>IFERROR(IF(WEEKDAY($A824,2)&lt;=INDEX('BASE METAS DIÁRIAS'!$H$2:$M$358,MATCH($A824,'BASE METAS DIÁRIAS'!$A$2:$A$358,0),MOD(ROW()-2,6)+1),INDEX('BASE METAS DIÁRIAS'!$B$2:$G$358,MATCH($A824,'BASE METAS DIÁRIAS'!$A$2:$A$358,0),MOD(ROW()-2,6)+1),""),"")</f>
        <v/>
      </c>
      <c r="H824" s="159">
        <f>IFERROR(IF(INDEX('CONTROLE PRODUÇÃO POR EMPRESAS'!$B$6:$G$5000,MATCH($A824,'CONTROLE PRODUÇÃO POR EMPRESAS'!$A$6:$A$5000,0),MOD(ROW()-2,6)+1)="","",IFERROR(1*INDEX('CONTROLE PRODUÇÃO POR EMPRESAS'!$B$6:$G$5000,MATCH($A824,'CONTROLE PRODUÇÃO POR EMPRESAS'!$A$6:$A$5000,0),MOD(ROW()-2,6)+1),"")),"")</f>
        <v/>
      </c>
      <c r="I824" s="159">
        <f>IF(OR(NOT(ISNUMBER(G824)),NOT(ISNUMBER(H824))),"",H824-G824)</f>
        <v/>
      </c>
      <c r="J824" s="319">
        <f>IF(OR(NOT(ISNUMBER(G824)),NOT(ISNUMBER(H824)),G824=0),"",I824/G824)</f>
        <v/>
      </c>
      <c r="K824" s="319">
        <f>IF(OR(NOT(ISNUMBER(G824)),NOT(ISNUMBER(H824)),G824=0),"",H824/G824)</f>
        <v/>
      </c>
      <c r="L824">
        <f>IF(NOT(ISNUMBER(G824)),"SEM META",IF(G824=0,"SEM META",IF(NOT(ISNUMBER(H824)),"SEM APONTAMENTO",IF(H824&gt;=G824,"VERDE",IF(H824&gt;=G824*0.9,"AMARELO","VERMELHO")))))</f>
        <v/>
      </c>
      <c r="M824" s="162" t="n"/>
      <c r="N824" s="162" t="n"/>
      <c r="O824" s="162" t="n"/>
      <c r="P824" s="162" t="n"/>
      <c r="Q824" s="320" t="n"/>
      <c r="R824" s="162" t="inlineStr">
        <is>
          <t>CONTROLE PRODUÇÃO POR EMPRESAS!B143</t>
        </is>
      </c>
    </row>
    <row r="825" ht="28.5" customHeight="1">
      <c r="A825" s="317" t="n">
        <v>46360</v>
      </c>
      <c r="B825" t="inlineStr">
        <is>
          <t>GERAL</t>
        </is>
      </c>
      <c r="C825" t="inlineStr">
        <is>
          <t>EJ</t>
        </is>
      </c>
      <c r="D825" t="inlineStr">
        <is>
          <t>IÇAMENTO JOIST</t>
        </is>
      </c>
      <c r="F825" s="159">
        <f>IFERROR(INDEX('BASE METAS DIÁRIAS'!$N$2:$S$358,MATCH($A825,'BASE METAS DIÁRIAS'!$A$2:$A$358,0),MOD(ROW()-2,6)+1),"")</f>
        <v/>
      </c>
      <c r="G825" s="159">
        <f>IFERROR(IF(WEEKDAY($A825,2)&lt;=INDEX('BASE METAS DIÁRIAS'!$H$2:$M$358,MATCH($A825,'BASE METAS DIÁRIAS'!$A$2:$A$358,0),MOD(ROW()-2,6)+1),INDEX('BASE METAS DIÁRIAS'!$B$2:$G$358,MATCH($A825,'BASE METAS DIÁRIAS'!$A$2:$A$358,0),MOD(ROW()-2,6)+1),""),"")</f>
        <v/>
      </c>
      <c r="H825" s="159">
        <f>IFERROR(IF(INDEX('CONTROLE PRODUÇÃO POR EMPRESAS'!$B$6:$G$5000,MATCH($A825,'CONTROLE PRODUÇÃO POR EMPRESAS'!$A$6:$A$5000,0),MOD(ROW()-2,6)+1)="","",IFERROR(1*INDEX('CONTROLE PRODUÇÃO POR EMPRESAS'!$B$6:$G$5000,MATCH($A825,'CONTROLE PRODUÇÃO POR EMPRESAS'!$A$6:$A$5000,0),MOD(ROW()-2,6)+1),"")),"")</f>
        <v/>
      </c>
      <c r="I825" s="159">
        <f>IF(OR(NOT(ISNUMBER(G825)),NOT(ISNUMBER(H825))),"",H825-G825)</f>
        <v/>
      </c>
      <c r="J825" s="319">
        <f>IF(OR(NOT(ISNUMBER(G825)),NOT(ISNUMBER(H825)),G825=0),"",I825/G825)</f>
        <v/>
      </c>
      <c r="K825" s="319">
        <f>IF(OR(NOT(ISNUMBER(G825)),NOT(ISNUMBER(H825)),G825=0),"",H825/G825)</f>
        <v/>
      </c>
      <c r="L825">
        <f>IF(NOT(ISNUMBER(G825)),"SEM META",IF(G825=0,"SEM META",IF(NOT(ISNUMBER(H825)),"SEM APONTAMENTO",IF(H825&gt;=G825,"VERDE",IF(H825&gt;=G825*0.9,"AMARELO","VERMELHO")))))</f>
        <v/>
      </c>
      <c r="M825" s="162" t="n"/>
      <c r="N825" s="162" t="n"/>
      <c r="O825" s="162" t="n"/>
      <c r="P825" s="162" t="n"/>
      <c r="Q825" s="320" t="n"/>
      <c r="R825" s="162" t="inlineStr">
        <is>
          <t>CONTROLE PRODUÇÃO POR EMPRESAS!C143</t>
        </is>
      </c>
    </row>
    <row r="826" ht="28.5" customHeight="1">
      <c r="A826" s="317" t="n">
        <v>46360</v>
      </c>
      <c r="B826" t="inlineStr">
        <is>
          <t>GERAL</t>
        </is>
      </c>
      <c r="C826" t="inlineStr">
        <is>
          <t>EJ</t>
        </is>
      </c>
      <c r="D826" t="inlineStr">
        <is>
          <t>VIGAS</t>
        </is>
      </c>
      <c r="F826" s="159">
        <f>IFERROR(INDEX('BASE METAS DIÁRIAS'!$N$2:$S$358,MATCH($A826,'BASE METAS DIÁRIAS'!$A$2:$A$358,0),MOD(ROW()-2,6)+1),"")</f>
        <v/>
      </c>
      <c r="G826" s="159">
        <f>IFERROR(IF(WEEKDAY($A826,2)&lt;=INDEX('BASE METAS DIÁRIAS'!$H$2:$M$358,MATCH($A826,'BASE METAS DIÁRIAS'!$A$2:$A$358,0),MOD(ROW()-2,6)+1),INDEX('BASE METAS DIÁRIAS'!$B$2:$G$358,MATCH($A826,'BASE METAS DIÁRIAS'!$A$2:$A$358,0),MOD(ROW()-2,6)+1),""),"")</f>
        <v/>
      </c>
      <c r="H826" s="159">
        <f>IFERROR(IF(INDEX('CONTROLE PRODUÇÃO POR EMPRESAS'!$B$6:$G$5000,MATCH($A826,'CONTROLE PRODUÇÃO POR EMPRESAS'!$A$6:$A$5000,0),MOD(ROW()-2,6)+1)="","",IFERROR(1*INDEX('CONTROLE PRODUÇÃO POR EMPRESAS'!$B$6:$G$5000,MATCH($A826,'CONTROLE PRODUÇÃO POR EMPRESAS'!$A$6:$A$5000,0),MOD(ROW()-2,6)+1),"")),"")</f>
        <v/>
      </c>
      <c r="I826" s="159">
        <f>IF(OR(NOT(ISNUMBER(G826)),NOT(ISNUMBER(H826))),"",H826-G826)</f>
        <v/>
      </c>
      <c r="J826" s="319">
        <f>IF(OR(NOT(ISNUMBER(G826)),NOT(ISNUMBER(H826)),G826=0),"",I826/G826)</f>
        <v/>
      </c>
      <c r="K826" s="319">
        <f>IF(OR(NOT(ISNUMBER(G826)),NOT(ISNUMBER(H826)),G826=0),"",H826/G826)</f>
        <v/>
      </c>
      <c r="L826">
        <f>IF(NOT(ISNUMBER(G826)),"SEM META",IF(G826=0,"SEM META",IF(NOT(ISNUMBER(H826)),"SEM APONTAMENTO",IF(H826&gt;=G826,"VERDE",IF(H826&gt;=G826*0.9,"AMARELO","VERMELHO")))))</f>
        <v/>
      </c>
      <c r="M826" s="162" t="n"/>
      <c r="N826" s="162" t="n"/>
      <c r="O826" s="162" t="n"/>
      <c r="P826" s="162" t="n"/>
      <c r="Q826" s="320" t="n"/>
      <c r="R826" s="162" t="inlineStr">
        <is>
          <t>CONTROLE PRODUÇÃO POR EMPRESAS!D143</t>
        </is>
      </c>
    </row>
    <row r="827" ht="28.5" customHeight="1">
      <c r="A827" s="317" t="n">
        <v>46360</v>
      </c>
      <c r="B827" t="inlineStr">
        <is>
          <t>GERAL</t>
        </is>
      </c>
      <c r="C827" t="inlineStr">
        <is>
          <t>CMM</t>
        </is>
      </c>
      <c r="D827" t="inlineStr">
        <is>
          <t>PREMONTAGEM</t>
        </is>
      </c>
      <c r="F827" s="159">
        <f>IFERROR(INDEX('BASE METAS DIÁRIAS'!$N$2:$S$358,MATCH($A827,'BASE METAS DIÁRIAS'!$A$2:$A$358,0),MOD(ROW()-2,6)+1),"")</f>
        <v/>
      </c>
      <c r="G827" s="159">
        <f>IFERROR(IF(WEEKDAY($A827,2)&lt;=INDEX('BASE METAS DIÁRIAS'!$H$2:$M$358,MATCH($A827,'BASE METAS DIÁRIAS'!$A$2:$A$358,0),MOD(ROW()-2,6)+1),INDEX('BASE METAS DIÁRIAS'!$B$2:$G$358,MATCH($A827,'BASE METAS DIÁRIAS'!$A$2:$A$358,0),MOD(ROW()-2,6)+1),""),"")</f>
        <v/>
      </c>
      <c r="H827" s="159">
        <f>IFERROR(IF(INDEX('CONTROLE PRODUÇÃO POR EMPRESAS'!$B$6:$G$5000,MATCH($A827,'CONTROLE PRODUÇÃO POR EMPRESAS'!$A$6:$A$5000,0),MOD(ROW()-2,6)+1)="","",IFERROR(1*INDEX('CONTROLE PRODUÇÃO POR EMPRESAS'!$B$6:$G$5000,MATCH($A827,'CONTROLE PRODUÇÃO POR EMPRESAS'!$A$6:$A$5000,0),MOD(ROW()-2,6)+1),"")),"")</f>
        <v/>
      </c>
      <c r="I827" s="159">
        <f>IF(OR(NOT(ISNUMBER(G827)),NOT(ISNUMBER(H827))),"",H827-G827)</f>
        <v/>
      </c>
      <c r="J827" s="319">
        <f>IF(OR(NOT(ISNUMBER(G827)),NOT(ISNUMBER(H827)),G827=0),"",I827/G827)</f>
        <v/>
      </c>
      <c r="K827" s="319">
        <f>IF(OR(NOT(ISNUMBER(G827)),NOT(ISNUMBER(H827)),G827=0),"",H827/G827)</f>
        <v/>
      </c>
      <c r="L827">
        <f>IF(NOT(ISNUMBER(G827)),"SEM META",IF(G827=0,"SEM META",IF(NOT(ISNUMBER(H827)),"SEM APONTAMENTO",IF(H827&gt;=G827,"VERDE",IF(H827&gt;=G827*0.9,"AMARELO","VERMELHO")))))</f>
        <v/>
      </c>
      <c r="M827" s="162" t="n"/>
      <c r="N827" s="162" t="n"/>
      <c r="O827" s="162" t="n"/>
      <c r="P827" s="162" t="n"/>
      <c r="Q827" s="320" t="n"/>
      <c r="R827" s="162" t="inlineStr">
        <is>
          <t>CONTROLE PRODUÇÃO POR EMPRESAS!E143</t>
        </is>
      </c>
    </row>
    <row r="828" ht="28.5" customHeight="1">
      <c r="A828" s="317" t="n">
        <v>46360</v>
      </c>
      <c r="B828" t="inlineStr">
        <is>
          <t>GERAL</t>
        </is>
      </c>
      <c r="C828" t="inlineStr">
        <is>
          <t>CMM</t>
        </is>
      </c>
      <c r="D828" t="inlineStr">
        <is>
          <t>IÇAMENTO JOIST</t>
        </is>
      </c>
      <c r="F828" s="159">
        <f>IFERROR(INDEX('BASE METAS DIÁRIAS'!$N$2:$S$358,MATCH($A828,'BASE METAS DIÁRIAS'!$A$2:$A$358,0),MOD(ROW()-2,6)+1),"")</f>
        <v/>
      </c>
      <c r="G828" s="159">
        <f>IFERROR(IF(WEEKDAY($A828,2)&lt;=INDEX('BASE METAS DIÁRIAS'!$H$2:$M$358,MATCH($A828,'BASE METAS DIÁRIAS'!$A$2:$A$358,0),MOD(ROW()-2,6)+1),INDEX('BASE METAS DIÁRIAS'!$B$2:$G$358,MATCH($A828,'BASE METAS DIÁRIAS'!$A$2:$A$358,0),MOD(ROW()-2,6)+1),""),"")</f>
        <v/>
      </c>
      <c r="H828" s="159">
        <f>IFERROR(IF(INDEX('CONTROLE PRODUÇÃO POR EMPRESAS'!$B$6:$G$5000,MATCH($A828,'CONTROLE PRODUÇÃO POR EMPRESAS'!$A$6:$A$5000,0),MOD(ROW()-2,6)+1)="","",IFERROR(1*INDEX('CONTROLE PRODUÇÃO POR EMPRESAS'!$B$6:$G$5000,MATCH($A828,'CONTROLE PRODUÇÃO POR EMPRESAS'!$A$6:$A$5000,0),MOD(ROW()-2,6)+1),"")),"")</f>
        <v/>
      </c>
      <c r="I828" s="159">
        <f>IF(OR(NOT(ISNUMBER(G828)),NOT(ISNUMBER(H828))),"",H828-G828)</f>
        <v/>
      </c>
      <c r="J828" s="319">
        <f>IF(OR(NOT(ISNUMBER(G828)),NOT(ISNUMBER(H828)),G828=0),"",I828/G828)</f>
        <v/>
      </c>
      <c r="K828" s="319">
        <f>IF(OR(NOT(ISNUMBER(G828)),NOT(ISNUMBER(H828)),G828=0),"",H828/G828)</f>
        <v/>
      </c>
      <c r="L828">
        <f>IF(NOT(ISNUMBER(G828)),"SEM META",IF(G828=0,"SEM META",IF(NOT(ISNUMBER(H828)),"SEM APONTAMENTO",IF(H828&gt;=G828,"VERDE",IF(H828&gt;=G828*0.9,"AMARELO","VERMELHO")))))</f>
        <v/>
      </c>
      <c r="M828" s="162" t="n"/>
      <c r="N828" s="162" t="n"/>
      <c r="O828" s="162" t="n"/>
      <c r="P828" s="162" t="n"/>
      <c r="Q828" s="320" t="n"/>
      <c r="R828" s="162" t="inlineStr">
        <is>
          <t>CONTROLE PRODUÇÃO POR EMPRESAS!F143</t>
        </is>
      </c>
    </row>
    <row r="829" ht="28.5" customHeight="1">
      <c r="A829" s="317" t="n">
        <v>46360</v>
      </c>
      <c r="B829" t="inlineStr">
        <is>
          <t>GERAL</t>
        </is>
      </c>
      <c r="C829" t="inlineStr">
        <is>
          <t>CMM</t>
        </is>
      </c>
      <c r="D829" t="inlineStr">
        <is>
          <t>VIGAS</t>
        </is>
      </c>
      <c r="F829" s="159">
        <f>IFERROR(INDEX('BASE METAS DIÁRIAS'!$N$2:$S$358,MATCH($A829,'BASE METAS DIÁRIAS'!$A$2:$A$358,0),MOD(ROW()-2,6)+1),"")</f>
        <v/>
      </c>
      <c r="G829" s="159">
        <f>IFERROR(IF(WEEKDAY($A829,2)&lt;=INDEX('BASE METAS DIÁRIAS'!$H$2:$M$358,MATCH($A829,'BASE METAS DIÁRIAS'!$A$2:$A$358,0),MOD(ROW()-2,6)+1),INDEX('BASE METAS DIÁRIAS'!$B$2:$G$358,MATCH($A829,'BASE METAS DIÁRIAS'!$A$2:$A$358,0),MOD(ROW()-2,6)+1),""),"")</f>
        <v/>
      </c>
      <c r="H829" s="159">
        <f>IFERROR(IF(INDEX('CONTROLE PRODUÇÃO POR EMPRESAS'!$B$6:$G$5000,MATCH($A829,'CONTROLE PRODUÇÃO POR EMPRESAS'!$A$6:$A$5000,0),MOD(ROW()-2,6)+1)="","",IFERROR(1*INDEX('CONTROLE PRODUÇÃO POR EMPRESAS'!$B$6:$G$5000,MATCH($A829,'CONTROLE PRODUÇÃO POR EMPRESAS'!$A$6:$A$5000,0),MOD(ROW()-2,6)+1),"")),"")</f>
        <v/>
      </c>
      <c r="I829" s="159">
        <f>IF(OR(NOT(ISNUMBER(G829)),NOT(ISNUMBER(H829))),"",H829-G829)</f>
        <v/>
      </c>
      <c r="J829" s="319">
        <f>IF(OR(NOT(ISNUMBER(G829)),NOT(ISNUMBER(H829)),G829=0),"",I829/G829)</f>
        <v/>
      </c>
      <c r="K829" s="319">
        <f>IF(OR(NOT(ISNUMBER(G829)),NOT(ISNUMBER(H829)),G829=0),"",H829/G829)</f>
        <v/>
      </c>
      <c r="L829">
        <f>IF(NOT(ISNUMBER(G829)),"SEM META",IF(G829=0,"SEM META",IF(NOT(ISNUMBER(H829)),"SEM APONTAMENTO",IF(H829&gt;=G829,"VERDE",IF(H829&gt;=G829*0.9,"AMARELO","VERMELHO")))))</f>
        <v/>
      </c>
      <c r="M829" s="162" t="n"/>
      <c r="N829" s="162" t="n"/>
      <c r="O829" s="162" t="n"/>
      <c r="P829" s="162" t="n"/>
      <c r="Q829" s="320" t="n"/>
      <c r="R829" s="162" t="inlineStr">
        <is>
          <t>CONTROLE PRODUÇÃO POR EMPRESAS!G143</t>
        </is>
      </c>
    </row>
    <row r="830" ht="28.5" customHeight="1">
      <c r="A830" s="317" t="n">
        <v>46361</v>
      </c>
      <c r="B830" t="inlineStr">
        <is>
          <t>GERAL</t>
        </is>
      </c>
      <c r="C830" t="inlineStr">
        <is>
          <t>EJ</t>
        </is>
      </c>
      <c r="D830" t="inlineStr">
        <is>
          <t>PREMONTAGEM</t>
        </is>
      </c>
      <c r="F830" s="159">
        <f>IFERROR(INDEX('BASE METAS DIÁRIAS'!$N$2:$S$358,MATCH($A830,'BASE METAS DIÁRIAS'!$A$2:$A$358,0),MOD(ROW()-2,6)+1),"")</f>
        <v/>
      </c>
      <c r="G830" s="159">
        <f>IFERROR(IF(WEEKDAY($A830,2)&lt;=INDEX('BASE METAS DIÁRIAS'!$H$2:$M$358,MATCH($A830,'BASE METAS DIÁRIAS'!$A$2:$A$358,0),MOD(ROW()-2,6)+1),INDEX('BASE METAS DIÁRIAS'!$B$2:$G$358,MATCH($A830,'BASE METAS DIÁRIAS'!$A$2:$A$358,0),MOD(ROW()-2,6)+1),""),"")</f>
        <v/>
      </c>
      <c r="H830" s="159">
        <f>IFERROR(IF(INDEX('CONTROLE PRODUÇÃO POR EMPRESAS'!$B$6:$G$5000,MATCH($A830,'CONTROLE PRODUÇÃO POR EMPRESAS'!$A$6:$A$5000,0),MOD(ROW()-2,6)+1)="","",IFERROR(1*INDEX('CONTROLE PRODUÇÃO POR EMPRESAS'!$B$6:$G$5000,MATCH($A830,'CONTROLE PRODUÇÃO POR EMPRESAS'!$A$6:$A$5000,0),MOD(ROW()-2,6)+1),"")),"")</f>
        <v/>
      </c>
      <c r="I830" s="159">
        <f>IF(OR(NOT(ISNUMBER(G830)),NOT(ISNUMBER(H830))),"",H830-G830)</f>
        <v/>
      </c>
      <c r="J830" s="319">
        <f>IF(OR(NOT(ISNUMBER(G830)),NOT(ISNUMBER(H830)),G830=0),"",I830/G830)</f>
        <v/>
      </c>
      <c r="K830" s="319">
        <f>IF(OR(NOT(ISNUMBER(G830)),NOT(ISNUMBER(H830)),G830=0),"",H830/G830)</f>
        <v/>
      </c>
      <c r="L830">
        <f>IF(NOT(ISNUMBER(G830)),"SEM META",IF(G830=0,"SEM META",IF(NOT(ISNUMBER(H830)),"SEM APONTAMENTO",IF(H830&gt;=G830,"VERDE",IF(H830&gt;=G830*0.9,"AMARELO","VERMELHO")))))</f>
        <v/>
      </c>
      <c r="M830" s="162" t="n"/>
      <c r="N830" s="162" t="n"/>
      <c r="O830" s="162" t="n"/>
      <c r="P830" s="162" t="n"/>
      <c r="Q830" s="320" t="n"/>
      <c r="R830" s="162" t="inlineStr">
        <is>
          <t>CONTROLE PRODUÇÃO POR EMPRESAS!B144</t>
        </is>
      </c>
    </row>
    <row r="831" ht="28.5" customHeight="1">
      <c r="A831" s="317" t="n">
        <v>46361</v>
      </c>
      <c r="B831" t="inlineStr">
        <is>
          <t>GERAL</t>
        </is>
      </c>
      <c r="C831" t="inlineStr">
        <is>
          <t>EJ</t>
        </is>
      </c>
      <c r="D831" t="inlineStr">
        <is>
          <t>IÇAMENTO JOIST</t>
        </is>
      </c>
      <c r="F831" s="159">
        <f>IFERROR(INDEX('BASE METAS DIÁRIAS'!$N$2:$S$358,MATCH($A831,'BASE METAS DIÁRIAS'!$A$2:$A$358,0),MOD(ROW()-2,6)+1),"")</f>
        <v/>
      </c>
      <c r="G831" s="159">
        <f>IFERROR(IF(WEEKDAY($A831,2)&lt;=INDEX('BASE METAS DIÁRIAS'!$H$2:$M$358,MATCH($A831,'BASE METAS DIÁRIAS'!$A$2:$A$358,0),MOD(ROW()-2,6)+1),INDEX('BASE METAS DIÁRIAS'!$B$2:$G$358,MATCH($A831,'BASE METAS DIÁRIAS'!$A$2:$A$358,0),MOD(ROW()-2,6)+1),""),"")</f>
        <v/>
      </c>
      <c r="H831" s="159">
        <f>IFERROR(IF(INDEX('CONTROLE PRODUÇÃO POR EMPRESAS'!$B$6:$G$5000,MATCH($A831,'CONTROLE PRODUÇÃO POR EMPRESAS'!$A$6:$A$5000,0),MOD(ROW()-2,6)+1)="","",IFERROR(1*INDEX('CONTROLE PRODUÇÃO POR EMPRESAS'!$B$6:$G$5000,MATCH($A831,'CONTROLE PRODUÇÃO POR EMPRESAS'!$A$6:$A$5000,0),MOD(ROW()-2,6)+1),"")),"")</f>
        <v/>
      </c>
      <c r="I831" s="159">
        <f>IF(OR(NOT(ISNUMBER(G831)),NOT(ISNUMBER(H831))),"",H831-G831)</f>
        <v/>
      </c>
      <c r="J831" s="319">
        <f>IF(OR(NOT(ISNUMBER(G831)),NOT(ISNUMBER(H831)),G831=0),"",I831/G831)</f>
        <v/>
      </c>
      <c r="K831" s="319">
        <f>IF(OR(NOT(ISNUMBER(G831)),NOT(ISNUMBER(H831)),G831=0),"",H831/G831)</f>
        <v/>
      </c>
      <c r="L831">
        <f>IF(NOT(ISNUMBER(G831)),"SEM META",IF(G831=0,"SEM META",IF(NOT(ISNUMBER(H831)),"SEM APONTAMENTO",IF(H831&gt;=G831,"VERDE",IF(H831&gt;=G831*0.9,"AMARELO","VERMELHO")))))</f>
        <v/>
      </c>
      <c r="M831" s="162" t="n"/>
      <c r="N831" s="162" t="n"/>
      <c r="O831" s="162" t="n"/>
      <c r="P831" s="162" t="n"/>
      <c r="Q831" s="320" t="n"/>
      <c r="R831" s="162" t="inlineStr">
        <is>
          <t>CONTROLE PRODUÇÃO POR EMPRESAS!C144</t>
        </is>
      </c>
    </row>
    <row r="832" ht="28.5" customHeight="1">
      <c r="A832" s="317" t="n">
        <v>46361</v>
      </c>
      <c r="B832" t="inlineStr">
        <is>
          <t>GERAL</t>
        </is>
      </c>
      <c r="C832" t="inlineStr">
        <is>
          <t>EJ</t>
        </is>
      </c>
      <c r="D832" t="inlineStr">
        <is>
          <t>VIGAS</t>
        </is>
      </c>
      <c r="F832" s="159">
        <f>IFERROR(INDEX('BASE METAS DIÁRIAS'!$N$2:$S$358,MATCH($A832,'BASE METAS DIÁRIAS'!$A$2:$A$358,0),MOD(ROW()-2,6)+1),"")</f>
        <v/>
      </c>
      <c r="G832" s="159">
        <f>IFERROR(IF(WEEKDAY($A832,2)&lt;=INDEX('BASE METAS DIÁRIAS'!$H$2:$M$358,MATCH($A832,'BASE METAS DIÁRIAS'!$A$2:$A$358,0),MOD(ROW()-2,6)+1),INDEX('BASE METAS DIÁRIAS'!$B$2:$G$358,MATCH($A832,'BASE METAS DIÁRIAS'!$A$2:$A$358,0),MOD(ROW()-2,6)+1),""),"")</f>
        <v/>
      </c>
      <c r="H832" s="159">
        <f>IFERROR(IF(INDEX('CONTROLE PRODUÇÃO POR EMPRESAS'!$B$6:$G$5000,MATCH($A832,'CONTROLE PRODUÇÃO POR EMPRESAS'!$A$6:$A$5000,0),MOD(ROW()-2,6)+1)="","",IFERROR(1*INDEX('CONTROLE PRODUÇÃO POR EMPRESAS'!$B$6:$G$5000,MATCH($A832,'CONTROLE PRODUÇÃO POR EMPRESAS'!$A$6:$A$5000,0),MOD(ROW()-2,6)+1),"")),"")</f>
        <v/>
      </c>
      <c r="I832" s="159">
        <f>IF(OR(NOT(ISNUMBER(G832)),NOT(ISNUMBER(H832))),"",H832-G832)</f>
        <v/>
      </c>
      <c r="J832" s="319">
        <f>IF(OR(NOT(ISNUMBER(G832)),NOT(ISNUMBER(H832)),G832=0),"",I832/G832)</f>
        <v/>
      </c>
      <c r="K832" s="319">
        <f>IF(OR(NOT(ISNUMBER(G832)),NOT(ISNUMBER(H832)),G832=0),"",H832/G832)</f>
        <v/>
      </c>
      <c r="L832">
        <f>IF(NOT(ISNUMBER(G832)),"SEM META",IF(G832=0,"SEM META",IF(NOT(ISNUMBER(H832)),"SEM APONTAMENTO",IF(H832&gt;=G832,"VERDE",IF(H832&gt;=G832*0.9,"AMARELO","VERMELHO")))))</f>
        <v/>
      </c>
      <c r="M832" s="162" t="n"/>
      <c r="N832" s="162" t="n"/>
      <c r="O832" s="162" t="n"/>
      <c r="P832" s="162" t="n"/>
      <c r="Q832" s="320" t="n"/>
      <c r="R832" s="162" t="inlineStr">
        <is>
          <t>CONTROLE PRODUÇÃO POR EMPRESAS!D144</t>
        </is>
      </c>
    </row>
    <row r="833" ht="28.5" customHeight="1">
      <c r="A833" s="317" t="n">
        <v>46361</v>
      </c>
      <c r="B833" t="inlineStr">
        <is>
          <t>GERAL</t>
        </is>
      </c>
      <c r="C833" t="inlineStr">
        <is>
          <t>CMM</t>
        </is>
      </c>
      <c r="D833" t="inlineStr">
        <is>
          <t>PREMONTAGEM</t>
        </is>
      </c>
      <c r="F833" s="159">
        <f>IFERROR(INDEX('BASE METAS DIÁRIAS'!$N$2:$S$358,MATCH($A833,'BASE METAS DIÁRIAS'!$A$2:$A$358,0),MOD(ROW()-2,6)+1),"")</f>
        <v/>
      </c>
      <c r="G833" s="159">
        <f>IFERROR(IF(WEEKDAY($A833,2)&lt;=INDEX('BASE METAS DIÁRIAS'!$H$2:$M$358,MATCH($A833,'BASE METAS DIÁRIAS'!$A$2:$A$358,0),MOD(ROW()-2,6)+1),INDEX('BASE METAS DIÁRIAS'!$B$2:$G$358,MATCH($A833,'BASE METAS DIÁRIAS'!$A$2:$A$358,0),MOD(ROW()-2,6)+1),""),"")</f>
        <v/>
      </c>
      <c r="H833" s="159">
        <f>IFERROR(IF(INDEX('CONTROLE PRODUÇÃO POR EMPRESAS'!$B$6:$G$5000,MATCH($A833,'CONTROLE PRODUÇÃO POR EMPRESAS'!$A$6:$A$5000,0),MOD(ROW()-2,6)+1)="","",IFERROR(1*INDEX('CONTROLE PRODUÇÃO POR EMPRESAS'!$B$6:$G$5000,MATCH($A833,'CONTROLE PRODUÇÃO POR EMPRESAS'!$A$6:$A$5000,0),MOD(ROW()-2,6)+1),"")),"")</f>
        <v/>
      </c>
      <c r="I833" s="159">
        <f>IF(OR(NOT(ISNUMBER(G833)),NOT(ISNUMBER(H833))),"",H833-G833)</f>
        <v/>
      </c>
      <c r="J833" s="319">
        <f>IF(OR(NOT(ISNUMBER(G833)),NOT(ISNUMBER(H833)),G833=0),"",I833/G833)</f>
        <v/>
      </c>
      <c r="K833" s="319">
        <f>IF(OR(NOT(ISNUMBER(G833)),NOT(ISNUMBER(H833)),G833=0),"",H833/G833)</f>
        <v/>
      </c>
      <c r="L833">
        <f>IF(NOT(ISNUMBER(G833)),"SEM META",IF(G833=0,"SEM META",IF(NOT(ISNUMBER(H833)),"SEM APONTAMENTO",IF(H833&gt;=G833,"VERDE",IF(H833&gt;=G833*0.9,"AMARELO","VERMELHO")))))</f>
        <v/>
      </c>
      <c r="M833" s="162" t="n"/>
      <c r="N833" s="162" t="n"/>
      <c r="O833" s="162" t="n"/>
      <c r="P833" s="162" t="n"/>
      <c r="Q833" s="320" t="n"/>
      <c r="R833" s="162" t="inlineStr">
        <is>
          <t>CONTROLE PRODUÇÃO POR EMPRESAS!E144</t>
        </is>
      </c>
    </row>
    <row r="834" ht="28.5" customHeight="1">
      <c r="A834" s="317" t="n">
        <v>46361</v>
      </c>
      <c r="B834" t="inlineStr">
        <is>
          <t>GERAL</t>
        </is>
      </c>
      <c r="C834" t="inlineStr">
        <is>
          <t>CMM</t>
        </is>
      </c>
      <c r="D834" t="inlineStr">
        <is>
          <t>IÇAMENTO JOIST</t>
        </is>
      </c>
      <c r="F834" s="159">
        <f>IFERROR(INDEX('BASE METAS DIÁRIAS'!$N$2:$S$358,MATCH($A834,'BASE METAS DIÁRIAS'!$A$2:$A$358,0),MOD(ROW()-2,6)+1),"")</f>
        <v/>
      </c>
      <c r="G834" s="159">
        <f>IFERROR(IF(WEEKDAY($A834,2)&lt;=INDEX('BASE METAS DIÁRIAS'!$H$2:$M$358,MATCH($A834,'BASE METAS DIÁRIAS'!$A$2:$A$358,0),MOD(ROW()-2,6)+1),INDEX('BASE METAS DIÁRIAS'!$B$2:$G$358,MATCH($A834,'BASE METAS DIÁRIAS'!$A$2:$A$358,0),MOD(ROW()-2,6)+1),""),"")</f>
        <v/>
      </c>
      <c r="H834" s="159">
        <f>IFERROR(IF(INDEX('CONTROLE PRODUÇÃO POR EMPRESAS'!$B$6:$G$5000,MATCH($A834,'CONTROLE PRODUÇÃO POR EMPRESAS'!$A$6:$A$5000,0),MOD(ROW()-2,6)+1)="","",IFERROR(1*INDEX('CONTROLE PRODUÇÃO POR EMPRESAS'!$B$6:$G$5000,MATCH($A834,'CONTROLE PRODUÇÃO POR EMPRESAS'!$A$6:$A$5000,0),MOD(ROW()-2,6)+1),"")),"")</f>
        <v/>
      </c>
      <c r="I834" s="159">
        <f>IF(OR(NOT(ISNUMBER(G834)),NOT(ISNUMBER(H834))),"",H834-G834)</f>
        <v/>
      </c>
      <c r="J834" s="319">
        <f>IF(OR(NOT(ISNUMBER(G834)),NOT(ISNUMBER(H834)),G834=0),"",I834/G834)</f>
        <v/>
      </c>
      <c r="K834" s="319">
        <f>IF(OR(NOT(ISNUMBER(G834)),NOT(ISNUMBER(H834)),G834=0),"",H834/G834)</f>
        <v/>
      </c>
      <c r="L834">
        <f>IF(NOT(ISNUMBER(G834)),"SEM META",IF(G834=0,"SEM META",IF(NOT(ISNUMBER(H834)),"SEM APONTAMENTO",IF(H834&gt;=G834,"VERDE",IF(H834&gt;=G834*0.9,"AMARELO","VERMELHO")))))</f>
        <v/>
      </c>
      <c r="M834" s="162" t="n"/>
      <c r="N834" s="162" t="n"/>
      <c r="O834" s="162" t="n"/>
      <c r="P834" s="162" t="n"/>
      <c r="Q834" s="320" t="n"/>
      <c r="R834" s="162" t="inlineStr">
        <is>
          <t>CONTROLE PRODUÇÃO POR EMPRESAS!F144</t>
        </is>
      </c>
    </row>
    <row r="835" ht="28.5" customHeight="1">
      <c r="A835" s="317" t="n">
        <v>46361</v>
      </c>
      <c r="B835" t="inlineStr">
        <is>
          <t>GERAL</t>
        </is>
      </c>
      <c r="C835" t="inlineStr">
        <is>
          <t>CMM</t>
        </is>
      </c>
      <c r="D835" t="inlineStr">
        <is>
          <t>VIGAS</t>
        </is>
      </c>
      <c r="F835" s="159">
        <f>IFERROR(INDEX('BASE METAS DIÁRIAS'!$N$2:$S$358,MATCH($A835,'BASE METAS DIÁRIAS'!$A$2:$A$358,0),MOD(ROW()-2,6)+1),"")</f>
        <v/>
      </c>
      <c r="G835" s="159">
        <f>IFERROR(IF(WEEKDAY($A835,2)&lt;=INDEX('BASE METAS DIÁRIAS'!$H$2:$M$358,MATCH($A835,'BASE METAS DIÁRIAS'!$A$2:$A$358,0),MOD(ROW()-2,6)+1),INDEX('BASE METAS DIÁRIAS'!$B$2:$G$358,MATCH($A835,'BASE METAS DIÁRIAS'!$A$2:$A$358,0),MOD(ROW()-2,6)+1),""),"")</f>
        <v/>
      </c>
      <c r="H835" s="159">
        <f>IFERROR(IF(INDEX('CONTROLE PRODUÇÃO POR EMPRESAS'!$B$6:$G$5000,MATCH($A835,'CONTROLE PRODUÇÃO POR EMPRESAS'!$A$6:$A$5000,0),MOD(ROW()-2,6)+1)="","",IFERROR(1*INDEX('CONTROLE PRODUÇÃO POR EMPRESAS'!$B$6:$G$5000,MATCH($A835,'CONTROLE PRODUÇÃO POR EMPRESAS'!$A$6:$A$5000,0),MOD(ROW()-2,6)+1),"")),"")</f>
        <v/>
      </c>
      <c r="I835" s="159">
        <f>IF(OR(NOT(ISNUMBER(G835)),NOT(ISNUMBER(H835))),"",H835-G835)</f>
        <v/>
      </c>
      <c r="J835" s="319">
        <f>IF(OR(NOT(ISNUMBER(G835)),NOT(ISNUMBER(H835)),G835=0),"",I835/G835)</f>
        <v/>
      </c>
      <c r="K835" s="319">
        <f>IF(OR(NOT(ISNUMBER(G835)),NOT(ISNUMBER(H835)),G835=0),"",H835/G835)</f>
        <v/>
      </c>
      <c r="L835">
        <f>IF(NOT(ISNUMBER(G835)),"SEM META",IF(G835=0,"SEM META",IF(NOT(ISNUMBER(H835)),"SEM APONTAMENTO",IF(H835&gt;=G835,"VERDE",IF(H835&gt;=G835*0.9,"AMARELO","VERMELHO")))))</f>
        <v/>
      </c>
      <c r="M835" s="162" t="n"/>
      <c r="N835" s="162" t="n"/>
      <c r="O835" s="162" t="n"/>
      <c r="P835" s="162" t="n"/>
      <c r="Q835" s="320" t="n"/>
      <c r="R835" s="162" t="inlineStr">
        <is>
          <t>CONTROLE PRODUÇÃO POR EMPRESAS!G144</t>
        </is>
      </c>
    </row>
    <row r="836" ht="28.5" customHeight="1">
      <c r="A836" s="317" t="n">
        <v>46362</v>
      </c>
      <c r="B836" t="inlineStr">
        <is>
          <t>GERAL</t>
        </is>
      </c>
      <c r="C836" t="inlineStr">
        <is>
          <t>EJ</t>
        </is>
      </c>
      <c r="D836" t="inlineStr">
        <is>
          <t>PREMONTAGEM</t>
        </is>
      </c>
      <c r="F836" s="159">
        <f>IFERROR(INDEX('BASE METAS DIÁRIAS'!$N$2:$S$358,MATCH($A836,'BASE METAS DIÁRIAS'!$A$2:$A$358,0),MOD(ROW()-2,6)+1),"")</f>
        <v/>
      </c>
      <c r="G836" s="159">
        <f>IFERROR(IF(WEEKDAY($A836,2)&lt;=INDEX('BASE METAS DIÁRIAS'!$H$2:$M$358,MATCH($A836,'BASE METAS DIÁRIAS'!$A$2:$A$358,0),MOD(ROW()-2,6)+1),INDEX('BASE METAS DIÁRIAS'!$B$2:$G$358,MATCH($A836,'BASE METAS DIÁRIAS'!$A$2:$A$358,0),MOD(ROW()-2,6)+1),""),"")</f>
        <v/>
      </c>
      <c r="H836" s="159">
        <f>IFERROR(IF(INDEX('CONTROLE PRODUÇÃO POR EMPRESAS'!$B$6:$G$5000,MATCH($A836,'CONTROLE PRODUÇÃO POR EMPRESAS'!$A$6:$A$5000,0),MOD(ROW()-2,6)+1)="","",IFERROR(1*INDEX('CONTROLE PRODUÇÃO POR EMPRESAS'!$B$6:$G$5000,MATCH($A836,'CONTROLE PRODUÇÃO POR EMPRESAS'!$A$6:$A$5000,0),MOD(ROW()-2,6)+1),"")),"")</f>
        <v/>
      </c>
      <c r="I836" s="159">
        <f>IF(OR(NOT(ISNUMBER(G836)),NOT(ISNUMBER(H836))),"",H836-G836)</f>
        <v/>
      </c>
      <c r="J836" s="319">
        <f>IF(OR(NOT(ISNUMBER(G836)),NOT(ISNUMBER(H836)),G836=0),"",I836/G836)</f>
        <v/>
      </c>
      <c r="K836" s="319">
        <f>IF(OR(NOT(ISNUMBER(G836)),NOT(ISNUMBER(H836)),G836=0),"",H836/G836)</f>
        <v/>
      </c>
      <c r="L836">
        <f>IF(NOT(ISNUMBER(G836)),"SEM META",IF(G836=0,"SEM META",IF(NOT(ISNUMBER(H836)),"SEM APONTAMENTO",IF(H836&gt;=G836,"VERDE",IF(H836&gt;=G836*0.9,"AMARELO","VERMELHO")))))</f>
        <v/>
      </c>
      <c r="M836" s="162" t="n"/>
      <c r="N836" s="162" t="n"/>
      <c r="O836" s="162" t="n"/>
      <c r="P836" s="162" t="n"/>
      <c r="Q836" s="320" t="n"/>
      <c r="R836" s="162" t="inlineStr">
        <is>
          <t>CONTROLE PRODUÇÃO POR EMPRESAS!B145</t>
        </is>
      </c>
    </row>
    <row r="837" ht="28.5" customHeight="1">
      <c r="A837" s="317" t="n">
        <v>46362</v>
      </c>
      <c r="B837" t="inlineStr">
        <is>
          <t>GERAL</t>
        </is>
      </c>
      <c r="C837" t="inlineStr">
        <is>
          <t>EJ</t>
        </is>
      </c>
      <c r="D837" t="inlineStr">
        <is>
          <t>IÇAMENTO JOIST</t>
        </is>
      </c>
      <c r="F837" s="159">
        <f>IFERROR(INDEX('BASE METAS DIÁRIAS'!$N$2:$S$358,MATCH($A837,'BASE METAS DIÁRIAS'!$A$2:$A$358,0),MOD(ROW()-2,6)+1),"")</f>
        <v/>
      </c>
      <c r="G837" s="159">
        <f>IFERROR(IF(WEEKDAY($A837,2)&lt;=INDEX('BASE METAS DIÁRIAS'!$H$2:$M$358,MATCH($A837,'BASE METAS DIÁRIAS'!$A$2:$A$358,0),MOD(ROW()-2,6)+1),INDEX('BASE METAS DIÁRIAS'!$B$2:$G$358,MATCH($A837,'BASE METAS DIÁRIAS'!$A$2:$A$358,0),MOD(ROW()-2,6)+1),""),"")</f>
        <v/>
      </c>
      <c r="H837" s="159">
        <f>IFERROR(IF(INDEX('CONTROLE PRODUÇÃO POR EMPRESAS'!$B$6:$G$5000,MATCH($A837,'CONTROLE PRODUÇÃO POR EMPRESAS'!$A$6:$A$5000,0),MOD(ROW()-2,6)+1)="","",IFERROR(1*INDEX('CONTROLE PRODUÇÃO POR EMPRESAS'!$B$6:$G$5000,MATCH($A837,'CONTROLE PRODUÇÃO POR EMPRESAS'!$A$6:$A$5000,0),MOD(ROW()-2,6)+1),"")),"")</f>
        <v/>
      </c>
      <c r="I837" s="159">
        <f>IF(OR(NOT(ISNUMBER(G837)),NOT(ISNUMBER(H837))),"",H837-G837)</f>
        <v/>
      </c>
      <c r="J837" s="319">
        <f>IF(OR(NOT(ISNUMBER(G837)),NOT(ISNUMBER(H837)),G837=0),"",I837/G837)</f>
        <v/>
      </c>
      <c r="K837" s="319">
        <f>IF(OR(NOT(ISNUMBER(G837)),NOT(ISNUMBER(H837)),G837=0),"",H837/G837)</f>
        <v/>
      </c>
      <c r="L837">
        <f>IF(NOT(ISNUMBER(G837)),"SEM META",IF(G837=0,"SEM META",IF(NOT(ISNUMBER(H837)),"SEM APONTAMENTO",IF(H837&gt;=G837,"VERDE",IF(H837&gt;=G837*0.9,"AMARELO","VERMELHO")))))</f>
        <v/>
      </c>
      <c r="M837" s="162" t="n"/>
      <c r="N837" s="162" t="n"/>
      <c r="O837" s="162" t="n"/>
      <c r="P837" s="162" t="n"/>
      <c r="Q837" s="320" t="n"/>
      <c r="R837" s="162" t="inlineStr">
        <is>
          <t>CONTROLE PRODUÇÃO POR EMPRESAS!C145</t>
        </is>
      </c>
    </row>
    <row r="838" ht="28.5" customHeight="1">
      <c r="A838" s="317" t="n">
        <v>46362</v>
      </c>
      <c r="B838" t="inlineStr">
        <is>
          <t>GERAL</t>
        </is>
      </c>
      <c r="C838" t="inlineStr">
        <is>
          <t>EJ</t>
        </is>
      </c>
      <c r="D838" t="inlineStr">
        <is>
          <t>VIGAS</t>
        </is>
      </c>
      <c r="F838" s="159">
        <f>IFERROR(INDEX('BASE METAS DIÁRIAS'!$N$2:$S$358,MATCH($A838,'BASE METAS DIÁRIAS'!$A$2:$A$358,0),MOD(ROW()-2,6)+1),"")</f>
        <v/>
      </c>
      <c r="G838" s="159">
        <f>IFERROR(IF(WEEKDAY($A838,2)&lt;=INDEX('BASE METAS DIÁRIAS'!$H$2:$M$358,MATCH($A838,'BASE METAS DIÁRIAS'!$A$2:$A$358,0),MOD(ROW()-2,6)+1),INDEX('BASE METAS DIÁRIAS'!$B$2:$G$358,MATCH($A838,'BASE METAS DIÁRIAS'!$A$2:$A$358,0),MOD(ROW()-2,6)+1),""),"")</f>
        <v/>
      </c>
      <c r="H838" s="159">
        <f>IFERROR(IF(INDEX('CONTROLE PRODUÇÃO POR EMPRESAS'!$B$6:$G$5000,MATCH($A838,'CONTROLE PRODUÇÃO POR EMPRESAS'!$A$6:$A$5000,0),MOD(ROW()-2,6)+1)="","",IFERROR(1*INDEX('CONTROLE PRODUÇÃO POR EMPRESAS'!$B$6:$G$5000,MATCH($A838,'CONTROLE PRODUÇÃO POR EMPRESAS'!$A$6:$A$5000,0),MOD(ROW()-2,6)+1),"")),"")</f>
        <v/>
      </c>
      <c r="I838" s="159">
        <f>IF(OR(NOT(ISNUMBER(G838)),NOT(ISNUMBER(H838))),"",H838-G838)</f>
        <v/>
      </c>
      <c r="J838" s="319">
        <f>IF(OR(NOT(ISNUMBER(G838)),NOT(ISNUMBER(H838)),G838=0),"",I838/G838)</f>
        <v/>
      </c>
      <c r="K838" s="319">
        <f>IF(OR(NOT(ISNUMBER(G838)),NOT(ISNUMBER(H838)),G838=0),"",H838/G838)</f>
        <v/>
      </c>
      <c r="L838">
        <f>IF(NOT(ISNUMBER(G838)),"SEM META",IF(G838=0,"SEM META",IF(NOT(ISNUMBER(H838)),"SEM APONTAMENTO",IF(H838&gt;=G838,"VERDE",IF(H838&gt;=G838*0.9,"AMARELO","VERMELHO")))))</f>
        <v/>
      </c>
      <c r="M838" s="162" t="n"/>
      <c r="N838" s="162" t="n"/>
      <c r="O838" s="162" t="n"/>
      <c r="P838" s="162" t="n"/>
      <c r="Q838" s="320" t="n"/>
      <c r="R838" s="162" t="inlineStr">
        <is>
          <t>CONTROLE PRODUÇÃO POR EMPRESAS!D145</t>
        </is>
      </c>
    </row>
    <row r="839" ht="28.5" customHeight="1">
      <c r="A839" s="317" t="n">
        <v>46362</v>
      </c>
      <c r="B839" t="inlineStr">
        <is>
          <t>GERAL</t>
        </is>
      </c>
      <c r="C839" t="inlineStr">
        <is>
          <t>CMM</t>
        </is>
      </c>
      <c r="D839" t="inlineStr">
        <is>
          <t>PREMONTAGEM</t>
        </is>
      </c>
      <c r="F839" s="159">
        <f>IFERROR(INDEX('BASE METAS DIÁRIAS'!$N$2:$S$358,MATCH($A839,'BASE METAS DIÁRIAS'!$A$2:$A$358,0),MOD(ROW()-2,6)+1),"")</f>
        <v/>
      </c>
      <c r="G839" s="159">
        <f>IFERROR(IF(WEEKDAY($A839,2)&lt;=INDEX('BASE METAS DIÁRIAS'!$H$2:$M$358,MATCH($A839,'BASE METAS DIÁRIAS'!$A$2:$A$358,0),MOD(ROW()-2,6)+1),INDEX('BASE METAS DIÁRIAS'!$B$2:$G$358,MATCH($A839,'BASE METAS DIÁRIAS'!$A$2:$A$358,0),MOD(ROW()-2,6)+1),""),"")</f>
        <v/>
      </c>
      <c r="H839" s="159">
        <f>IFERROR(IF(INDEX('CONTROLE PRODUÇÃO POR EMPRESAS'!$B$6:$G$5000,MATCH($A839,'CONTROLE PRODUÇÃO POR EMPRESAS'!$A$6:$A$5000,0),MOD(ROW()-2,6)+1)="","",IFERROR(1*INDEX('CONTROLE PRODUÇÃO POR EMPRESAS'!$B$6:$G$5000,MATCH($A839,'CONTROLE PRODUÇÃO POR EMPRESAS'!$A$6:$A$5000,0),MOD(ROW()-2,6)+1),"")),"")</f>
        <v/>
      </c>
      <c r="I839" s="159">
        <f>IF(OR(NOT(ISNUMBER(G839)),NOT(ISNUMBER(H839))),"",H839-G839)</f>
        <v/>
      </c>
      <c r="J839" s="319">
        <f>IF(OR(NOT(ISNUMBER(G839)),NOT(ISNUMBER(H839)),G839=0),"",I839/G839)</f>
        <v/>
      </c>
      <c r="K839" s="319">
        <f>IF(OR(NOT(ISNUMBER(G839)),NOT(ISNUMBER(H839)),G839=0),"",H839/G839)</f>
        <v/>
      </c>
      <c r="L839">
        <f>IF(NOT(ISNUMBER(G839)),"SEM META",IF(G839=0,"SEM META",IF(NOT(ISNUMBER(H839)),"SEM APONTAMENTO",IF(H839&gt;=G839,"VERDE",IF(H839&gt;=G839*0.9,"AMARELO","VERMELHO")))))</f>
        <v/>
      </c>
      <c r="M839" s="162" t="n"/>
      <c r="N839" s="162" t="n"/>
      <c r="O839" s="162" t="n"/>
      <c r="P839" s="162" t="n"/>
      <c r="Q839" s="320" t="n"/>
      <c r="R839" s="162" t="inlineStr">
        <is>
          <t>CONTROLE PRODUÇÃO POR EMPRESAS!E145</t>
        </is>
      </c>
    </row>
    <row r="840" ht="28.5" customHeight="1">
      <c r="A840" s="317" t="n">
        <v>46362</v>
      </c>
      <c r="B840" t="inlineStr">
        <is>
          <t>GERAL</t>
        </is>
      </c>
      <c r="C840" t="inlineStr">
        <is>
          <t>CMM</t>
        </is>
      </c>
      <c r="D840" t="inlineStr">
        <is>
          <t>IÇAMENTO JOIST</t>
        </is>
      </c>
      <c r="F840" s="159">
        <f>IFERROR(INDEX('BASE METAS DIÁRIAS'!$N$2:$S$358,MATCH($A840,'BASE METAS DIÁRIAS'!$A$2:$A$358,0),MOD(ROW()-2,6)+1),"")</f>
        <v/>
      </c>
      <c r="G840" s="159">
        <f>IFERROR(IF(WEEKDAY($A840,2)&lt;=INDEX('BASE METAS DIÁRIAS'!$H$2:$M$358,MATCH($A840,'BASE METAS DIÁRIAS'!$A$2:$A$358,0),MOD(ROW()-2,6)+1),INDEX('BASE METAS DIÁRIAS'!$B$2:$G$358,MATCH($A840,'BASE METAS DIÁRIAS'!$A$2:$A$358,0),MOD(ROW()-2,6)+1),""),"")</f>
        <v/>
      </c>
      <c r="H840" s="159">
        <f>IFERROR(IF(INDEX('CONTROLE PRODUÇÃO POR EMPRESAS'!$B$6:$G$5000,MATCH($A840,'CONTROLE PRODUÇÃO POR EMPRESAS'!$A$6:$A$5000,0),MOD(ROW()-2,6)+1)="","",IFERROR(1*INDEX('CONTROLE PRODUÇÃO POR EMPRESAS'!$B$6:$G$5000,MATCH($A840,'CONTROLE PRODUÇÃO POR EMPRESAS'!$A$6:$A$5000,0),MOD(ROW()-2,6)+1),"")),"")</f>
        <v/>
      </c>
      <c r="I840" s="159">
        <f>IF(OR(NOT(ISNUMBER(G840)),NOT(ISNUMBER(H840))),"",H840-G840)</f>
        <v/>
      </c>
      <c r="J840" s="319">
        <f>IF(OR(NOT(ISNUMBER(G840)),NOT(ISNUMBER(H840)),G840=0),"",I840/G840)</f>
        <v/>
      </c>
      <c r="K840" s="319">
        <f>IF(OR(NOT(ISNUMBER(G840)),NOT(ISNUMBER(H840)),G840=0),"",H840/G840)</f>
        <v/>
      </c>
      <c r="L840">
        <f>IF(NOT(ISNUMBER(G840)),"SEM META",IF(G840=0,"SEM META",IF(NOT(ISNUMBER(H840)),"SEM APONTAMENTO",IF(H840&gt;=G840,"VERDE",IF(H840&gt;=G840*0.9,"AMARELO","VERMELHO")))))</f>
        <v/>
      </c>
      <c r="M840" s="162" t="n"/>
      <c r="N840" s="162" t="n"/>
      <c r="O840" s="162" t="n"/>
      <c r="P840" s="162" t="n"/>
      <c r="Q840" s="320" t="n"/>
      <c r="R840" s="162" t="inlineStr">
        <is>
          <t>CONTROLE PRODUÇÃO POR EMPRESAS!F145</t>
        </is>
      </c>
    </row>
    <row r="841" ht="28.5" customHeight="1">
      <c r="A841" s="317" t="n">
        <v>46362</v>
      </c>
      <c r="B841" t="inlineStr">
        <is>
          <t>GERAL</t>
        </is>
      </c>
      <c r="C841" t="inlineStr">
        <is>
          <t>CMM</t>
        </is>
      </c>
      <c r="D841" t="inlineStr">
        <is>
          <t>VIGAS</t>
        </is>
      </c>
      <c r="F841" s="159">
        <f>IFERROR(INDEX('BASE METAS DIÁRIAS'!$N$2:$S$358,MATCH($A841,'BASE METAS DIÁRIAS'!$A$2:$A$358,0),MOD(ROW()-2,6)+1),"")</f>
        <v/>
      </c>
      <c r="G841" s="159">
        <f>IFERROR(IF(WEEKDAY($A841,2)&lt;=INDEX('BASE METAS DIÁRIAS'!$H$2:$M$358,MATCH($A841,'BASE METAS DIÁRIAS'!$A$2:$A$358,0),MOD(ROW()-2,6)+1),INDEX('BASE METAS DIÁRIAS'!$B$2:$G$358,MATCH($A841,'BASE METAS DIÁRIAS'!$A$2:$A$358,0),MOD(ROW()-2,6)+1),""),"")</f>
        <v/>
      </c>
      <c r="H841" s="159">
        <f>IFERROR(IF(INDEX('CONTROLE PRODUÇÃO POR EMPRESAS'!$B$6:$G$5000,MATCH($A841,'CONTROLE PRODUÇÃO POR EMPRESAS'!$A$6:$A$5000,0),MOD(ROW()-2,6)+1)="","",IFERROR(1*INDEX('CONTROLE PRODUÇÃO POR EMPRESAS'!$B$6:$G$5000,MATCH($A841,'CONTROLE PRODUÇÃO POR EMPRESAS'!$A$6:$A$5000,0),MOD(ROW()-2,6)+1),"")),"")</f>
        <v/>
      </c>
      <c r="I841" s="159">
        <f>IF(OR(NOT(ISNUMBER(G841)),NOT(ISNUMBER(H841))),"",H841-G841)</f>
        <v/>
      </c>
      <c r="J841" s="319">
        <f>IF(OR(NOT(ISNUMBER(G841)),NOT(ISNUMBER(H841)),G841=0),"",I841/G841)</f>
        <v/>
      </c>
      <c r="K841" s="319">
        <f>IF(OR(NOT(ISNUMBER(G841)),NOT(ISNUMBER(H841)),G841=0),"",H841/G841)</f>
        <v/>
      </c>
      <c r="L841">
        <f>IF(NOT(ISNUMBER(G841)),"SEM META",IF(G841=0,"SEM META",IF(NOT(ISNUMBER(H841)),"SEM APONTAMENTO",IF(H841&gt;=G841,"VERDE",IF(H841&gt;=G841*0.9,"AMARELO","VERMELHO")))))</f>
        <v/>
      </c>
      <c r="M841" s="162" t="n"/>
      <c r="N841" s="162" t="n"/>
      <c r="O841" s="162" t="n"/>
      <c r="P841" s="162" t="n"/>
      <c r="Q841" s="320" t="n"/>
      <c r="R841" s="162" t="inlineStr">
        <is>
          <t>CONTROLE PRODUÇÃO POR EMPRESAS!G145</t>
        </is>
      </c>
    </row>
    <row r="842" ht="28.5" customHeight="1">
      <c r="A842" s="317" t="n">
        <v>46363</v>
      </c>
      <c r="B842" t="inlineStr">
        <is>
          <t>GERAL</t>
        </is>
      </c>
      <c r="C842" t="inlineStr">
        <is>
          <t>EJ</t>
        </is>
      </c>
      <c r="D842" t="inlineStr">
        <is>
          <t>PREMONTAGEM</t>
        </is>
      </c>
      <c r="F842" s="159">
        <f>IFERROR(INDEX('BASE METAS DIÁRIAS'!$N$2:$S$358,MATCH($A842,'BASE METAS DIÁRIAS'!$A$2:$A$358,0),MOD(ROW()-2,6)+1),"")</f>
        <v/>
      </c>
      <c r="G842" s="159">
        <f>IFERROR(IF(WEEKDAY($A842,2)&lt;=INDEX('BASE METAS DIÁRIAS'!$H$2:$M$358,MATCH($A842,'BASE METAS DIÁRIAS'!$A$2:$A$358,0),MOD(ROW()-2,6)+1),INDEX('BASE METAS DIÁRIAS'!$B$2:$G$358,MATCH($A842,'BASE METAS DIÁRIAS'!$A$2:$A$358,0),MOD(ROW()-2,6)+1),""),"")</f>
        <v/>
      </c>
      <c r="H842" s="159">
        <f>IFERROR(IF(INDEX('CONTROLE PRODUÇÃO POR EMPRESAS'!$B$6:$G$5000,MATCH($A842,'CONTROLE PRODUÇÃO POR EMPRESAS'!$A$6:$A$5000,0),MOD(ROW()-2,6)+1)="","",IFERROR(1*INDEX('CONTROLE PRODUÇÃO POR EMPRESAS'!$B$6:$G$5000,MATCH($A842,'CONTROLE PRODUÇÃO POR EMPRESAS'!$A$6:$A$5000,0),MOD(ROW()-2,6)+1),"")),"")</f>
        <v/>
      </c>
      <c r="I842" s="159">
        <f>IF(OR(NOT(ISNUMBER(G842)),NOT(ISNUMBER(H842))),"",H842-G842)</f>
        <v/>
      </c>
      <c r="J842" s="319">
        <f>IF(OR(NOT(ISNUMBER(G842)),NOT(ISNUMBER(H842)),G842=0),"",I842/G842)</f>
        <v/>
      </c>
      <c r="K842" s="319">
        <f>IF(OR(NOT(ISNUMBER(G842)),NOT(ISNUMBER(H842)),G842=0),"",H842/G842)</f>
        <v/>
      </c>
      <c r="L842">
        <f>IF(NOT(ISNUMBER(G842)),"SEM META",IF(G842=0,"SEM META",IF(NOT(ISNUMBER(H842)),"SEM APONTAMENTO",IF(H842&gt;=G842,"VERDE",IF(H842&gt;=G842*0.9,"AMARELO","VERMELHO")))))</f>
        <v/>
      </c>
      <c r="M842" s="162" t="n"/>
      <c r="N842" s="162" t="n"/>
      <c r="O842" s="162" t="n"/>
      <c r="P842" s="162" t="n"/>
      <c r="Q842" s="320" t="n"/>
      <c r="R842" s="162" t="inlineStr">
        <is>
          <t>CONTROLE PRODUÇÃO POR EMPRESAS!B146</t>
        </is>
      </c>
    </row>
    <row r="843" ht="28.5" customHeight="1">
      <c r="A843" s="317" t="n">
        <v>46363</v>
      </c>
      <c r="B843" t="inlineStr">
        <is>
          <t>GERAL</t>
        </is>
      </c>
      <c r="C843" t="inlineStr">
        <is>
          <t>EJ</t>
        </is>
      </c>
      <c r="D843" t="inlineStr">
        <is>
          <t>IÇAMENTO JOIST</t>
        </is>
      </c>
      <c r="F843" s="159">
        <f>IFERROR(INDEX('BASE METAS DIÁRIAS'!$N$2:$S$358,MATCH($A843,'BASE METAS DIÁRIAS'!$A$2:$A$358,0),MOD(ROW()-2,6)+1),"")</f>
        <v/>
      </c>
      <c r="G843" s="159">
        <f>IFERROR(IF(WEEKDAY($A843,2)&lt;=INDEX('BASE METAS DIÁRIAS'!$H$2:$M$358,MATCH($A843,'BASE METAS DIÁRIAS'!$A$2:$A$358,0),MOD(ROW()-2,6)+1),INDEX('BASE METAS DIÁRIAS'!$B$2:$G$358,MATCH($A843,'BASE METAS DIÁRIAS'!$A$2:$A$358,0),MOD(ROW()-2,6)+1),""),"")</f>
        <v/>
      </c>
      <c r="H843" s="159">
        <f>IFERROR(IF(INDEX('CONTROLE PRODUÇÃO POR EMPRESAS'!$B$6:$G$5000,MATCH($A843,'CONTROLE PRODUÇÃO POR EMPRESAS'!$A$6:$A$5000,0),MOD(ROW()-2,6)+1)="","",IFERROR(1*INDEX('CONTROLE PRODUÇÃO POR EMPRESAS'!$B$6:$G$5000,MATCH($A843,'CONTROLE PRODUÇÃO POR EMPRESAS'!$A$6:$A$5000,0),MOD(ROW()-2,6)+1),"")),"")</f>
        <v/>
      </c>
      <c r="I843" s="159">
        <f>IF(OR(NOT(ISNUMBER(G843)),NOT(ISNUMBER(H843))),"",H843-G843)</f>
        <v/>
      </c>
      <c r="J843" s="319">
        <f>IF(OR(NOT(ISNUMBER(G843)),NOT(ISNUMBER(H843)),G843=0),"",I843/G843)</f>
        <v/>
      </c>
      <c r="K843" s="319">
        <f>IF(OR(NOT(ISNUMBER(G843)),NOT(ISNUMBER(H843)),G843=0),"",H843/G843)</f>
        <v/>
      </c>
      <c r="L843">
        <f>IF(NOT(ISNUMBER(G843)),"SEM META",IF(G843=0,"SEM META",IF(NOT(ISNUMBER(H843)),"SEM APONTAMENTO",IF(H843&gt;=G843,"VERDE",IF(H843&gt;=G843*0.9,"AMARELO","VERMELHO")))))</f>
        <v/>
      </c>
      <c r="M843" s="162" t="n"/>
      <c r="N843" s="162" t="n"/>
      <c r="O843" s="162" t="n"/>
      <c r="P843" s="162" t="n"/>
      <c r="Q843" s="320" t="n"/>
      <c r="R843" s="162" t="inlineStr">
        <is>
          <t>CONTROLE PRODUÇÃO POR EMPRESAS!C146</t>
        </is>
      </c>
    </row>
    <row r="844" ht="28.5" customHeight="1">
      <c r="A844" s="317" t="n">
        <v>46363</v>
      </c>
      <c r="B844" t="inlineStr">
        <is>
          <t>GERAL</t>
        </is>
      </c>
      <c r="C844" t="inlineStr">
        <is>
          <t>EJ</t>
        </is>
      </c>
      <c r="D844" t="inlineStr">
        <is>
          <t>VIGAS</t>
        </is>
      </c>
      <c r="F844" s="159">
        <f>IFERROR(INDEX('BASE METAS DIÁRIAS'!$N$2:$S$358,MATCH($A844,'BASE METAS DIÁRIAS'!$A$2:$A$358,0),MOD(ROW()-2,6)+1),"")</f>
        <v/>
      </c>
      <c r="G844" s="159">
        <f>IFERROR(IF(WEEKDAY($A844,2)&lt;=INDEX('BASE METAS DIÁRIAS'!$H$2:$M$358,MATCH($A844,'BASE METAS DIÁRIAS'!$A$2:$A$358,0),MOD(ROW()-2,6)+1),INDEX('BASE METAS DIÁRIAS'!$B$2:$G$358,MATCH($A844,'BASE METAS DIÁRIAS'!$A$2:$A$358,0),MOD(ROW()-2,6)+1),""),"")</f>
        <v/>
      </c>
      <c r="H844" s="159">
        <f>IFERROR(IF(INDEX('CONTROLE PRODUÇÃO POR EMPRESAS'!$B$6:$G$5000,MATCH($A844,'CONTROLE PRODUÇÃO POR EMPRESAS'!$A$6:$A$5000,0),MOD(ROW()-2,6)+1)="","",IFERROR(1*INDEX('CONTROLE PRODUÇÃO POR EMPRESAS'!$B$6:$G$5000,MATCH($A844,'CONTROLE PRODUÇÃO POR EMPRESAS'!$A$6:$A$5000,0),MOD(ROW()-2,6)+1),"")),"")</f>
        <v/>
      </c>
      <c r="I844" s="159">
        <f>IF(OR(NOT(ISNUMBER(G844)),NOT(ISNUMBER(H844))),"",H844-G844)</f>
        <v/>
      </c>
      <c r="J844" s="319">
        <f>IF(OR(NOT(ISNUMBER(G844)),NOT(ISNUMBER(H844)),G844=0),"",I844/G844)</f>
        <v/>
      </c>
      <c r="K844" s="319">
        <f>IF(OR(NOT(ISNUMBER(G844)),NOT(ISNUMBER(H844)),G844=0),"",H844/G844)</f>
        <v/>
      </c>
      <c r="L844">
        <f>IF(NOT(ISNUMBER(G844)),"SEM META",IF(G844=0,"SEM META",IF(NOT(ISNUMBER(H844)),"SEM APONTAMENTO",IF(H844&gt;=G844,"VERDE",IF(H844&gt;=G844*0.9,"AMARELO","VERMELHO")))))</f>
        <v/>
      </c>
      <c r="M844" s="162" t="n"/>
      <c r="N844" s="162" t="n"/>
      <c r="O844" s="162" t="n"/>
      <c r="P844" s="162" t="n"/>
      <c r="Q844" s="320" t="n"/>
      <c r="R844" s="162" t="inlineStr">
        <is>
          <t>CONTROLE PRODUÇÃO POR EMPRESAS!D146</t>
        </is>
      </c>
    </row>
    <row r="845" ht="28.5" customHeight="1">
      <c r="A845" s="317" t="n">
        <v>46363</v>
      </c>
      <c r="B845" t="inlineStr">
        <is>
          <t>GERAL</t>
        </is>
      </c>
      <c r="C845" t="inlineStr">
        <is>
          <t>CMM</t>
        </is>
      </c>
      <c r="D845" t="inlineStr">
        <is>
          <t>PREMONTAGEM</t>
        </is>
      </c>
      <c r="F845" s="159">
        <f>IFERROR(INDEX('BASE METAS DIÁRIAS'!$N$2:$S$358,MATCH($A845,'BASE METAS DIÁRIAS'!$A$2:$A$358,0),MOD(ROW()-2,6)+1),"")</f>
        <v/>
      </c>
      <c r="G845" s="159">
        <f>IFERROR(IF(WEEKDAY($A845,2)&lt;=INDEX('BASE METAS DIÁRIAS'!$H$2:$M$358,MATCH($A845,'BASE METAS DIÁRIAS'!$A$2:$A$358,0),MOD(ROW()-2,6)+1),INDEX('BASE METAS DIÁRIAS'!$B$2:$G$358,MATCH($A845,'BASE METAS DIÁRIAS'!$A$2:$A$358,0),MOD(ROW()-2,6)+1),""),"")</f>
        <v/>
      </c>
      <c r="H845" s="159">
        <f>IFERROR(IF(INDEX('CONTROLE PRODUÇÃO POR EMPRESAS'!$B$6:$G$5000,MATCH($A845,'CONTROLE PRODUÇÃO POR EMPRESAS'!$A$6:$A$5000,0),MOD(ROW()-2,6)+1)="","",IFERROR(1*INDEX('CONTROLE PRODUÇÃO POR EMPRESAS'!$B$6:$G$5000,MATCH($A845,'CONTROLE PRODUÇÃO POR EMPRESAS'!$A$6:$A$5000,0),MOD(ROW()-2,6)+1),"")),"")</f>
        <v/>
      </c>
      <c r="I845" s="159">
        <f>IF(OR(NOT(ISNUMBER(G845)),NOT(ISNUMBER(H845))),"",H845-G845)</f>
        <v/>
      </c>
      <c r="J845" s="319">
        <f>IF(OR(NOT(ISNUMBER(G845)),NOT(ISNUMBER(H845)),G845=0),"",I845/G845)</f>
        <v/>
      </c>
      <c r="K845" s="319">
        <f>IF(OR(NOT(ISNUMBER(G845)),NOT(ISNUMBER(H845)),G845=0),"",H845/G845)</f>
        <v/>
      </c>
      <c r="L845">
        <f>IF(NOT(ISNUMBER(G845)),"SEM META",IF(G845=0,"SEM META",IF(NOT(ISNUMBER(H845)),"SEM APONTAMENTO",IF(H845&gt;=G845,"VERDE",IF(H845&gt;=G845*0.9,"AMARELO","VERMELHO")))))</f>
        <v/>
      </c>
      <c r="M845" s="162" t="n"/>
      <c r="N845" s="162" t="n"/>
      <c r="O845" s="162" t="n"/>
      <c r="P845" s="162" t="n"/>
      <c r="Q845" s="320" t="n"/>
      <c r="R845" s="162" t="inlineStr">
        <is>
          <t>CONTROLE PRODUÇÃO POR EMPRESAS!E146</t>
        </is>
      </c>
    </row>
    <row r="846" ht="28.5" customHeight="1">
      <c r="A846" s="317" t="n">
        <v>46363</v>
      </c>
      <c r="B846" t="inlineStr">
        <is>
          <t>GERAL</t>
        </is>
      </c>
      <c r="C846" t="inlineStr">
        <is>
          <t>CMM</t>
        </is>
      </c>
      <c r="D846" t="inlineStr">
        <is>
          <t>IÇAMENTO JOIST</t>
        </is>
      </c>
      <c r="F846" s="159">
        <f>IFERROR(INDEX('BASE METAS DIÁRIAS'!$N$2:$S$358,MATCH($A846,'BASE METAS DIÁRIAS'!$A$2:$A$358,0),MOD(ROW()-2,6)+1),"")</f>
        <v/>
      </c>
      <c r="G846" s="159">
        <f>IFERROR(IF(WEEKDAY($A846,2)&lt;=INDEX('BASE METAS DIÁRIAS'!$H$2:$M$358,MATCH($A846,'BASE METAS DIÁRIAS'!$A$2:$A$358,0),MOD(ROW()-2,6)+1),INDEX('BASE METAS DIÁRIAS'!$B$2:$G$358,MATCH($A846,'BASE METAS DIÁRIAS'!$A$2:$A$358,0),MOD(ROW()-2,6)+1),""),"")</f>
        <v/>
      </c>
      <c r="H846" s="159">
        <f>IFERROR(IF(INDEX('CONTROLE PRODUÇÃO POR EMPRESAS'!$B$6:$G$5000,MATCH($A846,'CONTROLE PRODUÇÃO POR EMPRESAS'!$A$6:$A$5000,0),MOD(ROW()-2,6)+1)="","",IFERROR(1*INDEX('CONTROLE PRODUÇÃO POR EMPRESAS'!$B$6:$G$5000,MATCH($A846,'CONTROLE PRODUÇÃO POR EMPRESAS'!$A$6:$A$5000,0),MOD(ROW()-2,6)+1),"")),"")</f>
        <v/>
      </c>
      <c r="I846" s="159">
        <f>IF(OR(NOT(ISNUMBER(G846)),NOT(ISNUMBER(H846))),"",H846-G846)</f>
        <v/>
      </c>
      <c r="J846" s="319">
        <f>IF(OR(NOT(ISNUMBER(G846)),NOT(ISNUMBER(H846)),G846=0),"",I846/G846)</f>
        <v/>
      </c>
      <c r="K846" s="319">
        <f>IF(OR(NOT(ISNUMBER(G846)),NOT(ISNUMBER(H846)),G846=0),"",H846/G846)</f>
        <v/>
      </c>
      <c r="L846">
        <f>IF(NOT(ISNUMBER(G846)),"SEM META",IF(G846=0,"SEM META",IF(NOT(ISNUMBER(H846)),"SEM APONTAMENTO",IF(H846&gt;=G846,"VERDE",IF(H846&gt;=G846*0.9,"AMARELO","VERMELHO")))))</f>
        <v/>
      </c>
      <c r="M846" s="162" t="n"/>
      <c r="N846" s="162" t="n"/>
      <c r="O846" s="162" t="n"/>
      <c r="P846" s="162" t="n"/>
      <c r="Q846" s="320" t="n"/>
      <c r="R846" s="162" t="inlineStr">
        <is>
          <t>CONTROLE PRODUÇÃO POR EMPRESAS!F146</t>
        </is>
      </c>
    </row>
    <row r="847" ht="28.5" customHeight="1">
      <c r="A847" s="317" t="n">
        <v>46363</v>
      </c>
      <c r="B847" t="inlineStr">
        <is>
          <t>GERAL</t>
        </is>
      </c>
      <c r="C847" t="inlineStr">
        <is>
          <t>CMM</t>
        </is>
      </c>
      <c r="D847" t="inlineStr">
        <is>
          <t>VIGAS</t>
        </is>
      </c>
      <c r="F847" s="159">
        <f>IFERROR(INDEX('BASE METAS DIÁRIAS'!$N$2:$S$358,MATCH($A847,'BASE METAS DIÁRIAS'!$A$2:$A$358,0),MOD(ROW()-2,6)+1),"")</f>
        <v/>
      </c>
      <c r="G847" s="159">
        <f>IFERROR(IF(WEEKDAY($A847,2)&lt;=INDEX('BASE METAS DIÁRIAS'!$H$2:$M$358,MATCH($A847,'BASE METAS DIÁRIAS'!$A$2:$A$358,0),MOD(ROW()-2,6)+1),INDEX('BASE METAS DIÁRIAS'!$B$2:$G$358,MATCH($A847,'BASE METAS DIÁRIAS'!$A$2:$A$358,0),MOD(ROW()-2,6)+1),""),"")</f>
        <v/>
      </c>
      <c r="H847" s="159">
        <f>IFERROR(IF(INDEX('CONTROLE PRODUÇÃO POR EMPRESAS'!$B$6:$G$5000,MATCH($A847,'CONTROLE PRODUÇÃO POR EMPRESAS'!$A$6:$A$5000,0),MOD(ROW()-2,6)+1)="","",IFERROR(1*INDEX('CONTROLE PRODUÇÃO POR EMPRESAS'!$B$6:$G$5000,MATCH($A847,'CONTROLE PRODUÇÃO POR EMPRESAS'!$A$6:$A$5000,0),MOD(ROW()-2,6)+1),"")),"")</f>
        <v/>
      </c>
      <c r="I847" s="159">
        <f>IF(OR(NOT(ISNUMBER(G847)),NOT(ISNUMBER(H847))),"",H847-G847)</f>
        <v/>
      </c>
      <c r="J847" s="319">
        <f>IF(OR(NOT(ISNUMBER(G847)),NOT(ISNUMBER(H847)),G847=0),"",I847/G847)</f>
        <v/>
      </c>
      <c r="K847" s="319">
        <f>IF(OR(NOT(ISNUMBER(G847)),NOT(ISNUMBER(H847)),G847=0),"",H847/G847)</f>
        <v/>
      </c>
      <c r="L847">
        <f>IF(NOT(ISNUMBER(G847)),"SEM META",IF(G847=0,"SEM META",IF(NOT(ISNUMBER(H847)),"SEM APONTAMENTO",IF(H847&gt;=G847,"VERDE",IF(H847&gt;=G847*0.9,"AMARELO","VERMELHO")))))</f>
        <v/>
      </c>
      <c r="M847" s="162" t="n"/>
      <c r="N847" s="162" t="n"/>
      <c r="O847" s="162" t="n"/>
      <c r="P847" s="162" t="n"/>
      <c r="Q847" s="320" t="n"/>
      <c r="R847" s="162" t="inlineStr">
        <is>
          <t>CONTROLE PRODUÇÃO POR EMPRESAS!G146</t>
        </is>
      </c>
    </row>
    <row r="848" ht="28.5" customHeight="1">
      <c r="A848" s="317" t="n">
        <v>46364</v>
      </c>
      <c r="B848" t="inlineStr">
        <is>
          <t>GERAL</t>
        </is>
      </c>
      <c r="C848" t="inlineStr">
        <is>
          <t>EJ</t>
        </is>
      </c>
      <c r="D848" t="inlineStr">
        <is>
          <t>PREMONTAGEM</t>
        </is>
      </c>
      <c r="F848" s="159">
        <f>IFERROR(INDEX('BASE METAS DIÁRIAS'!$N$2:$S$358,MATCH($A848,'BASE METAS DIÁRIAS'!$A$2:$A$358,0),MOD(ROW()-2,6)+1),"")</f>
        <v/>
      </c>
      <c r="G848" s="159">
        <f>IFERROR(IF(WEEKDAY($A848,2)&lt;=INDEX('BASE METAS DIÁRIAS'!$H$2:$M$358,MATCH($A848,'BASE METAS DIÁRIAS'!$A$2:$A$358,0),MOD(ROW()-2,6)+1),INDEX('BASE METAS DIÁRIAS'!$B$2:$G$358,MATCH($A848,'BASE METAS DIÁRIAS'!$A$2:$A$358,0),MOD(ROW()-2,6)+1),""),"")</f>
        <v/>
      </c>
      <c r="H848" s="159">
        <f>IFERROR(IF(INDEX('CONTROLE PRODUÇÃO POR EMPRESAS'!$B$6:$G$5000,MATCH($A848,'CONTROLE PRODUÇÃO POR EMPRESAS'!$A$6:$A$5000,0),MOD(ROW()-2,6)+1)="","",IFERROR(1*INDEX('CONTROLE PRODUÇÃO POR EMPRESAS'!$B$6:$G$5000,MATCH($A848,'CONTROLE PRODUÇÃO POR EMPRESAS'!$A$6:$A$5000,0),MOD(ROW()-2,6)+1),"")),"")</f>
        <v/>
      </c>
      <c r="I848" s="159">
        <f>IF(OR(NOT(ISNUMBER(G848)),NOT(ISNUMBER(H848))),"",H848-G848)</f>
        <v/>
      </c>
      <c r="J848" s="319">
        <f>IF(OR(NOT(ISNUMBER(G848)),NOT(ISNUMBER(H848)),G848=0),"",I848/G848)</f>
        <v/>
      </c>
      <c r="K848" s="319">
        <f>IF(OR(NOT(ISNUMBER(G848)),NOT(ISNUMBER(H848)),G848=0),"",H848/G848)</f>
        <v/>
      </c>
      <c r="L848">
        <f>IF(NOT(ISNUMBER(G848)),"SEM META",IF(G848=0,"SEM META",IF(NOT(ISNUMBER(H848)),"SEM APONTAMENTO",IF(H848&gt;=G848,"VERDE",IF(H848&gt;=G848*0.9,"AMARELO","VERMELHO")))))</f>
        <v/>
      </c>
      <c r="M848" s="162" t="n"/>
      <c r="N848" s="162" t="n"/>
      <c r="O848" s="162" t="n"/>
      <c r="P848" s="162" t="n"/>
      <c r="Q848" s="320" t="n"/>
      <c r="R848" s="162" t="inlineStr">
        <is>
          <t>CONTROLE PRODUÇÃO POR EMPRESAS!B147</t>
        </is>
      </c>
    </row>
    <row r="849" ht="28.5" customHeight="1">
      <c r="A849" s="317" t="n">
        <v>46364</v>
      </c>
      <c r="B849" t="inlineStr">
        <is>
          <t>GERAL</t>
        </is>
      </c>
      <c r="C849" t="inlineStr">
        <is>
          <t>EJ</t>
        </is>
      </c>
      <c r="D849" t="inlineStr">
        <is>
          <t>IÇAMENTO JOIST</t>
        </is>
      </c>
      <c r="F849" s="159">
        <f>IFERROR(INDEX('BASE METAS DIÁRIAS'!$N$2:$S$358,MATCH($A849,'BASE METAS DIÁRIAS'!$A$2:$A$358,0),MOD(ROW()-2,6)+1),"")</f>
        <v/>
      </c>
      <c r="G849" s="159">
        <f>IFERROR(IF(WEEKDAY($A849,2)&lt;=INDEX('BASE METAS DIÁRIAS'!$H$2:$M$358,MATCH($A849,'BASE METAS DIÁRIAS'!$A$2:$A$358,0),MOD(ROW()-2,6)+1),INDEX('BASE METAS DIÁRIAS'!$B$2:$G$358,MATCH($A849,'BASE METAS DIÁRIAS'!$A$2:$A$358,0),MOD(ROW()-2,6)+1),""),"")</f>
        <v/>
      </c>
      <c r="H849" s="159">
        <f>IFERROR(IF(INDEX('CONTROLE PRODUÇÃO POR EMPRESAS'!$B$6:$G$5000,MATCH($A849,'CONTROLE PRODUÇÃO POR EMPRESAS'!$A$6:$A$5000,0),MOD(ROW()-2,6)+1)="","",IFERROR(1*INDEX('CONTROLE PRODUÇÃO POR EMPRESAS'!$B$6:$G$5000,MATCH($A849,'CONTROLE PRODUÇÃO POR EMPRESAS'!$A$6:$A$5000,0),MOD(ROW()-2,6)+1),"")),"")</f>
        <v/>
      </c>
      <c r="I849" s="159">
        <f>IF(OR(NOT(ISNUMBER(G849)),NOT(ISNUMBER(H849))),"",H849-G849)</f>
        <v/>
      </c>
      <c r="J849" s="319">
        <f>IF(OR(NOT(ISNUMBER(G849)),NOT(ISNUMBER(H849)),G849=0),"",I849/G849)</f>
        <v/>
      </c>
      <c r="K849" s="319">
        <f>IF(OR(NOT(ISNUMBER(G849)),NOT(ISNUMBER(H849)),G849=0),"",H849/G849)</f>
        <v/>
      </c>
      <c r="L849">
        <f>IF(NOT(ISNUMBER(G849)),"SEM META",IF(G849=0,"SEM META",IF(NOT(ISNUMBER(H849)),"SEM APONTAMENTO",IF(H849&gt;=G849,"VERDE",IF(H849&gt;=G849*0.9,"AMARELO","VERMELHO")))))</f>
        <v/>
      </c>
      <c r="M849" s="162" t="n"/>
      <c r="N849" s="162" t="n"/>
      <c r="O849" s="162" t="n"/>
      <c r="P849" s="162" t="n"/>
      <c r="Q849" s="320" t="n"/>
      <c r="R849" s="162" t="inlineStr">
        <is>
          <t>CONTROLE PRODUÇÃO POR EMPRESAS!C147</t>
        </is>
      </c>
    </row>
    <row r="850" ht="28.5" customHeight="1">
      <c r="A850" s="317" t="n">
        <v>46364</v>
      </c>
      <c r="B850" t="inlineStr">
        <is>
          <t>GERAL</t>
        </is>
      </c>
      <c r="C850" t="inlineStr">
        <is>
          <t>EJ</t>
        </is>
      </c>
      <c r="D850" t="inlineStr">
        <is>
          <t>VIGAS</t>
        </is>
      </c>
      <c r="F850" s="159">
        <f>IFERROR(INDEX('BASE METAS DIÁRIAS'!$N$2:$S$358,MATCH($A850,'BASE METAS DIÁRIAS'!$A$2:$A$358,0),MOD(ROW()-2,6)+1),"")</f>
        <v/>
      </c>
      <c r="G850" s="159">
        <f>IFERROR(IF(WEEKDAY($A850,2)&lt;=INDEX('BASE METAS DIÁRIAS'!$H$2:$M$358,MATCH($A850,'BASE METAS DIÁRIAS'!$A$2:$A$358,0),MOD(ROW()-2,6)+1),INDEX('BASE METAS DIÁRIAS'!$B$2:$G$358,MATCH($A850,'BASE METAS DIÁRIAS'!$A$2:$A$358,0),MOD(ROW()-2,6)+1),""),"")</f>
        <v/>
      </c>
      <c r="H850" s="159">
        <f>IFERROR(IF(INDEX('CONTROLE PRODUÇÃO POR EMPRESAS'!$B$6:$G$5000,MATCH($A850,'CONTROLE PRODUÇÃO POR EMPRESAS'!$A$6:$A$5000,0),MOD(ROW()-2,6)+1)="","",IFERROR(1*INDEX('CONTROLE PRODUÇÃO POR EMPRESAS'!$B$6:$G$5000,MATCH($A850,'CONTROLE PRODUÇÃO POR EMPRESAS'!$A$6:$A$5000,0),MOD(ROW()-2,6)+1),"")),"")</f>
        <v/>
      </c>
      <c r="I850" s="159">
        <f>IF(OR(NOT(ISNUMBER(G850)),NOT(ISNUMBER(H850))),"",H850-G850)</f>
        <v/>
      </c>
      <c r="J850" s="319">
        <f>IF(OR(NOT(ISNUMBER(G850)),NOT(ISNUMBER(H850)),G850=0),"",I850/G850)</f>
        <v/>
      </c>
      <c r="K850" s="319">
        <f>IF(OR(NOT(ISNUMBER(G850)),NOT(ISNUMBER(H850)),G850=0),"",H850/G850)</f>
        <v/>
      </c>
      <c r="L850">
        <f>IF(NOT(ISNUMBER(G850)),"SEM META",IF(G850=0,"SEM META",IF(NOT(ISNUMBER(H850)),"SEM APONTAMENTO",IF(H850&gt;=G850,"VERDE",IF(H850&gt;=G850*0.9,"AMARELO","VERMELHO")))))</f>
        <v/>
      </c>
      <c r="M850" s="162" t="n"/>
      <c r="N850" s="162" t="n"/>
      <c r="O850" s="162" t="n"/>
      <c r="P850" s="162" t="n"/>
      <c r="Q850" s="320" t="n"/>
      <c r="R850" s="162" t="inlineStr">
        <is>
          <t>CONTROLE PRODUÇÃO POR EMPRESAS!D147</t>
        </is>
      </c>
    </row>
    <row r="851" ht="28.5" customHeight="1">
      <c r="A851" s="317" t="n">
        <v>46364</v>
      </c>
      <c r="B851" t="inlineStr">
        <is>
          <t>GERAL</t>
        </is>
      </c>
      <c r="C851" t="inlineStr">
        <is>
          <t>CMM</t>
        </is>
      </c>
      <c r="D851" t="inlineStr">
        <is>
          <t>PREMONTAGEM</t>
        </is>
      </c>
      <c r="F851" s="159">
        <f>IFERROR(INDEX('BASE METAS DIÁRIAS'!$N$2:$S$358,MATCH($A851,'BASE METAS DIÁRIAS'!$A$2:$A$358,0),MOD(ROW()-2,6)+1),"")</f>
        <v/>
      </c>
      <c r="G851" s="159">
        <f>IFERROR(IF(WEEKDAY($A851,2)&lt;=INDEX('BASE METAS DIÁRIAS'!$H$2:$M$358,MATCH($A851,'BASE METAS DIÁRIAS'!$A$2:$A$358,0),MOD(ROW()-2,6)+1),INDEX('BASE METAS DIÁRIAS'!$B$2:$G$358,MATCH($A851,'BASE METAS DIÁRIAS'!$A$2:$A$358,0),MOD(ROW()-2,6)+1),""),"")</f>
        <v/>
      </c>
      <c r="H851" s="159">
        <f>IFERROR(IF(INDEX('CONTROLE PRODUÇÃO POR EMPRESAS'!$B$6:$G$5000,MATCH($A851,'CONTROLE PRODUÇÃO POR EMPRESAS'!$A$6:$A$5000,0),MOD(ROW()-2,6)+1)="","",IFERROR(1*INDEX('CONTROLE PRODUÇÃO POR EMPRESAS'!$B$6:$G$5000,MATCH($A851,'CONTROLE PRODUÇÃO POR EMPRESAS'!$A$6:$A$5000,0),MOD(ROW()-2,6)+1),"")),"")</f>
        <v/>
      </c>
      <c r="I851" s="159">
        <f>IF(OR(NOT(ISNUMBER(G851)),NOT(ISNUMBER(H851))),"",H851-G851)</f>
        <v/>
      </c>
      <c r="J851" s="319">
        <f>IF(OR(NOT(ISNUMBER(G851)),NOT(ISNUMBER(H851)),G851=0),"",I851/G851)</f>
        <v/>
      </c>
      <c r="K851" s="319">
        <f>IF(OR(NOT(ISNUMBER(G851)),NOT(ISNUMBER(H851)),G851=0),"",H851/G851)</f>
        <v/>
      </c>
      <c r="L851">
        <f>IF(NOT(ISNUMBER(G851)),"SEM META",IF(G851=0,"SEM META",IF(NOT(ISNUMBER(H851)),"SEM APONTAMENTO",IF(H851&gt;=G851,"VERDE",IF(H851&gt;=G851*0.9,"AMARELO","VERMELHO")))))</f>
        <v/>
      </c>
      <c r="M851" s="162" t="n"/>
      <c r="N851" s="162" t="n"/>
      <c r="O851" s="162" t="n"/>
      <c r="P851" s="162" t="n"/>
      <c r="Q851" s="320" t="n"/>
      <c r="R851" s="162" t="inlineStr">
        <is>
          <t>CONTROLE PRODUÇÃO POR EMPRESAS!E147</t>
        </is>
      </c>
    </row>
    <row r="852" ht="28.5" customHeight="1">
      <c r="A852" s="317" t="n">
        <v>46364</v>
      </c>
      <c r="B852" t="inlineStr">
        <is>
          <t>GERAL</t>
        </is>
      </c>
      <c r="C852" t="inlineStr">
        <is>
          <t>CMM</t>
        </is>
      </c>
      <c r="D852" t="inlineStr">
        <is>
          <t>IÇAMENTO JOIST</t>
        </is>
      </c>
      <c r="F852" s="159">
        <f>IFERROR(INDEX('BASE METAS DIÁRIAS'!$N$2:$S$358,MATCH($A852,'BASE METAS DIÁRIAS'!$A$2:$A$358,0),MOD(ROW()-2,6)+1),"")</f>
        <v/>
      </c>
      <c r="G852" s="159">
        <f>IFERROR(IF(WEEKDAY($A852,2)&lt;=INDEX('BASE METAS DIÁRIAS'!$H$2:$M$358,MATCH($A852,'BASE METAS DIÁRIAS'!$A$2:$A$358,0),MOD(ROW()-2,6)+1),INDEX('BASE METAS DIÁRIAS'!$B$2:$G$358,MATCH($A852,'BASE METAS DIÁRIAS'!$A$2:$A$358,0),MOD(ROW()-2,6)+1),""),"")</f>
        <v/>
      </c>
      <c r="H852" s="159">
        <f>IFERROR(IF(INDEX('CONTROLE PRODUÇÃO POR EMPRESAS'!$B$6:$G$5000,MATCH($A852,'CONTROLE PRODUÇÃO POR EMPRESAS'!$A$6:$A$5000,0),MOD(ROW()-2,6)+1)="","",IFERROR(1*INDEX('CONTROLE PRODUÇÃO POR EMPRESAS'!$B$6:$G$5000,MATCH($A852,'CONTROLE PRODUÇÃO POR EMPRESAS'!$A$6:$A$5000,0),MOD(ROW()-2,6)+1),"")),"")</f>
        <v/>
      </c>
      <c r="I852" s="159">
        <f>IF(OR(NOT(ISNUMBER(G852)),NOT(ISNUMBER(H852))),"",H852-G852)</f>
        <v/>
      </c>
      <c r="J852" s="319">
        <f>IF(OR(NOT(ISNUMBER(G852)),NOT(ISNUMBER(H852)),G852=0),"",I852/G852)</f>
        <v/>
      </c>
      <c r="K852" s="319">
        <f>IF(OR(NOT(ISNUMBER(G852)),NOT(ISNUMBER(H852)),G852=0),"",H852/G852)</f>
        <v/>
      </c>
      <c r="L852">
        <f>IF(NOT(ISNUMBER(G852)),"SEM META",IF(G852=0,"SEM META",IF(NOT(ISNUMBER(H852)),"SEM APONTAMENTO",IF(H852&gt;=G852,"VERDE",IF(H852&gt;=G852*0.9,"AMARELO","VERMELHO")))))</f>
        <v/>
      </c>
      <c r="M852" s="162" t="n"/>
      <c r="N852" s="162" t="n"/>
      <c r="O852" s="162" t="n"/>
      <c r="P852" s="162" t="n"/>
      <c r="Q852" s="320" t="n"/>
      <c r="R852" s="162" t="inlineStr">
        <is>
          <t>CONTROLE PRODUÇÃO POR EMPRESAS!F147</t>
        </is>
      </c>
    </row>
    <row r="853" ht="28.5" customHeight="1">
      <c r="A853" s="317" t="n">
        <v>46364</v>
      </c>
      <c r="B853" t="inlineStr">
        <is>
          <t>GERAL</t>
        </is>
      </c>
      <c r="C853" t="inlineStr">
        <is>
          <t>CMM</t>
        </is>
      </c>
      <c r="D853" t="inlineStr">
        <is>
          <t>VIGAS</t>
        </is>
      </c>
      <c r="F853" s="159">
        <f>IFERROR(INDEX('BASE METAS DIÁRIAS'!$N$2:$S$358,MATCH($A853,'BASE METAS DIÁRIAS'!$A$2:$A$358,0),MOD(ROW()-2,6)+1),"")</f>
        <v/>
      </c>
      <c r="G853" s="159">
        <f>IFERROR(IF(WEEKDAY($A853,2)&lt;=INDEX('BASE METAS DIÁRIAS'!$H$2:$M$358,MATCH($A853,'BASE METAS DIÁRIAS'!$A$2:$A$358,0),MOD(ROW()-2,6)+1),INDEX('BASE METAS DIÁRIAS'!$B$2:$G$358,MATCH($A853,'BASE METAS DIÁRIAS'!$A$2:$A$358,0),MOD(ROW()-2,6)+1),""),"")</f>
        <v/>
      </c>
      <c r="H853" s="159">
        <f>IFERROR(IF(INDEX('CONTROLE PRODUÇÃO POR EMPRESAS'!$B$6:$G$5000,MATCH($A853,'CONTROLE PRODUÇÃO POR EMPRESAS'!$A$6:$A$5000,0),MOD(ROW()-2,6)+1)="","",IFERROR(1*INDEX('CONTROLE PRODUÇÃO POR EMPRESAS'!$B$6:$G$5000,MATCH($A853,'CONTROLE PRODUÇÃO POR EMPRESAS'!$A$6:$A$5000,0),MOD(ROW()-2,6)+1),"")),"")</f>
        <v/>
      </c>
      <c r="I853" s="159">
        <f>IF(OR(NOT(ISNUMBER(G853)),NOT(ISNUMBER(H853))),"",H853-G853)</f>
        <v/>
      </c>
      <c r="J853" s="319">
        <f>IF(OR(NOT(ISNUMBER(G853)),NOT(ISNUMBER(H853)),G853=0),"",I853/G853)</f>
        <v/>
      </c>
      <c r="K853" s="319">
        <f>IF(OR(NOT(ISNUMBER(G853)),NOT(ISNUMBER(H853)),G853=0),"",H853/G853)</f>
        <v/>
      </c>
      <c r="L853">
        <f>IF(NOT(ISNUMBER(G853)),"SEM META",IF(G853=0,"SEM META",IF(NOT(ISNUMBER(H853)),"SEM APONTAMENTO",IF(H853&gt;=G853,"VERDE",IF(H853&gt;=G853*0.9,"AMARELO","VERMELHO")))))</f>
        <v/>
      </c>
      <c r="M853" s="162" t="n"/>
      <c r="N853" s="162" t="n"/>
      <c r="O853" s="162" t="n"/>
      <c r="P853" s="162" t="n"/>
      <c r="Q853" s="320" t="n"/>
      <c r="R853" s="162" t="inlineStr">
        <is>
          <t>CONTROLE PRODUÇÃO POR EMPRESAS!G147</t>
        </is>
      </c>
    </row>
    <row r="854" ht="28.5" customHeight="1">
      <c r="A854" s="317" t="n">
        <v>46365</v>
      </c>
      <c r="B854" t="inlineStr">
        <is>
          <t>GERAL</t>
        </is>
      </c>
      <c r="C854" t="inlineStr">
        <is>
          <t>EJ</t>
        </is>
      </c>
      <c r="D854" t="inlineStr">
        <is>
          <t>PREMONTAGEM</t>
        </is>
      </c>
      <c r="F854" s="159">
        <f>IFERROR(INDEX('BASE METAS DIÁRIAS'!$N$2:$S$358,MATCH($A854,'BASE METAS DIÁRIAS'!$A$2:$A$358,0),MOD(ROW()-2,6)+1),"")</f>
        <v/>
      </c>
      <c r="G854" s="159">
        <f>IFERROR(IF(WEEKDAY($A854,2)&lt;=INDEX('BASE METAS DIÁRIAS'!$H$2:$M$358,MATCH($A854,'BASE METAS DIÁRIAS'!$A$2:$A$358,0),MOD(ROW()-2,6)+1),INDEX('BASE METAS DIÁRIAS'!$B$2:$G$358,MATCH($A854,'BASE METAS DIÁRIAS'!$A$2:$A$358,0),MOD(ROW()-2,6)+1),""),"")</f>
        <v/>
      </c>
      <c r="H854" s="159">
        <f>IFERROR(IF(INDEX('CONTROLE PRODUÇÃO POR EMPRESAS'!$B$6:$G$5000,MATCH($A854,'CONTROLE PRODUÇÃO POR EMPRESAS'!$A$6:$A$5000,0),MOD(ROW()-2,6)+1)="","",IFERROR(1*INDEX('CONTROLE PRODUÇÃO POR EMPRESAS'!$B$6:$G$5000,MATCH($A854,'CONTROLE PRODUÇÃO POR EMPRESAS'!$A$6:$A$5000,0),MOD(ROW()-2,6)+1),"")),"")</f>
        <v/>
      </c>
      <c r="I854" s="159">
        <f>IF(OR(NOT(ISNUMBER(G854)),NOT(ISNUMBER(H854))),"",H854-G854)</f>
        <v/>
      </c>
      <c r="J854" s="319">
        <f>IF(OR(NOT(ISNUMBER(G854)),NOT(ISNUMBER(H854)),G854=0),"",I854/G854)</f>
        <v/>
      </c>
      <c r="K854" s="319">
        <f>IF(OR(NOT(ISNUMBER(G854)),NOT(ISNUMBER(H854)),G854=0),"",H854/G854)</f>
        <v/>
      </c>
      <c r="L854">
        <f>IF(NOT(ISNUMBER(G854)),"SEM META",IF(G854=0,"SEM META",IF(NOT(ISNUMBER(H854)),"SEM APONTAMENTO",IF(H854&gt;=G854,"VERDE",IF(H854&gt;=G854*0.9,"AMARELO","VERMELHO")))))</f>
        <v/>
      </c>
      <c r="M854" s="162" t="n"/>
      <c r="N854" s="162" t="n"/>
      <c r="O854" s="162" t="n"/>
      <c r="P854" s="162" t="n"/>
      <c r="Q854" s="320" t="n"/>
      <c r="R854" s="162" t="inlineStr">
        <is>
          <t>CONTROLE PRODUÇÃO POR EMPRESAS!B148</t>
        </is>
      </c>
    </row>
    <row r="855" ht="28.5" customHeight="1">
      <c r="A855" s="317" t="n">
        <v>46365</v>
      </c>
      <c r="B855" t="inlineStr">
        <is>
          <t>GERAL</t>
        </is>
      </c>
      <c r="C855" t="inlineStr">
        <is>
          <t>EJ</t>
        </is>
      </c>
      <c r="D855" t="inlineStr">
        <is>
          <t>IÇAMENTO JOIST</t>
        </is>
      </c>
      <c r="F855" s="159">
        <f>IFERROR(INDEX('BASE METAS DIÁRIAS'!$N$2:$S$358,MATCH($A855,'BASE METAS DIÁRIAS'!$A$2:$A$358,0),MOD(ROW()-2,6)+1),"")</f>
        <v/>
      </c>
      <c r="G855" s="159">
        <f>IFERROR(IF(WEEKDAY($A855,2)&lt;=INDEX('BASE METAS DIÁRIAS'!$H$2:$M$358,MATCH($A855,'BASE METAS DIÁRIAS'!$A$2:$A$358,0),MOD(ROW()-2,6)+1),INDEX('BASE METAS DIÁRIAS'!$B$2:$G$358,MATCH($A855,'BASE METAS DIÁRIAS'!$A$2:$A$358,0),MOD(ROW()-2,6)+1),""),"")</f>
        <v/>
      </c>
      <c r="H855" s="159">
        <f>IFERROR(IF(INDEX('CONTROLE PRODUÇÃO POR EMPRESAS'!$B$6:$G$5000,MATCH($A855,'CONTROLE PRODUÇÃO POR EMPRESAS'!$A$6:$A$5000,0),MOD(ROW()-2,6)+1)="","",IFERROR(1*INDEX('CONTROLE PRODUÇÃO POR EMPRESAS'!$B$6:$G$5000,MATCH($A855,'CONTROLE PRODUÇÃO POR EMPRESAS'!$A$6:$A$5000,0),MOD(ROW()-2,6)+1),"")),"")</f>
        <v/>
      </c>
      <c r="I855" s="159">
        <f>IF(OR(NOT(ISNUMBER(G855)),NOT(ISNUMBER(H855))),"",H855-G855)</f>
        <v/>
      </c>
      <c r="J855" s="319">
        <f>IF(OR(NOT(ISNUMBER(G855)),NOT(ISNUMBER(H855)),G855=0),"",I855/G855)</f>
        <v/>
      </c>
      <c r="K855" s="319">
        <f>IF(OR(NOT(ISNUMBER(G855)),NOT(ISNUMBER(H855)),G855=0),"",H855/G855)</f>
        <v/>
      </c>
      <c r="L855">
        <f>IF(NOT(ISNUMBER(G855)),"SEM META",IF(G855=0,"SEM META",IF(NOT(ISNUMBER(H855)),"SEM APONTAMENTO",IF(H855&gt;=G855,"VERDE",IF(H855&gt;=G855*0.9,"AMARELO","VERMELHO")))))</f>
        <v/>
      </c>
      <c r="M855" s="162" t="n"/>
      <c r="N855" s="162" t="n"/>
      <c r="O855" s="162" t="n"/>
      <c r="P855" s="162" t="n"/>
      <c r="Q855" s="320" t="n"/>
      <c r="R855" s="162" t="inlineStr">
        <is>
          <t>CONTROLE PRODUÇÃO POR EMPRESAS!C148</t>
        </is>
      </c>
    </row>
    <row r="856" ht="28.5" customHeight="1">
      <c r="A856" s="317" t="n">
        <v>46365</v>
      </c>
      <c r="B856" t="inlineStr">
        <is>
          <t>GERAL</t>
        </is>
      </c>
      <c r="C856" t="inlineStr">
        <is>
          <t>EJ</t>
        </is>
      </c>
      <c r="D856" t="inlineStr">
        <is>
          <t>VIGAS</t>
        </is>
      </c>
      <c r="F856" s="159">
        <f>IFERROR(INDEX('BASE METAS DIÁRIAS'!$N$2:$S$358,MATCH($A856,'BASE METAS DIÁRIAS'!$A$2:$A$358,0),MOD(ROW()-2,6)+1),"")</f>
        <v/>
      </c>
      <c r="G856" s="159">
        <f>IFERROR(IF(WEEKDAY($A856,2)&lt;=INDEX('BASE METAS DIÁRIAS'!$H$2:$M$358,MATCH($A856,'BASE METAS DIÁRIAS'!$A$2:$A$358,0),MOD(ROW()-2,6)+1),INDEX('BASE METAS DIÁRIAS'!$B$2:$G$358,MATCH($A856,'BASE METAS DIÁRIAS'!$A$2:$A$358,0),MOD(ROW()-2,6)+1),""),"")</f>
        <v/>
      </c>
      <c r="H856" s="159">
        <f>IFERROR(IF(INDEX('CONTROLE PRODUÇÃO POR EMPRESAS'!$B$6:$G$5000,MATCH($A856,'CONTROLE PRODUÇÃO POR EMPRESAS'!$A$6:$A$5000,0),MOD(ROW()-2,6)+1)="","",IFERROR(1*INDEX('CONTROLE PRODUÇÃO POR EMPRESAS'!$B$6:$G$5000,MATCH($A856,'CONTROLE PRODUÇÃO POR EMPRESAS'!$A$6:$A$5000,0),MOD(ROW()-2,6)+1),"")),"")</f>
        <v/>
      </c>
      <c r="I856" s="159">
        <f>IF(OR(NOT(ISNUMBER(G856)),NOT(ISNUMBER(H856))),"",H856-G856)</f>
        <v/>
      </c>
      <c r="J856" s="319">
        <f>IF(OR(NOT(ISNUMBER(G856)),NOT(ISNUMBER(H856)),G856=0),"",I856/G856)</f>
        <v/>
      </c>
      <c r="K856" s="319">
        <f>IF(OR(NOT(ISNUMBER(G856)),NOT(ISNUMBER(H856)),G856=0),"",H856/G856)</f>
        <v/>
      </c>
      <c r="L856">
        <f>IF(NOT(ISNUMBER(G856)),"SEM META",IF(G856=0,"SEM META",IF(NOT(ISNUMBER(H856)),"SEM APONTAMENTO",IF(H856&gt;=G856,"VERDE",IF(H856&gt;=G856*0.9,"AMARELO","VERMELHO")))))</f>
        <v/>
      </c>
      <c r="M856" s="162" t="n"/>
      <c r="N856" s="162" t="n"/>
      <c r="O856" s="162" t="n"/>
      <c r="P856" s="162" t="n"/>
      <c r="Q856" s="320" t="n"/>
      <c r="R856" s="162" t="inlineStr">
        <is>
          <t>CONTROLE PRODUÇÃO POR EMPRESAS!D148</t>
        </is>
      </c>
    </row>
    <row r="857" ht="28.5" customHeight="1">
      <c r="A857" s="317" t="n">
        <v>46365</v>
      </c>
      <c r="B857" t="inlineStr">
        <is>
          <t>GERAL</t>
        </is>
      </c>
      <c r="C857" t="inlineStr">
        <is>
          <t>CMM</t>
        </is>
      </c>
      <c r="D857" t="inlineStr">
        <is>
          <t>PREMONTAGEM</t>
        </is>
      </c>
      <c r="F857" s="159">
        <f>IFERROR(INDEX('BASE METAS DIÁRIAS'!$N$2:$S$358,MATCH($A857,'BASE METAS DIÁRIAS'!$A$2:$A$358,0),MOD(ROW()-2,6)+1),"")</f>
        <v/>
      </c>
      <c r="G857" s="159">
        <f>IFERROR(IF(WEEKDAY($A857,2)&lt;=INDEX('BASE METAS DIÁRIAS'!$H$2:$M$358,MATCH($A857,'BASE METAS DIÁRIAS'!$A$2:$A$358,0),MOD(ROW()-2,6)+1),INDEX('BASE METAS DIÁRIAS'!$B$2:$G$358,MATCH($A857,'BASE METAS DIÁRIAS'!$A$2:$A$358,0),MOD(ROW()-2,6)+1),""),"")</f>
        <v/>
      </c>
      <c r="H857" s="159">
        <f>IFERROR(IF(INDEX('CONTROLE PRODUÇÃO POR EMPRESAS'!$B$6:$G$5000,MATCH($A857,'CONTROLE PRODUÇÃO POR EMPRESAS'!$A$6:$A$5000,0),MOD(ROW()-2,6)+1)="","",IFERROR(1*INDEX('CONTROLE PRODUÇÃO POR EMPRESAS'!$B$6:$G$5000,MATCH($A857,'CONTROLE PRODUÇÃO POR EMPRESAS'!$A$6:$A$5000,0),MOD(ROW()-2,6)+1),"")),"")</f>
        <v/>
      </c>
      <c r="I857" s="159">
        <f>IF(OR(NOT(ISNUMBER(G857)),NOT(ISNUMBER(H857))),"",H857-G857)</f>
        <v/>
      </c>
      <c r="J857" s="319">
        <f>IF(OR(NOT(ISNUMBER(G857)),NOT(ISNUMBER(H857)),G857=0),"",I857/G857)</f>
        <v/>
      </c>
      <c r="K857" s="319">
        <f>IF(OR(NOT(ISNUMBER(G857)),NOT(ISNUMBER(H857)),G857=0),"",H857/G857)</f>
        <v/>
      </c>
      <c r="L857">
        <f>IF(NOT(ISNUMBER(G857)),"SEM META",IF(G857=0,"SEM META",IF(NOT(ISNUMBER(H857)),"SEM APONTAMENTO",IF(H857&gt;=G857,"VERDE",IF(H857&gt;=G857*0.9,"AMARELO","VERMELHO")))))</f>
        <v/>
      </c>
      <c r="M857" s="162" t="n"/>
      <c r="N857" s="162" t="n"/>
      <c r="O857" s="162" t="n"/>
      <c r="P857" s="162" t="n"/>
      <c r="Q857" s="320" t="n"/>
      <c r="R857" s="162" t="inlineStr">
        <is>
          <t>CONTROLE PRODUÇÃO POR EMPRESAS!E148</t>
        </is>
      </c>
    </row>
    <row r="858" ht="28.5" customHeight="1">
      <c r="A858" s="317" t="n">
        <v>46365</v>
      </c>
      <c r="B858" t="inlineStr">
        <is>
          <t>GERAL</t>
        </is>
      </c>
      <c r="C858" t="inlineStr">
        <is>
          <t>CMM</t>
        </is>
      </c>
      <c r="D858" t="inlineStr">
        <is>
          <t>IÇAMENTO JOIST</t>
        </is>
      </c>
      <c r="F858" s="159">
        <f>IFERROR(INDEX('BASE METAS DIÁRIAS'!$N$2:$S$358,MATCH($A858,'BASE METAS DIÁRIAS'!$A$2:$A$358,0),MOD(ROW()-2,6)+1),"")</f>
        <v/>
      </c>
      <c r="G858" s="159">
        <f>IFERROR(IF(WEEKDAY($A858,2)&lt;=INDEX('BASE METAS DIÁRIAS'!$H$2:$M$358,MATCH($A858,'BASE METAS DIÁRIAS'!$A$2:$A$358,0),MOD(ROW()-2,6)+1),INDEX('BASE METAS DIÁRIAS'!$B$2:$G$358,MATCH($A858,'BASE METAS DIÁRIAS'!$A$2:$A$358,0),MOD(ROW()-2,6)+1),""),"")</f>
        <v/>
      </c>
      <c r="H858" s="159">
        <f>IFERROR(IF(INDEX('CONTROLE PRODUÇÃO POR EMPRESAS'!$B$6:$G$5000,MATCH($A858,'CONTROLE PRODUÇÃO POR EMPRESAS'!$A$6:$A$5000,0),MOD(ROW()-2,6)+1)="","",IFERROR(1*INDEX('CONTROLE PRODUÇÃO POR EMPRESAS'!$B$6:$G$5000,MATCH($A858,'CONTROLE PRODUÇÃO POR EMPRESAS'!$A$6:$A$5000,0),MOD(ROW()-2,6)+1),"")),"")</f>
        <v/>
      </c>
      <c r="I858" s="159">
        <f>IF(OR(NOT(ISNUMBER(G858)),NOT(ISNUMBER(H858))),"",H858-G858)</f>
        <v/>
      </c>
      <c r="J858" s="319">
        <f>IF(OR(NOT(ISNUMBER(G858)),NOT(ISNUMBER(H858)),G858=0),"",I858/G858)</f>
        <v/>
      </c>
      <c r="K858" s="319">
        <f>IF(OR(NOT(ISNUMBER(G858)),NOT(ISNUMBER(H858)),G858=0),"",H858/G858)</f>
        <v/>
      </c>
      <c r="L858">
        <f>IF(NOT(ISNUMBER(G858)),"SEM META",IF(G858=0,"SEM META",IF(NOT(ISNUMBER(H858)),"SEM APONTAMENTO",IF(H858&gt;=G858,"VERDE",IF(H858&gt;=G858*0.9,"AMARELO","VERMELHO")))))</f>
        <v/>
      </c>
      <c r="M858" s="162" t="n"/>
      <c r="N858" s="162" t="n"/>
      <c r="O858" s="162" t="n"/>
      <c r="P858" s="162" t="n"/>
      <c r="Q858" s="320" t="n"/>
      <c r="R858" s="162" t="inlineStr">
        <is>
          <t>CONTROLE PRODUÇÃO POR EMPRESAS!F148</t>
        </is>
      </c>
    </row>
    <row r="859" ht="28.5" customHeight="1">
      <c r="A859" s="317" t="n">
        <v>46365</v>
      </c>
      <c r="B859" t="inlineStr">
        <is>
          <t>GERAL</t>
        </is>
      </c>
      <c r="C859" t="inlineStr">
        <is>
          <t>CMM</t>
        </is>
      </c>
      <c r="D859" t="inlineStr">
        <is>
          <t>VIGAS</t>
        </is>
      </c>
      <c r="F859" s="159">
        <f>IFERROR(INDEX('BASE METAS DIÁRIAS'!$N$2:$S$358,MATCH($A859,'BASE METAS DIÁRIAS'!$A$2:$A$358,0),MOD(ROW()-2,6)+1),"")</f>
        <v/>
      </c>
      <c r="G859" s="159">
        <f>IFERROR(IF(WEEKDAY($A859,2)&lt;=INDEX('BASE METAS DIÁRIAS'!$H$2:$M$358,MATCH($A859,'BASE METAS DIÁRIAS'!$A$2:$A$358,0),MOD(ROW()-2,6)+1),INDEX('BASE METAS DIÁRIAS'!$B$2:$G$358,MATCH($A859,'BASE METAS DIÁRIAS'!$A$2:$A$358,0),MOD(ROW()-2,6)+1),""),"")</f>
        <v/>
      </c>
      <c r="H859" s="159">
        <f>IFERROR(IF(INDEX('CONTROLE PRODUÇÃO POR EMPRESAS'!$B$6:$G$5000,MATCH($A859,'CONTROLE PRODUÇÃO POR EMPRESAS'!$A$6:$A$5000,0),MOD(ROW()-2,6)+1)="","",IFERROR(1*INDEX('CONTROLE PRODUÇÃO POR EMPRESAS'!$B$6:$G$5000,MATCH($A859,'CONTROLE PRODUÇÃO POR EMPRESAS'!$A$6:$A$5000,0),MOD(ROW()-2,6)+1),"")),"")</f>
        <v/>
      </c>
      <c r="I859" s="159">
        <f>IF(OR(NOT(ISNUMBER(G859)),NOT(ISNUMBER(H859))),"",H859-G859)</f>
        <v/>
      </c>
      <c r="J859" s="319">
        <f>IF(OR(NOT(ISNUMBER(G859)),NOT(ISNUMBER(H859)),G859=0),"",I859/G859)</f>
        <v/>
      </c>
      <c r="K859" s="319">
        <f>IF(OR(NOT(ISNUMBER(G859)),NOT(ISNUMBER(H859)),G859=0),"",H859/G859)</f>
        <v/>
      </c>
      <c r="L859">
        <f>IF(NOT(ISNUMBER(G859)),"SEM META",IF(G859=0,"SEM META",IF(NOT(ISNUMBER(H859)),"SEM APONTAMENTO",IF(H859&gt;=G859,"VERDE",IF(H859&gt;=G859*0.9,"AMARELO","VERMELHO")))))</f>
        <v/>
      </c>
      <c r="M859" s="162" t="n"/>
      <c r="N859" s="162" t="n"/>
      <c r="O859" s="162" t="n"/>
      <c r="P859" s="162" t="n"/>
      <c r="Q859" s="320" t="n"/>
      <c r="R859" s="162" t="inlineStr">
        <is>
          <t>CONTROLE PRODUÇÃO POR EMPRESAS!G148</t>
        </is>
      </c>
    </row>
    <row r="860" ht="28.5" customHeight="1">
      <c r="A860" s="317" t="n">
        <v>46366</v>
      </c>
      <c r="B860" t="inlineStr">
        <is>
          <t>GERAL</t>
        </is>
      </c>
      <c r="C860" t="inlineStr">
        <is>
          <t>EJ</t>
        </is>
      </c>
      <c r="D860" t="inlineStr">
        <is>
          <t>PREMONTAGEM</t>
        </is>
      </c>
      <c r="F860" s="159">
        <f>IFERROR(INDEX('BASE METAS DIÁRIAS'!$N$2:$S$358,MATCH($A860,'BASE METAS DIÁRIAS'!$A$2:$A$358,0),MOD(ROW()-2,6)+1),"")</f>
        <v/>
      </c>
      <c r="G860" s="159">
        <f>IFERROR(IF(WEEKDAY($A860,2)&lt;=INDEX('BASE METAS DIÁRIAS'!$H$2:$M$358,MATCH($A860,'BASE METAS DIÁRIAS'!$A$2:$A$358,0),MOD(ROW()-2,6)+1),INDEX('BASE METAS DIÁRIAS'!$B$2:$G$358,MATCH($A860,'BASE METAS DIÁRIAS'!$A$2:$A$358,0),MOD(ROW()-2,6)+1),""),"")</f>
        <v/>
      </c>
      <c r="H860" s="159">
        <f>IFERROR(IF(INDEX('CONTROLE PRODUÇÃO POR EMPRESAS'!$B$6:$G$5000,MATCH($A860,'CONTROLE PRODUÇÃO POR EMPRESAS'!$A$6:$A$5000,0),MOD(ROW()-2,6)+1)="","",IFERROR(1*INDEX('CONTROLE PRODUÇÃO POR EMPRESAS'!$B$6:$G$5000,MATCH($A860,'CONTROLE PRODUÇÃO POR EMPRESAS'!$A$6:$A$5000,0),MOD(ROW()-2,6)+1),"")),"")</f>
        <v/>
      </c>
      <c r="I860" s="159">
        <f>IF(OR(NOT(ISNUMBER(G860)),NOT(ISNUMBER(H860))),"",H860-G860)</f>
        <v/>
      </c>
      <c r="J860" s="319">
        <f>IF(OR(NOT(ISNUMBER(G860)),NOT(ISNUMBER(H860)),G860=0),"",I860/G860)</f>
        <v/>
      </c>
      <c r="K860" s="319">
        <f>IF(OR(NOT(ISNUMBER(G860)),NOT(ISNUMBER(H860)),G860=0),"",H860/G860)</f>
        <v/>
      </c>
      <c r="L860">
        <f>IF(NOT(ISNUMBER(G860)),"SEM META",IF(G860=0,"SEM META",IF(NOT(ISNUMBER(H860)),"SEM APONTAMENTO",IF(H860&gt;=G860,"VERDE",IF(H860&gt;=G860*0.9,"AMARELO","VERMELHO")))))</f>
        <v/>
      </c>
      <c r="M860" s="162" t="n"/>
      <c r="N860" s="162" t="n"/>
      <c r="O860" s="162" t="n"/>
      <c r="P860" s="162" t="n"/>
      <c r="Q860" s="320" t="n"/>
      <c r="R860" s="162" t="inlineStr">
        <is>
          <t>CONTROLE PRODUÇÃO POR EMPRESAS!B149</t>
        </is>
      </c>
    </row>
    <row r="861" ht="28.5" customHeight="1">
      <c r="A861" s="317" t="n">
        <v>46366</v>
      </c>
      <c r="B861" t="inlineStr">
        <is>
          <t>GERAL</t>
        </is>
      </c>
      <c r="C861" t="inlineStr">
        <is>
          <t>EJ</t>
        </is>
      </c>
      <c r="D861" t="inlineStr">
        <is>
          <t>IÇAMENTO JOIST</t>
        </is>
      </c>
      <c r="F861" s="159">
        <f>IFERROR(INDEX('BASE METAS DIÁRIAS'!$N$2:$S$358,MATCH($A861,'BASE METAS DIÁRIAS'!$A$2:$A$358,0),MOD(ROW()-2,6)+1),"")</f>
        <v/>
      </c>
      <c r="G861" s="159">
        <f>IFERROR(IF(WEEKDAY($A861,2)&lt;=INDEX('BASE METAS DIÁRIAS'!$H$2:$M$358,MATCH($A861,'BASE METAS DIÁRIAS'!$A$2:$A$358,0),MOD(ROW()-2,6)+1),INDEX('BASE METAS DIÁRIAS'!$B$2:$G$358,MATCH($A861,'BASE METAS DIÁRIAS'!$A$2:$A$358,0),MOD(ROW()-2,6)+1),""),"")</f>
        <v/>
      </c>
      <c r="H861" s="159">
        <f>IFERROR(IF(INDEX('CONTROLE PRODUÇÃO POR EMPRESAS'!$B$6:$G$5000,MATCH($A861,'CONTROLE PRODUÇÃO POR EMPRESAS'!$A$6:$A$5000,0),MOD(ROW()-2,6)+1)="","",IFERROR(1*INDEX('CONTROLE PRODUÇÃO POR EMPRESAS'!$B$6:$G$5000,MATCH($A861,'CONTROLE PRODUÇÃO POR EMPRESAS'!$A$6:$A$5000,0),MOD(ROW()-2,6)+1),"")),"")</f>
        <v/>
      </c>
      <c r="I861" s="159">
        <f>IF(OR(NOT(ISNUMBER(G861)),NOT(ISNUMBER(H861))),"",H861-G861)</f>
        <v/>
      </c>
      <c r="J861" s="319">
        <f>IF(OR(NOT(ISNUMBER(G861)),NOT(ISNUMBER(H861)),G861=0),"",I861/G861)</f>
        <v/>
      </c>
      <c r="K861" s="319">
        <f>IF(OR(NOT(ISNUMBER(G861)),NOT(ISNUMBER(H861)),G861=0),"",H861/G861)</f>
        <v/>
      </c>
      <c r="L861">
        <f>IF(NOT(ISNUMBER(G861)),"SEM META",IF(G861=0,"SEM META",IF(NOT(ISNUMBER(H861)),"SEM APONTAMENTO",IF(H861&gt;=G861,"VERDE",IF(H861&gt;=G861*0.9,"AMARELO","VERMELHO")))))</f>
        <v/>
      </c>
      <c r="M861" s="162" t="n"/>
      <c r="N861" s="162" t="n"/>
      <c r="O861" s="162" t="n"/>
      <c r="P861" s="162" t="n"/>
      <c r="Q861" s="320" t="n"/>
      <c r="R861" s="162" t="inlineStr">
        <is>
          <t>CONTROLE PRODUÇÃO POR EMPRESAS!C149</t>
        </is>
      </c>
    </row>
    <row r="862" ht="28.5" customHeight="1">
      <c r="A862" s="317" t="n">
        <v>46366</v>
      </c>
      <c r="B862" t="inlineStr">
        <is>
          <t>GERAL</t>
        </is>
      </c>
      <c r="C862" t="inlineStr">
        <is>
          <t>EJ</t>
        </is>
      </c>
      <c r="D862" t="inlineStr">
        <is>
          <t>VIGAS</t>
        </is>
      </c>
      <c r="F862" s="159">
        <f>IFERROR(INDEX('BASE METAS DIÁRIAS'!$N$2:$S$358,MATCH($A862,'BASE METAS DIÁRIAS'!$A$2:$A$358,0),MOD(ROW()-2,6)+1),"")</f>
        <v/>
      </c>
      <c r="G862" s="159">
        <f>IFERROR(IF(WEEKDAY($A862,2)&lt;=INDEX('BASE METAS DIÁRIAS'!$H$2:$M$358,MATCH($A862,'BASE METAS DIÁRIAS'!$A$2:$A$358,0),MOD(ROW()-2,6)+1),INDEX('BASE METAS DIÁRIAS'!$B$2:$G$358,MATCH($A862,'BASE METAS DIÁRIAS'!$A$2:$A$358,0),MOD(ROW()-2,6)+1),""),"")</f>
        <v/>
      </c>
      <c r="H862" s="159">
        <f>IFERROR(IF(INDEX('CONTROLE PRODUÇÃO POR EMPRESAS'!$B$6:$G$5000,MATCH($A862,'CONTROLE PRODUÇÃO POR EMPRESAS'!$A$6:$A$5000,0),MOD(ROW()-2,6)+1)="","",IFERROR(1*INDEX('CONTROLE PRODUÇÃO POR EMPRESAS'!$B$6:$G$5000,MATCH($A862,'CONTROLE PRODUÇÃO POR EMPRESAS'!$A$6:$A$5000,0),MOD(ROW()-2,6)+1),"")),"")</f>
        <v/>
      </c>
      <c r="I862" s="159">
        <f>IF(OR(NOT(ISNUMBER(G862)),NOT(ISNUMBER(H862))),"",H862-G862)</f>
        <v/>
      </c>
      <c r="J862" s="319">
        <f>IF(OR(NOT(ISNUMBER(G862)),NOT(ISNUMBER(H862)),G862=0),"",I862/G862)</f>
        <v/>
      </c>
      <c r="K862" s="319">
        <f>IF(OR(NOT(ISNUMBER(G862)),NOT(ISNUMBER(H862)),G862=0),"",H862/G862)</f>
        <v/>
      </c>
      <c r="L862">
        <f>IF(NOT(ISNUMBER(G862)),"SEM META",IF(G862=0,"SEM META",IF(NOT(ISNUMBER(H862)),"SEM APONTAMENTO",IF(H862&gt;=G862,"VERDE",IF(H862&gt;=G862*0.9,"AMARELO","VERMELHO")))))</f>
        <v/>
      </c>
      <c r="M862" s="162" t="n"/>
      <c r="N862" s="162" t="n"/>
      <c r="O862" s="162" t="n"/>
      <c r="P862" s="162" t="n"/>
      <c r="Q862" s="320" t="n"/>
      <c r="R862" s="162" t="inlineStr">
        <is>
          <t>CONTROLE PRODUÇÃO POR EMPRESAS!D149</t>
        </is>
      </c>
    </row>
    <row r="863" ht="28.5" customHeight="1">
      <c r="A863" s="317" t="n">
        <v>46366</v>
      </c>
      <c r="B863" t="inlineStr">
        <is>
          <t>GERAL</t>
        </is>
      </c>
      <c r="C863" t="inlineStr">
        <is>
          <t>CMM</t>
        </is>
      </c>
      <c r="D863" t="inlineStr">
        <is>
          <t>PREMONTAGEM</t>
        </is>
      </c>
      <c r="F863" s="159">
        <f>IFERROR(INDEX('BASE METAS DIÁRIAS'!$N$2:$S$358,MATCH($A863,'BASE METAS DIÁRIAS'!$A$2:$A$358,0),MOD(ROW()-2,6)+1),"")</f>
        <v/>
      </c>
      <c r="G863" s="159">
        <f>IFERROR(IF(WEEKDAY($A863,2)&lt;=INDEX('BASE METAS DIÁRIAS'!$H$2:$M$358,MATCH($A863,'BASE METAS DIÁRIAS'!$A$2:$A$358,0),MOD(ROW()-2,6)+1),INDEX('BASE METAS DIÁRIAS'!$B$2:$G$358,MATCH($A863,'BASE METAS DIÁRIAS'!$A$2:$A$358,0),MOD(ROW()-2,6)+1),""),"")</f>
        <v/>
      </c>
      <c r="H863" s="159">
        <f>IFERROR(IF(INDEX('CONTROLE PRODUÇÃO POR EMPRESAS'!$B$6:$G$5000,MATCH($A863,'CONTROLE PRODUÇÃO POR EMPRESAS'!$A$6:$A$5000,0),MOD(ROW()-2,6)+1)="","",IFERROR(1*INDEX('CONTROLE PRODUÇÃO POR EMPRESAS'!$B$6:$G$5000,MATCH($A863,'CONTROLE PRODUÇÃO POR EMPRESAS'!$A$6:$A$5000,0),MOD(ROW()-2,6)+1),"")),"")</f>
        <v/>
      </c>
      <c r="I863" s="159">
        <f>IF(OR(NOT(ISNUMBER(G863)),NOT(ISNUMBER(H863))),"",H863-G863)</f>
        <v/>
      </c>
      <c r="J863" s="319">
        <f>IF(OR(NOT(ISNUMBER(G863)),NOT(ISNUMBER(H863)),G863=0),"",I863/G863)</f>
        <v/>
      </c>
      <c r="K863" s="319">
        <f>IF(OR(NOT(ISNUMBER(G863)),NOT(ISNUMBER(H863)),G863=0),"",H863/G863)</f>
        <v/>
      </c>
      <c r="L863">
        <f>IF(NOT(ISNUMBER(G863)),"SEM META",IF(G863=0,"SEM META",IF(NOT(ISNUMBER(H863)),"SEM APONTAMENTO",IF(H863&gt;=G863,"VERDE",IF(H863&gt;=G863*0.9,"AMARELO","VERMELHO")))))</f>
        <v/>
      </c>
      <c r="M863" s="162" t="n"/>
      <c r="N863" s="162" t="n"/>
      <c r="O863" s="162" t="n"/>
      <c r="P863" s="162" t="n"/>
      <c r="Q863" s="320" t="n"/>
      <c r="R863" s="162" t="inlineStr">
        <is>
          <t>CONTROLE PRODUÇÃO POR EMPRESAS!E149</t>
        </is>
      </c>
    </row>
    <row r="864" ht="28.5" customHeight="1">
      <c r="A864" s="317" t="n">
        <v>46366</v>
      </c>
      <c r="B864" t="inlineStr">
        <is>
          <t>GERAL</t>
        </is>
      </c>
      <c r="C864" t="inlineStr">
        <is>
          <t>CMM</t>
        </is>
      </c>
      <c r="D864" t="inlineStr">
        <is>
          <t>IÇAMENTO JOIST</t>
        </is>
      </c>
      <c r="F864" s="159">
        <f>IFERROR(INDEX('BASE METAS DIÁRIAS'!$N$2:$S$358,MATCH($A864,'BASE METAS DIÁRIAS'!$A$2:$A$358,0),MOD(ROW()-2,6)+1),"")</f>
        <v/>
      </c>
      <c r="G864" s="159">
        <f>IFERROR(IF(WEEKDAY($A864,2)&lt;=INDEX('BASE METAS DIÁRIAS'!$H$2:$M$358,MATCH($A864,'BASE METAS DIÁRIAS'!$A$2:$A$358,0),MOD(ROW()-2,6)+1),INDEX('BASE METAS DIÁRIAS'!$B$2:$G$358,MATCH($A864,'BASE METAS DIÁRIAS'!$A$2:$A$358,0),MOD(ROW()-2,6)+1),""),"")</f>
        <v/>
      </c>
      <c r="H864" s="159">
        <f>IFERROR(IF(INDEX('CONTROLE PRODUÇÃO POR EMPRESAS'!$B$6:$G$5000,MATCH($A864,'CONTROLE PRODUÇÃO POR EMPRESAS'!$A$6:$A$5000,0),MOD(ROW()-2,6)+1)="","",IFERROR(1*INDEX('CONTROLE PRODUÇÃO POR EMPRESAS'!$B$6:$G$5000,MATCH($A864,'CONTROLE PRODUÇÃO POR EMPRESAS'!$A$6:$A$5000,0),MOD(ROW()-2,6)+1),"")),"")</f>
        <v/>
      </c>
      <c r="I864" s="159">
        <f>IF(OR(NOT(ISNUMBER(G864)),NOT(ISNUMBER(H864))),"",H864-G864)</f>
        <v/>
      </c>
      <c r="J864" s="319">
        <f>IF(OR(NOT(ISNUMBER(G864)),NOT(ISNUMBER(H864)),G864=0),"",I864/G864)</f>
        <v/>
      </c>
      <c r="K864" s="319">
        <f>IF(OR(NOT(ISNUMBER(G864)),NOT(ISNUMBER(H864)),G864=0),"",H864/G864)</f>
        <v/>
      </c>
      <c r="L864">
        <f>IF(NOT(ISNUMBER(G864)),"SEM META",IF(G864=0,"SEM META",IF(NOT(ISNUMBER(H864)),"SEM APONTAMENTO",IF(H864&gt;=G864,"VERDE",IF(H864&gt;=G864*0.9,"AMARELO","VERMELHO")))))</f>
        <v/>
      </c>
      <c r="M864" s="162" t="n"/>
      <c r="N864" s="162" t="n"/>
      <c r="O864" s="162" t="n"/>
      <c r="P864" s="162" t="n"/>
      <c r="Q864" s="320" t="n"/>
      <c r="R864" s="162" t="inlineStr">
        <is>
          <t>CONTROLE PRODUÇÃO POR EMPRESAS!F149</t>
        </is>
      </c>
    </row>
    <row r="865" ht="28.5" customHeight="1">
      <c r="A865" s="317" t="n">
        <v>46366</v>
      </c>
      <c r="B865" t="inlineStr">
        <is>
          <t>GERAL</t>
        </is>
      </c>
      <c r="C865" t="inlineStr">
        <is>
          <t>CMM</t>
        </is>
      </c>
      <c r="D865" t="inlineStr">
        <is>
          <t>VIGAS</t>
        </is>
      </c>
      <c r="F865" s="159">
        <f>IFERROR(INDEX('BASE METAS DIÁRIAS'!$N$2:$S$358,MATCH($A865,'BASE METAS DIÁRIAS'!$A$2:$A$358,0),MOD(ROW()-2,6)+1),"")</f>
        <v/>
      </c>
      <c r="G865" s="159">
        <f>IFERROR(IF(WEEKDAY($A865,2)&lt;=INDEX('BASE METAS DIÁRIAS'!$H$2:$M$358,MATCH($A865,'BASE METAS DIÁRIAS'!$A$2:$A$358,0),MOD(ROW()-2,6)+1),INDEX('BASE METAS DIÁRIAS'!$B$2:$G$358,MATCH($A865,'BASE METAS DIÁRIAS'!$A$2:$A$358,0),MOD(ROW()-2,6)+1),""),"")</f>
        <v/>
      </c>
      <c r="H865" s="159">
        <f>IFERROR(IF(INDEX('CONTROLE PRODUÇÃO POR EMPRESAS'!$B$6:$G$5000,MATCH($A865,'CONTROLE PRODUÇÃO POR EMPRESAS'!$A$6:$A$5000,0),MOD(ROW()-2,6)+1)="","",IFERROR(1*INDEX('CONTROLE PRODUÇÃO POR EMPRESAS'!$B$6:$G$5000,MATCH($A865,'CONTROLE PRODUÇÃO POR EMPRESAS'!$A$6:$A$5000,0),MOD(ROW()-2,6)+1),"")),"")</f>
        <v/>
      </c>
      <c r="I865" s="159">
        <f>IF(OR(NOT(ISNUMBER(G865)),NOT(ISNUMBER(H865))),"",H865-G865)</f>
        <v/>
      </c>
      <c r="J865" s="319">
        <f>IF(OR(NOT(ISNUMBER(G865)),NOT(ISNUMBER(H865)),G865=0),"",I865/G865)</f>
        <v/>
      </c>
      <c r="K865" s="319">
        <f>IF(OR(NOT(ISNUMBER(G865)),NOT(ISNUMBER(H865)),G865=0),"",H865/G865)</f>
        <v/>
      </c>
      <c r="L865">
        <f>IF(NOT(ISNUMBER(G865)),"SEM META",IF(G865=0,"SEM META",IF(NOT(ISNUMBER(H865)),"SEM APONTAMENTO",IF(H865&gt;=G865,"VERDE",IF(H865&gt;=G865*0.9,"AMARELO","VERMELHO")))))</f>
        <v/>
      </c>
      <c r="M865" s="162" t="n"/>
      <c r="N865" s="162" t="n"/>
      <c r="O865" s="162" t="n"/>
      <c r="P865" s="162" t="n"/>
      <c r="Q865" s="320" t="n"/>
      <c r="R865" s="162" t="inlineStr">
        <is>
          <t>CONTROLE PRODUÇÃO POR EMPRESAS!G149</t>
        </is>
      </c>
    </row>
    <row r="866" ht="28.5" customHeight="1">
      <c r="A866" s="317" t="n">
        <v>46367</v>
      </c>
      <c r="B866" t="inlineStr">
        <is>
          <t>GERAL</t>
        </is>
      </c>
      <c r="C866" t="inlineStr">
        <is>
          <t>EJ</t>
        </is>
      </c>
      <c r="D866" t="inlineStr">
        <is>
          <t>PREMONTAGEM</t>
        </is>
      </c>
      <c r="F866" s="159">
        <f>IFERROR(INDEX('BASE METAS DIÁRIAS'!$N$2:$S$358,MATCH($A866,'BASE METAS DIÁRIAS'!$A$2:$A$358,0),MOD(ROW()-2,6)+1),"")</f>
        <v/>
      </c>
      <c r="G866" s="159">
        <f>IFERROR(IF(WEEKDAY($A866,2)&lt;=INDEX('BASE METAS DIÁRIAS'!$H$2:$M$358,MATCH($A866,'BASE METAS DIÁRIAS'!$A$2:$A$358,0),MOD(ROW()-2,6)+1),INDEX('BASE METAS DIÁRIAS'!$B$2:$G$358,MATCH($A866,'BASE METAS DIÁRIAS'!$A$2:$A$358,0),MOD(ROW()-2,6)+1),""),"")</f>
        <v/>
      </c>
      <c r="H866" s="159">
        <f>IFERROR(IF(INDEX('CONTROLE PRODUÇÃO POR EMPRESAS'!$B$6:$G$5000,MATCH($A866,'CONTROLE PRODUÇÃO POR EMPRESAS'!$A$6:$A$5000,0),MOD(ROW()-2,6)+1)="","",IFERROR(1*INDEX('CONTROLE PRODUÇÃO POR EMPRESAS'!$B$6:$G$5000,MATCH($A866,'CONTROLE PRODUÇÃO POR EMPRESAS'!$A$6:$A$5000,0),MOD(ROW()-2,6)+1),"")),"")</f>
        <v/>
      </c>
      <c r="I866" s="159">
        <f>IF(OR(NOT(ISNUMBER(G866)),NOT(ISNUMBER(H866))),"",H866-G866)</f>
        <v/>
      </c>
      <c r="J866" s="319">
        <f>IF(OR(NOT(ISNUMBER(G866)),NOT(ISNUMBER(H866)),G866=0),"",I866/G866)</f>
        <v/>
      </c>
      <c r="K866" s="319">
        <f>IF(OR(NOT(ISNUMBER(G866)),NOT(ISNUMBER(H866)),G866=0),"",H866/G866)</f>
        <v/>
      </c>
      <c r="L866">
        <f>IF(NOT(ISNUMBER(G866)),"SEM META",IF(G866=0,"SEM META",IF(NOT(ISNUMBER(H866)),"SEM APONTAMENTO",IF(H866&gt;=G866,"VERDE",IF(H866&gt;=G866*0.9,"AMARELO","VERMELHO")))))</f>
        <v/>
      </c>
      <c r="M866" s="162" t="n"/>
      <c r="N866" s="162" t="n"/>
      <c r="O866" s="162" t="n"/>
      <c r="P866" s="162" t="n"/>
      <c r="Q866" s="320" t="n"/>
      <c r="R866" s="162" t="inlineStr">
        <is>
          <t>CONTROLE PRODUÇÃO POR EMPRESAS!B150</t>
        </is>
      </c>
    </row>
    <row r="867" ht="28.5" customHeight="1">
      <c r="A867" s="317" t="n">
        <v>46367</v>
      </c>
      <c r="B867" t="inlineStr">
        <is>
          <t>GERAL</t>
        </is>
      </c>
      <c r="C867" t="inlineStr">
        <is>
          <t>EJ</t>
        </is>
      </c>
      <c r="D867" t="inlineStr">
        <is>
          <t>IÇAMENTO JOIST</t>
        </is>
      </c>
      <c r="F867" s="159">
        <f>IFERROR(INDEX('BASE METAS DIÁRIAS'!$N$2:$S$358,MATCH($A867,'BASE METAS DIÁRIAS'!$A$2:$A$358,0),MOD(ROW()-2,6)+1),"")</f>
        <v/>
      </c>
      <c r="G867" s="159">
        <f>IFERROR(IF(WEEKDAY($A867,2)&lt;=INDEX('BASE METAS DIÁRIAS'!$H$2:$M$358,MATCH($A867,'BASE METAS DIÁRIAS'!$A$2:$A$358,0),MOD(ROW()-2,6)+1),INDEX('BASE METAS DIÁRIAS'!$B$2:$G$358,MATCH($A867,'BASE METAS DIÁRIAS'!$A$2:$A$358,0),MOD(ROW()-2,6)+1),""),"")</f>
        <v/>
      </c>
      <c r="H867" s="159">
        <f>IFERROR(IF(INDEX('CONTROLE PRODUÇÃO POR EMPRESAS'!$B$6:$G$5000,MATCH($A867,'CONTROLE PRODUÇÃO POR EMPRESAS'!$A$6:$A$5000,0),MOD(ROW()-2,6)+1)="","",IFERROR(1*INDEX('CONTROLE PRODUÇÃO POR EMPRESAS'!$B$6:$G$5000,MATCH($A867,'CONTROLE PRODUÇÃO POR EMPRESAS'!$A$6:$A$5000,0),MOD(ROW()-2,6)+1),"")),"")</f>
        <v/>
      </c>
      <c r="I867" s="159">
        <f>IF(OR(NOT(ISNUMBER(G867)),NOT(ISNUMBER(H867))),"",H867-G867)</f>
        <v/>
      </c>
      <c r="J867" s="319">
        <f>IF(OR(NOT(ISNUMBER(G867)),NOT(ISNUMBER(H867)),G867=0),"",I867/G867)</f>
        <v/>
      </c>
      <c r="K867" s="319">
        <f>IF(OR(NOT(ISNUMBER(G867)),NOT(ISNUMBER(H867)),G867=0),"",H867/G867)</f>
        <v/>
      </c>
      <c r="L867">
        <f>IF(NOT(ISNUMBER(G867)),"SEM META",IF(G867=0,"SEM META",IF(NOT(ISNUMBER(H867)),"SEM APONTAMENTO",IF(H867&gt;=G867,"VERDE",IF(H867&gt;=G867*0.9,"AMARELO","VERMELHO")))))</f>
        <v/>
      </c>
      <c r="M867" s="162" t="n"/>
      <c r="N867" s="162" t="n"/>
      <c r="O867" s="162" t="n"/>
      <c r="P867" s="162" t="n"/>
      <c r="Q867" s="320" t="n"/>
      <c r="R867" s="162" t="inlineStr">
        <is>
          <t>CONTROLE PRODUÇÃO POR EMPRESAS!C150</t>
        </is>
      </c>
    </row>
    <row r="868" ht="28.5" customHeight="1">
      <c r="A868" s="317" t="n">
        <v>46367</v>
      </c>
      <c r="B868" t="inlineStr">
        <is>
          <t>GERAL</t>
        </is>
      </c>
      <c r="C868" t="inlineStr">
        <is>
          <t>EJ</t>
        </is>
      </c>
      <c r="D868" t="inlineStr">
        <is>
          <t>VIGAS</t>
        </is>
      </c>
      <c r="F868" s="159">
        <f>IFERROR(INDEX('BASE METAS DIÁRIAS'!$N$2:$S$358,MATCH($A868,'BASE METAS DIÁRIAS'!$A$2:$A$358,0),MOD(ROW()-2,6)+1),"")</f>
        <v/>
      </c>
      <c r="G868" s="159">
        <f>IFERROR(IF(WEEKDAY($A868,2)&lt;=INDEX('BASE METAS DIÁRIAS'!$H$2:$M$358,MATCH($A868,'BASE METAS DIÁRIAS'!$A$2:$A$358,0),MOD(ROW()-2,6)+1),INDEX('BASE METAS DIÁRIAS'!$B$2:$G$358,MATCH($A868,'BASE METAS DIÁRIAS'!$A$2:$A$358,0),MOD(ROW()-2,6)+1),""),"")</f>
        <v/>
      </c>
      <c r="H868" s="159">
        <f>IFERROR(IF(INDEX('CONTROLE PRODUÇÃO POR EMPRESAS'!$B$6:$G$5000,MATCH($A868,'CONTROLE PRODUÇÃO POR EMPRESAS'!$A$6:$A$5000,0),MOD(ROW()-2,6)+1)="","",IFERROR(1*INDEX('CONTROLE PRODUÇÃO POR EMPRESAS'!$B$6:$G$5000,MATCH($A868,'CONTROLE PRODUÇÃO POR EMPRESAS'!$A$6:$A$5000,0),MOD(ROW()-2,6)+1),"")),"")</f>
        <v/>
      </c>
      <c r="I868" s="159">
        <f>IF(OR(NOT(ISNUMBER(G868)),NOT(ISNUMBER(H868))),"",H868-G868)</f>
        <v/>
      </c>
      <c r="J868" s="319">
        <f>IF(OR(NOT(ISNUMBER(G868)),NOT(ISNUMBER(H868)),G868=0),"",I868/G868)</f>
        <v/>
      </c>
      <c r="K868" s="319">
        <f>IF(OR(NOT(ISNUMBER(G868)),NOT(ISNUMBER(H868)),G868=0),"",H868/G868)</f>
        <v/>
      </c>
      <c r="L868">
        <f>IF(NOT(ISNUMBER(G868)),"SEM META",IF(G868=0,"SEM META",IF(NOT(ISNUMBER(H868)),"SEM APONTAMENTO",IF(H868&gt;=G868,"VERDE",IF(H868&gt;=G868*0.9,"AMARELO","VERMELHO")))))</f>
        <v/>
      </c>
      <c r="M868" s="162" t="n"/>
      <c r="N868" s="162" t="n"/>
      <c r="O868" s="162" t="n"/>
      <c r="P868" s="162" t="n"/>
      <c r="Q868" s="320" t="n"/>
      <c r="R868" s="162" t="inlineStr">
        <is>
          <t>CONTROLE PRODUÇÃO POR EMPRESAS!D150</t>
        </is>
      </c>
    </row>
    <row r="869" ht="28.5" customHeight="1">
      <c r="A869" s="317" t="n">
        <v>46367</v>
      </c>
      <c r="B869" t="inlineStr">
        <is>
          <t>GERAL</t>
        </is>
      </c>
      <c r="C869" t="inlineStr">
        <is>
          <t>CMM</t>
        </is>
      </c>
      <c r="D869" t="inlineStr">
        <is>
          <t>PREMONTAGEM</t>
        </is>
      </c>
      <c r="F869" s="159">
        <f>IFERROR(INDEX('BASE METAS DIÁRIAS'!$N$2:$S$358,MATCH($A869,'BASE METAS DIÁRIAS'!$A$2:$A$358,0),MOD(ROW()-2,6)+1),"")</f>
        <v/>
      </c>
      <c r="G869" s="159">
        <f>IFERROR(IF(WEEKDAY($A869,2)&lt;=INDEX('BASE METAS DIÁRIAS'!$H$2:$M$358,MATCH($A869,'BASE METAS DIÁRIAS'!$A$2:$A$358,0),MOD(ROW()-2,6)+1),INDEX('BASE METAS DIÁRIAS'!$B$2:$G$358,MATCH($A869,'BASE METAS DIÁRIAS'!$A$2:$A$358,0),MOD(ROW()-2,6)+1),""),"")</f>
        <v/>
      </c>
      <c r="H869" s="159">
        <f>IFERROR(IF(INDEX('CONTROLE PRODUÇÃO POR EMPRESAS'!$B$6:$G$5000,MATCH($A869,'CONTROLE PRODUÇÃO POR EMPRESAS'!$A$6:$A$5000,0),MOD(ROW()-2,6)+1)="","",IFERROR(1*INDEX('CONTROLE PRODUÇÃO POR EMPRESAS'!$B$6:$G$5000,MATCH($A869,'CONTROLE PRODUÇÃO POR EMPRESAS'!$A$6:$A$5000,0),MOD(ROW()-2,6)+1),"")),"")</f>
        <v/>
      </c>
      <c r="I869" s="159">
        <f>IF(OR(NOT(ISNUMBER(G869)),NOT(ISNUMBER(H869))),"",H869-G869)</f>
        <v/>
      </c>
      <c r="J869" s="319">
        <f>IF(OR(NOT(ISNUMBER(G869)),NOT(ISNUMBER(H869)),G869=0),"",I869/G869)</f>
        <v/>
      </c>
      <c r="K869" s="319">
        <f>IF(OR(NOT(ISNUMBER(G869)),NOT(ISNUMBER(H869)),G869=0),"",H869/G869)</f>
        <v/>
      </c>
      <c r="L869">
        <f>IF(NOT(ISNUMBER(G869)),"SEM META",IF(G869=0,"SEM META",IF(NOT(ISNUMBER(H869)),"SEM APONTAMENTO",IF(H869&gt;=G869,"VERDE",IF(H869&gt;=G869*0.9,"AMARELO","VERMELHO")))))</f>
        <v/>
      </c>
      <c r="M869" s="162" t="n"/>
      <c r="N869" s="162" t="n"/>
      <c r="O869" s="162" t="n"/>
      <c r="P869" s="162" t="n"/>
      <c r="Q869" s="320" t="n"/>
      <c r="R869" s="162" t="inlineStr">
        <is>
          <t>CONTROLE PRODUÇÃO POR EMPRESAS!E150</t>
        </is>
      </c>
    </row>
    <row r="870" ht="28.5" customHeight="1">
      <c r="A870" s="317" t="n">
        <v>46367</v>
      </c>
      <c r="B870" t="inlineStr">
        <is>
          <t>GERAL</t>
        </is>
      </c>
      <c r="C870" t="inlineStr">
        <is>
          <t>CMM</t>
        </is>
      </c>
      <c r="D870" t="inlineStr">
        <is>
          <t>IÇAMENTO JOIST</t>
        </is>
      </c>
      <c r="F870" s="159">
        <f>IFERROR(INDEX('BASE METAS DIÁRIAS'!$N$2:$S$358,MATCH($A870,'BASE METAS DIÁRIAS'!$A$2:$A$358,0),MOD(ROW()-2,6)+1),"")</f>
        <v/>
      </c>
      <c r="G870" s="159">
        <f>IFERROR(IF(WEEKDAY($A870,2)&lt;=INDEX('BASE METAS DIÁRIAS'!$H$2:$M$358,MATCH($A870,'BASE METAS DIÁRIAS'!$A$2:$A$358,0),MOD(ROW()-2,6)+1),INDEX('BASE METAS DIÁRIAS'!$B$2:$G$358,MATCH($A870,'BASE METAS DIÁRIAS'!$A$2:$A$358,0),MOD(ROW()-2,6)+1),""),"")</f>
        <v/>
      </c>
      <c r="H870" s="159">
        <f>IFERROR(IF(INDEX('CONTROLE PRODUÇÃO POR EMPRESAS'!$B$6:$G$5000,MATCH($A870,'CONTROLE PRODUÇÃO POR EMPRESAS'!$A$6:$A$5000,0),MOD(ROW()-2,6)+1)="","",IFERROR(1*INDEX('CONTROLE PRODUÇÃO POR EMPRESAS'!$B$6:$G$5000,MATCH($A870,'CONTROLE PRODUÇÃO POR EMPRESAS'!$A$6:$A$5000,0),MOD(ROW()-2,6)+1),"")),"")</f>
        <v/>
      </c>
      <c r="I870" s="159">
        <f>IF(OR(NOT(ISNUMBER(G870)),NOT(ISNUMBER(H870))),"",H870-G870)</f>
        <v/>
      </c>
      <c r="J870" s="319">
        <f>IF(OR(NOT(ISNUMBER(G870)),NOT(ISNUMBER(H870)),G870=0),"",I870/G870)</f>
        <v/>
      </c>
      <c r="K870" s="319">
        <f>IF(OR(NOT(ISNUMBER(G870)),NOT(ISNUMBER(H870)),G870=0),"",H870/G870)</f>
        <v/>
      </c>
      <c r="L870">
        <f>IF(NOT(ISNUMBER(G870)),"SEM META",IF(G870=0,"SEM META",IF(NOT(ISNUMBER(H870)),"SEM APONTAMENTO",IF(H870&gt;=G870,"VERDE",IF(H870&gt;=G870*0.9,"AMARELO","VERMELHO")))))</f>
        <v/>
      </c>
      <c r="M870" s="162" t="n"/>
      <c r="N870" s="162" t="n"/>
      <c r="O870" s="162" t="n"/>
      <c r="P870" s="162" t="n"/>
      <c r="Q870" s="320" t="n"/>
      <c r="R870" s="162" t="inlineStr">
        <is>
          <t>CONTROLE PRODUÇÃO POR EMPRESAS!F150</t>
        </is>
      </c>
    </row>
    <row r="871" ht="28.5" customHeight="1">
      <c r="A871" s="317" t="n">
        <v>46367</v>
      </c>
      <c r="B871" t="inlineStr">
        <is>
          <t>GERAL</t>
        </is>
      </c>
      <c r="C871" t="inlineStr">
        <is>
          <t>CMM</t>
        </is>
      </c>
      <c r="D871" t="inlineStr">
        <is>
          <t>VIGAS</t>
        </is>
      </c>
      <c r="F871" s="159">
        <f>IFERROR(INDEX('BASE METAS DIÁRIAS'!$N$2:$S$358,MATCH($A871,'BASE METAS DIÁRIAS'!$A$2:$A$358,0),MOD(ROW()-2,6)+1),"")</f>
        <v/>
      </c>
      <c r="G871" s="159">
        <f>IFERROR(IF(WEEKDAY($A871,2)&lt;=INDEX('BASE METAS DIÁRIAS'!$H$2:$M$358,MATCH($A871,'BASE METAS DIÁRIAS'!$A$2:$A$358,0),MOD(ROW()-2,6)+1),INDEX('BASE METAS DIÁRIAS'!$B$2:$G$358,MATCH($A871,'BASE METAS DIÁRIAS'!$A$2:$A$358,0),MOD(ROW()-2,6)+1),""),"")</f>
        <v/>
      </c>
      <c r="H871" s="159">
        <f>IFERROR(IF(INDEX('CONTROLE PRODUÇÃO POR EMPRESAS'!$B$6:$G$5000,MATCH($A871,'CONTROLE PRODUÇÃO POR EMPRESAS'!$A$6:$A$5000,0),MOD(ROW()-2,6)+1)="","",IFERROR(1*INDEX('CONTROLE PRODUÇÃO POR EMPRESAS'!$B$6:$G$5000,MATCH($A871,'CONTROLE PRODUÇÃO POR EMPRESAS'!$A$6:$A$5000,0),MOD(ROW()-2,6)+1),"")),"")</f>
        <v/>
      </c>
      <c r="I871" s="159">
        <f>IF(OR(NOT(ISNUMBER(G871)),NOT(ISNUMBER(H871))),"",H871-G871)</f>
        <v/>
      </c>
      <c r="J871" s="319">
        <f>IF(OR(NOT(ISNUMBER(G871)),NOT(ISNUMBER(H871)),G871=0),"",I871/G871)</f>
        <v/>
      </c>
      <c r="K871" s="319">
        <f>IF(OR(NOT(ISNUMBER(G871)),NOT(ISNUMBER(H871)),G871=0),"",H871/G871)</f>
        <v/>
      </c>
      <c r="L871">
        <f>IF(NOT(ISNUMBER(G871)),"SEM META",IF(G871=0,"SEM META",IF(NOT(ISNUMBER(H871)),"SEM APONTAMENTO",IF(H871&gt;=G871,"VERDE",IF(H871&gt;=G871*0.9,"AMARELO","VERMELHO")))))</f>
        <v/>
      </c>
      <c r="M871" s="162" t="n"/>
      <c r="N871" s="162" t="n"/>
      <c r="O871" s="162" t="n"/>
      <c r="P871" s="162" t="n"/>
      <c r="Q871" s="320" t="n"/>
      <c r="R871" s="162" t="inlineStr">
        <is>
          <t>CONTROLE PRODUÇÃO POR EMPRESAS!G150</t>
        </is>
      </c>
    </row>
    <row r="872" ht="28.5" customHeight="1">
      <c r="A872" s="317" t="n">
        <v>46368</v>
      </c>
      <c r="B872" t="inlineStr">
        <is>
          <t>GERAL</t>
        </is>
      </c>
      <c r="C872" t="inlineStr">
        <is>
          <t>EJ</t>
        </is>
      </c>
      <c r="D872" t="inlineStr">
        <is>
          <t>PREMONTAGEM</t>
        </is>
      </c>
      <c r="F872" s="159">
        <f>IFERROR(INDEX('BASE METAS DIÁRIAS'!$N$2:$S$358,MATCH($A872,'BASE METAS DIÁRIAS'!$A$2:$A$358,0),MOD(ROW()-2,6)+1),"")</f>
        <v/>
      </c>
      <c r="G872" s="159">
        <f>IFERROR(IF(WEEKDAY($A872,2)&lt;=INDEX('BASE METAS DIÁRIAS'!$H$2:$M$358,MATCH($A872,'BASE METAS DIÁRIAS'!$A$2:$A$358,0),MOD(ROW()-2,6)+1),INDEX('BASE METAS DIÁRIAS'!$B$2:$G$358,MATCH($A872,'BASE METAS DIÁRIAS'!$A$2:$A$358,0),MOD(ROW()-2,6)+1),""),"")</f>
        <v/>
      </c>
      <c r="H872" s="159">
        <f>IFERROR(IF(INDEX('CONTROLE PRODUÇÃO POR EMPRESAS'!$B$6:$G$5000,MATCH($A872,'CONTROLE PRODUÇÃO POR EMPRESAS'!$A$6:$A$5000,0),MOD(ROW()-2,6)+1)="","",IFERROR(1*INDEX('CONTROLE PRODUÇÃO POR EMPRESAS'!$B$6:$G$5000,MATCH($A872,'CONTROLE PRODUÇÃO POR EMPRESAS'!$A$6:$A$5000,0),MOD(ROW()-2,6)+1),"")),"")</f>
        <v/>
      </c>
      <c r="I872" s="159">
        <f>IF(OR(NOT(ISNUMBER(G872)),NOT(ISNUMBER(H872))),"",H872-G872)</f>
        <v/>
      </c>
      <c r="J872" s="319">
        <f>IF(OR(NOT(ISNUMBER(G872)),NOT(ISNUMBER(H872)),G872=0),"",I872/G872)</f>
        <v/>
      </c>
      <c r="K872" s="319">
        <f>IF(OR(NOT(ISNUMBER(G872)),NOT(ISNUMBER(H872)),G872=0),"",H872/G872)</f>
        <v/>
      </c>
      <c r="L872">
        <f>IF(NOT(ISNUMBER(G872)),"SEM META",IF(G872=0,"SEM META",IF(NOT(ISNUMBER(H872)),"SEM APONTAMENTO",IF(H872&gt;=G872,"VERDE",IF(H872&gt;=G872*0.9,"AMARELO","VERMELHO")))))</f>
        <v/>
      </c>
      <c r="M872" s="162" t="n"/>
      <c r="N872" s="162" t="n"/>
      <c r="O872" s="162" t="n"/>
      <c r="P872" s="162" t="n"/>
      <c r="Q872" s="320" t="n"/>
      <c r="R872" s="162" t="inlineStr">
        <is>
          <t>CONTROLE PRODUÇÃO POR EMPRESAS!B151</t>
        </is>
      </c>
    </row>
    <row r="873" ht="28.5" customHeight="1">
      <c r="A873" s="317" t="n">
        <v>46368</v>
      </c>
      <c r="B873" t="inlineStr">
        <is>
          <t>GERAL</t>
        </is>
      </c>
      <c r="C873" t="inlineStr">
        <is>
          <t>EJ</t>
        </is>
      </c>
      <c r="D873" t="inlineStr">
        <is>
          <t>IÇAMENTO JOIST</t>
        </is>
      </c>
      <c r="F873" s="159">
        <f>IFERROR(INDEX('BASE METAS DIÁRIAS'!$N$2:$S$358,MATCH($A873,'BASE METAS DIÁRIAS'!$A$2:$A$358,0),MOD(ROW()-2,6)+1),"")</f>
        <v/>
      </c>
      <c r="G873" s="159">
        <f>IFERROR(IF(WEEKDAY($A873,2)&lt;=INDEX('BASE METAS DIÁRIAS'!$H$2:$M$358,MATCH($A873,'BASE METAS DIÁRIAS'!$A$2:$A$358,0),MOD(ROW()-2,6)+1),INDEX('BASE METAS DIÁRIAS'!$B$2:$G$358,MATCH($A873,'BASE METAS DIÁRIAS'!$A$2:$A$358,0),MOD(ROW()-2,6)+1),""),"")</f>
        <v/>
      </c>
      <c r="H873" s="159">
        <f>IFERROR(IF(INDEX('CONTROLE PRODUÇÃO POR EMPRESAS'!$B$6:$G$5000,MATCH($A873,'CONTROLE PRODUÇÃO POR EMPRESAS'!$A$6:$A$5000,0),MOD(ROW()-2,6)+1)="","",IFERROR(1*INDEX('CONTROLE PRODUÇÃO POR EMPRESAS'!$B$6:$G$5000,MATCH($A873,'CONTROLE PRODUÇÃO POR EMPRESAS'!$A$6:$A$5000,0),MOD(ROW()-2,6)+1),"")),"")</f>
        <v/>
      </c>
      <c r="I873" s="159">
        <f>IF(OR(NOT(ISNUMBER(G873)),NOT(ISNUMBER(H873))),"",H873-G873)</f>
        <v/>
      </c>
      <c r="J873" s="319">
        <f>IF(OR(NOT(ISNUMBER(G873)),NOT(ISNUMBER(H873)),G873=0),"",I873/G873)</f>
        <v/>
      </c>
      <c r="K873" s="319">
        <f>IF(OR(NOT(ISNUMBER(G873)),NOT(ISNUMBER(H873)),G873=0),"",H873/G873)</f>
        <v/>
      </c>
      <c r="L873">
        <f>IF(NOT(ISNUMBER(G873)),"SEM META",IF(G873=0,"SEM META",IF(NOT(ISNUMBER(H873)),"SEM APONTAMENTO",IF(H873&gt;=G873,"VERDE",IF(H873&gt;=G873*0.9,"AMARELO","VERMELHO")))))</f>
        <v/>
      </c>
      <c r="M873" s="162" t="n"/>
      <c r="N873" s="162" t="n"/>
      <c r="O873" s="162" t="n"/>
      <c r="P873" s="162" t="n"/>
      <c r="Q873" s="320" t="n"/>
      <c r="R873" s="162" t="inlineStr">
        <is>
          <t>CONTROLE PRODUÇÃO POR EMPRESAS!C151</t>
        </is>
      </c>
    </row>
    <row r="874" ht="28.5" customHeight="1">
      <c r="A874" s="317" t="n">
        <v>46368</v>
      </c>
      <c r="B874" t="inlineStr">
        <is>
          <t>GERAL</t>
        </is>
      </c>
      <c r="C874" t="inlineStr">
        <is>
          <t>EJ</t>
        </is>
      </c>
      <c r="D874" t="inlineStr">
        <is>
          <t>VIGAS</t>
        </is>
      </c>
      <c r="F874" s="159">
        <f>IFERROR(INDEX('BASE METAS DIÁRIAS'!$N$2:$S$358,MATCH($A874,'BASE METAS DIÁRIAS'!$A$2:$A$358,0),MOD(ROW()-2,6)+1),"")</f>
        <v/>
      </c>
      <c r="G874" s="159">
        <f>IFERROR(IF(WEEKDAY($A874,2)&lt;=INDEX('BASE METAS DIÁRIAS'!$H$2:$M$358,MATCH($A874,'BASE METAS DIÁRIAS'!$A$2:$A$358,0),MOD(ROW()-2,6)+1),INDEX('BASE METAS DIÁRIAS'!$B$2:$G$358,MATCH($A874,'BASE METAS DIÁRIAS'!$A$2:$A$358,0),MOD(ROW()-2,6)+1),""),"")</f>
        <v/>
      </c>
      <c r="H874" s="159">
        <f>IFERROR(IF(INDEX('CONTROLE PRODUÇÃO POR EMPRESAS'!$B$6:$G$5000,MATCH($A874,'CONTROLE PRODUÇÃO POR EMPRESAS'!$A$6:$A$5000,0),MOD(ROW()-2,6)+1)="","",IFERROR(1*INDEX('CONTROLE PRODUÇÃO POR EMPRESAS'!$B$6:$G$5000,MATCH($A874,'CONTROLE PRODUÇÃO POR EMPRESAS'!$A$6:$A$5000,0),MOD(ROW()-2,6)+1),"")),"")</f>
        <v/>
      </c>
      <c r="I874" s="159">
        <f>IF(OR(NOT(ISNUMBER(G874)),NOT(ISNUMBER(H874))),"",H874-G874)</f>
        <v/>
      </c>
      <c r="J874" s="319">
        <f>IF(OR(NOT(ISNUMBER(G874)),NOT(ISNUMBER(H874)),G874=0),"",I874/G874)</f>
        <v/>
      </c>
      <c r="K874" s="319">
        <f>IF(OR(NOT(ISNUMBER(G874)),NOT(ISNUMBER(H874)),G874=0),"",H874/G874)</f>
        <v/>
      </c>
      <c r="L874">
        <f>IF(NOT(ISNUMBER(G874)),"SEM META",IF(G874=0,"SEM META",IF(NOT(ISNUMBER(H874)),"SEM APONTAMENTO",IF(H874&gt;=G874,"VERDE",IF(H874&gt;=G874*0.9,"AMARELO","VERMELHO")))))</f>
        <v/>
      </c>
      <c r="M874" s="162" t="n"/>
      <c r="N874" s="162" t="n"/>
      <c r="O874" s="162" t="n"/>
      <c r="P874" s="162" t="n"/>
      <c r="Q874" s="320" t="n"/>
      <c r="R874" s="162" t="inlineStr">
        <is>
          <t>CONTROLE PRODUÇÃO POR EMPRESAS!D151</t>
        </is>
      </c>
    </row>
    <row r="875" ht="28.5" customHeight="1">
      <c r="A875" s="317" t="n">
        <v>46368</v>
      </c>
      <c r="B875" t="inlineStr">
        <is>
          <t>GERAL</t>
        </is>
      </c>
      <c r="C875" t="inlineStr">
        <is>
          <t>CMM</t>
        </is>
      </c>
      <c r="D875" t="inlineStr">
        <is>
          <t>PREMONTAGEM</t>
        </is>
      </c>
      <c r="F875" s="159">
        <f>IFERROR(INDEX('BASE METAS DIÁRIAS'!$N$2:$S$358,MATCH($A875,'BASE METAS DIÁRIAS'!$A$2:$A$358,0),MOD(ROW()-2,6)+1),"")</f>
        <v/>
      </c>
      <c r="G875" s="159">
        <f>IFERROR(IF(WEEKDAY($A875,2)&lt;=INDEX('BASE METAS DIÁRIAS'!$H$2:$M$358,MATCH($A875,'BASE METAS DIÁRIAS'!$A$2:$A$358,0),MOD(ROW()-2,6)+1),INDEX('BASE METAS DIÁRIAS'!$B$2:$G$358,MATCH($A875,'BASE METAS DIÁRIAS'!$A$2:$A$358,0),MOD(ROW()-2,6)+1),""),"")</f>
        <v/>
      </c>
      <c r="H875" s="159">
        <f>IFERROR(IF(INDEX('CONTROLE PRODUÇÃO POR EMPRESAS'!$B$6:$G$5000,MATCH($A875,'CONTROLE PRODUÇÃO POR EMPRESAS'!$A$6:$A$5000,0),MOD(ROW()-2,6)+1)="","",IFERROR(1*INDEX('CONTROLE PRODUÇÃO POR EMPRESAS'!$B$6:$G$5000,MATCH($A875,'CONTROLE PRODUÇÃO POR EMPRESAS'!$A$6:$A$5000,0),MOD(ROW()-2,6)+1),"")),"")</f>
        <v/>
      </c>
      <c r="I875" s="159">
        <f>IF(OR(NOT(ISNUMBER(G875)),NOT(ISNUMBER(H875))),"",H875-G875)</f>
        <v/>
      </c>
      <c r="J875" s="319">
        <f>IF(OR(NOT(ISNUMBER(G875)),NOT(ISNUMBER(H875)),G875=0),"",I875/G875)</f>
        <v/>
      </c>
      <c r="K875" s="319">
        <f>IF(OR(NOT(ISNUMBER(G875)),NOT(ISNUMBER(H875)),G875=0),"",H875/G875)</f>
        <v/>
      </c>
      <c r="L875">
        <f>IF(NOT(ISNUMBER(G875)),"SEM META",IF(G875=0,"SEM META",IF(NOT(ISNUMBER(H875)),"SEM APONTAMENTO",IF(H875&gt;=G875,"VERDE",IF(H875&gt;=G875*0.9,"AMARELO","VERMELHO")))))</f>
        <v/>
      </c>
      <c r="M875" s="162" t="n"/>
      <c r="N875" s="162" t="n"/>
      <c r="O875" s="162" t="n"/>
      <c r="P875" s="162" t="n"/>
      <c r="Q875" s="320" t="n"/>
      <c r="R875" s="162" t="inlineStr">
        <is>
          <t>CONTROLE PRODUÇÃO POR EMPRESAS!E151</t>
        </is>
      </c>
    </row>
    <row r="876" ht="28.5" customHeight="1">
      <c r="A876" s="317" t="n">
        <v>46368</v>
      </c>
      <c r="B876" t="inlineStr">
        <is>
          <t>GERAL</t>
        </is>
      </c>
      <c r="C876" t="inlineStr">
        <is>
          <t>CMM</t>
        </is>
      </c>
      <c r="D876" t="inlineStr">
        <is>
          <t>IÇAMENTO JOIST</t>
        </is>
      </c>
      <c r="F876" s="159">
        <f>IFERROR(INDEX('BASE METAS DIÁRIAS'!$N$2:$S$358,MATCH($A876,'BASE METAS DIÁRIAS'!$A$2:$A$358,0),MOD(ROW()-2,6)+1),"")</f>
        <v/>
      </c>
      <c r="G876" s="159">
        <f>IFERROR(IF(WEEKDAY($A876,2)&lt;=INDEX('BASE METAS DIÁRIAS'!$H$2:$M$358,MATCH($A876,'BASE METAS DIÁRIAS'!$A$2:$A$358,0),MOD(ROW()-2,6)+1),INDEX('BASE METAS DIÁRIAS'!$B$2:$G$358,MATCH($A876,'BASE METAS DIÁRIAS'!$A$2:$A$358,0),MOD(ROW()-2,6)+1),""),"")</f>
        <v/>
      </c>
      <c r="H876" s="159">
        <f>IFERROR(IF(INDEX('CONTROLE PRODUÇÃO POR EMPRESAS'!$B$6:$G$5000,MATCH($A876,'CONTROLE PRODUÇÃO POR EMPRESAS'!$A$6:$A$5000,0),MOD(ROW()-2,6)+1)="","",IFERROR(1*INDEX('CONTROLE PRODUÇÃO POR EMPRESAS'!$B$6:$G$5000,MATCH($A876,'CONTROLE PRODUÇÃO POR EMPRESAS'!$A$6:$A$5000,0),MOD(ROW()-2,6)+1),"")),"")</f>
        <v/>
      </c>
      <c r="I876" s="159">
        <f>IF(OR(NOT(ISNUMBER(G876)),NOT(ISNUMBER(H876))),"",H876-G876)</f>
        <v/>
      </c>
      <c r="J876" s="319">
        <f>IF(OR(NOT(ISNUMBER(G876)),NOT(ISNUMBER(H876)),G876=0),"",I876/G876)</f>
        <v/>
      </c>
      <c r="K876" s="319">
        <f>IF(OR(NOT(ISNUMBER(G876)),NOT(ISNUMBER(H876)),G876=0),"",H876/G876)</f>
        <v/>
      </c>
      <c r="L876">
        <f>IF(NOT(ISNUMBER(G876)),"SEM META",IF(G876=0,"SEM META",IF(NOT(ISNUMBER(H876)),"SEM APONTAMENTO",IF(H876&gt;=G876,"VERDE",IF(H876&gt;=G876*0.9,"AMARELO","VERMELHO")))))</f>
        <v/>
      </c>
      <c r="M876" s="162" t="n"/>
      <c r="N876" s="162" t="n"/>
      <c r="O876" s="162" t="n"/>
      <c r="P876" s="162" t="n"/>
      <c r="Q876" s="320" t="n"/>
      <c r="R876" s="162" t="inlineStr">
        <is>
          <t>CONTROLE PRODUÇÃO POR EMPRESAS!F151</t>
        </is>
      </c>
    </row>
    <row r="877" ht="28.5" customHeight="1">
      <c r="A877" s="317" t="n">
        <v>46368</v>
      </c>
      <c r="B877" t="inlineStr">
        <is>
          <t>GERAL</t>
        </is>
      </c>
      <c r="C877" t="inlineStr">
        <is>
          <t>CMM</t>
        </is>
      </c>
      <c r="D877" t="inlineStr">
        <is>
          <t>VIGAS</t>
        </is>
      </c>
      <c r="F877" s="159">
        <f>IFERROR(INDEX('BASE METAS DIÁRIAS'!$N$2:$S$358,MATCH($A877,'BASE METAS DIÁRIAS'!$A$2:$A$358,0),MOD(ROW()-2,6)+1),"")</f>
        <v/>
      </c>
      <c r="G877" s="159">
        <f>IFERROR(IF(WEEKDAY($A877,2)&lt;=INDEX('BASE METAS DIÁRIAS'!$H$2:$M$358,MATCH($A877,'BASE METAS DIÁRIAS'!$A$2:$A$358,0),MOD(ROW()-2,6)+1),INDEX('BASE METAS DIÁRIAS'!$B$2:$G$358,MATCH($A877,'BASE METAS DIÁRIAS'!$A$2:$A$358,0),MOD(ROW()-2,6)+1),""),"")</f>
        <v/>
      </c>
      <c r="H877" s="159">
        <f>IFERROR(IF(INDEX('CONTROLE PRODUÇÃO POR EMPRESAS'!$B$6:$G$5000,MATCH($A877,'CONTROLE PRODUÇÃO POR EMPRESAS'!$A$6:$A$5000,0),MOD(ROW()-2,6)+1)="","",IFERROR(1*INDEX('CONTROLE PRODUÇÃO POR EMPRESAS'!$B$6:$G$5000,MATCH($A877,'CONTROLE PRODUÇÃO POR EMPRESAS'!$A$6:$A$5000,0),MOD(ROW()-2,6)+1),"")),"")</f>
        <v/>
      </c>
      <c r="I877" s="159">
        <f>IF(OR(NOT(ISNUMBER(G877)),NOT(ISNUMBER(H877))),"",H877-G877)</f>
        <v/>
      </c>
      <c r="J877" s="319">
        <f>IF(OR(NOT(ISNUMBER(G877)),NOT(ISNUMBER(H877)),G877=0),"",I877/G877)</f>
        <v/>
      </c>
      <c r="K877" s="319">
        <f>IF(OR(NOT(ISNUMBER(G877)),NOT(ISNUMBER(H877)),G877=0),"",H877/G877)</f>
        <v/>
      </c>
      <c r="L877">
        <f>IF(NOT(ISNUMBER(G877)),"SEM META",IF(G877=0,"SEM META",IF(NOT(ISNUMBER(H877)),"SEM APONTAMENTO",IF(H877&gt;=G877,"VERDE",IF(H877&gt;=G877*0.9,"AMARELO","VERMELHO")))))</f>
        <v/>
      </c>
      <c r="M877" s="162" t="n"/>
      <c r="N877" s="162" t="n"/>
      <c r="O877" s="162" t="n"/>
      <c r="P877" s="162" t="n"/>
      <c r="Q877" s="320" t="n"/>
      <c r="R877" s="162" t="inlineStr">
        <is>
          <t>CONTROLE PRODUÇÃO POR EMPRESAS!G151</t>
        </is>
      </c>
    </row>
    <row r="878" ht="28.5" customHeight="1">
      <c r="A878" s="317" t="n">
        <v>46369</v>
      </c>
      <c r="B878" t="inlineStr">
        <is>
          <t>GERAL</t>
        </is>
      </c>
      <c r="C878" t="inlineStr">
        <is>
          <t>EJ</t>
        </is>
      </c>
      <c r="D878" t="inlineStr">
        <is>
          <t>PREMONTAGEM</t>
        </is>
      </c>
      <c r="F878" s="159">
        <f>IFERROR(INDEX('BASE METAS DIÁRIAS'!$N$2:$S$358,MATCH($A878,'BASE METAS DIÁRIAS'!$A$2:$A$358,0),MOD(ROW()-2,6)+1),"")</f>
        <v/>
      </c>
      <c r="G878" s="159">
        <f>IFERROR(IF(WEEKDAY($A878,2)&lt;=INDEX('BASE METAS DIÁRIAS'!$H$2:$M$358,MATCH($A878,'BASE METAS DIÁRIAS'!$A$2:$A$358,0),MOD(ROW()-2,6)+1),INDEX('BASE METAS DIÁRIAS'!$B$2:$G$358,MATCH($A878,'BASE METAS DIÁRIAS'!$A$2:$A$358,0),MOD(ROW()-2,6)+1),""),"")</f>
        <v/>
      </c>
      <c r="H878" s="159">
        <f>IFERROR(IF(INDEX('CONTROLE PRODUÇÃO POR EMPRESAS'!$B$6:$G$5000,MATCH($A878,'CONTROLE PRODUÇÃO POR EMPRESAS'!$A$6:$A$5000,0),MOD(ROW()-2,6)+1)="","",IFERROR(1*INDEX('CONTROLE PRODUÇÃO POR EMPRESAS'!$B$6:$G$5000,MATCH($A878,'CONTROLE PRODUÇÃO POR EMPRESAS'!$A$6:$A$5000,0),MOD(ROW()-2,6)+1),"")),"")</f>
        <v/>
      </c>
      <c r="I878" s="159">
        <f>IF(OR(NOT(ISNUMBER(G878)),NOT(ISNUMBER(H878))),"",H878-G878)</f>
        <v/>
      </c>
      <c r="J878" s="319">
        <f>IF(OR(NOT(ISNUMBER(G878)),NOT(ISNUMBER(H878)),G878=0),"",I878/G878)</f>
        <v/>
      </c>
      <c r="K878" s="319">
        <f>IF(OR(NOT(ISNUMBER(G878)),NOT(ISNUMBER(H878)),G878=0),"",H878/G878)</f>
        <v/>
      </c>
      <c r="L878">
        <f>IF(NOT(ISNUMBER(G878)),"SEM META",IF(G878=0,"SEM META",IF(NOT(ISNUMBER(H878)),"SEM APONTAMENTO",IF(H878&gt;=G878,"VERDE",IF(H878&gt;=G878*0.9,"AMARELO","VERMELHO")))))</f>
        <v/>
      </c>
      <c r="M878" s="162" t="n"/>
      <c r="N878" s="162" t="n"/>
      <c r="O878" s="162" t="n"/>
      <c r="P878" s="162" t="n"/>
      <c r="Q878" s="320" t="n"/>
      <c r="R878" s="162" t="inlineStr">
        <is>
          <t>CONTROLE PRODUÇÃO POR EMPRESAS!B152</t>
        </is>
      </c>
    </row>
    <row r="879" ht="28.5" customHeight="1">
      <c r="A879" s="317" t="n">
        <v>46369</v>
      </c>
      <c r="B879" t="inlineStr">
        <is>
          <t>GERAL</t>
        </is>
      </c>
      <c r="C879" t="inlineStr">
        <is>
          <t>EJ</t>
        </is>
      </c>
      <c r="D879" t="inlineStr">
        <is>
          <t>IÇAMENTO JOIST</t>
        </is>
      </c>
      <c r="F879" s="159">
        <f>IFERROR(INDEX('BASE METAS DIÁRIAS'!$N$2:$S$358,MATCH($A879,'BASE METAS DIÁRIAS'!$A$2:$A$358,0),MOD(ROW()-2,6)+1),"")</f>
        <v/>
      </c>
      <c r="G879" s="159">
        <f>IFERROR(IF(WEEKDAY($A879,2)&lt;=INDEX('BASE METAS DIÁRIAS'!$H$2:$M$358,MATCH($A879,'BASE METAS DIÁRIAS'!$A$2:$A$358,0),MOD(ROW()-2,6)+1),INDEX('BASE METAS DIÁRIAS'!$B$2:$G$358,MATCH($A879,'BASE METAS DIÁRIAS'!$A$2:$A$358,0),MOD(ROW()-2,6)+1),""),"")</f>
        <v/>
      </c>
      <c r="H879" s="159">
        <f>IFERROR(IF(INDEX('CONTROLE PRODUÇÃO POR EMPRESAS'!$B$6:$G$5000,MATCH($A879,'CONTROLE PRODUÇÃO POR EMPRESAS'!$A$6:$A$5000,0),MOD(ROW()-2,6)+1)="","",IFERROR(1*INDEX('CONTROLE PRODUÇÃO POR EMPRESAS'!$B$6:$G$5000,MATCH($A879,'CONTROLE PRODUÇÃO POR EMPRESAS'!$A$6:$A$5000,0),MOD(ROW()-2,6)+1),"")),"")</f>
        <v/>
      </c>
      <c r="I879" s="159">
        <f>IF(OR(NOT(ISNUMBER(G879)),NOT(ISNUMBER(H879))),"",H879-G879)</f>
        <v/>
      </c>
      <c r="J879" s="319">
        <f>IF(OR(NOT(ISNUMBER(G879)),NOT(ISNUMBER(H879)),G879=0),"",I879/G879)</f>
        <v/>
      </c>
      <c r="K879" s="319">
        <f>IF(OR(NOT(ISNUMBER(G879)),NOT(ISNUMBER(H879)),G879=0),"",H879/G879)</f>
        <v/>
      </c>
      <c r="L879">
        <f>IF(NOT(ISNUMBER(G879)),"SEM META",IF(G879=0,"SEM META",IF(NOT(ISNUMBER(H879)),"SEM APONTAMENTO",IF(H879&gt;=G879,"VERDE",IF(H879&gt;=G879*0.9,"AMARELO","VERMELHO")))))</f>
        <v/>
      </c>
      <c r="M879" s="162" t="n"/>
      <c r="N879" s="162" t="n"/>
      <c r="O879" s="162" t="n"/>
      <c r="P879" s="162" t="n"/>
      <c r="Q879" s="320" t="n"/>
      <c r="R879" s="162" t="inlineStr">
        <is>
          <t>CONTROLE PRODUÇÃO POR EMPRESAS!C152</t>
        </is>
      </c>
    </row>
    <row r="880" ht="28.5" customHeight="1">
      <c r="A880" s="317" t="n">
        <v>46369</v>
      </c>
      <c r="B880" t="inlineStr">
        <is>
          <t>GERAL</t>
        </is>
      </c>
      <c r="C880" t="inlineStr">
        <is>
          <t>EJ</t>
        </is>
      </c>
      <c r="D880" t="inlineStr">
        <is>
          <t>VIGAS</t>
        </is>
      </c>
      <c r="F880" s="159">
        <f>IFERROR(INDEX('BASE METAS DIÁRIAS'!$N$2:$S$358,MATCH($A880,'BASE METAS DIÁRIAS'!$A$2:$A$358,0),MOD(ROW()-2,6)+1),"")</f>
        <v/>
      </c>
      <c r="G880" s="159">
        <f>IFERROR(IF(WEEKDAY($A880,2)&lt;=INDEX('BASE METAS DIÁRIAS'!$H$2:$M$358,MATCH($A880,'BASE METAS DIÁRIAS'!$A$2:$A$358,0),MOD(ROW()-2,6)+1),INDEX('BASE METAS DIÁRIAS'!$B$2:$G$358,MATCH($A880,'BASE METAS DIÁRIAS'!$A$2:$A$358,0),MOD(ROW()-2,6)+1),""),"")</f>
        <v/>
      </c>
      <c r="H880" s="159">
        <f>IFERROR(IF(INDEX('CONTROLE PRODUÇÃO POR EMPRESAS'!$B$6:$G$5000,MATCH($A880,'CONTROLE PRODUÇÃO POR EMPRESAS'!$A$6:$A$5000,0),MOD(ROW()-2,6)+1)="","",IFERROR(1*INDEX('CONTROLE PRODUÇÃO POR EMPRESAS'!$B$6:$G$5000,MATCH($A880,'CONTROLE PRODUÇÃO POR EMPRESAS'!$A$6:$A$5000,0),MOD(ROW()-2,6)+1),"")),"")</f>
        <v/>
      </c>
      <c r="I880" s="159">
        <f>IF(OR(NOT(ISNUMBER(G880)),NOT(ISNUMBER(H880))),"",H880-G880)</f>
        <v/>
      </c>
      <c r="J880" s="319">
        <f>IF(OR(NOT(ISNUMBER(G880)),NOT(ISNUMBER(H880)),G880=0),"",I880/G880)</f>
        <v/>
      </c>
      <c r="K880" s="319">
        <f>IF(OR(NOT(ISNUMBER(G880)),NOT(ISNUMBER(H880)),G880=0),"",H880/G880)</f>
        <v/>
      </c>
      <c r="L880">
        <f>IF(NOT(ISNUMBER(G880)),"SEM META",IF(G880=0,"SEM META",IF(NOT(ISNUMBER(H880)),"SEM APONTAMENTO",IF(H880&gt;=G880,"VERDE",IF(H880&gt;=G880*0.9,"AMARELO","VERMELHO")))))</f>
        <v/>
      </c>
      <c r="M880" s="162" t="n"/>
      <c r="N880" s="162" t="n"/>
      <c r="O880" s="162" t="n"/>
      <c r="P880" s="162" t="n"/>
      <c r="Q880" s="320" t="n"/>
      <c r="R880" s="162" t="inlineStr">
        <is>
          <t>CONTROLE PRODUÇÃO POR EMPRESAS!D152</t>
        </is>
      </c>
    </row>
    <row r="881" ht="28.5" customHeight="1">
      <c r="A881" s="317" t="n">
        <v>46369</v>
      </c>
      <c r="B881" t="inlineStr">
        <is>
          <t>GERAL</t>
        </is>
      </c>
      <c r="C881" t="inlineStr">
        <is>
          <t>CMM</t>
        </is>
      </c>
      <c r="D881" t="inlineStr">
        <is>
          <t>PREMONTAGEM</t>
        </is>
      </c>
      <c r="F881" s="159">
        <f>IFERROR(INDEX('BASE METAS DIÁRIAS'!$N$2:$S$358,MATCH($A881,'BASE METAS DIÁRIAS'!$A$2:$A$358,0),MOD(ROW()-2,6)+1),"")</f>
        <v/>
      </c>
      <c r="G881" s="159">
        <f>IFERROR(IF(WEEKDAY($A881,2)&lt;=INDEX('BASE METAS DIÁRIAS'!$H$2:$M$358,MATCH($A881,'BASE METAS DIÁRIAS'!$A$2:$A$358,0),MOD(ROW()-2,6)+1),INDEX('BASE METAS DIÁRIAS'!$B$2:$G$358,MATCH($A881,'BASE METAS DIÁRIAS'!$A$2:$A$358,0),MOD(ROW()-2,6)+1),""),"")</f>
        <v/>
      </c>
      <c r="H881" s="159">
        <f>IFERROR(IF(INDEX('CONTROLE PRODUÇÃO POR EMPRESAS'!$B$6:$G$5000,MATCH($A881,'CONTROLE PRODUÇÃO POR EMPRESAS'!$A$6:$A$5000,0),MOD(ROW()-2,6)+1)="","",IFERROR(1*INDEX('CONTROLE PRODUÇÃO POR EMPRESAS'!$B$6:$G$5000,MATCH($A881,'CONTROLE PRODUÇÃO POR EMPRESAS'!$A$6:$A$5000,0),MOD(ROW()-2,6)+1),"")),"")</f>
        <v/>
      </c>
      <c r="I881" s="159">
        <f>IF(OR(NOT(ISNUMBER(G881)),NOT(ISNUMBER(H881))),"",H881-G881)</f>
        <v/>
      </c>
      <c r="J881" s="319">
        <f>IF(OR(NOT(ISNUMBER(G881)),NOT(ISNUMBER(H881)),G881=0),"",I881/G881)</f>
        <v/>
      </c>
      <c r="K881" s="319">
        <f>IF(OR(NOT(ISNUMBER(G881)),NOT(ISNUMBER(H881)),G881=0),"",H881/G881)</f>
        <v/>
      </c>
      <c r="L881">
        <f>IF(NOT(ISNUMBER(G881)),"SEM META",IF(G881=0,"SEM META",IF(NOT(ISNUMBER(H881)),"SEM APONTAMENTO",IF(H881&gt;=G881,"VERDE",IF(H881&gt;=G881*0.9,"AMARELO","VERMELHO")))))</f>
        <v/>
      </c>
      <c r="M881" s="162" t="n"/>
      <c r="N881" s="162" t="n"/>
      <c r="O881" s="162" t="n"/>
      <c r="P881" s="162" t="n"/>
      <c r="Q881" s="320" t="n"/>
      <c r="R881" s="162" t="inlineStr">
        <is>
          <t>CONTROLE PRODUÇÃO POR EMPRESAS!E152</t>
        </is>
      </c>
    </row>
    <row r="882" ht="28.5" customHeight="1">
      <c r="A882" s="317" t="n">
        <v>46369</v>
      </c>
      <c r="B882" t="inlineStr">
        <is>
          <t>GERAL</t>
        </is>
      </c>
      <c r="C882" t="inlineStr">
        <is>
          <t>CMM</t>
        </is>
      </c>
      <c r="D882" t="inlineStr">
        <is>
          <t>IÇAMENTO JOIST</t>
        </is>
      </c>
      <c r="F882" s="159">
        <f>IFERROR(INDEX('BASE METAS DIÁRIAS'!$N$2:$S$358,MATCH($A882,'BASE METAS DIÁRIAS'!$A$2:$A$358,0),MOD(ROW()-2,6)+1),"")</f>
        <v/>
      </c>
      <c r="G882" s="159">
        <f>IFERROR(IF(WEEKDAY($A882,2)&lt;=INDEX('BASE METAS DIÁRIAS'!$H$2:$M$358,MATCH($A882,'BASE METAS DIÁRIAS'!$A$2:$A$358,0),MOD(ROW()-2,6)+1),INDEX('BASE METAS DIÁRIAS'!$B$2:$G$358,MATCH($A882,'BASE METAS DIÁRIAS'!$A$2:$A$358,0),MOD(ROW()-2,6)+1),""),"")</f>
        <v/>
      </c>
      <c r="H882" s="159">
        <f>IFERROR(IF(INDEX('CONTROLE PRODUÇÃO POR EMPRESAS'!$B$6:$G$5000,MATCH($A882,'CONTROLE PRODUÇÃO POR EMPRESAS'!$A$6:$A$5000,0),MOD(ROW()-2,6)+1)="","",IFERROR(1*INDEX('CONTROLE PRODUÇÃO POR EMPRESAS'!$B$6:$G$5000,MATCH($A882,'CONTROLE PRODUÇÃO POR EMPRESAS'!$A$6:$A$5000,0),MOD(ROW()-2,6)+1),"")),"")</f>
        <v/>
      </c>
      <c r="I882" s="159">
        <f>IF(OR(NOT(ISNUMBER(G882)),NOT(ISNUMBER(H882))),"",H882-G882)</f>
        <v/>
      </c>
      <c r="J882" s="319">
        <f>IF(OR(NOT(ISNUMBER(G882)),NOT(ISNUMBER(H882)),G882=0),"",I882/G882)</f>
        <v/>
      </c>
      <c r="K882" s="319">
        <f>IF(OR(NOT(ISNUMBER(G882)),NOT(ISNUMBER(H882)),G882=0),"",H882/G882)</f>
        <v/>
      </c>
      <c r="L882">
        <f>IF(NOT(ISNUMBER(G882)),"SEM META",IF(G882=0,"SEM META",IF(NOT(ISNUMBER(H882)),"SEM APONTAMENTO",IF(H882&gt;=G882,"VERDE",IF(H882&gt;=G882*0.9,"AMARELO","VERMELHO")))))</f>
        <v/>
      </c>
      <c r="M882" s="162" t="n"/>
      <c r="N882" s="162" t="n"/>
      <c r="O882" s="162" t="n"/>
      <c r="P882" s="162" t="n"/>
      <c r="Q882" s="320" t="n"/>
      <c r="R882" s="162" t="inlineStr">
        <is>
          <t>CONTROLE PRODUÇÃO POR EMPRESAS!F152</t>
        </is>
      </c>
    </row>
    <row r="883" ht="28.5" customHeight="1">
      <c r="A883" s="317" t="n">
        <v>46369</v>
      </c>
      <c r="B883" t="inlineStr">
        <is>
          <t>GERAL</t>
        </is>
      </c>
      <c r="C883" t="inlineStr">
        <is>
          <t>CMM</t>
        </is>
      </c>
      <c r="D883" t="inlineStr">
        <is>
          <t>VIGAS</t>
        </is>
      </c>
      <c r="F883" s="159">
        <f>IFERROR(INDEX('BASE METAS DIÁRIAS'!$N$2:$S$358,MATCH($A883,'BASE METAS DIÁRIAS'!$A$2:$A$358,0),MOD(ROW()-2,6)+1),"")</f>
        <v/>
      </c>
      <c r="G883" s="159">
        <f>IFERROR(IF(WEEKDAY($A883,2)&lt;=INDEX('BASE METAS DIÁRIAS'!$H$2:$M$358,MATCH($A883,'BASE METAS DIÁRIAS'!$A$2:$A$358,0),MOD(ROW()-2,6)+1),INDEX('BASE METAS DIÁRIAS'!$B$2:$G$358,MATCH($A883,'BASE METAS DIÁRIAS'!$A$2:$A$358,0),MOD(ROW()-2,6)+1),""),"")</f>
        <v/>
      </c>
      <c r="H883" s="159">
        <f>IFERROR(IF(INDEX('CONTROLE PRODUÇÃO POR EMPRESAS'!$B$6:$G$5000,MATCH($A883,'CONTROLE PRODUÇÃO POR EMPRESAS'!$A$6:$A$5000,0),MOD(ROW()-2,6)+1)="","",IFERROR(1*INDEX('CONTROLE PRODUÇÃO POR EMPRESAS'!$B$6:$G$5000,MATCH($A883,'CONTROLE PRODUÇÃO POR EMPRESAS'!$A$6:$A$5000,0),MOD(ROW()-2,6)+1),"")),"")</f>
        <v/>
      </c>
      <c r="I883" s="159">
        <f>IF(OR(NOT(ISNUMBER(G883)),NOT(ISNUMBER(H883))),"",H883-G883)</f>
        <v/>
      </c>
      <c r="J883" s="319">
        <f>IF(OR(NOT(ISNUMBER(G883)),NOT(ISNUMBER(H883)),G883=0),"",I883/G883)</f>
        <v/>
      </c>
      <c r="K883" s="319">
        <f>IF(OR(NOT(ISNUMBER(G883)),NOT(ISNUMBER(H883)),G883=0),"",H883/G883)</f>
        <v/>
      </c>
      <c r="L883">
        <f>IF(NOT(ISNUMBER(G883)),"SEM META",IF(G883=0,"SEM META",IF(NOT(ISNUMBER(H883)),"SEM APONTAMENTO",IF(H883&gt;=G883,"VERDE",IF(H883&gt;=G883*0.9,"AMARELO","VERMELHO")))))</f>
        <v/>
      </c>
      <c r="M883" s="162" t="n"/>
      <c r="N883" s="162" t="n"/>
      <c r="O883" s="162" t="n"/>
      <c r="P883" s="162" t="n"/>
      <c r="Q883" s="320" t="n"/>
      <c r="R883" s="162" t="inlineStr">
        <is>
          <t>CONTROLE PRODUÇÃO POR EMPRESAS!G152</t>
        </is>
      </c>
    </row>
    <row r="884" ht="28.5" customHeight="1">
      <c r="A884" s="317" t="n">
        <v>46370</v>
      </c>
      <c r="B884" t="inlineStr">
        <is>
          <t>GERAL</t>
        </is>
      </c>
      <c r="C884" t="inlineStr">
        <is>
          <t>EJ</t>
        </is>
      </c>
      <c r="D884" t="inlineStr">
        <is>
          <t>PREMONTAGEM</t>
        </is>
      </c>
      <c r="F884" s="159">
        <f>IFERROR(INDEX('BASE METAS DIÁRIAS'!$N$2:$S$358,MATCH($A884,'BASE METAS DIÁRIAS'!$A$2:$A$358,0),MOD(ROW()-2,6)+1),"")</f>
        <v/>
      </c>
      <c r="G884" s="159">
        <f>IFERROR(IF(WEEKDAY($A884,2)&lt;=INDEX('BASE METAS DIÁRIAS'!$H$2:$M$358,MATCH($A884,'BASE METAS DIÁRIAS'!$A$2:$A$358,0),MOD(ROW()-2,6)+1),INDEX('BASE METAS DIÁRIAS'!$B$2:$G$358,MATCH($A884,'BASE METAS DIÁRIAS'!$A$2:$A$358,0),MOD(ROW()-2,6)+1),""),"")</f>
        <v/>
      </c>
      <c r="H884" s="159">
        <f>IFERROR(IF(INDEX('CONTROLE PRODUÇÃO POR EMPRESAS'!$B$6:$G$5000,MATCH($A884,'CONTROLE PRODUÇÃO POR EMPRESAS'!$A$6:$A$5000,0),MOD(ROW()-2,6)+1)="","",IFERROR(1*INDEX('CONTROLE PRODUÇÃO POR EMPRESAS'!$B$6:$G$5000,MATCH($A884,'CONTROLE PRODUÇÃO POR EMPRESAS'!$A$6:$A$5000,0),MOD(ROW()-2,6)+1),"")),"")</f>
        <v/>
      </c>
      <c r="I884" s="159">
        <f>IF(OR(NOT(ISNUMBER(G884)),NOT(ISNUMBER(H884))),"",H884-G884)</f>
        <v/>
      </c>
      <c r="J884" s="319">
        <f>IF(OR(NOT(ISNUMBER(G884)),NOT(ISNUMBER(H884)),G884=0),"",I884/G884)</f>
        <v/>
      </c>
      <c r="K884" s="319">
        <f>IF(OR(NOT(ISNUMBER(G884)),NOT(ISNUMBER(H884)),G884=0),"",H884/G884)</f>
        <v/>
      </c>
      <c r="L884">
        <f>IF(NOT(ISNUMBER(G884)),"SEM META",IF(G884=0,"SEM META",IF(NOT(ISNUMBER(H884)),"SEM APONTAMENTO",IF(H884&gt;=G884,"VERDE",IF(H884&gt;=G884*0.9,"AMARELO","VERMELHO")))))</f>
        <v/>
      </c>
      <c r="M884" s="162" t="n"/>
      <c r="N884" s="162" t="n"/>
      <c r="O884" s="162" t="n"/>
      <c r="P884" s="162" t="n"/>
      <c r="Q884" s="320" t="n"/>
      <c r="R884" s="162" t="inlineStr">
        <is>
          <t>CONTROLE PRODUÇÃO POR EMPRESAS!B153</t>
        </is>
      </c>
    </row>
    <row r="885" ht="28.5" customHeight="1">
      <c r="A885" s="317" t="n">
        <v>46370</v>
      </c>
      <c r="B885" t="inlineStr">
        <is>
          <t>GERAL</t>
        </is>
      </c>
      <c r="C885" t="inlineStr">
        <is>
          <t>EJ</t>
        </is>
      </c>
      <c r="D885" t="inlineStr">
        <is>
          <t>IÇAMENTO JOIST</t>
        </is>
      </c>
      <c r="F885" s="159">
        <f>IFERROR(INDEX('BASE METAS DIÁRIAS'!$N$2:$S$358,MATCH($A885,'BASE METAS DIÁRIAS'!$A$2:$A$358,0),MOD(ROW()-2,6)+1),"")</f>
        <v/>
      </c>
      <c r="G885" s="159">
        <f>IFERROR(IF(WEEKDAY($A885,2)&lt;=INDEX('BASE METAS DIÁRIAS'!$H$2:$M$358,MATCH($A885,'BASE METAS DIÁRIAS'!$A$2:$A$358,0),MOD(ROW()-2,6)+1),INDEX('BASE METAS DIÁRIAS'!$B$2:$G$358,MATCH($A885,'BASE METAS DIÁRIAS'!$A$2:$A$358,0),MOD(ROW()-2,6)+1),""),"")</f>
        <v/>
      </c>
      <c r="H885" s="159">
        <f>IFERROR(IF(INDEX('CONTROLE PRODUÇÃO POR EMPRESAS'!$B$6:$G$5000,MATCH($A885,'CONTROLE PRODUÇÃO POR EMPRESAS'!$A$6:$A$5000,0),MOD(ROW()-2,6)+1)="","",IFERROR(1*INDEX('CONTROLE PRODUÇÃO POR EMPRESAS'!$B$6:$G$5000,MATCH($A885,'CONTROLE PRODUÇÃO POR EMPRESAS'!$A$6:$A$5000,0),MOD(ROW()-2,6)+1),"")),"")</f>
        <v/>
      </c>
      <c r="I885" s="159">
        <f>IF(OR(NOT(ISNUMBER(G885)),NOT(ISNUMBER(H885))),"",H885-G885)</f>
        <v/>
      </c>
      <c r="J885" s="319">
        <f>IF(OR(NOT(ISNUMBER(G885)),NOT(ISNUMBER(H885)),G885=0),"",I885/G885)</f>
        <v/>
      </c>
      <c r="K885" s="319">
        <f>IF(OR(NOT(ISNUMBER(G885)),NOT(ISNUMBER(H885)),G885=0),"",H885/G885)</f>
        <v/>
      </c>
      <c r="L885">
        <f>IF(NOT(ISNUMBER(G885)),"SEM META",IF(G885=0,"SEM META",IF(NOT(ISNUMBER(H885)),"SEM APONTAMENTO",IF(H885&gt;=G885,"VERDE",IF(H885&gt;=G885*0.9,"AMARELO","VERMELHO")))))</f>
        <v/>
      </c>
      <c r="M885" s="162" t="n"/>
      <c r="N885" s="162" t="n"/>
      <c r="O885" s="162" t="n"/>
      <c r="P885" s="162" t="n"/>
      <c r="Q885" s="320" t="n"/>
      <c r="R885" s="162" t="inlineStr">
        <is>
          <t>CONTROLE PRODUÇÃO POR EMPRESAS!C153</t>
        </is>
      </c>
    </row>
    <row r="886" ht="28.5" customHeight="1">
      <c r="A886" s="317" t="n">
        <v>46370</v>
      </c>
      <c r="B886" t="inlineStr">
        <is>
          <t>GERAL</t>
        </is>
      </c>
      <c r="C886" t="inlineStr">
        <is>
          <t>EJ</t>
        </is>
      </c>
      <c r="D886" t="inlineStr">
        <is>
          <t>VIGAS</t>
        </is>
      </c>
      <c r="F886" s="159">
        <f>IFERROR(INDEX('BASE METAS DIÁRIAS'!$N$2:$S$358,MATCH($A886,'BASE METAS DIÁRIAS'!$A$2:$A$358,0),MOD(ROW()-2,6)+1),"")</f>
        <v/>
      </c>
      <c r="G886" s="159">
        <f>IFERROR(IF(WEEKDAY($A886,2)&lt;=INDEX('BASE METAS DIÁRIAS'!$H$2:$M$358,MATCH($A886,'BASE METAS DIÁRIAS'!$A$2:$A$358,0),MOD(ROW()-2,6)+1),INDEX('BASE METAS DIÁRIAS'!$B$2:$G$358,MATCH($A886,'BASE METAS DIÁRIAS'!$A$2:$A$358,0),MOD(ROW()-2,6)+1),""),"")</f>
        <v/>
      </c>
      <c r="H886" s="159">
        <f>IFERROR(IF(INDEX('CONTROLE PRODUÇÃO POR EMPRESAS'!$B$6:$G$5000,MATCH($A886,'CONTROLE PRODUÇÃO POR EMPRESAS'!$A$6:$A$5000,0),MOD(ROW()-2,6)+1)="","",IFERROR(1*INDEX('CONTROLE PRODUÇÃO POR EMPRESAS'!$B$6:$G$5000,MATCH($A886,'CONTROLE PRODUÇÃO POR EMPRESAS'!$A$6:$A$5000,0),MOD(ROW()-2,6)+1),"")),"")</f>
        <v/>
      </c>
      <c r="I886" s="159">
        <f>IF(OR(NOT(ISNUMBER(G886)),NOT(ISNUMBER(H886))),"",H886-G886)</f>
        <v/>
      </c>
      <c r="J886" s="319">
        <f>IF(OR(NOT(ISNUMBER(G886)),NOT(ISNUMBER(H886)),G886=0),"",I886/G886)</f>
        <v/>
      </c>
      <c r="K886" s="319">
        <f>IF(OR(NOT(ISNUMBER(G886)),NOT(ISNUMBER(H886)),G886=0),"",H886/G886)</f>
        <v/>
      </c>
      <c r="L886">
        <f>IF(NOT(ISNUMBER(G886)),"SEM META",IF(G886=0,"SEM META",IF(NOT(ISNUMBER(H886)),"SEM APONTAMENTO",IF(H886&gt;=G886,"VERDE",IF(H886&gt;=G886*0.9,"AMARELO","VERMELHO")))))</f>
        <v/>
      </c>
      <c r="M886" s="162" t="n"/>
      <c r="N886" s="162" t="n"/>
      <c r="O886" s="162" t="n"/>
      <c r="P886" s="162" t="n"/>
      <c r="Q886" s="320" t="n"/>
      <c r="R886" s="162" t="inlineStr">
        <is>
          <t>CONTROLE PRODUÇÃO POR EMPRESAS!D153</t>
        </is>
      </c>
    </row>
    <row r="887" ht="28.5" customHeight="1">
      <c r="A887" s="317" t="n">
        <v>46370</v>
      </c>
      <c r="B887" t="inlineStr">
        <is>
          <t>GERAL</t>
        </is>
      </c>
      <c r="C887" t="inlineStr">
        <is>
          <t>CMM</t>
        </is>
      </c>
      <c r="D887" t="inlineStr">
        <is>
          <t>PREMONTAGEM</t>
        </is>
      </c>
      <c r="F887" s="159">
        <f>IFERROR(INDEX('BASE METAS DIÁRIAS'!$N$2:$S$358,MATCH($A887,'BASE METAS DIÁRIAS'!$A$2:$A$358,0),MOD(ROW()-2,6)+1),"")</f>
        <v/>
      </c>
      <c r="G887" s="159">
        <f>IFERROR(IF(WEEKDAY($A887,2)&lt;=INDEX('BASE METAS DIÁRIAS'!$H$2:$M$358,MATCH($A887,'BASE METAS DIÁRIAS'!$A$2:$A$358,0),MOD(ROW()-2,6)+1),INDEX('BASE METAS DIÁRIAS'!$B$2:$G$358,MATCH($A887,'BASE METAS DIÁRIAS'!$A$2:$A$358,0),MOD(ROW()-2,6)+1),""),"")</f>
        <v/>
      </c>
      <c r="H887" s="159">
        <f>IFERROR(IF(INDEX('CONTROLE PRODUÇÃO POR EMPRESAS'!$B$6:$G$5000,MATCH($A887,'CONTROLE PRODUÇÃO POR EMPRESAS'!$A$6:$A$5000,0),MOD(ROW()-2,6)+1)="","",IFERROR(1*INDEX('CONTROLE PRODUÇÃO POR EMPRESAS'!$B$6:$G$5000,MATCH($A887,'CONTROLE PRODUÇÃO POR EMPRESAS'!$A$6:$A$5000,0),MOD(ROW()-2,6)+1),"")),"")</f>
        <v/>
      </c>
      <c r="I887" s="159">
        <f>IF(OR(NOT(ISNUMBER(G887)),NOT(ISNUMBER(H887))),"",H887-G887)</f>
        <v/>
      </c>
      <c r="J887" s="319">
        <f>IF(OR(NOT(ISNUMBER(G887)),NOT(ISNUMBER(H887)),G887=0),"",I887/G887)</f>
        <v/>
      </c>
      <c r="K887" s="319">
        <f>IF(OR(NOT(ISNUMBER(G887)),NOT(ISNUMBER(H887)),G887=0),"",H887/G887)</f>
        <v/>
      </c>
      <c r="L887">
        <f>IF(NOT(ISNUMBER(G887)),"SEM META",IF(G887=0,"SEM META",IF(NOT(ISNUMBER(H887)),"SEM APONTAMENTO",IF(H887&gt;=G887,"VERDE",IF(H887&gt;=G887*0.9,"AMARELO","VERMELHO")))))</f>
        <v/>
      </c>
      <c r="M887" s="162" t="n"/>
      <c r="N887" s="162" t="n"/>
      <c r="O887" s="162" t="n"/>
      <c r="P887" s="162" t="n"/>
      <c r="Q887" s="320" t="n"/>
      <c r="R887" s="162" t="inlineStr">
        <is>
          <t>CONTROLE PRODUÇÃO POR EMPRESAS!E153</t>
        </is>
      </c>
    </row>
    <row r="888" ht="28.5" customHeight="1">
      <c r="A888" s="317" t="n">
        <v>46370</v>
      </c>
      <c r="B888" t="inlineStr">
        <is>
          <t>GERAL</t>
        </is>
      </c>
      <c r="C888" t="inlineStr">
        <is>
          <t>CMM</t>
        </is>
      </c>
      <c r="D888" t="inlineStr">
        <is>
          <t>IÇAMENTO JOIST</t>
        </is>
      </c>
      <c r="F888" s="159">
        <f>IFERROR(INDEX('BASE METAS DIÁRIAS'!$N$2:$S$358,MATCH($A888,'BASE METAS DIÁRIAS'!$A$2:$A$358,0),MOD(ROW()-2,6)+1),"")</f>
        <v/>
      </c>
      <c r="G888" s="159">
        <f>IFERROR(IF(WEEKDAY($A888,2)&lt;=INDEX('BASE METAS DIÁRIAS'!$H$2:$M$358,MATCH($A888,'BASE METAS DIÁRIAS'!$A$2:$A$358,0),MOD(ROW()-2,6)+1),INDEX('BASE METAS DIÁRIAS'!$B$2:$G$358,MATCH($A888,'BASE METAS DIÁRIAS'!$A$2:$A$358,0),MOD(ROW()-2,6)+1),""),"")</f>
        <v/>
      </c>
      <c r="H888" s="159">
        <f>IFERROR(IF(INDEX('CONTROLE PRODUÇÃO POR EMPRESAS'!$B$6:$G$5000,MATCH($A888,'CONTROLE PRODUÇÃO POR EMPRESAS'!$A$6:$A$5000,0),MOD(ROW()-2,6)+1)="","",IFERROR(1*INDEX('CONTROLE PRODUÇÃO POR EMPRESAS'!$B$6:$G$5000,MATCH($A888,'CONTROLE PRODUÇÃO POR EMPRESAS'!$A$6:$A$5000,0),MOD(ROW()-2,6)+1),"")),"")</f>
        <v/>
      </c>
      <c r="I888" s="159">
        <f>IF(OR(NOT(ISNUMBER(G888)),NOT(ISNUMBER(H888))),"",H888-G888)</f>
        <v/>
      </c>
      <c r="J888" s="319">
        <f>IF(OR(NOT(ISNUMBER(G888)),NOT(ISNUMBER(H888)),G888=0),"",I888/G888)</f>
        <v/>
      </c>
      <c r="K888" s="319">
        <f>IF(OR(NOT(ISNUMBER(G888)),NOT(ISNUMBER(H888)),G888=0),"",H888/G888)</f>
        <v/>
      </c>
      <c r="L888">
        <f>IF(NOT(ISNUMBER(G888)),"SEM META",IF(G888=0,"SEM META",IF(NOT(ISNUMBER(H888)),"SEM APONTAMENTO",IF(H888&gt;=G888,"VERDE",IF(H888&gt;=G888*0.9,"AMARELO","VERMELHO")))))</f>
        <v/>
      </c>
      <c r="M888" s="162" t="n"/>
      <c r="N888" s="162" t="n"/>
      <c r="O888" s="162" t="n"/>
      <c r="P888" s="162" t="n"/>
      <c r="Q888" s="320" t="n"/>
      <c r="R888" s="162" t="inlineStr">
        <is>
          <t>CONTROLE PRODUÇÃO POR EMPRESAS!F153</t>
        </is>
      </c>
    </row>
    <row r="889" ht="28.5" customHeight="1">
      <c r="A889" s="317" t="n">
        <v>46370</v>
      </c>
      <c r="B889" t="inlineStr">
        <is>
          <t>GERAL</t>
        </is>
      </c>
      <c r="C889" t="inlineStr">
        <is>
          <t>CMM</t>
        </is>
      </c>
      <c r="D889" t="inlineStr">
        <is>
          <t>VIGAS</t>
        </is>
      </c>
      <c r="F889" s="159">
        <f>IFERROR(INDEX('BASE METAS DIÁRIAS'!$N$2:$S$358,MATCH($A889,'BASE METAS DIÁRIAS'!$A$2:$A$358,0),MOD(ROW()-2,6)+1),"")</f>
        <v/>
      </c>
      <c r="G889" s="159">
        <f>IFERROR(IF(WEEKDAY($A889,2)&lt;=INDEX('BASE METAS DIÁRIAS'!$H$2:$M$358,MATCH($A889,'BASE METAS DIÁRIAS'!$A$2:$A$358,0),MOD(ROW()-2,6)+1),INDEX('BASE METAS DIÁRIAS'!$B$2:$G$358,MATCH($A889,'BASE METAS DIÁRIAS'!$A$2:$A$358,0),MOD(ROW()-2,6)+1),""),"")</f>
        <v/>
      </c>
      <c r="H889" s="159">
        <f>IFERROR(IF(INDEX('CONTROLE PRODUÇÃO POR EMPRESAS'!$B$6:$G$5000,MATCH($A889,'CONTROLE PRODUÇÃO POR EMPRESAS'!$A$6:$A$5000,0),MOD(ROW()-2,6)+1)="","",IFERROR(1*INDEX('CONTROLE PRODUÇÃO POR EMPRESAS'!$B$6:$G$5000,MATCH($A889,'CONTROLE PRODUÇÃO POR EMPRESAS'!$A$6:$A$5000,0),MOD(ROW()-2,6)+1),"")),"")</f>
        <v/>
      </c>
      <c r="I889" s="159">
        <f>IF(OR(NOT(ISNUMBER(G889)),NOT(ISNUMBER(H889))),"",H889-G889)</f>
        <v/>
      </c>
      <c r="J889" s="319">
        <f>IF(OR(NOT(ISNUMBER(G889)),NOT(ISNUMBER(H889)),G889=0),"",I889/G889)</f>
        <v/>
      </c>
      <c r="K889" s="319">
        <f>IF(OR(NOT(ISNUMBER(G889)),NOT(ISNUMBER(H889)),G889=0),"",H889/G889)</f>
        <v/>
      </c>
      <c r="L889">
        <f>IF(NOT(ISNUMBER(G889)),"SEM META",IF(G889=0,"SEM META",IF(NOT(ISNUMBER(H889)),"SEM APONTAMENTO",IF(H889&gt;=G889,"VERDE",IF(H889&gt;=G889*0.9,"AMARELO","VERMELHO")))))</f>
        <v/>
      </c>
      <c r="M889" s="162" t="n"/>
      <c r="N889" s="162" t="n"/>
      <c r="O889" s="162" t="n"/>
      <c r="P889" s="162" t="n"/>
      <c r="Q889" s="320" t="n"/>
      <c r="R889" s="162" t="inlineStr">
        <is>
          <t>CONTROLE PRODUÇÃO POR EMPRESAS!G153</t>
        </is>
      </c>
    </row>
    <row r="890" ht="28.5" customHeight="1">
      <c r="A890" s="317" t="n">
        <v>46371</v>
      </c>
      <c r="B890" t="inlineStr">
        <is>
          <t>GERAL</t>
        </is>
      </c>
      <c r="C890" t="inlineStr">
        <is>
          <t>EJ</t>
        </is>
      </c>
      <c r="D890" t="inlineStr">
        <is>
          <t>PREMONTAGEM</t>
        </is>
      </c>
      <c r="F890" s="159">
        <f>IFERROR(INDEX('BASE METAS DIÁRIAS'!$N$2:$S$358,MATCH($A890,'BASE METAS DIÁRIAS'!$A$2:$A$358,0),MOD(ROW()-2,6)+1),"")</f>
        <v/>
      </c>
      <c r="G890" s="159">
        <f>IFERROR(IF(WEEKDAY($A890,2)&lt;=INDEX('BASE METAS DIÁRIAS'!$H$2:$M$358,MATCH($A890,'BASE METAS DIÁRIAS'!$A$2:$A$358,0),MOD(ROW()-2,6)+1),INDEX('BASE METAS DIÁRIAS'!$B$2:$G$358,MATCH($A890,'BASE METAS DIÁRIAS'!$A$2:$A$358,0),MOD(ROW()-2,6)+1),""),"")</f>
        <v/>
      </c>
      <c r="H890" s="159">
        <f>IFERROR(IF(INDEX('CONTROLE PRODUÇÃO POR EMPRESAS'!$B$6:$G$5000,MATCH($A890,'CONTROLE PRODUÇÃO POR EMPRESAS'!$A$6:$A$5000,0),MOD(ROW()-2,6)+1)="","",IFERROR(1*INDEX('CONTROLE PRODUÇÃO POR EMPRESAS'!$B$6:$G$5000,MATCH($A890,'CONTROLE PRODUÇÃO POR EMPRESAS'!$A$6:$A$5000,0),MOD(ROW()-2,6)+1),"")),"")</f>
        <v/>
      </c>
      <c r="I890" s="159">
        <f>IF(OR(NOT(ISNUMBER(G890)),NOT(ISNUMBER(H890))),"",H890-G890)</f>
        <v/>
      </c>
      <c r="J890" s="319">
        <f>IF(OR(NOT(ISNUMBER(G890)),NOT(ISNUMBER(H890)),G890=0),"",I890/G890)</f>
        <v/>
      </c>
      <c r="K890" s="319">
        <f>IF(OR(NOT(ISNUMBER(G890)),NOT(ISNUMBER(H890)),G890=0),"",H890/G890)</f>
        <v/>
      </c>
      <c r="L890">
        <f>IF(NOT(ISNUMBER(G890)),"SEM META",IF(G890=0,"SEM META",IF(NOT(ISNUMBER(H890)),"SEM APONTAMENTO",IF(H890&gt;=G890,"VERDE",IF(H890&gt;=G890*0.9,"AMARELO","VERMELHO")))))</f>
        <v/>
      </c>
      <c r="M890" s="162" t="n"/>
      <c r="N890" s="162" t="n"/>
      <c r="O890" s="162" t="n"/>
      <c r="P890" s="162" t="n"/>
      <c r="Q890" s="320" t="n"/>
      <c r="R890" s="162" t="inlineStr">
        <is>
          <t>CONTROLE PRODUÇÃO POR EMPRESAS!B154</t>
        </is>
      </c>
    </row>
    <row r="891" ht="28.5" customHeight="1">
      <c r="A891" s="317" t="n">
        <v>46371</v>
      </c>
      <c r="B891" t="inlineStr">
        <is>
          <t>GERAL</t>
        </is>
      </c>
      <c r="C891" t="inlineStr">
        <is>
          <t>EJ</t>
        </is>
      </c>
      <c r="D891" t="inlineStr">
        <is>
          <t>IÇAMENTO JOIST</t>
        </is>
      </c>
      <c r="F891" s="159">
        <f>IFERROR(INDEX('BASE METAS DIÁRIAS'!$N$2:$S$358,MATCH($A891,'BASE METAS DIÁRIAS'!$A$2:$A$358,0),MOD(ROW()-2,6)+1),"")</f>
        <v/>
      </c>
      <c r="G891" s="159">
        <f>IFERROR(IF(WEEKDAY($A891,2)&lt;=INDEX('BASE METAS DIÁRIAS'!$H$2:$M$358,MATCH($A891,'BASE METAS DIÁRIAS'!$A$2:$A$358,0),MOD(ROW()-2,6)+1),INDEX('BASE METAS DIÁRIAS'!$B$2:$G$358,MATCH($A891,'BASE METAS DIÁRIAS'!$A$2:$A$358,0),MOD(ROW()-2,6)+1),""),"")</f>
        <v/>
      </c>
      <c r="H891" s="159">
        <f>IFERROR(IF(INDEX('CONTROLE PRODUÇÃO POR EMPRESAS'!$B$6:$G$5000,MATCH($A891,'CONTROLE PRODUÇÃO POR EMPRESAS'!$A$6:$A$5000,0),MOD(ROW()-2,6)+1)="","",IFERROR(1*INDEX('CONTROLE PRODUÇÃO POR EMPRESAS'!$B$6:$G$5000,MATCH($A891,'CONTROLE PRODUÇÃO POR EMPRESAS'!$A$6:$A$5000,0),MOD(ROW()-2,6)+1),"")),"")</f>
        <v/>
      </c>
      <c r="I891" s="159">
        <f>IF(OR(NOT(ISNUMBER(G891)),NOT(ISNUMBER(H891))),"",H891-G891)</f>
        <v/>
      </c>
      <c r="J891" s="319">
        <f>IF(OR(NOT(ISNUMBER(G891)),NOT(ISNUMBER(H891)),G891=0),"",I891/G891)</f>
        <v/>
      </c>
      <c r="K891" s="319">
        <f>IF(OR(NOT(ISNUMBER(G891)),NOT(ISNUMBER(H891)),G891=0),"",H891/G891)</f>
        <v/>
      </c>
      <c r="L891">
        <f>IF(NOT(ISNUMBER(G891)),"SEM META",IF(G891=0,"SEM META",IF(NOT(ISNUMBER(H891)),"SEM APONTAMENTO",IF(H891&gt;=G891,"VERDE",IF(H891&gt;=G891*0.9,"AMARELO","VERMELHO")))))</f>
        <v/>
      </c>
      <c r="M891" s="162" t="n"/>
      <c r="N891" s="162" t="n"/>
      <c r="O891" s="162" t="n"/>
      <c r="P891" s="162" t="n"/>
      <c r="Q891" s="320" t="n"/>
      <c r="R891" s="162" t="inlineStr">
        <is>
          <t>CONTROLE PRODUÇÃO POR EMPRESAS!C154</t>
        </is>
      </c>
    </row>
    <row r="892" ht="28.5" customHeight="1">
      <c r="A892" s="317" t="n">
        <v>46371</v>
      </c>
      <c r="B892" t="inlineStr">
        <is>
          <t>GERAL</t>
        </is>
      </c>
      <c r="C892" t="inlineStr">
        <is>
          <t>EJ</t>
        </is>
      </c>
      <c r="D892" t="inlineStr">
        <is>
          <t>VIGAS</t>
        </is>
      </c>
      <c r="F892" s="159">
        <f>IFERROR(INDEX('BASE METAS DIÁRIAS'!$N$2:$S$358,MATCH($A892,'BASE METAS DIÁRIAS'!$A$2:$A$358,0),MOD(ROW()-2,6)+1),"")</f>
        <v/>
      </c>
      <c r="G892" s="159">
        <f>IFERROR(IF(WEEKDAY($A892,2)&lt;=INDEX('BASE METAS DIÁRIAS'!$H$2:$M$358,MATCH($A892,'BASE METAS DIÁRIAS'!$A$2:$A$358,0),MOD(ROW()-2,6)+1),INDEX('BASE METAS DIÁRIAS'!$B$2:$G$358,MATCH($A892,'BASE METAS DIÁRIAS'!$A$2:$A$358,0),MOD(ROW()-2,6)+1),""),"")</f>
        <v/>
      </c>
      <c r="H892" s="159">
        <f>IFERROR(IF(INDEX('CONTROLE PRODUÇÃO POR EMPRESAS'!$B$6:$G$5000,MATCH($A892,'CONTROLE PRODUÇÃO POR EMPRESAS'!$A$6:$A$5000,0),MOD(ROW()-2,6)+1)="","",IFERROR(1*INDEX('CONTROLE PRODUÇÃO POR EMPRESAS'!$B$6:$G$5000,MATCH($A892,'CONTROLE PRODUÇÃO POR EMPRESAS'!$A$6:$A$5000,0),MOD(ROW()-2,6)+1),"")),"")</f>
        <v/>
      </c>
      <c r="I892" s="159">
        <f>IF(OR(NOT(ISNUMBER(G892)),NOT(ISNUMBER(H892))),"",H892-G892)</f>
        <v/>
      </c>
      <c r="J892" s="319">
        <f>IF(OR(NOT(ISNUMBER(G892)),NOT(ISNUMBER(H892)),G892=0),"",I892/G892)</f>
        <v/>
      </c>
      <c r="K892" s="319">
        <f>IF(OR(NOT(ISNUMBER(G892)),NOT(ISNUMBER(H892)),G892=0),"",H892/G892)</f>
        <v/>
      </c>
      <c r="L892">
        <f>IF(NOT(ISNUMBER(G892)),"SEM META",IF(G892=0,"SEM META",IF(NOT(ISNUMBER(H892)),"SEM APONTAMENTO",IF(H892&gt;=G892,"VERDE",IF(H892&gt;=G892*0.9,"AMARELO","VERMELHO")))))</f>
        <v/>
      </c>
      <c r="M892" s="162" t="n"/>
      <c r="N892" s="162" t="n"/>
      <c r="O892" s="162" t="n"/>
      <c r="P892" s="162" t="n"/>
      <c r="Q892" s="320" t="n"/>
      <c r="R892" s="162" t="inlineStr">
        <is>
          <t>CONTROLE PRODUÇÃO POR EMPRESAS!D154</t>
        </is>
      </c>
    </row>
    <row r="893" ht="28.5" customHeight="1">
      <c r="A893" s="317" t="n">
        <v>46371</v>
      </c>
      <c r="B893" t="inlineStr">
        <is>
          <t>GERAL</t>
        </is>
      </c>
      <c r="C893" t="inlineStr">
        <is>
          <t>CMM</t>
        </is>
      </c>
      <c r="D893" t="inlineStr">
        <is>
          <t>PREMONTAGEM</t>
        </is>
      </c>
      <c r="F893" s="159">
        <f>IFERROR(INDEX('BASE METAS DIÁRIAS'!$N$2:$S$358,MATCH($A893,'BASE METAS DIÁRIAS'!$A$2:$A$358,0),MOD(ROW()-2,6)+1),"")</f>
        <v/>
      </c>
      <c r="G893" s="159">
        <f>IFERROR(IF(WEEKDAY($A893,2)&lt;=INDEX('BASE METAS DIÁRIAS'!$H$2:$M$358,MATCH($A893,'BASE METAS DIÁRIAS'!$A$2:$A$358,0),MOD(ROW()-2,6)+1),INDEX('BASE METAS DIÁRIAS'!$B$2:$G$358,MATCH($A893,'BASE METAS DIÁRIAS'!$A$2:$A$358,0),MOD(ROW()-2,6)+1),""),"")</f>
        <v/>
      </c>
      <c r="H893" s="159">
        <f>IFERROR(IF(INDEX('CONTROLE PRODUÇÃO POR EMPRESAS'!$B$6:$G$5000,MATCH($A893,'CONTROLE PRODUÇÃO POR EMPRESAS'!$A$6:$A$5000,0),MOD(ROW()-2,6)+1)="","",IFERROR(1*INDEX('CONTROLE PRODUÇÃO POR EMPRESAS'!$B$6:$G$5000,MATCH($A893,'CONTROLE PRODUÇÃO POR EMPRESAS'!$A$6:$A$5000,0),MOD(ROW()-2,6)+1),"")),"")</f>
        <v/>
      </c>
      <c r="I893" s="159">
        <f>IF(OR(NOT(ISNUMBER(G893)),NOT(ISNUMBER(H893))),"",H893-G893)</f>
        <v/>
      </c>
      <c r="J893" s="319">
        <f>IF(OR(NOT(ISNUMBER(G893)),NOT(ISNUMBER(H893)),G893=0),"",I893/G893)</f>
        <v/>
      </c>
      <c r="K893" s="319">
        <f>IF(OR(NOT(ISNUMBER(G893)),NOT(ISNUMBER(H893)),G893=0),"",H893/G893)</f>
        <v/>
      </c>
      <c r="L893">
        <f>IF(NOT(ISNUMBER(G893)),"SEM META",IF(G893=0,"SEM META",IF(NOT(ISNUMBER(H893)),"SEM APONTAMENTO",IF(H893&gt;=G893,"VERDE",IF(H893&gt;=G893*0.9,"AMARELO","VERMELHO")))))</f>
        <v/>
      </c>
      <c r="M893" s="162" t="n"/>
      <c r="N893" s="162" t="n"/>
      <c r="O893" s="162" t="n"/>
      <c r="P893" s="162" t="n"/>
      <c r="Q893" s="320" t="n"/>
      <c r="R893" s="162" t="inlineStr">
        <is>
          <t>CONTROLE PRODUÇÃO POR EMPRESAS!E154</t>
        </is>
      </c>
    </row>
    <row r="894" ht="28.5" customHeight="1">
      <c r="A894" s="317" t="n">
        <v>46371</v>
      </c>
      <c r="B894" t="inlineStr">
        <is>
          <t>GERAL</t>
        </is>
      </c>
      <c r="C894" t="inlineStr">
        <is>
          <t>CMM</t>
        </is>
      </c>
      <c r="D894" t="inlineStr">
        <is>
          <t>IÇAMENTO JOIST</t>
        </is>
      </c>
      <c r="F894" s="159">
        <f>IFERROR(INDEX('BASE METAS DIÁRIAS'!$N$2:$S$358,MATCH($A894,'BASE METAS DIÁRIAS'!$A$2:$A$358,0),MOD(ROW()-2,6)+1),"")</f>
        <v/>
      </c>
      <c r="G894" s="159">
        <f>IFERROR(IF(WEEKDAY($A894,2)&lt;=INDEX('BASE METAS DIÁRIAS'!$H$2:$M$358,MATCH($A894,'BASE METAS DIÁRIAS'!$A$2:$A$358,0),MOD(ROW()-2,6)+1),INDEX('BASE METAS DIÁRIAS'!$B$2:$G$358,MATCH($A894,'BASE METAS DIÁRIAS'!$A$2:$A$358,0),MOD(ROW()-2,6)+1),""),"")</f>
        <v/>
      </c>
      <c r="H894" s="159">
        <f>IFERROR(IF(INDEX('CONTROLE PRODUÇÃO POR EMPRESAS'!$B$6:$G$5000,MATCH($A894,'CONTROLE PRODUÇÃO POR EMPRESAS'!$A$6:$A$5000,0),MOD(ROW()-2,6)+1)="","",IFERROR(1*INDEX('CONTROLE PRODUÇÃO POR EMPRESAS'!$B$6:$G$5000,MATCH($A894,'CONTROLE PRODUÇÃO POR EMPRESAS'!$A$6:$A$5000,0),MOD(ROW()-2,6)+1),"")),"")</f>
        <v/>
      </c>
      <c r="I894" s="159">
        <f>IF(OR(NOT(ISNUMBER(G894)),NOT(ISNUMBER(H894))),"",H894-G894)</f>
        <v/>
      </c>
      <c r="J894" s="319">
        <f>IF(OR(NOT(ISNUMBER(G894)),NOT(ISNUMBER(H894)),G894=0),"",I894/G894)</f>
        <v/>
      </c>
      <c r="K894" s="319">
        <f>IF(OR(NOT(ISNUMBER(G894)),NOT(ISNUMBER(H894)),G894=0),"",H894/G894)</f>
        <v/>
      </c>
      <c r="L894">
        <f>IF(NOT(ISNUMBER(G894)),"SEM META",IF(G894=0,"SEM META",IF(NOT(ISNUMBER(H894)),"SEM APONTAMENTO",IF(H894&gt;=G894,"VERDE",IF(H894&gt;=G894*0.9,"AMARELO","VERMELHO")))))</f>
        <v/>
      </c>
      <c r="M894" s="162" t="n"/>
      <c r="N894" s="162" t="n"/>
      <c r="O894" s="162" t="n"/>
      <c r="P894" s="162" t="n"/>
      <c r="Q894" s="320" t="n"/>
      <c r="R894" s="162" t="inlineStr">
        <is>
          <t>CONTROLE PRODUÇÃO POR EMPRESAS!F154</t>
        </is>
      </c>
    </row>
    <row r="895" ht="28.5" customHeight="1">
      <c r="A895" s="317" t="n">
        <v>46371</v>
      </c>
      <c r="B895" t="inlineStr">
        <is>
          <t>GERAL</t>
        </is>
      </c>
      <c r="C895" t="inlineStr">
        <is>
          <t>CMM</t>
        </is>
      </c>
      <c r="D895" t="inlineStr">
        <is>
          <t>VIGAS</t>
        </is>
      </c>
      <c r="F895" s="159">
        <f>IFERROR(INDEX('BASE METAS DIÁRIAS'!$N$2:$S$358,MATCH($A895,'BASE METAS DIÁRIAS'!$A$2:$A$358,0),MOD(ROW()-2,6)+1),"")</f>
        <v/>
      </c>
      <c r="G895" s="159">
        <f>IFERROR(IF(WEEKDAY($A895,2)&lt;=INDEX('BASE METAS DIÁRIAS'!$H$2:$M$358,MATCH($A895,'BASE METAS DIÁRIAS'!$A$2:$A$358,0),MOD(ROW()-2,6)+1),INDEX('BASE METAS DIÁRIAS'!$B$2:$G$358,MATCH($A895,'BASE METAS DIÁRIAS'!$A$2:$A$358,0),MOD(ROW()-2,6)+1),""),"")</f>
        <v/>
      </c>
      <c r="H895" s="159">
        <f>IFERROR(IF(INDEX('CONTROLE PRODUÇÃO POR EMPRESAS'!$B$6:$G$5000,MATCH($A895,'CONTROLE PRODUÇÃO POR EMPRESAS'!$A$6:$A$5000,0),MOD(ROW()-2,6)+1)="","",IFERROR(1*INDEX('CONTROLE PRODUÇÃO POR EMPRESAS'!$B$6:$G$5000,MATCH($A895,'CONTROLE PRODUÇÃO POR EMPRESAS'!$A$6:$A$5000,0),MOD(ROW()-2,6)+1),"")),"")</f>
        <v/>
      </c>
      <c r="I895" s="159">
        <f>IF(OR(NOT(ISNUMBER(G895)),NOT(ISNUMBER(H895))),"",H895-G895)</f>
        <v/>
      </c>
      <c r="J895" s="319">
        <f>IF(OR(NOT(ISNUMBER(G895)),NOT(ISNUMBER(H895)),G895=0),"",I895/G895)</f>
        <v/>
      </c>
      <c r="K895" s="319">
        <f>IF(OR(NOT(ISNUMBER(G895)),NOT(ISNUMBER(H895)),G895=0),"",H895/G895)</f>
        <v/>
      </c>
      <c r="L895">
        <f>IF(NOT(ISNUMBER(G895)),"SEM META",IF(G895=0,"SEM META",IF(NOT(ISNUMBER(H895)),"SEM APONTAMENTO",IF(H895&gt;=G895,"VERDE",IF(H895&gt;=G895*0.9,"AMARELO","VERMELHO")))))</f>
        <v/>
      </c>
      <c r="M895" s="162" t="n"/>
      <c r="N895" s="162" t="n"/>
      <c r="O895" s="162" t="n"/>
      <c r="P895" s="162" t="n"/>
      <c r="Q895" s="320" t="n"/>
      <c r="R895" s="162" t="inlineStr">
        <is>
          <t>CONTROLE PRODUÇÃO POR EMPRESAS!G154</t>
        </is>
      </c>
    </row>
    <row r="896" ht="28.5" customHeight="1">
      <c r="A896" s="317" t="n">
        <v>46372</v>
      </c>
      <c r="B896" t="inlineStr">
        <is>
          <t>GERAL</t>
        </is>
      </c>
      <c r="C896" t="inlineStr">
        <is>
          <t>EJ</t>
        </is>
      </c>
      <c r="D896" t="inlineStr">
        <is>
          <t>PREMONTAGEM</t>
        </is>
      </c>
      <c r="F896" s="159">
        <f>IFERROR(INDEX('BASE METAS DIÁRIAS'!$N$2:$S$358,MATCH($A896,'BASE METAS DIÁRIAS'!$A$2:$A$358,0),MOD(ROW()-2,6)+1),"")</f>
        <v/>
      </c>
      <c r="G896" s="159">
        <f>IFERROR(IF(WEEKDAY($A896,2)&lt;=INDEX('BASE METAS DIÁRIAS'!$H$2:$M$358,MATCH($A896,'BASE METAS DIÁRIAS'!$A$2:$A$358,0),MOD(ROW()-2,6)+1),INDEX('BASE METAS DIÁRIAS'!$B$2:$G$358,MATCH($A896,'BASE METAS DIÁRIAS'!$A$2:$A$358,0),MOD(ROW()-2,6)+1),""),"")</f>
        <v/>
      </c>
      <c r="H896" s="159">
        <f>IFERROR(IF(INDEX('CONTROLE PRODUÇÃO POR EMPRESAS'!$B$6:$G$5000,MATCH($A896,'CONTROLE PRODUÇÃO POR EMPRESAS'!$A$6:$A$5000,0),MOD(ROW()-2,6)+1)="","",IFERROR(1*INDEX('CONTROLE PRODUÇÃO POR EMPRESAS'!$B$6:$G$5000,MATCH($A896,'CONTROLE PRODUÇÃO POR EMPRESAS'!$A$6:$A$5000,0),MOD(ROW()-2,6)+1),"")),"")</f>
        <v/>
      </c>
      <c r="I896" s="159">
        <f>IF(OR(NOT(ISNUMBER(G896)),NOT(ISNUMBER(H896))),"",H896-G896)</f>
        <v/>
      </c>
      <c r="J896" s="319">
        <f>IF(OR(NOT(ISNUMBER(G896)),NOT(ISNUMBER(H896)),G896=0),"",I896/G896)</f>
        <v/>
      </c>
      <c r="K896" s="319">
        <f>IF(OR(NOT(ISNUMBER(G896)),NOT(ISNUMBER(H896)),G896=0),"",H896/G896)</f>
        <v/>
      </c>
      <c r="L896">
        <f>IF(NOT(ISNUMBER(G896)),"SEM META",IF(G896=0,"SEM META",IF(NOT(ISNUMBER(H896)),"SEM APONTAMENTO",IF(H896&gt;=G896,"VERDE",IF(H896&gt;=G896*0.9,"AMARELO","VERMELHO")))))</f>
        <v/>
      </c>
      <c r="M896" s="162" t="n"/>
      <c r="N896" s="162" t="n"/>
      <c r="O896" s="162" t="n"/>
      <c r="P896" s="162" t="n"/>
      <c r="Q896" s="320" t="n"/>
      <c r="R896" s="162" t="inlineStr">
        <is>
          <t>CONTROLE PRODUÇÃO POR EMPRESAS!B155</t>
        </is>
      </c>
    </row>
    <row r="897" ht="28.5" customHeight="1">
      <c r="A897" s="317" t="n">
        <v>46372</v>
      </c>
      <c r="B897" t="inlineStr">
        <is>
          <t>GERAL</t>
        </is>
      </c>
      <c r="C897" t="inlineStr">
        <is>
          <t>EJ</t>
        </is>
      </c>
      <c r="D897" t="inlineStr">
        <is>
          <t>IÇAMENTO JOIST</t>
        </is>
      </c>
      <c r="F897" s="159">
        <f>IFERROR(INDEX('BASE METAS DIÁRIAS'!$N$2:$S$358,MATCH($A897,'BASE METAS DIÁRIAS'!$A$2:$A$358,0),MOD(ROW()-2,6)+1),"")</f>
        <v/>
      </c>
      <c r="G897" s="159">
        <f>IFERROR(IF(WEEKDAY($A897,2)&lt;=INDEX('BASE METAS DIÁRIAS'!$H$2:$M$358,MATCH($A897,'BASE METAS DIÁRIAS'!$A$2:$A$358,0),MOD(ROW()-2,6)+1),INDEX('BASE METAS DIÁRIAS'!$B$2:$G$358,MATCH($A897,'BASE METAS DIÁRIAS'!$A$2:$A$358,0),MOD(ROW()-2,6)+1),""),"")</f>
        <v/>
      </c>
      <c r="H897" s="159">
        <f>IFERROR(IF(INDEX('CONTROLE PRODUÇÃO POR EMPRESAS'!$B$6:$G$5000,MATCH($A897,'CONTROLE PRODUÇÃO POR EMPRESAS'!$A$6:$A$5000,0),MOD(ROW()-2,6)+1)="","",IFERROR(1*INDEX('CONTROLE PRODUÇÃO POR EMPRESAS'!$B$6:$G$5000,MATCH($A897,'CONTROLE PRODUÇÃO POR EMPRESAS'!$A$6:$A$5000,0),MOD(ROW()-2,6)+1),"")),"")</f>
        <v/>
      </c>
      <c r="I897" s="159">
        <f>IF(OR(NOT(ISNUMBER(G897)),NOT(ISNUMBER(H897))),"",H897-G897)</f>
        <v/>
      </c>
      <c r="J897" s="319">
        <f>IF(OR(NOT(ISNUMBER(G897)),NOT(ISNUMBER(H897)),G897=0),"",I897/G897)</f>
        <v/>
      </c>
      <c r="K897" s="319">
        <f>IF(OR(NOT(ISNUMBER(G897)),NOT(ISNUMBER(H897)),G897=0),"",H897/G897)</f>
        <v/>
      </c>
      <c r="L897">
        <f>IF(NOT(ISNUMBER(G897)),"SEM META",IF(G897=0,"SEM META",IF(NOT(ISNUMBER(H897)),"SEM APONTAMENTO",IF(H897&gt;=G897,"VERDE",IF(H897&gt;=G897*0.9,"AMARELO","VERMELHO")))))</f>
        <v/>
      </c>
      <c r="M897" s="162" t="n"/>
      <c r="N897" s="162" t="n"/>
      <c r="O897" s="162" t="n"/>
      <c r="P897" s="162" t="n"/>
      <c r="Q897" s="320" t="n"/>
      <c r="R897" s="162" t="inlineStr">
        <is>
          <t>CONTROLE PRODUÇÃO POR EMPRESAS!C155</t>
        </is>
      </c>
    </row>
    <row r="898" ht="28.5" customHeight="1">
      <c r="A898" s="317" t="n">
        <v>46372</v>
      </c>
      <c r="B898" t="inlineStr">
        <is>
          <t>GERAL</t>
        </is>
      </c>
      <c r="C898" t="inlineStr">
        <is>
          <t>EJ</t>
        </is>
      </c>
      <c r="D898" t="inlineStr">
        <is>
          <t>VIGAS</t>
        </is>
      </c>
      <c r="F898" s="159">
        <f>IFERROR(INDEX('BASE METAS DIÁRIAS'!$N$2:$S$358,MATCH($A898,'BASE METAS DIÁRIAS'!$A$2:$A$358,0),MOD(ROW()-2,6)+1),"")</f>
        <v/>
      </c>
      <c r="G898" s="159">
        <f>IFERROR(IF(WEEKDAY($A898,2)&lt;=INDEX('BASE METAS DIÁRIAS'!$H$2:$M$358,MATCH($A898,'BASE METAS DIÁRIAS'!$A$2:$A$358,0),MOD(ROW()-2,6)+1),INDEX('BASE METAS DIÁRIAS'!$B$2:$G$358,MATCH($A898,'BASE METAS DIÁRIAS'!$A$2:$A$358,0),MOD(ROW()-2,6)+1),""),"")</f>
        <v/>
      </c>
      <c r="H898" s="159">
        <f>IFERROR(IF(INDEX('CONTROLE PRODUÇÃO POR EMPRESAS'!$B$6:$G$5000,MATCH($A898,'CONTROLE PRODUÇÃO POR EMPRESAS'!$A$6:$A$5000,0),MOD(ROW()-2,6)+1)="","",IFERROR(1*INDEX('CONTROLE PRODUÇÃO POR EMPRESAS'!$B$6:$G$5000,MATCH($A898,'CONTROLE PRODUÇÃO POR EMPRESAS'!$A$6:$A$5000,0),MOD(ROW()-2,6)+1),"")),"")</f>
        <v/>
      </c>
      <c r="I898" s="159">
        <f>IF(OR(NOT(ISNUMBER(G898)),NOT(ISNUMBER(H898))),"",H898-G898)</f>
        <v/>
      </c>
      <c r="J898" s="319">
        <f>IF(OR(NOT(ISNUMBER(G898)),NOT(ISNUMBER(H898)),G898=0),"",I898/G898)</f>
        <v/>
      </c>
      <c r="K898" s="319">
        <f>IF(OR(NOT(ISNUMBER(G898)),NOT(ISNUMBER(H898)),G898=0),"",H898/G898)</f>
        <v/>
      </c>
      <c r="L898">
        <f>IF(NOT(ISNUMBER(G898)),"SEM META",IF(G898=0,"SEM META",IF(NOT(ISNUMBER(H898)),"SEM APONTAMENTO",IF(H898&gt;=G898,"VERDE",IF(H898&gt;=G898*0.9,"AMARELO","VERMELHO")))))</f>
        <v/>
      </c>
      <c r="M898" s="162" t="n"/>
      <c r="N898" s="162" t="n"/>
      <c r="O898" s="162" t="n"/>
      <c r="P898" s="162" t="n"/>
      <c r="Q898" s="320" t="n"/>
      <c r="R898" s="162" t="inlineStr">
        <is>
          <t>CONTROLE PRODUÇÃO POR EMPRESAS!D155</t>
        </is>
      </c>
    </row>
    <row r="899" ht="28.5" customHeight="1">
      <c r="A899" s="317" t="n">
        <v>46372</v>
      </c>
      <c r="B899" t="inlineStr">
        <is>
          <t>GERAL</t>
        </is>
      </c>
      <c r="C899" t="inlineStr">
        <is>
          <t>CMM</t>
        </is>
      </c>
      <c r="D899" t="inlineStr">
        <is>
          <t>PREMONTAGEM</t>
        </is>
      </c>
      <c r="F899" s="159">
        <f>IFERROR(INDEX('BASE METAS DIÁRIAS'!$N$2:$S$358,MATCH($A899,'BASE METAS DIÁRIAS'!$A$2:$A$358,0),MOD(ROW()-2,6)+1),"")</f>
        <v/>
      </c>
      <c r="G899" s="159">
        <f>IFERROR(IF(WEEKDAY($A899,2)&lt;=INDEX('BASE METAS DIÁRIAS'!$H$2:$M$358,MATCH($A899,'BASE METAS DIÁRIAS'!$A$2:$A$358,0),MOD(ROW()-2,6)+1),INDEX('BASE METAS DIÁRIAS'!$B$2:$G$358,MATCH($A899,'BASE METAS DIÁRIAS'!$A$2:$A$358,0),MOD(ROW()-2,6)+1),""),"")</f>
        <v/>
      </c>
      <c r="H899" s="159">
        <f>IFERROR(IF(INDEX('CONTROLE PRODUÇÃO POR EMPRESAS'!$B$6:$G$5000,MATCH($A899,'CONTROLE PRODUÇÃO POR EMPRESAS'!$A$6:$A$5000,0),MOD(ROW()-2,6)+1)="","",IFERROR(1*INDEX('CONTROLE PRODUÇÃO POR EMPRESAS'!$B$6:$G$5000,MATCH($A899,'CONTROLE PRODUÇÃO POR EMPRESAS'!$A$6:$A$5000,0),MOD(ROW()-2,6)+1),"")),"")</f>
        <v/>
      </c>
      <c r="I899" s="159">
        <f>IF(OR(NOT(ISNUMBER(G899)),NOT(ISNUMBER(H899))),"",H899-G899)</f>
        <v/>
      </c>
      <c r="J899" s="319">
        <f>IF(OR(NOT(ISNUMBER(G899)),NOT(ISNUMBER(H899)),G899=0),"",I899/G899)</f>
        <v/>
      </c>
      <c r="K899" s="319">
        <f>IF(OR(NOT(ISNUMBER(G899)),NOT(ISNUMBER(H899)),G899=0),"",H899/G899)</f>
        <v/>
      </c>
      <c r="L899">
        <f>IF(NOT(ISNUMBER(G899)),"SEM META",IF(G899=0,"SEM META",IF(NOT(ISNUMBER(H899)),"SEM APONTAMENTO",IF(H899&gt;=G899,"VERDE",IF(H899&gt;=G899*0.9,"AMARELO","VERMELHO")))))</f>
        <v/>
      </c>
      <c r="M899" s="162" t="n"/>
      <c r="N899" s="162" t="n"/>
      <c r="O899" s="162" t="n"/>
      <c r="P899" s="162" t="n"/>
      <c r="Q899" s="320" t="n"/>
      <c r="R899" s="162" t="inlineStr">
        <is>
          <t>CONTROLE PRODUÇÃO POR EMPRESAS!E155</t>
        </is>
      </c>
    </row>
    <row r="900" ht="28.5" customHeight="1">
      <c r="A900" s="317" t="n">
        <v>46372</v>
      </c>
      <c r="B900" t="inlineStr">
        <is>
          <t>GERAL</t>
        </is>
      </c>
      <c r="C900" t="inlineStr">
        <is>
          <t>CMM</t>
        </is>
      </c>
      <c r="D900" t="inlineStr">
        <is>
          <t>IÇAMENTO JOIST</t>
        </is>
      </c>
      <c r="F900" s="159">
        <f>IFERROR(INDEX('BASE METAS DIÁRIAS'!$N$2:$S$358,MATCH($A900,'BASE METAS DIÁRIAS'!$A$2:$A$358,0),MOD(ROW()-2,6)+1),"")</f>
        <v/>
      </c>
      <c r="G900" s="159">
        <f>IFERROR(IF(WEEKDAY($A900,2)&lt;=INDEX('BASE METAS DIÁRIAS'!$H$2:$M$358,MATCH($A900,'BASE METAS DIÁRIAS'!$A$2:$A$358,0),MOD(ROW()-2,6)+1),INDEX('BASE METAS DIÁRIAS'!$B$2:$G$358,MATCH($A900,'BASE METAS DIÁRIAS'!$A$2:$A$358,0),MOD(ROW()-2,6)+1),""),"")</f>
        <v/>
      </c>
      <c r="H900" s="159">
        <f>IFERROR(IF(INDEX('CONTROLE PRODUÇÃO POR EMPRESAS'!$B$6:$G$5000,MATCH($A900,'CONTROLE PRODUÇÃO POR EMPRESAS'!$A$6:$A$5000,0),MOD(ROW()-2,6)+1)="","",IFERROR(1*INDEX('CONTROLE PRODUÇÃO POR EMPRESAS'!$B$6:$G$5000,MATCH($A900,'CONTROLE PRODUÇÃO POR EMPRESAS'!$A$6:$A$5000,0),MOD(ROW()-2,6)+1),"")),"")</f>
        <v/>
      </c>
      <c r="I900" s="159">
        <f>IF(OR(NOT(ISNUMBER(G900)),NOT(ISNUMBER(H900))),"",H900-G900)</f>
        <v/>
      </c>
      <c r="J900" s="319">
        <f>IF(OR(NOT(ISNUMBER(G900)),NOT(ISNUMBER(H900)),G900=0),"",I900/G900)</f>
        <v/>
      </c>
      <c r="K900" s="319">
        <f>IF(OR(NOT(ISNUMBER(G900)),NOT(ISNUMBER(H900)),G900=0),"",H900/G900)</f>
        <v/>
      </c>
      <c r="L900">
        <f>IF(NOT(ISNUMBER(G900)),"SEM META",IF(G900=0,"SEM META",IF(NOT(ISNUMBER(H900)),"SEM APONTAMENTO",IF(H900&gt;=G900,"VERDE",IF(H900&gt;=G900*0.9,"AMARELO","VERMELHO")))))</f>
        <v/>
      </c>
      <c r="M900" s="162" t="n"/>
      <c r="N900" s="162" t="n"/>
      <c r="O900" s="162" t="n"/>
      <c r="P900" s="162" t="n"/>
      <c r="Q900" s="320" t="n"/>
      <c r="R900" s="162" t="inlineStr">
        <is>
          <t>CONTROLE PRODUÇÃO POR EMPRESAS!F155</t>
        </is>
      </c>
    </row>
    <row r="901" ht="28.5" customHeight="1">
      <c r="A901" s="317" t="n">
        <v>46372</v>
      </c>
      <c r="B901" t="inlineStr">
        <is>
          <t>GERAL</t>
        </is>
      </c>
      <c r="C901" t="inlineStr">
        <is>
          <t>CMM</t>
        </is>
      </c>
      <c r="D901" t="inlineStr">
        <is>
          <t>VIGAS</t>
        </is>
      </c>
      <c r="F901" s="159">
        <f>IFERROR(INDEX('BASE METAS DIÁRIAS'!$N$2:$S$358,MATCH($A901,'BASE METAS DIÁRIAS'!$A$2:$A$358,0),MOD(ROW()-2,6)+1),"")</f>
        <v/>
      </c>
      <c r="G901" s="159">
        <f>IFERROR(IF(WEEKDAY($A901,2)&lt;=INDEX('BASE METAS DIÁRIAS'!$H$2:$M$358,MATCH($A901,'BASE METAS DIÁRIAS'!$A$2:$A$358,0),MOD(ROW()-2,6)+1),INDEX('BASE METAS DIÁRIAS'!$B$2:$G$358,MATCH($A901,'BASE METAS DIÁRIAS'!$A$2:$A$358,0),MOD(ROW()-2,6)+1),""),"")</f>
        <v/>
      </c>
      <c r="H901" s="159">
        <f>IFERROR(IF(INDEX('CONTROLE PRODUÇÃO POR EMPRESAS'!$B$6:$G$5000,MATCH($A901,'CONTROLE PRODUÇÃO POR EMPRESAS'!$A$6:$A$5000,0),MOD(ROW()-2,6)+1)="","",IFERROR(1*INDEX('CONTROLE PRODUÇÃO POR EMPRESAS'!$B$6:$G$5000,MATCH($A901,'CONTROLE PRODUÇÃO POR EMPRESAS'!$A$6:$A$5000,0),MOD(ROW()-2,6)+1),"")),"")</f>
        <v/>
      </c>
      <c r="I901" s="159">
        <f>IF(OR(NOT(ISNUMBER(G901)),NOT(ISNUMBER(H901))),"",H901-G901)</f>
        <v/>
      </c>
      <c r="J901" s="319">
        <f>IF(OR(NOT(ISNUMBER(G901)),NOT(ISNUMBER(H901)),G901=0),"",I901/G901)</f>
        <v/>
      </c>
      <c r="K901" s="319">
        <f>IF(OR(NOT(ISNUMBER(G901)),NOT(ISNUMBER(H901)),G901=0),"",H901/G901)</f>
        <v/>
      </c>
      <c r="L901">
        <f>IF(NOT(ISNUMBER(G901)),"SEM META",IF(G901=0,"SEM META",IF(NOT(ISNUMBER(H901)),"SEM APONTAMENTO",IF(H901&gt;=G901,"VERDE",IF(H901&gt;=G901*0.9,"AMARELO","VERMELHO")))))</f>
        <v/>
      </c>
      <c r="M901" s="162" t="n"/>
      <c r="N901" s="162" t="n"/>
      <c r="O901" s="162" t="n"/>
      <c r="P901" s="162" t="n"/>
      <c r="Q901" s="320" t="n"/>
      <c r="R901" s="162" t="inlineStr">
        <is>
          <t>CONTROLE PRODUÇÃO POR EMPRESAS!G155</t>
        </is>
      </c>
    </row>
    <row r="902" ht="28.5" customHeight="1">
      <c r="A902" s="317" t="n">
        <v>46373</v>
      </c>
      <c r="B902" t="inlineStr">
        <is>
          <t>GERAL</t>
        </is>
      </c>
      <c r="C902" t="inlineStr">
        <is>
          <t>EJ</t>
        </is>
      </c>
      <c r="D902" t="inlineStr">
        <is>
          <t>PREMONTAGEM</t>
        </is>
      </c>
      <c r="F902" s="159">
        <f>IFERROR(INDEX('BASE METAS DIÁRIAS'!$N$2:$S$358,MATCH($A902,'BASE METAS DIÁRIAS'!$A$2:$A$358,0),MOD(ROW()-2,6)+1),"")</f>
        <v/>
      </c>
      <c r="G902" s="159">
        <f>IFERROR(IF(WEEKDAY($A902,2)&lt;=INDEX('BASE METAS DIÁRIAS'!$H$2:$M$358,MATCH($A902,'BASE METAS DIÁRIAS'!$A$2:$A$358,0),MOD(ROW()-2,6)+1),INDEX('BASE METAS DIÁRIAS'!$B$2:$G$358,MATCH($A902,'BASE METAS DIÁRIAS'!$A$2:$A$358,0),MOD(ROW()-2,6)+1),""),"")</f>
        <v/>
      </c>
      <c r="H902" s="159">
        <f>IFERROR(IF(INDEX('CONTROLE PRODUÇÃO POR EMPRESAS'!$B$6:$G$5000,MATCH($A902,'CONTROLE PRODUÇÃO POR EMPRESAS'!$A$6:$A$5000,0),MOD(ROW()-2,6)+1)="","",IFERROR(1*INDEX('CONTROLE PRODUÇÃO POR EMPRESAS'!$B$6:$G$5000,MATCH($A902,'CONTROLE PRODUÇÃO POR EMPRESAS'!$A$6:$A$5000,0),MOD(ROW()-2,6)+1),"")),"")</f>
        <v/>
      </c>
      <c r="I902" s="159">
        <f>IF(OR(NOT(ISNUMBER(G902)),NOT(ISNUMBER(H902))),"",H902-G902)</f>
        <v/>
      </c>
      <c r="J902" s="319">
        <f>IF(OR(NOT(ISNUMBER(G902)),NOT(ISNUMBER(H902)),G902=0),"",I902/G902)</f>
        <v/>
      </c>
      <c r="K902" s="319">
        <f>IF(OR(NOT(ISNUMBER(G902)),NOT(ISNUMBER(H902)),G902=0),"",H902/G902)</f>
        <v/>
      </c>
      <c r="L902">
        <f>IF(NOT(ISNUMBER(G902)),"SEM META",IF(G902=0,"SEM META",IF(NOT(ISNUMBER(H902)),"SEM APONTAMENTO",IF(H902&gt;=G902,"VERDE",IF(H902&gt;=G902*0.9,"AMARELO","VERMELHO")))))</f>
        <v/>
      </c>
      <c r="M902" s="162" t="n"/>
      <c r="N902" s="162" t="n"/>
      <c r="O902" s="162" t="n"/>
      <c r="P902" s="162" t="n"/>
      <c r="Q902" s="320" t="n"/>
      <c r="R902" s="162" t="inlineStr">
        <is>
          <t>CONTROLE PRODUÇÃO POR EMPRESAS!B156</t>
        </is>
      </c>
    </row>
    <row r="903" ht="28.5" customHeight="1">
      <c r="A903" s="317" t="n">
        <v>46373</v>
      </c>
      <c r="B903" t="inlineStr">
        <is>
          <t>GERAL</t>
        </is>
      </c>
      <c r="C903" t="inlineStr">
        <is>
          <t>EJ</t>
        </is>
      </c>
      <c r="D903" t="inlineStr">
        <is>
          <t>IÇAMENTO JOIST</t>
        </is>
      </c>
      <c r="F903" s="159">
        <f>IFERROR(INDEX('BASE METAS DIÁRIAS'!$N$2:$S$358,MATCH($A903,'BASE METAS DIÁRIAS'!$A$2:$A$358,0),MOD(ROW()-2,6)+1),"")</f>
        <v/>
      </c>
      <c r="G903" s="159">
        <f>IFERROR(IF(WEEKDAY($A903,2)&lt;=INDEX('BASE METAS DIÁRIAS'!$H$2:$M$358,MATCH($A903,'BASE METAS DIÁRIAS'!$A$2:$A$358,0),MOD(ROW()-2,6)+1),INDEX('BASE METAS DIÁRIAS'!$B$2:$G$358,MATCH($A903,'BASE METAS DIÁRIAS'!$A$2:$A$358,0),MOD(ROW()-2,6)+1),""),"")</f>
        <v/>
      </c>
      <c r="H903" s="159">
        <f>IFERROR(IF(INDEX('CONTROLE PRODUÇÃO POR EMPRESAS'!$B$6:$G$5000,MATCH($A903,'CONTROLE PRODUÇÃO POR EMPRESAS'!$A$6:$A$5000,0),MOD(ROW()-2,6)+1)="","",IFERROR(1*INDEX('CONTROLE PRODUÇÃO POR EMPRESAS'!$B$6:$G$5000,MATCH($A903,'CONTROLE PRODUÇÃO POR EMPRESAS'!$A$6:$A$5000,0),MOD(ROW()-2,6)+1),"")),"")</f>
        <v/>
      </c>
      <c r="I903" s="159">
        <f>IF(OR(NOT(ISNUMBER(G903)),NOT(ISNUMBER(H903))),"",H903-G903)</f>
        <v/>
      </c>
      <c r="J903" s="319">
        <f>IF(OR(NOT(ISNUMBER(G903)),NOT(ISNUMBER(H903)),G903=0),"",I903/G903)</f>
        <v/>
      </c>
      <c r="K903" s="319">
        <f>IF(OR(NOT(ISNUMBER(G903)),NOT(ISNUMBER(H903)),G903=0),"",H903/G903)</f>
        <v/>
      </c>
      <c r="L903">
        <f>IF(NOT(ISNUMBER(G903)),"SEM META",IF(G903=0,"SEM META",IF(NOT(ISNUMBER(H903)),"SEM APONTAMENTO",IF(H903&gt;=G903,"VERDE",IF(H903&gt;=G903*0.9,"AMARELO","VERMELHO")))))</f>
        <v/>
      </c>
      <c r="M903" s="162" t="n"/>
      <c r="N903" s="162" t="n"/>
      <c r="O903" s="162" t="n"/>
      <c r="P903" s="162" t="n"/>
      <c r="Q903" s="320" t="n"/>
      <c r="R903" s="162" t="inlineStr">
        <is>
          <t>CONTROLE PRODUÇÃO POR EMPRESAS!C156</t>
        </is>
      </c>
    </row>
    <row r="904" ht="28.5" customHeight="1">
      <c r="A904" s="317" t="n">
        <v>46373</v>
      </c>
      <c r="B904" t="inlineStr">
        <is>
          <t>GERAL</t>
        </is>
      </c>
      <c r="C904" t="inlineStr">
        <is>
          <t>EJ</t>
        </is>
      </c>
      <c r="D904" t="inlineStr">
        <is>
          <t>VIGAS</t>
        </is>
      </c>
      <c r="F904" s="159">
        <f>IFERROR(INDEX('BASE METAS DIÁRIAS'!$N$2:$S$358,MATCH($A904,'BASE METAS DIÁRIAS'!$A$2:$A$358,0),MOD(ROW()-2,6)+1),"")</f>
        <v/>
      </c>
      <c r="G904" s="159">
        <f>IFERROR(IF(WEEKDAY($A904,2)&lt;=INDEX('BASE METAS DIÁRIAS'!$H$2:$M$358,MATCH($A904,'BASE METAS DIÁRIAS'!$A$2:$A$358,0),MOD(ROW()-2,6)+1),INDEX('BASE METAS DIÁRIAS'!$B$2:$G$358,MATCH($A904,'BASE METAS DIÁRIAS'!$A$2:$A$358,0),MOD(ROW()-2,6)+1),""),"")</f>
        <v/>
      </c>
      <c r="H904" s="159">
        <f>IFERROR(IF(INDEX('CONTROLE PRODUÇÃO POR EMPRESAS'!$B$6:$G$5000,MATCH($A904,'CONTROLE PRODUÇÃO POR EMPRESAS'!$A$6:$A$5000,0),MOD(ROW()-2,6)+1)="","",IFERROR(1*INDEX('CONTROLE PRODUÇÃO POR EMPRESAS'!$B$6:$G$5000,MATCH($A904,'CONTROLE PRODUÇÃO POR EMPRESAS'!$A$6:$A$5000,0),MOD(ROW()-2,6)+1),"")),"")</f>
        <v/>
      </c>
      <c r="I904" s="159">
        <f>IF(OR(NOT(ISNUMBER(G904)),NOT(ISNUMBER(H904))),"",H904-G904)</f>
        <v/>
      </c>
      <c r="J904" s="319">
        <f>IF(OR(NOT(ISNUMBER(G904)),NOT(ISNUMBER(H904)),G904=0),"",I904/G904)</f>
        <v/>
      </c>
      <c r="K904" s="319">
        <f>IF(OR(NOT(ISNUMBER(G904)),NOT(ISNUMBER(H904)),G904=0),"",H904/G904)</f>
        <v/>
      </c>
      <c r="L904">
        <f>IF(NOT(ISNUMBER(G904)),"SEM META",IF(G904=0,"SEM META",IF(NOT(ISNUMBER(H904)),"SEM APONTAMENTO",IF(H904&gt;=G904,"VERDE",IF(H904&gt;=G904*0.9,"AMARELO","VERMELHO")))))</f>
        <v/>
      </c>
      <c r="M904" s="162" t="n"/>
      <c r="N904" s="162" t="n"/>
      <c r="O904" s="162" t="n"/>
      <c r="P904" s="162" t="n"/>
      <c r="Q904" s="320" t="n"/>
      <c r="R904" s="162" t="inlineStr">
        <is>
          <t>CONTROLE PRODUÇÃO POR EMPRESAS!D156</t>
        </is>
      </c>
    </row>
    <row r="905" ht="28.5" customHeight="1">
      <c r="A905" s="317" t="n">
        <v>46373</v>
      </c>
      <c r="B905" t="inlineStr">
        <is>
          <t>GERAL</t>
        </is>
      </c>
      <c r="C905" t="inlineStr">
        <is>
          <t>CMM</t>
        </is>
      </c>
      <c r="D905" t="inlineStr">
        <is>
          <t>PREMONTAGEM</t>
        </is>
      </c>
      <c r="F905" s="159">
        <f>IFERROR(INDEX('BASE METAS DIÁRIAS'!$N$2:$S$358,MATCH($A905,'BASE METAS DIÁRIAS'!$A$2:$A$358,0),MOD(ROW()-2,6)+1),"")</f>
        <v/>
      </c>
      <c r="G905" s="159">
        <f>IFERROR(IF(WEEKDAY($A905,2)&lt;=INDEX('BASE METAS DIÁRIAS'!$H$2:$M$358,MATCH($A905,'BASE METAS DIÁRIAS'!$A$2:$A$358,0),MOD(ROW()-2,6)+1),INDEX('BASE METAS DIÁRIAS'!$B$2:$G$358,MATCH($A905,'BASE METAS DIÁRIAS'!$A$2:$A$358,0),MOD(ROW()-2,6)+1),""),"")</f>
        <v/>
      </c>
      <c r="H905" s="159">
        <f>IFERROR(IF(INDEX('CONTROLE PRODUÇÃO POR EMPRESAS'!$B$6:$G$5000,MATCH($A905,'CONTROLE PRODUÇÃO POR EMPRESAS'!$A$6:$A$5000,0),MOD(ROW()-2,6)+1)="","",IFERROR(1*INDEX('CONTROLE PRODUÇÃO POR EMPRESAS'!$B$6:$G$5000,MATCH($A905,'CONTROLE PRODUÇÃO POR EMPRESAS'!$A$6:$A$5000,0),MOD(ROW()-2,6)+1),"")),"")</f>
        <v/>
      </c>
      <c r="I905" s="159">
        <f>IF(OR(NOT(ISNUMBER(G905)),NOT(ISNUMBER(H905))),"",H905-G905)</f>
        <v/>
      </c>
      <c r="J905" s="319">
        <f>IF(OR(NOT(ISNUMBER(G905)),NOT(ISNUMBER(H905)),G905=0),"",I905/G905)</f>
        <v/>
      </c>
      <c r="K905" s="319">
        <f>IF(OR(NOT(ISNUMBER(G905)),NOT(ISNUMBER(H905)),G905=0),"",H905/G905)</f>
        <v/>
      </c>
      <c r="L905">
        <f>IF(NOT(ISNUMBER(G905)),"SEM META",IF(G905=0,"SEM META",IF(NOT(ISNUMBER(H905)),"SEM APONTAMENTO",IF(H905&gt;=G905,"VERDE",IF(H905&gt;=G905*0.9,"AMARELO","VERMELHO")))))</f>
        <v/>
      </c>
      <c r="M905" s="162" t="n"/>
      <c r="N905" s="162" t="n"/>
      <c r="O905" s="162" t="n"/>
      <c r="P905" s="162" t="n"/>
      <c r="Q905" s="320" t="n"/>
      <c r="R905" s="162" t="inlineStr">
        <is>
          <t>CONTROLE PRODUÇÃO POR EMPRESAS!E156</t>
        </is>
      </c>
    </row>
    <row r="906" ht="28.5" customHeight="1">
      <c r="A906" s="317" t="n">
        <v>46373</v>
      </c>
      <c r="B906" t="inlineStr">
        <is>
          <t>GERAL</t>
        </is>
      </c>
      <c r="C906" t="inlineStr">
        <is>
          <t>CMM</t>
        </is>
      </c>
      <c r="D906" t="inlineStr">
        <is>
          <t>IÇAMENTO JOIST</t>
        </is>
      </c>
      <c r="F906" s="159">
        <f>IFERROR(INDEX('BASE METAS DIÁRIAS'!$N$2:$S$358,MATCH($A906,'BASE METAS DIÁRIAS'!$A$2:$A$358,0),MOD(ROW()-2,6)+1),"")</f>
        <v/>
      </c>
      <c r="G906" s="159">
        <f>IFERROR(IF(WEEKDAY($A906,2)&lt;=INDEX('BASE METAS DIÁRIAS'!$H$2:$M$358,MATCH($A906,'BASE METAS DIÁRIAS'!$A$2:$A$358,0),MOD(ROW()-2,6)+1),INDEX('BASE METAS DIÁRIAS'!$B$2:$G$358,MATCH($A906,'BASE METAS DIÁRIAS'!$A$2:$A$358,0),MOD(ROW()-2,6)+1),""),"")</f>
        <v/>
      </c>
      <c r="H906" s="159">
        <f>IFERROR(IF(INDEX('CONTROLE PRODUÇÃO POR EMPRESAS'!$B$6:$G$5000,MATCH($A906,'CONTROLE PRODUÇÃO POR EMPRESAS'!$A$6:$A$5000,0),MOD(ROW()-2,6)+1)="","",IFERROR(1*INDEX('CONTROLE PRODUÇÃO POR EMPRESAS'!$B$6:$G$5000,MATCH($A906,'CONTROLE PRODUÇÃO POR EMPRESAS'!$A$6:$A$5000,0),MOD(ROW()-2,6)+1),"")),"")</f>
        <v/>
      </c>
      <c r="I906" s="159">
        <f>IF(OR(NOT(ISNUMBER(G906)),NOT(ISNUMBER(H906))),"",H906-G906)</f>
        <v/>
      </c>
      <c r="J906" s="319">
        <f>IF(OR(NOT(ISNUMBER(G906)),NOT(ISNUMBER(H906)),G906=0),"",I906/G906)</f>
        <v/>
      </c>
      <c r="K906" s="319">
        <f>IF(OR(NOT(ISNUMBER(G906)),NOT(ISNUMBER(H906)),G906=0),"",H906/G906)</f>
        <v/>
      </c>
      <c r="L906">
        <f>IF(NOT(ISNUMBER(G906)),"SEM META",IF(G906=0,"SEM META",IF(NOT(ISNUMBER(H906)),"SEM APONTAMENTO",IF(H906&gt;=G906,"VERDE",IF(H906&gt;=G906*0.9,"AMARELO","VERMELHO")))))</f>
        <v/>
      </c>
      <c r="M906" s="162" t="n"/>
      <c r="N906" s="162" t="n"/>
      <c r="O906" s="162" t="n"/>
      <c r="P906" s="162" t="n"/>
      <c r="Q906" s="320" t="n"/>
      <c r="R906" s="162" t="inlineStr">
        <is>
          <t>CONTROLE PRODUÇÃO POR EMPRESAS!F156</t>
        </is>
      </c>
    </row>
    <row r="907" ht="28.5" customHeight="1">
      <c r="A907" s="317" t="n">
        <v>46373</v>
      </c>
      <c r="B907" t="inlineStr">
        <is>
          <t>GERAL</t>
        </is>
      </c>
      <c r="C907" t="inlineStr">
        <is>
          <t>CMM</t>
        </is>
      </c>
      <c r="D907" t="inlineStr">
        <is>
          <t>VIGAS</t>
        </is>
      </c>
      <c r="F907" s="159">
        <f>IFERROR(INDEX('BASE METAS DIÁRIAS'!$N$2:$S$358,MATCH($A907,'BASE METAS DIÁRIAS'!$A$2:$A$358,0),MOD(ROW()-2,6)+1),"")</f>
        <v/>
      </c>
      <c r="G907" s="159">
        <f>IFERROR(IF(WEEKDAY($A907,2)&lt;=INDEX('BASE METAS DIÁRIAS'!$H$2:$M$358,MATCH($A907,'BASE METAS DIÁRIAS'!$A$2:$A$358,0),MOD(ROW()-2,6)+1),INDEX('BASE METAS DIÁRIAS'!$B$2:$G$358,MATCH($A907,'BASE METAS DIÁRIAS'!$A$2:$A$358,0),MOD(ROW()-2,6)+1),""),"")</f>
        <v/>
      </c>
      <c r="H907" s="159">
        <f>IFERROR(IF(INDEX('CONTROLE PRODUÇÃO POR EMPRESAS'!$B$6:$G$5000,MATCH($A907,'CONTROLE PRODUÇÃO POR EMPRESAS'!$A$6:$A$5000,0),MOD(ROW()-2,6)+1)="","",IFERROR(1*INDEX('CONTROLE PRODUÇÃO POR EMPRESAS'!$B$6:$G$5000,MATCH($A907,'CONTROLE PRODUÇÃO POR EMPRESAS'!$A$6:$A$5000,0),MOD(ROW()-2,6)+1),"")),"")</f>
        <v/>
      </c>
      <c r="I907" s="159">
        <f>IF(OR(NOT(ISNUMBER(G907)),NOT(ISNUMBER(H907))),"",H907-G907)</f>
        <v/>
      </c>
      <c r="J907" s="319">
        <f>IF(OR(NOT(ISNUMBER(G907)),NOT(ISNUMBER(H907)),G907=0),"",I907/G907)</f>
        <v/>
      </c>
      <c r="K907" s="319">
        <f>IF(OR(NOT(ISNUMBER(G907)),NOT(ISNUMBER(H907)),G907=0),"",H907/G907)</f>
        <v/>
      </c>
      <c r="L907">
        <f>IF(NOT(ISNUMBER(G907)),"SEM META",IF(G907=0,"SEM META",IF(NOT(ISNUMBER(H907)),"SEM APONTAMENTO",IF(H907&gt;=G907,"VERDE",IF(H907&gt;=G907*0.9,"AMARELO","VERMELHO")))))</f>
        <v/>
      </c>
      <c r="M907" s="162" t="n"/>
      <c r="N907" s="162" t="n"/>
      <c r="O907" s="162" t="n"/>
      <c r="P907" s="162" t="n"/>
      <c r="Q907" s="320" t="n"/>
      <c r="R907" s="162" t="inlineStr">
        <is>
          <t>CONTROLE PRODUÇÃO POR EMPRESAS!G156</t>
        </is>
      </c>
    </row>
    <row r="908" ht="28.5" customHeight="1">
      <c r="A908" s="317" t="n">
        <v>46374</v>
      </c>
      <c r="B908" t="inlineStr">
        <is>
          <t>GERAL</t>
        </is>
      </c>
      <c r="C908" t="inlineStr">
        <is>
          <t>EJ</t>
        </is>
      </c>
      <c r="D908" t="inlineStr">
        <is>
          <t>PREMONTAGEM</t>
        </is>
      </c>
      <c r="F908" s="159">
        <f>IFERROR(INDEX('BASE METAS DIÁRIAS'!$N$2:$S$358,MATCH($A908,'BASE METAS DIÁRIAS'!$A$2:$A$358,0),MOD(ROW()-2,6)+1),"")</f>
        <v/>
      </c>
      <c r="G908" s="159">
        <f>IFERROR(IF(WEEKDAY($A908,2)&lt;=INDEX('BASE METAS DIÁRIAS'!$H$2:$M$358,MATCH($A908,'BASE METAS DIÁRIAS'!$A$2:$A$358,0),MOD(ROW()-2,6)+1),INDEX('BASE METAS DIÁRIAS'!$B$2:$G$358,MATCH($A908,'BASE METAS DIÁRIAS'!$A$2:$A$358,0),MOD(ROW()-2,6)+1),""),"")</f>
        <v/>
      </c>
      <c r="H908" s="159">
        <f>IFERROR(IF(INDEX('CONTROLE PRODUÇÃO POR EMPRESAS'!$B$6:$G$5000,MATCH($A908,'CONTROLE PRODUÇÃO POR EMPRESAS'!$A$6:$A$5000,0),MOD(ROW()-2,6)+1)="","",IFERROR(1*INDEX('CONTROLE PRODUÇÃO POR EMPRESAS'!$B$6:$G$5000,MATCH($A908,'CONTROLE PRODUÇÃO POR EMPRESAS'!$A$6:$A$5000,0),MOD(ROW()-2,6)+1),"")),"")</f>
        <v/>
      </c>
      <c r="I908" s="159">
        <f>IF(OR(NOT(ISNUMBER(G908)),NOT(ISNUMBER(H908))),"",H908-G908)</f>
        <v/>
      </c>
      <c r="J908" s="319">
        <f>IF(OR(NOT(ISNUMBER(G908)),NOT(ISNUMBER(H908)),G908=0),"",I908/G908)</f>
        <v/>
      </c>
      <c r="K908" s="319">
        <f>IF(OR(NOT(ISNUMBER(G908)),NOT(ISNUMBER(H908)),G908=0),"",H908/G908)</f>
        <v/>
      </c>
      <c r="L908">
        <f>IF(NOT(ISNUMBER(G908)),"SEM META",IF(G908=0,"SEM META",IF(NOT(ISNUMBER(H908)),"SEM APONTAMENTO",IF(H908&gt;=G908,"VERDE",IF(H908&gt;=G908*0.9,"AMARELO","VERMELHO")))))</f>
        <v/>
      </c>
      <c r="M908" s="162" t="n"/>
      <c r="N908" s="162" t="n"/>
      <c r="O908" s="162" t="n"/>
      <c r="P908" s="162" t="n"/>
      <c r="Q908" s="320" t="n"/>
      <c r="R908" s="162" t="inlineStr">
        <is>
          <t>CONTROLE PRODUÇÃO POR EMPRESAS!B157</t>
        </is>
      </c>
    </row>
    <row r="909" ht="28.5" customHeight="1">
      <c r="A909" s="317" t="n">
        <v>46374</v>
      </c>
      <c r="B909" t="inlineStr">
        <is>
          <t>GERAL</t>
        </is>
      </c>
      <c r="C909" t="inlineStr">
        <is>
          <t>EJ</t>
        </is>
      </c>
      <c r="D909" t="inlineStr">
        <is>
          <t>IÇAMENTO JOIST</t>
        </is>
      </c>
      <c r="F909" s="159">
        <f>IFERROR(INDEX('BASE METAS DIÁRIAS'!$N$2:$S$358,MATCH($A909,'BASE METAS DIÁRIAS'!$A$2:$A$358,0),MOD(ROW()-2,6)+1),"")</f>
        <v/>
      </c>
      <c r="G909" s="159">
        <f>IFERROR(IF(WEEKDAY($A909,2)&lt;=INDEX('BASE METAS DIÁRIAS'!$H$2:$M$358,MATCH($A909,'BASE METAS DIÁRIAS'!$A$2:$A$358,0),MOD(ROW()-2,6)+1),INDEX('BASE METAS DIÁRIAS'!$B$2:$G$358,MATCH($A909,'BASE METAS DIÁRIAS'!$A$2:$A$358,0),MOD(ROW()-2,6)+1),""),"")</f>
        <v/>
      </c>
      <c r="H909" s="159">
        <f>IFERROR(IF(INDEX('CONTROLE PRODUÇÃO POR EMPRESAS'!$B$6:$G$5000,MATCH($A909,'CONTROLE PRODUÇÃO POR EMPRESAS'!$A$6:$A$5000,0),MOD(ROW()-2,6)+1)="","",IFERROR(1*INDEX('CONTROLE PRODUÇÃO POR EMPRESAS'!$B$6:$G$5000,MATCH($A909,'CONTROLE PRODUÇÃO POR EMPRESAS'!$A$6:$A$5000,0),MOD(ROW()-2,6)+1),"")),"")</f>
        <v/>
      </c>
      <c r="I909" s="159">
        <f>IF(OR(NOT(ISNUMBER(G909)),NOT(ISNUMBER(H909))),"",H909-G909)</f>
        <v/>
      </c>
      <c r="J909" s="319">
        <f>IF(OR(NOT(ISNUMBER(G909)),NOT(ISNUMBER(H909)),G909=0),"",I909/G909)</f>
        <v/>
      </c>
      <c r="K909" s="319">
        <f>IF(OR(NOT(ISNUMBER(G909)),NOT(ISNUMBER(H909)),G909=0),"",H909/G909)</f>
        <v/>
      </c>
      <c r="L909">
        <f>IF(NOT(ISNUMBER(G909)),"SEM META",IF(G909=0,"SEM META",IF(NOT(ISNUMBER(H909)),"SEM APONTAMENTO",IF(H909&gt;=G909,"VERDE",IF(H909&gt;=G909*0.9,"AMARELO","VERMELHO")))))</f>
        <v/>
      </c>
      <c r="M909" s="162" t="n"/>
      <c r="N909" s="162" t="n"/>
      <c r="O909" s="162" t="n"/>
      <c r="P909" s="162" t="n"/>
      <c r="Q909" s="320" t="n"/>
      <c r="R909" s="162" t="inlineStr">
        <is>
          <t>CONTROLE PRODUÇÃO POR EMPRESAS!C157</t>
        </is>
      </c>
    </row>
    <row r="910" ht="28.5" customHeight="1">
      <c r="A910" s="317" t="n">
        <v>46374</v>
      </c>
      <c r="B910" t="inlineStr">
        <is>
          <t>GERAL</t>
        </is>
      </c>
      <c r="C910" t="inlineStr">
        <is>
          <t>EJ</t>
        </is>
      </c>
      <c r="D910" t="inlineStr">
        <is>
          <t>VIGAS</t>
        </is>
      </c>
      <c r="F910" s="159">
        <f>IFERROR(INDEX('BASE METAS DIÁRIAS'!$N$2:$S$358,MATCH($A910,'BASE METAS DIÁRIAS'!$A$2:$A$358,0),MOD(ROW()-2,6)+1),"")</f>
        <v/>
      </c>
      <c r="G910" s="159">
        <f>IFERROR(IF(WEEKDAY($A910,2)&lt;=INDEX('BASE METAS DIÁRIAS'!$H$2:$M$358,MATCH($A910,'BASE METAS DIÁRIAS'!$A$2:$A$358,0),MOD(ROW()-2,6)+1),INDEX('BASE METAS DIÁRIAS'!$B$2:$G$358,MATCH($A910,'BASE METAS DIÁRIAS'!$A$2:$A$358,0),MOD(ROW()-2,6)+1),""),"")</f>
        <v/>
      </c>
      <c r="H910" s="159">
        <f>IFERROR(IF(INDEX('CONTROLE PRODUÇÃO POR EMPRESAS'!$B$6:$G$5000,MATCH($A910,'CONTROLE PRODUÇÃO POR EMPRESAS'!$A$6:$A$5000,0),MOD(ROW()-2,6)+1)="","",IFERROR(1*INDEX('CONTROLE PRODUÇÃO POR EMPRESAS'!$B$6:$G$5000,MATCH($A910,'CONTROLE PRODUÇÃO POR EMPRESAS'!$A$6:$A$5000,0),MOD(ROW()-2,6)+1),"")),"")</f>
        <v/>
      </c>
      <c r="I910" s="159">
        <f>IF(OR(NOT(ISNUMBER(G910)),NOT(ISNUMBER(H910))),"",H910-G910)</f>
        <v/>
      </c>
      <c r="J910" s="319">
        <f>IF(OR(NOT(ISNUMBER(G910)),NOT(ISNUMBER(H910)),G910=0),"",I910/G910)</f>
        <v/>
      </c>
      <c r="K910" s="319">
        <f>IF(OR(NOT(ISNUMBER(G910)),NOT(ISNUMBER(H910)),G910=0),"",H910/G910)</f>
        <v/>
      </c>
      <c r="L910">
        <f>IF(NOT(ISNUMBER(G910)),"SEM META",IF(G910=0,"SEM META",IF(NOT(ISNUMBER(H910)),"SEM APONTAMENTO",IF(H910&gt;=G910,"VERDE",IF(H910&gt;=G910*0.9,"AMARELO","VERMELHO")))))</f>
        <v/>
      </c>
      <c r="M910" s="162" t="n"/>
      <c r="N910" s="162" t="n"/>
      <c r="O910" s="162" t="n"/>
      <c r="P910" s="162" t="n"/>
      <c r="Q910" s="320" t="n"/>
      <c r="R910" s="162" t="inlineStr">
        <is>
          <t>CONTROLE PRODUÇÃO POR EMPRESAS!D157</t>
        </is>
      </c>
    </row>
    <row r="911" ht="28.5" customHeight="1">
      <c r="A911" s="317" t="n">
        <v>46374</v>
      </c>
      <c r="B911" t="inlineStr">
        <is>
          <t>GERAL</t>
        </is>
      </c>
      <c r="C911" t="inlineStr">
        <is>
          <t>CMM</t>
        </is>
      </c>
      <c r="D911" t="inlineStr">
        <is>
          <t>PREMONTAGEM</t>
        </is>
      </c>
      <c r="F911" s="159">
        <f>IFERROR(INDEX('BASE METAS DIÁRIAS'!$N$2:$S$358,MATCH($A911,'BASE METAS DIÁRIAS'!$A$2:$A$358,0),MOD(ROW()-2,6)+1),"")</f>
        <v/>
      </c>
      <c r="G911" s="159">
        <f>IFERROR(IF(WEEKDAY($A911,2)&lt;=INDEX('BASE METAS DIÁRIAS'!$H$2:$M$358,MATCH($A911,'BASE METAS DIÁRIAS'!$A$2:$A$358,0),MOD(ROW()-2,6)+1),INDEX('BASE METAS DIÁRIAS'!$B$2:$G$358,MATCH($A911,'BASE METAS DIÁRIAS'!$A$2:$A$358,0),MOD(ROW()-2,6)+1),""),"")</f>
        <v/>
      </c>
      <c r="H911" s="159">
        <f>IFERROR(IF(INDEX('CONTROLE PRODUÇÃO POR EMPRESAS'!$B$6:$G$5000,MATCH($A911,'CONTROLE PRODUÇÃO POR EMPRESAS'!$A$6:$A$5000,0),MOD(ROW()-2,6)+1)="","",IFERROR(1*INDEX('CONTROLE PRODUÇÃO POR EMPRESAS'!$B$6:$G$5000,MATCH($A911,'CONTROLE PRODUÇÃO POR EMPRESAS'!$A$6:$A$5000,0),MOD(ROW()-2,6)+1),"")),"")</f>
        <v/>
      </c>
      <c r="I911" s="159">
        <f>IF(OR(NOT(ISNUMBER(G911)),NOT(ISNUMBER(H911))),"",H911-G911)</f>
        <v/>
      </c>
      <c r="J911" s="319">
        <f>IF(OR(NOT(ISNUMBER(G911)),NOT(ISNUMBER(H911)),G911=0),"",I911/G911)</f>
        <v/>
      </c>
      <c r="K911" s="319">
        <f>IF(OR(NOT(ISNUMBER(G911)),NOT(ISNUMBER(H911)),G911=0),"",H911/G911)</f>
        <v/>
      </c>
      <c r="L911">
        <f>IF(NOT(ISNUMBER(G911)),"SEM META",IF(G911=0,"SEM META",IF(NOT(ISNUMBER(H911)),"SEM APONTAMENTO",IF(H911&gt;=G911,"VERDE",IF(H911&gt;=G911*0.9,"AMARELO","VERMELHO")))))</f>
        <v/>
      </c>
      <c r="M911" s="162" t="n"/>
      <c r="N911" s="162" t="n"/>
      <c r="O911" s="162" t="n"/>
      <c r="P911" s="162" t="n"/>
      <c r="Q911" s="320" t="n"/>
      <c r="R911" s="162" t="inlineStr">
        <is>
          <t>CONTROLE PRODUÇÃO POR EMPRESAS!E157</t>
        </is>
      </c>
    </row>
    <row r="912" ht="28.5" customHeight="1">
      <c r="A912" s="317" t="n">
        <v>46374</v>
      </c>
      <c r="B912" t="inlineStr">
        <is>
          <t>GERAL</t>
        </is>
      </c>
      <c r="C912" t="inlineStr">
        <is>
          <t>CMM</t>
        </is>
      </c>
      <c r="D912" t="inlineStr">
        <is>
          <t>IÇAMENTO JOIST</t>
        </is>
      </c>
      <c r="F912" s="159">
        <f>IFERROR(INDEX('BASE METAS DIÁRIAS'!$N$2:$S$358,MATCH($A912,'BASE METAS DIÁRIAS'!$A$2:$A$358,0),MOD(ROW()-2,6)+1),"")</f>
        <v/>
      </c>
      <c r="G912" s="159">
        <f>IFERROR(IF(WEEKDAY($A912,2)&lt;=INDEX('BASE METAS DIÁRIAS'!$H$2:$M$358,MATCH($A912,'BASE METAS DIÁRIAS'!$A$2:$A$358,0),MOD(ROW()-2,6)+1),INDEX('BASE METAS DIÁRIAS'!$B$2:$G$358,MATCH($A912,'BASE METAS DIÁRIAS'!$A$2:$A$358,0),MOD(ROW()-2,6)+1),""),"")</f>
        <v/>
      </c>
      <c r="H912" s="159">
        <f>IFERROR(IF(INDEX('CONTROLE PRODUÇÃO POR EMPRESAS'!$B$6:$G$5000,MATCH($A912,'CONTROLE PRODUÇÃO POR EMPRESAS'!$A$6:$A$5000,0),MOD(ROW()-2,6)+1)="","",IFERROR(1*INDEX('CONTROLE PRODUÇÃO POR EMPRESAS'!$B$6:$G$5000,MATCH($A912,'CONTROLE PRODUÇÃO POR EMPRESAS'!$A$6:$A$5000,0),MOD(ROW()-2,6)+1),"")),"")</f>
        <v/>
      </c>
      <c r="I912" s="159">
        <f>IF(OR(NOT(ISNUMBER(G912)),NOT(ISNUMBER(H912))),"",H912-G912)</f>
        <v/>
      </c>
      <c r="J912" s="319">
        <f>IF(OR(NOT(ISNUMBER(G912)),NOT(ISNUMBER(H912)),G912=0),"",I912/G912)</f>
        <v/>
      </c>
      <c r="K912" s="319">
        <f>IF(OR(NOT(ISNUMBER(G912)),NOT(ISNUMBER(H912)),G912=0),"",H912/G912)</f>
        <v/>
      </c>
      <c r="L912">
        <f>IF(NOT(ISNUMBER(G912)),"SEM META",IF(G912=0,"SEM META",IF(NOT(ISNUMBER(H912)),"SEM APONTAMENTO",IF(H912&gt;=G912,"VERDE",IF(H912&gt;=G912*0.9,"AMARELO","VERMELHO")))))</f>
        <v/>
      </c>
      <c r="M912" s="162" t="n"/>
      <c r="N912" s="162" t="n"/>
      <c r="O912" s="162" t="n"/>
      <c r="P912" s="162" t="n"/>
      <c r="Q912" s="320" t="n"/>
      <c r="R912" s="162" t="inlineStr">
        <is>
          <t>CONTROLE PRODUÇÃO POR EMPRESAS!F157</t>
        </is>
      </c>
    </row>
    <row r="913" ht="28.5" customHeight="1">
      <c r="A913" s="317" t="n">
        <v>46374</v>
      </c>
      <c r="B913" t="inlineStr">
        <is>
          <t>GERAL</t>
        </is>
      </c>
      <c r="C913" t="inlineStr">
        <is>
          <t>CMM</t>
        </is>
      </c>
      <c r="D913" t="inlineStr">
        <is>
          <t>VIGAS</t>
        </is>
      </c>
      <c r="F913" s="159">
        <f>IFERROR(INDEX('BASE METAS DIÁRIAS'!$N$2:$S$358,MATCH($A913,'BASE METAS DIÁRIAS'!$A$2:$A$358,0),MOD(ROW()-2,6)+1),"")</f>
        <v/>
      </c>
      <c r="G913" s="159">
        <f>IFERROR(IF(WEEKDAY($A913,2)&lt;=INDEX('BASE METAS DIÁRIAS'!$H$2:$M$358,MATCH($A913,'BASE METAS DIÁRIAS'!$A$2:$A$358,0),MOD(ROW()-2,6)+1),INDEX('BASE METAS DIÁRIAS'!$B$2:$G$358,MATCH($A913,'BASE METAS DIÁRIAS'!$A$2:$A$358,0),MOD(ROW()-2,6)+1),""),"")</f>
        <v/>
      </c>
      <c r="H913" s="159">
        <f>IFERROR(IF(INDEX('CONTROLE PRODUÇÃO POR EMPRESAS'!$B$6:$G$5000,MATCH($A913,'CONTROLE PRODUÇÃO POR EMPRESAS'!$A$6:$A$5000,0),MOD(ROW()-2,6)+1)="","",IFERROR(1*INDEX('CONTROLE PRODUÇÃO POR EMPRESAS'!$B$6:$G$5000,MATCH($A913,'CONTROLE PRODUÇÃO POR EMPRESAS'!$A$6:$A$5000,0),MOD(ROW()-2,6)+1),"")),"")</f>
        <v/>
      </c>
      <c r="I913" s="159">
        <f>IF(OR(NOT(ISNUMBER(G913)),NOT(ISNUMBER(H913))),"",H913-G913)</f>
        <v/>
      </c>
      <c r="J913" s="319">
        <f>IF(OR(NOT(ISNUMBER(G913)),NOT(ISNUMBER(H913)),G913=0),"",I913/G913)</f>
        <v/>
      </c>
      <c r="K913" s="319">
        <f>IF(OR(NOT(ISNUMBER(G913)),NOT(ISNUMBER(H913)),G913=0),"",H913/G913)</f>
        <v/>
      </c>
      <c r="L913">
        <f>IF(NOT(ISNUMBER(G913)),"SEM META",IF(G913=0,"SEM META",IF(NOT(ISNUMBER(H913)),"SEM APONTAMENTO",IF(H913&gt;=G913,"VERDE",IF(H913&gt;=G913*0.9,"AMARELO","VERMELHO")))))</f>
        <v/>
      </c>
      <c r="M913" s="162" t="n"/>
      <c r="N913" s="162" t="n"/>
      <c r="O913" s="162" t="n"/>
      <c r="P913" s="162" t="n"/>
      <c r="Q913" s="320" t="n"/>
      <c r="R913" s="162" t="inlineStr">
        <is>
          <t>CONTROLE PRODUÇÃO POR EMPRESAS!G157</t>
        </is>
      </c>
    </row>
    <row r="914" ht="28.5" customHeight="1">
      <c r="A914" s="317" t="n">
        <v>46375</v>
      </c>
      <c r="B914" t="inlineStr">
        <is>
          <t>GERAL</t>
        </is>
      </c>
      <c r="C914" t="inlineStr">
        <is>
          <t>EJ</t>
        </is>
      </c>
      <c r="D914" t="inlineStr">
        <is>
          <t>PREMONTAGEM</t>
        </is>
      </c>
      <c r="F914" s="159">
        <f>IFERROR(INDEX('BASE METAS DIÁRIAS'!$N$2:$S$358,MATCH($A914,'BASE METAS DIÁRIAS'!$A$2:$A$358,0),MOD(ROW()-2,6)+1),"")</f>
        <v/>
      </c>
      <c r="G914" s="159">
        <f>IFERROR(IF(WEEKDAY($A914,2)&lt;=INDEX('BASE METAS DIÁRIAS'!$H$2:$M$358,MATCH($A914,'BASE METAS DIÁRIAS'!$A$2:$A$358,0),MOD(ROW()-2,6)+1),INDEX('BASE METAS DIÁRIAS'!$B$2:$G$358,MATCH($A914,'BASE METAS DIÁRIAS'!$A$2:$A$358,0),MOD(ROW()-2,6)+1),""),"")</f>
        <v/>
      </c>
      <c r="H914" s="159">
        <f>IFERROR(IF(INDEX('CONTROLE PRODUÇÃO POR EMPRESAS'!$B$6:$G$5000,MATCH($A914,'CONTROLE PRODUÇÃO POR EMPRESAS'!$A$6:$A$5000,0),MOD(ROW()-2,6)+1)="","",IFERROR(1*INDEX('CONTROLE PRODUÇÃO POR EMPRESAS'!$B$6:$G$5000,MATCH($A914,'CONTROLE PRODUÇÃO POR EMPRESAS'!$A$6:$A$5000,0),MOD(ROW()-2,6)+1),"")),"")</f>
        <v/>
      </c>
      <c r="I914" s="159">
        <f>IF(OR(NOT(ISNUMBER(G914)),NOT(ISNUMBER(H914))),"",H914-G914)</f>
        <v/>
      </c>
      <c r="J914" s="319">
        <f>IF(OR(NOT(ISNUMBER(G914)),NOT(ISNUMBER(H914)),G914=0),"",I914/G914)</f>
        <v/>
      </c>
      <c r="K914" s="319">
        <f>IF(OR(NOT(ISNUMBER(G914)),NOT(ISNUMBER(H914)),G914=0),"",H914/G914)</f>
        <v/>
      </c>
      <c r="L914">
        <f>IF(NOT(ISNUMBER(G914)),"SEM META",IF(G914=0,"SEM META",IF(NOT(ISNUMBER(H914)),"SEM APONTAMENTO",IF(H914&gt;=G914,"VERDE",IF(H914&gt;=G914*0.9,"AMARELO","VERMELHO")))))</f>
        <v/>
      </c>
      <c r="M914" s="162" t="n"/>
      <c r="N914" s="162" t="n"/>
      <c r="O914" s="162" t="n"/>
      <c r="P914" s="162" t="n"/>
      <c r="Q914" s="320" t="n"/>
      <c r="R914" s="162" t="inlineStr">
        <is>
          <t>CONTROLE PRODUÇÃO POR EMPRESAS!B158</t>
        </is>
      </c>
    </row>
    <row r="915" ht="28.5" customHeight="1">
      <c r="A915" s="317" t="n">
        <v>46375</v>
      </c>
      <c r="B915" t="inlineStr">
        <is>
          <t>GERAL</t>
        </is>
      </c>
      <c r="C915" t="inlineStr">
        <is>
          <t>EJ</t>
        </is>
      </c>
      <c r="D915" t="inlineStr">
        <is>
          <t>IÇAMENTO JOIST</t>
        </is>
      </c>
      <c r="F915" s="159">
        <f>IFERROR(INDEX('BASE METAS DIÁRIAS'!$N$2:$S$358,MATCH($A915,'BASE METAS DIÁRIAS'!$A$2:$A$358,0),MOD(ROW()-2,6)+1),"")</f>
        <v/>
      </c>
      <c r="G915" s="159">
        <f>IFERROR(IF(WEEKDAY($A915,2)&lt;=INDEX('BASE METAS DIÁRIAS'!$H$2:$M$358,MATCH($A915,'BASE METAS DIÁRIAS'!$A$2:$A$358,0),MOD(ROW()-2,6)+1),INDEX('BASE METAS DIÁRIAS'!$B$2:$G$358,MATCH($A915,'BASE METAS DIÁRIAS'!$A$2:$A$358,0),MOD(ROW()-2,6)+1),""),"")</f>
        <v/>
      </c>
      <c r="H915" s="159">
        <f>IFERROR(IF(INDEX('CONTROLE PRODUÇÃO POR EMPRESAS'!$B$6:$G$5000,MATCH($A915,'CONTROLE PRODUÇÃO POR EMPRESAS'!$A$6:$A$5000,0),MOD(ROW()-2,6)+1)="","",IFERROR(1*INDEX('CONTROLE PRODUÇÃO POR EMPRESAS'!$B$6:$G$5000,MATCH($A915,'CONTROLE PRODUÇÃO POR EMPRESAS'!$A$6:$A$5000,0),MOD(ROW()-2,6)+1),"")),"")</f>
        <v/>
      </c>
      <c r="I915" s="159">
        <f>IF(OR(NOT(ISNUMBER(G915)),NOT(ISNUMBER(H915))),"",H915-G915)</f>
        <v/>
      </c>
      <c r="J915" s="319">
        <f>IF(OR(NOT(ISNUMBER(G915)),NOT(ISNUMBER(H915)),G915=0),"",I915/G915)</f>
        <v/>
      </c>
      <c r="K915" s="319">
        <f>IF(OR(NOT(ISNUMBER(G915)),NOT(ISNUMBER(H915)),G915=0),"",H915/G915)</f>
        <v/>
      </c>
      <c r="L915">
        <f>IF(NOT(ISNUMBER(G915)),"SEM META",IF(G915=0,"SEM META",IF(NOT(ISNUMBER(H915)),"SEM APONTAMENTO",IF(H915&gt;=G915,"VERDE",IF(H915&gt;=G915*0.9,"AMARELO","VERMELHO")))))</f>
        <v/>
      </c>
      <c r="M915" s="162" t="n"/>
      <c r="N915" s="162" t="n"/>
      <c r="O915" s="162" t="n"/>
      <c r="P915" s="162" t="n"/>
      <c r="Q915" s="320" t="n"/>
      <c r="R915" s="162" t="inlineStr">
        <is>
          <t>CONTROLE PRODUÇÃO POR EMPRESAS!C158</t>
        </is>
      </c>
    </row>
    <row r="916" ht="28.5" customHeight="1">
      <c r="A916" s="317" t="n">
        <v>46375</v>
      </c>
      <c r="B916" t="inlineStr">
        <is>
          <t>GERAL</t>
        </is>
      </c>
      <c r="C916" t="inlineStr">
        <is>
          <t>EJ</t>
        </is>
      </c>
      <c r="D916" t="inlineStr">
        <is>
          <t>VIGAS</t>
        </is>
      </c>
      <c r="F916" s="159">
        <f>IFERROR(INDEX('BASE METAS DIÁRIAS'!$N$2:$S$358,MATCH($A916,'BASE METAS DIÁRIAS'!$A$2:$A$358,0),MOD(ROW()-2,6)+1),"")</f>
        <v/>
      </c>
      <c r="G916" s="159">
        <f>IFERROR(IF(WEEKDAY($A916,2)&lt;=INDEX('BASE METAS DIÁRIAS'!$H$2:$M$358,MATCH($A916,'BASE METAS DIÁRIAS'!$A$2:$A$358,0),MOD(ROW()-2,6)+1),INDEX('BASE METAS DIÁRIAS'!$B$2:$G$358,MATCH($A916,'BASE METAS DIÁRIAS'!$A$2:$A$358,0),MOD(ROW()-2,6)+1),""),"")</f>
        <v/>
      </c>
      <c r="H916" s="159">
        <f>IFERROR(IF(INDEX('CONTROLE PRODUÇÃO POR EMPRESAS'!$B$6:$G$5000,MATCH($A916,'CONTROLE PRODUÇÃO POR EMPRESAS'!$A$6:$A$5000,0),MOD(ROW()-2,6)+1)="","",IFERROR(1*INDEX('CONTROLE PRODUÇÃO POR EMPRESAS'!$B$6:$G$5000,MATCH($A916,'CONTROLE PRODUÇÃO POR EMPRESAS'!$A$6:$A$5000,0),MOD(ROW()-2,6)+1),"")),"")</f>
        <v/>
      </c>
      <c r="I916" s="159">
        <f>IF(OR(NOT(ISNUMBER(G916)),NOT(ISNUMBER(H916))),"",H916-G916)</f>
        <v/>
      </c>
      <c r="J916" s="319">
        <f>IF(OR(NOT(ISNUMBER(G916)),NOT(ISNUMBER(H916)),G916=0),"",I916/G916)</f>
        <v/>
      </c>
      <c r="K916" s="319">
        <f>IF(OR(NOT(ISNUMBER(G916)),NOT(ISNUMBER(H916)),G916=0),"",H916/G916)</f>
        <v/>
      </c>
      <c r="L916">
        <f>IF(NOT(ISNUMBER(G916)),"SEM META",IF(G916=0,"SEM META",IF(NOT(ISNUMBER(H916)),"SEM APONTAMENTO",IF(H916&gt;=G916,"VERDE",IF(H916&gt;=G916*0.9,"AMARELO","VERMELHO")))))</f>
        <v/>
      </c>
      <c r="M916" s="162" t="n"/>
      <c r="N916" s="162" t="n"/>
      <c r="O916" s="162" t="n"/>
      <c r="P916" s="162" t="n"/>
      <c r="Q916" s="320" t="n"/>
      <c r="R916" s="162" t="inlineStr">
        <is>
          <t>CONTROLE PRODUÇÃO POR EMPRESAS!D158</t>
        </is>
      </c>
    </row>
    <row r="917" ht="28.5" customHeight="1">
      <c r="A917" s="317" t="n">
        <v>46375</v>
      </c>
      <c r="B917" t="inlineStr">
        <is>
          <t>GERAL</t>
        </is>
      </c>
      <c r="C917" t="inlineStr">
        <is>
          <t>CMM</t>
        </is>
      </c>
      <c r="D917" t="inlineStr">
        <is>
          <t>PREMONTAGEM</t>
        </is>
      </c>
      <c r="F917" s="159">
        <f>IFERROR(INDEX('BASE METAS DIÁRIAS'!$N$2:$S$358,MATCH($A917,'BASE METAS DIÁRIAS'!$A$2:$A$358,0),MOD(ROW()-2,6)+1),"")</f>
        <v/>
      </c>
      <c r="G917" s="159">
        <f>IFERROR(IF(WEEKDAY($A917,2)&lt;=INDEX('BASE METAS DIÁRIAS'!$H$2:$M$358,MATCH($A917,'BASE METAS DIÁRIAS'!$A$2:$A$358,0),MOD(ROW()-2,6)+1),INDEX('BASE METAS DIÁRIAS'!$B$2:$G$358,MATCH($A917,'BASE METAS DIÁRIAS'!$A$2:$A$358,0),MOD(ROW()-2,6)+1),""),"")</f>
        <v/>
      </c>
      <c r="H917" s="159">
        <f>IFERROR(IF(INDEX('CONTROLE PRODUÇÃO POR EMPRESAS'!$B$6:$G$5000,MATCH($A917,'CONTROLE PRODUÇÃO POR EMPRESAS'!$A$6:$A$5000,0),MOD(ROW()-2,6)+1)="","",IFERROR(1*INDEX('CONTROLE PRODUÇÃO POR EMPRESAS'!$B$6:$G$5000,MATCH($A917,'CONTROLE PRODUÇÃO POR EMPRESAS'!$A$6:$A$5000,0),MOD(ROW()-2,6)+1),"")),"")</f>
        <v/>
      </c>
      <c r="I917" s="159">
        <f>IF(OR(NOT(ISNUMBER(G917)),NOT(ISNUMBER(H917))),"",H917-G917)</f>
        <v/>
      </c>
      <c r="J917" s="319">
        <f>IF(OR(NOT(ISNUMBER(G917)),NOT(ISNUMBER(H917)),G917=0),"",I917/G917)</f>
        <v/>
      </c>
      <c r="K917" s="319">
        <f>IF(OR(NOT(ISNUMBER(G917)),NOT(ISNUMBER(H917)),G917=0),"",H917/G917)</f>
        <v/>
      </c>
      <c r="L917">
        <f>IF(NOT(ISNUMBER(G917)),"SEM META",IF(G917=0,"SEM META",IF(NOT(ISNUMBER(H917)),"SEM APONTAMENTO",IF(H917&gt;=G917,"VERDE",IF(H917&gt;=G917*0.9,"AMARELO","VERMELHO")))))</f>
        <v/>
      </c>
      <c r="M917" s="162" t="n"/>
      <c r="N917" s="162" t="n"/>
      <c r="O917" s="162" t="n"/>
      <c r="P917" s="162" t="n"/>
      <c r="Q917" s="320" t="n"/>
      <c r="R917" s="162" t="inlineStr">
        <is>
          <t>CONTROLE PRODUÇÃO POR EMPRESAS!E158</t>
        </is>
      </c>
    </row>
    <row r="918" ht="28.5" customHeight="1">
      <c r="A918" s="317" t="n">
        <v>46375</v>
      </c>
      <c r="B918" t="inlineStr">
        <is>
          <t>GERAL</t>
        </is>
      </c>
      <c r="C918" t="inlineStr">
        <is>
          <t>CMM</t>
        </is>
      </c>
      <c r="D918" t="inlineStr">
        <is>
          <t>IÇAMENTO JOIST</t>
        </is>
      </c>
      <c r="F918" s="159">
        <f>IFERROR(INDEX('BASE METAS DIÁRIAS'!$N$2:$S$358,MATCH($A918,'BASE METAS DIÁRIAS'!$A$2:$A$358,0),MOD(ROW()-2,6)+1),"")</f>
        <v/>
      </c>
      <c r="G918" s="159">
        <f>IFERROR(IF(WEEKDAY($A918,2)&lt;=INDEX('BASE METAS DIÁRIAS'!$H$2:$M$358,MATCH($A918,'BASE METAS DIÁRIAS'!$A$2:$A$358,0),MOD(ROW()-2,6)+1),INDEX('BASE METAS DIÁRIAS'!$B$2:$G$358,MATCH($A918,'BASE METAS DIÁRIAS'!$A$2:$A$358,0),MOD(ROW()-2,6)+1),""),"")</f>
        <v/>
      </c>
      <c r="H918" s="159">
        <f>IFERROR(IF(INDEX('CONTROLE PRODUÇÃO POR EMPRESAS'!$B$6:$G$5000,MATCH($A918,'CONTROLE PRODUÇÃO POR EMPRESAS'!$A$6:$A$5000,0),MOD(ROW()-2,6)+1)="","",IFERROR(1*INDEX('CONTROLE PRODUÇÃO POR EMPRESAS'!$B$6:$G$5000,MATCH($A918,'CONTROLE PRODUÇÃO POR EMPRESAS'!$A$6:$A$5000,0),MOD(ROW()-2,6)+1),"")),"")</f>
        <v/>
      </c>
      <c r="I918" s="159">
        <f>IF(OR(NOT(ISNUMBER(G918)),NOT(ISNUMBER(H918))),"",H918-G918)</f>
        <v/>
      </c>
      <c r="J918" s="319">
        <f>IF(OR(NOT(ISNUMBER(G918)),NOT(ISNUMBER(H918)),G918=0),"",I918/G918)</f>
        <v/>
      </c>
      <c r="K918" s="319">
        <f>IF(OR(NOT(ISNUMBER(G918)),NOT(ISNUMBER(H918)),G918=0),"",H918/G918)</f>
        <v/>
      </c>
      <c r="L918">
        <f>IF(NOT(ISNUMBER(G918)),"SEM META",IF(G918=0,"SEM META",IF(NOT(ISNUMBER(H918)),"SEM APONTAMENTO",IF(H918&gt;=G918,"VERDE",IF(H918&gt;=G918*0.9,"AMARELO","VERMELHO")))))</f>
        <v/>
      </c>
      <c r="M918" s="162" t="n"/>
      <c r="N918" s="162" t="n"/>
      <c r="O918" s="162" t="n"/>
      <c r="P918" s="162" t="n"/>
      <c r="Q918" s="320" t="n"/>
      <c r="R918" s="162" t="inlineStr">
        <is>
          <t>CONTROLE PRODUÇÃO POR EMPRESAS!F158</t>
        </is>
      </c>
    </row>
    <row r="919" ht="28.5" customHeight="1">
      <c r="A919" s="317" t="n">
        <v>46375</v>
      </c>
      <c r="B919" t="inlineStr">
        <is>
          <t>GERAL</t>
        </is>
      </c>
      <c r="C919" t="inlineStr">
        <is>
          <t>CMM</t>
        </is>
      </c>
      <c r="D919" t="inlineStr">
        <is>
          <t>VIGAS</t>
        </is>
      </c>
      <c r="F919" s="159">
        <f>IFERROR(INDEX('BASE METAS DIÁRIAS'!$N$2:$S$358,MATCH($A919,'BASE METAS DIÁRIAS'!$A$2:$A$358,0),MOD(ROW()-2,6)+1),"")</f>
        <v/>
      </c>
      <c r="G919" s="159">
        <f>IFERROR(IF(WEEKDAY($A919,2)&lt;=INDEX('BASE METAS DIÁRIAS'!$H$2:$M$358,MATCH($A919,'BASE METAS DIÁRIAS'!$A$2:$A$358,0),MOD(ROW()-2,6)+1),INDEX('BASE METAS DIÁRIAS'!$B$2:$G$358,MATCH($A919,'BASE METAS DIÁRIAS'!$A$2:$A$358,0),MOD(ROW()-2,6)+1),""),"")</f>
        <v/>
      </c>
      <c r="H919" s="159">
        <f>IFERROR(IF(INDEX('CONTROLE PRODUÇÃO POR EMPRESAS'!$B$6:$G$5000,MATCH($A919,'CONTROLE PRODUÇÃO POR EMPRESAS'!$A$6:$A$5000,0),MOD(ROW()-2,6)+1)="","",IFERROR(1*INDEX('CONTROLE PRODUÇÃO POR EMPRESAS'!$B$6:$G$5000,MATCH($A919,'CONTROLE PRODUÇÃO POR EMPRESAS'!$A$6:$A$5000,0),MOD(ROW()-2,6)+1),"")),"")</f>
        <v/>
      </c>
      <c r="I919" s="159">
        <f>IF(OR(NOT(ISNUMBER(G919)),NOT(ISNUMBER(H919))),"",H919-G919)</f>
        <v/>
      </c>
      <c r="J919" s="319">
        <f>IF(OR(NOT(ISNUMBER(G919)),NOT(ISNUMBER(H919)),G919=0),"",I919/G919)</f>
        <v/>
      </c>
      <c r="K919" s="319">
        <f>IF(OR(NOT(ISNUMBER(G919)),NOT(ISNUMBER(H919)),G919=0),"",H919/G919)</f>
        <v/>
      </c>
      <c r="L919">
        <f>IF(NOT(ISNUMBER(G919)),"SEM META",IF(G919=0,"SEM META",IF(NOT(ISNUMBER(H919)),"SEM APONTAMENTO",IF(H919&gt;=G919,"VERDE",IF(H919&gt;=G919*0.9,"AMARELO","VERMELHO")))))</f>
        <v/>
      </c>
      <c r="M919" s="162" t="n"/>
      <c r="N919" s="162" t="n"/>
      <c r="O919" s="162" t="n"/>
      <c r="P919" s="162" t="n"/>
      <c r="Q919" s="320" t="n"/>
      <c r="R919" s="162" t="inlineStr">
        <is>
          <t>CONTROLE PRODUÇÃO POR EMPRESAS!G158</t>
        </is>
      </c>
    </row>
    <row r="920" ht="28.5" customHeight="1">
      <c r="A920" s="317" t="n">
        <v>46376</v>
      </c>
      <c r="B920" t="inlineStr">
        <is>
          <t>GERAL</t>
        </is>
      </c>
      <c r="C920" t="inlineStr">
        <is>
          <t>EJ</t>
        </is>
      </c>
      <c r="D920" t="inlineStr">
        <is>
          <t>PREMONTAGEM</t>
        </is>
      </c>
      <c r="F920" s="159">
        <f>IFERROR(INDEX('BASE METAS DIÁRIAS'!$N$2:$S$358,MATCH($A920,'BASE METAS DIÁRIAS'!$A$2:$A$358,0),MOD(ROW()-2,6)+1),"")</f>
        <v/>
      </c>
      <c r="G920" s="159">
        <f>IFERROR(IF(WEEKDAY($A920,2)&lt;=INDEX('BASE METAS DIÁRIAS'!$H$2:$M$358,MATCH($A920,'BASE METAS DIÁRIAS'!$A$2:$A$358,0),MOD(ROW()-2,6)+1),INDEX('BASE METAS DIÁRIAS'!$B$2:$G$358,MATCH($A920,'BASE METAS DIÁRIAS'!$A$2:$A$358,0),MOD(ROW()-2,6)+1),""),"")</f>
        <v/>
      </c>
      <c r="H920" s="159">
        <f>IFERROR(IF(INDEX('CONTROLE PRODUÇÃO POR EMPRESAS'!$B$6:$G$5000,MATCH($A920,'CONTROLE PRODUÇÃO POR EMPRESAS'!$A$6:$A$5000,0),MOD(ROW()-2,6)+1)="","",IFERROR(1*INDEX('CONTROLE PRODUÇÃO POR EMPRESAS'!$B$6:$G$5000,MATCH($A920,'CONTROLE PRODUÇÃO POR EMPRESAS'!$A$6:$A$5000,0),MOD(ROW()-2,6)+1),"")),"")</f>
        <v/>
      </c>
      <c r="I920" s="159">
        <f>IF(OR(NOT(ISNUMBER(G920)),NOT(ISNUMBER(H920))),"",H920-G920)</f>
        <v/>
      </c>
      <c r="J920" s="319">
        <f>IF(OR(NOT(ISNUMBER(G920)),NOT(ISNUMBER(H920)),G920=0),"",I920/G920)</f>
        <v/>
      </c>
      <c r="K920" s="319">
        <f>IF(OR(NOT(ISNUMBER(G920)),NOT(ISNUMBER(H920)),G920=0),"",H920/G920)</f>
        <v/>
      </c>
      <c r="L920">
        <f>IF(NOT(ISNUMBER(G920)),"SEM META",IF(G920=0,"SEM META",IF(NOT(ISNUMBER(H920)),"SEM APONTAMENTO",IF(H920&gt;=G920,"VERDE",IF(H920&gt;=G920*0.9,"AMARELO","VERMELHO")))))</f>
        <v/>
      </c>
      <c r="M920" s="162" t="n"/>
      <c r="N920" s="162" t="n"/>
      <c r="O920" s="162" t="n"/>
      <c r="P920" s="162" t="n"/>
      <c r="Q920" s="320" t="n"/>
      <c r="R920" s="162" t="inlineStr">
        <is>
          <t>CONTROLE PRODUÇÃO POR EMPRESAS!B159</t>
        </is>
      </c>
    </row>
    <row r="921" ht="28.5" customHeight="1">
      <c r="A921" s="317" t="n">
        <v>46376</v>
      </c>
      <c r="B921" t="inlineStr">
        <is>
          <t>GERAL</t>
        </is>
      </c>
      <c r="C921" t="inlineStr">
        <is>
          <t>EJ</t>
        </is>
      </c>
      <c r="D921" t="inlineStr">
        <is>
          <t>IÇAMENTO JOIST</t>
        </is>
      </c>
      <c r="F921" s="159">
        <f>IFERROR(INDEX('BASE METAS DIÁRIAS'!$N$2:$S$358,MATCH($A921,'BASE METAS DIÁRIAS'!$A$2:$A$358,0),MOD(ROW()-2,6)+1),"")</f>
        <v/>
      </c>
      <c r="G921" s="159">
        <f>IFERROR(IF(WEEKDAY($A921,2)&lt;=INDEX('BASE METAS DIÁRIAS'!$H$2:$M$358,MATCH($A921,'BASE METAS DIÁRIAS'!$A$2:$A$358,0),MOD(ROW()-2,6)+1),INDEX('BASE METAS DIÁRIAS'!$B$2:$G$358,MATCH($A921,'BASE METAS DIÁRIAS'!$A$2:$A$358,0),MOD(ROW()-2,6)+1),""),"")</f>
        <v/>
      </c>
      <c r="H921" s="159">
        <f>IFERROR(IF(INDEX('CONTROLE PRODUÇÃO POR EMPRESAS'!$B$6:$G$5000,MATCH($A921,'CONTROLE PRODUÇÃO POR EMPRESAS'!$A$6:$A$5000,0),MOD(ROW()-2,6)+1)="","",IFERROR(1*INDEX('CONTROLE PRODUÇÃO POR EMPRESAS'!$B$6:$G$5000,MATCH($A921,'CONTROLE PRODUÇÃO POR EMPRESAS'!$A$6:$A$5000,0),MOD(ROW()-2,6)+1),"")),"")</f>
        <v/>
      </c>
      <c r="I921" s="159">
        <f>IF(OR(NOT(ISNUMBER(G921)),NOT(ISNUMBER(H921))),"",H921-G921)</f>
        <v/>
      </c>
      <c r="J921" s="319">
        <f>IF(OR(NOT(ISNUMBER(G921)),NOT(ISNUMBER(H921)),G921=0),"",I921/G921)</f>
        <v/>
      </c>
      <c r="K921" s="319">
        <f>IF(OR(NOT(ISNUMBER(G921)),NOT(ISNUMBER(H921)),G921=0),"",H921/G921)</f>
        <v/>
      </c>
      <c r="L921">
        <f>IF(NOT(ISNUMBER(G921)),"SEM META",IF(G921=0,"SEM META",IF(NOT(ISNUMBER(H921)),"SEM APONTAMENTO",IF(H921&gt;=G921,"VERDE",IF(H921&gt;=G921*0.9,"AMARELO","VERMELHO")))))</f>
        <v/>
      </c>
      <c r="M921" s="162" t="n"/>
      <c r="N921" s="162" t="n"/>
      <c r="O921" s="162" t="n"/>
      <c r="P921" s="162" t="n"/>
      <c r="Q921" s="320" t="n"/>
      <c r="R921" s="162" t="inlineStr">
        <is>
          <t>CONTROLE PRODUÇÃO POR EMPRESAS!C159</t>
        </is>
      </c>
    </row>
    <row r="922" ht="28.5" customHeight="1">
      <c r="A922" s="317" t="n">
        <v>46376</v>
      </c>
      <c r="B922" t="inlineStr">
        <is>
          <t>GERAL</t>
        </is>
      </c>
      <c r="C922" t="inlineStr">
        <is>
          <t>EJ</t>
        </is>
      </c>
      <c r="D922" t="inlineStr">
        <is>
          <t>VIGAS</t>
        </is>
      </c>
      <c r="F922" s="159">
        <f>IFERROR(INDEX('BASE METAS DIÁRIAS'!$N$2:$S$358,MATCH($A922,'BASE METAS DIÁRIAS'!$A$2:$A$358,0),MOD(ROW()-2,6)+1),"")</f>
        <v/>
      </c>
      <c r="G922" s="159">
        <f>IFERROR(IF(WEEKDAY($A922,2)&lt;=INDEX('BASE METAS DIÁRIAS'!$H$2:$M$358,MATCH($A922,'BASE METAS DIÁRIAS'!$A$2:$A$358,0),MOD(ROW()-2,6)+1),INDEX('BASE METAS DIÁRIAS'!$B$2:$G$358,MATCH($A922,'BASE METAS DIÁRIAS'!$A$2:$A$358,0),MOD(ROW()-2,6)+1),""),"")</f>
        <v/>
      </c>
      <c r="H922" s="159">
        <f>IFERROR(IF(INDEX('CONTROLE PRODUÇÃO POR EMPRESAS'!$B$6:$G$5000,MATCH($A922,'CONTROLE PRODUÇÃO POR EMPRESAS'!$A$6:$A$5000,0),MOD(ROW()-2,6)+1)="","",IFERROR(1*INDEX('CONTROLE PRODUÇÃO POR EMPRESAS'!$B$6:$G$5000,MATCH($A922,'CONTROLE PRODUÇÃO POR EMPRESAS'!$A$6:$A$5000,0),MOD(ROW()-2,6)+1),"")),"")</f>
        <v/>
      </c>
      <c r="I922" s="159">
        <f>IF(OR(NOT(ISNUMBER(G922)),NOT(ISNUMBER(H922))),"",H922-G922)</f>
        <v/>
      </c>
      <c r="J922" s="319">
        <f>IF(OR(NOT(ISNUMBER(G922)),NOT(ISNUMBER(H922)),G922=0),"",I922/G922)</f>
        <v/>
      </c>
      <c r="K922" s="319">
        <f>IF(OR(NOT(ISNUMBER(G922)),NOT(ISNUMBER(H922)),G922=0),"",H922/G922)</f>
        <v/>
      </c>
      <c r="L922">
        <f>IF(NOT(ISNUMBER(G922)),"SEM META",IF(G922=0,"SEM META",IF(NOT(ISNUMBER(H922)),"SEM APONTAMENTO",IF(H922&gt;=G922,"VERDE",IF(H922&gt;=G922*0.9,"AMARELO","VERMELHO")))))</f>
        <v/>
      </c>
      <c r="M922" s="162" t="n"/>
      <c r="N922" s="162" t="n"/>
      <c r="O922" s="162" t="n"/>
      <c r="P922" s="162" t="n"/>
      <c r="Q922" s="320" t="n"/>
      <c r="R922" s="162" t="inlineStr">
        <is>
          <t>CONTROLE PRODUÇÃO POR EMPRESAS!D159</t>
        </is>
      </c>
    </row>
    <row r="923" ht="28.5" customHeight="1">
      <c r="A923" s="317" t="n">
        <v>46376</v>
      </c>
      <c r="B923" t="inlineStr">
        <is>
          <t>GERAL</t>
        </is>
      </c>
      <c r="C923" t="inlineStr">
        <is>
          <t>CMM</t>
        </is>
      </c>
      <c r="D923" t="inlineStr">
        <is>
          <t>PREMONTAGEM</t>
        </is>
      </c>
      <c r="F923" s="159">
        <f>IFERROR(INDEX('BASE METAS DIÁRIAS'!$N$2:$S$358,MATCH($A923,'BASE METAS DIÁRIAS'!$A$2:$A$358,0),MOD(ROW()-2,6)+1),"")</f>
        <v/>
      </c>
      <c r="G923" s="159">
        <f>IFERROR(IF(WEEKDAY($A923,2)&lt;=INDEX('BASE METAS DIÁRIAS'!$H$2:$M$358,MATCH($A923,'BASE METAS DIÁRIAS'!$A$2:$A$358,0),MOD(ROW()-2,6)+1),INDEX('BASE METAS DIÁRIAS'!$B$2:$G$358,MATCH($A923,'BASE METAS DIÁRIAS'!$A$2:$A$358,0),MOD(ROW()-2,6)+1),""),"")</f>
        <v/>
      </c>
      <c r="H923" s="159">
        <f>IFERROR(IF(INDEX('CONTROLE PRODUÇÃO POR EMPRESAS'!$B$6:$G$5000,MATCH($A923,'CONTROLE PRODUÇÃO POR EMPRESAS'!$A$6:$A$5000,0),MOD(ROW()-2,6)+1)="","",IFERROR(1*INDEX('CONTROLE PRODUÇÃO POR EMPRESAS'!$B$6:$G$5000,MATCH($A923,'CONTROLE PRODUÇÃO POR EMPRESAS'!$A$6:$A$5000,0),MOD(ROW()-2,6)+1),"")),"")</f>
        <v/>
      </c>
      <c r="I923" s="159">
        <f>IF(OR(NOT(ISNUMBER(G923)),NOT(ISNUMBER(H923))),"",H923-G923)</f>
        <v/>
      </c>
      <c r="J923" s="319">
        <f>IF(OR(NOT(ISNUMBER(G923)),NOT(ISNUMBER(H923)),G923=0),"",I923/G923)</f>
        <v/>
      </c>
      <c r="K923" s="319">
        <f>IF(OR(NOT(ISNUMBER(G923)),NOT(ISNUMBER(H923)),G923=0),"",H923/G923)</f>
        <v/>
      </c>
      <c r="L923">
        <f>IF(NOT(ISNUMBER(G923)),"SEM META",IF(G923=0,"SEM META",IF(NOT(ISNUMBER(H923)),"SEM APONTAMENTO",IF(H923&gt;=G923,"VERDE",IF(H923&gt;=G923*0.9,"AMARELO","VERMELHO")))))</f>
        <v/>
      </c>
      <c r="M923" s="162" t="n"/>
      <c r="N923" s="162" t="n"/>
      <c r="O923" s="162" t="n"/>
      <c r="P923" s="162" t="n"/>
      <c r="Q923" s="320" t="n"/>
      <c r="R923" s="162" t="inlineStr">
        <is>
          <t>CONTROLE PRODUÇÃO POR EMPRESAS!E159</t>
        </is>
      </c>
    </row>
    <row r="924" ht="28.5" customHeight="1">
      <c r="A924" s="317" t="n">
        <v>46376</v>
      </c>
      <c r="B924" t="inlineStr">
        <is>
          <t>GERAL</t>
        </is>
      </c>
      <c r="C924" t="inlineStr">
        <is>
          <t>CMM</t>
        </is>
      </c>
      <c r="D924" t="inlineStr">
        <is>
          <t>IÇAMENTO JOIST</t>
        </is>
      </c>
      <c r="F924" s="159">
        <f>IFERROR(INDEX('BASE METAS DIÁRIAS'!$N$2:$S$358,MATCH($A924,'BASE METAS DIÁRIAS'!$A$2:$A$358,0),MOD(ROW()-2,6)+1),"")</f>
        <v/>
      </c>
      <c r="G924" s="159">
        <f>IFERROR(IF(WEEKDAY($A924,2)&lt;=INDEX('BASE METAS DIÁRIAS'!$H$2:$M$358,MATCH($A924,'BASE METAS DIÁRIAS'!$A$2:$A$358,0),MOD(ROW()-2,6)+1),INDEX('BASE METAS DIÁRIAS'!$B$2:$G$358,MATCH($A924,'BASE METAS DIÁRIAS'!$A$2:$A$358,0),MOD(ROW()-2,6)+1),""),"")</f>
        <v/>
      </c>
      <c r="H924" s="159">
        <f>IFERROR(IF(INDEX('CONTROLE PRODUÇÃO POR EMPRESAS'!$B$6:$G$5000,MATCH($A924,'CONTROLE PRODUÇÃO POR EMPRESAS'!$A$6:$A$5000,0),MOD(ROW()-2,6)+1)="","",IFERROR(1*INDEX('CONTROLE PRODUÇÃO POR EMPRESAS'!$B$6:$G$5000,MATCH($A924,'CONTROLE PRODUÇÃO POR EMPRESAS'!$A$6:$A$5000,0),MOD(ROW()-2,6)+1),"")),"")</f>
        <v/>
      </c>
      <c r="I924" s="159">
        <f>IF(OR(NOT(ISNUMBER(G924)),NOT(ISNUMBER(H924))),"",H924-G924)</f>
        <v/>
      </c>
      <c r="J924" s="319">
        <f>IF(OR(NOT(ISNUMBER(G924)),NOT(ISNUMBER(H924)),G924=0),"",I924/G924)</f>
        <v/>
      </c>
      <c r="K924" s="319">
        <f>IF(OR(NOT(ISNUMBER(G924)),NOT(ISNUMBER(H924)),G924=0),"",H924/G924)</f>
        <v/>
      </c>
      <c r="L924">
        <f>IF(NOT(ISNUMBER(G924)),"SEM META",IF(G924=0,"SEM META",IF(NOT(ISNUMBER(H924)),"SEM APONTAMENTO",IF(H924&gt;=G924,"VERDE",IF(H924&gt;=G924*0.9,"AMARELO","VERMELHO")))))</f>
        <v/>
      </c>
      <c r="M924" s="162" t="n"/>
      <c r="N924" s="162" t="n"/>
      <c r="O924" s="162" t="n"/>
      <c r="P924" s="162" t="n"/>
      <c r="Q924" s="320" t="n"/>
      <c r="R924" s="162" t="inlineStr">
        <is>
          <t>CONTROLE PRODUÇÃO POR EMPRESAS!F159</t>
        </is>
      </c>
    </row>
    <row r="925" ht="28.5" customHeight="1">
      <c r="A925" s="317" t="n">
        <v>46376</v>
      </c>
      <c r="B925" t="inlineStr">
        <is>
          <t>GERAL</t>
        </is>
      </c>
      <c r="C925" t="inlineStr">
        <is>
          <t>CMM</t>
        </is>
      </c>
      <c r="D925" t="inlineStr">
        <is>
          <t>VIGAS</t>
        </is>
      </c>
      <c r="F925" s="159">
        <f>IFERROR(INDEX('BASE METAS DIÁRIAS'!$N$2:$S$358,MATCH($A925,'BASE METAS DIÁRIAS'!$A$2:$A$358,0),MOD(ROW()-2,6)+1),"")</f>
        <v/>
      </c>
      <c r="G925" s="159">
        <f>IFERROR(IF(WEEKDAY($A925,2)&lt;=INDEX('BASE METAS DIÁRIAS'!$H$2:$M$358,MATCH($A925,'BASE METAS DIÁRIAS'!$A$2:$A$358,0),MOD(ROW()-2,6)+1),INDEX('BASE METAS DIÁRIAS'!$B$2:$G$358,MATCH($A925,'BASE METAS DIÁRIAS'!$A$2:$A$358,0),MOD(ROW()-2,6)+1),""),"")</f>
        <v/>
      </c>
      <c r="H925" s="159">
        <f>IFERROR(IF(INDEX('CONTROLE PRODUÇÃO POR EMPRESAS'!$B$6:$G$5000,MATCH($A925,'CONTROLE PRODUÇÃO POR EMPRESAS'!$A$6:$A$5000,0),MOD(ROW()-2,6)+1)="","",IFERROR(1*INDEX('CONTROLE PRODUÇÃO POR EMPRESAS'!$B$6:$G$5000,MATCH($A925,'CONTROLE PRODUÇÃO POR EMPRESAS'!$A$6:$A$5000,0),MOD(ROW()-2,6)+1),"")),"")</f>
        <v/>
      </c>
      <c r="I925" s="159">
        <f>IF(OR(NOT(ISNUMBER(G925)),NOT(ISNUMBER(H925))),"",H925-G925)</f>
        <v/>
      </c>
      <c r="J925" s="319">
        <f>IF(OR(NOT(ISNUMBER(G925)),NOT(ISNUMBER(H925)),G925=0),"",I925/G925)</f>
        <v/>
      </c>
      <c r="K925" s="319">
        <f>IF(OR(NOT(ISNUMBER(G925)),NOT(ISNUMBER(H925)),G925=0),"",H925/G925)</f>
        <v/>
      </c>
      <c r="L925">
        <f>IF(NOT(ISNUMBER(G925)),"SEM META",IF(G925=0,"SEM META",IF(NOT(ISNUMBER(H925)),"SEM APONTAMENTO",IF(H925&gt;=G925,"VERDE",IF(H925&gt;=G925*0.9,"AMARELO","VERMELHO")))))</f>
        <v/>
      </c>
      <c r="M925" s="162" t="n"/>
      <c r="N925" s="162" t="n"/>
      <c r="O925" s="162" t="n"/>
      <c r="P925" s="162" t="n"/>
      <c r="Q925" s="320" t="n"/>
      <c r="R925" s="162" t="inlineStr">
        <is>
          <t>CONTROLE PRODUÇÃO POR EMPRESAS!G159</t>
        </is>
      </c>
    </row>
    <row r="926" ht="28.5" customHeight="1">
      <c r="A926" s="317" t="n">
        <v>46377</v>
      </c>
      <c r="B926" t="inlineStr">
        <is>
          <t>GERAL</t>
        </is>
      </c>
      <c r="C926" t="inlineStr">
        <is>
          <t>EJ</t>
        </is>
      </c>
      <c r="D926" t="inlineStr">
        <is>
          <t>PREMONTAGEM</t>
        </is>
      </c>
      <c r="F926" s="159">
        <f>IFERROR(INDEX('BASE METAS DIÁRIAS'!$N$2:$S$358,MATCH($A926,'BASE METAS DIÁRIAS'!$A$2:$A$358,0),MOD(ROW()-2,6)+1),"")</f>
        <v/>
      </c>
      <c r="G926" s="159">
        <f>IFERROR(IF(WEEKDAY($A926,2)&lt;=INDEX('BASE METAS DIÁRIAS'!$H$2:$M$358,MATCH($A926,'BASE METAS DIÁRIAS'!$A$2:$A$358,0),MOD(ROW()-2,6)+1),INDEX('BASE METAS DIÁRIAS'!$B$2:$G$358,MATCH($A926,'BASE METAS DIÁRIAS'!$A$2:$A$358,0),MOD(ROW()-2,6)+1),""),"")</f>
        <v/>
      </c>
      <c r="H926" s="159">
        <f>IFERROR(IF(INDEX('CONTROLE PRODUÇÃO POR EMPRESAS'!$B$6:$G$5000,MATCH($A926,'CONTROLE PRODUÇÃO POR EMPRESAS'!$A$6:$A$5000,0),MOD(ROW()-2,6)+1)="","",IFERROR(1*INDEX('CONTROLE PRODUÇÃO POR EMPRESAS'!$B$6:$G$5000,MATCH($A926,'CONTROLE PRODUÇÃO POR EMPRESAS'!$A$6:$A$5000,0),MOD(ROW()-2,6)+1),"")),"")</f>
        <v/>
      </c>
      <c r="I926" s="159">
        <f>IF(OR(NOT(ISNUMBER(G926)),NOT(ISNUMBER(H926))),"",H926-G926)</f>
        <v/>
      </c>
      <c r="J926" s="319">
        <f>IF(OR(NOT(ISNUMBER(G926)),NOT(ISNUMBER(H926)),G926=0),"",I926/G926)</f>
        <v/>
      </c>
      <c r="K926" s="319">
        <f>IF(OR(NOT(ISNUMBER(G926)),NOT(ISNUMBER(H926)),G926=0),"",H926/G926)</f>
        <v/>
      </c>
      <c r="L926">
        <f>IF(NOT(ISNUMBER(G926)),"SEM META",IF(G926=0,"SEM META",IF(NOT(ISNUMBER(H926)),"SEM APONTAMENTO",IF(H926&gt;=G926,"VERDE",IF(H926&gt;=G926*0.9,"AMARELO","VERMELHO")))))</f>
        <v/>
      </c>
      <c r="M926" s="162" t="n"/>
      <c r="N926" s="162" t="n"/>
      <c r="O926" s="162" t="n"/>
      <c r="P926" s="162" t="n"/>
      <c r="Q926" s="320" t="n"/>
      <c r="R926" s="162" t="inlineStr">
        <is>
          <t>CONTROLE PRODUÇÃO POR EMPRESAS!B160</t>
        </is>
      </c>
    </row>
    <row r="927" ht="28.5" customHeight="1">
      <c r="A927" s="317" t="n">
        <v>46377</v>
      </c>
      <c r="B927" t="inlineStr">
        <is>
          <t>GERAL</t>
        </is>
      </c>
      <c r="C927" t="inlineStr">
        <is>
          <t>EJ</t>
        </is>
      </c>
      <c r="D927" t="inlineStr">
        <is>
          <t>IÇAMENTO JOIST</t>
        </is>
      </c>
      <c r="F927" s="159">
        <f>IFERROR(INDEX('BASE METAS DIÁRIAS'!$N$2:$S$358,MATCH($A927,'BASE METAS DIÁRIAS'!$A$2:$A$358,0),MOD(ROW()-2,6)+1),"")</f>
        <v/>
      </c>
      <c r="G927" s="159">
        <f>IFERROR(IF(WEEKDAY($A927,2)&lt;=INDEX('BASE METAS DIÁRIAS'!$H$2:$M$358,MATCH($A927,'BASE METAS DIÁRIAS'!$A$2:$A$358,0),MOD(ROW()-2,6)+1),INDEX('BASE METAS DIÁRIAS'!$B$2:$G$358,MATCH($A927,'BASE METAS DIÁRIAS'!$A$2:$A$358,0),MOD(ROW()-2,6)+1),""),"")</f>
        <v/>
      </c>
      <c r="H927" s="159">
        <f>IFERROR(IF(INDEX('CONTROLE PRODUÇÃO POR EMPRESAS'!$B$6:$G$5000,MATCH($A927,'CONTROLE PRODUÇÃO POR EMPRESAS'!$A$6:$A$5000,0),MOD(ROW()-2,6)+1)="","",IFERROR(1*INDEX('CONTROLE PRODUÇÃO POR EMPRESAS'!$B$6:$G$5000,MATCH($A927,'CONTROLE PRODUÇÃO POR EMPRESAS'!$A$6:$A$5000,0),MOD(ROW()-2,6)+1),"")),"")</f>
        <v/>
      </c>
      <c r="I927" s="159">
        <f>IF(OR(NOT(ISNUMBER(G927)),NOT(ISNUMBER(H927))),"",H927-G927)</f>
        <v/>
      </c>
      <c r="J927" s="319">
        <f>IF(OR(NOT(ISNUMBER(G927)),NOT(ISNUMBER(H927)),G927=0),"",I927/G927)</f>
        <v/>
      </c>
      <c r="K927" s="319">
        <f>IF(OR(NOT(ISNUMBER(G927)),NOT(ISNUMBER(H927)),G927=0),"",H927/G927)</f>
        <v/>
      </c>
      <c r="L927">
        <f>IF(NOT(ISNUMBER(G927)),"SEM META",IF(G927=0,"SEM META",IF(NOT(ISNUMBER(H927)),"SEM APONTAMENTO",IF(H927&gt;=G927,"VERDE",IF(H927&gt;=G927*0.9,"AMARELO","VERMELHO")))))</f>
        <v/>
      </c>
      <c r="M927" s="162" t="n"/>
      <c r="N927" s="162" t="n"/>
      <c r="O927" s="162" t="n"/>
      <c r="P927" s="162" t="n"/>
      <c r="Q927" s="320" t="n"/>
      <c r="R927" s="162" t="inlineStr">
        <is>
          <t>CONTROLE PRODUÇÃO POR EMPRESAS!C160</t>
        </is>
      </c>
    </row>
    <row r="928" ht="28.5" customHeight="1">
      <c r="A928" s="317" t="n">
        <v>46377</v>
      </c>
      <c r="B928" t="inlineStr">
        <is>
          <t>GERAL</t>
        </is>
      </c>
      <c r="C928" t="inlineStr">
        <is>
          <t>EJ</t>
        </is>
      </c>
      <c r="D928" t="inlineStr">
        <is>
          <t>VIGAS</t>
        </is>
      </c>
      <c r="F928" s="159">
        <f>IFERROR(INDEX('BASE METAS DIÁRIAS'!$N$2:$S$358,MATCH($A928,'BASE METAS DIÁRIAS'!$A$2:$A$358,0),MOD(ROW()-2,6)+1),"")</f>
        <v/>
      </c>
      <c r="G928" s="159">
        <f>IFERROR(IF(WEEKDAY($A928,2)&lt;=INDEX('BASE METAS DIÁRIAS'!$H$2:$M$358,MATCH($A928,'BASE METAS DIÁRIAS'!$A$2:$A$358,0),MOD(ROW()-2,6)+1),INDEX('BASE METAS DIÁRIAS'!$B$2:$G$358,MATCH($A928,'BASE METAS DIÁRIAS'!$A$2:$A$358,0),MOD(ROW()-2,6)+1),""),"")</f>
        <v/>
      </c>
      <c r="H928" s="159">
        <f>IFERROR(IF(INDEX('CONTROLE PRODUÇÃO POR EMPRESAS'!$B$6:$G$5000,MATCH($A928,'CONTROLE PRODUÇÃO POR EMPRESAS'!$A$6:$A$5000,0),MOD(ROW()-2,6)+1)="","",IFERROR(1*INDEX('CONTROLE PRODUÇÃO POR EMPRESAS'!$B$6:$G$5000,MATCH($A928,'CONTROLE PRODUÇÃO POR EMPRESAS'!$A$6:$A$5000,0),MOD(ROW()-2,6)+1),"")),"")</f>
        <v/>
      </c>
      <c r="I928" s="159">
        <f>IF(OR(NOT(ISNUMBER(G928)),NOT(ISNUMBER(H928))),"",H928-G928)</f>
        <v/>
      </c>
      <c r="J928" s="319">
        <f>IF(OR(NOT(ISNUMBER(G928)),NOT(ISNUMBER(H928)),G928=0),"",I928/G928)</f>
        <v/>
      </c>
      <c r="K928" s="319">
        <f>IF(OR(NOT(ISNUMBER(G928)),NOT(ISNUMBER(H928)),G928=0),"",H928/G928)</f>
        <v/>
      </c>
      <c r="L928">
        <f>IF(NOT(ISNUMBER(G928)),"SEM META",IF(G928=0,"SEM META",IF(NOT(ISNUMBER(H928)),"SEM APONTAMENTO",IF(H928&gt;=G928,"VERDE",IF(H928&gt;=G928*0.9,"AMARELO","VERMELHO")))))</f>
        <v/>
      </c>
      <c r="M928" s="162" t="n"/>
      <c r="N928" s="162" t="n"/>
      <c r="O928" s="162" t="n"/>
      <c r="P928" s="162" t="n"/>
      <c r="Q928" s="320" t="n"/>
      <c r="R928" s="162" t="inlineStr">
        <is>
          <t>CONTROLE PRODUÇÃO POR EMPRESAS!D160</t>
        </is>
      </c>
    </row>
    <row r="929" ht="28.5" customHeight="1">
      <c r="A929" s="317" t="n">
        <v>46377</v>
      </c>
      <c r="B929" t="inlineStr">
        <is>
          <t>GERAL</t>
        </is>
      </c>
      <c r="C929" t="inlineStr">
        <is>
          <t>CMM</t>
        </is>
      </c>
      <c r="D929" t="inlineStr">
        <is>
          <t>PREMONTAGEM</t>
        </is>
      </c>
      <c r="F929" s="159">
        <f>IFERROR(INDEX('BASE METAS DIÁRIAS'!$N$2:$S$358,MATCH($A929,'BASE METAS DIÁRIAS'!$A$2:$A$358,0),MOD(ROW()-2,6)+1),"")</f>
        <v/>
      </c>
      <c r="G929" s="159">
        <f>IFERROR(IF(WEEKDAY($A929,2)&lt;=INDEX('BASE METAS DIÁRIAS'!$H$2:$M$358,MATCH($A929,'BASE METAS DIÁRIAS'!$A$2:$A$358,0),MOD(ROW()-2,6)+1),INDEX('BASE METAS DIÁRIAS'!$B$2:$G$358,MATCH($A929,'BASE METAS DIÁRIAS'!$A$2:$A$358,0),MOD(ROW()-2,6)+1),""),"")</f>
        <v/>
      </c>
      <c r="H929" s="159">
        <f>IFERROR(IF(INDEX('CONTROLE PRODUÇÃO POR EMPRESAS'!$B$6:$G$5000,MATCH($A929,'CONTROLE PRODUÇÃO POR EMPRESAS'!$A$6:$A$5000,0),MOD(ROW()-2,6)+1)="","",IFERROR(1*INDEX('CONTROLE PRODUÇÃO POR EMPRESAS'!$B$6:$G$5000,MATCH($A929,'CONTROLE PRODUÇÃO POR EMPRESAS'!$A$6:$A$5000,0),MOD(ROW()-2,6)+1),"")),"")</f>
        <v/>
      </c>
      <c r="I929" s="159">
        <f>IF(OR(NOT(ISNUMBER(G929)),NOT(ISNUMBER(H929))),"",H929-G929)</f>
        <v/>
      </c>
      <c r="J929" s="319">
        <f>IF(OR(NOT(ISNUMBER(G929)),NOT(ISNUMBER(H929)),G929=0),"",I929/G929)</f>
        <v/>
      </c>
      <c r="K929" s="319">
        <f>IF(OR(NOT(ISNUMBER(G929)),NOT(ISNUMBER(H929)),G929=0),"",H929/G929)</f>
        <v/>
      </c>
      <c r="L929">
        <f>IF(NOT(ISNUMBER(G929)),"SEM META",IF(G929=0,"SEM META",IF(NOT(ISNUMBER(H929)),"SEM APONTAMENTO",IF(H929&gt;=G929,"VERDE",IF(H929&gt;=G929*0.9,"AMARELO","VERMELHO")))))</f>
        <v/>
      </c>
      <c r="M929" s="162" t="n"/>
      <c r="N929" s="162" t="n"/>
      <c r="O929" s="162" t="n"/>
      <c r="P929" s="162" t="n"/>
      <c r="Q929" s="320" t="n"/>
      <c r="R929" s="162" t="inlineStr">
        <is>
          <t>CONTROLE PRODUÇÃO POR EMPRESAS!E160</t>
        </is>
      </c>
    </row>
    <row r="930" ht="28.5" customHeight="1">
      <c r="A930" s="317" t="n">
        <v>46377</v>
      </c>
      <c r="B930" t="inlineStr">
        <is>
          <t>GERAL</t>
        </is>
      </c>
      <c r="C930" t="inlineStr">
        <is>
          <t>CMM</t>
        </is>
      </c>
      <c r="D930" t="inlineStr">
        <is>
          <t>IÇAMENTO JOIST</t>
        </is>
      </c>
      <c r="F930" s="159">
        <f>IFERROR(INDEX('BASE METAS DIÁRIAS'!$N$2:$S$358,MATCH($A930,'BASE METAS DIÁRIAS'!$A$2:$A$358,0),MOD(ROW()-2,6)+1),"")</f>
        <v/>
      </c>
      <c r="G930" s="159">
        <f>IFERROR(IF(WEEKDAY($A930,2)&lt;=INDEX('BASE METAS DIÁRIAS'!$H$2:$M$358,MATCH($A930,'BASE METAS DIÁRIAS'!$A$2:$A$358,0),MOD(ROW()-2,6)+1),INDEX('BASE METAS DIÁRIAS'!$B$2:$G$358,MATCH($A930,'BASE METAS DIÁRIAS'!$A$2:$A$358,0),MOD(ROW()-2,6)+1),""),"")</f>
        <v/>
      </c>
      <c r="H930" s="159">
        <f>IFERROR(IF(INDEX('CONTROLE PRODUÇÃO POR EMPRESAS'!$B$6:$G$5000,MATCH($A930,'CONTROLE PRODUÇÃO POR EMPRESAS'!$A$6:$A$5000,0),MOD(ROW()-2,6)+1)="","",IFERROR(1*INDEX('CONTROLE PRODUÇÃO POR EMPRESAS'!$B$6:$G$5000,MATCH($A930,'CONTROLE PRODUÇÃO POR EMPRESAS'!$A$6:$A$5000,0),MOD(ROW()-2,6)+1),"")),"")</f>
        <v/>
      </c>
      <c r="I930" s="159">
        <f>IF(OR(NOT(ISNUMBER(G930)),NOT(ISNUMBER(H930))),"",H930-G930)</f>
        <v/>
      </c>
      <c r="J930" s="319">
        <f>IF(OR(NOT(ISNUMBER(G930)),NOT(ISNUMBER(H930)),G930=0),"",I930/G930)</f>
        <v/>
      </c>
      <c r="K930" s="319">
        <f>IF(OR(NOT(ISNUMBER(G930)),NOT(ISNUMBER(H930)),G930=0),"",H930/G930)</f>
        <v/>
      </c>
      <c r="L930">
        <f>IF(NOT(ISNUMBER(G930)),"SEM META",IF(G930=0,"SEM META",IF(NOT(ISNUMBER(H930)),"SEM APONTAMENTO",IF(H930&gt;=G930,"VERDE",IF(H930&gt;=G930*0.9,"AMARELO","VERMELHO")))))</f>
        <v/>
      </c>
      <c r="M930" s="162" t="n"/>
      <c r="N930" s="162" t="n"/>
      <c r="O930" s="162" t="n"/>
      <c r="P930" s="162" t="n"/>
      <c r="Q930" s="320" t="n"/>
      <c r="R930" s="162" t="inlineStr">
        <is>
          <t>CONTROLE PRODUÇÃO POR EMPRESAS!F160</t>
        </is>
      </c>
    </row>
    <row r="931" ht="28.5" customHeight="1">
      <c r="A931" s="317" t="n">
        <v>46377</v>
      </c>
      <c r="B931" t="inlineStr">
        <is>
          <t>GERAL</t>
        </is>
      </c>
      <c r="C931" t="inlineStr">
        <is>
          <t>CMM</t>
        </is>
      </c>
      <c r="D931" t="inlineStr">
        <is>
          <t>VIGAS</t>
        </is>
      </c>
      <c r="F931" s="159">
        <f>IFERROR(INDEX('BASE METAS DIÁRIAS'!$N$2:$S$358,MATCH($A931,'BASE METAS DIÁRIAS'!$A$2:$A$358,0),MOD(ROW()-2,6)+1),"")</f>
        <v/>
      </c>
      <c r="G931" s="159">
        <f>IFERROR(IF(WEEKDAY($A931,2)&lt;=INDEX('BASE METAS DIÁRIAS'!$H$2:$M$358,MATCH($A931,'BASE METAS DIÁRIAS'!$A$2:$A$358,0),MOD(ROW()-2,6)+1),INDEX('BASE METAS DIÁRIAS'!$B$2:$G$358,MATCH($A931,'BASE METAS DIÁRIAS'!$A$2:$A$358,0),MOD(ROW()-2,6)+1),""),"")</f>
        <v/>
      </c>
      <c r="H931" s="159">
        <f>IFERROR(IF(INDEX('CONTROLE PRODUÇÃO POR EMPRESAS'!$B$6:$G$5000,MATCH($A931,'CONTROLE PRODUÇÃO POR EMPRESAS'!$A$6:$A$5000,0),MOD(ROW()-2,6)+1)="","",IFERROR(1*INDEX('CONTROLE PRODUÇÃO POR EMPRESAS'!$B$6:$G$5000,MATCH($A931,'CONTROLE PRODUÇÃO POR EMPRESAS'!$A$6:$A$5000,0),MOD(ROW()-2,6)+1),"")),"")</f>
        <v/>
      </c>
      <c r="I931" s="159">
        <f>IF(OR(NOT(ISNUMBER(G931)),NOT(ISNUMBER(H931))),"",H931-G931)</f>
        <v/>
      </c>
      <c r="J931" s="319">
        <f>IF(OR(NOT(ISNUMBER(G931)),NOT(ISNUMBER(H931)),G931=0),"",I931/G931)</f>
        <v/>
      </c>
      <c r="K931" s="319">
        <f>IF(OR(NOT(ISNUMBER(G931)),NOT(ISNUMBER(H931)),G931=0),"",H931/G931)</f>
        <v/>
      </c>
      <c r="L931">
        <f>IF(NOT(ISNUMBER(G931)),"SEM META",IF(G931=0,"SEM META",IF(NOT(ISNUMBER(H931)),"SEM APONTAMENTO",IF(H931&gt;=G931,"VERDE",IF(H931&gt;=G931*0.9,"AMARELO","VERMELHO")))))</f>
        <v/>
      </c>
      <c r="M931" s="162" t="n"/>
      <c r="N931" s="162" t="n"/>
      <c r="O931" s="162" t="n"/>
      <c r="P931" s="162" t="n"/>
      <c r="Q931" s="320" t="n"/>
      <c r="R931" s="162" t="inlineStr">
        <is>
          <t>CONTROLE PRODUÇÃO POR EMPRESAS!G160</t>
        </is>
      </c>
    </row>
    <row r="932" ht="28.5" customHeight="1">
      <c r="A932" s="317" t="n">
        <v>46378</v>
      </c>
      <c r="B932" t="inlineStr">
        <is>
          <t>GERAL</t>
        </is>
      </c>
      <c r="C932" t="inlineStr">
        <is>
          <t>EJ</t>
        </is>
      </c>
      <c r="D932" t="inlineStr">
        <is>
          <t>PREMONTAGEM</t>
        </is>
      </c>
      <c r="F932" s="159">
        <f>IFERROR(INDEX('BASE METAS DIÁRIAS'!$N$2:$S$358,MATCH($A932,'BASE METAS DIÁRIAS'!$A$2:$A$358,0),MOD(ROW()-2,6)+1),"")</f>
        <v/>
      </c>
      <c r="G932" s="159">
        <f>IFERROR(IF(WEEKDAY($A932,2)&lt;=INDEX('BASE METAS DIÁRIAS'!$H$2:$M$358,MATCH($A932,'BASE METAS DIÁRIAS'!$A$2:$A$358,0),MOD(ROW()-2,6)+1),INDEX('BASE METAS DIÁRIAS'!$B$2:$G$358,MATCH($A932,'BASE METAS DIÁRIAS'!$A$2:$A$358,0),MOD(ROW()-2,6)+1),""),"")</f>
        <v/>
      </c>
      <c r="H932" s="159">
        <f>IFERROR(IF(INDEX('CONTROLE PRODUÇÃO POR EMPRESAS'!$B$6:$G$5000,MATCH($A932,'CONTROLE PRODUÇÃO POR EMPRESAS'!$A$6:$A$5000,0),MOD(ROW()-2,6)+1)="","",IFERROR(1*INDEX('CONTROLE PRODUÇÃO POR EMPRESAS'!$B$6:$G$5000,MATCH($A932,'CONTROLE PRODUÇÃO POR EMPRESAS'!$A$6:$A$5000,0),MOD(ROW()-2,6)+1),"")),"")</f>
        <v/>
      </c>
      <c r="I932" s="159">
        <f>IF(OR(NOT(ISNUMBER(G932)),NOT(ISNUMBER(H932))),"",H932-G932)</f>
        <v/>
      </c>
      <c r="J932" s="319">
        <f>IF(OR(NOT(ISNUMBER(G932)),NOT(ISNUMBER(H932)),G932=0),"",I932/G932)</f>
        <v/>
      </c>
      <c r="K932" s="319">
        <f>IF(OR(NOT(ISNUMBER(G932)),NOT(ISNUMBER(H932)),G932=0),"",H932/G932)</f>
        <v/>
      </c>
      <c r="L932">
        <f>IF(NOT(ISNUMBER(G932)),"SEM META",IF(G932=0,"SEM META",IF(NOT(ISNUMBER(H932)),"SEM APONTAMENTO",IF(H932&gt;=G932,"VERDE",IF(H932&gt;=G932*0.9,"AMARELO","VERMELHO")))))</f>
        <v/>
      </c>
      <c r="M932" s="162" t="n"/>
      <c r="N932" s="162" t="n"/>
      <c r="O932" s="162" t="n"/>
      <c r="P932" s="162" t="n"/>
      <c r="Q932" s="320" t="n"/>
      <c r="R932" s="162" t="inlineStr">
        <is>
          <t>CONTROLE PRODUÇÃO POR EMPRESAS!B161</t>
        </is>
      </c>
    </row>
    <row r="933" ht="28.5" customHeight="1">
      <c r="A933" s="317" t="n">
        <v>46378</v>
      </c>
      <c r="B933" t="inlineStr">
        <is>
          <t>GERAL</t>
        </is>
      </c>
      <c r="C933" t="inlineStr">
        <is>
          <t>EJ</t>
        </is>
      </c>
      <c r="D933" t="inlineStr">
        <is>
          <t>IÇAMENTO JOIST</t>
        </is>
      </c>
      <c r="F933" s="159">
        <f>IFERROR(INDEX('BASE METAS DIÁRIAS'!$N$2:$S$358,MATCH($A933,'BASE METAS DIÁRIAS'!$A$2:$A$358,0),MOD(ROW()-2,6)+1),"")</f>
        <v/>
      </c>
      <c r="G933" s="159">
        <f>IFERROR(IF(WEEKDAY($A933,2)&lt;=INDEX('BASE METAS DIÁRIAS'!$H$2:$M$358,MATCH($A933,'BASE METAS DIÁRIAS'!$A$2:$A$358,0),MOD(ROW()-2,6)+1),INDEX('BASE METAS DIÁRIAS'!$B$2:$G$358,MATCH($A933,'BASE METAS DIÁRIAS'!$A$2:$A$358,0),MOD(ROW()-2,6)+1),""),"")</f>
        <v/>
      </c>
      <c r="H933" s="159">
        <f>IFERROR(IF(INDEX('CONTROLE PRODUÇÃO POR EMPRESAS'!$B$6:$G$5000,MATCH($A933,'CONTROLE PRODUÇÃO POR EMPRESAS'!$A$6:$A$5000,0),MOD(ROW()-2,6)+1)="","",IFERROR(1*INDEX('CONTROLE PRODUÇÃO POR EMPRESAS'!$B$6:$G$5000,MATCH($A933,'CONTROLE PRODUÇÃO POR EMPRESAS'!$A$6:$A$5000,0),MOD(ROW()-2,6)+1),"")),"")</f>
        <v/>
      </c>
      <c r="I933" s="159">
        <f>IF(OR(NOT(ISNUMBER(G933)),NOT(ISNUMBER(H933))),"",H933-G933)</f>
        <v/>
      </c>
      <c r="J933" s="319">
        <f>IF(OR(NOT(ISNUMBER(G933)),NOT(ISNUMBER(H933)),G933=0),"",I933/G933)</f>
        <v/>
      </c>
      <c r="K933" s="319">
        <f>IF(OR(NOT(ISNUMBER(G933)),NOT(ISNUMBER(H933)),G933=0),"",H933/G933)</f>
        <v/>
      </c>
      <c r="L933">
        <f>IF(NOT(ISNUMBER(G933)),"SEM META",IF(G933=0,"SEM META",IF(NOT(ISNUMBER(H933)),"SEM APONTAMENTO",IF(H933&gt;=G933,"VERDE",IF(H933&gt;=G933*0.9,"AMARELO","VERMELHO")))))</f>
        <v/>
      </c>
      <c r="M933" s="162" t="n"/>
      <c r="N933" s="162" t="n"/>
      <c r="O933" s="162" t="n"/>
      <c r="P933" s="162" t="n"/>
      <c r="Q933" s="320" t="n"/>
      <c r="R933" s="162" t="inlineStr">
        <is>
          <t>CONTROLE PRODUÇÃO POR EMPRESAS!C161</t>
        </is>
      </c>
    </row>
    <row r="934" ht="28.5" customHeight="1">
      <c r="A934" s="317" t="n">
        <v>46378</v>
      </c>
      <c r="B934" t="inlineStr">
        <is>
          <t>GERAL</t>
        </is>
      </c>
      <c r="C934" t="inlineStr">
        <is>
          <t>EJ</t>
        </is>
      </c>
      <c r="D934" t="inlineStr">
        <is>
          <t>VIGAS</t>
        </is>
      </c>
      <c r="F934" s="159">
        <f>IFERROR(INDEX('BASE METAS DIÁRIAS'!$N$2:$S$358,MATCH($A934,'BASE METAS DIÁRIAS'!$A$2:$A$358,0),MOD(ROW()-2,6)+1),"")</f>
        <v/>
      </c>
      <c r="G934" s="159">
        <f>IFERROR(IF(WEEKDAY($A934,2)&lt;=INDEX('BASE METAS DIÁRIAS'!$H$2:$M$358,MATCH($A934,'BASE METAS DIÁRIAS'!$A$2:$A$358,0),MOD(ROW()-2,6)+1),INDEX('BASE METAS DIÁRIAS'!$B$2:$G$358,MATCH($A934,'BASE METAS DIÁRIAS'!$A$2:$A$358,0),MOD(ROW()-2,6)+1),""),"")</f>
        <v/>
      </c>
      <c r="H934" s="159">
        <f>IFERROR(IF(INDEX('CONTROLE PRODUÇÃO POR EMPRESAS'!$B$6:$G$5000,MATCH($A934,'CONTROLE PRODUÇÃO POR EMPRESAS'!$A$6:$A$5000,0),MOD(ROW()-2,6)+1)="","",IFERROR(1*INDEX('CONTROLE PRODUÇÃO POR EMPRESAS'!$B$6:$G$5000,MATCH($A934,'CONTROLE PRODUÇÃO POR EMPRESAS'!$A$6:$A$5000,0),MOD(ROW()-2,6)+1),"")),"")</f>
        <v/>
      </c>
      <c r="I934" s="159">
        <f>IF(OR(NOT(ISNUMBER(G934)),NOT(ISNUMBER(H934))),"",H934-G934)</f>
        <v/>
      </c>
      <c r="J934" s="319">
        <f>IF(OR(NOT(ISNUMBER(G934)),NOT(ISNUMBER(H934)),G934=0),"",I934/G934)</f>
        <v/>
      </c>
      <c r="K934" s="319">
        <f>IF(OR(NOT(ISNUMBER(G934)),NOT(ISNUMBER(H934)),G934=0),"",H934/G934)</f>
        <v/>
      </c>
      <c r="L934">
        <f>IF(NOT(ISNUMBER(G934)),"SEM META",IF(G934=0,"SEM META",IF(NOT(ISNUMBER(H934)),"SEM APONTAMENTO",IF(H934&gt;=G934,"VERDE",IF(H934&gt;=G934*0.9,"AMARELO","VERMELHO")))))</f>
        <v/>
      </c>
      <c r="M934" s="162" t="n"/>
      <c r="N934" s="162" t="n"/>
      <c r="O934" s="162" t="n"/>
      <c r="P934" s="162" t="n"/>
      <c r="Q934" s="320" t="n"/>
      <c r="R934" s="162" t="inlineStr">
        <is>
          <t>CONTROLE PRODUÇÃO POR EMPRESAS!D161</t>
        </is>
      </c>
    </row>
    <row r="935" ht="28.5" customHeight="1">
      <c r="A935" s="317" t="n">
        <v>46378</v>
      </c>
      <c r="B935" t="inlineStr">
        <is>
          <t>GERAL</t>
        </is>
      </c>
      <c r="C935" t="inlineStr">
        <is>
          <t>CMM</t>
        </is>
      </c>
      <c r="D935" t="inlineStr">
        <is>
          <t>PREMONTAGEM</t>
        </is>
      </c>
      <c r="F935" s="159">
        <f>IFERROR(INDEX('BASE METAS DIÁRIAS'!$N$2:$S$358,MATCH($A935,'BASE METAS DIÁRIAS'!$A$2:$A$358,0),MOD(ROW()-2,6)+1),"")</f>
        <v/>
      </c>
      <c r="G935" s="159">
        <f>IFERROR(IF(WEEKDAY($A935,2)&lt;=INDEX('BASE METAS DIÁRIAS'!$H$2:$M$358,MATCH($A935,'BASE METAS DIÁRIAS'!$A$2:$A$358,0),MOD(ROW()-2,6)+1),INDEX('BASE METAS DIÁRIAS'!$B$2:$G$358,MATCH($A935,'BASE METAS DIÁRIAS'!$A$2:$A$358,0),MOD(ROW()-2,6)+1),""),"")</f>
        <v/>
      </c>
      <c r="H935" s="159">
        <f>IFERROR(IF(INDEX('CONTROLE PRODUÇÃO POR EMPRESAS'!$B$6:$G$5000,MATCH($A935,'CONTROLE PRODUÇÃO POR EMPRESAS'!$A$6:$A$5000,0),MOD(ROW()-2,6)+1)="","",IFERROR(1*INDEX('CONTROLE PRODUÇÃO POR EMPRESAS'!$B$6:$G$5000,MATCH($A935,'CONTROLE PRODUÇÃO POR EMPRESAS'!$A$6:$A$5000,0),MOD(ROW()-2,6)+1),"")),"")</f>
        <v/>
      </c>
      <c r="I935" s="159">
        <f>IF(OR(NOT(ISNUMBER(G935)),NOT(ISNUMBER(H935))),"",H935-G935)</f>
        <v/>
      </c>
      <c r="J935" s="319">
        <f>IF(OR(NOT(ISNUMBER(G935)),NOT(ISNUMBER(H935)),G935=0),"",I935/G935)</f>
        <v/>
      </c>
      <c r="K935" s="319">
        <f>IF(OR(NOT(ISNUMBER(G935)),NOT(ISNUMBER(H935)),G935=0),"",H935/G935)</f>
        <v/>
      </c>
      <c r="L935">
        <f>IF(NOT(ISNUMBER(G935)),"SEM META",IF(G935=0,"SEM META",IF(NOT(ISNUMBER(H935)),"SEM APONTAMENTO",IF(H935&gt;=G935,"VERDE",IF(H935&gt;=G935*0.9,"AMARELO","VERMELHO")))))</f>
        <v/>
      </c>
      <c r="M935" s="162" t="n"/>
      <c r="N935" s="162" t="n"/>
      <c r="O935" s="162" t="n"/>
      <c r="P935" s="162" t="n"/>
      <c r="Q935" s="320" t="n"/>
      <c r="R935" s="162" t="inlineStr">
        <is>
          <t>CONTROLE PRODUÇÃO POR EMPRESAS!E161</t>
        </is>
      </c>
    </row>
    <row r="936" ht="28.5" customHeight="1">
      <c r="A936" s="317" t="n">
        <v>46378</v>
      </c>
      <c r="B936" t="inlineStr">
        <is>
          <t>GERAL</t>
        </is>
      </c>
      <c r="C936" t="inlineStr">
        <is>
          <t>CMM</t>
        </is>
      </c>
      <c r="D936" t="inlineStr">
        <is>
          <t>IÇAMENTO JOIST</t>
        </is>
      </c>
      <c r="F936" s="159">
        <f>IFERROR(INDEX('BASE METAS DIÁRIAS'!$N$2:$S$358,MATCH($A936,'BASE METAS DIÁRIAS'!$A$2:$A$358,0),MOD(ROW()-2,6)+1),"")</f>
        <v/>
      </c>
      <c r="G936" s="159">
        <f>IFERROR(IF(WEEKDAY($A936,2)&lt;=INDEX('BASE METAS DIÁRIAS'!$H$2:$M$358,MATCH($A936,'BASE METAS DIÁRIAS'!$A$2:$A$358,0),MOD(ROW()-2,6)+1),INDEX('BASE METAS DIÁRIAS'!$B$2:$G$358,MATCH($A936,'BASE METAS DIÁRIAS'!$A$2:$A$358,0),MOD(ROW()-2,6)+1),""),"")</f>
        <v/>
      </c>
      <c r="H936" s="159">
        <f>IFERROR(IF(INDEX('CONTROLE PRODUÇÃO POR EMPRESAS'!$B$6:$G$5000,MATCH($A936,'CONTROLE PRODUÇÃO POR EMPRESAS'!$A$6:$A$5000,0),MOD(ROW()-2,6)+1)="","",IFERROR(1*INDEX('CONTROLE PRODUÇÃO POR EMPRESAS'!$B$6:$G$5000,MATCH($A936,'CONTROLE PRODUÇÃO POR EMPRESAS'!$A$6:$A$5000,0),MOD(ROW()-2,6)+1),"")),"")</f>
        <v/>
      </c>
      <c r="I936" s="159">
        <f>IF(OR(NOT(ISNUMBER(G936)),NOT(ISNUMBER(H936))),"",H936-G936)</f>
        <v/>
      </c>
      <c r="J936" s="319">
        <f>IF(OR(NOT(ISNUMBER(G936)),NOT(ISNUMBER(H936)),G936=0),"",I936/G936)</f>
        <v/>
      </c>
      <c r="K936" s="319">
        <f>IF(OR(NOT(ISNUMBER(G936)),NOT(ISNUMBER(H936)),G936=0),"",H936/G936)</f>
        <v/>
      </c>
      <c r="L936">
        <f>IF(NOT(ISNUMBER(G936)),"SEM META",IF(G936=0,"SEM META",IF(NOT(ISNUMBER(H936)),"SEM APONTAMENTO",IF(H936&gt;=G936,"VERDE",IF(H936&gt;=G936*0.9,"AMARELO","VERMELHO")))))</f>
        <v/>
      </c>
      <c r="M936" s="162" t="n"/>
      <c r="N936" s="162" t="n"/>
      <c r="O936" s="162" t="n"/>
      <c r="P936" s="162" t="n"/>
      <c r="Q936" s="320" t="n"/>
      <c r="R936" s="162" t="inlineStr">
        <is>
          <t>CONTROLE PRODUÇÃO POR EMPRESAS!F161</t>
        </is>
      </c>
    </row>
    <row r="937" ht="28.5" customHeight="1">
      <c r="A937" s="317" t="n">
        <v>46378</v>
      </c>
      <c r="B937" t="inlineStr">
        <is>
          <t>GERAL</t>
        </is>
      </c>
      <c r="C937" t="inlineStr">
        <is>
          <t>CMM</t>
        </is>
      </c>
      <c r="D937" t="inlineStr">
        <is>
          <t>VIGAS</t>
        </is>
      </c>
      <c r="F937" s="159">
        <f>IFERROR(INDEX('BASE METAS DIÁRIAS'!$N$2:$S$358,MATCH($A937,'BASE METAS DIÁRIAS'!$A$2:$A$358,0),MOD(ROW()-2,6)+1),"")</f>
        <v/>
      </c>
      <c r="G937" s="159">
        <f>IFERROR(IF(WEEKDAY($A937,2)&lt;=INDEX('BASE METAS DIÁRIAS'!$H$2:$M$358,MATCH($A937,'BASE METAS DIÁRIAS'!$A$2:$A$358,0),MOD(ROW()-2,6)+1),INDEX('BASE METAS DIÁRIAS'!$B$2:$G$358,MATCH($A937,'BASE METAS DIÁRIAS'!$A$2:$A$358,0),MOD(ROW()-2,6)+1),""),"")</f>
        <v/>
      </c>
      <c r="H937" s="159">
        <f>IFERROR(IF(INDEX('CONTROLE PRODUÇÃO POR EMPRESAS'!$B$6:$G$5000,MATCH($A937,'CONTROLE PRODUÇÃO POR EMPRESAS'!$A$6:$A$5000,0),MOD(ROW()-2,6)+1)="","",IFERROR(1*INDEX('CONTROLE PRODUÇÃO POR EMPRESAS'!$B$6:$G$5000,MATCH($A937,'CONTROLE PRODUÇÃO POR EMPRESAS'!$A$6:$A$5000,0),MOD(ROW()-2,6)+1),"")),"")</f>
        <v/>
      </c>
      <c r="I937" s="159">
        <f>IF(OR(NOT(ISNUMBER(G937)),NOT(ISNUMBER(H937))),"",H937-G937)</f>
        <v/>
      </c>
      <c r="J937" s="319">
        <f>IF(OR(NOT(ISNUMBER(G937)),NOT(ISNUMBER(H937)),G937=0),"",I937/G937)</f>
        <v/>
      </c>
      <c r="K937" s="319">
        <f>IF(OR(NOT(ISNUMBER(G937)),NOT(ISNUMBER(H937)),G937=0),"",H937/G937)</f>
        <v/>
      </c>
      <c r="L937">
        <f>IF(NOT(ISNUMBER(G937)),"SEM META",IF(G937=0,"SEM META",IF(NOT(ISNUMBER(H937)),"SEM APONTAMENTO",IF(H937&gt;=G937,"VERDE",IF(H937&gt;=G937*0.9,"AMARELO","VERMELHO")))))</f>
        <v/>
      </c>
      <c r="M937" s="162" t="n"/>
      <c r="N937" s="162" t="n"/>
      <c r="O937" s="162" t="n"/>
      <c r="P937" s="162" t="n"/>
      <c r="Q937" s="320" t="n"/>
      <c r="R937" s="162" t="inlineStr">
        <is>
          <t>CONTROLE PRODUÇÃO POR EMPRESAS!G161</t>
        </is>
      </c>
    </row>
    <row r="938" ht="28.5" customHeight="1">
      <c r="A938" s="317" t="n">
        <v>46379</v>
      </c>
      <c r="B938" t="inlineStr">
        <is>
          <t>GERAL</t>
        </is>
      </c>
      <c r="C938" t="inlineStr">
        <is>
          <t>EJ</t>
        </is>
      </c>
      <c r="D938" t="inlineStr">
        <is>
          <t>PREMONTAGEM</t>
        </is>
      </c>
      <c r="F938" s="159">
        <f>IFERROR(INDEX('BASE METAS DIÁRIAS'!$N$2:$S$358,MATCH($A938,'BASE METAS DIÁRIAS'!$A$2:$A$358,0),MOD(ROW()-2,6)+1),"")</f>
        <v/>
      </c>
      <c r="G938" s="159">
        <f>IFERROR(IF(WEEKDAY($A938,2)&lt;=INDEX('BASE METAS DIÁRIAS'!$H$2:$M$358,MATCH($A938,'BASE METAS DIÁRIAS'!$A$2:$A$358,0),MOD(ROW()-2,6)+1),INDEX('BASE METAS DIÁRIAS'!$B$2:$G$358,MATCH($A938,'BASE METAS DIÁRIAS'!$A$2:$A$358,0),MOD(ROW()-2,6)+1),""),"")</f>
        <v/>
      </c>
      <c r="H938" s="159">
        <f>IFERROR(IF(INDEX('CONTROLE PRODUÇÃO POR EMPRESAS'!$B$6:$G$5000,MATCH($A938,'CONTROLE PRODUÇÃO POR EMPRESAS'!$A$6:$A$5000,0),MOD(ROW()-2,6)+1)="","",IFERROR(1*INDEX('CONTROLE PRODUÇÃO POR EMPRESAS'!$B$6:$G$5000,MATCH($A938,'CONTROLE PRODUÇÃO POR EMPRESAS'!$A$6:$A$5000,0),MOD(ROW()-2,6)+1),"")),"")</f>
        <v/>
      </c>
      <c r="I938" s="159">
        <f>IF(OR(NOT(ISNUMBER(G938)),NOT(ISNUMBER(H938))),"",H938-G938)</f>
        <v/>
      </c>
      <c r="J938" s="319">
        <f>IF(OR(NOT(ISNUMBER(G938)),NOT(ISNUMBER(H938)),G938=0),"",I938/G938)</f>
        <v/>
      </c>
      <c r="K938" s="319">
        <f>IF(OR(NOT(ISNUMBER(G938)),NOT(ISNUMBER(H938)),G938=0),"",H938/G938)</f>
        <v/>
      </c>
      <c r="L938">
        <f>IF(NOT(ISNUMBER(G938)),"SEM META",IF(G938=0,"SEM META",IF(NOT(ISNUMBER(H938)),"SEM APONTAMENTO",IF(H938&gt;=G938,"VERDE",IF(H938&gt;=G938*0.9,"AMARELO","VERMELHO")))))</f>
        <v/>
      </c>
      <c r="M938" s="162" t="n"/>
      <c r="N938" s="162" t="n"/>
      <c r="O938" s="162" t="n"/>
      <c r="P938" s="162" t="n"/>
      <c r="Q938" s="320" t="n"/>
      <c r="R938" s="162" t="inlineStr">
        <is>
          <t>CONTROLE PRODUÇÃO POR EMPRESAS!B162</t>
        </is>
      </c>
    </row>
    <row r="939" ht="28.5" customHeight="1">
      <c r="A939" s="317" t="n">
        <v>46379</v>
      </c>
      <c r="B939" t="inlineStr">
        <is>
          <t>GERAL</t>
        </is>
      </c>
      <c r="C939" t="inlineStr">
        <is>
          <t>EJ</t>
        </is>
      </c>
      <c r="D939" t="inlineStr">
        <is>
          <t>IÇAMENTO JOIST</t>
        </is>
      </c>
      <c r="F939" s="159">
        <f>IFERROR(INDEX('BASE METAS DIÁRIAS'!$N$2:$S$358,MATCH($A939,'BASE METAS DIÁRIAS'!$A$2:$A$358,0),MOD(ROW()-2,6)+1),"")</f>
        <v/>
      </c>
      <c r="G939" s="159">
        <f>IFERROR(IF(WEEKDAY($A939,2)&lt;=INDEX('BASE METAS DIÁRIAS'!$H$2:$M$358,MATCH($A939,'BASE METAS DIÁRIAS'!$A$2:$A$358,0),MOD(ROW()-2,6)+1),INDEX('BASE METAS DIÁRIAS'!$B$2:$G$358,MATCH($A939,'BASE METAS DIÁRIAS'!$A$2:$A$358,0),MOD(ROW()-2,6)+1),""),"")</f>
        <v/>
      </c>
      <c r="H939" s="159">
        <f>IFERROR(IF(INDEX('CONTROLE PRODUÇÃO POR EMPRESAS'!$B$6:$G$5000,MATCH($A939,'CONTROLE PRODUÇÃO POR EMPRESAS'!$A$6:$A$5000,0),MOD(ROW()-2,6)+1)="","",IFERROR(1*INDEX('CONTROLE PRODUÇÃO POR EMPRESAS'!$B$6:$G$5000,MATCH($A939,'CONTROLE PRODUÇÃO POR EMPRESAS'!$A$6:$A$5000,0),MOD(ROW()-2,6)+1),"")),"")</f>
        <v/>
      </c>
      <c r="I939" s="159">
        <f>IF(OR(NOT(ISNUMBER(G939)),NOT(ISNUMBER(H939))),"",H939-G939)</f>
        <v/>
      </c>
      <c r="J939" s="319">
        <f>IF(OR(NOT(ISNUMBER(G939)),NOT(ISNUMBER(H939)),G939=0),"",I939/G939)</f>
        <v/>
      </c>
      <c r="K939" s="319">
        <f>IF(OR(NOT(ISNUMBER(G939)),NOT(ISNUMBER(H939)),G939=0),"",H939/G939)</f>
        <v/>
      </c>
      <c r="L939">
        <f>IF(NOT(ISNUMBER(G939)),"SEM META",IF(G939=0,"SEM META",IF(NOT(ISNUMBER(H939)),"SEM APONTAMENTO",IF(H939&gt;=G939,"VERDE",IF(H939&gt;=G939*0.9,"AMARELO","VERMELHO")))))</f>
        <v/>
      </c>
      <c r="M939" s="162" t="n"/>
      <c r="N939" s="162" t="n"/>
      <c r="O939" s="162" t="n"/>
      <c r="P939" s="162" t="n"/>
      <c r="Q939" s="320" t="n"/>
      <c r="R939" s="162" t="inlineStr">
        <is>
          <t>CONTROLE PRODUÇÃO POR EMPRESAS!C162</t>
        </is>
      </c>
    </row>
    <row r="940" ht="28.5" customHeight="1">
      <c r="A940" s="317" t="n">
        <v>46379</v>
      </c>
      <c r="B940" t="inlineStr">
        <is>
          <t>GERAL</t>
        </is>
      </c>
      <c r="C940" t="inlineStr">
        <is>
          <t>EJ</t>
        </is>
      </c>
      <c r="D940" t="inlineStr">
        <is>
          <t>VIGAS</t>
        </is>
      </c>
      <c r="F940" s="159">
        <f>IFERROR(INDEX('BASE METAS DIÁRIAS'!$N$2:$S$358,MATCH($A940,'BASE METAS DIÁRIAS'!$A$2:$A$358,0),MOD(ROW()-2,6)+1),"")</f>
        <v/>
      </c>
      <c r="G940" s="159">
        <f>IFERROR(IF(WEEKDAY($A940,2)&lt;=INDEX('BASE METAS DIÁRIAS'!$H$2:$M$358,MATCH($A940,'BASE METAS DIÁRIAS'!$A$2:$A$358,0),MOD(ROW()-2,6)+1),INDEX('BASE METAS DIÁRIAS'!$B$2:$G$358,MATCH($A940,'BASE METAS DIÁRIAS'!$A$2:$A$358,0),MOD(ROW()-2,6)+1),""),"")</f>
        <v/>
      </c>
      <c r="H940" s="159">
        <f>IFERROR(IF(INDEX('CONTROLE PRODUÇÃO POR EMPRESAS'!$B$6:$G$5000,MATCH($A940,'CONTROLE PRODUÇÃO POR EMPRESAS'!$A$6:$A$5000,0),MOD(ROW()-2,6)+1)="","",IFERROR(1*INDEX('CONTROLE PRODUÇÃO POR EMPRESAS'!$B$6:$G$5000,MATCH($A940,'CONTROLE PRODUÇÃO POR EMPRESAS'!$A$6:$A$5000,0),MOD(ROW()-2,6)+1),"")),"")</f>
        <v/>
      </c>
      <c r="I940" s="159">
        <f>IF(OR(NOT(ISNUMBER(G940)),NOT(ISNUMBER(H940))),"",H940-G940)</f>
        <v/>
      </c>
      <c r="J940" s="319">
        <f>IF(OR(NOT(ISNUMBER(G940)),NOT(ISNUMBER(H940)),G940=0),"",I940/G940)</f>
        <v/>
      </c>
      <c r="K940" s="319">
        <f>IF(OR(NOT(ISNUMBER(G940)),NOT(ISNUMBER(H940)),G940=0),"",H940/G940)</f>
        <v/>
      </c>
      <c r="L940">
        <f>IF(NOT(ISNUMBER(G940)),"SEM META",IF(G940=0,"SEM META",IF(NOT(ISNUMBER(H940)),"SEM APONTAMENTO",IF(H940&gt;=G940,"VERDE",IF(H940&gt;=G940*0.9,"AMARELO","VERMELHO")))))</f>
        <v/>
      </c>
      <c r="M940" s="162" t="n"/>
      <c r="N940" s="162" t="n"/>
      <c r="O940" s="162" t="n"/>
      <c r="P940" s="162" t="n"/>
      <c r="Q940" s="320" t="n"/>
      <c r="R940" s="162" t="inlineStr">
        <is>
          <t>CONTROLE PRODUÇÃO POR EMPRESAS!D162</t>
        </is>
      </c>
    </row>
    <row r="941" ht="28.5" customHeight="1">
      <c r="A941" s="317" t="n">
        <v>46379</v>
      </c>
      <c r="B941" t="inlineStr">
        <is>
          <t>GERAL</t>
        </is>
      </c>
      <c r="C941" t="inlineStr">
        <is>
          <t>CMM</t>
        </is>
      </c>
      <c r="D941" t="inlineStr">
        <is>
          <t>PREMONTAGEM</t>
        </is>
      </c>
      <c r="F941" s="159">
        <f>IFERROR(INDEX('BASE METAS DIÁRIAS'!$N$2:$S$358,MATCH($A941,'BASE METAS DIÁRIAS'!$A$2:$A$358,0),MOD(ROW()-2,6)+1),"")</f>
        <v/>
      </c>
      <c r="G941" s="159">
        <f>IFERROR(IF(WEEKDAY($A941,2)&lt;=INDEX('BASE METAS DIÁRIAS'!$H$2:$M$358,MATCH($A941,'BASE METAS DIÁRIAS'!$A$2:$A$358,0),MOD(ROW()-2,6)+1),INDEX('BASE METAS DIÁRIAS'!$B$2:$G$358,MATCH($A941,'BASE METAS DIÁRIAS'!$A$2:$A$358,0),MOD(ROW()-2,6)+1),""),"")</f>
        <v/>
      </c>
      <c r="H941" s="159">
        <f>IFERROR(IF(INDEX('CONTROLE PRODUÇÃO POR EMPRESAS'!$B$6:$G$5000,MATCH($A941,'CONTROLE PRODUÇÃO POR EMPRESAS'!$A$6:$A$5000,0),MOD(ROW()-2,6)+1)="","",IFERROR(1*INDEX('CONTROLE PRODUÇÃO POR EMPRESAS'!$B$6:$G$5000,MATCH($A941,'CONTROLE PRODUÇÃO POR EMPRESAS'!$A$6:$A$5000,0),MOD(ROW()-2,6)+1),"")),"")</f>
        <v/>
      </c>
      <c r="I941" s="159">
        <f>IF(OR(NOT(ISNUMBER(G941)),NOT(ISNUMBER(H941))),"",H941-G941)</f>
        <v/>
      </c>
      <c r="J941" s="319">
        <f>IF(OR(NOT(ISNUMBER(G941)),NOT(ISNUMBER(H941)),G941=0),"",I941/G941)</f>
        <v/>
      </c>
      <c r="K941" s="319">
        <f>IF(OR(NOT(ISNUMBER(G941)),NOT(ISNUMBER(H941)),G941=0),"",H941/G941)</f>
        <v/>
      </c>
      <c r="L941">
        <f>IF(NOT(ISNUMBER(G941)),"SEM META",IF(G941=0,"SEM META",IF(NOT(ISNUMBER(H941)),"SEM APONTAMENTO",IF(H941&gt;=G941,"VERDE",IF(H941&gt;=G941*0.9,"AMARELO","VERMELHO")))))</f>
        <v/>
      </c>
      <c r="M941" s="162" t="n"/>
      <c r="N941" s="162" t="n"/>
      <c r="O941" s="162" t="n"/>
      <c r="P941" s="162" t="n"/>
      <c r="Q941" s="320" t="n"/>
      <c r="R941" s="162" t="inlineStr">
        <is>
          <t>CONTROLE PRODUÇÃO POR EMPRESAS!E162</t>
        </is>
      </c>
    </row>
    <row r="942" ht="28.5" customHeight="1">
      <c r="A942" s="317" t="n">
        <v>46379</v>
      </c>
      <c r="B942" t="inlineStr">
        <is>
          <t>GERAL</t>
        </is>
      </c>
      <c r="C942" t="inlineStr">
        <is>
          <t>CMM</t>
        </is>
      </c>
      <c r="D942" t="inlineStr">
        <is>
          <t>IÇAMENTO JOIST</t>
        </is>
      </c>
      <c r="F942" s="159">
        <f>IFERROR(INDEX('BASE METAS DIÁRIAS'!$N$2:$S$358,MATCH($A942,'BASE METAS DIÁRIAS'!$A$2:$A$358,0),MOD(ROW()-2,6)+1),"")</f>
        <v/>
      </c>
      <c r="G942" s="159">
        <f>IFERROR(IF(WEEKDAY($A942,2)&lt;=INDEX('BASE METAS DIÁRIAS'!$H$2:$M$358,MATCH($A942,'BASE METAS DIÁRIAS'!$A$2:$A$358,0),MOD(ROW()-2,6)+1),INDEX('BASE METAS DIÁRIAS'!$B$2:$G$358,MATCH($A942,'BASE METAS DIÁRIAS'!$A$2:$A$358,0),MOD(ROW()-2,6)+1),""),"")</f>
        <v/>
      </c>
      <c r="H942" s="159">
        <f>IFERROR(IF(INDEX('CONTROLE PRODUÇÃO POR EMPRESAS'!$B$6:$G$5000,MATCH($A942,'CONTROLE PRODUÇÃO POR EMPRESAS'!$A$6:$A$5000,0),MOD(ROW()-2,6)+1)="","",IFERROR(1*INDEX('CONTROLE PRODUÇÃO POR EMPRESAS'!$B$6:$G$5000,MATCH($A942,'CONTROLE PRODUÇÃO POR EMPRESAS'!$A$6:$A$5000,0),MOD(ROW()-2,6)+1),"")),"")</f>
        <v/>
      </c>
      <c r="I942" s="159">
        <f>IF(OR(NOT(ISNUMBER(G942)),NOT(ISNUMBER(H942))),"",H942-G942)</f>
        <v/>
      </c>
      <c r="J942" s="319">
        <f>IF(OR(NOT(ISNUMBER(G942)),NOT(ISNUMBER(H942)),G942=0),"",I942/G942)</f>
        <v/>
      </c>
      <c r="K942" s="319">
        <f>IF(OR(NOT(ISNUMBER(G942)),NOT(ISNUMBER(H942)),G942=0),"",H942/G942)</f>
        <v/>
      </c>
      <c r="L942">
        <f>IF(NOT(ISNUMBER(G942)),"SEM META",IF(G942=0,"SEM META",IF(NOT(ISNUMBER(H942)),"SEM APONTAMENTO",IF(H942&gt;=G942,"VERDE",IF(H942&gt;=G942*0.9,"AMARELO","VERMELHO")))))</f>
        <v/>
      </c>
      <c r="M942" s="162" t="n"/>
      <c r="N942" s="162" t="n"/>
      <c r="O942" s="162" t="n"/>
      <c r="P942" s="162" t="n"/>
      <c r="Q942" s="320" t="n"/>
      <c r="R942" s="162" t="inlineStr">
        <is>
          <t>CONTROLE PRODUÇÃO POR EMPRESAS!F162</t>
        </is>
      </c>
    </row>
    <row r="943" ht="28.5" customHeight="1">
      <c r="A943" s="317" t="n">
        <v>46379</v>
      </c>
      <c r="B943" t="inlineStr">
        <is>
          <t>GERAL</t>
        </is>
      </c>
      <c r="C943" t="inlineStr">
        <is>
          <t>CMM</t>
        </is>
      </c>
      <c r="D943" t="inlineStr">
        <is>
          <t>VIGAS</t>
        </is>
      </c>
      <c r="F943" s="159">
        <f>IFERROR(INDEX('BASE METAS DIÁRIAS'!$N$2:$S$358,MATCH($A943,'BASE METAS DIÁRIAS'!$A$2:$A$358,0),MOD(ROW()-2,6)+1),"")</f>
        <v/>
      </c>
      <c r="G943" s="159">
        <f>IFERROR(IF(WEEKDAY($A943,2)&lt;=INDEX('BASE METAS DIÁRIAS'!$H$2:$M$358,MATCH($A943,'BASE METAS DIÁRIAS'!$A$2:$A$358,0),MOD(ROW()-2,6)+1),INDEX('BASE METAS DIÁRIAS'!$B$2:$G$358,MATCH($A943,'BASE METAS DIÁRIAS'!$A$2:$A$358,0),MOD(ROW()-2,6)+1),""),"")</f>
        <v/>
      </c>
      <c r="H943" s="159">
        <f>IFERROR(IF(INDEX('CONTROLE PRODUÇÃO POR EMPRESAS'!$B$6:$G$5000,MATCH($A943,'CONTROLE PRODUÇÃO POR EMPRESAS'!$A$6:$A$5000,0),MOD(ROW()-2,6)+1)="","",IFERROR(1*INDEX('CONTROLE PRODUÇÃO POR EMPRESAS'!$B$6:$G$5000,MATCH($A943,'CONTROLE PRODUÇÃO POR EMPRESAS'!$A$6:$A$5000,0),MOD(ROW()-2,6)+1),"")),"")</f>
        <v/>
      </c>
      <c r="I943" s="159">
        <f>IF(OR(NOT(ISNUMBER(G943)),NOT(ISNUMBER(H943))),"",H943-G943)</f>
        <v/>
      </c>
      <c r="J943" s="319">
        <f>IF(OR(NOT(ISNUMBER(G943)),NOT(ISNUMBER(H943)),G943=0),"",I943/G943)</f>
        <v/>
      </c>
      <c r="K943" s="319">
        <f>IF(OR(NOT(ISNUMBER(G943)),NOT(ISNUMBER(H943)),G943=0),"",H943/G943)</f>
        <v/>
      </c>
      <c r="L943">
        <f>IF(NOT(ISNUMBER(G943)),"SEM META",IF(G943=0,"SEM META",IF(NOT(ISNUMBER(H943)),"SEM APONTAMENTO",IF(H943&gt;=G943,"VERDE",IF(H943&gt;=G943*0.9,"AMARELO","VERMELHO")))))</f>
        <v/>
      </c>
      <c r="M943" s="162" t="n"/>
      <c r="N943" s="162" t="n"/>
      <c r="O943" s="162" t="n"/>
      <c r="P943" s="162" t="n"/>
      <c r="Q943" s="320" t="n"/>
      <c r="R943" s="162" t="inlineStr">
        <is>
          <t>CONTROLE PRODUÇÃO POR EMPRESAS!G162</t>
        </is>
      </c>
    </row>
    <row r="944" ht="28.5" customHeight="1">
      <c r="A944" s="317" t="n">
        <v>46380</v>
      </c>
      <c r="B944" t="inlineStr">
        <is>
          <t>GERAL</t>
        </is>
      </c>
      <c r="C944" t="inlineStr">
        <is>
          <t>EJ</t>
        </is>
      </c>
      <c r="D944" t="inlineStr">
        <is>
          <t>PREMONTAGEM</t>
        </is>
      </c>
      <c r="F944" s="159">
        <f>IFERROR(INDEX('BASE METAS DIÁRIAS'!$N$2:$S$358,MATCH($A944,'BASE METAS DIÁRIAS'!$A$2:$A$358,0),MOD(ROW()-2,6)+1),"")</f>
        <v/>
      </c>
      <c r="G944" s="159">
        <f>IFERROR(IF(WEEKDAY($A944,2)&lt;=INDEX('BASE METAS DIÁRIAS'!$H$2:$M$358,MATCH($A944,'BASE METAS DIÁRIAS'!$A$2:$A$358,0),MOD(ROW()-2,6)+1),INDEX('BASE METAS DIÁRIAS'!$B$2:$G$358,MATCH($A944,'BASE METAS DIÁRIAS'!$A$2:$A$358,0),MOD(ROW()-2,6)+1),""),"")</f>
        <v/>
      </c>
      <c r="H944" s="159">
        <f>IFERROR(IF(INDEX('CONTROLE PRODUÇÃO POR EMPRESAS'!$B$6:$G$5000,MATCH($A944,'CONTROLE PRODUÇÃO POR EMPRESAS'!$A$6:$A$5000,0),MOD(ROW()-2,6)+1)="","",IFERROR(1*INDEX('CONTROLE PRODUÇÃO POR EMPRESAS'!$B$6:$G$5000,MATCH($A944,'CONTROLE PRODUÇÃO POR EMPRESAS'!$A$6:$A$5000,0),MOD(ROW()-2,6)+1),"")),"")</f>
        <v/>
      </c>
      <c r="I944" s="159">
        <f>IF(OR(NOT(ISNUMBER(G944)),NOT(ISNUMBER(H944))),"",H944-G944)</f>
        <v/>
      </c>
      <c r="J944" s="319">
        <f>IF(OR(NOT(ISNUMBER(G944)),NOT(ISNUMBER(H944)),G944=0),"",I944/G944)</f>
        <v/>
      </c>
      <c r="K944" s="319">
        <f>IF(OR(NOT(ISNUMBER(G944)),NOT(ISNUMBER(H944)),G944=0),"",H944/G944)</f>
        <v/>
      </c>
      <c r="L944">
        <f>IF(NOT(ISNUMBER(G944)),"SEM META",IF(G944=0,"SEM META",IF(NOT(ISNUMBER(H944)),"SEM APONTAMENTO",IF(H944&gt;=G944,"VERDE",IF(H944&gt;=G944*0.9,"AMARELO","VERMELHO")))))</f>
        <v/>
      </c>
      <c r="M944" s="162" t="n"/>
      <c r="N944" s="162" t="n"/>
      <c r="O944" s="162" t="n"/>
      <c r="P944" s="162" t="n"/>
      <c r="Q944" s="320" t="n"/>
      <c r="R944" s="162" t="inlineStr">
        <is>
          <t>CONTROLE PRODUÇÃO POR EMPRESAS!B163</t>
        </is>
      </c>
    </row>
    <row r="945" ht="28.5" customHeight="1">
      <c r="A945" s="317" t="n">
        <v>46380</v>
      </c>
      <c r="B945" t="inlineStr">
        <is>
          <t>GERAL</t>
        </is>
      </c>
      <c r="C945" t="inlineStr">
        <is>
          <t>EJ</t>
        </is>
      </c>
      <c r="D945" t="inlineStr">
        <is>
          <t>IÇAMENTO JOIST</t>
        </is>
      </c>
      <c r="F945" s="159">
        <f>IFERROR(INDEX('BASE METAS DIÁRIAS'!$N$2:$S$358,MATCH($A945,'BASE METAS DIÁRIAS'!$A$2:$A$358,0),MOD(ROW()-2,6)+1),"")</f>
        <v/>
      </c>
      <c r="G945" s="159">
        <f>IFERROR(IF(WEEKDAY($A945,2)&lt;=INDEX('BASE METAS DIÁRIAS'!$H$2:$M$358,MATCH($A945,'BASE METAS DIÁRIAS'!$A$2:$A$358,0),MOD(ROW()-2,6)+1),INDEX('BASE METAS DIÁRIAS'!$B$2:$G$358,MATCH($A945,'BASE METAS DIÁRIAS'!$A$2:$A$358,0),MOD(ROW()-2,6)+1),""),"")</f>
        <v/>
      </c>
      <c r="H945" s="159">
        <f>IFERROR(IF(INDEX('CONTROLE PRODUÇÃO POR EMPRESAS'!$B$6:$G$5000,MATCH($A945,'CONTROLE PRODUÇÃO POR EMPRESAS'!$A$6:$A$5000,0),MOD(ROW()-2,6)+1)="","",IFERROR(1*INDEX('CONTROLE PRODUÇÃO POR EMPRESAS'!$B$6:$G$5000,MATCH($A945,'CONTROLE PRODUÇÃO POR EMPRESAS'!$A$6:$A$5000,0),MOD(ROW()-2,6)+1),"")),"")</f>
        <v/>
      </c>
      <c r="I945" s="159">
        <f>IF(OR(NOT(ISNUMBER(G945)),NOT(ISNUMBER(H945))),"",H945-G945)</f>
        <v/>
      </c>
      <c r="J945" s="319">
        <f>IF(OR(NOT(ISNUMBER(G945)),NOT(ISNUMBER(H945)),G945=0),"",I945/G945)</f>
        <v/>
      </c>
      <c r="K945" s="319">
        <f>IF(OR(NOT(ISNUMBER(G945)),NOT(ISNUMBER(H945)),G945=0),"",H945/G945)</f>
        <v/>
      </c>
      <c r="L945">
        <f>IF(NOT(ISNUMBER(G945)),"SEM META",IF(G945=0,"SEM META",IF(NOT(ISNUMBER(H945)),"SEM APONTAMENTO",IF(H945&gt;=G945,"VERDE",IF(H945&gt;=G945*0.9,"AMARELO","VERMELHO")))))</f>
        <v/>
      </c>
      <c r="M945" s="162" t="n"/>
      <c r="N945" s="162" t="n"/>
      <c r="O945" s="162" t="n"/>
      <c r="P945" s="162" t="n"/>
      <c r="Q945" s="320" t="n"/>
      <c r="R945" s="162" t="inlineStr">
        <is>
          <t>CONTROLE PRODUÇÃO POR EMPRESAS!C163</t>
        </is>
      </c>
    </row>
    <row r="946" ht="28.5" customHeight="1">
      <c r="A946" s="317" t="n">
        <v>46380</v>
      </c>
      <c r="B946" t="inlineStr">
        <is>
          <t>GERAL</t>
        </is>
      </c>
      <c r="C946" t="inlineStr">
        <is>
          <t>EJ</t>
        </is>
      </c>
      <c r="D946" t="inlineStr">
        <is>
          <t>VIGAS</t>
        </is>
      </c>
      <c r="F946" s="159">
        <f>IFERROR(INDEX('BASE METAS DIÁRIAS'!$N$2:$S$358,MATCH($A946,'BASE METAS DIÁRIAS'!$A$2:$A$358,0),MOD(ROW()-2,6)+1),"")</f>
        <v/>
      </c>
      <c r="G946" s="159">
        <f>IFERROR(IF(WEEKDAY($A946,2)&lt;=INDEX('BASE METAS DIÁRIAS'!$H$2:$M$358,MATCH($A946,'BASE METAS DIÁRIAS'!$A$2:$A$358,0),MOD(ROW()-2,6)+1),INDEX('BASE METAS DIÁRIAS'!$B$2:$G$358,MATCH($A946,'BASE METAS DIÁRIAS'!$A$2:$A$358,0),MOD(ROW()-2,6)+1),""),"")</f>
        <v/>
      </c>
      <c r="H946" s="159">
        <f>IFERROR(IF(INDEX('CONTROLE PRODUÇÃO POR EMPRESAS'!$B$6:$G$5000,MATCH($A946,'CONTROLE PRODUÇÃO POR EMPRESAS'!$A$6:$A$5000,0),MOD(ROW()-2,6)+1)="","",IFERROR(1*INDEX('CONTROLE PRODUÇÃO POR EMPRESAS'!$B$6:$G$5000,MATCH($A946,'CONTROLE PRODUÇÃO POR EMPRESAS'!$A$6:$A$5000,0),MOD(ROW()-2,6)+1),"")),"")</f>
        <v/>
      </c>
      <c r="I946" s="159">
        <f>IF(OR(NOT(ISNUMBER(G946)),NOT(ISNUMBER(H946))),"",H946-G946)</f>
        <v/>
      </c>
      <c r="J946" s="319">
        <f>IF(OR(NOT(ISNUMBER(G946)),NOT(ISNUMBER(H946)),G946=0),"",I946/G946)</f>
        <v/>
      </c>
      <c r="K946" s="319">
        <f>IF(OR(NOT(ISNUMBER(G946)),NOT(ISNUMBER(H946)),G946=0),"",H946/G946)</f>
        <v/>
      </c>
      <c r="L946">
        <f>IF(NOT(ISNUMBER(G946)),"SEM META",IF(G946=0,"SEM META",IF(NOT(ISNUMBER(H946)),"SEM APONTAMENTO",IF(H946&gt;=G946,"VERDE",IF(H946&gt;=G946*0.9,"AMARELO","VERMELHO")))))</f>
        <v/>
      </c>
      <c r="M946" s="162" t="n"/>
      <c r="N946" s="162" t="n"/>
      <c r="O946" s="162" t="n"/>
      <c r="P946" s="162" t="n"/>
      <c r="Q946" s="320" t="n"/>
      <c r="R946" s="162" t="inlineStr">
        <is>
          <t>CONTROLE PRODUÇÃO POR EMPRESAS!D163</t>
        </is>
      </c>
    </row>
    <row r="947" ht="28.5" customHeight="1">
      <c r="A947" s="317" t="n">
        <v>46380</v>
      </c>
      <c r="B947" t="inlineStr">
        <is>
          <t>GERAL</t>
        </is>
      </c>
      <c r="C947" t="inlineStr">
        <is>
          <t>CMM</t>
        </is>
      </c>
      <c r="D947" t="inlineStr">
        <is>
          <t>PREMONTAGEM</t>
        </is>
      </c>
      <c r="F947" s="159">
        <f>IFERROR(INDEX('BASE METAS DIÁRIAS'!$N$2:$S$358,MATCH($A947,'BASE METAS DIÁRIAS'!$A$2:$A$358,0),MOD(ROW()-2,6)+1),"")</f>
        <v/>
      </c>
      <c r="G947" s="159">
        <f>IFERROR(IF(WEEKDAY($A947,2)&lt;=INDEX('BASE METAS DIÁRIAS'!$H$2:$M$358,MATCH($A947,'BASE METAS DIÁRIAS'!$A$2:$A$358,0),MOD(ROW()-2,6)+1),INDEX('BASE METAS DIÁRIAS'!$B$2:$G$358,MATCH($A947,'BASE METAS DIÁRIAS'!$A$2:$A$358,0),MOD(ROW()-2,6)+1),""),"")</f>
        <v/>
      </c>
      <c r="H947" s="159">
        <f>IFERROR(IF(INDEX('CONTROLE PRODUÇÃO POR EMPRESAS'!$B$6:$G$5000,MATCH($A947,'CONTROLE PRODUÇÃO POR EMPRESAS'!$A$6:$A$5000,0),MOD(ROW()-2,6)+1)="","",IFERROR(1*INDEX('CONTROLE PRODUÇÃO POR EMPRESAS'!$B$6:$G$5000,MATCH($A947,'CONTROLE PRODUÇÃO POR EMPRESAS'!$A$6:$A$5000,0),MOD(ROW()-2,6)+1),"")),"")</f>
        <v/>
      </c>
      <c r="I947" s="159">
        <f>IF(OR(NOT(ISNUMBER(G947)),NOT(ISNUMBER(H947))),"",H947-G947)</f>
        <v/>
      </c>
      <c r="J947" s="319">
        <f>IF(OR(NOT(ISNUMBER(G947)),NOT(ISNUMBER(H947)),G947=0),"",I947/G947)</f>
        <v/>
      </c>
      <c r="K947" s="319">
        <f>IF(OR(NOT(ISNUMBER(G947)),NOT(ISNUMBER(H947)),G947=0),"",H947/G947)</f>
        <v/>
      </c>
      <c r="L947">
        <f>IF(NOT(ISNUMBER(G947)),"SEM META",IF(G947=0,"SEM META",IF(NOT(ISNUMBER(H947)),"SEM APONTAMENTO",IF(H947&gt;=G947,"VERDE",IF(H947&gt;=G947*0.9,"AMARELO","VERMELHO")))))</f>
        <v/>
      </c>
      <c r="M947" s="162" t="n"/>
      <c r="N947" s="162" t="n"/>
      <c r="O947" s="162" t="n"/>
      <c r="P947" s="162" t="n"/>
      <c r="Q947" s="320" t="n"/>
      <c r="R947" s="162" t="inlineStr">
        <is>
          <t>CONTROLE PRODUÇÃO POR EMPRESAS!E163</t>
        </is>
      </c>
    </row>
    <row r="948" ht="28.5" customHeight="1">
      <c r="A948" s="317" t="n">
        <v>46380</v>
      </c>
      <c r="B948" t="inlineStr">
        <is>
          <t>GERAL</t>
        </is>
      </c>
      <c r="C948" t="inlineStr">
        <is>
          <t>CMM</t>
        </is>
      </c>
      <c r="D948" t="inlineStr">
        <is>
          <t>IÇAMENTO JOIST</t>
        </is>
      </c>
      <c r="F948" s="159">
        <f>IFERROR(INDEX('BASE METAS DIÁRIAS'!$N$2:$S$358,MATCH($A948,'BASE METAS DIÁRIAS'!$A$2:$A$358,0),MOD(ROW()-2,6)+1),"")</f>
        <v/>
      </c>
      <c r="G948" s="159">
        <f>IFERROR(IF(WEEKDAY($A948,2)&lt;=INDEX('BASE METAS DIÁRIAS'!$H$2:$M$358,MATCH($A948,'BASE METAS DIÁRIAS'!$A$2:$A$358,0),MOD(ROW()-2,6)+1),INDEX('BASE METAS DIÁRIAS'!$B$2:$G$358,MATCH($A948,'BASE METAS DIÁRIAS'!$A$2:$A$358,0),MOD(ROW()-2,6)+1),""),"")</f>
        <v/>
      </c>
      <c r="H948" s="159">
        <f>IFERROR(IF(INDEX('CONTROLE PRODUÇÃO POR EMPRESAS'!$B$6:$G$5000,MATCH($A948,'CONTROLE PRODUÇÃO POR EMPRESAS'!$A$6:$A$5000,0),MOD(ROW()-2,6)+1)="","",IFERROR(1*INDEX('CONTROLE PRODUÇÃO POR EMPRESAS'!$B$6:$G$5000,MATCH($A948,'CONTROLE PRODUÇÃO POR EMPRESAS'!$A$6:$A$5000,0),MOD(ROW()-2,6)+1),"")),"")</f>
        <v/>
      </c>
      <c r="I948" s="159">
        <f>IF(OR(NOT(ISNUMBER(G948)),NOT(ISNUMBER(H948))),"",H948-G948)</f>
        <v/>
      </c>
      <c r="J948" s="319">
        <f>IF(OR(NOT(ISNUMBER(G948)),NOT(ISNUMBER(H948)),G948=0),"",I948/G948)</f>
        <v/>
      </c>
      <c r="K948" s="319">
        <f>IF(OR(NOT(ISNUMBER(G948)),NOT(ISNUMBER(H948)),G948=0),"",H948/G948)</f>
        <v/>
      </c>
      <c r="L948">
        <f>IF(NOT(ISNUMBER(G948)),"SEM META",IF(G948=0,"SEM META",IF(NOT(ISNUMBER(H948)),"SEM APONTAMENTO",IF(H948&gt;=G948,"VERDE",IF(H948&gt;=G948*0.9,"AMARELO","VERMELHO")))))</f>
        <v/>
      </c>
      <c r="M948" s="162" t="n"/>
      <c r="N948" s="162" t="n"/>
      <c r="O948" s="162" t="n"/>
      <c r="P948" s="162" t="n"/>
      <c r="Q948" s="320" t="n"/>
      <c r="R948" s="162" t="inlineStr">
        <is>
          <t>CONTROLE PRODUÇÃO POR EMPRESAS!F163</t>
        </is>
      </c>
    </row>
    <row r="949" ht="28.5" customHeight="1">
      <c r="A949" s="317" t="n">
        <v>46380</v>
      </c>
      <c r="B949" t="inlineStr">
        <is>
          <t>GERAL</t>
        </is>
      </c>
      <c r="C949" t="inlineStr">
        <is>
          <t>CMM</t>
        </is>
      </c>
      <c r="D949" t="inlineStr">
        <is>
          <t>VIGAS</t>
        </is>
      </c>
      <c r="F949" s="159">
        <f>IFERROR(INDEX('BASE METAS DIÁRIAS'!$N$2:$S$358,MATCH($A949,'BASE METAS DIÁRIAS'!$A$2:$A$358,0),MOD(ROW()-2,6)+1),"")</f>
        <v/>
      </c>
      <c r="G949" s="159">
        <f>IFERROR(IF(WEEKDAY($A949,2)&lt;=INDEX('BASE METAS DIÁRIAS'!$H$2:$M$358,MATCH($A949,'BASE METAS DIÁRIAS'!$A$2:$A$358,0),MOD(ROW()-2,6)+1),INDEX('BASE METAS DIÁRIAS'!$B$2:$G$358,MATCH($A949,'BASE METAS DIÁRIAS'!$A$2:$A$358,0),MOD(ROW()-2,6)+1),""),"")</f>
        <v/>
      </c>
      <c r="H949" s="159">
        <f>IFERROR(IF(INDEX('CONTROLE PRODUÇÃO POR EMPRESAS'!$B$6:$G$5000,MATCH($A949,'CONTROLE PRODUÇÃO POR EMPRESAS'!$A$6:$A$5000,0),MOD(ROW()-2,6)+1)="","",IFERROR(1*INDEX('CONTROLE PRODUÇÃO POR EMPRESAS'!$B$6:$G$5000,MATCH($A949,'CONTROLE PRODUÇÃO POR EMPRESAS'!$A$6:$A$5000,0),MOD(ROW()-2,6)+1),"")),"")</f>
        <v/>
      </c>
      <c r="I949" s="159">
        <f>IF(OR(NOT(ISNUMBER(G949)),NOT(ISNUMBER(H949))),"",H949-G949)</f>
        <v/>
      </c>
      <c r="J949" s="319">
        <f>IF(OR(NOT(ISNUMBER(G949)),NOT(ISNUMBER(H949)),G949=0),"",I949/G949)</f>
        <v/>
      </c>
      <c r="K949" s="319">
        <f>IF(OR(NOT(ISNUMBER(G949)),NOT(ISNUMBER(H949)),G949=0),"",H949/G949)</f>
        <v/>
      </c>
      <c r="L949">
        <f>IF(NOT(ISNUMBER(G949)),"SEM META",IF(G949=0,"SEM META",IF(NOT(ISNUMBER(H949)),"SEM APONTAMENTO",IF(H949&gt;=G949,"VERDE",IF(H949&gt;=G949*0.9,"AMARELO","VERMELHO")))))</f>
        <v/>
      </c>
      <c r="M949" s="162" t="n"/>
      <c r="N949" s="162" t="n"/>
      <c r="O949" s="162" t="n"/>
      <c r="P949" s="162" t="n"/>
      <c r="Q949" s="320" t="n"/>
      <c r="R949" s="162" t="inlineStr">
        <is>
          <t>CONTROLE PRODUÇÃO POR EMPRESAS!G163</t>
        </is>
      </c>
    </row>
    <row r="950" ht="28.5" customHeight="1">
      <c r="A950" s="317" t="n">
        <v>46381</v>
      </c>
      <c r="B950" t="inlineStr">
        <is>
          <t>GERAL</t>
        </is>
      </c>
      <c r="C950" t="inlineStr">
        <is>
          <t>EJ</t>
        </is>
      </c>
      <c r="D950" t="inlineStr">
        <is>
          <t>PREMONTAGEM</t>
        </is>
      </c>
      <c r="F950" s="159">
        <f>IFERROR(INDEX('BASE METAS DIÁRIAS'!$N$2:$S$358,MATCH($A950,'BASE METAS DIÁRIAS'!$A$2:$A$358,0),MOD(ROW()-2,6)+1),"")</f>
        <v/>
      </c>
      <c r="G950" s="159">
        <f>IFERROR(IF(WEEKDAY($A950,2)&lt;=INDEX('BASE METAS DIÁRIAS'!$H$2:$M$358,MATCH($A950,'BASE METAS DIÁRIAS'!$A$2:$A$358,0),MOD(ROW()-2,6)+1),INDEX('BASE METAS DIÁRIAS'!$B$2:$G$358,MATCH($A950,'BASE METAS DIÁRIAS'!$A$2:$A$358,0),MOD(ROW()-2,6)+1),""),"")</f>
        <v/>
      </c>
      <c r="H950" s="159">
        <f>IFERROR(IF(INDEX('CONTROLE PRODUÇÃO POR EMPRESAS'!$B$6:$G$5000,MATCH($A950,'CONTROLE PRODUÇÃO POR EMPRESAS'!$A$6:$A$5000,0),MOD(ROW()-2,6)+1)="","",IFERROR(1*INDEX('CONTROLE PRODUÇÃO POR EMPRESAS'!$B$6:$G$5000,MATCH($A950,'CONTROLE PRODUÇÃO POR EMPRESAS'!$A$6:$A$5000,0),MOD(ROW()-2,6)+1),"")),"")</f>
        <v/>
      </c>
      <c r="I950" s="159">
        <f>IF(OR(NOT(ISNUMBER(G950)),NOT(ISNUMBER(H950))),"",H950-G950)</f>
        <v/>
      </c>
      <c r="J950" s="319">
        <f>IF(OR(NOT(ISNUMBER(G950)),NOT(ISNUMBER(H950)),G950=0),"",I950/G950)</f>
        <v/>
      </c>
      <c r="K950" s="319">
        <f>IF(OR(NOT(ISNUMBER(G950)),NOT(ISNUMBER(H950)),G950=0),"",H950/G950)</f>
        <v/>
      </c>
      <c r="L950">
        <f>IF(NOT(ISNUMBER(G950)),"SEM META",IF(G950=0,"SEM META",IF(NOT(ISNUMBER(H950)),"SEM APONTAMENTO",IF(H950&gt;=G950,"VERDE",IF(H950&gt;=G950*0.9,"AMARELO","VERMELHO")))))</f>
        <v/>
      </c>
      <c r="M950" s="162" t="n"/>
      <c r="N950" s="162" t="n"/>
      <c r="O950" s="162" t="n"/>
      <c r="P950" s="162" t="n"/>
      <c r="Q950" s="320" t="n"/>
      <c r="R950" s="162" t="inlineStr">
        <is>
          <t>CONTROLE PRODUÇÃO POR EMPRESAS!B164</t>
        </is>
      </c>
    </row>
    <row r="951" ht="28.5" customHeight="1">
      <c r="A951" s="317" t="n">
        <v>46381</v>
      </c>
      <c r="B951" t="inlineStr">
        <is>
          <t>GERAL</t>
        </is>
      </c>
      <c r="C951" t="inlineStr">
        <is>
          <t>EJ</t>
        </is>
      </c>
      <c r="D951" t="inlineStr">
        <is>
          <t>IÇAMENTO JOIST</t>
        </is>
      </c>
      <c r="F951" s="159">
        <f>IFERROR(INDEX('BASE METAS DIÁRIAS'!$N$2:$S$358,MATCH($A951,'BASE METAS DIÁRIAS'!$A$2:$A$358,0),MOD(ROW()-2,6)+1),"")</f>
        <v/>
      </c>
      <c r="G951" s="159">
        <f>IFERROR(IF(WEEKDAY($A951,2)&lt;=INDEX('BASE METAS DIÁRIAS'!$H$2:$M$358,MATCH($A951,'BASE METAS DIÁRIAS'!$A$2:$A$358,0),MOD(ROW()-2,6)+1),INDEX('BASE METAS DIÁRIAS'!$B$2:$G$358,MATCH($A951,'BASE METAS DIÁRIAS'!$A$2:$A$358,0),MOD(ROW()-2,6)+1),""),"")</f>
        <v/>
      </c>
      <c r="H951" s="159">
        <f>IFERROR(IF(INDEX('CONTROLE PRODUÇÃO POR EMPRESAS'!$B$6:$G$5000,MATCH($A951,'CONTROLE PRODUÇÃO POR EMPRESAS'!$A$6:$A$5000,0),MOD(ROW()-2,6)+1)="","",IFERROR(1*INDEX('CONTROLE PRODUÇÃO POR EMPRESAS'!$B$6:$G$5000,MATCH($A951,'CONTROLE PRODUÇÃO POR EMPRESAS'!$A$6:$A$5000,0),MOD(ROW()-2,6)+1),"")),"")</f>
        <v/>
      </c>
      <c r="I951" s="159">
        <f>IF(OR(NOT(ISNUMBER(G951)),NOT(ISNUMBER(H951))),"",H951-G951)</f>
        <v/>
      </c>
      <c r="J951" s="319">
        <f>IF(OR(NOT(ISNUMBER(G951)),NOT(ISNUMBER(H951)),G951=0),"",I951/G951)</f>
        <v/>
      </c>
      <c r="K951" s="319">
        <f>IF(OR(NOT(ISNUMBER(G951)),NOT(ISNUMBER(H951)),G951=0),"",H951/G951)</f>
        <v/>
      </c>
      <c r="L951">
        <f>IF(NOT(ISNUMBER(G951)),"SEM META",IF(G951=0,"SEM META",IF(NOT(ISNUMBER(H951)),"SEM APONTAMENTO",IF(H951&gt;=G951,"VERDE",IF(H951&gt;=G951*0.9,"AMARELO","VERMELHO")))))</f>
        <v/>
      </c>
      <c r="M951" s="162" t="n"/>
      <c r="N951" s="162" t="n"/>
      <c r="O951" s="162" t="n"/>
      <c r="P951" s="162" t="n"/>
      <c r="Q951" s="320" t="n"/>
      <c r="R951" s="162" t="inlineStr">
        <is>
          <t>CONTROLE PRODUÇÃO POR EMPRESAS!C164</t>
        </is>
      </c>
    </row>
    <row r="952" ht="28.5" customHeight="1">
      <c r="A952" s="317" t="n">
        <v>46381</v>
      </c>
      <c r="B952" t="inlineStr">
        <is>
          <t>GERAL</t>
        </is>
      </c>
      <c r="C952" t="inlineStr">
        <is>
          <t>EJ</t>
        </is>
      </c>
      <c r="D952" t="inlineStr">
        <is>
          <t>VIGAS</t>
        </is>
      </c>
      <c r="F952" s="159">
        <f>IFERROR(INDEX('BASE METAS DIÁRIAS'!$N$2:$S$358,MATCH($A952,'BASE METAS DIÁRIAS'!$A$2:$A$358,0),MOD(ROW()-2,6)+1),"")</f>
        <v/>
      </c>
      <c r="G952" s="159">
        <f>IFERROR(IF(WEEKDAY($A952,2)&lt;=INDEX('BASE METAS DIÁRIAS'!$H$2:$M$358,MATCH($A952,'BASE METAS DIÁRIAS'!$A$2:$A$358,0),MOD(ROW()-2,6)+1),INDEX('BASE METAS DIÁRIAS'!$B$2:$G$358,MATCH($A952,'BASE METAS DIÁRIAS'!$A$2:$A$358,0),MOD(ROW()-2,6)+1),""),"")</f>
        <v/>
      </c>
      <c r="H952" s="159">
        <f>IFERROR(IF(INDEX('CONTROLE PRODUÇÃO POR EMPRESAS'!$B$6:$G$5000,MATCH($A952,'CONTROLE PRODUÇÃO POR EMPRESAS'!$A$6:$A$5000,0),MOD(ROW()-2,6)+1)="","",IFERROR(1*INDEX('CONTROLE PRODUÇÃO POR EMPRESAS'!$B$6:$G$5000,MATCH($A952,'CONTROLE PRODUÇÃO POR EMPRESAS'!$A$6:$A$5000,0),MOD(ROW()-2,6)+1),"")),"")</f>
        <v/>
      </c>
      <c r="I952" s="159">
        <f>IF(OR(NOT(ISNUMBER(G952)),NOT(ISNUMBER(H952))),"",H952-G952)</f>
        <v/>
      </c>
      <c r="J952" s="319">
        <f>IF(OR(NOT(ISNUMBER(G952)),NOT(ISNUMBER(H952)),G952=0),"",I952/G952)</f>
        <v/>
      </c>
      <c r="K952" s="319">
        <f>IF(OR(NOT(ISNUMBER(G952)),NOT(ISNUMBER(H952)),G952=0),"",H952/G952)</f>
        <v/>
      </c>
      <c r="L952">
        <f>IF(NOT(ISNUMBER(G952)),"SEM META",IF(G952=0,"SEM META",IF(NOT(ISNUMBER(H952)),"SEM APONTAMENTO",IF(H952&gt;=G952,"VERDE",IF(H952&gt;=G952*0.9,"AMARELO","VERMELHO")))))</f>
        <v/>
      </c>
      <c r="M952" s="162" t="n"/>
      <c r="N952" s="162" t="n"/>
      <c r="O952" s="162" t="n"/>
      <c r="P952" s="162" t="n"/>
      <c r="Q952" s="320" t="n"/>
      <c r="R952" s="162" t="inlineStr">
        <is>
          <t>CONTROLE PRODUÇÃO POR EMPRESAS!D164</t>
        </is>
      </c>
    </row>
    <row r="953" ht="28.5" customHeight="1">
      <c r="A953" s="317" t="n">
        <v>46381</v>
      </c>
      <c r="B953" t="inlineStr">
        <is>
          <t>GERAL</t>
        </is>
      </c>
      <c r="C953" t="inlineStr">
        <is>
          <t>CMM</t>
        </is>
      </c>
      <c r="D953" t="inlineStr">
        <is>
          <t>PREMONTAGEM</t>
        </is>
      </c>
      <c r="F953" s="159">
        <f>IFERROR(INDEX('BASE METAS DIÁRIAS'!$N$2:$S$358,MATCH($A953,'BASE METAS DIÁRIAS'!$A$2:$A$358,0),MOD(ROW()-2,6)+1),"")</f>
        <v/>
      </c>
      <c r="G953" s="159">
        <f>IFERROR(IF(WEEKDAY($A953,2)&lt;=INDEX('BASE METAS DIÁRIAS'!$H$2:$M$358,MATCH($A953,'BASE METAS DIÁRIAS'!$A$2:$A$358,0),MOD(ROW()-2,6)+1),INDEX('BASE METAS DIÁRIAS'!$B$2:$G$358,MATCH($A953,'BASE METAS DIÁRIAS'!$A$2:$A$358,0),MOD(ROW()-2,6)+1),""),"")</f>
        <v/>
      </c>
      <c r="H953" s="159">
        <f>IFERROR(IF(INDEX('CONTROLE PRODUÇÃO POR EMPRESAS'!$B$6:$G$5000,MATCH($A953,'CONTROLE PRODUÇÃO POR EMPRESAS'!$A$6:$A$5000,0),MOD(ROW()-2,6)+1)="","",IFERROR(1*INDEX('CONTROLE PRODUÇÃO POR EMPRESAS'!$B$6:$G$5000,MATCH($A953,'CONTROLE PRODUÇÃO POR EMPRESAS'!$A$6:$A$5000,0),MOD(ROW()-2,6)+1),"")),"")</f>
        <v/>
      </c>
      <c r="I953" s="159">
        <f>IF(OR(NOT(ISNUMBER(G953)),NOT(ISNUMBER(H953))),"",H953-G953)</f>
        <v/>
      </c>
      <c r="J953" s="319">
        <f>IF(OR(NOT(ISNUMBER(G953)),NOT(ISNUMBER(H953)),G953=0),"",I953/G953)</f>
        <v/>
      </c>
      <c r="K953" s="319">
        <f>IF(OR(NOT(ISNUMBER(G953)),NOT(ISNUMBER(H953)),G953=0),"",H953/G953)</f>
        <v/>
      </c>
      <c r="L953">
        <f>IF(NOT(ISNUMBER(G953)),"SEM META",IF(G953=0,"SEM META",IF(NOT(ISNUMBER(H953)),"SEM APONTAMENTO",IF(H953&gt;=G953,"VERDE",IF(H953&gt;=G953*0.9,"AMARELO","VERMELHO")))))</f>
        <v/>
      </c>
      <c r="M953" s="162" t="n"/>
      <c r="N953" s="162" t="n"/>
      <c r="O953" s="162" t="n"/>
      <c r="P953" s="162" t="n"/>
      <c r="Q953" s="320" t="n"/>
      <c r="R953" s="162" t="inlineStr">
        <is>
          <t>CONTROLE PRODUÇÃO POR EMPRESAS!E164</t>
        </is>
      </c>
    </row>
    <row r="954" ht="28.5" customHeight="1">
      <c r="A954" s="317" t="n">
        <v>46381</v>
      </c>
      <c r="B954" t="inlineStr">
        <is>
          <t>GERAL</t>
        </is>
      </c>
      <c r="C954" t="inlineStr">
        <is>
          <t>CMM</t>
        </is>
      </c>
      <c r="D954" t="inlineStr">
        <is>
          <t>IÇAMENTO JOIST</t>
        </is>
      </c>
      <c r="F954" s="159">
        <f>IFERROR(INDEX('BASE METAS DIÁRIAS'!$N$2:$S$358,MATCH($A954,'BASE METAS DIÁRIAS'!$A$2:$A$358,0),MOD(ROW()-2,6)+1),"")</f>
        <v/>
      </c>
      <c r="G954" s="159">
        <f>IFERROR(IF(WEEKDAY($A954,2)&lt;=INDEX('BASE METAS DIÁRIAS'!$H$2:$M$358,MATCH($A954,'BASE METAS DIÁRIAS'!$A$2:$A$358,0),MOD(ROW()-2,6)+1),INDEX('BASE METAS DIÁRIAS'!$B$2:$G$358,MATCH($A954,'BASE METAS DIÁRIAS'!$A$2:$A$358,0),MOD(ROW()-2,6)+1),""),"")</f>
        <v/>
      </c>
      <c r="H954" s="159">
        <f>IFERROR(IF(INDEX('CONTROLE PRODUÇÃO POR EMPRESAS'!$B$6:$G$5000,MATCH($A954,'CONTROLE PRODUÇÃO POR EMPRESAS'!$A$6:$A$5000,0),MOD(ROW()-2,6)+1)="","",IFERROR(1*INDEX('CONTROLE PRODUÇÃO POR EMPRESAS'!$B$6:$G$5000,MATCH($A954,'CONTROLE PRODUÇÃO POR EMPRESAS'!$A$6:$A$5000,0),MOD(ROW()-2,6)+1),"")),"")</f>
        <v/>
      </c>
      <c r="I954" s="159">
        <f>IF(OR(NOT(ISNUMBER(G954)),NOT(ISNUMBER(H954))),"",H954-G954)</f>
        <v/>
      </c>
      <c r="J954" s="319">
        <f>IF(OR(NOT(ISNUMBER(G954)),NOT(ISNUMBER(H954)),G954=0),"",I954/G954)</f>
        <v/>
      </c>
      <c r="K954" s="319">
        <f>IF(OR(NOT(ISNUMBER(G954)),NOT(ISNUMBER(H954)),G954=0),"",H954/G954)</f>
        <v/>
      </c>
      <c r="L954">
        <f>IF(NOT(ISNUMBER(G954)),"SEM META",IF(G954=0,"SEM META",IF(NOT(ISNUMBER(H954)),"SEM APONTAMENTO",IF(H954&gt;=G954,"VERDE",IF(H954&gt;=G954*0.9,"AMARELO","VERMELHO")))))</f>
        <v/>
      </c>
      <c r="M954" s="162" t="n"/>
      <c r="N954" s="162" t="n"/>
      <c r="O954" s="162" t="n"/>
      <c r="P954" s="162" t="n"/>
      <c r="Q954" s="320" t="n"/>
      <c r="R954" s="162" t="inlineStr">
        <is>
          <t>CONTROLE PRODUÇÃO POR EMPRESAS!F164</t>
        </is>
      </c>
    </row>
    <row r="955" ht="28.5" customHeight="1">
      <c r="A955" s="317" t="n">
        <v>46381</v>
      </c>
      <c r="B955" t="inlineStr">
        <is>
          <t>GERAL</t>
        </is>
      </c>
      <c r="C955" t="inlineStr">
        <is>
          <t>CMM</t>
        </is>
      </c>
      <c r="D955" t="inlineStr">
        <is>
          <t>VIGAS</t>
        </is>
      </c>
      <c r="F955" s="159">
        <f>IFERROR(INDEX('BASE METAS DIÁRIAS'!$N$2:$S$358,MATCH($A955,'BASE METAS DIÁRIAS'!$A$2:$A$358,0),MOD(ROW()-2,6)+1),"")</f>
        <v/>
      </c>
      <c r="G955" s="159">
        <f>IFERROR(IF(WEEKDAY($A955,2)&lt;=INDEX('BASE METAS DIÁRIAS'!$H$2:$M$358,MATCH($A955,'BASE METAS DIÁRIAS'!$A$2:$A$358,0),MOD(ROW()-2,6)+1),INDEX('BASE METAS DIÁRIAS'!$B$2:$G$358,MATCH($A955,'BASE METAS DIÁRIAS'!$A$2:$A$358,0),MOD(ROW()-2,6)+1),""),"")</f>
        <v/>
      </c>
      <c r="H955" s="159">
        <f>IFERROR(IF(INDEX('CONTROLE PRODUÇÃO POR EMPRESAS'!$B$6:$G$5000,MATCH($A955,'CONTROLE PRODUÇÃO POR EMPRESAS'!$A$6:$A$5000,0),MOD(ROW()-2,6)+1)="","",IFERROR(1*INDEX('CONTROLE PRODUÇÃO POR EMPRESAS'!$B$6:$G$5000,MATCH($A955,'CONTROLE PRODUÇÃO POR EMPRESAS'!$A$6:$A$5000,0),MOD(ROW()-2,6)+1),"")),"")</f>
        <v/>
      </c>
      <c r="I955" s="159">
        <f>IF(OR(NOT(ISNUMBER(G955)),NOT(ISNUMBER(H955))),"",H955-G955)</f>
        <v/>
      </c>
      <c r="J955" s="319">
        <f>IF(OR(NOT(ISNUMBER(G955)),NOT(ISNUMBER(H955)),G955=0),"",I955/G955)</f>
        <v/>
      </c>
      <c r="K955" s="319">
        <f>IF(OR(NOT(ISNUMBER(G955)),NOT(ISNUMBER(H955)),G955=0),"",H955/G955)</f>
        <v/>
      </c>
      <c r="L955">
        <f>IF(NOT(ISNUMBER(G955)),"SEM META",IF(G955=0,"SEM META",IF(NOT(ISNUMBER(H955)),"SEM APONTAMENTO",IF(H955&gt;=G955,"VERDE",IF(H955&gt;=G955*0.9,"AMARELO","VERMELHO")))))</f>
        <v/>
      </c>
      <c r="M955" s="162" t="n"/>
      <c r="N955" s="162" t="n"/>
      <c r="O955" s="162" t="n"/>
      <c r="P955" s="162" t="n"/>
      <c r="Q955" s="320" t="n"/>
      <c r="R955" s="162" t="inlineStr">
        <is>
          <t>CONTROLE PRODUÇÃO POR EMPRESAS!G164</t>
        </is>
      </c>
    </row>
    <row r="956" ht="28.5" customHeight="1">
      <c r="A956" s="317" t="n">
        <v>46382</v>
      </c>
      <c r="B956" t="inlineStr">
        <is>
          <t>GERAL</t>
        </is>
      </c>
      <c r="C956" t="inlineStr">
        <is>
          <t>EJ</t>
        </is>
      </c>
      <c r="D956" t="inlineStr">
        <is>
          <t>PREMONTAGEM</t>
        </is>
      </c>
      <c r="F956" s="159">
        <f>IFERROR(INDEX('BASE METAS DIÁRIAS'!$N$2:$S$358,MATCH($A956,'BASE METAS DIÁRIAS'!$A$2:$A$358,0),MOD(ROW()-2,6)+1),"")</f>
        <v/>
      </c>
      <c r="G956" s="159">
        <f>IFERROR(IF(WEEKDAY($A956,2)&lt;=INDEX('BASE METAS DIÁRIAS'!$H$2:$M$358,MATCH($A956,'BASE METAS DIÁRIAS'!$A$2:$A$358,0),MOD(ROW()-2,6)+1),INDEX('BASE METAS DIÁRIAS'!$B$2:$G$358,MATCH($A956,'BASE METAS DIÁRIAS'!$A$2:$A$358,0),MOD(ROW()-2,6)+1),""),"")</f>
        <v/>
      </c>
      <c r="H956" s="159">
        <f>IFERROR(IF(INDEX('CONTROLE PRODUÇÃO POR EMPRESAS'!$B$6:$G$5000,MATCH($A956,'CONTROLE PRODUÇÃO POR EMPRESAS'!$A$6:$A$5000,0),MOD(ROW()-2,6)+1)="","",IFERROR(1*INDEX('CONTROLE PRODUÇÃO POR EMPRESAS'!$B$6:$G$5000,MATCH($A956,'CONTROLE PRODUÇÃO POR EMPRESAS'!$A$6:$A$5000,0),MOD(ROW()-2,6)+1),"")),"")</f>
        <v/>
      </c>
      <c r="I956" s="159">
        <f>IF(OR(NOT(ISNUMBER(G956)),NOT(ISNUMBER(H956))),"",H956-G956)</f>
        <v/>
      </c>
      <c r="J956" s="319">
        <f>IF(OR(NOT(ISNUMBER(G956)),NOT(ISNUMBER(H956)),G956=0),"",I956/G956)</f>
        <v/>
      </c>
      <c r="K956" s="319">
        <f>IF(OR(NOT(ISNUMBER(G956)),NOT(ISNUMBER(H956)),G956=0),"",H956/G956)</f>
        <v/>
      </c>
      <c r="L956">
        <f>IF(NOT(ISNUMBER(G956)),"SEM META",IF(G956=0,"SEM META",IF(NOT(ISNUMBER(H956)),"SEM APONTAMENTO",IF(H956&gt;=G956,"VERDE",IF(H956&gt;=G956*0.9,"AMARELO","VERMELHO")))))</f>
        <v/>
      </c>
      <c r="M956" s="162" t="n"/>
      <c r="N956" s="162" t="n"/>
      <c r="O956" s="162" t="n"/>
      <c r="P956" s="162" t="n"/>
      <c r="Q956" s="320" t="n"/>
      <c r="R956" s="162" t="inlineStr">
        <is>
          <t>CONTROLE PRODUÇÃO POR EMPRESAS!B165</t>
        </is>
      </c>
    </row>
    <row r="957" ht="28.5" customHeight="1">
      <c r="A957" s="317" t="n">
        <v>46382</v>
      </c>
      <c r="B957" t="inlineStr">
        <is>
          <t>GERAL</t>
        </is>
      </c>
      <c r="C957" t="inlineStr">
        <is>
          <t>EJ</t>
        </is>
      </c>
      <c r="D957" t="inlineStr">
        <is>
          <t>IÇAMENTO JOIST</t>
        </is>
      </c>
      <c r="F957" s="159">
        <f>IFERROR(INDEX('BASE METAS DIÁRIAS'!$N$2:$S$358,MATCH($A957,'BASE METAS DIÁRIAS'!$A$2:$A$358,0),MOD(ROW()-2,6)+1),"")</f>
        <v/>
      </c>
      <c r="G957" s="159">
        <f>IFERROR(IF(WEEKDAY($A957,2)&lt;=INDEX('BASE METAS DIÁRIAS'!$H$2:$M$358,MATCH($A957,'BASE METAS DIÁRIAS'!$A$2:$A$358,0),MOD(ROW()-2,6)+1),INDEX('BASE METAS DIÁRIAS'!$B$2:$G$358,MATCH($A957,'BASE METAS DIÁRIAS'!$A$2:$A$358,0),MOD(ROW()-2,6)+1),""),"")</f>
        <v/>
      </c>
      <c r="H957" s="159">
        <f>IFERROR(IF(INDEX('CONTROLE PRODUÇÃO POR EMPRESAS'!$B$6:$G$5000,MATCH($A957,'CONTROLE PRODUÇÃO POR EMPRESAS'!$A$6:$A$5000,0),MOD(ROW()-2,6)+1)="","",IFERROR(1*INDEX('CONTROLE PRODUÇÃO POR EMPRESAS'!$B$6:$G$5000,MATCH($A957,'CONTROLE PRODUÇÃO POR EMPRESAS'!$A$6:$A$5000,0),MOD(ROW()-2,6)+1),"")),"")</f>
        <v/>
      </c>
      <c r="I957" s="159">
        <f>IF(OR(NOT(ISNUMBER(G957)),NOT(ISNUMBER(H957))),"",H957-G957)</f>
        <v/>
      </c>
      <c r="J957" s="319">
        <f>IF(OR(NOT(ISNUMBER(G957)),NOT(ISNUMBER(H957)),G957=0),"",I957/G957)</f>
        <v/>
      </c>
      <c r="K957" s="319">
        <f>IF(OR(NOT(ISNUMBER(G957)),NOT(ISNUMBER(H957)),G957=0),"",H957/G957)</f>
        <v/>
      </c>
      <c r="L957">
        <f>IF(NOT(ISNUMBER(G957)),"SEM META",IF(G957=0,"SEM META",IF(NOT(ISNUMBER(H957)),"SEM APONTAMENTO",IF(H957&gt;=G957,"VERDE",IF(H957&gt;=G957*0.9,"AMARELO","VERMELHO")))))</f>
        <v/>
      </c>
      <c r="M957" s="162" t="n"/>
      <c r="N957" s="162" t="n"/>
      <c r="O957" s="162" t="n"/>
      <c r="P957" s="162" t="n"/>
      <c r="Q957" s="320" t="n"/>
      <c r="R957" s="162" t="inlineStr">
        <is>
          <t>CONTROLE PRODUÇÃO POR EMPRESAS!C165</t>
        </is>
      </c>
    </row>
    <row r="958" ht="28.5" customHeight="1">
      <c r="A958" s="317" t="n">
        <v>46382</v>
      </c>
      <c r="B958" t="inlineStr">
        <is>
          <t>GERAL</t>
        </is>
      </c>
      <c r="C958" t="inlineStr">
        <is>
          <t>EJ</t>
        </is>
      </c>
      <c r="D958" t="inlineStr">
        <is>
          <t>VIGAS</t>
        </is>
      </c>
      <c r="F958" s="159">
        <f>IFERROR(INDEX('BASE METAS DIÁRIAS'!$N$2:$S$358,MATCH($A958,'BASE METAS DIÁRIAS'!$A$2:$A$358,0),MOD(ROW()-2,6)+1),"")</f>
        <v/>
      </c>
      <c r="G958" s="159">
        <f>IFERROR(IF(WEEKDAY($A958,2)&lt;=INDEX('BASE METAS DIÁRIAS'!$H$2:$M$358,MATCH($A958,'BASE METAS DIÁRIAS'!$A$2:$A$358,0),MOD(ROW()-2,6)+1),INDEX('BASE METAS DIÁRIAS'!$B$2:$G$358,MATCH($A958,'BASE METAS DIÁRIAS'!$A$2:$A$358,0),MOD(ROW()-2,6)+1),""),"")</f>
        <v/>
      </c>
      <c r="H958" s="159">
        <f>IFERROR(IF(INDEX('CONTROLE PRODUÇÃO POR EMPRESAS'!$B$6:$G$5000,MATCH($A958,'CONTROLE PRODUÇÃO POR EMPRESAS'!$A$6:$A$5000,0),MOD(ROW()-2,6)+1)="","",IFERROR(1*INDEX('CONTROLE PRODUÇÃO POR EMPRESAS'!$B$6:$G$5000,MATCH($A958,'CONTROLE PRODUÇÃO POR EMPRESAS'!$A$6:$A$5000,0),MOD(ROW()-2,6)+1),"")),"")</f>
        <v/>
      </c>
      <c r="I958" s="159">
        <f>IF(OR(NOT(ISNUMBER(G958)),NOT(ISNUMBER(H958))),"",H958-G958)</f>
        <v/>
      </c>
      <c r="J958" s="319">
        <f>IF(OR(NOT(ISNUMBER(G958)),NOT(ISNUMBER(H958)),G958=0),"",I958/G958)</f>
        <v/>
      </c>
      <c r="K958" s="319">
        <f>IF(OR(NOT(ISNUMBER(G958)),NOT(ISNUMBER(H958)),G958=0),"",H958/G958)</f>
        <v/>
      </c>
      <c r="L958">
        <f>IF(NOT(ISNUMBER(G958)),"SEM META",IF(G958=0,"SEM META",IF(NOT(ISNUMBER(H958)),"SEM APONTAMENTO",IF(H958&gt;=G958,"VERDE",IF(H958&gt;=G958*0.9,"AMARELO","VERMELHO")))))</f>
        <v/>
      </c>
      <c r="M958" s="162" t="n"/>
      <c r="N958" s="162" t="n"/>
      <c r="O958" s="162" t="n"/>
      <c r="P958" s="162" t="n"/>
      <c r="Q958" s="320" t="n"/>
      <c r="R958" s="162" t="inlineStr">
        <is>
          <t>CONTROLE PRODUÇÃO POR EMPRESAS!D165</t>
        </is>
      </c>
    </row>
    <row r="959" ht="28.5" customHeight="1">
      <c r="A959" s="317" t="n">
        <v>46382</v>
      </c>
      <c r="B959" t="inlineStr">
        <is>
          <t>GERAL</t>
        </is>
      </c>
      <c r="C959" t="inlineStr">
        <is>
          <t>CMM</t>
        </is>
      </c>
      <c r="D959" t="inlineStr">
        <is>
          <t>PREMONTAGEM</t>
        </is>
      </c>
      <c r="F959" s="159">
        <f>IFERROR(INDEX('BASE METAS DIÁRIAS'!$N$2:$S$358,MATCH($A959,'BASE METAS DIÁRIAS'!$A$2:$A$358,0),MOD(ROW()-2,6)+1),"")</f>
        <v/>
      </c>
      <c r="G959" s="159">
        <f>IFERROR(IF(WEEKDAY($A959,2)&lt;=INDEX('BASE METAS DIÁRIAS'!$H$2:$M$358,MATCH($A959,'BASE METAS DIÁRIAS'!$A$2:$A$358,0),MOD(ROW()-2,6)+1),INDEX('BASE METAS DIÁRIAS'!$B$2:$G$358,MATCH($A959,'BASE METAS DIÁRIAS'!$A$2:$A$358,0),MOD(ROW()-2,6)+1),""),"")</f>
        <v/>
      </c>
      <c r="H959" s="159">
        <f>IFERROR(IF(INDEX('CONTROLE PRODUÇÃO POR EMPRESAS'!$B$6:$G$5000,MATCH($A959,'CONTROLE PRODUÇÃO POR EMPRESAS'!$A$6:$A$5000,0),MOD(ROW()-2,6)+1)="","",IFERROR(1*INDEX('CONTROLE PRODUÇÃO POR EMPRESAS'!$B$6:$G$5000,MATCH($A959,'CONTROLE PRODUÇÃO POR EMPRESAS'!$A$6:$A$5000,0),MOD(ROW()-2,6)+1),"")),"")</f>
        <v/>
      </c>
      <c r="I959" s="159">
        <f>IF(OR(NOT(ISNUMBER(G959)),NOT(ISNUMBER(H959))),"",H959-G959)</f>
        <v/>
      </c>
      <c r="J959" s="319">
        <f>IF(OR(NOT(ISNUMBER(G959)),NOT(ISNUMBER(H959)),G959=0),"",I959/G959)</f>
        <v/>
      </c>
      <c r="K959" s="319">
        <f>IF(OR(NOT(ISNUMBER(G959)),NOT(ISNUMBER(H959)),G959=0),"",H959/G959)</f>
        <v/>
      </c>
      <c r="L959">
        <f>IF(NOT(ISNUMBER(G959)),"SEM META",IF(G959=0,"SEM META",IF(NOT(ISNUMBER(H959)),"SEM APONTAMENTO",IF(H959&gt;=G959,"VERDE",IF(H959&gt;=G959*0.9,"AMARELO","VERMELHO")))))</f>
        <v/>
      </c>
      <c r="M959" s="162" t="n"/>
      <c r="N959" s="162" t="n"/>
      <c r="O959" s="162" t="n"/>
      <c r="P959" s="162" t="n"/>
      <c r="Q959" s="320" t="n"/>
      <c r="R959" s="162" t="inlineStr">
        <is>
          <t>CONTROLE PRODUÇÃO POR EMPRESAS!E165</t>
        </is>
      </c>
    </row>
    <row r="960" ht="28.5" customHeight="1">
      <c r="A960" s="317" t="n">
        <v>46382</v>
      </c>
      <c r="B960" t="inlineStr">
        <is>
          <t>GERAL</t>
        </is>
      </c>
      <c r="C960" t="inlineStr">
        <is>
          <t>CMM</t>
        </is>
      </c>
      <c r="D960" t="inlineStr">
        <is>
          <t>IÇAMENTO JOIST</t>
        </is>
      </c>
      <c r="F960" s="159">
        <f>IFERROR(INDEX('BASE METAS DIÁRIAS'!$N$2:$S$358,MATCH($A960,'BASE METAS DIÁRIAS'!$A$2:$A$358,0),MOD(ROW()-2,6)+1),"")</f>
        <v/>
      </c>
      <c r="G960" s="159">
        <f>IFERROR(IF(WEEKDAY($A960,2)&lt;=INDEX('BASE METAS DIÁRIAS'!$H$2:$M$358,MATCH($A960,'BASE METAS DIÁRIAS'!$A$2:$A$358,0),MOD(ROW()-2,6)+1),INDEX('BASE METAS DIÁRIAS'!$B$2:$G$358,MATCH($A960,'BASE METAS DIÁRIAS'!$A$2:$A$358,0),MOD(ROW()-2,6)+1),""),"")</f>
        <v/>
      </c>
      <c r="H960" s="159">
        <f>IFERROR(IF(INDEX('CONTROLE PRODUÇÃO POR EMPRESAS'!$B$6:$G$5000,MATCH($A960,'CONTROLE PRODUÇÃO POR EMPRESAS'!$A$6:$A$5000,0),MOD(ROW()-2,6)+1)="","",IFERROR(1*INDEX('CONTROLE PRODUÇÃO POR EMPRESAS'!$B$6:$G$5000,MATCH($A960,'CONTROLE PRODUÇÃO POR EMPRESAS'!$A$6:$A$5000,0),MOD(ROW()-2,6)+1),"")),"")</f>
        <v/>
      </c>
      <c r="I960" s="159">
        <f>IF(OR(NOT(ISNUMBER(G960)),NOT(ISNUMBER(H960))),"",H960-G960)</f>
        <v/>
      </c>
      <c r="J960" s="319">
        <f>IF(OR(NOT(ISNUMBER(G960)),NOT(ISNUMBER(H960)),G960=0),"",I960/G960)</f>
        <v/>
      </c>
      <c r="K960" s="319">
        <f>IF(OR(NOT(ISNUMBER(G960)),NOT(ISNUMBER(H960)),G960=0),"",H960/G960)</f>
        <v/>
      </c>
      <c r="L960">
        <f>IF(NOT(ISNUMBER(G960)),"SEM META",IF(G960=0,"SEM META",IF(NOT(ISNUMBER(H960)),"SEM APONTAMENTO",IF(H960&gt;=G960,"VERDE",IF(H960&gt;=G960*0.9,"AMARELO","VERMELHO")))))</f>
        <v/>
      </c>
      <c r="M960" s="162" t="n"/>
      <c r="N960" s="162" t="n"/>
      <c r="O960" s="162" t="n"/>
      <c r="P960" s="162" t="n"/>
      <c r="Q960" s="320" t="n"/>
      <c r="R960" s="162" t="inlineStr">
        <is>
          <t>CONTROLE PRODUÇÃO POR EMPRESAS!F165</t>
        </is>
      </c>
    </row>
    <row r="961" ht="28.5" customHeight="1">
      <c r="A961" s="317" t="n">
        <v>46382</v>
      </c>
      <c r="B961" t="inlineStr">
        <is>
          <t>GERAL</t>
        </is>
      </c>
      <c r="C961" t="inlineStr">
        <is>
          <t>CMM</t>
        </is>
      </c>
      <c r="D961" t="inlineStr">
        <is>
          <t>VIGAS</t>
        </is>
      </c>
      <c r="F961" s="159">
        <f>IFERROR(INDEX('BASE METAS DIÁRIAS'!$N$2:$S$358,MATCH($A961,'BASE METAS DIÁRIAS'!$A$2:$A$358,0),MOD(ROW()-2,6)+1),"")</f>
        <v/>
      </c>
      <c r="G961" s="159">
        <f>IFERROR(IF(WEEKDAY($A961,2)&lt;=INDEX('BASE METAS DIÁRIAS'!$H$2:$M$358,MATCH($A961,'BASE METAS DIÁRIAS'!$A$2:$A$358,0),MOD(ROW()-2,6)+1),INDEX('BASE METAS DIÁRIAS'!$B$2:$G$358,MATCH($A961,'BASE METAS DIÁRIAS'!$A$2:$A$358,0),MOD(ROW()-2,6)+1),""),"")</f>
        <v/>
      </c>
      <c r="H961" s="159">
        <f>IFERROR(IF(INDEX('CONTROLE PRODUÇÃO POR EMPRESAS'!$B$6:$G$5000,MATCH($A961,'CONTROLE PRODUÇÃO POR EMPRESAS'!$A$6:$A$5000,0),MOD(ROW()-2,6)+1)="","",IFERROR(1*INDEX('CONTROLE PRODUÇÃO POR EMPRESAS'!$B$6:$G$5000,MATCH($A961,'CONTROLE PRODUÇÃO POR EMPRESAS'!$A$6:$A$5000,0),MOD(ROW()-2,6)+1),"")),"")</f>
        <v/>
      </c>
      <c r="I961" s="159">
        <f>IF(OR(NOT(ISNUMBER(G961)),NOT(ISNUMBER(H961))),"",H961-G961)</f>
        <v/>
      </c>
      <c r="J961" s="319">
        <f>IF(OR(NOT(ISNUMBER(G961)),NOT(ISNUMBER(H961)),G961=0),"",I961/G961)</f>
        <v/>
      </c>
      <c r="K961" s="319">
        <f>IF(OR(NOT(ISNUMBER(G961)),NOT(ISNUMBER(H961)),G961=0),"",H961/G961)</f>
        <v/>
      </c>
      <c r="L961">
        <f>IF(NOT(ISNUMBER(G961)),"SEM META",IF(G961=0,"SEM META",IF(NOT(ISNUMBER(H961)),"SEM APONTAMENTO",IF(H961&gt;=G961,"VERDE",IF(H961&gt;=G961*0.9,"AMARELO","VERMELHO")))))</f>
        <v/>
      </c>
      <c r="M961" s="162" t="n"/>
      <c r="N961" s="162" t="n"/>
      <c r="O961" s="162" t="n"/>
      <c r="P961" s="162" t="n"/>
      <c r="Q961" s="320" t="n"/>
      <c r="R961" s="162" t="inlineStr">
        <is>
          <t>CONTROLE PRODUÇÃO POR EMPRESAS!G165</t>
        </is>
      </c>
    </row>
    <row r="962" ht="28.5" customHeight="1">
      <c r="A962" s="317" t="n">
        <v>46383</v>
      </c>
      <c r="B962" t="inlineStr">
        <is>
          <t>GERAL</t>
        </is>
      </c>
      <c r="C962" t="inlineStr">
        <is>
          <t>EJ</t>
        </is>
      </c>
      <c r="D962" t="inlineStr">
        <is>
          <t>PREMONTAGEM</t>
        </is>
      </c>
      <c r="F962" s="159">
        <f>IFERROR(INDEX('BASE METAS DIÁRIAS'!$N$2:$S$358,MATCH($A962,'BASE METAS DIÁRIAS'!$A$2:$A$358,0),MOD(ROW()-2,6)+1),"")</f>
        <v/>
      </c>
      <c r="G962" s="159">
        <f>IFERROR(IF(WEEKDAY($A962,2)&lt;=INDEX('BASE METAS DIÁRIAS'!$H$2:$M$358,MATCH($A962,'BASE METAS DIÁRIAS'!$A$2:$A$358,0),MOD(ROW()-2,6)+1),INDEX('BASE METAS DIÁRIAS'!$B$2:$G$358,MATCH($A962,'BASE METAS DIÁRIAS'!$A$2:$A$358,0),MOD(ROW()-2,6)+1),""),"")</f>
        <v/>
      </c>
      <c r="H962" s="159">
        <f>IFERROR(IF(INDEX('CONTROLE PRODUÇÃO POR EMPRESAS'!$B$6:$G$5000,MATCH($A962,'CONTROLE PRODUÇÃO POR EMPRESAS'!$A$6:$A$5000,0),MOD(ROW()-2,6)+1)="","",IFERROR(1*INDEX('CONTROLE PRODUÇÃO POR EMPRESAS'!$B$6:$G$5000,MATCH($A962,'CONTROLE PRODUÇÃO POR EMPRESAS'!$A$6:$A$5000,0),MOD(ROW()-2,6)+1),"")),"")</f>
        <v/>
      </c>
      <c r="I962" s="159">
        <f>IF(OR(NOT(ISNUMBER(G962)),NOT(ISNUMBER(H962))),"",H962-G962)</f>
        <v/>
      </c>
      <c r="J962" s="319">
        <f>IF(OR(NOT(ISNUMBER(G962)),NOT(ISNUMBER(H962)),G962=0),"",I962/G962)</f>
        <v/>
      </c>
      <c r="K962" s="319">
        <f>IF(OR(NOT(ISNUMBER(G962)),NOT(ISNUMBER(H962)),G962=0),"",H962/G962)</f>
        <v/>
      </c>
      <c r="L962">
        <f>IF(NOT(ISNUMBER(G962)),"SEM META",IF(G962=0,"SEM META",IF(NOT(ISNUMBER(H962)),"SEM APONTAMENTO",IF(H962&gt;=G962,"VERDE",IF(H962&gt;=G962*0.9,"AMARELO","VERMELHO")))))</f>
        <v/>
      </c>
      <c r="M962" s="162" t="n"/>
      <c r="N962" s="162" t="n"/>
      <c r="O962" s="162" t="n"/>
      <c r="P962" s="162" t="n"/>
      <c r="Q962" s="320" t="n"/>
      <c r="R962" s="162" t="inlineStr">
        <is>
          <t>CONTROLE PRODUÇÃO POR EMPRESAS!B166</t>
        </is>
      </c>
    </row>
    <row r="963" ht="28.5" customHeight="1">
      <c r="A963" s="317" t="n">
        <v>46383</v>
      </c>
      <c r="B963" t="inlineStr">
        <is>
          <t>GERAL</t>
        </is>
      </c>
      <c r="C963" t="inlineStr">
        <is>
          <t>EJ</t>
        </is>
      </c>
      <c r="D963" t="inlineStr">
        <is>
          <t>IÇAMENTO JOIST</t>
        </is>
      </c>
      <c r="F963" s="159">
        <f>IFERROR(INDEX('BASE METAS DIÁRIAS'!$N$2:$S$358,MATCH($A963,'BASE METAS DIÁRIAS'!$A$2:$A$358,0),MOD(ROW()-2,6)+1),"")</f>
        <v/>
      </c>
      <c r="G963" s="159">
        <f>IFERROR(IF(WEEKDAY($A963,2)&lt;=INDEX('BASE METAS DIÁRIAS'!$H$2:$M$358,MATCH($A963,'BASE METAS DIÁRIAS'!$A$2:$A$358,0),MOD(ROW()-2,6)+1),INDEX('BASE METAS DIÁRIAS'!$B$2:$G$358,MATCH($A963,'BASE METAS DIÁRIAS'!$A$2:$A$358,0),MOD(ROW()-2,6)+1),""),"")</f>
        <v/>
      </c>
      <c r="H963" s="159">
        <f>IFERROR(IF(INDEX('CONTROLE PRODUÇÃO POR EMPRESAS'!$B$6:$G$5000,MATCH($A963,'CONTROLE PRODUÇÃO POR EMPRESAS'!$A$6:$A$5000,0),MOD(ROW()-2,6)+1)="","",IFERROR(1*INDEX('CONTROLE PRODUÇÃO POR EMPRESAS'!$B$6:$G$5000,MATCH($A963,'CONTROLE PRODUÇÃO POR EMPRESAS'!$A$6:$A$5000,0),MOD(ROW()-2,6)+1),"")),"")</f>
        <v/>
      </c>
      <c r="I963" s="159">
        <f>IF(OR(NOT(ISNUMBER(G963)),NOT(ISNUMBER(H963))),"",H963-G963)</f>
        <v/>
      </c>
      <c r="J963" s="319">
        <f>IF(OR(NOT(ISNUMBER(G963)),NOT(ISNUMBER(H963)),G963=0),"",I963/G963)</f>
        <v/>
      </c>
      <c r="K963" s="319">
        <f>IF(OR(NOT(ISNUMBER(G963)),NOT(ISNUMBER(H963)),G963=0),"",H963/G963)</f>
        <v/>
      </c>
      <c r="L963">
        <f>IF(NOT(ISNUMBER(G963)),"SEM META",IF(G963=0,"SEM META",IF(NOT(ISNUMBER(H963)),"SEM APONTAMENTO",IF(H963&gt;=G963,"VERDE",IF(H963&gt;=G963*0.9,"AMARELO","VERMELHO")))))</f>
        <v/>
      </c>
      <c r="M963" s="162" t="n"/>
      <c r="N963" s="162" t="n"/>
      <c r="O963" s="162" t="n"/>
      <c r="P963" s="162" t="n"/>
      <c r="Q963" s="320" t="n"/>
      <c r="R963" s="162" t="inlineStr">
        <is>
          <t>CONTROLE PRODUÇÃO POR EMPRESAS!C166</t>
        </is>
      </c>
    </row>
    <row r="964" ht="28.5" customHeight="1">
      <c r="A964" s="317" t="n">
        <v>46383</v>
      </c>
      <c r="B964" t="inlineStr">
        <is>
          <t>GERAL</t>
        </is>
      </c>
      <c r="C964" t="inlineStr">
        <is>
          <t>EJ</t>
        </is>
      </c>
      <c r="D964" t="inlineStr">
        <is>
          <t>VIGAS</t>
        </is>
      </c>
      <c r="F964" s="159">
        <f>IFERROR(INDEX('BASE METAS DIÁRIAS'!$N$2:$S$358,MATCH($A964,'BASE METAS DIÁRIAS'!$A$2:$A$358,0),MOD(ROW()-2,6)+1),"")</f>
        <v/>
      </c>
      <c r="G964" s="159">
        <f>IFERROR(IF(WEEKDAY($A964,2)&lt;=INDEX('BASE METAS DIÁRIAS'!$H$2:$M$358,MATCH($A964,'BASE METAS DIÁRIAS'!$A$2:$A$358,0),MOD(ROW()-2,6)+1),INDEX('BASE METAS DIÁRIAS'!$B$2:$G$358,MATCH($A964,'BASE METAS DIÁRIAS'!$A$2:$A$358,0),MOD(ROW()-2,6)+1),""),"")</f>
        <v/>
      </c>
      <c r="H964" s="159">
        <f>IFERROR(IF(INDEX('CONTROLE PRODUÇÃO POR EMPRESAS'!$B$6:$G$5000,MATCH($A964,'CONTROLE PRODUÇÃO POR EMPRESAS'!$A$6:$A$5000,0),MOD(ROW()-2,6)+1)="","",IFERROR(1*INDEX('CONTROLE PRODUÇÃO POR EMPRESAS'!$B$6:$G$5000,MATCH($A964,'CONTROLE PRODUÇÃO POR EMPRESAS'!$A$6:$A$5000,0),MOD(ROW()-2,6)+1),"")),"")</f>
        <v/>
      </c>
      <c r="I964" s="159">
        <f>IF(OR(NOT(ISNUMBER(G964)),NOT(ISNUMBER(H964))),"",H964-G964)</f>
        <v/>
      </c>
      <c r="J964" s="319">
        <f>IF(OR(NOT(ISNUMBER(G964)),NOT(ISNUMBER(H964)),G964=0),"",I964/G964)</f>
        <v/>
      </c>
      <c r="K964" s="319">
        <f>IF(OR(NOT(ISNUMBER(G964)),NOT(ISNUMBER(H964)),G964=0),"",H964/G964)</f>
        <v/>
      </c>
      <c r="L964">
        <f>IF(NOT(ISNUMBER(G964)),"SEM META",IF(G964=0,"SEM META",IF(NOT(ISNUMBER(H964)),"SEM APONTAMENTO",IF(H964&gt;=G964,"VERDE",IF(H964&gt;=G964*0.9,"AMARELO","VERMELHO")))))</f>
        <v/>
      </c>
      <c r="M964" s="162" t="n"/>
      <c r="N964" s="162" t="n"/>
      <c r="O964" s="162" t="n"/>
      <c r="P964" s="162" t="n"/>
      <c r="Q964" s="320" t="n"/>
      <c r="R964" s="162" t="inlineStr">
        <is>
          <t>CONTROLE PRODUÇÃO POR EMPRESAS!D166</t>
        </is>
      </c>
    </row>
    <row r="965" ht="28.5" customHeight="1">
      <c r="A965" s="317" t="n">
        <v>46383</v>
      </c>
      <c r="B965" t="inlineStr">
        <is>
          <t>GERAL</t>
        </is>
      </c>
      <c r="C965" t="inlineStr">
        <is>
          <t>CMM</t>
        </is>
      </c>
      <c r="D965" t="inlineStr">
        <is>
          <t>PREMONTAGEM</t>
        </is>
      </c>
      <c r="F965" s="159">
        <f>IFERROR(INDEX('BASE METAS DIÁRIAS'!$N$2:$S$358,MATCH($A965,'BASE METAS DIÁRIAS'!$A$2:$A$358,0),MOD(ROW()-2,6)+1),"")</f>
        <v/>
      </c>
      <c r="G965" s="159">
        <f>IFERROR(IF(WEEKDAY($A965,2)&lt;=INDEX('BASE METAS DIÁRIAS'!$H$2:$M$358,MATCH($A965,'BASE METAS DIÁRIAS'!$A$2:$A$358,0),MOD(ROW()-2,6)+1),INDEX('BASE METAS DIÁRIAS'!$B$2:$G$358,MATCH($A965,'BASE METAS DIÁRIAS'!$A$2:$A$358,0),MOD(ROW()-2,6)+1),""),"")</f>
        <v/>
      </c>
      <c r="H965" s="159">
        <f>IFERROR(IF(INDEX('CONTROLE PRODUÇÃO POR EMPRESAS'!$B$6:$G$5000,MATCH($A965,'CONTROLE PRODUÇÃO POR EMPRESAS'!$A$6:$A$5000,0),MOD(ROW()-2,6)+1)="","",IFERROR(1*INDEX('CONTROLE PRODUÇÃO POR EMPRESAS'!$B$6:$G$5000,MATCH($A965,'CONTROLE PRODUÇÃO POR EMPRESAS'!$A$6:$A$5000,0),MOD(ROW()-2,6)+1),"")),"")</f>
        <v/>
      </c>
      <c r="I965" s="159">
        <f>IF(OR(NOT(ISNUMBER(G965)),NOT(ISNUMBER(H965))),"",H965-G965)</f>
        <v/>
      </c>
      <c r="J965" s="319">
        <f>IF(OR(NOT(ISNUMBER(G965)),NOT(ISNUMBER(H965)),G965=0),"",I965/G965)</f>
        <v/>
      </c>
      <c r="K965" s="319">
        <f>IF(OR(NOT(ISNUMBER(G965)),NOT(ISNUMBER(H965)),G965=0),"",H965/G965)</f>
        <v/>
      </c>
      <c r="L965">
        <f>IF(NOT(ISNUMBER(G965)),"SEM META",IF(G965=0,"SEM META",IF(NOT(ISNUMBER(H965)),"SEM APONTAMENTO",IF(H965&gt;=G965,"VERDE",IF(H965&gt;=G965*0.9,"AMARELO","VERMELHO")))))</f>
        <v/>
      </c>
      <c r="M965" s="162" t="n"/>
      <c r="N965" s="162" t="n"/>
      <c r="O965" s="162" t="n"/>
      <c r="P965" s="162" t="n"/>
      <c r="Q965" s="320" t="n"/>
      <c r="R965" s="162" t="inlineStr">
        <is>
          <t>CONTROLE PRODUÇÃO POR EMPRESAS!E166</t>
        </is>
      </c>
    </row>
    <row r="966" ht="28.5" customHeight="1">
      <c r="A966" s="317" t="n">
        <v>46383</v>
      </c>
      <c r="B966" t="inlineStr">
        <is>
          <t>GERAL</t>
        </is>
      </c>
      <c r="C966" t="inlineStr">
        <is>
          <t>CMM</t>
        </is>
      </c>
      <c r="D966" t="inlineStr">
        <is>
          <t>IÇAMENTO JOIST</t>
        </is>
      </c>
      <c r="F966" s="159">
        <f>IFERROR(INDEX('BASE METAS DIÁRIAS'!$N$2:$S$358,MATCH($A966,'BASE METAS DIÁRIAS'!$A$2:$A$358,0),MOD(ROW()-2,6)+1),"")</f>
        <v/>
      </c>
      <c r="G966" s="159">
        <f>IFERROR(IF(WEEKDAY($A966,2)&lt;=INDEX('BASE METAS DIÁRIAS'!$H$2:$M$358,MATCH($A966,'BASE METAS DIÁRIAS'!$A$2:$A$358,0),MOD(ROW()-2,6)+1),INDEX('BASE METAS DIÁRIAS'!$B$2:$G$358,MATCH($A966,'BASE METAS DIÁRIAS'!$A$2:$A$358,0),MOD(ROW()-2,6)+1),""),"")</f>
        <v/>
      </c>
      <c r="H966" s="159">
        <f>IFERROR(IF(INDEX('CONTROLE PRODUÇÃO POR EMPRESAS'!$B$6:$G$5000,MATCH($A966,'CONTROLE PRODUÇÃO POR EMPRESAS'!$A$6:$A$5000,0),MOD(ROW()-2,6)+1)="","",IFERROR(1*INDEX('CONTROLE PRODUÇÃO POR EMPRESAS'!$B$6:$G$5000,MATCH($A966,'CONTROLE PRODUÇÃO POR EMPRESAS'!$A$6:$A$5000,0),MOD(ROW()-2,6)+1),"")),"")</f>
        <v/>
      </c>
      <c r="I966" s="159">
        <f>IF(OR(NOT(ISNUMBER(G966)),NOT(ISNUMBER(H966))),"",H966-G966)</f>
        <v/>
      </c>
      <c r="J966" s="319">
        <f>IF(OR(NOT(ISNUMBER(G966)),NOT(ISNUMBER(H966)),G966=0),"",I966/G966)</f>
        <v/>
      </c>
      <c r="K966" s="319">
        <f>IF(OR(NOT(ISNUMBER(G966)),NOT(ISNUMBER(H966)),G966=0),"",H966/G966)</f>
        <v/>
      </c>
      <c r="L966">
        <f>IF(NOT(ISNUMBER(G966)),"SEM META",IF(G966=0,"SEM META",IF(NOT(ISNUMBER(H966)),"SEM APONTAMENTO",IF(H966&gt;=G966,"VERDE",IF(H966&gt;=G966*0.9,"AMARELO","VERMELHO")))))</f>
        <v/>
      </c>
      <c r="M966" s="162" t="n"/>
      <c r="N966" s="162" t="n"/>
      <c r="O966" s="162" t="n"/>
      <c r="P966" s="162" t="n"/>
      <c r="Q966" s="320" t="n"/>
      <c r="R966" s="162" t="inlineStr">
        <is>
          <t>CONTROLE PRODUÇÃO POR EMPRESAS!F166</t>
        </is>
      </c>
    </row>
    <row r="967" ht="28.5" customHeight="1">
      <c r="A967" s="317" t="n">
        <v>46383</v>
      </c>
      <c r="B967" t="inlineStr">
        <is>
          <t>GERAL</t>
        </is>
      </c>
      <c r="C967" t="inlineStr">
        <is>
          <t>CMM</t>
        </is>
      </c>
      <c r="D967" t="inlineStr">
        <is>
          <t>VIGAS</t>
        </is>
      </c>
      <c r="F967" s="159">
        <f>IFERROR(INDEX('BASE METAS DIÁRIAS'!$N$2:$S$358,MATCH($A967,'BASE METAS DIÁRIAS'!$A$2:$A$358,0),MOD(ROW()-2,6)+1),"")</f>
        <v/>
      </c>
      <c r="G967" s="159">
        <f>IFERROR(IF(WEEKDAY($A967,2)&lt;=INDEX('BASE METAS DIÁRIAS'!$H$2:$M$358,MATCH($A967,'BASE METAS DIÁRIAS'!$A$2:$A$358,0),MOD(ROW()-2,6)+1),INDEX('BASE METAS DIÁRIAS'!$B$2:$G$358,MATCH($A967,'BASE METAS DIÁRIAS'!$A$2:$A$358,0),MOD(ROW()-2,6)+1),""),"")</f>
        <v/>
      </c>
      <c r="H967" s="159">
        <f>IFERROR(IF(INDEX('CONTROLE PRODUÇÃO POR EMPRESAS'!$B$6:$G$5000,MATCH($A967,'CONTROLE PRODUÇÃO POR EMPRESAS'!$A$6:$A$5000,0),MOD(ROW()-2,6)+1)="","",IFERROR(1*INDEX('CONTROLE PRODUÇÃO POR EMPRESAS'!$B$6:$G$5000,MATCH($A967,'CONTROLE PRODUÇÃO POR EMPRESAS'!$A$6:$A$5000,0),MOD(ROW()-2,6)+1),"")),"")</f>
        <v/>
      </c>
      <c r="I967" s="159">
        <f>IF(OR(NOT(ISNUMBER(G967)),NOT(ISNUMBER(H967))),"",H967-G967)</f>
        <v/>
      </c>
      <c r="J967" s="319">
        <f>IF(OR(NOT(ISNUMBER(G967)),NOT(ISNUMBER(H967)),G967=0),"",I967/G967)</f>
        <v/>
      </c>
      <c r="K967" s="319">
        <f>IF(OR(NOT(ISNUMBER(G967)),NOT(ISNUMBER(H967)),G967=0),"",H967/G967)</f>
        <v/>
      </c>
      <c r="L967">
        <f>IF(NOT(ISNUMBER(G967)),"SEM META",IF(G967=0,"SEM META",IF(NOT(ISNUMBER(H967)),"SEM APONTAMENTO",IF(H967&gt;=G967,"VERDE",IF(H967&gt;=G967*0.9,"AMARELO","VERMELHO")))))</f>
        <v/>
      </c>
      <c r="M967" s="162" t="n"/>
      <c r="N967" s="162" t="n"/>
      <c r="O967" s="162" t="n"/>
      <c r="P967" s="162" t="n"/>
      <c r="Q967" s="320" t="n"/>
      <c r="R967" s="162" t="inlineStr">
        <is>
          <t>CONTROLE PRODUÇÃO POR EMPRESAS!G166</t>
        </is>
      </c>
    </row>
    <row r="968" ht="28.5" customHeight="1">
      <c r="A968" s="317" t="n">
        <v>46384</v>
      </c>
      <c r="B968" t="inlineStr">
        <is>
          <t>GERAL</t>
        </is>
      </c>
      <c r="C968" t="inlineStr">
        <is>
          <t>EJ</t>
        </is>
      </c>
      <c r="D968" t="inlineStr">
        <is>
          <t>PREMONTAGEM</t>
        </is>
      </c>
      <c r="F968" s="159">
        <f>IFERROR(INDEX('BASE METAS DIÁRIAS'!$N$2:$S$358,MATCH($A968,'BASE METAS DIÁRIAS'!$A$2:$A$358,0),MOD(ROW()-2,6)+1),"")</f>
        <v/>
      </c>
      <c r="G968" s="159">
        <f>IFERROR(IF(WEEKDAY($A968,2)&lt;=INDEX('BASE METAS DIÁRIAS'!$H$2:$M$358,MATCH($A968,'BASE METAS DIÁRIAS'!$A$2:$A$358,0),MOD(ROW()-2,6)+1),INDEX('BASE METAS DIÁRIAS'!$B$2:$G$358,MATCH($A968,'BASE METAS DIÁRIAS'!$A$2:$A$358,0),MOD(ROW()-2,6)+1),""),"")</f>
        <v/>
      </c>
      <c r="H968" s="159">
        <f>IFERROR(IF(INDEX('CONTROLE PRODUÇÃO POR EMPRESAS'!$B$6:$G$5000,MATCH($A968,'CONTROLE PRODUÇÃO POR EMPRESAS'!$A$6:$A$5000,0),MOD(ROW()-2,6)+1)="","",IFERROR(1*INDEX('CONTROLE PRODUÇÃO POR EMPRESAS'!$B$6:$G$5000,MATCH($A968,'CONTROLE PRODUÇÃO POR EMPRESAS'!$A$6:$A$5000,0),MOD(ROW()-2,6)+1),"")),"")</f>
        <v/>
      </c>
      <c r="I968" s="159">
        <f>IF(OR(NOT(ISNUMBER(G968)),NOT(ISNUMBER(H968))),"",H968-G968)</f>
        <v/>
      </c>
      <c r="J968" s="319">
        <f>IF(OR(NOT(ISNUMBER(G968)),NOT(ISNUMBER(H968)),G968=0),"",I968/G968)</f>
        <v/>
      </c>
      <c r="K968" s="319">
        <f>IF(OR(NOT(ISNUMBER(G968)),NOT(ISNUMBER(H968)),G968=0),"",H968/G968)</f>
        <v/>
      </c>
      <c r="L968">
        <f>IF(NOT(ISNUMBER(G968)),"SEM META",IF(G968=0,"SEM META",IF(NOT(ISNUMBER(H968)),"SEM APONTAMENTO",IF(H968&gt;=G968,"VERDE",IF(H968&gt;=G968*0.9,"AMARELO","VERMELHO")))))</f>
        <v/>
      </c>
      <c r="M968" s="162" t="n"/>
      <c r="N968" s="162" t="n"/>
      <c r="O968" s="162" t="n"/>
      <c r="P968" s="162" t="n"/>
      <c r="Q968" s="320" t="n"/>
      <c r="R968" s="162" t="inlineStr">
        <is>
          <t>CONTROLE PRODUÇÃO POR EMPRESAS!B167</t>
        </is>
      </c>
    </row>
    <row r="969" ht="28.5" customHeight="1">
      <c r="A969" s="317" t="n">
        <v>46384</v>
      </c>
      <c r="B969" t="inlineStr">
        <is>
          <t>GERAL</t>
        </is>
      </c>
      <c r="C969" t="inlineStr">
        <is>
          <t>EJ</t>
        </is>
      </c>
      <c r="D969" t="inlineStr">
        <is>
          <t>IÇAMENTO JOIST</t>
        </is>
      </c>
      <c r="F969" s="159">
        <f>IFERROR(INDEX('BASE METAS DIÁRIAS'!$N$2:$S$358,MATCH($A969,'BASE METAS DIÁRIAS'!$A$2:$A$358,0),MOD(ROW()-2,6)+1),"")</f>
        <v/>
      </c>
      <c r="G969" s="159">
        <f>IFERROR(IF(WEEKDAY($A969,2)&lt;=INDEX('BASE METAS DIÁRIAS'!$H$2:$M$358,MATCH($A969,'BASE METAS DIÁRIAS'!$A$2:$A$358,0),MOD(ROW()-2,6)+1),INDEX('BASE METAS DIÁRIAS'!$B$2:$G$358,MATCH($A969,'BASE METAS DIÁRIAS'!$A$2:$A$358,0),MOD(ROW()-2,6)+1),""),"")</f>
        <v/>
      </c>
      <c r="H969" s="159">
        <f>IFERROR(IF(INDEX('CONTROLE PRODUÇÃO POR EMPRESAS'!$B$6:$G$5000,MATCH($A969,'CONTROLE PRODUÇÃO POR EMPRESAS'!$A$6:$A$5000,0),MOD(ROW()-2,6)+1)="","",IFERROR(1*INDEX('CONTROLE PRODUÇÃO POR EMPRESAS'!$B$6:$G$5000,MATCH($A969,'CONTROLE PRODUÇÃO POR EMPRESAS'!$A$6:$A$5000,0),MOD(ROW()-2,6)+1),"")),"")</f>
        <v/>
      </c>
      <c r="I969" s="159">
        <f>IF(OR(NOT(ISNUMBER(G969)),NOT(ISNUMBER(H969))),"",H969-G969)</f>
        <v/>
      </c>
      <c r="J969" s="319">
        <f>IF(OR(NOT(ISNUMBER(G969)),NOT(ISNUMBER(H969)),G969=0),"",I969/G969)</f>
        <v/>
      </c>
      <c r="K969" s="319">
        <f>IF(OR(NOT(ISNUMBER(G969)),NOT(ISNUMBER(H969)),G969=0),"",H969/G969)</f>
        <v/>
      </c>
      <c r="L969">
        <f>IF(NOT(ISNUMBER(G969)),"SEM META",IF(G969=0,"SEM META",IF(NOT(ISNUMBER(H969)),"SEM APONTAMENTO",IF(H969&gt;=G969,"VERDE",IF(H969&gt;=G969*0.9,"AMARELO","VERMELHO")))))</f>
        <v/>
      </c>
      <c r="M969" s="162" t="n"/>
      <c r="N969" s="162" t="n"/>
      <c r="O969" s="162" t="n"/>
      <c r="P969" s="162" t="n"/>
      <c r="Q969" s="320" t="n"/>
      <c r="R969" s="162" t="inlineStr">
        <is>
          <t>CONTROLE PRODUÇÃO POR EMPRESAS!C167</t>
        </is>
      </c>
    </row>
    <row r="970" ht="28.5" customHeight="1">
      <c r="A970" s="317" t="n">
        <v>46384</v>
      </c>
      <c r="B970" t="inlineStr">
        <is>
          <t>GERAL</t>
        </is>
      </c>
      <c r="C970" t="inlineStr">
        <is>
          <t>EJ</t>
        </is>
      </c>
      <c r="D970" t="inlineStr">
        <is>
          <t>VIGAS</t>
        </is>
      </c>
      <c r="F970" s="159">
        <f>IFERROR(INDEX('BASE METAS DIÁRIAS'!$N$2:$S$358,MATCH($A970,'BASE METAS DIÁRIAS'!$A$2:$A$358,0),MOD(ROW()-2,6)+1),"")</f>
        <v/>
      </c>
      <c r="G970" s="159">
        <f>IFERROR(IF(WEEKDAY($A970,2)&lt;=INDEX('BASE METAS DIÁRIAS'!$H$2:$M$358,MATCH($A970,'BASE METAS DIÁRIAS'!$A$2:$A$358,0),MOD(ROW()-2,6)+1),INDEX('BASE METAS DIÁRIAS'!$B$2:$G$358,MATCH($A970,'BASE METAS DIÁRIAS'!$A$2:$A$358,0),MOD(ROW()-2,6)+1),""),"")</f>
        <v/>
      </c>
      <c r="H970" s="159">
        <f>IFERROR(IF(INDEX('CONTROLE PRODUÇÃO POR EMPRESAS'!$B$6:$G$5000,MATCH($A970,'CONTROLE PRODUÇÃO POR EMPRESAS'!$A$6:$A$5000,0),MOD(ROW()-2,6)+1)="","",IFERROR(1*INDEX('CONTROLE PRODUÇÃO POR EMPRESAS'!$B$6:$G$5000,MATCH($A970,'CONTROLE PRODUÇÃO POR EMPRESAS'!$A$6:$A$5000,0),MOD(ROW()-2,6)+1),"")),"")</f>
        <v/>
      </c>
      <c r="I970" s="159">
        <f>IF(OR(NOT(ISNUMBER(G970)),NOT(ISNUMBER(H970))),"",H970-G970)</f>
        <v/>
      </c>
      <c r="J970" s="319">
        <f>IF(OR(NOT(ISNUMBER(G970)),NOT(ISNUMBER(H970)),G970=0),"",I970/G970)</f>
        <v/>
      </c>
      <c r="K970" s="319">
        <f>IF(OR(NOT(ISNUMBER(G970)),NOT(ISNUMBER(H970)),G970=0),"",H970/G970)</f>
        <v/>
      </c>
      <c r="L970">
        <f>IF(NOT(ISNUMBER(G970)),"SEM META",IF(G970=0,"SEM META",IF(NOT(ISNUMBER(H970)),"SEM APONTAMENTO",IF(H970&gt;=G970,"VERDE",IF(H970&gt;=G970*0.9,"AMARELO","VERMELHO")))))</f>
        <v/>
      </c>
      <c r="M970" s="162" t="n"/>
      <c r="N970" s="162" t="n"/>
      <c r="O970" s="162" t="n"/>
      <c r="P970" s="162" t="n"/>
      <c r="Q970" s="320" t="n"/>
      <c r="R970" s="162" t="inlineStr">
        <is>
          <t>CONTROLE PRODUÇÃO POR EMPRESAS!D167</t>
        </is>
      </c>
    </row>
    <row r="971" ht="28.5" customHeight="1">
      <c r="A971" s="317" t="n">
        <v>46384</v>
      </c>
      <c r="B971" t="inlineStr">
        <is>
          <t>GERAL</t>
        </is>
      </c>
      <c r="C971" t="inlineStr">
        <is>
          <t>CMM</t>
        </is>
      </c>
      <c r="D971" t="inlineStr">
        <is>
          <t>PREMONTAGEM</t>
        </is>
      </c>
      <c r="F971" s="159">
        <f>IFERROR(INDEX('BASE METAS DIÁRIAS'!$N$2:$S$358,MATCH($A971,'BASE METAS DIÁRIAS'!$A$2:$A$358,0),MOD(ROW()-2,6)+1),"")</f>
        <v/>
      </c>
      <c r="G971" s="159">
        <f>IFERROR(IF(WEEKDAY($A971,2)&lt;=INDEX('BASE METAS DIÁRIAS'!$H$2:$M$358,MATCH($A971,'BASE METAS DIÁRIAS'!$A$2:$A$358,0),MOD(ROW()-2,6)+1),INDEX('BASE METAS DIÁRIAS'!$B$2:$G$358,MATCH($A971,'BASE METAS DIÁRIAS'!$A$2:$A$358,0),MOD(ROW()-2,6)+1),""),"")</f>
        <v/>
      </c>
      <c r="H971" s="159">
        <f>IFERROR(IF(INDEX('CONTROLE PRODUÇÃO POR EMPRESAS'!$B$6:$G$5000,MATCH($A971,'CONTROLE PRODUÇÃO POR EMPRESAS'!$A$6:$A$5000,0),MOD(ROW()-2,6)+1)="","",IFERROR(1*INDEX('CONTROLE PRODUÇÃO POR EMPRESAS'!$B$6:$G$5000,MATCH($A971,'CONTROLE PRODUÇÃO POR EMPRESAS'!$A$6:$A$5000,0),MOD(ROW()-2,6)+1),"")),"")</f>
        <v/>
      </c>
      <c r="I971" s="159">
        <f>IF(OR(NOT(ISNUMBER(G971)),NOT(ISNUMBER(H971))),"",H971-G971)</f>
        <v/>
      </c>
      <c r="J971" s="319">
        <f>IF(OR(NOT(ISNUMBER(G971)),NOT(ISNUMBER(H971)),G971=0),"",I971/G971)</f>
        <v/>
      </c>
      <c r="K971" s="319">
        <f>IF(OR(NOT(ISNUMBER(G971)),NOT(ISNUMBER(H971)),G971=0),"",H971/G971)</f>
        <v/>
      </c>
      <c r="L971">
        <f>IF(NOT(ISNUMBER(G971)),"SEM META",IF(G971=0,"SEM META",IF(NOT(ISNUMBER(H971)),"SEM APONTAMENTO",IF(H971&gt;=G971,"VERDE",IF(H971&gt;=G971*0.9,"AMARELO","VERMELHO")))))</f>
        <v/>
      </c>
      <c r="M971" s="162" t="n"/>
      <c r="N971" s="162" t="n"/>
      <c r="O971" s="162" t="n"/>
      <c r="P971" s="162" t="n"/>
      <c r="Q971" s="320" t="n"/>
      <c r="R971" s="162" t="inlineStr">
        <is>
          <t>CONTROLE PRODUÇÃO POR EMPRESAS!E167</t>
        </is>
      </c>
    </row>
    <row r="972" ht="28.5" customHeight="1">
      <c r="A972" s="317" t="n">
        <v>46384</v>
      </c>
      <c r="B972" t="inlineStr">
        <is>
          <t>GERAL</t>
        </is>
      </c>
      <c r="C972" t="inlineStr">
        <is>
          <t>CMM</t>
        </is>
      </c>
      <c r="D972" t="inlineStr">
        <is>
          <t>IÇAMENTO JOIST</t>
        </is>
      </c>
      <c r="F972" s="159">
        <f>IFERROR(INDEX('BASE METAS DIÁRIAS'!$N$2:$S$358,MATCH($A972,'BASE METAS DIÁRIAS'!$A$2:$A$358,0),MOD(ROW()-2,6)+1),"")</f>
        <v/>
      </c>
      <c r="G972" s="159">
        <f>IFERROR(IF(WEEKDAY($A972,2)&lt;=INDEX('BASE METAS DIÁRIAS'!$H$2:$M$358,MATCH($A972,'BASE METAS DIÁRIAS'!$A$2:$A$358,0),MOD(ROW()-2,6)+1),INDEX('BASE METAS DIÁRIAS'!$B$2:$G$358,MATCH($A972,'BASE METAS DIÁRIAS'!$A$2:$A$358,0),MOD(ROW()-2,6)+1),""),"")</f>
        <v/>
      </c>
      <c r="H972" s="159">
        <f>IFERROR(IF(INDEX('CONTROLE PRODUÇÃO POR EMPRESAS'!$B$6:$G$5000,MATCH($A972,'CONTROLE PRODUÇÃO POR EMPRESAS'!$A$6:$A$5000,0),MOD(ROW()-2,6)+1)="","",IFERROR(1*INDEX('CONTROLE PRODUÇÃO POR EMPRESAS'!$B$6:$G$5000,MATCH($A972,'CONTROLE PRODUÇÃO POR EMPRESAS'!$A$6:$A$5000,0),MOD(ROW()-2,6)+1),"")),"")</f>
        <v/>
      </c>
      <c r="I972" s="159">
        <f>IF(OR(NOT(ISNUMBER(G972)),NOT(ISNUMBER(H972))),"",H972-G972)</f>
        <v/>
      </c>
      <c r="J972" s="319">
        <f>IF(OR(NOT(ISNUMBER(G972)),NOT(ISNUMBER(H972)),G972=0),"",I972/G972)</f>
        <v/>
      </c>
      <c r="K972" s="319">
        <f>IF(OR(NOT(ISNUMBER(G972)),NOT(ISNUMBER(H972)),G972=0),"",H972/G972)</f>
        <v/>
      </c>
      <c r="L972">
        <f>IF(NOT(ISNUMBER(G972)),"SEM META",IF(G972=0,"SEM META",IF(NOT(ISNUMBER(H972)),"SEM APONTAMENTO",IF(H972&gt;=G972,"VERDE",IF(H972&gt;=G972*0.9,"AMARELO","VERMELHO")))))</f>
        <v/>
      </c>
      <c r="M972" s="162" t="n"/>
      <c r="N972" s="162" t="n"/>
      <c r="O972" s="162" t="n"/>
      <c r="P972" s="162" t="n"/>
      <c r="Q972" s="320" t="n"/>
      <c r="R972" s="162" t="inlineStr">
        <is>
          <t>CONTROLE PRODUÇÃO POR EMPRESAS!F167</t>
        </is>
      </c>
    </row>
    <row r="973" ht="28.5" customHeight="1">
      <c r="A973" s="317" t="n">
        <v>46384</v>
      </c>
      <c r="B973" t="inlineStr">
        <is>
          <t>GERAL</t>
        </is>
      </c>
      <c r="C973" t="inlineStr">
        <is>
          <t>CMM</t>
        </is>
      </c>
      <c r="D973" t="inlineStr">
        <is>
          <t>VIGAS</t>
        </is>
      </c>
      <c r="F973" s="159">
        <f>IFERROR(INDEX('BASE METAS DIÁRIAS'!$N$2:$S$358,MATCH($A973,'BASE METAS DIÁRIAS'!$A$2:$A$358,0),MOD(ROW()-2,6)+1),"")</f>
        <v/>
      </c>
      <c r="G973" s="159">
        <f>IFERROR(IF(WEEKDAY($A973,2)&lt;=INDEX('BASE METAS DIÁRIAS'!$H$2:$M$358,MATCH($A973,'BASE METAS DIÁRIAS'!$A$2:$A$358,0),MOD(ROW()-2,6)+1),INDEX('BASE METAS DIÁRIAS'!$B$2:$G$358,MATCH($A973,'BASE METAS DIÁRIAS'!$A$2:$A$358,0),MOD(ROW()-2,6)+1),""),"")</f>
        <v/>
      </c>
      <c r="H973" s="159">
        <f>IFERROR(IF(INDEX('CONTROLE PRODUÇÃO POR EMPRESAS'!$B$6:$G$5000,MATCH($A973,'CONTROLE PRODUÇÃO POR EMPRESAS'!$A$6:$A$5000,0),MOD(ROW()-2,6)+1)="","",IFERROR(1*INDEX('CONTROLE PRODUÇÃO POR EMPRESAS'!$B$6:$G$5000,MATCH($A973,'CONTROLE PRODUÇÃO POR EMPRESAS'!$A$6:$A$5000,0),MOD(ROW()-2,6)+1),"")),"")</f>
        <v/>
      </c>
      <c r="I973" s="159">
        <f>IF(OR(NOT(ISNUMBER(G973)),NOT(ISNUMBER(H973))),"",H973-G973)</f>
        <v/>
      </c>
      <c r="J973" s="319">
        <f>IF(OR(NOT(ISNUMBER(G973)),NOT(ISNUMBER(H973)),G973=0),"",I973/G973)</f>
        <v/>
      </c>
      <c r="K973" s="319">
        <f>IF(OR(NOT(ISNUMBER(G973)),NOT(ISNUMBER(H973)),G973=0),"",H973/G973)</f>
        <v/>
      </c>
      <c r="L973">
        <f>IF(NOT(ISNUMBER(G973)),"SEM META",IF(G973=0,"SEM META",IF(NOT(ISNUMBER(H973)),"SEM APONTAMENTO",IF(H973&gt;=G973,"VERDE",IF(H973&gt;=G973*0.9,"AMARELO","VERMELHO")))))</f>
        <v/>
      </c>
      <c r="M973" s="162" t="n"/>
      <c r="N973" s="162" t="n"/>
      <c r="O973" s="162" t="n"/>
      <c r="P973" s="162" t="n"/>
      <c r="Q973" s="320" t="n"/>
      <c r="R973" s="162" t="inlineStr">
        <is>
          <t>CONTROLE PRODUÇÃO POR EMPRESAS!G167</t>
        </is>
      </c>
    </row>
    <row r="974" ht="28.5" customHeight="1">
      <c r="A974" s="317" t="n">
        <v>46385</v>
      </c>
      <c r="B974" t="inlineStr">
        <is>
          <t>GERAL</t>
        </is>
      </c>
      <c r="C974" t="inlineStr">
        <is>
          <t>EJ</t>
        </is>
      </c>
      <c r="D974" t="inlineStr">
        <is>
          <t>PREMONTAGEM</t>
        </is>
      </c>
      <c r="F974" s="159">
        <f>IFERROR(INDEX('BASE METAS DIÁRIAS'!$N$2:$S$358,MATCH($A974,'BASE METAS DIÁRIAS'!$A$2:$A$358,0),MOD(ROW()-2,6)+1),"")</f>
        <v/>
      </c>
      <c r="G974" s="159">
        <f>IFERROR(IF(WEEKDAY($A974,2)&lt;=INDEX('BASE METAS DIÁRIAS'!$H$2:$M$358,MATCH($A974,'BASE METAS DIÁRIAS'!$A$2:$A$358,0),MOD(ROW()-2,6)+1),INDEX('BASE METAS DIÁRIAS'!$B$2:$G$358,MATCH($A974,'BASE METAS DIÁRIAS'!$A$2:$A$358,0),MOD(ROW()-2,6)+1),""),"")</f>
        <v/>
      </c>
      <c r="H974" s="159">
        <f>IFERROR(IF(INDEX('CONTROLE PRODUÇÃO POR EMPRESAS'!$B$6:$G$5000,MATCH($A974,'CONTROLE PRODUÇÃO POR EMPRESAS'!$A$6:$A$5000,0),MOD(ROW()-2,6)+1)="","",IFERROR(1*INDEX('CONTROLE PRODUÇÃO POR EMPRESAS'!$B$6:$G$5000,MATCH($A974,'CONTROLE PRODUÇÃO POR EMPRESAS'!$A$6:$A$5000,0),MOD(ROW()-2,6)+1),"")),"")</f>
        <v/>
      </c>
      <c r="I974" s="159">
        <f>IF(OR(NOT(ISNUMBER(G974)),NOT(ISNUMBER(H974))),"",H974-G974)</f>
        <v/>
      </c>
      <c r="J974" s="319">
        <f>IF(OR(NOT(ISNUMBER(G974)),NOT(ISNUMBER(H974)),G974=0),"",I974/G974)</f>
        <v/>
      </c>
      <c r="K974" s="319">
        <f>IF(OR(NOT(ISNUMBER(G974)),NOT(ISNUMBER(H974)),G974=0),"",H974/G974)</f>
        <v/>
      </c>
      <c r="L974">
        <f>IF(NOT(ISNUMBER(G974)),"SEM META",IF(G974=0,"SEM META",IF(NOT(ISNUMBER(H974)),"SEM APONTAMENTO",IF(H974&gt;=G974,"VERDE",IF(H974&gt;=G974*0.9,"AMARELO","VERMELHO")))))</f>
        <v/>
      </c>
      <c r="M974" s="162" t="n"/>
      <c r="N974" s="162" t="n"/>
      <c r="O974" s="162" t="n"/>
      <c r="P974" s="162" t="n"/>
      <c r="Q974" s="320" t="n"/>
      <c r="R974" s="162" t="inlineStr">
        <is>
          <t>CONTROLE PRODUÇÃO POR EMPRESAS!B168</t>
        </is>
      </c>
    </row>
    <row r="975" ht="28.5" customHeight="1">
      <c r="A975" s="317" t="n">
        <v>46385</v>
      </c>
      <c r="B975" t="inlineStr">
        <is>
          <t>GERAL</t>
        </is>
      </c>
      <c r="C975" t="inlineStr">
        <is>
          <t>EJ</t>
        </is>
      </c>
      <c r="D975" t="inlineStr">
        <is>
          <t>IÇAMENTO JOIST</t>
        </is>
      </c>
      <c r="F975" s="159">
        <f>IFERROR(INDEX('BASE METAS DIÁRIAS'!$N$2:$S$358,MATCH($A975,'BASE METAS DIÁRIAS'!$A$2:$A$358,0),MOD(ROW()-2,6)+1),"")</f>
        <v/>
      </c>
      <c r="G975" s="159">
        <f>IFERROR(IF(WEEKDAY($A975,2)&lt;=INDEX('BASE METAS DIÁRIAS'!$H$2:$M$358,MATCH($A975,'BASE METAS DIÁRIAS'!$A$2:$A$358,0),MOD(ROW()-2,6)+1),INDEX('BASE METAS DIÁRIAS'!$B$2:$G$358,MATCH($A975,'BASE METAS DIÁRIAS'!$A$2:$A$358,0),MOD(ROW()-2,6)+1),""),"")</f>
        <v/>
      </c>
      <c r="H975" s="159">
        <f>IFERROR(IF(INDEX('CONTROLE PRODUÇÃO POR EMPRESAS'!$B$6:$G$5000,MATCH($A975,'CONTROLE PRODUÇÃO POR EMPRESAS'!$A$6:$A$5000,0),MOD(ROW()-2,6)+1)="","",IFERROR(1*INDEX('CONTROLE PRODUÇÃO POR EMPRESAS'!$B$6:$G$5000,MATCH($A975,'CONTROLE PRODUÇÃO POR EMPRESAS'!$A$6:$A$5000,0),MOD(ROW()-2,6)+1),"")),"")</f>
        <v/>
      </c>
      <c r="I975" s="159">
        <f>IF(OR(NOT(ISNUMBER(G975)),NOT(ISNUMBER(H975))),"",H975-G975)</f>
        <v/>
      </c>
      <c r="J975" s="319">
        <f>IF(OR(NOT(ISNUMBER(G975)),NOT(ISNUMBER(H975)),G975=0),"",I975/G975)</f>
        <v/>
      </c>
      <c r="K975" s="319">
        <f>IF(OR(NOT(ISNUMBER(G975)),NOT(ISNUMBER(H975)),G975=0),"",H975/G975)</f>
        <v/>
      </c>
      <c r="L975">
        <f>IF(NOT(ISNUMBER(G975)),"SEM META",IF(G975=0,"SEM META",IF(NOT(ISNUMBER(H975)),"SEM APONTAMENTO",IF(H975&gt;=G975,"VERDE",IF(H975&gt;=G975*0.9,"AMARELO","VERMELHO")))))</f>
        <v/>
      </c>
      <c r="M975" s="162" t="n"/>
      <c r="N975" s="162" t="n"/>
      <c r="O975" s="162" t="n"/>
      <c r="P975" s="162" t="n"/>
      <c r="Q975" s="320" t="n"/>
      <c r="R975" s="162" t="inlineStr">
        <is>
          <t>CONTROLE PRODUÇÃO POR EMPRESAS!C168</t>
        </is>
      </c>
    </row>
    <row r="976" ht="28.5" customHeight="1">
      <c r="A976" s="317" t="n">
        <v>46385</v>
      </c>
      <c r="B976" t="inlineStr">
        <is>
          <t>GERAL</t>
        </is>
      </c>
      <c r="C976" t="inlineStr">
        <is>
          <t>EJ</t>
        </is>
      </c>
      <c r="D976" t="inlineStr">
        <is>
          <t>VIGAS</t>
        </is>
      </c>
      <c r="F976" s="159">
        <f>IFERROR(INDEX('BASE METAS DIÁRIAS'!$N$2:$S$358,MATCH($A976,'BASE METAS DIÁRIAS'!$A$2:$A$358,0),MOD(ROW()-2,6)+1),"")</f>
        <v/>
      </c>
      <c r="G976" s="159">
        <f>IFERROR(IF(WEEKDAY($A976,2)&lt;=INDEX('BASE METAS DIÁRIAS'!$H$2:$M$358,MATCH($A976,'BASE METAS DIÁRIAS'!$A$2:$A$358,0),MOD(ROW()-2,6)+1),INDEX('BASE METAS DIÁRIAS'!$B$2:$G$358,MATCH($A976,'BASE METAS DIÁRIAS'!$A$2:$A$358,0),MOD(ROW()-2,6)+1),""),"")</f>
        <v/>
      </c>
      <c r="H976" s="159">
        <f>IFERROR(IF(INDEX('CONTROLE PRODUÇÃO POR EMPRESAS'!$B$6:$G$5000,MATCH($A976,'CONTROLE PRODUÇÃO POR EMPRESAS'!$A$6:$A$5000,0),MOD(ROW()-2,6)+1)="","",IFERROR(1*INDEX('CONTROLE PRODUÇÃO POR EMPRESAS'!$B$6:$G$5000,MATCH($A976,'CONTROLE PRODUÇÃO POR EMPRESAS'!$A$6:$A$5000,0),MOD(ROW()-2,6)+1),"")),"")</f>
        <v/>
      </c>
      <c r="I976" s="159">
        <f>IF(OR(NOT(ISNUMBER(G976)),NOT(ISNUMBER(H976))),"",H976-G976)</f>
        <v/>
      </c>
      <c r="J976" s="319">
        <f>IF(OR(NOT(ISNUMBER(G976)),NOT(ISNUMBER(H976)),G976=0),"",I976/G976)</f>
        <v/>
      </c>
      <c r="K976" s="319">
        <f>IF(OR(NOT(ISNUMBER(G976)),NOT(ISNUMBER(H976)),G976=0),"",H976/G976)</f>
        <v/>
      </c>
      <c r="L976">
        <f>IF(NOT(ISNUMBER(G976)),"SEM META",IF(G976=0,"SEM META",IF(NOT(ISNUMBER(H976)),"SEM APONTAMENTO",IF(H976&gt;=G976,"VERDE",IF(H976&gt;=G976*0.9,"AMARELO","VERMELHO")))))</f>
        <v/>
      </c>
      <c r="M976" s="162" t="n"/>
      <c r="N976" s="162" t="n"/>
      <c r="O976" s="162" t="n"/>
      <c r="P976" s="162" t="n"/>
      <c r="Q976" s="320" t="n"/>
      <c r="R976" s="162" t="inlineStr">
        <is>
          <t>CONTROLE PRODUÇÃO POR EMPRESAS!D168</t>
        </is>
      </c>
    </row>
    <row r="977" ht="28.5" customHeight="1">
      <c r="A977" s="317" t="n">
        <v>46385</v>
      </c>
      <c r="B977" t="inlineStr">
        <is>
          <t>GERAL</t>
        </is>
      </c>
      <c r="C977" t="inlineStr">
        <is>
          <t>CMM</t>
        </is>
      </c>
      <c r="D977" t="inlineStr">
        <is>
          <t>PREMONTAGEM</t>
        </is>
      </c>
      <c r="F977" s="159">
        <f>IFERROR(INDEX('BASE METAS DIÁRIAS'!$N$2:$S$358,MATCH($A977,'BASE METAS DIÁRIAS'!$A$2:$A$358,0),MOD(ROW()-2,6)+1),"")</f>
        <v/>
      </c>
      <c r="G977" s="159">
        <f>IFERROR(IF(WEEKDAY($A977,2)&lt;=INDEX('BASE METAS DIÁRIAS'!$H$2:$M$358,MATCH($A977,'BASE METAS DIÁRIAS'!$A$2:$A$358,0),MOD(ROW()-2,6)+1),INDEX('BASE METAS DIÁRIAS'!$B$2:$G$358,MATCH($A977,'BASE METAS DIÁRIAS'!$A$2:$A$358,0),MOD(ROW()-2,6)+1),""),"")</f>
        <v/>
      </c>
      <c r="H977" s="159">
        <f>IFERROR(IF(INDEX('CONTROLE PRODUÇÃO POR EMPRESAS'!$B$6:$G$5000,MATCH($A977,'CONTROLE PRODUÇÃO POR EMPRESAS'!$A$6:$A$5000,0),MOD(ROW()-2,6)+1)="","",IFERROR(1*INDEX('CONTROLE PRODUÇÃO POR EMPRESAS'!$B$6:$G$5000,MATCH($A977,'CONTROLE PRODUÇÃO POR EMPRESAS'!$A$6:$A$5000,0),MOD(ROW()-2,6)+1),"")),"")</f>
        <v/>
      </c>
      <c r="I977" s="159">
        <f>IF(OR(NOT(ISNUMBER(G977)),NOT(ISNUMBER(H977))),"",H977-G977)</f>
        <v/>
      </c>
      <c r="J977" s="319">
        <f>IF(OR(NOT(ISNUMBER(G977)),NOT(ISNUMBER(H977)),G977=0),"",I977/G977)</f>
        <v/>
      </c>
      <c r="K977" s="319">
        <f>IF(OR(NOT(ISNUMBER(G977)),NOT(ISNUMBER(H977)),G977=0),"",H977/G977)</f>
        <v/>
      </c>
      <c r="L977">
        <f>IF(NOT(ISNUMBER(G977)),"SEM META",IF(G977=0,"SEM META",IF(NOT(ISNUMBER(H977)),"SEM APONTAMENTO",IF(H977&gt;=G977,"VERDE",IF(H977&gt;=G977*0.9,"AMARELO","VERMELHO")))))</f>
        <v/>
      </c>
      <c r="M977" s="162" t="n"/>
      <c r="N977" s="162" t="n"/>
      <c r="O977" s="162" t="n"/>
      <c r="P977" s="162" t="n"/>
      <c r="Q977" s="320" t="n"/>
      <c r="R977" s="162" t="inlineStr">
        <is>
          <t>CONTROLE PRODUÇÃO POR EMPRESAS!E168</t>
        </is>
      </c>
    </row>
    <row r="978" ht="28.5" customHeight="1">
      <c r="A978" s="317" t="n">
        <v>46385</v>
      </c>
      <c r="B978" t="inlineStr">
        <is>
          <t>GERAL</t>
        </is>
      </c>
      <c r="C978" t="inlineStr">
        <is>
          <t>CMM</t>
        </is>
      </c>
      <c r="D978" t="inlineStr">
        <is>
          <t>IÇAMENTO JOIST</t>
        </is>
      </c>
      <c r="F978" s="159">
        <f>IFERROR(INDEX('BASE METAS DIÁRIAS'!$N$2:$S$358,MATCH($A978,'BASE METAS DIÁRIAS'!$A$2:$A$358,0),MOD(ROW()-2,6)+1),"")</f>
        <v/>
      </c>
      <c r="G978" s="159">
        <f>IFERROR(IF(WEEKDAY($A978,2)&lt;=INDEX('BASE METAS DIÁRIAS'!$H$2:$M$358,MATCH($A978,'BASE METAS DIÁRIAS'!$A$2:$A$358,0),MOD(ROW()-2,6)+1),INDEX('BASE METAS DIÁRIAS'!$B$2:$G$358,MATCH($A978,'BASE METAS DIÁRIAS'!$A$2:$A$358,0),MOD(ROW()-2,6)+1),""),"")</f>
        <v/>
      </c>
      <c r="H978" s="159">
        <f>IFERROR(IF(INDEX('CONTROLE PRODUÇÃO POR EMPRESAS'!$B$6:$G$5000,MATCH($A978,'CONTROLE PRODUÇÃO POR EMPRESAS'!$A$6:$A$5000,0),MOD(ROW()-2,6)+1)="","",IFERROR(1*INDEX('CONTROLE PRODUÇÃO POR EMPRESAS'!$B$6:$G$5000,MATCH($A978,'CONTROLE PRODUÇÃO POR EMPRESAS'!$A$6:$A$5000,0),MOD(ROW()-2,6)+1),"")),"")</f>
        <v/>
      </c>
      <c r="I978" s="159">
        <f>IF(OR(NOT(ISNUMBER(G978)),NOT(ISNUMBER(H978))),"",H978-G978)</f>
        <v/>
      </c>
      <c r="J978" s="319">
        <f>IF(OR(NOT(ISNUMBER(G978)),NOT(ISNUMBER(H978)),G978=0),"",I978/G978)</f>
        <v/>
      </c>
      <c r="K978" s="319">
        <f>IF(OR(NOT(ISNUMBER(G978)),NOT(ISNUMBER(H978)),G978=0),"",H978/G978)</f>
        <v/>
      </c>
      <c r="L978">
        <f>IF(NOT(ISNUMBER(G978)),"SEM META",IF(G978=0,"SEM META",IF(NOT(ISNUMBER(H978)),"SEM APONTAMENTO",IF(H978&gt;=G978,"VERDE",IF(H978&gt;=G978*0.9,"AMARELO","VERMELHO")))))</f>
        <v/>
      </c>
      <c r="M978" s="162" t="n"/>
      <c r="N978" s="162" t="n"/>
      <c r="O978" s="162" t="n"/>
      <c r="P978" s="162" t="n"/>
      <c r="Q978" s="320" t="n"/>
      <c r="R978" s="162" t="inlineStr">
        <is>
          <t>CONTROLE PRODUÇÃO POR EMPRESAS!F168</t>
        </is>
      </c>
    </row>
    <row r="979" ht="28.5" customHeight="1">
      <c r="A979" s="317" t="n">
        <v>46385</v>
      </c>
      <c r="B979" t="inlineStr">
        <is>
          <t>GERAL</t>
        </is>
      </c>
      <c r="C979" t="inlineStr">
        <is>
          <t>CMM</t>
        </is>
      </c>
      <c r="D979" t="inlineStr">
        <is>
          <t>VIGAS</t>
        </is>
      </c>
      <c r="F979" s="159">
        <f>IFERROR(INDEX('BASE METAS DIÁRIAS'!$N$2:$S$358,MATCH($A979,'BASE METAS DIÁRIAS'!$A$2:$A$358,0),MOD(ROW()-2,6)+1),"")</f>
        <v/>
      </c>
      <c r="G979" s="159">
        <f>IFERROR(IF(WEEKDAY($A979,2)&lt;=INDEX('BASE METAS DIÁRIAS'!$H$2:$M$358,MATCH($A979,'BASE METAS DIÁRIAS'!$A$2:$A$358,0),MOD(ROW()-2,6)+1),INDEX('BASE METAS DIÁRIAS'!$B$2:$G$358,MATCH($A979,'BASE METAS DIÁRIAS'!$A$2:$A$358,0),MOD(ROW()-2,6)+1),""),"")</f>
        <v/>
      </c>
      <c r="H979" s="159">
        <f>IFERROR(IF(INDEX('CONTROLE PRODUÇÃO POR EMPRESAS'!$B$6:$G$5000,MATCH($A979,'CONTROLE PRODUÇÃO POR EMPRESAS'!$A$6:$A$5000,0),MOD(ROW()-2,6)+1)="","",IFERROR(1*INDEX('CONTROLE PRODUÇÃO POR EMPRESAS'!$B$6:$G$5000,MATCH($A979,'CONTROLE PRODUÇÃO POR EMPRESAS'!$A$6:$A$5000,0),MOD(ROW()-2,6)+1),"")),"")</f>
        <v/>
      </c>
      <c r="I979" s="159">
        <f>IF(OR(NOT(ISNUMBER(G979)),NOT(ISNUMBER(H979))),"",H979-G979)</f>
        <v/>
      </c>
      <c r="J979" s="319">
        <f>IF(OR(NOT(ISNUMBER(G979)),NOT(ISNUMBER(H979)),G979=0),"",I979/G979)</f>
        <v/>
      </c>
      <c r="K979" s="319">
        <f>IF(OR(NOT(ISNUMBER(G979)),NOT(ISNUMBER(H979)),G979=0),"",H979/G979)</f>
        <v/>
      </c>
      <c r="L979">
        <f>IF(NOT(ISNUMBER(G979)),"SEM META",IF(G979=0,"SEM META",IF(NOT(ISNUMBER(H979)),"SEM APONTAMENTO",IF(H979&gt;=G979,"VERDE",IF(H979&gt;=G979*0.9,"AMARELO","VERMELHO")))))</f>
        <v/>
      </c>
      <c r="M979" s="162" t="n"/>
      <c r="N979" s="162" t="n"/>
      <c r="O979" s="162" t="n"/>
      <c r="P979" s="162" t="n"/>
      <c r="Q979" s="320" t="n"/>
      <c r="R979" s="162" t="inlineStr">
        <is>
          <t>CONTROLE PRODUÇÃO POR EMPRESAS!G168</t>
        </is>
      </c>
    </row>
    <row r="980" ht="28.5" customHeight="1">
      <c r="A980" s="317" t="n">
        <v>46386</v>
      </c>
      <c r="B980" t="inlineStr">
        <is>
          <t>GERAL</t>
        </is>
      </c>
      <c r="C980" t="inlineStr">
        <is>
          <t>EJ</t>
        </is>
      </c>
      <c r="D980" t="inlineStr">
        <is>
          <t>PREMONTAGEM</t>
        </is>
      </c>
      <c r="F980" s="159">
        <f>IFERROR(INDEX('BASE METAS DIÁRIAS'!$N$2:$S$358,MATCH($A980,'BASE METAS DIÁRIAS'!$A$2:$A$358,0),MOD(ROW()-2,6)+1),"")</f>
        <v/>
      </c>
      <c r="G980" s="159">
        <f>IFERROR(IF(WEEKDAY($A980,2)&lt;=INDEX('BASE METAS DIÁRIAS'!$H$2:$M$358,MATCH($A980,'BASE METAS DIÁRIAS'!$A$2:$A$358,0),MOD(ROW()-2,6)+1),INDEX('BASE METAS DIÁRIAS'!$B$2:$G$358,MATCH($A980,'BASE METAS DIÁRIAS'!$A$2:$A$358,0),MOD(ROW()-2,6)+1),""),"")</f>
        <v/>
      </c>
      <c r="H980" s="159">
        <f>IFERROR(IF(INDEX('CONTROLE PRODUÇÃO POR EMPRESAS'!$B$6:$G$5000,MATCH($A980,'CONTROLE PRODUÇÃO POR EMPRESAS'!$A$6:$A$5000,0),MOD(ROW()-2,6)+1)="","",IFERROR(1*INDEX('CONTROLE PRODUÇÃO POR EMPRESAS'!$B$6:$G$5000,MATCH($A980,'CONTROLE PRODUÇÃO POR EMPRESAS'!$A$6:$A$5000,0),MOD(ROW()-2,6)+1),"")),"")</f>
        <v/>
      </c>
      <c r="I980" s="159">
        <f>IF(OR(NOT(ISNUMBER(G980)),NOT(ISNUMBER(H980))),"",H980-G980)</f>
        <v/>
      </c>
      <c r="J980" s="319">
        <f>IF(OR(NOT(ISNUMBER(G980)),NOT(ISNUMBER(H980)),G980=0),"",I980/G980)</f>
        <v/>
      </c>
      <c r="K980" s="319">
        <f>IF(OR(NOT(ISNUMBER(G980)),NOT(ISNUMBER(H980)),G980=0),"",H980/G980)</f>
        <v/>
      </c>
      <c r="L980">
        <f>IF(NOT(ISNUMBER(G980)),"SEM META",IF(G980=0,"SEM META",IF(NOT(ISNUMBER(H980)),"SEM APONTAMENTO",IF(H980&gt;=G980,"VERDE",IF(H980&gt;=G980*0.9,"AMARELO","VERMELHO")))))</f>
        <v/>
      </c>
      <c r="M980" s="162" t="n"/>
      <c r="N980" s="162" t="n"/>
      <c r="O980" s="162" t="n"/>
      <c r="P980" s="162" t="n"/>
      <c r="Q980" s="320" t="n"/>
      <c r="R980" s="162" t="inlineStr">
        <is>
          <t>CONTROLE PRODUÇÃO POR EMPRESAS!B169</t>
        </is>
      </c>
    </row>
    <row r="981" ht="28.5" customHeight="1">
      <c r="A981" s="317" t="n">
        <v>46386</v>
      </c>
      <c r="B981" t="inlineStr">
        <is>
          <t>GERAL</t>
        </is>
      </c>
      <c r="C981" t="inlineStr">
        <is>
          <t>EJ</t>
        </is>
      </c>
      <c r="D981" t="inlineStr">
        <is>
          <t>IÇAMENTO JOIST</t>
        </is>
      </c>
      <c r="F981" s="159">
        <f>IFERROR(INDEX('BASE METAS DIÁRIAS'!$N$2:$S$358,MATCH($A981,'BASE METAS DIÁRIAS'!$A$2:$A$358,0),MOD(ROW()-2,6)+1),"")</f>
        <v/>
      </c>
      <c r="G981" s="159">
        <f>IFERROR(IF(WEEKDAY($A981,2)&lt;=INDEX('BASE METAS DIÁRIAS'!$H$2:$M$358,MATCH($A981,'BASE METAS DIÁRIAS'!$A$2:$A$358,0),MOD(ROW()-2,6)+1),INDEX('BASE METAS DIÁRIAS'!$B$2:$G$358,MATCH($A981,'BASE METAS DIÁRIAS'!$A$2:$A$358,0),MOD(ROW()-2,6)+1),""),"")</f>
        <v/>
      </c>
      <c r="H981" s="159">
        <f>IFERROR(IF(INDEX('CONTROLE PRODUÇÃO POR EMPRESAS'!$B$6:$G$5000,MATCH($A981,'CONTROLE PRODUÇÃO POR EMPRESAS'!$A$6:$A$5000,0),MOD(ROW()-2,6)+1)="","",IFERROR(1*INDEX('CONTROLE PRODUÇÃO POR EMPRESAS'!$B$6:$G$5000,MATCH($A981,'CONTROLE PRODUÇÃO POR EMPRESAS'!$A$6:$A$5000,0),MOD(ROW()-2,6)+1),"")),"")</f>
        <v/>
      </c>
      <c r="I981" s="159">
        <f>IF(OR(NOT(ISNUMBER(G981)),NOT(ISNUMBER(H981))),"",H981-G981)</f>
        <v/>
      </c>
      <c r="J981" s="319">
        <f>IF(OR(NOT(ISNUMBER(G981)),NOT(ISNUMBER(H981)),G981=0),"",I981/G981)</f>
        <v/>
      </c>
      <c r="K981" s="319">
        <f>IF(OR(NOT(ISNUMBER(G981)),NOT(ISNUMBER(H981)),G981=0),"",H981/G981)</f>
        <v/>
      </c>
      <c r="L981">
        <f>IF(NOT(ISNUMBER(G981)),"SEM META",IF(G981=0,"SEM META",IF(NOT(ISNUMBER(H981)),"SEM APONTAMENTO",IF(H981&gt;=G981,"VERDE",IF(H981&gt;=G981*0.9,"AMARELO","VERMELHO")))))</f>
        <v/>
      </c>
      <c r="M981" s="162" t="n"/>
      <c r="N981" s="162" t="n"/>
      <c r="O981" s="162" t="n"/>
      <c r="P981" s="162" t="n"/>
      <c r="Q981" s="320" t="n"/>
      <c r="R981" s="162" t="inlineStr">
        <is>
          <t>CONTROLE PRODUÇÃO POR EMPRESAS!C169</t>
        </is>
      </c>
    </row>
    <row r="982" ht="28.5" customHeight="1">
      <c r="A982" s="317" t="n">
        <v>46386</v>
      </c>
      <c r="B982" t="inlineStr">
        <is>
          <t>GERAL</t>
        </is>
      </c>
      <c r="C982" t="inlineStr">
        <is>
          <t>EJ</t>
        </is>
      </c>
      <c r="D982" t="inlineStr">
        <is>
          <t>VIGAS</t>
        </is>
      </c>
      <c r="F982" s="159">
        <f>IFERROR(INDEX('BASE METAS DIÁRIAS'!$N$2:$S$358,MATCH($A982,'BASE METAS DIÁRIAS'!$A$2:$A$358,0),MOD(ROW()-2,6)+1),"")</f>
        <v/>
      </c>
      <c r="G982" s="159">
        <f>IFERROR(IF(WEEKDAY($A982,2)&lt;=INDEX('BASE METAS DIÁRIAS'!$H$2:$M$358,MATCH($A982,'BASE METAS DIÁRIAS'!$A$2:$A$358,0),MOD(ROW()-2,6)+1),INDEX('BASE METAS DIÁRIAS'!$B$2:$G$358,MATCH($A982,'BASE METAS DIÁRIAS'!$A$2:$A$358,0),MOD(ROW()-2,6)+1),""),"")</f>
        <v/>
      </c>
      <c r="H982" s="159">
        <f>IFERROR(IF(INDEX('CONTROLE PRODUÇÃO POR EMPRESAS'!$B$6:$G$5000,MATCH($A982,'CONTROLE PRODUÇÃO POR EMPRESAS'!$A$6:$A$5000,0),MOD(ROW()-2,6)+1)="","",IFERROR(1*INDEX('CONTROLE PRODUÇÃO POR EMPRESAS'!$B$6:$G$5000,MATCH($A982,'CONTROLE PRODUÇÃO POR EMPRESAS'!$A$6:$A$5000,0),MOD(ROW()-2,6)+1),"")),"")</f>
        <v/>
      </c>
      <c r="I982" s="159">
        <f>IF(OR(NOT(ISNUMBER(G982)),NOT(ISNUMBER(H982))),"",H982-G982)</f>
        <v/>
      </c>
      <c r="J982" s="319">
        <f>IF(OR(NOT(ISNUMBER(G982)),NOT(ISNUMBER(H982)),G982=0),"",I982/G982)</f>
        <v/>
      </c>
      <c r="K982" s="319">
        <f>IF(OR(NOT(ISNUMBER(G982)),NOT(ISNUMBER(H982)),G982=0),"",H982/G982)</f>
        <v/>
      </c>
      <c r="L982">
        <f>IF(NOT(ISNUMBER(G982)),"SEM META",IF(G982=0,"SEM META",IF(NOT(ISNUMBER(H982)),"SEM APONTAMENTO",IF(H982&gt;=G982,"VERDE",IF(H982&gt;=G982*0.9,"AMARELO","VERMELHO")))))</f>
        <v/>
      </c>
      <c r="M982" s="162" t="n"/>
      <c r="N982" s="162" t="n"/>
      <c r="O982" s="162" t="n"/>
      <c r="P982" s="162" t="n"/>
      <c r="Q982" s="320" t="n"/>
      <c r="R982" s="162" t="inlineStr">
        <is>
          <t>CONTROLE PRODUÇÃO POR EMPRESAS!D169</t>
        </is>
      </c>
    </row>
    <row r="983" ht="28.5" customHeight="1">
      <c r="A983" s="317" t="n">
        <v>46386</v>
      </c>
      <c r="B983" t="inlineStr">
        <is>
          <t>GERAL</t>
        </is>
      </c>
      <c r="C983" t="inlineStr">
        <is>
          <t>CMM</t>
        </is>
      </c>
      <c r="D983" t="inlineStr">
        <is>
          <t>PREMONTAGEM</t>
        </is>
      </c>
      <c r="F983" s="159">
        <f>IFERROR(INDEX('BASE METAS DIÁRIAS'!$N$2:$S$358,MATCH($A983,'BASE METAS DIÁRIAS'!$A$2:$A$358,0),MOD(ROW()-2,6)+1),"")</f>
        <v/>
      </c>
      <c r="G983" s="159">
        <f>IFERROR(IF(WEEKDAY($A983,2)&lt;=INDEX('BASE METAS DIÁRIAS'!$H$2:$M$358,MATCH($A983,'BASE METAS DIÁRIAS'!$A$2:$A$358,0),MOD(ROW()-2,6)+1),INDEX('BASE METAS DIÁRIAS'!$B$2:$G$358,MATCH($A983,'BASE METAS DIÁRIAS'!$A$2:$A$358,0),MOD(ROW()-2,6)+1),""),"")</f>
        <v/>
      </c>
      <c r="H983" s="159">
        <f>IFERROR(IF(INDEX('CONTROLE PRODUÇÃO POR EMPRESAS'!$B$6:$G$5000,MATCH($A983,'CONTROLE PRODUÇÃO POR EMPRESAS'!$A$6:$A$5000,0),MOD(ROW()-2,6)+1)="","",IFERROR(1*INDEX('CONTROLE PRODUÇÃO POR EMPRESAS'!$B$6:$G$5000,MATCH($A983,'CONTROLE PRODUÇÃO POR EMPRESAS'!$A$6:$A$5000,0),MOD(ROW()-2,6)+1),"")),"")</f>
        <v/>
      </c>
      <c r="I983" s="159">
        <f>IF(OR(NOT(ISNUMBER(G983)),NOT(ISNUMBER(H983))),"",H983-G983)</f>
        <v/>
      </c>
      <c r="J983" s="319">
        <f>IF(OR(NOT(ISNUMBER(G983)),NOT(ISNUMBER(H983)),G983=0),"",I983/G983)</f>
        <v/>
      </c>
      <c r="K983" s="319">
        <f>IF(OR(NOT(ISNUMBER(G983)),NOT(ISNUMBER(H983)),G983=0),"",H983/G983)</f>
        <v/>
      </c>
      <c r="L983">
        <f>IF(NOT(ISNUMBER(G983)),"SEM META",IF(G983=0,"SEM META",IF(NOT(ISNUMBER(H983)),"SEM APONTAMENTO",IF(H983&gt;=G983,"VERDE",IF(H983&gt;=G983*0.9,"AMARELO","VERMELHO")))))</f>
        <v/>
      </c>
      <c r="M983" s="162" t="n"/>
      <c r="N983" s="162" t="n"/>
      <c r="O983" s="162" t="n"/>
      <c r="P983" s="162" t="n"/>
      <c r="Q983" s="320" t="n"/>
      <c r="R983" s="162" t="inlineStr">
        <is>
          <t>CONTROLE PRODUÇÃO POR EMPRESAS!E169</t>
        </is>
      </c>
    </row>
    <row r="984" ht="28.5" customHeight="1">
      <c r="A984" s="317" t="n">
        <v>46386</v>
      </c>
      <c r="B984" t="inlineStr">
        <is>
          <t>GERAL</t>
        </is>
      </c>
      <c r="C984" t="inlineStr">
        <is>
          <t>CMM</t>
        </is>
      </c>
      <c r="D984" t="inlineStr">
        <is>
          <t>IÇAMENTO JOIST</t>
        </is>
      </c>
      <c r="F984" s="159">
        <f>IFERROR(INDEX('BASE METAS DIÁRIAS'!$N$2:$S$358,MATCH($A984,'BASE METAS DIÁRIAS'!$A$2:$A$358,0),MOD(ROW()-2,6)+1),"")</f>
        <v/>
      </c>
      <c r="G984" s="159">
        <f>IFERROR(IF(WEEKDAY($A984,2)&lt;=INDEX('BASE METAS DIÁRIAS'!$H$2:$M$358,MATCH($A984,'BASE METAS DIÁRIAS'!$A$2:$A$358,0),MOD(ROW()-2,6)+1),INDEX('BASE METAS DIÁRIAS'!$B$2:$G$358,MATCH($A984,'BASE METAS DIÁRIAS'!$A$2:$A$358,0),MOD(ROW()-2,6)+1),""),"")</f>
        <v/>
      </c>
      <c r="H984" s="159">
        <f>IFERROR(IF(INDEX('CONTROLE PRODUÇÃO POR EMPRESAS'!$B$6:$G$5000,MATCH($A984,'CONTROLE PRODUÇÃO POR EMPRESAS'!$A$6:$A$5000,0),MOD(ROW()-2,6)+1)="","",IFERROR(1*INDEX('CONTROLE PRODUÇÃO POR EMPRESAS'!$B$6:$G$5000,MATCH($A984,'CONTROLE PRODUÇÃO POR EMPRESAS'!$A$6:$A$5000,0),MOD(ROW()-2,6)+1),"")),"")</f>
        <v/>
      </c>
      <c r="I984" s="159">
        <f>IF(OR(NOT(ISNUMBER(G984)),NOT(ISNUMBER(H984))),"",H984-G984)</f>
        <v/>
      </c>
      <c r="J984" s="319">
        <f>IF(OR(NOT(ISNUMBER(G984)),NOT(ISNUMBER(H984)),G984=0),"",I984/G984)</f>
        <v/>
      </c>
      <c r="K984" s="319">
        <f>IF(OR(NOT(ISNUMBER(G984)),NOT(ISNUMBER(H984)),G984=0),"",H984/G984)</f>
        <v/>
      </c>
      <c r="L984">
        <f>IF(NOT(ISNUMBER(G984)),"SEM META",IF(G984=0,"SEM META",IF(NOT(ISNUMBER(H984)),"SEM APONTAMENTO",IF(H984&gt;=G984,"VERDE",IF(H984&gt;=G984*0.9,"AMARELO","VERMELHO")))))</f>
        <v/>
      </c>
      <c r="M984" s="162" t="n"/>
      <c r="N984" s="162" t="n"/>
      <c r="O984" s="162" t="n"/>
      <c r="P984" s="162" t="n"/>
      <c r="Q984" s="320" t="n"/>
      <c r="R984" s="162" t="inlineStr">
        <is>
          <t>CONTROLE PRODUÇÃO POR EMPRESAS!F169</t>
        </is>
      </c>
    </row>
    <row r="985" ht="28.5" customHeight="1">
      <c r="A985" s="317" t="n">
        <v>46386</v>
      </c>
      <c r="B985" t="inlineStr">
        <is>
          <t>GERAL</t>
        </is>
      </c>
      <c r="C985" t="inlineStr">
        <is>
          <t>CMM</t>
        </is>
      </c>
      <c r="D985" t="inlineStr">
        <is>
          <t>VIGAS</t>
        </is>
      </c>
      <c r="F985" s="159">
        <f>IFERROR(INDEX('BASE METAS DIÁRIAS'!$N$2:$S$358,MATCH($A985,'BASE METAS DIÁRIAS'!$A$2:$A$358,0),MOD(ROW()-2,6)+1),"")</f>
        <v/>
      </c>
      <c r="G985" s="159">
        <f>IFERROR(IF(WEEKDAY($A985,2)&lt;=INDEX('BASE METAS DIÁRIAS'!$H$2:$M$358,MATCH($A985,'BASE METAS DIÁRIAS'!$A$2:$A$358,0),MOD(ROW()-2,6)+1),INDEX('BASE METAS DIÁRIAS'!$B$2:$G$358,MATCH($A985,'BASE METAS DIÁRIAS'!$A$2:$A$358,0),MOD(ROW()-2,6)+1),""),"")</f>
        <v/>
      </c>
      <c r="H985" s="159">
        <f>IFERROR(IF(INDEX('CONTROLE PRODUÇÃO POR EMPRESAS'!$B$6:$G$5000,MATCH($A985,'CONTROLE PRODUÇÃO POR EMPRESAS'!$A$6:$A$5000,0),MOD(ROW()-2,6)+1)="","",IFERROR(1*INDEX('CONTROLE PRODUÇÃO POR EMPRESAS'!$B$6:$G$5000,MATCH($A985,'CONTROLE PRODUÇÃO POR EMPRESAS'!$A$6:$A$5000,0),MOD(ROW()-2,6)+1),"")),"")</f>
        <v/>
      </c>
      <c r="I985" s="159">
        <f>IF(OR(NOT(ISNUMBER(G985)),NOT(ISNUMBER(H985))),"",H985-G985)</f>
        <v/>
      </c>
      <c r="J985" s="319">
        <f>IF(OR(NOT(ISNUMBER(G985)),NOT(ISNUMBER(H985)),G985=0),"",I985/G985)</f>
        <v/>
      </c>
      <c r="K985" s="319">
        <f>IF(OR(NOT(ISNUMBER(G985)),NOT(ISNUMBER(H985)),G985=0),"",H985/G985)</f>
        <v/>
      </c>
      <c r="L985">
        <f>IF(NOT(ISNUMBER(G985)),"SEM META",IF(G985=0,"SEM META",IF(NOT(ISNUMBER(H985)),"SEM APONTAMENTO",IF(H985&gt;=G985,"VERDE",IF(H985&gt;=G985*0.9,"AMARELO","VERMELHO")))))</f>
        <v/>
      </c>
      <c r="M985" s="162" t="n"/>
      <c r="N985" s="162" t="n"/>
      <c r="O985" s="162" t="n"/>
      <c r="P985" s="162" t="n"/>
      <c r="Q985" s="320" t="n"/>
      <c r="R985" s="162" t="inlineStr">
        <is>
          <t>CONTROLE PRODUÇÃO POR EMPRESAS!G169</t>
        </is>
      </c>
    </row>
    <row r="986" ht="28.5" customHeight="1">
      <c r="A986" s="317" t="n">
        <v>46387</v>
      </c>
      <c r="B986" t="inlineStr">
        <is>
          <t>GERAL</t>
        </is>
      </c>
      <c r="C986" t="inlineStr">
        <is>
          <t>EJ</t>
        </is>
      </c>
      <c r="D986" t="inlineStr">
        <is>
          <t>PREMONTAGEM</t>
        </is>
      </c>
      <c r="F986" s="159">
        <f>IFERROR(INDEX('BASE METAS DIÁRIAS'!$N$2:$S$358,MATCH($A986,'BASE METAS DIÁRIAS'!$A$2:$A$358,0),MOD(ROW()-2,6)+1),"")</f>
        <v/>
      </c>
      <c r="G986" s="159">
        <f>IFERROR(IF(WEEKDAY($A986,2)&lt;=INDEX('BASE METAS DIÁRIAS'!$H$2:$M$358,MATCH($A986,'BASE METAS DIÁRIAS'!$A$2:$A$358,0),MOD(ROW()-2,6)+1),INDEX('BASE METAS DIÁRIAS'!$B$2:$G$358,MATCH($A986,'BASE METAS DIÁRIAS'!$A$2:$A$358,0),MOD(ROW()-2,6)+1),""),"")</f>
        <v/>
      </c>
      <c r="H986" s="159">
        <f>IFERROR(IF(INDEX('CONTROLE PRODUÇÃO POR EMPRESAS'!$B$6:$G$5000,MATCH($A986,'CONTROLE PRODUÇÃO POR EMPRESAS'!$A$6:$A$5000,0),MOD(ROW()-2,6)+1)="","",IFERROR(1*INDEX('CONTROLE PRODUÇÃO POR EMPRESAS'!$B$6:$G$5000,MATCH($A986,'CONTROLE PRODUÇÃO POR EMPRESAS'!$A$6:$A$5000,0),MOD(ROW()-2,6)+1),"")),"")</f>
        <v/>
      </c>
      <c r="I986" s="159">
        <f>IF(OR(NOT(ISNUMBER(G986)),NOT(ISNUMBER(H986))),"",H986-G986)</f>
        <v/>
      </c>
      <c r="J986" s="319">
        <f>IF(OR(NOT(ISNUMBER(G986)),NOT(ISNUMBER(H986)),G986=0),"",I986/G986)</f>
        <v/>
      </c>
      <c r="K986" s="319">
        <f>IF(OR(NOT(ISNUMBER(G986)),NOT(ISNUMBER(H986)),G986=0),"",H986/G986)</f>
        <v/>
      </c>
      <c r="L986">
        <f>IF(NOT(ISNUMBER(G986)),"SEM META",IF(G986=0,"SEM META",IF(NOT(ISNUMBER(H986)),"SEM APONTAMENTO",IF(H986&gt;=G986,"VERDE",IF(H986&gt;=G986*0.9,"AMARELO","VERMELHO")))))</f>
        <v/>
      </c>
      <c r="M986" s="162" t="n"/>
      <c r="N986" s="162" t="n"/>
      <c r="O986" s="162" t="n"/>
      <c r="P986" s="162" t="n"/>
      <c r="Q986" s="320" t="n"/>
      <c r="R986" s="162" t="inlineStr">
        <is>
          <t>CONTROLE PRODUÇÃO POR EMPRESAS!B170</t>
        </is>
      </c>
    </row>
    <row r="987" ht="28.5" customHeight="1">
      <c r="A987" s="317" t="n">
        <v>46387</v>
      </c>
      <c r="B987" t="inlineStr">
        <is>
          <t>GERAL</t>
        </is>
      </c>
      <c r="C987" t="inlineStr">
        <is>
          <t>EJ</t>
        </is>
      </c>
      <c r="D987" t="inlineStr">
        <is>
          <t>IÇAMENTO JOIST</t>
        </is>
      </c>
      <c r="F987" s="159">
        <f>IFERROR(INDEX('BASE METAS DIÁRIAS'!$N$2:$S$358,MATCH($A987,'BASE METAS DIÁRIAS'!$A$2:$A$358,0),MOD(ROW()-2,6)+1),"")</f>
        <v/>
      </c>
      <c r="G987" s="159">
        <f>IFERROR(IF(WEEKDAY($A987,2)&lt;=INDEX('BASE METAS DIÁRIAS'!$H$2:$M$358,MATCH($A987,'BASE METAS DIÁRIAS'!$A$2:$A$358,0),MOD(ROW()-2,6)+1),INDEX('BASE METAS DIÁRIAS'!$B$2:$G$358,MATCH($A987,'BASE METAS DIÁRIAS'!$A$2:$A$358,0),MOD(ROW()-2,6)+1),""),"")</f>
        <v/>
      </c>
      <c r="H987" s="159">
        <f>IFERROR(IF(INDEX('CONTROLE PRODUÇÃO POR EMPRESAS'!$B$6:$G$5000,MATCH($A987,'CONTROLE PRODUÇÃO POR EMPRESAS'!$A$6:$A$5000,0),MOD(ROW()-2,6)+1)="","",IFERROR(1*INDEX('CONTROLE PRODUÇÃO POR EMPRESAS'!$B$6:$G$5000,MATCH($A987,'CONTROLE PRODUÇÃO POR EMPRESAS'!$A$6:$A$5000,0),MOD(ROW()-2,6)+1),"")),"")</f>
        <v/>
      </c>
      <c r="I987" s="159">
        <f>IF(OR(NOT(ISNUMBER(G987)),NOT(ISNUMBER(H987))),"",H987-G987)</f>
        <v/>
      </c>
      <c r="J987" s="319">
        <f>IF(OR(NOT(ISNUMBER(G987)),NOT(ISNUMBER(H987)),G987=0),"",I987/G987)</f>
        <v/>
      </c>
      <c r="K987" s="319">
        <f>IF(OR(NOT(ISNUMBER(G987)),NOT(ISNUMBER(H987)),G987=0),"",H987/G987)</f>
        <v/>
      </c>
      <c r="L987">
        <f>IF(NOT(ISNUMBER(G987)),"SEM META",IF(G987=0,"SEM META",IF(NOT(ISNUMBER(H987)),"SEM APONTAMENTO",IF(H987&gt;=G987,"VERDE",IF(H987&gt;=G987*0.9,"AMARELO","VERMELHO")))))</f>
        <v/>
      </c>
      <c r="M987" s="162" t="n"/>
      <c r="N987" s="162" t="n"/>
      <c r="O987" s="162" t="n"/>
      <c r="P987" s="162" t="n"/>
      <c r="Q987" s="320" t="n"/>
      <c r="R987" s="162" t="inlineStr">
        <is>
          <t>CONTROLE PRODUÇÃO POR EMPRESAS!C170</t>
        </is>
      </c>
    </row>
    <row r="988" ht="28.5" customHeight="1">
      <c r="A988" s="317" t="n">
        <v>46387</v>
      </c>
      <c r="B988" t="inlineStr">
        <is>
          <t>GERAL</t>
        </is>
      </c>
      <c r="C988" t="inlineStr">
        <is>
          <t>EJ</t>
        </is>
      </c>
      <c r="D988" t="inlineStr">
        <is>
          <t>VIGAS</t>
        </is>
      </c>
      <c r="F988" s="159">
        <f>IFERROR(INDEX('BASE METAS DIÁRIAS'!$N$2:$S$358,MATCH($A988,'BASE METAS DIÁRIAS'!$A$2:$A$358,0),MOD(ROW()-2,6)+1),"")</f>
        <v/>
      </c>
      <c r="G988" s="159">
        <f>IFERROR(IF(WEEKDAY($A988,2)&lt;=INDEX('BASE METAS DIÁRIAS'!$H$2:$M$358,MATCH($A988,'BASE METAS DIÁRIAS'!$A$2:$A$358,0),MOD(ROW()-2,6)+1),INDEX('BASE METAS DIÁRIAS'!$B$2:$G$358,MATCH($A988,'BASE METAS DIÁRIAS'!$A$2:$A$358,0),MOD(ROW()-2,6)+1),""),"")</f>
        <v/>
      </c>
      <c r="H988" s="159">
        <f>IFERROR(IF(INDEX('CONTROLE PRODUÇÃO POR EMPRESAS'!$B$6:$G$5000,MATCH($A988,'CONTROLE PRODUÇÃO POR EMPRESAS'!$A$6:$A$5000,0),MOD(ROW()-2,6)+1)="","",IFERROR(1*INDEX('CONTROLE PRODUÇÃO POR EMPRESAS'!$B$6:$G$5000,MATCH($A988,'CONTROLE PRODUÇÃO POR EMPRESAS'!$A$6:$A$5000,0),MOD(ROW()-2,6)+1),"")),"")</f>
        <v/>
      </c>
      <c r="I988" s="159">
        <f>IF(OR(NOT(ISNUMBER(G988)),NOT(ISNUMBER(H988))),"",H988-G988)</f>
        <v/>
      </c>
      <c r="J988" s="319">
        <f>IF(OR(NOT(ISNUMBER(G988)),NOT(ISNUMBER(H988)),G988=0),"",I988/G988)</f>
        <v/>
      </c>
      <c r="K988" s="319">
        <f>IF(OR(NOT(ISNUMBER(G988)),NOT(ISNUMBER(H988)),G988=0),"",H988/G988)</f>
        <v/>
      </c>
      <c r="L988">
        <f>IF(NOT(ISNUMBER(G988)),"SEM META",IF(G988=0,"SEM META",IF(NOT(ISNUMBER(H988)),"SEM APONTAMENTO",IF(H988&gt;=G988,"VERDE",IF(H988&gt;=G988*0.9,"AMARELO","VERMELHO")))))</f>
        <v/>
      </c>
      <c r="M988" s="162" t="n"/>
      <c r="N988" s="162" t="n"/>
      <c r="O988" s="162" t="n"/>
      <c r="P988" s="162" t="n"/>
      <c r="Q988" s="320" t="n"/>
      <c r="R988" s="162" t="inlineStr">
        <is>
          <t>CONTROLE PRODUÇÃO POR EMPRESAS!D170</t>
        </is>
      </c>
    </row>
    <row r="989" ht="28.5" customHeight="1">
      <c r="A989" s="317" t="n">
        <v>46387</v>
      </c>
      <c r="B989" t="inlineStr">
        <is>
          <t>GERAL</t>
        </is>
      </c>
      <c r="C989" t="inlineStr">
        <is>
          <t>CMM</t>
        </is>
      </c>
      <c r="D989" t="inlineStr">
        <is>
          <t>PREMONTAGEM</t>
        </is>
      </c>
      <c r="F989" s="159">
        <f>IFERROR(INDEX('BASE METAS DIÁRIAS'!$N$2:$S$358,MATCH($A989,'BASE METAS DIÁRIAS'!$A$2:$A$358,0),MOD(ROW()-2,6)+1),"")</f>
        <v/>
      </c>
      <c r="G989" s="159">
        <f>IFERROR(IF(WEEKDAY($A989,2)&lt;=INDEX('BASE METAS DIÁRIAS'!$H$2:$M$358,MATCH($A989,'BASE METAS DIÁRIAS'!$A$2:$A$358,0),MOD(ROW()-2,6)+1),INDEX('BASE METAS DIÁRIAS'!$B$2:$G$358,MATCH($A989,'BASE METAS DIÁRIAS'!$A$2:$A$358,0),MOD(ROW()-2,6)+1),""),"")</f>
        <v/>
      </c>
      <c r="H989" s="159">
        <f>IFERROR(IF(INDEX('CONTROLE PRODUÇÃO POR EMPRESAS'!$B$6:$G$5000,MATCH($A989,'CONTROLE PRODUÇÃO POR EMPRESAS'!$A$6:$A$5000,0),MOD(ROW()-2,6)+1)="","",IFERROR(1*INDEX('CONTROLE PRODUÇÃO POR EMPRESAS'!$B$6:$G$5000,MATCH($A989,'CONTROLE PRODUÇÃO POR EMPRESAS'!$A$6:$A$5000,0),MOD(ROW()-2,6)+1),"")),"")</f>
        <v/>
      </c>
      <c r="I989" s="159">
        <f>IF(OR(NOT(ISNUMBER(G989)),NOT(ISNUMBER(H989))),"",H989-G989)</f>
        <v/>
      </c>
      <c r="J989" s="319">
        <f>IF(OR(NOT(ISNUMBER(G989)),NOT(ISNUMBER(H989)),G989=0),"",I989/G989)</f>
        <v/>
      </c>
      <c r="K989" s="319">
        <f>IF(OR(NOT(ISNUMBER(G989)),NOT(ISNUMBER(H989)),G989=0),"",H989/G989)</f>
        <v/>
      </c>
      <c r="L989">
        <f>IF(NOT(ISNUMBER(G989)),"SEM META",IF(G989=0,"SEM META",IF(NOT(ISNUMBER(H989)),"SEM APONTAMENTO",IF(H989&gt;=G989,"VERDE",IF(H989&gt;=G989*0.9,"AMARELO","VERMELHO")))))</f>
        <v/>
      </c>
      <c r="M989" s="162" t="n"/>
      <c r="N989" s="162" t="n"/>
      <c r="O989" s="162" t="n"/>
      <c r="P989" s="162" t="n"/>
      <c r="Q989" s="320" t="n"/>
      <c r="R989" s="162" t="inlineStr">
        <is>
          <t>CONTROLE PRODUÇÃO POR EMPRESAS!E170</t>
        </is>
      </c>
    </row>
    <row r="990" ht="28.5" customHeight="1">
      <c r="A990" s="317" t="n">
        <v>46387</v>
      </c>
      <c r="B990" t="inlineStr">
        <is>
          <t>GERAL</t>
        </is>
      </c>
      <c r="C990" t="inlineStr">
        <is>
          <t>CMM</t>
        </is>
      </c>
      <c r="D990" t="inlineStr">
        <is>
          <t>IÇAMENTO JOIST</t>
        </is>
      </c>
      <c r="F990" s="159">
        <f>IFERROR(INDEX('BASE METAS DIÁRIAS'!$N$2:$S$358,MATCH($A990,'BASE METAS DIÁRIAS'!$A$2:$A$358,0),MOD(ROW()-2,6)+1),"")</f>
        <v/>
      </c>
      <c r="G990" s="159">
        <f>IFERROR(IF(WEEKDAY($A990,2)&lt;=INDEX('BASE METAS DIÁRIAS'!$H$2:$M$358,MATCH($A990,'BASE METAS DIÁRIAS'!$A$2:$A$358,0),MOD(ROW()-2,6)+1),INDEX('BASE METAS DIÁRIAS'!$B$2:$G$358,MATCH($A990,'BASE METAS DIÁRIAS'!$A$2:$A$358,0),MOD(ROW()-2,6)+1),""),"")</f>
        <v/>
      </c>
      <c r="H990" s="159">
        <f>IFERROR(IF(INDEX('CONTROLE PRODUÇÃO POR EMPRESAS'!$B$6:$G$5000,MATCH($A990,'CONTROLE PRODUÇÃO POR EMPRESAS'!$A$6:$A$5000,0),MOD(ROW()-2,6)+1)="","",IFERROR(1*INDEX('CONTROLE PRODUÇÃO POR EMPRESAS'!$B$6:$G$5000,MATCH($A990,'CONTROLE PRODUÇÃO POR EMPRESAS'!$A$6:$A$5000,0),MOD(ROW()-2,6)+1),"")),"")</f>
        <v/>
      </c>
      <c r="I990" s="159">
        <f>IF(OR(NOT(ISNUMBER(G990)),NOT(ISNUMBER(H990))),"",H990-G990)</f>
        <v/>
      </c>
      <c r="J990" s="319">
        <f>IF(OR(NOT(ISNUMBER(G990)),NOT(ISNUMBER(H990)),G990=0),"",I990/G990)</f>
        <v/>
      </c>
      <c r="K990" s="319">
        <f>IF(OR(NOT(ISNUMBER(G990)),NOT(ISNUMBER(H990)),G990=0),"",H990/G990)</f>
        <v/>
      </c>
      <c r="L990">
        <f>IF(NOT(ISNUMBER(G990)),"SEM META",IF(G990=0,"SEM META",IF(NOT(ISNUMBER(H990)),"SEM APONTAMENTO",IF(H990&gt;=G990,"VERDE",IF(H990&gt;=G990*0.9,"AMARELO","VERMELHO")))))</f>
        <v/>
      </c>
      <c r="M990" s="162" t="n"/>
      <c r="N990" s="162" t="n"/>
      <c r="O990" s="162" t="n"/>
      <c r="P990" s="162" t="n"/>
      <c r="Q990" s="320" t="n"/>
      <c r="R990" s="162" t="inlineStr">
        <is>
          <t>CONTROLE PRODUÇÃO POR EMPRESAS!F170</t>
        </is>
      </c>
    </row>
    <row r="991" ht="28.5" customHeight="1">
      <c r="A991" s="317" t="n">
        <v>46387</v>
      </c>
      <c r="B991" t="inlineStr">
        <is>
          <t>GERAL</t>
        </is>
      </c>
      <c r="C991" t="inlineStr">
        <is>
          <t>CMM</t>
        </is>
      </c>
      <c r="D991" t="inlineStr">
        <is>
          <t>VIGAS</t>
        </is>
      </c>
      <c r="F991" s="159">
        <f>IFERROR(INDEX('BASE METAS DIÁRIAS'!$N$2:$S$358,MATCH($A991,'BASE METAS DIÁRIAS'!$A$2:$A$358,0),MOD(ROW()-2,6)+1),"")</f>
        <v/>
      </c>
      <c r="G991" s="159">
        <f>IFERROR(IF(WEEKDAY($A991,2)&lt;=INDEX('BASE METAS DIÁRIAS'!$H$2:$M$358,MATCH($A991,'BASE METAS DIÁRIAS'!$A$2:$A$358,0),MOD(ROW()-2,6)+1),INDEX('BASE METAS DIÁRIAS'!$B$2:$G$358,MATCH($A991,'BASE METAS DIÁRIAS'!$A$2:$A$358,0),MOD(ROW()-2,6)+1),""),"")</f>
        <v/>
      </c>
      <c r="H991" s="159">
        <f>IFERROR(IF(INDEX('CONTROLE PRODUÇÃO POR EMPRESAS'!$B$6:$G$5000,MATCH($A991,'CONTROLE PRODUÇÃO POR EMPRESAS'!$A$6:$A$5000,0),MOD(ROW()-2,6)+1)="","",IFERROR(1*INDEX('CONTROLE PRODUÇÃO POR EMPRESAS'!$B$6:$G$5000,MATCH($A991,'CONTROLE PRODUÇÃO POR EMPRESAS'!$A$6:$A$5000,0),MOD(ROW()-2,6)+1),"")),"")</f>
        <v/>
      </c>
      <c r="I991" s="159">
        <f>IF(OR(NOT(ISNUMBER(G991)),NOT(ISNUMBER(H991))),"",H991-G991)</f>
        <v/>
      </c>
      <c r="J991" s="319">
        <f>IF(OR(NOT(ISNUMBER(G991)),NOT(ISNUMBER(H991)),G991=0),"",I991/G991)</f>
        <v/>
      </c>
      <c r="K991" s="319">
        <f>IF(OR(NOT(ISNUMBER(G991)),NOT(ISNUMBER(H991)),G991=0),"",H991/G991)</f>
        <v/>
      </c>
      <c r="L991">
        <f>IF(NOT(ISNUMBER(G991)),"SEM META",IF(G991=0,"SEM META",IF(NOT(ISNUMBER(H991)),"SEM APONTAMENTO",IF(H991&gt;=G991,"VERDE",IF(H991&gt;=G991*0.9,"AMARELO","VERMELHO")))))</f>
        <v/>
      </c>
      <c r="M991" s="162" t="n"/>
      <c r="N991" s="162" t="n"/>
      <c r="O991" s="162" t="n"/>
      <c r="P991" s="162" t="n"/>
      <c r="Q991" s="320" t="n"/>
      <c r="R991" s="162" t="inlineStr">
        <is>
          <t>CONTROLE PRODUÇÃO POR EMPRESAS!G170</t>
        </is>
      </c>
    </row>
    <row r="992" ht="28.5" customHeight="1">
      <c r="A992" s="317" t="n">
        <v>46388</v>
      </c>
      <c r="B992" t="inlineStr">
        <is>
          <t>GERAL</t>
        </is>
      </c>
      <c r="C992" t="inlineStr">
        <is>
          <t>EJ</t>
        </is>
      </c>
      <c r="D992" t="inlineStr">
        <is>
          <t>PREMONTAGEM</t>
        </is>
      </c>
      <c r="F992" s="159">
        <f>IFERROR(INDEX('BASE METAS DIÁRIAS'!$N$2:$S$358,MATCH($A992,'BASE METAS DIÁRIAS'!$A$2:$A$358,0),MOD(ROW()-2,6)+1),"")</f>
        <v/>
      </c>
      <c r="G992" s="159">
        <f>IFERROR(IF(WEEKDAY($A992,2)&lt;=INDEX('BASE METAS DIÁRIAS'!$H$2:$M$358,MATCH($A992,'BASE METAS DIÁRIAS'!$A$2:$A$358,0),MOD(ROW()-2,6)+1),INDEX('BASE METAS DIÁRIAS'!$B$2:$G$358,MATCH($A992,'BASE METAS DIÁRIAS'!$A$2:$A$358,0),MOD(ROW()-2,6)+1),""),"")</f>
        <v/>
      </c>
      <c r="H992" s="159">
        <f>IFERROR(IF(INDEX('CONTROLE PRODUÇÃO POR EMPRESAS'!$B$6:$G$5000,MATCH($A992,'CONTROLE PRODUÇÃO POR EMPRESAS'!$A$6:$A$5000,0),MOD(ROW()-2,6)+1)="","",IFERROR(1*INDEX('CONTROLE PRODUÇÃO POR EMPRESAS'!$B$6:$G$5000,MATCH($A992,'CONTROLE PRODUÇÃO POR EMPRESAS'!$A$6:$A$5000,0),MOD(ROW()-2,6)+1),"")),"")</f>
        <v/>
      </c>
      <c r="I992" s="159">
        <f>IF(OR(NOT(ISNUMBER(G992)),NOT(ISNUMBER(H992))),"",H992-G992)</f>
        <v/>
      </c>
      <c r="J992" s="319">
        <f>IF(OR(NOT(ISNUMBER(G992)),NOT(ISNUMBER(H992)),G992=0),"",I992/G992)</f>
        <v/>
      </c>
      <c r="K992" s="319">
        <f>IF(OR(NOT(ISNUMBER(G992)),NOT(ISNUMBER(H992)),G992=0),"",H992/G992)</f>
        <v/>
      </c>
      <c r="L992">
        <f>IF(NOT(ISNUMBER(G992)),"SEM META",IF(G992=0,"SEM META",IF(NOT(ISNUMBER(H992)),"SEM APONTAMENTO",IF(H992&gt;=G992,"VERDE",IF(H992&gt;=G992*0.9,"AMARELO","VERMELHO")))))</f>
        <v/>
      </c>
      <c r="M992" s="162" t="n"/>
      <c r="N992" s="162" t="n"/>
      <c r="O992" s="162" t="n"/>
      <c r="P992" s="162" t="n"/>
      <c r="Q992" s="320" t="n"/>
      <c r="R992" s="162" t="inlineStr">
        <is>
          <t>CONTROLE PRODUÇÃO POR EMPRESAS!B171</t>
        </is>
      </c>
    </row>
    <row r="993" ht="28.5" customHeight="1">
      <c r="A993" s="317" t="n">
        <v>46388</v>
      </c>
      <c r="B993" t="inlineStr">
        <is>
          <t>GERAL</t>
        </is>
      </c>
      <c r="C993" t="inlineStr">
        <is>
          <t>EJ</t>
        </is>
      </c>
      <c r="D993" t="inlineStr">
        <is>
          <t>IÇAMENTO JOIST</t>
        </is>
      </c>
      <c r="F993" s="159">
        <f>IFERROR(INDEX('BASE METAS DIÁRIAS'!$N$2:$S$358,MATCH($A993,'BASE METAS DIÁRIAS'!$A$2:$A$358,0),MOD(ROW()-2,6)+1),"")</f>
        <v/>
      </c>
      <c r="G993" s="159">
        <f>IFERROR(IF(WEEKDAY($A993,2)&lt;=INDEX('BASE METAS DIÁRIAS'!$H$2:$M$358,MATCH($A993,'BASE METAS DIÁRIAS'!$A$2:$A$358,0),MOD(ROW()-2,6)+1),INDEX('BASE METAS DIÁRIAS'!$B$2:$G$358,MATCH($A993,'BASE METAS DIÁRIAS'!$A$2:$A$358,0),MOD(ROW()-2,6)+1),""),"")</f>
        <v/>
      </c>
      <c r="H993" s="159">
        <f>IFERROR(IF(INDEX('CONTROLE PRODUÇÃO POR EMPRESAS'!$B$6:$G$5000,MATCH($A993,'CONTROLE PRODUÇÃO POR EMPRESAS'!$A$6:$A$5000,0),MOD(ROW()-2,6)+1)="","",IFERROR(1*INDEX('CONTROLE PRODUÇÃO POR EMPRESAS'!$B$6:$G$5000,MATCH($A993,'CONTROLE PRODUÇÃO POR EMPRESAS'!$A$6:$A$5000,0),MOD(ROW()-2,6)+1),"")),"")</f>
        <v/>
      </c>
      <c r="I993" s="159">
        <f>IF(OR(NOT(ISNUMBER(G993)),NOT(ISNUMBER(H993))),"",H993-G993)</f>
        <v/>
      </c>
      <c r="J993" s="319">
        <f>IF(OR(NOT(ISNUMBER(G993)),NOT(ISNUMBER(H993)),G993=0),"",I993/G993)</f>
        <v/>
      </c>
      <c r="K993" s="319">
        <f>IF(OR(NOT(ISNUMBER(G993)),NOT(ISNUMBER(H993)),G993=0),"",H993/G993)</f>
        <v/>
      </c>
      <c r="L993">
        <f>IF(NOT(ISNUMBER(G993)),"SEM META",IF(G993=0,"SEM META",IF(NOT(ISNUMBER(H993)),"SEM APONTAMENTO",IF(H993&gt;=G993,"VERDE",IF(H993&gt;=G993*0.9,"AMARELO","VERMELHO")))))</f>
        <v/>
      </c>
      <c r="M993" s="162" t="n"/>
      <c r="N993" s="162" t="n"/>
      <c r="O993" s="162" t="n"/>
      <c r="P993" s="162" t="n"/>
      <c r="Q993" s="320" t="n"/>
      <c r="R993" s="162" t="inlineStr">
        <is>
          <t>CONTROLE PRODUÇÃO POR EMPRESAS!C171</t>
        </is>
      </c>
    </row>
    <row r="994" ht="28.5" customHeight="1">
      <c r="A994" s="317" t="n">
        <v>46388</v>
      </c>
      <c r="B994" t="inlineStr">
        <is>
          <t>GERAL</t>
        </is>
      </c>
      <c r="C994" t="inlineStr">
        <is>
          <t>EJ</t>
        </is>
      </c>
      <c r="D994" t="inlineStr">
        <is>
          <t>VIGAS</t>
        </is>
      </c>
      <c r="F994" s="159">
        <f>IFERROR(INDEX('BASE METAS DIÁRIAS'!$N$2:$S$358,MATCH($A994,'BASE METAS DIÁRIAS'!$A$2:$A$358,0),MOD(ROW()-2,6)+1),"")</f>
        <v/>
      </c>
      <c r="G994" s="159">
        <f>IFERROR(IF(WEEKDAY($A994,2)&lt;=INDEX('BASE METAS DIÁRIAS'!$H$2:$M$358,MATCH($A994,'BASE METAS DIÁRIAS'!$A$2:$A$358,0),MOD(ROW()-2,6)+1),INDEX('BASE METAS DIÁRIAS'!$B$2:$G$358,MATCH($A994,'BASE METAS DIÁRIAS'!$A$2:$A$358,0),MOD(ROW()-2,6)+1),""),"")</f>
        <v/>
      </c>
      <c r="H994" s="159">
        <f>IFERROR(IF(INDEX('CONTROLE PRODUÇÃO POR EMPRESAS'!$B$6:$G$5000,MATCH($A994,'CONTROLE PRODUÇÃO POR EMPRESAS'!$A$6:$A$5000,0),MOD(ROW()-2,6)+1)="","",IFERROR(1*INDEX('CONTROLE PRODUÇÃO POR EMPRESAS'!$B$6:$G$5000,MATCH($A994,'CONTROLE PRODUÇÃO POR EMPRESAS'!$A$6:$A$5000,0),MOD(ROW()-2,6)+1),"")),"")</f>
        <v/>
      </c>
      <c r="I994" s="159">
        <f>IF(OR(NOT(ISNUMBER(G994)),NOT(ISNUMBER(H994))),"",H994-G994)</f>
        <v/>
      </c>
      <c r="J994" s="319">
        <f>IF(OR(NOT(ISNUMBER(G994)),NOT(ISNUMBER(H994)),G994=0),"",I994/G994)</f>
        <v/>
      </c>
      <c r="K994" s="319">
        <f>IF(OR(NOT(ISNUMBER(G994)),NOT(ISNUMBER(H994)),G994=0),"",H994/G994)</f>
        <v/>
      </c>
      <c r="L994">
        <f>IF(NOT(ISNUMBER(G994)),"SEM META",IF(G994=0,"SEM META",IF(NOT(ISNUMBER(H994)),"SEM APONTAMENTO",IF(H994&gt;=G994,"VERDE",IF(H994&gt;=G994*0.9,"AMARELO","VERMELHO")))))</f>
        <v/>
      </c>
      <c r="M994" s="162" t="n"/>
      <c r="N994" s="162" t="n"/>
      <c r="O994" s="162" t="n"/>
      <c r="P994" s="162" t="n"/>
      <c r="Q994" s="320" t="n"/>
      <c r="R994" s="162" t="inlineStr">
        <is>
          <t>CONTROLE PRODUÇÃO POR EMPRESAS!D171</t>
        </is>
      </c>
    </row>
    <row r="995" ht="28.5" customHeight="1">
      <c r="A995" s="317" t="n">
        <v>46388</v>
      </c>
      <c r="B995" t="inlineStr">
        <is>
          <t>GERAL</t>
        </is>
      </c>
      <c r="C995" t="inlineStr">
        <is>
          <t>CMM</t>
        </is>
      </c>
      <c r="D995" t="inlineStr">
        <is>
          <t>PREMONTAGEM</t>
        </is>
      </c>
      <c r="F995" s="159">
        <f>IFERROR(INDEX('BASE METAS DIÁRIAS'!$N$2:$S$358,MATCH($A995,'BASE METAS DIÁRIAS'!$A$2:$A$358,0),MOD(ROW()-2,6)+1),"")</f>
        <v/>
      </c>
      <c r="G995" s="159">
        <f>IFERROR(IF(WEEKDAY($A995,2)&lt;=INDEX('BASE METAS DIÁRIAS'!$H$2:$M$358,MATCH($A995,'BASE METAS DIÁRIAS'!$A$2:$A$358,0),MOD(ROW()-2,6)+1),INDEX('BASE METAS DIÁRIAS'!$B$2:$G$358,MATCH($A995,'BASE METAS DIÁRIAS'!$A$2:$A$358,0),MOD(ROW()-2,6)+1),""),"")</f>
        <v/>
      </c>
      <c r="H995" s="159">
        <f>IFERROR(IF(INDEX('CONTROLE PRODUÇÃO POR EMPRESAS'!$B$6:$G$5000,MATCH($A995,'CONTROLE PRODUÇÃO POR EMPRESAS'!$A$6:$A$5000,0),MOD(ROW()-2,6)+1)="","",IFERROR(1*INDEX('CONTROLE PRODUÇÃO POR EMPRESAS'!$B$6:$G$5000,MATCH($A995,'CONTROLE PRODUÇÃO POR EMPRESAS'!$A$6:$A$5000,0),MOD(ROW()-2,6)+1),"")),"")</f>
        <v/>
      </c>
      <c r="I995" s="159">
        <f>IF(OR(NOT(ISNUMBER(G995)),NOT(ISNUMBER(H995))),"",H995-G995)</f>
        <v/>
      </c>
      <c r="J995" s="319">
        <f>IF(OR(NOT(ISNUMBER(G995)),NOT(ISNUMBER(H995)),G995=0),"",I995/G995)</f>
        <v/>
      </c>
      <c r="K995" s="319">
        <f>IF(OR(NOT(ISNUMBER(G995)),NOT(ISNUMBER(H995)),G995=0),"",H995/G995)</f>
        <v/>
      </c>
      <c r="L995">
        <f>IF(NOT(ISNUMBER(G995)),"SEM META",IF(G995=0,"SEM META",IF(NOT(ISNUMBER(H995)),"SEM APONTAMENTO",IF(H995&gt;=G995,"VERDE",IF(H995&gt;=G995*0.9,"AMARELO","VERMELHO")))))</f>
        <v/>
      </c>
      <c r="M995" s="162" t="n"/>
      <c r="N995" s="162" t="n"/>
      <c r="O995" s="162" t="n"/>
      <c r="P995" s="162" t="n"/>
      <c r="Q995" s="320" t="n"/>
      <c r="R995" s="162" t="inlineStr">
        <is>
          <t>CONTROLE PRODUÇÃO POR EMPRESAS!E171</t>
        </is>
      </c>
    </row>
    <row r="996" ht="28.5" customHeight="1">
      <c r="A996" s="317" t="n">
        <v>46388</v>
      </c>
      <c r="B996" t="inlineStr">
        <is>
          <t>GERAL</t>
        </is>
      </c>
      <c r="C996" t="inlineStr">
        <is>
          <t>CMM</t>
        </is>
      </c>
      <c r="D996" t="inlineStr">
        <is>
          <t>IÇAMENTO JOIST</t>
        </is>
      </c>
      <c r="F996" s="159">
        <f>IFERROR(INDEX('BASE METAS DIÁRIAS'!$N$2:$S$358,MATCH($A996,'BASE METAS DIÁRIAS'!$A$2:$A$358,0),MOD(ROW()-2,6)+1),"")</f>
        <v/>
      </c>
      <c r="G996" s="159">
        <f>IFERROR(IF(WEEKDAY($A996,2)&lt;=INDEX('BASE METAS DIÁRIAS'!$H$2:$M$358,MATCH($A996,'BASE METAS DIÁRIAS'!$A$2:$A$358,0),MOD(ROW()-2,6)+1),INDEX('BASE METAS DIÁRIAS'!$B$2:$G$358,MATCH($A996,'BASE METAS DIÁRIAS'!$A$2:$A$358,0),MOD(ROW()-2,6)+1),""),"")</f>
        <v/>
      </c>
      <c r="H996" s="159">
        <f>IFERROR(IF(INDEX('CONTROLE PRODUÇÃO POR EMPRESAS'!$B$6:$G$5000,MATCH($A996,'CONTROLE PRODUÇÃO POR EMPRESAS'!$A$6:$A$5000,0),MOD(ROW()-2,6)+1)="","",IFERROR(1*INDEX('CONTROLE PRODUÇÃO POR EMPRESAS'!$B$6:$G$5000,MATCH($A996,'CONTROLE PRODUÇÃO POR EMPRESAS'!$A$6:$A$5000,0),MOD(ROW()-2,6)+1),"")),"")</f>
        <v/>
      </c>
      <c r="I996" s="159">
        <f>IF(OR(NOT(ISNUMBER(G996)),NOT(ISNUMBER(H996))),"",H996-G996)</f>
        <v/>
      </c>
      <c r="J996" s="319">
        <f>IF(OR(NOT(ISNUMBER(G996)),NOT(ISNUMBER(H996)),G996=0),"",I996/G996)</f>
        <v/>
      </c>
      <c r="K996" s="319">
        <f>IF(OR(NOT(ISNUMBER(G996)),NOT(ISNUMBER(H996)),G996=0),"",H996/G996)</f>
        <v/>
      </c>
      <c r="L996">
        <f>IF(NOT(ISNUMBER(G996)),"SEM META",IF(G996=0,"SEM META",IF(NOT(ISNUMBER(H996)),"SEM APONTAMENTO",IF(H996&gt;=G996,"VERDE",IF(H996&gt;=G996*0.9,"AMARELO","VERMELHO")))))</f>
        <v/>
      </c>
      <c r="M996" s="162" t="n"/>
      <c r="N996" s="162" t="n"/>
      <c r="O996" s="162" t="n"/>
      <c r="P996" s="162" t="n"/>
      <c r="Q996" s="320" t="n"/>
      <c r="R996" s="162" t="inlineStr">
        <is>
          <t>CONTROLE PRODUÇÃO POR EMPRESAS!F171</t>
        </is>
      </c>
    </row>
    <row r="997" ht="28.5" customHeight="1">
      <c r="A997" s="317" t="n">
        <v>46388</v>
      </c>
      <c r="B997" t="inlineStr">
        <is>
          <t>GERAL</t>
        </is>
      </c>
      <c r="C997" t="inlineStr">
        <is>
          <t>CMM</t>
        </is>
      </c>
      <c r="D997" t="inlineStr">
        <is>
          <t>VIGAS</t>
        </is>
      </c>
      <c r="F997" s="159">
        <f>IFERROR(INDEX('BASE METAS DIÁRIAS'!$N$2:$S$358,MATCH($A997,'BASE METAS DIÁRIAS'!$A$2:$A$358,0),MOD(ROW()-2,6)+1),"")</f>
        <v/>
      </c>
      <c r="G997" s="159">
        <f>IFERROR(IF(WEEKDAY($A997,2)&lt;=INDEX('BASE METAS DIÁRIAS'!$H$2:$M$358,MATCH($A997,'BASE METAS DIÁRIAS'!$A$2:$A$358,0),MOD(ROW()-2,6)+1),INDEX('BASE METAS DIÁRIAS'!$B$2:$G$358,MATCH($A997,'BASE METAS DIÁRIAS'!$A$2:$A$358,0),MOD(ROW()-2,6)+1),""),"")</f>
        <v/>
      </c>
      <c r="H997" s="159">
        <f>IFERROR(IF(INDEX('CONTROLE PRODUÇÃO POR EMPRESAS'!$B$6:$G$5000,MATCH($A997,'CONTROLE PRODUÇÃO POR EMPRESAS'!$A$6:$A$5000,0),MOD(ROW()-2,6)+1)="","",IFERROR(1*INDEX('CONTROLE PRODUÇÃO POR EMPRESAS'!$B$6:$G$5000,MATCH($A997,'CONTROLE PRODUÇÃO POR EMPRESAS'!$A$6:$A$5000,0),MOD(ROW()-2,6)+1),"")),"")</f>
        <v/>
      </c>
      <c r="I997" s="159">
        <f>IF(OR(NOT(ISNUMBER(G997)),NOT(ISNUMBER(H997))),"",H997-G997)</f>
        <v/>
      </c>
      <c r="J997" s="319">
        <f>IF(OR(NOT(ISNUMBER(G997)),NOT(ISNUMBER(H997)),G997=0),"",I997/G997)</f>
        <v/>
      </c>
      <c r="K997" s="319">
        <f>IF(OR(NOT(ISNUMBER(G997)),NOT(ISNUMBER(H997)),G997=0),"",H997/G997)</f>
        <v/>
      </c>
      <c r="L997">
        <f>IF(NOT(ISNUMBER(G997)),"SEM META",IF(G997=0,"SEM META",IF(NOT(ISNUMBER(H997)),"SEM APONTAMENTO",IF(H997&gt;=G997,"VERDE",IF(H997&gt;=G997*0.9,"AMARELO","VERMELHO")))))</f>
        <v/>
      </c>
      <c r="M997" s="162" t="n"/>
      <c r="N997" s="162" t="n"/>
      <c r="O997" s="162" t="n"/>
      <c r="P997" s="162" t="n"/>
      <c r="Q997" s="320" t="n"/>
      <c r="R997" s="162" t="inlineStr">
        <is>
          <t>CONTROLE PRODUÇÃO POR EMPRESAS!G171</t>
        </is>
      </c>
    </row>
    <row r="998" ht="28.5" customHeight="1">
      <c r="A998" s="317" t="n">
        <v>46389</v>
      </c>
      <c r="B998" t="inlineStr">
        <is>
          <t>GERAL</t>
        </is>
      </c>
      <c r="C998" t="inlineStr">
        <is>
          <t>EJ</t>
        </is>
      </c>
      <c r="D998" t="inlineStr">
        <is>
          <t>PREMONTAGEM</t>
        </is>
      </c>
      <c r="F998" s="159">
        <f>IFERROR(INDEX('BASE METAS DIÁRIAS'!$N$2:$S$358,MATCH($A998,'BASE METAS DIÁRIAS'!$A$2:$A$358,0),MOD(ROW()-2,6)+1),"")</f>
        <v/>
      </c>
      <c r="G998" s="159">
        <f>IFERROR(IF(WEEKDAY($A998,2)&lt;=INDEX('BASE METAS DIÁRIAS'!$H$2:$M$358,MATCH($A998,'BASE METAS DIÁRIAS'!$A$2:$A$358,0),MOD(ROW()-2,6)+1),INDEX('BASE METAS DIÁRIAS'!$B$2:$G$358,MATCH($A998,'BASE METAS DIÁRIAS'!$A$2:$A$358,0),MOD(ROW()-2,6)+1),""),"")</f>
        <v/>
      </c>
      <c r="H998" s="159">
        <f>IFERROR(IF(INDEX('CONTROLE PRODUÇÃO POR EMPRESAS'!$B$6:$G$5000,MATCH($A998,'CONTROLE PRODUÇÃO POR EMPRESAS'!$A$6:$A$5000,0),MOD(ROW()-2,6)+1)="","",IFERROR(1*INDEX('CONTROLE PRODUÇÃO POR EMPRESAS'!$B$6:$G$5000,MATCH($A998,'CONTROLE PRODUÇÃO POR EMPRESAS'!$A$6:$A$5000,0),MOD(ROW()-2,6)+1),"")),"")</f>
        <v/>
      </c>
      <c r="I998" s="159">
        <f>IF(OR(NOT(ISNUMBER(G998)),NOT(ISNUMBER(H998))),"",H998-G998)</f>
        <v/>
      </c>
      <c r="J998" s="319">
        <f>IF(OR(NOT(ISNUMBER(G998)),NOT(ISNUMBER(H998)),G998=0),"",I998/G998)</f>
        <v/>
      </c>
      <c r="K998" s="319">
        <f>IF(OR(NOT(ISNUMBER(G998)),NOT(ISNUMBER(H998)),G998=0),"",H998/G998)</f>
        <v/>
      </c>
      <c r="L998">
        <f>IF(NOT(ISNUMBER(G998)),"SEM META",IF(G998=0,"SEM META",IF(NOT(ISNUMBER(H998)),"SEM APONTAMENTO",IF(H998&gt;=G998,"VERDE",IF(H998&gt;=G998*0.9,"AMARELO","VERMELHO")))))</f>
        <v/>
      </c>
      <c r="M998" s="162" t="n"/>
      <c r="N998" s="162" t="n"/>
      <c r="O998" s="162" t="n"/>
      <c r="P998" s="162" t="n"/>
      <c r="Q998" s="320" t="n"/>
      <c r="R998" s="162" t="inlineStr">
        <is>
          <t>CONTROLE PRODUÇÃO POR EMPRESAS!B172</t>
        </is>
      </c>
    </row>
    <row r="999" ht="28.5" customHeight="1">
      <c r="A999" s="317" t="n">
        <v>46389</v>
      </c>
      <c r="B999" t="inlineStr">
        <is>
          <t>GERAL</t>
        </is>
      </c>
      <c r="C999" t="inlineStr">
        <is>
          <t>EJ</t>
        </is>
      </c>
      <c r="D999" t="inlineStr">
        <is>
          <t>IÇAMENTO JOIST</t>
        </is>
      </c>
      <c r="F999" s="159">
        <f>IFERROR(INDEX('BASE METAS DIÁRIAS'!$N$2:$S$358,MATCH($A999,'BASE METAS DIÁRIAS'!$A$2:$A$358,0),MOD(ROW()-2,6)+1),"")</f>
        <v/>
      </c>
      <c r="G999" s="159">
        <f>IFERROR(IF(WEEKDAY($A999,2)&lt;=INDEX('BASE METAS DIÁRIAS'!$H$2:$M$358,MATCH($A999,'BASE METAS DIÁRIAS'!$A$2:$A$358,0),MOD(ROW()-2,6)+1),INDEX('BASE METAS DIÁRIAS'!$B$2:$G$358,MATCH($A999,'BASE METAS DIÁRIAS'!$A$2:$A$358,0),MOD(ROW()-2,6)+1),""),"")</f>
        <v/>
      </c>
      <c r="H999" s="159">
        <f>IFERROR(IF(INDEX('CONTROLE PRODUÇÃO POR EMPRESAS'!$B$6:$G$5000,MATCH($A999,'CONTROLE PRODUÇÃO POR EMPRESAS'!$A$6:$A$5000,0),MOD(ROW()-2,6)+1)="","",IFERROR(1*INDEX('CONTROLE PRODUÇÃO POR EMPRESAS'!$B$6:$G$5000,MATCH($A999,'CONTROLE PRODUÇÃO POR EMPRESAS'!$A$6:$A$5000,0),MOD(ROW()-2,6)+1),"")),"")</f>
        <v/>
      </c>
      <c r="I999" s="159">
        <f>IF(OR(NOT(ISNUMBER(G999)),NOT(ISNUMBER(H999))),"",H999-G999)</f>
        <v/>
      </c>
      <c r="J999" s="319">
        <f>IF(OR(NOT(ISNUMBER(G999)),NOT(ISNUMBER(H999)),G999=0),"",I999/G999)</f>
        <v/>
      </c>
      <c r="K999" s="319">
        <f>IF(OR(NOT(ISNUMBER(G999)),NOT(ISNUMBER(H999)),G999=0),"",H999/G999)</f>
        <v/>
      </c>
      <c r="L999">
        <f>IF(NOT(ISNUMBER(G999)),"SEM META",IF(G999=0,"SEM META",IF(NOT(ISNUMBER(H999)),"SEM APONTAMENTO",IF(H999&gt;=G999,"VERDE",IF(H999&gt;=G999*0.9,"AMARELO","VERMELHO")))))</f>
        <v/>
      </c>
      <c r="M999" s="162" t="n"/>
      <c r="N999" s="162" t="n"/>
      <c r="O999" s="162" t="n"/>
      <c r="P999" s="162" t="n"/>
      <c r="Q999" s="320" t="n"/>
      <c r="R999" s="162" t="inlineStr">
        <is>
          <t>CONTROLE PRODUÇÃO POR EMPRESAS!C172</t>
        </is>
      </c>
    </row>
    <row r="1000" ht="28.5" customHeight="1">
      <c r="A1000" s="317" t="n">
        <v>46389</v>
      </c>
      <c r="B1000" t="inlineStr">
        <is>
          <t>GERAL</t>
        </is>
      </c>
      <c r="C1000" t="inlineStr">
        <is>
          <t>EJ</t>
        </is>
      </c>
      <c r="D1000" t="inlineStr">
        <is>
          <t>VIGAS</t>
        </is>
      </c>
      <c r="F1000" s="159">
        <f>IFERROR(INDEX('BASE METAS DIÁRIAS'!$N$2:$S$358,MATCH($A1000,'BASE METAS DIÁRIAS'!$A$2:$A$358,0),MOD(ROW()-2,6)+1),"")</f>
        <v/>
      </c>
      <c r="G1000" s="159">
        <f>IFERROR(IF(WEEKDAY($A1000,2)&lt;=INDEX('BASE METAS DIÁRIAS'!$H$2:$M$358,MATCH($A1000,'BASE METAS DIÁRIAS'!$A$2:$A$358,0),MOD(ROW()-2,6)+1),INDEX('BASE METAS DIÁRIAS'!$B$2:$G$358,MATCH($A1000,'BASE METAS DIÁRIAS'!$A$2:$A$358,0),MOD(ROW()-2,6)+1),""),"")</f>
        <v/>
      </c>
      <c r="H1000" s="159">
        <f>IFERROR(IF(INDEX('CONTROLE PRODUÇÃO POR EMPRESAS'!$B$6:$G$5000,MATCH($A1000,'CONTROLE PRODUÇÃO POR EMPRESAS'!$A$6:$A$5000,0),MOD(ROW()-2,6)+1)="","",IFERROR(1*INDEX('CONTROLE PRODUÇÃO POR EMPRESAS'!$B$6:$G$5000,MATCH($A1000,'CONTROLE PRODUÇÃO POR EMPRESAS'!$A$6:$A$5000,0),MOD(ROW()-2,6)+1),"")),"")</f>
        <v/>
      </c>
      <c r="I1000" s="159">
        <f>IF(OR(NOT(ISNUMBER(G1000)),NOT(ISNUMBER(H1000))),"",H1000-G1000)</f>
        <v/>
      </c>
      <c r="J1000" s="319">
        <f>IF(OR(NOT(ISNUMBER(G1000)),NOT(ISNUMBER(H1000)),G1000=0),"",I1000/G1000)</f>
        <v/>
      </c>
      <c r="K1000" s="319">
        <f>IF(OR(NOT(ISNUMBER(G1000)),NOT(ISNUMBER(H1000)),G1000=0),"",H1000/G1000)</f>
        <v/>
      </c>
      <c r="L1000">
        <f>IF(NOT(ISNUMBER(G1000)),"SEM META",IF(G1000=0,"SEM META",IF(NOT(ISNUMBER(H1000)),"SEM APONTAMENTO",IF(H1000&gt;=G1000,"VERDE",IF(H1000&gt;=G1000*0.9,"AMARELO","VERMELHO")))))</f>
        <v/>
      </c>
      <c r="M1000" s="162" t="n"/>
      <c r="N1000" s="162" t="n"/>
      <c r="O1000" s="162" t="n"/>
      <c r="P1000" s="162" t="n"/>
      <c r="Q1000" s="320" t="n"/>
      <c r="R1000" s="162" t="inlineStr">
        <is>
          <t>CONTROLE PRODUÇÃO POR EMPRESAS!D172</t>
        </is>
      </c>
    </row>
    <row r="1001" ht="28.5" customHeight="1">
      <c r="A1001" s="317" t="n">
        <v>46389</v>
      </c>
      <c r="B1001" t="inlineStr">
        <is>
          <t>GERAL</t>
        </is>
      </c>
      <c r="C1001" t="inlineStr">
        <is>
          <t>CMM</t>
        </is>
      </c>
      <c r="D1001" t="inlineStr">
        <is>
          <t>PREMONTAGEM</t>
        </is>
      </c>
      <c r="F1001" s="159">
        <f>IFERROR(INDEX('BASE METAS DIÁRIAS'!$N$2:$S$358,MATCH($A1001,'BASE METAS DIÁRIAS'!$A$2:$A$358,0),MOD(ROW()-2,6)+1),"")</f>
        <v/>
      </c>
      <c r="G1001" s="159">
        <f>IFERROR(IF(WEEKDAY($A1001,2)&lt;=INDEX('BASE METAS DIÁRIAS'!$H$2:$M$358,MATCH($A1001,'BASE METAS DIÁRIAS'!$A$2:$A$358,0),MOD(ROW()-2,6)+1),INDEX('BASE METAS DIÁRIAS'!$B$2:$G$358,MATCH($A1001,'BASE METAS DIÁRIAS'!$A$2:$A$358,0),MOD(ROW()-2,6)+1),""),"")</f>
        <v/>
      </c>
      <c r="H1001" s="159">
        <f>IFERROR(IF(INDEX('CONTROLE PRODUÇÃO POR EMPRESAS'!$B$6:$G$5000,MATCH($A1001,'CONTROLE PRODUÇÃO POR EMPRESAS'!$A$6:$A$5000,0),MOD(ROW()-2,6)+1)="","",IFERROR(1*INDEX('CONTROLE PRODUÇÃO POR EMPRESAS'!$B$6:$G$5000,MATCH($A1001,'CONTROLE PRODUÇÃO POR EMPRESAS'!$A$6:$A$5000,0),MOD(ROW()-2,6)+1),"")),"")</f>
        <v/>
      </c>
      <c r="I1001" s="159">
        <f>IF(OR(NOT(ISNUMBER(G1001)),NOT(ISNUMBER(H1001))),"",H1001-G1001)</f>
        <v/>
      </c>
      <c r="J1001" s="319">
        <f>IF(OR(NOT(ISNUMBER(G1001)),NOT(ISNUMBER(H1001)),G1001=0),"",I1001/G1001)</f>
        <v/>
      </c>
      <c r="K1001" s="319">
        <f>IF(OR(NOT(ISNUMBER(G1001)),NOT(ISNUMBER(H1001)),G1001=0),"",H1001/G1001)</f>
        <v/>
      </c>
      <c r="L1001">
        <f>IF(NOT(ISNUMBER(G1001)),"SEM META",IF(G1001=0,"SEM META",IF(NOT(ISNUMBER(H1001)),"SEM APONTAMENTO",IF(H1001&gt;=G1001,"VERDE",IF(H1001&gt;=G1001*0.9,"AMARELO","VERMELHO")))))</f>
        <v/>
      </c>
      <c r="M1001" s="162" t="n"/>
      <c r="N1001" s="162" t="n"/>
      <c r="O1001" s="162" t="n"/>
      <c r="P1001" s="162" t="n"/>
      <c r="Q1001" s="320" t="n"/>
      <c r="R1001" s="162" t="inlineStr">
        <is>
          <t>CONTROLE PRODUÇÃO POR EMPRESAS!E172</t>
        </is>
      </c>
    </row>
    <row r="1002" ht="28.5" customHeight="1">
      <c r="A1002" s="317" t="n">
        <v>46389</v>
      </c>
      <c r="B1002" t="inlineStr">
        <is>
          <t>GERAL</t>
        </is>
      </c>
      <c r="C1002" t="inlineStr">
        <is>
          <t>CMM</t>
        </is>
      </c>
      <c r="D1002" t="inlineStr">
        <is>
          <t>IÇAMENTO JOIST</t>
        </is>
      </c>
      <c r="F1002" s="159">
        <f>IFERROR(INDEX('BASE METAS DIÁRIAS'!$N$2:$S$358,MATCH($A1002,'BASE METAS DIÁRIAS'!$A$2:$A$358,0),MOD(ROW()-2,6)+1),"")</f>
        <v/>
      </c>
      <c r="G1002" s="159">
        <f>IFERROR(IF(WEEKDAY($A1002,2)&lt;=INDEX('BASE METAS DIÁRIAS'!$H$2:$M$358,MATCH($A1002,'BASE METAS DIÁRIAS'!$A$2:$A$358,0),MOD(ROW()-2,6)+1),INDEX('BASE METAS DIÁRIAS'!$B$2:$G$358,MATCH($A1002,'BASE METAS DIÁRIAS'!$A$2:$A$358,0),MOD(ROW()-2,6)+1),""),"")</f>
        <v/>
      </c>
      <c r="H1002" s="159">
        <f>IFERROR(IF(INDEX('CONTROLE PRODUÇÃO POR EMPRESAS'!$B$6:$G$5000,MATCH($A1002,'CONTROLE PRODUÇÃO POR EMPRESAS'!$A$6:$A$5000,0),MOD(ROW()-2,6)+1)="","",IFERROR(1*INDEX('CONTROLE PRODUÇÃO POR EMPRESAS'!$B$6:$G$5000,MATCH($A1002,'CONTROLE PRODUÇÃO POR EMPRESAS'!$A$6:$A$5000,0),MOD(ROW()-2,6)+1),"")),"")</f>
        <v/>
      </c>
      <c r="I1002" s="159">
        <f>IF(OR(NOT(ISNUMBER(G1002)),NOT(ISNUMBER(H1002))),"",H1002-G1002)</f>
        <v/>
      </c>
      <c r="J1002" s="319">
        <f>IF(OR(NOT(ISNUMBER(G1002)),NOT(ISNUMBER(H1002)),G1002=0),"",I1002/G1002)</f>
        <v/>
      </c>
      <c r="K1002" s="319">
        <f>IF(OR(NOT(ISNUMBER(G1002)),NOT(ISNUMBER(H1002)),G1002=0),"",H1002/G1002)</f>
        <v/>
      </c>
      <c r="L1002">
        <f>IF(NOT(ISNUMBER(G1002)),"SEM META",IF(G1002=0,"SEM META",IF(NOT(ISNUMBER(H1002)),"SEM APONTAMENTO",IF(H1002&gt;=G1002,"VERDE",IF(H1002&gt;=G1002*0.9,"AMARELO","VERMELHO")))))</f>
        <v/>
      </c>
      <c r="M1002" s="162" t="n"/>
      <c r="N1002" s="162" t="n"/>
      <c r="O1002" s="162" t="n"/>
      <c r="P1002" s="162" t="n"/>
      <c r="Q1002" s="320" t="n"/>
      <c r="R1002" s="162" t="inlineStr">
        <is>
          <t>CONTROLE PRODUÇÃO POR EMPRESAS!F172</t>
        </is>
      </c>
    </row>
    <row r="1003" ht="28.5" customHeight="1">
      <c r="A1003" s="317" t="n">
        <v>46389</v>
      </c>
      <c r="B1003" t="inlineStr">
        <is>
          <t>GERAL</t>
        </is>
      </c>
      <c r="C1003" t="inlineStr">
        <is>
          <t>CMM</t>
        </is>
      </c>
      <c r="D1003" t="inlineStr">
        <is>
          <t>VIGAS</t>
        </is>
      </c>
      <c r="F1003" s="159">
        <f>IFERROR(INDEX('BASE METAS DIÁRIAS'!$N$2:$S$358,MATCH($A1003,'BASE METAS DIÁRIAS'!$A$2:$A$358,0),MOD(ROW()-2,6)+1),"")</f>
        <v/>
      </c>
      <c r="G1003" s="159">
        <f>IFERROR(IF(WEEKDAY($A1003,2)&lt;=INDEX('BASE METAS DIÁRIAS'!$H$2:$M$358,MATCH($A1003,'BASE METAS DIÁRIAS'!$A$2:$A$358,0),MOD(ROW()-2,6)+1),INDEX('BASE METAS DIÁRIAS'!$B$2:$G$358,MATCH($A1003,'BASE METAS DIÁRIAS'!$A$2:$A$358,0),MOD(ROW()-2,6)+1),""),"")</f>
        <v/>
      </c>
      <c r="H1003" s="159">
        <f>IFERROR(IF(INDEX('CONTROLE PRODUÇÃO POR EMPRESAS'!$B$6:$G$5000,MATCH($A1003,'CONTROLE PRODUÇÃO POR EMPRESAS'!$A$6:$A$5000,0),MOD(ROW()-2,6)+1)="","",IFERROR(1*INDEX('CONTROLE PRODUÇÃO POR EMPRESAS'!$B$6:$G$5000,MATCH($A1003,'CONTROLE PRODUÇÃO POR EMPRESAS'!$A$6:$A$5000,0),MOD(ROW()-2,6)+1),"")),"")</f>
        <v/>
      </c>
      <c r="I1003" s="159">
        <f>IF(OR(NOT(ISNUMBER(G1003)),NOT(ISNUMBER(H1003))),"",H1003-G1003)</f>
        <v/>
      </c>
      <c r="J1003" s="319">
        <f>IF(OR(NOT(ISNUMBER(G1003)),NOT(ISNUMBER(H1003)),G1003=0),"",I1003/G1003)</f>
        <v/>
      </c>
      <c r="K1003" s="319">
        <f>IF(OR(NOT(ISNUMBER(G1003)),NOT(ISNUMBER(H1003)),G1003=0),"",H1003/G1003)</f>
        <v/>
      </c>
      <c r="L1003">
        <f>IF(NOT(ISNUMBER(G1003)),"SEM META",IF(G1003=0,"SEM META",IF(NOT(ISNUMBER(H1003)),"SEM APONTAMENTO",IF(H1003&gt;=G1003,"VERDE",IF(H1003&gt;=G1003*0.9,"AMARELO","VERMELHO")))))</f>
        <v/>
      </c>
      <c r="M1003" s="162" t="n"/>
      <c r="N1003" s="162" t="n"/>
      <c r="O1003" s="162" t="n"/>
      <c r="P1003" s="162" t="n"/>
      <c r="Q1003" s="320" t="n"/>
      <c r="R1003" s="162" t="inlineStr">
        <is>
          <t>CONTROLE PRODUÇÃO POR EMPRESAS!G172</t>
        </is>
      </c>
    </row>
    <row r="1004" ht="28.5" customHeight="1">
      <c r="A1004" s="317" t="n">
        <v>46390</v>
      </c>
      <c r="B1004" t="inlineStr">
        <is>
          <t>GERAL</t>
        </is>
      </c>
      <c r="C1004" t="inlineStr">
        <is>
          <t>EJ</t>
        </is>
      </c>
      <c r="D1004" t="inlineStr">
        <is>
          <t>PREMONTAGEM</t>
        </is>
      </c>
      <c r="F1004" s="159">
        <f>IFERROR(INDEX('BASE METAS DIÁRIAS'!$N$2:$S$358,MATCH($A1004,'BASE METAS DIÁRIAS'!$A$2:$A$358,0),MOD(ROW()-2,6)+1),"")</f>
        <v/>
      </c>
      <c r="G1004" s="159">
        <f>IFERROR(IF(WEEKDAY($A1004,2)&lt;=INDEX('BASE METAS DIÁRIAS'!$H$2:$M$358,MATCH($A1004,'BASE METAS DIÁRIAS'!$A$2:$A$358,0),MOD(ROW()-2,6)+1),INDEX('BASE METAS DIÁRIAS'!$B$2:$G$358,MATCH($A1004,'BASE METAS DIÁRIAS'!$A$2:$A$358,0),MOD(ROW()-2,6)+1),""),"")</f>
        <v/>
      </c>
      <c r="H1004" s="159">
        <f>IFERROR(IF(INDEX('CONTROLE PRODUÇÃO POR EMPRESAS'!$B$6:$G$5000,MATCH($A1004,'CONTROLE PRODUÇÃO POR EMPRESAS'!$A$6:$A$5000,0),MOD(ROW()-2,6)+1)="","",IFERROR(1*INDEX('CONTROLE PRODUÇÃO POR EMPRESAS'!$B$6:$G$5000,MATCH($A1004,'CONTROLE PRODUÇÃO POR EMPRESAS'!$A$6:$A$5000,0),MOD(ROW()-2,6)+1),"")),"")</f>
        <v/>
      </c>
      <c r="I1004" s="159">
        <f>IF(OR(NOT(ISNUMBER(G1004)),NOT(ISNUMBER(H1004))),"",H1004-G1004)</f>
        <v/>
      </c>
      <c r="J1004" s="319">
        <f>IF(OR(NOT(ISNUMBER(G1004)),NOT(ISNUMBER(H1004)),G1004=0),"",I1004/G1004)</f>
        <v/>
      </c>
      <c r="K1004" s="319">
        <f>IF(OR(NOT(ISNUMBER(G1004)),NOT(ISNUMBER(H1004)),G1004=0),"",H1004/G1004)</f>
        <v/>
      </c>
      <c r="L1004">
        <f>IF(NOT(ISNUMBER(G1004)),"SEM META",IF(G1004=0,"SEM META",IF(NOT(ISNUMBER(H1004)),"SEM APONTAMENTO",IF(H1004&gt;=G1004,"VERDE",IF(H1004&gt;=G1004*0.9,"AMARELO","VERMELHO")))))</f>
        <v/>
      </c>
      <c r="M1004" s="162" t="n"/>
      <c r="N1004" s="162" t="n"/>
      <c r="O1004" s="162" t="n"/>
      <c r="P1004" s="162" t="n"/>
      <c r="Q1004" s="320" t="n"/>
      <c r="R1004" s="162" t="inlineStr">
        <is>
          <t>CONTROLE PRODUÇÃO POR EMPRESAS!B173</t>
        </is>
      </c>
    </row>
    <row r="1005" ht="28.5" customHeight="1">
      <c r="A1005" s="317" t="n">
        <v>46390</v>
      </c>
      <c r="B1005" t="inlineStr">
        <is>
          <t>GERAL</t>
        </is>
      </c>
      <c r="C1005" t="inlineStr">
        <is>
          <t>EJ</t>
        </is>
      </c>
      <c r="D1005" t="inlineStr">
        <is>
          <t>IÇAMENTO JOIST</t>
        </is>
      </c>
      <c r="F1005" s="159">
        <f>IFERROR(INDEX('BASE METAS DIÁRIAS'!$N$2:$S$358,MATCH($A1005,'BASE METAS DIÁRIAS'!$A$2:$A$358,0),MOD(ROW()-2,6)+1),"")</f>
        <v/>
      </c>
      <c r="G1005" s="159">
        <f>IFERROR(IF(WEEKDAY($A1005,2)&lt;=INDEX('BASE METAS DIÁRIAS'!$H$2:$M$358,MATCH($A1005,'BASE METAS DIÁRIAS'!$A$2:$A$358,0),MOD(ROW()-2,6)+1),INDEX('BASE METAS DIÁRIAS'!$B$2:$G$358,MATCH($A1005,'BASE METAS DIÁRIAS'!$A$2:$A$358,0),MOD(ROW()-2,6)+1),""),"")</f>
        <v/>
      </c>
      <c r="H1005" s="159">
        <f>IFERROR(IF(INDEX('CONTROLE PRODUÇÃO POR EMPRESAS'!$B$6:$G$5000,MATCH($A1005,'CONTROLE PRODUÇÃO POR EMPRESAS'!$A$6:$A$5000,0),MOD(ROW()-2,6)+1)="","",IFERROR(1*INDEX('CONTROLE PRODUÇÃO POR EMPRESAS'!$B$6:$G$5000,MATCH($A1005,'CONTROLE PRODUÇÃO POR EMPRESAS'!$A$6:$A$5000,0),MOD(ROW()-2,6)+1),"")),"")</f>
        <v/>
      </c>
      <c r="I1005" s="159">
        <f>IF(OR(NOT(ISNUMBER(G1005)),NOT(ISNUMBER(H1005))),"",H1005-G1005)</f>
        <v/>
      </c>
      <c r="J1005" s="319">
        <f>IF(OR(NOT(ISNUMBER(G1005)),NOT(ISNUMBER(H1005)),G1005=0),"",I1005/G1005)</f>
        <v/>
      </c>
      <c r="K1005" s="319">
        <f>IF(OR(NOT(ISNUMBER(G1005)),NOT(ISNUMBER(H1005)),G1005=0),"",H1005/G1005)</f>
        <v/>
      </c>
      <c r="L1005">
        <f>IF(NOT(ISNUMBER(G1005)),"SEM META",IF(G1005=0,"SEM META",IF(NOT(ISNUMBER(H1005)),"SEM APONTAMENTO",IF(H1005&gt;=G1005,"VERDE",IF(H1005&gt;=G1005*0.9,"AMARELO","VERMELHO")))))</f>
        <v/>
      </c>
      <c r="M1005" s="162" t="n"/>
      <c r="N1005" s="162" t="n"/>
      <c r="O1005" s="162" t="n"/>
      <c r="P1005" s="162" t="n"/>
      <c r="Q1005" s="320" t="n"/>
      <c r="R1005" s="162" t="inlineStr">
        <is>
          <t>CONTROLE PRODUÇÃO POR EMPRESAS!C173</t>
        </is>
      </c>
    </row>
    <row r="1006" ht="28.5" customHeight="1">
      <c r="A1006" s="317" t="n">
        <v>46390</v>
      </c>
      <c r="B1006" t="inlineStr">
        <is>
          <t>GERAL</t>
        </is>
      </c>
      <c r="C1006" t="inlineStr">
        <is>
          <t>EJ</t>
        </is>
      </c>
      <c r="D1006" t="inlineStr">
        <is>
          <t>VIGAS</t>
        </is>
      </c>
      <c r="F1006" s="159">
        <f>IFERROR(INDEX('BASE METAS DIÁRIAS'!$N$2:$S$358,MATCH($A1006,'BASE METAS DIÁRIAS'!$A$2:$A$358,0),MOD(ROW()-2,6)+1),"")</f>
        <v/>
      </c>
      <c r="G1006" s="159">
        <f>IFERROR(IF(WEEKDAY($A1006,2)&lt;=INDEX('BASE METAS DIÁRIAS'!$H$2:$M$358,MATCH($A1006,'BASE METAS DIÁRIAS'!$A$2:$A$358,0),MOD(ROW()-2,6)+1),INDEX('BASE METAS DIÁRIAS'!$B$2:$G$358,MATCH($A1006,'BASE METAS DIÁRIAS'!$A$2:$A$358,0),MOD(ROW()-2,6)+1),""),"")</f>
        <v/>
      </c>
      <c r="H1006" s="159">
        <f>IFERROR(IF(INDEX('CONTROLE PRODUÇÃO POR EMPRESAS'!$B$6:$G$5000,MATCH($A1006,'CONTROLE PRODUÇÃO POR EMPRESAS'!$A$6:$A$5000,0),MOD(ROW()-2,6)+1)="","",IFERROR(1*INDEX('CONTROLE PRODUÇÃO POR EMPRESAS'!$B$6:$G$5000,MATCH($A1006,'CONTROLE PRODUÇÃO POR EMPRESAS'!$A$6:$A$5000,0),MOD(ROW()-2,6)+1),"")),"")</f>
        <v/>
      </c>
      <c r="I1006" s="159">
        <f>IF(OR(NOT(ISNUMBER(G1006)),NOT(ISNUMBER(H1006))),"",H1006-G1006)</f>
        <v/>
      </c>
      <c r="J1006" s="319">
        <f>IF(OR(NOT(ISNUMBER(G1006)),NOT(ISNUMBER(H1006)),G1006=0),"",I1006/G1006)</f>
        <v/>
      </c>
      <c r="K1006" s="319">
        <f>IF(OR(NOT(ISNUMBER(G1006)),NOT(ISNUMBER(H1006)),G1006=0),"",H1006/G1006)</f>
        <v/>
      </c>
      <c r="L1006">
        <f>IF(NOT(ISNUMBER(G1006)),"SEM META",IF(G1006=0,"SEM META",IF(NOT(ISNUMBER(H1006)),"SEM APONTAMENTO",IF(H1006&gt;=G1006,"VERDE",IF(H1006&gt;=G1006*0.9,"AMARELO","VERMELHO")))))</f>
        <v/>
      </c>
      <c r="M1006" s="162" t="n"/>
      <c r="N1006" s="162" t="n"/>
      <c r="O1006" s="162" t="n"/>
      <c r="P1006" s="162" t="n"/>
      <c r="Q1006" s="320" t="n"/>
      <c r="R1006" s="162" t="inlineStr">
        <is>
          <t>CONTROLE PRODUÇÃO POR EMPRESAS!D173</t>
        </is>
      </c>
    </row>
    <row r="1007" ht="28.5" customHeight="1">
      <c r="A1007" s="317" t="n">
        <v>46390</v>
      </c>
      <c r="B1007" t="inlineStr">
        <is>
          <t>GERAL</t>
        </is>
      </c>
      <c r="C1007" t="inlineStr">
        <is>
          <t>CMM</t>
        </is>
      </c>
      <c r="D1007" t="inlineStr">
        <is>
          <t>PREMONTAGEM</t>
        </is>
      </c>
      <c r="F1007" s="159">
        <f>IFERROR(INDEX('BASE METAS DIÁRIAS'!$N$2:$S$358,MATCH($A1007,'BASE METAS DIÁRIAS'!$A$2:$A$358,0),MOD(ROW()-2,6)+1),"")</f>
        <v/>
      </c>
      <c r="G1007" s="159">
        <f>IFERROR(IF(WEEKDAY($A1007,2)&lt;=INDEX('BASE METAS DIÁRIAS'!$H$2:$M$358,MATCH($A1007,'BASE METAS DIÁRIAS'!$A$2:$A$358,0),MOD(ROW()-2,6)+1),INDEX('BASE METAS DIÁRIAS'!$B$2:$G$358,MATCH($A1007,'BASE METAS DIÁRIAS'!$A$2:$A$358,0),MOD(ROW()-2,6)+1),""),"")</f>
        <v/>
      </c>
      <c r="H1007" s="159">
        <f>IFERROR(IF(INDEX('CONTROLE PRODUÇÃO POR EMPRESAS'!$B$6:$G$5000,MATCH($A1007,'CONTROLE PRODUÇÃO POR EMPRESAS'!$A$6:$A$5000,0),MOD(ROW()-2,6)+1)="","",IFERROR(1*INDEX('CONTROLE PRODUÇÃO POR EMPRESAS'!$B$6:$G$5000,MATCH($A1007,'CONTROLE PRODUÇÃO POR EMPRESAS'!$A$6:$A$5000,0),MOD(ROW()-2,6)+1),"")),"")</f>
        <v/>
      </c>
      <c r="I1007" s="159">
        <f>IF(OR(NOT(ISNUMBER(G1007)),NOT(ISNUMBER(H1007))),"",H1007-G1007)</f>
        <v/>
      </c>
      <c r="J1007" s="319">
        <f>IF(OR(NOT(ISNUMBER(G1007)),NOT(ISNUMBER(H1007)),G1007=0),"",I1007/G1007)</f>
        <v/>
      </c>
      <c r="K1007" s="319">
        <f>IF(OR(NOT(ISNUMBER(G1007)),NOT(ISNUMBER(H1007)),G1007=0),"",H1007/G1007)</f>
        <v/>
      </c>
      <c r="L1007">
        <f>IF(NOT(ISNUMBER(G1007)),"SEM META",IF(G1007=0,"SEM META",IF(NOT(ISNUMBER(H1007)),"SEM APONTAMENTO",IF(H1007&gt;=G1007,"VERDE",IF(H1007&gt;=G1007*0.9,"AMARELO","VERMELHO")))))</f>
        <v/>
      </c>
      <c r="M1007" s="162" t="n"/>
      <c r="N1007" s="162" t="n"/>
      <c r="O1007" s="162" t="n"/>
      <c r="P1007" s="162" t="n"/>
      <c r="Q1007" s="320" t="n"/>
      <c r="R1007" s="162" t="inlineStr">
        <is>
          <t>CONTROLE PRODUÇÃO POR EMPRESAS!E173</t>
        </is>
      </c>
    </row>
    <row r="1008" ht="28.5" customHeight="1">
      <c r="A1008" s="317" t="n">
        <v>46390</v>
      </c>
      <c r="B1008" t="inlineStr">
        <is>
          <t>GERAL</t>
        </is>
      </c>
      <c r="C1008" t="inlineStr">
        <is>
          <t>CMM</t>
        </is>
      </c>
      <c r="D1008" t="inlineStr">
        <is>
          <t>IÇAMENTO JOIST</t>
        </is>
      </c>
      <c r="F1008" s="159">
        <f>IFERROR(INDEX('BASE METAS DIÁRIAS'!$N$2:$S$358,MATCH($A1008,'BASE METAS DIÁRIAS'!$A$2:$A$358,0),MOD(ROW()-2,6)+1),"")</f>
        <v/>
      </c>
      <c r="G1008" s="159">
        <f>IFERROR(IF(WEEKDAY($A1008,2)&lt;=INDEX('BASE METAS DIÁRIAS'!$H$2:$M$358,MATCH($A1008,'BASE METAS DIÁRIAS'!$A$2:$A$358,0),MOD(ROW()-2,6)+1),INDEX('BASE METAS DIÁRIAS'!$B$2:$G$358,MATCH($A1008,'BASE METAS DIÁRIAS'!$A$2:$A$358,0),MOD(ROW()-2,6)+1),""),"")</f>
        <v/>
      </c>
      <c r="H1008" s="159">
        <f>IFERROR(IF(INDEX('CONTROLE PRODUÇÃO POR EMPRESAS'!$B$6:$G$5000,MATCH($A1008,'CONTROLE PRODUÇÃO POR EMPRESAS'!$A$6:$A$5000,0),MOD(ROW()-2,6)+1)="","",IFERROR(1*INDEX('CONTROLE PRODUÇÃO POR EMPRESAS'!$B$6:$G$5000,MATCH($A1008,'CONTROLE PRODUÇÃO POR EMPRESAS'!$A$6:$A$5000,0),MOD(ROW()-2,6)+1),"")),"")</f>
        <v/>
      </c>
      <c r="I1008" s="159">
        <f>IF(OR(NOT(ISNUMBER(G1008)),NOT(ISNUMBER(H1008))),"",H1008-G1008)</f>
        <v/>
      </c>
      <c r="J1008" s="319">
        <f>IF(OR(NOT(ISNUMBER(G1008)),NOT(ISNUMBER(H1008)),G1008=0),"",I1008/G1008)</f>
        <v/>
      </c>
      <c r="K1008" s="319">
        <f>IF(OR(NOT(ISNUMBER(G1008)),NOT(ISNUMBER(H1008)),G1008=0),"",H1008/G1008)</f>
        <v/>
      </c>
      <c r="L1008">
        <f>IF(NOT(ISNUMBER(G1008)),"SEM META",IF(G1008=0,"SEM META",IF(NOT(ISNUMBER(H1008)),"SEM APONTAMENTO",IF(H1008&gt;=G1008,"VERDE",IF(H1008&gt;=G1008*0.9,"AMARELO","VERMELHO")))))</f>
        <v/>
      </c>
      <c r="M1008" s="162" t="n"/>
      <c r="N1008" s="162" t="n"/>
      <c r="O1008" s="162" t="n"/>
      <c r="P1008" s="162" t="n"/>
      <c r="Q1008" s="320" t="n"/>
      <c r="R1008" s="162" t="inlineStr">
        <is>
          <t>CONTROLE PRODUÇÃO POR EMPRESAS!F173</t>
        </is>
      </c>
    </row>
    <row r="1009" ht="28.5" customHeight="1">
      <c r="A1009" s="317" t="n">
        <v>46390</v>
      </c>
      <c r="B1009" t="inlineStr">
        <is>
          <t>GERAL</t>
        </is>
      </c>
      <c r="C1009" t="inlineStr">
        <is>
          <t>CMM</t>
        </is>
      </c>
      <c r="D1009" t="inlineStr">
        <is>
          <t>VIGAS</t>
        </is>
      </c>
      <c r="F1009" s="159">
        <f>IFERROR(INDEX('BASE METAS DIÁRIAS'!$N$2:$S$358,MATCH($A1009,'BASE METAS DIÁRIAS'!$A$2:$A$358,0),MOD(ROW()-2,6)+1),"")</f>
        <v/>
      </c>
      <c r="G1009" s="159">
        <f>IFERROR(IF(WEEKDAY($A1009,2)&lt;=INDEX('BASE METAS DIÁRIAS'!$H$2:$M$358,MATCH($A1009,'BASE METAS DIÁRIAS'!$A$2:$A$358,0),MOD(ROW()-2,6)+1),INDEX('BASE METAS DIÁRIAS'!$B$2:$G$358,MATCH($A1009,'BASE METAS DIÁRIAS'!$A$2:$A$358,0),MOD(ROW()-2,6)+1),""),"")</f>
        <v/>
      </c>
      <c r="H1009" s="159">
        <f>IFERROR(IF(INDEX('CONTROLE PRODUÇÃO POR EMPRESAS'!$B$6:$G$5000,MATCH($A1009,'CONTROLE PRODUÇÃO POR EMPRESAS'!$A$6:$A$5000,0),MOD(ROW()-2,6)+1)="","",IFERROR(1*INDEX('CONTROLE PRODUÇÃO POR EMPRESAS'!$B$6:$G$5000,MATCH($A1009,'CONTROLE PRODUÇÃO POR EMPRESAS'!$A$6:$A$5000,0),MOD(ROW()-2,6)+1),"")),"")</f>
        <v/>
      </c>
      <c r="I1009" s="159">
        <f>IF(OR(NOT(ISNUMBER(G1009)),NOT(ISNUMBER(H1009))),"",H1009-G1009)</f>
        <v/>
      </c>
      <c r="J1009" s="319">
        <f>IF(OR(NOT(ISNUMBER(G1009)),NOT(ISNUMBER(H1009)),G1009=0),"",I1009/G1009)</f>
        <v/>
      </c>
      <c r="K1009" s="319">
        <f>IF(OR(NOT(ISNUMBER(G1009)),NOT(ISNUMBER(H1009)),G1009=0),"",H1009/G1009)</f>
        <v/>
      </c>
      <c r="L1009">
        <f>IF(NOT(ISNUMBER(G1009)),"SEM META",IF(G1009=0,"SEM META",IF(NOT(ISNUMBER(H1009)),"SEM APONTAMENTO",IF(H1009&gt;=G1009,"VERDE",IF(H1009&gt;=G1009*0.9,"AMARELO","VERMELHO")))))</f>
        <v/>
      </c>
      <c r="M1009" s="162" t="n"/>
      <c r="N1009" s="162" t="n"/>
      <c r="O1009" s="162" t="n"/>
      <c r="P1009" s="162" t="n"/>
      <c r="Q1009" s="320" t="n"/>
      <c r="R1009" s="162" t="inlineStr">
        <is>
          <t>CONTROLE PRODUÇÃO POR EMPRESAS!G173</t>
        </is>
      </c>
    </row>
    <row r="1010" ht="28.5" customHeight="1">
      <c r="A1010" s="317" t="n">
        <v>46391</v>
      </c>
      <c r="B1010" t="inlineStr">
        <is>
          <t>GERAL</t>
        </is>
      </c>
      <c r="C1010" t="inlineStr">
        <is>
          <t>EJ</t>
        </is>
      </c>
      <c r="D1010" t="inlineStr">
        <is>
          <t>PREMONTAGEM</t>
        </is>
      </c>
      <c r="F1010" s="159">
        <f>IFERROR(INDEX('BASE METAS DIÁRIAS'!$N$2:$S$358,MATCH($A1010,'BASE METAS DIÁRIAS'!$A$2:$A$358,0),MOD(ROW()-2,6)+1),"")</f>
        <v/>
      </c>
      <c r="G1010" s="159">
        <f>IFERROR(IF(WEEKDAY($A1010,2)&lt;=INDEX('BASE METAS DIÁRIAS'!$H$2:$M$358,MATCH($A1010,'BASE METAS DIÁRIAS'!$A$2:$A$358,0),MOD(ROW()-2,6)+1),INDEX('BASE METAS DIÁRIAS'!$B$2:$G$358,MATCH($A1010,'BASE METAS DIÁRIAS'!$A$2:$A$358,0),MOD(ROW()-2,6)+1),""),"")</f>
        <v/>
      </c>
      <c r="H1010" s="159">
        <f>IFERROR(IF(INDEX('CONTROLE PRODUÇÃO POR EMPRESAS'!$B$6:$G$5000,MATCH($A1010,'CONTROLE PRODUÇÃO POR EMPRESAS'!$A$6:$A$5000,0),MOD(ROW()-2,6)+1)="","",IFERROR(1*INDEX('CONTROLE PRODUÇÃO POR EMPRESAS'!$B$6:$G$5000,MATCH($A1010,'CONTROLE PRODUÇÃO POR EMPRESAS'!$A$6:$A$5000,0),MOD(ROW()-2,6)+1),"")),"")</f>
        <v/>
      </c>
      <c r="I1010" s="159">
        <f>IF(OR(NOT(ISNUMBER(G1010)),NOT(ISNUMBER(H1010))),"",H1010-G1010)</f>
        <v/>
      </c>
      <c r="J1010" s="319">
        <f>IF(OR(NOT(ISNUMBER(G1010)),NOT(ISNUMBER(H1010)),G1010=0),"",I1010/G1010)</f>
        <v/>
      </c>
      <c r="K1010" s="319">
        <f>IF(OR(NOT(ISNUMBER(G1010)),NOT(ISNUMBER(H1010)),G1010=0),"",H1010/G1010)</f>
        <v/>
      </c>
      <c r="L1010">
        <f>IF(NOT(ISNUMBER(G1010)),"SEM META",IF(G1010=0,"SEM META",IF(NOT(ISNUMBER(H1010)),"SEM APONTAMENTO",IF(H1010&gt;=G1010,"VERDE",IF(H1010&gt;=G1010*0.9,"AMARELO","VERMELHO")))))</f>
        <v/>
      </c>
      <c r="M1010" s="162" t="n"/>
      <c r="N1010" s="162" t="n"/>
      <c r="O1010" s="162" t="n"/>
      <c r="P1010" s="162" t="n"/>
      <c r="Q1010" s="320" t="n"/>
      <c r="R1010" s="162" t="inlineStr">
        <is>
          <t>CONTROLE PRODUÇÃO POR EMPRESAS!B174</t>
        </is>
      </c>
    </row>
    <row r="1011" ht="28.5" customHeight="1">
      <c r="A1011" s="317" t="n">
        <v>46391</v>
      </c>
      <c r="B1011" t="inlineStr">
        <is>
          <t>GERAL</t>
        </is>
      </c>
      <c r="C1011" t="inlineStr">
        <is>
          <t>EJ</t>
        </is>
      </c>
      <c r="D1011" t="inlineStr">
        <is>
          <t>IÇAMENTO JOIST</t>
        </is>
      </c>
      <c r="F1011" s="159">
        <f>IFERROR(INDEX('BASE METAS DIÁRIAS'!$N$2:$S$358,MATCH($A1011,'BASE METAS DIÁRIAS'!$A$2:$A$358,0),MOD(ROW()-2,6)+1),"")</f>
        <v/>
      </c>
      <c r="G1011" s="159">
        <f>IFERROR(IF(WEEKDAY($A1011,2)&lt;=INDEX('BASE METAS DIÁRIAS'!$H$2:$M$358,MATCH($A1011,'BASE METAS DIÁRIAS'!$A$2:$A$358,0),MOD(ROW()-2,6)+1),INDEX('BASE METAS DIÁRIAS'!$B$2:$G$358,MATCH($A1011,'BASE METAS DIÁRIAS'!$A$2:$A$358,0),MOD(ROW()-2,6)+1),""),"")</f>
        <v/>
      </c>
      <c r="H1011" s="159">
        <f>IFERROR(IF(INDEX('CONTROLE PRODUÇÃO POR EMPRESAS'!$B$6:$G$5000,MATCH($A1011,'CONTROLE PRODUÇÃO POR EMPRESAS'!$A$6:$A$5000,0),MOD(ROW()-2,6)+1)="","",IFERROR(1*INDEX('CONTROLE PRODUÇÃO POR EMPRESAS'!$B$6:$G$5000,MATCH($A1011,'CONTROLE PRODUÇÃO POR EMPRESAS'!$A$6:$A$5000,0),MOD(ROW()-2,6)+1),"")),"")</f>
        <v/>
      </c>
      <c r="I1011" s="159">
        <f>IF(OR(NOT(ISNUMBER(G1011)),NOT(ISNUMBER(H1011))),"",H1011-G1011)</f>
        <v/>
      </c>
      <c r="J1011" s="319">
        <f>IF(OR(NOT(ISNUMBER(G1011)),NOT(ISNUMBER(H1011)),G1011=0),"",I1011/G1011)</f>
        <v/>
      </c>
      <c r="K1011" s="319">
        <f>IF(OR(NOT(ISNUMBER(G1011)),NOT(ISNUMBER(H1011)),G1011=0),"",H1011/G1011)</f>
        <v/>
      </c>
      <c r="L1011">
        <f>IF(NOT(ISNUMBER(G1011)),"SEM META",IF(G1011=0,"SEM META",IF(NOT(ISNUMBER(H1011)),"SEM APONTAMENTO",IF(H1011&gt;=G1011,"VERDE",IF(H1011&gt;=G1011*0.9,"AMARELO","VERMELHO")))))</f>
        <v/>
      </c>
      <c r="M1011" s="162" t="n"/>
      <c r="N1011" s="162" t="n"/>
      <c r="O1011" s="162" t="n"/>
      <c r="P1011" s="162" t="n"/>
      <c r="Q1011" s="320" t="n"/>
      <c r="R1011" s="162" t="inlineStr">
        <is>
          <t>CONTROLE PRODUÇÃO POR EMPRESAS!C174</t>
        </is>
      </c>
    </row>
    <row r="1012" ht="28.5" customHeight="1">
      <c r="A1012" s="317" t="n">
        <v>46391</v>
      </c>
      <c r="B1012" t="inlineStr">
        <is>
          <t>GERAL</t>
        </is>
      </c>
      <c r="C1012" t="inlineStr">
        <is>
          <t>EJ</t>
        </is>
      </c>
      <c r="D1012" t="inlineStr">
        <is>
          <t>VIGAS</t>
        </is>
      </c>
      <c r="F1012" s="159">
        <f>IFERROR(INDEX('BASE METAS DIÁRIAS'!$N$2:$S$358,MATCH($A1012,'BASE METAS DIÁRIAS'!$A$2:$A$358,0),MOD(ROW()-2,6)+1),"")</f>
        <v/>
      </c>
      <c r="G1012" s="159">
        <f>IFERROR(IF(WEEKDAY($A1012,2)&lt;=INDEX('BASE METAS DIÁRIAS'!$H$2:$M$358,MATCH($A1012,'BASE METAS DIÁRIAS'!$A$2:$A$358,0),MOD(ROW()-2,6)+1),INDEX('BASE METAS DIÁRIAS'!$B$2:$G$358,MATCH($A1012,'BASE METAS DIÁRIAS'!$A$2:$A$358,0),MOD(ROW()-2,6)+1),""),"")</f>
        <v/>
      </c>
      <c r="H1012" s="159">
        <f>IFERROR(IF(INDEX('CONTROLE PRODUÇÃO POR EMPRESAS'!$B$6:$G$5000,MATCH($A1012,'CONTROLE PRODUÇÃO POR EMPRESAS'!$A$6:$A$5000,0),MOD(ROW()-2,6)+1)="","",IFERROR(1*INDEX('CONTROLE PRODUÇÃO POR EMPRESAS'!$B$6:$G$5000,MATCH($A1012,'CONTROLE PRODUÇÃO POR EMPRESAS'!$A$6:$A$5000,0),MOD(ROW()-2,6)+1),"")),"")</f>
        <v/>
      </c>
      <c r="I1012" s="159">
        <f>IF(OR(NOT(ISNUMBER(G1012)),NOT(ISNUMBER(H1012))),"",H1012-G1012)</f>
        <v/>
      </c>
      <c r="J1012" s="319">
        <f>IF(OR(NOT(ISNUMBER(G1012)),NOT(ISNUMBER(H1012)),G1012=0),"",I1012/G1012)</f>
        <v/>
      </c>
      <c r="K1012" s="319">
        <f>IF(OR(NOT(ISNUMBER(G1012)),NOT(ISNUMBER(H1012)),G1012=0),"",H1012/G1012)</f>
        <v/>
      </c>
      <c r="L1012">
        <f>IF(NOT(ISNUMBER(G1012)),"SEM META",IF(G1012=0,"SEM META",IF(NOT(ISNUMBER(H1012)),"SEM APONTAMENTO",IF(H1012&gt;=G1012,"VERDE",IF(H1012&gt;=G1012*0.9,"AMARELO","VERMELHO")))))</f>
        <v/>
      </c>
      <c r="M1012" s="162" t="n"/>
      <c r="N1012" s="162" t="n"/>
      <c r="O1012" s="162" t="n"/>
      <c r="P1012" s="162" t="n"/>
      <c r="Q1012" s="320" t="n"/>
      <c r="R1012" s="162" t="inlineStr">
        <is>
          <t>CONTROLE PRODUÇÃO POR EMPRESAS!D174</t>
        </is>
      </c>
    </row>
    <row r="1013" ht="28.5" customHeight="1">
      <c r="A1013" s="317" t="n">
        <v>46391</v>
      </c>
      <c r="B1013" t="inlineStr">
        <is>
          <t>GERAL</t>
        </is>
      </c>
      <c r="C1013" t="inlineStr">
        <is>
          <t>CMM</t>
        </is>
      </c>
      <c r="D1013" t="inlineStr">
        <is>
          <t>PREMONTAGEM</t>
        </is>
      </c>
      <c r="F1013" s="159">
        <f>IFERROR(INDEX('BASE METAS DIÁRIAS'!$N$2:$S$358,MATCH($A1013,'BASE METAS DIÁRIAS'!$A$2:$A$358,0),MOD(ROW()-2,6)+1),"")</f>
        <v/>
      </c>
      <c r="G1013" s="159">
        <f>IFERROR(IF(WEEKDAY($A1013,2)&lt;=INDEX('BASE METAS DIÁRIAS'!$H$2:$M$358,MATCH($A1013,'BASE METAS DIÁRIAS'!$A$2:$A$358,0),MOD(ROW()-2,6)+1),INDEX('BASE METAS DIÁRIAS'!$B$2:$G$358,MATCH($A1013,'BASE METAS DIÁRIAS'!$A$2:$A$358,0),MOD(ROW()-2,6)+1),""),"")</f>
        <v/>
      </c>
      <c r="H1013" s="159">
        <f>IFERROR(IF(INDEX('CONTROLE PRODUÇÃO POR EMPRESAS'!$B$6:$G$5000,MATCH($A1013,'CONTROLE PRODUÇÃO POR EMPRESAS'!$A$6:$A$5000,0),MOD(ROW()-2,6)+1)="","",IFERROR(1*INDEX('CONTROLE PRODUÇÃO POR EMPRESAS'!$B$6:$G$5000,MATCH($A1013,'CONTROLE PRODUÇÃO POR EMPRESAS'!$A$6:$A$5000,0),MOD(ROW()-2,6)+1),"")),"")</f>
        <v/>
      </c>
      <c r="I1013" s="159">
        <f>IF(OR(NOT(ISNUMBER(G1013)),NOT(ISNUMBER(H1013))),"",H1013-G1013)</f>
        <v/>
      </c>
      <c r="J1013" s="319">
        <f>IF(OR(NOT(ISNUMBER(G1013)),NOT(ISNUMBER(H1013)),G1013=0),"",I1013/G1013)</f>
        <v/>
      </c>
      <c r="K1013" s="319">
        <f>IF(OR(NOT(ISNUMBER(G1013)),NOT(ISNUMBER(H1013)),G1013=0),"",H1013/G1013)</f>
        <v/>
      </c>
      <c r="L1013">
        <f>IF(NOT(ISNUMBER(G1013)),"SEM META",IF(G1013=0,"SEM META",IF(NOT(ISNUMBER(H1013)),"SEM APONTAMENTO",IF(H1013&gt;=G1013,"VERDE",IF(H1013&gt;=G1013*0.9,"AMARELO","VERMELHO")))))</f>
        <v/>
      </c>
      <c r="M1013" s="162" t="n"/>
      <c r="N1013" s="162" t="n"/>
      <c r="O1013" s="162" t="n"/>
      <c r="P1013" s="162" t="n"/>
      <c r="Q1013" s="320" t="n"/>
      <c r="R1013" s="162" t="inlineStr">
        <is>
          <t>CONTROLE PRODUÇÃO POR EMPRESAS!E174</t>
        </is>
      </c>
    </row>
    <row r="1014" ht="28.5" customHeight="1">
      <c r="A1014" s="317" t="n">
        <v>46391</v>
      </c>
      <c r="B1014" t="inlineStr">
        <is>
          <t>GERAL</t>
        </is>
      </c>
      <c r="C1014" t="inlineStr">
        <is>
          <t>CMM</t>
        </is>
      </c>
      <c r="D1014" t="inlineStr">
        <is>
          <t>IÇAMENTO JOIST</t>
        </is>
      </c>
      <c r="F1014" s="159">
        <f>IFERROR(INDEX('BASE METAS DIÁRIAS'!$N$2:$S$358,MATCH($A1014,'BASE METAS DIÁRIAS'!$A$2:$A$358,0),MOD(ROW()-2,6)+1),"")</f>
        <v/>
      </c>
      <c r="G1014" s="159">
        <f>IFERROR(IF(WEEKDAY($A1014,2)&lt;=INDEX('BASE METAS DIÁRIAS'!$H$2:$M$358,MATCH($A1014,'BASE METAS DIÁRIAS'!$A$2:$A$358,0),MOD(ROW()-2,6)+1),INDEX('BASE METAS DIÁRIAS'!$B$2:$G$358,MATCH($A1014,'BASE METAS DIÁRIAS'!$A$2:$A$358,0),MOD(ROW()-2,6)+1),""),"")</f>
        <v/>
      </c>
      <c r="H1014" s="159">
        <f>IFERROR(IF(INDEX('CONTROLE PRODUÇÃO POR EMPRESAS'!$B$6:$G$5000,MATCH($A1014,'CONTROLE PRODUÇÃO POR EMPRESAS'!$A$6:$A$5000,0),MOD(ROW()-2,6)+1)="","",IFERROR(1*INDEX('CONTROLE PRODUÇÃO POR EMPRESAS'!$B$6:$G$5000,MATCH($A1014,'CONTROLE PRODUÇÃO POR EMPRESAS'!$A$6:$A$5000,0),MOD(ROW()-2,6)+1),"")),"")</f>
        <v/>
      </c>
      <c r="I1014" s="159">
        <f>IF(OR(NOT(ISNUMBER(G1014)),NOT(ISNUMBER(H1014))),"",H1014-G1014)</f>
        <v/>
      </c>
      <c r="J1014" s="319">
        <f>IF(OR(NOT(ISNUMBER(G1014)),NOT(ISNUMBER(H1014)),G1014=0),"",I1014/G1014)</f>
        <v/>
      </c>
      <c r="K1014" s="319">
        <f>IF(OR(NOT(ISNUMBER(G1014)),NOT(ISNUMBER(H1014)),G1014=0),"",H1014/G1014)</f>
        <v/>
      </c>
      <c r="L1014">
        <f>IF(NOT(ISNUMBER(G1014)),"SEM META",IF(G1014=0,"SEM META",IF(NOT(ISNUMBER(H1014)),"SEM APONTAMENTO",IF(H1014&gt;=G1014,"VERDE",IF(H1014&gt;=G1014*0.9,"AMARELO","VERMELHO")))))</f>
        <v/>
      </c>
      <c r="M1014" s="162" t="n"/>
      <c r="N1014" s="162" t="n"/>
      <c r="O1014" s="162" t="n"/>
      <c r="P1014" s="162" t="n"/>
      <c r="Q1014" s="320" t="n"/>
      <c r="R1014" s="162" t="inlineStr">
        <is>
          <t>CONTROLE PRODUÇÃO POR EMPRESAS!F174</t>
        </is>
      </c>
    </row>
    <row r="1015" ht="28.5" customHeight="1">
      <c r="A1015" s="317" t="n">
        <v>46391</v>
      </c>
      <c r="B1015" t="inlineStr">
        <is>
          <t>GERAL</t>
        </is>
      </c>
      <c r="C1015" t="inlineStr">
        <is>
          <t>CMM</t>
        </is>
      </c>
      <c r="D1015" t="inlineStr">
        <is>
          <t>VIGAS</t>
        </is>
      </c>
      <c r="F1015" s="159">
        <f>IFERROR(INDEX('BASE METAS DIÁRIAS'!$N$2:$S$358,MATCH($A1015,'BASE METAS DIÁRIAS'!$A$2:$A$358,0),MOD(ROW()-2,6)+1),"")</f>
        <v/>
      </c>
      <c r="G1015" s="159">
        <f>IFERROR(IF(WEEKDAY($A1015,2)&lt;=INDEX('BASE METAS DIÁRIAS'!$H$2:$M$358,MATCH($A1015,'BASE METAS DIÁRIAS'!$A$2:$A$358,0),MOD(ROW()-2,6)+1),INDEX('BASE METAS DIÁRIAS'!$B$2:$G$358,MATCH($A1015,'BASE METAS DIÁRIAS'!$A$2:$A$358,0),MOD(ROW()-2,6)+1),""),"")</f>
        <v/>
      </c>
      <c r="H1015" s="159">
        <f>IFERROR(IF(INDEX('CONTROLE PRODUÇÃO POR EMPRESAS'!$B$6:$G$5000,MATCH($A1015,'CONTROLE PRODUÇÃO POR EMPRESAS'!$A$6:$A$5000,0),MOD(ROW()-2,6)+1)="","",IFERROR(1*INDEX('CONTROLE PRODUÇÃO POR EMPRESAS'!$B$6:$G$5000,MATCH($A1015,'CONTROLE PRODUÇÃO POR EMPRESAS'!$A$6:$A$5000,0),MOD(ROW()-2,6)+1),"")),"")</f>
        <v/>
      </c>
      <c r="I1015" s="159">
        <f>IF(OR(NOT(ISNUMBER(G1015)),NOT(ISNUMBER(H1015))),"",H1015-G1015)</f>
        <v/>
      </c>
      <c r="J1015" s="319">
        <f>IF(OR(NOT(ISNUMBER(G1015)),NOT(ISNUMBER(H1015)),G1015=0),"",I1015/G1015)</f>
        <v/>
      </c>
      <c r="K1015" s="319">
        <f>IF(OR(NOT(ISNUMBER(G1015)),NOT(ISNUMBER(H1015)),G1015=0),"",H1015/G1015)</f>
        <v/>
      </c>
      <c r="L1015">
        <f>IF(NOT(ISNUMBER(G1015)),"SEM META",IF(G1015=0,"SEM META",IF(NOT(ISNUMBER(H1015)),"SEM APONTAMENTO",IF(H1015&gt;=G1015,"VERDE",IF(H1015&gt;=G1015*0.9,"AMARELO","VERMELHO")))))</f>
        <v/>
      </c>
      <c r="M1015" s="162" t="n"/>
      <c r="N1015" s="162" t="n"/>
      <c r="O1015" s="162" t="n"/>
      <c r="P1015" s="162" t="n"/>
      <c r="Q1015" s="320" t="n"/>
      <c r="R1015" s="162" t="inlineStr">
        <is>
          <t>CONTROLE PRODUÇÃO POR EMPRESAS!G174</t>
        </is>
      </c>
    </row>
    <row r="1016" ht="28.5" customHeight="1">
      <c r="A1016" s="317" t="n">
        <v>46392</v>
      </c>
      <c r="B1016" t="inlineStr">
        <is>
          <t>GERAL</t>
        </is>
      </c>
      <c r="C1016" t="inlineStr">
        <is>
          <t>EJ</t>
        </is>
      </c>
      <c r="D1016" t="inlineStr">
        <is>
          <t>PREMONTAGEM</t>
        </is>
      </c>
      <c r="F1016" s="159">
        <f>IFERROR(INDEX('BASE METAS DIÁRIAS'!$N$2:$S$358,MATCH($A1016,'BASE METAS DIÁRIAS'!$A$2:$A$358,0),MOD(ROW()-2,6)+1),"")</f>
        <v/>
      </c>
      <c r="G1016" s="159">
        <f>IFERROR(IF(WEEKDAY($A1016,2)&lt;=INDEX('BASE METAS DIÁRIAS'!$H$2:$M$358,MATCH($A1016,'BASE METAS DIÁRIAS'!$A$2:$A$358,0),MOD(ROW()-2,6)+1),INDEX('BASE METAS DIÁRIAS'!$B$2:$G$358,MATCH($A1016,'BASE METAS DIÁRIAS'!$A$2:$A$358,0),MOD(ROW()-2,6)+1),""),"")</f>
        <v/>
      </c>
      <c r="H1016" s="159">
        <f>IFERROR(IF(INDEX('CONTROLE PRODUÇÃO POR EMPRESAS'!$B$6:$G$5000,MATCH($A1016,'CONTROLE PRODUÇÃO POR EMPRESAS'!$A$6:$A$5000,0),MOD(ROW()-2,6)+1)="","",IFERROR(1*INDEX('CONTROLE PRODUÇÃO POR EMPRESAS'!$B$6:$G$5000,MATCH($A1016,'CONTROLE PRODUÇÃO POR EMPRESAS'!$A$6:$A$5000,0),MOD(ROW()-2,6)+1),"")),"")</f>
        <v/>
      </c>
      <c r="I1016" s="159">
        <f>IF(OR(NOT(ISNUMBER(G1016)),NOT(ISNUMBER(H1016))),"",H1016-G1016)</f>
        <v/>
      </c>
      <c r="J1016" s="319">
        <f>IF(OR(NOT(ISNUMBER(G1016)),NOT(ISNUMBER(H1016)),G1016=0),"",I1016/G1016)</f>
        <v/>
      </c>
      <c r="K1016" s="319">
        <f>IF(OR(NOT(ISNUMBER(G1016)),NOT(ISNUMBER(H1016)),G1016=0),"",H1016/G1016)</f>
        <v/>
      </c>
      <c r="L1016">
        <f>IF(NOT(ISNUMBER(G1016)),"SEM META",IF(G1016=0,"SEM META",IF(NOT(ISNUMBER(H1016)),"SEM APONTAMENTO",IF(H1016&gt;=G1016,"VERDE",IF(H1016&gt;=G1016*0.9,"AMARELO","VERMELHO")))))</f>
        <v/>
      </c>
      <c r="M1016" s="162" t="n"/>
      <c r="N1016" s="162" t="n"/>
      <c r="O1016" s="162" t="n"/>
      <c r="P1016" s="162" t="n"/>
      <c r="Q1016" s="320" t="n"/>
      <c r="R1016" s="162" t="inlineStr">
        <is>
          <t>CONTROLE PRODUÇÃO POR EMPRESAS!B175</t>
        </is>
      </c>
    </row>
    <row r="1017" ht="28.5" customHeight="1">
      <c r="A1017" s="317" t="n">
        <v>46392</v>
      </c>
      <c r="B1017" t="inlineStr">
        <is>
          <t>GERAL</t>
        </is>
      </c>
      <c r="C1017" t="inlineStr">
        <is>
          <t>EJ</t>
        </is>
      </c>
      <c r="D1017" t="inlineStr">
        <is>
          <t>IÇAMENTO JOIST</t>
        </is>
      </c>
      <c r="F1017" s="159">
        <f>IFERROR(INDEX('BASE METAS DIÁRIAS'!$N$2:$S$358,MATCH($A1017,'BASE METAS DIÁRIAS'!$A$2:$A$358,0),MOD(ROW()-2,6)+1),"")</f>
        <v/>
      </c>
      <c r="G1017" s="159">
        <f>IFERROR(IF(WEEKDAY($A1017,2)&lt;=INDEX('BASE METAS DIÁRIAS'!$H$2:$M$358,MATCH($A1017,'BASE METAS DIÁRIAS'!$A$2:$A$358,0),MOD(ROW()-2,6)+1),INDEX('BASE METAS DIÁRIAS'!$B$2:$G$358,MATCH($A1017,'BASE METAS DIÁRIAS'!$A$2:$A$358,0),MOD(ROW()-2,6)+1),""),"")</f>
        <v/>
      </c>
      <c r="H1017" s="159">
        <f>IFERROR(IF(INDEX('CONTROLE PRODUÇÃO POR EMPRESAS'!$B$6:$G$5000,MATCH($A1017,'CONTROLE PRODUÇÃO POR EMPRESAS'!$A$6:$A$5000,0),MOD(ROW()-2,6)+1)="","",IFERROR(1*INDEX('CONTROLE PRODUÇÃO POR EMPRESAS'!$B$6:$G$5000,MATCH($A1017,'CONTROLE PRODUÇÃO POR EMPRESAS'!$A$6:$A$5000,0),MOD(ROW()-2,6)+1),"")),"")</f>
        <v/>
      </c>
      <c r="I1017" s="159">
        <f>IF(OR(NOT(ISNUMBER(G1017)),NOT(ISNUMBER(H1017))),"",H1017-G1017)</f>
        <v/>
      </c>
      <c r="J1017" s="319">
        <f>IF(OR(NOT(ISNUMBER(G1017)),NOT(ISNUMBER(H1017)),G1017=0),"",I1017/G1017)</f>
        <v/>
      </c>
      <c r="K1017" s="319">
        <f>IF(OR(NOT(ISNUMBER(G1017)),NOT(ISNUMBER(H1017)),G1017=0),"",H1017/G1017)</f>
        <v/>
      </c>
      <c r="L1017">
        <f>IF(NOT(ISNUMBER(G1017)),"SEM META",IF(G1017=0,"SEM META",IF(NOT(ISNUMBER(H1017)),"SEM APONTAMENTO",IF(H1017&gt;=G1017,"VERDE",IF(H1017&gt;=G1017*0.9,"AMARELO","VERMELHO")))))</f>
        <v/>
      </c>
      <c r="M1017" s="162" t="n"/>
      <c r="N1017" s="162" t="n"/>
      <c r="O1017" s="162" t="n"/>
      <c r="P1017" s="162" t="n"/>
      <c r="Q1017" s="320" t="n"/>
      <c r="R1017" s="162" t="inlineStr">
        <is>
          <t>CONTROLE PRODUÇÃO POR EMPRESAS!C175</t>
        </is>
      </c>
    </row>
    <row r="1018" ht="28.5" customHeight="1">
      <c r="A1018" s="317" t="n">
        <v>46392</v>
      </c>
      <c r="B1018" t="inlineStr">
        <is>
          <t>GERAL</t>
        </is>
      </c>
      <c r="C1018" t="inlineStr">
        <is>
          <t>EJ</t>
        </is>
      </c>
      <c r="D1018" t="inlineStr">
        <is>
          <t>VIGAS</t>
        </is>
      </c>
      <c r="F1018" s="159">
        <f>IFERROR(INDEX('BASE METAS DIÁRIAS'!$N$2:$S$358,MATCH($A1018,'BASE METAS DIÁRIAS'!$A$2:$A$358,0),MOD(ROW()-2,6)+1),"")</f>
        <v/>
      </c>
      <c r="G1018" s="159">
        <f>IFERROR(IF(WEEKDAY($A1018,2)&lt;=INDEX('BASE METAS DIÁRIAS'!$H$2:$M$358,MATCH($A1018,'BASE METAS DIÁRIAS'!$A$2:$A$358,0),MOD(ROW()-2,6)+1),INDEX('BASE METAS DIÁRIAS'!$B$2:$G$358,MATCH($A1018,'BASE METAS DIÁRIAS'!$A$2:$A$358,0),MOD(ROW()-2,6)+1),""),"")</f>
        <v/>
      </c>
      <c r="H1018" s="159">
        <f>IFERROR(IF(INDEX('CONTROLE PRODUÇÃO POR EMPRESAS'!$B$6:$G$5000,MATCH($A1018,'CONTROLE PRODUÇÃO POR EMPRESAS'!$A$6:$A$5000,0),MOD(ROW()-2,6)+1)="","",IFERROR(1*INDEX('CONTROLE PRODUÇÃO POR EMPRESAS'!$B$6:$G$5000,MATCH($A1018,'CONTROLE PRODUÇÃO POR EMPRESAS'!$A$6:$A$5000,0),MOD(ROW()-2,6)+1),"")),"")</f>
        <v/>
      </c>
      <c r="I1018" s="159">
        <f>IF(OR(NOT(ISNUMBER(G1018)),NOT(ISNUMBER(H1018))),"",H1018-G1018)</f>
        <v/>
      </c>
      <c r="J1018" s="319">
        <f>IF(OR(NOT(ISNUMBER(G1018)),NOT(ISNUMBER(H1018)),G1018=0),"",I1018/G1018)</f>
        <v/>
      </c>
      <c r="K1018" s="319">
        <f>IF(OR(NOT(ISNUMBER(G1018)),NOT(ISNUMBER(H1018)),G1018=0),"",H1018/G1018)</f>
        <v/>
      </c>
      <c r="L1018">
        <f>IF(NOT(ISNUMBER(G1018)),"SEM META",IF(G1018=0,"SEM META",IF(NOT(ISNUMBER(H1018)),"SEM APONTAMENTO",IF(H1018&gt;=G1018,"VERDE",IF(H1018&gt;=G1018*0.9,"AMARELO","VERMELHO")))))</f>
        <v/>
      </c>
      <c r="M1018" s="162" t="n"/>
      <c r="N1018" s="162" t="n"/>
      <c r="O1018" s="162" t="n"/>
      <c r="P1018" s="162" t="n"/>
      <c r="Q1018" s="320" t="n"/>
      <c r="R1018" s="162" t="inlineStr">
        <is>
          <t>CONTROLE PRODUÇÃO POR EMPRESAS!D175</t>
        </is>
      </c>
    </row>
    <row r="1019" ht="28.5" customHeight="1">
      <c r="A1019" s="317" t="n">
        <v>46392</v>
      </c>
      <c r="B1019" t="inlineStr">
        <is>
          <t>GERAL</t>
        </is>
      </c>
      <c r="C1019" t="inlineStr">
        <is>
          <t>CMM</t>
        </is>
      </c>
      <c r="D1019" t="inlineStr">
        <is>
          <t>PREMONTAGEM</t>
        </is>
      </c>
      <c r="F1019" s="159">
        <f>IFERROR(INDEX('BASE METAS DIÁRIAS'!$N$2:$S$358,MATCH($A1019,'BASE METAS DIÁRIAS'!$A$2:$A$358,0),MOD(ROW()-2,6)+1),"")</f>
        <v/>
      </c>
      <c r="G1019" s="159">
        <f>IFERROR(IF(WEEKDAY($A1019,2)&lt;=INDEX('BASE METAS DIÁRIAS'!$H$2:$M$358,MATCH($A1019,'BASE METAS DIÁRIAS'!$A$2:$A$358,0),MOD(ROW()-2,6)+1),INDEX('BASE METAS DIÁRIAS'!$B$2:$G$358,MATCH($A1019,'BASE METAS DIÁRIAS'!$A$2:$A$358,0),MOD(ROW()-2,6)+1),""),"")</f>
        <v/>
      </c>
      <c r="H1019" s="159">
        <f>IFERROR(IF(INDEX('CONTROLE PRODUÇÃO POR EMPRESAS'!$B$6:$G$5000,MATCH($A1019,'CONTROLE PRODUÇÃO POR EMPRESAS'!$A$6:$A$5000,0),MOD(ROW()-2,6)+1)="","",IFERROR(1*INDEX('CONTROLE PRODUÇÃO POR EMPRESAS'!$B$6:$G$5000,MATCH($A1019,'CONTROLE PRODUÇÃO POR EMPRESAS'!$A$6:$A$5000,0),MOD(ROW()-2,6)+1),"")),"")</f>
        <v/>
      </c>
      <c r="I1019" s="159">
        <f>IF(OR(NOT(ISNUMBER(G1019)),NOT(ISNUMBER(H1019))),"",H1019-G1019)</f>
        <v/>
      </c>
      <c r="J1019" s="319">
        <f>IF(OR(NOT(ISNUMBER(G1019)),NOT(ISNUMBER(H1019)),G1019=0),"",I1019/G1019)</f>
        <v/>
      </c>
      <c r="K1019" s="319">
        <f>IF(OR(NOT(ISNUMBER(G1019)),NOT(ISNUMBER(H1019)),G1019=0),"",H1019/G1019)</f>
        <v/>
      </c>
      <c r="L1019">
        <f>IF(NOT(ISNUMBER(G1019)),"SEM META",IF(G1019=0,"SEM META",IF(NOT(ISNUMBER(H1019)),"SEM APONTAMENTO",IF(H1019&gt;=G1019,"VERDE",IF(H1019&gt;=G1019*0.9,"AMARELO","VERMELHO")))))</f>
        <v/>
      </c>
      <c r="M1019" s="162" t="n"/>
      <c r="N1019" s="162" t="n"/>
      <c r="O1019" s="162" t="n"/>
      <c r="P1019" s="162" t="n"/>
      <c r="Q1019" s="320" t="n"/>
      <c r="R1019" s="162" t="inlineStr">
        <is>
          <t>CONTROLE PRODUÇÃO POR EMPRESAS!E175</t>
        </is>
      </c>
    </row>
    <row r="1020" ht="28.5" customHeight="1">
      <c r="A1020" s="317" t="n">
        <v>46392</v>
      </c>
      <c r="B1020" t="inlineStr">
        <is>
          <t>GERAL</t>
        </is>
      </c>
      <c r="C1020" t="inlineStr">
        <is>
          <t>CMM</t>
        </is>
      </c>
      <c r="D1020" t="inlineStr">
        <is>
          <t>IÇAMENTO JOIST</t>
        </is>
      </c>
      <c r="F1020" s="159">
        <f>IFERROR(INDEX('BASE METAS DIÁRIAS'!$N$2:$S$358,MATCH($A1020,'BASE METAS DIÁRIAS'!$A$2:$A$358,0),MOD(ROW()-2,6)+1),"")</f>
        <v/>
      </c>
      <c r="G1020" s="159">
        <f>IFERROR(IF(WEEKDAY($A1020,2)&lt;=INDEX('BASE METAS DIÁRIAS'!$H$2:$M$358,MATCH($A1020,'BASE METAS DIÁRIAS'!$A$2:$A$358,0),MOD(ROW()-2,6)+1),INDEX('BASE METAS DIÁRIAS'!$B$2:$G$358,MATCH($A1020,'BASE METAS DIÁRIAS'!$A$2:$A$358,0),MOD(ROW()-2,6)+1),""),"")</f>
        <v/>
      </c>
      <c r="H1020" s="159">
        <f>IFERROR(IF(INDEX('CONTROLE PRODUÇÃO POR EMPRESAS'!$B$6:$G$5000,MATCH($A1020,'CONTROLE PRODUÇÃO POR EMPRESAS'!$A$6:$A$5000,0),MOD(ROW()-2,6)+1)="","",IFERROR(1*INDEX('CONTROLE PRODUÇÃO POR EMPRESAS'!$B$6:$G$5000,MATCH($A1020,'CONTROLE PRODUÇÃO POR EMPRESAS'!$A$6:$A$5000,0),MOD(ROW()-2,6)+1),"")),"")</f>
        <v/>
      </c>
      <c r="I1020" s="159">
        <f>IF(OR(NOT(ISNUMBER(G1020)),NOT(ISNUMBER(H1020))),"",H1020-G1020)</f>
        <v/>
      </c>
      <c r="J1020" s="319">
        <f>IF(OR(NOT(ISNUMBER(G1020)),NOT(ISNUMBER(H1020)),G1020=0),"",I1020/G1020)</f>
        <v/>
      </c>
      <c r="K1020" s="319">
        <f>IF(OR(NOT(ISNUMBER(G1020)),NOT(ISNUMBER(H1020)),G1020=0),"",H1020/G1020)</f>
        <v/>
      </c>
      <c r="L1020">
        <f>IF(NOT(ISNUMBER(G1020)),"SEM META",IF(G1020=0,"SEM META",IF(NOT(ISNUMBER(H1020)),"SEM APONTAMENTO",IF(H1020&gt;=G1020,"VERDE",IF(H1020&gt;=G1020*0.9,"AMARELO","VERMELHO")))))</f>
        <v/>
      </c>
      <c r="M1020" s="162" t="n"/>
      <c r="N1020" s="162" t="n"/>
      <c r="O1020" s="162" t="n"/>
      <c r="P1020" s="162" t="n"/>
      <c r="Q1020" s="320" t="n"/>
      <c r="R1020" s="162" t="inlineStr">
        <is>
          <t>CONTROLE PRODUÇÃO POR EMPRESAS!F175</t>
        </is>
      </c>
    </row>
    <row r="1021" ht="28.5" customHeight="1">
      <c r="A1021" s="317" t="n">
        <v>46392</v>
      </c>
      <c r="B1021" t="inlineStr">
        <is>
          <t>GERAL</t>
        </is>
      </c>
      <c r="C1021" t="inlineStr">
        <is>
          <t>CMM</t>
        </is>
      </c>
      <c r="D1021" t="inlineStr">
        <is>
          <t>VIGAS</t>
        </is>
      </c>
      <c r="F1021" s="159">
        <f>IFERROR(INDEX('BASE METAS DIÁRIAS'!$N$2:$S$358,MATCH($A1021,'BASE METAS DIÁRIAS'!$A$2:$A$358,0),MOD(ROW()-2,6)+1),"")</f>
        <v/>
      </c>
      <c r="G1021" s="159">
        <f>IFERROR(IF(WEEKDAY($A1021,2)&lt;=INDEX('BASE METAS DIÁRIAS'!$H$2:$M$358,MATCH($A1021,'BASE METAS DIÁRIAS'!$A$2:$A$358,0),MOD(ROW()-2,6)+1),INDEX('BASE METAS DIÁRIAS'!$B$2:$G$358,MATCH($A1021,'BASE METAS DIÁRIAS'!$A$2:$A$358,0),MOD(ROW()-2,6)+1),""),"")</f>
        <v/>
      </c>
      <c r="H1021" s="159">
        <f>IFERROR(IF(INDEX('CONTROLE PRODUÇÃO POR EMPRESAS'!$B$6:$G$5000,MATCH($A1021,'CONTROLE PRODUÇÃO POR EMPRESAS'!$A$6:$A$5000,0),MOD(ROW()-2,6)+1)="","",IFERROR(1*INDEX('CONTROLE PRODUÇÃO POR EMPRESAS'!$B$6:$G$5000,MATCH($A1021,'CONTROLE PRODUÇÃO POR EMPRESAS'!$A$6:$A$5000,0),MOD(ROW()-2,6)+1),"")),"")</f>
        <v/>
      </c>
      <c r="I1021" s="159">
        <f>IF(OR(NOT(ISNUMBER(G1021)),NOT(ISNUMBER(H1021))),"",H1021-G1021)</f>
        <v/>
      </c>
      <c r="J1021" s="319">
        <f>IF(OR(NOT(ISNUMBER(G1021)),NOT(ISNUMBER(H1021)),G1021=0),"",I1021/G1021)</f>
        <v/>
      </c>
      <c r="K1021" s="319">
        <f>IF(OR(NOT(ISNUMBER(G1021)),NOT(ISNUMBER(H1021)),G1021=0),"",H1021/G1021)</f>
        <v/>
      </c>
      <c r="L1021">
        <f>IF(NOT(ISNUMBER(G1021)),"SEM META",IF(G1021=0,"SEM META",IF(NOT(ISNUMBER(H1021)),"SEM APONTAMENTO",IF(H1021&gt;=G1021,"VERDE",IF(H1021&gt;=G1021*0.9,"AMARELO","VERMELHO")))))</f>
        <v/>
      </c>
      <c r="M1021" s="162" t="n"/>
      <c r="N1021" s="162" t="n"/>
      <c r="O1021" s="162" t="n"/>
      <c r="P1021" s="162" t="n"/>
      <c r="Q1021" s="320" t="n"/>
      <c r="R1021" s="162" t="inlineStr">
        <is>
          <t>CONTROLE PRODUÇÃO POR EMPRESAS!G175</t>
        </is>
      </c>
    </row>
    <row r="1022" ht="28.5" customHeight="1">
      <c r="A1022" s="317" t="n">
        <v>46393</v>
      </c>
      <c r="B1022" t="inlineStr">
        <is>
          <t>GERAL</t>
        </is>
      </c>
      <c r="C1022" t="inlineStr">
        <is>
          <t>EJ</t>
        </is>
      </c>
      <c r="D1022" t="inlineStr">
        <is>
          <t>PREMONTAGEM</t>
        </is>
      </c>
      <c r="F1022" s="159">
        <f>IFERROR(INDEX('BASE METAS DIÁRIAS'!$N$2:$S$358,MATCH($A1022,'BASE METAS DIÁRIAS'!$A$2:$A$358,0),MOD(ROW()-2,6)+1),"")</f>
        <v/>
      </c>
      <c r="G1022" s="159">
        <f>IFERROR(IF(WEEKDAY($A1022,2)&lt;=INDEX('BASE METAS DIÁRIAS'!$H$2:$M$358,MATCH($A1022,'BASE METAS DIÁRIAS'!$A$2:$A$358,0),MOD(ROW()-2,6)+1),INDEX('BASE METAS DIÁRIAS'!$B$2:$G$358,MATCH($A1022,'BASE METAS DIÁRIAS'!$A$2:$A$358,0),MOD(ROW()-2,6)+1),""),"")</f>
        <v/>
      </c>
      <c r="H1022" s="159">
        <f>IFERROR(IF(INDEX('CONTROLE PRODUÇÃO POR EMPRESAS'!$B$6:$G$5000,MATCH($A1022,'CONTROLE PRODUÇÃO POR EMPRESAS'!$A$6:$A$5000,0),MOD(ROW()-2,6)+1)="","",IFERROR(1*INDEX('CONTROLE PRODUÇÃO POR EMPRESAS'!$B$6:$G$5000,MATCH($A1022,'CONTROLE PRODUÇÃO POR EMPRESAS'!$A$6:$A$5000,0),MOD(ROW()-2,6)+1),"")),"")</f>
        <v/>
      </c>
      <c r="I1022" s="159">
        <f>IF(OR(NOT(ISNUMBER(G1022)),NOT(ISNUMBER(H1022))),"",H1022-G1022)</f>
        <v/>
      </c>
      <c r="J1022" s="319">
        <f>IF(OR(NOT(ISNUMBER(G1022)),NOT(ISNUMBER(H1022)),G1022=0),"",I1022/G1022)</f>
        <v/>
      </c>
      <c r="K1022" s="319">
        <f>IF(OR(NOT(ISNUMBER(G1022)),NOT(ISNUMBER(H1022)),G1022=0),"",H1022/G1022)</f>
        <v/>
      </c>
      <c r="L1022">
        <f>IF(NOT(ISNUMBER(G1022)),"SEM META",IF(G1022=0,"SEM META",IF(NOT(ISNUMBER(H1022)),"SEM APONTAMENTO",IF(H1022&gt;=G1022,"VERDE",IF(H1022&gt;=G1022*0.9,"AMARELO","VERMELHO")))))</f>
        <v/>
      </c>
      <c r="M1022" s="162" t="n"/>
      <c r="N1022" s="162" t="n"/>
      <c r="O1022" s="162" t="n"/>
      <c r="P1022" s="162" t="n"/>
      <c r="Q1022" s="320" t="n"/>
      <c r="R1022" s="162" t="inlineStr">
        <is>
          <t>CONTROLE PRODUÇÃO POR EMPRESAS!B176</t>
        </is>
      </c>
    </row>
    <row r="1023" ht="28.5" customHeight="1">
      <c r="A1023" s="317" t="n">
        <v>46393</v>
      </c>
      <c r="B1023" t="inlineStr">
        <is>
          <t>GERAL</t>
        </is>
      </c>
      <c r="C1023" t="inlineStr">
        <is>
          <t>EJ</t>
        </is>
      </c>
      <c r="D1023" t="inlineStr">
        <is>
          <t>IÇAMENTO JOIST</t>
        </is>
      </c>
      <c r="F1023" s="159">
        <f>IFERROR(INDEX('BASE METAS DIÁRIAS'!$N$2:$S$358,MATCH($A1023,'BASE METAS DIÁRIAS'!$A$2:$A$358,0),MOD(ROW()-2,6)+1),"")</f>
        <v/>
      </c>
      <c r="G1023" s="159">
        <f>IFERROR(IF(WEEKDAY($A1023,2)&lt;=INDEX('BASE METAS DIÁRIAS'!$H$2:$M$358,MATCH($A1023,'BASE METAS DIÁRIAS'!$A$2:$A$358,0),MOD(ROW()-2,6)+1),INDEX('BASE METAS DIÁRIAS'!$B$2:$G$358,MATCH($A1023,'BASE METAS DIÁRIAS'!$A$2:$A$358,0),MOD(ROW()-2,6)+1),""),"")</f>
        <v/>
      </c>
      <c r="H1023" s="159">
        <f>IFERROR(IF(INDEX('CONTROLE PRODUÇÃO POR EMPRESAS'!$B$6:$G$5000,MATCH($A1023,'CONTROLE PRODUÇÃO POR EMPRESAS'!$A$6:$A$5000,0),MOD(ROW()-2,6)+1)="","",IFERROR(1*INDEX('CONTROLE PRODUÇÃO POR EMPRESAS'!$B$6:$G$5000,MATCH($A1023,'CONTROLE PRODUÇÃO POR EMPRESAS'!$A$6:$A$5000,0),MOD(ROW()-2,6)+1),"")),"")</f>
        <v/>
      </c>
      <c r="I1023" s="159">
        <f>IF(OR(NOT(ISNUMBER(G1023)),NOT(ISNUMBER(H1023))),"",H1023-G1023)</f>
        <v/>
      </c>
      <c r="J1023" s="319">
        <f>IF(OR(NOT(ISNUMBER(G1023)),NOT(ISNUMBER(H1023)),G1023=0),"",I1023/G1023)</f>
        <v/>
      </c>
      <c r="K1023" s="319">
        <f>IF(OR(NOT(ISNUMBER(G1023)),NOT(ISNUMBER(H1023)),G1023=0),"",H1023/G1023)</f>
        <v/>
      </c>
      <c r="L1023">
        <f>IF(NOT(ISNUMBER(G1023)),"SEM META",IF(G1023=0,"SEM META",IF(NOT(ISNUMBER(H1023)),"SEM APONTAMENTO",IF(H1023&gt;=G1023,"VERDE",IF(H1023&gt;=G1023*0.9,"AMARELO","VERMELHO")))))</f>
        <v/>
      </c>
      <c r="M1023" s="162" t="n"/>
      <c r="N1023" s="162" t="n"/>
      <c r="O1023" s="162" t="n"/>
      <c r="P1023" s="162" t="n"/>
      <c r="Q1023" s="320" t="n"/>
      <c r="R1023" s="162" t="inlineStr">
        <is>
          <t>CONTROLE PRODUÇÃO POR EMPRESAS!C176</t>
        </is>
      </c>
    </row>
    <row r="1024" ht="28.5" customHeight="1">
      <c r="A1024" s="317" t="n">
        <v>46393</v>
      </c>
      <c r="B1024" t="inlineStr">
        <is>
          <t>GERAL</t>
        </is>
      </c>
      <c r="C1024" t="inlineStr">
        <is>
          <t>EJ</t>
        </is>
      </c>
      <c r="D1024" t="inlineStr">
        <is>
          <t>VIGAS</t>
        </is>
      </c>
      <c r="F1024" s="159">
        <f>IFERROR(INDEX('BASE METAS DIÁRIAS'!$N$2:$S$358,MATCH($A1024,'BASE METAS DIÁRIAS'!$A$2:$A$358,0),MOD(ROW()-2,6)+1),"")</f>
        <v/>
      </c>
      <c r="G1024" s="159">
        <f>IFERROR(IF(WEEKDAY($A1024,2)&lt;=INDEX('BASE METAS DIÁRIAS'!$H$2:$M$358,MATCH($A1024,'BASE METAS DIÁRIAS'!$A$2:$A$358,0),MOD(ROW()-2,6)+1),INDEX('BASE METAS DIÁRIAS'!$B$2:$G$358,MATCH($A1024,'BASE METAS DIÁRIAS'!$A$2:$A$358,0),MOD(ROW()-2,6)+1),""),"")</f>
        <v/>
      </c>
      <c r="H1024" s="159">
        <f>IFERROR(IF(INDEX('CONTROLE PRODUÇÃO POR EMPRESAS'!$B$6:$G$5000,MATCH($A1024,'CONTROLE PRODUÇÃO POR EMPRESAS'!$A$6:$A$5000,0),MOD(ROW()-2,6)+1)="","",IFERROR(1*INDEX('CONTROLE PRODUÇÃO POR EMPRESAS'!$B$6:$G$5000,MATCH($A1024,'CONTROLE PRODUÇÃO POR EMPRESAS'!$A$6:$A$5000,0),MOD(ROW()-2,6)+1),"")),"")</f>
        <v/>
      </c>
      <c r="I1024" s="159">
        <f>IF(OR(NOT(ISNUMBER(G1024)),NOT(ISNUMBER(H1024))),"",H1024-G1024)</f>
        <v/>
      </c>
      <c r="J1024" s="319">
        <f>IF(OR(NOT(ISNUMBER(G1024)),NOT(ISNUMBER(H1024)),G1024=0),"",I1024/G1024)</f>
        <v/>
      </c>
      <c r="K1024" s="319">
        <f>IF(OR(NOT(ISNUMBER(G1024)),NOT(ISNUMBER(H1024)),G1024=0),"",H1024/G1024)</f>
        <v/>
      </c>
      <c r="L1024">
        <f>IF(NOT(ISNUMBER(G1024)),"SEM META",IF(G1024=0,"SEM META",IF(NOT(ISNUMBER(H1024)),"SEM APONTAMENTO",IF(H1024&gt;=G1024,"VERDE",IF(H1024&gt;=G1024*0.9,"AMARELO","VERMELHO")))))</f>
        <v/>
      </c>
      <c r="M1024" s="162" t="n"/>
      <c r="N1024" s="162" t="n"/>
      <c r="O1024" s="162" t="n"/>
      <c r="P1024" s="162" t="n"/>
      <c r="Q1024" s="320" t="n"/>
      <c r="R1024" s="162" t="inlineStr">
        <is>
          <t>CONTROLE PRODUÇÃO POR EMPRESAS!D176</t>
        </is>
      </c>
    </row>
    <row r="1025" ht="28.5" customHeight="1">
      <c r="A1025" s="317" t="n">
        <v>46393</v>
      </c>
      <c r="B1025" t="inlineStr">
        <is>
          <t>GERAL</t>
        </is>
      </c>
      <c r="C1025" t="inlineStr">
        <is>
          <t>CMM</t>
        </is>
      </c>
      <c r="D1025" t="inlineStr">
        <is>
          <t>PREMONTAGEM</t>
        </is>
      </c>
      <c r="F1025" s="159">
        <f>IFERROR(INDEX('BASE METAS DIÁRIAS'!$N$2:$S$358,MATCH($A1025,'BASE METAS DIÁRIAS'!$A$2:$A$358,0),MOD(ROW()-2,6)+1),"")</f>
        <v/>
      </c>
      <c r="G1025" s="159">
        <f>IFERROR(IF(WEEKDAY($A1025,2)&lt;=INDEX('BASE METAS DIÁRIAS'!$H$2:$M$358,MATCH($A1025,'BASE METAS DIÁRIAS'!$A$2:$A$358,0),MOD(ROW()-2,6)+1),INDEX('BASE METAS DIÁRIAS'!$B$2:$G$358,MATCH($A1025,'BASE METAS DIÁRIAS'!$A$2:$A$358,0),MOD(ROW()-2,6)+1),""),"")</f>
        <v/>
      </c>
      <c r="H1025" s="159">
        <f>IFERROR(IF(INDEX('CONTROLE PRODUÇÃO POR EMPRESAS'!$B$6:$G$5000,MATCH($A1025,'CONTROLE PRODUÇÃO POR EMPRESAS'!$A$6:$A$5000,0),MOD(ROW()-2,6)+1)="","",IFERROR(1*INDEX('CONTROLE PRODUÇÃO POR EMPRESAS'!$B$6:$G$5000,MATCH($A1025,'CONTROLE PRODUÇÃO POR EMPRESAS'!$A$6:$A$5000,0),MOD(ROW()-2,6)+1),"")),"")</f>
        <v/>
      </c>
      <c r="I1025" s="159">
        <f>IF(OR(NOT(ISNUMBER(G1025)),NOT(ISNUMBER(H1025))),"",H1025-G1025)</f>
        <v/>
      </c>
      <c r="J1025" s="319">
        <f>IF(OR(NOT(ISNUMBER(G1025)),NOT(ISNUMBER(H1025)),G1025=0),"",I1025/G1025)</f>
        <v/>
      </c>
      <c r="K1025" s="319">
        <f>IF(OR(NOT(ISNUMBER(G1025)),NOT(ISNUMBER(H1025)),G1025=0),"",H1025/G1025)</f>
        <v/>
      </c>
      <c r="L1025">
        <f>IF(NOT(ISNUMBER(G1025)),"SEM META",IF(G1025=0,"SEM META",IF(NOT(ISNUMBER(H1025)),"SEM APONTAMENTO",IF(H1025&gt;=G1025,"VERDE",IF(H1025&gt;=G1025*0.9,"AMARELO","VERMELHO")))))</f>
        <v/>
      </c>
      <c r="M1025" s="162" t="n"/>
      <c r="N1025" s="162" t="n"/>
      <c r="O1025" s="162" t="n"/>
      <c r="P1025" s="162" t="n"/>
      <c r="Q1025" s="320" t="n"/>
      <c r="R1025" s="162" t="inlineStr">
        <is>
          <t>CONTROLE PRODUÇÃO POR EMPRESAS!E176</t>
        </is>
      </c>
    </row>
    <row r="1026" ht="28.5" customHeight="1">
      <c r="A1026" s="317" t="n">
        <v>46393</v>
      </c>
      <c r="B1026" t="inlineStr">
        <is>
          <t>GERAL</t>
        </is>
      </c>
      <c r="C1026" t="inlineStr">
        <is>
          <t>CMM</t>
        </is>
      </c>
      <c r="D1026" t="inlineStr">
        <is>
          <t>IÇAMENTO JOIST</t>
        </is>
      </c>
      <c r="F1026" s="159">
        <f>IFERROR(INDEX('BASE METAS DIÁRIAS'!$N$2:$S$358,MATCH($A1026,'BASE METAS DIÁRIAS'!$A$2:$A$358,0),MOD(ROW()-2,6)+1),"")</f>
        <v/>
      </c>
      <c r="G1026" s="159">
        <f>IFERROR(IF(WEEKDAY($A1026,2)&lt;=INDEX('BASE METAS DIÁRIAS'!$H$2:$M$358,MATCH($A1026,'BASE METAS DIÁRIAS'!$A$2:$A$358,0),MOD(ROW()-2,6)+1),INDEX('BASE METAS DIÁRIAS'!$B$2:$G$358,MATCH($A1026,'BASE METAS DIÁRIAS'!$A$2:$A$358,0),MOD(ROW()-2,6)+1),""),"")</f>
        <v/>
      </c>
      <c r="H1026" s="159">
        <f>IFERROR(IF(INDEX('CONTROLE PRODUÇÃO POR EMPRESAS'!$B$6:$G$5000,MATCH($A1026,'CONTROLE PRODUÇÃO POR EMPRESAS'!$A$6:$A$5000,0),MOD(ROW()-2,6)+1)="","",IFERROR(1*INDEX('CONTROLE PRODUÇÃO POR EMPRESAS'!$B$6:$G$5000,MATCH($A1026,'CONTROLE PRODUÇÃO POR EMPRESAS'!$A$6:$A$5000,0),MOD(ROW()-2,6)+1),"")),"")</f>
        <v/>
      </c>
      <c r="I1026" s="159">
        <f>IF(OR(NOT(ISNUMBER(G1026)),NOT(ISNUMBER(H1026))),"",H1026-G1026)</f>
        <v/>
      </c>
      <c r="J1026" s="319">
        <f>IF(OR(NOT(ISNUMBER(G1026)),NOT(ISNUMBER(H1026)),G1026=0),"",I1026/G1026)</f>
        <v/>
      </c>
      <c r="K1026" s="319">
        <f>IF(OR(NOT(ISNUMBER(G1026)),NOT(ISNUMBER(H1026)),G1026=0),"",H1026/G1026)</f>
        <v/>
      </c>
      <c r="L1026">
        <f>IF(NOT(ISNUMBER(G1026)),"SEM META",IF(G1026=0,"SEM META",IF(NOT(ISNUMBER(H1026)),"SEM APONTAMENTO",IF(H1026&gt;=G1026,"VERDE",IF(H1026&gt;=G1026*0.9,"AMARELO","VERMELHO")))))</f>
        <v/>
      </c>
      <c r="M1026" s="162" t="n"/>
      <c r="N1026" s="162" t="n"/>
      <c r="O1026" s="162" t="n"/>
      <c r="P1026" s="162" t="n"/>
      <c r="Q1026" s="320" t="n"/>
      <c r="R1026" s="162" t="inlineStr">
        <is>
          <t>CONTROLE PRODUÇÃO POR EMPRESAS!F176</t>
        </is>
      </c>
    </row>
    <row r="1027" ht="28.5" customHeight="1">
      <c r="A1027" s="317" t="n">
        <v>46393</v>
      </c>
      <c r="B1027" t="inlineStr">
        <is>
          <t>GERAL</t>
        </is>
      </c>
      <c r="C1027" t="inlineStr">
        <is>
          <t>CMM</t>
        </is>
      </c>
      <c r="D1027" t="inlineStr">
        <is>
          <t>VIGAS</t>
        </is>
      </c>
      <c r="F1027" s="159">
        <f>IFERROR(INDEX('BASE METAS DIÁRIAS'!$N$2:$S$358,MATCH($A1027,'BASE METAS DIÁRIAS'!$A$2:$A$358,0),MOD(ROW()-2,6)+1),"")</f>
        <v/>
      </c>
      <c r="G1027" s="159">
        <f>IFERROR(IF(WEEKDAY($A1027,2)&lt;=INDEX('BASE METAS DIÁRIAS'!$H$2:$M$358,MATCH($A1027,'BASE METAS DIÁRIAS'!$A$2:$A$358,0),MOD(ROW()-2,6)+1),INDEX('BASE METAS DIÁRIAS'!$B$2:$G$358,MATCH($A1027,'BASE METAS DIÁRIAS'!$A$2:$A$358,0),MOD(ROW()-2,6)+1),""),"")</f>
        <v/>
      </c>
      <c r="H1027" s="159">
        <f>IFERROR(IF(INDEX('CONTROLE PRODUÇÃO POR EMPRESAS'!$B$6:$G$5000,MATCH($A1027,'CONTROLE PRODUÇÃO POR EMPRESAS'!$A$6:$A$5000,0),MOD(ROW()-2,6)+1)="","",IFERROR(1*INDEX('CONTROLE PRODUÇÃO POR EMPRESAS'!$B$6:$G$5000,MATCH($A1027,'CONTROLE PRODUÇÃO POR EMPRESAS'!$A$6:$A$5000,0),MOD(ROW()-2,6)+1),"")),"")</f>
        <v/>
      </c>
      <c r="I1027" s="159">
        <f>IF(OR(NOT(ISNUMBER(G1027)),NOT(ISNUMBER(H1027))),"",H1027-G1027)</f>
        <v/>
      </c>
      <c r="J1027" s="319">
        <f>IF(OR(NOT(ISNUMBER(G1027)),NOT(ISNUMBER(H1027)),G1027=0),"",I1027/G1027)</f>
        <v/>
      </c>
      <c r="K1027" s="319">
        <f>IF(OR(NOT(ISNUMBER(G1027)),NOT(ISNUMBER(H1027)),G1027=0),"",H1027/G1027)</f>
        <v/>
      </c>
      <c r="L1027">
        <f>IF(NOT(ISNUMBER(G1027)),"SEM META",IF(G1027=0,"SEM META",IF(NOT(ISNUMBER(H1027)),"SEM APONTAMENTO",IF(H1027&gt;=G1027,"VERDE",IF(H1027&gt;=G1027*0.9,"AMARELO","VERMELHO")))))</f>
        <v/>
      </c>
      <c r="M1027" s="162" t="n"/>
      <c r="N1027" s="162" t="n"/>
      <c r="O1027" s="162" t="n"/>
      <c r="P1027" s="162" t="n"/>
      <c r="Q1027" s="320" t="n"/>
      <c r="R1027" s="162" t="inlineStr">
        <is>
          <t>CONTROLE PRODUÇÃO POR EMPRESAS!G176</t>
        </is>
      </c>
    </row>
    <row r="1028" ht="28.5" customHeight="1">
      <c r="A1028" s="317" t="n">
        <v>46394</v>
      </c>
      <c r="B1028" t="inlineStr">
        <is>
          <t>GERAL</t>
        </is>
      </c>
      <c r="C1028" t="inlineStr">
        <is>
          <t>EJ</t>
        </is>
      </c>
      <c r="D1028" t="inlineStr">
        <is>
          <t>PREMONTAGEM</t>
        </is>
      </c>
      <c r="F1028" s="159">
        <f>IFERROR(INDEX('BASE METAS DIÁRIAS'!$N$2:$S$358,MATCH($A1028,'BASE METAS DIÁRIAS'!$A$2:$A$358,0),MOD(ROW()-2,6)+1),"")</f>
        <v/>
      </c>
      <c r="G1028" s="159">
        <f>IFERROR(IF(WEEKDAY($A1028,2)&lt;=INDEX('BASE METAS DIÁRIAS'!$H$2:$M$358,MATCH($A1028,'BASE METAS DIÁRIAS'!$A$2:$A$358,0),MOD(ROW()-2,6)+1),INDEX('BASE METAS DIÁRIAS'!$B$2:$G$358,MATCH($A1028,'BASE METAS DIÁRIAS'!$A$2:$A$358,0),MOD(ROW()-2,6)+1),""),"")</f>
        <v/>
      </c>
      <c r="H1028" s="159">
        <f>IFERROR(IF(INDEX('CONTROLE PRODUÇÃO POR EMPRESAS'!$B$6:$G$5000,MATCH($A1028,'CONTROLE PRODUÇÃO POR EMPRESAS'!$A$6:$A$5000,0),MOD(ROW()-2,6)+1)="","",IFERROR(1*INDEX('CONTROLE PRODUÇÃO POR EMPRESAS'!$B$6:$G$5000,MATCH($A1028,'CONTROLE PRODUÇÃO POR EMPRESAS'!$A$6:$A$5000,0),MOD(ROW()-2,6)+1),"")),"")</f>
        <v/>
      </c>
      <c r="I1028" s="159">
        <f>IF(OR(NOT(ISNUMBER(G1028)),NOT(ISNUMBER(H1028))),"",H1028-G1028)</f>
        <v/>
      </c>
      <c r="J1028" s="319">
        <f>IF(OR(NOT(ISNUMBER(G1028)),NOT(ISNUMBER(H1028)),G1028=0),"",I1028/G1028)</f>
        <v/>
      </c>
      <c r="K1028" s="319">
        <f>IF(OR(NOT(ISNUMBER(G1028)),NOT(ISNUMBER(H1028)),G1028=0),"",H1028/G1028)</f>
        <v/>
      </c>
      <c r="L1028">
        <f>IF(NOT(ISNUMBER(G1028)),"SEM META",IF(G1028=0,"SEM META",IF(NOT(ISNUMBER(H1028)),"SEM APONTAMENTO",IF(H1028&gt;=G1028,"VERDE",IF(H1028&gt;=G1028*0.9,"AMARELO","VERMELHO")))))</f>
        <v/>
      </c>
      <c r="M1028" s="162" t="n"/>
      <c r="N1028" s="162" t="n"/>
      <c r="O1028" s="162" t="n"/>
      <c r="P1028" s="162" t="n"/>
      <c r="Q1028" s="320" t="n"/>
      <c r="R1028" s="162" t="inlineStr">
        <is>
          <t>CONTROLE PRODUÇÃO POR EMPRESAS!B177</t>
        </is>
      </c>
    </row>
    <row r="1029" ht="28.5" customHeight="1">
      <c r="A1029" s="317" t="n">
        <v>46394</v>
      </c>
      <c r="B1029" t="inlineStr">
        <is>
          <t>GERAL</t>
        </is>
      </c>
      <c r="C1029" t="inlineStr">
        <is>
          <t>EJ</t>
        </is>
      </c>
      <c r="D1029" t="inlineStr">
        <is>
          <t>IÇAMENTO JOIST</t>
        </is>
      </c>
      <c r="F1029" s="159">
        <f>IFERROR(INDEX('BASE METAS DIÁRIAS'!$N$2:$S$358,MATCH($A1029,'BASE METAS DIÁRIAS'!$A$2:$A$358,0),MOD(ROW()-2,6)+1),"")</f>
        <v/>
      </c>
      <c r="G1029" s="159">
        <f>IFERROR(IF(WEEKDAY($A1029,2)&lt;=INDEX('BASE METAS DIÁRIAS'!$H$2:$M$358,MATCH($A1029,'BASE METAS DIÁRIAS'!$A$2:$A$358,0),MOD(ROW()-2,6)+1),INDEX('BASE METAS DIÁRIAS'!$B$2:$G$358,MATCH($A1029,'BASE METAS DIÁRIAS'!$A$2:$A$358,0),MOD(ROW()-2,6)+1),""),"")</f>
        <v/>
      </c>
      <c r="H1029" s="159">
        <f>IFERROR(IF(INDEX('CONTROLE PRODUÇÃO POR EMPRESAS'!$B$6:$G$5000,MATCH($A1029,'CONTROLE PRODUÇÃO POR EMPRESAS'!$A$6:$A$5000,0),MOD(ROW()-2,6)+1)="","",IFERROR(1*INDEX('CONTROLE PRODUÇÃO POR EMPRESAS'!$B$6:$G$5000,MATCH($A1029,'CONTROLE PRODUÇÃO POR EMPRESAS'!$A$6:$A$5000,0),MOD(ROW()-2,6)+1),"")),"")</f>
        <v/>
      </c>
      <c r="I1029" s="159">
        <f>IF(OR(NOT(ISNUMBER(G1029)),NOT(ISNUMBER(H1029))),"",H1029-G1029)</f>
        <v/>
      </c>
      <c r="J1029" s="319">
        <f>IF(OR(NOT(ISNUMBER(G1029)),NOT(ISNUMBER(H1029)),G1029=0),"",I1029/G1029)</f>
        <v/>
      </c>
      <c r="K1029" s="319">
        <f>IF(OR(NOT(ISNUMBER(G1029)),NOT(ISNUMBER(H1029)),G1029=0),"",H1029/G1029)</f>
        <v/>
      </c>
      <c r="L1029">
        <f>IF(NOT(ISNUMBER(G1029)),"SEM META",IF(G1029=0,"SEM META",IF(NOT(ISNUMBER(H1029)),"SEM APONTAMENTO",IF(H1029&gt;=G1029,"VERDE",IF(H1029&gt;=G1029*0.9,"AMARELO","VERMELHO")))))</f>
        <v/>
      </c>
      <c r="M1029" s="162" t="n"/>
      <c r="N1029" s="162" t="n"/>
      <c r="O1029" s="162" t="n"/>
      <c r="P1029" s="162" t="n"/>
      <c r="Q1029" s="320" t="n"/>
      <c r="R1029" s="162" t="inlineStr">
        <is>
          <t>CONTROLE PRODUÇÃO POR EMPRESAS!C177</t>
        </is>
      </c>
    </row>
    <row r="1030" ht="28.5" customHeight="1">
      <c r="A1030" s="317" t="n">
        <v>46394</v>
      </c>
      <c r="B1030" t="inlineStr">
        <is>
          <t>GERAL</t>
        </is>
      </c>
      <c r="C1030" t="inlineStr">
        <is>
          <t>EJ</t>
        </is>
      </c>
      <c r="D1030" t="inlineStr">
        <is>
          <t>VIGAS</t>
        </is>
      </c>
      <c r="F1030" s="159">
        <f>IFERROR(INDEX('BASE METAS DIÁRIAS'!$N$2:$S$358,MATCH($A1030,'BASE METAS DIÁRIAS'!$A$2:$A$358,0),MOD(ROW()-2,6)+1),"")</f>
        <v/>
      </c>
      <c r="G1030" s="159">
        <f>IFERROR(IF(WEEKDAY($A1030,2)&lt;=INDEX('BASE METAS DIÁRIAS'!$H$2:$M$358,MATCH($A1030,'BASE METAS DIÁRIAS'!$A$2:$A$358,0),MOD(ROW()-2,6)+1),INDEX('BASE METAS DIÁRIAS'!$B$2:$G$358,MATCH($A1030,'BASE METAS DIÁRIAS'!$A$2:$A$358,0),MOD(ROW()-2,6)+1),""),"")</f>
        <v/>
      </c>
      <c r="H1030" s="159">
        <f>IFERROR(IF(INDEX('CONTROLE PRODUÇÃO POR EMPRESAS'!$B$6:$G$5000,MATCH($A1030,'CONTROLE PRODUÇÃO POR EMPRESAS'!$A$6:$A$5000,0),MOD(ROW()-2,6)+1)="","",IFERROR(1*INDEX('CONTROLE PRODUÇÃO POR EMPRESAS'!$B$6:$G$5000,MATCH($A1030,'CONTROLE PRODUÇÃO POR EMPRESAS'!$A$6:$A$5000,0),MOD(ROW()-2,6)+1),"")),"")</f>
        <v/>
      </c>
      <c r="I1030" s="159">
        <f>IF(OR(NOT(ISNUMBER(G1030)),NOT(ISNUMBER(H1030))),"",H1030-G1030)</f>
        <v/>
      </c>
      <c r="J1030" s="319">
        <f>IF(OR(NOT(ISNUMBER(G1030)),NOT(ISNUMBER(H1030)),G1030=0),"",I1030/G1030)</f>
        <v/>
      </c>
      <c r="K1030" s="319">
        <f>IF(OR(NOT(ISNUMBER(G1030)),NOT(ISNUMBER(H1030)),G1030=0),"",H1030/G1030)</f>
        <v/>
      </c>
      <c r="L1030">
        <f>IF(NOT(ISNUMBER(G1030)),"SEM META",IF(G1030=0,"SEM META",IF(NOT(ISNUMBER(H1030)),"SEM APONTAMENTO",IF(H1030&gt;=G1030,"VERDE",IF(H1030&gt;=G1030*0.9,"AMARELO","VERMELHO")))))</f>
        <v/>
      </c>
      <c r="M1030" s="162" t="n"/>
      <c r="N1030" s="162" t="n"/>
      <c r="O1030" s="162" t="n"/>
      <c r="P1030" s="162" t="n"/>
      <c r="Q1030" s="320" t="n"/>
      <c r="R1030" s="162" t="inlineStr">
        <is>
          <t>CONTROLE PRODUÇÃO POR EMPRESAS!D177</t>
        </is>
      </c>
    </row>
    <row r="1031" ht="28.5" customHeight="1">
      <c r="A1031" s="317" t="n">
        <v>46394</v>
      </c>
      <c r="B1031" t="inlineStr">
        <is>
          <t>GERAL</t>
        </is>
      </c>
      <c r="C1031" t="inlineStr">
        <is>
          <t>CMM</t>
        </is>
      </c>
      <c r="D1031" t="inlineStr">
        <is>
          <t>PREMONTAGEM</t>
        </is>
      </c>
      <c r="F1031" s="159">
        <f>IFERROR(INDEX('BASE METAS DIÁRIAS'!$N$2:$S$358,MATCH($A1031,'BASE METAS DIÁRIAS'!$A$2:$A$358,0),MOD(ROW()-2,6)+1),"")</f>
        <v/>
      </c>
      <c r="G1031" s="159">
        <f>IFERROR(IF(WEEKDAY($A1031,2)&lt;=INDEX('BASE METAS DIÁRIAS'!$H$2:$M$358,MATCH($A1031,'BASE METAS DIÁRIAS'!$A$2:$A$358,0),MOD(ROW()-2,6)+1),INDEX('BASE METAS DIÁRIAS'!$B$2:$G$358,MATCH($A1031,'BASE METAS DIÁRIAS'!$A$2:$A$358,0),MOD(ROW()-2,6)+1),""),"")</f>
        <v/>
      </c>
      <c r="H1031" s="159">
        <f>IFERROR(IF(INDEX('CONTROLE PRODUÇÃO POR EMPRESAS'!$B$6:$G$5000,MATCH($A1031,'CONTROLE PRODUÇÃO POR EMPRESAS'!$A$6:$A$5000,0),MOD(ROW()-2,6)+1)="","",IFERROR(1*INDEX('CONTROLE PRODUÇÃO POR EMPRESAS'!$B$6:$G$5000,MATCH($A1031,'CONTROLE PRODUÇÃO POR EMPRESAS'!$A$6:$A$5000,0),MOD(ROW()-2,6)+1),"")),"")</f>
        <v/>
      </c>
      <c r="I1031" s="159">
        <f>IF(OR(NOT(ISNUMBER(G1031)),NOT(ISNUMBER(H1031))),"",H1031-G1031)</f>
        <v/>
      </c>
      <c r="J1031" s="319">
        <f>IF(OR(NOT(ISNUMBER(G1031)),NOT(ISNUMBER(H1031)),G1031=0),"",I1031/G1031)</f>
        <v/>
      </c>
      <c r="K1031" s="319">
        <f>IF(OR(NOT(ISNUMBER(G1031)),NOT(ISNUMBER(H1031)),G1031=0),"",H1031/G1031)</f>
        <v/>
      </c>
      <c r="L1031">
        <f>IF(NOT(ISNUMBER(G1031)),"SEM META",IF(G1031=0,"SEM META",IF(NOT(ISNUMBER(H1031)),"SEM APONTAMENTO",IF(H1031&gt;=G1031,"VERDE",IF(H1031&gt;=G1031*0.9,"AMARELO","VERMELHO")))))</f>
        <v/>
      </c>
      <c r="M1031" s="162" t="n"/>
      <c r="N1031" s="162" t="n"/>
      <c r="O1031" s="162" t="n"/>
      <c r="P1031" s="162" t="n"/>
      <c r="Q1031" s="320" t="n"/>
      <c r="R1031" s="162" t="inlineStr">
        <is>
          <t>CONTROLE PRODUÇÃO POR EMPRESAS!E177</t>
        </is>
      </c>
    </row>
    <row r="1032" ht="28.5" customHeight="1">
      <c r="A1032" s="317" t="n">
        <v>46394</v>
      </c>
      <c r="B1032" t="inlineStr">
        <is>
          <t>GERAL</t>
        </is>
      </c>
      <c r="C1032" t="inlineStr">
        <is>
          <t>CMM</t>
        </is>
      </c>
      <c r="D1032" t="inlineStr">
        <is>
          <t>IÇAMENTO JOIST</t>
        </is>
      </c>
      <c r="F1032" s="159">
        <f>IFERROR(INDEX('BASE METAS DIÁRIAS'!$N$2:$S$358,MATCH($A1032,'BASE METAS DIÁRIAS'!$A$2:$A$358,0),MOD(ROW()-2,6)+1),"")</f>
        <v/>
      </c>
      <c r="G1032" s="159">
        <f>IFERROR(IF(WEEKDAY($A1032,2)&lt;=INDEX('BASE METAS DIÁRIAS'!$H$2:$M$358,MATCH($A1032,'BASE METAS DIÁRIAS'!$A$2:$A$358,0),MOD(ROW()-2,6)+1),INDEX('BASE METAS DIÁRIAS'!$B$2:$G$358,MATCH($A1032,'BASE METAS DIÁRIAS'!$A$2:$A$358,0),MOD(ROW()-2,6)+1),""),"")</f>
        <v/>
      </c>
      <c r="H1032" s="159">
        <f>IFERROR(IF(INDEX('CONTROLE PRODUÇÃO POR EMPRESAS'!$B$6:$G$5000,MATCH($A1032,'CONTROLE PRODUÇÃO POR EMPRESAS'!$A$6:$A$5000,0),MOD(ROW()-2,6)+1)="","",IFERROR(1*INDEX('CONTROLE PRODUÇÃO POR EMPRESAS'!$B$6:$G$5000,MATCH($A1032,'CONTROLE PRODUÇÃO POR EMPRESAS'!$A$6:$A$5000,0),MOD(ROW()-2,6)+1),"")),"")</f>
        <v/>
      </c>
      <c r="I1032" s="159">
        <f>IF(OR(NOT(ISNUMBER(G1032)),NOT(ISNUMBER(H1032))),"",H1032-G1032)</f>
        <v/>
      </c>
      <c r="J1032" s="319">
        <f>IF(OR(NOT(ISNUMBER(G1032)),NOT(ISNUMBER(H1032)),G1032=0),"",I1032/G1032)</f>
        <v/>
      </c>
      <c r="K1032" s="319">
        <f>IF(OR(NOT(ISNUMBER(G1032)),NOT(ISNUMBER(H1032)),G1032=0),"",H1032/G1032)</f>
        <v/>
      </c>
      <c r="L1032">
        <f>IF(NOT(ISNUMBER(G1032)),"SEM META",IF(G1032=0,"SEM META",IF(NOT(ISNUMBER(H1032)),"SEM APONTAMENTO",IF(H1032&gt;=G1032,"VERDE",IF(H1032&gt;=G1032*0.9,"AMARELO","VERMELHO")))))</f>
        <v/>
      </c>
      <c r="M1032" s="162" t="n"/>
      <c r="N1032" s="162" t="n"/>
      <c r="O1032" s="162" t="n"/>
      <c r="P1032" s="162" t="n"/>
      <c r="Q1032" s="320" t="n"/>
      <c r="R1032" s="162" t="inlineStr">
        <is>
          <t>CONTROLE PRODUÇÃO POR EMPRESAS!F177</t>
        </is>
      </c>
    </row>
    <row r="1033" ht="28.5" customHeight="1">
      <c r="A1033" s="317" t="n">
        <v>46394</v>
      </c>
      <c r="B1033" t="inlineStr">
        <is>
          <t>GERAL</t>
        </is>
      </c>
      <c r="C1033" t="inlineStr">
        <is>
          <t>CMM</t>
        </is>
      </c>
      <c r="D1033" t="inlineStr">
        <is>
          <t>VIGAS</t>
        </is>
      </c>
      <c r="F1033" s="159">
        <f>IFERROR(INDEX('BASE METAS DIÁRIAS'!$N$2:$S$358,MATCH($A1033,'BASE METAS DIÁRIAS'!$A$2:$A$358,0),MOD(ROW()-2,6)+1),"")</f>
        <v/>
      </c>
      <c r="G1033" s="159">
        <f>IFERROR(IF(WEEKDAY($A1033,2)&lt;=INDEX('BASE METAS DIÁRIAS'!$H$2:$M$358,MATCH($A1033,'BASE METAS DIÁRIAS'!$A$2:$A$358,0),MOD(ROW()-2,6)+1),INDEX('BASE METAS DIÁRIAS'!$B$2:$G$358,MATCH($A1033,'BASE METAS DIÁRIAS'!$A$2:$A$358,0),MOD(ROW()-2,6)+1),""),"")</f>
        <v/>
      </c>
      <c r="H1033" s="159">
        <f>IFERROR(IF(INDEX('CONTROLE PRODUÇÃO POR EMPRESAS'!$B$6:$G$5000,MATCH($A1033,'CONTROLE PRODUÇÃO POR EMPRESAS'!$A$6:$A$5000,0),MOD(ROW()-2,6)+1)="","",IFERROR(1*INDEX('CONTROLE PRODUÇÃO POR EMPRESAS'!$B$6:$G$5000,MATCH($A1033,'CONTROLE PRODUÇÃO POR EMPRESAS'!$A$6:$A$5000,0),MOD(ROW()-2,6)+1),"")),"")</f>
        <v/>
      </c>
      <c r="I1033" s="159">
        <f>IF(OR(NOT(ISNUMBER(G1033)),NOT(ISNUMBER(H1033))),"",H1033-G1033)</f>
        <v/>
      </c>
      <c r="J1033" s="319">
        <f>IF(OR(NOT(ISNUMBER(G1033)),NOT(ISNUMBER(H1033)),G1033=0),"",I1033/G1033)</f>
        <v/>
      </c>
      <c r="K1033" s="319">
        <f>IF(OR(NOT(ISNUMBER(G1033)),NOT(ISNUMBER(H1033)),G1033=0),"",H1033/G1033)</f>
        <v/>
      </c>
      <c r="L1033">
        <f>IF(NOT(ISNUMBER(G1033)),"SEM META",IF(G1033=0,"SEM META",IF(NOT(ISNUMBER(H1033)),"SEM APONTAMENTO",IF(H1033&gt;=G1033,"VERDE",IF(H1033&gt;=G1033*0.9,"AMARELO","VERMELHO")))))</f>
        <v/>
      </c>
      <c r="M1033" s="162" t="n"/>
      <c r="N1033" s="162" t="n"/>
      <c r="O1033" s="162" t="n"/>
      <c r="P1033" s="162" t="n"/>
      <c r="Q1033" s="320" t="n"/>
      <c r="R1033" s="162" t="inlineStr">
        <is>
          <t>CONTROLE PRODUÇÃO POR EMPRESAS!G177</t>
        </is>
      </c>
    </row>
    <row r="1034" ht="28.5" customHeight="1">
      <c r="A1034" s="317" t="n">
        <v>46395</v>
      </c>
      <c r="B1034" t="inlineStr">
        <is>
          <t>GERAL</t>
        </is>
      </c>
      <c r="C1034" t="inlineStr">
        <is>
          <t>EJ</t>
        </is>
      </c>
      <c r="D1034" t="inlineStr">
        <is>
          <t>PREMONTAGEM</t>
        </is>
      </c>
      <c r="F1034" s="159">
        <f>IFERROR(INDEX('BASE METAS DIÁRIAS'!$N$2:$S$358,MATCH($A1034,'BASE METAS DIÁRIAS'!$A$2:$A$358,0),MOD(ROW()-2,6)+1),"")</f>
        <v/>
      </c>
      <c r="G1034" s="159">
        <f>IFERROR(IF(WEEKDAY($A1034,2)&lt;=INDEX('BASE METAS DIÁRIAS'!$H$2:$M$358,MATCH($A1034,'BASE METAS DIÁRIAS'!$A$2:$A$358,0),MOD(ROW()-2,6)+1),INDEX('BASE METAS DIÁRIAS'!$B$2:$G$358,MATCH($A1034,'BASE METAS DIÁRIAS'!$A$2:$A$358,0),MOD(ROW()-2,6)+1),""),"")</f>
        <v/>
      </c>
      <c r="H1034" s="159">
        <f>IFERROR(IF(INDEX('CONTROLE PRODUÇÃO POR EMPRESAS'!$B$6:$G$5000,MATCH($A1034,'CONTROLE PRODUÇÃO POR EMPRESAS'!$A$6:$A$5000,0),MOD(ROW()-2,6)+1)="","",IFERROR(1*INDEX('CONTROLE PRODUÇÃO POR EMPRESAS'!$B$6:$G$5000,MATCH($A1034,'CONTROLE PRODUÇÃO POR EMPRESAS'!$A$6:$A$5000,0),MOD(ROW()-2,6)+1),"")),"")</f>
        <v/>
      </c>
      <c r="I1034" s="159">
        <f>IF(OR(NOT(ISNUMBER(G1034)),NOT(ISNUMBER(H1034))),"",H1034-G1034)</f>
        <v/>
      </c>
      <c r="J1034" s="319">
        <f>IF(OR(NOT(ISNUMBER(G1034)),NOT(ISNUMBER(H1034)),G1034=0),"",I1034/G1034)</f>
        <v/>
      </c>
      <c r="K1034" s="319">
        <f>IF(OR(NOT(ISNUMBER(G1034)),NOT(ISNUMBER(H1034)),G1034=0),"",H1034/G1034)</f>
        <v/>
      </c>
      <c r="L1034">
        <f>IF(NOT(ISNUMBER(G1034)),"SEM META",IF(G1034=0,"SEM META",IF(NOT(ISNUMBER(H1034)),"SEM APONTAMENTO",IF(H1034&gt;=G1034,"VERDE",IF(H1034&gt;=G1034*0.9,"AMARELO","VERMELHO")))))</f>
        <v/>
      </c>
      <c r="M1034" s="162" t="n"/>
      <c r="N1034" s="162" t="n"/>
      <c r="O1034" s="162" t="n"/>
      <c r="P1034" s="162" t="n"/>
      <c r="Q1034" s="320" t="n"/>
      <c r="R1034" s="162" t="inlineStr">
        <is>
          <t>CONTROLE PRODUÇÃO POR EMPRESAS!B178</t>
        </is>
      </c>
    </row>
    <row r="1035" ht="28.5" customHeight="1">
      <c r="A1035" s="317" t="n">
        <v>46395</v>
      </c>
      <c r="B1035" t="inlineStr">
        <is>
          <t>GERAL</t>
        </is>
      </c>
      <c r="C1035" t="inlineStr">
        <is>
          <t>EJ</t>
        </is>
      </c>
      <c r="D1035" t="inlineStr">
        <is>
          <t>IÇAMENTO JOIST</t>
        </is>
      </c>
      <c r="F1035" s="159">
        <f>IFERROR(INDEX('BASE METAS DIÁRIAS'!$N$2:$S$358,MATCH($A1035,'BASE METAS DIÁRIAS'!$A$2:$A$358,0),MOD(ROW()-2,6)+1),"")</f>
        <v/>
      </c>
      <c r="G1035" s="159">
        <f>IFERROR(IF(WEEKDAY($A1035,2)&lt;=INDEX('BASE METAS DIÁRIAS'!$H$2:$M$358,MATCH($A1035,'BASE METAS DIÁRIAS'!$A$2:$A$358,0),MOD(ROW()-2,6)+1),INDEX('BASE METAS DIÁRIAS'!$B$2:$G$358,MATCH($A1035,'BASE METAS DIÁRIAS'!$A$2:$A$358,0),MOD(ROW()-2,6)+1),""),"")</f>
        <v/>
      </c>
      <c r="H1035" s="159">
        <f>IFERROR(IF(INDEX('CONTROLE PRODUÇÃO POR EMPRESAS'!$B$6:$G$5000,MATCH($A1035,'CONTROLE PRODUÇÃO POR EMPRESAS'!$A$6:$A$5000,0),MOD(ROW()-2,6)+1)="","",IFERROR(1*INDEX('CONTROLE PRODUÇÃO POR EMPRESAS'!$B$6:$G$5000,MATCH($A1035,'CONTROLE PRODUÇÃO POR EMPRESAS'!$A$6:$A$5000,0),MOD(ROW()-2,6)+1),"")),"")</f>
        <v/>
      </c>
      <c r="I1035" s="159">
        <f>IF(OR(NOT(ISNUMBER(G1035)),NOT(ISNUMBER(H1035))),"",H1035-G1035)</f>
        <v/>
      </c>
      <c r="J1035" s="319">
        <f>IF(OR(NOT(ISNUMBER(G1035)),NOT(ISNUMBER(H1035)),G1035=0),"",I1035/G1035)</f>
        <v/>
      </c>
      <c r="K1035" s="319">
        <f>IF(OR(NOT(ISNUMBER(G1035)),NOT(ISNUMBER(H1035)),G1035=0),"",H1035/G1035)</f>
        <v/>
      </c>
      <c r="L1035">
        <f>IF(NOT(ISNUMBER(G1035)),"SEM META",IF(G1035=0,"SEM META",IF(NOT(ISNUMBER(H1035)),"SEM APONTAMENTO",IF(H1035&gt;=G1035,"VERDE",IF(H1035&gt;=G1035*0.9,"AMARELO","VERMELHO")))))</f>
        <v/>
      </c>
      <c r="M1035" s="162" t="n"/>
      <c r="N1035" s="162" t="n"/>
      <c r="O1035" s="162" t="n"/>
      <c r="P1035" s="162" t="n"/>
      <c r="Q1035" s="320" t="n"/>
      <c r="R1035" s="162" t="inlineStr">
        <is>
          <t>CONTROLE PRODUÇÃO POR EMPRESAS!C178</t>
        </is>
      </c>
    </row>
    <row r="1036" ht="28.5" customHeight="1">
      <c r="A1036" s="317" t="n">
        <v>46395</v>
      </c>
      <c r="B1036" t="inlineStr">
        <is>
          <t>GERAL</t>
        </is>
      </c>
      <c r="C1036" t="inlineStr">
        <is>
          <t>EJ</t>
        </is>
      </c>
      <c r="D1036" t="inlineStr">
        <is>
          <t>VIGAS</t>
        </is>
      </c>
      <c r="F1036" s="159">
        <f>IFERROR(INDEX('BASE METAS DIÁRIAS'!$N$2:$S$358,MATCH($A1036,'BASE METAS DIÁRIAS'!$A$2:$A$358,0),MOD(ROW()-2,6)+1),"")</f>
        <v/>
      </c>
      <c r="G1036" s="159">
        <f>IFERROR(IF(WEEKDAY($A1036,2)&lt;=INDEX('BASE METAS DIÁRIAS'!$H$2:$M$358,MATCH($A1036,'BASE METAS DIÁRIAS'!$A$2:$A$358,0),MOD(ROW()-2,6)+1),INDEX('BASE METAS DIÁRIAS'!$B$2:$G$358,MATCH($A1036,'BASE METAS DIÁRIAS'!$A$2:$A$358,0),MOD(ROW()-2,6)+1),""),"")</f>
        <v/>
      </c>
      <c r="H1036" s="159">
        <f>IFERROR(IF(INDEX('CONTROLE PRODUÇÃO POR EMPRESAS'!$B$6:$G$5000,MATCH($A1036,'CONTROLE PRODUÇÃO POR EMPRESAS'!$A$6:$A$5000,0),MOD(ROW()-2,6)+1)="","",IFERROR(1*INDEX('CONTROLE PRODUÇÃO POR EMPRESAS'!$B$6:$G$5000,MATCH($A1036,'CONTROLE PRODUÇÃO POR EMPRESAS'!$A$6:$A$5000,0),MOD(ROW()-2,6)+1),"")),"")</f>
        <v/>
      </c>
      <c r="I1036" s="159">
        <f>IF(OR(NOT(ISNUMBER(G1036)),NOT(ISNUMBER(H1036))),"",H1036-G1036)</f>
        <v/>
      </c>
      <c r="J1036" s="319">
        <f>IF(OR(NOT(ISNUMBER(G1036)),NOT(ISNUMBER(H1036)),G1036=0),"",I1036/G1036)</f>
        <v/>
      </c>
      <c r="K1036" s="319">
        <f>IF(OR(NOT(ISNUMBER(G1036)),NOT(ISNUMBER(H1036)),G1036=0),"",H1036/G1036)</f>
        <v/>
      </c>
      <c r="L1036">
        <f>IF(NOT(ISNUMBER(G1036)),"SEM META",IF(G1036=0,"SEM META",IF(NOT(ISNUMBER(H1036)),"SEM APONTAMENTO",IF(H1036&gt;=G1036,"VERDE",IF(H1036&gt;=G1036*0.9,"AMARELO","VERMELHO")))))</f>
        <v/>
      </c>
      <c r="M1036" s="162" t="n"/>
      <c r="N1036" s="162" t="n"/>
      <c r="O1036" s="162" t="n"/>
      <c r="P1036" s="162" t="n"/>
      <c r="Q1036" s="320" t="n"/>
      <c r="R1036" s="162" t="inlineStr">
        <is>
          <t>CONTROLE PRODUÇÃO POR EMPRESAS!D178</t>
        </is>
      </c>
    </row>
    <row r="1037" ht="28.5" customHeight="1">
      <c r="A1037" s="317" t="n">
        <v>46395</v>
      </c>
      <c r="B1037" t="inlineStr">
        <is>
          <t>GERAL</t>
        </is>
      </c>
      <c r="C1037" t="inlineStr">
        <is>
          <t>CMM</t>
        </is>
      </c>
      <c r="D1037" t="inlineStr">
        <is>
          <t>PREMONTAGEM</t>
        </is>
      </c>
      <c r="F1037" s="159">
        <f>IFERROR(INDEX('BASE METAS DIÁRIAS'!$N$2:$S$358,MATCH($A1037,'BASE METAS DIÁRIAS'!$A$2:$A$358,0),MOD(ROW()-2,6)+1),"")</f>
        <v/>
      </c>
      <c r="G1037" s="159">
        <f>IFERROR(IF(WEEKDAY($A1037,2)&lt;=INDEX('BASE METAS DIÁRIAS'!$H$2:$M$358,MATCH($A1037,'BASE METAS DIÁRIAS'!$A$2:$A$358,0),MOD(ROW()-2,6)+1),INDEX('BASE METAS DIÁRIAS'!$B$2:$G$358,MATCH($A1037,'BASE METAS DIÁRIAS'!$A$2:$A$358,0),MOD(ROW()-2,6)+1),""),"")</f>
        <v/>
      </c>
      <c r="H1037" s="159">
        <f>IFERROR(IF(INDEX('CONTROLE PRODUÇÃO POR EMPRESAS'!$B$6:$G$5000,MATCH($A1037,'CONTROLE PRODUÇÃO POR EMPRESAS'!$A$6:$A$5000,0),MOD(ROW()-2,6)+1)="","",IFERROR(1*INDEX('CONTROLE PRODUÇÃO POR EMPRESAS'!$B$6:$G$5000,MATCH($A1037,'CONTROLE PRODUÇÃO POR EMPRESAS'!$A$6:$A$5000,0),MOD(ROW()-2,6)+1),"")),"")</f>
        <v/>
      </c>
      <c r="I1037" s="159">
        <f>IF(OR(NOT(ISNUMBER(G1037)),NOT(ISNUMBER(H1037))),"",H1037-G1037)</f>
        <v/>
      </c>
      <c r="J1037" s="319">
        <f>IF(OR(NOT(ISNUMBER(G1037)),NOT(ISNUMBER(H1037)),G1037=0),"",I1037/G1037)</f>
        <v/>
      </c>
      <c r="K1037" s="319">
        <f>IF(OR(NOT(ISNUMBER(G1037)),NOT(ISNUMBER(H1037)),G1037=0),"",H1037/G1037)</f>
        <v/>
      </c>
      <c r="L1037">
        <f>IF(NOT(ISNUMBER(G1037)),"SEM META",IF(G1037=0,"SEM META",IF(NOT(ISNUMBER(H1037)),"SEM APONTAMENTO",IF(H1037&gt;=G1037,"VERDE",IF(H1037&gt;=G1037*0.9,"AMARELO","VERMELHO")))))</f>
        <v/>
      </c>
      <c r="M1037" s="162" t="n"/>
      <c r="N1037" s="162" t="n"/>
      <c r="O1037" s="162" t="n"/>
      <c r="P1037" s="162" t="n"/>
      <c r="Q1037" s="320" t="n"/>
      <c r="R1037" s="162" t="inlineStr">
        <is>
          <t>CONTROLE PRODUÇÃO POR EMPRESAS!E178</t>
        </is>
      </c>
    </row>
    <row r="1038" ht="28.5" customHeight="1">
      <c r="A1038" s="317" t="n">
        <v>46395</v>
      </c>
      <c r="B1038" t="inlineStr">
        <is>
          <t>GERAL</t>
        </is>
      </c>
      <c r="C1038" t="inlineStr">
        <is>
          <t>CMM</t>
        </is>
      </c>
      <c r="D1038" t="inlineStr">
        <is>
          <t>IÇAMENTO JOIST</t>
        </is>
      </c>
      <c r="F1038" s="159">
        <f>IFERROR(INDEX('BASE METAS DIÁRIAS'!$N$2:$S$358,MATCH($A1038,'BASE METAS DIÁRIAS'!$A$2:$A$358,0),MOD(ROW()-2,6)+1),"")</f>
        <v/>
      </c>
      <c r="G1038" s="159">
        <f>IFERROR(IF(WEEKDAY($A1038,2)&lt;=INDEX('BASE METAS DIÁRIAS'!$H$2:$M$358,MATCH($A1038,'BASE METAS DIÁRIAS'!$A$2:$A$358,0),MOD(ROW()-2,6)+1),INDEX('BASE METAS DIÁRIAS'!$B$2:$G$358,MATCH($A1038,'BASE METAS DIÁRIAS'!$A$2:$A$358,0),MOD(ROW()-2,6)+1),""),"")</f>
        <v/>
      </c>
      <c r="H1038" s="159">
        <f>IFERROR(IF(INDEX('CONTROLE PRODUÇÃO POR EMPRESAS'!$B$6:$G$5000,MATCH($A1038,'CONTROLE PRODUÇÃO POR EMPRESAS'!$A$6:$A$5000,0),MOD(ROW()-2,6)+1)="","",IFERROR(1*INDEX('CONTROLE PRODUÇÃO POR EMPRESAS'!$B$6:$G$5000,MATCH($A1038,'CONTROLE PRODUÇÃO POR EMPRESAS'!$A$6:$A$5000,0),MOD(ROW()-2,6)+1),"")),"")</f>
        <v/>
      </c>
      <c r="I1038" s="159">
        <f>IF(OR(NOT(ISNUMBER(G1038)),NOT(ISNUMBER(H1038))),"",H1038-G1038)</f>
        <v/>
      </c>
      <c r="J1038" s="319">
        <f>IF(OR(NOT(ISNUMBER(G1038)),NOT(ISNUMBER(H1038)),G1038=0),"",I1038/G1038)</f>
        <v/>
      </c>
      <c r="K1038" s="319">
        <f>IF(OR(NOT(ISNUMBER(G1038)),NOT(ISNUMBER(H1038)),G1038=0),"",H1038/G1038)</f>
        <v/>
      </c>
      <c r="L1038">
        <f>IF(NOT(ISNUMBER(G1038)),"SEM META",IF(G1038=0,"SEM META",IF(NOT(ISNUMBER(H1038)),"SEM APONTAMENTO",IF(H1038&gt;=G1038,"VERDE",IF(H1038&gt;=G1038*0.9,"AMARELO","VERMELHO")))))</f>
        <v/>
      </c>
      <c r="M1038" s="162" t="n"/>
      <c r="N1038" s="162" t="n"/>
      <c r="O1038" s="162" t="n"/>
      <c r="P1038" s="162" t="n"/>
      <c r="Q1038" s="320" t="n"/>
      <c r="R1038" s="162" t="inlineStr">
        <is>
          <t>CONTROLE PRODUÇÃO POR EMPRESAS!F178</t>
        </is>
      </c>
    </row>
    <row r="1039" ht="28.5" customHeight="1">
      <c r="A1039" s="317" t="n">
        <v>46395</v>
      </c>
      <c r="B1039" t="inlineStr">
        <is>
          <t>GERAL</t>
        </is>
      </c>
      <c r="C1039" t="inlineStr">
        <is>
          <t>CMM</t>
        </is>
      </c>
      <c r="D1039" t="inlineStr">
        <is>
          <t>VIGAS</t>
        </is>
      </c>
      <c r="F1039" s="159">
        <f>IFERROR(INDEX('BASE METAS DIÁRIAS'!$N$2:$S$358,MATCH($A1039,'BASE METAS DIÁRIAS'!$A$2:$A$358,0),MOD(ROW()-2,6)+1),"")</f>
        <v/>
      </c>
      <c r="G1039" s="159">
        <f>IFERROR(IF(WEEKDAY($A1039,2)&lt;=INDEX('BASE METAS DIÁRIAS'!$H$2:$M$358,MATCH($A1039,'BASE METAS DIÁRIAS'!$A$2:$A$358,0),MOD(ROW()-2,6)+1),INDEX('BASE METAS DIÁRIAS'!$B$2:$G$358,MATCH($A1039,'BASE METAS DIÁRIAS'!$A$2:$A$358,0),MOD(ROW()-2,6)+1),""),"")</f>
        <v/>
      </c>
      <c r="H1039" s="159">
        <f>IFERROR(IF(INDEX('CONTROLE PRODUÇÃO POR EMPRESAS'!$B$6:$G$5000,MATCH($A1039,'CONTROLE PRODUÇÃO POR EMPRESAS'!$A$6:$A$5000,0),MOD(ROW()-2,6)+1)="","",IFERROR(1*INDEX('CONTROLE PRODUÇÃO POR EMPRESAS'!$B$6:$G$5000,MATCH($A1039,'CONTROLE PRODUÇÃO POR EMPRESAS'!$A$6:$A$5000,0),MOD(ROW()-2,6)+1),"")),"")</f>
        <v/>
      </c>
      <c r="I1039" s="159">
        <f>IF(OR(NOT(ISNUMBER(G1039)),NOT(ISNUMBER(H1039))),"",H1039-G1039)</f>
        <v/>
      </c>
      <c r="J1039" s="319">
        <f>IF(OR(NOT(ISNUMBER(G1039)),NOT(ISNUMBER(H1039)),G1039=0),"",I1039/G1039)</f>
        <v/>
      </c>
      <c r="K1039" s="319">
        <f>IF(OR(NOT(ISNUMBER(G1039)),NOT(ISNUMBER(H1039)),G1039=0),"",H1039/G1039)</f>
        <v/>
      </c>
      <c r="L1039">
        <f>IF(NOT(ISNUMBER(G1039)),"SEM META",IF(G1039=0,"SEM META",IF(NOT(ISNUMBER(H1039)),"SEM APONTAMENTO",IF(H1039&gt;=G1039,"VERDE",IF(H1039&gt;=G1039*0.9,"AMARELO","VERMELHO")))))</f>
        <v/>
      </c>
      <c r="M1039" s="162" t="n"/>
      <c r="N1039" s="162" t="n"/>
      <c r="O1039" s="162" t="n"/>
      <c r="P1039" s="162" t="n"/>
      <c r="Q1039" s="320" t="n"/>
      <c r="R1039" s="162" t="inlineStr">
        <is>
          <t>CONTROLE PRODUÇÃO POR EMPRESAS!G178</t>
        </is>
      </c>
    </row>
    <row r="1040" ht="28.5" customHeight="1">
      <c r="A1040" s="317" t="n">
        <v>46396</v>
      </c>
      <c r="B1040" t="inlineStr">
        <is>
          <t>GERAL</t>
        </is>
      </c>
      <c r="C1040" t="inlineStr">
        <is>
          <t>EJ</t>
        </is>
      </c>
      <c r="D1040" t="inlineStr">
        <is>
          <t>PREMONTAGEM</t>
        </is>
      </c>
      <c r="F1040" s="159">
        <f>IFERROR(INDEX('BASE METAS DIÁRIAS'!$N$2:$S$358,MATCH($A1040,'BASE METAS DIÁRIAS'!$A$2:$A$358,0),MOD(ROW()-2,6)+1),"")</f>
        <v/>
      </c>
      <c r="G1040" s="159">
        <f>IFERROR(IF(WEEKDAY($A1040,2)&lt;=INDEX('BASE METAS DIÁRIAS'!$H$2:$M$358,MATCH($A1040,'BASE METAS DIÁRIAS'!$A$2:$A$358,0),MOD(ROW()-2,6)+1),INDEX('BASE METAS DIÁRIAS'!$B$2:$G$358,MATCH($A1040,'BASE METAS DIÁRIAS'!$A$2:$A$358,0),MOD(ROW()-2,6)+1),""),"")</f>
        <v/>
      </c>
      <c r="H1040" s="159">
        <f>IFERROR(IF(INDEX('CONTROLE PRODUÇÃO POR EMPRESAS'!$B$6:$G$5000,MATCH($A1040,'CONTROLE PRODUÇÃO POR EMPRESAS'!$A$6:$A$5000,0),MOD(ROW()-2,6)+1)="","",IFERROR(1*INDEX('CONTROLE PRODUÇÃO POR EMPRESAS'!$B$6:$G$5000,MATCH($A1040,'CONTROLE PRODUÇÃO POR EMPRESAS'!$A$6:$A$5000,0),MOD(ROW()-2,6)+1),"")),"")</f>
        <v/>
      </c>
      <c r="I1040" s="159">
        <f>IF(OR(NOT(ISNUMBER(G1040)),NOT(ISNUMBER(H1040))),"",H1040-G1040)</f>
        <v/>
      </c>
      <c r="J1040" s="319">
        <f>IF(OR(NOT(ISNUMBER(G1040)),NOT(ISNUMBER(H1040)),G1040=0),"",I1040/G1040)</f>
        <v/>
      </c>
      <c r="K1040" s="319">
        <f>IF(OR(NOT(ISNUMBER(G1040)),NOT(ISNUMBER(H1040)),G1040=0),"",H1040/G1040)</f>
        <v/>
      </c>
      <c r="L1040">
        <f>IF(NOT(ISNUMBER(G1040)),"SEM META",IF(G1040=0,"SEM META",IF(NOT(ISNUMBER(H1040)),"SEM APONTAMENTO",IF(H1040&gt;=G1040,"VERDE",IF(H1040&gt;=G1040*0.9,"AMARELO","VERMELHO")))))</f>
        <v/>
      </c>
      <c r="M1040" s="162" t="n"/>
      <c r="N1040" s="162" t="n"/>
      <c r="O1040" s="162" t="n"/>
      <c r="P1040" s="162" t="n"/>
      <c r="Q1040" s="320" t="n"/>
      <c r="R1040" s="162" t="inlineStr">
        <is>
          <t>CONTROLE PRODUÇÃO POR EMPRESAS!B179</t>
        </is>
      </c>
    </row>
    <row r="1041" ht="28.5" customHeight="1">
      <c r="A1041" s="317" t="n">
        <v>46396</v>
      </c>
      <c r="B1041" t="inlineStr">
        <is>
          <t>GERAL</t>
        </is>
      </c>
      <c r="C1041" t="inlineStr">
        <is>
          <t>EJ</t>
        </is>
      </c>
      <c r="D1041" t="inlineStr">
        <is>
          <t>IÇAMENTO JOIST</t>
        </is>
      </c>
      <c r="F1041" s="159">
        <f>IFERROR(INDEX('BASE METAS DIÁRIAS'!$N$2:$S$358,MATCH($A1041,'BASE METAS DIÁRIAS'!$A$2:$A$358,0),MOD(ROW()-2,6)+1),"")</f>
        <v/>
      </c>
      <c r="G1041" s="159">
        <f>IFERROR(IF(WEEKDAY($A1041,2)&lt;=INDEX('BASE METAS DIÁRIAS'!$H$2:$M$358,MATCH($A1041,'BASE METAS DIÁRIAS'!$A$2:$A$358,0),MOD(ROW()-2,6)+1),INDEX('BASE METAS DIÁRIAS'!$B$2:$G$358,MATCH($A1041,'BASE METAS DIÁRIAS'!$A$2:$A$358,0),MOD(ROW()-2,6)+1),""),"")</f>
        <v/>
      </c>
      <c r="H1041" s="159">
        <f>IFERROR(IF(INDEX('CONTROLE PRODUÇÃO POR EMPRESAS'!$B$6:$G$5000,MATCH($A1041,'CONTROLE PRODUÇÃO POR EMPRESAS'!$A$6:$A$5000,0),MOD(ROW()-2,6)+1)="","",IFERROR(1*INDEX('CONTROLE PRODUÇÃO POR EMPRESAS'!$B$6:$G$5000,MATCH($A1041,'CONTROLE PRODUÇÃO POR EMPRESAS'!$A$6:$A$5000,0),MOD(ROW()-2,6)+1),"")),"")</f>
        <v/>
      </c>
      <c r="I1041" s="159">
        <f>IF(OR(NOT(ISNUMBER(G1041)),NOT(ISNUMBER(H1041))),"",H1041-G1041)</f>
        <v/>
      </c>
      <c r="J1041" s="319">
        <f>IF(OR(NOT(ISNUMBER(G1041)),NOT(ISNUMBER(H1041)),G1041=0),"",I1041/G1041)</f>
        <v/>
      </c>
      <c r="K1041" s="319">
        <f>IF(OR(NOT(ISNUMBER(G1041)),NOT(ISNUMBER(H1041)),G1041=0),"",H1041/G1041)</f>
        <v/>
      </c>
      <c r="L1041">
        <f>IF(NOT(ISNUMBER(G1041)),"SEM META",IF(G1041=0,"SEM META",IF(NOT(ISNUMBER(H1041)),"SEM APONTAMENTO",IF(H1041&gt;=G1041,"VERDE",IF(H1041&gt;=G1041*0.9,"AMARELO","VERMELHO")))))</f>
        <v/>
      </c>
      <c r="M1041" s="162" t="n"/>
      <c r="N1041" s="162" t="n"/>
      <c r="O1041" s="162" t="n"/>
      <c r="P1041" s="162" t="n"/>
      <c r="Q1041" s="320" t="n"/>
      <c r="R1041" s="162" t="inlineStr">
        <is>
          <t>CONTROLE PRODUÇÃO POR EMPRESAS!C179</t>
        </is>
      </c>
    </row>
    <row r="1042" ht="28.5" customHeight="1">
      <c r="A1042" s="317" t="n">
        <v>46396</v>
      </c>
      <c r="B1042" t="inlineStr">
        <is>
          <t>GERAL</t>
        </is>
      </c>
      <c r="C1042" t="inlineStr">
        <is>
          <t>EJ</t>
        </is>
      </c>
      <c r="D1042" t="inlineStr">
        <is>
          <t>VIGAS</t>
        </is>
      </c>
      <c r="F1042" s="159">
        <f>IFERROR(INDEX('BASE METAS DIÁRIAS'!$N$2:$S$358,MATCH($A1042,'BASE METAS DIÁRIAS'!$A$2:$A$358,0),MOD(ROW()-2,6)+1),"")</f>
        <v/>
      </c>
      <c r="G1042" s="159">
        <f>IFERROR(IF(WEEKDAY($A1042,2)&lt;=INDEX('BASE METAS DIÁRIAS'!$H$2:$M$358,MATCH($A1042,'BASE METAS DIÁRIAS'!$A$2:$A$358,0),MOD(ROW()-2,6)+1),INDEX('BASE METAS DIÁRIAS'!$B$2:$G$358,MATCH($A1042,'BASE METAS DIÁRIAS'!$A$2:$A$358,0),MOD(ROW()-2,6)+1),""),"")</f>
        <v/>
      </c>
      <c r="H1042" s="159">
        <f>IFERROR(IF(INDEX('CONTROLE PRODUÇÃO POR EMPRESAS'!$B$6:$G$5000,MATCH($A1042,'CONTROLE PRODUÇÃO POR EMPRESAS'!$A$6:$A$5000,0),MOD(ROW()-2,6)+1)="","",IFERROR(1*INDEX('CONTROLE PRODUÇÃO POR EMPRESAS'!$B$6:$G$5000,MATCH($A1042,'CONTROLE PRODUÇÃO POR EMPRESAS'!$A$6:$A$5000,0),MOD(ROW()-2,6)+1),"")),"")</f>
        <v/>
      </c>
      <c r="I1042" s="159">
        <f>IF(OR(NOT(ISNUMBER(G1042)),NOT(ISNUMBER(H1042))),"",H1042-G1042)</f>
        <v/>
      </c>
      <c r="J1042" s="319">
        <f>IF(OR(NOT(ISNUMBER(G1042)),NOT(ISNUMBER(H1042)),G1042=0),"",I1042/G1042)</f>
        <v/>
      </c>
      <c r="K1042" s="319">
        <f>IF(OR(NOT(ISNUMBER(G1042)),NOT(ISNUMBER(H1042)),G1042=0),"",H1042/G1042)</f>
        <v/>
      </c>
      <c r="L1042">
        <f>IF(NOT(ISNUMBER(G1042)),"SEM META",IF(G1042=0,"SEM META",IF(NOT(ISNUMBER(H1042)),"SEM APONTAMENTO",IF(H1042&gt;=G1042,"VERDE",IF(H1042&gt;=G1042*0.9,"AMARELO","VERMELHO")))))</f>
        <v/>
      </c>
      <c r="M1042" s="162" t="n"/>
      <c r="N1042" s="162" t="n"/>
      <c r="O1042" s="162" t="n"/>
      <c r="P1042" s="162" t="n"/>
      <c r="Q1042" s="320" t="n"/>
      <c r="R1042" s="162" t="inlineStr">
        <is>
          <t>CONTROLE PRODUÇÃO POR EMPRESAS!D179</t>
        </is>
      </c>
    </row>
    <row r="1043" ht="28.5" customHeight="1">
      <c r="A1043" s="317" t="n">
        <v>46396</v>
      </c>
      <c r="B1043" t="inlineStr">
        <is>
          <t>GERAL</t>
        </is>
      </c>
      <c r="C1043" t="inlineStr">
        <is>
          <t>CMM</t>
        </is>
      </c>
      <c r="D1043" t="inlineStr">
        <is>
          <t>PREMONTAGEM</t>
        </is>
      </c>
      <c r="F1043" s="159">
        <f>IFERROR(INDEX('BASE METAS DIÁRIAS'!$N$2:$S$358,MATCH($A1043,'BASE METAS DIÁRIAS'!$A$2:$A$358,0),MOD(ROW()-2,6)+1),"")</f>
        <v/>
      </c>
      <c r="G1043" s="159">
        <f>IFERROR(IF(WEEKDAY($A1043,2)&lt;=INDEX('BASE METAS DIÁRIAS'!$H$2:$M$358,MATCH($A1043,'BASE METAS DIÁRIAS'!$A$2:$A$358,0),MOD(ROW()-2,6)+1),INDEX('BASE METAS DIÁRIAS'!$B$2:$G$358,MATCH($A1043,'BASE METAS DIÁRIAS'!$A$2:$A$358,0),MOD(ROW()-2,6)+1),""),"")</f>
        <v/>
      </c>
      <c r="H1043" s="159">
        <f>IFERROR(IF(INDEX('CONTROLE PRODUÇÃO POR EMPRESAS'!$B$6:$G$5000,MATCH($A1043,'CONTROLE PRODUÇÃO POR EMPRESAS'!$A$6:$A$5000,0),MOD(ROW()-2,6)+1)="","",IFERROR(1*INDEX('CONTROLE PRODUÇÃO POR EMPRESAS'!$B$6:$G$5000,MATCH($A1043,'CONTROLE PRODUÇÃO POR EMPRESAS'!$A$6:$A$5000,0),MOD(ROW()-2,6)+1),"")),"")</f>
        <v/>
      </c>
      <c r="I1043" s="159">
        <f>IF(OR(NOT(ISNUMBER(G1043)),NOT(ISNUMBER(H1043))),"",H1043-G1043)</f>
        <v/>
      </c>
      <c r="J1043" s="319">
        <f>IF(OR(NOT(ISNUMBER(G1043)),NOT(ISNUMBER(H1043)),G1043=0),"",I1043/G1043)</f>
        <v/>
      </c>
      <c r="K1043" s="319">
        <f>IF(OR(NOT(ISNUMBER(G1043)),NOT(ISNUMBER(H1043)),G1043=0),"",H1043/G1043)</f>
        <v/>
      </c>
      <c r="L1043">
        <f>IF(NOT(ISNUMBER(G1043)),"SEM META",IF(G1043=0,"SEM META",IF(NOT(ISNUMBER(H1043)),"SEM APONTAMENTO",IF(H1043&gt;=G1043,"VERDE",IF(H1043&gt;=G1043*0.9,"AMARELO","VERMELHO")))))</f>
        <v/>
      </c>
      <c r="M1043" s="162" t="n"/>
      <c r="N1043" s="162" t="n"/>
      <c r="O1043" s="162" t="n"/>
      <c r="P1043" s="162" t="n"/>
      <c r="Q1043" s="320" t="n"/>
      <c r="R1043" s="162" t="inlineStr">
        <is>
          <t>CONTROLE PRODUÇÃO POR EMPRESAS!E179</t>
        </is>
      </c>
    </row>
    <row r="1044" ht="28.5" customHeight="1">
      <c r="A1044" s="317" t="n">
        <v>46396</v>
      </c>
      <c r="B1044" t="inlineStr">
        <is>
          <t>GERAL</t>
        </is>
      </c>
      <c r="C1044" t="inlineStr">
        <is>
          <t>CMM</t>
        </is>
      </c>
      <c r="D1044" t="inlineStr">
        <is>
          <t>IÇAMENTO JOIST</t>
        </is>
      </c>
      <c r="F1044" s="159">
        <f>IFERROR(INDEX('BASE METAS DIÁRIAS'!$N$2:$S$358,MATCH($A1044,'BASE METAS DIÁRIAS'!$A$2:$A$358,0),MOD(ROW()-2,6)+1),"")</f>
        <v/>
      </c>
      <c r="G1044" s="159">
        <f>IFERROR(IF(WEEKDAY($A1044,2)&lt;=INDEX('BASE METAS DIÁRIAS'!$H$2:$M$358,MATCH($A1044,'BASE METAS DIÁRIAS'!$A$2:$A$358,0),MOD(ROW()-2,6)+1),INDEX('BASE METAS DIÁRIAS'!$B$2:$G$358,MATCH($A1044,'BASE METAS DIÁRIAS'!$A$2:$A$358,0),MOD(ROW()-2,6)+1),""),"")</f>
        <v/>
      </c>
      <c r="H1044" s="159">
        <f>IFERROR(IF(INDEX('CONTROLE PRODUÇÃO POR EMPRESAS'!$B$6:$G$5000,MATCH($A1044,'CONTROLE PRODUÇÃO POR EMPRESAS'!$A$6:$A$5000,0),MOD(ROW()-2,6)+1)="","",IFERROR(1*INDEX('CONTROLE PRODUÇÃO POR EMPRESAS'!$B$6:$G$5000,MATCH($A1044,'CONTROLE PRODUÇÃO POR EMPRESAS'!$A$6:$A$5000,0),MOD(ROW()-2,6)+1),"")),"")</f>
        <v/>
      </c>
      <c r="I1044" s="159">
        <f>IF(OR(NOT(ISNUMBER(G1044)),NOT(ISNUMBER(H1044))),"",H1044-G1044)</f>
        <v/>
      </c>
      <c r="J1044" s="319">
        <f>IF(OR(NOT(ISNUMBER(G1044)),NOT(ISNUMBER(H1044)),G1044=0),"",I1044/G1044)</f>
        <v/>
      </c>
      <c r="K1044" s="319">
        <f>IF(OR(NOT(ISNUMBER(G1044)),NOT(ISNUMBER(H1044)),G1044=0),"",H1044/G1044)</f>
        <v/>
      </c>
      <c r="L1044">
        <f>IF(NOT(ISNUMBER(G1044)),"SEM META",IF(G1044=0,"SEM META",IF(NOT(ISNUMBER(H1044)),"SEM APONTAMENTO",IF(H1044&gt;=G1044,"VERDE",IF(H1044&gt;=G1044*0.9,"AMARELO","VERMELHO")))))</f>
        <v/>
      </c>
      <c r="M1044" s="162" t="n"/>
      <c r="N1044" s="162" t="n"/>
      <c r="O1044" s="162" t="n"/>
      <c r="P1044" s="162" t="n"/>
      <c r="Q1044" s="320" t="n"/>
      <c r="R1044" s="162" t="inlineStr">
        <is>
          <t>CONTROLE PRODUÇÃO POR EMPRESAS!F179</t>
        </is>
      </c>
    </row>
    <row r="1045" ht="28.5" customHeight="1">
      <c r="A1045" s="317" t="n">
        <v>46396</v>
      </c>
      <c r="B1045" t="inlineStr">
        <is>
          <t>GERAL</t>
        </is>
      </c>
      <c r="C1045" t="inlineStr">
        <is>
          <t>CMM</t>
        </is>
      </c>
      <c r="D1045" t="inlineStr">
        <is>
          <t>VIGAS</t>
        </is>
      </c>
      <c r="F1045" s="159">
        <f>IFERROR(INDEX('BASE METAS DIÁRIAS'!$N$2:$S$358,MATCH($A1045,'BASE METAS DIÁRIAS'!$A$2:$A$358,0),MOD(ROW()-2,6)+1),"")</f>
        <v/>
      </c>
      <c r="G1045" s="159">
        <f>IFERROR(IF(WEEKDAY($A1045,2)&lt;=INDEX('BASE METAS DIÁRIAS'!$H$2:$M$358,MATCH($A1045,'BASE METAS DIÁRIAS'!$A$2:$A$358,0),MOD(ROW()-2,6)+1),INDEX('BASE METAS DIÁRIAS'!$B$2:$G$358,MATCH($A1045,'BASE METAS DIÁRIAS'!$A$2:$A$358,0),MOD(ROW()-2,6)+1),""),"")</f>
        <v/>
      </c>
      <c r="H1045" s="159">
        <f>IFERROR(IF(INDEX('CONTROLE PRODUÇÃO POR EMPRESAS'!$B$6:$G$5000,MATCH($A1045,'CONTROLE PRODUÇÃO POR EMPRESAS'!$A$6:$A$5000,0),MOD(ROW()-2,6)+1)="","",IFERROR(1*INDEX('CONTROLE PRODUÇÃO POR EMPRESAS'!$B$6:$G$5000,MATCH($A1045,'CONTROLE PRODUÇÃO POR EMPRESAS'!$A$6:$A$5000,0),MOD(ROW()-2,6)+1),"")),"")</f>
        <v/>
      </c>
      <c r="I1045" s="159">
        <f>IF(OR(NOT(ISNUMBER(G1045)),NOT(ISNUMBER(H1045))),"",H1045-G1045)</f>
        <v/>
      </c>
      <c r="J1045" s="319">
        <f>IF(OR(NOT(ISNUMBER(G1045)),NOT(ISNUMBER(H1045)),G1045=0),"",I1045/G1045)</f>
        <v/>
      </c>
      <c r="K1045" s="319">
        <f>IF(OR(NOT(ISNUMBER(G1045)),NOT(ISNUMBER(H1045)),G1045=0),"",H1045/G1045)</f>
        <v/>
      </c>
      <c r="L1045">
        <f>IF(NOT(ISNUMBER(G1045)),"SEM META",IF(G1045=0,"SEM META",IF(NOT(ISNUMBER(H1045)),"SEM APONTAMENTO",IF(H1045&gt;=G1045,"VERDE",IF(H1045&gt;=G1045*0.9,"AMARELO","VERMELHO")))))</f>
        <v/>
      </c>
      <c r="M1045" s="162" t="n"/>
      <c r="N1045" s="162" t="n"/>
      <c r="O1045" s="162" t="n"/>
      <c r="P1045" s="162" t="n"/>
      <c r="Q1045" s="320" t="n"/>
      <c r="R1045" s="162" t="inlineStr">
        <is>
          <t>CONTROLE PRODUÇÃO POR EMPRESAS!G179</t>
        </is>
      </c>
    </row>
    <row r="1046" ht="28.5" customHeight="1">
      <c r="A1046" s="317" t="n">
        <v>46397</v>
      </c>
      <c r="B1046" t="inlineStr">
        <is>
          <t>GERAL</t>
        </is>
      </c>
      <c r="C1046" t="inlineStr">
        <is>
          <t>EJ</t>
        </is>
      </c>
      <c r="D1046" t="inlineStr">
        <is>
          <t>PREMONTAGEM</t>
        </is>
      </c>
      <c r="F1046" s="159">
        <f>IFERROR(INDEX('BASE METAS DIÁRIAS'!$N$2:$S$358,MATCH($A1046,'BASE METAS DIÁRIAS'!$A$2:$A$358,0),MOD(ROW()-2,6)+1),"")</f>
        <v/>
      </c>
      <c r="G1046" s="159">
        <f>IFERROR(IF(WEEKDAY($A1046,2)&lt;=INDEX('BASE METAS DIÁRIAS'!$H$2:$M$358,MATCH($A1046,'BASE METAS DIÁRIAS'!$A$2:$A$358,0),MOD(ROW()-2,6)+1),INDEX('BASE METAS DIÁRIAS'!$B$2:$G$358,MATCH($A1046,'BASE METAS DIÁRIAS'!$A$2:$A$358,0),MOD(ROW()-2,6)+1),""),"")</f>
        <v/>
      </c>
      <c r="H1046" s="159">
        <f>IFERROR(IF(INDEX('CONTROLE PRODUÇÃO POR EMPRESAS'!$B$6:$G$5000,MATCH($A1046,'CONTROLE PRODUÇÃO POR EMPRESAS'!$A$6:$A$5000,0),MOD(ROW()-2,6)+1)="","",IFERROR(1*INDEX('CONTROLE PRODUÇÃO POR EMPRESAS'!$B$6:$G$5000,MATCH($A1046,'CONTROLE PRODUÇÃO POR EMPRESAS'!$A$6:$A$5000,0),MOD(ROW()-2,6)+1),"")),"")</f>
        <v/>
      </c>
      <c r="I1046" s="159">
        <f>IF(OR(NOT(ISNUMBER(G1046)),NOT(ISNUMBER(H1046))),"",H1046-G1046)</f>
        <v/>
      </c>
      <c r="J1046" s="319">
        <f>IF(OR(NOT(ISNUMBER(G1046)),NOT(ISNUMBER(H1046)),G1046=0),"",I1046/G1046)</f>
        <v/>
      </c>
      <c r="K1046" s="319">
        <f>IF(OR(NOT(ISNUMBER(G1046)),NOT(ISNUMBER(H1046)),G1046=0),"",H1046/G1046)</f>
        <v/>
      </c>
      <c r="L1046">
        <f>IF(NOT(ISNUMBER(G1046)),"SEM META",IF(G1046=0,"SEM META",IF(NOT(ISNUMBER(H1046)),"SEM APONTAMENTO",IF(H1046&gt;=G1046,"VERDE",IF(H1046&gt;=G1046*0.9,"AMARELO","VERMELHO")))))</f>
        <v/>
      </c>
      <c r="M1046" s="162" t="n"/>
      <c r="N1046" s="162" t="n"/>
      <c r="O1046" s="162" t="n"/>
      <c r="P1046" s="162" t="n"/>
      <c r="Q1046" s="320" t="n"/>
      <c r="R1046" s="162" t="inlineStr">
        <is>
          <t>CONTROLE PRODUÇÃO POR EMPRESAS!B180</t>
        </is>
      </c>
    </row>
    <row r="1047" ht="28.5" customHeight="1">
      <c r="A1047" s="317" t="n">
        <v>46397</v>
      </c>
      <c r="B1047" t="inlineStr">
        <is>
          <t>GERAL</t>
        </is>
      </c>
      <c r="C1047" t="inlineStr">
        <is>
          <t>EJ</t>
        </is>
      </c>
      <c r="D1047" t="inlineStr">
        <is>
          <t>IÇAMENTO JOIST</t>
        </is>
      </c>
      <c r="F1047" s="159">
        <f>IFERROR(INDEX('BASE METAS DIÁRIAS'!$N$2:$S$358,MATCH($A1047,'BASE METAS DIÁRIAS'!$A$2:$A$358,0),MOD(ROW()-2,6)+1),"")</f>
        <v/>
      </c>
      <c r="G1047" s="159">
        <f>IFERROR(IF(WEEKDAY($A1047,2)&lt;=INDEX('BASE METAS DIÁRIAS'!$H$2:$M$358,MATCH($A1047,'BASE METAS DIÁRIAS'!$A$2:$A$358,0),MOD(ROW()-2,6)+1),INDEX('BASE METAS DIÁRIAS'!$B$2:$G$358,MATCH($A1047,'BASE METAS DIÁRIAS'!$A$2:$A$358,0),MOD(ROW()-2,6)+1),""),"")</f>
        <v/>
      </c>
      <c r="H1047" s="159">
        <f>IFERROR(IF(INDEX('CONTROLE PRODUÇÃO POR EMPRESAS'!$B$6:$G$5000,MATCH($A1047,'CONTROLE PRODUÇÃO POR EMPRESAS'!$A$6:$A$5000,0),MOD(ROW()-2,6)+1)="","",IFERROR(1*INDEX('CONTROLE PRODUÇÃO POR EMPRESAS'!$B$6:$G$5000,MATCH($A1047,'CONTROLE PRODUÇÃO POR EMPRESAS'!$A$6:$A$5000,0),MOD(ROW()-2,6)+1),"")),"")</f>
        <v/>
      </c>
      <c r="I1047" s="159">
        <f>IF(OR(NOT(ISNUMBER(G1047)),NOT(ISNUMBER(H1047))),"",H1047-G1047)</f>
        <v/>
      </c>
      <c r="J1047" s="319">
        <f>IF(OR(NOT(ISNUMBER(G1047)),NOT(ISNUMBER(H1047)),G1047=0),"",I1047/G1047)</f>
        <v/>
      </c>
      <c r="K1047" s="319">
        <f>IF(OR(NOT(ISNUMBER(G1047)),NOT(ISNUMBER(H1047)),G1047=0),"",H1047/G1047)</f>
        <v/>
      </c>
      <c r="L1047">
        <f>IF(NOT(ISNUMBER(G1047)),"SEM META",IF(G1047=0,"SEM META",IF(NOT(ISNUMBER(H1047)),"SEM APONTAMENTO",IF(H1047&gt;=G1047,"VERDE",IF(H1047&gt;=G1047*0.9,"AMARELO","VERMELHO")))))</f>
        <v/>
      </c>
      <c r="M1047" s="162" t="n"/>
      <c r="N1047" s="162" t="n"/>
      <c r="O1047" s="162" t="n"/>
      <c r="P1047" s="162" t="n"/>
      <c r="Q1047" s="320" t="n"/>
      <c r="R1047" s="162" t="inlineStr">
        <is>
          <t>CONTROLE PRODUÇÃO POR EMPRESAS!C180</t>
        </is>
      </c>
    </row>
    <row r="1048" ht="28.5" customHeight="1">
      <c r="A1048" s="317" t="n">
        <v>46397</v>
      </c>
      <c r="B1048" t="inlineStr">
        <is>
          <t>GERAL</t>
        </is>
      </c>
      <c r="C1048" t="inlineStr">
        <is>
          <t>EJ</t>
        </is>
      </c>
      <c r="D1048" t="inlineStr">
        <is>
          <t>VIGAS</t>
        </is>
      </c>
      <c r="F1048" s="159">
        <f>IFERROR(INDEX('BASE METAS DIÁRIAS'!$N$2:$S$358,MATCH($A1048,'BASE METAS DIÁRIAS'!$A$2:$A$358,0),MOD(ROW()-2,6)+1),"")</f>
        <v/>
      </c>
      <c r="G1048" s="159">
        <f>IFERROR(IF(WEEKDAY($A1048,2)&lt;=INDEX('BASE METAS DIÁRIAS'!$H$2:$M$358,MATCH($A1048,'BASE METAS DIÁRIAS'!$A$2:$A$358,0),MOD(ROW()-2,6)+1),INDEX('BASE METAS DIÁRIAS'!$B$2:$G$358,MATCH($A1048,'BASE METAS DIÁRIAS'!$A$2:$A$358,0),MOD(ROW()-2,6)+1),""),"")</f>
        <v/>
      </c>
      <c r="H1048" s="159">
        <f>IFERROR(IF(INDEX('CONTROLE PRODUÇÃO POR EMPRESAS'!$B$6:$G$5000,MATCH($A1048,'CONTROLE PRODUÇÃO POR EMPRESAS'!$A$6:$A$5000,0),MOD(ROW()-2,6)+1)="","",IFERROR(1*INDEX('CONTROLE PRODUÇÃO POR EMPRESAS'!$B$6:$G$5000,MATCH($A1048,'CONTROLE PRODUÇÃO POR EMPRESAS'!$A$6:$A$5000,0),MOD(ROW()-2,6)+1),"")),"")</f>
        <v/>
      </c>
      <c r="I1048" s="159">
        <f>IF(OR(NOT(ISNUMBER(G1048)),NOT(ISNUMBER(H1048))),"",H1048-G1048)</f>
        <v/>
      </c>
      <c r="J1048" s="319">
        <f>IF(OR(NOT(ISNUMBER(G1048)),NOT(ISNUMBER(H1048)),G1048=0),"",I1048/G1048)</f>
        <v/>
      </c>
      <c r="K1048" s="319">
        <f>IF(OR(NOT(ISNUMBER(G1048)),NOT(ISNUMBER(H1048)),G1048=0),"",H1048/G1048)</f>
        <v/>
      </c>
      <c r="L1048">
        <f>IF(NOT(ISNUMBER(G1048)),"SEM META",IF(G1048=0,"SEM META",IF(NOT(ISNUMBER(H1048)),"SEM APONTAMENTO",IF(H1048&gt;=G1048,"VERDE",IF(H1048&gt;=G1048*0.9,"AMARELO","VERMELHO")))))</f>
        <v/>
      </c>
      <c r="M1048" s="162" t="n"/>
      <c r="N1048" s="162" t="n"/>
      <c r="O1048" s="162" t="n"/>
      <c r="P1048" s="162" t="n"/>
      <c r="Q1048" s="320" t="n"/>
      <c r="R1048" s="162" t="inlineStr">
        <is>
          <t>CONTROLE PRODUÇÃO POR EMPRESAS!D180</t>
        </is>
      </c>
    </row>
    <row r="1049" ht="28.5" customHeight="1">
      <c r="A1049" s="317" t="n">
        <v>46397</v>
      </c>
      <c r="B1049" t="inlineStr">
        <is>
          <t>GERAL</t>
        </is>
      </c>
      <c r="C1049" t="inlineStr">
        <is>
          <t>CMM</t>
        </is>
      </c>
      <c r="D1049" t="inlineStr">
        <is>
          <t>PREMONTAGEM</t>
        </is>
      </c>
      <c r="F1049" s="159">
        <f>IFERROR(INDEX('BASE METAS DIÁRIAS'!$N$2:$S$358,MATCH($A1049,'BASE METAS DIÁRIAS'!$A$2:$A$358,0),MOD(ROW()-2,6)+1),"")</f>
        <v/>
      </c>
      <c r="G1049" s="159">
        <f>IFERROR(IF(WEEKDAY($A1049,2)&lt;=INDEX('BASE METAS DIÁRIAS'!$H$2:$M$358,MATCH($A1049,'BASE METAS DIÁRIAS'!$A$2:$A$358,0),MOD(ROW()-2,6)+1),INDEX('BASE METAS DIÁRIAS'!$B$2:$G$358,MATCH($A1049,'BASE METAS DIÁRIAS'!$A$2:$A$358,0),MOD(ROW()-2,6)+1),""),"")</f>
        <v/>
      </c>
      <c r="H1049" s="159">
        <f>IFERROR(IF(INDEX('CONTROLE PRODUÇÃO POR EMPRESAS'!$B$6:$G$5000,MATCH($A1049,'CONTROLE PRODUÇÃO POR EMPRESAS'!$A$6:$A$5000,0),MOD(ROW()-2,6)+1)="","",IFERROR(1*INDEX('CONTROLE PRODUÇÃO POR EMPRESAS'!$B$6:$G$5000,MATCH($A1049,'CONTROLE PRODUÇÃO POR EMPRESAS'!$A$6:$A$5000,0),MOD(ROW()-2,6)+1),"")),"")</f>
        <v/>
      </c>
      <c r="I1049" s="159">
        <f>IF(OR(NOT(ISNUMBER(G1049)),NOT(ISNUMBER(H1049))),"",H1049-G1049)</f>
        <v/>
      </c>
      <c r="J1049" s="319">
        <f>IF(OR(NOT(ISNUMBER(G1049)),NOT(ISNUMBER(H1049)),G1049=0),"",I1049/G1049)</f>
        <v/>
      </c>
      <c r="K1049" s="319">
        <f>IF(OR(NOT(ISNUMBER(G1049)),NOT(ISNUMBER(H1049)),G1049=0),"",H1049/G1049)</f>
        <v/>
      </c>
      <c r="L1049">
        <f>IF(NOT(ISNUMBER(G1049)),"SEM META",IF(G1049=0,"SEM META",IF(NOT(ISNUMBER(H1049)),"SEM APONTAMENTO",IF(H1049&gt;=G1049,"VERDE",IF(H1049&gt;=G1049*0.9,"AMARELO","VERMELHO")))))</f>
        <v/>
      </c>
      <c r="M1049" s="162" t="n"/>
      <c r="N1049" s="162" t="n"/>
      <c r="O1049" s="162" t="n"/>
      <c r="P1049" s="162" t="n"/>
      <c r="Q1049" s="320" t="n"/>
      <c r="R1049" s="162" t="inlineStr">
        <is>
          <t>CONTROLE PRODUÇÃO POR EMPRESAS!E180</t>
        </is>
      </c>
    </row>
    <row r="1050" ht="28.5" customHeight="1">
      <c r="A1050" s="317" t="n">
        <v>46397</v>
      </c>
      <c r="B1050" t="inlineStr">
        <is>
          <t>GERAL</t>
        </is>
      </c>
      <c r="C1050" t="inlineStr">
        <is>
          <t>CMM</t>
        </is>
      </c>
      <c r="D1050" t="inlineStr">
        <is>
          <t>IÇAMENTO JOIST</t>
        </is>
      </c>
      <c r="F1050" s="159">
        <f>IFERROR(INDEX('BASE METAS DIÁRIAS'!$N$2:$S$358,MATCH($A1050,'BASE METAS DIÁRIAS'!$A$2:$A$358,0),MOD(ROW()-2,6)+1),"")</f>
        <v/>
      </c>
      <c r="G1050" s="159">
        <f>IFERROR(IF(WEEKDAY($A1050,2)&lt;=INDEX('BASE METAS DIÁRIAS'!$H$2:$M$358,MATCH($A1050,'BASE METAS DIÁRIAS'!$A$2:$A$358,0),MOD(ROW()-2,6)+1),INDEX('BASE METAS DIÁRIAS'!$B$2:$G$358,MATCH($A1050,'BASE METAS DIÁRIAS'!$A$2:$A$358,0),MOD(ROW()-2,6)+1),""),"")</f>
        <v/>
      </c>
      <c r="H1050" s="159">
        <f>IFERROR(IF(INDEX('CONTROLE PRODUÇÃO POR EMPRESAS'!$B$6:$G$5000,MATCH($A1050,'CONTROLE PRODUÇÃO POR EMPRESAS'!$A$6:$A$5000,0),MOD(ROW()-2,6)+1)="","",IFERROR(1*INDEX('CONTROLE PRODUÇÃO POR EMPRESAS'!$B$6:$G$5000,MATCH($A1050,'CONTROLE PRODUÇÃO POR EMPRESAS'!$A$6:$A$5000,0),MOD(ROW()-2,6)+1),"")),"")</f>
        <v/>
      </c>
      <c r="I1050" s="159">
        <f>IF(OR(NOT(ISNUMBER(G1050)),NOT(ISNUMBER(H1050))),"",H1050-G1050)</f>
        <v/>
      </c>
      <c r="J1050" s="319">
        <f>IF(OR(NOT(ISNUMBER(G1050)),NOT(ISNUMBER(H1050)),G1050=0),"",I1050/G1050)</f>
        <v/>
      </c>
      <c r="K1050" s="319">
        <f>IF(OR(NOT(ISNUMBER(G1050)),NOT(ISNUMBER(H1050)),G1050=0),"",H1050/G1050)</f>
        <v/>
      </c>
      <c r="L1050">
        <f>IF(NOT(ISNUMBER(G1050)),"SEM META",IF(G1050=0,"SEM META",IF(NOT(ISNUMBER(H1050)),"SEM APONTAMENTO",IF(H1050&gt;=G1050,"VERDE",IF(H1050&gt;=G1050*0.9,"AMARELO","VERMELHO")))))</f>
        <v/>
      </c>
      <c r="M1050" s="162" t="n"/>
      <c r="N1050" s="162" t="n"/>
      <c r="O1050" s="162" t="n"/>
      <c r="P1050" s="162" t="n"/>
      <c r="Q1050" s="320" t="n"/>
      <c r="R1050" s="162" t="inlineStr">
        <is>
          <t>CONTROLE PRODUÇÃO POR EMPRESAS!F180</t>
        </is>
      </c>
    </row>
    <row r="1051" ht="28.5" customHeight="1">
      <c r="A1051" s="317" t="n">
        <v>46397</v>
      </c>
      <c r="B1051" t="inlineStr">
        <is>
          <t>GERAL</t>
        </is>
      </c>
      <c r="C1051" t="inlineStr">
        <is>
          <t>CMM</t>
        </is>
      </c>
      <c r="D1051" t="inlineStr">
        <is>
          <t>VIGAS</t>
        </is>
      </c>
      <c r="F1051" s="159">
        <f>IFERROR(INDEX('BASE METAS DIÁRIAS'!$N$2:$S$358,MATCH($A1051,'BASE METAS DIÁRIAS'!$A$2:$A$358,0),MOD(ROW()-2,6)+1),"")</f>
        <v/>
      </c>
      <c r="G1051" s="159">
        <f>IFERROR(IF(WEEKDAY($A1051,2)&lt;=INDEX('BASE METAS DIÁRIAS'!$H$2:$M$358,MATCH($A1051,'BASE METAS DIÁRIAS'!$A$2:$A$358,0),MOD(ROW()-2,6)+1),INDEX('BASE METAS DIÁRIAS'!$B$2:$G$358,MATCH($A1051,'BASE METAS DIÁRIAS'!$A$2:$A$358,0),MOD(ROW()-2,6)+1),""),"")</f>
        <v/>
      </c>
      <c r="H1051" s="159">
        <f>IFERROR(IF(INDEX('CONTROLE PRODUÇÃO POR EMPRESAS'!$B$6:$G$5000,MATCH($A1051,'CONTROLE PRODUÇÃO POR EMPRESAS'!$A$6:$A$5000,0),MOD(ROW()-2,6)+1)="","",IFERROR(1*INDEX('CONTROLE PRODUÇÃO POR EMPRESAS'!$B$6:$G$5000,MATCH($A1051,'CONTROLE PRODUÇÃO POR EMPRESAS'!$A$6:$A$5000,0),MOD(ROW()-2,6)+1),"")),"")</f>
        <v/>
      </c>
      <c r="I1051" s="159">
        <f>IF(OR(NOT(ISNUMBER(G1051)),NOT(ISNUMBER(H1051))),"",H1051-G1051)</f>
        <v/>
      </c>
      <c r="J1051" s="319">
        <f>IF(OR(NOT(ISNUMBER(G1051)),NOT(ISNUMBER(H1051)),G1051=0),"",I1051/G1051)</f>
        <v/>
      </c>
      <c r="K1051" s="319">
        <f>IF(OR(NOT(ISNUMBER(G1051)),NOT(ISNUMBER(H1051)),G1051=0),"",H1051/G1051)</f>
        <v/>
      </c>
      <c r="L1051">
        <f>IF(NOT(ISNUMBER(G1051)),"SEM META",IF(G1051=0,"SEM META",IF(NOT(ISNUMBER(H1051)),"SEM APONTAMENTO",IF(H1051&gt;=G1051,"VERDE",IF(H1051&gt;=G1051*0.9,"AMARELO","VERMELHO")))))</f>
        <v/>
      </c>
      <c r="M1051" s="162" t="n"/>
      <c r="N1051" s="162" t="n"/>
      <c r="O1051" s="162" t="n"/>
      <c r="P1051" s="162" t="n"/>
      <c r="Q1051" s="320" t="n"/>
      <c r="R1051" s="162" t="inlineStr">
        <is>
          <t>CONTROLE PRODUÇÃO POR EMPRESAS!G180</t>
        </is>
      </c>
    </row>
    <row r="1052" ht="28.5" customHeight="1">
      <c r="A1052" s="317" t="n">
        <v>46398</v>
      </c>
      <c r="B1052" t="inlineStr">
        <is>
          <t>GERAL</t>
        </is>
      </c>
      <c r="C1052" t="inlineStr">
        <is>
          <t>EJ</t>
        </is>
      </c>
      <c r="D1052" t="inlineStr">
        <is>
          <t>PREMONTAGEM</t>
        </is>
      </c>
      <c r="F1052" s="159">
        <f>IFERROR(INDEX('BASE METAS DIÁRIAS'!$N$2:$S$358,MATCH($A1052,'BASE METAS DIÁRIAS'!$A$2:$A$358,0),MOD(ROW()-2,6)+1),"")</f>
        <v/>
      </c>
      <c r="G1052" s="159">
        <f>IFERROR(IF(WEEKDAY($A1052,2)&lt;=INDEX('BASE METAS DIÁRIAS'!$H$2:$M$358,MATCH($A1052,'BASE METAS DIÁRIAS'!$A$2:$A$358,0),MOD(ROW()-2,6)+1),INDEX('BASE METAS DIÁRIAS'!$B$2:$G$358,MATCH($A1052,'BASE METAS DIÁRIAS'!$A$2:$A$358,0),MOD(ROW()-2,6)+1),""),"")</f>
        <v/>
      </c>
      <c r="H1052" s="159">
        <f>IFERROR(IF(INDEX('CONTROLE PRODUÇÃO POR EMPRESAS'!$B$6:$G$5000,MATCH($A1052,'CONTROLE PRODUÇÃO POR EMPRESAS'!$A$6:$A$5000,0),MOD(ROW()-2,6)+1)="","",IFERROR(1*INDEX('CONTROLE PRODUÇÃO POR EMPRESAS'!$B$6:$G$5000,MATCH($A1052,'CONTROLE PRODUÇÃO POR EMPRESAS'!$A$6:$A$5000,0),MOD(ROW()-2,6)+1),"")),"")</f>
        <v/>
      </c>
      <c r="I1052" s="159">
        <f>IF(OR(NOT(ISNUMBER(G1052)),NOT(ISNUMBER(H1052))),"",H1052-G1052)</f>
        <v/>
      </c>
      <c r="J1052" s="319">
        <f>IF(OR(NOT(ISNUMBER(G1052)),NOT(ISNUMBER(H1052)),G1052=0),"",I1052/G1052)</f>
        <v/>
      </c>
      <c r="K1052" s="319">
        <f>IF(OR(NOT(ISNUMBER(G1052)),NOT(ISNUMBER(H1052)),G1052=0),"",H1052/G1052)</f>
        <v/>
      </c>
      <c r="L1052">
        <f>IF(NOT(ISNUMBER(G1052)),"SEM META",IF(G1052=0,"SEM META",IF(NOT(ISNUMBER(H1052)),"SEM APONTAMENTO",IF(H1052&gt;=G1052,"VERDE",IF(H1052&gt;=G1052*0.9,"AMARELO","VERMELHO")))))</f>
        <v/>
      </c>
      <c r="M1052" s="162" t="n"/>
      <c r="N1052" s="162" t="n"/>
      <c r="O1052" s="162" t="n"/>
      <c r="P1052" s="162" t="n"/>
      <c r="Q1052" s="320" t="n"/>
      <c r="R1052" s="162" t="inlineStr">
        <is>
          <t>CONTROLE PRODUÇÃO POR EMPRESAS!B181</t>
        </is>
      </c>
    </row>
    <row r="1053" ht="28.5" customHeight="1">
      <c r="A1053" s="317" t="n">
        <v>46398</v>
      </c>
      <c r="B1053" t="inlineStr">
        <is>
          <t>GERAL</t>
        </is>
      </c>
      <c r="C1053" t="inlineStr">
        <is>
          <t>EJ</t>
        </is>
      </c>
      <c r="D1053" t="inlineStr">
        <is>
          <t>IÇAMENTO JOIST</t>
        </is>
      </c>
      <c r="F1053" s="159">
        <f>IFERROR(INDEX('BASE METAS DIÁRIAS'!$N$2:$S$358,MATCH($A1053,'BASE METAS DIÁRIAS'!$A$2:$A$358,0),MOD(ROW()-2,6)+1),"")</f>
        <v/>
      </c>
      <c r="G1053" s="159">
        <f>IFERROR(IF(WEEKDAY($A1053,2)&lt;=INDEX('BASE METAS DIÁRIAS'!$H$2:$M$358,MATCH($A1053,'BASE METAS DIÁRIAS'!$A$2:$A$358,0),MOD(ROW()-2,6)+1),INDEX('BASE METAS DIÁRIAS'!$B$2:$G$358,MATCH($A1053,'BASE METAS DIÁRIAS'!$A$2:$A$358,0),MOD(ROW()-2,6)+1),""),"")</f>
        <v/>
      </c>
      <c r="H1053" s="159">
        <f>IFERROR(IF(INDEX('CONTROLE PRODUÇÃO POR EMPRESAS'!$B$6:$G$5000,MATCH($A1053,'CONTROLE PRODUÇÃO POR EMPRESAS'!$A$6:$A$5000,0),MOD(ROW()-2,6)+1)="","",IFERROR(1*INDEX('CONTROLE PRODUÇÃO POR EMPRESAS'!$B$6:$G$5000,MATCH($A1053,'CONTROLE PRODUÇÃO POR EMPRESAS'!$A$6:$A$5000,0),MOD(ROW()-2,6)+1),"")),"")</f>
        <v/>
      </c>
      <c r="I1053" s="159">
        <f>IF(OR(NOT(ISNUMBER(G1053)),NOT(ISNUMBER(H1053))),"",H1053-G1053)</f>
        <v/>
      </c>
      <c r="J1053" s="319">
        <f>IF(OR(NOT(ISNUMBER(G1053)),NOT(ISNUMBER(H1053)),G1053=0),"",I1053/G1053)</f>
        <v/>
      </c>
      <c r="K1053" s="319">
        <f>IF(OR(NOT(ISNUMBER(G1053)),NOT(ISNUMBER(H1053)),G1053=0),"",H1053/G1053)</f>
        <v/>
      </c>
      <c r="L1053">
        <f>IF(NOT(ISNUMBER(G1053)),"SEM META",IF(G1053=0,"SEM META",IF(NOT(ISNUMBER(H1053)),"SEM APONTAMENTO",IF(H1053&gt;=G1053,"VERDE",IF(H1053&gt;=G1053*0.9,"AMARELO","VERMELHO")))))</f>
        <v/>
      </c>
      <c r="M1053" s="162" t="n"/>
      <c r="N1053" s="162" t="n"/>
      <c r="O1053" s="162" t="n"/>
      <c r="P1053" s="162" t="n"/>
      <c r="Q1053" s="320" t="n"/>
      <c r="R1053" s="162" t="inlineStr">
        <is>
          <t>CONTROLE PRODUÇÃO POR EMPRESAS!C181</t>
        </is>
      </c>
    </row>
    <row r="1054" ht="28.5" customHeight="1">
      <c r="A1054" s="317" t="n">
        <v>46398</v>
      </c>
      <c r="B1054" t="inlineStr">
        <is>
          <t>GERAL</t>
        </is>
      </c>
      <c r="C1054" t="inlineStr">
        <is>
          <t>EJ</t>
        </is>
      </c>
      <c r="D1054" t="inlineStr">
        <is>
          <t>VIGAS</t>
        </is>
      </c>
      <c r="F1054" s="159">
        <f>IFERROR(INDEX('BASE METAS DIÁRIAS'!$N$2:$S$358,MATCH($A1054,'BASE METAS DIÁRIAS'!$A$2:$A$358,0),MOD(ROW()-2,6)+1),"")</f>
        <v/>
      </c>
      <c r="G1054" s="159">
        <f>IFERROR(IF(WEEKDAY($A1054,2)&lt;=INDEX('BASE METAS DIÁRIAS'!$H$2:$M$358,MATCH($A1054,'BASE METAS DIÁRIAS'!$A$2:$A$358,0),MOD(ROW()-2,6)+1),INDEX('BASE METAS DIÁRIAS'!$B$2:$G$358,MATCH($A1054,'BASE METAS DIÁRIAS'!$A$2:$A$358,0),MOD(ROW()-2,6)+1),""),"")</f>
        <v/>
      </c>
      <c r="H1054" s="159">
        <f>IFERROR(IF(INDEX('CONTROLE PRODUÇÃO POR EMPRESAS'!$B$6:$G$5000,MATCH($A1054,'CONTROLE PRODUÇÃO POR EMPRESAS'!$A$6:$A$5000,0),MOD(ROW()-2,6)+1)="","",IFERROR(1*INDEX('CONTROLE PRODUÇÃO POR EMPRESAS'!$B$6:$G$5000,MATCH($A1054,'CONTROLE PRODUÇÃO POR EMPRESAS'!$A$6:$A$5000,0),MOD(ROW()-2,6)+1),"")),"")</f>
        <v/>
      </c>
      <c r="I1054" s="159">
        <f>IF(OR(NOT(ISNUMBER(G1054)),NOT(ISNUMBER(H1054))),"",H1054-G1054)</f>
        <v/>
      </c>
      <c r="J1054" s="319">
        <f>IF(OR(NOT(ISNUMBER(G1054)),NOT(ISNUMBER(H1054)),G1054=0),"",I1054/G1054)</f>
        <v/>
      </c>
      <c r="K1054" s="319">
        <f>IF(OR(NOT(ISNUMBER(G1054)),NOT(ISNUMBER(H1054)),G1054=0),"",H1054/G1054)</f>
        <v/>
      </c>
      <c r="L1054">
        <f>IF(NOT(ISNUMBER(G1054)),"SEM META",IF(G1054=0,"SEM META",IF(NOT(ISNUMBER(H1054)),"SEM APONTAMENTO",IF(H1054&gt;=G1054,"VERDE",IF(H1054&gt;=G1054*0.9,"AMARELO","VERMELHO")))))</f>
        <v/>
      </c>
      <c r="M1054" s="162" t="n"/>
      <c r="N1054" s="162" t="n"/>
      <c r="O1054" s="162" t="n"/>
      <c r="P1054" s="162" t="n"/>
      <c r="Q1054" s="320" t="n"/>
      <c r="R1054" s="162" t="inlineStr">
        <is>
          <t>CONTROLE PRODUÇÃO POR EMPRESAS!D181</t>
        </is>
      </c>
    </row>
    <row r="1055" ht="28.5" customHeight="1">
      <c r="A1055" s="317" t="n">
        <v>46398</v>
      </c>
      <c r="B1055" t="inlineStr">
        <is>
          <t>GERAL</t>
        </is>
      </c>
      <c r="C1055" t="inlineStr">
        <is>
          <t>CMM</t>
        </is>
      </c>
      <c r="D1055" t="inlineStr">
        <is>
          <t>PREMONTAGEM</t>
        </is>
      </c>
      <c r="F1055" s="159">
        <f>IFERROR(INDEX('BASE METAS DIÁRIAS'!$N$2:$S$358,MATCH($A1055,'BASE METAS DIÁRIAS'!$A$2:$A$358,0),MOD(ROW()-2,6)+1),"")</f>
        <v/>
      </c>
      <c r="G1055" s="159">
        <f>IFERROR(IF(WEEKDAY($A1055,2)&lt;=INDEX('BASE METAS DIÁRIAS'!$H$2:$M$358,MATCH($A1055,'BASE METAS DIÁRIAS'!$A$2:$A$358,0),MOD(ROW()-2,6)+1),INDEX('BASE METAS DIÁRIAS'!$B$2:$G$358,MATCH($A1055,'BASE METAS DIÁRIAS'!$A$2:$A$358,0),MOD(ROW()-2,6)+1),""),"")</f>
        <v/>
      </c>
      <c r="H1055" s="159">
        <f>IFERROR(IF(INDEX('CONTROLE PRODUÇÃO POR EMPRESAS'!$B$6:$G$5000,MATCH($A1055,'CONTROLE PRODUÇÃO POR EMPRESAS'!$A$6:$A$5000,0),MOD(ROW()-2,6)+1)="","",IFERROR(1*INDEX('CONTROLE PRODUÇÃO POR EMPRESAS'!$B$6:$G$5000,MATCH($A1055,'CONTROLE PRODUÇÃO POR EMPRESAS'!$A$6:$A$5000,0),MOD(ROW()-2,6)+1),"")),"")</f>
        <v/>
      </c>
      <c r="I1055" s="159">
        <f>IF(OR(NOT(ISNUMBER(G1055)),NOT(ISNUMBER(H1055))),"",H1055-G1055)</f>
        <v/>
      </c>
      <c r="J1055" s="319">
        <f>IF(OR(NOT(ISNUMBER(G1055)),NOT(ISNUMBER(H1055)),G1055=0),"",I1055/G1055)</f>
        <v/>
      </c>
      <c r="K1055" s="319">
        <f>IF(OR(NOT(ISNUMBER(G1055)),NOT(ISNUMBER(H1055)),G1055=0),"",H1055/G1055)</f>
        <v/>
      </c>
      <c r="L1055">
        <f>IF(NOT(ISNUMBER(G1055)),"SEM META",IF(G1055=0,"SEM META",IF(NOT(ISNUMBER(H1055)),"SEM APONTAMENTO",IF(H1055&gt;=G1055,"VERDE",IF(H1055&gt;=G1055*0.9,"AMARELO","VERMELHO")))))</f>
        <v/>
      </c>
      <c r="M1055" s="162" t="n"/>
      <c r="N1055" s="162" t="n"/>
      <c r="O1055" s="162" t="n"/>
      <c r="P1055" s="162" t="n"/>
      <c r="Q1055" s="320" t="n"/>
      <c r="R1055" s="162" t="inlineStr">
        <is>
          <t>CONTROLE PRODUÇÃO POR EMPRESAS!E181</t>
        </is>
      </c>
    </row>
    <row r="1056" ht="28.5" customHeight="1">
      <c r="A1056" s="317" t="n">
        <v>46398</v>
      </c>
      <c r="B1056" t="inlineStr">
        <is>
          <t>GERAL</t>
        </is>
      </c>
      <c r="C1056" t="inlineStr">
        <is>
          <t>CMM</t>
        </is>
      </c>
      <c r="D1056" t="inlineStr">
        <is>
          <t>IÇAMENTO JOIST</t>
        </is>
      </c>
      <c r="F1056" s="159">
        <f>IFERROR(INDEX('BASE METAS DIÁRIAS'!$N$2:$S$358,MATCH($A1056,'BASE METAS DIÁRIAS'!$A$2:$A$358,0),MOD(ROW()-2,6)+1),"")</f>
        <v/>
      </c>
      <c r="G1056" s="159">
        <f>IFERROR(IF(WEEKDAY($A1056,2)&lt;=INDEX('BASE METAS DIÁRIAS'!$H$2:$M$358,MATCH($A1056,'BASE METAS DIÁRIAS'!$A$2:$A$358,0),MOD(ROW()-2,6)+1),INDEX('BASE METAS DIÁRIAS'!$B$2:$G$358,MATCH($A1056,'BASE METAS DIÁRIAS'!$A$2:$A$358,0),MOD(ROW()-2,6)+1),""),"")</f>
        <v/>
      </c>
      <c r="H1056" s="159">
        <f>IFERROR(IF(INDEX('CONTROLE PRODUÇÃO POR EMPRESAS'!$B$6:$G$5000,MATCH($A1056,'CONTROLE PRODUÇÃO POR EMPRESAS'!$A$6:$A$5000,0),MOD(ROW()-2,6)+1)="","",IFERROR(1*INDEX('CONTROLE PRODUÇÃO POR EMPRESAS'!$B$6:$G$5000,MATCH($A1056,'CONTROLE PRODUÇÃO POR EMPRESAS'!$A$6:$A$5000,0),MOD(ROW()-2,6)+1),"")),"")</f>
        <v/>
      </c>
      <c r="I1056" s="159">
        <f>IF(OR(NOT(ISNUMBER(G1056)),NOT(ISNUMBER(H1056))),"",H1056-G1056)</f>
        <v/>
      </c>
      <c r="J1056" s="319">
        <f>IF(OR(NOT(ISNUMBER(G1056)),NOT(ISNUMBER(H1056)),G1056=0),"",I1056/G1056)</f>
        <v/>
      </c>
      <c r="K1056" s="319">
        <f>IF(OR(NOT(ISNUMBER(G1056)),NOT(ISNUMBER(H1056)),G1056=0),"",H1056/G1056)</f>
        <v/>
      </c>
      <c r="L1056">
        <f>IF(NOT(ISNUMBER(G1056)),"SEM META",IF(G1056=0,"SEM META",IF(NOT(ISNUMBER(H1056)),"SEM APONTAMENTO",IF(H1056&gt;=G1056,"VERDE",IF(H1056&gt;=G1056*0.9,"AMARELO","VERMELHO")))))</f>
        <v/>
      </c>
      <c r="M1056" s="162" t="n"/>
      <c r="N1056" s="162" t="n"/>
      <c r="O1056" s="162" t="n"/>
      <c r="P1056" s="162" t="n"/>
      <c r="Q1056" s="320" t="n"/>
      <c r="R1056" s="162" t="inlineStr">
        <is>
          <t>CONTROLE PRODUÇÃO POR EMPRESAS!F181</t>
        </is>
      </c>
    </row>
    <row r="1057" ht="28.5" customHeight="1">
      <c r="A1057" s="317" t="n">
        <v>46398</v>
      </c>
      <c r="B1057" t="inlineStr">
        <is>
          <t>GERAL</t>
        </is>
      </c>
      <c r="C1057" t="inlineStr">
        <is>
          <t>CMM</t>
        </is>
      </c>
      <c r="D1057" t="inlineStr">
        <is>
          <t>VIGAS</t>
        </is>
      </c>
      <c r="F1057" s="159">
        <f>IFERROR(INDEX('BASE METAS DIÁRIAS'!$N$2:$S$358,MATCH($A1057,'BASE METAS DIÁRIAS'!$A$2:$A$358,0),MOD(ROW()-2,6)+1),"")</f>
        <v/>
      </c>
      <c r="G1057" s="159">
        <f>IFERROR(IF(WEEKDAY($A1057,2)&lt;=INDEX('BASE METAS DIÁRIAS'!$H$2:$M$358,MATCH($A1057,'BASE METAS DIÁRIAS'!$A$2:$A$358,0),MOD(ROW()-2,6)+1),INDEX('BASE METAS DIÁRIAS'!$B$2:$G$358,MATCH($A1057,'BASE METAS DIÁRIAS'!$A$2:$A$358,0),MOD(ROW()-2,6)+1),""),"")</f>
        <v/>
      </c>
      <c r="H1057" s="159">
        <f>IFERROR(IF(INDEX('CONTROLE PRODUÇÃO POR EMPRESAS'!$B$6:$G$5000,MATCH($A1057,'CONTROLE PRODUÇÃO POR EMPRESAS'!$A$6:$A$5000,0),MOD(ROW()-2,6)+1)="","",IFERROR(1*INDEX('CONTROLE PRODUÇÃO POR EMPRESAS'!$B$6:$G$5000,MATCH($A1057,'CONTROLE PRODUÇÃO POR EMPRESAS'!$A$6:$A$5000,0),MOD(ROW()-2,6)+1),"")),"")</f>
        <v/>
      </c>
      <c r="I1057" s="159">
        <f>IF(OR(NOT(ISNUMBER(G1057)),NOT(ISNUMBER(H1057))),"",H1057-G1057)</f>
        <v/>
      </c>
      <c r="J1057" s="319">
        <f>IF(OR(NOT(ISNUMBER(G1057)),NOT(ISNUMBER(H1057)),G1057=0),"",I1057/G1057)</f>
        <v/>
      </c>
      <c r="K1057" s="319">
        <f>IF(OR(NOT(ISNUMBER(G1057)),NOT(ISNUMBER(H1057)),G1057=0),"",H1057/G1057)</f>
        <v/>
      </c>
      <c r="L1057">
        <f>IF(NOT(ISNUMBER(G1057)),"SEM META",IF(G1057=0,"SEM META",IF(NOT(ISNUMBER(H1057)),"SEM APONTAMENTO",IF(H1057&gt;=G1057,"VERDE",IF(H1057&gt;=G1057*0.9,"AMARELO","VERMELHO")))))</f>
        <v/>
      </c>
      <c r="M1057" s="162" t="n"/>
      <c r="N1057" s="162" t="n"/>
      <c r="O1057" s="162" t="n"/>
      <c r="P1057" s="162" t="n"/>
      <c r="Q1057" s="320" t="n"/>
      <c r="R1057" s="162" t="inlineStr">
        <is>
          <t>CONTROLE PRODUÇÃO POR EMPRESAS!G181</t>
        </is>
      </c>
    </row>
    <row r="1058" ht="28.5" customHeight="1">
      <c r="A1058" s="317" t="n">
        <v>46399</v>
      </c>
      <c r="B1058" t="inlineStr">
        <is>
          <t>GERAL</t>
        </is>
      </c>
      <c r="C1058" t="inlineStr">
        <is>
          <t>EJ</t>
        </is>
      </c>
      <c r="D1058" t="inlineStr">
        <is>
          <t>PREMONTAGEM</t>
        </is>
      </c>
      <c r="F1058" s="159">
        <f>IFERROR(INDEX('BASE METAS DIÁRIAS'!$N$2:$S$358,MATCH($A1058,'BASE METAS DIÁRIAS'!$A$2:$A$358,0),MOD(ROW()-2,6)+1),"")</f>
        <v/>
      </c>
      <c r="G1058" s="159">
        <f>IFERROR(IF(WEEKDAY($A1058,2)&lt;=INDEX('BASE METAS DIÁRIAS'!$H$2:$M$358,MATCH($A1058,'BASE METAS DIÁRIAS'!$A$2:$A$358,0),MOD(ROW()-2,6)+1),INDEX('BASE METAS DIÁRIAS'!$B$2:$G$358,MATCH($A1058,'BASE METAS DIÁRIAS'!$A$2:$A$358,0),MOD(ROW()-2,6)+1),""),"")</f>
        <v/>
      </c>
      <c r="H1058" s="159">
        <f>IFERROR(IF(INDEX('CONTROLE PRODUÇÃO POR EMPRESAS'!$B$6:$G$5000,MATCH($A1058,'CONTROLE PRODUÇÃO POR EMPRESAS'!$A$6:$A$5000,0),MOD(ROW()-2,6)+1)="","",IFERROR(1*INDEX('CONTROLE PRODUÇÃO POR EMPRESAS'!$B$6:$G$5000,MATCH($A1058,'CONTROLE PRODUÇÃO POR EMPRESAS'!$A$6:$A$5000,0),MOD(ROW()-2,6)+1),"")),"")</f>
        <v/>
      </c>
      <c r="I1058" s="159">
        <f>IF(OR(NOT(ISNUMBER(G1058)),NOT(ISNUMBER(H1058))),"",H1058-G1058)</f>
        <v/>
      </c>
      <c r="J1058" s="319">
        <f>IF(OR(NOT(ISNUMBER(G1058)),NOT(ISNUMBER(H1058)),G1058=0),"",I1058/G1058)</f>
        <v/>
      </c>
      <c r="K1058" s="319">
        <f>IF(OR(NOT(ISNUMBER(G1058)),NOT(ISNUMBER(H1058)),G1058=0),"",H1058/G1058)</f>
        <v/>
      </c>
      <c r="L1058">
        <f>IF(NOT(ISNUMBER(G1058)),"SEM META",IF(G1058=0,"SEM META",IF(NOT(ISNUMBER(H1058)),"SEM APONTAMENTO",IF(H1058&gt;=G1058,"VERDE",IF(H1058&gt;=G1058*0.9,"AMARELO","VERMELHO")))))</f>
        <v/>
      </c>
      <c r="M1058" s="162" t="n"/>
      <c r="N1058" s="162" t="n"/>
      <c r="O1058" s="162" t="n"/>
      <c r="P1058" s="162" t="n"/>
      <c r="Q1058" s="320" t="n"/>
      <c r="R1058" s="162" t="inlineStr">
        <is>
          <t>CONTROLE PRODUÇÃO POR EMPRESAS!B182</t>
        </is>
      </c>
    </row>
    <row r="1059" ht="28.5" customHeight="1">
      <c r="A1059" s="317" t="n">
        <v>46399</v>
      </c>
      <c r="B1059" t="inlineStr">
        <is>
          <t>GERAL</t>
        </is>
      </c>
      <c r="C1059" t="inlineStr">
        <is>
          <t>EJ</t>
        </is>
      </c>
      <c r="D1059" t="inlineStr">
        <is>
          <t>IÇAMENTO JOIST</t>
        </is>
      </c>
      <c r="F1059" s="159">
        <f>IFERROR(INDEX('BASE METAS DIÁRIAS'!$N$2:$S$358,MATCH($A1059,'BASE METAS DIÁRIAS'!$A$2:$A$358,0),MOD(ROW()-2,6)+1),"")</f>
        <v/>
      </c>
      <c r="G1059" s="159">
        <f>IFERROR(IF(WEEKDAY($A1059,2)&lt;=INDEX('BASE METAS DIÁRIAS'!$H$2:$M$358,MATCH($A1059,'BASE METAS DIÁRIAS'!$A$2:$A$358,0),MOD(ROW()-2,6)+1),INDEX('BASE METAS DIÁRIAS'!$B$2:$G$358,MATCH($A1059,'BASE METAS DIÁRIAS'!$A$2:$A$358,0),MOD(ROW()-2,6)+1),""),"")</f>
        <v/>
      </c>
      <c r="H1059" s="159">
        <f>IFERROR(IF(INDEX('CONTROLE PRODUÇÃO POR EMPRESAS'!$B$6:$G$5000,MATCH($A1059,'CONTROLE PRODUÇÃO POR EMPRESAS'!$A$6:$A$5000,0),MOD(ROW()-2,6)+1)="","",IFERROR(1*INDEX('CONTROLE PRODUÇÃO POR EMPRESAS'!$B$6:$G$5000,MATCH($A1059,'CONTROLE PRODUÇÃO POR EMPRESAS'!$A$6:$A$5000,0),MOD(ROW()-2,6)+1),"")),"")</f>
        <v/>
      </c>
      <c r="I1059" s="159">
        <f>IF(OR(NOT(ISNUMBER(G1059)),NOT(ISNUMBER(H1059))),"",H1059-G1059)</f>
        <v/>
      </c>
      <c r="J1059" s="319">
        <f>IF(OR(NOT(ISNUMBER(G1059)),NOT(ISNUMBER(H1059)),G1059=0),"",I1059/G1059)</f>
        <v/>
      </c>
      <c r="K1059" s="319">
        <f>IF(OR(NOT(ISNUMBER(G1059)),NOT(ISNUMBER(H1059)),G1059=0),"",H1059/G1059)</f>
        <v/>
      </c>
      <c r="L1059">
        <f>IF(NOT(ISNUMBER(G1059)),"SEM META",IF(G1059=0,"SEM META",IF(NOT(ISNUMBER(H1059)),"SEM APONTAMENTO",IF(H1059&gt;=G1059,"VERDE",IF(H1059&gt;=G1059*0.9,"AMARELO","VERMELHO")))))</f>
        <v/>
      </c>
      <c r="M1059" s="162" t="n"/>
      <c r="N1059" s="162" t="n"/>
      <c r="O1059" s="162" t="n"/>
      <c r="P1059" s="162" t="n"/>
      <c r="Q1059" s="320" t="n"/>
      <c r="R1059" s="162" t="inlineStr">
        <is>
          <t>CONTROLE PRODUÇÃO POR EMPRESAS!C182</t>
        </is>
      </c>
    </row>
    <row r="1060" ht="28.5" customHeight="1">
      <c r="A1060" s="317" t="n">
        <v>46399</v>
      </c>
      <c r="B1060" t="inlineStr">
        <is>
          <t>GERAL</t>
        </is>
      </c>
      <c r="C1060" t="inlineStr">
        <is>
          <t>EJ</t>
        </is>
      </c>
      <c r="D1060" t="inlineStr">
        <is>
          <t>VIGAS</t>
        </is>
      </c>
      <c r="F1060" s="159">
        <f>IFERROR(INDEX('BASE METAS DIÁRIAS'!$N$2:$S$358,MATCH($A1060,'BASE METAS DIÁRIAS'!$A$2:$A$358,0),MOD(ROW()-2,6)+1),"")</f>
        <v/>
      </c>
      <c r="G1060" s="159">
        <f>IFERROR(IF(WEEKDAY($A1060,2)&lt;=INDEX('BASE METAS DIÁRIAS'!$H$2:$M$358,MATCH($A1060,'BASE METAS DIÁRIAS'!$A$2:$A$358,0),MOD(ROW()-2,6)+1),INDEX('BASE METAS DIÁRIAS'!$B$2:$G$358,MATCH($A1060,'BASE METAS DIÁRIAS'!$A$2:$A$358,0),MOD(ROW()-2,6)+1),""),"")</f>
        <v/>
      </c>
      <c r="H1060" s="159">
        <f>IFERROR(IF(INDEX('CONTROLE PRODUÇÃO POR EMPRESAS'!$B$6:$G$5000,MATCH($A1060,'CONTROLE PRODUÇÃO POR EMPRESAS'!$A$6:$A$5000,0),MOD(ROW()-2,6)+1)="","",IFERROR(1*INDEX('CONTROLE PRODUÇÃO POR EMPRESAS'!$B$6:$G$5000,MATCH($A1060,'CONTROLE PRODUÇÃO POR EMPRESAS'!$A$6:$A$5000,0),MOD(ROW()-2,6)+1),"")),"")</f>
        <v/>
      </c>
      <c r="I1060" s="159">
        <f>IF(OR(NOT(ISNUMBER(G1060)),NOT(ISNUMBER(H1060))),"",H1060-G1060)</f>
        <v/>
      </c>
      <c r="J1060" s="319">
        <f>IF(OR(NOT(ISNUMBER(G1060)),NOT(ISNUMBER(H1060)),G1060=0),"",I1060/G1060)</f>
        <v/>
      </c>
      <c r="K1060" s="319">
        <f>IF(OR(NOT(ISNUMBER(G1060)),NOT(ISNUMBER(H1060)),G1060=0),"",H1060/G1060)</f>
        <v/>
      </c>
      <c r="L1060">
        <f>IF(NOT(ISNUMBER(G1060)),"SEM META",IF(G1060=0,"SEM META",IF(NOT(ISNUMBER(H1060)),"SEM APONTAMENTO",IF(H1060&gt;=G1060,"VERDE",IF(H1060&gt;=G1060*0.9,"AMARELO","VERMELHO")))))</f>
        <v/>
      </c>
      <c r="M1060" s="162" t="n"/>
      <c r="N1060" s="162" t="n"/>
      <c r="O1060" s="162" t="n"/>
      <c r="P1060" s="162" t="n"/>
      <c r="Q1060" s="320" t="n"/>
      <c r="R1060" s="162" t="inlineStr">
        <is>
          <t>CONTROLE PRODUÇÃO POR EMPRESAS!D182</t>
        </is>
      </c>
    </row>
    <row r="1061" ht="28.5" customHeight="1">
      <c r="A1061" s="317" t="n">
        <v>46399</v>
      </c>
      <c r="B1061" t="inlineStr">
        <is>
          <t>GERAL</t>
        </is>
      </c>
      <c r="C1061" t="inlineStr">
        <is>
          <t>CMM</t>
        </is>
      </c>
      <c r="D1061" t="inlineStr">
        <is>
          <t>PREMONTAGEM</t>
        </is>
      </c>
      <c r="F1061" s="159">
        <f>IFERROR(INDEX('BASE METAS DIÁRIAS'!$N$2:$S$358,MATCH($A1061,'BASE METAS DIÁRIAS'!$A$2:$A$358,0),MOD(ROW()-2,6)+1),"")</f>
        <v/>
      </c>
      <c r="G1061" s="159">
        <f>IFERROR(IF(WEEKDAY($A1061,2)&lt;=INDEX('BASE METAS DIÁRIAS'!$H$2:$M$358,MATCH($A1061,'BASE METAS DIÁRIAS'!$A$2:$A$358,0),MOD(ROW()-2,6)+1),INDEX('BASE METAS DIÁRIAS'!$B$2:$G$358,MATCH($A1061,'BASE METAS DIÁRIAS'!$A$2:$A$358,0),MOD(ROW()-2,6)+1),""),"")</f>
        <v/>
      </c>
      <c r="H1061" s="159">
        <f>IFERROR(IF(INDEX('CONTROLE PRODUÇÃO POR EMPRESAS'!$B$6:$G$5000,MATCH($A1061,'CONTROLE PRODUÇÃO POR EMPRESAS'!$A$6:$A$5000,0),MOD(ROW()-2,6)+1)="","",IFERROR(1*INDEX('CONTROLE PRODUÇÃO POR EMPRESAS'!$B$6:$G$5000,MATCH($A1061,'CONTROLE PRODUÇÃO POR EMPRESAS'!$A$6:$A$5000,0),MOD(ROW()-2,6)+1),"")),"")</f>
        <v/>
      </c>
      <c r="I1061" s="159">
        <f>IF(OR(NOT(ISNUMBER(G1061)),NOT(ISNUMBER(H1061))),"",H1061-G1061)</f>
        <v/>
      </c>
      <c r="J1061" s="319">
        <f>IF(OR(NOT(ISNUMBER(G1061)),NOT(ISNUMBER(H1061)),G1061=0),"",I1061/G1061)</f>
        <v/>
      </c>
      <c r="K1061" s="319">
        <f>IF(OR(NOT(ISNUMBER(G1061)),NOT(ISNUMBER(H1061)),G1061=0),"",H1061/G1061)</f>
        <v/>
      </c>
      <c r="L1061">
        <f>IF(NOT(ISNUMBER(G1061)),"SEM META",IF(G1061=0,"SEM META",IF(NOT(ISNUMBER(H1061)),"SEM APONTAMENTO",IF(H1061&gt;=G1061,"VERDE",IF(H1061&gt;=G1061*0.9,"AMARELO","VERMELHO")))))</f>
        <v/>
      </c>
      <c r="M1061" s="162" t="n"/>
      <c r="N1061" s="162" t="n"/>
      <c r="O1061" s="162" t="n"/>
      <c r="P1061" s="162" t="n"/>
      <c r="Q1061" s="320" t="n"/>
      <c r="R1061" s="162" t="inlineStr">
        <is>
          <t>CONTROLE PRODUÇÃO POR EMPRESAS!E182</t>
        </is>
      </c>
    </row>
    <row r="1062" ht="28.5" customHeight="1">
      <c r="A1062" s="317" t="n">
        <v>46399</v>
      </c>
      <c r="B1062" t="inlineStr">
        <is>
          <t>GERAL</t>
        </is>
      </c>
      <c r="C1062" t="inlineStr">
        <is>
          <t>CMM</t>
        </is>
      </c>
      <c r="D1062" t="inlineStr">
        <is>
          <t>IÇAMENTO JOIST</t>
        </is>
      </c>
      <c r="F1062" s="159">
        <f>IFERROR(INDEX('BASE METAS DIÁRIAS'!$N$2:$S$358,MATCH($A1062,'BASE METAS DIÁRIAS'!$A$2:$A$358,0),MOD(ROW()-2,6)+1),"")</f>
        <v/>
      </c>
      <c r="G1062" s="159">
        <f>IFERROR(IF(WEEKDAY($A1062,2)&lt;=INDEX('BASE METAS DIÁRIAS'!$H$2:$M$358,MATCH($A1062,'BASE METAS DIÁRIAS'!$A$2:$A$358,0),MOD(ROW()-2,6)+1),INDEX('BASE METAS DIÁRIAS'!$B$2:$G$358,MATCH($A1062,'BASE METAS DIÁRIAS'!$A$2:$A$358,0),MOD(ROW()-2,6)+1),""),"")</f>
        <v/>
      </c>
      <c r="H1062" s="159">
        <f>IFERROR(IF(INDEX('CONTROLE PRODUÇÃO POR EMPRESAS'!$B$6:$G$5000,MATCH($A1062,'CONTROLE PRODUÇÃO POR EMPRESAS'!$A$6:$A$5000,0),MOD(ROW()-2,6)+1)="","",IFERROR(1*INDEX('CONTROLE PRODUÇÃO POR EMPRESAS'!$B$6:$G$5000,MATCH($A1062,'CONTROLE PRODUÇÃO POR EMPRESAS'!$A$6:$A$5000,0),MOD(ROW()-2,6)+1),"")),"")</f>
        <v/>
      </c>
      <c r="I1062" s="159">
        <f>IF(OR(NOT(ISNUMBER(G1062)),NOT(ISNUMBER(H1062))),"",H1062-G1062)</f>
        <v/>
      </c>
      <c r="J1062" s="319">
        <f>IF(OR(NOT(ISNUMBER(G1062)),NOT(ISNUMBER(H1062)),G1062=0),"",I1062/G1062)</f>
        <v/>
      </c>
      <c r="K1062" s="319">
        <f>IF(OR(NOT(ISNUMBER(G1062)),NOT(ISNUMBER(H1062)),G1062=0),"",H1062/G1062)</f>
        <v/>
      </c>
      <c r="L1062">
        <f>IF(NOT(ISNUMBER(G1062)),"SEM META",IF(G1062=0,"SEM META",IF(NOT(ISNUMBER(H1062)),"SEM APONTAMENTO",IF(H1062&gt;=G1062,"VERDE",IF(H1062&gt;=G1062*0.9,"AMARELO","VERMELHO")))))</f>
        <v/>
      </c>
      <c r="M1062" s="162" t="n"/>
      <c r="N1062" s="162" t="n"/>
      <c r="O1062" s="162" t="n"/>
      <c r="P1062" s="162" t="n"/>
      <c r="Q1062" s="320" t="n"/>
      <c r="R1062" s="162" t="inlineStr">
        <is>
          <t>CONTROLE PRODUÇÃO POR EMPRESAS!F182</t>
        </is>
      </c>
    </row>
    <row r="1063" ht="28.5" customHeight="1">
      <c r="A1063" s="317" t="n">
        <v>46399</v>
      </c>
      <c r="B1063" t="inlineStr">
        <is>
          <t>GERAL</t>
        </is>
      </c>
      <c r="C1063" t="inlineStr">
        <is>
          <t>CMM</t>
        </is>
      </c>
      <c r="D1063" t="inlineStr">
        <is>
          <t>VIGAS</t>
        </is>
      </c>
      <c r="F1063" s="159">
        <f>IFERROR(INDEX('BASE METAS DIÁRIAS'!$N$2:$S$358,MATCH($A1063,'BASE METAS DIÁRIAS'!$A$2:$A$358,0),MOD(ROW()-2,6)+1),"")</f>
        <v/>
      </c>
      <c r="G1063" s="159">
        <f>IFERROR(IF(WEEKDAY($A1063,2)&lt;=INDEX('BASE METAS DIÁRIAS'!$H$2:$M$358,MATCH($A1063,'BASE METAS DIÁRIAS'!$A$2:$A$358,0),MOD(ROW()-2,6)+1),INDEX('BASE METAS DIÁRIAS'!$B$2:$G$358,MATCH($A1063,'BASE METAS DIÁRIAS'!$A$2:$A$358,0),MOD(ROW()-2,6)+1),""),"")</f>
        <v/>
      </c>
      <c r="H1063" s="159">
        <f>IFERROR(IF(INDEX('CONTROLE PRODUÇÃO POR EMPRESAS'!$B$6:$G$5000,MATCH($A1063,'CONTROLE PRODUÇÃO POR EMPRESAS'!$A$6:$A$5000,0),MOD(ROW()-2,6)+1)="","",IFERROR(1*INDEX('CONTROLE PRODUÇÃO POR EMPRESAS'!$B$6:$G$5000,MATCH($A1063,'CONTROLE PRODUÇÃO POR EMPRESAS'!$A$6:$A$5000,0),MOD(ROW()-2,6)+1),"")),"")</f>
        <v/>
      </c>
      <c r="I1063" s="159">
        <f>IF(OR(NOT(ISNUMBER(G1063)),NOT(ISNUMBER(H1063))),"",H1063-G1063)</f>
        <v/>
      </c>
      <c r="J1063" s="319">
        <f>IF(OR(NOT(ISNUMBER(G1063)),NOT(ISNUMBER(H1063)),G1063=0),"",I1063/G1063)</f>
        <v/>
      </c>
      <c r="K1063" s="319">
        <f>IF(OR(NOT(ISNUMBER(G1063)),NOT(ISNUMBER(H1063)),G1063=0),"",H1063/G1063)</f>
        <v/>
      </c>
      <c r="L1063">
        <f>IF(NOT(ISNUMBER(G1063)),"SEM META",IF(G1063=0,"SEM META",IF(NOT(ISNUMBER(H1063)),"SEM APONTAMENTO",IF(H1063&gt;=G1063,"VERDE",IF(H1063&gt;=G1063*0.9,"AMARELO","VERMELHO")))))</f>
        <v/>
      </c>
      <c r="M1063" s="162" t="n"/>
      <c r="N1063" s="162" t="n"/>
      <c r="O1063" s="162" t="n"/>
      <c r="P1063" s="162" t="n"/>
      <c r="Q1063" s="320" t="n"/>
      <c r="R1063" s="162" t="inlineStr">
        <is>
          <t>CONTROLE PRODUÇÃO POR EMPRESAS!G182</t>
        </is>
      </c>
    </row>
    <row r="1064" ht="28.5" customHeight="1">
      <c r="A1064" s="317" t="n">
        <v>46400</v>
      </c>
      <c r="B1064" t="inlineStr">
        <is>
          <t>GERAL</t>
        </is>
      </c>
      <c r="C1064" t="inlineStr">
        <is>
          <t>EJ</t>
        </is>
      </c>
      <c r="D1064" t="inlineStr">
        <is>
          <t>PREMONTAGEM</t>
        </is>
      </c>
      <c r="F1064" s="159">
        <f>IFERROR(INDEX('BASE METAS DIÁRIAS'!$N$2:$S$358,MATCH($A1064,'BASE METAS DIÁRIAS'!$A$2:$A$358,0),MOD(ROW()-2,6)+1),"")</f>
        <v/>
      </c>
      <c r="G1064" s="159">
        <f>IFERROR(IF(WEEKDAY($A1064,2)&lt;=INDEX('BASE METAS DIÁRIAS'!$H$2:$M$358,MATCH($A1064,'BASE METAS DIÁRIAS'!$A$2:$A$358,0),MOD(ROW()-2,6)+1),INDEX('BASE METAS DIÁRIAS'!$B$2:$G$358,MATCH($A1064,'BASE METAS DIÁRIAS'!$A$2:$A$358,0),MOD(ROW()-2,6)+1),""),"")</f>
        <v/>
      </c>
      <c r="H1064" s="159">
        <f>IFERROR(IF(INDEX('CONTROLE PRODUÇÃO POR EMPRESAS'!$B$6:$G$5000,MATCH($A1064,'CONTROLE PRODUÇÃO POR EMPRESAS'!$A$6:$A$5000,0),MOD(ROW()-2,6)+1)="","",IFERROR(1*INDEX('CONTROLE PRODUÇÃO POR EMPRESAS'!$B$6:$G$5000,MATCH($A1064,'CONTROLE PRODUÇÃO POR EMPRESAS'!$A$6:$A$5000,0),MOD(ROW()-2,6)+1),"")),"")</f>
        <v/>
      </c>
      <c r="I1064" s="159">
        <f>IF(OR(NOT(ISNUMBER(G1064)),NOT(ISNUMBER(H1064))),"",H1064-G1064)</f>
        <v/>
      </c>
      <c r="J1064" s="319">
        <f>IF(OR(NOT(ISNUMBER(G1064)),NOT(ISNUMBER(H1064)),G1064=0),"",I1064/G1064)</f>
        <v/>
      </c>
      <c r="K1064" s="319">
        <f>IF(OR(NOT(ISNUMBER(G1064)),NOT(ISNUMBER(H1064)),G1064=0),"",H1064/G1064)</f>
        <v/>
      </c>
      <c r="L1064">
        <f>IF(NOT(ISNUMBER(G1064)),"SEM META",IF(G1064=0,"SEM META",IF(NOT(ISNUMBER(H1064)),"SEM APONTAMENTO",IF(H1064&gt;=G1064,"VERDE",IF(H1064&gt;=G1064*0.9,"AMARELO","VERMELHO")))))</f>
        <v/>
      </c>
      <c r="M1064" s="162" t="n"/>
      <c r="N1064" s="162" t="n"/>
      <c r="O1064" s="162" t="n"/>
      <c r="P1064" s="162" t="n"/>
      <c r="Q1064" s="320" t="n"/>
      <c r="R1064" s="162" t="inlineStr">
        <is>
          <t>CONTROLE PRODUÇÃO POR EMPRESAS!B183</t>
        </is>
      </c>
    </row>
    <row r="1065" ht="28.5" customHeight="1">
      <c r="A1065" s="317" t="n">
        <v>46400</v>
      </c>
      <c r="B1065" t="inlineStr">
        <is>
          <t>GERAL</t>
        </is>
      </c>
      <c r="C1065" t="inlineStr">
        <is>
          <t>EJ</t>
        </is>
      </c>
      <c r="D1065" t="inlineStr">
        <is>
          <t>IÇAMENTO JOIST</t>
        </is>
      </c>
      <c r="F1065" s="159">
        <f>IFERROR(INDEX('BASE METAS DIÁRIAS'!$N$2:$S$358,MATCH($A1065,'BASE METAS DIÁRIAS'!$A$2:$A$358,0),MOD(ROW()-2,6)+1),"")</f>
        <v/>
      </c>
      <c r="G1065" s="159">
        <f>IFERROR(IF(WEEKDAY($A1065,2)&lt;=INDEX('BASE METAS DIÁRIAS'!$H$2:$M$358,MATCH($A1065,'BASE METAS DIÁRIAS'!$A$2:$A$358,0),MOD(ROW()-2,6)+1),INDEX('BASE METAS DIÁRIAS'!$B$2:$G$358,MATCH($A1065,'BASE METAS DIÁRIAS'!$A$2:$A$358,0),MOD(ROW()-2,6)+1),""),"")</f>
        <v/>
      </c>
      <c r="H1065" s="159">
        <f>IFERROR(IF(INDEX('CONTROLE PRODUÇÃO POR EMPRESAS'!$B$6:$G$5000,MATCH($A1065,'CONTROLE PRODUÇÃO POR EMPRESAS'!$A$6:$A$5000,0),MOD(ROW()-2,6)+1)="","",IFERROR(1*INDEX('CONTROLE PRODUÇÃO POR EMPRESAS'!$B$6:$G$5000,MATCH($A1065,'CONTROLE PRODUÇÃO POR EMPRESAS'!$A$6:$A$5000,0),MOD(ROW()-2,6)+1),"")),"")</f>
        <v/>
      </c>
      <c r="I1065" s="159">
        <f>IF(OR(NOT(ISNUMBER(G1065)),NOT(ISNUMBER(H1065))),"",H1065-G1065)</f>
        <v/>
      </c>
      <c r="J1065" s="319">
        <f>IF(OR(NOT(ISNUMBER(G1065)),NOT(ISNUMBER(H1065)),G1065=0),"",I1065/G1065)</f>
        <v/>
      </c>
      <c r="K1065" s="319">
        <f>IF(OR(NOT(ISNUMBER(G1065)),NOT(ISNUMBER(H1065)),G1065=0),"",H1065/G1065)</f>
        <v/>
      </c>
      <c r="L1065">
        <f>IF(NOT(ISNUMBER(G1065)),"SEM META",IF(G1065=0,"SEM META",IF(NOT(ISNUMBER(H1065)),"SEM APONTAMENTO",IF(H1065&gt;=G1065,"VERDE",IF(H1065&gt;=G1065*0.9,"AMARELO","VERMELHO")))))</f>
        <v/>
      </c>
      <c r="M1065" s="162" t="n"/>
      <c r="N1065" s="162" t="n"/>
      <c r="O1065" s="162" t="n"/>
      <c r="P1065" s="162" t="n"/>
      <c r="Q1065" s="320" t="n"/>
      <c r="R1065" s="162" t="inlineStr">
        <is>
          <t>CONTROLE PRODUÇÃO POR EMPRESAS!C183</t>
        </is>
      </c>
    </row>
    <row r="1066" ht="28.5" customHeight="1">
      <c r="A1066" s="317" t="n">
        <v>46400</v>
      </c>
      <c r="B1066" t="inlineStr">
        <is>
          <t>GERAL</t>
        </is>
      </c>
      <c r="C1066" t="inlineStr">
        <is>
          <t>EJ</t>
        </is>
      </c>
      <c r="D1066" t="inlineStr">
        <is>
          <t>VIGAS</t>
        </is>
      </c>
      <c r="F1066" s="159">
        <f>IFERROR(INDEX('BASE METAS DIÁRIAS'!$N$2:$S$358,MATCH($A1066,'BASE METAS DIÁRIAS'!$A$2:$A$358,0),MOD(ROW()-2,6)+1),"")</f>
        <v/>
      </c>
      <c r="G1066" s="159">
        <f>IFERROR(IF(WEEKDAY($A1066,2)&lt;=INDEX('BASE METAS DIÁRIAS'!$H$2:$M$358,MATCH($A1066,'BASE METAS DIÁRIAS'!$A$2:$A$358,0),MOD(ROW()-2,6)+1),INDEX('BASE METAS DIÁRIAS'!$B$2:$G$358,MATCH($A1066,'BASE METAS DIÁRIAS'!$A$2:$A$358,0),MOD(ROW()-2,6)+1),""),"")</f>
        <v/>
      </c>
      <c r="H1066" s="159">
        <f>IFERROR(IF(INDEX('CONTROLE PRODUÇÃO POR EMPRESAS'!$B$6:$G$5000,MATCH($A1066,'CONTROLE PRODUÇÃO POR EMPRESAS'!$A$6:$A$5000,0),MOD(ROW()-2,6)+1)="","",IFERROR(1*INDEX('CONTROLE PRODUÇÃO POR EMPRESAS'!$B$6:$G$5000,MATCH($A1066,'CONTROLE PRODUÇÃO POR EMPRESAS'!$A$6:$A$5000,0),MOD(ROW()-2,6)+1),"")),"")</f>
        <v/>
      </c>
      <c r="I1066" s="159">
        <f>IF(OR(NOT(ISNUMBER(G1066)),NOT(ISNUMBER(H1066))),"",H1066-G1066)</f>
        <v/>
      </c>
      <c r="J1066" s="319">
        <f>IF(OR(NOT(ISNUMBER(G1066)),NOT(ISNUMBER(H1066)),G1066=0),"",I1066/G1066)</f>
        <v/>
      </c>
      <c r="K1066" s="319">
        <f>IF(OR(NOT(ISNUMBER(G1066)),NOT(ISNUMBER(H1066)),G1066=0),"",H1066/G1066)</f>
        <v/>
      </c>
      <c r="L1066">
        <f>IF(NOT(ISNUMBER(G1066)),"SEM META",IF(G1066=0,"SEM META",IF(NOT(ISNUMBER(H1066)),"SEM APONTAMENTO",IF(H1066&gt;=G1066,"VERDE",IF(H1066&gt;=G1066*0.9,"AMARELO","VERMELHO")))))</f>
        <v/>
      </c>
      <c r="M1066" s="162" t="n"/>
      <c r="N1066" s="162" t="n"/>
      <c r="O1066" s="162" t="n"/>
      <c r="P1066" s="162" t="n"/>
      <c r="Q1066" s="320" t="n"/>
      <c r="R1066" s="162" t="inlineStr">
        <is>
          <t>CONTROLE PRODUÇÃO POR EMPRESAS!D183</t>
        </is>
      </c>
    </row>
    <row r="1067" ht="28.5" customHeight="1">
      <c r="A1067" s="317" t="n">
        <v>46400</v>
      </c>
      <c r="B1067" t="inlineStr">
        <is>
          <t>GERAL</t>
        </is>
      </c>
      <c r="C1067" t="inlineStr">
        <is>
          <t>CMM</t>
        </is>
      </c>
      <c r="D1067" t="inlineStr">
        <is>
          <t>PREMONTAGEM</t>
        </is>
      </c>
      <c r="F1067" s="159">
        <f>IFERROR(INDEX('BASE METAS DIÁRIAS'!$N$2:$S$358,MATCH($A1067,'BASE METAS DIÁRIAS'!$A$2:$A$358,0),MOD(ROW()-2,6)+1),"")</f>
        <v/>
      </c>
      <c r="G1067" s="159">
        <f>IFERROR(IF(WEEKDAY($A1067,2)&lt;=INDEX('BASE METAS DIÁRIAS'!$H$2:$M$358,MATCH($A1067,'BASE METAS DIÁRIAS'!$A$2:$A$358,0),MOD(ROW()-2,6)+1),INDEX('BASE METAS DIÁRIAS'!$B$2:$G$358,MATCH($A1067,'BASE METAS DIÁRIAS'!$A$2:$A$358,0),MOD(ROW()-2,6)+1),""),"")</f>
        <v/>
      </c>
      <c r="H1067" s="159">
        <f>IFERROR(IF(INDEX('CONTROLE PRODUÇÃO POR EMPRESAS'!$B$6:$G$5000,MATCH($A1067,'CONTROLE PRODUÇÃO POR EMPRESAS'!$A$6:$A$5000,0),MOD(ROW()-2,6)+1)="","",IFERROR(1*INDEX('CONTROLE PRODUÇÃO POR EMPRESAS'!$B$6:$G$5000,MATCH($A1067,'CONTROLE PRODUÇÃO POR EMPRESAS'!$A$6:$A$5000,0),MOD(ROW()-2,6)+1),"")),"")</f>
        <v/>
      </c>
      <c r="I1067" s="159">
        <f>IF(OR(NOT(ISNUMBER(G1067)),NOT(ISNUMBER(H1067))),"",H1067-G1067)</f>
        <v/>
      </c>
      <c r="J1067" s="319">
        <f>IF(OR(NOT(ISNUMBER(G1067)),NOT(ISNUMBER(H1067)),G1067=0),"",I1067/G1067)</f>
        <v/>
      </c>
      <c r="K1067" s="319">
        <f>IF(OR(NOT(ISNUMBER(G1067)),NOT(ISNUMBER(H1067)),G1067=0),"",H1067/G1067)</f>
        <v/>
      </c>
      <c r="L1067">
        <f>IF(NOT(ISNUMBER(G1067)),"SEM META",IF(G1067=0,"SEM META",IF(NOT(ISNUMBER(H1067)),"SEM APONTAMENTO",IF(H1067&gt;=G1067,"VERDE",IF(H1067&gt;=G1067*0.9,"AMARELO","VERMELHO")))))</f>
        <v/>
      </c>
      <c r="M1067" s="162" t="n"/>
      <c r="N1067" s="162" t="n"/>
      <c r="O1067" s="162" t="n"/>
      <c r="P1067" s="162" t="n"/>
      <c r="Q1067" s="320" t="n"/>
      <c r="R1067" s="162" t="inlineStr">
        <is>
          <t>CONTROLE PRODUÇÃO POR EMPRESAS!E183</t>
        </is>
      </c>
    </row>
    <row r="1068" ht="28.5" customHeight="1">
      <c r="A1068" s="317" t="n">
        <v>46400</v>
      </c>
      <c r="B1068" t="inlineStr">
        <is>
          <t>GERAL</t>
        </is>
      </c>
      <c r="C1068" t="inlineStr">
        <is>
          <t>CMM</t>
        </is>
      </c>
      <c r="D1068" t="inlineStr">
        <is>
          <t>IÇAMENTO JOIST</t>
        </is>
      </c>
      <c r="F1068" s="159">
        <f>IFERROR(INDEX('BASE METAS DIÁRIAS'!$N$2:$S$358,MATCH($A1068,'BASE METAS DIÁRIAS'!$A$2:$A$358,0),MOD(ROW()-2,6)+1),"")</f>
        <v/>
      </c>
      <c r="G1068" s="159">
        <f>IFERROR(IF(WEEKDAY($A1068,2)&lt;=INDEX('BASE METAS DIÁRIAS'!$H$2:$M$358,MATCH($A1068,'BASE METAS DIÁRIAS'!$A$2:$A$358,0),MOD(ROW()-2,6)+1),INDEX('BASE METAS DIÁRIAS'!$B$2:$G$358,MATCH($A1068,'BASE METAS DIÁRIAS'!$A$2:$A$358,0),MOD(ROW()-2,6)+1),""),"")</f>
        <v/>
      </c>
      <c r="H1068" s="159">
        <f>IFERROR(IF(INDEX('CONTROLE PRODUÇÃO POR EMPRESAS'!$B$6:$G$5000,MATCH($A1068,'CONTROLE PRODUÇÃO POR EMPRESAS'!$A$6:$A$5000,0),MOD(ROW()-2,6)+1)="","",IFERROR(1*INDEX('CONTROLE PRODUÇÃO POR EMPRESAS'!$B$6:$G$5000,MATCH($A1068,'CONTROLE PRODUÇÃO POR EMPRESAS'!$A$6:$A$5000,0),MOD(ROW()-2,6)+1),"")),"")</f>
        <v/>
      </c>
      <c r="I1068" s="159">
        <f>IF(OR(NOT(ISNUMBER(G1068)),NOT(ISNUMBER(H1068))),"",H1068-G1068)</f>
        <v/>
      </c>
      <c r="J1068" s="319">
        <f>IF(OR(NOT(ISNUMBER(G1068)),NOT(ISNUMBER(H1068)),G1068=0),"",I1068/G1068)</f>
        <v/>
      </c>
      <c r="K1068" s="319">
        <f>IF(OR(NOT(ISNUMBER(G1068)),NOT(ISNUMBER(H1068)),G1068=0),"",H1068/G1068)</f>
        <v/>
      </c>
      <c r="L1068">
        <f>IF(NOT(ISNUMBER(G1068)),"SEM META",IF(G1068=0,"SEM META",IF(NOT(ISNUMBER(H1068)),"SEM APONTAMENTO",IF(H1068&gt;=G1068,"VERDE",IF(H1068&gt;=G1068*0.9,"AMARELO","VERMELHO")))))</f>
        <v/>
      </c>
      <c r="M1068" s="162" t="n"/>
      <c r="N1068" s="162" t="n"/>
      <c r="O1068" s="162" t="n"/>
      <c r="P1068" s="162" t="n"/>
      <c r="Q1068" s="320" t="n"/>
      <c r="R1068" s="162" t="inlineStr">
        <is>
          <t>CONTROLE PRODUÇÃO POR EMPRESAS!F183</t>
        </is>
      </c>
    </row>
    <row r="1069" ht="28.5" customHeight="1">
      <c r="A1069" s="317" t="n">
        <v>46400</v>
      </c>
      <c r="B1069" t="inlineStr">
        <is>
          <t>GERAL</t>
        </is>
      </c>
      <c r="C1069" t="inlineStr">
        <is>
          <t>CMM</t>
        </is>
      </c>
      <c r="D1069" t="inlineStr">
        <is>
          <t>VIGAS</t>
        </is>
      </c>
      <c r="F1069" s="159">
        <f>IFERROR(INDEX('BASE METAS DIÁRIAS'!$N$2:$S$358,MATCH($A1069,'BASE METAS DIÁRIAS'!$A$2:$A$358,0),MOD(ROW()-2,6)+1),"")</f>
        <v/>
      </c>
      <c r="G1069" s="159">
        <f>IFERROR(IF(WEEKDAY($A1069,2)&lt;=INDEX('BASE METAS DIÁRIAS'!$H$2:$M$358,MATCH($A1069,'BASE METAS DIÁRIAS'!$A$2:$A$358,0),MOD(ROW()-2,6)+1),INDEX('BASE METAS DIÁRIAS'!$B$2:$G$358,MATCH($A1069,'BASE METAS DIÁRIAS'!$A$2:$A$358,0),MOD(ROW()-2,6)+1),""),"")</f>
        <v/>
      </c>
      <c r="H1069" s="159">
        <f>IFERROR(IF(INDEX('CONTROLE PRODUÇÃO POR EMPRESAS'!$B$6:$G$5000,MATCH($A1069,'CONTROLE PRODUÇÃO POR EMPRESAS'!$A$6:$A$5000,0),MOD(ROW()-2,6)+1)="","",IFERROR(1*INDEX('CONTROLE PRODUÇÃO POR EMPRESAS'!$B$6:$G$5000,MATCH($A1069,'CONTROLE PRODUÇÃO POR EMPRESAS'!$A$6:$A$5000,0),MOD(ROW()-2,6)+1),"")),"")</f>
        <v/>
      </c>
      <c r="I1069" s="159">
        <f>IF(OR(NOT(ISNUMBER(G1069)),NOT(ISNUMBER(H1069))),"",H1069-G1069)</f>
        <v/>
      </c>
      <c r="J1069" s="319">
        <f>IF(OR(NOT(ISNUMBER(G1069)),NOT(ISNUMBER(H1069)),G1069=0),"",I1069/G1069)</f>
        <v/>
      </c>
      <c r="K1069" s="319">
        <f>IF(OR(NOT(ISNUMBER(G1069)),NOT(ISNUMBER(H1069)),G1069=0),"",H1069/G1069)</f>
        <v/>
      </c>
      <c r="L1069">
        <f>IF(NOT(ISNUMBER(G1069)),"SEM META",IF(G1069=0,"SEM META",IF(NOT(ISNUMBER(H1069)),"SEM APONTAMENTO",IF(H1069&gt;=G1069,"VERDE",IF(H1069&gt;=G1069*0.9,"AMARELO","VERMELHO")))))</f>
        <v/>
      </c>
      <c r="M1069" s="162" t="n"/>
      <c r="N1069" s="162" t="n"/>
      <c r="O1069" s="162" t="n"/>
      <c r="P1069" s="162" t="n"/>
      <c r="Q1069" s="320" t="n"/>
      <c r="R1069" s="162" t="inlineStr">
        <is>
          <t>CONTROLE PRODUÇÃO POR EMPRESAS!G183</t>
        </is>
      </c>
    </row>
    <row r="1070" ht="28.5" customHeight="1">
      <c r="A1070" s="317" t="n">
        <v>46401</v>
      </c>
      <c r="B1070" t="inlineStr">
        <is>
          <t>GERAL</t>
        </is>
      </c>
      <c r="C1070" t="inlineStr">
        <is>
          <t>EJ</t>
        </is>
      </c>
      <c r="D1070" t="inlineStr">
        <is>
          <t>PREMONTAGEM</t>
        </is>
      </c>
      <c r="F1070" s="159">
        <f>IFERROR(INDEX('BASE METAS DIÁRIAS'!$N$2:$S$358,MATCH($A1070,'BASE METAS DIÁRIAS'!$A$2:$A$358,0),MOD(ROW()-2,6)+1),"")</f>
        <v/>
      </c>
      <c r="G1070" s="159">
        <f>IFERROR(IF(WEEKDAY($A1070,2)&lt;=INDEX('BASE METAS DIÁRIAS'!$H$2:$M$358,MATCH($A1070,'BASE METAS DIÁRIAS'!$A$2:$A$358,0),MOD(ROW()-2,6)+1),INDEX('BASE METAS DIÁRIAS'!$B$2:$G$358,MATCH($A1070,'BASE METAS DIÁRIAS'!$A$2:$A$358,0),MOD(ROW()-2,6)+1),""),"")</f>
        <v/>
      </c>
      <c r="H1070" s="159">
        <f>IFERROR(IF(INDEX('CONTROLE PRODUÇÃO POR EMPRESAS'!$B$6:$G$5000,MATCH($A1070,'CONTROLE PRODUÇÃO POR EMPRESAS'!$A$6:$A$5000,0),MOD(ROW()-2,6)+1)="","",IFERROR(1*INDEX('CONTROLE PRODUÇÃO POR EMPRESAS'!$B$6:$G$5000,MATCH($A1070,'CONTROLE PRODUÇÃO POR EMPRESAS'!$A$6:$A$5000,0),MOD(ROW()-2,6)+1),"")),"")</f>
        <v/>
      </c>
      <c r="I1070" s="159">
        <f>IF(OR(NOT(ISNUMBER(G1070)),NOT(ISNUMBER(H1070))),"",H1070-G1070)</f>
        <v/>
      </c>
      <c r="J1070" s="319">
        <f>IF(OR(NOT(ISNUMBER(G1070)),NOT(ISNUMBER(H1070)),G1070=0),"",I1070/G1070)</f>
        <v/>
      </c>
      <c r="K1070" s="319">
        <f>IF(OR(NOT(ISNUMBER(G1070)),NOT(ISNUMBER(H1070)),G1070=0),"",H1070/G1070)</f>
        <v/>
      </c>
      <c r="L1070">
        <f>IF(NOT(ISNUMBER(G1070)),"SEM META",IF(G1070=0,"SEM META",IF(NOT(ISNUMBER(H1070)),"SEM APONTAMENTO",IF(H1070&gt;=G1070,"VERDE",IF(H1070&gt;=G1070*0.9,"AMARELO","VERMELHO")))))</f>
        <v/>
      </c>
      <c r="M1070" s="162" t="n"/>
      <c r="N1070" s="162" t="n"/>
      <c r="O1070" s="162" t="n"/>
      <c r="P1070" s="162" t="n"/>
      <c r="Q1070" s="320" t="n"/>
      <c r="R1070" s="162" t="inlineStr">
        <is>
          <t>CONTROLE PRODUÇÃO POR EMPRESAS!B184</t>
        </is>
      </c>
    </row>
    <row r="1071" ht="28.5" customHeight="1">
      <c r="A1071" s="317" t="n">
        <v>46401</v>
      </c>
      <c r="B1071" t="inlineStr">
        <is>
          <t>GERAL</t>
        </is>
      </c>
      <c r="C1071" t="inlineStr">
        <is>
          <t>EJ</t>
        </is>
      </c>
      <c r="D1071" t="inlineStr">
        <is>
          <t>IÇAMENTO JOIST</t>
        </is>
      </c>
      <c r="F1071" s="159">
        <f>IFERROR(INDEX('BASE METAS DIÁRIAS'!$N$2:$S$358,MATCH($A1071,'BASE METAS DIÁRIAS'!$A$2:$A$358,0),MOD(ROW()-2,6)+1),"")</f>
        <v/>
      </c>
      <c r="G1071" s="159">
        <f>IFERROR(IF(WEEKDAY($A1071,2)&lt;=INDEX('BASE METAS DIÁRIAS'!$H$2:$M$358,MATCH($A1071,'BASE METAS DIÁRIAS'!$A$2:$A$358,0),MOD(ROW()-2,6)+1),INDEX('BASE METAS DIÁRIAS'!$B$2:$G$358,MATCH($A1071,'BASE METAS DIÁRIAS'!$A$2:$A$358,0),MOD(ROW()-2,6)+1),""),"")</f>
        <v/>
      </c>
      <c r="H1071" s="159">
        <f>IFERROR(IF(INDEX('CONTROLE PRODUÇÃO POR EMPRESAS'!$B$6:$G$5000,MATCH($A1071,'CONTROLE PRODUÇÃO POR EMPRESAS'!$A$6:$A$5000,0),MOD(ROW()-2,6)+1)="","",IFERROR(1*INDEX('CONTROLE PRODUÇÃO POR EMPRESAS'!$B$6:$G$5000,MATCH($A1071,'CONTROLE PRODUÇÃO POR EMPRESAS'!$A$6:$A$5000,0),MOD(ROW()-2,6)+1),"")),"")</f>
        <v/>
      </c>
      <c r="I1071" s="159">
        <f>IF(OR(NOT(ISNUMBER(G1071)),NOT(ISNUMBER(H1071))),"",H1071-G1071)</f>
        <v/>
      </c>
      <c r="J1071" s="319">
        <f>IF(OR(NOT(ISNUMBER(G1071)),NOT(ISNUMBER(H1071)),G1071=0),"",I1071/G1071)</f>
        <v/>
      </c>
      <c r="K1071" s="319">
        <f>IF(OR(NOT(ISNUMBER(G1071)),NOT(ISNUMBER(H1071)),G1071=0),"",H1071/G1071)</f>
        <v/>
      </c>
      <c r="L1071">
        <f>IF(NOT(ISNUMBER(G1071)),"SEM META",IF(G1071=0,"SEM META",IF(NOT(ISNUMBER(H1071)),"SEM APONTAMENTO",IF(H1071&gt;=G1071,"VERDE",IF(H1071&gt;=G1071*0.9,"AMARELO","VERMELHO")))))</f>
        <v/>
      </c>
      <c r="M1071" s="162" t="n"/>
      <c r="N1071" s="162" t="n"/>
      <c r="O1071" s="162" t="n"/>
      <c r="P1071" s="162" t="n"/>
      <c r="Q1071" s="320" t="n"/>
      <c r="R1071" s="162" t="inlineStr">
        <is>
          <t>CONTROLE PRODUÇÃO POR EMPRESAS!C184</t>
        </is>
      </c>
    </row>
    <row r="1072" ht="28.5" customHeight="1">
      <c r="A1072" s="317" t="n">
        <v>46401</v>
      </c>
      <c r="B1072" t="inlineStr">
        <is>
          <t>GERAL</t>
        </is>
      </c>
      <c r="C1072" t="inlineStr">
        <is>
          <t>EJ</t>
        </is>
      </c>
      <c r="D1072" t="inlineStr">
        <is>
          <t>VIGAS</t>
        </is>
      </c>
      <c r="F1072" s="159">
        <f>IFERROR(INDEX('BASE METAS DIÁRIAS'!$N$2:$S$358,MATCH($A1072,'BASE METAS DIÁRIAS'!$A$2:$A$358,0),MOD(ROW()-2,6)+1),"")</f>
        <v/>
      </c>
      <c r="G1072" s="159">
        <f>IFERROR(IF(WEEKDAY($A1072,2)&lt;=INDEX('BASE METAS DIÁRIAS'!$H$2:$M$358,MATCH($A1072,'BASE METAS DIÁRIAS'!$A$2:$A$358,0),MOD(ROW()-2,6)+1),INDEX('BASE METAS DIÁRIAS'!$B$2:$G$358,MATCH($A1072,'BASE METAS DIÁRIAS'!$A$2:$A$358,0),MOD(ROW()-2,6)+1),""),"")</f>
        <v/>
      </c>
      <c r="H1072" s="159">
        <f>IFERROR(IF(INDEX('CONTROLE PRODUÇÃO POR EMPRESAS'!$B$6:$G$5000,MATCH($A1072,'CONTROLE PRODUÇÃO POR EMPRESAS'!$A$6:$A$5000,0),MOD(ROW()-2,6)+1)="","",IFERROR(1*INDEX('CONTROLE PRODUÇÃO POR EMPRESAS'!$B$6:$G$5000,MATCH($A1072,'CONTROLE PRODUÇÃO POR EMPRESAS'!$A$6:$A$5000,0),MOD(ROW()-2,6)+1),"")),"")</f>
        <v/>
      </c>
      <c r="I1072" s="159">
        <f>IF(OR(NOT(ISNUMBER(G1072)),NOT(ISNUMBER(H1072))),"",H1072-G1072)</f>
        <v/>
      </c>
      <c r="J1072" s="319">
        <f>IF(OR(NOT(ISNUMBER(G1072)),NOT(ISNUMBER(H1072)),G1072=0),"",I1072/G1072)</f>
        <v/>
      </c>
      <c r="K1072" s="319">
        <f>IF(OR(NOT(ISNUMBER(G1072)),NOT(ISNUMBER(H1072)),G1072=0),"",H1072/G1072)</f>
        <v/>
      </c>
      <c r="L1072">
        <f>IF(NOT(ISNUMBER(G1072)),"SEM META",IF(G1072=0,"SEM META",IF(NOT(ISNUMBER(H1072)),"SEM APONTAMENTO",IF(H1072&gt;=G1072,"VERDE",IF(H1072&gt;=G1072*0.9,"AMARELO","VERMELHO")))))</f>
        <v/>
      </c>
      <c r="M1072" s="162" t="n"/>
      <c r="N1072" s="162" t="n"/>
      <c r="O1072" s="162" t="n"/>
      <c r="P1072" s="162" t="n"/>
      <c r="Q1072" s="320" t="n"/>
      <c r="R1072" s="162" t="inlineStr">
        <is>
          <t>CONTROLE PRODUÇÃO POR EMPRESAS!D184</t>
        </is>
      </c>
    </row>
    <row r="1073" ht="28.5" customHeight="1">
      <c r="A1073" s="317" t="n">
        <v>46401</v>
      </c>
      <c r="B1073" t="inlineStr">
        <is>
          <t>GERAL</t>
        </is>
      </c>
      <c r="C1073" t="inlineStr">
        <is>
          <t>CMM</t>
        </is>
      </c>
      <c r="D1073" t="inlineStr">
        <is>
          <t>PREMONTAGEM</t>
        </is>
      </c>
      <c r="F1073" s="159">
        <f>IFERROR(INDEX('BASE METAS DIÁRIAS'!$N$2:$S$358,MATCH($A1073,'BASE METAS DIÁRIAS'!$A$2:$A$358,0),MOD(ROW()-2,6)+1),"")</f>
        <v/>
      </c>
      <c r="G1073" s="159">
        <f>IFERROR(IF(WEEKDAY($A1073,2)&lt;=INDEX('BASE METAS DIÁRIAS'!$H$2:$M$358,MATCH($A1073,'BASE METAS DIÁRIAS'!$A$2:$A$358,0),MOD(ROW()-2,6)+1),INDEX('BASE METAS DIÁRIAS'!$B$2:$G$358,MATCH($A1073,'BASE METAS DIÁRIAS'!$A$2:$A$358,0),MOD(ROW()-2,6)+1),""),"")</f>
        <v/>
      </c>
      <c r="H1073" s="159">
        <f>IFERROR(IF(INDEX('CONTROLE PRODUÇÃO POR EMPRESAS'!$B$6:$G$5000,MATCH($A1073,'CONTROLE PRODUÇÃO POR EMPRESAS'!$A$6:$A$5000,0),MOD(ROW()-2,6)+1)="","",IFERROR(1*INDEX('CONTROLE PRODUÇÃO POR EMPRESAS'!$B$6:$G$5000,MATCH($A1073,'CONTROLE PRODUÇÃO POR EMPRESAS'!$A$6:$A$5000,0),MOD(ROW()-2,6)+1),"")),"")</f>
        <v/>
      </c>
      <c r="I1073" s="159">
        <f>IF(OR(NOT(ISNUMBER(G1073)),NOT(ISNUMBER(H1073))),"",H1073-G1073)</f>
        <v/>
      </c>
      <c r="J1073" s="319">
        <f>IF(OR(NOT(ISNUMBER(G1073)),NOT(ISNUMBER(H1073)),G1073=0),"",I1073/G1073)</f>
        <v/>
      </c>
      <c r="K1073" s="319">
        <f>IF(OR(NOT(ISNUMBER(G1073)),NOT(ISNUMBER(H1073)),G1073=0),"",H1073/G1073)</f>
        <v/>
      </c>
      <c r="L1073">
        <f>IF(NOT(ISNUMBER(G1073)),"SEM META",IF(G1073=0,"SEM META",IF(NOT(ISNUMBER(H1073)),"SEM APONTAMENTO",IF(H1073&gt;=G1073,"VERDE",IF(H1073&gt;=G1073*0.9,"AMARELO","VERMELHO")))))</f>
        <v/>
      </c>
      <c r="M1073" s="162" t="n"/>
      <c r="N1073" s="162" t="n"/>
      <c r="O1073" s="162" t="n"/>
      <c r="P1073" s="162" t="n"/>
      <c r="Q1073" s="320" t="n"/>
      <c r="R1073" s="162" t="inlineStr">
        <is>
          <t>CONTROLE PRODUÇÃO POR EMPRESAS!E184</t>
        </is>
      </c>
    </row>
    <row r="1074" ht="28.5" customHeight="1">
      <c r="A1074" s="317" t="n">
        <v>46401</v>
      </c>
      <c r="B1074" t="inlineStr">
        <is>
          <t>GERAL</t>
        </is>
      </c>
      <c r="C1074" t="inlineStr">
        <is>
          <t>CMM</t>
        </is>
      </c>
      <c r="D1074" t="inlineStr">
        <is>
          <t>IÇAMENTO JOIST</t>
        </is>
      </c>
      <c r="F1074" s="159">
        <f>IFERROR(INDEX('BASE METAS DIÁRIAS'!$N$2:$S$358,MATCH($A1074,'BASE METAS DIÁRIAS'!$A$2:$A$358,0),MOD(ROW()-2,6)+1),"")</f>
        <v/>
      </c>
      <c r="G1074" s="159">
        <f>IFERROR(IF(WEEKDAY($A1074,2)&lt;=INDEX('BASE METAS DIÁRIAS'!$H$2:$M$358,MATCH($A1074,'BASE METAS DIÁRIAS'!$A$2:$A$358,0),MOD(ROW()-2,6)+1),INDEX('BASE METAS DIÁRIAS'!$B$2:$G$358,MATCH($A1074,'BASE METAS DIÁRIAS'!$A$2:$A$358,0),MOD(ROW()-2,6)+1),""),"")</f>
        <v/>
      </c>
      <c r="H1074" s="159">
        <f>IFERROR(IF(INDEX('CONTROLE PRODUÇÃO POR EMPRESAS'!$B$6:$G$5000,MATCH($A1074,'CONTROLE PRODUÇÃO POR EMPRESAS'!$A$6:$A$5000,0),MOD(ROW()-2,6)+1)="","",IFERROR(1*INDEX('CONTROLE PRODUÇÃO POR EMPRESAS'!$B$6:$G$5000,MATCH($A1074,'CONTROLE PRODUÇÃO POR EMPRESAS'!$A$6:$A$5000,0),MOD(ROW()-2,6)+1),"")),"")</f>
        <v/>
      </c>
      <c r="I1074" s="159">
        <f>IF(OR(NOT(ISNUMBER(G1074)),NOT(ISNUMBER(H1074))),"",H1074-G1074)</f>
        <v/>
      </c>
      <c r="J1074" s="319">
        <f>IF(OR(NOT(ISNUMBER(G1074)),NOT(ISNUMBER(H1074)),G1074=0),"",I1074/G1074)</f>
        <v/>
      </c>
      <c r="K1074" s="319">
        <f>IF(OR(NOT(ISNUMBER(G1074)),NOT(ISNUMBER(H1074)),G1074=0),"",H1074/G1074)</f>
        <v/>
      </c>
      <c r="L1074">
        <f>IF(NOT(ISNUMBER(G1074)),"SEM META",IF(G1074=0,"SEM META",IF(NOT(ISNUMBER(H1074)),"SEM APONTAMENTO",IF(H1074&gt;=G1074,"VERDE",IF(H1074&gt;=G1074*0.9,"AMARELO","VERMELHO")))))</f>
        <v/>
      </c>
      <c r="M1074" s="162" t="n"/>
      <c r="N1074" s="162" t="n"/>
      <c r="O1074" s="162" t="n"/>
      <c r="P1074" s="162" t="n"/>
      <c r="Q1074" s="320" t="n"/>
      <c r="R1074" s="162" t="inlineStr">
        <is>
          <t>CONTROLE PRODUÇÃO POR EMPRESAS!F184</t>
        </is>
      </c>
    </row>
    <row r="1075" ht="28.5" customHeight="1">
      <c r="A1075" s="317" t="n">
        <v>46401</v>
      </c>
      <c r="B1075" t="inlineStr">
        <is>
          <t>GERAL</t>
        </is>
      </c>
      <c r="C1075" t="inlineStr">
        <is>
          <t>CMM</t>
        </is>
      </c>
      <c r="D1075" t="inlineStr">
        <is>
          <t>VIGAS</t>
        </is>
      </c>
      <c r="F1075" s="159">
        <f>IFERROR(INDEX('BASE METAS DIÁRIAS'!$N$2:$S$358,MATCH($A1075,'BASE METAS DIÁRIAS'!$A$2:$A$358,0),MOD(ROW()-2,6)+1),"")</f>
        <v/>
      </c>
      <c r="G1075" s="159">
        <f>IFERROR(IF(WEEKDAY($A1075,2)&lt;=INDEX('BASE METAS DIÁRIAS'!$H$2:$M$358,MATCH($A1075,'BASE METAS DIÁRIAS'!$A$2:$A$358,0),MOD(ROW()-2,6)+1),INDEX('BASE METAS DIÁRIAS'!$B$2:$G$358,MATCH($A1075,'BASE METAS DIÁRIAS'!$A$2:$A$358,0),MOD(ROW()-2,6)+1),""),"")</f>
        <v/>
      </c>
      <c r="H1075" s="159">
        <f>IFERROR(IF(INDEX('CONTROLE PRODUÇÃO POR EMPRESAS'!$B$6:$G$5000,MATCH($A1075,'CONTROLE PRODUÇÃO POR EMPRESAS'!$A$6:$A$5000,0),MOD(ROW()-2,6)+1)="","",IFERROR(1*INDEX('CONTROLE PRODUÇÃO POR EMPRESAS'!$B$6:$G$5000,MATCH($A1075,'CONTROLE PRODUÇÃO POR EMPRESAS'!$A$6:$A$5000,0),MOD(ROW()-2,6)+1),"")),"")</f>
        <v/>
      </c>
      <c r="I1075" s="159">
        <f>IF(OR(NOT(ISNUMBER(G1075)),NOT(ISNUMBER(H1075))),"",H1075-G1075)</f>
        <v/>
      </c>
      <c r="J1075" s="319">
        <f>IF(OR(NOT(ISNUMBER(G1075)),NOT(ISNUMBER(H1075)),G1075=0),"",I1075/G1075)</f>
        <v/>
      </c>
      <c r="K1075" s="319">
        <f>IF(OR(NOT(ISNUMBER(G1075)),NOT(ISNUMBER(H1075)),G1075=0),"",H1075/G1075)</f>
        <v/>
      </c>
      <c r="L1075">
        <f>IF(NOT(ISNUMBER(G1075)),"SEM META",IF(G1075=0,"SEM META",IF(NOT(ISNUMBER(H1075)),"SEM APONTAMENTO",IF(H1075&gt;=G1075,"VERDE",IF(H1075&gt;=G1075*0.9,"AMARELO","VERMELHO")))))</f>
        <v/>
      </c>
      <c r="M1075" s="162" t="n"/>
      <c r="N1075" s="162" t="n"/>
      <c r="O1075" s="162" t="n"/>
      <c r="P1075" s="162" t="n"/>
      <c r="Q1075" s="320" t="n"/>
      <c r="R1075" s="162" t="inlineStr">
        <is>
          <t>CONTROLE PRODUÇÃO POR EMPRESAS!G184</t>
        </is>
      </c>
    </row>
    <row r="1076" ht="28.5" customHeight="1">
      <c r="A1076" s="317" t="n">
        <v>46402</v>
      </c>
      <c r="B1076" t="inlineStr">
        <is>
          <t>GERAL</t>
        </is>
      </c>
      <c r="C1076" t="inlineStr">
        <is>
          <t>EJ</t>
        </is>
      </c>
      <c r="D1076" t="inlineStr">
        <is>
          <t>PREMONTAGEM</t>
        </is>
      </c>
      <c r="F1076" s="159">
        <f>IFERROR(INDEX('BASE METAS DIÁRIAS'!$N$2:$S$358,MATCH($A1076,'BASE METAS DIÁRIAS'!$A$2:$A$358,0),MOD(ROW()-2,6)+1),"")</f>
        <v/>
      </c>
      <c r="G1076" s="159">
        <f>IFERROR(IF(WEEKDAY($A1076,2)&lt;=INDEX('BASE METAS DIÁRIAS'!$H$2:$M$358,MATCH($A1076,'BASE METAS DIÁRIAS'!$A$2:$A$358,0),MOD(ROW()-2,6)+1),INDEX('BASE METAS DIÁRIAS'!$B$2:$G$358,MATCH($A1076,'BASE METAS DIÁRIAS'!$A$2:$A$358,0),MOD(ROW()-2,6)+1),""),"")</f>
        <v/>
      </c>
      <c r="H1076" s="159">
        <f>IFERROR(IF(INDEX('CONTROLE PRODUÇÃO POR EMPRESAS'!$B$6:$G$5000,MATCH($A1076,'CONTROLE PRODUÇÃO POR EMPRESAS'!$A$6:$A$5000,0),MOD(ROW()-2,6)+1)="","",IFERROR(1*INDEX('CONTROLE PRODUÇÃO POR EMPRESAS'!$B$6:$G$5000,MATCH($A1076,'CONTROLE PRODUÇÃO POR EMPRESAS'!$A$6:$A$5000,0),MOD(ROW()-2,6)+1),"")),"")</f>
        <v/>
      </c>
      <c r="I1076" s="159">
        <f>IF(OR(NOT(ISNUMBER(G1076)),NOT(ISNUMBER(H1076))),"",H1076-G1076)</f>
        <v/>
      </c>
      <c r="J1076" s="319">
        <f>IF(OR(NOT(ISNUMBER(G1076)),NOT(ISNUMBER(H1076)),G1076=0),"",I1076/G1076)</f>
        <v/>
      </c>
      <c r="K1076" s="319">
        <f>IF(OR(NOT(ISNUMBER(G1076)),NOT(ISNUMBER(H1076)),G1076=0),"",H1076/G1076)</f>
        <v/>
      </c>
      <c r="L1076">
        <f>IF(NOT(ISNUMBER(G1076)),"SEM META",IF(G1076=0,"SEM META",IF(NOT(ISNUMBER(H1076)),"SEM APONTAMENTO",IF(H1076&gt;=G1076,"VERDE",IF(H1076&gt;=G1076*0.9,"AMARELO","VERMELHO")))))</f>
        <v/>
      </c>
      <c r="M1076" s="162" t="n"/>
      <c r="N1076" s="162" t="n"/>
      <c r="O1076" s="162" t="n"/>
      <c r="P1076" s="162" t="n"/>
      <c r="Q1076" s="320" t="n"/>
      <c r="R1076" s="162" t="inlineStr">
        <is>
          <t>CONTROLE PRODUÇÃO POR EMPRESAS!B185</t>
        </is>
      </c>
    </row>
    <row r="1077" ht="28.5" customHeight="1">
      <c r="A1077" s="317" t="n">
        <v>46402</v>
      </c>
      <c r="B1077" t="inlineStr">
        <is>
          <t>GERAL</t>
        </is>
      </c>
      <c r="C1077" t="inlineStr">
        <is>
          <t>EJ</t>
        </is>
      </c>
      <c r="D1077" t="inlineStr">
        <is>
          <t>IÇAMENTO JOIST</t>
        </is>
      </c>
      <c r="F1077" s="159">
        <f>IFERROR(INDEX('BASE METAS DIÁRIAS'!$N$2:$S$358,MATCH($A1077,'BASE METAS DIÁRIAS'!$A$2:$A$358,0),MOD(ROW()-2,6)+1),"")</f>
        <v/>
      </c>
      <c r="G1077" s="159">
        <f>IFERROR(IF(WEEKDAY($A1077,2)&lt;=INDEX('BASE METAS DIÁRIAS'!$H$2:$M$358,MATCH($A1077,'BASE METAS DIÁRIAS'!$A$2:$A$358,0),MOD(ROW()-2,6)+1),INDEX('BASE METAS DIÁRIAS'!$B$2:$G$358,MATCH($A1077,'BASE METAS DIÁRIAS'!$A$2:$A$358,0),MOD(ROW()-2,6)+1),""),"")</f>
        <v/>
      </c>
      <c r="H1077" s="159">
        <f>IFERROR(IF(INDEX('CONTROLE PRODUÇÃO POR EMPRESAS'!$B$6:$G$5000,MATCH($A1077,'CONTROLE PRODUÇÃO POR EMPRESAS'!$A$6:$A$5000,0),MOD(ROW()-2,6)+1)="","",IFERROR(1*INDEX('CONTROLE PRODUÇÃO POR EMPRESAS'!$B$6:$G$5000,MATCH($A1077,'CONTROLE PRODUÇÃO POR EMPRESAS'!$A$6:$A$5000,0),MOD(ROW()-2,6)+1),"")),"")</f>
        <v/>
      </c>
      <c r="I1077" s="159">
        <f>IF(OR(NOT(ISNUMBER(G1077)),NOT(ISNUMBER(H1077))),"",H1077-G1077)</f>
        <v/>
      </c>
      <c r="J1077" s="319">
        <f>IF(OR(NOT(ISNUMBER(G1077)),NOT(ISNUMBER(H1077)),G1077=0),"",I1077/G1077)</f>
        <v/>
      </c>
      <c r="K1077" s="319">
        <f>IF(OR(NOT(ISNUMBER(G1077)),NOT(ISNUMBER(H1077)),G1077=0),"",H1077/G1077)</f>
        <v/>
      </c>
      <c r="L1077">
        <f>IF(NOT(ISNUMBER(G1077)),"SEM META",IF(G1077=0,"SEM META",IF(NOT(ISNUMBER(H1077)),"SEM APONTAMENTO",IF(H1077&gt;=G1077,"VERDE",IF(H1077&gt;=G1077*0.9,"AMARELO","VERMELHO")))))</f>
        <v/>
      </c>
      <c r="M1077" s="162" t="n"/>
      <c r="N1077" s="162" t="n"/>
      <c r="O1077" s="162" t="n"/>
      <c r="P1077" s="162" t="n"/>
      <c r="Q1077" s="320" t="n"/>
      <c r="R1077" s="162" t="inlineStr">
        <is>
          <t>CONTROLE PRODUÇÃO POR EMPRESAS!C185</t>
        </is>
      </c>
    </row>
    <row r="1078" ht="28.5" customHeight="1">
      <c r="A1078" s="317" t="n">
        <v>46402</v>
      </c>
      <c r="B1078" t="inlineStr">
        <is>
          <t>GERAL</t>
        </is>
      </c>
      <c r="C1078" t="inlineStr">
        <is>
          <t>EJ</t>
        </is>
      </c>
      <c r="D1078" t="inlineStr">
        <is>
          <t>VIGAS</t>
        </is>
      </c>
      <c r="F1078" s="159">
        <f>IFERROR(INDEX('BASE METAS DIÁRIAS'!$N$2:$S$358,MATCH($A1078,'BASE METAS DIÁRIAS'!$A$2:$A$358,0),MOD(ROW()-2,6)+1),"")</f>
        <v/>
      </c>
      <c r="G1078" s="159">
        <f>IFERROR(IF(WEEKDAY($A1078,2)&lt;=INDEX('BASE METAS DIÁRIAS'!$H$2:$M$358,MATCH($A1078,'BASE METAS DIÁRIAS'!$A$2:$A$358,0),MOD(ROW()-2,6)+1),INDEX('BASE METAS DIÁRIAS'!$B$2:$G$358,MATCH($A1078,'BASE METAS DIÁRIAS'!$A$2:$A$358,0),MOD(ROW()-2,6)+1),""),"")</f>
        <v/>
      </c>
      <c r="H1078" s="159">
        <f>IFERROR(IF(INDEX('CONTROLE PRODUÇÃO POR EMPRESAS'!$B$6:$G$5000,MATCH($A1078,'CONTROLE PRODUÇÃO POR EMPRESAS'!$A$6:$A$5000,0),MOD(ROW()-2,6)+1)="","",IFERROR(1*INDEX('CONTROLE PRODUÇÃO POR EMPRESAS'!$B$6:$G$5000,MATCH($A1078,'CONTROLE PRODUÇÃO POR EMPRESAS'!$A$6:$A$5000,0),MOD(ROW()-2,6)+1),"")),"")</f>
        <v/>
      </c>
      <c r="I1078" s="159">
        <f>IF(OR(NOT(ISNUMBER(G1078)),NOT(ISNUMBER(H1078))),"",H1078-G1078)</f>
        <v/>
      </c>
      <c r="J1078" s="319">
        <f>IF(OR(NOT(ISNUMBER(G1078)),NOT(ISNUMBER(H1078)),G1078=0),"",I1078/G1078)</f>
        <v/>
      </c>
      <c r="K1078" s="319">
        <f>IF(OR(NOT(ISNUMBER(G1078)),NOT(ISNUMBER(H1078)),G1078=0),"",H1078/G1078)</f>
        <v/>
      </c>
      <c r="L1078">
        <f>IF(NOT(ISNUMBER(G1078)),"SEM META",IF(G1078=0,"SEM META",IF(NOT(ISNUMBER(H1078)),"SEM APONTAMENTO",IF(H1078&gt;=G1078,"VERDE",IF(H1078&gt;=G1078*0.9,"AMARELO","VERMELHO")))))</f>
        <v/>
      </c>
      <c r="M1078" s="162" t="n"/>
      <c r="N1078" s="162" t="n"/>
      <c r="O1078" s="162" t="n"/>
      <c r="P1078" s="162" t="n"/>
      <c r="Q1078" s="320" t="n"/>
      <c r="R1078" s="162" t="inlineStr">
        <is>
          <t>CONTROLE PRODUÇÃO POR EMPRESAS!D185</t>
        </is>
      </c>
    </row>
    <row r="1079" ht="28.5" customHeight="1">
      <c r="A1079" s="317" t="n">
        <v>46402</v>
      </c>
      <c r="B1079" t="inlineStr">
        <is>
          <t>GERAL</t>
        </is>
      </c>
      <c r="C1079" t="inlineStr">
        <is>
          <t>CMM</t>
        </is>
      </c>
      <c r="D1079" t="inlineStr">
        <is>
          <t>PREMONTAGEM</t>
        </is>
      </c>
      <c r="F1079" s="159">
        <f>IFERROR(INDEX('BASE METAS DIÁRIAS'!$N$2:$S$358,MATCH($A1079,'BASE METAS DIÁRIAS'!$A$2:$A$358,0),MOD(ROW()-2,6)+1),"")</f>
        <v/>
      </c>
      <c r="G1079" s="159">
        <f>IFERROR(IF(WEEKDAY($A1079,2)&lt;=INDEX('BASE METAS DIÁRIAS'!$H$2:$M$358,MATCH($A1079,'BASE METAS DIÁRIAS'!$A$2:$A$358,0),MOD(ROW()-2,6)+1),INDEX('BASE METAS DIÁRIAS'!$B$2:$G$358,MATCH($A1079,'BASE METAS DIÁRIAS'!$A$2:$A$358,0),MOD(ROW()-2,6)+1),""),"")</f>
        <v/>
      </c>
      <c r="H1079" s="159">
        <f>IFERROR(IF(INDEX('CONTROLE PRODUÇÃO POR EMPRESAS'!$B$6:$G$5000,MATCH($A1079,'CONTROLE PRODUÇÃO POR EMPRESAS'!$A$6:$A$5000,0),MOD(ROW()-2,6)+1)="","",IFERROR(1*INDEX('CONTROLE PRODUÇÃO POR EMPRESAS'!$B$6:$G$5000,MATCH($A1079,'CONTROLE PRODUÇÃO POR EMPRESAS'!$A$6:$A$5000,0),MOD(ROW()-2,6)+1),"")),"")</f>
        <v/>
      </c>
      <c r="I1079" s="159">
        <f>IF(OR(NOT(ISNUMBER(G1079)),NOT(ISNUMBER(H1079))),"",H1079-G1079)</f>
        <v/>
      </c>
      <c r="J1079" s="319">
        <f>IF(OR(NOT(ISNUMBER(G1079)),NOT(ISNUMBER(H1079)),G1079=0),"",I1079/G1079)</f>
        <v/>
      </c>
      <c r="K1079" s="319">
        <f>IF(OR(NOT(ISNUMBER(G1079)),NOT(ISNUMBER(H1079)),G1079=0),"",H1079/G1079)</f>
        <v/>
      </c>
      <c r="L1079">
        <f>IF(NOT(ISNUMBER(G1079)),"SEM META",IF(G1079=0,"SEM META",IF(NOT(ISNUMBER(H1079)),"SEM APONTAMENTO",IF(H1079&gt;=G1079,"VERDE",IF(H1079&gt;=G1079*0.9,"AMARELO","VERMELHO")))))</f>
        <v/>
      </c>
      <c r="M1079" s="162" t="n"/>
      <c r="N1079" s="162" t="n"/>
      <c r="O1079" s="162" t="n"/>
      <c r="P1079" s="162" t="n"/>
      <c r="Q1079" s="320" t="n"/>
      <c r="R1079" s="162" t="inlineStr">
        <is>
          <t>CONTROLE PRODUÇÃO POR EMPRESAS!E185</t>
        </is>
      </c>
    </row>
    <row r="1080" ht="28.5" customHeight="1">
      <c r="A1080" s="317" t="n">
        <v>46402</v>
      </c>
      <c r="B1080" t="inlineStr">
        <is>
          <t>GERAL</t>
        </is>
      </c>
      <c r="C1080" t="inlineStr">
        <is>
          <t>CMM</t>
        </is>
      </c>
      <c r="D1080" t="inlineStr">
        <is>
          <t>IÇAMENTO JOIST</t>
        </is>
      </c>
      <c r="F1080" s="159">
        <f>IFERROR(INDEX('BASE METAS DIÁRIAS'!$N$2:$S$358,MATCH($A1080,'BASE METAS DIÁRIAS'!$A$2:$A$358,0),MOD(ROW()-2,6)+1),"")</f>
        <v/>
      </c>
      <c r="G1080" s="159">
        <f>IFERROR(IF(WEEKDAY($A1080,2)&lt;=INDEX('BASE METAS DIÁRIAS'!$H$2:$M$358,MATCH($A1080,'BASE METAS DIÁRIAS'!$A$2:$A$358,0),MOD(ROW()-2,6)+1),INDEX('BASE METAS DIÁRIAS'!$B$2:$G$358,MATCH($A1080,'BASE METAS DIÁRIAS'!$A$2:$A$358,0),MOD(ROW()-2,6)+1),""),"")</f>
        <v/>
      </c>
      <c r="H1080" s="159">
        <f>IFERROR(IF(INDEX('CONTROLE PRODUÇÃO POR EMPRESAS'!$B$6:$G$5000,MATCH($A1080,'CONTROLE PRODUÇÃO POR EMPRESAS'!$A$6:$A$5000,0),MOD(ROW()-2,6)+1)="","",IFERROR(1*INDEX('CONTROLE PRODUÇÃO POR EMPRESAS'!$B$6:$G$5000,MATCH($A1080,'CONTROLE PRODUÇÃO POR EMPRESAS'!$A$6:$A$5000,0),MOD(ROW()-2,6)+1),"")),"")</f>
        <v/>
      </c>
      <c r="I1080" s="159">
        <f>IF(OR(NOT(ISNUMBER(G1080)),NOT(ISNUMBER(H1080))),"",H1080-G1080)</f>
        <v/>
      </c>
      <c r="J1080" s="319">
        <f>IF(OR(NOT(ISNUMBER(G1080)),NOT(ISNUMBER(H1080)),G1080=0),"",I1080/G1080)</f>
        <v/>
      </c>
      <c r="K1080" s="319">
        <f>IF(OR(NOT(ISNUMBER(G1080)),NOT(ISNUMBER(H1080)),G1080=0),"",H1080/G1080)</f>
        <v/>
      </c>
      <c r="L1080">
        <f>IF(NOT(ISNUMBER(G1080)),"SEM META",IF(G1080=0,"SEM META",IF(NOT(ISNUMBER(H1080)),"SEM APONTAMENTO",IF(H1080&gt;=G1080,"VERDE",IF(H1080&gt;=G1080*0.9,"AMARELO","VERMELHO")))))</f>
        <v/>
      </c>
      <c r="M1080" s="162" t="n"/>
      <c r="N1080" s="162" t="n"/>
      <c r="O1080" s="162" t="n"/>
      <c r="P1080" s="162" t="n"/>
      <c r="Q1080" s="320" t="n"/>
      <c r="R1080" s="162" t="inlineStr">
        <is>
          <t>CONTROLE PRODUÇÃO POR EMPRESAS!F185</t>
        </is>
      </c>
    </row>
    <row r="1081" ht="28.5" customHeight="1">
      <c r="A1081" s="317" t="n">
        <v>46402</v>
      </c>
      <c r="B1081" t="inlineStr">
        <is>
          <t>GERAL</t>
        </is>
      </c>
      <c r="C1081" t="inlineStr">
        <is>
          <t>CMM</t>
        </is>
      </c>
      <c r="D1081" t="inlineStr">
        <is>
          <t>VIGAS</t>
        </is>
      </c>
      <c r="F1081" s="159">
        <f>IFERROR(INDEX('BASE METAS DIÁRIAS'!$N$2:$S$358,MATCH($A1081,'BASE METAS DIÁRIAS'!$A$2:$A$358,0),MOD(ROW()-2,6)+1),"")</f>
        <v/>
      </c>
      <c r="G1081" s="159">
        <f>IFERROR(IF(WEEKDAY($A1081,2)&lt;=INDEX('BASE METAS DIÁRIAS'!$H$2:$M$358,MATCH($A1081,'BASE METAS DIÁRIAS'!$A$2:$A$358,0),MOD(ROW()-2,6)+1),INDEX('BASE METAS DIÁRIAS'!$B$2:$G$358,MATCH($A1081,'BASE METAS DIÁRIAS'!$A$2:$A$358,0),MOD(ROW()-2,6)+1),""),"")</f>
        <v/>
      </c>
      <c r="H1081" s="159">
        <f>IFERROR(IF(INDEX('CONTROLE PRODUÇÃO POR EMPRESAS'!$B$6:$G$5000,MATCH($A1081,'CONTROLE PRODUÇÃO POR EMPRESAS'!$A$6:$A$5000,0),MOD(ROW()-2,6)+1)="","",IFERROR(1*INDEX('CONTROLE PRODUÇÃO POR EMPRESAS'!$B$6:$G$5000,MATCH($A1081,'CONTROLE PRODUÇÃO POR EMPRESAS'!$A$6:$A$5000,0),MOD(ROW()-2,6)+1),"")),"")</f>
        <v/>
      </c>
      <c r="I1081" s="159">
        <f>IF(OR(NOT(ISNUMBER(G1081)),NOT(ISNUMBER(H1081))),"",H1081-G1081)</f>
        <v/>
      </c>
      <c r="J1081" s="319">
        <f>IF(OR(NOT(ISNUMBER(G1081)),NOT(ISNUMBER(H1081)),G1081=0),"",I1081/G1081)</f>
        <v/>
      </c>
      <c r="K1081" s="319">
        <f>IF(OR(NOT(ISNUMBER(G1081)),NOT(ISNUMBER(H1081)),G1081=0),"",H1081/G1081)</f>
        <v/>
      </c>
      <c r="L1081">
        <f>IF(NOT(ISNUMBER(G1081)),"SEM META",IF(G1081=0,"SEM META",IF(NOT(ISNUMBER(H1081)),"SEM APONTAMENTO",IF(H1081&gt;=G1081,"VERDE",IF(H1081&gt;=G1081*0.9,"AMARELO","VERMELHO")))))</f>
        <v/>
      </c>
      <c r="M1081" s="162" t="n"/>
      <c r="N1081" s="162" t="n"/>
      <c r="O1081" s="162" t="n"/>
      <c r="P1081" s="162" t="n"/>
      <c r="Q1081" s="320" t="n"/>
      <c r="R1081" s="162" t="inlineStr">
        <is>
          <t>CONTROLE PRODUÇÃO POR EMPRESAS!G185</t>
        </is>
      </c>
    </row>
    <row r="1082" ht="28.5" customHeight="1">
      <c r="A1082" s="317" t="n">
        <v>46403</v>
      </c>
      <c r="B1082" t="inlineStr">
        <is>
          <t>GERAL</t>
        </is>
      </c>
      <c r="C1082" t="inlineStr">
        <is>
          <t>EJ</t>
        </is>
      </c>
      <c r="D1082" t="inlineStr">
        <is>
          <t>PREMONTAGEM</t>
        </is>
      </c>
      <c r="F1082" s="159">
        <f>IFERROR(INDEX('BASE METAS DIÁRIAS'!$N$2:$S$358,MATCH($A1082,'BASE METAS DIÁRIAS'!$A$2:$A$358,0),MOD(ROW()-2,6)+1),"")</f>
        <v/>
      </c>
      <c r="G1082" s="159">
        <f>IFERROR(IF(WEEKDAY($A1082,2)&lt;=INDEX('BASE METAS DIÁRIAS'!$H$2:$M$358,MATCH($A1082,'BASE METAS DIÁRIAS'!$A$2:$A$358,0),MOD(ROW()-2,6)+1),INDEX('BASE METAS DIÁRIAS'!$B$2:$G$358,MATCH($A1082,'BASE METAS DIÁRIAS'!$A$2:$A$358,0),MOD(ROW()-2,6)+1),""),"")</f>
        <v/>
      </c>
      <c r="H1082" s="159">
        <f>IFERROR(IF(INDEX('CONTROLE PRODUÇÃO POR EMPRESAS'!$B$6:$G$5000,MATCH($A1082,'CONTROLE PRODUÇÃO POR EMPRESAS'!$A$6:$A$5000,0),MOD(ROW()-2,6)+1)="","",IFERROR(1*INDEX('CONTROLE PRODUÇÃO POR EMPRESAS'!$B$6:$G$5000,MATCH($A1082,'CONTROLE PRODUÇÃO POR EMPRESAS'!$A$6:$A$5000,0),MOD(ROW()-2,6)+1),"")),"")</f>
        <v/>
      </c>
      <c r="I1082" s="159">
        <f>IF(OR(NOT(ISNUMBER(G1082)),NOT(ISNUMBER(H1082))),"",H1082-G1082)</f>
        <v/>
      </c>
      <c r="J1082" s="319">
        <f>IF(OR(NOT(ISNUMBER(G1082)),NOT(ISNUMBER(H1082)),G1082=0),"",I1082/G1082)</f>
        <v/>
      </c>
      <c r="K1082" s="319">
        <f>IF(OR(NOT(ISNUMBER(G1082)),NOT(ISNUMBER(H1082)),G1082=0),"",H1082/G1082)</f>
        <v/>
      </c>
      <c r="L1082">
        <f>IF(NOT(ISNUMBER(G1082)),"SEM META",IF(G1082=0,"SEM META",IF(NOT(ISNUMBER(H1082)),"SEM APONTAMENTO",IF(H1082&gt;=G1082,"VERDE",IF(H1082&gt;=G1082*0.9,"AMARELO","VERMELHO")))))</f>
        <v/>
      </c>
      <c r="M1082" s="162" t="n"/>
      <c r="N1082" s="162" t="n"/>
      <c r="O1082" s="162" t="n"/>
      <c r="P1082" s="162" t="n"/>
      <c r="Q1082" s="320" t="n"/>
      <c r="R1082" s="162" t="inlineStr">
        <is>
          <t>CONTROLE PRODUÇÃO POR EMPRESAS!B186</t>
        </is>
      </c>
    </row>
    <row r="1083" ht="28.5" customHeight="1">
      <c r="A1083" s="317" t="n">
        <v>46403</v>
      </c>
      <c r="B1083" t="inlineStr">
        <is>
          <t>GERAL</t>
        </is>
      </c>
      <c r="C1083" t="inlineStr">
        <is>
          <t>EJ</t>
        </is>
      </c>
      <c r="D1083" t="inlineStr">
        <is>
          <t>IÇAMENTO JOIST</t>
        </is>
      </c>
      <c r="F1083" s="159">
        <f>IFERROR(INDEX('BASE METAS DIÁRIAS'!$N$2:$S$358,MATCH($A1083,'BASE METAS DIÁRIAS'!$A$2:$A$358,0),MOD(ROW()-2,6)+1),"")</f>
        <v/>
      </c>
      <c r="G1083" s="159">
        <f>IFERROR(IF(WEEKDAY($A1083,2)&lt;=INDEX('BASE METAS DIÁRIAS'!$H$2:$M$358,MATCH($A1083,'BASE METAS DIÁRIAS'!$A$2:$A$358,0),MOD(ROW()-2,6)+1),INDEX('BASE METAS DIÁRIAS'!$B$2:$G$358,MATCH($A1083,'BASE METAS DIÁRIAS'!$A$2:$A$358,0),MOD(ROW()-2,6)+1),""),"")</f>
        <v/>
      </c>
      <c r="H1083" s="159">
        <f>IFERROR(IF(INDEX('CONTROLE PRODUÇÃO POR EMPRESAS'!$B$6:$G$5000,MATCH($A1083,'CONTROLE PRODUÇÃO POR EMPRESAS'!$A$6:$A$5000,0),MOD(ROW()-2,6)+1)="","",IFERROR(1*INDEX('CONTROLE PRODUÇÃO POR EMPRESAS'!$B$6:$G$5000,MATCH($A1083,'CONTROLE PRODUÇÃO POR EMPRESAS'!$A$6:$A$5000,0),MOD(ROW()-2,6)+1),"")),"")</f>
        <v/>
      </c>
      <c r="I1083" s="159">
        <f>IF(OR(NOT(ISNUMBER(G1083)),NOT(ISNUMBER(H1083))),"",H1083-G1083)</f>
        <v/>
      </c>
      <c r="J1083" s="319">
        <f>IF(OR(NOT(ISNUMBER(G1083)),NOT(ISNUMBER(H1083)),G1083=0),"",I1083/G1083)</f>
        <v/>
      </c>
      <c r="K1083" s="319">
        <f>IF(OR(NOT(ISNUMBER(G1083)),NOT(ISNUMBER(H1083)),G1083=0),"",H1083/G1083)</f>
        <v/>
      </c>
      <c r="L1083">
        <f>IF(NOT(ISNUMBER(G1083)),"SEM META",IF(G1083=0,"SEM META",IF(NOT(ISNUMBER(H1083)),"SEM APONTAMENTO",IF(H1083&gt;=G1083,"VERDE",IF(H1083&gt;=G1083*0.9,"AMARELO","VERMELHO")))))</f>
        <v/>
      </c>
      <c r="M1083" s="162" t="n"/>
      <c r="N1083" s="162" t="n"/>
      <c r="O1083" s="162" t="n"/>
      <c r="P1083" s="162" t="n"/>
      <c r="Q1083" s="320" t="n"/>
      <c r="R1083" s="162" t="inlineStr">
        <is>
          <t>CONTROLE PRODUÇÃO POR EMPRESAS!C186</t>
        </is>
      </c>
    </row>
    <row r="1084" ht="28.5" customHeight="1">
      <c r="A1084" s="317" t="n">
        <v>46403</v>
      </c>
      <c r="B1084" t="inlineStr">
        <is>
          <t>GERAL</t>
        </is>
      </c>
      <c r="C1084" t="inlineStr">
        <is>
          <t>EJ</t>
        </is>
      </c>
      <c r="D1084" t="inlineStr">
        <is>
          <t>VIGAS</t>
        </is>
      </c>
      <c r="F1084" s="159">
        <f>IFERROR(INDEX('BASE METAS DIÁRIAS'!$N$2:$S$358,MATCH($A1084,'BASE METAS DIÁRIAS'!$A$2:$A$358,0),MOD(ROW()-2,6)+1),"")</f>
        <v/>
      </c>
      <c r="G1084" s="159">
        <f>IFERROR(IF(WEEKDAY($A1084,2)&lt;=INDEX('BASE METAS DIÁRIAS'!$H$2:$M$358,MATCH($A1084,'BASE METAS DIÁRIAS'!$A$2:$A$358,0),MOD(ROW()-2,6)+1),INDEX('BASE METAS DIÁRIAS'!$B$2:$G$358,MATCH($A1084,'BASE METAS DIÁRIAS'!$A$2:$A$358,0),MOD(ROW()-2,6)+1),""),"")</f>
        <v/>
      </c>
      <c r="H1084" s="159">
        <f>IFERROR(IF(INDEX('CONTROLE PRODUÇÃO POR EMPRESAS'!$B$6:$G$5000,MATCH($A1084,'CONTROLE PRODUÇÃO POR EMPRESAS'!$A$6:$A$5000,0),MOD(ROW()-2,6)+1)="","",IFERROR(1*INDEX('CONTROLE PRODUÇÃO POR EMPRESAS'!$B$6:$G$5000,MATCH($A1084,'CONTROLE PRODUÇÃO POR EMPRESAS'!$A$6:$A$5000,0),MOD(ROW()-2,6)+1),"")),"")</f>
        <v/>
      </c>
      <c r="I1084" s="159">
        <f>IF(OR(NOT(ISNUMBER(G1084)),NOT(ISNUMBER(H1084))),"",H1084-G1084)</f>
        <v/>
      </c>
      <c r="J1084" s="319">
        <f>IF(OR(NOT(ISNUMBER(G1084)),NOT(ISNUMBER(H1084)),G1084=0),"",I1084/G1084)</f>
        <v/>
      </c>
      <c r="K1084" s="319">
        <f>IF(OR(NOT(ISNUMBER(G1084)),NOT(ISNUMBER(H1084)),G1084=0),"",H1084/G1084)</f>
        <v/>
      </c>
      <c r="L1084">
        <f>IF(NOT(ISNUMBER(G1084)),"SEM META",IF(G1084=0,"SEM META",IF(NOT(ISNUMBER(H1084)),"SEM APONTAMENTO",IF(H1084&gt;=G1084,"VERDE",IF(H1084&gt;=G1084*0.9,"AMARELO","VERMELHO")))))</f>
        <v/>
      </c>
      <c r="M1084" s="162" t="n"/>
      <c r="N1084" s="162" t="n"/>
      <c r="O1084" s="162" t="n"/>
      <c r="P1084" s="162" t="n"/>
      <c r="Q1084" s="320" t="n"/>
      <c r="R1084" s="162" t="inlineStr">
        <is>
          <t>CONTROLE PRODUÇÃO POR EMPRESAS!D186</t>
        </is>
      </c>
    </row>
    <row r="1085" ht="28.5" customHeight="1">
      <c r="A1085" s="317" t="n">
        <v>46403</v>
      </c>
      <c r="B1085" t="inlineStr">
        <is>
          <t>GERAL</t>
        </is>
      </c>
      <c r="C1085" t="inlineStr">
        <is>
          <t>CMM</t>
        </is>
      </c>
      <c r="D1085" t="inlineStr">
        <is>
          <t>PREMONTAGEM</t>
        </is>
      </c>
      <c r="F1085" s="159">
        <f>IFERROR(INDEX('BASE METAS DIÁRIAS'!$N$2:$S$358,MATCH($A1085,'BASE METAS DIÁRIAS'!$A$2:$A$358,0),MOD(ROW()-2,6)+1),"")</f>
        <v/>
      </c>
      <c r="G1085" s="159">
        <f>IFERROR(IF(WEEKDAY($A1085,2)&lt;=INDEX('BASE METAS DIÁRIAS'!$H$2:$M$358,MATCH($A1085,'BASE METAS DIÁRIAS'!$A$2:$A$358,0),MOD(ROW()-2,6)+1),INDEX('BASE METAS DIÁRIAS'!$B$2:$G$358,MATCH($A1085,'BASE METAS DIÁRIAS'!$A$2:$A$358,0),MOD(ROW()-2,6)+1),""),"")</f>
        <v/>
      </c>
      <c r="H1085" s="159">
        <f>IFERROR(IF(INDEX('CONTROLE PRODUÇÃO POR EMPRESAS'!$B$6:$G$5000,MATCH($A1085,'CONTROLE PRODUÇÃO POR EMPRESAS'!$A$6:$A$5000,0),MOD(ROW()-2,6)+1)="","",IFERROR(1*INDEX('CONTROLE PRODUÇÃO POR EMPRESAS'!$B$6:$G$5000,MATCH($A1085,'CONTROLE PRODUÇÃO POR EMPRESAS'!$A$6:$A$5000,0),MOD(ROW()-2,6)+1),"")),"")</f>
        <v/>
      </c>
      <c r="I1085" s="159">
        <f>IF(OR(NOT(ISNUMBER(G1085)),NOT(ISNUMBER(H1085))),"",H1085-G1085)</f>
        <v/>
      </c>
      <c r="J1085" s="319">
        <f>IF(OR(NOT(ISNUMBER(G1085)),NOT(ISNUMBER(H1085)),G1085=0),"",I1085/G1085)</f>
        <v/>
      </c>
      <c r="K1085" s="319">
        <f>IF(OR(NOT(ISNUMBER(G1085)),NOT(ISNUMBER(H1085)),G1085=0),"",H1085/G1085)</f>
        <v/>
      </c>
      <c r="L1085">
        <f>IF(NOT(ISNUMBER(G1085)),"SEM META",IF(G1085=0,"SEM META",IF(NOT(ISNUMBER(H1085)),"SEM APONTAMENTO",IF(H1085&gt;=G1085,"VERDE",IF(H1085&gt;=G1085*0.9,"AMARELO","VERMELHO")))))</f>
        <v/>
      </c>
      <c r="M1085" s="162" t="n"/>
      <c r="N1085" s="162" t="n"/>
      <c r="O1085" s="162" t="n"/>
      <c r="P1085" s="162" t="n"/>
      <c r="Q1085" s="320" t="n"/>
      <c r="R1085" s="162" t="inlineStr">
        <is>
          <t>CONTROLE PRODUÇÃO POR EMPRESAS!E186</t>
        </is>
      </c>
    </row>
    <row r="1086" ht="28.5" customHeight="1">
      <c r="A1086" s="317" t="n">
        <v>46403</v>
      </c>
      <c r="B1086" t="inlineStr">
        <is>
          <t>GERAL</t>
        </is>
      </c>
      <c r="C1086" t="inlineStr">
        <is>
          <t>CMM</t>
        </is>
      </c>
      <c r="D1086" t="inlineStr">
        <is>
          <t>IÇAMENTO JOIST</t>
        </is>
      </c>
      <c r="F1086" s="159">
        <f>IFERROR(INDEX('BASE METAS DIÁRIAS'!$N$2:$S$358,MATCH($A1086,'BASE METAS DIÁRIAS'!$A$2:$A$358,0),MOD(ROW()-2,6)+1),"")</f>
        <v/>
      </c>
      <c r="G1086" s="159">
        <f>IFERROR(IF(WEEKDAY($A1086,2)&lt;=INDEX('BASE METAS DIÁRIAS'!$H$2:$M$358,MATCH($A1086,'BASE METAS DIÁRIAS'!$A$2:$A$358,0),MOD(ROW()-2,6)+1),INDEX('BASE METAS DIÁRIAS'!$B$2:$G$358,MATCH($A1086,'BASE METAS DIÁRIAS'!$A$2:$A$358,0),MOD(ROW()-2,6)+1),""),"")</f>
        <v/>
      </c>
      <c r="H1086" s="159">
        <f>IFERROR(IF(INDEX('CONTROLE PRODUÇÃO POR EMPRESAS'!$B$6:$G$5000,MATCH($A1086,'CONTROLE PRODUÇÃO POR EMPRESAS'!$A$6:$A$5000,0),MOD(ROW()-2,6)+1)="","",IFERROR(1*INDEX('CONTROLE PRODUÇÃO POR EMPRESAS'!$B$6:$G$5000,MATCH($A1086,'CONTROLE PRODUÇÃO POR EMPRESAS'!$A$6:$A$5000,0),MOD(ROW()-2,6)+1),"")),"")</f>
        <v/>
      </c>
      <c r="I1086" s="159">
        <f>IF(OR(NOT(ISNUMBER(G1086)),NOT(ISNUMBER(H1086))),"",H1086-G1086)</f>
        <v/>
      </c>
      <c r="J1086" s="319">
        <f>IF(OR(NOT(ISNUMBER(G1086)),NOT(ISNUMBER(H1086)),G1086=0),"",I1086/G1086)</f>
        <v/>
      </c>
      <c r="K1086" s="319">
        <f>IF(OR(NOT(ISNUMBER(G1086)),NOT(ISNUMBER(H1086)),G1086=0),"",H1086/G1086)</f>
        <v/>
      </c>
      <c r="L1086">
        <f>IF(NOT(ISNUMBER(G1086)),"SEM META",IF(G1086=0,"SEM META",IF(NOT(ISNUMBER(H1086)),"SEM APONTAMENTO",IF(H1086&gt;=G1086,"VERDE",IF(H1086&gt;=G1086*0.9,"AMARELO","VERMELHO")))))</f>
        <v/>
      </c>
      <c r="M1086" s="162" t="n"/>
      <c r="N1086" s="162" t="n"/>
      <c r="O1086" s="162" t="n"/>
      <c r="P1086" s="162" t="n"/>
      <c r="Q1086" s="320" t="n"/>
      <c r="R1086" s="162" t="inlineStr">
        <is>
          <t>CONTROLE PRODUÇÃO POR EMPRESAS!F186</t>
        </is>
      </c>
    </row>
    <row r="1087" ht="28.5" customHeight="1">
      <c r="A1087" s="317" t="n">
        <v>46403</v>
      </c>
      <c r="B1087" t="inlineStr">
        <is>
          <t>GERAL</t>
        </is>
      </c>
      <c r="C1087" t="inlineStr">
        <is>
          <t>CMM</t>
        </is>
      </c>
      <c r="D1087" t="inlineStr">
        <is>
          <t>VIGAS</t>
        </is>
      </c>
      <c r="F1087" s="159">
        <f>IFERROR(INDEX('BASE METAS DIÁRIAS'!$N$2:$S$358,MATCH($A1087,'BASE METAS DIÁRIAS'!$A$2:$A$358,0),MOD(ROW()-2,6)+1),"")</f>
        <v/>
      </c>
      <c r="G1087" s="159">
        <f>IFERROR(IF(WEEKDAY($A1087,2)&lt;=INDEX('BASE METAS DIÁRIAS'!$H$2:$M$358,MATCH($A1087,'BASE METAS DIÁRIAS'!$A$2:$A$358,0),MOD(ROW()-2,6)+1),INDEX('BASE METAS DIÁRIAS'!$B$2:$G$358,MATCH($A1087,'BASE METAS DIÁRIAS'!$A$2:$A$358,0),MOD(ROW()-2,6)+1),""),"")</f>
        <v/>
      </c>
      <c r="H1087" s="159">
        <f>IFERROR(IF(INDEX('CONTROLE PRODUÇÃO POR EMPRESAS'!$B$6:$G$5000,MATCH($A1087,'CONTROLE PRODUÇÃO POR EMPRESAS'!$A$6:$A$5000,0),MOD(ROW()-2,6)+1)="","",IFERROR(1*INDEX('CONTROLE PRODUÇÃO POR EMPRESAS'!$B$6:$G$5000,MATCH($A1087,'CONTROLE PRODUÇÃO POR EMPRESAS'!$A$6:$A$5000,0),MOD(ROW()-2,6)+1),"")),"")</f>
        <v/>
      </c>
      <c r="I1087" s="159">
        <f>IF(OR(NOT(ISNUMBER(G1087)),NOT(ISNUMBER(H1087))),"",H1087-G1087)</f>
        <v/>
      </c>
      <c r="J1087" s="319">
        <f>IF(OR(NOT(ISNUMBER(G1087)),NOT(ISNUMBER(H1087)),G1087=0),"",I1087/G1087)</f>
        <v/>
      </c>
      <c r="K1087" s="319">
        <f>IF(OR(NOT(ISNUMBER(G1087)),NOT(ISNUMBER(H1087)),G1087=0),"",H1087/G1087)</f>
        <v/>
      </c>
      <c r="L1087">
        <f>IF(NOT(ISNUMBER(G1087)),"SEM META",IF(G1087=0,"SEM META",IF(NOT(ISNUMBER(H1087)),"SEM APONTAMENTO",IF(H1087&gt;=G1087,"VERDE",IF(H1087&gt;=G1087*0.9,"AMARELO","VERMELHO")))))</f>
        <v/>
      </c>
      <c r="M1087" s="162" t="n"/>
      <c r="N1087" s="162" t="n"/>
      <c r="O1087" s="162" t="n"/>
      <c r="P1087" s="162" t="n"/>
      <c r="Q1087" s="320" t="n"/>
      <c r="R1087" s="162" t="inlineStr">
        <is>
          <t>CONTROLE PRODUÇÃO POR EMPRESAS!G186</t>
        </is>
      </c>
    </row>
    <row r="1088" ht="28.5" customHeight="1">
      <c r="A1088" s="317" t="n">
        <v>46404</v>
      </c>
      <c r="B1088" t="inlineStr">
        <is>
          <t>GERAL</t>
        </is>
      </c>
      <c r="C1088" t="inlineStr">
        <is>
          <t>EJ</t>
        </is>
      </c>
      <c r="D1088" t="inlineStr">
        <is>
          <t>PREMONTAGEM</t>
        </is>
      </c>
      <c r="F1088" s="159">
        <f>IFERROR(INDEX('BASE METAS DIÁRIAS'!$N$2:$S$358,MATCH($A1088,'BASE METAS DIÁRIAS'!$A$2:$A$358,0),MOD(ROW()-2,6)+1),"")</f>
        <v/>
      </c>
      <c r="G1088" s="159">
        <f>IFERROR(IF(WEEKDAY($A1088,2)&lt;=INDEX('BASE METAS DIÁRIAS'!$H$2:$M$358,MATCH($A1088,'BASE METAS DIÁRIAS'!$A$2:$A$358,0),MOD(ROW()-2,6)+1),INDEX('BASE METAS DIÁRIAS'!$B$2:$G$358,MATCH($A1088,'BASE METAS DIÁRIAS'!$A$2:$A$358,0),MOD(ROW()-2,6)+1),""),"")</f>
        <v/>
      </c>
      <c r="H1088" s="159">
        <f>IFERROR(IF(INDEX('CONTROLE PRODUÇÃO POR EMPRESAS'!$B$6:$G$5000,MATCH($A1088,'CONTROLE PRODUÇÃO POR EMPRESAS'!$A$6:$A$5000,0),MOD(ROW()-2,6)+1)="","",IFERROR(1*INDEX('CONTROLE PRODUÇÃO POR EMPRESAS'!$B$6:$G$5000,MATCH($A1088,'CONTROLE PRODUÇÃO POR EMPRESAS'!$A$6:$A$5000,0),MOD(ROW()-2,6)+1),"")),"")</f>
        <v/>
      </c>
      <c r="I1088" s="159">
        <f>IF(OR(NOT(ISNUMBER(G1088)),NOT(ISNUMBER(H1088))),"",H1088-G1088)</f>
        <v/>
      </c>
      <c r="J1088" s="319">
        <f>IF(OR(NOT(ISNUMBER(G1088)),NOT(ISNUMBER(H1088)),G1088=0),"",I1088/G1088)</f>
        <v/>
      </c>
      <c r="K1088" s="319">
        <f>IF(OR(NOT(ISNUMBER(G1088)),NOT(ISNUMBER(H1088)),G1088=0),"",H1088/G1088)</f>
        <v/>
      </c>
      <c r="L1088">
        <f>IF(NOT(ISNUMBER(G1088)),"SEM META",IF(G1088=0,"SEM META",IF(NOT(ISNUMBER(H1088)),"SEM APONTAMENTO",IF(H1088&gt;=G1088,"VERDE",IF(H1088&gt;=G1088*0.9,"AMARELO","VERMELHO")))))</f>
        <v/>
      </c>
      <c r="M1088" s="162" t="n"/>
      <c r="N1088" s="162" t="n"/>
      <c r="O1088" s="162" t="n"/>
      <c r="P1088" s="162" t="n"/>
      <c r="Q1088" s="320" t="n"/>
      <c r="R1088" s="162" t="inlineStr">
        <is>
          <t>CONTROLE PRODUÇÃO POR EMPRESAS!B187</t>
        </is>
      </c>
    </row>
    <row r="1089" ht="28.5" customHeight="1">
      <c r="A1089" s="317" t="n">
        <v>46404</v>
      </c>
      <c r="B1089" t="inlineStr">
        <is>
          <t>GERAL</t>
        </is>
      </c>
      <c r="C1089" t="inlineStr">
        <is>
          <t>EJ</t>
        </is>
      </c>
      <c r="D1089" t="inlineStr">
        <is>
          <t>IÇAMENTO JOIST</t>
        </is>
      </c>
      <c r="F1089" s="159">
        <f>IFERROR(INDEX('BASE METAS DIÁRIAS'!$N$2:$S$358,MATCH($A1089,'BASE METAS DIÁRIAS'!$A$2:$A$358,0),MOD(ROW()-2,6)+1),"")</f>
        <v/>
      </c>
      <c r="G1089" s="159">
        <f>IFERROR(IF(WEEKDAY($A1089,2)&lt;=INDEX('BASE METAS DIÁRIAS'!$H$2:$M$358,MATCH($A1089,'BASE METAS DIÁRIAS'!$A$2:$A$358,0),MOD(ROW()-2,6)+1),INDEX('BASE METAS DIÁRIAS'!$B$2:$G$358,MATCH($A1089,'BASE METAS DIÁRIAS'!$A$2:$A$358,0),MOD(ROW()-2,6)+1),""),"")</f>
        <v/>
      </c>
      <c r="H1089" s="159">
        <f>IFERROR(IF(INDEX('CONTROLE PRODUÇÃO POR EMPRESAS'!$B$6:$G$5000,MATCH($A1089,'CONTROLE PRODUÇÃO POR EMPRESAS'!$A$6:$A$5000,0),MOD(ROW()-2,6)+1)="","",IFERROR(1*INDEX('CONTROLE PRODUÇÃO POR EMPRESAS'!$B$6:$G$5000,MATCH($A1089,'CONTROLE PRODUÇÃO POR EMPRESAS'!$A$6:$A$5000,0),MOD(ROW()-2,6)+1),"")),"")</f>
        <v/>
      </c>
      <c r="I1089" s="159">
        <f>IF(OR(NOT(ISNUMBER(G1089)),NOT(ISNUMBER(H1089))),"",H1089-G1089)</f>
        <v/>
      </c>
      <c r="J1089" s="319">
        <f>IF(OR(NOT(ISNUMBER(G1089)),NOT(ISNUMBER(H1089)),G1089=0),"",I1089/G1089)</f>
        <v/>
      </c>
      <c r="K1089" s="319">
        <f>IF(OR(NOT(ISNUMBER(G1089)),NOT(ISNUMBER(H1089)),G1089=0),"",H1089/G1089)</f>
        <v/>
      </c>
      <c r="L1089">
        <f>IF(NOT(ISNUMBER(G1089)),"SEM META",IF(G1089=0,"SEM META",IF(NOT(ISNUMBER(H1089)),"SEM APONTAMENTO",IF(H1089&gt;=G1089,"VERDE",IF(H1089&gt;=G1089*0.9,"AMARELO","VERMELHO")))))</f>
        <v/>
      </c>
      <c r="M1089" s="162" t="n"/>
      <c r="N1089" s="162" t="n"/>
      <c r="O1089" s="162" t="n"/>
      <c r="P1089" s="162" t="n"/>
      <c r="Q1089" s="320" t="n"/>
      <c r="R1089" s="162" t="inlineStr">
        <is>
          <t>CONTROLE PRODUÇÃO POR EMPRESAS!C187</t>
        </is>
      </c>
    </row>
    <row r="1090" ht="28.5" customHeight="1">
      <c r="A1090" s="317" t="n">
        <v>46404</v>
      </c>
      <c r="B1090" t="inlineStr">
        <is>
          <t>GERAL</t>
        </is>
      </c>
      <c r="C1090" t="inlineStr">
        <is>
          <t>EJ</t>
        </is>
      </c>
      <c r="D1090" t="inlineStr">
        <is>
          <t>VIGAS</t>
        </is>
      </c>
      <c r="F1090" s="159">
        <f>IFERROR(INDEX('BASE METAS DIÁRIAS'!$N$2:$S$358,MATCH($A1090,'BASE METAS DIÁRIAS'!$A$2:$A$358,0),MOD(ROW()-2,6)+1),"")</f>
        <v/>
      </c>
      <c r="G1090" s="159">
        <f>IFERROR(IF(WEEKDAY($A1090,2)&lt;=INDEX('BASE METAS DIÁRIAS'!$H$2:$M$358,MATCH($A1090,'BASE METAS DIÁRIAS'!$A$2:$A$358,0),MOD(ROW()-2,6)+1),INDEX('BASE METAS DIÁRIAS'!$B$2:$G$358,MATCH($A1090,'BASE METAS DIÁRIAS'!$A$2:$A$358,0),MOD(ROW()-2,6)+1),""),"")</f>
        <v/>
      </c>
      <c r="H1090" s="159">
        <f>IFERROR(IF(INDEX('CONTROLE PRODUÇÃO POR EMPRESAS'!$B$6:$G$5000,MATCH($A1090,'CONTROLE PRODUÇÃO POR EMPRESAS'!$A$6:$A$5000,0),MOD(ROW()-2,6)+1)="","",IFERROR(1*INDEX('CONTROLE PRODUÇÃO POR EMPRESAS'!$B$6:$G$5000,MATCH($A1090,'CONTROLE PRODUÇÃO POR EMPRESAS'!$A$6:$A$5000,0),MOD(ROW()-2,6)+1),"")),"")</f>
        <v/>
      </c>
      <c r="I1090" s="159">
        <f>IF(OR(NOT(ISNUMBER(G1090)),NOT(ISNUMBER(H1090))),"",H1090-G1090)</f>
        <v/>
      </c>
      <c r="J1090" s="319">
        <f>IF(OR(NOT(ISNUMBER(G1090)),NOT(ISNUMBER(H1090)),G1090=0),"",I1090/G1090)</f>
        <v/>
      </c>
      <c r="K1090" s="319">
        <f>IF(OR(NOT(ISNUMBER(G1090)),NOT(ISNUMBER(H1090)),G1090=0),"",H1090/G1090)</f>
        <v/>
      </c>
      <c r="L1090">
        <f>IF(NOT(ISNUMBER(G1090)),"SEM META",IF(G1090=0,"SEM META",IF(NOT(ISNUMBER(H1090)),"SEM APONTAMENTO",IF(H1090&gt;=G1090,"VERDE",IF(H1090&gt;=G1090*0.9,"AMARELO","VERMELHO")))))</f>
        <v/>
      </c>
      <c r="M1090" s="162" t="n"/>
      <c r="N1090" s="162" t="n"/>
      <c r="O1090" s="162" t="n"/>
      <c r="P1090" s="162" t="n"/>
      <c r="Q1090" s="320" t="n"/>
      <c r="R1090" s="162" t="inlineStr">
        <is>
          <t>CONTROLE PRODUÇÃO POR EMPRESAS!D187</t>
        </is>
      </c>
    </row>
    <row r="1091" ht="28.5" customHeight="1">
      <c r="A1091" s="317" t="n">
        <v>46404</v>
      </c>
      <c r="B1091" t="inlineStr">
        <is>
          <t>GERAL</t>
        </is>
      </c>
      <c r="C1091" t="inlineStr">
        <is>
          <t>CMM</t>
        </is>
      </c>
      <c r="D1091" t="inlineStr">
        <is>
          <t>PREMONTAGEM</t>
        </is>
      </c>
      <c r="F1091" s="159">
        <f>IFERROR(INDEX('BASE METAS DIÁRIAS'!$N$2:$S$358,MATCH($A1091,'BASE METAS DIÁRIAS'!$A$2:$A$358,0),MOD(ROW()-2,6)+1),"")</f>
        <v/>
      </c>
      <c r="G1091" s="159">
        <f>IFERROR(IF(WEEKDAY($A1091,2)&lt;=INDEX('BASE METAS DIÁRIAS'!$H$2:$M$358,MATCH($A1091,'BASE METAS DIÁRIAS'!$A$2:$A$358,0),MOD(ROW()-2,6)+1),INDEX('BASE METAS DIÁRIAS'!$B$2:$G$358,MATCH($A1091,'BASE METAS DIÁRIAS'!$A$2:$A$358,0),MOD(ROW()-2,6)+1),""),"")</f>
        <v/>
      </c>
      <c r="H1091" s="159">
        <f>IFERROR(IF(INDEX('CONTROLE PRODUÇÃO POR EMPRESAS'!$B$6:$G$5000,MATCH($A1091,'CONTROLE PRODUÇÃO POR EMPRESAS'!$A$6:$A$5000,0),MOD(ROW()-2,6)+1)="","",IFERROR(1*INDEX('CONTROLE PRODUÇÃO POR EMPRESAS'!$B$6:$G$5000,MATCH($A1091,'CONTROLE PRODUÇÃO POR EMPRESAS'!$A$6:$A$5000,0),MOD(ROW()-2,6)+1),"")),"")</f>
        <v/>
      </c>
      <c r="I1091" s="159">
        <f>IF(OR(NOT(ISNUMBER(G1091)),NOT(ISNUMBER(H1091))),"",H1091-G1091)</f>
        <v/>
      </c>
      <c r="J1091" s="319">
        <f>IF(OR(NOT(ISNUMBER(G1091)),NOT(ISNUMBER(H1091)),G1091=0),"",I1091/G1091)</f>
        <v/>
      </c>
      <c r="K1091" s="319">
        <f>IF(OR(NOT(ISNUMBER(G1091)),NOT(ISNUMBER(H1091)),G1091=0),"",H1091/G1091)</f>
        <v/>
      </c>
      <c r="L1091">
        <f>IF(NOT(ISNUMBER(G1091)),"SEM META",IF(G1091=0,"SEM META",IF(NOT(ISNUMBER(H1091)),"SEM APONTAMENTO",IF(H1091&gt;=G1091,"VERDE",IF(H1091&gt;=G1091*0.9,"AMARELO","VERMELHO")))))</f>
        <v/>
      </c>
      <c r="M1091" s="162" t="n"/>
      <c r="N1091" s="162" t="n"/>
      <c r="O1091" s="162" t="n"/>
      <c r="P1091" s="162" t="n"/>
      <c r="Q1091" s="320" t="n"/>
      <c r="R1091" s="162" t="inlineStr">
        <is>
          <t>CONTROLE PRODUÇÃO POR EMPRESAS!E187</t>
        </is>
      </c>
    </row>
    <row r="1092" ht="28.5" customHeight="1">
      <c r="A1092" s="317" t="n">
        <v>46404</v>
      </c>
      <c r="B1092" t="inlineStr">
        <is>
          <t>GERAL</t>
        </is>
      </c>
      <c r="C1092" t="inlineStr">
        <is>
          <t>CMM</t>
        </is>
      </c>
      <c r="D1092" t="inlineStr">
        <is>
          <t>IÇAMENTO JOIST</t>
        </is>
      </c>
      <c r="F1092" s="159">
        <f>IFERROR(INDEX('BASE METAS DIÁRIAS'!$N$2:$S$358,MATCH($A1092,'BASE METAS DIÁRIAS'!$A$2:$A$358,0),MOD(ROW()-2,6)+1),"")</f>
        <v/>
      </c>
      <c r="G1092" s="159">
        <f>IFERROR(IF(WEEKDAY($A1092,2)&lt;=INDEX('BASE METAS DIÁRIAS'!$H$2:$M$358,MATCH($A1092,'BASE METAS DIÁRIAS'!$A$2:$A$358,0),MOD(ROW()-2,6)+1),INDEX('BASE METAS DIÁRIAS'!$B$2:$G$358,MATCH($A1092,'BASE METAS DIÁRIAS'!$A$2:$A$358,0),MOD(ROW()-2,6)+1),""),"")</f>
        <v/>
      </c>
      <c r="H1092" s="159">
        <f>IFERROR(IF(INDEX('CONTROLE PRODUÇÃO POR EMPRESAS'!$B$6:$G$5000,MATCH($A1092,'CONTROLE PRODUÇÃO POR EMPRESAS'!$A$6:$A$5000,0),MOD(ROW()-2,6)+1)="","",IFERROR(1*INDEX('CONTROLE PRODUÇÃO POR EMPRESAS'!$B$6:$G$5000,MATCH($A1092,'CONTROLE PRODUÇÃO POR EMPRESAS'!$A$6:$A$5000,0),MOD(ROW()-2,6)+1),"")),"")</f>
        <v/>
      </c>
      <c r="I1092" s="159">
        <f>IF(OR(NOT(ISNUMBER(G1092)),NOT(ISNUMBER(H1092))),"",H1092-G1092)</f>
        <v/>
      </c>
      <c r="J1092" s="319">
        <f>IF(OR(NOT(ISNUMBER(G1092)),NOT(ISNUMBER(H1092)),G1092=0),"",I1092/G1092)</f>
        <v/>
      </c>
      <c r="K1092" s="319">
        <f>IF(OR(NOT(ISNUMBER(G1092)),NOT(ISNUMBER(H1092)),G1092=0),"",H1092/G1092)</f>
        <v/>
      </c>
      <c r="L1092">
        <f>IF(NOT(ISNUMBER(G1092)),"SEM META",IF(G1092=0,"SEM META",IF(NOT(ISNUMBER(H1092)),"SEM APONTAMENTO",IF(H1092&gt;=G1092,"VERDE",IF(H1092&gt;=G1092*0.9,"AMARELO","VERMELHO")))))</f>
        <v/>
      </c>
      <c r="M1092" s="162" t="n"/>
      <c r="N1092" s="162" t="n"/>
      <c r="O1092" s="162" t="n"/>
      <c r="P1092" s="162" t="n"/>
      <c r="Q1092" s="320" t="n"/>
      <c r="R1092" s="162" t="inlineStr">
        <is>
          <t>CONTROLE PRODUÇÃO POR EMPRESAS!F187</t>
        </is>
      </c>
    </row>
    <row r="1093" ht="28.5" customHeight="1">
      <c r="A1093" s="317" t="n">
        <v>46404</v>
      </c>
      <c r="B1093" t="inlineStr">
        <is>
          <t>GERAL</t>
        </is>
      </c>
      <c r="C1093" t="inlineStr">
        <is>
          <t>CMM</t>
        </is>
      </c>
      <c r="D1093" t="inlineStr">
        <is>
          <t>VIGAS</t>
        </is>
      </c>
      <c r="F1093" s="159">
        <f>IFERROR(INDEX('BASE METAS DIÁRIAS'!$N$2:$S$358,MATCH($A1093,'BASE METAS DIÁRIAS'!$A$2:$A$358,0),MOD(ROW()-2,6)+1),"")</f>
        <v/>
      </c>
      <c r="G1093" s="159">
        <f>IFERROR(IF(WEEKDAY($A1093,2)&lt;=INDEX('BASE METAS DIÁRIAS'!$H$2:$M$358,MATCH($A1093,'BASE METAS DIÁRIAS'!$A$2:$A$358,0),MOD(ROW()-2,6)+1),INDEX('BASE METAS DIÁRIAS'!$B$2:$G$358,MATCH($A1093,'BASE METAS DIÁRIAS'!$A$2:$A$358,0),MOD(ROW()-2,6)+1),""),"")</f>
        <v/>
      </c>
      <c r="H1093" s="159">
        <f>IFERROR(IF(INDEX('CONTROLE PRODUÇÃO POR EMPRESAS'!$B$6:$G$5000,MATCH($A1093,'CONTROLE PRODUÇÃO POR EMPRESAS'!$A$6:$A$5000,0),MOD(ROW()-2,6)+1)="","",IFERROR(1*INDEX('CONTROLE PRODUÇÃO POR EMPRESAS'!$B$6:$G$5000,MATCH($A1093,'CONTROLE PRODUÇÃO POR EMPRESAS'!$A$6:$A$5000,0),MOD(ROW()-2,6)+1),"")),"")</f>
        <v/>
      </c>
      <c r="I1093" s="159">
        <f>IF(OR(NOT(ISNUMBER(G1093)),NOT(ISNUMBER(H1093))),"",H1093-G1093)</f>
        <v/>
      </c>
      <c r="J1093" s="319">
        <f>IF(OR(NOT(ISNUMBER(G1093)),NOT(ISNUMBER(H1093)),G1093=0),"",I1093/G1093)</f>
        <v/>
      </c>
      <c r="K1093" s="319">
        <f>IF(OR(NOT(ISNUMBER(G1093)),NOT(ISNUMBER(H1093)),G1093=0),"",H1093/G1093)</f>
        <v/>
      </c>
      <c r="L1093">
        <f>IF(NOT(ISNUMBER(G1093)),"SEM META",IF(G1093=0,"SEM META",IF(NOT(ISNUMBER(H1093)),"SEM APONTAMENTO",IF(H1093&gt;=G1093,"VERDE",IF(H1093&gt;=G1093*0.9,"AMARELO","VERMELHO")))))</f>
        <v/>
      </c>
      <c r="M1093" s="162" t="n"/>
      <c r="N1093" s="162" t="n"/>
      <c r="O1093" s="162" t="n"/>
      <c r="P1093" s="162" t="n"/>
      <c r="Q1093" s="320" t="n"/>
      <c r="R1093" s="162" t="inlineStr">
        <is>
          <t>CONTROLE PRODUÇÃO POR EMPRESAS!G187</t>
        </is>
      </c>
    </row>
    <row r="1094" ht="28.5" customHeight="1">
      <c r="A1094" s="317" t="n">
        <v>46405</v>
      </c>
      <c r="B1094" t="inlineStr">
        <is>
          <t>GERAL</t>
        </is>
      </c>
      <c r="C1094" t="inlineStr">
        <is>
          <t>EJ</t>
        </is>
      </c>
      <c r="D1094" t="inlineStr">
        <is>
          <t>PREMONTAGEM</t>
        </is>
      </c>
      <c r="F1094" s="159">
        <f>IFERROR(INDEX('BASE METAS DIÁRIAS'!$N$2:$S$358,MATCH($A1094,'BASE METAS DIÁRIAS'!$A$2:$A$358,0),MOD(ROW()-2,6)+1),"")</f>
        <v/>
      </c>
      <c r="G1094" s="159">
        <f>IFERROR(IF(WEEKDAY($A1094,2)&lt;=INDEX('BASE METAS DIÁRIAS'!$H$2:$M$358,MATCH($A1094,'BASE METAS DIÁRIAS'!$A$2:$A$358,0),MOD(ROW()-2,6)+1),INDEX('BASE METAS DIÁRIAS'!$B$2:$G$358,MATCH($A1094,'BASE METAS DIÁRIAS'!$A$2:$A$358,0),MOD(ROW()-2,6)+1),""),"")</f>
        <v/>
      </c>
      <c r="H1094" s="159">
        <f>IFERROR(IF(INDEX('CONTROLE PRODUÇÃO POR EMPRESAS'!$B$6:$G$5000,MATCH($A1094,'CONTROLE PRODUÇÃO POR EMPRESAS'!$A$6:$A$5000,0),MOD(ROW()-2,6)+1)="","",IFERROR(1*INDEX('CONTROLE PRODUÇÃO POR EMPRESAS'!$B$6:$G$5000,MATCH($A1094,'CONTROLE PRODUÇÃO POR EMPRESAS'!$A$6:$A$5000,0),MOD(ROW()-2,6)+1),"")),"")</f>
        <v/>
      </c>
      <c r="I1094" s="159">
        <f>IF(OR(NOT(ISNUMBER(G1094)),NOT(ISNUMBER(H1094))),"",H1094-G1094)</f>
        <v/>
      </c>
      <c r="J1094" s="319">
        <f>IF(OR(NOT(ISNUMBER(G1094)),NOT(ISNUMBER(H1094)),G1094=0),"",I1094/G1094)</f>
        <v/>
      </c>
      <c r="K1094" s="319">
        <f>IF(OR(NOT(ISNUMBER(G1094)),NOT(ISNUMBER(H1094)),G1094=0),"",H1094/G1094)</f>
        <v/>
      </c>
      <c r="L1094">
        <f>IF(NOT(ISNUMBER(G1094)),"SEM META",IF(G1094=0,"SEM META",IF(NOT(ISNUMBER(H1094)),"SEM APONTAMENTO",IF(H1094&gt;=G1094,"VERDE",IF(H1094&gt;=G1094*0.9,"AMARELO","VERMELHO")))))</f>
        <v/>
      </c>
      <c r="M1094" s="162" t="n"/>
      <c r="N1094" s="162" t="n"/>
      <c r="O1094" s="162" t="n"/>
      <c r="P1094" s="162" t="n"/>
      <c r="Q1094" s="320" t="n"/>
      <c r="R1094" s="162" t="inlineStr">
        <is>
          <t>CONTROLE PRODUÇÃO POR EMPRESAS!B188</t>
        </is>
      </c>
    </row>
    <row r="1095" ht="28.5" customHeight="1">
      <c r="A1095" s="317" t="n">
        <v>46405</v>
      </c>
      <c r="B1095" t="inlineStr">
        <is>
          <t>GERAL</t>
        </is>
      </c>
      <c r="C1095" t="inlineStr">
        <is>
          <t>EJ</t>
        </is>
      </c>
      <c r="D1095" t="inlineStr">
        <is>
          <t>IÇAMENTO JOIST</t>
        </is>
      </c>
      <c r="F1095" s="159">
        <f>IFERROR(INDEX('BASE METAS DIÁRIAS'!$N$2:$S$358,MATCH($A1095,'BASE METAS DIÁRIAS'!$A$2:$A$358,0),MOD(ROW()-2,6)+1),"")</f>
        <v/>
      </c>
      <c r="G1095" s="159">
        <f>IFERROR(IF(WEEKDAY($A1095,2)&lt;=INDEX('BASE METAS DIÁRIAS'!$H$2:$M$358,MATCH($A1095,'BASE METAS DIÁRIAS'!$A$2:$A$358,0),MOD(ROW()-2,6)+1),INDEX('BASE METAS DIÁRIAS'!$B$2:$G$358,MATCH($A1095,'BASE METAS DIÁRIAS'!$A$2:$A$358,0),MOD(ROW()-2,6)+1),""),"")</f>
        <v/>
      </c>
      <c r="H1095" s="159">
        <f>IFERROR(IF(INDEX('CONTROLE PRODUÇÃO POR EMPRESAS'!$B$6:$G$5000,MATCH($A1095,'CONTROLE PRODUÇÃO POR EMPRESAS'!$A$6:$A$5000,0),MOD(ROW()-2,6)+1)="","",IFERROR(1*INDEX('CONTROLE PRODUÇÃO POR EMPRESAS'!$B$6:$G$5000,MATCH($A1095,'CONTROLE PRODUÇÃO POR EMPRESAS'!$A$6:$A$5000,0),MOD(ROW()-2,6)+1),"")),"")</f>
        <v/>
      </c>
      <c r="I1095" s="159">
        <f>IF(OR(NOT(ISNUMBER(G1095)),NOT(ISNUMBER(H1095))),"",H1095-G1095)</f>
        <v/>
      </c>
      <c r="J1095" s="319">
        <f>IF(OR(NOT(ISNUMBER(G1095)),NOT(ISNUMBER(H1095)),G1095=0),"",I1095/G1095)</f>
        <v/>
      </c>
      <c r="K1095" s="319">
        <f>IF(OR(NOT(ISNUMBER(G1095)),NOT(ISNUMBER(H1095)),G1095=0),"",H1095/G1095)</f>
        <v/>
      </c>
      <c r="L1095">
        <f>IF(NOT(ISNUMBER(G1095)),"SEM META",IF(G1095=0,"SEM META",IF(NOT(ISNUMBER(H1095)),"SEM APONTAMENTO",IF(H1095&gt;=G1095,"VERDE",IF(H1095&gt;=G1095*0.9,"AMARELO","VERMELHO")))))</f>
        <v/>
      </c>
      <c r="M1095" s="162" t="n"/>
      <c r="N1095" s="162" t="n"/>
      <c r="O1095" s="162" t="n"/>
      <c r="P1095" s="162" t="n"/>
      <c r="Q1095" s="320" t="n"/>
      <c r="R1095" s="162" t="inlineStr">
        <is>
          <t>CONTROLE PRODUÇÃO POR EMPRESAS!C188</t>
        </is>
      </c>
    </row>
    <row r="1096" ht="28.5" customHeight="1">
      <c r="A1096" s="317" t="n">
        <v>46405</v>
      </c>
      <c r="B1096" t="inlineStr">
        <is>
          <t>GERAL</t>
        </is>
      </c>
      <c r="C1096" t="inlineStr">
        <is>
          <t>EJ</t>
        </is>
      </c>
      <c r="D1096" t="inlineStr">
        <is>
          <t>VIGAS</t>
        </is>
      </c>
      <c r="F1096" s="159">
        <f>IFERROR(INDEX('BASE METAS DIÁRIAS'!$N$2:$S$358,MATCH($A1096,'BASE METAS DIÁRIAS'!$A$2:$A$358,0),MOD(ROW()-2,6)+1),"")</f>
        <v/>
      </c>
      <c r="G1096" s="159">
        <f>IFERROR(IF(WEEKDAY($A1096,2)&lt;=INDEX('BASE METAS DIÁRIAS'!$H$2:$M$358,MATCH($A1096,'BASE METAS DIÁRIAS'!$A$2:$A$358,0),MOD(ROW()-2,6)+1),INDEX('BASE METAS DIÁRIAS'!$B$2:$G$358,MATCH($A1096,'BASE METAS DIÁRIAS'!$A$2:$A$358,0),MOD(ROW()-2,6)+1),""),"")</f>
        <v/>
      </c>
      <c r="H1096" s="159">
        <f>IFERROR(IF(INDEX('CONTROLE PRODUÇÃO POR EMPRESAS'!$B$6:$G$5000,MATCH($A1096,'CONTROLE PRODUÇÃO POR EMPRESAS'!$A$6:$A$5000,0),MOD(ROW()-2,6)+1)="","",IFERROR(1*INDEX('CONTROLE PRODUÇÃO POR EMPRESAS'!$B$6:$G$5000,MATCH($A1096,'CONTROLE PRODUÇÃO POR EMPRESAS'!$A$6:$A$5000,0),MOD(ROW()-2,6)+1),"")),"")</f>
        <v/>
      </c>
      <c r="I1096" s="159">
        <f>IF(OR(NOT(ISNUMBER(G1096)),NOT(ISNUMBER(H1096))),"",H1096-G1096)</f>
        <v/>
      </c>
      <c r="J1096" s="319">
        <f>IF(OR(NOT(ISNUMBER(G1096)),NOT(ISNUMBER(H1096)),G1096=0),"",I1096/G1096)</f>
        <v/>
      </c>
      <c r="K1096" s="319">
        <f>IF(OR(NOT(ISNUMBER(G1096)),NOT(ISNUMBER(H1096)),G1096=0),"",H1096/G1096)</f>
        <v/>
      </c>
      <c r="L1096">
        <f>IF(NOT(ISNUMBER(G1096)),"SEM META",IF(G1096=0,"SEM META",IF(NOT(ISNUMBER(H1096)),"SEM APONTAMENTO",IF(H1096&gt;=G1096,"VERDE",IF(H1096&gt;=G1096*0.9,"AMARELO","VERMELHO")))))</f>
        <v/>
      </c>
      <c r="M1096" s="162" t="n"/>
      <c r="N1096" s="162" t="n"/>
      <c r="O1096" s="162" t="n"/>
      <c r="P1096" s="162" t="n"/>
      <c r="Q1096" s="320" t="n"/>
      <c r="R1096" s="162" t="inlineStr">
        <is>
          <t>CONTROLE PRODUÇÃO POR EMPRESAS!D188</t>
        </is>
      </c>
    </row>
    <row r="1097" ht="28.5" customHeight="1">
      <c r="A1097" s="317" t="n">
        <v>46405</v>
      </c>
      <c r="B1097" t="inlineStr">
        <is>
          <t>GERAL</t>
        </is>
      </c>
      <c r="C1097" t="inlineStr">
        <is>
          <t>CMM</t>
        </is>
      </c>
      <c r="D1097" t="inlineStr">
        <is>
          <t>PREMONTAGEM</t>
        </is>
      </c>
      <c r="F1097" s="159">
        <f>IFERROR(INDEX('BASE METAS DIÁRIAS'!$N$2:$S$358,MATCH($A1097,'BASE METAS DIÁRIAS'!$A$2:$A$358,0),MOD(ROW()-2,6)+1),"")</f>
        <v/>
      </c>
      <c r="G1097" s="159">
        <f>IFERROR(IF(WEEKDAY($A1097,2)&lt;=INDEX('BASE METAS DIÁRIAS'!$H$2:$M$358,MATCH($A1097,'BASE METAS DIÁRIAS'!$A$2:$A$358,0),MOD(ROW()-2,6)+1),INDEX('BASE METAS DIÁRIAS'!$B$2:$G$358,MATCH($A1097,'BASE METAS DIÁRIAS'!$A$2:$A$358,0),MOD(ROW()-2,6)+1),""),"")</f>
        <v/>
      </c>
      <c r="H1097" s="159">
        <f>IFERROR(IF(INDEX('CONTROLE PRODUÇÃO POR EMPRESAS'!$B$6:$G$5000,MATCH($A1097,'CONTROLE PRODUÇÃO POR EMPRESAS'!$A$6:$A$5000,0),MOD(ROW()-2,6)+1)="","",IFERROR(1*INDEX('CONTROLE PRODUÇÃO POR EMPRESAS'!$B$6:$G$5000,MATCH($A1097,'CONTROLE PRODUÇÃO POR EMPRESAS'!$A$6:$A$5000,0),MOD(ROW()-2,6)+1),"")),"")</f>
        <v/>
      </c>
      <c r="I1097" s="159">
        <f>IF(OR(NOT(ISNUMBER(G1097)),NOT(ISNUMBER(H1097))),"",H1097-G1097)</f>
        <v/>
      </c>
      <c r="J1097" s="319">
        <f>IF(OR(NOT(ISNUMBER(G1097)),NOT(ISNUMBER(H1097)),G1097=0),"",I1097/G1097)</f>
        <v/>
      </c>
      <c r="K1097" s="319">
        <f>IF(OR(NOT(ISNUMBER(G1097)),NOT(ISNUMBER(H1097)),G1097=0),"",H1097/G1097)</f>
        <v/>
      </c>
      <c r="L1097">
        <f>IF(NOT(ISNUMBER(G1097)),"SEM META",IF(G1097=0,"SEM META",IF(NOT(ISNUMBER(H1097)),"SEM APONTAMENTO",IF(H1097&gt;=G1097,"VERDE",IF(H1097&gt;=G1097*0.9,"AMARELO","VERMELHO")))))</f>
        <v/>
      </c>
      <c r="M1097" s="162" t="n"/>
      <c r="N1097" s="162" t="n"/>
      <c r="O1097" s="162" t="n"/>
      <c r="P1097" s="162" t="n"/>
      <c r="Q1097" s="320" t="n"/>
      <c r="R1097" s="162" t="inlineStr">
        <is>
          <t>CONTROLE PRODUÇÃO POR EMPRESAS!E188</t>
        </is>
      </c>
    </row>
    <row r="1098" ht="28.5" customHeight="1">
      <c r="A1098" s="317" t="n">
        <v>46405</v>
      </c>
      <c r="B1098" t="inlineStr">
        <is>
          <t>GERAL</t>
        </is>
      </c>
      <c r="C1098" t="inlineStr">
        <is>
          <t>CMM</t>
        </is>
      </c>
      <c r="D1098" t="inlineStr">
        <is>
          <t>IÇAMENTO JOIST</t>
        </is>
      </c>
      <c r="F1098" s="159">
        <f>IFERROR(INDEX('BASE METAS DIÁRIAS'!$N$2:$S$358,MATCH($A1098,'BASE METAS DIÁRIAS'!$A$2:$A$358,0),MOD(ROW()-2,6)+1),"")</f>
        <v/>
      </c>
      <c r="G1098" s="159">
        <f>IFERROR(IF(WEEKDAY($A1098,2)&lt;=INDEX('BASE METAS DIÁRIAS'!$H$2:$M$358,MATCH($A1098,'BASE METAS DIÁRIAS'!$A$2:$A$358,0),MOD(ROW()-2,6)+1),INDEX('BASE METAS DIÁRIAS'!$B$2:$G$358,MATCH($A1098,'BASE METAS DIÁRIAS'!$A$2:$A$358,0),MOD(ROW()-2,6)+1),""),"")</f>
        <v/>
      </c>
      <c r="H1098" s="159">
        <f>IFERROR(IF(INDEX('CONTROLE PRODUÇÃO POR EMPRESAS'!$B$6:$G$5000,MATCH($A1098,'CONTROLE PRODUÇÃO POR EMPRESAS'!$A$6:$A$5000,0),MOD(ROW()-2,6)+1)="","",IFERROR(1*INDEX('CONTROLE PRODUÇÃO POR EMPRESAS'!$B$6:$G$5000,MATCH($A1098,'CONTROLE PRODUÇÃO POR EMPRESAS'!$A$6:$A$5000,0),MOD(ROW()-2,6)+1),"")),"")</f>
        <v/>
      </c>
      <c r="I1098" s="159">
        <f>IF(OR(NOT(ISNUMBER(G1098)),NOT(ISNUMBER(H1098))),"",H1098-G1098)</f>
        <v/>
      </c>
      <c r="J1098" s="319">
        <f>IF(OR(NOT(ISNUMBER(G1098)),NOT(ISNUMBER(H1098)),G1098=0),"",I1098/G1098)</f>
        <v/>
      </c>
      <c r="K1098" s="319">
        <f>IF(OR(NOT(ISNUMBER(G1098)),NOT(ISNUMBER(H1098)),G1098=0),"",H1098/G1098)</f>
        <v/>
      </c>
      <c r="L1098">
        <f>IF(NOT(ISNUMBER(G1098)),"SEM META",IF(G1098=0,"SEM META",IF(NOT(ISNUMBER(H1098)),"SEM APONTAMENTO",IF(H1098&gt;=G1098,"VERDE",IF(H1098&gt;=G1098*0.9,"AMARELO","VERMELHO")))))</f>
        <v/>
      </c>
      <c r="M1098" s="162" t="n"/>
      <c r="N1098" s="162" t="n"/>
      <c r="O1098" s="162" t="n"/>
      <c r="P1098" s="162" t="n"/>
      <c r="Q1098" s="320" t="n"/>
      <c r="R1098" s="162" t="inlineStr">
        <is>
          <t>CONTROLE PRODUÇÃO POR EMPRESAS!F188</t>
        </is>
      </c>
    </row>
    <row r="1099" ht="28.5" customHeight="1">
      <c r="A1099" s="317" t="n">
        <v>46405</v>
      </c>
      <c r="B1099" t="inlineStr">
        <is>
          <t>GERAL</t>
        </is>
      </c>
      <c r="C1099" t="inlineStr">
        <is>
          <t>CMM</t>
        </is>
      </c>
      <c r="D1099" t="inlineStr">
        <is>
          <t>VIGAS</t>
        </is>
      </c>
      <c r="F1099" s="159">
        <f>IFERROR(INDEX('BASE METAS DIÁRIAS'!$N$2:$S$358,MATCH($A1099,'BASE METAS DIÁRIAS'!$A$2:$A$358,0),MOD(ROW()-2,6)+1),"")</f>
        <v/>
      </c>
      <c r="G1099" s="159">
        <f>IFERROR(IF(WEEKDAY($A1099,2)&lt;=INDEX('BASE METAS DIÁRIAS'!$H$2:$M$358,MATCH($A1099,'BASE METAS DIÁRIAS'!$A$2:$A$358,0),MOD(ROW()-2,6)+1),INDEX('BASE METAS DIÁRIAS'!$B$2:$G$358,MATCH($A1099,'BASE METAS DIÁRIAS'!$A$2:$A$358,0),MOD(ROW()-2,6)+1),""),"")</f>
        <v/>
      </c>
      <c r="H1099" s="159">
        <f>IFERROR(IF(INDEX('CONTROLE PRODUÇÃO POR EMPRESAS'!$B$6:$G$5000,MATCH($A1099,'CONTROLE PRODUÇÃO POR EMPRESAS'!$A$6:$A$5000,0),MOD(ROW()-2,6)+1)="","",IFERROR(1*INDEX('CONTROLE PRODUÇÃO POR EMPRESAS'!$B$6:$G$5000,MATCH($A1099,'CONTROLE PRODUÇÃO POR EMPRESAS'!$A$6:$A$5000,0),MOD(ROW()-2,6)+1),"")),"")</f>
        <v/>
      </c>
      <c r="I1099" s="159">
        <f>IF(OR(NOT(ISNUMBER(G1099)),NOT(ISNUMBER(H1099))),"",H1099-G1099)</f>
        <v/>
      </c>
      <c r="J1099" s="319">
        <f>IF(OR(NOT(ISNUMBER(G1099)),NOT(ISNUMBER(H1099)),G1099=0),"",I1099/G1099)</f>
        <v/>
      </c>
      <c r="K1099" s="319">
        <f>IF(OR(NOT(ISNUMBER(G1099)),NOT(ISNUMBER(H1099)),G1099=0),"",H1099/G1099)</f>
        <v/>
      </c>
      <c r="L1099">
        <f>IF(NOT(ISNUMBER(G1099)),"SEM META",IF(G1099=0,"SEM META",IF(NOT(ISNUMBER(H1099)),"SEM APONTAMENTO",IF(H1099&gt;=G1099,"VERDE",IF(H1099&gt;=G1099*0.9,"AMARELO","VERMELHO")))))</f>
        <v/>
      </c>
      <c r="M1099" s="162" t="n"/>
      <c r="N1099" s="162" t="n"/>
      <c r="O1099" s="162" t="n"/>
      <c r="P1099" s="162" t="n"/>
      <c r="Q1099" s="320" t="n"/>
      <c r="R1099" s="162" t="inlineStr">
        <is>
          <t>CONTROLE PRODUÇÃO POR EMPRESAS!G188</t>
        </is>
      </c>
    </row>
    <row r="1100" ht="28.5" customHeight="1">
      <c r="A1100" s="317" t="n">
        <v>46406</v>
      </c>
      <c r="B1100" t="inlineStr">
        <is>
          <t>GERAL</t>
        </is>
      </c>
      <c r="C1100" t="inlineStr">
        <is>
          <t>EJ</t>
        </is>
      </c>
      <c r="D1100" t="inlineStr">
        <is>
          <t>PREMONTAGEM</t>
        </is>
      </c>
      <c r="F1100" s="159">
        <f>IFERROR(INDEX('BASE METAS DIÁRIAS'!$N$2:$S$358,MATCH($A1100,'BASE METAS DIÁRIAS'!$A$2:$A$358,0),MOD(ROW()-2,6)+1),"")</f>
        <v/>
      </c>
      <c r="G1100" s="159">
        <f>IFERROR(IF(WEEKDAY($A1100,2)&lt;=INDEX('BASE METAS DIÁRIAS'!$H$2:$M$358,MATCH($A1100,'BASE METAS DIÁRIAS'!$A$2:$A$358,0),MOD(ROW()-2,6)+1),INDEX('BASE METAS DIÁRIAS'!$B$2:$G$358,MATCH($A1100,'BASE METAS DIÁRIAS'!$A$2:$A$358,0),MOD(ROW()-2,6)+1),""),"")</f>
        <v/>
      </c>
      <c r="H1100" s="159">
        <f>IFERROR(IF(INDEX('CONTROLE PRODUÇÃO POR EMPRESAS'!$B$6:$G$5000,MATCH($A1100,'CONTROLE PRODUÇÃO POR EMPRESAS'!$A$6:$A$5000,0),MOD(ROW()-2,6)+1)="","",IFERROR(1*INDEX('CONTROLE PRODUÇÃO POR EMPRESAS'!$B$6:$G$5000,MATCH($A1100,'CONTROLE PRODUÇÃO POR EMPRESAS'!$A$6:$A$5000,0),MOD(ROW()-2,6)+1),"")),"")</f>
        <v/>
      </c>
      <c r="I1100" s="159">
        <f>IF(OR(NOT(ISNUMBER(G1100)),NOT(ISNUMBER(H1100))),"",H1100-G1100)</f>
        <v/>
      </c>
      <c r="J1100" s="319">
        <f>IF(OR(NOT(ISNUMBER(G1100)),NOT(ISNUMBER(H1100)),G1100=0),"",I1100/G1100)</f>
        <v/>
      </c>
      <c r="K1100" s="319">
        <f>IF(OR(NOT(ISNUMBER(G1100)),NOT(ISNUMBER(H1100)),G1100=0),"",H1100/G1100)</f>
        <v/>
      </c>
      <c r="L1100">
        <f>IF(NOT(ISNUMBER(G1100)),"SEM META",IF(G1100=0,"SEM META",IF(NOT(ISNUMBER(H1100)),"SEM APONTAMENTO",IF(H1100&gt;=G1100,"VERDE",IF(H1100&gt;=G1100*0.9,"AMARELO","VERMELHO")))))</f>
        <v/>
      </c>
      <c r="M1100" s="162" t="n"/>
      <c r="N1100" s="162" t="n"/>
      <c r="O1100" s="162" t="n"/>
      <c r="P1100" s="162" t="n"/>
      <c r="Q1100" s="320" t="n"/>
      <c r="R1100" s="162" t="inlineStr">
        <is>
          <t>CONTROLE PRODUÇÃO POR EMPRESAS!B189</t>
        </is>
      </c>
    </row>
    <row r="1101" ht="28.5" customHeight="1">
      <c r="A1101" s="317" t="n">
        <v>46406</v>
      </c>
      <c r="B1101" t="inlineStr">
        <is>
          <t>GERAL</t>
        </is>
      </c>
      <c r="C1101" t="inlineStr">
        <is>
          <t>EJ</t>
        </is>
      </c>
      <c r="D1101" t="inlineStr">
        <is>
          <t>IÇAMENTO JOIST</t>
        </is>
      </c>
      <c r="F1101" s="159">
        <f>IFERROR(INDEX('BASE METAS DIÁRIAS'!$N$2:$S$358,MATCH($A1101,'BASE METAS DIÁRIAS'!$A$2:$A$358,0),MOD(ROW()-2,6)+1),"")</f>
        <v/>
      </c>
      <c r="G1101" s="159">
        <f>IFERROR(IF(WEEKDAY($A1101,2)&lt;=INDEX('BASE METAS DIÁRIAS'!$H$2:$M$358,MATCH($A1101,'BASE METAS DIÁRIAS'!$A$2:$A$358,0),MOD(ROW()-2,6)+1),INDEX('BASE METAS DIÁRIAS'!$B$2:$G$358,MATCH($A1101,'BASE METAS DIÁRIAS'!$A$2:$A$358,0),MOD(ROW()-2,6)+1),""),"")</f>
        <v/>
      </c>
      <c r="H1101" s="159">
        <f>IFERROR(IF(INDEX('CONTROLE PRODUÇÃO POR EMPRESAS'!$B$6:$G$5000,MATCH($A1101,'CONTROLE PRODUÇÃO POR EMPRESAS'!$A$6:$A$5000,0),MOD(ROW()-2,6)+1)="","",IFERROR(1*INDEX('CONTROLE PRODUÇÃO POR EMPRESAS'!$B$6:$G$5000,MATCH($A1101,'CONTROLE PRODUÇÃO POR EMPRESAS'!$A$6:$A$5000,0),MOD(ROW()-2,6)+1),"")),"")</f>
        <v/>
      </c>
      <c r="I1101" s="159">
        <f>IF(OR(NOT(ISNUMBER(G1101)),NOT(ISNUMBER(H1101))),"",H1101-G1101)</f>
        <v/>
      </c>
      <c r="J1101" s="319">
        <f>IF(OR(NOT(ISNUMBER(G1101)),NOT(ISNUMBER(H1101)),G1101=0),"",I1101/G1101)</f>
        <v/>
      </c>
      <c r="K1101" s="319">
        <f>IF(OR(NOT(ISNUMBER(G1101)),NOT(ISNUMBER(H1101)),G1101=0),"",H1101/G1101)</f>
        <v/>
      </c>
      <c r="L1101">
        <f>IF(NOT(ISNUMBER(G1101)),"SEM META",IF(G1101=0,"SEM META",IF(NOT(ISNUMBER(H1101)),"SEM APONTAMENTO",IF(H1101&gt;=G1101,"VERDE",IF(H1101&gt;=G1101*0.9,"AMARELO","VERMELHO")))))</f>
        <v/>
      </c>
      <c r="M1101" s="162" t="n"/>
      <c r="N1101" s="162" t="n"/>
      <c r="O1101" s="162" t="n"/>
      <c r="P1101" s="162" t="n"/>
      <c r="Q1101" s="320" t="n"/>
      <c r="R1101" s="162" t="inlineStr">
        <is>
          <t>CONTROLE PRODUÇÃO POR EMPRESAS!C189</t>
        </is>
      </c>
    </row>
    <row r="1102" ht="28.5" customHeight="1">
      <c r="A1102" s="317" t="n">
        <v>46406</v>
      </c>
      <c r="B1102" t="inlineStr">
        <is>
          <t>GERAL</t>
        </is>
      </c>
      <c r="C1102" t="inlineStr">
        <is>
          <t>EJ</t>
        </is>
      </c>
      <c r="D1102" t="inlineStr">
        <is>
          <t>VIGAS</t>
        </is>
      </c>
      <c r="F1102" s="159">
        <f>IFERROR(INDEX('BASE METAS DIÁRIAS'!$N$2:$S$358,MATCH($A1102,'BASE METAS DIÁRIAS'!$A$2:$A$358,0),MOD(ROW()-2,6)+1),"")</f>
        <v/>
      </c>
      <c r="G1102" s="159">
        <f>IFERROR(IF(WEEKDAY($A1102,2)&lt;=INDEX('BASE METAS DIÁRIAS'!$H$2:$M$358,MATCH($A1102,'BASE METAS DIÁRIAS'!$A$2:$A$358,0),MOD(ROW()-2,6)+1),INDEX('BASE METAS DIÁRIAS'!$B$2:$G$358,MATCH($A1102,'BASE METAS DIÁRIAS'!$A$2:$A$358,0),MOD(ROW()-2,6)+1),""),"")</f>
        <v/>
      </c>
      <c r="H1102" s="159">
        <f>IFERROR(IF(INDEX('CONTROLE PRODUÇÃO POR EMPRESAS'!$B$6:$G$5000,MATCH($A1102,'CONTROLE PRODUÇÃO POR EMPRESAS'!$A$6:$A$5000,0),MOD(ROW()-2,6)+1)="","",IFERROR(1*INDEX('CONTROLE PRODUÇÃO POR EMPRESAS'!$B$6:$G$5000,MATCH($A1102,'CONTROLE PRODUÇÃO POR EMPRESAS'!$A$6:$A$5000,0),MOD(ROW()-2,6)+1),"")),"")</f>
        <v/>
      </c>
      <c r="I1102" s="159">
        <f>IF(OR(NOT(ISNUMBER(G1102)),NOT(ISNUMBER(H1102))),"",H1102-G1102)</f>
        <v/>
      </c>
      <c r="J1102" s="319">
        <f>IF(OR(NOT(ISNUMBER(G1102)),NOT(ISNUMBER(H1102)),G1102=0),"",I1102/G1102)</f>
        <v/>
      </c>
      <c r="K1102" s="319">
        <f>IF(OR(NOT(ISNUMBER(G1102)),NOT(ISNUMBER(H1102)),G1102=0),"",H1102/G1102)</f>
        <v/>
      </c>
      <c r="L1102">
        <f>IF(NOT(ISNUMBER(G1102)),"SEM META",IF(G1102=0,"SEM META",IF(NOT(ISNUMBER(H1102)),"SEM APONTAMENTO",IF(H1102&gt;=G1102,"VERDE",IF(H1102&gt;=G1102*0.9,"AMARELO","VERMELHO")))))</f>
        <v/>
      </c>
      <c r="M1102" s="162" t="n"/>
      <c r="N1102" s="162" t="n"/>
      <c r="O1102" s="162" t="n"/>
      <c r="P1102" s="162" t="n"/>
      <c r="Q1102" s="320" t="n"/>
      <c r="R1102" s="162" t="inlineStr">
        <is>
          <t>CONTROLE PRODUÇÃO POR EMPRESAS!D189</t>
        </is>
      </c>
    </row>
    <row r="1103" ht="28.5" customHeight="1">
      <c r="A1103" s="317" t="n">
        <v>46406</v>
      </c>
      <c r="B1103" t="inlineStr">
        <is>
          <t>GERAL</t>
        </is>
      </c>
      <c r="C1103" t="inlineStr">
        <is>
          <t>CMM</t>
        </is>
      </c>
      <c r="D1103" t="inlineStr">
        <is>
          <t>PREMONTAGEM</t>
        </is>
      </c>
      <c r="F1103" s="159">
        <f>IFERROR(INDEX('BASE METAS DIÁRIAS'!$N$2:$S$358,MATCH($A1103,'BASE METAS DIÁRIAS'!$A$2:$A$358,0),MOD(ROW()-2,6)+1),"")</f>
        <v/>
      </c>
      <c r="G1103" s="159">
        <f>IFERROR(IF(WEEKDAY($A1103,2)&lt;=INDEX('BASE METAS DIÁRIAS'!$H$2:$M$358,MATCH($A1103,'BASE METAS DIÁRIAS'!$A$2:$A$358,0),MOD(ROW()-2,6)+1),INDEX('BASE METAS DIÁRIAS'!$B$2:$G$358,MATCH($A1103,'BASE METAS DIÁRIAS'!$A$2:$A$358,0),MOD(ROW()-2,6)+1),""),"")</f>
        <v/>
      </c>
      <c r="H1103" s="159">
        <f>IFERROR(IF(INDEX('CONTROLE PRODUÇÃO POR EMPRESAS'!$B$6:$G$5000,MATCH($A1103,'CONTROLE PRODUÇÃO POR EMPRESAS'!$A$6:$A$5000,0),MOD(ROW()-2,6)+1)="","",IFERROR(1*INDEX('CONTROLE PRODUÇÃO POR EMPRESAS'!$B$6:$G$5000,MATCH($A1103,'CONTROLE PRODUÇÃO POR EMPRESAS'!$A$6:$A$5000,0),MOD(ROW()-2,6)+1),"")),"")</f>
        <v/>
      </c>
      <c r="I1103" s="159">
        <f>IF(OR(NOT(ISNUMBER(G1103)),NOT(ISNUMBER(H1103))),"",H1103-G1103)</f>
        <v/>
      </c>
      <c r="J1103" s="319">
        <f>IF(OR(NOT(ISNUMBER(G1103)),NOT(ISNUMBER(H1103)),G1103=0),"",I1103/G1103)</f>
        <v/>
      </c>
      <c r="K1103" s="319">
        <f>IF(OR(NOT(ISNUMBER(G1103)),NOT(ISNUMBER(H1103)),G1103=0),"",H1103/G1103)</f>
        <v/>
      </c>
      <c r="L1103">
        <f>IF(NOT(ISNUMBER(G1103)),"SEM META",IF(G1103=0,"SEM META",IF(NOT(ISNUMBER(H1103)),"SEM APONTAMENTO",IF(H1103&gt;=G1103,"VERDE",IF(H1103&gt;=G1103*0.9,"AMARELO","VERMELHO")))))</f>
        <v/>
      </c>
      <c r="M1103" s="162" t="n"/>
      <c r="N1103" s="162" t="n"/>
      <c r="O1103" s="162" t="n"/>
      <c r="P1103" s="162" t="n"/>
      <c r="Q1103" s="320" t="n"/>
      <c r="R1103" s="162" t="inlineStr">
        <is>
          <t>CONTROLE PRODUÇÃO POR EMPRESAS!E189</t>
        </is>
      </c>
    </row>
    <row r="1104" ht="28.5" customHeight="1">
      <c r="A1104" s="317" t="n">
        <v>46406</v>
      </c>
      <c r="B1104" t="inlineStr">
        <is>
          <t>GERAL</t>
        </is>
      </c>
      <c r="C1104" t="inlineStr">
        <is>
          <t>CMM</t>
        </is>
      </c>
      <c r="D1104" t="inlineStr">
        <is>
          <t>IÇAMENTO JOIST</t>
        </is>
      </c>
      <c r="F1104" s="159">
        <f>IFERROR(INDEX('BASE METAS DIÁRIAS'!$N$2:$S$358,MATCH($A1104,'BASE METAS DIÁRIAS'!$A$2:$A$358,0),MOD(ROW()-2,6)+1),"")</f>
        <v/>
      </c>
      <c r="G1104" s="159">
        <f>IFERROR(IF(WEEKDAY($A1104,2)&lt;=INDEX('BASE METAS DIÁRIAS'!$H$2:$M$358,MATCH($A1104,'BASE METAS DIÁRIAS'!$A$2:$A$358,0),MOD(ROW()-2,6)+1),INDEX('BASE METAS DIÁRIAS'!$B$2:$G$358,MATCH($A1104,'BASE METAS DIÁRIAS'!$A$2:$A$358,0),MOD(ROW()-2,6)+1),""),"")</f>
        <v/>
      </c>
      <c r="H1104" s="159">
        <f>IFERROR(IF(INDEX('CONTROLE PRODUÇÃO POR EMPRESAS'!$B$6:$G$5000,MATCH($A1104,'CONTROLE PRODUÇÃO POR EMPRESAS'!$A$6:$A$5000,0),MOD(ROW()-2,6)+1)="","",IFERROR(1*INDEX('CONTROLE PRODUÇÃO POR EMPRESAS'!$B$6:$G$5000,MATCH($A1104,'CONTROLE PRODUÇÃO POR EMPRESAS'!$A$6:$A$5000,0),MOD(ROW()-2,6)+1),"")),"")</f>
        <v/>
      </c>
      <c r="I1104" s="159">
        <f>IF(OR(NOT(ISNUMBER(G1104)),NOT(ISNUMBER(H1104))),"",H1104-G1104)</f>
        <v/>
      </c>
      <c r="J1104" s="319">
        <f>IF(OR(NOT(ISNUMBER(G1104)),NOT(ISNUMBER(H1104)),G1104=0),"",I1104/G1104)</f>
        <v/>
      </c>
      <c r="K1104" s="319">
        <f>IF(OR(NOT(ISNUMBER(G1104)),NOT(ISNUMBER(H1104)),G1104=0),"",H1104/G1104)</f>
        <v/>
      </c>
      <c r="L1104">
        <f>IF(NOT(ISNUMBER(G1104)),"SEM META",IF(G1104=0,"SEM META",IF(NOT(ISNUMBER(H1104)),"SEM APONTAMENTO",IF(H1104&gt;=G1104,"VERDE",IF(H1104&gt;=G1104*0.9,"AMARELO","VERMELHO")))))</f>
        <v/>
      </c>
      <c r="M1104" s="162" t="n"/>
      <c r="N1104" s="162" t="n"/>
      <c r="O1104" s="162" t="n"/>
      <c r="P1104" s="162" t="n"/>
      <c r="Q1104" s="320" t="n"/>
      <c r="R1104" s="162" t="inlineStr">
        <is>
          <t>CONTROLE PRODUÇÃO POR EMPRESAS!F189</t>
        </is>
      </c>
    </row>
    <row r="1105" ht="28.5" customHeight="1">
      <c r="A1105" s="317" t="n">
        <v>46406</v>
      </c>
      <c r="B1105" t="inlineStr">
        <is>
          <t>GERAL</t>
        </is>
      </c>
      <c r="C1105" t="inlineStr">
        <is>
          <t>CMM</t>
        </is>
      </c>
      <c r="D1105" t="inlineStr">
        <is>
          <t>VIGAS</t>
        </is>
      </c>
      <c r="F1105" s="159">
        <f>IFERROR(INDEX('BASE METAS DIÁRIAS'!$N$2:$S$358,MATCH($A1105,'BASE METAS DIÁRIAS'!$A$2:$A$358,0),MOD(ROW()-2,6)+1),"")</f>
        <v/>
      </c>
      <c r="G1105" s="159">
        <f>IFERROR(IF(WEEKDAY($A1105,2)&lt;=INDEX('BASE METAS DIÁRIAS'!$H$2:$M$358,MATCH($A1105,'BASE METAS DIÁRIAS'!$A$2:$A$358,0),MOD(ROW()-2,6)+1),INDEX('BASE METAS DIÁRIAS'!$B$2:$G$358,MATCH($A1105,'BASE METAS DIÁRIAS'!$A$2:$A$358,0),MOD(ROW()-2,6)+1),""),"")</f>
        <v/>
      </c>
      <c r="H1105" s="159">
        <f>IFERROR(IF(INDEX('CONTROLE PRODUÇÃO POR EMPRESAS'!$B$6:$G$5000,MATCH($A1105,'CONTROLE PRODUÇÃO POR EMPRESAS'!$A$6:$A$5000,0),MOD(ROW()-2,6)+1)="","",IFERROR(1*INDEX('CONTROLE PRODUÇÃO POR EMPRESAS'!$B$6:$G$5000,MATCH($A1105,'CONTROLE PRODUÇÃO POR EMPRESAS'!$A$6:$A$5000,0),MOD(ROW()-2,6)+1),"")),"")</f>
        <v/>
      </c>
      <c r="I1105" s="159">
        <f>IF(OR(NOT(ISNUMBER(G1105)),NOT(ISNUMBER(H1105))),"",H1105-G1105)</f>
        <v/>
      </c>
      <c r="J1105" s="319">
        <f>IF(OR(NOT(ISNUMBER(G1105)),NOT(ISNUMBER(H1105)),G1105=0),"",I1105/G1105)</f>
        <v/>
      </c>
      <c r="K1105" s="319">
        <f>IF(OR(NOT(ISNUMBER(G1105)),NOT(ISNUMBER(H1105)),G1105=0),"",H1105/G1105)</f>
        <v/>
      </c>
      <c r="L1105">
        <f>IF(NOT(ISNUMBER(G1105)),"SEM META",IF(G1105=0,"SEM META",IF(NOT(ISNUMBER(H1105)),"SEM APONTAMENTO",IF(H1105&gt;=G1105,"VERDE",IF(H1105&gt;=G1105*0.9,"AMARELO","VERMELHO")))))</f>
        <v/>
      </c>
      <c r="M1105" s="162" t="n"/>
      <c r="N1105" s="162" t="n"/>
      <c r="O1105" s="162" t="n"/>
      <c r="P1105" s="162" t="n"/>
      <c r="Q1105" s="320" t="n"/>
      <c r="R1105" s="162" t="inlineStr">
        <is>
          <t>CONTROLE PRODUÇÃO POR EMPRESAS!G189</t>
        </is>
      </c>
    </row>
    <row r="1106" ht="28.5" customHeight="1">
      <c r="A1106" s="317" t="n">
        <v>46407</v>
      </c>
      <c r="B1106" t="inlineStr">
        <is>
          <t>GERAL</t>
        </is>
      </c>
      <c r="C1106" t="inlineStr">
        <is>
          <t>EJ</t>
        </is>
      </c>
      <c r="D1106" t="inlineStr">
        <is>
          <t>PREMONTAGEM</t>
        </is>
      </c>
      <c r="F1106" s="159">
        <f>IFERROR(INDEX('BASE METAS DIÁRIAS'!$N$2:$S$358,MATCH($A1106,'BASE METAS DIÁRIAS'!$A$2:$A$358,0),MOD(ROW()-2,6)+1),"")</f>
        <v/>
      </c>
      <c r="G1106" s="159">
        <f>IFERROR(IF(WEEKDAY($A1106,2)&lt;=INDEX('BASE METAS DIÁRIAS'!$H$2:$M$358,MATCH($A1106,'BASE METAS DIÁRIAS'!$A$2:$A$358,0),MOD(ROW()-2,6)+1),INDEX('BASE METAS DIÁRIAS'!$B$2:$G$358,MATCH($A1106,'BASE METAS DIÁRIAS'!$A$2:$A$358,0),MOD(ROW()-2,6)+1),""),"")</f>
        <v/>
      </c>
      <c r="H1106" s="159">
        <f>IFERROR(IF(INDEX('CONTROLE PRODUÇÃO POR EMPRESAS'!$B$6:$G$5000,MATCH($A1106,'CONTROLE PRODUÇÃO POR EMPRESAS'!$A$6:$A$5000,0),MOD(ROW()-2,6)+1)="","",IFERROR(1*INDEX('CONTROLE PRODUÇÃO POR EMPRESAS'!$B$6:$G$5000,MATCH($A1106,'CONTROLE PRODUÇÃO POR EMPRESAS'!$A$6:$A$5000,0),MOD(ROW()-2,6)+1),"")),"")</f>
        <v/>
      </c>
      <c r="I1106" s="159">
        <f>IF(OR(NOT(ISNUMBER(G1106)),NOT(ISNUMBER(H1106))),"",H1106-G1106)</f>
        <v/>
      </c>
      <c r="J1106" s="319">
        <f>IF(OR(NOT(ISNUMBER(G1106)),NOT(ISNUMBER(H1106)),G1106=0),"",I1106/G1106)</f>
        <v/>
      </c>
      <c r="K1106" s="319">
        <f>IF(OR(NOT(ISNUMBER(G1106)),NOT(ISNUMBER(H1106)),G1106=0),"",H1106/G1106)</f>
        <v/>
      </c>
      <c r="L1106">
        <f>IF(NOT(ISNUMBER(G1106)),"SEM META",IF(G1106=0,"SEM META",IF(NOT(ISNUMBER(H1106)),"SEM APONTAMENTO",IF(H1106&gt;=G1106,"VERDE",IF(H1106&gt;=G1106*0.9,"AMARELO","VERMELHO")))))</f>
        <v/>
      </c>
      <c r="M1106" s="162" t="n"/>
      <c r="N1106" s="162" t="n"/>
      <c r="O1106" s="162" t="n"/>
      <c r="P1106" s="162" t="n"/>
      <c r="Q1106" s="320" t="n"/>
      <c r="R1106" s="162" t="inlineStr">
        <is>
          <t>CONTROLE PRODUÇÃO POR EMPRESAS!B190</t>
        </is>
      </c>
    </row>
    <row r="1107" ht="28.5" customHeight="1">
      <c r="A1107" s="317" t="n">
        <v>46407</v>
      </c>
      <c r="B1107" t="inlineStr">
        <is>
          <t>GERAL</t>
        </is>
      </c>
      <c r="C1107" t="inlineStr">
        <is>
          <t>EJ</t>
        </is>
      </c>
      <c r="D1107" t="inlineStr">
        <is>
          <t>IÇAMENTO JOIST</t>
        </is>
      </c>
      <c r="F1107" s="159">
        <f>IFERROR(INDEX('BASE METAS DIÁRIAS'!$N$2:$S$358,MATCH($A1107,'BASE METAS DIÁRIAS'!$A$2:$A$358,0),MOD(ROW()-2,6)+1),"")</f>
        <v/>
      </c>
      <c r="G1107" s="159">
        <f>IFERROR(IF(WEEKDAY($A1107,2)&lt;=INDEX('BASE METAS DIÁRIAS'!$H$2:$M$358,MATCH($A1107,'BASE METAS DIÁRIAS'!$A$2:$A$358,0),MOD(ROW()-2,6)+1),INDEX('BASE METAS DIÁRIAS'!$B$2:$G$358,MATCH($A1107,'BASE METAS DIÁRIAS'!$A$2:$A$358,0),MOD(ROW()-2,6)+1),""),"")</f>
        <v/>
      </c>
      <c r="H1107" s="159">
        <f>IFERROR(IF(INDEX('CONTROLE PRODUÇÃO POR EMPRESAS'!$B$6:$G$5000,MATCH($A1107,'CONTROLE PRODUÇÃO POR EMPRESAS'!$A$6:$A$5000,0),MOD(ROW()-2,6)+1)="","",IFERROR(1*INDEX('CONTROLE PRODUÇÃO POR EMPRESAS'!$B$6:$G$5000,MATCH($A1107,'CONTROLE PRODUÇÃO POR EMPRESAS'!$A$6:$A$5000,0),MOD(ROW()-2,6)+1),"")),"")</f>
        <v/>
      </c>
      <c r="I1107" s="159">
        <f>IF(OR(NOT(ISNUMBER(G1107)),NOT(ISNUMBER(H1107))),"",H1107-G1107)</f>
        <v/>
      </c>
      <c r="J1107" s="319">
        <f>IF(OR(NOT(ISNUMBER(G1107)),NOT(ISNUMBER(H1107)),G1107=0),"",I1107/G1107)</f>
        <v/>
      </c>
      <c r="K1107" s="319">
        <f>IF(OR(NOT(ISNUMBER(G1107)),NOT(ISNUMBER(H1107)),G1107=0),"",H1107/G1107)</f>
        <v/>
      </c>
      <c r="L1107">
        <f>IF(NOT(ISNUMBER(G1107)),"SEM META",IF(G1107=0,"SEM META",IF(NOT(ISNUMBER(H1107)),"SEM APONTAMENTO",IF(H1107&gt;=G1107,"VERDE",IF(H1107&gt;=G1107*0.9,"AMARELO","VERMELHO")))))</f>
        <v/>
      </c>
      <c r="M1107" s="162" t="n"/>
      <c r="N1107" s="162" t="n"/>
      <c r="O1107" s="162" t="n"/>
      <c r="P1107" s="162" t="n"/>
      <c r="Q1107" s="320" t="n"/>
      <c r="R1107" s="162" t="inlineStr">
        <is>
          <t>CONTROLE PRODUÇÃO POR EMPRESAS!C190</t>
        </is>
      </c>
    </row>
    <row r="1108" ht="28.5" customHeight="1">
      <c r="A1108" s="317" t="n">
        <v>46407</v>
      </c>
      <c r="B1108" t="inlineStr">
        <is>
          <t>GERAL</t>
        </is>
      </c>
      <c r="C1108" t="inlineStr">
        <is>
          <t>EJ</t>
        </is>
      </c>
      <c r="D1108" t="inlineStr">
        <is>
          <t>VIGAS</t>
        </is>
      </c>
      <c r="F1108" s="159">
        <f>IFERROR(INDEX('BASE METAS DIÁRIAS'!$N$2:$S$358,MATCH($A1108,'BASE METAS DIÁRIAS'!$A$2:$A$358,0),MOD(ROW()-2,6)+1),"")</f>
        <v/>
      </c>
      <c r="G1108" s="159">
        <f>IFERROR(IF(WEEKDAY($A1108,2)&lt;=INDEX('BASE METAS DIÁRIAS'!$H$2:$M$358,MATCH($A1108,'BASE METAS DIÁRIAS'!$A$2:$A$358,0),MOD(ROW()-2,6)+1),INDEX('BASE METAS DIÁRIAS'!$B$2:$G$358,MATCH($A1108,'BASE METAS DIÁRIAS'!$A$2:$A$358,0),MOD(ROW()-2,6)+1),""),"")</f>
        <v/>
      </c>
      <c r="H1108" s="159">
        <f>IFERROR(IF(INDEX('CONTROLE PRODUÇÃO POR EMPRESAS'!$B$6:$G$5000,MATCH($A1108,'CONTROLE PRODUÇÃO POR EMPRESAS'!$A$6:$A$5000,0),MOD(ROW()-2,6)+1)="","",IFERROR(1*INDEX('CONTROLE PRODUÇÃO POR EMPRESAS'!$B$6:$G$5000,MATCH($A1108,'CONTROLE PRODUÇÃO POR EMPRESAS'!$A$6:$A$5000,0),MOD(ROW()-2,6)+1),"")),"")</f>
        <v/>
      </c>
      <c r="I1108" s="159">
        <f>IF(OR(NOT(ISNUMBER(G1108)),NOT(ISNUMBER(H1108))),"",H1108-G1108)</f>
        <v/>
      </c>
      <c r="J1108" s="319">
        <f>IF(OR(NOT(ISNUMBER(G1108)),NOT(ISNUMBER(H1108)),G1108=0),"",I1108/G1108)</f>
        <v/>
      </c>
      <c r="K1108" s="319">
        <f>IF(OR(NOT(ISNUMBER(G1108)),NOT(ISNUMBER(H1108)),G1108=0),"",H1108/G1108)</f>
        <v/>
      </c>
      <c r="L1108">
        <f>IF(NOT(ISNUMBER(G1108)),"SEM META",IF(G1108=0,"SEM META",IF(NOT(ISNUMBER(H1108)),"SEM APONTAMENTO",IF(H1108&gt;=G1108,"VERDE",IF(H1108&gt;=G1108*0.9,"AMARELO","VERMELHO")))))</f>
        <v/>
      </c>
      <c r="M1108" s="162" t="n"/>
      <c r="N1108" s="162" t="n"/>
      <c r="O1108" s="162" t="n"/>
      <c r="P1108" s="162" t="n"/>
      <c r="Q1108" s="320" t="n"/>
      <c r="R1108" s="162" t="inlineStr">
        <is>
          <t>CONTROLE PRODUÇÃO POR EMPRESAS!D190</t>
        </is>
      </c>
    </row>
    <row r="1109" ht="28.5" customHeight="1">
      <c r="A1109" s="317" t="n">
        <v>46407</v>
      </c>
      <c r="B1109" t="inlineStr">
        <is>
          <t>GERAL</t>
        </is>
      </c>
      <c r="C1109" t="inlineStr">
        <is>
          <t>CMM</t>
        </is>
      </c>
      <c r="D1109" t="inlineStr">
        <is>
          <t>PREMONTAGEM</t>
        </is>
      </c>
      <c r="F1109" s="159">
        <f>IFERROR(INDEX('BASE METAS DIÁRIAS'!$N$2:$S$358,MATCH($A1109,'BASE METAS DIÁRIAS'!$A$2:$A$358,0),MOD(ROW()-2,6)+1),"")</f>
        <v/>
      </c>
      <c r="G1109" s="159">
        <f>IFERROR(IF(WEEKDAY($A1109,2)&lt;=INDEX('BASE METAS DIÁRIAS'!$H$2:$M$358,MATCH($A1109,'BASE METAS DIÁRIAS'!$A$2:$A$358,0),MOD(ROW()-2,6)+1),INDEX('BASE METAS DIÁRIAS'!$B$2:$G$358,MATCH($A1109,'BASE METAS DIÁRIAS'!$A$2:$A$358,0),MOD(ROW()-2,6)+1),""),"")</f>
        <v/>
      </c>
      <c r="H1109" s="159">
        <f>IFERROR(IF(INDEX('CONTROLE PRODUÇÃO POR EMPRESAS'!$B$6:$G$5000,MATCH($A1109,'CONTROLE PRODUÇÃO POR EMPRESAS'!$A$6:$A$5000,0),MOD(ROW()-2,6)+1)="","",IFERROR(1*INDEX('CONTROLE PRODUÇÃO POR EMPRESAS'!$B$6:$G$5000,MATCH($A1109,'CONTROLE PRODUÇÃO POR EMPRESAS'!$A$6:$A$5000,0),MOD(ROW()-2,6)+1),"")),"")</f>
        <v/>
      </c>
      <c r="I1109" s="159">
        <f>IF(OR(NOT(ISNUMBER(G1109)),NOT(ISNUMBER(H1109))),"",H1109-G1109)</f>
        <v/>
      </c>
      <c r="J1109" s="319">
        <f>IF(OR(NOT(ISNUMBER(G1109)),NOT(ISNUMBER(H1109)),G1109=0),"",I1109/G1109)</f>
        <v/>
      </c>
      <c r="K1109" s="319">
        <f>IF(OR(NOT(ISNUMBER(G1109)),NOT(ISNUMBER(H1109)),G1109=0),"",H1109/G1109)</f>
        <v/>
      </c>
      <c r="L1109">
        <f>IF(NOT(ISNUMBER(G1109)),"SEM META",IF(G1109=0,"SEM META",IF(NOT(ISNUMBER(H1109)),"SEM APONTAMENTO",IF(H1109&gt;=G1109,"VERDE",IF(H1109&gt;=G1109*0.9,"AMARELO","VERMELHO")))))</f>
        <v/>
      </c>
      <c r="M1109" s="162" t="n"/>
      <c r="N1109" s="162" t="n"/>
      <c r="O1109" s="162" t="n"/>
      <c r="P1109" s="162" t="n"/>
      <c r="Q1109" s="320" t="n"/>
      <c r="R1109" s="162" t="inlineStr">
        <is>
          <t>CONTROLE PRODUÇÃO POR EMPRESAS!E190</t>
        </is>
      </c>
    </row>
    <row r="1110" ht="28.5" customHeight="1">
      <c r="A1110" s="317" t="n">
        <v>46407</v>
      </c>
      <c r="B1110" t="inlineStr">
        <is>
          <t>GERAL</t>
        </is>
      </c>
      <c r="C1110" t="inlineStr">
        <is>
          <t>CMM</t>
        </is>
      </c>
      <c r="D1110" t="inlineStr">
        <is>
          <t>IÇAMENTO JOIST</t>
        </is>
      </c>
      <c r="F1110" s="159">
        <f>IFERROR(INDEX('BASE METAS DIÁRIAS'!$N$2:$S$358,MATCH($A1110,'BASE METAS DIÁRIAS'!$A$2:$A$358,0),MOD(ROW()-2,6)+1),"")</f>
        <v/>
      </c>
      <c r="G1110" s="159">
        <f>IFERROR(IF(WEEKDAY($A1110,2)&lt;=INDEX('BASE METAS DIÁRIAS'!$H$2:$M$358,MATCH($A1110,'BASE METAS DIÁRIAS'!$A$2:$A$358,0),MOD(ROW()-2,6)+1),INDEX('BASE METAS DIÁRIAS'!$B$2:$G$358,MATCH($A1110,'BASE METAS DIÁRIAS'!$A$2:$A$358,0),MOD(ROW()-2,6)+1),""),"")</f>
        <v/>
      </c>
      <c r="H1110" s="159">
        <f>IFERROR(IF(INDEX('CONTROLE PRODUÇÃO POR EMPRESAS'!$B$6:$G$5000,MATCH($A1110,'CONTROLE PRODUÇÃO POR EMPRESAS'!$A$6:$A$5000,0),MOD(ROW()-2,6)+1)="","",IFERROR(1*INDEX('CONTROLE PRODUÇÃO POR EMPRESAS'!$B$6:$G$5000,MATCH($A1110,'CONTROLE PRODUÇÃO POR EMPRESAS'!$A$6:$A$5000,0),MOD(ROW()-2,6)+1),"")),"")</f>
        <v/>
      </c>
      <c r="I1110" s="159">
        <f>IF(OR(NOT(ISNUMBER(G1110)),NOT(ISNUMBER(H1110))),"",H1110-G1110)</f>
        <v/>
      </c>
      <c r="J1110" s="319">
        <f>IF(OR(NOT(ISNUMBER(G1110)),NOT(ISNUMBER(H1110)),G1110=0),"",I1110/G1110)</f>
        <v/>
      </c>
      <c r="K1110" s="319">
        <f>IF(OR(NOT(ISNUMBER(G1110)),NOT(ISNUMBER(H1110)),G1110=0),"",H1110/G1110)</f>
        <v/>
      </c>
      <c r="L1110">
        <f>IF(NOT(ISNUMBER(G1110)),"SEM META",IF(G1110=0,"SEM META",IF(NOT(ISNUMBER(H1110)),"SEM APONTAMENTO",IF(H1110&gt;=G1110,"VERDE",IF(H1110&gt;=G1110*0.9,"AMARELO","VERMELHO")))))</f>
        <v/>
      </c>
      <c r="M1110" s="162" t="n"/>
      <c r="N1110" s="162" t="n"/>
      <c r="O1110" s="162" t="n"/>
      <c r="P1110" s="162" t="n"/>
      <c r="Q1110" s="320" t="n"/>
      <c r="R1110" s="162" t="inlineStr">
        <is>
          <t>CONTROLE PRODUÇÃO POR EMPRESAS!F190</t>
        </is>
      </c>
    </row>
    <row r="1111" ht="28.5" customHeight="1">
      <c r="A1111" s="317" t="n">
        <v>46407</v>
      </c>
      <c r="B1111" t="inlineStr">
        <is>
          <t>GERAL</t>
        </is>
      </c>
      <c r="C1111" t="inlineStr">
        <is>
          <t>CMM</t>
        </is>
      </c>
      <c r="D1111" t="inlineStr">
        <is>
          <t>VIGAS</t>
        </is>
      </c>
      <c r="F1111" s="159">
        <f>IFERROR(INDEX('BASE METAS DIÁRIAS'!$N$2:$S$358,MATCH($A1111,'BASE METAS DIÁRIAS'!$A$2:$A$358,0),MOD(ROW()-2,6)+1),"")</f>
        <v/>
      </c>
      <c r="G1111" s="159">
        <f>IFERROR(IF(WEEKDAY($A1111,2)&lt;=INDEX('BASE METAS DIÁRIAS'!$H$2:$M$358,MATCH($A1111,'BASE METAS DIÁRIAS'!$A$2:$A$358,0),MOD(ROW()-2,6)+1),INDEX('BASE METAS DIÁRIAS'!$B$2:$G$358,MATCH($A1111,'BASE METAS DIÁRIAS'!$A$2:$A$358,0),MOD(ROW()-2,6)+1),""),"")</f>
        <v/>
      </c>
      <c r="H1111" s="159">
        <f>IFERROR(IF(INDEX('CONTROLE PRODUÇÃO POR EMPRESAS'!$B$6:$G$5000,MATCH($A1111,'CONTROLE PRODUÇÃO POR EMPRESAS'!$A$6:$A$5000,0),MOD(ROW()-2,6)+1)="","",IFERROR(1*INDEX('CONTROLE PRODUÇÃO POR EMPRESAS'!$B$6:$G$5000,MATCH($A1111,'CONTROLE PRODUÇÃO POR EMPRESAS'!$A$6:$A$5000,0),MOD(ROW()-2,6)+1),"")),"")</f>
        <v/>
      </c>
      <c r="I1111" s="159">
        <f>IF(OR(NOT(ISNUMBER(G1111)),NOT(ISNUMBER(H1111))),"",H1111-G1111)</f>
        <v/>
      </c>
      <c r="J1111" s="319">
        <f>IF(OR(NOT(ISNUMBER(G1111)),NOT(ISNUMBER(H1111)),G1111=0),"",I1111/G1111)</f>
        <v/>
      </c>
      <c r="K1111" s="319">
        <f>IF(OR(NOT(ISNUMBER(G1111)),NOT(ISNUMBER(H1111)),G1111=0),"",H1111/G1111)</f>
        <v/>
      </c>
      <c r="L1111">
        <f>IF(NOT(ISNUMBER(G1111)),"SEM META",IF(G1111=0,"SEM META",IF(NOT(ISNUMBER(H1111)),"SEM APONTAMENTO",IF(H1111&gt;=G1111,"VERDE",IF(H1111&gt;=G1111*0.9,"AMARELO","VERMELHO")))))</f>
        <v/>
      </c>
      <c r="M1111" s="162" t="n"/>
      <c r="N1111" s="162" t="n"/>
      <c r="O1111" s="162" t="n"/>
      <c r="P1111" s="162" t="n"/>
      <c r="Q1111" s="320" t="n"/>
      <c r="R1111" s="162" t="inlineStr">
        <is>
          <t>CONTROLE PRODUÇÃO POR EMPRESAS!G190</t>
        </is>
      </c>
    </row>
    <row r="1112" ht="28.5" customHeight="1">
      <c r="A1112" s="317" t="n">
        <v>46408</v>
      </c>
      <c r="B1112" t="inlineStr">
        <is>
          <t>GERAL</t>
        </is>
      </c>
      <c r="C1112" t="inlineStr">
        <is>
          <t>EJ</t>
        </is>
      </c>
      <c r="D1112" t="inlineStr">
        <is>
          <t>PREMONTAGEM</t>
        </is>
      </c>
      <c r="F1112" s="159">
        <f>IFERROR(INDEX('BASE METAS DIÁRIAS'!$N$2:$S$358,MATCH($A1112,'BASE METAS DIÁRIAS'!$A$2:$A$358,0),MOD(ROW()-2,6)+1),"")</f>
        <v/>
      </c>
      <c r="G1112" s="159">
        <f>IFERROR(IF(WEEKDAY($A1112,2)&lt;=INDEX('BASE METAS DIÁRIAS'!$H$2:$M$358,MATCH($A1112,'BASE METAS DIÁRIAS'!$A$2:$A$358,0),MOD(ROW()-2,6)+1),INDEX('BASE METAS DIÁRIAS'!$B$2:$G$358,MATCH($A1112,'BASE METAS DIÁRIAS'!$A$2:$A$358,0),MOD(ROW()-2,6)+1),""),"")</f>
        <v/>
      </c>
      <c r="H1112" s="159">
        <f>IFERROR(IF(INDEX('CONTROLE PRODUÇÃO POR EMPRESAS'!$B$6:$G$5000,MATCH($A1112,'CONTROLE PRODUÇÃO POR EMPRESAS'!$A$6:$A$5000,0),MOD(ROW()-2,6)+1)="","",IFERROR(1*INDEX('CONTROLE PRODUÇÃO POR EMPRESAS'!$B$6:$G$5000,MATCH($A1112,'CONTROLE PRODUÇÃO POR EMPRESAS'!$A$6:$A$5000,0),MOD(ROW()-2,6)+1),"")),"")</f>
        <v/>
      </c>
      <c r="I1112" s="159">
        <f>IF(OR(NOT(ISNUMBER(G1112)),NOT(ISNUMBER(H1112))),"",H1112-G1112)</f>
        <v/>
      </c>
      <c r="J1112" s="319">
        <f>IF(OR(NOT(ISNUMBER(G1112)),NOT(ISNUMBER(H1112)),G1112=0),"",I1112/G1112)</f>
        <v/>
      </c>
      <c r="K1112" s="319">
        <f>IF(OR(NOT(ISNUMBER(G1112)),NOT(ISNUMBER(H1112)),G1112=0),"",H1112/G1112)</f>
        <v/>
      </c>
      <c r="L1112">
        <f>IF(NOT(ISNUMBER(G1112)),"SEM META",IF(G1112=0,"SEM META",IF(NOT(ISNUMBER(H1112)),"SEM APONTAMENTO",IF(H1112&gt;=G1112,"VERDE",IF(H1112&gt;=G1112*0.9,"AMARELO","VERMELHO")))))</f>
        <v/>
      </c>
      <c r="M1112" s="162" t="n"/>
      <c r="N1112" s="162" t="n"/>
      <c r="O1112" s="162" t="n"/>
      <c r="P1112" s="162" t="n"/>
      <c r="Q1112" s="320" t="n"/>
      <c r="R1112" s="162" t="inlineStr">
        <is>
          <t>CONTROLE PRODUÇÃO POR EMPRESAS!B191</t>
        </is>
      </c>
    </row>
    <row r="1113" ht="28.5" customHeight="1">
      <c r="A1113" s="317" t="n">
        <v>46408</v>
      </c>
      <c r="B1113" t="inlineStr">
        <is>
          <t>GERAL</t>
        </is>
      </c>
      <c r="C1113" t="inlineStr">
        <is>
          <t>EJ</t>
        </is>
      </c>
      <c r="D1113" t="inlineStr">
        <is>
          <t>IÇAMENTO JOIST</t>
        </is>
      </c>
      <c r="F1113" s="159">
        <f>IFERROR(INDEX('BASE METAS DIÁRIAS'!$N$2:$S$358,MATCH($A1113,'BASE METAS DIÁRIAS'!$A$2:$A$358,0),MOD(ROW()-2,6)+1),"")</f>
        <v/>
      </c>
      <c r="G1113" s="159">
        <f>IFERROR(IF(WEEKDAY($A1113,2)&lt;=INDEX('BASE METAS DIÁRIAS'!$H$2:$M$358,MATCH($A1113,'BASE METAS DIÁRIAS'!$A$2:$A$358,0),MOD(ROW()-2,6)+1),INDEX('BASE METAS DIÁRIAS'!$B$2:$G$358,MATCH($A1113,'BASE METAS DIÁRIAS'!$A$2:$A$358,0),MOD(ROW()-2,6)+1),""),"")</f>
        <v/>
      </c>
      <c r="H1113" s="159">
        <f>IFERROR(IF(INDEX('CONTROLE PRODUÇÃO POR EMPRESAS'!$B$6:$G$5000,MATCH($A1113,'CONTROLE PRODUÇÃO POR EMPRESAS'!$A$6:$A$5000,0),MOD(ROW()-2,6)+1)="","",IFERROR(1*INDEX('CONTROLE PRODUÇÃO POR EMPRESAS'!$B$6:$G$5000,MATCH($A1113,'CONTROLE PRODUÇÃO POR EMPRESAS'!$A$6:$A$5000,0),MOD(ROW()-2,6)+1),"")),"")</f>
        <v/>
      </c>
      <c r="I1113" s="159">
        <f>IF(OR(NOT(ISNUMBER(G1113)),NOT(ISNUMBER(H1113))),"",H1113-G1113)</f>
        <v/>
      </c>
      <c r="J1113" s="319">
        <f>IF(OR(NOT(ISNUMBER(G1113)),NOT(ISNUMBER(H1113)),G1113=0),"",I1113/G1113)</f>
        <v/>
      </c>
      <c r="K1113" s="319">
        <f>IF(OR(NOT(ISNUMBER(G1113)),NOT(ISNUMBER(H1113)),G1113=0),"",H1113/G1113)</f>
        <v/>
      </c>
      <c r="L1113">
        <f>IF(NOT(ISNUMBER(G1113)),"SEM META",IF(G1113=0,"SEM META",IF(NOT(ISNUMBER(H1113)),"SEM APONTAMENTO",IF(H1113&gt;=G1113,"VERDE",IF(H1113&gt;=G1113*0.9,"AMARELO","VERMELHO")))))</f>
        <v/>
      </c>
      <c r="M1113" s="162" t="n"/>
      <c r="N1113" s="162" t="n"/>
      <c r="O1113" s="162" t="n"/>
      <c r="P1113" s="162" t="n"/>
      <c r="Q1113" s="320" t="n"/>
      <c r="R1113" s="162" t="inlineStr">
        <is>
          <t>CONTROLE PRODUÇÃO POR EMPRESAS!C191</t>
        </is>
      </c>
    </row>
    <row r="1114" ht="28.5" customHeight="1">
      <c r="A1114" s="317" t="n">
        <v>46408</v>
      </c>
      <c r="B1114" t="inlineStr">
        <is>
          <t>GERAL</t>
        </is>
      </c>
      <c r="C1114" t="inlineStr">
        <is>
          <t>EJ</t>
        </is>
      </c>
      <c r="D1114" t="inlineStr">
        <is>
          <t>VIGAS</t>
        </is>
      </c>
      <c r="F1114" s="159">
        <f>IFERROR(INDEX('BASE METAS DIÁRIAS'!$N$2:$S$358,MATCH($A1114,'BASE METAS DIÁRIAS'!$A$2:$A$358,0),MOD(ROW()-2,6)+1),"")</f>
        <v/>
      </c>
      <c r="G1114" s="159">
        <f>IFERROR(IF(WEEKDAY($A1114,2)&lt;=INDEX('BASE METAS DIÁRIAS'!$H$2:$M$358,MATCH($A1114,'BASE METAS DIÁRIAS'!$A$2:$A$358,0),MOD(ROW()-2,6)+1),INDEX('BASE METAS DIÁRIAS'!$B$2:$G$358,MATCH($A1114,'BASE METAS DIÁRIAS'!$A$2:$A$358,0),MOD(ROW()-2,6)+1),""),"")</f>
        <v/>
      </c>
      <c r="H1114" s="159">
        <f>IFERROR(IF(INDEX('CONTROLE PRODUÇÃO POR EMPRESAS'!$B$6:$G$5000,MATCH($A1114,'CONTROLE PRODUÇÃO POR EMPRESAS'!$A$6:$A$5000,0),MOD(ROW()-2,6)+1)="","",IFERROR(1*INDEX('CONTROLE PRODUÇÃO POR EMPRESAS'!$B$6:$G$5000,MATCH($A1114,'CONTROLE PRODUÇÃO POR EMPRESAS'!$A$6:$A$5000,0),MOD(ROW()-2,6)+1),"")),"")</f>
        <v/>
      </c>
      <c r="I1114" s="159">
        <f>IF(OR(NOT(ISNUMBER(G1114)),NOT(ISNUMBER(H1114))),"",H1114-G1114)</f>
        <v/>
      </c>
      <c r="J1114" s="319">
        <f>IF(OR(NOT(ISNUMBER(G1114)),NOT(ISNUMBER(H1114)),G1114=0),"",I1114/G1114)</f>
        <v/>
      </c>
      <c r="K1114" s="319">
        <f>IF(OR(NOT(ISNUMBER(G1114)),NOT(ISNUMBER(H1114)),G1114=0),"",H1114/G1114)</f>
        <v/>
      </c>
      <c r="L1114">
        <f>IF(NOT(ISNUMBER(G1114)),"SEM META",IF(G1114=0,"SEM META",IF(NOT(ISNUMBER(H1114)),"SEM APONTAMENTO",IF(H1114&gt;=G1114,"VERDE",IF(H1114&gt;=G1114*0.9,"AMARELO","VERMELHO")))))</f>
        <v/>
      </c>
      <c r="M1114" s="162" t="n"/>
      <c r="N1114" s="162" t="n"/>
      <c r="O1114" s="162" t="n"/>
      <c r="P1114" s="162" t="n"/>
      <c r="Q1114" s="320" t="n"/>
      <c r="R1114" s="162" t="inlineStr">
        <is>
          <t>CONTROLE PRODUÇÃO POR EMPRESAS!D191</t>
        </is>
      </c>
    </row>
    <row r="1115" ht="28.5" customHeight="1">
      <c r="A1115" s="317" t="n">
        <v>46408</v>
      </c>
      <c r="B1115" t="inlineStr">
        <is>
          <t>GERAL</t>
        </is>
      </c>
      <c r="C1115" t="inlineStr">
        <is>
          <t>CMM</t>
        </is>
      </c>
      <c r="D1115" t="inlineStr">
        <is>
          <t>PREMONTAGEM</t>
        </is>
      </c>
      <c r="F1115" s="159">
        <f>IFERROR(INDEX('BASE METAS DIÁRIAS'!$N$2:$S$358,MATCH($A1115,'BASE METAS DIÁRIAS'!$A$2:$A$358,0),MOD(ROW()-2,6)+1),"")</f>
        <v/>
      </c>
      <c r="G1115" s="159">
        <f>IFERROR(IF(WEEKDAY($A1115,2)&lt;=INDEX('BASE METAS DIÁRIAS'!$H$2:$M$358,MATCH($A1115,'BASE METAS DIÁRIAS'!$A$2:$A$358,0),MOD(ROW()-2,6)+1),INDEX('BASE METAS DIÁRIAS'!$B$2:$G$358,MATCH($A1115,'BASE METAS DIÁRIAS'!$A$2:$A$358,0),MOD(ROW()-2,6)+1),""),"")</f>
        <v/>
      </c>
      <c r="H1115" s="159">
        <f>IFERROR(IF(INDEX('CONTROLE PRODUÇÃO POR EMPRESAS'!$B$6:$G$5000,MATCH($A1115,'CONTROLE PRODUÇÃO POR EMPRESAS'!$A$6:$A$5000,0),MOD(ROW()-2,6)+1)="","",IFERROR(1*INDEX('CONTROLE PRODUÇÃO POR EMPRESAS'!$B$6:$G$5000,MATCH($A1115,'CONTROLE PRODUÇÃO POR EMPRESAS'!$A$6:$A$5000,0),MOD(ROW()-2,6)+1),"")),"")</f>
        <v/>
      </c>
      <c r="I1115" s="159">
        <f>IF(OR(NOT(ISNUMBER(G1115)),NOT(ISNUMBER(H1115))),"",H1115-G1115)</f>
        <v/>
      </c>
      <c r="J1115" s="319">
        <f>IF(OR(NOT(ISNUMBER(G1115)),NOT(ISNUMBER(H1115)),G1115=0),"",I1115/G1115)</f>
        <v/>
      </c>
      <c r="K1115" s="319">
        <f>IF(OR(NOT(ISNUMBER(G1115)),NOT(ISNUMBER(H1115)),G1115=0),"",H1115/G1115)</f>
        <v/>
      </c>
      <c r="L1115">
        <f>IF(NOT(ISNUMBER(G1115)),"SEM META",IF(G1115=0,"SEM META",IF(NOT(ISNUMBER(H1115)),"SEM APONTAMENTO",IF(H1115&gt;=G1115,"VERDE",IF(H1115&gt;=G1115*0.9,"AMARELO","VERMELHO")))))</f>
        <v/>
      </c>
      <c r="M1115" s="162" t="n"/>
      <c r="N1115" s="162" t="n"/>
      <c r="O1115" s="162" t="n"/>
      <c r="P1115" s="162" t="n"/>
      <c r="Q1115" s="320" t="n"/>
      <c r="R1115" s="162" t="inlineStr">
        <is>
          <t>CONTROLE PRODUÇÃO POR EMPRESAS!E191</t>
        </is>
      </c>
    </row>
    <row r="1116" ht="28.5" customHeight="1">
      <c r="A1116" s="317" t="n">
        <v>46408</v>
      </c>
      <c r="B1116" t="inlineStr">
        <is>
          <t>GERAL</t>
        </is>
      </c>
      <c r="C1116" t="inlineStr">
        <is>
          <t>CMM</t>
        </is>
      </c>
      <c r="D1116" t="inlineStr">
        <is>
          <t>IÇAMENTO JOIST</t>
        </is>
      </c>
      <c r="F1116" s="159">
        <f>IFERROR(INDEX('BASE METAS DIÁRIAS'!$N$2:$S$358,MATCH($A1116,'BASE METAS DIÁRIAS'!$A$2:$A$358,0),MOD(ROW()-2,6)+1),"")</f>
        <v/>
      </c>
      <c r="G1116" s="159">
        <f>IFERROR(IF(WEEKDAY($A1116,2)&lt;=INDEX('BASE METAS DIÁRIAS'!$H$2:$M$358,MATCH($A1116,'BASE METAS DIÁRIAS'!$A$2:$A$358,0),MOD(ROW()-2,6)+1),INDEX('BASE METAS DIÁRIAS'!$B$2:$G$358,MATCH($A1116,'BASE METAS DIÁRIAS'!$A$2:$A$358,0),MOD(ROW()-2,6)+1),""),"")</f>
        <v/>
      </c>
      <c r="H1116" s="159">
        <f>IFERROR(IF(INDEX('CONTROLE PRODUÇÃO POR EMPRESAS'!$B$6:$G$5000,MATCH($A1116,'CONTROLE PRODUÇÃO POR EMPRESAS'!$A$6:$A$5000,0),MOD(ROW()-2,6)+1)="","",IFERROR(1*INDEX('CONTROLE PRODUÇÃO POR EMPRESAS'!$B$6:$G$5000,MATCH($A1116,'CONTROLE PRODUÇÃO POR EMPRESAS'!$A$6:$A$5000,0),MOD(ROW()-2,6)+1),"")),"")</f>
        <v/>
      </c>
      <c r="I1116" s="159">
        <f>IF(OR(NOT(ISNUMBER(G1116)),NOT(ISNUMBER(H1116))),"",H1116-G1116)</f>
        <v/>
      </c>
      <c r="J1116" s="319">
        <f>IF(OR(NOT(ISNUMBER(G1116)),NOT(ISNUMBER(H1116)),G1116=0),"",I1116/G1116)</f>
        <v/>
      </c>
      <c r="K1116" s="319">
        <f>IF(OR(NOT(ISNUMBER(G1116)),NOT(ISNUMBER(H1116)),G1116=0),"",H1116/G1116)</f>
        <v/>
      </c>
      <c r="L1116">
        <f>IF(NOT(ISNUMBER(G1116)),"SEM META",IF(G1116=0,"SEM META",IF(NOT(ISNUMBER(H1116)),"SEM APONTAMENTO",IF(H1116&gt;=G1116,"VERDE",IF(H1116&gt;=G1116*0.9,"AMARELO","VERMELHO")))))</f>
        <v/>
      </c>
      <c r="M1116" s="162" t="n"/>
      <c r="N1116" s="162" t="n"/>
      <c r="O1116" s="162" t="n"/>
      <c r="P1116" s="162" t="n"/>
      <c r="Q1116" s="320" t="n"/>
      <c r="R1116" s="162" t="inlineStr">
        <is>
          <t>CONTROLE PRODUÇÃO POR EMPRESAS!F191</t>
        </is>
      </c>
    </row>
    <row r="1117" ht="28.5" customHeight="1">
      <c r="A1117" s="317" t="n">
        <v>46408</v>
      </c>
      <c r="B1117" t="inlineStr">
        <is>
          <t>GERAL</t>
        </is>
      </c>
      <c r="C1117" t="inlineStr">
        <is>
          <t>CMM</t>
        </is>
      </c>
      <c r="D1117" t="inlineStr">
        <is>
          <t>VIGAS</t>
        </is>
      </c>
      <c r="F1117" s="159">
        <f>IFERROR(INDEX('BASE METAS DIÁRIAS'!$N$2:$S$358,MATCH($A1117,'BASE METAS DIÁRIAS'!$A$2:$A$358,0),MOD(ROW()-2,6)+1),"")</f>
        <v/>
      </c>
      <c r="G1117" s="159">
        <f>IFERROR(IF(WEEKDAY($A1117,2)&lt;=INDEX('BASE METAS DIÁRIAS'!$H$2:$M$358,MATCH($A1117,'BASE METAS DIÁRIAS'!$A$2:$A$358,0),MOD(ROW()-2,6)+1),INDEX('BASE METAS DIÁRIAS'!$B$2:$G$358,MATCH($A1117,'BASE METAS DIÁRIAS'!$A$2:$A$358,0),MOD(ROW()-2,6)+1),""),"")</f>
        <v/>
      </c>
      <c r="H1117" s="159">
        <f>IFERROR(IF(INDEX('CONTROLE PRODUÇÃO POR EMPRESAS'!$B$6:$G$5000,MATCH($A1117,'CONTROLE PRODUÇÃO POR EMPRESAS'!$A$6:$A$5000,0),MOD(ROW()-2,6)+1)="","",IFERROR(1*INDEX('CONTROLE PRODUÇÃO POR EMPRESAS'!$B$6:$G$5000,MATCH($A1117,'CONTROLE PRODUÇÃO POR EMPRESAS'!$A$6:$A$5000,0),MOD(ROW()-2,6)+1),"")),"")</f>
        <v/>
      </c>
      <c r="I1117" s="159">
        <f>IF(OR(NOT(ISNUMBER(G1117)),NOT(ISNUMBER(H1117))),"",H1117-G1117)</f>
        <v/>
      </c>
      <c r="J1117" s="319">
        <f>IF(OR(NOT(ISNUMBER(G1117)),NOT(ISNUMBER(H1117)),G1117=0),"",I1117/G1117)</f>
        <v/>
      </c>
      <c r="K1117" s="319">
        <f>IF(OR(NOT(ISNUMBER(G1117)),NOT(ISNUMBER(H1117)),G1117=0),"",H1117/G1117)</f>
        <v/>
      </c>
      <c r="L1117">
        <f>IF(NOT(ISNUMBER(G1117)),"SEM META",IF(G1117=0,"SEM META",IF(NOT(ISNUMBER(H1117)),"SEM APONTAMENTO",IF(H1117&gt;=G1117,"VERDE",IF(H1117&gt;=G1117*0.9,"AMARELO","VERMELHO")))))</f>
        <v/>
      </c>
      <c r="M1117" s="162" t="n"/>
      <c r="N1117" s="162" t="n"/>
      <c r="O1117" s="162" t="n"/>
      <c r="P1117" s="162" t="n"/>
      <c r="Q1117" s="320" t="n"/>
      <c r="R1117" s="162" t="inlineStr">
        <is>
          <t>CONTROLE PRODUÇÃO POR EMPRESAS!G191</t>
        </is>
      </c>
    </row>
    <row r="1118" ht="28.5" customHeight="1">
      <c r="A1118" s="317" t="n">
        <v>46409</v>
      </c>
      <c r="B1118" t="inlineStr">
        <is>
          <t>GERAL</t>
        </is>
      </c>
      <c r="C1118" t="inlineStr">
        <is>
          <t>EJ</t>
        </is>
      </c>
      <c r="D1118" t="inlineStr">
        <is>
          <t>PREMONTAGEM</t>
        </is>
      </c>
      <c r="F1118" s="159">
        <f>IFERROR(INDEX('BASE METAS DIÁRIAS'!$N$2:$S$358,MATCH($A1118,'BASE METAS DIÁRIAS'!$A$2:$A$358,0),MOD(ROW()-2,6)+1),"")</f>
        <v/>
      </c>
      <c r="G1118" s="159">
        <f>IFERROR(IF(WEEKDAY($A1118,2)&lt;=INDEX('BASE METAS DIÁRIAS'!$H$2:$M$358,MATCH($A1118,'BASE METAS DIÁRIAS'!$A$2:$A$358,0),MOD(ROW()-2,6)+1),INDEX('BASE METAS DIÁRIAS'!$B$2:$G$358,MATCH($A1118,'BASE METAS DIÁRIAS'!$A$2:$A$358,0),MOD(ROW()-2,6)+1),""),"")</f>
        <v/>
      </c>
      <c r="H1118" s="159">
        <f>IFERROR(IF(INDEX('CONTROLE PRODUÇÃO POR EMPRESAS'!$B$6:$G$5000,MATCH($A1118,'CONTROLE PRODUÇÃO POR EMPRESAS'!$A$6:$A$5000,0),MOD(ROW()-2,6)+1)="","",IFERROR(1*INDEX('CONTROLE PRODUÇÃO POR EMPRESAS'!$B$6:$G$5000,MATCH($A1118,'CONTROLE PRODUÇÃO POR EMPRESAS'!$A$6:$A$5000,0),MOD(ROW()-2,6)+1),"")),"")</f>
        <v/>
      </c>
      <c r="I1118" s="159">
        <f>IF(OR(NOT(ISNUMBER(G1118)),NOT(ISNUMBER(H1118))),"",H1118-G1118)</f>
        <v/>
      </c>
      <c r="J1118" s="319">
        <f>IF(OR(NOT(ISNUMBER(G1118)),NOT(ISNUMBER(H1118)),G1118=0),"",I1118/G1118)</f>
        <v/>
      </c>
      <c r="K1118" s="319">
        <f>IF(OR(NOT(ISNUMBER(G1118)),NOT(ISNUMBER(H1118)),G1118=0),"",H1118/G1118)</f>
        <v/>
      </c>
      <c r="L1118">
        <f>IF(NOT(ISNUMBER(G1118)),"SEM META",IF(G1118=0,"SEM META",IF(NOT(ISNUMBER(H1118)),"SEM APONTAMENTO",IF(H1118&gt;=G1118,"VERDE",IF(H1118&gt;=G1118*0.9,"AMARELO","VERMELHO")))))</f>
        <v/>
      </c>
      <c r="M1118" s="162" t="n"/>
      <c r="N1118" s="162" t="n"/>
      <c r="O1118" s="162" t="n"/>
      <c r="P1118" s="162" t="n"/>
      <c r="Q1118" s="320" t="n"/>
      <c r="R1118" s="162" t="inlineStr">
        <is>
          <t>CONTROLE PRODUÇÃO POR EMPRESAS!B192</t>
        </is>
      </c>
    </row>
    <row r="1119" ht="28.5" customHeight="1">
      <c r="A1119" s="317" t="n">
        <v>46409</v>
      </c>
      <c r="B1119" t="inlineStr">
        <is>
          <t>GERAL</t>
        </is>
      </c>
      <c r="C1119" t="inlineStr">
        <is>
          <t>EJ</t>
        </is>
      </c>
      <c r="D1119" t="inlineStr">
        <is>
          <t>IÇAMENTO JOIST</t>
        </is>
      </c>
      <c r="F1119" s="159">
        <f>IFERROR(INDEX('BASE METAS DIÁRIAS'!$N$2:$S$358,MATCH($A1119,'BASE METAS DIÁRIAS'!$A$2:$A$358,0),MOD(ROW()-2,6)+1),"")</f>
        <v/>
      </c>
      <c r="G1119" s="159">
        <f>IFERROR(IF(WEEKDAY($A1119,2)&lt;=INDEX('BASE METAS DIÁRIAS'!$H$2:$M$358,MATCH($A1119,'BASE METAS DIÁRIAS'!$A$2:$A$358,0),MOD(ROW()-2,6)+1),INDEX('BASE METAS DIÁRIAS'!$B$2:$G$358,MATCH($A1119,'BASE METAS DIÁRIAS'!$A$2:$A$358,0),MOD(ROW()-2,6)+1),""),"")</f>
        <v/>
      </c>
      <c r="H1119" s="159">
        <f>IFERROR(IF(INDEX('CONTROLE PRODUÇÃO POR EMPRESAS'!$B$6:$G$5000,MATCH($A1119,'CONTROLE PRODUÇÃO POR EMPRESAS'!$A$6:$A$5000,0),MOD(ROW()-2,6)+1)="","",IFERROR(1*INDEX('CONTROLE PRODUÇÃO POR EMPRESAS'!$B$6:$G$5000,MATCH($A1119,'CONTROLE PRODUÇÃO POR EMPRESAS'!$A$6:$A$5000,0),MOD(ROW()-2,6)+1),"")),"")</f>
        <v/>
      </c>
      <c r="I1119" s="159">
        <f>IF(OR(NOT(ISNUMBER(G1119)),NOT(ISNUMBER(H1119))),"",H1119-G1119)</f>
        <v/>
      </c>
      <c r="J1119" s="319">
        <f>IF(OR(NOT(ISNUMBER(G1119)),NOT(ISNUMBER(H1119)),G1119=0),"",I1119/G1119)</f>
        <v/>
      </c>
      <c r="K1119" s="319">
        <f>IF(OR(NOT(ISNUMBER(G1119)),NOT(ISNUMBER(H1119)),G1119=0),"",H1119/G1119)</f>
        <v/>
      </c>
      <c r="L1119">
        <f>IF(NOT(ISNUMBER(G1119)),"SEM META",IF(G1119=0,"SEM META",IF(NOT(ISNUMBER(H1119)),"SEM APONTAMENTO",IF(H1119&gt;=G1119,"VERDE",IF(H1119&gt;=G1119*0.9,"AMARELO","VERMELHO")))))</f>
        <v/>
      </c>
      <c r="M1119" s="162" t="n"/>
      <c r="N1119" s="162" t="n"/>
      <c r="O1119" s="162" t="n"/>
      <c r="P1119" s="162" t="n"/>
      <c r="Q1119" s="320" t="n"/>
      <c r="R1119" s="162" t="inlineStr">
        <is>
          <t>CONTROLE PRODUÇÃO POR EMPRESAS!C192</t>
        </is>
      </c>
    </row>
    <row r="1120" ht="28.5" customHeight="1">
      <c r="A1120" s="317" t="n">
        <v>46409</v>
      </c>
      <c r="B1120" t="inlineStr">
        <is>
          <t>GERAL</t>
        </is>
      </c>
      <c r="C1120" t="inlineStr">
        <is>
          <t>EJ</t>
        </is>
      </c>
      <c r="D1120" t="inlineStr">
        <is>
          <t>VIGAS</t>
        </is>
      </c>
      <c r="F1120" s="159">
        <f>IFERROR(INDEX('BASE METAS DIÁRIAS'!$N$2:$S$358,MATCH($A1120,'BASE METAS DIÁRIAS'!$A$2:$A$358,0),MOD(ROW()-2,6)+1),"")</f>
        <v/>
      </c>
      <c r="G1120" s="159">
        <f>IFERROR(IF(WEEKDAY($A1120,2)&lt;=INDEX('BASE METAS DIÁRIAS'!$H$2:$M$358,MATCH($A1120,'BASE METAS DIÁRIAS'!$A$2:$A$358,0),MOD(ROW()-2,6)+1),INDEX('BASE METAS DIÁRIAS'!$B$2:$G$358,MATCH($A1120,'BASE METAS DIÁRIAS'!$A$2:$A$358,0),MOD(ROW()-2,6)+1),""),"")</f>
        <v/>
      </c>
      <c r="H1120" s="159">
        <f>IFERROR(IF(INDEX('CONTROLE PRODUÇÃO POR EMPRESAS'!$B$6:$G$5000,MATCH($A1120,'CONTROLE PRODUÇÃO POR EMPRESAS'!$A$6:$A$5000,0),MOD(ROW()-2,6)+1)="","",IFERROR(1*INDEX('CONTROLE PRODUÇÃO POR EMPRESAS'!$B$6:$G$5000,MATCH($A1120,'CONTROLE PRODUÇÃO POR EMPRESAS'!$A$6:$A$5000,0),MOD(ROW()-2,6)+1),"")),"")</f>
        <v/>
      </c>
      <c r="I1120" s="159">
        <f>IF(OR(NOT(ISNUMBER(G1120)),NOT(ISNUMBER(H1120))),"",H1120-G1120)</f>
        <v/>
      </c>
      <c r="J1120" s="319">
        <f>IF(OR(NOT(ISNUMBER(G1120)),NOT(ISNUMBER(H1120)),G1120=0),"",I1120/G1120)</f>
        <v/>
      </c>
      <c r="K1120" s="319">
        <f>IF(OR(NOT(ISNUMBER(G1120)),NOT(ISNUMBER(H1120)),G1120=0),"",H1120/G1120)</f>
        <v/>
      </c>
      <c r="L1120">
        <f>IF(NOT(ISNUMBER(G1120)),"SEM META",IF(G1120=0,"SEM META",IF(NOT(ISNUMBER(H1120)),"SEM APONTAMENTO",IF(H1120&gt;=G1120,"VERDE",IF(H1120&gt;=G1120*0.9,"AMARELO","VERMELHO")))))</f>
        <v/>
      </c>
      <c r="M1120" s="162" t="n"/>
      <c r="N1120" s="162" t="n"/>
      <c r="O1120" s="162" t="n"/>
      <c r="P1120" s="162" t="n"/>
      <c r="Q1120" s="320" t="n"/>
      <c r="R1120" s="162" t="inlineStr">
        <is>
          <t>CONTROLE PRODUÇÃO POR EMPRESAS!D192</t>
        </is>
      </c>
    </row>
    <row r="1121" ht="28.5" customHeight="1">
      <c r="A1121" s="317" t="n">
        <v>46409</v>
      </c>
      <c r="B1121" t="inlineStr">
        <is>
          <t>GERAL</t>
        </is>
      </c>
      <c r="C1121" t="inlineStr">
        <is>
          <t>CMM</t>
        </is>
      </c>
      <c r="D1121" t="inlineStr">
        <is>
          <t>PREMONTAGEM</t>
        </is>
      </c>
      <c r="F1121" s="159">
        <f>IFERROR(INDEX('BASE METAS DIÁRIAS'!$N$2:$S$358,MATCH($A1121,'BASE METAS DIÁRIAS'!$A$2:$A$358,0),MOD(ROW()-2,6)+1),"")</f>
        <v/>
      </c>
      <c r="G1121" s="159">
        <f>IFERROR(IF(WEEKDAY($A1121,2)&lt;=INDEX('BASE METAS DIÁRIAS'!$H$2:$M$358,MATCH($A1121,'BASE METAS DIÁRIAS'!$A$2:$A$358,0),MOD(ROW()-2,6)+1),INDEX('BASE METAS DIÁRIAS'!$B$2:$G$358,MATCH($A1121,'BASE METAS DIÁRIAS'!$A$2:$A$358,0),MOD(ROW()-2,6)+1),""),"")</f>
        <v/>
      </c>
      <c r="H1121" s="159">
        <f>IFERROR(IF(INDEX('CONTROLE PRODUÇÃO POR EMPRESAS'!$B$6:$G$5000,MATCH($A1121,'CONTROLE PRODUÇÃO POR EMPRESAS'!$A$6:$A$5000,0),MOD(ROW()-2,6)+1)="","",IFERROR(1*INDEX('CONTROLE PRODUÇÃO POR EMPRESAS'!$B$6:$G$5000,MATCH($A1121,'CONTROLE PRODUÇÃO POR EMPRESAS'!$A$6:$A$5000,0),MOD(ROW()-2,6)+1),"")),"")</f>
        <v/>
      </c>
      <c r="I1121" s="159">
        <f>IF(OR(NOT(ISNUMBER(G1121)),NOT(ISNUMBER(H1121))),"",H1121-G1121)</f>
        <v/>
      </c>
      <c r="J1121" s="319">
        <f>IF(OR(NOT(ISNUMBER(G1121)),NOT(ISNUMBER(H1121)),G1121=0),"",I1121/G1121)</f>
        <v/>
      </c>
      <c r="K1121" s="319">
        <f>IF(OR(NOT(ISNUMBER(G1121)),NOT(ISNUMBER(H1121)),G1121=0),"",H1121/G1121)</f>
        <v/>
      </c>
      <c r="L1121">
        <f>IF(NOT(ISNUMBER(G1121)),"SEM META",IF(G1121=0,"SEM META",IF(NOT(ISNUMBER(H1121)),"SEM APONTAMENTO",IF(H1121&gt;=G1121,"VERDE",IF(H1121&gt;=G1121*0.9,"AMARELO","VERMELHO")))))</f>
        <v/>
      </c>
      <c r="M1121" s="162" t="n"/>
      <c r="N1121" s="162" t="n"/>
      <c r="O1121" s="162" t="n"/>
      <c r="P1121" s="162" t="n"/>
      <c r="Q1121" s="320" t="n"/>
      <c r="R1121" s="162" t="inlineStr">
        <is>
          <t>CONTROLE PRODUÇÃO POR EMPRESAS!E192</t>
        </is>
      </c>
    </row>
    <row r="1122" ht="28.5" customHeight="1">
      <c r="A1122" s="317" t="n">
        <v>46409</v>
      </c>
      <c r="B1122" t="inlineStr">
        <is>
          <t>GERAL</t>
        </is>
      </c>
      <c r="C1122" t="inlineStr">
        <is>
          <t>CMM</t>
        </is>
      </c>
      <c r="D1122" t="inlineStr">
        <is>
          <t>IÇAMENTO JOIST</t>
        </is>
      </c>
      <c r="F1122" s="159">
        <f>IFERROR(INDEX('BASE METAS DIÁRIAS'!$N$2:$S$358,MATCH($A1122,'BASE METAS DIÁRIAS'!$A$2:$A$358,0),MOD(ROW()-2,6)+1),"")</f>
        <v/>
      </c>
      <c r="G1122" s="159">
        <f>IFERROR(IF(WEEKDAY($A1122,2)&lt;=INDEX('BASE METAS DIÁRIAS'!$H$2:$M$358,MATCH($A1122,'BASE METAS DIÁRIAS'!$A$2:$A$358,0),MOD(ROW()-2,6)+1),INDEX('BASE METAS DIÁRIAS'!$B$2:$G$358,MATCH($A1122,'BASE METAS DIÁRIAS'!$A$2:$A$358,0),MOD(ROW()-2,6)+1),""),"")</f>
        <v/>
      </c>
      <c r="H1122" s="159">
        <f>IFERROR(IF(INDEX('CONTROLE PRODUÇÃO POR EMPRESAS'!$B$6:$G$5000,MATCH($A1122,'CONTROLE PRODUÇÃO POR EMPRESAS'!$A$6:$A$5000,0),MOD(ROW()-2,6)+1)="","",IFERROR(1*INDEX('CONTROLE PRODUÇÃO POR EMPRESAS'!$B$6:$G$5000,MATCH($A1122,'CONTROLE PRODUÇÃO POR EMPRESAS'!$A$6:$A$5000,0),MOD(ROW()-2,6)+1),"")),"")</f>
        <v/>
      </c>
      <c r="I1122" s="159">
        <f>IF(OR(NOT(ISNUMBER(G1122)),NOT(ISNUMBER(H1122))),"",H1122-G1122)</f>
        <v/>
      </c>
      <c r="J1122" s="319">
        <f>IF(OR(NOT(ISNUMBER(G1122)),NOT(ISNUMBER(H1122)),G1122=0),"",I1122/G1122)</f>
        <v/>
      </c>
      <c r="K1122" s="319">
        <f>IF(OR(NOT(ISNUMBER(G1122)),NOT(ISNUMBER(H1122)),G1122=0),"",H1122/G1122)</f>
        <v/>
      </c>
      <c r="L1122">
        <f>IF(NOT(ISNUMBER(G1122)),"SEM META",IF(G1122=0,"SEM META",IF(NOT(ISNUMBER(H1122)),"SEM APONTAMENTO",IF(H1122&gt;=G1122,"VERDE",IF(H1122&gt;=G1122*0.9,"AMARELO","VERMELHO")))))</f>
        <v/>
      </c>
      <c r="M1122" s="162" t="n"/>
      <c r="N1122" s="162" t="n"/>
      <c r="O1122" s="162" t="n"/>
      <c r="P1122" s="162" t="n"/>
      <c r="Q1122" s="320" t="n"/>
      <c r="R1122" s="162" t="inlineStr">
        <is>
          <t>CONTROLE PRODUÇÃO POR EMPRESAS!F192</t>
        </is>
      </c>
    </row>
    <row r="1123" ht="28.5" customHeight="1">
      <c r="A1123" s="317" t="n">
        <v>46409</v>
      </c>
      <c r="B1123" t="inlineStr">
        <is>
          <t>GERAL</t>
        </is>
      </c>
      <c r="C1123" t="inlineStr">
        <is>
          <t>CMM</t>
        </is>
      </c>
      <c r="D1123" t="inlineStr">
        <is>
          <t>VIGAS</t>
        </is>
      </c>
      <c r="F1123" s="159">
        <f>IFERROR(INDEX('BASE METAS DIÁRIAS'!$N$2:$S$358,MATCH($A1123,'BASE METAS DIÁRIAS'!$A$2:$A$358,0),MOD(ROW()-2,6)+1),"")</f>
        <v/>
      </c>
      <c r="G1123" s="159">
        <f>IFERROR(IF(WEEKDAY($A1123,2)&lt;=INDEX('BASE METAS DIÁRIAS'!$H$2:$M$358,MATCH($A1123,'BASE METAS DIÁRIAS'!$A$2:$A$358,0),MOD(ROW()-2,6)+1),INDEX('BASE METAS DIÁRIAS'!$B$2:$G$358,MATCH($A1123,'BASE METAS DIÁRIAS'!$A$2:$A$358,0),MOD(ROW()-2,6)+1),""),"")</f>
        <v/>
      </c>
      <c r="H1123" s="159">
        <f>IFERROR(IF(INDEX('CONTROLE PRODUÇÃO POR EMPRESAS'!$B$6:$G$5000,MATCH($A1123,'CONTROLE PRODUÇÃO POR EMPRESAS'!$A$6:$A$5000,0),MOD(ROW()-2,6)+1)="","",IFERROR(1*INDEX('CONTROLE PRODUÇÃO POR EMPRESAS'!$B$6:$G$5000,MATCH($A1123,'CONTROLE PRODUÇÃO POR EMPRESAS'!$A$6:$A$5000,0),MOD(ROW()-2,6)+1),"")),"")</f>
        <v/>
      </c>
      <c r="I1123" s="159">
        <f>IF(OR(NOT(ISNUMBER(G1123)),NOT(ISNUMBER(H1123))),"",H1123-G1123)</f>
        <v/>
      </c>
      <c r="J1123" s="319">
        <f>IF(OR(NOT(ISNUMBER(G1123)),NOT(ISNUMBER(H1123)),G1123=0),"",I1123/G1123)</f>
        <v/>
      </c>
      <c r="K1123" s="319">
        <f>IF(OR(NOT(ISNUMBER(G1123)),NOT(ISNUMBER(H1123)),G1123=0),"",H1123/G1123)</f>
        <v/>
      </c>
      <c r="L1123">
        <f>IF(NOT(ISNUMBER(G1123)),"SEM META",IF(G1123=0,"SEM META",IF(NOT(ISNUMBER(H1123)),"SEM APONTAMENTO",IF(H1123&gt;=G1123,"VERDE",IF(H1123&gt;=G1123*0.9,"AMARELO","VERMELHO")))))</f>
        <v/>
      </c>
      <c r="M1123" s="162" t="n"/>
      <c r="N1123" s="162" t="n"/>
      <c r="O1123" s="162" t="n"/>
      <c r="P1123" s="162" t="n"/>
      <c r="Q1123" s="320" t="n"/>
      <c r="R1123" s="162" t="inlineStr">
        <is>
          <t>CONTROLE PRODUÇÃO POR EMPRESAS!G192</t>
        </is>
      </c>
    </row>
    <row r="1124" ht="28.5" customHeight="1">
      <c r="A1124" s="317" t="n">
        <v>46410</v>
      </c>
      <c r="B1124" t="inlineStr">
        <is>
          <t>GERAL</t>
        </is>
      </c>
      <c r="C1124" t="inlineStr">
        <is>
          <t>EJ</t>
        </is>
      </c>
      <c r="D1124" t="inlineStr">
        <is>
          <t>PREMONTAGEM</t>
        </is>
      </c>
      <c r="F1124" s="159">
        <f>IFERROR(INDEX('BASE METAS DIÁRIAS'!$N$2:$S$358,MATCH($A1124,'BASE METAS DIÁRIAS'!$A$2:$A$358,0),MOD(ROW()-2,6)+1),"")</f>
        <v/>
      </c>
      <c r="G1124" s="159">
        <f>IFERROR(IF(WEEKDAY($A1124,2)&lt;=INDEX('BASE METAS DIÁRIAS'!$H$2:$M$358,MATCH($A1124,'BASE METAS DIÁRIAS'!$A$2:$A$358,0),MOD(ROW()-2,6)+1),INDEX('BASE METAS DIÁRIAS'!$B$2:$G$358,MATCH($A1124,'BASE METAS DIÁRIAS'!$A$2:$A$358,0),MOD(ROW()-2,6)+1),""),"")</f>
        <v/>
      </c>
      <c r="H1124" s="159">
        <f>IFERROR(IF(INDEX('CONTROLE PRODUÇÃO POR EMPRESAS'!$B$6:$G$5000,MATCH($A1124,'CONTROLE PRODUÇÃO POR EMPRESAS'!$A$6:$A$5000,0),MOD(ROW()-2,6)+1)="","",IFERROR(1*INDEX('CONTROLE PRODUÇÃO POR EMPRESAS'!$B$6:$G$5000,MATCH($A1124,'CONTROLE PRODUÇÃO POR EMPRESAS'!$A$6:$A$5000,0),MOD(ROW()-2,6)+1),"")),"")</f>
        <v/>
      </c>
      <c r="I1124" s="159">
        <f>IF(OR(NOT(ISNUMBER(G1124)),NOT(ISNUMBER(H1124))),"",H1124-G1124)</f>
        <v/>
      </c>
      <c r="J1124" s="319">
        <f>IF(OR(NOT(ISNUMBER(G1124)),NOT(ISNUMBER(H1124)),G1124=0),"",I1124/G1124)</f>
        <v/>
      </c>
      <c r="K1124" s="319">
        <f>IF(OR(NOT(ISNUMBER(G1124)),NOT(ISNUMBER(H1124)),G1124=0),"",H1124/G1124)</f>
        <v/>
      </c>
      <c r="L1124">
        <f>IF(NOT(ISNUMBER(G1124)),"SEM META",IF(G1124=0,"SEM META",IF(NOT(ISNUMBER(H1124)),"SEM APONTAMENTO",IF(H1124&gt;=G1124,"VERDE",IF(H1124&gt;=G1124*0.9,"AMARELO","VERMELHO")))))</f>
        <v/>
      </c>
      <c r="M1124" s="162" t="n"/>
      <c r="N1124" s="162" t="n"/>
      <c r="O1124" s="162" t="n"/>
      <c r="P1124" s="162" t="n"/>
      <c r="Q1124" s="320" t="n"/>
      <c r="R1124" s="162" t="inlineStr">
        <is>
          <t>CONTROLE PRODUÇÃO POR EMPRESAS!B193</t>
        </is>
      </c>
    </row>
    <row r="1125" ht="28.5" customHeight="1">
      <c r="A1125" s="317" t="n">
        <v>46410</v>
      </c>
      <c r="B1125" t="inlineStr">
        <is>
          <t>GERAL</t>
        </is>
      </c>
      <c r="C1125" t="inlineStr">
        <is>
          <t>EJ</t>
        </is>
      </c>
      <c r="D1125" t="inlineStr">
        <is>
          <t>IÇAMENTO JOIST</t>
        </is>
      </c>
      <c r="F1125" s="159">
        <f>IFERROR(INDEX('BASE METAS DIÁRIAS'!$N$2:$S$358,MATCH($A1125,'BASE METAS DIÁRIAS'!$A$2:$A$358,0),MOD(ROW()-2,6)+1),"")</f>
        <v/>
      </c>
      <c r="G1125" s="159">
        <f>IFERROR(IF(WEEKDAY($A1125,2)&lt;=INDEX('BASE METAS DIÁRIAS'!$H$2:$M$358,MATCH($A1125,'BASE METAS DIÁRIAS'!$A$2:$A$358,0),MOD(ROW()-2,6)+1),INDEX('BASE METAS DIÁRIAS'!$B$2:$G$358,MATCH($A1125,'BASE METAS DIÁRIAS'!$A$2:$A$358,0),MOD(ROW()-2,6)+1),""),"")</f>
        <v/>
      </c>
      <c r="H1125" s="159">
        <f>IFERROR(IF(INDEX('CONTROLE PRODUÇÃO POR EMPRESAS'!$B$6:$G$5000,MATCH($A1125,'CONTROLE PRODUÇÃO POR EMPRESAS'!$A$6:$A$5000,0),MOD(ROW()-2,6)+1)="","",IFERROR(1*INDEX('CONTROLE PRODUÇÃO POR EMPRESAS'!$B$6:$G$5000,MATCH($A1125,'CONTROLE PRODUÇÃO POR EMPRESAS'!$A$6:$A$5000,0),MOD(ROW()-2,6)+1),"")),"")</f>
        <v/>
      </c>
      <c r="I1125" s="159">
        <f>IF(OR(NOT(ISNUMBER(G1125)),NOT(ISNUMBER(H1125))),"",H1125-G1125)</f>
        <v/>
      </c>
      <c r="J1125" s="319">
        <f>IF(OR(NOT(ISNUMBER(G1125)),NOT(ISNUMBER(H1125)),G1125=0),"",I1125/G1125)</f>
        <v/>
      </c>
      <c r="K1125" s="319">
        <f>IF(OR(NOT(ISNUMBER(G1125)),NOT(ISNUMBER(H1125)),G1125=0),"",H1125/G1125)</f>
        <v/>
      </c>
      <c r="L1125">
        <f>IF(NOT(ISNUMBER(G1125)),"SEM META",IF(G1125=0,"SEM META",IF(NOT(ISNUMBER(H1125)),"SEM APONTAMENTO",IF(H1125&gt;=G1125,"VERDE",IF(H1125&gt;=G1125*0.9,"AMARELO","VERMELHO")))))</f>
        <v/>
      </c>
      <c r="M1125" s="162" t="n"/>
      <c r="N1125" s="162" t="n"/>
      <c r="O1125" s="162" t="n"/>
      <c r="P1125" s="162" t="n"/>
      <c r="Q1125" s="320" t="n"/>
      <c r="R1125" s="162" t="inlineStr">
        <is>
          <t>CONTROLE PRODUÇÃO POR EMPRESAS!C193</t>
        </is>
      </c>
    </row>
    <row r="1126" ht="28.5" customHeight="1">
      <c r="A1126" s="317" t="n">
        <v>46410</v>
      </c>
      <c r="B1126" t="inlineStr">
        <is>
          <t>GERAL</t>
        </is>
      </c>
      <c r="C1126" t="inlineStr">
        <is>
          <t>EJ</t>
        </is>
      </c>
      <c r="D1126" t="inlineStr">
        <is>
          <t>VIGAS</t>
        </is>
      </c>
      <c r="F1126" s="159">
        <f>IFERROR(INDEX('BASE METAS DIÁRIAS'!$N$2:$S$358,MATCH($A1126,'BASE METAS DIÁRIAS'!$A$2:$A$358,0),MOD(ROW()-2,6)+1),"")</f>
        <v/>
      </c>
      <c r="G1126" s="159">
        <f>IFERROR(IF(WEEKDAY($A1126,2)&lt;=INDEX('BASE METAS DIÁRIAS'!$H$2:$M$358,MATCH($A1126,'BASE METAS DIÁRIAS'!$A$2:$A$358,0),MOD(ROW()-2,6)+1),INDEX('BASE METAS DIÁRIAS'!$B$2:$G$358,MATCH($A1126,'BASE METAS DIÁRIAS'!$A$2:$A$358,0),MOD(ROW()-2,6)+1),""),"")</f>
        <v/>
      </c>
      <c r="H1126" s="159">
        <f>IFERROR(IF(INDEX('CONTROLE PRODUÇÃO POR EMPRESAS'!$B$6:$G$5000,MATCH($A1126,'CONTROLE PRODUÇÃO POR EMPRESAS'!$A$6:$A$5000,0),MOD(ROW()-2,6)+1)="","",IFERROR(1*INDEX('CONTROLE PRODUÇÃO POR EMPRESAS'!$B$6:$G$5000,MATCH($A1126,'CONTROLE PRODUÇÃO POR EMPRESAS'!$A$6:$A$5000,0),MOD(ROW()-2,6)+1),"")),"")</f>
        <v/>
      </c>
      <c r="I1126" s="159">
        <f>IF(OR(NOT(ISNUMBER(G1126)),NOT(ISNUMBER(H1126))),"",H1126-G1126)</f>
        <v/>
      </c>
      <c r="J1126" s="319">
        <f>IF(OR(NOT(ISNUMBER(G1126)),NOT(ISNUMBER(H1126)),G1126=0),"",I1126/G1126)</f>
        <v/>
      </c>
      <c r="K1126" s="319">
        <f>IF(OR(NOT(ISNUMBER(G1126)),NOT(ISNUMBER(H1126)),G1126=0),"",H1126/G1126)</f>
        <v/>
      </c>
      <c r="L1126">
        <f>IF(NOT(ISNUMBER(G1126)),"SEM META",IF(G1126=0,"SEM META",IF(NOT(ISNUMBER(H1126)),"SEM APONTAMENTO",IF(H1126&gt;=G1126,"VERDE",IF(H1126&gt;=G1126*0.9,"AMARELO","VERMELHO")))))</f>
        <v/>
      </c>
      <c r="M1126" s="162" t="n"/>
      <c r="N1126" s="162" t="n"/>
      <c r="O1126" s="162" t="n"/>
      <c r="P1126" s="162" t="n"/>
      <c r="Q1126" s="320" t="n"/>
      <c r="R1126" s="162" t="inlineStr">
        <is>
          <t>CONTROLE PRODUÇÃO POR EMPRESAS!D193</t>
        </is>
      </c>
    </row>
    <row r="1127" ht="28.5" customHeight="1">
      <c r="A1127" s="317" t="n">
        <v>46410</v>
      </c>
      <c r="B1127" t="inlineStr">
        <is>
          <t>GERAL</t>
        </is>
      </c>
      <c r="C1127" t="inlineStr">
        <is>
          <t>CMM</t>
        </is>
      </c>
      <c r="D1127" t="inlineStr">
        <is>
          <t>PREMONTAGEM</t>
        </is>
      </c>
      <c r="F1127" s="159">
        <f>IFERROR(INDEX('BASE METAS DIÁRIAS'!$N$2:$S$358,MATCH($A1127,'BASE METAS DIÁRIAS'!$A$2:$A$358,0),MOD(ROW()-2,6)+1),"")</f>
        <v/>
      </c>
      <c r="G1127" s="159">
        <f>IFERROR(IF(WEEKDAY($A1127,2)&lt;=INDEX('BASE METAS DIÁRIAS'!$H$2:$M$358,MATCH($A1127,'BASE METAS DIÁRIAS'!$A$2:$A$358,0),MOD(ROW()-2,6)+1),INDEX('BASE METAS DIÁRIAS'!$B$2:$G$358,MATCH($A1127,'BASE METAS DIÁRIAS'!$A$2:$A$358,0),MOD(ROW()-2,6)+1),""),"")</f>
        <v/>
      </c>
      <c r="H1127" s="159">
        <f>IFERROR(IF(INDEX('CONTROLE PRODUÇÃO POR EMPRESAS'!$B$6:$G$5000,MATCH($A1127,'CONTROLE PRODUÇÃO POR EMPRESAS'!$A$6:$A$5000,0),MOD(ROW()-2,6)+1)="","",IFERROR(1*INDEX('CONTROLE PRODUÇÃO POR EMPRESAS'!$B$6:$G$5000,MATCH($A1127,'CONTROLE PRODUÇÃO POR EMPRESAS'!$A$6:$A$5000,0),MOD(ROW()-2,6)+1),"")),"")</f>
        <v/>
      </c>
      <c r="I1127" s="159">
        <f>IF(OR(NOT(ISNUMBER(G1127)),NOT(ISNUMBER(H1127))),"",H1127-G1127)</f>
        <v/>
      </c>
      <c r="J1127" s="319">
        <f>IF(OR(NOT(ISNUMBER(G1127)),NOT(ISNUMBER(H1127)),G1127=0),"",I1127/G1127)</f>
        <v/>
      </c>
      <c r="K1127" s="319">
        <f>IF(OR(NOT(ISNUMBER(G1127)),NOT(ISNUMBER(H1127)),G1127=0),"",H1127/G1127)</f>
        <v/>
      </c>
      <c r="L1127">
        <f>IF(NOT(ISNUMBER(G1127)),"SEM META",IF(G1127=0,"SEM META",IF(NOT(ISNUMBER(H1127)),"SEM APONTAMENTO",IF(H1127&gt;=G1127,"VERDE",IF(H1127&gt;=G1127*0.9,"AMARELO","VERMELHO")))))</f>
        <v/>
      </c>
      <c r="M1127" s="162" t="n"/>
      <c r="N1127" s="162" t="n"/>
      <c r="O1127" s="162" t="n"/>
      <c r="P1127" s="162" t="n"/>
      <c r="Q1127" s="320" t="n"/>
      <c r="R1127" s="162" t="inlineStr">
        <is>
          <t>CONTROLE PRODUÇÃO POR EMPRESAS!E193</t>
        </is>
      </c>
    </row>
    <row r="1128" ht="28.5" customHeight="1">
      <c r="A1128" s="317" t="n">
        <v>46410</v>
      </c>
      <c r="B1128" t="inlineStr">
        <is>
          <t>GERAL</t>
        </is>
      </c>
      <c r="C1128" t="inlineStr">
        <is>
          <t>CMM</t>
        </is>
      </c>
      <c r="D1128" t="inlineStr">
        <is>
          <t>IÇAMENTO JOIST</t>
        </is>
      </c>
      <c r="F1128" s="159">
        <f>IFERROR(INDEX('BASE METAS DIÁRIAS'!$N$2:$S$358,MATCH($A1128,'BASE METAS DIÁRIAS'!$A$2:$A$358,0),MOD(ROW()-2,6)+1),"")</f>
        <v/>
      </c>
      <c r="G1128" s="159">
        <f>IFERROR(IF(WEEKDAY($A1128,2)&lt;=INDEX('BASE METAS DIÁRIAS'!$H$2:$M$358,MATCH($A1128,'BASE METAS DIÁRIAS'!$A$2:$A$358,0),MOD(ROW()-2,6)+1),INDEX('BASE METAS DIÁRIAS'!$B$2:$G$358,MATCH($A1128,'BASE METAS DIÁRIAS'!$A$2:$A$358,0),MOD(ROW()-2,6)+1),""),"")</f>
        <v/>
      </c>
      <c r="H1128" s="159">
        <f>IFERROR(IF(INDEX('CONTROLE PRODUÇÃO POR EMPRESAS'!$B$6:$G$5000,MATCH($A1128,'CONTROLE PRODUÇÃO POR EMPRESAS'!$A$6:$A$5000,0),MOD(ROW()-2,6)+1)="","",IFERROR(1*INDEX('CONTROLE PRODUÇÃO POR EMPRESAS'!$B$6:$G$5000,MATCH($A1128,'CONTROLE PRODUÇÃO POR EMPRESAS'!$A$6:$A$5000,0),MOD(ROW()-2,6)+1),"")),"")</f>
        <v/>
      </c>
      <c r="I1128" s="159">
        <f>IF(OR(NOT(ISNUMBER(G1128)),NOT(ISNUMBER(H1128))),"",H1128-G1128)</f>
        <v/>
      </c>
      <c r="J1128" s="319">
        <f>IF(OR(NOT(ISNUMBER(G1128)),NOT(ISNUMBER(H1128)),G1128=0),"",I1128/G1128)</f>
        <v/>
      </c>
      <c r="K1128" s="319">
        <f>IF(OR(NOT(ISNUMBER(G1128)),NOT(ISNUMBER(H1128)),G1128=0),"",H1128/G1128)</f>
        <v/>
      </c>
      <c r="L1128">
        <f>IF(NOT(ISNUMBER(G1128)),"SEM META",IF(G1128=0,"SEM META",IF(NOT(ISNUMBER(H1128)),"SEM APONTAMENTO",IF(H1128&gt;=G1128,"VERDE",IF(H1128&gt;=G1128*0.9,"AMARELO","VERMELHO")))))</f>
        <v/>
      </c>
      <c r="M1128" s="162" t="n"/>
      <c r="N1128" s="162" t="n"/>
      <c r="O1128" s="162" t="n"/>
      <c r="P1128" s="162" t="n"/>
      <c r="Q1128" s="320" t="n"/>
      <c r="R1128" s="162" t="inlineStr">
        <is>
          <t>CONTROLE PRODUÇÃO POR EMPRESAS!F193</t>
        </is>
      </c>
    </row>
    <row r="1129" ht="28.5" customHeight="1">
      <c r="A1129" s="317" t="n">
        <v>46410</v>
      </c>
      <c r="B1129" t="inlineStr">
        <is>
          <t>GERAL</t>
        </is>
      </c>
      <c r="C1129" t="inlineStr">
        <is>
          <t>CMM</t>
        </is>
      </c>
      <c r="D1129" t="inlineStr">
        <is>
          <t>VIGAS</t>
        </is>
      </c>
      <c r="F1129" s="159">
        <f>IFERROR(INDEX('BASE METAS DIÁRIAS'!$N$2:$S$358,MATCH($A1129,'BASE METAS DIÁRIAS'!$A$2:$A$358,0),MOD(ROW()-2,6)+1),"")</f>
        <v/>
      </c>
      <c r="G1129" s="159">
        <f>IFERROR(IF(WEEKDAY($A1129,2)&lt;=INDEX('BASE METAS DIÁRIAS'!$H$2:$M$358,MATCH($A1129,'BASE METAS DIÁRIAS'!$A$2:$A$358,0),MOD(ROW()-2,6)+1),INDEX('BASE METAS DIÁRIAS'!$B$2:$G$358,MATCH($A1129,'BASE METAS DIÁRIAS'!$A$2:$A$358,0),MOD(ROW()-2,6)+1),""),"")</f>
        <v/>
      </c>
      <c r="H1129" s="159">
        <f>IFERROR(IF(INDEX('CONTROLE PRODUÇÃO POR EMPRESAS'!$B$6:$G$5000,MATCH($A1129,'CONTROLE PRODUÇÃO POR EMPRESAS'!$A$6:$A$5000,0),MOD(ROW()-2,6)+1)="","",IFERROR(1*INDEX('CONTROLE PRODUÇÃO POR EMPRESAS'!$B$6:$G$5000,MATCH($A1129,'CONTROLE PRODUÇÃO POR EMPRESAS'!$A$6:$A$5000,0),MOD(ROW()-2,6)+1),"")),"")</f>
        <v/>
      </c>
      <c r="I1129" s="159">
        <f>IF(OR(NOT(ISNUMBER(G1129)),NOT(ISNUMBER(H1129))),"",H1129-G1129)</f>
        <v/>
      </c>
      <c r="J1129" s="319">
        <f>IF(OR(NOT(ISNUMBER(G1129)),NOT(ISNUMBER(H1129)),G1129=0),"",I1129/G1129)</f>
        <v/>
      </c>
      <c r="K1129" s="319">
        <f>IF(OR(NOT(ISNUMBER(G1129)),NOT(ISNUMBER(H1129)),G1129=0),"",H1129/G1129)</f>
        <v/>
      </c>
      <c r="L1129">
        <f>IF(NOT(ISNUMBER(G1129)),"SEM META",IF(G1129=0,"SEM META",IF(NOT(ISNUMBER(H1129)),"SEM APONTAMENTO",IF(H1129&gt;=G1129,"VERDE",IF(H1129&gt;=G1129*0.9,"AMARELO","VERMELHO")))))</f>
        <v/>
      </c>
      <c r="M1129" s="162" t="n"/>
      <c r="N1129" s="162" t="n"/>
      <c r="O1129" s="162" t="n"/>
      <c r="P1129" s="162" t="n"/>
      <c r="Q1129" s="320" t="n"/>
      <c r="R1129" s="162" t="inlineStr">
        <is>
          <t>CONTROLE PRODUÇÃO POR EMPRESAS!G193</t>
        </is>
      </c>
    </row>
    <row r="1130" ht="28.5" customHeight="1">
      <c r="A1130" s="317" t="n">
        <v>46411</v>
      </c>
      <c r="B1130" t="inlineStr">
        <is>
          <t>GERAL</t>
        </is>
      </c>
      <c r="C1130" t="inlineStr">
        <is>
          <t>EJ</t>
        </is>
      </c>
      <c r="D1130" t="inlineStr">
        <is>
          <t>PREMONTAGEM</t>
        </is>
      </c>
      <c r="F1130" s="159">
        <f>IFERROR(INDEX('BASE METAS DIÁRIAS'!$N$2:$S$358,MATCH($A1130,'BASE METAS DIÁRIAS'!$A$2:$A$358,0),MOD(ROW()-2,6)+1),"")</f>
        <v/>
      </c>
      <c r="G1130" s="159">
        <f>IFERROR(IF(WEEKDAY($A1130,2)&lt;=INDEX('BASE METAS DIÁRIAS'!$H$2:$M$358,MATCH($A1130,'BASE METAS DIÁRIAS'!$A$2:$A$358,0),MOD(ROW()-2,6)+1),INDEX('BASE METAS DIÁRIAS'!$B$2:$G$358,MATCH($A1130,'BASE METAS DIÁRIAS'!$A$2:$A$358,0),MOD(ROW()-2,6)+1),""),"")</f>
        <v/>
      </c>
      <c r="H1130" s="159">
        <f>IFERROR(IF(INDEX('CONTROLE PRODUÇÃO POR EMPRESAS'!$B$6:$G$5000,MATCH($A1130,'CONTROLE PRODUÇÃO POR EMPRESAS'!$A$6:$A$5000,0),MOD(ROW()-2,6)+1)="","",IFERROR(1*INDEX('CONTROLE PRODUÇÃO POR EMPRESAS'!$B$6:$G$5000,MATCH($A1130,'CONTROLE PRODUÇÃO POR EMPRESAS'!$A$6:$A$5000,0),MOD(ROW()-2,6)+1),"")),"")</f>
        <v/>
      </c>
      <c r="I1130" s="159">
        <f>IF(OR(NOT(ISNUMBER(G1130)),NOT(ISNUMBER(H1130))),"",H1130-G1130)</f>
        <v/>
      </c>
      <c r="J1130" s="319">
        <f>IF(OR(NOT(ISNUMBER(G1130)),NOT(ISNUMBER(H1130)),G1130=0),"",I1130/G1130)</f>
        <v/>
      </c>
      <c r="K1130" s="319">
        <f>IF(OR(NOT(ISNUMBER(G1130)),NOT(ISNUMBER(H1130)),G1130=0),"",H1130/G1130)</f>
        <v/>
      </c>
      <c r="L1130">
        <f>IF(NOT(ISNUMBER(G1130)),"SEM META",IF(G1130=0,"SEM META",IF(NOT(ISNUMBER(H1130)),"SEM APONTAMENTO",IF(H1130&gt;=G1130,"VERDE",IF(H1130&gt;=G1130*0.9,"AMARELO","VERMELHO")))))</f>
        <v/>
      </c>
      <c r="M1130" s="162" t="n"/>
      <c r="N1130" s="162" t="n"/>
      <c r="O1130" s="162" t="n"/>
      <c r="P1130" s="162" t="n"/>
      <c r="Q1130" s="320" t="n"/>
      <c r="R1130" s="162" t="inlineStr">
        <is>
          <t>CONTROLE PRODUÇÃO POR EMPRESAS!B194</t>
        </is>
      </c>
    </row>
    <row r="1131" ht="28.5" customHeight="1">
      <c r="A1131" s="317" t="n">
        <v>46411</v>
      </c>
      <c r="B1131" t="inlineStr">
        <is>
          <t>GERAL</t>
        </is>
      </c>
      <c r="C1131" t="inlineStr">
        <is>
          <t>EJ</t>
        </is>
      </c>
      <c r="D1131" t="inlineStr">
        <is>
          <t>IÇAMENTO JOIST</t>
        </is>
      </c>
      <c r="F1131" s="159">
        <f>IFERROR(INDEX('BASE METAS DIÁRIAS'!$N$2:$S$358,MATCH($A1131,'BASE METAS DIÁRIAS'!$A$2:$A$358,0),MOD(ROW()-2,6)+1),"")</f>
        <v/>
      </c>
      <c r="G1131" s="159">
        <f>IFERROR(IF(WEEKDAY($A1131,2)&lt;=INDEX('BASE METAS DIÁRIAS'!$H$2:$M$358,MATCH($A1131,'BASE METAS DIÁRIAS'!$A$2:$A$358,0),MOD(ROW()-2,6)+1),INDEX('BASE METAS DIÁRIAS'!$B$2:$G$358,MATCH($A1131,'BASE METAS DIÁRIAS'!$A$2:$A$358,0),MOD(ROW()-2,6)+1),""),"")</f>
        <v/>
      </c>
      <c r="H1131" s="159">
        <f>IFERROR(IF(INDEX('CONTROLE PRODUÇÃO POR EMPRESAS'!$B$6:$G$5000,MATCH($A1131,'CONTROLE PRODUÇÃO POR EMPRESAS'!$A$6:$A$5000,0),MOD(ROW()-2,6)+1)="","",IFERROR(1*INDEX('CONTROLE PRODUÇÃO POR EMPRESAS'!$B$6:$G$5000,MATCH($A1131,'CONTROLE PRODUÇÃO POR EMPRESAS'!$A$6:$A$5000,0),MOD(ROW()-2,6)+1),"")),"")</f>
        <v/>
      </c>
      <c r="I1131" s="159">
        <f>IF(OR(NOT(ISNUMBER(G1131)),NOT(ISNUMBER(H1131))),"",H1131-G1131)</f>
        <v/>
      </c>
      <c r="J1131" s="319">
        <f>IF(OR(NOT(ISNUMBER(G1131)),NOT(ISNUMBER(H1131)),G1131=0),"",I1131/G1131)</f>
        <v/>
      </c>
      <c r="K1131" s="319">
        <f>IF(OR(NOT(ISNUMBER(G1131)),NOT(ISNUMBER(H1131)),G1131=0),"",H1131/G1131)</f>
        <v/>
      </c>
      <c r="L1131">
        <f>IF(NOT(ISNUMBER(G1131)),"SEM META",IF(G1131=0,"SEM META",IF(NOT(ISNUMBER(H1131)),"SEM APONTAMENTO",IF(H1131&gt;=G1131,"VERDE",IF(H1131&gt;=G1131*0.9,"AMARELO","VERMELHO")))))</f>
        <v/>
      </c>
      <c r="M1131" s="162" t="n"/>
      <c r="N1131" s="162" t="n"/>
      <c r="O1131" s="162" t="n"/>
      <c r="P1131" s="162" t="n"/>
      <c r="Q1131" s="320" t="n"/>
      <c r="R1131" s="162" t="inlineStr">
        <is>
          <t>CONTROLE PRODUÇÃO POR EMPRESAS!C194</t>
        </is>
      </c>
    </row>
    <row r="1132" ht="28.5" customHeight="1">
      <c r="A1132" s="317" t="n">
        <v>46411</v>
      </c>
      <c r="B1132" t="inlineStr">
        <is>
          <t>GERAL</t>
        </is>
      </c>
      <c r="C1132" t="inlineStr">
        <is>
          <t>EJ</t>
        </is>
      </c>
      <c r="D1132" t="inlineStr">
        <is>
          <t>VIGAS</t>
        </is>
      </c>
      <c r="F1132" s="159">
        <f>IFERROR(INDEX('BASE METAS DIÁRIAS'!$N$2:$S$358,MATCH($A1132,'BASE METAS DIÁRIAS'!$A$2:$A$358,0),MOD(ROW()-2,6)+1),"")</f>
        <v/>
      </c>
      <c r="G1132" s="159">
        <f>IFERROR(IF(WEEKDAY($A1132,2)&lt;=INDEX('BASE METAS DIÁRIAS'!$H$2:$M$358,MATCH($A1132,'BASE METAS DIÁRIAS'!$A$2:$A$358,0),MOD(ROW()-2,6)+1),INDEX('BASE METAS DIÁRIAS'!$B$2:$G$358,MATCH($A1132,'BASE METAS DIÁRIAS'!$A$2:$A$358,0),MOD(ROW()-2,6)+1),""),"")</f>
        <v/>
      </c>
      <c r="H1132" s="159">
        <f>IFERROR(IF(INDEX('CONTROLE PRODUÇÃO POR EMPRESAS'!$B$6:$G$5000,MATCH($A1132,'CONTROLE PRODUÇÃO POR EMPRESAS'!$A$6:$A$5000,0),MOD(ROW()-2,6)+1)="","",IFERROR(1*INDEX('CONTROLE PRODUÇÃO POR EMPRESAS'!$B$6:$G$5000,MATCH($A1132,'CONTROLE PRODUÇÃO POR EMPRESAS'!$A$6:$A$5000,0),MOD(ROW()-2,6)+1),"")),"")</f>
        <v/>
      </c>
      <c r="I1132" s="159">
        <f>IF(OR(NOT(ISNUMBER(G1132)),NOT(ISNUMBER(H1132))),"",H1132-G1132)</f>
        <v/>
      </c>
      <c r="J1132" s="319">
        <f>IF(OR(NOT(ISNUMBER(G1132)),NOT(ISNUMBER(H1132)),G1132=0),"",I1132/G1132)</f>
        <v/>
      </c>
      <c r="K1132" s="319">
        <f>IF(OR(NOT(ISNUMBER(G1132)),NOT(ISNUMBER(H1132)),G1132=0),"",H1132/G1132)</f>
        <v/>
      </c>
      <c r="L1132">
        <f>IF(NOT(ISNUMBER(G1132)),"SEM META",IF(G1132=0,"SEM META",IF(NOT(ISNUMBER(H1132)),"SEM APONTAMENTO",IF(H1132&gt;=G1132,"VERDE",IF(H1132&gt;=G1132*0.9,"AMARELO","VERMELHO")))))</f>
        <v/>
      </c>
      <c r="M1132" s="162" t="n"/>
      <c r="N1132" s="162" t="n"/>
      <c r="O1132" s="162" t="n"/>
      <c r="P1132" s="162" t="n"/>
      <c r="Q1132" s="320" t="n"/>
      <c r="R1132" s="162" t="inlineStr">
        <is>
          <t>CONTROLE PRODUÇÃO POR EMPRESAS!D194</t>
        </is>
      </c>
    </row>
    <row r="1133" ht="28.5" customHeight="1">
      <c r="A1133" s="317" t="n">
        <v>46411</v>
      </c>
      <c r="B1133" t="inlineStr">
        <is>
          <t>GERAL</t>
        </is>
      </c>
      <c r="C1133" t="inlineStr">
        <is>
          <t>CMM</t>
        </is>
      </c>
      <c r="D1133" t="inlineStr">
        <is>
          <t>PREMONTAGEM</t>
        </is>
      </c>
      <c r="F1133" s="159">
        <f>IFERROR(INDEX('BASE METAS DIÁRIAS'!$N$2:$S$358,MATCH($A1133,'BASE METAS DIÁRIAS'!$A$2:$A$358,0),MOD(ROW()-2,6)+1),"")</f>
        <v/>
      </c>
      <c r="G1133" s="159">
        <f>IFERROR(IF(WEEKDAY($A1133,2)&lt;=INDEX('BASE METAS DIÁRIAS'!$H$2:$M$358,MATCH($A1133,'BASE METAS DIÁRIAS'!$A$2:$A$358,0),MOD(ROW()-2,6)+1),INDEX('BASE METAS DIÁRIAS'!$B$2:$G$358,MATCH($A1133,'BASE METAS DIÁRIAS'!$A$2:$A$358,0),MOD(ROW()-2,6)+1),""),"")</f>
        <v/>
      </c>
      <c r="H1133" s="159">
        <f>IFERROR(IF(INDEX('CONTROLE PRODUÇÃO POR EMPRESAS'!$B$6:$G$5000,MATCH($A1133,'CONTROLE PRODUÇÃO POR EMPRESAS'!$A$6:$A$5000,0),MOD(ROW()-2,6)+1)="","",IFERROR(1*INDEX('CONTROLE PRODUÇÃO POR EMPRESAS'!$B$6:$G$5000,MATCH($A1133,'CONTROLE PRODUÇÃO POR EMPRESAS'!$A$6:$A$5000,0),MOD(ROW()-2,6)+1),"")),"")</f>
        <v/>
      </c>
      <c r="I1133" s="159">
        <f>IF(OR(NOT(ISNUMBER(G1133)),NOT(ISNUMBER(H1133))),"",H1133-G1133)</f>
        <v/>
      </c>
      <c r="J1133" s="319">
        <f>IF(OR(NOT(ISNUMBER(G1133)),NOT(ISNUMBER(H1133)),G1133=0),"",I1133/G1133)</f>
        <v/>
      </c>
      <c r="K1133" s="319">
        <f>IF(OR(NOT(ISNUMBER(G1133)),NOT(ISNUMBER(H1133)),G1133=0),"",H1133/G1133)</f>
        <v/>
      </c>
      <c r="L1133">
        <f>IF(NOT(ISNUMBER(G1133)),"SEM META",IF(G1133=0,"SEM META",IF(NOT(ISNUMBER(H1133)),"SEM APONTAMENTO",IF(H1133&gt;=G1133,"VERDE",IF(H1133&gt;=G1133*0.9,"AMARELO","VERMELHO")))))</f>
        <v/>
      </c>
      <c r="M1133" s="162" t="n"/>
      <c r="N1133" s="162" t="n"/>
      <c r="O1133" s="162" t="n"/>
      <c r="P1133" s="162" t="n"/>
      <c r="Q1133" s="320" t="n"/>
      <c r="R1133" s="162" t="inlineStr">
        <is>
          <t>CONTROLE PRODUÇÃO POR EMPRESAS!E194</t>
        </is>
      </c>
    </row>
    <row r="1134" ht="28.5" customHeight="1">
      <c r="A1134" s="317" t="n">
        <v>46411</v>
      </c>
      <c r="B1134" t="inlineStr">
        <is>
          <t>GERAL</t>
        </is>
      </c>
      <c r="C1134" t="inlineStr">
        <is>
          <t>CMM</t>
        </is>
      </c>
      <c r="D1134" t="inlineStr">
        <is>
          <t>IÇAMENTO JOIST</t>
        </is>
      </c>
      <c r="F1134" s="159">
        <f>IFERROR(INDEX('BASE METAS DIÁRIAS'!$N$2:$S$358,MATCH($A1134,'BASE METAS DIÁRIAS'!$A$2:$A$358,0),MOD(ROW()-2,6)+1),"")</f>
        <v/>
      </c>
      <c r="G1134" s="159">
        <f>IFERROR(IF(WEEKDAY($A1134,2)&lt;=INDEX('BASE METAS DIÁRIAS'!$H$2:$M$358,MATCH($A1134,'BASE METAS DIÁRIAS'!$A$2:$A$358,0),MOD(ROW()-2,6)+1),INDEX('BASE METAS DIÁRIAS'!$B$2:$G$358,MATCH($A1134,'BASE METAS DIÁRIAS'!$A$2:$A$358,0),MOD(ROW()-2,6)+1),""),"")</f>
        <v/>
      </c>
      <c r="H1134" s="159">
        <f>IFERROR(IF(INDEX('CONTROLE PRODUÇÃO POR EMPRESAS'!$B$6:$G$5000,MATCH($A1134,'CONTROLE PRODUÇÃO POR EMPRESAS'!$A$6:$A$5000,0),MOD(ROW()-2,6)+1)="","",IFERROR(1*INDEX('CONTROLE PRODUÇÃO POR EMPRESAS'!$B$6:$G$5000,MATCH($A1134,'CONTROLE PRODUÇÃO POR EMPRESAS'!$A$6:$A$5000,0),MOD(ROW()-2,6)+1),"")),"")</f>
        <v/>
      </c>
      <c r="I1134" s="159">
        <f>IF(OR(NOT(ISNUMBER(G1134)),NOT(ISNUMBER(H1134))),"",H1134-G1134)</f>
        <v/>
      </c>
      <c r="J1134" s="319">
        <f>IF(OR(NOT(ISNUMBER(G1134)),NOT(ISNUMBER(H1134)),G1134=0),"",I1134/G1134)</f>
        <v/>
      </c>
      <c r="K1134" s="319">
        <f>IF(OR(NOT(ISNUMBER(G1134)),NOT(ISNUMBER(H1134)),G1134=0),"",H1134/G1134)</f>
        <v/>
      </c>
      <c r="L1134">
        <f>IF(NOT(ISNUMBER(G1134)),"SEM META",IF(G1134=0,"SEM META",IF(NOT(ISNUMBER(H1134)),"SEM APONTAMENTO",IF(H1134&gt;=G1134,"VERDE",IF(H1134&gt;=G1134*0.9,"AMARELO","VERMELHO")))))</f>
        <v/>
      </c>
      <c r="M1134" s="162" t="n"/>
      <c r="N1134" s="162" t="n"/>
      <c r="O1134" s="162" t="n"/>
      <c r="P1134" s="162" t="n"/>
      <c r="Q1134" s="320" t="n"/>
      <c r="R1134" s="162" t="inlineStr">
        <is>
          <t>CONTROLE PRODUÇÃO POR EMPRESAS!F194</t>
        </is>
      </c>
    </row>
    <row r="1135" ht="28.5" customHeight="1">
      <c r="A1135" s="317" t="n">
        <v>46411</v>
      </c>
      <c r="B1135" t="inlineStr">
        <is>
          <t>GERAL</t>
        </is>
      </c>
      <c r="C1135" t="inlineStr">
        <is>
          <t>CMM</t>
        </is>
      </c>
      <c r="D1135" t="inlineStr">
        <is>
          <t>VIGAS</t>
        </is>
      </c>
      <c r="F1135" s="159">
        <f>IFERROR(INDEX('BASE METAS DIÁRIAS'!$N$2:$S$358,MATCH($A1135,'BASE METAS DIÁRIAS'!$A$2:$A$358,0),MOD(ROW()-2,6)+1),"")</f>
        <v/>
      </c>
      <c r="G1135" s="159">
        <f>IFERROR(IF(WEEKDAY($A1135,2)&lt;=INDEX('BASE METAS DIÁRIAS'!$H$2:$M$358,MATCH($A1135,'BASE METAS DIÁRIAS'!$A$2:$A$358,0),MOD(ROW()-2,6)+1),INDEX('BASE METAS DIÁRIAS'!$B$2:$G$358,MATCH($A1135,'BASE METAS DIÁRIAS'!$A$2:$A$358,0),MOD(ROW()-2,6)+1),""),"")</f>
        <v/>
      </c>
      <c r="H1135" s="159">
        <f>IFERROR(IF(INDEX('CONTROLE PRODUÇÃO POR EMPRESAS'!$B$6:$G$5000,MATCH($A1135,'CONTROLE PRODUÇÃO POR EMPRESAS'!$A$6:$A$5000,0),MOD(ROW()-2,6)+1)="","",IFERROR(1*INDEX('CONTROLE PRODUÇÃO POR EMPRESAS'!$B$6:$G$5000,MATCH($A1135,'CONTROLE PRODUÇÃO POR EMPRESAS'!$A$6:$A$5000,0),MOD(ROW()-2,6)+1),"")),"")</f>
        <v/>
      </c>
      <c r="I1135" s="159">
        <f>IF(OR(NOT(ISNUMBER(G1135)),NOT(ISNUMBER(H1135))),"",H1135-G1135)</f>
        <v/>
      </c>
      <c r="J1135" s="319">
        <f>IF(OR(NOT(ISNUMBER(G1135)),NOT(ISNUMBER(H1135)),G1135=0),"",I1135/G1135)</f>
        <v/>
      </c>
      <c r="K1135" s="319">
        <f>IF(OR(NOT(ISNUMBER(G1135)),NOT(ISNUMBER(H1135)),G1135=0),"",H1135/G1135)</f>
        <v/>
      </c>
      <c r="L1135">
        <f>IF(NOT(ISNUMBER(G1135)),"SEM META",IF(G1135=0,"SEM META",IF(NOT(ISNUMBER(H1135)),"SEM APONTAMENTO",IF(H1135&gt;=G1135,"VERDE",IF(H1135&gt;=G1135*0.9,"AMARELO","VERMELHO")))))</f>
        <v/>
      </c>
      <c r="M1135" s="162" t="n"/>
      <c r="N1135" s="162" t="n"/>
      <c r="O1135" s="162" t="n"/>
      <c r="P1135" s="162" t="n"/>
      <c r="Q1135" s="320" t="n"/>
      <c r="R1135" s="162" t="inlineStr">
        <is>
          <t>CONTROLE PRODUÇÃO POR EMPRESAS!G194</t>
        </is>
      </c>
    </row>
    <row r="1136" ht="28.5" customHeight="1">
      <c r="A1136" s="317" t="n">
        <v>46412</v>
      </c>
      <c r="B1136" t="inlineStr">
        <is>
          <t>GERAL</t>
        </is>
      </c>
      <c r="C1136" t="inlineStr">
        <is>
          <t>EJ</t>
        </is>
      </c>
      <c r="D1136" t="inlineStr">
        <is>
          <t>PREMONTAGEM</t>
        </is>
      </c>
      <c r="F1136" s="159">
        <f>IFERROR(INDEX('BASE METAS DIÁRIAS'!$N$2:$S$358,MATCH($A1136,'BASE METAS DIÁRIAS'!$A$2:$A$358,0),MOD(ROW()-2,6)+1),"")</f>
        <v/>
      </c>
      <c r="G1136" s="159">
        <f>IFERROR(IF(WEEKDAY($A1136,2)&lt;=INDEX('BASE METAS DIÁRIAS'!$H$2:$M$358,MATCH($A1136,'BASE METAS DIÁRIAS'!$A$2:$A$358,0),MOD(ROW()-2,6)+1),INDEX('BASE METAS DIÁRIAS'!$B$2:$G$358,MATCH($A1136,'BASE METAS DIÁRIAS'!$A$2:$A$358,0),MOD(ROW()-2,6)+1),""),"")</f>
        <v/>
      </c>
      <c r="H1136" s="159">
        <f>IFERROR(IF(INDEX('CONTROLE PRODUÇÃO POR EMPRESAS'!$B$6:$G$5000,MATCH($A1136,'CONTROLE PRODUÇÃO POR EMPRESAS'!$A$6:$A$5000,0),MOD(ROW()-2,6)+1)="","",IFERROR(1*INDEX('CONTROLE PRODUÇÃO POR EMPRESAS'!$B$6:$G$5000,MATCH($A1136,'CONTROLE PRODUÇÃO POR EMPRESAS'!$A$6:$A$5000,0),MOD(ROW()-2,6)+1),"")),"")</f>
        <v/>
      </c>
      <c r="I1136" s="159">
        <f>IF(OR(NOT(ISNUMBER(G1136)),NOT(ISNUMBER(H1136))),"",H1136-G1136)</f>
        <v/>
      </c>
      <c r="J1136" s="319">
        <f>IF(OR(NOT(ISNUMBER(G1136)),NOT(ISNUMBER(H1136)),G1136=0),"",I1136/G1136)</f>
        <v/>
      </c>
      <c r="K1136" s="319">
        <f>IF(OR(NOT(ISNUMBER(G1136)),NOT(ISNUMBER(H1136)),G1136=0),"",H1136/G1136)</f>
        <v/>
      </c>
      <c r="L1136">
        <f>IF(NOT(ISNUMBER(G1136)),"SEM META",IF(G1136=0,"SEM META",IF(NOT(ISNUMBER(H1136)),"SEM APONTAMENTO",IF(H1136&gt;=G1136,"VERDE",IF(H1136&gt;=G1136*0.9,"AMARELO","VERMELHO")))))</f>
        <v/>
      </c>
      <c r="M1136" s="162" t="n"/>
      <c r="N1136" s="162" t="n"/>
      <c r="O1136" s="162" t="n"/>
      <c r="P1136" s="162" t="n"/>
      <c r="Q1136" s="320" t="n"/>
      <c r="R1136" s="162" t="inlineStr">
        <is>
          <t>CONTROLE PRODUÇÃO POR EMPRESAS!B195</t>
        </is>
      </c>
    </row>
    <row r="1137" ht="28.5" customHeight="1">
      <c r="A1137" s="317" t="n">
        <v>46412</v>
      </c>
      <c r="B1137" t="inlineStr">
        <is>
          <t>GERAL</t>
        </is>
      </c>
      <c r="C1137" t="inlineStr">
        <is>
          <t>EJ</t>
        </is>
      </c>
      <c r="D1137" t="inlineStr">
        <is>
          <t>IÇAMENTO JOIST</t>
        </is>
      </c>
      <c r="F1137" s="159">
        <f>IFERROR(INDEX('BASE METAS DIÁRIAS'!$N$2:$S$358,MATCH($A1137,'BASE METAS DIÁRIAS'!$A$2:$A$358,0),MOD(ROW()-2,6)+1),"")</f>
        <v/>
      </c>
      <c r="G1137" s="159">
        <f>IFERROR(IF(WEEKDAY($A1137,2)&lt;=INDEX('BASE METAS DIÁRIAS'!$H$2:$M$358,MATCH($A1137,'BASE METAS DIÁRIAS'!$A$2:$A$358,0),MOD(ROW()-2,6)+1),INDEX('BASE METAS DIÁRIAS'!$B$2:$G$358,MATCH($A1137,'BASE METAS DIÁRIAS'!$A$2:$A$358,0),MOD(ROW()-2,6)+1),""),"")</f>
        <v/>
      </c>
      <c r="H1137" s="159">
        <f>IFERROR(IF(INDEX('CONTROLE PRODUÇÃO POR EMPRESAS'!$B$6:$G$5000,MATCH($A1137,'CONTROLE PRODUÇÃO POR EMPRESAS'!$A$6:$A$5000,0),MOD(ROW()-2,6)+1)="","",IFERROR(1*INDEX('CONTROLE PRODUÇÃO POR EMPRESAS'!$B$6:$G$5000,MATCH($A1137,'CONTROLE PRODUÇÃO POR EMPRESAS'!$A$6:$A$5000,0),MOD(ROW()-2,6)+1),"")),"")</f>
        <v/>
      </c>
      <c r="I1137" s="159">
        <f>IF(OR(NOT(ISNUMBER(G1137)),NOT(ISNUMBER(H1137))),"",H1137-G1137)</f>
        <v/>
      </c>
      <c r="J1137" s="319">
        <f>IF(OR(NOT(ISNUMBER(G1137)),NOT(ISNUMBER(H1137)),G1137=0),"",I1137/G1137)</f>
        <v/>
      </c>
      <c r="K1137" s="319">
        <f>IF(OR(NOT(ISNUMBER(G1137)),NOT(ISNUMBER(H1137)),G1137=0),"",H1137/G1137)</f>
        <v/>
      </c>
      <c r="L1137">
        <f>IF(NOT(ISNUMBER(G1137)),"SEM META",IF(G1137=0,"SEM META",IF(NOT(ISNUMBER(H1137)),"SEM APONTAMENTO",IF(H1137&gt;=G1137,"VERDE",IF(H1137&gt;=G1137*0.9,"AMARELO","VERMELHO")))))</f>
        <v/>
      </c>
      <c r="M1137" s="162" t="n"/>
      <c r="N1137" s="162" t="n"/>
      <c r="O1137" s="162" t="n"/>
      <c r="P1137" s="162" t="n"/>
      <c r="Q1137" s="320" t="n"/>
      <c r="R1137" s="162" t="inlineStr">
        <is>
          <t>CONTROLE PRODUÇÃO POR EMPRESAS!C195</t>
        </is>
      </c>
    </row>
    <row r="1138" ht="28.5" customHeight="1">
      <c r="A1138" s="317" t="n">
        <v>46412</v>
      </c>
      <c r="B1138" t="inlineStr">
        <is>
          <t>GERAL</t>
        </is>
      </c>
      <c r="C1138" t="inlineStr">
        <is>
          <t>EJ</t>
        </is>
      </c>
      <c r="D1138" t="inlineStr">
        <is>
          <t>VIGAS</t>
        </is>
      </c>
      <c r="F1138" s="159">
        <f>IFERROR(INDEX('BASE METAS DIÁRIAS'!$N$2:$S$358,MATCH($A1138,'BASE METAS DIÁRIAS'!$A$2:$A$358,0),MOD(ROW()-2,6)+1),"")</f>
        <v/>
      </c>
      <c r="G1138" s="159">
        <f>IFERROR(IF(WEEKDAY($A1138,2)&lt;=INDEX('BASE METAS DIÁRIAS'!$H$2:$M$358,MATCH($A1138,'BASE METAS DIÁRIAS'!$A$2:$A$358,0),MOD(ROW()-2,6)+1),INDEX('BASE METAS DIÁRIAS'!$B$2:$G$358,MATCH($A1138,'BASE METAS DIÁRIAS'!$A$2:$A$358,0),MOD(ROW()-2,6)+1),""),"")</f>
        <v/>
      </c>
      <c r="H1138" s="159">
        <f>IFERROR(IF(INDEX('CONTROLE PRODUÇÃO POR EMPRESAS'!$B$6:$G$5000,MATCH($A1138,'CONTROLE PRODUÇÃO POR EMPRESAS'!$A$6:$A$5000,0),MOD(ROW()-2,6)+1)="","",IFERROR(1*INDEX('CONTROLE PRODUÇÃO POR EMPRESAS'!$B$6:$G$5000,MATCH($A1138,'CONTROLE PRODUÇÃO POR EMPRESAS'!$A$6:$A$5000,0),MOD(ROW()-2,6)+1),"")),"")</f>
        <v/>
      </c>
      <c r="I1138" s="159">
        <f>IF(OR(NOT(ISNUMBER(G1138)),NOT(ISNUMBER(H1138))),"",H1138-G1138)</f>
        <v/>
      </c>
      <c r="J1138" s="319">
        <f>IF(OR(NOT(ISNUMBER(G1138)),NOT(ISNUMBER(H1138)),G1138=0),"",I1138/G1138)</f>
        <v/>
      </c>
      <c r="K1138" s="319">
        <f>IF(OR(NOT(ISNUMBER(G1138)),NOT(ISNUMBER(H1138)),G1138=0),"",H1138/G1138)</f>
        <v/>
      </c>
      <c r="L1138">
        <f>IF(NOT(ISNUMBER(G1138)),"SEM META",IF(G1138=0,"SEM META",IF(NOT(ISNUMBER(H1138)),"SEM APONTAMENTO",IF(H1138&gt;=G1138,"VERDE",IF(H1138&gt;=G1138*0.9,"AMARELO","VERMELHO")))))</f>
        <v/>
      </c>
      <c r="M1138" s="162" t="n"/>
      <c r="N1138" s="162" t="n"/>
      <c r="O1138" s="162" t="n"/>
      <c r="P1138" s="162" t="n"/>
      <c r="Q1138" s="320" t="n"/>
      <c r="R1138" s="162" t="inlineStr">
        <is>
          <t>CONTROLE PRODUÇÃO POR EMPRESAS!D195</t>
        </is>
      </c>
    </row>
    <row r="1139" ht="28.5" customHeight="1">
      <c r="A1139" s="317" t="n">
        <v>46412</v>
      </c>
      <c r="B1139" t="inlineStr">
        <is>
          <t>GERAL</t>
        </is>
      </c>
      <c r="C1139" t="inlineStr">
        <is>
          <t>CMM</t>
        </is>
      </c>
      <c r="D1139" t="inlineStr">
        <is>
          <t>PREMONTAGEM</t>
        </is>
      </c>
      <c r="F1139" s="159">
        <f>IFERROR(INDEX('BASE METAS DIÁRIAS'!$N$2:$S$358,MATCH($A1139,'BASE METAS DIÁRIAS'!$A$2:$A$358,0),MOD(ROW()-2,6)+1),"")</f>
        <v/>
      </c>
      <c r="G1139" s="159">
        <f>IFERROR(IF(WEEKDAY($A1139,2)&lt;=INDEX('BASE METAS DIÁRIAS'!$H$2:$M$358,MATCH($A1139,'BASE METAS DIÁRIAS'!$A$2:$A$358,0),MOD(ROW()-2,6)+1),INDEX('BASE METAS DIÁRIAS'!$B$2:$G$358,MATCH($A1139,'BASE METAS DIÁRIAS'!$A$2:$A$358,0),MOD(ROW()-2,6)+1),""),"")</f>
        <v/>
      </c>
      <c r="H1139" s="159">
        <f>IFERROR(IF(INDEX('CONTROLE PRODUÇÃO POR EMPRESAS'!$B$6:$G$5000,MATCH($A1139,'CONTROLE PRODUÇÃO POR EMPRESAS'!$A$6:$A$5000,0),MOD(ROW()-2,6)+1)="","",IFERROR(1*INDEX('CONTROLE PRODUÇÃO POR EMPRESAS'!$B$6:$G$5000,MATCH($A1139,'CONTROLE PRODUÇÃO POR EMPRESAS'!$A$6:$A$5000,0),MOD(ROW()-2,6)+1),"")),"")</f>
        <v/>
      </c>
      <c r="I1139" s="159">
        <f>IF(OR(NOT(ISNUMBER(G1139)),NOT(ISNUMBER(H1139))),"",H1139-G1139)</f>
        <v/>
      </c>
      <c r="J1139" s="319">
        <f>IF(OR(NOT(ISNUMBER(G1139)),NOT(ISNUMBER(H1139)),G1139=0),"",I1139/G1139)</f>
        <v/>
      </c>
      <c r="K1139" s="319">
        <f>IF(OR(NOT(ISNUMBER(G1139)),NOT(ISNUMBER(H1139)),G1139=0),"",H1139/G1139)</f>
        <v/>
      </c>
      <c r="L1139">
        <f>IF(NOT(ISNUMBER(G1139)),"SEM META",IF(G1139=0,"SEM META",IF(NOT(ISNUMBER(H1139)),"SEM APONTAMENTO",IF(H1139&gt;=G1139,"VERDE",IF(H1139&gt;=G1139*0.9,"AMARELO","VERMELHO")))))</f>
        <v/>
      </c>
      <c r="M1139" s="162" t="n"/>
      <c r="N1139" s="162" t="n"/>
      <c r="O1139" s="162" t="n"/>
      <c r="P1139" s="162" t="n"/>
      <c r="Q1139" s="320" t="n"/>
      <c r="R1139" s="162" t="inlineStr">
        <is>
          <t>CONTROLE PRODUÇÃO POR EMPRESAS!E195</t>
        </is>
      </c>
    </row>
    <row r="1140" ht="28.5" customHeight="1">
      <c r="A1140" s="317" t="n">
        <v>46412</v>
      </c>
      <c r="B1140" t="inlineStr">
        <is>
          <t>GERAL</t>
        </is>
      </c>
      <c r="C1140" t="inlineStr">
        <is>
          <t>CMM</t>
        </is>
      </c>
      <c r="D1140" t="inlineStr">
        <is>
          <t>IÇAMENTO JOIST</t>
        </is>
      </c>
      <c r="F1140" s="159">
        <f>IFERROR(INDEX('BASE METAS DIÁRIAS'!$N$2:$S$358,MATCH($A1140,'BASE METAS DIÁRIAS'!$A$2:$A$358,0),MOD(ROW()-2,6)+1),"")</f>
        <v/>
      </c>
      <c r="G1140" s="159">
        <f>IFERROR(IF(WEEKDAY($A1140,2)&lt;=INDEX('BASE METAS DIÁRIAS'!$H$2:$M$358,MATCH($A1140,'BASE METAS DIÁRIAS'!$A$2:$A$358,0),MOD(ROW()-2,6)+1),INDEX('BASE METAS DIÁRIAS'!$B$2:$G$358,MATCH($A1140,'BASE METAS DIÁRIAS'!$A$2:$A$358,0),MOD(ROW()-2,6)+1),""),"")</f>
        <v/>
      </c>
      <c r="H1140" s="159">
        <f>IFERROR(IF(INDEX('CONTROLE PRODUÇÃO POR EMPRESAS'!$B$6:$G$5000,MATCH($A1140,'CONTROLE PRODUÇÃO POR EMPRESAS'!$A$6:$A$5000,0),MOD(ROW()-2,6)+1)="","",IFERROR(1*INDEX('CONTROLE PRODUÇÃO POR EMPRESAS'!$B$6:$G$5000,MATCH($A1140,'CONTROLE PRODUÇÃO POR EMPRESAS'!$A$6:$A$5000,0),MOD(ROW()-2,6)+1),"")),"")</f>
        <v/>
      </c>
      <c r="I1140" s="159">
        <f>IF(OR(NOT(ISNUMBER(G1140)),NOT(ISNUMBER(H1140))),"",H1140-G1140)</f>
        <v/>
      </c>
      <c r="J1140" s="319">
        <f>IF(OR(NOT(ISNUMBER(G1140)),NOT(ISNUMBER(H1140)),G1140=0),"",I1140/G1140)</f>
        <v/>
      </c>
      <c r="K1140" s="319">
        <f>IF(OR(NOT(ISNUMBER(G1140)),NOT(ISNUMBER(H1140)),G1140=0),"",H1140/G1140)</f>
        <v/>
      </c>
      <c r="L1140">
        <f>IF(NOT(ISNUMBER(G1140)),"SEM META",IF(G1140=0,"SEM META",IF(NOT(ISNUMBER(H1140)),"SEM APONTAMENTO",IF(H1140&gt;=G1140,"VERDE",IF(H1140&gt;=G1140*0.9,"AMARELO","VERMELHO")))))</f>
        <v/>
      </c>
      <c r="M1140" s="162" t="n"/>
      <c r="N1140" s="162" t="n"/>
      <c r="O1140" s="162" t="n"/>
      <c r="P1140" s="162" t="n"/>
      <c r="Q1140" s="320" t="n"/>
      <c r="R1140" s="162" t="inlineStr">
        <is>
          <t>CONTROLE PRODUÇÃO POR EMPRESAS!F195</t>
        </is>
      </c>
    </row>
    <row r="1141" ht="28.5" customHeight="1">
      <c r="A1141" s="317" t="n">
        <v>46412</v>
      </c>
      <c r="B1141" t="inlineStr">
        <is>
          <t>GERAL</t>
        </is>
      </c>
      <c r="C1141" t="inlineStr">
        <is>
          <t>CMM</t>
        </is>
      </c>
      <c r="D1141" t="inlineStr">
        <is>
          <t>VIGAS</t>
        </is>
      </c>
      <c r="F1141" s="159">
        <f>IFERROR(INDEX('BASE METAS DIÁRIAS'!$N$2:$S$358,MATCH($A1141,'BASE METAS DIÁRIAS'!$A$2:$A$358,0),MOD(ROW()-2,6)+1),"")</f>
        <v/>
      </c>
      <c r="G1141" s="159">
        <f>IFERROR(IF(WEEKDAY($A1141,2)&lt;=INDEX('BASE METAS DIÁRIAS'!$H$2:$M$358,MATCH($A1141,'BASE METAS DIÁRIAS'!$A$2:$A$358,0),MOD(ROW()-2,6)+1),INDEX('BASE METAS DIÁRIAS'!$B$2:$G$358,MATCH($A1141,'BASE METAS DIÁRIAS'!$A$2:$A$358,0),MOD(ROW()-2,6)+1),""),"")</f>
        <v/>
      </c>
      <c r="H1141" s="159">
        <f>IFERROR(IF(INDEX('CONTROLE PRODUÇÃO POR EMPRESAS'!$B$6:$G$5000,MATCH($A1141,'CONTROLE PRODUÇÃO POR EMPRESAS'!$A$6:$A$5000,0),MOD(ROW()-2,6)+1)="","",IFERROR(1*INDEX('CONTROLE PRODUÇÃO POR EMPRESAS'!$B$6:$G$5000,MATCH($A1141,'CONTROLE PRODUÇÃO POR EMPRESAS'!$A$6:$A$5000,0),MOD(ROW()-2,6)+1),"")),"")</f>
        <v/>
      </c>
      <c r="I1141" s="159">
        <f>IF(OR(NOT(ISNUMBER(G1141)),NOT(ISNUMBER(H1141))),"",H1141-G1141)</f>
        <v/>
      </c>
      <c r="J1141" s="319">
        <f>IF(OR(NOT(ISNUMBER(G1141)),NOT(ISNUMBER(H1141)),G1141=0),"",I1141/G1141)</f>
        <v/>
      </c>
      <c r="K1141" s="319">
        <f>IF(OR(NOT(ISNUMBER(G1141)),NOT(ISNUMBER(H1141)),G1141=0),"",H1141/G1141)</f>
        <v/>
      </c>
      <c r="L1141">
        <f>IF(NOT(ISNUMBER(G1141)),"SEM META",IF(G1141=0,"SEM META",IF(NOT(ISNUMBER(H1141)),"SEM APONTAMENTO",IF(H1141&gt;=G1141,"VERDE",IF(H1141&gt;=G1141*0.9,"AMARELO","VERMELHO")))))</f>
        <v/>
      </c>
      <c r="M1141" s="162" t="n"/>
      <c r="N1141" s="162" t="n"/>
      <c r="O1141" s="162" t="n"/>
      <c r="P1141" s="162" t="n"/>
      <c r="Q1141" s="320" t="n"/>
      <c r="R1141" s="162" t="inlineStr">
        <is>
          <t>CONTROLE PRODUÇÃO POR EMPRESAS!G195</t>
        </is>
      </c>
    </row>
    <row r="1142" ht="28.5" customHeight="1">
      <c r="A1142" s="317" t="n">
        <v>46413</v>
      </c>
      <c r="B1142" t="inlineStr">
        <is>
          <t>GERAL</t>
        </is>
      </c>
      <c r="C1142" t="inlineStr">
        <is>
          <t>EJ</t>
        </is>
      </c>
      <c r="D1142" t="inlineStr">
        <is>
          <t>PREMONTAGEM</t>
        </is>
      </c>
      <c r="F1142" s="159">
        <f>IFERROR(INDEX('BASE METAS DIÁRIAS'!$N$2:$S$358,MATCH($A1142,'BASE METAS DIÁRIAS'!$A$2:$A$358,0),MOD(ROW()-2,6)+1),"")</f>
        <v/>
      </c>
      <c r="G1142" s="159">
        <f>IFERROR(IF(WEEKDAY($A1142,2)&lt;=INDEX('BASE METAS DIÁRIAS'!$H$2:$M$358,MATCH($A1142,'BASE METAS DIÁRIAS'!$A$2:$A$358,0),MOD(ROW()-2,6)+1),INDEX('BASE METAS DIÁRIAS'!$B$2:$G$358,MATCH($A1142,'BASE METAS DIÁRIAS'!$A$2:$A$358,0),MOD(ROW()-2,6)+1),""),"")</f>
        <v/>
      </c>
      <c r="H1142" s="159">
        <f>IFERROR(IF(INDEX('CONTROLE PRODUÇÃO POR EMPRESAS'!$B$6:$G$5000,MATCH($A1142,'CONTROLE PRODUÇÃO POR EMPRESAS'!$A$6:$A$5000,0),MOD(ROW()-2,6)+1)="","",IFERROR(1*INDEX('CONTROLE PRODUÇÃO POR EMPRESAS'!$B$6:$G$5000,MATCH($A1142,'CONTROLE PRODUÇÃO POR EMPRESAS'!$A$6:$A$5000,0),MOD(ROW()-2,6)+1),"")),"")</f>
        <v/>
      </c>
      <c r="I1142" s="159">
        <f>IF(OR(NOT(ISNUMBER(G1142)),NOT(ISNUMBER(H1142))),"",H1142-G1142)</f>
        <v/>
      </c>
      <c r="J1142" s="319">
        <f>IF(OR(NOT(ISNUMBER(G1142)),NOT(ISNUMBER(H1142)),G1142=0),"",I1142/G1142)</f>
        <v/>
      </c>
      <c r="K1142" s="319">
        <f>IF(OR(NOT(ISNUMBER(G1142)),NOT(ISNUMBER(H1142)),G1142=0),"",H1142/G1142)</f>
        <v/>
      </c>
      <c r="L1142">
        <f>IF(NOT(ISNUMBER(G1142)),"SEM META",IF(G1142=0,"SEM META",IF(NOT(ISNUMBER(H1142)),"SEM APONTAMENTO",IF(H1142&gt;=G1142,"VERDE",IF(H1142&gt;=G1142*0.9,"AMARELO","VERMELHO")))))</f>
        <v/>
      </c>
      <c r="M1142" s="162" t="n"/>
      <c r="N1142" s="162" t="n"/>
      <c r="O1142" s="162" t="n"/>
      <c r="P1142" s="162" t="n"/>
      <c r="Q1142" s="320" t="n"/>
      <c r="R1142" s="162" t="inlineStr">
        <is>
          <t>CONTROLE PRODUÇÃO POR EMPRESAS!B196</t>
        </is>
      </c>
    </row>
    <row r="1143" ht="28.5" customHeight="1">
      <c r="A1143" s="317" t="n">
        <v>46413</v>
      </c>
      <c r="B1143" t="inlineStr">
        <is>
          <t>GERAL</t>
        </is>
      </c>
      <c r="C1143" t="inlineStr">
        <is>
          <t>EJ</t>
        </is>
      </c>
      <c r="D1143" t="inlineStr">
        <is>
          <t>IÇAMENTO JOIST</t>
        </is>
      </c>
      <c r="F1143" s="159">
        <f>IFERROR(INDEX('BASE METAS DIÁRIAS'!$N$2:$S$358,MATCH($A1143,'BASE METAS DIÁRIAS'!$A$2:$A$358,0),MOD(ROW()-2,6)+1),"")</f>
        <v/>
      </c>
      <c r="G1143" s="159">
        <f>IFERROR(IF(WEEKDAY($A1143,2)&lt;=INDEX('BASE METAS DIÁRIAS'!$H$2:$M$358,MATCH($A1143,'BASE METAS DIÁRIAS'!$A$2:$A$358,0),MOD(ROW()-2,6)+1),INDEX('BASE METAS DIÁRIAS'!$B$2:$G$358,MATCH($A1143,'BASE METAS DIÁRIAS'!$A$2:$A$358,0),MOD(ROW()-2,6)+1),""),"")</f>
        <v/>
      </c>
      <c r="H1143" s="159">
        <f>IFERROR(IF(INDEX('CONTROLE PRODUÇÃO POR EMPRESAS'!$B$6:$G$5000,MATCH($A1143,'CONTROLE PRODUÇÃO POR EMPRESAS'!$A$6:$A$5000,0),MOD(ROW()-2,6)+1)="","",IFERROR(1*INDEX('CONTROLE PRODUÇÃO POR EMPRESAS'!$B$6:$G$5000,MATCH($A1143,'CONTROLE PRODUÇÃO POR EMPRESAS'!$A$6:$A$5000,0),MOD(ROW()-2,6)+1),"")),"")</f>
        <v/>
      </c>
      <c r="I1143" s="159">
        <f>IF(OR(NOT(ISNUMBER(G1143)),NOT(ISNUMBER(H1143))),"",H1143-G1143)</f>
        <v/>
      </c>
      <c r="J1143" s="319">
        <f>IF(OR(NOT(ISNUMBER(G1143)),NOT(ISNUMBER(H1143)),G1143=0),"",I1143/G1143)</f>
        <v/>
      </c>
      <c r="K1143" s="319">
        <f>IF(OR(NOT(ISNUMBER(G1143)),NOT(ISNUMBER(H1143)),G1143=0),"",H1143/G1143)</f>
        <v/>
      </c>
      <c r="L1143">
        <f>IF(NOT(ISNUMBER(G1143)),"SEM META",IF(G1143=0,"SEM META",IF(NOT(ISNUMBER(H1143)),"SEM APONTAMENTO",IF(H1143&gt;=G1143,"VERDE",IF(H1143&gt;=G1143*0.9,"AMARELO","VERMELHO")))))</f>
        <v/>
      </c>
      <c r="M1143" s="162" t="n"/>
      <c r="N1143" s="162" t="n"/>
      <c r="O1143" s="162" t="n"/>
      <c r="P1143" s="162" t="n"/>
      <c r="Q1143" s="320" t="n"/>
      <c r="R1143" s="162" t="inlineStr">
        <is>
          <t>CONTROLE PRODUÇÃO POR EMPRESAS!C196</t>
        </is>
      </c>
    </row>
    <row r="1144" ht="28.5" customHeight="1">
      <c r="A1144" s="317" t="n">
        <v>46413</v>
      </c>
      <c r="B1144" t="inlineStr">
        <is>
          <t>GERAL</t>
        </is>
      </c>
      <c r="C1144" t="inlineStr">
        <is>
          <t>EJ</t>
        </is>
      </c>
      <c r="D1144" t="inlineStr">
        <is>
          <t>VIGAS</t>
        </is>
      </c>
      <c r="F1144" s="159">
        <f>IFERROR(INDEX('BASE METAS DIÁRIAS'!$N$2:$S$358,MATCH($A1144,'BASE METAS DIÁRIAS'!$A$2:$A$358,0),MOD(ROW()-2,6)+1),"")</f>
        <v/>
      </c>
      <c r="G1144" s="159">
        <f>IFERROR(IF(WEEKDAY($A1144,2)&lt;=INDEX('BASE METAS DIÁRIAS'!$H$2:$M$358,MATCH($A1144,'BASE METAS DIÁRIAS'!$A$2:$A$358,0),MOD(ROW()-2,6)+1),INDEX('BASE METAS DIÁRIAS'!$B$2:$G$358,MATCH($A1144,'BASE METAS DIÁRIAS'!$A$2:$A$358,0),MOD(ROW()-2,6)+1),""),"")</f>
        <v/>
      </c>
      <c r="H1144" s="159">
        <f>IFERROR(IF(INDEX('CONTROLE PRODUÇÃO POR EMPRESAS'!$B$6:$G$5000,MATCH($A1144,'CONTROLE PRODUÇÃO POR EMPRESAS'!$A$6:$A$5000,0),MOD(ROW()-2,6)+1)="","",IFERROR(1*INDEX('CONTROLE PRODUÇÃO POR EMPRESAS'!$B$6:$G$5000,MATCH($A1144,'CONTROLE PRODUÇÃO POR EMPRESAS'!$A$6:$A$5000,0),MOD(ROW()-2,6)+1),"")),"")</f>
        <v/>
      </c>
      <c r="I1144" s="159">
        <f>IF(OR(NOT(ISNUMBER(G1144)),NOT(ISNUMBER(H1144))),"",H1144-G1144)</f>
        <v/>
      </c>
      <c r="J1144" s="319">
        <f>IF(OR(NOT(ISNUMBER(G1144)),NOT(ISNUMBER(H1144)),G1144=0),"",I1144/G1144)</f>
        <v/>
      </c>
      <c r="K1144" s="319">
        <f>IF(OR(NOT(ISNUMBER(G1144)),NOT(ISNUMBER(H1144)),G1144=0),"",H1144/G1144)</f>
        <v/>
      </c>
      <c r="L1144">
        <f>IF(NOT(ISNUMBER(G1144)),"SEM META",IF(G1144=0,"SEM META",IF(NOT(ISNUMBER(H1144)),"SEM APONTAMENTO",IF(H1144&gt;=G1144,"VERDE",IF(H1144&gt;=G1144*0.9,"AMARELO","VERMELHO")))))</f>
        <v/>
      </c>
      <c r="M1144" s="162" t="n"/>
      <c r="N1144" s="162" t="n"/>
      <c r="O1144" s="162" t="n"/>
      <c r="P1144" s="162" t="n"/>
      <c r="Q1144" s="320" t="n"/>
      <c r="R1144" s="162" t="inlineStr">
        <is>
          <t>CONTROLE PRODUÇÃO POR EMPRESAS!D196</t>
        </is>
      </c>
    </row>
    <row r="1145" ht="28.5" customHeight="1">
      <c r="A1145" s="317" t="n">
        <v>46413</v>
      </c>
      <c r="B1145" t="inlineStr">
        <is>
          <t>GERAL</t>
        </is>
      </c>
      <c r="C1145" t="inlineStr">
        <is>
          <t>CMM</t>
        </is>
      </c>
      <c r="D1145" t="inlineStr">
        <is>
          <t>PREMONTAGEM</t>
        </is>
      </c>
      <c r="F1145" s="159">
        <f>IFERROR(INDEX('BASE METAS DIÁRIAS'!$N$2:$S$358,MATCH($A1145,'BASE METAS DIÁRIAS'!$A$2:$A$358,0),MOD(ROW()-2,6)+1),"")</f>
        <v/>
      </c>
      <c r="G1145" s="159">
        <f>IFERROR(IF(WEEKDAY($A1145,2)&lt;=INDEX('BASE METAS DIÁRIAS'!$H$2:$M$358,MATCH($A1145,'BASE METAS DIÁRIAS'!$A$2:$A$358,0),MOD(ROW()-2,6)+1),INDEX('BASE METAS DIÁRIAS'!$B$2:$G$358,MATCH($A1145,'BASE METAS DIÁRIAS'!$A$2:$A$358,0),MOD(ROW()-2,6)+1),""),"")</f>
        <v/>
      </c>
      <c r="H1145" s="159">
        <f>IFERROR(IF(INDEX('CONTROLE PRODUÇÃO POR EMPRESAS'!$B$6:$G$5000,MATCH($A1145,'CONTROLE PRODUÇÃO POR EMPRESAS'!$A$6:$A$5000,0),MOD(ROW()-2,6)+1)="","",IFERROR(1*INDEX('CONTROLE PRODUÇÃO POR EMPRESAS'!$B$6:$G$5000,MATCH($A1145,'CONTROLE PRODUÇÃO POR EMPRESAS'!$A$6:$A$5000,0),MOD(ROW()-2,6)+1),"")),"")</f>
        <v/>
      </c>
      <c r="I1145" s="159">
        <f>IF(OR(NOT(ISNUMBER(G1145)),NOT(ISNUMBER(H1145))),"",H1145-G1145)</f>
        <v/>
      </c>
      <c r="J1145" s="319">
        <f>IF(OR(NOT(ISNUMBER(G1145)),NOT(ISNUMBER(H1145)),G1145=0),"",I1145/G1145)</f>
        <v/>
      </c>
      <c r="K1145" s="319">
        <f>IF(OR(NOT(ISNUMBER(G1145)),NOT(ISNUMBER(H1145)),G1145=0),"",H1145/G1145)</f>
        <v/>
      </c>
      <c r="L1145">
        <f>IF(NOT(ISNUMBER(G1145)),"SEM META",IF(G1145=0,"SEM META",IF(NOT(ISNUMBER(H1145)),"SEM APONTAMENTO",IF(H1145&gt;=G1145,"VERDE",IF(H1145&gt;=G1145*0.9,"AMARELO","VERMELHO")))))</f>
        <v/>
      </c>
      <c r="M1145" s="162" t="n"/>
      <c r="N1145" s="162" t="n"/>
      <c r="O1145" s="162" t="n"/>
      <c r="P1145" s="162" t="n"/>
      <c r="Q1145" s="320" t="n"/>
      <c r="R1145" s="162" t="inlineStr">
        <is>
          <t>CONTROLE PRODUÇÃO POR EMPRESAS!E196</t>
        </is>
      </c>
    </row>
    <row r="1146" ht="28.5" customHeight="1">
      <c r="A1146" s="317" t="n">
        <v>46413</v>
      </c>
      <c r="B1146" t="inlineStr">
        <is>
          <t>GERAL</t>
        </is>
      </c>
      <c r="C1146" t="inlineStr">
        <is>
          <t>CMM</t>
        </is>
      </c>
      <c r="D1146" t="inlineStr">
        <is>
          <t>IÇAMENTO JOIST</t>
        </is>
      </c>
      <c r="F1146" s="159">
        <f>IFERROR(INDEX('BASE METAS DIÁRIAS'!$N$2:$S$358,MATCH($A1146,'BASE METAS DIÁRIAS'!$A$2:$A$358,0),MOD(ROW()-2,6)+1),"")</f>
        <v/>
      </c>
      <c r="G1146" s="159">
        <f>IFERROR(IF(WEEKDAY($A1146,2)&lt;=INDEX('BASE METAS DIÁRIAS'!$H$2:$M$358,MATCH($A1146,'BASE METAS DIÁRIAS'!$A$2:$A$358,0),MOD(ROW()-2,6)+1),INDEX('BASE METAS DIÁRIAS'!$B$2:$G$358,MATCH($A1146,'BASE METAS DIÁRIAS'!$A$2:$A$358,0),MOD(ROW()-2,6)+1),""),"")</f>
        <v/>
      </c>
      <c r="H1146" s="159">
        <f>IFERROR(IF(INDEX('CONTROLE PRODUÇÃO POR EMPRESAS'!$B$6:$G$5000,MATCH($A1146,'CONTROLE PRODUÇÃO POR EMPRESAS'!$A$6:$A$5000,0),MOD(ROW()-2,6)+1)="","",IFERROR(1*INDEX('CONTROLE PRODUÇÃO POR EMPRESAS'!$B$6:$G$5000,MATCH($A1146,'CONTROLE PRODUÇÃO POR EMPRESAS'!$A$6:$A$5000,0),MOD(ROW()-2,6)+1),"")),"")</f>
        <v/>
      </c>
      <c r="I1146" s="159">
        <f>IF(OR(NOT(ISNUMBER(G1146)),NOT(ISNUMBER(H1146))),"",H1146-G1146)</f>
        <v/>
      </c>
      <c r="J1146" s="319">
        <f>IF(OR(NOT(ISNUMBER(G1146)),NOT(ISNUMBER(H1146)),G1146=0),"",I1146/G1146)</f>
        <v/>
      </c>
      <c r="K1146" s="319">
        <f>IF(OR(NOT(ISNUMBER(G1146)),NOT(ISNUMBER(H1146)),G1146=0),"",H1146/G1146)</f>
        <v/>
      </c>
      <c r="L1146">
        <f>IF(NOT(ISNUMBER(G1146)),"SEM META",IF(G1146=0,"SEM META",IF(NOT(ISNUMBER(H1146)),"SEM APONTAMENTO",IF(H1146&gt;=G1146,"VERDE",IF(H1146&gt;=G1146*0.9,"AMARELO","VERMELHO")))))</f>
        <v/>
      </c>
      <c r="M1146" s="162" t="n"/>
      <c r="N1146" s="162" t="n"/>
      <c r="O1146" s="162" t="n"/>
      <c r="P1146" s="162" t="n"/>
      <c r="Q1146" s="320" t="n"/>
      <c r="R1146" s="162" t="inlineStr">
        <is>
          <t>CONTROLE PRODUÇÃO POR EMPRESAS!F196</t>
        </is>
      </c>
    </row>
    <row r="1147" ht="28.5" customHeight="1">
      <c r="A1147" s="317" t="n">
        <v>46413</v>
      </c>
      <c r="B1147" t="inlineStr">
        <is>
          <t>GERAL</t>
        </is>
      </c>
      <c r="C1147" t="inlineStr">
        <is>
          <t>CMM</t>
        </is>
      </c>
      <c r="D1147" t="inlineStr">
        <is>
          <t>VIGAS</t>
        </is>
      </c>
      <c r="F1147" s="159">
        <f>IFERROR(INDEX('BASE METAS DIÁRIAS'!$N$2:$S$358,MATCH($A1147,'BASE METAS DIÁRIAS'!$A$2:$A$358,0),MOD(ROW()-2,6)+1),"")</f>
        <v/>
      </c>
      <c r="G1147" s="159">
        <f>IFERROR(IF(WEEKDAY($A1147,2)&lt;=INDEX('BASE METAS DIÁRIAS'!$H$2:$M$358,MATCH($A1147,'BASE METAS DIÁRIAS'!$A$2:$A$358,0),MOD(ROW()-2,6)+1),INDEX('BASE METAS DIÁRIAS'!$B$2:$G$358,MATCH($A1147,'BASE METAS DIÁRIAS'!$A$2:$A$358,0),MOD(ROW()-2,6)+1),""),"")</f>
        <v/>
      </c>
      <c r="H1147" s="159">
        <f>IFERROR(IF(INDEX('CONTROLE PRODUÇÃO POR EMPRESAS'!$B$6:$G$5000,MATCH($A1147,'CONTROLE PRODUÇÃO POR EMPRESAS'!$A$6:$A$5000,0),MOD(ROW()-2,6)+1)="","",IFERROR(1*INDEX('CONTROLE PRODUÇÃO POR EMPRESAS'!$B$6:$G$5000,MATCH($A1147,'CONTROLE PRODUÇÃO POR EMPRESAS'!$A$6:$A$5000,0),MOD(ROW()-2,6)+1),"")),"")</f>
        <v/>
      </c>
      <c r="I1147" s="159">
        <f>IF(OR(NOT(ISNUMBER(G1147)),NOT(ISNUMBER(H1147))),"",H1147-G1147)</f>
        <v/>
      </c>
      <c r="J1147" s="319">
        <f>IF(OR(NOT(ISNUMBER(G1147)),NOT(ISNUMBER(H1147)),G1147=0),"",I1147/G1147)</f>
        <v/>
      </c>
      <c r="K1147" s="319">
        <f>IF(OR(NOT(ISNUMBER(G1147)),NOT(ISNUMBER(H1147)),G1147=0),"",H1147/G1147)</f>
        <v/>
      </c>
      <c r="L1147">
        <f>IF(NOT(ISNUMBER(G1147)),"SEM META",IF(G1147=0,"SEM META",IF(NOT(ISNUMBER(H1147)),"SEM APONTAMENTO",IF(H1147&gt;=G1147,"VERDE",IF(H1147&gt;=G1147*0.9,"AMARELO","VERMELHO")))))</f>
        <v/>
      </c>
      <c r="M1147" s="162" t="n"/>
      <c r="N1147" s="162" t="n"/>
      <c r="O1147" s="162" t="n"/>
      <c r="P1147" s="162" t="n"/>
      <c r="Q1147" s="320" t="n"/>
      <c r="R1147" s="162" t="inlineStr">
        <is>
          <t>CONTROLE PRODUÇÃO POR EMPRESAS!G196</t>
        </is>
      </c>
    </row>
    <row r="1148" ht="28.5" customHeight="1">
      <c r="A1148" s="317" t="n">
        <v>46414</v>
      </c>
      <c r="B1148" t="inlineStr">
        <is>
          <t>GERAL</t>
        </is>
      </c>
      <c r="C1148" t="inlineStr">
        <is>
          <t>EJ</t>
        </is>
      </c>
      <c r="D1148" t="inlineStr">
        <is>
          <t>PREMONTAGEM</t>
        </is>
      </c>
      <c r="F1148" s="159">
        <f>IFERROR(INDEX('BASE METAS DIÁRIAS'!$N$2:$S$358,MATCH($A1148,'BASE METAS DIÁRIAS'!$A$2:$A$358,0),MOD(ROW()-2,6)+1),"")</f>
        <v/>
      </c>
      <c r="G1148" s="159">
        <f>IFERROR(IF(WEEKDAY($A1148,2)&lt;=INDEX('BASE METAS DIÁRIAS'!$H$2:$M$358,MATCH($A1148,'BASE METAS DIÁRIAS'!$A$2:$A$358,0),MOD(ROW()-2,6)+1),INDEX('BASE METAS DIÁRIAS'!$B$2:$G$358,MATCH($A1148,'BASE METAS DIÁRIAS'!$A$2:$A$358,0),MOD(ROW()-2,6)+1),""),"")</f>
        <v/>
      </c>
      <c r="H1148" s="159">
        <f>IFERROR(IF(INDEX('CONTROLE PRODUÇÃO POR EMPRESAS'!$B$6:$G$5000,MATCH($A1148,'CONTROLE PRODUÇÃO POR EMPRESAS'!$A$6:$A$5000,0),MOD(ROW()-2,6)+1)="","",IFERROR(1*INDEX('CONTROLE PRODUÇÃO POR EMPRESAS'!$B$6:$G$5000,MATCH($A1148,'CONTROLE PRODUÇÃO POR EMPRESAS'!$A$6:$A$5000,0),MOD(ROW()-2,6)+1),"")),"")</f>
        <v/>
      </c>
      <c r="I1148" s="159">
        <f>IF(OR(NOT(ISNUMBER(G1148)),NOT(ISNUMBER(H1148))),"",H1148-G1148)</f>
        <v/>
      </c>
      <c r="J1148" s="319">
        <f>IF(OR(NOT(ISNUMBER(G1148)),NOT(ISNUMBER(H1148)),G1148=0),"",I1148/G1148)</f>
        <v/>
      </c>
      <c r="K1148" s="319">
        <f>IF(OR(NOT(ISNUMBER(G1148)),NOT(ISNUMBER(H1148)),G1148=0),"",H1148/G1148)</f>
        <v/>
      </c>
      <c r="L1148">
        <f>IF(NOT(ISNUMBER(G1148)),"SEM META",IF(G1148=0,"SEM META",IF(NOT(ISNUMBER(H1148)),"SEM APONTAMENTO",IF(H1148&gt;=G1148,"VERDE",IF(H1148&gt;=G1148*0.9,"AMARELO","VERMELHO")))))</f>
        <v/>
      </c>
      <c r="M1148" s="162" t="n"/>
      <c r="N1148" s="162" t="n"/>
      <c r="O1148" s="162" t="n"/>
      <c r="P1148" s="162" t="n"/>
      <c r="Q1148" s="320" t="n"/>
      <c r="R1148" s="162" t="inlineStr">
        <is>
          <t>CONTROLE PRODUÇÃO POR EMPRESAS!B197</t>
        </is>
      </c>
    </row>
    <row r="1149" ht="28.5" customHeight="1">
      <c r="A1149" s="317" t="n">
        <v>46414</v>
      </c>
      <c r="B1149" t="inlineStr">
        <is>
          <t>GERAL</t>
        </is>
      </c>
      <c r="C1149" t="inlineStr">
        <is>
          <t>EJ</t>
        </is>
      </c>
      <c r="D1149" t="inlineStr">
        <is>
          <t>IÇAMENTO JOIST</t>
        </is>
      </c>
      <c r="F1149" s="159">
        <f>IFERROR(INDEX('BASE METAS DIÁRIAS'!$N$2:$S$358,MATCH($A1149,'BASE METAS DIÁRIAS'!$A$2:$A$358,0),MOD(ROW()-2,6)+1),"")</f>
        <v/>
      </c>
      <c r="G1149" s="159">
        <f>IFERROR(IF(WEEKDAY($A1149,2)&lt;=INDEX('BASE METAS DIÁRIAS'!$H$2:$M$358,MATCH($A1149,'BASE METAS DIÁRIAS'!$A$2:$A$358,0),MOD(ROW()-2,6)+1),INDEX('BASE METAS DIÁRIAS'!$B$2:$G$358,MATCH($A1149,'BASE METAS DIÁRIAS'!$A$2:$A$358,0),MOD(ROW()-2,6)+1),""),"")</f>
        <v/>
      </c>
      <c r="H1149" s="159">
        <f>IFERROR(IF(INDEX('CONTROLE PRODUÇÃO POR EMPRESAS'!$B$6:$G$5000,MATCH($A1149,'CONTROLE PRODUÇÃO POR EMPRESAS'!$A$6:$A$5000,0),MOD(ROW()-2,6)+1)="","",IFERROR(1*INDEX('CONTROLE PRODUÇÃO POR EMPRESAS'!$B$6:$G$5000,MATCH($A1149,'CONTROLE PRODUÇÃO POR EMPRESAS'!$A$6:$A$5000,0),MOD(ROW()-2,6)+1),"")),"")</f>
        <v/>
      </c>
      <c r="I1149" s="159">
        <f>IF(OR(NOT(ISNUMBER(G1149)),NOT(ISNUMBER(H1149))),"",H1149-G1149)</f>
        <v/>
      </c>
      <c r="J1149" s="319">
        <f>IF(OR(NOT(ISNUMBER(G1149)),NOT(ISNUMBER(H1149)),G1149=0),"",I1149/G1149)</f>
        <v/>
      </c>
      <c r="K1149" s="319">
        <f>IF(OR(NOT(ISNUMBER(G1149)),NOT(ISNUMBER(H1149)),G1149=0),"",H1149/G1149)</f>
        <v/>
      </c>
      <c r="L1149">
        <f>IF(NOT(ISNUMBER(G1149)),"SEM META",IF(G1149=0,"SEM META",IF(NOT(ISNUMBER(H1149)),"SEM APONTAMENTO",IF(H1149&gt;=G1149,"VERDE",IF(H1149&gt;=G1149*0.9,"AMARELO","VERMELHO")))))</f>
        <v/>
      </c>
      <c r="M1149" s="162" t="n"/>
      <c r="N1149" s="162" t="n"/>
      <c r="O1149" s="162" t="n"/>
      <c r="P1149" s="162" t="n"/>
      <c r="Q1149" s="320" t="n"/>
      <c r="R1149" s="162" t="inlineStr">
        <is>
          <t>CONTROLE PRODUÇÃO POR EMPRESAS!C197</t>
        </is>
      </c>
    </row>
    <row r="1150" ht="28.5" customHeight="1">
      <c r="A1150" s="317" t="n">
        <v>46414</v>
      </c>
      <c r="B1150" t="inlineStr">
        <is>
          <t>GERAL</t>
        </is>
      </c>
      <c r="C1150" t="inlineStr">
        <is>
          <t>EJ</t>
        </is>
      </c>
      <c r="D1150" t="inlineStr">
        <is>
          <t>VIGAS</t>
        </is>
      </c>
      <c r="F1150" s="159">
        <f>IFERROR(INDEX('BASE METAS DIÁRIAS'!$N$2:$S$358,MATCH($A1150,'BASE METAS DIÁRIAS'!$A$2:$A$358,0),MOD(ROW()-2,6)+1),"")</f>
        <v/>
      </c>
      <c r="G1150" s="159">
        <f>IFERROR(IF(WEEKDAY($A1150,2)&lt;=INDEX('BASE METAS DIÁRIAS'!$H$2:$M$358,MATCH($A1150,'BASE METAS DIÁRIAS'!$A$2:$A$358,0),MOD(ROW()-2,6)+1),INDEX('BASE METAS DIÁRIAS'!$B$2:$G$358,MATCH($A1150,'BASE METAS DIÁRIAS'!$A$2:$A$358,0),MOD(ROW()-2,6)+1),""),"")</f>
        <v/>
      </c>
      <c r="H1150" s="159">
        <f>IFERROR(IF(INDEX('CONTROLE PRODUÇÃO POR EMPRESAS'!$B$6:$G$5000,MATCH($A1150,'CONTROLE PRODUÇÃO POR EMPRESAS'!$A$6:$A$5000,0),MOD(ROW()-2,6)+1)="","",IFERROR(1*INDEX('CONTROLE PRODUÇÃO POR EMPRESAS'!$B$6:$G$5000,MATCH($A1150,'CONTROLE PRODUÇÃO POR EMPRESAS'!$A$6:$A$5000,0),MOD(ROW()-2,6)+1),"")),"")</f>
        <v/>
      </c>
      <c r="I1150" s="159">
        <f>IF(OR(NOT(ISNUMBER(G1150)),NOT(ISNUMBER(H1150))),"",H1150-G1150)</f>
        <v/>
      </c>
      <c r="J1150" s="319">
        <f>IF(OR(NOT(ISNUMBER(G1150)),NOT(ISNUMBER(H1150)),G1150=0),"",I1150/G1150)</f>
        <v/>
      </c>
      <c r="K1150" s="319">
        <f>IF(OR(NOT(ISNUMBER(G1150)),NOT(ISNUMBER(H1150)),G1150=0),"",H1150/G1150)</f>
        <v/>
      </c>
      <c r="L1150">
        <f>IF(NOT(ISNUMBER(G1150)),"SEM META",IF(G1150=0,"SEM META",IF(NOT(ISNUMBER(H1150)),"SEM APONTAMENTO",IF(H1150&gt;=G1150,"VERDE",IF(H1150&gt;=G1150*0.9,"AMARELO","VERMELHO")))))</f>
        <v/>
      </c>
      <c r="M1150" s="162" t="n"/>
      <c r="N1150" s="162" t="n"/>
      <c r="O1150" s="162" t="n"/>
      <c r="P1150" s="162" t="n"/>
      <c r="Q1150" s="320" t="n"/>
      <c r="R1150" s="162" t="inlineStr">
        <is>
          <t>CONTROLE PRODUÇÃO POR EMPRESAS!D197</t>
        </is>
      </c>
    </row>
    <row r="1151" ht="28.5" customHeight="1">
      <c r="A1151" s="317" t="n">
        <v>46414</v>
      </c>
      <c r="B1151" t="inlineStr">
        <is>
          <t>GERAL</t>
        </is>
      </c>
      <c r="C1151" t="inlineStr">
        <is>
          <t>CMM</t>
        </is>
      </c>
      <c r="D1151" t="inlineStr">
        <is>
          <t>PREMONTAGEM</t>
        </is>
      </c>
      <c r="F1151" s="159">
        <f>IFERROR(INDEX('BASE METAS DIÁRIAS'!$N$2:$S$358,MATCH($A1151,'BASE METAS DIÁRIAS'!$A$2:$A$358,0),MOD(ROW()-2,6)+1),"")</f>
        <v/>
      </c>
      <c r="G1151" s="159">
        <f>IFERROR(IF(WEEKDAY($A1151,2)&lt;=INDEX('BASE METAS DIÁRIAS'!$H$2:$M$358,MATCH($A1151,'BASE METAS DIÁRIAS'!$A$2:$A$358,0),MOD(ROW()-2,6)+1),INDEX('BASE METAS DIÁRIAS'!$B$2:$G$358,MATCH($A1151,'BASE METAS DIÁRIAS'!$A$2:$A$358,0),MOD(ROW()-2,6)+1),""),"")</f>
        <v/>
      </c>
      <c r="H1151" s="159">
        <f>IFERROR(IF(INDEX('CONTROLE PRODUÇÃO POR EMPRESAS'!$B$6:$G$5000,MATCH($A1151,'CONTROLE PRODUÇÃO POR EMPRESAS'!$A$6:$A$5000,0),MOD(ROW()-2,6)+1)="","",IFERROR(1*INDEX('CONTROLE PRODUÇÃO POR EMPRESAS'!$B$6:$G$5000,MATCH($A1151,'CONTROLE PRODUÇÃO POR EMPRESAS'!$A$6:$A$5000,0),MOD(ROW()-2,6)+1),"")),"")</f>
        <v/>
      </c>
      <c r="I1151" s="159">
        <f>IF(OR(NOT(ISNUMBER(G1151)),NOT(ISNUMBER(H1151))),"",H1151-G1151)</f>
        <v/>
      </c>
      <c r="J1151" s="319">
        <f>IF(OR(NOT(ISNUMBER(G1151)),NOT(ISNUMBER(H1151)),G1151=0),"",I1151/G1151)</f>
        <v/>
      </c>
      <c r="K1151" s="319">
        <f>IF(OR(NOT(ISNUMBER(G1151)),NOT(ISNUMBER(H1151)),G1151=0),"",H1151/G1151)</f>
        <v/>
      </c>
      <c r="L1151">
        <f>IF(NOT(ISNUMBER(G1151)),"SEM META",IF(G1151=0,"SEM META",IF(NOT(ISNUMBER(H1151)),"SEM APONTAMENTO",IF(H1151&gt;=G1151,"VERDE",IF(H1151&gt;=G1151*0.9,"AMARELO","VERMELHO")))))</f>
        <v/>
      </c>
      <c r="M1151" s="162" t="n"/>
      <c r="N1151" s="162" t="n"/>
      <c r="O1151" s="162" t="n"/>
      <c r="P1151" s="162" t="n"/>
      <c r="Q1151" s="320" t="n"/>
      <c r="R1151" s="162" t="inlineStr">
        <is>
          <t>CONTROLE PRODUÇÃO POR EMPRESAS!E197</t>
        </is>
      </c>
    </row>
    <row r="1152" ht="28.5" customHeight="1">
      <c r="A1152" s="317" t="n">
        <v>46414</v>
      </c>
      <c r="B1152" t="inlineStr">
        <is>
          <t>GERAL</t>
        </is>
      </c>
      <c r="C1152" t="inlineStr">
        <is>
          <t>CMM</t>
        </is>
      </c>
      <c r="D1152" t="inlineStr">
        <is>
          <t>IÇAMENTO JOIST</t>
        </is>
      </c>
      <c r="F1152" s="159">
        <f>IFERROR(INDEX('BASE METAS DIÁRIAS'!$N$2:$S$358,MATCH($A1152,'BASE METAS DIÁRIAS'!$A$2:$A$358,0),MOD(ROW()-2,6)+1),"")</f>
        <v/>
      </c>
      <c r="G1152" s="159">
        <f>IFERROR(IF(WEEKDAY($A1152,2)&lt;=INDEX('BASE METAS DIÁRIAS'!$H$2:$M$358,MATCH($A1152,'BASE METAS DIÁRIAS'!$A$2:$A$358,0),MOD(ROW()-2,6)+1),INDEX('BASE METAS DIÁRIAS'!$B$2:$G$358,MATCH($A1152,'BASE METAS DIÁRIAS'!$A$2:$A$358,0),MOD(ROW()-2,6)+1),""),"")</f>
        <v/>
      </c>
      <c r="H1152" s="159">
        <f>IFERROR(IF(INDEX('CONTROLE PRODUÇÃO POR EMPRESAS'!$B$6:$G$5000,MATCH($A1152,'CONTROLE PRODUÇÃO POR EMPRESAS'!$A$6:$A$5000,0),MOD(ROW()-2,6)+1)="","",IFERROR(1*INDEX('CONTROLE PRODUÇÃO POR EMPRESAS'!$B$6:$G$5000,MATCH($A1152,'CONTROLE PRODUÇÃO POR EMPRESAS'!$A$6:$A$5000,0),MOD(ROW()-2,6)+1),"")),"")</f>
        <v/>
      </c>
      <c r="I1152" s="159">
        <f>IF(OR(NOT(ISNUMBER(G1152)),NOT(ISNUMBER(H1152))),"",H1152-G1152)</f>
        <v/>
      </c>
      <c r="J1152" s="319">
        <f>IF(OR(NOT(ISNUMBER(G1152)),NOT(ISNUMBER(H1152)),G1152=0),"",I1152/G1152)</f>
        <v/>
      </c>
      <c r="K1152" s="319">
        <f>IF(OR(NOT(ISNUMBER(G1152)),NOT(ISNUMBER(H1152)),G1152=0),"",H1152/G1152)</f>
        <v/>
      </c>
      <c r="L1152">
        <f>IF(NOT(ISNUMBER(G1152)),"SEM META",IF(G1152=0,"SEM META",IF(NOT(ISNUMBER(H1152)),"SEM APONTAMENTO",IF(H1152&gt;=G1152,"VERDE",IF(H1152&gt;=G1152*0.9,"AMARELO","VERMELHO")))))</f>
        <v/>
      </c>
      <c r="M1152" s="162" t="n"/>
      <c r="N1152" s="162" t="n"/>
      <c r="O1152" s="162" t="n"/>
      <c r="P1152" s="162" t="n"/>
      <c r="Q1152" s="320" t="n"/>
      <c r="R1152" s="162" t="inlineStr">
        <is>
          <t>CONTROLE PRODUÇÃO POR EMPRESAS!F197</t>
        </is>
      </c>
    </row>
    <row r="1153" ht="28.5" customHeight="1">
      <c r="A1153" s="317" t="n">
        <v>46414</v>
      </c>
      <c r="B1153" t="inlineStr">
        <is>
          <t>GERAL</t>
        </is>
      </c>
      <c r="C1153" t="inlineStr">
        <is>
          <t>CMM</t>
        </is>
      </c>
      <c r="D1153" t="inlineStr">
        <is>
          <t>VIGAS</t>
        </is>
      </c>
      <c r="F1153" s="159">
        <f>IFERROR(INDEX('BASE METAS DIÁRIAS'!$N$2:$S$358,MATCH($A1153,'BASE METAS DIÁRIAS'!$A$2:$A$358,0),MOD(ROW()-2,6)+1),"")</f>
        <v/>
      </c>
      <c r="G1153" s="159">
        <f>IFERROR(IF(WEEKDAY($A1153,2)&lt;=INDEX('BASE METAS DIÁRIAS'!$H$2:$M$358,MATCH($A1153,'BASE METAS DIÁRIAS'!$A$2:$A$358,0),MOD(ROW()-2,6)+1),INDEX('BASE METAS DIÁRIAS'!$B$2:$G$358,MATCH($A1153,'BASE METAS DIÁRIAS'!$A$2:$A$358,0),MOD(ROW()-2,6)+1),""),"")</f>
        <v/>
      </c>
      <c r="H1153" s="159">
        <f>IFERROR(IF(INDEX('CONTROLE PRODUÇÃO POR EMPRESAS'!$B$6:$G$5000,MATCH($A1153,'CONTROLE PRODUÇÃO POR EMPRESAS'!$A$6:$A$5000,0),MOD(ROW()-2,6)+1)="","",IFERROR(1*INDEX('CONTROLE PRODUÇÃO POR EMPRESAS'!$B$6:$G$5000,MATCH($A1153,'CONTROLE PRODUÇÃO POR EMPRESAS'!$A$6:$A$5000,0),MOD(ROW()-2,6)+1),"")),"")</f>
        <v/>
      </c>
      <c r="I1153" s="159">
        <f>IF(OR(NOT(ISNUMBER(G1153)),NOT(ISNUMBER(H1153))),"",H1153-G1153)</f>
        <v/>
      </c>
      <c r="J1153" s="319">
        <f>IF(OR(NOT(ISNUMBER(G1153)),NOT(ISNUMBER(H1153)),G1153=0),"",I1153/G1153)</f>
        <v/>
      </c>
      <c r="K1153" s="319">
        <f>IF(OR(NOT(ISNUMBER(G1153)),NOT(ISNUMBER(H1153)),G1153=0),"",H1153/G1153)</f>
        <v/>
      </c>
      <c r="L1153">
        <f>IF(NOT(ISNUMBER(G1153)),"SEM META",IF(G1153=0,"SEM META",IF(NOT(ISNUMBER(H1153)),"SEM APONTAMENTO",IF(H1153&gt;=G1153,"VERDE",IF(H1153&gt;=G1153*0.9,"AMARELO","VERMELHO")))))</f>
        <v/>
      </c>
      <c r="M1153" s="162" t="n"/>
      <c r="N1153" s="162" t="n"/>
      <c r="O1153" s="162" t="n"/>
      <c r="P1153" s="162" t="n"/>
      <c r="Q1153" s="320" t="n"/>
      <c r="R1153" s="162" t="inlineStr">
        <is>
          <t>CONTROLE PRODUÇÃO POR EMPRESAS!G197</t>
        </is>
      </c>
    </row>
    <row r="1154" ht="28.5" customHeight="1">
      <c r="A1154" s="317" t="n">
        <v>46415</v>
      </c>
      <c r="B1154" t="inlineStr">
        <is>
          <t>GERAL</t>
        </is>
      </c>
      <c r="C1154" t="inlineStr">
        <is>
          <t>EJ</t>
        </is>
      </c>
      <c r="D1154" t="inlineStr">
        <is>
          <t>PREMONTAGEM</t>
        </is>
      </c>
      <c r="F1154" s="159">
        <f>IFERROR(INDEX('BASE METAS DIÁRIAS'!$N$2:$S$358,MATCH($A1154,'BASE METAS DIÁRIAS'!$A$2:$A$358,0),MOD(ROW()-2,6)+1),"")</f>
        <v/>
      </c>
      <c r="G1154" s="159">
        <f>IFERROR(IF(WEEKDAY($A1154,2)&lt;=INDEX('BASE METAS DIÁRIAS'!$H$2:$M$358,MATCH($A1154,'BASE METAS DIÁRIAS'!$A$2:$A$358,0),MOD(ROW()-2,6)+1),INDEX('BASE METAS DIÁRIAS'!$B$2:$G$358,MATCH($A1154,'BASE METAS DIÁRIAS'!$A$2:$A$358,0),MOD(ROW()-2,6)+1),""),"")</f>
        <v/>
      </c>
      <c r="H1154" s="159">
        <f>IFERROR(IF(INDEX('CONTROLE PRODUÇÃO POR EMPRESAS'!$B$6:$G$5000,MATCH($A1154,'CONTROLE PRODUÇÃO POR EMPRESAS'!$A$6:$A$5000,0),MOD(ROW()-2,6)+1)="","",IFERROR(1*INDEX('CONTROLE PRODUÇÃO POR EMPRESAS'!$B$6:$G$5000,MATCH($A1154,'CONTROLE PRODUÇÃO POR EMPRESAS'!$A$6:$A$5000,0),MOD(ROW()-2,6)+1),"")),"")</f>
        <v/>
      </c>
      <c r="I1154" s="159">
        <f>IF(OR(NOT(ISNUMBER(G1154)),NOT(ISNUMBER(H1154))),"",H1154-G1154)</f>
        <v/>
      </c>
      <c r="J1154" s="319">
        <f>IF(OR(NOT(ISNUMBER(G1154)),NOT(ISNUMBER(H1154)),G1154=0),"",I1154/G1154)</f>
        <v/>
      </c>
      <c r="K1154" s="319">
        <f>IF(OR(NOT(ISNUMBER(G1154)),NOT(ISNUMBER(H1154)),G1154=0),"",H1154/G1154)</f>
        <v/>
      </c>
      <c r="L1154">
        <f>IF(NOT(ISNUMBER(G1154)),"SEM META",IF(G1154=0,"SEM META",IF(NOT(ISNUMBER(H1154)),"SEM APONTAMENTO",IF(H1154&gt;=G1154,"VERDE",IF(H1154&gt;=G1154*0.9,"AMARELO","VERMELHO")))))</f>
        <v/>
      </c>
      <c r="M1154" s="162" t="n"/>
      <c r="N1154" s="162" t="n"/>
      <c r="O1154" s="162" t="n"/>
      <c r="P1154" s="162" t="n"/>
      <c r="Q1154" s="320" t="n"/>
      <c r="R1154" s="162" t="inlineStr">
        <is>
          <t>CONTROLE PRODUÇÃO POR EMPRESAS!B198</t>
        </is>
      </c>
    </row>
    <row r="1155" ht="28.5" customHeight="1">
      <c r="A1155" s="317" t="n">
        <v>46415</v>
      </c>
      <c r="B1155" t="inlineStr">
        <is>
          <t>GERAL</t>
        </is>
      </c>
      <c r="C1155" t="inlineStr">
        <is>
          <t>EJ</t>
        </is>
      </c>
      <c r="D1155" t="inlineStr">
        <is>
          <t>IÇAMENTO JOIST</t>
        </is>
      </c>
      <c r="F1155" s="159">
        <f>IFERROR(INDEX('BASE METAS DIÁRIAS'!$N$2:$S$358,MATCH($A1155,'BASE METAS DIÁRIAS'!$A$2:$A$358,0),MOD(ROW()-2,6)+1),"")</f>
        <v/>
      </c>
      <c r="G1155" s="159">
        <f>IFERROR(IF(WEEKDAY($A1155,2)&lt;=INDEX('BASE METAS DIÁRIAS'!$H$2:$M$358,MATCH($A1155,'BASE METAS DIÁRIAS'!$A$2:$A$358,0),MOD(ROW()-2,6)+1),INDEX('BASE METAS DIÁRIAS'!$B$2:$G$358,MATCH($A1155,'BASE METAS DIÁRIAS'!$A$2:$A$358,0),MOD(ROW()-2,6)+1),""),"")</f>
        <v/>
      </c>
      <c r="H1155" s="159">
        <f>IFERROR(IF(INDEX('CONTROLE PRODUÇÃO POR EMPRESAS'!$B$6:$G$5000,MATCH($A1155,'CONTROLE PRODUÇÃO POR EMPRESAS'!$A$6:$A$5000,0),MOD(ROW()-2,6)+1)="","",IFERROR(1*INDEX('CONTROLE PRODUÇÃO POR EMPRESAS'!$B$6:$G$5000,MATCH($A1155,'CONTROLE PRODUÇÃO POR EMPRESAS'!$A$6:$A$5000,0),MOD(ROW()-2,6)+1),"")),"")</f>
        <v/>
      </c>
      <c r="I1155" s="159">
        <f>IF(OR(NOT(ISNUMBER(G1155)),NOT(ISNUMBER(H1155))),"",H1155-G1155)</f>
        <v/>
      </c>
      <c r="J1155" s="319">
        <f>IF(OR(NOT(ISNUMBER(G1155)),NOT(ISNUMBER(H1155)),G1155=0),"",I1155/G1155)</f>
        <v/>
      </c>
      <c r="K1155" s="319">
        <f>IF(OR(NOT(ISNUMBER(G1155)),NOT(ISNUMBER(H1155)),G1155=0),"",H1155/G1155)</f>
        <v/>
      </c>
      <c r="L1155">
        <f>IF(NOT(ISNUMBER(G1155)),"SEM META",IF(G1155=0,"SEM META",IF(NOT(ISNUMBER(H1155)),"SEM APONTAMENTO",IF(H1155&gt;=G1155,"VERDE",IF(H1155&gt;=G1155*0.9,"AMARELO","VERMELHO")))))</f>
        <v/>
      </c>
      <c r="M1155" s="162" t="n"/>
      <c r="N1155" s="162" t="n"/>
      <c r="O1155" s="162" t="n"/>
      <c r="P1155" s="162" t="n"/>
      <c r="Q1155" s="320" t="n"/>
      <c r="R1155" s="162" t="inlineStr">
        <is>
          <t>CONTROLE PRODUÇÃO POR EMPRESAS!C198</t>
        </is>
      </c>
    </row>
    <row r="1156" ht="28.5" customHeight="1">
      <c r="A1156" s="317" t="n">
        <v>46415</v>
      </c>
      <c r="B1156" t="inlineStr">
        <is>
          <t>GERAL</t>
        </is>
      </c>
      <c r="C1156" t="inlineStr">
        <is>
          <t>EJ</t>
        </is>
      </c>
      <c r="D1156" t="inlineStr">
        <is>
          <t>VIGAS</t>
        </is>
      </c>
      <c r="F1156" s="159">
        <f>IFERROR(INDEX('BASE METAS DIÁRIAS'!$N$2:$S$358,MATCH($A1156,'BASE METAS DIÁRIAS'!$A$2:$A$358,0),MOD(ROW()-2,6)+1),"")</f>
        <v/>
      </c>
      <c r="G1156" s="159">
        <f>IFERROR(IF(WEEKDAY($A1156,2)&lt;=INDEX('BASE METAS DIÁRIAS'!$H$2:$M$358,MATCH($A1156,'BASE METAS DIÁRIAS'!$A$2:$A$358,0),MOD(ROW()-2,6)+1),INDEX('BASE METAS DIÁRIAS'!$B$2:$G$358,MATCH($A1156,'BASE METAS DIÁRIAS'!$A$2:$A$358,0),MOD(ROW()-2,6)+1),""),"")</f>
        <v/>
      </c>
      <c r="H1156" s="159">
        <f>IFERROR(IF(INDEX('CONTROLE PRODUÇÃO POR EMPRESAS'!$B$6:$G$5000,MATCH($A1156,'CONTROLE PRODUÇÃO POR EMPRESAS'!$A$6:$A$5000,0),MOD(ROW()-2,6)+1)="","",IFERROR(1*INDEX('CONTROLE PRODUÇÃO POR EMPRESAS'!$B$6:$G$5000,MATCH($A1156,'CONTROLE PRODUÇÃO POR EMPRESAS'!$A$6:$A$5000,0),MOD(ROW()-2,6)+1),"")),"")</f>
        <v/>
      </c>
      <c r="I1156" s="159">
        <f>IF(OR(NOT(ISNUMBER(G1156)),NOT(ISNUMBER(H1156))),"",H1156-G1156)</f>
        <v/>
      </c>
      <c r="J1156" s="319">
        <f>IF(OR(NOT(ISNUMBER(G1156)),NOT(ISNUMBER(H1156)),G1156=0),"",I1156/G1156)</f>
        <v/>
      </c>
      <c r="K1156" s="319">
        <f>IF(OR(NOT(ISNUMBER(G1156)),NOT(ISNUMBER(H1156)),G1156=0),"",H1156/G1156)</f>
        <v/>
      </c>
      <c r="L1156">
        <f>IF(NOT(ISNUMBER(G1156)),"SEM META",IF(G1156=0,"SEM META",IF(NOT(ISNUMBER(H1156)),"SEM APONTAMENTO",IF(H1156&gt;=G1156,"VERDE",IF(H1156&gt;=G1156*0.9,"AMARELO","VERMELHO")))))</f>
        <v/>
      </c>
      <c r="M1156" s="162" t="n"/>
      <c r="N1156" s="162" t="n"/>
      <c r="O1156" s="162" t="n"/>
      <c r="P1156" s="162" t="n"/>
      <c r="Q1156" s="320" t="n"/>
      <c r="R1156" s="162" t="inlineStr">
        <is>
          <t>CONTROLE PRODUÇÃO POR EMPRESAS!D198</t>
        </is>
      </c>
    </row>
    <row r="1157" ht="28.5" customHeight="1">
      <c r="A1157" s="317" t="n">
        <v>46415</v>
      </c>
      <c r="B1157" t="inlineStr">
        <is>
          <t>GERAL</t>
        </is>
      </c>
      <c r="C1157" t="inlineStr">
        <is>
          <t>CMM</t>
        </is>
      </c>
      <c r="D1157" t="inlineStr">
        <is>
          <t>PREMONTAGEM</t>
        </is>
      </c>
      <c r="F1157" s="159">
        <f>IFERROR(INDEX('BASE METAS DIÁRIAS'!$N$2:$S$358,MATCH($A1157,'BASE METAS DIÁRIAS'!$A$2:$A$358,0),MOD(ROW()-2,6)+1),"")</f>
        <v/>
      </c>
      <c r="G1157" s="159">
        <f>IFERROR(IF(WEEKDAY($A1157,2)&lt;=INDEX('BASE METAS DIÁRIAS'!$H$2:$M$358,MATCH($A1157,'BASE METAS DIÁRIAS'!$A$2:$A$358,0),MOD(ROW()-2,6)+1),INDEX('BASE METAS DIÁRIAS'!$B$2:$G$358,MATCH($A1157,'BASE METAS DIÁRIAS'!$A$2:$A$358,0),MOD(ROW()-2,6)+1),""),"")</f>
        <v/>
      </c>
      <c r="H1157" s="159">
        <f>IFERROR(IF(INDEX('CONTROLE PRODUÇÃO POR EMPRESAS'!$B$6:$G$5000,MATCH($A1157,'CONTROLE PRODUÇÃO POR EMPRESAS'!$A$6:$A$5000,0),MOD(ROW()-2,6)+1)="","",IFERROR(1*INDEX('CONTROLE PRODUÇÃO POR EMPRESAS'!$B$6:$G$5000,MATCH($A1157,'CONTROLE PRODUÇÃO POR EMPRESAS'!$A$6:$A$5000,0),MOD(ROW()-2,6)+1),"")),"")</f>
        <v/>
      </c>
      <c r="I1157" s="159">
        <f>IF(OR(NOT(ISNUMBER(G1157)),NOT(ISNUMBER(H1157))),"",H1157-G1157)</f>
        <v/>
      </c>
      <c r="J1157" s="319">
        <f>IF(OR(NOT(ISNUMBER(G1157)),NOT(ISNUMBER(H1157)),G1157=0),"",I1157/G1157)</f>
        <v/>
      </c>
      <c r="K1157" s="319">
        <f>IF(OR(NOT(ISNUMBER(G1157)),NOT(ISNUMBER(H1157)),G1157=0),"",H1157/G1157)</f>
        <v/>
      </c>
      <c r="L1157">
        <f>IF(NOT(ISNUMBER(G1157)),"SEM META",IF(G1157=0,"SEM META",IF(NOT(ISNUMBER(H1157)),"SEM APONTAMENTO",IF(H1157&gt;=G1157,"VERDE",IF(H1157&gt;=G1157*0.9,"AMARELO","VERMELHO")))))</f>
        <v/>
      </c>
      <c r="M1157" s="162" t="n"/>
      <c r="N1157" s="162" t="n"/>
      <c r="O1157" s="162" t="n"/>
      <c r="P1157" s="162" t="n"/>
      <c r="Q1157" s="320" t="n"/>
      <c r="R1157" s="162" t="inlineStr">
        <is>
          <t>CONTROLE PRODUÇÃO POR EMPRESAS!E198</t>
        </is>
      </c>
    </row>
    <row r="1158" ht="28.5" customHeight="1">
      <c r="A1158" s="317" t="n">
        <v>46415</v>
      </c>
      <c r="B1158" t="inlineStr">
        <is>
          <t>GERAL</t>
        </is>
      </c>
      <c r="C1158" t="inlineStr">
        <is>
          <t>CMM</t>
        </is>
      </c>
      <c r="D1158" t="inlineStr">
        <is>
          <t>IÇAMENTO JOIST</t>
        </is>
      </c>
      <c r="F1158" s="159">
        <f>IFERROR(INDEX('BASE METAS DIÁRIAS'!$N$2:$S$358,MATCH($A1158,'BASE METAS DIÁRIAS'!$A$2:$A$358,0),MOD(ROW()-2,6)+1),"")</f>
        <v/>
      </c>
      <c r="G1158" s="159">
        <f>IFERROR(IF(WEEKDAY($A1158,2)&lt;=INDEX('BASE METAS DIÁRIAS'!$H$2:$M$358,MATCH($A1158,'BASE METAS DIÁRIAS'!$A$2:$A$358,0),MOD(ROW()-2,6)+1),INDEX('BASE METAS DIÁRIAS'!$B$2:$G$358,MATCH($A1158,'BASE METAS DIÁRIAS'!$A$2:$A$358,0),MOD(ROW()-2,6)+1),""),"")</f>
        <v/>
      </c>
      <c r="H1158" s="159">
        <f>IFERROR(IF(INDEX('CONTROLE PRODUÇÃO POR EMPRESAS'!$B$6:$G$5000,MATCH($A1158,'CONTROLE PRODUÇÃO POR EMPRESAS'!$A$6:$A$5000,0),MOD(ROW()-2,6)+1)="","",IFERROR(1*INDEX('CONTROLE PRODUÇÃO POR EMPRESAS'!$B$6:$G$5000,MATCH($A1158,'CONTROLE PRODUÇÃO POR EMPRESAS'!$A$6:$A$5000,0),MOD(ROW()-2,6)+1),"")),"")</f>
        <v/>
      </c>
      <c r="I1158" s="159">
        <f>IF(OR(NOT(ISNUMBER(G1158)),NOT(ISNUMBER(H1158))),"",H1158-G1158)</f>
        <v/>
      </c>
      <c r="J1158" s="319">
        <f>IF(OR(NOT(ISNUMBER(G1158)),NOT(ISNUMBER(H1158)),G1158=0),"",I1158/G1158)</f>
        <v/>
      </c>
      <c r="K1158" s="319">
        <f>IF(OR(NOT(ISNUMBER(G1158)),NOT(ISNUMBER(H1158)),G1158=0),"",H1158/G1158)</f>
        <v/>
      </c>
      <c r="L1158">
        <f>IF(NOT(ISNUMBER(G1158)),"SEM META",IF(G1158=0,"SEM META",IF(NOT(ISNUMBER(H1158)),"SEM APONTAMENTO",IF(H1158&gt;=G1158,"VERDE",IF(H1158&gt;=G1158*0.9,"AMARELO","VERMELHO")))))</f>
        <v/>
      </c>
      <c r="M1158" s="162" t="n"/>
      <c r="N1158" s="162" t="n"/>
      <c r="O1158" s="162" t="n"/>
      <c r="P1158" s="162" t="n"/>
      <c r="Q1158" s="320" t="n"/>
      <c r="R1158" s="162" t="inlineStr">
        <is>
          <t>CONTROLE PRODUÇÃO POR EMPRESAS!F198</t>
        </is>
      </c>
    </row>
    <row r="1159" ht="28.5" customHeight="1">
      <c r="A1159" s="317" t="n">
        <v>46415</v>
      </c>
      <c r="B1159" t="inlineStr">
        <is>
          <t>GERAL</t>
        </is>
      </c>
      <c r="C1159" t="inlineStr">
        <is>
          <t>CMM</t>
        </is>
      </c>
      <c r="D1159" t="inlineStr">
        <is>
          <t>VIGAS</t>
        </is>
      </c>
      <c r="F1159" s="159">
        <f>IFERROR(INDEX('BASE METAS DIÁRIAS'!$N$2:$S$358,MATCH($A1159,'BASE METAS DIÁRIAS'!$A$2:$A$358,0),MOD(ROW()-2,6)+1),"")</f>
        <v/>
      </c>
      <c r="G1159" s="159">
        <f>IFERROR(IF(WEEKDAY($A1159,2)&lt;=INDEX('BASE METAS DIÁRIAS'!$H$2:$M$358,MATCH($A1159,'BASE METAS DIÁRIAS'!$A$2:$A$358,0),MOD(ROW()-2,6)+1),INDEX('BASE METAS DIÁRIAS'!$B$2:$G$358,MATCH($A1159,'BASE METAS DIÁRIAS'!$A$2:$A$358,0),MOD(ROW()-2,6)+1),""),"")</f>
        <v/>
      </c>
      <c r="H1159" s="159">
        <f>IFERROR(IF(INDEX('CONTROLE PRODUÇÃO POR EMPRESAS'!$B$6:$G$5000,MATCH($A1159,'CONTROLE PRODUÇÃO POR EMPRESAS'!$A$6:$A$5000,0),MOD(ROW()-2,6)+1)="","",IFERROR(1*INDEX('CONTROLE PRODUÇÃO POR EMPRESAS'!$B$6:$G$5000,MATCH($A1159,'CONTROLE PRODUÇÃO POR EMPRESAS'!$A$6:$A$5000,0),MOD(ROW()-2,6)+1),"")),"")</f>
        <v/>
      </c>
      <c r="I1159" s="159">
        <f>IF(OR(NOT(ISNUMBER(G1159)),NOT(ISNUMBER(H1159))),"",H1159-G1159)</f>
        <v/>
      </c>
      <c r="J1159" s="319">
        <f>IF(OR(NOT(ISNUMBER(G1159)),NOT(ISNUMBER(H1159)),G1159=0),"",I1159/G1159)</f>
        <v/>
      </c>
      <c r="K1159" s="319">
        <f>IF(OR(NOT(ISNUMBER(G1159)),NOT(ISNUMBER(H1159)),G1159=0),"",H1159/G1159)</f>
        <v/>
      </c>
      <c r="L1159">
        <f>IF(NOT(ISNUMBER(G1159)),"SEM META",IF(G1159=0,"SEM META",IF(NOT(ISNUMBER(H1159)),"SEM APONTAMENTO",IF(H1159&gt;=G1159,"VERDE",IF(H1159&gt;=G1159*0.9,"AMARELO","VERMELHO")))))</f>
        <v/>
      </c>
      <c r="M1159" s="162" t="n"/>
      <c r="N1159" s="162" t="n"/>
      <c r="O1159" s="162" t="n"/>
      <c r="P1159" s="162" t="n"/>
      <c r="Q1159" s="320" t="n"/>
      <c r="R1159" s="162" t="inlineStr">
        <is>
          <t>CONTROLE PRODUÇÃO POR EMPRESAS!G198</t>
        </is>
      </c>
    </row>
    <row r="1160" ht="28.5" customHeight="1">
      <c r="A1160" s="317" t="n">
        <v>46416</v>
      </c>
      <c r="B1160" t="inlineStr">
        <is>
          <t>GERAL</t>
        </is>
      </c>
      <c r="C1160" t="inlineStr">
        <is>
          <t>EJ</t>
        </is>
      </c>
      <c r="D1160" t="inlineStr">
        <is>
          <t>PREMONTAGEM</t>
        </is>
      </c>
      <c r="F1160" s="159">
        <f>IFERROR(INDEX('BASE METAS DIÁRIAS'!$N$2:$S$358,MATCH($A1160,'BASE METAS DIÁRIAS'!$A$2:$A$358,0),MOD(ROW()-2,6)+1),"")</f>
        <v/>
      </c>
      <c r="G1160" s="159">
        <f>IFERROR(IF(WEEKDAY($A1160,2)&lt;=INDEX('BASE METAS DIÁRIAS'!$H$2:$M$358,MATCH($A1160,'BASE METAS DIÁRIAS'!$A$2:$A$358,0),MOD(ROW()-2,6)+1),INDEX('BASE METAS DIÁRIAS'!$B$2:$G$358,MATCH($A1160,'BASE METAS DIÁRIAS'!$A$2:$A$358,0),MOD(ROW()-2,6)+1),""),"")</f>
        <v/>
      </c>
      <c r="H1160" s="159">
        <f>IFERROR(IF(INDEX('CONTROLE PRODUÇÃO POR EMPRESAS'!$B$6:$G$5000,MATCH($A1160,'CONTROLE PRODUÇÃO POR EMPRESAS'!$A$6:$A$5000,0),MOD(ROW()-2,6)+1)="","",IFERROR(1*INDEX('CONTROLE PRODUÇÃO POR EMPRESAS'!$B$6:$G$5000,MATCH($A1160,'CONTROLE PRODUÇÃO POR EMPRESAS'!$A$6:$A$5000,0),MOD(ROW()-2,6)+1),"")),"")</f>
        <v/>
      </c>
      <c r="I1160" s="159">
        <f>IF(OR(NOT(ISNUMBER(G1160)),NOT(ISNUMBER(H1160))),"",H1160-G1160)</f>
        <v/>
      </c>
      <c r="J1160" s="319">
        <f>IF(OR(NOT(ISNUMBER(G1160)),NOT(ISNUMBER(H1160)),G1160=0),"",I1160/G1160)</f>
        <v/>
      </c>
      <c r="K1160" s="319">
        <f>IF(OR(NOT(ISNUMBER(G1160)),NOT(ISNUMBER(H1160)),G1160=0),"",H1160/G1160)</f>
        <v/>
      </c>
      <c r="L1160">
        <f>IF(NOT(ISNUMBER(G1160)),"SEM META",IF(G1160=0,"SEM META",IF(NOT(ISNUMBER(H1160)),"SEM APONTAMENTO",IF(H1160&gt;=G1160,"VERDE",IF(H1160&gt;=G1160*0.9,"AMARELO","VERMELHO")))))</f>
        <v/>
      </c>
      <c r="M1160" s="162" t="n"/>
      <c r="N1160" s="162" t="n"/>
      <c r="O1160" s="162" t="n"/>
      <c r="P1160" s="162" t="n"/>
      <c r="Q1160" s="320" t="n"/>
      <c r="R1160" s="162" t="inlineStr">
        <is>
          <t>CONTROLE PRODUÇÃO POR EMPRESAS!B199</t>
        </is>
      </c>
    </row>
    <row r="1161" ht="28.5" customHeight="1">
      <c r="A1161" s="317" t="n">
        <v>46416</v>
      </c>
      <c r="B1161" t="inlineStr">
        <is>
          <t>GERAL</t>
        </is>
      </c>
      <c r="C1161" t="inlineStr">
        <is>
          <t>EJ</t>
        </is>
      </c>
      <c r="D1161" t="inlineStr">
        <is>
          <t>IÇAMENTO JOIST</t>
        </is>
      </c>
      <c r="F1161" s="159">
        <f>IFERROR(INDEX('BASE METAS DIÁRIAS'!$N$2:$S$358,MATCH($A1161,'BASE METAS DIÁRIAS'!$A$2:$A$358,0),MOD(ROW()-2,6)+1),"")</f>
        <v/>
      </c>
      <c r="G1161" s="159">
        <f>IFERROR(IF(WEEKDAY($A1161,2)&lt;=INDEX('BASE METAS DIÁRIAS'!$H$2:$M$358,MATCH($A1161,'BASE METAS DIÁRIAS'!$A$2:$A$358,0),MOD(ROW()-2,6)+1),INDEX('BASE METAS DIÁRIAS'!$B$2:$G$358,MATCH($A1161,'BASE METAS DIÁRIAS'!$A$2:$A$358,0),MOD(ROW()-2,6)+1),""),"")</f>
        <v/>
      </c>
      <c r="H1161" s="159">
        <f>IFERROR(IF(INDEX('CONTROLE PRODUÇÃO POR EMPRESAS'!$B$6:$G$5000,MATCH($A1161,'CONTROLE PRODUÇÃO POR EMPRESAS'!$A$6:$A$5000,0),MOD(ROW()-2,6)+1)="","",IFERROR(1*INDEX('CONTROLE PRODUÇÃO POR EMPRESAS'!$B$6:$G$5000,MATCH($A1161,'CONTROLE PRODUÇÃO POR EMPRESAS'!$A$6:$A$5000,0),MOD(ROW()-2,6)+1),"")),"")</f>
        <v/>
      </c>
      <c r="I1161" s="159">
        <f>IF(OR(NOT(ISNUMBER(G1161)),NOT(ISNUMBER(H1161))),"",H1161-G1161)</f>
        <v/>
      </c>
      <c r="J1161" s="319">
        <f>IF(OR(NOT(ISNUMBER(G1161)),NOT(ISNUMBER(H1161)),G1161=0),"",I1161/G1161)</f>
        <v/>
      </c>
      <c r="K1161" s="319">
        <f>IF(OR(NOT(ISNUMBER(G1161)),NOT(ISNUMBER(H1161)),G1161=0),"",H1161/G1161)</f>
        <v/>
      </c>
      <c r="L1161">
        <f>IF(NOT(ISNUMBER(G1161)),"SEM META",IF(G1161=0,"SEM META",IF(NOT(ISNUMBER(H1161)),"SEM APONTAMENTO",IF(H1161&gt;=G1161,"VERDE",IF(H1161&gt;=G1161*0.9,"AMARELO","VERMELHO")))))</f>
        <v/>
      </c>
      <c r="M1161" s="162" t="n"/>
      <c r="N1161" s="162" t="n"/>
      <c r="O1161" s="162" t="n"/>
      <c r="P1161" s="162" t="n"/>
      <c r="Q1161" s="320" t="n"/>
      <c r="R1161" s="162" t="inlineStr">
        <is>
          <t>CONTROLE PRODUÇÃO POR EMPRESAS!C199</t>
        </is>
      </c>
    </row>
    <row r="1162" ht="28.5" customHeight="1">
      <c r="A1162" s="317" t="n">
        <v>46416</v>
      </c>
      <c r="B1162" t="inlineStr">
        <is>
          <t>GERAL</t>
        </is>
      </c>
      <c r="C1162" t="inlineStr">
        <is>
          <t>EJ</t>
        </is>
      </c>
      <c r="D1162" t="inlineStr">
        <is>
          <t>VIGAS</t>
        </is>
      </c>
      <c r="F1162" s="159">
        <f>IFERROR(INDEX('BASE METAS DIÁRIAS'!$N$2:$S$358,MATCH($A1162,'BASE METAS DIÁRIAS'!$A$2:$A$358,0),MOD(ROW()-2,6)+1),"")</f>
        <v/>
      </c>
      <c r="G1162" s="159">
        <f>IFERROR(IF(WEEKDAY($A1162,2)&lt;=INDEX('BASE METAS DIÁRIAS'!$H$2:$M$358,MATCH($A1162,'BASE METAS DIÁRIAS'!$A$2:$A$358,0),MOD(ROW()-2,6)+1),INDEX('BASE METAS DIÁRIAS'!$B$2:$G$358,MATCH($A1162,'BASE METAS DIÁRIAS'!$A$2:$A$358,0),MOD(ROW()-2,6)+1),""),"")</f>
        <v/>
      </c>
      <c r="H1162" s="159">
        <f>IFERROR(IF(INDEX('CONTROLE PRODUÇÃO POR EMPRESAS'!$B$6:$G$5000,MATCH($A1162,'CONTROLE PRODUÇÃO POR EMPRESAS'!$A$6:$A$5000,0),MOD(ROW()-2,6)+1)="","",IFERROR(1*INDEX('CONTROLE PRODUÇÃO POR EMPRESAS'!$B$6:$G$5000,MATCH($A1162,'CONTROLE PRODUÇÃO POR EMPRESAS'!$A$6:$A$5000,0),MOD(ROW()-2,6)+1),"")),"")</f>
        <v/>
      </c>
      <c r="I1162" s="159">
        <f>IF(OR(NOT(ISNUMBER(G1162)),NOT(ISNUMBER(H1162))),"",H1162-G1162)</f>
        <v/>
      </c>
      <c r="J1162" s="319">
        <f>IF(OR(NOT(ISNUMBER(G1162)),NOT(ISNUMBER(H1162)),G1162=0),"",I1162/G1162)</f>
        <v/>
      </c>
      <c r="K1162" s="319">
        <f>IF(OR(NOT(ISNUMBER(G1162)),NOT(ISNUMBER(H1162)),G1162=0),"",H1162/G1162)</f>
        <v/>
      </c>
      <c r="L1162">
        <f>IF(NOT(ISNUMBER(G1162)),"SEM META",IF(G1162=0,"SEM META",IF(NOT(ISNUMBER(H1162)),"SEM APONTAMENTO",IF(H1162&gt;=G1162,"VERDE",IF(H1162&gt;=G1162*0.9,"AMARELO","VERMELHO")))))</f>
        <v/>
      </c>
      <c r="M1162" s="162" t="n"/>
      <c r="N1162" s="162" t="n"/>
      <c r="O1162" s="162" t="n"/>
      <c r="P1162" s="162" t="n"/>
      <c r="Q1162" s="320" t="n"/>
      <c r="R1162" s="162" t="inlineStr">
        <is>
          <t>CONTROLE PRODUÇÃO POR EMPRESAS!D199</t>
        </is>
      </c>
    </row>
    <row r="1163" ht="28.5" customHeight="1">
      <c r="A1163" s="317" t="n">
        <v>46416</v>
      </c>
      <c r="B1163" t="inlineStr">
        <is>
          <t>GERAL</t>
        </is>
      </c>
      <c r="C1163" t="inlineStr">
        <is>
          <t>CMM</t>
        </is>
      </c>
      <c r="D1163" t="inlineStr">
        <is>
          <t>PREMONTAGEM</t>
        </is>
      </c>
      <c r="F1163" s="159">
        <f>IFERROR(INDEX('BASE METAS DIÁRIAS'!$N$2:$S$358,MATCH($A1163,'BASE METAS DIÁRIAS'!$A$2:$A$358,0),MOD(ROW()-2,6)+1),"")</f>
        <v/>
      </c>
      <c r="G1163" s="159">
        <f>IFERROR(IF(WEEKDAY($A1163,2)&lt;=INDEX('BASE METAS DIÁRIAS'!$H$2:$M$358,MATCH($A1163,'BASE METAS DIÁRIAS'!$A$2:$A$358,0),MOD(ROW()-2,6)+1),INDEX('BASE METAS DIÁRIAS'!$B$2:$G$358,MATCH($A1163,'BASE METAS DIÁRIAS'!$A$2:$A$358,0),MOD(ROW()-2,6)+1),""),"")</f>
        <v/>
      </c>
      <c r="H1163" s="159">
        <f>IFERROR(IF(INDEX('CONTROLE PRODUÇÃO POR EMPRESAS'!$B$6:$G$5000,MATCH($A1163,'CONTROLE PRODUÇÃO POR EMPRESAS'!$A$6:$A$5000,0),MOD(ROW()-2,6)+1)="","",IFERROR(1*INDEX('CONTROLE PRODUÇÃO POR EMPRESAS'!$B$6:$G$5000,MATCH($A1163,'CONTROLE PRODUÇÃO POR EMPRESAS'!$A$6:$A$5000,0),MOD(ROW()-2,6)+1),"")),"")</f>
        <v/>
      </c>
      <c r="I1163" s="159">
        <f>IF(OR(NOT(ISNUMBER(G1163)),NOT(ISNUMBER(H1163))),"",H1163-G1163)</f>
        <v/>
      </c>
      <c r="J1163" s="319">
        <f>IF(OR(NOT(ISNUMBER(G1163)),NOT(ISNUMBER(H1163)),G1163=0),"",I1163/G1163)</f>
        <v/>
      </c>
      <c r="K1163" s="319">
        <f>IF(OR(NOT(ISNUMBER(G1163)),NOT(ISNUMBER(H1163)),G1163=0),"",H1163/G1163)</f>
        <v/>
      </c>
      <c r="L1163">
        <f>IF(NOT(ISNUMBER(G1163)),"SEM META",IF(G1163=0,"SEM META",IF(NOT(ISNUMBER(H1163)),"SEM APONTAMENTO",IF(H1163&gt;=G1163,"VERDE",IF(H1163&gt;=G1163*0.9,"AMARELO","VERMELHO")))))</f>
        <v/>
      </c>
      <c r="M1163" s="162" t="n"/>
      <c r="N1163" s="162" t="n"/>
      <c r="O1163" s="162" t="n"/>
      <c r="P1163" s="162" t="n"/>
      <c r="Q1163" s="320" t="n"/>
      <c r="R1163" s="162" t="inlineStr">
        <is>
          <t>CONTROLE PRODUÇÃO POR EMPRESAS!E199</t>
        </is>
      </c>
    </row>
    <row r="1164" ht="28.5" customHeight="1">
      <c r="A1164" s="317" t="n">
        <v>46416</v>
      </c>
      <c r="B1164" t="inlineStr">
        <is>
          <t>GERAL</t>
        </is>
      </c>
      <c r="C1164" t="inlineStr">
        <is>
          <t>CMM</t>
        </is>
      </c>
      <c r="D1164" t="inlineStr">
        <is>
          <t>IÇAMENTO JOIST</t>
        </is>
      </c>
      <c r="F1164" s="159">
        <f>IFERROR(INDEX('BASE METAS DIÁRIAS'!$N$2:$S$358,MATCH($A1164,'BASE METAS DIÁRIAS'!$A$2:$A$358,0),MOD(ROW()-2,6)+1),"")</f>
        <v/>
      </c>
      <c r="G1164" s="159">
        <f>IFERROR(IF(WEEKDAY($A1164,2)&lt;=INDEX('BASE METAS DIÁRIAS'!$H$2:$M$358,MATCH($A1164,'BASE METAS DIÁRIAS'!$A$2:$A$358,0),MOD(ROW()-2,6)+1),INDEX('BASE METAS DIÁRIAS'!$B$2:$G$358,MATCH($A1164,'BASE METAS DIÁRIAS'!$A$2:$A$358,0),MOD(ROW()-2,6)+1),""),"")</f>
        <v/>
      </c>
      <c r="H1164" s="159">
        <f>IFERROR(IF(INDEX('CONTROLE PRODUÇÃO POR EMPRESAS'!$B$6:$G$5000,MATCH($A1164,'CONTROLE PRODUÇÃO POR EMPRESAS'!$A$6:$A$5000,0),MOD(ROW()-2,6)+1)="","",IFERROR(1*INDEX('CONTROLE PRODUÇÃO POR EMPRESAS'!$B$6:$G$5000,MATCH($A1164,'CONTROLE PRODUÇÃO POR EMPRESAS'!$A$6:$A$5000,0),MOD(ROW()-2,6)+1),"")),"")</f>
        <v/>
      </c>
      <c r="I1164" s="159">
        <f>IF(OR(NOT(ISNUMBER(G1164)),NOT(ISNUMBER(H1164))),"",H1164-G1164)</f>
        <v/>
      </c>
      <c r="J1164" s="319">
        <f>IF(OR(NOT(ISNUMBER(G1164)),NOT(ISNUMBER(H1164)),G1164=0),"",I1164/G1164)</f>
        <v/>
      </c>
      <c r="K1164" s="319">
        <f>IF(OR(NOT(ISNUMBER(G1164)),NOT(ISNUMBER(H1164)),G1164=0),"",H1164/G1164)</f>
        <v/>
      </c>
      <c r="L1164">
        <f>IF(NOT(ISNUMBER(G1164)),"SEM META",IF(G1164=0,"SEM META",IF(NOT(ISNUMBER(H1164)),"SEM APONTAMENTO",IF(H1164&gt;=G1164,"VERDE",IF(H1164&gt;=G1164*0.9,"AMARELO","VERMELHO")))))</f>
        <v/>
      </c>
      <c r="M1164" s="162" t="n"/>
      <c r="N1164" s="162" t="n"/>
      <c r="O1164" s="162" t="n"/>
      <c r="P1164" s="162" t="n"/>
      <c r="Q1164" s="320" t="n"/>
      <c r="R1164" s="162" t="inlineStr">
        <is>
          <t>CONTROLE PRODUÇÃO POR EMPRESAS!F199</t>
        </is>
      </c>
    </row>
    <row r="1165" ht="28.5" customHeight="1">
      <c r="A1165" s="317" t="n">
        <v>46416</v>
      </c>
      <c r="B1165" t="inlineStr">
        <is>
          <t>GERAL</t>
        </is>
      </c>
      <c r="C1165" t="inlineStr">
        <is>
          <t>CMM</t>
        </is>
      </c>
      <c r="D1165" t="inlineStr">
        <is>
          <t>VIGAS</t>
        </is>
      </c>
      <c r="F1165" s="159">
        <f>IFERROR(INDEX('BASE METAS DIÁRIAS'!$N$2:$S$358,MATCH($A1165,'BASE METAS DIÁRIAS'!$A$2:$A$358,0),MOD(ROW()-2,6)+1),"")</f>
        <v/>
      </c>
      <c r="G1165" s="159">
        <f>IFERROR(IF(WEEKDAY($A1165,2)&lt;=INDEX('BASE METAS DIÁRIAS'!$H$2:$M$358,MATCH($A1165,'BASE METAS DIÁRIAS'!$A$2:$A$358,0),MOD(ROW()-2,6)+1),INDEX('BASE METAS DIÁRIAS'!$B$2:$G$358,MATCH($A1165,'BASE METAS DIÁRIAS'!$A$2:$A$358,0),MOD(ROW()-2,6)+1),""),"")</f>
        <v/>
      </c>
      <c r="H1165" s="159">
        <f>IFERROR(IF(INDEX('CONTROLE PRODUÇÃO POR EMPRESAS'!$B$6:$G$5000,MATCH($A1165,'CONTROLE PRODUÇÃO POR EMPRESAS'!$A$6:$A$5000,0),MOD(ROW()-2,6)+1)="","",IFERROR(1*INDEX('CONTROLE PRODUÇÃO POR EMPRESAS'!$B$6:$G$5000,MATCH($A1165,'CONTROLE PRODUÇÃO POR EMPRESAS'!$A$6:$A$5000,0),MOD(ROW()-2,6)+1),"")),"")</f>
        <v/>
      </c>
      <c r="I1165" s="159">
        <f>IF(OR(NOT(ISNUMBER(G1165)),NOT(ISNUMBER(H1165))),"",H1165-G1165)</f>
        <v/>
      </c>
      <c r="J1165" s="319">
        <f>IF(OR(NOT(ISNUMBER(G1165)),NOT(ISNUMBER(H1165)),G1165=0),"",I1165/G1165)</f>
        <v/>
      </c>
      <c r="K1165" s="319">
        <f>IF(OR(NOT(ISNUMBER(G1165)),NOT(ISNUMBER(H1165)),G1165=0),"",H1165/G1165)</f>
        <v/>
      </c>
      <c r="L1165">
        <f>IF(NOT(ISNUMBER(G1165)),"SEM META",IF(G1165=0,"SEM META",IF(NOT(ISNUMBER(H1165)),"SEM APONTAMENTO",IF(H1165&gt;=G1165,"VERDE",IF(H1165&gt;=G1165*0.9,"AMARELO","VERMELHO")))))</f>
        <v/>
      </c>
      <c r="M1165" s="162" t="n"/>
      <c r="N1165" s="162" t="n"/>
      <c r="O1165" s="162" t="n"/>
      <c r="P1165" s="162" t="n"/>
      <c r="Q1165" s="320" t="n"/>
      <c r="R1165" s="162" t="inlineStr">
        <is>
          <t>CONTROLE PRODUÇÃO POR EMPRESAS!G199</t>
        </is>
      </c>
    </row>
    <row r="1166" ht="28.5" customHeight="1">
      <c r="A1166" s="317" t="n">
        <v>46417</v>
      </c>
      <c r="B1166" t="inlineStr">
        <is>
          <t>GERAL</t>
        </is>
      </c>
      <c r="C1166" t="inlineStr">
        <is>
          <t>EJ</t>
        </is>
      </c>
      <c r="D1166" t="inlineStr">
        <is>
          <t>PREMONTAGEM</t>
        </is>
      </c>
      <c r="F1166" s="159">
        <f>IFERROR(INDEX('BASE METAS DIÁRIAS'!$N$2:$S$358,MATCH($A1166,'BASE METAS DIÁRIAS'!$A$2:$A$358,0),MOD(ROW()-2,6)+1),"")</f>
        <v/>
      </c>
      <c r="G1166" s="159">
        <f>IFERROR(IF(WEEKDAY($A1166,2)&lt;=INDEX('BASE METAS DIÁRIAS'!$H$2:$M$358,MATCH($A1166,'BASE METAS DIÁRIAS'!$A$2:$A$358,0),MOD(ROW()-2,6)+1),INDEX('BASE METAS DIÁRIAS'!$B$2:$G$358,MATCH($A1166,'BASE METAS DIÁRIAS'!$A$2:$A$358,0),MOD(ROW()-2,6)+1),""),"")</f>
        <v/>
      </c>
      <c r="H1166" s="159">
        <f>IFERROR(IF(INDEX('CONTROLE PRODUÇÃO POR EMPRESAS'!$B$6:$G$5000,MATCH($A1166,'CONTROLE PRODUÇÃO POR EMPRESAS'!$A$6:$A$5000,0),MOD(ROW()-2,6)+1)="","",IFERROR(1*INDEX('CONTROLE PRODUÇÃO POR EMPRESAS'!$B$6:$G$5000,MATCH($A1166,'CONTROLE PRODUÇÃO POR EMPRESAS'!$A$6:$A$5000,0),MOD(ROW()-2,6)+1),"")),"")</f>
        <v/>
      </c>
      <c r="I1166" s="159">
        <f>IF(OR(NOT(ISNUMBER(G1166)),NOT(ISNUMBER(H1166))),"",H1166-G1166)</f>
        <v/>
      </c>
      <c r="J1166" s="319">
        <f>IF(OR(NOT(ISNUMBER(G1166)),NOT(ISNUMBER(H1166)),G1166=0),"",I1166/G1166)</f>
        <v/>
      </c>
      <c r="K1166" s="319">
        <f>IF(OR(NOT(ISNUMBER(G1166)),NOT(ISNUMBER(H1166)),G1166=0),"",H1166/G1166)</f>
        <v/>
      </c>
      <c r="L1166">
        <f>IF(NOT(ISNUMBER(G1166)),"SEM META",IF(G1166=0,"SEM META",IF(NOT(ISNUMBER(H1166)),"SEM APONTAMENTO",IF(H1166&gt;=G1166,"VERDE",IF(H1166&gt;=G1166*0.9,"AMARELO","VERMELHO")))))</f>
        <v/>
      </c>
      <c r="M1166" s="162" t="n"/>
      <c r="N1166" s="162" t="n"/>
      <c r="O1166" s="162" t="n"/>
      <c r="P1166" s="162" t="n"/>
      <c r="Q1166" s="320" t="n"/>
      <c r="R1166" s="162" t="inlineStr">
        <is>
          <t>CONTROLE PRODUÇÃO POR EMPRESAS!B200</t>
        </is>
      </c>
    </row>
    <row r="1167" ht="28.5" customHeight="1">
      <c r="A1167" s="317" t="n">
        <v>46417</v>
      </c>
      <c r="B1167" t="inlineStr">
        <is>
          <t>GERAL</t>
        </is>
      </c>
      <c r="C1167" t="inlineStr">
        <is>
          <t>EJ</t>
        </is>
      </c>
      <c r="D1167" t="inlineStr">
        <is>
          <t>IÇAMENTO JOIST</t>
        </is>
      </c>
      <c r="F1167" s="159">
        <f>IFERROR(INDEX('BASE METAS DIÁRIAS'!$N$2:$S$358,MATCH($A1167,'BASE METAS DIÁRIAS'!$A$2:$A$358,0),MOD(ROW()-2,6)+1),"")</f>
        <v/>
      </c>
      <c r="G1167" s="159">
        <f>IFERROR(IF(WEEKDAY($A1167,2)&lt;=INDEX('BASE METAS DIÁRIAS'!$H$2:$M$358,MATCH($A1167,'BASE METAS DIÁRIAS'!$A$2:$A$358,0),MOD(ROW()-2,6)+1),INDEX('BASE METAS DIÁRIAS'!$B$2:$G$358,MATCH($A1167,'BASE METAS DIÁRIAS'!$A$2:$A$358,0),MOD(ROW()-2,6)+1),""),"")</f>
        <v/>
      </c>
      <c r="H1167" s="159">
        <f>IFERROR(IF(INDEX('CONTROLE PRODUÇÃO POR EMPRESAS'!$B$6:$G$5000,MATCH($A1167,'CONTROLE PRODUÇÃO POR EMPRESAS'!$A$6:$A$5000,0),MOD(ROW()-2,6)+1)="","",IFERROR(1*INDEX('CONTROLE PRODUÇÃO POR EMPRESAS'!$B$6:$G$5000,MATCH($A1167,'CONTROLE PRODUÇÃO POR EMPRESAS'!$A$6:$A$5000,0),MOD(ROW()-2,6)+1),"")),"")</f>
        <v/>
      </c>
      <c r="I1167" s="159">
        <f>IF(OR(NOT(ISNUMBER(G1167)),NOT(ISNUMBER(H1167))),"",H1167-G1167)</f>
        <v/>
      </c>
      <c r="J1167" s="319">
        <f>IF(OR(NOT(ISNUMBER(G1167)),NOT(ISNUMBER(H1167)),G1167=0),"",I1167/G1167)</f>
        <v/>
      </c>
      <c r="K1167" s="319">
        <f>IF(OR(NOT(ISNUMBER(G1167)),NOT(ISNUMBER(H1167)),G1167=0),"",H1167/G1167)</f>
        <v/>
      </c>
      <c r="L1167">
        <f>IF(NOT(ISNUMBER(G1167)),"SEM META",IF(G1167=0,"SEM META",IF(NOT(ISNUMBER(H1167)),"SEM APONTAMENTO",IF(H1167&gt;=G1167,"VERDE",IF(H1167&gt;=G1167*0.9,"AMARELO","VERMELHO")))))</f>
        <v/>
      </c>
      <c r="M1167" s="162" t="n"/>
      <c r="N1167" s="162" t="n"/>
      <c r="O1167" s="162" t="n"/>
      <c r="P1167" s="162" t="n"/>
      <c r="Q1167" s="320" t="n"/>
      <c r="R1167" s="162" t="inlineStr">
        <is>
          <t>CONTROLE PRODUÇÃO POR EMPRESAS!C200</t>
        </is>
      </c>
    </row>
    <row r="1168" ht="28.5" customHeight="1">
      <c r="A1168" s="317" t="n">
        <v>46417</v>
      </c>
      <c r="B1168" t="inlineStr">
        <is>
          <t>GERAL</t>
        </is>
      </c>
      <c r="C1168" t="inlineStr">
        <is>
          <t>EJ</t>
        </is>
      </c>
      <c r="D1168" t="inlineStr">
        <is>
          <t>VIGAS</t>
        </is>
      </c>
      <c r="F1168" s="159">
        <f>IFERROR(INDEX('BASE METAS DIÁRIAS'!$N$2:$S$358,MATCH($A1168,'BASE METAS DIÁRIAS'!$A$2:$A$358,0),MOD(ROW()-2,6)+1),"")</f>
        <v/>
      </c>
      <c r="G1168" s="159">
        <f>IFERROR(IF(WEEKDAY($A1168,2)&lt;=INDEX('BASE METAS DIÁRIAS'!$H$2:$M$358,MATCH($A1168,'BASE METAS DIÁRIAS'!$A$2:$A$358,0),MOD(ROW()-2,6)+1),INDEX('BASE METAS DIÁRIAS'!$B$2:$G$358,MATCH($A1168,'BASE METAS DIÁRIAS'!$A$2:$A$358,0),MOD(ROW()-2,6)+1),""),"")</f>
        <v/>
      </c>
      <c r="H1168" s="159">
        <f>IFERROR(IF(INDEX('CONTROLE PRODUÇÃO POR EMPRESAS'!$B$6:$G$5000,MATCH($A1168,'CONTROLE PRODUÇÃO POR EMPRESAS'!$A$6:$A$5000,0),MOD(ROW()-2,6)+1)="","",IFERROR(1*INDEX('CONTROLE PRODUÇÃO POR EMPRESAS'!$B$6:$G$5000,MATCH($A1168,'CONTROLE PRODUÇÃO POR EMPRESAS'!$A$6:$A$5000,0),MOD(ROW()-2,6)+1),"")),"")</f>
        <v/>
      </c>
      <c r="I1168" s="159">
        <f>IF(OR(NOT(ISNUMBER(G1168)),NOT(ISNUMBER(H1168))),"",H1168-G1168)</f>
        <v/>
      </c>
      <c r="J1168" s="319">
        <f>IF(OR(NOT(ISNUMBER(G1168)),NOT(ISNUMBER(H1168)),G1168=0),"",I1168/G1168)</f>
        <v/>
      </c>
      <c r="K1168" s="319">
        <f>IF(OR(NOT(ISNUMBER(G1168)),NOT(ISNUMBER(H1168)),G1168=0),"",H1168/G1168)</f>
        <v/>
      </c>
      <c r="L1168">
        <f>IF(NOT(ISNUMBER(G1168)),"SEM META",IF(G1168=0,"SEM META",IF(NOT(ISNUMBER(H1168)),"SEM APONTAMENTO",IF(H1168&gt;=G1168,"VERDE",IF(H1168&gt;=G1168*0.9,"AMARELO","VERMELHO")))))</f>
        <v/>
      </c>
      <c r="M1168" s="162" t="n"/>
      <c r="N1168" s="162" t="n"/>
      <c r="O1168" s="162" t="n"/>
      <c r="P1168" s="162" t="n"/>
      <c r="Q1168" s="320" t="n"/>
      <c r="R1168" s="162" t="inlineStr">
        <is>
          <t>CONTROLE PRODUÇÃO POR EMPRESAS!D200</t>
        </is>
      </c>
    </row>
    <row r="1169" ht="28.5" customHeight="1">
      <c r="A1169" s="317" t="n">
        <v>46417</v>
      </c>
      <c r="B1169" t="inlineStr">
        <is>
          <t>GERAL</t>
        </is>
      </c>
      <c r="C1169" t="inlineStr">
        <is>
          <t>CMM</t>
        </is>
      </c>
      <c r="D1169" t="inlineStr">
        <is>
          <t>PREMONTAGEM</t>
        </is>
      </c>
      <c r="F1169" s="159">
        <f>IFERROR(INDEX('BASE METAS DIÁRIAS'!$N$2:$S$358,MATCH($A1169,'BASE METAS DIÁRIAS'!$A$2:$A$358,0),MOD(ROW()-2,6)+1),"")</f>
        <v/>
      </c>
      <c r="G1169" s="159">
        <f>IFERROR(IF(WEEKDAY($A1169,2)&lt;=INDEX('BASE METAS DIÁRIAS'!$H$2:$M$358,MATCH($A1169,'BASE METAS DIÁRIAS'!$A$2:$A$358,0),MOD(ROW()-2,6)+1),INDEX('BASE METAS DIÁRIAS'!$B$2:$G$358,MATCH($A1169,'BASE METAS DIÁRIAS'!$A$2:$A$358,0),MOD(ROW()-2,6)+1),""),"")</f>
        <v/>
      </c>
      <c r="H1169" s="159">
        <f>IFERROR(IF(INDEX('CONTROLE PRODUÇÃO POR EMPRESAS'!$B$6:$G$5000,MATCH($A1169,'CONTROLE PRODUÇÃO POR EMPRESAS'!$A$6:$A$5000,0),MOD(ROW()-2,6)+1)="","",IFERROR(1*INDEX('CONTROLE PRODUÇÃO POR EMPRESAS'!$B$6:$G$5000,MATCH($A1169,'CONTROLE PRODUÇÃO POR EMPRESAS'!$A$6:$A$5000,0),MOD(ROW()-2,6)+1),"")),"")</f>
        <v/>
      </c>
      <c r="I1169" s="159">
        <f>IF(OR(NOT(ISNUMBER(G1169)),NOT(ISNUMBER(H1169))),"",H1169-G1169)</f>
        <v/>
      </c>
      <c r="J1169" s="319">
        <f>IF(OR(NOT(ISNUMBER(G1169)),NOT(ISNUMBER(H1169)),G1169=0),"",I1169/G1169)</f>
        <v/>
      </c>
      <c r="K1169" s="319">
        <f>IF(OR(NOT(ISNUMBER(G1169)),NOT(ISNUMBER(H1169)),G1169=0),"",H1169/G1169)</f>
        <v/>
      </c>
      <c r="L1169">
        <f>IF(NOT(ISNUMBER(G1169)),"SEM META",IF(G1169=0,"SEM META",IF(NOT(ISNUMBER(H1169)),"SEM APONTAMENTO",IF(H1169&gt;=G1169,"VERDE",IF(H1169&gt;=G1169*0.9,"AMARELO","VERMELHO")))))</f>
        <v/>
      </c>
      <c r="M1169" s="162" t="n"/>
      <c r="N1169" s="162" t="n"/>
      <c r="O1169" s="162" t="n"/>
      <c r="P1169" s="162" t="n"/>
      <c r="Q1169" s="320" t="n"/>
      <c r="R1169" s="162" t="inlineStr">
        <is>
          <t>CONTROLE PRODUÇÃO POR EMPRESAS!E200</t>
        </is>
      </c>
    </row>
    <row r="1170" ht="28.5" customHeight="1">
      <c r="A1170" s="317" t="n">
        <v>46417</v>
      </c>
      <c r="B1170" t="inlineStr">
        <is>
          <t>GERAL</t>
        </is>
      </c>
      <c r="C1170" t="inlineStr">
        <is>
          <t>CMM</t>
        </is>
      </c>
      <c r="D1170" t="inlineStr">
        <is>
          <t>IÇAMENTO JOIST</t>
        </is>
      </c>
      <c r="F1170" s="159">
        <f>IFERROR(INDEX('BASE METAS DIÁRIAS'!$N$2:$S$358,MATCH($A1170,'BASE METAS DIÁRIAS'!$A$2:$A$358,0),MOD(ROW()-2,6)+1),"")</f>
        <v/>
      </c>
      <c r="G1170" s="159">
        <f>IFERROR(IF(WEEKDAY($A1170,2)&lt;=INDEX('BASE METAS DIÁRIAS'!$H$2:$M$358,MATCH($A1170,'BASE METAS DIÁRIAS'!$A$2:$A$358,0),MOD(ROW()-2,6)+1),INDEX('BASE METAS DIÁRIAS'!$B$2:$G$358,MATCH($A1170,'BASE METAS DIÁRIAS'!$A$2:$A$358,0),MOD(ROW()-2,6)+1),""),"")</f>
        <v/>
      </c>
      <c r="H1170" s="159">
        <f>IFERROR(IF(INDEX('CONTROLE PRODUÇÃO POR EMPRESAS'!$B$6:$G$5000,MATCH($A1170,'CONTROLE PRODUÇÃO POR EMPRESAS'!$A$6:$A$5000,0),MOD(ROW()-2,6)+1)="","",IFERROR(1*INDEX('CONTROLE PRODUÇÃO POR EMPRESAS'!$B$6:$G$5000,MATCH($A1170,'CONTROLE PRODUÇÃO POR EMPRESAS'!$A$6:$A$5000,0),MOD(ROW()-2,6)+1),"")),"")</f>
        <v/>
      </c>
      <c r="I1170" s="159">
        <f>IF(OR(NOT(ISNUMBER(G1170)),NOT(ISNUMBER(H1170))),"",H1170-G1170)</f>
        <v/>
      </c>
      <c r="J1170" s="319">
        <f>IF(OR(NOT(ISNUMBER(G1170)),NOT(ISNUMBER(H1170)),G1170=0),"",I1170/G1170)</f>
        <v/>
      </c>
      <c r="K1170" s="319">
        <f>IF(OR(NOT(ISNUMBER(G1170)),NOT(ISNUMBER(H1170)),G1170=0),"",H1170/G1170)</f>
        <v/>
      </c>
      <c r="L1170">
        <f>IF(NOT(ISNUMBER(G1170)),"SEM META",IF(G1170=0,"SEM META",IF(NOT(ISNUMBER(H1170)),"SEM APONTAMENTO",IF(H1170&gt;=G1170,"VERDE",IF(H1170&gt;=G1170*0.9,"AMARELO","VERMELHO")))))</f>
        <v/>
      </c>
      <c r="M1170" s="162" t="n"/>
      <c r="N1170" s="162" t="n"/>
      <c r="O1170" s="162" t="n"/>
      <c r="P1170" s="162" t="n"/>
      <c r="Q1170" s="320" t="n"/>
      <c r="R1170" s="162" t="inlineStr">
        <is>
          <t>CONTROLE PRODUÇÃO POR EMPRESAS!F200</t>
        </is>
      </c>
    </row>
    <row r="1171" ht="28.5" customHeight="1">
      <c r="A1171" s="317" t="n">
        <v>46417</v>
      </c>
      <c r="B1171" t="inlineStr">
        <is>
          <t>GERAL</t>
        </is>
      </c>
      <c r="C1171" t="inlineStr">
        <is>
          <t>CMM</t>
        </is>
      </c>
      <c r="D1171" t="inlineStr">
        <is>
          <t>VIGAS</t>
        </is>
      </c>
      <c r="F1171" s="159">
        <f>IFERROR(INDEX('BASE METAS DIÁRIAS'!$N$2:$S$358,MATCH($A1171,'BASE METAS DIÁRIAS'!$A$2:$A$358,0),MOD(ROW()-2,6)+1),"")</f>
        <v/>
      </c>
      <c r="G1171" s="159">
        <f>IFERROR(IF(WEEKDAY($A1171,2)&lt;=INDEX('BASE METAS DIÁRIAS'!$H$2:$M$358,MATCH($A1171,'BASE METAS DIÁRIAS'!$A$2:$A$358,0),MOD(ROW()-2,6)+1),INDEX('BASE METAS DIÁRIAS'!$B$2:$G$358,MATCH($A1171,'BASE METAS DIÁRIAS'!$A$2:$A$358,0),MOD(ROW()-2,6)+1),""),"")</f>
        <v/>
      </c>
      <c r="H1171" s="159">
        <f>IFERROR(IF(INDEX('CONTROLE PRODUÇÃO POR EMPRESAS'!$B$6:$G$5000,MATCH($A1171,'CONTROLE PRODUÇÃO POR EMPRESAS'!$A$6:$A$5000,0),MOD(ROW()-2,6)+1)="","",IFERROR(1*INDEX('CONTROLE PRODUÇÃO POR EMPRESAS'!$B$6:$G$5000,MATCH($A1171,'CONTROLE PRODUÇÃO POR EMPRESAS'!$A$6:$A$5000,0),MOD(ROW()-2,6)+1),"")),"")</f>
        <v/>
      </c>
      <c r="I1171" s="159">
        <f>IF(OR(NOT(ISNUMBER(G1171)),NOT(ISNUMBER(H1171))),"",H1171-G1171)</f>
        <v/>
      </c>
      <c r="J1171" s="319">
        <f>IF(OR(NOT(ISNUMBER(G1171)),NOT(ISNUMBER(H1171)),G1171=0),"",I1171/G1171)</f>
        <v/>
      </c>
      <c r="K1171" s="319">
        <f>IF(OR(NOT(ISNUMBER(G1171)),NOT(ISNUMBER(H1171)),G1171=0),"",H1171/G1171)</f>
        <v/>
      </c>
      <c r="L1171">
        <f>IF(NOT(ISNUMBER(G1171)),"SEM META",IF(G1171=0,"SEM META",IF(NOT(ISNUMBER(H1171)),"SEM APONTAMENTO",IF(H1171&gt;=G1171,"VERDE",IF(H1171&gt;=G1171*0.9,"AMARELO","VERMELHO")))))</f>
        <v/>
      </c>
      <c r="M1171" s="162" t="n"/>
      <c r="N1171" s="162" t="n"/>
      <c r="O1171" s="162" t="n"/>
      <c r="P1171" s="162" t="n"/>
      <c r="Q1171" s="320" t="n"/>
      <c r="R1171" s="162" t="inlineStr">
        <is>
          <t>CONTROLE PRODUÇÃO POR EMPRESAS!G200</t>
        </is>
      </c>
    </row>
    <row r="1172" ht="28.5" customHeight="1">
      <c r="A1172" s="317" t="n">
        <v>46418</v>
      </c>
      <c r="B1172" t="inlineStr">
        <is>
          <t>GERAL</t>
        </is>
      </c>
      <c r="C1172" t="inlineStr">
        <is>
          <t>EJ</t>
        </is>
      </c>
      <c r="D1172" t="inlineStr">
        <is>
          <t>PREMONTAGEM</t>
        </is>
      </c>
      <c r="F1172" s="159">
        <f>IFERROR(INDEX('BASE METAS DIÁRIAS'!$N$2:$S$358,MATCH($A1172,'BASE METAS DIÁRIAS'!$A$2:$A$358,0),MOD(ROW()-2,6)+1),"")</f>
        <v/>
      </c>
      <c r="G1172" s="159">
        <f>IFERROR(IF(WEEKDAY($A1172,2)&lt;=INDEX('BASE METAS DIÁRIAS'!$H$2:$M$358,MATCH($A1172,'BASE METAS DIÁRIAS'!$A$2:$A$358,0),MOD(ROW()-2,6)+1),INDEX('BASE METAS DIÁRIAS'!$B$2:$G$358,MATCH($A1172,'BASE METAS DIÁRIAS'!$A$2:$A$358,0),MOD(ROW()-2,6)+1),""),"")</f>
        <v/>
      </c>
      <c r="H1172" s="159">
        <f>IFERROR(IF(INDEX('CONTROLE PRODUÇÃO POR EMPRESAS'!$B$6:$G$5000,MATCH($A1172,'CONTROLE PRODUÇÃO POR EMPRESAS'!$A$6:$A$5000,0),MOD(ROW()-2,6)+1)="","",IFERROR(1*INDEX('CONTROLE PRODUÇÃO POR EMPRESAS'!$B$6:$G$5000,MATCH($A1172,'CONTROLE PRODUÇÃO POR EMPRESAS'!$A$6:$A$5000,0),MOD(ROW()-2,6)+1),"")),"")</f>
        <v/>
      </c>
      <c r="I1172" s="159">
        <f>IF(OR(NOT(ISNUMBER(G1172)),NOT(ISNUMBER(H1172))),"",H1172-G1172)</f>
        <v/>
      </c>
      <c r="J1172" s="319">
        <f>IF(OR(NOT(ISNUMBER(G1172)),NOT(ISNUMBER(H1172)),G1172=0),"",I1172/G1172)</f>
        <v/>
      </c>
      <c r="K1172" s="319">
        <f>IF(OR(NOT(ISNUMBER(G1172)),NOT(ISNUMBER(H1172)),G1172=0),"",H1172/G1172)</f>
        <v/>
      </c>
      <c r="L1172">
        <f>IF(NOT(ISNUMBER(G1172)),"SEM META",IF(G1172=0,"SEM META",IF(NOT(ISNUMBER(H1172)),"SEM APONTAMENTO",IF(H1172&gt;=G1172,"VERDE",IF(H1172&gt;=G1172*0.9,"AMARELO","VERMELHO")))))</f>
        <v/>
      </c>
      <c r="M1172" s="162" t="n"/>
      <c r="N1172" s="162" t="n"/>
      <c r="O1172" s="162" t="n"/>
      <c r="P1172" s="162" t="n"/>
      <c r="Q1172" s="320" t="n"/>
      <c r="R1172" s="162" t="inlineStr">
        <is>
          <t>CONTROLE PRODUÇÃO POR EMPRESAS!B201</t>
        </is>
      </c>
    </row>
    <row r="1173" ht="28.5" customHeight="1">
      <c r="A1173" s="317" t="n">
        <v>46418</v>
      </c>
      <c r="B1173" t="inlineStr">
        <is>
          <t>GERAL</t>
        </is>
      </c>
      <c r="C1173" t="inlineStr">
        <is>
          <t>EJ</t>
        </is>
      </c>
      <c r="D1173" t="inlineStr">
        <is>
          <t>IÇAMENTO JOIST</t>
        </is>
      </c>
      <c r="F1173" s="159">
        <f>IFERROR(INDEX('BASE METAS DIÁRIAS'!$N$2:$S$358,MATCH($A1173,'BASE METAS DIÁRIAS'!$A$2:$A$358,0),MOD(ROW()-2,6)+1),"")</f>
        <v/>
      </c>
      <c r="G1173" s="159">
        <f>IFERROR(IF(WEEKDAY($A1173,2)&lt;=INDEX('BASE METAS DIÁRIAS'!$H$2:$M$358,MATCH($A1173,'BASE METAS DIÁRIAS'!$A$2:$A$358,0),MOD(ROW()-2,6)+1),INDEX('BASE METAS DIÁRIAS'!$B$2:$G$358,MATCH($A1173,'BASE METAS DIÁRIAS'!$A$2:$A$358,0),MOD(ROW()-2,6)+1),""),"")</f>
        <v/>
      </c>
      <c r="H1173" s="159">
        <f>IFERROR(IF(INDEX('CONTROLE PRODUÇÃO POR EMPRESAS'!$B$6:$G$5000,MATCH($A1173,'CONTROLE PRODUÇÃO POR EMPRESAS'!$A$6:$A$5000,0),MOD(ROW()-2,6)+1)="","",IFERROR(1*INDEX('CONTROLE PRODUÇÃO POR EMPRESAS'!$B$6:$G$5000,MATCH($A1173,'CONTROLE PRODUÇÃO POR EMPRESAS'!$A$6:$A$5000,0),MOD(ROW()-2,6)+1),"")),"")</f>
        <v/>
      </c>
      <c r="I1173" s="159">
        <f>IF(OR(NOT(ISNUMBER(G1173)),NOT(ISNUMBER(H1173))),"",H1173-G1173)</f>
        <v/>
      </c>
      <c r="J1173" s="319">
        <f>IF(OR(NOT(ISNUMBER(G1173)),NOT(ISNUMBER(H1173)),G1173=0),"",I1173/G1173)</f>
        <v/>
      </c>
      <c r="K1173" s="319">
        <f>IF(OR(NOT(ISNUMBER(G1173)),NOT(ISNUMBER(H1173)),G1173=0),"",H1173/G1173)</f>
        <v/>
      </c>
      <c r="L1173">
        <f>IF(NOT(ISNUMBER(G1173)),"SEM META",IF(G1173=0,"SEM META",IF(NOT(ISNUMBER(H1173)),"SEM APONTAMENTO",IF(H1173&gt;=G1173,"VERDE",IF(H1173&gt;=G1173*0.9,"AMARELO","VERMELHO")))))</f>
        <v/>
      </c>
      <c r="M1173" s="162" t="n"/>
      <c r="N1173" s="162" t="n"/>
      <c r="O1173" s="162" t="n"/>
      <c r="P1173" s="162" t="n"/>
      <c r="Q1173" s="320" t="n"/>
      <c r="R1173" s="162" t="inlineStr">
        <is>
          <t>CONTROLE PRODUÇÃO POR EMPRESAS!C201</t>
        </is>
      </c>
    </row>
    <row r="1174" ht="28.5" customHeight="1">
      <c r="A1174" s="317" t="n">
        <v>46418</v>
      </c>
      <c r="B1174" t="inlineStr">
        <is>
          <t>GERAL</t>
        </is>
      </c>
      <c r="C1174" t="inlineStr">
        <is>
          <t>EJ</t>
        </is>
      </c>
      <c r="D1174" t="inlineStr">
        <is>
          <t>VIGAS</t>
        </is>
      </c>
      <c r="F1174" s="159">
        <f>IFERROR(INDEX('BASE METAS DIÁRIAS'!$N$2:$S$358,MATCH($A1174,'BASE METAS DIÁRIAS'!$A$2:$A$358,0),MOD(ROW()-2,6)+1),"")</f>
        <v/>
      </c>
      <c r="G1174" s="159">
        <f>IFERROR(IF(WEEKDAY($A1174,2)&lt;=INDEX('BASE METAS DIÁRIAS'!$H$2:$M$358,MATCH($A1174,'BASE METAS DIÁRIAS'!$A$2:$A$358,0),MOD(ROW()-2,6)+1),INDEX('BASE METAS DIÁRIAS'!$B$2:$G$358,MATCH($A1174,'BASE METAS DIÁRIAS'!$A$2:$A$358,0),MOD(ROW()-2,6)+1),""),"")</f>
        <v/>
      </c>
      <c r="H1174" s="159">
        <f>IFERROR(IF(INDEX('CONTROLE PRODUÇÃO POR EMPRESAS'!$B$6:$G$5000,MATCH($A1174,'CONTROLE PRODUÇÃO POR EMPRESAS'!$A$6:$A$5000,0),MOD(ROW()-2,6)+1)="","",IFERROR(1*INDEX('CONTROLE PRODUÇÃO POR EMPRESAS'!$B$6:$G$5000,MATCH($A1174,'CONTROLE PRODUÇÃO POR EMPRESAS'!$A$6:$A$5000,0),MOD(ROW()-2,6)+1),"")),"")</f>
        <v/>
      </c>
      <c r="I1174" s="159">
        <f>IF(OR(NOT(ISNUMBER(G1174)),NOT(ISNUMBER(H1174))),"",H1174-G1174)</f>
        <v/>
      </c>
      <c r="J1174" s="319">
        <f>IF(OR(NOT(ISNUMBER(G1174)),NOT(ISNUMBER(H1174)),G1174=0),"",I1174/G1174)</f>
        <v/>
      </c>
      <c r="K1174" s="319">
        <f>IF(OR(NOT(ISNUMBER(G1174)),NOT(ISNUMBER(H1174)),G1174=0),"",H1174/G1174)</f>
        <v/>
      </c>
      <c r="L1174">
        <f>IF(NOT(ISNUMBER(G1174)),"SEM META",IF(G1174=0,"SEM META",IF(NOT(ISNUMBER(H1174)),"SEM APONTAMENTO",IF(H1174&gt;=G1174,"VERDE",IF(H1174&gt;=G1174*0.9,"AMARELO","VERMELHO")))))</f>
        <v/>
      </c>
      <c r="M1174" s="162" t="n"/>
      <c r="N1174" s="162" t="n"/>
      <c r="O1174" s="162" t="n"/>
      <c r="P1174" s="162" t="n"/>
      <c r="Q1174" s="320" t="n"/>
      <c r="R1174" s="162" t="inlineStr">
        <is>
          <t>CONTROLE PRODUÇÃO POR EMPRESAS!D201</t>
        </is>
      </c>
    </row>
    <row r="1175" ht="28.5" customHeight="1">
      <c r="A1175" s="317" t="n">
        <v>46418</v>
      </c>
      <c r="B1175" t="inlineStr">
        <is>
          <t>GERAL</t>
        </is>
      </c>
      <c r="C1175" t="inlineStr">
        <is>
          <t>CMM</t>
        </is>
      </c>
      <c r="D1175" t="inlineStr">
        <is>
          <t>PREMONTAGEM</t>
        </is>
      </c>
      <c r="F1175" s="159">
        <f>IFERROR(INDEX('BASE METAS DIÁRIAS'!$N$2:$S$358,MATCH($A1175,'BASE METAS DIÁRIAS'!$A$2:$A$358,0),MOD(ROW()-2,6)+1),"")</f>
        <v/>
      </c>
      <c r="G1175" s="159">
        <f>IFERROR(IF(WEEKDAY($A1175,2)&lt;=INDEX('BASE METAS DIÁRIAS'!$H$2:$M$358,MATCH($A1175,'BASE METAS DIÁRIAS'!$A$2:$A$358,0),MOD(ROW()-2,6)+1),INDEX('BASE METAS DIÁRIAS'!$B$2:$G$358,MATCH($A1175,'BASE METAS DIÁRIAS'!$A$2:$A$358,0),MOD(ROW()-2,6)+1),""),"")</f>
        <v/>
      </c>
      <c r="H1175" s="159">
        <f>IFERROR(IF(INDEX('CONTROLE PRODUÇÃO POR EMPRESAS'!$B$6:$G$5000,MATCH($A1175,'CONTROLE PRODUÇÃO POR EMPRESAS'!$A$6:$A$5000,0),MOD(ROW()-2,6)+1)="","",IFERROR(1*INDEX('CONTROLE PRODUÇÃO POR EMPRESAS'!$B$6:$G$5000,MATCH($A1175,'CONTROLE PRODUÇÃO POR EMPRESAS'!$A$6:$A$5000,0),MOD(ROW()-2,6)+1),"")),"")</f>
        <v/>
      </c>
      <c r="I1175" s="159">
        <f>IF(OR(NOT(ISNUMBER(G1175)),NOT(ISNUMBER(H1175))),"",H1175-G1175)</f>
        <v/>
      </c>
      <c r="J1175" s="319">
        <f>IF(OR(NOT(ISNUMBER(G1175)),NOT(ISNUMBER(H1175)),G1175=0),"",I1175/G1175)</f>
        <v/>
      </c>
      <c r="K1175" s="319">
        <f>IF(OR(NOT(ISNUMBER(G1175)),NOT(ISNUMBER(H1175)),G1175=0),"",H1175/G1175)</f>
        <v/>
      </c>
      <c r="L1175">
        <f>IF(NOT(ISNUMBER(G1175)),"SEM META",IF(G1175=0,"SEM META",IF(NOT(ISNUMBER(H1175)),"SEM APONTAMENTO",IF(H1175&gt;=G1175,"VERDE",IF(H1175&gt;=G1175*0.9,"AMARELO","VERMELHO")))))</f>
        <v/>
      </c>
      <c r="M1175" s="162" t="n"/>
      <c r="N1175" s="162" t="n"/>
      <c r="O1175" s="162" t="n"/>
      <c r="P1175" s="162" t="n"/>
      <c r="Q1175" s="320" t="n"/>
      <c r="R1175" s="162" t="inlineStr">
        <is>
          <t>CONTROLE PRODUÇÃO POR EMPRESAS!E201</t>
        </is>
      </c>
    </row>
    <row r="1176" ht="28.5" customHeight="1">
      <c r="A1176" s="317" t="n">
        <v>46418</v>
      </c>
      <c r="B1176" t="inlineStr">
        <is>
          <t>GERAL</t>
        </is>
      </c>
      <c r="C1176" t="inlineStr">
        <is>
          <t>CMM</t>
        </is>
      </c>
      <c r="D1176" t="inlineStr">
        <is>
          <t>IÇAMENTO JOIST</t>
        </is>
      </c>
      <c r="F1176" s="159">
        <f>IFERROR(INDEX('BASE METAS DIÁRIAS'!$N$2:$S$358,MATCH($A1176,'BASE METAS DIÁRIAS'!$A$2:$A$358,0),MOD(ROW()-2,6)+1),"")</f>
        <v/>
      </c>
      <c r="G1176" s="159">
        <f>IFERROR(IF(WEEKDAY($A1176,2)&lt;=INDEX('BASE METAS DIÁRIAS'!$H$2:$M$358,MATCH($A1176,'BASE METAS DIÁRIAS'!$A$2:$A$358,0),MOD(ROW()-2,6)+1),INDEX('BASE METAS DIÁRIAS'!$B$2:$G$358,MATCH($A1176,'BASE METAS DIÁRIAS'!$A$2:$A$358,0),MOD(ROW()-2,6)+1),""),"")</f>
        <v/>
      </c>
      <c r="H1176" s="159">
        <f>IFERROR(IF(INDEX('CONTROLE PRODUÇÃO POR EMPRESAS'!$B$6:$G$5000,MATCH($A1176,'CONTROLE PRODUÇÃO POR EMPRESAS'!$A$6:$A$5000,0),MOD(ROW()-2,6)+1)="","",IFERROR(1*INDEX('CONTROLE PRODUÇÃO POR EMPRESAS'!$B$6:$G$5000,MATCH($A1176,'CONTROLE PRODUÇÃO POR EMPRESAS'!$A$6:$A$5000,0),MOD(ROW()-2,6)+1),"")),"")</f>
        <v/>
      </c>
      <c r="I1176" s="159">
        <f>IF(OR(NOT(ISNUMBER(G1176)),NOT(ISNUMBER(H1176))),"",H1176-G1176)</f>
        <v/>
      </c>
      <c r="J1176" s="319">
        <f>IF(OR(NOT(ISNUMBER(G1176)),NOT(ISNUMBER(H1176)),G1176=0),"",I1176/G1176)</f>
        <v/>
      </c>
      <c r="K1176" s="319">
        <f>IF(OR(NOT(ISNUMBER(G1176)),NOT(ISNUMBER(H1176)),G1176=0),"",H1176/G1176)</f>
        <v/>
      </c>
      <c r="L1176">
        <f>IF(NOT(ISNUMBER(G1176)),"SEM META",IF(G1176=0,"SEM META",IF(NOT(ISNUMBER(H1176)),"SEM APONTAMENTO",IF(H1176&gt;=G1176,"VERDE",IF(H1176&gt;=G1176*0.9,"AMARELO","VERMELHO")))))</f>
        <v/>
      </c>
      <c r="M1176" s="162" t="n"/>
      <c r="N1176" s="162" t="n"/>
      <c r="O1176" s="162" t="n"/>
      <c r="P1176" s="162" t="n"/>
      <c r="Q1176" s="320" t="n"/>
      <c r="R1176" s="162" t="inlineStr">
        <is>
          <t>CONTROLE PRODUÇÃO POR EMPRESAS!F201</t>
        </is>
      </c>
    </row>
    <row r="1177" ht="28.5" customHeight="1">
      <c r="A1177" s="317" t="n">
        <v>46418</v>
      </c>
      <c r="B1177" t="inlineStr">
        <is>
          <t>GERAL</t>
        </is>
      </c>
      <c r="C1177" t="inlineStr">
        <is>
          <t>CMM</t>
        </is>
      </c>
      <c r="D1177" t="inlineStr">
        <is>
          <t>VIGAS</t>
        </is>
      </c>
      <c r="F1177" s="159">
        <f>IFERROR(INDEX('BASE METAS DIÁRIAS'!$N$2:$S$358,MATCH($A1177,'BASE METAS DIÁRIAS'!$A$2:$A$358,0),MOD(ROW()-2,6)+1),"")</f>
        <v/>
      </c>
      <c r="G1177" s="159">
        <f>IFERROR(IF(WEEKDAY($A1177,2)&lt;=INDEX('BASE METAS DIÁRIAS'!$H$2:$M$358,MATCH($A1177,'BASE METAS DIÁRIAS'!$A$2:$A$358,0),MOD(ROW()-2,6)+1),INDEX('BASE METAS DIÁRIAS'!$B$2:$G$358,MATCH($A1177,'BASE METAS DIÁRIAS'!$A$2:$A$358,0),MOD(ROW()-2,6)+1),""),"")</f>
        <v/>
      </c>
      <c r="H1177" s="159">
        <f>IFERROR(IF(INDEX('CONTROLE PRODUÇÃO POR EMPRESAS'!$B$6:$G$5000,MATCH($A1177,'CONTROLE PRODUÇÃO POR EMPRESAS'!$A$6:$A$5000,0),MOD(ROW()-2,6)+1)="","",IFERROR(1*INDEX('CONTROLE PRODUÇÃO POR EMPRESAS'!$B$6:$G$5000,MATCH($A1177,'CONTROLE PRODUÇÃO POR EMPRESAS'!$A$6:$A$5000,0),MOD(ROW()-2,6)+1),"")),"")</f>
        <v/>
      </c>
      <c r="I1177" s="159">
        <f>IF(OR(NOT(ISNUMBER(G1177)),NOT(ISNUMBER(H1177))),"",H1177-G1177)</f>
        <v/>
      </c>
      <c r="J1177" s="319">
        <f>IF(OR(NOT(ISNUMBER(G1177)),NOT(ISNUMBER(H1177)),G1177=0),"",I1177/G1177)</f>
        <v/>
      </c>
      <c r="K1177" s="319">
        <f>IF(OR(NOT(ISNUMBER(G1177)),NOT(ISNUMBER(H1177)),G1177=0),"",H1177/G1177)</f>
        <v/>
      </c>
      <c r="L1177">
        <f>IF(NOT(ISNUMBER(G1177)),"SEM META",IF(G1177=0,"SEM META",IF(NOT(ISNUMBER(H1177)),"SEM APONTAMENTO",IF(H1177&gt;=G1177,"VERDE",IF(H1177&gt;=G1177*0.9,"AMARELO","VERMELHO")))))</f>
        <v/>
      </c>
      <c r="M1177" s="162" t="n"/>
      <c r="N1177" s="162" t="n"/>
      <c r="O1177" s="162" t="n"/>
      <c r="P1177" s="162" t="n"/>
      <c r="Q1177" s="320" t="n"/>
      <c r="R1177" s="162" t="inlineStr">
        <is>
          <t>CONTROLE PRODUÇÃO POR EMPRESAS!G201</t>
        </is>
      </c>
    </row>
    <row r="1178" ht="28.5" customHeight="1">
      <c r="A1178" s="317" t="n">
        <v>46419</v>
      </c>
      <c r="B1178" t="inlineStr">
        <is>
          <t>GERAL</t>
        </is>
      </c>
      <c r="C1178" t="inlineStr">
        <is>
          <t>EJ</t>
        </is>
      </c>
      <c r="D1178" t="inlineStr">
        <is>
          <t>PREMONTAGEM</t>
        </is>
      </c>
      <c r="F1178" s="159">
        <f>IFERROR(INDEX('BASE METAS DIÁRIAS'!$N$2:$S$358,MATCH($A1178,'BASE METAS DIÁRIAS'!$A$2:$A$358,0),MOD(ROW()-2,6)+1),"")</f>
        <v/>
      </c>
      <c r="G1178" s="159">
        <f>IFERROR(IF(WEEKDAY($A1178,2)&lt;=INDEX('BASE METAS DIÁRIAS'!$H$2:$M$358,MATCH($A1178,'BASE METAS DIÁRIAS'!$A$2:$A$358,0),MOD(ROW()-2,6)+1),INDEX('BASE METAS DIÁRIAS'!$B$2:$G$358,MATCH($A1178,'BASE METAS DIÁRIAS'!$A$2:$A$358,0),MOD(ROW()-2,6)+1),""),"")</f>
        <v/>
      </c>
      <c r="H1178" s="159">
        <f>IFERROR(IF(INDEX('CONTROLE PRODUÇÃO POR EMPRESAS'!$B$6:$G$5000,MATCH($A1178,'CONTROLE PRODUÇÃO POR EMPRESAS'!$A$6:$A$5000,0),MOD(ROW()-2,6)+1)="","",IFERROR(1*INDEX('CONTROLE PRODUÇÃO POR EMPRESAS'!$B$6:$G$5000,MATCH($A1178,'CONTROLE PRODUÇÃO POR EMPRESAS'!$A$6:$A$5000,0),MOD(ROW()-2,6)+1),"")),"")</f>
        <v/>
      </c>
      <c r="I1178" s="159">
        <f>IF(OR(NOT(ISNUMBER(G1178)),NOT(ISNUMBER(H1178))),"",H1178-G1178)</f>
        <v/>
      </c>
      <c r="J1178" s="319">
        <f>IF(OR(NOT(ISNUMBER(G1178)),NOT(ISNUMBER(H1178)),G1178=0),"",I1178/G1178)</f>
        <v/>
      </c>
      <c r="K1178" s="319">
        <f>IF(OR(NOT(ISNUMBER(G1178)),NOT(ISNUMBER(H1178)),G1178=0),"",H1178/G1178)</f>
        <v/>
      </c>
      <c r="L1178">
        <f>IF(NOT(ISNUMBER(G1178)),"SEM META",IF(G1178=0,"SEM META",IF(NOT(ISNUMBER(H1178)),"SEM APONTAMENTO",IF(H1178&gt;=G1178,"VERDE",IF(H1178&gt;=G1178*0.9,"AMARELO","VERMELHO")))))</f>
        <v/>
      </c>
      <c r="M1178" s="162" t="n"/>
      <c r="N1178" s="162" t="n"/>
      <c r="O1178" s="162" t="n"/>
      <c r="P1178" s="162" t="n"/>
      <c r="Q1178" s="320" t="n"/>
      <c r="R1178" s="162" t="inlineStr">
        <is>
          <t>CONTROLE PRODUÇÃO POR EMPRESAS!B202</t>
        </is>
      </c>
    </row>
    <row r="1179" ht="28.5" customHeight="1">
      <c r="A1179" s="317" t="n">
        <v>46419</v>
      </c>
      <c r="B1179" t="inlineStr">
        <is>
          <t>GERAL</t>
        </is>
      </c>
      <c r="C1179" t="inlineStr">
        <is>
          <t>EJ</t>
        </is>
      </c>
      <c r="D1179" t="inlineStr">
        <is>
          <t>IÇAMENTO JOIST</t>
        </is>
      </c>
      <c r="F1179" s="159">
        <f>IFERROR(INDEX('BASE METAS DIÁRIAS'!$N$2:$S$358,MATCH($A1179,'BASE METAS DIÁRIAS'!$A$2:$A$358,0),MOD(ROW()-2,6)+1),"")</f>
        <v/>
      </c>
      <c r="G1179" s="159">
        <f>IFERROR(IF(WEEKDAY($A1179,2)&lt;=INDEX('BASE METAS DIÁRIAS'!$H$2:$M$358,MATCH($A1179,'BASE METAS DIÁRIAS'!$A$2:$A$358,0),MOD(ROW()-2,6)+1),INDEX('BASE METAS DIÁRIAS'!$B$2:$G$358,MATCH($A1179,'BASE METAS DIÁRIAS'!$A$2:$A$358,0),MOD(ROW()-2,6)+1),""),"")</f>
        <v/>
      </c>
      <c r="H1179" s="159">
        <f>IFERROR(IF(INDEX('CONTROLE PRODUÇÃO POR EMPRESAS'!$B$6:$G$5000,MATCH($A1179,'CONTROLE PRODUÇÃO POR EMPRESAS'!$A$6:$A$5000,0),MOD(ROW()-2,6)+1)="","",IFERROR(1*INDEX('CONTROLE PRODUÇÃO POR EMPRESAS'!$B$6:$G$5000,MATCH($A1179,'CONTROLE PRODUÇÃO POR EMPRESAS'!$A$6:$A$5000,0),MOD(ROW()-2,6)+1),"")),"")</f>
        <v/>
      </c>
      <c r="I1179" s="159">
        <f>IF(OR(NOT(ISNUMBER(G1179)),NOT(ISNUMBER(H1179))),"",H1179-G1179)</f>
        <v/>
      </c>
      <c r="J1179" s="319">
        <f>IF(OR(NOT(ISNUMBER(G1179)),NOT(ISNUMBER(H1179)),G1179=0),"",I1179/G1179)</f>
        <v/>
      </c>
      <c r="K1179" s="319">
        <f>IF(OR(NOT(ISNUMBER(G1179)),NOT(ISNUMBER(H1179)),G1179=0),"",H1179/G1179)</f>
        <v/>
      </c>
      <c r="L1179">
        <f>IF(NOT(ISNUMBER(G1179)),"SEM META",IF(G1179=0,"SEM META",IF(NOT(ISNUMBER(H1179)),"SEM APONTAMENTO",IF(H1179&gt;=G1179,"VERDE",IF(H1179&gt;=G1179*0.9,"AMARELO","VERMELHO")))))</f>
        <v/>
      </c>
      <c r="M1179" s="162" t="n"/>
      <c r="N1179" s="162" t="n"/>
      <c r="O1179" s="162" t="n"/>
      <c r="P1179" s="162" t="n"/>
      <c r="Q1179" s="320" t="n"/>
      <c r="R1179" s="162" t="inlineStr">
        <is>
          <t>CONTROLE PRODUÇÃO POR EMPRESAS!C202</t>
        </is>
      </c>
    </row>
    <row r="1180" ht="28.5" customHeight="1">
      <c r="A1180" s="317" t="n">
        <v>46419</v>
      </c>
      <c r="B1180" t="inlineStr">
        <is>
          <t>GERAL</t>
        </is>
      </c>
      <c r="C1180" t="inlineStr">
        <is>
          <t>EJ</t>
        </is>
      </c>
      <c r="D1180" t="inlineStr">
        <is>
          <t>VIGAS</t>
        </is>
      </c>
      <c r="F1180" s="159">
        <f>IFERROR(INDEX('BASE METAS DIÁRIAS'!$N$2:$S$358,MATCH($A1180,'BASE METAS DIÁRIAS'!$A$2:$A$358,0),MOD(ROW()-2,6)+1),"")</f>
        <v/>
      </c>
      <c r="G1180" s="159">
        <f>IFERROR(IF(WEEKDAY($A1180,2)&lt;=INDEX('BASE METAS DIÁRIAS'!$H$2:$M$358,MATCH($A1180,'BASE METAS DIÁRIAS'!$A$2:$A$358,0),MOD(ROW()-2,6)+1),INDEX('BASE METAS DIÁRIAS'!$B$2:$G$358,MATCH($A1180,'BASE METAS DIÁRIAS'!$A$2:$A$358,0),MOD(ROW()-2,6)+1),""),"")</f>
        <v/>
      </c>
      <c r="H1180" s="159">
        <f>IFERROR(IF(INDEX('CONTROLE PRODUÇÃO POR EMPRESAS'!$B$6:$G$5000,MATCH($A1180,'CONTROLE PRODUÇÃO POR EMPRESAS'!$A$6:$A$5000,0),MOD(ROW()-2,6)+1)="","",IFERROR(1*INDEX('CONTROLE PRODUÇÃO POR EMPRESAS'!$B$6:$G$5000,MATCH($A1180,'CONTROLE PRODUÇÃO POR EMPRESAS'!$A$6:$A$5000,0),MOD(ROW()-2,6)+1),"")),"")</f>
        <v/>
      </c>
      <c r="I1180" s="159">
        <f>IF(OR(NOT(ISNUMBER(G1180)),NOT(ISNUMBER(H1180))),"",H1180-G1180)</f>
        <v/>
      </c>
      <c r="J1180" s="319">
        <f>IF(OR(NOT(ISNUMBER(G1180)),NOT(ISNUMBER(H1180)),G1180=0),"",I1180/G1180)</f>
        <v/>
      </c>
      <c r="K1180" s="319">
        <f>IF(OR(NOT(ISNUMBER(G1180)),NOT(ISNUMBER(H1180)),G1180=0),"",H1180/G1180)</f>
        <v/>
      </c>
      <c r="L1180">
        <f>IF(NOT(ISNUMBER(G1180)),"SEM META",IF(G1180=0,"SEM META",IF(NOT(ISNUMBER(H1180)),"SEM APONTAMENTO",IF(H1180&gt;=G1180,"VERDE",IF(H1180&gt;=G1180*0.9,"AMARELO","VERMELHO")))))</f>
        <v/>
      </c>
      <c r="M1180" s="162" t="n"/>
      <c r="N1180" s="162" t="n"/>
      <c r="O1180" s="162" t="n"/>
      <c r="P1180" s="162" t="n"/>
      <c r="Q1180" s="320" t="n"/>
      <c r="R1180" s="162" t="inlineStr">
        <is>
          <t>CONTROLE PRODUÇÃO POR EMPRESAS!D202</t>
        </is>
      </c>
    </row>
    <row r="1181" ht="28.5" customHeight="1">
      <c r="A1181" s="317" t="n">
        <v>46419</v>
      </c>
      <c r="B1181" t="inlineStr">
        <is>
          <t>GERAL</t>
        </is>
      </c>
      <c r="C1181" t="inlineStr">
        <is>
          <t>CMM</t>
        </is>
      </c>
      <c r="D1181" t="inlineStr">
        <is>
          <t>PREMONTAGEM</t>
        </is>
      </c>
      <c r="F1181" s="159">
        <f>IFERROR(INDEX('BASE METAS DIÁRIAS'!$N$2:$S$358,MATCH($A1181,'BASE METAS DIÁRIAS'!$A$2:$A$358,0),MOD(ROW()-2,6)+1),"")</f>
        <v/>
      </c>
      <c r="G1181" s="159">
        <f>IFERROR(IF(WEEKDAY($A1181,2)&lt;=INDEX('BASE METAS DIÁRIAS'!$H$2:$M$358,MATCH($A1181,'BASE METAS DIÁRIAS'!$A$2:$A$358,0),MOD(ROW()-2,6)+1),INDEX('BASE METAS DIÁRIAS'!$B$2:$G$358,MATCH($A1181,'BASE METAS DIÁRIAS'!$A$2:$A$358,0),MOD(ROW()-2,6)+1),""),"")</f>
        <v/>
      </c>
      <c r="H1181" s="159">
        <f>IFERROR(IF(INDEX('CONTROLE PRODUÇÃO POR EMPRESAS'!$B$6:$G$5000,MATCH($A1181,'CONTROLE PRODUÇÃO POR EMPRESAS'!$A$6:$A$5000,0),MOD(ROW()-2,6)+1)="","",IFERROR(1*INDEX('CONTROLE PRODUÇÃO POR EMPRESAS'!$B$6:$G$5000,MATCH($A1181,'CONTROLE PRODUÇÃO POR EMPRESAS'!$A$6:$A$5000,0),MOD(ROW()-2,6)+1),"")),"")</f>
        <v/>
      </c>
      <c r="I1181" s="159">
        <f>IF(OR(NOT(ISNUMBER(G1181)),NOT(ISNUMBER(H1181))),"",H1181-G1181)</f>
        <v/>
      </c>
      <c r="J1181" s="319">
        <f>IF(OR(NOT(ISNUMBER(G1181)),NOT(ISNUMBER(H1181)),G1181=0),"",I1181/G1181)</f>
        <v/>
      </c>
      <c r="K1181" s="319">
        <f>IF(OR(NOT(ISNUMBER(G1181)),NOT(ISNUMBER(H1181)),G1181=0),"",H1181/G1181)</f>
        <v/>
      </c>
      <c r="L1181">
        <f>IF(NOT(ISNUMBER(G1181)),"SEM META",IF(G1181=0,"SEM META",IF(NOT(ISNUMBER(H1181)),"SEM APONTAMENTO",IF(H1181&gt;=G1181,"VERDE",IF(H1181&gt;=G1181*0.9,"AMARELO","VERMELHO")))))</f>
        <v/>
      </c>
      <c r="M1181" s="162" t="n"/>
      <c r="N1181" s="162" t="n"/>
      <c r="O1181" s="162" t="n"/>
      <c r="P1181" s="162" t="n"/>
      <c r="Q1181" s="320" t="n"/>
      <c r="R1181" s="162" t="inlineStr">
        <is>
          <t>CONTROLE PRODUÇÃO POR EMPRESAS!E202</t>
        </is>
      </c>
    </row>
    <row r="1182" ht="28.5" customHeight="1">
      <c r="A1182" s="317" t="n">
        <v>46419</v>
      </c>
      <c r="B1182" t="inlineStr">
        <is>
          <t>GERAL</t>
        </is>
      </c>
      <c r="C1182" t="inlineStr">
        <is>
          <t>CMM</t>
        </is>
      </c>
      <c r="D1182" t="inlineStr">
        <is>
          <t>IÇAMENTO JOIST</t>
        </is>
      </c>
      <c r="F1182" s="159">
        <f>IFERROR(INDEX('BASE METAS DIÁRIAS'!$N$2:$S$358,MATCH($A1182,'BASE METAS DIÁRIAS'!$A$2:$A$358,0),MOD(ROW()-2,6)+1),"")</f>
        <v/>
      </c>
      <c r="G1182" s="159">
        <f>IFERROR(IF(WEEKDAY($A1182,2)&lt;=INDEX('BASE METAS DIÁRIAS'!$H$2:$M$358,MATCH($A1182,'BASE METAS DIÁRIAS'!$A$2:$A$358,0),MOD(ROW()-2,6)+1),INDEX('BASE METAS DIÁRIAS'!$B$2:$G$358,MATCH($A1182,'BASE METAS DIÁRIAS'!$A$2:$A$358,0),MOD(ROW()-2,6)+1),""),"")</f>
        <v/>
      </c>
      <c r="H1182" s="159">
        <f>IFERROR(IF(INDEX('CONTROLE PRODUÇÃO POR EMPRESAS'!$B$6:$G$5000,MATCH($A1182,'CONTROLE PRODUÇÃO POR EMPRESAS'!$A$6:$A$5000,0),MOD(ROW()-2,6)+1)="","",IFERROR(1*INDEX('CONTROLE PRODUÇÃO POR EMPRESAS'!$B$6:$G$5000,MATCH($A1182,'CONTROLE PRODUÇÃO POR EMPRESAS'!$A$6:$A$5000,0),MOD(ROW()-2,6)+1),"")),"")</f>
        <v/>
      </c>
      <c r="I1182" s="159">
        <f>IF(OR(NOT(ISNUMBER(G1182)),NOT(ISNUMBER(H1182))),"",H1182-G1182)</f>
        <v/>
      </c>
      <c r="J1182" s="319">
        <f>IF(OR(NOT(ISNUMBER(G1182)),NOT(ISNUMBER(H1182)),G1182=0),"",I1182/G1182)</f>
        <v/>
      </c>
      <c r="K1182" s="319">
        <f>IF(OR(NOT(ISNUMBER(G1182)),NOT(ISNUMBER(H1182)),G1182=0),"",H1182/G1182)</f>
        <v/>
      </c>
      <c r="L1182">
        <f>IF(NOT(ISNUMBER(G1182)),"SEM META",IF(G1182=0,"SEM META",IF(NOT(ISNUMBER(H1182)),"SEM APONTAMENTO",IF(H1182&gt;=G1182,"VERDE",IF(H1182&gt;=G1182*0.9,"AMARELO","VERMELHO")))))</f>
        <v/>
      </c>
      <c r="M1182" s="162" t="n"/>
      <c r="N1182" s="162" t="n"/>
      <c r="O1182" s="162" t="n"/>
      <c r="P1182" s="162" t="n"/>
      <c r="Q1182" s="320" t="n"/>
      <c r="R1182" s="162" t="inlineStr">
        <is>
          <t>CONTROLE PRODUÇÃO POR EMPRESAS!F202</t>
        </is>
      </c>
    </row>
    <row r="1183" ht="28.5" customHeight="1">
      <c r="A1183" s="317" t="n">
        <v>46419</v>
      </c>
      <c r="B1183" t="inlineStr">
        <is>
          <t>GERAL</t>
        </is>
      </c>
      <c r="C1183" t="inlineStr">
        <is>
          <t>CMM</t>
        </is>
      </c>
      <c r="D1183" t="inlineStr">
        <is>
          <t>VIGAS</t>
        </is>
      </c>
      <c r="F1183" s="159">
        <f>IFERROR(INDEX('BASE METAS DIÁRIAS'!$N$2:$S$358,MATCH($A1183,'BASE METAS DIÁRIAS'!$A$2:$A$358,0),MOD(ROW()-2,6)+1),"")</f>
        <v/>
      </c>
      <c r="G1183" s="159">
        <f>IFERROR(IF(WEEKDAY($A1183,2)&lt;=INDEX('BASE METAS DIÁRIAS'!$H$2:$M$358,MATCH($A1183,'BASE METAS DIÁRIAS'!$A$2:$A$358,0),MOD(ROW()-2,6)+1),INDEX('BASE METAS DIÁRIAS'!$B$2:$G$358,MATCH($A1183,'BASE METAS DIÁRIAS'!$A$2:$A$358,0),MOD(ROW()-2,6)+1),""),"")</f>
        <v/>
      </c>
      <c r="H1183" s="159">
        <f>IFERROR(IF(INDEX('CONTROLE PRODUÇÃO POR EMPRESAS'!$B$6:$G$5000,MATCH($A1183,'CONTROLE PRODUÇÃO POR EMPRESAS'!$A$6:$A$5000,0),MOD(ROW()-2,6)+1)="","",IFERROR(1*INDEX('CONTROLE PRODUÇÃO POR EMPRESAS'!$B$6:$G$5000,MATCH($A1183,'CONTROLE PRODUÇÃO POR EMPRESAS'!$A$6:$A$5000,0),MOD(ROW()-2,6)+1),"")),"")</f>
        <v/>
      </c>
      <c r="I1183" s="159">
        <f>IF(OR(NOT(ISNUMBER(G1183)),NOT(ISNUMBER(H1183))),"",H1183-G1183)</f>
        <v/>
      </c>
      <c r="J1183" s="319">
        <f>IF(OR(NOT(ISNUMBER(G1183)),NOT(ISNUMBER(H1183)),G1183=0),"",I1183/G1183)</f>
        <v/>
      </c>
      <c r="K1183" s="319">
        <f>IF(OR(NOT(ISNUMBER(G1183)),NOT(ISNUMBER(H1183)),G1183=0),"",H1183/G1183)</f>
        <v/>
      </c>
      <c r="L1183">
        <f>IF(NOT(ISNUMBER(G1183)),"SEM META",IF(G1183=0,"SEM META",IF(NOT(ISNUMBER(H1183)),"SEM APONTAMENTO",IF(H1183&gt;=G1183,"VERDE",IF(H1183&gt;=G1183*0.9,"AMARELO","VERMELHO")))))</f>
        <v/>
      </c>
      <c r="M1183" s="162" t="n"/>
      <c r="N1183" s="162" t="n"/>
      <c r="O1183" s="162" t="n"/>
      <c r="P1183" s="162" t="n"/>
      <c r="Q1183" s="320" t="n"/>
      <c r="R1183" s="162" t="inlineStr">
        <is>
          <t>CONTROLE PRODUÇÃO POR EMPRESAS!G202</t>
        </is>
      </c>
    </row>
    <row r="1184" ht="28.5" customHeight="1">
      <c r="A1184" s="317" t="n">
        <v>46420</v>
      </c>
      <c r="B1184" t="inlineStr">
        <is>
          <t>GERAL</t>
        </is>
      </c>
      <c r="C1184" t="inlineStr">
        <is>
          <t>EJ</t>
        </is>
      </c>
      <c r="D1184" t="inlineStr">
        <is>
          <t>PREMONTAGEM</t>
        </is>
      </c>
      <c r="F1184" s="159">
        <f>IFERROR(INDEX('BASE METAS DIÁRIAS'!$N$2:$S$358,MATCH($A1184,'BASE METAS DIÁRIAS'!$A$2:$A$358,0),MOD(ROW()-2,6)+1),"")</f>
        <v/>
      </c>
      <c r="G1184" s="159">
        <f>IFERROR(IF(WEEKDAY($A1184,2)&lt;=INDEX('BASE METAS DIÁRIAS'!$H$2:$M$358,MATCH($A1184,'BASE METAS DIÁRIAS'!$A$2:$A$358,0),MOD(ROW()-2,6)+1),INDEX('BASE METAS DIÁRIAS'!$B$2:$G$358,MATCH($A1184,'BASE METAS DIÁRIAS'!$A$2:$A$358,0),MOD(ROW()-2,6)+1),""),"")</f>
        <v/>
      </c>
      <c r="H1184" s="159">
        <f>IFERROR(IF(INDEX('CONTROLE PRODUÇÃO POR EMPRESAS'!$B$6:$G$5000,MATCH($A1184,'CONTROLE PRODUÇÃO POR EMPRESAS'!$A$6:$A$5000,0),MOD(ROW()-2,6)+1)="","",IFERROR(1*INDEX('CONTROLE PRODUÇÃO POR EMPRESAS'!$B$6:$G$5000,MATCH($A1184,'CONTROLE PRODUÇÃO POR EMPRESAS'!$A$6:$A$5000,0),MOD(ROW()-2,6)+1),"")),"")</f>
        <v/>
      </c>
      <c r="I1184" s="159">
        <f>IF(OR(NOT(ISNUMBER(G1184)),NOT(ISNUMBER(H1184))),"",H1184-G1184)</f>
        <v/>
      </c>
      <c r="J1184" s="319">
        <f>IF(OR(NOT(ISNUMBER(G1184)),NOT(ISNUMBER(H1184)),G1184=0),"",I1184/G1184)</f>
        <v/>
      </c>
      <c r="K1184" s="319">
        <f>IF(OR(NOT(ISNUMBER(G1184)),NOT(ISNUMBER(H1184)),G1184=0),"",H1184/G1184)</f>
        <v/>
      </c>
      <c r="L1184">
        <f>IF(NOT(ISNUMBER(G1184)),"SEM META",IF(G1184=0,"SEM META",IF(NOT(ISNUMBER(H1184)),"SEM APONTAMENTO",IF(H1184&gt;=G1184,"VERDE",IF(H1184&gt;=G1184*0.9,"AMARELO","VERMELHO")))))</f>
        <v/>
      </c>
      <c r="M1184" s="162" t="n"/>
      <c r="N1184" s="162" t="n"/>
      <c r="O1184" s="162" t="n"/>
      <c r="P1184" s="162" t="n"/>
      <c r="Q1184" s="320" t="n"/>
      <c r="R1184" s="162" t="inlineStr">
        <is>
          <t>CONTROLE PRODUÇÃO POR EMPRESAS!B203</t>
        </is>
      </c>
    </row>
    <row r="1185" ht="28.5" customHeight="1">
      <c r="A1185" s="317" t="n">
        <v>46420</v>
      </c>
      <c r="B1185" t="inlineStr">
        <is>
          <t>GERAL</t>
        </is>
      </c>
      <c r="C1185" t="inlineStr">
        <is>
          <t>EJ</t>
        </is>
      </c>
      <c r="D1185" t="inlineStr">
        <is>
          <t>IÇAMENTO JOIST</t>
        </is>
      </c>
      <c r="F1185" s="159">
        <f>IFERROR(INDEX('BASE METAS DIÁRIAS'!$N$2:$S$358,MATCH($A1185,'BASE METAS DIÁRIAS'!$A$2:$A$358,0),MOD(ROW()-2,6)+1),"")</f>
        <v/>
      </c>
      <c r="G1185" s="159">
        <f>IFERROR(IF(WEEKDAY($A1185,2)&lt;=INDEX('BASE METAS DIÁRIAS'!$H$2:$M$358,MATCH($A1185,'BASE METAS DIÁRIAS'!$A$2:$A$358,0),MOD(ROW()-2,6)+1),INDEX('BASE METAS DIÁRIAS'!$B$2:$G$358,MATCH($A1185,'BASE METAS DIÁRIAS'!$A$2:$A$358,0),MOD(ROW()-2,6)+1),""),"")</f>
        <v/>
      </c>
      <c r="H1185" s="159">
        <f>IFERROR(IF(INDEX('CONTROLE PRODUÇÃO POR EMPRESAS'!$B$6:$G$5000,MATCH($A1185,'CONTROLE PRODUÇÃO POR EMPRESAS'!$A$6:$A$5000,0),MOD(ROW()-2,6)+1)="","",IFERROR(1*INDEX('CONTROLE PRODUÇÃO POR EMPRESAS'!$B$6:$G$5000,MATCH($A1185,'CONTROLE PRODUÇÃO POR EMPRESAS'!$A$6:$A$5000,0),MOD(ROW()-2,6)+1),"")),"")</f>
        <v/>
      </c>
      <c r="I1185" s="159">
        <f>IF(OR(NOT(ISNUMBER(G1185)),NOT(ISNUMBER(H1185))),"",H1185-G1185)</f>
        <v/>
      </c>
      <c r="J1185" s="319">
        <f>IF(OR(NOT(ISNUMBER(G1185)),NOT(ISNUMBER(H1185)),G1185=0),"",I1185/G1185)</f>
        <v/>
      </c>
      <c r="K1185" s="319">
        <f>IF(OR(NOT(ISNUMBER(G1185)),NOT(ISNUMBER(H1185)),G1185=0),"",H1185/G1185)</f>
        <v/>
      </c>
      <c r="L1185">
        <f>IF(NOT(ISNUMBER(G1185)),"SEM META",IF(G1185=0,"SEM META",IF(NOT(ISNUMBER(H1185)),"SEM APONTAMENTO",IF(H1185&gt;=G1185,"VERDE",IF(H1185&gt;=G1185*0.9,"AMARELO","VERMELHO")))))</f>
        <v/>
      </c>
      <c r="M1185" s="162" t="n"/>
      <c r="N1185" s="162" t="n"/>
      <c r="O1185" s="162" t="n"/>
      <c r="P1185" s="162" t="n"/>
      <c r="Q1185" s="320" t="n"/>
      <c r="R1185" s="162" t="inlineStr">
        <is>
          <t>CONTROLE PRODUÇÃO POR EMPRESAS!C203</t>
        </is>
      </c>
    </row>
    <row r="1186" ht="28.5" customHeight="1">
      <c r="A1186" s="317" t="n">
        <v>46420</v>
      </c>
      <c r="B1186" t="inlineStr">
        <is>
          <t>GERAL</t>
        </is>
      </c>
      <c r="C1186" t="inlineStr">
        <is>
          <t>EJ</t>
        </is>
      </c>
      <c r="D1186" t="inlineStr">
        <is>
          <t>VIGAS</t>
        </is>
      </c>
      <c r="F1186" s="159">
        <f>IFERROR(INDEX('BASE METAS DIÁRIAS'!$N$2:$S$358,MATCH($A1186,'BASE METAS DIÁRIAS'!$A$2:$A$358,0),MOD(ROW()-2,6)+1),"")</f>
        <v/>
      </c>
      <c r="G1186" s="159">
        <f>IFERROR(IF(WEEKDAY($A1186,2)&lt;=INDEX('BASE METAS DIÁRIAS'!$H$2:$M$358,MATCH($A1186,'BASE METAS DIÁRIAS'!$A$2:$A$358,0),MOD(ROW()-2,6)+1),INDEX('BASE METAS DIÁRIAS'!$B$2:$G$358,MATCH($A1186,'BASE METAS DIÁRIAS'!$A$2:$A$358,0),MOD(ROW()-2,6)+1),""),"")</f>
        <v/>
      </c>
      <c r="H1186" s="159">
        <f>IFERROR(IF(INDEX('CONTROLE PRODUÇÃO POR EMPRESAS'!$B$6:$G$5000,MATCH($A1186,'CONTROLE PRODUÇÃO POR EMPRESAS'!$A$6:$A$5000,0),MOD(ROW()-2,6)+1)="","",IFERROR(1*INDEX('CONTROLE PRODUÇÃO POR EMPRESAS'!$B$6:$G$5000,MATCH($A1186,'CONTROLE PRODUÇÃO POR EMPRESAS'!$A$6:$A$5000,0),MOD(ROW()-2,6)+1),"")),"")</f>
        <v/>
      </c>
      <c r="I1186" s="159">
        <f>IF(OR(NOT(ISNUMBER(G1186)),NOT(ISNUMBER(H1186))),"",H1186-G1186)</f>
        <v/>
      </c>
      <c r="J1186" s="319">
        <f>IF(OR(NOT(ISNUMBER(G1186)),NOT(ISNUMBER(H1186)),G1186=0),"",I1186/G1186)</f>
        <v/>
      </c>
      <c r="K1186" s="319">
        <f>IF(OR(NOT(ISNUMBER(G1186)),NOT(ISNUMBER(H1186)),G1186=0),"",H1186/G1186)</f>
        <v/>
      </c>
      <c r="L1186">
        <f>IF(NOT(ISNUMBER(G1186)),"SEM META",IF(G1186=0,"SEM META",IF(NOT(ISNUMBER(H1186)),"SEM APONTAMENTO",IF(H1186&gt;=G1186,"VERDE",IF(H1186&gt;=G1186*0.9,"AMARELO","VERMELHO")))))</f>
        <v/>
      </c>
      <c r="M1186" s="162" t="n"/>
      <c r="N1186" s="162" t="n"/>
      <c r="O1186" s="162" t="n"/>
      <c r="P1186" s="162" t="n"/>
      <c r="Q1186" s="320" t="n"/>
      <c r="R1186" s="162" t="inlineStr">
        <is>
          <t>CONTROLE PRODUÇÃO POR EMPRESAS!D203</t>
        </is>
      </c>
    </row>
    <row r="1187" ht="28.5" customHeight="1">
      <c r="A1187" s="317" t="n">
        <v>46420</v>
      </c>
      <c r="B1187" t="inlineStr">
        <is>
          <t>GERAL</t>
        </is>
      </c>
      <c r="C1187" t="inlineStr">
        <is>
          <t>CMM</t>
        </is>
      </c>
      <c r="D1187" t="inlineStr">
        <is>
          <t>PREMONTAGEM</t>
        </is>
      </c>
      <c r="F1187" s="159">
        <f>IFERROR(INDEX('BASE METAS DIÁRIAS'!$N$2:$S$358,MATCH($A1187,'BASE METAS DIÁRIAS'!$A$2:$A$358,0),MOD(ROW()-2,6)+1),"")</f>
        <v/>
      </c>
      <c r="G1187" s="159">
        <f>IFERROR(IF(WEEKDAY($A1187,2)&lt;=INDEX('BASE METAS DIÁRIAS'!$H$2:$M$358,MATCH($A1187,'BASE METAS DIÁRIAS'!$A$2:$A$358,0),MOD(ROW()-2,6)+1),INDEX('BASE METAS DIÁRIAS'!$B$2:$G$358,MATCH($A1187,'BASE METAS DIÁRIAS'!$A$2:$A$358,0),MOD(ROW()-2,6)+1),""),"")</f>
        <v/>
      </c>
      <c r="H1187" s="159">
        <f>IFERROR(IF(INDEX('CONTROLE PRODUÇÃO POR EMPRESAS'!$B$6:$G$5000,MATCH($A1187,'CONTROLE PRODUÇÃO POR EMPRESAS'!$A$6:$A$5000,0),MOD(ROW()-2,6)+1)="","",IFERROR(1*INDEX('CONTROLE PRODUÇÃO POR EMPRESAS'!$B$6:$G$5000,MATCH($A1187,'CONTROLE PRODUÇÃO POR EMPRESAS'!$A$6:$A$5000,0),MOD(ROW()-2,6)+1),"")),"")</f>
        <v/>
      </c>
      <c r="I1187" s="159">
        <f>IF(OR(NOT(ISNUMBER(G1187)),NOT(ISNUMBER(H1187))),"",H1187-G1187)</f>
        <v/>
      </c>
      <c r="J1187" s="319">
        <f>IF(OR(NOT(ISNUMBER(G1187)),NOT(ISNUMBER(H1187)),G1187=0),"",I1187/G1187)</f>
        <v/>
      </c>
      <c r="K1187" s="319">
        <f>IF(OR(NOT(ISNUMBER(G1187)),NOT(ISNUMBER(H1187)),G1187=0),"",H1187/G1187)</f>
        <v/>
      </c>
      <c r="L1187">
        <f>IF(NOT(ISNUMBER(G1187)),"SEM META",IF(G1187=0,"SEM META",IF(NOT(ISNUMBER(H1187)),"SEM APONTAMENTO",IF(H1187&gt;=G1187,"VERDE",IF(H1187&gt;=G1187*0.9,"AMARELO","VERMELHO")))))</f>
        <v/>
      </c>
      <c r="M1187" s="162" t="n"/>
      <c r="N1187" s="162" t="n"/>
      <c r="O1187" s="162" t="n"/>
      <c r="P1187" s="162" t="n"/>
      <c r="Q1187" s="320" t="n"/>
      <c r="R1187" s="162" t="inlineStr">
        <is>
          <t>CONTROLE PRODUÇÃO POR EMPRESAS!E203</t>
        </is>
      </c>
    </row>
    <row r="1188" ht="28.5" customHeight="1">
      <c r="A1188" s="317" t="n">
        <v>46420</v>
      </c>
      <c r="B1188" t="inlineStr">
        <is>
          <t>GERAL</t>
        </is>
      </c>
      <c r="C1188" t="inlineStr">
        <is>
          <t>CMM</t>
        </is>
      </c>
      <c r="D1188" t="inlineStr">
        <is>
          <t>IÇAMENTO JOIST</t>
        </is>
      </c>
      <c r="F1188" s="159">
        <f>IFERROR(INDEX('BASE METAS DIÁRIAS'!$N$2:$S$358,MATCH($A1188,'BASE METAS DIÁRIAS'!$A$2:$A$358,0),MOD(ROW()-2,6)+1),"")</f>
        <v/>
      </c>
      <c r="G1188" s="159">
        <f>IFERROR(IF(WEEKDAY($A1188,2)&lt;=INDEX('BASE METAS DIÁRIAS'!$H$2:$M$358,MATCH($A1188,'BASE METAS DIÁRIAS'!$A$2:$A$358,0),MOD(ROW()-2,6)+1),INDEX('BASE METAS DIÁRIAS'!$B$2:$G$358,MATCH($A1188,'BASE METAS DIÁRIAS'!$A$2:$A$358,0),MOD(ROW()-2,6)+1),""),"")</f>
        <v/>
      </c>
      <c r="H1188" s="159">
        <f>IFERROR(IF(INDEX('CONTROLE PRODUÇÃO POR EMPRESAS'!$B$6:$G$5000,MATCH($A1188,'CONTROLE PRODUÇÃO POR EMPRESAS'!$A$6:$A$5000,0),MOD(ROW()-2,6)+1)="","",IFERROR(1*INDEX('CONTROLE PRODUÇÃO POR EMPRESAS'!$B$6:$G$5000,MATCH($A1188,'CONTROLE PRODUÇÃO POR EMPRESAS'!$A$6:$A$5000,0),MOD(ROW()-2,6)+1),"")),"")</f>
        <v/>
      </c>
      <c r="I1188" s="159">
        <f>IF(OR(NOT(ISNUMBER(G1188)),NOT(ISNUMBER(H1188))),"",H1188-G1188)</f>
        <v/>
      </c>
      <c r="J1188" s="319">
        <f>IF(OR(NOT(ISNUMBER(G1188)),NOT(ISNUMBER(H1188)),G1188=0),"",I1188/G1188)</f>
        <v/>
      </c>
      <c r="K1188" s="319">
        <f>IF(OR(NOT(ISNUMBER(G1188)),NOT(ISNUMBER(H1188)),G1188=0),"",H1188/G1188)</f>
        <v/>
      </c>
      <c r="L1188">
        <f>IF(NOT(ISNUMBER(G1188)),"SEM META",IF(G1188=0,"SEM META",IF(NOT(ISNUMBER(H1188)),"SEM APONTAMENTO",IF(H1188&gt;=G1188,"VERDE",IF(H1188&gt;=G1188*0.9,"AMARELO","VERMELHO")))))</f>
        <v/>
      </c>
      <c r="M1188" s="162" t="n"/>
      <c r="N1188" s="162" t="n"/>
      <c r="O1188" s="162" t="n"/>
      <c r="P1188" s="162" t="n"/>
      <c r="Q1188" s="320" t="n"/>
      <c r="R1188" s="162" t="inlineStr">
        <is>
          <t>CONTROLE PRODUÇÃO POR EMPRESAS!F203</t>
        </is>
      </c>
    </row>
    <row r="1189" ht="28.5" customHeight="1">
      <c r="A1189" s="317" t="n">
        <v>46420</v>
      </c>
      <c r="B1189" t="inlineStr">
        <is>
          <t>GERAL</t>
        </is>
      </c>
      <c r="C1189" t="inlineStr">
        <is>
          <t>CMM</t>
        </is>
      </c>
      <c r="D1189" t="inlineStr">
        <is>
          <t>VIGAS</t>
        </is>
      </c>
      <c r="F1189" s="159">
        <f>IFERROR(INDEX('BASE METAS DIÁRIAS'!$N$2:$S$358,MATCH($A1189,'BASE METAS DIÁRIAS'!$A$2:$A$358,0),MOD(ROW()-2,6)+1),"")</f>
        <v/>
      </c>
      <c r="G1189" s="159">
        <f>IFERROR(IF(WEEKDAY($A1189,2)&lt;=INDEX('BASE METAS DIÁRIAS'!$H$2:$M$358,MATCH($A1189,'BASE METAS DIÁRIAS'!$A$2:$A$358,0),MOD(ROW()-2,6)+1),INDEX('BASE METAS DIÁRIAS'!$B$2:$G$358,MATCH($A1189,'BASE METAS DIÁRIAS'!$A$2:$A$358,0),MOD(ROW()-2,6)+1),""),"")</f>
        <v/>
      </c>
      <c r="H1189" s="159">
        <f>IFERROR(IF(INDEX('CONTROLE PRODUÇÃO POR EMPRESAS'!$B$6:$G$5000,MATCH($A1189,'CONTROLE PRODUÇÃO POR EMPRESAS'!$A$6:$A$5000,0),MOD(ROW()-2,6)+1)="","",IFERROR(1*INDEX('CONTROLE PRODUÇÃO POR EMPRESAS'!$B$6:$G$5000,MATCH($A1189,'CONTROLE PRODUÇÃO POR EMPRESAS'!$A$6:$A$5000,0),MOD(ROW()-2,6)+1),"")),"")</f>
        <v/>
      </c>
      <c r="I1189" s="159">
        <f>IF(OR(NOT(ISNUMBER(G1189)),NOT(ISNUMBER(H1189))),"",H1189-G1189)</f>
        <v/>
      </c>
      <c r="J1189" s="319">
        <f>IF(OR(NOT(ISNUMBER(G1189)),NOT(ISNUMBER(H1189)),G1189=0),"",I1189/G1189)</f>
        <v/>
      </c>
      <c r="K1189" s="319">
        <f>IF(OR(NOT(ISNUMBER(G1189)),NOT(ISNUMBER(H1189)),G1189=0),"",H1189/G1189)</f>
        <v/>
      </c>
      <c r="L1189">
        <f>IF(NOT(ISNUMBER(G1189)),"SEM META",IF(G1189=0,"SEM META",IF(NOT(ISNUMBER(H1189)),"SEM APONTAMENTO",IF(H1189&gt;=G1189,"VERDE",IF(H1189&gt;=G1189*0.9,"AMARELO","VERMELHO")))))</f>
        <v/>
      </c>
      <c r="M1189" s="162" t="n"/>
      <c r="N1189" s="162" t="n"/>
      <c r="O1189" s="162" t="n"/>
      <c r="P1189" s="162" t="n"/>
      <c r="Q1189" s="320" t="n"/>
      <c r="R1189" s="162" t="inlineStr">
        <is>
          <t>CONTROLE PRODUÇÃO POR EMPRESAS!G203</t>
        </is>
      </c>
    </row>
    <row r="1190" ht="28.5" customHeight="1">
      <c r="A1190" s="317" t="n">
        <v>46421</v>
      </c>
      <c r="B1190" t="inlineStr">
        <is>
          <t>GERAL</t>
        </is>
      </c>
      <c r="C1190" t="inlineStr">
        <is>
          <t>EJ</t>
        </is>
      </c>
      <c r="D1190" t="inlineStr">
        <is>
          <t>PREMONTAGEM</t>
        </is>
      </c>
      <c r="F1190" s="159">
        <f>IFERROR(INDEX('BASE METAS DIÁRIAS'!$N$2:$S$358,MATCH($A1190,'BASE METAS DIÁRIAS'!$A$2:$A$358,0),MOD(ROW()-2,6)+1),"")</f>
        <v/>
      </c>
      <c r="G1190" s="159">
        <f>IFERROR(IF(WEEKDAY($A1190,2)&lt;=INDEX('BASE METAS DIÁRIAS'!$H$2:$M$358,MATCH($A1190,'BASE METAS DIÁRIAS'!$A$2:$A$358,0),MOD(ROW()-2,6)+1),INDEX('BASE METAS DIÁRIAS'!$B$2:$G$358,MATCH($A1190,'BASE METAS DIÁRIAS'!$A$2:$A$358,0),MOD(ROW()-2,6)+1),""),"")</f>
        <v/>
      </c>
      <c r="H1190" s="159">
        <f>IFERROR(IF(INDEX('CONTROLE PRODUÇÃO POR EMPRESAS'!$B$6:$G$5000,MATCH($A1190,'CONTROLE PRODUÇÃO POR EMPRESAS'!$A$6:$A$5000,0),MOD(ROW()-2,6)+1)="","",IFERROR(1*INDEX('CONTROLE PRODUÇÃO POR EMPRESAS'!$B$6:$G$5000,MATCH($A1190,'CONTROLE PRODUÇÃO POR EMPRESAS'!$A$6:$A$5000,0),MOD(ROW()-2,6)+1),"")),"")</f>
        <v/>
      </c>
      <c r="I1190" s="159">
        <f>IF(OR(NOT(ISNUMBER(G1190)),NOT(ISNUMBER(H1190))),"",H1190-G1190)</f>
        <v/>
      </c>
      <c r="J1190" s="319">
        <f>IF(OR(NOT(ISNUMBER(G1190)),NOT(ISNUMBER(H1190)),G1190=0),"",I1190/G1190)</f>
        <v/>
      </c>
      <c r="K1190" s="319">
        <f>IF(OR(NOT(ISNUMBER(G1190)),NOT(ISNUMBER(H1190)),G1190=0),"",H1190/G1190)</f>
        <v/>
      </c>
      <c r="L1190">
        <f>IF(NOT(ISNUMBER(G1190)),"SEM META",IF(G1190=0,"SEM META",IF(NOT(ISNUMBER(H1190)),"SEM APONTAMENTO",IF(H1190&gt;=G1190,"VERDE",IF(H1190&gt;=G1190*0.9,"AMARELO","VERMELHO")))))</f>
        <v/>
      </c>
      <c r="M1190" s="162" t="n"/>
      <c r="N1190" s="162" t="n"/>
      <c r="O1190" s="162" t="n"/>
      <c r="P1190" s="162" t="n"/>
      <c r="Q1190" s="320" t="n"/>
      <c r="R1190" s="162" t="inlineStr">
        <is>
          <t>CONTROLE PRODUÇÃO POR EMPRESAS!B204</t>
        </is>
      </c>
    </row>
    <row r="1191" ht="28.5" customHeight="1">
      <c r="A1191" s="317" t="n">
        <v>46421</v>
      </c>
      <c r="B1191" t="inlineStr">
        <is>
          <t>GERAL</t>
        </is>
      </c>
      <c r="C1191" t="inlineStr">
        <is>
          <t>EJ</t>
        </is>
      </c>
      <c r="D1191" t="inlineStr">
        <is>
          <t>IÇAMENTO JOIST</t>
        </is>
      </c>
      <c r="F1191" s="159">
        <f>IFERROR(INDEX('BASE METAS DIÁRIAS'!$N$2:$S$358,MATCH($A1191,'BASE METAS DIÁRIAS'!$A$2:$A$358,0),MOD(ROW()-2,6)+1),"")</f>
        <v/>
      </c>
      <c r="G1191" s="159">
        <f>IFERROR(IF(WEEKDAY($A1191,2)&lt;=INDEX('BASE METAS DIÁRIAS'!$H$2:$M$358,MATCH($A1191,'BASE METAS DIÁRIAS'!$A$2:$A$358,0),MOD(ROW()-2,6)+1),INDEX('BASE METAS DIÁRIAS'!$B$2:$G$358,MATCH($A1191,'BASE METAS DIÁRIAS'!$A$2:$A$358,0),MOD(ROW()-2,6)+1),""),"")</f>
        <v/>
      </c>
      <c r="H1191" s="159">
        <f>IFERROR(IF(INDEX('CONTROLE PRODUÇÃO POR EMPRESAS'!$B$6:$G$5000,MATCH($A1191,'CONTROLE PRODUÇÃO POR EMPRESAS'!$A$6:$A$5000,0),MOD(ROW()-2,6)+1)="","",IFERROR(1*INDEX('CONTROLE PRODUÇÃO POR EMPRESAS'!$B$6:$G$5000,MATCH($A1191,'CONTROLE PRODUÇÃO POR EMPRESAS'!$A$6:$A$5000,0),MOD(ROW()-2,6)+1),"")),"")</f>
        <v/>
      </c>
      <c r="I1191" s="159">
        <f>IF(OR(NOT(ISNUMBER(G1191)),NOT(ISNUMBER(H1191))),"",H1191-G1191)</f>
        <v/>
      </c>
      <c r="J1191" s="319">
        <f>IF(OR(NOT(ISNUMBER(G1191)),NOT(ISNUMBER(H1191)),G1191=0),"",I1191/G1191)</f>
        <v/>
      </c>
      <c r="K1191" s="319">
        <f>IF(OR(NOT(ISNUMBER(G1191)),NOT(ISNUMBER(H1191)),G1191=0),"",H1191/G1191)</f>
        <v/>
      </c>
      <c r="L1191">
        <f>IF(NOT(ISNUMBER(G1191)),"SEM META",IF(G1191=0,"SEM META",IF(NOT(ISNUMBER(H1191)),"SEM APONTAMENTO",IF(H1191&gt;=G1191,"VERDE",IF(H1191&gt;=G1191*0.9,"AMARELO","VERMELHO")))))</f>
        <v/>
      </c>
      <c r="M1191" s="162" t="n"/>
      <c r="N1191" s="162" t="n"/>
      <c r="O1191" s="162" t="n"/>
      <c r="P1191" s="162" t="n"/>
      <c r="Q1191" s="320" t="n"/>
      <c r="R1191" s="162" t="inlineStr">
        <is>
          <t>CONTROLE PRODUÇÃO POR EMPRESAS!C204</t>
        </is>
      </c>
    </row>
    <row r="1192" ht="28.5" customHeight="1">
      <c r="A1192" s="317" t="n">
        <v>46421</v>
      </c>
      <c r="B1192" t="inlineStr">
        <is>
          <t>GERAL</t>
        </is>
      </c>
      <c r="C1192" t="inlineStr">
        <is>
          <t>EJ</t>
        </is>
      </c>
      <c r="D1192" t="inlineStr">
        <is>
          <t>VIGAS</t>
        </is>
      </c>
      <c r="F1192" s="159">
        <f>IFERROR(INDEX('BASE METAS DIÁRIAS'!$N$2:$S$358,MATCH($A1192,'BASE METAS DIÁRIAS'!$A$2:$A$358,0),MOD(ROW()-2,6)+1),"")</f>
        <v/>
      </c>
      <c r="G1192" s="159">
        <f>IFERROR(IF(WEEKDAY($A1192,2)&lt;=INDEX('BASE METAS DIÁRIAS'!$H$2:$M$358,MATCH($A1192,'BASE METAS DIÁRIAS'!$A$2:$A$358,0),MOD(ROW()-2,6)+1),INDEX('BASE METAS DIÁRIAS'!$B$2:$G$358,MATCH($A1192,'BASE METAS DIÁRIAS'!$A$2:$A$358,0),MOD(ROW()-2,6)+1),""),"")</f>
        <v/>
      </c>
      <c r="H1192" s="159">
        <f>IFERROR(IF(INDEX('CONTROLE PRODUÇÃO POR EMPRESAS'!$B$6:$G$5000,MATCH($A1192,'CONTROLE PRODUÇÃO POR EMPRESAS'!$A$6:$A$5000,0),MOD(ROW()-2,6)+1)="","",IFERROR(1*INDEX('CONTROLE PRODUÇÃO POR EMPRESAS'!$B$6:$G$5000,MATCH($A1192,'CONTROLE PRODUÇÃO POR EMPRESAS'!$A$6:$A$5000,0),MOD(ROW()-2,6)+1),"")),"")</f>
        <v/>
      </c>
      <c r="I1192" s="159">
        <f>IF(OR(NOT(ISNUMBER(G1192)),NOT(ISNUMBER(H1192))),"",H1192-G1192)</f>
        <v/>
      </c>
      <c r="J1192" s="319">
        <f>IF(OR(NOT(ISNUMBER(G1192)),NOT(ISNUMBER(H1192)),G1192=0),"",I1192/G1192)</f>
        <v/>
      </c>
      <c r="K1192" s="319">
        <f>IF(OR(NOT(ISNUMBER(G1192)),NOT(ISNUMBER(H1192)),G1192=0),"",H1192/G1192)</f>
        <v/>
      </c>
      <c r="L1192">
        <f>IF(NOT(ISNUMBER(G1192)),"SEM META",IF(G1192=0,"SEM META",IF(NOT(ISNUMBER(H1192)),"SEM APONTAMENTO",IF(H1192&gt;=G1192,"VERDE",IF(H1192&gt;=G1192*0.9,"AMARELO","VERMELHO")))))</f>
        <v/>
      </c>
      <c r="M1192" s="162" t="n"/>
      <c r="N1192" s="162" t="n"/>
      <c r="O1192" s="162" t="n"/>
      <c r="P1192" s="162" t="n"/>
      <c r="Q1192" s="320" t="n"/>
      <c r="R1192" s="162" t="inlineStr">
        <is>
          <t>CONTROLE PRODUÇÃO POR EMPRESAS!D204</t>
        </is>
      </c>
    </row>
    <row r="1193" ht="28.5" customHeight="1">
      <c r="A1193" s="317" t="n">
        <v>46421</v>
      </c>
      <c r="B1193" t="inlineStr">
        <is>
          <t>GERAL</t>
        </is>
      </c>
      <c r="C1193" t="inlineStr">
        <is>
          <t>CMM</t>
        </is>
      </c>
      <c r="D1193" t="inlineStr">
        <is>
          <t>PREMONTAGEM</t>
        </is>
      </c>
      <c r="F1193" s="159">
        <f>IFERROR(INDEX('BASE METAS DIÁRIAS'!$N$2:$S$358,MATCH($A1193,'BASE METAS DIÁRIAS'!$A$2:$A$358,0),MOD(ROW()-2,6)+1),"")</f>
        <v/>
      </c>
      <c r="G1193" s="159">
        <f>IFERROR(IF(WEEKDAY($A1193,2)&lt;=INDEX('BASE METAS DIÁRIAS'!$H$2:$M$358,MATCH($A1193,'BASE METAS DIÁRIAS'!$A$2:$A$358,0),MOD(ROW()-2,6)+1),INDEX('BASE METAS DIÁRIAS'!$B$2:$G$358,MATCH($A1193,'BASE METAS DIÁRIAS'!$A$2:$A$358,0),MOD(ROW()-2,6)+1),""),"")</f>
        <v/>
      </c>
      <c r="H1193" s="159">
        <f>IFERROR(IF(INDEX('CONTROLE PRODUÇÃO POR EMPRESAS'!$B$6:$G$5000,MATCH($A1193,'CONTROLE PRODUÇÃO POR EMPRESAS'!$A$6:$A$5000,0),MOD(ROW()-2,6)+1)="","",IFERROR(1*INDEX('CONTROLE PRODUÇÃO POR EMPRESAS'!$B$6:$G$5000,MATCH($A1193,'CONTROLE PRODUÇÃO POR EMPRESAS'!$A$6:$A$5000,0),MOD(ROW()-2,6)+1),"")),"")</f>
        <v/>
      </c>
      <c r="I1193" s="159">
        <f>IF(OR(NOT(ISNUMBER(G1193)),NOT(ISNUMBER(H1193))),"",H1193-G1193)</f>
        <v/>
      </c>
      <c r="J1193" s="319">
        <f>IF(OR(NOT(ISNUMBER(G1193)),NOT(ISNUMBER(H1193)),G1193=0),"",I1193/G1193)</f>
        <v/>
      </c>
      <c r="K1193" s="319">
        <f>IF(OR(NOT(ISNUMBER(G1193)),NOT(ISNUMBER(H1193)),G1193=0),"",H1193/G1193)</f>
        <v/>
      </c>
      <c r="L1193">
        <f>IF(NOT(ISNUMBER(G1193)),"SEM META",IF(G1193=0,"SEM META",IF(NOT(ISNUMBER(H1193)),"SEM APONTAMENTO",IF(H1193&gt;=G1193,"VERDE",IF(H1193&gt;=G1193*0.9,"AMARELO","VERMELHO")))))</f>
        <v/>
      </c>
      <c r="M1193" s="162" t="n"/>
      <c r="N1193" s="162" t="n"/>
      <c r="O1193" s="162" t="n"/>
      <c r="P1193" s="162" t="n"/>
      <c r="Q1193" s="320" t="n"/>
      <c r="R1193" s="162" t="inlineStr">
        <is>
          <t>CONTROLE PRODUÇÃO POR EMPRESAS!E204</t>
        </is>
      </c>
    </row>
    <row r="1194" ht="28.5" customHeight="1">
      <c r="A1194" s="317" t="n">
        <v>46421</v>
      </c>
      <c r="B1194" t="inlineStr">
        <is>
          <t>GERAL</t>
        </is>
      </c>
      <c r="C1194" t="inlineStr">
        <is>
          <t>CMM</t>
        </is>
      </c>
      <c r="D1194" t="inlineStr">
        <is>
          <t>IÇAMENTO JOIST</t>
        </is>
      </c>
      <c r="F1194" s="159">
        <f>IFERROR(INDEX('BASE METAS DIÁRIAS'!$N$2:$S$358,MATCH($A1194,'BASE METAS DIÁRIAS'!$A$2:$A$358,0),MOD(ROW()-2,6)+1),"")</f>
        <v/>
      </c>
      <c r="G1194" s="159">
        <f>IFERROR(IF(WEEKDAY($A1194,2)&lt;=INDEX('BASE METAS DIÁRIAS'!$H$2:$M$358,MATCH($A1194,'BASE METAS DIÁRIAS'!$A$2:$A$358,0),MOD(ROW()-2,6)+1),INDEX('BASE METAS DIÁRIAS'!$B$2:$G$358,MATCH($A1194,'BASE METAS DIÁRIAS'!$A$2:$A$358,0),MOD(ROW()-2,6)+1),""),"")</f>
        <v/>
      </c>
      <c r="H1194" s="159">
        <f>IFERROR(IF(INDEX('CONTROLE PRODUÇÃO POR EMPRESAS'!$B$6:$G$5000,MATCH($A1194,'CONTROLE PRODUÇÃO POR EMPRESAS'!$A$6:$A$5000,0),MOD(ROW()-2,6)+1)="","",IFERROR(1*INDEX('CONTROLE PRODUÇÃO POR EMPRESAS'!$B$6:$G$5000,MATCH($A1194,'CONTROLE PRODUÇÃO POR EMPRESAS'!$A$6:$A$5000,0),MOD(ROW()-2,6)+1),"")),"")</f>
        <v/>
      </c>
      <c r="I1194" s="159">
        <f>IF(OR(NOT(ISNUMBER(G1194)),NOT(ISNUMBER(H1194))),"",H1194-G1194)</f>
        <v/>
      </c>
      <c r="J1194" s="319">
        <f>IF(OR(NOT(ISNUMBER(G1194)),NOT(ISNUMBER(H1194)),G1194=0),"",I1194/G1194)</f>
        <v/>
      </c>
      <c r="K1194" s="319">
        <f>IF(OR(NOT(ISNUMBER(G1194)),NOT(ISNUMBER(H1194)),G1194=0),"",H1194/G1194)</f>
        <v/>
      </c>
      <c r="L1194">
        <f>IF(NOT(ISNUMBER(G1194)),"SEM META",IF(G1194=0,"SEM META",IF(NOT(ISNUMBER(H1194)),"SEM APONTAMENTO",IF(H1194&gt;=G1194,"VERDE",IF(H1194&gt;=G1194*0.9,"AMARELO","VERMELHO")))))</f>
        <v/>
      </c>
      <c r="M1194" s="162" t="n"/>
      <c r="N1194" s="162" t="n"/>
      <c r="O1194" s="162" t="n"/>
      <c r="P1194" s="162" t="n"/>
      <c r="Q1194" s="320" t="n"/>
      <c r="R1194" s="162" t="inlineStr">
        <is>
          <t>CONTROLE PRODUÇÃO POR EMPRESAS!F204</t>
        </is>
      </c>
    </row>
    <row r="1195" ht="28.5" customHeight="1">
      <c r="A1195" s="317" t="n">
        <v>46421</v>
      </c>
      <c r="B1195" t="inlineStr">
        <is>
          <t>GERAL</t>
        </is>
      </c>
      <c r="C1195" t="inlineStr">
        <is>
          <t>CMM</t>
        </is>
      </c>
      <c r="D1195" t="inlineStr">
        <is>
          <t>VIGAS</t>
        </is>
      </c>
      <c r="F1195" s="159">
        <f>IFERROR(INDEX('BASE METAS DIÁRIAS'!$N$2:$S$358,MATCH($A1195,'BASE METAS DIÁRIAS'!$A$2:$A$358,0),MOD(ROW()-2,6)+1),"")</f>
        <v/>
      </c>
      <c r="G1195" s="159">
        <f>IFERROR(IF(WEEKDAY($A1195,2)&lt;=INDEX('BASE METAS DIÁRIAS'!$H$2:$M$358,MATCH($A1195,'BASE METAS DIÁRIAS'!$A$2:$A$358,0),MOD(ROW()-2,6)+1),INDEX('BASE METAS DIÁRIAS'!$B$2:$G$358,MATCH($A1195,'BASE METAS DIÁRIAS'!$A$2:$A$358,0),MOD(ROW()-2,6)+1),""),"")</f>
        <v/>
      </c>
      <c r="H1195" s="159">
        <f>IFERROR(IF(INDEX('CONTROLE PRODUÇÃO POR EMPRESAS'!$B$6:$G$5000,MATCH($A1195,'CONTROLE PRODUÇÃO POR EMPRESAS'!$A$6:$A$5000,0),MOD(ROW()-2,6)+1)="","",IFERROR(1*INDEX('CONTROLE PRODUÇÃO POR EMPRESAS'!$B$6:$G$5000,MATCH($A1195,'CONTROLE PRODUÇÃO POR EMPRESAS'!$A$6:$A$5000,0),MOD(ROW()-2,6)+1),"")),"")</f>
        <v/>
      </c>
      <c r="I1195" s="159">
        <f>IF(OR(NOT(ISNUMBER(G1195)),NOT(ISNUMBER(H1195))),"",H1195-G1195)</f>
        <v/>
      </c>
      <c r="J1195" s="319">
        <f>IF(OR(NOT(ISNUMBER(G1195)),NOT(ISNUMBER(H1195)),G1195=0),"",I1195/G1195)</f>
        <v/>
      </c>
      <c r="K1195" s="319">
        <f>IF(OR(NOT(ISNUMBER(G1195)),NOT(ISNUMBER(H1195)),G1195=0),"",H1195/G1195)</f>
        <v/>
      </c>
      <c r="L1195">
        <f>IF(NOT(ISNUMBER(G1195)),"SEM META",IF(G1195=0,"SEM META",IF(NOT(ISNUMBER(H1195)),"SEM APONTAMENTO",IF(H1195&gt;=G1195,"VERDE",IF(H1195&gt;=G1195*0.9,"AMARELO","VERMELHO")))))</f>
        <v/>
      </c>
      <c r="M1195" s="162" t="n"/>
      <c r="N1195" s="162" t="n"/>
      <c r="O1195" s="162" t="n"/>
      <c r="P1195" s="162" t="n"/>
      <c r="Q1195" s="320" t="n"/>
      <c r="R1195" s="162" t="inlineStr">
        <is>
          <t>CONTROLE PRODUÇÃO POR EMPRESAS!G204</t>
        </is>
      </c>
    </row>
    <row r="1196" ht="28.5" customHeight="1">
      <c r="A1196" s="317" t="n">
        <v>46422</v>
      </c>
      <c r="B1196" t="inlineStr">
        <is>
          <t>GERAL</t>
        </is>
      </c>
      <c r="C1196" t="inlineStr">
        <is>
          <t>EJ</t>
        </is>
      </c>
      <c r="D1196" t="inlineStr">
        <is>
          <t>PREMONTAGEM</t>
        </is>
      </c>
      <c r="F1196" s="159">
        <f>IFERROR(INDEX('BASE METAS DIÁRIAS'!$N$2:$S$358,MATCH($A1196,'BASE METAS DIÁRIAS'!$A$2:$A$358,0),MOD(ROW()-2,6)+1),"")</f>
        <v/>
      </c>
      <c r="G1196" s="159">
        <f>IFERROR(IF(WEEKDAY($A1196,2)&lt;=INDEX('BASE METAS DIÁRIAS'!$H$2:$M$358,MATCH($A1196,'BASE METAS DIÁRIAS'!$A$2:$A$358,0),MOD(ROW()-2,6)+1),INDEX('BASE METAS DIÁRIAS'!$B$2:$G$358,MATCH($A1196,'BASE METAS DIÁRIAS'!$A$2:$A$358,0),MOD(ROW()-2,6)+1),""),"")</f>
        <v/>
      </c>
      <c r="H1196" s="159">
        <f>IFERROR(IF(INDEX('CONTROLE PRODUÇÃO POR EMPRESAS'!$B$6:$G$5000,MATCH($A1196,'CONTROLE PRODUÇÃO POR EMPRESAS'!$A$6:$A$5000,0),MOD(ROW()-2,6)+1)="","",IFERROR(1*INDEX('CONTROLE PRODUÇÃO POR EMPRESAS'!$B$6:$G$5000,MATCH($A1196,'CONTROLE PRODUÇÃO POR EMPRESAS'!$A$6:$A$5000,0),MOD(ROW()-2,6)+1),"")),"")</f>
        <v/>
      </c>
      <c r="I1196" s="159">
        <f>IF(OR(NOT(ISNUMBER(G1196)),NOT(ISNUMBER(H1196))),"",H1196-G1196)</f>
        <v/>
      </c>
      <c r="J1196" s="319">
        <f>IF(OR(NOT(ISNUMBER(G1196)),NOT(ISNUMBER(H1196)),G1196=0),"",I1196/G1196)</f>
        <v/>
      </c>
      <c r="K1196" s="319">
        <f>IF(OR(NOT(ISNUMBER(G1196)),NOT(ISNUMBER(H1196)),G1196=0),"",H1196/G1196)</f>
        <v/>
      </c>
      <c r="L1196">
        <f>IF(NOT(ISNUMBER(G1196)),"SEM META",IF(G1196=0,"SEM META",IF(NOT(ISNUMBER(H1196)),"SEM APONTAMENTO",IF(H1196&gt;=G1196,"VERDE",IF(H1196&gt;=G1196*0.9,"AMARELO","VERMELHO")))))</f>
        <v/>
      </c>
      <c r="M1196" s="162" t="n"/>
      <c r="N1196" s="162" t="n"/>
      <c r="O1196" s="162" t="n"/>
      <c r="P1196" s="162" t="n"/>
      <c r="Q1196" s="320" t="n"/>
      <c r="R1196" s="162" t="inlineStr">
        <is>
          <t>CONTROLE PRODUÇÃO POR EMPRESAS!B205</t>
        </is>
      </c>
    </row>
    <row r="1197" ht="28.5" customHeight="1">
      <c r="A1197" s="317" t="n">
        <v>46422</v>
      </c>
      <c r="B1197" t="inlineStr">
        <is>
          <t>GERAL</t>
        </is>
      </c>
      <c r="C1197" t="inlineStr">
        <is>
          <t>EJ</t>
        </is>
      </c>
      <c r="D1197" t="inlineStr">
        <is>
          <t>IÇAMENTO JOIST</t>
        </is>
      </c>
      <c r="F1197" s="159">
        <f>IFERROR(INDEX('BASE METAS DIÁRIAS'!$N$2:$S$358,MATCH($A1197,'BASE METAS DIÁRIAS'!$A$2:$A$358,0),MOD(ROW()-2,6)+1),"")</f>
        <v/>
      </c>
      <c r="G1197" s="159">
        <f>IFERROR(IF(WEEKDAY($A1197,2)&lt;=INDEX('BASE METAS DIÁRIAS'!$H$2:$M$358,MATCH($A1197,'BASE METAS DIÁRIAS'!$A$2:$A$358,0),MOD(ROW()-2,6)+1),INDEX('BASE METAS DIÁRIAS'!$B$2:$G$358,MATCH($A1197,'BASE METAS DIÁRIAS'!$A$2:$A$358,0),MOD(ROW()-2,6)+1),""),"")</f>
        <v/>
      </c>
      <c r="H1197" s="159">
        <f>IFERROR(IF(INDEX('CONTROLE PRODUÇÃO POR EMPRESAS'!$B$6:$G$5000,MATCH($A1197,'CONTROLE PRODUÇÃO POR EMPRESAS'!$A$6:$A$5000,0),MOD(ROW()-2,6)+1)="","",IFERROR(1*INDEX('CONTROLE PRODUÇÃO POR EMPRESAS'!$B$6:$G$5000,MATCH($A1197,'CONTROLE PRODUÇÃO POR EMPRESAS'!$A$6:$A$5000,0),MOD(ROW()-2,6)+1),"")),"")</f>
        <v/>
      </c>
      <c r="I1197" s="159">
        <f>IF(OR(NOT(ISNUMBER(G1197)),NOT(ISNUMBER(H1197))),"",H1197-G1197)</f>
        <v/>
      </c>
      <c r="J1197" s="319">
        <f>IF(OR(NOT(ISNUMBER(G1197)),NOT(ISNUMBER(H1197)),G1197=0),"",I1197/G1197)</f>
        <v/>
      </c>
      <c r="K1197" s="319">
        <f>IF(OR(NOT(ISNUMBER(G1197)),NOT(ISNUMBER(H1197)),G1197=0),"",H1197/G1197)</f>
        <v/>
      </c>
      <c r="L1197">
        <f>IF(NOT(ISNUMBER(G1197)),"SEM META",IF(G1197=0,"SEM META",IF(NOT(ISNUMBER(H1197)),"SEM APONTAMENTO",IF(H1197&gt;=G1197,"VERDE",IF(H1197&gt;=G1197*0.9,"AMARELO","VERMELHO")))))</f>
        <v/>
      </c>
      <c r="M1197" s="162" t="n"/>
      <c r="N1197" s="162" t="n"/>
      <c r="O1197" s="162" t="n"/>
      <c r="P1197" s="162" t="n"/>
      <c r="Q1197" s="320" t="n"/>
      <c r="R1197" s="162" t="inlineStr">
        <is>
          <t>CONTROLE PRODUÇÃO POR EMPRESAS!C205</t>
        </is>
      </c>
    </row>
    <row r="1198" ht="28.5" customHeight="1">
      <c r="A1198" s="317" t="n">
        <v>46422</v>
      </c>
      <c r="B1198" t="inlineStr">
        <is>
          <t>GERAL</t>
        </is>
      </c>
      <c r="C1198" t="inlineStr">
        <is>
          <t>EJ</t>
        </is>
      </c>
      <c r="D1198" t="inlineStr">
        <is>
          <t>VIGAS</t>
        </is>
      </c>
      <c r="F1198" s="159">
        <f>IFERROR(INDEX('BASE METAS DIÁRIAS'!$N$2:$S$358,MATCH($A1198,'BASE METAS DIÁRIAS'!$A$2:$A$358,0),MOD(ROW()-2,6)+1),"")</f>
        <v/>
      </c>
      <c r="G1198" s="159">
        <f>IFERROR(IF(WEEKDAY($A1198,2)&lt;=INDEX('BASE METAS DIÁRIAS'!$H$2:$M$358,MATCH($A1198,'BASE METAS DIÁRIAS'!$A$2:$A$358,0),MOD(ROW()-2,6)+1),INDEX('BASE METAS DIÁRIAS'!$B$2:$G$358,MATCH($A1198,'BASE METAS DIÁRIAS'!$A$2:$A$358,0),MOD(ROW()-2,6)+1),""),"")</f>
        <v/>
      </c>
      <c r="H1198" s="159">
        <f>IFERROR(IF(INDEX('CONTROLE PRODUÇÃO POR EMPRESAS'!$B$6:$G$5000,MATCH($A1198,'CONTROLE PRODUÇÃO POR EMPRESAS'!$A$6:$A$5000,0),MOD(ROW()-2,6)+1)="","",IFERROR(1*INDEX('CONTROLE PRODUÇÃO POR EMPRESAS'!$B$6:$G$5000,MATCH($A1198,'CONTROLE PRODUÇÃO POR EMPRESAS'!$A$6:$A$5000,0),MOD(ROW()-2,6)+1),"")),"")</f>
        <v/>
      </c>
      <c r="I1198" s="159">
        <f>IF(OR(NOT(ISNUMBER(G1198)),NOT(ISNUMBER(H1198))),"",H1198-G1198)</f>
        <v/>
      </c>
      <c r="J1198" s="319">
        <f>IF(OR(NOT(ISNUMBER(G1198)),NOT(ISNUMBER(H1198)),G1198=0),"",I1198/G1198)</f>
        <v/>
      </c>
      <c r="K1198" s="319">
        <f>IF(OR(NOT(ISNUMBER(G1198)),NOT(ISNUMBER(H1198)),G1198=0),"",H1198/G1198)</f>
        <v/>
      </c>
      <c r="L1198">
        <f>IF(NOT(ISNUMBER(G1198)),"SEM META",IF(G1198=0,"SEM META",IF(NOT(ISNUMBER(H1198)),"SEM APONTAMENTO",IF(H1198&gt;=G1198,"VERDE",IF(H1198&gt;=G1198*0.9,"AMARELO","VERMELHO")))))</f>
        <v/>
      </c>
      <c r="M1198" s="162" t="n"/>
      <c r="N1198" s="162" t="n"/>
      <c r="O1198" s="162" t="n"/>
      <c r="P1198" s="162" t="n"/>
      <c r="Q1198" s="320" t="n"/>
      <c r="R1198" s="162" t="inlineStr">
        <is>
          <t>CONTROLE PRODUÇÃO POR EMPRESAS!D205</t>
        </is>
      </c>
    </row>
    <row r="1199" ht="28.5" customHeight="1">
      <c r="A1199" s="317" t="n">
        <v>46422</v>
      </c>
      <c r="B1199" t="inlineStr">
        <is>
          <t>GERAL</t>
        </is>
      </c>
      <c r="C1199" t="inlineStr">
        <is>
          <t>CMM</t>
        </is>
      </c>
      <c r="D1199" t="inlineStr">
        <is>
          <t>PREMONTAGEM</t>
        </is>
      </c>
      <c r="F1199" s="159">
        <f>IFERROR(INDEX('BASE METAS DIÁRIAS'!$N$2:$S$358,MATCH($A1199,'BASE METAS DIÁRIAS'!$A$2:$A$358,0),MOD(ROW()-2,6)+1),"")</f>
        <v/>
      </c>
      <c r="G1199" s="159">
        <f>IFERROR(IF(WEEKDAY($A1199,2)&lt;=INDEX('BASE METAS DIÁRIAS'!$H$2:$M$358,MATCH($A1199,'BASE METAS DIÁRIAS'!$A$2:$A$358,0),MOD(ROW()-2,6)+1),INDEX('BASE METAS DIÁRIAS'!$B$2:$G$358,MATCH($A1199,'BASE METAS DIÁRIAS'!$A$2:$A$358,0),MOD(ROW()-2,6)+1),""),"")</f>
        <v/>
      </c>
      <c r="H1199" s="159">
        <f>IFERROR(IF(INDEX('CONTROLE PRODUÇÃO POR EMPRESAS'!$B$6:$G$5000,MATCH($A1199,'CONTROLE PRODUÇÃO POR EMPRESAS'!$A$6:$A$5000,0),MOD(ROW()-2,6)+1)="","",IFERROR(1*INDEX('CONTROLE PRODUÇÃO POR EMPRESAS'!$B$6:$G$5000,MATCH($A1199,'CONTROLE PRODUÇÃO POR EMPRESAS'!$A$6:$A$5000,0),MOD(ROW()-2,6)+1),"")),"")</f>
        <v/>
      </c>
      <c r="I1199" s="159">
        <f>IF(OR(NOT(ISNUMBER(G1199)),NOT(ISNUMBER(H1199))),"",H1199-G1199)</f>
        <v/>
      </c>
      <c r="J1199" s="319">
        <f>IF(OR(NOT(ISNUMBER(G1199)),NOT(ISNUMBER(H1199)),G1199=0),"",I1199/G1199)</f>
        <v/>
      </c>
      <c r="K1199" s="319">
        <f>IF(OR(NOT(ISNUMBER(G1199)),NOT(ISNUMBER(H1199)),G1199=0),"",H1199/G1199)</f>
        <v/>
      </c>
      <c r="L1199">
        <f>IF(NOT(ISNUMBER(G1199)),"SEM META",IF(G1199=0,"SEM META",IF(NOT(ISNUMBER(H1199)),"SEM APONTAMENTO",IF(H1199&gt;=G1199,"VERDE",IF(H1199&gt;=G1199*0.9,"AMARELO","VERMELHO")))))</f>
        <v/>
      </c>
      <c r="M1199" s="162" t="n"/>
      <c r="N1199" s="162" t="n"/>
      <c r="O1199" s="162" t="n"/>
      <c r="P1199" s="162" t="n"/>
      <c r="Q1199" s="320" t="n"/>
      <c r="R1199" s="162" t="inlineStr">
        <is>
          <t>CONTROLE PRODUÇÃO POR EMPRESAS!E205</t>
        </is>
      </c>
    </row>
    <row r="1200" ht="28.5" customHeight="1">
      <c r="A1200" s="317" t="n">
        <v>46422</v>
      </c>
      <c r="B1200" t="inlineStr">
        <is>
          <t>GERAL</t>
        </is>
      </c>
      <c r="C1200" t="inlineStr">
        <is>
          <t>CMM</t>
        </is>
      </c>
      <c r="D1200" t="inlineStr">
        <is>
          <t>IÇAMENTO JOIST</t>
        </is>
      </c>
      <c r="F1200" s="159">
        <f>IFERROR(INDEX('BASE METAS DIÁRIAS'!$N$2:$S$358,MATCH($A1200,'BASE METAS DIÁRIAS'!$A$2:$A$358,0),MOD(ROW()-2,6)+1),"")</f>
        <v/>
      </c>
      <c r="G1200" s="159">
        <f>IFERROR(IF(WEEKDAY($A1200,2)&lt;=INDEX('BASE METAS DIÁRIAS'!$H$2:$M$358,MATCH($A1200,'BASE METAS DIÁRIAS'!$A$2:$A$358,0),MOD(ROW()-2,6)+1),INDEX('BASE METAS DIÁRIAS'!$B$2:$G$358,MATCH($A1200,'BASE METAS DIÁRIAS'!$A$2:$A$358,0),MOD(ROW()-2,6)+1),""),"")</f>
        <v/>
      </c>
      <c r="H1200" s="159">
        <f>IFERROR(IF(INDEX('CONTROLE PRODUÇÃO POR EMPRESAS'!$B$6:$G$5000,MATCH($A1200,'CONTROLE PRODUÇÃO POR EMPRESAS'!$A$6:$A$5000,0),MOD(ROW()-2,6)+1)="","",IFERROR(1*INDEX('CONTROLE PRODUÇÃO POR EMPRESAS'!$B$6:$G$5000,MATCH($A1200,'CONTROLE PRODUÇÃO POR EMPRESAS'!$A$6:$A$5000,0),MOD(ROW()-2,6)+1),"")),"")</f>
        <v/>
      </c>
      <c r="I1200" s="159">
        <f>IF(OR(NOT(ISNUMBER(G1200)),NOT(ISNUMBER(H1200))),"",H1200-G1200)</f>
        <v/>
      </c>
      <c r="J1200" s="319">
        <f>IF(OR(NOT(ISNUMBER(G1200)),NOT(ISNUMBER(H1200)),G1200=0),"",I1200/G1200)</f>
        <v/>
      </c>
      <c r="K1200" s="319">
        <f>IF(OR(NOT(ISNUMBER(G1200)),NOT(ISNUMBER(H1200)),G1200=0),"",H1200/G1200)</f>
        <v/>
      </c>
      <c r="L1200">
        <f>IF(NOT(ISNUMBER(G1200)),"SEM META",IF(G1200=0,"SEM META",IF(NOT(ISNUMBER(H1200)),"SEM APONTAMENTO",IF(H1200&gt;=G1200,"VERDE",IF(H1200&gt;=G1200*0.9,"AMARELO","VERMELHO")))))</f>
        <v/>
      </c>
      <c r="M1200" s="162" t="n"/>
      <c r="N1200" s="162" t="n"/>
      <c r="O1200" s="162" t="n"/>
      <c r="P1200" s="162" t="n"/>
      <c r="Q1200" s="320" t="n"/>
      <c r="R1200" s="162" t="inlineStr">
        <is>
          <t>CONTROLE PRODUÇÃO POR EMPRESAS!F205</t>
        </is>
      </c>
    </row>
    <row r="1201" ht="28.5" customHeight="1">
      <c r="A1201" s="317" t="n">
        <v>46422</v>
      </c>
      <c r="B1201" t="inlineStr">
        <is>
          <t>GERAL</t>
        </is>
      </c>
      <c r="C1201" t="inlineStr">
        <is>
          <t>CMM</t>
        </is>
      </c>
      <c r="D1201" t="inlineStr">
        <is>
          <t>VIGAS</t>
        </is>
      </c>
      <c r="F1201" s="159">
        <f>IFERROR(INDEX('BASE METAS DIÁRIAS'!$N$2:$S$358,MATCH($A1201,'BASE METAS DIÁRIAS'!$A$2:$A$358,0),MOD(ROW()-2,6)+1),"")</f>
        <v/>
      </c>
      <c r="G1201" s="159">
        <f>IFERROR(IF(WEEKDAY($A1201,2)&lt;=INDEX('BASE METAS DIÁRIAS'!$H$2:$M$358,MATCH($A1201,'BASE METAS DIÁRIAS'!$A$2:$A$358,0),MOD(ROW()-2,6)+1),INDEX('BASE METAS DIÁRIAS'!$B$2:$G$358,MATCH($A1201,'BASE METAS DIÁRIAS'!$A$2:$A$358,0),MOD(ROW()-2,6)+1),""),"")</f>
        <v/>
      </c>
      <c r="H1201" s="159">
        <f>IFERROR(IF(INDEX('CONTROLE PRODUÇÃO POR EMPRESAS'!$B$6:$G$5000,MATCH($A1201,'CONTROLE PRODUÇÃO POR EMPRESAS'!$A$6:$A$5000,0),MOD(ROW()-2,6)+1)="","",IFERROR(1*INDEX('CONTROLE PRODUÇÃO POR EMPRESAS'!$B$6:$G$5000,MATCH($A1201,'CONTROLE PRODUÇÃO POR EMPRESAS'!$A$6:$A$5000,0),MOD(ROW()-2,6)+1),"")),"")</f>
        <v/>
      </c>
      <c r="I1201" s="159">
        <f>IF(OR(NOT(ISNUMBER(G1201)),NOT(ISNUMBER(H1201))),"",H1201-G1201)</f>
        <v/>
      </c>
      <c r="J1201" s="319">
        <f>IF(OR(NOT(ISNUMBER(G1201)),NOT(ISNUMBER(H1201)),G1201=0),"",I1201/G1201)</f>
        <v/>
      </c>
      <c r="K1201" s="319">
        <f>IF(OR(NOT(ISNUMBER(G1201)),NOT(ISNUMBER(H1201)),G1201=0),"",H1201/G1201)</f>
        <v/>
      </c>
      <c r="L1201">
        <f>IF(NOT(ISNUMBER(G1201)),"SEM META",IF(G1201=0,"SEM META",IF(NOT(ISNUMBER(H1201)),"SEM APONTAMENTO",IF(H1201&gt;=G1201,"VERDE",IF(H1201&gt;=G1201*0.9,"AMARELO","VERMELHO")))))</f>
        <v/>
      </c>
      <c r="M1201" s="162" t="n"/>
      <c r="N1201" s="162" t="n"/>
      <c r="O1201" s="162" t="n"/>
      <c r="P1201" s="162" t="n"/>
      <c r="Q1201" s="320" t="n"/>
      <c r="R1201" s="162" t="inlineStr">
        <is>
          <t>CONTROLE PRODUÇÃO POR EMPRESAS!G205</t>
        </is>
      </c>
    </row>
    <row r="1202" ht="28.5" customHeight="1">
      <c r="A1202" s="317" t="n">
        <v>46423</v>
      </c>
      <c r="B1202" t="inlineStr">
        <is>
          <t>GERAL</t>
        </is>
      </c>
      <c r="C1202" t="inlineStr">
        <is>
          <t>EJ</t>
        </is>
      </c>
      <c r="D1202" t="inlineStr">
        <is>
          <t>PREMONTAGEM</t>
        </is>
      </c>
      <c r="F1202" s="159">
        <f>IFERROR(INDEX('BASE METAS DIÁRIAS'!$N$2:$S$358,MATCH($A1202,'BASE METAS DIÁRIAS'!$A$2:$A$358,0),MOD(ROW()-2,6)+1),"")</f>
        <v/>
      </c>
      <c r="G1202" s="159">
        <f>IFERROR(IF(WEEKDAY($A1202,2)&lt;=INDEX('BASE METAS DIÁRIAS'!$H$2:$M$358,MATCH($A1202,'BASE METAS DIÁRIAS'!$A$2:$A$358,0),MOD(ROW()-2,6)+1),INDEX('BASE METAS DIÁRIAS'!$B$2:$G$358,MATCH($A1202,'BASE METAS DIÁRIAS'!$A$2:$A$358,0),MOD(ROW()-2,6)+1),""),"")</f>
        <v/>
      </c>
      <c r="H1202" s="159">
        <f>IFERROR(IF(INDEX('CONTROLE PRODUÇÃO POR EMPRESAS'!$B$6:$G$5000,MATCH($A1202,'CONTROLE PRODUÇÃO POR EMPRESAS'!$A$6:$A$5000,0),MOD(ROW()-2,6)+1)="","",IFERROR(1*INDEX('CONTROLE PRODUÇÃO POR EMPRESAS'!$B$6:$G$5000,MATCH($A1202,'CONTROLE PRODUÇÃO POR EMPRESAS'!$A$6:$A$5000,0),MOD(ROW()-2,6)+1),"")),"")</f>
        <v/>
      </c>
      <c r="I1202" s="159">
        <f>IF(OR(NOT(ISNUMBER(G1202)),NOT(ISNUMBER(H1202))),"",H1202-G1202)</f>
        <v/>
      </c>
      <c r="J1202" s="319">
        <f>IF(OR(NOT(ISNUMBER(G1202)),NOT(ISNUMBER(H1202)),G1202=0),"",I1202/G1202)</f>
        <v/>
      </c>
      <c r="K1202" s="319">
        <f>IF(OR(NOT(ISNUMBER(G1202)),NOT(ISNUMBER(H1202)),G1202=0),"",H1202/G1202)</f>
        <v/>
      </c>
      <c r="L1202">
        <f>IF(NOT(ISNUMBER(G1202)),"SEM META",IF(G1202=0,"SEM META",IF(NOT(ISNUMBER(H1202)),"SEM APONTAMENTO",IF(H1202&gt;=G1202,"VERDE",IF(H1202&gt;=G1202*0.9,"AMARELO","VERMELHO")))))</f>
        <v/>
      </c>
      <c r="M1202" s="162" t="n"/>
      <c r="N1202" s="162" t="n"/>
      <c r="O1202" s="162" t="n"/>
      <c r="P1202" s="162" t="n"/>
      <c r="Q1202" s="320" t="n"/>
      <c r="R1202" s="162" t="inlineStr">
        <is>
          <t>CONTROLE PRODUÇÃO POR EMPRESAS!B206</t>
        </is>
      </c>
    </row>
    <row r="1203" ht="28.5" customHeight="1">
      <c r="A1203" s="317" t="n">
        <v>46423</v>
      </c>
      <c r="B1203" t="inlineStr">
        <is>
          <t>GERAL</t>
        </is>
      </c>
      <c r="C1203" t="inlineStr">
        <is>
          <t>EJ</t>
        </is>
      </c>
      <c r="D1203" t="inlineStr">
        <is>
          <t>IÇAMENTO JOIST</t>
        </is>
      </c>
      <c r="F1203" s="159">
        <f>IFERROR(INDEX('BASE METAS DIÁRIAS'!$N$2:$S$358,MATCH($A1203,'BASE METAS DIÁRIAS'!$A$2:$A$358,0),MOD(ROW()-2,6)+1),"")</f>
        <v/>
      </c>
      <c r="G1203" s="159">
        <f>IFERROR(IF(WEEKDAY($A1203,2)&lt;=INDEX('BASE METAS DIÁRIAS'!$H$2:$M$358,MATCH($A1203,'BASE METAS DIÁRIAS'!$A$2:$A$358,0),MOD(ROW()-2,6)+1),INDEX('BASE METAS DIÁRIAS'!$B$2:$G$358,MATCH($A1203,'BASE METAS DIÁRIAS'!$A$2:$A$358,0),MOD(ROW()-2,6)+1),""),"")</f>
        <v/>
      </c>
      <c r="H1203" s="159">
        <f>IFERROR(IF(INDEX('CONTROLE PRODUÇÃO POR EMPRESAS'!$B$6:$G$5000,MATCH($A1203,'CONTROLE PRODUÇÃO POR EMPRESAS'!$A$6:$A$5000,0),MOD(ROW()-2,6)+1)="","",IFERROR(1*INDEX('CONTROLE PRODUÇÃO POR EMPRESAS'!$B$6:$G$5000,MATCH($A1203,'CONTROLE PRODUÇÃO POR EMPRESAS'!$A$6:$A$5000,0),MOD(ROW()-2,6)+1),"")),"")</f>
        <v/>
      </c>
      <c r="I1203" s="159">
        <f>IF(OR(NOT(ISNUMBER(G1203)),NOT(ISNUMBER(H1203))),"",H1203-G1203)</f>
        <v/>
      </c>
      <c r="J1203" s="319">
        <f>IF(OR(NOT(ISNUMBER(G1203)),NOT(ISNUMBER(H1203)),G1203=0),"",I1203/G1203)</f>
        <v/>
      </c>
      <c r="K1203" s="319">
        <f>IF(OR(NOT(ISNUMBER(G1203)),NOT(ISNUMBER(H1203)),G1203=0),"",H1203/G1203)</f>
        <v/>
      </c>
      <c r="L1203">
        <f>IF(NOT(ISNUMBER(G1203)),"SEM META",IF(G1203=0,"SEM META",IF(NOT(ISNUMBER(H1203)),"SEM APONTAMENTO",IF(H1203&gt;=G1203,"VERDE",IF(H1203&gt;=G1203*0.9,"AMARELO","VERMELHO")))))</f>
        <v/>
      </c>
      <c r="M1203" s="162" t="n"/>
      <c r="N1203" s="162" t="n"/>
      <c r="O1203" s="162" t="n"/>
      <c r="P1203" s="162" t="n"/>
      <c r="Q1203" s="320" t="n"/>
      <c r="R1203" s="162" t="inlineStr">
        <is>
          <t>CONTROLE PRODUÇÃO POR EMPRESAS!C206</t>
        </is>
      </c>
    </row>
    <row r="1204" ht="28.5" customHeight="1">
      <c r="A1204" s="317" t="n">
        <v>46423</v>
      </c>
      <c r="B1204" t="inlineStr">
        <is>
          <t>GERAL</t>
        </is>
      </c>
      <c r="C1204" t="inlineStr">
        <is>
          <t>EJ</t>
        </is>
      </c>
      <c r="D1204" t="inlineStr">
        <is>
          <t>VIGAS</t>
        </is>
      </c>
      <c r="F1204" s="159">
        <f>IFERROR(INDEX('BASE METAS DIÁRIAS'!$N$2:$S$358,MATCH($A1204,'BASE METAS DIÁRIAS'!$A$2:$A$358,0),MOD(ROW()-2,6)+1),"")</f>
        <v/>
      </c>
      <c r="G1204" s="159">
        <f>IFERROR(IF(WEEKDAY($A1204,2)&lt;=INDEX('BASE METAS DIÁRIAS'!$H$2:$M$358,MATCH($A1204,'BASE METAS DIÁRIAS'!$A$2:$A$358,0),MOD(ROW()-2,6)+1),INDEX('BASE METAS DIÁRIAS'!$B$2:$G$358,MATCH($A1204,'BASE METAS DIÁRIAS'!$A$2:$A$358,0),MOD(ROW()-2,6)+1),""),"")</f>
        <v/>
      </c>
      <c r="H1204" s="159">
        <f>IFERROR(IF(INDEX('CONTROLE PRODUÇÃO POR EMPRESAS'!$B$6:$G$5000,MATCH($A1204,'CONTROLE PRODUÇÃO POR EMPRESAS'!$A$6:$A$5000,0),MOD(ROW()-2,6)+1)="","",IFERROR(1*INDEX('CONTROLE PRODUÇÃO POR EMPRESAS'!$B$6:$G$5000,MATCH($A1204,'CONTROLE PRODUÇÃO POR EMPRESAS'!$A$6:$A$5000,0),MOD(ROW()-2,6)+1),"")),"")</f>
        <v/>
      </c>
      <c r="I1204" s="159">
        <f>IF(OR(NOT(ISNUMBER(G1204)),NOT(ISNUMBER(H1204))),"",H1204-G1204)</f>
        <v/>
      </c>
      <c r="J1204" s="319">
        <f>IF(OR(NOT(ISNUMBER(G1204)),NOT(ISNUMBER(H1204)),G1204=0),"",I1204/G1204)</f>
        <v/>
      </c>
      <c r="K1204" s="319">
        <f>IF(OR(NOT(ISNUMBER(G1204)),NOT(ISNUMBER(H1204)),G1204=0),"",H1204/G1204)</f>
        <v/>
      </c>
      <c r="L1204">
        <f>IF(NOT(ISNUMBER(G1204)),"SEM META",IF(G1204=0,"SEM META",IF(NOT(ISNUMBER(H1204)),"SEM APONTAMENTO",IF(H1204&gt;=G1204,"VERDE",IF(H1204&gt;=G1204*0.9,"AMARELO","VERMELHO")))))</f>
        <v/>
      </c>
      <c r="M1204" s="162" t="n"/>
      <c r="N1204" s="162" t="n"/>
      <c r="O1204" s="162" t="n"/>
      <c r="P1204" s="162" t="n"/>
      <c r="Q1204" s="320" t="n"/>
      <c r="R1204" s="162" t="inlineStr">
        <is>
          <t>CONTROLE PRODUÇÃO POR EMPRESAS!D206</t>
        </is>
      </c>
    </row>
    <row r="1205" ht="28.5" customHeight="1">
      <c r="A1205" s="317" t="n">
        <v>46423</v>
      </c>
      <c r="B1205" t="inlineStr">
        <is>
          <t>GERAL</t>
        </is>
      </c>
      <c r="C1205" t="inlineStr">
        <is>
          <t>CMM</t>
        </is>
      </c>
      <c r="D1205" t="inlineStr">
        <is>
          <t>PREMONTAGEM</t>
        </is>
      </c>
      <c r="F1205" s="159">
        <f>IFERROR(INDEX('BASE METAS DIÁRIAS'!$N$2:$S$358,MATCH($A1205,'BASE METAS DIÁRIAS'!$A$2:$A$358,0),MOD(ROW()-2,6)+1),"")</f>
        <v/>
      </c>
      <c r="G1205" s="159">
        <f>IFERROR(IF(WEEKDAY($A1205,2)&lt;=INDEX('BASE METAS DIÁRIAS'!$H$2:$M$358,MATCH($A1205,'BASE METAS DIÁRIAS'!$A$2:$A$358,0),MOD(ROW()-2,6)+1),INDEX('BASE METAS DIÁRIAS'!$B$2:$G$358,MATCH($A1205,'BASE METAS DIÁRIAS'!$A$2:$A$358,0),MOD(ROW()-2,6)+1),""),"")</f>
        <v/>
      </c>
      <c r="H1205" s="159">
        <f>IFERROR(IF(INDEX('CONTROLE PRODUÇÃO POR EMPRESAS'!$B$6:$G$5000,MATCH($A1205,'CONTROLE PRODUÇÃO POR EMPRESAS'!$A$6:$A$5000,0),MOD(ROW()-2,6)+1)="","",IFERROR(1*INDEX('CONTROLE PRODUÇÃO POR EMPRESAS'!$B$6:$G$5000,MATCH($A1205,'CONTROLE PRODUÇÃO POR EMPRESAS'!$A$6:$A$5000,0),MOD(ROW()-2,6)+1),"")),"")</f>
        <v/>
      </c>
      <c r="I1205" s="159">
        <f>IF(OR(NOT(ISNUMBER(G1205)),NOT(ISNUMBER(H1205))),"",H1205-G1205)</f>
        <v/>
      </c>
      <c r="J1205" s="319">
        <f>IF(OR(NOT(ISNUMBER(G1205)),NOT(ISNUMBER(H1205)),G1205=0),"",I1205/G1205)</f>
        <v/>
      </c>
      <c r="K1205" s="319">
        <f>IF(OR(NOT(ISNUMBER(G1205)),NOT(ISNUMBER(H1205)),G1205=0),"",H1205/G1205)</f>
        <v/>
      </c>
      <c r="L1205">
        <f>IF(NOT(ISNUMBER(G1205)),"SEM META",IF(G1205=0,"SEM META",IF(NOT(ISNUMBER(H1205)),"SEM APONTAMENTO",IF(H1205&gt;=G1205,"VERDE",IF(H1205&gt;=G1205*0.9,"AMARELO","VERMELHO")))))</f>
        <v/>
      </c>
      <c r="M1205" s="162" t="n"/>
      <c r="N1205" s="162" t="n"/>
      <c r="O1205" s="162" t="n"/>
      <c r="P1205" s="162" t="n"/>
      <c r="Q1205" s="320" t="n"/>
      <c r="R1205" s="162" t="inlineStr">
        <is>
          <t>CONTROLE PRODUÇÃO POR EMPRESAS!E206</t>
        </is>
      </c>
    </row>
    <row r="1206" ht="28.5" customHeight="1">
      <c r="A1206" s="317" t="n">
        <v>46423</v>
      </c>
      <c r="B1206" t="inlineStr">
        <is>
          <t>GERAL</t>
        </is>
      </c>
      <c r="C1206" t="inlineStr">
        <is>
          <t>CMM</t>
        </is>
      </c>
      <c r="D1206" t="inlineStr">
        <is>
          <t>IÇAMENTO JOIST</t>
        </is>
      </c>
      <c r="F1206" s="159">
        <f>IFERROR(INDEX('BASE METAS DIÁRIAS'!$N$2:$S$358,MATCH($A1206,'BASE METAS DIÁRIAS'!$A$2:$A$358,0),MOD(ROW()-2,6)+1),"")</f>
        <v/>
      </c>
      <c r="G1206" s="159">
        <f>IFERROR(IF(WEEKDAY($A1206,2)&lt;=INDEX('BASE METAS DIÁRIAS'!$H$2:$M$358,MATCH($A1206,'BASE METAS DIÁRIAS'!$A$2:$A$358,0),MOD(ROW()-2,6)+1),INDEX('BASE METAS DIÁRIAS'!$B$2:$G$358,MATCH($A1206,'BASE METAS DIÁRIAS'!$A$2:$A$358,0),MOD(ROW()-2,6)+1),""),"")</f>
        <v/>
      </c>
      <c r="H1206" s="159">
        <f>IFERROR(IF(INDEX('CONTROLE PRODUÇÃO POR EMPRESAS'!$B$6:$G$5000,MATCH($A1206,'CONTROLE PRODUÇÃO POR EMPRESAS'!$A$6:$A$5000,0),MOD(ROW()-2,6)+1)="","",IFERROR(1*INDEX('CONTROLE PRODUÇÃO POR EMPRESAS'!$B$6:$G$5000,MATCH($A1206,'CONTROLE PRODUÇÃO POR EMPRESAS'!$A$6:$A$5000,0),MOD(ROW()-2,6)+1),"")),"")</f>
        <v/>
      </c>
      <c r="I1206" s="159">
        <f>IF(OR(NOT(ISNUMBER(G1206)),NOT(ISNUMBER(H1206))),"",H1206-G1206)</f>
        <v/>
      </c>
      <c r="J1206" s="319">
        <f>IF(OR(NOT(ISNUMBER(G1206)),NOT(ISNUMBER(H1206)),G1206=0),"",I1206/G1206)</f>
        <v/>
      </c>
      <c r="K1206" s="319">
        <f>IF(OR(NOT(ISNUMBER(G1206)),NOT(ISNUMBER(H1206)),G1206=0),"",H1206/G1206)</f>
        <v/>
      </c>
      <c r="L1206">
        <f>IF(NOT(ISNUMBER(G1206)),"SEM META",IF(G1206=0,"SEM META",IF(NOT(ISNUMBER(H1206)),"SEM APONTAMENTO",IF(H1206&gt;=G1206,"VERDE",IF(H1206&gt;=G1206*0.9,"AMARELO","VERMELHO")))))</f>
        <v/>
      </c>
      <c r="M1206" s="162" t="n"/>
      <c r="N1206" s="162" t="n"/>
      <c r="O1206" s="162" t="n"/>
      <c r="P1206" s="162" t="n"/>
      <c r="Q1206" s="320" t="n"/>
      <c r="R1206" s="162" t="inlineStr">
        <is>
          <t>CONTROLE PRODUÇÃO POR EMPRESAS!F206</t>
        </is>
      </c>
    </row>
    <row r="1207" ht="28.5" customHeight="1">
      <c r="A1207" s="317" t="n">
        <v>46423</v>
      </c>
      <c r="B1207" t="inlineStr">
        <is>
          <t>GERAL</t>
        </is>
      </c>
      <c r="C1207" t="inlineStr">
        <is>
          <t>CMM</t>
        </is>
      </c>
      <c r="D1207" t="inlineStr">
        <is>
          <t>VIGAS</t>
        </is>
      </c>
      <c r="F1207" s="159">
        <f>IFERROR(INDEX('BASE METAS DIÁRIAS'!$N$2:$S$358,MATCH($A1207,'BASE METAS DIÁRIAS'!$A$2:$A$358,0),MOD(ROW()-2,6)+1),"")</f>
        <v/>
      </c>
      <c r="G1207" s="159">
        <f>IFERROR(IF(WEEKDAY($A1207,2)&lt;=INDEX('BASE METAS DIÁRIAS'!$H$2:$M$358,MATCH($A1207,'BASE METAS DIÁRIAS'!$A$2:$A$358,0),MOD(ROW()-2,6)+1),INDEX('BASE METAS DIÁRIAS'!$B$2:$G$358,MATCH($A1207,'BASE METAS DIÁRIAS'!$A$2:$A$358,0),MOD(ROW()-2,6)+1),""),"")</f>
        <v/>
      </c>
      <c r="H1207" s="159">
        <f>IFERROR(IF(INDEX('CONTROLE PRODUÇÃO POR EMPRESAS'!$B$6:$G$5000,MATCH($A1207,'CONTROLE PRODUÇÃO POR EMPRESAS'!$A$6:$A$5000,0),MOD(ROW()-2,6)+1)="","",IFERROR(1*INDEX('CONTROLE PRODUÇÃO POR EMPRESAS'!$B$6:$G$5000,MATCH($A1207,'CONTROLE PRODUÇÃO POR EMPRESAS'!$A$6:$A$5000,0),MOD(ROW()-2,6)+1),"")),"")</f>
        <v/>
      </c>
      <c r="I1207" s="159">
        <f>IF(OR(NOT(ISNUMBER(G1207)),NOT(ISNUMBER(H1207))),"",H1207-G1207)</f>
        <v/>
      </c>
      <c r="J1207" s="319">
        <f>IF(OR(NOT(ISNUMBER(G1207)),NOT(ISNUMBER(H1207)),G1207=0),"",I1207/G1207)</f>
        <v/>
      </c>
      <c r="K1207" s="319">
        <f>IF(OR(NOT(ISNUMBER(G1207)),NOT(ISNUMBER(H1207)),G1207=0),"",H1207/G1207)</f>
        <v/>
      </c>
      <c r="L1207">
        <f>IF(NOT(ISNUMBER(G1207)),"SEM META",IF(G1207=0,"SEM META",IF(NOT(ISNUMBER(H1207)),"SEM APONTAMENTO",IF(H1207&gt;=G1207,"VERDE",IF(H1207&gt;=G1207*0.9,"AMARELO","VERMELHO")))))</f>
        <v/>
      </c>
      <c r="M1207" s="162" t="n"/>
      <c r="N1207" s="162" t="n"/>
      <c r="O1207" s="162" t="n"/>
      <c r="P1207" s="162" t="n"/>
      <c r="Q1207" s="320" t="n"/>
      <c r="R1207" s="162" t="inlineStr">
        <is>
          <t>CONTROLE PRODUÇÃO POR EMPRESAS!G206</t>
        </is>
      </c>
    </row>
    <row r="1208" ht="28.5" customHeight="1">
      <c r="A1208" s="317" t="n">
        <v>46424</v>
      </c>
      <c r="B1208" t="inlineStr">
        <is>
          <t>GERAL</t>
        </is>
      </c>
      <c r="C1208" t="inlineStr">
        <is>
          <t>EJ</t>
        </is>
      </c>
      <c r="D1208" t="inlineStr">
        <is>
          <t>PREMONTAGEM</t>
        </is>
      </c>
      <c r="F1208" s="159">
        <f>IFERROR(INDEX('BASE METAS DIÁRIAS'!$N$2:$S$358,MATCH($A1208,'BASE METAS DIÁRIAS'!$A$2:$A$358,0),MOD(ROW()-2,6)+1),"")</f>
        <v/>
      </c>
      <c r="G1208" s="159">
        <f>IFERROR(IF(WEEKDAY($A1208,2)&lt;=INDEX('BASE METAS DIÁRIAS'!$H$2:$M$358,MATCH($A1208,'BASE METAS DIÁRIAS'!$A$2:$A$358,0),MOD(ROW()-2,6)+1),INDEX('BASE METAS DIÁRIAS'!$B$2:$G$358,MATCH($A1208,'BASE METAS DIÁRIAS'!$A$2:$A$358,0),MOD(ROW()-2,6)+1),""),"")</f>
        <v/>
      </c>
      <c r="H1208" s="159">
        <f>IFERROR(IF(INDEX('CONTROLE PRODUÇÃO POR EMPRESAS'!$B$6:$G$5000,MATCH($A1208,'CONTROLE PRODUÇÃO POR EMPRESAS'!$A$6:$A$5000,0),MOD(ROW()-2,6)+1)="","",IFERROR(1*INDEX('CONTROLE PRODUÇÃO POR EMPRESAS'!$B$6:$G$5000,MATCH($A1208,'CONTROLE PRODUÇÃO POR EMPRESAS'!$A$6:$A$5000,0),MOD(ROW()-2,6)+1),"")),"")</f>
        <v/>
      </c>
      <c r="I1208" s="159">
        <f>IF(OR(NOT(ISNUMBER(G1208)),NOT(ISNUMBER(H1208))),"",H1208-G1208)</f>
        <v/>
      </c>
      <c r="J1208" s="319">
        <f>IF(OR(NOT(ISNUMBER(G1208)),NOT(ISNUMBER(H1208)),G1208=0),"",I1208/G1208)</f>
        <v/>
      </c>
      <c r="K1208" s="319">
        <f>IF(OR(NOT(ISNUMBER(G1208)),NOT(ISNUMBER(H1208)),G1208=0),"",H1208/G1208)</f>
        <v/>
      </c>
      <c r="L1208">
        <f>IF(NOT(ISNUMBER(G1208)),"SEM META",IF(G1208=0,"SEM META",IF(NOT(ISNUMBER(H1208)),"SEM APONTAMENTO",IF(H1208&gt;=G1208,"VERDE",IF(H1208&gt;=G1208*0.9,"AMARELO","VERMELHO")))))</f>
        <v/>
      </c>
      <c r="M1208" s="162" t="n"/>
      <c r="N1208" s="162" t="n"/>
      <c r="O1208" s="162" t="n"/>
      <c r="P1208" s="162" t="n"/>
      <c r="Q1208" s="320" t="n"/>
      <c r="R1208" s="162" t="inlineStr">
        <is>
          <t>CONTROLE PRODUÇÃO POR EMPRESAS!B207</t>
        </is>
      </c>
    </row>
    <row r="1209" ht="28.5" customHeight="1">
      <c r="A1209" s="317" t="n">
        <v>46424</v>
      </c>
      <c r="B1209" t="inlineStr">
        <is>
          <t>GERAL</t>
        </is>
      </c>
      <c r="C1209" t="inlineStr">
        <is>
          <t>EJ</t>
        </is>
      </c>
      <c r="D1209" t="inlineStr">
        <is>
          <t>IÇAMENTO JOIST</t>
        </is>
      </c>
      <c r="F1209" s="159">
        <f>IFERROR(INDEX('BASE METAS DIÁRIAS'!$N$2:$S$358,MATCH($A1209,'BASE METAS DIÁRIAS'!$A$2:$A$358,0),MOD(ROW()-2,6)+1),"")</f>
        <v/>
      </c>
      <c r="G1209" s="159">
        <f>IFERROR(IF(WEEKDAY($A1209,2)&lt;=INDEX('BASE METAS DIÁRIAS'!$H$2:$M$358,MATCH($A1209,'BASE METAS DIÁRIAS'!$A$2:$A$358,0),MOD(ROW()-2,6)+1),INDEX('BASE METAS DIÁRIAS'!$B$2:$G$358,MATCH($A1209,'BASE METAS DIÁRIAS'!$A$2:$A$358,0),MOD(ROW()-2,6)+1),""),"")</f>
        <v/>
      </c>
      <c r="H1209" s="159">
        <f>IFERROR(IF(INDEX('CONTROLE PRODUÇÃO POR EMPRESAS'!$B$6:$G$5000,MATCH($A1209,'CONTROLE PRODUÇÃO POR EMPRESAS'!$A$6:$A$5000,0),MOD(ROW()-2,6)+1)="","",IFERROR(1*INDEX('CONTROLE PRODUÇÃO POR EMPRESAS'!$B$6:$G$5000,MATCH($A1209,'CONTROLE PRODUÇÃO POR EMPRESAS'!$A$6:$A$5000,0),MOD(ROW()-2,6)+1),"")),"")</f>
        <v/>
      </c>
      <c r="I1209" s="159">
        <f>IF(OR(NOT(ISNUMBER(G1209)),NOT(ISNUMBER(H1209))),"",H1209-G1209)</f>
        <v/>
      </c>
      <c r="J1209" s="319">
        <f>IF(OR(NOT(ISNUMBER(G1209)),NOT(ISNUMBER(H1209)),G1209=0),"",I1209/G1209)</f>
        <v/>
      </c>
      <c r="K1209" s="319">
        <f>IF(OR(NOT(ISNUMBER(G1209)),NOT(ISNUMBER(H1209)),G1209=0),"",H1209/G1209)</f>
        <v/>
      </c>
      <c r="L1209">
        <f>IF(NOT(ISNUMBER(G1209)),"SEM META",IF(G1209=0,"SEM META",IF(NOT(ISNUMBER(H1209)),"SEM APONTAMENTO",IF(H1209&gt;=G1209,"VERDE",IF(H1209&gt;=G1209*0.9,"AMARELO","VERMELHO")))))</f>
        <v/>
      </c>
      <c r="M1209" s="162" t="n"/>
      <c r="N1209" s="162" t="n"/>
      <c r="O1209" s="162" t="n"/>
      <c r="P1209" s="162" t="n"/>
      <c r="Q1209" s="320" t="n"/>
      <c r="R1209" s="162" t="inlineStr">
        <is>
          <t>CONTROLE PRODUÇÃO POR EMPRESAS!C207</t>
        </is>
      </c>
    </row>
    <row r="1210" ht="28.5" customHeight="1">
      <c r="A1210" s="317" t="n">
        <v>46424</v>
      </c>
      <c r="B1210" t="inlineStr">
        <is>
          <t>GERAL</t>
        </is>
      </c>
      <c r="C1210" t="inlineStr">
        <is>
          <t>EJ</t>
        </is>
      </c>
      <c r="D1210" t="inlineStr">
        <is>
          <t>VIGAS</t>
        </is>
      </c>
      <c r="F1210" s="159">
        <f>IFERROR(INDEX('BASE METAS DIÁRIAS'!$N$2:$S$358,MATCH($A1210,'BASE METAS DIÁRIAS'!$A$2:$A$358,0),MOD(ROW()-2,6)+1),"")</f>
        <v/>
      </c>
      <c r="G1210" s="159">
        <f>IFERROR(IF(WEEKDAY($A1210,2)&lt;=INDEX('BASE METAS DIÁRIAS'!$H$2:$M$358,MATCH($A1210,'BASE METAS DIÁRIAS'!$A$2:$A$358,0),MOD(ROW()-2,6)+1),INDEX('BASE METAS DIÁRIAS'!$B$2:$G$358,MATCH($A1210,'BASE METAS DIÁRIAS'!$A$2:$A$358,0),MOD(ROW()-2,6)+1),""),"")</f>
        <v/>
      </c>
      <c r="H1210" s="159">
        <f>IFERROR(IF(INDEX('CONTROLE PRODUÇÃO POR EMPRESAS'!$B$6:$G$5000,MATCH($A1210,'CONTROLE PRODUÇÃO POR EMPRESAS'!$A$6:$A$5000,0),MOD(ROW()-2,6)+1)="","",IFERROR(1*INDEX('CONTROLE PRODUÇÃO POR EMPRESAS'!$B$6:$G$5000,MATCH($A1210,'CONTROLE PRODUÇÃO POR EMPRESAS'!$A$6:$A$5000,0),MOD(ROW()-2,6)+1),"")),"")</f>
        <v/>
      </c>
      <c r="I1210" s="159">
        <f>IF(OR(NOT(ISNUMBER(G1210)),NOT(ISNUMBER(H1210))),"",H1210-G1210)</f>
        <v/>
      </c>
      <c r="J1210" s="319">
        <f>IF(OR(NOT(ISNUMBER(G1210)),NOT(ISNUMBER(H1210)),G1210=0),"",I1210/G1210)</f>
        <v/>
      </c>
      <c r="K1210" s="319">
        <f>IF(OR(NOT(ISNUMBER(G1210)),NOT(ISNUMBER(H1210)),G1210=0),"",H1210/G1210)</f>
        <v/>
      </c>
      <c r="L1210">
        <f>IF(NOT(ISNUMBER(G1210)),"SEM META",IF(G1210=0,"SEM META",IF(NOT(ISNUMBER(H1210)),"SEM APONTAMENTO",IF(H1210&gt;=G1210,"VERDE",IF(H1210&gt;=G1210*0.9,"AMARELO","VERMELHO")))))</f>
        <v/>
      </c>
      <c r="M1210" s="162" t="n"/>
      <c r="N1210" s="162" t="n"/>
      <c r="O1210" s="162" t="n"/>
      <c r="P1210" s="162" t="n"/>
      <c r="Q1210" s="320" t="n"/>
      <c r="R1210" s="162" t="inlineStr">
        <is>
          <t>CONTROLE PRODUÇÃO POR EMPRESAS!D207</t>
        </is>
      </c>
    </row>
    <row r="1211" ht="28.5" customHeight="1">
      <c r="A1211" s="317" t="n">
        <v>46424</v>
      </c>
      <c r="B1211" t="inlineStr">
        <is>
          <t>GERAL</t>
        </is>
      </c>
      <c r="C1211" t="inlineStr">
        <is>
          <t>CMM</t>
        </is>
      </c>
      <c r="D1211" t="inlineStr">
        <is>
          <t>PREMONTAGEM</t>
        </is>
      </c>
      <c r="F1211" s="159">
        <f>IFERROR(INDEX('BASE METAS DIÁRIAS'!$N$2:$S$358,MATCH($A1211,'BASE METAS DIÁRIAS'!$A$2:$A$358,0),MOD(ROW()-2,6)+1),"")</f>
        <v/>
      </c>
      <c r="G1211" s="159">
        <f>IFERROR(IF(WEEKDAY($A1211,2)&lt;=INDEX('BASE METAS DIÁRIAS'!$H$2:$M$358,MATCH($A1211,'BASE METAS DIÁRIAS'!$A$2:$A$358,0),MOD(ROW()-2,6)+1),INDEX('BASE METAS DIÁRIAS'!$B$2:$G$358,MATCH($A1211,'BASE METAS DIÁRIAS'!$A$2:$A$358,0),MOD(ROW()-2,6)+1),""),"")</f>
        <v/>
      </c>
      <c r="H1211" s="159">
        <f>IFERROR(IF(INDEX('CONTROLE PRODUÇÃO POR EMPRESAS'!$B$6:$G$5000,MATCH($A1211,'CONTROLE PRODUÇÃO POR EMPRESAS'!$A$6:$A$5000,0),MOD(ROW()-2,6)+1)="","",IFERROR(1*INDEX('CONTROLE PRODUÇÃO POR EMPRESAS'!$B$6:$G$5000,MATCH($A1211,'CONTROLE PRODUÇÃO POR EMPRESAS'!$A$6:$A$5000,0),MOD(ROW()-2,6)+1),"")),"")</f>
        <v/>
      </c>
      <c r="I1211" s="159">
        <f>IF(OR(NOT(ISNUMBER(G1211)),NOT(ISNUMBER(H1211))),"",H1211-G1211)</f>
        <v/>
      </c>
      <c r="J1211" s="319">
        <f>IF(OR(NOT(ISNUMBER(G1211)),NOT(ISNUMBER(H1211)),G1211=0),"",I1211/G1211)</f>
        <v/>
      </c>
      <c r="K1211" s="319">
        <f>IF(OR(NOT(ISNUMBER(G1211)),NOT(ISNUMBER(H1211)),G1211=0),"",H1211/G1211)</f>
        <v/>
      </c>
      <c r="L1211">
        <f>IF(NOT(ISNUMBER(G1211)),"SEM META",IF(G1211=0,"SEM META",IF(NOT(ISNUMBER(H1211)),"SEM APONTAMENTO",IF(H1211&gt;=G1211,"VERDE",IF(H1211&gt;=G1211*0.9,"AMARELO","VERMELHO")))))</f>
        <v/>
      </c>
      <c r="M1211" s="162" t="n"/>
      <c r="N1211" s="162" t="n"/>
      <c r="O1211" s="162" t="n"/>
      <c r="P1211" s="162" t="n"/>
      <c r="Q1211" s="320" t="n"/>
      <c r="R1211" s="162" t="inlineStr">
        <is>
          <t>CONTROLE PRODUÇÃO POR EMPRESAS!E207</t>
        </is>
      </c>
    </row>
    <row r="1212" ht="28.5" customHeight="1">
      <c r="A1212" s="317" t="n">
        <v>46424</v>
      </c>
      <c r="B1212" t="inlineStr">
        <is>
          <t>GERAL</t>
        </is>
      </c>
      <c r="C1212" t="inlineStr">
        <is>
          <t>CMM</t>
        </is>
      </c>
      <c r="D1212" t="inlineStr">
        <is>
          <t>IÇAMENTO JOIST</t>
        </is>
      </c>
      <c r="F1212" s="159">
        <f>IFERROR(INDEX('BASE METAS DIÁRIAS'!$N$2:$S$358,MATCH($A1212,'BASE METAS DIÁRIAS'!$A$2:$A$358,0),MOD(ROW()-2,6)+1),"")</f>
        <v/>
      </c>
      <c r="G1212" s="159">
        <f>IFERROR(IF(WEEKDAY($A1212,2)&lt;=INDEX('BASE METAS DIÁRIAS'!$H$2:$M$358,MATCH($A1212,'BASE METAS DIÁRIAS'!$A$2:$A$358,0),MOD(ROW()-2,6)+1),INDEX('BASE METAS DIÁRIAS'!$B$2:$G$358,MATCH($A1212,'BASE METAS DIÁRIAS'!$A$2:$A$358,0),MOD(ROW()-2,6)+1),""),"")</f>
        <v/>
      </c>
      <c r="H1212" s="159">
        <f>IFERROR(IF(INDEX('CONTROLE PRODUÇÃO POR EMPRESAS'!$B$6:$G$5000,MATCH($A1212,'CONTROLE PRODUÇÃO POR EMPRESAS'!$A$6:$A$5000,0),MOD(ROW()-2,6)+1)="","",IFERROR(1*INDEX('CONTROLE PRODUÇÃO POR EMPRESAS'!$B$6:$G$5000,MATCH($A1212,'CONTROLE PRODUÇÃO POR EMPRESAS'!$A$6:$A$5000,0),MOD(ROW()-2,6)+1),"")),"")</f>
        <v/>
      </c>
      <c r="I1212" s="159">
        <f>IF(OR(NOT(ISNUMBER(G1212)),NOT(ISNUMBER(H1212))),"",H1212-G1212)</f>
        <v/>
      </c>
      <c r="J1212" s="319">
        <f>IF(OR(NOT(ISNUMBER(G1212)),NOT(ISNUMBER(H1212)),G1212=0),"",I1212/G1212)</f>
        <v/>
      </c>
      <c r="K1212" s="319">
        <f>IF(OR(NOT(ISNUMBER(G1212)),NOT(ISNUMBER(H1212)),G1212=0),"",H1212/G1212)</f>
        <v/>
      </c>
      <c r="L1212">
        <f>IF(NOT(ISNUMBER(G1212)),"SEM META",IF(G1212=0,"SEM META",IF(NOT(ISNUMBER(H1212)),"SEM APONTAMENTO",IF(H1212&gt;=G1212,"VERDE",IF(H1212&gt;=G1212*0.9,"AMARELO","VERMELHO")))))</f>
        <v/>
      </c>
      <c r="M1212" s="162" t="n"/>
      <c r="N1212" s="162" t="n"/>
      <c r="O1212" s="162" t="n"/>
      <c r="P1212" s="162" t="n"/>
      <c r="Q1212" s="320" t="n"/>
      <c r="R1212" s="162" t="inlineStr">
        <is>
          <t>CONTROLE PRODUÇÃO POR EMPRESAS!F207</t>
        </is>
      </c>
    </row>
    <row r="1213" ht="28.5" customHeight="1">
      <c r="A1213" s="317" t="n">
        <v>46424</v>
      </c>
      <c r="B1213" t="inlineStr">
        <is>
          <t>GERAL</t>
        </is>
      </c>
      <c r="C1213" t="inlineStr">
        <is>
          <t>CMM</t>
        </is>
      </c>
      <c r="D1213" t="inlineStr">
        <is>
          <t>VIGAS</t>
        </is>
      </c>
      <c r="F1213" s="159">
        <f>IFERROR(INDEX('BASE METAS DIÁRIAS'!$N$2:$S$358,MATCH($A1213,'BASE METAS DIÁRIAS'!$A$2:$A$358,0),MOD(ROW()-2,6)+1),"")</f>
        <v/>
      </c>
      <c r="G1213" s="159">
        <f>IFERROR(IF(WEEKDAY($A1213,2)&lt;=INDEX('BASE METAS DIÁRIAS'!$H$2:$M$358,MATCH($A1213,'BASE METAS DIÁRIAS'!$A$2:$A$358,0),MOD(ROW()-2,6)+1),INDEX('BASE METAS DIÁRIAS'!$B$2:$G$358,MATCH($A1213,'BASE METAS DIÁRIAS'!$A$2:$A$358,0),MOD(ROW()-2,6)+1),""),"")</f>
        <v/>
      </c>
      <c r="H1213" s="159">
        <f>IFERROR(IF(INDEX('CONTROLE PRODUÇÃO POR EMPRESAS'!$B$6:$G$5000,MATCH($A1213,'CONTROLE PRODUÇÃO POR EMPRESAS'!$A$6:$A$5000,0),MOD(ROW()-2,6)+1)="","",IFERROR(1*INDEX('CONTROLE PRODUÇÃO POR EMPRESAS'!$B$6:$G$5000,MATCH($A1213,'CONTROLE PRODUÇÃO POR EMPRESAS'!$A$6:$A$5000,0),MOD(ROW()-2,6)+1),"")),"")</f>
        <v/>
      </c>
      <c r="I1213" s="159">
        <f>IF(OR(NOT(ISNUMBER(G1213)),NOT(ISNUMBER(H1213))),"",H1213-G1213)</f>
        <v/>
      </c>
      <c r="J1213" s="319">
        <f>IF(OR(NOT(ISNUMBER(G1213)),NOT(ISNUMBER(H1213)),G1213=0),"",I1213/G1213)</f>
        <v/>
      </c>
      <c r="K1213" s="319">
        <f>IF(OR(NOT(ISNUMBER(G1213)),NOT(ISNUMBER(H1213)),G1213=0),"",H1213/G1213)</f>
        <v/>
      </c>
      <c r="L1213">
        <f>IF(NOT(ISNUMBER(G1213)),"SEM META",IF(G1213=0,"SEM META",IF(NOT(ISNUMBER(H1213)),"SEM APONTAMENTO",IF(H1213&gt;=G1213,"VERDE",IF(H1213&gt;=G1213*0.9,"AMARELO","VERMELHO")))))</f>
        <v/>
      </c>
      <c r="M1213" s="162" t="n"/>
      <c r="N1213" s="162" t="n"/>
      <c r="O1213" s="162" t="n"/>
      <c r="P1213" s="162" t="n"/>
      <c r="Q1213" s="320" t="n"/>
      <c r="R1213" s="162" t="inlineStr">
        <is>
          <t>CONTROLE PRODUÇÃO POR EMPRESAS!G207</t>
        </is>
      </c>
    </row>
    <row r="1214" ht="28.5" customHeight="1">
      <c r="A1214" s="317" t="n">
        <v>46425</v>
      </c>
      <c r="B1214" t="inlineStr">
        <is>
          <t>GERAL</t>
        </is>
      </c>
      <c r="C1214" t="inlineStr">
        <is>
          <t>EJ</t>
        </is>
      </c>
      <c r="D1214" t="inlineStr">
        <is>
          <t>PREMONTAGEM</t>
        </is>
      </c>
      <c r="F1214" s="159">
        <f>IFERROR(INDEX('BASE METAS DIÁRIAS'!$N$2:$S$358,MATCH($A1214,'BASE METAS DIÁRIAS'!$A$2:$A$358,0),MOD(ROW()-2,6)+1),"")</f>
        <v/>
      </c>
      <c r="G1214" s="159">
        <f>IFERROR(IF(WEEKDAY($A1214,2)&lt;=INDEX('BASE METAS DIÁRIAS'!$H$2:$M$358,MATCH($A1214,'BASE METAS DIÁRIAS'!$A$2:$A$358,0),MOD(ROW()-2,6)+1),INDEX('BASE METAS DIÁRIAS'!$B$2:$G$358,MATCH($A1214,'BASE METAS DIÁRIAS'!$A$2:$A$358,0),MOD(ROW()-2,6)+1),""),"")</f>
        <v/>
      </c>
      <c r="H1214" s="159">
        <f>IFERROR(IF(INDEX('CONTROLE PRODUÇÃO POR EMPRESAS'!$B$6:$G$5000,MATCH($A1214,'CONTROLE PRODUÇÃO POR EMPRESAS'!$A$6:$A$5000,0),MOD(ROW()-2,6)+1)="","",IFERROR(1*INDEX('CONTROLE PRODUÇÃO POR EMPRESAS'!$B$6:$G$5000,MATCH($A1214,'CONTROLE PRODUÇÃO POR EMPRESAS'!$A$6:$A$5000,0),MOD(ROW()-2,6)+1),"")),"")</f>
        <v/>
      </c>
      <c r="I1214" s="159">
        <f>IF(OR(NOT(ISNUMBER(G1214)),NOT(ISNUMBER(H1214))),"",H1214-G1214)</f>
        <v/>
      </c>
      <c r="J1214" s="319">
        <f>IF(OR(NOT(ISNUMBER(G1214)),NOT(ISNUMBER(H1214)),G1214=0),"",I1214/G1214)</f>
        <v/>
      </c>
      <c r="K1214" s="319">
        <f>IF(OR(NOT(ISNUMBER(G1214)),NOT(ISNUMBER(H1214)),G1214=0),"",H1214/G1214)</f>
        <v/>
      </c>
      <c r="L1214">
        <f>IF(NOT(ISNUMBER(G1214)),"SEM META",IF(G1214=0,"SEM META",IF(NOT(ISNUMBER(H1214)),"SEM APONTAMENTO",IF(H1214&gt;=G1214,"VERDE",IF(H1214&gt;=G1214*0.9,"AMARELO","VERMELHO")))))</f>
        <v/>
      </c>
      <c r="M1214" s="162" t="n"/>
      <c r="N1214" s="162" t="n"/>
      <c r="O1214" s="162" t="n"/>
      <c r="P1214" s="162" t="n"/>
      <c r="Q1214" s="320" t="n"/>
      <c r="R1214" s="162" t="inlineStr">
        <is>
          <t>CONTROLE PRODUÇÃO POR EMPRESAS!B208</t>
        </is>
      </c>
    </row>
    <row r="1215" ht="28.5" customHeight="1">
      <c r="A1215" s="317" t="n">
        <v>46425</v>
      </c>
      <c r="B1215" t="inlineStr">
        <is>
          <t>GERAL</t>
        </is>
      </c>
      <c r="C1215" t="inlineStr">
        <is>
          <t>EJ</t>
        </is>
      </c>
      <c r="D1215" t="inlineStr">
        <is>
          <t>IÇAMENTO JOIST</t>
        </is>
      </c>
      <c r="F1215" s="159">
        <f>IFERROR(INDEX('BASE METAS DIÁRIAS'!$N$2:$S$358,MATCH($A1215,'BASE METAS DIÁRIAS'!$A$2:$A$358,0),MOD(ROW()-2,6)+1),"")</f>
        <v/>
      </c>
      <c r="G1215" s="159">
        <f>IFERROR(IF(WEEKDAY($A1215,2)&lt;=INDEX('BASE METAS DIÁRIAS'!$H$2:$M$358,MATCH($A1215,'BASE METAS DIÁRIAS'!$A$2:$A$358,0),MOD(ROW()-2,6)+1),INDEX('BASE METAS DIÁRIAS'!$B$2:$G$358,MATCH($A1215,'BASE METAS DIÁRIAS'!$A$2:$A$358,0),MOD(ROW()-2,6)+1),""),"")</f>
        <v/>
      </c>
      <c r="H1215" s="159">
        <f>IFERROR(IF(INDEX('CONTROLE PRODUÇÃO POR EMPRESAS'!$B$6:$G$5000,MATCH($A1215,'CONTROLE PRODUÇÃO POR EMPRESAS'!$A$6:$A$5000,0),MOD(ROW()-2,6)+1)="","",IFERROR(1*INDEX('CONTROLE PRODUÇÃO POR EMPRESAS'!$B$6:$G$5000,MATCH($A1215,'CONTROLE PRODUÇÃO POR EMPRESAS'!$A$6:$A$5000,0),MOD(ROW()-2,6)+1),"")),"")</f>
        <v/>
      </c>
      <c r="I1215" s="159">
        <f>IF(OR(NOT(ISNUMBER(G1215)),NOT(ISNUMBER(H1215))),"",H1215-G1215)</f>
        <v/>
      </c>
      <c r="J1215" s="319">
        <f>IF(OR(NOT(ISNUMBER(G1215)),NOT(ISNUMBER(H1215)),G1215=0),"",I1215/G1215)</f>
        <v/>
      </c>
      <c r="K1215" s="319">
        <f>IF(OR(NOT(ISNUMBER(G1215)),NOT(ISNUMBER(H1215)),G1215=0),"",H1215/G1215)</f>
        <v/>
      </c>
      <c r="L1215">
        <f>IF(NOT(ISNUMBER(G1215)),"SEM META",IF(G1215=0,"SEM META",IF(NOT(ISNUMBER(H1215)),"SEM APONTAMENTO",IF(H1215&gt;=G1215,"VERDE",IF(H1215&gt;=G1215*0.9,"AMARELO","VERMELHO")))))</f>
        <v/>
      </c>
      <c r="M1215" s="162" t="n"/>
      <c r="N1215" s="162" t="n"/>
      <c r="O1215" s="162" t="n"/>
      <c r="P1215" s="162" t="n"/>
      <c r="Q1215" s="320" t="n"/>
      <c r="R1215" s="162" t="inlineStr">
        <is>
          <t>CONTROLE PRODUÇÃO POR EMPRESAS!C208</t>
        </is>
      </c>
    </row>
    <row r="1216" ht="28.5" customHeight="1">
      <c r="A1216" s="317" t="n">
        <v>46425</v>
      </c>
      <c r="B1216" t="inlineStr">
        <is>
          <t>GERAL</t>
        </is>
      </c>
      <c r="C1216" t="inlineStr">
        <is>
          <t>EJ</t>
        </is>
      </c>
      <c r="D1216" t="inlineStr">
        <is>
          <t>VIGAS</t>
        </is>
      </c>
      <c r="F1216" s="159">
        <f>IFERROR(INDEX('BASE METAS DIÁRIAS'!$N$2:$S$358,MATCH($A1216,'BASE METAS DIÁRIAS'!$A$2:$A$358,0),MOD(ROW()-2,6)+1),"")</f>
        <v/>
      </c>
      <c r="G1216" s="159">
        <f>IFERROR(IF(WEEKDAY($A1216,2)&lt;=INDEX('BASE METAS DIÁRIAS'!$H$2:$M$358,MATCH($A1216,'BASE METAS DIÁRIAS'!$A$2:$A$358,0),MOD(ROW()-2,6)+1),INDEX('BASE METAS DIÁRIAS'!$B$2:$G$358,MATCH($A1216,'BASE METAS DIÁRIAS'!$A$2:$A$358,0),MOD(ROW()-2,6)+1),""),"")</f>
        <v/>
      </c>
      <c r="H1216" s="159">
        <f>IFERROR(IF(INDEX('CONTROLE PRODUÇÃO POR EMPRESAS'!$B$6:$G$5000,MATCH($A1216,'CONTROLE PRODUÇÃO POR EMPRESAS'!$A$6:$A$5000,0),MOD(ROW()-2,6)+1)="","",IFERROR(1*INDEX('CONTROLE PRODUÇÃO POR EMPRESAS'!$B$6:$G$5000,MATCH($A1216,'CONTROLE PRODUÇÃO POR EMPRESAS'!$A$6:$A$5000,0),MOD(ROW()-2,6)+1),"")),"")</f>
        <v/>
      </c>
      <c r="I1216" s="159">
        <f>IF(OR(NOT(ISNUMBER(G1216)),NOT(ISNUMBER(H1216))),"",H1216-G1216)</f>
        <v/>
      </c>
      <c r="J1216" s="319">
        <f>IF(OR(NOT(ISNUMBER(G1216)),NOT(ISNUMBER(H1216)),G1216=0),"",I1216/G1216)</f>
        <v/>
      </c>
      <c r="K1216" s="319">
        <f>IF(OR(NOT(ISNUMBER(G1216)),NOT(ISNUMBER(H1216)),G1216=0),"",H1216/G1216)</f>
        <v/>
      </c>
      <c r="L1216">
        <f>IF(NOT(ISNUMBER(G1216)),"SEM META",IF(G1216=0,"SEM META",IF(NOT(ISNUMBER(H1216)),"SEM APONTAMENTO",IF(H1216&gt;=G1216,"VERDE",IF(H1216&gt;=G1216*0.9,"AMARELO","VERMELHO")))))</f>
        <v/>
      </c>
      <c r="M1216" s="162" t="n"/>
      <c r="N1216" s="162" t="n"/>
      <c r="O1216" s="162" t="n"/>
      <c r="P1216" s="162" t="n"/>
      <c r="Q1216" s="320" t="n"/>
      <c r="R1216" s="162" t="inlineStr">
        <is>
          <t>CONTROLE PRODUÇÃO POR EMPRESAS!D208</t>
        </is>
      </c>
    </row>
    <row r="1217" ht="28.5" customHeight="1">
      <c r="A1217" s="317" t="n">
        <v>46425</v>
      </c>
      <c r="B1217" t="inlineStr">
        <is>
          <t>GERAL</t>
        </is>
      </c>
      <c r="C1217" t="inlineStr">
        <is>
          <t>CMM</t>
        </is>
      </c>
      <c r="D1217" t="inlineStr">
        <is>
          <t>PREMONTAGEM</t>
        </is>
      </c>
      <c r="F1217" s="159">
        <f>IFERROR(INDEX('BASE METAS DIÁRIAS'!$N$2:$S$358,MATCH($A1217,'BASE METAS DIÁRIAS'!$A$2:$A$358,0),MOD(ROW()-2,6)+1),"")</f>
        <v/>
      </c>
      <c r="G1217" s="159">
        <f>IFERROR(IF(WEEKDAY($A1217,2)&lt;=INDEX('BASE METAS DIÁRIAS'!$H$2:$M$358,MATCH($A1217,'BASE METAS DIÁRIAS'!$A$2:$A$358,0),MOD(ROW()-2,6)+1),INDEX('BASE METAS DIÁRIAS'!$B$2:$G$358,MATCH($A1217,'BASE METAS DIÁRIAS'!$A$2:$A$358,0),MOD(ROW()-2,6)+1),""),"")</f>
        <v/>
      </c>
      <c r="H1217" s="159">
        <f>IFERROR(IF(INDEX('CONTROLE PRODUÇÃO POR EMPRESAS'!$B$6:$G$5000,MATCH($A1217,'CONTROLE PRODUÇÃO POR EMPRESAS'!$A$6:$A$5000,0),MOD(ROW()-2,6)+1)="","",IFERROR(1*INDEX('CONTROLE PRODUÇÃO POR EMPRESAS'!$B$6:$G$5000,MATCH($A1217,'CONTROLE PRODUÇÃO POR EMPRESAS'!$A$6:$A$5000,0),MOD(ROW()-2,6)+1),"")),"")</f>
        <v/>
      </c>
      <c r="I1217" s="159">
        <f>IF(OR(NOT(ISNUMBER(G1217)),NOT(ISNUMBER(H1217))),"",H1217-G1217)</f>
        <v/>
      </c>
      <c r="J1217" s="319">
        <f>IF(OR(NOT(ISNUMBER(G1217)),NOT(ISNUMBER(H1217)),G1217=0),"",I1217/G1217)</f>
        <v/>
      </c>
      <c r="K1217" s="319">
        <f>IF(OR(NOT(ISNUMBER(G1217)),NOT(ISNUMBER(H1217)),G1217=0),"",H1217/G1217)</f>
        <v/>
      </c>
      <c r="L1217">
        <f>IF(NOT(ISNUMBER(G1217)),"SEM META",IF(G1217=0,"SEM META",IF(NOT(ISNUMBER(H1217)),"SEM APONTAMENTO",IF(H1217&gt;=G1217,"VERDE",IF(H1217&gt;=G1217*0.9,"AMARELO","VERMELHO")))))</f>
        <v/>
      </c>
      <c r="M1217" s="162" t="n"/>
      <c r="N1217" s="162" t="n"/>
      <c r="O1217" s="162" t="n"/>
      <c r="P1217" s="162" t="n"/>
      <c r="Q1217" s="320" t="n"/>
      <c r="R1217" s="162" t="inlineStr">
        <is>
          <t>CONTROLE PRODUÇÃO POR EMPRESAS!E208</t>
        </is>
      </c>
    </row>
    <row r="1218" ht="28.5" customHeight="1">
      <c r="A1218" s="317" t="n">
        <v>46425</v>
      </c>
      <c r="B1218" t="inlineStr">
        <is>
          <t>GERAL</t>
        </is>
      </c>
      <c r="C1218" t="inlineStr">
        <is>
          <t>CMM</t>
        </is>
      </c>
      <c r="D1218" t="inlineStr">
        <is>
          <t>IÇAMENTO JOIST</t>
        </is>
      </c>
      <c r="F1218" s="159">
        <f>IFERROR(INDEX('BASE METAS DIÁRIAS'!$N$2:$S$358,MATCH($A1218,'BASE METAS DIÁRIAS'!$A$2:$A$358,0),MOD(ROW()-2,6)+1),"")</f>
        <v/>
      </c>
      <c r="G1218" s="159">
        <f>IFERROR(IF(WEEKDAY($A1218,2)&lt;=INDEX('BASE METAS DIÁRIAS'!$H$2:$M$358,MATCH($A1218,'BASE METAS DIÁRIAS'!$A$2:$A$358,0),MOD(ROW()-2,6)+1),INDEX('BASE METAS DIÁRIAS'!$B$2:$G$358,MATCH($A1218,'BASE METAS DIÁRIAS'!$A$2:$A$358,0),MOD(ROW()-2,6)+1),""),"")</f>
        <v/>
      </c>
      <c r="H1218" s="159">
        <f>IFERROR(IF(INDEX('CONTROLE PRODUÇÃO POR EMPRESAS'!$B$6:$G$5000,MATCH($A1218,'CONTROLE PRODUÇÃO POR EMPRESAS'!$A$6:$A$5000,0),MOD(ROW()-2,6)+1)="","",IFERROR(1*INDEX('CONTROLE PRODUÇÃO POR EMPRESAS'!$B$6:$G$5000,MATCH($A1218,'CONTROLE PRODUÇÃO POR EMPRESAS'!$A$6:$A$5000,0),MOD(ROW()-2,6)+1),"")),"")</f>
        <v/>
      </c>
      <c r="I1218" s="159">
        <f>IF(OR(NOT(ISNUMBER(G1218)),NOT(ISNUMBER(H1218))),"",H1218-G1218)</f>
        <v/>
      </c>
      <c r="J1218" s="319">
        <f>IF(OR(NOT(ISNUMBER(G1218)),NOT(ISNUMBER(H1218)),G1218=0),"",I1218/G1218)</f>
        <v/>
      </c>
      <c r="K1218" s="319">
        <f>IF(OR(NOT(ISNUMBER(G1218)),NOT(ISNUMBER(H1218)),G1218=0),"",H1218/G1218)</f>
        <v/>
      </c>
      <c r="L1218">
        <f>IF(NOT(ISNUMBER(G1218)),"SEM META",IF(G1218=0,"SEM META",IF(NOT(ISNUMBER(H1218)),"SEM APONTAMENTO",IF(H1218&gt;=G1218,"VERDE",IF(H1218&gt;=G1218*0.9,"AMARELO","VERMELHO")))))</f>
        <v/>
      </c>
      <c r="M1218" s="162" t="n"/>
      <c r="N1218" s="162" t="n"/>
      <c r="O1218" s="162" t="n"/>
      <c r="P1218" s="162" t="n"/>
      <c r="Q1218" s="320" t="n"/>
      <c r="R1218" s="162" t="inlineStr">
        <is>
          <t>CONTROLE PRODUÇÃO POR EMPRESAS!F208</t>
        </is>
      </c>
    </row>
    <row r="1219" ht="28.5" customHeight="1">
      <c r="A1219" s="317" t="n">
        <v>46425</v>
      </c>
      <c r="B1219" t="inlineStr">
        <is>
          <t>GERAL</t>
        </is>
      </c>
      <c r="C1219" t="inlineStr">
        <is>
          <t>CMM</t>
        </is>
      </c>
      <c r="D1219" t="inlineStr">
        <is>
          <t>VIGAS</t>
        </is>
      </c>
      <c r="F1219" s="159">
        <f>IFERROR(INDEX('BASE METAS DIÁRIAS'!$N$2:$S$358,MATCH($A1219,'BASE METAS DIÁRIAS'!$A$2:$A$358,0),MOD(ROW()-2,6)+1),"")</f>
        <v/>
      </c>
      <c r="G1219" s="159">
        <f>IFERROR(IF(WEEKDAY($A1219,2)&lt;=INDEX('BASE METAS DIÁRIAS'!$H$2:$M$358,MATCH($A1219,'BASE METAS DIÁRIAS'!$A$2:$A$358,0),MOD(ROW()-2,6)+1),INDEX('BASE METAS DIÁRIAS'!$B$2:$G$358,MATCH($A1219,'BASE METAS DIÁRIAS'!$A$2:$A$358,0),MOD(ROW()-2,6)+1),""),"")</f>
        <v/>
      </c>
      <c r="H1219" s="159">
        <f>IFERROR(IF(INDEX('CONTROLE PRODUÇÃO POR EMPRESAS'!$B$6:$G$5000,MATCH($A1219,'CONTROLE PRODUÇÃO POR EMPRESAS'!$A$6:$A$5000,0),MOD(ROW()-2,6)+1)="","",IFERROR(1*INDEX('CONTROLE PRODUÇÃO POR EMPRESAS'!$B$6:$G$5000,MATCH($A1219,'CONTROLE PRODUÇÃO POR EMPRESAS'!$A$6:$A$5000,0),MOD(ROW()-2,6)+1),"")),"")</f>
        <v/>
      </c>
      <c r="I1219" s="159">
        <f>IF(OR(NOT(ISNUMBER(G1219)),NOT(ISNUMBER(H1219))),"",H1219-G1219)</f>
        <v/>
      </c>
      <c r="J1219" s="319">
        <f>IF(OR(NOT(ISNUMBER(G1219)),NOT(ISNUMBER(H1219)),G1219=0),"",I1219/G1219)</f>
        <v/>
      </c>
      <c r="K1219" s="319">
        <f>IF(OR(NOT(ISNUMBER(G1219)),NOT(ISNUMBER(H1219)),G1219=0),"",H1219/G1219)</f>
        <v/>
      </c>
      <c r="L1219">
        <f>IF(NOT(ISNUMBER(G1219)),"SEM META",IF(G1219=0,"SEM META",IF(NOT(ISNUMBER(H1219)),"SEM APONTAMENTO",IF(H1219&gt;=G1219,"VERDE",IF(H1219&gt;=G1219*0.9,"AMARELO","VERMELHO")))))</f>
        <v/>
      </c>
      <c r="M1219" s="162" t="n"/>
      <c r="N1219" s="162" t="n"/>
      <c r="O1219" s="162" t="n"/>
      <c r="P1219" s="162" t="n"/>
      <c r="Q1219" s="320" t="n"/>
      <c r="R1219" s="162" t="inlineStr">
        <is>
          <t>CONTROLE PRODUÇÃO POR EMPRESAS!G208</t>
        </is>
      </c>
    </row>
    <row r="1220" ht="28.5" customHeight="1">
      <c r="A1220" s="317" t="n">
        <v>46426</v>
      </c>
      <c r="B1220" t="inlineStr">
        <is>
          <t>GERAL</t>
        </is>
      </c>
      <c r="C1220" t="inlineStr">
        <is>
          <t>EJ</t>
        </is>
      </c>
      <c r="D1220" t="inlineStr">
        <is>
          <t>PREMONTAGEM</t>
        </is>
      </c>
      <c r="F1220" s="159">
        <f>IFERROR(INDEX('BASE METAS DIÁRIAS'!$N$2:$S$358,MATCH($A1220,'BASE METAS DIÁRIAS'!$A$2:$A$358,0),MOD(ROW()-2,6)+1),"")</f>
        <v/>
      </c>
      <c r="G1220" s="159">
        <f>IFERROR(IF(WEEKDAY($A1220,2)&lt;=INDEX('BASE METAS DIÁRIAS'!$H$2:$M$358,MATCH($A1220,'BASE METAS DIÁRIAS'!$A$2:$A$358,0),MOD(ROW()-2,6)+1),INDEX('BASE METAS DIÁRIAS'!$B$2:$G$358,MATCH($A1220,'BASE METAS DIÁRIAS'!$A$2:$A$358,0),MOD(ROW()-2,6)+1),""),"")</f>
        <v/>
      </c>
      <c r="H1220" s="159">
        <f>IFERROR(IF(INDEX('CONTROLE PRODUÇÃO POR EMPRESAS'!$B$6:$G$5000,MATCH($A1220,'CONTROLE PRODUÇÃO POR EMPRESAS'!$A$6:$A$5000,0),MOD(ROW()-2,6)+1)="","",IFERROR(1*INDEX('CONTROLE PRODUÇÃO POR EMPRESAS'!$B$6:$G$5000,MATCH($A1220,'CONTROLE PRODUÇÃO POR EMPRESAS'!$A$6:$A$5000,0),MOD(ROW()-2,6)+1),"")),"")</f>
        <v/>
      </c>
      <c r="I1220" s="159">
        <f>IF(OR(NOT(ISNUMBER(G1220)),NOT(ISNUMBER(H1220))),"",H1220-G1220)</f>
        <v/>
      </c>
      <c r="J1220" s="319">
        <f>IF(OR(NOT(ISNUMBER(G1220)),NOT(ISNUMBER(H1220)),G1220=0),"",I1220/G1220)</f>
        <v/>
      </c>
      <c r="K1220" s="319">
        <f>IF(OR(NOT(ISNUMBER(G1220)),NOT(ISNUMBER(H1220)),G1220=0),"",H1220/G1220)</f>
        <v/>
      </c>
      <c r="L1220">
        <f>IF(NOT(ISNUMBER(G1220)),"SEM META",IF(G1220=0,"SEM META",IF(NOT(ISNUMBER(H1220)),"SEM APONTAMENTO",IF(H1220&gt;=G1220,"VERDE",IF(H1220&gt;=G1220*0.9,"AMARELO","VERMELHO")))))</f>
        <v/>
      </c>
      <c r="M1220" s="162" t="n"/>
      <c r="N1220" s="162" t="n"/>
      <c r="O1220" s="162" t="n"/>
      <c r="P1220" s="162" t="n"/>
      <c r="Q1220" s="320" t="n"/>
      <c r="R1220" s="162" t="inlineStr">
        <is>
          <t>CONTROLE PRODUÇÃO POR EMPRESAS!B209</t>
        </is>
      </c>
    </row>
    <row r="1221" ht="28.5" customHeight="1">
      <c r="A1221" s="317" t="n">
        <v>46426</v>
      </c>
      <c r="B1221" t="inlineStr">
        <is>
          <t>GERAL</t>
        </is>
      </c>
      <c r="C1221" t="inlineStr">
        <is>
          <t>EJ</t>
        </is>
      </c>
      <c r="D1221" t="inlineStr">
        <is>
          <t>IÇAMENTO JOIST</t>
        </is>
      </c>
      <c r="F1221" s="159">
        <f>IFERROR(INDEX('BASE METAS DIÁRIAS'!$N$2:$S$358,MATCH($A1221,'BASE METAS DIÁRIAS'!$A$2:$A$358,0),MOD(ROW()-2,6)+1),"")</f>
        <v/>
      </c>
      <c r="G1221" s="159">
        <f>IFERROR(IF(WEEKDAY($A1221,2)&lt;=INDEX('BASE METAS DIÁRIAS'!$H$2:$M$358,MATCH($A1221,'BASE METAS DIÁRIAS'!$A$2:$A$358,0),MOD(ROW()-2,6)+1),INDEX('BASE METAS DIÁRIAS'!$B$2:$G$358,MATCH($A1221,'BASE METAS DIÁRIAS'!$A$2:$A$358,0),MOD(ROW()-2,6)+1),""),"")</f>
        <v/>
      </c>
      <c r="H1221" s="159">
        <f>IFERROR(IF(INDEX('CONTROLE PRODUÇÃO POR EMPRESAS'!$B$6:$G$5000,MATCH($A1221,'CONTROLE PRODUÇÃO POR EMPRESAS'!$A$6:$A$5000,0),MOD(ROW()-2,6)+1)="","",IFERROR(1*INDEX('CONTROLE PRODUÇÃO POR EMPRESAS'!$B$6:$G$5000,MATCH($A1221,'CONTROLE PRODUÇÃO POR EMPRESAS'!$A$6:$A$5000,0),MOD(ROW()-2,6)+1),"")),"")</f>
        <v/>
      </c>
      <c r="I1221" s="159">
        <f>IF(OR(NOT(ISNUMBER(G1221)),NOT(ISNUMBER(H1221))),"",H1221-G1221)</f>
        <v/>
      </c>
      <c r="J1221" s="319">
        <f>IF(OR(NOT(ISNUMBER(G1221)),NOT(ISNUMBER(H1221)),G1221=0),"",I1221/G1221)</f>
        <v/>
      </c>
      <c r="K1221" s="319">
        <f>IF(OR(NOT(ISNUMBER(G1221)),NOT(ISNUMBER(H1221)),G1221=0),"",H1221/G1221)</f>
        <v/>
      </c>
      <c r="L1221">
        <f>IF(NOT(ISNUMBER(G1221)),"SEM META",IF(G1221=0,"SEM META",IF(NOT(ISNUMBER(H1221)),"SEM APONTAMENTO",IF(H1221&gt;=G1221,"VERDE",IF(H1221&gt;=G1221*0.9,"AMARELO","VERMELHO")))))</f>
        <v/>
      </c>
      <c r="M1221" s="162" t="n"/>
      <c r="N1221" s="162" t="n"/>
      <c r="O1221" s="162" t="n"/>
      <c r="P1221" s="162" t="n"/>
      <c r="Q1221" s="320" t="n"/>
      <c r="R1221" s="162" t="inlineStr">
        <is>
          <t>CONTROLE PRODUÇÃO POR EMPRESAS!C209</t>
        </is>
      </c>
    </row>
    <row r="1222" ht="28.5" customHeight="1">
      <c r="A1222" s="317" t="n">
        <v>46426</v>
      </c>
      <c r="B1222" t="inlineStr">
        <is>
          <t>GERAL</t>
        </is>
      </c>
      <c r="C1222" t="inlineStr">
        <is>
          <t>EJ</t>
        </is>
      </c>
      <c r="D1222" t="inlineStr">
        <is>
          <t>VIGAS</t>
        </is>
      </c>
      <c r="F1222" s="159">
        <f>IFERROR(INDEX('BASE METAS DIÁRIAS'!$N$2:$S$358,MATCH($A1222,'BASE METAS DIÁRIAS'!$A$2:$A$358,0),MOD(ROW()-2,6)+1),"")</f>
        <v/>
      </c>
      <c r="G1222" s="159">
        <f>IFERROR(IF(WEEKDAY($A1222,2)&lt;=INDEX('BASE METAS DIÁRIAS'!$H$2:$M$358,MATCH($A1222,'BASE METAS DIÁRIAS'!$A$2:$A$358,0),MOD(ROW()-2,6)+1),INDEX('BASE METAS DIÁRIAS'!$B$2:$G$358,MATCH($A1222,'BASE METAS DIÁRIAS'!$A$2:$A$358,0),MOD(ROW()-2,6)+1),""),"")</f>
        <v/>
      </c>
      <c r="H1222" s="159">
        <f>IFERROR(IF(INDEX('CONTROLE PRODUÇÃO POR EMPRESAS'!$B$6:$G$5000,MATCH($A1222,'CONTROLE PRODUÇÃO POR EMPRESAS'!$A$6:$A$5000,0),MOD(ROW()-2,6)+1)="","",IFERROR(1*INDEX('CONTROLE PRODUÇÃO POR EMPRESAS'!$B$6:$G$5000,MATCH($A1222,'CONTROLE PRODUÇÃO POR EMPRESAS'!$A$6:$A$5000,0),MOD(ROW()-2,6)+1),"")),"")</f>
        <v/>
      </c>
      <c r="I1222" s="159">
        <f>IF(OR(NOT(ISNUMBER(G1222)),NOT(ISNUMBER(H1222))),"",H1222-G1222)</f>
        <v/>
      </c>
      <c r="J1222" s="319">
        <f>IF(OR(NOT(ISNUMBER(G1222)),NOT(ISNUMBER(H1222)),G1222=0),"",I1222/G1222)</f>
        <v/>
      </c>
      <c r="K1222" s="319">
        <f>IF(OR(NOT(ISNUMBER(G1222)),NOT(ISNUMBER(H1222)),G1222=0),"",H1222/G1222)</f>
        <v/>
      </c>
      <c r="L1222">
        <f>IF(NOT(ISNUMBER(G1222)),"SEM META",IF(G1222=0,"SEM META",IF(NOT(ISNUMBER(H1222)),"SEM APONTAMENTO",IF(H1222&gt;=G1222,"VERDE",IF(H1222&gt;=G1222*0.9,"AMARELO","VERMELHO")))))</f>
        <v/>
      </c>
      <c r="M1222" s="162" t="n"/>
      <c r="N1222" s="162" t="n"/>
      <c r="O1222" s="162" t="n"/>
      <c r="P1222" s="162" t="n"/>
      <c r="Q1222" s="320" t="n"/>
      <c r="R1222" s="162" t="inlineStr">
        <is>
          <t>CONTROLE PRODUÇÃO POR EMPRESAS!D209</t>
        </is>
      </c>
    </row>
    <row r="1223" ht="28.5" customHeight="1">
      <c r="A1223" s="317" t="n">
        <v>46426</v>
      </c>
      <c r="B1223" t="inlineStr">
        <is>
          <t>GERAL</t>
        </is>
      </c>
      <c r="C1223" t="inlineStr">
        <is>
          <t>CMM</t>
        </is>
      </c>
      <c r="D1223" t="inlineStr">
        <is>
          <t>PREMONTAGEM</t>
        </is>
      </c>
      <c r="F1223" s="159">
        <f>IFERROR(INDEX('BASE METAS DIÁRIAS'!$N$2:$S$358,MATCH($A1223,'BASE METAS DIÁRIAS'!$A$2:$A$358,0),MOD(ROW()-2,6)+1),"")</f>
        <v/>
      </c>
      <c r="G1223" s="159">
        <f>IFERROR(IF(WEEKDAY($A1223,2)&lt;=INDEX('BASE METAS DIÁRIAS'!$H$2:$M$358,MATCH($A1223,'BASE METAS DIÁRIAS'!$A$2:$A$358,0),MOD(ROW()-2,6)+1),INDEX('BASE METAS DIÁRIAS'!$B$2:$G$358,MATCH($A1223,'BASE METAS DIÁRIAS'!$A$2:$A$358,0),MOD(ROW()-2,6)+1),""),"")</f>
        <v/>
      </c>
      <c r="H1223" s="159">
        <f>IFERROR(IF(INDEX('CONTROLE PRODUÇÃO POR EMPRESAS'!$B$6:$G$5000,MATCH($A1223,'CONTROLE PRODUÇÃO POR EMPRESAS'!$A$6:$A$5000,0),MOD(ROW()-2,6)+1)="","",IFERROR(1*INDEX('CONTROLE PRODUÇÃO POR EMPRESAS'!$B$6:$G$5000,MATCH($A1223,'CONTROLE PRODUÇÃO POR EMPRESAS'!$A$6:$A$5000,0),MOD(ROW()-2,6)+1),"")),"")</f>
        <v/>
      </c>
      <c r="I1223" s="159">
        <f>IF(OR(NOT(ISNUMBER(G1223)),NOT(ISNUMBER(H1223))),"",H1223-G1223)</f>
        <v/>
      </c>
      <c r="J1223" s="319">
        <f>IF(OR(NOT(ISNUMBER(G1223)),NOT(ISNUMBER(H1223)),G1223=0),"",I1223/G1223)</f>
        <v/>
      </c>
      <c r="K1223" s="319">
        <f>IF(OR(NOT(ISNUMBER(G1223)),NOT(ISNUMBER(H1223)),G1223=0),"",H1223/G1223)</f>
        <v/>
      </c>
      <c r="L1223">
        <f>IF(NOT(ISNUMBER(G1223)),"SEM META",IF(G1223=0,"SEM META",IF(NOT(ISNUMBER(H1223)),"SEM APONTAMENTO",IF(H1223&gt;=G1223,"VERDE",IF(H1223&gt;=G1223*0.9,"AMARELO","VERMELHO")))))</f>
        <v/>
      </c>
      <c r="M1223" s="162" t="n"/>
      <c r="N1223" s="162" t="n"/>
      <c r="O1223" s="162" t="n"/>
      <c r="P1223" s="162" t="n"/>
      <c r="Q1223" s="320" t="n"/>
      <c r="R1223" s="162" t="inlineStr">
        <is>
          <t>CONTROLE PRODUÇÃO POR EMPRESAS!E209</t>
        </is>
      </c>
    </row>
    <row r="1224" ht="28.5" customHeight="1">
      <c r="A1224" s="317" t="n">
        <v>46426</v>
      </c>
      <c r="B1224" t="inlineStr">
        <is>
          <t>GERAL</t>
        </is>
      </c>
      <c r="C1224" t="inlineStr">
        <is>
          <t>CMM</t>
        </is>
      </c>
      <c r="D1224" t="inlineStr">
        <is>
          <t>IÇAMENTO JOIST</t>
        </is>
      </c>
      <c r="F1224" s="159">
        <f>IFERROR(INDEX('BASE METAS DIÁRIAS'!$N$2:$S$358,MATCH($A1224,'BASE METAS DIÁRIAS'!$A$2:$A$358,0),MOD(ROW()-2,6)+1),"")</f>
        <v/>
      </c>
      <c r="G1224" s="159">
        <f>IFERROR(IF(WEEKDAY($A1224,2)&lt;=INDEX('BASE METAS DIÁRIAS'!$H$2:$M$358,MATCH($A1224,'BASE METAS DIÁRIAS'!$A$2:$A$358,0),MOD(ROW()-2,6)+1),INDEX('BASE METAS DIÁRIAS'!$B$2:$G$358,MATCH($A1224,'BASE METAS DIÁRIAS'!$A$2:$A$358,0),MOD(ROW()-2,6)+1),""),"")</f>
        <v/>
      </c>
      <c r="H1224" s="159">
        <f>IFERROR(IF(INDEX('CONTROLE PRODUÇÃO POR EMPRESAS'!$B$6:$G$5000,MATCH($A1224,'CONTROLE PRODUÇÃO POR EMPRESAS'!$A$6:$A$5000,0),MOD(ROW()-2,6)+1)="","",IFERROR(1*INDEX('CONTROLE PRODUÇÃO POR EMPRESAS'!$B$6:$G$5000,MATCH($A1224,'CONTROLE PRODUÇÃO POR EMPRESAS'!$A$6:$A$5000,0),MOD(ROW()-2,6)+1),"")),"")</f>
        <v/>
      </c>
      <c r="I1224" s="159">
        <f>IF(OR(NOT(ISNUMBER(G1224)),NOT(ISNUMBER(H1224))),"",H1224-G1224)</f>
        <v/>
      </c>
      <c r="J1224" s="319">
        <f>IF(OR(NOT(ISNUMBER(G1224)),NOT(ISNUMBER(H1224)),G1224=0),"",I1224/G1224)</f>
        <v/>
      </c>
      <c r="K1224" s="319">
        <f>IF(OR(NOT(ISNUMBER(G1224)),NOT(ISNUMBER(H1224)),G1224=0),"",H1224/G1224)</f>
        <v/>
      </c>
      <c r="L1224">
        <f>IF(NOT(ISNUMBER(G1224)),"SEM META",IF(G1224=0,"SEM META",IF(NOT(ISNUMBER(H1224)),"SEM APONTAMENTO",IF(H1224&gt;=G1224,"VERDE",IF(H1224&gt;=G1224*0.9,"AMARELO","VERMELHO")))))</f>
        <v/>
      </c>
      <c r="M1224" s="162" t="n"/>
      <c r="N1224" s="162" t="n"/>
      <c r="O1224" s="162" t="n"/>
      <c r="P1224" s="162" t="n"/>
      <c r="Q1224" s="320" t="n"/>
      <c r="R1224" s="162" t="inlineStr">
        <is>
          <t>CONTROLE PRODUÇÃO POR EMPRESAS!F209</t>
        </is>
      </c>
    </row>
    <row r="1225" ht="28.5" customHeight="1">
      <c r="A1225" s="317" t="n">
        <v>46426</v>
      </c>
      <c r="B1225" t="inlineStr">
        <is>
          <t>GERAL</t>
        </is>
      </c>
      <c r="C1225" t="inlineStr">
        <is>
          <t>CMM</t>
        </is>
      </c>
      <c r="D1225" t="inlineStr">
        <is>
          <t>VIGAS</t>
        </is>
      </c>
      <c r="F1225" s="159">
        <f>IFERROR(INDEX('BASE METAS DIÁRIAS'!$N$2:$S$358,MATCH($A1225,'BASE METAS DIÁRIAS'!$A$2:$A$358,0),MOD(ROW()-2,6)+1),"")</f>
        <v/>
      </c>
      <c r="G1225" s="159">
        <f>IFERROR(IF(WEEKDAY($A1225,2)&lt;=INDEX('BASE METAS DIÁRIAS'!$H$2:$M$358,MATCH($A1225,'BASE METAS DIÁRIAS'!$A$2:$A$358,0),MOD(ROW()-2,6)+1),INDEX('BASE METAS DIÁRIAS'!$B$2:$G$358,MATCH($A1225,'BASE METAS DIÁRIAS'!$A$2:$A$358,0),MOD(ROW()-2,6)+1),""),"")</f>
        <v/>
      </c>
      <c r="H1225" s="159">
        <f>IFERROR(IF(INDEX('CONTROLE PRODUÇÃO POR EMPRESAS'!$B$6:$G$5000,MATCH($A1225,'CONTROLE PRODUÇÃO POR EMPRESAS'!$A$6:$A$5000,0),MOD(ROW()-2,6)+1)="","",IFERROR(1*INDEX('CONTROLE PRODUÇÃO POR EMPRESAS'!$B$6:$G$5000,MATCH($A1225,'CONTROLE PRODUÇÃO POR EMPRESAS'!$A$6:$A$5000,0),MOD(ROW()-2,6)+1),"")),"")</f>
        <v/>
      </c>
      <c r="I1225" s="159">
        <f>IF(OR(NOT(ISNUMBER(G1225)),NOT(ISNUMBER(H1225))),"",H1225-G1225)</f>
        <v/>
      </c>
      <c r="J1225" s="319">
        <f>IF(OR(NOT(ISNUMBER(G1225)),NOT(ISNUMBER(H1225)),G1225=0),"",I1225/G1225)</f>
        <v/>
      </c>
      <c r="K1225" s="319">
        <f>IF(OR(NOT(ISNUMBER(G1225)),NOT(ISNUMBER(H1225)),G1225=0),"",H1225/G1225)</f>
        <v/>
      </c>
      <c r="L1225">
        <f>IF(NOT(ISNUMBER(G1225)),"SEM META",IF(G1225=0,"SEM META",IF(NOT(ISNUMBER(H1225)),"SEM APONTAMENTO",IF(H1225&gt;=G1225,"VERDE",IF(H1225&gt;=G1225*0.9,"AMARELO","VERMELHO")))))</f>
        <v/>
      </c>
      <c r="M1225" s="162" t="n"/>
      <c r="N1225" s="162" t="n"/>
      <c r="O1225" s="162" t="n"/>
      <c r="P1225" s="162" t="n"/>
      <c r="Q1225" s="320" t="n"/>
      <c r="R1225" s="162" t="inlineStr">
        <is>
          <t>CONTROLE PRODUÇÃO POR EMPRESAS!G209</t>
        </is>
      </c>
    </row>
    <row r="1226" ht="28.5" customHeight="1">
      <c r="A1226" s="317" t="n">
        <v>46427</v>
      </c>
      <c r="B1226" t="inlineStr">
        <is>
          <t>GERAL</t>
        </is>
      </c>
      <c r="C1226" t="inlineStr">
        <is>
          <t>EJ</t>
        </is>
      </c>
      <c r="D1226" t="inlineStr">
        <is>
          <t>PREMONTAGEM</t>
        </is>
      </c>
      <c r="F1226" s="159">
        <f>IFERROR(INDEX('BASE METAS DIÁRIAS'!$N$2:$S$358,MATCH($A1226,'BASE METAS DIÁRIAS'!$A$2:$A$358,0),MOD(ROW()-2,6)+1),"")</f>
        <v/>
      </c>
      <c r="G1226" s="159">
        <f>IFERROR(IF(WEEKDAY($A1226,2)&lt;=INDEX('BASE METAS DIÁRIAS'!$H$2:$M$358,MATCH($A1226,'BASE METAS DIÁRIAS'!$A$2:$A$358,0),MOD(ROW()-2,6)+1),INDEX('BASE METAS DIÁRIAS'!$B$2:$G$358,MATCH($A1226,'BASE METAS DIÁRIAS'!$A$2:$A$358,0),MOD(ROW()-2,6)+1),""),"")</f>
        <v/>
      </c>
      <c r="H1226" s="159">
        <f>IFERROR(IF(INDEX('CONTROLE PRODUÇÃO POR EMPRESAS'!$B$6:$G$5000,MATCH($A1226,'CONTROLE PRODUÇÃO POR EMPRESAS'!$A$6:$A$5000,0),MOD(ROW()-2,6)+1)="","",IFERROR(1*INDEX('CONTROLE PRODUÇÃO POR EMPRESAS'!$B$6:$G$5000,MATCH($A1226,'CONTROLE PRODUÇÃO POR EMPRESAS'!$A$6:$A$5000,0),MOD(ROW()-2,6)+1),"")),"")</f>
        <v/>
      </c>
      <c r="I1226" s="159">
        <f>IF(OR(NOT(ISNUMBER(G1226)),NOT(ISNUMBER(H1226))),"",H1226-G1226)</f>
        <v/>
      </c>
      <c r="J1226" s="319">
        <f>IF(OR(NOT(ISNUMBER(G1226)),NOT(ISNUMBER(H1226)),G1226=0),"",I1226/G1226)</f>
        <v/>
      </c>
      <c r="K1226" s="319">
        <f>IF(OR(NOT(ISNUMBER(G1226)),NOT(ISNUMBER(H1226)),G1226=0),"",H1226/G1226)</f>
        <v/>
      </c>
      <c r="L1226">
        <f>IF(NOT(ISNUMBER(G1226)),"SEM META",IF(G1226=0,"SEM META",IF(NOT(ISNUMBER(H1226)),"SEM APONTAMENTO",IF(H1226&gt;=G1226,"VERDE",IF(H1226&gt;=G1226*0.9,"AMARELO","VERMELHO")))))</f>
        <v/>
      </c>
      <c r="M1226" s="162" t="n"/>
      <c r="N1226" s="162" t="n"/>
      <c r="O1226" s="162" t="n"/>
      <c r="P1226" s="162" t="n"/>
      <c r="Q1226" s="320" t="n"/>
      <c r="R1226" s="162" t="inlineStr">
        <is>
          <t>CONTROLE PRODUÇÃO POR EMPRESAS!B210</t>
        </is>
      </c>
    </row>
    <row r="1227" ht="28.5" customHeight="1">
      <c r="A1227" s="317" t="n">
        <v>46427</v>
      </c>
      <c r="B1227" t="inlineStr">
        <is>
          <t>GERAL</t>
        </is>
      </c>
      <c r="C1227" t="inlineStr">
        <is>
          <t>EJ</t>
        </is>
      </c>
      <c r="D1227" t="inlineStr">
        <is>
          <t>IÇAMENTO JOIST</t>
        </is>
      </c>
      <c r="F1227" s="159">
        <f>IFERROR(INDEX('BASE METAS DIÁRIAS'!$N$2:$S$358,MATCH($A1227,'BASE METAS DIÁRIAS'!$A$2:$A$358,0),MOD(ROW()-2,6)+1),"")</f>
        <v/>
      </c>
      <c r="G1227" s="159">
        <f>IFERROR(IF(WEEKDAY($A1227,2)&lt;=INDEX('BASE METAS DIÁRIAS'!$H$2:$M$358,MATCH($A1227,'BASE METAS DIÁRIAS'!$A$2:$A$358,0),MOD(ROW()-2,6)+1),INDEX('BASE METAS DIÁRIAS'!$B$2:$G$358,MATCH($A1227,'BASE METAS DIÁRIAS'!$A$2:$A$358,0),MOD(ROW()-2,6)+1),""),"")</f>
        <v/>
      </c>
      <c r="H1227" s="159">
        <f>IFERROR(IF(INDEX('CONTROLE PRODUÇÃO POR EMPRESAS'!$B$6:$G$5000,MATCH($A1227,'CONTROLE PRODUÇÃO POR EMPRESAS'!$A$6:$A$5000,0),MOD(ROW()-2,6)+1)="","",IFERROR(1*INDEX('CONTROLE PRODUÇÃO POR EMPRESAS'!$B$6:$G$5000,MATCH($A1227,'CONTROLE PRODUÇÃO POR EMPRESAS'!$A$6:$A$5000,0),MOD(ROW()-2,6)+1),"")),"")</f>
        <v/>
      </c>
      <c r="I1227" s="159">
        <f>IF(OR(NOT(ISNUMBER(G1227)),NOT(ISNUMBER(H1227))),"",H1227-G1227)</f>
        <v/>
      </c>
      <c r="J1227" s="319">
        <f>IF(OR(NOT(ISNUMBER(G1227)),NOT(ISNUMBER(H1227)),G1227=0),"",I1227/G1227)</f>
        <v/>
      </c>
      <c r="K1227" s="319">
        <f>IF(OR(NOT(ISNUMBER(G1227)),NOT(ISNUMBER(H1227)),G1227=0),"",H1227/G1227)</f>
        <v/>
      </c>
      <c r="L1227">
        <f>IF(NOT(ISNUMBER(G1227)),"SEM META",IF(G1227=0,"SEM META",IF(NOT(ISNUMBER(H1227)),"SEM APONTAMENTO",IF(H1227&gt;=G1227,"VERDE",IF(H1227&gt;=G1227*0.9,"AMARELO","VERMELHO")))))</f>
        <v/>
      </c>
      <c r="M1227" s="162" t="n"/>
      <c r="N1227" s="162" t="n"/>
      <c r="O1227" s="162" t="n"/>
      <c r="P1227" s="162" t="n"/>
      <c r="Q1227" s="320" t="n"/>
      <c r="R1227" s="162" t="inlineStr">
        <is>
          <t>CONTROLE PRODUÇÃO POR EMPRESAS!C210</t>
        </is>
      </c>
    </row>
    <row r="1228" ht="28.5" customHeight="1">
      <c r="A1228" s="317" t="n">
        <v>46427</v>
      </c>
      <c r="B1228" t="inlineStr">
        <is>
          <t>GERAL</t>
        </is>
      </c>
      <c r="C1228" t="inlineStr">
        <is>
          <t>EJ</t>
        </is>
      </c>
      <c r="D1228" t="inlineStr">
        <is>
          <t>VIGAS</t>
        </is>
      </c>
      <c r="F1228" s="159">
        <f>IFERROR(INDEX('BASE METAS DIÁRIAS'!$N$2:$S$358,MATCH($A1228,'BASE METAS DIÁRIAS'!$A$2:$A$358,0),MOD(ROW()-2,6)+1),"")</f>
        <v/>
      </c>
      <c r="G1228" s="159">
        <f>IFERROR(IF(WEEKDAY($A1228,2)&lt;=INDEX('BASE METAS DIÁRIAS'!$H$2:$M$358,MATCH($A1228,'BASE METAS DIÁRIAS'!$A$2:$A$358,0),MOD(ROW()-2,6)+1),INDEX('BASE METAS DIÁRIAS'!$B$2:$G$358,MATCH($A1228,'BASE METAS DIÁRIAS'!$A$2:$A$358,0),MOD(ROW()-2,6)+1),""),"")</f>
        <v/>
      </c>
      <c r="H1228" s="159">
        <f>IFERROR(IF(INDEX('CONTROLE PRODUÇÃO POR EMPRESAS'!$B$6:$G$5000,MATCH($A1228,'CONTROLE PRODUÇÃO POR EMPRESAS'!$A$6:$A$5000,0),MOD(ROW()-2,6)+1)="","",IFERROR(1*INDEX('CONTROLE PRODUÇÃO POR EMPRESAS'!$B$6:$G$5000,MATCH($A1228,'CONTROLE PRODUÇÃO POR EMPRESAS'!$A$6:$A$5000,0),MOD(ROW()-2,6)+1),"")),"")</f>
        <v/>
      </c>
      <c r="I1228" s="159">
        <f>IF(OR(NOT(ISNUMBER(G1228)),NOT(ISNUMBER(H1228))),"",H1228-G1228)</f>
        <v/>
      </c>
      <c r="J1228" s="319">
        <f>IF(OR(NOT(ISNUMBER(G1228)),NOT(ISNUMBER(H1228)),G1228=0),"",I1228/G1228)</f>
        <v/>
      </c>
      <c r="K1228" s="319">
        <f>IF(OR(NOT(ISNUMBER(G1228)),NOT(ISNUMBER(H1228)),G1228=0),"",H1228/G1228)</f>
        <v/>
      </c>
      <c r="L1228">
        <f>IF(NOT(ISNUMBER(G1228)),"SEM META",IF(G1228=0,"SEM META",IF(NOT(ISNUMBER(H1228)),"SEM APONTAMENTO",IF(H1228&gt;=G1228,"VERDE",IF(H1228&gt;=G1228*0.9,"AMARELO","VERMELHO")))))</f>
        <v/>
      </c>
      <c r="M1228" s="162" t="n"/>
      <c r="N1228" s="162" t="n"/>
      <c r="O1228" s="162" t="n"/>
      <c r="P1228" s="162" t="n"/>
      <c r="Q1228" s="320" t="n"/>
      <c r="R1228" s="162" t="inlineStr">
        <is>
          <t>CONTROLE PRODUÇÃO POR EMPRESAS!D210</t>
        </is>
      </c>
    </row>
    <row r="1229" ht="28.5" customHeight="1">
      <c r="A1229" s="317" t="n">
        <v>46427</v>
      </c>
      <c r="B1229" t="inlineStr">
        <is>
          <t>GERAL</t>
        </is>
      </c>
      <c r="C1229" t="inlineStr">
        <is>
          <t>CMM</t>
        </is>
      </c>
      <c r="D1229" t="inlineStr">
        <is>
          <t>PREMONTAGEM</t>
        </is>
      </c>
      <c r="F1229" s="159">
        <f>IFERROR(INDEX('BASE METAS DIÁRIAS'!$N$2:$S$358,MATCH($A1229,'BASE METAS DIÁRIAS'!$A$2:$A$358,0),MOD(ROW()-2,6)+1),"")</f>
        <v/>
      </c>
      <c r="G1229" s="159">
        <f>IFERROR(IF(WEEKDAY($A1229,2)&lt;=INDEX('BASE METAS DIÁRIAS'!$H$2:$M$358,MATCH($A1229,'BASE METAS DIÁRIAS'!$A$2:$A$358,0),MOD(ROW()-2,6)+1),INDEX('BASE METAS DIÁRIAS'!$B$2:$G$358,MATCH($A1229,'BASE METAS DIÁRIAS'!$A$2:$A$358,0),MOD(ROW()-2,6)+1),""),"")</f>
        <v/>
      </c>
      <c r="H1229" s="159">
        <f>IFERROR(IF(INDEX('CONTROLE PRODUÇÃO POR EMPRESAS'!$B$6:$G$5000,MATCH($A1229,'CONTROLE PRODUÇÃO POR EMPRESAS'!$A$6:$A$5000,0),MOD(ROW()-2,6)+1)="","",IFERROR(1*INDEX('CONTROLE PRODUÇÃO POR EMPRESAS'!$B$6:$G$5000,MATCH($A1229,'CONTROLE PRODUÇÃO POR EMPRESAS'!$A$6:$A$5000,0),MOD(ROW()-2,6)+1),"")),"")</f>
        <v/>
      </c>
      <c r="I1229" s="159">
        <f>IF(OR(NOT(ISNUMBER(G1229)),NOT(ISNUMBER(H1229))),"",H1229-G1229)</f>
        <v/>
      </c>
      <c r="J1229" s="319">
        <f>IF(OR(NOT(ISNUMBER(G1229)),NOT(ISNUMBER(H1229)),G1229=0),"",I1229/G1229)</f>
        <v/>
      </c>
      <c r="K1229" s="319">
        <f>IF(OR(NOT(ISNUMBER(G1229)),NOT(ISNUMBER(H1229)),G1229=0),"",H1229/G1229)</f>
        <v/>
      </c>
      <c r="L1229">
        <f>IF(NOT(ISNUMBER(G1229)),"SEM META",IF(G1229=0,"SEM META",IF(NOT(ISNUMBER(H1229)),"SEM APONTAMENTO",IF(H1229&gt;=G1229,"VERDE",IF(H1229&gt;=G1229*0.9,"AMARELO","VERMELHO")))))</f>
        <v/>
      </c>
      <c r="M1229" s="162" t="n"/>
      <c r="N1229" s="162" t="n"/>
      <c r="O1229" s="162" t="n"/>
      <c r="P1229" s="162" t="n"/>
      <c r="Q1229" s="320" t="n"/>
      <c r="R1229" s="162" t="inlineStr">
        <is>
          <t>CONTROLE PRODUÇÃO POR EMPRESAS!E210</t>
        </is>
      </c>
    </row>
    <row r="1230" ht="28.5" customHeight="1">
      <c r="A1230" s="317" t="n">
        <v>46427</v>
      </c>
      <c r="B1230" t="inlineStr">
        <is>
          <t>GERAL</t>
        </is>
      </c>
      <c r="C1230" t="inlineStr">
        <is>
          <t>CMM</t>
        </is>
      </c>
      <c r="D1230" t="inlineStr">
        <is>
          <t>IÇAMENTO JOIST</t>
        </is>
      </c>
      <c r="F1230" s="159">
        <f>IFERROR(INDEX('BASE METAS DIÁRIAS'!$N$2:$S$358,MATCH($A1230,'BASE METAS DIÁRIAS'!$A$2:$A$358,0),MOD(ROW()-2,6)+1),"")</f>
        <v/>
      </c>
      <c r="G1230" s="159">
        <f>IFERROR(IF(WEEKDAY($A1230,2)&lt;=INDEX('BASE METAS DIÁRIAS'!$H$2:$M$358,MATCH($A1230,'BASE METAS DIÁRIAS'!$A$2:$A$358,0),MOD(ROW()-2,6)+1),INDEX('BASE METAS DIÁRIAS'!$B$2:$G$358,MATCH($A1230,'BASE METAS DIÁRIAS'!$A$2:$A$358,0),MOD(ROW()-2,6)+1),""),"")</f>
        <v/>
      </c>
      <c r="H1230" s="159">
        <f>IFERROR(IF(INDEX('CONTROLE PRODUÇÃO POR EMPRESAS'!$B$6:$G$5000,MATCH($A1230,'CONTROLE PRODUÇÃO POR EMPRESAS'!$A$6:$A$5000,0),MOD(ROW()-2,6)+1)="","",IFERROR(1*INDEX('CONTROLE PRODUÇÃO POR EMPRESAS'!$B$6:$G$5000,MATCH($A1230,'CONTROLE PRODUÇÃO POR EMPRESAS'!$A$6:$A$5000,0),MOD(ROW()-2,6)+1),"")),"")</f>
        <v/>
      </c>
      <c r="I1230" s="159">
        <f>IF(OR(NOT(ISNUMBER(G1230)),NOT(ISNUMBER(H1230))),"",H1230-G1230)</f>
        <v/>
      </c>
      <c r="J1230" s="319">
        <f>IF(OR(NOT(ISNUMBER(G1230)),NOT(ISNUMBER(H1230)),G1230=0),"",I1230/G1230)</f>
        <v/>
      </c>
      <c r="K1230" s="319">
        <f>IF(OR(NOT(ISNUMBER(G1230)),NOT(ISNUMBER(H1230)),G1230=0),"",H1230/G1230)</f>
        <v/>
      </c>
      <c r="L1230">
        <f>IF(NOT(ISNUMBER(G1230)),"SEM META",IF(G1230=0,"SEM META",IF(NOT(ISNUMBER(H1230)),"SEM APONTAMENTO",IF(H1230&gt;=G1230,"VERDE",IF(H1230&gt;=G1230*0.9,"AMARELO","VERMELHO")))))</f>
        <v/>
      </c>
      <c r="M1230" s="162" t="n"/>
      <c r="N1230" s="162" t="n"/>
      <c r="O1230" s="162" t="n"/>
      <c r="P1230" s="162" t="n"/>
      <c r="Q1230" s="320" t="n"/>
      <c r="R1230" s="162" t="inlineStr">
        <is>
          <t>CONTROLE PRODUÇÃO POR EMPRESAS!F210</t>
        </is>
      </c>
    </row>
    <row r="1231" ht="28.5" customHeight="1">
      <c r="A1231" s="317" t="n">
        <v>46427</v>
      </c>
      <c r="B1231" t="inlineStr">
        <is>
          <t>GERAL</t>
        </is>
      </c>
      <c r="C1231" t="inlineStr">
        <is>
          <t>CMM</t>
        </is>
      </c>
      <c r="D1231" t="inlineStr">
        <is>
          <t>VIGAS</t>
        </is>
      </c>
      <c r="F1231" s="159">
        <f>IFERROR(INDEX('BASE METAS DIÁRIAS'!$N$2:$S$358,MATCH($A1231,'BASE METAS DIÁRIAS'!$A$2:$A$358,0),MOD(ROW()-2,6)+1),"")</f>
        <v/>
      </c>
      <c r="G1231" s="159">
        <f>IFERROR(IF(WEEKDAY($A1231,2)&lt;=INDEX('BASE METAS DIÁRIAS'!$H$2:$M$358,MATCH($A1231,'BASE METAS DIÁRIAS'!$A$2:$A$358,0),MOD(ROW()-2,6)+1),INDEX('BASE METAS DIÁRIAS'!$B$2:$G$358,MATCH($A1231,'BASE METAS DIÁRIAS'!$A$2:$A$358,0),MOD(ROW()-2,6)+1),""),"")</f>
        <v/>
      </c>
      <c r="H1231" s="159">
        <f>IFERROR(IF(INDEX('CONTROLE PRODUÇÃO POR EMPRESAS'!$B$6:$G$5000,MATCH($A1231,'CONTROLE PRODUÇÃO POR EMPRESAS'!$A$6:$A$5000,0),MOD(ROW()-2,6)+1)="","",IFERROR(1*INDEX('CONTROLE PRODUÇÃO POR EMPRESAS'!$B$6:$G$5000,MATCH($A1231,'CONTROLE PRODUÇÃO POR EMPRESAS'!$A$6:$A$5000,0),MOD(ROW()-2,6)+1),"")),"")</f>
        <v/>
      </c>
      <c r="I1231" s="159">
        <f>IF(OR(NOT(ISNUMBER(G1231)),NOT(ISNUMBER(H1231))),"",H1231-G1231)</f>
        <v/>
      </c>
      <c r="J1231" s="319">
        <f>IF(OR(NOT(ISNUMBER(G1231)),NOT(ISNUMBER(H1231)),G1231=0),"",I1231/G1231)</f>
        <v/>
      </c>
      <c r="K1231" s="319">
        <f>IF(OR(NOT(ISNUMBER(G1231)),NOT(ISNUMBER(H1231)),G1231=0),"",H1231/G1231)</f>
        <v/>
      </c>
      <c r="L1231">
        <f>IF(NOT(ISNUMBER(G1231)),"SEM META",IF(G1231=0,"SEM META",IF(NOT(ISNUMBER(H1231)),"SEM APONTAMENTO",IF(H1231&gt;=G1231,"VERDE",IF(H1231&gt;=G1231*0.9,"AMARELO","VERMELHO")))))</f>
        <v/>
      </c>
      <c r="M1231" s="162" t="n"/>
      <c r="N1231" s="162" t="n"/>
      <c r="O1231" s="162" t="n"/>
      <c r="P1231" s="162" t="n"/>
      <c r="Q1231" s="320" t="n"/>
      <c r="R1231" s="162" t="inlineStr">
        <is>
          <t>CONTROLE PRODUÇÃO POR EMPRESAS!G210</t>
        </is>
      </c>
    </row>
    <row r="1232" ht="28.5" customHeight="1">
      <c r="A1232" s="317" t="n">
        <v>46428</v>
      </c>
      <c r="B1232" t="inlineStr">
        <is>
          <t>GERAL</t>
        </is>
      </c>
      <c r="C1232" t="inlineStr">
        <is>
          <t>EJ</t>
        </is>
      </c>
      <c r="D1232" t="inlineStr">
        <is>
          <t>PREMONTAGEM</t>
        </is>
      </c>
      <c r="F1232" s="159">
        <f>IFERROR(INDEX('BASE METAS DIÁRIAS'!$N$2:$S$358,MATCH($A1232,'BASE METAS DIÁRIAS'!$A$2:$A$358,0),MOD(ROW()-2,6)+1),"")</f>
        <v/>
      </c>
      <c r="G1232" s="159">
        <f>IFERROR(IF(WEEKDAY($A1232,2)&lt;=INDEX('BASE METAS DIÁRIAS'!$H$2:$M$358,MATCH($A1232,'BASE METAS DIÁRIAS'!$A$2:$A$358,0),MOD(ROW()-2,6)+1),INDEX('BASE METAS DIÁRIAS'!$B$2:$G$358,MATCH($A1232,'BASE METAS DIÁRIAS'!$A$2:$A$358,0),MOD(ROW()-2,6)+1),""),"")</f>
        <v/>
      </c>
      <c r="H1232" s="159">
        <f>IFERROR(IF(INDEX('CONTROLE PRODUÇÃO POR EMPRESAS'!$B$6:$G$5000,MATCH($A1232,'CONTROLE PRODUÇÃO POR EMPRESAS'!$A$6:$A$5000,0),MOD(ROW()-2,6)+1)="","",IFERROR(1*INDEX('CONTROLE PRODUÇÃO POR EMPRESAS'!$B$6:$G$5000,MATCH($A1232,'CONTROLE PRODUÇÃO POR EMPRESAS'!$A$6:$A$5000,0),MOD(ROW()-2,6)+1),"")),"")</f>
        <v/>
      </c>
      <c r="I1232" s="159">
        <f>IF(OR(NOT(ISNUMBER(G1232)),NOT(ISNUMBER(H1232))),"",H1232-G1232)</f>
        <v/>
      </c>
      <c r="J1232" s="319">
        <f>IF(OR(NOT(ISNUMBER(G1232)),NOT(ISNUMBER(H1232)),G1232=0),"",I1232/G1232)</f>
        <v/>
      </c>
      <c r="K1232" s="319">
        <f>IF(OR(NOT(ISNUMBER(G1232)),NOT(ISNUMBER(H1232)),G1232=0),"",H1232/G1232)</f>
        <v/>
      </c>
      <c r="L1232">
        <f>IF(NOT(ISNUMBER(G1232)),"SEM META",IF(G1232=0,"SEM META",IF(NOT(ISNUMBER(H1232)),"SEM APONTAMENTO",IF(H1232&gt;=G1232,"VERDE",IF(H1232&gt;=G1232*0.9,"AMARELO","VERMELHO")))))</f>
        <v/>
      </c>
      <c r="M1232" s="162" t="n"/>
      <c r="N1232" s="162" t="n"/>
      <c r="O1232" s="162" t="n"/>
      <c r="P1232" s="162" t="n"/>
      <c r="Q1232" s="320" t="n"/>
      <c r="R1232" s="162" t="inlineStr">
        <is>
          <t>CONTROLE PRODUÇÃO POR EMPRESAS!B211</t>
        </is>
      </c>
    </row>
    <row r="1233" ht="28.5" customHeight="1">
      <c r="A1233" s="317" t="n">
        <v>46428</v>
      </c>
      <c r="B1233" t="inlineStr">
        <is>
          <t>GERAL</t>
        </is>
      </c>
      <c r="C1233" t="inlineStr">
        <is>
          <t>EJ</t>
        </is>
      </c>
      <c r="D1233" t="inlineStr">
        <is>
          <t>IÇAMENTO JOIST</t>
        </is>
      </c>
      <c r="F1233" s="159">
        <f>IFERROR(INDEX('BASE METAS DIÁRIAS'!$N$2:$S$358,MATCH($A1233,'BASE METAS DIÁRIAS'!$A$2:$A$358,0),MOD(ROW()-2,6)+1),"")</f>
        <v/>
      </c>
      <c r="G1233" s="159">
        <f>IFERROR(IF(WEEKDAY($A1233,2)&lt;=INDEX('BASE METAS DIÁRIAS'!$H$2:$M$358,MATCH($A1233,'BASE METAS DIÁRIAS'!$A$2:$A$358,0),MOD(ROW()-2,6)+1),INDEX('BASE METAS DIÁRIAS'!$B$2:$G$358,MATCH($A1233,'BASE METAS DIÁRIAS'!$A$2:$A$358,0),MOD(ROW()-2,6)+1),""),"")</f>
        <v/>
      </c>
      <c r="H1233" s="159">
        <f>IFERROR(IF(INDEX('CONTROLE PRODUÇÃO POR EMPRESAS'!$B$6:$G$5000,MATCH($A1233,'CONTROLE PRODUÇÃO POR EMPRESAS'!$A$6:$A$5000,0),MOD(ROW()-2,6)+1)="","",IFERROR(1*INDEX('CONTROLE PRODUÇÃO POR EMPRESAS'!$B$6:$G$5000,MATCH($A1233,'CONTROLE PRODUÇÃO POR EMPRESAS'!$A$6:$A$5000,0),MOD(ROW()-2,6)+1),"")),"")</f>
        <v/>
      </c>
      <c r="I1233" s="159">
        <f>IF(OR(NOT(ISNUMBER(G1233)),NOT(ISNUMBER(H1233))),"",H1233-G1233)</f>
        <v/>
      </c>
      <c r="J1233" s="319">
        <f>IF(OR(NOT(ISNUMBER(G1233)),NOT(ISNUMBER(H1233)),G1233=0),"",I1233/G1233)</f>
        <v/>
      </c>
      <c r="K1233" s="319">
        <f>IF(OR(NOT(ISNUMBER(G1233)),NOT(ISNUMBER(H1233)),G1233=0),"",H1233/G1233)</f>
        <v/>
      </c>
      <c r="L1233">
        <f>IF(NOT(ISNUMBER(G1233)),"SEM META",IF(G1233=0,"SEM META",IF(NOT(ISNUMBER(H1233)),"SEM APONTAMENTO",IF(H1233&gt;=G1233,"VERDE",IF(H1233&gt;=G1233*0.9,"AMARELO","VERMELHO")))))</f>
        <v/>
      </c>
      <c r="M1233" s="162" t="n"/>
      <c r="N1233" s="162" t="n"/>
      <c r="O1233" s="162" t="n"/>
      <c r="P1233" s="162" t="n"/>
      <c r="Q1233" s="320" t="n"/>
      <c r="R1233" s="162" t="inlineStr">
        <is>
          <t>CONTROLE PRODUÇÃO POR EMPRESAS!C211</t>
        </is>
      </c>
    </row>
    <row r="1234" ht="28.5" customHeight="1">
      <c r="A1234" s="317" t="n">
        <v>46428</v>
      </c>
      <c r="B1234" t="inlineStr">
        <is>
          <t>GERAL</t>
        </is>
      </c>
      <c r="C1234" t="inlineStr">
        <is>
          <t>EJ</t>
        </is>
      </c>
      <c r="D1234" t="inlineStr">
        <is>
          <t>VIGAS</t>
        </is>
      </c>
      <c r="F1234" s="159">
        <f>IFERROR(INDEX('BASE METAS DIÁRIAS'!$N$2:$S$358,MATCH($A1234,'BASE METAS DIÁRIAS'!$A$2:$A$358,0),MOD(ROW()-2,6)+1),"")</f>
        <v/>
      </c>
      <c r="G1234" s="159">
        <f>IFERROR(IF(WEEKDAY($A1234,2)&lt;=INDEX('BASE METAS DIÁRIAS'!$H$2:$M$358,MATCH($A1234,'BASE METAS DIÁRIAS'!$A$2:$A$358,0),MOD(ROW()-2,6)+1),INDEX('BASE METAS DIÁRIAS'!$B$2:$G$358,MATCH($A1234,'BASE METAS DIÁRIAS'!$A$2:$A$358,0),MOD(ROW()-2,6)+1),""),"")</f>
        <v/>
      </c>
      <c r="H1234" s="159">
        <f>IFERROR(IF(INDEX('CONTROLE PRODUÇÃO POR EMPRESAS'!$B$6:$G$5000,MATCH($A1234,'CONTROLE PRODUÇÃO POR EMPRESAS'!$A$6:$A$5000,0),MOD(ROW()-2,6)+1)="","",IFERROR(1*INDEX('CONTROLE PRODUÇÃO POR EMPRESAS'!$B$6:$G$5000,MATCH($A1234,'CONTROLE PRODUÇÃO POR EMPRESAS'!$A$6:$A$5000,0),MOD(ROW()-2,6)+1),"")),"")</f>
        <v/>
      </c>
      <c r="I1234" s="159">
        <f>IF(OR(NOT(ISNUMBER(G1234)),NOT(ISNUMBER(H1234))),"",H1234-G1234)</f>
        <v/>
      </c>
      <c r="J1234" s="319">
        <f>IF(OR(NOT(ISNUMBER(G1234)),NOT(ISNUMBER(H1234)),G1234=0),"",I1234/G1234)</f>
        <v/>
      </c>
      <c r="K1234" s="319">
        <f>IF(OR(NOT(ISNUMBER(G1234)),NOT(ISNUMBER(H1234)),G1234=0),"",H1234/G1234)</f>
        <v/>
      </c>
      <c r="L1234">
        <f>IF(NOT(ISNUMBER(G1234)),"SEM META",IF(G1234=0,"SEM META",IF(NOT(ISNUMBER(H1234)),"SEM APONTAMENTO",IF(H1234&gt;=G1234,"VERDE",IF(H1234&gt;=G1234*0.9,"AMARELO","VERMELHO")))))</f>
        <v/>
      </c>
      <c r="M1234" s="162" t="n"/>
      <c r="N1234" s="162" t="n"/>
      <c r="O1234" s="162" t="n"/>
      <c r="P1234" s="162" t="n"/>
      <c r="Q1234" s="320" t="n"/>
      <c r="R1234" s="162" t="inlineStr">
        <is>
          <t>CONTROLE PRODUÇÃO POR EMPRESAS!D211</t>
        </is>
      </c>
    </row>
    <row r="1235" ht="28.5" customHeight="1">
      <c r="A1235" s="317" t="n">
        <v>46428</v>
      </c>
      <c r="B1235" t="inlineStr">
        <is>
          <t>GERAL</t>
        </is>
      </c>
      <c r="C1235" t="inlineStr">
        <is>
          <t>CMM</t>
        </is>
      </c>
      <c r="D1235" t="inlineStr">
        <is>
          <t>PREMONTAGEM</t>
        </is>
      </c>
      <c r="F1235" s="159">
        <f>IFERROR(INDEX('BASE METAS DIÁRIAS'!$N$2:$S$358,MATCH($A1235,'BASE METAS DIÁRIAS'!$A$2:$A$358,0),MOD(ROW()-2,6)+1),"")</f>
        <v/>
      </c>
      <c r="G1235" s="159">
        <f>IFERROR(IF(WEEKDAY($A1235,2)&lt;=INDEX('BASE METAS DIÁRIAS'!$H$2:$M$358,MATCH($A1235,'BASE METAS DIÁRIAS'!$A$2:$A$358,0),MOD(ROW()-2,6)+1),INDEX('BASE METAS DIÁRIAS'!$B$2:$G$358,MATCH($A1235,'BASE METAS DIÁRIAS'!$A$2:$A$358,0),MOD(ROW()-2,6)+1),""),"")</f>
        <v/>
      </c>
      <c r="H1235" s="159">
        <f>IFERROR(IF(INDEX('CONTROLE PRODUÇÃO POR EMPRESAS'!$B$6:$G$5000,MATCH($A1235,'CONTROLE PRODUÇÃO POR EMPRESAS'!$A$6:$A$5000,0),MOD(ROW()-2,6)+1)="","",IFERROR(1*INDEX('CONTROLE PRODUÇÃO POR EMPRESAS'!$B$6:$G$5000,MATCH($A1235,'CONTROLE PRODUÇÃO POR EMPRESAS'!$A$6:$A$5000,0),MOD(ROW()-2,6)+1),"")),"")</f>
        <v/>
      </c>
      <c r="I1235" s="159">
        <f>IF(OR(NOT(ISNUMBER(G1235)),NOT(ISNUMBER(H1235))),"",H1235-G1235)</f>
        <v/>
      </c>
      <c r="J1235" s="319">
        <f>IF(OR(NOT(ISNUMBER(G1235)),NOT(ISNUMBER(H1235)),G1235=0),"",I1235/G1235)</f>
        <v/>
      </c>
      <c r="K1235" s="319">
        <f>IF(OR(NOT(ISNUMBER(G1235)),NOT(ISNUMBER(H1235)),G1235=0),"",H1235/G1235)</f>
        <v/>
      </c>
      <c r="L1235">
        <f>IF(NOT(ISNUMBER(G1235)),"SEM META",IF(G1235=0,"SEM META",IF(NOT(ISNUMBER(H1235)),"SEM APONTAMENTO",IF(H1235&gt;=G1235,"VERDE",IF(H1235&gt;=G1235*0.9,"AMARELO","VERMELHO")))))</f>
        <v/>
      </c>
      <c r="M1235" s="162" t="n"/>
      <c r="N1235" s="162" t="n"/>
      <c r="O1235" s="162" t="n"/>
      <c r="P1235" s="162" t="n"/>
      <c r="Q1235" s="320" t="n"/>
      <c r="R1235" s="162" t="inlineStr">
        <is>
          <t>CONTROLE PRODUÇÃO POR EMPRESAS!E211</t>
        </is>
      </c>
    </row>
    <row r="1236" ht="28.5" customHeight="1">
      <c r="A1236" s="317" t="n">
        <v>46428</v>
      </c>
      <c r="B1236" t="inlineStr">
        <is>
          <t>GERAL</t>
        </is>
      </c>
      <c r="C1236" t="inlineStr">
        <is>
          <t>CMM</t>
        </is>
      </c>
      <c r="D1236" t="inlineStr">
        <is>
          <t>IÇAMENTO JOIST</t>
        </is>
      </c>
      <c r="F1236" s="159">
        <f>IFERROR(INDEX('BASE METAS DIÁRIAS'!$N$2:$S$358,MATCH($A1236,'BASE METAS DIÁRIAS'!$A$2:$A$358,0),MOD(ROW()-2,6)+1),"")</f>
        <v/>
      </c>
      <c r="G1236" s="159">
        <f>IFERROR(IF(WEEKDAY($A1236,2)&lt;=INDEX('BASE METAS DIÁRIAS'!$H$2:$M$358,MATCH($A1236,'BASE METAS DIÁRIAS'!$A$2:$A$358,0),MOD(ROW()-2,6)+1),INDEX('BASE METAS DIÁRIAS'!$B$2:$G$358,MATCH($A1236,'BASE METAS DIÁRIAS'!$A$2:$A$358,0),MOD(ROW()-2,6)+1),""),"")</f>
        <v/>
      </c>
      <c r="H1236" s="159">
        <f>IFERROR(IF(INDEX('CONTROLE PRODUÇÃO POR EMPRESAS'!$B$6:$G$5000,MATCH($A1236,'CONTROLE PRODUÇÃO POR EMPRESAS'!$A$6:$A$5000,0),MOD(ROW()-2,6)+1)="","",IFERROR(1*INDEX('CONTROLE PRODUÇÃO POR EMPRESAS'!$B$6:$G$5000,MATCH($A1236,'CONTROLE PRODUÇÃO POR EMPRESAS'!$A$6:$A$5000,0),MOD(ROW()-2,6)+1),"")),"")</f>
        <v/>
      </c>
      <c r="I1236" s="159">
        <f>IF(OR(NOT(ISNUMBER(G1236)),NOT(ISNUMBER(H1236))),"",H1236-G1236)</f>
        <v/>
      </c>
      <c r="J1236" s="319">
        <f>IF(OR(NOT(ISNUMBER(G1236)),NOT(ISNUMBER(H1236)),G1236=0),"",I1236/G1236)</f>
        <v/>
      </c>
      <c r="K1236" s="319">
        <f>IF(OR(NOT(ISNUMBER(G1236)),NOT(ISNUMBER(H1236)),G1236=0),"",H1236/G1236)</f>
        <v/>
      </c>
      <c r="L1236">
        <f>IF(NOT(ISNUMBER(G1236)),"SEM META",IF(G1236=0,"SEM META",IF(NOT(ISNUMBER(H1236)),"SEM APONTAMENTO",IF(H1236&gt;=G1236,"VERDE",IF(H1236&gt;=G1236*0.9,"AMARELO","VERMELHO")))))</f>
        <v/>
      </c>
      <c r="M1236" s="162" t="n"/>
      <c r="N1236" s="162" t="n"/>
      <c r="O1236" s="162" t="n"/>
      <c r="P1236" s="162" t="n"/>
      <c r="Q1236" s="320" t="n"/>
      <c r="R1236" s="162" t="inlineStr">
        <is>
          <t>CONTROLE PRODUÇÃO POR EMPRESAS!F211</t>
        </is>
      </c>
    </row>
    <row r="1237" ht="28.5" customHeight="1">
      <c r="A1237" s="317" t="n">
        <v>46428</v>
      </c>
      <c r="B1237" t="inlineStr">
        <is>
          <t>GERAL</t>
        </is>
      </c>
      <c r="C1237" t="inlineStr">
        <is>
          <t>CMM</t>
        </is>
      </c>
      <c r="D1237" t="inlineStr">
        <is>
          <t>VIGAS</t>
        </is>
      </c>
      <c r="F1237" s="159">
        <f>IFERROR(INDEX('BASE METAS DIÁRIAS'!$N$2:$S$358,MATCH($A1237,'BASE METAS DIÁRIAS'!$A$2:$A$358,0),MOD(ROW()-2,6)+1),"")</f>
        <v/>
      </c>
      <c r="G1237" s="159">
        <f>IFERROR(IF(WEEKDAY($A1237,2)&lt;=INDEX('BASE METAS DIÁRIAS'!$H$2:$M$358,MATCH($A1237,'BASE METAS DIÁRIAS'!$A$2:$A$358,0),MOD(ROW()-2,6)+1),INDEX('BASE METAS DIÁRIAS'!$B$2:$G$358,MATCH($A1237,'BASE METAS DIÁRIAS'!$A$2:$A$358,0),MOD(ROW()-2,6)+1),""),"")</f>
        <v/>
      </c>
      <c r="H1237" s="159">
        <f>IFERROR(IF(INDEX('CONTROLE PRODUÇÃO POR EMPRESAS'!$B$6:$G$5000,MATCH($A1237,'CONTROLE PRODUÇÃO POR EMPRESAS'!$A$6:$A$5000,0),MOD(ROW()-2,6)+1)="","",IFERROR(1*INDEX('CONTROLE PRODUÇÃO POR EMPRESAS'!$B$6:$G$5000,MATCH($A1237,'CONTROLE PRODUÇÃO POR EMPRESAS'!$A$6:$A$5000,0),MOD(ROW()-2,6)+1),"")),"")</f>
        <v/>
      </c>
      <c r="I1237" s="159">
        <f>IF(OR(NOT(ISNUMBER(G1237)),NOT(ISNUMBER(H1237))),"",H1237-G1237)</f>
        <v/>
      </c>
      <c r="J1237" s="319">
        <f>IF(OR(NOT(ISNUMBER(G1237)),NOT(ISNUMBER(H1237)),G1237=0),"",I1237/G1237)</f>
        <v/>
      </c>
      <c r="K1237" s="319">
        <f>IF(OR(NOT(ISNUMBER(G1237)),NOT(ISNUMBER(H1237)),G1237=0),"",H1237/G1237)</f>
        <v/>
      </c>
      <c r="L1237">
        <f>IF(NOT(ISNUMBER(G1237)),"SEM META",IF(G1237=0,"SEM META",IF(NOT(ISNUMBER(H1237)),"SEM APONTAMENTO",IF(H1237&gt;=G1237,"VERDE",IF(H1237&gt;=G1237*0.9,"AMARELO","VERMELHO")))))</f>
        <v/>
      </c>
      <c r="M1237" s="162" t="n"/>
      <c r="N1237" s="162" t="n"/>
      <c r="O1237" s="162" t="n"/>
      <c r="P1237" s="162" t="n"/>
      <c r="Q1237" s="320" t="n"/>
      <c r="R1237" s="162" t="inlineStr">
        <is>
          <t>CONTROLE PRODUÇÃO POR EMPRESAS!G211</t>
        </is>
      </c>
    </row>
    <row r="1238" ht="28.5" customHeight="1">
      <c r="A1238" s="317" t="n">
        <v>46429</v>
      </c>
      <c r="B1238" t="inlineStr">
        <is>
          <t>GERAL</t>
        </is>
      </c>
      <c r="C1238" t="inlineStr">
        <is>
          <t>EJ</t>
        </is>
      </c>
      <c r="D1238" t="inlineStr">
        <is>
          <t>PREMONTAGEM</t>
        </is>
      </c>
      <c r="F1238" s="159">
        <f>IFERROR(INDEX('BASE METAS DIÁRIAS'!$N$2:$S$358,MATCH($A1238,'BASE METAS DIÁRIAS'!$A$2:$A$358,0),MOD(ROW()-2,6)+1),"")</f>
        <v/>
      </c>
      <c r="G1238" s="159">
        <f>IFERROR(IF(WEEKDAY($A1238,2)&lt;=INDEX('BASE METAS DIÁRIAS'!$H$2:$M$358,MATCH($A1238,'BASE METAS DIÁRIAS'!$A$2:$A$358,0),MOD(ROW()-2,6)+1),INDEX('BASE METAS DIÁRIAS'!$B$2:$G$358,MATCH($A1238,'BASE METAS DIÁRIAS'!$A$2:$A$358,0),MOD(ROW()-2,6)+1),""),"")</f>
        <v/>
      </c>
      <c r="H1238" s="159">
        <f>IFERROR(IF(INDEX('CONTROLE PRODUÇÃO POR EMPRESAS'!$B$6:$G$5000,MATCH($A1238,'CONTROLE PRODUÇÃO POR EMPRESAS'!$A$6:$A$5000,0),MOD(ROW()-2,6)+1)="","",IFERROR(1*INDEX('CONTROLE PRODUÇÃO POR EMPRESAS'!$B$6:$G$5000,MATCH($A1238,'CONTROLE PRODUÇÃO POR EMPRESAS'!$A$6:$A$5000,0),MOD(ROW()-2,6)+1),"")),"")</f>
        <v/>
      </c>
      <c r="I1238" s="159">
        <f>IF(OR(NOT(ISNUMBER(G1238)),NOT(ISNUMBER(H1238))),"",H1238-G1238)</f>
        <v/>
      </c>
      <c r="J1238" s="319">
        <f>IF(OR(NOT(ISNUMBER(G1238)),NOT(ISNUMBER(H1238)),G1238=0),"",I1238/G1238)</f>
        <v/>
      </c>
      <c r="K1238" s="319">
        <f>IF(OR(NOT(ISNUMBER(G1238)),NOT(ISNUMBER(H1238)),G1238=0),"",H1238/G1238)</f>
        <v/>
      </c>
      <c r="L1238">
        <f>IF(NOT(ISNUMBER(G1238)),"SEM META",IF(G1238=0,"SEM META",IF(NOT(ISNUMBER(H1238)),"SEM APONTAMENTO",IF(H1238&gt;=G1238,"VERDE",IF(H1238&gt;=G1238*0.9,"AMARELO","VERMELHO")))))</f>
        <v/>
      </c>
      <c r="M1238" s="162" t="n"/>
      <c r="N1238" s="162" t="n"/>
      <c r="O1238" s="162" t="n"/>
      <c r="P1238" s="162" t="n"/>
      <c r="Q1238" s="320" t="n"/>
      <c r="R1238" s="162" t="inlineStr">
        <is>
          <t>CONTROLE PRODUÇÃO POR EMPRESAS!B212</t>
        </is>
      </c>
    </row>
    <row r="1239" ht="28.5" customHeight="1">
      <c r="A1239" s="317" t="n">
        <v>46429</v>
      </c>
      <c r="B1239" t="inlineStr">
        <is>
          <t>GERAL</t>
        </is>
      </c>
      <c r="C1239" t="inlineStr">
        <is>
          <t>EJ</t>
        </is>
      </c>
      <c r="D1239" t="inlineStr">
        <is>
          <t>IÇAMENTO JOIST</t>
        </is>
      </c>
      <c r="F1239" s="159">
        <f>IFERROR(INDEX('BASE METAS DIÁRIAS'!$N$2:$S$358,MATCH($A1239,'BASE METAS DIÁRIAS'!$A$2:$A$358,0),MOD(ROW()-2,6)+1),"")</f>
        <v/>
      </c>
      <c r="G1239" s="159">
        <f>IFERROR(IF(WEEKDAY($A1239,2)&lt;=INDEX('BASE METAS DIÁRIAS'!$H$2:$M$358,MATCH($A1239,'BASE METAS DIÁRIAS'!$A$2:$A$358,0),MOD(ROW()-2,6)+1),INDEX('BASE METAS DIÁRIAS'!$B$2:$G$358,MATCH($A1239,'BASE METAS DIÁRIAS'!$A$2:$A$358,0),MOD(ROW()-2,6)+1),""),"")</f>
        <v/>
      </c>
      <c r="H1239" s="159">
        <f>IFERROR(IF(INDEX('CONTROLE PRODUÇÃO POR EMPRESAS'!$B$6:$G$5000,MATCH($A1239,'CONTROLE PRODUÇÃO POR EMPRESAS'!$A$6:$A$5000,0),MOD(ROW()-2,6)+1)="","",IFERROR(1*INDEX('CONTROLE PRODUÇÃO POR EMPRESAS'!$B$6:$G$5000,MATCH($A1239,'CONTROLE PRODUÇÃO POR EMPRESAS'!$A$6:$A$5000,0),MOD(ROW()-2,6)+1),"")),"")</f>
        <v/>
      </c>
      <c r="I1239" s="159">
        <f>IF(OR(NOT(ISNUMBER(G1239)),NOT(ISNUMBER(H1239))),"",H1239-G1239)</f>
        <v/>
      </c>
      <c r="J1239" s="319">
        <f>IF(OR(NOT(ISNUMBER(G1239)),NOT(ISNUMBER(H1239)),G1239=0),"",I1239/G1239)</f>
        <v/>
      </c>
      <c r="K1239" s="319">
        <f>IF(OR(NOT(ISNUMBER(G1239)),NOT(ISNUMBER(H1239)),G1239=0),"",H1239/G1239)</f>
        <v/>
      </c>
      <c r="L1239">
        <f>IF(NOT(ISNUMBER(G1239)),"SEM META",IF(G1239=0,"SEM META",IF(NOT(ISNUMBER(H1239)),"SEM APONTAMENTO",IF(H1239&gt;=G1239,"VERDE",IF(H1239&gt;=G1239*0.9,"AMARELO","VERMELHO")))))</f>
        <v/>
      </c>
      <c r="M1239" s="162" t="n"/>
      <c r="N1239" s="162" t="n"/>
      <c r="O1239" s="162" t="n"/>
      <c r="P1239" s="162" t="n"/>
      <c r="Q1239" s="320" t="n"/>
      <c r="R1239" s="162" t="inlineStr">
        <is>
          <t>CONTROLE PRODUÇÃO POR EMPRESAS!C212</t>
        </is>
      </c>
    </row>
    <row r="1240" ht="28.5" customHeight="1">
      <c r="A1240" s="317" t="n">
        <v>46429</v>
      </c>
      <c r="B1240" t="inlineStr">
        <is>
          <t>GERAL</t>
        </is>
      </c>
      <c r="C1240" t="inlineStr">
        <is>
          <t>EJ</t>
        </is>
      </c>
      <c r="D1240" t="inlineStr">
        <is>
          <t>VIGAS</t>
        </is>
      </c>
      <c r="F1240" s="159">
        <f>IFERROR(INDEX('BASE METAS DIÁRIAS'!$N$2:$S$358,MATCH($A1240,'BASE METAS DIÁRIAS'!$A$2:$A$358,0),MOD(ROW()-2,6)+1),"")</f>
        <v/>
      </c>
      <c r="G1240" s="159">
        <f>IFERROR(IF(WEEKDAY($A1240,2)&lt;=INDEX('BASE METAS DIÁRIAS'!$H$2:$M$358,MATCH($A1240,'BASE METAS DIÁRIAS'!$A$2:$A$358,0),MOD(ROW()-2,6)+1),INDEX('BASE METAS DIÁRIAS'!$B$2:$G$358,MATCH($A1240,'BASE METAS DIÁRIAS'!$A$2:$A$358,0),MOD(ROW()-2,6)+1),""),"")</f>
        <v/>
      </c>
      <c r="H1240" s="159">
        <f>IFERROR(IF(INDEX('CONTROLE PRODUÇÃO POR EMPRESAS'!$B$6:$G$5000,MATCH($A1240,'CONTROLE PRODUÇÃO POR EMPRESAS'!$A$6:$A$5000,0),MOD(ROW()-2,6)+1)="","",IFERROR(1*INDEX('CONTROLE PRODUÇÃO POR EMPRESAS'!$B$6:$G$5000,MATCH($A1240,'CONTROLE PRODUÇÃO POR EMPRESAS'!$A$6:$A$5000,0),MOD(ROW()-2,6)+1),"")),"")</f>
        <v/>
      </c>
      <c r="I1240" s="159">
        <f>IF(OR(NOT(ISNUMBER(G1240)),NOT(ISNUMBER(H1240))),"",H1240-G1240)</f>
        <v/>
      </c>
      <c r="J1240" s="319">
        <f>IF(OR(NOT(ISNUMBER(G1240)),NOT(ISNUMBER(H1240)),G1240=0),"",I1240/G1240)</f>
        <v/>
      </c>
      <c r="K1240" s="319">
        <f>IF(OR(NOT(ISNUMBER(G1240)),NOT(ISNUMBER(H1240)),G1240=0),"",H1240/G1240)</f>
        <v/>
      </c>
      <c r="L1240">
        <f>IF(NOT(ISNUMBER(G1240)),"SEM META",IF(G1240=0,"SEM META",IF(NOT(ISNUMBER(H1240)),"SEM APONTAMENTO",IF(H1240&gt;=G1240,"VERDE",IF(H1240&gt;=G1240*0.9,"AMARELO","VERMELHO")))))</f>
        <v/>
      </c>
      <c r="M1240" s="162" t="n"/>
      <c r="N1240" s="162" t="n"/>
      <c r="O1240" s="162" t="n"/>
      <c r="P1240" s="162" t="n"/>
      <c r="Q1240" s="320" t="n"/>
      <c r="R1240" s="162" t="inlineStr">
        <is>
          <t>CONTROLE PRODUÇÃO POR EMPRESAS!D212</t>
        </is>
      </c>
    </row>
    <row r="1241" ht="28.5" customHeight="1">
      <c r="A1241" s="317" t="n">
        <v>46429</v>
      </c>
      <c r="B1241" t="inlineStr">
        <is>
          <t>GERAL</t>
        </is>
      </c>
      <c r="C1241" t="inlineStr">
        <is>
          <t>CMM</t>
        </is>
      </c>
      <c r="D1241" t="inlineStr">
        <is>
          <t>PREMONTAGEM</t>
        </is>
      </c>
      <c r="F1241" s="159">
        <f>IFERROR(INDEX('BASE METAS DIÁRIAS'!$N$2:$S$358,MATCH($A1241,'BASE METAS DIÁRIAS'!$A$2:$A$358,0),MOD(ROW()-2,6)+1),"")</f>
        <v/>
      </c>
      <c r="G1241" s="159">
        <f>IFERROR(IF(WEEKDAY($A1241,2)&lt;=INDEX('BASE METAS DIÁRIAS'!$H$2:$M$358,MATCH($A1241,'BASE METAS DIÁRIAS'!$A$2:$A$358,0),MOD(ROW()-2,6)+1),INDEX('BASE METAS DIÁRIAS'!$B$2:$G$358,MATCH($A1241,'BASE METAS DIÁRIAS'!$A$2:$A$358,0),MOD(ROW()-2,6)+1),""),"")</f>
        <v/>
      </c>
      <c r="H1241" s="159">
        <f>IFERROR(IF(INDEX('CONTROLE PRODUÇÃO POR EMPRESAS'!$B$6:$G$5000,MATCH($A1241,'CONTROLE PRODUÇÃO POR EMPRESAS'!$A$6:$A$5000,0),MOD(ROW()-2,6)+1)="","",IFERROR(1*INDEX('CONTROLE PRODUÇÃO POR EMPRESAS'!$B$6:$G$5000,MATCH($A1241,'CONTROLE PRODUÇÃO POR EMPRESAS'!$A$6:$A$5000,0),MOD(ROW()-2,6)+1),"")),"")</f>
        <v/>
      </c>
      <c r="I1241" s="159">
        <f>IF(OR(NOT(ISNUMBER(G1241)),NOT(ISNUMBER(H1241))),"",H1241-G1241)</f>
        <v/>
      </c>
      <c r="J1241" s="319">
        <f>IF(OR(NOT(ISNUMBER(G1241)),NOT(ISNUMBER(H1241)),G1241=0),"",I1241/G1241)</f>
        <v/>
      </c>
      <c r="K1241" s="319">
        <f>IF(OR(NOT(ISNUMBER(G1241)),NOT(ISNUMBER(H1241)),G1241=0),"",H1241/G1241)</f>
        <v/>
      </c>
      <c r="L1241">
        <f>IF(NOT(ISNUMBER(G1241)),"SEM META",IF(G1241=0,"SEM META",IF(NOT(ISNUMBER(H1241)),"SEM APONTAMENTO",IF(H1241&gt;=G1241,"VERDE",IF(H1241&gt;=G1241*0.9,"AMARELO","VERMELHO")))))</f>
        <v/>
      </c>
      <c r="M1241" s="162" t="n"/>
      <c r="N1241" s="162" t="n"/>
      <c r="O1241" s="162" t="n"/>
      <c r="P1241" s="162" t="n"/>
      <c r="Q1241" s="320" t="n"/>
      <c r="R1241" s="162" t="inlineStr">
        <is>
          <t>CONTROLE PRODUÇÃO POR EMPRESAS!E212</t>
        </is>
      </c>
    </row>
    <row r="1242" ht="28.5" customHeight="1">
      <c r="A1242" s="317" t="n">
        <v>46429</v>
      </c>
      <c r="B1242" t="inlineStr">
        <is>
          <t>GERAL</t>
        </is>
      </c>
      <c r="C1242" t="inlineStr">
        <is>
          <t>CMM</t>
        </is>
      </c>
      <c r="D1242" t="inlineStr">
        <is>
          <t>IÇAMENTO JOIST</t>
        </is>
      </c>
      <c r="F1242" s="159">
        <f>IFERROR(INDEX('BASE METAS DIÁRIAS'!$N$2:$S$358,MATCH($A1242,'BASE METAS DIÁRIAS'!$A$2:$A$358,0),MOD(ROW()-2,6)+1),"")</f>
        <v/>
      </c>
      <c r="G1242" s="159">
        <f>IFERROR(IF(WEEKDAY($A1242,2)&lt;=INDEX('BASE METAS DIÁRIAS'!$H$2:$M$358,MATCH($A1242,'BASE METAS DIÁRIAS'!$A$2:$A$358,0),MOD(ROW()-2,6)+1),INDEX('BASE METAS DIÁRIAS'!$B$2:$G$358,MATCH($A1242,'BASE METAS DIÁRIAS'!$A$2:$A$358,0),MOD(ROW()-2,6)+1),""),"")</f>
        <v/>
      </c>
      <c r="H1242" s="159">
        <f>IFERROR(IF(INDEX('CONTROLE PRODUÇÃO POR EMPRESAS'!$B$6:$G$5000,MATCH($A1242,'CONTROLE PRODUÇÃO POR EMPRESAS'!$A$6:$A$5000,0),MOD(ROW()-2,6)+1)="","",IFERROR(1*INDEX('CONTROLE PRODUÇÃO POR EMPRESAS'!$B$6:$G$5000,MATCH($A1242,'CONTROLE PRODUÇÃO POR EMPRESAS'!$A$6:$A$5000,0),MOD(ROW()-2,6)+1),"")),"")</f>
        <v/>
      </c>
      <c r="I1242" s="159">
        <f>IF(OR(NOT(ISNUMBER(G1242)),NOT(ISNUMBER(H1242))),"",H1242-G1242)</f>
        <v/>
      </c>
      <c r="J1242" s="319">
        <f>IF(OR(NOT(ISNUMBER(G1242)),NOT(ISNUMBER(H1242)),G1242=0),"",I1242/G1242)</f>
        <v/>
      </c>
      <c r="K1242" s="319">
        <f>IF(OR(NOT(ISNUMBER(G1242)),NOT(ISNUMBER(H1242)),G1242=0),"",H1242/G1242)</f>
        <v/>
      </c>
      <c r="L1242">
        <f>IF(NOT(ISNUMBER(G1242)),"SEM META",IF(G1242=0,"SEM META",IF(NOT(ISNUMBER(H1242)),"SEM APONTAMENTO",IF(H1242&gt;=G1242,"VERDE",IF(H1242&gt;=G1242*0.9,"AMARELO","VERMELHO")))))</f>
        <v/>
      </c>
      <c r="M1242" s="162" t="n"/>
      <c r="N1242" s="162" t="n"/>
      <c r="O1242" s="162" t="n"/>
      <c r="P1242" s="162" t="n"/>
      <c r="Q1242" s="320" t="n"/>
      <c r="R1242" s="162" t="inlineStr">
        <is>
          <t>CONTROLE PRODUÇÃO POR EMPRESAS!F212</t>
        </is>
      </c>
    </row>
    <row r="1243" ht="28.5" customHeight="1">
      <c r="A1243" s="317" t="n">
        <v>46429</v>
      </c>
      <c r="B1243" t="inlineStr">
        <is>
          <t>GERAL</t>
        </is>
      </c>
      <c r="C1243" t="inlineStr">
        <is>
          <t>CMM</t>
        </is>
      </c>
      <c r="D1243" t="inlineStr">
        <is>
          <t>VIGAS</t>
        </is>
      </c>
      <c r="F1243" s="159">
        <f>IFERROR(INDEX('BASE METAS DIÁRIAS'!$N$2:$S$358,MATCH($A1243,'BASE METAS DIÁRIAS'!$A$2:$A$358,0),MOD(ROW()-2,6)+1),"")</f>
        <v/>
      </c>
      <c r="G1243" s="159">
        <f>IFERROR(IF(WEEKDAY($A1243,2)&lt;=INDEX('BASE METAS DIÁRIAS'!$H$2:$M$358,MATCH($A1243,'BASE METAS DIÁRIAS'!$A$2:$A$358,0),MOD(ROW()-2,6)+1),INDEX('BASE METAS DIÁRIAS'!$B$2:$G$358,MATCH($A1243,'BASE METAS DIÁRIAS'!$A$2:$A$358,0),MOD(ROW()-2,6)+1),""),"")</f>
        <v/>
      </c>
      <c r="H1243" s="159">
        <f>IFERROR(IF(INDEX('CONTROLE PRODUÇÃO POR EMPRESAS'!$B$6:$G$5000,MATCH($A1243,'CONTROLE PRODUÇÃO POR EMPRESAS'!$A$6:$A$5000,0),MOD(ROW()-2,6)+1)="","",IFERROR(1*INDEX('CONTROLE PRODUÇÃO POR EMPRESAS'!$B$6:$G$5000,MATCH($A1243,'CONTROLE PRODUÇÃO POR EMPRESAS'!$A$6:$A$5000,0),MOD(ROW()-2,6)+1),"")),"")</f>
        <v/>
      </c>
      <c r="I1243" s="159">
        <f>IF(OR(NOT(ISNUMBER(G1243)),NOT(ISNUMBER(H1243))),"",H1243-G1243)</f>
        <v/>
      </c>
      <c r="J1243" s="319">
        <f>IF(OR(NOT(ISNUMBER(G1243)),NOT(ISNUMBER(H1243)),G1243=0),"",I1243/G1243)</f>
        <v/>
      </c>
      <c r="K1243" s="319">
        <f>IF(OR(NOT(ISNUMBER(G1243)),NOT(ISNUMBER(H1243)),G1243=0),"",H1243/G1243)</f>
        <v/>
      </c>
      <c r="L1243">
        <f>IF(NOT(ISNUMBER(G1243)),"SEM META",IF(G1243=0,"SEM META",IF(NOT(ISNUMBER(H1243)),"SEM APONTAMENTO",IF(H1243&gt;=G1243,"VERDE",IF(H1243&gt;=G1243*0.9,"AMARELO","VERMELHO")))))</f>
        <v/>
      </c>
      <c r="M1243" s="162" t="n"/>
      <c r="N1243" s="162" t="n"/>
      <c r="O1243" s="162" t="n"/>
      <c r="P1243" s="162" t="n"/>
      <c r="Q1243" s="320" t="n"/>
      <c r="R1243" s="162" t="inlineStr">
        <is>
          <t>CONTROLE PRODUÇÃO POR EMPRESAS!G212</t>
        </is>
      </c>
    </row>
    <row r="1244" ht="28.5" customHeight="1">
      <c r="A1244" s="317" t="n">
        <v>46430</v>
      </c>
      <c r="B1244" t="inlineStr">
        <is>
          <t>GERAL</t>
        </is>
      </c>
      <c r="C1244" t="inlineStr">
        <is>
          <t>EJ</t>
        </is>
      </c>
      <c r="D1244" t="inlineStr">
        <is>
          <t>PREMONTAGEM</t>
        </is>
      </c>
      <c r="F1244" s="159">
        <f>IFERROR(INDEX('BASE METAS DIÁRIAS'!$N$2:$S$358,MATCH($A1244,'BASE METAS DIÁRIAS'!$A$2:$A$358,0),MOD(ROW()-2,6)+1),"")</f>
        <v/>
      </c>
      <c r="G1244" s="159">
        <f>IFERROR(IF(WEEKDAY($A1244,2)&lt;=INDEX('BASE METAS DIÁRIAS'!$H$2:$M$358,MATCH($A1244,'BASE METAS DIÁRIAS'!$A$2:$A$358,0),MOD(ROW()-2,6)+1),INDEX('BASE METAS DIÁRIAS'!$B$2:$G$358,MATCH($A1244,'BASE METAS DIÁRIAS'!$A$2:$A$358,0),MOD(ROW()-2,6)+1),""),"")</f>
        <v/>
      </c>
      <c r="H1244" s="159">
        <f>IFERROR(IF(INDEX('CONTROLE PRODUÇÃO POR EMPRESAS'!$B$6:$G$5000,MATCH($A1244,'CONTROLE PRODUÇÃO POR EMPRESAS'!$A$6:$A$5000,0),MOD(ROW()-2,6)+1)="","",IFERROR(1*INDEX('CONTROLE PRODUÇÃO POR EMPRESAS'!$B$6:$G$5000,MATCH($A1244,'CONTROLE PRODUÇÃO POR EMPRESAS'!$A$6:$A$5000,0),MOD(ROW()-2,6)+1),"")),"")</f>
        <v/>
      </c>
      <c r="I1244" s="159">
        <f>IF(OR(NOT(ISNUMBER(G1244)),NOT(ISNUMBER(H1244))),"",H1244-G1244)</f>
        <v/>
      </c>
      <c r="J1244" s="319">
        <f>IF(OR(NOT(ISNUMBER(G1244)),NOT(ISNUMBER(H1244)),G1244=0),"",I1244/G1244)</f>
        <v/>
      </c>
      <c r="K1244" s="319">
        <f>IF(OR(NOT(ISNUMBER(G1244)),NOT(ISNUMBER(H1244)),G1244=0),"",H1244/G1244)</f>
        <v/>
      </c>
      <c r="L1244">
        <f>IF(NOT(ISNUMBER(G1244)),"SEM META",IF(G1244=0,"SEM META",IF(NOT(ISNUMBER(H1244)),"SEM APONTAMENTO",IF(H1244&gt;=G1244,"VERDE",IF(H1244&gt;=G1244*0.9,"AMARELO","VERMELHO")))))</f>
        <v/>
      </c>
      <c r="M1244" s="162" t="n"/>
      <c r="N1244" s="162" t="n"/>
      <c r="O1244" s="162" t="n"/>
      <c r="P1244" s="162" t="n"/>
      <c r="Q1244" s="320" t="n"/>
      <c r="R1244" s="162" t="inlineStr">
        <is>
          <t>CONTROLE PRODUÇÃO POR EMPRESAS!B213</t>
        </is>
      </c>
    </row>
    <row r="1245" ht="28.5" customHeight="1">
      <c r="A1245" s="317" t="n">
        <v>46430</v>
      </c>
      <c r="B1245" t="inlineStr">
        <is>
          <t>GERAL</t>
        </is>
      </c>
      <c r="C1245" t="inlineStr">
        <is>
          <t>EJ</t>
        </is>
      </c>
      <c r="D1245" t="inlineStr">
        <is>
          <t>IÇAMENTO JOIST</t>
        </is>
      </c>
      <c r="F1245" s="159">
        <f>IFERROR(INDEX('BASE METAS DIÁRIAS'!$N$2:$S$358,MATCH($A1245,'BASE METAS DIÁRIAS'!$A$2:$A$358,0),MOD(ROW()-2,6)+1),"")</f>
        <v/>
      </c>
      <c r="G1245" s="159">
        <f>IFERROR(IF(WEEKDAY($A1245,2)&lt;=INDEX('BASE METAS DIÁRIAS'!$H$2:$M$358,MATCH($A1245,'BASE METAS DIÁRIAS'!$A$2:$A$358,0),MOD(ROW()-2,6)+1),INDEX('BASE METAS DIÁRIAS'!$B$2:$G$358,MATCH($A1245,'BASE METAS DIÁRIAS'!$A$2:$A$358,0),MOD(ROW()-2,6)+1),""),"")</f>
        <v/>
      </c>
      <c r="H1245" s="159">
        <f>IFERROR(IF(INDEX('CONTROLE PRODUÇÃO POR EMPRESAS'!$B$6:$G$5000,MATCH($A1245,'CONTROLE PRODUÇÃO POR EMPRESAS'!$A$6:$A$5000,0),MOD(ROW()-2,6)+1)="","",IFERROR(1*INDEX('CONTROLE PRODUÇÃO POR EMPRESAS'!$B$6:$G$5000,MATCH($A1245,'CONTROLE PRODUÇÃO POR EMPRESAS'!$A$6:$A$5000,0),MOD(ROW()-2,6)+1),"")),"")</f>
        <v/>
      </c>
      <c r="I1245" s="159">
        <f>IF(OR(NOT(ISNUMBER(G1245)),NOT(ISNUMBER(H1245))),"",H1245-G1245)</f>
        <v/>
      </c>
      <c r="J1245" s="319">
        <f>IF(OR(NOT(ISNUMBER(G1245)),NOT(ISNUMBER(H1245)),G1245=0),"",I1245/G1245)</f>
        <v/>
      </c>
      <c r="K1245" s="319">
        <f>IF(OR(NOT(ISNUMBER(G1245)),NOT(ISNUMBER(H1245)),G1245=0),"",H1245/G1245)</f>
        <v/>
      </c>
      <c r="L1245">
        <f>IF(NOT(ISNUMBER(G1245)),"SEM META",IF(G1245=0,"SEM META",IF(NOT(ISNUMBER(H1245)),"SEM APONTAMENTO",IF(H1245&gt;=G1245,"VERDE",IF(H1245&gt;=G1245*0.9,"AMARELO","VERMELHO")))))</f>
        <v/>
      </c>
      <c r="M1245" s="162" t="n"/>
      <c r="N1245" s="162" t="n"/>
      <c r="O1245" s="162" t="n"/>
      <c r="P1245" s="162" t="n"/>
      <c r="Q1245" s="320" t="n"/>
      <c r="R1245" s="162" t="inlineStr">
        <is>
          <t>CONTROLE PRODUÇÃO POR EMPRESAS!C213</t>
        </is>
      </c>
    </row>
    <row r="1246" ht="28.5" customHeight="1">
      <c r="A1246" s="317" t="n">
        <v>46430</v>
      </c>
      <c r="B1246" t="inlineStr">
        <is>
          <t>GERAL</t>
        </is>
      </c>
      <c r="C1246" t="inlineStr">
        <is>
          <t>EJ</t>
        </is>
      </c>
      <c r="D1246" t="inlineStr">
        <is>
          <t>VIGAS</t>
        </is>
      </c>
      <c r="F1246" s="159">
        <f>IFERROR(INDEX('BASE METAS DIÁRIAS'!$N$2:$S$358,MATCH($A1246,'BASE METAS DIÁRIAS'!$A$2:$A$358,0),MOD(ROW()-2,6)+1),"")</f>
        <v/>
      </c>
      <c r="G1246" s="159">
        <f>IFERROR(IF(WEEKDAY($A1246,2)&lt;=INDEX('BASE METAS DIÁRIAS'!$H$2:$M$358,MATCH($A1246,'BASE METAS DIÁRIAS'!$A$2:$A$358,0),MOD(ROW()-2,6)+1),INDEX('BASE METAS DIÁRIAS'!$B$2:$G$358,MATCH($A1246,'BASE METAS DIÁRIAS'!$A$2:$A$358,0),MOD(ROW()-2,6)+1),""),"")</f>
        <v/>
      </c>
      <c r="H1246" s="159">
        <f>IFERROR(IF(INDEX('CONTROLE PRODUÇÃO POR EMPRESAS'!$B$6:$G$5000,MATCH($A1246,'CONTROLE PRODUÇÃO POR EMPRESAS'!$A$6:$A$5000,0),MOD(ROW()-2,6)+1)="","",IFERROR(1*INDEX('CONTROLE PRODUÇÃO POR EMPRESAS'!$B$6:$G$5000,MATCH($A1246,'CONTROLE PRODUÇÃO POR EMPRESAS'!$A$6:$A$5000,0),MOD(ROW()-2,6)+1),"")),"")</f>
        <v/>
      </c>
      <c r="I1246" s="159">
        <f>IF(OR(NOT(ISNUMBER(G1246)),NOT(ISNUMBER(H1246))),"",H1246-G1246)</f>
        <v/>
      </c>
      <c r="J1246" s="319">
        <f>IF(OR(NOT(ISNUMBER(G1246)),NOT(ISNUMBER(H1246)),G1246=0),"",I1246/G1246)</f>
        <v/>
      </c>
      <c r="K1246" s="319">
        <f>IF(OR(NOT(ISNUMBER(G1246)),NOT(ISNUMBER(H1246)),G1246=0),"",H1246/G1246)</f>
        <v/>
      </c>
      <c r="L1246">
        <f>IF(NOT(ISNUMBER(G1246)),"SEM META",IF(G1246=0,"SEM META",IF(NOT(ISNUMBER(H1246)),"SEM APONTAMENTO",IF(H1246&gt;=G1246,"VERDE",IF(H1246&gt;=G1246*0.9,"AMARELO","VERMELHO")))))</f>
        <v/>
      </c>
      <c r="M1246" s="162" t="n"/>
      <c r="N1246" s="162" t="n"/>
      <c r="O1246" s="162" t="n"/>
      <c r="P1246" s="162" t="n"/>
      <c r="Q1246" s="320" t="n"/>
      <c r="R1246" s="162" t="inlineStr">
        <is>
          <t>CONTROLE PRODUÇÃO POR EMPRESAS!D213</t>
        </is>
      </c>
    </row>
    <row r="1247" ht="28.5" customHeight="1">
      <c r="A1247" s="317" t="n">
        <v>46430</v>
      </c>
      <c r="B1247" t="inlineStr">
        <is>
          <t>GERAL</t>
        </is>
      </c>
      <c r="C1247" t="inlineStr">
        <is>
          <t>CMM</t>
        </is>
      </c>
      <c r="D1247" t="inlineStr">
        <is>
          <t>PREMONTAGEM</t>
        </is>
      </c>
      <c r="F1247" s="159">
        <f>IFERROR(INDEX('BASE METAS DIÁRIAS'!$N$2:$S$358,MATCH($A1247,'BASE METAS DIÁRIAS'!$A$2:$A$358,0),MOD(ROW()-2,6)+1),"")</f>
        <v/>
      </c>
      <c r="G1247" s="159">
        <f>IFERROR(IF(WEEKDAY($A1247,2)&lt;=INDEX('BASE METAS DIÁRIAS'!$H$2:$M$358,MATCH($A1247,'BASE METAS DIÁRIAS'!$A$2:$A$358,0),MOD(ROW()-2,6)+1),INDEX('BASE METAS DIÁRIAS'!$B$2:$G$358,MATCH($A1247,'BASE METAS DIÁRIAS'!$A$2:$A$358,0),MOD(ROW()-2,6)+1),""),"")</f>
        <v/>
      </c>
      <c r="H1247" s="159">
        <f>IFERROR(IF(INDEX('CONTROLE PRODUÇÃO POR EMPRESAS'!$B$6:$G$5000,MATCH($A1247,'CONTROLE PRODUÇÃO POR EMPRESAS'!$A$6:$A$5000,0),MOD(ROW()-2,6)+1)="","",IFERROR(1*INDEX('CONTROLE PRODUÇÃO POR EMPRESAS'!$B$6:$G$5000,MATCH($A1247,'CONTROLE PRODUÇÃO POR EMPRESAS'!$A$6:$A$5000,0),MOD(ROW()-2,6)+1),"")),"")</f>
        <v/>
      </c>
      <c r="I1247" s="159">
        <f>IF(OR(NOT(ISNUMBER(G1247)),NOT(ISNUMBER(H1247))),"",H1247-G1247)</f>
        <v/>
      </c>
      <c r="J1247" s="319">
        <f>IF(OR(NOT(ISNUMBER(G1247)),NOT(ISNUMBER(H1247)),G1247=0),"",I1247/G1247)</f>
        <v/>
      </c>
      <c r="K1247" s="319">
        <f>IF(OR(NOT(ISNUMBER(G1247)),NOT(ISNUMBER(H1247)),G1247=0),"",H1247/G1247)</f>
        <v/>
      </c>
      <c r="L1247">
        <f>IF(NOT(ISNUMBER(G1247)),"SEM META",IF(G1247=0,"SEM META",IF(NOT(ISNUMBER(H1247)),"SEM APONTAMENTO",IF(H1247&gt;=G1247,"VERDE",IF(H1247&gt;=G1247*0.9,"AMARELO","VERMELHO")))))</f>
        <v/>
      </c>
      <c r="M1247" s="162" t="n"/>
      <c r="N1247" s="162" t="n"/>
      <c r="O1247" s="162" t="n"/>
      <c r="P1247" s="162" t="n"/>
      <c r="Q1247" s="320" t="n"/>
      <c r="R1247" s="162" t="inlineStr">
        <is>
          <t>CONTROLE PRODUÇÃO POR EMPRESAS!E213</t>
        </is>
      </c>
    </row>
    <row r="1248" ht="28.5" customHeight="1">
      <c r="A1248" s="317" t="n">
        <v>46430</v>
      </c>
      <c r="B1248" t="inlineStr">
        <is>
          <t>GERAL</t>
        </is>
      </c>
      <c r="C1248" t="inlineStr">
        <is>
          <t>CMM</t>
        </is>
      </c>
      <c r="D1248" t="inlineStr">
        <is>
          <t>IÇAMENTO JOIST</t>
        </is>
      </c>
      <c r="F1248" s="159">
        <f>IFERROR(INDEX('BASE METAS DIÁRIAS'!$N$2:$S$358,MATCH($A1248,'BASE METAS DIÁRIAS'!$A$2:$A$358,0),MOD(ROW()-2,6)+1),"")</f>
        <v/>
      </c>
      <c r="G1248" s="159">
        <f>IFERROR(IF(WEEKDAY($A1248,2)&lt;=INDEX('BASE METAS DIÁRIAS'!$H$2:$M$358,MATCH($A1248,'BASE METAS DIÁRIAS'!$A$2:$A$358,0),MOD(ROW()-2,6)+1),INDEX('BASE METAS DIÁRIAS'!$B$2:$G$358,MATCH($A1248,'BASE METAS DIÁRIAS'!$A$2:$A$358,0),MOD(ROW()-2,6)+1),""),"")</f>
        <v/>
      </c>
      <c r="H1248" s="159">
        <f>IFERROR(IF(INDEX('CONTROLE PRODUÇÃO POR EMPRESAS'!$B$6:$G$5000,MATCH($A1248,'CONTROLE PRODUÇÃO POR EMPRESAS'!$A$6:$A$5000,0),MOD(ROW()-2,6)+1)="","",IFERROR(1*INDEX('CONTROLE PRODUÇÃO POR EMPRESAS'!$B$6:$G$5000,MATCH($A1248,'CONTROLE PRODUÇÃO POR EMPRESAS'!$A$6:$A$5000,0),MOD(ROW()-2,6)+1),"")),"")</f>
        <v/>
      </c>
      <c r="I1248" s="159">
        <f>IF(OR(NOT(ISNUMBER(G1248)),NOT(ISNUMBER(H1248))),"",H1248-G1248)</f>
        <v/>
      </c>
      <c r="J1248" s="319">
        <f>IF(OR(NOT(ISNUMBER(G1248)),NOT(ISNUMBER(H1248)),G1248=0),"",I1248/G1248)</f>
        <v/>
      </c>
      <c r="K1248" s="319">
        <f>IF(OR(NOT(ISNUMBER(G1248)),NOT(ISNUMBER(H1248)),G1248=0),"",H1248/G1248)</f>
        <v/>
      </c>
      <c r="L1248">
        <f>IF(NOT(ISNUMBER(G1248)),"SEM META",IF(G1248=0,"SEM META",IF(NOT(ISNUMBER(H1248)),"SEM APONTAMENTO",IF(H1248&gt;=G1248,"VERDE",IF(H1248&gt;=G1248*0.9,"AMARELO","VERMELHO")))))</f>
        <v/>
      </c>
      <c r="M1248" s="162" t="n"/>
      <c r="N1248" s="162" t="n"/>
      <c r="O1248" s="162" t="n"/>
      <c r="P1248" s="162" t="n"/>
      <c r="Q1248" s="320" t="n"/>
      <c r="R1248" s="162" t="inlineStr">
        <is>
          <t>CONTROLE PRODUÇÃO POR EMPRESAS!F213</t>
        </is>
      </c>
    </row>
    <row r="1249" ht="28.5" customHeight="1">
      <c r="A1249" s="317" t="n">
        <v>46430</v>
      </c>
      <c r="B1249" t="inlineStr">
        <is>
          <t>GERAL</t>
        </is>
      </c>
      <c r="C1249" t="inlineStr">
        <is>
          <t>CMM</t>
        </is>
      </c>
      <c r="D1249" t="inlineStr">
        <is>
          <t>VIGAS</t>
        </is>
      </c>
      <c r="F1249" s="159">
        <f>IFERROR(INDEX('BASE METAS DIÁRIAS'!$N$2:$S$358,MATCH($A1249,'BASE METAS DIÁRIAS'!$A$2:$A$358,0),MOD(ROW()-2,6)+1),"")</f>
        <v/>
      </c>
      <c r="G1249" s="159">
        <f>IFERROR(IF(WEEKDAY($A1249,2)&lt;=INDEX('BASE METAS DIÁRIAS'!$H$2:$M$358,MATCH($A1249,'BASE METAS DIÁRIAS'!$A$2:$A$358,0),MOD(ROW()-2,6)+1),INDEX('BASE METAS DIÁRIAS'!$B$2:$G$358,MATCH($A1249,'BASE METAS DIÁRIAS'!$A$2:$A$358,0),MOD(ROW()-2,6)+1),""),"")</f>
        <v/>
      </c>
      <c r="H1249" s="159">
        <f>IFERROR(IF(INDEX('CONTROLE PRODUÇÃO POR EMPRESAS'!$B$6:$G$5000,MATCH($A1249,'CONTROLE PRODUÇÃO POR EMPRESAS'!$A$6:$A$5000,0),MOD(ROW()-2,6)+1)="","",IFERROR(1*INDEX('CONTROLE PRODUÇÃO POR EMPRESAS'!$B$6:$G$5000,MATCH($A1249,'CONTROLE PRODUÇÃO POR EMPRESAS'!$A$6:$A$5000,0),MOD(ROW()-2,6)+1),"")),"")</f>
        <v/>
      </c>
      <c r="I1249" s="159">
        <f>IF(OR(NOT(ISNUMBER(G1249)),NOT(ISNUMBER(H1249))),"",H1249-G1249)</f>
        <v/>
      </c>
      <c r="J1249" s="319">
        <f>IF(OR(NOT(ISNUMBER(G1249)),NOT(ISNUMBER(H1249)),G1249=0),"",I1249/G1249)</f>
        <v/>
      </c>
      <c r="K1249" s="319">
        <f>IF(OR(NOT(ISNUMBER(G1249)),NOT(ISNUMBER(H1249)),G1249=0),"",H1249/G1249)</f>
        <v/>
      </c>
      <c r="L1249">
        <f>IF(NOT(ISNUMBER(G1249)),"SEM META",IF(G1249=0,"SEM META",IF(NOT(ISNUMBER(H1249)),"SEM APONTAMENTO",IF(H1249&gt;=G1249,"VERDE",IF(H1249&gt;=G1249*0.9,"AMARELO","VERMELHO")))))</f>
        <v/>
      </c>
      <c r="M1249" s="162" t="n"/>
      <c r="N1249" s="162" t="n"/>
      <c r="O1249" s="162" t="n"/>
      <c r="P1249" s="162" t="n"/>
      <c r="Q1249" s="320" t="n"/>
      <c r="R1249" s="162" t="inlineStr">
        <is>
          <t>CONTROLE PRODUÇÃO POR EMPRESAS!G213</t>
        </is>
      </c>
    </row>
    <row r="1250" ht="28.5" customHeight="1">
      <c r="A1250" s="317" t="n">
        <v>46431</v>
      </c>
      <c r="B1250" t="inlineStr">
        <is>
          <t>GERAL</t>
        </is>
      </c>
      <c r="C1250" t="inlineStr">
        <is>
          <t>EJ</t>
        </is>
      </c>
      <c r="D1250" t="inlineStr">
        <is>
          <t>PREMONTAGEM</t>
        </is>
      </c>
      <c r="F1250" s="159">
        <f>IFERROR(INDEX('BASE METAS DIÁRIAS'!$N$2:$S$358,MATCH($A1250,'BASE METAS DIÁRIAS'!$A$2:$A$358,0),MOD(ROW()-2,6)+1),"")</f>
        <v/>
      </c>
      <c r="G1250" s="159">
        <f>IFERROR(IF(WEEKDAY($A1250,2)&lt;=INDEX('BASE METAS DIÁRIAS'!$H$2:$M$358,MATCH($A1250,'BASE METAS DIÁRIAS'!$A$2:$A$358,0),MOD(ROW()-2,6)+1),INDEX('BASE METAS DIÁRIAS'!$B$2:$G$358,MATCH($A1250,'BASE METAS DIÁRIAS'!$A$2:$A$358,0),MOD(ROW()-2,6)+1),""),"")</f>
        <v/>
      </c>
      <c r="H1250" s="159">
        <f>IFERROR(IF(INDEX('CONTROLE PRODUÇÃO POR EMPRESAS'!$B$6:$G$5000,MATCH($A1250,'CONTROLE PRODUÇÃO POR EMPRESAS'!$A$6:$A$5000,0),MOD(ROW()-2,6)+1)="","",IFERROR(1*INDEX('CONTROLE PRODUÇÃO POR EMPRESAS'!$B$6:$G$5000,MATCH($A1250,'CONTROLE PRODUÇÃO POR EMPRESAS'!$A$6:$A$5000,0),MOD(ROW()-2,6)+1),"")),"")</f>
        <v/>
      </c>
      <c r="I1250" s="159">
        <f>IF(OR(NOT(ISNUMBER(G1250)),NOT(ISNUMBER(H1250))),"",H1250-G1250)</f>
        <v/>
      </c>
      <c r="J1250" s="319">
        <f>IF(OR(NOT(ISNUMBER(G1250)),NOT(ISNUMBER(H1250)),G1250=0),"",I1250/G1250)</f>
        <v/>
      </c>
      <c r="K1250" s="319">
        <f>IF(OR(NOT(ISNUMBER(G1250)),NOT(ISNUMBER(H1250)),G1250=0),"",H1250/G1250)</f>
        <v/>
      </c>
      <c r="L1250">
        <f>IF(NOT(ISNUMBER(G1250)),"SEM META",IF(G1250=0,"SEM META",IF(NOT(ISNUMBER(H1250)),"SEM APONTAMENTO",IF(H1250&gt;=G1250,"VERDE",IF(H1250&gt;=G1250*0.9,"AMARELO","VERMELHO")))))</f>
        <v/>
      </c>
      <c r="M1250" s="162" t="n"/>
      <c r="N1250" s="162" t="n"/>
      <c r="O1250" s="162" t="n"/>
      <c r="P1250" s="162" t="n"/>
      <c r="Q1250" s="320" t="n"/>
      <c r="R1250" s="162" t="inlineStr">
        <is>
          <t>CONTROLE PRODUÇÃO POR EMPRESAS!B214</t>
        </is>
      </c>
    </row>
    <row r="1251" ht="28.5" customHeight="1">
      <c r="A1251" s="317" t="n">
        <v>46431</v>
      </c>
      <c r="B1251" t="inlineStr">
        <is>
          <t>GERAL</t>
        </is>
      </c>
      <c r="C1251" t="inlineStr">
        <is>
          <t>EJ</t>
        </is>
      </c>
      <c r="D1251" t="inlineStr">
        <is>
          <t>IÇAMENTO JOIST</t>
        </is>
      </c>
      <c r="F1251" s="159">
        <f>IFERROR(INDEX('BASE METAS DIÁRIAS'!$N$2:$S$358,MATCH($A1251,'BASE METAS DIÁRIAS'!$A$2:$A$358,0),MOD(ROW()-2,6)+1),"")</f>
        <v/>
      </c>
      <c r="G1251" s="159">
        <f>IFERROR(IF(WEEKDAY($A1251,2)&lt;=INDEX('BASE METAS DIÁRIAS'!$H$2:$M$358,MATCH($A1251,'BASE METAS DIÁRIAS'!$A$2:$A$358,0),MOD(ROW()-2,6)+1),INDEX('BASE METAS DIÁRIAS'!$B$2:$G$358,MATCH($A1251,'BASE METAS DIÁRIAS'!$A$2:$A$358,0),MOD(ROW()-2,6)+1),""),"")</f>
        <v/>
      </c>
      <c r="H1251" s="159">
        <f>IFERROR(IF(INDEX('CONTROLE PRODUÇÃO POR EMPRESAS'!$B$6:$G$5000,MATCH($A1251,'CONTROLE PRODUÇÃO POR EMPRESAS'!$A$6:$A$5000,0),MOD(ROW()-2,6)+1)="","",IFERROR(1*INDEX('CONTROLE PRODUÇÃO POR EMPRESAS'!$B$6:$G$5000,MATCH($A1251,'CONTROLE PRODUÇÃO POR EMPRESAS'!$A$6:$A$5000,0),MOD(ROW()-2,6)+1),"")),"")</f>
        <v/>
      </c>
      <c r="I1251" s="159">
        <f>IF(OR(NOT(ISNUMBER(G1251)),NOT(ISNUMBER(H1251))),"",H1251-G1251)</f>
        <v/>
      </c>
      <c r="J1251" s="319">
        <f>IF(OR(NOT(ISNUMBER(G1251)),NOT(ISNUMBER(H1251)),G1251=0),"",I1251/G1251)</f>
        <v/>
      </c>
      <c r="K1251" s="319">
        <f>IF(OR(NOT(ISNUMBER(G1251)),NOT(ISNUMBER(H1251)),G1251=0),"",H1251/G1251)</f>
        <v/>
      </c>
      <c r="L1251">
        <f>IF(NOT(ISNUMBER(G1251)),"SEM META",IF(G1251=0,"SEM META",IF(NOT(ISNUMBER(H1251)),"SEM APONTAMENTO",IF(H1251&gt;=G1251,"VERDE",IF(H1251&gt;=G1251*0.9,"AMARELO","VERMELHO")))))</f>
        <v/>
      </c>
      <c r="M1251" s="162" t="n"/>
      <c r="N1251" s="162" t="n"/>
      <c r="O1251" s="162" t="n"/>
      <c r="P1251" s="162" t="n"/>
      <c r="Q1251" s="320" t="n"/>
      <c r="R1251" s="162" t="inlineStr">
        <is>
          <t>CONTROLE PRODUÇÃO POR EMPRESAS!C214</t>
        </is>
      </c>
    </row>
    <row r="1252" ht="28.5" customHeight="1">
      <c r="A1252" s="317" t="n">
        <v>46431</v>
      </c>
      <c r="B1252" t="inlineStr">
        <is>
          <t>GERAL</t>
        </is>
      </c>
      <c r="C1252" t="inlineStr">
        <is>
          <t>EJ</t>
        </is>
      </c>
      <c r="D1252" t="inlineStr">
        <is>
          <t>VIGAS</t>
        </is>
      </c>
      <c r="F1252" s="159">
        <f>IFERROR(INDEX('BASE METAS DIÁRIAS'!$N$2:$S$358,MATCH($A1252,'BASE METAS DIÁRIAS'!$A$2:$A$358,0),MOD(ROW()-2,6)+1),"")</f>
        <v/>
      </c>
      <c r="G1252" s="159">
        <f>IFERROR(IF(WEEKDAY($A1252,2)&lt;=INDEX('BASE METAS DIÁRIAS'!$H$2:$M$358,MATCH($A1252,'BASE METAS DIÁRIAS'!$A$2:$A$358,0),MOD(ROW()-2,6)+1),INDEX('BASE METAS DIÁRIAS'!$B$2:$G$358,MATCH($A1252,'BASE METAS DIÁRIAS'!$A$2:$A$358,0),MOD(ROW()-2,6)+1),""),"")</f>
        <v/>
      </c>
      <c r="H1252" s="159">
        <f>IFERROR(IF(INDEX('CONTROLE PRODUÇÃO POR EMPRESAS'!$B$6:$G$5000,MATCH($A1252,'CONTROLE PRODUÇÃO POR EMPRESAS'!$A$6:$A$5000,0),MOD(ROW()-2,6)+1)="","",IFERROR(1*INDEX('CONTROLE PRODUÇÃO POR EMPRESAS'!$B$6:$G$5000,MATCH($A1252,'CONTROLE PRODUÇÃO POR EMPRESAS'!$A$6:$A$5000,0),MOD(ROW()-2,6)+1),"")),"")</f>
        <v/>
      </c>
      <c r="I1252" s="159">
        <f>IF(OR(NOT(ISNUMBER(G1252)),NOT(ISNUMBER(H1252))),"",H1252-G1252)</f>
        <v/>
      </c>
      <c r="J1252" s="319">
        <f>IF(OR(NOT(ISNUMBER(G1252)),NOT(ISNUMBER(H1252)),G1252=0),"",I1252/G1252)</f>
        <v/>
      </c>
      <c r="K1252" s="319">
        <f>IF(OR(NOT(ISNUMBER(G1252)),NOT(ISNUMBER(H1252)),G1252=0),"",H1252/G1252)</f>
        <v/>
      </c>
      <c r="L1252">
        <f>IF(NOT(ISNUMBER(G1252)),"SEM META",IF(G1252=0,"SEM META",IF(NOT(ISNUMBER(H1252)),"SEM APONTAMENTO",IF(H1252&gt;=G1252,"VERDE",IF(H1252&gt;=G1252*0.9,"AMARELO","VERMELHO")))))</f>
        <v/>
      </c>
      <c r="M1252" s="162" t="n"/>
      <c r="N1252" s="162" t="n"/>
      <c r="O1252" s="162" t="n"/>
      <c r="P1252" s="162" t="n"/>
      <c r="Q1252" s="320" t="n"/>
      <c r="R1252" s="162" t="inlineStr">
        <is>
          <t>CONTROLE PRODUÇÃO POR EMPRESAS!D214</t>
        </is>
      </c>
    </row>
    <row r="1253" ht="28.5" customHeight="1">
      <c r="A1253" s="317" t="n">
        <v>46431</v>
      </c>
      <c r="B1253" t="inlineStr">
        <is>
          <t>GERAL</t>
        </is>
      </c>
      <c r="C1253" t="inlineStr">
        <is>
          <t>CMM</t>
        </is>
      </c>
      <c r="D1253" t="inlineStr">
        <is>
          <t>PREMONTAGEM</t>
        </is>
      </c>
      <c r="F1253" s="159">
        <f>IFERROR(INDEX('BASE METAS DIÁRIAS'!$N$2:$S$358,MATCH($A1253,'BASE METAS DIÁRIAS'!$A$2:$A$358,0),MOD(ROW()-2,6)+1),"")</f>
        <v/>
      </c>
      <c r="G1253" s="159">
        <f>IFERROR(IF(WEEKDAY($A1253,2)&lt;=INDEX('BASE METAS DIÁRIAS'!$H$2:$M$358,MATCH($A1253,'BASE METAS DIÁRIAS'!$A$2:$A$358,0),MOD(ROW()-2,6)+1),INDEX('BASE METAS DIÁRIAS'!$B$2:$G$358,MATCH($A1253,'BASE METAS DIÁRIAS'!$A$2:$A$358,0),MOD(ROW()-2,6)+1),""),"")</f>
        <v/>
      </c>
      <c r="H1253" s="159">
        <f>IFERROR(IF(INDEX('CONTROLE PRODUÇÃO POR EMPRESAS'!$B$6:$G$5000,MATCH($A1253,'CONTROLE PRODUÇÃO POR EMPRESAS'!$A$6:$A$5000,0),MOD(ROW()-2,6)+1)="","",IFERROR(1*INDEX('CONTROLE PRODUÇÃO POR EMPRESAS'!$B$6:$G$5000,MATCH($A1253,'CONTROLE PRODUÇÃO POR EMPRESAS'!$A$6:$A$5000,0),MOD(ROW()-2,6)+1),"")),"")</f>
        <v/>
      </c>
      <c r="I1253" s="159">
        <f>IF(OR(NOT(ISNUMBER(G1253)),NOT(ISNUMBER(H1253))),"",H1253-G1253)</f>
        <v/>
      </c>
      <c r="J1253" s="319">
        <f>IF(OR(NOT(ISNUMBER(G1253)),NOT(ISNUMBER(H1253)),G1253=0),"",I1253/G1253)</f>
        <v/>
      </c>
      <c r="K1253" s="319">
        <f>IF(OR(NOT(ISNUMBER(G1253)),NOT(ISNUMBER(H1253)),G1253=0),"",H1253/G1253)</f>
        <v/>
      </c>
      <c r="L1253">
        <f>IF(NOT(ISNUMBER(G1253)),"SEM META",IF(G1253=0,"SEM META",IF(NOT(ISNUMBER(H1253)),"SEM APONTAMENTO",IF(H1253&gt;=G1253,"VERDE",IF(H1253&gt;=G1253*0.9,"AMARELO","VERMELHO")))))</f>
        <v/>
      </c>
      <c r="M1253" s="162" t="n"/>
      <c r="N1253" s="162" t="n"/>
      <c r="O1253" s="162" t="n"/>
      <c r="P1253" s="162" t="n"/>
      <c r="Q1253" s="320" t="n"/>
      <c r="R1253" s="162" t="inlineStr">
        <is>
          <t>CONTROLE PRODUÇÃO POR EMPRESAS!E214</t>
        </is>
      </c>
    </row>
    <row r="1254" ht="28.5" customHeight="1">
      <c r="A1254" s="317" t="n">
        <v>46431</v>
      </c>
      <c r="B1254" t="inlineStr">
        <is>
          <t>GERAL</t>
        </is>
      </c>
      <c r="C1254" t="inlineStr">
        <is>
          <t>CMM</t>
        </is>
      </c>
      <c r="D1254" t="inlineStr">
        <is>
          <t>IÇAMENTO JOIST</t>
        </is>
      </c>
      <c r="F1254" s="159">
        <f>IFERROR(INDEX('BASE METAS DIÁRIAS'!$N$2:$S$358,MATCH($A1254,'BASE METAS DIÁRIAS'!$A$2:$A$358,0),MOD(ROW()-2,6)+1),"")</f>
        <v/>
      </c>
      <c r="G1254" s="159">
        <f>IFERROR(IF(WEEKDAY($A1254,2)&lt;=INDEX('BASE METAS DIÁRIAS'!$H$2:$M$358,MATCH($A1254,'BASE METAS DIÁRIAS'!$A$2:$A$358,0),MOD(ROW()-2,6)+1),INDEX('BASE METAS DIÁRIAS'!$B$2:$G$358,MATCH($A1254,'BASE METAS DIÁRIAS'!$A$2:$A$358,0),MOD(ROW()-2,6)+1),""),"")</f>
        <v/>
      </c>
      <c r="H1254" s="159">
        <f>IFERROR(IF(INDEX('CONTROLE PRODUÇÃO POR EMPRESAS'!$B$6:$G$5000,MATCH($A1254,'CONTROLE PRODUÇÃO POR EMPRESAS'!$A$6:$A$5000,0),MOD(ROW()-2,6)+1)="","",IFERROR(1*INDEX('CONTROLE PRODUÇÃO POR EMPRESAS'!$B$6:$G$5000,MATCH($A1254,'CONTROLE PRODUÇÃO POR EMPRESAS'!$A$6:$A$5000,0),MOD(ROW()-2,6)+1),"")),"")</f>
        <v/>
      </c>
      <c r="I1254" s="159">
        <f>IF(OR(NOT(ISNUMBER(G1254)),NOT(ISNUMBER(H1254))),"",H1254-G1254)</f>
        <v/>
      </c>
      <c r="J1254" s="319">
        <f>IF(OR(NOT(ISNUMBER(G1254)),NOT(ISNUMBER(H1254)),G1254=0),"",I1254/G1254)</f>
        <v/>
      </c>
      <c r="K1254" s="319">
        <f>IF(OR(NOT(ISNUMBER(G1254)),NOT(ISNUMBER(H1254)),G1254=0),"",H1254/G1254)</f>
        <v/>
      </c>
      <c r="L1254">
        <f>IF(NOT(ISNUMBER(G1254)),"SEM META",IF(G1254=0,"SEM META",IF(NOT(ISNUMBER(H1254)),"SEM APONTAMENTO",IF(H1254&gt;=G1254,"VERDE",IF(H1254&gt;=G1254*0.9,"AMARELO","VERMELHO")))))</f>
        <v/>
      </c>
      <c r="M1254" s="162" t="n"/>
      <c r="N1254" s="162" t="n"/>
      <c r="O1254" s="162" t="n"/>
      <c r="P1254" s="162" t="n"/>
      <c r="Q1254" s="320" t="n"/>
      <c r="R1254" s="162" t="inlineStr">
        <is>
          <t>CONTROLE PRODUÇÃO POR EMPRESAS!F214</t>
        </is>
      </c>
    </row>
    <row r="1255" ht="28.5" customHeight="1">
      <c r="A1255" s="317" t="n">
        <v>46431</v>
      </c>
      <c r="B1255" t="inlineStr">
        <is>
          <t>GERAL</t>
        </is>
      </c>
      <c r="C1255" t="inlineStr">
        <is>
          <t>CMM</t>
        </is>
      </c>
      <c r="D1255" t="inlineStr">
        <is>
          <t>VIGAS</t>
        </is>
      </c>
      <c r="F1255" s="159">
        <f>IFERROR(INDEX('BASE METAS DIÁRIAS'!$N$2:$S$358,MATCH($A1255,'BASE METAS DIÁRIAS'!$A$2:$A$358,0),MOD(ROW()-2,6)+1),"")</f>
        <v/>
      </c>
      <c r="G1255" s="159">
        <f>IFERROR(IF(WEEKDAY($A1255,2)&lt;=INDEX('BASE METAS DIÁRIAS'!$H$2:$M$358,MATCH($A1255,'BASE METAS DIÁRIAS'!$A$2:$A$358,0),MOD(ROW()-2,6)+1),INDEX('BASE METAS DIÁRIAS'!$B$2:$G$358,MATCH($A1255,'BASE METAS DIÁRIAS'!$A$2:$A$358,0),MOD(ROW()-2,6)+1),""),"")</f>
        <v/>
      </c>
      <c r="H1255" s="159">
        <f>IFERROR(IF(INDEX('CONTROLE PRODUÇÃO POR EMPRESAS'!$B$6:$G$5000,MATCH($A1255,'CONTROLE PRODUÇÃO POR EMPRESAS'!$A$6:$A$5000,0),MOD(ROW()-2,6)+1)="","",IFERROR(1*INDEX('CONTROLE PRODUÇÃO POR EMPRESAS'!$B$6:$G$5000,MATCH($A1255,'CONTROLE PRODUÇÃO POR EMPRESAS'!$A$6:$A$5000,0),MOD(ROW()-2,6)+1),"")),"")</f>
        <v/>
      </c>
      <c r="I1255" s="159">
        <f>IF(OR(NOT(ISNUMBER(G1255)),NOT(ISNUMBER(H1255))),"",H1255-G1255)</f>
        <v/>
      </c>
      <c r="J1255" s="319">
        <f>IF(OR(NOT(ISNUMBER(G1255)),NOT(ISNUMBER(H1255)),G1255=0),"",I1255/G1255)</f>
        <v/>
      </c>
      <c r="K1255" s="319">
        <f>IF(OR(NOT(ISNUMBER(G1255)),NOT(ISNUMBER(H1255)),G1255=0),"",H1255/G1255)</f>
        <v/>
      </c>
      <c r="L1255">
        <f>IF(NOT(ISNUMBER(G1255)),"SEM META",IF(G1255=0,"SEM META",IF(NOT(ISNUMBER(H1255)),"SEM APONTAMENTO",IF(H1255&gt;=G1255,"VERDE",IF(H1255&gt;=G1255*0.9,"AMARELO","VERMELHO")))))</f>
        <v/>
      </c>
      <c r="M1255" s="162" t="n"/>
      <c r="N1255" s="162" t="n"/>
      <c r="O1255" s="162" t="n"/>
      <c r="P1255" s="162" t="n"/>
      <c r="Q1255" s="320" t="n"/>
      <c r="R1255" s="162" t="inlineStr">
        <is>
          <t>CONTROLE PRODUÇÃO POR EMPRESAS!G214</t>
        </is>
      </c>
    </row>
    <row r="1256" ht="28.5" customHeight="1">
      <c r="A1256" s="317" t="n">
        <v>46432</v>
      </c>
      <c r="B1256" t="inlineStr">
        <is>
          <t>GERAL</t>
        </is>
      </c>
      <c r="C1256" t="inlineStr">
        <is>
          <t>EJ</t>
        </is>
      </c>
      <c r="D1256" t="inlineStr">
        <is>
          <t>PREMONTAGEM</t>
        </is>
      </c>
      <c r="F1256" s="159">
        <f>IFERROR(INDEX('BASE METAS DIÁRIAS'!$N$2:$S$358,MATCH($A1256,'BASE METAS DIÁRIAS'!$A$2:$A$358,0),MOD(ROW()-2,6)+1),"")</f>
        <v/>
      </c>
      <c r="G1256" s="159">
        <f>IFERROR(IF(WEEKDAY($A1256,2)&lt;=INDEX('BASE METAS DIÁRIAS'!$H$2:$M$358,MATCH($A1256,'BASE METAS DIÁRIAS'!$A$2:$A$358,0),MOD(ROW()-2,6)+1),INDEX('BASE METAS DIÁRIAS'!$B$2:$G$358,MATCH($A1256,'BASE METAS DIÁRIAS'!$A$2:$A$358,0),MOD(ROW()-2,6)+1),""),"")</f>
        <v/>
      </c>
      <c r="H1256" s="159">
        <f>IFERROR(IF(INDEX('CONTROLE PRODUÇÃO POR EMPRESAS'!$B$6:$G$5000,MATCH($A1256,'CONTROLE PRODUÇÃO POR EMPRESAS'!$A$6:$A$5000,0),MOD(ROW()-2,6)+1)="","",IFERROR(1*INDEX('CONTROLE PRODUÇÃO POR EMPRESAS'!$B$6:$G$5000,MATCH($A1256,'CONTROLE PRODUÇÃO POR EMPRESAS'!$A$6:$A$5000,0),MOD(ROW()-2,6)+1),"")),"")</f>
        <v/>
      </c>
      <c r="I1256" s="159">
        <f>IF(OR(NOT(ISNUMBER(G1256)),NOT(ISNUMBER(H1256))),"",H1256-G1256)</f>
        <v/>
      </c>
      <c r="J1256" s="319">
        <f>IF(OR(NOT(ISNUMBER(G1256)),NOT(ISNUMBER(H1256)),G1256=0),"",I1256/G1256)</f>
        <v/>
      </c>
      <c r="K1256" s="319">
        <f>IF(OR(NOT(ISNUMBER(G1256)),NOT(ISNUMBER(H1256)),G1256=0),"",H1256/G1256)</f>
        <v/>
      </c>
      <c r="L1256">
        <f>IF(NOT(ISNUMBER(G1256)),"SEM META",IF(G1256=0,"SEM META",IF(NOT(ISNUMBER(H1256)),"SEM APONTAMENTO",IF(H1256&gt;=G1256,"VERDE",IF(H1256&gt;=G1256*0.9,"AMARELO","VERMELHO")))))</f>
        <v/>
      </c>
      <c r="M1256" s="162" t="n"/>
      <c r="N1256" s="162" t="n"/>
      <c r="O1256" s="162" t="n"/>
      <c r="P1256" s="162" t="n"/>
      <c r="Q1256" s="320" t="n"/>
      <c r="R1256" s="162" t="inlineStr">
        <is>
          <t>CONTROLE PRODUÇÃO POR EMPRESAS!B215</t>
        </is>
      </c>
    </row>
    <row r="1257" ht="28.5" customHeight="1">
      <c r="A1257" s="317" t="n">
        <v>46432</v>
      </c>
      <c r="B1257" t="inlineStr">
        <is>
          <t>GERAL</t>
        </is>
      </c>
      <c r="C1257" t="inlineStr">
        <is>
          <t>EJ</t>
        </is>
      </c>
      <c r="D1257" t="inlineStr">
        <is>
          <t>IÇAMENTO JOIST</t>
        </is>
      </c>
      <c r="F1257" s="159">
        <f>IFERROR(INDEX('BASE METAS DIÁRIAS'!$N$2:$S$358,MATCH($A1257,'BASE METAS DIÁRIAS'!$A$2:$A$358,0),MOD(ROW()-2,6)+1),"")</f>
        <v/>
      </c>
      <c r="G1257" s="159">
        <f>IFERROR(IF(WEEKDAY($A1257,2)&lt;=INDEX('BASE METAS DIÁRIAS'!$H$2:$M$358,MATCH($A1257,'BASE METAS DIÁRIAS'!$A$2:$A$358,0),MOD(ROW()-2,6)+1),INDEX('BASE METAS DIÁRIAS'!$B$2:$G$358,MATCH($A1257,'BASE METAS DIÁRIAS'!$A$2:$A$358,0),MOD(ROW()-2,6)+1),""),"")</f>
        <v/>
      </c>
      <c r="H1257" s="159">
        <f>IFERROR(IF(INDEX('CONTROLE PRODUÇÃO POR EMPRESAS'!$B$6:$G$5000,MATCH($A1257,'CONTROLE PRODUÇÃO POR EMPRESAS'!$A$6:$A$5000,0),MOD(ROW()-2,6)+1)="","",IFERROR(1*INDEX('CONTROLE PRODUÇÃO POR EMPRESAS'!$B$6:$G$5000,MATCH($A1257,'CONTROLE PRODUÇÃO POR EMPRESAS'!$A$6:$A$5000,0),MOD(ROW()-2,6)+1),"")),"")</f>
        <v/>
      </c>
      <c r="I1257" s="159">
        <f>IF(OR(NOT(ISNUMBER(G1257)),NOT(ISNUMBER(H1257))),"",H1257-G1257)</f>
        <v/>
      </c>
      <c r="J1257" s="319">
        <f>IF(OR(NOT(ISNUMBER(G1257)),NOT(ISNUMBER(H1257)),G1257=0),"",I1257/G1257)</f>
        <v/>
      </c>
      <c r="K1257" s="319">
        <f>IF(OR(NOT(ISNUMBER(G1257)),NOT(ISNUMBER(H1257)),G1257=0),"",H1257/G1257)</f>
        <v/>
      </c>
      <c r="L1257">
        <f>IF(NOT(ISNUMBER(G1257)),"SEM META",IF(G1257=0,"SEM META",IF(NOT(ISNUMBER(H1257)),"SEM APONTAMENTO",IF(H1257&gt;=G1257,"VERDE",IF(H1257&gt;=G1257*0.9,"AMARELO","VERMELHO")))))</f>
        <v/>
      </c>
      <c r="M1257" s="162" t="n"/>
      <c r="N1257" s="162" t="n"/>
      <c r="O1257" s="162" t="n"/>
      <c r="P1257" s="162" t="n"/>
      <c r="Q1257" s="320" t="n"/>
      <c r="R1257" s="162" t="inlineStr">
        <is>
          <t>CONTROLE PRODUÇÃO POR EMPRESAS!C215</t>
        </is>
      </c>
    </row>
    <row r="1258" ht="28.5" customHeight="1">
      <c r="A1258" s="317" t="n">
        <v>46432</v>
      </c>
      <c r="B1258" t="inlineStr">
        <is>
          <t>GERAL</t>
        </is>
      </c>
      <c r="C1258" t="inlineStr">
        <is>
          <t>EJ</t>
        </is>
      </c>
      <c r="D1258" t="inlineStr">
        <is>
          <t>VIGAS</t>
        </is>
      </c>
      <c r="F1258" s="159">
        <f>IFERROR(INDEX('BASE METAS DIÁRIAS'!$N$2:$S$358,MATCH($A1258,'BASE METAS DIÁRIAS'!$A$2:$A$358,0),MOD(ROW()-2,6)+1),"")</f>
        <v/>
      </c>
      <c r="G1258" s="159">
        <f>IFERROR(IF(WEEKDAY($A1258,2)&lt;=INDEX('BASE METAS DIÁRIAS'!$H$2:$M$358,MATCH($A1258,'BASE METAS DIÁRIAS'!$A$2:$A$358,0),MOD(ROW()-2,6)+1),INDEX('BASE METAS DIÁRIAS'!$B$2:$G$358,MATCH($A1258,'BASE METAS DIÁRIAS'!$A$2:$A$358,0),MOD(ROW()-2,6)+1),""),"")</f>
        <v/>
      </c>
      <c r="H1258" s="159">
        <f>IFERROR(IF(INDEX('CONTROLE PRODUÇÃO POR EMPRESAS'!$B$6:$G$5000,MATCH($A1258,'CONTROLE PRODUÇÃO POR EMPRESAS'!$A$6:$A$5000,0),MOD(ROW()-2,6)+1)="","",IFERROR(1*INDEX('CONTROLE PRODUÇÃO POR EMPRESAS'!$B$6:$G$5000,MATCH($A1258,'CONTROLE PRODUÇÃO POR EMPRESAS'!$A$6:$A$5000,0),MOD(ROW()-2,6)+1),"")),"")</f>
        <v/>
      </c>
      <c r="I1258" s="159">
        <f>IF(OR(NOT(ISNUMBER(G1258)),NOT(ISNUMBER(H1258))),"",H1258-G1258)</f>
        <v/>
      </c>
      <c r="J1258" s="319">
        <f>IF(OR(NOT(ISNUMBER(G1258)),NOT(ISNUMBER(H1258)),G1258=0),"",I1258/G1258)</f>
        <v/>
      </c>
      <c r="K1258" s="319">
        <f>IF(OR(NOT(ISNUMBER(G1258)),NOT(ISNUMBER(H1258)),G1258=0),"",H1258/G1258)</f>
        <v/>
      </c>
      <c r="L1258">
        <f>IF(NOT(ISNUMBER(G1258)),"SEM META",IF(G1258=0,"SEM META",IF(NOT(ISNUMBER(H1258)),"SEM APONTAMENTO",IF(H1258&gt;=G1258,"VERDE",IF(H1258&gt;=G1258*0.9,"AMARELO","VERMELHO")))))</f>
        <v/>
      </c>
      <c r="M1258" s="162" t="n"/>
      <c r="N1258" s="162" t="n"/>
      <c r="O1258" s="162" t="n"/>
      <c r="P1258" s="162" t="n"/>
      <c r="Q1258" s="320" t="n"/>
      <c r="R1258" s="162" t="inlineStr">
        <is>
          <t>CONTROLE PRODUÇÃO POR EMPRESAS!D215</t>
        </is>
      </c>
    </row>
    <row r="1259" ht="28.5" customHeight="1">
      <c r="A1259" s="317" t="n">
        <v>46432</v>
      </c>
      <c r="B1259" t="inlineStr">
        <is>
          <t>GERAL</t>
        </is>
      </c>
      <c r="C1259" t="inlineStr">
        <is>
          <t>CMM</t>
        </is>
      </c>
      <c r="D1259" t="inlineStr">
        <is>
          <t>PREMONTAGEM</t>
        </is>
      </c>
      <c r="F1259" s="159">
        <f>IFERROR(INDEX('BASE METAS DIÁRIAS'!$N$2:$S$358,MATCH($A1259,'BASE METAS DIÁRIAS'!$A$2:$A$358,0),MOD(ROW()-2,6)+1),"")</f>
        <v/>
      </c>
      <c r="G1259" s="159">
        <f>IFERROR(IF(WEEKDAY($A1259,2)&lt;=INDEX('BASE METAS DIÁRIAS'!$H$2:$M$358,MATCH($A1259,'BASE METAS DIÁRIAS'!$A$2:$A$358,0),MOD(ROW()-2,6)+1),INDEX('BASE METAS DIÁRIAS'!$B$2:$G$358,MATCH($A1259,'BASE METAS DIÁRIAS'!$A$2:$A$358,0),MOD(ROW()-2,6)+1),""),"")</f>
        <v/>
      </c>
      <c r="H1259" s="159">
        <f>IFERROR(IF(INDEX('CONTROLE PRODUÇÃO POR EMPRESAS'!$B$6:$G$5000,MATCH($A1259,'CONTROLE PRODUÇÃO POR EMPRESAS'!$A$6:$A$5000,0),MOD(ROW()-2,6)+1)="","",IFERROR(1*INDEX('CONTROLE PRODUÇÃO POR EMPRESAS'!$B$6:$G$5000,MATCH($A1259,'CONTROLE PRODUÇÃO POR EMPRESAS'!$A$6:$A$5000,0),MOD(ROW()-2,6)+1),"")),"")</f>
        <v/>
      </c>
      <c r="I1259" s="159">
        <f>IF(OR(NOT(ISNUMBER(G1259)),NOT(ISNUMBER(H1259))),"",H1259-G1259)</f>
        <v/>
      </c>
      <c r="J1259" s="319">
        <f>IF(OR(NOT(ISNUMBER(G1259)),NOT(ISNUMBER(H1259)),G1259=0),"",I1259/G1259)</f>
        <v/>
      </c>
      <c r="K1259" s="319">
        <f>IF(OR(NOT(ISNUMBER(G1259)),NOT(ISNUMBER(H1259)),G1259=0),"",H1259/G1259)</f>
        <v/>
      </c>
      <c r="L1259">
        <f>IF(NOT(ISNUMBER(G1259)),"SEM META",IF(G1259=0,"SEM META",IF(NOT(ISNUMBER(H1259)),"SEM APONTAMENTO",IF(H1259&gt;=G1259,"VERDE",IF(H1259&gt;=G1259*0.9,"AMARELO","VERMELHO")))))</f>
        <v/>
      </c>
      <c r="M1259" s="162" t="n"/>
      <c r="N1259" s="162" t="n"/>
      <c r="O1259" s="162" t="n"/>
      <c r="P1259" s="162" t="n"/>
      <c r="Q1259" s="320" t="n"/>
      <c r="R1259" s="162" t="inlineStr">
        <is>
          <t>CONTROLE PRODUÇÃO POR EMPRESAS!E215</t>
        </is>
      </c>
    </row>
    <row r="1260" ht="28.5" customHeight="1">
      <c r="A1260" s="317" t="n">
        <v>46432</v>
      </c>
      <c r="B1260" t="inlineStr">
        <is>
          <t>GERAL</t>
        </is>
      </c>
      <c r="C1260" t="inlineStr">
        <is>
          <t>CMM</t>
        </is>
      </c>
      <c r="D1260" t="inlineStr">
        <is>
          <t>IÇAMENTO JOIST</t>
        </is>
      </c>
      <c r="F1260" s="159">
        <f>IFERROR(INDEX('BASE METAS DIÁRIAS'!$N$2:$S$358,MATCH($A1260,'BASE METAS DIÁRIAS'!$A$2:$A$358,0),MOD(ROW()-2,6)+1),"")</f>
        <v/>
      </c>
      <c r="G1260" s="159">
        <f>IFERROR(IF(WEEKDAY($A1260,2)&lt;=INDEX('BASE METAS DIÁRIAS'!$H$2:$M$358,MATCH($A1260,'BASE METAS DIÁRIAS'!$A$2:$A$358,0),MOD(ROW()-2,6)+1),INDEX('BASE METAS DIÁRIAS'!$B$2:$G$358,MATCH($A1260,'BASE METAS DIÁRIAS'!$A$2:$A$358,0),MOD(ROW()-2,6)+1),""),"")</f>
        <v/>
      </c>
      <c r="H1260" s="159">
        <f>IFERROR(IF(INDEX('CONTROLE PRODUÇÃO POR EMPRESAS'!$B$6:$G$5000,MATCH($A1260,'CONTROLE PRODUÇÃO POR EMPRESAS'!$A$6:$A$5000,0),MOD(ROW()-2,6)+1)="","",IFERROR(1*INDEX('CONTROLE PRODUÇÃO POR EMPRESAS'!$B$6:$G$5000,MATCH($A1260,'CONTROLE PRODUÇÃO POR EMPRESAS'!$A$6:$A$5000,0),MOD(ROW()-2,6)+1),"")),"")</f>
        <v/>
      </c>
      <c r="I1260" s="159">
        <f>IF(OR(NOT(ISNUMBER(G1260)),NOT(ISNUMBER(H1260))),"",H1260-G1260)</f>
        <v/>
      </c>
      <c r="J1260" s="319">
        <f>IF(OR(NOT(ISNUMBER(G1260)),NOT(ISNUMBER(H1260)),G1260=0),"",I1260/G1260)</f>
        <v/>
      </c>
      <c r="K1260" s="319">
        <f>IF(OR(NOT(ISNUMBER(G1260)),NOT(ISNUMBER(H1260)),G1260=0),"",H1260/G1260)</f>
        <v/>
      </c>
      <c r="L1260">
        <f>IF(NOT(ISNUMBER(G1260)),"SEM META",IF(G1260=0,"SEM META",IF(NOT(ISNUMBER(H1260)),"SEM APONTAMENTO",IF(H1260&gt;=G1260,"VERDE",IF(H1260&gt;=G1260*0.9,"AMARELO","VERMELHO")))))</f>
        <v/>
      </c>
      <c r="M1260" s="162" t="n"/>
      <c r="N1260" s="162" t="n"/>
      <c r="O1260" s="162" t="n"/>
      <c r="P1260" s="162" t="n"/>
      <c r="Q1260" s="320" t="n"/>
      <c r="R1260" s="162" t="inlineStr">
        <is>
          <t>CONTROLE PRODUÇÃO POR EMPRESAS!F215</t>
        </is>
      </c>
    </row>
    <row r="1261" ht="28.5" customHeight="1">
      <c r="A1261" s="317" t="n">
        <v>46432</v>
      </c>
      <c r="B1261" t="inlineStr">
        <is>
          <t>GERAL</t>
        </is>
      </c>
      <c r="C1261" t="inlineStr">
        <is>
          <t>CMM</t>
        </is>
      </c>
      <c r="D1261" t="inlineStr">
        <is>
          <t>VIGAS</t>
        </is>
      </c>
      <c r="F1261" s="159">
        <f>IFERROR(INDEX('BASE METAS DIÁRIAS'!$N$2:$S$358,MATCH($A1261,'BASE METAS DIÁRIAS'!$A$2:$A$358,0),MOD(ROW()-2,6)+1),"")</f>
        <v/>
      </c>
      <c r="G1261" s="159">
        <f>IFERROR(IF(WEEKDAY($A1261,2)&lt;=INDEX('BASE METAS DIÁRIAS'!$H$2:$M$358,MATCH($A1261,'BASE METAS DIÁRIAS'!$A$2:$A$358,0),MOD(ROW()-2,6)+1),INDEX('BASE METAS DIÁRIAS'!$B$2:$G$358,MATCH($A1261,'BASE METAS DIÁRIAS'!$A$2:$A$358,0),MOD(ROW()-2,6)+1),""),"")</f>
        <v/>
      </c>
      <c r="H1261" s="159">
        <f>IFERROR(IF(INDEX('CONTROLE PRODUÇÃO POR EMPRESAS'!$B$6:$G$5000,MATCH($A1261,'CONTROLE PRODUÇÃO POR EMPRESAS'!$A$6:$A$5000,0),MOD(ROW()-2,6)+1)="","",IFERROR(1*INDEX('CONTROLE PRODUÇÃO POR EMPRESAS'!$B$6:$G$5000,MATCH($A1261,'CONTROLE PRODUÇÃO POR EMPRESAS'!$A$6:$A$5000,0),MOD(ROW()-2,6)+1),"")),"")</f>
        <v/>
      </c>
      <c r="I1261" s="159">
        <f>IF(OR(NOT(ISNUMBER(G1261)),NOT(ISNUMBER(H1261))),"",H1261-G1261)</f>
        <v/>
      </c>
      <c r="J1261" s="319">
        <f>IF(OR(NOT(ISNUMBER(G1261)),NOT(ISNUMBER(H1261)),G1261=0),"",I1261/G1261)</f>
        <v/>
      </c>
      <c r="K1261" s="319">
        <f>IF(OR(NOT(ISNUMBER(G1261)),NOT(ISNUMBER(H1261)),G1261=0),"",H1261/G1261)</f>
        <v/>
      </c>
      <c r="L1261">
        <f>IF(NOT(ISNUMBER(G1261)),"SEM META",IF(G1261=0,"SEM META",IF(NOT(ISNUMBER(H1261)),"SEM APONTAMENTO",IF(H1261&gt;=G1261,"VERDE",IF(H1261&gt;=G1261*0.9,"AMARELO","VERMELHO")))))</f>
        <v/>
      </c>
      <c r="M1261" s="162" t="n"/>
      <c r="N1261" s="162" t="n"/>
      <c r="O1261" s="162" t="n"/>
      <c r="P1261" s="162" t="n"/>
      <c r="Q1261" s="320" t="n"/>
      <c r="R1261" s="162" t="inlineStr">
        <is>
          <t>CONTROLE PRODUÇÃO POR EMPRESAS!G215</t>
        </is>
      </c>
    </row>
    <row r="1262" ht="28.5" customHeight="1">
      <c r="A1262" s="317" t="n">
        <v>46433</v>
      </c>
      <c r="B1262" t="inlineStr">
        <is>
          <t>GERAL</t>
        </is>
      </c>
      <c r="C1262" t="inlineStr">
        <is>
          <t>EJ</t>
        </is>
      </c>
      <c r="D1262" t="inlineStr">
        <is>
          <t>PREMONTAGEM</t>
        </is>
      </c>
      <c r="F1262" s="159">
        <f>IFERROR(INDEX('BASE METAS DIÁRIAS'!$N$2:$S$358,MATCH($A1262,'BASE METAS DIÁRIAS'!$A$2:$A$358,0),MOD(ROW()-2,6)+1),"")</f>
        <v/>
      </c>
      <c r="G1262" s="159">
        <f>IFERROR(IF(WEEKDAY($A1262,2)&lt;=INDEX('BASE METAS DIÁRIAS'!$H$2:$M$358,MATCH($A1262,'BASE METAS DIÁRIAS'!$A$2:$A$358,0),MOD(ROW()-2,6)+1),INDEX('BASE METAS DIÁRIAS'!$B$2:$G$358,MATCH($A1262,'BASE METAS DIÁRIAS'!$A$2:$A$358,0),MOD(ROW()-2,6)+1),""),"")</f>
        <v/>
      </c>
      <c r="H1262" s="159">
        <f>IFERROR(IF(INDEX('CONTROLE PRODUÇÃO POR EMPRESAS'!$B$6:$G$5000,MATCH($A1262,'CONTROLE PRODUÇÃO POR EMPRESAS'!$A$6:$A$5000,0),MOD(ROW()-2,6)+1)="","",IFERROR(1*INDEX('CONTROLE PRODUÇÃO POR EMPRESAS'!$B$6:$G$5000,MATCH($A1262,'CONTROLE PRODUÇÃO POR EMPRESAS'!$A$6:$A$5000,0),MOD(ROW()-2,6)+1),"")),"")</f>
        <v/>
      </c>
      <c r="I1262" s="159">
        <f>IF(OR(NOT(ISNUMBER(G1262)),NOT(ISNUMBER(H1262))),"",H1262-G1262)</f>
        <v/>
      </c>
      <c r="J1262" s="319">
        <f>IF(OR(NOT(ISNUMBER(G1262)),NOT(ISNUMBER(H1262)),G1262=0),"",I1262/G1262)</f>
        <v/>
      </c>
      <c r="K1262" s="319">
        <f>IF(OR(NOT(ISNUMBER(G1262)),NOT(ISNUMBER(H1262)),G1262=0),"",H1262/G1262)</f>
        <v/>
      </c>
      <c r="L1262">
        <f>IF(NOT(ISNUMBER(G1262)),"SEM META",IF(G1262=0,"SEM META",IF(NOT(ISNUMBER(H1262)),"SEM APONTAMENTO",IF(H1262&gt;=G1262,"VERDE",IF(H1262&gt;=G1262*0.9,"AMARELO","VERMELHO")))))</f>
        <v/>
      </c>
      <c r="M1262" s="162" t="n"/>
      <c r="N1262" s="162" t="n"/>
      <c r="O1262" s="162" t="n"/>
      <c r="P1262" s="162" t="n"/>
      <c r="Q1262" s="320" t="n"/>
      <c r="R1262" s="162" t="inlineStr">
        <is>
          <t>CONTROLE PRODUÇÃO POR EMPRESAS!B216</t>
        </is>
      </c>
    </row>
    <row r="1263" ht="28.5" customHeight="1">
      <c r="A1263" s="317" t="n">
        <v>46433</v>
      </c>
      <c r="B1263" t="inlineStr">
        <is>
          <t>GERAL</t>
        </is>
      </c>
      <c r="C1263" t="inlineStr">
        <is>
          <t>EJ</t>
        </is>
      </c>
      <c r="D1263" t="inlineStr">
        <is>
          <t>IÇAMENTO JOIST</t>
        </is>
      </c>
      <c r="F1263" s="159">
        <f>IFERROR(INDEX('BASE METAS DIÁRIAS'!$N$2:$S$358,MATCH($A1263,'BASE METAS DIÁRIAS'!$A$2:$A$358,0),MOD(ROW()-2,6)+1),"")</f>
        <v/>
      </c>
      <c r="G1263" s="159">
        <f>IFERROR(IF(WEEKDAY($A1263,2)&lt;=INDEX('BASE METAS DIÁRIAS'!$H$2:$M$358,MATCH($A1263,'BASE METAS DIÁRIAS'!$A$2:$A$358,0),MOD(ROW()-2,6)+1),INDEX('BASE METAS DIÁRIAS'!$B$2:$G$358,MATCH($A1263,'BASE METAS DIÁRIAS'!$A$2:$A$358,0),MOD(ROW()-2,6)+1),""),"")</f>
        <v/>
      </c>
      <c r="H1263" s="159">
        <f>IFERROR(IF(INDEX('CONTROLE PRODUÇÃO POR EMPRESAS'!$B$6:$G$5000,MATCH($A1263,'CONTROLE PRODUÇÃO POR EMPRESAS'!$A$6:$A$5000,0),MOD(ROW()-2,6)+1)="","",IFERROR(1*INDEX('CONTROLE PRODUÇÃO POR EMPRESAS'!$B$6:$G$5000,MATCH($A1263,'CONTROLE PRODUÇÃO POR EMPRESAS'!$A$6:$A$5000,0),MOD(ROW()-2,6)+1),"")),"")</f>
        <v/>
      </c>
      <c r="I1263" s="159">
        <f>IF(OR(NOT(ISNUMBER(G1263)),NOT(ISNUMBER(H1263))),"",H1263-G1263)</f>
        <v/>
      </c>
      <c r="J1263" s="319">
        <f>IF(OR(NOT(ISNUMBER(G1263)),NOT(ISNUMBER(H1263)),G1263=0),"",I1263/G1263)</f>
        <v/>
      </c>
      <c r="K1263" s="319">
        <f>IF(OR(NOT(ISNUMBER(G1263)),NOT(ISNUMBER(H1263)),G1263=0),"",H1263/G1263)</f>
        <v/>
      </c>
      <c r="L1263">
        <f>IF(NOT(ISNUMBER(G1263)),"SEM META",IF(G1263=0,"SEM META",IF(NOT(ISNUMBER(H1263)),"SEM APONTAMENTO",IF(H1263&gt;=G1263,"VERDE",IF(H1263&gt;=G1263*0.9,"AMARELO","VERMELHO")))))</f>
        <v/>
      </c>
      <c r="M1263" s="162" t="n"/>
      <c r="N1263" s="162" t="n"/>
      <c r="O1263" s="162" t="n"/>
      <c r="P1263" s="162" t="n"/>
      <c r="Q1263" s="320" t="n"/>
      <c r="R1263" s="162" t="inlineStr">
        <is>
          <t>CONTROLE PRODUÇÃO POR EMPRESAS!C216</t>
        </is>
      </c>
    </row>
    <row r="1264" ht="28.5" customHeight="1">
      <c r="A1264" s="317" t="n">
        <v>46433</v>
      </c>
      <c r="B1264" t="inlineStr">
        <is>
          <t>GERAL</t>
        </is>
      </c>
      <c r="C1264" t="inlineStr">
        <is>
          <t>EJ</t>
        </is>
      </c>
      <c r="D1264" t="inlineStr">
        <is>
          <t>VIGAS</t>
        </is>
      </c>
      <c r="F1264" s="159">
        <f>IFERROR(INDEX('BASE METAS DIÁRIAS'!$N$2:$S$358,MATCH($A1264,'BASE METAS DIÁRIAS'!$A$2:$A$358,0),MOD(ROW()-2,6)+1),"")</f>
        <v/>
      </c>
      <c r="G1264" s="159">
        <f>IFERROR(IF(WEEKDAY($A1264,2)&lt;=INDEX('BASE METAS DIÁRIAS'!$H$2:$M$358,MATCH($A1264,'BASE METAS DIÁRIAS'!$A$2:$A$358,0),MOD(ROW()-2,6)+1),INDEX('BASE METAS DIÁRIAS'!$B$2:$G$358,MATCH($A1264,'BASE METAS DIÁRIAS'!$A$2:$A$358,0),MOD(ROW()-2,6)+1),""),"")</f>
        <v/>
      </c>
      <c r="H1264" s="159">
        <f>IFERROR(IF(INDEX('CONTROLE PRODUÇÃO POR EMPRESAS'!$B$6:$G$5000,MATCH($A1264,'CONTROLE PRODUÇÃO POR EMPRESAS'!$A$6:$A$5000,0),MOD(ROW()-2,6)+1)="","",IFERROR(1*INDEX('CONTROLE PRODUÇÃO POR EMPRESAS'!$B$6:$G$5000,MATCH($A1264,'CONTROLE PRODUÇÃO POR EMPRESAS'!$A$6:$A$5000,0),MOD(ROW()-2,6)+1),"")),"")</f>
        <v/>
      </c>
      <c r="I1264" s="159">
        <f>IF(OR(NOT(ISNUMBER(G1264)),NOT(ISNUMBER(H1264))),"",H1264-G1264)</f>
        <v/>
      </c>
      <c r="J1264" s="319">
        <f>IF(OR(NOT(ISNUMBER(G1264)),NOT(ISNUMBER(H1264)),G1264=0),"",I1264/G1264)</f>
        <v/>
      </c>
      <c r="K1264" s="319">
        <f>IF(OR(NOT(ISNUMBER(G1264)),NOT(ISNUMBER(H1264)),G1264=0),"",H1264/G1264)</f>
        <v/>
      </c>
      <c r="L1264">
        <f>IF(NOT(ISNUMBER(G1264)),"SEM META",IF(G1264=0,"SEM META",IF(NOT(ISNUMBER(H1264)),"SEM APONTAMENTO",IF(H1264&gt;=G1264,"VERDE",IF(H1264&gt;=G1264*0.9,"AMARELO","VERMELHO")))))</f>
        <v/>
      </c>
      <c r="M1264" s="162" t="n"/>
      <c r="N1264" s="162" t="n"/>
      <c r="O1264" s="162" t="n"/>
      <c r="P1264" s="162" t="n"/>
      <c r="Q1264" s="320" t="n"/>
      <c r="R1264" s="162" t="inlineStr">
        <is>
          <t>CONTROLE PRODUÇÃO POR EMPRESAS!D216</t>
        </is>
      </c>
    </row>
    <row r="1265" ht="28.5" customHeight="1">
      <c r="A1265" s="317" t="n">
        <v>46433</v>
      </c>
      <c r="B1265" t="inlineStr">
        <is>
          <t>GERAL</t>
        </is>
      </c>
      <c r="C1265" t="inlineStr">
        <is>
          <t>CMM</t>
        </is>
      </c>
      <c r="D1265" t="inlineStr">
        <is>
          <t>PREMONTAGEM</t>
        </is>
      </c>
      <c r="F1265" s="159">
        <f>IFERROR(INDEX('BASE METAS DIÁRIAS'!$N$2:$S$358,MATCH($A1265,'BASE METAS DIÁRIAS'!$A$2:$A$358,0),MOD(ROW()-2,6)+1),"")</f>
        <v/>
      </c>
      <c r="G1265" s="159">
        <f>IFERROR(IF(WEEKDAY($A1265,2)&lt;=INDEX('BASE METAS DIÁRIAS'!$H$2:$M$358,MATCH($A1265,'BASE METAS DIÁRIAS'!$A$2:$A$358,0),MOD(ROW()-2,6)+1),INDEX('BASE METAS DIÁRIAS'!$B$2:$G$358,MATCH($A1265,'BASE METAS DIÁRIAS'!$A$2:$A$358,0),MOD(ROW()-2,6)+1),""),"")</f>
        <v/>
      </c>
      <c r="H1265" s="159">
        <f>IFERROR(IF(INDEX('CONTROLE PRODUÇÃO POR EMPRESAS'!$B$6:$G$5000,MATCH($A1265,'CONTROLE PRODUÇÃO POR EMPRESAS'!$A$6:$A$5000,0),MOD(ROW()-2,6)+1)="","",IFERROR(1*INDEX('CONTROLE PRODUÇÃO POR EMPRESAS'!$B$6:$G$5000,MATCH($A1265,'CONTROLE PRODUÇÃO POR EMPRESAS'!$A$6:$A$5000,0),MOD(ROW()-2,6)+1),"")),"")</f>
        <v/>
      </c>
      <c r="I1265" s="159">
        <f>IF(OR(NOT(ISNUMBER(G1265)),NOT(ISNUMBER(H1265))),"",H1265-G1265)</f>
        <v/>
      </c>
      <c r="J1265" s="319">
        <f>IF(OR(NOT(ISNUMBER(G1265)),NOT(ISNUMBER(H1265)),G1265=0),"",I1265/G1265)</f>
        <v/>
      </c>
      <c r="K1265" s="319">
        <f>IF(OR(NOT(ISNUMBER(G1265)),NOT(ISNUMBER(H1265)),G1265=0),"",H1265/G1265)</f>
        <v/>
      </c>
      <c r="L1265">
        <f>IF(NOT(ISNUMBER(G1265)),"SEM META",IF(G1265=0,"SEM META",IF(NOT(ISNUMBER(H1265)),"SEM APONTAMENTO",IF(H1265&gt;=G1265,"VERDE",IF(H1265&gt;=G1265*0.9,"AMARELO","VERMELHO")))))</f>
        <v/>
      </c>
      <c r="M1265" s="162" t="n"/>
      <c r="N1265" s="162" t="n"/>
      <c r="O1265" s="162" t="n"/>
      <c r="P1265" s="162" t="n"/>
      <c r="Q1265" s="320" t="n"/>
      <c r="R1265" s="162" t="inlineStr">
        <is>
          <t>CONTROLE PRODUÇÃO POR EMPRESAS!E216</t>
        </is>
      </c>
    </row>
    <row r="1266" ht="28.5" customHeight="1">
      <c r="A1266" s="317" t="n">
        <v>46433</v>
      </c>
      <c r="B1266" t="inlineStr">
        <is>
          <t>GERAL</t>
        </is>
      </c>
      <c r="C1266" t="inlineStr">
        <is>
          <t>CMM</t>
        </is>
      </c>
      <c r="D1266" t="inlineStr">
        <is>
          <t>IÇAMENTO JOIST</t>
        </is>
      </c>
      <c r="F1266" s="159">
        <f>IFERROR(INDEX('BASE METAS DIÁRIAS'!$N$2:$S$358,MATCH($A1266,'BASE METAS DIÁRIAS'!$A$2:$A$358,0),MOD(ROW()-2,6)+1),"")</f>
        <v/>
      </c>
      <c r="G1266" s="159">
        <f>IFERROR(IF(WEEKDAY($A1266,2)&lt;=INDEX('BASE METAS DIÁRIAS'!$H$2:$M$358,MATCH($A1266,'BASE METAS DIÁRIAS'!$A$2:$A$358,0),MOD(ROW()-2,6)+1),INDEX('BASE METAS DIÁRIAS'!$B$2:$G$358,MATCH($A1266,'BASE METAS DIÁRIAS'!$A$2:$A$358,0),MOD(ROW()-2,6)+1),""),"")</f>
        <v/>
      </c>
      <c r="H1266" s="159">
        <f>IFERROR(IF(INDEX('CONTROLE PRODUÇÃO POR EMPRESAS'!$B$6:$G$5000,MATCH($A1266,'CONTROLE PRODUÇÃO POR EMPRESAS'!$A$6:$A$5000,0),MOD(ROW()-2,6)+1)="","",IFERROR(1*INDEX('CONTROLE PRODUÇÃO POR EMPRESAS'!$B$6:$G$5000,MATCH($A1266,'CONTROLE PRODUÇÃO POR EMPRESAS'!$A$6:$A$5000,0),MOD(ROW()-2,6)+1),"")),"")</f>
        <v/>
      </c>
      <c r="I1266" s="159">
        <f>IF(OR(NOT(ISNUMBER(G1266)),NOT(ISNUMBER(H1266))),"",H1266-G1266)</f>
        <v/>
      </c>
      <c r="J1266" s="319">
        <f>IF(OR(NOT(ISNUMBER(G1266)),NOT(ISNUMBER(H1266)),G1266=0),"",I1266/G1266)</f>
        <v/>
      </c>
      <c r="K1266" s="319">
        <f>IF(OR(NOT(ISNUMBER(G1266)),NOT(ISNUMBER(H1266)),G1266=0),"",H1266/G1266)</f>
        <v/>
      </c>
      <c r="L1266">
        <f>IF(NOT(ISNUMBER(G1266)),"SEM META",IF(G1266=0,"SEM META",IF(NOT(ISNUMBER(H1266)),"SEM APONTAMENTO",IF(H1266&gt;=G1266,"VERDE",IF(H1266&gt;=G1266*0.9,"AMARELO","VERMELHO")))))</f>
        <v/>
      </c>
      <c r="M1266" s="162" t="n"/>
      <c r="N1266" s="162" t="n"/>
      <c r="O1266" s="162" t="n"/>
      <c r="P1266" s="162" t="n"/>
      <c r="Q1266" s="320" t="n"/>
      <c r="R1266" s="162" t="inlineStr">
        <is>
          <t>CONTROLE PRODUÇÃO POR EMPRESAS!F216</t>
        </is>
      </c>
    </row>
    <row r="1267" ht="28.5" customHeight="1">
      <c r="A1267" s="317" t="n">
        <v>46433</v>
      </c>
      <c r="B1267" t="inlineStr">
        <is>
          <t>GERAL</t>
        </is>
      </c>
      <c r="C1267" t="inlineStr">
        <is>
          <t>CMM</t>
        </is>
      </c>
      <c r="D1267" t="inlineStr">
        <is>
          <t>VIGAS</t>
        </is>
      </c>
      <c r="F1267" s="159">
        <f>IFERROR(INDEX('BASE METAS DIÁRIAS'!$N$2:$S$358,MATCH($A1267,'BASE METAS DIÁRIAS'!$A$2:$A$358,0),MOD(ROW()-2,6)+1),"")</f>
        <v/>
      </c>
      <c r="G1267" s="159">
        <f>IFERROR(IF(WEEKDAY($A1267,2)&lt;=INDEX('BASE METAS DIÁRIAS'!$H$2:$M$358,MATCH($A1267,'BASE METAS DIÁRIAS'!$A$2:$A$358,0),MOD(ROW()-2,6)+1),INDEX('BASE METAS DIÁRIAS'!$B$2:$G$358,MATCH($A1267,'BASE METAS DIÁRIAS'!$A$2:$A$358,0),MOD(ROW()-2,6)+1),""),"")</f>
        <v/>
      </c>
      <c r="H1267" s="159">
        <f>IFERROR(IF(INDEX('CONTROLE PRODUÇÃO POR EMPRESAS'!$B$6:$G$5000,MATCH($A1267,'CONTROLE PRODUÇÃO POR EMPRESAS'!$A$6:$A$5000,0),MOD(ROW()-2,6)+1)="","",IFERROR(1*INDEX('CONTROLE PRODUÇÃO POR EMPRESAS'!$B$6:$G$5000,MATCH($A1267,'CONTROLE PRODUÇÃO POR EMPRESAS'!$A$6:$A$5000,0),MOD(ROW()-2,6)+1),"")),"")</f>
        <v/>
      </c>
      <c r="I1267" s="159">
        <f>IF(OR(NOT(ISNUMBER(G1267)),NOT(ISNUMBER(H1267))),"",H1267-G1267)</f>
        <v/>
      </c>
      <c r="J1267" s="319">
        <f>IF(OR(NOT(ISNUMBER(G1267)),NOT(ISNUMBER(H1267)),G1267=0),"",I1267/G1267)</f>
        <v/>
      </c>
      <c r="K1267" s="319">
        <f>IF(OR(NOT(ISNUMBER(G1267)),NOT(ISNUMBER(H1267)),G1267=0),"",H1267/G1267)</f>
        <v/>
      </c>
      <c r="L1267">
        <f>IF(NOT(ISNUMBER(G1267)),"SEM META",IF(G1267=0,"SEM META",IF(NOT(ISNUMBER(H1267)),"SEM APONTAMENTO",IF(H1267&gt;=G1267,"VERDE",IF(H1267&gt;=G1267*0.9,"AMARELO","VERMELHO")))))</f>
        <v/>
      </c>
      <c r="M1267" s="162" t="n"/>
      <c r="N1267" s="162" t="n"/>
      <c r="O1267" s="162" t="n"/>
      <c r="P1267" s="162" t="n"/>
      <c r="Q1267" s="320" t="n"/>
      <c r="R1267" s="162" t="inlineStr">
        <is>
          <t>CONTROLE PRODUÇÃO POR EMPRESAS!G216</t>
        </is>
      </c>
    </row>
    <row r="1268" ht="28.5" customHeight="1">
      <c r="A1268" s="317" t="n">
        <v>46434</v>
      </c>
      <c r="B1268" t="inlineStr">
        <is>
          <t>GERAL</t>
        </is>
      </c>
      <c r="C1268" t="inlineStr">
        <is>
          <t>EJ</t>
        </is>
      </c>
      <c r="D1268" t="inlineStr">
        <is>
          <t>PREMONTAGEM</t>
        </is>
      </c>
      <c r="F1268" s="159">
        <f>IFERROR(INDEX('BASE METAS DIÁRIAS'!$N$2:$S$358,MATCH($A1268,'BASE METAS DIÁRIAS'!$A$2:$A$358,0),MOD(ROW()-2,6)+1),"")</f>
        <v/>
      </c>
      <c r="G1268" s="159">
        <f>IFERROR(IF(WEEKDAY($A1268,2)&lt;=INDEX('BASE METAS DIÁRIAS'!$H$2:$M$358,MATCH($A1268,'BASE METAS DIÁRIAS'!$A$2:$A$358,0),MOD(ROW()-2,6)+1),INDEX('BASE METAS DIÁRIAS'!$B$2:$G$358,MATCH($A1268,'BASE METAS DIÁRIAS'!$A$2:$A$358,0),MOD(ROW()-2,6)+1),""),"")</f>
        <v/>
      </c>
      <c r="H1268" s="159">
        <f>IFERROR(IF(INDEX('CONTROLE PRODUÇÃO POR EMPRESAS'!$B$6:$G$5000,MATCH($A1268,'CONTROLE PRODUÇÃO POR EMPRESAS'!$A$6:$A$5000,0),MOD(ROW()-2,6)+1)="","",IFERROR(1*INDEX('CONTROLE PRODUÇÃO POR EMPRESAS'!$B$6:$G$5000,MATCH($A1268,'CONTROLE PRODUÇÃO POR EMPRESAS'!$A$6:$A$5000,0),MOD(ROW()-2,6)+1),"")),"")</f>
        <v/>
      </c>
      <c r="I1268" s="159">
        <f>IF(OR(NOT(ISNUMBER(G1268)),NOT(ISNUMBER(H1268))),"",H1268-G1268)</f>
        <v/>
      </c>
      <c r="J1268" s="319">
        <f>IF(OR(NOT(ISNUMBER(G1268)),NOT(ISNUMBER(H1268)),G1268=0),"",I1268/G1268)</f>
        <v/>
      </c>
      <c r="K1268" s="319">
        <f>IF(OR(NOT(ISNUMBER(G1268)),NOT(ISNUMBER(H1268)),G1268=0),"",H1268/G1268)</f>
        <v/>
      </c>
      <c r="L1268">
        <f>IF(NOT(ISNUMBER(G1268)),"SEM META",IF(G1268=0,"SEM META",IF(NOT(ISNUMBER(H1268)),"SEM APONTAMENTO",IF(H1268&gt;=G1268,"VERDE",IF(H1268&gt;=G1268*0.9,"AMARELO","VERMELHO")))))</f>
        <v/>
      </c>
      <c r="M1268" s="162" t="n"/>
      <c r="N1268" s="162" t="n"/>
      <c r="O1268" s="162" t="n"/>
      <c r="P1268" s="162" t="n"/>
      <c r="Q1268" s="320" t="n"/>
      <c r="R1268" s="162" t="inlineStr">
        <is>
          <t>CONTROLE PRODUÇÃO POR EMPRESAS!B217</t>
        </is>
      </c>
    </row>
    <row r="1269" ht="28.5" customHeight="1">
      <c r="A1269" s="317" t="n">
        <v>46434</v>
      </c>
      <c r="B1269" t="inlineStr">
        <is>
          <t>GERAL</t>
        </is>
      </c>
      <c r="C1269" t="inlineStr">
        <is>
          <t>EJ</t>
        </is>
      </c>
      <c r="D1269" t="inlineStr">
        <is>
          <t>IÇAMENTO JOIST</t>
        </is>
      </c>
      <c r="F1269" s="159">
        <f>IFERROR(INDEX('BASE METAS DIÁRIAS'!$N$2:$S$358,MATCH($A1269,'BASE METAS DIÁRIAS'!$A$2:$A$358,0),MOD(ROW()-2,6)+1),"")</f>
        <v/>
      </c>
      <c r="G1269" s="159">
        <f>IFERROR(IF(WEEKDAY($A1269,2)&lt;=INDEX('BASE METAS DIÁRIAS'!$H$2:$M$358,MATCH($A1269,'BASE METAS DIÁRIAS'!$A$2:$A$358,0),MOD(ROW()-2,6)+1),INDEX('BASE METAS DIÁRIAS'!$B$2:$G$358,MATCH($A1269,'BASE METAS DIÁRIAS'!$A$2:$A$358,0),MOD(ROW()-2,6)+1),""),"")</f>
        <v/>
      </c>
      <c r="H1269" s="159">
        <f>IFERROR(IF(INDEX('CONTROLE PRODUÇÃO POR EMPRESAS'!$B$6:$G$5000,MATCH($A1269,'CONTROLE PRODUÇÃO POR EMPRESAS'!$A$6:$A$5000,0),MOD(ROW()-2,6)+1)="","",IFERROR(1*INDEX('CONTROLE PRODUÇÃO POR EMPRESAS'!$B$6:$G$5000,MATCH($A1269,'CONTROLE PRODUÇÃO POR EMPRESAS'!$A$6:$A$5000,0),MOD(ROW()-2,6)+1),"")),"")</f>
        <v/>
      </c>
      <c r="I1269" s="159">
        <f>IF(OR(NOT(ISNUMBER(G1269)),NOT(ISNUMBER(H1269))),"",H1269-G1269)</f>
        <v/>
      </c>
      <c r="J1269" s="319">
        <f>IF(OR(NOT(ISNUMBER(G1269)),NOT(ISNUMBER(H1269)),G1269=0),"",I1269/G1269)</f>
        <v/>
      </c>
      <c r="K1269" s="319">
        <f>IF(OR(NOT(ISNUMBER(G1269)),NOT(ISNUMBER(H1269)),G1269=0),"",H1269/G1269)</f>
        <v/>
      </c>
      <c r="L1269">
        <f>IF(NOT(ISNUMBER(G1269)),"SEM META",IF(G1269=0,"SEM META",IF(NOT(ISNUMBER(H1269)),"SEM APONTAMENTO",IF(H1269&gt;=G1269,"VERDE",IF(H1269&gt;=G1269*0.9,"AMARELO","VERMELHO")))))</f>
        <v/>
      </c>
      <c r="M1269" s="162" t="n"/>
      <c r="N1269" s="162" t="n"/>
      <c r="O1269" s="162" t="n"/>
      <c r="P1269" s="162" t="n"/>
      <c r="Q1269" s="320" t="n"/>
      <c r="R1269" s="162" t="inlineStr">
        <is>
          <t>CONTROLE PRODUÇÃO POR EMPRESAS!C217</t>
        </is>
      </c>
    </row>
    <row r="1270" ht="28.5" customHeight="1">
      <c r="A1270" s="317" t="n">
        <v>46434</v>
      </c>
      <c r="B1270" t="inlineStr">
        <is>
          <t>GERAL</t>
        </is>
      </c>
      <c r="C1270" t="inlineStr">
        <is>
          <t>EJ</t>
        </is>
      </c>
      <c r="D1270" t="inlineStr">
        <is>
          <t>VIGAS</t>
        </is>
      </c>
      <c r="F1270" s="159">
        <f>IFERROR(INDEX('BASE METAS DIÁRIAS'!$N$2:$S$358,MATCH($A1270,'BASE METAS DIÁRIAS'!$A$2:$A$358,0),MOD(ROW()-2,6)+1),"")</f>
        <v/>
      </c>
      <c r="G1270" s="159">
        <f>IFERROR(IF(WEEKDAY($A1270,2)&lt;=INDEX('BASE METAS DIÁRIAS'!$H$2:$M$358,MATCH($A1270,'BASE METAS DIÁRIAS'!$A$2:$A$358,0),MOD(ROW()-2,6)+1),INDEX('BASE METAS DIÁRIAS'!$B$2:$G$358,MATCH($A1270,'BASE METAS DIÁRIAS'!$A$2:$A$358,0),MOD(ROW()-2,6)+1),""),"")</f>
        <v/>
      </c>
      <c r="H1270" s="159">
        <f>IFERROR(IF(INDEX('CONTROLE PRODUÇÃO POR EMPRESAS'!$B$6:$G$5000,MATCH($A1270,'CONTROLE PRODUÇÃO POR EMPRESAS'!$A$6:$A$5000,0),MOD(ROW()-2,6)+1)="","",IFERROR(1*INDEX('CONTROLE PRODUÇÃO POR EMPRESAS'!$B$6:$G$5000,MATCH($A1270,'CONTROLE PRODUÇÃO POR EMPRESAS'!$A$6:$A$5000,0),MOD(ROW()-2,6)+1),"")),"")</f>
        <v/>
      </c>
      <c r="I1270" s="159">
        <f>IF(OR(NOT(ISNUMBER(G1270)),NOT(ISNUMBER(H1270))),"",H1270-G1270)</f>
        <v/>
      </c>
      <c r="J1270" s="319">
        <f>IF(OR(NOT(ISNUMBER(G1270)),NOT(ISNUMBER(H1270)),G1270=0),"",I1270/G1270)</f>
        <v/>
      </c>
      <c r="K1270" s="319">
        <f>IF(OR(NOT(ISNUMBER(G1270)),NOT(ISNUMBER(H1270)),G1270=0),"",H1270/G1270)</f>
        <v/>
      </c>
      <c r="L1270">
        <f>IF(NOT(ISNUMBER(G1270)),"SEM META",IF(G1270=0,"SEM META",IF(NOT(ISNUMBER(H1270)),"SEM APONTAMENTO",IF(H1270&gt;=G1270,"VERDE",IF(H1270&gt;=G1270*0.9,"AMARELO","VERMELHO")))))</f>
        <v/>
      </c>
      <c r="M1270" s="162" t="n"/>
      <c r="N1270" s="162" t="n"/>
      <c r="O1270" s="162" t="n"/>
      <c r="P1270" s="162" t="n"/>
      <c r="Q1270" s="320" t="n"/>
      <c r="R1270" s="162" t="inlineStr">
        <is>
          <t>CONTROLE PRODUÇÃO POR EMPRESAS!D217</t>
        </is>
      </c>
    </row>
    <row r="1271" ht="28.5" customHeight="1">
      <c r="A1271" s="317" t="n">
        <v>46434</v>
      </c>
      <c r="B1271" t="inlineStr">
        <is>
          <t>GERAL</t>
        </is>
      </c>
      <c r="C1271" t="inlineStr">
        <is>
          <t>CMM</t>
        </is>
      </c>
      <c r="D1271" t="inlineStr">
        <is>
          <t>PREMONTAGEM</t>
        </is>
      </c>
      <c r="F1271" s="159">
        <f>IFERROR(INDEX('BASE METAS DIÁRIAS'!$N$2:$S$358,MATCH($A1271,'BASE METAS DIÁRIAS'!$A$2:$A$358,0),MOD(ROW()-2,6)+1),"")</f>
        <v/>
      </c>
      <c r="G1271" s="159">
        <f>IFERROR(IF(WEEKDAY($A1271,2)&lt;=INDEX('BASE METAS DIÁRIAS'!$H$2:$M$358,MATCH($A1271,'BASE METAS DIÁRIAS'!$A$2:$A$358,0),MOD(ROW()-2,6)+1),INDEX('BASE METAS DIÁRIAS'!$B$2:$G$358,MATCH($A1271,'BASE METAS DIÁRIAS'!$A$2:$A$358,0),MOD(ROW()-2,6)+1),""),"")</f>
        <v/>
      </c>
      <c r="H1271" s="159">
        <f>IFERROR(IF(INDEX('CONTROLE PRODUÇÃO POR EMPRESAS'!$B$6:$G$5000,MATCH($A1271,'CONTROLE PRODUÇÃO POR EMPRESAS'!$A$6:$A$5000,0),MOD(ROW()-2,6)+1)="","",IFERROR(1*INDEX('CONTROLE PRODUÇÃO POR EMPRESAS'!$B$6:$G$5000,MATCH($A1271,'CONTROLE PRODUÇÃO POR EMPRESAS'!$A$6:$A$5000,0),MOD(ROW()-2,6)+1),"")),"")</f>
        <v/>
      </c>
      <c r="I1271" s="159">
        <f>IF(OR(NOT(ISNUMBER(G1271)),NOT(ISNUMBER(H1271))),"",H1271-G1271)</f>
        <v/>
      </c>
      <c r="J1271" s="319">
        <f>IF(OR(NOT(ISNUMBER(G1271)),NOT(ISNUMBER(H1271)),G1271=0),"",I1271/G1271)</f>
        <v/>
      </c>
      <c r="K1271" s="319">
        <f>IF(OR(NOT(ISNUMBER(G1271)),NOT(ISNUMBER(H1271)),G1271=0),"",H1271/G1271)</f>
        <v/>
      </c>
      <c r="L1271">
        <f>IF(NOT(ISNUMBER(G1271)),"SEM META",IF(G1271=0,"SEM META",IF(NOT(ISNUMBER(H1271)),"SEM APONTAMENTO",IF(H1271&gt;=G1271,"VERDE",IF(H1271&gt;=G1271*0.9,"AMARELO","VERMELHO")))))</f>
        <v/>
      </c>
      <c r="M1271" s="162" t="n"/>
      <c r="N1271" s="162" t="n"/>
      <c r="O1271" s="162" t="n"/>
      <c r="P1271" s="162" t="n"/>
      <c r="Q1271" s="320" t="n"/>
      <c r="R1271" s="162" t="inlineStr">
        <is>
          <t>CONTROLE PRODUÇÃO POR EMPRESAS!E217</t>
        </is>
      </c>
    </row>
    <row r="1272" ht="28.5" customHeight="1">
      <c r="A1272" s="317" t="n">
        <v>46434</v>
      </c>
      <c r="B1272" t="inlineStr">
        <is>
          <t>GERAL</t>
        </is>
      </c>
      <c r="C1272" t="inlineStr">
        <is>
          <t>CMM</t>
        </is>
      </c>
      <c r="D1272" t="inlineStr">
        <is>
          <t>IÇAMENTO JOIST</t>
        </is>
      </c>
      <c r="F1272" s="159">
        <f>IFERROR(INDEX('BASE METAS DIÁRIAS'!$N$2:$S$358,MATCH($A1272,'BASE METAS DIÁRIAS'!$A$2:$A$358,0),MOD(ROW()-2,6)+1),"")</f>
        <v/>
      </c>
      <c r="G1272" s="159">
        <f>IFERROR(IF(WEEKDAY($A1272,2)&lt;=INDEX('BASE METAS DIÁRIAS'!$H$2:$M$358,MATCH($A1272,'BASE METAS DIÁRIAS'!$A$2:$A$358,0),MOD(ROW()-2,6)+1),INDEX('BASE METAS DIÁRIAS'!$B$2:$G$358,MATCH($A1272,'BASE METAS DIÁRIAS'!$A$2:$A$358,0),MOD(ROW()-2,6)+1),""),"")</f>
        <v/>
      </c>
      <c r="H1272" s="159">
        <f>IFERROR(IF(INDEX('CONTROLE PRODUÇÃO POR EMPRESAS'!$B$6:$G$5000,MATCH($A1272,'CONTROLE PRODUÇÃO POR EMPRESAS'!$A$6:$A$5000,0),MOD(ROW()-2,6)+1)="","",IFERROR(1*INDEX('CONTROLE PRODUÇÃO POR EMPRESAS'!$B$6:$G$5000,MATCH($A1272,'CONTROLE PRODUÇÃO POR EMPRESAS'!$A$6:$A$5000,0),MOD(ROW()-2,6)+1),"")),"")</f>
        <v/>
      </c>
      <c r="I1272" s="159">
        <f>IF(OR(NOT(ISNUMBER(G1272)),NOT(ISNUMBER(H1272))),"",H1272-G1272)</f>
        <v/>
      </c>
      <c r="J1272" s="319">
        <f>IF(OR(NOT(ISNUMBER(G1272)),NOT(ISNUMBER(H1272)),G1272=0),"",I1272/G1272)</f>
        <v/>
      </c>
      <c r="K1272" s="319">
        <f>IF(OR(NOT(ISNUMBER(G1272)),NOT(ISNUMBER(H1272)),G1272=0),"",H1272/G1272)</f>
        <v/>
      </c>
      <c r="L1272">
        <f>IF(NOT(ISNUMBER(G1272)),"SEM META",IF(G1272=0,"SEM META",IF(NOT(ISNUMBER(H1272)),"SEM APONTAMENTO",IF(H1272&gt;=G1272,"VERDE",IF(H1272&gt;=G1272*0.9,"AMARELO","VERMELHO")))))</f>
        <v/>
      </c>
      <c r="M1272" s="162" t="n"/>
      <c r="N1272" s="162" t="n"/>
      <c r="O1272" s="162" t="n"/>
      <c r="P1272" s="162" t="n"/>
      <c r="Q1272" s="320" t="n"/>
      <c r="R1272" s="162" t="inlineStr">
        <is>
          <t>CONTROLE PRODUÇÃO POR EMPRESAS!F217</t>
        </is>
      </c>
    </row>
    <row r="1273" ht="28.5" customHeight="1">
      <c r="A1273" s="317" t="n">
        <v>46434</v>
      </c>
      <c r="B1273" t="inlineStr">
        <is>
          <t>GERAL</t>
        </is>
      </c>
      <c r="C1273" t="inlineStr">
        <is>
          <t>CMM</t>
        </is>
      </c>
      <c r="D1273" t="inlineStr">
        <is>
          <t>VIGAS</t>
        </is>
      </c>
      <c r="F1273" s="159">
        <f>IFERROR(INDEX('BASE METAS DIÁRIAS'!$N$2:$S$358,MATCH($A1273,'BASE METAS DIÁRIAS'!$A$2:$A$358,0),MOD(ROW()-2,6)+1),"")</f>
        <v/>
      </c>
      <c r="G1273" s="159">
        <f>IFERROR(IF(WEEKDAY($A1273,2)&lt;=INDEX('BASE METAS DIÁRIAS'!$H$2:$M$358,MATCH($A1273,'BASE METAS DIÁRIAS'!$A$2:$A$358,0),MOD(ROW()-2,6)+1),INDEX('BASE METAS DIÁRIAS'!$B$2:$G$358,MATCH($A1273,'BASE METAS DIÁRIAS'!$A$2:$A$358,0),MOD(ROW()-2,6)+1),""),"")</f>
        <v/>
      </c>
      <c r="H1273" s="159">
        <f>IFERROR(IF(INDEX('CONTROLE PRODUÇÃO POR EMPRESAS'!$B$6:$G$5000,MATCH($A1273,'CONTROLE PRODUÇÃO POR EMPRESAS'!$A$6:$A$5000,0),MOD(ROW()-2,6)+1)="","",IFERROR(1*INDEX('CONTROLE PRODUÇÃO POR EMPRESAS'!$B$6:$G$5000,MATCH($A1273,'CONTROLE PRODUÇÃO POR EMPRESAS'!$A$6:$A$5000,0),MOD(ROW()-2,6)+1),"")),"")</f>
        <v/>
      </c>
      <c r="I1273" s="159">
        <f>IF(OR(NOT(ISNUMBER(G1273)),NOT(ISNUMBER(H1273))),"",H1273-G1273)</f>
        <v/>
      </c>
      <c r="J1273" s="319">
        <f>IF(OR(NOT(ISNUMBER(G1273)),NOT(ISNUMBER(H1273)),G1273=0),"",I1273/G1273)</f>
        <v/>
      </c>
      <c r="K1273" s="319">
        <f>IF(OR(NOT(ISNUMBER(G1273)),NOT(ISNUMBER(H1273)),G1273=0),"",H1273/G1273)</f>
        <v/>
      </c>
      <c r="L1273">
        <f>IF(NOT(ISNUMBER(G1273)),"SEM META",IF(G1273=0,"SEM META",IF(NOT(ISNUMBER(H1273)),"SEM APONTAMENTO",IF(H1273&gt;=G1273,"VERDE",IF(H1273&gt;=G1273*0.9,"AMARELO","VERMELHO")))))</f>
        <v/>
      </c>
      <c r="M1273" s="162" t="n"/>
      <c r="N1273" s="162" t="n"/>
      <c r="O1273" s="162" t="n"/>
      <c r="P1273" s="162" t="n"/>
      <c r="Q1273" s="320" t="n"/>
      <c r="R1273" s="162" t="inlineStr">
        <is>
          <t>CONTROLE PRODUÇÃO POR EMPRESAS!G217</t>
        </is>
      </c>
    </row>
    <row r="1274" ht="28.5" customHeight="1">
      <c r="A1274" s="317" t="n">
        <v>46435</v>
      </c>
      <c r="B1274" t="inlineStr">
        <is>
          <t>GERAL</t>
        </is>
      </c>
      <c r="C1274" t="inlineStr">
        <is>
          <t>EJ</t>
        </is>
      </c>
      <c r="D1274" t="inlineStr">
        <is>
          <t>PREMONTAGEM</t>
        </is>
      </c>
      <c r="F1274" s="159">
        <f>IFERROR(INDEX('BASE METAS DIÁRIAS'!$N$2:$S$358,MATCH($A1274,'BASE METAS DIÁRIAS'!$A$2:$A$358,0),MOD(ROW()-2,6)+1),"")</f>
        <v/>
      </c>
      <c r="G1274" s="159">
        <f>IFERROR(IF(WEEKDAY($A1274,2)&lt;=INDEX('BASE METAS DIÁRIAS'!$H$2:$M$358,MATCH($A1274,'BASE METAS DIÁRIAS'!$A$2:$A$358,0),MOD(ROW()-2,6)+1),INDEX('BASE METAS DIÁRIAS'!$B$2:$G$358,MATCH($A1274,'BASE METAS DIÁRIAS'!$A$2:$A$358,0),MOD(ROW()-2,6)+1),""),"")</f>
        <v/>
      </c>
      <c r="H1274" s="159">
        <f>IFERROR(IF(INDEX('CONTROLE PRODUÇÃO POR EMPRESAS'!$B$6:$G$5000,MATCH($A1274,'CONTROLE PRODUÇÃO POR EMPRESAS'!$A$6:$A$5000,0),MOD(ROW()-2,6)+1)="","",IFERROR(1*INDEX('CONTROLE PRODUÇÃO POR EMPRESAS'!$B$6:$G$5000,MATCH($A1274,'CONTROLE PRODUÇÃO POR EMPRESAS'!$A$6:$A$5000,0),MOD(ROW()-2,6)+1),"")),"")</f>
        <v/>
      </c>
      <c r="I1274" s="159">
        <f>IF(OR(NOT(ISNUMBER(G1274)),NOT(ISNUMBER(H1274))),"",H1274-G1274)</f>
        <v/>
      </c>
      <c r="J1274" s="319">
        <f>IF(OR(NOT(ISNUMBER(G1274)),NOT(ISNUMBER(H1274)),G1274=0),"",I1274/G1274)</f>
        <v/>
      </c>
      <c r="K1274" s="319">
        <f>IF(OR(NOT(ISNUMBER(G1274)),NOT(ISNUMBER(H1274)),G1274=0),"",H1274/G1274)</f>
        <v/>
      </c>
      <c r="L1274">
        <f>IF(NOT(ISNUMBER(G1274)),"SEM META",IF(G1274=0,"SEM META",IF(NOT(ISNUMBER(H1274)),"SEM APONTAMENTO",IF(H1274&gt;=G1274,"VERDE",IF(H1274&gt;=G1274*0.9,"AMARELO","VERMELHO")))))</f>
        <v/>
      </c>
      <c r="M1274" s="162" t="n"/>
      <c r="N1274" s="162" t="n"/>
      <c r="O1274" s="162" t="n"/>
      <c r="P1274" s="162" t="n"/>
      <c r="Q1274" s="320" t="n"/>
      <c r="R1274" s="162" t="inlineStr">
        <is>
          <t>CONTROLE PRODUÇÃO POR EMPRESAS!B218</t>
        </is>
      </c>
    </row>
    <row r="1275" ht="28.5" customHeight="1">
      <c r="A1275" s="317" t="n">
        <v>46435</v>
      </c>
      <c r="B1275" t="inlineStr">
        <is>
          <t>GERAL</t>
        </is>
      </c>
      <c r="C1275" t="inlineStr">
        <is>
          <t>EJ</t>
        </is>
      </c>
      <c r="D1275" t="inlineStr">
        <is>
          <t>IÇAMENTO JOIST</t>
        </is>
      </c>
      <c r="F1275" s="159">
        <f>IFERROR(INDEX('BASE METAS DIÁRIAS'!$N$2:$S$358,MATCH($A1275,'BASE METAS DIÁRIAS'!$A$2:$A$358,0),MOD(ROW()-2,6)+1),"")</f>
        <v/>
      </c>
      <c r="G1275" s="159">
        <f>IFERROR(IF(WEEKDAY($A1275,2)&lt;=INDEX('BASE METAS DIÁRIAS'!$H$2:$M$358,MATCH($A1275,'BASE METAS DIÁRIAS'!$A$2:$A$358,0),MOD(ROW()-2,6)+1),INDEX('BASE METAS DIÁRIAS'!$B$2:$G$358,MATCH($A1275,'BASE METAS DIÁRIAS'!$A$2:$A$358,0),MOD(ROW()-2,6)+1),""),"")</f>
        <v/>
      </c>
      <c r="H1275" s="159">
        <f>IFERROR(IF(INDEX('CONTROLE PRODUÇÃO POR EMPRESAS'!$B$6:$G$5000,MATCH($A1275,'CONTROLE PRODUÇÃO POR EMPRESAS'!$A$6:$A$5000,0),MOD(ROW()-2,6)+1)="","",IFERROR(1*INDEX('CONTROLE PRODUÇÃO POR EMPRESAS'!$B$6:$G$5000,MATCH($A1275,'CONTROLE PRODUÇÃO POR EMPRESAS'!$A$6:$A$5000,0),MOD(ROW()-2,6)+1),"")),"")</f>
        <v/>
      </c>
      <c r="I1275" s="159">
        <f>IF(OR(NOT(ISNUMBER(G1275)),NOT(ISNUMBER(H1275))),"",H1275-G1275)</f>
        <v/>
      </c>
      <c r="J1275" s="319">
        <f>IF(OR(NOT(ISNUMBER(G1275)),NOT(ISNUMBER(H1275)),G1275=0),"",I1275/G1275)</f>
        <v/>
      </c>
      <c r="K1275" s="319">
        <f>IF(OR(NOT(ISNUMBER(G1275)),NOT(ISNUMBER(H1275)),G1275=0),"",H1275/G1275)</f>
        <v/>
      </c>
      <c r="L1275">
        <f>IF(NOT(ISNUMBER(G1275)),"SEM META",IF(G1275=0,"SEM META",IF(NOT(ISNUMBER(H1275)),"SEM APONTAMENTO",IF(H1275&gt;=G1275,"VERDE",IF(H1275&gt;=G1275*0.9,"AMARELO","VERMELHO")))))</f>
        <v/>
      </c>
      <c r="M1275" s="162" t="n"/>
      <c r="N1275" s="162" t="n"/>
      <c r="O1275" s="162" t="n"/>
      <c r="P1275" s="162" t="n"/>
      <c r="Q1275" s="320" t="n"/>
      <c r="R1275" s="162" t="inlineStr">
        <is>
          <t>CONTROLE PRODUÇÃO POR EMPRESAS!C218</t>
        </is>
      </c>
    </row>
    <row r="1276" ht="28.5" customHeight="1">
      <c r="A1276" s="317" t="n">
        <v>46435</v>
      </c>
      <c r="B1276" t="inlineStr">
        <is>
          <t>GERAL</t>
        </is>
      </c>
      <c r="C1276" t="inlineStr">
        <is>
          <t>EJ</t>
        </is>
      </c>
      <c r="D1276" t="inlineStr">
        <is>
          <t>VIGAS</t>
        </is>
      </c>
      <c r="F1276" s="159">
        <f>IFERROR(INDEX('BASE METAS DIÁRIAS'!$N$2:$S$358,MATCH($A1276,'BASE METAS DIÁRIAS'!$A$2:$A$358,0),MOD(ROW()-2,6)+1),"")</f>
        <v/>
      </c>
      <c r="G1276" s="159">
        <f>IFERROR(IF(WEEKDAY($A1276,2)&lt;=INDEX('BASE METAS DIÁRIAS'!$H$2:$M$358,MATCH($A1276,'BASE METAS DIÁRIAS'!$A$2:$A$358,0),MOD(ROW()-2,6)+1),INDEX('BASE METAS DIÁRIAS'!$B$2:$G$358,MATCH($A1276,'BASE METAS DIÁRIAS'!$A$2:$A$358,0),MOD(ROW()-2,6)+1),""),"")</f>
        <v/>
      </c>
      <c r="H1276" s="159">
        <f>IFERROR(IF(INDEX('CONTROLE PRODUÇÃO POR EMPRESAS'!$B$6:$G$5000,MATCH($A1276,'CONTROLE PRODUÇÃO POR EMPRESAS'!$A$6:$A$5000,0),MOD(ROW()-2,6)+1)="","",IFERROR(1*INDEX('CONTROLE PRODUÇÃO POR EMPRESAS'!$B$6:$G$5000,MATCH($A1276,'CONTROLE PRODUÇÃO POR EMPRESAS'!$A$6:$A$5000,0),MOD(ROW()-2,6)+1),"")),"")</f>
        <v/>
      </c>
      <c r="I1276" s="159">
        <f>IF(OR(NOT(ISNUMBER(G1276)),NOT(ISNUMBER(H1276))),"",H1276-G1276)</f>
        <v/>
      </c>
      <c r="J1276" s="319">
        <f>IF(OR(NOT(ISNUMBER(G1276)),NOT(ISNUMBER(H1276)),G1276=0),"",I1276/G1276)</f>
        <v/>
      </c>
      <c r="K1276" s="319">
        <f>IF(OR(NOT(ISNUMBER(G1276)),NOT(ISNUMBER(H1276)),G1276=0),"",H1276/G1276)</f>
        <v/>
      </c>
      <c r="L1276">
        <f>IF(NOT(ISNUMBER(G1276)),"SEM META",IF(G1276=0,"SEM META",IF(NOT(ISNUMBER(H1276)),"SEM APONTAMENTO",IF(H1276&gt;=G1276,"VERDE",IF(H1276&gt;=G1276*0.9,"AMARELO","VERMELHO")))))</f>
        <v/>
      </c>
      <c r="M1276" s="162" t="n"/>
      <c r="N1276" s="162" t="n"/>
      <c r="O1276" s="162" t="n"/>
      <c r="P1276" s="162" t="n"/>
      <c r="Q1276" s="320" t="n"/>
      <c r="R1276" s="162" t="inlineStr">
        <is>
          <t>CONTROLE PRODUÇÃO POR EMPRESAS!D218</t>
        </is>
      </c>
    </row>
    <row r="1277" ht="28.5" customHeight="1">
      <c r="A1277" s="317" t="n">
        <v>46435</v>
      </c>
      <c r="B1277" t="inlineStr">
        <is>
          <t>GERAL</t>
        </is>
      </c>
      <c r="C1277" t="inlineStr">
        <is>
          <t>CMM</t>
        </is>
      </c>
      <c r="D1277" t="inlineStr">
        <is>
          <t>PREMONTAGEM</t>
        </is>
      </c>
      <c r="F1277" s="159">
        <f>IFERROR(INDEX('BASE METAS DIÁRIAS'!$N$2:$S$358,MATCH($A1277,'BASE METAS DIÁRIAS'!$A$2:$A$358,0),MOD(ROW()-2,6)+1),"")</f>
        <v/>
      </c>
      <c r="G1277" s="159">
        <f>IFERROR(IF(WEEKDAY($A1277,2)&lt;=INDEX('BASE METAS DIÁRIAS'!$H$2:$M$358,MATCH($A1277,'BASE METAS DIÁRIAS'!$A$2:$A$358,0),MOD(ROW()-2,6)+1),INDEX('BASE METAS DIÁRIAS'!$B$2:$G$358,MATCH($A1277,'BASE METAS DIÁRIAS'!$A$2:$A$358,0),MOD(ROW()-2,6)+1),""),"")</f>
        <v/>
      </c>
      <c r="H1277" s="159">
        <f>IFERROR(IF(INDEX('CONTROLE PRODUÇÃO POR EMPRESAS'!$B$6:$G$5000,MATCH($A1277,'CONTROLE PRODUÇÃO POR EMPRESAS'!$A$6:$A$5000,0),MOD(ROW()-2,6)+1)="","",IFERROR(1*INDEX('CONTROLE PRODUÇÃO POR EMPRESAS'!$B$6:$G$5000,MATCH($A1277,'CONTROLE PRODUÇÃO POR EMPRESAS'!$A$6:$A$5000,0),MOD(ROW()-2,6)+1),"")),"")</f>
        <v/>
      </c>
      <c r="I1277" s="159">
        <f>IF(OR(NOT(ISNUMBER(G1277)),NOT(ISNUMBER(H1277))),"",H1277-G1277)</f>
        <v/>
      </c>
      <c r="J1277" s="319">
        <f>IF(OR(NOT(ISNUMBER(G1277)),NOT(ISNUMBER(H1277)),G1277=0),"",I1277/G1277)</f>
        <v/>
      </c>
      <c r="K1277" s="319">
        <f>IF(OR(NOT(ISNUMBER(G1277)),NOT(ISNUMBER(H1277)),G1277=0),"",H1277/G1277)</f>
        <v/>
      </c>
      <c r="L1277">
        <f>IF(NOT(ISNUMBER(G1277)),"SEM META",IF(G1277=0,"SEM META",IF(NOT(ISNUMBER(H1277)),"SEM APONTAMENTO",IF(H1277&gt;=G1277,"VERDE",IF(H1277&gt;=G1277*0.9,"AMARELO","VERMELHO")))))</f>
        <v/>
      </c>
      <c r="M1277" s="162" t="n"/>
      <c r="N1277" s="162" t="n"/>
      <c r="O1277" s="162" t="n"/>
      <c r="P1277" s="162" t="n"/>
      <c r="Q1277" s="320" t="n"/>
      <c r="R1277" s="162" t="inlineStr">
        <is>
          <t>CONTROLE PRODUÇÃO POR EMPRESAS!E218</t>
        </is>
      </c>
    </row>
    <row r="1278" ht="28.5" customHeight="1">
      <c r="A1278" s="317" t="n">
        <v>46435</v>
      </c>
      <c r="B1278" t="inlineStr">
        <is>
          <t>GERAL</t>
        </is>
      </c>
      <c r="C1278" t="inlineStr">
        <is>
          <t>CMM</t>
        </is>
      </c>
      <c r="D1278" t="inlineStr">
        <is>
          <t>IÇAMENTO JOIST</t>
        </is>
      </c>
      <c r="F1278" s="159">
        <f>IFERROR(INDEX('BASE METAS DIÁRIAS'!$N$2:$S$358,MATCH($A1278,'BASE METAS DIÁRIAS'!$A$2:$A$358,0),MOD(ROW()-2,6)+1),"")</f>
        <v/>
      </c>
      <c r="G1278" s="159">
        <f>IFERROR(IF(WEEKDAY($A1278,2)&lt;=INDEX('BASE METAS DIÁRIAS'!$H$2:$M$358,MATCH($A1278,'BASE METAS DIÁRIAS'!$A$2:$A$358,0),MOD(ROW()-2,6)+1),INDEX('BASE METAS DIÁRIAS'!$B$2:$G$358,MATCH($A1278,'BASE METAS DIÁRIAS'!$A$2:$A$358,0),MOD(ROW()-2,6)+1),""),"")</f>
        <v/>
      </c>
      <c r="H1278" s="159">
        <f>IFERROR(IF(INDEX('CONTROLE PRODUÇÃO POR EMPRESAS'!$B$6:$G$5000,MATCH($A1278,'CONTROLE PRODUÇÃO POR EMPRESAS'!$A$6:$A$5000,0),MOD(ROW()-2,6)+1)="","",IFERROR(1*INDEX('CONTROLE PRODUÇÃO POR EMPRESAS'!$B$6:$G$5000,MATCH($A1278,'CONTROLE PRODUÇÃO POR EMPRESAS'!$A$6:$A$5000,0),MOD(ROW()-2,6)+1),"")),"")</f>
        <v/>
      </c>
      <c r="I1278" s="159">
        <f>IF(OR(NOT(ISNUMBER(G1278)),NOT(ISNUMBER(H1278))),"",H1278-G1278)</f>
        <v/>
      </c>
      <c r="J1278" s="319">
        <f>IF(OR(NOT(ISNUMBER(G1278)),NOT(ISNUMBER(H1278)),G1278=0),"",I1278/G1278)</f>
        <v/>
      </c>
      <c r="K1278" s="319">
        <f>IF(OR(NOT(ISNUMBER(G1278)),NOT(ISNUMBER(H1278)),G1278=0),"",H1278/G1278)</f>
        <v/>
      </c>
      <c r="L1278">
        <f>IF(NOT(ISNUMBER(G1278)),"SEM META",IF(G1278=0,"SEM META",IF(NOT(ISNUMBER(H1278)),"SEM APONTAMENTO",IF(H1278&gt;=G1278,"VERDE",IF(H1278&gt;=G1278*0.9,"AMARELO","VERMELHO")))))</f>
        <v/>
      </c>
      <c r="M1278" s="162" t="n"/>
      <c r="N1278" s="162" t="n"/>
      <c r="O1278" s="162" t="n"/>
      <c r="P1278" s="162" t="n"/>
      <c r="Q1278" s="320" t="n"/>
      <c r="R1278" s="162" t="inlineStr">
        <is>
          <t>CONTROLE PRODUÇÃO POR EMPRESAS!F218</t>
        </is>
      </c>
    </row>
    <row r="1279" ht="28.5" customHeight="1">
      <c r="A1279" s="317" t="n">
        <v>46435</v>
      </c>
      <c r="B1279" t="inlineStr">
        <is>
          <t>GERAL</t>
        </is>
      </c>
      <c r="C1279" t="inlineStr">
        <is>
          <t>CMM</t>
        </is>
      </c>
      <c r="D1279" t="inlineStr">
        <is>
          <t>VIGAS</t>
        </is>
      </c>
      <c r="F1279" s="159">
        <f>IFERROR(INDEX('BASE METAS DIÁRIAS'!$N$2:$S$358,MATCH($A1279,'BASE METAS DIÁRIAS'!$A$2:$A$358,0),MOD(ROW()-2,6)+1),"")</f>
        <v/>
      </c>
      <c r="G1279" s="159">
        <f>IFERROR(IF(WEEKDAY($A1279,2)&lt;=INDEX('BASE METAS DIÁRIAS'!$H$2:$M$358,MATCH($A1279,'BASE METAS DIÁRIAS'!$A$2:$A$358,0),MOD(ROW()-2,6)+1),INDEX('BASE METAS DIÁRIAS'!$B$2:$G$358,MATCH($A1279,'BASE METAS DIÁRIAS'!$A$2:$A$358,0),MOD(ROW()-2,6)+1),""),"")</f>
        <v/>
      </c>
      <c r="H1279" s="159">
        <f>IFERROR(IF(INDEX('CONTROLE PRODUÇÃO POR EMPRESAS'!$B$6:$G$5000,MATCH($A1279,'CONTROLE PRODUÇÃO POR EMPRESAS'!$A$6:$A$5000,0),MOD(ROW()-2,6)+1)="","",IFERROR(1*INDEX('CONTROLE PRODUÇÃO POR EMPRESAS'!$B$6:$G$5000,MATCH($A1279,'CONTROLE PRODUÇÃO POR EMPRESAS'!$A$6:$A$5000,0),MOD(ROW()-2,6)+1),"")),"")</f>
        <v/>
      </c>
      <c r="I1279" s="159">
        <f>IF(OR(NOT(ISNUMBER(G1279)),NOT(ISNUMBER(H1279))),"",H1279-G1279)</f>
        <v/>
      </c>
      <c r="J1279" s="319">
        <f>IF(OR(NOT(ISNUMBER(G1279)),NOT(ISNUMBER(H1279)),G1279=0),"",I1279/G1279)</f>
        <v/>
      </c>
      <c r="K1279" s="319">
        <f>IF(OR(NOT(ISNUMBER(G1279)),NOT(ISNUMBER(H1279)),G1279=0),"",H1279/G1279)</f>
        <v/>
      </c>
      <c r="L1279">
        <f>IF(NOT(ISNUMBER(G1279)),"SEM META",IF(G1279=0,"SEM META",IF(NOT(ISNUMBER(H1279)),"SEM APONTAMENTO",IF(H1279&gt;=G1279,"VERDE",IF(H1279&gt;=G1279*0.9,"AMARELO","VERMELHO")))))</f>
        <v/>
      </c>
      <c r="M1279" s="162" t="n"/>
      <c r="N1279" s="162" t="n"/>
      <c r="O1279" s="162" t="n"/>
      <c r="P1279" s="162" t="n"/>
      <c r="Q1279" s="320" t="n"/>
      <c r="R1279" s="162" t="inlineStr">
        <is>
          <t>CONTROLE PRODUÇÃO POR EMPRESAS!G218</t>
        </is>
      </c>
    </row>
    <row r="1280" ht="28.5" customHeight="1">
      <c r="A1280" s="317" t="n">
        <v>46436</v>
      </c>
      <c r="B1280" t="inlineStr">
        <is>
          <t>GERAL</t>
        </is>
      </c>
      <c r="C1280" t="inlineStr">
        <is>
          <t>EJ</t>
        </is>
      </c>
      <c r="D1280" t="inlineStr">
        <is>
          <t>PREMONTAGEM</t>
        </is>
      </c>
      <c r="F1280" s="159">
        <f>IFERROR(INDEX('BASE METAS DIÁRIAS'!$N$2:$S$358,MATCH($A1280,'BASE METAS DIÁRIAS'!$A$2:$A$358,0),MOD(ROW()-2,6)+1),"")</f>
        <v/>
      </c>
      <c r="G1280" s="159">
        <f>IFERROR(IF(WEEKDAY($A1280,2)&lt;=INDEX('BASE METAS DIÁRIAS'!$H$2:$M$358,MATCH($A1280,'BASE METAS DIÁRIAS'!$A$2:$A$358,0),MOD(ROW()-2,6)+1),INDEX('BASE METAS DIÁRIAS'!$B$2:$G$358,MATCH($A1280,'BASE METAS DIÁRIAS'!$A$2:$A$358,0),MOD(ROW()-2,6)+1),""),"")</f>
        <v/>
      </c>
      <c r="H1280" s="159">
        <f>IFERROR(IF(INDEX('CONTROLE PRODUÇÃO POR EMPRESAS'!$B$6:$G$5000,MATCH($A1280,'CONTROLE PRODUÇÃO POR EMPRESAS'!$A$6:$A$5000,0),MOD(ROW()-2,6)+1)="","",IFERROR(1*INDEX('CONTROLE PRODUÇÃO POR EMPRESAS'!$B$6:$G$5000,MATCH($A1280,'CONTROLE PRODUÇÃO POR EMPRESAS'!$A$6:$A$5000,0),MOD(ROW()-2,6)+1),"")),"")</f>
        <v/>
      </c>
      <c r="I1280" s="159">
        <f>IF(OR(NOT(ISNUMBER(G1280)),NOT(ISNUMBER(H1280))),"",H1280-G1280)</f>
        <v/>
      </c>
      <c r="J1280" s="319">
        <f>IF(OR(NOT(ISNUMBER(G1280)),NOT(ISNUMBER(H1280)),G1280=0),"",I1280/G1280)</f>
        <v/>
      </c>
      <c r="K1280" s="319">
        <f>IF(OR(NOT(ISNUMBER(G1280)),NOT(ISNUMBER(H1280)),G1280=0),"",H1280/G1280)</f>
        <v/>
      </c>
      <c r="L1280">
        <f>IF(NOT(ISNUMBER(G1280)),"SEM META",IF(G1280=0,"SEM META",IF(NOT(ISNUMBER(H1280)),"SEM APONTAMENTO",IF(H1280&gt;=G1280,"VERDE",IF(H1280&gt;=G1280*0.9,"AMARELO","VERMELHO")))))</f>
        <v/>
      </c>
      <c r="M1280" s="162" t="n"/>
      <c r="N1280" s="162" t="n"/>
      <c r="O1280" s="162" t="n"/>
      <c r="P1280" s="162" t="n"/>
      <c r="Q1280" s="320" t="n"/>
      <c r="R1280" s="162" t="inlineStr">
        <is>
          <t>CONTROLE PRODUÇÃO POR EMPRESAS!B219</t>
        </is>
      </c>
    </row>
    <row r="1281" ht="28.5" customHeight="1">
      <c r="A1281" s="317" t="n">
        <v>46436</v>
      </c>
      <c r="B1281" t="inlineStr">
        <is>
          <t>GERAL</t>
        </is>
      </c>
      <c r="C1281" t="inlineStr">
        <is>
          <t>EJ</t>
        </is>
      </c>
      <c r="D1281" t="inlineStr">
        <is>
          <t>IÇAMENTO JOIST</t>
        </is>
      </c>
      <c r="F1281" s="159">
        <f>IFERROR(INDEX('BASE METAS DIÁRIAS'!$N$2:$S$358,MATCH($A1281,'BASE METAS DIÁRIAS'!$A$2:$A$358,0),MOD(ROW()-2,6)+1),"")</f>
        <v/>
      </c>
      <c r="G1281" s="159">
        <f>IFERROR(IF(WEEKDAY($A1281,2)&lt;=INDEX('BASE METAS DIÁRIAS'!$H$2:$M$358,MATCH($A1281,'BASE METAS DIÁRIAS'!$A$2:$A$358,0),MOD(ROW()-2,6)+1),INDEX('BASE METAS DIÁRIAS'!$B$2:$G$358,MATCH($A1281,'BASE METAS DIÁRIAS'!$A$2:$A$358,0),MOD(ROW()-2,6)+1),""),"")</f>
        <v/>
      </c>
      <c r="H1281" s="159">
        <f>IFERROR(IF(INDEX('CONTROLE PRODUÇÃO POR EMPRESAS'!$B$6:$G$5000,MATCH($A1281,'CONTROLE PRODUÇÃO POR EMPRESAS'!$A$6:$A$5000,0),MOD(ROW()-2,6)+1)="","",IFERROR(1*INDEX('CONTROLE PRODUÇÃO POR EMPRESAS'!$B$6:$G$5000,MATCH($A1281,'CONTROLE PRODUÇÃO POR EMPRESAS'!$A$6:$A$5000,0),MOD(ROW()-2,6)+1),"")),"")</f>
        <v/>
      </c>
      <c r="I1281" s="159">
        <f>IF(OR(NOT(ISNUMBER(G1281)),NOT(ISNUMBER(H1281))),"",H1281-G1281)</f>
        <v/>
      </c>
      <c r="J1281" s="319">
        <f>IF(OR(NOT(ISNUMBER(G1281)),NOT(ISNUMBER(H1281)),G1281=0),"",I1281/G1281)</f>
        <v/>
      </c>
      <c r="K1281" s="319">
        <f>IF(OR(NOT(ISNUMBER(G1281)),NOT(ISNUMBER(H1281)),G1281=0),"",H1281/G1281)</f>
        <v/>
      </c>
      <c r="L1281">
        <f>IF(NOT(ISNUMBER(G1281)),"SEM META",IF(G1281=0,"SEM META",IF(NOT(ISNUMBER(H1281)),"SEM APONTAMENTO",IF(H1281&gt;=G1281,"VERDE",IF(H1281&gt;=G1281*0.9,"AMARELO","VERMELHO")))))</f>
        <v/>
      </c>
      <c r="M1281" s="162" t="n"/>
      <c r="N1281" s="162" t="n"/>
      <c r="O1281" s="162" t="n"/>
      <c r="P1281" s="162" t="n"/>
      <c r="Q1281" s="320" t="n"/>
      <c r="R1281" s="162" t="inlineStr">
        <is>
          <t>CONTROLE PRODUÇÃO POR EMPRESAS!C219</t>
        </is>
      </c>
    </row>
    <row r="1282" ht="28.5" customHeight="1">
      <c r="A1282" s="317" t="n">
        <v>46436</v>
      </c>
      <c r="B1282" t="inlineStr">
        <is>
          <t>GERAL</t>
        </is>
      </c>
      <c r="C1282" t="inlineStr">
        <is>
          <t>EJ</t>
        </is>
      </c>
      <c r="D1282" t="inlineStr">
        <is>
          <t>VIGAS</t>
        </is>
      </c>
      <c r="F1282" s="159">
        <f>IFERROR(INDEX('BASE METAS DIÁRIAS'!$N$2:$S$358,MATCH($A1282,'BASE METAS DIÁRIAS'!$A$2:$A$358,0),MOD(ROW()-2,6)+1),"")</f>
        <v/>
      </c>
      <c r="G1282" s="159">
        <f>IFERROR(IF(WEEKDAY($A1282,2)&lt;=INDEX('BASE METAS DIÁRIAS'!$H$2:$M$358,MATCH($A1282,'BASE METAS DIÁRIAS'!$A$2:$A$358,0),MOD(ROW()-2,6)+1),INDEX('BASE METAS DIÁRIAS'!$B$2:$G$358,MATCH($A1282,'BASE METAS DIÁRIAS'!$A$2:$A$358,0),MOD(ROW()-2,6)+1),""),"")</f>
        <v/>
      </c>
      <c r="H1282" s="159">
        <f>IFERROR(IF(INDEX('CONTROLE PRODUÇÃO POR EMPRESAS'!$B$6:$G$5000,MATCH($A1282,'CONTROLE PRODUÇÃO POR EMPRESAS'!$A$6:$A$5000,0),MOD(ROW()-2,6)+1)="","",IFERROR(1*INDEX('CONTROLE PRODUÇÃO POR EMPRESAS'!$B$6:$G$5000,MATCH($A1282,'CONTROLE PRODUÇÃO POR EMPRESAS'!$A$6:$A$5000,0),MOD(ROW()-2,6)+1),"")),"")</f>
        <v/>
      </c>
      <c r="I1282" s="159">
        <f>IF(OR(NOT(ISNUMBER(G1282)),NOT(ISNUMBER(H1282))),"",H1282-G1282)</f>
        <v/>
      </c>
      <c r="J1282" s="319">
        <f>IF(OR(NOT(ISNUMBER(G1282)),NOT(ISNUMBER(H1282)),G1282=0),"",I1282/G1282)</f>
        <v/>
      </c>
      <c r="K1282" s="319">
        <f>IF(OR(NOT(ISNUMBER(G1282)),NOT(ISNUMBER(H1282)),G1282=0),"",H1282/G1282)</f>
        <v/>
      </c>
      <c r="L1282">
        <f>IF(NOT(ISNUMBER(G1282)),"SEM META",IF(G1282=0,"SEM META",IF(NOT(ISNUMBER(H1282)),"SEM APONTAMENTO",IF(H1282&gt;=G1282,"VERDE",IF(H1282&gt;=G1282*0.9,"AMARELO","VERMELHO")))))</f>
        <v/>
      </c>
      <c r="M1282" s="162" t="n"/>
      <c r="N1282" s="162" t="n"/>
      <c r="O1282" s="162" t="n"/>
      <c r="P1282" s="162" t="n"/>
      <c r="Q1282" s="320" t="n"/>
      <c r="R1282" s="162" t="inlineStr">
        <is>
          <t>CONTROLE PRODUÇÃO POR EMPRESAS!D219</t>
        </is>
      </c>
    </row>
    <row r="1283" ht="28.5" customHeight="1">
      <c r="A1283" s="317" t="n">
        <v>46436</v>
      </c>
      <c r="B1283" t="inlineStr">
        <is>
          <t>GERAL</t>
        </is>
      </c>
      <c r="C1283" t="inlineStr">
        <is>
          <t>CMM</t>
        </is>
      </c>
      <c r="D1283" t="inlineStr">
        <is>
          <t>PREMONTAGEM</t>
        </is>
      </c>
      <c r="F1283" s="159">
        <f>IFERROR(INDEX('BASE METAS DIÁRIAS'!$N$2:$S$358,MATCH($A1283,'BASE METAS DIÁRIAS'!$A$2:$A$358,0),MOD(ROW()-2,6)+1),"")</f>
        <v/>
      </c>
      <c r="G1283" s="159">
        <f>IFERROR(IF(WEEKDAY($A1283,2)&lt;=INDEX('BASE METAS DIÁRIAS'!$H$2:$M$358,MATCH($A1283,'BASE METAS DIÁRIAS'!$A$2:$A$358,0),MOD(ROW()-2,6)+1),INDEX('BASE METAS DIÁRIAS'!$B$2:$G$358,MATCH($A1283,'BASE METAS DIÁRIAS'!$A$2:$A$358,0),MOD(ROW()-2,6)+1),""),"")</f>
        <v/>
      </c>
      <c r="H1283" s="159">
        <f>IFERROR(IF(INDEX('CONTROLE PRODUÇÃO POR EMPRESAS'!$B$6:$G$5000,MATCH($A1283,'CONTROLE PRODUÇÃO POR EMPRESAS'!$A$6:$A$5000,0),MOD(ROW()-2,6)+1)="","",IFERROR(1*INDEX('CONTROLE PRODUÇÃO POR EMPRESAS'!$B$6:$G$5000,MATCH($A1283,'CONTROLE PRODUÇÃO POR EMPRESAS'!$A$6:$A$5000,0),MOD(ROW()-2,6)+1),"")),"")</f>
        <v/>
      </c>
      <c r="I1283" s="159">
        <f>IF(OR(NOT(ISNUMBER(G1283)),NOT(ISNUMBER(H1283))),"",H1283-G1283)</f>
        <v/>
      </c>
      <c r="J1283" s="319">
        <f>IF(OR(NOT(ISNUMBER(G1283)),NOT(ISNUMBER(H1283)),G1283=0),"",I1283/G1283)</f>
        <v/>
      </c>
      <c r="K1283" s="319">
        <f>IF(OR(NOT(ISNUMBER(G1283)),NOT(ISNUMBER(H1283)),G1283=0),"",H1283/G1283)</f>
        <v/>
      </c>
      <c r="L1283">
        <f>IF(NOT(ISNUMBER(G1283)),"SEM META",IF(G1283=0,"SEM META",IF(NOT(ISNUMBER(H1283)),"SEM APONTAMENTO",IF(H1283&gt;=G1283,"VERDE",IF(H1283&gt;=G1283*0.9,"AMARELO","VERMELHO")))))</f>
        <v/>
      </c>
      <c r="M1283" s="162" t="n"/>
      <c r="N1283" s="162" t="n"/>
      <c r="O1283" s="162" t="n"/>
      <c r="P1283" s="162" t="n"/>
      <c r="Q1283" s="320" t="n"/>
      <c r="R1283" s="162" t="inlineStr">
        <is>
          <t>CONTROLE PRODUÇÃO POR EMPRESAS!E219</t>
        </is>
      </c>
    </row>
    <row r="1284" ht="28.5" customHeight="1">
      <c r="A1284" s="317" t="n">
        <v>46436</v>
      </c>
      <c r="B1284" t="inlineStr">
        <is>
          <t>GERAL</t>
        </is>
      </c>
      <c r="C1284" t="inlineStr">
        <is>
          <t>CMM</t>
        </is>
      </c>
      <c r="D1284" t="inlineStr">
        <is>
          <t>IÇAMENTO JOIST</t>
        </is>
      </c>
      <c r="F1284" s="159">
        <f>IFERROR(INDEX('BASE METAS DIÁRIAS'!$N$2:$S$358,MATCH($A1284,'BASE METAS DIÁRIAS'!$A$2:$A$358,0),MOD(ROW()-2,6)+1),"")</f>
        <v/>
      </c>
      <c r="G1284" s="159">
        <f>IFERROR(IF(WEEKDAY($A1284,2)&lt;=INDEX('BASE METAS DIÁRIAS'!$H$2:$M$358,MATCH($A1284,'BASE METAS DIÁRIAS'!$A$2:$A$358,0),MOD(ROW()-2,6)+1),INDEX('BASE METAS DIÁRIAS'!$B$2:$G$358,MATCH($A1284,'BASE METAS DIÁRIAS'!$A$2:$A$358,0),MOD(ROW()-2,6)+1),""),"")</f>
        <v/>
      </c>
      <c r="H1284" s="159">
        <f>IFERROR(IF(INDEX('CONTROLE PRODUÇÃO POR EMPRESAS'!$B$6:$G$5000,MATCH($A1284,'CONTROLE PRODUÇÃO POR EMPRESAS'!$A$6:$A$5000,0),MOD(ROW()-2,6)+1)="","",IFERROR(1*INDEX('CONTROLE PRODUÇÃO POR EMPRESAS'!$B$6:$G$5000,MATCH($A1284,'CONTROLE PRODUÇÃO POR EMPRESAS'!$A$6:$A$5000,0),MOD(ROW()-2,6)+1),"")),"")</f>
        <v/>
      </c>
      <c r="I1284" s="159">
        <f>IF(OR(NOT(ISNUMBER(G1284)),NOT(ISNUMBER(H1284))),"",H1284-G1284)</f>
        <v/>
      </c>
      <c r="J1284" s="319">
        <f>IF(OR(NOT(ISNUMBER(G1284)),NOT(ISNUMBER(H1284)),G1284=0),"",I1284/G1284)</f>
        <v/>
      </c>
      <c r="K1284" s="319">
        <f>IF(OR(NOT(ISNUMBER(G1284)),NOT(ISNUMBER(H1284)),G1284=0),"",H1284/G1284)</f>
        <v/>
      </c>
      <c r="L1284">
        <f>IF(NOT(ISNUMBER(G1284)),"SEM META",IF(G1284=0,"SEM META",IF(NOT(ISNUMBER(H1284)),"SEM APONTAMENTO",IF(H1284&gt;=G1284,"VERDE",IF(H1284&gt;=G1284*0.9,"AMARELO","VERMELHO")))))</f>
        <v/>
      </c>
      <c r="M1284" s="162" t="n"/>
      <c r="N1284" s="162" t="n"/>
      <c r="O1284" s="162" t="n"/>
      <c r="P1284" s="162" t="n"/>
      <c r="Q1284" s="320" t="n"/>
      <c r="R1284" s="162" t="inlineStr">
        <is>
          <t>CONTROLE PRODUÇÃO POR EMPRESAS!F219</t>
        </is>
      </c>
    </row>
    <row r="1285" ht="28.5" customHeight="1">
      <c r="A1285" s="317" t="n">
        <v>46436</v>
      </c>
      <c r="B1285" t="inlineStr">
        <is>
          <t>GERAL</t>
        </is>
      </c>
      <c r="C1285" t="inlineStr">
        <is>
          <t>CMM</t>
        </is>
      </c>
      <c r="D1285" t="inlineStr">
        <is>
          <t>VIGAS</t>
        </is>
      </c>
      <c r="F1285" s="159">
        <f>IFERROR(INDEX('BASE METAS DIÁRIAS'!$N$2:$S$358,MATCH($A1285,'BASE METAS DIÁRIAS'!$A$2:$A$358,0),MOD(ROW()-2,6)+1),"")</f>
        <v/>
      </c>
      <c r="G1285" s="159">
        <f>IFERROR(IF(WEEKDAY($A1285,2)&lt;=INDEX('BASE METAS DIÁRIAS'!$H$2:$M$358,MATCH($A1285,'BASE METAS DIÁRIAS'!$A$2:$A$358,0),MOD(ROW()-2,6)+1),INDEX('BASE METAS DIÁRIAS'!$B$2:$G$358,MATCH($A1285,'BASE METAS DIÁRIAS'!$A$2:$A$358,0),MOD(ROW()-2,6)+1),""),"")</f>
        <v/>
      </c>
      <c r="H1285" s="159">
        <f>IFERROR(IF(INDEX('CONTROLE PRODUÇÃO POR EMPRESAS'!$B$6:$G$5000,MATCH($A1285,'CONTROLE PRODUÇÃO POR EMPRESAS'!$A$6:$A$5000,0),MOD(ROW()-2,6)+1)="","",IFERROR(1*INDEX('CONTROLE PRODUÇÃO POR EMPRESAS'!$B$6:$G$5000,MATCH($A1285,'CONTROLE PRODUÇÃO POR EMPRESAS'!$A$6:$A$5000,0),MOD(ROW()-2,6)+1),"")),"")</f>
        <v/>
      </c>
      <c r="I1285" s="159">
        <f>IF(OR(NOT(ISNUMBER(G1285)),NOT(ISNUMBER(H1285))),"",H1285-G1285)</f>
        <v/>
      </c>
      <c r="J1285" s="319">
        <f>IF(OR(NOT(ISNUMBER(G1285)),NOT(ISNUMBER(H1285)),G1285=0),"",I1285/G1285)</f>
        <v/>
      </c>
      <c r="K1285" s="319">
        <f>IF(OR(NOT(ISNUMBER(G1285)),NOT(ISNUMBER(H1285)),G1285=0),"",H1285/G1285)</f>
        <v/>
      </c>
      <c r="L1285">
        <f>IF(NOT(ISNUMBER(G1285)),"SEM META",IF(G1285=0,"SEM META",IF(NOT(ISNUMBER(H1285)),"SEM APONTAMENTO",IF(H1285&gt;=G1285,"VERDE",IF(H1285&gt;=G1285*0.9,"AMARELO","VERMELHO")))))</f>
        <v/>
      </c>
      <c r="M1285" s="162" t="n"/>
      <c r="N1285" s="162" t="n"/>
      <c r="O1285" s="162" t="n"/>
      <c r="P1285" s="162" t="n"/>
      <c r="Q1285" s="320" t="n"/>
      <c r="R1285" s="162" t="inlineStr">
        <is>
          <t>CONTROLE PRODUÇÃO POR EMPRESAS!G219</t>
        </is>
      </c>
    </row>
    <row r="1286" ht="28.5" customHeight="1">
      <c r="A1286" s="317" t="n">
        <v>46437</v>
      </c>
      <c r="B1286" t="inlineStr">
        <is>
          <t>GERAL</t>
        </is>
      </c>
      <c r="C1286" t="inlineStr">
        <is>
          <t>EJ</t>
        </is>
      </c>
      <c r="D1286" t="inlineStr">
        <is>
          <t>PREMONTAGEM</t>
        </is>
      </c>
      <c r="F1286" s="159">
        <f>IFERROR(INDEX('BASE METAS DIÁRIAS'!$N$2:$S$358,MATCH($A1286,'BASE METAS DIÁRIAS'!$A$2:$A$358,0),MOD(ROW()-2,6)+1),"")</f>
        <v/>
      </c>
      <c r="G1286" s="159">
        <f>IFERROR(IF(WEEKDAY($A1286,2)&lt;=INDEX('BASE METAS DIÁRIAS'!$H$2:$M$358,MATCH($A1286,'BASE METAS DIÁRIAS'!$A$2:$A$358,0),MOD(ROW()-2,6)+1),INDEX('BASE METAS DIÁRIAS'!$B$2:$G$358,MATCH($A1286,'BASE METAS DIÁRIAS'!$A$2:$A$358,0),MOD(ROW()-2,6)+1),""),"")</f>
        <v/>
      </c>
      <c r="H1286" s="159">
        <f>IFERROR(IF(INDEX('CONTROLE PRODUÇÃO POR EMPRESAS'!$B$6:$G$5000,MATCH($A1286,'CONTROLE PRODUÇÃO POR EMPRESAS'!$A$6:$A$5000,0),MOD(ROW()-2,6)+1)="","",IFERROR(1*INDEX('CONTROLE PRODUÇÃO POR EMPRESAS'!$B$6:$G$5000,MATCH($A1286,'CONTROLE PRODUÇÃO POR EMPRESAS'!$A$6:$A$5000,0),MOD(ROW()-2,6)+1),"")),"")</f>
        <v/>
      </c>
      <c r="I1286" s="159">
        <f>IF(OR(NOT(ISNUMBER(G1286)),NOT(ISNUMBER(H1286))),"",H1286-G1286)</f>
        <v/>
      </c>
      <c r="J1286" s="319">
        <f>IF(OR(NOT(ISNUMBER(G1286)),NOT(ISNUMBER(H1286)),G1286=0),"",I1286/G1286)</f>
        <v/>
      </c>
      <c r="K1286" s="319">
        <f>IF(OR(NOT(ISNUMBER(G1286)),NOT(ISNUMBER(H1286)),G1286=0),"",H1286/G1286)</f>
        <v/>
      </c>
      <c r="L1286">
        <f>IF(NOT(ISNUMBER(G1286)),"SEM META",IF(G1286=0,"SEM META",IF(NOT(ISNUMBER(H1286)),"SEM APONTAMENTO",IF(H1286&gt;=G1286,"VERDE",IF(H1286&gt;=G1286*0.9,"AMARELO","VERMELHO")))))</f>
        <v/>
      </c>
      <c r="M1286" s="162" t="n"/>
      <c r="N1286" s="162" t="n"/>
      <c r="O1286" s="162" t="n"/>
      <c r="P1286" s="162" t="n"/>
      <c r="Q1286" s="320" t="n"/>
      <c r="R1286" s="162" t="inlineStr">
        <is>
          <t>CONTROLE PRODUÇÃO POR EMPRESAS!B220</t>
        </is>
      </c>
    </row>
    <row r="1287" ht="28.5" customHeight="1">
      <c r="A1287" s="317" t="n">
        <v>46437</v>
      </c>
      <c r="B1287" t="inlineStr">
        <is>
          <t>GERAL</t>
        </is>
      </c>
      <c r="C1287" t="inlineStr">
        <is>
          <t>EJ</t>
        </is>
      </c>
      <c r="D1287" t="inlineStr">
        <is>
          <t>IÇAMENTO JOIST</t>
        </is>
      </c>
      <c r="F1287" s="159">
        <f>IFERROR(INDEX('BASE METAS DIÁRIAS'!$N$2:$S$358,MATCH($A1287,'BASE METAS DIÁRIAS'!$A$2:$A$358,0),MOD(ROW()-2,6)+1),"")</f>
        <v/>
      </c>
      <c r="G1287" s="159">
        <f>IFERROR(IF(WEEKDAY($A1287,2)&lt;=INDEX('BASE METAS DIÁRIAS'!$H$2:$M$358,MATCH($A1287,'BASE METAS DIÁRIAS'!$A$2:$A$358,0),MOD(ROW()-2,6)+1),INDEX('BASE METAS DIÁRIAS'!$B$2:$G$358,MATCH($A1287,'BASE METAS DIÁRIAS'!$A$2:$A$358,0),MOD(ROW()-2,6)+1),""),"")</f>
        <v/>
      </c>
      <c r="H1287" s="159">
        <f>IFERROR(IF(INDEX('CONTROLE PRODUÇÃO POR EMPRESAS'!$B$6:$G$5000,MATCH($A1287,'CONTROLE PRODUÇÃO POR EMPRESAS'!$A$6:$A$5000,0),MOD(ROW()-2,6)+1)="","",IFERROR(1*INDEX('CONTROLE PRODUÇÃO POR EMPRESAS'!$B$6:$G$5000,MATCH($A1287,'CONTROLE PRODUÇÃO POR EMPRESAS'!$A$6:$A$5000,0),MOD(ROW()-2,6)+1),"")),"")</f>
        <v/>
      </c>
      <c r="I1287" s="159">
        <f>IF(OR(NOT(ISNUMBER(G1287)),NOT(ISNUMBER(H1287))),"",H1287-G1287)</f>
        <v/>
      </c>
      <c r="J1287" s="319">
        <f>IF(OR(NOT(ISNUMBER(G1287)),NOT(ISNUMBER(H1287)),G1287=0),"",I1287/G1287)</f>
        <v/>
      </c>
      <c r="K1287" s="319">
        <f>IF(OR(NOT(ISNUMBER(G1287)),NOT(ISNUMBER(H1287)),G1287=0),"",H1287/G1287)</f>
        <v/>
      </c>
      <c r="L1287">
        <f>IF(NOT(ISNUMBER(G1287)),"SEM META",IF(G1287=0,"SEM META",IF(NOT(ISNUMBER(H1287)),"SEM APONTAMENTO",IF(H1287&gt;=G1287,"VERDE",IF(H1287&gt;=G1287*0.9,"AMARELO","VERMELHO")))))</f>
        <v/>
      </c>
      <c r="M1287" s="162" t="n"/>
      <c r="N1287" s="162" t="n"/>
      <c r="O1287" s="162" t="n"/>
      <c r="P1287" s="162" t="n"/>
      <c r="Q1287" s="320" t="n"/>
      <c r="R1287" s="162" t="inlineStr">
        <is>
          <t>CONTROLE PRODUÇÃO POR EMPRESAS!C220</t>
        </is>
      </c>
    </row>
    <row r="1288" ht="28.5" customHeight="1">
      <c r="A1288" s="317" t="n">
        <v>46437</v>
      </c>
      <c r="B1288" t="inlineStr">
        <is>
          <t>GERAL</t>
        </is>
      </c>
      <c r="C1288" t="inlineStr">
        <is>
          <t>EJ</t>
        </is>
      </c>
      <c r="D1288" t="inlineStr">
        <is>
          <t>VIGAS</t>
        </is>
      </c>
      <c r="F1288" s="159">
        <f>IFERROR(INDEX('BASE METAS DIÁRIAS'!$N$2:$S$358,MATCH($A1288,'BASE METAS DIÁRIAS'!$A$2:$A$358,0),MOD(ROW()-2,6)+1),"")</f>
        <v/>
      </c>
      <c r="G1288" s="159">
        <f>IFERROR(IF(WEEKDAY($A1288,2)&lt;=INDEX('BASE METAS DIÁRIAS'!$H$2:$M$358,MATCH($A1288,'BASE METAS DIÁRIAS'!$A$2:$A$358,0),MOD(ROW()-2,6)+1),INDEX('BASE METAS DIÁRIAS'!$B$2:$G$358,MATCH($A1288,'BASE METAS DIÁRIAS'!$A$2:$A$358,0),MOD(ROW()-2,6)+1),""),"")</f>
        <v/>
      </c>
      <c r="H1288" s="159">
        <f>IFERROR(IF(INDEX('CONTROLE PRODUÇÃO POR EMPRESAS'!$B$6:$G$5000,MATCH($A1288,'CONTROLE PRODUÇÃO POR EMPRESAS'!$A$6:$A$5000,0),MOD(ROW()-2,6)+1)="","",IFERROR(1*INDEX('CONTROLE PRODUÇÃO POR EMPRESAS'!$B$6:$G$5000,MATCH($A1288,'CONTROLE PRODUÇÃO POR EMPRESAS'!$A$6:$A$5000,0),MOD(ROW()-2,6)+1),"")),"")</f>
        <v/>
      </c>
      <c r="I1288" s="159">
        <f>IF(OR(NOT(ISNUMBER(G1288)),NOT(ISNUMBER(H1288))),"",H1288-G1288)</f>
        <v/>
      </c>
      <c r="J1288" s="319">
        <f>IF(OR(NOT(ISNUMBER(G1288)),NOT(ISNUMBER(H1288)),G1288=0),"",I1288/G1288)</f>
        <v/>
      </c>
      <c r="K1288" s="319">
        <f>IF(OR(NOT(ISNUMBER(G1288)),NOT(ISNUMBER(H1288)),G1288=0),"",H1288/G1288)</f>
        <v/>
      </c>
      <c r="L1288">
        <f>IF(NOT(ISNUMBER(G1288)),"SEM META",IF(G1288=0,"SEM META",IF(NOT(ISNUMBER(H1288)),"SEM APONTAMENTO",IF(H1288&gt;=G1288,"VERDE",IF(H1288&gt;=G1288*0.9,"AMARELO","VERMELHO")))))</f>
        <v/>
      </c>
      <c r="M1288" s="162" t="n"/>
      <c r="N1288" s="162" t="n"/>
      <c r="O1288" s="162" t="n"/>
      <c r="P1288" s="162" t="n"/>
      <c r="Q1288" s="320" t="n"/>
      <c r="R1288" s="162" t="inlineStr">
        <is>
          <t>CONTROLE PRODUÇÃO POR EMPRESAS!D220</t>
        </is>
      </c>
    </row>
    <row r="1289" ht="28.5" customHeight="1">
      <c r="A1289" s="317" t="n">
        <v>46437</v>
      </c>
      <c r="B1289" t="inlineStr">
        <is>
          <t>GERAL</t>
        </is>
      </c>
      <c r="C1289" t="inlineStr">
        <is>
          <t>CMM</t>
        </is>
      </c>
      <c r="D1289" t="inlineStr">
        <is>
          <t>PREMONTAGEM</t>
        </is>
      </c>
      <c r="F1289" s="159">
        <f>IFERROR(INDEX('BASE METAS DIÁRIAS'!$N$2:$S$358,MATCH($A1289,'BASE METAS DIÁRIAS'!$A$2:$A$358,0),MOD(ROW()-2,6)+1),"")</f>
        <v/>
      </c>
      <c r="G1289" s="159">
        <f>IFERROR(IF(WEEKDAY($A1289,2)&lt;=INDEX('BASE METAS DIÁRIAS'!$H$2:$M$358,MATCH($A1289,'BASE METAS DIÁRIAS'!$A$2:$A$358,0),MOD(ROW()-2,6)+1),INDEX('BASE METAS DIÁRIAS'!$B$2:$G$358,MATCH($A1289,'BASE METAS DIÁRIAS'!$A$2:$A$358,0),MOD(ROW()-2,6)+1),""),"")</f>
        <v/>
      </c>
      <c r="H1289" s="159">
        <f>IFERROR(IF(INDEX('CONTROLE PRODUÇÃO POR EMPRESAS'!$B$6:$G$5000,MATCH($A1289,'CONTROLE PRODUÇÃO POR EMPRESAS'!$A$6:$A$5000,0),MOD(ROW()-2,6)+1)="","",IFERROR(1*INDEX('CONTROLE PRODUÇÃO POR EMPRESAS'!$B$6:$G$5000,MATCH($A1289,'CONTROLE PRODUÇÃO POR EMPRESAS'!$A$6:$A$5000,0),MOD(ROW()-2,6)+1),"")),"")</f>
        <v/>
      </c>
      <c r="I1289" s="159">
        <f>IF(OR(NOT(ISNUMBER(G1289)),NOT(ISNUMBER(H1289))),"",H1289-G1289)</f>
        <v/>
      </c>
      <c r="J1289" s="319">
        <f>IF(OR(NOT(ISNUMBER(G1289)),NOT(ISNUMBER(H1289)),G1289=0),"",I1289/G1289)</f>
        <v/>
      </c>
      <c r="K1289" s="319">
        <f>IF(OR(NOT(ISNUMBER(G1289)),NOT(ISNUMBER(H1289)),G1289=0),"",H1289/G1289)</f>
        <v/>
      </c>
      <c r="L1289">
        <f>IF(NOT(ISNUMBER(G1289)),"SEM META",IF(G1289=0,"SEM META",IF(NOT(ISNUMBER(H1289)),"SEM APONTAMENTO",IF(H1289&gt;=G1289,"VERDE",IF(H1289&gt;=G1289*0.9,"AMARELO","VERMELHO")))))</f>
        <v/>
      </c>
      <c r="M1289" s="162" t="n"/>
      <c r="N1289" s="162" t="n"/>
      <c r="O1289" s="162" t="n"/>
      <c r="P1289" s="162" t="n"/>
      <c r="Q1289" s="320" t="n"/>
      <c r="R1289" s="162" t="inlineStr">
        <is>
          <t>CONTROLE PRODUÇÃO POR EMPRESAS!E220</t>
        </is>
      </c>
    </row>
    <row r="1290" ht="28.5" customHeight="1">
      <c r="A1290" s="317" t="n">
        <v>46437</v>
      </c>
      <c r="B1290" t="inlineStr">
        <is>
          <t>GERAL</t>
        </is>
      </c>
      <c r="C1290" t="inlineStr">
        <is>
          <t>CMM</t>
        </is>
      </c>
      <c r="D1290" t="inlineStr">
        <is>
          <t>IÇAMENTO JOIST</t>
        </is>
      </c>
      <c r="F1290" s="159">
        <f>IFERROR(INDEX('BASE METAS DIÁRIAS'!$N$2:$S$358,MATCH($A1290,'BASE METAS DIÁRIAS'!$A$2:$A$358,0),MOD(ROW()-2,6)+1),"")</f>
        <v/>
      </c>
      <c r="G1290" s="159">
        <f>IFERROR(IF(WEEKDAY($A1290,2)&lt;=INDEX('BASE METAS DIÁRIAS'!$H$2:$M$358,MATCH($A1290,'BASE METAS DIÁRIAS'!$A$2:$A$358,0),MOD(ROW()-2,6)+1),INDEX('BASE METAS DIÁRIAS'!$B$2:$G$358,MATCH($A1290,'BASE METAS DIÁRIAS'!$A$2:$A$358,0),MOD(ROW()-2,6)+1),""),"")</f>
        <v/>
      </c>
      <c r="H1290" s="159">
        <f>IFERROR(IF(INDEX('CONTROLE PRODUÇÃO POR EMPRESAS'!$B$6:$G$5000,MATCH($A1290,'CONTROLE PRODUÇÃO POR EMPRESAS'!$A$6:$A$5000,0),MOD(ROW()-2,6)+1)="","",IFERROR(1*INDEX('CONTROLE PRODUÇÃO POR EMPRESAS'!$B$6:$G$5000,MATCH($A1290,'CONTROLE PRODUÇÃO POR EMPRESAS'!$A$6:$A$5000,0),MOD(ROW()-2,6)+1),"")),"")</f>
        <v/>
      </c>
      <c r="I1290" s="159">
        <f>IF(OR(NOT(ISNUMBER(G1290)),NOT(ISNUMBER(H1290))),"",H1290-G1290)</f>
        <v/>
      </c>
      <c r="J1290" s="319">
        <f>IF(OR(NOT(ISNUMBER(G1290)),NOT(ISNUMBER(H1290)),G1290=0),"",I1290/G1290)</f>
        <v/>
      </c>
      <c r="K1290" s="319">
        <f>IF(OR(NOT(ISNUMBER(G1290)),NOT(ISNUMBER(H1290)),G1290=0),"",H1290/G1290)</f>
        <v/>
      </c>
      <c r="L1290">
        <f>IF(NOT(ISNUMBER(G1290)),"SEM META",IF(G1290=0,"SEM META",IF(NOT(ISNUMBER(H1290)),"SEM APONTAMENTO",IF(H1290&gt;=G1290,"VERDE",IF(H1290&gt;=G1290*0.9,"AMARELO","VERMELHO")))))</f>
        <v/>
      </c>
      <c r="M1290" s="162" t="n"/>
      <c r="N1290" s="162" t="n"/>
      <c r="O1290" s="162" t="n"/>
      <c r="P1290" s="162" t="n"/>
      <c r="Q1290" s="320" t="n"/>
      <c r="R1290" s="162" t="inlineStr">
        <is>
          <t>CONTROLE PRODUÇÃO POR EMPRESAS!F220</t>
        </is>
      </c>
    </row>
    <row r="1291" ht="28.5" customHeight="1">
      <c r="A1291" s="317" t="n">
        <v>46437</v>
      </c>
      <c r="B1291" t="inlineStr">
        <is>
          <t>GERAL</t>
        </is>
      </c>
      <c r="C1291" t="inlineStr">
        <is>
          <t>CMM</t>
        </is>
      </c>
      <c r="D1291" t="inlineStr">
        <is>
          <t>VIGAS</t>
        </is>
      </c>
      <c r="F1291" s="159">
        <f>IFERROR(INDEX('BASE METAS DIÁRIAS'!$N$2:$S$358,MATCH($A1291,'BASE METAS DIÁRIAS'!$A$2:$A$358,0),MOD(ROW()-2,6)+1),"")</f>
        <v/>
      </c>
      <c r="G1291" s="159">
        <f>IFERROR(IF(WEEKDAY($A1291,2)&lt;=INDEX('BASE METAS DIÁRIAS'!$H$2:$M$358,MATCH($A1291,'BASE METAS DIÁRIAS'!$A$2:$A$358,0),MOD(ROW()-2,6)+1),INDEX('BASE METAS DIÁRIAS'!$B$2:$G$358,MATCH($A1291,'BASE METAS DIÁRIAS'!$A$2:$A$358,0),MOD(ROW()-2,6)+1),""),"")</f>
        <v/>
      </c>
      <c r="H1291" s="159">
        <f>IFERROR(IF(INDEX('CONTROLE PRODUÇÃO POR EMPRESAS'!$B$6:$G$5000,MATCH($A1291,'CONTROLE PRODUÇÃO POR EMPRESAS'!$A$6:$A$5000,0),MOD(ROW()-2,6)+1)="","",IFERROR(1*INDEX('CONTROLE PRODUÇÃO POR EMPRESAS'!$B$6:$G$5000,MATCH($A1291,'CONTROLE PRODUÇÃO POR EMPRESAS'!$A$6:$A$5000,0),MOD(ROW()-2,6)+1),"")),"")</f>
        <v/>
      </c>
      <c r="I1291" s="159">
        <f>IF(OR(NOT(ISNUMBER(G1291)),NOT(ISNUMBER(H1291))),"",H1291-G1291)</f>
        <v/>
      </c>
      <c r="J1291" s="319">
        <f>IF(OR(NOT(ISNUMBER(G1291)),NOT(ISNUMBER(H1291)),G1291=0),"",I1291/G1291)</f>
        <v/>
      </c>
      <c r="K1291" s="319">
        <f>IF(OR(NOT(ISNUMBER(G1291)),NOT(ISNUMBER(H1291)),G1291=0),"",H1291/G1291)</f>
        <v/>
      </c>
      <c r="L1291">
        <f>IF(NOT(ISNUMBER(G1291)),"SEM META",IF(G1291=0,"SEM META",IF(NOT(ISNUMBER(H1291)),"SEM APONTAMENTO",IF(H1291&gt;=G1291,"VERDE",IF(H1291&gt;=G1291*0.9,"AMARELO","VERMELHO")))))</f>
        <v/>
      </c>
      <c r="M1291" s="162" t="n"/>
      <c r="N1291" s="162" t="n"/>
      <c r="O1291" s="162" t="n"/>
      <c r="P1291" s="162" t="n"/>
      <c r="Q1291" s="320" t="n"/>
      <c r="R1291" s="162" t="inlineStr">
        <is>
          <t>CONTROLE PRODUÇÃO POR EMPRESAS!G220</t>
        </is>
      </c>
    </row>
    <row r="1292" ht="28.5" customHeight="1">
      <c r="A1292" s="317" t="n">
        <v>46438</v>
      </c>
      <c r="B1292" t="inlineStr">
        <is>
          <t>GERAL</t>
        </is>
      </c>
      <c r="C1292" t="inlineStr">
        <is>
          <t>EJ</t>
        </is>
      </c>
      <c r="D1292" t="inlineStr">
        <is>
          <t>PREMONTAGEM</t>
        </is>
      </c>
      <c r="F1292" s="159">
        <f>IFERROR(INDEX('BASE METAS DIÁRIAS'!$N$2:$S$358,MATCH($A1292,'BASE METAS DIÁRIAS'!$A$2:$A$358,0),MOD(ROW()-2,6)+1),"")</f>
        <v/>
      </c>
      <c r="G1292" s="159">
        <f>IFERROR(IF(WEEKDAY($A1292,2)&lt;=INDEX('BASE METAS DIÁRIAS'!$H$2:$M$358,MATCH($A1292,'BASE METAS DIÁRIAS'!$A$2:$A$358,0),MOD(ROW()-2,6)+1),INDEX('BASE METAS DIÁRIAS'!$B$2:$G$358,MATCH($A1292,'BASE METAS DIÁRIAS'!$A$2:$A$358,0),MOD(ROW()-2,6)+1),""),"")</f>
        <v/>
      </c>
      <c r="H1292" s="159">
        <f>IFERROR(IF(INDEX('CONTROLE PRODUÇÃO POR EMPRESAS'!$B$6:$G$5000,MATCH($A1292,'CONTROLE PRODUÇÃO POR EMPRESAS'!$A$6:$A$5000,0),MOD(ROW()-2,6)+1)="","",IFERROR(1*INDEX('CONTROLE PRODUÇÃO POR EMPRESAS'!$B$6:$G$5000,MATCH($A1292,'CONTROLE PRODUÇÃO POR EMPRESAS'!$A$6:$A$5000,0),MOD(ROW()-2,6)+1),"")),"")</f>
        <v/>
      </c>
      <c r="I1292" s="159">
        <f>IF(OR(NOT(ISNUMBER(G1292)),NOT(ISNUMBER(H1292))),"",H1292-G1292)</f>
        <v/>
      </c>
      <c r="J1292" s="319">
        <f>IF(OR(NOT(ISNUMBER(G1292)),NOT(ISNUMBER(H1292)),G1292=0),"",I1292/G1292)</f>
        <v/>
      </c>
      <c r="K1292" s="319">
        <f>IF(OR(NOT(ISNUMBER(G1292)),NOT(ISNUMBER(H1292)),G1292=0),"",H1292/G1292)</f>
        <v/>
      </c>
      <c r="L1292">
        <f>IF(NOT(ISNUMBER(G1292)),"SEM META",IF(G1292=0,"SEM META",IF(NOT(ISNUMBER(H1292)),"SEM APONTAMENTO",IF(H1292&gt;=G1292,"VERDE",IF(H1292&gt;=G1292*0.9,"AMARELO","VERMELHO")))))</f>
        <v/>
      </c>
      <c r="M1292" s="162" t="n"/>
      <c r="N1292" s="162" t="n"/>
      <c r="O1292" s="162" t="n"/>
      <c r="P1292" s="162" t="n"/>
      <c r="Q1292" s="320" t="n"/>
      <c r="R1292" s="162" t="inlineStr">
        <is>
          <t>CONTROLE PRODUÇÃO POR EMPRESAS!B221</t>
        </is>
      </c>
    </row>
    <row r="1293" ht="28.5" customHeight="1">
      <c r="A1293" s="317" t="n">
        <v>46438</v>
      </c>
      <c r="B1293" t="inlineStr">
        <is>
          <t>GERAL</t>
        </is>
      </c>
      <c r="C1293" t="inlineStr">
        <is>
          <t>EJ</t>
        </is>
      </c>
      <c r="D1293" t="inlineStr">
        <is>
          <t>IÇAMENTO JOIST</t>
        </is>
      </c>
      <c r="F1293" s="159">
        <f>IFERROR(INDEX('BASE METAS DIÁRIAS'!$N$2:$S$358,MATCH($A1293,'BASE METAS DIÁRIAS'!$A$2:$A$358,0),MOD(ROW()-2,6)+1),"")</f>
        <v/>
      </c>
      <c r="G1293" s="159">
        <f>IFERROR(IF(WEEKDAY($A1293,2)&lt;=INDEX('BASE METAS DIÁRIAS'!$H$2:$M$358,MATCH($A1293,'BASE METAS DIÁRIAS'!$A$2:$A$358,0),MOD(ROW()-2,6)+1),INDEX('BASE METAS DIÁRIAS'!$B$2:$G$358,MATCH($A1293,'BASE METAS DIÁRIAS'!$A$2:$A$358,0),MOD(ROW()-2,6)+1),""),"")</f>
        <v/>
      </c>
      <c r="H1293" s="159">
        <f>IFERROR(IF(INDEX('CONTROLE PRODUÇÃO POR EMPRESAS'!$B$6:$G$5000,MATCH($A1293,'CONTROLE PRODUÇÃO POR EMPRESAS'!$A$6:$A$5000,0),MOD(ROW()-2,6)+1)="","",IFERROR(1*INDEX('CONTROLE PRODUÇÃO POR EMPRESAS'!$B$6:$G$5000,MATCH($A1293,'CONTROLE PRODUÇÃO POR EMPRESAS'!$A$6:$A$5000,0),MOD(ROW()-2,6)+1),"")),"")</f>
        <v/>
      </c>
      <c r="I1293" s="159">
        <f>IF(OR(NOT(ISNUMBER(G1293)),NOT(ISNUMBER(H1293))),"",H1293-G1293)</f>
        <v/>
      </c>
      <c r="J1293" s="319">
        <f>IF(OR(NOT(ISNUMBER(G1293)),NOT(ISNUMBER(H1293)),G1293=0),"",I1293/G1293)</f>
        <v/>
      </c>
      <c r="K1293" s="319">
        <f>IF(OR(NOT(ISNUMBER(G1293)),NOT(ISNUMBER(H1293)),G1293=0),"",H1293/G1293)</f>
        <v/>
      </c>
      <c r="L1293">
        <f>IF(NOT(ISNUMBER(G1293)),"SEM META",IF(G1293=0,"SEM META",IF(NOT(ISNUMBER(H1293)),"SEM APONTAMENTO",IF(H1293&gt;=G1293,"VERDE",IF(H1293&gt;=G1293*0.9,"AMARELO","VERMELHO")))))</f>
        <v/>
      </c>
      <c r="M1293" s="162" t="n"/>
      <c r="N1293" s="162" t="n"/>
      <c r="O1293" s="162" t="n"/>
      <c r="P1293" s="162" t="n"/>
      <c r="Q1293" s="320" t="n"/>
      <c r="R1293" s="162" t="inlineStr">
        <is>
          <t>CONTROLE PRODUÇÃO POR EMPRESAS!C221</t>
        </is>
      </c>
    </row>
    <row r="1294" ht="28.5" customHeight="1">
      <c r="A1294" s="317" t="n">
        <v>46438</v>
      </c>
      <c r="B1294" t="inlineStr">
        <is>
          <t>GERAL</t>
        </is>
      </c>
      <c r="C1294" t="inlineStr">
        <is>
          <t>EJ</t>
        </is>
      </c>
      <c r="D1294" t="inlineStr">
        <is>
          <t>VIGAS</t>
        </is>
      </c>
      <c r="F1294" s="159">
        <f>IFERROR(INDEX('BASE METAS DIÁRIAS'!$N$2:$S$358,MATCH($A1294,'BASE METAS DIÁRIAS'!$A$2:$A$358,0),MOD(ROW()-2,6)+1),"")</f>
        <v/>
      </c>
      <c r="G1294" s="159">
        <f>IFERROR(IF(WEEKDAY($A1294,2)&lt;=INDEX('BASE METAS DIÁRIAS'!$H$2:$M$358,MATCH($A1294,'BASE METAS DIÁRIAS'!$A$2:$A$358,0),MOD(ROW()-2,6)+1),INDEX('BASE METAS DIÁRIAS'!$B$2:$G$358,MATCH($A1294,'BASE METAS DIÁRIAS'!$A$2:$A$358,0),MOD(ROW()-2,6)+1),""),"")</f>
        <v/>
      </c>
      <c r="H1294" s="159">
        <f>IFERROR(IF(INDEX('CONTROLE PRODUÇÃO POR EMPRESAS'!$B$6:$G$5000,MATCH($A1294,'CONTROLE PRODUÇÃO POR EMPRESAS'!$A$6:$A$5000,0),MOD(ROW()-2,6)+1)="","",IFERROR(1*INDEX('CONTROLE PRODUÇÃO POR EMPRESAS'!$B$6:$G$5000,MATCH($A1294,'CONTROLE PRODUÇÃO POR EMPRESAS'!$A$6:$A$5000,0),MOD(ROW()-2,6)+1),"")),"")</f>
        <v/>
      </c>
      <c r="I1294" s="159">
        <f>IF(OR(NOT(ISNUMBER(G1294)),NOT(ISNUMBER(H1294))),"",H1294-G1294)</f>
        <v/>
      </c>
      <c r="J1294" s="319">
        <f>IF(OR(NOT(ISNUMBER(G1294)),NOT(ISNUMBER(H1294)),G1294=0),"",I1294/G1294)</f>
        <v/>
      </c>
      <c r="K1294" s="319">
        <f>IF(OR(NOT(ISNUMBER(G1294)),NOT(ISNUMBER(H1294)),G1294=0),"",H1294/G1294)</f>
        <v/>
      </c>
      <c r="L1294">
        <f>IF(NOT(ISNUMBER(G1294)),"SEM META",IF(G1294=0,"SEM META",IF(NOT(ISNUMBER(H1294)),"SEM APONTAMENTO",IF(H1294&gt;=G1294,"VERDE",IF(H1294&gt;=G1294*0.9,"AMARELO","VERMELHO")))))</f>
        <v/>
      </c>
      <c r="M1294" s="162" t="n"/>
      <c r="N1294" s="162" t="n"/>
      <c r="O1294" s="162" t="n"/>
      <c r="P1294" s="162" t="n"/>
      <c r="Q1294" s="320" t="n"/>
      <c r="R1294" s="162" t="inlineStr">
        <is>
          <t>CONTROLE PRODUÇÃO POR EMPRESAS!D221</t>
        </is>
      </c>
    </row>
    <row r="1295" ht="28.5" customHeight="1">
      <c r="A1295" s="317" t="n">
        <v>46438</v>
      </c>
      <c r="B1295" t="inlineStr">
        <is>
          <t>GERAL</t>
        </is>
      </c>
      <c r="C1295" t="inlineStr">
        <is>
          <t>CMM</t>
        </is>
      </c>
      <c r="D1295" t="inlineStr">
        <is>
          <t>PREMONTAGEM</t>
        </is>
      </c>
      <c r="F1295" s="159">
        <f>IFERROR(INDEX('BASE METAS DIÁRIAS'!$N$2:$S$358,MATCH($A1295,'BASE METAS DIÁRIAS'!$A$2:$A$358,0),MOD(ROW()-2,6)+1),"")</f>
        <v/>
      </c>
      <c r="G1295" s="159">
        <f>IFERROR(IF(WEEKDAY($A1295,2)&lt;=INDEX('BASE METAS DIÁRIAS'!$H$2:$M$358,MATCH($A1295,'BASE METAS DIÁRIAS'!$A$2:$A$358,0),MOD(ROW()-2,6)+1),INDEX('BASE METAS DIÁRIAS'!$B$2:$G$358,MATCH($A1295,'BASE METAS DIÁRIAS'!$A$2:$A$358,0),MOD(ROW()-2,6)+1),""),"")</f>
        <v/>
      </c>
      <c r="H1295" s="159">
        <f>IFERROR(IF(INDEX('CONTROLE PRODUÇÃO POR EMPRESAS'!$B$6:$G$5000,MATCH($A1295,'CONTROLE PRODUÇÃO POR EMPRESAS'!$A$6:$A$5000,0),MOD(ROW()-2,6)+1)="","",IFERROR(1*INDEX('CONTROLE PRODUÇÃO POR EMPRESAS'!$B$6:$G$5000,MATCH($A1295,'CONTROLE PRODUÇÃO POR EMPRESAS'!$A$6:$A$5000,0),MOD(ROW()-2,6)+1),"")),"")</f>
        <v/>
      </c>
      <c r="I1295" s="159">
        <f>IF(OR(NOT(ISNUMBER(G1295)),NOT(ISNUMBER(H1295))),"",H1295-G1295)</f>
        <v/>
      </c>
      <c r="J1295" s="319">
        <f>IF(OR(NOT(ISNUMBER(G1295)),NOT(ISNUMBER(H1295)),G1295=0),"",I1295/G1295)</f>
        <v/>
      </c>
      <c r="K1295" s="319">
        <f>IF(OR(NOT(ISNUMBER(G1295)),NOT(ISNUMBER(H1295)),G1295=0),"",H1295/G1295)</f>
        <v/>
      </c>
      <c r="L1295">
        <f>IF(NOT(ISNUMBER(G1295)),"SEM META",IF(G1295=0,"SEM META",IF(NOT(ISNUMBER(H1295)),"SEM APONTAMENTO",IF(H1295&gt;=G1295,"VERDE",IF(H1295&gt;=G1295*0.9,"AMARELO","VERMELHO")))))</f>
        <v/>
      </c>
      <c r="M1295" s="162" t="n"/>
      <c r="N1295" s="162" t="n"/>
      <c r="O1295" s="162" t="n"/>
      <c r="P1295" s="162" t="n"/>
      <c r="Q1295" s="320" t="n"/>
      <c r="R1295" s="162" t="inlineStr">
        <is>
          <t>CONTROLE PRODUÇÃO POR EMPRESAS!E221</t>
        </is>
      </c>
    </row>
    <row r="1296" ht="28.5" customHeight="1">
      <c r="A1296" s="317" t="n">
        <v>46438</v>
      </c>
      <c r="B1296" t="inlineStr">
        <is>
          <t>GERAL</t>
        </is>
      </c>
      <c r="C1296" t="inlineStr">
        <is>
          <t>CMM</t>
        </is>
      </c>
      <c r="D1296" t="inlineStr">
        <is>
          <t>IÇAMENTO JOIST</t>
        </is>
      </c>
      <c r="F1296" s="159">
        <f>IFERROR(INDEX('BASE METAS DIÁRIAS'!$N$2:$S$358,MATCH($A1296,'BASE METAS DIÁRIAS'!$A$2:$A$358,0),MOD(ROW()-2,6)+1),"")</f>
        <v/>
      </c>
      <c r="G1296" s="159">
        <f>IFERROR(IF(WEEKDAY($A1296,2)&lt;=INDEX('BASE METAS DIÁRIAS'!$H$2:$M$358,MATCH($A1296,'BASE METAS DIÁRIAS'!$A$2:$A$358,0),MOD(ROW()-2,6)+1),INDEX('BASE METAS DIÁRIAS'!$B$2:$G$358,MATCH($A1296,'BASE METAS DIÁRIAS'!$A$2:$A$358,0),MOD(ROW()-2,6)+1),""),"")</f>
        <v/>
      </c>
      <c r="H1296" s="159">
        <f>IFERROR(IF(INDEX('CONTROLE PRODUÇÃO POR EMPRESAS'!$B$6:$G$5000,MATCH($A1296,'CONTROLE PRODUÇÃO POR EMPRESAS'!$A$6:$A$5000,0),MOD(ROW()-2,6)+1)="","",IFERROR(1*INDEX('CONTROLE PRODUÇÃO POR EMPRESAS'!$B$6:$G$5000,MATCH($A1296,'CONTROLE PRODUÇÃO POR EMPRESAS'!$A$6:$A$5000,0),MOD(ROW()-2,6)+1),"")),"")</f>
        <v/>
      </c>
      <c r="I1296" s="159">
        <f>IF(OR(NOT(ISNUMBER(G1296)),NOT(ISNUMBER(H1296))),"",H1296-G1296)</f>
        <v/>
      </c>
      <c r="J1296" s="319">
        <f>IF(OR(NOT(ISNUMBER(G1296)),NOT(ISNUMBER(H1296)),G1296=0),"",I1296/G1296)</f>
        <v/>
      </c>
      <c r="K1296" s="319">
        <f>IF(OR(NOT(ISNUMBER(G1296)),NOT(ISNUMBER(H1296)),G1296=0),"",H1296/G1296)</f>
        <v/>
      </c>
      <c r="L1296">
        <f>IF(NOT(ISNUMBER(G1296)),"SEM META",IF(G1296=0,"SEM META",IF(NOT(ISNUMBER(H1296)),"SEM APONTAMENTO",IF(H1296&gt;=G1296,"VERDE",IF(H1296&gt;=G1296*0.9,"AMARELO","VERMELHO")))))</f>
        <v/>
      </c>
      <c r="M1296" s="162" t="n"/>
      <c r="N1296" s="162" t="n"/>
      <c r="O1296" s="162" t="n"/>
      <c r="P1296" s="162" t="n"/>
      <c r="Q1296" s="320" t="n"/>
      <c r="R1296" s="162" t="inlineStr">
        <is>
          <t>CONTROLE PRODUÇÃO POR EMPRESAS!F221</t>
        </is>
      </c>
    </row>
    <row r="1297" ht="28.5" customHeight="1">
      <c r="A1297" s="317" t="n">
        <v>46438</v>
      </c>
      <c r="B1297" t="inlineStr">
        <is>
          <t>GERAL</t>
        </is>
      </c>
      <c r="C1297" t="inlineStr">
        <is>
          <t>CMM</t>
        </is>
      </c>
      <c r="D1297" t="inlineStr">
        <is>
          <t>VIGAS</t>
        </is>
      </c>
      <c r="F1297" s="159">
        <f>IFERROR(INDEX('BASE METAS DIÁRIAS'!$N$2:$S$358,MATCH($A1297,'BASE METAS DIÁRIAS'!$A$2:$A$358,0),MOD(ROW()-2,6)+1),"")</f>
        <v/>
      </c>
      <c r="G1297" s="159">
        <f>IFERROR(IF(WEEKDAY($A1297,2)&lt;=INDEX('BASE METAS DIÁRIAS'!$H$2:$M$358,MATCH($A1297,'BASE METAS DIÁRIAS'!$A$2:$A$358,0),MOD(ROW()-2,6)+1),INDEX('BASE METAS DIÁRIAS'!$B$2:$G$358,MATCH($A1297,'BASE METAS DIÁRIAS'!$A$2:$A$358,0),MOD(ROW()-2,6)+1),""),"")</f>
        <v/>
      </c>
      <c r="H1297" s="159">
        <f>IFERROR(IF(INDEX('CONTROLE PRODUÇÃO POR EMPRESAS'!$B$6:$G$5000,MATCH($A1297,'CONTROLE PRODUÇÃO POR EMPRESAS'!$A$6:$A$5000,0),MOD(ROW()-2,6)+1)="","",IFERROR(1*INDEX('CONTROLE PRODUÇÃO POR EMPRESAS'!$B$6:$G$5000,MATCH($A1297,'CONTROLE PRODUÇÃO POR EMPRESAS'!$A$6:$A$5000,0),MOD(ROW()-2,6)+1),"")),"")</f>
        <v/>
      </c>
      <c r="I1297" s="159">
        <f>IF(OR(NOT(ISNUMBER(G1297)),NOT(ISNUMBER(H1297))),"",H1297-G1297)</f>
        <v/>
      </c>
      <c r="J1297" s="319">
        <f>IF(OR(NOT(ISNUMBER(G1297)),NOT(ISNUMBER(H1297)),G1297=0),"",I1297/G1297)</f>
        <v/>
      </c>
      <c r="K1297" s="319">
        <f>IF(OR(NOT(ISNUMBER(G1297)),NOT(ISNUMBER(H1297)),G1297=0),"",H1297/G1297)</f>
        <v/>
      </c>
      <c r="L1297">
        <f>IF(NOT(ISNUMBER(G1297)),"SEM META",IF(G1297=0,"SEM META",IF(NOT(ISNUMBER(H1297)),"SEM APONTAMENTO",IF(H1297&gt;=G1297,"VERDE",IF(H1297&gt;=G1297*0.9,"AMARELO","VERMELHO")))))</f>
        <v/>
      </c>
      <c r="M1297" s="162" t="n"/>
      <c r="N1297" s="162" t="n"/>
      <c r="O1297" s="162" t="n"/>
      <c r="P1297" s="162" t="n"/>
      <c r="Q1297" s="320" t="n"/>
      <c r="R1297" s="162" t="inlineStr">
        <is>
          <t>CONTROLE PRODUÇÃO POR EMPRESAS!G221</t>
        </is>
      </c>
    </row>
    <row r="1298" ht="28.5" customHeight="1">
      <c r="A1298" s="317" t="n">
        <v>46439</v>
      </c>
      <c r="B1298" t="inlineStr">
        <is>
          <t>GERAL</t>
        </is>
      </c>
      <c r="C1298" t="inlineStr">
        <is>
          <t>EJ</t>
        </is>
      </c>
      <c r="D1298" t="inlineStr">
        <is>
          <t>PREMONTAGEM</t>
        </is>
      </c>
      <c r="F1298" s="159">
        <f>IFERROR(INDEX('BASE METAS DIÁRIAS'!$N$2:$S$358,MATCH($A1298,'BASE METAS DIÁRIAS'!$A$2:$A$358,0),MOD(ROW()-2,6)+1),"")</f>
        <v/>
      </c>
      <c r="G1298" s="159">
        <f>IFERROR(IF(WEEKDAY($A1298,2)&lt;=INDEX('BASE METAS DIÁRIAS'!$H$2:$M$358,MATCH($A1298,'BASE METAS DIÁRIAS'!$A$2:$A$358,0),MOD(ROW()-2,6)+1),INDEX('BASE METAS DIÁRIAS'!$B$2:$G$358,MATCH($A1298,'BASE METAS DIÁRIAS'!$A$2:$A$358,0),MOD(ROW()-2,6)+1),""),"")</f>
        <v/>
      </c>
      <c r="H1298" s="159">
        <f>IFERROR(IF(INDEX('CONTROLE PRODUÇÃO POR EMPRESAS'!$B$6:$G$5000,MATCH($A1298,'CONTROLE PRODUÇÃO POR EMPRESAS'!$A$6:$A$5000,0),MOD(ROW()-2,6)+1)="","",IFERROR(1*INDEX('CONTROLE PRODUÇÃO POR EMPRESAS'!$B$6:$G$5000,MATCH($A1298,'CONTROLE PRODUÇÃO POR EMPRESAS'!$A$6:$A$5000,0),MOD(ROW()-2,6)+1),"")),"")</f>
        <v/>
      </c>
      <c r="I1298" s="159">
        <f>IF(OR(NOT(ISNUMBER(G1298)),NOT(ISNUMBER(H1298))),"",H1298-G1298)</f>
        <v/>
      </c>
      <c r="J1298" s="319">
        <f>IF(OR(NOT(ISNUMBER(G1298)),NOT(ISNUMBER(H1298)),G1298=0),"",I1298/G1298)</f>
        <v/>
      </c>
      <c r="K1298" s="319">
        <f>IF(OR(NOT(ISNUMBER(G1298)),NOT(ISNUMBER(H1298)),G1298=0),"",H1298/G1298)</f>
        <v/>
      </c>
      <c r="L1298">
        <f>IF(NOT(ISNUMBER(G1298)),"SEM META",IF(G1298=0,"SEM META",IF(NOT(ISNUMBER(H1298)),"SEM APONTAMENTO",IF(H1298&gt;=G1298,"VERDE",IF(H1298&gt;=G1298*0.9,"AMARELO","VERMELHO")))))</f>
        <v/>
      </c>
      <c r="M1298" s="162" t="n"/>
      <c r="N1298" s="162" t="n"/>
      <c r="O1298" s="162" t="n"/>
      <c r="P1298" s="162" t="n"/>
      <c r="Q1298" s="320" t="n"/>
      <c r="R1298" s="162" t="inlineStr">
        <is>
          <t>CONTROLE PRODUÇÃO POR EMPRESAS!B222</t>
        </is>
      </c>
    </row>
    <row r="1299" ht="28.5" customHeight="1">
      <c r="A1299" s="317" t="n">
        <v>46439</v>
      </c>
      <c r="B1299" t="inlineStr">
        <is>
          <t>GERAL</t>
        </is>
      </c>
      <c r="C1299" t="inlineStr">
        <is>
          <t>EJ</t>
        </is>
      </c>
      <c r="D1299" t="inlineStr">
        <is>
          <t>IÇAMENTO JOIST</t>
        </is>
      </c>
      <c r="F1299" s="159">
        <f>IFERROR(INDEX('BASE METAS DIÁRIAS'!$N$2:$S$358,MATCH($A1299,'BASE METAS DIÁRIAS'!$A$2:$A$358,0),MOD(ROW()-2,6)+1),"")</f>
        <v/>
      </c>
      <c r="G1299" s="159">
        <f>IFERROR(IF(WEEKDAY($A1299,2)&lt;=INDEX('BASE METAS DIÁRIAS'!$H$2:$M$358,MATCH($A1299,'BASE METAS DIÁRIAS'!$A$2:$A$358,0),MOD(ROW()-2,6)+1),INDEX('BASE METAS DIÁRIAS'!$B$2:$G$358,MATCH($A1299,'BASE METAS DIÁRIAS'!$A$2:$A$358,0),MOD(ROW()-2,6)+1),""),"")</f>
        <v/>
      </c>
      <c r="H1299" s="159">
        <f>IFERROR(IF(INDEX('CONTROLE PRODUÇÃO POR EMPRESAS'!$B$6:$G$5000,MATCH($A1299,'CONTROLE PRODUÇÃO POR EMPRESAS'!$A$6:$A$5000,0),MOD(ROW()-2,6)+1)="","",IFERROR(1*INDEX('CONTROLE PRODUÇÃO POR EMPRESAS'!$B$6:$G$5000,MATCH($A1299,'CONTROLE PRODUÇÃO POR EMPRESAS'!$A$6:$A$5000,0),MOD(ROW()-2,6)+1),"")),"")</f>
        <v/>
      </c>
      <c r="I1299" s="159">
        <f>IF(OR(NOT(ISNUMBER(G1299)),NOT(ISNUMBER(H1299))),"",H1299-G1299)</f>
        <v/>
      </c>
      <c r="J1299" s="319">
        <f>IF(OR(NOT(ISNUMBER(G1299)),NOT(ISNUMBER(H1299)),G1299=0),"",I1299/G1299)</f>
        <v/>
      </c>
      <c r="K1299" s="319">
        <f>IF(OR(NOT(ISNUMBER(G1299)),NOT(ISNUMBER(H1299)),G1299=0),"",H1299/G1299)</f>
        <v/>
      </c>
      <c r="L1299">
        <f>IF(NOT(ISNUMBER(G1299)),"SEM META",IF(G1299=0,"SEM META",IF(NOT(ISNUMBER(H1299)),"SEM APONTAMENTO",IF(H1299&gt;=G1299,"VERDE",IF(H1299&gt;=G1299*0.9,"AMARELO","VERMELHO")))))</f>
        <v/>
      </c>
      <c r="M1299" s="162" t="n"/>
      <c r="N1299" s="162" t="n"/>
      <c r="O1299" s="162" t="n"/>
      <c r="P1299" s="162" t="n"/>
      <c r="Q1299" s="320" t="n"/>
      <c r="R1299" s="162" t="inlineStr">
        <is>
          <t>CONTROLE PRODUÇÃO POR EMPRESAS!C222</t>
        </is>
      </c>
    </row>
    <row r="1300" ht="28.5" customHeight="1">
      <c r="A1300" s="317" t="n">
        <v>46439</v>
      </c>
      <c r="B1300" t="inlineStr">
        <is>
          <t>GERAL</t>
        </is>
      </c>
      <c r="C1300" t="inlineStr">
        <is>
          <t>EJ</t>
        </is>
      </c>
      <c r="D1300" t="inlineStr">
        <is>
          <t>VIGAS</t>
        </is>
      </c>
      <c r="F1300" s="159">
        <f>IFERROR(INDEX('BASE METAS DIÁRIAS'!$N$2:$S$358,MATCH($A1300,'BASE METAS DIÁRIAS'!$A$2:$A$358,0),MOD(ROW()-2,6)+1),"")</f>
        <v/>
      </c>
      <c r="G1300" s="159">
        <f>IFERROR(IF(WEEKDAY($A1300,2)&lt;=INDEX('BASE METAS DIÁRIAS'!$H$2:$M$358,MATCH($A1300,'BASE METAS DIÁRIAS'!$A$2:$A$358,0),MOD(ROW()-2,6)+1),INDEX('BASE METAS DIÁRIAS'!$B$2:$G$358,MATCH($A1300,'BASE METAS DIÁRIAS'!$A$2:$A$358,0),MOD(ROW()-2,6)+1),""),"")</f>
        <v/>
      </c>
      <c r="H1300" s="159">
        <f>IFERROR(IF(INDEX('CONTROLE PRODUÇÃO POR EMPRESAS'!$B$6:$G$5000,MATCH($A1300,'CONTROLE PRODUÇÃO POR EMPRESAS'!$A$6:$A$5000,0),MOD(ROW()-2,6)+1)="","",IFERROR(1*INDEX('CONTROLE PRODUÇÃO POR EMPRESAS'!$B$6:$G$5000,MATCH($A1300,'CONTROLE PRODUÇÃO POR EMPRESAS'!$A$6:$A$5000,0),MOD(ROW()-2,6)+1),"")),"")</f>
        <v/>
      </c>
      <c r="I1300" s="159">
        <f>IF(OR(NOT(ISNUMBER(G1300)),NOT(ISNUMBER(H1300))),"",H1300-G1300)</f>
        <v/>
      </c>
      <c r="J1300" s="319">
        <f>IF(OR(NOT(ISNUMBER(G1300)),NOT(ISNUMBER(H1300)),G1300=0),"",I1300/G1300)</f>
        <v/>
      </c>
      <c r="K1300" s="319">
        <f>IF(OR(NOT(ISNUMBER(G1300)),NOT(ISNUMBER(H1300)),G1300=0),"",H1300/G1300)</f>
        <v/>
      </c>
      <c r="L1300">
        <f>IF(NOT(ISNUMBER(G1300)),"SEM META",IF(G1300=0,"SEM META",IF(NOT(ISNUMBER(H1300)),"SEM APONTAMENTO",IF(H1300&gt;=G1300,"VERDE",IF(H1300&gt;=G1300*0.9,"AMARELO","VERMELHO")))))</f>
        <v/>
      </c>
      <c r="M1300" s="162" t="n"/>
      <c r="N1300" s="162" t="n"/>
      <c r="O1300" s="162" t="n"/>
      <c r="P1300" s="162" t="n"/>
      <c r="Q1300" s="320" t="n"/>
      <c r="R1300" s="162" t="inlineStr">
        <is>
          <t>CONTROLE PRODUÇÃO POR EMPRESAS!D222</t>
        </is>
      </c>
    </row>
    <row r="1301" ht="28.5" customHeight="1">
      <c r="A1301" s="317" t="n">
        <v>46439</v>
      </c>
      <c r="B1301" t="inlineStr">
        <is>
          <t>GERAL</t>
        </is>
      </c>
      <c r="C1301" t="inlineStr">
        <is>
          <t>CMM</t>
        </is>
      </c>
      <c r="D1301" t="inlineStr">
        <is>
          <t>PREMONTAGEM</t>
        </is>
      </c>
      <c r="F1301" s="159">
        <f>IFERROR(INDEX('BASE METAS DIÁRIAS'!$N$2:$S$358,MATCH($A1301,'BASE METAS DIÁRIAS'!$A$2:$A$358,0),MOD(ROW()-2,6)+1),"")</f>
        <v/>
      </c>
      <c r="G1301" s="159">
        <f>IFERROR(IF(WEEKDAY($A1301,2)&lt;=INDEX('BASE METAS DIÁRIAS'!$H$2:$M$358,MATCH($A1301,'BASE METAS DIÁRIAS'!$A$2:$A$358,0),MOD(ROW()-2,6)+1),INDEX('BASE METAS DIÁRIAS'!$B$2:$G$358,MATCH($A1301,'BASE METAS DIÁRIAS'!$A$2:$A$358,0),MOD(ROW()-2,6)+1),""),"")</f>
        <v/>
      </c>
      <c r="H1301" s="159">
        <f>IFERROR(IF(INDEX('CONTROLE PRODUÇÃO POR EMPRESAS'!$B$6:$G$5000,MATCH($A1301,'CONTROLE PRODUÇÃO POR EMPRESAS'!$A$6:$A$5000,0),MOD(ROW()-2,6)+1)="","",IFERROR(1*INDEX('CONTROLE PRODUÇÃO POR EMPRESAS'!$B$6:$G$5000,MATCH($A1301,'CONTROLE PRODUÇÃO POR EMPRESAS'!$A$6:$A$5000,0),MOD(ROW()-2,6)+1),"")),"")</f>
        <v/>
      </c>
      <c r="I1301" s="159">
        <f>IF(OR(NOT(ISNUMBER(G1301)),NOT(ISNUMBER(H1301))),"",H1301-G1301)</f>
        <v/>
      </c>
      <c r="J1301" s="319">
        <f>IF(OR(NOT(ISNUMBER(G1301)),NOT(ISNUMBER(H1301)),G1301=0),"",I1301/G1301)</f>
        <v/>
      </c>
      <c r="K1301" s="319">
        <f>IF(OR(NOT(ISNUMBER(G1301)),NOT(ISNUMBER(H1301)),G1301=0),"",H1301/G1301)</f>
        <v/>
      </c>
      <c r="L1301">
        <f>IF(NOT(ISNUMBER(G1301)),"SEM META",IF(G1301=0,"SEM META",IF(NOT(ISNUMBER(H1301)),"SEM APONTAMENTO",IF(H1301&gt;=G1301,"VERDE",IF(H1301&gt;=G1301*0.9,"AMARELO","VERMELHO")))))</f>
        <v/>
      </c>
      <c r="M1301" s="162" t="n"/>
      <c r="N1301" s="162" t="n"/>
      <c r="O1301" s="162" t="n"/>
      <c r="P1301" s="162" t="n"/>
      <c r="Q1301" s="320" t="n"/>
      <c r="R1301" s="162" t="inlineStr">
        <is>
          <t>CONTROLE PRODUÇÃO POR EMPRESAS!E222</t>
        </is>
      </c>
    </row>
    <row r="1302" ht="28.5" customHeight="1">
      <c r="A1302" s="317" t="n">
        <v>46439</v>
      </c>
      <c r="B1302" t="inlineStr">
        <is>
          <t>GERAL</t>
        </is>
      </c>
      <c r="C1302" t="inlineStr">
        <is>
          <t>CMM</t>
        </is>
      </c>
      <c r="D1302" t="inlineStr">
        <is>
          <t>IÇAMENTO JOIST</t>
        </is>
      </c>
      <c r="F1302" s="159">
        <f>IFERROR(INDEX('BASE METAS DIÁRIAS'!$N$2:$S$358,MATCH($A1302,'BASE METAS DIÁRIAS'!$A$2:$A$358,0),MOD(ROW()-2,6)+1),"")</f>
        <v/>
      </c>
      <c r="G1302" s="159">
        <f>IFERROR(IF(WEEKDAY($A1302,2)&lt;=INDEX('BASE METAS DIÁRIAS'!$H$2:$M$358,MATCH($A1302,'BASE METAS DIÁRIAS'!$A$2:$A$358,0),MOD(ROW()-2,6)+1),INDEX('BASE METAS DIÁRIAS'!$B$2:$G$358,MATCH($A1302,'BASE METAS DIÁRIAS'!$A$2:$A$358,0),MOD(ROW()-2,6)+1),""),"")</f>
        <v/>
      </c>
      <c r="H1302" s="159">
        <f>IFERROR(IF(INDEX('CONTROLE PRODUÇÃO POR EMPRESAS'!$B$6:$G$5000,MATCH($A1302,'CONTROLE PRODUÇÃO POR EMPRESAS'!$A$6:$A$5000,0),MOD(ROW()-2,6)+1)="","",IFERROR(1*INDEX('CONTROLE PRODUÇÃO POR EMPRESAS'!$B$6:$G$5000,MATCH($A1302,'CONTROLE PRODUÇÃO POR EMPRESAS'!$A$6:$A$5000,0),MOD(ROW()-2,6)+1),"")),"")</f>
        <v/>
      </c>
      <c r="I1302" s="159">
        <f>IF(OR(NOT(ISNUMBER(G1302)),NOT(ISNUMBER(H1302))),"",H1302-G1302)</f>
        <v/>
      </c>
      <c r="J1302" s="319">
        <f>IF(OR(NOT(ISNUMBER(G1302)),NOT(ISNUMBER(H1302)),G1302=0),"",I1302/G1302)</f>
        <v/>
      </c>
      <c r="K1302" s="319">
        <f>IF(OR(NOT(ISNUMBER(G1302)),NOT(ISNUMBER(H1302)),G1302=0),"",H1302/G1302)</f>
        <v/>
      </c>
      <c r="L1302">
        <f>IF(NOT(ISNUMBER(G1302)),"SEM META",IF(G1302=0,"SEM META",IF(NOT(ISNUMBER(H1302)),"SEM APONTAMENTO",IF(H1302&gt;=G1302,"VERDE",IF(H1302&gt;=G1302*0.9,"AMARELO","VERMELHO")))))</f>
        <v/>
      </c>
      <c r="M1302" s="162" t="n"/>
      <c r="N1302" s="162" t="n"/>
      <c r="O1302" s="162" t="n"/>
      <c r="P1302" s="162" t="n"/>
      <c r="Q1302" s="320" t="n"/>
      <c r="R1302" s="162" t="inlineStr">
        <is>
          <t>CONTROLE PRODUÇÃO POR EMPRESAS!F222</t>
        </is>
      </c>
    </row>
    <row r="1303" ht="28.5" customHeight="1">
      <c r="A1303" s="317" t="n">
        <v>46439</v>
      </c>
      <c r="B1303" t="inlineStr">
        <is>
          <t>GERAL</t>
        </is>
      </c>
      <c r="C1303" t="inlineStr">
        <is>
          <t>CMM</t>
        </is>
      </c>
      <c r="D1303" t="inlineStr">
        <is>
          <t>VIGAS</t>
        </is>
      </c>
      <c r="F1303" s="159">
        <f>IFERROR(INDEX('BASE METAS DIÁRIAS'!$N$2:$S$358,MATCH($A1303,'BASE METAS DIÁRIAS'!$A$2:$A$358,0),MOD(ROW()-2,6)+1),"")</f>
        <v/>
      </c>
      <c r="G1303" s="159">
        <f>IFERROR(IF(WEEKDAY($A1303,2)&lt;=INDEX('BASE METAS DIÁRIAS'!$H$2:$M$358,MATCH($A1303,'BASE METAS DIÁRIAS'!$A$2:$A$358,0),MOD(ROW()-2,6)+1),INDEX('BASE METAS DIÁRIAS'!$B$2:$G$358,MATCH($A1303,'BASE METAS DIÁRIAS'!$A$2:$A$358,0),MOD(ROW()-2,6)+1),""),"")</f>
        <v/>
      </c>
      <c r="H1303" s="159">
        <f>IFERROR(IF(INDEX('CONTROLE PRODUÇÃO POR EMPRESAS'!$B$6:$G$5000,MATCH($A1303,'CONTROLE PRODUÇÃO POR EMPRESAS'!$A$6:$A$5000,0),MOD(ROW()-2,6)+1)="","",IFERROR(1*INDEX('CONTROLE PRODUÇÃO POR EMPRESAS'!$B$6:$G$5000,MATCH($A1303,'CONTROLE PRODUÇÃO POR EMPRESAS'!$A$6:$A$5000,0),MOD(ROW()-2,6)+1),"")),"")</f>
        <v/>
      </c>
      <c r="I1303" s="159">
        <f>IF(OR(NOT(ISNUMBER(G1303)),NOT(ISNUMBER(H1303))),"",H1303-G1303)</f>
        <v/>
      </c>
      <c r="J1303" s="319">
        <f>IF(OR(NOT(ISNUMBER(G1303)),NOT(ISNUMBER(H1303)),G1303=0),"",I1303/G1303)</f>
        <v/>
      </c>
      <c r="K1303" s="319">
        <f>IF(OR(NOT(ISNUMBER(G1303)),NOT(ISNUMBER(H1303)),G1303=0),"",H1303/G1303)</f>
        <v/>
      </c>
      <c r="L1303">
        <f>IF(NOT(ISNUMBER(G1303)),"SEM META",IF(G1303=0,"SEM META",IF(NOT(ISNUMBER(H1303)),"SEM APONTAMENTO",IF(H1303&gt;=G1303,"VERDE",IF(H1303&gt;=G1303*0.9,"AMARELO","VERMELHO")))))</f>
        <v/>
      </c>
      <c r="M1303" s="162" t="n"/>
      <c r="N1303" s="162" t="n"/>
      <c r="O1303" s="162" t="n"/>
      <c r="P1303" s="162" t="n"/>
      <c r="Q1303" s="320" t="n"/>
      <c r="R1303" s="162" t="inlineStr">
        <is>
          <t>CONTROLE PRODUÇÃO POR EMPRESAS!G222</t>
        </is>
      </c>
    </row>
    <row r="1304" ht="28.5" customHeight="1">
      <c r="A1304" s="317" t="n">
        <v>46440</v>
      </c>
      <c r="B1304" t="inlineStr">
        <is>
          <t>GERAL</t>
        </is>
      </c>
      <c r="C1304" t="inlineStr">
        <is>
          <t>EJ</t>
        </is>
      </c>
      <c r="D1304" t="inlineStr">
        <is>
          <t>PREMONTAGEM</t>
        </is>
      </c>
      <c r="F1304" s="159">
        <f>IFERROR(INDEX('BASE METAS DIÁRIAS'!$N$2:$S$358,MATCH($A1304,'BASE METAS DIÁRIAS'!$A$2:$A$358,0),MOD(ROW()-2,6)+1),"")</f>
        <v/>
      </c>
      <c r="G1304" s="159">
        <f>IFERROR(IF(WEEKDAY($A1304,2)&lt;=INDEX('BASE METAS DIÁRIAS'!$H$2:$M$358,MATCH($A1304,'BASE METAS DIÁRIAS'!$A$2:$A$358,0),MOD(ROW()-2,6)+1),INDEX('BASE METAS DIÁRIAS'!$B$2:$G$358,MATCH($A1304,'BASE METAS DIÁRIAS'!$A$2:$A$358,0),MOD(ROW()-2,6)+1),""),"")</f>
        <v/>
      </c>
      <c r="H1304" s="159">
        <f>IFERROR(IF(INDEX('CONTROLE PRODUÇÃO POR EMPRESAS'!$B$6:$G$5000,MATCH($A1304,'CONTROLE PRODUÇÃO POR EMPRESAS'!$A$6:$A$5000,0),MOD(ROW()-2,6)+1)="","",IFERROR(1*INDEX('CONTROLE PRODUÇÃO POR EMPRESAS'!$B$6:$G$5000,MATCH($A1304,'CONTROLE PRODUÇÃO POR EMPRESAS'!$A$6:$A$5000,0),MOD(ROW()-2,6)+1),"")),"")</f>
        <v/>
      </c>
      <c r="I1304" s="159">
        <f>IF(OR(NOT(ISNUMBER(G1304)),NOT(ISNUMBER(H1304))),"",H1304-G1304)</f>
        <v/>
      </c>
      <c r="J1304" s="319">
        <f>IF(OR(NOT(ISNUMBER(G1304)),NOT(ISNUMBER(H1304)),G1304=0),"",I1304/G1304)</f>
        <v/>
      </c>
      <c r="K1304" s="319">
        <f>IF(OR(NOT(ISNUMBER(G1304)),NOT(ISNUMBER(H1304)),G1304=0),"",H1304/G1304)</f>
        <v/>
      </c>
      <c r="L1304">
        <f>IF(NOT(ISNUMBER(G1304)),"SEM META",IF(G1304=0,"SEM META",IF(NOT(ISNUMBER(H1304)),"SEM APONTAMENTO",IF(H1304&gt;=G1304,"VERDE",IF(H1304&gt;=G1304*0.9,"AMARELO","VERMELHO")))))</f>
        <v/>
      </c>
      <c r="M1304" s="162" t="n"/>
      <c r="N1304" s="162" t="n"/>
      <c r="O1304" s="162" t="n"/>
      <c r="P1304" s="162" t="n"/>
      <c r="Q1304" s="320" t="n"/>
      <c r="R1304" s="162" t="inlineStr">
        <is>
          <t>CONTROLE PRODUÇÃO POR EMPRESAS!B223</t>
        </is>
      </c>
    </row>
    <row r="1305" ht="28.5" customHeight="1">
      <c r="A1305" s="317" t="n">
        <v>46440</v>
      </c>
      <c r="B1305" t="inlineStr">
        <is>
          <t>GERAL</t>
        </is>
      </c>
      <c r="C1305" t="inlineStr">
        <is>
          <t>EJ</t>
        </is>
      </c>
      <c r="D1305" t="inlineStr">
        <is>
          <t>IÇAMENTO JOIST</t>
        </is>
      </c>
      <c r="F1305" s="159">
        <f>IFERROR(INDEX('BASE METAS DIÁRIAS'!$N$2:$S$358,MATCH($A1305,'BASE METAS DIÁRIAS'!$A$2:$A$358,0),MOD(ROW()-2,6)+1),"")</f>
        <v/>
      </c>
      <c r="G1305" s="159">
        <f>IFERROR(IF(WEEKDAY($A1305,2)&lt;=INDEX('BASE METAS DIÁRIAS'!$H$2:$M$358,MATCH($A1305,'BASE METAS DIÁRIAS'!$A$2:$A$358,0),MOD(ROW()-2,6)+1),INDEX('BASE METAS DIÁRIAS'!$B$2:$G$358,MATCH($A1305,'BASE METAS DIÁRIAS'!$A$2:$A$358,0),MOD(ROW()-2,6)+1),""),"")</f>
        <v/>
      </c>
      <c r="H1305" s="159">
        <f>IFERROR(IF(INDEX('CONTROLE PRODUÇÃO POR EMPRESAS'!$B$6:$G$5000,MATCH($A1305,'CONTROLE PRODUÇÃO POR EMPRESAS'!$A$6:$A$5000,0),MOD(ROW()-2,6)+1)="","",IFERROR(1*INDEX('CONTROLE PRODUÇÃO POR EMPRESAS'!$B$6:$G$5000,MATCH($A1305,'CONTROLE PRODUÇÃO POR EMPRESAS'!$A$6:$A$5000,0),MOD(ROW()-2,6)+1),"")),"")</f>
        <v/>
      </c>
      <c r="I1305" s="159">
        <f>IF(OR(NOT(ISNUMBER(G1305)),NOT(ISNUMBER(H1305))),"",H1305-G1305)</f>
        <v/>
      </c>
      <c r="J1305" s="319">
        <f>IF(OR(NOT(ISNUMBER(G1305)),NOT(ISNUMBER(H1305)),G1305=0),"",I1305/G1305)</f>
        <v/>
      </c>
      <c r="K1305" s="319">
        <f>IF(OR(NOT(ISNUMBER(G1305)),NOT(ISNUMBER(H1305)),G1305=0),"",H1305/G1305)</f>
        <v/>
      </c>
      <c r="L1305">
        <f>IF(NOT(ISNUMBER(G1305)),"SEM META",IF(G1305=0,"SEM META",IF(NOT(ISNUMBER(H1305)),"SEM APONTAMENTO",IF(H1305&gt;=G1305,"VERDE",IF(H1305&gt;=G1305*0.9,"AMARELO","VERMELHO")))))</f>
        <v/>
      </c>
      <c r="M1305" s="162" t="n"/>
      <c r="N1305" s="162" t="n"/>
      <c r="O1305" s="162" t="n"/>
      <c r="P1305" s="162" t="n"/>
      <c r="Q1305" s="320" t="n"/>
      <c r="R1305" s="162" t="inlineStr">
        <is>
          <t>CONTROLE PRODUÇÃO POR EMPRESAS!C223</t>
        </is>
      </c>
    </row>
    <row r="1306" ht="28.5" customHeight="1">
      <c r="A1306" s="317" t="n">
        <v>46440</v>
      </c>
      <c r="B1306" t="inlineStr">
        <is>
          <t>GERAL</t>
        </is>
      </c>
      <c r="C1306" t="inlineStr">
        <is>
          <t>EJ</t>
        </is>
      </c>
      <c r="D1306" t="inlineStr">
        <is>
          <t>VIGAS</t>
        </is>
      </c>
      <c r="F1306" s="159">
        <f>IFERROR(INDEX('BASE METAS DIÁRIAS'!$N$2:$S$358,MATCH($A1306,'BASE METAS DIÁRIAS'!$A$2:$A$358,0),MOD(ROW()-2,6)+1),"")</f>
        <v/>
      </c>
      <c r="G1306" s="159">
        <f>IFERROR(IF(WEEKDAY($A1306,2)&lt;=INDEX('BASE METAS DIÁRIAS'!$H$2:$M$358,MATCH($A1306,'BASE METAS DIÁRIAS'!$A$2:$A$358,0),MOD(ROW()-2,6)+1),INDEX('BASE METAS DIÁRIAS'!$B$2:$G$358,MATCH($A1306,'BASE METAS DIÁRIAS'!$A$2:$A$358,0),MOD(ROW()-2,6)+1),""),"")</f>
        <v/>
      </c>
      <c r="H1306" s="159">
        <f>IFERROR(IF(INDEX('CONTROLE PRODUÇÃO POR EMPRESAS'!$B$6:$G$5000,MATCH($A1306,'CONTROLE PRODUÇÃO POR EMPRESAS'!$A$6:$A$5000,0),MOD(ROW()-2,6)+1)="","",IFERROR(1*INDEX('CONTROLE PRODUÇÃO POR EMPRESAS'!$B$6:$G$5000,MATCH($A1306,'CONTROLE PRODUÇÃO POR EMPRESAS'!$A$6:$A$5000,0),MOD(ROW()-2,6)+1),"")),"")</f>
        <v/>
      </c>
      <c r="I1306" s="159">
        <f>IF(OR(NOT(ISNUMBER(G1306)),NOT(ISNUMBER(H1306))),"",H1306-G1306)</f>
        <v/>
      </c>
      <c r="J1306" s="319">
        <f>IF(OR(NOT(ISNUMBER(G1306)),NOT(ISNUMBER(H1306)),G1306=0),"",I1306/G1306)</f>
        <v/>
      </c>
      <c r="K1306" s="319">
        <f>IF(OR(NOT(ISNUMBER(G1306)),NOT(ISNUMBER(H1306)),G1306=0),"",H1306/G1306)</f>
        <v/>
      </c>
      <c r="L1306">
        <f>IF(NOT(ISNUMBER(G1306)),"SEM META",IF(G1306=0,"SEM META",IF(NOT(ISNUMBER(H1306)),"SEM APONTAMENTO",IF(H1306&gt;=G1306,"VERDE",IF(H1306&gt;=G1306*0.9,"AMARELO","VERMELHO")))))</f>
        <v/>
      </c>
      <c r="M1306" s="162" t="n"/>
      <c r="N1306" s="162" t="n"/>
      <c r="O1306" s="162" t="n"/>
      <c r="P1306" s="162" t="n"/>
      <c r="Q1306" s="320" t="n"/>
      <c r="R1306" s="162" t="inlineStr">
        <is>
          <t>CONTROLE PRODUÇÃO POR EMPRESAS!D223</t>
        </is>
      </c>
    </row>
    <row r="1307" ht="28.5" customHeight="1">
      <c r="A1307" s="317" t="n">
        <v>46440</v>
      </c>
      <c r="B1307" t="inlineStr">
        <is>
          <t>GERAL</t>
        </is>
      </c>
      <c r="C1307" t="inlineStr">
        <is>
          <t>CMM</t>
        </is>
      </c>
      <c r="D1307" t="inlineStr">
        <is>
          <t>PREMONTAGEM</t>
        </is>
      </c>
      <c r="F1307" s="159">
        <f>IFERROR(INDEX('BASE METAS DIÁRIAS'!$N$2:$S$358,MATCH($A1307,'BASE METAS DIÁRIAS'!$A$2:$A$358,0),MOD(ROW()-2,6)+1),"")</f>
        <v/>
      </c>
      <c r="G1307" s="159">
        <f>IFERROR(IF(WEEKDAY($A1307,2)&lt;=INDEX('BASE METAS DIÁRIAS'!$H$2:$M$358,MATCH($A1307,'BASE METAS DIÁRIAS'!$A$2:$A$358,0),MOD(ROW()-2,6)+1),INDEX('BASE METAS DIÁRIAS'!$B$2:$G$358,MATCH($A1307,'BASE METAS DIÁRIAS'!$A$2:$A$358,0),MOD(ROW()-2,6)+1),""),"")</f>
        <v/>
      </c>
      <c r="H1307" s="159">
        <f>IFERROR(IF(INDEX('CONTROLE PRODUÇÃO POR EMPRESAS'!$B$6:$G$5000,MATCH($A1307,'CONTROLE PRODUÇÃO POR EMPRESAS'!$A$6:$A$5000,0),MOD(ROW()-2,6)+1)="","",IFERROR(1*INDEX('CONTROLE PRODUÇÃO POR EMPRESAS'!$B$6:$G$5000,MATCH($A1307,'CONTROLE PRODUÇÃO POR EMPRESAS'!$A$6:$A$5000,0),MOD(ROW()-2,6)+1),"")),"")</f>
        <v/>
      </c>
      <c r="I1307" s="159">
        <f>IF(OR(NOT(ISNUMBER(G1307)),NOT(ISNUMBER(H1307))),"",H1307-G1307)</f>
        <v/>
      </c>
      <c r="J1307" s="319">
        <f>IF(OR(NOT(ISNUMBER(G1307)),NOT(ISNUMBER(H1307)),G1307=0),"",I1307/G1307)</f>
        <v/>
      </c>
      <c r="K1307" s="319">
        <f>IF(OR(NOT(ISNUMBER(G1307)),NOT(ISNUMBER(H1307)),G1307=0),"",H1307/G1307)</f>
        <v/>
      </c>
      <c r="L1307">
        <f>IF(NOT(ISNUMBER(G1307)),"SEM META",IF(G1307=0,"SEM META",IF(NOT(ISNUMBER(H1307)),"SEM APONTAMENTO",IF(H1307&gt;=G1307,"VERDE",IF(H1307&gt;=G1307*0.9,"AMARELO","VERMELHO")))))</f>
        <v/>
      </c>
      <c r="M1307" s="162" t="n"/>
      <c r="N1307" s="162" t="n"/>
      <c r="O1307" s="162" t="n"/>
      <c r="P1307" s="162" t="n"/>
      <c r="Q1307" s="320" t="n"/>
      <c r="R1307" s="162" t="inlineStr">
        <is>
          <t>CONTROLE PRODUÇÃO POR EMPRESAS!E223</t>
        </is>
      </c>
    </row>
    <row r="1308" ht="28.5" customHeight="1">
      <c r="A1308" s="317" t="n">
        <v>46440</v>
      </c>
      <c r="B1308" t="inlineStr">
        <is>
          <t>GERAL</t>
        </is>
      </c>
      <c r="C1308" t="inlineStr">
        <is>
          <t>CMM</t>
        </is>
      </c>
      <c r="D1308" t="inlineStr">
        <is>
          <t>IÇAMENTO JOIST</t>
        </is>
      </c>
      <c r="F1308" s="159">
        <f>IFERROR(INDEX('BASE METAS DIÁRIAS'!$N$2:$S$358,MATCH($A1308,'BASE METAS DIÁRIAS'!$A$2:$A$358,0),MOD(ROW()-2,6)+1),"")</f>
        <v/>
      </c>
      <c r="G1308" s="159">
        <f>IFERROR(IF(WEEKDAY($A1308,2)&lt;=INDEX('BASE METAS DIÁRIAS'!$H$2:$M$358,MATCH($A1308,'BASE METAS DIÁRIAS'!$A$2:$A$358,0),MOD(ROW()-2,6)+1),INDEX('BASE METAS DIÁRIAS'!$B$2:$G$358,MATCH($A1308,'BASE METAS DIÁRIAS'!$A$2:$A$358,0),MOD(ROW()-2,6)+1),""),"")</f>
        <v/>
      </c>
      <c r="H1308" s="159">
        <f>IFERROR(IF(INDEX('CONTROLE PRODUÇÃO POR EMPRESAS'!$B$6:$G$5000,MATCH($A1308,'CONTROLE PRODUÇÃO POR EMPRESAS'!$A$6:$A$5000,0),MOD(ROW()-2,6)+1)="","",IFERROR(1*INDEX('CONTROLE PRODUÇÃO POR EMPRESAS'!$B$6:$G$5000,MATCH($A1308,'CONTROLE PRODUÇÃO POR EMPRESAS'!$A$6:$A$5000,0),MOD(ROW()-2,6)+1),"")),"")</f>
        <v/>
      </c>
      <c r="I1308" s="159">
        <f>IF(OR(NOT(ISNUMBER(G1308)),NOT(ISNUMBER(H1308))),"",H1308-G1308)</f>
        <v/>
      </c>
      <c r="J1308" s="319">
        <f>IF(OR(NOT(ISNUMBER(G1308)),NOT(ISNUMBER(H1308)),G1308=0),"",I1308/G1308)</f>
        <v/>
      </c>
      <c r="K1308" s="319">
        <f>IF(OR(NOT(ISNUMBER(G1308)),NOT(ISNUMBER(H1308)),G1308=0),"",H1308/G1308)</f>
        <v/>
      </c>
      <c r="L1308">
        <f>IF(NOT(ISNUMBER(G1308)),"SEM META",IF(G1308=0,"SEM META",IF(NOT(ISNUMBER(H1308)),"SEM APONTAMENTO",IF(H1308&gt;=G1308,"VERDE",IF(H1308&gt;=G1308*0.9,"AMARELO","VERMELHO")))))</f>
        <v/>
      </c>
      <c r="M1308" s="162" t="n"/>
      <c r="N1308" s="162" t="n"/>
      <c r="O1308" s="162" t="n"/>
      <c r="P1308" s="162" t="n"/>
      <c r="Q1308" s="320" t="n"/>
      <c r="R1308" s="162" t="inlineStr">
        <is>
          <t>CONTROLE PRODUÇÃO POR EMPRESAS!F223</t>
        </is>
      </c>
    </row>
    <row r="1309" ht="28.5" customHeight="1">
      <c r="A1309" s="317" t="n">
        <v>46440</v>
      </c>
      <c r="B1309" t="inlineStr">
        <is>
          <t>GERAL</t>
        </is>
      </c>
      <c r="C1309" t="inlineStr">
        <is>
          <t>CMM</t>
        </is>
      </c>
      <c r="D1309" t="inlineStr">
        <is>
          <t>VIGAS</t>
        </is>
      </c>
      <c r="F1309" s="159">
        <f>IFERROR(INDEX('BASE METAS DIÁRIAS'!$N$2:$S$358,MATCH($A1309,'BASE METAS DIÁRIAS'!$A$2:$A$358,0),MOD(ROW()-2,6)+1),"")</f>
        <v/>
      </c>
      <c r="G1309" s="159">
        <f>IFERROR(IF(WEEKDAY($A1309,2)&lt;=INDEX('BASE METAS DIÁRIAS'!$H$2:$M$358,MATCH($A1309,'BASE METAS DIÁRIAS'!$A$2:$A$358,0),MOD(ROW()-2,6)+1),INDEX('BASE METAS DIÁRIAS'!$B$2:$G$358,MATCH($A1309,'BASE METAS DIÁRIAS'!$A$2:$A$358,0),MOD(ROW()-2,6)+1),""),"")</f>
        <v/>
      </c>
      <c r="H1309" s="159">
        <f>IFERROR(IF(INDEX('CONTROLE PRODUÇÃO POR EMPRESAS'!$B$6:$G$5000,MATCH($A1309,'CONTROLE PRODUÇÃO POR EMPRESAS'!$A$6:$A$5000,0),MOD(ROW()-2,6)+1)="","",IFERROR(1*INDEX('CONTROLE PRODUÇÃO POR EMPRESAS'!$B$6:$G$5000,MATCH($A1309,'CONTROLE PRODUÇÃO POR EMPRESAS'!$A$6:$A$5000,0),MOD(ROW()-2,6)+1),"")),"")</f>
        <v/>
      </c>
      <c r="I1309" s="159">
        <f>IF(OR(NOT(ISNUMBER(G1309)),NOT(ISNUMBER(H1309))),"",H1309-G1309)</f>
        <v/>
      </c>
      <c r="J1309" s="319">
        <f>IF(OR(NOT(ISNUMBER(G1309)),NOT(ISNUMBER(H1309)),G1309=0),"",I1309/G1309)</f>
        <v/>
      </c>
      <c r="K1309" s="319">
        <f>IF(OR(NOT(ISNUMBER(G1309)),NOT(ISNUMBER(H1309)),G1309=0),"",H1309/G1309)</f>
        <v/>
      </c>
      <c r="L1309">
        <f>IF(NOT(ISNUMBER(G1309)),"SEM META",IF(G1309=0,"SEM META",IF(NOT(ISNUMBER(H1309)),"SEM APONTAMENTO",IF(H1309&gt;=G1309,"VERDE",IF(H1309&gt;=G1309*0.9,"AMARELO","VERMELHO")))))</f>
        <v/>
      </c>
      <c r="M1309" s="162" t="n"/>
      <c r="N1309" s="162" t="n"/>
      <c r="O1309" s="162" t="n"/>
      <c r="P1309" s="162" t="n"/>
      <c r="Q1309" s="320" t="n"/>
      <c r="R1309" s="162" t="inlineStr">
        <is>
          <t>CONTROLE PRODUÇÃO POR EMPRESAS!G223</t>
        </is>
      </c>
    </row>
    <row r="1310" ht="28.5" customHeight="1">
      <c r="A1310" s="317" t="n">
        <v>46441</v>
      </c>
      <c r="B1310" t="inlineStr">
        <is>
          <t>GERAL</t>
        </is>
      </c>
      <c r="C1310" t="inlineStr">
        <is>
          <t>EJ</t>
        </is>
      </c>
      <c r="D1310" t="inlineStr">
        <is>
          <t>PREMONTAGEM</t>
        </is>
      </c>
      <c r="F1310" s="159">
        <f>IFERROR(INDEX('BASE METAS DIÁRIAS'!$N$2:$S$358,MATCH($A1310,'BASE METAS DIÁRIAS'!$A$2:$A$358,0),MOD(ROW()-2,6)+1),"")</f>
        <v/>
      </c>
      <c r="G1310" s="159">
        <f>IFERROR(IF(WEEKDAY($A1310,2)&lt;=INDEX('BASE METAS DIÁRIAS'!$H$2:$M$358,MATCH($A1310,'BASE METAS DIÁRIAS'!$A$2:$A$358,0),MOD(ROW()-2,6)+1),INDEX('BASE METAS DIÁRIAS'!$B$2:$G$358,MATCH($A1310,'BASE METAS DIÁRIAS'!$A$2:$A$358,0),MOD(ROW()-2,6)+1),""),"")</f>
        <v/>
      </c>
      <c r="H1310" s="159">
        <f>IFERROR(IF(INDEX('CONTROLE PRODUÇÃO POR EMPRESAS'!$B$6:$G$5000,MATCH($A1310,'CONTROLE PRODUÇÃO POR EMPRESAS'!$A$6:$A$5000,0),MOD(ROW()-2,6)+1)="","",IFERROR(1*INDEX('CONTROLE PRODUÇÃO POR EMPRESAS'!$B$6:$G$5000,MATCH($A1310,'CONTROLE PRODUÇÃO POR EMPRESAS'!$A$6:$A$5000,0),MOD(ROW()-2,6)+1),"")),"")</f>
        <v/>
      </c>
      <c r="I1310" s="159">
        <f>IF(OR(NOT(ISNUMBER(G1310)),NOT(ISNUMBER(H1310))),"",H1310-G1310)</f>
        <v/>
      </c>
      <c r="J1310" s="319">
        <f>IF(OR(NOT(ISNUMBER(G1310)),NOT(ISNUMBER(H1310)),G1310=0),"",I1310/G1310)</f>
        <v/>
      </c>
      <c r="K1310" s="319">
        <f>IF(OR(NOT(ISNUMBER(G1310)),NOT(ISNUMBER(H1310)),G1310=0),"",H1310/G1310)</f>
        <v/>
      </c>
      <c r="L1310">
        <f>IF(NOT(ISNUMBER(G1310)),"SEM META",IF(G1310=0,"SEM META",IF(NOT(ISNUMBER(H1310)),"SEM APONTAMENTO",IF(H1310&gt;=G1310,"VERDE",IF(H1310&gt;=G1310*0.9,"AMARELO","VERMELHO")))))</f>
        <v/>
      </c>
      <c r="M1310" s="162" t="n"/>
      <c r="N1310" s="162" t="n"/>
      <c r="O1310" s="162" t="n"/>
      <c r="P1310" s="162" t="n"/>
      <c r="Q1310" s="320" t="n"/>
      <c r="R1310" s="162" t="inlineStr">
        <is>
          <t>CONTROLE PRODUÇÃO POR EMPRESAS!B224</t>
        </is>
      </c>
    </row>
    <row r="1311" ht="28.5" customHeight="1">
      <c r="A1311" s="317" t="n">
        <v>46441</v>
      </c>
      <c r="B1311" t="inlineStr">
        <is>
          <t>GERAL</t>
        </is>
      </c>
      <c r="C1311" t="inlineStr">
        <is>
          <t>EJ</t>
        </is>
      </c>
      <c r="D1311" t="inlineStr">
        <is>
          <t>IÇAMENTO JOIST</t>
        </is>
      </c>
      <c r="F1311" s="159">
        <f>IFERROR(INDEX('BASE METAS DIÁRIAS'!$N$2:$S$358,MATCH($A1311,'BASE METAS DIÁRIAS'!$A$2:$A$358,0),MOD(ROW()-2,6)+1),"")</f>
        <v/>
      </c>
      <c r="G1311" s="159">
        <f>IFERROR(IF(WEEKDAY($A1311,2)&lt;=INDEX('BASE METAS DIÁRIAS'!$H$2:$M$358,MATCH($A1311,'BASE METAS DIÁRIAS'!$A$2:$A$358,0),MOD(ROW()-2,6)+1),INDEX('BASE METAS DIÁRIAS'!$B$2:$G$358,MATCH($A1311,'BASE METAS DIÁRIAS'!$A$2:$A$358,0),MOD(ROW()-2,6)+1),""),"")</f>
        <v/>
      </c>
      <c r="H1311" s="159">
        <f>IFERROR(IF(INDEX('CONTROLE PRODUÇÃO POR EMPRESAS'!$B$6:$G$5000,MATCH($A1311,'CONTROLE PRODUÇÃO POR EMPRESAS'!$A$6:$A$5000,0),MOD(ROW()-2,6)+1)="","",IFERROR(1*INDEX('CONTROLE PRODUÇÃO POR EMPRESAS'!$B$6:$G$5000,MATCH($A1311,'CONTROLE PRODUÇÃO POR EMPRESAS'!$A$6:$A$5000,0),MOD(ROW()-2,6)+1),"")),"")</f>
        <v/>
      </c>
      <c r="I1311" s="159">
        <f>IF(OR(NOT(ISNUMBER(G1311)),NOT(ISNUMBER(H1311))),"",H1311-G1311)</f>
        <v/>
      </c>
      <c r="J1311" s="319">
        <f>IF(OR(NOT(ISNUMBER(G1311)),NOT(ISNUMBER(H1311)),G1311=0),"",I1311/G1311)</f>
        <v/>
      </c>
      <c r="K1311" s="319">
        <f>IF(OR(NOT(ISNUMBER(G1311)),NOT(ISNUMBER(H1311)),G1311=0),"",H1311/G1311)</f>
        <v/>
      </c>
      <c r="L1311">
        <f>IF(NOT(ISNUMBER(G1311)),"SEM META",IF(G1311=0,"SEM META",IF(NOT(ISNUMBER(H1311)),"SEM APONTAMENTO",IF(H1311&gt;=G1311,"VERDE",IF(H1311&gt;=G1311*0.9,"AMARELO","VERMELHO")))))</f>
        <v/>
      </c>
      <c r="M1311" s="162" t="n"/>
      <c r="N1311" s="162" t="n"/>
      <c r="O1311" s="162" t="n"/>
      <c r="P1311" s="162" t="n"/>
      <c r="Q1311" s="320" t="n"/>
      <c r="R1311" s="162" t="inlineStr">
        <is>
          <t>CONTROLE PRODUÇÃO POR EMPRESAS!C224</t>
        </is>
      </c>
    </row>
    <row r="1312" ht="28.5" customHeight="1">
      <c r="A1312" s="317" t="n">
        <v>46441</v>
      </c>
      <c r="B1312" t="inlineStr">
        <is>
          <t>GERAL</t>
        </is>
      </c>
      <c r="C1312" t="inlineStr">
        <is>
          <t>EJ</t>
        </is>
      </c>
      <c r="D1312" t="inlineStr">
        <is>
          <t>VIGAS</t>
        </is>
      </c>
      <c r="F1312" s="159">
        <f>IFERROR(INDEX('BASE METAS DIÁRIAS'!$N$2:$S$358,MATCH($A1312,'BASE METAS DIÁRIAS'!$A$2:$A$358,0),MOD(ROW()-2,6)+1),"")</f>
        <v/>
      </c>
      <c r="G1312" s="159">
        <f>IFERROR(IF(WEEKDAY($A1312,2)&lt;=INDEX('BASE METAS DIÁRIAS'!$H$2:$M$358,MATCH($A1312,'BASE METAS DIÁRIAS'!$A$2:$A$358,0),MOD(ROW()-2,6)+1),INDEX('BASE METAS DIÁRIAS'!$B$2:$G$358,MATCH($A1312,'BASE METAS DIÁRIAS'!$A$2:$A$358,0),MOD(ROW()-2,6)+1),""),"")</f>
        <v/>
      </c>
      <c r="H1312" s="159">
        <f>IFERROR(IF(INDEX('CONTROLE PRODUÇÃO POR EMPRESAS'!$B$6:$G$5000,MATCH($A1312,'CONTROLE PRODUÇÃO POR EMPRESAS'!$A$6:$A$5000,0),MOD(ROW()-2,6)+1)="","",IFERROR(1*INDEX('CONTROLE PRODUÇÃO POR EMPRESAS'!$B$6:$G$5000,MATCH($A1312,'CONTROLE PRODUÇÃO POR EMPRESAS'!$A$6:$A$5000,0),MOD(ROW()-2,6)+1),"")),"")</f>
        <v/>
      </c>
      <c r="I1312" s="159">
        <f>IF(OR(NOT(ISNUMBER(G1312)),NOT(ISNUMBER(H1312))),"",H1312-G1312)</f>
        <v/>
      </c>
      <c r="J1312" s="319">
        <f>IF(OR(NOT(ISNUMBER(G1312)),NOT(ISNUMBER(H1312)),G1312=0),"",I1312/G1312)</f>
        <v/>
      </c>
      <c r="K1312" s="319">
        <f>IF(OR(NOT(ISNUMBER(G1312)),NOT(ISNUMBER(H1312)),G1312=0),"",H1312/G1312)</f>
        <v/>
      </c>
      <c r="L1312">
        <f>IF(NOT(ISNUMBER(G1312)),"SEM META",IF(G1312=0,"SEM META",IF(NOT(ISNUMBER(H1312)),"SEM APONTAMENTO",IF(H1312&gt;=G1312,"VERDE",IF(H1312&gt;=G1312*0.9,"AMARELO","VERMELHO")))))</f>
        <v/>
      </c>
      <c r="M1312" s="162" t="n"/>
      <c r="N1312" s="162" t="n"/>
      <c r="O1312" s="162" t="n"/>
      <c r="P1312" s="162" t="n"/>
      <c r="Q1312" s="320" t="n"/>
      <c r="R1312" s="162" t="inlineStr">
        <is>
          <t>CONTROLE PRODUÇÃO POR EMPRESAS!D224</t>
        </is>
      </c>
    </row>
    <row r="1313" ht="28.5" customHeight="1">
      <c r="A1313" s="317" t="n">
        <v>46441</v>
      </c>
      <c r="B1313" t="inlineStr">
        <is>
          <t>GERAL</t>
        </is>
      </c>
      <c r="C1313" t="inlineStr">
        <is>
          <t>CMM</t>
        </is>
      </c>
      <c r="D1313" t="inlineStr">
        <is>
          <t>PREMONTAGEM</t>
        </is>
      </c>
      <c r="F1313" s="159">
        <f>IFERROR(INDEX('BASE METAS DIÁRIAS'!$N$2:$S$358,MATCH($A1313,'BASE METAS DIÁRIAS'!$A$2:$A$358,0),MOD(ROW()-2,6)+1),"")</f>
        <v/>
      </c>
      <c r="G1313" s="159">
        <f>IFERROR(IF(WEEKDAY($A1313,2)&lt;=INDEX('BASE METAS DIÁRIAS'!$H$2:$M$358,MATCH($A1313,'BASE METAS DIÁRIAS'!$A$2:$A$358,0),MOD(ROW()-2,6)+1),INDEX('BASE METAS DIÁRIAS'!$B$2:$G$358,MATCH($A1313,'BASE METAS DIÁRIAS'!$A$2:$A$358,0),MOD(ROW()-2,6)+1),""),"")</f>
        <v/>
      </c>
      <c r="H1313" s="159">
        <f>IFERROR(IF(INDEX('CONTROLE PRODUÇÃO POR EMPRESAS'!$B$6:$G$5000,MATCH($A1313,'CONTROLE PRODUÇÃO POR EMPRESAS'!$A$6:$A$5000,0),MOD(ROW()-2,6)+1)="","",IFERROR(1*INDEX('CONTROLE PRODUÇÃO POR EMPRESAS'!$B$6:$G$5000,MATCH($A1313,'CONTROLE PRODUÇÃO POR EMPRESAS'!$A$6:$A$5000,0),MOD(ROW()-2,6)+1),"")),"")</f>
        <v/>
      </c>
      <c r="I1313" s="159">
        <f>IF(OR(NOT(ISNUMBER(G1313)),NOT(ISNUMBER(H1313))),"",H1313-G1313)</f>
        <v/>
      </c>
      <c r="J1313" s="319">
        <f>IF(OR(NOT(ISNUMBER(G1313)),NOT(ISNUMBER(H1313)),G1313=0),"",I1313/G1313)</f>
        <v/>
      </c>
      <c r="K1313" s="319">
        <f>IF(OR(NOT(ISNUMBER(G1313)),NOT(ISNUMBER(H1313)),G1313=0),"",H1313/G1313)</f>
        <v/>
      </c>
      <c r="L1313">
        <f>IF(NOT(ISNUMBER(G1313)),"SEM META",IF(G1313=0,"SEM META",IF(NOT(ISNUMBER(H1313)),"SEM APONTAMENTO",IF(H1313&gt;=G1313,"VERDE",IF(H1313&gt;=G1313*0.9,"AMARELO","VERMELHO")))))</f>
        <v/>
      </c>
      <c r="M1313" s="162" t="n"/>
      <c r="N1313" s="162" t="n"/>
      <c r="O1313" s="162" t="n"/>
      <c r="P1313" s="162" t="n"/>
      <c r="Q1313" s="320" t="n"/>
      <c r="R1313" s="162" t="inlineStr">
        <is>
          <t>CONTROLE PRODUÇÃO POR EMPRESAS!E224</t>
        </is>
      </c>
    </row>
    <row r="1314" ht="28.5" customHeight="1">
      <c r="A1314" s="317" t="n">
        <v>46441</v>
      </c>
      <c r="B1314" t="inlineStr">
        <is>
          <t>GERAL</t>
        </is>
      </c>
      <c r="C1314" t="inlineStr">
        <is>
          <t>CMM</t>
        </is>
      </c>
      <c r="D1314" t="inlineStr">
        <is>
          <t>IÇAMENTO JOIST</t>
        </is>
      </c>
      <c r="F1314" s="159">
        <f>IFERROR(INDEX('BASE METAS DIÁRIAS'!$N$2:$S$358,MATCH($A1314,'BASE METAS DIÁRIAS'!$A$2:$A$358,0),MOD(ROW()-2,6)+1),"")</f>
        <v/>
      </c>
      <c r="G1314" s="159">
        <f>IFERROR(IF(WEEKDAY($A1314,2)&lt;=INDEX('BASE METAS DIÁRIAS'!$H$2:$M$358,MATCH($A1314,'BASE METAS DIÁRIAS'!$A$2:$A$358,0),MOD(ROW()-2,6)+1),INDEX('BASE METAS DIÁRIAS'!$B$2:$G$358,MATCH($A1314,'BASE METAS DIÁRIAS'!$A$2:$A$358,0),MOD(ROW()-2,6)+1),""),"")</f>
        <v/>
      </c>
      <c r="H1314" s="159">
        <f>IFERROR(IF(INDEX('CONTROLE PRODUÇÃO POR EMPRESAS'!$B$6:$G$5000,MATCH($A1314,'CONTROLE PRODUÇÃO POR EMPRESAS'!$A$6:$A$5000,0),MOD(ROW()-2,6)+1)="","",IFERROR(1*INDEX('CONTROLE PRODUÇÃO POR EMPRESAS'!$B$6:$G$5000,MATCH($A1314,'CONTROLE PRODUÇÃO POR EMPRESAS'!$A$6:$A$5000,0),MOD(ROW()-2,6)+1),"")),"")</f>
        <v/>
      </c>
      <c r="I1314" s="159">
        <f>IF(OR(NOT(ISNUMBER(G1314)),NOT(ISNUMBER(H1314))),"",H1314-G1314)</f>
        <v/>
      </c>
      <c r="J1314" s="319">
        <f>IF(OR(NOT(ISNUMBER(G1314)),NOT(ISNUMBER(H1314)),G1314=0),"",I1314/G1314)</f>
        <v/>
      </c>
      <c r="K1314" s="319">
        <f>IF(OR(NOT(ISNUMBER(G1314)),NOT(ISNUMBER(H1314)),G1314=0),"",H1314/G1314)</f>
        <v/>
      </c>
      <c r="L1314">
        <f>IF(NOT(ISNUMBER(G1314)),"SEM META",IF(G1314=0,"SEM META",IF(NOT(ISNUMBER(H1314)),"SEM APONTAMENTO",IF(H1314&gt;=G1314,"VERDE",IF(H1314&gt;=G1314*0.9,"AMARELO","VERMELHO")))))</f>
        <v/>
      </c>
      <c r="M1314" s="162" t="n"/>
      <c r="N1314" s="162" t="n"/>
      <c r="O1314" s="162" t="n"/>
      <c r="P1314" s="162" t="n"/>
      <c r="Q1314" s="320" t="n"/>
      <c r="R1314" s="162" t="inlineStr">
        <is>
          <t>CONTROLE PRODUÇÃO POR EMPRESAS!F224</t>
        </is>
      </c>
    </row>
    <row r="1315" ht="28.5" customHeight="1">
      <c r="A1315" s="317" t="n">
        <v>46441</v>
      </c>
      <c r="B1315" t="inlineStr">
        <is>
          <t>GERAL</t>
        </is>
      </c>
      <c r="C1315" t="inlineStr">
        <is>
          <t>CMM</t>
        </is>
      </c>
      <c r="D1315" t="inlineStr">
        <is>
          <t>VIGAS</t>
        </is>
      </c>
      <c r="F1315" s="159">
        <f>IFERROR(INDEX('BASE METAS DIÁRIAS'!$N$2:$S$358,MATCH($A1315,'BASE METAS DIÁRIAS'!$A$2:$A$358,0),MOD(ROW()-2,6)+1),"")</f>
        <v/>
      </c>
      <c r="G1315" s="159">
        <f>IFERROR(IF(WEEKDAY($A1315,2)&lt;=INDEX('BASE METAS DIÁRIAS'!$H$2:$M$358,MATCH($A1315,'BASE METAS DIÁRIAS'!$A$2:$A$358,0),MOD(ROW()-2,6)+1),INDEX('BASE METAS DIÁRIAS'!$B$2:$G$358,MATCH($A1315,'BASE METAS DIÁRIAS'!$A$2:$A$358,0),MOD(ROW()-2,6)+1),""),"")</f>
        <v/>
      </c>
      <c r="H1315" s="159">
        <f>IFERROR(IF(INDEX('CONTROLE PRODUÇÃO POR EMPRESAS'!$B$6:$G$5000,MATCH($A1315,'CONTROLE PRODUÇÃO POR EMPRESAS'!$A$6:$A$5000,0),MOD(ROW()-2,6)+1)="","",IFERROR(1*INDEX('CONTROLE PRODUÇÃO POR EMPRESAS'!$B$6:$G$5000,MATCH($A1315,'CONTROLE PRODUÇÃO POR EMPRESAS'!$A$6:$A$5000,0),MOD(ROW()-2,6)+1),"")),"")</f>
        <v/>
      </c>
      <c r="I1315" s="159">
        <f>IF(OR(NOT(ISNUMBER(G1315)),NOT(ISNUMBER(H1315))),"",H1315-G1315)</f>
        <v/>
      </c>
      <c r="J1315" s="319">
        <f>IF(OR(NOT(ISNUMBER(G1315)),NOT(ISNUMBER(H1315)),G1315=0),"",I1315/G1315)</f>
        <v/>
      </c>
      <c r="K1315" s="319">
        <f>IF(OR(NOT(ISNUMBER(G1315)),NOT(ISNUMBER(H1315)),G1315=0),"",H1315/G1315)</f>
        <v/>
      </c>
      <c r="L1315">
        <f>IF(NOT(ISNUMBER(G1315)),"SEM META",IF(G1315=0,"SEM META",IF(NOT(ISNUMBER(H1315)),"SEM APONTAMENTO",IF(H1315&gt;=G1315,"VERDE",IF(H1315&gt;=G1315*0.9,"AMARELO","VERMELHO")))))</f>
        <v/>
      </c>
      <c r="M1315" s="162" t="n"/>
      <c r="N1315" s="162" t="n"/>
      <c r="O1315" s="162" t="n"/>
      <c r="P1315" s="162" t="n"/>
      <c r="Q1315" s="320" t="n"/>
      <c r="R1315" s="162" t="inlineStr">
        <is>
          <t>CONTROLE PRODUÇÃO POR EMPRESAS!G224</t>
        </is>
      </c>
    </row>
    <row r="1316" ht="28.5" customHeight="1">
      <c r="A1316" s="317" t="n">
        <v>46442</v>
      </c>
      <c r="B1316" t="inlineStr">
        <is>
          <t>GERAL</t>
        </is>
      </c>
      <c r="C1316" t="inlineStr">
        <is>
          <t>EJ</t>
        </is>
      </c>
      <c r="D1316" t="inlineStr">
        <is>
          <t>PREMONTAGEM</t>
        </is>
      </c>
      <c r="F1316" s="159">
        <f>IFERROR(INDEX('BASE METAS DIÁRIAS'!$N$2:$S$358,MATCH($A1316,'BASE METAS DIÁRIAS'!$A$2:$A$358,0),MOD(ROW()-2,6)+1),"")</f>
        <v/>
      </c>
      <c r="G1316" s="159">
        <f>IFERROR(IF(WEEKDAY($A1316,2)&lt;=INDEX('BASE METAS DIÁRIAS'!$H$2:$M$358,MATCH($A1316,'BASE METAS DIÁRIAS'!$A$2:$A$358,0),MOD(ROW()-2,6)+1),INDEX('BASE METAS DIÁRIAS'!$B$2:$G$358,MATCH($A1316,'BASE METAS DIÁRIAS'!$A$2:$A$358,0),MOD(ROW()-2,6)+1),""),"")</f>
        <v/>
      </c>
      <c r="H1316" s="159">
        <f>IFERROR(IF(INDEX('CONTROLE PRODUÇÃO POR EMPRESAS'!$B$6:$G$5000,MATCH($A1316,'CONTROLE PRODUÇÃO POR EMPRESAS'!$A$6:$A$5000,0),MOD(ROW()-2,6)+1)="","",IFERROR(1*INDEX('CONTROLE PRODUÇÃO POR EMPRESAS'!$B$6:$G$5000,MATCH($A1316,'CONTROLE PRODUÇÃO POR EMPRESAS'!$A$6:$A$5000,0),MOD(ROW()-2,6)+1),"")),"")</f>
        <v/>
      </c>
      <c r="I1316" s="159">
        <f>IF(OR(NOT(ISNUMBER(G1316)),NOT(ISNUMBER(H1316))),"",H1316-G1316)</f>
        <v/>
      </c>
      <c r="J1316" s="319">
        <f>IF(OR(NOT(ISNUMBER(G1316)),NOT(ISNUMBER(H1316)),G1316=0),"",I1316/G1316)</f>
        <v/>
      </c>
      <c r="K1316" s="319">
        <f>IF(OR(NOT(ISNUMBER(G1316)),NOT(ISNUMBER(H1316)),G1316=0),"",H1316/G1316)</f>
        <v/>
      </c>
      <c r="L1316">
        <f>IF(NOT(ISNUMBER(G1316)),"SEM META",IF(G1316=0,"SEM META",IF(NOT(ISNUMBER(H1316)),"SEM APONTAMENTO",IF(H1316&gt;=G1316,"VERDE",IF(H1316&gt;=G1316*0.9,"AMARELO","VERMELHO")))))</f>
        <v/>
      </c>
      <c r="M1316" s="162" t="n"/>
      <c r="N1316" s="162" t="n"/>
      <c r="O1316" s="162" t="n"/>
      <c r="P1316" s="162" t="n"/>
      <c r="Q1316" s="320" t="n"/>
      <c r="R1316" s="162" t="inlineStr">
        <is>
          <t>CONTROLE PRODUÇÃO POR EMPRESAS!B225</t>
        </is>
      </c>
    </row>
    <row r="1317" ht="28.5" customHeight="1">
      <c r="A1317" s="317" t="n">
        <v>46442</v>
      </c>
      <c r="B1317" t="inlineStr">
        <is>
          <t>GERAL</t>
        </is>
      </c>
      <c r="C1317" t="inlineStr">
        <is>
          <t>EJ</t>
        </is>
      </c>
      <c r="D1317" t="inlineStr">
        <is>
          <t>IÇAMENTO JOIST</t>
        </is>
      </c>
      <c r="F1317" s="159">
        <f>IFERROR(INDEX('BASE METAS DIÁRIAS'!$N$2:$S$358,MATCH($A1317,'BASE METAS DIÁRIAS'!$A$2:$A$358,0),MOD(ROW()-2,6)+1),"")</f>
        <v/>
      </c>
      <c r="G1317" s="159">
        <f>IFERROR(IF(WEEKDAY($A1317,2)&lt;=INDEX('BASE METAS DIÁRIAS'!$H$2:$M$358,MATCH($A1317,'BASE METAS DIÁRIAS'!$A$2:$A$358,0),MOD(ROW()-2,6)+1),INDEX('BASE METAS DIÁRIAS'!$B$2:$G$358,MATCH($A1317,'BASE METAS DIÁRIAS'!$A$2:$A$358,0),MOD(ROW()-2,6)+1),""),"")</f>
        <v/>
      </c>
      <c r="H1317" s="159">
        <f>IFERROR(IF(INDEX('CONTROLE PRODUÇÃO POR EMPRESAS'!$B$6:$G$5000,MATCH($A1317,'CONTROLE PRODUÇÃO POR EMPRESAS'!$A$6:$A$5000,0),MOD(ROW()-2,6)+1)="","",IFERROR(1*INDEX('CONTROLE PRODUÇÃO POR EMPRESAS'!$B$6:$G$5000,MATCH($A1317,'CONTROLE PRODUÇÃO POR EMPRESAS'!$A$6:$A$5000,0),MOD(ROW()-2,6)+1),"")),"")</f>
        <v/>
      </c>
      <c r="I1317" s="159">
        <f>IF(OR(NOT(ISNUMBER(G1317)),NOT(ISNUMBER(H1317))),"",H1317-G1317)</f>
        <v/>
      </c>
      <c r="J1317" s="319">
        <f>IF(OR(NOT(ISNUMBER(G1317)),NOT(ISNUMBER(H1317)),G1317=0),"",I1317/G1317)</f>
        <v/>
      </c>
      <c r="K1317" s="319">
        <f>IF(OR(NOT(ISNUMBER(G1317)),NOT(ISNUMBER(H1317)),G1317=0),"",H1317/G1317)</f>
        <v/>
      </c>
      <c r="L1317">
        <f>IF(NOT(ISNUMBER(G1317)),"SEM META",IF(G1317=0,"SEM META",IF(NOT(ISNUMBER(H1317)),"SEM APONTAMENTO",IF(H1317&gt;=G1317,"VERDE",IF(H1317&gt;=G1317*0.9,"AMARELO","VERMELHO")))))</f>
        <v/>
      </c>
      <c r="M1317" s="162" t="n"/>
      <c r="N1317" s="162" t="n"/>
      <c r="O1317" s="162" t="n"/>
      <c r="P1317" s="162" t="n"/>
      <c r="Q1317" s="320" t="n"/>
      <c r="R1317" s="162" t="inlineStr">
        <is>
          <t>CONTROLE PRODUÇÃO POR EMPRESAS!C225</t>
        </is>
      </c>
    </row>
    <row r="1318" ht="28.5" customHeight="1">
      <c r="A1318" s="317" t="n">
        <v>46442</v>
      </c>
      <c r="B1318" t="inlineStr">
        <is>
          <t>GERAL</t>
        </is>
      </c>
      <c r="C1318" t="inlineStr">
        <is>
          <t>EJ</t>
        </is>
      </c>
      <c r="D1318" t="inlineStr">
        <is>
          <t>VIGAS</t>
        </is>
      </c>
      <c r="F1318" s="159">
        <f>IFERROR(INDEX('BASE METAS DIÁRIAS'!$N$2:$S$358,MATCH($A1318,'BASE METAS DIÁRIAS'!$A$2:$A$358,0),MOD(ROW()-2,6)+1),"")</f>
        <v/>
      </c>
      <c r="G1318" s="159">
        <f>IFERROR(IF(WEEKDAY($A1318,2)&lt;=INDEX('BASE METAS DIÁRIAS'!$H$2:$M$358,MATCH($A1318,'BASE METAS DIÁRIAS'!$A$2:$A$358,0),MOD(ROW()-2,6)+1),INDEX('BASE METAS DIÁRIAS'!$B$2:$G$358,MATCH($A1318,'BASE METAS DIÁRIAS'!$A$2:$A$358,0),MOD(ROW()-2,6)+1),""),"")</f>
        <v/>
      </c>
      <c r="H1318" s="159">
        <f>IFERROR(IF(INDEX('CONTROLE PRODUÇÃO POR EMPRESAS'!$B$6:$G$5000,MATCH($A1318,'CONTROLE PRODUÇÃO POR EMPRESAS'!$A$6:$A$5000,0),MOD(ROW()-2,6)+1)="","",IFERROR(1*INDEX('CONTROLE PRODUÇÃO POR EMPRESAS'!$B$6:$G$5000,MATCH($A1318,'CONTROLE PRODUÇÃO POR EMPRESAS'!$A$6:$A$5000,0),MOD(ROW()-2,6)+1),"")),"")</f>
        <v/>
      </c>
      <c r="I1318" s="159">
        <f>IF(OR(NOT(ISNUMBER(G1318)),NOT(ISNUMBER(H1318))),"",H1318-G1318)</f>
        <v/>
      </c>
      <c r="J1318" s="319">
        <f>IF(OR(NOT(ISNUMBER(G1318)),NOT(ISNUMBER(H1318)),G1318=0),"",I1318/G1318)</f>
        <v/>
      </c>
      <c r="K1318" s="319">
        <f>IF(OR(NOT(ISNUMBER(G1318)),NOT(ISNUMBER(H1318)),G1318=0),"",H1318/G1318)</f>
        <v/>
      </c>
      <c r="L1318">
        <f>IF(NOT(ISNUMBER(G1318)),"SEM META",IF(G1318=0,"SEM META",IF(NOT(ISNUMBER(H1318)),"SEM APONTAMENTO",IF(H1318&gt;=G1318,"VERDE",IF(H1318&gt;=G1318*0.9,"AMARELO","VERMELHO")))))</f>
        <v/>
      </c>
      <c r="M1318" s="162" t="n"/>
      <c r="N1318" s="162" t="n"/>
      <c r="O1318" s="162" t="n"/>
      <c r="P1318" s="162" t="n"/>
      <c r="Q1318" s="320" t="n"/>
      <c r="R1318" s="162" t="inlineStr">
        <is>
          <t>CONTROLE PRODUÇÃO POR EMPRESAS!D225</t>
        </is>
      </c>
    </row>
    <row r="1319" ht="28.5" customHeight="1">
      <c r="A1319" s="317" t="n">
        <v>46442</v>
      </c>
      <c r="B1319" t="inlineStr">
        <is>
          <t>GERAL</t>
        </is>
      </c>
      <c r="C1319" t="inlineStr">
        <is>
          <t>CMM</t>
        </is>
      </c>
      <c r="D1319" t="inlineStr">
        <is>
          <t>PREMONTAGEM</t>
        </is>
      </c>
      <c r="F1319" s="159">
        <f>IFERROR(INDEX('BASE METAS DIÁRIAS'!$N$2:$S$358,MATCH($A1319,'BASE METAS DIÁRIAS'!$A$2:$A$358,0),MOD(ROW()-2,6)+1),"")</f>
        <v/>
      </c>
      <c r="G1319" s="159">
        <f>IFERROR(IF(WEEKDAY($A1319,2)&lt;=INDEX('BASE METAS DIÁRIAS'!$H$2:$M$358,MATCH($A1319,'BASE METAS DIÁRIAS'!$A$2:$A$358,0),MOD(ROW()-2,6)+1),INDEX('BASE METAS DIÁRIAS'!$B$2:$G$358,MATCH($A1319,'BASE METAS DIÁRIAS'!$A$2:$A$358,0),MOD(ROW()-2,6)+1),""),"")</f>
        <v/>
      </c>
      <c r="H1319" s="159">
        <f>IFERROR(IF(INDEX('CONTROLE PRODUÇÃO POR EMPRESAS'!$B$6:$G$5000,MATCH($A1319,'CONTROLE PRODUÇÃO POR EMPRESAS'!$A$6:$A$5000,0),MOD(ROW()-2,6)+1)="","",IFERROR(1*INDEX('CONTROLE PRODUÇÃO POR EMPRESAS'!$B$6:$G$5000,MATCH($A1319,'CONTROLE PRODUÇÃO POR EMPRESAS'!$A$6:$A$5000,0),MOD(ROW()-2,6)+1),"")),"")</f>
        <v/>
      </c>
      <c r="I1319" s="159">
        <f>IF(OR(NOT(ISNUMBER(G1319)),NOT(ISNUMBER(H1319))),"",H1319-G1319)</f>
        <v/>
      </c>
      <c r="J1319" s="319">
        <f>IF(OR(NOT(ISNUMBER(G1319)),NOT(ISNUMBER(H1319)),G1319=0),"",I1319/G1319)</f>
        <v/>
      </c>
      <c r="K1319" s="319">
        <f>IF(OR(NOT(ISNUMBER(G1319)),NOT(ISNUMBER(H1319)),G1319=0),"",H1319/G1319)</f>
        <v/>
      </c>
      <c r="L1319">
        <f>IF(NOT(ISNUMBER(G1319)),"SEM META",IF(G1319=0,"SEM META",IF(NOT(ISNUMBER(H1319)),"SEM APONTAMENTO",IF(H1319&gt;=G1319,"VERDE",IF(H1319&gt;=G1319*0.9,"AMARELO","VERMELHO")))))</f>
        <v/>
      </c>
      <c r="M1319" s="162" t="n"/>
      <c r="N1319" s="162" t="n"/>
      <c r="O1319" s="162" t="n"/>
      <c r="P1319" s="162" t="n"/>
      <c r="Q1319" s="320" t="n"/>
      <c r="R1319" s="162" t="inlineStr">
        <is>
          <t>CONTROLE PRODUÇÃO POR EMPRESAS!E225</t>
        </is>
      </c>
    </row>
    <row r="1320" ht="28.5" customHeight="1">
      <c r="A1320" s="317" t="n">
        <v>46442</v>
      </c>
      <c r="B1320" t="inlineStr">
        <is>
          <t>GERAL</t>
        </is>
      </c>
      <c r="C1320" t="inlineStr">
        <is>
          <t>CMM</t>
        </is>
      </c>
      <c r="D1320" t="inlineStr">
        <is>
          <t>IÇAMENTO JOIST</t>
        </is>
      </c>
      <c r="F1320" s="159">
        <f>IFERROR(INDEX('BASE METAS DIÁRIAS'!$N$2:$S$358,MATCH($A1320,'BASE METAS DIÁRIAS'!$A$2:$A$358,0),MOD(ROW()-2,6)+1),"")</f>
        <v/>
      </c>
      <c r="G1320" s="159">
        <f>IFERROR(IF(WEEKDAY($A1320,2)&lt;=INDEX('BASE METAS DIÁRIAS'!$H$2:$M$358,MATCH($A1320,'BASE METAS DIÁRIAS'!$A$2:$A$358,0),MOD(ROW()-2,6)+1),INDEX('BASE METAS DIÁRIAS'!$B$2:$G$358,MATCH($A1320,'BASE METAS DIÁRIAS'!$A$2:$A$358,0),MOD(ROW()-2,6)+1),""),"")</f>
        <v/>
      </c>
      <c r="H1320" s="159">
        <f>IFERROR(IF(INDEX('CONTROLE PRODUÇÃO POR EMPRESAS'!$B$6:$G$5000,MATCH($A1320,'CONTROLE PRODUÇÃO POR EMPRESAS'!$A$6:$A$5000,0),MOD(ROW()-2,6)+1)="","",IFERROR(1*INDEX('CONTROLE PRODUÇÃO POR EMPRESAS'!$B$6:$G$5000,MATCH($A1320,'CONTROLE PRODUÇÃO POR EMPRESAS'!$A$6:$A$5000,0),MOD(ROW()-2,6)+1),"")),"")</f>
        <v/>
      </c>
      <c r="I1320" s="159">
        <f>IF(OR(NOT(ISNUMBER(G1320)),NOT(ISNUMBER(H1320))),"",H1320-G1320)</f>
        <v/>
      </c>
      <c r="J1320" s="319">
        <f>IF(OR(NOT(ISNUMBER(G1320)),NOT(ISNUMBER(H1320)),G1320=0),"",I1320/G1320)</f>
        <v/>
      </c>
      <c r="K1320" s="319">
        <f>IF(OR(NOT(ISNUMBER(G1320)),NOT(ISNUMBER(H1320)),G1320=0),"",H1320/G1320)</f>
        <v/>
      </c>
      <c r="L1320">
        <f>IF(NOT(ISNUMBER(G1320)),"SEM META",IF(G1320=0,"SEM META",IF(NOT(ISNUMBER(H1320)),"SEM APONTAMENTO",IF(H1320&gt;=G1320,"VERDE",IF(H1320&gt;=G1320*0.9,"AMARELO","VERMELHO")))))</f>
        <v/>
      </c>
      <c r="M1320" s="162" t="n"/>
      <c r="N1320" s="162" t="n"/>
      <c r="O1320" s="162" t="n"/>
      <c r="P1320" s="162" t="n"/>
      <c r="Q1320" s="320" t="n"/>
      <c r="R1320" s="162" t="inlineStr">
        <is>
          <t>CONTROLE PRODUÇÃO POR EMPRESAS!F225</t>
        </is>
      </c>
    </row>
    <row r="1321" ht="28.5" customHeight="1">
      <c r="A1321" s="317" t="n">
        <v>46442</v>
      </c>
      <c r="B1321" t="inlineStr">
        <is>
          <t>GERAL</t>
        </is>
      </c>
      <c r="C1321" t="inlineStr">
        <is>
          <t>CMM</t>
        </is>
      </c>
      <c r="D1321" t="inlineStr">
        <is>
          <t>VIGAS</t>
        </is>
      </c>
      <c r="F1321" s="159">
        <f>IFERROR(INDEX('BASE METAS DIÁRIAS'!$N$2:$S$358,MATCH($A1321,'BASE METAS DIÁRIAS'!$A$2:$A$358,0),MOD(ROW()-2,6)+1),"")</f>
        <v/>
      </c>
      <c r="G1321" s="159">
        <f>IFERROR(IF(WEEKDAY($A1321,2)&lt;=INDEX('BASE METAS DIÁRIAS'!$H$2:$M$358,MATCH($A1321,'BASE METAS DIÁRIAS'!$A$2:$A$358,0),MOD(ROW()-2,6)+1),INDEX('BASE METAS DIÁRIAS'!$B$2:$G$358,MATCH($A1321,'BASE METAS DIÁRIAS'!$A$2:$A$358,0),MOD(ROW()-2,6)+1),""),"")</f>
        <v/>
      </c>
      <c r="H1321" s="159">
        <f>IFERROR(IF(INDEX('CONTROLE PRODUÇÃO POR EMPRESAS'!$B$6:$G$5000,MATCH($A1321,'CONTROLE PRODUÇÃO POR EMPRESAS'!$A$6:$A$5000,0),MOD(ROW()-2,6)+1)="","",IFERROR(1*INDEX('CONTROLE PRODUÇÃO POR EMPRESAS'!$B$6:$G$5000,MATCH($A1321,'CONTROLE PRODUÇÃO POR EMPRESAS'!$A$6:$A$5000,0),MOD(ROW()-2,6)+1),"")),"")</f>
        <v/>
      </c>
      <c r="I1321" s="159">
        <f>IF(OR(NOT(ISNUMBER(G1321)),NOT(ISNUMBER(H1321))),"",H1321-G1321)</f>
        <v/>
      </c>
      <c r="J1321" s="319">
        <f>IF(OR(NOT(ISNUMBER(G1321)),NOT(ISNUMBER(H1321)),G1321=0),"",I1321/G1321)</f>
        <v/>
      </c>
      <c r="K1321" s="319">
        <f>IF(OR(NOT(ISNUMBER(G1321)),NOT(ISNUMBER(H1321)),G1321=0),"",H1321/G1321)</f>
        <v/>
      </c>
      <c r="L1321">
        <f>IF(NOT(ISNUMBER(G1321)),"SEM META",IF(G1321=0,"SEM META",IF(NOT(ISNUMBER(H1321)),"SEM APONTAMENTO",IF(H1321&gt;=G1321,"VERDE",IF(H1321&gt;=G1321*0.9,"AMARELO","VERMELHO")))))</f>
        <v/>
      </c>
      <c r="M1321" s="162" t="n"/>
      <c r="N1321" s="162" t="n"/>
      <c r="O1321" s="162" t="n"/>
      <c r="P1321" s="162" t="n"/>
      <c r="Q1321" s="320" t="n"/>
      <c r="R1321" s="162" t="inlineStr">
        <is>
          <t>CONTROLE PRODUÇÃO POR EMPRESAS!G225</t>
        </is>
      </c>
    </row>
    <row r="1322" ht="28.5" customHeight="1">
      <c r="A1322" s="317" t="n">
        <v>46443</v>
      </c>
      <c r="B1322" t="inlineStr">
        <is>
          <t>GERAL</t>
        </is>
      </c>
      <c r="C1322" t="inlineStr">
        <is>
          <t>EJ</t>
        </is>
      </c>
      <c r="D1322" t="inlineStr">
        <is>
          <t>PREMONTAGEM</t>
        </is>
      </c>
      <c r="F1322" s="159">
        <f>IFERROR(INDEX('BASE METAS DIÁRIAS'!$N$2:$S$358,MATCH($A1322,'BASE METAS DIÁRIAS'!$A$2:$A$358,0),MOD(ROW()-2,6)+1),"")</f>
        <v/>
      </c>
      <c r="G1322" s="159">
        <f>IFERROR(IF(WEEKDAY($A1322,2)&lt;=INDEX('BASE METAS DIÁRIAS'!$H$2:$M$358,MATCH($A1322,'BASE METAS DIÁRIAS'!$A$2:$A$358,0),MOD(ROW()-2,6)+1),INDEX('BASE METAS DIÁRIAS'!$B$2:$G$358,MATCH($A1322,'BASE METAS DIÁRIAS'!$A$2:$A$358,0),MOD(ROW()-2,6)+1),""),"")</f>
        <v/>
      </c>
      <c r="H1322" s="159">
        <f>IFERROR(IF(INDEX('CONTROLE PRODUÇÃO POR EMPRESAS'!$B$6:$G$5000,MATCH($A1322,'CONTROLE PRODUÇÃO POR EMPRESAS'!$A$6:$A$5000,0),MOD(ROW()-2,6)+1)="","",IFERROR(1*INDEX('CONTROLE PRODUÇÃO POR EMPRESAS'!$B$6:$G$5000,MATCH($A1322,'CONTROLE PRODUÇÃO POR EMPRESAS'!$A$6:$A$5000,0),MOD(ROW()-2,6)+1),"")),"")</f>
        <v/>
      </c>
      <c r="I1322" s="159">
        <f>IF(OR(NOT(ISNUMBER(G1322)),NOT(ISNUMBER(H1322))),"",H1322-G1322)</f>
        <v/>
      </c>
      <c r="J1322" s="319">
        <f>IF(OR(NOT(ISNUMBER(G1322)),NOT(ISNUMBER(H1322)),G1322=0),"",I1322/G1322)</f>
        <v/>
      </c>
      <c r="K1322" s="319">
        <f>IF(OR(NOT(ISNUMBER(G1322)),NOT(ISNUMBER(H1322)),G1322=0),"",H1322/G1322)</f>
        <v/>
      </c>
      <c r="L1322">
        <f>IF(NOT(ISNUMBER(G1322)),"SEM META",IF(G1322=0,"SEM META",IF(NOT(ISNUMBER(H1322)),"SEM APONTAMENTO",IF(H1322&gt;=G1322,"VERDE",IF(H1322&gt;=G1322*0.9,"AMARELO","VERMELHO")))))</f>
        <v/>
      </c>
      <c r="M1322" s="162" t="n"/>
      <c r="N1322" s="162" t="n"/>
      <c r="O1322" s="162" t="n"/>
      <c r="P1322" s="162" t="n"/>
      <c r="Q1322" s="320" t="n"/>
      <c r="R1322" s="162" t="inlineStr">
        <is>
          <t>CONTROLE PRODUÇÃO POR EMPRESAS!B226</t>
        </is>
      </c>
    </row>
    <row r="1323" ht="28.5" customHeight="1">
      <c r="A1323" s="317" t="n">
        <v>46443</v>
      </c>
      <c r="B1323" t="inlineStr">
        <is>
          <t>GERAL</t>
        </is>
      </c>
      <c r="C1323" t="inlineStr">
        <is>
          <t>EJ</t>
        </is>
      </c>
      <c r="D1323" t="inlineStr">
        <is>
          <t>IÇAMENTO JOIST</t>
        </is>
      </c>
      <c r="F1323" s="159">
        <f>IFERROR(INDEX('BASE METAS DIÁRIAS'!$N$2:$S$358,MATCH($A1323,'BASE METAS DIÁRIAS'!$A$2:$A$358,0),MOD(ROW()-2,6)+1),"")</f>
        <v/>
      </c>
      <c r="G1323" s="159">
        <f>IFERROR(IF(WEEKDAY($A1323,2)&lt;=INDEX('BASE METAS DIÁRIAS'!$H$2:$M$358,MATCH($A1323,'BASE METAS DIÁRIAS'!$A$2:$A$358,0),MOD(ROW()-2,6)+1),INDEX('BASE METAS DIÁRIAS'!$B$2:$G$358,MATCH($A1323,'BASE METAS DIÁRIAS'!$A$2:$A$358,0),MOD(ROW()-2,6)+1),""),"")</f>
        <v/>
      </c>
      <c r="H1323" s="159">
        <f>IFERROR(IF(INDEX('CONTROLE PRODUÇÃO POR EMPRESAS'!$B$6:$G$5000,MATCH($A1323,'CONTROLE PRODUÇÃO POR EMPRESAS'!$A$6:$A$5000,0),MOD(ROW()-2,6)+1)="","",IFERROR(1*INDEX('CONTROLE PRODUÇÃO POR EMPRESAS'!$B$6:$G$5000,MATCH($A1323,'CONTROLE PRODUÇÃO POR EMPRESAS'!$A$6:$A$5000,0),MOD(ROW()-2,6)+1),"")),"")</f>
        <v/>
      </c>
      <c r="I1323" s="159">
        <f>IF(OR(NOT(ISNUMBER(G1323)),NOT(ISNUMBER(H1323))),"",H1323-G1323)</f>
        <v/>
      </c>
      <c r="J1323" s="319">
        <f>IF(OR(NOT(ISNUMBER(G1323)),NOT(ISNUMBER(H1323)),G1323=0),"",I1323/G1323)</f>
        <v/>
      </c>
      <c r="K1323" s="319">
        <f>IF(OR(NOT(ISNUMBER(G1323)),NOT(ISNUMBER(H1323)),G1323=0),"",H1323/G1323)</f>
        <v/>
      </c>
      <c r="L1323">
        <f>IF(NOT(ISNUMBER(G1323)),"SEM META",IF(G1323=0,"SEM META",IF(NOT(ISNUMBER(H1323)),"SEM APONTAMENTO",IF(H1323&gt;=G1323,"VERDE",IF(H1323&gt;=G1323*0.9,"AMARELO","VERMELHO")))))</f>
        <v/>
      </c>
      <c r="M1323" s="162" t="n"/>
      <c r="N1323" s="162" t="n"/>
      <c r="O1323" s="162" t="n"/>
      <c r="P1323" s="162" t="n"/>
      <c r="Q1323" s="320" t="n"/>
      <c r="R1323" s="162" t="inlineStr">
        <is>
          <t>CONTROLE PRODUÇÃO POR EMPRESAS!C226</t>
        </is>
      </c>
    </row>
    <row r="1324" ht="28.5" customHeight="1">
      <c r="A1324" s="317" t="n">
        <v>46443</v>
      </c>
      <c r="B1324" t="inlineStr">
        <is>
          <t>GERAL</t>
        </is>
      </c>
      <c r="C1324" t="inlineStr">
        <is>
          <t>EJ</t>
        </is>
      </c>
      <c r="D1324" t="inlineStr">
        <is>
          <t>VIGAS</t>
        </is>
      </c>
      <c r="F1324" s="159">
        <f>IFERROR(INDEX('BASE METAS DIÁRIAS'!$N$2:$S$358,MATCH($A1324,'BASE METAS DIÁRIAS'!$A$2:$A$358,0),MOD(ROW()-2,6)+1),"")</f>
        <v/>
      </c>
      <c r="G1324" s="159">
        <f>IFERROR(IF(WEEKDAY($A1324,2)&lt;=INDEX('BASE METAS DIÁRIAS'!$H$2:$M$358,MATCH($A1324,'BASE METAS DIÁRIAS'!$A$2:$A$358,0),MOD(ROW()-2,6)+1),INDEX('BASE METAS DIÁRIAS'!$B$2:$G$358,MATCH($A1324,'BASE METAS DIÁRIAS'!$A$2:$A$358,0),MOD(ROW()-2,6)+1),""),"")</f>
        <v/>
      </c>
      <c r="H1324" s="159">
        <f>IFERROR(IF(INDEX('CONTROLE PRODUÇÃO POR EMPRESAS'!$B$6:$G$5000,MATCH($A1324,'CONTROLE PRODUÇÃO POR EMPRESAS'!$A$6:$A$5000,0),MOD(ROW()-2,6)+1)="","",IFERROR(1*INDEX('CONTROLE PRODUÇÃO POR EMPRESAS'!$B$6:$G$5000,MATCH($A1324,'CONTROLE PRODUÇÃO POR EMPRESAS'!$A$6:$A$5000,0),MOD(ROW()-2,6)+1),"")),"")</f>
        <v/>
      </c>
      <c r="I1324" s="159">
        <f>IF(OR(NOT(ISNUMBER(G1324)),NOT(ISNUMBER(H1324))),"",H1324-G1324)</f>
        <v/>
      </c>
      <c r="J1324" s="319">
        <f>IF(OR(NOT(ISNUMBER(G1324)),NOT(ISNUMBER(H1324)),G1324=0),"",I1324/G1324)</f>
        <v/>
      </c>
      <c r="K1324" s="319">
        <f>IF(OR(NOT(ISNUMBER(G1324)),NOT(ISNUMBER(H1324)),G1324=0),"",H1324/G1324)</f>
        <v/>
      </c>
      <c r="L1324">
        <f>IF(NOT(ISNUMBER(G1324)),"SEM META",IF(G1324=0,"SEM META",IF(NOT(ISNUMBER(H1324)),"SEM APONTAMENTO",IF(H1324&gt;=G1324,"VERDE",IF(H1324&gt;=G1324*0.9,"AMARELO","VERMELHO")))))</f>
        <v/>
      </c>
      <c r="M1324" s="162" t="n"/>
      <c r="N1324" s="162" t="n"/>
      <c r="O1324" s="162" t="n"/>
      <c r="P1324" s="162" t="n"/>
      <c r="Q1324" s="320" t="n"/>
      <c r="R1324" s="162" t="inlineStr">
        <is>
          <t>CONTROLE PRODUÇÃO POR EMPRESAS!D226</t>
        </is>
      </c>
    </row>
    <row r="1325" ht="28.5" customHeight="1">
      <c r="A1325" s="317" t="n">
        <v>46443</v>
      </c>
      <c r="B1325" t="inlineStr">
        <is>
          <t>GERAL</t>
        </is>
      </c>
      <c r="C1325" t="inlineStr">
        <is>
          <t>CMM</t>
        </is>
      </c>
      <c r="D1325" t="inlineStr">
        <is>
          <t>PREMONTAGEM</t>
        </is>
      </c>
      <c r="F1325" s="159">
        <f>IFERROR(INDEX('BASE METAS DIÁRIAS'!$N$2:$S$358,MATCH($A1325,'BASE METAS DIÁRIAS'!$A$2:$A$358,0),MOD(ROW()-2,6)+1),"")</f>
        <v/>
      </c>
      <c r="G1325" s="159">
        <f>IFERROR(IF(WEEKDAY($A1325,2)&lt;=INDEX('BASE METAS DIÁRIAS'!$H$2:$M$358,MATCH($A1325,'BASE METAS DIÁRIAS'!$A$2:$A$358,0),MOD(ROW()-2,6)+1),INDEX('BASE METAS DIÁRIAS'!$B$2:$G$358,MATCH($A1325,'BASE METAS DIÁRIAS'!$A$2:$A$358,0),MOD(ROW()-2,6)+1),""),"")</f>
        <v/>
      </c>
      <c r="H1325" s="159">
        <f>IFERROR(IF(INDEX('CONTROLE PRODUÇÃO POR EMPRESAS'!$B$6:$G$5000,MATCH($A1325,'CONTROLE PRODUÇÃO POR EMPRESAS'!$A$6:$A$5000,0),MOD(ROW()-2,6)+1)="","",IFERROR(1*INDEX('CONTROLE PRODUÇÃO POR EMPRESAS'!$B$6:$G$5000,MATCH($A1325,'CONTROLE PRODUÇÃO POR EMPRESAS'!$A$6:$A$5000,0),MOD(ROW()-2,6)+1),"")),"")</f>
        <v/>
      </c>
      <c r="I1325" s="159">
        <f>IF(OR(NOT(ISNUMBER(G1325)),NOT(ISNUMBER(H1325))),"",H1325-G1325)</f>
        <v/>
      </c>
      <c r="J1325" s="319">
        <f>IF(OR(NOT(ISNUMBER(G1325)),NOT(ISNUMBER(H1325)),G1325=0),"",I1325/G1325)</f>
        <v/>
      </c>
      <c r="K1325" s="319">
        <f>IF(OR(NOT(ISNUMBER(G1325)),NOT(ISNUMBER(H1325)),G1325=0),"",H1325/G1325)</f>
        <v/>
      </c>
      <c r="L1325">
        <f>IF(NOT(ISNUMBER(G1325)),"SEM META",IF(G1325=0,"SEM META",IF(NOT(ISNUMBER(H1325)),"SEM APONTAMENTO",IF(H1325&gt;=G1325,"VERDE",IF(H1325&gt;=G1325*0.9,"AMARELO","VERMELHO")))))</f>
        <v/>
      </c>
      <c r="M1325" s="162" t="n"/>
      <c r="N1325" s="162" t="n"/>
      <c r="O1325" s="162" t="n"/>
      <c r="P1325" s="162" t="n"/>
      <c r="Q1325" s="320" t="n"/>
      <c r="R1325" s="162" t="inlineStr">
        <is>
          <t>CONTROLE PRODUÇÃO POR EMPRESAS!E226</t>
        </is>
      </c>
    </row>
    <row r="1326" ht="28.5" customHeight="1">
      <c r="A1326" s="317" t="n">
        <v>46443</v>
      </c>
      <c r="B1326" t="inlineStr">
        <is>
          <t>GERAL</t>
        </is>
      </c>
      <c r="C1326" t="inlineStr">
        <is>
          <t>CMM</t>
        </is>
      </c>
      <c r="D1326" t="inlineStr">
        <is>
          <t>IÇAMENTO JOIST</t>
        </is>
      </c>
      <c r="F1326" s="159">
        <f>IFERROR(INDEX('BASE METAS DIÁRIAS'!$N$2:$S$358,MATCH($A1326,'BASE METAS DIÁRIAS'!$A$2:$A$358,0),MOD(ROW()-2,6)+1),"")</f>
        <v/>
      </c>
      <c r="G1326" s="159">
        <f>IFERROR(IF(WEEKDAY($A1326,2)&lt;=INDEX('BASE METAS DIÁRIAS'!$H$2:$M$358,MATCH($A1326,'BASE METAS DIÁRIAS'!$A$2:$A$358,0),MOD(ROW()-2,6)+1),INDEX('BASE METAS DIÁRIAS'!$B$2:$G$358,MATCH($A1326,'BASE METAS DIÁRIAS'!$A$2:$A$358,0),MOD(ROW()-2,6)+1),""),"")</f>
        <v/>
      </c>
      <c r="H1326" s="159">
        <f>IFERROR(IF(INDEX('CONTROLE PRODUÇÃO POR EMPRESAS'!$B$6:$G$5000,MATCH($A1326,'CONTROLE PRODUÇÃO POR EMPRESAS'!$A$6:$A$5000,0),MOD(ROW()-2,6)+1)="","",IFERROR(1*INDEX('CONTROLE PRODUÇÃO POR EMPRESAS'!$B$6:$G$5000,MATCH($A1326,'CONTROLE PRODUÇÃO POR EMPRESAS'!$A$6:$A$5000,0),MOD(ROW()-2,6)+1),"")),"")</f>
        <v/>
      </c>
      <c r="I1326" s="159">
        <f>IF(OR(NOT(ISNUMBER(G1326)),NOT(ISNUMBER(H1326))),"",H1326-G1326)</f>
        <v/>
      </c>
      <c r="J1326" s="319">
        <f>IF(OR(NOT(ISNUMBER(G1326)),NOT(ISNUMBER(H1326)),G1326=0),"",I1326/G1326)</f>
        <v/>
      </c>
      <c r="K1326" s="319">
        <f>IF(OR(NOT(ISNUMBER(G1326)),NOT(ISNUMBER(H1326)),G1326=0),"",H1326/G1326)</f>
        <v/>
      </c>
      <c r="L1326">
        <f>IF(NOT(ISNUMBER(G1326)),"SEM META",IF(G1326=0,"SEM META",IF(NOT(ISNUMBER(H1326)),"SEM APONTAMENTO",IF(H1326&gt;=G1326,"VERDE",IF(H1326&gt;=G1326*0.9,"AMARELO","VERMELHO")))))</f>
        <v/>
      </c>
      <c r="M1326" s="162" t="n"/>
      <c r="N1326" s="162" t="n"/>
      <c r="O1326" s="162" t="n"/>
      <c r="P1326" s="162" t="n"/>
      <c r="Q1326" s="320" t="n"/>
      <c r="R1326" s="162" t="inlineStr">
        <is>
          <t>CONTROLE PRODUÇÃO POR EMPRESAS!F226</t>
        </is>
      </c>
    </row>
    <row r="1327" ht="28.5" customHeight="1">
      <c r="A1327" s="317" t="n">
        <v>46443</v>
      </c>
      <c r="B1327" t="inlineStr">
        <is>
          <t>GERAL</t>
        </is>
      </c>
      <c r="C1327" t="inlineStr">
        <is>
          <t>CMM</t>
        </is>
      </c>
      <c r="D1327" t="inlineStr">
        <is>
          <t>VIGAS</t>
        </is>
      </c>
      <c r="F1327" s="159">
        <f>IFERROR(INDEX('BASE METAS DIÁRIAS'!$N$2:$S$358,MATCH($A1327,'BASE METAS DIÁRIAS'!$A$2:$A$358,0),MOD(ROW()-2,6)+1),"")</f>
        <v/>
      </c>
      <c r="G1327" s="159">
        <f>IFERROR(IF(WEEKDAY($A1327,2)&lt;=INDEX('BASE METAS DIÁRIAS'!$H$2:$M$358,MATCH($A1327,'BASE METAS DIÁRIAS'!$A$2:$A$358,0),MOD(ROW()-2,6)+1),INDEX('BASE METAS DIÁRIAS'!$B$2:$G$358,MATCH($A1327,'BASE METAS DIÁRIAS'!$A$2:$A$358,0),MOD(ROW()-2,6)+1),""),"")</f>
        <v/>
      </c>
      <c r="H1327" s="159">
        <f>IFERROR(IF(INDEX('CONTROLE PRODUÇÃO POR EMPRESAS'!$B$6:$G$5000,MATCH($A1327,'CONTROLE PRODUÇÃO POR EMPRESAS'!$A$6:$A$5000,0),MOD(ROW()-2,6)+1)="","",IFERROR(1*INDEX('CONTROLE PRODUÇÃO POR EMPRESAS'!$B$6:$G$5000,MATCH($A1327,'CONTROLE PRODUÇÃO POR EMPRESAS'!$A$6:$A$5000,0),MOD(ROW()-2,6)+1),"")),"")</f>
        <v/>
      </c>
      <c r="I1327" s="159">
        <f>IF(OR(NOT(ISNUMBER(G1327)),NOT(ISNUMBER(H1327))),"",H1327-G1327)</f>
        <v/>
      </c>
      <c r="J1327" s="319">
        <f>IF(OR(NOT(ISNUMBER(G1327)),NOT(ISNUMBER(H1327)),G1327=0),"",I1327/G1327)</f>
        <v/>
      </c>
      <c r="K1327" s="319">
        <f>IF(OR(NOT(ISNUMBER(G1327)),NOT(ISNUMBER(H1327)),G1327=0),"",H1327/G1327)</f>
        <v/>
      </c>
      <c r="L1327">
        <f>IF(NOT(ISNUMBER(G1327)),"SEM META",IF(G1327=0,"SEM META",IF(NOT(ISNUMBER(H1327)),"SEM APONTAMENTO",IF(H1327&gt;=G1327,"VERDE",IF(H1327&gt;=G1327*0.9,"AMARELO","VERMELHO")))))</f>
        <v/>
      </c>
      <c r="M1327" s="162" t="n"/>
      <c r="N1327" s="162" t="n"/>
      <c r="O1327" s="162" t="n"/>
      <c r="P1327" s="162" t="n"/>
      <c r="Q1327" s="320" t="n"/>
      <c r="R1327" s="162" t="inlineStr">
        <is>
          <t>CONTROLE PRODUÇÃO POR EMPRESAS!G226</t>
        </is>
      </c>
    </row>
    <row r="1328" ht="28.5" customHeight="1">
      <c r="A1328" s="317" t="n">
        <v>46444</v>
      </c>
      <c r="B1328" t="inlineStr">
        <is>
          <t>GERAL</t>
        </is>
      </c>
      <c r="C1328" t="inlineStr">
        <is>
          <t>EJ</t>
        </is>
      </c>
      <c r="D1328" t="inlineStr">
        <is>
          <t>PREMONTAGEM</t>
        </is>
      </c>
      <c r="F1328" s="159">
        <f>IFERROR(INDEX('BASE METAS DIÁRIAS'!$N$2:$S$358,MATCH($A1328,'BASE METAS DIÁRIAS'!$A$2:$A$358,0),MOD(ROW()-2,6)+1),"")</f>
        <v/>
      </c>
      <c r="G1328" s="159">
        <f>IFERROR(IF(WEEKDAY($A1328,2)&lt;=INDEX('BASE METAS DIÁRIAS'!$H$2:$M$358,MATCH($A1328,'BASE METAS DIÁRIAS'!$A$2:$A$358,0),MOD(ROW()-2,6)+1),INDEX('BASE METAS DIÁRIAS'!$B$2:$G$358,MATCH($A1328,'BASE METAS DIÁRIAS'!$A$2:$A$358,0),MOD(ROW()-2,6)+1),""),"")</f>
        <v/>
      </c>
      <c r="H1328" s="159">
        <f>IFERROR(IF(INDEX('CONTROLE PRODUÇÃO POR EMPRESAS'!$B$6:$G$5000,MATCH($A1328,'CONTROLE PRODUÇÃO POR EMPRESAS'!$A$6:$A$5000,0),MOD(ROW()-2,6)+1)="","",IFERROR(1*INDEX('CONTROLE PRODUÇÃO POR EMPRESAS'!$B$6:$G$5000,MATCH($A1328,'CONTROLE PRODUÇÃO POR EMPRESAS'!$A$6:$A$5000,0),MOD(ROW()-2,6)+1),"")),"")</f>
        <v/>
      </c>
      <c r="I1328" s="159">
        <f>IF(OR(NOT(ISNUMBER(G1328)),NOT(ISNUMBER(H1328))),"",H1328-G1328)</f>
        <v/>
      </c>
      <c r="J1328" s="319">
        <f>IF(OR(NOT(ISNUMBER(G1328)),NOT(ISNUMBER(H1328)),G1328=0),"",I1328/G1328)</f>
        <v/>
      </c>
      <c r="K1328" s="319">
        <f>IF(OR(NOT(ISNUMBER(G1328)),NOT(ISNUMBER(H1328)),G1328=0),"",H1328/G1328)</f>
        <v/>
      </c>
      <c r="L1328">
        <f>IF(NOT(ISNUMBER(G1328)),"SEM META",IF(G1328=0,"SEM META",IF(NOT(ISNUMBER(H1328)),"SEM APONTAMENTO",IF(H1328&gt;=G1328,"VERDE",IF(H1328&gt;=G1328*0.9,"AMARELO","VERMELHO")))))</f>
        <v/>
      </c>
      <c r="M1328" s="162" t="n"/>
      <c r="N1328" s="162" t="n"/>
      <c r="O1328" s="162" t="n"/>
      <c r="P1328" s="162" t="n"/>
      <c r="Q1328" s="320" t="n"/>
      <c r="R1328" s="162" t="inlineStr">
        <is>
          <t>CONTROLE PRODUÇÃO POR EMPRESAS!B227</t>
        </is>
      </c>
    </row>
    <row r="1329" ht="28.5" customHeight="1">
      <c r="A1329" s="317" t="n">
        <v>46444</v>
      </c>
      <c r="B1329" t="inlineStr">
        <is>
          <t>GERAL</t>
        </is>
      </c>
      <c r="C1329" t="inlineStr">
        <is>
          <t>EJ</t>
        </is>
      </c>
      <c r="D1329" t="inlineStr">
        <is>
          <t>IÇAMENTO JOIST</t>
        </is>
      </c>
      <c r="F1329" s="159">
        <f>IFERROR(INDEX('BASE METAS DIÁRIAS'!$N$2:$S$358,MATCH($A1329,'BASE METAS DIÁRIAS'!$A$2:$A$358,0),MOD(ROW()-2,6)+1),"")</f>
        <v/>
      </c>
      <c r="G1329" s="159">
        <f>IFERROR(IF(WEEKDAY($A1329,2)&lt;=INDEX('BASE METAS DIÁRIAS'!$H$2:$M$358,MATCH($A1329,'BASE METAS DIÁRIAS'!$A$2:$A$358,0),MOD(ROW()-2,6)+1),INDEX('BASE METAS DIÁRIAS'!$B$2:$G$358,MATCH($A1329,'BASE METAS DIÁRIAS'!$A$2:$A$358,0),MOD(ROW()-2,6)+1),""),"")</f>
        <v/>
      </c>
      <c r="H1329" s="159">
        <f>IFERROR(IF(INDEX('CONTROLE PRODUÇÃO POR EMPRESAS'!$B$6:$G$5000,MATCH($A1329,'CONTROLE PRODUÇÃO POR EMPRESAS'!$A$6:$A$5000,0),MOD(ROW()-2,6)+1)="","",IFERROR(1*INDEX('CONTROLE PRODUÇÃO POR EMPRESAS'!$B$6:$G$5000,MATCH($A1329,'CONTROLE PRODUÇÃO POR EMPRESAS'!$A$6:$A$5000,0),MOD(ROW()-2,6)+1),"")),"")</f>
        <v/>
      </c>
      <c r="I1329" s="159">
        <f>IF(OR(NOT(ISNUMBER(G1329)),NOT(ISNUMBER(H1329))),"",H1329-G1329)</f>
        <v/>
      </c>
      <c r="J1329" s="319">
        <f>IF(OR(NOT(ISNUMBER(G1329)),NOT(ISNUMBER(H1329)),G1329=0),"",I1329/G1329)</f>
        <v/>
      </c>
      <c r="K1329" s="319">
        <f>IF(OR(NOT(ISNUMBER(G1329)),NOT(ISNUMBER(H1329)),G1329=0),"",H1329/G1329)</f>
        <v/>
      </c>
      <c r="L1329">
        <f>IF(NOT(ISNUMBER(G1329)),"SEM META",IF(G1329=0,"SEM META",IF(NOT(ISNUMBER(H1329)),"SEM APONTAMENTO",IF(H1329&gt;=G1329,"VERDE",IF(H1329&gt;=G1329*0.9,"AMARELO","VERMELHO")))))</f>
        <v/>
      </c>
      <c r="M1329" s="162" t="n"/>
      <c r="N1329" s="162" t="n"/>
      <c r="O1329" s="162" t="n"/>
      <c r="P1329" s="162" t="n"/>
      <c r="Q1329" s="320" t="n"/>
      <c r="R1329" s="162" t="inlineStr">
        <is>
          <t>CONTROLE PRODUÇÃO POR EMPRESAS!C227</t>
        </is>
      </c>
    </row>
    <row r="1330" ht="28.5" customHeight="1">
      <c r="A1330" s="317" t="n">
        <v>46444</v>
      </c>
      <c r="B1330" t="inlineStr">
        <is>
          <t>GERAL</t>
        </is>
      </c>
      <c r="C1330" t="inlineStr">
        <is>
          <t>EJ</t>
        </is>
      </c>
      <c r="D1330" t="inlineStr">
        <is>
          <t>VIGAS</t>
        </is>
      </c>
      <c r="F1330" s="159">
        <f>IFERROR(INDEX('BASE METAS DIÁRIAS'!$N$2:$S$358,MATCH($A1330,'BASE METAS DIÁRIAS'!$A$2:$A$358,0),MOD(ROW()-2,6)+1),"")</f>
        <v/>
      </c>
      <c r="G1330" s="159">
        <f>IFERROR(IF(WEEKDAY($A1330,2)&lt;=INDEX('BASE METAS DIÁRIAS'!$H$2:$M$358,MATCH($A1330,'BASE METAS DIÁRIAS'!$A$2:$A$358,0),MOD(ROW()-2,6)+1),INDEX('BASE METAS DIÁRIAS'!$B$2:$G$358,MATCH($A1330,'BASE METAS DIÁRIAS'!$A$2:$A$358,0),MOD(ROW()-2,6)+1),""),"")</f>
        <v/>
      </c>
      <c r="H1330" s="159">
        <f>IFERROR(IF(INDEX('CONTROLE PRODUÇÃO POR EMPRESAS'!$B$6:$G$5000,MATCH($A1330,'CONTROLE PRODUÇÃO POR EMPRESAS'!$A$6:$A$5000,0),MOD(ROW()-2,6)+1)="","",IFERROR(1*INDEX('CONTROLE PRODUÇÃO POR EMPRESAS'!$B$6:$G$5000,MATCH($A1330,'CONTROLE PRODUÇÃO POR EMPRESAS'!$A$6:$A$5000,0),MOD(ROW()-2,6)+1),"")),"")</f>
        <v/>
      </c>
      <c r="I1330" s="159">
        <f>IF(OR(NOT(ISNUMBER(G1330)),NOT(ISNUMBER(H1330))),"",H1330-G1330)</f>
        <v/>
      </c>
      <c r="J1330" s="319">
        <f>IF(OR(NOT(ISNUMBER(G1330)),NOT(ISNUMBER(H1330)),G1330=0),"",I1330/G1330)</f>
        <v/>
      </c>
      <c r="K1330" s="319">
        <f>IF(OR(NOT(ISNUMBER(G1330)),NOT(ISNUMBER(H1330)),G1330=0),"",H1330/G1330)</f>
        <v/>
      </c>
      <c r="L1330">
        <f>IF(NOT(ISNUMBER(G1330)),"SEM META",IF(G1330=0,"SEM META",IF(NOT(ISNUMBER(H1330)),"SEM APONTAMENTO",IF(H1330&gt;=G1330,"VERDE",IF(H1330&gt;=G1330*0.9,"AMARELO","VERMELHO")))))</f>
        <v/>
      </c>
      <c r="M1330" s="162" t="n"/>
      <c r="N1330" s="162" t="n"/>
      <c r="O1330" s="162" t="n"/>
      <c r="P1330" s="162" t="n"/>
      <c r="Q1330" s="320" t="n"/>
      <c r="R1330" s="162" t="inlineStr">
        <is>
          <t>CONTROLE PRODUÇÃO POR EMPRESAS!D227</t>
        </is>
      </c>
    </row>
    <row r="1331" ht="28.5" customHeight="1">
      <c r="A1331" s="317" t="n">
        <v>46444</v>
      </c>
      <c r="B1331" t="inlineStr">
        <is>
          <t>GERAL</t>
        </is>
      </c>
      <c r="C1331" t="inlineStr">
        <is>
          <t>CMM</t>
        </is>
      </c>
      <c r="D1331" t="inlineStr">
        <is>
          <t>PREMONTAGEM</t>
        </is>
      </c>
      <c r="F1331" s="159">
        <f>IFERROR(INDEX('BASE METAS DIÁRIAS'!$N$2:$S$358,MATCH($A1331,'BASE METAS DIÁRIAS'!$A$2:$A$358,0),MOD(ROW()-2,6)+1),"")</f>
        <v/>
      </c>
      <c r="G1331" s="159">
        <f>IFERROR(IF(WEEKDAY($A1331,2)&lt;=INDEX('BASE METAS DIÁRIAS'!$H$2:$M$358,MATCH($A1331,'BASE METAS DIÁRIAS'!$A$2:$A$358,0),MOD(ROW()-2,6)+1),INDEX('BASE METAS DIÁRIAS'!$B$2:$G$358,MATCH($A1331,'BASE METAS DIÁRIAS'!$A$2:$A$358,0),MOD(ROW()-2,6)+1),""),"")</f>
        <v/>
      </c>
      <c r="H1331" s="159">
        <f>IFERROR(IF(INDEX('CONTROLE PRODUÇÃO POR EMPRESAS'!$B$6:$G$5000,MATCH($A1331,'CONTROLE PRODUÇÃO POR EMPRESAS'!$A$6:$A$5000,0),MOD(ROW()-2,6)+1)="","",IFERROR(1*INDEX('CONTROLE PRODUÇÃO POR EMPRESAS'!$B$6:$G$5000,MATCH($A1331,'CONTROLE PRODUÇÃO POR EMPRESAS'!$A$6:$A$5000,0),MOD(ROW()-2,6)+1),"")),"")</f>
        <v/>
      </c>
      <c r="I1331" s="159">
        <f>IF(OR(NOT(ISNUMBER(G1331)),NOT(ISNUMBER(H1331))),"",H1331-G1331)</f>
        <v/>
      </c>
      <c r="J1331" s="319">
        <f>IF(OR(NOT(ISNUMBER(G1331)),NOT(ISNUMBER(H1331)),G1331=0),"",I1331/G1331)</f>
        <v/>
      </c>
      <c r="K1331" s="319">
        <f>IF(OR(NOT(ISNUMBER(G1331)),NOT(ISNUMBER(H1331)),G1331=0),"",H1331/G1331)</f>
        <v/>
      </c>
      <c r="L1331">
        <f>IF(NOT(ISNUMBER(G1331)),"SEM META",IF(G1331=0,"SEM META",IF(NOT(ISNUMBER(H1331)),"SEM APONTAMENTO",IF(H1331&gt;=G1331,"VERDE",IF(H1331&gt;=G1331*0.9,"AMARELO","VERMELHO")))))</f>
        <v/>
      </c>
      <c r="M1331" s="162" t="n"/>
      <c r="N1331" s="162" t="n"/>
      <c r="O1331" s="162" t="n"/>
      <c r="P1331" s="162" t="n"/>
      <c r="Q1331" s="320" t="n"/>
      <c r="R1331" s="162" t="inlineStr">
        <is>
          <t>CONTROLE PRODUÇÃO POR EMPRESAS!E227</t>
        </is>
      </c>
    </row>
    <row r="1332" ht="28.5" customHeight="1">
      <c r="A1332" s="317" t="n">
        <v>46444</v>
      </c>
      <c r="B1332" t="inlineStr">
        <is>
          <t>GERAL</t>
        </is>
      </c>
      <c r="C1332" t="inlineStr">
        <is>
          <t>CMM</t>
        </is>
      </c>
      <c r="D1332" t="inlineStr">
        <is>
          <t>IÇAMENTO JOIST</t>
        </is>
      </c>
      <c r="F1332" s="159">
        <f>IFERROR(INDEX('BASE METAS DIÁRIAS'!$N$2:$S$358,MATCH($A1332,'BASE METAS DIÁRIAS'!$A$2:$A$358,0),MOD(ROW()-2,6)+1),"")</f>
        <v/>
      </c>
      <c r="G1332" s="159">
        <f>IFERROR(IF(WEEKDAY($A1332,2)&lt;=INDEX('BASE METAS DIÁRIAS'!$H$2:$M$358,MATCH($A1332,'BASE METAS DIÁRIAS'!$A$2:$A$358,0),MOD(ROW()-2,6)+1),INDEX('BASE METAS DIÁRIAS'!$B$2:$G$358,MATCH($A1332,'BASE METAS DIÁRIAS'!$A$2:$A$358,0),MOD(ROW()-2,6)+1),""),"")</f>
        <v/>
      </c>
      <c r="H1332" s="159">
        <f>IFERROR(IF(INDEX('CONTROLE PRODUÇÃO POR EMPRESAS'!$B$6:$G$5000,MATCH($A1332,'CONTROLE PRODUÇÃO POR EMPRESAS'!$A$6:$A$5000,0),MOD(ROW()-2,6)+1)="","",IFERROR(1*INDEX('CONTROLE PRODUÇÃO POR EMPRESAS'!$B$6:$G$5000,MATCH($A1332,'CONTROLE PRODUÇÃO POR EMPRESAS'!$A$6:$A$5000,0),MOD(ROW()-2,6)+1),"")),"")</f>
        <v/>
      </c>
      <c r="I1332" s="159">
        <f>IF(OR(NOT(ISNUMBER(G1332)),NOT(ISNUMBER(H1332))),"",H1332-G1332)</f>
        <v/>
      </c>
      <c r="J1332" s="319">
        <f>IF(OR(NOT(ISNUMBER(G1332)),NOT(ISNUMBER(H1332)),G1332=0),"",I1332/G1332)</f>
        <v/>
      </c>
      <c r="K1332" s="319">
        <f>IF(OR(NOT(ISNUMBER(G1332)),NOT(ISNUMBER(H1332)),G1332=0),"",H1332/G1332)</f>
        <v/>
      </c>
      <c r="L1332">
        <f>IF(NOT(ISNUMBER(G1332)),"SEM META",IF(G1332=0,"SEM META",IF(NOT(ISNUMBER(H1332)),"SEM APONTAMENTO",IF(H1332&gt;=G1332,"VERDE",IF(H1332&gt;=G1332*0.9,"AMARELO","VERMELHO")))))</f>
        <v/>
      </c>
      <c r="M1332" s="162" t="n"/>
      <c r="N1332" s="162" t="n"/>
      <c r="O1332" s="162" t="n"/>
      <c r="P1332" s="162" t="n"/>
      <c r="Q1332" s="320" t="n"/>
      <c r="R1332" s="162" t="inlineStr">
        <is>
          <t>CONTROLE PRODUÇÃO POR EMPRESAS!F227</t>
        </is>
      </c>
    </row>
    <row r="1333" ht="28.5" customHeight="1">
      <c r="A1333" s="317" t="n">
        <v>46444</v>
      </c>
      <c r="B1333" t="inlineStr">
        <is>
          <t>GERAL</t>
        </is>
      </c>
      <c r="C1333" t="inlineStr">
        <is>
          <t>CMM</t>
        </is>
      </c>
      <c r="D1333" t="inlineStr">
        <is>
          <t>VIGAS</t>
        </is>
      </c>
      <c r="F1333" s="159">
        <f>IFERROR(INDEX('BASE METAS DIÁRIAS'!$N$2:$S$358,MATCH($A1333,'BASE METAS DIÁRIAS'!$A$2:$A$358,0),MOD(ROW()-2,6)+1),"")</f>
        <v/>
      </c>
      <c r="G1333" s="159">
        <f>IFERROR(IF(WEEKDAY($A1333,2)&lt;=INDEX('BASE METAS DIÁRIAS'!$H$2:$M$358,MATCH($A1333,'BASE METAS DIÁRIAS'!$A$2:$A$358,0),MOD(ROW()-2,6)+1),INDEX('BASE METAS DIÁRIAS'!$B$2:$G$358,MATCH($A1333,'BASE METAS DIÁRIAS'!$A$2:$A$358,0),MOD(ROW()-2,6)+1),""),"")</f>
        <v/>
      </c>
      <c r="H1333" s="159">
        <f>IFERROR(IF(INDEX('CONTROLE PRODUÇÃO POR EMPRESAS'!$B$6:$G$5000,MATCH($A1333,'CONTROLE PRODUÇÃO POR EMPRESAS'!$A$6:$A$5000,0),MOD(ROW()-2,6)+1)="","",IFERROR(1*INDEX('CONTROLE PRODUÇÃO POR EMPRESAS'!$B$6:$G$5000,MATCH($A1333,'CONTROLE PRODUÇÃO POR EMPRESAS'!$A$6:$A$5000,0),MOD(ROW()-2,6)+1),"")),"")</f>
        <v/>
      </c>
      <c r="I1333" s="159">
        <f>IF(OR(NOT(ISNUMBER(G1333)),NOT(ISNUMBER(H1333))),"",H1333-G1333)</f>
        <v/>
      </c>
      <c r="J1333" s="319">
        <f>IF(OR(NOT(ISNUMBER(G1333)),NOT(ISNUMBER(H1333)),G1333=0),"",I1333/G1333)</f>
        <v/>
      </c>
      <c r="K1333" s="319">
        <f>IF(OR(NOT(ISNUMBER(G1333)),NOT(ISNUMBER(H1333)),G1333=0),"",H1333/G1333)</f>
        <v/>
      </c>
      <c r="L1333">
        <f>IF(NOT(ISNUMBER(G1333)),"SEM META",IF(G1333=0,"SEM META",IF(NOT(ISNUMBER(H1333)),"SEM APONTAMENTO",IF(H1333&gt;=G1333,"VERDE",IF(H1333&gt;=G1333*0.9,"AMARELO","VERMELHO")))))</f>
        <v/>
      </c>
      <c r="M1333" s="162" t="n"/>
      <c r="N1333" s="162" t="n"/>
      <c r="O1333" s="162" t="n"/>
      <c r="P1333" s="162" t="n"/>
      <c r="Q1333" s="320" t="n"/>
      <c r="R1333" s="162" t="inlineStr">
        <is>
          <t>CONTROLE PRODUÇÃO POR EMPRESAS!G227</t>
        </is>
      </c>
    </row>
    <row r="1334" ht="28.5" customHeight="1">
      <c r="A1334" s="317" t="n">
        <v>46445</v>
      </c>
      <c r="B1334" t="inlineStr">
        <is>
          <t>GERAL</t>
        </is>
      </c>
      <c r="C1334" t="inlineStr">
        <is>
          <t>EJ</t>
        </is>
      </c>
      <c r="D1334" t="inlineStr">
        <is>
          <t>PREMONTAGEM</t>
        </is>
      </c>
      <c r="F1334" s="159">
        <f>IFERROR(INDEX('BASE METAS DIÁRIAS'!$N$2:$S$358,MATCH($A1334,'BASE METAS DIÁRIAS'!$A$2:$A$358,0),MOD(ROW()-2,6)+1),"")</f>
        <v/>
      </c>
      <c r="G1334" s="159">
        <f>IFERROR(IF(WEEKDAY($A1334,2)&lt;=INDEX('BASE METAS DIÁRIAS'!$H$2:$M$358,MATCH($A1334,'BASE METAS DIÁRIAS'!$A$2:$A$358,0),MOD(ROW()-2,6)+1),INDEX('BASE METAS DIÁRIAS'!$B$2:$G$358,MATCH($A1334,'BASE METAS DIÁRIAS'!$A$2:$A$358,0),MOD(ROW()-2,6)+1),""),"")</f>
        <v/>
      </c>
      <c r="H1334" s="159">
        <f>IFERROR(IF(INDEX('CONTROLE PRODUÇÃO POR EMPRESAS'!$B$6:$G$5000,MATCH($A1334,'CONTROLE PRODUÇÃO POR EMPRESAS'!$A$6:$A$5000,0),MOD(ROW()-2,6)+1)="","",IFERROR(1*INDEX('CONTROLE PRODUÇÃO POR EMPRESAS'!$B$6:$G$5000,MATCH($A1334,'CONTROLE PRODUÇÃO POR EMPRESAS'!$A$6:$A$5000,0),MOD(ROW()-2,6)+1),"")),"")</f>
        <v/>
      </c>
      <c r="I1334" s="159">
        <f>IF(OR(NOT(ISNUMBER(G1334)),NOT(ISNUMBER(H1334))),"",H1334-G1334)</f>
        <v/>
      </c>
      <c r="J1334" s="319">
        <f>IF(OR(NOT(ISNUMBER(G1334)),NOT(ISNUMBER(H1334)),G1334=0),"",I1334/G1334)</f>
        <v/>
      </c>
      <c r="K1334" s="319">
        <f>IF(OR(NOT(ISNUMBER(G1334)),NOT(ISNUMBER(H1334)),G1334=0),"",H1334/G1334)</f>
        <v/>
      </c>
      <c r="L1334">
        <f>IF(NOT(ISNUMBER(G1334)),"SEM META",IF(G1334=0,"SEM META",IF(NOT(ISNUMBER(H1334)),"SEM APONTAMENTO",IF(H1334&gt;=G1334,"VERDE",IF(H1334&gt;=G1334*0.9,"AMARELO","VERMELHO")))))</f>
        <v/>
      </c>
      <c r="M1334" s="162" t="n"/>
      <c r="N1334" s="162" t="n"/>
      <c r="O1334" s="162" t="n"/>
      <c r="P1334" s="162" t="n"/>
      <c r="Q1334" s="320" t="n"/>
      <c r="R1334" s="162" t="inlineStr">
        <is>
          <t>CONTROLE PRODUÇÃO POR EMPRESAS!B228</t>
        </is>
      </c>
    </row>
    <row r="1335" ht="28.5" customHeight="1">
      <c r="A1335" s="317" t="n">
        <v>46445</v>
      </c>
      <c r="B1335" t="inlineStr">
        <is>
          <t>GERAL</t>
        </is>
      </c>
      <c r="C1335" t="inlineStr">
        <is>
          <t>EJ</t>
        </is>
      </c>
      <c r="D1335" t="inlineStr">
        <is>
          <t>IÇAMENTO JOIST</t>
        </is>
      </c>
      <c r="F1335" s="159">
        <f>IFERROR(INDEX('BASE METAS DIÁRIAS'!$N$2:$S$358,MATCH($A1335,'BASE METAS DIÁRIAS'!$A$2:$A$358,0),MOD(ROW()-2,6)+1),"")</f>
        <v/>
      </c>
      <c r="G1335" s="159">
        <f>IFERROR(IF(WEEKDAY($A1335,2)&lt;=INDEX('BASE METAS DIÁRIAS'!$H$2:$M$358,MATCH($A1335,'BASE METAS DIÁRIAS'!$A$2:$A$358,0),MOD(ROW()-2,6)+1),INDEX('BASE METAS DIÁRIAS'!$B$2:$G$358,MATCH($A1335,'BASE METAS DIÁRIAS'!$A$2:$A$358,0),MOD(ROW()-2,6)+1),""),"")</f>
        <v/>
      </c>
      <c r="H1335" s="159">
        <f>IFERROR(IF(INDEX('CONTROLE PRODUÇÃO POR EMPRESAS'!$B$6:$G$5000,MATCH($A1335,'CONTROLE PRODUÇÃO POR EMPRESAS'!$A$6:$A$5000,0),MOD(ROW()-2,6)+1)="","",IFERROR(1*INDEX('CONTROLE PRODUÇÃO POR EMPRESAS'!$B$6:$G$5000,MATCH($A1335,'CONTROLE PRODUÇÃO POR EMPRESAS'!$A$6:$A$5000,0),MOD(ROW()-2,6)+1),"")),"")</f>
        <v/>
      </c>
      <c r="I1335" s="159">
        <f>IF(OR(NOT(ISNUMBER(G1335)),NOT(ISNUMBER(H1335))),"",H1335-G1335)</f>
        <v/>
      </c>
      <c r="J1335" s="319">
        <f>IF(OR(NOT(ISNUMBER(G1335)),NOT(ISNUMBER(H1335)),G1335=0),"",I1335/G1335)</f>
        <v/>
      </c>
      <c r="K1335" s="319">
        <f>IF(OR(NOT(ISNUMBER(G1335)),NOT(ISNUMBER(H1335)),G1335=0),"",H1335/G1335)</f>
        <v/>
      </c>
      <c r="L1335">
        <f>IF(NOT(ISNUMBER(G1335)),"SEM META",IF(G1335=0,"SEM META",IF(NOT(ISNUMBER(H1335)),"SEM APONTAMENTO",IF(H1335&gt;=G1335,"VERDE",IF(H1335&gt;=G1335*0.9,"AMARELO","VERMELHO")))))</f>
        <v/>
      </c>
      <c r="M1335" s="162" t="n"/>
      <c r="N1335" s="162" t="n"/>
      <c r="O1335" s="162" t="n"/>
      <c r="P1335" s="162" t="n"/>
      <c r="Q1335" s="320" t="n"/>
      <c r="R1335" s="162" t="inlineStr">
        <is>
          <t>CONTROLE PRODUÇÃO POR EMPRESAS!C228</t>
        </is>
      </c>
    </row>
    <row r="1336" ht="28.5" customHeight="1">
      <c r="A1336" s="317" t="n">
        <v>46445</v>
      </c>
      <c r="B1336" t="inlineStr">
        <is>
          <t>GERAL</t>
        </is>
      </c>
      <c r="C1336" t="inlineStr">
        <is>
          <t>EJ</t>
        </is>
      </c>
      <c r="D1336" t="inlineStr">
        <is>
          <t>VIGAS</t>
        </is>
      </c>
      <c r="F1336" s="159">
        <f>IFERROR(INDEX('BASE METAS DIÁRIAS'!$N$2:$S$358,MATCH($A1336,'BASE METAS DIÁRIAS'!$A$2:$A$358,0),MOD(ROW()-2,6)+1),"")</f>
        <v/>
      </c>
      <c r="G1336" s="159">
        <f>IFERROR(IF(WEEKDAY($A1336,2)&lt;=INDEX('BASE METAS DIÁRIAS'!$H$2:$M$358,MATCH($A1336,'BASE METAS DIÁRIAS'!$A$2:$A$358,0),MOD(ROW()-2,6)+1),INDEX('BASE METAS DIÁRIAS'!$B$2:$G$358,MATCH($A1336,'BASE METAS DIÁRIAS'!$A$2:$A$358,0),MOD(ROW()-2,6)+1),""),"")</f>
        <v/>
      </c>
      <c r="H1336" s="159">
        <f>IFERROR(IF(INDEX('CONTROLE PRODUÇÃO POR EMPRESAS'!$B$6:$G$5000,MATCH($A1336,'CONTROLE PRODUÇÃO POR EMPRESAS'!$A$6:$A$5000,0),MOD(ROW()-2,6)+1)="","",IFERROR(1*INDEX('CONTROLE PRODUÇÃO POR EMPRESAS'!$B$6:$G$5000,MATCH($A1336,'CONTROLE PRODUÇÃO POR EMPRESAS'!$A$6:$A$5000,0),MOD(ROW()-2,6)+1),"")),"")</f>
        <v/>
      </c>
      <c r="I1336" s="159">
        <f>IF(OR(NOT(ISNUMBER(G1336)),NOT(ISNUMBER(H1336))),"",H1336-G1336)</f>
        <v/>
      </c>
      <c r="J1336" s="319">
        <f>IF(OR(NOT(ISNUMBER(G1336)),NOT(ISNUMBER(H1336)),G1336=0),"",I1336/G1336)</f>
        <v/>
      </c>
      <c r="K1336" s="319">
        <f>IF(OR(NOT(ISNUMBER(G1336)),NOT(ISNUMBER(H1336)),G1336=0),"",H1336/G1336)</f>
        <v/>
      </c>
      <c r="L1336">
        <f>IF(NOT(ISNUMBER(G1336)),"SEM META",IF(G1336=0,"SEM META",IF(NOT(ISNUMBER(H1336)),"SEM APONTAMENTO",IF(H1336&gt;=G1336,"VERDE",IF(H1336&gt;=G1336*0.9,"AMARELO","VERMELHO")))))</f>
        <v/>
      </c>
      <c r="M1336" s="162" t="n"/>
      <c r="N1336" s="162" t="n"/>
      <c r="O1336" s="162" t="n"/>
      <c r="P1336" s="162" t="n"/>
      <c r="Q1336" s="320" t="n"/>
      <c r="R1336" s="162" t="inlineStr">
        <is>
          <t>CONTROLE PRODUÇÃO POR EMPRESAS!D228</t>
        </is>
      </c>
    </row>
    <row r="1337" ht="28.5" customHeight="1">
      <c r="A1337" s="317" t="n">
        <v>46445</v>
      </c>
      <c r="B1337" t="inlineStr">
        <is>
          <t>GERAL</t>
        </is>
      </c>
      <c r="C1337" t="inlineStr">
        <is>
          <t>CMM</t>
        </is>
      </c>
      <c r="D1337" t="inlineStr">
        <is>
          <t>PREMONTAGEM</t>
        </is>
      </c>
      <c r="F1337" s="159">
        <f>IFERROR(INDEX('BASE METAS DIÁRIAS'!$N$2:$S$358,MATCH($A1337,'BASE METAS DIÁRIAS'!$A$2:$A$358,0),MOD(ROW()-2,6)+1),"")</f>
        <v/>
      </c>
      <c r="G1337" s="159">
        <f>IFERROR(IF(WEEKDAY($A1337,2)&lt;=INDEX('BASE METAS DIÁRIAS'!$H$2:$M$358,MATCH($A1337,'BASE METAS DIÁRIAS'!$A$2:$A$358,0),MOD(ROW()-2,6)+1),INDEX('BASE METAS DIÁRIAS'!$B$2:$G$358,MATCH($A1337,'BASE METAS DIÁRIAS'!$A$2:$A$358,0),MOD(ROW()-2,6)+1),""),"")</f>
        <v/>
      </c>
      <c r="H1337" s="159">
        <f>IFERROR(IF(INDEX('CONTROLE PRODUÇÃO POR EMPRESAS'!$B$6:$G$5000,MATCH($A1337,'CONTROLE PRODUÇÃO POR EMPRESAS'!$A$6:$A$5000,0),MOD(ROW()-2,6)+1)="","",IFERROR(1*INDEX('CONTROLE PRODUÇÃO POR EMPRESAS'!$B$6:$G$5000,MATCH($A1337,'CONTROLE PRODUÇÃO POR EMPRESAS'!$A$6:$A$5000,0),MOD(ROW()-2,6)+1),"")),"")</f>
        <v/>
      </c>
      <c r="I1337" s="159">
        <f>IF(OR(NOT(ISNUMBER(G1337)),NOT(ISNUMBER(H1337))),"",H1337-G1337)</f>
        <v/>
      </c>
      <c r="J1337" s="319">
        <f>IF(OR(NOT(ISNUMBER(G1337)),NOT(ISNUMBER(H1337)),G1337=0),"",I1337/G1337)</f>
        <v/>
      </c>
      <c r="K1337" s="319">
        <f>IF(OR(NOT(ISNUMBER(G1337)),NOT(ISNUMBER(H1337)),G1337=0),"",H1337/G1337)</f>
        <v/>
      </c>
      <c r="L1337">
        <f>IF(NOT(ISNUMBER(G1337)),"SEM META",IF(G1337=0,"SEM META",IF(NOT(ISNUMBER(H1337)),"SEM APONTAMENTO",IF(H1337&gt;=G1337,"VERDE",IF(H1337&gt;=G1337*0.9,"AMARELO","VERMELHO")))))</f>
        <v/>
      </c>
      <c r="M1337" s="162" t="n"/>
      <c r="N1337" s="162" t="n"/>
      <c r="O1337" s="162" t="n"/>
      <c r="P1337" s="162" t="n"/>
      <c r="Q1337" s="320" t="n"/>
      <c r="R1337" s="162" t="inlineStr">
        <is>
          <t>CONTROLE PRODUÇÃO POR EMPRESAS!E228</t>
        </is>
      </c>
    </row>
    <row r="1338" ht="28.5" customHeight="1">
      <c r="A1338" s="317" t="n">
        <v>46445</v>
      </c>
      <c r="B1338" t="inlineStr">
        <is>
          <t>GERAL</t>
        </is>
      </c>
      <c r="C1338" t="inlineStr">
        <is>
          <t>CMM</t>
        </is>
      </c>
      <c r="D1338" t="inlineStr">
        <is>
          <t>IÇAMENTO JOIST</t>
        </is>
      </c>
      <c r="F1338" s="159">
        <f>IFERROR(INDEX('BASE METAS DIÁRIAS'!$N$2:$S$358,MATCH($A1338,'BASE METAS DIÁRIAS'!$A$2:$A$358,0),MOD(ROW()-2,6)+1),"")</f>
        <v/>
      </c>
      <c r="G1338" s="159">
        <f>IFERROR(IF(WEEKDAY($A1338,2)&lt;=INDEX('BASE METAS DIÁRIAS'!$H$2:$M$358,MATCH($A1338,'BASE METAS DIÁRIAS'!$A$2:$A$358,0),MOD(ROW()-2,6)+1),INDEX('BASE METAS DIÁRIAS'!$B$2:$G$358,MATCH($A1338,'BASE METAS DIÁRIAS'!$A$2:$A$358,0),MOD(ROW()-2,6)+1),""),"")</f>
        <v/>
      </c>
      <c r="H1338" s="159">
        <f>IFERROR(IF(INDEX('CONTROLE PRODUÇÃO POR EMPRESAS'!$B$6:$G$5000,MATCH($A1338,'CONTROLE PRODUÇÃO POR EMPRESAS'!$A$6:$A$5000,0),MOD(ROW()-2,6)+1)="","",IFERROR(1*INDEX('CONTROLE PRODUÇÃO POR EMPRESAS'!$B$6:$G$5000,MATCH($A1338,'CONTROLE PRODUÇÃO POR EMPRESAS'!$A$6:$A$5000,0),MOD(ROW()-2,6)+1),"")),"")</f>
        <v/>
      </c>
      <c r="I1338" s="159">
        <f>IF(OR(NOT(ISNUMBER(G1338)),NOT(ISNUMBER(H1338))),"",H1338-G1338)</f>
        <v/>
      </c>
      <c r="J1338" s="319">
        <f>IF(OR(NOT(ISNUMBER(G1338)),NOT(ISNUMBER(H1338)),G1338=0),"",I1338/G1338)</f>
        <v/>
      </c>
      <c r="K1338" s="319">
        <f>IF(OR(NOT(ISNUMBER(G1338)),NOT(ISNUMBER(H1338)),G1338=0),"",H1338/G1338)</f>
        <v/>
      </c>
      <c r="L1338">
        <f>IF(NOT(ISNUMBER(G1338)),"SEM META",IF(G1338=0,"SEM META",IF(NOT(ISNUMBER(H1338)),"SEM APONTAMENTO",IF(H1338&gt;=G1338,"VERDE",IF(H1338&gt;=G1338*0.9,"AMARELO","VERMELHO")))))</f>
        <v/>
      </c>
      <c r="M1338" s="162" t="n"/>
      <c r="N1338" s="162" t="n"/>
      <c r="O1338" s="162" t="n"/>
      <c r="P1338" s="162" t="n"/>
      <c r="Q1338" s="320" t="n"/>
      <c r="R1338" s="162" t="inlineStr">
        <is>
          <t>CONTROLE PRODUÇÃO POR EMPRESAS!F228</t>
        </is>
      </c>
    </row>
    <row r="1339" ht="28.5" customHeight="1">
      <c r="A1339" s="317" t="n">
        <v>46445</v>
      </c>
      <c r="B1339" t="inlineStr">
        <is>
          <t>GERAL</t>
        </is>
      </c>
      <c r="C1339" t="inlineStr">
        <is>
          <t>CMM</t>
        </is>
      </c>
      <c r="D1339" t="inlineStr">
        <is>
          <t>VIGAS</t>
        </is>
      </c>
      <c r="F1339" s="159">
        <f>IFERROR(INDEX('BASE METAS DIÁRIAS'!$N$2:$S$358,MATCH($A1339,'BASE METAS DIÁRIAS'!$A$2:$A$358,0),MOD(ROW()-2,6)+1),"")</f>
        <v/>
      </c>
      <c r="G1339" s="159">
        <f>IFERROR(IF(WEEKDAY($A1339,2)&lt;=INDEX('BASE METAS DIÁRIAS'!$H$2:$M$358,MATCH($A1339,'BASE METAS DIÁRIAS'!$A$2:$A$358,0),MOD(ROW()-2,6)+1),INDEX('BASE METAS DIÁRIAS'!$B$2:$G$358,MATCH($A1339,'BASE METAS DIÁRIAS'!$A$2:$A$358,0),MOD(ROW()-2,6)+1),""),"")</f>
        <v/>
      </c>
      <c r="H1339" s="159">
        <f>IFERROR(IF(INDEX('CONTROLE PRODUÇÃO POR EMPRESAS'!$B$6:$G$5000,MATCH($A1339,'CONTROLE PRODUÇÃO POR EMPRESAS'!$A$6:$A$5000,0),MOD(ROW()-2,6)+1)="","",IFERROR(1*INDEX('CONTROLE PRODUÇÃO POR EMPRESAS'!$B$6:$G$5000,MATCH($A1339,'CONTROLE PRODUÇÃO POR EMPRESAS'!$A$6:$A$5000,0),MOD(ROW()-2,6)+1),"")),"")</f>
        <v/>
      </c>
      <c r="I1339" s="159">
        <f>IF(OR(NOT(ISNUMBER(G1339)),NOT(ISNUMBER(H1339))),"",H1339-G1339)</f>
        <v/>
      </c>
      <c r="J1339" s="319">
        <f>IF(OR(NOT(ISNUMBER(G1339)),NOT(ISNUMBER(H1339)),G1339=0),"",I1339/G1339)</f>
        <v/>
      </c>
      <c r="K1339" s="319">
        <f>IF(OR(NOT(ISNUMBER(G1339)),NOT(ISNUMBER(H1339)),G1339=0),"",H1339/G1339)</f>
        <v/>
      </c>
      <c r="L1339">
        <f>IF(NOT(ISNUMBER(G1339)),"SEM META",IF(G1339=0,"SEM META",IF(NOT(ISNUMBER(H1339)),"SEM APONTAMENTO",IF(H1339&gt;=G1339,"VERDE",IF(H1339&gt;=G1339*0.9,"AMARELO","VERMELHO")))))</f>
        <v/>
      </c>
      <c r="M1339" s="162" t="n"/>
      <c r="N1339" s="162" t="n"/>
      <c r="O1339" s="162" t="n"/>
      <c r="P1339" s="162" t="n"/>
      <c r="Q1339" s="320" t="n"/>
      <c r="R1339" s="162" t="inlineStr">
        <is>
          <t>CONTROLE PRODUÇÃO POR EMPRESAS!G228</t>
        </is>
      </c>
    </row>
    <row r="1340" ht="28.5" customHeight="1">
      <c r="A1340" s="317" t="n">
        <v>46446</v>
      </c>
      <c r="B1340" t="inlineStr">
        <is>
          <t>GERAL</t>
        </is>
      </c>
      <c r="C1340" t="inlineStr">
        <is>
          <t>EJ</t>
        </is>
      </c>
      <c r="D1340" t="inlineStr">
        <is>
          <t>PREMONTAGEM</t>
        </is>
      </c>
      <c r="F1340" s="159">
        <f>IFERROR(INDEX('BASE METAS DIÁRIAS'!$N$2:$S$358,MATCH($A1340,'BASE METAS DIÁRIAS'!$A$2:$A$358,0),MOD(ROW()-2,6)+1),"")</f>
        <v/>
      </c>
      <c r="G1340" s="159">
        <f>IFERROR(IF(WEEKDAY($A1340,2)&lt;=INDEX('BASE METAS DIÁRIAS'!$H$2:$M$358,MATCH($A1340,'BASE METAS DIÁRIAS'!$A$2:$A$358,0),MOD(ROW()-2,6)+1),INDEX('BASE METAS DIÁRIAS'!$B$2:$G$358,MATCH($A1340,'BASE METAS DIÁRIAS'!$A$2:$A$358,0),MOD(ROW()-2,6)+1),""),"")</f>
        <v/>
      </c>
      <c r="H1340" s="159">
        <f>IFERROR(IF(INDEX('CONTROLE PRODUÇÃO POR EMPRESAS'!$B$6:$G$5000,MATCH($A1340,'CONTROLE PRODUÇÃO POR EMPRESAS'!$A$6:$A$5000,0),MOD(ROW()-2,6)+1)="","",IFERROR(1*INDEX('CONTROLE PRODUÇÃO POR EMPRESAS'!$B$6:$G$5000,MATCH($A1340,'CONTROLE PRODUÇÃO POR EMPRESAS'!$A$6:$A$5000,0),MOD(ROW()-2,6)+1),"")),"")</f>
        <v/>
      </c>
      <c r="I1340" s="159">
        <f>IF(OR(NOT(ISNUMBER(G1340)),NOT(ISNUMBER(H1340))),"",H1340-G1340)</f>
        <v/>
      </c>
      <c r="J1340" s="319">
        <f>IF(OR(NOT(ISNUMBER(G1340)),NOT(ISNUMBER(H1340)),G1340=0),"",I1340/G1340)</f>
        <v/>
      </c>
      <c r="K1340" s="319">
        <f>IF(OR(NOT(ISNUMBER(G1340)),NOT(ISNUMBER(H1340)),G1340=0),"",H1340/G1340)</f>
        <v/>
      </c>
      <c r="L1340">
        <f>IF(NOT(ISNUMBER(G1340)),"SEM META",IF(G1340=0,"SEM META",IF(NOT(ISNUMBER(H1340)),"SEM APONTAMENTO",IF(H1340&gt;=G1340,"VERDE",IF(H1340&gt;=G1340*0.9,"AMARELO","VERMELHO")))))</f>
        <v/>
      </c>
      <c r="M1340" s="162" t="n"/>
      <c r="N1340" s="162" t="n"/>
      <c r="O1340" s="162" t="n"/>
      <c r="P1340" s="162" t="n"/>
      <c r="Q1340" s="320" t="n"/>
      <c r="R1340" s="162" t="inlineStr">
        <is>
          <t>CONTROLE PRODUÇÃO POR EMPRESAS!B229</t>
        </is>
      </c>
    </row>
    <row r="1341" ht="28.5" customHeight="1">
      <c r="A1341" s="317" t="n">
        <v>46446</v>
      </c>
      <c r="B1341" t="inlineStr">
        <is>
          <t>GERAL</t>
        </is>
      </c>
      <c r="C1341" t="inlineStr">
        <is>
          <t>EJ</t>
        </is>
      </c>
      <c r="D1341" t="inlineStr">
        <is>
          <t>IÇAMENTO JOIST</t>
        </is>
      </c>
      <c r="F1341" s="159">
        <f>IFERROR(INDEX('BASE METAS DIÁRIAS'!$N$2:$S$358,MATCH($A1341,'BASE METAS DIÁRIAS'!$A$2:$A$358,0),MOD(ROW()-2,6)+1),"")</f>
        <v/>
      </c>
      <c r="G1341" s="159">
        <f>IFERROR(IF(WEEKDAY($A1341,2)&lt;=INDEX('BASE METAS DIÁRIAS'!$H$2:$M$358,MATCH($A1341,'BASE METAS DIÁRIAS'!$A$2:$A$358,0),MOD(ROW()-2,6)+1),INDEX('BASE METAS DIÁRIAS'!$B$2:$G$358,MATCH($A1341,'BASE METAS DIÁRIAS'!$A$2:$A$358,0),MOD(ROW()-2,6)+1),""),"")</f>
        <v/>
      </c>
      <c r="H1341" s="159">
        <f>IFERROR(IF(INDEX('CONTROLE PRODUÇÃO POR EMPRESAS'!$B$6:$G$5000,MATCH($A1341,'CONTROLE PRODUÇÃO POR EMPRESAS'!$A$6:$A$5000,0),MOD(ROW()-2,6)+1)="","",IFERROR(1*INDEX('CONTROLE PRODUÇÃO POR EMPRESAS'!$B$6:$G$5000,MATCH($A1341,'CONTROLE PRODUÇÃO POR EMPRESAS'!$A$6:$A$5000,0),MOD(ROW()-2,6)+1),"")),"")</f>
        <v/>
      </c>
      <c r="I1341" s="159">
        <f>IF(OR(NOT(ISNUMBER(G1341)),NOT(ISNUMBER(H1341))),"",H1341-G1341)</f>
        <v/>
      </c>
      <c r="J1341" s="319">
        <f>IF(OR(NOT(ISNUMBER(G1341)),NOT(ISNUMBER(H1341)),G1341=0),"",I1341/G1341)</f>
        <v/>
      </c>
      <c r="K1341" s="319">
        <f>IF(OR(NOT(ISNUMBER(G1341)),NOT(ISNUMBER(H1341)),G1341=0),"",H1341/G1341)</f>
        <v/>
      </c>
      <c r="L1341">
        <f>IF(NOT(ISNUMBER(G1341)),"SEM META",IF(G1341=0,"SEM META",IF(NOT(ISNUMBER(H1341)),"SEM APONTAMENTO",IF(H1341&gt;=G1341,"VERDE",IF(H1341&gt;=G1341*0.9,"AMARELO","VERMELHO")))))</f>
        <v/>
      </c>
      <c r="M1341" s="162" t="n"/>
      <c r="N1341" s="162" t="n"/>
      <c r="O1341" s="162" t="n"/>
      <c r="P1341" s="162" t="n"/>
      <c r="Q1341" s="320" t="n"/>
      <c r="R1341" s="162" t="inlineStr">
        <is>
          <t>CONTROLE PRODUÇÃO POR EMPRESAS!C229</t>
        </is>
      </c>
    </row>
    <row r="1342" ht="28.5" customHeight="1">
      <c r="A1342" s="317" t="n">
        <v>46446</v>
      </c>
      <c r="B1342" t="inlineStr">
        <is>
          <t>GERAL</t>
        </is>
      </c>
      <c r="C1342" t="inlineStr">
        <is>
          <t>EJ</t>
        </is>
      </c>
      <c r="D1342" t="inlineStr">
        <is>
          <t>VIGAS</t>
        </is>
      </c>
      <c r="F1342" s="159">
        <f>IFERROR(INDEX('BASE METAS DIÁRIAS'!$N$2:$S$358,MATCH($A1342,'BASE METAS DIÁRIAS'!$A$2:$A$358,0),MOD(ROW()-2,6)+1),"")</f>
        <v/>
      </c>
      <c r="G1342" s="159">
        <f>IFERROR(IF(WEEKDAY($A1342,2)&lt;=INDEX('BASE METAS DIÁRIAS'!$H$2:$M$358,MATCH($A1342,'BASE METAS DIÁRIAS'!$A$2:$A$358,0),MOD(ROW()-2,6)+1),INDEX('BASE METAS DIÁRIAS'!$B$2:$G$358,MATCH($A1342,'BASE METAS DIÁRIAS'!$A$2:$A$358,0),MOD(ROW()-2,6)+1),""),"")</f>
        <v/>
      </c>
      <c r="H1342" s="159">
        <f>IFERROR(IF(INDEX('CONTROLE PRODUÇÃO POR EMPRESAS'!$B$6:$G$5000,MATCH($A1342,'CONTROLE PRODUÇÃO POR EMPRESAS'!$A$6:$A$5000,0),MOD(ROW()-2,6)+1)="","",IFERROR(1*INDEX('CONTROLE PRODUÇÃO POR EMPRESAS'!$B$6:$G$5000,MATCH($A1342,'CONTROLE PRODUÇÃO POR EMPRESAS'!$A$6:$A$5000,0),MOD(ROW()-2,6)+1),"")),"")</f>
        <v/>
      </c>
      <c r="I1342" s="159">
        <f>IF(OR(NOT(ISNUMBER(G1342)),NOT(ISNUMBER(H1342))),"",H1342-G1342)</f>
        <v/>
      </c>
      <c r="J1342" s="319">
        <f>IF(OR(NOT(ISNUMBER(G1342)),NOT(ISNUMBER(H1342)),G1342=0),"",I1342/G1342)</f>
        <v/>
      </c>
      <c r="K1342" s="319">
        <f>IF(OR(NOT(ISNUMBER(G1342)),NOT(ISNUMBER(H1342)),G1342=0),"",H1342/G1342)</f>
        <v/>
      </c>
      <c r="L1342">
        <f>IF(NOT(ISNUMBER(G1342)),"SEM META",IF(G1342=0,"SEM META",IF(NOT(ISNUMBER(H1342)),"SEM APONTAMENTO",IF(H1342&gt;=G1342,"VERDE",IF(H1342&gt;=G1342*0.9,"AMARELO","VERMELHO")))))</f>
        <v/>
      </c>
      <c r="M1342" s="162" t="n"/>
      <c r="N1342" s="162" t="n"/>
      <c r="O1342" s="162" t="n"/>
      <c r="P1342" s="162" t="n"/>
      <c r="Q1342" s="320" t="n"/>
      <c r="R1342" s="162" t="inlineStr">
        <is>
          <t>CONTROLE PRODUÇÃO POR EMPRESAS!D229</t>
        </is>
      </c>
    </row>
    <row r="1343" ht="28.5" customHeight="1">
      <c r="A1343" s="317" t="n">
        <v>46446</v>
      </c>
      <c r="B1343" t="inlineStr">
        <is>
          <t>GERAL</t>
        </is>
      </c>
      <c r="C1343" t="inlineStr">
        <is>
          <t>CMM</t>
        </is>
      </c>
      <c r="D1343" t="inlineStr">
        <is>
          <t>PREMONTAGEM</t>
        </is>
      </c>
      <c r="F1343" s="159">
        <f>IFERROR(INDEX('BASE METAS DIÁRIAS'!$N$2:$S$358,MATCH($A1343,'BASE METAS DIÁRIAS'!$A$2:$A$358,0),MOD(ROW()-2,6)+1),"")</f>
        <v/>
      </c>
      <c r="G1343" s="159">
        <f>IFERROR(IF(WEEKDAY($A1343,2)&lt;=INDEX('BASE METAS DIÁRIAS'!$H$2:$M$358,MATCH($A1343,'BASE METAS DIÁRIAS'!$A$2:$A$358,0),MOD(ROW()-2,6)+1),INDEX('BASE METAS DIÁRIAS'!$B$2:$G$358,MATCH($A1343,'BASE METAS DIÁRIAS'!$A$2:$A$358,0),MOD(ROW()-2,6)+1),""),"")</f>
        <v/>
      </c>
      <c r="H1343" s="159">
        <f>IFERROR(IF(INDEX('CONTROLE PRODUÇÃO POR EMPRESAS'!$B$6:$G$5000,MATCH($A1343,'CONTROLE PRODUÇÃO POR EMPRESAS'!$A$6:$A$5000,0),MOD(ROW()-2,6)+1)="","",IFERROR(1*INDEX('CONTROLE PRODUÇÃO POR EMPRESAS'!$B$6:$G$5000,MATCH($A1343,'CONTROLE PRODUÇÃO POR EMPRESAS'!$A$6:$A$5000,0),MOD(ROW()-2,6)+1),"")),"")</f>
        <v/>
      </c>
      <c r="I1343" s="159">
        <f>IF(OR(NOT(ISNUMBER(G1343)),NOT(ISNUMBER(H1343))),"",H1343-G1343)</f>
        <v/>
      </c>
      <c r="J1343" s="319">
        <f>IF(OR(NOT(ISNUMBER(G1343)),NOT(ISNUMBER(H1343)),G1343=0),"",I1343/G1343)</f>
        <v/>
      </c>
      <c r="K1343" s="319">
        <f>IF(OR(NOT(ISNUMBER(G1343)),NOT(ISNUMBER(H1343)),G1343=0),"",H1343/G1343)</f>
        <v/>
      </c>
      <c r="L1343">
        <f>IF(NOT(ISNUMBER(G1343)),"SEM META",IF(G1343=0,"SEM META",IF(NOT(ISNUMBER(H1343)),"SEM APONTAMENTO",IF(H1343&gt;=G1343,"VERDE",IF(H1343&gt;=G1343*0.9,"AMARELO","VERMELHO")))))</f>
        <v/>
      </c>
      <c r="M1343" s="162" t="n"/>
      <c r="N1343" s="162" t="n"/>
      <c r="O1343" s="162" t="n"/>
      <c r="P1343" s="162" t="n"/>
      <c r="Q1343" s="320" t="n"/>
      <c r="R1343" s="162" t="inlineStr">
        <is>
          <t>CONTROLE PRODUÇÃO POR EMPRESAS!E229</t>
        </is>
      </c>
    </row>
    <row r="1344" ht="28.5" customHeight="1">
      <c r="A1344" s="317" t="n">
        <v>46446</v>
      </c>
      <c r="B1344" t="inlineStr">
        <is>
          <t>GERAL</t>
        </is>
      </c>
      <c r="C1344" t="inlineStr">
        <is>
          <t>CMM</t>
        </is>
      </c>
      <c r="D1344" t="inlineStr">
        <is>
          <t>IÇAMENTO JOIST</t>
        </is>
      </c>
      <c r="F1344" s="159">
        <f>IFERROR(INDEX('BASE METAS DIÁRIAS'!$N$2:$S$358,MATCH($A1344,'BASE METAS DIÁRIAS'!$A$2:$A$358,0),MOD(ROW()-2,6)+1),"")</f>
        <v/>
      </c>
      <c r="G1344" s="159">
        <f>IFERROR(IF(WEEKDAY($A1344,2)&lt;=INDEX('BASE METAS DIÁRIAS'!$H$2:$M$358,MATCH($A1344,'BASE METAS DIÁRIAS'!$A$2:$A$358,0),MOD(ROW()-2,6)+1),INDEX('BASE METAS DIÁRIAS'!$B$2:$G$358,MATCH($A1344,'BASE METAS DIÁRIAS'!$A$2:$A$358,0),MOD(ROW()-2,6)+1),""),"")</f>
        <v/>
      </c>
      <c r="H1344" s="159">
        <f>IFERROR(IF(INDEX('CONTROLE PRODUÇÃO POR EMPRESAS'!$B$6:$G$5000,MATCH($A1344,'CONTROLE PRODUÇÃO POR EMPRESAS'!$A$6:$A$5000,0),MOD(ROW()-2,6)+1)="","",IFERROR(1*INDEX('CONTROLE PRODUÇÃO POR EMPRESAS'!$B$6:$G$5000,MATCH($A1344,'CONTROLE PRODUÇÃO POR EMPRESAS'!$A$6:$A$5000,0),MOD(ROW()-2,6)+1),"")),"")</f>
        <v/>
      </c>
      <c r="I1344" s="159">
        <f>IF(OR(NOT(ISNUMBER(G1344)),NOT(ISNUMBER(H1344))),"",H1344-G1344)</f>
        <v/>
      </c>
      <c r="J1344" s="319">
        <f>IF(OR(NOT(ISNUMBER(G1344)),NOT(ISNUMBER(H1344)),G1344=0),"",I1344/G1344)</f>
        <v/>
      </c>
      <c r="K1344" s="319">
        <f>IF(OR(NOT(ISNUMBER(G1344)),NOT(ISNUMBER(H1344)),G1344=0),"",H1344/G1344)</f>
        <v/>
      </c>
      <c r="L1344">
        <f>IF(NOT(ISNUMBER(G1344)),"SEM META",IF(G1344=0,"SEM META",IF(NOT(ISNUMBER(H1344)),"SEM APONTAMENTO",IF(H1344&gt;=G1344,"VERDE",IF(H1344&gt;=G1344*0.9,"AMARELO","VERMELHO")))))</f>
        <v/>
      </c>
      <c r="M1344" s="162" t="n"/>
      <c r="N1344" s="162" t="n"/>
      <c r="O1344" s="162" t="n"/>
      <c r="P1344" s="162" t="n"/>
      <c r="Q1344" s="320" t="n"/>
      <c r="R1344" s="162" t="inlineStr">
        <is>
          <t>CONTROLE PRODUÇÃO POR EMPRESAS!F229</t>
        </is>
      </c>
    </row>
    <row r="1345" ht="28.5" customHeight="1">
      <c r="A1345" s="317" t="n">
        <v>46446</v>
      </c>
      <c r="B1345" t="inlineStr">
        <is>
          <t>GERAL</t>
        </is>
      </c>
      <c r="C1345" t="inlineStr">
        <is>
          <t>CMM</t>
        </is>
      </c>
      <c r="D1345" t="inlineStr">
        <is>
          <t>VIGAS</t>
        </is>
      </c>
      <c r="F1345" s="159">
        <f>IFERROR(INDEX('BASE METAS DIÁRIAS'!$N$2:$S$358,MATCH($A1345,'BASE METAS DIÁRIAS'!$A$2:$A$358,0),MOD(ROW()-2,6)+1),"")</f>
        <v/>
      </c>
      <c r="G1345" s="159">
        <f>IFERROR(IF(WEEKDAY($A1345,2)&lt;=INDEX('BASE METAS DIÁRIAS'!$H$2:$M$358,MATCH($A1345,'BASE METAS DIÁRIAS'!$A$2:$A$358,0),MOD(ROW()-2,6)+1),INDEX('BASE METAS DIÁRIAS'!$B$2:$G$358,MATCH($A1345,'BASE METAS DIÁRIAS'!$A$2:$A$358,0),MOD(ROW()-2,6)+1),""),"")</f>
        <v/>
      </c>
      <c r="H1345" s="159">
        <f>IFERROR(IF(INDEX('CONTROLE PRODUÇÃO POR EMPRESAS'!$B$6:$G$5000,MATCH($A1345,'CONTROLE PRODUÇÃO POR EMPRESAS'!$A$6:$A$5000,0),MOD(ROW()-2,6)+1)="","",IFERROR(1*INDEX('CONTROLE PRODUÇÃO POR EMPRESAS'!$B$6:$G$5000,MATCH($A1345,'CONTROLE PRODUÇÃO POR EMPRESAS'!$A$6:$A$5000,0),MOD(ROW()-2,6)+1),"")),"")</f>
        <v/>
      </c>
      <c r="I1345" s="159">
        <f>IF(OR(NOT(ISNUMBER(G1345)),NOT(ISNUMBER(H1345))),"",H1345-G1345)</f>
        <v/>
      </c>
      <c r="J1345" s="319">
        <f>IF(OR(NOT(ISNUMBER(G1345)),NOT(ISNUMBER(H1345)),G1345=0),"",I1345/G1345)</f>
        <v/>
      </c>
      <c r="K1345" s="319">
        <f>IF(OR(NOT(ISNUMBER(G1345)),NOT(ISNUMBER(H1345)),G1345=0),"",H1345/G1345)</f>
        <v/>
      </c>
      <c r="L1345">
        <f>IF(NOT(ISNUMBER(G1345)),"SEM META",IF(G1345=0,"SEM META",IF(NOT(ISNUMBER(H1345)),"SEM APONTAMENTO",IF(H1345&gt;=G1345,"VERDE",IF(H1345&gt;=G1345*0.9,"AMARELO","VERMELHO")))))</f>
        <v/>
      </c>
      <c r="M1345" s="162" t="n"/>
      <c r="N1345" s="162" t="n"/>
      <c r="O1345" s="162" t="n"/>
      <c r="P1345" s="162" t="n"/>
      <c r="Q1345" s="320" t="n"/>
      <c r="R1345" s="162" t="inlineStr">
        <is>
          <t>CONTROLE PRODUÇÃO POR EMPRESAS!G229</t>
        </is>
      </c>
    </row>
    <row r="1346" ht="28.5" customHeight="1">
      <c r="A1346" s="317" t="n">
        <v>46447</v>
      </c>
      <c r="B1346" t="inlineStr">
        <is>
          <t>GERAL</t>
        </is>
      </c>
      <c r="C1346" t="inlineStr">
        <is>
          <t>EJ</t>
        </is>
      </c>
      <c r="D1346" t="inlineStr">
        <is>
          <t>PREMONTAGEM</t>
        </is>
      </c>
      <c r="F1346" s="159">
        <f>IFERROR(INDEX('BASE METAS DIÁRIAS'!$N$2:$S$358,MATCH($A1346,'BASE METAS DIÁRIAS'!$A$2:$A$358,0),MOD(ROW()-2,6)+1),"")</f>
        <v/>
      </c>
      <c r="G1346" s="159">
        <f>IFERROR(IF(WEEKDAY($A1346,2)&lt;=INDEX('BASE METAS DIÁRIAS'!$H$2:$M$358,MATCH($A1346,'BASE METAS DIÁRIAS'!$A$2:$A$358,0),MOD(ROW()-2,6)+1),INDEX('BASE METAS DIÁRIAS'!$B$2:$G$358,MATCH($A1346,'BASE METAS DIÁRIAS'!$A$2:$A$358,0),MOD(ROW()-2,6)+1),""),"")</f>
        <v/>
      </c>
      <c r="H1346" s="159">
        <f>IFERROR(IF(INDEX('CONTROLE PRODUÇÃO POR EMPRESAS'!$B$6:$G$5000,MATCH($A1346,'CONTROLE PRODUÇÃO POR EMPRESAS'!$A$6:$A$5000,0),MOD(ROW()-2,6)+1)="","",IFERROR(1*INDEX('CONTROLE PRODUÇÃO POR EMPRESAS'!$B$6:$G$5000,MATCH($A1346,'CONTROLE PRODUÇÃO POR EMPRESAS'!$A$6:$A$5000,0),MOD(ROW()-2,6)+1),"")),"")</f>
        <v/>
      </c>
      <c r="I1346" s="159">
        <f>IF(OR(NOT(ISNUMBER(G1346)),NOT(ISNUMBER(H1346))),"",H1346-G1346)</f>
        <v/>
      </c>
      <c r="J1346" s="319">
        <f>IF(OR(NOT(ISNUMBER(G1346)),NOT(ISNUMBER(H1346)),G1346=0),"",I1346/G1346)</f>
        <v/>
      </c>
      <c r="K1346" s="319">
        <f>IF(OR(NOT(ISNUMBER(G1346)),NOT(ISNUMBER(H1346)),G1346=0),"",H1346/G1346)</f>
        <v/>
      </c>
      <c r="L1346">
        <f>IF(NOT(ISNUMBER(G1346)),"SEM META",IF(G1346=0,"SEM META",IF(NOT(ISNUMBER(H1346)),"SEM APONTAMENTO",IF(H1346&gt;=G1346,"VERDE",IF(H1346&gt;=G1346*0.9,"AMARELO","VERMELHO")))))</f>
        <v/>
      </c>
      <c r="M1346" s="162" t="n"/>
      <c r="N1346" s="162" t="n"/>
      <c r="O1346" s="162" t="n"/>
      <c r="P1346" s="162" t="n"/>
      <c r="Q1346" s="320" t="n"/>
      <c r="R1346" s="162" t="inlineStr">
        <is>
          <t>CONTROLE PRODUÇÃO POR EMPRESAS!B230</t>
        </is>
      </c>
    </row>
    <row r="1347" ht="28.5" customHeight="1">
      <c r="A1347" s="317" t="n">
        <v>46447</v>
      </c>
      <c r="B1347" t="inlineStr">
        <is>
          <t>GERAL</t>
        </is>
      </c>
      <c r="C1347" t="inlineStr">
        <is>
          <t>EJ</t>
        </is>
      </c>
      <c r="D1347" t="inlineStr">
        <is>
          <t>IÇAMENTO JOIST</t>
        </is>
      </c>
      <c r="F1347" s="159">
        <f>IFERROR(INDEX('BASE METAS DIÁRIAS'!$N$2:$S$358,MATCH($A1347,'BASE METAS DIÁRIAS'!$A$2:$A$358,0),MOD(ROW()-2,6)+1),"")</f>
        <v/>
      </c>
      <c r="G1347" s="159">
        <f>IFERROR(IF(WEEKDAY($A1347,2)&lt;=INDEX('BASE METAS DIÁRIAS'!$H$2:$M$358,MATCH($A1347,'BASE METAS DIÁRIAS'!$A$2:$A$358,0),MOD(ROW()-2,6)+1),INDEX('BASE METAS DIÁRIAS'!$B$2:$G$358,MATCH($A1347,'BASE METAS DIÁRIAS'!$A$2:$A$358,0),MOD(ROW()-2,6)+1),""),"")</f>
        <v/>
      </c>
      <c r="H1347" s="159">
        <f>IFERROR(IF(INDEX('CONTROLE PRODUÇÃO POR EMPRESAS'!$B$6:$G$5000,MATCH($A1347,'CONTROLE PRODUÇÃO POR EMPRESAS'!$A$6:$A$5000,0),MOD(ROW()-2,6)+1)="","",IFERROR(1*INDEX('CONTROLE PRODUÇÃO POR EMPRESAS'!$B$6:$G$5000,MATCH($A1347,'CONTROLE PRODUÇÃO POR EMPRESAS'!$A$6:$A$5000,0),MOD(ROW()-2,6)+1),"")),"")</f>
        <v/>
      </c>
      <c r="I1347" s="159">
        <f>IF(OR(NOT(ISNUMBER(G1347)),NOT(ISNUMBER(H1347))),"",H1347-G1347)</f>
        <v/>
      </c>
      <c r="J1347" s="319">
        <f>IF(OR(NOT(ISNUMBER(G1347)),NOT(ISNUMBER(H1347)),G1347=0),"",I1347/G1347)</f>
        <v/>
      </c>
      <c r="K1347" s="319">
        <f>IF(OR(NOT(ISNUMBER(G1347)),NOT(ISNUMBER(H1347)),G1347=0),"",H1347/G1347)</f>
        <v/>
      </c>
      <c r="L1347">
        <f>IF(NOT(ISNUMBER(G1347)),"SEM META",IF(G1347=0,"SEM META",IF(NOT(ISNUMBER(H1347)),"SEM APONTAMENTO",IF(H1347&gt;=G1347,"VERDE",IF(H1347&gt;=G1347*0.9,"AMARELO","VERMELHO")))))</f>
        <v/>
      </c>
      <c r="M1347" s="162" t="n"/>
      <c r="N1347" s="162" t="n"/>
      <c r="O1347" s="162" t="n"/>
      <c r="P1347" s="162" t="n"/>
      <c r="Q1347" s="320" t="n"/>
      <c r="R1347" s="162" t="inlineStr">
        <is>
          <t>CONTROLE PRODUÇÃO POR EMPRESAS!C230</t>
        </is>
      </c>
    </row>
    <row r="1348" ht="28.5" customHeight="1">
      <c r="A1348" s="317" t="n">
        <v>46447</v>
      </c>
      <c r="B1348" t="inlineStr">
        <is>
          <t>GERAL</t>
        </is>
      </c>
      <c r="C1348" t="inlineStr">
        <is>
          <t>EJ</t>
        </is>
      </c>
      <c r="D1348" t="inlineStr">
        <is>
          <t>VIGAS</t>
        </is>
      </c>
      <c r="F1348" s="159">
        <f>IFERROR(INDEX('BASE METAS DIÁRIAS'!$N$2:$S$358,MATCH($A1348,'BASE METAS DIÁRIAS'!$A$2:$A$358,0),MOD(ROW()-2,6)+1),"")</f>
        <v/>
      </c>
      <c r="G1348" s="159">
        <f>IFERROR(IF(WEEKDAY($A1348,2)&lt;=INDEX('BASE METAS DIÁRIAS'!$H$2:$M$358,MATCH($A1348,'BASE METAS DIÁRIAS'!$A$2:$A$358,0),MOD(ROW()-2,6)+1),INDEX('BASE METAS DIÁRIAS'!$B$2:$G$358,MATCH($A1348,'BASE METAS DIÁRIAS'!$A$2:$A$358,0),MOD(ROW()-2,6)+1),""),"")</f>
        <v/>
      </c>
      <c r="H1348" s="159">
        <f>IFERROR(IF(INDEX('CONTROLE PRODUÇÃO POR EMPRESAS'!$B$6:$G$5000,MATCH($A1348,'CONTROLE PRODUÇÃO POR EMPRESAS'!$A$6:$A$5000,0),MOD(ROW()-2,6)+1)="","",IFERROR(1*INDEX('CONTROLE PRODUÇÃO POR EMPRESAS'!$B$6:$G$5000,MATCH($A1348,'CONTROLE PRODUÇÃO POR EMPRESAS'!$A$6:$A$5000,0),MOD(ROW()-2,6)+1),"")),"")</f>
        <v/>
      </c>
      <c r="I1348" s="159">
        <f>IF(OR(NOT(ISNUMBER(G1348)),NOT(ISNUMBER(H1348))),"",H1348-G1348)</f>
        <v/>
      </c>
      <c r="J1348" s="319">
        <f>IF(OR(NOT(ISNUMBER(G1348)),NOT(ISNUMBER(H1348)),G1348=0),"",I1348/G1348)</f>
        <v/>
      </c>
      <c r="K1348" s="319">
        <f>IF(OR(NOT(ISNUMBER(G1348)),NOT(ISNUMBER(H1348)),G1348=0),"",H1348/G1348)</f>
        <v/>
      </c>
      <c r="L1348">
        <f>IF(NOT(ISNUMBER(G1348)),"SEM META",IF(G1348=0,"SEM META",IF(NOT(ISNUMBER(H1348)),"SEM APONTAMENTO",IF(H1348&gt;=G1348,"VERDE",IF(H1348&gt;=G1348*0.9,"AMARELO","VERMELHO")))))</f>
        <v/>
      </c>
      <c r="M1348" s="162" t="n"/>
      <c r="N1348" s="162" t="n"/>
      <c r="O1348" s="162" t="n"/>
      <c r="P1348" s="162" t="n"/>
      <c r="Q1348" s="320" t="n"/>
      <c r="R1348" s="162" t="inlineStr">
        <is>
          <t>CONTROLE PRODUÇÃO POR EMPRESAS!D230</t>
        </is>
      </c>
    </row>
    <row r="1349" ht="28.5" customHeight="1">
      <c r="A1349" s="317" t="n">
        <v>46447</v>
      </c>
      <c r="B1349" t="inlineStr">
        <is>
          <t>GERAL</t>
        </is>
      </c>
      <c r="C1349" t="inlineStr">
        <is>
          <t>CMM</t>
        </is>
      </c>
      <c r="D1349" t="inlineStr">
        <is>
          <t>PREMONTAGEM</t>
        </is>
      </c>
      <c r="F1349" s="159">
        <f>IFERROR(INDEX('BASE METAS DIÁRIAS'!$N$2:$S$358,MATCH($A1349,'BASE METAS DIÁRIAS'!$A$2:$A$358,0),MOD(ROW()-2,6)+1),"")</f>
        <v/>
      </c>
      <c r="G1349" s="159">
        <f>IFERROR(IF(WEEKDAY($A1349,2)&lt;=INDEX('BASE METAS DIÁRIAS'!$H$2:$M$358,MATCH($A1349,'BASE METAS DIÁRIAS'!$A$2:$A$358,0),MOD(ROW()-2,6)+1),INDEX('BASE METAS DIÁRIAS'!$B$2:$G$358,MATCH($A1349,'BASE METAS DIÁRIAS'!$A$2:$A$358,0),MOD(ROW()-2,6)+1),""),"")</f>
        <v/>
      </c>
      <c r="H1349" s="159">
        <f>IFERROR(IF(INDEX('CONTROLE PRODUÇÃO POR EMPRESAS'!$B$6:$G$5000,MATCH($A1349,'CONTROLE PRODUÇÃO POR EMPRESAS'!$A$6:$A$5000,0),MOD(ROW()-2,6)+1)="","",IFERROR(1*INDEX('CONTROLE PRODUÇÃO POR EMPRESAS'!$B$6:$G$5000,MATCH($A1349,'CONTROLE PRODUÇÃO POR EMPRESAS'!$A$6:$A$5000,0),MOD(ROW()-2,6)+1),"")),"")</f>
        <v/>
      </c>
      <c r="I1349" s="159">
        <f>IF(OR(NOT(ISNUMBER(G1349)),NOT(ISNUMBER(H1349))),"",H1349-G1349)</f>
        <v/>
      </c>
      <c r="J1349" s="319">
        <f>IF(OR(NOT(ISNUMBER(G1349)),NOT(ISNUMBER(H1349)),G1349=0),"",I1349/G1349)</f>
        <v/>
      </c>
      <c r="K1349" s="319">
        <f>IF(OR(NOT(ISNUMBER(G1349)),NOT(ISNUMBER(H1349)),G1349=0),"",H1349/G1349)</f>
        <v/>
      </c>
      <c r="L1349">
        <f>IF(NOT(ISNUMBER(G1349)),"SEM META",IF(G1349=0,"SEM META",IF(NOT(ISNUMBER(H1349)),"SEM APONTAMENTO",IF(H1349&gt;=G1349,"VERDE",IF(H1349&gt;=G1349*0.9,"AMARELO","VERMELHO")))))</f>
        <v/>
      </c>
      <c r="M1349" s="162" t="n"/>
      <c r="N1349" s="162" t="n"/>
      <c r="O1349" s="162" t="n"/>
      <c r="P1349" s="162" t="n"/>
      <c r="Q1349" s="320" t="n"/>
      <c r="R1349" s="162" t="inlineStr">
        <is>
          <t>CONTROLE PRODUÇÃO POR EMPRESAS!E230</t>
        </is>
      </c>
    </row>
    <row r="1350" ht="28.5" customHeight="1">
      <c r="A1350" s="317" t="n">
        <v>46447</v>
      </c>
      <c r="B1350" t="inlineStr">
        <is>
          <t>GERAL</t>
        </is>
      </c>
      <c r="C1350" t="inlineStr">
        <is>
          <t>CMM</t>
        </is>
      </c>
      <c r="D1350" t="inlineStr">
        <is>
          <t>IÇAMENTO JOIST</t>
        </is>
      </c>
      <c r="F1350" s="159">
        <f>IFERROR(INDEX('BASE METAS DIÁRIAS'!$N$2:$S$358,MATCH($A1350,'BASE METAS DIÁRIAS'!$A$2:$A$358,0),MOD(ROW()-2,6)+1),"")</f>
        <v/>
      </c>
      <c r="G1350" s="159">
        <f>IFERROR(IF(WEEKDAY($A1350,2)&lt;=INDEX('BASE METAS DIÁRIAS'!$H$2:$M$358,MATCH($A1350,'BASE METAS DIÁRIAS'!$A$2:$A$358,0),MOD(ROW()-2,6)+1),INDEX('BASE METAS DIÁRIAS'!$B$2:$G$358,MATCH($A1350,'BASE METAS DIÁRIAS'!$A$2:$A$358,0),MOD(ROW()-2,6)+1),""),"")</f>
        <v/>
      </c>
      <c r="H1350" s="159">
        <f>IFERROR(IF(INDEX('CONTROLE PRODUÇÃO POR EMPRESAS'!$B$6:$G$5000,MATCH($A1350,'CONTROLE PRODUÇÃO POR EMPRESAS'!$A$6:$A$5000,0),MOD(ROW()-2,6)+1)="","",IFERROR(1*INDEX('CONTROLE PRODUÇÃO POR EMPRESAS'!$B$6:$G$5000,MATCH($A1350,'CONTROLE PRODUÇÃO POR EMPRESAS'!$A$6:$A$5000,0),MOD(ROW()-2,6)+1),"")),"")</f>
        <v/>
      </c>
      <c r="I1350" s="159">
        <f>IF(OR(NOT(ISNUMBER(G1350)),NOT(ISNUMBER(H1350))),"",H1350-G1350)</f>
        <v/>
      </c>
      <c r="J1350" s="319">
        <f>IF(OR(NOT(ISNUMBER(G1350)),NOT(ISNUMBER(H1350)),G1350=0),"",I1350/G1350)</f>
        <v/>
      </c>
      <c r="K1350" s="319">
        <f>IF(OR(NOT(ISNUMBER(G1350)),NOT(ISNUMBER(H1350)),G1350=0),"",H1350/G1350)</f>
        <v/>
      </c>
      <c r="L1350">
        <f>IF(NOT(ISNUMBER(G1350)),"SEM META",IF(G1350=0,"SEM META",IF(NOT(ISNUMBER(H1350)),"SEM APONTAMENTO",IF(H1350&gt;=G1350,"VERDE",IF(H1350&gt;=G1350*0.9,"AMARELO","VERMELHO")))))</f>
        <v/>
      </c>
      <c r="M1350" s="162" t="n"/>
      <c r="N1350" s="162" t="n"/>
      <c r="O1350" s="162" t="n"/>
      <c r="P1350" s="162" t="n"/>
      <c r="Q1350" s="320" t="n"/>
      <c r="R1350" s="162" t="inlineStr">
        <is>
          <t>CONTROLE PRODUÇÃO POR EMPRESAS!F230</t>
        </is>
      </c>
    </row>
    <row r="1351" ht="28.5" customHeight="1">
      <c r="A1351" s="317" t="n">
        <v>46447</v>
      </c>
      <c r="B1351" t="inlineStr">
        <is>
          <t>GERAL</t>
        </is>
      </c>
      <c r="C1351" t="inlineStr">
        <is>
          <t>CMM</t>
        </is>
      </c>
      <c r="D1351" t="inlineStr">
        <is>
          <t>VIGAS</t>
        </is>
      </c>
      <c r="F1351" s="159">
        <f>IFERROR(INDEX('BASE METAS DIÁRIAS'!$N$2:$S$358,MATCH($A1351,'BASE METAS DIÁRIAS'!$A$2:$A$358,0),MOD(ROW()-2,6)+1),"")</f>
        <v/>
      </c>
      <c r="G1351" s="159">
        <f>IFERROR(IF(WEEKDAY($A1351,2)&lt;=INDEX('BASE METAS DIÁRIAS'!$H$2:$M$358,MATCH($A1351,'BASE METAS DIÁRIAS'!$A$2:$A$358,0),MOD(ROW()-2,6)+1),INDEX('BASE METAS DIÁRIAS'!$B$2:$G$358,MATCH($A1351,'BASE METAS DIÁRIAS'!$A$2:$A$358,0),MOD(ROW()-2,6)+1),""),"")</f>
        <v/>
      </c>
      <c r="H1351" s="159">
        <f>IFERROR(IF(INDEX('CONTROLE PRODUÇÃO POR EMPRESAS'!$B$6:$G$5000,MATCH($A1351,'CONTROLE PRODUÇÃO POR EMPRESAS'!$A$6:$A$5000,0),MOD(ROW()-2,6)+1)="","",IFERROR(1*INDEX('CONTROLE PRODUÇÃO POR EMPRESAS'!$B$6:$G$5000,MATCH($A1351,'CONTROLE PRODUÇÃO POR EMPRESAS'!$A$6:$A$5000,0),MOD(ROW()-2,6)+1),"")),"")</f>
        <v/>
      </c>
      <c r="I1351" s="159">
        <f>IF(OR(NOT(ISNUMBER(G1351)),NOT(ISNUMBER(H1351))),"",H1351-G1351)</f>
        <v/>
      </c>
      <c r="J1351" s="319">
        <f>IF(OR(NOT(ISNUMBER(G1351)),NOT(ISNUMBER(H1351)),G1351=0),"",I1351/G1351)</f>
        <v/>
      </c>
      <c r="K1351" s="319">
        <f>IF(OR(NOT(ISNUMBER(G1351)),NOT(ISNUMBER(H1351)),G1351=0),"",H1351/G1351)</f>
        <v/>
      </c>
      <c r="L1351">
        <f>IF(NOT(ISNUMBER(G1351)),"SEM META",IF(G1351=0,"SEM META",IF(NOT(ISNUMBER(H1351)),"SEM APONTAMENTO",IF(H1351&gt;=G1351,"VERDE",IF(H1351&gt;=G1351*0.9,"AMARELO","VERMELHO")))))</f>
        <v/>
      </c>
      <c r="M1351" s="162" t="n"/>
      <c r="N1351" s="162" t="n"/>
      <c r="O1351" s="162" t="n"/>
      <c r="P1351" s="162" t="n"/>
      <c r="Q1351" s="320" t="n"/>
      <c r="R1351" s="162" t="inlineStr">
        <is>
          <t>CONTROLE PRODUÇÃO POR EMPRESAS!G230</t>
        </is>
      </c>
    </row>
    <row r="1352" ht="28.5" customHeight="1">
      <c r="A1352" s="317" t="n">
        <v>46448</v>
      </c>
      <c r="B1352" t="inlineStr">
        <is>
          <t>GERAL</t>
        </is>
      </c>
      <c r="C1352" t="inlineStr">
        <is>
          <t>EJ</t>
        </is>
      </c>
      <c r="D1352" t="inlineStr">
        <is>
          <t>PREMONTAGEM</t>
        </is>
      </c>
      <c r="F1352" s="159">
        <f>IFERROR(INDEX('BASE METAS DIÁRIAS'!$N$2:$S$358,MATCH($A1352,'BASE METAS DIÁRIAS'!$A$2:$A$358,0),MOD(ROW()-2,6)+1),"")</f>
        <v/>
      </c>
      <c r="G1352" s="159">
        <f>IFERROR(IF(WEEKDAY($A1352,2)&lt;=INDEX('BASE METAS DIÁRIAS'!$H$2:$M$358,MATCH($A1352,'BASE METAS DIÁRIAS'!$A$2:$A$358,0),MOD(ROW()-2,6)+1),INDEX('BASE METAS DIÁRIAS'!$B$2:$G$358,MATCH($A1352,'BASE METAS DIÁRIAS'!$A$2:$A$358,0),MOD(ROW()-2,6)+1),""),"")</f>
        <v/>
      </c>
      <c r="H1352" s="159">
        <f>IFERROR(IF(INDEX('CONTROLE PRODUÇÃO POR EMPRESAS'!$B$6:$G$5000,MATCH($A1352,'CONTROLE PRODUÇÃO POR EMPRESAS'!$A$6:$A$5000,0),MOD(ROW()-2,6)+1)="","",IFERROR(1*INDEX('CONTROLE PRODUÇÃO POR EMPRESAS'!$B$6:$G$5000,MATCH($A1352,'CONTROLE PRODUÇÃO POR EMPRESAS'!$A$6:$A$5000,0),MOD(ROW()-2,6)+1),"")),"")</f>
        <v/>
      </c>
      <c r="I1352" s="159">
        <f>IF(OR(NOT(ISNUMBER(G1352)),NOT(ISNUMBER(H1352))),"",H1352-G1352)</f>
        <v/>
      </c>
      <c r="J1352" s="319">
        <f>IF(OR(NOT(ISNUMBER(G1352)),NOT(ISNUMBER(H1352)),G1352=0),"",I1352/G1352)</f>
        <v/>
      </c>
      <c r="K1352" s="319">
        <f>IF(OR(NOT(ISNUMBER(G1352)),NOT(ISNUMBER(H1352)),G1352=0),"",H1352/G1352)</f>
        <v/>
      </c>
      <c r="L1352">
        <f>IF(NOT(ISNUMBER(G1352)),"SEM META",IF(G1352=0,"SEM META",IF(NOT(ISNUMBER(H1352)),"SEM APONTAMENTO",IF(H1352&gt;=G1352,"VERDE",IF(H1352&gt;=G1352*0.9,"AMARELO","VERMELHO")))))</f>
        <v/>
      </c>
      <c r="M1352" s="162" t="n"/>
      <c r="N1352" s="162" t="n"/>
      <c r="O1352" s="162" t="n"/>
      <c r="P1352" s="162" t="n"/>
      <c r="Q1352" s="320" t="n"/>
      <c r="R1352" s="162" t="inlineStr">
        <is>
          <t>CONTROLE PRODUÇÃO POR EMPRESAS!B231</t>
        </is>
      </c>
    </row>
    <row r="1353" ht="28.5" customHeight="1">
      <c r="A1353" s="317" t="n">
        <v>46448</v>
      </c>
      <c r="B1353" t="inlineStr">
        <is>
          <t>GERAL</t>
        </is>
      </c>
      <c r="C1353" t="inlineStr">
        <is>
          <t>EJ</t>
        </is>
      </c>
      <c r="D1353" t="inlineStr">
        <is>
          <t>IÇAMENTO JOIST</t>
        </is>
      </c>
      <c r="F1353" s="159">
        <f>IFERROR(INDEX('BASE METAS DIÁRIAS'!$N$2:$S$358,MATCH($A1353,'BASE METAS DIÁRIAS'!$A$2:$A$358,0),MOD(ROW()-2,6)+1),"")</f>
        <v/>
      </c>
      <c r="G1353" s="159">
        <f>IFERROR(IF(WEEKDAY($A1353,2)&lt;=INDEX('BASE METAS DIÁRIAS'!$H$2:$M$358,MATCH($A1353,'BASE METAS DIÁRIAS'!$A$2:$A$358,0),MOD(ROW()-2,6)+1),INDEX('BASE METAS DIÁRIAS'!$B$2:$G$358,MATCH($A1353,'BASE METAS DIÁRIAS'!$A$2:$A$358,0),MOD(ROW()-2,6)+1),""),"")</f>
        <v/>
      </c>
      <c r="H1353" s="159">
        <f>IFERROR(IF(INDEX('CONTROLE PRODUÇÃO POR EMPRESAS'!$B$6:$G$5000,MATCH($A1353,'CONTROLE PRODUÇÃO POR EMPRESAS'!$A$6:$A$5000,0),MOD(ROW()-2,6)+1)="","",IFERROR(1*INDEX('CONTROLE PRODUÇÃO POR EMPRESAS'!$B$6:$G$5000,MATCH($A1353,'CONTROLE PRODUÇÃO POR EMPRESAS'!$A$6:$A$5000,0),MOD(ROW()-2,6)+1),"")),"")</f>
        <v/>
      </c>
      <c r="I1353" s="159">
        <f>IF(OR(NOT(ISNUMBER(G1353)),NOT(ISNUMBER(H1353))),"",H1353-G1353)</f>
        <v/>
      </c>
      <c r="J1353" s="319">
        <f>IF(OR(NOT(ISNUMBER(G1353)),NOT(ISNUMBER(H1353)),G1353=0),"",I1353/G1353)</f>
        <v/>
      </c>
      <c r="K1353" s="319">
        <f>IF(OR(NOT(ISNUMBER(G1353)),NOT(ISNUMBER(H1353)),G1353=0),"",H1353/G1353)</f>
        <v/>
      </c>
      <c r="L1353">
        <f>IF(NOT(ISNUMBER(G1353)),"SEM META",IF(G1353=0,"SEM META",IF(NOT(ISNUMBER(H1353)),"SEM APONTAMENTO",IF(H1353&gt;=G1353,"VERDE",IF(H1353&gt;=G1353*0.9,"AMARELO","VERMELHO")))))</f>
        <v/>
      </c>
      <c r="M1353" s="162" t="n"/>
      <c r="N1353" s="162" t="n"/>
      <c r="O1353" s="162" t="n"/>
      <c r="P1353" s="162" t="n"/>
      <c r="Q1353" s="320" t="n"/>
      <c r="R1353" s="162" t="inlineStr">
        <is>
          <t>CONTROLE PRODUÇÃO POR EMPRESAS!C231</t>
        </is>
      </c>
    </row>
    <row r="1354" ht="28.5" customHeight="1">
      <c r="A1354" s="317" t="n">
        <v>46448</v>
      </c>
      <c r="B1354" t="inlineStr">
        <is>
          <t>GERAL</t>
        </is>
      </c>
      <c r="C1354" t="inlineStr">
        <is>
          <t>EJ</t>
        </is>
      </c>
      <c r="D1354" t="inlineStr">
        <is>
          <t>VIGAS</t>
        </is>
      </c>
      <c r="F1354" s="159">
        <f>IFERROR(INDEX('BASE METAS DIÁRIAS'!$N$2:$S$358,MATCH($A1354,'BASE METAS DIÁRIAS'!$A$2:$A$358,0),MOD(ROW()-2,6)+1),"")</f>
        <v/>
      </c>
      <c r="G1354" s="159">
        <f>IFERROR(IF(WEEKDAY($A1354,2)&lt;=INDEX('BASE METAS DIÁRIAS'!$H$2:$M$358,MATCH($A1354,'BASE METAS DIÁRIAS'!$A$2:$A$358,0),MOD(ROW()-2,6)+1),INDEX('BASE METAS DIÁRIAS'!$B$2:$G$358,MATCH($A1354,'BASE METAS DIÁRIAS'!$A$2:$A$358,0),MOD(ROW()-2,6)+1),""),"")</f>
        <v/>
      </c>
      <c r="H1354" s="159">
        <f>IFERROR(IF(INDEX('CONTROLE PRODUÇÃO POR EMPRESAS'!$B$6:$G$5000,MATCH($A1354,'CONTROLE PRODUÇÃO POR EMPRESAS'!$A$6:$A$5000,0),MOD(ROW()-2,6)+1)="","",IFERROR(1*INDEX('CONTROLE PRODUÇÃO POR EMPRESAS'!$B$6:$G$5000,MATCH($A1354,'CONTROLE PRODUÇÃO POR EMPRESAS'!$A$6:$A$5000,0),MOD(ROW()-2,6)+1),"")),"")</f>
        <v/>
      </c>
      <c r="I1354" s="159">
        <f>IF(OR(NOT(ISNUMBER(G1354)),NOT(ISNUMBER(H1354))),"",H1354-G1354)</f>
        <v/>
      </c>
      <c r="J1354" s="319">
        <f>IF(OR(NOT(ISNUMBER(G1354)),NOT(ISNUMBER(H1354)),G1354=0),"",I1354/G1354)</f>
        <v/>
      </c>
      <c r="K1354" s="319">
        <f>IF(OR(NOT(ISNUMBER(G1354)),NOT(ISNUMBER(H1354)),G1354=0),"",H1354/G1354)</f>
        <v/>
      </c>
      <c r="L1354">
        <f>IF(NOT(ISNUMBER(G1354)),"SEM META",IF(G1354=0,"SEM META",IF(NOT(ISNUMBER(H1354)),"SEM APONTAMENTO",IF(H1354&gt;=G1354,"VERDE",IF(H1354&gt;=G1354*0.9,"AMARELO","VERMELHO")))))</f>
        <v/>
      </c>
      <c r="M1354" s="162" t="n"/>
      <c r="N1354" s="162" t="n"/>
      <c r="O1354" s="162" t="n"/>
      <c r="P1354" s="162" t="n"/>
      <c r="Q1354" s="320" t="n"/>
      <c r="R1354" s="162" t="inlineStr">
        <is>
          <t>CONTROLE PRODUÇÃO POR EMPRESAS!D231</t>
        </is>
      </c>
    </row>
    <row r="1355" ht="28.5" customHeight="1">
      <c r="A1355" s="317" t="n">
        <v>46448</v>
      </c>
      <c r="B1355" t="inlineStr">
        <is>
          <t>GERAL</t>
        </is>
      </c>
      <c r="C1355" t="inlineStr">
        <is>
          <t>CMM</t>
        </is>
      </c>
      <c r="D1355" t="inlineStr">
        <is>
          <t>PREMONTAGEM</t>
        </is>
      </c>
      <c r="F1355" s="159">
        <f>IFERROR(INDEX('BASE METAS DIÁRIAS'!$N$2:$S$358,MATCH($A1355,'BASE METAS DIÁRIAS'!$A$2:$A$358,0),MOD(ROW()-2,6)+1),"")</f>
        <v/>
      </c>
      <c r="G1355" s="159">
        <f>IFERROR(IF(WEEKDAY($A1355,2)&lt;=INDEX('BASE METAS DIÁRIAS'!$H$2:$M$358,MATCH($A1355,'BASE METAS DIÁRIAS'!$A$2:$A$358,0),MOD(ROW()-2,6)+1),INDEX('BASE METAS DIÁRIAS'!$B$2:$G$358,MATCH($A1355,'BASE METAS DIÁRIAS'!$A$2:$A$358,0),MOD(ROW()-2,6)+1),""),"")</f>
        <v/>
      </c>
      <c r="H1355" s="159">
        <f>IFERROR(IF(INDEX('CONTROLE PRODUÇÃO POR EMPRESAS'!$B$6:$G$5000,MATCH($A1355,'CONTROLE PRODUÇÃO POR EMPRESAS'!$A$6:$A$5000,0),MOD(ROW()-2,6)+1)="","",IFERROR(1*INDEX('CONTROLE PRODUÇÃO POR EMPRESAS'!$B$6:$G$5000,MATCH($A1355,'CONTROLE PRODUÇÃO POR EMPRESAS'!$A$6:$A$5000,0),MOD(ROW()-2,6)+1),"")),"")</f>
        <v/>
      </c>
      <c r="I1355" s="159">
        <f>IF(OR(NOT(ISNUMBER(G1355)),NOT(ISNUMBER(H1355))),"",H1355-G1355)</f>
        <v/>
      </c>
      <c r="J1355" s="319">
        <f>IF(OR(NOT(ISNUMBER(G1355)),NOT(ISNUMBER(H1355)),G1355=0),"",I1355/G1355)</f>
        <v/>
      </c>
      <c r="K1355" s="319">
        <f>IF(OR(NOT(ISNUMBER(G1355)),NOT(ISNUMBER(H1355)),G1355=0),"",H1355/G1355)</f>
        <v/>
      </c>
      <c r="L1355">
        <f>IF(NOT(ISNUMBER(G1355)),"SEM META",IF(G1355=0,"SEM META",IF(NOT(ISNUMBER(H1355)),"SEM APONTAMENTO",IF(H1355&gt;=G1355,"VERDE",IF(H1355&gt;=G1355*0.9,"AMARELO","VERMELHO")))))</f>
        <v/>
      </c>
      <c r="M1355" s="162" t="n"/>
      <c r="N1355" s="162" t="n"/>
      <c r="O1355" s="162" t="n"/>
      <c r="P1355" s="162" t="n"/>
      <c r="Q1355" s="320" t="n"/>
      <c r="R1355" s="162" t="inlineStr">
        <is>
          <t>CONTROLE PRODUÇÃO POR EMPRESAS!E231</t>
        </is>
      </c>
    </row>
    <row r="1356" ht="28.5" customHeight="1">
      <c r="A1356" s="317" t="n">
        <v>46448</v>
      </c>
      <c r="B1356" t="inlineStr">
        <is>
          <t>GERAL</t>
        </is>
      </c>
      <c r="C1356" t="inlineStr">
        <is>
          <t>CMM</t>
        </is>
      </c>
      <c r="D1356" t="inlineStr">
        <is>
          <t>IÇAMENTO JOIST</t>
        </is>
      </c>
      <c r="F1356" s="159">
        <f>IFERROR(INDEX('BASE METAS DIÁRIAS'!$N$2:$S$358,MATCH($A1356,'BASE METAS DIÁRIAS'!$A$2:$A$358,0),MOD(ROW()-2,6)+1),"")</f>
        <v/>
      </c>
      <c r="G1356" s="159">
        <f>IFERROR(IF(WEEKDAY($A1356,2)&lt;=INDEX('BASE METAS DIÁRIAS'!$H$2:$M$358,MATCH($A1356,'BASE METAS DIÁRIAS'!$A$2:$A$358,0),MOD(ROW()-2,6)+1),INDEX('BASE METAS DIÁRIAS'!$B$2:$G$358,MATCH($A1356,'BASE METAS DIÁRIAS'!$A$2:$A$358,0),MOD(ROW()-2,6)+1),""),"")</f>
        <v/>
      </c>
      <c r="H1356" s="159">
        <f>IFERROR(IF(INDEX('CONTROLE PRODUÇÃO POR EMPRESAS'!$B$6:$G$5000,MATCH($A1356,'CONTROLE PRODUÇÃO POR EMPRESAS'!$A$6:$A$5000,0),MOD(ROW()-2,6)+1)="","",IFERROR(1*INDEX('CONTROLE PRODUÇÃO POR EMPRESAS'!$B$6:$G$5000,MATCH($A1356,'CONTROLE PRODUÇÃO POR EMPRESAS'!$A$6:$A$5000,0),MOD(ROW()-2,6)+1),"")),"")</f>
        <v/>
      </c>
      <c r="I1356" s="159">
        <f>IF(OR(NOT(ISNUMBER(G1356)),NOT(ISNUMBER(H1356))),"",H1356-G1356)</f>
        <v/>
      </c>
      <c r="J1356" s="319">
        <f>IF(OR(NOT(ISNUMBER(G1356)),NOT(ISNUMBER(H1356)),G1356=0),"",I1356/G1356)</f>
        <v/>
      </c>
      <c r="K1356" s="319">
        <f>IF(OR(NOT(ISNUMBER(G1356)),NOT(ISNUMBER(H1356)),G1356=0),"",H1356/G1356)</f>
        <v/>
      </c>
      <c r="L1356">
        <f>IF(NOT(ISNUMBER(G1356)),"SEM META",IF(G1356=0,"SEM META",IF(NOT(ISNUMBER(H1356)),"SEM APONTAMENTO",IF(H1356&gt;=G1356,"VERDE",IF(H1356&gt;=G1356*0.9,"AMARELO","VERMELHO")))))</f>
        <v/>
      </c>
      <c r="M1356" s="162" t="n"/>
      <c r="N1356" s="162" t="n"/>
      <c r="O1356" s="162" t="n"/>
      <c r="P1356" s="162" t="n"/>
      <c r="Q1356" s="320" t="n"/>
      <c r="R1356" s="162" t="inlineStr">
        <is>
          <t>CONTROLE PRODUÇÃO POR EMPRESAS!F231</t>
        </is>
      </c>
    </row>
    <row r="1357" ht="28.5" customHeight="1">
      <c r="A1357" s="317" t="n">
        <v>46448</v>
      </c>
      <c r="B1357" t="inlineStr">
        <is>
          <t>GERAL</t>
        </is>
      </c>
      <c r="C1357" t="inlineStr">
        <is>
          <t>CMM</t>
        </is>
      </c>
      <c r="D1357" t="inlineStr">
        <is>
          <t>VIGAS</t>
        </is>
      </c>
      <c r="F1357" s="159">
        <f>IFERROR(INDEX('BASE METAS DIÁRIAS'!$N$2:$S$358,MATCH($A1357,'BASE METAS DIÁRIAS'!$A$2:$A$358,0),MOD(ROW()-2,6)+1),"")</f>
        <v/>
      </c>
      <c r="G1357" s="159">
        <f>IFERROR(IF(WEEKDAY($A1357,2)&lt;=INDEX('BASE METAS DIÁRIAS'!$H$2:$M$358,MATCH($A1357,'BASE METAS DIÁRIAS'!$A$2:$A$358,0),MOD(ROW()-2,6)+1),INDEX('BASE METAS DIÁRIAS'!$B$2:$G$358,MATCH($A1357,'BASE METAS DIÁRIAS'!$A$2:$A$358,0),MOD(ROW()-2,6)+1),""),"")</f>
        <v/>
      </c>
      <c r="H1357" s="159">
        <f>IFERROR(IF(INDEX('CONTROLE PRODUÇÃO POR EMPRESAS'!$B$6:$G$5000,MATCH($A1357,'CONTROLE PRODUÇÃO POR EMPRESAS'!$A$6:$A$5000,0),MOD(ROW()-2,6)+1)="","",IFERROR(1*INDEX('CONTROLE PRODUÇÃO POR EMPRESAS'!$B$6:$G$5000,MATCH($A1357,'CONTROLE PRODUÇÃO POR EMPRESAS'!$A$6:$A$5000,0),MOD(ROW()-2,6)+1),"")),"")</f>
        <v/>
      </c>
      <c r="I1357" s="159">
        <f>IF(OR(NOT(ISNUMBER(G1357)),NOT(ISNUMBER(H1357))),"",H1357-G1357)</f>
        <v/>
      </c>
      <c r="J1357" s="319">
        <f>IF(OR(NOT(ISNUMBER(G1357)),NOT(ISNUMBER(H1357)),G1357=0),"",I1357/G1357)</f>
        <v/>
      </c>
      <c r="K1357" s="319">
        <f>IF(OR(NOT(ISNUMBER(G1357)),NOT(ISNUMBER(H1357)),G1357=0),"",H1357/G1357)</f>
        <v/>
      </c>
      <c r="L1357">
        <f>IF(NOT(ISNUMBER(G1357)),"SEM META",IF(G1357=0,"SEM META",IF(NOT(ISNUMBER(H1357)),"SEM APONTAMENTO",IF(H1357&gt;=G1357,"VERDE",IF(H1357&gt;=G1357*0.9,"AMARELO","VERMELHO")))))</f>
        <v/>
      </c>
      <c r="M1357" s="162" t="n"/>
      <c r="N1357" s="162" t="n"/>
      <c r="O1357" s="162" t="n"/>
      <c r="P1357" s="162" t="n"/>
      <c r="Q1357" s="320" t="n"/>
      <c r="R1357" s="162" t="inlineStr">
        <is>
          <t>CONTROLE PRODUÇÃO POR EMPRESAS!G231</t>
        </is>
      </c>
    </row>
    <row r="1358" ht="28.5" customHeight="1">
      <c r="A1358" s="317" t="n">
        <v>46449</v>
      </c>
      <c r="B1358" t="inlineStr">
        <is>
          <t>GERAL</t>
        </is>
      </c>
      <c r="C1358" t="inlineStr">
        <is>
          <t>EJ</t>
        </is>
      </c>
      <c r="D1358" t="inlineStr">
        <is>
          <t>PREMONTAGEM</t>
        </is>
      </c>
      <c r="F1358" s="159">
        <f>IFERROR(INDEX('BASE METAS DIÁRIAS'!$N$2:$S$358,MATCH($A1358,'BASE METAS DIÁRIAS'!$A$2:$A$358,0),MOD(ROW()-2,6)+1),"")</f>
        <v/>
      </c>
      <c r="G1358" s="159">
        <f>IFERROR(IF(WEEKDAY($A1358,2)&lt;=INDEX('BASE METAS DIÁRIAS'!$H$2:$M$358,MATCH($A1358,'BASE METAS DIÁRIAS'!$A$2:$A$358,0),MOD(ROW()-2,6)+1),INDEX('BASE METAS DIÁRIAS'!$B$2:$G$358,MATCH($A1358,'BASE METAS DIÁRIAS'!$A$2:$A$358,0),MOD(ROW()-2,6)+1),""),"")</f>
        <v/>
      </c>
      <c r="H1358" s="159">
        <f>IFERROR(IF(INDEX('CONTROLE PRODUÇÃO POR EMPRESAS'!$B$6:$G$5000,MATCH($A1358,'CONTROLE PRODUÇÃO POR EMPRESAS'!$A$6:$A$5000,0),MOD(ROW()-2,6)+1)="","",IFERROR(1*INDEX('CONTROLE PRODUÇÃO POR EMPRESAS'!$B$6:$G$5000,MATCH($A1358,'CONTROLE PRODUÇÃO POR EMPRESAS'!$A$6:$A$5000,0),MOD(ROW()-2,6)+1),"")),"")</f>
        <v/>
      </c>
      <c r="I1358" s="159">
        <f>IF(OR(NOT(ISNUMBER(G1358)),NOT(ISNUMBER(H1358))),"",H1358-G1358)</f>
        <v/>
      </c>
      <c r="J1358" s="319">
        <f>IF(OR(NOT(ISNUMBER(G1358)),NOT(ISNUMBER(H1358)),G1358=0),"",I1358/G1358)</f>
        <v/>
      </c>
      <c r="K1358" s="319">
        <f>IF(OR(NOT(ISNUMBER(G1358)),NOT(ISNUMBER(H1358)),G1358=0),"",H1358/G1358)</f>
        <v/>
      </c>
      <c r="L1358">
        <f>IF(NOT(ISNUMBER(G1358)),"SEM META",IF(G1358=0,"SEM META",IF(NOT(ISNUMBER(H1358)),"SEM APONTAMENTO",IF(H1358&gt;=G1358,"VERDE",IF(H1358&gt;=G1358*0.9,"AMARELO","VERMELHO")))))</f>
        <v/>
      </c>
      <c r="M1358" s="162" t="n"/>
      <c r="N1358" s="162" t="n"/>
      <c r="O1358" s="162" t="n"/>
      <c r="P1358" s="162" t="n"/>
      <c r="Q1358" s="320" t="n"/>
      <c r="R1358" s="162" t="inlineStr">
        <is>
          <t>CONTROLE PRODUÇÃO POR EMPRESAS!B232</t>
        </is>
      </c>
    </row>
    <row r="1359" ht="28.5" customHeight="1">
      <c r="A1359" s="317" t="n">
        <v>46449</v>
      </c>
      <c r="B1359" t="inlineStr">
        <is>
          <t>GERAL</t>
        </is>
      </c>
      <c r="C1359" t="inlineStr">
        <is>
          <t>EJ</t>
        </is>
      </c>
      <c r="D1359" t="inlineStr">
        <is>
          <t>IÇAMENTO JOIST</t>
        </is>
      </c>
      <c r="F1359" s="159">
        <f>IFERROR(INDEX('BASE METAS DIÁRIAS'!$N$2:$S$358,MATCH($A1359,'BASE METAS DIÁRIAS'!$A$2:$A$358,0),MOD(ROW()-2,6)+1),"")</f>
        <v/>
      </c>
      <c r="G1359" s="159">
        <f>IFERROR(IF(WEEKDAY($A1359,2)&lt;=INDEX('BASE METAS DIÁRIAS'!$H$2:$M$358,MATCH($A1359,'BASE METAS DIÁRIAS'!$A$2:$A$358,0),MOD(ROW()-2,6)+1),INDEX('BASE METAS DIÁRIAS'!$B$2:$G$358,MATCH($A1359,'BASE METAS DIÁRIAS'!$A$2:$A$358,0),MOD(ROW()-2,6)+1),""),"")</f>
        <v/>
      </c>
      <c r="H1359" s="159">
        <f>IFERROR(IF(INDEX('CONTROLE PRODUÇÃO POR EMPRESAS'!$B$6:$G$5000,MATCH($A1359,'CONTROLE PRODUÇÃO POR EMPRESAS'!$A$6:$A$5000,0),MOD(ROW()-2,6)+1)="","",IFERROR(1*INDEX('CONTROLE PRODUÇÃO POR EMPRESAS'!$B$6:$G$5000,MATCH($A1359,'CONTROLE PRODUÇÃO POR EMPRESAS'!$A$6:$A$5000,0),MOD(ROW()-2,6)+1),"")),"")</f>
        <v/>
      </c>
      <c r="I1359" s="159">
        <f>IF(OR(NOT(ISNUMBER(G1359)),NOT(ISNUMBER(H1359))),"",H1359-G1359)</f>
        <v/>
      </c>
      <c r="J1359" s="319">
        <f>IF(OR(NOT(ISNUMBER(G1359)),NOT(ISNUMBER(H1359)),G1359=0),"",I1359/G1359)</f>
        <v/>
      </c>
      <c r="K1359" s="319">
        <f>IF(OR(NOT(ISNUMBER(G1359)),NOT(ISNUMBER(H1359)),G1359=0),"",H1359/G1359)</f>
        <v/>
      </c>
      <c r="L1359">
        <f>IF(NOT(ISNUMBER(G1359)),"SEM META",IF(G1359=0,"SEM META",IF(NOT(ISNUMBER(H1359)),"SEM APONTAMENTO",IF(H1359&gt;=G1359,"VERDE",IF(H1359&gt;=G1359*0.9,"AMARELO","VERMELHO")))))</f>
        <v/>
      </c>
      <c r="M1359" s="162" t="n"/>
      <c r="N1359" s="162" t="n"/>
      <c r="O1359" s="162" t="n"/>
      <c r="P1359" s="162" t="n"/>
      <c r="Q1359" s="320" t="n"/>
      <c r="R1359" s="162" t="inlineStr">
        <is>
          <t>CONTROLE PRODUÇÃO POR EMPRESAS!C232</t>
        </is>
      </c>
    </row>
    <row r="1360" ht="28.5" customHeight="1">
      <c r="A1360" s="317" t="n">
        <v>46449</v>
      </c>
      <c r="B1360" t="inlineStr">
        <is>
          <t>GERAL</t>
        </is>
      </c>
      <c r="C1360" t="inlineStr">
        <is>
          <t>EJ</t>
        </is>
      </c>
      <c r="D1360" t="inlineStr">
        <is>
          <t>VIGAS</t>
        </is>
      </c>
      <c r="F1360" s="159">
        <f>IFERROR(INDEX('BASE METAS DIÁRIAS'!$N$2:$S$358,MATCH($A1360,'BASE METAS DIÁRIAS'!$A$2:$A$358,0),MOD(ROW()-2,6)+1),"")</f>
        <v/>
      </c>
      <c r="G1360" s="159">
        <f>IFERROR(IF(WEEKDAY($A1360,2)&lt;=INDEX('BASE METAS DIÁRIAS'!$H$2:$M$358,MATCH($A1360,'BASE METAS DIÁRIAS'!$A$2:$A$358,0),MOD(ROW()-2,6)+1),INDEX('BASE METAS DIÁRIAS'!$B$2:$G$358,MATCH($A1360,'BASE METAS DIÁRIAS'!$A$2:$A$358,0),MOD(ROW()-2,6)+1),""),"")</f>
        <v/>
      </c>
      <c r="H1360" s="159">
        <f>IFERROR(IF(INDEX('CONTROLE PRODUÇÃO POR EMPRESAS'!$B$6:$G$5000,MATCH($A1360,'CONTROLE PRODUÇÃO POR EMPRESAS'!$A$6:$A$5000,0),MOD(ROW()-2,6)+1)="","",IFERROR(1*INDEX('CONTROLE PRODUÇÃO POR EMPRESAS'!$B$6:$G$5000,MATCH($A1360,'CONTROLE PRODUÇÃO POR EMPRESAS'!$A$6:$A$5000,0),MOD(ROW()-2,6)+1),"")),"")</f>
        <v/>
      </c>
      <c r="I1360" s="159">
        <f>IF(OR(NOT(ISNUMBER(G1360)),NOT(ISNUMBER(H1360))),"",H1360-G1360)</f>
        <v/>
      </c>
      <c r="J1360" s="319">
        <f>IF(OR(NOT(ISNUMBER(G1360)),NOT(ISNUMBER(H1360)),G1360=0),"",I1360/G1360)</f>
        <v/>
      </c>
      <c r="K1360" s="319">
        <f>IF(OR(NOT(ISNUMBER(G1360)),NOT(ISNUMBER(H1360)),G1360=0),"",H1360/G1360)</f>
        <v/>
      </c>
      <c r="L1360">
        <f>IF(NOT(ISNUMBER(G1360)),"SEM META",IF(G1360=0,"SEM META",IF(NOT(ISNUMBER(H1360)),"SEM APONTAMENTO",IF(H1360&gt;=G1360,"VERDE",IF(H1360&gt;=G1360*0.9,"AMARELO","VERMELHO")))))</f>
        <v/>
      </c>
      <c r="M1360" s="162" t="n"/>
      <c r="N1360" s="162" t="n"/>
      <c r="O1360" s="162" t="n"/>
      <c r="P1360" s="162" t="n"/>
      <c r="Q1360" s="320" t="n"/>
      <c r="R1360" s="162" t="inlineStr">
        <is>
          <t>CONTROLE PRODUÇÃO POR EMPRESAS!D232</t>
        </is>
      </c>
    </row>
    <row r="1361" ht="28.5" customHeight="1">
      <c r="A1361" s="317" t="n">
        <v>46449</v>
      </c>
      <c r="B1361" t="inlineStr">
        <is>
          <t>GERAL</t>
        </is>
      </c>
      <c r="C1361" t="inlineStr">
        <is>
          <t>CMM</t>
        </is>
      </c>
      <c r="D1361" t="inlineStr">
        <is>
          <t>PREMONTAGEM</t>
        </is>
      </c>
      <c r="F1361" s="159">
        <f>IFERROR(INDEX('BASE METAS DIÁRIAS'!$N$2:$S$358,MATCH($A1361,'BASE METAS DIÁRIAS'!$A$2:$A$358,0),MOD(ROW()-2,6)+1),"")</f>
        <v/>
      </c>
      <c r="G1361" s="159">
        <f>IFERROR(IF(WEEKDAY($A1361,2)&lt;=INDEX('BASE METAS DIÁRIAS'!$H$2:$M$358,MATCH($A1361,'BASE METAS DIÁRIAS'!$A$2:$A$358,0),MOD(ROW()-2,6)+1),INDEX('BASE METAS DIÁRIAS'!$B$2:$G$358,MATCH($A1361,'BASE METAS DIÁRIAS'!$A$2:$A$358,0),MOD(ROW()-2,6)+1),""),"")</f>
        <v/>
      </c>
      <c r="H1361" s="159">
        <f>IFERROR(IF(INDEX('CONTROLE PRODUÇÃO POR EMPRESAS'!$B$6:$G$5000,MATCH($A1361,'CONTROLE PRODUÇÃO POR EMPRESAS'!$A$6:$A$5000,0),MOD(ROW()-2,6)+1)="","",IFERROR(1*INDEX('CONTROLE PRODUÇÃO POR EMPRESAS'!$B$6:$G$5000,MATCH($A1361,'CONTROLE PRODUÇÃO POR EMPRESAS'!$A$6:$A$5000,0),MOD(ROW()-2,6)+1),"")),"")</f>
        <v/>
      </c>
      <c r="I1361" s="159">
        <f>IF(OR(NOT(ISNUMBER(G1361)),NOT(ISNUMBER(H1361))),"",H1361-G1361)</f>
        <v/>
      </c>
      <c r="J1361" s="319">
        <f>IF(OR(NOT(ISNUMBER(G1361)),NOT(ISNUMBER(H1361)),G1361=0),"",I1361/G1361)</f>
        <v/>
      </c>
      <c r="K1361" s="319">
        <f>IF(OR(NOT(ISNUMBER(G1361)),NOT(ISNUMBER(H1361)),G1361=0),"",H1361/G1361)</f>
        <v/>
      </c>
      <c r="L1361">
        <f>IF(NOT(ISNUMBER(G1361)),"SEM META",IF(G1361=0,"SEM META",IF(NOT(ISNUMBER(H1361)),"SEM APONTAMENTO",IF(H1361&gt;=G1361,"VERDE",IF(H1361&gt;=G1361*0.9,"AMARELO","VERMELHO")))))</f>
        <v/>
      </c>
      <c r="M1361" s="162" t="n"/>
      <c r="N1361" s="162" t="n"/>
      <c r="O1361" s="162" t="n"/>
      <c r="P1361" s="162" t="n"/>
      <c r="Q1361" s="320" t="n"/>
      <c r="R1361" s="162" t="inlineStr">
        <is>
          <t>CONTROLE PRODUÇÃO POR EMPRESAS!E232</t>
        </is>
      </c>
    </row>
    <row r="1362" ht="28.5" customHeight="1">
      <c r="A1362" s="317" t="n">
        <v>46449</v>
      </c>
      <c r="B1362" t="inlineStr">
        <is>
          <t>GERAL</t>
        </is>
      </c>
      <c r="C1362" t="inlineStr">
        <is>
          <t>CMM</t>
        </is>
      </c>
      <c r="D1362" t="inlineStr">
        <is>
          <t>IÇAMENTO JOIST</t>
        </is>
      </c>
      <c r="F1362" s="159">
        <f>IFERROR(INDEX('BASE METAS DIÁRIAS'!$N$2:$S$358,MATCH($A1362,'BASE METAS DIÁRIAS'!$A$2:$A$358,0),MOD(ROW()-2,6)+1),"")</f>
        <v/>
      </c>
      <c r="G1362" s="159">
        <f>IFERROR(IF(WEEKDAY($A1362,2)&lt;=INDEX('BASE METAS DIÁRIAS'!$H$2:$M$358,MATCH($A1362,'BASE METAS DIÁRIAS'!$A$2:$A$358,0),MOD(ROW()-2,6)+1),INDEX('BASE METAS DIÁRIAS'!$B$2:$G$358,MATCH($A1362,'BASE METAS DIÁRIAS'!$A$2:$A$358,0),MOD(ROW()-2,6)+1),""),"")</f>
        <v/>
      </c>
      <c r="H1362" s="159">
        <f>IFERROR(IF(INDEX('CONTROLE PRODUÇÃO POR EMPRESAS'!$B$6:$G$5000,MATCH($A1362,'CONTROLE PRODUÇÃO POR EMPRESAS'!$A$6:$A$5000,0),MOD(ROW()-2,6)+1)="","",IFERROR(1*INDEX('CONTROLE PRODUÇÃO POR EMPRESAS'!$B$6:$G$5000,MATCH($A1362,'CONTROLE PRODUÇÃO POR EMPRESAS'!$A$6:$A$5000,0),MOD(ROW()-2,6)+1),"")),"")</f>
        <v/>
      </c>
      <c r="I1362" s="159">
        <f>IF(OR(NOT(ISNUMBER(G1362)),NOT(ISNUMBER(H1362))),"",H1362-G1362)</f>
        <v/>
      </c>
      <c r="J1362" s="319">
        <f>IF(OR(NOT(ISNUMBER(G1362)),NOT(ISNUMBER(H1362)),G1362=0),"",I1362/G1362)</f>
        <v/>
      </c>
      <c r="K1362" s="319">
        <f>IF(OR(NOT(ISNUMBER(G1362)),NOT(ISNUMBER(H1362)),G1362=0),"",H1362/G1362)</f>
        <v/>
      </c>
      <c r="L1362">
        <f>IF(NOT(ISNUMBER(G1362)),"SEM META",IF(G1362=0,"SEM META",IF(NOT(ISNUMBER(H1362)),"SEM APONTAMENTO",IF(H1362&gt;=G1362,"VERDE",IF(H1362&gt;=G1362*0.9,"AMARELO","VERMELHO")))))</f>
        <v/>
      </c>
      <c r="M1362" s="162" t="n"/>
      <c r="N1362" s="162" t="n"/>
      <c r="O1362" s="162" t="n"/>
      <c r="P1362" s="162" t="n"/>
      <c r="Q1362" s="320" t="n"/>
      <c r="R1362" s="162" t="inlineStr">
        <is>
          <t>CONTROLE PRODUÇÃO POR EMPRESAS!F232</t>
        </is>
      </c>
    </row>
    <row r="1363" ht="28.5" customHeight="1">
      <c r="A1363" s="317" t="n">
        <v>46449</v>
      </c>
      <c r="B1363" t="inlineStr">
        <is>
          <t>GERAL</t>
        </is>
      </c>
      <c r="C1363" t="inlineStr">
        <is>
          <t>CMM</t>
        </is>
      </c>
      <c r="D1363" t="inlineStr">
        <is>
          <t>VIGAS</t>
        </is>
      </c>
      <c r="F1363" s="159">
        <f>IFERROR(INDEX('BASE METAS DIÁRIAS'!$N$2:$S$358,MATCH($A1363,'BASE METAS DIÁRIAS'!$A$2:$A$358,0),MOD(ROW()-2,6)+1),"")</f>
        <v/>
      </c>
      <c r="G1363" s="159">
        <f>IFERROR(IF(WEEKDAY($A1363,2)&lt;=INDEX('BASE METAS DIÁRIAS'!$H$2:$M$358,MATCH($A1363,'BASE METAS DIÁRIAS'!$A$2:$A$358,0),MOD(ROW()-2,6)+1),INDEX('BASE METAS DIÁRIAS'!$B$2:$G$358,MATCH($A1363,'BASE METAS DIÁRIAS'!$A$2:$A$358,0),MOD(ROW()-2,6)+1),""),"")</f>
        <v/>
      </c>
      <c r="H1363" s="159">
        <f>IFERROR(IF(INDEX('CONTROLE PRODUÇÃO POR EMPRESAS'!$B$6:$G$5000,MATCH($A1363,'CONTROLE PRODUÇÃO POR EMPRESAS'!$A$6:$A$5000,0),MOD(ROW()-2,6)+1)="","",IFERROR(1*INDEX('CONTROLE PRODUÇÃO POR EMPRESAS'!$B$6:$G$5000,MATCH($A1363,'CONTROLE PRODUÇÃO POR EMPRESAS'!$A$6:$A$5000,0),MOD(ROW()-2,6)+1),"")),"")</f>
        <v/>
      </c>
      <c r="I1363" s="159">
        <f>IF(OR(NOT(ISNUMBER(G1363)),NOT(ISNUMBER(H1363))),"",H1363-G1363)</f>
        <v/>
      </c>
      <c r="J1363" s="319">
        <f>IF(OR(NOT(ISNUMBER(G1363)),NOT(ISNUMBER(H1363)),G1363=0),"",I1363/G1363)</f>
        <v/>
      </c>
      <c r="K1363" s="319">
        <f>IF(OR(NOT(ISNUMBER(G1363)),NOT(ISNUMBER(H1363)),G1363=0),"",H1363/G1363)</f>
        <v/>
      </c>
      <c r="L1363">
        <f>IF(NOT(ISNUMBER(G1363)),"SEM META",IF(G1363=0,"SEM META",IF(NOT(ISNUMBER(H1363)),"SEM APONTAMENTO",IF(H1363&gt;=G1363,"VERDE",IF(H1363&gt;=G1363*0.9,"AMARELO","VERMELHO")))))</f>
        <v/>
      </c>
      <c r="M1363" s="162" t="n"/>
      <c r="N1363" s="162" t="n"/>
      <c r="O1363" s="162" t="n"/>
      <c r="P1363" s="162" t="n"/>
      <c r="Q1363" s="320" t="n"/>
      <c r="R1363" s="162" t="inlineStr">
        <is>
          <t>CONTROLE PRODUÇÃO POR EMPRESAS!G232</t>
        </is>
      </c>
    </row>
    <row r="1364" ht="28.5" customHeight="1">
      <c r="A1364" s="317" t="n">
        <v>46450</v>
      </c>
      <c r="B1364" t="inlineStr">
        <is>
          <t>GERAL</t>
        </is>
      </c>
      <c r="C1364" t="inlineStr">
        <is>
          <t>EJ</t>
        </is>
      </c>
      <c r="D1364" t="inlineStr">
        <is>
          <t>PREMONTAGEM</t>
        </is>
      </c>
      <c r="F1364" s="159">
        <f>IFERROR(INDEX('BASE METAS DIÁRIAS'!$N$2:$S$358,MATCH($A1364,'BASE METAS DIÁRIAS'!$A$2:$A$358,0),MOD(ROW()-2,6)+1),"")</f>
        <v/>
      </c>
      <c r="G1364" s="159">
        <f>IFERROR(IF(WEEKDAY($A1364,2)&lt;=INDEX('BASE METAS DIÁRIAS'!$H$2:$M$358,MATCH($A1364,'BASE METAS DIÁRIAS'!$A$2:$A$358,0),MOD(ROW()-2,6)+1),INDEX('BASE METAS DIÁRIAS'!$B$2:$G$358,MATCH($A1364,'BASE METAS DIÁRIAS'!$A$2:$A$358,0),MOD(ROW()-2,6)+1),""),"")</f>
        <v/>
      </c>
      <c r="H1364" s="159">
        <f>IFERROR(IF(INDEX('CONTROLE PRODUÇÃO POR EMPRESAS'!$B$6:$G$5000,MATCH($A1364,'CONTROLE PRODUÇÃO POR EMPRESAS'!$A$6:$A$5000,0),MOD(ROW()-2,6)+1)="","",IFERROR(1*INDEX('CONTROLE PRODUÇÃO POR EMPRESAS'!$B$6:$G$5000,MATCH($A1364,'CONTROLE PRODUÇÃO POR EMPRESAS'!$A$6:$A$5000,0),MOD(ROW()-2,6)+1),"")),"")</f>
        <v/>
      </c>
      <c r="I1364" s="159">
        <f>IF(OR(NOT(ISNUMBER(G1364)),NOT(ISNUMBER(H1364))),"",H1364-G1364)</f>
        <v/>
      </c>
      <c r="J1364" s="319">
        <f>IF(OR(NOT(ISNUMBER(G1364)),NOT(ISNUMBER(H1364)),G1364=0),"",I1364/G1364)</f>
        <v/>
      </c>
      <c r="K1364" s="319">
        <f>IF(OR(NOT(ISNUMBER(G1364)),NOT(ISNUMBER(H1364)),G1364=0),"",H1364/G1364)</f>
        <v/>
      </c>
      <c r="L1364">
        <f>IF(NOT(ISNUMBER(G1364)),"SEM META",IF(G1364=0,"SEM META",IF(NOT(ISNUMBER(H1364)),"SEM APONTAMENTO",IF(H1364&gt;=G1364,"VERDE",IF(H1364&gt;=G1364*0.9,"AMARELO","VERMELHO")))))</f>
        <v/>
      </c>
      <c r="M1364" s="162" t="n"/>
      <c r="N1364" s="162" t="n"/>
      <c r="O1364" s="162" t="n"/>
      <c r="P1364" s="162" t="n"/>
      <c r="Q1364" s="320" t="n"/>
      <c r="R1364" s="162" t="inlineStr">
        <is>
          <t>CONTROLE PRODUÇÃO POR EMPRESAS!B233</t>
        </is>
      </c>
    </row>
    <row r="1365" ht="28.5" customHeight="1">
      <c r="A1365" s="317" t="n">
        <v>46450</v>
      </c>
      <c r="B1365" t="inlineStr">
        <is>
          <t>GERAL</t>
        </is>
      </c>
      <c r="C1365" t="inlineStr">
        <is>
          <t>EJ</t>
        </is>
      </c>
      <c r="D1365" t="inlineStr">
        <is>
          <t>IÇAMENTO JOIST</t>
        </is>
      </c>
      <c r="F1365" s="159">
        <f>IFERROR(INDEX('BASE METAS DIÁRIAS'!$N$2:$S$358,MATCH($A1365,'BASE METAS DIÁRIAS'!$A$2:$A$358,0),MOD(ROW()-2,6)+1),"")</f>
        <v/>
      </c>
      <c r="G1365" s="159">
        <f>IFERROR(IF(WEEKDAY($A1365,2)&lt;=INDEX('BASE METAS DIÁRIAS'!$H$2:$M$358,MATCH($A1365,'BASE METAS DIÁRIAS'!$A$2:$A$358,0),MOD(ROW()-2,6)+1),INDEX('BASE METAS DIÁRIAS'!$B$2:$G$358,MATCH($A1365,'BASE METAS DIÁRIAS'!$A$2:$A$358,0),MOD(ROW()-2,6)+1),""),"")</f>
        <v/>
      </c>
      <c r="H1365" s="159">
        <f>IFERROR(IF(INDEX('CONTROLE PRODUÇÃO POR EMPRESAS'!$B$6:$G$5000,MATCH($A1365,'CONTROLE PRODUÇÃO POR EMPRESAS'!$A$6:$A$5000,0),MOD(ROW()-2,6)+1)="","",IFERROR(1*INDEX('CONTROLE PRODUÇÃO POR EMPRESAS'!$B$6:$G$5000,MATCH($A1365,'CONTROLE PRODUÇÃO POR EMPRESAS'!$A$6:$A$5000,0),MOD(ROW()-2,6)+1),"")),"")</f>
        <v/>
      </c>
      <c r="I1365" s="159">
        <f>IF(OR(NOT(ISNUMBER(G1365)),NOT(ISNUMBER(H1365))),"",H1365-G1365)</f>
        <v/>
      </c>
      <c r="J1365" s="319">
        <f>IF(OR(NOT(ISNUMBER(G1365)),NOT(ISNUMBER(H1365)),G1365=0),"",I1365/G1365)</f>
        <v/>
      </c>
      <c r="K1365" s="319">
        <f>IF(OR(NOT(ISNUMBER(G1365)),NOT(ISNUMBER(H1365)),G1365=0),"",H1365/G1365)</f>
        <v/>
      </c>
      <c r="L1365">
        <f>IF(NOT(ISNUMBER(G1365)),"SEM META",IF(G1365=0,"SEM META",IF(NOT(ISNUMBER(H1365)),"SEM APONTAMENTO",IF(H1365&gt;=G1365,"VERDE",IF(H1365&gt;=G1365*0.9,"AMARELO","VERMELHO")))))</f>
        <v/>
      </c>
      <c r="M1365" s="162" t="n"/>
      <c r="N1365" s="162" t="n"/>
      <c r="O1365" s="162" t="n"/>
      <c r="P1365" s="162" t="n"/>
      <c r="Q1365" s="320" t="n"/>
      <c r="R1365" s="162" t="inlineStr">
        <is>
          <t>CONTROLE PRODUÇÃO POR EMPRESAS!C233</t>
        </is>
      </c>
    </row>
    <row r="1366" ht="28.5" customHeight="1">
      <c r="A1366" s="317" t="n">
        <v>46450</v>
      </c>
      <c r="B1366" t="inlineStr">
        <is>
          <t>GERAL</t>
        </is>
      </c>
      <c r="C1366" t="inlineStr">
        <is>
          <t>EJ</t>
        </is>
      </c>
      <c r="D1366" t="inlineStr">
        <is>
          <t>VIGAS</t>
        </is>
      </c>
      <c r="F1366" s="159">
        <f>IFERROR(INDEX('BASE METAS DIÁRIAS'!$N$2:$S$358,MATCH($A1366,'BASE METAS DIÁRIAS'!$A$2:$A$358,0),MOD(ROW()-2,6)+1),"")</f>
        <v/>
      </c>
      <c r="G1366" s="159">
        <f>IFERROR(IF(WEEKDAY($A1366,2)&lt;=INDEX('BASE METAS DIÁRIAS'!$H$2:$M$358,MATCH($A1366,'BASE METAS DIÁRIAS'!$A$2:$A$358,0),MOD(ROW()-2,6)+1),INDEX('BASE METAS DIÁRIAS'!$B$2:$G$358,MATCH($A1366,'BASE METAS DIÁRIAS'!$A$2:$A$358,0),MOD(ROW()-2,6)+1),""),"")</f>
        <v/>
      </c>
      <c r="H1366" s="159">
        <f>IFERROR(IF(INDEX('CONTROLE PRODUÇÃO POR EMPRESAS'!$B$6:$G$5000,MATCH($A1366,'CONTROLE PRODUÇÃO POR EMPRESAS'!$A$6:$A$5000,0),MOD(ROW()-2,6)+1)="","",IFERROR(1*INDEX('CONTROLE PRODUÇÃO POR EMPRESAS'!$B$6:$G$5000,MATCH($A1366,'CONTROLE PRODUÇÃO POR EMPRESAS'!$A$6:$A$5000,0),MOD(ROW()-2,6)+1),"")),"")</f>
        <v/>
      </c>
      <c r="I1366" s="159">
        <f>IF(OR(NOT(ISNUMBER(G1366)),NOT(ISNUMBER(H1366))),"",H1366-G1366)</f>
        <v/>
      </c>
      <c r="J1366" s="319">
        <f>IF(OR(NOT(ISNUMBER(G1366)),NOT(ISNUMBER(H1366)),G1366=0),"",I1366/G1366)</f>
        <v/>
      </c>
      <c r="K1366" s="319">
        <f>IF(OR(NOT(ISNUMBER(G1366)),NOT(ISNUMBER(H1366)),G1366=0),"",H1366/G1366)</f>
        <v/>
      </c>
      <c r="L1366">
        <f>IF(NOT(ISNUMBER(G1366)),"SEM META",IF(G1366=0,"SEM META",IF(NOT(ISNUMBER(H1366)),"SEM APONTAMENTO",IF(H1366&gt;=G1366,"VERDE",IF(H1366&gt;=G1366*0.9,"AMARELO","VERMELHO")))))</f>
        <v/>
      </c>
      <c r="M1366" s="162" t="n"/>
      <c r="N1366" s="162" t="n"/>
      <c r="O1366" s="162" t="n"/>
      <c r="P1366" s="162" t="n"/>
      <c r="Q1366" s="320" t="n"/>
      <c r="R1366" s="162" t="inlineStr">
        <is>
          <t>CONTROLE PRODUÇÃO POR EMPRESAS!D233</t>
        </is>
      </c>
    </row>
    <row r="1367" ht="28.5" customHeight="1">
      <c r="A1367" s="317" t="n">
        <v>46450</v>
      </c>
      <c r="B1367" t="inlineStr">
        <is>
          <t>GERAL</t>
        </is>
      </c>
      <c r="C1367" t="inlineStr">
        <is>
          <t>CMM</t>
        </is>
      </c>
      <c r="D1367" t="inlineStr">
        <is>
          <t>PREMONTAGEM</t>
        </is>
      </c>
      <c r="F1367" s="159">
        <f>IFERROR(INDEX('BASE METAS DIÁRIAS'!$N$2:$S$358,MATCH($A1367,'BASE METAS DIÁRIAS'!$A$2:$A$358,0),MOD(ROW()-2,6)+1),"")</f>
        <v/>
      </c>
      <c r="G1367" s="159">
        <f>IFERROR(IF(WEEKDAY($A1367,2)&lt;=INDEX('BASE METAS DIÁRIAS'!$H$2:$M$358,MATCH($A1367,'BASE METAS DIÁRIAS'!$A$2:$A$358,0),MOD(ROW()-2,6)+1),INDEX('BASE METAS DIÁRIAS'!$B$2:$G$358,MATCH($A1367,'BASE METAS DIÁRIAS'!$A$2:$A$358,0),MOD(ROW()-2,6)+1),""),"")</f>
        <v/>
      </c>
      <c r="H1367" s="159">
        <f>IFERROR(IF(INDEX('CONTROLE PRODUÇÃO POR EMPRESAS'!$B$6:$G$5000,MATCH($A1367,'CONTROLE PRODUÇÃO POR EMPRESAS'!$A$6:$A$5000,0),MOD(ROW()-2,6)+1)="","",IFERROR(1*INDEX('CONTROLE PRODUÇÃO POR EMPRESAS'!$B$6:$G$5000,MATCH($A1367,'CONTROLE PRODUÇÃO POR EMPRESAS'!$A$6:$A$5000,0),MOD(ROW()-2,6)+1),"")),"")</f>
        <v/>
      </c>
      <c r="I1367" s="159">
        <f>IF(OR(NOT(ISNUMBER(G1367)),NOT(ISNUMBER(H1367))),"",H1367-G1367)</f>
        <v/>
      </c>
      <c r="J1367" s="319">
        <f>IF(OR(NOT(ISNUMBER(G1367)),NOT(ISNUMBER(H1367)),G1367=0),"",I1367/G1367)</f>
        <v/>
      </c>
      <c r="K1367" s="319">
        <f>IF(OR(NOT(ISNUMBER(G1367)),NOT(ISNUMBER(H1367)),G1367=0),"",H1367/G1367)</f>
        <v/>
      </c>
      <c r="L1367">
        <f>IF(NOT(ISNUMBER(G1367)),"SEM META",IF(G1367=0,"SEM META",IF(NOT(ISNUMBER(H1367)),"SEM APONTAMENTO",IF(H1367&gt;=G1367,"VERDE",IF(H1367&gt;=G1367*0.9,"AMARELO","VERMELHO")))))</f>
        <v/>
      </c>
      <c r="M1367" s="162" t="n"/>
      <c r="N1367" s="162" t="n"/>
      <c r="O1367" s="162" t="n"/>
      <c r="P1367" s="162" t="n"/>
      <c r="Q1367" s="320" t="n"/>
      <c r="R1367" s="162" t="inlineStr">
        <is>
          <t>CONTROLE PRODUÇÃO POR EMPRESAS!E233</t>
        </is>
      </c>
    </row>
    <row r="1368" ht="28.5" customHeight="1">
      <c r="A1368" s="317" t="n">
        <v>46450</v>
      </c>
      <c r="B1368" t="inlineStr">
        <is>
          <t>GERAL</t>
        </is>
      </c>
      <c r="C1368" t="inlineStr">
        <is>
          <t>CMM</t>
        </is>
      </c>
      <c r="D1368" t="inlineStr">
        <is>
          <t>IÇAMENTO JOIST</t>
        </is>
      </c>
      <c r="F1368" s="159">
        <f>IFERROR(INDEX('BASE METAS DIÁRIAS'!$N$2:$S$358,MATCH($A1368,'BASE METAS DIÁRIAS'!$A$2:$A$358,0),MOD(ROW()-2,6)+1),"")</f>
        <v/>
      </c>
      <c r="G1368" s="159">
        <f>IFERROR(IF(WEEKDAY($A1368,2)&lt;=INDEX('BASE METAS DIÁRIAS'!$H$2:$M$358,MATCH($A1368,'BASE METAS DIÁRIAS'!$A$2:$A$358,0),MOD(ROW()-2,6)+1),INDEX('BASE METAS DIÁRIAS'!$B$2:$G$358,MATCH($A1368,'BASE METAS DIÁRIAS'!$A$2:$A$358,0),MOD(ROW()-2,6)+1),""),"")</f>
        <v/>
      </c>
      <c r="H1368" s="159">
        <f>IFERROR(IF(INDEX('CONTROLE PRODUÇÃO POR EMPRESAS'!$B$6:$G$5000,MATCH($A1368,'CONTROLE PRODUÇÃO POR EMPRESAS'!$A$6:$A$5000,0),MOD(ROW()-2,6)+1)="","",IFERROR(1*INDEX('CONTROLE PRODUÇÃO POR EMPRESAS'!$B$6:$G$5000,MATCH($A1368,'CONTROLE PRODUÇÃO POR EMPRESAS'!$A$6:$A$5000,0),MOD(ROW()-2,6)+1),"")),"")</f>
        <v/>
      </c>
      <c r="I1368" s="159">
        <f>IF(OR(NOT(ISNUMBER(G1368)),NOT(ISNUMBER(H1368))),"",H1368-G1368)</f>
        <v/>
      </c>
      <c r="J1368" s="319">
        <f>IF(OR(NOT(ISNUMBER(G1368)),NOT(ISNUMBER(H1368)),G1368=0),"",I1368/G1368)</f>
        <v/>
      </c>
      <c r="K1368" s="319">
        <f>IF(OR(NOT(ISNUMBER(G1368)),NOT(ISNUMBER(H1368)),G1368=0),"",H1368/G1368)</f>
        <v/>
      </c>
      <c r="L1368">
        <f>IF(NOT(ISNUMBER(G1368)),"SEM META",IF(G1368=0,"SEM META",IF(NOT(ISNUMBER(H1368)),"SEM APONTAMENTO",IF(H1368&gt;=G1368,"VERDE",IF(H1368&gt;=G1368*0.9,"AMARELO","VERMELHO")))))</f>
        <v/>
      </c>
      <c r="M1368" s="162" t="n"/>
      <c r="N1368" s="162" t="n"/>
      <c r="O1368" s="162" t="n"/>
      <c r="P1368" s="162" t="n"/>
      <c r="Q1368" s="320" t="n"/>
      <c r="R1368" s="162" t="inlineStr">
        <is>
          <t>CONTROLE PRODUÇÃO POR EMPRESAS!F233</t>
        </is>
      </c>
    </row>
    <row r="1369" ht="28.5" customHeight="1">
      <c r="A1369" s="317" t="n">
        <v>46450</v>
      </c>
      <c r="B1369" t="inlineStr">
        <is>
          <t>GERAL</t>
        </is>
      </c>
      <c r="C1369" t="inlineStr">
        <is>
          <t>CMM</t>
        </is>
      </c>
      <c r="D1369" t="inlineStr">
        <is>
          <t>VIGAS</t>
        </is>
      </c>
      <c r="F1369" s="159">
        <f>IFERROR(INDEX('BASE METAS DIÁRIAS'!$N$2:$S$358,MATCH($A1369,'BASE METAS DIÁRIAS'!$A$2:$A$358,0),MOD(ROW()-2,6)+1),"")</f>
        <v/>
      </c>
      <c r="G1369" s="159">
        <f>IFERROR(IF(WEEKDAY($A1369,2)&lt;=INDEX('BASE METAS DIÁRIAS'!$H$2:$M$358,MATCH($A1369,'BASE METAS DIÁRIAS'!$A$2:$A$358,0),MOD(ROW()-2,6)+1),INDEX('BASE METAS DIÁRIAS'!$B$2:$G$358,MATCH($A1369,'BASE METAS DIÁRIAS'!$A$2:$A$358,0),MOD(ROW()-2,6)+1),""),"")</f>
        <v/>
      </c>
      <c r="H1369" s="159">
        <f>IFERROR(IF(INDEX('CONTROLE PRODUÇÃO POR EMPRESAS'!$B$6:$G$5000,MATCH($A1369,'CONTROLE PRODUÇÃO POR EMPRESAS'!$A$6:$A$5000,0),MOD(ROW()-2,6)+1)="","",IFERROR(1*INDEX('CONTROLE PRODUÇÃO POR EMPRESAS'!$B$6:$G$5000,MATCH($A1369,'CONTROLE PRODUÇÃO POR EMPRESAS'!$A$6:$A$5000,0),MOD(ROW()-2,6)+1),"")),"")</f>
        <v/>
      </c>
      <c r="I1369" s="159">
        <f>IF(OR(NOT(ISNUMBER(G1369)),NOT(ISNUMBER(H1369))),"",H1369-G1369)</f>
        <v/>
      </c>
      <c r="J1369" s="319">
        <f>IF(OR(NOT(ISNUMBER(G1369)),NOT(ISNUMBER(H1369)),G1369=0),"",I1369/G1369)</f>
        <v/>
      </c>
      <c r="K1369" s="319">
        <f>IF(OR(NOT(ISNUMBER(G1369)),NOT(ISNUMBER(H1369)),G1369=0),"",H1369/G1369)</f>
        <v/>
      </c>
      <c r="L1369">
        <f>IF(NOT(ISNUMBER(G1369)),"SEM META",IF(G1369=0,"SEM META",IF(NOT(ISNUMBER(H1369)),"SEM APONTAMENTO",IF(H1369&gt;=G1369,"VERDE",IF(H1369&gt;=G1369*0.9,"AMARELO","VERMELHO")))))</f>
        <v/>
      </c>
      <c r="M1369" s="162" t="n"/>
      <c r="N1369" s="162" t="n"/>
      <c r="O1369" s="162" t="n"/>
      <c r="P1369" s="162" t="n"/>
      <c r="Q1369" s="320" t="n"/>
      <c r="R1369" s="162" t="inlineStr">
        <is>
          <t>CONTROLE PRODUÇÃO POR EMPRESAS!G233</t>
        </is>
      </c>
    </row>
    <row r="1370" ht="28.5" customHeight="1">
      <c r="A1370" s="317" t="n">
        <v>46451</v>
      </c>
      <c r="B1370" t="inlineStr">
        <is>
          <t>GERAL</t>
        </is>
      </c>
      <c r="C1370" t="inlineStr">
        <is>
          <t>EJ</t>
        </is>
      </c>
      <c r="D1370" t="inlineStr">
        <is>
          <t>PREMONTAGEM</t>
        </is>
      </c>
      <c r="F1370" s="159">
        <f>IFERROR(INDEX('BASE METAS DIÁRIAS'!$N$2:$S$358,MATCH($A1370,'BASE METAS DIÁRIAS'!$A$2:$A$358,0),MOD(ROW()-2,6)+1),"")</f>
        <v/>
      </c>
      <c r="G1370" s="159">
        <f>IFERROR(IF(WEEKDAY($A1370,2)&lt;=INDEX('BASE METAS DIÁRIAS'!$H$2:$M$358,MATCH($A1370,'BASE METAS DIÁRIAS'!$A$2:$A$358,0),MOD(ROW()-2,6)+1),INDEX('BASE METAS DIÁRIAS'!$B$2:$G$358,MATCH($A1370,'BASE METAS DIÁRIAS'!$A$2:$A$358,0),MOD(ROW()-2,6)+1),""),"")</f>
        <v/>
      </c>
      <c r="H1370" s="159">
        <f>IFERROR(IF(INDEX('CONTROLE PRODUÇÃO POR EMPRESAS'!$B$6:$G$5000,MATCH($A1370,'CONTROLE PRODUÇÃO POR EMPRESAS'!$A$6:$A$5000,0),MOD(ROW()-2,6)+1)="","",IFERROR(1*INDEX('CONTROLE PRODUÇÃO POR EMPRESAS'!$B$6:$G$5000,MATCH($A1370,'CONTROLE PRODUÇÃO POR EMPRESAS'!$A$6:$A$5000,0),MOD(ROW()-2,6)+1),"")),"")</f>
        <v/>
      </c>
      <c r="I1370" s="159">
        <f>IF(OR(NOT(ISNUMBER(G1370)),NOT(ISNUMBER(H1370))),"",H1370-G1370)</f>
        <v/>
      </c>
      <c r="J1370" s="319">
        <f>IF(OR(NOT(ISNUMBER(G1370)),NOT(ISNUMBER(H1370)),G1370=0),"",I1370/G1370)</f>
        <v/>
      </c>
      <c r="K1370" s="319">
        <f>IF(OR(NOT(ISNUMBER(G1370)),NOT(ISNUMBER(H1370)),G1370=0),"",H1370/G1370)</f>
        <v/>
      </c>
      <c r="L1370">
        <f>IF(NOT(ISNUMBER(G1370)),"SEM META",IF(G1370=0,"SEM META",IF(NOT(ISNUMBER(H1370)),"SEM APONTAMENTO",IF(H1370&gt;=G1370,"VERDE",IF(H1370&gt;=G1370*0.9,"AMARELO","VERMELHO")))))</f>
        <v/>
      </c>
      <c r="M1370" s="162" t="n"/>
      <c r="N1370" s="162" t="n"/>
      <c r="O1370" s="162" t="n"/>
      <c r="P1370" s="162" t="n"/>
      <c r="Q1370" s="320" t="n"/>
      <c r="R1370" s="162" t="inlineStr">
        <is>
          <t>CONTROLE PRODUÇÃO POR EMPRESAS!B234</t>
        </is>
      </c>
    </row>
    <row r="1371" ht="28.5" customHeight="1">
      <c r="A1371" s="317" t="n">
        <v>46451</v>
      </c>
      <c r="B1371" t="inlineStr">
        <is>
          <t>GERAL</t>
        </is>
      </c>
      <c r="C1371" t="inlineStr">
        <is>
          <t>EJ</t>
        </is>
      </c>
      <c r="D1371" t="inlineStr">
        <is>
          <t>IÇAMENTO JOIST</t>
        </is>
      </c>
      <c r="F1371" s="159">
        <f>IFERROR(INDEX('BASE METAS DIÁRIAS'!$N$2:$S$358,MATCH($A1371,'BASE METAS DIÁRIAS'!$A$2:$A$358,0),MOD(ROW()-2,6)+1),"")</f>
        <v/>
      </c>
      <c r="G1371" s="159">
        <f>IFERROR(IF(WEEKDAY($A1371,2)&lt;=INDEX('BASE METAS DIÁRIAS'!$H$2:$M$358,MATCH($A1371,'BASE METAS DIÁRIAS'!$A$2:$A$358,0),MOD(ROW()-2,6)+1),INDEX('BASE METAS DIÁRIAS'!$B$2:$G$358,MATCH($A1371,'BASE METAS DIÁRIAS'!$A$2:$A$358,0),MOD(ROW()-2,6)+1),""),"")</f>
        <v/>
      </c>
      <c r="H1371" s="159">
        <f>IFERROR(IF(INDEX('CONTROLE PRODUÇÃO POR EMPRESAS'!$B$6:$G$5000,MATCH($A1371,'CONTROLE PRODUÇÃO POR EMPRESAS'!$A$6:$A$5000,0),MOD(ROW()-2,6)+1)="","",IFERROR(1*INDEX('CONTROLE PRODUÇÃO POR EMPRESAS'!$B$6:$G$5000,MATCH($A1371,'CONTROLE PRODUÇÃO POR EMPRESAS'!$A$6:$A$5000,0),MOD(ROW()-2,6)+1),"")),"")</f>
        <v/>
      </c>
      <c r="I1371" s="159">
        <f>IF(OR(NOT(ISNUMBER(G1371)),NOT(ISNUMBER(H1371))),"",H1371-G1371)</f>
        <v/>
      </c>
      <c r="J1371" s="319">
        <f>IF(OR(NOT(ISNUMBER(G1371)),NOT(ISNUMBER(H1371)),G1371=0),"",I1371/G1371)</f>
        <v/>
      </c>
      <c r="K1371" s="319">
        <f>IF(OR(NOT(ISNUMBER(G1371)),NOT(ISNUMBER(H1371)),G1371=0),"",H1371/G1371)</f>
        <v/>
      </c>
      <c r="L1371">
        <f>IF(NOT(ISNUMBER(G1371)),"SEM META",IF(G1371=0,"SEM META",IF(NOT(ISNUMBER(H1371)),"SEM APONTAMENTO",IF(H1371&gt;=G1371,"VERDE",IF(H1371&gt;=G1371*0.9,"AMARELO","VERMELHO")))))</f>
        <v/>
      </c>
      <c r="M1371" s="162" t="n"/>
      <c r="N1371" s="162" t="n"/>
      <c r="O1371" s="162" t="n"/>
      <c r="P1371" s="162" t="n"/>
      <c r="Q1371" s="320" t="n"/>
      <c r="R1371" s="162" t="inlineStr">
        <is>
          <t>CONTROLE PRODUÇÃO POR EMPRESAS!C234</t>
        </is>
      </c>
    </row>
    <row r="1372" ht="28.5" customHeight="1">
      <c r="A1372" s="317" t="n">
        <v>46451</v>
      </c>
      <c r="B1372" t="inlineStr">
        <is>
          <t>GERAL</t>
        </is>
      </c>
      <c r="C1372" t="inlineStr">
        <is>
          <t>EJ</t>
        </is>
      </c>
      <c r="D1372" t="inlineStr">
        <is>
          <t>VIGAS</t>
        </is>
      </c>
      <c r="F1372" s="159">
        <f>IFERROR(INDEX('BASE METAS DIÁRIAS'!$N$2:$S$358,MATCH($A1372,'BASE METAS DIÁRIAS'!$A$2:$A$358,0),MOD(ROW()-2,6)+1),"")</f>
        <v/>
      </c>
      <c r="G1372" s="159">
        <f>IFERROR(IF(WEEKDAY($A1372,2)&lt;=INDEX('BASE METAS DIÁRIAS'!$H$2:$M$358,MATCH($A1372,'BASE METAS DIÁRIAS'!$A$2:$A$358,0),MOD(ROW()-2,6)+1),INDEX('BASE METAS DIÁRIAS'!$B$2:$G$358,MATCH($A1372,'BASE METAS DIÁRIAS'!$A$2:$A$358,0),MOD(ROW()-2,6)+1),""),"")</f>
        <v/>
      </c>
      <c r="H1372" s="159">
        <f>IFERROR(IF(INDEX('CONTROLE PRODUÇÃO POR EMPRESAS'!$B$6:$G$5000,MATCH($A1372,'CONTROLE PRODUÇÃO POR EMPRESAS'!$A$6:$A$5000,0),MOD(ROW()-2,6)+1)="","",IFERROR(1*INDEX('CONTROLE PRODUÇÃO POR EMPRESAS'!$B$6:$G$5000,MATCH($A1372,'CONTROLE PRODUÇÃO POR EMPRESAS'!$A$6:$A$5000,0),MOD(ROW()-2,6)+1),"")),"")</f>
        <v/>
      </c>
      <c r="I1372" s="159">
        <f>IF(OR(NOT(ISNUMBER(G1372)),NOT(ISNUMBER(H1372))),"",H1372-G1372)</f>
        <v/>
      </c>
      <c r="J1372" s="319">
        <f>IF(OR(NOT(ISNUMBER(G1372)),NOT(ISNUMBER(H1372)),G1372=0),"",I1372/G1372)</f>
        <v/>
      </c>
      <c r="K1372" s="319">
        <f>IF(OR(NOT(ISNUMBER(G1372)),NOT(ISNUMBER(H1372)),G1372=0),"",H1372/G1372)</f>
        <v/>
      </c>
      <c r="L1372">
        <f>IF(NOT(ISNUMBER(G1372)),"SEM META",IF(G1372=0,"SEM META",IF(NOT(ISNUMBER(H1372)),"SEM APONTAMENTO",IF(H1372&gt;=G1372,"VERDE",IF(H1372&gt;=G1372*0.9,"AMARELO","VERMELHO")))))</f>
        <v/>
      </c>
      <c r="M1372" s="162" t="n"/>
      <c r="N1372" s="162" t="n"/>
      <c r="O1372" s="162" t="n"/>
      <c r="P1372" s="162" t="n"/>
      <c r="Q1372" s="320" t="n"/>
      <c r="R1372" s="162" t="inlineStr">
        <is>
          <t>CONTROLE PRODUÇÃO POR EMPRESAS!D234</t>
        </is>
      </c>
    </row>
    <row r="1373" ht="28.5" customHeight="1">
      <c r="A1373" s="317" t="n">
        <v>46451</v>
      </c>
      <c r="B1373" t="inlineStr">
        <is>
          <t>GERAL</t>
        </is>
      </c>
      <c r="C1373" t="inlineStr">
        <is>
          <t>CMM</t>
        </is>
      </c>
      <c r="D1373" t="inlineStr">
        <is>
          <t>PREMONTAGEM</t>
        </is>
      </c>
      <c r="F1373" s="159">
        <f>IFERROR(INDEX('BASE METAS DIÁRIAS'!$N$2:$S$358,MATCH($A1373,'BASE METAS DIÁRIAS'!$A$2:$A$358,0),MOD(ROW()-2,6)+1),"")</f>
        <v/>
      </c>
      <c r="G1373" s="159">
        <f>IFERROR(IF(WEEKDAY($A1373,2)&lt;=INDEX('BASE METAS DIÁRIAS'!$H$2:$M$358,MATCH($A1373,'BASE METAS DIÁRIAS'!$A$2:$A$358,0),MOD(ROW()-2,6)+1),INDEX('BASE METAS DIÁRIAS'!$B$2:$G$358,MATCH($A1373,'BASE METAS DIÁRIAS'!$A$2:$A$358,0),MOD(ROW()-2,6)+1),""),"")</f>
        <v/>
      </c>
      <c r="H1373" s="159">
        <f>IFERROR(IF(INDEX('CONTROLE PRODUÇÃO POR EMPRESAS'!$B$6:$G$5000,MATCH($A1373,'CONTROLE PRODUÇÃO POR EMPRESAS'!$A$6:$A$5000,0),MOD(ROW()-2,6)+1)="","",IFERROR(1*INDEX('CONTROLE PRODUÇÃO POR EMPRESAS'!$B$6:$G$5000,MATCH($A1373,'CONTROLE PRODUÇÃO POR EMPRESAS'!$A$6:$A$5000,0),MOD(ROW()-2,6)+1),"")),"")</f>
        <v/>
      </c>
      <c r="I1373" s="159">
        <f>IF(OR(NOT(ISNUMBER(G1373)),NOT(ISNUMBER(H1373))),"",H1373-G1373)</f>
        <v/>
      </c>
      <c r="J1373" s="319">
        <f>IF(OR(NOT(ISNUMBER(G1373)),NOT(ISNUMBER(H1373)),G1373=0),"",I1373/G1373)</f>
        <v/>
      </c>
      <c r="K1373" s="319">
        <f>IF(OR(NOT(ISNUMBER(G1373)),NOT(ISNUMBER(H1373)),G1373=0),"",H1373/G1373)</f>
        <v/>
      </c>
      <c r="L1373">
        <f>IF(NOT(ISNUMBER(G1373)),"SEM META",IF(G1373=0,"SEM META",IF(NOT(ISNUMBER(H1373)),"SEM APONTAMENTO",IF(H1373&gt;=G1373,"VERDE",IF(H1373&gt;=G1373*0.9,"AMARELO","VERMELHO")))))</f>
        <v/>
      </c>
      <c r="M1373" s="162" t="n"/>
      <c r="N1373" s="162" t="n"/>
      <c r="O1373" s="162" t="n"/>
      <c r="P1373" s="162" t="n"/>
      <c r="Q1373" s="320" t="n"/>
      <c r="R1373" s="162" t="inlineStr">
        <is>
          <t>CONTROLE PRODUÇÃO POR EMPRESAS!E234</t>
        </is>
      </c>
    </row>
    <row r="1374" ht="28.5" customHeight="1">
      <c r="A1374" s="317" t="n">
        <v>46451</v>
      </c>
      <c r="B1374" t="inlineStr">
        <is>
          <t>GERAL</t>
        </is>
      </c>
      <c r="C1374" t="inlineStr">
        <is>
          <t>CMM</t>
        </is>
      </c>
      <c r="D1374" t="inlineStr">
        <is>
          <t>IÇAMENTO JOIST</t>
        </is>
      </c>
      <c r="F1374" s="159">
        <f>IFERROR(INDEX('BASE METAS DIÁRIAS'!$N$2:$S$358,MATCH($A1374,'BASE METAS DIÁRIAS'!$A$2:$A$358,0),MOD(ROW()-2,6)+1),"")</f>
        <v/>
      </c>
      <c r="G1374" s="159">
        <f>IFERROR(IF(WEEKDAY($A1374,2)&lt;=INDEX('BASE METAS DIÁRIAS'!$H$2:$M$358,MATCH($A1374,'BASE METAS DIÁRIAS'!$A$2:$A$358,0),MOD(ROW()-2,6)+1),INDEX('BASE METAS DIÁRIAS'!$B$2:$G$358,MATCH($A1374,'BASE METAS DIÁRIAS'!$A$2:$A$358,0),MOD(ROW()-2,6)+1),""),"")</f>
        <v/>
      </c>
      <c r="H1374" s="159">
        <f>IFERROR(IF(INDEX('CONTROLE PRODUÇÃO POR EMPRESAS'!$B$6:$G$5000,MATCH($A1374,'CONTROLE PRODUÇÃO POR EMPRESAS'!$A$6:$A$5000,0),MOD(ROW()-2,6)+1)="","",IFERROR(1*INDEX('CONTROLE PRODUÇÃO POR EMPRESAS'!$B$6:$G$5000,MATCH($A1374,'CONTROLE PRODUÇÃO POR EMPRESAS'!$A$6:$A$5000,0),MOD(ROW()-2,6)+1),"")),"")</f>
        <v/>
      </c>
      <c r="I1374" s="159">
        <f>IF(OR(NOT(ISNUMBER(G1374)),NOT(ISNUMBER(H1374))),"",H1374-G1374)</f>
        <v/>
      </c>
      <c r="J1374" s="319">
        <f>IF(OR(NOT(ISNUMBER(G1374)),NOT(ISNUMBER(H1374)),G1374=0),"",I1374/G1374)</f>
        <v/>
      </c>
      <c r="K1374" s="319">
        <f>IF(OR(NOT(ISNUMBER(G1374)),NOT(ISNUMBER(H1374)),G1374=0),"",H1374/G1374)</f>
        <v/>
      </c>
      <c r="L1374">
        <f>IF(NOT(ISNUMBER(G1374)),"SEM META",IF(G1374=0,"SEM META",IF(NOT(ISNUMBER(H1374)),"SEM APONTAMENTO",IF(H1374&gt;=G1374,"VERDE",IF(H1374&gt;=G1374*0.9,"AMARELO","VERMELHO")))))</f>
        <v/>
      </c>
      <c r="M1374" s="162" t="n"/>
      <c r="N1374" s="162" t="n"/>
      <c r="O1374" s="162" t="n"/>
      <c r="P1374" s="162" t="n"/>
      <c r="Q1374" s="320" t="n"/>
      <c r="R1374" s="162" t="inlineStr">
        <is>
          <t>CONTROLE PRODUÇÃO POR EMPRESAS!F234</t>
        </is>
      </c>
    </row>
    <row r="1375" ht="28.5" customHeight="1">
      <c r="A1375" s="317" t="n">
        <v>46451</v>
      </c>
      <c r="B1375" t="inlineStr">
        <is>
          <t>GERAL</t>
        </is>
      </c>
      <c r="C1375" t="inlineStr">
        <is>
          <t>CMM</t>
        </is>
      </c>
      <c r="D1375" t="inlineStr">
        <is>
          <t>VIGAS</t>
        </is>
      </c>
      <c r="F1375" s="159">
        <f>IFERROR(INDEX('BASE METAS DIÁRIAS'!$N$2:$S$358,MATCH($A1375,'BASE METAS DIÁRIAS'!$A$2:$A$358,0),MOD(ROW()-2,6)+1),"")</f>
        <v/>
      </c>
      <c r="G1375" s="159">
        <f>IFERROR(IF(WEEKDAY($A1375,2)&lt;=INDEX('BASE METAS DIÁRIAS'!$H$2:$M$358,MATCH($A1375,'BASE METAS DIÁRIAS'!$A$2:$A$358,0),MOD(ROW()-2,6)+1),INDEX('BASE METAS DIÁRIAS'!$B$2:$G$358,MATCH($A1375,'BASE METAS DIÁRIAS'!$A$2:$A$358,0),MOD(ROW()-2,6)+1),""),"")</f>
        <v/>
      </c>
      <c r="H1375" s="159">
        <f>IFERROR(IF(INDEX('CONTROLE PRODUÇÃO POR EMPRESAS'!$B$6:$G$5000,MATCH($A1375,'CONTROLE PRODUÇÃO POR EMPRESAS'!$A$6:$A$5000,0),MOD(ROW()-2,6)+1)="","",IFERROR(1*INDEX('CONTROLE PRODUÇÃO POR EMPRESAS'!$B$6:$G$5000,MATCH($A1375,'CONTROLE PRODUÇÃO POR EMPRESAS'!$A$6:$A$5000,0),MOD(ROW()-2,6)+1),"")),"")</f>
        <v/>
      </c>
      <c r="I1375" s="159">
        <f>IF(OR(NOT(ISNUMBER(G1375)),NOT(ISNUMBER(H1375))),"",H1375-G1375)</f>
        <v/>
      </c>
      <c r="J1375" s="319">
        <f>IF(OR(NOT(ISNUMBER(G1375)),NOT(ISNUMBER(H1375)),G1375=0),"",I1375/G1375)</f>
        <v/>
      </c>
      <c r="K1375" s="319">
        <f>IF(OR(NOT(ISNUMBER(G1375)),NOT(ISNUMBER(H1375)),G1375=0),"",H1375/G1375)</f>
        <v/>
      </c>
      <c r="L1375">
        <f>IF(NOT(ISNUMBER(G1375)),"SEM META",IF(G1375=0,"SEM META",IF(NOT(ISNUMBER(H1375)),"SEM APONTAMENTO",IF(H1375&gt;=G1375,"VERDE",IF(H1375&gt;=G1375*0.9,"AMARELO","VERMELHO")))))</f>
        <v/>
      </c>
      <c r="M1375" s="162" t="n"/>
      <c r="N1375" s="162" t="n"/>
      <c r="O1375" s="162" t="n"/>
      <c r="P1375" s="162" t="n"/>
      <c r="Q1375" s="320" t="n"/>
      <c r="R1375" s="162" t="inlineStr">
        <is>
          <t>CONTROLE PRODUÇÃO POR EMPRESAS!G234</t>
        </is>
      </c>
    </row>
    <row r="1376" ht="28.5" customHeight="1">
      <c r="A1376" s="317" t="n">
        <v>46452</v>
      </c>
      <c r="B1376" t="inlineStr">
        <is>
          <t>GERAL</t>
        </is>
      </c>
      <c r="C1376" t="inlineStr">
        <is>
          <t>EJ</t>
        </is>
      </c>
      <c r="D1376" t="inlineStr">
        <is>
          <t>PREMONTAGEM</t>
        </is>
      </c>
      <c r="F1376" s="159">
        <f>IFERROR(INDEX('BASE METAS DIÁRIAS'!$N$2:$S$358,MATCH($A1376,'BASE METAS DIÁRIAS'!$A$2:$A$358,0),MOD(ROW()-2,6)+1),"")</f>
        <v/>
      </c>
      <c r="G1376" s="159">
        <f>IFERROR(IF(WEEKDAY($A1376,2)&lt;=INDEX('BASE METAS DIÁRIAS'!$H$2:$M$358,MATCH($A1376,'BASE METAS DIÁRIAS'!$A$2:$A$358,0),MOD(ROW()-2,6)+1),INDEX('BASE METAS DIÁRIAS'!$B$2:$G$358,MATCH($A1376,'BASE METAS DIÁRIAS'!$A$2:$A$358,0),MOD(ROW()-2,6)+1),""),"")</f>
        <v/>
      </c>
      <c r="H1376" s="159">
        <f>IFERROR(IF(INDEX('CONTROLE PRODUÇÃO POR EMPRESAS'!$B$6:$G$5000,MATCH($A1376,'CONTROLE PRODUÇÃO POR EMPRESAS'!$A$6:$A$5000,0),MOD(ROW()-2,6)+1)="","",IFERROR(1*INDEX('CONTROLE PRODUÇÃO POR EMPRESAS'!$B$6:$G$5000,MATCH($A1376,'CONTROLE PRODUÇÃO POR EMPRESAS'!$A$6:$A$5000,0),MOD(ROW()-2,6)+1),"")),"")</f>
        <v/>
      </c>
      <c r="I1376" s="159">
        <f>IF(OR(NOT(ISNUMBER(G1376)),NOT(ISNUMBER(H1376))),"",H1376-G1376)</f>
        <v/>
      </c>
      <c r="J1376" s="319">
        <f>IF(OR(NOT(ISNUMBER(G1376)),NOT(ISNUMBER(H1376)),G1376=0),"",I1376/G1376)</f>
        <v/>
      </c>
      <c r="K1376" s="319">
        <f>IF(OR(NOT(ISNUMBER(G1376)),NOT(ISNUMBER(H1376)),G1376=0),"",H1376/G1376)</f>
        <v/>
      </c>
      <c r="L1376">
        <f>IF(NOT(ISNUMBER(G1376)),"SEM META",IF(G1376=0,"SEM META",IF(NOT(ISNUMBER(H1376)),"SEM APONTAMENTO",IF(H1376&gt;=G1376,"VERDE",IF(H1376&gt;=G1376*0.9,"AMARELO","VERMELHO")))))</f>
        <v/>
      </c>
      <c r="M1376" s="162" t="n"/>
      <c r="N1376" s="162" t="n"/>
      <c r="O1376" s="162" t="n"/>
      <c r="P1376" s="162" t="n"/>
      <c r="Q1376" s="320" t="n"/>
      <c r="R1376" s="162" t="inlineStr">
        <is>
          <t>CONTROLE PRODUÇÃO POR EMPRESAS!B235</t>
        </is>
      </c>
    </row>
    <row r="1377" ht="28.5" customHeight="1">
      <c r="A1377" s="317" t="n">
        <v>46452</v>
      </c>
      <c r="B1377" t="inlineStr">
        <is>
          <t>GERAL</t>
        </is>
      </c>
      <c r="C1377" t="inlineStr">
        <is>
          <t>EJ</t>
        </is>
      </c>
      <c r="D1377" t="inlineStr">
        <is>
          <t>IÇAMENTO JOIST</t>
        </is>
      </c>
      <c r="F1377" s="159">
        <f>IFERROR(INDEX('BASE METAS DIÁRIAS'!$N$2:$S$358,MATCH($A1377,'BASE METAS DIÁRIAS'!$A$2:$A$358,0),MOD(ROW()-2,6)+1),"")</f>
        <v/>
      </c>
      <c r="G1377" s="159">
        <f>IFERROR(IF(WEEKDAY($A1377,2)&lt;=INDEX('BASE METAS DIÁRIAS'!$H$2:$M$358,MATCH($A1377,'BASE METAS DIÁRIAS'!$A$2:$A$358,0),MOD(ROW()-2,6)+1),INDEX('BASE METAS DIÁRIAS'!$B$2:$G$358,MATCH($A1377,'BASE METAS DIÁRIAS'!$A$2:$A$358,0),MOD(ROW()-2,6)+1),""),"")</f>
        <v/>
      </c>
      <c r="H1377" s="159">
        <f>IFERROR(IF(INDEX('CONTROLE PRODUÇÃO POR EMPRESAS'!$B$6:$G$5000,MATCH($A1377,'CONTROLE PRODUÇÃO POR EMPRESAS'!$A$6:$A$5000,0),MOD(ROW()-2,6)+1)="","",IFERROR(1*INDEX('CONTROLE PRODUÇÃO POR EMPRESAS'!$B$6:$G$5000,MATCH($A1377,'CONTROLE PRODUÇÃO POR EMPRESAS'!$A$6:$A$5000,0),MOD(ROW()-2,6)+1),"")),"")</f>
        <v/>
      </c>
      <c r="I1377" s="159">
        <f>IF(OR(NOT(ISNUMBER(G1377)),NOT(ISNUMBER(H1377))),"",H1377-G1377)</f>
        <v/>
      </c>
      <c r="J1377" s="319">
        <f>IF(OR(NOT(ISNUMBER(G1377)),NOT(ISNUMBER(H1377)),G1377=0),"",I1377/G1377)</f>
        <v/>
      </c>
      <c r="K1377" s="319">
        <f>IF(OR(NOT(ISNUMBER(G1377)),NOT(ISNUMBER(H1377)),G1377=0),"",H1377/G1377)</f>
        <v/>
      </c>
      <c r="L1377">
        <f>IF(NOT(ISNUMBER(G1377)),"SEM META",IF(G1377=0,"SEM META",IF(NOT(ISNUMBER(H1377)),"SEM APONTAMENTO",IF(H1377&gt;=G1377,"VERDE",IF(H1377&gt;=G1377*0.9,"AMARELO","VERMELHO")))))</f>
        <v/>
      </c>
      <c r="M1377" s="162" t="n"/>
      <c r="N1377" s="162" t="n"/>
      <c r="O1377" s="162" t="n"/>
      <c r="P1377" s="162" t="n"/>
      <c r="Q1377" s="320" t="n"/>
      <c r="R1377" s="162" t="inlineStr">
        <is>
          <t>CONTROLE PRODUÇÃO POR EMPRESAS!C235</t>
        </is>
      </c>
    </row>
    <row r="1378" ht="28.5" customHeight="1">
      <c r="A1378" s="317" t="n">
        <v>46452</v>
      </c>
      <c r="B1378" t="inlineStr">
        <is>
          <t>GERAL</t>
        </is>
      </c>
      <c r="C1378" t="inlineStr">
        <is>
          <t>EJ</t>
        </is>
      </c>
      <c r="D1378" t="inlineStr">
        <is>
          <t>VIGAS</t>
        </is>
      </c>
      <c r="F1378" s="159">
        <f>IFERROR(INDEX('BASE METAS DIÁRIAS'!$N$2:$S$358,MATCH($A1378,'BASE METAS DIÁRIAS'!$A$2:$A$358,0),MOD(ROW()-2,6)+1),"")</f>
        <v/>
      </c>
      <c r="G1378" s="159">
        <f>IFERROR(IF(WEEKDAY($A1378,2)&lt;=INDEX('BASE METAS DIÁRIAS'!$H$2:$M$358,MATCH($A1378,'BASE METAS DIÁRIAS'!$A$2:$A$358,0),MOD(ROW()-2,6)+1),INDEX('BASE METAS DIÁRIAS'!$B$2:$G$358,MATCH($A1378,'BASE METAS DIÁRIAS'!$A$2:$A$358,0),MOD(ROW()-2,6)+1),""),"")</f>
        <v/>
      </c>
      <c r="H1378" s="159">
        <f>IFERROR(IF(INDEX('CONTROLE PRODUÇÃO POR EMPRESAS'!$B$6:$G$5000,MATCH($A1378,'CONTROLE PRODUÇÃO POR EMPRESAS'!$A$6:$A$5000,0),MOD(ROW()-2,6)+1)="","",IFERROR(1*INDEX('CONTROLE PRODUÇÃO POR EMPRESAS'!$B$6:$G$5000,MATCH($A1378,'CONTROLE PRODUÇÃO POR EMPRESAS'!$A$6:$A$5000,0),MOD(ROW()-2,6)+1),"")),"")</f>
        <v/>
      </c>
      <c r="I1378" s="159">
        <f>IF(OR(NOT(ISNUMBER(G1378)),NOT(ISNUMBER(H1378))),"",H1378-G1378)</f>
        <v/>
      </c>
      <c r="J1378" s="319">
        <f>IF(OR(NOT(ISNUMBER(G1378)),NOT(ISNUMBER(H1378)),G1378=0),"",I1378/G1378)</f>
        <v/>
      </c>
      <c r="K1378" s="319">
        <f>IF(OR(NOT(ISNUMBER(G1378)),NOT(ISNUMBER(H1378)),G1378=0),"",H1378/G1378)</f>
        <v/>
      </c>
      <c r="L1378">
        <f>IF(NOT(ISNUMBER(G1378)),"SEM META",IF(G1378=0,"SEM META",IF(NOT(ISNUMBER(H1378)),"SEM APONTAMENTO",IF(H1378&gt;=G1378,"VERDE",IF(H1378&gt;=G1378*0.9,"AMARELO","VERMELHO")))))</f>
        <v/>
      </c>
      <c r="M1378" s="162" t="n"/>
      <c r="N1378" s="162" t="n"/>
      <c r="O1378" s="162" t="n"/>
      <c r="P1378" s="162" t="n"/>
      <c r="Q1378" s="320" t="n"/>
      <c r="R1378" s="162" t="inlineStr">
        <is>
          <t>CONTROLE PRODUÇÃO POR EMPRESAS!D235</t>
        </is>
      </c>
    </row>
    <row r="1379" ht="28.5" customHeight="1">
      <c r="A1379" s="317" t="n">
        <v>46452</v>
      </c>
      <c r="B1379" t="inlineStr">
        <is>
          <t>GERAL</t>
        </is>
      </c>
      <c r="C1379" t="inlineStr">
        <is>
          <t>CMM</t>
        </is>
      </c>
      <c r="D1379" t="inlineStr">
        <is>
          <t>PREMONTAGEM</t>
        </is>
      </c>
      <c r="F1379" s="159">
        <f>IFERROR(INDEX('BASE METAS DIÁRIAS'!$N$2:$S$358,MATCH($A1379,'BASE METAS DIÁRIAS'!$A$2:$A$358,0),MOD(ROW()-2,6)+1),"")</f>
        <v/>
      </c>
      <c r="G1379" s="159">
        <f>IFERROR(IF(WEEKDAY($A1379,2)&lt;=INDEX('BASE METAS DIÁRIAS'!$H$2:$M$358,MATCH($A1379,'BASE METAS DIÁRIAS'!$A$2:$A$358,0),MOD(ROW()-2,6)+1),INDEX('BASE METAS DIÁRIAS'!$B$2:$G$358,MATCH($A1379,'BASE METAS DIÁRIAS'!$A$2:$A$358,0),MOD(ROW()-2,6)+1),""),"")</f>
        <v/>
      </c>
      <c r="H1379" s="159">
        <f>IFERROR(IF(INDEX('CONTROLE PRODUÇÃO POR EMPRESAS'!$B$6:$G$5000,MATCH($A1379,'CONTROLE PRODUÇÃO POR EMPRESAS'!$A$6:$A$5000,0),MOD(ROW()-2,6)+1)="","",IFERROR(1*INDEX('CONTROLE PRODUÇÃO POR EMPRESAS'!$B$6:$G$5000,MATCH($A1379,'CONTROLE PRODUÇÃO POR EMPRESAS'!$A$6:$A$5000,0),MOD(ROW()-2,6)+1),"")),"")</f>
        <v/>
      </c>
      <c r="I1379" s="159">
        <f>IF(OR(NOT(ISNUMBER(G1379)),NOT(ISNUMBER(H1379))),"",H1379-G1379)</f>
        <v/>
      </c>
      <c r="J1379" s="319">
        <f>IF(OR(NOT(ISNUMBER(G1379)),NOT(ISNUMBER(H1379)),G1379=0),"",I1379/G1379)</f>
        <v/>
      </c>
      <c r="K1379" s="319">
        <f>IF(OR(NOT(ISNUMBER(G1379)),NOT(ISNUMBER(H1379)),G1379=0),"",H1379/G1379)</f>
        <v/>
      </c>
      <c r="L1379">
        <f>IF(NOT(ISNUMBER(G1379)),"SEM META",IF(G1379=0,"SEM META",IF(NOT(ISNUMBER(H1379)),"SEM APONTAMENTO",IF(H1379&gt;=G1379,"VERDE",IF(H1379&gt;=G1379*0.9,"AMARELO","VERMELHO")))))</f>
        <v/>
      </c>
      <c r="M1379" s="162" t="n"/>
      <c r="N1379" s="162" t="n"/>
      <c r="O1379" s="162" t="n"/>
      <c r="P1379" s="162" t="n"/>
      <c r="Q1379" s="320" t="n"/>
      <c r="R1379" s="162" t="inlineStr">
        <is>
          <t>CONTROLE PRODUÇÃO POR EMPRESAS!E235</t>
        </is>
      </c>
    </row>
    <row r="1380" ht="28.5" customHeight="1">
      <c r="A1380" s="317" t="n">
        <v>46452</v>
      </c>
      <c r="B1380" t="inlineStr">
        <is>
          <t>GERAL</t>
        </is>
      </c>
      <c r="C1380" t="inlineStr">
        <is>
          <t>CMM</t>
        </is>
      </c>
      <c r="D1380" t="inlineStr">
        <is>
          <t>IÇAMENTO JOIST</t>
        </is>
      </c>
      <c r="F1380" s="159">
        <f>IFERROR(INDEX('BASE METAS DIÁRIAS'!$N$2:$S$358,MATCH($A1380,'BASE METAS DIÁRIAS'!$A$2:$A$358,0),MOD(ROW()-2,6)+1),"")</f>
        <v/>
      </c>
      <c r="G1380" s="159">
        <f>IFERROR(IF(WEEKDAY($A1380,2)&lt;=INDEX('BASE METAS DIÁRIAS'!$H$2:$M$358,MATCH($A1380,'BASE METAS DIÁRIAS'!$A$2:$A$358,0),MOD(ROW()-2,6)+1),INDEX('BASE METAS DIÁRIAS'!$B$2:$G$358,MATCH($A1380,'BASE METAS DIÁRIAS'!$A$2:$A$358,0),MOD(ROW()-2,6)+1),""),"")</f>
        <v/>
      </c>
      <c r="H1380" s="159">
        <f>IFERROR(IF(INDEX('CONTROLE PRODUÇÃO POR EMPRESAS'!$B$6:$G$5000,MATCH($A1380,'CONTROLE PRODUÇÃO POR EMPRESAS'!$A$6:$A$5000,0),MOD(ROW()-2,6)+1)="","",IFERROR(1*INDEX('CONTROLE PRODUÇÃO POR EMPRESAS'!$B$6:$G$5000,MATCH($A1380,'CONTROLE PRODUÇÃO POR EMPRESAS'!$A$6:$A$5000,0),MOD(ROW()-2,6)+1),"")),"")</f>
        <v/>
      </c>
      <c r="I1380" s="159">
        <f>IF(OR(NOT(ISNUMBER(G1380)),NOT(ISNUMBER(H1380))),"",H1380-G1380)</f>
        <v/>
      </c>
      <c r="J1380" s="319">
        <f>IF(OR(NOT(ISNUMBER(G1380)),NOT(ISNUMBER(H1380)),G1380=0),"",I1380/G1380)</f>
        <v/>
      </c>
      <c r="K1380" s="319">
        <f>IF(OR(NOT(ISNUMBER(G1380)),NOT(ISNUMBER(H1380)),G1380=0),"",H1380/G1380)</f>
        <v/>
      </c>
      <c r="L1380">
        <f>IF(NOT(ISNUMBER(G1380)),"SEM META",IF(G1380=0,"SEM META",IF(NOT(ISNUMBER(H1380)),"SEM APONTAMENTO",IF(H1380&gt;=G1380,"VERDE",IF(H1380&gt;=G1380*0.9,"AMARELO","VERMELHO")))))</f>
        <v/>
      </c>
      <c r="M1380" s="162" t="n"/>
      <c r="N1380" s="162" t="n"/>
      <c r="O1380" s="162" t="n"/>
      <c r="P1380" s="162" t="n"/>
      <c r="Q1380" s="320" t="n"/>
      <c r="R1380" s="162" t="inlineStr">
        <is>
          <t>CONTROLE PRODUÇÃO POR EMPRESAS!F235</t>
        </is>
      </c>
    </row>
    <row r="1381" ht="28.5" customHeight="1">
      <c r="A1381" s="317" t="n">
        <v>46452</v>
      </c>
      <c r="B1381" t="inlineStr">
        <is>
          <t>GERAL</t>
        </is>
      </c>
      <c r="C1381" t="inlineStr">
        <is>
          <t>CMM</t>
        </is>
      </c>
      <c r="D1381" t="inlineStr">
        <is>
          <t>VIGAS</t>
        </is>
      </c>
      <c r="F1381" s="159">
        <f>IFERROR(INDEX('BASE METAS DIÁRIAS'!$N$2:$S$358,MATCH($A1381,'BASE METAS DIÁRIAS'!$A$2:$A$358,0),MOD(ROW()-2,6)+1),"")</f>
        <v/>
      </c>
      <c r="G1381" s="159">
        <f>IFERROR(IF(WEEKDAY($A1381,2)&lt;=INDEX('BASE METAS DIÁRIAS'!$H$2:$M$358,MATCH($A1381,'BASE METAS DIÁRIAS'!$A$2:$A$358,0),MOD(ROW()-2,6)+1),INDEX('BASE METAS DIÁRIAS'!$B$2:$G$358,MATCH($A1381,'BASE METAS DIÁRIAS'!$A$2:$A$358,0),MOD(ROW()-2,6)+1),""),"")</f>
        <v/>
      </c>
      <c r="H1381" s="159">
        <f>IFERROR(IF(INDEX('CONTROLE PRODUÇÃO POR EMPRESAS'!$B$6:$G$5000,MATCH($A1381,'CONTROLE PRODUÇÃO POR EMPRESAS'!$A$6:$A$5000,0),MOD(ROW()-2,6)+1)="","",IFERROR(1*INDEX('CONTROLE PRODUÇÃO POR EMPRESAS'!$B$6:$G$5000,MATCH($A1381,'CONTROLE PRODUÇÃO POR EMPRESAS'!$A$6:$A$5000,0),MOD(ROW()-2,6)+1),"")),"")</f>
        <v/>
      </c>
      <c r="I1381" s="159">
        <f>IF(OR(NOT(ISNUMBER(G1381)),NOT(ISNUMBER(H1381))),"",H1381-G1381)</f>
        <v/>
      </c>
      <c r="J1381" s="319">
        <f>IF(OR(NOT(ISNUMBER(G1381)),NOT(ISNUMBER(H1381)),G1381=0),"",I1381/G1381)</f>
        <v/>
      </c>
      <c r="K1381" s="319">
        <f>IF(OR(NOT(ISNUMBER(G1381)),NOT(ISNUMBER(H1381)),G1381=0),"",H1381/G1381)</f>
        <v/>
      </c>
      <c r="L1381">
        <f>IF(NOT(ISNUMBER(G1381)),"SEM META",IF(G1381=0,"SEM META",IF(NOT(ISNUMBER(H1381)),"SEM APONTAMENTO",IF(H1381&gt;=G1381,"VERDE",IF(H1381&gt;=G1381*0.9,"AMARELO","VERMELHO")))))</f>
        <v/>
      </c>
      <c r="M1381" s="162" t="n"/>
      <c r="N1381" s="162" t="n"/>
      <c r="O1381" s="162" t="n"/>
      <c r="P1381" s="162" t="n"/>
      <c r="Q1381" s="320" t="n"/>
      <c r="R1381" s="162" t="inlineStr">
        <is>
          <t>CONTROLE PRODUÇÃO POR EMPRESAS!G235</t>
        </is>
      </c>
    </row>
    <row r="1382" ht="28.5" customHeight="1">
      <c r="A1382" s="317" t="n">
        <v>46453</v>
      </c>
      <c r="B1382" t="inlineStr">
        <is>
          <t>GERAL</t>
        </is>
      </c>
      <c r="C1382" t="inlineStr">
        <is>
          <t>EJ</t>
        </is>
      </c>
      <c r="D1382" t="inlineStr">
        <is>
          <t>PREMONTAGEM</t>
        </is>
      </c>
      <c r="F1382" s="159">
        <f>IFERROR(INDEX('BASE METAS DIÁRIAS'!$N$2:$S$358,MATCH($A1382,'BASE METAS DIÁRIAS'!$A$2:$A$358,0),MOD(ROW()-2,6)+1),"")</f>
        <v/>
      </c>
      <c r="G1382" s="159">
        <f>IFERROR(IF(WEEKDAY($A1382,2)&lt;=INDEX('BASE METAS DIÁRIAS'!$H$2:$M$358,MATCH($A1382,'BASE METAS DIÁRIAS'!$A$2:$A$358,0),MOD(ROW()-2,6)+1),INDEX('BASE METAS DIÁRIAS'!$B$2:$G$358,MATCH($A1382,'BASE METAS DIÁRIAS'!$A$2:$A$358,0),MOD(ROW()-2,6)+1),""),"")</f>
        <v/>
      </c>
      <c r="H1382" s="159">
        <f>IFERROR(IF(INDEX('CONTROLE PRODUÇÃO POR EMPRESAS'!$B$6:$G$5000,MATCH($A1382,'CONTROLE PRODUÇÃO POR EMPRESAS'!$A$6:$A$5000,0),MOD(ROW()-2,6)+1)="","",IFERROR(1*INDEX('CONTROLE PRODUÇÃO POR EMPRESAS'!$B$6:$G$5000,MATCH($A1382,'CONTROLE PRODUÇÃO POR EMPRESAS'!$A$6:$A$5000,0),MOD(ROW()-2,6)+1),"")),"")</f>
        <v/>
      </c>
      <c r="I1382" s="159">
        <f>IF(OR(NOT(ISNUMBER(G1382)),NOT(ISNUMBER(H1382))),"",H1382-G1382)</f>
        <v/>
      </c>
      <c r="J1382" s="319">
        <f>IF(OR(NOT(ISNUMBER(G1382)),NOT(ISNUMBER(H1382)),G1382=0),"",I1382/G1382)</f>
        <v/>
      </c>
      <c r="K1382" s="319">
        <f>IF(OR(NOT(ISNUMBER(G1382)),NOT(ISNUMBER(H1382)),G1382=0),"",H1382/G1382)</f>
        <v/>
      </c>
      <c r="L1382">
        <f>IF(NOT(ISNUMBER(G1382)),"SEM META",IF(G1382=0,"SEM META",IF(NOT(ISNUMBER(H1382)),"SEM APONTAMENTO",IF(H1382&gt;=G1382,"VERDE",IF(H1382&gt;=G1382*0.9,"AMARELO","VERMELHO")))))</f>
        <v/>
      </c>
      <c r="M1382" s="162" t="n"/>
      <c r="N1382" s="162" t="n"/>
      <c r="O1382" s="162" t="n"/>
      <c r="P1382" s="162" t="n"/>
      <c r="Q1382" s="320" t="n"/>
      <c r="R1382" s="162" t="inlineStr">
        <is>
          <t>CONTROLE PRODUÇÃO POR EMPRESAS!B236</t>
        </is>
      </c>
    </row>
    <row r="1383" ht="28.5" customHeight="1">
      <c r="A1383" s="317" t="n">
        <v>46453</v>
      </c>
      <c r="B1383" t="inlineStr">
        <is>
          <t>GERAL</t>
        </is>
      </c>
      <c r="C1383" t="inlineStr">
        <is>
          <t>EJ</t>
        </is>
      </c>
      <c r="D1383" t="inlineStr">
        <is>
          <t>IÇAMENTO JOIST</t>
        </is>
      </c>
      <c r="F1383" s="159">
        <f>IFERROR(INDEX('BASE METAS DIÁRIAS'!$N$2:$S$358,MATCH($A1383,'BASE METAS DIÁRIAS'!$A$2:$A$358,0),MOD(ROW()-2,6)+1),"")</f>
        <v/>
      </c>
      <c r="G1383" s="159">
        <f>IFERROR(IF(WEEKDAY($A1383,2)&lt;=INDEX('BASE METAS DIÁRIAS'!$H$2:$M$358,MATCH($A1383,'BASE METAS DIÁRIAS'!$A$2:$A$358,0),MOD(ROW()-2,6)+1),INDEX('BASE METAS DIÁRIAS'!$B$2:$G$358,MATCH($A1383,'BASE METAS DIÁRIAS'!$A$2:$A$358,0),MOD(ROW()-2,6)+1),""),"")</f>
        <v/>
      </c>
      <c r="H1383" s="159">
        <f>IFERROR(IF(INDEX('CONTROLE PRODUÇÃO POR EMPRESAS'!$B$6:$G$5000,MATCH($A1383,'CONTROLE PRODUÇÃO POR EMPRESAS'!$A$6:$A$5000,0),MOD(ROW()-2,6)+1)="","",IFERROR(1*INDEX('CONTROLE PRODUÇÃO POR EMPRESAS'!$B$6:$G$5000,MATCH($A1383,'CONTROLE PRODUÇÃO POR EMPRESAS'!$A$6:$A$5000,0),MOD(ROW()-2,6)+1),"")),"")</f>
        <v/>
      </c>
      <c r="I1383" s="159">
        <f>IF(OR(NOT(ISNUMBER(G1383)),NOT(ISNUMBER(H1383))),"",H1383-G1383)</f>
        <v/>
      </c>
      <c r="J1383" s="319">
        <f>IF(OR(NOT(ISNUMBER(G1383)),NOT(ISNUMBER(H1383)),G1383=0),"",I1383/G1383)</f>
        <v/>
      </c>
      <c r="K1383" s="319">
        <f>IF(OR(NOT(ISNUMBER(G1383)),NOT(ISNUMBER(H1383)),G1383=0),"",H1383/G1383)</f>
        <v/>
      </c>
      <c r="L1383">
        <f>IF(NOT(ISNUMBER(G1383)),"SEM META",IF(G1383=0,"SEM META",IF(NOT(ISNUMBER(H1383)),"SEM APONTAMENTO",IF(H1383&gt;=G1383,"VERDE",IF(H1383&gt;=G1383*0.9,"AMARELO","VERMELHO")))))</f>
        <v/>
      </c>
      <c r="M1383" s="162" t="n"/>
      <c r="N1383" s="162" t="n"/>
      <c r="O1383" s="162" t="n"/>
      <c r="P1383" s="162" t="n"/>
      <c r="Q1383" s="320" t="n"/>
      <c r="R1383" s="162" t="inlineStr">
        <is>
          <t>CONTROLE PRODUÇÃO POR EMPRESAS!C236</t>
        </is>
      </c>
    </row>
    <row r="1384" ht="28.5" customHeight="1">
      <c r="A1384" s="317" t="n">
        <v>46453</v>
      </c>
      <c r="B1384" t="inlineStr">
        <is>
          <t>GERAL</t>
        </is>
      </c>
      <c r="C1384" t="inlineStr">
        <is>
          <t>EJ</t>
        </is>
      </c>
      <c r="D1384" t="inlineStr">
        <is>
          <t>VIGAS</t>
        </is>
      </c>
      <c r="F1384" s="159">
        <f>IFERROR(INDEX('BASE METAS DIÁRIAS'!$N$2:$S$358,MATCH($A1384,'BASE METAS DIÁRIAS'!$A$2:$A$358,0),MOD(ROW()-2,6)+1),"")</f>
        <v/>
      </c>
      <c r="G1384" s="159">
        <f>IFERROR(IF(WEEKDAY($A1384,2)&lt;=INDEX('BASE METAS DIÁRIAS'!$H$2:$M$358,MATCH($A1384,'BASE METAS DIÁRIAS'!$A$2:$A$358,0),MOD(ROW()-2,6)+1),INDEX('BASE METAS DIÁRIAS'!$B$2:$G$358,MATCH($A1384,'BASE METAS DIÁRIAS'!$A$2:$A$358,0),MOD(ROW()-2,6)+1),""),"")</f>
        <v/>
      </c>
      <c r="H1384" s="159">
        <f>IFERROR(IF(INDEX('CONTROLE PRODUÇÃO POR EMPRESAS'!$B$6:$G$5000,MATCH($A1384,'CONTROLE PRODUÇÃO POR EMPRESAS'!$A$6:$A$5000,0),MOD(ROW()-2,6)+1)="","",IFERROR(1*INDEX('CONTROLE PRODUÇÃO POR EMPRESAS'!$B$6:$G$5000,MATCH($A1384,'CONTROLE PRODUÇÃO POR EMPRESAS'!$A$6:$A$5000,0),MOD(ROW()-2,6)+1),"")),"")</f>
        <v/>
      </c>
      <c r="I1384" s="159">
        <f>IF(OR(NOT(ISNUMBER(G1384)),NOT(ISNUMBER(H1384))),"",H1384-G1384)</f>
        <v/>
      </c>
      <c r="J1384" s="319">
        <f>IF(OR(NOT(ISNUMBER(G1384)),NOT(ISNUMBER(H1384)),G1384=0),"",I1384/G1384)</f>
        <v/>
      </c>
      <c r="K1384" s="319">
        <f>IF(OR(NOT(ISNUMBER(G1384)),NOT(ISNUMBER(H1384)),G1384=0),"",H1384/G1384)</f>
        <v/>
      </c>
      <c r="L1384">
        <f>IF(NOT(ISNUMBER(G1384)),"SEM META",IF(G1384=0,"SEM META",IF(NOT(ISNUMBER(H1384)),"SEM APONTAMENTO",IF(H1384&gt;=G1384,"VERDE",IF(H1384&gt;=G1384*0.9,"AMARELO","VERMELHO")))))</f>
        <v/>
      </c>
      <c r="M1384" s="162" t="n"/>
      <c r="N1384" s="162" t="n"/>
      <c r="O1384" s="162" t="n"/>
      <c r="P1384" s="162" t="n"/>
      <c r="Q1384" s="320" t="n"/>
      <c r="R1384" s="162" t="inlineStr">
        <is>
          <t>CONTROLE PRODUÇÃO POR EMPRESAS!D236</t>
        </is>
      </c>
    </row>
    <row r="1385" ht="28.5" customHeight="1">
      <c r="A1385" s="317" t="n">
        <v>46453</v>
      </c>
      <c r="B1385" t="inlineStr">
        <is>
          <t>GERAL</t>
        </is>
      </c>
      <c r="C1385" t="inlineStr">
        <is>
          <t>CMM</t>
        </is>
      </c>
      <c r="D1385" t="inlineStr">
        <is>
          <t>PREMONTAGEM</t>
        </is>
      </c>
      <c r="F1385" s="159">
        <f>IFERROR(INDEX('BASE METAS DIÁRIAS'!$N$2:$S$358,MATCH($A1385,'BASE METAS DIÁRIAS'!$A$2:$A$358,0),MOD(ROW()-2,6)+1),"")</f>
        <v/>
      </c>
      <c r="G1385" s="159">
        <f>IFERROR(IF(WEEKDAY($A1385,2)&lt;=INDEX('BASE METAS DIÁRIAS'!$H$2:$M$358,MATCH($A1385,'BASE METAS DIÁRIAS'!$A$2:$A$358,0),MOD(ROW()-2,6)+1),INDEX('BASE METAS DIÁRIAS'!$B$2:$G$358,MATCH($A1385,'BASE METAS DIÁRIAS'!$A$2:$A$358,0),MOD(ROW()-2,6)+1),""),"")</f>
        <v/>
      </c>
      <c r="H1385" s="159">
        <f>IFERROR(IF(INDEX('CONTROLE PRODUÇÃO POR EMPRESAS'!$B$6:$G$5000,MATCH($A1385,'CONTROLE PRODUÇÃO POR EMPRESAS'!$A$6:$A$5000,0),MOD(ROW()-2,6)+1)="","",IFERROR(1*INDEX('CONTROLE PRODUÇÃO POR EMPRESAS'!$B$6:$G$5000,MATCH($A1385,'CONTROLE PRODUÇÃO POR EMPRESAS'!$A$6:$A$5000,0),MOD(ROW()-2,6)+1),"")),"")</f>
        <v/>
      </c>
      <c r="I1385" s="159">
        <f>IF(OR(NOT(ISNUMBER(G1385)),NOT(ISNUMBER(H1385))),"",H1385-G1385)</f>
        <v/>
      </c>
      <c r="J1385" s="319">
        <f>IF(OR(NOT(ISNUMBER(G1385)),NOT(ISNUMBER(H1385)),G1385=0),"",I1385/G1385)</f>
        <v/>
      </c>
      <c r="K1385" s="319">
        <f>IF(OR(NOT(ISNUMBER(G1385)),NOT(ISNUMBER(H1385)),G1385=0),"",H1385/G1385)</f>
        <v/>
      </c>
      <c r="L1385">
        <f>IF(NOT(ISNUMBER(G1385)),"SEM META",IF(G1385=0,"SEM META",IF(NOT(ISNUMBER(H1385)),"SEM APONTAMENTO",IF(H1385&gt;=G1385,"VERDE",IF(H1385&gt;=G1385*0.9,"AMARELO","VERMELHO")))))</f>
        <v/>
      </c>
      <c r="M1385" s="162" t="n"/>
      <c r="N1385" s="162" t="n"/>
      <c r="O1385" s="162" t="n"/>
      <c r="P1385" s="162" t="n"/>
      <c r="Q1385" s="320" t="n"/>
      <c r="R1385" s="162" t="inlineStr">
        <is>
          <t>CONTROLE PRODUÇÃO POR EMPRESAS!E236</t>
        </is>
      </c>
    </row>
    <row r="1386" ht="28.5" customHeight="1">
      <c r="A1386" s="317" t="n">
        <v>46453</v>
      </c>
      <c r="B1386" t="inlineStr">
        <is>
          <t>GERAL</t>
        </is>
      </c>
      <c r="C1386" t="inlineStr">
        <is>
          <t>CMM</t>
        </is>
      </c>
      <c r="D1386" t="inlineStr">
        <is>
          <t>IÇAMENTO JOIST</t>
        </is>
      </c>
      <c r="F1386" s="159">
        <f>IFERROR(INDEX('BASE METAS DIÁRIAS'!$N$2:$S$358,MATCH($A1386,'BASE METAS DIÁRIAS'!$A$2:$A$358,0),MOD(ROW()-2,6)+1),"")</f>
        <v/>
      </c>
      <c r="G1386" s="159">
        <f>IFERROR(IF(WEEKDAY($A1386,2)&lt;=INDEX('BASE METAS DIÁRIAS'!$H$2:$M$358,MATCH($A1386,'BASE METAS DIÁRIAS'!$A$2:$A$358,0),MOD(ROW()-2,6)+1),INDEX('BASE METAS DIÁRIAS'!$B$2:$G$358,MATCH($A1386,'BASE METAS DIÁRIAS'!$A$2:$A$358,0),MOD(ROW()-2,6)+1),""),"")</f>
        <v/>
      </c>
      <c r="H1386" s="159">
        <f>IFERROR(IF(INDEX('CONTROLE PRODUÇÃO POR EMPRESAS'!$B$6:$G$5000,MATCH($A1386,'CONTROLE PRODUÇÃO POR EMPRESAS'!$A$6:$A$5000,0),MOD(ROW()-2,6)+1)="","",IFERROR(1*INDEX('CONTROLE PRODUÇÃO POR EMPRESAS'!$B$6:$G$5000,MATCH($A1386,'CONTROLE PRODUÇÃO POR EMPRESAS'!$A$6:$A$5000,0),MOD(ROW()-2,6)+1),"")),"")</f>
        <v/>
      </c>
      <c r="I1386" s="159">
        <f>IF(OR(NOT(ISNUMBER(G1386)),NOT(ISNUMBER(H1386))),"",H1386-G1386)</f>
        <v/>
      </c>
      <c r="J1386" s="319">
        <f>IF(OR(NOT(ISNUMBER(G1386)),NOT(ISNUMBER(H1386)),G1386=0),"",I1386/G1386)</f>
        <v/>
      </c>
      <c r="K1386" s="319">
        <f>IF(OR(NOT(ISNUMBER(G1386)),NOT(ISNUMBER(H1386)),G1386=0),"",H1386/G1386)</f>
        <v/>
      </c>
      <c r="L1386">
        <f>IF(NOT(ISNUMBER(G1386)),"SEM META",IF(G1386=0,"SEM META",IF(NOT(ISNUMBER(H1386)),"SEM APONTAMENTO",IF(H1386&gt;=G1386,"VERDE",IF(H1386&gt;=G1386*0.9,"AMARELO","VERMELHO")))))</f>
        <v/>
      </c>
      <c r="M1386" s="162" t="n"/>
      <c r="N1386" s="162" t="n"/>
      <c r="O1386" s="162" t="n"/>
      <c r="P1386" s="162" t="n"/>
      <c r="Q1386" s="320" t="n"/>
      <c r="R1386" s="162" t="inlineStr">
        <is>
          <t>CONTROLE PRODUÇÃO POR EMPRESAS!F236</t>
        </is>
      </c>
    </row>
    <row r="1387" ht="28.5" customHeight="1">
      <c r="A1387" s="317" t="n">
        <v>46453</v>
      </c>
      <c r="B1387" t="inlineStr">
        <is>
          <t>GERAL</t>
        </is>
      </c>
      <c r="C1387" t="inlineStr">
        <is>
          <t>CMM</t>
        </is>
      </c>
      <c r="D1387" t="inlineStr">
        <is>
          <t>VIGAS</t>
        </is>
      </c>
      <c r="F1387" s="159">
        <f>IFERROR(INDEX('BASE METAS DIÁRIAS'!$N$2:$S$358,MATCH($A1387,'BASE METAS DIÁRIAS'!$A$2:$A$358,0),MOD(ROW()-2,6)+1),"")</f>
        <v/>
      </c>
      <c r="G1387" s="159">
        <f>IFERROR(IF(WEEKDAY($A1387,2)&lt;=INDEX('BASE METAS DIÁRIAS'!$H$2:$M$358,MATCH($A1387,'BASE METAS DIÁRIAS'!$A$2:$A$358,0),MOD(ROW()-2,6)+1),INDEX('BASE METAS DIÁRIAS'!$B$2:$G$358,MATCH($A1387,'BASE METAS DIÁRIAS'!$A$2:$A$358,0),MOD(ROW()-2,6)+1),""),"")</f>
        <v/>
      </c>
      <c r="H1387" s="159">
        <f>IFERROR(IF(INDEX('CONTROLE PRODUÇÃO POR EMPRESAS'!$B$6:$G$5000,MATCH($A1387,'CONTROLE PRODUÇÃO POR EMPRESAS'!$A$6:$A$5000,0),MOD(ROW()-2,6)+1)="","",IFERROR(1*INDEX('CONTROLE PRODUÇÃO POR EMPRESAS'!$B$6:$G$5000,MATCH($A1387,'CONTROLE PRODUÇÃO POR EMPRESAS'!$A$6:$A$5000,0),MOD(ROW()-2,6)+1),"")),"")</f>
        <v/>
      </c>
      <c r="I1387" s="159">
        <f>IF(OR(NOT(ISNUMBER(G1387)),NOT(ISNUMBER(H1387))),"",H1387-G1387)</f>
        <v/>
      </c>
      <c r="J1387" s="319">
        <f>IF(OR(NOT(ISNUMBER(G1387)),NOT(ISNUMBER(H1387)),G1387=0),"",I1387/G1387)</f>
        <v/>
      </c>
      <c r="K1387" s="319">
        <f>IF(OR(NOT(ISNUMBER(G1387)),NOT(ISNUMBER(H1387)),G1387=0),"",H1387/G1387)</f>
        <v/>
      </c>
      <c r="L1387">
        <f>IF(NOT(ISNUMBER(G1387)),"SEM META",IF(G1387=0,"SEM META",IF(NOT(ISNUMBER(H1387)),"SEM APONTAMENTO",IF(H1387&gt;=G1387,"VERDE",IF(H1387&gt;=G1387*0.9,"AMARELO","VERMELHO")))))</f>
        <v/>
      </c>
      <c r="M1387" s="162" t="n"/>
      <c r="N1387" s="162" t="n"/>
      <c r="O1387" s="162" t="n"/>
      <c r="P1387" s="162" t="n"/>
      <c r="Q1387" s="320" t="n"/>
      <c r="R1387" s="162" t="inlineStr">
        <is>
          <t>CONTROLE PRODUÇÃO POR EMPRESAS!G236</t>
        </is>
      </c>
    </row>
    <row r="1388" ht="28.5" customHeight="1">
      <c r="A1388" s="317" t="n">
        <v>46454</v>
      </c>
      <c r="B1388" t="inlineStr">
        <is>
          <t>GERAL</t>
        </is>
      </c>
      <c r="C1388" t="inlineStr">
        <is>
          <t>EJ</t>
        </is>
      </c>
      <c r="D1388" t="inlineStr">
        <is>
          <t>PREMONTAGEM</t>
        </is>
      </c>
      <c r="F1388" s="159">
        <f>IFERROR(INDEX('BASE METAS DIÁRIAS'!$N$2:$S$358,MATCH($A1388,'BASE METAS DIÁRIAS'!$A$2:$A$358,0),MOD(ROW()-2,6)+1),"")</f>
        <v/>
      </c>
      <c r="G1388" s="159">
        <f>IFERROR(IF(WEEKDAY($A1388,2)&lt;=INDEX('BASE METAS DIÁRIAS'!$H$2:$M$358,MATCH($A1388,'BASE METAS DIÁRIAS'!$A$2:$A$358,0),MOD(ROW()-2,6)+1),INDEX('BASE METAS DIÁRIAS'!$B$2:$G$358,MATCH($A1388,'BASE METAS DIÁRIAS'!$A$2:$A$358,0),MOD(ROW()-2,6)+1),""),"")</f>
        <v/>
      </c>
      <c r="H1388" s="159">
        <f>IFERROR(IF(INDEX('CONTROLE PRODUÇÃO POR EMPRESAS'!$B$6:$G$5000,MATCH($A1388,'CONTROLE PRODUÇÃO POR EMPRESAS'!$A$6:$A$5000,0),MOD(ROW()-2,6)+1)="","",IFERROR(1*INDEX('CONTROLE PRODUÇÃO POR EMPRESAS'!$B$6:$G$5000,MATCH($A1388,'CONTROLE PRODUÇÃO POR EMPRESAS'!$A$6:$A$5000,0),MOD(ROW()-2,6)+1),"")),"")</f>
        <v/>
      </c>
      <c r="I1388" s="159">
        <f>IF(OR(NOT(ISNUMBER(G1388)),NOT(ISNUMBER(H1388))),"",H1388-G1388)</f>
        <v/>
      </c>
      <c r="J1388" s="319">
        <f>IF(OR(NOT(ISNUMBER(G1388)),NOT(ISNUMBER(H1388)),G1388=0),"",I1388/G1388)</f>
        <v/>
      </c>
      <c r="K1388" s="319">
        <f>IF(OR(NOT(ISNUMBER(G1388)),NOT(ISNUMBER(H1388)),G1388=0),"",H1388/G1388)</f>
        <v/>
      </c>
      <c r="L1388">
        <f>IF(NOT(ISNUMBER(G1388)),"SEM META",IF(G1388=0,"SEM META",IF(NOT(ISNUMBER(H1388)),"SEM APONTAMENTO",IF(H1388&gt;=G1388,"VERDE",IF(H1388&gt;=G1388*0.9,"AMARELO","VERMELHO")))))</f>
        <v/>
      </c>
      <c r="M1388" s="162" t="n"/>
      <c r="N1388" s="162" t="n"/>
      <c r="O1388" s="162" t="n"/>
      <c r="P1388" s="162" t="n"/>
      <c r="Q1388" s="320" t="n"/>
      <c r="R1388" s="162" t="inlineStr">
        <is>
          <t>CONTROLE PRODUÇÃO POR EMPRESAS!B237</t>
        </is>
      </c>
    </row>
    <row r="1389" ht="28.5" customHeight="1">
      <c r="A1389" s="317" t="n">
        <v>46454</v>
      </c>
      <c r="B1389" t="inlineStr">
        <is>
          <t>GERAL</t>
        </is>
      </c>
      <c r="C1389" t="inlineStr">
        <is>
          <t>EJ</t>
        </is>
      </c>
      <c r="D1389" t="inlineStr">
        <is>
          <t>IÇAMENTO JOIST</t>
        </is>
      </c>
      <c r="F1389" s="159">
        <f>IFERROR(INDEX('BASE METAS DIÁRIAS'!$N$2:$S$358,MATCH($A1389,'BASE METAS DIÁRIAS'!$A$2:$A$358,0),MOD(ROW()-2,6)+1),"")</f>
        <v/>
      </c>
      <c r="G1389" s="159">
        <f>IFERROR(IF(WEEKDAY($A1389,2)&lt;=INDEX('BASE METAS DIÁRIAS'!$H$2:$M$358,MATCH($A1389,'BASE METAS DIÁRIAS'!$A$2:$A$358,0),MOD(ROW()-2,6)+1),INDEX('BASE METAS DIÁRIAS'!$B$2:$G$358,MATCH($A1389,'BASE METAS DIÁRIAS'!$A$2:$A$358,0),MOD(ROW()-2,6)+1),""),"")</f>
        <v/>
      </c>
      <c r="H1389" s="159">
        <f>IFERROR(IF(INDEX('CONTROLE PRODUÇÃO POR EMPRESAS'!$B$6:$G$5000,MATCH($A1389,'CONTROLE PRODUÇÃO POR EMPRESAS'!$A$6:$A$5000,0),MOD(ROW()-2,6)+1)="","",IFERROR(1*INDEX('CONTROLE PRODUÇÃO POR EMPRESAS'!$B$6:$G$5000,MATCH($A1389,'CONTROLE PRODUÇÃO POR EMPRESAS'!$A$6:$A$5000,0),MOD(ROW()-2,6)+1),"")),"")</f>
        <v/>
      </c>
      <c r="I1389" s="159">
        <f>IF(OR(NOT(ISNUMBER(G1389)),NOT(ISNUMBER(H1389))),"",H1389-G1389)</f>
        <v/>
      </c>
      <c r="J1389" s="319">
        <f>IF(OR(NOT(ISNUMBER(G1389)),NOT(ISNUMBER(H1389)),G1389=0),"",I1389/G1389)</f>
        <v/>
      </c>
      <c r="K1389" s="319">
        <f>IF(OR(NOT(ISNUMBER(G1389)),NOT(ISNUMBER(H1389)),G1389=0),"",H1389/G1389)</f>
        <v/>
      </c>
      <c r="L1389">
        <f>IF(NOT(ISNUMBER(G1389)),"SEM META",IF(G1389=0,"SEM META",IF(NOT(ISNUMBER(H1389)),"SEM APONTAMENTO",IF(H1389&gt;=G1389,"VERDE",IF(H1389&gt;=G1389*0.9,"AMARELO","VERMELHO")))))</f>
        <v/>
      </c>
      <c r="M1389" s="162" t="n"/>
      <c r="N1389" s="162" t="n"/>
      <c r="O1389" s="162" t="n"/>
      <c r="P1389" s="162" t="n"/>
      <c r="Q1389" s="320" t="n"/>
      <c r="R1389" s="162" t="inlineStr">
        <is>
          <t>CONTROLE PRODUÇÃO POR EMPRESAS!C237</t>
        </is>
      </c>
    </row>
    <row r="1390" ht="28.5" customHeight="1">
      <c r="A1390" s="317" t="n">
        <v>46454</v>
      </c>
      <c r="B1390" t="inlineStr">
        <is>
          <t>GERAL</t>
        </is>
      </c>
      <c r="C1390" t="inlineStr">
        <is>
          <t>EJ</t>
        </is>
      </c>
      <c r="D1390" t="inlineStr">
        <is>
          <t>VIGAS</t>
        </is>
      </c>
      <c r="F1390" s="159">
        <f>IFERROR(INDEX('BASE METAS DIÁRIAS'!$N$2:$S$358,MATCH($A1390,'BASE METAS DIÁRIAS'!$A$2:$A$358,0),MOD(ROW()-2,6)+1),"")</f>
        <v/>
      </c>
      <c r="G1390" s="159">
        <f>IFERROR(IF(WEEKDAY($A1390,2)&lt;=INDEX('BASE METAS DIÁRIAS'!$H$2:$M$358,MATCH($A1390,'BASE METAS DIÁRIAS'!$A$2:$A$358,0),MOD(ROW()-2,6)+1),INDEX('BASE METAS DIÁRIAS'!$B$2:$G$358,MATCH($A1390,'BASE METAS DIÁRIAS'!$A$2:$A$358,0),MOD(ROW()-2,6)+1),""),"")</f>
        <v/>
      </c>
      <c r="H1390" s="159">
        <f>IFERROR(IF(INDEX('CONTROLE PRODUÇÃO POR EMPRESAS'!$B$6:$G$5000,MATCH($A1390,'CONTROLE PRODUÇÃO POR EMPRESAS'!$A$6:$A$5000,0),MOD(ROW()-2,6)+1)="","",IFERROR(1*INDEX('CONTROLE PRODUÇÃO POR EMPRESAS'!$B$6:$G$5000,MATCH($A1390,'CONTROLE PRODUÇÃO POR EMPRESAS'!$A$6:$A$5000,0),MOD(ROW()-2,6)+1),"")),"")</f>
        <v/>
      </c>
      <c r="I1390" s="159">
        <f>IF(OR(NOT(ISNUMBER(G1390)),NOT(ISNUMBER(H1390))),"",H1390-G1390)</f>
        <v/>
      </c>
      <c r="J1390" s="319">
        <f>IF(OR(NOT(ISNUMBER(G1390)),NOT(ISNUMBER(H1390)),G1390=0),"",I1390/G1390)</f>
        <v/>
      </c>
      <c r="K1390" s="319">
        <f>IF(OR(NOT(ISNUMBER(G1390)),NOT(ISNUMBER(H1390)),G1390=0),"",H1390/G1390)</f>
        <v/>
      </c>
      <c r="L1390">
        <f>IF(NOT(ISNUMBER(G1390)),"SEM META",IF(G1390=0,"SEM META",IF(NOT(ISNUMBER(H1390)),"SEM APONTAMENTO",IF(H1390&gt;=G1390,"VERDE",IF(H1390&gt;=G1390*0.9,"AMARELO","VERMELHO")))))</f>
        <v/>
      </c>
      <c r="M1390" s="162" t="n"/>
      <c r="N1390" s="162" t="n"/>
      <c r="O1390" s="162" t="n"/>
      <c r="P1390" s="162" t="n"/>
      <c r="Q1390" s="320" t="n"/>
      <c r="R1390" s="162" t="inlineStr">
        <is>
          <t>CONTROLE PRODUÇÃO POR EMPRESAS!D237</t>
        </is>
      </c>
    </row>
    <row r="1391" ht="28.5" customHeight="1">
      <c r="A1391" s="317" t="n">
        <v>46454</v>
      </c>
      <c r="B1391" t="inlineStr">
        <is>
          <t>GERAL</t>
        </is>
      </c>
      <c r="C1391" t="inlineStr">
        <is>
          <t>CMM</t>
        </is>
      </c>
      <c r="D1391" t="inlineStr">
        <is>
          <t>PREMONTAGEM</t>
        </is>
      </c>
      <c r="F1391" s="159">
        <f>IFERROR(INDEX('BASE METAS DIÁRIAS'!$N$2:$S$358,MATCH($A1391,'BASE METAS DIÁRIAS'!$A$2:$A$358,0),MOD(ROW()-2,6)+1),"")</f>
        <v/>
      </c>
      <c r="G1391" s="159">
        <f>IFERROR(IF(WEEKDAY($A1391,2)&lt;=INDEX('BASE METAS DIÁRIAS'!$H$2:$M$358,MATCH($A1391,'BASE METAS DIÁRIAS'!$A$2:$A$358,0),MOD(ROW()-2,6)+1),INDEX('BASE METAS DIÁRIAS'!$B$2:$G$358,MATCH($A1391,'BASE METAS DIÁRIAS'!$A$2:$A$358,0),MOD(ROW()-2,6)+1),""),"")</f>
        <v/>
      </c>
      <c r="H1391" s="159">
        <f>IFERROR(IF(INDEX('CONTROLE PRODUÇÃO POR EMPRESAS'!$B$6:$G$5000,MATCH($A1391,'CONTROLE PRODUÇÃO POR EMPRESAS'!$A$6:$A$5000,0),MOD(ROW()-2,6)+1)="","",IFERROR(1*INDEX('CONTROLE PRODUÇÃO POR EMPRESAS'!$B$6:$G$5000,MATCH($A1391,'CONTROLE PRODUÇÃO POR EMPRESAS'!$A$6:$A$5000,0),MOD(ROW()-2,6)+1),"")),"")</f>
        <v/>
      </c>
      <c r="I1391" s="159">
        <f>IF(OR(NOT(ISNUMBER(G1391)),NOT(ISNUMBER(H1391))),"",H1391-G1391)</f>
        <v/>
      </c>
      <c r="J1391" s="319">
        <f>IF(OR(NOT(ISNUMBER(G1391)),NOT(ISNUMBER(H1391)),G1391=0),"",I1391/G1391)</f>
        <v/>
      </c>
      <c r="K1391" s="319">
        <f>IF(OR(NOT(ISNUMBER(G1391)),NOT(ISNUMBER(H1391)),G1391=0),"",H1391/G1391)</f>
        <v/>
      </c>
      <c r="L1391">
        <f>IF(NOT(ISNUMBER(G1391)),"SEM META",IF(G1391=0,"SEM META",IF(NOT(ISNUMBER(H1391)),"SEM APONTAMENTO",IF(H1391&gt;=G1391,"VERDE",IF(H1391&gt;=G1391*0.9,"AMARELO","VERMELHO")))))</f>
        <v/>
      </c>
      <c r="M1391" s="162" t="n"/>
      <c r="N1391" s="162" t="n"/>
      <c r="O1391" s="162" t="n"/>
      <c r="P1391" s="162" t="n"/>
      <c r="Q1391" s="320" t="n"/>
      <c r="R1391" s="162" t="inlineStr">
        <is>
          <t>CONTROLE PRODUÇÃO POR EMPRESAS!E237</t>
        </is>
      </c>
    </row>
    <row r="1392" ht="28.5" customHeight="1">
      <c r="A1392" s="317" t="n">
        <v>46454</v>
      </c>
      <c r="B1392" t="inlineStr">
        <is>
          <t>GERAL</t>
        </is>
      </c>
      <c r="C1392" t="inlineStr">
        <is>
          <t>CMM</t>
        </is>
      </c>
      <c r="D1392" t="inlineStr">
        <is>
          <t>IÇAMENTO JOIST</t>
        </is>
      </c>
      <c r="F1392" s="159">
        <f>IFERROR(INDEX('BASE METAS DIÁRIAS'!$N$2:$S$358,MATCH($A1392,'BASE METAS DIÁRIAS'!$A$2:$A$358,0),MOD(ROW()-2,6)+1),"")</f>
        <v/>
      </c>
      <c r="G1392" s="159">
        <f>IFERROR(IF(WEEKDAY($A1392,2)&lt;=INDEX('BASE METAS DIÁRIAS'!$H$2:$M$358,MATCH($A1392,'BASE METAS DIÁRIAS'!$A$2:$A$358,0),MOD(ROW()-2,6)+1),INDEX('BASE METAS DIÁRIAS'!$B$2:$G$358,MATCH($A1392,'BASE METAS DIÁRIAS'!$A$2:$A$358,0),MOD(ROW()-2,6)+1),""),"")</f>
        <v/>
      </c>
      <c r="H1392" s="159">
        <f>IFERROR(IF(INDEX('CONTROLE PRODUÇÃO POR EMPRESAS'!$B$6:$G$5000,MATCH($A1392,'CONTROLE PRODUÇÃO POR EMPRESAS'!$A$6:$A$5000,0),MOD(ROW()-2,6)+1)="","",IFERROR(1*INDEX('CONTROLE PRODUÇÃO POR EMPRESAS'!$B$6:$G$5000,MATCH($A1392,'CONTROLE PRODUÇÃO POR EMPRESAS'!$A$6:$A$5000,0),MOD(ROW()-2,6)+1),"")),"")</f>
        <v/>
      </c>
      <c r="I1392" s="159">
        <f>IF(OR(NOT(ISNUMBER(G1392)),NOT(ISNUMBER(H1392))),"",H1392-G1392)</f>
        <v/>
      </c>
      <c r="J1392" s="319">
        <f>IF(OR(NOT(ISNUMBER(G1392)),NOT(ISNUMBER(H1392)),G1392=0),"",I1392/G1392)</f>
        <v/>
      </c>
      <c r="K1392" s="319">
        <f>IF(OR(NOT(ISNUMBER(G1392)),NOT(ISNUMBER(H1392)),G1392=0),"",H1392/G1392)</f>
        <v/>
      </c>
      <c r="L1392">
        <f>IF(NOT(ISNUMBER(G1392)),"SEM META",IF(G1392=0,"SEM META",IF(NOT(ISNUMBER(H1392)),"SEM APONTAMENTO",IF(H1392&gt;=G1392,"VERDE",IF(H1392&gt;=G1392*0.9,"AMARELO","VERMELHO")))))</f>
        <v/>
      </c>
      <c r="M1392" s="162" t="n"/>
      <c r="N1392" s="162" t="n"/>
      <c r="O1392" s="162" t="n"/>
      <c r="P1392" s="162" t="n"/>
      <c r="Q1392" s="320" t="n"/>
      <c r="R1392" s="162" t="inlineStr">
        <is>
          <t>CONTROLE PRODUÇÃO POR EMPRESAS!F237</t>
        </is>
      </c>
    </row>
    <row r="1393" ht="28.5" customHeight="1">
      <c r="A1393" s="317" t="n">
        <v>46454</v>
      </c>
      <c r="B1393" t="inlineStr">
        <is>
          <t>GERAL</t>
        </is>
      </c>
      <c r="C1393" t="inlineStr">
        <is>
          <t>CMM</t>
        </is>
      </c>
      <c r="D1393" t="inlineStr">
        <is>
          <t>VIGAS</t>
        </is>
      </c>
      <c r="F1393" s="159">
        <f>IFERROR(INDEX('BASE METAS DIÁRIAS'!$N$2:$S$358,MATCH($A1393,'BASE METAS DIÁRIAS'!$A$2:$A$358,0),MOD(ROW()-2,6)+1),"")</f>
        <v/>
      </c>
      <c r="G1393" s="159">
        <f>IFERROR(IF(WEEKDAY($A1393,2)&lt;=INDEX('BASE METAS DIÁRIAS'!$H$2:$M$358,MATCH($A1393,'BASE METAS DIÁRIAS'!$A$2:$A$358,0),MOD(ROW()-2,6)+1),INDEX('BASE METAS DIÁRIAS'!$B$2:$G$358,MATCH($A1393,'BASE METAS DIÁRIAS'!$A$2:$A$358,0),MOD(ROW()-2,6)+1),""),"")</f>
        <v/>
      </c>
      <c r="H1393" s="159">
        <f>IFERROR(IF(INDEX('CONTROLE PRODUÇÃO POR EMPRESAS'!$B$6:$G$5000,MATCH($A1393,'CONTROLE PRODUÇÃO POR EMPRESAS'!$A$6:$A$5000,0),MOD(ROW()-2,6)+1)="","",IFERROR(1*INDEX('CONTROLE PRODUÇÃO POR EMPRESAS'!$B$6:$G$5000,MATCH($A1393,'CONTROLE PRODUÇÃO POR EMPRESAS'!$A$6:$A$5000,0),MOD(ROW()-2,6)+1),"")),"")</f>
        <v/>
      </c>
      <c r="I1393" s="159">
        <f>IF(OR(NOT(ISNUMBER(G1393)),NOT(ISNUMBER(H1393))),"",H1393-G1393)</f>
        <v/>
      </c>
      <c r="J1393" s="319">
        <f>IF(OR(NOT(ISNUMBER(G1393)),NOT(ISNUMBER(H1393)),G1393=0),"",I1393/G1393)</f>
        <v/>
      </c>
      <c r="K1393" s="319">
        <f>IF(OR(NOT(ISNUMBER(G1393)),NOT(ISNUMBER(H1393)),G1393=0),"",H1393/G1393)</f>
        <v/>
      </c>
      <c r="L1393">
        <f>IF(NOT(ISNUMBER(G1393)),"SEM META",IF(G1393=0,"SEM META",IF(NOT(ISNUMBER(H1393)),"SEM APONTAMENTO",IF(H1393&gt;=G1393,"VERDE",IF(H1393&gt;=G1393*0.9,"AMARELO","VERMELHO")))))</f>
        <v/>
      </c>
      <c r="M1393" s="162" t="n"/>
      <c r="N1393" s="162" t="n"/>
      <c r="O1393" s="162" t="n"/>
      <c r="P1393" s="162" t="n"/>
      <c r="Q1393" s="320" t="n"/>
      <c r="R1393" s="162" t="inlineStr">
        <is>
          <t>CONTROLE PRODUÇÃO POR EMPRESAS!G237</t>
        </is>
      </c>
    </row>
    <row r="1394" ht="28.5" customHeight="1">
      <c r="A1394" s="317" t="n">
        <v>46455</v>
      </c>
      <c r="B1394" t="inlineStr">
        <is>
          <t>GERAL</t>
        </is>
      </c>
      <c r="C1394" t="inlineStr">
        <is>
          <t>EJ</t>
        </is>
      </c>
      <c r="D1394" t="inlineStr">
        <is>
          <t>PREMONTAGEM</t>
        </is>
      </c>
      <c r="F1394" s="159">
        <f>IFERROR(INDEX('BASE METAS DIÁRIAS'!$N$2:$S$358,MATCH($A1394,'BASE METAS DIÁRIAS'!$A$2:$A$358,0),MOD(ROW()-2,6)+1),"")</f>
        <v/>
      </c>
      <c r="G1394" s="159">
        <f>IFERROR(IF(WEEKDAY($A1394,2)&lt;=INDEX('BASE METAS DIÁRIAS'!$H$2:$M$358,MATCH($A1394,'BASE METAS DIÁRIAS'!$A$2:$A$358,0),MOD(ROW()-2,6)+1),INDEX('BASE METAS DIÁRIAS'!$B$2:$G$358,MATCH($A1394,'BASE METAS DIÁRIAS'!$A$2:$A$358,0),MOD(ROW()-2,6)+1),""),"")</f>
        <v/>
      </c>
      <c r="H1394" s="159">
        <f>IFERROR(IF(INDEX('CONTROLE PRODUÇÃO POR EMPRESAS'!$B$6:$G$5000,MATCH($A1394,'CONTROLE PRODUÇÃO POR EMPRESAS'!$A$6:$A$5000,0),MOD(ROW()-2,6)+1)="","",IFERROR(1*INDEX('CONTROLE PRODUÇÃO POR EMPRESAS'!$B$6:$G$5000,MATCH($A1394,'CONTROLE PRODUÇÃO POR EMPRESAS'!$A$6:$A$5000,0),MOD(ROW()-2,6)+1),"")),"")</f>
        <v/>
      </c>
      <c r="I1394" s="159">
        <f>IF(OR(NOT(ISNUMBER(G1394)),NOT(ISNUMBER(H1394))),"",H1394-G1394)</f>
        <v/>
      </c>
      <c r="J1394" s="319">
        <f>IF(OR(NOT(ISNUMBER(G1394)),NOT(ISNUMBER(H1394)),G1394=0),"",I1394/G1394)</f>
        <v/>
      </c>
      <c r="K1394" s="319">
        <f>IF(OR(NOT(ISNUMBER(G1394)),NOT(ISNUMBER(H1394)),G1394=0),"",H1394/G1394)</f>
        <v/>
      </c>
      <c r="L1394">
        <f>IF(NOT(ISNUMBER(G1394)),"SEM META",IF(G1394=0,"SEM META",IF(NOT(ISNUMBER(H1394)),"SEM APONTAMENTO",IF(H1394&gt;=G1394,"VERDE",IF(H1394&gt;=G1394*0.9,"AMARELO","VERMELHO")))))</f>
        <v/>
      </c>
      <c r="M1394" s="162" t="n"/>
      <c r="N1394" s="162" t="n"/>
      <c r="O1394" s="162" t="n"/>
      <c r="P1394" s="162" t="n"/>
      <c r="Q1394" s="320" t="n"/>
      <c r="R1394" s="162" t="inlineStr">
        <is>
          <t>CONTROLE PRODUÇÃO POR EMPRESAS!B238</t>
        </is>
      </c>
    </row>
    <row r="1395" ht="28.5" customHeight="1">
      <c r="A1395" s="317" t="n">
        <v>46455</v>
      </c>
      <c r="B1395" t="inlineStr">
        <is>
          <t>GERAL</t>
        </is>
      </c>
      <c r="C1395" t="inlineStr">
        <is>
          <t>EJ</t>
        </is>
      </c>
      <c r="D1395" t="inlineStr">
        <is>
          <t>IÇAMENTO JOIST</t>
        </is>
      </c>
      <c r="F1395" s="159">
        <f>IFERROR(INDEX('BASE METAS DIÁRIAS'!$N$2:$S$358,MATCH($A1395,'BASE METAS DIÁRIAS'!$A$2:$A$358,0),MOD(ROW()-2,6)+1),"")</f>
        <v/>
      </c>
      <c r="G1395" s="159">
        <f>IFERROR(IF(WEEKDAY($A1395,2)&lt;=INDEX('BASE METAS DIÁRIAS'!$H$2:$M$358,MATCH($A1395,'BASE METAS DIÁRIAS'!$A$2:$A$358,0),MOD(ROW()-2,6)+1),INDEX('BASE METAS DIÁRIAS'!$B$2:$G$358,MATCH($A1395,'BASE METAS DIÁRIAS'!$A$2:$A$358,0),MOD(ROW()-2,6)+1),""),"")</f>
        <v/>
      </c>
      <c r="H1395" s="159">
        <f>IFERROR(IF(INDEX('CONTROLE PRODUÇÃO POR EMPRESAS'!$B$6:$G$5000,MATCH($A1395,'CONTROLE PRODUÇÃO POR EMPRESAS'!$A$6:$A$5000,0),MOD(ROW()-2,6)+1)="","",IFERROR(1*INDEX('CONTROLE PRODUÇÃO POR EMPRESAS'!$B$6:$G$5000,MATCH($A1395,'CONTROLE PRODUÇÃO POR EMPRESAS'!$A$6:$A$5000,0),MOD(ROW()-2,6)+1),"")),"")</f>
        <v/>
      </c>
      <c r="I1395" s="159">
        <f>IF(OR(NOT(ISNUMBER(G1395)),NOT(ISNUMBER(H1395))),"",H1395-G1395)</f>
        <v/>
      </c>
      <c r="J1395" s="319">
        <f>IF(OR(NOT(ISNUMBER(G1395)),NOT(ISNUMBER(H1395)),G1395=0),"",I1395/G1395)</f>
        <v/>
      </c>
      <c r="K1395" s="319">
        <f>IF(OR(NOT(ISNUMBER(G1395)),NOT(ISNUMBER(H1395)),G1395=0),"",H1395/G1395)</f>
        <v/>
      </c>
      <c r="L1395">
        <f>IF(NOT(ISNUMBER(G1395)),"SEM META",IF(G1395=0,"SEM META",IF(NOT(ISNUMBER(H1395)),"SEM APONTAMENTO",IF(H1395&gt;=G1395,"VERDE",IF(H1395&gt;=G1395*0.9,"AMARELO","VERMELHO")))))</f>
        <v/>
      </c>
      <c r="M1395" s="162" t="n"/>
      <c r="N1395" s="162" t="n"/>
      <c r="O1395" s="162" t="n"/>
      <c r="P1395" s="162" t="n"/>
      <c r="Q1395" s="320" t="n"/>
      <c r="R1395" s="162" t="inlineStr">
        <is>
          <t>CONTROLE PRODUÇÃO POR EMPRESAS!C238</t>
        </is>
      </c>
    </row>
    <row r="1396" ht="28.5" customHeight="1">
      <c r="A1396" s="317" t="n">
        <v>46455</v>
      </c>
      <c r="B1396" t="inlineStr">
        <is>
          <t>GERAL</t>
        </is>
      </c>
      <c r="C1396" t="inlineStr">
        <is>
          <t>EJ</t>
        </is>
      </c>
      <c r="D1396" t="inlineStr">
        <is>
          <t>VIGAS</t>
        </is>
      </c>
      <c r="F1396" s="159">
        <f>IFERROR(INDEX('BASE METAS DIÁRIAS'!$N$2:$S$358,MATCH($A1396,'BASE METAS DIÁRIAS'!$A$2:$A$358,0),MOD(ROW()-2,6)+1),"")</f>
        <v/>
      </c>
      <c r="G1396" s="159">
        <f>IFERROR(IF(WEEKDAY($A1396,2)&lt;=INDEX('BASE METAS DIÁRIAS'!$H$2:$M$358,MATCH($A1396,'BASE METAS DIÁRIAS'!$A$2:$A$358,0),MOD(ROW()-2,6)+1),INDEX('BASE METAS DIÁRIAS'!$B$2:$G$358,MATCH($A1396,'BASE METAS DIÁRIAS'!$A$2:$A$358,0),MOD(ROW()-2,6)+1),""),"")</f>
        <v/>
      </c>
      <c r="H1396" s="159">
        <f>IFERROR(IF(INDEX('CONTROLE PRODUÇÃO POR EMPRESAS'!$B$6:$G$5000,MATCH($A1396,'CONTROLE PRODUÇÃO POR EMPRESAS'!$A$6:$A$5000,0),MOD(ROW()-2,6)+1)="","",IFERROR(1*INDEX('CONTROLE PRODUÇÃO POR EMPRESAS'!$B$6:$G$5000,MATCH($A1396,'CONTROLE PRODUÇÃO POR EMPRESAS'!$A$6:$A$5000,0),MOD(ROW()-2,6)+1),"")),"")</f>
        <v/>
      </c>
      <c r="I1396" s="159">
        <f>IF(OR(NOT(ISNUMBER(G1396)),NOT(ISNUMBER(H1396))),"",H1396-G1396)</f>
        <v/>
      </c>
      <c r="J1396" s="319">
        <f>IF(OR(NOT(ISNUMBER(G1396)),NOT(ISNUMBER(H1396)),G1396=0),"",I1396/G1396)</f>
        <v/>
      </c>
      <c r="K1396" s="319">
        <f>IF(OR(NOT(ISNUMBER(G1396)),NOT(ISNUMBER(H1396)),G1396=0),"",H1396/G1396)</f>
        <v/>
      </c>
      <c r="L1396">
        <f>IF(NOT(ISNUMBER(G1396)),"SEM META",IF(G1396=0,"SEM META",IF(NOT(ISNUMBER(H1396)),"SEM APONTAMENTO",IF(H1396&gt;=G1396,"VERDE",IF(H1396&gt;=G1396*0.9,"AMARELO","VERMELHO")))))</f>
        <v/>
      </c>
      <c r="M1396" s="162" t="n"/>
      <c r="N1396" s="162" t="n"/>
      <c r="O1396" s="162" t="n"/>
      <c r="P1396" s="162" t="n"/>
      <c r="Q1396" s="320" t="n"/>
      <c r="R1396" s="162" t="inlineStr">
        <is>
          <t>CONTROLE PRODUÇÃO POR EMPRESAS!D238</t>
        </is>
      </c>
    </row>
    <row r="1397" ht="28.5" customHeight="1">
      <c r="A1397" s="317" t="n">
        <v>46455</v>
      </c>
      <c r="B1397" t="inlineStr">
        <is>
          <t>GERAL</t>
        </is>
      </c>
      <c r="C1397" t="inlineStr">
        <is>
          <t>CMM</t>
        </is>
      </c>
      <c r="D1397" t="inlineStr">
        <is>
          <t>PREMONTAGEM</t>
        </is>
      </c>
      <c r="F1397" s="159">
        <f>IFERROR(INDEX('BASE METAS DIÁRIAS'!$N$2:$S$358,MATCH($A1397,'BASE METAS DIÁRIAS'!$A$2:$A$358,0),MOD(ROW()-2,6)+1),"")</f>
        <v/>
      </c>
      <c r="G1397" s="159">
        <f>IFERROR(IF(WEEKDAY($A1397,2)&lt;=INDEX('BASE METAS DIÁRIAS'!$H$2:$M$358,MATCH($A1397,'BASE METAS DIÁRIAS'!$A$2:$A$358,0),MOD(ROW()-2,6)+1),INDEX('BASE METAS DIÁRIAS'!$B$2:$G$358,MATCH($A1397,'BASE METAS DIÁRIAS'!$A$2:$A$358,0),MOD(ROW()-2,6)+1),""),"")</f>
        <v/>
      </c>
      <c r="H1397" s="159">
        <f>IFERROR(IF(INDEX('CONTROLE PRODUÇÃO POR EMPRESAS'!$B$6:$G$5000,MATCH($A1397,'CONTROLE PRODUÇÃO POR EMPRESAS'!$A$6:$A$5000,0),MOD(ROW()-2,6)+1)="","",IFERROR(1*INDEX('CONTROLE PRODUÇÃO POR EMPRESAS'!$B$6:$G$5000,MATCH($A1397,'CONTROLE PRODUÇÃO POR EMPRESAS'!$A$6:$A$5000,0),MOD(ROW()-2,6)+1),"")),"")</f>
        <v/>
      </c>
      <c r="I1397" s="159">
        <f>IF(OR(NOT(ISNUMBER(G1397)),NOT(ISNUMBER(H1397))),"",H1397-G1397)</f>
        <v/>
      </c>
      <c r="J1397" s="319">
        <f>IF(OR(NOT(ISNUMBER(G1397)),NOT(ISNUMBER(H1397)),G1397=0),"",I1397/G1397)</f>
        <v/>
      </c>
      <c r="K1397" s="319">
        <f>IF(OR(NOT(ISNUMBER(G1397)),NOT(ISNUMBER(H1397)),G1397=0),"",H1397/G1397)</f>
        <v/>
      </c>
      <c r="L1397">
        <f>IF(NOT(ISNUMBER(G1397)),"SEM META",IF(G1397=0,"SEM META",IF(NOT(ISNUMBER(H1397)),"SEM APONTAMENTO",IF(H1397&gt;=G1397,"VERDE",IF(H1397&gt;=G1397*0.9,"AMARELO","VERMELHO")))))</f>
        <v/>
      </c>
      <c r="M1397" s="162" t="n"/>
      <c r="N1397" s="162" t="n"/>
      <c r="O1397" s="162" t="n"/>
      <c r="P1397" s="162" t="n"/>
      <c r="Q1397" s="320" t="n"/>
      <c r="R1397" s="162" t="inlineStr">
        <is>
          <t>CONTROLE PRODUÇÃO POR EMPRESAS!E238</t>
        </is>
      </c>
    </row>
    <row r="1398" ht="28.5" customHeight="1">
      <c r="A1398" s="317" t="n">
        <v>46455</v>
      </c>
      <c r="B1398" t="inlineStr">
        <is>
          <t>GERAL</t>
        </is>
      </c>
      <c r="C1398" t="inlineStr">
        <is>
          <t>CMM</t>
        </is>
      </c>
      <c r="D1398" t="inlineStr">
        <is>
          <t>IÇAMENTO JOIST</t>
        </is>
      </c>
      <c r="F1398" s="159">
        <f>IFERROR(INDEX('BASE METAS DIÁRIAS'!$N$2:$S$358,MATCH($A1398,'BASE METAS DIÁRIAS'!$A$2:$A$358,0),MOD(ROW()-2,6)+1),"")</f>
        <v/>
      </c>
      <c r="G1398" s="159">
        <f>IFERROR(IF(WEEKDAY($A1398,2)&lt;=INDEX('BASE METAS DIÁRIAS'!$H$2:$M$358,MATCH($A1398,'BASE METAS DIÁRIAS'!$A$2:$A$358,0),MOD(ROW()-2,6)+1),INDEX('BASE METAS DIÁRIAS'!$B$2:$G$358,MATCH($A1398,'BASE METAS DIÁRIAS'!$A$2:$A$358,0),MOD(ROW()-2,6)+1),""),"")</f>
        <v/>
      </c>
      <c r="H1398" s="159">
        <f>IFERROR(IF(INDEX('CONTROLE PRODUÇÃO POR EMPRESAS'!$B$6:$G$5000,MATCH($A1398,'CONTROLE PRODUÇÃO POR EMPRESAS'!$A$6:$A$5000,0),MOD(ROW()-2,6)+1)="","",IFERROR(1*INDEX('CONTROLE PRODUÇÃO POR EMPRESAS'!$B$6:$G$5000,MATCH($A1398,'CONTROLE PRODUÇÃO POR EMPRESAS'!$A$6:$A$5000,0),MOD(ROW()-2,6)+1),"")),"")</f>
        <v/>
      </c>
      <c r="I1398" s="159">
        <f>IF(OR(NOT(ISNUMBER(G1398)),NOT(ISNUMBER(H1398))),"",H1398-G1398)</f>
        <v/>
      </c>
      <c r="J1398" s="319">
        <f>IF(OR(NOT(ISNUMBER(G1398)),NOT(ISNUMBER(H1398)),G1398=0),"",I1398/G1398)</f>
        <v/>
      </c>
      <c r="K1398" s="319">
        <f>IF(OR(NOT(ISNUMBER(G1398)),NOT(ISNUMBER(H1398)),G1398=0),"",H1398/G1398)</f>
        <v/>
      </c>
      <c r="L1398">
        <f>IF(NOT(ISNUMBER(G1398)),"SEM META",IF(G1398=0,"SEM META",IF(NOT(ISNUMBER(H1398)),"SEM APONTAMENTO",IF(H1398&gt;=G1398,"VERDE",IF(H1398&gt;=G1398*0.9,"AMARELO","VERMELHO")))))</f>
        <v/>
      </c>
      <c r="M1398" s="162" t="n"/>
      <c r="N1398" s="162" t="n"/>
      <c r="O1398" s="162" t="n"/>
      <c r="P1398" s="162" t="n"/>
      <c r="Q1398" s="320" t="n"/>
      <c r="R1398" s="162" t="inlineStr">
        <is>
          <t>CONTROLE PRODUÇÃO POR EMPRESAS!F238</t>
        </is>
      </c>
    </row>
    <row r="1399" ht="28.5" customHeight="1">
      <c r="A1399" s="317" t="n">
        <v>46455</v>
      </c>
      <c r="B1399" t="inlineStr">
        <is>
          <t>GERAL</t>
        </is>
      </c>
      <c r="C1399" t="inlineStr">
        <is>
          <t>CMM</t>
        </is>
      </c>
      <c r="D1399" t="inlineStr">
        <is>
          <t>VIGAS</t>
        </is>
      </c>
      <c r="F1399" s="159">
        <f>IFERROR(INDEX('BASE METAS DIÁRIAS'!$N$2:$S$358,MATCH($A1399,'BASE METAS DIÁRIAS'!$A$2:$A$358,0),MOD(ROW()-2,6)+1),"")</f>
        <v/>
      </c>
      <c r="G1399" s="159">
        <f>IFERROR(IF(WEEKDAY($A1399,2)&lt;=INDEX('BASE METAS DIÁRIAS'!$H$2:$M$358,MATCH($A1399,'BASE METAS DIÁRIAS'!$A$2:$A$358,0),MOD(ROW()-2,6)+1),INDEX('BASE METAS DIÁRIAS'!$B$2:$G$358,MATCH($A1399,'BASE METAS DIÁRIAS'!$A$2:$A$358,0),MOD(ROW()-2,6)+1),""),"")</f>
        <v/>
      </c>
      <c r="H1399" s="159">
        <f>IFERROR(IF(INDEX('CONTROLE PRODUÇÃO POR EMPRESAS'!$B$6:$G$5000,MATCH($A1399,'CONTROLE PRODUÇÃO POR EMPRESAS'!$A$6:$A$5000,0),MOD(ROW()-2,6)+1)="","",IFERROR(1*INDEX('CONTROLE PRODUÇÃO POR EMPRESAS'!$B$6:$G$5000,MATCH($A1399,'CONTROLE PRODUÇÃO POR EMPRESAS'!$A$6:$A$5000,0),MOD(ROW()-2,6)+1),"")),"")</f>
        <v/>
      </c>
      <c r="I1399" s="159">
        <f>IF(OR(NOT(ISNUMBER(G1399)),NOT(ISNUMBER(H1399))),"",H1399-G1399)</f>
        <v/>
      </c>
      <c r="J1399" s="319">
        <f>IF(OR(NOT(ISNUMBER(G1399)),NOT(ISNUMBER(H1399)),G1399=0),"",I1399/G1399)</f>
        <v/>
      </c>
      <c r="K1399" s="319">
        <f>IF(OR(NOT(ISNUMBER(G1399)),NOT(ISNUMBER(H1399)),G1399=0),"",H1399/G1399)</f>
        <v/>
      </c>
      <c r="L1399">
        <f>IF(NOT(ISNUMBER(G1399)),"SEM META",IF(G1399=0,"SEM META",IF(NOT(ISNUMBER(H1399)),"SEM APONTAMENTO",IF(H1399&gt;=G1399,"VERDE",IF(H1399&gt;=G1399*0.9,"AMARELO","VERMELHO")))))</f>
        <v/>
      </c>
      <c r="M1399" s="162" t="n"/>
      <c r="N1399" s="162" t="n"/>
      <c r="O1399" s="162" t="n"/>
      <c r="P1399" s="162" t="n"/>
      <c r="Q1399" s="320" t="n"/>
      <c r="R1399" s="162" t="inlineStr">
        <is>
          <t>CONTROLE PRODUÇÃO POR EMPRESAS!G238</t>
        </is>
      </c>
    </row>
    <row r="1400" ht="28.5" customHeight="1">
      <c r="A1400" s="317" t="n">
        <v>46456</v>
      </c>
      <c r="B1400" t="inlineStr">
        <is>
          <t>GERAL</t>
        </is>
      </c>
      <c r="C1400" t="inlineStr">
        <is>
          <t>EJ</t>
        </is>
      </c>
      <c r="D1400" t="inlineStr">
        <is>
          <t>PREMONTAGEM</t>
        </is>
      </c>
      <c r="F1400" s="159">
        <f>IFERROR(INDEX('BASE METAS DIÁRIAS'!$N$2:$S$358,MATCH($A1400,'BASE METAS DIÁRIAS'!$A$2:$A$358,0),MOD(ROW()-2,6)+1),"")</f>
        <v/>
      </c>
      <c r="G1400" s="159">
        <f>IFERROR(IF(WEEKDAY($A1400,2)&lt;=INDEX('BASE METAS DIÁRIAS'!$H$2:$M$358,MATCH($A1400,'BASE METAS DIÁRIAS'!$A$2:$A$358,0),MOD(ROW()-2,6)+1),INDEX('BASE METAS DIÁRIAS'!$B$2:$G$358,MATCH($A1400,'BASE METAS DIÁRIAS'!$A$2:$A$358,0),MOD(ROW()-2,6)+1),""),"")</f>
        <v/>
      </c>
      <c r="H1400" s="159">
        <f>IFERROR(IF(INDEX('CONTROLE PRODUÇÃO POR EMPRESAS'!$B$6:$G$5000,MATCH($A1400,'CONTROLE PRODUÇÃO POR EMPRESAS'!$A$6:$A$5000,0),MOD(ROW()-2,6)+1)="","",IFERROR(1*INDEX('CONTROLE PRODUÇÃO POR EMPRESAS'!$B$6:$G$5000,MATCH($A1400,'CONTROLE PRODUÇÃO POR EMPRESAS'!$A$6:$A$5000,0),MOD(ROW()-2,6)+1),"")),"")</f>
        <v/>
      </c>
      <c r="I1400" s="159">
        <f>IF(OR(NOT(ISNUMBER(G1400)),NOT(ISNUMBER(H1400))),"",H1400-G1400)</f>
        <v/>
      </c>
      <c r="J1400" s="319">
        <f>IF(OR(NOT(ISNUMBER(G1400)),NOT(ISNUMBER(H1400)),G1400=0),"",I1400/G1400)</f>
        <v/>
      </c>
      <c r="K1400" s="319">
        <f>IF(OR(NOT(ISNUMBER(G1400)),NOT(ISNUMBER(H1400)),G1400=0),"",H1400/G1400)</f>
        <v/>
      </c>
      <c r="L1400">
        <f>IF(NOT(ISNUMBER(G1400)),"SEM META",IF(G1400=0,"SEM META",IF(NOT(ISNUMBER(H1400)),"SEM APONTAMENTO",IF(H1400&gt;=G1400,"VERDE",IF(H1400&gt;=G1400*0.9,"AMARELO","VERMELHO")))))</f>
        <v/>
      </c>
      <c r="M1400" s="162" t="n"/>
      <c r="N1400" s="162" t="n"/>
      <c r="O1400" s="162" t="n"/>
      <c r="P1400" s="162" t="n"/>
      <c r="Q1400" s="320" t="n"/>
      <c r="R1400" s="162" t="inlineStr">
        <is>
          <t>CONTROLE PRODUÇÃO POR EMPRESAS!B239</t>
        </is>
      </c>
    </row>
    <row r="1401" ht="28.5" customHeight="1">
      <c r="A1401" s="317" t="n">
        <v>46456</v>
      </c>
      <c r="B1401" t="inlineStr">
        <is>
          <t>GERAL</t>
        </is>
      </c>
      <c r="C1401" t="inlineStr">
        <is>
          <t>EJ</t>
        </is>
      </c>
      <c r="D1401" t="inlineStr">
        <is>
          <t>IÇAMENTO JOIST</t>
        </is>
      </c>
      <c r="F1401" s="159">
        <f>IFERROR(INDEX('BASE METAS DIÁRIAS'!$N$2:$S$358,MATCH($A1401,'BASE METAS DIÁRIAS'!$A$2:$A$358,0),MOD(ROW()-2,6)+1),"")</f>
        <v/>
      </c>
      <c r="G1401" s="159">
        <f>IFERROR(IF(WEEKDAY($A1401,2)&lt;=INDEX('BASE METAS DIÁRIAS'!$H$2:$M$358,MATCH($A1401,'BASE METAS DIÁRIAS'!$A$2:$A$358,0),MOD(ROW()-2,6)+1),INDEX('BASE METAS DIÁRIAS'!$B$2:$G$358,MATCH($A1401,'BASE METAS DIÁRIAS'!$A$2:$A$358,0),MOD(ROW()-2,6)+1),""),"")</f>
        <v/>
      </c>
      <c r="H1401" s="159">
        <f>IFERROR(IF(INDEX('CONTROLE PRODUÇÃO POR EMPRESAS'!$B$6:$G$5000,MATCH($A1401,'CONTROLE PRODUÇÃO POR EMPRESAS'!$A$6:$A$5000,0),MOD(ROW()-2,6)+1)="","",IFERROR(1*INDEX('CONTROLE PRODUÇÃO POR EMPRESAS'!$B$6:$G$5000,MATCH($A1401,'CONTROLE PRODUÇÃO POR EMPRESAS'!$A$6:$A$5000,0),MOD(ROW()-2,6)+1),"")),"")</f>
        <v/>
      </c>
      <c r="I1401" s="159">
        <f>IF(OR(NOT(ISNUMBER(G1401)),NOT(ISNUMBER(H1401))),"",H1401-G1401)</f>
        <v/>
      </c>
      <c r="J1401" s="319">
        <f>IF(OR(NOT(ISNUMBER(G1401)),NOT(ISNUMBER(H1401)),G1401=0),"",I1401/G1401)</f>
        <v/>
      </c>
      <c r="K1401" s="319">
        <f>IF(OR(NOT(ISNUMBER(G1401)),NOT(ISNUMBER(H1401)),G1401=0),"",H1401/G1401)</f>
        <v/>
      </c>
      <c r="L1401">
        <f>IF(NOT(ISNUMBER(G1401)),"SEM META",IF(G1401=0,"SEM META",IF(NOT(ISNUMBER(H1401)),"SEM APONTAMENTO",IF(H1401&gt;=G1401,"VERDE",IF(H1401&gt;=G1401*0.9,"AMARELO","VERMELHO")))))</f>
        <v/>
      </c>
      <c r="M1401" s="162" t="n"/>
      <c r="N1401" s="162" t="n"/>
      <c r="O1401" s="162" t="n"/>
      <c r="P1401" s="162" t="n"/>
      <c r="Q1401" s="320" t="n"/>
      <c r="R1401" s="162" t="inlineStr">
        <is>
          <t>CONTROLE PRODUÇÃO POR EMPRESAS!C239</t>
        </is>
      </c>
    </row>
    <row r="1402" ht="28.5" customHeight="1">
      <c r="A1402" s="317" t="n">
        <v>46456</v>
      </c>
      <c r="B1402" t="inlineStr">
        <is>
          <t>GERAL</t>
        </is>
      </c>
      <c r="C1402" t="inlineStr">
        <is>
          <t>EJ</t>
        </is>
      </c>
      <c r="D1402" t="inlineStr">
        <is>
          <t>VIGAS</t>
        </is>
      </c>
      <c r="F1402" s="159">
        <f>IFERROR(INDEX('BASE METAS DIÁRIAS'!$N$2:$S$358,MATCH($A1402,'BASE METAS DIÁRIAS'!$A$2:$A$358,0),MOD(ROW()-2,6)+1),"")</f>
        <v/>
      </c>
      <c r="G1402" s="159">
        <f>IFERROR(IF(WEEKDAY($A1402,2)&lt;=INDEX('BASE METAS DIÁRIAS'!$H$2:$M$358,MATCH($A1402,'BASE METAS DIÁRIAS'!$A$2:$A$358,0),MOD(ROW()-2,6)+1),INDEX('BASE METAS DIÁRIAS'!$B$2:$G$358,MATCH($A1402,'BASE METAS DIÁRIAS'!$A$2:$A$358,0),MOD(ROW()-2,6)+1),""),"")</f>
        <v/>
      </c>
      <c r="H1402" s="159">
        <f>IFERROR(IF(INDEX('CONTROLE PRODUÇÃO POR EMPRESAS'!$B$6:$G$5000,MATCH($A1402,'CONTROLE PRODUÇÃO POR EMPRESAS'!$A$6:$A$5000,0),MOD(ROW()-2,6)+1)="","",IFERROR(1*INDEX('CONTROLE PRODUÇÃO POR EMPRESAS'!$B$6:$G$5000,MATCH($A1402,'CONTROLE PRODUÇÃO POR EMPRESAS'!$A$6:$A$5000,0),MOD(ROW()-2,6)+1),"")),"")</f>
        <v/>
      </c>
      <c r="I1402" s="159">
        <f>IF(OR(NOT(ISNUMBER(G1402)),NOT(ISNUMBER(H1402))),"",H1402-G1402)</f>
        <v/>
      </c>
      <c r="J1402" s="319">
        <f>IF(OR(NOT(ISNUMBER(G1402)),NOT(ISNUMBER(H1402)),G1402=0),"",I1402/G1402)</f>
        <v/>
      </c>
      <c r="K1402" s="319">
        <f>IF(OR(NOT(ISNUMBER(G1402)),NOT(ISNUMBER(H1402)),G1402=0),"",H1402/G1402)</f>
        <v/>
      </c>
      <c r="L1402">
        <f>IF(NOT(ISNUMBER(G1402)),"SEM META",IF(G1402=0,"SEM META",IF(NOT(ISNUMBER(H1402)),"SEM APONTAMENTO",IF(H1402&gt;=G1402,"VERDE",IF(H1402&gt;=G1402*0.9,"AMARELO","VERMELHO")))))</f>
        <v/>
      </c>
      <c r="M1402" s="162" t="n"/>
      <c r="N1402" s="162" t="n"/>
      <c r="O1402" s="162" t="n"/>
      <c r="P1402" s="162" t="n"/>
      <c r="Q1402" s="320" t="n"/>
      <c r="R1402" s="162" t="inlineStr">
        <is>
          <t>CONTROLE PRODUÇÃO POR EMPRESAS!D239</t>
        </is>
      </c>
    </row>
    <row r="1403" ht="28.5" customHeight="1">
      <c r="A1403" s="317" t="n">
        <v>46456</v>
      </c>
      <c r="B1403" t="inlineStr">
        <is>
          <t>GERAL</t>
        </is>
      </c>
      <c r="C1403" t="inlineStr">
        <is>
          <t>CMM</t>
        </is>
      </c>
      <c r="D1403" t="inlineStr">
        <is>
          <t>PREMONTAGEM</t>
        </is>
      </c>
      <c r="F1403" s="159">
        <f>IFERROR(INDEX('BASE METAS DIÁRIAS'!$N$2:$S$358,MATCH($A1403,'BASE METAS DIÁRIAS'!$A$2:$A$358,0),MOD(ROW()-2,6)+1),"")</f>
        <v/>
      </c>
      <c r="G1403" s="159">
        <f>IFERROR(IF(WEEKDAY($A1403,2)&lt;=INDEX('BASE METAS DIÁRIAS'!$H$2:$M$358,MATCH($A1403,'BASE METAS DIÁRIAS'!$A$2:$A$358,0),MOD(ROW()-2,6)+1),INDEX('BASE METAS DIÁRIAS'!$B$2:$G$358,MATCH($A1403,'BASE METAS DIÁRIAS'!$A$2:$A$358,0),MOD(ROW()-2,6)+1),""),"")</f>
        <v/>
      </c>
      <c r="H1403" s="159">
        <f>IFERROR(IF(INDEX('CONTROLE PRODUÇÃO POR EMPRESAS'!$B$6:$G$5000,MATCH($A1403,'CONTROLE PRODUÇÃO POR EMPRESAS'!$A$6:$A$5000,0),MOD(ROW()-2,6)+1)="","",IFERROR(1*INDEX('CONTROLE PRODUÇÃO POR EMPRESAS'!$B$6:$G$5000,MATCH($A1403,'CONTROLE PRODUÇÃO POR EMPRESAS'!$A$6:$A$5000,0),MOD(ROW()-2,6)+1),"")),"")</f>
        <v/>
      </c>
      <c r="I1403" s="159">
        <f>IF(OR(NOT(ISNUMBER(G1403)),NOT(ISNUMBER(H1403))),"",H1403-G1403)</f>
        <v/>
      </c>
      <c r="J1403" s="319">
        <f>IF(OR(NOT(ISNUMBER(G1403)),NOT(ISNUMBER(H1403)),G1403=0),"",I1403/G1403)</f>
        <v/>
      </c>
      <c r="K1403" s="319">
        <f>IF(OR(NOT(ISNUMBER(G1403)),NOT(ISNUMBER(H1403)),G1403=0),"",H1403/G1403)</f>
        <v/>
      </c>
      <c r="L1403">
        <f>IF(NOT(ISNUMBER(G1403)),"SEM META",IF(G1403=0,"SEM META",IF(NOT(ISNUMBER(H1403)),"SEM APONTAMENTO",IF(H1403&gt;=G1403,"VERDE",IF(H1403&gt;=G1403*0.9,"AMARELO","VERMELHO")))))</f>
        <v/>
      </c>
      <c r="M1403" s="162" t="n"/>
      <c r="N1403" s="162" t="n"/>
      <c r="O1403" s="162" t="n"/>
      <c r="P1403" s="162" t="n"/>
      <c r="Q1403" s="320" t="n"/>
      <c r="R1403" s="162" t="inlineStr">
        <is>
          <t>CONTROLE PRODUÇÃO POR EMPRESAS!E239</t>
        </is>
      </c>
    </row>
    <row r="1404" ht="28.5" customHeight="1">
      <c r="A1404" s="317" t="n">
        <v>46456</v>
      </c>
      <c r="B1404" t="inlineStr">
        <is>
          <t>GERAL</t>
        </is>
      </c>
      <c r="C1404" t="inlineStr">
        <is>
          <t>CMM</t>
        </is>
      </c>
      <c r="D1404" t="inlineStr">
        <is>
          <t>IÇAMENTO JOIST</t>
        </is>
      </c>
      <c r="F1404" s="159">
        <f>IFERROR(INDEX('BASE METAS DIÁRIAS'!$N$2:$S$358,MATCH($A1404,'BASE METAS DIÁRIAS'!$A$2:$A$358,0),MOD(ROW()-2,6)+1),"")</f>
        <v/>
      </c>
      <c r="G1404" s="159">
        <f>IFERROR(IF(WEEKDAY($A1404,2)&lt;=INDEX('BASE METAS DIÁRIAS'!$H$2:$M$358,MATCH($A1404,'BASE METAS DIÁRIAS'!$A$2:$A$358,0),MOD(ROW()-2,6)+1),INDEX('BASE METAS DIÁRIAS'!$B$2:$G$358,MATCH($A1404,'BASE METAS DIÁRIAS'!$A$2:$A$358,0),MOD(ROW()-2,6)+1),""),"")</f>
        <v/>
      </c>
      <c r="H1404" s="159">
        <f>IFERROR(IF(INDEX('CONTROLE PRODUÇÃO POR EMPRESAS'!$B$6:$G$5000,MATCH($A1404,'CONTROLE PRODUÇÃO POR EMPRESAS'!$A$6:$A$5000,0),MOD(ROW()-2,6)+1)="","",IFERROR(1*INDEX('CONTROLE PRODUÇÃO POR EMPRESAS'!$B$6:$G$5000,MATCH($A1404,'CONTROLE PRODUÇÃO POR EMPRESAS'!$A$6:$A$5000,0),MOD(ROW()-2,6)+1),"")),"")</f>
        <v/>
      </c>
      <c r="I1404" s="159">
        <f>IF(OR(NOT(ISNUMBER(G1404)),NOT(ISNUMBER(H1404))),"",H1404-G1404)</f>
        <v/>
      </c>
      <c r="J1404" s="319">
        <f>IF(OR(NOT(ISNUMBER(G1404)),NOT(ISNUMBER(H1404)),G1404=0),"",I1404/G1404)</f>
        <v/>
      </c>
      <c r="K1404" s="319">
        <f>IF(OR(NOT(ISNUMBER(G1404)),NOT(ISNUMBER(H1404)),G1404=0),"",H1404/G1404)</f>
        <v/>
      </c>
      <c r="L1404">
        <f>IF(NOT(ISNUMBER(G1404)),"SEM META",IF(G1404=0,"SEM META",IF(NOT(ISNUMBER(H1404)),"SEM APONTAMENTO",IF(H1404&gt;=G1404,"VERDE",IF(H1404&gt;=G1404*0.9,"AMARELO","VERMELHO")))))</f>
        <v/>
      </c>
      <c r="M1404" s="162" t="n"/>
      <c r="N1404" s="162" t="n"/>
      <c r="O1404" s="162" t="n"/>
      <c r="P1404" s="162" t="n"/>
      <c r="Q1404" s="320" t="n"/>
      <c r="R1404" s="162" t="inlineStr">
        <is>
          <t>CONTROLE PRODUÇÃO POR EMPRESAS!F239</t>
        </is>
      </c>
    </row>
    <row r="1405" ht="28.5" customHeight="1">
      <c r="A1405" s="317" t="n">
        <v>46456</v>
      </c>
      <c r="B1405" t="inlineStr">
        <is>
          <t>GERAL</t>
        </is>
      </c>
      <c r="C1405" t="inlineStr">
        <is>
          <t>CMM</t>
        </is>
      </c>
      <c r="D1405" t="inlineStr">
        <is>
          <t>VIGAS</t>
        </is>
      </c>
      <c r="F1405" s="159">
        <f>IFERROR(INDEX('BASE METAS DIÁRIAS'!$N$2:$S$358,MATCH($A1405,'BASE METAS DIÁRIAS'!$A$2:$A$358,0),MOD(ROW()-2,6)+1),"")</f>
        <v/>
      </c>
      <c r="G1405" s="159">
        <f>IFERROR(IF(WEEKDAY($A1405,2)&lt;=INDEX('BASE METAS DIÁRIAS'!$H$2:$M$358,MATCH($A1405,'BASE METAS DIÁRIAS'!$A$2:$A$358,0),MOD(ROW()-2,6)+1),INDEX('BASE METAS DIÁRIAS'!$B$2:$G$358,MATCH($A1405,'BASE METAS DIÁRIAS'!$A$2:$A$358,0),MOD(ROW()-2,6)+1),""),"")</f>
        <v/>
      </c>
      <c r="H1405" s="159">
        <f>IFERROR(IF(INDEX('CONTROLE PRODUÇÃO POR EMPRESAS'!$B$6:$G$5000,MATCH($A1405,'CONTROLE PRODUÇÃO POR EMPRESAS'!$A$6:$A$5000,0),MOD(ROW()-2,6)+1)="","",IFERROR(1*INDEX('CONTROLE PRODUÇÃO POR EMPRESAS'!$B$6:$G$5000,MATCH($A1405,'CONTROLE PRODUÇÃO POR EMPRESAS'!$A$6:$A$5000,0),MOD(ROW()-2,6)+1),"")),"")</f>
        <v/>
      </c>
      <c r="I1405" s="159">
        <f>IF(OR(NOT(ISNUMBER(G1405)),NOT(ISNUMBER(H1405))),"",H1405-G1405)</f>
        <v/>
      </c>
      <c r="J1405" s="319">
        <f>IF(OR(NOT(ISNUMBER(G1405)),NOT(ISNUMBER(H1405)),G1405=0),"",I1405/G1405)</f>
        <v/>
      </c>
      <c r="K1405" s="319">
        <f>IF(OR(NOT(ISNUMBER(G1405)),NOT(ISNUMBER(H1405)),G1405=0),"",H1405/G1405)</f>
        <v/>
      </c>
      <c r="L1405">
        <f>IF(NOT(ISNUMBER(G1405)),"SEM META",IF(G1405=0,"SEM META",IF(NOT(ISNUMBER(H1405)),"SEM APONTAMENTO",IF(H1405&gt;=G1405,"VERDE",IF(H1405&gt;=G1405*0.9,"AMARELO","VERMELHO")))))</f>
        <v/>
      </c>
      <c r="M1405" s="162" t="n"/>
      <c r="N1405" s="162" t="n"/>
      <c r="O1405" s="162" t="n"/>
      <c r="P1405" s="162" t="n"/>
      <c r="Q1405" s="320" t="n"/>
      <c r="R1405" s="162" t="inlineStr">
        <is>
          <t>CONTROLE PRODUÇÃO POR EMPRESAS!G239</t>
        </is>
      </c>
    </row>
    <row r="1406" ht="28.5" customHeight="1">
      <c r="A1406" s="317" t="n">
        <v>46457</v>
      </c>
      <c r="B1406" t="inlineStr">
        <is>
          <t>GERAL</t>
        </is>
      </c>
      <c r="C1406" t="inlineStr">
        <is>
          <t>EJ</t>
        </is>
      </c>
      <c r="D1406" t="inlineStr">
        <is>
          <t>PREMONTAGEM</t>
        </is>
      </c>
      <c r="F1406" s="159">
        <f>IFERROR(INDEX('BASE METAS DIÁRIAS'!$N$2:$S$358,MATCH($A1406,'BASE METAS DIÁRIAS'!$A$2:$A$358,0),MOD(ROW()-2,6)+1),"")</f>
        <v/>
      </c>
      <c r="G1406" s="159">
        <f>IFERROR(IF(WEEKDAY($A1406,2)&lt;=INDEX('BASE METAS DIÁRIAS'!$H$2:$M$358,MATCH($A1406,'BASE METAS DIÁRIAS'!$A$2:$A$358,0),MOD(ROW()-2,6)+1),INDEX('BASE METAS DIÁRIAS'!$B$2:$G$358,MATCH($A1406,'BASE METAS DIÁRIAS'!$A$2:$A$358,0),MOD(ROW()-2,6)+1),""),"")</f>
        <v/>
      </c>
      <c r="H1406" s="159">
        <f>IFERROR(IF(INDEX('CONTROLE PRODUÇÃO POR EMPRESAS'!$B$6:$G$5000,MATCH($A1406,'CONTROLE PRODUÇÃO POR EMPRESAS'!$A$6:$A$5000,0),MOD(ROW()-2,6)+1)="","",IFERROR(1*INDEX('CONTROLE PRODUÇÃO POR EMPRESAS'!$B$6:$G$5000,MATCH($A1406,'CONTROLE PRODUÇÃO POR EMPRESAS'!$A$6:$A$5000,0),MOD(ROW()-2,6)+1),"")),"")</f>
        <v/>
      </c>
      <c r="I1406" s="159">
        <f>IF(OR(NOT(ISNUMBER(G1406)),NOT(ISNUMBER(H1406))),"",H1406-G1406)</f>
        <v/>
      </c>
      <c r="J1406" s="319">
        <f>IF(OR(NOT(ISNUMBER(G1406)),NOT(ISNUMBER(H1406)),G1406=0),"",I1406/G1406)</f>
        <v/>
      </c>
      <c r="K1406" s="319">
        <f>IF(OR(NOT(ISNUMBER(G1406)),NOT(ISNUMBER(H1406)),G1406=0),"",H1406/G1406)</f>
        <v/>
      </c>
      <c r="L1406">
        <f>IF(NOT(ISNUMBER(G1406)),"SEM META",IF(G1406=0,"SEM META",IF(NOT(ISNUMBER(H1406)),"SEM APONTAMENTO",IF(H1406&gt;=G1406,"VERDE",IF(H1406&gt;=G1406*0.9,"AMARELO","VERMELHO")))))</f>
        <v/>
      </c>
      <c r="M1406" s="162" t="n"/>
      <c r="N1406" s="162" t="n"/>
      <c r="O1406" s="162" t="n"/>
      <c r="P1406" s="162" t="n"/>
      <c r="Q1406" s="320" t="n"/>
      <c r="R1406" s="162" t="inlineStr">
        <is>
          <t>CONTROLE PRODUÇÃO POR EMPRESAS!B240</t>
        </is>
      </c>
    </row>
    <row r="1407" ht="28.5" customHeight="1">
      <c r="A1407" s="317" t="n">
        <v>46457</v>
      </c>
      <c r="B1407" t="inlineStr">
        <is>
          <t>GERAL</t>
        </is>
      </c>
      <c r="C1407" t="inlineStr">
        <is>
          <t>EJ</t>
        </is>
      </c>
      <c r="D1407" t="inlineStr">
        <is>
          <t>IÇAMENTO JOIST</t>
        </is>
      </c>
      <c r="F1407" s="159">
        <f>IFERROR(INDEX('BASE METAS DIÁRIAS'!$N$2:$S$358,MATCH($A1407,'BASE METAS DIÁRIAS'!$A$2:$A$358,0),MOD(ROW()-2,6)+1),"")</f>
        <v/>
      </c>
      <c r="G1407" s="159">
        <f>IFERROR(IF(WEEKDAY($A1407,2)&lt;=INDEX('BASE METAS DIÁRIAS'!$H$2:$M$358,MATCH($A1407,'BASE METAS DIÁRIAS'!$A$2:$A$358,0),MOD(ROW()-2,6)+1),INDEX('BASE METAS DIÁRIAS'!$B$2:$G$358,MATCH($A1407,'BASE METAS DIÁRIAS'!$A$2:$A$358,0),MOD(ROW()-2,6)+1),""),"")</f>
        <v/>
      </c>
      <c r="H1407" s="159">
        <f>IFERROR(IF(INDEX('CONTROLE PRODUÇÃO POR EMPRESAS'!$B$6:$G$5000,MATCH($A1407,'CONTROLE PRODUÇÃO POR EMPRESAS'!$A$6:$A$5000,0),MOD(ROW()-2,6)+1)="","",IFERROR(1*INDEX('CONTROLE PRODUÇÃO POR EMPRESAS'!$B$6:$G$5000,MATCH($A1407,'CONTROLE PRODUÇÃO POR EMPRESAS'!$A$6:$A$5000,0),MOD(ROW()-2,6)+1),"")),"")</f>
        <v/>
      </c>
      <c r="I1407" s="159">
        <f>IF(OR(NOT(ISNUMBER(G1407)),NOT(ISNUMBER(H1407))),"",H1407-G1407)</f>
        <v/>
      </c>
      <c r="J1407" s="319">
        <f>IF(OR(NOT(ISNUMBER(G1407)),NOT(ISNUMBER(H1407)),G1407=0),"",I1407/G1407)</f>
        <v/>
      </c>
      <c r="K1407" s="319">
        <f>IF(OR(NOT(ISNUMBER(G1407)),NOT(ISNUMBER(H1407)),G1407=0),"",H1407/G1407)</f>
        <v/>
      </c>
      <c r="L1407">
        <f>IF(NOT(ISNUMBER(G1407)),"SEM META",IF(G1407=0,"SEM META",IF(NOT(ISNUMBER(H1407)),"SEM APONTAMENTO",IF(H1407&gt;=G1407,"VERDE",IF(H1407&gt;=G1407*0.9,"AMARELO","VERMELHO")))))</f>
        <v/>
      </c>
      <c r="M1407" s="162" t="n"/>
      <c r="N1407" s="162" t="n"/>
      <c r="O1407" s="162" t="n"/>
      <c r="P1407" s="162" t="n"/>
      <c r="Q1407" s="320" t="n"/>
      <c r="R1407" s="162" t="inlineStr">
        <is>
          <t>CONTROLE PRODUÇÃO POR EMPRESAS!C240</t>
        </is>
      </c>
    </row>
    <row r="1408" ht="28.5" customHeight="1">
      <c r="A1408" s="317" t="n">
        <v>46457</v>
      </c>
      <c r="B1408" t="inlineStr">
        <is>
          <t>GERAL</t>
        </is>
      </c>
      <c r="C1408" t="inlineStr">
        <is>
          <t>EJ</t>
        </is>
      </c>
      <c r="D1408" t="inlineStr">
        <is>
          <t>VIGAS</t>
        </is>
      </c>
      <c r="F1408" s="159">
        <f>IFERROR(INDEX('BASE METAS DIÁRIAS'!$N$2:$S$358,MATCH($A1408,'BASE METAS DIÁRIAS'!$A$2:$A$358,0),MOD(ROW()-2,6)+1),"")</f>
        <v/>
      </c>
      <c r="G1408" s="159">
        <f>IFERROR(IF(WEEKDAY($A1408,2)&lt;=INDEX('BASE METAS DIÁRIAS'!$H$2:$M$358,MATCH($A1408,'BASE METAS DIÁRIAS'!$A$2:$A$358,0),MOD(ROW()-2,6)+1),INDEX('BASE METAS DIÁRIAS'!$B$2:$G$358,MATCH($A1408,'BASE METAS DIÁRIAS'!$A$2:$A$358,0),MOD(ROW()-2,6)+1),""),"")</f>
        <v/>
      </c>
      <c r="H1408" s="159">
        <f>IFERROR(IF(INDEX('CONTROLE PRODUÇÃO POR EMPRESAS'!$B$6:$G$5000,MATCH($A1408,'CONTROLE PRODUÇÃO POR EMPRESAS'!$A$6:$A$5000,0),MOD(ROW()-2,6)+1)="","",IFERROR(1*INDEX('CONTROLE PRODUÇÃO POR EMPRESAS'!$B$6:$G$5000,MATCH($A1408,'CONTROLE PRODUÇÃO POR EMPRESAS'!$A$6:$A$5000,0),MOD(ROW()-2,6)+1),"")),"")</f>
        <v/>
      </c>
      <c r="I1408" s="159">
        <f>IF(OR(NOT(ISNUMBER(G1408)),NOT(ISNUMBER(H1408))),"",H1408-G1408)</f>
        <v/>
      </c>
      <c r="J1408" s="319">
        <f>IF(OR(NOT(ISNUMBER(G1408)),NOT(ISNUMBER(H1408)),G1408=0),"",I1408/G1408)</f>
        <v/>
      </c>
      <c r="K1408" s="319">
        <f>IF(OR(NOT(ISNUMBER(G1408)),NOT(ISNUMBER(H1408)),G1408=0),"",H1408/G1408)</f>
        <v/>
      </c>
      <c r="L1408">
        <f>IF(NOT(ISNUMBER(G1408)),"SEM META",IF(G1408=0,"SEM META",IF(NOT(ISNUMBER(H1408)),"SEM APONTAMENTO",IF(H1408&gt;=G1408,"VERDE",IF(H1408&gt;=G1408*0.9,"AMARELO","VERMELHO")))))</f>
        <v/>
      </c>
      <c r="M1408" s="162" t="n"/>
      <c r="N1408" s="162" t="n"/>
      <c r="O1408" s="162" t="n"/>
      <c r="P1408" s="162" t="n"/>
      <c r="Q1408" s="320" t="n"/>
      <c r="R1408" s="162" t="inlineStr">
        <is>
          <t>CONTROLE PRODUÇÃO POR EMPRESAS!D240</t>
        </is>
      </c>
    </row>
    <row r="1409" ht="28.5" customHeight="1">
      <c r="A1409" s="317" t="n">
        <v>46457</v>
      </c>
      <c r="B1409" t="inlineStr">
        <is>
          <t>GERAL</t>
        </is>
      </c>
      <c r="C1409" t="inlineStr">
        <is>
          <t>CMM</t>
        </is>
      </c>
      <c r="D1409" t="inlineStr">
        <is>
          <t>PREMONTAGEM</t>
        </is>
      </c>
      <c r="F1409" s="159">
        <f>IFERROR(INDEX('BASE METAS DIÁRIAS'!$N$2:$S$358,MATCH($A1409,'BASE METAS DIÁRIAS'!$A$2:$A$358,0),MOD(ROW()-2,6)+1),"")</f>
        <v/>
      </c>
      <c r="G1409" s="159">
        <f>IFERROR(IF(WEEKDAY($A1409,2)&lt;=INDEX('BASE METAS DIÁRIAS'!$H$2:$M$358,MATCH($A1409,'BASE METAS DIÁRIAS'!$A$2:$A$358,0),MOD(ROW()-2,6)+1),INDEX('BASE METAS DIÁRIAS'!$B$2:$G$358,MATCH($A1409,'BASE METAS DIÁRIAS'!$A$2:$A$358,0),MOD(ROW()-2,6)+1),""),"")</f>
        <v/>
      </c>
      <c r="H1409" s="159">
        <f>IFERROR(IF(INDEX('CONTROLE PRODUÇÃO POR EMPRESAS'!$B$6:$G$5000,MATCH($A1409,'CONTROLE PRODUÇÃO POR EMPRESAS'!$A$6:$A$5000,0),MOD(ROW()-2,6)+1)="","",IFERROR(1*INDEX('CONTROLE PRODUÇÃO POR EMPRESAS'!$B$6:$G$5000,MATCH($A1409,'CONTROLE PRODUÇÃO POR EMPRESAS'!$A$6:$A$5000,0),MOD(ROW()-2,6)+1),"")),"")</f>
        <v/>
      </c>
      <c r="I1409" s="159">
        <f>IF(OR(NOT(ISNUMBER(G1409)),NOT(ISNUMBER(H1409))),"",H1409-G1409)</f>
        <v/>
      </c>
      <c r="J1409" s="319">
        <f>IF(OR(NOT(ISNUMBER(G1409)),NOT(ISNUMBER(H1409)),G1409=0),"",I1409/G1409)</f>
        <v/>
      </c>
      <c r="K1409" s="319">
        <f>IF(OR(NOT(ISNUMBER(G1409)),NOT(ISNUMBER(H1409)),G1409=0),"",H1409/G1409)</f>
        <v/>
      </c>
      <c r="L1409">
        <f>IF(NOT(ISNUMBER(G1409)),"SEM META",IF(G1409=0,"SEM META",IF(NOT(ISNUMBER(H1409)),"SEM APONTAMENTO",IF(H1409&gt;=G1409,"VERDE",IF(H1409&gt;=G1409*0.9,"AMARELO","VERMELHO")))))</f>
        <v/>
      </c>
      <c r="M1409" s="162" t="n"/>
      <c r="N1409" s="162" t="n"/>
      <c r="O1409" s="162" t="n"/>
      <c r="P1409" s="162" t="n"/>
      <c r="Q1409" s="320" t="n"/>
      <c r="R1409" s="162" t="inlineStr">
        <is>
          <t>CONTROLE PRODUÇÃO POR EMPRESAS!E240</t>
        </is>
      </c>
    </row>
    <row r="1410" ht="28.5" customHeight="1">
      <c r="A1410" s="317" t="n">
        <v>46457</v>
      </c>
      <c r="B1410" t="inlineStr">
        <is>
          <t>GERAL</t>
        </is>
      </c>
      <c r="C1410" t="inlineStr">
        <is>
          <t>CMM</t>
        </is>
      </c>
      <c r="D1410" t="inlineStr">
        <is>
          <t>IÇAMENTO JOIST</t>
        </is>
      </c>
      <c r="F1410" s="159">
        <f>IFERROR(INDEX('BASE METAS DIÁRIAS'!$N$2:$S$358,MATCH($A1410,'BASE METAS DIÁRIAS'!$A$2:$A$358,0),MOD(ROW()-2,6)+1),"")</f>
        <v/>
      </c>
      <c r="G1410" s="159">
        <f>IFERROR(IF(WEEKDAY($A1410,2)&lt;=INDEX('BASE METAS DIÁRIAS'!$H$2:$M$358,MATCH($A1410,'BASE METAS DIÁRIAS'!$A$2:$A$358,0),MOD(ROW()-2,6)+1),INDEX('BASE METAS DIÁRIAS'!$B$2:$G$358,MATCH($A1410,'BASE METAS DIÁRIAS'!$A$2:$A$358,0),MOD(ROW()-2,6)+1),""),"")</f>
        <v/>
      </c>
      <c r="H1410" s="159">
        <f>IFERROR(IF(INDEX('CONTROLE PRODUÇÃO POR EMPRESAS'!$B$6:$G$5000,MATCH($A1410,'CONTROLE PRODUÇÃO POR EMPRESAS'!$A$6:$A$5000,0),MOD(ROW()-2,6)+1)="","",IFERROR(1*INDEX('CONTROLE PRODUÇÃO POR EMPRESAS'!$B$6:$G$5000,MATCH($A1410,'CONTROLE PRODUÇÃO POR EMPRESAS'!$A$6:$A$5000,0),MOD(ROW()-2,6)+1),"")),"")</f>
        <v/>
      </c>
      <c r="I1410" s="159">
        <f>IF(OR(NOT(ISNUMBER(G1410)),NOT(ISNUMBER(H1410))),"",H1410-G1410)</f>
        <v/>
      </c>
      <c r="J1410" s="319">
        <f>IF(OR(NOT(ISNUMBER(G1410)),NOT(ISNUMBER(H1410)),G1410=0),"",I1410/G1410)</f>
        <v/>
      </c>
      <c r="K1410" s="319">
        <f>IF(OR(NOT(ISNUMBER(G1410)),NOT(ISNUMBER(H1410)),G1410=0),"",H1410/G1410)</f>
        <v/>
      </c>
      <c r="L1410">
        <f>IF(NOT(ISNUMBER(G1410)),"SEM META",IF(G1410=0,"SEM META",IF(NOT(ISNUMBER(H1410)),"SEM APONTAMENTO",IF(H1410&gt;=G1410,"VERDE",IF(H1410&gt;=G1410*0.9,"AMARELO","VERMELHO")))))</f>
        <v/>
      </c>
      <c r="M1410" s="162" t="n"/>
      <c r="N1410" s="162" t="n"/>
      <c r="O1410" s="162" t="n"/>
      <c r="P1410" s="162" t="n"/>
      <c r="Q1410" s="320" t="n"/>
      <c r="R1410" s="162" t="inlineStr">
        <is>
          <t>CONTROLE PRODUÇÃO POR EMPRESAS!F240</t>
        </is>
      </c>
    </row>
    <row r="1411" ht="28.5" customHeight="1">
      <c r="A1411" s="317" t="n">
        <v>46457</v>
      </c>
      <c r="B1411" t="inlineStr">
        <is>
          <t>GERAL</t>
        </is>
      </c>
      <c r="C1411" t="inlineStr">
        <is>
          <t>CMM</t>
        </is>
      </c>
      <c r="D1411" t="inlineStr">
        <is>
          <t>VIGAS</t>
        </is>
      </c>
      <c r="F1411" s="159">
        <f>IFERROR(INDEX('BASE METAS DIÁRIAS'!$N$2:$S$358,MATCH($A1411,'BASE METAS DIÁRIAS'!$A$2:$A$358,0),MOD(ROW()-2,6)+1),"")</f>
        <v/>
      </c>
      <c r="G1411" s="159">
        <f>IFERROR(IF(WEEKDAY($A1411,2)&lt;=INDEX('BASE METAS DIÁRIAS'!$H$2:$M$358,MATCH($A1411,'BASE METAS DIÁRIAS'!$A$2:$A$358,0),MOD(ROW()-2,6)+1),INDEX('BASE METAS DIÁRIAS'!$B$2:$G$358,MATCH($A1411,'BASE METAS DIÁRIAS'!$A$2:$A$358,0),MOD(ROW()-2,6)+1),""),"")</f>
        <v/>
      </c>
      <c r="H1411" s="159">
        <f>IFERROR(IF(INDEX('CONTROLE PRODUÇÃO POR EMPRESAS'!$B$6:$G$5000,MATCH($A1411,'CONTROLE PRODUÇÃO POR EMPRESAS'!$A$6:$A$5000,0),MOD(ROW()-2,6)+1)="","",IFERROR(1*INDEX('CONTROLE PRODUÇÃO POR EMPRESAS'!$B$6:$G$5000,MATCH($A1411,'CONTROLE PRODUÇÃO POR EMPRESAS'!$A$6:$A$5000,0),MOD(ROW()-2,6)+1),"")),"")</f>
        <v/>
      </c>
      <c r="I1411" s="159">
        <f>IF(OR(NOT(ISNUMBER(G1411)),NOT(ISNUMBER(H1411))),"",H1411-G1411)</f>
        <v/>
      </c>
      <c r="J1411" s="319">
        <f>IF(OR(NOT(ISNUMBER(G1411)),NOT(ISNUMBER(H1411)),G1411=0),"",I1411/G1411)</f>
        <v/>
      </c>
      <c r="K1411" s="319">
        <f>IF(OR(NOT(ISNUMBER(G1411)),NOT(ISNUMBER(H1411)),G1411=0),"",H1411/G1411)</f>
        <v/>
      </c>
      <c r="L1411">
        <f>IF(NOT(ISNUMBER(G1411)),"SEM META",IF(G1411=0,"SEM META",IF(NOT(ISNUMBER(H1411)),"SEM APONTAMENTO",IF(H1411&gt;=G1411,"VERDE",IF(H1411&gt;=G1411*0.9,"AMARELO","VERMELHO")))))</f>
        <v/>
      </c>
      <c r="M1411" s="162" t="n"/>
      <c r="N1411" s="162" t="n"/>
      <c r="O1411" s="162" t="n"/>
      <c r="P1411" s="162" t="n"/>
      <c r="Q1411" s="320" t="n"/>
      <c r="R1411" s="162" t="inlineStr">
        <is>
          <t>CONTROLE PRODUÇÃO POR EMPRESAS!G240</t>
        </is>
      </c>
    </row>
    <row r="1412" ht="28.5" customHeight="1">
      <c r="A1412" s="317" t="n">
        <v>46458</v>
      </c>
      <c r="B1412" t="inlineStr">
        <is>
          <t>GERAL</t>
        </is>
      </c>
      <c r="C1412" t="inlineStr">
        <is>
          <t>EJ</t>
        </is>
      </c>
      <c r="D1412" t="inlineStr">
        <is>
          <t>PREMONTAGEM</t>
        </is>
      </c>
      <c r="F1412" s="159">
        <f>IFERROR(INDEX('BASE METAS DIÁRIAS'!$N$2:$S$358,MATCH($A1412,'BASE METAS DIÁRIAS'!$A$2:$A$358,0),MOD(ROW()-2,6)+1),"")</f>
        <v/>
      </c>
      <c r="G1412" s="159">
        <f>IFERROR(IF(WEEKDAY($A1412,2)&lt;=INDEX('BASE METAS DIÁRIAS'!$H$2:$M$358,MATCH($A1412,'BASE METAS DIÁRIAS'!$A$2:$A$358,0),MOD(ROW()-2,6)+1),INDEX('BASE METAS DIÁRIAS'!$B$2:$G$358,MATCH($A1412,'BASE METAS DIÁRIAS'!$A$2:$A$358,0),MOD(ROW()-2,6)+1),""),"")</f>
        <v/>
      </c>
      <c r="H1412" s="159">
        <f>IFERROR(IF(INDEX('CONTROLE PRODUÇÃO POR EMPRESAS'!$B$6:$G$5000,MATCH($A1412,'CONTROLE PRODUÇÃO POR EMPRESAS'!$A$6:$A$5000,0),MOD(ROW()-2,6)+1)="","",IFERROR(1*INDEX('CONTROLE PRODUÇÃO POR EMPRESAS'!$B$6:$G$5000,MATCH($A1412,'CONTROLE PRODUÇÃO POR EMPRESAS'!$A$6:$A$5000,0),MOD(ROW()-2,6)+1),"")),"")</f>
        <v/>
      </c>
      <c r="I1412" s="159">
        <f>IF(OR(NOT(ISNUMBER(G1412)),NOT(ISNUMBER(H1412))),"",H1412-G1412)</f>
        <v/>
      </c>
      <c r="J1412" s="319">
        <f>IF(OR(NOT(ISNUMBER(G1412)),NOT(ISNUMBER(H1412)),G1412=0),"",I1412/G1412)</f>
        <v/>
      </c>
      <c r="K1412" s="319">
        <f>IF(OR(NOT(ISNUMBER(G1412)),NOT(ISNUMBER(H1412)),G1412=0),"",H1412/G1412)</f>
        <v/>
      </c>
      <c r="L1412">
        <f>IF(NOT(ISNUMBER(G1412)),"SEM META",IF(G1412=0,"SEM META",IF(NOT(ISNUMBER(H1412)),"SEM APONTAMENTO",IF(H1412&gt;=G1412,"VERDE",IF(H1412&gt;=G1412*0.9,"AMARELO","VERMELHO")))))</f>
        <v/>
      </c>
      <c r="M1412" s="162" t="n"/>
      <c r="N1412" s="162" t="n"/>
      <c r="O1412" s="162" t="n"/>
      <c r="P1412" s="162" t="n"/>
      <c r="Q1412" s="320" t="n"/>
      <c r="R1412" s="162" t="inlineStr">
        <is>
          <t>CONTROLE PRODUÇÃO POR EMPRESAS!B241</t>
        </is>
      </c>
    </row>
    <row r="1413" ht="28.5" customHeight="1">
      <c r="A1413" s="317" t="n">
        <v>46458</v>
      </c>
      <c r="B1413" t="inlineStr">
        <is>
          <t>GERAL</t>
        </is>
      </c>
      <c r="C1413" t="inlineStr">
        <is>
          <t>EJ</t>
        </is>
      </c>
      <c r="D1413" t="inlineStr">
        <is>
          <t>IÇAMENTO JOIST</t>
        </is>
      </c>
      <c r="F1413" s="159">
        <f>IFERROR(INDEX('BASE METAS DIÁRIAS'!$N$2:$S$358,MATCH($A1413,'BASE METAS DIÁRIAS'!$A$2:$A$358,0),MOD(ROW()-2,6)+1),"")</f>
        <v/>
      </c>
      <c r="G1413" s="159">
        <f>IFERROR(IF(WEEKDAY($A1413,2)&lt;=INDEX('BASE METAS DIÁRIAS'!$H$2:$M$358,MATCH($A1413,'BASE METAS DIÁRIAS'!$A$2:$A$358,0),MOD(ROW()-2,6)+1),INDEX('BASE METAS DIÁRIAS'!$B$2:$G$358,MATCH($A1413,'BASE METAS DIÁRIAS'!$A$2:$A$358,0),MOD(ROW()-2,6)+1),""),"")</f>
        <v/>
      </c>
      <c r="H1413" s="159">
        <f>IFERROR(IF(INDEX('CONTROLE PRODUÇÃO POR EMPRESAS'!$B$6:$G$5000,MATCH($A1413,'CONTROLE PRODUÇÃO POR EMPRESAS'!$A$6:$A$5000,0),MOD(ROW()-2,6)+1)="","",IFERROR(1*INDEX('CONTROLE PRODUÇÃO POR EMPRESAS'!$B$6:$G$5000,MATCH($A1413,'CONTROLE PRODUÇÃO POR EMPRESAS'!$A$6:$A$5000,0),MOD(ROW()-2,6)+1),"")),"")</f>
        <v/>
      </c>
      <c r="I1413" s="159">
        <f>IF(OR(NOT(ISNUMBER(G1413)),NOT(ISNUMBER(H1413))),"",H1413-G1413)</f>
        <v/>
      </c>
      <c r="J1413" s="319">
        <f>IF(OR(NOT(ISNUMBER(G1413)),NOT(ISNUMBER(H1413)),G1413=0),"",I1413/G1413)</f>
        <v/>
      </c>
      <c r="K1413" s="319">
        <f>IF(OR(NOT(ISNUMBER(G1413)),NOT(ISNUMBER(H1413)),G1413=0),"",H1413/G1413)</f>
        <v/>
      </c>
      <c r="L1413">
        <f>IF(NOT(ISNUMBER(G1413)),"SEM META",IF(G1413=0,"SEM META",IF(NOT(ISNUMBER(H1413)),"SEM APONTAMENTO",IF(H1413&gt;=G1413,"VERDE",IF(H1413&gt;=G1413*0.9,"AMARELO","VERMELHO")))))</f>
        <v/>
      </c>
      <c r="M1413" s="162" t="n"/>
      <c r="N1413" s="162" t="n"/>
      <c r="O1413" s="162" t="n"/>
      <c r="P1413" s="162" t="n"/>
      <c r="Q1413" s="320" t="n"/>
      <c r="R1413" s="162" t="inlineStr">
        <is>
          <t>CONTROLE PRODUÇÃO POR EMPRESAS!C241</t>
        </is>
      </c>
    </row>
    <row r="1414" ht="28.5" customHeight="1">
      <c r="A1414" s="317" t="n">
        <v>46458</v>
      </c>
      <c r="B1414" t="inlineStr">
        <is>
          <t>GERAL</t>
        </is>
      </c>
      <c r="C1414" t="inlineStr">
        <is>
          <t>EJ</t>
        </is>
      </c>
      <c r="D1414" t="inlineStr">
        <is>
          <t>VIGAS</t>
        </is>
      </c>
      <c r="F1414" s="159">
        <f>IFERROR(INDEX('BASE METAS DIÁRIAS'!$N$2:$S$358,MATCH($A1414,'BASE METAS DIÁRIAS'!$A$2:$A$358,0),MOD(ROW()-2,6)+1),"")</f>
        <v/>
      </c>
      <c r="G1414" s="159">
        <f>IFERROR(IF(WEEKDAY($A1414,2)&lt;=INDEX('BASE METAS DIÁRIAS'!$H$2:$M$358,MATCH($A1414,'BASE METAS DIÁRIAS'!$A$2:$A$358,0),MOD(ROW()-2,6)+1),INDEX('BASE METAS DIÁRIAS'!$B$2:$G$358,MATCH($A1414,'BASE METAS DIÁRIAS'!$A$2:$A$358,0),MOD(ROW()-2,6)+1),""),"")</f>
        <v/>
      </c>
      <c r="H1414" s="159">
        <f>IFERROR(IF(INDEX('CONTROLE PRODUÇÃO POR EMPRESAS'!$B$6:$G$5000,MATCH($A1414,'CONTROLE PRODUÇÃO POR EMPRESAS'!$A$6:$A$5000,0),MOD(ROW()-2,6)+1)="","",IFERROR(1*INDEX('CONTROLE PRODUÇÃO POR EMPRESAS'!$B$6:$G$5000,MATCH($A1414,'CONTROLE PRODUÇÃO POR EMPRESAS'!$A$6:$A$5000,0),MOD(ROW()-2,6)+1),"")),"")</f>
        <v/>
      </c>
      <c r="I1414" s="159">
        <f>IF(OR(NOT(ISNUMBER(G1414)),NOT(ISNUMBER(H1414))),"",H1414-G1414)</f>
        <v/>
      </c>
      <c r="J1414" s="319">
        <f>IF(OR(NOT(ISNUMBER(G1414)),NOT(ISNUMBER(H1414)),G1414=0),"",I1414/G1414)</f>
        <v/>
      </c>
      <c r="K1414" s="319">
        <f>IF(OR(NOT(ISNUMBER(G1414)),NOT(ISNUMBER(H1414)),G1414=0),"",H1414/G1414)</f>
        <v/>
      </c>
      <c r="L1414">
        <f>IF(NOT(ISNUMBER(G1414)),"SEM META",IF(G1414=0,"SEM META",IF(NOT(ISNUMBER(H1414)),"SEM APONTAMENTO",IF(H1414&gt;=G1414,"VERDE",IF(H1414&gt;=G1414*0.9,"AMARELO","VERMELHO")))))</f>
        <v/>
      </c>
      <c r="M1414" s="162" t="n"/>
      <c r="N1414" s="162" t="n"/>
      <c r="O1414" s="162" t="n"/>
      <c r="P1414" s="162" t="n"/>
      <c r="Q1414" s="320" t="n"/>
      <c r="R1414" s="162" t="inlineStr">
        <is>
          <t>CONTROLE PRODUÇÃO POR EMPRESAS!D241</t>
        </is>
      </c>
    </row>
    <row r="1415" ht="28.5" customHeight="1">
      <c r="A1415" s="317" t="n">
        <v>46458</v>
      </c>
      <c r="B1415" t="inlineStr">
        <is>
          <t>GERAL</t>
        </is>
      </c>
      <c r="C1415" t="inlineStr">
        <is>
          <t>CMM</t>
        </is>
      </c>
      <c r="D1415" t="inlineStr">
        <is>
          <t>PREMONTAGEM</t>
        </is>
      </c>
      <c r="F1415" s="159">
        <f>IFERROR(INDEX('BASE METAS DIÁRIAS'!$N$2:$S$358,MATCH($A1415,'BASE METAS DIÁRIAS'!$A$2:$A$358,0),MOD(ROW()-2,6)+1),"")</f>
        <v/>
      </c>
      <c r="G1415" s="159">
        <f>IFERROR(IF(WEEKDAY($A1415,2)&lt;=INDEX('BASE METAS DIÁRIAS'!$H$2:$M$358,MATCH($A1415,'BASE METAS DIÁRIAS'!$A$2:$A$358,0),MOD(ROW()-2,6)+1),INDEX('BASE METAS DIÁRIAS'!$B$2:$G$358,MATCH($A1415,'BASE METAS DIÁRIAS'!$A$2:$A$358,0),MOD(ROW()-2,6)+1),""),"")</f>
        <v/>
      </c>
      <c r="H1415" s="159">
        <f>IFERROR(IF(INDEX('CONTROLE PRODUÇÃO POR EMPRESAS'!$B$6:$G$5000,MATCH($A1415,'CONTROLE PRODUÇÃO POR EMPRESAS'!$A$6:$A$5000,0),MOD(ROW()-2,6)+1)="","",IFERROR(1*INDEX('CONTROLE PRODUÇÃO POR EMPRESAS'!$B$6:$G$5000,MATCH($A1415,'CONTROLE PRODUÇÃO POR EMPRESAS'!$A$6:$A$5000,0),MOD(ROW()-2,6)+1),"")),"")</f>
        <v/>
      </c>
      <c r="I1415" s="159">
        <f>IF(OR(NOT(ISNUMBER(G1415)),NOT(ISNUMBER(H1415))),"",H1415-G1415)</f>
        <v/>
      </c>
      <c r="J1415" s="319">
        <f>IF(OR(NOT(ISNUMBER(G1415)),NOT(ISNUMBER(H1415)),G1415=0),"",I1415/G1415)</f>
        <v/>
      </c>
      <c r="K1415" s="319">
        <f>IF(OR(NOT(ISNUMBER(G1415)),NOT(ISNUMBER(H1415)),G1415=0),"",H1415/G1415)</f>
        <v/>
      </c>
      <c r="L1415">
        <f>IF(NOT(ISNUMBER(G1415)),"SEM META",IF(G1415=0,"SEM META",IF(NOT(ISNUMBER(H1415)),"SEM APONTAMENTO",IF(H1415&gt;=G1415,"VERDE",IF(H1415&gt;=G1415*0.9,"AMARELO","VERMELHO")))))</f>
        <v/>
      </c>
      <c r="M1415" s="162" t="n"/>
      <c r="N1415" s="162" t="n"/>
      <c r="O1415" s="162" t="n"/>
      <c r="P1415" s="162" t="n"/>
      <c r="Q1415" s="320" t="n"/>
      <c r="R1415" s="162" t="inlineStr">
        <is>
          <t>CONTROLE PRODUÇÃO POR EMPRESAS!E241</t>
        </is>
      </c>
    </row>
    <row r="1416" ht="28.5" customHeight="1">
      <c r="A1416" s="317" t="n">
        <v>46458</v>
      </c>
      <c r="B1416" t="inlineStr">
        <is>
          <t>GERAL</t>
        </is>
      </c>
      <c r="C1416" t="inlineStr">
        <is>
          <t>CMM</t>
        </is>
      </c>
      <c r="D1416" t="inlineStr">
        <is>
          <t>IÇAMENTO JOIST</t>
        </is>
      </c>
      <c r="F1416" s="159">
        <f>IFERROR(INDEX('BASE METAS DIÁRIAS'!$N$2:$S$358,MATCH($A1416,'BASE METAS DIÁRIAS'!$A$2:$A$358,0),MOD(ROW()-2,6)+1),"")</f>
        <v/>
      </c>
      <c r="G1416" s="159">
        <f>IFERROR(IF(WEEKDAY($A1416,2)&lt;=INDEX('BASE METAS DIÁRIAS'!$H$2:$M$358,MATCH($A1416,'BASE METAS DIÁRIAS'!$A$2:$A$358,0),MOD(ROW()-2,6)+1),INDEX('BASE METAS DIÁRIAS'!$B$2:$G$358,MATCH($A1416,'BASE METAS DIÁRIAS'!$A$2:$A$358,0),MOD(ROW()-2,6)+1),""),"")</f>
        <v/>
      </c>
      <c r="H1416" s="159">
        <f>IFERROR(IF(INDEX('CONTROLE PRODUÇÃO POR EMPRESAS'!$B$6:$G$5000,MATCH($A1416,'CONTROLE PRODUÇÃO POR EMPRESAS'!$A$6:$A$5000,0),MOD(ROW()-2,6)+1)="","",IFERROR(1*INDEX('CONTROLE PRODUÇÃO POR EMPRESAS'!$B$6:$G$5000,MATCH($A1416,'CONTROLE PRODUÇÃO POR EMPRESAS'!$A$6:$A$5000,0),MOD(ROW()-2,6)+1),"")),"")</f>
        <v/>
      </c>
      <c r="I1416" s="159">
        <f>IF(OR(NOT(ISNUMBER(G1416)),NOT(ISNUMBER(H1416))),"",H1416-G1416)</f>
        <v/>
      </c>
      <c r="J1416" s="319">
        <f>IF(OR(NOT(ISNUMBER(G1416)),NOT(ISNUMBER(H1416)),G1416=0),"",I1416/G1416)</f>
        <v/>
      </c>
      <c r="K1416" s="319">
        <f>IF(OR(NOT(ISNUMBER(G1416)),NOT(ISNUMBER(H1416)),G1416=0),"",H1416/G1416)</f>
        <v/>
      </c>
      <c r="L1416">
        <f>IF(NOT(ISNUMBER(G1416)),"SEM META",IF(G1416=0,"SEM META",IF(NOT(ISNUMBER(H1416)),"SEM APONTAMENTO",IF(H1416&gt;=G1416,"VERDE",IF(H1416&gt;=G1416*0.9,"AMARELO","VERMELHO")))))</f>
        <v/>
      </c>
      <c r="M1416" s="162" t="n"/>
      <c r="N1416" s="162" t="n"/>
      <c r="O1416" s="162" t="n"/>
      <c r="P1416" s="162" t="n"/>
      <c r="Q1416" s="320" t="n"/>
      <c r="R1416" s="162" t="inlineStr">
        <is>
          <t>CONTROLE PRODUÇÃO POR EMPRESAS!F241</t>
        </is>
      </c>
    </row>
    <row r="1417" ht="28.5" customHeight="1">
      <c r="A1417" s="317" t="n">
        <v>46458</v>
      </c>
      <c r="B1417" t="inlineStr">
        <is>
          <t>GERAL</t>
        </is>
      </c>
      <c r="C1417" t="inlineStr">
        <is>
          <t>CMM</t>
        </is>
      </c>
      <c r="D1417" t="inlineStr">
        <is>
          <t>VIGAS</t>
        </is>
      </c>
      <c r="F1417" s="159">
        <f>IFERROR(INDEX('BASE METAS DIÁRIAS'!$N$2:$S$358,MATCH($A1417,'BASE METAS DIÁRIAS'!$A$2:$A$358,0),MOD(ROW()-2,6)+1),"")</f>
        <v/>
      </c>
      <c r="G1417" s="159">
        <f>IFERROR(IF(WEEKDAY($A1417,2)&lt;=INDEX('BASE METAS DIÁRIAS'!$H$2:$M$358,MATCH($A1417,'BASE METAS DIÁRIAS'!$A$2:$A$358,0),MOD(ROW()-2,6)+1),INDEX('BASE METAS DIÁRIAS'!$B$2:$G$358,MATCH($A1417,'BASE METAS DIÁRIAS'!$A$2:$A$358,0),MOD(ROW()-2,6)+1),""),"")</f>
        <v/>
      </c>
      <c r="H1417" s="159">
        <f>IFERROR(IF(INDEX('CONTROLE PRODUÇÃO POR EMPRESAS'!$B$6:$G$5000,MATCH($A1417,'CONTROLE PRODUÇÃO POR EMPRESAS'!$A$6:$A$5000,0),MOD(ROW()-2,6)+1)="","",IFERROR(1*INDEX('CONTROLE PRODUÇÃO POR EMPRESAS'!$B$6:$G$5000,MATCH($A1417,'CONTROLE PRODUÇÃO POR EMPRESAS'!$A$6:$A$5000,0),MOD(ROW()-2,6)+1),"")),"")</f>
        <v/>
      </c>
      <c r="I1417" s="159">
        <f>IF(OR(NOT(ISNUMBER(G1417)),NOT(ISNUMBER(H1417))),"",H1417-G1417)</f>
        <v/>
      </c>
      <c r="J1417" s="319">
        <f>IF(OR(NOT(ISNUMBER(G1417)),NOT(ISNUMBER(H1417)),G1417=0),"",I1417/G1417)</f>
        <v/>
      </c>
      <c r="K1417" s="319">
        <f>IF(OR(NOT(ISNUMBER(G1417)),NOT(ISNUMBER(H1417)),G1417=0),"",H1417/G1417)</f>
        <v/>
      </c>
      <c r="L1417">
        <f>IF(NOT(ISNUMBER(G1417)),"SEM META",IF(G1417=0,"SEM META",IF(NOT(ISNUMBER(H1417)),"SEM APONTAMENTO",IF(H1417&gt;=G1417,"VERDE",IF(H1417&gt;=G1417*0.9,"AMARELO","VERMELHO")))))</f>
        <v/>
      </c>
      <c r="M1417" s="162" t="n"/>
      <c r="N1417" s="162" t="n"/>
      <c r="O1417" s="162" t="n"/>
      <c r="P1417" s="162" t="n"/>
      <c r="Q1417" s="320" t="n"/>
      <c r="R1417" s="162" t="inlineStr">
        <is>
          <t>CONTROLE PRODUÇÃO POR EMPRESAS!G241</t>
        </is>
      </c>
    </row>
    <row r="1418" ht="28.5" customHeight="1">
      <c r="A1418" s="317" t="n">
        <v>46459</v>
      </c>
      <c r="B1418" t="inlineStr">
        <is>
          <t>GERAL</t>
        </is>
      </c>
      <c r="C1418" t="inlineStr">
        <is>
          <t>EJ</t>
        </is>
      </c>
      <c r="D1418" t="inlineStr">
        <is>
          <t>PREMONTAGEM</t>
        </is>
      </c>
      <c r="F1418" s="159">
        <f>IFERROR(INDEX('BASE METAS DIÁRIAS'!$N$2:$S$358,MATCH($A1418,'BASE METAS DIÁRIAS'!$A$2:$A$358,0),MOD(ROW()-2,6)+1),"")</f>
        <v/>
      </c>
      <c r="G1418" s="159">
        <f>IFERROR(IF(WEEKDAY($A1418,2)&lt;=INDEX('BASE METAS DIÁRIAS'!$H$2:$M$358,MATCH($A1418,'BASE METAS DIÁRIAS'!$A$2:$A$358,0),MOD(ROW()-2,6)+1),INDEX('BASE METAS DIÁRIAS'!$B$2:$G$358,MATCH($A1418,'BASE METAS DIÁRIAS'!$A$2:$A$358,0),MOD(ROW()-2,6)+1),""),"")</f>
        <v/>
      </c>
      <c r="H1418" s="159">
        <f>IFERROR(IF(INDEX('CONTROLE PRODUÇÃO POR EMPRESAS'!$B$6:$G$5000,MATCH($A1418,'CONTROLE PRODUÇÃO POR EMPRESAS'!$A$6:$A$5000,0),MOD(ROW()-2,6)+1)="","",IFERROR(1*INDEX('CONTROLE PRODUÇÃO POR EMPRESAS'!$B$6:$G$5000,MATCH($A1418,'CONTROLE PRODUÇÃO POR EMPRESAS'!$A$6:$A$5000,0),MOD(ROW()-2,6)+1),"")),"")</f>
        <v/>
      </c>
      <c r="I1418" s="159">
        <f>IF(OR(NOT(ISNUMBER(G1418)),NOT(ISNUMBER(H1418))),"",H1418-G1418)</f>
        <v/>
      </c>
      <c r="J1418" s="319">
        <f>IF(OR(NOT(ISNUMBER(G1418)),NOT(ISNUMBER(H1418)),G1418=0),"",I1418/G1418)</f>
        <v/>
      </c>
      <c r="K1418" s="319">
        <f>IF(OR(NOT(ISNUMBER(G1418)),NOT(ISNUMBER(H1418)),G1418=0),"",H1418/G1418)</f>
        <v/>
      </c>
      <c r="L1418">
        <f>IF(NOT(ISNUMBER(G1418)),"SEM META",IF(G1418=0,"SEM META",IF(NOT(ISNUMBER(H1418)),"SEM APONTAMENTO",IF(H1418&gt;=G1418,"VERDE",IF(H1418&gt;=G1418*0.9,"AMARELO","VERMELHO")))))</f>
        <v/>
      </c>
      <c r="M1418" s="162" t="n"/>
      <c r="N1418" s="162" t="n"/>
      <c r="O1418" s="162" t="n"/>
      <c r="P1418" s="162" t="n"/>
      <c r="Q1418" s="320" t="n"/>
      <c r="R1418" s="162" t="inlineStr">
        <is>
          <t>CONTROLE PRODUÇÃO POR EMPRESAS!B242</t>
        </is>
      </c>
    </row>
    <row r="1419" ht="28.5" customHeight="1">
      <c r="A1419" s="317" t="n">
        <v>46459</v>
      </c>
      <c r="B1419" t="inlineStr">
        <is>
          <t>GERAL</t>
        </is>
      </c>
      <c r="C1419" t="inlineStr">
        <is>
          <t>EJ</t>
        </is>
      </c>
      <c r="D1419" t="inlineStr">
        <is>
          <t>IÇAMENTO JOIST</t>
        </is>
      </c>
      <c r="F1419" s="159">
        <f>IFERROR(INDEX('BASE METAS DIÁRIAS'!$N$2:$S$358,MATCH($A1419,'BASE METAS DIÁRIAS'!$A$2:$A$358,0),MOD(ROW()-2,6)+1),"")</f>
        <v/>
      </c>
      <c r="G1419" s="159">
        <f>IFERROR(IF(WEEKDAY($A1419,2)&lt;=INDEX('BASE METAS DIÁRIAS'!$H$2:$M$358,MATCH($A1419,'BASE METAS DIÁRIAS'!$A$2:$A$358,0),MOD(ROW()-2,6)+1),INDEX('BASE METAS DIÁRIAS'!$B$2:$G$358,MATCH($A1419,'BASE METAS DIÁRIAS'!$A$2:$A$358,0),MOD(ROW()-2,6)+1),""),"")</f>
        <v/>
      </c>
      <c r="H1419" s="159">
        <f>IFERROR(IF(INDEX('CONTROLE PRODUÇÃO POR EMPRESAS'!$B$6:$G$5000,MATCH($A1419,'CONTROLE PRODUÇÃO POR EMPRESAS'!$A$6:$A$5000,0),MOD(ROW()-2,6)+1)="","",IFERROR(1*INDEX('CONTROLE PRODUÇÃO POR EMPRESAS'!$B$6:$G$5000,MATCH($A1419,'CONTROLE PRODUÇÃO POR EMPRESAS'!$A$6:$A$5000,0),MOD(ROW()-2,6)+1),"")),"")</f>
        <v/>
      </c>
      <c r="I1419" s="159">
        <f>IF(OR(NOT(ISNUMBER(G1419)),NOT(ISNUMBER(H1419))),"",H1419-G1419)</f>
        <v/>
      </c>
      <c r="J1419" s="319">
        <f>IF(OR(NOT(ISNUMBER(G1419)),NOT(ISNUMBER(H1419)),G1419=0),"",I1419/G1419)</f>
        <v/>
      </c>
      <c r="K1419" s="319">
        <f>IF(OR(NOT(ISNUMBER(G1419)),NOT(ISNUMBER(H1419)),G1419=0),"",H1419/G1419)</f>
        <v/>
      </c>
      <c r="L1419">
        <f>IF(NOT(ISNUMBER(G1419)),"SEM META",IF(G1419=0,"SEM META",IF(NOT(ISNUMBER(H1419)),"SEM APONTAMENTO",IF(H1419&gt;=G1419,"VERDE",IF(H1419&gt;=G1419*0.9,"AMARELO","VERMELHO")))))</f>
        <v/>
      </c>
      <c r="M1419" s="162" t="n"/>
      <c r="N1419" s="162" t="n"/>
      <c r="O1419" s="162" t="n"/>
      <c r="P1419" s="162" t="n"/>
      <c r="Q1419" s="320" t="n"/>
      <c r="R1419" s="162" t="inlineStr">
        <is>
          <t>CONTROLE PRODUÇÃO POR EMPRESAS!C242</t>
        </is>
      </c>
    </row>
    <row r="1420" ht="28.5" customHeight="1">
      <c r="A1420" s="317" t="n">
        <v>46459</v>
      </c>
      <c r="B1420" t="inlineStr">
        <is>
          <t>GERAL</t>
        </is>
      </c>
      <c r="C1420" t="inlineStr">
        <is>
          <t>EJ</t>
        </is>
      </c>
      <c r="D1420" t="inlineStr">
        <is>
          <t>VIGAS</t>
        </is>
      </c>
      <c r="F1420" s="159">
        <f>IFERROR(INDEX('BASE METAS DIÁRIAS'!$N$2:$S$358,MATCH($A1420,'BASE METAS DIÁRIAS'!$A$2:$A$358,0),MOD(ROW()-2,6)+1),"")</f>
        <v/>
      </c>
      <c r="G1420" s="159">
        <f>IFERROR(IF(WEEKDAY($A1420,2)&lt;=INDEX('BASE METAS DIÁRIAS'!$H$2:$M$358,MATCH($A1420,'BASE METAS DIÁRIAS'!$A$2:$A$358,0),MOD(ROW()-2,6)+1),INDEX('BASE METAS DIÁRIAS'!$B$2:$G$358,MATCH($A1420,'BASE METAS DIÁRIAS'!$A$2:$A$358,0),MOD(ROW()-2,6)+1),""),"")</f>
        <v/>
      </c>
      <c r="H1420" s="159">
        <f>IFERROR(IF(INDEX('CONTROLE PRODUÇÃO POR EMPRESAS'!$B$6:$G$5000,MATCH($A1420,'CONTROLE PRODUÇÃO POR EMPRESAS'!$A$6:$A$5000,0),MOD(ROW()-2,6)+1)="","",IFERROR(1*INDEX('CONTROLE PRODUÇÃO POR EMPRESAS'!$B$6:$G$5000,MATCH($A1420,'CONTROLE PRODUÇÃO POR EMPRESAS'!$A$6:$A$5000,0),MOD(ROW()-2,6)+1),"")),"")</f>
        <v/>
      </c>
      <c r="I1420" s="159">
        <f>IF(OR(NOT(ISNUMBER(G1420)),NOT(ISNUMBER(H1420))),"",H1420-G1420)</f>
        <v/>
      </c>
      <c r="J1420" s="319">
        <f>IF(OR(NOT(ISNUMBER(G1420)),NOT(ISNUMBER(H1420)),G1420=0),"",I1420/G1420)</f>
        <v/>
      </c>
      <c r="K1420" s="319">
        <f>IF(OR(NOT(ISNUMBER(G1420)),NOT(ISNUMBER(H1420)),G1420=0),"",H1420/G1420)</f>
        <v/>
      </c>
      <c r="L1420">
        <f>IF(NOT(ISNUMBER(G1420)),"SEM META",IF(G1420=0,"SEM META",IF(NOT(ISNUMBER(H1420)),"SEM APONTAMENTO",IF(H1420&gt;=G1420,"VERDE",IF(H1420&gt;=G1420*0.9,"AMARELO","VERMELHO")))))</f>
        <v/>
      </c>
      <c r="M1420" s="162" t="n"/>
      <c r="N1420" s="162" t="n"/>
      <c r="O1420" s="162" t="n"/>
      <c r="P1420" s="162" t="n"/>
      <c r="Q1420" s="320" t="n"/>
      <c r="R1420" s="162" t="inlineStr">
        <is>
          <t>CONTROLE PRODUÇÃO POR EMPRESAS!D242</t>
        </is>
      </c>
    </row>
    <row r="1421" ht="28.5" customHeight="1">
      <c r="A1421" s="317" t="n">
        <v>46459</v>
      </c>
      <c r="B1421" t="inlineStr">
        <is>
          <t>GERAL</t>
        </is>
      </c>
      <c r="C1421" t="inlineStr">
        <is>
          <t>CMM</t>
        </is>
      </c>
      <c r="D1421" t="inlineStr">
        <is>
          <t>PREMONTAGEM</t>
        </is>
      </c>
      <c r="F1421" s="159">
        <f>IFERROR(INDEX('BASE METAS DIÁRIAS'!$N$2:$S$358,MATCH($A1421,'BASE METAS DIÁRIAS'!$A$2:$A$358,0),MOD(ROW()-2,6)+1),"")</f>
        <v/>
      </c>
      <c r="G1421" s="159">
        <f>IFERROR(IF(WEEKDAY($A1421,2)&lt;=INDEX('BASE METAS DIÁRIAS'!$H$2:$M$358,MATCH($A1421,'BASE METAS DIÁRIAS'!$A$2:$A$358,0),MOD(ROW()-2,6)+1),INDEX('BASE METAS DIÁRIAS'!$B$2:$G$358,MATCH($A1421,'BASE METAS DIÁRIAS'!$A$2:$A$358,0),MOD(ROW()-2,6)+1),""),"")</f>
        <v/>
      </c>
      <c r="H1421" s="159">
        <f>IFERROR(IF(INDEX('CONTROLE PRODUÇÃO POR EMPRESAS'!$B$6:$G$5000,MATCH($A1421,'CONTROLE PRODUÇÃO POR EMPRESAS'!$A$6:$A$5000,0),MOD(ROW()-2,6)+1)="","",IFERROR(1*INDEX('CONTROLE PRODUÇÃO POR EMPRESAS'!$B$6:$G$5000,MATCH($A1421,'CONTROLE PRODUÇÃO POR EMPRESAS'!$A$6:$A$5000,0),MOD(ROW()-2,6)+1),"")),"")</f>
        <v/>
      </c>
      <c r="I1421" s="159">
        <f>IF(OR(NOT(ISNUMBER(G1421)),NOT(ISNUMBER(H1421))),"",H1421-G1421)</f>
        <v/>
      </c>
      <c r="J1421" s="319">
        <f>IF(OR(NOT(ISNUMBER(G1421)),NOT(ISNUMBER(H1421)),G1421=0),"",I1421/G1421)</f>
        <v/>
      </c>
      <c r="K1421" s="319">
        <f>IF(OR(NOT(ISNUMBER(G1421)),NOT(ISNUMBER(H1421)),G1421=0),"",H1421/G1421)</f>
        <v/>
      </c>
      <c r="L1421">
        <f>IF(NOT(ISNUMBER(G1421)),"SEM META",IF(G1421=0,"SEM META",IF(NOT(ISNUMBER(H1421)),"SEM APONTAMENTO",IF(H1421&gt;=G1421,"VERDE",IF(H1421&gt;=G1421*0.9,"AMARELO","VERMELHO")))))</f>
        <v/>
      </c>
      <c r="M1421" s="162" t="n"/>
      <c r="N1421" s="162" t="n"/>
      <c r="O1421" s="162" t="n"/>
      <c r="P1421" s="162" t="n"/>
      <c r="Q1421" s="320" t="n"/>
      <c r="R1421" s="162" t="inlineStr">
        <is>
          <t>CONTROLE PRODUÇÃO POR EMPRESAS!E242</t>
        </is>
      </c>
    </row>
    <row r="1422" ht="28.5" customHeight="1">
      <c r="A1422" s="317" t="n">
        <v>46459</v>
      </c>
      <c r="B1422" t="inlineStr">
        <is>
          <t>GERAL</t>
        </is>
      </c>
      <c r="C1422" t="inlineStr">
        <is>
          <t>CMM</t>
        </is>
      </c>
      <c r="D1422" t="inlineStr">
        <is>
          <t>IÇAMENTO JOIST</t>
        </is>
      </c>
      <c r="F1422" s="159">
        <f>IFERROR(INDEX('BASE METAS DIÁRIAS'!$N$2:$S$358,MATCH($A1422,'BASE METAS DIÁRIAS'!$A$2:$A$358,0),MOD(ROW()-2,6)+1),"")</f>
        <v/>
      </c>
      <c r="G1422" s="159">
        <f>IFERROR(IF(WEEKDAY($A1422,2)&lt;=INDEX('BASE METAS DIÁRIAS'!$H$2:$M$358,MATCH($A1422,'BASE METAS DIÁRIAS'!$A$2:$A$358,0),MOD(ROW()-2,6)+1),INDEX('BASE METAS DIÁRIAS'!$B$2:$G$358,MATCH($A1422,'BASE METAS DIÁRIAS'!$A$2:$A$358,0),MOD(ROW()-2,6)+1),""),"")</f>
        <v/>
      </c>
      <c r="H1422" s="159">
        <f>IFERROR(IF(INDEX('CONTROLE PRODUÇÃO POR EMPRESAS'!$B$6:$G$5000,MATCH($A1422,'CONTROLE PRODUÇÃO POR EMPRESAS'!$A$6:$A$5000,0),MOD(ROW()-2,6)+1)="","",IFERROR(1*INDEX('CONTROLE PRODUÇÃO POR EMPRESAS'!$B$6:$G$5000,MATCH($A1422,'CONTROLE PRODUÇÃO POR EMPRESAS'!$A$6:$A$5000,0),MOD(ROW()-2,6)+1),"")),"")</f>
        <v/>
      </c>
      <c r="I1422" s="159">
        <f>IF(OR(NOT(ISNUMBER(G1422)),NOT(ISNUMBER(H1422))),"",H1422-G1422)</f>
        <v/>
      </c>
      <c r="J1422" s="319">
        <f>IF(OR(NOT(ISNUMBER(G1422)),NOT(ISNUMBER(H1422)),G1422=0),"",I1422/G1422)</f>
        <v/>
      </c>
      <c r="K1422" s="319">
        <f>IF(OR(NOT(ISNUMBER(G1422)),NOT(ISNUMBER(H1422)),G1422=0),"",H1422/G1422)</f>
        <v/>
      </c>
      <c r="L1422">
        <f>IF(NOT(ISNUMBER(G1422)),"SEM META",IF(G1422=0,"SEM META",IF(NOT(ISNUMBER(H1422)),"SEM APONTAMENTO",IF(H1422&gt;=G1422,"VERDE",IF(H1422&gt;=G1422*0.9,"AMARELO","VERMELHO")))))</f>
        <v/>
      </c>
      <c r="M1422" s="162" t="n"/>
      <c r="N1422" s="162" t="n"/>
      <c r="O1422" s="162" t="n"/>
      <c r="P1422" s="162" t="n"/>
      <c r="Q1422" s="320" t="n"/>
      <c r="R1422" s="162" t="inlineStr">
        <is>
          <t>CONTROLE PRODUÇÃO POR EMPRESAS!F242</t>
        </is>
      </c>
    </row>
    <row r="1423" ht="28.5" customHeight="1">
      <c r="A1423" s="317" t="n">
        <v>46459</v>
      </c>
      <c r="B1423" t="inlineStr">
        <is>
          <t>GERAL</t>
        </is>
      </c>
      <c r="C1423" t="inlineStr">
        <is>
          <t>CMM</t>
        </is>
      </c>
      <c r="D1423" t="inlineStr">
        <is>
          <t>VIGAS</t>
        </is>
      </c>
      <c r="F1423" s="159">
        <f>IFERROR(INDEX('BASE METAS DIÁRIAS'!$N$2:$S$358,MATCH($A1423,'BASE METAS DIÁRIAS'!$A$2:$A$358,0),MOD(ROW()-2,6)+1),"")</f>
        <v/>
      </c>
      <c r="G1423" s="159">
        <f>IFERROR(IF(WEEKDAY($A1423,2)&lt;=INDEX('BASE METAS DIÁRIAS'!$H$2:$M$358,MATCH($A1423,'BASE METAS DIÁRIAS'!$A$2:$A$358,0),MOD(ROW()-2,6)+1),INDEX('BASE METAS DIÁRIAS'!$B$2:$G$358,MATCH($A1423,'BASE METAS DIÁRIAS'!$A$2:$A$358,0),MOD(ROW()-2,6)+1),""),"")</f>
        <v/>
      </c>
      <c r="H1423" s="159">
        <f>IFERROR(IF(INDEX('CONTROLE PRODUÇÃO POR EMPRESAS'!$B$6:$G$5000,MATCH($A1423,'CONTROLE PRODUÇÃO POR EMPRESAS'!$A$6:$A$5000,0),MOD(ROW()-2,6)+1)="","",IFERROR(1*INDEX('CONTROLE PRODUÇÃO POR EMPRESAS'!$B$6:$G$5000,MATCH($A1423,'CONTROLE PRODUÇÃO POR EMPRESAS'!$A$6:$A$5000,0),MOD(ROW()-2,6)+1),"")),"")</f>
        <v/>
      </c>
      <c r="I1423" s="159">
        <f>IF(OR(NOT(ISNUMBER(G1423)),NOT(ISNUMBER(H1423))),"",H1423-G1423)</f>
        <v/>
      </c>
      <c r="J1423" s="319">
        <f>IF(OR(NOT(ISNUMBER(G1423)),NOT(ISNUMBER(H1423)),G1423=0),"",I1423/G1423)</f>
        <v/>
      </c>
      <c r="K1423" s="319">
        <f>IF(OR(NOT(ISNUMBER(G1423)),NOT(ISNUMBER(H1423)),G1423=0),"",H1423/G1423)</f>
        <v/>
      </c>
      <c r="L1423">
        <f>IF(NOT(ISNUMBER(G1423)),"SEM META",IF(G1423=0,"SEM META",IF(NOT(ISNUMBER(H1423)),"SEM APONTAMENTO",IF(H1423&gt;=G1423,"VERDE",IF(H1423&gt;=G1423*0.9,"AMARELO","VERMELHO")))))</f>
        <v/>
      </c>
      <c r="M1423" s="162" t="n"/>
      <c r="N1423" s="162" t="n"/>
      <c r="O1423" s="162" t="n"/>
      <c r="P1423" s="162" t="n"/>
      <c r="Q1423" s="320" t="n"/>
      <c r="R1423" s="162" t="inlineStr">
        <is>
          <t>CONTROLE PRODUÇÃO POR EMPRESAS!G242</t>
        </is>
      </c>
    </row>
    <row r="1424" ht="28.5" customHeight="1">
      <c r="A1424" s="317" t="n">
        <v>46460</v>
      </c>
      <c r="B1424" t="inlineStr">
        <is>
          <t>GERAL</t>
        </is>
      </c>
      <c r="C1424" t="inlineStr">
        <is>
          <t>EJ</t>
        </is>
      </c>
      <c r="D1424" t="inlineStr">
        <is>
          <t>PREMONTAGEM</t>
        </is>
      </c>
      <c r="F1424" s="159">
        <f>IFERROR(INDEX('BASE METAS DIÁRIAS'!$N$2:$S$358,MATCH($A1424,'BASE METAS DIÁRIAS'!$A$2:$A$358,0),MOD(ROW()-2,6)+1),"")</f>
        <v/>
      </c>
      <c r="G1424" s="159">
        <f>IFERROR(IF(WEEKDAY($A1424,2)&lt;=INDEX('BASE METAS DIÁRIAS'!$H$2:$M$358,MATCH($A1424,'BASE METAS DIÁRIAS'!$A$2:$A$358,0),MOD(ROW()-2,6)+1),INDEX('BASE METAS DIÁRIAS'!$B$2:$G$358,MATCH($A1424,'BASE METAS DIÁRIAS'!$A$2:$A$358,0),MOD(ROW()-2,6)+1),""),"")</f>
        <v/>
      </c>
      <c r="H1424" s="159">
        <f>IFERROR(IF(INDEX('CONTROLE PRODUÇÃO POR EMPRESAS'!$B$6:$G$5000,MATCH($A1424,'CONTROLE PRODUÇÃO POR EMPRESAS'!$A$6:$A$5000,0),MOD(ROW()-2,6)+1)="","",IFERROR(1*INDEX('CONTROLE PRODUÇÃO POR EMPRESAS'!$B$6:$G$5000,MATCH($A1424,'CONTROLE PRODUÇÃO POR EMPRESAS'!$A$6:$A$5000,0),MOD(ROW()-2,6)+1),"")),"")</f>
        <v/>
      </c>
      <c r="I1424" s="159">
        <f>IF(OR(NOT(ISNUMBER(G1424)),NOT(ISNUMBER(H1424))),"",H1424-G1424)</f>
        <v/>
      </c>
      <c r="J1424" s="319">
        <f>IF(OR(NOT(ISNUMBER(G1424)),NOT(ISNUMBER(H1424)),G1424=0),"",I1424/G1424)</f>
        <v/>
      </c>
      <c r="K1424" s="319">
        <f>IF(OR(NOT(ISNUMBER(G1424)),NOT(ISNUMBER(H1424)),G1424=0),"",H1424/G1424)</f>
        <v/>
      </c>
      <c r="L1424">
        <f>IF(NOT(ISNUMBER(G1424)),"SEM META",IF(G1424=0,"SEM META",IF(NOT(ISNUMBER(H1424)),"SEM APONTAMENTO",IF(H1424&gt;=G1424,"VERDE",IF(H1424&gt;=G1424*0.9,"AMARELO","VERMELHO")))))</f>
        <v/>
      </c>
      <c r="M1424" s="162" t="n"/>
      <c r="N1424" s="162" t="n"/>
      <c r="O1424" s="162" t="n"/>
      <c r="P1424" s="162" t="n"/>
      <c r="Q1424" s="320" t="n"/>
      <c r="R1424" s="162" t="inlineStr">
        <is>
          <t>CONTROLE PRODUÇÃO POR EMPRESAS!B243</t>
        </is>
      </c>
    </row>
    <row r="1425" ht="28.5" customHeight="1">
      <c r="A1425" s="317" t="n">
        <v>46460</v>
      </c>
      <c r="B1425" t="inlineStr">
        <is>
          <t>GERAL</t>
        </is>
      </c>
      <c r="C1425" t="inlineStr">
        <is>
          <t>EJ</t>
        </is>
      </c>
      <c r="D1425" t="inlineStr">
        <is>
          <t>IÇAMENTO JOIST</t>
        </is>
      </c>
      <c r="F1425" s="159">
        <f>IFERROR(INDEX('BASE METAS DIÁRIAS'!$N$2:$S$358,MATCH($A1425,'BASE METAS DIÁRIAS'!$A$2:$A$358,0),MOD(ROW()-2,6)+1),"")</f>
        <v/>
      </c>
      <c r="G1425" s="159">
        <f>IFERROR(IF(WEEKDAY($A1425,2)&lt;=INDEX('BASE METAS DIÁRIAS'!$H$2:$M$358,MATCH($A1425,'BASE METAS DIÁRIAS'!$A$2:$A$358,0),MOD(ROW()-2,6)+1),INDEX('BASE METAS DIÁRIAS'!$B$2:$G$358,MATCH($A1425,'BASE METAS DIÁRIAS'!$A$2:$A$358,0),MOD(ROW()-2,6)+1),""),"")</f>
        <v/>
      </c>
      <c r="H1425" s="159">
        <f>IFERROR(IF(INDEX('CONTROLE PRODUÇÃO POR EMPRESAS'!$B$6:$G$5000,MATCH($A1425,'CONTROLE PRODUÇÃO POR EMPRESAS'!$A$6:$A$5000,0),MOD(ROW()-2,6)+1)="","",IFERROR(1*INDEX('CONTROLE PRODUÇÃO POR EMPRESAS'!$B$6:$G$5000,MATCH($A1425,'CONTROLE PRODUÇÃO POR EMPRESAS'!$A$6:$A$5000,0),MOD(ROW()-2,6)+1),"")),"")</f>
        <v/>
      </c>
      <c r="I1425" s="159">
        <f>IF(OR(NOT(ISNUMBER(G1425)),NOT(ISNUMBER(H1425))),"",H1425-G1425)</f>
        <v/>
      </c>
      <c r="J1425" s="319">
        <f>IF(OR(NOT(ISNUMBER(G1425)),NOT(ISNUMBER(H1425)),G1425=0),"",I1425/G1425)</f>
        <v/>
      </c>
      <c r="K1425" s="319">
        <f>IF(OR(NOT(ISNUMBER(G1425)),NOT(ISNUMBER(H1425)),G1425=0),"",H1425/G1425)</f>
        <v/>
      </c>
      <c r="L1425">
        <f>IF(NOT(ISNUMBER(G1425)),"SEM META",IF(G1425=0,"SEM META",IF(NOT(ISNUMBER(H1425)),"SEM APONTAMENTO",IF(H1425&gt;=G1425,"VERDE",IF(H1425&gt;=G1425*0.9,"AMARELO","VERMELHO")))))</f>
        <v/>
      </c>
      <c r="M1425" s="162" t="n"/>
      <c r="N1425" s="162" t="n"/>
      <c r="O1425" s="162" t="n"/>
      <c r="P1425" s="162" t="n"/>
      <c r="Q1425" s="320" t="n"/>
      <c r="R1425" s="162" t="inlineStr">
        <is>
          <t>CONTROLE PRODUÇÃO POR EMPRESAS!C243</t>
        </is>
      </c>
    </row>
    <row r="1426" ht="28.5" customHeight="1">
      <c r="A1426" s="317" t="n">
        <v>46460</v>
      </c>
      <c r="B1426" t="inlineStr">
        <is>
          <t>GERAL</t>
        </is>
      </c>
      <c r="C1426" t="inlineStr">
        <is>
          <t>EJ</t>
        </is>
      </c>
      <c r="D1426" t="inlineStr">
        <is>
          <t>VIGAS</t>
        </is>
      </c>
      <c r="F1426" s="159">
        <f>IFERROR(INDEX('BASE METAS DIÁRIAS'!$N$2:$S$358,MATCH($A1426,'BASE METAS DIÁRIAS'!$A$2:$A$358,0),MOD(ROW()-2,6)+1),"")</f>
        <v/>
      </c>
      <c r="G1426" s="159">
        <f>IFERROR(IF(WEEKDAY($A1426,2)&lt;=INDEX('BASE METAS DIÁRIAS'!$H$2:$M$358,MATCH($A1426,'BASE METAS DIÁRIAS'!$A$2:$A$358,0),MOD(ROW()-2,6)+1),INDEX('BASE METAS DIÁRIAS'!$B$2:$G$358,MATCH($A1426,'BASE METAS DIÁRIAS'!$A$2:$A$358,0),MOD(ROW()-2,6)+1),""),"")</f>
        <v/>
      </c>
      <c r="H1426" s="159">
        <f>IFERROR(IF(INDEX('CONTROLE PRODUÇÃO POR EMPRESAS'!$B$6:$G$5000,MATCH($A1426,'CONTROLE PRODUÇÃO POR EMPRESAS'!$A$6:$A$5000,0),MOD(ROW()-2,6)+1)="","",IFERROR(1*INDEX('CONTROLE PRODUÇÃO POR EMPRESAS'!$B$6:$G$5000,MATCH($A1426,'CONTROLE PRODUÇÃO POR EMPRESAS'!$A$6:$A$5000,0),MOD(ROW()-2,6)+1),"")),"")</f>
        <v/>
      </c>
      <c r="I1426" s="159">
        <f>IF(OR(NOT(ISNUMBER(G1426)),NOT(ISNUMBER(H1426))),"",H1426-G1426)</f>
        <v/>
      </c>
      <c r="J1426" s="319">
        <f>IF(OR(NOT(ISNUMBER(G1426)),NOT(ISNUMBER(H1426)),G1426=0),"",I1426/G1426)</f>
        <v/>
      </c>
      <c r="K1426" s="319">
        <f>IF(OR(NOT(ISNUMBER(G1426)),NOT(ISNUMBER(H1426)),G1426=0),"",H1426/G1426)</f>
        <v/>
      </c>
      <c r="L1426">
        <f>IF(NOT(ISNUMBER(G1426)),"SEM META",IF(G1426=0,"SEM META",IF(NOT(ISNUMBER(H1426)),"SEM APONTAMENTO",IF(H1426&gt;=G1426,"VERDE",IF(H1426&gt;=G1426*0.9,"AMARELO","VERMELHO")))))</f>
        <v/>
      </c>
      <c r="M1426" s="162" t="n"/>
      <c r="N1426" s="162" t="n"/>
      <c r="O1426" s="162" t="n"/>
      <c r="P1426" s="162" t="n"/>
      <c r="Q1426" s="320" t="n"/>
      <c r="R1426" s="162" t="inlineStr">
        <is>
          <t>CONTROLE PRODUÇÃO POR EMPRESAS!D243</t>
        </is>
      </c>
    </row>
    <row r="1427" ht="28.5" customHeight="1">
      <c r="A1427" s="317" t="n">
        <v>46460</v>
      </c>
      <c r="B1427" t="inlineStr">
        <is>
          <t>GERAL</t>
        </is>
      </c>
      <c r="C1427" t="inlineStr">
        <is>
          <t>CMM</t>
        </is>
      </c>
      <c r="D1427" t="inlineStr">
        <is>
          <t>PREMONTAGEM</t>
        </is>
      </c>
      <c r="F1427" s="159">
        <f>IFERROR(INDEX('BASE METAS DIÁRIAS'!$N$2:$S$358,MATCH($A1427,'BASE METAS DIÁRIAS'!$A$2:$A$358,0),MOD(ROW()-2,6)+1),"")</f>
        <v/>
      </c>
      <c r="G1427" s="159">
        <f>IFERROR(IF(WEEKDAY($A1427,2)&lt;=INDEX('BASE METAS DIÁRIAS'!$H$2:$M$358,MATCH($A1427,'BASE METAS DIÁRIAS'!$A$2:$A$358,0),MOD(ROW()-2,6)+1),INDEX('BASE METAS DIÁRIAS'!$B$2:$G$358,MATCH($A1427,'BASE METAS DIÁRIAS'!$A$2:$A$358,0),MOD(ROW()-2,6)+1),""),"")</f>
        <v/>
      </c>
      <c r="H1427" s="159">
        <f>IFERROR(IF(INDEX('CONTROLE PRODUÇÃO POR EMPRESAS'!$B$6:$G$5000,MATCH($A1427,'CONTROLE PRODUÇÃO POR EMPRESAS'!$A$6:$A$5000,0),MOD(ROW()-2,6)+1)="","",IFERROR(1*INDEX('CONTROLE PRODUÇÃO POR EMPRESAS'!$B$6:$G$5000,MATCH($A1427,'CONTROLE PRODUÇÃO POR EMPRESAS'!$A$6:$A$5000,0),MOD(ROW()-2,6)+1),"")),"")</f>
        <v/>
      </c>
      <c r="I1427" s="159">
        <f>IF(OR(NOT(ISNUMBER(G1427)),NOT(ISNUMBER(H1427))),"",H1427-G1427)</f>
        <v/>
      </c>
      <c r="J1427" s="319">
        <f>IF(OR(NOT(ISNUMBER(G1427)),NOT(ISNUMBER(H1427)),G1427=0),"",I1427/G1427)</f>
        <v/>
      </c>
      <c r="K1427" s="319">
        <f>IF(OR(NOT(ISNUMBER(G1427)),NOT(ISNUMBER(H1427)),G1427=0),"",H1427/G1427)</f>
        <v/>
      </c>
      <c r="L1427">
        <f>IF(NOT(ISNUMBER(G1427)),"SEM META",IF(G1427=0,"SEM META",IF(NOT(ISNUMBER(H1427)),"SEM APONTAMENTO",IF(H1427&gt;=G1427,"VERDE",IF(H1427&gt;=G1427*0.9,"AMARELO","VERMELHO")))))</f>
        <v/>
      </c>
      <c r="M1427" s="162" t="n"/>
      <c r="N1427" s="162" t="n"/>
      <c r="O1427" s="162" t="n"/>
      <c r="P1427" s="162" t="n"/>
      <c r="Q1427" s="320" t="n"/>
      <c r="R1427" s="162" t="inlineStr">
        <is>
          <t>CONTROLE PRODUÇÃO POR EMPRESAS!E243</t>
        </is>
      </c>
    </row>
    <row r="1428" ht="28.5" customHeight="1">
      <c r="A1428" s="317" t="n">
        <v>46460</v>
      </c>
      <c r="B1428" t="inlineStr">
        <is>
          <t>GERAL</t>
        </is>
      </c>
      <c r="C1428" t="inlineStr">
        <is>
          <t>CMM</t>
        </is>
      </c>
      <c r="D1428" t="inlineStr">
        <is>
          <t>IÇAMENTO JOIST</t>
        </is>
      </c>
      <c r="F1428" s="159">
        <f>IFERROR(INDEX('BASE METAS DIÁRIAS'!$N$2:$S$358,MATCH($A1428,'BASE METAS DIÁRIAS'!$A$2:$A$358,0),MOD(ROW()-2,6)+1),"")</f>
        <v/>
      </c>
      <c r="G1428" s="159">
        <f>IFERROR(IF(WEEKDAY($A1428,2)&lt;=INDEX('BASE METAS DIÁRIAS'!$H$2:$M$358,MATCH($A1428,'BASE METAS DIÁRIAS'!$A$2:$A$358,0),MOD(ROW()-2,6)+1),INDEX('BASE METAS DIÁRIAS'!$B$2:$G$358,MATCH($A1428,'BASE METAS DIÁRIAS'!$A$2:$A$358,0),MOD(ROW()-2,6)+1),""),"")</f>
        <v/>
      </c>
      <c r="H1428" s="159">
        <f>IFERROR(IF(INDEX('CONTROLE PRODUÇÃO POR EMPRESAS'!$B$6:$G$5000,MATCH($A1428,'CONTROLE PRODUÇÃO POR EMPRESAS'!$A$6:$A$5000,0),MOD(ROW()-2,6)+1)="","",IFERROR(1*INDEX('CONTROLE PRODUÇÃO POR EMPRESAS'!$B$6:$G$5000,MATCH($A1428,'CONTROLE PRODUÇÃO POR EMPRESAS'!$A$6:$A$5000,0),MOD(ROW()-2,6)+1),"")),"")</f>
        <v/>
      </c>
      <c r="I1428" s="159">
        <f>IF(OR(NOT(ISNUMBER(G1428)),NOT(ISNUMBER(H1428))),"",H1428-G1428)</f>
        <v/>
      </c>
      <c r="J1428" s="319">
        <f>IF(OR(NOT(ISNUMBER(G1428)),NOT(ISNUMBER(H1428)),G1428=0),"",I1428/G1428)</f>
        <v/>
      </c>
      <c r="K1428" s="319">
        <f>IF(OR(NOT(ISNUMBER(G1428)),NOT(ISNUMBER(H1428)),G1428=0),"",H1428/G1428)</f>
        <v/>
      </c>
      <c r="L1428">
        <f>IF(NOT(ISNUMBER(G1428)),"SEM META",IF(G1428=0,"SEM META",IF(NOT(ISNUMBER(H1428)),"SEM APONTAMENTO",IF(H1428&gt;=G1428,"VERDE",IF(H1428&gt;=G1428*0.9,"AMARELO","VERMELHO")))))</f>
        <v/>
      </c>
      <c r="M1428" s="162" t="n"/>
      <c r="N1428" s="162" t="n"/>
      <c r="O1428" s="162" t="n"/>
      <c r="P1428" s="162" t="n"/>
      <c r="Q1428" s="320" t="n"/>
      <c r="R1428" s="162" t="inlineStr">
        <is>
          <t>CONTROLE PRODUÇÃO POR EMPRESAS!F243</t>
        </is>
      </c>
    </row>
    <row r="1429" ht="28.5" customHeight="1">
      <c r="A1429" s="317" t="n">
        <v>46460</v>
      </c>
      <c r="B1429" t="inlineStr">
        <is>
          <t>GERAL</t>
        </is>
      </c>
      <c r="C1429" t="inlineStr">
        <is>
          <t>CMM</t>
        </is>
      </c>
      <c r="D1429" t="inlineStr">
        <is>
          <t>VIGAS</t>
        </is>
      </c>
      <c r="F1429" s="159">
        <f>IFERROR(INDEX('BASE METAS DIÁRIAS'!$N$2:$S$358,MATCH($A1429,'BASE METAS DIÁRIAS'!$A$2:$A$358,0),MOD(ROW()-2,6)+1),"")</f>
        <v/>
      </c>
      <c r="G1429" s="159">
        <f>IFERROR(IF(WEEKDAY($A1429,2)&lt;=INDEX('BASE METAS DIÁRIAS'!$H$2:$M$358,MATCH($A1429,'BASE METAS DIÁRIAS'!$A$2:$A$358,0),MOD(ROW()-2,6)+1),INDEX('BASE METAS DIÁRIAS'!$B$2:$G$358,MATCH($A1429,'BASE METAS DIÁRIAS'!$A$2:$A$358,0),MOD(ROW()-2,6)+1),""),"")</f>
        <v/>
      </c>
      <c r="H1429" s="159">
        <f>IFERROR(IF(INDEX('CONTROLE PRODUÇÃO POR EMPRESAS'!$B$6:$G$5000,MATCH($A1429,'CONTROLE PRODUÇÃO POR EMPRESAS'!$A$6:$A$5000,0),MOD(ROW()-2,6)+1)="","",IFERROR(1*INDEX('CONTROLE PRODUÇÃO POR EMPRESAS'!$B$6:$G$5000,MATCH($A1429,'CONTROLE PRODUÇÃO POR EMPRESAS'!$A$6:$A$5000,0),MOD(ROW()-2,6)+1),"")),"")</f>
        <v/>
      </c>
      <c r="I1429" s="159">
        <f>IF(OR(NOT(ISNUMBER(G1429)),NOT(ISNUMBER(H1429))),"",H1429-G1429)</f>
        <v/>
      </c>
      <c r="J1429" s="319">
        <f>IF(OR(NOT(ISNUMBER(G1429)),NOT(ISNUMBER(H1429)),G1429=0),"",I1429/G1429)</f>
        <v/>
      </c>
      <c r="K1429" s="319">
        <f>IF(OR(NOT(ISNUMBER(G1429)),NOT(ISNUMBER(H1429)),G1429=0),"",H1429/G1429)</f>
        <v/>
      </c>
      <c r="L1429">
        <f>IF(NOT(ISNUMBER(G1429)),"SEM META",IF(G1429=0,"SEM META",IF(NOT(ISNUMBER(H1429)),"SEM APONTAMENTO",IF(H1429&gt;=G1429,"VERDE",IF(H1429&gt;=G1429*0.9,"AMARELO","VERMELHO")))))</f>
        <v/>
      </c>
      <c r="M1429" s="162" t="n"/>
      <c r="N1429" s="162" t="n"/>
      <c r="O1429" s="162" t="n"/>
      <c r="P1429" s="162" t="n"/>
      <c r="Q1429" s="320" t="n"/>
      <c r="R1429" s="162" t="inlineStr">
        <is>
          <t>CONTROLE PRODUÇÃO POR EMPRESAS!G243</t>
        </is>
      </c>
    </row>
    <row r="1430" ht="28.5" customHeight="1">
      <c r="A1430" s="317" t="n">
        <v>46461</v>
      </c>
      <c r="B1430" t="inlineStr">
        <is>
          <t>GERAL</t>
        </is>
      </c>
      <c r="C1430" t="inlineStr">
        <is>
          <t>EJ</t>
        </is>
      </c>
      <c r="D1430" t="inlineStr">
        <is>
          <t>PREMONTAGEM</t>
        </is>
      </c>
      <c r="F1430" s="159">
        <f>IFERROR(INDEX('BASE METAS DIÁRIAS'!$N$2:$S$358,MATCH($A1430,'BASE METAS DIÁRIAS'!$A$2:$A$358,0),MOD(ROW()-2,6)+1),"")</f>
        <v/>
      </c>
      <c r="G1430" s="159">
        <f>IFERROR(IF(WEEKDAY($A1430,2)&lt;=INDEX('BASE METAS DIÁRIAS'!$H$2:$M$358,MATCH($A1430,'BASE METAS DIÁRIAS'!$A$2:$A$358,0),MOD(ROW()-2,6)+1),INDEX('BASE METAS DIÁRIAS'!$B$2:$G$358,MATCH($A1430,'BASE METAS DIÁRIAS'!$A$2:$A$358,0),MOD(ROW()-2,6)+1),""),"")</f>
        <v/>
      </c>
      <c r="H1430" s="159">
        <f>IFERROR(IF(INDEX('CONTROLE PRODUÇÃO POR EMPRESAS'!$B$6:$G$5000,MATCH($A1430,'CONTROLE PRODUÇÃO POR EMPRESAS'!$A$6:$A$5000,0),MOD(ROW()-2,6)+1)="","",IFERROR(1*INDEX('CONTROLE PRODUÇÃO POR EMPRESAS'!$B$6:$G$5000,MATCH($A1430,'CONTROLE PRODUÇÃO POR EMPRESAS'!$A$6:$A$5000,0),MOD(ROW()-2,6)+1),"")),"")</f>
        <v/>
      </c>
      <c r="I1430" s="159">
        <f>IF(OR(NOT(ISNUMBER(G1430)),NOT(ISNUMBER(H1430))),"",H1430-G1430)</f>
        <v/>
      </c>
      <c r="J1430" s="319">
        <f>IF(OR(NOT(ISNUMBER(G1430)),NOT(ISNUMBER(H1430)),G1430=0),"",I1430/G1430)</f>
        <v/>
      </c>
      <c r="K1430" s="319">
        <f>IF(OR(NOT(ISNUMBER(G1430)),NOT(ISNUMBER(H1430)),G1430=0),"",H1430/G1430)</f>
        <v/>
      </c>
      <c r="L1430">
        <f>IF(NOT(ISNUMBER(G1430)),"SEM META",IF(G1430=0,"SEM META",IF(NOT(ISNUMBER(H1430)),"SEM APONTAMENTO",IF(H1430&gt;=G1430,"VERDE",IF(H1430&gt;=G1430*0.9,"AMARELO","VERMELHO")))))</f>
        <v/>
      </c>
      <c r="M1430" s="162" t="n"/>
      <c r="N1430" s="162" t="n"/>
      <c r="O1430" s="162" t="n"/>
      <c r="P1430" s="162" t="n"/>
      <c r="Q1430" s="320" t="n"/>
      <c r="R1430" s="162" t="inlineStr">
        <is>
          <t>CONTROLE PRODUÇÃO POR EMPRESAS!B244</t>
        </is>
      </c>
    </row>
    <row r="1431" ht="28.5" customHeight="1">
      <c r="A1431" s="317" t="n">
        <v>46461</v>
      </c>
      <c r="B1431" t="inlineStr">
        <is>
          <t>GERAL</t>
        </is>
      </c>
      <c r="C1431" t="inlineStr">
        <is>
          <t>EJ</t>
        </is>
      </c>
      <c r="D1431" t="inlineStr">
        <is>
          <t>IÇAMENTO JOIST</t>
        </is>
      </c>
      <c r="F1431" s="159">
        <f>IFERROR(INDEX('BASE METAS DIÁRIAS'!$N$2:$S$358,MATCH($A1431,'BASE METAS DIÁRIAS'!$A$2:$A$358,0),MOD(ROW()-2,6)+1),"")</f>
        <v/>
      </c>
      <c r="G1431" s="159">
        <f>IFERROR(IF(WEEKDAY($A1431,2)&lt;=INDEX('BASE METAS DIÁRIAS'!$H$2:$M$358,MATCH($A1431,'BASE METAS DIÁRIAS'!$A$2:$A$358,0),MOD(ROW()-2,6)+1),INDEX('BASE METAS DIÁRIAS'!$B$2:$G$358,MATCH($A1431,'BASE METAS DIÁRIAS'!$A$2:$A$358,0),MOD(ROW()-2,6)+1),""),"")</f>
        <v/>
      </c>
      <c r="H1431" s="159">
        <f>IFERROR(IF(INDEX('CONTROLE PRODUÇÃO POR EMPRESAS'!$B$6:$G$5000,MATCH($A1431,'CONTROLE PRODUÇÃO POR EMPRESAS'!$A$6:$A$5000,0),MOD(ROW()-2,6)+1)="","",IFERROR(1*INDEX('CONTROLE PRODUÇÃO POR EMPRESAS'!$B$6:$G$5000,MATCH($A1431,'CONTROLE PRODUÇÃO POR EMPRESAS'!$A$6:$A$5000,0),MOD(ROW()-2,6)+1),"")),"")</f>
        <v/>
      </c>
      <c r="I1431" s="159">
        <f>IF(OR(NOT(ISNUMBER(G1431)),NOT(ISNUMBER(H1431))),"",H1431-G1431)</f>
        <v/>
      </c>
      <c r="J1431" s="319">
        <f>IF(OR(NOT(ISNUMBER(G1431)),NOT(ISNUMBER(H1431)),G1431=0),"",I1431/G1431)</f>
        <v/>
      </c>
      <c r="K1431" s="319">
        <f>IF(OR(NOT(ISNUMBER(G1431)),NOT(ISNUMBER(H1431)),G1431=0),"",H1431/G1431)</f>
        <v/>
      </c>
      <c r="L1431">
        <f>IF(NOT(ISNUMBER(G1431)),"SEM META",IF(G1431=0,"SEM META",IF(NOT(ISNUMBER(H1431)),"SEM APONTAMENTO",IF(H1431&gt;=G1431,"VERDE",IF(H1431&gt;=G1431*0.9,"AMARELO","VERMELHO")))))</f>
        <v/>
      </c>
      <c r="M1431" s="162" t="n"/>
      <c r="N1431" s="162" t="n"/>
      <c r="O1431" s="162" t="n"/>
      <c r="P1431" s="162" t="n"/>
      <c r="Q1431" s="320" t="n"/>
      <c r="R1431" s="162" t="inlineStr">
        <is>
          <t>CONTROLE PRODUÇÃO POR EMPRESAS!C244</t>
        </is>
      </c>
    </row>
    <row r="1432" ht="28.5" customHeight="1">
      <c r="A1432" s="317" t="n">
        <v>46461</v>
      </c>
      <c r="B1432" t="inlineStr">
        <is>
          <t>GERAL</t>
        </is>
      </c>
      <c r="C1432" t="inlineStr">
        <is>
          <t>EJ</t>
        </is>
      </c>
      <c r="D1432" t="inlineStr">
        <is>
          <t>VIGAS</t>
        </is>
      </c>
      <c r="F1432" s="159">
        <f>IFERROR(INDEX('BASE METAS DIÁRIAS'!$N$2:$S$358,MATCH($A1432,'BASE METAS DIÁRIAS'!$A$2:$A$358,0),MOD(ROW()-2,6)+1),"")</f>
        <v/>
      </c>
      <c r="G1432" s="159">
        <f>IFERROR(IF(WEEKDAY($A1432,2)&lt;=INDEX('BASE METAS DIÁRIAS'!$H$2:$M$358,MATCH($A1432,'BASE METAS DIÁRIAS'!$A$2:$A$358,0),MOD(ROW()-2,6)+1),INDEX('BASE METAS DIÁRIAS'!$B$2:$G$358,MATCH($A1432,'BASE METAS DIÁRIAS'!$A$2:$A$358,0),MOD(ROW()-2,6)+1),""),"")</f>
        <v/>
      </c>
      <c r="H1432" s="159">
        <f>IFERROR(IF(INDEX('CONTROLE PRODUÇÃO POR EMPRESAS'!$B$6:$G$5000,MATCH($A1432,'CONTROLE PRODUÇÃO POR EMPRESAS'!$A$6:$A$5000,0),MOD(ROW()-2,6)+1)="","",IFERROR(1*INDEX('CONTROLE PRODUÇÃO POR EMPRESAS'!$B$6:$G$5000,MATCH($A1432,'CONTROLE PRODUÇÃO POR EMPRESAS'!$A$6:$A$5000,0),MOD(ROW()-2,6)+1),"")),"")</f>
        <v/>
      </c>
      <c r="I1432" s="159">
        <f>IF(OR(NOT(ISNUMBER(G1432)),NOT(ISNUMBER(H1432))),"",H1432-G1432)</f>
        <v/>
      </c>
      <c r="J1432" s="319">
        <f>IF(OR(NOT(ISNUMBER(G1432)),NOT(ISNUMBER(H1432)),G1432=0),"",I1432/G1432)</f>
        <v/>
      </c>
      <c r="K1432" s="319">
        <f>IF(OR(NOT(ISNUMBER(G1432)),NOT(ISNUMBER(H1432)),G1432=0),"",H1432/G1432)</f>
        <v/>
      </c>
      <c r="L1432">
        <f>IF(NOT(ISNUMBER(G1432)),"SEM META",IF(G1432=0,"SEM META",IF(NOT(ISNUMBER(H1432)),"SEM APONTAMENTO",IF(H1432&gt;=G1432,"VERDE",IF(H1432&gt;=G1432*0.9,"AMARELO","VERMELHO")))))</f>
        <v/>
      </c>
      <c r="M1432" s="162" t="n"/>
      <c r="N1432" s="162" t="n"/>
      <c r="O1432" s="162" t="n"/>
      <c r="P1432" s="162" t="n"/>
      <c r="Q1432" s="320" t="n"/>
      <c r="R1432" s="162" t="inlineStr">
        <is>
          <t>CONTROLE PRODUÇÃO POR EMPRESAS!D244</t>
        </is>
      </c>
    </row>
    <row r="1433" ht="28.5" customHeight="1">
      <c r="A1433" s="317" t="n">
        <v>46461</v>
      </c>
      <c r="B1433" t="inlineStr">
        <is>
          <t>GERAL</t>
        </is>
      </c>
      <c r="C1433" t="inlineStr">
        <is>
          <t>CMM</t>
        </is>
      </c>
      <c r="D1433" t="inlineStr">
        <is>
          <t>PREMONTAGEM</t>
        </is>
      </c>
      <c r="F1433" s="159">
        <f>IFERROR(INDEX('BASE METAS DIÁRIAS'!$N$2:$S$358,MATCH($A1433,'BASE METAS DIÁRIAS'!$A$2:$A$358,0),MOD(ROW()-2,6)+1),"")</f>
        <v/>
      </c>
      <c r="G1433" s="159">
        <f>IFERROR(IF(WEEKDAY($A1433,2)&lt;=INDEX('BASE METAS DIÁRIAS'!$H$2:$M$358,MATCH($A1433,'BASE METAS DIÁRIAS'!$A$2:$A$358,0),MOD(ROW()-2,6)+1),INDEX('BASE METAS DIÁRIAS'!$B$2:$G$358,MATCH($A1433,'BASE METAS DIÁRIAS'!$A$2:$A$358,0),MOD(ROW()-2,6)+1),""),"")</f>
        <v/>
      </c>
      <c r="H1433" s="159">
        <f>IFERROR(IF(INDEX('CONTROLE PRODUÇÃO POR EMPRESAS'!$B$6:$G$5000,MATCH($A1433,'CONTROLE PRODUÇÃO POR EMPRESAS'!$A$6:$A$5000,0),MOD(ROW()-2,6)+1)="","",IFERROR(1*INDEX('CONTROLE PRODUÇÃO POR EMPRESAS'!$B$6:$G$5000,MATCH($A1433,'CONTROLE PRODUÇÃO POR EMPRESAS'!$A$6:$A$5000,0),MOD(ROW()-2,6)+1),"")),"")</f>
        <v/>
      </c>
      <c r="I1433" s="159">
        <f>IF(OR(NOT(ISNUMBER(G1433)),NOT(ISNUMBER(H1433))),"",H1433-G1433)</f>
        <v/>
      </c>
      <c r="J1433" s="319">
        <f>IF(OR(NOT(ISNUMBER(G1433)),NOT(ISNUMBER(H1433)),G1433=0),"",I1433/G1433)</f>
        <v/>
      </c>
      <c r="K1433" s="319">
        <f>IF(OR(NOT(ISNUMBER(G1433)),NOT(ISNUMBER(H1433)),G1433=0),"",H1433/G1433)</f>
        <v/>
      </c>
      <c r="L1433">
        <f>IF(NOT(ISNUMBER(G1433)),"SEM META",IF(G1433=0,"SEM META",IF(NOT(ISNUMBER(H1433)),"SEM APONTAMENTO",IF(H1433&gt;=G1433,"VERDE",IF(H1433&gt;=G1433*0.9,"AMARELO","VERMELHO")))))</f>
        <v/>
      </c>
      <c r="M1433" s="162" t="n"/>
      <c r="N1433" s="162" t="n"/>
      <c r="O1433" s="162" t="n"/>
      <c r="P1433" s="162" t="n"/>
      <c r="Q1433" s="320" t="n"/>
      <c r="R1433" s="162" t="inlineStr">
        <is>
          <t>CONTROLE PRODUÇÃO POR EMPRESAS!E244</t>
        </is>
      </c>
    </row>
    <row r="1434" ht="28.5" customHeight="1">
      <c r="A1434" s="317" t="n">
        <v>46461</v>
      </c>
      <c r="B1434" t="inlineStr">
        <is>
          <t>GERAL</t>
        </is>
      </c>
      <c r="C1434" t="inlineStr">
        <is>
          <t>CMM</t>
        </is>
      </c>
      <c r="D1434" t="inlineStr">
        <is>
          <t>IÇAMENTO JOIST</t>
        </is>
      </c>
      <c r="F1434" s="159">
        <f>IFERROR(INDEX('BASE METAS DIÁRIAS'!$N$2:$S$358,MATCH($A1434,'BASE METAS DIÁRIAS'!$A$2:$A$358,0),MOD(ROW()-2,6)+1),"")</f>
        <v/>
      </c>
      <c r="G1434" s="159">
        <f>IFERROR(IF(WEEKDAY($A1434,2)&lt;=INDEX('BASE METAS DIÁRIAS'!$H$2:$M$358,MATCH($A1434,'BASE METAS DIÁRIAS'!$A$2:$A$358,0),MOD(ROW()-2,6)+1),INDEX('BASE METAS DIÁRIAS'!$B$2:$G$358,MATCH($A1434,'BASE METAS DIÁRIAS'!$A$2:$A$358,0),MOD(ROW()-2,6)+1),""),"")</f>
        <v/>
      </c>
      <c r="H1434" s="159">
        <f>IFERROR(IF(INDEX('CONTROLE PRODUÇÃO POR EMPRESAS'!$B$6:$G$5000,MATCH($A1434,'CONTROLE PRODUÇÃO POR EMPRESAS'!$A$6:$A$5000,0),MOD(ROW()-2,6)+1)="","",IFERROR(1*INDEX('CONTROLE PRODUÇÃO POR EMPRESAS'!$B$6:$G$5000,MATCH($A1434,'CONTROLE PRODUÇÃO POR EMPRESAS'!$A$6:$A$5000,0),MOD(ROW()-2,6)+1),"")),"")</f>
        <v/>
      </c>
      <c r="I1434" s="159">
        <f>IF(OR(NOT(ISNUMBER(G1434)),NOT(ISNUMBER(H1434))),"",H1434-G1434)</f>
        <v/>
      </c>
      <c r="J1434" s="319">
        <f>IF(OR(NOT(ISNUMBER(G1434)),NOT(ISNUMBER(H1434)),G1434=0),"",I1434/G1434)</f>
        <v/>
      </c>
      <c r="K1434" s="319">
        <f>IF(OR(NOT(ISNUMBER(G1434)),NOT(ISNUMBER(H1434)),G1434=0),"",H1434/G1434)</f>
        <v/>
      </c>
      <c r="L1434">
        <f>IF(NOT(ISNUMBER(G1434)),"SEM META",IF(G1434=0,"SEM META",IF(NOT(ISNUMBER(H1434)),"SEM APONTAMENTO",IF(H1434&gt;=G1434,"VERDE",IF(H1434&gt;=G1434*0.9,"AMARELO","VERMELHO")))))</f>
        <v/>
      </c>
      <c r="M1434" s="162" t="n"/>
      <c r="N1434" s="162" t="n"/>
      <c r="O1434" s="162" t="n"/>
      <c r="P1434" s="162" t="n"/>
      <c r="Q1434" s="320" t="n"/>
      <c r="R1434" s="162" t="inlineStr">
        <is>
          <t>CONTROLE PRODUÇÃO POR EMPRESAS!F244</t>
        </is>
      </c>
    </row>
    <row r="1435" ht="28.5" customHeight="1">
      <c r="A1435" s="317" t="n">
        <v>46461</v>
      </c>
      <c r="B1435" t="inlineStr">
        <is>
          <t>GERAL</t>
        </is>
      </c>
      <c r="C1435" t="inlineStr">
        <is>
          <t>CMM</t>
        </is>
      </c>
      <c r="D1435" t="inlineStr">
        <is>
          <t>VIGAS</t>
        </is>
      </c>
      <c r="F1435" s="159">
        <f>IFERROR(INDEX('BASE METAS DIÁRIAS'!$N$2:$S$358,MATCH($A1435,'BASE METAS DIÁRIAS'!$A$2:$A$358,0),MOD(ROW()-2,6)+1),"")</f>
        <v/>
      </c>
      <c r="G1435" s="159">
        <f>IFERROR(IF(WEEKDAY($A1435,2)&lt;=INDEX('BASE METAS DIÁRIAS'!$H$2:$M$358,MATCH($A1435,'BASE METAS DIÁRIAS'!$A$2:$A$358,0),MOD(ROW()-2,6)+1),INDEX('BASE METAS DIÁRIAS'!$B$2:$G$358,MATCH($A1435,'BASE METAS DIÁRIAS'!$A$2:$A$358,0),MOD(ROW()-2,6)+1),""),"")</f>
        <v/>
      </c>
      <c r="H1435" s="159">
        <f>IFERROR(IF(INDEX('CONTROLE PRODUÇÃO POR EMPRESAS'!$B$6:$G$5000,MATCH($A1435,'CONTROLE PRODUÇÃO POR EMPRESAS'!$A$6:$A$5000,0),MOD(ROW()-2,6)+1)="","",IFERROR(1*INDEX('CONTROLE PRODUÇÃO POR EMPRESAS'!$B$6:$G$5000,MATCH($A1435,'CONTROLE PRODUÇÃO POR EMPRESAS'!$A$6:$A$5000,0),MOD(ROW()-2,6)+1),"")),"")</f>
        <v/>
      </c>
      <c r="I1435" s="159">
        <f>IF(OR(NOT(ISNUMBER(G1435)),NOT(ISNUMBER(H1435))),"",H1435-G1435)</f>
        <v/>
      </c>
      <c r="J1435" s="319">
        <f>IF(OR(NOT(ISNUMBER(G1435)),NOT(ISNUMBER(H1435)),G1435=0),"",I1435/G1435)</f>
        <v/>
      </c>
      <c r="K1435" s="319">
        <f>IF(OR(NOT(ISNUMBER(G1435)),NOT(ISNUMBER(H1435)),G1435=0),"",H1435/G1435)</f>
        <v/>
      </c>
      <c r="L1435">
        <f>IF(NOT(ISNUMBER(G1435)),"SEM META",IF(G1435=0,"SEM META",IF(NOT(ISNUMBER(H1435)),"SEM APONTAMENTO",IF(H1435&gt;=G1435,"VERDE",IF(H1435&gt;=G1435*0.9,"AMARELO","VERMELHO")))))</f>
        <v/>
      </c>
      <c r="M1435" s="162" t="n"/>
      <c r="N1435" s="162" t="n"/>
      <c r="O1435" s="162" t="n"/>
      <c r="P1435" s="162" t="n"/>
      <c r="Q1435" s="320" t="n"/>
      <c r="R1435" s="162" t="inlineStr">
        <is>
          <t>CONTROLE PRODUÇÃO POR EMPRESAS!G244</t>
        </is>
      </c>
    </row>
    <row r="1436" ht="28.5" customHeight="1">
      <c r="A1436" s="317" t="n">
        <v>46462</v>
      </c>
      <c r="B1436" t="inlineStr">
        <is>
          <t>GERAL</t>
        </is>
      </c>
      <c r="C1436" t="inlineStr">
        <is>
          <t>EJ</t>
        </is>
      </c>
      <c r="D1436" t="inlineStr">
        <is>
          <t>PREMONTAGEM</t>
        </is>
      </c>
      <c r="F1436" s="159">
        <f>IFERROR(INDEX('BASE METAS DIÁRIAS'!$N$2:$S$358,MATCH($A1436,'BASE METAS DIÁRIAS'!$A$2:$A$358,0),MOD(ROW()-2,6)+1),"")</f>
        <v/>
      </c>
      <c r="G1436" s="159">
        <f>IFERROR(IF(WEEKDAY($A1436,2)&lt;=INDEX('BASE METAS DIÁRIAS'!$H$2:$M$358,MATCH($A1436,'BASE METAS DIÁRIAS'!$A$2:$A$358,0),MOD(ROW()-2,6)+1),INDEX('BASE METAS DIÁRIAS'!$B$2:$G$358,MATCH($A1436,'BASE METAS DIÁRIAS'!$A$2:$A$358,0),MOD(ROW()-2,6)+1),""),"")</f>
        <v/>
      </c>
      <c r="H1436" s="159">
        <f>IFERROR(IF(INDEX('CONTROLE PRODUÇÃO POR EMPRESAS'!$B$6:$G$5000,MATCH($A1436,'CONTROLE PRODUÇÃO POR EMPRESAS'!$A$6:$A$5000,0),MOD(ROW()-2,6)+1)="","",IFERROR(1*INDEX('CONTROLE PRODUÇÃO POR EMPRESAS'!$B$6:$G$5000,MATCH($A1436,'CONTROLE PRODUÇÃO POR EMPRESAS'!$A$6:$A$5000,0),MOD(ROW()-2,6)+1),"")),"")</f>
        <v/>
      </c>
      <c r="I1436" s="159">
        <f>IF(OR(NOT(ISNUMBER(G1436)),NOT(ISNUMBER(H1436))),"",H1436-G1436)</f>
        <v/>
      </c>
      <c r="J1436" s="319">
        <f>IF(OR(NOT(ISNUMBER(G1436)),NOT(ISNUMBER(H1436)),G1436=0),"",I1436/G1436)</f>
        <v/>
      </c>
      <c r="K1436" s="319">
        <f>IF(OR(NOT(ISNUMBER(G1436)),NOT(ISNUMBER(H1436)),G1436=0),"",H1436/G1436)</f>
        <v/>
      </c>
      <c r="L1436">
        <f>IF(NOT(ISNUMBER(G1436)),"SEM META",IF(G1436=0,"SEM META",IF(NOT(ISNUMBER(H1436)),"SEM APONTAMENTO",IF(H1436&gt;=G1436,"VERDE",IF(H1436&gt;=G1436*0.9,"AMARELO","VERMELHO")))))</f>
        <v/>
      </c>
      <c r="M1436" s="162" t="n"/>
      <c r="N1436" s="162" t="n"/>
      <c r="O1436" s="162" t="n"/>
      <c r="P1436" s="162" t="n"/>
      <c r="Q1436" s="320" t="n"/>
      <c r="R1436" s="162" t="inlineStr">
        <is>
          <t>CONTROLE PRODUÇÃO POR EMPRESAS!B245</t>
        </is>
      </c>
    </row>
    <row r="1437" ht="28.5" customHeight="1">
      <c r="A1437" s="317" t="n">
        <v>46462</v>
      </c>
      <c r="B1437" t="inlineStr">
        <is>
          <t>GERAL</t>
        </is>
      </c>
      <c r="C1437" t="inlineStr">
        <is>
          <t>EJ</t>
        </is>
      </c>
      <c r="D1437" t="inlineStr">
        <is>
          <t>IÇAMENTO JOIST</t>
        </is>
      </c>
      <c r="F1437" s="159">
        <f>IFERROR(INDEX('BASE METAS DIÁRIAS'!$N$2:$S$358,MATCH($A1437,'BASE METAS DIÁRIAS'!$A$2:$A$358,0),MOD(ROW()-2,6)+1),"")</f>
        <v/>
      </c>
      <c r="G1437" s="159">
        <f>IFERROR(IF(WEEKDAY($A1437,2)&lt;=INDEX('BASE METAS DIÁRIAS'!$H$2:$M$358,MATCH($A1437,'BASE METAS DIÁRIAS'!$A$2:$A$358,0),MOD(ROW()-2,6)+1),INDEX('BASE METAS DIÁRIAS'!$B$2:$G$358,MATCH($A1437,'BASE METAS DIÁRIAS'!$A$2:$A$358,0),MOD(ROW()-2,6)+1),""),"")</f>
        <v/>
      </c>
      <c r="H1437" s="159">
        <f>IFERROR(IF(INDEX('CONTROLE PRODUÇÃO POR EMPRESAS'!$B$6:$G$5000,MATCH($A1437,'CONTROLE PRODUÇÃO POR EMPRESAS'!$A$6:$A$5000,0),MOD(ROW()-2,6)+1)="","",IFERROR(1*INDEX('CONTROLE PRODUÇÃO POR EMPRESAS'!$B$6:$G$5000,MATCH($A1437,'CONTROLE PRODUÇÃO POR EMPRESAS'!$A$6:$A$5000,0),MOD(ROW()-2,6)+1),"")),"")</f>
        <v/>
      </c>
      <c r="I1437" s="159">
        <f>IF(OR(NOT(ISNUMBER(G1437)),NOT(ISNUMBER(H1437))),"",H1437-G1437)</f>
        <v/>
      </c>
      <c r="J1437" s="319">
        <f>IF(OR(NOT(ISNUMBER(G1437)),NOT(ISNUMBER(H1437)),G1437=0),"",I1437/G1437)</f>
        <v/>
      </c>
      <c r="K1437" s="319">
        <f>IF(OR(NOT(ISNUMBER(G1437)),NOT(ISNUMBER(H1437)),G1437=0),"",H1437/G1437)</f>
        <v/>
      </c>
      <c r="L1437">
        <f>IF(NOT(ISNUMBER(G1437)),"SEM META",IF(G1437=0,"SEM META",IF(NOT(ISNUMBER(H1437)),"SEM APONTAMENTO",IF(H1437&gt;=G1437,"VERDE",IF(H1437&gt;=G1437*0.9,"AMARELO","VERMELHO")))))</f>
        <v/>
      </c>
      <c r="M1437" s="162" t="n"/>
      <c r="N1437" s="162" t="n"/>
      <c r="O1437" s="162" t="n"/>
      <c r="P1437" s="162" t="n"/>
      <c r="Q1437" s="320" t="n"/>
      <c r="R1437" s="162" t="inlineStr">
        <is>
          <t>CONTROLE PRODUÇÃO POR EMPRESAS!C245</t>
        </is>
      </c>
    </row>
    <row r="1438" ht="28.5" customHeight="1">
      <c r="A1438" s="317" t="n">
        <v>46462</v>
      </c>
      <c r="B1438" t="inlineStr">
        <is>
          <t>GERAL</t>
        </is>
      </c>
      <c r="C1438" t="inlineStr">
        <is>
          <t>EJ</t>
        </is>
      </c>
      <c r="D1438" t="inlineStr">
        <is>
          <t>VIGAS</t>
        </is>
      </c>
      <c r="F1438" s="159">
        <f>IFERROR(INDEX('BASE METAS DIÁRIAS'!$N$2:$S$358,MATCH($A1438,'BASE METAS DIÁRIAS'!$A$2:$A$358,0),MOD(ROW()-2,6)+1),"")</f>
        <v/>
      </c>
      <c r="G1438" s="159">
        <f>IFERROR(IF(WEEKDAY($A1438,2)&lt;=INDEX('BASE METAS DIÁRIAS'!$H$2:$M$358,MATCH($A1438,'BASE METAS DIÁRIAS'!$A$2:$A$358,0),MOD(ROW()-2,6)+1),INDEX('BASE METAS DIÁRIAS'!$B$2:$G$358,MATCH($A1438,'BASE METAS DIÁRIAS'!$A$2:$A$358,0),MOD(ROW()-2,6)+1),""),"")</f>
        <v/>
      </c>
      <c r="H1438" s="159">
        <f>IFERROR(IF(INDEX('CONTROLE PRODUÇÃO POR EMPRESAS'!$B$6:$G$5000,MATCH($A1438,'CONTROLE PRODUÇÃO POR EMPRESAS'!$A$6:$A$5000,0),MOD(ROW()-2,6)+1)="","",IFERROR(1*INDEX('CONTROLE PRODUÇÃO POR EMPRESAS'!$B$6:$G$5000,MATCH($A1438,'CONTROLE PRODUÇÃO POR EMPRESAS'!$A$6:$A$5000,0),MOD(ROW()-2,6)+1),"")),"")</f>
        <v/>
      </c>
      <c r="I1438" s="159">
        <f>IF(OR(NOT(ISNUMBER(G1438)),NOT(ISNUMBER(H1438))),"",H1438-G1438)</f>
        <v/>
      </c>
      <c r="J1438" s="319">
        <f>IF(OR(NOT(ISNUMBER(G1438)),NOT(ISNUMBER(H1438)),G1438=0),"",I1438/G1438)</f>
        <v/>
      </c>
      <c r="K1438" s="319">
        <f>IF(OR(NOT(ISNUMBER(G1438)),NOT(ISNUMBER(H1438)),G1438=0),"",H1438/G1438)</f>
        <v/>
      </c>
      <c r="L1438">
        <f>IF(NOT(ISNUMBER(G1438)),"SEM META",IF(G1438=0,"SEM META",IF(NOT(ISNUMBER(H1438)),"SEM APONTAMENTO",IF(H1438&gt;=G1438,"VERDE",IF(H1438&gt;=G1438*0.9,"AMARELO","VERMELHO")))))</f>
        <v/>
      </c>
      <c r="M1438" s="162" t="n"/>
      <c r="N1438" s="162" t="n"/>
      <c r="O1438" s="162" t="n"/>
      <c r="P1438" s="162" t="n"/>
      <c r="Q1438" s="320" t="n"/>
      <c r="R1438" s="162" t="inlineStr">
        <is>
          <t>CONTROLE PRODUÇÃO POR EMPRESAS!D245</t>
        </is>
      </c>
    </row>
    <row r="1439" ht="28.5" customHeight="1">
      <c r="A1439" s="317" t="n">
        <v>46462</v>
      </c>
      <c r="B1439" t="inlineStr">
        <is>
          <t>GERAL</t>
        </is>
      </c>
      <c r="C1439" t="inlineStr">
        <is>
          <t>CMM</t>
        </is>
      </c>
      <c r="D1439" t="inlineStr">
        <is>
          <t>PREMONTAGEM</t>
        </is>
      </c>
      <c r="F1439" s="159">
        <f>IFERROR(INDEX('BASE METAS DIÁRIAS'!$N$2:$S$358,MATCH($A1439,'BASE METAS DIÁRIAS'!$A$2:$A$358,0),MOD(ROW()-2,6)+1),"")</f>
        <v/>
      </c>
      <c r="G1439" s="159">
        <f>IFERROR(IF(WEEKDAY($A1439,2)&lt;=INDEX('BASE METAS DIÁRIAS'!$H$2:$M$358,MATCH($A1439,'BASE METAS DIÁRIAS'!$A$2:$A$358,0),MOD(ROW()-2,6)+1),INDEX('BASE METAS DIÁRIAS'!$B$2:$G$358,MATCH($A1439,'BASE METAS DIÁRIAS'!$A$2:$A$358,0),MOD(ROW()-2,6)+1),""),"")</f>
        <v/>
      </c>
      <c r="H1439" s="159">
        <f>IFERROR(IF(INDEX('CONTROLE PRODUÇÃO POR EMPRESAS'!$B$6:$G$5000,MATCH($A1439,'CONTROLE PRODUÇÃO POR EMPRESAS'!$A$6:$A$5000,0),MOD(ROW()-2,6)+1)="","",IFERROR(1*INDEX('CONTROLE PRODUÇÃO POR EMPRESAS'!$B$6:$G$5000,MATCH($A1439,'CONTROLE PRODUÇÃO POR EMPRESAS'!$A$6:$A$5000,0),MOD(ROW()-2,6)+1),"")),"")</f>
        <v/>
      </c>
      <c r="I1439" s="159">
        <f>IF(OR(NOT(ISNUMBER(G1439)),NOT(ISNUMBER(H1439))),"",H1439-G1439)</f>
        <v/>
      </c>
      <c r="J1439" s="319">
        <f>IF(OR(NOT(ISNUMBER(G1439)),NOT(ISNUMBER(H1439)),G1439=0),"",I1439/G1439)</f>
        <v/>
      </c>
      <c r="K1439" s="319">
        <f>IF(OR(NOT(ISNUMBER(G1439)),NOT(ISNUMBER(H1439)),G1439=0),"",H1439/G1439)</f>
        <v/>
      </c>
      <c r="L1439">
        <f>IF(NOT(ISNUMBER(G1439)),"SEM META",IF(G1439=0,"SEM META",IF(NOT(ISNUMBER(H1439)),"SEM APONTAMENTO",IF(H1439&gt;=G1439,"VERDE",IF(H1439&gt;=G1439*0.9,"AMARELO","VERMELHO")))))</f>
        <v/>
      </c>
      <c r="M1439" s="162" t="n"/>
      <c r="N1439" s="162" t="n"/>
      <c r="O1439" s="162" t="n"/>
      <c r="P1439" s="162" t="n"/>
      <c r="Q1439" s="320" t="n"/>
      <c r="R1439" s="162" t="inlineStr">
        <is>
          <t>CONTROLE PRODUÇÃO POR EMPRESAS!E245</t>
        </is>
      </c>
    </row>
    <row r="1440" ht="28.5" customHeight="1">
      <c r="A1440" s="317" t="n">
        <v>46462</v>
      </c>
      <c r="B1440" t="inlineStr">
        <is>
          <t>GERAL</t>
        </is>
      </c>
      <c r="C1440" t="inlineStr">
        <is>
          <t>CMM</t>
        </is>
      </c>
      <c r="D1440" t="inlineStr">
        <is>
          <t>IÇAMENTO JOIST</t>
        </is>
      </c>
      <c r="F1440" s="159">
        <f>IFERROR(INDEX('BASE METAS DIÁRIAS'!$N$2:$S$358,MATCH($A1440,'BASE METAS DIÁRIAS'!$A$2:$A$358,0),MOD(ROW()-2,6)+1),"")</f>
        <v/>
      </c>
      <c r="G1440" s="159">
        <f>IFERROR(IF(WEEKDAY($A1440,2)&lt;=INDEX('BASE METAS DIÁRIAS'!$H$2:$M$358,MATCH($A1440,'BASE METAS DIÁRIAS'!$A$2:$A$358,0),MOD(ROW()-2,6)+1),INDEX('BASE METAS DIÁRIAS'!$B$2:$G$358,MATCH($A1440,'BASE METAS DIÁRIAS'!$A$2:$A$358,0),MOD(ROW()-2,6)+1),""),"")</f>
        <v/>
      </c>
      <c r="H1440" s="159">
        <f>IFERROR(IF(INDEX('CONTROLE PRODUÇÃO POR EMPRESAS'!$B$6:$G$5000,MATCH($A1440,'CONTROLE PRODUÇÃO POR EMPRESAS'!$A$6:$A$5000,0),MOD(ROW()-2,6)+1)="","",IFERROR(1*INDEX('CONTROLE PRODUÇÃO POR EMPRESAS'!$B$6:$G$5000,MATCH($A1440,'CONTROLE PRODUÇÃO POR EMPRESAS'!$A$6:$A$5000,0),MOD(ROW()-2,6)+1),"")),"")</f>
        <v/>
      </c>
      <c r="I1440" s="159">
        <f>IF(OR(NOT(ISNUMBER(G1440)),NOT(ISNUMBER(H1440))),"",H1440-G1440)</f>
        <v/>
      </c>
      <c r="J1440" s="319">
        <f>IF(OR(NOT(ISNUMBER(G1440)),NOT(ISNUMBER(H1440)),G1440=0),"",I1440/G1440)</f>
        <v/>
      </c>
      <c r="K1440" s="319">
        <f>IF(OR(NOT(ISNUMBER(G1440)),NOT(ISNUMBER(H1440)),G1440=0),"",H1440/G1440)</f>
        <v/>
      </c>
      <c r="L1440">
        <f>IF(NOT(ISNUMBER(G1440)),"SEM META",IF(G1440=0,"SEM META",IF(NOT(ISNUMBER(H1440)),"SEM APONTAMENTO",IF(H1440&gt;=G1440,"VERDE",IF(H1440&gt;=G1440*0.9,"AMARELO","VERMELHO")))))</f>
        <v/>
      </c>
      <c r="M1440" s="162" t="n"/>
      <c r="N1440" s="162" t="n"/>
      <c r="O1440" s="162" t="n"/>
      <c r="P1440" s="162" t="n"/>
      <c r="Q1440" s="320" t="n"/>
      <c r="R1440" s="162" t="inlineStr">
        <is>
          <t>CONTROLE PRODUÇÃO POR EMPRESAS!F245</t>
        </is>
      </c>
    </row>
    <row r="1441" ht="28.5" customHeight="1">
      <c r="A1441" s="317" t="n">
        <v>46462</v>
      </c>
      <c r="B1441" t="inlineStr">
        <is>
          <t>GERAL</t>
        </is>
      </c>
      <c r="C1441" t="inlineStr">
        <is>
          <t>CMM</t>
        </is>
      </c>
      <c r="D1441" t="inlineStr">
        <is>
          <t>VIGAS</t>
        </is>
      </c>
      <c r="F1441" s="159">
        <f>IFERROR(INDEX('BASE METAS DIÁRIAS'!$N$2:$S$358,MATCH($A1441,'BASE METAS DIÁRIAS'!$A$2:$A$358,0),MOD(ROW()-2,6)+1),"")</f>
        <v/>
      </c>
      <c r="G1441" s="159">
        <f>IFERROR(IF(WEEKDAY($A1441,2)&lt;=INDEX('BASE METAS DIÁRIAS'!$H$2:$M$358,MATCH($A1441,'BASE METAS DIÁRIAS'!$A$2:$A$358,0),MOD(ROW()-2,6)+1),INDEX('BASE METAS DIÁRIAS'!$B$2:$G$358,MATCH($A1441,'BASE METAS DIÁRIAS'!$A$2:$A$358,0),MOD(ROW()-2,6)+1),""),"")</f>
        <v/>
      </c>
      <c r="H1441" s="159">
        <f>IFERROR(IF(INDEX('CONTROLE PRODUÇÃO POR EMPRESAS'!$B$6:$G$5000,MATCH($A1441,'CONTROLE PRODUÇÃO POR EMPRESAS'!$A$6:$A$5000,0),MOD(ROW()-2,6)+1)="","",IFERROR(1*INDEX('CONTROLE PRODUÇÃO POR EMPRESAS'!$B$6:$G$5000,MATCH($A1441,'CONTROLE PRODUÇÃO POR EMPRESAS'!$A$6:$A$5000,0),MOD(ROW()-2,6)+1),"")),"")</f>
        <v/>
      </c>
      <c r="I1441" s="159">
        <f>IF(OR(NOT(ISNUMBER(G1441)),NOT(ISNUMBER(H1441))),"",H1441-G1441)</f>
        <v/>
      </c>
      <c r="J1441" s="319">
        <f>IF(OR(NOT(ISNUMBER(G1441)),NOT(ISNUMBER(H1441)),G1441=0),"",I1441/G1441)</f>
        <v/>
      </c>
      <c r="K1441" s="319">
        <f>IF(OR(NOT(ISNUMBER(G1441)),NOT(ISNUMBER(H1441)),G1441=0),"",H1441/G1441)</f>
        <v/>
      </c>
      <c r="L1441">
        <f>IF(NOT(ISNUMBER(G1441)),"SEM META",IF(G1441=0,"SEM META",IF(NOT(ISNUMBER(H1441)),"SEM APONTAMENTO",IF(H1441&gt;=G1441,"VERDE",IF(H1441&gt;=G1441*0.9,"AMARELO","VERMELHO")))))</f>
        <v/>
      </c>
      <c r="M1441" s="162" t="n"/>
      <c r="N1441" s="162" t="n"/>
      <c r="O1441" s="162" t="n"/>
      <c r="P1441" s="162" t="n"/>
      <c r="Q1441" s="320" t="n"/>
      <c r="R1441" s="162" t="inlineStr">
        <is>
          <t>CONTROLE PRODUÇÃO POR EMPRESAS!G245</t>
        </is>
      </c>
    </row>
    <row r="1442" ht="28.5" customHeight="1">
      <c r="A1442" s="317" t="n">
        <v>46463</v>
      </c>
      <c r="B1442" t="inlineStr">
        <is>
          <t>GERAL</t>
        </is>
      </c>
      <c r="C1442" t="inlineStr">
        <is>
          <t>EJ</t>
        </is>
      </c>
      <c r="D1442" t="inlineStr">
        <is>
          <t>PREMONTAGEM</t>
        </is>
      </c>
      <c r="F1442" s="159">
        <f>IFERROR(INDEX('BASE METAS DIÁRIAS'!$N$2:$S$358,MATCH($A1442,'BASE METAS DIÁRIAS'!$A$2:$A$358,0),MOD(ROW()-2,6)+1),"")</f>
        <v/>
      </c>
      <c r="G1442" s="159">
        <f>IFERROR(IF(WEEKDAY($A1442,2)&lt;=INDEX('BASE METAS DIÁRIAS'!$H$2:$M$358,MATCH($A1442,'BASE METAS DIÁRIAS'!$A$2:$A$358,0),MOD(ROW()-2,6)+1),INDEX('BASE METAS DIÁRIAS'!$B$2:$G$358,MATCH($A1442,'BASE METAS DIÁRIAS'!$A$2:$A$358,0),MOD(ROW()-2,6)+1),""),"")</f>
        <v/>
      </c>
      <c r="H1442" s="159">
        <f>IFERROR(IF(INDEX('CONTROLE PRODUÇÃO POR EMPRESAS'!$B$6:$G$5000,MATCH($A1442,'CONTROLE PRODUÇÃO POR EMPRESAS'!$A$6:$A$5000,0),MOD(ROW()-2,6)+1)="","",IFERROR(1*INDEX('CONTROLE PRODUÇÃO POR EMPRESAS'!$B$6:$G$5000,MATCH($A1442,'CONTROLE PRODUÇÃO POR EMPRESAS'!$A$6:$A$5000,0),MOD(ROW()-2,6)+1),"")),"")</f>
        <v/>
      </c>
      <c r="I1442" s="159">
        <f>IF(OR(NOT(ISNUMBER(G1442)),NOT(ISNUMBER(H1442))),"",H1442-G1442)</f>
        <v/>
      </c>
      <c r="J1442" s="319">
        <f>IF(OR(NOT(ISNUMBER(G1442)),NOT(ISNUMBER(H1442)),G1442=0),"",I1442/G1442)</f>
        <v/>
      </c>
      <c r="K1442" s="319">
        <f>IF(OR(NOT(ISNUMBER(G1442)),NOT(ISNUMBER(H1442)),G1442=0),"",H1442/G1442)</f>
        <v/>
      </c>
      <c r="L1442">
        <f>IF(NOT(ISNUMBER(G1442)),"SEM META",IF(G1442=0,"SEM META",IF(NOT(ISNUMBER(H1442)),"SEM APONTAMENTO",IF(H1442&gt;=G1442,"VERDE",IF(H1442&gt;=G1442*0.9,"AMARELO","VERMELHO")))))</f>
        <v/>
      </c>
      <c r="M1442" s="162" t="n"/>
      <c r="N1442" s="162" t="n"/>
      <c r="O1442" s="162" t="n"/>
      <c r="P1442" s="162" t="n"/>
      <c r="Q1442" s="320" t="n"/>
      <c r="R1442" s="162" t="inlineStr">
        <is>
          <t>CONTROLE PRODUÇÃO POR EMPRESAS!B246</t>
        </is>
      </c>
    </row>
    <row r="1443" ht="28.5" customHeight="1">
      <c r="A1443" s="317" t="n">
        <v>46463</v>
      </c>
      <c r="B1443" t="inlineStr">
        <is>
          <t>GERAL</t>
        </is>
      </c>
      <c r="C1443" t="inlineStr">
        <is>
          <t>EJ</t>
        </is>
      </c>
      <c r="D1443" t="inlineStr">
        <is>
          <t>IÇAMENTO JOIST</t>
        </is>
      </c>
      <c r="F1443" s="159">
        <f>IFERROR(INDEX('BASE METAS DIÁRIAS'!$N$2:$S$358,MATCH($A1443,'BASE METAS DIÁRIAS'!$A$2:$A$358,0),MOD(ROW()-2,6)+1),"")</f>
        <v/>
      </c>
      <c r="G1443" s="159">
        <f>IFERROR(IF(WEEKDAY($A1443,2)&lt;=INDEX('BASE METAS DIÁRIAS'!$H$2:$M$358,MATCH($A1443,'BASE METAS DIÁRIAS'!$A$2:$A$358,0),MOD(ROW()-2,6)+1),INDEX('BASE METAS DIÁRIAS'!$B$2:$G$358,MATCH($A1443,'BASE METAS DIÁRIAS'!$A$2:$A$358,0),MOD(ROW()-2,6)+1),""),"")</f>
        <v/>
      </c>
      <c r="H1443" s="159">
        <f>IFERROR(IF(INDEX('CONTROLE PRODUÇÃO POR EMPRESAS'!$B$6:$G$5000,MATCH($A1443,'CONTROLE PRODUÇÃO POR EMPRESAS'!$A$6:$A$5000,0),MOD(ROW()-2,6)+1)="","",IFERROR(1*INDEX('CONTROLE PRODUÇÃO POR EMPRESAS'!$B$6:$G$5000,MATCH($A1443,'CONTROLE PRODUÇÃO POR EMPRESAS'!$A$6:$A$5000,0),MOD(ROW()-2,6)+1),"")),"")</f>
        <v/>
      </c>
      <c r="I1443" s="159">
        <f>IF(OR(NOT(ISNUMBER(G1443)),NOT(ISNUMBER(H1443))),"",H1443-G1443)</f>
        <v/>
      </c>
      <c r="J1443" s="319">
        <f>IF(OR(NOT(ISNUMBER(G1443)),NOT(ISNUMBER(H1443)),G1443=0),"",I1443/G1443)</f>
        <v/>
      </c>
      <c r="K1443" s="319">
        <f>IF(OR(NOT(ISNUMBER(G1443)),NOT(ISNUMBER(H1443)),G1443=0),"",H1443/G1443)</f>
        <v/>
      </c>
      <c r="L1443">
        <f>IF(NOT(ISNUMBER(G1443)),"SEM META",IF(G1443=0,"SEM META",IF(NOT(ISNUMBER(H1443)),"SEM APONTAMENTO",IF(H1443&gt;=G1443,"VERDE",IF(H1443&gt;=G1443*0.9,"AMARELO","VERMELHO")))))</f>
        <v/>
      </c>
      <c r="M1443" s="162" t="n"/>
      <c r="N1443" s="162" t="n"/>
      <c r="O1443" s="162" t="n"/>
      <c r="P1443" s="162" t="n"/>
      <c r="Q1443" s="320" t="n"/>
      <c r="R1443" s="162" t="inlineStr">
        <is>
          <t>CONTROLE PRODUÇÃO POR EMPRESAS!C246</t>
        </is>
      </c>
    </row>
    <row r="1444" ht="28.5" customHeight="1">
      <c r="A1444" s="317" t="n">
        <v>46463</v>
      </c>
      <c r="B1444" t="inlineStr">
        <is>
          <t>GERAL</t>
        </is>
      </c>
      <c r="C1444" t="inlineStr">
        <is>
          <t>EJ</t>
        </is>
      </c>
      <c r="D1444" t="inlineStr">
        <is>
          <t>VIGAS</t>
        </is>
      </c>
      <c r="F1444" s="159">
        <f>IFERROR(INDEX('BASE METAS DIÁRIAS'!$N$2:$S$358,MATCH($A1444,'BASE METAS DIÁRIAS'!$A$2:$A$358,0),MOD(ROW()-2,6)+1),"")</f>
        <v/>
      </c>
      <c r="G1444" s="159">
        <f>IFERROR(IF(WEEKDAY($A1444,2)&lt;=INDEX('BASE METAS DIÁRIAS'!$H$2:$M$358,MATCH($A1444,'BASE METAS DIÁRIAS'!$A$2:$A$358,0),MOD(ROW()-2,6)+1),INDEX('BASE METAS DIÁRIAS'!$B$2:$G$358,MATCH($A1444,'BASE METAS DIÁRIAS'!$A$2:$A$358,0),MOD(ROW()-2,6)+1),""),"")</f>
        <v/>
      </c>
      <c r="H1444" s="159">
        <f>IFERROR(IF(INDEX('CONTROLE PRODUÇÃO POR EMPRESAS'!$B$6:$G$5000,MATCH($A1444,'CONTROLE PRODUÇÃO POR EMPRESAS'!$A$6:$A$5000,0),MOD(ROW()-2,6)+1)="","",IFERROR(1*INDEX('CONTROLE PRODUÇÃO POR EMPRESAS'!$B$6:$G$5000,MATCH($A1444,'CONTROLE PRODUÇÃO POR EMPRESAS'!$A$6:$A$5000,0),MOD(ROW()-2,6)+1),"")),"")</f>
        <v/>
      </c>
      <c r="I1444" s="159">
        <f>IF(OR(NOT(ISNUMBER(G1444)),NOT(ISNUMBER(H1444))),"",H1444-G1444)</f>
        <v/>
      </c>
      <c r="J1444" s="319">
        <f>IF(OR(NOT(ISNUMBER(G1444)),NOT(ISNUMBER(H1444)),G1444=0),"",I1444/G1444)</f>
        <v/>
      </c>
      <c r="K1444" s="319">
        <f>IF(OR(NOT(ISNUMBER(G1444)),NOT(ISNUMBER(H1444)),G1444=0),"",H1444/G1444)</f>
        <v/>
      </c>
      <c r="L1444">
        <f>IF(NOT(ISNUMBER(G1444)),"SEM META",IF(G1444=0,"SEM META",IF(NOT(ISNUMBER(H1444)),"SEM APONTAMENTO",IF(H1444&gt;=G1444,"VERDE",IF(H1444&gt;=G1444*0.9,"AMARELO","VERMELHO")))))</f>
        <v/>
      </c>
      <c r="M1444" s="162" t="n"/>
      <c r="N1444" s="162" t="n"/>
      <c r="O1444" s="162" t="n"/>
      <c r="P1444" s="162" t="n"/>
      <c r="Q1444" s="320" t="n"/>
      <c r="R1444" s="162" t="inlineStr">
        <is>
          <t>CONTROLE PRODUÇÃO POR EMPRESAS!D246</t>
        </is>
      </c>
    </row>
    <row r="1445" ht="28.5" customHeight="1">
      <c r="A1445" s="317" t="n">
        <v>46463</v>
      </c>
      <c r="B1445" t="inlineStr">
        <is>
          <t>GERAL</t>
        </is>
      </c>
      <c r="C1445" t="inlineStr">
        <is>
          <t>CMM</t>
        </is>
      </c>
      <c r="D1445" t="inlineStr">
        <is>
          <t>PREMONTAGEM</t>
        </is>
      </c>
      <c r="F1445" s="159">
        <f>IFERROR(INDEX('BASE METAS DIÁRIAS'!$N$2:$S$358,MATCH($A1445,'BASE METAS DIÁRIAS'!$A$2:$A$358,0),MOD(ROW()-2,6)+1),"")</f>
        <v/>
      </c>
      <c r="G1445" s="159">
        <f>IFERROR(IF(WEEKDAY($A1445,2)&lt;=INDEX('BASE METAS DIÁRIAS'!$H$2:$M$358,MATCH($A1445,'BASE METAS DIÁRIAS'!$A$2:$A$358,0),MOD(ROW()-2,6)+1),INDEX('BASE METAS DIÁRIAS'!$B$2:$G$358,MATCH($A1445,'BASE METAS DIÁRIAS'!$A$2:$A$358,0),MOD(ROW()-2,6)+1),""),"")</f>
        <v/>
      </c>
      <c r="H1445" s="159">
        <f>IFERROR(IF(INDEX('CONTROLE PRODUÇÃO POR EMPRESAS'!$B$6:$G$5000,MATCH($A1445,'CONTROLE PRODUÇÃO POR EMPRESAS'!$A$6:$A$5000,0),MOD(ROW()-2,6)+1)="","",IFERROR(1*INDEX('CONTROLE PRODUÇÃO POR EMPRESAS'!$B$6:$G$5000,MATCH($A1445,'CONTROLE PRODUÇÃO POR EMPRESAS'!$A$6:$A$5000,0),MOD(ROW()-2,6)+1),"")),"")</f>
        <v/>
      </c>
      <c r="I1445" s="159">
        <f>IF(OR(NOT(ISNUMBER(G1445)),NOT(ISNUMBER(H1445))),"",H1445-G1445)</f>
        <v/>
      </c>
      <c r="J1445" s="319">
        <f>IF(OR(NOT(ISNUMBER(G1445)),NOT(ISNUMBER(H1445)),G1445=0),"",I1445/G1445)</f>
        <v/>
      </c>
      <c r="K1445" s="319">
        <f>IF(OR(NOT(ISNUMBER(G1445)),NOT(ISNUMBER(H1445)),G1445=0),"",H1445/G1445)</f>
        <v/>
      </c>
      <c r="L1445">
        <f>IF(NOT(ISNUMBER(G1445)),"SEM META",IF(G1445=0,"SEM META",IF(NOT(ISNUMBER(H1445)),"SEM APONTAMENTO",IF(H1445&gt;=G1445,"VERDE",IF(H1445&gt;=G1445*0.9,"AMARELO","VERMELHO")))))</f>
        <v/>
      </c>
      <c r="M1445" s="162" t="n"/>
      <c r="N1445" s="162" t="n"/>
      <c r="O1445" s="162" t="n"/>
      <c r="P1445" s="162" t="n"/>
      <c r="Q1445" s="320" t="n"/>
      <c r="R1445" s="162" t="inlineStr">
        <is>
          <t>CONTROLE PRODUÇÃO POR EMPRESAS!E246</t>
        </is>
      </c>
    </row>
    <row r="1446" ht="28.5" customHeight="1">
      <c r="A1446" s="317" t="n">
        <v>46463</v>
      </c>
      <c r="B1446" t="inlineStr">
        <is>
          <t>GERAL</t>
        </is>
      </c>
      <c r="C1446" t="inlineStr">
        <is>
          <t>CMM</t>
        </is>
      </c>
      <c r="D1446" t="inlineStr">
        <is>
          <t>IÇAMENTO JOIST</t>
        </is>
      </c>
      <c r="F1446" s="159">
        <f>IFERROR(INDEX('BASE METAS DIÁRIAS'!$N$2:$S$358,MATCH($A1446,'BASE METAS DIÁRIAS'!$A$2:$A$358,0),MOD(ROW()-2,6)+1),"")</f>
        <v/>
      </c>
      <c r="G1446" s="159">
        <f>IFERROR(IF(WEEKDAY($A1446,2)&lt;=INDEX('BASE METAS DIÁRIAS'!$H$2:$M$358,MATCH($A1446,'BASE METAS DIÁRIAS'!$A$2:$A$358,0),MOD(ROW()-2,6)+1),INDEX('BASE METAS DIÁRIAS'!$B$2:$G$358,MATCH($A1446,'BASE METAS DIÁRIAS'!$A$2:$A$358,0),MOD(ROW()-2,6)+1),""),"")</f>
        <v/>
      </c>
      <c r="H1446" s="159">
        <f>IFERROR(IF(INDEX('CONTROLE PRODUÇÃO POR EMPRESAS'!$B$6:$G$5000,MATCH($A1446,'CONTROLE PRODUÇÃO POR EMPRESAS'!$A$6:$A$5000,0),MOD(ROW()-2,6)+1)="","",IFERROR(1*INDEX('CONTROLE PRODUÇÃO POR EMPRESAS'!$B$6:$G$5000,MATCH($A1446,'CONTROLE PRODUÇÃO POR EMPRESAS'!$A$6:$A$5000,0),MOD(ROW()-2,6)+1),"")),"")</f>
        <v/>
      </c>
      <c r="I1446" s="159">
        <f>IF(OR(NOT(ISNUMBER(G1446)),NOT(ISNUMBER(H1446))),"",H1446-G1446)</f>
        <v/>
      </c>
      <c r="J1446" s="319">
        <f>IF(OR(NOT(ISNUMBER(G1446)),NOT(ISNUMBER(H1446)),G1446=0),"",I1446/G1446)</f>
        <v/>
      </c>
      <c r="K1446" s="319">
        <f>IF(OR(NOT(ISNUMBER(G1446)),NOT(ISNUMBER(H1446)),G1446=0),"",H1446/G1446)</f>
        <v/>
      </c>
      <c r="L1446">
        <f>IF(NOT(ISNUMBER(G1446)),"SEM META",IF(G1446=0,"SEM META",IF(NOT(ISNUMBER(H1446)),"SEM APONTAMENTO",IF(H1446&gt;=G1446,"VERDE",IF(H1446&gt;=G1446*0.9,"AMARELO","VERMELHO")))))</f>
        <v/>
      </c>
      <c r="M1446" s="162" t="n"/>
      <c r="N1446" s="162" t="n"/>
      <c r="O1446" s="162" t="n"/>
      <c r="P1446" s="162" t="n"/>
      <c r="Q1446" s="320" t="n"/>
      <c r="R1446" s="162" t="inlineStr">
        <is>
          <t>CONTROLE PRODUÇÃO POR EMPRESAS!F246</t>
        </is>
      </c>
    </row>
    <row r="1447" ht="28.5" customHeight="1">
      <c r="A1447" s="317" t="n">
        <v>46463</v>
      </c>
      <c r="B1447" t="inlineStr">
        <is>
          <t>GERAL</t>
        </is>
      </c>
      <c r="C1447" t="inlineStr">
        <is>
          <t>CMM</t>
        </is>
      </c>
      <c r="D1447" t="inlineStr">
        <is>
          <t>VIGAS</t>
        </is>
      </c>
      <c r="F1447" s="159">
        <f>IFERROR(INDEX('BASE METAS DIÁRIAS'!$N$2:$S$358,MATCH($A1447,'BASE METAS DIÁRIAS'!$A$2:$A$358,0),MOD(ROW()-2,6)+1),"")</f>
        <v/>
      </c>
      <c r="G1447" s="159">
        <f>IFERROR(IF(WEEKDAY($A1447,2)&lt;=INDEX('BASE METAS DIÁRIAS'!$H$2:$M$358,MATCH($A1447,'BASE METAS DIÁRIAS'!$A$2:$A$358,0),MOD(ROW()-2,6)+1),INDEX('BASE METAS DIÁRIAS'!$B$2:$G$358,MATCH($A1447,'BASE METAS DIÁRIAS'!$A$2:$A$358,0),MOD(ROW()-2,6)+1),""),"")</f>
        <v/>
      </c>
      <c r="H1447" s="159">
        <f>IFERROR(IF(INDEX('CONTROLE PRODUÇÃO POR EMPRESAS'!$B$6:$G$5000,MATCH($A1447,'CONTROLE PRODUÇÃO POR EMPRESAS'!$A$6:$A$5000,0),MOD(ROW()-2,6)+1)="","",IFERROR(1*INDEX('CONTROLE PRODUÇÃO POR EMPRESAS'!$B$6:$G$5000,MATCH($A1447,'CONTROLE PRODUÇÃO POR EMPRESAS'!$A$6:$A$5000,0),MOD(ROW()-2,6)+1),"")),"")</f>
        <v/>
      </c>
      <c r="I1447" s="159">
        <f>IF(OR(NOT(ISNUMBER(G1447)),NOT(ISNUMBER(H1447))),"",H1447-G1447)</f>
        <v/>
      </c>
      <c r="J1447" s="319">
        <f>IF(OR(NOT(ISNUMBER(G1447)),NOT(ISNUMBER(H1447)),G1447=0),"",I1447/G1447)</f>
        <v/>
      </c>
      <c r="K1447" s="319">
        <f>IF(OR(NOT(ISNUMBER(G1447)),NOT(ISNUMBER(H1447)),G1447=0),"",H1447/G1447)</f>
        <v/>
      </c>
      <c r="L1447">
        <f>IF(NOT(ISNUMBER(G1447)),"SEM META",IF(G1447=0,"SEM META",IF(NOT(ISNUMBER(H1447)),"SEM APONTAMENTO",IF(H1447&gt;=G1447,"VERDE",IF(H1447&gt;=G1447*0.9,"AMARELO","VERMELHO")))))</f>
        <v/>
      </c>
      <c r="M1447" s="162" t="n"/>
      <c r="N1447" s="162" t="n"/>
      <c r="O1447" s="162" t="n"/>
      <c r="P1447" s="162" t="n"/>
      <c r="Q1447" s="320" t="n"/>
      <c r="R1447" s="162" t="inlineStr">
        <is>
          <t>CONTROLE PRODUÇÃO POR EMPRESAS!G246</t>
        </is>
      </c>
    </row>
    <row r="1448" ht="28.5" customHeight="1">
      <c r="A1448" s="317" t="n">
        <v>46464</v>
      </c>
      <c r="B1448" t="inlineStr">
        <is>
          <t>GERAL</t>
        </is>
      </c>
      <c r="C1448" t="inlineStr">
        <is>
          <t>EJ</t>
        </is>
      </c>
      <c r="D1448" t="inlineStr">
        <is>
          <t>PREMONTAGEM</t>
        </is>
      </c>
      <c r="F1448" s="159">
        <f>IFERROR(INDEX('BASE METAS DIÁRIAS'!$N$2:$S$358,MATCH($A1448,'BASE METAS DIÁRIAS'!$A$2:$A$358,0),MOD(ROW()-2,6)+1),"")</f>
        <v/>
      </c>
      <c r="G1448" s="159">
        <f>IFERROR(IF(WEEKDAY($A1448,2)&lt;=INDEX('BASE METAS DIÁRIAS'!$H$2:$M$358,MATCH($A1448,'BASE METAS DIÁRIAS'!$A$2:$A$358,0),MOD(ROW()-2,6)+1),INDEX('BASE METAS DIÁRIAS'!$B$2:$G$358,MATCH($A1448,'BASE METAS DIÁRIAS'!$A$2:$A$358,0),MOD(ROW()-2,6)+1),""),"")</f>
        <v/>
      </c>
      <c r="H1448" s="159">
        <f>IFERROR(IF(INDEX('CONTROLE PRODUÇÃO POR EMPRESAS'!$B$6:$G$5000,MATCH($A1448,'CONTROLE PRODUÇÃO POR EMPRESAS'!$A$6:$A$5000,0),MOD(ROW()-2,6)+1)="","",IFERROR(1*INDEX('CONTROLE PRODUÇÃO POR EMPRESAS'!$B$6:$G$5000,MATCH($A1448,'CONTROLE PRODUÇÃO POR EMPRESAS'!$A$6:$A$5000,0),MOD(ROW()-2,6)+1),"")),"")</f>
        <v/>
      </c>
      <c r="I1448" s="159">
        <f>IF(OR(NOT(ISNUMBER(G1448)),NOT(ISNUMBER(H1448))),"",H1448-G1448)</f>
        <v/>
      </c>
      <c r="J1448" s="319">
        <f>IF(OR(NOT(ISNUMBER(G1448)),NOT(ISNUMBER(H1448)),G1448=0),"",I1448/G1448)</f>
        <v/>
      </c>
      <c r="K1448" s="319">
        <f>IF(OR(NOT(ISNUMBER(G1448)),NOT(ISNUMBER(H1448)),G1448=0),"",H1448/G1448)</f>
        <v/>
      </c>
      <c r="L1448">
        <f>IF(NOT(ISNUMBER(G1448)),"SEM META",IF(G1448=0,"SEM META",IF(NOT(ISNUMBER(H1448)),"SEM APONTAMENTO",IF(H1448&gt;=G1448,"VERDE",IF(H1448&gt;=G1448*0.9,"AMARELO","VERMELHO")))))</f>
        <v/>
      </c>
      <c r="M1448" s="162" t="n"/>
      <c r="N1448" s="162" t="n"/>
      <c r="O1448" s="162" t="n"/>
      <c r="P1448" s="162" t="n"/>
      <c r="Q1448" s="320" t="n"/>
      <c r="R1448" s="162" t="inlineStr">
        <is>
          <t>CONTROLE PRODUÇÃO POR EMPRESAS!B247</t>
        </is>
      </c>
    </row>
    <row r="1449" ht="28.5" customHeight="1">
      <c r="A1449" s="317" t="n">
        <v>46464</v>
      </c>
      <c r="B1449" t="inlineStr">
        <is>
          <t>GERAL</t>
        </is>
      </c>
      <c r="C1449" t="inlineStr">
        <is>
          <t>EJ</t>
        </is>
      </c>
      <c r="D1449" t="inlineStr">
        <is>
          <t>IÇAMENTO JOIST</t>
        </is>
      </c>
      <c r="F1449" s="159">
        <f>IFERROR(INDEX('BASE METAS DIÁRIAS'!$N$2:$S$358,MATCH($A1449,'BASE METAS DIÁRIAS'!$A$2:$A$358,0),MOD(ROW()-2,6)+1),"")</f>
        <v/>
      </c>
      <c r="G1449" s="159">
        <f>IFERROR(IF(WEEKDAY($A1449,2)&lt;=INDEX('BASE METAS DIÁRIAS'!$H$2:$M$358,MATCH($A1449,'BASE METAS DIÁRIAS'!$A$2:$A$358,0),MOD(ROW()-2,6)+1),INDEX('BASE METAS DIÁRIAS'!$B$2:$G$358,MATCH($A1449,'BASE METAS DIÁRIAS'!$A$2:$A$358,0),MOD(ROW()-2,6)+1),""),"")</f>
        <v/>
      </c>
      <c r="H1449" s="159">
        <f>IFERROR(IF(INDEX('CONTROLE PRODUÇÃO POR EMPRESAS'!$B$6:$G$5000,MATCH($A1449,'CONTROLE PRODUÇÃO POR EMPRESAS'!$A$6:$A$5000,0),MOD(ROW()-2,6)+1)="","",IFERROR(1*INDEX('CONTROLE PRODUÇÃO POR EMPRESAS'!$B$6:$G$5000,MATCH($A1449,'CONTROLE PRODUÇÃO POR EMPRESAS'!$A$6:$A$5000,0),MOD(ROW()-2,6)+1),"")),"")</f>
        <v/>
      </c>
      <c r="I1449" s="159">
        <f>IF(OR(NOT(ISNUMBER(G1449)),NOT(ISNUMBER(H1449))),"",H1449-G1449)</f>
        <v/>
      </c>
      <c r="J1449" s="319">
        <f>IF(OR(NOT(ISNUMBER(G1449)),NOT(ISNUMBER(H1449)),G1449=0),"",I1449/G1449)</f>
        <v/>
      </c>
      <c r="K1449" s="319">
        <f>IF(OR(NOT(ISNUMBER(G1449)),NOT(ISNUMBER(H1449)),G1449=0),"",H1449/G1449)</f>
        <v/>
      </c>
      <c r="L1449">
        <f>IF(NOT(ISNUMBER(G1449)),"SEM META",IF(G1449=0,"SEM META",IF(NOT(ISNUMBER(H1449)),"SEM APONTAMENTO",IF(H1449&gt;=G1449,"VERDE",IF(H1449&gt;=G1449*0.9,"AMARELO","VERMELHO")))))</f>
        <v/>
      </c>
      <c r="M1449" s="162" t="n"/>
      <c r="N1449" s="162" t="n"/>
      <c r="O1449" s="162" t="n"/>
      <c r="P1449" s="162" t="n"/>
      <c r="Q1449" s="320" t="n"/>
      <c r="R1449" s="162" t="inlineStr">
        <is>
          <t>CONTROLE PRODUÇÃO POR EMPRESAS!C247</t>
        </is>
      </c>
    </row>
    <row r="1450" ht="28.5" customHeight="1">
      <c r="A1450" s="317" t="n">
        <v>46464</v>
      </c>
      <c r="B1450" t="inlineStr">
        <is>
          <t>GERAL</t>
        </is>
      </c>
      <c r="C1450" t="inlineStr">
        <is>
          <t>EJ</t>
        </is>
      </c>
      <c r="D1450" t="inlineStr">
        <is>
          <t>VIGAS</t>
        </is>
      </c>
      <c r="F1450" s="159">
        <f>IFERROR(INDEX('BASE METAS DIÁRIAS'!$N$2:$S$358,MATCH($A1450,'BASE METAS DIÁRIAS'!$A$2:$A$358,0),MOD(ROW()-2,6)+1),"")</f>
        <v/>
      </c>
      <c r="G1450" s="159">
        <f>IFERROR(IF(WEEKDAY($A1450,2)&lt;=INDEX('BASE METAS DIÁRIAS'!$H$2:$M$358,MATCH($A1450,'BASE METAS DIÁRIAS'!$A$2:$A$358,0),MOD(ROW()-2,6)+1),INDEX('BASE METAS DIÁRIAS'!$B$2:$G$358,MATCH($A1450,'BASE METAS DIÁRIAS'!$A$2:$A$358,0),MOD(ROW()-2,6)+1),""),"")</f>
        <v/>
      </c>
      <c r="H1450" s="159">
        <f>IFERROR(IF(INDEX('CONTROLE PRODUÇÃO POR EMPRESAS'!$B$6:$G$5000,MATCH($A1450,'CONTROLE PRODUÇÃO POR EMPRESAS'!$A$6:$A$5000,0),MOD(ROW()-2,6)+1)="","",IFERROR(1*INDEX('CONTROLE PRODUÇÃO POR EMPRESAS'!$B$6:$G$5000,MATCH($A1450,'CONTROLE PRODUÇÃO POR EMPRESAS'!$A$6:$A$5000,0),MOD(ROW()-2,6)+1),"")),"")</f>
        <v/>
      </c>
      <c r="I1450" s="159">
        <f>IF(OR(NOT(ISNUMBER(G1450)),NOT(ISNUMBER(H1450))),"",H1450-G1450)</f>
        <v/>
      </c>
      <c r="J1450" s="319">
        <f>IF(OR(NOT(ISNUMBER(G1450)),NOT(ISNUMBER(H1450)),G1450=0),"",I1450/G1450)</f>
        <v/>
      </c>
      <c r="K1450" s="319">
        <f>IF(OR(NOT(ISNUMBER(G1450)),NOT(ISNUMBER(H1450)),G1450=0),"",H1450/G1450)</f>
        <v/>
      </c>
      <c r="L1450">
        <f>IF(NOT(ISNUMBER(G1450)),"SEM META",IF(G1450=0,"SEM META",IF(NOT(ISNUMBER(H1450)),"SEM APONTAMENTO",IF(H1450&gt;=G1450,"VERDE",IF(H1450&gt;=G1450*0.9,"AMARELO","VERMELHO")))))</f>
        <v/>
      </c>
      <c r="M1450" s="162" t="n"/>
      <c r="N1450" s="162" t="n"/>
      <c r="O1450" s="162" t="n"/>
      <c r="P1450" s="162" t="n"/>
      <c r="Q1450" s="320" t="n"/>
      <c r="R1450" s="162" t="inlineStr">
        <is>
          <t>CONTROLE PRODUÇÃO POR EMPRESAS!D247</t>
        </is>
      </c>
    </row>
    <row r="1451" ht="28.5" customHeight="1">
      <c r="A1451" s="317" t="n">
        <v>46464</v>
      </c>
      <c r="B1451" t="inlineStr">
        <is>
          <t>GERAL</t>
        </is>
      </c>
      <c r="C1451" t="inlineStr">
        <is>
          <t>CMM</t>
        </is>
      </c>
      <c r="D1451" t="inlineStr">
        <is>
          <t>PREMONTAGEM</t>
        </is>
      </c>
      <c r="F1451" s="159">
        <f>IFERROR(INDEX('BASE METAS DIÁRIAS'!$N$2:$S$358,MATCH($A1451,'BASE METAS DIÁRIAS'!$A$2:$A$358,0),MOD(ROW()-2,6)+1),"")</f>
        <v/>
      </c>
      <c r="G1451" s="159">
        <f>IFERROR(IF(WEEKDAY($A1451,2)&lt;=INDEX('BASE METAS DIÁRIAS'!$H$2:$M$358,MATCH($A1451,'BASE METAS DIÁRIAS'!$A$2:$A$358,0),MOD(ROW()-2,6)+1),INDEX('BASE METAS DIÁRIAS'!$B$2:$G$358,MATCH($A1451,'BASE METAS DIÁRIAS'!$A$2:$A$358,0),MOD(ROW()-2,6)+1),""),"")</f>
        <v/>
      </c>
      <c r="H1451" s="159">
        <f>IFERROR(IF(INDEX('CONTROLE PRODUÇÃO POR EMPRESAS'!$B$6:$G$5000,MATCH($A1451,'CONTROLE PRODUÇÃO POR EMPRESAS'!$A$6:$A$5000,0),MOD(ROW()-2,6)+1)="","",IFERROR(1*INDEX('CONTROLE PRODUÇÃO POR EMPRESAS'!$B$6:$G$5000,MATCH($A1451,'CONTROLE PRODUÇÃO POR EMPRESAS'!$A$6:$A$5000,0),MOD(ROW()-2,6)+1),"")),"")</f>
        <v/>
      </c>
      <c r="I1451" s="159">
        <f>IF(OR(NOT(ISNUMBER(G1451)),NOT(ISNUMBER(H1451))),"",H1451-G1451)</f>
        <v/>
      </c>
      <c r="J1451" s="319">
        <f>IF(OR(NOT(ISNUMBER(G1451)),NOT(ISNUMBER(H1451)),G1451=0),"",I1451/G1451)</f>
        <v/>
      </c>
      <c r="K1451" s="319">
        <f>IF(OR(NOT(ISNUMBER(G1451)),NOT(ISNUMBER(H1451)),G1451=0),"",H1451/G1451)</f>
        <v/>
      </c>
      <c r="L1451">
        <f>IF(NOT(ISNUMBER(G1451)),"SEM META",IF(G1451=0,"SEM META",IF(NOT(ISNUMBER(H1451)),"SEM APONTAMENTO",IF(H1451&gt;=G1451,"VERDE",IF(H1451&gt;=G1451*0.9,"AMARELO","VERMELHO")))))</f>
        <v/>
      </c>
      <c r="M1451" s="162" t="n"/>
      <c r="N1451" s="162" t="n"/>
      <c r="O1451" s="162" t="n"/>
      <c r="P1451" s="162" t="n"/>
      <c r="Q1451" s="320" t="n"/>
      <c r="R1451" s="162" t="inlineStr">
        <is>
          <t>CONTROLE PRODUÇÃO POR EMPRESAS!E247</t>
        </is>
      </c>
    </row>
    <row r="1452" ht="28.5" customHeight="1">
      <c r="A1452" s="317" t="n">
        <v>46464</v>
      </c>
      <c r="B1452" t="inlineStr">
        <is>
          <t>GERAL</t>
        </is>
      </c>
      <c r="C1452" t="inlineStr">
        <is>
          <t>CMM</t>
        </is>
      </c>
      <c r="D1452" t="inlineStr">
        <is>
          <t>IÇAMENTO JOIST</t>
        </is>
      </c>
      <c r="F1452" s="159">
        <f>IFERROR(INDEX('BASE METAS DIÁRIAS'!$N$2:$S$358,MATCH($A1452,'BASE METAS DIÁRIAS'!$A$2:$A$358,0),MOD(ROW()-2,6)+1),"")</f>
        <v/>
      </c>
      <c r="G1452" s="159">
        <f>IFERROR(IF(WEEKDAY($A1452,2)&lt;=INDEX('BASE METAS DIÁRIAS'!$H$2:$M$358,MATCH($A1452,'BASE METAS DIÁRIAS'!$A$2:$A$358,0),MOD(ROW()-2,6)+1),INDEX('BASE METAS DIÁRIAS'!$B$2:$G$358,MATCH($A1452,'BASE METAS DIÁRIAS'!$A$2:$A$358,0),MOD(ROW()-2,6)+1),""),"")</f>
        <v/>
      </c>
      <c r="H1452" s="159">
        <f>IFERROR(IF(INDEX('CONTROLE PRODUÇÃO POR EMPRESAS'!$B$6:$G$5000,MATCH($A1452,'CONTROLE PRODUÇÃO POR EMPRESAS'!$A$6:$A$5000,0),MOD(ROW()-2,6)+1)="","",IFERROR(1*INDEX('CONTROLE PRODUÇÃO POR EMPRESAS'!$B$6:$G$5000,MATCH($A1452,'CONTROLE PRODUÇÃO POR EMPRESAS'!$A$6:$A$5000,0),MOD(ROW()-2,6)+1),"")),"")</f>
        <v/>
      </c>
      <c r="I1452" s="159">
        <f>IF(OR(NOT(ISNUMBER(G1452)),NOT(ISNUMBER(H1452))),"",H1452-G1452)</f>
        <v/>
      </c>
      <c r="J1452" s="319">
        <f>IF(OR(NOT(ISNUMBER(G1452)),NOT(ISNUMBER(H1452)),G1452=0),"",I1452/G1452)</f>
        <v/>
      </c>
      <c r="K1452" s="319">
        <f>IF(OR(NOT(ISNUMBER(G1452)),NOT(ISNUMBER(H1452)),G1452=0),"",H1452/G1452)</f>
        <v/>
      </c>
      <c r="L1452">
        <f>IF(NOT(ISNUMBER(G1452)),"SEM META",IF(G1452=0,"SEM META",IF(NOT(ISNUMBER(H1452)),"SEM APONTAMENTO",IF(H1452&gt;=G1452,"VERDE",IF(H1452&gt;=G1452*0.9,"AMARELO","VERMELHO")))))</f>
        <v/>
      </c>
      <c r="M1452" s="162" t="n"/>
      <c r="N1452" s="162" t="n"/>
      <c r="O1452" s="162" t="n"/>
      <c r="P1452" s="162" t="n"/>
      <c r="Q1452" s="320" t="n"/>
      <c r="R1452" s="162" t="inlineStr">
        <is>
          <t>CONTROLE PRODUÇÃO POR EMPRESAS!F247</t>
        </is>
      </c>
    </row>
    <row r="1453" ht="28.5" customHeight="1">
      <c r="A1453" s="317" t="n">
        <v>46464</v>
      </c>
      <c r="B1453" t="inlineStr">
        <is>
          <t>GERAL</t>
        </is>
      </c>
      <c r="C1453" t="inlineStr">
        <is>
          <t>CMM</t>
        </is>
      </c>
      <c r="D1453" t="inlineStr">
        <is>
          <t>VIGAS</t>
        </is>
      </c>
      <c r="F1453" s="159">
        <f>IFERROR(INDEX('BASE METAS DIÁRIAS'!$N$2:$S$358,MATCH($A1453,'BASE METAS DIÁRIAS'!$A$2:$A$358,0),MOD(ROW()-2,6)+1),"")</f>
        <v/>
      </c>
      <c r="G1453" s="159">
        <f>IFERROR(IF(WEEKDAY($A1453,2)&lt;=INDEX('BASE METAS DIÁRIAS'!$H$2:$M$358,MATCH($A1453,'BASE METAS DIÁRIAS'!$A$2:$A$358,0),MOD(ROW()-2,6)+1),INDEX('BASE METAS DIÁRIAS'!$B$2:$G$358,MATCH($A1453,'BASE METAS DIÁRIAS'!$A$2:$A$358,0),MOD(ROW()-2,6)+1),""),"")</f>
        <v/>
      </c>
      <c r="H1453" s="159">
        <f>IFERROR(IF(INDEX('CONTROLE PRODUÇÃO POR EMPRESAS'!$B$6:$G$5000,MATCH($A1453,'CONTROLE PRODUÇÃO POR EMPRESAS'!$A$6:$A$5000,0),MOD(ROW()-2,6)+1)="","",IFERROR(1*INDEX('CONTROLE PRODUÇÃO POR EMPRESAS'!$B$6:$G$5000,MATCH($A1453,'CONTROLE PRODUÇÃO POR EMPRESAS'!$A$6:$A$5000,0),MOD(ROW()-2,6)+1),"")),"")</f>
        <v/>
      </c>
      <c r="I1453" s="159">
        <f>IF(OR(NOT(ISNUMBER(G1453)),NOT(ISNUMBER(H1453))),"",H1453-G1453)</f>
        <v/>
      </c>
      <c r="J1453" s="319">
        <f>IF(OR(NOT(ISNUMBER(G1453)),NOT(ISNUMBER(H1453)),G1453=0),"",I1453/G1453)</f>
        <v/>
      </c>
      <c r="K1453" s="319">
        <f>IF(OR(NOT(ISNUMBER(G1453)),NOT(ISNUMBER(H1453)),G1453=0),"",H1453/G1453)</f>
        <v/>
      </c>
      <c r="L1453">
        <f>IF(NOT(ISNUMBER(G1453)),"SEM META",IF(G1453=0,"SEM META",IF(NOT(ISNUMBER(H1453)),"SEM APONTAMENTO",IF(H1453&gt;=G1453,"VERDE",IF(H1453&gt;=G1453*0.9,"AMARELO","VERMELHO")))))</f>
        <v/>
      </c>
      <c r="M1453" s="162" t="n"/>
      <c r="N1453" s="162" t="n"/>
      <c r="O1453" s="162" t="n"/>
      <c r="P1453" s="162" t="n"/>
      <c r="Q1453" s="320" t="n"/>
      <c r="R1453" s="162" t="inlineStr">
        <is>
          <t>CONTROLE PRODUÇÃO POR EMPRESAS!G247</t>
        </is>
      </c>
    </row>
    <row r="1454" ht="28.5" customHeight="1">
      <c r="A1454" s="317" t="n">
        <v>46465</v>
      </c>
      <c r="B1454" t="inlineStr">
        <is>
          <t>GERAL</t>
        </is>
      </c>
      <c r="C1454" t="inlineStr">
        <is>
          <t>EJ</t>
        </is>
      </c>
      <c r="D1454" t="inlineStr">
        <is>
          <t>PREMONTAGEM</t>
        </is>
      </c>
      <c r="F1454" s="159">
        <f>IFERROR(INDEX('BASE METAS DIÁRIAS'!$N$2:$S$358,MATCH($A1454,'BASE METAS DIÁRIAS'!$A$2:$A$358,0),MOD(ROW()-2,6)+1),"")</f>
        <v/>
      </c>
      <c r="G1454" s="159">
        <f>IFERROR(IF(WEEKDAY($A1454,2)&lt;=INDEX('BASE METAS DIÁRIAS'!$H$2:$M$358,MATCH($A1454,'BASE METAS DIÁRIAS'!$A$2:$A$358,0),MOD(ROW()-2,6)+1),INDEX('BASE METAS DIÁRIAS'!$B$2:$G$358,MATCH($A1454,'BASE METAS DIÁRIAS'!$A$2:$A$358,0),MOD(ROW()-2,6)+1),""),"")</f>
        <v/>
      </c>
      <c r="H1454" s="159">
        <f>IFERROR(IF(INDEX('CONTROLE PRODUÇÃO POR EMPRESAS'!$B$6:$G$5000,MATCH($A1454,'CONTROLE PRODUÇÃO POR EMPRESAS'!$A$6:$A$5000,0),MOD(ROW()-2,6)+1)="","",IFERROR(1*INDEX('CONTROLE PRODUÇÃO POR EMPRESAS'!$B$6:$G$5000,MATCH($A1454,'CONTROLE PRODUÇÃO POR EMPRESAS'!$A$6:$A$5000,0),MOD(ROW()-2,6)+1),"")),"")</f>
        <v/>
      </c>
      <c r="I1454" s="159">
        <f>IF(OR(NOT(ISNUMBER(G1454)),NOT(ISNUMBER(H1454))),"",H1454-G1454)</f>
        <v/>
      </c>
      <c r="J1454" s="319">
        <f>IF(OR(NOT(ISNUMBER(G1454)),NOT(ISNUMBER(H1454)),G1454=0),"",I1454/G1454)</f>
        <v/>
      </c>
      <c r="K1454" s="319">
        <f>IF(OR(NOT(ISNUMBER(G1454)),NOT(ISNUMBER(H1454)),G1454=0),"",H1454/G1454)</f>
        <v/>
      </c>
      <c r="L1454">
        <f>IF(NOT(ISNUMBER(G1454)),"SEM META",IF(G1454=0,"SEM META",IF(NOT(ISNUMBER(H1454)),"SEM APONTAMENTO",IF(H1454&gt;=G1454,"VERDE",IF(H1454&gt;=G1454*0.9,"AMARELO","VERMELHO")))))</f>
        <v/>
      </c>
      <c r="M1454" s="162" t="n"/>
      <c r="N1454" s="162" t="n"/>
      <c r="O1454" s="162" t="n"/>
      <c r="P1454" s="162" t="n"/>
      <c r="Q1454" s="320" t="n"/>
      <c r="R1454" s="162" t="inlineStr">
        <is>
          <t>CONTROLE PRODUÇÃO POR EMPRESAS!B248</t>
        </is>
      </c>
    </row>
    <row r="1455" ht="28.5" customHeight="1">
      <c r="A1455" s="317" t="n">
        <v>46465</v>
      </c>
      <c r="B1455" t="inlineStr">
        <is>
          <t>GERAL</t>
        </is>
      </c>
      <c r="C1455" t="inlineStr">
        <is>
          <t>EJ</t>
        </is>
      </c>
      <c r="D1455" t="inlineStr">
        <is>
          <t>IÇAMENTO JOIST</t>
        </is>
      </c>
      <c r="F1455" s="159">
        <f>IFERROR(INDEX('BASE METAS DIÁRIAS'!$N$2:$S$358,MATCH($A1455,'BASE METAS DIÁRIAS'!$A$2:$A$358,0),MOD(ROW()-2,6)+1),"")</f>
        <v/>
      </c>
      <c r="G1455" s="159">
        <f>IFERROR(IF(WEEKDAY($A1455,2)&lt;=INDEX('BASE METAS DIÁRIAS'!$H$2:$M$358,MATCH($A1455,'BASE METAS DIÁRIAS'!$A$2:$A$358,0),MOD(ROW()-2,6)+1),INDEX('BASE METAS DIÁRIAS'!$B$2:$G$358,MATCH($A1455,'BASE METAS DIÁRIAS'!$A$2:$A$358,0),MOD(ROW()-2,6)+1),""),"")</f>
        <v/>
      </c>
      <c r="H1455" s="159">
        <f>IFERROR(IF(INDEX('CONTROLE PRODUÇÃO POR EMPRESAS'!$B$6:$G$5000,MATCH($A1455,'CONTROLE PRODUÇÃO POR EMPRESAS'!$A$6:$A$5000,0),MOD(ROW()-2,6)+1)="","",IFERROR(1*INDEX('CONTROLE PRODUÇÃO POR EMPRESAS'!$B$6:$G$5000,MATCH($A1455,'CONTROLE PRODUÇÃO POR EMPRESAS'!$A$6:$A$5000,0),MOD(ROW()-2,6)+1),"")),"")</f>
        <v/>
      </c>
      <c r="I1455" s="159">
        <f>IF(OR(NOT(ISNUMBER(G1455)),NOT(ISNUMBER(H1455))),"",H1455-G1455)</f>
        <v/>
      </c>
      <c r="J1455" s="319">
        <f>IF(OR(NOT(ISNUMBER(G1455)),NOT(ISNUMBER(H1455)),G1455=0),"",I1455/G1455)</f>
        <v/>
      </c>
      <c r="K1455" s="319">
        <f>IF(OR(NOT(ISNUMBER(G1455)),NOT(ISNUMBER(H1455)),G1455=0),"",H1455/G1455)</f>
        <v/>
      </c>
      <c r="L1455">
        <f>IF(NOT(ISNUMBER(G1455)),"SEM META",IF(G1455=0,"SEM META",IF(NOT(ISNUMBER(H1455)),"SEM APONTAMENTO",IF(H1455&gt;=G1455,"VERDE",IF(H1455&gt;=G1455*0.9,"AMARELO","VERMELHO")))))</f>
        <v/>
      </c>
      <c r="M1455" s="162" t="n"/>
      <c r="N1455" s="162" t="n"/>
      <c r="O1455" s="162" t="n"/>
      <c r="P1455" s="162" t="n"/>
      <c r="Q1455" s="320" t="n"/>
      <c r="R1455" s="162" t="inlineStr">
        <is>
          <t>CONTROLE PRODUÇÃO POR EMPRESAS!C248</t>
        </is>
      </c>
    </row>
    <row r="1456" ht="28.5" customHeight="1">
      <c r="A1456" s="317" t="n">
        <v>46465</v>
      </c>
      <c r="B1456" t="inlineStr">
        <is>
          <t>GERAL</t>
        </is>
      </c>
      <c r="C1456" t="inlineStr">
        <is>
          <t>EJ</t>
        </is>
      </c>
      <c r="D1456" t="inlineStr">
        <is>
          <t>VIGAS</t>
        </is>
      </c>
      <c r="F1456" s="159">
        <f>IFERROR(INDEX('BASE METAS DIÁRIAS'!$N$2:$S$358,MATCH($A1456,'BASE METAS DIÁRIAS'!$A$2:$A$358,0),MOD(ROW()-2,6)+1),"")</f>
        <v/>
      </c>
      <c r="G1456" s="159">
        <f>IFERROR(IF(WEEKDAY($A1456,2)&lt;=INDEX('BASE METAS DIÁRIAS'!$H$2:$M$358,MATCH($A1456,'BASE METAS DIÁRIAS'!$A$2:$A$358,0),MOD(ROW()-2,6)+1),INDEX('BASE METAS DIÁRIAS'!$B$2:$G$358,MATCH($A1456,'BASE METAS DIÁRIAS'!$A$2:$A$358,0),MOD(ROW()-2,6)+1),""),"")</f>
        <v/>
      </c>
      <c r="H1456" s="159">
        <f>IFERROR(IF(INDEX('CONTROLE PRODUÇÃO POR EMPRESAS'!$B$6:$G$5000,MATCH($A1456,'CONTROLE PRODUÇÃO POR EMPRESAS'!$A$6:$A$5000,0),MOD(ROW()-2,6)+1)="","",IFERROR(1*INDEX('CONTROLE PRODUÇÃO POR EMPRESAS'!$B$6:$G$5000,MATCH($A1456,'CONTROLE PRODUÇÃO POR EMPRESAS'!$A$6:$A$5000,0),MOD(ROW()-2,6)+1),"")),"")</f>
        <v/>
      </c>
      <c r="I1456" s="159">
        <f>IF(OR(NOT(ISNUMBER(G1456)),NOT(ISNUMBER(H1456))),"",H1456-G1456)</f>
        <v/>
      </c>
      <c r="J1456" s="319">
        <f>IF(OR(NOT(ISNUMBER(G1456)),NOT(ISNUMBER(H1456)),G1456=0),"",I1456/G1456)</f>
        <v/>
      </c>
      <c r="K1456" s="319">
        <f>IF(OR(NOT(ISNUMBER(G1456)),NOT(ISNUMBER(H1456)),G1456=0),"",H1456/G1456)</f>
        <v/>
      </c>
      <c r="L1456">
        <f>IF(NOT(ISNUMBER(G1456)),"SEM META",IF(G1456=0,"SEM META",IF(NOT(ISNUMBER(H1456)),"SEM APONTAMENTO",IF(H1456&gt;=G1456,"VERDE",IF(H1456&gt;=G1456*0.9,"AMARELO","VERMELHO")))))</f>
        <v/>
      </c>
      <c r="M1456" s="162" t="n"/>
      <c r="N1456" s="162" t="n"/>
      <c r="O1456" s="162" t="n"/>
      <c r="P1456" s="162" t="n"/>
      <c r="Q1456" s="320" t="n"/>
      <c r="R1456" s="162" t="inlineStr">
        <is>
          <t>CONTROLE PRODUÇÃO POR EMPRESAS!D248</t>
        </is>
      </c>
    </row>
    <row r="1457" ht="28.5" customHeight="1">
      <c r="A1457" s="317" t="n">
        <v>46465</v>
      </c>
      <c r="B1457" t="inlineStr">
        <is>
          <t>GERAL</t>
        </is>
      </c>
      <c r="C1457" t="inlineStr">
        <is>
          <t>CMM</t>
        </is>
      </c>
      <c r="D1457" t="inlineStr">
        <is>
          <t>PREMONTAGEM</t>
        </is>
      </c>
      <c r="F1457" s="159">
        <f>IFERROR(INDEX('BASE METAS DIÁRIAS'!$N$2:$S$358,MATCH($A1457,'BASE METAS DIÁRIAS'!$A$2:$A$358,0),MOD(ROW()-2,6)+1),"")</f>
        <v/>
      </c>
      <c r="G1457" s="159">
        <f>IFERROR(IF(WEEKDAY($A1457,2)&lt;=INDEX('BASE METAS DIÁRIAS'!$H$2:$M$358,MATCH($A1457,'BASE METAS DIÁRIAS'!$A$2:$A$358,0),MOD(ROW()-2,6)+1),INDEX('BASE METAS DIÁRIAS'!$B$2:$G$358,MATCH($A1457,'BASE METAS DIÁRIAS'!$A$2:$A$358,0),MOD(ROW()-2,6)+1),""),"")</f>
        <v/>
      </c>
      <c r="H1457" s="159">
        <f>IFERROR(IF(INDEX('CONTROLE PRODUÇÃO POR EMPRESAS'!$B$6:$G$5000,MATCH($A1457,'CONTROLE PRODUÇÃO POR EMPRESAS'!$A$6:$A$5000,0),MOD(ROW()-2,6)+1)="","",IFERROR(1*INDEX('CONTROLE PRODUÇÃO POR EMPRESAS'!$B$6:$G$5000,MATCH($A1457,'CONTROLE PRODUÇÃO POR EMPRESAS'!$A$6:$A$5000,0),MOD(ROW()-2,6)+1),"")),"")</f>
        <v/>
      </c>
      <c r="I1457" s="159">
        <f>IF(OR(NOT(ISNUMBER(G1457)),NOT(ISNUMBER(H1457))),"",H1457-G1457)</f>
        <v/>
      </c>
      <c r="J1457" s="319">
        <f>IF(OR(NOT(ISNUMBER(G1457)),NOT(ISNUMBER(H1457)),G1457=0),"",I1457/G1457)</f>
        <v/>
      </c>
      <c r="K1457" s="319">
        <f>IF(OR(NOT(ISNUMBER(G1457)),NOT(ISNUMBER(H1457)),G1457=0),"",H1457/G1457)</f>
        <v/>
      </c>
      <c r="L1457">
        <f>IF(NOT(ISNUMBER(G1457)),"SEM META",IF(G1457=0,"SEM META",IF(NOT(ISNUMBER(H1457)),"SEM APONTAMENTO",IF(H1457&gt;=G1457,"VERDE",IF(H1457&gt;=G1457*0.9,"AMARELO","VERMELHO")))))</f>
        <v/>
      </c>
      <c r="M1457" s="162" t="n"/>
      <c r="N1457" s="162" t="n"/>
      <c r="O1457" s="162" t="n"/>
      <c r="P1457" s="162" t="n"/>
      <c r="Q1457" s="320" t="n"/>
      <c r="R1457" s="162" t="inlineStr">
        <is>
          <t>CONTROLE PRODUÇÃO POR EMPRESAS!E248</t>
        </is>
      </c>
    </row>
    <row r="1458" ht="28.5" customHeight="1">
      <c r="A1458" s="317" t="n">
        <v>46465</v>
      </c>
      <c r="B1458" t="inlineStr">
        <is>
          <t>GERAL</t>
        </is>
      </c>
      <c r="C1458" t="inlineStr">
        <is>
          <t>CMM</t>
        </is>
      </c>
      <c r="D1458" t="inlineStr">
        <is>
          <t>IÇAMENTO JOIST</t>
        </is>
      </c>
      <c r="F1458" s="159">
        <f>IFERROR(INDEX('BASE METAS DIÁRIAS'!$N$2:$S$358,MATCH($A1458,'BASE METAS DIÁRIAS'!$A$2:$A$358,0),MOD(ROW()-2,6)+1),"")</f>
        <v/>
      </c>
      <c r="G1458" s="159">
        <f>IFERROR(IF(WEEKDAY($A1458,2)&lt;=INDEX('BASE METAS DIÁRIAS'!$H$2:$M$358,MATCH($A1458,'BASE METAS DIÁRIAS'!$A$2:$A$358,0),MOD(ROW()-2,6)+1),INDEX('BASE METAS DIÁRIAS'!$B$2:$G$358,MATCH($A1458,'BASE METAS DIÁRIAS'!$A$2:$A$358,0),MOD(ROW()-2,6)+1),""),"")</f>
        <v/>
      </c>
      <c r="H1458" s="159">
        <f>IFERROR(IF(INDEX('CONTROLE PRODUÇÃO POR EMPRESAS'!$B$6:$G$5000,MATCH($A1458,'CONTROLE PRODUÇÃO POR EMPRESAS'!$A$6:$A$5000,0),MOD(ROW()-2,6)+1)="","",IFERROR(1*INDEX('CONTROLE PRODUÇÃO POR EMPRESAS'!$B$6:$G$5000,MATCH($A1458,'CONTROLE PRODUÇÃO POR EMPRESAS'!$A$6:$A$5000,0),MOD(ROW()-2,6)+1),"")),"")</f>
        <v/>
      </c>
      <c r="I1458" s="159">
        <f>IF(OR(NOT(ISNUMBER(G1458)),NOT(ISNUMBER(H1458))),"",H1458-G1458)</f>
        <v/>
      </c>
      <c r="J1458" s="319">
        <f>IF(OR(NOT(ISNUMBER(G1458)),NOT(ISNUMBER(H1458)),G1458=0),"",I1458/G1458)</f>
        <v/>
      </c>
      <c r="K1458" s="319">
        <f>IF(OR(NOT(ISNUMBER(G1458)),NOT(ISNUMBER(H1458)),G1458=0),"",H1458/G1458)</f>
        <v/>
      </c>
      <c r="L1458">
        <f>IF(NOT(ISNUMBER(G1458)),"SEM META",IF(G1458=0,"SEM META",IF(NOT(ISNUMBER(H1458)),"SEM APONTAMENTO",IF(H1458&gt;=G1458,"VERDE",IF(H1458&gt;=G1458*0.9,"AMARELO","VERMELHO")))))</f>
        <v/>
      </c>
      <c r="M1458" s="162" t="n"/>
      <c r="N1458" s="162" t="n"/>
      <c r="O1458" s="162" t="n"/>
      <c r="P1458" s="162" t="n"/>
      <c r="Q1458" s="320" t="n"/>
      <c r="R1458" s="162" t="inlineStr">
        <is>
          <t>CONTROLE PRODUÇÃO POR EMPRESAS!F248</t>
        </is>
      </c>
    </row>
    <row r="1459" ht="28.5" customHeight="1">
      <c r="A1459" s="317" t="n">
        <v>46465</v>
      </c>
      <c r="B1459" t="inlineStr">
        <is>
          <t>GERAL</t>
        </is>
      </c>
      <c r="C1459" t="inlineStr">
        <is>
          <t>CMM</t>
        </is>
      </c>
      <c r="D1459" t="inlineStr">
        <is>
          <t>VIGAS</t>
        </is>
      </c>
      <c r="F1459" s="159">
        <f>IFERROR(INDEX('BASE METAS DIÁRIAS'!$N$2:$S$358,MATCH($A1459,'BASE METAS DIÁRIAS'!$A$2:$A$358,0),MOD(ROW()-2,6)+1),"")</f>
        <v/>
      </c>
      <c r="G1459" s="159">
        <f>IFERROR(IF(WEEKDAY($A1459,2)&lt;=INDEX('BASE METAS DIÁRIAS'!$H$2:$M$358,MATCH($A1459,'BASE METAS DIÁRIAS'!$A$2:$A$358,0),MOD(ROW()-2,6)+1),INDEX('BASE METAS DIÁRIAS'!$B$2:$G$358,MATCH($A1459,'BASE METAS DIÁRIAS'!$A$2:$A$358,0),MOD(ROW()-2,6)+1),""),"")</f>
        <v/>
      </c>
      <c r="H1459" s="159">
        <f>IFERROR(IF(INDEX('CONTROLE PRODUÇÃO POR EMPRESAS'!$B$6:$G$5000,MATCH($A1459,'CONTROLE PRODUÇÃO POR EMPRESAS'!$A$6:$A$5000,0),MOD(ROW()-2,6)+1)="","",IFERROR(1*INDEX('CONTROLE PRODUÇÃO POR EMPRESAS'!$B$6:$G$5000,MATCH($A1459,'CONTROLE PRODUÇÃO POR EMPRESAS'!$A$6:$A$5000,0),MOD(ROW()-2,6)+1),"")),"")</f>
        <v/>
      </c>
      <c r="I1459" s="159">
        <f>IF(OR(NOT(ISNUMBER(G1459)),NOT(ISNUMBER(H1459))),"",H1459-G1459)</f>
        <v/>
      </c>
      <c r="J1459" s="319">
        <f>IF(OR(NOT(ISNUMBER(G1459)),NOT(ISNUMBER(H1459)),G1459=0),"",I1459/G1459)</f>
        <v/>
      </c>
      <c r="K1459" s="319">
        <f>IF(OR(NOT(ISNUMBER(G1459)),NOT(ISNUMBER(H1459)),G1459=0),"",H1459/G1459)</f>
        <v/>
      </c>
      <c r="L1459">
        <f>IF(NOT(ISNUMBER(G1459)),"SEM META",IF(G1459=0,"SEM META",IF(NOT(ISNUMBER(H1459)),"SEM APONTAMENTO",IF(H1459&gt;=G1459,"VERDE",IF(H1459&gt;=G1459*0.9,"AMARELO","VERMELHO")))))</f>
        <v/>
      </c>
      <c r="M1459" s="162" t="n"/>
      <c r="N1459" s="162" t="n"/>
      <c r="O1459" s="162" t="n"/>
      <c r="P1459" s="162" t="n"/>
      <c r="Q1459" s="320" t="n"/>
      <c r="R1459" s="162" t="inlineStr">
        <is>
          <t>CONTROLE PRODUÇÃO POR EMPRESAS!G248</t>
        </is>
      </c>
    </row>
    <row r="1460" ht="28.5" customHeight="1">
      <c r="A1460" s="317" t="n">
        <v>46466</v>
      </c>
      <c r="B1460" t="inlineStr">
        <is>
          <t>GERAL</t>
        </is>
      </c>
      <c r="C1460" t="inlineStr">
        <is>
          <t>EJ</t>
        </is>
      </c>
      <c r="D1460" t="inlineStr">
        <is>
          <t>PREMONTAGEM</t>
        </is>
      </c>
      <c r="F1460" s="159">
        <f>IFERROR(INDEX('BASE METAS DIÁRIAS'!$N$2:$S$358,MATCH($A1460,'BASE METAS DIÁRIAS'!$A$2:$A$358,0),MOD(ROW()-2,6)+1),"")</f>
        <v/>
      </c>
      <c r="G1460" s="159">
        <f>IFERROR(IF(WEEKDAY($A1460,2)&lt;=INDEX('BASE METAS DIÁRIAS'!$H$2:$M$358,MATCH($A1460,'BASE METAS DIÁRIAS'!$A$2:$A$358,0),MOD(ROW()-2,6)+1),INDEX('BASE METAS DIÁRIAS'!$B$2:$G$358,MATCH($A1460,'BASE METAS DIÁRIAS'!$A$2:$A$358,0),MOD(ROW()-2,6)+1),""),"")</f>
        <v/>
      </c>
      <c r="H1460" s="159">
        <f>IFERROR(IF(INDEX('CONTROLE PRODUÇÃO POR EMPRESAS'!$B$6:$G$5000,MATCH($A1460,'CONTROLE PRODUÇÃO POR EMPRESAS'!$A$6:$A$5000,0),MOD(ROW()-2,6)+1)="","",IFERROR(1*INDEX('CONTROLE PRODUÇÃO POR EMPRESAS'!$B$6:$G$5000,MATCH($A1460,'CONTROLE PRODUÇÃO POR EMPRESAS'!$A$6:$A$5000,0),MOD(ROW()-2,6)+1),"")),"")</f>
        <v/>
      </c>
      <c r="I1460" s="159">
        <f>IF(OR(NOT(ISNUMBER(G1460)),NOT(ISNUMBER(H1460))),"",H1460-G1460)</f>
        <v/>
      </c>
      <c r="J1460" s="319">
        <f>IF(OR(NOT(ISNUMBER(G1460)),NOT(ISNUMBER(H1460)),G1460=0),"",I1460/G1460)</f>
        <v/>
      </c>
      <c r="K1460" s="319">
        <f>IF(OR(NOT(ISNUMBER(G1460)),NOT(ISNUMBER(H1460)),G1460=0),"",H1460/G1460)</f>
        <v/>
      </c>
      <c r="L1460">
        <f>IF(NOT(ISNUMBER(G1460)),"SEM META",IF(G1460=0,"SEM META",IF(NOT(ISNUMBER(H1460)),"SEM APONTAMENTO",IF(H1460&gt;=G1460,"VERDE",IF(H1460&gt;=G1460*0.9,"AMARELO","VERMELHO")))))</f>
        <v/>
      </c>
      <c r="M1460" s="162" t="n"/>
      <c r="N1460" s="162" t="n"/>
      <c r="O1460" s="162" t="n"/>
      <c r="P1460" s="162" t="n"/>
      <c r="Q1460" s="320" t="n"/>
      <c r="R1460" s="162" t="inlineStr">
        <is>
          <t>CONTROLE PRODUÇÃO POR EMPRESAS!B249</t>
        </is>
      </c>
    </row>
    <row r="1461" ht="28.5" customHeight="1">
      <c r="A1461" s="317" t="n">
        <v>46466</v>
      </c>
      <c r="B1461" t="inlineStr">
        <is>
          <t>GERAL</t>
        </is>
      </c>
      <c r="C1461" t="inlineStr">
        <is>
          <t>EJ</t>
        </is>
      </c>
      <c r="D1461" t="inlineStr">
        <is>
          <t>IÇAMENTO JOIST</t>
        </is>
      </c>
      <c r="F1461" s="159">
        <f>IFERROR(INDEX('BASE METAS DIÁRIAS'!$N$2:$S$358,MATCH($A1461,'BASE METAS DIÁRIAS'!$A$2:$A$358,0),MOD(ROW()-2,6)+1),"")</f>
        <v/>
      </c>
      <c r="G1461" s="159">
        <f>IFERROR(IF(WEEKDAY($A1461,2)&lt;=INDEX('BASE METAS DIÁRIAS'!$H$2:$M$358,MATCH($A1461,'BASE METAS DIÁRIAS'!$A$2:$A$358,0),MOD(ROW()-2,6)+1),INDEX('BASE METAS DIÁRIAS'!$B$2:$G$358,MATCH($A1461,'BASE METAS DIÁRIAS'!$A$2:$A$358,0),MOD(ROW()-2,6)+1),""),"")</f>
        <v/>
      </c>
      <c r="H1461" s="159">
        <f>IFERROR(IF(INDEX('CONTROLE PRODUÇÃO POR EMPRESAS'!$B$6:$G$5000,MATCH($A1461,'CONTROLE PRODUÇÃO POR EMPRESAS'!$A$6:$A$5000,0),MOD(ROW()-2,6)+1)="","",IFERROR(1*INDEX('CONTROLE PRODUÇÃO POR EMPRESAS'!$B$6:$G$5000,MATCH($A1461,'CONTROLE PRODUÇÃO POR EMPRESAS'!$A$6:$A$5000,0),MOD(ROW()-2,6)+1),"")),"")</f>
        <v/>
      </c>
      <c r="I1461" s="159">
        <f>IF(OR(NOT(ISNUMBER(G1461)),NOT(ISNUMBER(H1461))),"",H1461-G1461)</f>
        <v/>
      </c>
      <c r="J1461" s="319">
        <f>IF(OR(NOT(ISNUMBER(G1461)),NOT(ISNUMBER(H1461)),G1461=0),"",I1461/G1461)</f>
        <v/>
      </c>
      <c r="K1461" s="319">
        <f>IF(OR(NOT(ISNUMBER(G1461)),NOT(ISNUMBER(H1461)),G1461=0),"",H1461/G1461)</f>
        <v/>
      </c>
      <c r="L1461">
        <f>IF(NOT(ISNUMBER(G1461)),"SEM META",IF(G1461=0,"SEM META",IF(NOT(ISNUMBER(H1461)),"SEM APONTAMENTO",IF(H1461&gt;=G1461,"VERDE",IF(H1461&gt;=G1461*0.9,"AMARELO","VERMELHO")))))</f>
        <v/>
      </c>
      <c r="M1461" s="162" t="n"/>
      <c r="N1461" s="162" t="n"/>
      <c r="O1461" s="162" t="n"/>
      <c r="P1461" s="162" t="n"/>
      <c r="Q1461" s="320" t="n"/>
      <c r="R1461" s="162" t="inlineStr">
        <is>
          <t>CONTROLE PRODUÇÃO POR EMPRESAS!C249</t>
        </is>
      </c>
    </row>
    <row r="1462" ht="28.5" customHeight="1">
      <c r="A1462" s="317" t="n">
        <v>46466</v>
      </c>
      <c r="B1462" t="inlineStr">
        <is>
          <t>GERAL</t>
        </is>
      </c>
      <c r="C1462" t="inlineStr">
        <is>
          <t>EJ</t>
        </is>
      </c>
      <c r="D1462" t="inlineStr">
        <is>
          <t>VIGAS</t>
        </is>
      </c>
      <c r="F1462" s="159">
        <f>IFERROR(INDEX('BASE METAS DIÁRIAS'!$N$2:$S$358,MATCH($A1462,'BASE METAS DIÁRIAS'!$A$2:$A$358,0),MOD(ROW()-2,6)+1),"")</f>
        <v/>
      </c>
      <c r="G1462" s="159">
        <f>IFERROR(IF(WEEKDAY($A1462,2)&lt;=INDEX('BASE METAS DIÁRIAS'!$H$2:$M$358,MATCH($A1462,'BASE METAS DIÁRIAS'!$A$2:$A$358,0),MOD(ROW()-2,6)+1),INDEX('BASE METAS DIÁRIAS'!$B$2:$G$358,MATCH($A1462,'BASE METAS DIÁRIAS'!$A$2:$A$358,0),MOD(ROW()-2,6)+1),""),"")</f>
        <v/>
      </c>
      <c r="H1462" s="159">
        <f>IFERROR(IF(INDEX('CONTROLE PRODUÇÃO POR EMPRESAS'!$B$6:$G$5000,MATCH($A1462,'CONTROLE PRODUÇÃO POR EMPRESAS'!$A$6:$A$5000,0),MOD(ROW()-2,6)+1)="","",IFERROR(1*INDEX('CONTROLE PRODUÇÃO POR EMPRESAS'!$B$6:$G$5000,MATCH($A1462,'CONTROLE PRODUÇÃO POR EMPRESAS'!$A$6:$A$5000,0),MOD(ROW()-2,6)+1),"")),"")</f>
        <v/>
      </c>
      <c r="I1462" s="159">
        <f>IF(OR(NOT(ISNUMBER(G1462)),NOT(ISNUMBER(H1462))),"",H1462-G1462)</f>
        <v/>
      </c>
      <c r="J1462" s="319">
        <f>IF(OR(NOT(ISNUMBER(G1462)),NOT(ISNUMBER(H1462)),G1462=0),"",I1462/G1462)</f>
        <v/>
      </c>
      <c r="K1462" s="319">
        <f>IF(OR(NOT(ISNUMBER(G1462)),NOT(ISNUMBER(H1462)),G1462=0),"",H1462/G1462)</f>
        <v/>
      </c>
      <c r="L1462">
        <f>IF(NOT(ISNUMBER(G1462)),"SEM META",IF(G1462=0,"SEM META",IF(NOT(ISNUMBER(H1462)),"SEM APONTAMENTO",IF(H1462&gt;=G1462,"VERDE",IF(H1462&gt;=G1462*0.9,"AMARELO","VERMELHO")))))</f>
        <v/>
      </c>
      <c r="M1462" s="162" t="n"/>
      <c r="N1462" s="162" t="n"/>
      <c r="O1462" s="162" t="n"/>
      <c r="P1462" s="162" t="n"/>
      <c r="Q1462" s="320" t="n"/>
      <c r="R1462" s="162" t="inlineStr">
        <is>
          <t>CONTROLE PRODUÇÃO POR EMPRESAS!D249</t>
        </is>
      </c>
    </row>
    <row r="1463" ht="28.5" customHeight="1">
      <c r="A1463" s="317" t="n">
        <v>46466</v>
      </c>
      <c r="B1463" t="inlineStr">
        <is>
          <t>GERAL</t>
        </is>
      </c>
      <c r="C1463" t="inlineStr">
        <is>
          <t>CMM</t>
        </is>
      </c>
      <c r="D1463" t="inlineStr">
        <is>
          <t>PREMONTAGEM</t>
        </is>
      </c>
      <c r="F1463" s="159">
        <f>IFERROR(INDEX('BASE METAS DIÁRIAS'!$N$2:$S$358,MATCH($A1463,'BASE METAS DIÁRIAS'!$A$2:$A$358,0),MOD(ROW()-2,6)+1),"")</f>
        <v/>
      </c>
      <c r="G1463" s="159">
        <f>IFERROR(IF(WEEKDAY($A1463,2)&lt;=INDEX('BASE METAS DIÁRIAS'!$H$2:$M$358,MATCH($A1463,'BASE METAS DIÁRIAS'!$A$2:$A$358,0),MOD(ROW()-2,6)+1),INDEX('BASE METAS DIÁRIAS'!$B$2:$G$358,MATCH($A1463,'BASE METAS DIÁRIAS'!$A$2:$A$358,0),MOD(ROW()-2,6)+1),""),"")</f>
        <v/>
      </c>
      <c r="H1463" s="159">
        <f>IFERROR(IF(INDEX('CONTROLE PRODUÇÃO POR EMPRESAS'!$B$6:$G$5000,MATCH($A1463,'CONTROLE PRODUÇÃO POR EMPRESAS'!$A$6:$A$5000,0),MOD(ROW()-2,6)+1)="","",IFERROR(1*INDEX('CONTROLE PRODUÇÃO POR EMPRESAS'!$B$6:$G$5000,MATCH($A1463,'CONTROLE PRODUÇÃO POR EMPRESAS'!$A$6:$A$5000,0),MOD(ROW()-2,6)+1),"")),"")</f>
        <v/>
      </c>
      <c r="I1463" s="159">
        <f>IF(OR(NOT(ISNUMBER(G1463)),NOT(ISNUMBER(H1463))),"",H1463-G1463)</f>
        <v/>
      </c>
      <c r="J1463" s="319">
        <f>IF(OR(NOT(ISNUMBER(G1463)),NOT(ISNUMBER(H1463)),G1463=0),"",I1463/G1463)</f>
        <v/>
      </c>
      <c r="K1463" s="319">
        <f>IF(OR(NOT(ISNUMBER(G1463)),NOT(ISNUMBER(H1463)),G1463=0),"",H1463/G1463)</f>
        <v/>
      </c>
      <c r="L1463">
        <f>IF(NOT(ISNUMBER(G1463)),"SEM META",IF(G1463=0,"SEM META",IF(NOT(ISNUMBER(H1463)),"SEM APONTAMENTO",IF(H1463&gt;=G1463,"VERDE",IF(H1463&gt;=G1463*0.9,"AMARELO","VERMELHO")))))</f>
        <v/>
      </c>
      <c r="M1463" s="162" t="n"/>
      <c r="N1463" s="162" t="n"/>
      <c r="O1463" s="162" t="n"/>
      <c r="P1463" s="162" t="n"/>
      <c r="Q1463" s="320" t="n"/>
      <c r="R1463" s="162" t="inlineStr">
        <is>
          <t>CONTROLE PRODUÇÃO POR EMPRESAS!E249</t>
        </is>
      </c>
    </row>
    <row r="1464" ht="28.5" customHeight="1">
      <c r="A1464" s="317" t="n">
        <v>46466</v>
      </c>
      <c r="B1464" t="inlineStr">
        <is>
          <t>GERAL</t>
        </is>
      </c>
      <c r="C1464" t="inlineStr">
        <is>
          <t>CMM</t>
        </is>
      </c>
      <c r="D1464" t="inlineStr">
        <is>
          <t>IÇAMENTO JOIST</t>
        </is>
      </c>
      <c r="F1464" s="159">
        <f>IFERROR(INDEX('BASE METAS DIÁRIAS'!$N$2:$S$358,MATCH($A1464,'BASE METAS DIÁRIAS'!$A$2:$A$358,0),MOD(ROW()-2,6)+1),"")</f>
        <v/>
      </c>
      <c r="G1464" s="159">
        <f>IFERROR(IF(WEEKDAY($A1464,2)&lt;=INDEX('BASE METAS DIÁRIAS'!$H$2:$M$358,MATCH($A1464,'BASE METAS DIÁRIAS'!$A$2:$A$358,0),MOD(ROW()-2,6)+1),INDEX('BASE METAS DIÁRIAS'!$B$2:$G$358,MATCH($A1464,'BASE METAS DIÁRIAS'!$A$2:$A$358,0),MOD(ROW()-2,6)+1),""),"")</f>
        <v/>
      </c>
      <c r="H1464" s="159">
        <f>IFERROR(IF(INDEX('CONTROLE PRODUÇÃO POR EMPRESAS'!$B$6:$G$5000,MATCH($A1464,'CONTROLE PRODUÇÃO POR EMPRESAS'!$A$6:$A$5000,0),MOD(ROW()-2,6)+1)="","",IFERROR(1*INDEX('CONTROLE PRODUÇÃO POR EMPRESAS'!$B$6:$G$5000,MATCH($A1464,'CONTROLE PRODUÇÃO POR EMPRESAS'!$A$6:$A$5000,0),MOD(ROW()-2,6)+1),"")),"")</f>
        <v/>
      </c>
      <c r="I1464" s="159">
        <f>IF(OR(NOT(ISNUMBER(G1464)),NOT(ISNUMBER(H1464))),"",H1464-G1464)</f>
        <v/>
      </c>
      <c r="J1464" s="319">
        <f>IF(OR(NOT(ISNUMBER(G1464)),NOT(ISNUMBER(H1464)),G1464=0),"",I1464/G1464)</f>
        <v/>
      </c>
      <c r="K1464" s="319">
        <f>IF(OR(NOT(ISNUMBER(G1464)),NOT(ISNUMBER(H1464)),G1464=0),"",H1464/G1464)</f>
        <v/>
      </c>
      <c r="L1464">
        <f>IF(NOT(ISNUMBER(G1464)),"SEM META",IF(G1464=0,"SEM META",IF(NOT(ISNUMBER(H1464)),"SEM APONTAMENTO",IF(H1464&gt;=G1464,"VERDE",IF(H1464&gt;=G1464*0.9,"AMARELO","VERMELHO")))))</f>
        <v/>
      </c>
      <c r="M1464" s="162" t="n"/>
      <c r="N1464" s="162" t="n"/>
      <c r="O1464" s="162" t="n"/>
      <c r="P1464" s="162" t="n"/>
      <c r="Q1464" s="320" t="n"/>
      <c r="R1464" s="162" t="inlineStr">
        <is>
          <t>CONTROLE PRODUÇÃO POR EMPRESAS!F249</t>
        </is>
      </c>
    </row>
    <row r="1465" ht="28.5" customHeight="1">
      <c r="A1465" s="317" t="n">
        <v>46466</v>
      </c>
      <c r="B1465" t="inlineStr">
        <is>
          <t>GERAL</t>
        </is>
      </c>
      <c r="C1465" t="inlineStr">
        <is>
          <t>CMM</t>
        </is>
      </c>
      <c r="D1465" t="inlineStr">
        <is>
          <t>VIGAS</t>
        </is>
      </c>
      <c r="F1465" s="159">
        <f>IFERROR(INDEX('BASE METAS DIÁRIAS'!$N$2:$S$358,MATCH($A1465,'BASE METAS DIÁRIAS'!$A$2:$A$358,0),MOD(ROW()-2,6)+1),"")</f>
        <v/>
      </c>
      <c r="G1465" s="159">
        <f>IFERROR(IF(WEEKDAY($A1465,2)&lt;=INDEX('BASE METAS DIÁRIAS'!$H$2:$M$358,MATCH($A1465,'BASE METAS DIÁRIAS'!$A$2:$A$358,0),MOD(ROW()-2,6)+1),INDEX('BASE METAS DIÁRIAS'!$B$2:$G$358,MATCH($A1465,'BASE METAS DIÁRIAS'!$A$2:$A$358,0),MOD(ROW()-2,6)+1),""),"")</f>
        <v/>
      </c>
      <c r="H1465" s="159">
        <f>IFERROR(IF(INDEX('CONTROLE PRODUÇÃO POR EMPRESAS'!$B$6:$G$5000,MATCH($A1465,'CONTROLE PRODUÇÃO POR EMPRESAS'!$A$6:$A$5000,0),MOD(ROW()-2,6)+1)="","",IFERROR(1*INDEX('CONTROLE PRODUÇÃO POR EMPRESAS'!$B$6:$G$5000,MATCH($A1465,'CONTROLE PRODUÇÃO POR EMPRESAS'!$A$6:$A$5000,0),MOD(ROW()-2,6)+1),"")),"")</f>
        <v/>
      </c>
      <c r="I1465" s="159">
        <f>IF(OR(NOT(ISNUMBER(G1465)),NOT(ISNUMBER(H1465))),"",H1465-G1465)</f>
        <v/>
      </c>
      <c r="J1465" s="319">
        <f>IF(OR(NOT(ISNUMBER(G1465)),NOT(ISNUMBER(H1465)),G1465=0),"",I1465/G1465)</f>
        <v/>
      </c>
      <c r="K1465" s="319">
        <f>IF(OR(NOT(ISNUMBER(G1465)),NOT(ISNUMBER(H1465)),G1465=0),"",H1465/G1465)</f>
        <v/>
      </c>
      <c r="L1465">
        <f>IF(NOT(ISNUMBER(G1465)),"SEM META",IF(G1465=0,"SEM META",IF(NOT(ISNUMBER(H1465)),"SEM APONTAMENTO",IF(H1465&gt;=G1465,"VERDE",IF(H1465&gt;=G1465*0.9,"AMARELO","VERMELHO")))))</f>
        <v/>
      </c>
      <c r="M1465" s="162" t="n"/>
      <c r="N1465" s="162" t="n"/>
      <c r="O1465" s="162" t="n"/>
      <c r="P1465" s="162" t="n"/>
      <c r="Q1465" s="320" t="n"/>
      <c r="R1465" s="162" t="inlineStr">
        <is>
          <t>CONTROLE PRODUÇÃO POR EMPRESAS!G249</t>
        </is>
      </c>
    </row>
    <row r="1466" ht="28.5" customHeight="1">
      <c r="A1466" s="317" t="n">
        <v>46467</v>
      </c>
      <c r="B1466" t="inlineStr">
        <is>
          <t>GERAL</t>
        </is>
      </c>
      <c r="C1466" t="inlineStr">
        <is>
          <t>EJ</t>
        </is>
      </c>
      <c r="D1466" t="inlineStr">
        <is>
          <t>PREMONTAGEM</t>
        </is>
      </c>
      <c r="F1466" s="159">
        <f>IFERROR(INDEX('BASE METAS DIÁRIAS'!$N$2:$S$358,MATCH($A1466,'BASE METAS DIÁRIAS'!$A$2:$A$358,0),MOD(ROW()-2,6)+1),"")</f>
        <v/>
      </c>
      <c r="G1466" s="159">
        <f>IFERROR(IF(WEEKDAY($A1466,2)&lt;=INDEX('BASE METAS DIÁRIAS'!$H$2:$M$358,MATCH($A1466,'BASE METAS DIÁRIAS'!$A$2:$A$358,0),MOD(ROW()-2,6)+1),INDEX('BASE METAS DIÁRIAS'!$B$2:$G$358,MATCH($A1466,'BASE METAS DIÁRIAS'!$A$2:$A$358,0),MOD(ROW()-2,6)+1),""),"")</f>
        <v/>
      </c>
      <c r="H1466" s="159">
        <f>IFERROR(IF(INDEX('CONTROLE PRODUÇÃO POR EMPRESAS'!$B$6:$G$5000,MATCH($A1466,'CONTROLE PRODUÇÃO POR EMPRESAS'!$A$6:$A$5000,0),MOD(ROW()-2,6)+1)="","",IFERROR(1*INDEX('CONTROLE PRODUÇÃO POR EMPRESAS'!$B$6:$G$5000,MATCH($A1466,'CONTROLE PRODUÇÃO POR EMPRESAS'!$A$6:$A$5000,0),MOD(ROW()-2,6)+1),"")),"")</f>
        <v/>
      </c>
      <c r="I1466" s="159">
        <f>IF(OR(NOT(ISNUMBER(G1466)),NOT(ISNUMBER(H1466))),"",H1466-G1466)</f>
        <v/>
      </c>
      <c r="J1466" s="319">
        <f>IF(OR(NOT(ISNUMBER(G1466)),NOT(ISNUMBER(H1466)),G1466=0),"",I1466/G1466)</f>
        <v/>
      </c>
      <c r="K1466" s="319">
        <f>IF(OR(NOT(ISNUMBER(G1466)),NOT(ISNUMBER(H1466)),G1466=0),"",H1466/G1466)</f>
        <v/>
      </c>
      <c r="L1466">
        <f>IF(NOT(ISNUMBER(G1466)),"SEM META",IF(G1466=0,"SEM META",IF(NOT(ISNUMBER(H1466)),"SEM APONTAMENTO",IF(H1466&gt;=G1466,"VERDE",IF(H1466&gt;=G1466*0.9,"AMARELO","VERMELHO")))))</f>
        <v/>
      </c>
      <c r="M1466" s="162" t="n"/>
      <c r="N1466" s="162" t="n"/>
      <c r="O1466" s="162" t="n"/>
      <c r="P1466" s="162" t="n"/>
      <c r="Q1466" s="320" t="n"/>
      <c r="R1466" s="162" t="inlineStr">
        <is>
          <t>CONTROLE PRODUÇÃO POR EMPRESAS!B250</t>
        </is>
      </c>
    </row>
    <row r="1467" ht="28.5" customHeight="1">
      <c r="A1467" s="317" t="n">
        <v>46467</v>
      </c>
      <c r="B1467" t="inlineStr">
        <is>
          <t>GERAL</t>
        </is>
      </c>
      <c r="C1467" t="inlineStr">
        <is>
          <t>EJ</t>
        </is>
      </c>
      <c r="D1467" t="inlineStr">
        <is>
          <t>IÇAMENTO JOIST</t>
        </is>
      </c>
      <c r="F1467" s="159">
        <f>IFERROR(INDEX('BASE METAS DIÁRIAS'!$N$2:$S$358,MATCH($A1467,'BASE METAS DIÁRIAS'!$A$2:$A$358,0),MOD(ROW()-2,6)+1),"")</f>
        <v/>
      </c>
      <c r="G1467" s="159">
        <f>IFERROR(IF(WEEKDAY($A1467,2)&lt;=INDEX('BASE METAS DIÁRIAS'!$H$2:$M$358,MATCH($A1467,'BASE METAS DIÁRIAS'!$A$2:$A$358,0),MOD(ROW()-2,6)+1),INDEX('BASE METAS DIÁRIAS'!$B$2:$G$358,MATCH($A1467,'BASE METAS DIÁRIAS'!$A$2:$A$358,0),MOD(ROW()-2,6)+1),""),"")</f>
        <v/>
      </c>
      <c r="H1467" s="159">
        <f>IFERROR(IF(INDEX('CONTROLE PRODUÇÃO POR EMPRESAS'!$B$6:$G$5000,MATCH($A1467,'CONTROLE PRODUÇÃO POR EMPRESAS'!$A$6:$A$5000,0),MOD(ROW()-2,6)+1)="","",IFERROR(1*INDEX('CONTROLE PRODUÇÃO POR EMPRESAS'!$B$6:$G$5000,MATCH($A1467,'CONTROLE PRODUÇÃO POR EMPRESAS'!$A$6:$A$5000,0),MOD(ROW()-2,6)+1),"")),"")</f>
        <v/>
      </c>
      <c r="I1467" s="159">
        <f>IF(OR(NOT(ISNUMBER(G1467)),NOT(ISNUMBER(H1467))),"",H1467-G1467)</f>
        <v/>
      </c>
      <c r="J1467" s="319">
        <f>IF(OR(NOT(ISNUMBER(G1467)),NOT(ISNUMBER(H1467)),G1467=0),"",I1467/G1467)</f>
        <v/>
      </c>
      <c r="K1467" s="319">
        <f>IF(OR(NOT(ISNUMBER(G1467)),NOT(ISNUMBER(H1467)),G1467=0),"",H1467/G1467)</f>
        <v/>
      </c>
      <c r="L1467">
        <f>IF(NOT(ISNUMBER(G1467)),"SEM META",IF(G1467=0,"SEM META",IF(NOT(ISNUMBER(H1467)),"SEM APONTAMENTO",IF(H1467&gt;=G1467,"VERDE",IF(H1467&gt;=G1467*0.9,"AMARELO","VERMELHO")))))</f>
        <v/>
      </c>
      <c r="M1467" s="162" t="n"/>
      <c r="N1467" s="162" t="n"/>
      <c r="O1467" s="162" t="n"/>
      <c r="P1467" s="162" t="n"/>
      <c r="Q1467" s="320" t="n"/>
      <c r="R1467" s="162" t="inlineStr">
        <is>
          <t>CONTROLE PRODUÇÃO POR EMPRESAS!C250</t>
        </is>
      </c>
    </row>
    <row r="1468" ht="28.5" customHeight="1">
      <c r="A1468" s="317" t="n">
        <v>46467</v>
      </c>
      <c r="B1468" t="inlineStr">
        <is>
          <t>GERAL</t>
        </is>
      </c>
      <c r="C1468" t="inlineStr">
        <is>
          <t>EJ</t>
        </is>
      </c>
      <c r="D1468" t="inlineStr">
        <is>
          <t>VIGAS</t>
        </is>
      </c>
      <c r="F1468" s="159">
        <f>IFERROR(INDEX('BASE METAS DIÁRIAS'!$N$2:$S$358,MATCH($A1468,'BASE METAS DIÁRIAS'!$A$2:$A$358,0),MOD(ROW()-2,6)+1),"")</f>
        <v/>
      </c>
      <c r="G1468" s="159">
        <f>IFERROR(IF(WEEKDAY($A1468,2)&lt;=INDEX('BASE METAS DIÁRIAS'!$H$2:$M$358,MATCH($A1468,'BASE METAS DIÁRIAS'!$A$2:$A$358,0),MOD(ROW()-2,6)+1),INDEX('BASE METAS DIÁRIAS'!$B$2:$G$358,MATCH($A1468,'BASE METAS DIÁRIAS'!$A$2:$A$358,0),MOD(ROW()-2,6)+1),""),"")</f>
        <v/>
      </c>
      <c r="H1468" s="159">
        <f>IFERROR(IF(INDEX('CONTROLE PRODUÇÃO POR EMPRESAS'!$B$6:$G$5000,MATCH($A1468,'CONTROLE PRODUÇÃO POR EMPRESAS'!$A$6:$A$5000,0),MOD(ROW()-2,6)+1)="","",IFERROR(1*INDEX('CONTROLE PRODUÇÃO POR EMPRESAS'!$B$6:$G$5000,MATCH($A1468,'CONTROLE PRODUÇÃO POR EMPRESAS'!$A$6:$A$5000,0),MOD(ROW()-2,6)+1),"")),"")</f>
        <v/>
      </c>
      <c r="I1468" s="159">
        <f>IF(OR(NOT(ISNUMBER(G1468)),NOT(ISNUMBER(H1468))),"",H1468-G1468)</f>
        <v/>
      </c>
      <c r="J1468" s="319">
        <f>IF(OR(NOT(ISNUMBER(G1468)),NOT(ISNUMBER(H1468)),G1468=0),"",I1468/G1468)</f>
        <v/>
      </c>
      <c r="K1468" s="319">
        <f>IF(OR(NOT(ISNUMBER(G1468)),NOT(ISNUMBER(H1468)),G1468=0),"",H1468/G1468)</f>
        <v/>
      </c>
      <c r="L1468">
        <f>IF(NOT(ISNUMBER(G1468)),"SEM META",IF(G1468=0,"SEM META",IF(NOT(ISNUMBER(H1468)),"SEM APONTAMENTO",IF(H1468&gt;=G1468,"VERDE",IF(H1468&gt;=G1468*0.9,"AMARELO","VERMELHO")))))</f>
        <v/>
      </c>
      <c r="M1468" s="162" t="n"/>
      <c r="N1468" s="162" t="n"/>
      <c r="O1468" s="162" t="n"/>
      <c r="P1468" s="162" t="n"/>
      <c r="Q1468" s="320" t="n"/>
      <c r="R1468" s="162" t="inlineStr">
        <is>
          <t>CONTROLE PRODUÇÃO POR EMPRESAS!D250</t>
        </is>
      </c>
    </row>
    <row r="1469" ht="28.5" customHeight="1">
      <c r="A1469" s="317" t="n">
        <v>46467</v>
      </c>
      <c r="B1469" t="inlineStr">
        <is>
          <t>GERAL</t>
        </is>
      </c>
      <c r="C1469" t="inlineStr">
        <is>
          <t>CMM</t>
        </is>
      </c>
      <c r="D1469" t="inlineStr">
        <is>
          <t>PREMONTAGEM</t>
        </is>
      </c>
      <c r="F1469" s="159">
        <f>IFERROR(INDEX('BASE METAS DIÁRIAS'!$N$2:$S$358,MATCH($A1469,'BASE METAS DIÁRIAS'!$A$2:$A$358,0),MOD(ROW()-2,6)+1),"")</f>
        <v/>
      </c>
      <c r="G1469" s="159">
        <f>IFERROR(IF(WEEKDAY($A1469,2)&lt;=INDEX('BASE METAS DIÁRIAS'!$H$2:$M$358,MATCH($A1469,'BASE METAS DIÁRIAS'!$A$2:$A$358,0),MOD(ROW()-2,6)+1),INDEX('BASE METAS DIÁRIAS'!$B$2:$G$358,MATCH($A1469,'BASE METAS DIÁRIAS'!$A$2:$A$358,0),MOD(ROW()-2,6)+1),""),"")</f>
        <v/>
      </c>
      <c r="H1469" s="159">
        <f>IFERROR(IF(INDEX('CONTROLE PRODUÇÃO POR EMPRESAS'!$B$6:$G$5000,MATCH($A1469,'CONTROLE PRODUÇÃO POR EMPRESAS'!$A$6:$A$5000,0),MOD(ROW()-2,6)+1)="","",IFERROR(1*INDEX('CONTROLE PRODUÇÃO POR EMPRESAS'!$B$6:$G$5000,MATCH($A1469,'CONTROLE PRODUÇÃO POR EMPRESAS'!$A$6:$A$5000,0),MOD(ROW()-2,6)+1),"")),"")</f>
        <v/>
      </c>
      <c r="I1469" s="159">
        <f>IF(OR(NOT(ISNUMBER(G1469)),NOT(ISNUMBER(H1469))),"",H1469-G1469)</f>
        <v/>
      </c>
      <c r="J1469" s="319">
        <f>IF(OR(NOT(ISNUMBER(G1469)),NOT(ISNUMBER(H1469)),G1469=0),"",I1469/G1469)</f>
        <v/>
      </c>
      <c r="K1469" s="319">
        <f>IF(OR(NOT(ISNUMBER(G1469)),NOT(ISNUMBER(H1469)),G1469=0),"",H1469/G1469)</f>
        <v/>
      </c>
      <c r="L1469">
        <f>IF(NOT(ISNUMBER(G1469)),"SEM META",IF(G1469=0,"SEM META",IF(NOT(ISNUMBER(H1469)),"SEM APONTAMENTO",IF(H1469&gt;=G1469,"VERDE",IF(H1469&gt;=G1469*0.9,"AMARELO","VERMELHO")))))</f>
        <v/>
      </c>
      <c r="M1469" s="162" t="n"/>
      <c r="N1469" s="162" t="n"/>
      <c r="O1469" s="162" t="n"/>
      <c r="P1469" s="162" t="n"/>
      <c r="Q1469" s="320" t="n"/>
      <c r="R1469" s="162" t="inlineStr">
        <is>
          <t>CONTROLE PRODUÇÃO POR EMPRESAS!E250</t>
        </is>
      </c>
    </row>
    <row r="1470" ht="28.5" customHeight="1">
      <c r="A1470" s="317" t="n">
        <v>46467</v>
      </c>
      <c r="B1470" t="inlineStr">
        <is>
          <t>GERAL</t>
        </is>
      </c>
      <c r="C1470" t="inlineStr">
        <is>
          <t>CMM</t>
        </is>
      </c>
      <c r="D1470" t="inlineStr">
        <is>
          <t>IÇAMENTO JOIST</t>
        </is>
      </c>
      <c r="F1470" s="159">
        <f>IFERROR(INDEX('BASE METAS DIÁRIAS'!$N$2:$S$358,MATCH($A1470,'BASE METAS DIÁRIAS'!$A$2:$A$358,0),MOD(ROW()-2,6)+1),"")</f>
        <v/>
      </c>
      <c r="G1470" s="159">
        <f>IFERROR(IF(WEEKDAY($A1470,2)&lt;=INDEX('BASE METAS DIÁRIAS'!$H$2:$M$358,MATCH($A1470,'BASE METAS DIÁRIAS'!$A$2:$A$358,0),MOD(ROW()-2,6)+1),INDEX('BASE METAS DIÁRIAS'!$B$2:$G$358,MATCH($A1470,'BASE METAS DIÁRIAS'!$A$2:$A$358,0),MOD(ROW()-2,6)+1),""),"")</f>
        <v/>
      </c>
      <c r="H1470" s="159">
        <f>IFERROR(IF(INDEX('CONTROLE PRODUÇÃO POR EMPRESAS'!$B$6:$G$5000,MATCH($A1470,'CONTROLE PRODUÇÃO POR EMPRESAS'!$A$6:$A$5000,0),MOD(ROW()-2,6)+1)="","",IFERROR(1*INDEX('CONTROLE PRODUÇÃO POR EMPRESAS'!$B$6:$G$5000,MATCH($A1470,'CONTROLE PRODUÇÃO POR EMPRESAS'!$A$6:$A$5000,0),MOD(ROW()-2,6)+1),"")),"")</f>
        <v/>
      </c>
      <c r="I1470" s="159">
        <f>IF(OR(NOT(ISNUMBER(G1470)),NOT(ISNUMBER(H1470))),"",H1470-G1470)</f>
        <v/>
      </c>
      <c r="J1470" s="319">
        <f>IF(OR(NOT(ISNUMBER(G1470)),NOT(ISNUMBER(H1470)),G1470=0),"",I1470/G1470)</f>
        <v/>
      </c>
      <c r="K1470" s="319">
        <f>IF(OR(NOT(ISNUMBER(G1470)),NOT(ISNUMBER(H1470)),G1470=0),"",H1470/G1470)</f>
        <v/>
      </c>
      <c r="L1470">
        <f>IF(NOT(ISNUMBER(G1470)),"SEM META",IF(G1470=0,"SEM META",IF(NOT(ISNUMBER(H1470)),"SEM APONTAMENTO",IF(H1470&gt;=G1470,"VERDE",IF(H1470&gt;=G1470*0.9,"AMARELO","VERMELHO")))))</f>
        <v/>
      </c>
      <c r="M1470" s="162" t="n"/>
      <c r="N1470" s="162" t="n"/>
      <c r="O1470" s="162" t="n"/>
      <c r="P1470" s="162" t="n"/>
      <c r="Q1470" s="320" t="n"/>
      <c r="R1470" s="162" t="inlineStr">
        <is>
          <t>CONTROLE PRODUÇÃO POR EMPRESAS!F250</t>
        </is>
      </c>
    </row>
    <row r="1471" ht="28.5" customHeight="1">
      <c r="A1471" s="317" t="n">
        <v>46467</v>
      </c>
      <c r="B1471" t="inlineStr">
        <is>
          <t>GERAL</t>
        </is>
      </c>
      <c r="C1471" t="inlineStr">
        <is>
          <t>CMM</t>
        </is>
      </c>
      <c r="D1471" t="inlineStr">
        <is>
          <t>VIGAS</t>
        </is>
      </c>
      <c r="F1471" s="159">
        <f>IFERROR(INDEX('BASE METAS DIÁRIAS'!$N$2:$S$358,MATCH($A1471,'BASE METAS DIÁRIAS'!$A$2:$A$358,0),MOD(ROW()-2,6)+1),"")</f>
        <v/>
      </c>
      <c r="G1471" s="159">
        <f>IFERROR(IF(WEEKDAY($A1471,2)&lt;=INDEX('BASE METAS DIÁRIAS'!$H$2:$M$358,MATCH($A1471,'BASE METAS DIÁRIAS'!$A$2:$A$358,0),MOD(ROW()-2,6)+1),INDEX('BASE METAS DIÁRIAS'!$B$2:$G$358,MATCH($A1471,'BASE METAS DIÁRIAS'!$A$2:$A$358,0),MOD(ROW()-2,6)+1),""),"")</f>
        <v/>
      </c>
      <c r="H1471" s="159">
        <f>IFERROR(IF(INDEX('CONTROLE PRODUÇÃO POR EMPRESAS'!$B$6:$G$5000,MATCH($A1471,'CONTROLE PRODUÇÃO POR EMPRESAS'!$A$6:$A$5000,0),MOD(ROW()-2,6)+1)="","",IFERROR(1*INDEX('CONTROLE PRODUÇÃO POR EMPRESAS'!$B$6:$G$5000,MATCH($A1471,'CONTROLE PRODUÇÃO POR EMPRESAS'!$A$6:$A$5000,0),MOD(ROW()-2,6)+1),"")),"")</f>
        <v/>
      </c>
      <c r="I1471" s="159">
        <f>IF(OR(NOT(ISNUMBER(G1471)),NOT(ISNUMBER(H1471))),"",H1471-G1471)</f>
        <v/>
      </c>
      <c r="J1471" s="319">
        <f>IF(OR(NOT(ISNUMBER(G1471)),NOT(ISNUMBER(H1471)),G1471=0),"",I1471/G1471)</f>
        <v/>
      </c>
      <c r="K1471" s="319">
        <f>IF(OR(NOT(ISNUMBER(G1471)),NOT(ISNUMBER(H1471)),G1471=0),"",H1471/G1471)</f>
        <v/>
      </c>
      <c r="L1471">
        <f>IF(NOT(ISNUMBER(G1471)),"SEM META",IF(G1471=0,"SEM META",IF(NOT(ISNUMBER(H1471)),"SEM APONTAMENTO",IF(H1471&gt;=G1471,"VERDE",IF(H1471&gt;=G1471*0.9,"AMARELO","VERMELHO")))))</f>
        <v/>
      </c>
      <c r="M1471" s="162" t="n"/>
      <c r="N1471" s="162" t="n"/>
      <c r="O1471" s="162" t="n"/>
      <c r="P1471" s="162" t="n"/>
      <c r="Q1471" s="320" t="n"/>
      <c r="R1471" s="162" t="inlineStr">
        <is>
          <t>CONTROLE PRODUÇÃO POR EMPRESAS!G250</t>
        </is>
      </c>
    </row>
    <row r="1472" ht="28.5" customHeight="1">
      <c r="A1472" s="317" t="n">
        <v>46468</v>
      </c>
      <c r="B1472" t="inlineStr">
        <is>
          <t>GERAL</t>
        </is>
      </c>
      <c r="C1472" t="inlineStr">
        <is>
          <t>EJ</t>
        </is>
      </c>
      <c r="D1472" t="inlineStr">
        <is>
          <t>PREMONTAGEM</t>
        </is>
      </c>
      <c r="F1472" s="159">
        <f>IFERROR(INDEX('BASE METAS DIÁRIAS'!$N$2:$S$358,MATCH($A1472,'BASE METAS DIÁRIAS'!$A$2:$A$358,0),MOD(ROW()-2,6)+1),"")</f>
        <v/>
      </c>
      <c r="G1472" s="159">
        <f>IFERROR(IF(WEEKDAY($A1472,2)&lt;=INDEX('BASE METAS DIÁRIAS'!$H$2:$M$358,MATCH($A1472,'BASE METAS DIÁRIAS'!$A$2:$A$358,0),MOD(ROW()-2,6)+1),INDEX('BASE METAS DIÁRIAS'!$B$2:$G$358,MATCH($A1472,'BASE METAS DIÁRIAS'!$A$2:$A$358,0),MOD(ROW()-2,6)+1),""),"")</f>
        <v/>
      </c>
      <c r="H1472" s="159">
        <f>IFERROR(IF(INDEX('CONTROLE PRODUÇÃO POR EMPRESAS'!$B$6:$G$5000,MATCH($A1472,'CONTROLE PRODUÇÃO POR EMPRESAS'!$A$6:$A$5000,0),MOD(ROW()-2,6)+1)="","",IFERROR(1*INDEX('CONTROLE PRODUÇÃO POR EMPRESAS'!$B$6:$G$5000,MATCH($A1472,'CONTROLE PRODUÇÃO POR EMPRESAS'!$A$6:$A$5000,0),MOD(ROW()-2,6)+1),"")),"")</f>
        <v/>
      </c>
      <c r="I1472" s="159">
        <f>IF(OR(NOT(ISNUMBER(G1472)),NOT(ISNUMBER(H1472))),"",H1472-G1472)</f>
        <v/>
      </c>
      <c r="J1472" s="319">
        <f>IF(OR(NOT(ISNUMBER(G1472)),NOT(ISNUMBER(H1472)),G1472=0),"",I1472/G1472)</f>
        <v/>
      </c>
      <c r="K1472" s="319">
        <f>IF(OR(NOT(ISNUMBER(G1472)),NOT(ISNUMBER(H1472)),G1472=0),"",H1472/G1472)</f>
        <v/>
      </c>
      <c r="L1472">
        <f>IF(NOT(ISNUMBER(G1472)),"SEM META",IF(G1472=0,"SEM META",IF(NOT(ISNUMBER(H1472)),"SEM APONTAMENTO",IF(H1472&gt;=G1472,"VERDE",IF(H1472&gt;=G1472*0.9,"AMARELO","VERMELHO")))))</f>
        <v/>
      </c>
      <c r="M1472" s="162" t="n"/>
      <c r="N1472" s="162" t="n"/>
      <c r="O1472" s="162" t="n"/>
      <c r="P1472" s="162" t="n"/>
      <c r="Q1472" s="320" t="n"/>
      <c r="R1472" s="162" t="inlineStr">
        <is>
          <t>CONTROLE PRODUÇÃO POR EMPRESAS!B251</t>
        </is>
      </c>
    </row>
    <row r="1473" ht="28.5" customHeight="1">
      <c r="A1473" s="317" t="n">
        <v>46468</v>
      </c>
      <c r="B1473" t="inlineStr">
        <is>
          <t>GERAL</t>
        </is>
      </c>
      <c r="C1473" t="inlineStr">
        <is>
          <t>EJ</t>
        </is>
      </c>
      <c r="D1473" t="inlineStr">
        <is>
          <t>IÇAMENTO JOIST</t>
        </is>
      </c>
      <c r="F1473" s="159">
        <f>IFERROR(INDEX('BASE METAS DIÁRIAS'!$N$2:$S$358,MATCH($A1473,'BASE METAS DIÁRIAS'!$A$2:$A$358,0),MOD(ROW()-2,6)+1),"")</f>
        <v/>
      </c>
      <c r="G1473" s="159">
        <f>IFERROR(IF(WEEKDAY($A1473,2)&lt;=INDEX('BASE METAS DIÁRIAS'!$H$2:$M$358,MATCH($A1473,'BASE METAS DIÁRIAS'!$A$2:$A$358,0),MOD(ROW()-2,6)+1),INDEX('BASE METAS DIÁRIAS'!$B$2:$G$358,MATCH($A1473,'BASE METAS DIÁRIAS'!$A$2:$A$358,0),MOD(ROW()-2,6)+1),""),"")</f>
        <v/>
      </c>
      <c r="H1473" s="159">
        <f>IFERROR(IF(INDEX('CONTROLE PRODUÇÃO POR EMPRESAS'!$B$6:$G$5000,MATCH($A1473,'CONTROLE PRODUÇÃO POR EMPRESAS'!$A$6:$A$5000,0),MOD(ROW()-2,6)+1)="","",IFERROR(1*INDEX('CONTROLE PRODUÇÃO POR EMPRESAS'!$B$6:$G$5000,MATCH($A1473,'CONTROLE PRODUÇÃO POR EMPRESAS'!$A$6:$A$5000,0),MOD(ROW()-2,6)+1),"")),"")</f>
        <v/>
      </c>
      <c r="I1473" s="159">
        <f>IF(OR(NOT(ISNUMBER(G1473)),NOT(ISNUMBER(H1473))),"",H1473-G1473)</f>
        <v/>
      </c>
      <c r="J1473" s="319">
        <f>IF(OR(NOT(ISNUMBER(G1473)),NOT(ISNUMBER(H1473)),G1473=0),"",I1473/G1473)</f>
        <v/>
      </c>
      <c r="K1473" s="319">
        <f>IF(OR(NOT(ISNUMBER(G1473)),NOT(ISNUMBER(H1473)),G1473=0),"",H1473/G1473)</f>
        <v/>
      </c>
      <c r="L1473">
        <f>IF(NOT(ISNUMBER(G1473)),"SEM META",IF(G1473=0,"SEM META",IF(NOT(ISNUMBER(H1473)),"SEM APONTAMENTO",IF(H1473&gt;=G1473,"VERDE",IF(H1473&gt;=G1473*0.9,"AMARELO","VERMELHO")))))</f>
        <v/>
      </c>
      <c r="M1473" s="162" t="n"/>
      <c r="N1473" s="162" t="n"/>
      <c r="O1473" s="162" t="n"/>
      <c r="P1473" s="162" t="n"/>
      <c r="Q1473" s="320" t="n"/>
      <c r="R1473" s="162" t="inlineStr">
        <is>
          <t>CONTROLE PRODUÇÃO POR EMPRESAS!C251</t>
        </is>
      </c>
    </row>
    <row r="1474" ht="28.5" customHeight="1">
      <c r="A1474" s="317" t="n">
        <v>46468</v>
      </c>
      <c r="B1474" t="inlineStr">
        <is>
          <t>GERAL</t>
        </is>
      </c>
      <c r="C1474" t="inlineStr">
        <is>
          <t>EJ</t>
        </is>
      </c>
      <c r="D1474" t="inlineStr">
        <is>
          <t>VIGAS</t>
        </is>
      </c>
      <c r="F1474" s="159">
        <f>IFERROR(INDEX('BASE METAS DIÁRIAS'!$N$2:$S$358,MATCH($A1474,'BASE METAS DIÁRIAS'!$A$2:$A$358,0),MOD(ROW()-2,6)+1),"")</f>
        <v/>
      </c>
      <c r="G1474" s="159">
        <f>IFERROR(IF(WEEKDAY($A1474,2)&lt;=INDEX('BASE METAS DIÁRIAS'!$H$2:$M$358,MATCH($A1474,'BASE METAS DIÁRIAS'!$A$2:$A$358,0),MOD(ROW()-2,6)+1),INDEX('BASE METAS DIÁRIAS'!$B$2:$G$358,MATCH($A1474,'BASE METAS DIÁRIAS'!$A$2:$A$358,0),MOD(ROW()-2,6)+1),""),"")</f>
        <v/>
      </c>
      <c r="H1474" s="159">
        <f>IFERROR(IF(INDEX('CONTROLE PRODUÇÃO POR EMPRESAS'!$B$6:$G$5000,MATCH($A1474,'CONTROLE PRODUÇÃO POR EMPRESAS'!$A$6:$A$5000,0),MOD(ROW()-2,6)+1)="","",IFERROR(1*INDEX('CONTROLE PRODUÇÃO POR EMPRESAS'!$B$6:$G$5000,MATCH($A1474,'CONTROLE PRODUÇÃO POR EMPRESAS'!$A$6:$A$5000,0),MOD(ROW()-2,6)+1),"")),"")</f>
        <v/>
      </c>
      <c r="I1474" s="159">
        <f>IF(OR(NOT(ISNUMBER(G1474)),NOT(ISNUMBER(H1474))),"",H1474-G1474)</f>
        <v/>
      </c>
      <c r="J1474" s="319">
        <f>IF(OR(NOT(ISNUMBER(G1474)),NOT(ISNUMBER(H1474)),G1474=0),"",I1474/G1474)</f>
        <v/>
      </c>
      <c r="K1474" s="319">
        <f>IF(OR(NOT(ISNUMBER(G1474)),NOT(ISNUMBER(H1474)),G1474=0),"",H1474/G1474)</f>
        <v/>
      </c>
      <c r="L1474">
        <f>IF(NOT(ISNUMBER(G1474)),"SEM META",IF(G1474=0,"SEM META",IF(NOT(ISNUMBER(H1474)),"SEM APONTAMENTO",IF(H1474&gt;=G1474,"VERDE",IF(H1474&gt;=G1474*0.9,"AMARELO","VERMELHO")))))</f>
        <v/>
      </c>
      <c r="M1474" s="162" t="n"/>
      <c r="N1474" s="162" t="n"/>
      <c r="O1474" s="162" t="n"/>
      <c r="P1474" s="162" t="n"/>
      <c r="Q1474" s="320" t="n"/>
      <c r="R1474" s="162" t="inlineStr">
        <is>
          <t>CONTROLE PRODUÇÃO POR EMPRESAS!D251</t>
        </is>
      </c>
    </row>
    <row r="1475" ht="28.5" customHeight="1">
      <c r="A1475" s="317" t="n">
        <v>46468</v>
      </c>
      <c r="B1475" t="inlineStr">
        <is>
          <t>GERAL</t>
        </is>
      </c>
      <c r="C1475" t="inlineStr">
        <is>
          <t>CMM</t>
        </is>
      </c>
      <c r="D1475" t="inlineStr">
        <is>
          <t>PREMONTAGEM</t>
        </is>
      </c>
      <c r="F1475" s="159">
        <f>IFERROR(INDEX('BASE METAS DIÁRIAS'!$N$2:$S$358,MATCH($A1475,'BASE METAS DIÁRIAS'!$A$2:$A$358,0),MOD(ROW()-2,6)+1),"")</f>
        <v/>
      </c>
      <c r="G1475" s="159">
        <f>IFERROR(IF(WEEKDAY($A1475,2)&lt;=INDEX('BASE METAS DIÁRIAS'!$H$2:$M$358,MATCH($A1475,'BASE METAS DIÁRIAS'!$A$2:$A$358,0),MOD(ROW()-2,6)+1),INDEX('BASE METAS DIÁRIAS'!$B$2:$G$358,MATCH($A1475,'BASE METAS DIÁRIAS'!$A$2:$A$358,0),MOD(ROW()-2,6)+1),""),"")</f>
        <v/>
      </c>
      <c r="H1475" s="159">
        <f>IFERROR(IF(INDEX('CONTROLE PRODUÇÃO POR EMPRESAS'!$B$6:$G$5000,MATCH($A1475,'CONTROLE PRODUÇÃO POR EMPRESAS'!$A$6:$A$5000,0),MOD(ROW()-2,6)+1)="","",IFERROR(1*INDEX('CONTROLE PRODUÇÃO POR EMPRESAS'!$B$6:$G$5000,MATCH($A1475,'CONTROLE PRODUÇÃO POR EMPRESAS'!$A$6:$A$5000,0),MOD(ROW()-2,6)+1),"")),"")</f>
        <v/>
      </c>
      <c r="I1475" s="159">
        <f>IF(OR(NOT(ISNUMBER(G1475)),NOT(ISNUMBER(H1475))),"",H1475-G1475)</f>
        <v/>
      </c>
      <c r="J1475" s="319">
        <f>IF(OR(NOT(ISNUMBER(G1475)),NOT(ISNUMBER(H1475)),G1475=0),"",I1475/G1475)</f>
        <v/>
      </c>
      <c r="K1475" s="319">
        <f>IF(OR(NOT(ISNUMBER(G1475)),NOT(ISNUMBER(H1475)),G1475=0),"",H1475/G1475)</f>
        <v/>
      </c>
      <c r="L1475">
        <f>IF(NOT(ISNUMBER(G1475)),"SEM META",IF(G1475=0,"SEM META",IF(NOT(ISNUMBER(H1475)),"SEM APONTAMENTO",IF(H1475&gt;=G1475,"VERDE",IF(H1475&gt;=G1475*0.9,"AMARELO","VERMELHO")))))</f>
        <v/>
      </c>
      <c r="M1475" s="162" t="n"/>
      <c r="N1475" s="162" t="n"/>
      <c r="O1475" s="162" t="n"/>
      <c r="P1475" s="162" t="n"/>
      <c r="Q1475" s="320" t="n"/>
      <c r="R1475" s="162" t="inlineStr">
        <is>
          <t>CONTROLE PRODUÇÃO POR EMPRESAS!E251</t>
        </is>
      </c>
    </row>
    <row r="1476" ht="28.5" customHeight="1">
      <c r="A1476" s="317" t="n">
        <v>46468</v>
      </c>
      <c r="B1476" t="inlineStr">
        <is>
          <t>GERAL</t>
        </is>
      </c>
      <c r="C1476" t="inlineStr">
        <is>
          <t>CMM</t>
        </is>
      </c>
      <c r="D1476" t="inlineStr">
        <is>
          <t>IÇAMENTO JOIST</t>
        </is>
      </c>
      <c r="F1476" s="159">
        <f>IFERROR(INDEX('BASE METAS DIÁRIAS'!$N$2:$S$358,MATCH($A1476,'BASE METAS DIÁRIAS'!$A$2:$A$358,0),MOD(ROW()-2,6)+1),"")</f>
        <v/>
      </c>
      <c r="G1476" s="159">
        <f>IFERROR(IF(WEEKDAY($A1476,2)&lt;=INDEX('BASE METAS DIÁRIAS'!$H$2:$M$358,MATCH($A1476,'BASE METAS DIÁRIAS'!$A$2:$A$358,0),MOD(ROW()-2,6)+1),INDEX('BASE METAS DIÁRIAS'!$B$2:$G$358,MATCH($A1476,'BASE METAS DIÁRIAS'!$A$2:$A$358,0),MOD(ROW()-2,6)+1),""),"")</f>
        <v/>
      </c>
      <c r="H1476" s="159">
        <f>IFERROR(IF(INDEX('CONTROLE PRODUÇÃO POR EMPRESAS'!$B$6:$G$5000,MATCH($A1476,'CONTROLE PRODUÇÃO POR EMPRESAS'!$A$6:$A$5000,0),MOD(ROW()-2,6)+1)="","",IFERROR(1*INDEX('CONTROLE PRODUÇÃO POR EMPRESAS'!$B$6:$G$5000,MATCH($A1476,'CONTROLE PRODUÇÃO POR EMPRESAS'!$A$6:$A$5000,0),MOD(ROW()-2,6)+1),"")),"")</f>
        <v/>
      </c>
      <c r="I1476" s="159">
        <f>IF(OR(NOT(ISNUMBER(G1476)),NOT(ISNUMBER(H1476))),"",H1476-G1476)</f>
        <v/>
      </c>
      <c r="J1476" s="319">
        <f>IF(OR(NOT(ISNUMBER(G1476)),NOT(ISNUMBER(H1476)),G1476=0),"",I1476/G1476)</f>
        <v/>
      </c>
      <c r="K1476" s="319">
        <f>IF(OR(NOT(ISNUMBER(G1476)),NOT(ISNUMBER(H1476)),G1476=0),"",H1476/G1476)</f>
        <v/>
      </c>
      <c r="L1476">
        <f>IF(NOT(ISNUMBER(G1476)),"SEM META",IF(G1476=0,"SEM META",IF(NOT(ISNUMBER(H1476)),"SEM APONTAMENTO",IF(H1476&gt;=G1476,"VERDE",IF(H1476&gt;=G1476*0.9,"AMARELO","VERMELHO")))))</f>
        <v/>
      </c>
      <c r="M1476" s="162" t="n"/>
      <c r="N1476" s="162" t="n"/>
      <c r="O1476" s="162" t="n"/>
      <c r="P1476" s="162" t="n"/>
      <c r="Q1476" s="320" t="n"/>
      <c r="R1476" s="162" t="inlineStr">
        <is>
          <t>CONTROLE PRODUÇÃO POR EMPRESAS!F251</t>
        </is>
      </c>
    </row>
    <row r="1477" ht="28.5" customHeight="1">
      <c r="A1477" s="317" t="n">
        <v>46468</v>
      </c>
      <c r="B1477" t="inlineStr">
        <is>
          <t>GERAL</t>
        </is>
      </c>
      <c r="C1477" t="inlineStr">
        <is>
          <t>CMM</t>
        </is>
      </c>
      <c r="D1477" t="inlineStr">
        <is>
          <t>VIGAS</t>
        </is>
      </c>
      <c r="F1477" s="159">
        <f>IFERROR(INDEX('BASE METAS DIÁRIAS'!$N$2:$S$358,MATCH($A1477,'BASE METAS DIÁRIAS'!$A$2:$A$358,0),MOD(ROW()-2,6)+1),"")</f>
        <v/>
      </c>
      <c r="G1477" s="159">
        <f>IFERROR(IF(WEEKDAY($A1477,2)&lt;=INDEX('BASE METAS DIÁRIAS'!$H$2:$M$358,MATCH($A1477,'BASE METAS DIÁRIAS'!$A$2:$A$358,0),MOD(ROW()-2,6)+1),INDEX('BASE METAS DIÁRIAS'!$B$2:$G$358,MATCH($A1477,'BASE METAS DIÁRIAS'!$A$2:$A$358,0),MOD(ROW()-2,6)+1),""),"")</f>
        <v/>
      </c>
      <c r="H1477" s="159">
        <f>IFERROR(IF(INDEX('CONTROLE PRODUÇÃO POR EMPRESAS'!$B$6:$G$5000,MATCH($A1477,'CONTROLE PRODUÇÃO POR EMPRESAS'!$A$6:$A$5000,0),MOD(ROW()-2,6)+1)="","",IFERROR(1*INDEX('CONTROLE PRODUÇÃO POR EMPRESAS'!$B$6:$G$5000,MATCH($A1477,'CONTROLE PRODUÇÃO POR EMPRESAS'!$A$6:$A$5000,0),MOD(ROW()-2,6)+1),"")),"")</f>
        <v/>
      </c>
      <c r="I1477" s="159">
        <f>IF(OR(NOT(ISNUMBER(G1477)),NOT(ISNUMBER(H1477))),"",H1477-G1477)</f>
        <v/>
      </c>
      <c r="J1477" s="319">
        <f>IF(OR(NOT(ISNUMBER(G1477)),NOT(ISNUMBER(H1477)),G1477=0),"",I1477/G1477)</f>
        <v/>
      </c>
      <c r="K1477" s="319">
        <f>IF(OR(NOT(ISNUMBER(G1477)),NOT(ISNUMBER(H1477)),G1477=0),"",H1477/G1477)</f>
        <v/>
      </c>
      <c r="L1477">
        <f>IF(NOT(ISNUMBER(G1477)),"SEM META",IF(G1477=0,"SEM META",IF(NOT(ISNUMBER(H1477)),"SEM APONTAMENTO",IF(H1477&gt;=G1477,"VERDE",IF(H1477&gt;=G1477*0.9,"AMARELO","VERMELHO")))))</f>
        <v/>
      </c>
      <c r="M1477" s="162" t="n"/>
      <c r="N1477" s="162" t="n"/>
      <c r="O1477" s="162" t="n"/>
      <c r="P1477" s="162" t="n"/>
      <c r="Q1477" s="320" t="n"/>
      <c r="R1477" s="162" t="inlineStr">
        <is>
          <t>CONTROLE PRODUÇÃO POR EMPRESAS!G251</t>
        </is>
      </c>
    </row>
    <row r="1478" ht="28.5" customHeight="1">
      <c r="A1478" s="317" t="n">
        <v>46469</v>
      </c>
      <c r="B1478" t="inlineStr">
        <is>
          <t>GERAL</t>
        </is>
      </c>
      <c r="C1478" t="inlineStr">
        <is>
          <t>EJ</t>
        </is>
      </c>
      <c r="D1478" t="inlineStr">
        <is>
          <t>PREMONTAGEM</t>
        </is>
      </c>
      <c r="F1478" s="159">
        <f>IFERROR(INDEX('BASE METAS DIÁRIAS'!$N$2:$S$358,MATCH($A1478,'BASE METAS DIÁRIAS'!$A$2:$A$358,0),MOD(ROW()-2,6)+1),"")</f>
        <v/>
      </c>
      <c r="G1478" s="159">
        <f>IFERROR(IF(WEEKDAY($A1478,2)&lt;=INDEX('BASE METAS DIÁRIAS'!$H$2:$M$358,MATCH($A1478,'BASE METAS DIÁRIAS'!$A$2:$A$358,0),MOD(ROW()-2,6)+1),INDEX('BASE METAS DIÁRIAS'!$B$2:$G$358,MATCH($A1478,'BASE METAS DIÁRIAS'!$A$2:$A$358,0),MOD(ROW()-2,6)+1),""),"")</f>
        <v/>
      </c>
      <c r="H1478" s="159">
        <f>IFERROR(IF(INDEX('CONTROLE PRODUÇÃO POR EMPRESAS'!$B$6:$G$5000,MATCH($A1478,'CONTROLE PRODUÇÃO POR EMPRESAS'!$A$6:$A$5000,0),MOD(ROW()-2,6)+1)="","",IFERROR(1*INDEX('CONTROLE PRODUÇÃO POR EMPRESAS'!$B$6:$G$5000,MATCH($A1478,'CONTROLE PRODUÇÃO POR EMPRESAS'!$A$6:$A$5000,0),MOD(ROW()-2,6)+1),"")),"")</f>
        <v/>
      </c>
      <c r="I1478" s="159">
        <f>IF(OR(NOT(ISNUMBER(G1478)),NOT(ISNUMBER(H1478))),"",H1478-G1478)</f>
        <v/>
      </c>
      <c r="J1478" s="319">
        <f>IF(OR(NOT(ISNUMBER(G1478)),NOT(ISNUMBER(H1478)),G1478=0),"",I1478/G1478)</f>
        <v/>
      </c>
      <c r="K1478" s="319">
        <f>IF(OR(NOT(ISNUMBER(G1478)),NOT(ISNUMBER(H1478)),G1478=0),"",H1478/G1478)</f>
        <v/>
      </c>
      <c r="L1478">
        <f>IF(NOT(ISNUMBER(G1478)),"SEM META",IF(G1478=0,"SEM META",IF(NOT(ISNUMBER(H1478)),"SEM APONTAMENTO",IF(H1478&gt;=G1478,"VERDE",IF(H1478&gt;=G1478*0.9,"AMARELO","VERMELHO")))))</f>
        <v/>
      </c>
      <c r="M1478" s="162" t="n"/>
      <c r="N1478" s="162" t="n"/>
      <c r="O1478" s="162" t="n"/>
      <c r="P1478" s="162" t="n"/>
      <c r="Q1478" s="320" t="n"/>
      <c r="R1478" s="162" t="inlineStr">
        <is>
          <t>CONTROLE PRODUÇÃO POR EMPRESAS!B252</t>
        </is>
      </c>
    </row>
    <row r="1479" ht="28.5" customHeight="1">
      <c r="A1479" s="317" t="n">
        <v>46469</v>
      </c>
      <c r="B1479" t="inlineStr">
        <is>
          <t>GERAL</t>
        </is>
      </c>
      <c r="C1479" t="inlineStr">
        <is>
          <t>EJ</t>
        </is>
      </c>
      <c r="D1479" t="inlineStr">
        <is>
          <t>IÇAMENTO JOIST</t>
        </is>
      </c>
      <c r="F1479" s="159">
        <f>IFERROR(INDEX('BASE METAS DIÁRIAS'!$N$2:$S$358,MATCH($A1479,'BASE METAS DIÁRIAS'!$A$2:$A$358,0),MOD(ROW()-2,6)+1),"")</f>
        <v/>
      </c>
      <c r="G1479" s="159">
        <f>IFERROR(IF(WEEKDAY($A1479,2)&lt;=INDEX('BASE METAS DIÁRIAS'!$H$2:$M$358,MATCH($A1479,'BASE METAS DIÁRIAS'!$A$2:$A$358,0),MOD(ROW()-2,6)+1),INDEX('BASE METAS DIÁRIAS'!$B$2:$G$358,MATCH($A1479,'BASE METAS DIÁRIAS'!$A$2:$A$358,0),MOD(ROW()-2,6)+1),""),"")</f>
        <v/>
      </c>
      <c r="H1479" s="159">
        <f>IFERROR(IF(INDEX('CONTROLE PRODUÇÃO POR EMPRESAS'!$B$6:$G$5000,MATCH($A1479,'CONTROLE PRODUÇÃO POR EMPRESAS'!$A$6:$A$5000,0),MOD(ROW()-2,6)+1)="","",IFERROR(1*INDEX('CONTROLE PRODUÇÃO POR EMPRESAS'!$B$6:$G$5000,MATCH($A1479,'CONTROLE PRODUÇÃO POR EMPRESAS'!$A$6:$A$5000,0),MOD(ROW()-2,6)+1),"")),"")</f>
        <v/>
      </c>
      <c r="I1479" s="159">
        <f>IF(OR(NOT(ISNUMBER(G1479)),NOT(ISNUMBER(H1479))),"",H1479-G1479)</f>
        <v/>
      </c>
      <c r="J1479" s="319">
        <f>IF(OR(NOT(ISNUMBER(G1479)),NOT(ISNUMBER(H1479)),G1479=0),"",I1479/G1479)</f>
        <v/>
      </c>
      <c r="K1479" s="319">
        <f>IF(OR(NOT(ISNUMBER(G1479)),NOT(ISNUMBER(H1479)),G1479=0),"",H1479/G1479)</f>
        <v/>
      </c>
      <c r="L1479">
        <f>IF(NOT(ISNUMBER(G1479)),"SEM META",IF(G1479=0,"SEM META",IF(NOT(ISNUMBER(H1479)),"SEM APONTAMENTO",IF(H1479&gt;=G1479,"VERDE",IF(H1479&gt;=G1479*0.9,"AMARELO","VERMELHO")))))</f>
        <v/>
      </c>
      <c r="M1479" s="162" t="n"/>
      <c r="N1479" s="162" t="n"/>
      <c r="O1479" s="162" t="n"/>
      <c r="P1479" s="162" t="n"/>
      <c r="Q1479" s="320" t="n"/>
      <c r="R1479" s="162" t="inlineStr">
        <is>
          <t>CONTROLE PRODUÇÃO POR EMPRESAS!C252</t>
        </is>
      </c>
    </row>
    <row r="1480" ht="28.5" customHeight="1">
      <c r="A1480" s="317" t="n">
        <v>46469</v>
      </c>
      <c r="B1480" t="inlineStr">
        <is>
          <t>GERAL</t>
        </is>
      </c>
      <c r="C1480" t="inlineStr">
        <is>
          <t>EJ</t>
        </is>
      </c>
      <c r="D1480" t="inlineStr">
        <is>
          <t>VIGAS</t>
        </is>
      </c>
      <c r="F1480" s="159">
        <f>IFERROR(INDEX('BASE METAS DIÁRIAS'!$N$2:$S$358,MATCH($A1480,'BASE METAS DIÁRIAS'!$A$2:$A$358,0),MOD(ROW()-2,6)+1),"")</f>
        <v/>
      </c>
      <c r="G1480" s="159">
        <f>IFERROR(IF(WEEKDAY($A1480,2)&lt;=INDEX('BASE METAS DIÁRIAS'!$H$2:$M$358,MATCH($A1480,'BASE METAS DIÁRIAS'!$A$2:$A$358,0),MOD(ROW()-2,6)+1),INDEX('BASE METAS DIÁRIAS'!$B$2:$G$358,MATCH($A1480,'BASE METAS DIÁRIAS'!$A$2:$A$358,0),MOD(ROW()-2,6)+1),""),"")</f>
        <v/>
      </c>
      <c r="H1480" s="159">
        <f>IFERROR(IF(INDEX('CONTROLE PRODUÇÃO POR EMPRESAS'!$B$6:$G$5000,MATCH($A1480,'CONTROLE PRODUÇÃO POR EMPRESAS'!$A$6:$A$5000,0),MOD(ROW()-2,6)+1)="","",IFERROR(1*INDEX('CONTROLE PRODUÇÃO POR EMPRESAS'!$B$6:$G$5000,MATCH($A1480,'CONTROLE PRODUÇÃO POR EMPRESAS'!$A$6:$A$5000,0),MOD(ROW()-2,6)+1),"")),"")</f>
        <v/>
      </c>
      <c r="I1480" s="159">
        <f>IF(OR(NOT(ISNUMBER(G1480)),NOT(ISNUMBER(H1480))),"",H1480-G1480)</f>
        <v/>
      </c>
      <c r="J1480" s="319">
        <f>IF(OR(NOT(ISNUMBER(G1480)),NOT(ISNUMBER(H1480)),G1480=0),"",I1480/G1480)</f>
        <v/>
      </c>
      <c r="K1480" s="319">
        <f>IF(OR(NOT(ISNUMBER(G1480)),NOT(ISNUMBER(H1480)),G1480=0),"",H1480/G1480)</f>
        <v/>
      </c>
      <c r="L1480">
        <f>IF(NOT(ISNUMBER(G1480)),"SEM META",IF(G1480=0,"SEM META",IF(NOT(ISNUMBER(H1480)),"SEM APONTAMENTO",IF(H1480&gt;=G1480,"VERDE",IF(H1480&gt;=G1480*0.9,"AMARELO","VERMELHO")))))</f>
        <v/>
      </c>
      <c r="M1480" s="162" t="n"/>
      <c r="N1480" s="162" t="n"/>
      <c r="O1480" s="162" t="n"/>
      <c r="P1480" s="162" t="n"/>
      <c r="Q1480" s="320" t="n"/>
      <c r="R1480" s="162" t="inlineStr">
        <is>
          <t>CONTROLE PRODUÇÃO POR EMPRESAS!D252</t>
        </is>
      </c>
    </row>
    <row r="1481" ht="28.5" customHeight="1">
      <c r="A1481" s="317" t="n">
        <v>46469</v>
      </c>
      <c r="B1481" t="inlineStr">
        <is>
          <t>GERAL</t>
        </is>
      </c>
      <c r="C1481" t="inlineStr">
        <is>
          <t>CMM</t>
        </is>
      </c>
      <c r="D1481" t="inlineStr">
        <is>
          <t>PREMONTAGEM</t>
        </is>
      </c>
      <c r="F1481" s="159">
        <f>IFERROR(INDEX('BASE METAS DIÁRIAS'!$N$2:$S$358,MATCH($A1481,'BASE METAS DIÁRIAS'!$A$2:$A$358,0),MOD(ROW()-2,6)+1),"")</f>
        <v/>
      </c>
      <c r="G1481" s="159">
        <f>IFERROR(IF(WEEKDAY($A1481,2)&lt;=INDEX('BASE METAS DIÁRIAS'!$H$2:$M$358,MATCH($A1481,'BASE METAS DIÁRIAS'!$A$2:$A$358,0),MOD(ROW()-2,6)+1),INDEX('BASE METAS DIÁRIAS'!$B$2:$G$358,MATCH($A1481,'BASE METAS DIÁRIAS'!$A$2:$A$358,0),MOD(ROW()-2,6)+1),""),"")</f>
        <v/>
      </c>
      <c r="H1481" s="159">
        <f>IFERROR(IF(INDEX('CONTROLE PRODUÇÃO POR EMPRESAS'!$B$6:$G$5000,MATCH($A1481,'CONTROLE PRODUÇÃO POR EMPRESAS'!$A$6:$A$5000,0),MOD(ROW()-2,6)+1)="","",IFERROR(1*INDEX('CONTROLE PRODUÇÃO POR EMPRESAS'!$B$6:$G$5000,MATCH($A1481,'CONTROLE PRODUÇÃO POR EMPRESAS'!$A$6:$A$5000,0),MOD(ROW()-2,6)+1),"")),"")</f>
        <v/>
      </c>
      <c r="I1481" s="159">
        <f>IF(OR(NOT(ISNUMBER(G1481)),NOT(ISNUMBER(H1481))),"",H1481-G1481)</f>
        <v/>
      </c>
      <c r="J1481" s="319">
        <f>IF(OR(NOT(ISNUMBER(G1481)),NOT(ISNUMBER(H1481)),G1481=0),"",I1481/G1481)</f>
        <v/>
      </c>
      <c r="K1481" s="319">
        <f>IF(OR(NOT(ISNUMBER(G1481)),NOT(ISNUMBER(H1481)),G1481=0),"",H1481/G1481)</f>
        <v/>
      </c>
      <c r="L1481">
        <f>IF(NOT(ISNUMBER(G1481)),"SEM META",IF(G1481=0,"SEM META",IF(NOT(ISNUMBER(H1481)),"SEM APONTAMENTO",IF(H1481&gt;=G1481,"VERDE",IF(H1481&gt;=G1481*0.9,"AMARELO","VERMELHO")))))</f>
        <v/>
      </c>
      <c r="M1481" s="162" t="n"/>
      <c r="N1481" s="162" t="n"/>
      <c r="O1481" s="162" t="n"/>
      <c r="P1481" s="162" t="n"/>
      <c r="Q1481" s="320" t="n"/>
      <c r="R1481" s="162" t="inlineStr">
        <is>
          <t>CONTROLE PRODUÇÃO POR EMPRESAS!E252</t>
        </is>
      </c>
    </row>
    <row r="1482" ht="28.5" customHeight="1">
      <c r="A1482" s="317" t="n">
        <v>46469</v>
      </c>
      <c r="B1482" t="inlineStr">
        <is>
          <t>GERAL</t>
        </is>
      </c>
      <c r="C1482" t="inlineStr">
        <is>
          <t>CMM</t>
        </is>
      </c>
      <c r="D1482" t="inlineStr">
        <is>
          <t>IÇAMENTO JOIST</t>
        </is>
      </c>
      <c r="F1482" s="159">
        <f>IFERROR(INDEX('BASE METAS DIÁRIAS'!$N$2:$S$358,MATCH($A1482,'BASE METAS DIÁRIAS'!$A$2:$A$358,0),MOD(ROW()-2,6)+1),"")</f>
        <v/>
      </c>
      <c r="G1482" s="159">
        <f>IFERROR(IF(WEEKDAY($A1482,2)&lt;=INDEX('BASE METAS DIÁRIAS'!$H$2:$M$358,MATCH($A1482,'BASE METAS DIÁRIAS'!$A$2:$A$358,0),MOD(ROW()-2,6)+1),INDEX('BASE METAS DIÁRIAS'!$B$2:$G$358,MATCH($A1482,'BASE METAS DIÁRIAS'!$A$2:$A$358,0),MOD(ROW()-2,6)+1),""),"")</f>
        <v/>
      </c>
      <c r="H1482" s="159">
        <f>IFERROR(IF(INDEX('CONTROLE PRODUÇÃO POR EMPRESAS'!$B$6:$G$5000,MATCH($A1482,'CONTROLE PRODUÇÃO POR EMPRESAS'!$A$6:$A$5000,0),MOD(ROW()-2,6)+1)="","",IFERROR(1*INDEX('CONTROLE PRODUÇÃO POR EMPRESAS'!$B$6:$G$5000,MATCH($A1482,'CONTROLE PRODUÇÃO POR EMPRESAS'!$A$6:$A$5000,0),MOD(ROW()-2,6)+1),"")),"")</f>
        <v/>
      </c>
      <c r="I1482" s="159">
        <f>IF(OR(NOT(ISNUMBER(G1482)),NOT(ISNUMBER(H1482))),"",H1482-G1482)</f>
        <v/>
      </c>
      <c r="J1482" s="319">
        <f>IF(OR(NOT(ISNUMBER(G1482)),NOT(ISNUMBER(H1482)),G1482=0),"",I1482/G1482)</f>
        <v/>
      </c>
      <c r="K1482" s="319">
        <f>IF(OR(NOT(ISNUMBER(G1482)),NOT(ISNUMBER(H1482)),G1482=0),"",H1482/G1482)</f>
        <v/>
      </c>
      <c r="L1482">
        <f>IF(NOT(ISNUMBER(G1482)),"SEM META",IF(G1482=0,"SEM META",IF(NOT(ISNUMBER(H1482)),"SEM APONTAMENTO",IF(H1482&gt;=G1482,"VERDE",IF(H1482&gt;=G1482*0.9,"AMARELO","VERMELHO")))))</f>
        <v/>
      </c>
      <c r="M1482" s="162" t="n"/>
      <c r="N1482" s="162" t="n"/>
      <c r="O1482" s="162" t="n"/>
      <c r="P1482" s="162" t="n"/>
      <c r="Q1482" s="320" t="n"/>
      <c r="R1482" s="162" t="inlineStr">
        <is>
          <t>CONTROLE PRODUÇÃO POR EMPRESAS!F252</t>
        </is>
      </c>
    </row>
    <row r="1483" ht="28.5" customHeight="1">
      <c r="A1483" s="317" t="n">
        <v>46469</v>
      </c>
      <c r="B1483" t="inlineStr">
        <is>
          <t>GERAL</t>
        </is>
      </c>
      <c r="C1483" t="inlineStr">
        <is>
          <t>CMM</t>
        </is>
      </c>
      <c r="D1483" t="inlineStr">
        <is>
          <t>VIGAS</t>
        </is>
      </c>
      <c r="F1483" s="159">
        <f>IFERROR(INDEX('BASE METAS DIÁRIAS'!$N$2:$S$358,MATCH($A1483,'BASE METAS DIÁRIAS'!$A$2:$A$358,0),MOD(ROW()-2,6)+1),"")</f>
        <v/>
      </c>
      <c r="G1483" s="159">
        <f>IFERROR(IF(WEEKDAY($A1483,2)&lt;=INDEX('BASE METAS DIÁRIAS'!$H$2:$M$358,MATCH($A1483,'BASE METAS DIÁRIAS'!$A$2:$A$358,0),MOD(ROW()-2,6)+1),INDEX('BASE METAS DIÁRIAS'!$B$2:$G$358,MATCH($A1483,'BASE METAS DIÁRIAS'!$A$2:$A$358,0),MOD(ROW()-2,6)+1),""),"")</f>
        <v/>
      </c>
      <c r="H1483" s="159">
        <f>IFERROR(IF(INDEX('CONTROLE PRODUÇÃO POR EMPRESAS'!$B$6:$G$5000,MATCH($A1483,'CONTROLE PRODUÇÃO POR EMPRESAS'!$A$6:$A$5000,0),MOD(ROW()-2,6)+1)="","",IFERROR(1*INDEX('CONTROLE PRODUÇÃO POR EMPRESAS'!$B$6:$G$5000,MATCH($A1483,'CONTROLE PRODUÇÃO POR EMPRESAS'!$A$6:$A$5000,0),MOD(ROW()-2,6)+1),"")),"")</f>
        <v/>
      </c>
      <c r="I1483" s="159">
        <f>IF(OR(NOT(ISNUMBER(G1483)),NOT(ISNUMBER(H1483))),"",H1483-G1483)</f>
        <v/>
      </c>
      <c r="J1483" s="319">
        <f>IF(OR(NOT(ISNUMBER(G1483)),NOT(ISNUMBER(H1483)),G1483=0),"",I1483/G1483)</f>
        <v/>
      </c>
      <c r="K1483" s="319">
        <f>IF(OR(NOT(ISNUMBER(G1483)),NOT(ISNUMBER(H1483)),G1483=0),"",H1483/G1483)</f>
        <v/>
      </c>
      <c r="L1483">
        <f>IF(NOT(ISNUMBER(G1483)),"SEM META",IF(G1483=0,"SEM META",IF(NOT(ISNUMBER(H1483)),"SEM APONTAMENTO",IF(H1483&gt;=G1483,"VERDE",IF(H1483&gt;=G1483*0.9,"AMARELO","VERMELHO")))))</f>
        <v/>
      </c>
      <c r="M1483" s="162" t="n"/>
      <c r="N1483" s="162" t="n"/>
      <c r="O1483" s="162" t="n"/>
      <c r="P1483" s="162" t="n"/>
      <c r="Q1483" s="320" t="n"/>
      <c r="R1483" s="162" t="inlineStr">
        <is>
          <t>CONTROLE PRODUÇÃO POR EMPRESAS!G252</t>
        </is>
      </c>
    </row>
    <row r="1484" ht="28.5" customHeight="1">
      <c r="A1484" s="317" t="n">
        <v>46470</v>
      </c>
      <c r="B1484" t="inlineStr">
        <is>
          <t>GERAL</t>
        </is>
      </c>
      <c r="C1484" t="inlineStr">
        <is>
          <t>EJ</t>
        </is>
      </c>
      <c r="D1484" t="inlineStr">
        <is>
          <t>PREMONTAGEM</t>
        </is>
      </c>
      <c r="F1484" s="159">
        <f>IFERROR(INDEX('BASE METAS DIÁRIAS'!$N$2:$S$358,MATCH($A1484,'BASE METAS DIÁRIAS'!$A$2:$A$358,0),MOD(ROW()-2,6)+1),"")</f>
        <v/>
      </c>
      <c r="G1484" s="159">
        <f>IFERROR(IF(WEEKDAY($A1484,2)&lt;=INDEX('BASE METAS DIÁRIAS'!$H$2:$M$358,MATCH($A1484,'BASE METAS DIÁRIAS'!$A$2:$A$358,0),MOD(ROW()-2,6)+1),INDEX('BASE METAS DIÁRIAS'!$B$2:$G$358,MATCH($A1484,'BASE METAS DIÁRIAS'!$A$2:$A$358,0),MOD(ROW()-2,6)+1),""),"")</f>
        <v/>
      </c>
      <c r="H1484" s="159">
        <f>IFERROR(IF(INDEX('CONTROLE PRODUÇÃO POR EMPRESAS'!$B$6:$G$5000,MATCH($A1484,'CONTROLE PRODUÇÃO POR EMPRESAS'!$A$6:$A$5000,0),MOD(ROW()-2,6)+1)="","",IFERROR(1*INDEX('CONTROLE PRODUÇÃO POR EMPRESAS'!$B$6:$G$5000,MATCH($A1484,'CONTROLE PRODUÇÃO POR EMPRESAS'!$A$6:$A$5000,0),MOD(ROW()-2,6)+1),"")),"")</f>
        <v/>
      </c>
      <c r="I1484" s="159">
        <f>IF(OR(NOT(ISNUMBER(G1484)),NOT(ISNUMBER(H1484))),"",H1484-G1484)</f>
        <v/>
      </c>
      <c r="J1484" s="319">
        <f>IF(OR(NOT(ISNUMBER(G1484)),NOT(ISNUMBER(H1484)),G1484=0),"",I1484/G1484)</f>
        <v/>
      </c>
      <c r="K1484" s="319">
        <f>IF(OR(NOT(ISNUMBER(G1484)),NOT(ISNUMBER(H1484)),G1484=0),"",H1484/G1484)</f>
        <v/>
      </c>
      <c r="L1484">
        <f>IF(NOT(ISNUMBER(G1484)),"SEM META",IF(G1484=0,"SEM META",IF(NOT(ISNUMBER(H1484)),"SEM APONTAMENTO",IF(H1484&gt;=G1484,"VERDE",IF(H1484&gt;=G1484*0.9,"AMARELO","VERMELHO")))))</f>
        <v/>
      </c>
      <c r="M1484" s="162" t="n"/>
      <c r="N1484" s="162" t="n"/>
      <c r="O1484" s="162" t="n"/>
      <c r="P1484" s="162" t="n"/>
      <c r="Q1484" s="320" t="n"/>
      <c r="R1484" s="162" t="inlineStr">
        <is>
          <t>CONTROLE PRODUÇÃO POR EMPRESAS!B253</t>
        </is>
      </c>
    </row>
    <row r="1485" ht="28.5" customHeight="1">
      <c r="A1485" s="317" t="n">
        <v>46470</v>
      </c>
      <c r="B1485" t="inlineStr">
        <is>
          <t>GERAL</t>
        </is>
      </c>
      <c r="C1485" t="inlineStr">
        <is>
          <t>EJ</t>
        </is>
      </c>
      <c r="D1485" t="inlineStr">
        <is>
          <t>IÇAMENTO JOIST</t>
        </is>
      </c>
      <c r="F1485" s="159">
        <f>IFERROR(INDEX('BASE METAS DIÁRIAS'!$N$2:$S$358,MATCH($A1485,'BASE METAS DIÁRIAS'!$A$2:$A$358,0),MOD(ROW()-2,6)+1),"")</f>
        <v/>
      </c>
      <c r="G1485" s="159">
        <f>IFERROR(IF(WEEKDAY($A1485,2)&lt;=INDEX('BASE METAS DIÁRIAS'!$H$2:$M$358,MATCH($A1485,'BASE METAS DIÁRIAS'!$A$2:$A$358,0),MOD(ROW()-2,6)+1),INDEX('BASE METAS DIÁRIAS'!$B$2:$G$358,MATCH($A1485,'BASE METAS DIÁRIAS'!$A$2:$A$358,0),MOD(ROW()-2,6)+1),""),"")</f>
        <v/>
      </c>
      <c r="H1485" s="159">
        <f>IFERROR(IF(INDEX('CONTROLE PRODUÇÃO POR EMPRESAS'!$B$6:$G$5000,MATCH($A1485,'CONTROLE PRODUÇÃO POR EMPRESAS'!$A$6:$A$5000,0),MOD(ROW()-2,6)+1)="","",IFERROR(1*INDEX('CONTROLE PRODUÇÃO POR EMPRESAS'!$B$6:$G$5000,MATCH($A1485,'CONTROLE PRODUÇÃO POR EMPRESAS'!$A$6:$A$5000,0),MOD(ROW()-2,6)+1),"")),"")</f>
        <v/>
      </c>
      <c r="I1485" s="159">
        <f>IF(OR(NOT(ISNUMBER(G1485)),NOT(ISNUMBER(H1485))),"",H1485-G1485)</f>
        <v/>
      </c>
      <c r="J1485" s="319">
        <f>IF(OR(NOT(ISNUMBER(G1485)),NOT(ISNUMBER(H1485)),G1485=0),"",I1485/G1485)</f>
        <v/>
      </c>
      <c r="K1485" s="319">
        <f>IF(OR(NOT(ISNUMBER(G1485)),NOT(ISNUMBER(H1485)),G1485=0),"",H1485/G1485)</f>
        <v/>
      </c>
      <c r="L1485">
        <f>IF(NOT(ISNUMBER(G1485)),"SEM META",IF(G1485=0,"SEM META",IF(NOT(ISNUMBER(H1485)),"SEM APONTAMENTO",IF(H1485&gt;=G1485,"VERDE",IF(H1485&gt;=G1485*0.9,"AMARELO","VERMELHO")))))</f>
        <v/>
      </c>
      <c r="M1485" s="162" t="n"/>
      <c r="N1485" s="162" t="n"/>
      <c r="O1485" s="162" t="n"/>
      <c r="P1485" s="162" t="n"/>
      <c r="Q1485" s="320" t="n"/>
      <c r="R1485" s="162" t="inlineStr">
        <is>
          <t>CONTROLE PRODUÇÃO POR EMPRESAS!C253</t>
        </is>
      </c>
    </row>
    <row r="1486" ht="28.5" customHeight="1">
      <c r="A1486" s="317" t="n">
        <v>46470</v>
      </c>
      <c r="B1486" t="inlineStr">
        <is>
          <t>GERAL</t>
        </is>
      </c>
      <c r="C1486" t="inlineStr">
        <is>
          <t>EJ</t>
        </is>
      </c>
      <c r="D1486" t="inlineStr">
        <is>
          <t>VIGAS</t>
        </is>
      </c>
      <c r="F1486" s="159">
        <f>IFERROR(INDEX('BASE METAS DIÁRIAS'!$N$2:$S$358,MATCH($A1486,'BASE METAS DIÁRIAS'!$A$2:$A$358,0),MOD(ROW()-2,6)+1),"")</f>
        <v/>
      </c>
      <c r="G1486" s="159">
        <f>IFERROR(IF(WEEKDAY($A1486,2)&lt;=INDEX('BASE METAS DIÁRIAS'!$H$2:$M$358,MATCH($A1486,'BASE METAS DIÁRIAS'!$A$2:$A$358,0),MOD(ROW()-2,6)+1),INDEX('BASE METAS DIÁRIAS'!$B$2:$G$358,MATCH($A1486,'BASE METAS DIÁRIAS'!$A$2:$A$358,0),MOD(ROW()-2,6)+1),""),"")</f>
        <v/>
      </c>
      <c r="H1486" s="159">
        <f>IFERROR(IF(INDEX('CONTROLE PRODUÇÃO POR EMPRESAS'!$B$6:$G$5000,MATCH($A1486,'CONTROLE PRODUÇÃO POR EMPRESAS'!$A$6:$A$5000,0),MOD(ROW()-2,6)+1)="","",IFERROR(1*INDEX('CONTROLE PRODUÇÃO POR EMPRESAS'!$B$6:$G$5000,MATCH($A1486,'CONTROLE PRODUÇÃO POR EMPRESAS'!$A$6:$A$5000,0),MOD(ROW()-2,6)+1),"")),"")</f>
        <v/>
      </c>
      <c r="I1486" s="159">
        <f>IF(OR(NOT(ISNUMBER(G1486)),NOT(ISNUMBER(H1486))),"",H1486-G1486)</f>
        <v/>
      </c>
      <c r="J1486" s="319">
        <f>IF(OR(NOT(ISNUMBER(G1486)),NOT(ISNUMBER(H1486)),G1486=0),"",I1486/G1486)</f>
        <v/>
      </c>
      <c r="K1486" s="319">
        <f>IF(OR(NOT(ISNUMBER(G1486)),NOT(ISNUMBER(H1486)),G1486=0),"",H1486/G1486)</f>
        <v/>
      </c>
      <c r="L1486">
        <f>IF(NOT(ISNUMBER(G1486)),"SEM META",IF(G1486=0,"SEM META",IF(NOT(ISNUMBER(H1486)),"SEM APONTAMENTO",IF(H1486&gt;=G1486,"VERDE",IF(H1486&gt;=G1486*0.9,"AMARELO","VERMELHO")))))</f>
        <v/>
      </c>
      <c r="M1486" s="162" t="n"/>
      <c r="N1486" s="162" t="n"/>
      <c r="O1486" s="162" t="n"/>
      <c r="P1486" s="162" t="n"/>
      <c r="Q1486" s="320" t="n"/>
      <c r="R1486" s="162" t="inlineStr">
        <is>
          <t>CONTROLE PRODUÇÃO POR EMPRESAS!D253</t>
        </is>
      </c>
    </row>
    <row r="1487" ht="28.5" customHeight="1">
      <c r="A1487" s="317" t="n">
        <v>46470</v>
      </c>
      <c r="B1487" t="inlineStr">
        <is>
          <t>GERAL</t>
        </is>
      </c>
      <c r="C1487" t="inlineStr">
        <is>
          <t>CMM</t>
        </is>
      </c>
      <c r="D1487" t="inlineStr">
        <is>
          <t>PREMONTAGEM</t>
        </is>
      </c>
      <c r="F1487" s="159">
        <f>IFERROR(INDEX('BASE METAS DIÁRIAS'!$N$2:$S$358,MATCH($A1487,'BASE METAS DIÁRIAS'!$A$2:$A$358,0),MOD(ROW()-2,6)+1),"")</f>
        <v/>
      </c>
      <c r="G1487" s="159">
        <f>IFERROR(IF(WEEKDAY($A1487,2)&lt;=INDEX('BASE METAS DIÁRIAS'!$H$2:$M$358,MATCH($A1487,'BASE METAS DIÁRIAS'!$A$2:$A$358,0),MOD(ROW()-2,6)+1),INDEX('BASE METAS DIÁRIAS'!$B$2:$G$358,MATCH($A1487,'BASE METAS DIÁRIAS'!$A$2:$A$358,0),MOD(ROW()-2,6)+1),""),"")</f>
        <v/>
      </c>
      <c r="H1487" s="159">
        <f>IFERROR(IF(INDEX('CONTROLE PRODUÇÃO POR EMPRESAS'!$B$6:$G$5000,MATCH($A1487,'CONTROLE PRODUÇÃO POR EMPRESAS'!$A$6:$A$5000,0),MOD(ROW()-2,6)+1)="","",IFERROR(1*INDEX('CONTROLE PRODUÇÃO POR EMPRESAS'!$B$6:$G$5000,MATCH($A1487,'CONTROLE PRODUÇÃO POR EMPRESAS'!$A$6:$A$5000,0),MOD(ROW()-2,6)+1),"")),"")</f>
        <v/>
      </c>
      <c r="I1487" s="159">
        <f>IF(OR(NOT(ISNUMBER(G1487)),NOT(ISNUMBER(H1487))),"",H1487-G1487)</f>
        <v/>
      </c>
      <c r="J1487" s="319">
        <f>IF(OR(NOT(ISNUMBER(G1487)),NOT(ISNUMBER(H1487)),G1487=0),"",I1487/G1487)</f>
        <v/>
      </c>
      <c r="K1487" s="319">
        <f>IF(OR(NOT(ISNUMBER(G1487)),NOT(ISNUMBER(H1487)),G1487=0),"",H1487/G1487)</f>
        <v/>
      </c>
      <c r="L1487">
        <f>IF(NOT(ISNUMBER(G1487)),"SEM META",IF(G1487=0,"SEM META",IF(NOT(ISNUMBER(H1487)),"SEM APONTAMENTO",IF(H1487&gt;=G1487,"VERDE",IF(H1487&gt;=G1487*0.9,"AMARELO","VERMELHO")))))</f>
        <v/>
      </c>
      <c r="M1487" s="162" t="n"/>
      <c r="N1487" s="162" t="n"/>
      <c r="O1487" s="162" t="n"/>
      <c r="P1487" s="162" t="n"/>
      <c r="Q1487" s="320" t="n"/>
      <c r="R1487" s="162" t="inlineStr">
        <is>
          <t>CONTROLE PRODUÇÃO POR EMPRESAS!E253</t>
        </is>
      </c>
    </row>
    <row r="1488" ht="28.5" customHeight="1">
      <c r="A1488" s="317" t="n">
        <v>46470</v>
      </c>
      <c r="B1488" t="inlineStr">
        <is>
          <t>GERAL</t>
        </is>
      </c>
      <c r="C1488" t="inlineStr">
        <is>
          <t>CMM</t>
        </is>
      </c>
      <c r="D1488" t="inlineStr">
        <is>
          <t>IÇAMENTO JOIST</t>
        </is>
      </c>
      <c r="F1488" s="159">
        <f>IFERROR(INDEX('BASE METAS DIÁRIAS'!$N$2:$S$358,MATCH($A1488,'BASE METAS DIÁRIAS'!$A$2:$A$358,0),MOD(ROW()-2,6)+1),"")</f>
        <v/>
      </c>
      <c r="G1488" s="159">
        <f>IFERROR(IF(WEEKDAY($A1488,2)&lt;=INDEX('BASE METAS DIÁRIAS'!$H$2:$M$358,MATCH($A1488,'BASE METAS DIÁRIAS'!$A$2:$A$358,0),MOD(ROW()-2,6)+1),INDEX('BASE METAS DIÁRIAS'!$B$2:$G$358,MATCH($A1488,'BASE METAS DIÁRIAS'!$A$2:$A$358,0),MOD(ROW()-2,6)+1),""),"")</f>
        <v/>
      </c>
      <c r="H1488" s="159">
        <f>IFERROR(IF(INDEX('CONTROLE PRODUÇÃO POR EMPRESAS'!$B$6:$G$5000,MATCH($A1488,'CONTROLE PRODUÇÃO POR EMPRESAS'!$A$6:$A$5000,0),MOD(ROW()-2,6)+1)="","",IFERROR(1*INDEX('CONTROLE PRODUÇÃO POR EMPRESAS'!$B$6:$G$5000,MATCH($A1488,'CONTROLE PRODUÇÃO POR EMPRESAS'!$A$6:$A$5000,0),MOD(ROW()-2,6)+1),"")),"")</f>
        <v/>
      </c>
      <c r="I1488" s="159">
        <f>IF(OR(NOT(ISNUMBER(G1488)),NOT(ISNUMBER(H1488))),"",H1488-G1488)</f>
        <v/>
      </c>
      <c r="J1488" s="319">
        <f>IF(OR(NOT(ISNUMBER(G1488)),NOT(ISNUMBER(H1488)),G1488=0),"",I1488/G1488)</f>
        <v/>
      </c>
      <c r="K1488" s="319">
        <f>IF(OR(NOT(ISNUMBER(G1488)),NOT(ISNUMBER(H1488)),G1488=0),"",H1488/G1488)</f>
        <v/>
      </c>
      <c r="L1488">
        <f>IF(NOT(ISNUMBER(G1488)),"SEM META",IF(G1488=0,"SEM META",IF(NOT(ISNUMBER(H1488)),"SEM APONTAMENTO",IF(H1488&gt;=G1488,"VERDE",IF(H1488&gt;=G1488*0.9,"AMARELO","VERMELHO")))))</f>
        <v/>
      </c>
      <c r="M1488" s="162" t="n"/>
      <c r="N1488" s="162" t="n"/>
      <c r="O1488" s="162" t="n"/>
      <c r="P1488" s="162" t="n"/>
      <c r="Q1488" s="320" t="n"/>
      <c r="R1488" s="162" t="inlineStr">
        <is>
          <t>CONTROLE PRODUÇÃO POR EMPRESAS!F253</t>
        </is>
      </c>
    </row>
    <row r="1489" ht="28.5" customHeight="1">
      <c r="A1489" s="317" t="n">
        <v>46470</v>
      </c>
      <c r="B1489" t="inlineStr">
        <is>
          <t>GERAL</t>
        </is>
      </c>
      <c r="C1489" t="inlineStr">
        <is>
          <t>CMM</t>
        </is>
      </c>
      <c r="D1489" t="inlineStr">
        <is>
          <t>VIGAS</t>
        </is>
      </c>
      <c r="F1489" s="159">
        <f>IFERROR(INDEX('BASE METAS DIÁRIAS'!$N$2:$S$358,MATCH($A1489,'BASE METAS DIÁRIAS'!$A$2:$A$358,0),MOD(ROW()-2,6)+1),"")</f>
        <v/>
      </c>
      <c r="G1489" s="159">
        <f>IFERROR(IF(WEEKDAY($A1489,2)&lt;=INDEX('BASE METAS DIÁRIAS'!$H$2:$M$358,MATCH($A1489,'BASE METAS DIÁRIAS'!$A$2:$A$358,0),MOD(ROW()-2,6)+1),INDEX('BASE METAS DIÁRIAS'!$B$2:$G$358,MATCH($A1489,'BASE METAS DIÁRIAS'!$A$2:$A$358,0),MOD(ROW()-2,6)+1),""),"")</f>
        <v/>
      </c>
      <c r="H1489" s="159">
        <f>IFERROR(IF(INDEX('CONTROLE PRODUÇÃO POR EMPRESAS'!$B$6:$G$5000,MATCH($A1489,'CONTROLE PRODUÇÃO POR EMPRESAS'!$A$6:$A$5000,0),MOD(ROW()-2,6)+1)="","",IFERROR(1*INDEX('CONTROLE PRODUÇÃO POR EMPRESAS'!$B$6:$G$5000,MATCH($A1489,'CONTROLE PRODUÇÃO POR EMPRESAS'!$A$6:$A$5000,0),MOD(ROW()-2,6)+1),"")),"")</f>
        <v/>
      </c>
      <c r="I1489" s="159">
        <f>IF(OR(NOT(ISNUMBER(G1489)),NOT(ISNUMBER(H1489))),"",H1489-G1489)</f>
        <v/>
      </c>
      <c r="J1489" s="319">
        <f>IF(OR(NOT(ISNUMBER(G1489)),NOT(ISNUMBER(H1489)),G1489=0),"",I1489/G1489)</f>
        <v/>
      </c>
      <c r="K1489" s="319">
        <f>IF(OR(NOT(ISNUMBER(G1489)),NOT(ISNUMBER(H1489)),G1489=0),"",H1489/G1489)</f>
        <v/>
      </c>
      <c r="L1489">
        <f>IF(NOT(ISNUMBER(G1489)),"SEM META",IF(G1489=0,"SEM META",IF(NOT(ISNUMBER(H1489)),"SEM APONTAMENTO",IF(H1489&gt;=G1489,"VERDE",IF(H1489&gt;=G1489*0.9,"AMARELO","VERMELHO")))))</f>
        <v/>
      </c>
      <c r="M1489" s="162" t="n"/>
      <c r="N1489" s="162" t="n"/>
      <c r="O1489" s="162" t="n"/>
      <c r="P1489" s="162" t="n"/>
      <c r="Q1489" s="320" t="n"/>
      <c r="R1489" s="162" t="inlineStr">
        <is>
          <t>CONTROLE PRODUÇÃO POR EMPRESAS!G253</t>
        </is>
      </c>
    </row>
    <row r="1490" ht="28.5" customHeight="1">
      <c r="A1490" s="317" t="n">
        <v>46471</v>
      </c>
      <c r="B1490" t="inlineStr">
        <is>
          <t>GERAL</t>
        </is>
      </c>
      <c r="C1490" t="inlineStr">
        <is>
          <t>EJ</t>
        </is>
      </c>
      <c r="D1490" t="inlineStr">
        <is>
          <t>PREMONTAGEM</t>
        </is>
      </c>
      <c r="F1490" s="159">
        <f>IFERROR(INDEX('BASE METAS DIÁRIAS'!$N$2:$S$358,MATCH($A1490,'BASE METAS DIÁRIAS'!$A$2:$A$358,0),MOD(ROW()-2,6)+1),"")</f>
        <v/>
      </c>
      <c r="G1490" s="159">
        <f>IFERROR(IF(WEEKDAY($A1490,2)&lt;=INDEX('BASE METAS DIÁRIAS'!$H$2:$M$358,MATCH($A1490,'BASE METAS DIÁRIAS'!$A$2:$A$358,0),MOD(ROW()-2,6)+1),INDEX('BASE METAS DIÁRIAS'!$B$2:$G$358,MATCH($A1490,'BASE METAS DIÁRIAS'!$A$2:$A$358,0),MOD(ROW()-2,6)+1),""),"")</f>
        <v/>
      </c>
      <c r="H1490" s="159">
        <f>IFERROR(IF(INDEX('CONTROLE PRODUÇÃO POR EMPRESAS'!$B$6:$G$5000,MATCH($A1490,'CONTROLE PRODUÇÃO POR EMPRESAS'!$A$6:$A$5000,0),MOD(ROW()-2,6)+1)="","",IFERROR(1*INDEX('CONTROLE PRODUÇÃO POR EMPRESAS'!$B$6:$G$5000,MATCH($A1490,'CONTROLE PRODUÇÃO POR EMPRESAS'!$A$6:$A$5000,0),MOD(ROW()-2,6)+1),"")),"")</f>
        <v/>
      </c>
      <c r="I1490" s="159">
        <f>IF(OR(NOT(ISNUMBER(G1490)),NOT(ISNUMBER(H1490))),"",H1490-G1490)</f>
        <v/>
      </c>
      <c r="J1490" s="319">
        <f>IF(OR(NOT(ISNUMBER(G1490)),NOT(ISNUMBER(H1490)),G1490=0),"",I1490/G1490)</f>
        <v/>
      </c>
      <c r="K1490" s="319">
        <f>IF(OR(NOT(ISNUMBER(G1490)),NOT(ISNUMBER(H1490)),G1490=0),"",H1490/G1490)</f>
        <v/>
      </c>
      <c r="L1490">
        <f>IF(NOT(ISNUMBER(G1490)),"SEM META",IF(G1490=0,"SEM META",IF(NOT(ISNUMBER(H1490)),"SEM APONTAMENTO",IF(H1490&gt;=G1490,"VERDE",IF(H1490&gt;=G1490*0.9,"AMARELO","VERMELHO")))))</f>
        <v/>
      </c>
      <c r="M1490" s="162" t="n"/>
      <c r="N1490" s="162" t="n"/>
      <c r="O1490" s="162" t="n"/>
      <c r="P1490" s="162" t="n"/>
      <c r="Q1490" s="320" t="n"/>
      <c r="R1490" s="162" t="inlineStr">
        <is>
          <t>CONTROLE PRODUÇÃO POR EMPRESAS!B254</t>
        </is>
      </c>
    </row>
    <row r="1491" ht="28.5" customHeight="1">
      <c r="A1491" s="317" t="n">
        <v>46471</v>
      </c>
      <c r="B1491" t="inlineStr">
        <is>
          <t>GERAL</t>
        </is>
      </c>
      <c r="C1491" t="inlineStr">
        <is>
          <t>EJ</t>
        </is>
      </c>
      <c r="D1491" t="inlineStr">
        <is>
          <t>IÇAMENTO JOIST</t>
        </is>
      </c>
      <c r="F1491" s="159">
        <f>IFERROR(INDEX('BASE METAS DIÁRIAS'!$N$2:$S$358,MATCH($A1491,'BASE METAS DIÁRIAS'!$A$2:$A$358,0),MOD(ROW()-2,6)+1),"")</f>
        <v/>
      </c>
      <c r="G1491" s="159">
        <f>IFERROR(IF(WEEKDAY($A1491,2)&lt;=INDEX('BASE METAS DIÁRIAS'!$H$2:$M$358,MATCH($A1491,'BASE METAS DIÁRIAS'!$A$2:$A$358,0),MOD(ROW()-2,6)+1),INDEX('BASE METAS DIÁRIAS'!$B$2:$G$358,MATCH($A1491,'BASE METAS DIÁRIAS'!$A$2:$A$358,0),MOD(ROW()-2,6)+1),""),"")</f>
        <v/>
      </c>
      <c r="H1491" s="159">
        <f>IFERROR(IF(INDEX('CONTROLE PRODUÇÃO POR EMPRESAS'!$B$6:$G$5000,MATCH($A1491,'CONTROLE PRODUÇÃO POR EMPRESAS'!$A$6:$A$5000,0),MOD(ROW()-2,6)+1)="","",IFERROR(1*INDEX('CONTROLE PRODUÇÃO POR EMPRESAS'!$B$6:$G$5000,MATCH($A1491,'CONTROLE PRODUÇÃO POR EMPRESAS'!$A$6:$A$5000,0),MOD(ROW()-2,6)+1),"")),"")</f>
        <v/>
      </c>
      <c r="I1491" s="159">
        <f>IF(OR(NOT(ISNUMBER(G1491)),NOT(ISNUMBER(H1491))),"",H1491-G1491)</f>
        <v/>
      </c>
      <c r="J1491" s="319">
        <f>IF(OR(NOT(ISNUMBER(G1491)),NOT(ISNUMBER(H1491)),G1491=0),"",I1491/G1491)</f>
        <v/>
      </c>
      <c r="K1491" s="319">
        <f>IF(OR(NOT(ISNUMBER(G1491)),NOT(ISNUMBER(H1491)),G1491=0),"",H1491/G1491)</f>
        <v/>
      </c>
      <c r="L1491">
        <f>IF(NOT(ISNUMBER(G1491)),"SEM META",IF(G1491=0,"SEM META",IF(NOT(ISNUMBER(H1491)),"SEM APONTAMENTO",IF(H1491&gt;=G1491,"VERDE",IF(H1491&gt;=G1491*0.9,"AMARELO","VERMELHO")))))</f>
        <v/>
      </c>
      <c r="M1491" s="162" t="n"/>
      <c r="N1491" s="162" t="n"/>
      <c r="O1491" s="162" t="n"/>
      <c r="P1491" s="162" t="n"/>
      <c r="Q1491" s="320" t="n"/>
      <c r="R1491" s="162" t="inlineStr">
        <is>
          <t>CONTROLE PRODUÇÃO POR EMPRESAS!C254</t>
        </is>
      </c>
    </row>
    <row r="1492" ht="28.5" customHeight="1">
      <c r="A1492" s="317" t="n">
        <v>46471</v>
      </c>
      <c r="B1492" t="inlineStr">
        <is>
          <t>GERAL</t>
        </is>
      </c>
      <c r="C1492" t="inlineStr">
        <is>
          <t>EJ</t>
        </is>
      </c>
      <c r="D1492" t="inlineStr">
        <is>
          <t>VIGAS</t>
        </is>
      </c>
      <c r="F1492" s="159">
        <f>IFERROR(INDEX('BASE METAS DIÁRIAS'!$N$2:$S$358,MATCH($A1492,'BASE METAS DIÁRIAS'!$A$2:$A$358,0),MOD(ROW()-2,6)+1),"")</f>
        <v/>
      </c>
      <c r="G1492" s="159">
        <f>IFERROR(IF(WEEKDAY($A1492,2)&lt;=INDEX('BASE METAS DIÁRIAS'!$H$2:$M$358,MATCH($A1492,'BASE METAS DIÁRIAS'!$A$2:$A$358,0),MOD(ROW()-2,6)+1),INDEX('BASE METAS DIÁRIAS'!$B$2:$G$358,MATCH($A1492,'BASE METAS DIÁRIAS'!$A$2:$A$358,0),MOD(ROW()-2,6)+1),""),"")</f>
        <v/>
      </c>
      <c r="H1492" s="159">
        <f>IFERROR(IF(INDEX('CONTROLE PRODUÇÃO POR EMPRESAS'!$B$6:$G$5000,MATCH($A1492,'CONTROLE PRODUÇÃO POR EMPRESAS'!$A$6:$A$5000,0),MOD(ROW()-2,6)+1)="","",IFERROR(1*INDEX('CONTROLE PRODUÇÃO POR EMPRESAS'!$B$6:$G$5000,MATCH($A1492,'CONTROLE PRODUÇÃO POR EMPRESAS'!$A$6:$A$5000,0),MOD(ROW()-2,6)+1),"")),"")</f>
        <v/>
      </c>
      <c r="I1492" s="159">
        <f>IF(OR(NOT(ISNUMBER(G1492)),NOT(ISNUMBER(H1492))),"",H1492-G1492)</f>
        <v/>
      </c>
      <c r="J1492" s="319">
        <f>IF(OR(NOT(ISNUMBER(G1492)),NOT(ISNUMBER(H1492)),G1492=0),"",I1492/G1492)</f>
        <v/>
      </c>
      <c r="K1492" s="319">
        <f>IF(OR(NOT(ISNUMBER(G1492)),NOT(ISNUMBER(H1492)),G1492=0),"",H1492/G1492)</f>
        <v/>
      </c>
      <c r="L1492">
        <f>IF(NOT(ISNUMBER(G1492)),"SEM META",IF(G1492=0,"SEM META",IF(NOT(ISNUMBER(H1492)),"SEM APONTAMENTO",IF(H1492&gt;=G1492,"VERDE",IF(H1492&gt;=G1492*0.9,"AMARELO","VERMELHO")))))</f>
        <v/>
      </c>
      <c r="M1492" s="162" t="n"/>
      <c r="N1492" s="162" t="n"/>
      <c r="O1492" s="162" t="n"/>
      <c r="P1492" s="162" t="n"/>
      <c r="Q1492" s="320" t="n"/>
      <c r="R1492" s="162" t="inlineStr">
        <is>
          <t>CONTROLE PRODUÇÃO POR EMPRESAS!D254</t>
        </is>
      </c>
    </row>
    <row r="1493" ht="28.5" customHeight="1">
      <c r="A1493" s="317" t="n">
        <v>46471</v>
      </c>
      <c r="B1493" t="inlineStr">
        <is>
          <t>GERAL</t>
        </is>
      </c>
      <c r="C1493" t="inlineStr">
        <is>
          <t>CMM</t>
        </is>
      </c>
      <c r="D1493" t="inlineStr">
        <is>
          <t>PREMONTAGEM</t>
        </is>
      </c>
      <c r="F1493" s="159">
        <f>IFERROR(INDEX('BASE METAS DIÁRIAS'!$N$2:$S$358,MATCH($A1493,'BASE METAS DIÁRIAS'!$A$2:$A$358,0),MOD(ROW()-2,6)+1),"")</f>
        <v/>
      </c>
      <c r="G1493" s="159">
        <f>IFERROR(IF(WEEKDAY($A1493,2)&lt;=INDEX('BASE METAS DIÁRIAS'!$H$2:$M$358,MATCH($A1493,'BASE METAS DIÁRIAS'!$A$2:$A$358,0),MOD(ROW()-2,6)+1),INDEX('BASE METAS DIÁRIAS'!$B$2:$G$358,MATCH($A1493,'BASE METAS DIÁRIAS'!$A$2:$A$358,0),MOD(ROW()-2,6)+1),""),"")</f>
        <v/>
      </c>
      <c r="H1493" s="159">
        <f>IFERROR(IF(INDEX('CONTROLE PRODUÇÃO POR EMPRESAS'!$B$6:$G$5000,MATCH($A1493,'CONTROLE PRODUÇÃO POR EMPRESAS'!$A$6:$A$5000,0),MOD(ROW()-2,6)+1)="","",IFERROR(1*INDEX('CONTROLE PRODUÇÃO POR EMPRESAS'!$B$6:$G$5000,MATCH($A1493,'CONTROLE PRODUÇÃO POR EMPRESAS'!$A$6:$A$5000,0),MOD(ROW()-2,6)+1),"")),"")</f>
        <v/>
      </c>
      <c r="I1493" s="159">
        <f>IF(OR(NOT(ISNUMBER(G1493)),NOT(ISNUMBER(H1493))),"",H1493-G1493)</f>
        <v/>
      </c>
      <c r="J1493" s="319">
        <f>IF(OR(NOT(ISNUMBER(G1493)),NOT(ISNUMBER(H1493)),G1493=0),"",I1493/G1493)</f>
        <v/>
      </c>
      <c r="K1493" s="319">
        <f>IF(OR(NOT(ISNUMBER(G1493)),NOT(ISNUMBER(H1493)),G1493=0),"",H1493/G1493)</f>
        <v/>
      </c>
      <c r="L1493">
        <f>IF(NOT(ISNUMBER(G1493)),"SEM META",IF(G1493=0,"SEM META",IF(NOT(ISNUMBER(H1493)),"SEM APONTAMENTO",IF(H1493&gt;=G1493,"VERDE",IF(H1493&gt;=G1493*0.9,"AMARELO","VERMELHO")))))</f>
        <v/>
      </c>
      <c r="M1493" s="162" t="n"/>
      <c r="N1493" s="162" t="n"/>
      <c r="O1493" s="162" t="n"/>
      <c r="P1493" s="162" t="n"/>
      <c r="Q1493" s="320" t="n"/>
      <c r="R1493" s="162" t="inlineStr">
        <is>
          <t>CONTROLE PRODUÇÃO POR EMPRESAS!E254</t>
        </is>
      </c>
    </row>
    <row r="1494" ht="28.5" customHeight="1">
      <c r="A1494" s="317" t="n">
        <v>46471</v>
      </c>
      <c r="B1494" t="inlineStr">
        <is>
          <t>GERAL</t>
        </is>
      </c>
      <c r="C1494" t="inlineStr">
        <is>
          <t>CMM</t>
        </is>
      </c>
      <c r="D1494" t="inlineStr">
        <is>
          <t>IÇAMENTO JOIST</t>
        </is>
      </c>
      <c r="F1494" s="159">
        <f>IFERROR(INDEX('BASE METAS DIÁRIAS'!$N$2:$S$358,MATCH($A1494,'BASE METAS DIÁRIAS'!$A$2:$A$358,0),MOD(ROW()-2,6)+1),"")</f>
        <v/>
      </c>
      <c r="G1494" s="159">
        <f>IFERROR(IF(WEEKDAY($A1494,2)&lt;=INDEX('BASE METAS DIÁRIAS'!$H$2:$M$358,MATCH($A1494,'BASE METAS DIÁRIAS'!$A$2:$A$358,0),MOD(ROW()-2,6)+1),INDEX('BASE METAS DIÁRIAS'!$B$2:$G$358,MATCH($A1494,'BASE METAS DIÁRIAS'!$A$2:$A$358,0),MOD(ROW()-2,6)+1),""),"")</f>
        <v/>
      </c>
      <c r="H1494" s="159">
        <f>IFERROR(IF(INDEX('CONTROLE PRODUÇÃO POR EMPRESAS'!$B$6:$G$5000,MATCH($A1494,'CONTROLE PRODUÇÃO POR EMPRESAS'!$A$6:$A$5000,0),MOD(ROW()-2,6)+1)="","",IFERROR(1*INDEX('CONTROLE PRODUÇÃO POR EMPRESAS'!$B$6:$G$5000,MATCH($A1494,'CONTROLE PRODUÇÃO POR EMPRESAS'!$A$6:$A$5000,0),MOD(ROW()-2,6)+1),"")),"")</f>
        <v/>
      </c>
      <c r="I1494" s="159">
        <f>IF(OR(NOT(ISNUMBER(G1494)),NOT(ISNUMBER(H1494))),"",H1494-G1494)</f>
        <v/>
      </c>
      <c r="J1494" s="319">
        <f>IF(OR(NOT(ISNUMBER(G1494)),NOT(ISNUMBER(H1494)),G1494=0),"",I1494/G1494)</f>
        <v/>
      </c>
      <c r="K1494" s="319">
        <f>IF(OR(NOT(ISNUMBER(G1494)),NOT(ISNUMBER(H1494)),G1494=0),"",H1494/G1494)</f>
        <v/>
      </c>
      <c r="L1494">
        <f>IF(NOT(ISNUMBER(G1494)),"SEM META",IF(G1494=0,"SEM META",IF(NOT(ISNUMBER(H1494)),"SEM APONTAMENTO",IF(H1494&gt;=G1494,"VERDE",IF(H1494&gt;=G1494*0.9,"AMARELO","VERMELHO")))))</f>
        <v/>
      </c>
      <c r="M1494" s="162" t="n"/>
      <c r="N1494" s="162" t="n"/>
      <c r="O1494" s="162" t="n"/>
      <c r="P1494" s="162" t="n"/>
      <c r="Q1494" s="320" t="n"/>
      <c r="R1494" s="162" t="inlineStr">
        <is>
          <t>CONTROLE PRODUÇÃO POR EMPRESAS!F254</t>
        </is>
      </c>
    </row>
    <row r="1495" ht="28.5" customHeight="1">
      <c r="A1495" s="317" t="n">
        <v>46471</v>
      </c>
      <c r="B1495" t="inlineStr">
        <is>
          <t>GERAL</t>
        </is>
      </c>
      <c r="C1495" t="inlineStr">
        <is>
          <t>CMM</t>
        </is>
      </c>
      <c r="D1495" t="inlineStr">
        <is>
          <t>VIGAS</t>
        </is>
      </c>
      <c r="F1495" s="159">
        <f>IFERROR(INDEX('BASE METAS DIÁRIAS'!$N$2:$S$358,MATCH($A1495,'BASE METAS DIÁRIAS'!$A$2:$A$358,0),MOD(ROW()-2,6)+1),"")</f>
        <v/>
      </c>
      <c r="G1495" s="159">
        <f>IFERROR(IF(WEEKDAY($A1495,2)&lt;=INDEX('BASE METAS DIÁRIAS'!$H$2:$M$358,MATCH($A1495,'BASE METAS DIÁRIAS'!$A$2:$A$358,0),MOD(ROW()-2,6)+1),INDEX('BASE METAS DIÁRIAS'!$B$2:$G$358,MATCH($A1495,'BASE METAS DIÁRIAS'!$A$2:$A$358,0),MOD(ROW()-2,6)+1),""),"")</f>
        <v/>
      </c>
      <c r="H1495" s="159">
        <f>IFERROR(IF(INDEX('CONTROLE PRODUÇÃO POR EMPRESAS'!$B$6:$G$5000,MATCH($A1495,'CONTROLE PRODUÇÃO POR EMPRESAS'!$A$6:$A$5000,0),MOD(ROW()-2,6)+1)="","",IFERROR(1*INDEX('CONTROLE PRODUÇÃO POR EMPRESAS'!$B$6:$G$5000,MATCH($A1495,'CONTROLE PRODUÇÃO POR EMPRESAS'!$A$6:$A$5000,0),MOD(ROW()-2,6)+1),"")),"")</f>
        <v/>
      </c>
      <c r="I1495" s="159">
        <f>IF(OR(NOT(ISNUMBER(G1495)),NOT(ISNUMBER(H1495))),"",H1495-G1495)</f>
        <v/>
      </c>
      <c r="J1495" s="319">
        <f>IF(OR(NOT(ISNUMBER(G1495)),NOT(ISNUMBER(H1495)),G1495=0),"",I1495/G1495)</f>
        <v/>
      </c>
      <c r="K1495" s="319">
        <f>IF(OR(NOT(ISNUMBER(G1495)),NOT(ISNUMBER(H1495)),G1495=0),"",H1495/G1495)</f>
        <v/>
      </c>
      <c r="L1495">
        <f>IF(NOT(ISNUMBER(G1495)),"SEM META",IF(G1495=0,"SEM META",IF(NOT(ISNUMBER(H1495)),"SEM APONTAMENTO",IF(H1495&gt;=G1495,"VERDE",IF(H1495&gt;=G1495*0.9,"AMARELO","VERMELHO")))))</f>
        <v/>
      </c>
      <c r="M1495" s="162" t="n"/>
      <c r="N1495" s="162" t="n"/>
      <c r="O1495" s="162" t="n"/>
      <c r="P1495" s="162" t="n"/>
      <c r="Q1495" s="320" t="n"/>
      <c r="R1495" s="162" t="inlineStr">
        <is>
          <t>CONTROLE PRODUÇÃO POR EMPRESAS!G254</t>
        </is>
      </c>
    </row>
    <row r="1496" ht="28.5" customHeight="1">
      <c r="A1496" s="317" t="n">
        <v>46472</v>
      </c>
      <c r="B1496" t="inlineStr">
        <is>
          <t>GERAL</t>
        </is>
      </c>
      <c r="C1496" t="inlineStr">
        <is>
          <t>EJ</t>
        </is>
      </c>
      <c r="D1496" t="inlineStr">
        <is>
          <t>PREMONTAGEM</t>
        </is>
      </c>
      <c r="F1496" s="159">
        <f>IFERROR(INDEX('BASE METAS DIÁRIAS'!$N$2:$S$358,MATCH($A1496,'BASE METAS DIÁRIAS'!$A$2:$A$358,0),MOD(ROW()-2,6)+1),"")</f>
        <v/>
      </c>
      <c r="G1496" s="159">
        <f>IFERROR(IF(WEEKDAY($A1496,2)&lt;=INDEX('BASE METAS DIÁRIAS'!$H$2:$M$358,MATCH($A1496,'BASE METAS DIÁRIAS'!$A$2:$A$358,0),MOD(ROW()-2,6)+1),INDEX('BASE METAS DIÁRIAS'!$B$2:$G$358,MATCH($A1496,'BASE METAS DIÁRIAS'!$A$2:$A$358,0),MOD(ROW()-2,6)+1),""),"")</f>
        <v/>
      </c>
      <c r="H1496" s="159">
        <f>IFERROR(IF(INDEX('CONTROLE PRODUÇÃO POR EMPRESAS'!$B$6:$G$5000,MATCH($A1496,'CONTROLE PRODUÇÃO POR EMPRESAS'!$A$6:$A$5000,0),MOD(ROW()-2,6)+1)="","",IFERROR(1*INDEX('CONTROLE PRODUÇÃO POR EMPRESAS'!$B$6:$G$5000,MATCH($A1496,'CONTROLE PRODUÇÃO POR EMPRESAS'!$A$6:$A$5000,0),MOD(ROW()-2,6)+1),"")),"")</f>
        <v/>
      </c>
      <c r="I1496" s="159">
        <f>IF(OR(NOT(ISNUMBER(G1496)),NOT(ISNUMBER(H1496))),"",H1496-G1496)</f>
        <v/>
      </c>
      <c r="J1496" s="319">
        <f>IF(OR(NOT(ISNUMBER(G1496)),NOT(ISNUMBER(H1496)),G1496=0),"",I1496/G1496)</f>
        <v/>
      </c>
      <c r="K1496" s="319">
        <f>IF(OR(NOT(ISNUMBER(G1496)),NOT(ISNUMBER(H1496)),G1496=0),"",H1496/G1496)</f>
        <v/>
      </c>
      <c r="L1496">
        <f>IF(NOT(ISNUMBER(G1496)),"SEM META",IF(G1496=0,"SEM META",IF(NOT(ISNUMBER(H1496)),"SEM APONTAMENTO",IF(H1496&gt;=G1496,"VERDE",IF(H1496&gt;=G1496*0.9,"AMARELO","VERMELHO")))))</f>
        <v/>
      </c>
      <c r="M1496" s="162" t="n"/>
      <c r="N1496" s="162" t="n"/>
      <c r="O1496" s="162" t="n"/>
      <c r="P1496" s="162" t="n"/>
      <c r="Q1496" s="320" t="n"/>
      <c r="R1496" s="162" t="inlineStr">
        <is>
          <t>CONTROLE PRODUÇÃO POR EMPRESAS!B255</t>
        </is>
      </c>
    </row>
    <row r="1497" ht="28.5" customHeight="1">
      <c r="A1497" s="317" t="n">
        <v>46472</v>
      </c>
      <c r="B1497" t="inlineStr">
        <is>
          <t>GERAL</t>
        </is>
      </c>
      <c r="C1497" t="inlineStr">
        <is>
          <t>EJ</t>
        </is>
      </c>
      <c r="D1497" t="inlineStr">
        <is>
          <t>IÇAMENTO JOIST</t>
        </is>
      </c>
      <c r="F1497" s="159">
        <f>IFERROR(INDEX('BASE METAS DIÁRIAS'!$N$2:$S$358,MATCH($A1497,'BASE METAS DIÁRIAS'!$A$2:$A$358,0),MOD(ROW()-2,6)+1),"")</f>
        <v/>
      </c>
      <c r="G1497" s="159">
        <f>IFERROR(IF(WEEKDAY($A1497,2)&lt;=INDEX('BASE METAS DIÁRIAS'!$H$2:$M$358,MATCH($A1497,'BASE METAS DIÁRIAS'!$A$2:$A$358,0),MOD(ROW()-2,6)+1),INDEX('BASE METAS DIÁRIAS'!$B$2:$G$358,MATCH($A1497,'BASE METAS DIÁRIAS'!$A$2:$A$358,0),MOD(ROW()-2,6)+1),""),"")</f>
        <v/>
      </c>
      <c r="H1497" s="159">
        <f>IFERROR(IF(INDEX('CONTROLE PRODUÇÃO POR EMPRESAS'!$B$6:$G$5000,MATCH($A1497,'CONTROLE PRODUÇÃO POR EMPRESAS'!$A$6:$A$5000,0),MOD(ROW()-2,6)+1)="","",IFERROR(1*INDEX('CONTROLE PRODUÇÃO POR EMPRESAS'!$B$6:$G$5000,MATCH($A1497,'CONTROLE PRODUÇÃO POR EMPRESAS'!$A$6:$A$5000,0),MOD(ROW()-2,6)+1),"")),"")</f>
        <v/>
      </c>
      <c r="I1497" s="159">
        <f>IF(OR(NOT(ISNUMBER(G1497)),NOT(ISNUMBER(H1497))),"",H1497-G1497)</f>
        <v/>
      </c>
      <c r="J1497" s="319">
        <f>IF(OR(NOT(ISNUMBER(G1497)),NOT(ISNUMBER(H1497)),G1497=0),"",I1497/G1497)</f>
        <v/>
      </c>
      <c r="K1497" s="319">
        <f>IF(OR(NOT(ISNUMBER(G1497)),NOT(ISNUMBER(H1497)),G1497=0),"",H1497/G1497)</f>
        <v/>
      </c>
      <c r="L1497">
        <f>IF(NOT(ISNUMBER(G1497)),"SEM META",IF(G1497=0,"SEM META",IF(NOT(ISNUMBER(H1497)),"SEM APONTAMENTO",IF(H1497&gt;=G1497,"VERDE",IF(H1497&gt;=G1497*0.9,"AMARELO","VERMELHO")))))</f>
        <v/>
      </c>
      <c r="M1497" s="162" t="n"/>
      <c r="N1497" s="162" t="n"/>
      <c r="O1497" s="162" t="n"/>
      <c r="P1497" s="162" t="n"/>
      <c r="Q1497" s="320" t="n"/>
      <c r="R1497" s="162" t="inlineStr">
        <is>
          <t>CONTROLE PRODUÇÃO POR EMPRESAS!C255</t>
        </is>
      </c>
    </row>
    <row r="1498" ht="28.5" customHeight="1">
      <c r="A1498" s="317" t="n">
        <v>46472</v>
      </c>
      <c r="B1498" t="inlineStr">
        <is>
          <t>GERAL</t>
        </is>
      </c>
      <c r="C1498" t="inlineStr">
        <is>
          <t>EJ</t>
        </is>
      </c>
      <c r="D1498" t="inlineStr">
        <is>
          <t>VIGAS</t>
        </is>
      </c>
      <c r="F1498" s="159">
        <f>IFERROR(INDEX('BASE METAS DIÁRIAS'!$N$2:$S$358,MATCH($A1498,'BASE METAS DIÁRIAS'!$A$2:$A$358,0),MOD(ROW()-2,6)+1),"")</f>
        <v/>
      </c>
      <c r="G1498" s="159">
        <f>IFERROR(IF(WEEKDAY($A1498,2)&lt;=INDEX('BASE METAS DIÁRIAS'!$H$2:$M$358,MATCH($A1498,'BASE METAS DIÁRIAS'!$A$2:$A$358,0),MOD(ROW()-2,6)+1),INDEX('BASE METAS DIÁRIAS'!$B$2:$G$358,MATCH($A1498,'BASE METAS DIÁRIAS'!$A$2:$A$358,0),MOD(ROW()-2,6)+1),""),"")</f>
        <v/>
      </c>
      <c r="H1498" s="159">
        <f>IFERROR(IF(INDEX('CONTROLE PRODUÇÃO POR EMPRESAS'!$B$6:$G$5000,MATCH($A1498,'CONTROLE PRODUÇÃO POR EMPRESAS'!$A$6:$A$5000,0),MOD(ROW()-2,6)+1)="","",IFERROR(1*INDEX('CONTROLE PRODUÇÃO POR EMPRESAS'!$B$6:$G$5000,MATCH($A1498,'CONTROLE PRODUÇÃO POR EMPRESAS'!$A$6:$A$5000,0),MOD(ROW()-2,6)+1),"")),"")</f>
        <v/>
      </c>
      <c r="I1498" s="159">
        <f>IF(OR(NOT(ISNUMBER(G1498)),NOT(ISNUMBER(H1498))),"",H1498-G1498)</f>
        <v/>
      </c>
      <c r="J1498" s="319">
        <f>IF(OR(NOT(ISNUMBER(G1498)),NOT(ISNUMBER(H1498)),G1498=0),"",I1498/G1498)</f>
        <v/>
      </c>
      <c r="K1498" s="319">
        <f>IF(OR(NOT(ISNUMBER(G1498)),NOT(ISNUMBER(H1498)),G1498=0),"",H1498/G1498)</f>
        <v/>
      </c>
      <c r="L1498">
        <f>IF(NOT(ISNUMBER(G1498)),"SEM META",IF(G1498=0,"SEM META",IF(NOT(ISNUMBER(H1498)),"SEM APONTAMENTO",IF(H1498&gt;=G1498,"VERDE",IF(H1498&gt;=G1498*0.9,"AMARELO","VERMELHO")))))</f>
        <v/>
      </c>
      <c r="M1498" s="162" t="n"/>
      <c r="N1498" s="162" t="n"/>
      <c r="O1498" s="162" t="n"/>
      <c r="P1498" s="162" t="n"/>
      <c r="Q1498" s="320" t="n"/>
      <c r="R1498" s="162" t="inlineStr">
        <is>
          <t>CONTROLE PRODUÇÃO POR EMPRESAS!D255</t>
        </is>
      </c>
    </row>
    <row r="1499" ht="28.5" customHeight="1">
      <c r="A1499" s="317" t="n">
        <v>46472</v>
      </c>
      <c r="B1499" t="inlineStr">
        <is>
          <t>GERAL</t>
        </is>
      </c>
      <c r="C1499" t="inlineStr">
        <is>
          <t>CMM</t>
        </is>
      </c>
      <c r="D1499" t="inlineStr">
        <is>
          <t>PREMONTAGEM</t>
        </is>
      </c>
      <c r="F1499" s="159">
        <f>IFERROR(INDEX('BASE METAS DIÁRIAS'!$N$2:$S$358,MATCH($A1499,'BASE METAS DIÁRIAS'!$A$2:$A$358,0),MOD(ROW()-2,6)+1),"")</f>
        <v/>
      </c>
      <c r="G1499" s="159">
        <f>IFERROR(IF(WEEKDAY($A1499,2)&lt;=INDEX('BASE METAS DIÁRIAS'!$H$2:$M$358,MATCH($A1499,'BASE METAS DIÁRIAS'!$A$2:$A$358,0),MOD(ROW()-2,6)+1),INDEX('BASE METAS DIÁRIAS'!$B$2:$G$358,MATCH($A1499,'BASE METAS DIÁRIAS'!$A$2:$A$358,0),MOD(ROW()-2,6)+1),""),"")</f>
        <v/>
      </c>
      <c r="H1499" s="159">
        <f>IFERROR(IF(INDEX('CONTROLE PRODUÇÃO POR EMPRESAS'!$B$6:$G$5000,MATCH($A1499,'CONTROLE PRODUÇÃO POR EMPRESAS'!$A$6:$A$5000,0),MOD(ROW()-2,6)+1)="","",IFERROR(1*INDEX('CONTROLE PRODUÇÃO POR EMPRESAS'!$B$6:$G$5000,MATCH($A1499,'CONTROLE PRODUÇÃO POR EMPRESAS'!$A$6:$A$5000,0),MOD(ROW()-2,6)+1),"")),"")</f>
        <v/>
      </c>
      <c r="I1499" s="159">
        <f>IF(OR(NOT(ISNUMBER(G1499)),NOT(ISNUMBER(H1499))),"",H1499-G1499)</f>
        <v/>
      </c>
      <c r="J1499" s="319">
        <f>IF(OR(NOT(ISNUMBER(G1499)),NOT(ISNUMBER(H1499)),G1499=0),"",I1499/G1499)</f>
        <v/>
      </c>
      <c r="K1499" s="319">
        <f>IF(OR(NOT(ISNUMBER(G1499)),NOT(ISNUMBER(H1499)),G1499=0),"",H1499/G1499)</f>
        <v/>
      </c>
      <c r="L1499">
        <f>IF(NOT(ISNUMBER(G1499)),"SEM META",IF(G1499=0,"SEM META",IF(NOT(ISNUMBER(H1499)),"SEM APONTAMENTO",IF(H1499&gt;=G1499,"VERDE",IF(H1499&gt;=G1499*0.9,"AMARELO","VERMELHO")))))</f>
        <v/>
      </c>
      <c r="M1499" s="162" t="n"/>
      <c r="N1499" s="162" t="n"/>
      <c r="O1499" s="162" t="n"/>
      <c r="P1499" s="162" t="n"/>
      <c r="Q1499" s="320" t="n"/>
      <c r="R1499" s="162" t="inlineStr">
        <is>
          <t>CONTROLE PRODUÇÃO POR EMPRESAS!E255</t>
        </is>
      </c>
    </row>
    <row r="1500" ht="28.5" customHeight="1">
      <c r="A1500" s="317" t="n">
        <v>46472</v>
      </c>
      <c r="B1500" t="inlineStr">
        <is>
          <t>GERAL</t>
        </is>
      </c>
      <c r="C1500" t="inlineStr">
        <is>
          <t>CMM</t>
        </is>
      </c>
      <c r="D1500" t="inlineStr">
        <is>
          <t>IÇAMENTO JOIST</t>
        </is>
      </c>
      <c r="F1500" s="159">
        <f>IFERROR(INDEX('BASE METAS DIÁRIAS'!$N$2:$S$358,MATCH($A1500,'BASE METAS DIÁRIAS'!$A$2:$A$358,0),MOD(ROW()-2,6)+1),"")</f>
        <v/>
      </c>
      <c r="G1500" s="159">
        <f>IFERROR(IF(WEEKDAY($A1500,2)&lt;=INDEX('BASE METAS DIÁRIAS'!$H$2:$M$358,MATCH($A1500,'BASE METAS DIÁRIAS'!$A$2:$A$358,0),MOD(ROW()-2,6)+1),INDEX('BASE METAS DIÁRIAS'!$B$2:$G$358,MATCH($A1500,'BASE METAS DIÁRIAS'!$A$2:$A$358,0),MOD(ROW()-2,6)+1),""),"")</f>
        <v/>
      </c>
      <c r="H1500" s="159">
        <f>IFERROR(IF(INDEX('CONTROLE PRODUÇÃO POR EMPRESAS'!$B$6:$G$5000,MATCH($A1500,'CONTROLE PRODUÇÃO POR EMPRESAS'!$A$6:$A$5000,0),MOD(ROW()-2,6)+1)="","",IFERROR(1*INDEX('CONTROLE PRODUÇÃO POR EMPRESAS'!$B$6:$G$5000,MATCH($A1500,'CONTROLE PRODUÇÃO POR EMPRESAS'!$A$6:$A$5000,0),MOD(ROW()-2,6)+1),"")),"")</f>
        <v/>
      </c>
      <c r="I1500" s="159">
        <f>IF(OR(NOT(ISNUMBER(G1500)),NOT(ISNUMBER(H1500))),"",H1500-G1500)</f>
        <v/>
      </c>
      <c r="J1500" s="319">
        <f>IF(OR(NOT(ISNUMBER(G1500)),NOT(ISNUMBER(H1500)),G1500=0),"",I1500/G1500)</f>
        <v/>
      </c>
      <c r="K1500" s="319">
        <f>IF(OR(NOT(ISNUMBER(G1500)),NOT(ISNUMBER(H1500)),G1500=0),"",H1500/G1500)</f>
        <v/>
      </c>
      <c r="L1500">
        <f>IF(NOT(ISNUMBER(G1500)),"SEM META",IF(G1500=0,"SEM META",IF(NOT(ISNUMBER(H1500)),"SEM APONTAMENTO",IF(H1500&gt;=G1500,"VERDE",IF(H1500&gt;=G1500*0.9,"AMARELO","VERMELHO")))))</f>
        <v/>
      </c>
      <c r="M1500" s="162" t="n"/>
      <c r="N1500" s="162" t="n"/>
      <c r="O1500" s="162" t="n"/>
      <c r="P1500" s="162" t="n"/>
      <c r="Q1500" s="320" t="n"/>
      <c r="R1500" s="162" t="inlineStr">
        <is>
          <t>CONTROLE PRODUÇÃO POR EMPRESAS!F255</t>
        </is>
      </c>
    </row>
    <row r="1501" ht="28.5" customHeight="1">
      <c r="A1501" s="317" t="n">
        <v>46472</v>
      </c>
      <c r="B1501" t="inlineStr">
        <is>
          <t>GERAL</t>
        </is>
      </c>
      <c r="C1501" t="inlineStr">
        <is>
          <t>CMM</t>
        </is>
      </c>
      <c r="D1501" t="inlineStr">
        <is>
          <t>VIGAS</t>
        </is>
      </c>
      <c r="F1501" s="159">
        <f>IFERROR(INDEX('BASE METAS DIÁRIAS'!$N$2:$S$358,MATCH($A1501,'BASE METAS DIÁRIAS'!$A$2:$A$358,0),MOD(ROW()-2,6)+1),"")</f>
        <v/>
      </c>
      <c r="G1501" s="159">
        <f>IFERROR(IF(WEEKDAY($A1501,2)&lt;=INDEX('BASE METAS DIÁRIAS'!$H$2:$M$358,MATCH($A1501,'BASE METAS DIÁRIAS'!$A$2:$A$358,0),MOD(ROW()-2,6)+1),INDEX('BASE METAS DIÁRIAS'!$B$2:$G$358,MATCH($A1501,'BASE METAS DIÁRIAS'!$A$2:$A$358,0),MOD(ROW()-2,6)+1),""),"")</f>
        <v/>
      </c>
      <c r="H1501" s="159">
        <f>IFERROR(IF(INDEX('CONTROLE PRODUÇÃO POR EMPRESAS'!$B$6:$G$5000,MATCH($A1501,'CONTROLE PRODUÇÃO POR EMPRESAS'!$A$6:$A$5000,0),MOD(ROW()-2,6)+1)="","",IFERROR(1*INDEX('CONTROLE PRODUÇÃO POR EMPRESAS'!$B$6:$G$5000,MATCH($A1501,'CONTROLE PRODUÇÃO POR EMPRESAS'!$A$6:$A$5000,0),MOD(ROW()-2,6)+1),"")),"")</f>
        <v/>
      </c>
      <c r="I1501" s="159">
        <f>IF(OR(NOT(ISNUMBER(G1501)),NOT(ISNUMBER(H1501))),"",H1501-G1501)</f>
        <v/>
      </c>
      <c r="J1501" s="319">
        <f>IF(OR(NOT(ISNUMBER(G1501)),NOT(ISNUMBER(H1501)),G1501=0),"",I1501/G1501)</f>
        <v/>
      </c>
      <c r="K1501" s="319">
        <f>IF(OR(NOT(ISNUMBER(G1501)),NOT(ISNUMBER(H1501)),G1501=0),"",H1501/G1501)</f>
        <v/>
      </c>
      <c r="L1501">
        <f>IF(NOT(ISNUMBER(G1501)),"SEM META",IF(G1501=0,"SEM META",IF(NOT(ISNUMBER(H1501)),"SEM APONTAMENTO",IF(H1501&gt;=G1501,"VERDE",IF(H1501&gt;=G1501*0.9,"AMARELO","VERMELHO")))))</f>
        <v/>
      </c>
      <c r="M1501" s="162" t="n"/>
      <c r="N1501" s="162" t="n"/>
      <c r="O1501" s="162" t="n"/>
      <c r="P1501" s="162" t="n"/>
      <c r="Q1501" s="320" t="n"/>
      <c r="R1501" s="162" t="inlineStr">
        <is>
          <t>CONTROLE PRODUÇÃO POR EMPRESAS!G255</t>
        </is>
      </c>
    </row>
    <row r="1502" ht="28.5" customHeight="1">
      <c r="A1502" s="317" t="n">
        <v>46473</v>
      </c>
      <c r="B1502" t="inlineStr">
        <is>
          <t>GERAL</t>
        </is>
      </c>
      <c r="C1502" t="inlineStr">
        <is>
          <t>EJ</t>
        </is>
      </c>
      <c r="D1502" t="inlineStr">
        <is>
          <t>PREMONTAGEM</t>
        </is>
      </c>
      <c r="F1502" s="159">
        <f>IFERROR(INDEX('BASE METAS DIÁRIAS'!$N$2:$S$358,MATCH($A1502,'BASE METAS DIÁRIAS'!$A$2:$A$358,0),MOD(ROW()-2,6)+1),"")</f>
        <v/>
      </c>
      <c r="G1502" s="159">
        <f>IFERROR(IF(WEEKDAY($A1502,2)&lt;=INDEX('BASE METAS DIÁRIAS'!$H$2:$M$358,MATCH($A1502,'BASE METAS DIÁRIAS'!$A$2:$A$358,0),MOD(ROW()-2,6)+1),INDEX('BASE METAS DIÁRIAS'!$B$2:$G$358,MATCH($A1502,'BASE METAS DIÁRIAS'!$A$2:$A$358,0),MOD(ROW()-2,6)+1),""),"")</f>
        <v/>
      </c>
      <c r="H1502" s="159">
        <f>IFERROR(IF(INDEX('CONTROLE PRODUÇÃO POR EMPRESAS'!$B$6:$G$5000,MATCH($A1502,'CONTROLE PRODUÇÃO POR EMPRESAS'!$A$6:$A$5000,0),MOD(ROW()-2,6)+1)="","",IFERROR(1*INDEX('CONTROLE PRODUÇÃO POR EMPRESAS'!$B$6:$G$5000,MATCH($A1502,'CONTROLE PRODUÇÃO POR EMPRESAS'!$A$6:$A$5000,0),MOD(ROW()-2,6)+1),"")),"")</f>
        <v/>
      </c>
      <c r="I1502" s="159">
        <f>IF(OR(NOT(ISNUMBER(G1502)),NOT(ISNUMBER(H1502))),"",H1502-G1502)</f>
        <v/>
      </c>
      <c r="J1502" s="319">
        <f>IF(OR(NOT(ISNUMBER(G1502)),NOT(ISNUMBER(H1502)),G1502=0),"",I1502/G1502)</f>
        <v/>
      </c>
      <c r="K1502" s="319">
        <f>IF(OR(NOT(ISNUMBER(G1502)),NOT(ISNUMBER(H1502)),G1502=0),"",H1502/G1502)</f>
        <v/>
      </c>
      <c r="L1502">
        <f>IF(NOT(ISNUMBER(G1502)),"SEM META",IF(G1502=0,"SEM META",IF(NOT(ISNUMBER(H1502)),"SEM APONTAMENTO",IF(H1502&gt;=G1502,"VERDE",IF(H1502&gt;=G1502*0.9,"AMARELO","VERMELHO")))))</f>
        <v/>
      </c>
      <c r="M1502" s="162" t="n"/>
      <c r="N1502" s="162" t="n"/>
      <c r="O1502" s="162" t="n"/>
      <c r="P1502" s="162" t="n"/>
      <c r="Q1502" s="320" t="n"/>
      <c r="R1502" s="162" t="inlineStr">
        <is>
          <t>CONTROLE PRODUÇÃO POR EMPRESAS!B256</t>
        </is>
      </c>
    </row>
    <row r="1503" ht="28.5" customHeight="1">
      <c r="A1503" s="317" t="n">
        <v>46473</v>
      </c>
      <c r="B1503" t="inlineStr">
        <is>
          <t>GERAL</t>
        </is>
      </c>
      <c r="C1503" t="inlineStr">
        <is>
          <t>EJ</t>
        </is>
      </c>
      <c r="D1503" t="inlineStr">
        <is>
          <t>IÇAMENTO JOIST</t>
        </is>
      </c>
      <c r="F1503" s="159">
        <f>IFERROR(INDEX('BASE METAS DIÁRIAS'!$N$2:$S$358,MATCH($A1503,'BASE METAS DIÁRIAS'!$A$2:$A$358,0),MOD(ROW()-2,6)+1),"")</f>
        <v/>
      </c>
      <c r="G1503" s="159">
        <f>IFERROR(IF(WEEKDAY($A1503,2)&lt;=INDEX('BASE METAS DIÁRIAS'!$H$2:$M$358,MATCH($A1503,'BASE METAS DIÁRIAS'!$A$2:$A$358,0),MOD(ROW()-2,6)+1),INDEX('BASE METAS DIÁRIAS'!$B$2:$G$358,MATCH($A1503,'BASE METAS DIÁRIAS'!$A$2:$A$358,0),MOD(ROW()-2,6)+1),""),"")</f>
        <v/>
      </c>
      <c r="H1503" s="159">
        <f>IFERROR(IF(INDEX('CONTROLE PRODUÇÃO POR EMPRESAS'!$B$6:$G$5000,MATCH($A1503,'CONTROLE PRODUÇÃO POR EMPRESAS'!$A$6:$A$5000,0),MOD(ROW()-2,6)+1)="","",IFERROR(1*INDEX('CONTROLE PRODUÇÃO POR EMPRESAS'!$B$6:$G$5000,MATCH($A1503,'CONTROLE PRODUÇÃO POR EMPRESAS'!$A$6:$A$5000,0),MOD(ROW()-2,6)+1),"")),"")</f>
        <v/>
      </c>
      <c r="I1503" s="159">
        <f>IF(OR(NOT(ISNUMBER(G1503)),NOT(ISNUMBER(H1503))),"",H1503-G1503)</f>
        <v/>
      </c>
      <c r="J1503" s="319">
        <f>IF(OR(NOT(ISNUMBER(G1503)),NOT(ISNUMBER(H1503)),G1503=0),"",I1503/G1503)</f>
        <v/>
      </c>
      <c r="K1503" s="319">
        <f>IF(OR(NOT(ISNUMBER(G1503)),NOT(ISNUMBER(H1503)),G1503=0),"",H1503/G1503)</f>
        <v/>
      </c>
      <c r="L1503">
        <f>IF(NOT(ISNUMBER(G1503)),"SEM META",IF(G1503=0,"SEM META",IF(NOT(ISNUMBER(H1503)),"SEM APONTAMENTO",IF(H1503&gt;=G1503,"VERDE",IF(H1503&gt;=G1503*0.9,"AMARELO","VERMELHO")))))</f>
        <v/>
      </c>
      <c r="M1503" s="162" t="n"/>
      <c r="N1503" s="162" t="n"/>
      <c r="O1503" s="162" t="n"/>
      <c r="P1503" s="162" t="n"/>
      <c r="Q1503" s="320" t="n"/>
      <c r="R1503" s="162" t="inlineStr">
        <is>
          <t>CONTROLE PRODUÇÃO POR EMPRESAS!C256</t>
        </is>
      </c>
    </row>
    <row r="1504" ht="28.5" customHeight="1">
      <c r="A1504" s="317" t="n">
        <v>46473</v>
      </c>
      <c r="B1504" t="inlineStr">
        <is>
          <t>GERAL</t>
        </is>
      </c>
      <c r="C1504" t="inlineStr">
        <is>
          <t>EJ</t>
        </is>
      </c>
      <c r="D1504" t="inlineStr">
        <is>
          <t>VIGAS</t>
        </is>
      </c>
      <c r="F1504" s="159">
        <f>IFERROR(INDEX('BASE METAS DIÁRIAS'!$N$2:$S$358,MATCH($A1504,'BASE METAS DIÁRIAS'!$A$2:$A$358,0),MOD(ROW()-2,6)+1),"")</f>
        <v/>
      </c>
      <c r="G1504" s="159">
        <f>IFERROR(IF(WEEKDAY($A1504,2)&lt;=INDEX('BASE METAS DIÁRIAS'!$H$2:$M$358,MATCH($A1504,'BASE METAS DIÁRIAS'!$A$2:$A$358,0),MOD(ROW()-2,6)+1),INDEX('BASE METAS DIÁRIAS'!$B$2:$G$358,MATCH($A1504,'BASE METAS DIÁRIAS'!$A$2:$A$358,0),MOD(ROW()-2,6)+1),""),"")</f>
        <v/>
      </c>
      <c r="H1504" s="159">
        <f>IFERROR(IF(INDEX('CONTROLE PRODUÇÃO POR EMPRESAS'!$B$6:$G$5000,MATCH($A1504,'CONTROLE PRODUÇÃO POR EMPRESAS'!$A$6:$A$5000,0),MOD(ROW()-2,6)+1)="","",IFERROR(1*INDEX('CONTROLE PRODUÇÃO POR EMPRESAS'!$B$6:$G$5000,MATCH($A1504,'CONTROLE PRODUÇÃO POR EMPRESAS'!$A$6:$A$5000,0),MOD(ROW()-2,6)+1),"")),"")</f>
        <v/>
      </c>
      <c r="I1504" s="159">
        <f>IF(OR(NOT(ISNUMBER(G1504)),NOT(ISNUMBER(H1504))),"",H1504-G1504)</f>
        <v/>
      </c>
      <c r="J1504" s="319">
        <f>IF(OR(NOT(ISNUMBER(G1504)),NOT(ISNUMBER(H1504)),G1504=0),"",I1504/G1504)</f>
        <v/>
      </c>
      <c r="K1504" s="319">
        <f>IF(OR(NOT(ISNUMBER(G1504)),NOT(ISNUMBER(H1504)),G1504=0),"",H1504/G1504)</f>
        <v/>
      </c>
      <c r="L1504">
        <f>IF(NOT(ISNUMBER(G1504)),"SEM META",IF(G1504=0,"SEM META",IF(NOT(ISNUMBER(H1504)),"SEM APONTAMENTO",IF(H1504&gt;=G1504,"VERDE",IF(H1504&gt;=G1504*0.9,"AMARELO","VERMELHO")))))</f>
        <v/>
      </c>
      <c r="M1504" s="162" t="n"/>
      <c r="N1504" s="162" t="n"/>
      <c r="O1504" s="162" t="n"/>
      <c r="P1504" s="162" t="n"/>
      <c r="Q1504" s="320" t="n"/>
      <c r="R1504" s="162" t="inlineStr">
        <is>
          <t>CONTROLE PRODUÇÃO POR EMPRESAS!D256</t>
        </is>
      </c>
    </row>
    <row r="1505" ht="28.5" customHeight="1">
      <c r="A1505" s="317" t="n">
        <v>46473</v>
      </c>
      <c r="B1505" t="inlineStr">
        <is>
          <t>GERAL</t>
        </is>
      </c>
      <c r="C1505" t="inlineStr">
        <is>
          <t>CMM</t>
        </is>
      </c>
      <c r="D1505" t="inlineStr">
        <is>
          <t>PREMONTAGEM</t>
        </is>
      </c>
      <c r="F1505" s="159">
        <f>IFERROR(INDEX('BASE METAS DIÁRIAS'!$N$2:$S$358,MATCH($A1505,'BASE METAS DIÁRIAS'!$A$2:$A$358,0),MOD(ROW()-2,6)+1),"")</f>
        <v/>
      </c>
      <c r="G1505" s="159">
        <f>IFERROR(IF(WEEKDAY($A1505,2)&lt;=INDEX('BASE METAS DIÁRIAS'!$H$2:$M$358,MATCH($A1505,'BASE METAS DIÁRIAS'!$A$2:$A$358,0),MOD(ROW()-2,6)+1),INDEX('BASE METAS DIÁRIAS'!$B$2:$G$358,MATCH($A1505,'BASE METAS DIÁRIAS'!$A$2:$A$358,0),MOD(ROW()-2,6)+1),""),"")</f>
        <v/>
      </c>
      <c r="H1505" s="159">
        <f>IFERROR(IF(INDEX('CONTROLE PRODUÇÃO POR EMPRESAS'!$B$6:$G$5000,MATCH($A1505,'CONTROLE PRODUÇÃO POR EMPRESAS'!$A$6:$A$5000,0),MOD(ROW()-2,6)+1)="","",IFERROR(1*INDEX('CONTROLE PRODUÇÃO POR EMPRESAS'!$B$6:$G$5000,MATCH($A1505,'CONTROLE PRODUÇÃO POR EMPRESAS'!$A$6:$A$5000,0),MOD(ROW()-2,6)+1),"")),"")</f>
        <v/>
      </c>
      <c r="I1505" s="159">
        <f>IF(OR(NOT(ISNUMBER(G1505)),NOT(ISNUMBER(H1505))),"",H1505-G1505)</f>
        <v/>
      </c>
      <c r="J1505" s="319">
        <f>IF(OR(NOT(ISNUMBER(G1505)),NOT(ISNUMBER(H1505)),G1505=0),"",I1505/G1505)</f>
        <v/>
      </c>
      <c r="K1505" s="319">
        <f>IF(OR(NOT(ISNUMBER(G1505)),NOT(ISNUMBER(H1505)),G1505=0),"",H1505/G1505)</f>
        <v/>
      </c>
      <c r="L1505">
        <f>IF(NOT(ISNUMBER(G1505)),"SEM META",IF(G1505=0,"SEM META",IF(NOT(ISNUMBER(H1505)),"SEM APONTAMENTO",IF(H1505&gt;=G1505,"VERDE",IF(H1505&gt;=G1505*0.9,"AMARELO","VERMELHO")))))</f>
        <v/>
      </c>
      <c r="M1505" s="162" t="n"/>
      <c r="N1505" s="162" t="n"/>
      <c r="O1505" s="162" t="n"/>
      <c r="P1505" s="162" t="n"/>
      <c r="Q1505" s="320" t="n"/>
      <c r="R1505" s="162" t="inlineStr">
        <is>
          <t>CONTROLE PRODUÇÃO POR EMPRESAS!E256</t>
        </is>
      </c>
    </row>
    <row r="1506" ht="28.5" customHeight="1">
      <c r="A1506" s="317" t="n">
        <v>46473</v>
      </c>
      <c r="B1506" t="inlineStr">
        <is>
          <t>GERAL</t>
        </is>
      </c>
      <c r="C1506" t="inlineStr">
        <is>
          <t>CMM</t>
        </is>
      </c>
      <c r="D1506" t="inlineStr">
        <is>
          <t>IÇAMENTO JOIST</t>
        </is>
      </c>
      <c r="F1506" s="159">
        <f>IFERROR(INDEX('BASE METAS DIÁRIAS'!$N$2:$S$358,MATCH($A1506,'BASE METAS DIÁRIAS'!$A$2:$A$358,0),MOD(ROW()-2,6)+1),"")</f>
        <v/>
      </c>
      <c r="G1506" s="159">
        <f>IFERROR(IF(WEEKDAY($A1506,2)&lt;=INDEX('BASE METAS DIÁRIAS'!$H$2:$M$358,MATCH($A1506,'BASE METAS DIÁRIAS'!$A$2:$A$358,0),MOD(ROW()-2,6)+1),INDEX('BASE METAS DIÁRIAS'!$B$2:$G$358,MATCH($A1506,'BASE METAS DIÁRIAS'!$A$2:$A$358,0),MOD(ROW()-2,6)+1),""),"")</f>
        <v/>
      </c>
      <c r="H1506" s="159">
        <f>IFERROR(IF(INDEX('CONTROLE PRODUÇÃO POR EMPRESAS'!$B$6:$G$5000,MATCH($A1506,'CONTROLE PRODUÇÃO POR EMPRESAS'!$A$6:$A$5000,0),MOD(ROW()-2,6)+1)="","",IFERROR(1*INDEX('CONTROLE PRODUÇÃO POR EMPRESAS'!$B$6:$G$5000,MATCH($A1506,'CONTROLE PRODUÇÃO POR EMPRESAS'!$A$6:$A$5000,0),MOD(ROW()-2,6)+1),"")),"")</f>
        <v/>
      </c>
      <c r="I1506" s="159">
        <f>IF(OR(NOT(ISNUMBER(G1506)),NOT(ISNUMBER(H1506))),"",H1506-G1506)</f>
        <v/>
      </c>
      <c r="J1506" s="319">
        <f>IF(OR(NOT(ISNUMBER(G1506)),NOT(ISNUMBER(H1506)),G1506=0),"",I1506/G1506)</f>
        <v/>
      </c>
      <c r="K1506" s="319">
        <f>IF(OR(NOT(ISNUMBER(G1506)),NOT(ISNUMBER(H1506)),G1506=0),"",H1506/G1506)</f>
        <v/>
      </c>
      <c r="L1506">
        <f>IF(NOT(ISNUMBER(G1506)),"SEM META",IF(G1506=0,"SEM META",IF(NOT(ISNUMBER(H1506)),"SEM APONTAMENTO",IF(H1506&gt;=G1506,"VERDE",IF(H1506&gt;=G1506*0.9,"AMARELO","VERMELHO")))))</f>
        <v/>
      </c>
      <c r="M1506" s="162" t="n"/>
      <c r="N1506" s="162" t="n"/>
      <c r="O1506" s="162" t="n"/>
      <c r="P1506" s="162" t="n"/>
      <c r="Q1506" s="320" t="n"/>
      <c r="R1506" s="162" t="inlineStr">
        <is>
          <t>CONTROLE PRODUÇÃO POR EMPRESAS!F256</t>
        </is>
      </c>
    </row>
    <row r="1507" ht="28.5" customHeight="1">
      <c r="A1507" s="317" t="n">
        <v>46473</v>
      </c>
      <c r="B1507" t="inlineStr">
        <is>
          <t>GERAL</t>
        </is>
      </c>
      <c r="C1507" t="inlineStr">
        <is>
          <t>CMM</t>
        </is>
      </c>
      <c r="D1507" t="inlineStr">
        <is>
          <t>VIGAS</t>
        </is>
      </c>
      <c r="F1507" s="159">
        <f>IFERROR(INDEX('BASE METAS DIÁRIAS'!$N$2:$S$358,MATCH($A1507,'BASE METAS DIÁRIAS'!$A$2:$A$358,0),MOD(ROW()-2,6)+1),"")</f>
        <v/>
      </c>
      <c r="G1507" s="159">
        <f>IFERROR(IF(WEEKDAY($A1507,2)&lt;=INDEX('BASE METAS DIÁRIAS'!$H$2:$M$358,MATCH($A1507,'BASE METAS DIÁRIAS'!$A$2:$A$358,0),MOD(ROW()-2,6)+1),INDEX('BASE METAS DIÁRIAS'!$B$2:$G$358,MATCH($A1507,'BASE METAS DIÁRIAS'!$A$2:$A$358,0),MOD(ROW()-2,6)+1),""),"")</f>
        <v/>
      </c>
      <c r="H1507" s="159">
        <f>IFERROR(IF(INDEX('CONTROLE PRODUÇÃO POR EMPRESAS'!$B$6:$G$5000,MATCH($A1507,'CONTROLE PRODUÇÃO POR EMPRESAS'!$A$6:$A$5000,0),MOD(ROW()-2,6)+1)="","",IFERROR(1*INDEX('CONTROLE PRODUÇÃO POR EMPRESAS'!$B$6:$G$5000,MATCH($A1507,'CONTROLE PRODUÇÃO POR EMPRESAS'!$A$6:$A$5000,0),MOD(ROW()-2,6)+1),"")),"")</f>
        <v/>
      </c>
      <c r="I1507" s="159">
        <f>IF(OR(NOT(ISNUMBER(G1507)),NOT(ISNUMBER(H1507))),"",H1507-G1507)</f>
        <v/>
      </c>
      <c r="J1507" s="319">
        <f>IF(OR(NOT(ISNUMBER(G1507)),NOT(ISNUMBER(H1507)),G1507=0),"",I1507/G1507)</f>
        <v/>
      </c>
      <c r="K1507" s="319">
        <f>IF(OR(NOT(ISNUMBER(G1507)),NOT(ISNUMBER(H1507)),G1507=0),"",H1507/G1507)</f>
        <v/>
      </c>
      <c r="L1507">
        <f>IF(NOT(ISNUMBER(G1507)),"SEM META",IF(G1507=0,"SEM META",IF(NOT(ISNUMBER(H1507)),"SEM APONTAMENTO",IF(H1507&gt;=G1507,"VERDE",IF(H1507&gt;=G1507*0.9,"AMARELO","VERMELHO")))))</f>
        <v/>
      </c>
      <c r="M1507" s="162" t="n"/>
      <c r="N1507" s="162" t="n"/>
      <c r="O1507" s="162" t="n"/>
      <c r="P1507" s="162" t="n"/>
      <c r="Q1507" s="320" t="n"/>
      <c r="R1507" s="162" t="inlineStr">
        <is>
          <t>CONTROLE PRODUÇÃO POR EMPRESAS!G256</t>
        </is>
      </c>
    </row>
    <row r="1508" ht="28.5" customHeight="1">
      <c r="A1508" s="317" t="n">
        <v>46474</v>
      </c>
      <c r="B1508" t="inlineStr">
        <is>
          <t>GERAL</t>
        </is>
      </c>
      <c r="C1508" t="inlineStr">
        <is>
          <t>EJ</t>
        </is>
      </c>
      <c r="D1508" t="inlineStr">
        <is>
          <t>PREMONTAGEM</t>
        </is>
      </c>
      <c r="F1508" s="159">
        <f>IFERROR(INDEX('BASE METAS DIÁRIAS'!$N$2:$S$358,MATCH($A1508,'BASE METAS DIÁRIAS'!$A$2:$A$358,0),MOD(ROW()-2,6)+1),"")</f>
        <v/>
      </c>
      <c r="G1508" s="159">
        <f>IFERROR(IF(WEEKDAY($A1508,2)&lt;=INDEX('BASE METAS DIÁRIAS'!$H$2:$M$358,MATCH($A1508,'BASE METAS DIÁRIAS'!$A$2:$A$358,0),MOD(ROW()-2,6)+1),INDEX('BASE METAS DIÁRIAS'!$B$2:$G$358,MATCH($A1508,'BASE METAS DIÁRIAS'!$A$2:$A$358,0),MOD(ROW()-2,6)+1),""),"")</f>
        <v/>
      </c>
      <c r="H1508" s="159">
        <f>IFERROR(IF(INDEX('CONTROLE PRODUÇÃO POR EMPRESAS'!$B$6:$G$5000,MATCH($A1508,'CONTROLE PRODUÇÃO POR EMPRESAS'!$A$6:$A$5000,0),MOD(ROW()-2,6)+1)="","",IFERROR(1*INDEX('CONTROLE PRODUÇÃO POR EMPRESAS'!$B$6:$G$5000,MATCH($A1508,'CONTROLE PRODUÇÃO POR EMPRESAS'!$A$6:$A$5000,0),MOD(ROW()-2,6)+1),"")),"")</f>
        <v/>
      </c>
      <c r="I1508" s="159">
        <f>IF(OR(NOT(ISNUMBER(G1508)),NOT(ISNUMBER(H1508))),"",H1508-G1508)</f>
        <v/>
      </c>
      <c r="J1508" s="319">
        <f>IF(OR(NOT(ISNUMBER(G1508)),NOT(ISNUMBER(H1508)),G1508=0),"",I1508/G1508)</f>
        <v/>
      </c>
      <c r="K1508" s="319">
        <f>IF(OR(NOT(ISNUMBER(G1508)),NOT(ISNUMBER(H1508)),G1508=0),"",H1508/G1508)</f>
        <v/>
      </c>
      <c r="L1508">
        <f>IF(NOT(ISNUMBER(G1508)),"SEM META",IF(G1508=0,"SEM META",IF(NOT(ISNUMBER(H1508)),"SEM APONTAMENTO",IF(H1508&gt;=G1508,"VERDE",IF(H1508&gt;=G1508*0.9,"AMARELO","VERMELHO")))))</f>
        <v/>
      </c>
      <c r="M1508" s="162" t="n"/>
      <c r="N1508" s="162" t="n"/>
      <c r="O1508" s="162" t="n"/>
      <c r="P1508" s="162" t="n"/>
      <c r="Q1508" s="320" t="n"/>
      <c r="R1508" s="162" t="inlineStr">
        <is>
          <t>CONTROLE PRODUÇÃO POR EMPRESAS!B257</t>
        </is>
      </c>
    </row>
    <row r="1509" ht="28.5" customHeight="1">
      <c r="A1509" s="317" t="n">
        <v>46474</v>
      </c>
      <c r="B1509" t="inlineStr">
        <is>
          <t>GERAL</t>
        </is>
      </c>
      <c r="C1509" t="inlineStr">
        <is>
          <t>EJ</t>
        </is>
      </c>
      <c r="D1509" t="inlineStr">
        <is>
          <t>IÇAMENTO JOIST</t>
        </is>
      </c>
      <c r="F1509" s="159">
        <f>IFERROR(INDEX('BASE METAS DIÁRIAS'!$N$2:$S$358,MATCH($A1509,'BASE METAS DIÁRIAS'!$A$2:$A$358,0),MOD(ROW()-2,6)+1),"")</f>
        <v/>
      </c>
      <c r="G1509" s="159">
        <f>IFERROR(IF(WEEKDAY($A1509,2)&lt;=INDEX('BASE METAS DIÁRIAS'!$H$2:$M$358,MATCH($A1509,'BASE METAS DIÁRIAS'!$A$2:$A$358,0),MOD(ROW()-2,6)+1),INDEX('BASE METAS DIÁRIAS'!$B$2:$G$358,MATCH($A1509,'BASE METAS DIÁRIAS'!$A$2:$A$358,0),MOD(ROW()-2,6)+1),""),"")</f>
        <v/>
      </c>
      <c r="H1509" s="159">
        <f>IFERROR(IF(INDEX('CONTROLE PRODUÇÃO POR EMPRESAS'!$B$6:$G$5000,MATCH($A1509,'CONTROLE PRODUÇÃO POR EMPRESAS'!$A$6:$A$5000,0),MOD(ROW()-2,6)+1)="","",IFERROR(1*INDEX('CONTROLE PRODUÇÃO POR EMPRESAS'!$B$6:$G$5000,MATCH($A1509,'CONTROLE PRODUÇÃO POR EMPRESAS'!$A$6:$A$5000,0),MOD(ROW()-2,6)+1),"")),"")</f>
        <v/>
      </c>
      <c r="I1509" s="159">
        <f>IF(OR(NOT(ISNUMBER(G1509)),NOT(ISNUMBER(H1509))),"",H1509-G1509)</f>
        <v/>
      </c>
      <c r="J1509" s="319">
        <f>IF(OR(NOT(ISNUMBER(G1509)),NOT(ISNUMBER(H1509)),G1509=0),"",I1509/G1509)</f>
        <v/>
      </c>
      <c r="K1509" s="319">
        <f>IF(OR(NOT(ISNUMBER(G1509)),NOT(ISNUMBER(H1509)),G1509=0),"",H1509/G1509)</f>
        <v/>
      </c>
      <c r="L1509">
        <f>IF(NOT(ISNUMBER(G1509)),"SEM META",IF(G1509=0,"SEM META",IF(NOT(ISNUMBER(H1509)),"SEM APONTAMENTO",IF(H1509&gt;=G1509,"VERDE",IF(H1509&gt;=G1509*0.9,"AMARELO","VERMELHO")))))</f>
        <v/>
      </c>
      <c r="M1509" s="162" t="n"/>
      <c r="N1509" s="162" t="n"/>
      <c r="O1509" s="162" t="n"/>
      <c r="P1509" s="162" t="n"/>
      <c r="Q1509" s="320" t="n"/>
      <c r="R1509" s="162" t="inlineStr">
        <is>
          <t>CONTROLE PRODUÇÃO POR EMPRESAS!C257</t>
        </is>
      </c>
    </row>
    <row r="1510" ht="28.5" customHeight="1">
      <c r="A1510" s="317" t="n">
        <v>46474</v>
      </c>
      <c r="B1510" t="inlineStr">
        <is>
          <t>GERAL</t>
        </is>
      </c>
      <c r="C1510" t="inlineStr">
        <is>
          <t>EJ</t>
        </is>
      </c>
      <c r="D1510" t="inlineStr">
        <is>
          <t>VIGAS</t>
        </is>
      </c>
      <c r="F1510" s="159">
        <f>IFERROR(INDEX('BASE METAS DIÁRIAS'!$N$2:$S$358,MATCH($A1510,'BASE METAS DIÁRIAS'!$A$2:$A$358,0),MOD(ROW()-2,6)+1),"")</f>
        <v/>
      </c>
      <c r="G1510" s="159">
        <f>IFERROR(IF(WEEKDAY($A1510,2)&lt;=INDEX('BASE METAS DIÁRIAS'!$H$2:$M$358,MATCH($A1510,'BASE METAS DIÁRIAS'!$A$2:$A$358,0),MOD(ROW()-2,6)+1),INDEX('BASE METAS DIÁRIAS'!$B$2:$G$358,MATCH($A1510,'BASE METAS DIÁRIAS'!$A$2:$A$358,0),MOD(ROW()-2,6)+1),""),"")</f>
        <v/>
      </c>
      <c r="H1510" s="159">
        <f>IFERROR(IF(INDEX('CONTROLE PRODUÇÃO POR EMPRESAS'!$B$6:$G$5000,MATCH($A1510,'CONTROLE PRODUÇÃO POR EMPRESAS'!$A$6:$A$5000,0),MOD(ROW()-2,6)+1)="","",IFERROR(1*INDEX('CONTROLE PRODUÇÃO POR EMPRESAS'!$B$6:$G$5000,MATCH($A1510,'CONTROLE PRODUÇÃO POR EMPRESAS'!$A$6:$A$5000,0),MOD(ROW()-2,6)+1),"")),"")</f>
        <v/>
      </c>
      <c r="I1510" s="159">
        <f>IF(OR(NOT(ISNUMBER(G1510)),NOT(ISNUMBER(H1510))),"",H1510-G1510)</f>
        <v/>
      </c>
      <c r="J1510" s="319">
        <f>IF(OR(NOT(ISNUMBER(G1510)),NOT(ISNUMBER(H1510)),G1510=0),"",I1510/G1510)</f>
        <v/>
      </c>
      <c r="K1510" s="319">
        <f>IF(OR(NOT(ISNUMBER(G1510)),NOT(ISNUMBER(H1510)),G1510=0),"",H1510/G1510)</f>
        <v/>
      </c>
      <c r="L1510">
        <f>IF(NOT(ISNUMBER(G1510)),"SEM META",IF(G1510=0,"SEM META",IF(NOT(ISNUMBER(H1510)),"SEM APONTAMENTO",IF(H1510&gt;=G1510,"VERDE",IF(H1510&gt;=G1510*0.9,"AMARELO","VERMELHO")))))</f>
        <v/>
      </c>
      <c r="M1510" s="162" t="n"/>
      <c r="N1510" s="162" t="n"/>
      <c r="O1510" s="162" t="n"/>
      <c r="P1510" s="162" t="n"/>
      <c r="Q1510" s="320" t="n"/>
      <c r="R1510" s="162" t="inlineStr">
        <is>
          <t>CONTROLE PRODUÇÃO POR EMPRESAS!D257</t>
        </is>
      </c>
    </row>
    <row r="1511" ht="28.5" customHeight="1">
      <c r="A1511" s="317" t="n">
        <v>46474</v>
      </c>
      <c r="B1511" t="inlineStr">
        <is>
          <t>GERAL</t>
        </is>
      </c>
      <c r="C1511" t="inlineStr">
        <is>
          <t>CMM</t>
        </is>
      </c>
      <c r="D1511" t="inlineStr">
        <is>
          <t>PREMONTAGEM</t>
        </is>
      </c>
      <c r="F1511" s="159">
        <f>IFERROR(INDEX('BASE METAS DIÁRIAS'!$N$2:$S$358,MATCH($A1511,'BASE METAS DIÁRIAS'!$A$2:$A$358,0),MOD(ROW()-2,6)+1),"")</f>
        <v/>
      </c>
      <c r="G1511" s="159">
        <f>IFERROR(IF(WEEKDAY($A1511,2)&lt;=INDEX('BASE METAS DIÁRIAS'!$H$2:$M$358,MATCH($A1511,'BASE METAS DIÁRIAS'!$A$2:$A$358,0),MOD(ROW()-2,6)+1),INDEX('BASE METAS DIÁRIAS'!$B$2:$G$358,MATCH($A1511,'BASE METAS DIÁRIAS'!$A$2:$A$358,0),MOD(ROW()-2,6)+1),""),"")</f>
        <v/>
      </c>
      <c r="H1511" s="159">
        <f>IFERROR(IF(INDEX('CONTROLE PRODUÇÃO POR EMPRESAS'!$B$6:$G$5000,MATCH($A1511,'CONTROLE PRODUÇÃO POR EMPRESAS'!$A$6:$A$5000,0),MOD(ROW()-2,6)+1)="","",IFERROR(1*INDEX('CONTROLE PRODUÇÃO POR EMPRESAS'!$B$6:$G$5000,MATCH($A1511,'CONTROLE PRODUÇÃO POR EMPRESAS'!$A$6:$A$5000,0),MOD(ROW()-2,6)+1),"")),"")</f>
        <v/>
      </c>
      <c r="I1511" s="159">
        <f>IF(OR(NOT(ISNUMBER(G1511)),NOT(ISNUMBER(H1511))),"",H1511-G1511)</f>
        <v/>
      </c>
      <c r="J1511" s="319">
        <f>IF(OR(NOT(ISNUMBER(G1511)),NOT(ISNUMBER(H1511)),G1511=0),"",I1511/G1511)</f>
        <v/>
      </c>
      <c r="K1511" s="319">
        <f>IF(OR(NOT(ISNUMBER(G1511)),NOT(ISNUMBER(H1511)),G1511=0),"",H1511/G1511)</f>
        <v/>
      </c>
      <c r="L1511">
        <f>IF(NOT(ISNUMBER(G1511)),"SEM META",IF(G1511=0,"SEM META",IF(NOT(ISNUMBER(H1511)),"SEM APONTAMENTO",IF(H1511&gt;=G1511,"VERDE",IF(H1511&gt;=G1511*0.9,"AMARELO","VERMELHO")))))</f>
        <v/>
      </c>
      <c r="M1511" s="162" t="n"/>
      <c r="N1511" s="162" t="n"/>
      <c r="O1511" s="162" t="n"/>
      <c r="P1511" s="162" t="n"/>
      <c r="Q1511" s="320" t="n"/>
      <c r="R1511" s="162" t="inlineStr">
        <is>
          <t>CONTROLE PRODUÇÃO POR EMPRESAS!E257</t>
        </is>
      </c>
    </row>
    <row r="1512" ht="28.5" customHeight="1">
      <c r="A1512" s="317" t="n">
        <v>46474</v>
      </c>
      <c r="B1512" t="inlineStr">
        <is>
          <t>GERAL</t>
        </is>
      </c>
      <c r="C1512" t="inlineStr">
        <is>
          <t>CMM</t>
        </is>
      </c>
      <c r="D1512" t="inlineStr">
        <is>
          <t>IÇAMENTO JOIST</t>
        </is>
      </c>
      <c r="F1512" s="159">
        <f>IFERROR(INDEX('BASE METAS DIÁRIAS'!$N$2:$S$358,MATCH($A1512,'BASE METAS DIÁRIAS'!$A$2:$A$358,0),MOD(ROW()-2,6)+1),"")</f>
        <v/>
      </c>
      <c r="G1512" s="159">
        <f>IFERROR(IF(WEEKDAY($A1512,2)&lt;=INDEX('BASE METAS DIÁRIAS'!$H$2:$M$358,MATCH($A1512,'BASE METAS DIÁRIAS'!$A$2:$A$358,0),MOD(ROW()-2,6)+1),INDEX('BASE METAS DIÁRIAS'!$B$2:$G$358,MATCH($A1512,'BASE METAS DIÁRIAS'!$A$2:$A$358,0),MOD(ROW()-2,6)+1),""),"")</f>
        <v/>
      </c>
      <c r="H1512" s="159">
        <f>IFERROR(IF(INDEX('CONTROLE PRODUÇÃO POR EMPRESAS'!$B$6:$G$5000,MATCH($A1512,'CONTROLE PRODUÇÃO POR EMPRESAS'!$A$6:$A$5000,0),MOD(ROW()-2,6)+1)="","",IFERROR(1*INDEX('CONTROLE PRODUÇÃO POR EMPRESAS'!$B$6:$G$5000,MATCH($A1512,'CONTROLE PRODUÇÃO POR EMPRESAS'!$A$6:$A$5000,0),MOD(ROW()-2,6)+1),"")),"")</f>
        <v/>
      </c>
      <c r="I1512" s="159">
        <f>IF(OR(NOT(ISNUMBER(G1512)),NOT(ISNUMBER(H1512))),"",H1512-G1512)</f>
        <v/>
      </c>
      <c r="J1512" s="319">
        <f>IF(OR(NOT(ISNUMBER(G1512)),NOT(ISNUMBER(H1512)),G1512=0),"",I1512/G1512)</f>
        <v/>
      </c>
      <c r="K1512" s="319">
        <f>IF(OR(NOT(ISNUMBER(G1512)),NOT(ISNUMBER(H1512)),G1512=0),"",H1512/G1512)</f>
        <v/>
      </c>
      <c r="L1512">
        <f>IF(NOT(ISNUMBER(G1512)),"SEM META",IF(G1512=0,"SEM META",IF(NOT(ISNUMBER(H1512)),"SEM APONTAMENTO",IF(H1512&gt;=G1512,"VERDE",IF(H1512&gt;=G1512*0.9,"AMARELO","VERMELHO")))))</f>
        <v/>
      </c>
      <c r="M1512" s="162" t="n"/>
      <c r="N1512" s="162" t="n"/>
      <c r="O1512" s="162" t="n"/>
      <c r="P1512" s="162" t="n"/>
      <c r="Q1512" s="320" t="n"/>
      <c r="R1512" s="162" t="inlineStr">
        <is>
          <t>CONTROLE PRODUÇÃO POR EMPRESAS!F257</t>
        </is>
      </c>
    </row>
    <row r="1513" ht="28.5" customHeight="1">
      <c r="A1513" s="317" t="n">
        <v>46474</v>
      </c>
      <c r="B1513" t="inlineStr">
        <is>
          <t>GERAL</t>
        </is>
      </c>
      <c r="C1513" t="inlineStr">
        <is>
          <t>CMM</t>
        </is>
      </c>
      <c r="D1513" t="inlineStr">
        <is>
          <t>VIGAS</t>
        </is>
      </c>
      <c r="F1513" s="159">
        <f>IFERROR(INDEX('BASE METAS DIÁRIAS'!$N$2:$S$358,MATCH($A1513,'BASE METAS DIÁRIAS'!$A$2:$A$358,0),MOD(ROW()-2,6)+1),"")</f>
        <v/>
      </c>
      <c r="G1513" s="159">
        <f>IFERROR(IF(WEEKDAY($A1513,2)&lt;=INDEX('BASE METAS DIÁRIAS'!$H$2:$M$358,MATCH($A1513,'BASE METAS DIÁRIAS'!$A$2:$A$358,0),MOD(ROW()-2,6)+1),INDEX('BASE METAS DIÁRIAS'!$B$2:$G$358,MATCH($A1513,'BASE METAS DIÁRIAS'!$A$2:$A$358,0),MOD(ROW()-2,6)+1),""),"")</f>
        <v/>
      </c>
      <c r="H1513" s="159">
        <f>IFERROR(IF(INDEX('CONTROLE PRODUÇÃO POR EMPRESAS'!$B$6:$G$5000,MATCH($A1513,'CONTROLE PRODUÇÃO POR EMPRESAS'!$A$6:$A$5000,0),MOD(ROW()-2,6)+1)="","",IFERROR(1*INDEX('CONTROLE PRODUÇÃO POR EMPRESAS'!$B$6:$G$5000,MATCH($A1513,'CONTROLE PRODUÇÃO POR EMPRESAS'!$A$6:$A$5000,0),MOD(ROW()-2,6)+1),"")),"")</f>
        <v/>
      </c>
      <c r="I1513" s="159">
        <f>IF(OR(NOT(ISNUMBER(G1513)),NOT(ISNUMBER(H1513))),"",H1513-G1513)</f>
        <v/>
      </c>
      <c r="J1513" s="319">
        <f>IF(OR(NOT(ISNUMBER(G1513)),NOT(ISNUMBER(H1513)),G1513=0),"",I1513/G1513)</f>
        <v/>
      </c>
      <c r="K1513" s="319">
        <f>IF(OR(NOT(ISNUMBER(G1513)),NOT(ISNUMBER(H1513)),G1513=0),"",H1513/G1513)</f>
        <v/>
      </c>
      <c r="L1513">
        <f>IF(NOT(ISNUMBER(G1513)),"SEM META",IF(G1513=0,"SEM META",IF(NOT(ISNUMBER(H1513)),"SEM APONTAMENTO",IF(H1513&gt;=G1513,"VERDE",IF(H1513&gt;=G1513*0.9,"AMARELO","VERMELHO")))))</f>
        <v/>
      </c>
      <c r="M1513" s="162" t="n"/>
      <c r="N1513" s="162" t="n"/>
      <c r="O1513" s="162" t="n"/>
      <c r="P1513" s="162" t="n"/>
      <c r="Q1513" s="320" t="n"/>
      <c r="R1513" s="162" t="inlineStr">
        <is>
          <t>CONTROLE PRODUÇÃO POR EMPRESAS!G257</t>
        </is>
      </c>
    </row>
    <row r="1514" ht="28.5" customHeight="1">
      <c r="A1514" s="317" t="n">
        <v>46475</v>
      </c>
      <c r="B1514" t="inlineStr">
        <is>
          <t>GERAL</t>
        </is>
      </c>
      <c r="C1514" t="inlineStr">
        <is>
          <t>EJ</t>
        </is>
      </c>
      <c r="D1514" t="inlineStr">
        <is>
          <t>PREMONTAGEM</t>
        </is>
      </c>
      <c r="F1514" s="159">
        <f>IFERROR(INDEX('BASE METAS DIÁRIAS'!$N$2:$S$358,MATCH($A1514,'BASE METAS DIÁRIAS'!$A$2:$A$358,0),MOD(ROW()-2,6)+1),"")</f>
        <v/>
      </c>
      <c r="G1514" s="159">
        <f>IFERROR(IF(WEEKDAY($A1514,2)&lt;=INDEX('BASE METAS DIÁRIAS'!$H$2:$M$358,MATCH($A1514,'BASE METAS DIÁRIAS'!$A$2:$A$358,0),MOD(ROW()-2,6)+1),INDEX('BASE METAS DIÁRIAS'!$B$2:$G$358,MATCH($A1514,'BASE METAS DIÁRIAS'!$A$2:$A$358,0),MOD(ROW()-2,6)+1),""),"")</f>
        <v/>
      </c>
      <c r="H1514" s="159">
        <f>IFERROR(IF(INDEX('CONTROLE PRODUÇÃO POR EMPRESAS'!$B$6:$G$5000,MATCH($A1514,'CONTROLE PRODUÇÃO POR EMPRESAS'!$A$6:$A$5000,0),MOD(ROW()-2,6)+1)="","",IFERROR(1*INDEX('CONTROLE PRODUÇÃO POR EMPRESAS'!$B$6:$G$5000,MATCH($A1514,'CONTROLE PRODUÇÃO POR EMPRESAS'!$A$6:$A$5000,0),MOD(ROW()-2,6)+1),"")),"")</f>
        <v/>
      </c>
      <c r="I1514" s="159">
        <f>IF(OR(NOT(ISNUMBER(G1514)),NOT(ISNUMBER(H1514))),"",H1514-G1514)</f>
        <v/>
      </c>
      <c r="J1514" s="319">
        <f>IF(OR(NOT(ISNUMBER(G1514)),NOT(ISNUMBER(H1514)),G1514=0),"",I1514/G1514)</f>
        <v/>
      </c>
      <c r="K1514" s="319">
        <f>IF(OR(NOT(ISNUMBER(G1514)),NOT(ISNUMBER(H1514)),G1514=0),"",H1514/G1514)</f>
        <v/>
      </c>
      <c r="L1514">
        <f>IF(NOT(ISNUMBER(G1514)),"SEM META",IF(G1514=0,"SEM META",IF(NOT(ISNUMBER(H1514)),"SEM APONTAMENTO",IF(H1514&gt;=G1514,"VERDE",IF(H1514&gt;=G1514*0.9,"AMARELO","VERMELHO")))))</f>
        <v/>
      </c>
      <c r="M1514" s="162" t="n"/>
      <c r="N1514" s="162" t="n"/>
      <c r="O1514" s="162" t="n"/>
      <c r="P1514" s="162" t="n"/>
      <c r="Q1514" s="320" t="n"/>
      <c r="R1514" s="162" t="inlineStr">
        <is>
          <t>CONTROLE PRODUÇÃO POR EMPRESAS!B258</t>
        </is>
      </c>
    </row>
    <row r="1515" ht="28.5" customHeight="1">
      <c r="A1515" s="317" t="n">
        <v>46475</v>
      </c>
      <c r="B1515" t="inlineStr">
        <is>
          <t>GERAL</t>
        </is>
      </c>
      <c r="C1515" t="inlineStr">
        <is>
          <t>EJ</t>
        </is>
      </c>
      <c r="D1515" t="inlineStr">
        <is>
          <t>IÇAMENTO JOIST</t>
        </is>
      </c>
      <c r="F1515" s="159">
        <f>IFERROR(INDEX('BASE METAS DIÁRIAS'!$N$2:$S$358,MATCH($A1515,'BASE METAS DIÁRIAS'!$A$2:$A$358,0),MOD(ROW()-2,6)+1),"")</f>
        <v/>
      </c>
      <c r="G1515" s="159">
        <f>IFERROR(IF(WEEKDAY($A1515,2)&lt;=INDEX('BASE METAS DIÁRIAS'!$H$2:$M$358,MATCH($A1515,'BASE METAS DIÁRIAS'!$A$2:$A$358,0),MOD(ROW()-2,6)+1),INDEX('BASE METAS DIÁRIAS'!$B$2:$G$358,MATCH($A1515,'BASE METAS DIÁRIAS'!$A$2:$A$358,0),MOD(ROW()-2,6)+1),""),"")</f>
        <v/>
      </c>
      <c r="H1515" s="159">
        <f>IFERROR(IF(INDEX('CONTROLE PRODUÇÃO POR EMPRESAS'!$B$6:$G$5000,MATCH($A1515,'CONTROLE PRODUÇÃO POR EMPRESAS'!$A$6:$A$5000,0),MOD(ROW()-2,6)+1)="","",IFERROR(1*INDEX('CONTROLE PRODUÇÃO POR EMPRESAS'!$B$6:$G$5000,MATCH($A1515,'CONTROLE PRODUÇÃO POR EMPRESAS'!$A$6:$A$5000,0),MOD(ROW()-2,6)+1),"")),"")</f>
        <v/>
      </c>
      <c r="I1515" s="159">
        <f>IF(OR(NOT(ISNUMBER(G1515)),NOT(ISNUMBER(H1515))),"",H1515-G1515)</f>
        <v/>
      </c>
      <c r="J1515" s="319">
        <f>IF(OR(NOT(ISNUMBER(G1515)),NOT(ISNUMBER(H1515)),G1515=0),"",I1515/G1515)</f>
        <v/>
      </c>
      <c r="K1515" s="319">
        <f>IF(OR(NOT(ISNUMBER(G1515)),NOT(ISNUMBER(H1515)),G1515=0),"",H1515/G1515)</f>
        <v/>
      </c>
      <c r="L1515">
        <f>IF(NOT(ISNUMBER(G1515)),"SEM META",IF(G1515=0,"SEM META",IF(NOT(ISNUMBER(H1515)),"SEM APONTAMENTO",IF(H1515&gt;=G1515,"VERDE",IF(H1515&gt;=G1515*0.9,"AMARELO","VERMELHO")))))</f>
        <v/>
      </c>
      <c r="M1515" s="162" t="n"/>
      <c r="N1515" s="162" t="n"/>
      <c r="O1515" s="162" t="n"/>
      <c r="P1515" s="162" t="n"/>
      <c r="Q1515" s="320" t="n"/>
      <c r="R1515" s="162" t="inlineStr">
        <is>
          <t>CONTROLE PRODUÇÃO POR EMPRESAS!C258</t>
        </is>
      </c>
    </row>
    <row r="1516" ht="28.5" customHeight="1">
      <c r="A1516" s="317" t="n">
        <v>46475</v>
      </c>
      <c r="B1516" t="inlineStr">
        <is>
          <t>GERAL</t>
        </is>
      </c>
      <c r="C1516" t="inlineStr">
        <is>
          <t>EJ</t>
        </is>
      </c>
      <c r="D1516" t="inlineStr">
        <is>
          <t>VIGAS</t>
        </is>
      </c>
      <c r="F1516" s="159">
        <f>IFERROR(INDEX('BASE METAS DIÁRIAS'!$N$2:$S$358,MATCH($A1516,'BASE METAS DIÁRIAS'!$A$2:$A$358,0),MOD(ROW()-2,6)+1),"")</f>
        <v/>
      </c>
      <c r="G1516" s="159">
        <f>IFERROR(IF(WEEKDAY($A1516,2)&lt;=INDEX('BASE METAS DIÁRIAS'!$H$2:$M$358,MATCH($A1516,'BASE METAS DIÁRIAS'!$A$2:$A$358,0),MOD(ROW()-2,6)+1),INDEX('BASE METAS DIÁRIAS'!$B$2:$G$358,MATCH($A1516,'BASE METAS DIÁRIAS'!$A$2:$A$358,0),MOD(ROW()-2,6)+1),""),"")</f>
        <v/>
      </c>
      <c r="H1516" s="159">
        <f>IFERROR(IF(INDEX('CONTROLE PRODUÇÃO POR EMPRESAS'!$B$6:$G$5000,MATCH($A1516,'CONTROLE PRODUÇÃO POR EMPRESAS'!$A$6:$A$5000,0),MOD(ROW()-2,6)+1)="","",IFERROR(1*INDEX('CONTROLE PRODUÇÃO POR EMPRESAS'!$B$6:$G$5000,MATCH($A1516,'CONTROLE PRODUÇÃO POR EMPRESAS'!$A$6:$A$5000,0),MOD(ROW()-2,6)+1),"")),"")</f>
        <v/>
      </c>
      <c r="I1516" s="159">
        <f>IF(OR(NOT(ISNUMBER(G1516)),NOT(ISNUMBER(H1516))),"",H1516-G1516)</f>
        <v/>
      </c>
      <c r="J1516" s="319">
        <f>IF(OR(NOT(ISNUMBER(G1516)),NOT(ISNUMBER(H1516)),G1516=0),"",I1516/G1516)</f>
        <v/>
      </c>
      <c r="K1516" s="319">
        <f>IF(OR(NOT(ISNUMBER(G1516)),NOT(ISNUMBER(H1516)),G1516=0),"",H1516/G1516)</f>
        <v/>
      </c>
      <c r="L1516">
        <f>IF(NOT(ISNUMBER(G1516)),"SEM META",IF(G1516=0,"SEM META",IF(NOT(ISNUMBER(H1516)),"SEM APONTAMENTO",IF(H1516&gt;=G1516,"VERDE",IF(H1516&gt;=G1516*0.9,"AMARELO","VERMELHO")))))</f>
        <v/>
      </c>
      <c r="M1516" s="162" t="n"/>
      <c r="N1516" s="162" t="n"/>
      <c r="O1516" s="162" t="n"/>
      <c r="P1516" s="162" t="n"/>
      <c r="Q1516" s="320" t="n"/>
      <c r="R1516" s="162" t="inlineStr">
        <is>
          <t>CONTROLE PRODUÇÃO POR EMPRESAS!D258</t>
        </is>
      </c>
    </row>
    <row r="1517" ht="28.5" customHeight="1">
      <c r="A1517" s="317" t="n">
        <v>46475</v>
      </c>
      <c r="B1517" t="inlineStr">
        <is>
          <t>GERAL</t>
        </is>
      </c>
      <c r="C1517" t="inlineStr">
        <is>
          <t>CMM</t>
        </is>
      </c>
      <c r="D1517" t="inlineStr">
        <is>
          <t>PREMONTAGEM</t>
        </is>
      </c>
      <c r="F1517" s="159">
        <f>IFERROR(INDEX('BASE METAS DIÁRIAS'!$N$2:$S$358,MATCH($A1517,'BASE METAS DIÁRIAS'!$A$2:$A$358,0),MOD(ROW()-2,6)+1),"")</f>
        <v/>
      </c>
      <c r="G1517" s="159">
        <f>IFERROR(IF(WEEKDAY($A1517,2)&lt;=INDEX('BASE METAS DIÁRIAS'!$H$2:$M$358,MATCH($A1517,'BASE METAS DIÁRIAS'!$A$2:$A$358,0),MOD(ROW()-2,6)+1),INDEX('BASE METAS DIÁRIAS'!$B$2:$G$358,MATCH($A1517,'BASE METAS DIÁRIAS'!$A$2:$A$358,0),MOD(ROW()-2,6)+1),""),"")</f>
        <v/>
      </c>
      <c r="H1517" s="159">
        <f>IFERROR(IF(INDEX('CONTROLE PRODUÇÃO POR EMPRESAS'!$B$6:$G$5000,MATCH($A1517,'CONTROLE PRODUÇÃO POR EMPRESAS'!$A$6:$A$5000,0),MOD(ROW()-2,6)+1)="","",IFERROR(1*INDEX('CONTROLE PRODUÇÃO POR EMPRESAS'!$B$6:$G$5000,MATCH($A1517,'CONTROLE PRODUÇÃO POR EMPRESAS'!$A$6:$A$5000,0),MOD(ROW()-2,6)+1),"")),"")</f>
        <v/>
      </c>
      <c r="I1517" s="159">
        <f>IF(OR(NOT(ISNUMBER(G1517)),NOT(ISNUMBER(H1517))),"",H1517-G1517)</f>
        <v/>
      </c>
      <c r="J1517" s="319">
        <f>IF(OR(NOT(ISNUMBER(G1517)),NOT(ISNUMBER(H1517)),G1517=0),"",I1517/G1517)</f>
        <v/>
      </c>
      <c r="K1517" s="319">
        <f>IF(OR(NOT(ISNUMBER(G1517)),NOT(ISNUMBER(H1517)),G1517=0),"",H1517/G1517)</f>
        <v/>
      </c>
      <c r="L1517">
        <f>IF(NOT(ISNUMBER(G1517)),"SEM META",IF(G1517=0,"SEM META",IF(NOT(ISNUMBER(H1517)),"SEM APONTAMENTO",IF(H1517&gt;=G1517,"VERDE",IF(H1517&gt;=G1517*0.9,"AMARELO","VERMELHO")))))</f>
        <v/>
      </c>
      <c r="M1517" s="162" t="n"/>
      <c r="N1517" s="162" t="n"/>
      <c r="O1517" s="162" t="n"/>
      <c r="P1517" s="162" t="n"/>
      <c r="Q1517" s="320" t="n"/>
      <c r="R1517" s="162" t="inlineStr">
        <is>
          <t>CONTROLE PRODUÇÃO POR EMPRESAS!E258</t>
        </is>
      </c>
    </row>
    <row r="1518" ht="28.5" customHeight="1">
      <c r="A1518" s="317" t="n">
        <v>46475</v>
      </c>
      <c r="B1518" t="inlineStr">
        <is>
          <t>GERAL</t>
        </is>
      </c>
      <c r="C1518" t="inlineStr">
        <is>
          <t>CMM</t>
        </is>
      </c>
      <c r="D1518" t="inlineStr">
        <is>
          <t>IÇAMENTO JOIST</t>
        </is>
      </c>
      <c r="F1518" s="159">
        <f>IFERROR(INDEX('BASE METAS DIÁRIAS'!$N$2:$S$358,MATCH($A1518,'BASE METAS DIÁRIAS'!$A$2:$A$358,0),MOD(ROW()-2,6)+1),"")</f>
        <v/>
      </c>
      <c r="G1518" s="159">
        <f>IFERROR(IF(WEEKDAY($A1518,2)&lt;=INDEX('BASE METAS DIÁRIAS'!$H$2:$M$358,MATCH($A1518,'BASE METAS DIÁRIAS'!$A$2:$A$358,0),MOD(ROW()-2,6)+1),INDEX('BASE METAS DIÁRIAS'!$B$2:$G$358,MATCH($A1518,'BASE METAS DIÁRIAS'!$A$2:$A$358,0),MOD(ROW()-2,6)+1),""),"")</f>
        <v/>
      </c>
      <c r="H1518" s="159">
        <f>IFERROR(IF(INDEX('CONTROLE PRODUÇÃO POR EMPRESAS'!$B$6:$G$5000,MATCH($A1518,'CONTROLE PRODUÇÃO POR EMPRESAS'!$A$6:$A$5000,0),MOD(ROW()-2,6)+1)="","",IFERROR(1*INDEX('CONTROLE PRODUÇÃO POR EMPRESAS'!$B$6:$G$5000,MATCH($A1518,'CONTROLE PRODUÇÃO POR EMPRESAS'!$A$6:$A$5000,0),MOD(ROW()-2,6)+1),"")),"")</f>
        <v/>
      </c>
      <c r="I1518" s="159">
        <f>IF(OR(NOT(ISNUMBER(G1518)),NOT(ISNUMBER(H1518))),"",H1518-G1518)</f>
        <v/>
      </c>
      <c r="J1518" s="319">
        <f>IF(OR(NOT(ISNUMBER(G1518)),NOT(ISNUMBER(H1518)),G1518=0),"",I1518/G1518)</f>
        <v/>
      </c>
      <c r="K1518" s="319">
        <f>IF(OR(NOT(ISNUMBER(G1518)),NOT(ISNUMBER(H1518)),G1518=0),"",H1518/G1518)</f>
        <v/>
      </c>
      <c r="L1518">
        <f>IF(NOT(ISNUMBER(G1518)),"SEM META",IF(G1518=0,"SEM META",IF(NOT(ISNUMBER(H1518)),"SEM APONTAMENTO",IF(H1518&gt;=G1518,"VERDE",IF(H1518&gt;=G1518*0.9,"AMARELO","VERMELHO")))))</f>
        <v/>
      </c>
      <c r="M1518" s="162" t="n"/>
      <c r="N1518" s="162" t="n"/>
      <c r="O1518" s="162" t="n"/>
      <c r="P1518" s="162" t="n"/>
      <c r="Q1518" s="320" t="n"/>
      <c r="R1518" s="162" t="inlineStr">
        <is>
          <t>CONTROLE PRODUÇÃO POR EMPRESAS!F258</t>
        </is>
      </c>
    </row>
    <row r="1519" ht="28.5" customHeight="1">
      <c r="A1519" s="317" t="n">
        <v>46475</v>
      </c>
      <c r="B1519" t="inlineStr">
        <is>
          <t>GERAL</t>
        </is>
      </c>
      <c r="C1519" t="inlineStr">
        <is>
          <t>CMM</t>
        </is>
      </c>
      <c r="D1519" t="inlineStr">
        <is>
          <t>VIGAS</t>
        </is>
      </c>
      <c r="F1519" s="159">
        <f>IFERROR(INDEX('BASE METAS DIÁRIAS'!$N$2:$S$358,MATCH($A1519,'BASE METAS DIÁRIAS'!$A$2:$A$358,0),MOD(ROW()-2,6)+1),"")</f>
        <v/>
      </c>
      <c r="G1519" s="159">
        <f>IFERROR(IF(WEEKDAY($A1519,2)&lt;=INDEX('BASE METAS DIÁRIAS'!$H$2:$M$358,MATCH($A1519,'BASE METAS DIÁRIAS'!$A$2:$A$358,0),MOD(ROW()-2,6)+1),INDEX('BASE METAS DIÁRIAS'!$B$2:$G$358,MATCH($A1519,'BASE METAS DIÁRIAS'!$A$2:$A$358,0),MOD(ROW()-2,6)+1),""),"")</f>
        <v/>
      </c>
      <c r="H1519" s="159">
        <f>IFERROR(IF(INDEX('CONTROLE PRODUÇÃO POR EMPRESAS'!$B$6:$G$5000,MATCH($A1519,'CONTROLE PRODUÇÃO POR EMPRESAS'!$A$6:$A$5000,0),MOD(ROW()-2,6)+1)="","",IFERROR(1*INDEX('CONTROLE PRODUÇÃO POR EMPRESAS'!$B$6:$G$5000,MATCH($A1519,'CONTROLE PRODUÇÃO POR EMPRESAS'!$A$6:$A$5000,0),MOD(ROW()-2,6)+1),"")),"")</f>
        <v/>
      </c>
      <c r="I1519" s="159">
        <f>IF(OR(NOT(ISNUMBER(G1519)),NOT(ISNUMBER(H1519))),"",H1519-G1519)</f>
        <v/>
      </c>
      <c r="J1519" s="319">
        <f>IF(OR(NOT(ISNUMBER(G1519)),NOT(ISNUMBER(H1519)),G1519=0),"",I1519/G1519)</f>
        <v/>
      </c>
      <c r="K1519" s="319">
        <f>IF(OR(NOT(ISNUMBER(G1519)),NOT(ISNUMBER(H1519)),G1519=0),"",H1519/G1519)</f>
        <v/>
      </c>
      <c r="L1519">
        <f>IF(NOT(ISNUMBER(G1519)),"SEM META",IF(G1519=0,"SEM META",IF(NOT(ISNUMBER(H1519)),"SEM APONTAMENTO",IF(H1519&gt;=G1519,"VERDE",IF(H1519&gt;=G1519*0.9,"AMARELO","VERMELHO")))))</f>
        <v/>
      </c>
      <c r="M1519" s="162" t="n"/>
      <c r="N1519" s="162" t="n"/>
      <c r="O1519" s="162" t="n"/>
      <c r="P1519" s="162" t="n"/>
      <c r="Q1519" s="320" t="n"/>
      <c r="R1519" s="162" t="inlineStr">
        <is>
          <t>CONTROLE PRODUÇÃO POR EMPRESAS!G258</t>
        </is>
      </c>
    </row>
    <row r="1520" ht="28.5" customHeight="1">
      <c r="A1520" s="317" t="n">
        <v>46476</v>
      </c>
      <c r="B1520" t="inlineStr">
        <is>
          <t>GERAL</t>
        </is>
      </c>
      <c r="C1520" t="inlineStr">
        <is>
          <t>EJ</t>
        </is>
      </c>
      <c r="D1520" t="inlineStr">
        <is>
          <t>PREMONTAGEM</t>
        </is>
      </c>
      <c r="F1520" s="159">
        <f>IFERROR(INDEX('BASE METAS DIÁRIAS'!$N$2:$S$358,MATCH($A1520,'BASE METAS DIÁRIAS'!$A$2:$A$358,0),MOD(ROW()-2,6)+1),"")</f>
        <v/>
      </c>
      <c r="G1520" s="159">
        <f>IFERROR(IF(WEEKDAY($A1520,2)&lt;=INDEX('BASE METAS DIÁRIAS'!$H$2:$M$358,MATCH($A1520,'BASE METAS DIÁRIAS'!$A$2:$A$358,0),MOD(ROW()-2,6)+1),INDEX('BASE METAS DIÁRIAS'!$B$2:$G$358,MATCH($A1520,'BASE METAS DIÁRIAS'!$A$2:$A$358,0),MOD(ROW()-2,6)+1),""),"")</f>
        <v/>
      </c>
      <c r="H1520" s="159">
        <f>IFERROR(IF(INDEX('CONTROLE PRODUÇÃO POR EMPRESAS'!$B$6:$G$5000,MATCH($A1520,'CONTROLE PRODUÇÃO POR EMPRESAS'!$A$6:$A$5000,0),MOD(ROW()-2,6)+1)="","",IFERROR(1*INDEX('CONTROLE PRODUÇÃO POR EMPRESAS'!$B$6:$G$5000,MATCH($A1520,'CONTROLE PRODUÇÃO POR EMPRESAS'!$A$6:$A$5000,0),MOD(ROW()-2,6)+1),"")),"")</f>
        <v/>
      </c>
      <c r="I1520" s="159">
        <f>IF(OR(NOT(ISNUMBER(G1520)),NOT(ISNUMBER(H1520))),"",H1520-G1520)</f>
        <v/>
      </c>
      <c r="J1520" s="319">
        <f>IF(OR(NOT(ISNUMBER(G1520)),NOT(ISNUMBER(H1520)),G1520=0),"",I1520/G1520)</f>
        <v/>
      </c>
      <c r="K1520" s="319">
        <f>IF(OR(NOT(ISNUMBER(G1520)),NOT(ISNUMBER(H1520)),G1520=0),"",H1520/G1520)</f>
        <v/>
      </c>
      <c r="L1520">
        <f>IF(NOT(ISNUMBER(G1520)),"SEM META",IF(G1520=0,"SEM META",IF(NOT(ISNUMBER(H1520)),"SEM APONTAMENTO",IF(H1520&gt;=G1520,"VERDE",IF(H1520&gt;=G1520*0.9,"AMARELO","VERMELHO")))))</f>
        <v/>
      </c>
      <c r="M1520" s="162" t="n"/>
      <c r="N1520" s="162" t="n"/>
      <c r="O1520" s="162" t="n"/>
      <c r="P1520" s="162" t="n"/>
      <c r="Q1520" s="320" t="n"/>
      <c r="R1520" s="162" t="inlineStr">
        <is>
          <t>CONTROLE PRODUÇÃO POR EMPRESAS!B259</t>
        </is>
      </c>
    </row>
    <row r="1521" ht="28.5" customHeight="1">
      <c r="A1521" s="317" t="n">
        <v>46476</v>
      </c>
      <c r="B1521" t="inlineStr">
        <is>
          <t>GERAL</t>
        </is>
      </c>
      <c r="C1521" t="inlineStr">
        <is>
          <t>EJ</t>
        </is>
      </c>
      <c r="D1521" t="inlineStr">
        <is>
          <t>IÇAMENTO JOIST</t>
        </is>
      </c>
      <c r="F1521" s="159">
        <f>IFERROR(INDEX('BASE METAS DIÁRIAS'!$N$2:$S$358,MATCH($A1521,'BASE METAS DIÁRIAS'!$A$2:$A$358,0),MOD(ROW()-2,6)+1),"")</f>
        <v/>
      </c>
      <c r="G1521" s="159">
        <f>IFERROR(IF(WEEKDAY($A1521,2)&lt;=INDEX('BASE METAS DIÁRIAS'!$H$2:$M$358,MATCH($A1521,'BASE METAS DIÁRIAS'!$A$2:$A$358,0),MOD(ROW()-2,6)+1),INDEX('BASE METAS DIÁRIAS'!$B$2:$G$358,MATCH($A1521,'BASE METAS DIÁRIAS'!$A$2:$A$358,0),MOD(ROW()-2,6)+1),""),"")</f>
        <v/>
      </c>
      <c r="H1521" s="159">
        <f>IFERROR(IF(INDEX('CONTROLE PRODUÇÃO POR EMPRESAS'!$B$6:$G$5000,MATCH($A1521,'CONTROLE PRODUÇÃO POR EMPRESAS'!$A$6:$A$5000,0),MOD(ROW()-2,6)+1)="","",IFERROR(1*INDEX('CONTROLE PRODUÇÃO POR EMPRESAS'!$B$6:$G$5000,MATCH($A1521,'CONTROLE PRODUÇÃO POR EMPRESAS'!$A$6:$A$5000,0),MOD(ROW()-2,6)+1),"")),"")</f>
        <v/>
      </c>
      <c r="I1521" s="159">
        <f>IF(OR(NOT(ISNUMBER(G1521)),NOT(ISNUMBER(H1521))),"",H1521-G1521)</f>
        <v/>
      </c>
      <c r="J1521" s="319">
        <f>IF(OR(NOT(ISNUMBER(G1521)),NOT(ISNUMBER(H1521)),G1521=0),"",I1521/G1521)</f>
        <v/>
      </c>
      <c r="K1521" s="319">
        <f>IF(OR(NOT(ISNUMBER(G1521)),NOT(ISNUMBER(H1521)),G1521=0),"",H1521/G1521)</f>
        <v/>
      </c>
      <c r="L1521">
        <f>IF(NOT(ISNUMBER(G1521)),"SEM META",IF(G1521=0,"SEM META",IF(NOT(ISNUMBER(H1521)),"SEM APONTAMENTO",IF(H1521&gt;=G1521,"VERDE",IF(H1521&gt;=G1521*0.9,"AMARELO","VERMELHO")))))</f>
        <v/>
      </c>
      <c r="M1521" s="162" t="n"/>
      <c r="N1521" s="162" t="n"/>
      <c r="O1521" s="162" t="n"/>
      <c r="P1521" s="162" t="n"/>
      <c r="Q1521" s="320" t="n"/>
      <c r="R1521" s="162" t="inlineStr">
        <is>
          <t>CONTROLE PRODUÇÃO POR EMPRESAS!C259</t>
        </is>
      </c>
    </row>
    <row r="1522" ht="28.5" customHeight="1">
      <c r="A1522" s="317" t="n">
        <v>46476</v>
      </c>
      <c r="B1522" t="inlineStr">
        <is>
          <t>GERAL</t>
        </is>
      </c>
      <c r="C1522" t="inlineStr">
        <is>
          <t>EJ</t>
        </is>
      </c>
      <c r="D1522" t="inlineStr">
        <is>
          <t>VIGAS</t>
        </is>
      </c>
      <c r="F1522" s="159">
        <f>IFERROR(INDEX('BASE METAS DIÁRIAS'!$N$2:$S$358,MATCH($A1522,'BASE METAS DIÁRIAS'!$A$2:$A$358,0),MOD(ROW()-2,6)+1),"")</f>
        <v/>
      </c>
      <c r="G1522" s="159">
        <f>IFERROR(IF(WEEKDAY($A1522,2)&lt;=INDEX('BASE METAS DIÁRIAS'!$H$2:$M$358,MATCH($A1522,'BASE METAS DIÁRIAS'!$A$2:$A$358,0),MOD(ROW()-2,6)+1),INDEX('BASE METAS DIÁRIAS'!$B$2:$G$358,MATCH($A1522,'BASE METAS DIÁRIAS'!$A$2:$A$358,0),MOD(ROW()-2,6)+1),""),"")</f>
        <v/>
      </c>
      <c r="H1522" s="159">
        <f>IFERROR(IF(INDEX('CONTROLE PRODUÇÃO POR EMPRESAS'!$B$6:$G$5000,MATCH($A1522,'CONTROLE PRODUÇÃO POR EMPRESAS'!$A$6:$A$5000,0),MOD(ROW()-2,6)+1)="","",IFERROR(1*INDEX('CONTROLE PRODUÇÃO POR EMPRESAS'!$B$6:$G$5000,MATCH($A1522,'CONTROLE PRODUÇÃO POR EMPRESAS'!$A$6:$A$5000,0),MOD(ROW()-2,6)+1),"")),"")</f>
        <v/>
      </c>
      <c r="I1522" s="159">
        <f>IF(OR(NOT(ISNUMBER(G1522)),NOT(ISNUMBER(H1522))),"",H1522-G1522)</f>
        <v/>
      </c>
      <c r="J1522" s="319">
        <f>IF(OR(NOT(ISNUMBER(G1522)),NOT(ISNUMBER(H1522)),G1522=0),"",I1522/G1522)</f>
        <v/>
      </c>
      <c r="K1522" s="319">
        <f>IF(OR(NOT(ISNUMBER(G1522)),NOT(ISNUMBER(H1522)),G1522=0),"",H1522/G1522)</f>
        <v/>
      </c>
      <c r="L1522">
        <f>IF(NOT(ISNUMBER(G1522)),"SEM META",IF(G1522=0,"SEM META",IF(NOT(ISNUMBER(H1522)),"SEM APONTAMENTO",IF(H1522&gt;=G1522,"VERDE",IF(H1522&gt;=G1522*0.9,"AMARELO","VERMELHO")))))</f>
        <v/>
      </c>
      <c r="M1522" s="162" t="n"/>
      <c r="N1522" s="162" t="n"/>
      <c r="O1522" s="162" t="n"/>
      <c r="P1522" s="162" t="n"/>
      <c r="Q1522" s="320" t="n"/>
      <c r="R1522" s="162" t="inlineStr">
        <is>
          <t>CONTROLE PRODUÇÃO POR EMPRESAS!D259</t>
        </is>
      </c>
    </row>
    <row r="1523" ht="28.5" customHeight="1">
      <c r="A1523" s="317" t="n">
        <v>46476</v>
      </c>
      <c r="B1523" t="inlineStr">
        <is>
          <t>GERAL</t>
        </is>
      </c>
      <c r="C1523" t="inlineStr">
        <is>
          <t>CMM</t>
        </is>
      </c>
      <c r="D1523" t="inlineStr">
        <is>
          <t>PREMONTAGEM</t>
        </is>
      </c>
      <c r="F1523" s="159">
        <f>IFERROR(INDEX('BASE METAS DIÁRIAS'!$N$2:$S$358,MATCH($A1523,'BASE METAS DIÁRIAS'!$A$2:$A$358,0),MOD(ROW()-2,6)+1),"")</f>
        <v/>
      </c>
      <c r="G1523" s="159">
        <f>IFERROR(IF(WEEKDAY($A1523,2)&lt;=INDEX('BASE METAS DIÁRIAS'!$H$2:$M$358,MATCH($A1523,'BASE METAS DIÁRIAS'!$A$2:$A$358,0),MOD(ROW()-2,6)+1),INDEX('BASE METAS DIÁRIAS'!$B$2:$G$358,MATCH($A1523,'BASE METAS DIÁRIAS'!$A$2:$A$358,0),MOD(ROW()-2,6)+1),""),"")</f>
        <v/>
      </c>
      <c r="H1523" s="159">
        <f>IFERROR(IF(INDEX('CONTROLE PRODUÇÃO POR EMPRESAS'!$B$6:$G$5000,MATCH($A1523,'CONTROLE PRODUÇÃO POR EMPRESAS'!$A$6:$A$5000,0),MOD(ROW()-2,6)+1)="","",IFERROR(1*INDEX('CONTROLE PRODUÇÃO POR EMPRESAS'!$B$6:$G$5000,MATCH($A1523,'CONTROLE PRODUÇÃO POR EMPRESAS'!$A$6:$A$5000,0),MOD(ROW()-2,6)+1),"")),"")</f>
        <v/>
      </c>
      <c r="I1523" s="159">
        <f>IF(OR(NOT(ISNUMBER(G1523)),NOT(ISNUMBER(H1523))),"",H1523-G1523)</f>
        <v/>
      </c>
      <c r="J1523" s="319">
        <f>IF(OR(NOT(ISNUMBER(G1523)),NOT(ISNUMBER(H1523)),G1523=0),"",I1523/G1523)</f>
        <v/>
      </c>
      <c r="K1523" s="319">
        <f>IF(OR(NOT(ISNUMBER(G1523)),NOT(ISNUMBER(H1523)),G1523=0),"",H1523/G1523)</f>
        <v/>
      </c>
      <c r="L1523">
        <f>IF(NOT(ISNUMBER(G1523)),"SEM META",IF(G1523=0,"SEM META",IF(NOT(ISNUMBER(H1523)),"SEM APONTAMENTO",IF(H1523&gt;=G1523,"VERDE",IF(H1523&gt;=G1523*0.9,"AMARELO","VERMELHO")))))</f>
        <v/>
      </c>
      <c r="M1523" s="162" t="n"/>
      <c r="N1523" s="162" t="n"/>
      <c r="O1523" s="162" t="n"/>
      <c r="P1523" s="162" t="n"/>
      <c r="Q1523" s="320" t="n"/>
      <c r="R1523" s="162" t="inlineStr">
        <is>
          <t>CONTROLE PRODUÇÃO POR EMPRESAS!E259</t>
        </is>
      </c>
    </row>
    <row r="1524" ht="28.5" customHeight="1">
      <c r="A1524" s="317" t="n">
        <v>46476</v>
      </c>
      <c r="B1524" t="inlineStr">
        <is>
          <t>GERAL</t>
        </is>
      </c>
      <c r="C1524" t="inlineStr">
        <is>
          <t>CMM</t>
        </is>
      </c>
      <c r="D1524" t="inlineStr">
        <is>
          <t>IÇAMENTO JOIST</t>
        </is>
      </c>
      <c r="F1524" s="159">
        <f>IFERROR(INDEX('BASE METAS DIÁRIAS'!$N$2:$S$358,MATCH($A1524,'BASE METAS DIÁRIAS'!$A$2:$A$358,0),MOD(ROW()-2,6)+1),"")</f>
        <v/>
      </c>
      <c r="G1524" s="159">
        <f>IFERROR(IF(WEEKDAY($A1524,2)&lt;=INDEX('BASE METAS DIÁRIAS'!$H$2:$M$358,MATCH($A1524,'BASE METAS DIÁRIAS'!$A$2:$A$358,0),MOD(ROW()-2,6)+1),INDEX('BASE METAS DIÁRIAS'!$B$2:$G$358,MATCH($A1524,'BASE METAS DIÁRIAS'!$A$2:$A$358,0),MOD(ROW()-2,6)+1),""),"")</f>
        <v/>
      </c>
      <c r="H1524" s="159">
        <f>IFERROR(IF(INDEX('CONTROLE PRODUÇÃO POR EMPRESAS'!$B$6:$G$5000,MATCH($A1524,'CONTROLE PRODUÇÃO POR EMPRESAS'!$A$6:$A$5000,0),MOD(ROW()-2,6)+1)="","",IFERROR(1*INDEX('CONTROLE PRODUÇÃO POR EMPRESAS'!$B$6:$G$5000,MATCH($A1524,'CONTROLE PRODUÇÃO POR EMPRESAS'!$A$6:$A$5000,0),MOD(ROW()-2,6)+1),"")),"")</f>
        <v/>
      </c>
      <c r="I1524" s="159">
        <f>IF(OR(NOT(ISNUMBER(G1524)),NOT(ISNUMBER(H1524))),"",H1524-G1524)</f>
        <v/>
      </c>
      <c r="J1524" s="319">
        <f>IF(OR(NOT(ISNUMBER(G1524)),NOT(ISNUMBER(H1524)),G1524=0),"",I1524/G1524)</f>
        <v/>
      </c>
      <c r="K1524" s="319">
        <f>IF(OR(NOT(ISNUMBER(G1524)),NOT(ISNUMBER(H1524)),G1524=0),"",H1524/G1524)</f>
        <v/>
      </c>
      <c r="L1524">
        <f>IF(NOT(ISNUMBER(G1524)),"SEM META",IF(G1524=0,"SEM META",IF(NOT(ISNUMBER(H1524)),"SEM APONTAMENTO",IF(H1524&gt;=G1524,"VERDE",IF(H1524&gt;=G1524*0.9,"AMARELO","VERMELHO")))))</f>
        <v/>
      </c>
      <c r="M1524" s="162" t="n"/>
      <c r="N1524" s="162" t="n"/>
      <c r="O1524" s="162" t="n"/>
      <c r="P1524" s="162" t="n"/>
      <c r="Q1524" s="320" t="n"/>
      <c r="R1524" s="162" t="inlineStr">
        <is>
          <t>CONTROLE PRODUÇÃO POR EMPRESAS!F259</t>
        </is>
      </c>
    </row>
    <row r="1525" ht="28.5" customHeight="1">
      <c r="A1525" s="317" t="n">
        <v>46476</v>
      </c>
      <c r="B1525" t="inlineStr">
        <is>
          <t>GERAL</t>
        </is>
      </c>
      <c r="C1525" t="inlineStr">
        <is>
          <t>CMM</t>
        </is>
      </c>
      <c r="D1525" t="inlineStr">
        <is>
          <t>VIGAS</t>
        </is>
      </c>
      <c r="F1525" s="159">
        <f>IFERROR(INDEX('BASE METAS DIÁRIAS'!$N$2:$S$358,MATCH($A1525,'BASE METAS DIÁRIAS'!$A$2:$A$358,0),MOD(ROW()-2,6)+1),"")</f>
        <v/>
      </c>
      <c r="G1525" s="159">
        <f>IFERROR(IF(WEEKDAY($A1525,2)&lt;=INDEX('BASE METAS DIÁRIAS'!$H$2:$M$358,MATCH($A1525,'BASE METAS DIÁRIAS'!$A$2:$A$358,0),MOD(ROW()-2,6)+1),INDEX('BASE METAS DIÁRIAS'!$B$2:$G$358,MATCH($A1525,'BASE METAS DIÁRIAS'!$A$2:$A$358,0),MOD(ROW()-2,6)+1),""),"")</f>
        <v/>
      </c>
      <c r="H1525" s="159">
        <f>IFERROR(IF(INDEX('CONTROLE PRODUÇÃO POR EMPRESAS'!$B$6:$G$5000,MATCH($A1525,'CONTROLE PRODUÇÃO POR EMPRESAS'!$A$6:$A$5000,0),MOD(ROW()-2,6)+1)="","",IFERROR(1*INDEX('CONTROLE PRODUÇÃO POR EMPRESAS'!$B$6:$G$5000,MATCH($A1525,'CONTROLE PRODUÇÃO POR EMPRESAS'!$A$6:$A$5000,0),MOD(ROW()-2,6)+1),"")),"")</f>
        <v/>
      </c>
      <c r="I1525" s="159">
        <f>IF(OR(NOT(ISNUMBER(G1525)),NOT(ISNUMBER(H1525))),"",H1525-G1525)</f>
        <v/>
      </c>
      <c r="J1525" s="319">
        <f>IF(OR(NOT(ISNUMBER(G1525)),NOT(ISNUMBER(H1525)),G1525=0),"",I1525/G1525)</f>
        <v/>
      </c>
      <c r="K1525" s="319">
        <f>IF(OR(NOT(ISNUMBER(G1525)),NOT(ISNUMBER(H1525)),G1525=0),"",H1525/G1525)</f>
        <v/>
      </c>
      <c r="L1525">
        <f>IF(NOT(ISNUMBER(G1525)),"SEM META",IF(G1525=0,"SEM META",IF(NOT(ISNUMBER(H1525)),"SEM APONTAMENTO",IF(H1525&gt;=G1525,"VERDE",IF(H1525&gt;=G1525*0.9,"AMARELO","VERMELHO")))))</f>
        <v/>
      </c>
      <c r="M1525" s="162" t="n"/>
      <c r="N1525" s="162" t="n"/>
      <c r="O1525" s="162" t="n"/>
      <c r="P1525" s="162" t="n"/>
      <c r="Q1525" s="320" t="n"/>
      <c r="R1525" s="162" t="inlineStr">
        <is>
          <t>CONTROLE PRODUÇÃO POR EMPRESAS!G259</t>
        </is>
      </c>
    </row>
    <row r="1526" ht="28.5" customHeight="1">
      <c r="A1526" s="317" t="n">
        <v>46477</v>
      </c>
      <c r="B1526" t="inlineStr">
        <is>
          <t>GERAL</t>
        </is>
      </c>
      <c r="C1526" t="inlineStr">
        <is>
          <t>EJ</t>
        </is>
      </c>
      <c r="D1526" t="inlineStr">
        <is>
          <t>PREMONTAGEM</t>
        </is>
      </c>
      <c r="F1526" s="159">
        <f>IFERROR(INDEX('BASE METAS DIÁRIAS'!$N$2:$S$358,MATCH($A1526,'BASE METAS DIÁRIAS'!$A$2:$A$358,0),MOD(ROW()-2,6)+1),"")</f>
        <v/>
      </c>
      <c r="G1526" s="159">
        <f>IFERROR(IF(WEEKDAY($A1526,2)&lt;=INDEX('BASE METAS DIÁRIAS'!$H$2:$M$358,MATCH($A1526,'BASE METAS DIÁRIAS'!$A$2:$A$358,0),MOD(ROW()-2,6)+1),INDEX('BASE METAS DIÁRIAS'!$B$2:$G$358,MATCH($A1526,'BASE METAS DIÁRIAS'!$A$2:$A$358,0),MOD(ROW()-2,6)+1),""),"")</f>
        <v/>
      </c>
      <c r="H1526" s="159">
        <f>IFERROR(IF(INDEX('CONTROLE PRODUÇÃO POR EMPRESAS'!$B$6:$G$5000,MATCH($A1526,'CONTROLE PRODUÇÃO POR EMPRESAS'!$A$6:$A$5000,0),MOD(ROW()-2,6)+1)="","",IFERROR(1*INDEX('CONTROLE PRODUÇÃO POR EMPRESAS'!$B$6:$G$5000,MATCH($A1526,'CONTROLE PRODUÇÃO POR EMPRESAS'!$A$6:$A$5000,0),MOD(ROW()-2,6)+1),"")),"")</f>
        <v/>
      </c>
      <c r="I1526" s="159">
        <f>IF(OR(NOT(ISNUMBER(G1526)),NOT(ISNUMBER(H1526))),"",H1526-G1526)</f>
        <v/>
      </c>
      <c r="J1526" s="319">
        <f>IF(OR(NOT(ISNUMBER(G1526)),NOT(ISNUMBER(H1526)),G1526=0),"",I1526/G1526)</f>
        <v/>
      </c>
      <c r="K1526" s="319">
        <f>IF(OR(NOT(ISNUMBER(G1526)),NOT(ISNUMBER(H1526)),G1526=0),"",H1526/G1526)</f>
        <v/>
      </c>
      <c r="L1526">
        <f>IF(NOT(ISNUMBER(G1526)),"SEM META",IF(G1526=0,"SEM META",IF(NOT(ISNUMBER(H1526)),"SEM APONTAMENTO",IF(H1526&gt;=G1526,"VERDE",IF(H1526&gt;=G1526*0.9,"AMARELO","VERMELHO")))))</f>
        <v/>
      </c>
      <c r="M1526" s="162" t="n"/>
      <c r="N1526" s="162" t="n"/>
      <c r="O1526" s="162" t="n"/>
      <c r="P1526" s="162" t="n"/>
      <c r="Q1526" s="320" t="n"/>
      <c r="R1526" s="162" t="inlineStr">
        <is>
          <t>CONTROLE PRODUÇÃO POR EMPRESAS!B260</t>
        </is>
      </c>
    </row>
    <row r="1527" ht="28.5" customHeight="1">
      <c r="A1527" s="317" t="n">
        <v>46477</v>
      </c>
      <c r="B1527" t="inlineStr">
        <is>
          <t>GERAL</t>
        </is>
      </c>
      <c r="C1527" t="inlineStr">
        <is>
          <t>EJ</t>
        </is>
      </c>
      <c r="D1527" t="inlineStr">
        <is>
          <t>IÇAMENTO JOIST</t>
        </is>
      </c>
      <c r="F1527" s="159">
        <f>IFERROR(INDEX('BASE METAS DIÁRIAS'!$N$2:$S$358,MATCH($A1527,'BASE METAS DIÁRIAS'!$A$2:$A$358,0),MOD(ROW()-2,6)+1),"")</f>
        <v/>
      </c>
      <c r="G1527" s="159">
        <f>IFERROR(IF(WEEKDAY($A1527,2)&lt;=INDEX('BASE METAS DIÁRIAS'!$H$2:$M$358,MATCH($A1527,'BASE METAS DIÁRIAS'!$A$2:$A$358,0),MOD(ROW()-2,6)+1),INDEX('BASE METAS DIÁRIAS'!$B$2:$G$358,MATCH($A1527,'BASE METAS DIÁRIAS'!$A$2:$A$358,0),MOD(ROW()-2,6)+1),""),"")</f>
        <v/>
      </c>
      <c r="H1527" s="159">
        <f>IFERROR(IF(INDEX('CONTROLE PRODUÇÃO POR EMPRESAS'!$B$6:$G$5000,MATCH($A1527,'CONTROLE PRODUÇÃO POR EMPRESAS'!$A$6:$A$5000,0),MOD(ROW()-2,6)+1)="","",IFERROR(1*INDEX('CONTROLE PRODUÇÃO POR EMPRESAS'!$B$6:$G$5000,MATCH($A1527,'CONTROLE PRODUÇÃO POR EMPRESAS'!$A$6:$A$5000,0),MOD(ROW()-2,6)+1),"")),"")</f>
        <v/>
      </c>
      <c r="I1527" s="159">
        <f>IF(OR(NOT(ISNUMBER(G1527)),NOT(ISNUMBER(H1527))),"",H1527-G1527)</f>
        <v/>
      </c>
      <c r="J1527" s="319">
        <f>IF(OR(NOT(ISNUMBER(G1527)),NOT(ISNUMBER(H1527)),G1527=0),"",I1527/G1527)</f>
        <v/>
      </c>
      <c r="K1527" s="319">
        <f>IF(OR(NOT(ISNUMBER(G1527)),NOT(ISNUMBER(H1527)),G1527=0),"",H1527/G1527)</f>
        <v/>
      </c>
      <c r="L1527">
        <f>IF(NOT(ISNUMBER(G1527)),"SEM META",IF(G1527=0,"SEM META",IF(NOT(ISNUMBER(H1527)),"SEM APONTAMENTO",IF(H1527&gt;=G1527,"VERDE",IF(H1527&gt;=G1527*0.9,"AMARELO","VERMELHO")))))</f>
        <v/>
      </c>
      <c r="M1527" s="162" t="n"/>
      <c r="N1527" s="162" t="n"/>
      <c r="O1527" s="162" t="n"/>
      <c r="P1527" s="162" t="n"/>
      <c r="Q1527" s="320" t="n"/>
      <c r="R1527" s="162" t="inlineStr">
        <is>
          <t>CONTROLE PRODUÇÃO POR EMPRESAS!C260</t>
        </is>
      </c>
    </row>
    <row r="1528" ht="28.5" customHeight="1">
      <c r="A1528" s="317" t="n">
        <v>46477</v>
      </c>
      <c r="B1528" t="inlineStr">
        <is>
          <t>GERAL</t>
        </is>
      </c>
      <c r="C1528" t="inlineStr">
        <is>
          <t>EJ</t>
        </is>
      </c>
      <c r="D1528" t="inlineStr">
        <is>
          <t>VIGAS</t>
        </is>
      </c>
      <c r="F1528" s="159">
        <f>IFERROR(INDEX('BASE METAS DIÁRIAS'!$N$2:$S$358,MATCH($A1528,'BASE METAS DIÁRIAS'!$A$2:$A$358,0),MOD(ROW()-2,6)+1),"")</f>
        <v/>
      </c>
      <c r="G1528" s="159">
        <f>IFERROR(IF(WEEKDAY($A1528,2)&lt;=INDEX('BASE METAS DIÁRIAS'!$H$2:$M$358,MATCH($A1528,'BASE METAS DIÁRIAS'!$A$2:$A$358,0),MOD(ROW()-2,6)+1),INDEX('BASE METAS DIÁRIAS'!$B$2:$G$358,MATCH($A1528,'BASE METAS DIÁRIAS'!$A$2:$A$358,0),MOD(ROW()-2,6)+1),""),"")</f>
        <v/>
      </c>
      <c r="H1528" s="159">
        <f>IFERROR(IF(INDEX('CONTROLE PRODUÇÃO POR EMPRESAS'!$B$6:$G$5000,MATCH($A1528,'CONTROLE PRODUÇÃO POR EMPRESAS'!$A$6:$A$5000,0),MOD(ROW()-2,6)+1)="","",IFERROR(1*INDEX('CONTROLE PRODUÇÃO POR EMPRESAS'!$B$6:$G$5000,MATCH($A1528,'CONTROLE PRODUÇÃO POR EMPRESAS'!$A$6:$A$5000,0),MOD(ROW()-2,6)+1),"")),"")</f>
        <v/>
      </c>
      <c r="I1528" s="159">
        <f>IF(OR(NOT(ISNUMBER(G1528)),NOT(ISNUMBER(H1528))),"",H1528-G1528)</f>
        <v/>
      </c>
      <c r="J1528" s="319">
        <f>IF(OR(NOT(ISNUMBER(G1528)),NOT(ISNUMBER(H1528)),G1528=0),"",I1528/G1528)</f>
        <v/>
      </c>
      <c r="K1528" s="319">
        <f>IF(OR(NOT(ISNUMBER(G1528)),NOT(ISNUMBER(H1528)),G1528=0),"",H1528/G1528)</f>
        <v/>
      </c>
      <c r="L1528">
        <f>IF(NOT(ISNUMBER(G1528)),"SEM META",IF(G1528=0,"SEM META",IF(NOT(ISNUMBER(H1528)),"SEM APONTAMENTO",IF(H1528&gt;=G1528,"VERDE",IF(H1528&gt;=G1528*0.9,"AMARELO","VERMELHO")))))</f>
        <v/>
      </c>
      <c r="M1528" s="162" t="n"/>
      <c r="N1528" s="162" t="n"/>
      <c r="O1528" s="162" t="n"/>
      <c r="P1528" s="162" t="n"/>
      <c r="Q1528" s="320" t="n"/>
      <c r="R1528" s="162" t="inlineStr">
        <is>
          <t>CONTROLE PRODUÇÃO POR EMPRESAS!D260</t>
        </is>
      </c>
    </row>
    <row r="1529" ht="28.5" customHeight="1">
      <c r="A1529" s="317" t="n">
        <v>46477</v>
      </c>
      <c r="B1529" t="inlineStr">
        <is>
          <t>GERAL</t>
        </is>
      </c>
      <c r="C1529" t="inlineStr">
        <is>
          <t>CMM</t>
        </is>
      </c>
      <c r="D1529" t="inlineStr">
        <is>
          <t>PREMONTAGEM</t>
        </is>
      </c>
      <c r="F1529" s="159">
        <f>IFERROR(INDEX('BASE METAS DIÁRIAS'!$N$2:$S$358,MATCH($A1529,'BASE METAS DIÁRIAS'!$A$2:$A$358,0),MOD(ROW()-2,6)+1),"")</f>
        <v/>
      </c>
      <c r="G1529" s="159">
        <f>IFERROR(IF(WEEKDAY($A1529,2)&lt;=INDEX('BASE METAS DIÁRIAS'!$H$2:$M$358,MATCH($A1529,'BASE METAS DIÁRIAS'!$A$2:$A$358,0),MOD(ROW()-2,6)+1),INDEX('BASE METAS DIÁRIAS'!$B$2:$G$358,MATCH($A1529,'BASE METAS DIÁRIAS'!$A$2:$A$358,0),MOD(ROW()-2,6)+1),""),"")</f>
        <v/>
      </c>
      <c r="H1529" s="159">
        <f>IFERROR(IF(INDEX('CONTROLE PRODUÇÃO POR EMPRESAS'!$B$6:$G$5000,MATCH($A1529,'CONTROLE PRODUÇÃO POR EMPRESAS'!$A$6:$A$5000,0),MOD(ROW()-2,6)+1)="","",IFERROR(1*INDEX('CONTROLE PRODUÇÃO POR EMPRESAS'!$B$6:$G$5000,MATCH($A1529,'CONTROLE PRODUÇÃO POR EMPRESAS'!$A$6:$A$5000,0),MOD(ROW()-2,6)+1),"")),"")</f>
        <v/>
      </c>
      <c r="I1529" s="159">
        <f>IF(OR(NOT(ISNUMBER(G1529)),NOT(ISNUMBER(H1529))),"",H1529-G1529)</f>
        <v/>
      </c>
      <c r="J1529" s="319">
        <f>IF(OR(NOT(ISNUMBER(G1529)),NOT(ISNUMBER(H1529)),G1529=0),"",I1529/G1529)</f>
        <v/>
      </c>
      <c r="K1529" s="319">
        <f>IF(OR(NOT(ISNUMBER(G1529)),NOT(ISNUMBER(H1529)),G1529=0),"",H1529/G1529)</f>
        <v/>
      </c>
      <c r="L1529">
        <f>IF(NOT(ISNUMBER(G1529)),"SEM META",IF(G1529=0,"SEM META",IF(NOT(ISNUMBER(H1529)),"SEM APONTAMENTO",IF(H1529&gt;=G1529,"VERDE",IF(H1529&gt;=G1529*0.9,"AMARELO","VERMELHO")))))</f>
        <v/>
      </c>
      <c r="M1529" s="162" t="n"/>
      <c r="N1529" s="162" t="n"/>
      <c r="O1529" s="162" t="n"/>
      <c r="P1529" s="162" t="n"/>
      <c r="Q1529" s="320" t="n"/>
      <c r="R1529" s="162" t="inlineStr">
        <is>
          <t>CONTROLE PRODUÇÃO POR EMPRESAS!E260</t>
        </is>
      </c>
    </row>
    <row r="1530" ht="28.5" customHeight="1">
      <c r="A1530" s="317" t="n">
        <v>46477</v>
      </c>
      <c r="B1530" t="inlineStr">
        <is>
          <t>GERAL</t>
        </is>
      </c>
      <c r="C1530" t="inlineStr">
        <is>
          <t>CMM</t>
        </is>
      </c>
      <c r="D1530" t="inlineStr">
        <is>
          <t>IÇAMENTO JOIST</t>
        </is>
      </c>
      <c r="F1530" s="159">
        <f>IFERROR(INDEX('BASE METAS DIÁRIAS'!$N$2:$S$358,MATCH($A1530,'BASE METAS DIÁRIAS'!$A$2:$A$358,0),MOD(ROW()-2,6)+1),"")</f>
        <v/>
      </c>
      <c r="G1530" s="159">
        <f>IFERROR(IF(WEEKDAY($A1530,2)&lt;=INDEX('BASE METAS DIÁRIAS'!$H$2:$M$358,MATCH($A1530,'BASE METAS DIÁRIAS'!$A$2:$A$358,0),MOD(ROW()-2,6)+1),INDEX('BASE METAS DIÁRIAS'!$B$2:$G$358,MATCH($A1530,'BASE METAS DIÁRIAS'!$A$2:$A$358,0),MOD(ROW()-2,6)+1),""),"")</f>
        <v/>
      </c>
      <c r="H1530" s="159">
        <f>IFERROR(IF(INDEX('CONTROLE PRODUÇÃO POR EMPRESAS'!$B$6:$G$5000,MATCH($A1530,'CONTROLE PRODUÇÃO POR EMPRESAS'!$A$6:$A$5000,0),MOD(ROW()-2,6)+1)="","",IFERROR(1*INDEX('CONTROLE PRODUÇÃO POR EMPRESAS'!$B$6:$G$5000,MATCH($A1530,'CONTROLE PRODUÇÃO POR EMPRESAS'!$A$6:$A$5000,0),MOD(ROW()-2,6)+1),"")),"")</f>
        <v/>
      </c>
      <c r="I1530" s="159">
        <f>IF(OR(NOT(ISNUMBER(G1530)),NOT(ISNUMBER(H1530))),"",H1530-G1530)</f>
        <v/>
      </c>
      <c r="J1530" s="319">
        <f>IF(OR(NOT(ISNUMBER(G1530)),NOT(ISNUMBER(H1530)),G1530=0),"",I1530/G1530)</f>
        <v/>
      </c>
      <c r="K1530" s="319">
        <f>IF(OR(NOT(ISNUMBER(G1530)),NOT(ISNUMBER(H1530)),G1530=0),"",H1530/G1530)</f>
        <v/>
      </c>
      <c r="L1530">
        <f>IF(NOT(ISNUMBER(G1530)),"SEM META",IF(G1530=0,"SEM META",IF(NOT(ISNUMBER(H1530)),"SEM APONTAMENTO",IF(H1530&gt;=G1530,"VERDE",IF(H1530&gt;=G1530*0.9,"AMARELO","VERMELHO")))))</f>
        <v/>
      </c>
      <c r="M1530" s="162" t="n"/>
      <c r="N1530" s="162" t="n"/>
      <c r="O1530" s="162" t="n"/>
      <c r="P1530" s="162" t="n"/>
      <c r="Q1530" s="320" t="n"/>
      <c r="R1530" s="162" t="inlineStr">
        <is>
          <t>CONTROLE PRODUÇÃO POR EMPRESAS!F260</t>
        </is>
      </c>
    </row>
    <row r="1531" ht="28.5" customHeight="1">
      <c r="A1531" s="317" t="n">
        <v>46477</v>
      </c>
      <c r="B1531" t="inlineStr">
        <is>
          <t>GERAL</t>
        </is>
      </c>
      <c r="C1531" t="inlineStr">
        <is>
          <t>CMM</t>
        </is>
      </c>
      <c r="D1531" t="inlineStr">
        <is>
          <t>VIGAS</t>
        </is>
      </c>
      <c r="F1531" s="159">
        <f>IFERROR(INDEX('BASE METAS DIÁRIAS'!$N$2:$S$358,MATCH($A1531,'BASE METAS DIÁRIAS'!$A$2:$A$358,0),MOD(ROW()-2,6)+1),"")</f>
        <v/>
      </c>
      <c r="G1531" s="159">
        <f>IFERROR(IF(WEEKDAY($A1531,2)&lt;=INDEX('BASE METAS DIÁRIAS'!$H$2:$M$358,MATCH($A1531,'BASE METAS DIÁRIAS'!$A$2:$A$358,0),MOD(ROW()-2,6)+1),INDEX('BASE METAS DIÁRIAS'!$B$2:$G$358,MATCH($A1531,'BASE METAS DIÁRIAS'!$A$2:$A$358,0),MOD(ROW()-2,6)+1),""),"")</f>
        <v/>
      </c>
      <c r="H1531" s="159">
        <f>IFERROR(IF(INDEX('CONTROLE PRODUÇÃO POR EMPRESAS'!$B$6:$G$5000,MATCH($A1531,'CONTROLE PRODUÇÃO POR EMPRESAS'!$A$6:$A$5000,0),MOD(ROW()-2,6)+1)="","",IFERROR(1*INDEX('CONTROLE PRODUÇÃO POR EMPRESAS'!$B$6:$G$5000,MATCH($A1531,'CONTROLE PRODUÇÃO POR EMPRESAS'!$A$6:$A$5000,0),MOD(ROW()-2,6)+1),"")),"")</f>
        <v/>
      </c>
      <c r="I1531" s="159">
        <f>IF(OR(NOT(ISNUMBER(G1531)),NOT(ISNUMBER(H1531))),"",H1531-G1531)</f>
        <v/>
      </c>
      <c r="J1531" s="319">
        <f>IF(OR(NOT(ISNUMBER(G1531)),NOT(ISNUMBER(H1531)),G1531=0),"",I1531/G1531)</f>
        <v/>
      </c>
      <c r="K1531" s="319">
        <f>IF(OR(NOT(ISNUMBER(G1531)),NOT(ISNUMBER(H1531)),G1531=0),"",H1531/G1531)</f>
        <v/>
      </c>
      <c r="L1531">
        <f>IF(NOT(ISNUMBER(G1531)),"SEM META",IF(G1531=0,"SEM META",IF(NOT(ISNUMBER(H1531)),"SEM APONTAMENTO",IF(H1531&gt;=G1531,"VERDE",IF(H1531&gt;=G1531*0.9,"AMARELO","VERMELHO")))))</f>
        <v/>
      </c>
      <c r="M1531" s="162" t="n"/>
      <c r="N1531" s="162" t="n"/>
      <c r="O1531" s="162" t="n"/>
      <c r="P1531" s="162" t="n"/>
      <c r="Q1531" s="320" t="n"/>
      <c r="R1531" s="162" t="inlineStr">
        <is>
          <t>CONTROLE PRODUÇÃO POR EMPRESAS!G260</t>
        </is>
      </c>
    </row>
    <row r="1532" ht="28.5" customHeight="1">
      <c r="A1532" s="317" t="n">
        <v>46478</v>
      </c>
      <c r="B1532" t="inlineStr">
        <is>
          <t>GERAL</t>
        </is>
      </c>
      <c r="C1532" t="inlineStr">
        <is>
          <t>EJ</t>
        </is>
      </c>
      <c r="D1532" t="inlineStr">
        <is>
          <t>PREMONTAGEM</t>
        </is>
      </c>
      <c r="F1532" s="159">
        <f>IFERROR(INDEX('BASE METAS DIÁRIAS'!$N$2:$S$358,MATCH($A1532,'BASE METAS DIÁRIAS'!$A$2:$A$358,0),MOD(ROW()-2,6)+1),"")</f>
        <v/>
      </c>
      <c r="G1532" s="159">
        <f>IFERROR(IF(WEEKDAY($A1532,2)&lt;=INDEX('BASE METAS DIÁRIAS'!$H$2:$M$358,MATCH($A1532,'BASE METAS DIÁRIAS'!$A$2:$A$358,0),MOD(ROW()-2,6)+1),INDEX('BASE METAS DIÁRIAS'!$B$2:$G$358,MATCH($A1532,'BASE METAS DIÁRIAS'!$A$2:$A$358,0),MOD(ROW()-2,6)+1),""),"")</f>
        <v/>
      </c>
      <c r="H1532" s="159">
        <f>IFERROR(IF(INDEX('CONTROLE PRODUÇÃO POR EMPRESAS'!$B$6:$G$5000,MATCH($A1532,'CONTROLE PRODUÇÃO POR EMPRESAS'!$A$6:$A$5000,0),MOD(ROW()-2,6)+1)="","",IFERROR(1*INDEX('CONTROLE PRODUÇÃO POR EMPRESAS'!$B$6:$G$5000,MATCH($A1532,'CONTROLE PRODUÇÃO POR EMPRESAS'!$A$6:$A$5000,0),MOD(ROW()-2,6)+1),"")),"")</f>
        <v/>
      </c>
      <c r="I1532" s="159">
        <f>IF(OR(NOT(ISNUMBER(G1532)),NOT(ISNUMBER(H1532))),"",H1532-G1532)</f>
        <v/>
      </c>
      <c r="J1532" s="319">
        <f>IF(OR(NOT(ISNUMBER(G1532)),NOT(ISNUMBER(H1532)),G1532=0),"",I1532/G1532)</f>
        <v/>
      </c>
      <c r="K1532" s="319">
        <f>IF(OR(NOT(ISNUMBER(G1532)),NOT(ISNUMBER(H1532)),G1532=0),"",H1532/G1532)</f>
        <v/>
      </c>
      <c r="L1532">
        <f>IF(NOT(ISNUMBER(G1532)),"SEM META",IF(G1532=0,"SEM META",IF(NOT(ISNUMBER(H1532)),"SEM APONTAMENTO",IF(H1532&gt;=G1532,"VERDE",IF(H1532&gt;=G1532*0.9,"AMARELO","VERMELHO")))))</f>
        <v/>
      </c>
      <c r="M1532" s="162" t="n"/>
      <c r="N1532" s="162" t="n"/>
      <c r="O1532" s="162" t="n"/>
      <c r="P1532" s="162" t="n"/>
      <c r="Q1532" s="320" t="n"/>
      <c r="R1532" s="162" t="inlineStr">
        <is>
          <t>CONTROLE PRODUÇÃO POR EMPRESAS!B261</t>
        </is>
      </c>
    </row>
    <row r="1533" ht="28.5" customHeight="1">
      <c r="A1533" s="317" t="n">
        <v>46478</v>
      </c>
      <c r="B1533" t="inlineStr">
        <is>
          <t>GERAL</t>
        </is>
      </c>
      <c r="C1533" t="inlineStr">
        <is>
          <t>EJ</t>
        </is>
      </c>
      <c r="D1533" t="inlineStr">
        <is>
          <t>IÇAMENTO JOIST</t>
        </is>
      </c>
      <c r="F1533" s="159">
        <f>IFERROR(INDEX('BASE METAS DIÁRIAS'!$N$2:$S$358,MATCH($A1533,'BASE METAS DIÁRIAS'!$A$2:$A$358,0),MOD(ROW()-2,6)+1),"")</f>
        <v/>
      </c>
      <c r="G1533" s="159">
        <f>IFERROR(IF(WEEKDAY($A1533,2)&lt;=INDEX('BASE METAS DIÁRIAS'!$H$2:$M$358,MATCH($A1533,'BASE METAS DIÁRIAS'!$A$2:$A$358,0),MOD(ROW()-2,6)+1),INDEX('BASE METAS DIÁRIAS'!$B$2:$G$358,MATCH($A1533,'BASE METAS DIÁRIAS'!$A$2:$A$358,0),MOD(ROW()-2,6)+1),""),"")</f>
        <v/>
      </c>
      <c r="H1533" s="159">
        <f>IFERROR(IF(INDEX('CONTROLE PRODUÇÃO POR EMPRESAS'!$B$6:$G$5000,MATCH($A1533,'CONTROLE PRODUÇÃO POR EMPRESAS'!$A$6:$A$5000,0),MOD(ROW()-2,6)+1)="","",IFERROR(1*INDEX('CONTROLE PRODUÇÃO POR EMPRESAS'!$B$6:$G$5000,MATCH($A1533,'CONTROLE PRODUÇÃO POR EMPRESAS'!$A$6:$A$5000,0),MOD(ROW()-2,6)+1),"")),"")</f>
        <v/>
      </c>
      <c r="I1533" s="159">
        <f>IF(OR(NOT(ISNUMBER(G1533)),NOT(ISNUMBER(H1533))),"",H1533-G1533)</f>
        <v/>
      </c>
      <c r="J1533" s="319">
        <f>IF(OR(NOT(ISNUMBER(G1533)),NOT(ISNUMBER(H1533)),G1533=0),"",I1533/G1533)</f>
        <v/>
      </c>
      <c r="K1533" s="319">
        <f>IF(OR(NOT(ISNUMBER(G1533)),NOT(ISNUMBER(H1533)),G1533=0),"",H1533/G1533)</f>
        <v/>
      </c>
      <c r="L1533">
        <f>IF(NOT(ISNUMBER(G1533)),"SEM META",IF(G1533=0,"SEM META",IF(NOT(ISNUMBER(H1533)),"SEM APONTAMENTO",IF(H1533&gt;=G1533,"VERDE",IF(H1533&gt;=G1533*0.9,"AMARELO","VERMELHO")))))</f>
        <v/>
      </c>
      <c r="M1533" s="162" t="n"/>
      <c r="N1533" s="162" t="n"/>
      <c r="O1533" s="162" t="n"/>
      <c r="P1533" s="162" t="n"/>
      <c r="Q1533" s="320" t="n"/>
      <c r="R1533" s="162" t="inlineStr">
        <is>
          <t>CONTROLE PRODUÇÃO POR EMPRESAS!C261</t>
        </is>
      </c>
    </row>
    <row r="1534" ht="28.5" customHeight="1">
      <c r="A1534" s="317" t="n">
        <v>46478</v>
      </c>
      <c r="B1534" t="inlineStr">
        <is>
          <t>GERAL</t>
        </is>
      </c>
      <c r="C1534" t="inlineStr">
        <is>
          <t>EJ</t>
        </is>
      </c>
      <c r="D1534" t="inlineStr">
        <is>
          <t>VIGAS</t>
        </is>
      </c>
      <c r="F1534" s="159">
        <f>IFERROR(INDEX('BASE METAS DIÁRIAS'!$N$2:$S$358,MATCH($A1534,'BASE METAS DIÁRIAS'!$A$2:$A$358,0),MOD(ROW()-2,6)+1),"")</f>
        <v/>
      </c>
      <c r="G1534" s="159">
        <f>IFERROR(IF(WEEKDAY($A1534,2)&lt;=INDEX('BASE METAS DIÁRIAS'!$H$2:$M$358,MATCH($A1534,'BASE METAS DIÁRIAS'!$A$2:$A$358,0),MOD(ROW()-2,6)+1),INDEX('BASE METAS DIÁRIAS'!$B$2:$G$358,MATCH($A1534,'BASE METAS DIÁRIAS'!$A$2:$A$358,0),MOD(ROW()-2,6)+1),""),"")</f>
        <v/>
      </c>
      <c r="H1534" s="159">
        <f>IFERROR(IF(INDEX('CONTROLE PRODUÇÃO POR EMPRESAS'!$B$6:$G$5000,MATCH($A1534,'CONTROLE PRODUÇÃO POR EMPRESAS'!$A$6:$A$5000,0),MOD(ROW()-2,6)+1)="","",IFERROR(1*INDEX('CONTROLE PRODUÇÃO POR EMPRESAS'!$B$6:$G$5000,MATCH($A1534,'CONTROLE PRODUÇÃO POR EMPRESAS'!$A$6:$A$5000,0),MOD(ROW()-2,6)+1),"")),"")</f>
        <v/>
      </c>
      <c r="I1534" s="159">
        <f>IF(OR(NOT(ISNUMBER(G1534)),NOT(ISNUMBER(H1534))),"",H1534-G1534)</f>
        <v/>
      </c>
      <c r="J1534" s="319">
        <f>IF(OR(NOT(ISNUMBER(G1534)),NOT(ISNUMBER(H1534)),G1534=0),"",I1534/G1534)</f>
        <v/>
      </c>
      <c r="K1534" s="319">
        <f>IF(OR(NOT(ISNUMBER(G1534)),NOT(ISNUMBER(H1534)),G1534=0),"",H1534/G1534)</f>
        <v/>
      </c>
      <c r="L1534">
        <f>IF(NOT(ISNUMBER(G1534)),"SEM META",IF(G1534=0,"SEM META",IF(NOT(ISNUMBER(H1534)),"SEM APONTAMENTO",IF(H1534&gt;=G1534,"VERDE",IF(H1534&gt;=G1534*0.9,"AMARELO","VERMELHO")))))</f>
        <v/>
      </c>
      <c r="M1534" s="162" t="n"/>
      <c r="N1534" s="162" t="n"/>
      <c r="O1534" s="162" t="n"/>
      <c r="P1534" s="162" t="n"/>
      <c r="Q1534" s="320" t="n"/>
      <c r="R1534" s="162" t="inlineStr">
        <is>
          <t>CONTROLE PRODUÇÃO POR EMPRESAS!D261</t>
        </is>
      </c>
    </row>
    <row r="1535" ht="28.5" customHeight="1">
      <c r="A1535" s="317" t="n">
        <v>46478</v>
      </c>
      <c r="B1535" t="inlineStr">
        <is>
          <t>GERAL</t>
        </is>
      </c>
      <c r="C1535" t="inlineStr">
        <is>
          <t>CMM</t>
        </is>
      </c>
      <c r="D1535" t="inlineStr">
        <is>
          <t>PREMONTAGEM</t>
        </is>
      </c>
      <c r="F1535" s="159">
        <f>IFERROR(INDEX('BASE METAS DIÁRIAS'!$N$2:$S$358,MATCH($A1535,'BASE METAS DIÁRIAS'!$A$2:$A$358,0),MOD(ROW()-2,6)+1),"")</f>
        <v/>
      </c>
      <c r="G1535" s="159">
        <f>IFERROR(IF(WEEKDAY($A1535,2)&lt;=INDEX('BASE METAS DIÁRIAS'!$H$2:$M$358,MATCH($A1535,'BASE METAS DIÁRIAS'!$A$2:$A$358,0),MOD(ROW()-2,6)+1),INDEX('BASE METAS DIÁRIAS'!$B$2:$G$358,MATCH($A1535,'BASE METAS DIÁRIAS'!$A$2:$A$358,0),MOD(ROW()-2,6)+1),""),"")</f>
        <v/>
      </c>
      <c r="H1535" s="159">
        <f>IFERROR(IF(INDEX('CONTROLE PRODUÇÃO POR EMPRESAS'!$B$6:$G$5000,MATCH($A1535,'CONTROLE PRODUÇÃO POR EMPRESAS'!$A$6:$A$5000,0),MOD(ROW()-2,6)+1)="","",IFERROR(1*INDEX('CONTROLE PRODUÇÃO POR EMPRESAS'!$B$6:$G$5000,MATCH($A1535,'CONTROLE PRODUÇÃO POR EMPRESAS'!$A$6:$A$5000,0),MOD(ROW()-2,6)+1),"")),"")</f>
        <v/>
      </c>
      <c r="I1535" s="159">
        <f>IF(OR(NOT(ISNUMBER(G1535)),NOT(ISNUMBER(H1535))),"",H1535-G1535)</f>
        <v/>
      </c>
      <c r="J1535" s="319">
        <f>IF(OR(NOT(ISNUMBER(G1535)),NOT(ISNUMBER(H1535)),G1535=0),"",I1535/G1535)</f>
        <v/>
      </c>
      <c r="K1535" s="319">
        <f>IF(OR(NOT(ISNUMBER(G1535)),NOT(ISNUMBER(H1535)),G1535=0),"",H1535/G1535)</f>
        <v/>
      </c>
      <c r="L1535">
        <f>IF(NOT(ISNUMBER(G1535)),"SEM META",IF(G1535=0,"SEM META",IF(NOT(ISNUMBER(H1535)),"SEM APONTAMENTO",IF(H1535&gt;=G1535,"VERDE",IF(H1535&gt;=G1535*0.9,"AMARELO","VERMELHO")))))</f>
        <v/>
      </c>
      <c r="M1535" s="162" t="n"/>
      <c r="N1535" s="162" t="n"/>
      <c r="O1535" s="162" t="n"/>
      <c r="P1535" s="162" t="n"/>
      <c r="Q1535" s="320" t="n"/>
      <c r="R1535" s="162" t="inlineStr">
        <is>
          <t>CONTROLE PRODUÇÃO POR EMPRESAS!E261</t>
        </is>
      </c>
    </row>
    <row r="1536" ht="28.5" customHeight="1">
      <c r="A1536" s="317" t="n">
        <v>46478</v>
      </c>
      <c r="B1536" t="inlineStr">
        <is>
          <t>GERAL</t>
        </is>
      </c>
      <c r="C1536" t="inlineStr">
        <is>
          <t>CMM</t>
        </is>
      </c>
      <c r="D1536" t="inlineStr">
        <is>
          <t>IÇAMENTO JOIST</t>
        </is>
      </c>
      <c r="F1536" s="159">
        <f>IFERROR(INDEX('BASE METAS DIÁRIAS'!$N$2:$S$358,MATCH($A1536,'BASE METAS DIÁRIAS'!$A$2:$A$358,0),MOD(ROW()-2,6)+1),"")</f>
        <v/>
      </c>
      <c r="G1536" s="159">
        <f>IFERROR(IF(WEEKDAY($A1536,2)&lt;=INDEX('BASE METAS DIÁRIAS'!$H$2:$M$358,MATCH($A1536,'BASE METAS DIÁRIAS'!$A$2:$A$358,0),MOD(ROW()-2,6)+1),INDEX('BASE METAS DIÁRIAS'!$B$2:$G$358,MATCH($A1536,'BASE METAS DIÁRIAS'!$A$2:$A$358,0),MOD(ROW()-2,6)+1),""),"")</f>
        <v/>
      </c>
      <c r="H1536" s="159">
        <f>IFERROR(IF(INDEX('CONTROLE PRODUÇÃO POR EMPRESAS'!$B$6:$G$5000,MATCH($A1536,'CONTROLE PRODUÇÃO POR EMPRESAS'!$A$6:$A$5000,0),MOD(ROW()-2,6)+1)="","",IFERROR(1*INDEX('CONTROLE PRODUÇÃO POR EMPRESAS'!$B$6:$G$5000,MATCH($A1536,'CONTROLE PRODUÇÃO POR EMPRESAS'!$A$6:$A$5000,0),MOD(ROW()-2,6)+1),"")),"")</f>
        <v/>
      </c>
      <c r="I1536" s="159">
        <f>IF(OR(NOT(ISNUMBER(G1536)),NOT(ISNUMBER(H1536))),"",H1536-G1536)</f>
        <v/>
      </c>
      <c r="J1536" s="319">
        <f>IF(OR(NOT(ISNUMBER(G1536)),NOT(ISNUMBER(H1536)),G1536=0),"",I1536/G1536)</f>
        <v/>
      </c>
      <c r="K1536" s="319">
        <f>IF(OR(NOT(ISNUMBER(G1536)),NOT(ISNUMBER(H1536)),G1536=0),"",H1536/G1536)</f>
        <v/>
      </c>
      <c r="L1536">
        <f>IF(NOT(ISNUMBER(G1536)),"SEM META",IF(G1536=0,"SEM META",IF(NOT(ISNUMBER(H1536)),"SEM APONTAMENTO",IF(H1536&gt;=G1536,"VERDE",IF(H1536&gt;=G1536*0.9,"AMARELO","VERMELHO")))))</f>
        <v/>
      </c>
      <c r="M1536" s="162" t="n"/>
      <c r="N1536" s="162" t="n"/>
      <c r="O1536" s="162" t="n"/>
      <c r="P1536" s="162" t="n"/>
      <c r="Q1536" s="320" t="n"/>
      <c r="R1536" s="162" t="inlineStr">
        <is>
          <t>CONTROLE PRODUÇÃO POR EMPRESAS!F261</t>
        </is>
      </c>
    </row>
    <row r="1537" ht="28.5" customHeight="1">
      <c r="A1537" s="317" t="n">
        <v>46478</v>
      </c>
      <c r="B1537" t="inlineStr">
        <is>
          <t>GERAL</t>
        </is>
      </c>
      <c r="C1537" t="inlineStr">
        <is>
          <t>CMM</t>
        </is>
      </c>
      <c r="D1537" t="inlineStr">
        <is>
          <t>VIGAS</t>
        </is>
      </c>
      <c r="F1537" s="159">
        <f>IFERROR(INDEX('BASE METAS DIÁRIAS'!$N$2:$S$358,MATCH($A1537,'BASE METAS DIÁRIAS'!$A$2:$A$358,0),MOD(ROW()-2,6)+1),"")</f>
        <v/>
      </c>
      <c r="G1537" s="159">
        <f>IFERROR(IF(WEEKDAY($A1537,2)&lt;=INDEX('BASE METAS DIÁRIAS'!$H$2:$M$358,MATCH($A1537,'BASE METAS DIÁRIAS'!$A$2:$A$358,0),MOD(ROW()-2,6)+1),INDEX('BASE METAS DIÁRIAS'!$B$2:$G$358,MATCH($A1537,'BASE METAS DIÁRIAS'!$A$2:$A$358,0),MOD(ROW()-2,6)+1),""),"")</f>
        <v/>
      </c>
      <c r="H1537" s="159">
        <f>IFERROR(IF(INDEX('CONTROLE PRODUÇÃO POR EMPRESAS'!$B$6:$G$5000,MATCH($A1537,'CONTROLE PRODUÇÃO POR EMPRESAS'!$A$6:$A$5000,0),MOD(ROW()-2,6)+1)="","",IFERROR(1*INDEX('CONTROLE PRODUÇÃO POR EMPRESAS'!$B$6:$G$5000,MATCH($A1537,'CONTROLE PRODUÇÃO POR EMPRESAS'!$A$6:$A$5000,0),MOD(ROW()-2,6)+1),"")),"")</f>
        <v/>
      </c>
      <c r="I1537" s="159">
        <f>IF(OR(NOT(ISNUMBER(G1537)),NOT(ISNUMBER(H1537))),"",H1537-G1537)</f>
        <v/>
      </c>
      <c r="J1537" s="319">
        <f>IF(OR(NOT(ISNUMBER(G1537)),NOT(ISNUMBER(H1537)),G1537=0),"",I1537/G1537)</f>
        <v/>
      </c>
      <c r="K1537" s="319">
        <f>IF(OR(NOT(ISNUMBER(G1537)),NOT(ISNUMBER(H1537)),G1537=0),"",H1537/G1537)</f>
        <v/>
      </c>
      <c r="L1537">
        <f>IF(NOT(ISNUMBER(G1537)),"SEM META",IF(G1537=0,"SEM META",IF(NOT(ISNUMBER(H1537)),"SEM APONTAMENTO",IF(H1537&gt;=G1537,"VERDE",IF(H1537&gt;=G1537*0.9,"AMARELO","VERMELHO")))))</f>
        <v/>
      </c>
      <c r="M1537" s="162" t="n"/>
      <c r="N1537" s="162" t="n"/>
      <c r="O1537" s="162" t="n"/>
      <c r="P1537" s="162" t="n"/>
      <c r="Q1537" s="320" t="n"/>
      <c r="R1537" s="162" t="inlineStr">
        <is>
          <t>CONTROLE PRODUÇÃO POR EMPRESAS!G261</t>
        </is>
      </c>
    </row>
    <row r="1538" ht="28.5" customHeight="1">
      <c r="A1538" s="317" t="n">
        <v>46479</v>
      </c>
      <c r="B1538" t="inlineStr">
        <is>
          <t>GERAL</t>
        </is>
      </c>
      <c r="C1538" t="inlineStr">
        <is>
          <t>EJ</t>
        </is>
      </c>
      <c r="D1538" t="inlineStr">
        <is>
          <t>PREMONTAGEM</t>
        </is>
      </c>
      <c r="F1538" s="159">
        <f>IFERROR(INDEX('BASE METAS DIÁRIAS'!$N$2:$S$358,MATCH($A1538,'BASE METAS DIÁRIAS'!$A$2:$A$358,0),MOD(ROW()-2,6)+1),"")</f>
        <v/>
      </c>
      <c r="G1538" s="159">
        <f>IFERROR(IF(WEEKDAY($A1538,2)&lt;=INDEX('BASE METAS DIÁRIAS'!$H$2:$M$358,MATCH($A1538,'BASE METAS DIÁRIAS'!$A$2:$A$358,0),MOD(ROW()-2,6)+1),INDEX('BASE METAS DIÁRIAS'!$B$2:$G$358,MATCH($A1538,'BASE METAS DIÁRIAS'!$A$2:$A$358,0),MOD(ROW()-2,6)+1),""),"")</f>
        <v/>
      </c>
      <c r="H1538" s="159">
        <f>IFERROR(IF(INDEX('CONTROLE PRODUÇÃO POR EMPRESAS'!$B$6:$G$5000,MATCH($A1538,'CONTROLE PRODUÇÃO POR EMPRESAS'!$A$6:$A$5000,0),MOD(ROW()-2,6)+1)="","",IFERROR(1*INDEX('CONTROLE PRODUÇÃO POR EMPRESAS'!$B$6:$G$5000,MATCH($A1538,'CONTROLE PRODUÇÃO POR EMPRESAS'!$A$6:$A$5000,0),MOD(ROW()-2,6)+1),"")),"")</f>
        <v/>
      </c>
      <c r="I1538" s="159">
        <f>IF(OR(NOT(ISNUMBER(G1538)),NOT(ISNUMBER(H1538))),"",H1538-G1538)</f>
        <v/>
      </c>
      <c r="J1538" s="319">
        <f>IF(OR(NOT(ISNUMBER(G1538)),NOT(ISNUMBER(H1538)),G1538=0),"",I1538/G1538)</f>
        <v/>
      </c>
      <c r="K1538" s="319">
        <f>IF(OR(NOT(ISNUMBER(G1538)),NOT(ISNUMBER(H1538)),G1538=0),"",H1538/G1538)</f>
        <v/>
      </c>
      <c r="L1538">
        <f>IF(NOT(ISNUMBER(G1538)),"SEM META",IF(G1538=0,"SEM META",IF(NOT(ISNUMBER(H1538)),"SEM APONTAMENTO",IF(H1538&gt;=G1538,"VERDE",IF(H1538&gt;=G1538*0.9,"AMARELO","VERMELHO")))))</f>
        <v/>
      </c>
      <c r="M1538" s="162" t="n"/>
      <c r="N1538" s="162" t="n"/>
      <c r="O1538" s="162" t="n"/>
      <c r="P1538" s="162" t="n"/>
      <c r="Q1538" s="320" t="n"/>
      <c r="R1538" s="162" t="inlineStr">
        <is>
          <t>CONTROLE PRODUÇÃO POR EMPRESAS!B262</t>
        </is>
      </c>
    </row>
    <row r="1539" ht="28.5" customHeight="1">
      <c r="A1539" s="317" t="n">
        <v>46479</v>
      </c>
      <c r="B1539" t="inlineStr">
        <is>
          <t>GERAL</t>
        </is>
      </c>
      <c r="C1539" t="inlineStr">
        <is>
          <t>EJ</t>
        </is>
      </c>
      <c r="D1539" t="inlineStr">
        <is>
          <t>IÇAMENTO JOIST</t>
        </is>
      </c>
      <c r="F1539" s="159">
        <f>IFERROR(INDEX('BASE METAS DIÁRIAS'!$N$2:$S$358,MATCH($A1539,'BASE METAS DIÁRIAS'!$A$2:$A$358,0),MOD(ROW()-2,6)+1),"")</f>
        <v/>
      </c>
      <c r="G1539" s="159">
        <f>IFERROR(IF(WEEKDAY($A1539,2)&lt;=INDEX('BASE METAS DIÁRIAS'!$H$2:$M$358,MATCH($A1539,'BASE METAS DIÁRIAS'!$A$2:$A$358,0),MOD(ROW()-2,6)+1),INDEX('BASE METAS DIÁRIAS'!$B$2:$G$358,MATCH($A1539,'BASE METAS DIÁRIAS'!$A$2:$A$358,0),MOD(ROW()-2,6)+1),""),"")</f>
        <v/>
      </c>
      <c r="H1539" s="159">
        <f>IFERROR(IF(INDEX('CONTROLE PRODUÇÃO POR EMPRESAS'!$B$6:$G$5000,MATCH($A1539,'CONTROLE PRODUÇÃO POR EMPRESAS'!$A$6:$A$5000,0),MOD(ROW()-2,6)+1)="","",IFERROR(1*INDEX('CONTROLE PRODUÇÃO POR EMPRESAS'!$B$6:$G$5000,MATCH($A1539,'CONTROLE PRODUÇÃO POR EMPRESAS'!$A$6:$A$5000,0),MOD(ROW()-2,6)+1),"")),"")</f>
        <v/>
      </c>
      <c r="I1539" s="159">
        <f>IF(OR(NOT(ISNUMBER(G1539)),NOT(ISNUMBER(H1539))),"",H1539-G1539)</f>
        <v/>
      </c>
      <c r="J1539" s="319">
        <f>IF(OR(NOT(ISNUMBER(G1539)),NOT(ISNUMBER(H1539)),G1539=0),"",I1539/G1539)</f>
        <v/>
      </c>
      <c r="K1539" s="319">
        <f>IF(OR(NOT(ISNUMBER(G1539)),NOT(ISNUMBER(H1539)),G1539=0),"",H1539/G1539)</f>
        <v/>
      </c>
      <c r="L1539">
        <f>IF(NOT(ISNUMBER(G1539)),"SEM META",IF(G1539=0,"SEM META",IF(NOT(ISNUMBER(H1539)),"SEM APONTAMENTO",IF(H1539&gt;=G1539,"VERDE",IF(H1539&gt;=G1539*0.9,"AMARELO","VERMELHO")))))</f>
        <v/>
      </c>
      <c r="M1539" s="162" t="n"/>
      <c r="N1539" s="162" t="n"/>
      <c r="O1539" s="162" t="n"/>
      <c r="P1539" s="162" t="n"/>
      <c r="Q1539" s="320" t="n"/>
      <c r="R1539" s="162" t="inlineStr">
        <is>
          <t>CONTROLE PRODUÇÃO POR EMPRESAS!C262</t>
        </is>
      </c>
    </row>
    <row r="1540" ht="28.5" customHeight="1">
      <c r="A1540" s="317" t="n">
        <v>46479</v>
      </c>
      <c r="B1540" t="inlineStr">
        <is>
          <t>GERAL</t>
        </is>
      </c>
      <c r="C1540" t="inlineStr">
        <is>
          <t>EJ</t>
        </is>
      </c>
      <c r="D1540" t="inlineStr">
        <is>
          <t>VIGAS</t>
        </is>
      </c>
      <c r="F1540" s="159">
        <f>IFERROR(INDEX('BASE METAS DIÁRIAS'!$N$2:$S$358,MATCH($A1540,'BASE METAS DIÁRIAS'!$A$2:$A$358,0),MOD(ROW()-2,6)+1),"")</f>
        <v/>
      </c>
      <c r="G1540" s="159">
        <f>IFERROR(IF(WEEKDAY($A1540,2)&lt;=INDEX('BASE METAS DIÁRIAS'!$H$2:$M$358,MATCH($A1540,'BASE METAS DIÁRIAS'!$A$2:$A$358,0),MOD(ROW()-2,6)+1),INDEX('BASE METAS DIÁRIAS'!$B$2:$G$358,MATCH($A1540,'BASE METAS DIÁRIAS'!$A$2:$A$358,0),MOD(ROW()-2,6)+1),""),"")</f>
        <v/>
      </c>
      <c r="H1540" s="159">
        <f>IFERROR(IF(INDEX('CONTROLE PRODUÇÃO POR EMPRESAS'!$B$6:$G$5000,MATCH($A1540,'CONTROLE PRODUÇÃO POR EMPRESAS'!$A$6:$A$5000,0),MOD(ROW()-2,6)+1)="","",IFERROR(1*INDEX('CONTROLE PRODUÇÃO POR EMPRESAS'!$B$6:$G$5000,MATCH($A1540,'CONTROLE PRODUÇÃO POR EMPRESAS'!$A$6:$A$5000,0),MOD(ROW()-2,6)+1),"")),"")</f>
        <v/>
      </c>
      <c r="I1540" s="159">
        <f>IF(OR(NOT(ISNUMBER(G1540)),NOT(ISNUMBER(H1540))),"",H1540-G1540)</f>
        <v/>
      </c>
      <c r="J1540" s="319">
        <f>IF(OR(NOT(ISNUMBER(G1540)),NOT(ISNUMBER(H1540)),G1540=0),"",I1540/G1540)</f>
        <v/>
      </c>
      <c r="K1540" s="319">
        <f>IF(OR(NOT(ISNUMBER(G1540)),NOT(ISNUMBER(H1540)),G1540=0),"",H1540/G1540)</f>
        <v/>
      </c>
      <c r="L1540">
        <f>IF(NOT(ISNUMBER(G1540)),"SEM META",IF(G1540=0,"SEM META",IF(NOT(ISNUMBER(H1540)),"SEM APONTAMENTO",IF(H1540&gt;=G1540,"VERDE",IF(H1540&gt;=G1540*0.9,"AMARELO","VERMELHO")))))</f>
        <v/>
      </c>
      <c r="M1540" s="162" t="n"/>
      <c r="N1540" s="162" t="n"/>
      <c r="O1540" s="162" t="n"/>
      <c r="P1540" s="162" t="n"/>
      <c r="Q1540" s="320" t="n"/>
      <c r="R1540" s="162" t="inlineStr">
        <is>
          <t>CONTROLE PRODUÇÃO POR EMPRESAS!D262</t>
        </is>
      </c>
    </row>
    <row r="1541" ht="28.5" customHeight="1">
      <c r="A1541" s="317" t="n">
        <v>46479</v>
      </c>
      <c r="B1541" t="inlineStr">
        <is>
          <t>GERAL</t>
        </is>
      </c>
      <c r="C1541" t="inlineStr">
        <is>
          <t>CMM</t>
        </is>
      </c>
      <c r="D1541" t="inlineStr">
        <is>
          <t>PREMONTAGEM</t>
        </is>
      </c>
      <c r="F1541" s="159">
        <f>IFERROR(INDEX('BASE METAS DIÁRIAS'!$N$2:$S$358,MATCH($A1541,'BASE METAS DIÁRIAS'!$A$2:$A$358,0),MOD(ROW()-2,6)+1),"")</f>
        <v/>
      </c>
      <c r="G1541" s="159">
        <f>IFERROR(IF(WEEKDAY($A1541,2)&lt;=INDEX('BASE METAS DIÁRIAS'!$H$2:$M$358,MATCH($A1541,'BASE METAS DIÁRIAS'!$A$2:$A$358,0),MOD(ROW()-2,6)+1),INDEX('BASE METAS DIÁRIAS'!$B$2:$G$358,MATCH($A1541,'BASE METAS DIÁRIAS'!$A$2:$A$358,0),MOD(ROW()-2,6)+1),""),"")</f>
        <v/>
      </c>
      <c r="H1541" s="159">
        <f>IFERROR(IF(INDEX('CONTROLE PRODUÇÃO POR EMPRESAS'!$B$6:$G$5000,MATCH($A1541,'CONTROLE PRODUÇÃO POR EMPRESAS'!$A$6:$A$5000,0),MOD(ROW()-2,6)+1)="","",IFERROR(1*INDEX('CONTROLE PRODUÇÃO POR EMPRESAS'!$B$6:$G$5000,MATCH($A1541,'CONTROLE PRODUÇÃO POR EMPRESAS'!$A$6:$A$5000,0),MOD(ROW()-2,6)+1),"")),"")</f>
        <v/>
      </c>
      <c r="I1541" s="159">
        <f>IF(OR(NOT(ISNUMBER(G1541)),NOT(ISNUMBER(H1541))),"",H1541-G1541)</f>
        <v/>
      </c>
      <c r="J1541" s="319">
        <f>IF(OR(NOT(ISNUMBER(G1541)),NOT(ISNUMBER(H1541)),G1541=0),"",I1541/G1541)</f>
        <v/>
      </c>
      <c r="K1541" s="319">
        <f>IF(OR(NOT(ISNUMBER(G1541)),NOT(ISNUMBER(H1541)),G1541=0),"",H1541/G1541)</f>
        <v/>
      </c>
      <c r="L1541">
        <f>IF(NOT(ISNUMBER(G1541)),"SEM META",IF(G1541=0,"SEM META",IF(NOT(ISNUMBER(H1541)),"SEM APONTAMENTO",IF(H1541&gt;=G1541,"VERDE",IF(H1541&gt;=G1541*0.9,"AMARELO","VERMELHO")))))</f>
        <v/>
      </c>
      <c r="M1541" s="162" t="n"/>
      <c r="N1541" s="162" t="n"/>
      <c r="O1541" s="162" t="n"/>
      <c r="P1541" s="162" t="n"/>
      <c r="Q1541" s="320" t="n"/>
      <c r="R1541" s="162" t="inlineStr">
        <is>
          <t>CONTROLE PRODUÇÃO POR EMPRESAS!E262</t>
        </is>
      </c>
    </row>
    <row r="1542" ht="28.5" customHeight="1">
      <c r="A1542" s="317" t="n">
        <v>46479</v>
      </c>
      <c r="B1542" t="inlineStr">
        <is>
          <t>GERAL</t>
        </is>
      </c>
      <c r="C1542" t="inlineStr">
        <is>
          <t>CMM</t>
        </is>
      </c>
      <c r="D1542" t="inlineStr">
        <is>
          <t>IÇAMENTO JOIST</t>
        </is>
      </c>
      <c r="F1542" s="159">
        <f>IFERROR(INDEX('BASE METAS DIÁRIAS'!$N$2:$S$358,MATCH($A1542,'BASE METAS DIÁRIAS'!$A$2:$A$358,0),MOD(ROW()-2,6)+1),"")</f>
        <v/>
      </c>
      <c r="G1542" s="159">
        <f>IFERROR(IF(WEEKDAY($A1542,2)&lt;=INDEX('BASE METAS DIÁRIAS'!$H$2:$M$358,MATCH($A1542,'BASE METAS DIÁRIAS'!$A$2:$A$358,0),MOD(ROW()-2,6)+1),INDEX('BASE METAS DIÁRIAS'!$B$2:$G$358,MATCH($A1542,'BASE METAS DIÁRIAS'!$A$2:$A$358,0),MOD(ROW()-2,6)+1),""),"")</f>
        <v/>
      </c>
      <c r="H1542" s="159">
        <f>IFERROR(IF(INDEX('CONTROLE PRODUÇÃO POR EMPRESAS'!$B$6:$G$5000,MATCH($A1542,'CONTROLE PRODUÇÃO POR EMPRESAS'!$A$6:$A$5000,0),MOD(ROW()-2,6)+1)="","",IFERROR(1*INDEX('CONTROLE PRODUÇÃO POR EMPRESAS'!$B$6:$G$5000,MATCH($A1542,'CONTROLE PRODUÇÃO POR EMPRESAS'!$A$6:$A$5000,0),MOD(ROW()-2,6)+1),"")),"")</f>
        <v/>
      </c>
      <c r="I1542" s="159">
        <f>IF(OR(NOT(ISNUMBER(G1542)),NOT(ISNUMBER(H1542))),"",H1542-G1542)</f>
        <v/>
      </c>
      <c r="J1542" s="319">
        <f>IF(OR(NOT(ISNUMBER(G1542)),NOT(ISNUMBER(H1542)),G1542=0),"",I1542/G1542)</f>
        <v/>
      </c>
      <c r="K1542" s="319">
        <f>IF(OR(NOT(ISNUMBER(G1542)),NOT(ISNUMBER(H1542)),G1542=0),"",H1542/G1542)</f>
        <v/>
      </c>
      <c r="L1542">
        <f>IF(NOT(ISNUMBER(G1542)),"SEM META",IF(G1542=0,"SEM META",IF(NOT(ISNUMBER(H1542)),"SEM APONTAMENTO",IF(H1542&gt;=G1542,"VERDE",IF(H1542&gt;=G1542*0.9,"AMARELO","VERMELHO")))))</f>
        <v/>
      </c>
      <c r="M1542" s="162" t="n"/>
      <c r="N1542" s="162" t="n"/>
      <c r="O1542" s="162" t="n"/>
      <c r="P1542" s="162" t="n"/>
      <c r="Q1542" s="320" t="n"/>
      <c r="R1542" s="162" t="inlineStr">
        <is>
          <t>CONTROLE PRODUÇÃO POR EMPRESAS!F262</t>
        </is>
      </c>
    </row>
    <row r="1543" ht="28.5" customHeight="1">
      <c r="A1543" s="317" t="n">
        <v>46479</v>
      </c>
      <c r="B1543" t="inlineStr">
        <is>
          <t>GERAL</t>
        </is>
      </c>
      <c r="C1543" t="inlineStr">
        <is>
          <t>CMM</t>
        </is>
      </c>
      <c r="D1543" t="inlineStr">
        <is>
          <t>VIGAS</t>
        </is>
      </c>
      <c r="F1543" s="159">
        <f>IFERROR(INDEX('BASE METAS DIÁRIAS'!$N$2:$S$358,MATCH($A1543,'BASE METAS DIÁRIAS'!$A$2:$A$358,0),MOD(ROW()-2,6)+1),"")</f>
        <v/>
      </c>
      <c r="G1543" s="159">
        <f>IFERROR(IF(WEEKDAY($A1543,2)&lt;=INDEX('BASE METAS DIÁRIAS'!$H$2:$M$358,MATCH($A1543,'BASE METAS DIÁRIAS'!$A$2:$A$358,0),MOD(ROW()-2,6)+1),INDEX('BASE METAS DIÁRIAS'!$B$2:$G$358,MATCH($A1543,'BASE METAS DIÁRIAS'!$A$2:$A$358,0),MOD(ROW()-2,6)+1),""),"")</f>
        <v/>
      </c>
      <c r="H1543" s="159">
        <f>IFERROR(IF(INDEX('CONTROLE PRODUÇÃO POR EMPRESAS'!$B$6:$G$5000,MATCH($A1543,'CONTROLE PRODUÇÃO POR EMPRESAS'!$A$6:$A$5000,0),MOD(ROW()-2,6)+1)="","",IFERROR(1*INDEX('CONTROLE PRODUÇÃO POR EMPRESAS'!$B$6:$G$5000,MATCH($A1543,'CONTROLE PRODUÇÃO POR EMPRESAS'!$A$6:$A$5000,0),MOD(ROW()-2,6)+1),"")),"")</f>
        <v/>
      </c>
      <c r="I1543" s="159">
        <f>IF(OR(NOT(ISNUMBER(G1543)),NOT(ISNUMBER(H1543))),"",H1543-G1543)</f>
        <v/>
      </c>
      <c r="J1543" s="319">
        <f>IF(OR(NOT(ISNUMBER(G1543)),NOT(ISNUMBER(H1543)),G1543=0),"",I1543/G1543)</f>
        <v/>
      </c>
      <c r="K1543" s="319">
        <f>IF(OR(NOT(ISNUMBER(G1543)),NOT(ISNUMBER(H1543)),G1543=0),"",H1543/G1543)</f>
        <v/>
      </c>
      <c r="L1543">
        <f>IF(NOT(ISNUMBER(G1543)),"SEM META",IF(G1543=0,"SEM META",IF(NOT(ISNUMBER(H1543)),"SEM APONTAMENTO",IF(H1543&gt;=G1543,"VERDE",IF(H1543&gt;=G1543*0.9,"AMARELO","VERMELHO")))))</f>
        <v/>
      </c>
      <c r="M1543" s="162" t="n"/>
      <c r="N1543" s="162" t="n"/>
      <c r="O1543" s="162" t="n"/>
      <c r="P1543" s="162" t="n"/>
      <c r="Q1543" s="320" t="n"/>
      <c r="R1543" s="162" t="inlineStr">
        <is>
          <t>CONTROLE PRODUÇÃO POR EMPRESAS!G262</t>
        </is>
      </c>
    </row>
    <row r="1544" ht="28.5" customHeight="1">
      <c r="A1544" s="317" t="n">
        <v>46480</v>
      </c>
      <c r="B1544" t="inlineStr">
        <is>
          <t>GERAL</t>
        </is>
      </c>
      <c r="C1544" t="inlineStr">
        <is>
          <t>EJ</t>
        </is>
      </c>
      <c r="D1544" t="inlineStr">
        <is>
          <t>PREMONTAGEM</t>
        </is>
      </c>
      <c r="F1544" s="159">
        <f>IFERROR(INDEX('BASE METAS DIÁRIAS'!$N$2:$S$358,MATCH($A1544,'BASE METAS DIÁRIAS'!$A$2:$A$358,0),MOD(ROW()-2,6)+1),"")</f>
        <v/>
      </c>
      <c r="G1544" s="159">
        <f>IFERROR(IF(WEEKDAY($A1544,2)&lt;=INDEX('BASE METAS DIÁRIAS'!$H$2:$M$358,MATCH($A1544,'BASE METAS DIÁRIAS'!$A$2:$A$358,0),MOD(ROW()-2,6)+1),INDEX('BASE METAS DIÁRIAS'!$B$2:$G$358,MATCH($A1544,'BASE METAS DIÁRIAS'!$A$2:$A$358,0),MOD(ROW()-2,6)+1),""),"")</f>
        <v/>
      </c>
      <c r="H1544" s="159">
        <f>IFERROR(IF(INDEX('CONTROLE PRODUÇÃO POR EMPRESAS'!$B$6:$G$5000,MATCH($A1544,'CONTROLE PRODUÇÃO POR EMPRESAS'!$A$6:$A$5000,0),MOD(ROW()-2,6)+1)="","",IFERROR(1*INDEX('CONTROLE PRODUÇÃO POR EMPRESAS'!$B$6:$G$5000,MATCH($A1544,'CONTROLE PRODUÇÃO POR EMPRESAS'!$A$6:$A$5000,0),MOD(ROW()-2,6)+1),"")),"")</f>
        <v/>
      </c>
      <c r="I1544" s="159">
        <f>IF(OR(NOT(ISNUMBER(G1544)),NOT(ISNUMBER(H1544))),"",H1544-G1544)</f>
        <v/>
      </c>
      <c r="J1544" s="319">
        <f>IF(OR(NOT(ISNUMBER(G1544)),NOT(ISNUMBER(H1544)),G1544=0),"",I1544/G1544)</f>
        <v/>
      </c>
      <c r="K1544" s="319">
        <f>IF(OR(NOT(ISNUMBER(G1544)),NOT(ISNUMBER(H1544)),G1544=0),"",H1544/G1544)</f>
        <v/>
      </c>
      <c r="L1544">
        <f>IF(NOT(ISNUMBER(G1544)),"SEM META",IF(G1544=0,"SEM META",IF(NOT(ISNUMBER(H1544)),"SEM APONTAMENTO",IF(H1544&gt;=G1544,"VERDE",IF(H1544&gt;=G1544*0.9,"AMARELO","VERMELHO")))))</f>
        <v/>
      </c>
      <c r="M1544" s="162" t="n"/>
      <c r="N1544" s="162" t="n"/>
      <c r="O1544" s="162" t="n"/>
      <c r="P1544" s="162" t="n"/>
      <c r="Q1544" s="320" t="n"/>
      <c r="R1544" s="162" t="inlineStr">
        <is>
          <t>CONTROLE PRODUÇÃO POR EMPRESAS!B263</t>
        </is>
      </c>
    </row>
    <row r="1545" ht="28.5" customHeight="1">
      <c r="A1545" s="317" t="n">
        <v>46480</v>
      </c>
      <c r="B1545" t="inlineStr">
        <is>
          <t>GERAL</t>
        </is>
      </c>
      <c r="C1545" t="inlineStr">
        <is>
          <t>EJ</t>
        </is>
      </c>
      <c r="D1545" t="inlineStr">
        <is>
          <t>IÇAMENTO JOIST</t>
        </is>
      </c>
      <c r="F1545" s="159">
        <f>IFERROR(INDEX('BASE METAS DIÁRIAS'!$N$2:$S$358,MATCH($A1545,'BASE METAS DIÁRIAS'!$A$2:$A$358,0),MOD(ROW()-2,6)+1),"")</f>
        <v/>
      </c>
      <c r="G1545" s="159">
        <f>IFERROR(IF(WEEKDAY($A1545,2)&lt;=INDEX('BASE METAS DIÁRIAS'!$H$2:$M$358,MATCH($A1545,'BASE METAS DIÁRIAS'!$A$2:$A$358,0),MOD(ROW()-2,6)+1),INDEX('BASE METAS DIÁRIAS'!$B$2:$G$358,MATCH($A1545,'BASE METAS DIÁRIAS'!$A$2:$A$358,0),MOD(ROW()-2,6)+1),""),"")</f>
        <v/>
      </c>
      <c r="H1545" s="159">
        <f>IFERROR(IF(INDEX('CONTROLE PRODUÇÃO POR EMPRESAS'!$B$6:$G$5000,MATCH($A1545,'CONTROLE PRODUÇÃO POR EMPRESAS'!$A$6:$A$5000,0),MOD(ROW()-2,6)+1)="","",IFERROR(1*INDEX('CONTROLE PRODUÇÃO POR EMPRESAS'!$B$6:$G$5000,MATCH($A1545,'CONTROLE PRODUÇÃO POR EMPRESAS'!$A$6:$A$5000,0),MOD(ROW()-2,6)+1),"")),"")</f>
        <v/>
      </c>
      <c r="I1545" s="159">
        <f>IF(OR(NOT(ISNUMBER(G1545)),NOT(ISNUMBER(H1545))),"",H1545-G1545)</f>
        <v/>
      </c>
      <c r="J1545" s="319">
        <f>IF(OR(NOT(ISNUMBER(G1545)),NOT(ISNUMBER(H1545)),G1545=0),"",I1545/G1545)</f>
        <v/>
      </c>
      <c r="K1545" s="319">
        <f>IF(OR(NOT(ISNUMBER(G1545)),NOT(ISNUMBER(H1545)),G1545=0),"",H1545/G1545)</f>
        <v/>
      </c>
      <c r="L1545">
        <f>IF(NOT(ISNUMBER(G1545)),"SEM META",IF(G1545=0,"SEM META",IF(NOT(ISNUMBER(H1545)),"SEM APONTAMENTO",IF(H1545&gt;=G1545,"VERDE",IF(H1545&gt;=G1545*0.9,"AMARELO","VERMELHO")))))</f>
        <v/>
      </c>
      <c r="M1545" s="162" t="n"/>
      <c r="N1545" s="162" t="n"/>
      <c r="O1545" s="162" t="n"/>
      <c r="P1545" s="162" t="n"/>
      <c r="Q1545" s="320" t="n"/>
      <c r="R1545" s="162" t="inlineStr">
        <is>
          <t>CONTROLE PRODUÇÃO POR EMPRESAS!C263</t>
        </is>
      </c>
    </row>
    <row r="1546" ht="28.5" customHeight="1">
      <c r="A1546" s="317" t="n">
        <v>46480</v>
      </c>
      <c r="B1546" t="inlineStr">
        <is>
          <t>GERAL</t>
        </is>
      </c>
      <c r="C1546" t="inlineStr">
        <is>
          <t>EJ</t>
        </is>
      </c>
      <c r="D1546" t="inlineStr">
        <is>
          <t>VIGAS</t>
        </is>
      </c>
      <c r="F1546" s="159">
        <f>IFERROR(INDEX('BASE METAS DIÁRIAS'!$N$2:$S$358,MATCH($A1546,'BASE METAS DIÁRIAS'!$A$2:$A$358,0),MOD(ROW()-2,6)+1),"")</f>
        <v/>
      </c>
      <c r="G1546" s="159">
        <f>IFERROR(IF(WEEKDAY($A1546,2)&lt;=INDEX('BASE METAS DIÁRIAS'!$H$2:$M$358,MATCH($A1546,'BASE METAS DIÁRIAS'!$A$2:$A$358,0),MOD(ROW()-2,6)+1),INDEX('BASE METAS DIÁRIAS'!$B$2:$G$358,MATCH($A1546,'BASE METAS DIÁRIAS'!$A$2:$A$358,0),MOD(ROW()-2,6)+1),""),"")</f>
        <v/>
      </c>
      <c r="H1546" s="159">
        <f>IFERROR(IF(INDEX('CONTROLE PRODUÇÃO POR EMPRESAS'!$B$6:$G$5000,MATCH($A1546,'CONTROLE PRODUÇÃO POR EMPRESAS'!$A$6:$A$5000,0),MOD(ROW()-2,6)+1)="","",IFERROR(1*INDEX('CONTROLE PRODUÇÃO POR EMPRESAS'!$B$6:$G$5000,MATCH($A1546,'CONTROLE PRODUÇÃO POR EMPRESAS'!$A$6:$A$5000,0),MOD(ROW()-2,6)+1),"")),"")</f>
        <v/>
      </c>
      <c r="I1546" s="159">
        <f>IF(OR(NOT(ISNUMBER(G1546)),NOT(ISNUMBER(H1546))),"",H1546-G1546)</f>
        <v/>
      </c>
      <c r="J1546" s="319">
        <f>IF(OR(NOT(ISNUMBER(G1546)),NOT(ISNUMBER(H1546)),G1546=0),"",I1546/G1546)</f>
        <v/>
      </c>
      <c r="K1546" s="319">
        <f>IF(OR(NOT(ISNUMBER(G1546)),NOT(ISNUMBER(H1546)),G1546=0),"",H1546/G1546)</f>
        <v/>
      </c>
      <c r="L1546">
        <f>IF(NOT(ISNUMBER(G1546)),"SEM META",IF(G1546=0,"SEM META",IF(NOT(ISNUMBER(H1546)),"SEM APONTAMENTO",IF(H1546&gt;=G1546,"VERDE",IF(H1546&gt;=G1546*0.9,"AMARELO","VERMELHO")))))</f>
        <v/>
      </c>
      <c r="M1546" s="162" t="n"/>
      <c r="N1546" s="162" t="n"/>
      <c r="O1546" s="162" t="n"/>
      <c r="P1546" s="162" t="n"/>
      <c r="Q1546" s="320" t="n"/>
      <c r="R1546" s="162" t="inlineStr">
        <is>
          <t>CONTROLE PRODUÇÃO POR EMPRESAS!D263</t>
        </is>
      </c>
    </row>
    <row r="1547" ht="28.5" customHeight="1">
      <c r="A1547" s="317" t="n">
        <v>46480</v>
      </c>
      <c r="B1547" t="inlineStr">
        <is>
          <t>GERAL</t>
        </is>
      </c>
      <c r="C1547" t="inlineStr">
        <is>
          <t>CMM</t>
        </is>
      </c>
      <c r="D1547" t="inlineStr">
        <is>
          <t>PREMONTAGEM</t>
        </is>
      </c>
      <c r="F1547" s="159">
        <f>IFERROR(INDEX('BASE METAS DIÁRIAS'!$N$2:$S$358,MATCH($A1547,'BASE METAS DIÁRIAS'!$A$2:$A$358,0),MOD(ROW()-2,6)+1),"")</f>
        <v/>
      </c>
      <c r="G1547" s="159">
        <f>IFERROR(IF(WEEKDAY($A1547,2)&lt;=INDEX('BASE METAS DIÁRIAS'!$H$2:$M$358,MATCH($A1547,'BASE METAS DIÁRIAS'!$A$2:$A$358,0),MOD(ROW()-2,6)+1),INDEX('BASE METAS DIÁRIAS'!$B$2:$G$358,MATCH($A1547,'BASE METAS DIÁRIAS'!$A$2:$A$358,0),MOD(ROW()-2,6)+1),""),"")</f>
        <v/>
      </c>
      <c r="H1547" s="159">
        <f>IFERROR(IF(INDEX('CONTROLE PRODUÇÃO POR EMPRESAS'!$B$6:$G$5000,MATCH($A1547,'CONTROLE PRODUÇÃO POR EMPRESAS'!$A$6:$A$5000,0),MOD(ROW()-2,6)+1)="","",IFERROR(1*INDEX('CONTROLE PRODUÇÃO POR EMPRESAS'!$B$6:$G$5000,MATCH($A1547,'CONTROLE PRODUÇÃO POR EMPRESAS'!$A$6:$A$5000,0),MOD(ROW()-2,6)+1),"")),"")</f>
        <v/>
      </c>
      <c r="I1547" s="159">
        <f>IF(OR(NOT(ISNUMBER(G1547)),NOT(ISNUMBER(H1547))),"",H1547-G1547)</f>
        <v/>
      </c>
      <c r="J1547" s="319">
        <f>IF(OR(NOT(ISNUMBER(G1547)),NOT(ISNUMBER(H1547)),G1547=0),"",I1547/G1547)</f>
        <v/>
      </c>
      <c r="K1547" s="319">
        <f>IF(OR(NOT(ISNUMBER(G1547)),NOT(ISNUMBER(H1547)),G1547=0),"",H1547/G1547)</f>
        <v/>
      </c>
      <c r="L1547">
        <f>IF(NOT(ISNUMBER(G1547)),"SEM META",IF(G1547=0,"SEM META",IF(NOT(ISNUMBER(H1547)),"SEM APONTAMENTO",IF(H1547&gt;=G1547,"VERDE",IF(H1547&gt;=G1547*0.9,"AMARELO","VERMELHO")))))</f>
        <v/>
      </c>
      <c r="M1547" s="162" t="n"/>
      <c r="N1547" s="162" t="n"/>
      <c r="O1547" s="162" t="n"/>
      <c r="P1547" s="162" t="n"/>
      <c r="Q1547" s="320" t="n"/>
      <c r="R1547" s="162" t="inlineStr">
        <is>
          <t>CONTROLE PRODUÇÃO POR EMPRESAS!E263</t>
        </is>
      </c>
    </row>
    <row r="1548" ht="28.5" customHeight="1">
      <c r="A1548" s="317" t="n">
        <v>46480</v>
      </c>
      <c r="B1548" t="inlineStr">
        <is>
          <t>GERAL</t>
        </is>
      </c>
      <c r="C1548" t="inlineStr">
        <is>
          <t>CMM</t>
        </is>
      </c>
      <c r="D1548" t="inlineStr">
        <is>
          <t>IÇAMENTO JOIST</t>
        </is>
      </c>
      <c r="F1548" s="159">
        <f>IFERROR(INDEX('BASE METAS DIÁRIAS'!$N$2:$S$358,MATCH($A1548,'BASE METAS DIÁRIAS'!$A$2:$A$358,0),MOD(ROW()-2,6)+1),"")</f>
        <v/>
      </c>
      <c r="G1548" s="159">
        <f>IFERROR(IF(WEEKDAY($A1548,2)&lt;=INDEX('BASE METAS DIÁRIAS'!$H$2:$M$358,MATCH($A1548,'BASE METAS DIÁRIAS'!$A$2:$A$358,0),MOD(ROW()-2,6)+1),INDEX('BASE METAS DIÁRIAS'!$B$2:$G$358,MATCH($A1548,'BASE METAS DIÁRIAS'!$A$2:$A$358,0),MOD(ROW()-2,6)+1),""),"")</f>
        <v/>
      </c>
      <c r="H1548" s="159">
        <f>IFERROR(IF(INDEX('CONTROLE PRODUÇÃO POR EMPRESAS'!$B$6:$G$5000,MATCH($A1548,'CONTROLE PRODUÇÃO POR EMPRESAS'!$A$6:$A$5000,0),MOD(ROW()-2,6)+1)="","",IFERROR(1*INDEX('CONTROLE PRODUÇÃO POR EMPRESAS'!$B$6:$G$5000,MATCH($A1548,'CONTROLE PRODUÇÃO POR EMPRESAS'!$A$6:$A$5000,0),MOD(ROW()-2,6)+1),"")),"")</f>
        <v/>
      </c>
      <c r="I1548" s="159">
        <f>IF(OR(NOT(ISNUMBER(G1548)),NOT(ISNUMBER(H1548))),"",H1548-G1548)</f>
        <v/>
      </c>
      <c r="J1548" s="319">
        <f>IF(OR(NOT(ISNUMBER(G1548)),NOT(ISNUMBER(H1548)),G1548=0),"",I1548/G1548)</f>
        <v/>
      </c>
      <c r="K1548" s="319">
        <f>IF(OR(NOT(ISNUMBER(G1548)),NOT(ISNUMBER(H1548)),G1548=0),"",H1548/G1548)</f>
        <v/>
      </c>
      <c r="L1548">
        <f>IF(NOT(ISNUMBER(G1548)),"SEM META",IF(G1548=0,"SEM META",IF(NOT(ISNUMBER(H1548)),"SEM APONTAMENTO",IF(H1548&gt;=G1548,"VERDE",IF(H1548&gt;=G1548*0.9,"AMARELO","VERMELHO")))))</f>
        <v/>
      </c>
      <c r="M1548" s="162" t="n"/>
      <c r="N1548" s="162" t="n"/>
      <c r="O1548" s="162" t="n"/>
      <c r="P1548" s="162" t="n"/>
      <c r="Q1548" s="320" t="n"/>
      <c r="R1548" s="162" t="inlineStr">
        <is>
          <t>CONTROLE PRODUÇÃO POR EMPRESAS!F263</t>
        </is>
      </c>
    </row>
    <row r="1549" ht="28.5" customHeight="1">
      <c r="A1549" s="317" t="n">
        <v>46480</v>
      </c>
      <c r="B1549" t="inlineStr">
        <is>
          <t>GERAL</t>
        </is>
      </c>
      <c r="C1549" t="inlineStr">
        <is>
          <t>CMM</t>
        </is>
      </c>
      <c r="D1549" t="inlineStr">
        <is>
          <t>VIGAS</t>
        </is>
      </c>
      <c r="F1549" s="159">
        <f>IFERROR(INDEX('BASE METAS DIÁRIAS'!$N$2:$S$358,MATCH($A1549,'BASE METAS DIÁRIAS'!$A$2:$A$358,0),MOD(ROW()-2,6)+1),"")</f>
        <v/>
      </c>
      <c r="G1549" s="159">
        <f>IFERROR(IF(WEEKDAY($A1549,2)&lt;=INDEX('BASE METAS DIÁRIAS'!$H$2:$M$358,MATCH($A1549,'BASE METAS DIÁRIAS'!$A$2:$A$358,0),MOD(ROW()-2,6)+1),INDEX('BASE METAS DIÁRIAS'!$B$2:$G$358,MATCH($A1549,'BASE METAS DIÁRIAS'!$A$2:$A$358,0),MOD(ROW()-2,6)+1),""),"")</f>
        <v/>
      </c>
      <c r="H1549" s="159">
        <f>IFERROR(IF(INDEX('CONTROLE PRODUÇÃO POR EMPRESAS'!$B$6:$G$5000,MATCH($A1549,'CONTROLE PRODUÇÃO POR EMPRESAS'!$A$6:$A$5000,0),MOD(ROW()-2,6)+1)="","",IFERROR(1*INDEX('CONTROLE PRODUÇÃO POR EMPRESAS'!$B$6:$G$5000,MATCH($A1549,'CONTROLE PRODUÇÃO POR EMPRESAS'!$A$6:$A$5000,0),MOD(ROW()-2,6)+1),"")),"")</f>
        <v/>
      </c>
      <c r="I1549" s="159">
        <f>IF(OR(NOT(ISNUMBER(G1549)),NOT(ISNUMBER(H1549))),"",H1549-G1549)</f>
        <v/>
      </c>
      <c r="J1549" s="319">
        <f>IF(OR(NOT(ISNUMBER(G1549)),NOT(ISNUMBER(H1549)),G1549=0),"",I1549/G1549)</f>
        <v/>
      </c>
      <c r="K1549" s="319">
        <f>IF(OR(NOT(ISNUMBER(G1549)),NOT(ISNUMBER(H1549)),G1549=0),"",H1549/G1549)</f>
        <v/>
      </c>
      <c r="L1549">
        <f>IF(NOT(ISNUMBER(G1549)),"SEM META",IF(G1549=0,"SEM META",IF(NOT(ISNUMBER(H1549)),"SEM APONTAMENTO",IF(H1549&gt;=G1549,"VERDE",IF(H1549&gt;=G1549*0.9,"AMARELO","VERMELHO")))))</f>
        <v/>
      </c>
      <c r="M1549" s="162" t="n"/>
      <c r="N1549" s="162" t="n"/>
      <c r="O1549" s="162" t="n"/>
      <c r="P1549" s="162" t="n"/>
      <c r="Q1549" s="320" t="n"/>
      <c r="R1549" s="162" t="inlineStr">
        <is>
          <t>CONTROLE PRODUÇÃO POR EMPRESAS!G263</t>
        </is>
      </c>
    </row>
    <row r="1550" ht="28.5" customHeight="1">
      <c r="A1550" s="317" t="n">
        <v>46481</v>
      </c>
      <c r="B1550" t="inlineStr">
        <is>
          <t>GERAL</t>
        </is>
      </c>
      <c r="C1550" t="inlineStr">
        <is>
          <t>EJ</t>
        </is>
      </c>
      <c r="D1550" t="inlineStr">
        <is>
          <t>PREMONTAGEM</t>
        </is>
      </c>
      <c r="F1550" s="159">
        <f>IFERROR(INDEX('BASE METAS DIÁRIAS'!$N$2:$S$358,MATCH($A1550,'BASE METAS DIÁRIAS'!$A$2:$A$358,0),MOD(ROW()-2,6)+1),"")</f>
        <v/>
      </c>
      <c r="G1550" s="159">
        <f>IFERROR(IF(WEEKDAY($A1550,2)&lt;=INDEX('BASE METAS DIÁRIAS'!$H$2:$M$358,MATCH($A1550,'BASE METAS DIÁRIAS'!$A$2:$A$358,0),MOD(ROW()-2,6)+1),INDEX('BASE METAS DIÁRIAS'!$B$2:$G$358,MATCH($A1550,'BASE METAS DIÁRIAS'!$A$2:$A$358,0),MOD(ROW()-2,6)+1),""),"")</f>
        <v/>
      </c>
      <c r="H1550" s="159">
        <f>IFERROR(IF(INDEX('CONTROLE PRODUÇÃO POR EMPRESAS'!$B$6:$G$5000,MATCH($A1550,'CONTROLE PRODUÇÃO POR EMPRESAS'!$A$6:$A$5000,0),MOD(ROW()-2,6)+1)="","",IFERROR(1*INDEX('CONTROLE PRODUÇÃO POR EMPRESAS'!$B$6:$G$5000,MATCH($A1550,'CONTROLE PRODUÇÃO POR EMPRESAS'!$A$6:$A$5000,0),MOD(ROW()-2,6)+1),"")),"")</f>
        <v/>
      </c>
      <c r="I1550" s="159">
        <f>IF(OR(NOT(ISNUMBER(G1550)),NOT(ISNUMBER(H1550))),"",H1550-G1550)</f>
        <v/>
      </c>
      <c r="J1550" s="319">
        <f>IF(OR(NOT(ISNUMBER(G1550)),NOT(ISNUMBER(H1550)),G1550=0),"",I1550/G1550)</f>
        <v/>
      </c>
      <c r="K1550" s="319">
        <f>IF(OR(NOT(ISNUMBER(G1550)),NOT(ISNUMBER(H1550)),G1550=0),"",H1550/G1550)</f>
        <v/>
      </c>
      <c r="L1550">
        <f>IF(NOT(ISNUMBER(G1550)),"SEM META",IF(G1550=0,"SEM META",IF(NOT(ISNUMBER(H1550)),"SEM APONTAMENTO",IF(H1550&gt;=G1550,"VERDE",IF(H1550&gt;=G1550*0.9,"AMARELO","VERMELHO")))))</f>
        <v/>
      </c>
      <c r="M1550" s="162" t="n"/>
      <c r="N1550" s="162" t="n"/>
      <c r="O1550" s="162" t="n"/>
      <c r="P1550" s="162" t="n"/>
      <c r="Q1550" s="320" t="n"/>
      <c r="R1550" s="162" t="inlineStr">
        <is>
          <t>CONTROLE PRODUÇÃO POR EMPRESAS!B264</t>
        </is>
      </c>
    </row>
    <row r="1551" ht="28.5" customHeight="1">
      <c r="A1551" s="317" t="n">
        <v>46481</v>
      </c>
      <c r="B1551" t="inlineStr">
        <is>
          <t>GERAL</t>
        </is>
      </c>
      <c r="C1551" t="inlineStr">
        <is>
          <t>EJ</t>
        </is>
      </c>
      <c r="D1551" t="inlineStr">
        <is>
          <t>IÇAMENTO JOIST</t>
        </is>
      </c>
      <c r="F1551" s="159">
        <f>IFERROR(INDEX('BASE METAS DIÁRIAS'!$N$2:$S$358,MATCH($A1551,'BASE METAS DIÁRIAS'!$A$2:$A$358,0),MOD(ROW()-2,6)+1),"")</f>
        <v/>
      </c>
      <c r="G1551" s="159">
        <f>IFERROR(IF(WEEKDAY($A1551,2)&lt;=INDEX('BASE METAS DIÁRIAS'!$H$2:$M$358,MATCH($A1551,'BASE METAS DIÁRIAS'!$A$2:$A$358,0),MOD(ROW()-2,6)+1),INDEX('BASE METAS DIÁRIAS'!$B$2:$G$358,MATCH($A1551,'BASE METAS DIÁRIAS'!$A$2:$A$358,0),MOD(ROW()-2,6)+1),""),"")</f>
        <v/>
      </c>
      <c r="H1551" s="159">
        <f>IFERROR(IF(INDEX('CONTROLE PRODUÇÃO POR EMPRESAS'!$B$6:$G$5000,MATCH($A1551,'CONTROLE PRODUÇÃO POR EMPRESAS'!$A$6:$A$5000,0),MOD(ROW()-2,6)+1)="","",IFERROR(1*INDEX('CONTROLE PRODUÇÃO POR EMPRESAS'!$B$6:$G$5000,MATCH($A1551,'CONTROLE PRODUÇÃO POR EMPRESAS'!$A$6:$A$5000,0),MOD(ROW()-2,6)+1),"")),"")</f>
        <v/>
      </c>
      <c r="I1551" s="159">
        <f>IF(OR(NOT(ISNUMBER(G1551)),NOT(ISNUMBER(H1551))),"",H1551-G1551)</f>
        <v/>
      </c>
      <c r="J1551" s="319">
        <f>IF(OR(NOT(ISNUMBER(G1551)),NOT(ISNUMBER(H1551)),G1551=0),"",I1551/G1551)</f>
        <v/>
      </c>
      <c r="K1551" s="319">
        <f>IF(OR(NOT(ISNUMBER(G1551)),NOT(ISNUMBER(H1551)),G1551=0),"",H1551/G1551)</f>
        <v/>
      </c>
      <c r="L1551">
        <f>IF(NOT(ISNUMBER(G1551)),"SEM META",IF(G1551=0,"SEM META",IF(NOT(ISNUMBER(H1551)),"SEM APONTAMENTO",IF(H1551&gt;=G1551,"VERDE",IF(H1551&gt;=G1551*0.9,"AMARELO","VERMELHO")))))</f>
        <v/>
      </c>
      <c r="M1551" s="162" t="n"/>
      <c r="N1551" s="162" t="n"/>
      <c r="O1551" s="162" t="n"/>
      <c r="P1551" s="162" t="n"/>
      <c r="Q1551" s="320" t="n"/>
      <c r="R1551" s="162" t="inlineStr">
        <is>
          <t>CONTROLE PRODUÇÃO POR EMPRESAS!C264</t>
        </is>
      </c>
    </row>
    <row r="1552" ht="28.5" customHeight="1">
      <c r="A1552" s="317" t="n">
        <v>46481</v>
      </c>
      <c r="B1552" t="inlineStr">
        <is>
          <t>GERAL</t>
        </is>
      </c>
      <c r="C1552" t="inlineStr">
        <is>
          <t>EJ</t>
        </is>
      </c>
      <c r="D1552" t="inlineStr">
        <is>
          <t>VIGAS</t>
        </is>
      </c>
      <c r="F1552" s="159">
        <f>IFERROR(INDEX('BASE METAS DIÁRIAS'!$N$2:$S$358,MATCH($A1552,'BASE METAS DIÁRIAS'!$A$2:$A$358,0),MOD(ROW()-2,6)+1),"")</f>
        <v/>
      </c>
      <c r="G1552" s="159">
        <f>IFERROR(IF(WEEKDAY($A1552,2)&lt;=INDEX('BASE METAS DIÁRIAS'!$H$2:$M$358,MATCH($A1552,'BASE METAS DIÁRIAS'!$A$2:$A$358,0),MOD(ROW()-2,6)+1),INDEX('BASE METAS DIÁRIAS'!$B$2:$G$358,MATCH($A1552,'BASE METAS DIÁRIAS'!$A$2:$A$358,0),MOD(ROW()-2,6)+1),""),"")</f>
        <v/>
      </c>
      <c r="H1552" s="159">
        <f>IFERROR(IF(INDEX('CONTROLE PRODUÇÃO POR EMPRESAS'!$B$6:$G$5000,MATCH($A1552,'CONTROLE PRODUÇÃO POR EMPRESAS'!$A$6:$A$5000,0),MOD(ROW()-2,6)+1)="","",IFERROR(1*INDEX('CONTROLE PRODUÇÃO POR EMPRESAS'!$B$6:$G$5000,MATCH($A1552,'CONTROLE PRODUÇÃO POR EMPRESAS'!$A$6:$A$5000,0),MOD(ROW()-2,6)+1),"")),"")</f>
        <v/>
      </c>
      <c r="I1552" s="159">
        <f>IF(OR(NOT(ISNUMBER(G1552)),NOT(ISNUMBER(H1552))),"",H1552-G1552)</f>
        <v/>
      </c>
      <c r="J1552" s="319">
        <f>IF(OR(NOT(ISNUMBER(G1552)),NOT(ISNUMBER(H1552)),G1552=0),"",I1552/G1552)</f>
        <v/>
      </c>
      <c r="K1552" s="319">
        <f>IF(OR(NOT(ISNUMBER(G1552)),NOT(ISNUMBER(H1552)),G1552=0),"",H1552/G1552)</f>
        <v/>
      </c>
      <c r="L1552">
        <f>IF(NOT(ISNUMBER(G1552)),"SEM META",IF(G1552=0,"SEM META",IF(NOT(ISNUMBER(H1552)),"SEM APONTAMENTO",IF(H1552&gt;=G1552,"VERDE",IF(H1552&gt;=G1552*0.9,"AMARELO","VERMELHO")))))</f>
        <v/>
      </c>
      <c r="M1552" s="162" t="n"/>
      <c r="N1552" s="162" t="n"/>
      <c r="O1552" s="162" t="n"/>
      <c r="P1552" s="162" t="n"/>
      <c r="Q1552" s="320" t="n"/>
      <c r="R1552" s="162" t="inlineStr">
        <is>
          <t>CONTROLE PRODUÇÃO POR EMPRESAS!D264</t>
        </is>
      </c>
    </row>
    <row r="1553" ht="28.5" customHeight="1">
      <c r="A1553" s="317" t="n">
        <v>46481</v>
      </c>
      <c r="B1553" t="inlineStr">
        <is>
          <t>GERAL</t>
        </is>
      </c>
      <c r="C1553" t="inlineStr">
        <is>
          <t>CMM</t>
        </is>
      </c>
      <c r="D1553" t="inlineStr">
        <is>
          <t>PREMONTAGEM</t>
        </is>
      </c>
      <c r="F1553" s="159">
        <f>IFERROR(INDEX('BASE METAS DIÁRIAS'!$N$2:$S$358,MATCH($A1553,'BASE METAS DIÁRIAS'!$A$2:$A$358,0),MOD(ROW()-2,6)+1),"")</f>
        <v/>
      </c>
      <c r="G1553" s="159">
        <f>IFERROR(IF(WEEKDAY($A1553,2)&lt;=INDEX('BASE METAS DIÁRIAS'!$H$2:$M$358,MATCH($A1553,'BASE METAS DIÁRIAS'!$A$2:$A$358,0),MOD(ROW()-2,6)+1),INDEX('BASE METAS DIÁRIAS'!$B$2:$G$358,MATCH($A1553,'BASE METAS DIÁRIAS'!$A$2:$A$358,0),MOD(ROW()-2,6)+1),""),"")</f>
        <v/>
      </c>
      <c r="H1553" s="159">
        <f>IFERROR(IF(INDEX('CONTROLE PRODUÇÃO POR EMPRESAS'!$B$6:$G$5000,MATCH($A1553,'CONTROLE PRODUÇÃO POR EMPRESAS'!$A$6:$A$5000,0),MOD(ROW()-2,6)+1)="","",IFERROR(1*INDEX('CONTROLE PRODUÇÃO POR EMPRESAS'!$B$6:$G$5000,MATCH($A1553,'CONTROLE PRODUÇÃO POR EMPRESAS'!$A$6:$A$5000,0),MOD(ROW()-2,6)+1),"")),"")</f>
        <v/>
      </c>
      <c r="I1553" s="159">
        <f>IF(OR(NOT(ISNUMBER(G1553)),NOT(ISNUMBER(H1553))),"",H1553-G1553)</f>
        <v/>
      </c>
      <c r="J1553" s="319">
        <f>IF(OR(NOT(ISNUMBER(G1553)),NOT(ISNUMBER(H1553)),G1553=0),"",I1553/G1553)</f>
        <v/>
      </c>
      <c r="K1553" s="319">
        <f>IF(OR(NOT(ISNUMBER(G1553)),NOT(ISNUMBER(H1553)),G1553=0),"",H1553/G1553)</f>
        <v/>
      </c>
      <c r="L1553">
        <f>IF(NOT(ISNUMBER(G1553)),"SEM META",IF(G1553=0,"SEM META",IF(NOT(ISNUMBER(H1553)),"SEM APONTAMENTO",IF(H1553&gt;=G1553,"VERDE",IF(H1553&gt;=G1553*0.9,"AMARELO","VERMELHO")))))</f>
        <v/>
      </c>
      <c r="M1553" s="162" t="n"/>
      <c r="N1553" s="162" t="n"/>
      <c r="O1553" s="162" t="n"/>
      <c r="P1553" s="162" t="n"/>
      <c r="Q1553" s="320" t="n"/>
      <c r="R1553" s="162" t="inlineStr">
        <is>
          <t>CONTROLE PRODUÇÃO POR EMPRESAS!E264</t>
        </is>
      </c>
    </row>
    <row r="1554" ht="28.5" customHeight="1">
      <c r="A1554" s="317" t="n">
        <v>46481</v>
      </c>
      <c r="B1554" t="inlineStr">
        <is>
          <t>GERAL</t>
        </is>
      </c>
      <c r="C1554" t="inlineStr">
        <is>
          <t>CMM</t>
        </is>
      </c>
      <c r="D1554" t="inlineStr">
        <is>
          <t>IÇAMENTO JOIST</t>
        </is>
      </c>
      <c r="F1554" s="159">
        <f>IFERROR(INDEX('BASE METAS DIÁRIAS'!$N$2:$S$358,MATCH($A1554,'BASE METAS DIÁRIAS'!$A$2:$A$358,0),MOD(ROW()-2,6)+1),"")</f>
        <v/>
      </c>
      <c r="G1554" s="159">
        <f>IFERROR(IF(WEEKDAY($A1554,2)&lt;=INDEX('BASE METAS DIÁRIAS'!$H$2:$M$358,MATCH($A1554,'BASE METAS DIÁRIAS'!$A$2:$A$358,0),MOD(ROW()-2,6)+1),INDEX('BASE METAS DIÁRIAS'!$B$2:$G$358,MATCH($A1554,'BASE METAS DIÁRIAS'!$A$2:$A$358,0),MOD(ROW()-2,6)+1),""),"")</f>
        <v/>
      </c>
      <c r="H1554" s="159">
        <f>IFERROR(IF(INDEX('CONTROLE PRODUÇÃO POR EMPRESAS'!$B$6:$G$5000,MATCH($A1554,'CONTROLE PRODUÇÃO POR EMPRESAS'!$A$6:$A$5000,0),MOD(ROW()-2,6)+1)="","",IFERROR(1*INDEX('CONTROLE PRODUÇÃO POR EMPRESAS'!$B$6:$G$5000,MATCH($A1554,'CONTROLE PRODUÇÃO POR EMPRESAS'!$A$6:$A$5000,0),MOD(ROW()-2,6)+1),"")),"")</f>
        <v/>
      </c>
      <c r="I1554" s="159">
        <f>IF(OR(NOT(ISNUMBER(G1554)),NOT(ISNUMBER(H1554))),"",H1554-G1554)</f>
        <v/>
      </c>
      <c r="J1554" s="319">
        <f>IF(OR(NOT(ISNUMBER(G1554)),NOT(ISNUMBER(H1554)),G1554=0),"",I1554/G1554)</f>
        <v/>
      </c>
      <c r="K1554" s="319">
        <f>IF(OR(NOT(ISNUMBER(G1554)),NOT(ISNUMBER(H1554)),G1554=0),"",H1554/G1554)</f>
        <v/>
      </c>
      <c r="L1554">
        <f>IF(NOT(ISNUMBER(G1554)),"SEM META",IF(G1554=0,"SEM META",IF(NOT(ISNUMBER(H1554)),"SEM APONTAMENTO",IF(H1554&gt;=G1554,"VERDE",IF(H1554&gt;=G1554*0.9,"AMARELO","VERMELHO")))))</f>
        <v/>
      </c>
      <c r="M1554" s="162" t="n"/>
      <c r="N1554" s="162" t="n"/>
      <c r="O1554" s="162" t="n"/>
      <c r="P1554" s="162" t="n"/>
      <c r="Q1554" s="320" t="n"/>
      <c r="R1554" s="162" t="inlineStr">
        <is>
          <t>CONTROLE PRODUÇÃO POR EMPRESAS!F264</t>
        </is>
      </c>
    </row>
    <row r="1555" ht="28.5" customHeight="1">
      <c r="A1555" s="317" t="n">
        <v>46481</v>
      </c>
      <c r="B1555" t="inlineStr">
        <is>
          <t>GERAL</t>
        </is>
      </c>
      <c r="C1555" t="inlineStr">
        <is>
          <t>CMM</t>
        </is>
      </c>
      <c r="D1555" t="inlineStr">
        <is>
          <t>VIGAS</t>
        </is>
      </c>
      <c r="F1555" s="159">
        <f>IFERROR(INDEX('BASE METAS DIÁRIAS'!$N$2:$S$358,MATCH($A1555,'BASE METAS DIÁRIAS'!$A$2:$A$358,0),MOD(ROW()-2,6)+1),"")</f>
        <v/>
      </c>
      <c r="G1555" s="159">
        <f>IFERROR(IF(WEEKDAY($A1555,2)&lt;=INDEX('BASE METAS DIÁRIAS'!$H$2:$M$358,MATCH($A1555,'BASE METAS DIÁRIAS'!$A$2:$A$358,0),MOD(ROW()-2,6)+1),INDEX('BASE METAS DIÁRIAS'!$B$2:$G$358,MATCH($A1555,'BASE METAS DIÁRIAS'!$A$2:$A$358,0),MOD(ROW()-2,6)+1),""),"")</f>
        <v/>
      </c>
      <c r="H1555" s="159">
        <f>IFERROR(IF(INDEX('CONTROLE PRODUÇÃO POR EMPRESAS'!$B$6:$G$5000,MATCH($A1555,'CONTROLE PRODUÇÃO POR EMPRESAS'!$A$6:$A$5000,0),MOD(ROW()-2,6)+1)="","",IFERROR(1*INDEX('CONTROLE PRODUÇÃO POR EMPRESAS'!$B$6:$G$5000,MATCH($A1555,'CONTROLE PRODUÇÃO POR EMPRESAS'!$A$6:$A$5000,0),MOD(ROW()-2,6)+1),"")),"")</f>
        <v/>
      </c>
      <c r="I1555" s="159">
        <f>IF(OR(NOT(ISNUMBER(G1555)),NOT(ISNUMBER(H1555))),"",H1555-G1555)</f>
        <v/>
      </c>
      <c r="J1555" s="319">
        <f>IF(OR(NOT(ISNUMBER(G1555)),NOT(ISNUMBER(H1555)),G1555=0),"",I1555/G1555)</f>
        <v/>
      </c>
      <c r="K1555" s="319">
        <f>IF(OR(NOT(ISNUMBER(G1555)),NOT(ISNUMBER(H1555)),G1555=0),"",H1555/G1555)</f>
        <v/>
      </c>
      <c r="L1555">
        <f>IF(NOT(ISNUMBER(G1555)),"SEM META",IF(G1555=0,"SEM META",IF(NOT(ISNUMBER(H1555)),"SEM APONTAMENTO",IF(H1555&gt;=G1555,"VERDE",IF(H1555&gt;=G1555*0.9,"AMARELO","VERMELHO")))))</f>
        <v/>
      </c>
      <c r="M1555" s="162" t="n"/>
      <c r="N1555" s="162" t="n"/>
      <c r="O1555" s="162" t="n"/>
      <c r="P1555" s="162" t="n"/>
      <c r="Q1555" s="320" t="n"/>
      <c r="R1555" s="162" t="inlineStr">
        <is>
          <t>CONTROLE PRODUÇÃO POR EMPRESAS!G264</t>
        </is>
      </c>
    </row>
    <row r="1556" ht="28.5" customHeight="1">
      <c r="A1556" s="317" t="n">
        <v>46482</v>
      </c>
      <c r="B1556" t="inlineStr">
        <is>
          <t>GERAL</t>
        </is>
      </c>
      <c r="C1556" t="inlineStr">
        <is>
          <t>EJ</t>
        </is>
      </c>
      <c r="D1556" t="inlineStr">
        <is>
          <t>PREMONTAGEM</t>
        </is>
      </c>
      <c r="F1556" s="159">
        <f>IFERROR(INDEX('BASE METAS DIÁRIAS'!$N$2:$S$358,MATCH($A1556,'BASE METAS DIÁRIAS'!$A$2:$A$358,0),MOD(ROW()-2,6)+1),"")</f>
        <v/>
      </c>
      <c r="G1556" s="159">
        <f>IFERROR(IF(WEEKDAY($A1556,2)&lt;=INDEX('BASE METAS DIÁRIAS'!$H$2:$M$358,MATCH($A1556,'BASE METAS DIÁRIAS'!$A$2:$A$358,0),MOD(ROW()-2,6)+1),INDEX('BASE METAS DIÁRIAS'!$B$2:$G$358,MATCH($A1556,'BASE METAS DIÁRIAS'!$A$2:$A$358,0),MOD(ROW()-2,6)+1),""),"")</f>
        <v/>
      </c>
      <c r="H1556" s="159">
        <f>IFERROR(IF(INDEX('CONTROLE PRODUÇÃO POR EMPRESAS'!$B$6:$G$5000,MATCH($A1556,'CONTROLE PRODUÇÃO POR EMPRESAS'!$A$6:$A$5000,0),MOD(ROW()-2,6)+1)="","",IFERROR(1*INDEX('CONTROLE PRODUÇÃO POR EMPRESAS'!$B$6:$G$5000,MATCH($A1556,'CONTROLE PRODUÇÃO POR EMPRESAS'!$A$6:$A$5000,0),MOD(ROW()-2,6)+1),"")),"")</f>
        <v/>
      </c>
      <c r="I1556" s="159">
        <f>IF(OR(NOT(ISNUMBER(G1556)),NOT(ISNUMBER(H1556))),"",H1556-G1556)</f>
        <v/>
      </c>
      <c r="J1556" s="319">
        <f>IF(OR(NOT(ISNUMBER(G1556)),NOT(ISNUMBER(H1556)),G1556=0),"",I1556/G1556)</f>
        <v/>
      </c>
      <c r="K1556" s="319">
        <f>IF(OR(NOT(ISNUMBER(G1556)),NOT(ISNUMBER(H1556)),G1556=0),"",H1556/G1556)</f>
        <v/>
      </c>
      <c r="L1556">
        <f>IF(NOT(ISNUMBER(G1556)),"SEM META",IF(G1556=0,"SEM META",IF(NOT(ISNUMBER(H1556)),"SEM APONTAMENTO",IF(H1556&gt;=G1556,"VERDE",IF(H1556&gt;=G1556*0.9,"AMARELO","VERMELHO")))))</f>
        <v/>
      </c>
      <c r="M1556" s="162" t="n"/>
      <c r="N1556" s="162" t="n"/>
      <c r="O1556" s="162" t="n"/>
      <c r="P1556" s="162" t="n"/>
      <c r="Q1556" s="320" t="n"/>
      <c r="R1556" s="162" t="inlineStr">
        <is>
          <t>CONTROLE PRODUÇÃO POR EMPRESAS!B265</t>
        </is>
      </c>
    </row>
    <row r="1557" ht="28.5" customHeight="1">
      <c r="A1557" s="317" t="n">
        <v>46482</v>
      </c>
      <c r="B1557" t="inlineStr">
        <is>
          <t>GERAL</t>
        </is>
      </c>
      <c r="C1557" t="inlineStr">
        <is>
          <t>EJ</t>
        </is>
      </c>
      <c r="D1557" t="inlineStr">
        <is>
          <t>IÇAMENTO JOIST</t>
        </is>
      </c>
      <c r="F1557" s="159">
        <f>IFERROR(INDEX('BASE METAS DIÁRIAS'!$N$2:$S$358,MATCH($A1557,'BASE METAS DIÁRIAS'!$A$2:$A$358,0),MOD(ROW()-2,6)+1),"")</f>
        <v/>
      </c>
      <c r="G1557" s="159">
        <f>IFERROR(IF(WEEKDAY($A1557,2)&lt;=INDEX('BASE METAS DIÁRIAS'!$H$2:$M$358,MATCH($A1557,'BASE METAS DIÁRIAS'!$A$2:$A$358,0),MOD(ROW()-2,6)+1),INDEX('BASE METAS DIÁRIAS'!$B$2:$G$358,MATCH($A1557,'BASE METAS DIÁRIAS'!$A$2:$A$358,0),MOD(ROW()-2,6)+1),""),"")</f>
        <v/>
      </c>
      <c r="H1557" s="159">
        <f>IFERROR(IF(INDEX('CONTROLE PRODUÇÃO POR EMPRESAS'!$B$6:$G$5000,MATCH($A1557,'CONTROLE PRODUÇÃO POR EMPRESAS'!$A$6:$A$5000,0),MOD(ROW()-2,6)+1)="","",IFERROR(1*INDEX('CONTROLE PRODUÇÃO POR EMPRESAS'!$B$6:$G$5000,MATCH($A1557,'CONTROLE PRODUÇÃO POR EMPRESAS'!$A$6:$A$5000,0),MOD(ROW()-2,6)+1),"")),"")</f>
        <v/>
      </c>
      <c r="I1557" s="159">
        <f>IF(OR(NOT(ISNUMBER(G1557)),NOT(ISNUMBER(H1557))),"",H1557-G1557)</f>
        <v/>
      </c>
      <c r="J1557" s="319">
        <f>IF(OR(NOT(ISNUMBER(G1557)),NOT(ISNUMBER(H1557)),G1557=0),"",I1557/G1557)</f>
        <v/>
      </c>
      <c r="K1557" s="319">
        <f>IF(OR(NOT(ISNUMBER(G1557)),NOT(ISNUMBER(H1557)),G1557=0),"",H1557/G1557)</f>
        <v/>
      </c>
      <c r="L1557">
        <f>IF(NOT(ISNUMBER(G1557)),"SEM META",IF(G1557=0,"SEM META",IF(NOT(ISNUMBER(H1557)),"SEM APONTAMENTO",IF(H1557&gt;=G1557,"VERDE",IF(H1557&gt;=G1557*0.9,"AMARELO","VERMELHO")))))</f>
        <v/>
      </c>
      <c r="M1557" s="162" t="n"/>
      <c r="N1557" s="162" t="n"/>
      <c r="O1557" s="162" t="n"/>
      <c r="P1557" s="162" t="n"/>
      <c r="Q1557" s="320" t="n"/>
      <c r="R1557" s="162" t="inlineStr">
        <is>
          <t>CONTROLE PRODUÇÃO POR EMPRESAS!C265</t>
        </is>
      </c>
    </row>
    <row r="1558" ht="28.5" customHeight="1">
      <c r="A1558" s="317" t="n">
        <v>46482</v>
      </c>
      <c r="B1558" t="inlineStr">
        <is>
          <t>GERAL</t>
        </is>
      </c>
      <c r="C1558" t="inlineStr">
        <is>
          <t>EJ</t>
        </is>
      </c>
      <c r="D1558" t="inlineStr">
        <is>
          <t>VIGAS</t>
        </is>
      </c>
      <c r="F1558" s="159">
        <f>IFERROR(INDEX('BASE METAS DIÁRIAS'!$N$2:$S$358,MATCH($A1558,'BASE METAS DIÁRIAS'!$A$2:$A$358,0),MOD(ROW()-2,6)+1),"")</f>
        <v/>
      </c>
      <c r="G1558" s="159">
        <f>IFERROR(IF(WEEKDAY($A1558,2)&lt;=INDEX('BASE METAS DIÁRIAS'!$H$2:$M$358,MATCH($A1558,'BASE METAS DIÁRIAS'!$A$2:$A$358,0),MOD(ROW()-2,6)+1),INDEX('BASE METAS DIÁRIAS'!$B$2:$G$358,MATCH($A1558,'BASE METAS DIÁRIAS'!$A$2:$A$358,0),MOD(ROW()-2,6)+1),""),"")</f>
        <v/>
      </c>
      <c r="H1558" s="159">
        <f>IFERROR(IF(INDEX('CONTROLE PRODUÇÃO POR EMPRESAS'!$B$6:$G$5000,MATCH($A1558,'CONTROLE PRODUÇÃO POR EMPRESAS'!$A$6:$A$5000,0),MOD(ROW()-2,6)+1)="","",IFERROR(1*INDEX('CONTROLE PRODUÇÃO POR EMPRESAS'!$B$6:$G$5000,MATCH($A1558,'CONTROLE PRODUÇÃO POR EMPRESAS'!$A$6:$A$5000,0),MOD(ROW()-2,6)+1),"")),"")</f>
        <v/>
      </c>
      <c r="I1558" s="159">
        <f>IF(OR(NOT(ISNUMBER(G1558)),NOT(ISNUMBER(H1558))),"",H1558-G1558)</f>
        <v/>
      </c>
      <c r="J1558" s="319">
        <f>IF(OR(NOT(ISNUMBER(G1558)),NOT(ISNUMBER(H1558)),G1558=0),"",I1558/G1558)</f>
        <v/>
      </c>
      <c r="K1558" s="319">
        <f>IF(OR(NOT(ISNUMBER(G1558)),NOT(ISNUMBER(H1558)),G1558=0),"",H1558/G1558)</f>
        <v/>
      </c>
      <c r="L1558">
        <f>IF(NOT(ISNUMBER(G1558)),"SEM META",IF(G1558=0,"SEM META",IF(NOT(ISNUMBER(H1558)),"SEM APONTAMENTO",IF(H1558&gt;=G1558,"VERDE",IF(H1558&gt;=G1558*0.9,"AMARELO","VERMELHO")))))</f>
        <v/>
      </c>
      <c r="M1558" s="162" t="n"/>
      <c r="N1558" s="162" t="n"/>
      <c r="O1558" s="162" t="n"/>
      <c r="P1558" s="162" t="n"/>
      <c r="Q1558" s="320" t="n"/>
      <c r="R1558" s="162" t="inlineStr">
        <is>
          <t>CONTROLE PRODUÇÃO POR EMPRESAS!D265</t>
        </is>
      </c>
    </row>
    <row r="1559" ht="28.5" customHeight="1">
      <c r="A1559" s="317" t="n">
        <v>46482</v>
      </c>
      <c r="B1559" t="inlineStr">
        <is>
          <t>GERAL</t>
        </is>
      </c>
      <c r="C1559" t="inlineStr">
        <is>
          <t>CMM</t>
        </is>
      </c>
      <c r="D1559" t="inlineStr">
        <is>
          <t>PREMONTAGEM</t>
        </is>
      </c>
      <c r="F1559" s="159">
        <f>IFERROR(INDEX('BASE METAS DIÁRIAS'!$N$2:$S$358,MATCH($A1559,'BASE METAS DIÁRIAS'!$A$2:$A$358,0),MOD(ROW()-2,6)+1),"")</f>
        <v/>
      </c>
      <c r="G1559" s="159">
        <f>IFERROR(IF(WEEKDAY($A1559,2)&lt;=INDEX('BASE METAS DIÁRIAS'!$H$2:$M$358,MATCH($A1559,'BASE METAS DIÁRIAS'!$A$2:$A$358,0),MOD(ROW()-2,6)+1),INDEX('BASE METAS DIÁRIAS'!$B$2:$G$358,MATCH($A1559,'BASE METAS DIÁRIAS'!$A$2:$A$358,0),MOD(ROW()-2,6)+1),""),"")</f>
        <v/>
      </c>
      <c r="H1559" s="159">
        <f>IFERROR(IF(INDEX('CONTROLE PRODUÇÃO POR EMPRESAS'!$B$6:$G$5000,MATCH($A1559,'CONTROLE PRODUÇÃO POR EMPRESAS'!$A$6:$A$5000,0),MOD(ROW()-2,6)+1)="","",IFERROR(1*INDEX('CONTROLE PRODUÇÃO POR EMPRESAS'!$B$6:$G$5000,MATCH($A1559,'CONTROLE PRODUÇÃO POR EMPRESAS'!$A$6:$A$5000,0),MOD(ROW()-2,6)+1),"")),"")</f>
        <v/>
      </c>
      <c r="I1559" s="159">
        <f>IF(OR(NOT(ISNUMBER(G1559)),NOT(ISNUMBER(H1559))),"",H1559-G1559)</f>
        <v/>
      </c>
      <c r="J1559" s="319">
        <f>IF(OR(NOT(ISNUMBER(G1559)),NOT(ISNUMBER(H1559)),G1559=0),"",I1559/G1559)</f>
        <v/>
      </c>
      <c r="K1559" s="319">
        <f>IF(OR(NOT(ISNUMBER(G1559)),NOT(ISNUMBER(H1559)),G1559=0),"",H1559/G1559)</f>
        <v/>
      </c>
      <c r="L1559">
        <f>IF(NOT(ISNUMBER(G1559)),"SEM META",IF(G1559=0,"SEM META",IF(NOT(ISNUMBER(H1559)),"SEM APONTAMENTO",IF(H1559&gt;=G1559,"VERDE",IF(H1559&gt;=G1559*0.9,"AMARELO","VERMELHO")))))</f>
        <v/>
      </c>
      <c r="M1559" s="162" t="n"/>
      <c r="N1559" s="162" t="n"/>
      <c r="O1559" s="162" t="n"/>
      <c r="P1559" s="162" t="n"/>
      <c r="Q1559" s="320" t="n"/>
      <c r="R1559" s="162" t="inlineStr">
        <is>
          <t>CONTROLE PRODUÇÃO POR EMPRESAS!E265</t>
        </is>
      </c>
    </row>
    <row r="1560" ht="28.5" customHeight="1">
      <c r="A1560" s="317" t="n">
        <v>46482</v>
      </c>
      <c r="B1560" t="inlineStr">
        <is>
          <t>GERAL</t>
        </is>
      </c>
      <c r="C1560" t="inlineStr">
        <is>
          <t>CMM</t>
        </is>
      </c>
      <c r="D1560" t="inlineStr">
        <is>
          <t>IÇAMENTO JOIST</t>
        </is>
      </c>
      <c r="F1560" s="159">
        <f>IFERROR(INDEX('BASE METAS DIÁRIAS'!$N$2:$S$358,MATCH($A1560,'BASE METAS DIÁRIAS'!$A$2:$A$358,0),MOD(ROW()-2,6)+1),"")</f>
        <v/>
      </c>
      <c r="G1560" s="159">
        <f>IFERROR(IF(WEEKDAY($A1560,2)&lt;=INDEX('BASE METAS DIÁRIAS'!$H$2:$M$358,MATCH($A1560,'BASE METAS DIÁRIAS'!$A$2:$A$358,0),MOD(ROW()-2,6)+1),INDEX('BASE METAS DIÁRIAS'!$B$2:$G$358,MATCH($A1560,'BASE METAS DIÁRIAS'!$A$2:$A$358,0),MOD(ROW()-2,6)+1),""),"")</f>
        <v/>
      </c>
      <c r="H1560" s="159">
        <f>IFERROR(IF(INDEX('CONTROLE PRODUÇÃO POR EMPRESAS'!$B$6:$G$5000,MATCH($A1560,'CONTROLE PRODUÇÃO POR EMPRESAS'!$A$6:$A$5000,0),MOD(ROW()-2,6)+1)="","",IFERROR(1*INDEX('CONTROLE PRODUÇÃO POR EMPRESAS'!$B$6:$G$5000,MATCH($A1560,'CONTROLE PRODUÇÃO POR EMPRESAS'!$A$6:$A$5000,0),MOD(ROW()-2,6)+1),"")),"")</f>
        <v/>
      </c>
      <c r="I1560" s="159">
        <f>IF(OR(NOT(ISNUMBER(G1560)),NOT(ISNUMBER(H1560))),"",H1560-G1560)</f>
        <v/>
      </c>
      <c r="J1560" s="319">
        <f>IF(OR(NOT(ISNUMBER(G1560)),NOT(ISNUMBER(H1560)),G1560=0),"",I1560/G1560)</f>
        <v/>
      </c>
      <c r="K1560" s="319">
        <f>IF(OR(NOT(ISNUMBER(G1560)),NOT(ISNUMBER(H1560)),G1560=0),"",H1560/G1560)</f>
        <v/>
      </c>
      <c r="L1560">
        <f>IF(NOT(ISNUMBER(G1560)),"SEM META",IF(G1560=0,"SEM META",IF(NOT(ISNUMBER(H1560)),"SEM APONTAMENTO",IF(H1560&gt;=G1560,"VERDE",IF(H1560&gt;=G1560*0.9,"AMARELO","VERMELHO")))))</f>
        <v/>
      </c>
      <c r="M1560" s="162" t="n"/>
      <c r="N1560" s="162" t="n"/>
      <c r="O1560" s="162" t="n"/>
      <c r="P1560" s="162" t="n"/>
      <c r="Q1560" s="320" t="n"/>
      <c r="R1560" s="162" t="inlineStr">
        <is>
          <t>CONTROLE PRODUÇÃO POR EMPRESAS!F265</t>
        </is>
      </c>
    </row>
    <row r="1561" ht="28.5" customHeight="1">
      <c r="A1561" s="317" t="n">
        <v>46482</v>
      </c>
      <c r="B1561" t="inlineStr">
        <is>
          <t>GERAL</t>
        </is>
      </c>
      <c r="C1561" t="inlineStr">
        <is>
          <t>CMM</t>
        </is>
      </c>
      <c r="D1561" t="inlineStr">
        <is>
          <t>VIGAS</t>
        </is>
      </c>
      <c r="F1561" s="159">
        <f>IFERROR(INDEX('BASE METAS DIÁRIAS'!$N$2:$S$358,MATCH($A1561,'BASE METAS DIÁRIAS'!$A$2:$A$358,0),MOD(ROW()-2,6)+1),"")</f>
        <v/>
      </c>
      <c r="G1561" s="159">
        <f>IFERROR(IF(WEEKDAY($A1561,2)&lt;=INDEX('BASE METAS DIÁRIAS'!$H$2:$M$358,MATCH($A1561,'BASE METAS DIÁRIAS'!$A$2:$A$358,0),MOD(ROW()-2,6)+1),INDEX('BASE METAS DIÁRIAS'!$B$2:$G$358,MATCH($A1561,'BASE METAS DIÁRIAS'!$A$2:$A$358,0),MOD(ROW()-2,6)+1),""),"")</f>
        <v/>
      </c>
      <c r="H1561" s="159">
        <f>IFERROR(IF(INDEX('CONTROLE PRODUÇÃO POR EMPRESAS'!$B$6:$G$5000,MATCH($A1561,'CONTROLE PRODUÇÃO POR EMPRESAS'!$A$6:$A$5000,0),MOD(ROW()-2,6)+1)="","",IFERROR(1*INDEX('CONTROLE PRODUÇÃO POR EMPRESAS'!$B$6:$G$5000,MATCH($A1561,'CONTROLE PRODUÇÃO POR EMPRESAS'!$A$6:$A$5000,0),MOD(ROW()-2,6)+1),"")),"")</f>
        <v/>
      </c>
      <c r="I1561" s="159">
        <f>IF(OR(NOT(ISNUMBER(G1561)),NOT(ISNUMBER(H1561))),"",H1561-G1561)</f>
        <v/>
      </c>
      <c r="J1561" s="319">
        <f>IF(OR(NOT(ISNUMBER(G1561)),NOT(ISNUMBER(H1561)),G1561=0),"",I1561/G1561)</f>
        <v/>
      </c>
      <c r="K1561" s="319">
        <f>IF(OR(NOT(ISNUMBER(G1561)),NOT(ISNUMBER(H1561)),G1561=0),"",H1561/G1561)</f>
        <v/>
      </c>
      <c r="L1561">
        <f>IF(NOT(ISNUMBER(G1561)),"SEM META",IF(G1561=0,"SEM META",IF(NOT(ISNUMBER(H1561)),"SEM APONTAMENTO",IF(H1561&gt;=G1561,"VERDE",IF(H1561&gt;=G1561*0.9,"AMARELO","VERMELHO")))))</f>
        <v/>
      </c>
      <c r="M1561" s="162" t="n"/>
      <c r="N1561" s="162" t="n"/>
      <c r="O1561" s="162" t="n"/>
      <c r="P1561" s="162" t="n"/>
      <c r="Q1561" s="320" t="n"/>
      <c r="R1561" s="162" t="inlineStr">
        <is>
          <t>CONTROLE PRODUÇÃO POR EMPRESAS!G265</t>
        </is>
      </c>
    </row>
    <row r="1562" ht="28.5" customHeight="1">
      <c r="A1562" s="317" t="n">
        <v>46483</v>
      </c>
      <c r="B1562" t="inlineStr">
        <is>
          <t>GERAL</t>
        </is>
      </c>
      <c r="C1562" t="inlineStr">
        <is>
          <t>EJ</t>
        </is>
      </c>
      <c r="D1562" t="inlineStr">
        <is>
          <t>PREMONTAGEM</t>
        </is>
      </c>
      <c r="F1562" s="159">
        <f>IFERROR(INDEX('BASE METAS DIÁRIAS'!$N$2:$S$358,MATCH($A1562,'BASE METAS DIÁRIAS'!$A$2:$A$358,0),MOD(ROW()-2,6)+1),"")</f>
        <v/>
      </c>
      <c r="G1562" s="159">
        <f>IFERROR(IF(WEEKDAY($A1562,2)&lt;=INDEX('BASE METAS DIÁRIAS'!$H$2:$M$358,MATCH($A1562,'BASE METAS DIÁRIAS'!$A$2:$A$358,0),MOD(ROW()-2,6)+1),INDEX('BASE METAS DIÁRIAS'!$B$2:$G$358,MATCH($A1562,'BASE METAS DIÁRIAS'!$A$2:$A$358,0),MOD(ROW()-2,6)+1),""),"")</f>
        <v/>
      </c>
      <c r="H1562" s="159">
        <f>IFERROR(IF(INDEX('CONTROLE PRODUÇÃO POR EMPRESAS'!$B$6:$G$5000,MATCH($A1562,'CONTROLE PRODUÇÃO POR EMPRESAS'!$A$6:$A$5000,0),MOD(ROW()-2,6)+1)="","",IFERROR(1*INDEX('CONTROLE PRODUÇÃO POR EMPRESAS'!$B$6:$G$5000,MATCH($A1562,'CONTROLE PRODUÇÃO POR EMPRESAS'!$A$6:$A$5000,0),MOD(ROW()-2,6)+1),"")),"")</f>
        <v/>
      </c>
      <c r="I1562" s="159">
        <f>IF(OR(NOT(ISNUMBER(G1562)),NOT(ISNUMBER(H1562))),"",H1562-G1562)</f>
        <v/>
      </c>
      <c r="J1562" s="319">
        <f>IF(OR(NOT(ISNUMBER(G1562)),NOT(ISNUMBER(H1562)),G1562=0),"",I1562/G1562)</f>
        <v/>
      </c>
      <c r="K1562" s="319">
        <f>IF(OR(NOT(ISNUMBER(G1562)),NOT(ISNUMBER(H1562)),G1562=0),"",H1562/G1562)</f>
        <v/>
      </c>
      <c r="L1562">
        <f>IF(NOT(ISNUMBER(G1562)),"SEM META",IF(G1562=0,"SEM META",IF(NOT(ISNUMBER(H1562)),"SEM APONTAMENTO",IF(H1562&gt;=G1562,"VERDE",IF(H1562&gt;=G1562*0.9,"AMARELO","VERMELHO")))))</f>
        <v/>
      </c>
      <c r="M1562" s="162" t="n"/>
      <c r="N1562" s="162" t="n"/>
      <c r="O1562" s="162" t="n"/>
      <c r="P1562" s="162" t="n"/>
      <c r="Q1562" s="320" t="n"/>
      <c r="R1562" s="162" t="inlineStr">
        <is>
          <t>CONTROLE PRODUÇÃO POR EMPRESAS!B266</t>
        </is>
      </c>
    </row>
    <row r="1563" ht="28.5" customHeight="1">
      <c r="A1563" s="317" t="n">
        <v>46483</v>
      </c>
      <c r="B1563" t="inlineStr">
        <is>
          <t>GERAL</t>
        </is>
      </c>
      <c r="C1563" t="inlineStr">
        <is>
          <t>EJ</t>
        </is>
      </c>
      <c r="D1563" t="inlineStr">
        <is>
          <t>IÇAMENTO JOIST</t>
        </is>
      </c>
      <c r="F1563" s="159">
        <f>IFERROR(INDEX('BASE METAS DIÁRIAS'!$N$2:$S$358,MATCH($A1563,'BASE METAS DIÁRIAS'!$A$2:$A$358,0),MOD(ROW()-2,6)+1),"")</f>
        <v/>
      </c>
      <c r="G1563" s="159">
        <f>IFERROR(IF(WEEKDAY($A1563,2)&lt;=INDEX('BASE METAS DIÁRIAS'!$H$2:$M$358,MATCH($A1563,'BASE METAS DIÁRIAS'!$A$2:$A$358,0),MOD(ROW()-2,6)+1),INDEX('BASE METAS DIÁRIAS'!$B$2:$G$358,MATCH($A1563,'BASE METAS DIÁRIAS'!$A$2:$A$358,0),MOD(ROW()-2,6)+1),""),"")</f>
        <v/>
      </c>
      <c r="H1563" s="159">
        <f>IFERROR(IF(INDEX('CONTROLE PRODUÇÃO POR EMPRESAS'!$B$6:$G$5000,MATCH($A1563,'CONTROLE PRODUÇÃO POR EMPRESAS'!$A$6:$A$5000,0),MOD(ROW()-2,6)+1)="","",IFERROR(1*INDEX('CONTROLE PRODUÇÃO POR EMPRESAS'!$B$6:$G$5000,MATCH($A1563,'CONTROLE PRODUÇÃO POR EMPRESAS'!$A$6:$A$5000,0),MOD(ROW()-2,6)+1),"")),"")</f>
        <v/>
      </c>
      <c r="I1563" s="159">
        <f>IF(OR(NOT(ISNUMBER(G1563)),NOT(ISNUMBER(H1563))),"",H1563-G1563)</f>
        <v/>
      </c>
      <c r="J1563" s="319">
        <f>IF(OR(NOT(ISNUMBER(G1563)),NOT(ISNUMBER(H1563)),G1563=0),"",I1563/G1563)</f>
        <v/>
      </c>
      <c r="K1563" s="319">
        <f>IF(OR(NOT(ISNUMBER(G1563)),NOT(ISNUMBER(H1563)),G1563=0),"",H1563/G1563)</f>
        <v/>
      </c>
      <c r="L1563">
        <f>IF(NOT(ISNUMBER(G1563)),"SEM META",IF(G1563=0,"SEM META",IF(NOT(ISNUMBER(H1563)),"SEM APONTAMENTO",IF(H1563&gt;=G1563,"VERDE",IF(H1563&gt;=G1563*0.9,"AMARELO","VERMELHO")))))</f>
        <v/>
      </c>
      <c r="M1563" s="162" t="n"/>
      <c r="N1563" s="162" t="n"/>
      <c r="O1563" s="162" t="n"/>
      <c r="P1563" s="162" t="n"/>
      <c r="Q1563" s="320" t="n"/>
      <c r="R1563" s="162" t="inlineStr">
        <is>
          <t>CONTROLE PRODUÇÃO POR EMPRESAS!C266</t>
        </is>
      </c>
    </row>
    <row r="1564" ht="28.5" customHeight="1">
      <c r="A1564" s="317" t="n">
        <v>46483</v>
      </c>
      <c r="B1564" t="inlineStr">
        <is>
          <t>GERAL</t>
        </is>
      </c>
      <c r="C1564" t="inlineStr">
        <is>
          <t>EJ</t>
        </is>
      </c>
      <c r="D1564" t="inlineStr">
        <is>
          <t>VIGAS</t>
        </is>
      </c>
      <c r="F1564" s="159">
        <f>IFERROR(INDEX('BASE METAS DIÁRIAS'!$N$2:$S$358,MATCH($A1564,'BASE METAS DIÁRIAS'!$A$2:$A$358,0),MOD(ROW()-2,6)+1),"")</f>
        <v/>
      </c>
      <c r="G1564" s="159">
        <f>IFERROR(IF(WEEKDAY($A1564,2)&lt;=INDEX('BASE METAS DIÁRIAS'!$H$2:$M$358,MATCH($A1564,'BASE METAS DIÁRIAS'!$A$2:$A$358,0),MOD(ROW()-2,6)+1),INDEX('BASE METAS DIÁRIAS'!$B$2:$G$358,MATCH($A1564,'BASE METAS DIÁRIAS'!$A$2:$A$358,0),MOD(ROW()-2,6)+1),""),"")</f>
        <v/>
      </c>
      <c r="H1564" s="159">
        <f>IFERROR(IF(INDEX('CONTROLE PRODUÇÃO POR EMPRESAS'!$B$6:$G$5000,MATCH($A1564,'CONTROLE PRODUÇÃO POR EMPRESAS'!$A$6:$A$5000,0),MOD(ROW()-2,6)+1)="","",IFERROR(1*INDEX('CONTROLE PRODUÇÃO POR EMPRESAS'!$B$6:$G$5000,MATCH($A1564,'CONTROLE PRODUÇÃO POR EMPRESAS'!$A$6:$A$5000,0),MOD(ROW()-2,6)+1),"")),"")</f>
        <v/>
      </c>
      <c r="I1564" s="159">
        <f>IF(OR(NOT(ISNUMBER(G1564)),NOT(ISNUMBER(H1564))),"",H1564-G1564)</f>
        <v/>
      </c>
      <c r="J1564" s="319">
        <f>IF(OR(NOT(ISNUMBER(G1564)),NOT(ISNUMBER(H1564)),G1564=0),"",I1564/G1564)</f>
        <v/>
      </c>
      <c r="K1564" s="319">
        <f>IF(OR(NOT(ISNUMBER(G1564)),NOT(ISNUMBER(H1564)),G1564=0),"",H1564/G1564)</f>
        <v/>
      </c>
      <c r="L1564">
        <f>IF(NOT(ISNUMBER(G1564)),"SEM META",IF(G1564=0,"SEM META",IF(NOT(ISNUMBER(H1564)),"SEM APONTAMENTO",IF(H1564&gt;=G1564,"VERDE",IF(H1564&gt;=G1564*0.9,"AMARELO","VERMELHO")))))</f>
        <v/>
      </c>
      <c r="M1564" s="162" t="n"/>
      <c r="N1564" s="162" t="n"/>
      <c r="O1564" s="162" t="n"/>
      <c r="P1564" s="162" t="n"/>
      <c r="Q1564" s="320" t="n"/>
      <c r="R1564" s="162" t="inlineStr">
        <is>
          <t>CONTROLE PRODUÇÃO POR EMPRESAS!D266</t>
        </is>
      </c>
    </row>
    <row r="1565" ht="28.5" customHeight="1">
      <c r="A1565" s="317" t="n">
        <v>46483</v>
      </c>
      <c r="B1565" t="inlineStr">
        <is>
          <t>GERAL</t>
        </is>
      </c>
      <c r="C1565" t="inlineStr">
        <is>
          <t>CMM</t>
        </is>
      </c>
      <c r="D1565" t="inlineStr">
        <is>
          <t>PREMONTAGEM</t>
        </is>
      </c>
      <c r="F1565" s="159">
        <f>IFERROR(INDEX('BASE METAS DIÁRIAS'!$N$2:$S$358,MATCH($A1565,'BASE METAS DIÁRIAS'!$A$2:$A$358,0),MOD(ROW()-2,6)+1),"")</f>
        <v/>
      </c>
      <c r="G1565" s="159">
        <f>IFERROR(IF(WEEKDAY($A1565,2)&lt;=INDEX('BASE METAS DIÁRIAS'!$H$2:$M$358,MATCH($A1565,'BASE METAS DIÁRIAS'!$A$2:$A$358,0),MOD(ROW()-2,6)+1),INDEX('BASE METAS DIÁRIAS'!$B$2:$G$358,MATCH($A1565,'BASE METAS DIÁRIAS'!$A$2:$A$358,0),MOD(ROW()-2,6)+1),""),"")</f>
        <v/>
      </c>
      <c r="H1565" s="159">
        <f>IFERROR(IF(INDEX('CONTROLE PRODUÇÃO POR EMPRESAS'!$B$6:$G$5000,MATCH($A1565,'CONTROLE PRODUÇÃO POR EMPRESAS'!$A$6:$A$5000,0),MOD(ROW()-2,6)+1)="","",IFERROR(1*INDEX('CONTROLE PRODUÇÃO POR EMPRESAS'!$B$6:$G$5000,MATCH($A1565,'CONTROLE PRODUÇÃO POR EMPRESAS'!$A$6:$A$5000,0),MOD(ROW()-2,6)+1),"")),"")</f>
        <v/>
      </c>
      <c r="I1565" s="159">
        <f>IF(OR(NOT(ISNUMBER(G1565)),NOT(ISNUMBER(H1565))),"",H1565-G1565)</f>
        <v/>
      </c>
      <c r="J1565" s="319">
        <f>IF(OR(NOT(ISNUMBER(G1565)),NOT(ISNUMBER(H1565)),G1565=0),"",I1565/G1565)</f>
        <v/>
      </c>
      <c r="K1565" s="319">
        <f>IF(OR(NOT(ISNUMBER(G1565)),NOT(ISNUMBER(H1565)),G1565=0),"",H1565/G1565)</f>
        <v/>
      </c>
      <c r="L1565">
        <f>IF(NOT(ISNUMBER(G1565)),"SEM META",IF(G1565=0,"SEM META",IF(NOT(ISNUMBER(H1565)),"SEM APONTAMENTO",IF(H1565&gt;=G1565,"VERDE",IF(H1565&gt;=G1565*0.9,"AMARELO","VERMELHO")))))</f>
        <v/>
      </c>
      <c r="M1565" s="162" t="n"/>
      <c r="N1565" s="162" t="n"/>
      <c r="O1565" s="162" t="n"/>
      <c r="P1565" s="162" t="n"/>
      <c r="Q1565" s="320" t="n"/>
      <c r="R1565" s="162" t="inlineStr">
        <is>
          <t>CONTROLE PRODUÇÃO POR EMPRESAS!E266</t>
        </is>
      </c>
    </row>
    <row r="1566" ht="28.5" customHeight="1">
      <c r="A1566" s="317" t="n">
        <v>46483</v>
      </c>
      <c r="B1566" t="inlineStr">
        <is>
          <t>GERAL</t>
        </is>
      </c>
      <c r="C1566" t="inlineStr">
        <is>
          <t>CMM</t>
        </is>
      </c>
      <c r="D1566" t="inlineStr">
        <is>
          <t>IÇAMENTO JOIST</t>
        </is>
      </c>
      <c r="F1566" s="159">
        <f>IFERROR(INDEX('BASE METAS DIÁRIAS'!$N$2:$S$358,MATCH($A1566,'BASE METAS DIÁRIAS'!$A$2:$A$358,0),MOD(ROW()-2,6)+1),"")</f>
        <v/>
      </c>
      <c r="G1566" s="159">
        <f>IFERROR(IF(WEEKDAY($A1566,2)&lt;=INDEX('BASE METAS DIÁRIAS'!$H$2:$M$358,MATCH($A1566,'BASE METAS DIÁRIAS'!$A$2:$A$358,0),MOD(ROW()-2,6)+1),INDEX('BASE METAS DIÁRIAS'!$B$2:$G$358,MATCH($A1566,'BASE METAS DIÁRIAS'!$A$2:$A$358,0),MOD(ROW()-2,6)+1),""),"")</f>
        <v/>
      </c>
      <c r="H1566" s="159">
        <f>IFERROR(IF(INDEX('CONTROLE PRODUÇÃO POR EMPRESAS'!$B$6:$G$5000,MATCH($A1566,'CONTROLE PRODUÇÃO POR EMPRESAS'!$A$6:$A$5000,0),MOD(ROW()-2,6)+1)="","",IFERROR(1*INDEX('CONTROLE PRODUÇÃO POR EMPRESAS'!$B$6:$G$5000,MATCH($A1566,'CONTROLE PRODUÇÃO POR EMPRESAS'!$A$6:$A$5000,0),MOD(ROW()-2,6)+1),"")),"")</f>
        <v/>
      </c>
      <c r="I1566" s="159">
        <f>IF(OR(NOT(ISNUMBER(G1566)),NOT(ISNUMBER(H1566))),"",H1566-G1566)</f>
        <v/>
      </c>
      <c r="J1566" s="319">
        <f>IF(OR(NOT(ISNUMBER(G1566)),NOT(ISNUMBER(H1566)),G1566=0),"",I1566/G1566)</f>
        <v/>
      </c>
      <c r="K1566" s="319">
        <f>IF(OR(NOT(ISNUMBER(G1566)),NOT(ISNUMBER(H1566)),G1566=0),"",H1566/G1566)</f>
        <v/>
      </c>
      <c r="L1566">
        <f>IF(NOT(ISNUMBER(G1566)),"SEM META",IF(G1566=0,"SEM META",IF(NOT(ISNUMBER(H1566)),"SEM APONTAMENTO",IF(H1566&gt;=G1566,"VERDE",IF(H1566&gt;=G1566*0.9,"AMARELO","VERMELHO")))))</f>
        <v/>
      </c>
      <c r="M1566" s="162" t="n"/>
      <c r="N1566" s="162" t="n"/>
      <c r="O1566" s="162" t="n"/>
      <c r="P1566" s="162" t="n"/>
      <c r="Q1566" s="320" t="n"/>
      <c r="R1566" s="162" t="inlineStr">
        <is>
          <t>CONTROLE PRODUÇÃO POR EMPRESAS!F266</t>
        </is>
      </c>
    </row>
    <row r="1567" ht="28.5" customHeight="1">
      <c r="A1567" s="317" t="n">
        <v>46483</v>
      </c>
      <c r="B1567" t="inlineStr">
        <is>
          <t>GERAL</t>
        </is>
      </c>
      <c r="C1567" t="inlineStr">
        <is>
          <t>CMM</t>
        </is>
      </c>
      <c r="D1567" t="inlineStr">
        <is>
          <t>VIGAS</t>
        </is>
      </c>
      <c r="F1567" s="159">
        <f>IFERROR(INDEX('BASE METAS DIÁRIAS'!$N$2:$S$358,MATCH($A1567,'BASE METAS DIÁRIAS'!$A$2:$A$358,0),MOD(ROW()-2,6)+1),"")</f>
        <v/>
      </c>
      <c r="G1567" s="159">
        <f>IFERROR(IF(WEEKDAY($A1567,2)&lt;=INDEX('BASE METAS DIÁRIAS'!$H$2:$M$358,MATCH($A1567,'BASE METAS DIÁRIAS'!$A$2:$A$358,0),MOD(ROW()-2,6)+1),INDEX('BASE METAS DIÁRIAS'!$B$2:$G$358,MATCH($A1567,'BASE METAS DIÁRIAS'!$A$2:$A$358,0),MOD(ROW()-2,6)+1),""),"")</f>
        <v/>
      </c>
      <c r="H1567" s="159">
        <f>IFERROR(IF(INDEX('CONTROLE PRODUÇÃO POR EMPRESAS'!$B$6:$G$5000,MATCH($A1567,'CONTROLE PRODUÇÃO POR EMPRESAS'!$A$6:$A$5000,0),MOD(ROW()-2,6)+1)="","",IFERROR(1*INDEX('CONTROLE PRODUÇÃO POR EMPRESAS'!$B$6:$G$5000,MATCH($A1567,'CONTROLE PRODUÇÃO POR EMPRESAS'!$A$6:$A$5000,0),MOD(ROW()-2,6)+1),"")),"")</f>
        <v/>
      </c>
      <c r="I1567" s="159">
        <f>IF(OR(NOT(ISNUMBER(G1567)),NOT(ISNUMBER(H1567))),"",H1567-G1567)</f>
        <v/>
      </c>
      <c r="J1567" s="319">
        <f>IF(OR(NOT(ISNUMBER(G1567)),NOT(ISNUMBER(H1567)),G1567=0),"",I1567/G1567)</f>
        <v/>
      </c>
      <c r="K1567" s="319">
        <f>IF(OR(NOT(ISNUMBER(G1567)),NOT(ISNUMBER(H1567)),G1567=0),"",H1567/G1567)</f>
        <v/>
      </c>
      <c r="L1567">
        <f>IF(NOT(ISNUMBER(G1567)),"SEM META",IF(G1567=0,"SEM META",IF(NOT(ISNUMBER(H1567)),"SEM APONTAMENTO",IF(H1567&gt;=G1567,"VERDE",IF(H1567&gt;=G1567*0.9,"AMARELO","VERMELHO")))))</f>
        <v/>
      </c>
      <c r="M1567" s="162" t="n"/>
      <c r="N1567" s="162" t="n"/>
      <c r="O1567" s="162" t="n"/>
      <c r="P1567" s="162" t="n"/>
      <c r="Q1567" s="320" t="n"/>
      <c r="R1567" s="162" t="inlineStr">
        <is>
          <t>CONTROLE PRODUÇÃO POR EMPRESAS!G266</t>
        </is>
      </c>
    </row>
    <row r="1568" ht="28.5" customHeight="1">
      <c r="A1568" s="317" t="n">
        <v>46484</v>
      </c>
      <c r="B1568" t="inlineStr">
        <is>
          <t>GERAL</t>
        </is>
      </c>
      <c r="C1568" t="inlineStr">
        <is>
          <t>EJ</t>
        </is>
      </c>
      <c r="D1568" t="inlineStr">
        <is>
          <t>PREMONTAGEM</t>
        </is>
      </c>
      <c r="F1568" s="159">
        <f>IFERROR(INDEX('BASE METAS DIÁRIAS'!$N$2:$S$358,MATCH($A1568,'BASE METAS DIÁRIAS'!$A$2:$A$358,0),MOD(ROW()-2,6)+1),"")</f>
        <v/>
      </c>
      <c r="G1568" s="159">
        <f>IFERROR(IF(WEEKDAY($A1568,2)&lt;=INDEX('BASE METAS DIÁRIAS'!$H$2:$M$358,MATCH($A1568,'BASE METAS DIÁRIAS'!$A$2:$A$358,0),MOD(ROW()-2,6)+1),INDEX('BASE METAS DIÁRIAS'!$B$2:$G$358,MATCH($A1568,'BASE METAS DIÁRIAS'!$A$2:$A$358,0),MOD(ROW()-2,6)+1),""),"")</f>
        <v/>
      </c>
      <c r="H1568" s="159">
        <f>IFERROR(IF(INDEX('CONTROLE PRODUÇÃO POR EMPRESAS'!$B$6:$G$5000,MATCH($A1568,'CONTROLE PRODUÇÃO POR EMPRESAS'!$A$6:$A$5000,0),MOD(ROW()-2,6)+1)="","",IFERROR(1*INDEX('CONTROLE PRODUÇÃO POR EMPRESAS'!$B$6:$G$5000,MATCH($A1568,'CONTROLE PRODUÇÃO POR EMPRESAS'!$A$6:$A$5000,0),MOD(ROW()-2,6)+1),"")),"")</f>
        <v/>
      </c>
      <c r="I1568" s="159">
        <f>IF(OR(NOT(ISNUMBER(G1568)),NOT(ISNUMBER(H1568))),"",H1568-G1568)</f>
        <v/>
      </c>
      <c r="J1568" s="319">
        <f>IF(OR(NOT(ISNUMBER(G1568)),NOT(ISNUMBER(H1568)),G1568=0),"",I1568/G1568)</f>
        <v/>
      </c>
      <c r="K1568" s="319">
        <f>IF(OR(NOT(ISNUMBER(G1568)),NOT(ISNUMBER(H1568)),G1568=0),"",H1568/G1568)</f>
        <v/>
      </c>
      <c r="L1568">
        <f>IF(NOT(ISNUMBER(G1568)),"SEM META",IF(G1568=0,"SEM META",IF(NOT(ISNUMBER(H1568)),"SEM APONTAMENTO",IF(H1568&gt;=G1568,"VERDE",IF(H1568&gt;=G1568*0.9,"AMARELO","VERMELHO")))))</f>
        <v/>
      </c>
      <c r="M1568" s="162" t="n"/>
      <c r="N1568" s="162" t="n"/>
      <c r="O1568" s="162" t="n"/>
      <c r="P1568" s="162" t="n"/>
      <c r="Q1568" s="320" t="n"/>
      <c r="R1568" s="162" t="inlineStr">
        <is>
          <t>CONTROLE PRODUÇÃO POR EMPRESAS!B267</t>
        </is>
      </c>
    </row>
    <row r="1569" ht="28.5" customHeight="1">
      <c r="A1569" s="317" t="n">
        <v>46484</v>
      </c>
      <c r="B1569" t="inlineStr">
        <is>
          <t>GERAL</t>
        </is>
      </c>
      <c r="C1569" t="inlineStr">
        <is>
          <t>EJ</t>
        </is>
      </c>
      <c r="D1569" t="inlineStr">
        <is>
          <t>IÇAMENTO JOIST</t>
        </is>
      </c>
      <c r="F1569" s="159">
        <f>IFERROR(INDEX('BASE METAS DIÁRIAS'!$N$2:$S$358,MATCH($A1569,'BASE METAS DIÁRIAS'!$A$2:$A$358,0),MOD(ROW()-2,6)+1),"")</f>
        <v/>
      </c>
      <c r="G1569" s="159">
        <f>IFERROR(IF(WEEKDAY($A1569,2)&lt;=INDEX('BASE METAS DIÁRIAS'!$H$2:$M$358,MATCH($A1569,'BASE METAS DIÁRIAS'!$A$2:$A$358,0),MOD(ROW()-2,6)+1),INDEX('BASE METAS DIÁRIAS'!$B$2:$G$358,MATCH($A1569,'BASE METAS DIÁRIAS'!$A$2:$A$358,0),MOD(ROW()-2,6)+1),""),"")</f>
        <v/>
      </c>
      <c r="H1569" s="159">
        <f>IFERROR(IF(INDEX('CONTROLE PRODUÇÃO POR EMPRESAS'!$B$6:$G$5000,MATCH($A1569,'CONTROLE PRODUÇÃO POR EMPRESAS'!$A$6:$A$5000,0),MOD(ROW()-2,6)+1)="","",IFERROR(1*INDEX('CONTROLE PRODUÇÃO POR EMPRESAS'!$B$6:$G$5000,MATCH($A1569,'CONTROLE PRODUÇÃO POR EMPRESAS'!$A$6:$A$5000,0),MOD(ROW()-2,6)+1),"")),"")</f>
        <v/>
      </c>
      <c r="I1569" s="159">
        <f>IF(OR(NOT(ISNUMBER(G1569)),NOT(ISNUMBER(H1569))),"",H1569-G1569)</f>
        <v/>
      </c>
      <c r="J1569" s="319">
        <f>IF(OR(NOT(ISNUMBER(G1569)),NOT(ISNUMBER(H1569)),G1569=0),"",I1569/G1569)</f>
        <v/>
      </c>
      <c r="K1569" s="319">
        <f>IF(OR(NOT(ISNUMBER(G1569)),NOT(ISNUMBER(H1569)),G1569=0),"",H1569/G1569)</f>
        <v/>
      </c>
      <c r="L1569">
        <f>IF(NOT(ISNUMBER(G1569)),"SEM META",IF(G1569=0,"SEM META",IF(NOT(ISNUMBER(H1569)),"SEM APONTAMENTO",IF(H1569&gt;=G1569,"VERDE",IF(H1569&gt;=G1569*0.9,"AMARELO","VERMELHO")))))</f>
        <v/>
      </c>
      <c r="M1569" s="162" t="n"/>
      <c r="N1569" s="162" t="n"/>
      <c r="O1569" s="162" t="n"/>
      <c r="P1569" s="162" t="n"/>
      <c r="Q1569" s="320" t="n"/>
      <c r="R1569" s="162" t="inlineStr">
        <is>
          <t>CONTROLE PRODUÇÃO POR EMPRESAS!C267</t>
        </is>
      </c>
    </row>
    <row r="1570" ht="28.5" customHeight="1">
      <c r="A1570" s="317" t="n">
        <v>46484</v>
      </c>
      <c r="B1570" t="inlineStr">
        <is>
          <t>GERAL</t>
        </is>
      </c>
      <c r="C1570" t="inlineStr">
        <is>
          <t>EJ</t>
        </is>
      </c>
      <c r="D1570" t="inlineStr">
        <is>
          <t>VIGAS</t>
        </is>
      </c>
      <c r="F1570" s="159">
        <f>IFERROR(INDEX('BASE METAS DIÁRIAS'!$N$2:$S$358,MATCH($A1570,'BASE METAS DIÁRIAS'!$A$2:$A$358,0),MOD(ROW()-2,6)+1),"")</f>
        <v/>
      </c>
      <c r="G1570" s="159">
        <f>IFERROR(IF(WEEKDAY($A1570,2)&lt;=INDEX('BASE METAS DIÁRIAS'!$H$2:$M$358,MATCH($A1570,'BASE METAS DIÁRIAS'!$A$2:$A$358,0),MOD(ROW()-2,6)+1),INDEX('BASE METAS DIÁRIAS'!$B$2:$G$358,MATCH($A1570,'BASE METAS DIÁRIAS'!$A$2:$A$358,0),MOD(ROW()-2,6)+1),""),"")</f>
        <v/>
      </c>
      <c r="H1570" s="159">
        <f>IFERROR(IF(INDEX('CONTROLE PRODUÇÃO POR EMPRESAS'!$B$6:$G$5000,MATCH($A1570,'CONTROLE PRODUÇÃO POR EMPRESAS'!$A$6:$A$5000,0),MOD(ROW()-2,6)+1)="","",IFERROR(1*INDEX('CONTROLE PRODUÇÃO POR EMPRESAS'!$B$6:$G$5000,MATCH($A1570,'CONTROLE PRODUÇÃO POR EMPRESAS'!$A$6:$A$5000,0),MOD(ROW()-2,6)+1),"")),"")</f>
        <v/>
      </c>
      <c r="I1570" s="159">
        <f>IF(OR(NOT(ISNUMBER(G1570)),NOT(ISNUMBER(H1570))),"",H1570-G1570)</f>
        <v/>
      </c>
      <c r="J1570" s="319">
        <f>IF(OR(NOT(ISNUMBER(G1570)),NOT(ISNUMBER(H1570)),G1570=0),"",I1570/G1570)</f>
        <v/>
      </c>
      <c r="K1570" s="319">
        <f>IF(OR(NOT(ISNUMBER(G1570)),NOT(ISNUMBER(H1570)),G1570=0),"",H1570/G1570)</f>
        <v/>
      </c>
      <c r="L1570">
        <f>IF(NOT(ISNUMBER(G1570)),"SEM META",IF(G1570=0,"SEM META",IF(NOT(ISNUMBER(H1570)),"SEM APONTAMENTO",IF(H1570&gt;=G1570,"VERDE",IF(H1570&gt;=G1570*0.9,"AMARELO","VERMELHO")))))</f>
        <v/>
      </c>
      <c r="M1570" s="162" t="n"/>
      <c r="N1570" s="162" t="n"/>
      <c r="O1570" s="162" t="n"/>
      <c r="P1570" s="162" t="n"/>
      <c r="Q1570" s="320" t="n"/>
      <c r="R1570" s="162" t="inlineStr">
        <is>
          <t>CONTROLE PRODUÇÃO POR EMPRESAS!D267</t>
        </is>
      </c>
    </row>
    <row r="1571" ht="28.5" customHeight="1">
      <c r="A1571" s="317" t="n">
        <v>46484</v>
      </c>
      <c r="B1571" t="inlineStr">
        <is>
          <t>GERAL</t>
        </is>
      </c>
      <c r="C1571" t="inlineStr">
        <is>
          <t>CMM</t>
        </is>
      </c>
      <c r="D1571" t="inlineStr">
        <is>
          <t>PREMONTAGEM</t>
        </is>
      </c>
      <c r="F1571" s="159">
        <f>IFERROR(INDEX('BASE METAS DIÁRIAS'!$N$2:$S$358,MATCH($A1571,'BASE METAS DIÁRIAS'!$A$2:$A$358,0),MOD(ROW()-2,6)+1),"")</f>
        <v/>
      </c>
      <c r="G1571" s="159">
        <f>IFERROR(IF(WEEKDAY($A1571,2)&lt;=INDEX('BASE METAS DIÁRIAS'!$H$2:$M$358,MATCH($A1571,'BASE METAS DIÁRIAS'!$A$2:$A$358,0),MOD(ROW()-2,6)+1),INDEX('BASE METAS DIÁRIAS'!$B$2:$G$358,MATCH($A1571,'BASE METAS DIÁRIAS'!$A$2:$A$358,0),MOD(ROW()-2,6)+1),""),"")</f>
        <v/>
      </c>
      <c r="H1571" s="159">
        <f>IFERROR(IF(INDEX('CONTROLE PRODUÇÃO POR EMPRESAS'!$B$6:$G$5000,MATCH($A1571,'CONTROLE PRODUÇÃO POR EMPRESAS'!$A$6:$A$5000,0),MOD(ROW()-2,6)+1)="","",IFERROR(1*INDEX('CONTROLE PRODUÇÃO POR EMPRESAS'!$B$6:$G$5000,MATCH($A1571,'CONTROLE PRODUÇÃO POR EMPRESAS'!$A$6:$A$5000,0),MOD(ROW()-2,6)+1),"")),"")</f>
        <v/>
      </c>
      <c r="I1571" s="159">
        <f>IF(OR(NOT(ISNUMBER(G1571)),NOT(ISNUMBER(H1571))),"",H1571-G1571)</f>
        <v/>
      </c>
      <c r="J1571" s="319">
        <f>IF(OR(NOT(ISNUMBER(G1571)),NOT(ISNUMBER(H1571)),G1571=0),"",I1571/G1571)</f>
        <v/>
      </c>
      <c r="K1571" s="319">
        <f>IF(OR(NOT(ISNUMBER(G1571)),NOT(ISNUMBER(H1571)),G1571=0),"",H1571/G1571)</f>
        <v/>
      </c>
      <c r="L1571">
        <f>IF(NOT(ISNUMBER(G1571)),"SEM META",IF(G1571=0,"SEM META",IF(NOT(ISNUMBER(H1571)),"SEM APONTAMENTO",IF(H1571&gt;=G1571,"VERDE",IF(H1571&gt;=G1571*0.9,"AMARELO","VERMELHO")))))</f>
        <v/>
      </c>
      <c r="M1571" s="162" t="n"/>
      <c r="N1571" s="162" t="n"/>
      <c r="O1571" s="162" t="n"/>
      <c r="P1571" s="162" t="n"/>
      <c r="Q1571" s="320" t="n"/>
      <c r="R1571" s="162" t="inlineStr">
        <is>
          <t>CONTROLE PRODUÇÃO POR EMPRESAS!E267</t>
        </is>
      </c>
    </row>
    <row r="1572" ht="28.5" customHeight="1">
      <c r="A1572" s="317" t="n">
        <v>46484</v>
      </c>
      <c r="B1572" t="inlineStr">
        <is>
          <t>GERAL</t>
        </is>
      </c>
      <c r="C1572" t="inlineStr">
        <is>
          <t>CMM</t>
        </is>
      </c>
      <c r="D1572" t="inlineStr">
        <is>
          <t>IÇAMENTO JOIST</t>
        </is>
      </c>
      <c r="F1572" s="159">
        <f>IFERROR(INDEX('BASE METAS DIÁRIAS'!$N$2:$S$358,MATCH($A1572,'BASE METAS DIÁRIAS'!$A$2:$A$358,0),MOD(ROW()-2,6)+1),"")</f>
        <v/>
      </c>
      <c r="G1572" s="159">
        <f>IFERROR(IF(WEEKDAY($A1572,2)&lt;=INDEX('BASE METAS DIÁRIAS'!$H$2:$M$358,MATCH($A1572,'BASE METAS DIÁRIAS'!$A$2:$A$358,0),MOD(ROW()-2,6)+1),INDEX('BASE METAS DIÁRIAS'!$B$2:$G$358,MATCH($A1572,'BASE METAS DIÁRIAS'!$A$2:$A$358,0),MOD(ROW()-2,6)+1),""),"")</f>
        <v/>
      </c>
      <c r="H1572" s="159">
        <f>IFERROR(IF(INDEX('CONTROLE PRODUÇÃO POR EMPRESAS'!$B$6:$G$5000,MATCH($A1572,'CONTROLE PRODUÇÃO POR EMPRESAS'!$A$6:$A$5000,0),MOD(ROW()-2,6)+1)="","",IFERROR(1*INDEX('CONTROLE PRODUÇÃO POR EMPRESAS'!$B$6:$G$5000,MATCH($A1572,'CONTROLE PRODUÇÃO POR EMPRESAS'!$A$6:$A$5000,0),MOD(ROW()-2,6)+1),"")),"")</f>
        <v/>
      </c>
      <c r="I1572" s="159">
        <f>IF(OR(NOT(ISNUMBER(G1572)),NOT(ISNUMBER(H1572))),"",H1572-G1572)</f>
        <v/>
      </c>
      <c r="J1572" s="319">
        <f>IF(OR(NOT(ISNUMBER(G1572)),NOT(ISNUMBER(H1572)),G1572=0),"",I1572/G1572)</f>
        <v/>
      </c>
      <c r="K1572" s="319">
        <f>IF(OR(NOT(ISNUMBER(G1572)),NOT(ISNUMBER(H1572)),G1572=0),"",H1572/G1572)</f>
        <v/>
      </c>
      <c r="L1572">
        <f>IF(NOT(ISNUMBER(G1572)),"SEM META",IF(G1572=0,"SEM META",IF(NOT(ISNUMBER(H1572)),"SEM APONTAMENTO",IF(H1572&gt;=G1572,"VERDE",IF(H1572&gt;=G1572*0.9,"AMARELO","VERMELHO")))))</f>
        <v/>
      </c>
      <c r="M1572" s="162" t="n"/>
      <c r="N1572" s="162" t="n"/>
      <c r="O1572" s="162" t="n"/>
      <c r="P1572" s="162" t="n"/>
      <c r="Q1572" s="320" t="n"/>
      <c r="R1572" s="162" t="inlineStr">
        <is>
          <t>CONTROLE PRODUÇÃO POR EMPRESAS!F267</t>
        </is>
      </c>
    </row>
    <row r="1573" ht="28.5" customHeight="1">
      <c r="A1573" s="317" t="n">
        <v>46484</v>
      </c>
      <c r="B1573" t="inlineStr">
        <is>
          <t>GERAL</t>
        </is>
      </c>
      <c r="C1573" t="inlineStr">
        <is>
          <t>CMM</t>
        </is>
      </c>
      <c r="D1573" t="inlineStr">
        <is>
          <t>VIGAS</t>
        </is>
      </c>
      <c r="F1573" s="159">
        <f>IFERROR(INDEX('BASE METAS DIÁRIAS'!$N$2:$S$358,MATCH($A1573,'BASE METAS DIÁRIAS'!$A$2:$A$358,0),MOD(ROW()-2,6)+1),"")</f>
        <v/>
      </c>
      <c r="G1573" s="159">
        <f>IFERROR(IF(WEEKDAY($A1573,2)&lt;=INDEX('BASE METAS DIÁRIAS'!$H$2:$M$358,MATCH($A1573,'BASE METAS DIÁRIAS'!$A$2:$A$358,0),MOD(ROW()-2,6)+1),INDEX('BASE METAS DIÁRIAS'!$B$2:$G$358,MATCH($A1573,'BASE METAS DIÁRIAS'!$A$2:$A$358,0),MOD(ROW()-2,6)+1),""),"")</f>
        <v/>
      </c>
      <c r="H1573" s="159">
        <f>IFERROR(IF(INDEX('CONTROLE PRODUÇÃO POR EMPRESAS'!$B$6:$G$5000,MATCH($A1573,'CONTROLE PRODUÇÃO POR EMPRESAS'!$A$6:$A$5000,0),MOD(ROW()-2,6)+1)="","",IFERROR(1*INDEX('CONTROLE PRODUÇÃO POR EMPRESAS'!$B$6:$G$5000,MATCH($A1573,'CONTROLE PRODUÇÃO POR EMPRESAS'!$A$6:$A$5000,0),MOD(ROW()-2,6)+1),"")),"")</f>
        <v/>
      </c>
      <c r="I1573" s="159">
        <f>IF(OR(NOT(ISNUMBER(G1573)),NOT(ISNUMBER(H1573))),"",H1573-G1573)</f>
        <v/>
      </c>
      <c r="J1573" s="319">
        <f>IF(OR(NOT(ISNUMBER(G1573)),NOT(ISNUMBER(H1573)),G1573=0),"",I1573/G1573)</f>
        <v/>
      </c>
      <c r="K1573" s="319">
        <f>IF(OR(NOT(ISNUMBER(G1573)),NOT(ISNUMBER(H1573)),G1573=0),"",H1573/G1573)</f>
        <v/>
      </c>
      <c r="L1573">
        <f>IF(NOT(ISNUMBER(G1573)),"SEM META",IF(G1573=0,"SEM META",IF(NOT(ISNUMBER(H1573)),"SEM APONTAMENTO",IF(H1573&gt;=G1573,"VERDE",IF(H1573&gt;=G1573*0.9,"AMARELO","VERMELHO")))))</f>
        <v/>
      </c>
      <c r="M1573" s="162" t="n"/>
      <c r="N1573" s="162" t="n"/>
      <c r="O1573" s="162" t="n"/>
      <c r="P1573" s="162" t="n"/>
      <c r="Q1573" s="320" t="n"/>
      <c r="R1573" s="162" t="inlineStr">
        <is>
          <t>CONTROLE PRODUÇÃO POR EMPRESAS!G267</t>
        </is>
      </c>
    </row>
    <row r="1574" ht="28.5" customHeight="1">
      <c r="A1574" s="317" t="n">
        <v>46485</v>
      </c>
      <c r="B1574" t="inlineStr">
        <is>
          <t>GERAL</t>
        </is>
      </c>
      <c r="C1574" t="inlineStr">
        <is>
          <t>EJ</t>
        </is>
      </c>
      <c r="D1574" t="inlineStr">
        <is>
          <t>PREMONTAGEM</t>
        </is>
      </c>
      <c r="F1574" s="159">
        <f>IFERROR(INDEX('BASE METAS DIÁRIAS'!$N$2:$S$358,MATCH($A1574,'BASE METAS DIÁRIAS'!$A$2:$A$358,0),MOD(ROW()-2,6)+1),"")</f>
        <v/>
      </c>
      <c r="G1574" s="159">
        <f>IFERROR(IF(WEEKDAY($A1574,2)&lt;=INDEX('BASE METAS DIÁRIAS'!$H$2:$M$358,MATCH($A1574,'BASE METAS DIÁRIAS'!$A$2:$A$358,0),MOD(ROW()-2,6)+1),INDEX('BASE METAS DIÁRIAS'!$B$2:$G$358,MATCH($A1574,'BASE METAS DIÁRIAS'!$A$2:$A$358,0),MOD(ROW()-2,6)+1),""),"")</f>
        <v/>
      </c>
      <c r="H1574" s="159">
        <f>IFERROR(IF(INDEX('CONTROLE PRODUÇÃO POR EMPRESAS'!$B$6:$G$5000,MATCH($A1574,'CONTROLE PRODUÇÃO POR EMPRESAS'!$A$6:$A$5000,0),MOD(ROW()-2,6)+1)="","",IFERROR(1*INDEX('CONTROLE PRODUÇÃO POR EMPRESAS'!$B$6:$G$5000,MATCH($A1574,'CONTROLE PRODUÇÃO POR EMPRESAS'!$A$6:$A$5000,0),MOD(ROW()-2,6)+1),"")),"")</f>
        <v/>
      </c>
      <c r="I1574" s="159">
        <f>IF(OR(NOT(ISNUMBER(G1574)),NOT(ISNUMBER(H1574))),"",H1574-G1574)</f>
        <v/>
      </c>
      <c r="J1574" s="319">
        <f>IF(OR(NOT(ISNUMBER(G1574)),NOT(ISNUMBER(H1574)),G1574=0),"",I1574/G1574)</f>
        <v/>
      </c>
      <c r="K1574" s="319">
        <f>IF(OR(NOT(ISNUMBER(G1574)),NOT(ISNUMBER(H1574)),G1574=0),"",H1574/G1574)</f>
        <v/>
      </c>
      <c r="L1574">
        <f>IF(NOT(ISNUMBER(G1574)),"SEM META",IF(G1574=0,"SEM META",IF(NOT(ISNUMBER(H1574)),"SEM APONTAMENTO",IF(H1574&gt;=G1574,"VERDE",IF(H1574&gt;=G1574*0.9,"AMARELO","VERMELHO")))))</f>
        <v/>
      </c>
      <c r="M1574" s="162" t="n"/>
      <c r="N1574" s="162" t="n"/>
      <c r="O1574" s="162" t="n"/>
      <c r="P1574" s="162" t="n"/>
      <c r="Q1574" s="320" t="n"/>
      <c r="R1574" s="162" t="inlineStr">
        <is>
          <t>CONTROLE PRODUÇÃO POR EMPRESAS!B268</t>
        </is>
      </c>
    </row>
    <row r="1575" ht="28.5" customHeight="1">
      <c r="A1575" s="317" t="n">
        <v>46485</v>
      </c>
      <c r="B1575" t="inlineStr">
        <is>
          <t>GERAL</t>
        </is>
      </c>
      <c r="C1575" t="inlineStr">
        <is>
          <t>EJ</t>
        </is>
      </c>
      <c r="D1575" t="inlineStr">
        <is>
          <t>IÇAMENTO JOIST</t>
        </is>
      </c>
      <c r="F1575" s="159">
        <f>IFERROR(INDEX('BASE METAS DIÁRIAS'!$N$2:$S$358,MATCH($A1575,'BASE METAS DIÁRIAS'!$A$2:$A$358,0),MOD(ROW()-2,6)+1),"")</f>
        <v/>
      </c>
      <c r="G1575" s="159">
        <f>IFERROR(IF(WEEKDAY($A1575,2)&lt;=INDEX('BASE METAS DIÁRIAS'!$H$2:$M$358,MATCH($A1575,'BASE METAS DIÁRIAS'!$A$2:$A$358,0),MOD(ROW()-2,6)+1),INDEX('BASE METAS DIÁRIAS'!$B$2:$G$358,MATCH($A1575,'BASE METAS DIÁRIAS'!$A$2:$A$358,0),MOD(ROW()-2,6)+1),""),"")</f>
        <v/>
      </c>
      <c r="H1575" s="159">
        <f>IFERROR(IF(INDEX('CONTROLE PRODUÇÃO POR EMPRESAS'!$B$6:$G$5000,MATCH($A1575,'CONTROLE PRODUÇÃO POR EMPRESAS'!$A$6:$A$5000,0),MOD(ROW()-2,6)+1)="","",IFERROR(1*INDEX('CONTROLE PRODUÇÃO POR EMPRESAS'!$B$6:$G$5000,MATCH($A1575,'CONTROLE PRODUÇÃO POR EMPRESAS'!$A$6:$A$5000,0),MOD(ROW()-2,6)+1),"")),"")</f>
        <v/>
      </c>
      <c r="I1575" s="159">
        <f>IF(OR(NOT(ISNUMBER(G1575)),NOT(ISNUMBER(H1575))),"",H1575-G1575)</f>
        <v/>
      </c>
      <c r="J1575" s="319">
        <f>IF(OR(NOT(ISNUMBER(G1575)),NOT(ISNUMBER(H1575)),G1575=0),"",I1575/G1575)</f>
        <v/>
      </c>
      <c r="K1575" s="319">
        <f>IF(OR(NOT(ISNUMBER(G1575)),NOT(ISNUMBER(H1575)),G1575=0),"",H1575/G1575)</f>
        <v/>
      </c>
      <c r="L1575">
        <f>IF(NOT(ISNUMBER(G1575)),"SEM META",IF(G1575=0,"SEM META",IF(NOT(ISNUMBER(H1575)),"SEM APONTAMENTO",IF(H1575&gt;=G1575,"VERDE",IF(H1575&gt;=G1575*0.9,"AMARELO","VERMELHO")))))</f>
        <v/>
      </c>
      <c r="M1575" s="162" t="n"/>
      <c r="N1575" s="162" t="n"/>
      <c r="O1575" s="162" t="n"/>
      <c r="P1575" s="162" t="n"/>
      <c r="Q1575" s="320" t="n"/>
      <c r="R1575" s="162" t="inlineStr">
        <is>
          <t>CONTROLE PRODUÇÃO POR EMPRESAS!C268</t>
        </is>
      </c>
    </row>
    <row r="1576" ht="28.5" customHeight="1">
      <c r="A1576" s="317" t="n">
        <v>46485</v>
      </c>
      <c r="B1576" t="inlineStr">
        <is>
          <t>GERAL</t>
        </is>
      </c>
      <c r="C1576" t="inlineStr">
        <is>
          <t>EJ</t>
        </is>
      </c>
      <c r="D1576" t="inlineStr">
        <is>
          <t>VIGAS</t>
        </is>
      </c>
      <c r="F1576" s="159">
        <f>IFERROR(INDEX('BASE METAS DIÁRIAS'!$N$2:$S$358,MATCH($A1576,'BASE METAS DIÁRIAS'!$A$2:$A$358,0),MOD(ROW()-2,6)+1),"")</f>
        <v/>
      </c>
      <c r="G1576" s="159">
        <f>IFERROR(IF(WEEKDAY($A1576,2)&lt;=INDEX('BASE METAS DIÁRIAS'!$H$2:$M$358,MATCH($A1576,'BASE METAS DIÁRIAS'!$A$2:$A$358,0),MOD(ROW()-2,6)+1),INDEX('BASE METAS DIÁRIAS'!$B$2:$G$358,MATCH($A1576,'BASE METAS DIÁRIAS'!$A$2:$A$358,0),MOD(ROW()-2,6)+1),""),"")</f>
        <v/>
      </c>
      <c r="H1576" s="159">
        <f>IFERROR(IF(INDEX('CONTROLE PRODUÇÃO POR EMPRESAS'!$B$6:$G$5000,MATCH($A1576,'CONTROLE PRODUÇÃO POR EMPRESAS'!$A$6:$A$5000,0),MOD(ROW()-2,6)+1)="","",IFERROR(1*INDEX('CONTROLE PRODUÇÃO POR EMPRESAS'!$B$6:$G$5000,MATCH($A1576,'CONTROLE PRODUÇÃO POR EMPRESAS'!$A$6:$A$5000,0),MOD(ROW()-2,6)+1),"")),"")</f>
        <v/>
      </c>
      <c r="I1576" s="159">
        <f>IF(OR(NOT(ISNUMBER(G1576)),NOT(ISNUMBER(H1576))),"",H1576-G1576)</f>
        <v/>
      </c>
      <c r="J1576" s="319">
        <f>IF(OR(NOT(ISNUMBER(G1576)),NOT(ISNUMBER(H1576)),G1576=0),"",I1576/G1576)</f>
        <v/>
      </c>
      <c r="K1576" s="319">
        <f>IF(OR(NOT(ISNUMBER(G1576)),NOT(ISNUMBER(H1576)),G1576=0),"",H1576/G1576)</f>
        <v/>
      </c>
      <c r="L1576">
        <f>IF(NOT(ISNUMBER(G1576)),"SEM META",IF(G1576=0,"SEM META",IF(NOT(ISNUMBER(H1576)),"SEM APONTAMENTO",IF(H1576&gt;=G1576,"VERDE",IF(H1576&gt;=G1576*0.9,"AMARELO","VERMELHO")))))</f>
        <v/>
      </c>
      <c r="M1576" s="162" t="n"/>
      <c r="N1576" s="162" t="n"/>
      <c r="O1576" s="162" t="n"/>
      <c r="P1576" s="162" t="n"/>
      <c r="Q1576" s="320" t="n"/>
      <c r="R1576" s="162" t="inlineStr">
        <is>
          <t>CONTROLE PRODUÇÃO POR EMPRESAS!D268</t>
        </is>
      </c>
    </row>
    <row r="1577" ht="28.5" customHeight="1">
      <c r="A1577" s="317" t="n">
        <v>46485</v>
      </c>
      <c r="B1577" t="inlineStr">
        <is>
          <t>GERAL</t>
        </is>
      </c>
      <c r="C1577" t="inlineStr">
        <is>
          <t>CMM</t>
        </is>
      </c>
      <c r="D1577" t="inlineStr">
        <is>
          <t>PREMONTAGEM</t>
        </is>
      </c>
      <c r="F1577" s="159">
        <f>IFERROR(INDEX('BASE METAS DIÁRIAS'!$N$2:$S$358,MATCH($A1577,'BASE METAS DIÁRIAS'!$A$2:$A$358,0),MOD(ROW()-2,6)+1),"")</f>
        <v/>
      </c>
      <c r="G1577" s="159">
        <f>IFERROR(IF(WEEKDAY($A1577,2)&lt;=INDEX('BASE METAS DIÁRIAS'!$H$2:$M$358,MATCH($A1577,'BASE METAS DIÁRIAS'!$A$2:$A$358,0),MOD(ROW()-2,6)+1),INDEX('BASE METAS DIÁRIAS'!$B$2:$G$358,MATCH($A1577,'BASE METAS DIÁRIAS'!$A$2:$A$358,0),MOD(ROW()-2,6)+1),""),"")</f>
        <v/>
      </c>
      <c r="H1577" s="159">
        <f>IFERROR(IF(INDEX('CONTROLE PRODUÇÃO POR EMPRESAS'!$B$6:$G$5000,MATCH($A1577,'CONTROLE PRODUÇÃO POR EMPRESAS'!$A$6:$A$5000,0),MOD(ROW()-2,6)+1)="","",IFERROR(1*INDEX('CONTROLE PRODUÇÃO POR EMPRESAS'!$B$6:$G$5000,MATCH($A1577,'CONTROLE PRODUÇÃO POR EMPRESAS'!$A$6:$A$5000,0),MOD(ROW()-2,6)+1),"")),"")</f>
        <v/>
      </c>
      <c r="I1577" s="159">
        <f>IF(OR(NOT(ISNUMBER(G1577)),NOT(ISNUMBER(H1577))),"",H1577-G1577)</f>
        <v/>
      </c>
      <c r="J1577" s="319">
        <f>IF(OR(NOT(ISNUMBER(G1577)),NOT(ISNUMBER(H1577)),G1577=0),"",I1577/G1577)</f>
        <v/>
      </c>
      <c r="K1577" s="319">
        <f>IF(OR(NOT(ISNUMBER(G1577)),NOT(ISNUMBER(H1577)),G1577=0),"",H1577/G1577)</f>
        <v/>
      </c>
      <c r="L1577">
        <f>IF(NOT(ISNUMBER(G1577)),"SEM META",IF(G1577=0,"SEM META",IF(NOT(ISNUMBER(H1577)),"SEM APONTAMENTO",IF(H1577&gt;=G1577,"VERDE",IF(H1577&gt;=G1577*0.9,"AMARELO","VERMELHO")))))</f>
        <v/>
      </c>
      <c r="M1577" s="162" t="n"/>
      <c r="N1577" s="162" t="n"/>
      <c r="O1577" s="162" t="n"/>
      <c r="P1577" s="162" t="n"/>
      <c r="Q1577" s="320" t="n"/>
      <c r="R1577" s="162" t="inlineStr">
        <is>
          <t>CONTROLE PRODUÇÃO POR EMPRESAS!E268</t>
        </is>
      </c>
    </row>
    <row r="1578" ht="28.5" customHeight="1">
      <c r="A1578" s="317" t="n">
        <v>46485</v>
      </c>
      <c r="B1578" t="inlineStr">
        <is>
          <t>GERAL</t>
        </is>
      </c>
      <c r="C1578" t="inlineStr">
        <is>
          <t>CMM</t>
        </is>
      </c>
      <c r="D1578" t="inlineStr">
        <is>
          <t>IÇAMENTO JOIST</t>
        </is>
      </c>
      <c r="F1578" s="159">
        <f>IFERROR(INDEX('BASE METAS DIÁRIAS'!$N$2:$S$358,MATCH($A1578,'BASE METAS DIÁRIAS'!$A$2:$A$358,0),MOD(ROW()-2,6)+1),"")</f>
        <v/>
      </c>
      <c r="G1578" s="159">
        <f>IFERROR(IF(WEEKDAY($A1578,2)&lt;=INDEX('BASE METAS DIÁRIAS'!$H$2:$M$358,MATCH($A1578,'BASE METAS DIÁRIAS'!$A$2:$A$358,0),MOD(ROW()-2,6)+1),INDEX('BASE METAS DIÁRIAS'!$B$2:$G$358,MATCH($A1578,'BASE METAS DIÁRIAS'!$A$2:$A$358,0),MOD(ROW()-2,6)+1),""),"")</f>
        <v/>
      </c>
      <c r="H1578" s="159">
        <f>IFERROR(IF(INDEX('CONTROLE PRODUÇÃO POR EMPRESAS'!$B$6:$G$5000,MATCH($A1578,'CONTROLE PRODUÇÃO POR EMPRESAS'!$A$6:$A$5000,0),MOD(ROW()-2,6)+1)="","",IFERROR(1*INDEX('CONTROLE PRODUÇÃO POR EMPRESAS'!$B$6:$G$5000,MATCH($A1578,'CONTROLE PRODUÇÃO POR EMPRESAS'!$A$6:$A$5000,0),MOD(ROW()-2,6)+1),"")),"")</f>
        <v/>
      </c>
      <c r="I1578" s="159">
        <f>IF(OR(NOT(ISNUMBER(G1578)),NOT(ISNUMBER(H1578))),"",H1578-G1578)</f>
        <v/>
      </c>
      <c r="J1578" s="319">
        <f>IF(OR(NOT(ISNUMBER(G1578)),NOT(ISNUMBER(H1578)),G1578=0),"",I1578/G1578)</f>
        <v/>
      </c>
      <c r="K1578" s="319">
        <f>IF(OR(NOT(ISNUMBER(G1578)),NOT(ISNUMBER(H1578)),G1578=0),"",H1578/G1578)</f>
        <v/>
      </c>
      <c r="L1578">
        <f>IF(NOT(ISNUMBER(G1578)),"SEM META",IF(G1578=0,"SEM META",IF(NOT(ISNUMBER(H1578)),"SEM APONTAMENTO",IF(H1578&gt;=G1578,"VERDE",IF(H1578&gt;=G1578*0.9,"AMARELO","VERMELHO")))))</f>
        <v/>
      </c>
      <c r="M1578" s="162" t="n"/>
      <c r="N1578" s="162" t="n"/>
      <c r="O1578" s="162" t="n"/>
      <c r="P1578" s="162" t="n"/>
      <c r="Q1578" s="320" t="n"/>
      <c r="R1578" s="162" t="inlineStr">
        <is>
          <t>CONTROLE PRODUÇÃO POR EMPRESAS!F268</t>
        </is>
      </c>
    </row>
    <row r="1579" ht="28.5" customHeight="1">
      <c r="A1579" s="317" t="n">
        <v>46485</v>
      </c>
      <c r="B1579" t="inlineStr">
        <is>
          <t>GERAL</t>
        </is>
      </c>
      <c r="C1579" t="inlineStr">
        <is>
          <t>CMM</t>
        </is>
      </c>
      <c r="D1579" t="inlineStr">
        <is>
          <t>VIGAS</t>
        </is>
      </c>
      <c r="F1579" s="159">
        <f>IFERROR(INDEX('BASE METAS DIÁRIAS'!$N$2:$S$358,MATCH($A1579,'BASE METAS DIÁRIAS'!$A$2:$A$358,0),MOD(ROW()-2,6)+1),"")</f>
        <v/>
      </c>
      <c r="G1579" s="159">
        <f>IFERROR(IF(WEEKDAY($A1579,2)&lt;=INDEX('BASE METAS DIÁRIAS'!$H$2:$M$358,MATCH($A1579,'BASE METAS DIÁRIAS'!$A$2:$A$358,0),MOD(ROW()-2,6)+1),INDEX('BASE METAS DIÁRIAS'!$B$2:$G$358,MATCH($A1579,'BASE METAS DIÁRIAS'!$A$2:$A$358,0),MOD(ROW()-2,6)+1),""),"")</f>
        <v/>
      </c>
      <c r="H1579" s="159">
        <f>IFERROR(IF(INDEX('CONTROLE PRODUÇÃO POR EMPRESAS'!$B$6:$G$5000,MATCH($A1579,'CONTROLE PRODUÇÃO POR EMPRESAS'!$A$6:$A$5000,0),MOD(ROW()-2,6)+1)="","",IFERROR(1*INDEX('CONTROLE PRODUÇÃO POR EMPRESAS'!$B$6:$G$5000,MATCH($A1579,'CONTROLE PRODUÇÃO POR EMPRESAS'!$A$6:$A$5000,0),MOD(ROW()-2,6)+1),"")),"")</f>
        <v/>
      </c>
      <c r="I1579" s="159">
        <f>IF(OR(NOT(ISNUMBER(G1579)),NOT(ISNUMBER(H1579))),"",H1579-G1579)</f>
        <v/>
      </c>
      <c r="J1579" s="319">
        <f>IF(OR(NOT(ISNUMBER(G1579)),NOT(ISNUMBER(H1579)),G1579=0),"",I1579/G1579)</f>
        <v/>
      </c>
      <c r="K1579" s="319">
        <f>IF(OR(NOT(ISNUMBER(G1579)),NOT(ISNUMBER(H1579)),G1579=0),"",H1579/G1579)</f>
        <v/>
      </c>
      <c r="L1579">
        <f>IF(NOT(ISNUMBER(G1579)),"SEM META",IF(G1579=0,"SEM META",IF(NOT(ISNUMBER(H1579)),"SEM APONTAMENTO",IF(H1579&gt;=G1579,"VERDE",IF(H1579&gt;=G1579*0.9,"AMARELO","VERMELHO")))))</f>
        <v/>
      </c>
      <c r="M1579" s="162" t="n"/>
      <c r="N1579" s="162" t="n"/>
      <c r="O1579" s="162" t="n"/>
      <c r="P1579" s="162" t="n"/>
      <c r="Q1579" s="320" t="n"/>
      <c r="R1579" s="162" t="inlineStr">
        <is>
          <t>CONTROLE PRODUÇÃO POR EMPRESAS!G268</t>
        </is>
      </c>
    </row>
    <row r="1580" ht="28.5" customHeight="1">
      <c r="A1580" s="317" t="n">
        <v>46486</v>
      </c>
      <c r="B1580" t="inlineStr">
        <is>
          <t>GERAL</t>
        </is>
      </c>
      <c r="C1580" t="inlineStr">
        <is>
          <t>EJ</t>
        </is>
      </c>
      <c r="D1580" t="inlineStr">
        <is>
          <t>PREMONTAGEM</t>
        </is>
      </c>
      <c r="F1580" s="159">
        <f>IFERROR(INDEX('BASE METAS DIÁRIAS'!$N$2:$S$358,MATCH($A1580,'BASE METAS DIÁRIAS'!$A$2:$A$358,0),MOD(ROW()-2,6)+1),"")</f>
        <v/>
      </c>
      <c r="G1580" s="159">
        <f>IFERROR(IF(WEEKDAY($A1580,2)&lt;=INDEX('BASE METAS DIÁRIAS'!$H$2:$M$358,MATCH($A1580,'BASE METAS DIÁRIAS'!$A$2:$A$358,0),MOD(ROW()-2,6)+1),INDEX('BASE METAS DIÁRIAS'!$B$2:$G$358,MATCH($A1580,'BASE METAS DIÁRIAS'!$A$2:$A$358,0),MOD(ROW()-2,6)+1),""),"")</f>
        <v/>
      </c>
      <c r="H1580" s="159">
        <f>IFERROR(IF(INDEX('CONTROLE PRODUÇÃO POR EMPRESAS'!$B$6:$G$5000,MATCH($A1580,'CONTROLE PRODUÇÃO POR EMPRESAS'!$A$6:$A$5000,0),MOD(ROW()-2,6)+1)="","",IFERROR(1*INDEX('CONTROLE PRODUÇÃO POR EMPRESAS'!$B$6:$G$5000,MATCH($A1580,'CONTROLE PRODUÇÃO POR EMPRESAS'!$A$6:$A$5000,0),MOD(ROW()-2,6)+1),"")),"")</f>
        <v/>
      </c>
      <c r="I1580" s="159">
        <f>IF(OR(NOT(ISNUMBER(G1580)),NOT(ISNUMBER(H1580))),"",H1580-G1580)</f>
        <v/>
      </c>
      <c r="J1580" s="319">
        <f>IF(OR(NOT(ISNUMBER(G1580)),NOT(ISNUMBER(H1580)),G1580=0),"",I1580/G1580)</f>
        <v/>
      </c>
      <c r="K1580" s="319">
        <f>IF(OR(NOT(ISNUMBER(G1580)),NOT(ISNUMBER(H1580)),G1580=0),"",H1580/G1580)</f>
        <v/>
      </c>
      <c r="L1580">
        <f>IF(NOT(ISNUMBER(G1580)),"SEM META",IF(G1580=0,"SEM META",IF(NOT(ISNUMBER(H1580)),"SEM APONTAMENTO",IF(H1580&gt;=G1580,"VERDE",IF(H1580&gt;=G1580*0.9,"AMARELO","VERMELHO")))))</f>
        <v/>
      </c>
      <c r="M1580" s="162" t="n"/>
      <c r="N1580" s="162" t="n"/>
      <c r="O1580" s="162" t="n"/>
      <c r="P1580" s="162" t="n"/>
      <c r="Q1580" s="320" t="n"/>
      <c r="R1580" s="162" t="inlineStr">
        <is>
          <t>CONTROLE PRODUÇÃO POR EMPRESAS!B269</t>
        </is>
      </c>
    </row>
    <row r="1581" ht="28.5" customHeight="1">
      <c r="A1581" s="317" t="n">
        <v>46486</v>
      </c>
      <c r="B1581" t="inlineStr">
        <is>
          <t>GERAL</t>
        </is>
      </c>
      <c r="C1581" t="inlineStr">
        <is>
          <t>EJ</t>
        </is>
      </c>
      <c r="D1581" t="inlineStr">
        <is>
          <t>IÇAMENTO JOIST</t>
        </is>
      </c>
      <c r="F1581" s="159">
        <f>IFERROR(INDEX('BASE METAS DIÁRIAS'!$N$2:$S$358,MATCH($A1581,'BASE METAS DIÁRIAS'!$A$2:$A$358,0),MOD(ROW()-2,6)+1),"")</f>
        <v/>
      </c>
      <c r="G1581" s="159">
        <f>IFERROR(IF(WEEKDAY($A1581,2)&lt;=INDEX('BASE METAS DIÁRIAS'!$H$2:$M$358,MATCH($A1581,'BASE METAS DIÁRIAS'!$A$2:$A$358,0),MOD(ROW()-2,6)+1),INDEX('BASE METAS DIÁRIAS'!$B$2:$G$358,MATCH($A1581,'BASE METAS DIÁRIAS'!$A$2:$A$358,0),MOD(ROW()-2,6)+1),""),"")</f>
        <v/>
      </c>
      <c r="H1581" s="159">
        <f>IFERROR(IF(INDEX('CONTROLE PRODUÇÃO POR EMPRESAS'!$B$6:$G$5000,MATCH($A1581,'CONTROLE PRODUÇÃO POR EMPRESAS'!$A$6:$A$5000,0),MOD(ROW()-2,6)+1)="","",IFERROR(1*INDEX('CONTROLE PRODUÇÃO POR EMPRESAS'!$B$6:$G$5000,MATCH($A1581,'CONTROLE PRODUÇÃO POR EMPRESAS'!$A$6:$A$5000,0),MOD(ROW()-2,6)+1),"")),"")</f>
        <v/>
      </c>
      <c r="I1581" s="159">
        <f>IF(OR(NOT(ISNUMBER(G1581)),NOT(ISNUMBER(H1581))),"",H1581-G1581)</f>
        <v/>
      </c>
      <c r="J1581" s="319">
        <f>IF(OR(NOT(ISNUMBER(G1581)),NOT(ISNUMBER(H1581)),G1581=0),"",I1581/G1581)</f>
        <v/>
      </c>
      <c r="K1581" s="319">
        <f>IF(OR(NOT(ISNUMBER(G1581)),NOT(ISNUMBER(H1581)),G1581=0),"",H1581/G1581)</f>
        <v/>
      </c>
      <c r="L1581">
        <f>IF(NOT(ISNUMBER(G1581)),"SEM META",IF(G1581=0,"SEM META",IF(NOT(ISNUMBER(H1581)),"SEM APONTAMENTO",IF(H1581&gt;=G1581,"VERDE",IF(H1581&gt;=G1581*0.9,"AMARELO","VERMELHO")))))</f>
        <v/>
      </c>
      <c r="M1581" s="162" t="n"/>
      <c r="N1581" s="162" t="n"/>
      <c r="O1581" s="162" t="n"/>
      <c r="P1581" s="162" t="n"/>
      <c r="Q1581" s="320" t="n"/>
      <c r="R1581" s="162" t="inlineStr">
        <is>
          <t>CONTROLE PRODUÇÃO POR EMPRESAS!C269</t>
        </is>
      </c>
    </row>
    <row r="1582" ht="28.5" customHeight="1">
      <c r="A1582" s="317" t="n">
        <v>46486</v>
      </c>
      <c r="B1582" t="inlineStr">
        <is>
          <t>GERAL</t>
        </is>
      </c>
      <c r="C1582" t="inlineStr">
        <is>
          <t>EJ</t>
        </is>
      </c>
      <c r="D1582" t="inlineStr">
        <is>
          <t>VIGAS</t>
        </is>
      </c>
      <c r="F1582" s="159">
        <f>IFERROR(INDEX('BASE METAS DIÁRIAS'!$N$2:$S$358,MATCH($A1582,'BASE METAS DIÁRIAS'!$A$2:$A$358,0),MOD(ROW()-2,6)+1),"")</f>
        <v/>
      </c>
      <c r="G1582" s="159">
        <f>IFERROR(IF(WEEKDAY($A1582,2)&lt;=INDEX('BASE METAS DIÁRIAS'!$H$2:$M$358,MATCH($A1582,'BASE METAS DIÁRIAS'!$A$2:$A$358,0),MOD(ROW()-2,6)+1),INDEX('BASE METAS DIÁRIAS'!$B$2:$G$358,MATCH($A1582,'BASE METAS DIÁRIAS'!$A$2:$A$358,0),MOD(ROW()-2,6)+1),""),"")</f>
        <v/>
      </c>
      <c r="H1582" s="159">
        <f>IFERROR(IF(INDEX('CONTROLE PRODUÇÃO POR EMPRESAS'!$B$6:$G$5000,MATCH($A1582,'CONTROLE PRODUÇÃO POR EMPRESAS'!$A$6:$A$5000,0),MOD(ROW()-2,6)+1)="","",IFERROR(1*INDEX('CONTROLE PRODUÇÃO POR EMPRESAS'!$B$6:$G$5000,MATCH($A1582,'CONTROLE PRODUÇÃO POR EMPRESAS'!$A$6:$A$5000,0),MOD(ROW()-2,6)+1),"")),"")</f>
        <v/>
      </c>
      <c r="I1582" s="159">
        <f>IF(OR(NOT(ISNUMBER(G1582)),NOT(ISNUMBER(H1582))),"",H1582-G1582)</f>
        <v/>
      </c>
      <c r="J1582" s="319">
        <f>IF(OR(NOT(ISNUMBER(G1582)),NOT(ISNUMBER(H1582)),G1582=0),"",I1582/G1582)</f>
        <v/>
      </c>
      <c r="K1582" s="319">
        <f>IF(OR(NOT(ISNUMBER(G1582)),NOT(ISNUMBER(H1582)),G1582=0),"",H1582/G1582)</f>
        <v/>
      </c>
      <c r="L1582">
        <f>IF(NOT(ISNUMBER(G1582)),"SEM META",IF(G1582=0,"SEM META",IF(NOT(ISNUMBER(H1582)),"SEM APONTAMENTO",IF(H1582&gt;=G1582,"VERDE",IF(H1582&gt;=G1582*0.9,"AMARELO","VERMELHO")))))</f>
        <v/>
      </c>
      <c r="M1582" s="162" t="n"/>
      <c r="N1582" s="162" t="n"/>
      <c r="O1582" s="162" t="n"/>
      <c r="P1582" s="162" t="n"/>
      <c r="Q1582" s="320" t="n"/>
      <c r="R1582" s="162" t="inlineStr">
        <is>
          <t>CONTROLE PRODUÇÃO POR EMPRESAS!D269</t>
        </is>
      </c>
    </row>
    <row r="1583" ht="28.5" customHeight="1">
      <c r="A1583" s="317" t="n">
        <v>46486</v>
      </c>
      <c r="B1583" t="inlineStr">
        <is>
          <t>GERAL</t>
        </is>
      </c>
      <c r="C1583" t="inlineStr">
        <is>
          <t>CMM</t>
        </is>
      </c>
      <c r="D1583" t="inlineStr">
        <is>
          <t>PREMONTAGEM</t>
        </is>
      </c>
      <c r="F1583" s="159">
        <f>IFERROR(INDEX('BASE METAS DIÁRIAS'!$N$2:$S$358,MATCH($A1583,'BASE METAS DIÁRIAS'!$A$2:$A$358,0),MOD(ROW()-2,6)+1),"")</f>
        <v/>
      </c>
      <c r="G1583" s="159">
        <f>IFERROR(IF(WEEKDAY($A1583,2)&lt;=INDEX('BASE METAS DIÁRIAS'!$H$2:$M$358,MATCH($A1583,'BASE METAS DIÁRIAS'!$A$2:$A$358,0),MOD(ROW()-2,6)+1),INDEX('BASE METAS DIÁRIAS'!$B$2:$G$358,MATCH($A1583,'BASE METAS DIÁRIAS'!$A$2:$A$358,0),MOD(ROW()-2,6)+1),""),"")</f>
        <v/>
      </c>
      <c r="H1583" s="159">
        <f>IFERROR(IF(INDEX('CONTROLE PRODUÇÃO POR EMPRESAS'!$B$6:$G$5000,MATCH($A1583,'CONTROLE PRODUÇÃO POR EMPRESAS'!$A$6:$A$5000,0),MOD(ROW()-2,6)+1)="","",IFERROR(1*INDEX('CONTROLE PRODUÇÃO POR EMPRESAS'!$B$6:$G$5000,MATCH($A1583,'CONTROLE PRODUÇÃO POR EMPRESAS'!$A$6:$A$5000,0),MOD(ROW()-2,6)+1),"")),"")</f>
        <v/>
      </c>
      <c r="I1583" s="159">
        <f>IF(OR(NOT(ISNUMBER(G1583)),NOT(ISNUMBER(H1583))),"",H1583-G1583)</f>
        <v/>
      </c>
      <c r="J1583" s="319">
        <f>IF(OR(NOT(ISNUMBER(G1583)),NOT(ISNUMBER(H1583)),G1583=0),"",I1583/G1583)</f>
        <v/>
      </c>
      <c r="K1583" s="319">
        <f>IF(OR(NOT(ISNUMBER(G1583)),NOT(ISNUMBER(H1583)),G1583=0),"",H1583/G1583)</f>
        <v/>
      </c>
      <c r="L1583">
        <f>IF(NOT(ISNUMBER(G1583)),"SEM META",IF(G1583=0,"SEM META",IF(NOT(ISNUMBER(H1583)),"SEM APONTAMENTO",IF(H1583&gt;=G1583,"VERDE",IF(H1583&gt;=G1583*0.9,"AMARELO","VERMELHO")))))</f>
        <v/>
      </c>
      <c r="M1583" s="162" t="n"/>
      <c r="N1583" s="162" t="n"/>
      <c r="O1583" s="162" t="n"/>
      <c r="P1583" s="162" t="n"/>
      <c r="Q1583" s="320" t="n"/>
      <c r="R1583" s="162" t="inlineStr">
        <is>
          <t>CONTROLE PRODUÇÃO POR EMPRESAS!E269</t>
        </is>
      </c>
    </row>
    <row r="1584" ht="28.5" customHeight="1">
      <c r="A1584" s="317" t="n">
        <v>46486</v>
      </c>
      <c r="B1584" t="inlineStr">
        <is>
          <t>GERAL</t>
        </is>
      </c>
      <c r="C1584" t="inlineStr">
        <is>
          <t>CMM</t>
        </is>
      </c>
      <c r="D1584" t="inlineStr">
        <is>
          <t>IÇAMENTO JOIST</t>
        </is>
      </c>
      <c r="F1584" s="159">
        <f>IFERROR(INDEX('BASE METAS DIÁRIAS'!$N$2:$S$358,MATCH($A1584,'BASE METAS DIÁRIAS'!$A$2:$A$358,0),MOD(ROW()-2,6)+1),"")</f>
        <v/>
      </c>
      <c r="G1584" s="159">
        <f>IFERROR(IF(WEEKDAY($A1584,2)&lt;=INDEX('BASE METAS DIÁRIAS'!$H$2:$M$358,MATCH($A1584,'BASE METAS DIÁRIAS'!$A$2:$A$358,0),MOD(ROW()-2,6)+1),INDEX('BASE METAS DIÁRIAS'!$B$2:$G$358,MATCH($A1584,'BASE METAS DIÁRIAS'!$A$2:$A$358,0),MOD(ROW()-2,6)+1),""),"")</f>
        <v/>
      </c>
      <c r="H1584" s="159">
        <f>IFERROR(IF(INDEX('CONTROLE PRODUÇÃO POR EMPRESAS'!$B$6:$G$5000,MATCH($A1584,'CONTROLE PRODUÇÃO POR EMPRESAS'!$A$6:$A$5000,0),MOD(ROW()-2,6)+1)="","",IFERROR(1*INDEX('CONTROLE PRODUÇÃO POR EMPRESAS'!$B$6:$G$5000,MATCH($A1584,'CONTROLE PRODUÇÃO POR EMPRESAS'!$A$6:$A$5000,0),MOD(ROW()-2,6)+1),"")),"")</f>
        <v/>
      </c>
      <c r="I1584" s="159">
        <f>IF(OR(NOT(ISNUMBER(G1584)),NOT(ISNUMBER(H1584))),"",H1584-G1584)</f>
        <v/>
      </c>
      <c r="J1584" s="319">
        <f>IF(OR(NOT(ISNUMBER(G1584)),NOT(ISNUMBER(H1584)),G1584=0),"",I1584/G1584)</f>
        <v/>
      </c>
      <c r="K1584" s="319">
        <f>IF(OR(NOT(ISNUMBER(G1584)),NOT(ISNUMBER(H1584)),G1584=0),"",H1584/G1584)</f>
        <v/>
      </c>
      <c r="L1584">
        <f>IF(NOT(ISNUMBER(G1584)),"SEM META",IF(G1584=0,"SEM META",IF(NOT(ISNUMBER(H1584)),"SEM APONTAMENTO",IF(H1584&gt;=G1584,"VERDE",IF(H1584&gt;=G1584*0.9,"AMARELO","VERMELHO")))))</f>
        <v/>
      </c>
      <c r="M1584" s="162" t="n"/>
      <c r="N1584" s="162" t="n"/>
      <c r="O1584" s="162" t="n"/>
      <c r="P1584" s="162" t="n"/>
      <c r="Q1584" s="320" t="n"/>
      <c r="R1584" s="162" t="inlineStr">
        <is>
          <t>CONTROLE PRODUÇÃO POR EMPRESAS!F269</t>
        </is>
      </c>
    </row>
    <row r="1585" ht="28.5" customHeight="1">
      <c r="A1585" s="317" t="n">
        <v>46486</v>
      </c>
      <c r="B1585" t="inlineStr">
        <is>
          <t>GERAL</t>
        </is>
      </c>
      <c r="C1585" t="inlineStr">
        <is>
          <t>CMM</t>
        </is>
      </c>
      <c r="D1585" t="inlineStr">
        <is>
          <t>VIGAS</t>
        </is>
      </c>
      <c r="F1585" s="159">
        <f>IFERROR(INDEX('BASE METAS DIÁRIAS'!$N$2:$S$358,MATCH($A1585,'BASE METAS DIÁRIAS'!$A$2:$A$358,0),MOD(ROW()-2,6)+1),"")</f>
        <v/>
      </c>
      <c r="G1585" s="159">
        <f>IFERROR(IF(WEEKDAY($A1585,2)&lt;=INDEX('BASE METAS DIÁRIAS'!$H$2:$M$358,MATCH($A1585,'BASE METAS DIÁRIAS'!$A$2:$A$358,0),MOD(ROW()-2,6)+1),INDEX('BASE METAS DIÁRIAS'!$B$2:$G$358,MATCH($A1585,'BASE METAS DIÁRIAS'!$A$2:$A$358,0),MOD(ROW()-2,6)+1),""),"")</f>
        <v/>
      </c>
      <c r="H1585" s="159">
        <f>IFERROR(IF(INDEX('CONTROLE PRODUÇÃO POR EMPRESAS'!$B$6:$G$5000,MATCH($A1585,'CONTROLE PRODUÇÃO POR EMPRESAS'!$A$6:$A$5000,0),MOD(ROW()-2,6)+1)="","",IFERROR(1*INDEX('CONTROLE PRODUÇÃO POR EMPRESAS'!$B$6:$G$5000,MATCH($A1585,'CONTROLE PRODUÇÃO POR EMPRESAS'!$A$6:$A$5000,0),MOD(ROW()-2,6)+1),"")),"")</f>
        <v/>
      </c>
      <c r="I1585" s="159">
        <f>IF(OR(NOT(ISNUMBER(G1585)),NOT(ISNUMBER(H1585))),"",H1585-G1585)</f>
        <v/>
      </c>
      <c r="J1585" s="319">
        <f>IF(OR(NOT(ISNUMBER(G1585)),NOT(ISNUMBER(H1585)),G1585=0),"",I1585/G1585)</f>
        <v/>
      </c>
      <c r="K1585" s="319">
        <f>IF(OR(NOT(ISNUMBER(G1585)),NOT(ISNUMBER(H1585)),G1585=0),"",H1585/G1585)</f>
        <v/>
      </c>
      <c r="L1585">
        <f>IF(NOT(ISNUMBER(G1585)),"SEM META",IF(G1585=0,"SEM META",IF(NOT(ISNUMBER(H1585)),"SEM APONTAMENTO",IF(H1585&gt;=G1585,"VERDE",IF(H1585&gt;=G1585*0.9,"AMARELO","VERMELHO")))))</f>
        <v/>
      </c>
      <c r="M1585" s="162" t="n"/>
      <c r="N1585" s="162" t="n"/>
      <c r="O1585" s="162" t="n"/>
      <c r="P1585" s="162" t="n"/>
      <c r="Q1585" s="320" t="n"/>
      <c r="R1585" s="162" t="inlineStr">
        <is>
          <t>CONTROLE PRODUÇÃO POR EMPRESAS!G269</t>
        </is>
      </c>
    </row>
    <row r="1586" ht="28.5" customHeight="1">
      <c r="A1586" s="317" t="n">
        <v>46487</v>
      </c>
      <c r="B1586" t="inlineStr">
        <is>
          <t>GERAL</t>
        </is>
      </c>
      <c r="C1586" t="inlineStr">
        <is>
          <t>EJ</t>
        </is>
      </c>
      <c r="D1586" t="inlineStr">
        <is>
          <t>PREMONTAGEM</t>
        </is>
      </c>
      <c r="F1586" s="159">
        <f>IFERROR(INDEX('BASE METAS DIÁRIAS'!$N$2:$S$358,MATCH($A1586,'BASE METAS DIÁRIAS'!$A$2:$A$358,0),MOD(ROW()-2,6)+1),"")</f>
        <v/>
      </c>
      <c r="G1586" s="159">
        <f>IFERROR(IF(WEEKDAY($A1586,2)&lt;=INDEX('BASE METAS DIÁRIAS'!$H$2:$M$358,MATCH($A1586,'BASE METAS DIÁRIAS'!$A$2:$A$358,0),MOD(ROW()-2,6)+1),INDEX('BASE METAS DIÁRIAS'!$B$2:$G$358,MATCH($A1586,'BASE METAS DIÁRIAS'!$A$2:$A$358,0),MOD(ROW()-2,6)+1),""),"")</f>
        <v/>
      </c>
      <c r="H1586" s="159">
        <f>IFERROR(IF(INDEX('CONTROLE PRODUÇÃO POR EMPRESAS'!$B$6:$G$5000,MATCH($A1586,'CONTROLE PRODUÇÃO POR EMPRESAS'!$A$6:$A$5000,0),MOD(ROW()-2,6)+1)="","",IFERROR(1*INDEX('CONTROLE PRODUÇÃO POR EMPRESAS'!$B$6:$G$5000,MATCH($A1586,'CONTROLE PRODUÇÃO POR EMPRESAS'!$A$6:$A$5000,0),MOD(ROW()-2,6)+1),"")),"")</f>
        <v/>
      </c>
      <c r="I1586" s="159">
        <f>IF(OR(NOT(ISNUMBER(G1586)),NOT(ISNUMBER(H1586))),"",H1586-G1586)</f>
        <v/>
      </c>
      <c r="J1586" s="319">
        <f>IF(OR(NOT(ISNUMBER(G1586)),NOT(ISNUMBER(H1586)),G1586=0),"",I1586/G1586)</f>
        <v/>
      </c>
      <c r="K1586" s="319">
        <f>IF(OR(NOT(ISNUMBER(G1586)),NOT(ISNUMBER(H1586)),G1586=0),"",H1586/G1586)</f>
        <v/>
      </c>
      <c r="L1586">
        <f>IF(NOT(ISNUMBER(G1586)),"SEM META",IF(G1586=0,"SEM META",IF(NOT(ISNUMBER(H1586)),"SEM APONTAMENTO",IF(H1586&gt;=G1586,"VERDE",IF(H1586&gt;=G1586*0.9,"AMARELO","VERMELHO")))))</f>
        <v/>
      </c>
      <c r="M1586" s="162" t="n"/>
      <c r="N1586" s="162" t="n"/>
      <c r="O1586" s="162" t="n"/>
      <c r="P1586" s="162" t="n"/>
      <c r="Q1586" s="320" t="n"/>
      <c r="R1586" s="162" t="inlineStr">
        <is>
          <t>CONTROLE PRODUÇÃO POR EMPRESAS!B270</t>
        </is>
      </c>
    </row>
    <row r="1587" ht="28.5" customHeight="1">
      <c r="A1587" s="317" t="n">
        <v>46487</v>
      </c>
      <c r="B1587" t="inlineStr">
        <is>
          <t>GERAL</t>
        </is>
      </c>
      <c r="C1587" t="inlineStr">
        <is>
          <t>EJ</t>
        </is>
      </c>
      <c r="D1587" t="inlineStr">
        <is>
          <t>IÇAMENTO JOIST</t>
        </is>
      </c>
      <c r="F1587" s="159">
        <f>IFERROR(INDEX('BASE METAS DIÁRIAS'!$N$2:$S$358,MATCH($A1587,'BASE METAS DIÁRIAS'!$A$2:$A$358,0),MOD(ROW()-2,6)+1),"")</f>
        <v/>
      </c>
      <c r="G1587" s="159">
        <f>IFERROR(IF(WEEKDAY($A1587,2)&lt;=INDEX('BASE METAS DIÁRIAS'!$H$2:$M$358,MATCH($A1587,'BASE METAS DIÁRIAS'!$A$2:$A$358,0),MOD(ROW()-2,6)+1),INDEX('BASE METAS DIÁRIAS'!$B$2:$G$358,MATCH($A1587,'BASE METAS DIÁRIAS'!$A$2:$A$358,0),MOD(ROW()-2,6)+1),""),"")</f>
        <v/>
      </c>
      <c r="H1587" s="159">
        <f>IFERROR(IF(INDEX('CONTROLE PRODUÇÃO POR EMPRESAS'!$B$6:$G$5000,MATCH($A1587,'CONTROLE PRODUÇÃO POR EMPRESAS'!$A$6:$A$5000,0),MOD(ROW()-2,6)+1)="","",IFERROR(1*INDEX('CONTROLE PRODUÇÃO POR EMPRESAS'!$B$6:$G$5000,MATCH($A1587,'CONTROLE PRODUÇÃO POR EMPRESAS'!$A$6:$A$5000,0),MOD(ROW()-2,6)+1),"")),"")</f>
        <v/>
      </c>
      <c r="I1587" s="159">
        <f>IF(OR(NOT(ISNUMBER(G1587)),NOT(ISNUMBER(H1587))),"",H1587-G1587)</f>
        <v/>
      </c>
      <c r="J1587" s="319">
        <f>IF(OR(NOT(ISNUMBER(G1587)),NOT(ISNUMBER(H1587)),G1587=0),"",I1587/G1587)</f>
        <v/>
      </c>
      <c r="K1587" s="319">
        <f>IF(OR(NOT(ISNUMBER(G1587)),NOT(ISNUMBER(H1587)),G1587=0),"",H1587/G1587)</f>
        <v/>
      </c>
      <c r="L1587">
        <f>IF(NOT(ISNUMBER(G1587)),"SEM META",IF(G1587=0,"SEM META",IF(NOT(ISNUMBER(H1587)),"SEM APONTAMENTO",IF(H1587&gt;=G1587,"VERDE",IF(H1587&gt;=G1587*0.9,"AMARELO","VERMELHO")))))</f>
        <v/>
      </c>
      <c r="M1587" s="162" t="n"/>
      <c r="N1587" s="162" t="n"/>
      <c r="O1587" s="162" t="n"/>
      <c r="P1587" s="162" t="n"/>
      <c r="Q1587" s="320" t="n"/>
      <c r="R1587" s="162" t="inlineStr">
        <is>
          <t>CONTROLE PRODUÇÃO POR EMPRESAS!C270</t>
        </is>
      </c>
    </row>
    <row r="1588" ht="28.5" customHeight="1">
      <c r="A1588" s="317" t="n">
        <v>46487</v>
      </c>
      <c r="B1588" t="inlineStr">
        <is>
          <t>GERAL</t>
        </is>
      </c>
      <c r="C1588" t="inlineStr">
        <is>
          <t>EJ</t>
        </is>
      </c>
      <c r="D1588" t="inlineStr">
        <is>
          <t>VIGAS</t>
        </is>
      </c>
      <c r="F1588" s="159">
        <f>IFERROR(INDEX('BASE METAS DIÁRIAS'!$N$2:$S$358,MATCH($A1588,'BASE METAS DIÁRIAS'!$A$2:$A$358,0),MOD(ROW()-2,6)+1),"")</f>
        <v/>
      </c>
      <c r="G1588" s="159">
        <f>IFERROR(IF(WEEKDAY($A1588,2)&lt;=INDEX('BASE METAS DIÁRIAS'!$H$2:$M$358,MATCH($A1588,'BASE METAS DIÁRIAS'!$A$2:$A$358,0),MOD(ROW()-2,6)+1),INDEX('BASE METAS DIÁRIAS'!$B$2:$G$358,MATCH($A1588,'BASE METAS DIÁRIAS'!$A$2:$A$358,0),MOD(ROW()-2,6)+1),""),"")</f>
        <v/>
      </c>
      <c r="H1588" s="159">
        <f>IFERROR(IF(INDEX('CONTROLE PRODUÇÃO POR EMPRESAS'!$B$6:$G$5000,MATCH($A1588,'CONTROLE PRODUÇÃO POR EMPRESAS'!$A$6:$A$5000,0),MOD(ROW()-2,6)+1)="","",IFERROR(1*INDEX('CONTROLE PRODUÇÃO POR EMPRESAS'!$B$6:$G$5000,MATCH($A1588,'CONTROLE PRODUÇÃO POR EMPRESAS'!$A$6:$A$5000,0),MOD(ROW()-2,6)+1),"")),"")</f>
        <v/>
      </c>
      <c r="I1588" s="159">
        <f>IF(OR(NOT(ISNUMBER(G1588)),NOT(ISNUMBER(H1588))),"",H1588-G1588)</f>
        <v/>
      </c>
      <c r="J1588" s="319">
        <f>IF(OR(NOT(ISNUMBER(G1588)),NOT(ISNUMBER(H1588)),G1588=0),"",I1588/G1588)</f>
        <v/>
      </c>
      <c r="K1588" s="319">
        <f>IF(OR(NOT(ISNUMBER(G1588)),NOT(ISNUMBER(H1588)),G1588=0),"",H1588/G1588)</f>
        <v/>
      </c>
      <c r="L1588">
        <f>IF(NOT(ISNUMBER(G1588)),"SEM META",IF(G1588=0,"SEM META",IF(NOT(ISNUMBER(H1588)),"SEM APONTAMENTO",IF(H1588&gt;=G1588,"VERDE",IF(H1588&gt;=G1588*0.9,"AMARELO","VERMELHO")))))</f>
        <v/>
      </c>
      <c r="M1588" s="162" t="n"/>
      <c r="N1588" s="162" t="n"/>
      <c r="O1588" s="162" t="n"/>
      <c r="P1588" s="162" t="n"/>
      <c r="Q1588" s="320" t="n"/>
      <c r="R1588" s="162" t="inlineStr">
        <is>
          <t>CONTROLE PRODUÇÃO POR EMPRESAS!D270</t>
        </is>
      </c>
    </row>
    <row r="1589" ht="28.5" customHeight="1">
      <c r="A1589" s="317" t="n">
        <v>46487</v>
      </c>
      <c r="B1589" t="inlineStr">
        <is>
          <t>GERAL</t>
        </is>
      </c>
      <c r="C1589" t="inlineStr">
        <is>
          <t>CMM</t>
        </is>
      </c>
      <c r="D1589" t="inlineStr">
        <is>
          <t>PREMONTAGEM</t>
        </is>
      </c>
      <c r="F1589" s="159">
        <f>IFERROR(INDEX('BASE METAS DIÁRIAS'!$N$2:$S$358,MATCH($A1589,'BASE METAS DIÁRIAS'!$A$2:$A$358,0),MOD(ROW()-2,6)+1),"")</f>
        <v/>
      </c>
      <c r="G1589" s="159">
        <f>IFERROR(IF(WEEKDAY($A1589,2)&lt;=INDEX('BASE METAS DIÁRIAS'!$H$2:$M$358,MATCH($A1589,'BASE METAS DIÁRIAS'!$A$2:$A$358,0),MOD(ROW()-2,6)+1),INDEX('BASE METAS DIÁRIAS'!$B$2:$G$358,MATCH($A1589,'BASE METAS DIÁRIAS'!$A$2:$A$358,0),MOD(ROW()-2,6)+1),""),"")</f>
        <v/>
      </c>
      <c r="H1589" s="159">
        <f>IFERROR(IF(INDEX('CONTROLE PRODUÇÃO POR EMPRESAS'!$B$6:$G$5000,MATCH($A1589,'CONTROLE PRODUÇÃO POR EMPRESAS'!$A$6:$A$5000,0),MOD(ROW()-2,6)+1)="","",IFERROR(1*INDEX('CONTROLE PRODUÇÃO POR EMPRESAS'!$B$6:$G$5000,MATCH($A1589,'CONTROLE PRODUÇÃO POR EMPRESAS'!$A$6:$A$5000,0),MOD(ROW()-2,6)+1),"")),"")</f>
        <v/>
      </c>
      <c r="I1589" s="159">
        <f>IF(OR(NOT(ISNUMBER(G1589)),NOT(ISNUMBER(H1589))),"",H1589-G1589)</f>
        <v/>
      </c>
      <c r="J1589" s="319">
        <f>IF(OR(NOT(ISNUMBER(G1589)),NOT(ISNUMBER(H1589)),G1589=0),"",I1589/G1589)</f>
        <v/>
      </c>
      <c r="K1589" s="319">
        <f>IF(OR(NOT(ISNUMBER(G1589)),NOT(ISNUMBER(H1589)),G1589=0),"",H1589/G1589)</f>
        <v/>
      </c>
      <c r="L1589">
        <f>IF(NOT(ISNUMBER(G1589)),"SEM META",IF(G1589=0,"SEM META",IF(NOT(ISNUMBER(H1589)),"SEM APONTAMENTO",IF(H1589&gt;=G1589,"VERDE",IF(H1589&gt;=G1589*0.9,"AMARELO","VERMELHO")))))</f>
        <v/>
      </c>
      <c r="M1589" s="162" t="n"/>
      <c r="N1589" s="162" t="n"/>
      <c r="O1589" s="162" t="n"/>
      <c r="P1589" s="162" t="n"/>
      <c r="Q1589" s="320" t="n"/>
      <c r="R1589" s="162" t="inlineStr">
        <is>
          <t>CONTROLE PRODUÇÃO POR EMPRESAS!E270</t>
        </is>
      </c>
    </row>
    <row r="1590" ht="28.5" customHeight="1">
      <c r="A1590" s="317" t="n">
        <v>46487</v>
      </c>
      <c r="B1590" t="inlineStr">
        <is>
          <t>GERAL</t>
        </is>
      </c>
      <c r="C1590" t="inlineStr">
        <is>
          <t>CMM</t>
        </is>
      </c>
      <c r="D1590" t="inlineStr">
        <is>
          <t>IÇAMENTO JOIST</t>
        </is>
      </c>
      <c r="F1590" s="159">
        <f>IFERROR(INDEX('BASE METAS DIÁRIAS'!$N$2:$S$358,MATCH($A1590,'BASE METAS DIÁRIAS'!$A$2:$A$358,0),MOD(ROW()-2,6)+1),"")</f>
        <v/>
      </c>
      <c r="G1590" s="159">
        <f>IFERROR(IF(WEEKDAY($A1590,2)&lt;=INDEX('BASE METAS DIÁRIAS'!$H$2:$M$358,MATCH($A1590,'BASE METAS DIÁRIAS'!$A$2:$A$358,0),MOD(ROW()-2,6)+1),INDEX('BASE METAS DIÁRIAS'!$B$2:$G$358,MATCH($A1590,'BASE METAS DIÁRIAS'!$A$2:$A$358,0),MOD(ROW()-2,6)+1),""),"")</f>
        <v/>
      </c>
      <c r="H1590" s="159">
        <f>IFERROR(IF(INDEX('CONTROLE PRODUÇÃO POR EMPRESAS'!$B$6:$G$5000,MATCH($A1590,'CONTROLE PRODUÇÃO POR EMPRESAS'!$A$6:$A$5000,0),MOD(ROW()-2,6)+1)="","",IFERROR(1*INDEX('CONTROLE PRODUÇÃO POR EMPRESAS'!$B$6:$G$5000,MATCH($A1590,'CONTROLE PRODUÇÃO POR EMPRESAS'!$A$6:$A$5000,0),MOD(ROW()-2,6)+1),"")),"")</f>
        <v/>
      </c>
      <c r="I1590" s="159">
        <f>IF(OR(NOT(ISNUMBER(G1590)),NOT(ISNUMBER(H1590))),"",H1590-G1590)</f>
        <v/>
      </c>
      <c r="J1590" s="319">
        <f>IF(OR(NOT(ISNUMBER(G1590)),NOT(ISNUMBER(H1590)),G1590=0),"",I1590/G1590)</f>
        <v/>
      </c>
      <c r="K1590" s="319">
        <f>IF(OR(NOT(ISNUMBER(G1590)),NOT(ISNUMBER(H1590)),G1590=0),"",H1590/G1590)</f>
        <v/>
      </c>
      <c r="L1590">
        <f>IF(NOT(ISNUMBER(G1590)),"SEM META",IF(G1590=0,"SEM META",IF(NOT(ISNUMBER(H1590)),"SEM APONTAMENTO",IF(H1590&gt;=G1590,"VERDE",IF(H1590&gt;=G1590*0.9,"AMARELO","VERMELHO")))))</f>
        <v/>
      </c>
      <c r="M1590" s="162" t="n"/>
      <c r="N1590" s="162" t="n"/>
      <c r="O1590" s="162" t="n"/>
      <c r="P1590" s="162" t="n"/>
      <c r="Q1590" s="320" t="n"/>
      <c r="R1590" s="162" t="inlineStr">
        <is>
          <t>CONTROLE PRODUÇÃO POR EMPRESAS!F270</t>
        </is>
      </c>
    </row>
    <row r="1591" ht="28.5" customHeight="1">
      <c r="A1591" s="317" t="n">
        <v>46487</v>
      </c>
      <c r="B1591" t="inlineStr">
        <is>
          <t>GERAL</t>
        </is>
      </c>
      <c r="C1591" t="inlineStr">
        <is>
          <t>CMM</t>
        </is>
      </c>
      <c r="D1591" t="inlineStr">
        <is>
          <t>VIGAS</t>
        </is>
      </c>
      <c r="F1591" s="159">
        <f>IFERROR(INDEX('BASE METAS DIÁRIAS'!$N$2:$S$358,MATCH($A1591,'BASE METAS DIÁRIAS'!$A$2:$A$358,0),MOD(ROW()-2,6)+1),"")</f>
        <v/>
      </c>
      <c r="G1591" s="159">
        <f>IFERROR(IF(WEEKDAY($A1591,2)&lt;=INDEX('BASE METAS DIÁRIAS'!$H$2:$M$358,MATCH($A1591,'BASE METAS DIÁRIAS'!$A$2:$A$358,0),MOD(ROW()-2,6)+1),INDEX('BASE METAS DIÁRIAS'!$B$2:$G$358,MATCH($A1591,'BASE METAS DIÁRIAS'!$A$2:$A$358,0),MOD(ROW()-2,6)+1),""),"")</f>
        <v/>
      </c>
      <c r="H1591" s="159">
        <f>IFERROR(IF(INDEX('CONTROLE PRODUÇÃO POR EMPRESAS'!$B$6:$G$5000,MATCH($A1591,'CONTROLE PRODUÇÃO POR EMPRESAS'!$A$6:$A$5000,0),MOD(ROW()-2,6)+1)="","",IFERROR(1*INDEX('CONTROLE PRODUÇÃO POR EMPRESAS'!$B$6:$G$5000,MATCH($A1591,'CONTROLE PRODUÇÃO POR EMPRESAS'!$A$6:$A$5000,0),MOD(ROW()-2,6)+1),"")),"")</f>
        <v/>
      </c>
      <c r="I1591" s="159">
        <f>IF(OR(NOT(ISNUMBER(G1591)),NOT(ISNUMBER(H1591))),"",H1591-G1591)</f>
        <v/>
      </c>
      <c r="J1591" s="319">
        <f>IF(OR(NOT(ISNUMBER(G1591)),NOT(ISNUMBER(H1591)),G1591=0),"",I1591/G1591)</f>
        <v/>
      </c>
      <c r="K1591" s="319">
        <f>IF(OR(NOT(ISNUMBER(G1591)),NOT(ISNUMBER(H1591)),G1591=0),"",H1591/G1591)</f>
        <v/>
      </c>
      <c r="L1591">
        <f>IF(NOT(ISNUMBER(G1591)),"SEM META",IF(G1591=0,"SEM META",IF(NOT(ISNUMBER(H1591)),"SEM APONTAMENTO",IF(H1591&gt;=G1591,"VERDE",IF(H1591&gt;=G1591*0.9,"AMARELO","VERMELHO")))))</f>
        <v/>
      </c>
      <c r="M1591" s="162" t="n"/>
      <c r="N1591" s="162" t="n"/>
      <c r="O1591" s="162" t="n"/>
      <c r="P1591" s="162" t="n"/>
      <c r="Q1591" s="320" t="n"/>
      <c r="R1591" s="162" t="inlineStr">
        <is>
          <t>CONTROLE PRODUÇÃO POR EMPRESAS!G270</t>
        </is>
      </c>
    </row>
    <row r="1592" ht="28.5" customHeight="1">
      <c r="A1592" s="317" t="n">
        <v>46488</v>
      </c>
      <c r="B1592" t="inlineStr">
        <is>
          <t>GERAL</t>
        </is>
      </c>
      <c r="C1592" t="inlineStr">
        <is>
          <t>EJ</t>
        </is>
      </c>
      <c r="D1592" t="inlineStr">
        <is>
          <t>PREMONTAGEM</t>
        </is>
      </c>
      <c r="F1592" s="159">
        <f>IFERROR(INDEX('BASE METAS DIÁRIAS'!$N$2:$S$358,MATCH($A1592,'BASE METAS DIÁRIAS'!$A$2:$A$358,0),MOD(ROW()-2,6)+1),"")</f>
        <v/>
      </c>
      <c r="G1592" s="159">
        <f>IFERROR(IF(WEEKDAY($A1592,2)&lt;=INDEX('BASE METAS DIÁRIAS'!$H$2:$M$358,MATCH($A1592,'BASE METAS DIÁRIAS'!$A$2:$A$358,0),MOD(ROW()-2,6)+1),INDEX('BASE METAS DIÁRIAS'!$B$2:$G$358,MATCH($A1592,'BASE METAS DIÁRIAS'!$A$2:$A$358,0),MOD(ROW()-2,6)+1),""),"")</f>
        <v/>
      </c>
      <c r="H1592" s="159">
        <f>IFERROR(IF(INDEX('CONTROLE PRODUÇÃO POR EMPRESAS'!$B$6:$G$5000,MATCH($A1592,'CONTROLE PRODUÇÃO POR EMPRESAS'!$A$6:$A$5000,0),MOD(ROW()-2,6)+1)="","",IFERROR(1*INDEX('CONTROLE PRODUÇÃO POR EMPRESAS'!$B$6:$G$5000,MATCH($A1592,'CONTROLE PRODUÇÃO POR EMPRESAS'!$A$6:$A$5000,0),MOD(ROW()-2,6)+1),"")),"")</f>
        <v/>
      </c>
      <c r="I1592" s="159">
        <f>IF(OR(NOT(ISNUMBER(G1592)),NOT(ISNUMBER(H1592))),"",H1592-G1592)</f>
        <v/>
      </c>
      <c r="J1592" s="319">
        <f>IF(OR(NOT(ISNUMBER(G1592)),NOT(ISNUMBER(H1592)),G1592=0),"",I1592/G1592)</f>
        <v/>
      </c>
      <c r="K1592" s="319">
        <f>IF(OR(NOT(ISNUMBER(G1592)),NOT(ISNUMBER(H1592)),G1592=0),"",H1592/G1592)</f>
        <v/>
      </c>
      <c r="L1592">
        <f>IF(NOT(ISNUMBER(G1592)),"SEM META",IF(G1592=0,"SEM META",IF(NOT(ISNUMBER(H1592)),"SEM APONTAMENTO",IF(H1592&gt;=G1592,"VERDE",IF(H1592&gt;=G1592*0.9,"AMARELO","VERMELHO")))))</f>
        <v/>
      </c>
      <c r="M1592" s="162" t="n"/>
      <c r="N1592" s="162" t="n"/>
      <c r="O1592" s="162" t="n"/>
      <c r="P1592" s="162" t="n"/>
      <c r="Q1592" s="320" t="n"/>
      <c r="R1592" s="162" t="inlineStr">
        <is>
          <t>CONTROLE PRODUÇÃO POR EMPRESAS!B271</t>
        </is>
      </c>
    </row>
    <row r="1593" ht="28.5" customHeight="1">
      <c r="A1593" s="317" t="n">
        <v>46488</v>
      </c>
      <c r="B1593" t="inlineStr">
        <is>
          <t>GERAL</t>
        </is>
      </c>
      <c r="C1593" t="inlineStr">
        <is>
          <t>EJ</t>
        </is>
      </c>
      <c r="D1593" t="inlineStr">
        <is>
          <t>IÇAMENTO JOIST</t>
        </is>
      </c>
      <c r="F1593" s="159">
        <f>IFERROR(INDEX('BASE METAS DIÁRIAS'!$N$2:$S$358,MATCH($A1593,'BASE METAS DIÁRIAS'!$A$2:$A$358,0),MOD(ROW()-2,6)+1),"")</f>
        <v/>
      </c>
      <c r="G1593" s="159">
        <f>IFERROR(IF(WEEKDAY($A1593,2)&lt;=INDEX('BASE METAS DIÁRIAS'!$H$2:$M$358,MATCH($A1593,'BASE METAS DIÁRIAS'!$A$2:$A$358,0),MOD(ROW()-2,6)+1),INDEX('BASE METAS DIÁRIAS'!$B$2:$G$358,MATCH($A1593,'BASE METAS DIÁRIAS'!$A$2:$A$358,0),MOD(ROW()-2,6)+1),""),"")</f>
        <v/>
      </c>
      <c r="H1593" s="159">
        <f>IFERROR(IF(INDEX('CONTROLE PRODUÇÃO POR EMPRESAS'!$B$6:$G$5000,MATCH($A1593,'CONTROLE PRODUÇÃO POR EMPRESAS'!$A$6:$A$5000,0),MOD(ROW()-2,6)+1)="","",IFERROR(1*INDEX('CONTROLE PRODUÇÃO POR EMPRESAS'!$B$6:$G$5000,MATCH($A1593,'CONTROLE PRODUÇÃO POR EMPRESAS'!$A$6:$A$5000,0),MOD(ROW()-2,6)+1),"")),"")</f>
        <v/>
      </c>
      <c r="I1593" s="159">
        <f>IF(OR(NOT(ISNUMBER(G1593)),NOT(ISNUMBER(H1593))),"",H1593-G1593)</f>
        <v/>
      </c>
      <c r="J1593" s="319">
        <f>IF(OR(NOT(ISNUMBER(G1593)),NOT(ISNUMBER(H1593)),G1593=0),"",I1593/G1593)</f>
        <v/>
      </c>
      <c r="K1593" s="319">
        <f>IF(OR(NOT(ISNUMBER(G1593)),NOT(ISNUMBER(H1593)),G1593=0),"",H1593/G1593)</f>
        <v/>
      </c>
      <c r="L1593">
        <f>IF(NOT(ISNUMBER(G1593)),"SEM META",IF(G1593=0,"SEM META",IF(NOT(ISNUMBER(H1593)),"SEM APONTAMENTO",IF(H1593&gt;=G1593,"VERDE",IF(H1593&gt;=G1593*0.9,"AMARELO","VERMELHO")))))</f>
        <v/>
      </c>
      <c r="M1593" s="162" t="n"/>
      <c r="N1593" s="162" t="n"/>
      <c r="O1593" s="162" t="n"/>
      <c r="P1593" s="162" t="n"/>
      <c r="Q1593" s="320" t="n"/>
      <c r="R1593" s="162" t="inlineStr">
        <is>
          <t>CONTROLE PRODUÇÃO POR EMPRESAS!C271</t>
        </is>
      </c>
    </row>
    <row r="1594" ht="28.5" customHeight="1">
      <c r="A1594" s="317" t="n">
        <v>46488</v>
      </c>
      <c r="B1594" t="inlineStr">
        <is>
          <t>GERAL</t>
        </is>
      </c>
      <c r="C1594" t="inlineStr">
        <is>
          <t>EJ</t>
        </is>
      </c>
      <c r="D1594" t="inlineStr">
        <is>
          <t>VIGAS</t>
        </is>
      </c>
      <c r="F1594" s="159">
        <f>IFERROR(INDEX('BASE METAS DIÁRIAS'!$N$2:$S$358,MATCH($A1594,'BASE METAS DIÁRIAS'!$A$2:$A$358,0),MOD(ROW()-2,6)+1),"")</f>
        <v/>
      </c>
      <c r="G1594" s="159">
        <f>IFERROR(IF(WEEKDAY($A1594,2)&lt;=INDEX('BASE METAS DIÁRIAS'!$H$2:$M$358,MATCH($A1594,'BASE METAS DIÁRIAS'!$A$2:$A$358,0),MOD(ROW()-2,6)+1),INDEX('BASE METAS DIÁRIAS'!$B$2:$G$358,MATCH($A1594,'BASE METAS DIÁRIAS'!$A$2:$A$358,0),MOD(ROW()-2,6)+1),""),"")</f>
        <v/>
      </c>
      <c r="H1594" s="159">
        <f>IFERROR(IF(INDEX('CONTROLE PRODUÇÃO POR EMPRESAS'!$B$6:$G$5000,MATCH($A1594,'CONTROLE PRODUÇÃO POR EMPRESAS'!$A$6:$A$5000,0),MOD(ROW()-2,6)+1)="","",IFERROR(1*INDEX('CONTROLE PRODUÇÃO POR EMPRESAS'!$B$6:$G$5000,MATCH($A1594,'CONTROLE PRODUÇÃO POR EMPRESAS'!$A$6:$A$5000,0),MOD(ROW()-2,6)+1),"")),"")</f>
        <v/>
      </c>
      <c r="I1594" s="159">
        <f>IF(OR(NOT(ISNUMBER(G1594)),NOT(ISNUMBER(H1594))),"",H1594-G1594)</f>
        <v/>
      </c>
      <c r="J1594" s="319">
        <f>IF(OR(NOT(ISNUMBER(G1594)),NOT(ISNUMBER(H1594)),G1594=0),"",I1594/G1594)</f>
        <v/>
      </c>
      <c r="K1594" s="319">
        <f>IF(OR(NOT(ISNUMBER(G1594)),NOT(ISNUMBER(H1594)),G1594=0),"",H1594/G1594)</f>
        <v/>
      </c>
      <c r="L1594">
        <f>IF(NOT(ISNUMBER(G1594)),"SEM META",IF(G1594=0,"SEM META",IF(NOT(ISNUMBER(H1594)),"SEM APONTAMENTO",IF(H1594&gt;=G1594,"VERDE",IF(H1594&gt;=G1594*0.9,"AMARELO","VERMELHO")))))</f>
        <v/>
      </c>
      <c r="M1594" s="162" t="n"/>
      <c r="N1594" s="162" t="n"/>
      <c r="O1594" s="162" t="n"/>
      <c r="P1594" s="162" t="n"/>
      <c r="Q1594" s="320" t="n"/>
      <c r="R1594" s="162" t="inlineStr">
        <is>
          <t>CONTROLE PRODUÇÃO POR EMPRESAS!D271</t>
        </is>
      </c>
    </row>
    <row r="1595" ht="28.5" customHeight="1">
      <c r="A1595" s="317" t="n">
        <v>46488</v>
      </c>
      <c r="B1595" t="inlineStr">
        <is>
          <t>GERAL</t>
        </is>
      </c>
      <c r="C1595" t="inlineStr">
        <is>
          <t>CMM</t>
        </is>
      </c>
      <c r="D1595" t="inlineStr">
        <is>
          <t>PREMONTAGEM</t>
        </is>
      </c>
      <c r="F1595" s="159">
        <f>IFERROR(INDEX('BASE METAS DIÁRIAS'!$N$2:$S$358,MATCH($A1595,'BASE METAS DIÁRIAS'!$A$2:$A$358,0),MOD(ROW()-2,6)+1),"")</f>
        <v/>
      </c>
      <c r="G1595" s="159">
        <f>IFERROR(IF(WEEKDAY($A1595,2)&lt;=INDEX('BASE METAS DIÁRIAS'!$H$2:$M$358,MATCH($A1595,'BASE METAS DIÁRIAS'!$A$2:$A$358,0),MOD(ROW()-2,6)+1),INDEX('BASE METAS DIÁRIAS'!$B$2:$G$358,MATCH($A1595,'BASE METAS DIÁRIAS'!$A$2:$A$358,0),MOD(ROW()-2,6)+1),""),"")</f>
        <v/>
      </c>
      <c r="H1595" s="159">
        <f>IFERROR(IF(INDEX('CONTROLE PRODUÇÃO POR EMPRESAS'!$B$6:$G$5000,MATCH($A1595,'CONTROLE PRODUÇÃO POR EMPRESAS'!$A$6:$A$5000,0),MOD(ROW()-2,6)+1)="","",IFERROR(1*INDEX('CONTROLE PRODUÇÃO POR EMPRESAS'!$B$6:$G$5000,MATCH($A1595,'CONTROLE PRODUÇÃO POR EMPRESAS'!$A$6:$A$5000,0),MOD(ROW()-2,6)+1),"")),"")</f>
        <v/>
      </c>
      <c r="I1595" s="159">
        <f>IF(OR(NOT(ISNUMBER(G1595)),NOT(ISNUMBER(H1595))),"",H1595-G1595)</f>
        <v/>
      </c>
      <c r="J1595" s="319">
        <f>IF(OR(NOT(ISNUMBER(G1595)),NOT(ISNUMBER(H1595)),G1595=0),"",I1595/G1595)</f>
        <v/>
      </c>
      <c r="K1595" s="319">
        <f>IF(OR(NOT(ISNUMBER(G1595)),NOT(ISNUMBER(H1595)),G1595=0),"",H1595/G1595)</f>
        <v/>
      </c>
      <c r="L1595">
        <f>IF(NOT(ISNUMBER(G1595)),"SEM META",IF(G1595=0,"SEM META",IF(NOT(ISNUMBER(H1595)),"SEM APONTAMENTO",IF(H1595&gt;=G1595,"VERDE",IF(H1595&gt;=G1595*0.9,"AMARELO","VERMELHO")))))</f>
        <v/>
      </c>
      <c r="M1595" s="162" t="n"/>
      <c r="N1595" s="162" t="n"/>
      <c r="O1595" s="162" t="n"/>
      <c r="P1595" s="162" t="n"/>
      <c r="Q1595" s="320" t="n"/>
      <c r="R1595" s="162" t="inlineStr">
        <is>
          <t>CONTROLE PRODUÇÃO POR EMPRESAS!E271</t>
        </is>
      </c>
    </row>
    <row r="1596" ht="28.5" customHeight="1">
      <c r="A1596" s="317" t="n">
        <v>46488</v>
      </c>
      <c r="B1596" t="inlineStr">
        <is>
          <t>GERAL</t>
        </is>
      </c>
      <c r="C1596" t="inlineStr">
        <is>
          <t>CMM</t>
        </is>
      </c>
      <c r="D1596" t="inlineStr">
        <is>
          <t>IÇAMENTO JOIST</t>
        </is>
      </c>
      <c r="F1596" s="159">
        <f>IFERROR(INDEX('BASE METAS DIÁRIAS'!$N$2:$S$358,MATCH($A1596,'BASE METAS DIÁRIAS'!$A$2:$A$358,0),MOD(ROW()-2,6)+1),"")</f>
        <v/>
      </c>
      <c r="G1596" s="159">
        <f>IFERROR(IF(WEEKDAY($A1596,2)&lt;=INDEX('BASE METAS DIÁRIAS'!$H$2:$M$358,MATCH($A1596,'BASE METAS DIÁRIAS'!$A$2:$A$358,0),MOD(ROW()-2,6)+1),INDEX('BASE METAS DIÁRIAS'!$B$2:$G$358,MATCH($A1596,'BASE METAS DIÁRIAS'!$A$2:$A$358,0),MOD(ROW()-2,6)+1),""),"")</f>
        <v/>
      </c>
      <c r="H1596" s="159">
        <f>IFERROR(IF(INDEX('CONTROLE PRODUÇÃO POR EMPRESAS'!$B$6:$G$5000,MATCH($A1596,'CONTROLE PRODUÇÃO POR EMPRESAS'!$A$6:$A$5000,0),MOD(ROW()-2,6)+1)="","",IFERROR(1*INDEX('CONTROLE PRODUÇÃO POR EMPRESAS'!$B$6:$G$5000,MATCH($A1596,'CONTROLE PRODUÇÃO POR EMPRESAS'!$A$6:$A$5000,0),MOD(ROW()-2,6)+1),"")),"")</f>
        <v/>
      </c>
      <c r="I1596" s="159">
        <f>IF(OR(NOT(ISNUMBER(G1596)),NOT(ISNUMBER(H1596))),"",H1596-G1596)</f>
        <v/>
      </c>
      <c r="J1596" s="319">
        <f>IF(OR(NOT(ISNUMBER(G1596)),NOT(ISNUMBER(H1596)),G1596=0),"",I1596/G1596)</f>
        <v/>
      </c>
      <c r="K1596" s="319">
        <f>IF(OR(NOT(ISNUMBER(G1596)),NOT(ISNUMBER(H1596)),G1596=0),"",H1596/G1596)</f>
        <v/>
      </c>
      <c r="L1596">
        <f>IF(NOT(ISNUMBER(G1596)),"SEM META",IF(G1596=0,"SEM META",IF(NOT(ISNUMBER(H1596)),"SEM APONTAMENTO",IF(H1596&gt;=G1596,"VERDE",IF(H1596&gt;=G1596*0.9,"AMARELO","VERMELHO")))))</f>
        <v/>
      </c>
      <c r="M1596" s="162" t="n"/>
      <c r="N1596" s="162" t="n"/>
      <c r="O1596" s="162" t="n"/>
      <c r="P1596" s="162" t="n"/>
      <c r="Q1596" s="320" t="n"/>
      <c r="R1596" s="162" t="inlineStr">
        <is>
          <t>CONTROLE PRODUÇÃO POR EMPRESAS!F271</t>
        </is>
      </c>
    </row>
    <row r="1597" ht="28.5" customHeight="1">
      <c r="A1597" s="317" t="n">
        <v>46488</v>
      </c>
      <c r="B1597" t="inlineStr">
        <is>
          <t>GERAL</t>
        </is>
      </c>
      <c r="C1597" t="inlineStr">
        <is>
          <t>CMM</t>
        </is>
      </c>
      <c r="D1597" t="inlineStr">
        <is>
          <t>VIGAS</t>
        </is>
      </c>
      <c r="F1597" s="159">
        <f>IFERROR(INDEX('BASE METAS DIÁRIAS'!$N$2:$S$358,MATCH($A1597,'BASE METAS DIÁRIAS'!$A$2:$A$358,0),MOD(ROW()-2,6)+1),"")</f>
        <v/>
      </c>
      <c r="G1597" s="159">
        <f>IFERROR(IF(WEEKDAY($A1597,2)&lt;=INDEX('BASE METAS DIÁRIAS'!$H$2:$M$358,MATCH($A1597,'BASE METAS DIÁRIAS'!$A$2:$A$358,0),MOD(ROW()-2,6)+1),INDEX('BASE METAS DIÁRIAS'!$B$2:$G$358,MATCH($A1597,'BASE METAS DIÁRIAS'!$A$2:$A$358,0),MOD(ROW()-2,6)+1),""),"")</f>
        <v/>
      </c>
      <c r="H1597" s="159">
        <f>IFERROR(IF(INDEX('CONTROLE PRODUÇÃO POR EMPRESAS'!$B$6:$G$5000,MATCH($A1597,'CONTROLE PRODUÇÃO POR EMPRESAS'!$A$6:$A$5000,0),MOD(ROW()-2,6)+1)="","",IFERROR(1*INDEX('CONTROLE PRODUÇÃO POR EMPRESAS'!$B$6:$G$5000,MATCH($A1597,'CONTROLE PRODUÇÃO POR EMPRESAS'!$A$6:$A$5000,0),MOD(ROW()-2,6)+1),"")),"")</f>
        <v/>
      </c>
      <c r="I1597" s="159">
        <f>IF(OR(NOT(ISNUMBER(G1597)),NOT(ISNUMBER(H1597))),"",H1597-G1597)</f>
        <v/>
      </c>
      <c r="J1597" s="319">
        <f>IF(OR(NOT(ISNUMBER(G1597)),NOT(ISNUMBER(H1597)),G1597=0),"",I1597/G1597)</f>
        <v/>
      </c>
      <c r="K1597" s="319">
        <f>IF(OR(NOT(ISNUMBER(G1597)),NOT(ISNUMBER(H1597)),G1597=0),"",H1597/G1597)</f>
        <v/>
      </c>
      <c r="L1597">
        <f>IF(NOT(ISNUMBER(G1597)),"SEM META",IF(G1597=0,"SEM META",IF(NOT(ISNUMBER(H1597)),"SEM APONTAMENTO",IF(H1597&gt;=G1597,"VERDE",IF(H1597&gt;=G1597*0.9,"AMARELO","VERMELHO")))))</f>
        <v/>
      </c>
      <c r="M1597" s="162" t="n"/>
      <c r="N1597" s="162" t="n"/>
      <c r="O1597" s="162" t="n"/>
      <c r="P1597" s="162" t="n"/>
      <c r="Q1597" s="320" t="n"/>
      <c r="R1597" s="162" t="inlineStr">
        <is>
          <t>CONTROLE PRODUÇÃO POR EMPRESAS!G271</t>
        </is>
      </c>
    </row>
    <row r="1598" ht="28.5" customHeight="1">
      <c r="A1598" s="317" t="n">
        <v>46489</v>
      </c>
      <c r="B1598" t="inlineStr">
        <is>
          <t>GERAL</t>
        </is>
      </c>
      <c r="C1598" t="inlineStr">
        <is>
          <t>EJ</t>
        </is>
      </c>
      <c r="D1598" t="inlineStr">
        <is>
          <t>PREMONTAGEM</t>
        </is>
      </c>
      <c r="F1598" s="159">
        <f>IFERROR(INDEX('BASE METAS DIÁRIAS'!$N$2:$S$358,MATCH($A1598,'BASE METAS DIÁRIAS'!$A$2:$A$358,0),MOD(ROW()-2,6)+1),"")</f>
        <v/>
      </c>
      <c r="G1598" s="159">
        <f>IFERROR(IF(WEEKDAY($A1598,2)&lt;=INDEX('BASE METAS DIÁRIAS'!$H$2:$M$358,MATCH($A1598,'BASE METAS DIÁRIAS'!$A$2:$A$358,0),MOD(ROW()-2,6)+1),INDEX('BASE METAS DIÁRIAS'!$B$2:$G$358,MATCH($A1598,'BASE METAS DIÁRIAS'!$A$2:$A$358,0),MOD(ROW()-2,6)+1),""),"")</f>
        <v/>
      </c>
      <c r="H1598" s="159">
        <f>IFERROR(IF(INDEX('CONTROLE PRODUÇÃO POR EMPRESAS'!$B$6:$G$5000,MATCH($A1598,'CONTROLE PRODUÇÃO POR EMPRESAS'!$A$6:$A$5000,0),MOD(ROW()-2,6)+1)="","",IFERROR(1*INDEX('CONTROLE PRODUÇÃO POR EMPRESAS'!$B$6:$G$5000,MATCH($A1598,'CONTROLE PRODUÇÃO POR EMPRESAS'!$A$6:$A$5000,0),MOD(ROW()-2,6)+1),"")),"")</f>
        <v/>
      </c>
      <c r="I1598" s="159">
        <f>IF(OR(NOT(ISNUMBER(G1598)),NOT(ISNUMBER(H1598))),"",H1598-G1598)</f>
        <v/>
      </c>
      <c r="J1598" s="319">
        <f>IF(OR(NOT(ISNUMBER(G1598)),NOT(ISNUMBER(H1598)),G1598=0),"",I1598/G1598)</f>
        <v/>
      </c>
      <c r="K1598" s="319">
        <f>IF(OR(NOT(ISNUMBER(G1598)),NOT(ISNUMBER(H1598)),G1598=0),"",H1598/G1598)</f>
        <v/>
      </c>
      <c r="L1598">
        <f>IF(NOT(ISNUMBER(G1598)),"SEM META",IF(G1598=0,"SEM META",IF(NOT(ISNUMBER(H1598)),"SEM APONTAMENTO",IF(H1598&gt;=G1598,"VERDE",IF(H1598&gt;=G1598*0.9,"AMARELO","VERMELHO")))))</f>
        <v/>
      </c>
      <c r="M1598" s="162" t="n"/>
      <c r="N1598" s="162" t="n"/>
      <c r="O1598" s="162" t="n"/>
      <c r="P1598" s="162" t="n"/>
      <c r="Q1598" s="320" t="n"/>
      <c r="R1598" s="162" t="inlineStr">
        <is>
          <t>CONTROLE PRODUÇÃO POR EMPRESAS!B272</t>
        </is>
      </c>
    </row>
    <row r="1599" ht="28.5" customHeight="1">
      <c r="A1599" s="317" t="n">
        <v>46489</v>
      </c>
      <c r="B1599" t="inlineStr">
        <is>
          <t>GERAL</t>
        </is>
      </c>
      <c r="C1599" t="inlineStr">
        <is>
          <t>EJ</t>
        </is>
      </c>
      <c r="D1599" t="inlineStr">
        <is>
          <t>IÇAMENTO JOIST</t>
        </is>
      </c>
      <c r="F1599" s="159">
        <f>IFERROR(INDEX('BASE METAS DIÁRIAS'!$N$2:$S$358,MATCH($A1599,'BASE METAS DIÁRIAS'!$A$2:$A$358,0),MOD(ROW()-2,6)+1),"")</f>
        <v/>
      </c>
      <c r="G1599" s="159">
        <f>IFERROR(IF(WEEKDAY($A1599,2)&lt;=INDEX('BASE METAS DIÁRIAS'!$H$2:$M$358,MATCH($A1599,'BASE METAS DIÁRIAS'!$A$2:$A$358,0),MOD(ROW()-2,6)+1),INDEX('BASE METAS DIÁRIAS'!$B$2:$G$358,MATCH($A1599,'BASE METAS DIÁRIAS'!$A$2:$A$358,0),MOD(ROW()-2,6)+1),""),"")</f>
        <v/>
      </c>
      <c r="H1599" s="159">
        <f>IFERROR(IF(INDEX('CONTROLE PRODUÇÃO POR EMPRESAS'!$B$6:$G$5000,MATCH($A1599,'CONTROLE PRODUÇÃO POR EMPRESAS'!$A$6:$A$5000,0),MOD(ROW()-2,6)+1)="","",IFERROR(1*INDEX('CONTROLE PRODUÇÃO POR EMPRESAS'!$B$6:$G$5000,MATCH($A1599,'CONTROLE PRODUÇÃO POR EMPRESAS'!$A$6:$A$5000,0),MOD(ROW()-2,6)+1),"")),"")</f>
        <v/>
      </c>
      <c r="I1599" s="159">
        <f>IF(OR(NOT(ISNUMBER(G1599)),NOT(ISNUMBER(H1599))),"",H1599-G1599)</f>
        <v/>
      </c>
      <c r="J1599" s="319">
        <f>IF(OR(NOT(ISNUMBER(G1599)),NOT(ISNUMBER(H1599)),G1599=0),"",I1599/G1599)</f>
        <v/>
      </c>
      <c r="K1599" s="319">
        <f>IF(OR(NOT(ISNUMBER(G1599)),NOT(ISNUMBER(H1599)),G1599=0),"",H1599/G1599)</f>
        <v/>
      </c>
      <c r="L1599">
        <f>IF(NOT(ISNUMBER(G1599)),"SEM META",IF(G1599=0,"SEM META",IF(NOT(ISNUMBER(H1599)),"SEM APONTAMENTO",IF(H1599&gt;=G1599,"VERDE",IF(H1599&gt;=G1599*0.9,"AMARELO","VERMELHO")))))</f>
        <v/>
      </c>
      <c r="M1599" s="162" t="n"/>
      <c r="N1599" s="162" t="n"/>
      <c r="O1599" s="162" t="n"/>
      <c r="P1599" s="162" t="n"/>
      <c r="Q1599" s="320" t="n"/>
      <c r="R1599" s="162" t="inlineStr">
        <is>
          <t>CONTROLE PRODUÇÃO POR EMPRESAS!C272</t>
        </is>
      </c>
    </row>
    <row r="1600" ht="28.5" customHeight="1">
      <c r="A1600" s="317" t="n">
        <v>46489</v>
      </c>
      <c r="B1600" t="inlineStr">
        <is>
          <t>GERAL</t>
        </is>
      </c>
      <c r="C1600" t="inlineStr">
        <is>
          <t>EJ</t>
        </is>
      </c>
      <c r="D1600" t="inlineStr">
        <is>
          <t>VIGAS</t>
        </is>
      </c>
      <c r="F1600" s="159">
        <f>IFERROR(INDEX('BASE METAS DIÁRIAS'!$N$2:$S$358,MATCH($A1600,'BASE METAS DIÁRIAS'!$A$2:$A$358,0),MOD(ROW()-2,6)+1),"")</f>
        <v/>
      </c>
      <c r="G1600" s="159">
        <f>IFERROR(IF(WEEKDAY($A1600,2)&lt;=INDEX('BASE METAS DIÁRIAS'!$H$2:$M$358,MATCH($A1600,'BASE METAS DIÁRIAS'!$A$2:$A$358,0),MOD(ROW()-2,6)+1),INDEX('BASE METAS DIÁRIAS'!$B$2:$G$358,MATCH($A1600,'BASE METAS DIÁRIAS'!$A$2:$A$358,0),MOD(ROW()-2,6)+1),""),"")</f>
        <v/>
      </c>
      <c r="H1600" s="159">
        <f>IFERROR(IF(INDEX('CONTROLE PRODUÇÃO POR EMPRESAS'!$B$6:$G$5000,MATCH($A1600,'CONTROLE PRODUÇÃO POR EMPRESAS'!$A$6:$A$5000,0),MOD(ROW()-2,6)+1)="","",IFERROR(1*INDEX('CONTROLE PRODUÇÃO POR EMPRESAS'!$B$6:$G$5000,MATCH($A1600,'CONTROLE PRODUÇÃO POR EMPRESAS'!$A$6:$A$5000,0),MOD(ROW()-2,6)+1),"")),"")</f>
        <v/>
      </c>
      <c r="I1600" s="159">
        <f>IF(OR(NOT(ISNUMBER(G1600)),NOT(ISNUMBER(H1600))),"",H1600-G1600)</f>
        <v/>
      </c>
      <c r="J1600" s="319">
        <f>IF(OR(NOT(ISNUMBER(G1600)),NOT(ISNUMBER(H1600)),G1600=0),"",I1600/G1600)</f>
        <v/>
      </c>
      <c r="K1600" s="319">
        <f>IF(OR(NOT(ISNUMBER(G1600)),NOT(ISNUMBER(H1600)),G1600=0),"",H1600/G1600)</f>
        <v/>
      </c>
      <c r="L1600">
        <f>IF(NOT(ISNUMBER(G1600)),"SEM META",IF(G1600=0,"SEM META",IF(NOT(ISNUMBER(H1600)),"SEM APONTAMENTO",IF(H1600&gt;=G1600,"VERDE",IF(H1600&gt;=G1600*0.9,"AMARELO","VERMELHO")))))</f>
        <v/>
      </c>
      <c r="M1600" s="162" t="n"/>
      <c r="N1600" s="162" t="n"/>
      <c r="O1600" s="162" t="n"/>
      <c r="P1600" s="162" t="n"/>
      <c r="Q1600" s="320" t="n"/>
      <c r="R1600" s="162" t="inlineStr">
        <is>
          <t>CONTROLE PRODUÇÃO POR EMPRESAS!D272</t>
        </is>
      </c>
    </row>
    <row r="1601" ht="28.5" customHeight="1">
      <c r="A1601" s="317" t="n">
        <v>46489</v>
      </c>
      <c r="B1601" t="inlineStr">
        <is>
          <t>GERAL</t>
        </is>
      </c>
      <c r="C1601" t="inlineStr">
        <is>
          <t>CMM</t>
        </is>
      </c>
      <c r="D1601" t="inlineStr">
        <is>
          <t>PREMONTAGEM</t>
        </is>
      </c>
      <c r="F1601" s="159">
        <f>IFERROR(INDEX('BASE METAS DIÁRIAS'!$N$2:$S$358,MATCH($A1601,'BASE METAS DIÁRIAS'!$A$2:$A$358,0),MOD(ROW()-2,6)+1),"")</f>
        <v/>
      </c>
      <c r="G1601" s="159">
        <f>IFERROR(IF(WEEKDAY($A1601,2)&lt;=INDEX('BASE METAS DIÁRIAS'!$H$2:$M$358,MATCH($A1601,'BASE METAS DIÁRIAS'!$A$2:$A$358,0),MOD(ROW()-2,6)+1),INDEX('BASE METAS DIÁRIAS'!$B$2:$G$358,MATCH($A1601,'BASE METAS DIÁRIAS'!$A$2:$A$358,0),MOD(ROW()-2,6)+1),""),"")</f>
        <v/>
      </c>
      <c r="H1601" s="159">
        <f>IFERROR(IF(INDEX('CONTROLE PRODUÇÃO POR EMPRESAS'!$B$6:$G$5000,MATCH($A1601,'CONTROLE PRODUÇÃO POR EMPRESAS'!$A$6:$A$5000,0),MOD(ROW()-2,6)+1)="","",IFERROR(1*INDEX('CONTROLE PRODUÇÃO POR EMPRESAS'!$B$6:$G$5000,MATCH($A1601,'CONTROLE PRODUÇÃO POR EMPRESAS'!$A$6:$A$5000,0),MOD(ROW()-2,6)+1),"")),"")</f>
        <v/>
      </c>
      <c r="I1601" s="159">
        <f>IF(OR(NOT(ISNUMBER(G1601)),NOT(ISNUMBER(H1601))),"",H1601-G1601)</f>
        <v/>
      </c>
      <c r="J1601" s="319">
        <f>IF(OR(NOT(ISNUMBER(G1601)),NOT(ISNUMBER(H1601)),G1601=0),"",I1601/G1601)</f>
        <v/>
      </c>
      <c r="K1601" s="319">
        <f>IF(OR(NOT(ISNUMBER(G1601)),NOT(ISNUMBER(H1601)),G1601=0),"",H1601/G1601)</f>
        <v/>
      </c>
      <c r="L1601">
        <f>IF(NOT(ISNUMBER(G1601)),"SEM META",IF(G1601=0,"SEM META",IF(NOT(ISNUMBER(H1601)),"SEM APONTAMENTO",IF(H1601&gt;=G1601,"VERDE",IF(H1601&gt;=G1601*0.9,"AMARELO","VERMELHO")))))</f>
        <v/>
      </c>
      <c r="M1601" s="162" t="n"/>
      <c r="N1601" s="162" t="n"/>
      <c r="O1601" s="162" t="n"/>
      <c r="P1601" s="162" t="n"/>
      <c r="Q1601" s="320" t="n"/>
      <c r="R1601" s="162" t="inlineStr">
        <is>
          <t>CONTROLE PRODUÇÃO POR EMPRESAS!E272</t>
        </is>
      </c>
    </row>
    <row r="1602" ht="28.5" customHeight="1">
      <c r="A1602" s="317" t="n">
        <v>46489</v>
      </c>
      <c r="B1602" t="inlineStr">
        <is>
          <t>GERAL</t>
        </is>
      </c>
      <c r="C1602" t="inlineStr">
        <is>
          <t>CMM</t>
        </is>
      </c>
      <c r="D1602" t="inlineStr">
        <is>
          <t>IÇAMENTO JOIST</t>
        </is>
      </c>
      <c r="F1602" s="159">
        <f>IFERROR(INDEX('BASE METAS DIÁRIAS'!$N$2:$S$358,MATCH($A1602,'BASE METAS DIÁRIAS'!$A$2:$A$358,0),MOD(ROW()-2,6)+1),"")</f>
        <v/>
      </c>
      <c r="G1602" s="159">
        <f>IFERROR(IF(WEEKDAY($A1602,2)&lt;=INDEX('BASE METAS DIÁRIAS'!$H$2:$M$358,MATCH($A1602,'BASE METAS DIÁRIAS'!$A$2:$A$358,0),MOD(ROW()-2,6)+1),INDEX('BASE METAS DIÁRIAS'!$B$2:$G$358,MATCH($A1602,'BASE METAS DIÁRIAS'!$A$2:$A$358,0),MOD(ROW()-2,6)+1),""),"")</f>
        <v/>
      </c>
      <c r="H1602" s="159">
        <f>IFERROR(IF(INDEX('CONTROLE PRODUÇÃO POR EMPRESAS'!$B$6:$G$5000,MATCH($A1602,'CONTROLE PRODUÇÃO POR EMPRESAS'!$A$6:$A$5000,0),MOD(ROW()-2,6)+1)="","",IFERROR(1*INDEX('CONTROLE PRODUÇÃO POR EMPRESAS'!$B$6:$G$5000,MATCH($A1602,'CONTROLE PRODUÇÃO POR EMPRESAS'!$A$6:$A$5000,0),MOD(ROW()-2,6)+1),"")),"")</f>
        <v/>
      </c>
      <c r="I1602" s="159">
        <f>IF(OR(NOT(ISNUMBER(G1602)),NOT(ISNUMBER(H1602))),"",H1602-G1602)</f>
        <v/>
      </c>
      <c r="J1602" s="319">
        <f>IF(OR(NOT(ISNUMBER(G1602)),NOT(ISNUMBER(H1602)),G1602=0),"",I1602/G1602)</f>
        <v/>
      </c>
      <c r="K1602" s="319">
        <f>IF(OR(NOT(ISNUMBER(G1602)),NOT(ISNUMBER(H1602)),G1602=0),"",H1602/G1602)</f>
        <v/>
      </c>
      <c r="L1602">
        <f>IF(NOT(ISNUMBER(G1602)),"SEM META",IF(G1602=0,"SEM META",IF(NOT(ISNUMBER(H1602)),"SEM APONTAMENTO",IF(H1602&gt;=G1602,"VERDE",IF(H1602&gt;=G1602*0.9,"AMARELO","VERMELHO")))))</f>
        <v/>
      </c>
      <c r="M1602" s="162" t="n"/>
      <c r="N1602" s="162" t="n"/>
      <c r="O1602" s="162" t="n"/>
      <c r="P1602" s="162" t="n"/>
      <c r="Q1602" s="320" t="n"/>
      <c r="R1602" s="162" t="inlineStr">
        <is>
          <t>CONTROLE PRODUÇÃO POR EMPRESAS!F272</t>
        </is>
      </c>
    </row>
    <row r="1603" ht="28.5" customHeight="1">
      <c r="A1603" s="317" t="n">
        <v>46489</v>
      </c>
      <c r="B1603" t="inlineStr">
        <is>
          <t>GERAL</t>
        </is>
      </c>
      <c r="C1603" t="inlineStr">
        <is>
          <t>CMM</t>
        </is>
      </c>
      <c r="D1603" t="inlineStr">
        <is>
          <t>VIGAS</t>
        </is>
      </c>
      <c r="F1603" s="159">
        <f>IFERROR(INDEX('BASE METAS DIÁRIAS'!$N$2:$S$358,MATCH($A1603,'BASE METAS DIÁRIAS'!$A$2:$A$358,0),MOD(ROW()-2,6)+1),"")</f>
        <v/>
      </c>
      <c r="G1603" s="159">
        <f>IFERROR(IF(WEEKDAY($A1603,2)&lt;=INDEX('BASE METAS DIÁRIAS'!$H$2:$M$358,MATCH($A1603,'BASE METAS DIÁRIAS'!$A$2:$A$358,0),MOD(ROW()-2,6)+1),INDEX('BASE METAS DIÁRIAS'!$B$2:$G$358,MATCH($A1603,'BASE METAS DIÁRIAS'!$A$2:$A$358,0),MOD(ROW()-2,6)+1),""),"")</f>
        <v/>
      </c>
      <c r="H1603" s="159">
        <f>IFERROR(IF(INDEX('CONTROLE PRODUÇÃO POR EMPRESAS'!$B$6:$G$5000,MATCH($A1603,'CONTROLE PRODUÇÃO POR EMPRESAS'!$A$6:$A$5000,0),MOD(ROW()-2,6)+1)="","",IFERROR(1*INDEX('CONTROLE PRODUÇÃO POR EMPRESAS'!$B$6:$G$5000,MATCH($A1603,'CONTROLE PRODUÇÃO POR EMPRESAS'!$A$6:$A$5000,0),MOD(ROW()-2,6)+1),"")),"")</f>
        <v/>
      </c>
      <c r="I1603" s="159">
        <f>IF(OR(NOT(ISNUMBER(G1603)),NOT(ISNUMBER(H1603))),"",H1603-G1603)</f>
        <v/>
      </c>
      <c r="J1603" s="319">
        <f>IF(OR(NOT(ISNUMBER(G1603)),NOT(ISNUMBER(H1603)),G1603=0),"",I1603/G1603)</f>
        <v/>
      </c>
      <c r="K1603" s="319">
        <f>IF(OR(NOT(ISNUMBER(G1603)),NOT(ISNUMBER(H1603)),G1603=0),"",H1603/G1603)</f>
        <v/>
      </c>
      <c r="L1603">
        <f>IF(NOT(ISNUMBER(G1603)),"SEM META",IF(G1603=0,"SEM META",IF(NOT(ISNUMBER(H1603)),"SEM APONTAMENTO",IF(H1603&gt;=G1603,"VERDE",IF(H1603&gt;=G1603*0.9,"AMARELO","VERMELHO")))))</f>
        <v/>
      </c>
      <c r="M1603" s="162" t="n"/>
      <c r="N1603" s="162" t="n"/>
      <c r="O1603" s="162" t="n"/>
      <c r="P1603" s="162" t="n"/>
      <c r="Q1603" s="320" t="n"/>
      <c r="R1603" s="162" t="inlineStr">
        <is>
          <t>CONTROLE PRODUÇÃO POR EMPRESAS!G272</t>
        </is>
      </c>
    </row>
    <row r="1604" ht="28.5" customHeight="1">
      <c r="A1604" s="317" t="n">
        <v>46490</v>
      </c>
      <c r="B1604" t="inlineStr">
        <is>
          <t>GERAL</t>
        </is>
      </c>
      <c r="C1604" t="inlineStr">
        <is>
          <t>EJ</t>
        </is>
      </c>
      <c r="D1604" t="inlineStr">
        <is>
          <t>PREMONTAGEM</t>
        </is>
      </c>
      <c r="F1604" s="159">
        <f>IFERROR(INDEX('BASE METAS DIÁRIAS'!$N$2:$S$358,MATCH($A1604,'BASE METAS DIÁRIAS'!$A$2:$A$358,0),MOD(ROW()-2,6)+1),"")</f>
        <v/>
      </c>
      <c r="G1604" s="159">
        <f>IFERROR(IF(WEEKDAY($A1604,2)&lt;=INDEX('BASE METAS DIÁRIAS'!$H$2:$M$358,MATCH($A1604,'BASE METAS DIÁRIAS'!$A$2:$A$358,0),MOD(ROW()-2,6)+1),INDEX('BASE METAS DIÁRIAS'!$B$2:$G$358,MATCH($A1604,'BASE METAS DIÁRIAS'!$A$2:$A$358,0),MOD(ROW()-2,6)+1),""),"")</f>
        <v/>
      </c>
      <c r="H1604" s="159">
        <f>IFERROR(IF(INDEX('CONTROLE PRODUÇÃO POR EMPRESAS'!$B$6:$G$5000,MATCH($A1604,'CONTROLE PRODUÇÃO POR EMPRESAS'!$A$6:$A$5000,0),MOD(ROW()-2,6)+1)="","",IFERROR(1*INDEX('CONTROLE PRODUÇÃO POR EMPRESAS'!$B$6:$G$5000,MATCH($A1604,'CONTROLE PRODUÇÃO POR EMPRESAS'!$A$6:$A$5000,0),MOD(ROW()-2,6)+1),"")),"")</f>
        <v/>
      </c>
      <c r="I1604" s="159">
        <f>IF(OR(NOT(ISNUMBER(G1604)),NOT(ISNUMBER(H1604))),"",H1604-G1604)</f>
        <v/>
      </c>
      <c r="J1604" s="319">
        <f>IF(OR(NOT(ISNUMBER(G1604)),NOT(ISNUMBER(H1604)),G1604=0),"",I1604/G1604)</f>
        <v/>
      </c>
      <c r="K1604" s="319">
        <f>IF(OR(NOT(ISNUMBER(G1604)),NOT(ISNUMBER(H1604)),G1604=0),"",H1604/G1604)</f>
        <v/>
      </c>
      <c r="L1604">
        <f>IF(NOT(ISNUMBER(G1604)),"SEM META",IF(G1604=0,"SEM META",IF(NOT(ISNUMBER(H1604)),"SEM APONTAMENTO",IF(H1604&gt;=G1604,"VERDE",IF(H1604&gt;=G1604*0.9,"AMARELO","VERMELHO")))))</f>
        <v/>
      </c>
      <c r="M1604" s="162" t="n"/>
      <c r="N1604" s="162" t="n"/>
      <c r="O1604" s="162" t="n"/>
      <c r="P1604" s="162" t="n"/>
      <c r="Q1604" s="320" t="n"/>
      <c r="R1604" s="162" t="inlineStr">
        <is>
          <t>CONTROLE PRODUÇÃO POR EMPRESAS!B273</t>
        </is>
      </c>
    </row>
    <row r="1605" ht="28.5" customHeight="1">
      <c r="A1605" s="317" t="n">
        <v>46490</v>
      </c>
      <c r="B1605" t="inlineStr">
        <is>
          <t>GERAL</t>
        </is>
      </c>
      <c r="C1605" t="inlineStr">
        <is>
          <t>EJ</t>
        </is>
      </c>
      <c r="D1605" t="inlineStr">
        <is>
          <t>IÇAMENTO JOIST</t>
        </is>
      </c>
      <c r="F1605" s="159">
        <f>IFERROR(INDEX('BASE METAS DIÁRIAS'!$N$2:$S$358,MATCH($A1605,'BASE METAS DIÁRIAS'!$A$2:$A$358,0),MOD(ROW()-2,6)+1),"")</f>
        <v/>
      </c>
      <c r="G1605" s="159">
        <f>IFERROR(IF(WEEKDAY($A1605,2)&lt;=INDEX('BASE METAS DIÁRIAS'!$H$2:$M$358,MATCH($A1605,'BASE METAS DIÁRIAS'!$A$2:$A$358,0),MOD(ROW()-2,6)+1),INDEX('BASE METAS DIÁRIAS'!$B$2:$G$358,MATCH($A1605,'BASE METAS DIÁRIAS'!$A$2:$A$358,0),MOD(ROW()-2,6)+1),""),"")</f>
        <v/>
      </c>
      <c r="H1605" s="159">
        <f>IFERROR(IF(INDEX('CONTROLE PRODUÇÃO POR EMPRESAS'!$B$6:$G$5000,MATCH($A1605,'CONTROLE PRODUÇÃO POR EMPRESAS'!$A$6:$A$5000,0),MOD(ROW()-2,6)+1)="","",IFERROR(1*INDEX('CONTROLE PRODUÇÃO POR EMPRESAS'!$B$6:$G$5000,MATCH($A1605,'CONTROLE PRODUÇÃO POR EMPRESAS'!$A$6:$A$5000,0),MOD(ROW()-2,6)+1),"")),"")</f>
        <v/>
      </c>
      <c r="I1605" s="159">
        <f>IF(OR(NOT(ISNUMBER(G1605)),NOT(ISNUMBER(H1605))),"",H1605-G1605)</f>
        <v/>
      </c>
      <c r="J1605" s="319">
        <f>IF(OR(NOT(ISNUMBER(G1605)),NOT(ISNUMBER(H1605)),G1605=0),"",I1605/G1605)</f>
        <v/>
      </c>
      <c r="K1605" s="319">
        <f>IF(OR(NOT(ISNUMBER(G1605)),NOT(ISNUMBER(H1605)),G1605=0),"",H1605/G1605)</f>
        <v/>
      </c>
      <c r="L1605">
        <f>IF(NOT(ISNUMBER(G1605)),"SEM META",IF(G1605=0,"SEM META",IF(NOT(ISNUMBER(H1605)),"SEM APONTAMENTO",IF(H1605&gt;=G1605,"VERDE",IF(H1605&gt;=G1605*0.9,"AMARELO","VERMELHO")))))</f>
        <v/>
      </c>
      <c r="M1605" s="162" t="n"/>
      <c r="N1605" s="162" t="n"/>
      <c r="O1605" s="162" t="n"/>
      <c r="P1605" s="162" t="n"/>
      <c r="Q1605" s="320" t="n"/>
      <c r="R1605" s="162" t="inlineStr">
        <is>
          <t>CONTROLE PRODUÇÃO POR EMPRESAS!C273</t>
        </is>
      </c>
    </row>
    <row r="1606" ht="28.5" customHeight="1">
      <c r="A1606" s="317" t="n">
        <v>46490</v>
      </c>
      <c r="B1606" t="inlineStr">
        <is>
          <t>GERAL</t>
        </is>
      </c>
      <c r="C1606" t="inlineStr">
        <is>
          <t>EJ</t>
        </is>
      </c>
      <c r="D1606" t="inlineStr">
        <is>
          <t>VIGAS</t>
        </is>
      </c>
      <c r="F1606" s="159">
        <f>IFERROR(INDEX('BASE METAS DIÁRIAS'!$N$2:$S$358,MATCH($A1606,'BASE METAS DIÁRIAS'!$A$2:$A$358,0),MOD(ROW()-2,6)+1),"")</f>
        <v/>
      </c>
      <c r="G1606" s="159">
        <f>IFERROR(IF(WEEKDAY($A1606,2)&lt;=INDEX('BASE METAS DIÁRIAS'!$H$2:$M$358,MATCH($A1606,'BASE METAS DIÁRIAS'!$A$2:$A$358,0),MOD(ROW()-2,6)+1),INDEX('BASE METAS DIÁRIAS'!$B$2:$G$358,MATCH($A1606,'BASE METAS DIÁRIAS'!$A$2:$A$358,0),MOD(ROW()-2,6)+1),""),"")</f>
        <v/>
      </c>
      <c r="H1606" s="159">
        <f>IFERROR(IF(INDEX('CONTROLE PRODUÇÃO POR EMPRESAS'!$B$6:$G$5000,MATCH($A1606,'CONTROLE PRODUÇÃO POR EMPRESAS'!$A$6:$A$5000,0),MOD(ROW()-2,6)+1)="","",IFERROR(1*INDEX('CONTROLE PRODUÇÃO POR EMPRESAS'!$B$6:$G$5000,MATCH($A1606,'CONTROLE PRODUÇÃO POR EMPRESAS'!$A$6:$A$5000,0),MOD(ROW()-2,6)+1),"")),"")</f>
        <v/>
      </c>
      <c r="I1606" s="159">
        <f>IF(OR(NOT(ISNUMBER(G1606)),NOT(ISNUMBER(H1606))),"",H1606-G1606)</f>
        <v/>
      </c>
      <c r="J1606" s="319">
        <f>IF(OR(NOT(ISNUMBER(G1606)),NOT(ISNUMBER(H1606)),G1606=0),"",I1606/G1606)</f>
        <v/>
      </c>
      <c r="K1606" s="319">
        <f>IF(OR(NOT(ISNUMBER(G1606)),NOT(ISNUMBER(H1606)),G1606=0),"",H1606/G1606)</f>
        <v/>
      </c>
      <c r="L1606">
        <f>IF(NOT(ISNUMBER(G1606)),"SEM META",IF(G1606=0,"SEM META",IF(NOT(ISNUMBER(H1606)),"SEM APONTAMENTO",IF(H1606&gt;=G1606,"VERDE",IF(H1606&gt;=G1606*0.9,"AMARELO","VERMELHO")))))</f>
        <v/>
      </c>
      <c r="M1606" s="162" t="n"/>
      <c r="N1606" s="162" t="n"/>
      <c r="O1606" s="162" t="n"/>
      <c r="P1606" s="162" t="n"/>
      <c r="Q1606" s="320" t="n"/>
      <c r="R1606" s="162" t="inlineStr">
        <is>
          <t>CONTROLE PRODUÇÃO POR EMPRESAS!D273</t>
        </is>
      </c>
    </row>
    <row r="1607" ht="28.5" customHeight="1">
      <c r="A1607" s="317" t="n">
        <v>46490</v>
      </c>
      <c r="B1607" t="inlineStr">
        <is>
          <t>GERAL</t>
        </is>
      </c>
      <c r="C1607" t="inlineStr">
        <is>
          <t>CMM</t>
        </is>
      </c>
      <c r="D1607" t="inlineStr">
        <is>
          <t>PREMONTAGEM</t>
        </is>
      </c>
      <c r="F1607" s="159">
        <f>IFERROR(INDEX('BASE METAS DIÁRIAS'!$N$2:$S$358,MATCH($A1607,'BASE METAS DIÁRIAS'!$A$2:$A$358,0),MOD(ROW()-2,6)+1),"")</f>
        <v/>
      </c>
      <c r="G1607" s="159">
        <f>IFERROR(IF(WEEKDAY($A1607,2)&lt;=INDEX('BASE METAS DIÁRIAS'!$H$2:$M$358,MATCH($A1607,'BASE METAS DIÁRIAS'!$A$2:$A$358,0),MOD(ROW()-2,6)+1),INDEX('BASE METAS DIÁRIAS'!$B$2:$G$358,MATCH($A1607,'BASE METAS DIÁRIAS'!$A$2:$A$358,0),MOD(ROW()-2,6)+1),""),"")</f>
        <v/>
      </c>
      <c r="H1607" s="159">
        <f>IFERROR(IF(INDEX('CONTROLE PRODUÇÃO POR EMPRESAS'!$B$6:$G$5000,MATCH($A1607,'CONTROLE PRODUÇÃO POR EMPRESAS'!$A$6:$A$5000,0),MOD(ROW()-2,6)+1)="","",IFERROR(1*INDEX('CONTROLE PRODUÇÃO POR EMPRESAS'!$B$6:$G$5000,MATCH($A1607,'CONTROLE PRODUÇÃO POR EMPRESAS'!$A$6:$A$5000,0),MOD(ROW()-2,6)+1),"")),"")</f>
        <v/>
      </c>
      <c r="I1607" s="159">
        <f>IF(OR(NOT(ISNUMBER(G1607)),NOT(ISNUMBER(H1607))),"",H1607-G1607)</f>
        <v/>
      </c>
      <c r="J1607" s="319">
        <f>IF(OR(NOT(ISNUMBER(G1607)),NOT(ISNUMBER(H1607)),G1607=0),"",I1607/G1607)</f>
        <v/>
      </c>
      <c r="K1607" s="319">
        <f>IF(OR(NOT(ISNUMBER(G1607)),NOT(ISNUMBER(H1607)),G1607=0),"",H1607/G1607)</f>
        <v/>
      </c>
      <c r="L1607">
        <f>IF(NOT(ISNUMBER(G1607)),"SEM META",IF(G1607=0,"SEM META",IF(NOT(ISNUMBER(H1607)),"SEM APONTAMENTO",IF(H1607&gt;=G1607,"VERDE",IF(H1607&gt;=G1607*0.9,"AMARELO","VERMELHO")))))</f>
        <v/>
      </c>
      <c r="M1607" s="162" t="n"/>
      <c r="N1607" s="162" t="n"/>
      <c r="O1607" s="162" t="n"/>
      <c r="P1607" s="162" t="n"/>
      <c r="Q1607" s="320" t="n"/>
      <c r="R1607" s="162" t="inlineStr">
        <is>
          <t>CONTROLE PRODUÇÃO POR EMPRESAS!E273</t>
        </is>
      </c>
    </row>
    <row r="1608" ht="28.5" customHeight="1">
      <c r="A1608" s="317" t="n">
        <v>46490</v>
      </c>
      <c r="B1608" t="inlineStr">
        <is>
          <t>GERAL</t>
        </is>
      </c>
      <c r="C1608" t="inlineStr">
        <is>
          <t>CMM</t>
        </is>
      </c>
      <c r="D1608" t="inlineStr">
        <is>
          <t>IÇAMENTO JOIST</t>
        </is>
      </c>
      <c r="F1608" s="159">
        <f>IFERROR(INDEX('BASE METAS DIÁRIAS'!$N$2:$S$358,MATCH($A1608,'BASE METAS DIÁRIAS'!$A$2:$A$358,0),MOD(ROW()-2,6)+1),"")</f>
        <v/>
      </c>
      <c r="G1608" s="159">
        <f>IFERROR(IF(WEEKDAY($A1608,2)&lt;=INDEX('BASE METAS DIÁRIAS'!$H$2:$M$358,MATCH($A1608,'BASE METAS DIÁRIAS'!$A$2:$A$358,0),MOD(ROW()-2,6)+1),INDEX('BASE METAS DIÁRIAS'!$B$2:$G$358,MATCH($A1608,'BASE METAS DIÁRIAS'!$A$2:$A$358,0),MOD(ROW()-2,6)+1),""),"")</f>
        <v/>
      </c>
      <c r="H1608" s="159">
        <f>IFERROR(IF(INDEX('CONTROLE PRODUÇÃO POR EMPRESAS'!$B$6:$G$5000,MATCH($A1608,'CONTROLE PRODUÇÃO POR EMPRESAS'!$A$6:$A$5000,0),MOD(ROW()-2,6)+1)="","",IFERROR(1*INDEX('CONTROLE PRODUÇÃO POR EMPRESAS'!$B$6:$G$5000,MATCH($A1608,'CONTROLE PRODUÇÃO POR EMPRESAS'!$A$6:$A$5000,0),MOD(ROW()-2,6)+1),"")),"")</f>
        <v/>
      </c>
      <c r="I1608" s="159">
        <f>IF(OR(NOT(ISNUMBER(G1608)),NOT(ISNUMBER(H1608))),"",H1608-G1608)</f>
        <v/>
      </c>
      <c r="J1608" s="319">
        <f>IF(OR(NOT(ISNUMBER(G1608)),NOT(ISNUMBER(H1608)),G1608=0),"",I1608/G1608)</f>
        <v/>
      </c>
      <c r="K1608" s="319">
        <f>IF(OR(NOT(ISNUMBER(G1608)),NOT(ISNUMBER(H1608)),G1608=0),"",H1608/G1608)</f>
        <v/>
      </c>
      <c r="L1608">
        <f>IF(NOT(ISNUMBER(G1608)),"SEM META",IF(G1608=0,"SEM META",IF(NOT(ISNUMBER(H1608)),"SEM APONTAMENTO",IF(H1608&gt;=G1608,"VERDE",IF(H1608&gt;=G1608*0.9,"AMARELO","VERMELHO")))))</f>
        <v/>
      </c>
      <c r="M1608" s="162" t="n"/>
      <c r="N1608" s="162" t="n"/>
      <c r="O1608" s="162" t="n"/>
      <c r="P1608" s="162" t="n"/>
      <c r="Q1608" s="320" t="n"/>
      <c r="R1608" s="162" t="inlineStr">
        <is>
          <t>CONTROLE PRODUÇÃO POR EMPRESAS!F273</t>
        </is>
      </c>
    </row>
    <row r="1609" ht="28.5" customHeight="1">
      <c r="A1609" s="317" t="n">
        <v>46490</v>
      </c>
      <c r="B1609" t="inlineStr">
        <is>
          <t>GERAL</t>
        </is>
      </c>
      <c r="C1609" t="inlineStr">
        <is>
          <t>CMM</t>
        </is>
      </c>
      <c r="D1609" t="inlineStr">
        <is>
          <t>VIGAS</t>
        </is>
      </c>
      <c r="F1609" s="159">
        <f>IFERROR(INDEX('BASE METAS DIÁRIAS'!$N$2:$S$358,MATCH($A1609,'BASE METAS DIÁRIAS'!$A$2:$A$358,0),MOD(ROW()-2,6)+1),"")</f>
        <v/>
      </c>
      <c r="G1609" s="159">
        <f>IFERROR(IF(WEEKDAY($A1609,2)&lt;=INDEX('BASE METAS DIÁRIAS'!$H$2:$M$358,MATCH($A1609,'BASE METAS DIÁRIAS'!$A$2:$A$358,0),MOD(ROW()-2,6)+1),INDEX('BASE METAS DIÁRIAS'!$B$2:$G$358,MATCH($A1609,'BASE METAS DIÁRIAS'!$A$2:$A$358,0),MOD(ROW()-2,6)+1),""),"")</f>
        <v/>
      </c>
      <c r="H1609" s="159">
        <f>IFERROR(IF(INDEX('CONTROLE PRODUÇÃO POR EMPRESAS'!$B$6:$G$5000,MATCH($A1609,'CONTROLE PRODUÇÃO POR EMPRESAS'!$A$6:$A$5000,0),MOD(ROW()-2,6)+1)="","",IFERROR(1*INDEX('CONTROLE PRODUÇÃO POR EMPRESAS'!$B$6:$G$5000,MATCH($A1609,'CONTROLE PRODUÇÃO POR EMPRESAS'!$A$6:$A$5000,0),MOD(ROW()-2,6)+1),"")),"")</f>
        <v/>
      </c>
      <c r="I1609" s="159">
        <f>IF(OR(NOT(ISNUMBER(G1609)),NOT(ISNUMBER(H1609))),"",H1609-G1609)</f>
        <v/>
      </c>
      <c r="J1609" s="319">
        <f>IF(OR(NOT(ISNUMBER(G1609)),NOT(ISNUMBER(H1609)),G1609=0),"",I1609/G1609)</f>
        <v/>
      </c>
      <c r="K1609" s="319">
        <f>IF(OR(NOT(ISNUMBER(G1609)),NOT(ISNUMBER(H1609)),G1609=0),"",H1609/G1609)</f>
        <v/>
      </c>
      <c r="L1609">
        <f>IF(NOT(ISNUMBER(G1609)),"SEM META",IF(G1609=0,"SEM META",IF(NOT(ISNUMBER(H1609)),"SEM APONTAMENTO",IF(H1609&gt;=G1609,"VERDE",IF(H1609&gt;=G1609*0.9,"AMARELO","VERMELHO")))))</f>
        <v/>
      </c>
      <c r="M1609" s="162" t="n"/>
      <c r="N1609" s="162" t="n"/>
      <c r="O1609" s="162" t="n"/>
      <c r="P1609" s="162" t="n"/>
      <c r="Q1609" s="320" t="n"/>
      <c r="R1609" s="162" t="inlineStr">
        <is>
          <t>CONTROLE PRODUÇÃO POR EMPRESAS!G273</t>
        </is>
      </c>
    </row>
    <row r="1610" ht="28.5" customHeight="1">
      <c r="A1610" s="317" t="n">
        <v>46491</v>
      </c>
      <c r="B1610" t="inlineStr">
        <is>
          <t>GERAL</t>
        </is>
      </c>
      <c r="C1610" t="inlineStr">
        <is>
          <t>EJ</t>
        </is>
      </c>
      <c r="D1610" t="inlineStr">
        <is>
          <t>PREMONTAGEM</t>
        </is>
      </c>
      <c r="F1610" s="159">
        <f>IFERROR(INDEX('BASE METAS DIÁRIAS'!$N$2:$S$358,MATCH($A1610,'BASE METAS DIÁRIAS'!$A$2:$A$358,0),MOD(ROW()-2,6)+1),"")</f>
        <v/>
      </c>
      <c r="G1610" s="159">
        <f>IFERROR(IF(WEEKDAY($A1610,2)&lt;=INDEX('BASE METAS DIÁRIAS'!$H$2:$M$358,MATCH($A1610,'BASE METAS DIÁRIAS'!$A$2:$A$358,0),MOD(ROW()-2,6)+1),INDEX('BASE METAS DIÁRIAS'!$B$2:$G$358,MATCH($A1610,'BASE METAS DIÁRIAS'!$A$2:$A$358,0),MOD(ROW()-2,6)+1),""),"")</f>
        <v/>
      </c>
      <c r="H1610" s="159">
        <f>IFERROR(IF(INDEX('CONTROLE PRODUÇÃO POR EMPRESAS'!$B$6:$G$5000,MATCH($A1610,'CONTROLE PRODUÇÃO POR EMPRESAS'!$A$6:$A$5000,0),MOD(ROW()-2,6)+1)="","",IFERROR(1*INDEX('CONTROLE PRODUÇÃO POR EMPRESAS'!$B$6:$G$5000,MATCH($A1610,'CONTROLE PRODUÇÃO POR EMPRESAS'!$A$6:$A$5000,0),MOD(ROW()-2,6)+1),"")),"")</f>
        <v/>
      </c>
      <c r="I1610" s="159">
        <f>IF(OR(NOT(ISNUMBER(G1610)),NOT(ISNUMBER(H1610))),"",H1610-G1610)</f>
        <v/>
      </c>
      <c r="J1610" s="319">
        <f>IF(OR(NOT(ISNUMBER(G1610)),NOT(ISNUMBER(H1610)),G1610=0),"",I1610/G1610)</f>
        <v/>
      </c>
      <c r="K1610" s="319">
        <f>IF(OR(NOT(ISNUMBER(G1610)),NOT(ISNUMBER(H1610)),G1610=0),"",H1610/G1610)</f>
        <v/>
      </c>
      <c r="L1610">
        <f>IF(NOT(ISNUMBER(G1610)),"SEM META",IF(G1610=0,"SEM META",IF(NOT(ISNUMBER(H1610)),"SEM APONTAMENTO",IF(H1610&gt;=G1610,"VERDE",IF(H1610&gt;=G1610*0.9,"AMARELO","VERMELHO")))))</f>
        <v/>
      </c>
      <c r="M1610" s="162" t="n"/>
      <c r="N1610" s="162" t="n"/>
      <c r="O1610" s="162" t="n"/>
      <c r="P1610" s="162" t="n"/>
      <c r="Q1610" s="320" t="n"/>
      <c r="R1610" s="162" t="inlineStr">
        <is>
          <t>CONTROLE PRODUÇÃO POR EMPRESAS!B274</t>
        </is>
      </c>
    </row>
    <row r="1611" ht="28.5" customHeight="1">
      <c r="A1611" s="317" t="n">
        <v>46491</v>
      </c>
      <c r="B1611" t="inlineStr">
        <is>
          <t>GERAL</t>
        </is>
      </c>
      <c r="C1611" t="inlineStr">
        <is>
          <t>EJ</t>
        </is>
      </c>
      <c r="D1611" t="inlineStr">
        <is>
          <t>IÇAMENTO JOIST</t>
        </is>
      </c>
      <c r="F1611" s="159">
        <f>IFERROR(INDEX('BASE METAS DIÁRIAS'!$N$2:$S$358,MATCH($A1611,'BASE METAS DIÁRIAS'!$A$2:$A$358,0),MOD(ROW()-2,6)+1),"")</f>
        <v/>
      </c>
      <c r="G1611" s="159">
        <f>IFERROR(IF(WEEKDAY($A1611,2)&lt;=INDEX('BASE METAS DIÁRIAS'!$H$2:$M$358,MATCH($A1611,'BASE METAS DIÁRIAS'!$A$2:$A$358,0),MOD(ROW()-2,6)+1),INDEX('BASE METAS DIÁRIAS'!$B$2:$G$358,MATCH($A1611,'BASE METAS DIÁRIAS'!$A$2:$A$358,0),MOD(ROW()-2,6)+1),""),"")</f>
        <v/>
      </c>
      <c r="H1611" s="159">
        <f>IFERROR(IF(INDEX('CONTROLE PRODUÇÃO POR EMPRESAS'!$B$6:$G$5000,MATCH($A1611,'CONTROLE PRODUÇÃO POR EMPRESAS'!$A$6:$A$5000,0),MOD(ROW()-2,6)+1)="","",IFERROR(1*INDEX('CONTROLE PRODUÇÃO POR EMPRESAS'!$B$6:$G$5000,MATCH($A1611,'CONTROLE PRODUÇÃO POR EMPRESAS'!$A$6:$A$5000,0),MOD(ROW()-2,6)+1),"")),"")</f>
        <v/>
      </c>
      <c r="I1611" s="159">
        <f>IF(OR(NOT(ISNUMBER(G1611)),NOT(ISNUMBER(H1611))),"",H1611-G1611)</f>
        <v/>
      </c>
      <c r="J1611" s="319">
        <f>IF(OR(NOT(ISNUMBER(G1611)),NOT(ISNUMBER(H1611)),G1611=0),"",I1611/G1611)</f>
        <v/>
      </c>
      <c r="K1611" s="319">
        <f>IF(OR(NOT(ISNUMBER(G1611)),NOT(ISNUMBER(H1611)),G1611=0),"",H1611/G1611)</f>
        <v/>
      </c>
      <c r="L1611">
        <f>IF(NOT(ISNUMBER(G1611)),"SEM META",IF(G1611=0,"SEM META",IF(NOT(ISNUMBER(H1611)),"SEM APONTAMENTO",IF(H1611&gt;=G1611,"VERDE",IF(H1611&gt;=G1611*0.9,"AMARELO","VERMELHO")))))</f>
        <v/>
      </c>
      <c r="M1611" s="162" t="n"/>
      <c r="N1611" s="162" t="n"/>
      <c r="O1611" s="162" t="n"/>
      <c r="P1611" s="162" t="n"/>
      <c r="Q1611" s="320" t="n"/>
      <c r="R1611" s="162" t="inlineStr">
        <is>
          <t>CONTROLE PRODUÇÃO POR EMPRESAS!C274</t>
        </is>
      </c>
    </row>
    <row r="1612" ht="28.5" customHeight="1">
      <c r="A1612" s="317" t="n">
        <v>46491</v>
      </c>
      <c r="B1612" t="inlineStr">
        <is>
          <t>GERAL</t>
        </is>
      </c>
      <c r="C1612" t="inlineStr">
        <is>
          <t>EJ</t>
        </is>
      </c>
      <c r="D1612" t="inlineStr">
        <is>
          <t>VIGAS</t>
        </is>
      </c>
      <c r="F1612" s="159">
        <f>IFERROR(INDEX('BASE METAS DIÁRIAS'!$N$2:$S$358,MATCH($A1612,'BASE METAS DIÁRIAS'!$A$2:$A$358,0),MOD(ROW()-2,6)+1),"")</f>
        <v/>
      </c>
      <c r="G1612" s="159">
        <f>IFERROR(IF(WEEKDAY($A1612,2)&lt;=INDEX('BASE METAS DIÁRIAS'!$H$2:$M$358,MATCH($A1612,'BASE METAS DIÁRIAS'!$A$2:$A$358,0),MOD(ROW()-2,6)+1),INDEX('BASE METAS DIÁRIAS'!$B$2:$G$358,MATCH($A1612,'BASE METAS DIÁRIAS'!$A$2:$A$358,0),MOD(ROW()-2,6)+1),""),"")</f>
        <v/>
      </c>
      <c r="H1612" s="159">
        <f>IFERROR(IF(INDEX('CONTROLE PRODUÇÃO POR EMPRESAS'!$B$6:$G$5000,MATCH($A1612,'CONTROLE PRODUÇÃO POR EMPRESAS'!$A$6:$A$5000,0),MOD(ROW()-2,6)+1)="","",IFERROR(1*INDEX('CONTROLE PRODUÇÃO POR EMPRESAS'!$B$6:$G$5000,MATCH($A1612,'CONTROLE PRODUÇÃO POR EMPRESAS'!$A$6:$A$5000,0),MOD(ROW()-2,6)+1),"")),"")</f>
        <v/>
      </c>
      <c r="I1612" s="159">
        <f>IF(OR(NOT(ISNUMBER(G1612)),NOT(ISNUMBER(H1612))),"",H1612-G1612)</f>
        <v/>
      </c>
      <c r="J1612" s="319">
        <f>IF(OR(NOT(ISNUMBER(G1612)),NOT(ISNUMBER(H1612)),G1612=0),"",I1612/G1612)</f>
        <v/>
      </c>
      <c r="K1612" s="319">
        <f>IF(OR(NOT(ISNUMBER(G1612)),NOT(ISNUMBER(H1612)),G1612=0),"",H1612/G1612)</f>
        <v/>
      </c>
      <c r="L1612">
        <f>IF(NOT(ISNUMBER(G1612)),"SEM META",IF(G1612=0,"SEM META",IF(NOT(ISNUMBER(H1612)),"SEM APONTAMENTO",IF(H1612&gt;=G1612,"VERDE",IF(H1612&gt;=G1612*0.9,"AMARELO","VERMELHO")))))</f>
        <v/>
      </c>
      <c r="M1612" s="162" t="n"/>
      <c r="N1612" s="162" t="n"/>
      <c r="O1612" s="162" t="n"/>
      <c r="P1612" s="162" t="n"/>
      <c r="Q1612" s="320" t="n"/>
      <c r="R1612" s="162" t="inlineStr">
        <is>
          <t>CONTROLE PRODUÇÃO POR EMPRESAS!D274</t>
        </is>
      </c>
    </row>
    <row r="1613" ht="28.5" customHeight="1">
      <c r="A1613" s="317" t="n">
        <v>46491</v>
      </c>
      <c r="B1613" t="inlineStr">
        <is>
          <t>GERAL</t>
        </is>
      </c>
      <c r="C1613" t="inlineStr">
        <is>
          <t>CMM</t>
        </is>
      </c>
      <c r="D1613" t="inlineStr">
        <is>
          <t>PREMONTAGEM</t>
        </is>
      </c>
      <c r="F1613" s="159">
        <f>IFERROR(INDEX('BASE METAS DIÁRIAS'!$N$2:$S$358,MATCH($A1613,'BASE METAS DIÁRIAS'!$A$2:$A$358,0),MOD(ROW()-2,6)+1),"")</f>
        <v/>
      </c>
      <c r="G1613" s="159">
        <f>IFERROR(IF(WEEKDAY($A1613,2)&lt;=INDEX('BASE METAS DIÁRIAS'!$H$2:$M$358,MATCH($A1613,'BASE METAS DIÁRIAS'!$A$2:$A$358,0),MOD(ROW()-2,6)+1),INDEX('BASE METAS DIÁRIAS'!$B$2:$G$358,MATCH($A1613,'BASE METAS DIÁRIAS'!$A$2:$A$358,0),MOD(ROW()-2,6)+1),""),"")</f>
        <v/>
      </c>
      <c r="H1613" s="159">
        <f>IFERROR(IF(INDEX('CONTROLE PRODUÇÃO POR EMPRESAS'!$B$6:$G$5000,MATCH($A1613,'CONTROLE PRODUÇÃO POR EMPRESAS'!$A$6:$A$5000,0),MOD(ROW()-2,6)+1)="","",IFERROR(1*INDEX('CONTROLE PRODUÇÃO POR EMPRESAS'!$B$6:$G$5000,MATCH($A1613,'CONTROLE PRODUÇÃO POR EMPRESAS'!$A$6:$A$5000,0),MOD(ROW()-2,6)+1),"")),"")</f>
        <v/>
      </c>
      <c r="I1613" s="159">
        <f>IF(OR(NOT(ISNUMBER(G1613)),NOT(ISNUMBER(H1613))),"",H1613-G1613)</f>
        <v/>
      </c>
      <c r="J1613" s="319">
        <f>IF(OR(NOT(ISNUMBER(G1613)),NOT(ISNUMBER(H1613)),G1613=0),"",I1613/G1613)</f>
        <v/>
      </c>
      <c r="K1613" s="319">
        <f>IF(OR(NOT(ISNUMBER(G1613)),NOT(ISNUMBER(H1613)),G1613=0),"",H1613/G1613)</f>
        <v/>
      </c>
      <c r="L1613">
        <f>IF(NOT(ISNUMBER(G1613)),"SEM META",IF(G1613=0,"SEM META",IF(NOT(ISNUMBER(H1613)),"SEM APONTAMENTO",IF(H1613&gt;=G1613,"VERDE",IF(H1613&gt;=G1613*0.9,"AMARELO","VERMELHO")))))</f>
        <v/>
      </c>
      <c r="M1613" s="162" t="n"/>
      <c r="N1613" s="162" t="n"/>
      <c r="O1613" s="162" t="n"/>
      <c r="P1613" s="162" t="n"/>
      <c r="Q1613" s="320" t="n"/>
      <c r="R1613" s="162" t="inlineStr">
        <is>
          <t>CONTROLE PRODUÇÃO POR EMPRESAS!E274</t>
        </is>
      </c>
    </row>
    <row r="1614" ht="28.5" customHeight="1">
      <c r="A1614" s="317" t="n">
        <v>46491</v>
      </c>
      <c r="B1614" t="inlineStr">
        <is>
          <t>GERAL</t>
        </is>
      </c>
      <c r="C1614" t="inlineStr">
        <is>
          <t>CMM</t>
        </is>
      </c>
      <c r="D1614" t="inlineStr">
        <is>
          <t>IÇAMENTO JOIST</t>
        </is>
      </c>
      <c r="F1614" s="159">
        <f>IFERROR(INDEX('BASE METAS DIÁRIAS'!$N$2:$S$358,MATCH($A1614,'BASE METAS DIÁRIAS'!$A$2:$A$358,0),MOD(ROW()-2,6)+1),"")</f>
        <v/>
      </c>
      <c r="G1614" s="159">
        <f>IFERROR(IF(WEEKDAY($A1614,2)&lt;=INDEX('BASE METAS DIÁRIAS'!$H$2:$M$358,MATCH($A1614,'BASE METAS DIÁRIAS'!$A$2:$A$358,0),MOD(ROW()-2,6)+1),INDEX('BASE METAS DIÁRIAS'!$B$2:$G$358,MATCH($A1614,'BASE METAS DIÁRIAS'!$A$2:$A$358,0),MOD(ROW()-2,6)+1),""),"")</f>
        <v/>
      </c>
      <c r="H1614" s="159">
        <f>IFERROR(IF(INDEX('CONTROLE PRODUÇÃO POR EMPRESAS'!$B$6:$G$5000,MATCH($A1614,'CONTROLE PRODUÇÃO POR EMPRESAS'!$A$6:$A$5000,0),MOD(ROW()-2,6)+1)="","",IFERROR(1*INDEX('CONTROLE PRODUÇÃO POR EMPRESAS'!$B$6:$G$5000,MATCH($A1614,'CONTROLE PRODUÇÃO POR EMPRESAS'!$A$6:$A$5000,0),MOD(ROW()-2,6)+1),"")),"")</f>
        <v/>
      </c>
      <c r="I1614" s="159">
        <f>IF(OR(NOT(ISNUMBER(G1614)),NOT(ISNUMBER(H1614))),"",H1614-G1614)</f>
        <v/>
      </c>
      <c r="J1614" s="319">
        <f>IF(OR(NOT(ISNUMBER(G1614)),NOT(ISNUMBER(H1614)),G1614=0),"",I1614/G1614)</f>
        <v/>
      </c>
      <c r="K1614" s="319">
        <f>IF(OR(NOT(ISNUMBER(G1614)),NOT(ISNUMBER(H1614)),G1614=0),"",H1614/G1614)</f>
        <v/>
      </c>
      <c r="L1614">
        <f>IF(NOT(ISNUMBER(G1614)),"SEM META",IF(G1614=0,"SEM META",IF(NOT(ISNUMBER(H1614)),"SEM APONTAMENTO",IF(H1614&gt;=G1614,"VERDE",IF(H1614&gt;=G1614*0.9,"AMARELO","VERMELHO")))))</f>
        <v/>
      </c>
      <c r="M1614" s="162" t="n"/>
      <c r="N1614" s="162" t="n"/>
      <c r="O1614" s="162" t="n"/>
      <c r="P1614" s="162" t="n"/>
      <c r="Q1614" s="320" t="n"/>
      <c r="R1614" s="162" t="inlineStr">
        <is>
          <t>CONTROLE PRODUÇÃO POR EMPRESAS!F274</t>
        </is>
      </c>
    </row>
    <row r="1615" ht="28.5" customHeight="1">
      <c r="A1615" s="317" t="n">
        <v>46491</v>
      </c>
      <c r="B1615" t="inlineStr">
        <is>
          <t>GERAL</t>
        </is>
      </c>
      <c r="C1615" t="inlineStr">
        <is>
          <t>CMM</t>
        </is>
      </c>
      <c r="D1615" t="inlineStr">
        <is>
          <t>VIGAS</t>
        </is>
      </c>
      <c r="F1615" s="159">
        <f>IFERROR(INDEX('BASE METAS DIÁRIAS'!$N$2:$S$358,MATCH($A1615,'BASE METAS DIÁRIAS'!$A$2:$A$358,0),MOD(ROW()-2,6)+1),"")</f>
        <v/>
      </c>
      <c r="G1615" s="159">
        <f>IFERROR(IF(WEEKDAY($A1615,2)&lt;=INDEX('BASE METAS DIÁRIAS'!$H$2:$M$358,MATCH($A1615,'BASE METAS DIÁRIAS'!$A$2:$A$358,0),MOD(ROW()-2,6)+1),INDEX('BASE METAS DIÁRIAS'!$B$2:$G$358,MATCH($A1615,'BASE METAS DIÁRIAS'!$A$2:$A$358,0),MOD(ROW()-2,6)+1),""),"")</f>
        <v/>
      </c>
      <c r="H1615" s="159">
        <f>IFERROR(IF(INDEX('CONTROLE PRODUÇÃO POR EMPRESAS'!$B$6:$G$5000,MATCH($A1615,'CONTROLE PRODUÇÃO POR EMPRESAS'!$A$6:$A$5000,0),MOD(ROW()-2,6)+1)="","",IFERROR(1*INDEX('CONTROLE PRODUÇÃO POR EMPRESAS'!$B$6:$G$5000,MATCH($A1615,'CONTROLE PRODUÇÃO POR EMPRESAS'!$A$6:$A$5000,0),MOD(ROW()-2,6)+1),"")),"")</f>
        <v/>
      </c>
      <c r="I1615" s="159">
        <f>IF(OR(NOT(ISNUMBER(G1615)),NOT(ISNUMBER(H1615))),"",H1615-G1615)</f>
        <v/>
      </c>
      <c r="J1615" s="319">
        <f>IF(OR(NOT(ISNUMBER(G1615)),NOT(ISNUMBER(H1615)),G1615=0),"",I1615/G1615)</f>
        <v/>
      </c>
      <c r="K1615" s="319">
        <f>IF(OR(NOT(ISNUMBER(G1615)),NOT(ISNUMBER(H1615)),G1615=0),"",H1615/G1615)</f>
        <v/>
      </c>
      <c r="L1615">
        <f>IF(NOT(ISNUMBER(G1615)),"SEM META",IF(G1615=0,"SEM META",IF(NOT(ISNUMBER(H1615)),"SEM APONTAMENTO",IF(H1615&gt;=G1615,"VERDE",IF(H1615&gt;=G1615*0.9,"AMARELO","VERMELHO")))))</f>
        <v/>
      </c>
      <c r="M1615" s="162" t="n"/>
      <c r="N1615" s="162" t="n"/>
      <c r="O1615" s="162" t="n"/>
      <c r="P1615" s="162" t="n"/>
      <c r="Q1615" s="320" t="n"/>
      <c r="R1615" s="162" t="inlineStr">
        <is>
          <t>CONTROLE PRODUÇÃO POR EMPRESAS!G274</t>
        </is>
      </c>
    </row>
    <row r="1616" ht="28.5" customHeight="1">
      <c r="A1616" s="317" t="n">
        <v>46492</v>
      </c>
      <c r="B1616" t="inlineStr">
        <is>
          <t>GERAL</t>
        </is>
      </c>
      <c r="C1616" t="inlineStr">
        <is>
          <t>EJ</t>
        </is>
      </c>
      <c r="D1616" t="inlineStr">
        <is>
          <t>PREMONTAGEM</t>
        </is>
      </c>
      <c r="F1616" s="159">
        <f>IFERROR(INDEX('BASE METAS DIÁRIAS'!$N$2:$S$358,MATCH($A1616,'BASE METAS DIÁRIAS'!$A$2:$A$358,0),MOD(ROW()-2,6)+1),"")</f>
        <v/>
      </c>
      <c r="G1616" s="159">
        <f>IFERROR(IF(WEEKDAY($A1616,2)&lt;=INDEX('BASE METAS DIÁRIAS'!$H$2:$M$358,MATCH($A1616,'BASE METAS DIÁRIAS'!$A$2:$A$358,0),MOD(ROW()-2,6)+1),INDEX('BASE METAS DIÁRIAS'!$B$2:$G$358,MATCH($A1616,'BASE METAS DIÁRIAS'!$A$2:$A$358,0),MOD(ROW()-2,6)+1),""),"")</f>
        <v/>
      </c>
      <c r="H1616" s="159">
        <f>IFERROR(IF(INDEX('CONTROLE PRODUÇÃO POR EMPRESAS'!$B$6:$G$5000,MATCH($A1616,'CONTROLE PRODUÇÃO POR EMPRESAS'!$A$6:$A$5000,0),MOD(ROW()-2,6)+1)="","",IFERROR(1*INDEX('CONTROLE PRODUÇÃO POR EMPRESAS'!$B$6:$G$5000,MATCH($A1616,'CONTROLE PRODUÇÃO POR EMPRESAS'!$A$6:$A$5000,0),MOD(ROW()-2,6)+1),"")),"")</f>
        <v/>
      </c>
      <c r="I1616" s="159">
        <f>IF(OR(NOT(ISNUMBER(G1616)),NOT(ISNUMBER(H1616))),"",H1616-G1616)</f>
        <v/>
      </c>
      <c r="J1616" s="319">
        <f>IF(OR(NOT(ISNUMBER(G1616)),NOT(ISNUMBER(H1616)),G1616=0),"",I1616/G1616)</f>
        <v/>
      </c>
      <c r="K1616" s="319">
        <f>IF(OR(NOT(ISNUMBER(G1616)),NOT(ISNUMBER(H1616)),G1616=0),"",H1616/G1616)</f>
        <v/>
      </c>
      <c r="L1616">
        <f>IF(NOT(ISNUMBER(G1616)),"SEM META",IF(G1616=0,"SEM META",IF(NOT(ISNUMBER(H1616)),"SEM APONTAMENTO",IF(H1616&gt;=G1616,"VERDE",IF(H1616&gt;=G1616*0.9,"AMARELO","VERMELHO")))))</f>
        <v/>
      </c>
      <c r="M1616" s="162" t="n"/>
      <c r="N1616" s="162" t="n"/>
      <c r="O1616" s="162" t="n"/>
      <c r="P1616" s="162" t="n"/>
      <c r="Q1616" s="320" t="n"/>
      <c r="R1616" s="162" t="inlineStr">
        <is>
          <t>CONTROLE PRODUÇÃO POR EMPRESAS!B275</t>
        </is>
      </c>
    </row>
    <row r="1617" ht="28.5" customHeight="1">
      <c r="A1617" s="317" t="n">
        <v>46492</v>
      </c>
      <c r="B1617" t="inlineStr">
        <is>
          <t>GERAL</t>
        </is>
      </c>
      <c r="C1617" t="inlineStr">
        <is>
          <t>EJ</t>
        </is>
      </c>
      <c r="D1617" t="inlineStr">
        <is>
          <t>IÇAMENTO JOIST</t>
        </is>
      </c>
      <c r="F1617" s="159">
        <f>IFERROR(INDEX('BASE METAS DIÁRIAS'!$N$2:$S$358,MATCH($A1617,'BASE METAS DIÁRIAS'!$A$2:$A$358,0),MOD(ROW()-2,6)+1),"")</f>
        <v/>
      </c>
      <c r="G1617" s="159">
        <f>IFERROR(IF(WEEKDAY($A1617,2)&lt;=INDEX('BASE METAS DIÁRIAS'!$H$2:$M$358,MATCH($A1617,'BASE METAS DIÁRIAS'!$A$2:$A$358,0),MOD(ROW()-2,6)+1),INDEX('BASE METAS DIÁRIAS'!$B$2:$G$358,MATCH($A1617,'BASE METAS DIÁRIAS'!$A$2:$A$358,0),MOD(ROW()-2,6)+1),""),"")</f>
        <v/>
      </c>
      <c r="H1617" s="159">
        <f>IFERROR(IF(INDEX('CONTROLE PRODUÇÃO POR EMPRESAS'!$B$6:$G$5000,MATCH($A1617,'CONTROLE PRODUÇÃO POR EMPRESAS'!$A$6:$A$5000,0),MOD(ROW()-2,6)+1)="","",IFERROR(1*INDEX('CONTROLE PRODUÇÃO POR EMPRESAS'!$B$6:$G$5000,MATCH($A1617,'CONTROLE PRODUÇÃO POR EMPRESAS'!$A$6:$A$5000,0),MOD(ROW()-2,6)+1),"")),"")</f>
        <v/>
      </c>
      <c r="I1617" s="159">
        <f>IF(OR(NOT(ISNUMBER(G1617)),NOT(ISNUMBER(H1617))),"",H1617-G1617)</f>
        <v/>
      </c>
      <c r="J1617" s="319">
        <f>IF(OR(NOT(ISNUMBER(G1617)),NOT(ISNUMBER(H1617)),G1617=0),"",I1617/G1617)</f>
        <v/>
      </c>
      <c r="K1617" s="319">
        <f>IF(OR(NOT(ISNUMBER(G1617)),NOT(ISNUMBER(H1617)),G1617=0),"",H1617/G1617)</f>
        <v/>
      </c>
      <c r="L1617">
        <f>IF(NOT(ISNUMBER(G1617)),"SEM META",IF(G1617=0,"SEM META",IF(NOT(ISNUMBER(H1617)),"SEM APONTAMENTO",IF(H1617&gt;=G1617,"VERDE",IF(H1617&gt;=G1617*0.9,"AMARELO","VERMELHO")))))</f>
        <v/>
      </c>
      <c r="M1617" s="162" t="n"/>
      <c r="N1617" s="162" t="n"/>
      <c r="O1617" s="162" t="n"/>
      <c r="P1617" s="162" t="n"/>
      <c r="Q1617" s="320" t="n"/>
      <c r="R1617" s="162" t="inlineStr">
        <is>
          <t>CONTROLE PRODUÇÃO POR EMPRESAS!C275</t>
        </is>
      </c>
    </row>
    <row r="1618" ht="28.5" customHeight="1">
      <c r="A1618" s="317" t="n">
        <v>46492</v>
      </c>
      <c r="B1618" t="inlineStr">
        <is>
          <t>GERAL</t>
        </is>
      </c>
      <c r="C1618" t="inlineStr">
        <is>
          <t>EJ</t>
        </is>
      </c>
      <c r="D1618" t="inlineStr">
        <is>
          <t>VIGAS</t>
        </is>
      </c>
      <c r="F1618" s="159">
        <f>IFERROR(INDEX('BASE METAS DIÁRIAS'!$N$2:$S$358,MATCH($A1618,'BASE METAS DIÁRIAS'!$A$2:$A$358,0),MOD(ROW()-2,6)+1),"")</f>
        <v/>
      </c>
      <c r="G1618" s="159">
        <f>IFERROR(IF(WEEKDAY($A1618,2)&lt;=INDEX('BASE METAS DIÁRIAS'!$H$2:$M$358,MATCH($A1618,'BASE METAS DIÁRIAS'!$A$2:$A$358,0),MOD(ROW()-2,6)+1),INDEX('BASE METAS DIÁRIAS'!$B$2:$G$358,MATCH($A1618,'BASE METAS DIÁRIAS'!$A$2:$A$358,0),MOD(ROW()-2,6)+1),""),"")</f>
        <v/>
      </c>
      <c r="H1618" s="159">
        <f>IFERROR(IF(INDEX('CONTROLE PRODUÇÃO POR EMPRESAS'!$B$6:$G$5000,MATCH($A1618,'CONTROLE PRODUÇÃO POR EMPRESAS'!$A$6:$A$5000,0),MOD(ROW()-2,6)+1)="","",IFERROR(1*INDEX('CONTROLE PRODUÇÃO POR EMPRESAS'!$B$6:$G$5000,MATCH($A1618,'CONTROLE PRODUÇÃO POR EMPRESAS'!$A$6:$A$5000,0),MOD(ROW()-2,6)+1),"")),"")</f>
        <v/>
      </c>
      <c r="I1618" s="159">
        <f>IF(OR(NOT(ISNUMBER(G1618)),NOT(ISNUMBER(H1618))),"",H1618-G1618)</f>
        <v/>
      </c>
      <c r="J1618" s="319">
        <f>IF(OR(NOT(ISNUMBER(G1618)),NOT(ISNUMBER(H1618)),G1618=0),"",I1618/G1618)</f>
        <v/>
      </c>
      <c r="K1618" s="319">
        <f>IF(OR(NOT(ISNUMBER(G1618)),NOT(ISNUMBER(H1618)),G1618=0),"",H1618/G1618)</f>
        <v/>
      </c>
      <c r="L1618">
        <f>IF(NOT(ISNUMBER(G1618)),"SEM META",IF(G1618=0,"SEM META",IF(NOT(ISNUMBER(H1618)),"SEM APONTAMENTO",IF(H1618&gt;=G1618,"VERDE",IF(H1618&gt;=G1618*0.9,"AMARELO","VERMELHO")))))</f>
        <v/>
      </c>
      <c r="M1618" s="162" t="n"/>
      <c r="N1618" s="162" t="n"/>
      <c r="O1618" s="162" t="n"/>
      <c r="P1618" s="162" t="n"/>
      <c r="Q1618" s="320" t="n"/>
      <c r="R1618" s="162" t="inlineStr">
        <is>
          <t>CONTROLE PRODUÇÃO POR EMPRESAS!D275</t>
        </is>
      </c>
    </row>
    <row r="1619" ht="28.5" customHeight="1">
      <c r="A1619" s="317" t="n">
        <v>46492</v>
      </c>
      <c r="B1619" t="inlineStr">
        <is>
          <t>GERAL</t>
        </is>
      </c>
      <c r="C1619" t="inlineStr">
        <is>
          <t>CMM</t>
        </is>
      </c>
      <c r="D1619" t="inlineStr">
        <is>
          <t>PREMONTAGEM</t>
        </is>
      </c>
      <c r="F1619" s="159">
        <f>IFERROR(INDEX('BASE METAS DIÁRIAS'!$N$2:$S$358,MATCH($A1619,'BASE METAS DIÁRIAS'!$A$2:$A$358,0),MOD(ROW()-2,6)+1),"")</f>
        <v/>
      </c>
      <c r="G1619" s="159">
        <f>IFERROR(IF(WEEKDAY($A1619,2)&lt;=INDEX('BASE METAS DIÁRIAS'!$H$2:$M$358,MATCH($A1619,'BASE METAS DIÁRIAS'!$A$2:$A$358,0),MOD(ROW()-2,6)+1),INDEX('BASE METAS DIÁRIAS'!$B$2:$G$358,MATCH($A1619,'BASE METAS DIÁRIAS'!$A$2:$A$358,0),MOD(ROW()-2,6)+1),""),"")</f>
        <v/>
      </c>
      <c r="H1619" s="159">
        <f>IFERROR(IF(INDEX('CONTROLE PRODUÇÃO POR EMPRESAS'!$B$6:$G$5000,MATCH($A1619,'CONTROLE PRODUÇÃO POR EMPRESAS'!$A$6:$A$5000,0),MOD(ROW()-2,6)+1)="","",IFERROR(1*INDEX('CONTROLE PRODUÇÃO POR EMPRESAS'!$B$6:$G$5000,MATCH($A1619,'CONTROLE PRODUÇÃO POR EMPRESAS'!$A$6:$A$5000,0),MOD(ROW()-2,6)+1),"")),"")</f>
        <v/>
      </c>
      <c r="I1619" s="159">
        <f>IF(OR(NOT(ISNUMBER(G1619)),NOT(ISNUMBER(H1619))),"",H1619-G1619)</f>
        <v/>
      </c>
      <c r="J1619" s="319">
        <f>IF(OR(NOT(ISNUMBER(G1619)),NOT(ISNUMBER(H1619)),G1619=0),"",I1619/G1619)</f>
        <v/>
      </c>
      <c r="K1619" s="319">
        <f>IF(OR(NOT(ISNUMBER(G1619)),NOT(ISNUMBER(H1619)),G1619=0),"",H1619/G1619)</f>
        <v/>
      </c>
      <c r="L1619">
        <f>IF(NOT(ISNUMBER(G1619)),"SEM META",IF(G1619=0,"SEM META",IF(NOT(ISNUMBER(H1619)),"SEM APONTAMENTO",IF(H1619&gt;=G1619,"VERDE",IF(H1619&gt;=G1619*0.9,"AMARELO","VERMELHO")))))</f>
        <v/>
      </c>
      <c r="M1619" s="162" t="n"/>
      <c r="N1619" s="162" t="n"/>
      <c r="O1619" s="162" t="n"/>
      <c r="P1619" s="162" t="n"/>
      <c r="Q1619" s="320" t="n"/>
      <c r="R1619" s="162" t="inlineStr">
        <is>
          <t>CONTROLE PRODUÇÃO POR EMPRESAS!E275</t>
        </is>
      </c>
    </row>
    <row r="1620" ht="28.5" customHeight="1">
      <c r="A1620" s="317" t="n">
        <v>46492</v>
      </c>
      <c r="B1620" t="inlineStr">
        <is>
          <t>GERAL</t>
        </is>
      </c>
      <c r="C1620" t="inlineStr">
        <is>
          <t>CMM</t>
        </is>
      </c>
      <c r="D1620" t="inlineStr">
        <is>
          <t>IÇAMENTO JOIST</t>
        </is>
      </c>
      <c r="F1620" s="159">
        <f>IFERROR(INDEX('BASE METAS DIÁRIAS'!$N$2:$S$358,MATCH($A1620,'BASE METAS DIÁRIAS'!$A$2:$A$358,0),MOD(ROW()-2,6)+1),"")</f>
        <v/>
      </c>
      <c r="G1620" s="159">
        <f>IFERROR(IF(WEEKDAY($A1620,2)&lt;=INDEX('BASE METAS DIÁRIAS'!$H$2:$M$358,MATCH($A1620,'BASE METAS DIÁRIAS'!$A$2:$A$358,0),MOD(ROW()-2,6)+1),INDEX('BASE METAS DIÁRIAS'!$B$2:$G$358,MATCH($A1620,'BASE METAS DIÁRIAS'!$A$2:$A$358,0),MOD(ROW()-2,6)+1),""),"")</f>
        <v/>
      </c>
      <c r="H1620" s="159">
        <f>IFERROR(IF(INDEX('CONTROLE PRODUÇÃO POR EMPRESAS'!$B$6:$G$5000,MATCH($A1620,'CONTROLE PRODUÇÃO POR EMPRESAS'!$A$6:$A$5000,0),MOD(ROW()-2,6)+1)="","",IFERROR(1*INDEX('CONTROLE PRODUÇÃO POR EMPRESAS'!$B$6:$G$5000,MATCH($A1620,'CONTROLE PRODUÇÃO POR EMPRESAS'!$A$6:$A$5000,0),MOD(ROW()-2,6)+1),"")),"")</f>
        <v/>
      </c>
      <c r="I1620" s="159">
        <f>IF(OR(NOT(ISNUMBER(G1620)),NOT(ISNUMBER(H1620))),"",H1620-G1620)</f>
        <v/>
      </c>
      <c r="J1620" s="319">
        <f>IF(OR(NOT(ISNUMBER(G1620)),NOT(ISNUMBER(H1620)),G1620=0),"",I1620/G1620)</f>
        <v/>
      </c>
      <c r="K1620" s="319">
        <f>IF(OR(NOT(ISNUMBER(G1620)),NOT(ISNUMBER(H1620)),G1620=0),"",H1620/G1620)</f>
        <v/>
      </c>
      <c r="L1620">
        <f>IF(NOT(ISNUMBER(G1620)),"SEM META",IF(G1620=0,"SEM META",IF(NOT(ISNUMBER(H1620)),"SEM APONTAMENTO",IF(H1620&gt;=G1620,"VERDE",IF(H1620&gt;=G1620*0.9,"AMARELO","VERMELHO")))))</f>
        <v/>
      </c>
      <c r="M1620" s="162" t="n"/>
      <c r="N1620" s="162" t="n"/>
      <c r="O1620" s="162" t="n"/>
      <c r="P1620" s="162" t="n"/>
      <c r="Q1620" s="320" t="n"/>
      <c r="R1620" s="162" t="inlineStr">
        <is>
          <t>CONTROLE PRODUÇÃO POR EMPRESAS!F275</t>
        </is>
      </c>
    </row>
    <row r="1621" ht="28.5" customHeight="1">
      <c r="A1621" s="317" t="n">
        <v>46492</v>
      </c>
      <c r="B1621" t="inlineStr">
        <is>
          <t>GERAL</t>
        </is>
      </c>
      <c r="C1621" t="inlineStr">
        <is>
          <t>CMM</t>
        </is>
      </c>
      <c r="D1621" t="inlineStr">
        <is>
          <t>VIGAS</t>
        </is>
      </c>
      <c r="F1621" s="159">
        <f>IFERROR(INDEX('BASE METAS DIÁRIAS'!$N$2:$S$358,MATCH($A1621,'BASE METAS DIÁRIAS'!$A$2:$A$358,0),MOD(ROW()-2,6)+1),"")</f>
        <v/>
      </c>
      <c r="G1621" s="159">
        <f>IFERROR(IF(WEEKDAY($A1621,2)&lt;=INDEX('BASE METAS DIÁRIAS'!$H$2:$M$358,MATCH($A1621,'BASE METAS DIÁRIAS'!$A$2:$A$358,0),MOD(ROW()-2,6)+1),INDEX('BASE METAS DIÁRIAS'!$B$2:$G$358,MATCH($A1621,'BASE METAS DIÁRIAS'!$A$2:$A$358,0),MOD(ROW()-2,6)+1),""),"")</f>
        <v/>
      </c>
      <c r="H1621" s="159">
        <f>IFERROR(IF(INDEX('CONTROLE PRODUÇÃO POR EMPRESAS'!$B$6:$G$5000,MATCH($A1621,'CONTROLE PRODUÇÃO POR EMPRESAS'!$A$6:$A$5000,0),MOD(ROW()-2,6)+1)="","",IFERROR(1*INDEX('CONTROLE PRODUÇÃO POR EMPRESAS'!$B$6:$G$5000,MATCH($A1621,'CONTROLE PRODUÇÃO POR EMPRESAS'!$A$6:$A$5000,0),MOD(ROW()-2,6)+1),"")),"")</f>
        <v/>
      </c>
      <c r="I1621" s="159">
        <f>IF(OR(NOT(ISNUMBER(G1621)),NOT(ISNUMBER(H1621))),"",H1621-G1621)</f>
        <v/>
      </c>
      <c r="J1621" s="319">
        <f>IF(OR(NOT(ISNUMBER(G1621)),NOT(ISNUMBER(H1621)),G1621=0),"",I1621/G1621)</f>
        <v/>
      </c>
      <c r="K1621" s="319">
        <f>IF(OR(NOT(ISNUMBER(G1621)),NOT(ISNUMBER(H1621)),G1621=0),"",H1621/G1621)</f>
        <v/>
      </c>
      <c r="L1621">
        <f>IF(NOT(ISNUMBER(G1621)),"SEM META",IF(G1621=0,"SEM META",IF(NOT(ISNUMBER(H1621)),"SEM APONTAMENTO",IF(H1621&gt;=G1621,"VERDE",IF(H1621&gt;=G1621*0.9,"AMARELO","VERMELHO")))))</f>
        <v/>
      </c>
      <c r="M1621" s="162" t="n"/>
      <c r="N1621" s="162" t="n"/>
      <c r="O1621" s="162" t="n"/>
      <c r="P1621" s="162" t="n"/>
      <c r="Q1621" s="320" t="n"/>
      <c r="R1621" s="162" t="inlineStr">
        <is>
          <t>CONTROLE PRODUÇÃO POR EMPRESAS!G275</t>
        </is>
      </c>
    </row>
    <row r="1622" ht="28.5" customHeight="1">
      <c r="A1622" s="317" t="n">
        <v>46493</v>
      </c>
      <c r="B1622" t="inlineStr">
        <is>
          <t>GERAL</t>
        </is>
      </c>
      <c r="C1622" t="inlineStr">
        <is>
          <t>EJ</t>
        </is>
      </c>
      <c r="D1622" t="inlineStr">
        <is>
          <t>PREMONTAGEM</t>
        </is>
      </c>
      <c r="F1622" s="159">
        <f>IFERROR(INDEX('BASE METAS DIÁRIAS'!$N$2:$S$358,MATCH($A1622,'BASE METAS DIÁRIAS'!$A$2:$A$358,0),MOD(ROW()-2,6)+1),"")</f>
        <v/>
      </c>
      <c r="G1622" s="159">
        <f>IFERROR(IF(WEEKDAY($A1622,2)&lt;=INDEX('BASE METAS DIÁRIAS'!$H$2:$M$358,MATCH($A1622,'BASE METAS DIÁRIAS'!$A$2:$A$358,0),MOD(ROW()-2,6)+1),INDEX('BASE METAS DIÁRIAS'!$B$2:$G$358,MATCH($A1622,'BASE METAS DIÁRIAS'!$A$2:$A$358,0),MOD(ROW()-2,6)+1),""),"")</f>
        <v/>
      </c>
      <c r="H1622" s="159">
        <f>IFERROR(IF(INDEX('CONTROLE PRODUÇÃO POR EMPRESAS'!$B$6:$G$5000,MATCH($A1622,'CONTROLE PRODUÇÃO POR EMPRESAS'!$A$6:$A$5000,0),MOD(ROW()-2,6)+1)="","",IFERROR(1*INDEX('CONTROLE PRODUÇÃO POR EMPRESAS'!$B$6:$G$5000,MATCH($A1622,'CONTROLE PRODUÇÃO POR EMPRESAS'!$A$6:$A$5000,0),MOD(ROW()-2,6)+1),"")),"")</f>
        <v/>
      </c>
      <c r="I1622" s="159">
        <f>IF(OR(NOT(ISNUMBER(G1622)),NOT(ISNUMBER(H1622))),"",H1622-G1622)</f>
        <v/>
      </c>
      <c r="J1622" s="319">
        <f>IF(OR(NOT(ISNUMBER(G1622)),NOT(ISNUMBER(H1622)),G1622=0),"",I1622/G1622)</f>
        <v/>
      </c>
      <c r="K1622" s="319">
        <f>IF(OR(NOT(ISNUMBER(G1622)),NOT(ISNUMBER(H1622)),G1622=0),"",H1622/G1622)</f>
        <v/>
      </c>
      <c r="L1622">
        <f>IF(NOT(ISNUMBER(G1622)),"SEM META",IF(G1622=0,"SEM META",IF(NOT(ISNUMBER(H1622)),"SEM APONTAMENTO",IF(H1622&gt;=G1622,"VERDE",IF(H1622&gt;=G1622*0.9,"AMARELO","VERMELHO")))))</f>
        <v/>
      </c>
      <c r="M1622" s="162" t="n"/>
      <c r="N1622" s="162" t="n"/>
      <c r="O1622" s="162" t="n"/>
      <c r="P1622" s="162" t="n"/>
      <c r="Q1622" s="320" t="n"/>
      <c r="R1622" s="162" t="inlineStr">
        <is>
          <t>CONTROLE PRODUÇÃO POR EMPRESAS!B276</t>
        </is>
      </c>
    </row>
    <row r="1623" ht="28.5" customHeight="1">
      <c r="A1623" s="317" t="n">
        <v>46493</v>
      </c>
      <c r="B1623" t="inlineStr">
        <is>
          <t>GERAL</t>
        </is>
      </c>
      <c r="C1623" t="inlineStr">
        <is>
          <t>EJ</t>
        </is>
      </c>
      <c r="D1623" t="inlineStr">
        <is>
          <t>IÇAMENTO JOIST</t>
        </is>
      </c>
      <c r="F1623" s="159">
        <f>IFERROR(INDEX('BASE METAS DIÁRIAS'!$N$2:$S$358,MATCH($A1623,'BASE METAS DIÁRIAS'!$A$2:$A$358,0),MOD(ROW()-2,6)+1),"")</f>
        <v/>
      </c>
      <c r="G1623" s="159">
        <f>IFERROR(IF(WEEKDAY($A1623,2)&lt;=INDEX('BASE METAS DIÁRIAS'!$H$2:$M$358,MATCH($A1623,'BASE METAS DIÁRIAS'!$A$2:$A$358,0),MOD(ROW()-2,6)+1),INDEX('BASE METAS DIÁRIAS'!$B$2:$G$358,MATCH($A1623,'BASE METAS DIÁRIAS'!$A$2:$A$358,0),MOD(ROW()-2,6)+1),""),"")</f>
        <v/>
      </c>
      <c r="H1623" s="159">
        <f>IFERROR(IF(INDEX('CONTROLE PRODUÇÃO POR EMPRESAS'!$B$6:$G$5000,MATCH($A1623,'CONTROLE PRODUÇÃO POR EMPRESAS'!$A$6:$A$5000,0),MOD(ROW()-2,6)+1)="","",IFERROR(1*INDEX('CONTROLE PRODUÇÃO POR EMPRESAS'!$B$6:$G$5000,MATCH($A1623,'CONTROLE PRODUÇÃO POR EMPRESAS'!$A$6:$A$5000,0),MOD(ROW()-2,6)+1),"")),"")</f>
        <v/>
      </c>
      <c r="I1623" s="159">
        <f>IF(OR(NOT(ISNUMBER(G1623)),NOT(ISNUMBER(H1623))),"",H1623-G1623)</f>
        <v/>
      </c>
      <c r="J1623" s="319">
        <f>IF(OR(NOT(ISNUMBER(G1623)),NOT(ISNUMBER(H1623)),G1623=0),"",I1623/G1623)</f>
        <v/>
      </c>
      <c r="K1623" s="319">
        <f>IF(OR(NOT(ISNUMBER(G1623)),NOT(ISNUMBER(H1623)),G1623=0),"",H1623/G1623)</f>
        <v/>
      </c>
      <c r="L1623">
        <f>IF(NOT(ISNUMBER(G1623)),"SEM META",IF(G1623=0,"SEM META",IF(NOT(ISNUMBER(H1623)),"SEM APONTAMENTO",IF(H1623&gt;=G1623,"VERDE",IF(H1623&gt;=G1623*0.9,"AMARELO","VERMELHO")))))</f>
        <v/>
      </c>
      <c r="M1623" s="162" t="n"/>
      <c r="N1623" s="162" t="n"/>
      <c r="O1623" s="162" t="n"/>
      <c r="P1623" s="162" t="n"/>
      <c r="Q1623" s="320" t="n"/>
      <c r="R1623" s="162" t="inlineStr">
        <is>
          <t>CONTROLE PRODUÇÃO POR EMPRESAS!C276</t>
        </is>
      </c>
    </row>
    <row r="1624" ht="28.5" customHeight="1">
      <c r="A1624" s="317" t="n">
        <v>46493</v>
      </c>
      <c r="B1624" t="inlineStr">
        <is>
          <t>GERAL</t>
        </is>
      </c>
      <c r="C1624" t="inlineStr">
        <is>
          <t>EJ</t>
        </is>
      </c>
      <c r="D1624" t="inlineStr">
        <is>
          <t>VIGAS</t>
        </is>
      </c>
      <c r="F1624" s="159">
        <f>IFERROR(INDEX('BASE METAS DIÁRIAS'!$N$2:$S$358,MATCH($A1624,'BASE METAS DIÁRIAS'!$A$2:$A$358,0),MOD(ROW()-2,6)+1),"")</f>
        <v/>
      </c>
      <c r="G1624" s="159">
        <f>IFERROR(IF(WEEKDAY($A1624,2)&lt;=INDEX('BASE METAS DIÁRIAS'!$H$2:$M$358,MATCH($A1624,'BASE METAS DIÁRIAS'!$A$2:$A$358,0),MOD(ROW()-2,6)+1),INDEX('BASE METAS DIÁRIAS'!$B$2:$G$358,MATCH($A1624,'BASE METAS DIÁRIAS'!$A$2:$A$358,0),MOD(ROW()-2,6)+1),""),"")</f>
        <v/>
      </c>
      <c r="H1624" s="159">
        <f>IFERROR(IF(INDEX('CONTROLE PRODUÇÃO POR EMPRESAS'!$B$6:$G$5000,MATCH($A1624,'CONTROLE PRODUÇÃO POR EMPRESAS'!$A$6:$A$5000,0),MOD(ROW()-2,6)+1)="","",IFERROR(1*INDEX('CONTROLE PRODUÇÃO POR EMPRESAS'!$B$6:$G$5000,MATCH($A1624,'CONTROLE PRODUÇÃO POR EMPRESAS'!$A$6:$A$5000,0),MOD(ROW()-2,6)+1),"")),"")</f>
        <v/>
      </c>
      <c r="I1624" s="159">
        <f>IF(OR(NOT(ISNUMBER(G1624)),NOT(ISNUMBER(H1624))),"",H1624-G1624)</f>
        <v/>
      </c>
      <c r="J1624" s="319">
        <f>IF(OR(NOT(ISNUMBER(G1624)),NOT(ISNUMBER(H1624)),G1624=0),"",I1624/G1624)</f>
        <v/>
      </c>
      <c r="K1624" s="319">
        <f>IF(OR(NOT(ISNUMBER(G1624)),NOT(ISNUMBER(H1624)),G1624=0),"",H1624/G1624)</f>
        <v/>
      </c>
      <c r="L1624">
        <f>IF(NOT(ISNUMBER(G1624)),"SEM META",IF(G1624=0,"SEM META",IF(NOT(ISNUMBER(H1624)),"SEM APONTAMENTO",IF(H1624&gt;=G1624,"VERDE",IF(H1624&gt;=G1624*0.9,"AMARELO","VERMELHO")))))</f>
        <v/>
      </c>
      <c r="M1624" s="162" t="n"/>
      <c r="N1624" s="162" t="n"/>
      <c r="O1624" s="162" t="n"/>
      <c r="P1624" s="162" t="n"/>
      <c r="Q1624" s="320" t="n"/>
      <c r="R1624" s="162" t="inlineStr">
        <is>
          <t>CONTROLE PRODUÇÃO POR EMPRESAS!D276</t>
        </is>
      </c>
    </row>
    <row r="1625" ht="28.5" customHeight="1">
      <c r="A1625" s="317" t="n">
        <v>46493</v>
      </c>
      <c r="B1625" t="inlineStr">
        <is>
          <t>GERAL</t>
        </is>
      </c>
      <c r="C1625" t="inlineStr">
        <is>
          <t>CMM</t>
        </is>
      </c>
      <c r="D1625" t="inlineStr">
        <is>
          <t>PREMONTAGEM</t>
        </is>
      </c>
      <c r="F1625" s="159">
        <f>IFERROR(INDEX('BASE METAS DIÁRIAS'!$N$2:$S$358,MATCH($A1625,'BASE METAS DIÁRIAS'!$A$2:$A$358,0),MOD(ROW()-2,6)+1),"")</f>
        <v/>
      </c>
      <c r="G1625" s="159">
        <f>IFERROR(IF(WEEKDAY($A1625,2)&lt;=INDEX('BASE METAS DIÁRIAS'!$H$2:$M$358,MATCH($A1625,'BASE METAS DIÁRIAS'!$A$2:$A$358,0),MOD(ROW()-2,6)+1),INDEX('BASE METAS DIÁRIAS'!$B$2:$G$358,MATCH($A1625,'BASE METAS DIÁRIAS'!$A$2:$A$358,0),MOD(ROW()-2,6)+1),""),"")</f>
        <v/>
      </c>
      <c r="H1625" s="159">
        <f>IFERROR(IF(INDEX('CONTROLE PRODUÇÃO POR EMPRESAS'!$B$6:$G$5000,MATCH($A1625,'CONTROLE PRODUÇÃO POR EMPRESAS'!$A$6:$A$5000,0),MOD(ROW()-2,6)+1)="","",IFERROR(1*INDEX('CONTROLE PRODUÇÃO POR EMPRESAS'!$B$6:$G$5000,MATCH($A1625,'CONTROLE PRODUÇÃO POR EMPRESAS'!$A$6:$A$5000,0),MOD(ROW()-2,6)+1),"")),"")</f>
        <v/>
      </c>
      <c r="I1625" s="159">
        <f>IF(OR(NOT(ISNUMBER(G1625)),NOT(ISNUMBER(H1625))),"",H1625-G1625)</f>
        <v/>
      </c>
      <c r="J1625" s="319">
        <f>IF(OR(NOT(ISNUMBER(G1625)),NOT(ISNUMBER(H1625)),G1625=0),"",I1625/G1625)</f>
        <v/>
      </c>
      <c r="K1625" s="319">
        <f>IF(OR(NOT(ISNUMBER(G1625)),NOT(ISNUMBER(H1625)),G1625=0),"",H1625/G1625)</f>
        <v/>
      </c>
      <c r="L1625">
        <f>IF(NOT(ISNUMBER(G1625)),"SEM META",IF(G1625=0,"SEM META",IF(NOT(ISNUMBER(H1625)),"SEM APONTAMENTO",IF(H1625&gt;=G1625,"VERDE",IF(H1625&gt;=G1625*0.9,"AMARELO","VERMELHO")))))</f>
        <v/>
      </c>
      <c r="M1625" s="162" t="n"/>
      <c r="N1625" s="162" t="n"/>
      <c r="O1625" s="162" t="n"/>
      <c r="P1625" s="162" t="n"/>
      <c r="Q1625" s="320" t="n"/>
      <c r="R1625" s="162" t="inlineStr">
        <is>
          <t>CONTROLE PRODUÇÃO POR EMPRESAS!E276</t>
        </is>
      </c>
    </row>
    <row r="1626" ht="28.5" customHeight="1">
      <c r="A1626" s="317" t="n">
        <v>46493</v>
      </c>
      <c r="B1626" t="inlineStr">
        <is>
          <t>GERAL</t>
        </is>
      </c>
      <c r="C1626" t="inlineStr">
        <is>
          <t>CMM</t>
        </is>
      </c>
      <c r="D1626" t="inlineStr">
        <is>
          <t>IÇAMENTO JOIST</t>
        </is>
      </c>
      <c r="F1626" s="159">
        <f>IFERROR(INDEX('BASE METAS DIÁRIAS'!$N$2:$S$358,MATCH($A1626,'BASE METAS DIÁRIAS'!$A$2:$A$358,0),MOD(ROW()-2,6)+1),"")</f>
        <v/>
      </c>
      <c r="G1626" s="159">
        <f>IFERROR(IF(WEEKDAY($A1626,2)&lt;=INDEX('BASE METAS DIÁRIAS'!$H$2:$M$358,MATCH($A1626,'BASE METAS DIÁRIAS'!$A$2:$A$358,0),MOD(ROW()-2,6)+1),INDEX('BASE METAS DIÁRIAS'!$B$2:$G$358,MATCH($A1626,'BASE METAS DIÁRIAS'!$A$2:$A$358,0),MOD(ROW()-2,6)+1),""),"")</f>
        <v/>
      </c>
      <c r="H1626" s="159">
        <f>IFERROR(IF(INDEX('CONTROLE PRODUÇÃO POR EMPRESAS'!$B$6:$G$5000,MATCH($A1626,'CONTROLE PRODUÇÃO POR EMPRESAS'!$A$6:$A$5000,0),MOD(ROW()-2,6)+1)="","",IFERROR(1*INDEX('CONTROLE PRODUÇÃO POR EMPRESAS'!$B$6:$G$5000,MATCH($A1626,'CONTROLE PRODUÇÃO POR EMPRESAS'!$A$6:$A$5000,0),MOD(ROW()-2,6)+1),"")),"")</f>
        <v/>
      </c>
      <c r="I1626" s="159">
        <f>IF(OR(NOT(ISNUMBER(G1626)),NOT(ISNUMBER(H1626))),"",H1626-G1626)</f>
        <v/>
      </c>
      <c r="J1626" s="319">
        <f>IF(OR(NOT(ISNUMBER(G1626)),NOT(ISNUMBER(H1626)),G1626=0),"",I1626/G1626)</f>
        <v/>
      </c>
      <c r="K1626" s="319">
        <f>IF(OR(NOT(ISNUMBER(G1626)),NOT(ISNUMBER(H1626)),G1626=0),"",H1626/G1626)</f>
        <v/>
      </c>
      <c r="L1626">
        <f>IF(NOT(ISNUMBER(G1626)),"SEM META",IF(G1626=0,"SEM META",IF(NOT(ISNUMBER(H1626)),"SEM APONTAMENTO",IF(H1626&gt;=G1626,"VERDE",IF(H1626&gt;=G1626*0.9,"AMARELO","VERMELHO")))))</f>
        <v/>
      </c>
      <c r="M1626" s="162" t="n"/>
      <c r="N1626" s="162" t="n"/>
      <c r="O1626" s="162" t="n"/>
      <c r="P1626" s="162" t="n"/>
      <c r="Q1626" s="320" t="n"/>
      <c r="R1626" s="162" t="inlineStr">
        <is>
          <t>CONTROLE PRODUÇÃO POR EMPRESAS!F276</t>
        </is>
      </c>
    </row>
    <row r="1627" ht="28.5" customHeight="1">
      <c r="A1627" s="317" t="n">
        <v>46493</v>
      </c>
      <c r="B1627" t="inlineStr">
        <is>
          <t>GERAL</t>
        </is>
      </c>
      <c r="C1627" t="inlineStr">
        <is>
          <t>CMM</t>
        </is>
      </c>
      <c r="D1627" t="inlineStr">
        <is>
          <t>VIGAS</t>
        </is>
      </c>
      <c r="F1627" s="159">
        <f>IFERROR(INDEX('BASE METAS DIÁRIAS'!$N$2:$S$358,MATCH($A1627,'BASE METAS DIÁRIAS'!$A$2:$A$358,0),MOD(ROW()-2,6)+1),"")</f>
        <v/>
      </c>
      <c r="G1627" s="159">
        <f>IFERROR(IF(WEEKDAY($A1627,2)&lt;=INDEX('BASE METAS DIÁRIAS'!$H$2:$M$358,MATCH($A1627,'BASE METAS DIÁRIAS'!$A$2:$A$358,0),MOD(ROW()-2,6)+1),INDEX('BASE METAS DIÁRIAS'!$B$2:$G$358,MATCH($A1627,'BASE METAS DIÁRIAS'!$A$2:$A$358,0),MOD(ROW()-2,6)+1),""),"")</f>
        <v/>
      </c>
      <c r="H1627" s="159">
        <f>IFERROR(IF(INDEX('CONTROLE PRODUÇÃO POR EMPRESAS'!$B$6:$G$5000,MATCH($A1627,'CONTROLE PRODUÇÃO POR EMPRESAS'!$A$6:$A$5000,0),MOD(ROW()-2,6)+1)="","",IFERROR(1*INDEX('CONTROLE PRODUÇÃO POR EMPRESAS'!$B$6:$G$5000,MATCH($A1627,'CONTROLE PRODUÇÃO POR EMPRESAS'!$A$6:$A$5000,0),MOD(ROW()-2,6)+1),"")),"")</f>
        <v/>
      </c>
      <c r="I1627" s="159">
        <f>IF(OR(NOT(ISNUMBER(G1627)),NOT(ISNUMBER(H1627))),"",H1627-G1627)</f>
        <v/>
      </c>
      <c r="J1627" s="319">
        <f>IF(OR(NOT(ISNUMBER(G1627)),NOT(ISNUMBER(H1627)),G1627=0),"",I1627/G1627)</f>
        <v/>
      </c>
      <c r="K1627" s="319">
        <f>IF(OR(NOT(ISNUMBER(G1627)),NOT(ISNUMBER(H1627)),G1627=0),"",H1627/G1627)</f>
        <v/>
      </c>
      <c r="L1627">
        <f>IF(NOT(ISNUMBER(G1627)),"SEM META",IF(G1627=0,"SEM META",IF(NOT(ISNUMBER(H1627)),"SEM APONTAMENTO",IF(H1627&gt;=G1627,"VERDE",IF(H1627&gt;=G1627*0.9,"AMARELO","VERMELHO")))))</f>
        <v/>
      </c>
      <c r="M1627" s="162" t="n"/>
      <c r="N1627" s="162" t="n"/>
      <c r="O1627" s="162" t="n"/>
      <c r="P1627" s="162" t="n"/>
      <c r="Q1627" s="320" t="n"/>
      <c r="R1627" s="162" t="inlineStr">
        <is>
          <t>CONTROLE PRODUÇÃO POR EMPRESAS!G276</t>
        </is>
      </c>
    </row>
    <row r="1628" ht="28.5" customHeight="1">
      <c r="A1628" s="317" t="n">
        <v>46494</v>
      </c>
      <c r="B1628" t="inlineStr">
        <is>
          <t>GERAL</t>
        </is>
      </c>
      <c r="C1628" t="inlineStr">
        <is>
          <t>EJ</t>
        </is>
      </c>
      <c r="D1628" t="inlineStr">
        <is>
          <t>PREMONTAGEM</t>
        </is>
      </c>
      <c r="F1628" s="159">
        <f>IFERROR(INDEX('BASE METAS DIÁRIAS'!$N$2:$S$358,MATCH($A1628,'BASE METAS DIÁRIAS'!$A$2:$A$358,0),MOD(ROW()-2,6)+1),"")</f>
        <v/>
      </c>
      <c r="G1628" s="159">
        <f>IFERROR(IF(WEEKDAY($A1628,2)&lt;=INDEX('BASE METAS DIÁRIAS'!$H$2:$M$358,MATCH($A1628,'BASE METAS DIÁRIAS'!$A$2:$A$358,0),MOD(ROW()-2,6)+1),INDEX('BASE METAS DIÁRIAS'!$B$2:$G$358,MATCH($A1628,'BASE METAS DIÁRIAS'!$A$2:$A$358,0),MOD(ROW()-2,6)+1),""),"")</f>
        <v/>
      </c>
      <c r="H1628" s="159">
        <f>IFERROR(IF(INDEX('CONTROLE PRODUÇÃO POR EMPRESAS'!$B$6:$G$5000,MATCH($A1628,'CONTROLE PRODUÇÃO POR EMPRESAS'!$A$6:$A$5000,0),MOD(ROW()-2,6)+1)="","",IFERROR(1*INDEX('CONTROLE PRODUÇÃO POR EMPRESAS'!$B$6:$G$5000,MATCH($A1628,'CONTROLE PRODUÇÃO POR EMPRESAS'!$A$6:$A$5000,0),MOD(ROW()-2,6)+1),"")),"")</f>
        <v/>
      </c>
      <c r="I1628" s="159">
        <f>IF(OR(NOT(ISNUMBER(G1628)),NOT(ISNUMBER(H1628))),"",H1628-G1628)</f>
        <v/>
      </c>
      <c r="J1628" s="319">
        <f>IF(OR(NOT(ISNUMBER(G1628)),NOT(ISNUMBER(H1628)),G1628=0),"",I1628/G1628)</f>
        <v/>
      </c>
      <c r="K1628" s="319">
        <f>IF(OR(NOT(ISNUMBER(G1628)),NOT(ISNUMBER(H1628)),G1628=0),"",H1628/G1628)</f>
        <v/>
      </c>
      <c r="L1628">
        <f>IF(NOT(ISNUMBER(G1628)),"SEM META",IF(G1628=0,"SEM META",IF(NOT(ISNUMBER(H1628)),"SEM APONTAMENTO",IF(H1628&gt;=G1628,"VERDE",IF(H1628&gt;=G1628*0.9,"AMARELO","VERMELHO")))))</f>
        <v/>
      </c>
      <c r="M1628" s="162" t="n"/>
      <c r="N1628" s="162" t="n"/>
      <c r="O1628" s="162" t="n"/>
      <c r="P1628" s="162" t="n"/>
      <c r="Q1628" s="320" t="n"/>
      <c r="R1628" s="162" t="inlineStr">
        <is>
          <t>CONTROLE PRODUÇÃO POR EMPRESAS!B277</t>
        </is>
      </c>
    </row>
    <row r="1629" ht="28.5" customHeight="1">
      <c r="A1629" s="317" t="n">
        <v>46494</v>
      </c>
      <c r="B1629" t="inlineStr">
        <is>
          <t>GERAL</t>
        </is>
      </c>
      <c r="C1629" t="inlineStr">
        <is>
          <t>EJ</t>
        </is>
      </c>
      <c r="D1629" t="inlineStr">
        <is>
          <t>IÇAMENTO JOIST</t>
        </is>
      </c>
      <c r="F1629" s="159">
        <f>IFERROR(INDEX('BASE METAS DIÁRIAS'!$N$2:$S$358,MATCH($A1629,'BASE METAS DIÁRIAS'!$A$2:$A$358,0),MOD(ROW()-2,6)+1),"")</f>
        <v/>
      </c>
      <c r="G1629" s="159">
        <f>IFERROR(IF(WEEKDAY($A1629,2)&lt;=INDEX('BASE METAS DIÁRIAS'!$H$2:$M$358,MATCH($A1629,'BASE METAS DIÁRIAS'!$A$2:$A$358,0),MOD(ROW()-2,6)+1),INDEX('BASE METAS DIÁRIAS'!$B$2:$G$358,MATCH($A1629,'BASE METAS DIÁRIAS'!$A$2:$A$358,0),MOD(ROW()-2,6)+1),""),"")</f>
        <v/>
      </c>
      <c r="H1629" s="159">
        <f>IFERROR(IF(INDEX('CONTROLE PRODUÇÃO POR EMPRESAS'!$B$6:$G$5000,MATCH($A1629,'CONTROLE PRODUÇÃO POR EMPRESAS'!$A$6:$A$5000,0),MOD(ROW()-2,6)+1)="","",IFERROR(1*INDEX('CONTROLE PRODUÇÃO POR EMPRESAS'!$B$6:$G$5000,MATCH($A1629,'CONTROLE PRODUÇÃO POR EMPRESAS'!$A$6:$A$5000,0),MOD(ROW()-2,6)+1),"")),"")</f>
        <v/>
      </c>
      <c r="I1629" s="159">
        <f>IF(OR(NOT(ISNUMBER(G1629)),NOT(ISNUMBER(H1629))),"",H1629-G1629)</f>
        <v/>
      </c>
      <c r="J1629" s="319">
        <f>IF(OR(NOT(ISNUMBER(G1629)),NOT(ISNUMBER(H1629)),G1629=0),"",I1629/G1629)</f>
        <v/>
      </c>
      <c r="K1629" s="319">
        <f>IF(OR(NOT(ISNUMBER(G1629)),NOT(ISNUMBER(H1629)),G1629=0),"",H1629/G1629)</f>
        <v/>
      </c>
      <c r="L1629">
        <f>IF(NOT(ISNUMBER(G1629)),"SEM META",IF(G1629=0,"SEM META",IF(NOT(ISNUMBER(H1629)),"SEM APONTAMENTO",IF(H1629&gt;=G1629,"VERDE",IF(H1629&gt;=G1629*0.9,"AMARELO","VERMELHO")))))</f>
        <v/>
      </c>
      <c r="M1629" s="162" t="n"/>
      <c r="N1629" s="162" t="n"/>
      <c r="O1629" s="162" t="n"/>
      <c r="P1629" s="162" t="n"/>
      <c r="Q1629" s="320" t="n"/>
      <c r="R1629" s="162" t="inlineStr">
        <is>
          <t>CONTROLE PRODUÇÃO POR EMPRESAS!C277</t>
        </is>
      </c>
    </row>
    <row r="1630" ht="28.5" customHeight="1">
      <c r="A1630" s="317" t="n">
        <v>46494</v>
      </c>
      <c r="B1630" t="inlineStr">
        <is>
          <t>GERAL</t>
        </is>
      </c>
      <c r="C1630" t="inlineStr">
        <is>
          <t>EJ</t>
        </is>
      </c>
      <c r="D1630" t="inlineStr">
        <is>
          <t>VIGAS</t>
        </is>
      </c>
      <c r="F1630" s="159">
        <f>IFERROR(INDEX('BASE METAS DIÁRIAS'!$N$2:$S$358,MATCH($A1630,'BASE METAS DIÁRIAS'!$A$2:$A$358,0),MOD(ROW()-2,6)+1),"")</f>
        <v/>
      </c>
      <c r="G1630" s="159">
        <f>IFERROR(IF(WEEKDAY($A1630,2)&lt;=INDEX('BASE METAS DIÁRIAS'!$H$2:$M$358,MATCH($A1630,'BASE METAS DIÁRIAS'!$A$2:$A$358,0),MOD(ROW()-2,6)+1),INDEX('BASE METAS DIÁRIAS'!$B$2:$G$358,MATCH($A1630,'BASE METAS DIÁRIAS'!$A$2:$A$358,0),MOD(ROW()-2,6)+1),""),"")</f>
        <v/>
      </c>
      <c r="H1630" s="159">
        <f>IFERROR(IF(INDEX('CONTROLE PRODUÇÃO POR EMPRESAS'!$B$6:$G$5000,MATCH($A1630,'CONTROLE PRODUÇÃO POR EMPRESAS'!$A$6:$A$5000,0),MOD(ROW()-2,6)+1)="","",IFERROR(1*INDEX('CONTROLE PRODUÇÃO POR EMPRESAS'!$B$6:$G$5000,MATCH($A1630,'CONTROLE PRODUÇÃO POR EMPRESAS'!$A$6:$A$5000,0),MOD(ROW()-2,6)+1),"")),"")</f>
        <v/>
      </c>
      <c r="I1630" s="159">
        <f>IF(OR(NOT(ISNUMBER(G1630)),NOT(ISNUMBER(H1630))),"",H1630-G1630)</f>
        <v/>
      </c>
      <c r="J1630" s="319">
        <f>IF(OR(NOT(ISNUMBER(G1630)),NOT(ISNUMBER(H1630)),G1630=0),"",I1630/G1630)</f>
        <v/>
      </c>
      <c r="K1630" s="319">
        <f>IF(OR(NOT(ISNUMBER(G1630)),NOT(ISNUMBER(H1630)),G1630=0),"",H1630/G1630)</f>
        <v/>
      </c>
      <c r="L1630">
        <f>IF(NOT(ISNUMBER(G1630)),"SEM META",IF(G1630=0,"SEM META",IF(NOT(ISNUMBER(H1630)),"SEM APONTAMENTO",IF(H1630&gt;=G1630,"VERDE",IF(H1630&gt;=G1630*0.9,"AMARELO","VERMELHO")))))</f>
        <v/>
      </c>
      <c r="M1630" s="162" t="n"/>
      <c r="N1630" s="162" t="n"/>
      <c r="O1630" s="162" t="n"/>
      <c r="P1630" s="162" t="n"/>
      <c r="Q1630" s="320" t="n"/>
      <c r="R1630" s="162" t="inlineStr">
        <is>
          <t>CONTROLE PRODUÇÃO POR EMPRESAS!D277</t>
        </is>
      </c>
    </row>
    <row r="1631" ht="28.5" customHeight="1">
      <c r="A1631" s="317" t="n">
        <v>46494</v>
      </c>
      <c r="B1631" t="inlineStr">
        <is>
          <t>GERAL</t>
        </is>
      </c>
      <c r="C1631" t="inlineStr">
        <is>
          <t>CMM</t>
        </is>
      </c>
      <c r="D1631" t="inlineStr">
        <is>
          <t>PREMONTAGEM</t>
        </is>
      </c>
      <c r="F1631" s="159">
        <f>IFERROR(INDEX('BASE METAS DIÁRIAS'!$N$2:$S$358,MATCH($A1631,'BASE METAS DIÁRIAS'!$A$2:$A$358,0),MOD(ROW()-2,6)+1),"")</f>
        <v/>
      </c>
      <c r="G1631" s="159">
        <f>IFERROR(IF(WEEKDAY($A1631,2)&lt;=INDEX('BASE METAS DIÁRIAS'!$H$2:$M$358,MATCH($A1631,'BASE METAS DIÁRIAS'!$A$2:$A$358,0),MOD(ROW()-2,6)+1),INDEX('BASE METAS DIÁRIAS'!$B$2:$G$358,MATCH($A1631,'BASE METAS DIÁRIAS'!$A$2:$A$358,0),MOD(ROW()-2,6)+1),""),"")</f>
        <v/>
      </c>
      <c r="H1631" s="159">
        <f>IFERROR(IF(INDEX('CONTROLE PRODUÇÃO POR EMPRESAS'!$B$6:$G$5000,MATCH($A1631,'CONTROLE PRODUÇÃO POR EMPRESAS'!$A$6:$A$5000,0),MOD(ROW()-2,6)+1)="","",IFERROR(1*INDEX('CONTROLE PRODUÇÃO POR EMPRESAS'!$B$6:$G$5000,MATCH($A1631,'CONTROLE PRODUÇÃO POR EMPRESAS'!$A$6:$A$5000,0),MOD(ROW()-2,6)+1),"")),"")</f>
        <v/>
      </c>
      <c r="I1631" s="159">
        <f>IF(OR(NOT(ISNUMBER(G1631)),NOT(ISNUMBER(H1631))),"",H1631-G1631)</f>
        <v/>
      </c>
      <c r="J1631" s="319">
        <f>IF(OR(NOT(ISNUMBER(G1631)),NOT(ISNUMBER(H1631)),G1631=0),"",I1631/G1631)</f>
        <v/>
      </c>
      <c r="K1631" s="319">
        <f>IF(OR(NOT(ISNUMBER(G1631)),NOT(ISNUMBER(H1631)),G1631=0),"",H1631/G1631)</f>
        <v/>
      </c>
      <c r="L1631">
        <f>IF(NOT(ISNUMBER(G1631)),"SEM META",IF(G1631=0,"SEM META",IF(NOT(ISNUMBER(H1631)),"SEM APONTAMENTO",IF(H1631&gt;=G1631,"VERDE",IF(H1631&gt;=G1631*0.9,"AMARELO","VERMELHO")))))</f>
        <v/>
      </c>
      <c r="M1631" s="162" t="n"/>
      <c r="N1631" s="162" t="n"/>
      <c r="O1631" s="162" t="n"/>
      <c r="P1631" s="162" t="n"/>
      <c r="Q1631" s="320" t="n"/>
      <c r="R1631" s="162" t="inlineStr">
        <is>
          <t>CONTROLE PRODUÇÃO POR EMPRESAS!E277</t>
        </is>
      </c>
    </row>
    <row r="1632" ht="28.5" customHeight="1">
      <c r="A1632" s="317" t="n">
        <v>46494</v>
      </c>
      <c r="B1632" t="inlineStr">
        <is>
          <t>GERAL</t>
        </is>
      </c>
      <c r="C1632" t="inlineStr">
        <is>
          <t>CMM</t>
        </is>
      </c>
      <c r="D1632" t="inlineStr">
        <is>
          <t>IÇAMENTO JOIST</t>
        </is>
      </c>
      <c r="F1632" s="159">
        <f>IFERROR(INDEX('BASE METAS DIÁRIAS'!$N$2:$S$358,MATCH($A1632,'BASE METAS DIÁRIAS'!$A$2:$A$358,0),MOD(ROW()-2,6)+1),"")</f>
        <v/>
      </c>
      <c r="G1632" s="159">
        <f>IFERROR(IF(WEEKDAY($A1632,2)&lt;=INDEX('BASE METAS DIÁRIAS'!$H$2:$M$358,MATCH($A1632,'BASE METAS DIÁRIAS'!$A$2:$A$358,0),MOD(ROW()-2,6)+1),INDEX('BASE METAS DIÁRIAS'!$B$2:$G$358,MATCH($A1632,'BASE METAS DIÁRIAS'!$A$2:$A$358,0),MOD(ROW()-2,6)+1),""),"")</f>
        <v/>
      </c>
      <c r="H1632" s="159">
        <f>IFERROR(IF(INDEX('CONTROLE PRODUÇÃO POR EMPRESAS'!$B$6:$G$5000,MATCH($A1632,'CONTROLE PRODUÇÃO POR EMPRESAS'!$A$6:$A$5000,0),MOD(ROW()-2,6)+1)="","",IFERROR(1*INDEX('CONTROLE PRODUÇÃO POR EMPRESAS'!$B$6:$G$5000,MATCH($A1632,'CONTROLE PRODUÇÃO POR EMPRESAS'!$A$6:$A$5000,0),MOD(ROW()-2,6)+1),"")),"")</f>
        <v/>
      </c>
      <c r="I1632" s="159">
        <f>IF(OR(NOT(ISNUMBER(G1632)),NOT(ISNUMBER(H1632))),"",H1632-G1632)</f>
        <v/>
      </c>
      <c r="J1632" s="319">
        <f>IF(OR(NOT(ISNUMBER(G1632)),NOT(ISNUMBER(H1632)),G1632=0),"",I1632/G1632)</f>
        <v/>
      </c>
      <c r="K1632" s="319">
        <f>IF(OR(NOT(ISNUMBER(G1632)),NOT(ISNUMBER(H1632)),G1632=0),"",H1632/G1632)</f>
        <v/>
      </c>
      <c r="L1632">
        <f>IF(NOT(ISNUMBER(G1632)),"SEM META",IF(G1632=0,"SEM META",IF(NOT(ISNUMBER(H1632)),"SEM APONTAMENTO",IF(H1632&gt;=G1632,"VERDE",IF(H1632&gt;=G1632*0.9,"AMARELO","VERMELHO")))))</f>
        <v/>
      </c>
      <c r="M1632" s="162" t="n"/>
      <c r="N1632" s="162" t="n"/>
      <c r="O1632" s="162" t="n"/>
      <c r="P1632" s="162" t="n"/>
      <c r="Q1632" s="320" t="n"/>
      <c r="R1632" s="162" t="inlineStr">
        <is>
          <t>CONTROLE PRODUÇÃO POR EMPRESAS!F277</t>
        </is>
      </c>
    </row>
    <row r="1633" ht="28.5" customHeight="1">
      <c r="A1633" s="317" t="n">
        <v>46494</v>
      </c>
      <c r="B1633" t="inlineStr">
        <is>
          <t>GERAL</t>
        </is>
      </c>
      <c r="C1633" t="inlineStr">
        <is>
          <t>CMM</t>
        </is>
      </c>
      <c r="D1633" t="inlineStr">
        <is>
          <t>VIGAS</t>
        </is>
      </c>
      <c r="F1633" s="159">
        <f>IFERROR(INDEX('BASE METAS DIÁRIAS'!$N$2:$S$358,MATCH($A1633,'BASE METAS DIÁRIAS'!$A$2:$A$358,0),MOD(ROW()-2,6)+1),"")</f>
        <v/>
      </c>
      <c r="G1633" s="159">
        <f>IFERROR(IF(WEEKDAY($A1633,2)&lt;=INDEX('BASE METAS DIÁRIAS'!$H$2:$M$358,MATCH($A1633,'BASE METAS DIÁRIAS'!$A$2:$A$358,0),MOD(ROW()-2,6)+1),INDEX('BASE METAS DIÁRIAS'!$B$2:$G$358,MATCH($A1633,'BASE METAS DIÁRIAS'!$A$2:$A$358,0),MOD(ROW()-2,6)+1),""),"")</f>
        <v/>
      </c>
      <c r="H1633" s="159">
        <f>IFERROR(IF(INDEX('CONTROLE PRODUÇÃO POR EMPRESAS'!$B$6:$G$5000,MATCH($A1633,'CONTROLE PRODUÇÃO POR EMPRESAS'!$A$6:$A$5000,0),MOD(ROW()-2,6)+1)="","",IFERROR(1*INDEX('CONTROLE PRODUÇÃO POR EMPRESAS'!$B$6:$G$5000,MATCH($A1633,'CONTROLE PRODUÇÃO POR EMPRESAS'!$A$6:$A$5000,0),MOD(ROW()-2,6)+1),"")),"")</f>
        <v/>
      </c>
      <c r="I1633" s="159">
        <f>IF(OR(NOT(ISNUMBER(G1633)),NOT(ISNUMBER(H1633))),"",H1633-G1633)</f>
        <v/>
      </c>
      <c r="J1633" s="319">
        <f>IF(OR(NOT(ISNUMBER(G1633)),NOT(ISNUMBER(H1633)),G1633=0),"",I1633/G1633)</f>
        <v/>
      </c>
      <c r="K1633" s="319">
        <f>IF(OR(NOT(ISNUMBER(G1633)),NOT(ISNUMBER(H1633)),G1633=0),"",H1633/G1633)</f>
        <v/>
      </c>
      <c r="L1633">
        <f>IF(NOT(ISNUMBER(G1633)),"SEM META",IF(G1633=0,"SEM META",IF(NOT(ISNUMBER(H1633)),"SEM APONTAMENTO",IF(H1633&gt;=G1633,"VERDE",IF(H1633&gt;=G1633*0.9,"AMARELO","VERMELHO")))))</f>
        <v/>
      </c>
      <c r="M1633" s="162" t="n"/>
      <c r="N1633" s="162" t="n"/>
      <c r="O1633" s="162" t="n"/>
      <c r="P1633" s="162" t="n"/>
      <c r="Q1633" s="320" t="n"/>
      <c r="R1633" s="162" t="inlineStr">
        <is>
          <t>CONTROLE PRODUÇÃO POR EMPRESAS!G277</t>
        </is>
      </c>
    </row>
    <row r="1634" ht="28.5" customHeight="1">
      <c r="A1634" s="317" t="n">
        <v>46495</v>
      </c>
      <c r="B1634" t="inlineStr">
        <is>
          <t>GERAL</t>
        </is>
      </c>
      <c r="C1634" t="inlineStr">
        <is>
          <t>EJ</t>
        </is>
      </c>
      <c r="D1634" t="inlineStr">
        <is>
          <t>PREMONTAGEM</t>
        </is>
      </c>
      <c r="F1634" s="159">
        <f>IFERROR(INDEX('BASE METAS DIÁRIAS'!$N$2:$S$358,MATCH($A1634,'BASE METAS DIÁRIAS'!$A$2:$A$358,0),MOD(ROW()-2,6)+1),"")</f>
        <v/>
      </c>
      <c r="G1634" s="159">
        <f>IFERROR(IF(WEEKDAY($A1634,2)&lt;=INDEX('BASE METAS DIÁRIAS'!$H$2:$M$358,MATCH($A1634,'BASE METAS DIÁRIAS'!$A$2:$A$358,0),MOD(ROW()-2,6)+1),INDEX('BASE METAS DIÁRIAS'!$B$2:$G$358,MATCH($A1634,'BASE METAS DIÁRIAS'!$A$2:$A$358,0),MOD(ROW()-2,6)+1),""),"")</f>
        <v/>
      </c>
      <c r="H1634" s="159">
        <f>IFERROR(IF(INDEX('CONTROLE PRODUÇÃO POR EMPRESAS'!$B$6:$G$5000,MATCH($A1634,'CONTROLE PRODUÇÃO POR EMPRESAS'!$A$6:$A$5000,0),MOD(ROW()-2,6)+1)="","",IFERROR(1*INDEX('CONTROLE PRODUÇÃO POR EMPRESAS'!$B$6:$G$5000,MATCH($A1634,'CONTROLE PRODUÇÃO POR EMPRESAS'!$A$6:$A$5000,0),MOD(ROW()-2,6)+1),"")),"")</f>
        <v/>
      </c>
      <c r="I1634" s="159">
        <f>IF(OR(NOT(ISNUMBER(G1634)),NOT(ISNUMBER(H1634))),"",H1634-G1634)</f>
        <v/>
      </c>
      <c r="J1634" s="319">
        <f>IF(OR(NOT(ISNUMBER(G1634)),NOT(ISNUMBER(H1634)),G1634=0),"",I1634/G1634)</f>
        <v/>
      </c>
      <c r="K1634" s="319">
        <f>IF(OR(NOT(ISNUMBER(G1634)),NOT(ISNUMBER(H1634)),G1634=0),"",H1634/G1634)</f>
        <v/>
      </c>
      <c r="L1634">
        <f>IF(NOT(ISNUMBER(G1634)),"SEM META",IF(G1634=0,"SEM META",IF(NOT(ISNUMBER(H1634)),"SEM APONTAMENTO",IF(H1634&gt;=G1634,"VERDE",IF(H1634&gt;=G1634*0.9,"AMARELO","VERMELHO")))))</f>
        <v/>
      </c>
      <c r="M1634" s="162" t="n"/>
      <c r="N1634" s="162" t="n"/>
      <c r="O1634" s="162" t="n"/>
      <c r="P1634" s="162" t="n"/>
      <c r="Q1634" s="320" t="n"/>
      <c r="R1634" s="162" t="inlineStr">
        <is>
          <t>CONTROLE PRODUÇÃO POR EMPRESAS!B278</t>
        </is>
      </c>
    </row>
    <row r="1635" ht="28.5" customHeight="1">
      <c r="A1635" s="317" t="n">
        <v>46495</v>
      </c>
      <c r="B1635" t="inlineStr">
        <is>
          <t>GERAL</t>
        </is>
      </c>
      <c r="C1635" t="inlineStr">
        <is>
          <t>EJ</t>
        </is>
      </c>
      <c r="D1635" t="inlineStr">
        <is>
          <t>IÇAMENTO JOIST</t>
        </is>
      </c>
      <c r="F1635" s="159">
        <f>IFERROR(INDEX('BASE METAS DIÁRIAS'!$N$2:$S$358,MATCH($A1635,'BASE METAS DIÁRIAS'!$A$2:$A$358,0),MOD(ROW()-2,6)+1),"")</f>
        <v/>
      </c>
      <c r="G1635" s="159">
        <f>IFERROR(IF(WEEKDAY($A1635,2)&lt;=INDEX('BASE METAS DIÁRIAS'!$H$2:$M$358,MATCH($A1635,'BASE METAS DIÁRIAS'!$A$2:$A$358,0),MOD(ROW()-2,6)+1),INDEX('BASE METAS DIÁRIAS'!$B$2:$G$358,MATCH($A1635,'BASE METAS DIÁRIAS'!$A$2:$A$358,0),MOD(ROW()-2,6)+1),""),"")</f>
        <v/>
      </c>
      <c r="H1635" s="159">
        <f>IFERROR(IF(INDEX('CONTROLE PRODUÇÃO POR EMPRESAS'!$B$6:$G$5000,MATCH($A1635,'CONTROLE PRODUÇÃO POR EMPRESAS'!$A$6:$A$5000,0),MOD(ROW()-2,6)+1)="","",IFERROR(1*INDEX('CONTROLE PRODUÇÃO POR EMPRESAS'!$B$6:$G$5000,MATCH($A1635,'CONTROLE PRODUÇÃO POR EMPRESAS'!$A$6:$A$5000,0),MOD(ROW()-2,6)+1),"")),"")</f>
        <v/>
      </c>
      <c r="I1635" s="159">
        <f>IF(OR(NOT(ISNUMBER(G1635)),NOT(ISNUMBER(H1635))),"",H1635-G1635)</f>
        <v/>
      </c>
      <c r="J1635" s="319">
        <f>IF(OR(NOT(ISNUMBER(G1635)),NOT(ISNUMBER(H1635)),G1635=0),"",I1635/G1635)</f>
        <v/>
      </c>
      <c r="K1635" s="319">
        <f>IF(OR(NOT(ISNUMBER(G1635)),NOT(ISNUMBER(H1635)),G1635=0),"",H1635/G1635)</f>
        <v/>
      </c>
      <c r="L1635">
        <f>IF(NOT(ISNUMBER(G1635)),"SEM META",IF(G1635=0,"SEM META",IF(NOT(ISNUMBER(H1635)),"SEM APONTAMENTO",IF(H1635&gt;=G1635,"VERDE",IF(H1635&gt;=G1635*0.9,"AMARELO","VERMELHO")))))</f>
        <v/>
      </c>
      <c r="M1635" s="162" t="n"/>
      <c r="N1635" s="162" t="n"/>
      <c r="O1635" s="162" t="n"/>
      <c r="P1635" s="162" t="n"/>
      <c r="Q1635" s="320" t="n"/>
      <c r="R1635" s="162" t="inlineStr">
        <is>
          <t>CONTROLE PRODUÇÃO POR EMPRESAS!C278</t>
        </is>
      </c>
    </row>
    <row r="1636" ht="28.5" customHeight="1">
      <c r="A1636" s="317" t="n">
        <v>46495</v>
      </c>
      <c r="B1636" t="inlineStr">
        <is>
          <t>GERAL</t>
        </is>
      </c>
      <c r="C1636" t="inlineStr">
        <is>
          <t>EJ</t>
        </is>
      </c>
      <c r="D1636" t="inlineStr">
        <is>
          <t>VIGAS</t>
        </is>
      </c>
      <c r="F1636" s="159">
        <f>IFERROR(INDEX('BASE METAS DIÁRIAS'!$N$2:$S$358,MATCH($A1636,'BASE METAS DIÁRIAS'!$A$2:$A$358,0),MOD(ROW()-2,6)+1),"")</f>
        <v/>
      </c>
      <c r="G1636" s="159">
        <f>IFERROR(IF(WEEKDAY($A1636,2)&lt;=INDEX('BASE METAS DIÁRIAS'!$H$2:$M$358,MATCH($A1636,'BASE METAS DIÁRIAS'!$A$2:$A$358,0),MOD(ROW()-2,6)+1),INDEX('BASE METAS DIÁRIAS'!$B$2:$G$358,MATCH($A1636,'BASE METAS DIÁRIAS'!$A$2:$A$358,0),MOD(ROW()-2,6)+1),""),"")</f>
        <v/>
      </c>
      <c r="H1636" s="159">
        <f>IFERROR(IF(INDEX('CONTROLE PRODUÇÃO POR EMPRESAS'!$B$6:$G$5000,MATCH($A1636,'CONTROLE PRODUÇÃO POR EMPRESAS'!$A$6:$A$5000,0),MOD(ROW()-2,6)+1)="","",IFERROR(1*INDEX('CONTROLE PRODUÇÃO POR EMPRESAS'!$B$6:$G$5000,MATCH($A1636,'CONTROLE PRODUÇÃO POR EMPRESAS'!$A$6:$A$5000,0),MOD(ROW()-2,6)+1),"")),"")</f>
        <v/>
      </c>
      <c r="I1636" s="159">
        <f>IF(OR(NOT(ISNUMBER(G1636)),NOT(ISNUMBER(H1636))),"",H1636-G1636)</f>
        <v/>
      </c>
      <c r="J1636" s="319">
        <f>IF(OR(NOT(ISNUMBER(G1636)),NOT(ISNUMBER(H1636)),G1636=0),"",I1636/G1636)</f>
        <v/>
      </c>
      <c r="K1636" s="319">
        <f>IF(OR(NOT(ISNUMBER(G1636)),NOT(ISNUMBER(H1636)),G1636=0),"",H1636/G1636)</f>
        <v/>
      </c>
      <c r="L1636">
        <f>IF(NOT(ISNUMBER(G1636)),"SEM META",IF(G1636=0,"SEM META",IF(NOT(ISNUMBER(H1636)),"SEM APONTAMENTO",IF(H1636&gt;=G1636,"VERDE",IF(H1636&gt;=G1636*0.9,"AMARELO","VERMELHO")))))</f>
        <v/>
      </c>
      <c r="M1636" s="162" t="n"/>
      <c r="N1636" s="162" t="n"/>
      <c r="O1636" s="162" t="n"/>
      <c r="P1636" s="162" t="n"/>
      <c r="Q1636" s="320" t="n"/>
      <c r="R1636" s="162" t="inlineStr">
        <is>
          <t>CONTROLE PRODUÇÃO POR EMPRESAS!D278</t>
        </is>
      </c>
    </row>
    <row r="1637" ht="28.5" customHeight="1">
      <c r="A1637" s="317" t="n">
        <v>46495</v>
      </c>
      <c r="B1637" t="inlineStr">
        <is>
          <t>GERAL</t>
        </is>
      </c>
      <c r="C1637" t="inlineStr">
        <is>
          <t>CMM</t>
        </is>
      </c>
      <c r="D1637" t="inlineStr">
        <is>
          <t>PREMONTAGEM</t>
        </is>
      </c>
      <c r="F1637" s="159">
        <f>IFERROR(INDEX('BASE METAS DIÁRIAS'!$N$2:$S$358,MATCH($A1637,'BASE METAS DIÁRIAS'!$A$2:$A$358,0),MOD(ROW()-2,6)+1),"")</f>
        <v/>
      </c>
      <c r="G1637" s="159">
        <f>IFERROR(IF(WEEKDAY($A1637,2)&lt;=INDEX('BASE METAS DIÁRIAS'!$H$2:$M$358,MATCH($A1637,'BASE METAS DIÁRIAS'!$A$2:$A$358,0),MOD(ROW()-2,6)+1),INDEX('BASE METAS DIÁRIAS'!$B$2:$G$358,MATCH($A1637,'BASE METAS DIÁRIAS'!$A$2:$A$358,0),MOD(ROW()-2,6)+1),""),"")</f>
        <v/>
      </c>
      <c r="H1637" s="159">
        <f>IFERROR(IF(INDEX('CONTROLE PRODUÇÃO POR EMPRESAS'!$B$6:$G$5000,MATCH($A1637,'CONTROLE PRODUÇÃO POR EMPRESAS'!$A$6:$A$5000,0),MOD(ROW()-2,6)+1)="","",IFERROR(1*INDEX('CONTROLE PRODUÇÃO POR EMPRESAS'!$B$6:$G$5000,MATCH($A1637,'CONTROLE PRODUÇÃO POR EMPRESAS'!$A$6:$A$5000,0),MOD(ROW()-2,6)+1),"")),"")</f>
        <v/>
      </c>
      <c r="I1637" s="159">
        <f>IF(OR(NOT(ISNUMBER(G1637)),NOT(ISNUMBER(H1637))),"",H1637-G1637)</f>
        <v/>
      </c>
      <c r="J1637" s="319">
        <f>IF(OR(NOT(ISNUMBER(G1637)),NOT(ISNUMBER(H1637)),G1637=0),"",I1637/G1637)</f>
        <v/>
      </c>
      <c r="K1637" s="319">
        <f>IF(OR(NOT(ISNUMBER(G1637)),NOT(ISNUMBER(H1637)),G1637=0),"",H1637/G1637)</f>
        <v/>
      </c>
      <c r="L1637">
        <f>IF(NOT(ISNUMBER(G1637)),"SEM META",IF(G1637=0,"SEM META",IF(NOT(ISNUMBER(H1637)),"SEM APONTAMENTO",IF(H1637&gt;=G1637,"VERDE",IF(H1637&gt;=G1637*0.9,"AMARELO","VERMELHO")))))</f>
        <v/>
      </c>
      <c r="M1637" s="162" t="n"/>
      <c r="N1637" s="162" t="n"/>
      <c r="O1637" s="162" t="n"/>
      <c r="P1637" s="162" t="n"/>
      <c r="Q1637" s="320" t="n"/>
      <c r="R1637" s="162" t="inlineStr">
        <is>
          <t>CONTROLE PRODUÇÃO POR EMPRESAS!E278</t>
        </is>
      </c>
    </row>
    <row r="1638" ht="28.5" customHeight="1">
      <c r="A1638" s="317" t="n">
        <v>46495</v>
      </c>
      <c r="B1638" t="inlineStr">
        <is>
          <t>GERAL</t>
        </is>
      </c>
      <c r="C1638" t="inlineStr">
        <is>
          <t>CMM</t>
        </is>
      </c>
      <c r="D1638" t="inlineStr">
        <is>
          <t>IÇAMENTO JOIST</t>
        </is>
      </c>
      <c r="F1638" s="159">
        <f>IFERROR(INDEX('BASE METAS DIÁRIAS'!$N$2:$S$358,MATCH($A1638,'BASE METAS DIÁRIAS'!$A$2:$A$358,0),MOD(ROW()-2,6)+1),"")</f>
        <v/>
      </c>
      <c r="G1638" s="159">
        <f>IFERROR(IF(WEEKDAY($A1638,2)&lt;=INDEX('BASE METAS DIÁRIAS'!$H$2:$M$358,MATCH($A1638,'BASE METAS DIÁRIAS'!$A$2:$A$358,0),MOD(ROW()-2,6)+1),INDEX('BASE METAS DIÁRIAS'!$B$2:$G$358,MATCH($A1638,'BASE METAS DIÁRIAS'!$A$2:$A$358,0),MOD(ROW()-2,6)+1),""),"")</f>
        <v/>
      </c>
      <c r="H1638" s="159">
        <f>IFERROR(IF(INDEX('CONTROLE PRODUÇÃO POR EMPRESAS'!$B$6:$G$5000,MATCH($A1638,'CONTROLE PRODUÇÃO POR EMPRESAS'!$A$6:$A$5000,0),MOD(ROW()-2,6)+1)="","",IFERROR(1*INDEX('CONTROLE PRODUÇÃO POR EMPRESAS'!$B$6:$G$5000,MATCH($A1638,'CONTROLE PRODUÇÃO POR EMPRESAS'!$A$6:$A$5000,0),MOD(ROW()-2,6)+1),"")),"")</f>
        <v/>
      </c>
      <c r="I1638" s="159">
        <f>IF(OR(NOT(ISNUMBER(G1638)),NOT(ISNUMBER(H1638))),"",H1638-G1638)</f>
        <v/>
      </c>
      <c r="J1638" s="319">
        <f>IF(OR(NOT(ISNUMBER(G1638)),NOT(ISNUMBER(H1638)),G1638=0),"",I1638/G1638)</f>
        <v/>
      </c>
      <c r="K1638" s="319">
        <f>IF(OR(NOT(ISNUMBER(G1638)),NOT(ISNUMBER(H1638)),G1638=0),"",H1638/G1638)</f>
        <v/>
      </c>
      <c r="L1638">
        <f>IF(NOT(ISNUMBER(G1638)),"SEM META",IF(G1638=0,"SEM META",IF(NOT(ISNUMBER(H1638)),"SEM APONTAMENTO",IF(H1638&gt;=G1638,"VERDE",IF(H1638&gt;=G1638*0.9,"AMARELO","VERMELHO")))))</f>
        <v/>
      </c>
      <c r="M1638" s="162" t="n"/>
      <c r="N1638" s="162" t="n"/>
      <c r="O1638" s="162" t="n"/>
      <c r="P1638" s="162" t="n"/>
      <c r="Q1638" s="320" t="n"/>
      <c r="R1638" s="162" t="inlineStr">
        <is>
          <t>CONTROLE PRODUÇÃO POR EMPRESAS!F278</t>
        </is>
      </c>
    </row>
    <row r="1639" ht="28.5" customHeight="1">
      <c r="A1639" s="317" t="n">
        <v>46495</v>
      </c>
      <c r="B1639" t="inlineStr">
        <is>
          <t>GERAL</t>
        </is>
      </c>
      <c r="C1639" t="inlineStr">
        <is>
          <t>CMM</t>
        </is>
      </c>
      <c r="D1639" t="inlineStr">
        <is>
          <t>VIGAS</t>
        </is>
      </c>
      <c r="F1639" s="159">
        <f>IFERROR(INDEX('BASE METAS DIÁRIAS'!$N$2:$S$358,MATCH($A1639,'BASE METAS DIÁRIAS'!$A$2:$A$358,0),MOD(ROW()-2,6)+1),"")</f>
        <v/>
      </c>
      <c r="G1639" s="159">
        <f>IFERROR(IF(WEEKDAY($A1639,2)&lt;=INDEX('BASE METAS DIÁRIAS'!$H$2:$M$358,MATCH($A1639,'BASE METAS DIÁRIAS'!$A$2:$A$358,0),MOD(ROW()-2,6)+1),INDEX('BASE METAS DIÁRIAS'!$B$2:$G$358,MATCH($A1639,'BASE METAS DIÁRIAS'!$A$2:$A$358,0),MOD(ROW()-2,6)+1),""),"")</f>
        <v/>
      </c>
      <c r="H1639" s="159">
        <f>IFERROR(IF(INDEX('CONTROLE PRODUÇÃO POR EMPRESAS'!$B$6:$G$5000,MATCH($A1639,'CONTROLE PRODUÇÃO POR EMPRESAS'!$A$6:$A$5000,0),MOD(ROW()-2,6)+1)="","",IFERROR(1*INDEX('CONTROLE PRODUÇÃO POR EMPRESAS'!$B$6:$G$5000,MATCH($A1639,'CONTROLE PRODUÇÃO POR EMPRESAS'!$A$6:$A$5000,0),MOD(ROW()-2,6)+1),"")),"")</f>
        <v/>
      </c>
      <c r="I1639" s="159">
        <f>IF(OR(NOT(ISNUMBER(G1639)),NOT(ISNUMBER(H1639))),"",H1639-G1639)</f>
        <v/>
      </c>
      <c r="J1639" s="319">
        <f>IF(OR(NOT(ISNUMBER(G1639)),NOT(ISNUMBER(H1639)),G1639=0),"",I1639/G1639)</f>
        <v/>
      </c>
      <c r="K1639" s="319">
        <f>IF(OR(NOT(ISNUMBER(G1639)),NOT(ISNUMBER(H1639)),G1639=0),"",H1639/G1639)</f>
        <v/>
      </c>
      <c r="L1639">
        <f>IF(NOT(ISNUMBER(G1639)),"SEM META",IF(G1639=0,"SEM META",IF(NOT(ISNUMBER(H1639)),"SEM APONTAMENTO",IF(H1639&gt;=G1639,"VERDE",IF(H1639&gt;=G1639*0.9,"AMARELO","VERMELHO")))))</f>
        <v/>
      </c>
      <c r="M1639" s="162" t="n"/>
      <c r="N1639" s="162" t="n"/>
      <c r="O1639" s="162" t="n"/>
      <c r="P1639" s="162" t="n"/>
      <c r="Q1639" s="320" t="n"/>
      <c r="R1639" s="162" t="inlineStr">
        <is>
          <t>CONTROLE PRODUÇÃO POR EMPRESAS!G278</t>
        </is>
      </c>
    </row>
    <row r="1640" ht="28.5" customHeight="1">
      <c r="A1640" s="317" t="n">
        <v>46496</v>
      </c>
      <c r="B1640" t="inlineStr">
        <is>
          <t>GERAL</t>
        </is>
      </c>
      <c r="C1640" t="inlineStr">
        <is>
          <t>EJ</t>
        </is>
      </c>
      <c r="D1640" t="inlineStr">
        <is>
          <t>PREMONTAGEM</t>
        </is>
      </c>
      <c r="F1640" s="159">
        <f>IFERROR(INDEX('BASE METAS DIÁRIAS'!$N$2:$S$358,MATCH($A1640,'BASE METAS DIÁRIAS'!$A$2:$A$358,0),MOD(ROW()-2,6)+1),"")</f>
        <v/>
      </c>
      <c r="G1640" s="159">
        <f>IFERROR(IF(WEEKDAY($A1640,2)&lt;=INDEX('BASE METAS DIÁRIAS'!$H$2:$M$358,MATCH($A1640,'BASE METAS DIÁRIAS'!$A$2:$A$358,0),MOD(ROW()-2,6)+1),INDEX('BASE METAS DIÁRIAS'!$B$2:$G$358,MATCH($A1640,'BASE METAS DIÁRIAS'!$A$2:$A$358,0),MOD(ROW()-2,6)+1),""),"")</f>
        <v/>
      </c>
      <c r="H1640" s="159">
        <f>IFERROR(IF(INDEX('CONTROLE PRODUÇÃO POR EMPRESAS'!$B$6:$G$5000,MATCH($A1640,'CONTROLE PRODUÇÃO POR EMPRESAS'!$A$6:$A$5000,0),MOD(ROW()-2,6)+1)="","",IFERROR(1*INDEX('CONTROLE PRODUÇÃO POR EMPRESAS'!$B$6:$G$5000,MATCH($A1640,'CONTROLE PRODUÇÃO POR EMPRESAS'!$A$6:$A$5000,0),MOD(ROW()-2,6)+1),"")),"")</f>
        <v/>
      </c>
      <c r="I1640" s="159">
        <f>IF(OR(NOT(ISNUMBER(G1640)),NOT(ISNUMBER(H1640))),"",H1640-G1640)</f>
        <v/>
      </c>
      <c r="J1640" s="319">
        <f>IF(OR(NOT(ISNUMBER(G1640)),NOT(ISNUMBER(H1640)),G1640=0),"",I1640/G1640)</f>
        <v/>
      </c>
      <c r="K1640" s="319">
        <f>IF(OR(NOT(ISNUMBER(G1640)),NOT(ISNUMBER(H1640)),G1640=0),"",H1640/G1640)</f>
        <v/>
      </c>
      <c r="L1640">
        <f>IF(NOT(ISNUMBER(G1640)),"SEM META",IF(G1640=0,"SEM META",IF(NOT(ISNUMBER(H1640)),"SEM APONTAMENTO",IF(H1640&gt;=G1640,"VERDE",IF(H1640&gt;=G1640*0.9,"AMARELO","VERMELHO")))))</f>
        <v/>
      </c>
      <c r="M1640" s="162" t="n"/>
      <c r="N1640" s="162" t="n"/>
      <c r="O1640" s="162" t="n"/>
      <c r="P1640" s="162" t="n"/>
      <c r="Q1640" s="320" t="n"/>
      <c r="R1640" s="162" t="inlineStr">
        <is>
          <t>CONTROLE PRODUÇÃO POR EMPRESAS!B279</t>
        </is>
      </c>
    </row>
    <row r="1641" ht="28.5" customHeight="1">
      <c r="A1641" s="317" t="n">
        <v>46496</v>
      </c>
      <c r="B1641" t="inlineStr">
        <is>
          <t>GERAL</t>
        </is>
      </c>
      <c r="C1641" t="inlineStr">
        <is>
          <t>EJ</t>
        </is>
      </c>
      <c r="D1641" t="inlineStr">
        <is>
          <t>IÇAMENTO JOIST</t>
        </is>
      </c>
      <c r="F1641" s="159">
        <f>IFERROR(INDEX('BASE METAS DIÁRIAS'!$N$2:$S$358,MATCH($A1641,'BASE METAS DIÁRIAS'!$A$2:$A$358,0),MOD(ROW()-2,6)+1),"")</f>
        <v/>
      </c>
      <c r="G1641" s="159">
        <f>IFERROR(IF(WEEKDAY($A1641,2)&lt;=INDEX('BASE METAS DIÁRIAS'!$H$2:$M$358,MATCH($A1641,'BASE METAS DIÁRIAS'!$A$2:$A$358,0),MOD(ROW()-2,6)+1),INDEX('BASE METAS DIÁRIAS'!$B$2:$G$358,MATCH($A1641,'BASE METAS DIÁRIAS'!$A$2:$A$358,0),MOD(ROW()-2,6)+1),""),"")</f>
        <v/>
      </c>
      <c r="H1641" s="159">
        <f>IFERROR(IF(INDEX('CONTROLE PRODUÇÃO POR EMPRESAS'!$B$6:$G$5000,MATCH($A1641,'CONTROLE PRODUÇÃO POR EMPRESAS'!$A$6:$A$5000,0),MOD(ROW()-2,6)+1)="","",IFERROR(1*INDEX('CONTROLE PRODUÇÃO POR EMPRESAS'!$B$6:$G$5000,MATCH($A1641,'CONTROLE PRODUÇÃO POR EMPRESAS'!$A$6:$A$5000,0),MOD(ROW()-2,6)+1),"")),"")</f>
        <v/>
      </c>
      <c r="I1641" s="159">
        <f>IF(OR(NOT(ISNUMBER(G1641)),NOT(ISNUMBER(H1641))),"",H1641-G1641)</f>
        <v/>
      </c>
      <c r="J1641" s="319">
        <f>IF(OR(NOT(ISNUMBER(G1641)),NOT(ISNUMBER(H1641)),G1641=0),"",I1641/G1641)</f>
        <v/>
      </c>
      <c r="K1641" s="319">
        <f>IF(OR(NOT(ISNUMBER(G1641)),NOT(ISNUMBER(H1641)),G1641=0),"",H1641/G1641)</f>
        <v/>
      </c>
      <c r="L1641">
        <f>IF(NOT(ISNUMBER(G1641)),"SEM META",IF(G1641=0,"SEM META",IF(NOT(ISNUMBER(H1641)),"SEM APONTAMENTO",IF(H1641&gt;=G1641,"VERDE",IF(H1641&gt;=G1641*0.9,"AMARELO","VERMELHO")))))</f>
        <v/>
      </c>
      <c r="M1641" s="162" t="n"/>
      <c r="N1641" s="162" t="n"/>
      <c r="O1641" s="162" t="n"/>
      <c r="P1641" s="162" t="n"/>
      <c r="Q1641" s="320" t="n"/>
      <c r="R1641" s="162" t="inlineStr">
        <is>
          <t>CONTROLE PRODUÇÃO POR EMPRESAS!C279</t>
        </is>
      </c>
    </row>
    <row r="1642" ht="28.5" customHeight="1">
      <c r="A1642" s="317" t="n">
        <v>46496</v>
      </c>
      <c r="B1642" t="inlineStr">
        <is>
          <t>GERAL</t>
        </is>
      </c>
      <c r="C1642" t="inlineStr">
        <is>
          <t>EJ</t>
        </is>
      </c>
      <c r="D1642" t="inlineStr">
        <is>
          <t>VIGAS</t>
        </is>
      </c>
      <c r="F1642" s="159">
        <f>IFERROR(INDEX('BASE METAS DIÁRIAS'!$N$2:$S$358,MATCH($A1642,'BASE METAS DIÁRIAS'!$A$2:$A$358,0),MOD(ROW()-2,6)+1),"")</f>
        <v/>
      </c>
      <c r="G1642" s="159">
        <f>IFERROR(IF(WEEKDAY($A1642,2)&lt;=INDEX('BASE METAS DIÁRIAS'!$H$2:$M$358,MATCH($A1642,'BASE METAS DIÁRIAS'!$A$2:$A$358,0),MOD(ROW()-2,6)+1),INDEX('BASE METAS DIÁRIAS'!$B$2:$G$358,MATCH($A1642,'BASE METAS DIÁRIAS'!$A$2:$A$358,0),MOD(ROW()-2,6)+1),""),"")</f>
        <v/>
      </c>
      <c r="H1642" s="159">
        <f>IFERROR(IF(INDEX('CONTROLE PRODUÇÃO POR EMPRESAS'!$B$6:$G$5000,MATCH($A1642,'CONTROLE PRODUÇÃO POR EMPRESAS'!$A$6:$A$5000,0),MOD(ROW()-2,6)+1)="","",IFERROR(1*INDEX('CONTROLE PRODUÇÃO POR EMPRESAS'!$B$6:$G$5000,MATCH($A1642,'CONTROLE PRODUÇÃO POR EMPRESAS'!$A$6:$A$5000,0),MOD(ROW()-2,6)+1),"")),"")</f>
        <v/>
      </c>
      <c r="I1642" s="159">
        <f>IF(OR(NOT(ISNUMBER(G1642)),NOT(ISNUMBER(H1642))),"",H1642-G1642)</f>
        <v/>
      </c>
      <c r="J1642" s="319">
        <f>IF(OR(NOT(ISNUMBER(G1642)),NOT(ISNUMBER(H1642)),G1642=0),"",I1642/G1642)</f>
        <v/>
      </c>
      <c r="K1642" s="319">
        <f>IF(OR(NOT(ISNUMBER(G1642)),NOT(ISNUMBER(H1642)),G1642=0),"",H1642/G1642)</f>
        <v/>
      </c>
      <c r="L1642">
        <f>IF(NOT(ISNUMBER(G1642)),"SEM META",IF(G1642=0,"SEM META",IF(NOT(ISNUMBER(H1642)),"SEM APONTAMENTO",IF(H1642&gt;=G1642,"VERDE",IF(H1642&gt;=G1642*0.9,"AMARELO","VERMELHO")))))</f>
        <v/>
      </c>
      <c r="M1642" s="162" t="n"/>
      <c r="N1642" s="162" t="n"/>
      <c r="O1642" s="162" t="n"/>
      <c r="P1642" s="162" t="n"/>
      <c r="Q1642" s="320" t="n"/>
      <c r="R1642" s="162" t="inlineStr">
        <is>
          <t>CONTROLE PRODUÇÃO POR EMPRESAS!D279</t>
        </is>
      </c>
    </row>
    <row r="1643" ht="28.5" customHeight="1">
      <c r="A1643" s="317" t="n">
        <v>46496</v>
      </c>
      <c r="B1643" t="inlineStr">
        <is>
          <t>GERAL</t>
        </is>
      </c>
      <c r="C1643" t="inlineStr">
        <is>
          <t>CMM</t>
        </is>
      </c>
      <c r="D1643" t="inlineStr">
        <is>
          <t>PREMONTAGEM</t>
        </is>
      </c>
      <c r="F1643" s="159">
        <f>IFERROR(INDEX('BASE METAS DIÁRIAS'!$N$2:$S$358,MATCH($A1643,'BASE METAS DIÁRIAS'!$A$2:$A$358,0),MOD(ROW()-2,6)+1),"")</f>
        <v/>
      </c>
      <c r="G1643" s="159">
        <f>IFERROR(IF(WEEKDAY($A1643,2)&lt;=INDEX('BASE METAS DIÁRIAS'!$H$2:$M$358,MATCH($A1643,'BASE METAS DIÁRIAS'!$A$2:$A$358,0),MOD(ROW()-2,6)+1),INDEX('BASE METAS DIÁRIAS'!$B$2:$G$358,MATCH($A1643,'BASE METAS DIÁRIAS'!$A$2:$A$358,0),MOD(ROW()-2,6)+1),""),"")</f>
        <v/>
      </c>
      <c r="H1643" s="159">
        <f>IFERROR(IF(INDEX('CONTROLE PRODUÇÃO POR EMPRESAS'!$B$6:$G$5000,MATCH($A1643,'CONTROLE PRODUÇÃO POR EMPRESAS'!$A$6:$A$5000,0),MOD(ROW()-2,6)+1)="","",IFERROR(1*INDEX('CONTROLE PRODUÇÃO POR EMPRESAS'!$B$6:$G$5000,MATCH($A1643,'CONTROLE PRODUÇÃO POR EMPRESAS'!$A$6:$A$5000,0),MOD(ROW()-2,6)+1),"")),"")</f>
        <v/>
      </c>
      <c r="I1643" s="159">
        <f>IF(OR(NOT(ISNUMBER(G1643)),NOT(ISNUMBER(H1643))),"",H1643-G1643)</f>
        <v/>
      </c>
      <c r="J1643" s="319">
        <f>IF(OR(NOT(ISNUMBER(G1643)),NOT(ISNUMBER(H1643)),G1643=0),"",I1643/G1643)</f>
        <v/>
      </c>
      <c r="K1643" s="319">
        <f>IF(OR(NOT(ISNUMBER(G1643)),NOT(ISNUMBER(H1643)),G1643=0),"",H1643/G1643)</f>
        <v/>
      </c>
      <c r="L1643">
        <f>IF(NOT(ISNUMBER(G1643)),"SEM META",IF(G1643=0,"SEM META",IF(NOT(ISNUMBER(H1643)),"SEM APONTAMENTO",IF(H1643&gt;=G1643,"VERDE",IF(H1643&gt;=G1643*0.9,"AMARELO","VERMELHO")))))</f>
        <v/>
      </c>
      <c r="M1643" s="162" t="n"/>
      <c r="N1643" s="162" t="n"/>
      <c r="O1643" s="162" t="n"/>
      <c r="P1643" s="162" t="n"/>
      <c r="Q1643" s="320" t="n"/>
      <c r="R1643" s="162" t="inlineStr">
        <is>
          <t>CONTROLE PRODUÇÃO POR EMPRESAS!E279</t>
        </is>
      </c>
    </row>
    <row r="1644" ht="28.5" customHeight="1">
      <c r="A1644" s="317" t="n">
        <v>46496</v>
      </c>
      <c r="B1644" t="inlineStr">
        <is>
          <t>GERAL</t>
        </is>
      </c>
      <c r="C1644" t="inlineStr">
        <is>
          <t>CMM</t>
        </is>
      </c>
      <c r="D1644" t="inlineStr">
        <is>
          <t>IÇAMENTO JOIST</t>
        </is>
      </c>
      <c r="F1644" s="159">
        <f>IFERROR(INDEX('BASE METAS DIÁRIAS'!$N$2:$S$358,MATCH($A1644,'BASE METAS DIÁRIAS'!$A$2:$A$358,0),MOD(ROW()-2,6)+1),"")</f>
        <v/>
      </c>
      <c r="G1644" s="159">
        <f>IFERROR(IF(WEEKDAY($A1644,2)&lt;=INDEX('BASE METAS DIÁRIAS'!$H$2:$M$358,MATCH($A1644,'BASE METAS DIÁRIAS'!$A$2:$A$358,0),MOD(ROW()-2,6)+1),INDEX('BASE METAS DIÁRIAS'!$B$2:$G$358,MATCH($A1644,'BASE METAS DIÁRIAS'!$A$2:$A$358,0),MOD(ROW()-2,6)+1),""),"")</f>
        <v/>
      </c>
      <c r="H1644" s="159">
        <f>IFERROR(IF(INDEX('CONTROLE PRODUÇÃO POR EMPRESAS'!$B$6:$G$5000,MATCH($A1644,'CONTROLE PRODUÇÃO POR EMPRESAS'!$A$6:$A$5000,0),MOD(ROW()-2,6)+1)="","",IFERROR(1*INDEX('CONTROLE PRODUÇÃO POR EMPRESAS'!$B$6:$G$5000,MATCH($A1644,'CONTROLE PRODUÇÃO POR EMPRESAS'!$A$6:$A$5000,0),MOD(ROW()-2,6)+1),"")),"")</f>
        <v/>
      </c>
      <c r="I1644" s="159">
        <f>IF(OR(NOT(ISNUMBER(G1644)),NOT(ISNUMBER(H1644))),"",H1644-G1644)</f>
        <v/>
      </c>
      <c r="J1644" s="319">
        <f>IF(OR(NOT(ISNUMBER(G1644)),NOT(ISNUMBER(H1644)),G1644=0),"",I1644/G1644)</f>
        <v/>
      </c>
      <c r="K1644" s="319">
        <f>IF(OR(NOT(ISNUMBER(G1644)),NOT(ISNUMBER(H1644)),G1644=0),"",H1644/G1644)</f>
        <v/>
      </c>
      <c r="L1644">
        <f>IF(NOT(ISNUMBER(G1644)),"SEM META",IF(G1644=0,"SEM META",IF(NOT(ISNUMBER(H1644)),"SEM APONTAMENTO",IF(H1644&gt;=G1644,"VERDE",IF(H1644&gt;=G1644*0.9,"AMARELO","VERMELHO")))))</f>
        <v/>
      </c>
      <c r="M1644" s="162" t="n"/>
      <c r="N1644" s="162" t="n"/>
      <c r="O1644" s="162" t="n"/>
      <c r="P1644" s="162" t="n"/>
      <c r="Q1644" s="320" t="n"/>
      <c r="R1644" s="162" t="inlineStr">
        <is>
          <t>CONTROLE PRODUÇÃO POR EMPRESAS!F279</t>
        </is>
      </c>
    </row>
    <row r="1645" ht="28.5" customHeight="1">
      <c r="A1645" s="317" t="n">
        <v>46496</v>
      </c>
      <c r="B1645" t="inlineStr">
        <is>
          <t>GERAL</t>
        </is>
      </c>
      <c r="C1645" t="inlineStr">
        <is>
          <t>CMM</t>
        </is>
      </c>
      <c r="D1645" t="inlineStr">
        <is>
          <t>VIGAS</t>
        </is>
      </c>
      <c r="F1645" s="159">
        <f>IFERROR(INDEX('BASE METAS DIÁRIAS'!$N$2:$S$358,MATCH($A1645,'BASE METAS DIÁRIAS'!$A$2:$A$358,0),MOD(ROW()-2,6)+1),"")</f>
        <v/>
      </c>
      <c r="G1645" s="159">
        <f>IFERROR(IF(WEEKDAY($A1645,2)&lt;=INDEX('BASE METAS DIÁRIAS'!$H$2:$M$358,MATCH($A1645,'BASE METAS DIÁRIAS'!$A$2:$A$358,0),MOD(ROW()-2,6)+1),INDEX('BASE METAS DIÁRIAS'!$B$2:$G$358,MATCH($A1645,'BASE METAS DIÁRIAS'!$A$2:$A$358,0),MOD(ROW()-2,6)+1),""),"")</f>
        <v/>
      </c>
      <c r="H1645" s="159">
        <f>IFERROR(IF(INDEX('CONTROLE PRODUÇÃO POR EMPRESAS'!$B$6:$G$5000,MATCH($A1645,'CONTROLE PRODUÇÃO POR EMPRESAS'!$A$6:$A$5000,0),MOD(ROW()-2,6)+1)="","",IFERROR(1*INDEX('CONTROLE PRODUÇÃO POR EMPRESAS'!$B$6:$G$5000,MATCH($A1645,'CONTROLE PRODUÇÃO POR EMPRESAS'!$A$6:$A$5000,0),MOD(ROW()-2,6)+1),"")),"")</f>
        <v/>
      </c>
      <c r="I1645" s="159">
        <f>IF(OR(NOT(ISNUMBER(G1645)),NOT(ISNUMBER(H1645))),"",H1645-G1645)</f>
        <v/>
      </c>
      <c r="J1645" s="319">
        <f>IF(OR(NOT(ISNUMBER(G1645)),NOT(ISNUMBER(H1645)),G1645=0),"",I1645/G1645)</f>
        <v/>
      </c>
      <c r="K1645" s="319">
        <f>IF(OR(NOT(ISNUMBER(G1645)),NOT(ISNUMBER(H1645)),G1645=0),"",H1645/G1645)</f>
        <v/>
      </c>
      <c r="L1645">
        <f>IF(NOT(ISNUMBER(G1645)),"SEM META",IF(G1645=0,"SEM META",IF(NOT(ISNUMBER(H1645)),"SEM APONTAMENTO",IF(H1645&gt;=G1645,"VERDE",IF(H1645&gt;=G1645*0.9,"AMARELO","VERMELHO")))))</f>
        <v/>
      </c>
      <c r="M1645" s="162" t="n"/>
      <c r="N1645" s="162" t="n"/>
      <c r="O1645" s="162" t="n"/>
      <c r="P1645" s="162" t="n"/>
      <c r="Q1645" s="320" t="n"/>
      <c r="R1645" s="162" t="inlineStr">
        <is>
          <t>CONTROLE PRODUÇÃO POR EMPRESAS!G279</t>
        </is>
      </c>
    </row>
    <row r="1646" ht="28.5" customHeight="1">
      <c r="A1646" s="317" t="n">
        <v>46497</v>
      </c>
      <c r="B1646" t="inlineStr">
        <is>
          <t>GERAL</t>
        </is>
      </c>
      <c r="C1646" t="inlineStr">
        <is>
          <t>EJ</t>
        </is>
      </c>
      <c r="D1646" t="inlineStr">
        <is>
          <t>PREMONTAGEM</t>
        </is>
      </c>
      <c r="F1646" s="159">
        <f>IFERROR(INDEX('BASE METAS DIÁRIAS'!$N$2:$S$358,MATCH($A1646,'BASE METAS DIÁRIAS'!$A$2:$A$358,0),MOD(ROW()-2,6)+1),"")</f>
        <v/>
      </c>
      <c r="G1646" s="159">
        <f>IFERROR(IF(WEEKDAY($A1646,2)&lt;=INDEX('BASE METAS DIÁRIAS'!$H$2:$M$358,MATCH($A1646,'BASE METAS DIÁRIAS'!$A$2:$A$358,0),MOD(ROW()-2,6)+1),INDEX('BASE METAS DIÁRIAS'!$B$2:$G$358,MATCH($A1646,'BASE METAS DIÁRIAS'!$A$2:$A$358,0),MOD(ROW()-2,6)+1),""),"")</f>
        <v/>
      </c>
      <c r="H1646" s="159">
        <f>IFERROR(IF(INDEX('CONTROLE PRODUÇÃO POR EMPRESAS'!$B$6:$G$5000,MATCH($A1646,'CONTROLE PRODUÇÃO POR EMPRESAS'!$A$6:$A$5000,0),MOD(ROW()-2,6)+1)="","",IFERROR(1*INDEX('CONTROLE PRODUÇÃO POR EMPRESAS'!$B$6:$G$5000,MATCH($A1646,'CONTROLE PRODUÇÃO POR EMPRESAS'!$A$6:$A$5000,0),MOD(ROW()-2,6)+1),"")),"")</f>
        <v/>
      </c>
      <c r="I1646" s="159">
        <f>IF(OR(NOT(ISNUMBER(G1646)),NOT(ISNUMBER(H1646))),"",H1646-G1646)</f>
        <v/>
      </c>
      <c r="J1646" s="319">
        <f>IF(OR(NOT(ISNUMBER(G1646)),NOT(ISNUMBER(H1646)),G1646=0),"",I1646/G1646)</f>
        <v/>
      </c>
      <c r="K1646" s="319">
        <f>IF(OR(NOT(ISNUMBER(G1646)),NOT(ISNUMBER(H1646)),G1646=0),"",H1646/G1646)</f>
        <v/>
      </c>
      <c r="L1646">
        <f>IF(NOT(ISNUMBER(G1646)),"SEM META",IF(G1646=0,"SEM META",IF(NOT(ISNUMBER(H1646)),"SEM APONTAMENTO",IF(H1646&gt;=G1646,"VERDE",IF(H1646&gt;=G1646*0.9,"AMARELO","VERMELHO")))))</f>
        <v/>
      </c>
      <c r="M1646" s="162" t="n"/>
      <c r="N1646" s="162" t="n"/>
      <c r="O1646" s="162" t="n"/>
      <c r="P1646" s="162" t="n"/>
      <c r="Q1646" s="320" t="n"/>
      <c r="R1646" s="162" t="inlineStr">
        <is>
          <t>CONTROLE PRODUÇÃO POR EMPRESAS!B280</t>
        </is>
      </c>
    </row>
    <row r="1647" ht="28.5" customHeight="1">
      <c r="A1647" s="317" t="n">
        <v>46497</v>
      </c>
      <c r="B1647" t="inlineStr">
        <is>
          <t>GERAL</t>
        </is>
      </c>
      <c r="C1647" t="inlineStr">
        <is>
          <t>EJ</t>
        </is>
      </c>
      <c r="D1647" t="inlineStr">
        <is>
          <t>IÇAMENTO JOIST</t>
        </is>
      </c>
      <c r="F1647" s="159">
        <f>IFERROR(INDEX('BASE METAS DIÁRIAS'!$N$2:$S$358,MATCH($A1647,'BASE METAS DIÁRIAS'!$A$2:$A$358,0),MOD(ROW()-2,6)+1),"")</f>
        <v/>
      </c>
      <c r="G1647" s="159">
        <f>IFERROR(IF(WEEKDAY($A1647,2)&lt;=INDEX('BASE METAS DIÁRIAS'!$H$2:$M$358,MATCH($A1647,'BASE METAS DIÁRIAS'!$A$2:$A$358,0),MOD(ROW()-2,6)+1),INDEX('BASE METAS DIÁRIAS'!$B$2:$G$358,MATCH($A1647,'BASE METAS DIÁRIAS'!$A$2:$A$358,0),MOD(ROW()-2,6)+1),""),"")</f>
        <v/>
      </c>
      <c r="H1647" s="159">
        <f>IFERROR(IF(INDEX('CONTROLE PRODUÇÃO POR EMPRESAS'!$B$6:$G$5000,MATCH($A1647,'CONTROLE PRODUÇÃO POR EMPRESAS'!$A$6:$A$5000,0),MOD(ROW()-2,6)+1)="","",IFERROR(1*INDEX('CONTROLE PRODUÇÃO POR EMPRESAS'!$B$6:$G$5000,MATCH($A1647,'CONTROLE PRODUÇÃO POR EMPRESAS'!$A$6:$A$5000,0),MOD(ROW()-2,6)+1),"")),"")</f>
        <v/>
      </c>
      <c r="I1647" s="159">
        <f>IF(OR(NOT(ISNUMBER(G1647)),NOT(ISNUMBER(H1647))),"",H1647-G1647)</f>
        <v/>
      </c>
      <c r="J1647" s="319">
        <f>IF(OR(NOT(ISNUMBER(G1647)),NOT(ISNUMBER(H1647)),G1647=0),"",I1647/G1647)</f>
        <v/>
      </c>
      <c r="K1647" s="319">
        <f>IF(OR(NOT(ISNUMBER(G1647)),NOT(ISNUMBER(H1647)),G1647=0),"",H1647/G1647)</f>
        <v/>
      </c>
      <c r="L1647">
        <f>IF(NOT(ISNUMBER(G1647)),"SEM META",IF(G1647=0,"SEM META",IF(NOT(ISNUMBER(H1647)),"SEM APONTAMENTO",IF(H1647&gt;=G1647,"VERDE",IF(H1647&gt;=G1647*0.9,"AMARELO","VERMELHO")))))</f>
        <v/>
      </c>
      <c r="M1647" s="162" t="n"/>
      <c r="N1647" s="162" t="n"/>
      <c r="O1647" s="162" t="n"/>
      <c r="P1647" s="162" t="n"/>
      <c r="Q1647" s="320" t="n"/>
      <c r="R1647" s="162" t="inlineStr">
        <is>
          <t>CONTROLE PRODUÇÃO POR EMPRESAS!C280</t>
        </is>
      </c>
    </row>
    <row r="1648" ht="28.5" customHeight="1">
      <c r="A1648" s="317" t="n">
        <v>46497</v>
      </c>
      <c r="B1648" t="inlineStr">
        <is>
          <t>GERAL</t>
        </is>
      </c>
      <c r="C1648" t="inlineStr">
        <is>
          <t>EJ</t>
        </is>
      </c>
      <c r="D1648" t="inlineStr">
        <is>
          <t>VIGAS</t>
        </is>
      </c>
      <c r="F1648" s="159">
        <f>IFERROR(INDEX('BASE METAS DIÁRIAS'!$N$2:$S$358,MATCH($A1648,'BASE METAS DIÁRIAS'!$A$2:$A$358,0),MOD(ROW()-2,6)+1),"")</f>
        <v/>
      </c>
      <c r="G1648" s="159">
        <f>IFERROR(IF(WEEKDAY($A1648,2)&lt;=INDEX('BASE METAS DIÁRIAS'!$H$2:$M$358,MATCH($A1648,'BASE METAS DIÁRIAS'!$A$2:$A$358,0),MOD(ROW()-2,6)+1),INDEX('BASE METAS DIÁRIAS'!$B$2:$G$358,MATCH($A1648,'BASE METAS DIÁRIAS'!$A$2:$A$358,0),MOD(ROW()-2,6)+1),""),"")</f>
        <v/>
      </c>
      <c r="H1648" s="159">
        <f>IFERROR(IF(INDEX('CONTROLE PRODUÇÃO POR EMPRESAS'!$B$6:$G$5000,MATCH($A1648,'CONTROLE PRODUÇÃO POR EMPRESAS'!$A$6:$A$5000,0),MOD(ROW()-2,6)+1)="","",IFERROR(1*INDEX('CONTROLE PRODUÇÃO POR EMPRESAS'!$B$6:$G$5000,MATCH($A1648,'CONTROLE PRODUÇÃO POR EMPRESAS'!$A$6:$A$5000,0),MOD(ROW()-2,6)+1),"")),"")</f>
        <v/>
      </c>
      <c r="I1648" s="159">
        <f>IF(OR(NOT(ISNUMBER(G1648)),NOT(ISNUMBER(H1648))),"",H1648-G1648)</f>
        <v/>
      </c>
      <c r="J1648" s="319">
        <f>IF(OR(NOT(ISNUMBER(G1648)),NOT(ISNUMBER(H1648)),G1648=0),"",I1648/G1648)</f>
        <v/>
      </c>
      <c r="K1648" s="319">
        <f>IF(OR(NOT(ISNUMBER(G1648)),NOT(ISNUMBER(H1648)),G1648=0),"",H1648/G1648)</f>
        <v/>
      </c>
      <c r="L1648">
        <f>IF(NOT(ISNUMBER(G1648)),"SEM META",IF(G1648=0,"SEM META",IF(NOT(ISNUMBER(H1648)),"SEM APONTAMENTO",IF(H1648&gt;=G1648,"VERDE",IF(H1648&gt;=G1648*0.9,"AMARELO","VERMELHO")))))</f>
        <v/>
      </c>
      <c r="M1648" s="162" t="n"/>
      <c r="N1648" s="162" t="n"/>
      <c r="O1648" s="162" t="n"/>
      <c r="P1648" s="162" t="n"/>
      <c r="Q1648" s="320" t="n"/>
      <c r="R1648" s="162" t="inlineStr">
        <is>
          <t>CONTROLE PRODUÇÃO POR EMPRESAS!D280</t>
        </is>
      </c>
    </row>
    <row r="1649" ht="28.5" customHeight="1">
      <c r="A1649" s="317" t="n">
        <v>46497</v>
      </c>
      <c r="B1649" t="inlineStr">
        <is>
          <t>GERAL</t>
        </is>
      </c>
      <c r="C1649" t="inlineStr">
        <is>
          <t>CMM</t>
        </is>
      </c>
      <c r="D1649" t="inlineStr">
        <is>
          <t>PREMONTAGEM</t>
        </is>
      </c>
      <c r="F1649" s="159">
        <f>IFERROR(INDEX('BASE METAS DIÁRIAS'!$N$2:$S$358,MATCH($A1649,'BASE METAS DIÁRIAS'!$A$2:$A$358,0),MOD(ROW()-2,6)+1),"")</f>
        <v/>
      </c>
      <c r="G1649" s="159">
        <f>IFERROR(IF(WEEKDAY($A1649,2)&lt;=INDEX('BASE METAS DIÁRIAS'!$H$2:$M$358,MATCH($A1649,'BASE METAS DIÁRIAS'!$A$2:$A$358,0),MOD(ROW()-2,6)+1),INDEX('BASE METAS DIÁRIAS'!$B$2:$G$358,MATCH($A1649,'BASE METAS DIÁRIAS'!$A$2:$A$358,0),MOD(ROW()-2,6)+1),""),"")</f>
        <v/>
      </c>
      <c r="H1649" s="159">
        <f>IFERROR(IF(INDEX('CONTROLE PRODUÇÃO POR EMPRESAS'!$B$6:$G$5000,MATCH($A1649,'CONTROLE PRODUÇÃO POR EMPRESAS'!$A$6:$A$5000,0),MOD(ROW()-2,6)+1)="","",IFERROR(1*INDEX('CONTROLE PRODUÇÃO POR EMPRESAS'!$B$6:$G$5000,MATCH($A1649,'CONTROLE PRODUÇÃO POR EMPRESAS'!$A$6:$A$5000,0),MOD(ROW()-2,6)+1),"")),"")</f>
        <v/>
      </c>
      <c r="I1649" s="159">
        <f>IF(OR(NOT(ISNUMBER(G1649)),NOT(ISNUMBER(H1649))),"",H1649-G1649)</f>
        <v/>
      </c>
      <c r="J1649" s="319">
        <f>IF(OR(NOT(ISNUMBER(G1649)),NOT(ISNUMBER(H1649)),G1649=0),"",I1649/G1649)</f>
        <v/>
      </c>
      <c r="K1649" s="319">
        <f>IF(OR(NOT(ISNUMBER(G1649)),NOT(ISNUMBER(H1649)),G1649=0),"",H1649/G1649)</f>
        <v/>
      </c>
      <c r="L1649">
        <f>IF(NOT(ISNUMBER(G1649)),"SEM META",IF(G1649=0,"SEM META",IF(NOT(ISNUMBER(H1649)),"SEM APONTAMENTO",IF(H1649&gt;=G1649,"VERDE",IF(H1649&gt;=G1649*0.9,"AMARELO","VERMELHO")))))</f>
        <v/>
      </c>
      <c r="M1649" s="162" t="n"/>
      <c r="N1649" s="162" t="n"/>
      <c r="O1649" s="162" t="n"/>
      <c r="P1649" s="162" t="n"/>
      <c r="Q1649" s="320" t="n"/>
      <c r="R1649" s="162" t="inlineStr">
        <is>
          <t>CONTROLE PRODUÇÃO POR EMPRESAS!E280</t>
        </is>
      </c>
    </row>
    <row r="1650" ht="28.5" customHeight="1">
      <c r="A1650" s="317" t="n">
        <v>46497</v>
      </c>
      <c r="B1650" t="inlineStr">
        <is>
          <t>GERAL</t>
        </is>
      </c>
      <c r="C1650" t="inlineStr">
        <is>
          <t>CMM</t>
        </is>
      </c>
      <c r="D1650" t="inlineStr">
        <is>
          <t>IÇAMENTO JOIST</t>
        </is>
      </c>
      <c r="F1650" s="159">
        <f>IFERROR(INDEX('BASE METAS DIÁRIAS'!$N$2:$S$358,MATCH($A1650,'BASE METAS DIÁRIAS'!$A$2:$A$358,0),MOD(ROW()-2,6)+1),"")</f>
        <v/>
      </c>
      <c r="G1650" s="159">
        <f>IFERROR(IF(WEEKDAY($A1650,2)&lt;=INDEX('BASE METAS DIÁRIAS'!$H$2:$M$358,MATCH($A1650,'BASE METAS DIÁRIAS'!$A$2:$A$358,0),MOD(ROW()-2,6)+1),INDEX('BASE METAS DIÁRIAS'!$B$2:$G$358,MATCH($A1650,'BASE METAS DIÁRIAS'!$A$2:$A$358,0),MOD(ROW()-2,6)+1),""),"")</f>
        <v/>
      </c>
      <c r="H1650" s="159">
        <f>IFERROR(IF(INDEX('CONTROLE PRODUÇÃO POR EMPRESAS'!$B$6:$G$5000,MATCH($A1650,'CONTROLE PRODUÇÃO POR EMPRESAS'!$A$6:$A$5000,0),MOD(ROW()-2,6)+1)="","",IFERROR(1*INDEX('CONTROLE PRODUÇÃO POR EMPRESAS'!$B$6:$G$5000,MATCH($A1650,'CONTROLE PRODUÇÃO POR EMPRESAS'!$A$6:$A$5000,0),MOD(ROW()-2,6)+1),"")),"")</f>
        <v/>
      </c>
      <c r="I1650" s="159">
        <f>IF(OR(NOT(ISNUMBER(G1650)),NOT(ISNUMBER(H1650))),"",H1650-G1650)</f>
        <v/>
      </c>
      <c r="J1650" s="319">
        <f>IF(OR(NOT(ISNUMBER(G1650)),NOT(ISNUMBER(H1650)),G1650=0),"",I1650/G1650)</f>
        <v/>
      </c>
      <c r="K1650" s="319">
        <f>IF(OR(NOT(ISNUMBER(G1650)),NOT(ISNUMBER(H1650)),G1650=0),"",H1650/G1650)</f>
        <v/>
      </c>
      <c r="L1650">
        <f>IF(NOT(ISNUMBER(G1650)),"SEM META",IF(G1650=0,"SEM META",IF(NOT(ISNUMBER(H1650)),"SEM APONTAMENTO",IF(H1650&gt;=G1650,"VERDE",IF(H1650&gt;=G1650*0.9,"AMARELO","VERMELHO")))))</f>
        <v/>
      </c>
      <c r="M1650" s="162" t="n"/>
      <c r="N1650" s="162" t="n"/>
      <c r="O1650" s="162" t="n"/>
      <c r="P1650" s="162" t="n"/>
      <c r="Q1650" s="320" t="n"/>
      <c r="R1650" s="162" t="inlineStr">
        <is>
          <t>CONTROLE PRODUÇÃO POR EMPRESAS!F280</t>
        </is>
      </c>
    </row>
    <row r="1651" ht="28.5" customHeight="1">
      <c r="A1651" s="317" t="n">
        <v>46497</v>
      </c>
      <c r="B1651" t="inlineStr">
        <is>
          <t>GERAL</t>
        </is>
      </c>
      <c r="C1651" t="inlineStr">
        <is>
          <t>CMM</t>
        </is>
      </c>
      <c r="D1651" t="inlineStr">
        <is>
          <t>VIGAS</t>
        </is>
      </c>
      <c r="F1651" s="159">
        <f>IFERROR(INDEX('BASE METAS DIÁRIAS'!$N$2:$S$358,MATCH($A1651,'BASE METAS DIÁRIAS'!$A$2:$A$358,0),MOD(ROW()-2,6)+1),"")</f>
        <v/>
      </c>
      <c r="G1651" s="159">
        <f>IFERROR(IF(WEEKDAY($A1651,2)&lt;=INDEX('BASE METAS DIÁRIAS'!$H$2:$M$358,MATCH($A1651,'BASE METAS DIÁRIAS'!$A$2:$A$358,0),MOD(ROW()-2,6)+1),INDEX('BASE METAS DIÁRIAS'!$B$2:$G$358,MATCH($A1651,'BASE METAS DIÁRIAS'!$A$2:$A$358,0),MOD(ROW()-2,6)+1),""),"")</f>
        <v/>
      </c>
      <c r="H1651" s="159">
        <f>IFERROR(IF(INDEX('CONTROLE PRODUÇÃO POR EMPRESAS'!$B$6:$G$5000,MATCH($A1651,'CONTROLE PRODUÇÃO POR EMPRESAS'!$A$6:$A$5000,0),MOD(ROW()-2,6)+1)="","",IFERROR(1*INDEX('CONTROLE PRODUÇÃO POR EMPRESAS'!$B$6:$G$5000,MATCH($A1651,'CONTROLE PRODUÇÃO POR EMPRESAS'!$A$6:$A$5000,0),MOD(ROW()-2,6)+1),"")),"")</f>
        <v/>
      </c>
      <c r="I1651" s="159">
        <f>IF(OR(NOT(ISNUMBER(G1651)),NOT(ISNUMBER(H1651))),"",H1651-G1651)</f>
        <v/>
      </c>
      <c r="J1651" s="319">
        <f>IF(OR(NOT(ISNUMBER(G1651)),NOT(ISNUMBER(H1651)),G1651=0),"",I1651/G1651)</f>
        <v/>
      </c>
      <c r="K1651" s="319">
        <f>IF(OR(NOT(ISNUMBER(G1651)),NOT(ISNUMBER(H1651)),G1651=0),"",H1651/G1651)</f>
        <v/>
      </c>
      <c r="L1651">
        <f>IF(NOT(ISNUMBER(G1651)),"SEM META",IF(G1651=0,"SEM META",IF(NOT(ISNUMBER(H1651)),"SEM APONTAMENTO",IF(H1651&gt;=G1651,"VERDE",IF(H1651&gt;=G1651*0.9,"AMARELO","VERMELHO")))))</f>
        <v/>
      </c>
      <c r="M1651" s="162" t="n"/>
      <c r="N1651" s="162" t="n"/>
      <c r="O1651" s="162" t="n"/>
      <c r="P1651" s="162" t="n"/>
      <c r="Q1651" s="320" t="n"/>
      <c r="R1651" s="162" t="inlineStr">
        <is>
          <t>CONTROLE PRODUÇÃO POR EMPRESAS!G280</t>
        </is>
      </c>
    </row>
    <row r="1652" ht="28.5" customHeight="1">
      <c r="A1652" s="317" t="n">
        <v>46498</v>
      </c>
      <c r="B1652" t="inlineStr">
        <is>
          <t>GERAL</t>
        </is>
      </c>
      <c r="C1652" t="inlineStr">
        <is>
          <t>EJ</t>
        </is>
      </c>
      <c r="D1652" t="inlineStr">
        <is>
          <t>PREMONTAGEM</t>
        </is>
      </c>
      <c r="F1652" s="159">
        <f>IFERROR(INDEX('BASE METAS DIÁRIAS'!$N$2:$S$358,MATCH($A1652,'BASE METAS DIÁRIAS'!$A$2:$A$358,0),MOD(ROW()-2,6)+1),"")</f>
        <v/>
      </c>
      <c r="G1652" s="159">
        <f>IFERROR(IF(WEEKDAY($A1652,2)&lt;=INDEX('BASE METAS DIÁRIAS'!$H$2:$M$358,MATCH($A1652,'BASE METAS DIÁRIAS'!$A$2:$A$358,0),MOD(ROW()-2,6)+1),INDEX('BASE METAS DIÁRIAS'!$B$2:$G$358,MATCH($A1652,'BASE METAS DIÁRIAS'!$A$2:$A$358,0),MOD(ROW()-2,6)+1),""),"")</f>
        <v/>
      </c>
      <c r="H1652" s="159">
        <f>IFERROR(IF(INDEX('CONTROLE PRODUÇÃO POR EMPRESAS'!$B$6:$G$5000,MATCH($A1652,'CONTROLE PRODUÇÃO POR EMPRESAS'!$A$6:$A$5000,0),MOD(ROW()-2,6)+1)="","",IFERROR(1*INDEX('CONTROLE PRODUÇÃO POR EMPRESAS'!$B$6:$G$5000,MATCH($A1652,'CONTROLE PRODUÇÃO POR EMPRESAS'!$A$6:$A$5000,0),MOD(ROW()-2,6)+1),"")),"")</f>
        <v/>
      </c>
      <c r="I1652" s="159">
        <f>IF(OR(NOT(ISNUMBER(G1652)),NOT(ISNUMBER(H1652))),"",H1652-G1652)</f>
        <v/>
      </c>
      <c r="J1652" s="319">
        <f>IF(OR(NOT(ISNUMBER(G1652)),NOT(ISNUMBER(H1652)),G1652=0),"",I1652/G1652)</f>
        <v/>
      </c>
      <c r="K1652" s="319">
        <f>IF(OR(NOT(ISNUMBER(G1652)),NOT(ISNUMBER(H1652)),G1652=0),"",H1652/G1652)</f>
        <v/>
      </c>
      <c r="L1652">
        <f>IF(NOT(ISNUMBER(G1652)),"SEM META",IF(G1652=0,"SEM META",IF(NOT(ISNUMBER(H1652)),"SEM APONTAMENTO",IF(H1652&gt;=G1652,"VERDE",IF(H1652&gt;=G1652*0.9,"AMARELO","VERMELHO")))))</f>
        <v/>
      </c>
      <c r="M1652" s="162" t="n"/>
      <c r="N1652" s="162" t="n"/>
      <c r="O1652" s="162" t="n"/>
      <c r="P1652" s="162" t="n"/>
      <c r="Q1652" s="320" t="n"/>
      <c r="R1652" s="162" t="inlineStr">
        <is>
          <t>CONTROLE PRODUÇÃO POR EMPRESAS!B281</t>
        </is>
      </c>
    </row>
    <row r="1653" ht="28.5" customHeight="1">
      <c r="A1653" s="317" t="n">
        <v>46498</v>
      </c>
      <c r="B1653" t="inlineStr">
        <is>
          <t>GERAL</t>
        </is>
      </c>
      <c r="C1653" t="inlineStr">
        <is>
          <t>EJ</t>
        </is>
      </c>
      <c r="D1653" t="inlineStr">
        <is>
          <t>IÇAMENTO JOIST</t>
        </is>
      </c>
      <c r="F1653" s="159">
        <f>IFERROR(INDEX('BASE METAS DIÁRIAS'!$N$2:$S$358,MATCH($A1653,'BASE METAS DIÁRIAS'!$A$2:$A$358,0),MOD(ROW()-2,6)+1),"")</f>
        <v/>
      </c>
      <c r="G1653" s="159">
        <f>IFERROR(IF(WEEKDAY($A1653,2)&lt;=INDEX('BASE METAS DIÁRIAS'!$H$2:$M$358,MATCH($A1653,'BASE METAS DIÁRIAS'!$A$2:$A$358,0),MOD(ROW()-2,6)+1),INDEX('BASE METAS DIÁRIAS'!$B$2:$G$358,MATCH($A1653,'BASE METAS DIÁRIAS'!$A$2:$A$358,0),MOD(ROW()-2,6)+1),""),"")</f>
        <v/>
      </c>
      <c r="H1653" s="159">
        <f>IFERROR(IF(INDEX('CONTROLE PRODUÇÃO POR EMPRESAS'!$B$6:$G$5000,MATCH($A1653,'CONTROLE PRODUÇÃO POR EMPRESAS'!$A$6:$A$5000,0),MOD(ROW()-2,6)+1)="","",IFERROR(1*INDEX('CONTROLE PRODUÇÃO POR EMPRESAS'!$B$6:$G$5000,MATCH($A1653,'CONTROLE PRODUÇÃO POR EMPRESAS'!$A$6:$A$5000,0),MOD(ROW()-2,6)+1),"")),"")</f>
        <v/>
      </c>
      <c r="I1653" s="159">
        <f>IF(OR(NOT(ISNUMBER(G1653)),NOT(ISNUMBER(H1653))),"",H1653-G1653)</f>
        <v/>
      </c>
      <c r="J1653" s="319">
        <f>IF(OR(NOT(ISNUMBER(G1653)),NOT(ISNUMBER(H1653)),G1653=0),"",I1653/G1653)</f>
        <v/>
      </c>
      <c r="K1653" s="319">
        <f>IF(OR(NOT(ISNUMBER(G1653)),NOT(ISNUMBER(H1653)),G1653=0),"",H1653/G1653)</f>
        <v/>
      </c>
      <c r="L1653">
        <f>IF(NOT(ISNUMBER(G1653)),"SEM META",IF(G1653=0,"SEM META",IF(NOT(ISNUMBER(H1653)),"SEM APONTAMENTO",IF(H1653&gt;=G1653,"VERDE",IF(H1653&gt;=G1653*0.9,"AMARELO","VERMELHO")))))</f>
        <v/>
      </c>
      <c r="M1653" s="162" t="n"/>
      <c r="N1653" s="162" t="n"/>
      <c r="O1653" s="162" t="n"/>
      <c r="P1653" s="162" t="n"/>
      <c r="Q1653" s="320" t="n"/>
      <c r="R1653" s="162" t="inlineStr">
        <is>
          <t>CONTROLE PRODUÇÃO POR EMPRESAS!C281</t>
        </is>
      </c>
    </row>
    <row r="1654" ht="28.5" customHeight="1">
      <c r="A1654" s="317" t="n">
        <v>46498</v>
      </c>
      <c r="B1654" t="inlineStr">
        <is>
          <t>GERAL</t>
        </is>
      </c>
      <c r="C1654" t="inlineStr">
        <is>
          <t>EJ</t>
        </is>
      </c>
      <c r="D1654" t="inlineStr">
        <is>
          <t>VIGAS</t>
        </is>
      </c>
      <c r="F1654" s="159">
        <f>IFERROR(INDEX('BASE METAS DIÁRIAS'!$N$2:$S$358,MATCH($A1654,'BASE METAS DIÁRIAS'!$A$2:$A$358,0),MOD(ROW()-2,6)+1),"")</f>
        <v/>
      </c>
      <c r="G1654" s="159">
        <f>IFERROR(IF(WEEKDAY($A1654,2)&lt;=INDEX('BASE METAS DIÁRIAS'!$H$2:$M$358,MATCH($A1654,'BASE METAS DIÁRIAS'!$A$2:$A$358,0),MOD(ROW()-2,6)+1),INDEX('BASE METAS DIÁRIAS'!$B$2:$G$358,MATCH($A1654,'BASE METAS DIÁRIAS'!$A$2:$A$358,0),MOD(ROW()-2,6)+1),""),"")</f>
        <v/>
      </c>
      <c r="H1654" s="159">
        <f>IFERROR(IF(INDEX('CONTROLE PRODUÇÃO POR EMPRESAS'!$B$6:$G$5000,MATCH($A1654,'CONTROLE PRODUÇÃO POR EMPRESAS'!$A$6:$A$5000,0),MOD(ROW()-2,6)+1)="","",IFERROR(1*INDEX('CONTROLE PRODUÇÃO POR EMPRESAS'!$B$6:$G$5000,MATCH($A1654,'CONTROLE PRODUÇÃO POR EMPRESAS'!$A$6:$A$5000,0),MOD(ROW()-2,6)+1),"")),"")</f>
        <v/>
      </c>
      <c r="I1654" s="159">
        <f>IF(OR(NOT(ISNUMBER(G1654)),NOT(ISNUMBER(H1654))),"",H1654-G1654)</f>
        <v/>
      </c>
      <c r="J1654" s="319">
        <f>IF(OR(NOT(ISNUMBER(G1654)),NOT(ISNUMBER(H1654)),G1654=0),"",I1654/G1654)</f>
        <v/>
      </c>
      <c r="K1654" s="319">
        <f>IF(OR(NOT(ISNUMBER(G1654)),NOT(ISNUMBER(H1654)),G1654=0),"",H1654/G1654)</f>
        <v/>
      </c>
      <c r="L1654">
        <f>IF(NOT(ISNUMBER(G1654)),"SEM META",IF(G1654=0,"SEM META",IF(NOT(ISNUMBER(H1654)),"SEM APONTAMENTO",IF(H1654&gt;=G1654,"VERDE",IF(H1654&gt;=G1654*0.9,"AMARELO","VERMELHO")))))</f>
        <v/>
      </c>
      <c r="M1654" s="162" t="n"/>
      <c r="N1654" s="162" t="n"/>
      <c r="O1654" s="162" t="n"/>
      <c r="P1654" s="162" t="n"/>
      <c r="Q1654" s="320" t="n"/>
      <c r="R1654" s="162" t="inlineStr">
        <is>
          <t>CONTROLE PRODUÇÃO POR EMPRESAS!D281</t>
        </is>
      </c>
    </row>
    <row r="1655" ht="28.5" customHeight="1">
      <c r="A1655" s="317" t="n">
        <v>46498</v>
      </c>
      <c r="B1655" t="inlineStr">
        <is>
          <t>GERAL</t>
        </is>
      </c>
      <c r="C1655" t="inlineStr">
        <is>
          <t>CMM</t>
        </is>
      </c>
      <c r="D1655" t="inlineStr">
        <is>
          <t>PREMONTAGEM</t>
        </is>
      </c>
      <c r="F1655" s="159">
        <f>IFERROR(INDEX('BASE METAS DIÁRIAS'!$N$2:$S$358,MATCH($A1655,'BASE METAS DIÁRIAS'!$A$2:$A$358,0),MOD(ROW()-2,6)+1),"")</f>
        <v/>
      </c>
      <c r="G1655" s="159">
        <f>IFERROR(IF(WEEKDAY($A1655,2)&lt;=INDEX('BASE METAS DIÁRIAS'!$H$2:$M$358,MATCH($A1655,'BASE METAS DIÁRIAS'!$A$2:$A$358,0),MOD(ROW()-2,6)+1),INDEX('BASE METAS DIÁRIAS'!$B$2:$G$358,MATCH($A1655,'BASE METAS DIÁRIAS'!$A$2:$A$358,0),MOD(ROW()-2,6)+1),""),"")</f>
        <v/>
      </c>
      <c r="H1655" s="159">
        <f>IFERROR(IF(INDEX('CONTROLE PRODUÇÃO POR EMPRESAS'!$B$6:$G$5000,MATCH($A1655,'CONTROLE PRODUÇÃO POR EMPRESAS'!$A$6:$A$5000,0),MOD(ROW()-2,6)+1)="","",IFERROR(1*INDEX('CONTROLE PRODUÇÃO POR EMPRESAS'!$B$6:$G$5000,MATCH($A1655,'CONTROLE PRODUÇÃO POR EMPRESAS'!$A$6:$A$5000,0),MOD(ROW()-2,6)+1),"")),"")</f>
        <v/>
      </c>
      <c r="I1655" s="159">
        <f>IF(OR(NOT(ISNUMBER(G1655)),NOT(ISNUMBER(H1655))),"",H1655-G1655)</f>
        <v/>
      </c>
      <c r="J1655" s="319">
        <f>IF(OR(NOT(ISNUMBER(G1655)),NOT(ISNUMBER(H1655)),G1655=0),"",I1655/G1655)</f>
        <v/>
      </c>
      <c r="K1655" s="319">
        <f>IF(OR(NOT(ISNUMBER(G1655)),NOT(ISNUMBER(H1655)),G1655=0),"",H1655/G1655)</f>
        <v/>
      </c>
      <c r="L1655">
        <f>IF(NOT(ISNUMBER(G1655)),"SEM META",IF(G1655=0,"SEM META",IF(NOT(ISNUMBER(H1655)),"SEM APONTAMENTO",IF(H1655&gt;=G1655,"VERDE",IF(H1655&gt;=G1655*0.9,"AMARELO","VERMELHO")))))</f>
        <v/>
      </c>
      <c r="M1655" s="162" t="n"/>
      <c r="N1655" s="162" t="n"/>
      <c r="O1655" s="162" t="n"/>
      <c r="P1655" s="162" t="n"/>
      <c r="Q1655" s="320" t="n"/>
      <c r="R1655" s="162" t="inlineStr">
        <is>
          <t>CONTROLE PRODUÇÃO POR EMPRESAS!E281</t>
        </is>
      </c>
    </row>
    <row r="1656" ht="28.5" customHeight="1">
      <c r="A1656" s="317" t="n">
        <v>46498</v>
      </c>
      <c r="B1656" t="inlineStr">
        <is>
          <t>GERAL</t>
        </is>
      </c>
      <c r="C1656" t="inlineStr">
        <is>
          <t>CMM</t>
        </is>
      </c>
      <c r="D1656" t="inlineStr">
        <is>
          <t>IÇAMENTO JOIST</t>
        </is>
      </c>
      <c r="F1656" s="159">
        <f>IFERROR(INDEX('BASE METAS DIÁRIAS'!$N$2:$S$358,MATCH($A1656,'BASE METAS DIÁRIAS'!$A$2:$A$358,0),MOD(ROW()-2,6)+1),"")</f>
        <v/>
      </c>
      <c r="G1656" s="159">
        <f>IFERROR(IF(WEEKDAY($A1656,2)&lt;=INDEX('BASE METAS DIÁRIAS'!$H$2:$M$358,MATCH($A1656,'BASE METAS DIÁRIAS'!$A$2:$A$358,0),MOD(ROW()-2,6)+1),INDEX('BASE METAS DIÁRIAS'!$B$2:$G$358,MATCH($A1656,'BASE METAS DIÁRIAS'!$A$2:$A$358,0),MOD(ROW()-2,6)+1),""),"")</f>
        <v/>
      </c>
      <c r="H1656" s="159">
        <f>IFERROR(IF(INDEX('CONTROLE PRODUÇÃO POR EMPRESAS'!$B$6:$G$5000,MATCH($A1656,'CONTROLE PRODUÇÃO POR EMPRESAS'!$A$6:$A$5000,0),MOD(ROW()-2,6)+1)="","",IFERROR(1*INDEX('CONTROLE PRODUÇÃO POR EMPRESAS'!$B$6:$G$5000,MATCH($A1656,'CONTROLE PRODUÇÃO POR EMPRESAS'!$A$6:$A$5000,0),MOD(ROW()-2,6)+1),"")),"")</f>
        <v/>
      </c>
      <c r="I1656" s="159">
        <f>IF(OR(NOT(ISNUMBER(G1656)),NOT(ISNUMBER(H1656))),"",H1656-G1656)</f>
        <v/>
      </c>
      <c r="J1656" s="319">
        <f>IF(OR(NOT(ISNUMBER(G1656)),NOT(ISNUMBER(H1656)),G1656=0),"",I1656/G1656)</f>
        <v/>
      </c>
      <c r="K1656" s="319">
        <f>IF(OR(NOT(ISNUMBER(G1656)),NOT(ISNUMBER(H1656)),G1656=0),"",H1656/G1656)</f>
        <v/>
      </c>
      <c r="L1656">
        <f>IF(NOT(ISNUMBER(G1656)),"SEM META",IF(G1656=0,"SEM META",IF(NOT(ISNUMBER(H1656)),"SEM APONTAMENTO",IF(H1656&gt;=G1656,"VERDE",IF(H1656&gt;=G1656*0.9,"AMARELO","VERMELHO")))))</f>
        <v/>
      </c>
      <c r="M1656" s="162" t="n"/>
      <c r="N1656" s="162" t="n"/>
      <c r="O1656" s="162" t="n"/>
      <c r="P1656" s="162" t="n"/>
      <c r="Q1656" s="320" t="n"/>
      <c r="R1656" s="162" t="inlineStr">
        <is>
          <t>CONTROLE PRODUÇÃO POR EMPRESAS!F281</t>
        </is>
      </c>
    </row>
    <row r="1657" ht="28.5" customHeight="1">
      <c r="A1657" s="317" t="n">
        <v>46498</v>
      </c>
      <c r="B1657" t="inlineStr">
        <is>
          <t>GERAL</t>
        </is>
      </c>
      <c r="C1657" t="inlineStr">
        <is>
          <t>CMM</t>
        </is>
      </c>
      <c r="D1657" t="inlineStr">
        <is>
          <t>VIGAS</t>
        </is>
      </c>
      <c r="F1657" s="159">
        <f>IFERROR(INDEX('BASE METAS DIÁRIAS'!$N$2:$S$358,MATCH($A1657,'BASE METAS DIÁRIAS'!$A$2:$A$358,0),MOD(ROW()-2,6)+1),"")</f>
        <v/>
      </c>
      <c r="G1657" s="159">
        <f>IFERROR(IF(WEEKDAY($A1657,2)&lt;=INDEX('BASE METAS DIÁRIAS'!$H$2:$M$358,MATCH($A1657,'BASE METAS DIÁRIAS'!$A$2:$A$358,0),MOD(ROW()-2,6)+1),INDEX('BASE METAS DIÁRIAS'!$B$2:$G$358,MATCH($A1657,'BASE METAS DIÁRIAS'!$A$2:$A$358,0),MOD(ROW()-2,6)+1),""),"")</f>
        <v/>
      </c>
      <c r="H1657" s="159">
        <f>IFERROR(IF(INDEX('CONTROLE PRODUÇÃO POR EMPRESAS'!$B$6:$G$5000,MATCH($A1657,'CONTROLE PRODUÇÃO POR EMPRESAS'!$A$6:$A$5000,0),MOD(ROW()-2,6)+1)="","",IFERROR(1*INDEX('CONTROLE PRODUÇÃO POR EMPRESAS'!$B$6:$G$5000,MATCH($A1657,'CONTROLE PRODUÇÃO POR EMPRESAS'!$A$6:$A$5000,0),MOD(ROW()-2,6)+1),"")),"")</f>
        <v/>
      </c>
      <c r="I1657" s="159">
        <f>IF(OR(NOT(ISNUMBER(G1657)),NOT(ISNUMBER(H1657))),"",H1657-G1657)</f>
        <v/>
      </c>
      <c r="J1657" s="319">
        <f>IF(OR(NOT(ISNUMBER(G1657)),NOT(ISNUMBER(H1657)),G1657=0),"",I1657/G1657)</f>
        <v/>
      </c>
      <c r="K1657" s="319">
        <f>IF(OR(NOT(ISNUMBER(G1657)),NOT(ISNUMBER(H1657)),G1657=0),"",H1657/G1657)</f>
        <v/>
      </c>
      <c r="L1657">
        <f>IF(NOT(ISNUMBER(G1657)),"SEM META",IF(G1657=0,"SEM META",IF(NOT(ISNUMBER(H1657)),"SEM APONTAMENTO",IF(H1657&gt;=G1657,"VERDE",IF(H1657&gt;=G1657*0.9,"AMARELO","VERMELHO")))))</f>
        <v/>
      </c>
      <c r="M1657" s="162" t="n"/>
      <c r="N1657" s="162" t="n"/>
      <c r="O1657" s="162" t="n"/>
      <c r="P1657" s="162" t="n"/>
      <c r="Q1657" s="320" t="n"/>
      <c r="R1657" s="162" t="inlineStr">
        <is>
          <t>CONTROLE PRODUÇÃO POR EMPRESAS!G281</t>
        </is>
      </c>
    </row>
    <row r="1658" ht="28.5" customHeight="1">
      <c r="A1658" s="317" t="n">
        <v>46499</v>
      </c>
      <c r="B1658" t="inlineStr">
        <is>
          <t>GERAL</t>
        </is>
      </c>
      <c r="C1658" t="inlineStr">
        <is>
          <t>EJ</t>
        </is>
      </c>
      <c r="D1658" t="inlineStr">
        <is>
          <t>PREMONTAGEM</t>
        </is>
      </c>
      <c r="F1658" s="159">
        <f>IFERROR(INDEX('BASE METAS DIÁRIAS'!$N$2:$S$358,MATCH($A1658,'BASE METAS DIÁRIAS'!$A$2:$A$358,0),MOD(ROW()-2,6)+1),"")</f>
        <v/>
      </c>
      <c r="G1658" s="159">
        <f>IFERROR(IF(WEEKDAY($A1658,2)&lt;=INDEX('BASE METAS DIÁRIAS'!$H$2:$M$358,MATCH($A1658,'BASE METAS DIÁRIAS'!$A$2:$A$358,0),MOD(ROW()-2,6)+1),INDEX('BASE METAS DIÁRIAS'!$B$2:$G$358,MATCH($A1658,'BASE METAS DIÁRIAS'!$A$2:$A$358,0),MOD(ROW()-2,6)+1),""),"")</f>
        <v/>
      </c>
      <c r="H1658" s="159">
        <f>IFERROR(IF(INDEX('CONTROLE PRODUÇÃO POR EMPRESAS'!$B$6:$G$5000,MATCH($A1658,'CONTROLE PRODUÇÃO POR EMPRESAS'!$A$6:$A$5000,0),MOD(ROW()-2,6)+1)="","",IFERROR(1*INDEX('CONTROLE PRODUÇÃO POR EMPRESAS'!$B$6:$G$5000,MATCH($A1658,'CONTROLE PRODUÇÃO POR EMPRESAS'!$A$6:$A$5000,0),MOD(ROW()-2,6)+1),"")),"")</f>
        <v/>
      </c>
      <c r="I1658" s="159">
        <f>IF(OR(NOT(ISNUMBER(G1658)),NOT(ISNUMBER(H1658))),"",H1658-G1658)</f>
        <v/>
      </c>
      <c r="J1658" s="319">
        <f>IF(OR(NOT(ISNUMBER(G1658)),NOT(ISNUMBER(H1658)),G1658=0),"",I1658/G1658)</f>
        <v/>
      </c>
      <c r="K1658" s="319">
        <f>IF(OR(NOT(ISNUMBER(G1658)),NOT(ISNUMBER(H1658)),G1658=0),"",H1658/G1658)</f>
        <v/>
      </c>
      <c r="L1658">
        <f>IF(NOT(ISNUMBER(G1658)),"SEM META",IF(G1658=0,"SEM META",IF(NOT(ISNUMBER(H1658)),"SEM APONTAMENTO",IF(H1658&gt;=G1658,"VERDE",IF(H1658&gt;=G1658*0.9,"AMARELO","VERMELHO")))))</f>
        <v/>
      </c>
      <c r="M1658" s="162" t="n"/>
      <c r="N1658" s="162" t="n"/>
      <c r="O1658" s="162" t="n"/>
      <c r="P1658" s="162" t="n"/>
      <c r="Q1658" s="320" t="n"/>
      <c r="R1658" s="162" t="inlineStr">
        <is>
          <t>CONTROLE PRODUÇÃO POR EMPRESAS!B282</t>
        </is>
      </c>
    </row>
    <row r="1659" ht="28.5" customHeight="1">
      <c r="A1659" s="317" t="n">
        <v>46499</v>
      </c>
      <c r="B1659" t="inlineStr">
        <is>
          <t>GERAL</t>
        </is>
      </c>
      <c r="C1659" t="inlineStr">
        <is>
          <t>EJ</t>
        </is>
      </c>
      <c r="D1659" t="inlineStr">
        <is>
          <t>IÇAMENTO JOIST</t>
        </is>
      </c>
      <c r="F1659" s="159">
        <f>IFERROR(INDEX('BASE METAS DIÁRIAS'!$N$2:$S$358,MATCH($A1659,'BASE METAS DIÁRIAS'!$A$2:$A$358,0),MOD(ROW()-2,6)+1),"")</f>
        <v/>
      </c>
      <c r="G1659" s="159">
        <f>IFERROR(IF(WEEKDAY($A1659,2)&lt;=INDEX('BASE METAS DIÁRIAS'!$H$2:$M$358,MATCH($A1659,'BASE METAS DIÁRIAS'!$A$2:$A$358,0),MOD(ROW()-2,6)+1),INDEX('BASE METAS DIÁRIAS'!$B$2:$G$358,MATCH($A1659,'BASE METAS DIÁRIAS'!$A$2:$A$358,0),MOD(ROW()-2,6)+1),""),"")</f>
        <v/>
      </c>
      <c r="H1659" s="159">
        <f>IFERROR(IF(INDEX('CONTROLE PRODUÇÃO POR EMPRESAS'!$B$6:$G$5000,MATCH($A1659,'CONTROLE PRODUÇÃO POR EMPRESAS'!$A$6:$A$5000,0),MOD(ROW()-2,6)+1)="","",IFERROR(1*INDEX('CONTROLE PRODUÇÃO POR EMPRESAS'!$B$6:$G$5000,MATCH($A1659,'CONTROLE PRODUÇÃO POR EMPRESAS'!$A$6:$A$5000,0),MOD(ROW()-2,6)+1),"")),"")</f>
        <v/>
      </c>
      <c r="I1659" s="159">
        <f>IF(OR(NOT(ISNUMBER(G1659)),NOT(ISNUMBER(H1659))),"",H1659-G1659)</f>
        <v/>
      </c>
      <c r="J1659" s="319">
        <f>IF(OR(NOT(ISNUMBER(G1659)),NOT(ISNUMBER(H1659)),G1659=0),"",I1659/G1659)</f>
        <v/>
      </c>
      <c r="K1659" s="319">
        <f>IF(OR(NOT(ISNUMBER(G1659)),NOT(ISNUMBER(H1659)),G1659=0),"",H1659/G1659)</f>
        <v/>
      </c>
      <c r="L1659">
        <f>IF(NOT(ISNUMBER(G1659)),"SEM META",IF(G1659=0,"SEM META",IF(NOT(ISNUMBER(H1659)),"SEM APONTAMENTO",IF(H1659&gt;=G1659,"VERDE",IF(H1659&gt;=G1659*0.9,"AMARELO","VERMELHO")))))</f>
        <v/>
      </c>
      <c r="M1659" s="162" t="n"/>
      <c r="N1659" s="162" t="n"/>
      <c r="O1659" s="162" t="n"/>
      <c r="P1659" s="162" t="n"/>
      <c r="Q1659" s="320" t="n"/>
      <c r="R1659" s="162" t="inlineStr">
        <is>
          <t>CONTROLE PRODUÇÃO POR EMPRESAS!C282</t>
        </is>
      </c>
    </row>
    <row r="1660" ht="28.5" customHeight="1">
      <c r="A1660" s="317" t="n">
        <v>46499</v>
      </c>
      <c r="B1660" t="inlineStr">
        <is>
          <t>GERAL</t>
        </is>
      </c>
      <c r="C1660" t="inlineStr">
        <is>
          <t>EJ</t>
        </is>
      </c>
      <c r="D1660" t="inlineStr">
        <is>
          <t>VIGAS</t>
        </is>
      </c>
      <c r="F1660" s="159">
        <f>IFERROR(INDEX('BASE METAS DIÁRIAS'!$N$2:$S$358,MATCH($A1660,'BASE METAS DIÁRIAS'!$A$2:$A$358,0),MOD(ROW()-2,6)+1),"")</f>
        <v/>
      </c>
      <c r="G1660" s="159">
        <f>IFERROR(IF(WEEKDAY($A1660,2)&lt;=INDEX('BASE METAS DIÁRIAS'!$H$2:$M$358,MATCH($A1660,'BASE METAS DIÁRIAS'!$A$2:$A$358,0),MOD(ROW()-2,6)+1),INDEX('BASE METAS DIÁRIAS'!$B$2:$G$358,MATCH($A1660,'BASE METAS DIÁRIAS'!$A$2:$A$358,0),MOD(ROW()-2,6)+1),""),"")</f>
        <v/>
      </c>
      <c r="H1660" s="159">
        <f>IFERROR(IF(INDEX('CONTROLE PRODUÇÃO POR EMPRESAS'!$B$6:$G$5000,MATCH($A1660,'CONTROLE PRODUÇÃO POR EMPRESAS'!$A$6:$A$5000,0),MOD(ROW()-2,6)+1)="","",IFERROR(1*INDEX('CONTROLE PRODUÇÃO POR EMPRESAS'!$B$6:$G$5000,MATCH($A1660,'CONTROLE PRODUÇÃO POR EMPRESAS'!$A$6:$A$5000,0),MOD(ROW()-2,6)+1),"")),"")</f>
        <v/>
      </c>
      <c r="I1660" s="159">
        <f>IF(OR(NOT(ISNUMBER(G1660)),NOT(ISNUMBER(H1660))),"",H1660-G1660)</f>
        <v/>
      </c>
      <c r="J1660" s="319">
        <f>IF(OR(NOT(ISNUMBER(G1660)),NOT(ISNUMBER(H1660)),G1660=0),"",I1660/G1660)</f>
        <v/>
      </c>
      <c r="K1660" s="319">
        <f>IF(OR(NOT(ISNUMBER(G1660)),NOT(ISNUMBER(H1660)),G1660=0),"",H1660/G1660)</f>
        <v/>
      </c>
      <c r="L1660">
        <f>IF(NOT(ISNUMBER(G1660)),"SEM META",IF(G1660=0,"SEM META",IF(NOT(ISNUMBER(H1660)),"SEM APONTAMENTO",IF(H1660&gt;=G1660,"VERDE",IF(H1660&gt;=G1660*0.9,"AMARELO","VERMELHO")))))</f>
        <v/>
      </c>
      <c r="M1660" s="162" t="n"/>
      <c r="N1660" s="162" t="n"/>
      <c r="O1660" s="162" t="n"/>
      <c r="P1660" s="162" t="n"/>
      <c r="Q1660" s="320" t="n"/>
      <c r="R1660" s="162" t="inlineStr">
        <is>
          <t>CONTROLE PRODUÇÃO POR EMPRESAS!D282</t>
        </is>
      </c>
    </row>
    <row r="1661" ht="28.5" customHeight="1">
      <c r="A1661" s="317" t="n">
        <v>46499</v>
      </c>
      <c r="B1661" t="inlineStr">
        <is>
          <t>GERAL</t>
        </is>
      </c>
      <c r="C1661" t="inlineStr">
        <is>
          <t>CMM</t>
        </is>
      </c>
      <c r="D1661" t="inlineStr">
        <is>
          <t>PREMONTAGEM</t>
        </is>
      </c>
      <c r="F1661" s="159">
        <f>IFERROR(INDEX('BASE METAS DIÁRIAS'!$N$2:$S$358,MATCH($A1661,'BASE METAS DIÁRIAS'!$A$2:$A$358,0),MOD(ROW()-2,6)+1),"")</f>
        <v/>
      </c>
      <c r="G1661" s="159">
        <f>IFERROR(IF(WEEKDAY($A1661,2)&lt;=INDEX('BASE METAS DIÁRIAS'!$H$2:$M$358,MATCH($A1661,'BASE METAS DIÁRIAS'!$A$2:$A$358,0),MOD(ROW()-2,6)+1),INDEX('BASE METAS DIÁRIAS'!$B$2:$G$358,MATCH($A1661,'BASE METAS DIÁRIAS'!$A$2:$A$358,0),MOD(ROW()-2,6)+1),""),"")</f>
        <v/>
      </c>
      <c r="H1661" s="159">
        <f>IFERROR(IF(INDEX('CONTROLE PRODUÇÃO POR EMPRESAS'!$B$6:$G$5000,MATCH($A1661,'CONTROLE PRODUÇÃO POR EMPRESAS'!$A$6:$A$5000,0),MOD(ROW()-2,6)+1)="","",IFERROR(1*INDEX('CONTROLE PRODUÇÃO POR EMPRESAS'!$B$6:$G$5000,MATCH($A1661,'CONTROLE PRODUÇÃO POR EMPRESAS'!$A$6:$A$5000,0),MOD(ROW()-2,6)+1),"")),"")</f>
        <v/>
      </c>
      <c r="I1661" s="159">
        <f>IF(OR(NOT(ISNUMBER(G1661)),NOT(ISNUMBER(H1661))),"",H1661-G1661)</f>
        <v/>
      </c>
      <c r="J1661" s="319">
        <f>IF(OR(NOT(ISNUMBER(G1661)),NOT(ISNUMBER(H1661)),G1661=0),"",I1661/G1661)</f>
        <v/>
      </c>
      <c r="K1661" s="319">
        <f>IF(OR(NOT(ISNUMBER(G1661)),NOT(ISNUMBER(H1661)),G1661=0),"",H1661/G1661)</f>
        <v/>
      </c>
      <c r="L1661">
        <f>IF(NOT(ISNUMBER(G1661)),"SEM META",IF(G1661=0,"SEM META",IF(NOT(ISNUMBER(H1661)),"SEM APONTAMENTO",IF(H1661&gt;=G1661,"VERDE",IF(H1661&gt;=G1661*0.9,"AMARELO","VERMELHO")))))</f>
        <v/>
      </c>
      <c r="M1661" s="162" t="n"/>
      <c r="N1661" s="162" t="n"/>
      <c r="O1661" s="162" t="n"/>
      <c r="P1661" s="162" t="n"/>
      <c r="Q1661" s="320" t="n"/>
      <c r="R1661" s="162" t="inlineStr">
        <is>
          <t>CONTROLE PRODUÇÃO POR EMPRESAS!E282</t>
        </is>
      </c>
    </row>
    <row r="1662" ht="28.5" customHeight="1">
      <c r="A1662" s="317" t="n">
        <v>46499</v>
      </c>
      <c r="B1662" t="inlineStr">
        <is>
          <t>GERAL</t>
        </is>
      </c>
      <c r="C1662" t="inlineStr">
        <is>
          <t>CMM</t>
        </is>
      </c>
      <c r="D1662" t="inlineStr">
        <is>
          <t>IÇAMENTO JOIST</t>
        </is>
      </c>
      <c r="F1662" s="159">
        <f>IFERROR(INDEX('BASE METAS DIÁRIAS'!$N$2:$S$358,MATCH($A1662,'BASE METAS DIÁRIAS'!$A$2:$A$358,0),MOD(ROW()-2,6)+1),"")</f>
        <v/>
      </c>
      <c r="G1662" s="159">
        <f>IFERROR(IF(WEEKDAY($A1662,2)&lt;=INDEX('BASE METAS DIÁRIAS'!$H$2:$M$358,MATCH($A1662,'BASE METAS DIÁRIAS'!$A$2:$A$358,0),MOD(ROW()-2,6)+1),INDEX('BASE METAS DIÁRIAS'!$B$2:$G$358,MATCH($A1662,'BASE METAS DIÁRIAS'!$A$2:$A$358,0),MOD(ROW()-2,6)+1),""),"")</f>
        <v/>
      </c>
      <c r="H1662" s="159">
        <f>IFERROR(IF(INDEX('CONTROLE PRODUÇÃO POR EMPRESAS'!$B$6:$G$5000,MATCH($A1662,'CONTROLE PRODUÇÃO POR EMPRESAS'!$A$6:$A$5000,0),MOD(ROW()-2,6)+1)="","",IFERROR(1*INDEX('CONTROLE PRODUÇÃO POR EMPRESAS'!$B$6:$G$5000,MATCH($A1662,'CONTROLE PRODUÇÃO POR EMPRESAS'!$A$6:$A$5000,0),MOD(ROW()-2,6)+1),"")),"")</f>
        <v/>
      </c>
      <c r="I1662" s="159">
        <f>IF(OR(NOT(ISNUMBER(G1662)),NOT(ISNUMBER(H1662))),"",H1662-G1662)</f>
        <v/>
      </c>
      <c r="J1662" s="319">
        <f>IF(OR(NOT(ISNUMBER(G1662)),NOT(ISNUMBER(H1662)),G1662=0),"",I1662/G1662)</f>
        <v/>
      </c>
      <c r="K1662" s="319">
        <f>IF(OR(NOT(ISNUMBER(G1662)),NOT(ISNUMBER(H1662)),G1662=0),"",H1662/G1662)</f>
        <v/>
      </c>
      <c r="L1662">
        <f>IF(NOT(ISNUMBER(G1662)),"SEM META",IF(G1662=0,"SEM META",IF(NOT(ISNUMBER(H1662)),"SEM APONTAMENTO",IF(H1662&gt;=G1662,"VERDE",IF(H1662&gt;=G1662*0.9,"AMARELO","VERMELHO")))))</f>
        <v/>
      </c>
      <c r="M1662" s="162" t="n"/>
      <c r="N1662" s="162" t="n"/>
      <c r="O1662" s="162" t="n"/>
      <c r="P1662" s="162" t="n"/>
      <c r="Q1662" s="320" t="n"/>
      <c r="R1662" s="162" t="inlineStr">
        <is>
          <t>CONTROLE PRODUÇÃO POR EMPRESAS!F282</t>
        </is>
      </c>
    </row>
    <row r="1663" ht="28.5" customHeight="1">
      <c r="A1663" s="317" t="n">
        <v>46499</v>
      </c>
      <c r="B1663" t="inlineStr">
        <is>
          <t>GERAL</t>
        </is>
      </c>
      <c r="C1663" t="inlineStr">
        <is>
          <t>CMM</t>
        </is>
      </c>
      <c r="D1663" t="inlineStr">
        <is>
          <t>VIGAS</t>
        </is>
      </c>
      <c r="F1663" s="159">
        <f>IFERROR(INDEX('BASE METAS DIÁRIAS'!$N$2:$S$358,MATCH($A1663,'BASE METAS DIÁRIAS'!$A$2:$A$358,0),MOD(ROW()-2,6)+1),"")</f>
        <v/>
      </c>
      <c r="G1663" s="159">
        <f>IFERROR(IF(WEEKDAY($A1663,2)&lt;=INDEX('BASE METAS DIÁRIAS'!$H$2:$M$358,MATCH($A1663,'BASE METAS DIÁRIAS'!$A$2:$A$358,0),MOD(ROW()-2,6)+1),INDEX('BASE METAS DIÁRIAS'!$B$2:$G$358,MATCH($A1663,'BASE METAS DIÁRIAS'!$A$2:$A$358,0),MOD(ROW()-2,6)+1),""),"")</f>
        <v/>
      </c>
      <c r="H1663" s="159">
        <f>IFERROR(IF(INDEX('CONTROLE PRODUÇÃO POR EMPRESAS'!$B$6:$G$5000,MATCH($A1663,'CONTROLE PRODUÇÃO POR EMPRESAS'!$A$6:$A$5000,0),MOD(ROW()-2,6)+1)="","",IFERROR(1*INDEX('CONTROLE PRODUÇÃO POR EMPRESAS'!$B$6:$G$5000,MATCH($A1663,'CONTROLE PRODUÇÃO POR EMPRESAS'!$A$6:$A$5000,0),MOD(ROW()-2,6)+1),"")),"")</f>
        <v/>
      </c>
      <c r="I1663" s="159">
        <f>IF(OR(NOT(ISNUMBER(G1663)),NOT(ISNUMBER(H1663))),"",H1663-G1663)</f>
        <v/>
      </c>
      <c r="J1663" s="319">
        <f>IF(OR(NOT(ISNUMBER(G1663)),NOT(ISNUMBER(H1663)),G1663=0),"",I1663/G1663)</f>
        <v/>
      </c>
      <c r="K1663" s="319">
        <f>IF(OR(NOT(ISNUMBER(G1663)),NOT(ISNUMBER(H1663)),G1663=0),"",H1663/G1663)</f>
        <v/>
      </c>
      <c r="L1663">
        <f>IF(NOT(ISNUMBER(G1663)),"SEM META",IF(G1663=0,"SEM META",IF(NOT(ISNUMBER(H1663)),"SEM APONTAMENTO",IF(H1663&gt;=G1663,"VERDE",IF(H1663&gt;=G1663*0.9,"AMARELO","VERMELHO")))))</f>
        <v/>
      </c>
      <c r="M1663" s="162" t="n"/>
      <c r="N1663" s="162" t="n"/>
      <c r="O1663" s="162" t="n"/>
      <c r="P1663" s="162" t="n"/>
      <c r="Q1663" s="320" t="n"/>
      <c r="R1663" s="162" t="inlineStr">
        <is>
          <t>CONTROLE PRODUÇÃO POR EMPRESAS!G282</t>
        </is>
      </c>
    </row>
    <row r="1664" ht="28.5" customHeight="1">
      <c r="A1664" s="317" t="n">
        <v>46500</v>
      </c>
      <c r="B1664" t="inlineStr">
        <is>
          <t>GERAL</t>
        </is>
      </c>
      <c r="C1664" t="inlineStr">
        <is>
          <t>EJ</t>
        </is>
      </c>
      <c r="D1664" t="inlineStr">
        <is>
          <t>PREMONTAGEM</t>
        </is>
      </c>
      <c r="F1664" s="159">
        <f>IFERROR(INDEX('BASE METAS DIÁRIAS'!$N$2:$S$358,MATCH($A1664,'BASE METAS DIÁRIAS'!$A$2:$A$358,0),MOD(ROW()-2,6)+1),"")</f>
        <v/>
      </c>
      <c r="G1664" s="159">
        <f>IFERROR(IF(WEEKDAY($A1664,2)&lt;=INDEX('BASE METAS DIÁRIAS'!$H$2:$M$358,MATCH($A1664,'BASE METAS DIÁRIAS'!$A$2:$A$358,0),MOD(ROW()-2,6)+1),INDEX('BASE METAS DIÁRIAS'!$B$2:$G$358,MATCH($A1664,'BASE METAS DIÁRIAS'!$A$2:$A$358,0),MOD(ROW()-2,6)+1),""),"")</f>
        <v/>
      </c>
      <c r="H1664" s="159">
        <f>IFERROR(IF(INDEX('CONTROLE PRODUÇÃO POR EMPRESAS'!$B$6:$G$5000,MATCH($A1664,'CONTROLE PRODUÇÃO POR EMPRESAS'!$A$6:$A$5000,0),MOD(ROW()-2,6)+1)="","",IFERROR(1*INDEX('CONTROLE PRODUÇÃO POR EMPRESAS'!$B$6:$G$5000,MATCH($A1664,'CONTROLE PRODUÇÃO POR EMPRESAS'!$A$6:$A$5000,0),MOD(ROW()-2,6)+1),"")),"")</f>
        <v/>
      </c>
      <c r="I1664" s="159">
        <f>IF(OR(NOT(ISNUMBER(G1664)),NOT(ISNUMBER(H1664))),"",H1664-G1664)</f>
        <v/>
      </c>
      <c r="J1664" s="319">
        <f>IF(OR(NOT(ISNUMBER(G1664)),NOT(ISNUMBER(H1664)),G1664=0),"",I1664/G1664)</f>
        <v/>
      </c>
      <c r="K1664" s="319">
        <f>IF(OR(NOT(ISNUMBER(G1664)),NOT(ISNUMBER(H1664)),G1664=0),"",H1664/G1664)</f>
        <v/>
      </c>
      <c r="L1664">
        <f>IF(NOT(ISNUMBER(G1664)),"SEM META",IF(G1664=0,"SEM META",IF(NOT(ISNUMBER(H1664)),"SEM APONTAMENTO",IF(H1664&gt;=G1664,"VERDE",IF(H1664&gt;=G1664*0.9,"AMARELO","VERMELHO")))))</f>
        <v/>
      </c>
      <c r="M1664" s="162" t="n"/>
      <c r="N1664" s="162" t="n"/>
      <c r="O1664" s="162" t="n"/>
      <c r="P1664" s="162" t="n"/>
      <c r="Q1664" s="320" t="n"/>
      <c r="R1664" s="162" t="inlineStr">
        <is>
          <t>CONTROLE PRODUÇÃO POR EMPRESAS!B283</t>
        </is>
      </c>
    </row>
    <row r="1665" ht="28.5" customHeight="1">
      <c r="A1665" s="317" t="n">
        <v>46500</v>
      </c>
      <c r="B1665" t="inlineStr">
        <is>
          <t>GERAL</t>
        </is>
      </c>
      <c r="C1665" t="inlineStr">
        <is>
          <t>EJ</t>
        </is>
      </c>
      <c r="D1665" t="inlineStr">
        <is>
          <t>IÇAMENTO JOIST</t>
        </is>
      </c>
      <c r="F1665" s="159">
        <f>IFERROR(INDEX('BASE METAS DIÁRIAS'!$N$2:$S$358,MATCH($A1665,'BASE METAS DIÁRIAS'!$A$2:$A$358,0),MOD(ROW()-2,6)+1),"")</f>
        <v/>
      </c>
      <c r="G1665" s="159">
        <f>IFERROR(IF(WEEKDAY($A1665,2)&lt;=INDEX('BASE METAS DIÁRIAS'!$H$2:$M$358,MATCH($A1665,'BASE METAS DIÁRIAS'!$A$2:$A$358,0),MOD(ROW()-2,6)+1),INDEX('BASE METAS DIÁRIAS'!$B$2:$G$358,MATCH($A1665,'BASE METAS DIÁRIAS'!$A$2:$A$358,0),MOD(ROW()-2,6)+1),""),"")</f>
        <v/>
      </c>
      <c r="H1665" s="159">
        <f>IFERROR(IF(INDEX('CONTROLE PRODUÇÃO POR EMPRESAS'!$B$6:$G$5000,MATCH($A1665,'CONTROLE PRODUÇÃO POR EMPRESAS'!$A$6:$A$5000,0),MOD(ROW()-2,6)+1)="","",IFERROR(1*INDEX('CONTROLE PRODUÇÃO POR EMPRESAS'!$B$6:$G$5000,MATCH($A1665,'CONTROLE PRODUÇÃO POR EMPRESAS'!$A$6:$A$5000,0),MOD(ROW()-2,6)+1),"")),"")</f>
        <v/>
      </c>
      <c r="I1665" s="159">
        <f>IF(OR(NOT(ISNUMBER(G1665)),NOT(ISNUMBER(H1665))),"",H1665-G1665)</f>
        <v/>
      </c>
      <c r="J1665" s="319">
        <f>IF(OR(NOT(ISNUMBER(G1665)),NOT(ISNUMBER(H1665)),G1665=0),"",I1665/G1665)</f>
        <v/>
      </c>
      <c r="K1665" s="319">
        <f>IF(OR(NOT(ISNUMBER(G1665)),NOT(ISNUMBER(H1665)),G1665=0),"",H1665/G1665)</f>
        <v/>
      </c>
      <c r="L1665">
        <f>IF(NOT(ISNUMBER(G1665)),"SEM META",IF(G1665=0,"SEM META",IF(NOT(ISNUMBER(H1665)),"SEM APONTAMENTO",IF(H1665&gt;=G1665,"VERDE",IF(H1665&gt;=G1665*0.9,"AMARELO","VERMELHO")))))</f>
        <v/>
      </c>
      <c r="M1665" s="162" t="n"/>
      <c r="N1665" s="162" t="n"/>
      <c r="O1665" s="162" t="n"/>
      <c r="P1665" s="162" t="n"/>
      <c r="Q1665" s="320" t="n"/>
      <c r="R1665" s="162" t="inlineStr">
        <is>
          <t>CONTROLE PRODUÇÃO POR EMPRESAS!C283</t>
        </is>
      </c>
    </row>
    <row r="1666" ht="28.5" customHeight="1">
      <c r="A1666" s="317" t="n">
        <v>46500</v>
      </c>
      <c r="B1666" t="inlineStr">
        <is>
          <t>GERAL</t>
        </is>
      </c>
      <c r="C1666" t="inlineStr">
        <is>
          <t>EJ</t>
        </is>
      </c>
      <c r="D1666" t="inlineStr">
        <is>
          <t>VIGAS</t>
        </is>
      </c>
      <c r="F1666" s="159">
        <f>IFERROR(INDEX('BASE METAS DIÁRIAS'!$N$2:$S$358,MATCH($A1666,'BASE METAS DIÁRIAS'!$A$2:$A$358,0),MOD(ROW()-2,6)+1),"")</f>
        <v/>
      </c>
      <c r="G1666" s="159">
        <f>IFERROR(IF(WEEKDAY($A1666,2)&lt;=INDEX('BASE METAS DIÁRIAS'!$H$2:$M$358,MATCH($A1666,'BASE METAS DIÁRIAS'!$A$2:$A$358,0),MOD(ROW()-2,6)+1),INDEX('BASE METAS DIÁRIAS'!$B$2:$G$358,MATCH($A1666,'BASE METAS DIÁRIAS'!$A$2:$A$358,0),MOD(ROW()-2,6)+1),""),"")</f>
        <v/>
      </c>
      <c r="H1666" s="159">
        <f>IFERROR(IF(INDEX('CONTROLE PRODUÇÃO POR EMPRESAS'!$B$6:$G$5000,MATCH($A1666,'CONTROLE PRODUÇÃO POR EMPRESAS'!$A$6:$A$5000,0),MOD(ROW()-2,6)+1)="","",IFERROR(1*INDEX('CONTROLE PRODUÇÃO POR EMPRESAS'!$B$6:$G$5000,MATCH($A1666,'CONTROLE PRODUÇÃO POR EMPRESAS'!$A$6:$A$5000,0),MOD(ROW()-2,6)+1),"")),"")</f>
        <v/>
      </c>
      <c r="I1666" s="159">
        <f>IF(OR(NOT(ISNUMBER(G1666)),NOT(ISNUMBER(H1666))),"",H1666-G1666)</f>
        <v/>
      </c>
      <c r="J1666" s="319">
        <f>IF(OR(NOT(ISNUMBER(G1666)),NOT(ISNUMBER(H1666)),G1666=0),"",I1666/G1666)</f>
        <v/>
      </c>
      <c r="K1666" s="319">
        <f>IF(OR(NOT(ISNUMBER(G1666)),NOT(ISNUMBER(H1666)),G1666=0),"",H1666/G1666)</f>
        <v/>
      </c>
      <c r="L1666">
        <f>IF(NOT(ISNUMBER(G1666)),"SEM META",IF(G1666=0,"SEM META",IF(NOT(ISNUMBER(H1666)),"SEM APONTAMENTO",IF(H1666&gt;=G1666,"VERDE",IF(H1666&gt;=G1666*0.9,"AMARELO","VERMELHO")))))</f>
        <v/>
      </c>
      <c r="M1666" s="162" t="n"/>
      <c r="N1666" s="162" t="n"/>
      <c r="O1666" s="162" t="n"/>
      <c r="P1666" s="162" t="n"/>
      <c r="Q1666" s="320" t="n"/>
      <c r="R1666" s="162" t="inlineStr">
        <is>
          <t>CONTROLE PRODUÇÃO POR EMPRESAS!D283</t>
        </is>
      </c>
    </row>
    <row r="1667" ht="28.5" customHeight="1">
      <c r="A1667" s="317" t="n">
        <v>46500</v>
      </c>
      <c r="B1667" t="inlineStr">
        <is>
          <t>GERAL</t>
        </is>
      </c>
      <c r="C1667" t="inlineStr">
        <is>
          <t>CMM</t>
        </is>
      </c>
      <c r="D1667" t="inlineStr">
        <is>
          <t>PREMONTAGEM</t>
        </is>
      </c>
      <c r="F1667" s="159">
        <f>IFERROR(INDEX('BASE METAS DIÁRIAS'!$N$2:$S$358,MATCH($A1667,'BASE METAS DIÁRIAS'!$A$2:$A$358,0),MOD(ROW()-2,6)+1),"")</f>
        <v/>
      </c>
      <c r="G1667" s="159">
        <f>IFERROR(IF(WEEKDAY($A1667,2)&lt;=INDEX('BASE METAS DIÁRIAS'!$H$2:$M$358,MATCH($A1667,'BASE METAS DIÁRIAS'!$A$2:$A$358,0),MOD(ROW()-2,6)+1),INDEX('BASE METAS DIÁRIAS'!$B$2:$G$358,MATCH($A1667,'BASE METAS DIÁRIAS'!$A$2:$A$358,0),MOD(ROW()-2,6)+1),""),"")</f>
        <v/>
      </c>
      <c r="H1667" s="159">
        <f>IFERROR(IF(INDEX('CONTROLE PRODUÇÃO POR EMPRESAS'!$B$6:$G$5000,MATCH($A1667,'CONTROLE PRODUÇÃO POR EMPRESAS'!$A$6:$A$5000,0),MOD(ROW()-2,6)+1)="","",IFERROR(1*INDEX('CONTROLE PRODUÇÃO POR EMPRESAS'!$B$6:$G$5000,MATCH($A1667,'CONTROLE PRODUÇÃO POR EMPRESAS'!$A$6:$A$5000,0),MOD(ROW()-2,6)+1),"")),"")</f>
        <v/>
      </c>
      <c r="I1667" s="159">
        <f>IF(OR(NOT(ISNUMBER(G1667)),NOT(ISNUMBER(H1667))),"",H1667-G1667)</f>
        <v/>
      </c>
      <c r="J1667" s="319">
        <f>IF(OR(NOT(ISNUMBER(G1667)),NOT(ISNUMBER(H1667)),G1667=0),"",I1667/G1667)</f>
        <v/>
      </c>
      <c r="K1667" s="319">
        <f>IF(OR(NOT(ISNUMBER(G1667)),NOT(ISNUMBER(H1667)),G1667=0),"",H1667/G1667)</f>
        <v/>
      </c>
      <c r="L1667">
        <f>IF(NOT(ISNUMBER(G1667)),"SEM META",IF(G1667=0,"SEM META",IF(NOT(ISNUMBER(H1667)),"SEM APONTAMENTO",IF(H1667&gt;=G1667,"VERDE",IF(H1667&gt;=G1667*0.9,"AMARELO","VERMELHO")))))</f>
        <v/>
      </c>
      <c r="M1667" s="162" t="n"/>
      <c r="N1667" s="162" t="n"/>
      <c r="O1667" s="162" t="n"/>
      <c r="P1667" s="162" t="n"/>
      <c r="Q1667" s="320" t="n"/>
      <c r="R1667" s="162" t="inlineStr">
        <is>
          <t>CONTROLE PRODUÇÃO POR EMPRESAS!E283</t>
        </is>
      </c>
    </row>
    <row r="1668" ht="28.5" customHeight="1">
      <c r="A1668" s="317" t="n">
        <v>46500</v>
      </c>
      <c r="B1668" t="inlineStr">
        <is>
          <t>GERAL</t>
        </is>
      </c>
      <c r="C1668" t="inlineStr">
        <is>
          <t>CMM</t>
        </is>
      </c>
      <c r="D1668" t="inlineStr">
        <is>
          <t>IÇAMENTO JOIST</t>
        </is>
      </c>
      <c r="F1668" s="159">
        <f>IFERROR(INDEX('BASE METAS DIÁRIAS'!$N$2:$S$358,MATCH($A1668,'BASE METAS DIÁRIAS'!$A$2:$A$358,0),MOD(ROW()-2,6)+1),"")</f>
        <v/>
      </c>
      <c r="G1668" s="159">
        <f>IFERROR(IF(WEEKDAY($A1668,2)&lt;=INDEX('BASE METAS DIÁRIAS'!$H$2:$M$358,MATCH($A1668,'BASE METAS DIÁRIAS'!$A$2:$A$358,0),MOD(ROW()-2,6)+1),INDEX('BASE METAS DIÁRIAS'!$B$2:$G$358,MATCH($A1668,'BASE METAS DIÁRIAS'!$A$2:$A$358,0),MOD(ROW()-2,6)+1),""),"")</f>
        <v/>
      </c>
      <c r="H1668" s="159">
        <f>IFERROR(IF(INDEX('CONTROLE PRODUÇÃO POR EMPRESAS'!$B$6:$G$5000,MATCH($A1668,'CONTROLE PRODUÇÃO POR EMPRESAS'!$A$6:$A$5000,0),MOD(ROW()-2,6)+1)="","",IFERROR(1*INDEX('CONTROLE PRODUÇÃO POR EMPRESAS'!$B$6:$G$5000,MATCH($A1668,'CONTROLE PRODUÇÃO POR EMPRESAS'!$A$6:$A$5000,0),MOD(ROW()-2,6)+1),"")),"")</f>
        <v/>
      </c>
      <c r="I1668" s="159">
        <f>IF(OR(NOT(ISNUMBER(G1668)),NOT(ISNUMBER(H1668))),"",H1668-G1668)</f>
        <v/>
      </c>
      <c r="J1668" s="319">
        <f>IF(OR(NOT(ISNUMBER(G1668)),NOT(ISNUMBER(H1668)),G1668=0),"",I1668/G1668)</f>
        <v/>
      </c>
      <c r="K1668" s="319">
        <f>IF(OR(NOT(ISNUMBER(G1668)),NOT(ISNUMBER(H1668)),G1668=0),"",H1668/G1668)</f>
        <v/>
      </c>
      <c r="L1668">
        <f>IF(NOT(ISNUMBER(G1668)),"SEM META",IF(G1668=0,"SEM META",IF(NOT(ISNUMBER(H1668)),"SEM APONTAMENTO",IF(H1668&gt;=G1668,"VERDE",IF(H1668&gt;=G1668*0.9,"AMARELO","VERMELHO")))))</f>
        <v/>
      </c>
      <c r="M1668" s="162" t="n"/>
      <c r="N1668" s="162" t="n"/>
      <c r="O1668" s="162" t="n"/>
      <c r="P1668" s="162" t="n"/>
      <c r="Q1668" s="320" t="n"/>
      <c r="R1668" s="162" t="inlineStr">
        <is>
          <t>CONTROLE PRODUÇÃO POR EMPRESAS!F283</t>
        </is>
      </c>
    </row>
    <row r="1669" ht="28.5" customHeight="1">
      <c r="A1669" s="317" t="n">
        <v>46500</v>
      </c>
      <c r="B1669" t="inlineStr">
        <is>
          <t>GERAL</t>
        </is>
      </c>
      <c r="C1669" t="inlineStr">
        <is>
          <t>CMM</t>
        </is>
      </c>
      <c r="D1669" t="inlineStr">
        <is>
          <t>VIGAS</t>
        </is>
      </c>
      <c r="F1669" s="159">
        <f>IFERROR(INDEX('BASE METAS DIÁRIAS'!$N$2:$S$358,MATCH($A1669,'BASE METAS DIÁRIAS'!$A$2:$A$358,0),MOD(ROW()-2,6)+1),"")</f>
        <v/>
      </c>
      <c r="G1669" s="159">
        <f>IFERROR(IF(WEEKDAY($A1669,2)&lt;=INDEX('BASE METAS DIÁRIAS'!$H$2:$M$358,MATCH($A1669,'BASE METAS DIÁRIAS'!$A$2:$A$358,0),MOD(ROW()-2,6)+1),INDEX('BASE METAS DIÁRIAS'!$B$2:$G$358,MATCH($A1669,'BASE METAS DIÁRIAS'!$A$2:$A$358,0),MOD(ROW()-2,6)+1),""),"")</f>
        <v/>
      </c>
      <c r="H1669" s="159">
        <f>IFERROR(IF(INDEX('CONTROLE PRODUÇÃO POR EMPRESAS'!$B$6:$G$5000,MATCH($A1669,'CONTROLE PRODUÇÃO POR EMPRESAS'!$A$6:$A$5000,0),MOD(ROW()-2,6)+1)="","",IFERROR(1*INDEX('CONTROLE PRODUÇÃO POR EMPRESAS'!$B$6:$G$5000,MATCH($A1669,'CONTROLE PRODUÇÃO POR EMPRESAS'!$A$6:$A$5000,0),MOD(ROW()-2,6)+1),"")),"")</f>
        <v/>
      </c>
      <c r="I1669" s="159">
        <f>IF(OR(NOT(ISNUMBER(G1669)),NOT(ISNUMBER(H1669))),"",H1669-G1669)</f>
        <v/>
      </c>
      <c r="J1669" s="319">
        <f>IF(OR(NOT(ISNUMBER(G1669)),NOT(ISNUMBER(H1669)),G1669=0),"",I1669/G1669)</f>
        <v/>
      </c>
      <c r="K1669" s="319">
        <f>IF(OR(NOT(ISNUMBER(G1669)),NOT(ISNUMBER(H1669)),G1669=0),"",H1669/G1669)</f>
        <v/>
      </c>
      <c r="L1669">
        <f>IF(NOT(ISNUMBER(G1669)),"SEM META",IF(G1669=0,"SEM META",IF(NOT(ISNUMBER(H1669)),"SEM APONTAMENTO",IF(H1669&gt;=G1669,"VERDE",IF(H1669&gt;=G1669*0.9,"AMARELO","VERMELHO")))))</f>
        <v/>
      </c>
      <c r="M1669" s="162" t="n"/>
      <c r="N1669" s="162" t="n"/>
      <c r="O1669" s="162" t="n"/>
      <c r="P1669" s="162" t="n"/>
      <c r="Q1669" s="320" t="n"/>
      <c r="R1669" s="162" t="inlineStr">
        <is>
          <t>CONTROLE PRODUÇÃO POR EMPRESAS!G283</t>
        </is>
      </c>
    </row>
    <row r="1670" ht="28.5" customHeight="1">
      <c r="A1670" s="317" t="n">
        <v>46501</v>
      </c>
      <c r="B1670" t="inlineStr">
        <is>
          <t>GERAL</t>
        </is>
      </c>
      <c r="C1670" t="inlineStr">
        <is>
          <t>EJ</t>
        </is>
      </c>
      <c r="D1670" t="inlineStr">
        <is>
          <t>PREMONTAGEM</t>
        </is>
      </c>
      <c r="F1670" s="159">
        <f>IFERROR(INDEX('BASE METAS DIÁRIAS'!$N$2:$S$358,MATCH($A1670,'BASE METAS DIÁRIAS'!$A$2:$A$358,0),MOD(ROW()-2,6)+1),"")</f>
        <v/>
      </c>
      <c r="G1670" s="159">
        <f>IFERROR(IF(WEEKDAY($A1670,2)&lt;=INDEX('BASE METAS DIÁRIAS'!$H$2:$M$358,MATCH($A1670,'BASE METAS DIÁRIAS'!$A$2:$A$358,0),MOD(ROW()-2,6)+1),INDEX('BASE METAS DIÁRIAS'!$B$2:$G$358,MATCH($A1670,'BASE METAS DIÁRIAS'!$A$2:$A$358,0),MOD(ROW()-2,6)+1),""),"")</f>
        <v/>
      </c>
      <c r="H1670" s="159">
        <f>IFERROR(IF(INDEX('CONTROLE PRODUÇÃO POR EMPRESAS'!$B$6:$G$5000,MATCH($A1670,'CONTROLE PRODUÇÃO POR EMPRESAS'!$A$6:$A$5000,0),MOD(ROW()-2,6)+1)="","",IFERROR(1*INDEX('CONTROLE PRODUÇÃO POR EMPRESAS'!$B$6:$G$5000,MATCH($A1670,'CONTROLE PRODUÇÃO POR EMPRESAS'!$A$6:$A$5000,0),MOD(ROW()-2,6)+1),"")),"")</f>
        <v/>
      </c>
      <c r="I1670" s="159">
        <f>IF(OR(NOT(ISNUMBER(G1670)),NOT(ISNUMBER(H1670))),"",H1670-G1670)</f>
        <v/>
      </c>
      <c r="J1670" s="319">
        <f>IF(OR(NOT(ISNUMBER(G1670)),NOT(ISNUMBER(H1670)),G1670=0),"",I1670/G1670)</f>
        <v/>
      </c>
      <c r="K1670" s="319">
        <f>IF(OR(NOT(ISNUMBER(G1670)),NOT(ISNUMBER(H1670)),G1670=0),"",H1670/G1670)</f>
        <v/>
      </c>
      <c r="L1670">
        <f>IF(NOT(ISNUMBER(G1670)),"SEM META",IF(G1670=0,"SEM META",IF(NOT(ISNUMBER(H1670)),"SEM APONTAMENTO",IF(H1670&gt;=G1670,"VERDE",IF(H1670&gt;=G1670*0.9,"AMARELO","VERMELHO")))))</f>
        <v/>
      </c>
      <c r="M1670" s="162" t="n"/>
      <c r="N1670" s="162" t="n"/>
      <c r="O1670" s="162" t="n"/>
      <c r="P1670" s="162" t="n"/>
      <c r="Q1670" s="320" t="n"/>
      <c r="R1670" s="162" t="inlineStr">
        <is>
          <t>CONTROLE PRODUÇÃO POR EMPRESAS!B284</t>
        </is>
      </c>
    </row>
    <row r="1671" ht="28.5" customHeight="1">
      <c r="A1671" s="317" t="n">
        <v>46501</v>
      </c>
      <c r="B1671" t="inlineStr">
        <is>
          <t>GERAL</t>
        </is>
      </c>
      <c r="C1671" t="inlineStr">
        <is>
          <t>EJ</t>
        </is>
      </c>
      <c r="D1671" t="inlineStr">
        <is>
          <t>IÇAMENTO JOIST</t>
        </is>
      </c>
      <c r="F1671" s="159">
        <f>IFERROR(INDEX('BASE METAS DIÁRIAS'!$N$2:$S$358,MATCH($A1671,'BASE METAS DIÁRIAS'!$A$2:$A$358,0),MOD(ROW()-2,6)+1),"")</f>
        <v/>
      </c>
      <c r="G1671" s="159">
        <f>IFERROR(IF(WEEKDAY($A1671,2)&lt;=INDEX('BASE METAS DIÁRIAS'!$H$2:$M$358,MATCH($A1671,'BASE METAS DIÁRIAS'!$A$2:$A$358,0),MOD(ROW()-2,6)+1),INDEX('BASE METAS DIÁRIAS'!$B$2:$G$358,MATCH($A1671,'BASE METAS DIÁRIAS'!$A$2:$A$358,0),MOD(ROW()-2,6)+1),""),"")</f>
        <v/>
      </c>
      <c r="H1671" s="159">
        <f>IFERROR(IF(INDEX('CONTROLE PRODUÇÃO POR EMPRESAS'!$B$6:$G$5000,MATCH($A1671,'CONTROLE PRODUÇÃO POR EMPRESAS'!$A$6:$A$5000,0),MOD(ROW()-2,6)+1)="","",IFERROR(1*INDEX('CONTROLE PRODUÇÃO POR EMPRESAS'!$B$6:$G$5000,MATCH($A1671,'CONTROLE PRODUÇÃO POR EMPRESAS'!$A$6:$A$5000,0),MOD(ROW()-2,6)+1),"")),"")</f>
        <v/>
      </c>
      <c r="I1671" s="159">
        <f>IF(OR(NOT(ISNUMBER(G1671)),NOT(ISNUMBER(H1671))),"",H1671-G1671)</f>
        <v/>
      </c>
      <c r="J1671" s="319">
        <f>IF(OR(NOT(ISNUMBER(G1671)),NOT(ISNUMBER(H1671)),G1671=0),"",I1671/G1671)</f>
        <v/>
      </c>
      <c r="K1671" s="319">
        <f>IF(OR(NOT(ISNUMBER(G1671)),NOT(ISNUMBER(H1671)),G1671=0),"",H1671/G1671)</f>
        <v/>
      </c>
      <c r="L1671">
        <f>IF(NOT(ISNUMBER(G1671)),"SEM META",IF(G1671=0,"SEM META",IF(NOT(ISNUMBER(H1671)),"SEM APONTAMENTO",IF(H1671&gt;=G1671,"VERDE",IF(H1671&gt;=G1671*0.9,"AMARELO","VERMELHO")))))</f>
        <v/>
      </c>
      <c r="M1671" s="162" t="n"/>
      <c r="N1671" s="162" t="n"/>
      <c r="O1671" s="162" t="n"/>
      <c r="P1671" s="162" t="n"/>
      <c r="Q1671" s="320" t="n"/>
      <c r="R1671" s="162" t="inlineStr">
        <is>
          <t>CONTROLE PRODUÇÃO POR EMPRESAS!C284</t>
        </is>
      </c>
    </row>
    <row r="1672" ht="28.5" customHeight="1">
      <c r="A1672" s="317" t="n">
        <v>46501</v>
      </c>
      <c r="B1672" t="inlineStr">
        <is>
          <t>GERAL</t>
        </is>
      </c>
      <c r="C1672" t="inlineStr">
        <is>
          <t>EJ</t>
        </is>
      </c>
      <c r="D1672" t="inlineStr">
        <is>
          <t>VIGAS</t>
        </is>
      </c>
      <c r="F1672" s="159">
        <f>IFERROR(INDEX('BASE METAS DIÁRIAS'!$N$2:$S$358,MATCH($A1672,'BASE METAS DIÁRIAS'!$A$2:$A$358,0),MOD(ROW()-2,6)+1),"")</f>
        <v/>
      </c>
      <c r="G1672" s="159">
        <f>IFERROR(IF(WEEKDAY($A1672,2)&lt;=INDEX('BASE METAS DIÁRIAS'!$H$2:$M$358,MATCH($A1672,'BASE METAS DIÁRIAS'!$A$2:$A$358,0),MOD(ROW()-2,6)+1),INDEX('BASE METAS DIÁRIAS'!$B$2:$G$358,MATCH($A1672,'BASE METAS DIÁRIAS'!$A$2:$A$358,0),MOD(ROW()-2,6)+1),""),"")</f>
        <v/>
      </c>
      <c r="H1672" s="159">
        <f>IFERROR(IF(INDEX('CONTROLE PRODUÇÃO POR EMPRESAS'!$B$6:$G$5000,MATCH($A1672,'CONTROLE PRODUÇÃO POR EMPRESAS'!$A$6:$A$5000,0),MOD(ROW()-2,6)+1)="","",IFERROR(1*INDEX('CONTROLE PRODUÇÃO POR EMPRESAS'!$B$6:$G$5000,MATCH($A1672,'CONTROLE PRODUÇÃO POR EMPRESAS'!$A$6:$A$5000,0),MOD(ROW()-2,6)+1),"")),"")</f>
        <v/>
      </c>
      <c r="I1672" s="159">
        <f>IF(OR(NOT(ISNUMBER(G1672)),NOT(ISNUMBER(H1672))),"",H1672-G1672)</f>
        <v/>
      </c>
      <c r="J1672" s="319">
        <f>IF(OR(NOT(ISNUMBER(G1672)),NOT(ISNUMBER(H1672)),G1672=0),"",I1672/G1672)</f>
        <v/>
      </c>
      <c r="K1672" s="319">
        <f>IF(OR(NOT(ISNUMBER(G1672)),NOT(ISNUMBER(H1672)),G1672=0),"",H1672/G1672)</f>
        <v/>
      </c>
      <c r="L1672">
        <f>IF(NOT(ISNUMBER(G1672)),"SEM META",IF(G1672=0,"SEM META",IF(NOT(ISNUMBER(H1672)),"SEM APONTAMENTO",IF(H1672&gt;=G1672,"VERDE",IF(H1672&gt;=G1672*0.9,"AMARELO","VERMELHO")))))</f>
        <v/>
      </c>
      <c r="M1672" s="162" t="n"/>
      <c r="N1672" s="162" t="n"/>
      <c r="O1672" s="162" t="n"/>
      <c r="P1672" s="162" t="n"/>
      <c r="Q1672" s="320" t="n"/>
      <c r="R1672" s="162" t="inlineStr">
        <is>
          <t>CONTROLE PRODUÇÃO POR EMPRESAS!D284</t>
        </is>
      </c>
    </row>
    <row r="1673" ht="28.5" customHeight="1">
      <c r="A1673" s="317" t="n">
        <v>46501</v>
      </c>
      <c r="B1673" t="inlineStr">
        <is>
          <t>GERAL</t>
        </is>
      </c>
      <c r="C1673" t="inlineStr">
        <is>
          <t>CMM</t>
        </is>
      </c>
      <c r="D1673" t="inlineStr">
        <is>
          <t>PREMONTAGEM</t>
        </is>
      </c>
      <c r="F1673" s="159">
        <f>IFERROR(INDEX('BASE METAS DIÁRIAS'!$N$2:$S$358,MATCH($A1673,'BASE METAS DIÁRIAS'!$A$2:$A$358,0),MOD(ROW()-2,6)+1),"")</f>
        <v/>
      </c>
      <c r="G1673" s="159">
        <f>IFERROR(IF(WEEKDAY($A1673,2)&lt;=INDEX('BASE METAS DIÁRIAS'!$H$2:$M$358,MATCH($A1673,'BASE METAS DIÁRIAS'!$A$2:$A$358,0),MOD(ROW()-2,6)+1),INDEX('BASE METAS DIÁRIAS'!$B$2:$G$358,MATCH($A1673,'BASE METAS DIÁRIAS'!$A$2:$A$358,0),MOD(ROW()-2,6)+1),""),"")</f>
        <v/>
      </c>
      <c r="H1673" s="159">
        <f>IFERROR(IF(INDEX('CONTROLE PRODUÇÃO POR EMPRESAS'!$B$6:$G$5000,MATCH($A1673,'CONTROLE PRODUÇÃO POR EMPRESAS'!$A$6:$A$5000,0),MOD(ROW()-2,6)+1)="","",IFERROR(1*INDEX('CONTROLE PRODUÇÃO POR EMPRESAS'!$B$6:$G$5000,MATCH($A1673,'CONTROLE PRODUÇÃO POR EMPRESAS'!$A$6:$A$5000,0),MOD(ROW()-2,6)+1),"")),"")</f>
        <v/>
      </c>
      <c r="I1673" s="159">
        <f>IF(OR(NOT(ISNUMBER(G1673)),NOT(ISNUMBER(H1673))),"",H1673-G1673)</f>
        <v/>
      </c>
      <c r="J1673" s="319">
        <f>IF(OR(NOT(ISNUMBER(G1673)),NOT(ISNUMBER(H1673)),G1673=0),"",I1673/G1673)</f>
        <v/>
      </c>
      <c r="K1673" s="319">
        <f>IF(OR(NOT(ISNUMBER(G1673)),NOT(ISNUMBER(H1673)),G1673=0),"",H1673/G1673)</f>
        <v/>
      </c>
      <c r="L1673">
        <f>IF(NOT(ISNUMBER(G1673)),"SEM META",IF(G1673=0,"SEM META",IF(NOT(ISNUMBER(H1673)),"SEM APONTAMENTO",IF(H1673&gt;=G1673,"VERDE",IF(H1673&gt;=G1673*0.9,"AMARELO","VERMELHO")))))</f>
        <v/>
      </c>
      <c r="M1673" s="162" t="n"/>
      <c r="N1673" s="162" t="n"/>
      <c r="O1673" s="162" t="n"/>
      <c r="P1673" s="162" t="n"/>
      <c r="Q1673" s="320" t="n"/>
      <c r="R1673" s="162" t="inlineStr">
        <is>
          <t>CONTROLE PRODUÇÃO POR EMPRESAS!E284</t>
        </is>
      </c>
    </row>
    <row r="1674" ht="28.5" customHeight="1">
      <c r="A1674" s="317" t="n">
        <v>46501</v>
      </c>
      <c r="B1674" t="inlineStr">
        <is>
          <t>GERAL</t>
        </is>
      </c>
      <c r="C1674" t="inlineStr">
        <is>
          <t>CMM</t>
        </is>
      </c>
      <c r="D1674" t="inlineStr">
        <is>
          <t>IÇAMENTO JOIST</t>
        </is>
      </c>
      <c r="F1674" s="159">
        <f>IFERROR(INDEX('BASE METAS DIÁRIAS'!$N$2:$S$358,MATCH($A1674,'BASE METAS DIÁRIAS'!$A$2:$A$358,0),MOD(ROW()-2,6)+1),"")</f>
        <v/>
      </c>
      <c r="G1674" s="159">
        <f>IFERROR(IF(WEEKDAY($A1674,2)&lt;=INDEX('BASE METAS DIÁRIAS'!$H$2:$M$358,MATCH($A1674,'BASE METAS DIÁRIAS'!$A$2:$A$358,0),MOD(ROW()-2,6)+1),INDEX('BASE METAS DIÁRIAS'!$B$2:$G$358,MATCH($A1674,'BASE METAS DIÁRIAS'!$A$2:$A$358,0),MOD(ROW()-2,6)+1),""),"")</f>
        <v/>
      </c>
      <c r="H1674" s="159">
        <f>IFERROR(IF(INDEX('CONTROLE PRODUÇÃO POR EMPRESAS'!$B$6:$G$5000,MATCH($A1674,'CONTROLE PRODUÇÃO POR EMPRESAS'!$A$6:$A$5000,0),MOD(ROW()-2,6)+1)="","",IFERROR(1*INDEX('CONTROLE PRODUÇÃO POR EMPRESAS'!$B$6:$G$5000,MATCH($A1674,'CONTROLE PRODUÇÃO POR EMPRESAS'!$A$6:$A$5000,0),MOD(ROW()-2,6)+1),"")),"")</f>
        <v/>
      </c>
      <c r="I1674" s="159">
        <f>IF(OR(NOT(ISNUMBER(G1674)),NOT(ISNUMBER(H1674))),"",H1674-G1674)</f>
        <v/>
      </c>
      <c r="J1674" s="319">
        <f>IF(OR(NOT(ISNUMBER(G1674)),NOT(ISNUMBER(H1674)),G1674=0),"",I1674/G1674)</f>
        <v/>
      </c>
      <c r="K1674" s="319">
        <f>IF(OR(NOT(ISNUMBER(G1674)),NOT(ISNUMBER(H1674)),G1674=0),"",H1674/G1674)</f>
        <v/>
      </c>
      <c r="L1674">
        <f>IF(NOT(ISNUMBER(G1674)),"SEM META",IF(G1674=0,"SEM META",IF(NOT(ISNUMBER(H1674)),"SEM APONTAMENTO",IF(H1674&gt;=G1674,"VERDE",IF(H1674&gt;=G1674*0.9,"AMARELO","VERMELHO")))))</f>
        <v/>
      </c>
      <c r="M1674" s="162" t="n"/>
      <c r="N1674" s="162" t="n"/>
      <c r="O1674" s="162" t="n"/>
      <c r="P1674" s="162" t="n"/>
      <c r="Q1674" s="320" t="n"/>
      <c r="R1674" s="162" t="inlineStr">
        <is>
          <t>CONTROLE PRODUÇÃO POR EMPRESAS!F284</t>
        </is>
      </c>
    </row>
    <row r="1675" ht="28.5" customHeight="1">
      <c r="A1675" s="317" t="n">
        <v>46501</v>
      </c>
      <c r="B1675" t="inlineStr">
        <is>
          <t>GERAL</t>
        </is>
      </c>
      <c r="C1675" t="inlineStr">
        <is>
          <t>CMM</t>
        </is>
      </c>
      <c r="D1675" t="inlineStr">
        <is>
          <t>VIGAS</t>
        </is>
      </c>
      <c r="F1675" s="159">
        <f>IFERROR(INDEX('BASE METAS DIÁRIAS'!$N$2:$S$358,MATCH($A1675,'BASE METAS DIÁRIAS'!$A$2:$A$358,0),MOD(ROW()-2,6)+1),"")</f>
        <v/>
      </c>
      <c r="G1675" s="159">
        <f>IFERROR(IF(WEEKDAY($A1675,2)&lt;=INDEX('BASE METAS DIÁRIAS'!$H$2:$M$358,MATCH($A1675,'BASE METAS DIÁRIAS'!$A$2:$A$358,0),MOD(ROW()-2,6)+1),INDEX('BASE METAS DIÁRIAS'!$B$2:$G$358,MATCH($A1675,'BASE METAS DIÁRIAS'!$A$2:$A$358,0),MOD(ROW()-2,6)+1),""),"")</f>
        <v/>
      </c>
      <c r="H1675" s="159">
        <f>IFERROR(IF(INDEX('CONTROLE PRODUÇÃO POR EMPRESAS'!$B$6:$G$5000,MATCH($A1675,'CONTROLE PRODUÇÃO POR EMPRESAS'!$A$6:$A$5000,0),MOD(ROW()-2,6)+1)="","",IFERROR(1*INDEX('CONTROLE PRODUÇÃO POR EMPRESAS'!$B$6:$G$5000,MATCH($A1675,'CONTROLE PRODUÇÃO POR EMPRESAS'!$A$6:$A$5000,0),MOD(ROW()-2,6)+1),"")),"")</f>
        <v/>
      </c>
      <c r="I1675" s="159">
        <f>IF(OR(NOT(ISNUMBER(G1675)),NOT(ISNUMBER(H1675))),"",H1675-G1675)</f>
        <v/>
      </c>
      <c r="J1675" s="319">
        <f>IF(OR(NOT(ISNUMBER(G1675)),NOT(ISNUMBER(H1675)),G1675=0),"",I1675/G1675)</f>
        <v/>
      </c>
      <c r="K1675" s="319">
        <f>IF(OR(NOT(ISNUMBER(G1675)),NOT(ISNUMBER(H1675)),G1675=0),"",H1675/G1675)</f>
        <v/>
      </c>
      <c r="L1675">
        <f>IF(NOT(ISNUMBER(G1675)),"SEM META",IF(G1675=0,"SEM META",IF(NOT(ISNUMBER(H1675)),"SEM APONTAMENTO",IF(H1675&gt;=G1675,"VERDE",IF(H1675&gt;=G1675*0.9,"AMARELO","VERMELHO")))))</f>
        <v/>
      </c>
      <c r="M1675" s="162" t="n"/>
      <c r="N1675" s="162" t="n"/>
      <c r="O1675" s="162" t="n"/>
      <c r="P1675" s="162" t="n"/>
      <c r="Q1675" s="320" t="n"/>
      <c r="R1675" s="162" t="inlineStr">
        <is>
          <t>CONTROLE PRODUÇÃO POR EMPRESAS!G284</t>
        </is>
      </c>
    </row>
    <row r="1676" ht="28.5" customHeight="1">
      <c r="A1676" s="317" t="n">
        <v>46502</v>
      </c>
      <c r="B1676" t="inlineStr">
        <is>
          <t>GERAL</t>
        </is>
      </c>
      <c r="C1676" t="inlineStr">
        <is>
          <t>EJ</t>
        </is>
      </c>
      <c r="D1676" t="inlineStr">
        <is>
          <t>PREMONTAGEM</t>
        </is>
      </c>
      <c r="F1676" s="159">
        <f>IFERROR(INDEX('BASE METAS DIÁRIAS'!$N$2:$S$358,MATCH($A1676,'BASE METAS DIÁRIAS'!$A$2:$A$358,0),MOD(ROW()-2,6)+1),"")</f>
        <v/>
      </c>
      <c r="G1676" s="159">
        <f>IFERROR(IF(WEEKDAY($A1676,2)&lt;=INDEX('BASE METAS DIÁRIAS'!$H$2:$M$358,MATCH($A1676,'BASE METAS DIÁRIAS'!$A$2:$A$358,0),MOD(ROW()-2,6)+1),INDEX('BASE METAS DIÁRIAS'!$B$2:$G$358,MATCH($A1676,'BASE METAS DIÁRIAS'!$A$2:$A$358,0),MOD(ROW()-2,6)+1),""),"")</f>
        <v/>
      </c>
      <c r="H1676" s="159">
        <f>IFERROR(IF(INDEX('CONTROLE PRODUÇÃO POR EMPRESAS'!$B$6:$G$5000,MATCH($A1676,'CONTROLE PRODUÇÃO POR EMPRESAS'!$A$6:$A$5000,0),MOD(ROW()-2,6)+1)="","",IFERROR(1*INDEX('CONTROLE PRODUÇÃO POR EMPRESAS'!$B$6:$G$5000,MATCH($A1676,'CONTROLE PRODUÇÃO POR EMPRESAS'!$A$6:$A$5000,0),MOD(ROW()-2,6)+1),"")),"")</f>
        <v/>
      </c>
      <c r="I1676" s="159">
        <f>IF(OR(NOT(ISNUMBER(G1676)),NOT(ISNUMBER(H1676))),"",H1676-G1676)</f>
        <v/>
      </c>
      <c r="J1676" s="319">
        <f>IF(OR(NOT(ISNUMBER(G1676)),NOT(ISNUMBER(H1676)),G1676=0),"",I1676/G1676)</f>
        <v/>
      </c>
      <c r="K1676" s="319">
        <f>IF(OR(NOT(ISNUMBER(G1676)),NOT(ISNUMBER(H1676)),G1676=0),"",H1676/G1676)</f>
        <v/>
      </c>
      <c r="L1676">
        <f>IF(NOT(ISNUMBER(G1676)),"SEM META",IF(G1676=0,"SEM META",IF(NOT(ISNUMBER(H1676)),"SEM APONTAMENTO",IF(H1676&gt;=G1676,"VERDE",IF(H1676&gt;=G1676*0.9,"AMARELO","VERMELHO")))))</f>
        <v/>
      </c>
      <c r="M1676" s="162" t="n"/>
      <c r="N1676" s="162" t="n"/>
      <c r="O1676" s="162" t="n"/>
      <c r="P1676" s="162" t="n"/>
      <c r="Q1676" s="320" t="n"/>
      <c r="R1676" s="162" t="inlineStr">
        <is>
          <t>CONTROLE PRODUÇÃO POR EMPRESAS!B285</t>
        </is>
      </c>
    </row>
    <row r="1677" ht="28.5" customHeight="1">
      <c r="A1677" s="317" t="n">
        <v>46502</v>
      </c>
      <c r="B1677" t="inlineStr">
        <is>
          <t>GERAL</t>
        </is>
      </c>
      <c r="C1677" t="inlineStr">
        <is>
          <t>EJ</t>
        </is>
      </c>
      <c r="D1677" t="inlineStr">
        <is>
          <t>IÇAMENTO JOIST</t>
        </is>
      </c>
      <c r="F1677" s="159">
        <f>IFERROR(INDEX('BASE METAS DIÁRIAS'!$N$2:$S$358,MATCH($A1677,'BASE METAS DIÁRIAS'!$A$2:$A$358,0),MOD(ROW()-2,6)+1),"")</f>
        <v/>
      </c>
      <c r="G1677" s="159">
        <f>IFERROR(IF(WEEKDAY($A1677,2)&lt;=INDEX('BASE METAS DIÁRIAS'!$H$2:$M$358,MATCH($A1677,'BASE METAS DIÁRIAS'!$A$2:$A$358,0),MOD(ROW()-2,6)+1),INDEX('BASE METAS DIÁRIAS'!$B$2:$G$358,MATCH($A1677,'BASE METAS DIÁRIAS'!$A$2:$A$358,0),MOD(ROW()-2,6)+1),""),"")</f>
        <v/>
      </c>
      <c r="H1677" s="159">
        <f>IFERROR(IF(INDEX('CONTROLE PRODUÇÃO POR EMPRESAS'!$B$6:$G$5000,MATCH($A1677,'CONTROLE PRODUÇÃO POR EMPRESAS'!$A$6:$A$5000,0),MOD(ROW()-2,6)+1)="","",IFERROR(1*INDEX('CONTROLE PRODUÇÃO POR EMPRESAS'!$B$6:$G$5000,MATCH($A1677,'CONTROLE PRODUÇÃO POR EMPRESAS'!$A$6:$A$5000,0),MOD(ROW()-2,6)+1),"")),"")</f>
        <v/>
      </c>
      <c r="I1677" s="159">
        <f>IF(OR(NOT(ISNUMBER(G1677)),NOT(ISNUMBER(H1677))),"",H1677-G1677)</f>
        <v/>
      </c>
      <c r="J1677" s="319">
        <f>IF(OR(NOT(ISNUMBER(G1677)),NOT(ISNUMBER(H1677)),G1677=0),"",I1677/G1677)</f>
        <v/>
      </c>
      <c r="K1677" s="319">
        <f>IF(OR(NOT(ISNUMBER(G1677)),NOT(ISNUMBER(H1677)),G1677=0),"",H1677/G1677)</f>
        <v/>
      </c>
      <c r="L1677">
        <f>IF(NOT(ISNUMBER(G1677)),"SEM META",IF(G1677=0,"SEM META",IF(NOT(ISNUMBER(H1677)),"SEM APONTAMENTO",IF(H1677&gt;=G1677,"VERDE",IF(H1677&gt;=G1677*0.9,"AMARELO","VERMELHO")))))</f>
        <v/>
      </c>
      <c r="M1677" s="162" t="n"/>
      <c r="N1677" s="162" t="n"/>
      <c r="O1677" s="162" t="n"/>
      <c r="P1677" s="162" t="n"/>
      <c r="Q1677" s="320" t="n"/>
      <c r="R1677" s="162" t="inlineStr">
        <is>
          <t>CONTROLE PRODUÇÃO POR EMPRESAS!C285</t>
        </is>
      </c>
    </row>
    <row r="1678" ht="28.5" customHeight="1">
      <c r="A1678" s="317" t="n">
        <v>46502</v>
      </c>
      <c r="B1678" t="inlineStr">
        <is>
          <t>GERAL</t>
        </is>
      </c>
      <c r="C1678" t="inlineStr">
        <is>
          <t>EJ</t>
        </is>
      </c>
      <c r="D1678" t="inlineStr">
        <is>
          <t>VIGAS</t>
        </is>
      </c>
      <c r="F1678" s="159">
        <f>IFERROR(INDEX('BASE METAS DIÁRIAS'!$N$2:$S$358,MATCH($A1678,'BASE METAS DIÁRIAS'!$A$2:$A$358,0),MOD(ROW()-2,6)+1),"")</f>
        <v/>
      </c>
      <c r="G1678" s="159">
        <f>IFERROR(IF(WEEKDAY($A1678,2)&lt;=INDEX('BASE METAS DIÁRIAS'!$H$2:$M$358,MATCH($A1678,'BASE METAS DIÁRIAS'!$A$2:$A$358,0),MOD(ROW()-2,6)+1),INDEX('BASE METAS DIÁRIAS'!$B$2:$G$358,MATCH($A1678,'BASE METAS DIÁRIAS'!$A$2:$A$358,0),MOD(ROW()-2,6)+1),""),"")</f>
        <v/>
      </c>
      <c r="H1678" s="159">
        <f>IFERROR(IF(INDEX('CONTROLE PRODUÇÃO POR EMPRESAS'!$B$6:$G$5000,MATCH($A1678,'CONTROLE PRODUÇÃO POR EMPRESAS'!$A$6:$A$5000,0),MOD(ROW()-2,6)+1)="","",IFERROR(1*INDEX('CONTROLE PRODUÇÃO POR EMPRESAS'!$B$6:$G$5000,MATCH($A1678,'CONTROLE PRODUÇÃO POR EMPRESAS'!$A$6:$A$5000,0),MOD(ROW()-2,6)+1),"")),"")</f>
        <v/>
      </c>
      <c r="I1678" s="159">
        <f>IF(OR(NOT(ISNUMBER(G1678)),NOT(ISNUMBER(H1678))),"",H1678-G1678)</f>
        <v/>
      </c>
      <c r="J1678" s="319">
        <f>IF(OR(NOT(ISNUMBER(G1678)),NOT(ISNUMBER(H1678)),G1678=0),"",I1678/G1678)</f>
        <v/>
      </c>
      <c r="K1678" s="319">
        <f>IF(OR(NOT(ISNUMBER(G1678)),NOT(ISNUMBER(H1678)),G1678=0),"",H1678/G1678)</f>
        <v/>
      </c>
      <c r="L1678">
        <f>IF(NOT(ISNUMBER(G1678)),"SEM META",IF(G1678=0,"SEM META",IF(NOT(ISNUMBER(H1678)),"SEM APONTAMENTO",IF(H1678&gt;=G1678,"VERDE",IF(H1678&gt;=G1678*0.9,"AMARELO","VERMELHO")))))</f>
        <v/>
      </c>
      <c r="M1678" s="162" t="n"/>
      <c r="N1678" s="162" t="n"/>
      <c r="O1678" s="162" t="n"/>
      <c r="P1678" s="162" t="n"/>
      <c r="Q1678" s="320" t="n"/>
      <c r="R1678" s="162" t="inlineStr">
        <is>
          <t>CONTROLE PRODUÇÃO POR EMPRESAS!D285</t>
        </is>
      </c>
    </row>
    <row r="1679" ht="28.5" customHeight="1">
      <c r="A1679" s="317" t="n">
        <v>46502</v>
      </c>
      <c r="B1679" t="inlineStr">
        <is>
          <t>GERAL</t>
        </is>
      </c>
      <c r="C1679" t="inlineStr">
        <is>
          <t>CMM</t>
        </is>
      </c>
      <c r="D1679" t="inlineStr">
        <is>
          <t>PREMONTAGEM</t>
        </is>
      </c>
      <c r="F1679" s="159">
        <f>IFERROR(INDEX('BASE METAS DIÁRIAS'!$N$2:$S$358,MATCH($A1679,'BASE METAS DIÁRIAS'!$A$2:$A$358,0),MOD(ROW()-2,6)+1),"")</f>
        <v/>
      </c>
      <c r="G1679" s="159">
        <f>IFERROR(IF(WEEKDAY($A1679,2)&lt;=INDEX('BASE METAS DIÁRIAS'!$H$2:$M$358,MATCH($A1679,'BASE METAS DIÁRIAS'!$A$2:$A$358,0),MOD(ROW()-2,6)+1),INDEX('BASE METAS DIÁRIAS'!$B$2:$G$358,MATCH($A1679,'BASE METAS DIÁRIAS'!$A$2:$A$358,0),MOD(ROW()-2,6)+1),""),"")</f>
        <v/>
      </c>
      <c r="H1679" s="159">
        <f>IFERROR(IF(INDEX('CONTROLE PRODUÇÃO POR EMPRESAS'!$B$6:$G$5000,MATCH($A1679,'CONTROLE PRODUÇÃO POR EMPRESAS'!$A$6:$A$5000,0),MOD(ROW()-2,6)+1)="","",IFERROR(1*INDEX('CONTROLE PRODUÇÃO POR EMPRESAS'!$B$6:$G$5000,MATCH($A1679,'CONTROLE PRODUÇÃO POR EMPRESAS'!$A$6:$A$5000,0),MOD(ROW()-2,6)+1),"")),"")</f>
        <v/>
      </c>
      <c r="I1679" s="159">
        <f>IF(OR(NOT(ISNUMBER(G1679)),NOT(ISNUMBER(H1679))),"",H1679-G1679)</f>
        <v/>
      </c>
      <c r="J1679" s="319">
        <f>IF(OR(NOT(ISNUMBER(G1679)),NOT(ISNUMBER(H1679)),G1679=0),"",I1679/G1679)</f>
        <v/>
      </c>
      <c r="K1679" s="319">
        <f>IF(OR(NOT(ISNUMBER(G1679)),NOT(ISNUMBER(H1679)),G1679=0),"",H1679/G1679)</f>
        <v/>
      </c>
      <c r="L1679">
        <f>IF(NOT(ISNUMBER(G1679)),"SEM META",IF(G1679=0,"SEM META",IF(NOT(ISNUMBER(H1679)),"SEM APONTAMENTO",IF(H1679&gt;=G1679,"VERDE",IF(H1679&gt;=G1679*0.9,"AMARELO","VERMELHO")))))</f>
        <v/>
      </c>
      <c r="M1679" s="162" t="n"/>
      <c r="N1679" s="162" t="n"/>
      <c r="O1679" s="162" t="n"/>
      <c r="P1679" s="162" t="n"/>
      <c r="Q1679" s="320" t="n"/>
      <c r="R1679" s="162" t="inlineStr">
        <is>
          <t>CONTROLE PRODUÇÃO POR EMPRESAS!E285</t>
        </is>
      </c>
    </row>
    <row r="1680" ht="28.5" customHeight="1">
      <c r="A1680" s="317" t="n">
        <v>46502</v>
      </c>
      <c r="B1680" t="inlineStr">
        <is>
          <t>GERAL</t>
        </is>
      </c>
      <c r="C1680" t="inlineStr">
        <is>
          <t>CMM</t>
        </is>
      </c>
      <c r="D1680" t="inlineStr">
        <is>
          <t>IÇAMENTO JOIST</t>
        </is>
      </c>
      <c r="F1680" s="159">
        <f>IFERROR(INDEX('BASE METAS DIÁRIAS'!$N$2:$S$358,MATCH($A1680,'BASE METAS DIÁRIAS'!$A$2:$A$358,0),MOD(ROW()-2,6)+1),"")</f>
        <v/>
      </c>
      <c r="G1680" s="159">
        <f>IFERROR(IF(WEEKDAY($A1680,2)&lt;=INDEX('BASE METAS DIÁRIAS'!$H$2:$M$358,MATCH($A1680,'BASE METAS DIÁRIAS'!$A$2:$A$358,0),MOD(ROW()-2,6)+1),INDEX('BASE METAS DIÁRIAS'!$B$2:$G$358,MATCH($A1680,'BASE METAS DIÁRIAS'!$A$2:$A$358,0),MOD(ROW()-2,6)+1),""),"")</f>
        <v/>
      </c>
      <c r="H1680" s="159">
        <f>IFERROR(IF(INDEX('CONTROLE PRODUÇÃO POR EMPRESAS'!$B$6:$G$5000,MATCH($A1680,'CONTROLE PRODUÇÃO POR EMPRESAS'!$A$6:$A$5000,0),MOD(ROW()-2,6)+1)="","",IFERROR(1*INDEX('CONTROLE PRODUÇÃO POR EMPRESAS'!$B$6:$G$5000,MATCH($A1680,'CONTROLE PRODUÇÃO POR EMPRESAS'!$A$6:$A$5000,0),MOD(ROW()-2,6)+1),"")),"")</f>
        <v/>
      </c>
      <c r="I1680" s="159">
        <f>IF(OR(NOT(ISNUMBER(G1680)),NOT(ISNUMBER(H1680))),"",H1680-G1680)</f>
        <v/>
      </c>
      <c r="J1680" s="319">
        <f>IF(OR(NOT(ISNUMBER(G1680)),NOT(ISNUMBER(H1680)),G1680=0),"",I1680/G1680)</f>
        <v/>
      </c>
      <c r="K1680" s="319">
        <f>IF(OR(NOT(ISNUMBER(G1680)),NOT(ISNUMBER(H1680)),G1680=0),"",H1680/G1680)</f>
        <v/>
      </c>
      <c r="L1680">
        <f>IF(NOT(ISNUMBER(G1680)),"SEM META",IF(G1680=0,"SEM META",IF(NOT(ISNUMBER(H1680)),"SEM APONTAMENTO",IF(H1680&gt;=G1680,"VERDE",IF(H1680&gt;=G1680*0.9,"AMARELO","VERMELHO")))))</f>
        <v/>
      </c>
      <c r="M1680" s="162" t="n"/>
      <c r="N1680" s="162" t="n"/>
      <c r="O1680" s="162" t="n"/>
      <c r="P1680" s="162" t="n"/>
      <c r="Q1680" s="320" t="n"/>
      <c r="R1680" s="162" t="inlineStr">
        <is>
          <t>CONTROLE PRODUÇÃO POR EMPRESAS!F285</t>
        </is>
      </c>
    </row>
    <row r="1681" ht="28.5" customHeight="1">
      <c r="A1681" s="317" t="n">
        <v>46502</v>
      </c>
      <c r="B1681" t="inlineStr">
        <is>
          <t>GERAL</t>
        </is>
      </c>
      <c r="C1681" t="inlineStr">
        <is>
          <t>CMM</t>
        </is>
      </c>
      <c r="D1681" t="inlineStr">
        <is>
          <t>VIGAS</t>
        </is>
      </c>
      <c r="F1681" s="159">
        <f>IFERROR(INDEX('BASE METAS DIÁRIAS'!$N$2:$S$358,MATCH($A1681,'BASE METAS DIÁRIAS'!$A$2:$A$358,0),MOD(ROW()-2,6)+1),"")</f>
        <v/>
      </c>
      <c r="G1681" s="159">
        <f>IFERROR(IF(WEEKDAY($A1681,2)&lt;=INDEX('BASE METAS DIÁRIAS'!$H$2:$M$358,MATCH($A1681,'BASE METAS DIÁRIAS'!$A$2:$A$358,0),MOD(ROW()-2,6)+1),INDEX('BASE METAS DIÁRIAS'!$B$2:$G$358,MATCH($A1681,'BASE METAS DIÁRIAS'!$A$2:$A$358,0),MOD(ROW()-2,6)+1),""),"")</f>
        <v/>
      </c>
      <c r="H1681" s="159">
        <f>IFERROR(IF(INDEX('CONTROLE PRODUÇÃO POR EMPRESAS'!$B$6:$G$5000,MATCH($A1681,'CONTROLE PRODUÇÃO POR EMPRESAS'!$A$6:$A$5000,0),MOD(ROW()-2,6)+1)="","",IFERROR(1*INDEX('CONTROLE PRODUÇÃO POR EMPRESAS'!$B$6:$G$5000,MATCH($A1681,'CONTROLE PRODUÇÃO POR EMPRESAS'!$A$6:$A$5000,0),MOD(ROW()-2,6)+1),"")),"")</f>
        <v/>
      </c>
      <c r="I1681" s="159">
        <f>IF(OR(NOT(ISNUMBER(G1681)),NOT(ISNUMBER(H1681))),"",H1681-G1681)</f>
        <v/>
      </c>
      <c r="J1681" s="319">
        <f>IF(OR(NOT(ISNUMBER(G1681)),NOT(ISNUMBER(H1681)),G1681=0),"",I1681/G1681)</f>
        <v/>
      </c>
      <c r="K1681" s="319">
        <f>IF(OR(NOT(ISNUMBER(G1681)),NOT(ISNUMBER(H1681)),G1681=0),"",H1681/G1681)</f>
        <v/>
      </c>
      <c r="L1681">
        <f>IF(NOT(ISNUMBER(G1681)),"SEM META",IF(G1681=0,"SEM META",IF(NOT(ISNUMBER(H1681)),"SEM APONTAMENTO",IF(H1681&gt;=G1681,"VERDE",IF(H1681&gt;=G1681*0.9,"AMARELO","VERMELHO")))))</f>
        <v/>
      </c>
      <c r="M1681" s="162" t="n"/>
      <c r="N1681" s="162" t="n"/>
      <c r="O1681" s="162" t="n"/>
      <c r="P1681" s="162" t="n"/>
      <c r="Q1681" s="320" t="n"/>
      <c r="R1681" s="162" t="inlineStr">
        <is>
          <t>CONTROLE PRODUÇÃO POR EMPRESAS!G285</t>
        </is>
      </c>
    </row>
    <row r="1682" ht="28.5" customHeight="1">
      <c r="A1682" s="317" t="n">
        <v>46503</v>
      </c>
      <c r="B1682" t="inlineStr">
        <is>
          <t>GERAL</t>
        </is>
      </c>
      <c r="C1682" t="inlineStr">
        <is>
          <t>EJ</t>
        </is>
      </c>
      <c r="D1682" t="inlineStr">
        <is>
          <t>PREMONTAGEM</t>
        </is>
      </c>
      <c r="F1682" s="159">
        <f>IFERROR(INDEX('BASE METAS DIÁRIAS'!$N$2:$S$358,MATCH($A1682,'BASE METAS DIÁRIAS'!$A$2:$A$358,0),MOD(ROW()-2,6)+1),"")</f>
        <v/>
      </c>
      <c r="G1682" s="159">
        <f>IFERROR(IF(WEEKDAY($A1682,2)&lt;=INDEX('BASE METAS DIÁRIAS'!$H$2:$M$358,MATCH($A1682,'BASE METAS DIÁRIAS'!$A$2:$A$358,0),MOD(ROW()-2,6)+1),INDEX('BASE METAS DIÁRIAS'!$B$2:$G$358,MATCH($A1682,'BASE METAS DIÁRIAS'!$A$2:$A$358,0),MOD(ROW()-2,6)+1),""),"")</f>
        <v/>
      </c>
      <c r="H1682" s="159">
        <f>IFERROR(IF(INDEX('CONTROLE PRODUÇÃO POR EMPRESAS'!$B$6:$G$5000,MATCH($A1682,'CONTROLE PRODUÇÃO POR EMPRESAS'!$A$6:$A$5000,0),MOD(ROW()-2,6)+1)="","",IFERROR(1*INDEX('CONTROLE PRODUÇÃO POR EMPRESAS'!$B$6:$G$5000,MATCH($A1682,'CONTROLE PRODUÇÃO POR EMPRESAS'!$A$6:$A$5000,0),MOD(ROW()-2,6)+1),"")),"")</f>
        <v/>
      </c>
      <c r="I1682" s="159">
        <f>IF(OR(NOT(ISNUMBER(G1682)),NOT(ISNUMBER(H1682))),"",H1682-G1682)</f>
        <v/>
      </c>
      <c r="J1682" s="319">
        <f>IF(OR(NOT(ISNUMBER(G1682)),NOT(ISNUMBER(H1682)),G1682=0),"",I1682/G1682)</f>
        <v/>
      </c>
      <c r="K1682" s="319">
        <f>IF(OR(NOT(ISNUMBER(G1682)),NOT(ISNUMBER(H1682)),G1682=0),"",H1682/G1682)</f>
        <v/>
      </c>
      <c r="L1682">
        <f>IF(NOT(ISNUMBER(G1682)),"SEM META",IF(G1682=0,"SEM META",IF(NOT(ISNUMBER(H1682)),"SEM APONTAMENTO",IF(H1682&gt;=G1682,"VERDE",IF(H1682&gt;=G1682*0.9,"AMARELO","VERMELHO")))))</f>
        <v/>
      </c>
      <c r="M1682" s="162" t="n"/>
      <c r="N1682" s="162" t="n"/>
      <c r="O1682" s="162" t="n"/>
      <c r="P1682" s="162" t="n"/>
      <c r="Q1682" s="320" t="n"/>
      <c r="R1682" s="162" t="inlineStr">
        <is>
          <t>CONTROLE PRODUÇÃO POR EMPRESAS!B286</t>
        </is>
      </c>
    </row>
    <row r="1683" ht="28.5" customHeight="1">
      <c r="A1683" s="317" t="n">
        <v>46503</v>
      </c>
      <c r="B1683" t="inlineStr">
        <is>
          <t>GERAL</t>
        </is>
      </c>
      <c r="C1683" t="inlineStr">
        <is>
          <t>EJ</t>
        </is>
      </c>
      <c r="D1683" t="inlineStr">
        <is>
          <t>IÇAMENTO JOIST</t>
        </is>
      </c>
      <c r="F1683" s="159">
        <f>IFERROR(INDEX('BASE METAS DIÁRIAS'!$N$2:$S$358,MATCH($A1683,'BASE METAS DIÁRIAS'!$A$2:$A$358,0),MOD(ROW()-2,6)+1),"")</f>
        <v/>
      </c>
      <c r="G1683" s="159">
        <f>IFERROR(IF(WEEKDAY($A1683,2)&lt;=INDEX('BASE METAS DIÁRIAS'!$H$2:$M$358,MATCH($A1683,'BASE METAS DIÁRIAS'!$A$2:$A$358,0),MOD(ROW()-2,6)+1),INDEX('BASE METAS DIÁRIAS'!$B$2:$G$358,MATCH($A1683,'BASE METAS DIÁRIAS'!$A$2:$A$358,0),MOD(ROW()-2,6)+1),""),"")</f>
        <v/>
      </c>
      <c r="H1683" s="159">
        <f>IFERROR(IF(INDEX('CONTROLE PRODUÇÃO POR EMPRESAS'!$B$6:$G$5000,MATCH($A1683,'CONTROLE PRODUÇÃO POR EMPRESAS'!$A$6:$A$5000,0),MOD(ROW()-2,6)+1)="","",IFERROR(1*INDEX('CONTROLE PRODUÇÃO POR EMPRESAS'!$B$6:$G$5000,MATCH($A1683,'CONTROLE PRODUÇÃO POR EMPRESAS'!$A$6:$A$5000,0),MOD(ROW()-2,6)+1),"")),"")</f>
        <v/>
      </c>
      <c r="I1683" s="159">
        <f>IF(OR(NOT(ISNUMBER(G1683)),NOT(ISNUMBER(H1683))),"",H1683-G1683)</f>
        <v/>
      </c>
      <c r="J1683" s="319">
        <f>IF(OR(NOT(ISNUMBER(G1683)),NOT(ISNUMBER(H1683)),G1683=0),"",I1683/G1683)</f>
        <v/>
      </c>
      <c r="K1683" s="319">
        <f>IF(OR(NOT(ISNUMBER(G1683)),NOT(ISNUMBER(H1683)),G1683=0),"",H1683/G1683)</f>
        <v/>
      </c>
      <c r="L1683">
        <f>IF(NOT(ISNUMBER(G1683)),"SEM META",IF(G1683=0,"SEM META",IF(NOT(ISNUMBER(H1683)),"SEM APONTAMENTO",IF(H1683&gt;=G1683,"VERDE",IF(H1683&gt;=G1683*0.9,"AMARELO","VERMELHO")))))</f>
        <v/>
      </c>
      <c r="M1683" s="162" t="n"/>
      <c r="N1683" s="162" t="n"/>
      <c r="O1683" s="162" t="n"/>
      <c r="P1683" s="162" t="n"/>
      <c r="Q1683" s="320" t="n"/>
      <c r="R1683" s="162" t="inlineStr">
        <is>
          <t>CONTROLE PRODUÇÃO POR EMPRESAS!C286</t>
        </is>
      </c>
    </row>
    <row r="1684" ht="28.5" customHeight="1">
      <c r="A1684" s="317" t="n">
        <v>46503</v>
      </c>
      <c r="B1684" t="inlineStr">
        <is>
          <t>GERAL</t>
        </is>
      </c>
      <c r="C1684" t="inlineStr">
        <is>
          <t>EJ</t>
        </is>
      </c>
      <c r="D1684" t="inlineStr">
        <is>
          <t>VIGAS</t>
        </is>
      </c>
      <c r="F1684" s="159">
        <f>IFERROR(INDEX('BASE METAS DIÁRIAS'!$N$2:$S$358,MATCH($A1684,'BASE METAS DIÁRIAS'!$A$2:$A$358,0),MOD(ROW()-2,6)+1),"")</f>
        <v/>
      </c>
      <c r="G1684" s="159">
        <f>IFERROR(IF(WEEKDAY($A1684,2)&lt;=INDEX('BASE METAS DIÁRIAS'!$H$2:$M$358,MATCH($A1684,'BASE METAS DIÁRIAS'!$A$2:$A$358,0),MOD(ROW()-2,6)+1),INDEX('BASE METAS DIÁRIAS'!$B$2:$G$358,MATCH($A1684,'BASE METAS DIÁRIAS'!$A$2:$A$358,0),MOD(ROW()-2,6)+1),""),"")</f>
        <v/>
      </c>
      <c r="H1684" s="159">
        <f>IFERROR(IF(INDEX('CONTROLE PRODUÇÃO POR EMPRESAS'!$B$6:$G$5000,MATCH($A1684,'CONTROLE PRODUÇÃO POR EMPRESAS'!$A$6:$A$5000,0),MOD(ROW()-2,6)+1)="","",IFERROR(1*INDEX('CONTROLE PRODUÇÃO POR EMPRESAS'!$B$6:$G$5000,MATCH($A1684,'CONTROLE PRODUÇÃO POR EMPRESAS'!$A$6:$A$5000,0),MOD(ROW()-2,6)+1),"")),"")</f>
        <v/>
      </c>
      <c r="I1684" s="159">
        <f>IF(OR(NOT(ISNUMBER(G1684)),NOT(ISNUMBER(H1684))),"",H1684-G1684)</f>
        <v/>
      </c>
      <c r="J1684" s="319">
        <f>IF(OR(NOT(ISNUMBER(G1684)),NOT(ISNUMBER(H1684)),G1684=0),"",I1684/G1684)</f>
        <v/>
      </c>
      <c r="K1684" s="319">
        <f>IF(OR(NOT(ISNUMBER(G1684)),NOT(ISNUMBER(H1684)),G1684=0),"",H1684/G1684)</f>
        <v/>
      </c>
      <c r="L1684">
        <f>IF(NOT(ISNUMBER(G1684)),"SEM META",IF(G1684=0,"SEM META",IF(NOT(ISNUMBER(H1684)),"SEM APONTAMENTO",IF(H1684&gt;=G1684,"VERDE",IF(H1684&gt;=G1684*0.9,"AMARELO","VERMELHO")))))</f>
        <v/>
      </c>
      <c r="M1684" s="162" t="n"/>
      <c r="N1684" s="162" t="n"/>
      <c r="O1684" s="162" t="n"/>
      <c r="P1684" s="162" t="n"/>
      <c r="Q1684" s="320" t="n"/>
      <c r="R1684" s="162" t="inlineStr">
        <is>
          <t>CONTROLE PRODUÇÃO POR EMPRESAS!D286</t>
        </is>
      </c>
    </row>
    <row r="1685" ht="28.5" customHeight="1">
      <c r="A1685" s="317" t="n">
        <v>46503</v>
      </c>
      <c r="B1685" t="inlineStr">
        <is>
          <t>GERAL</t>
        </is>
      </c>
      <c r="C1685" t="inlineStr">
        <is>
          <t>CMM</t>
        </is>
      </c>
      <c r="D1685" t="inlineStr">
        <is>
          <t>PREMONTAGEM</t>
        </is>
      </c>
      <c r="F1685" s="159">
        <f>IFERROR(INDEX('BASE METAS DIÁRIAS'!$N$2:$S$358,MATCH($A1685,'BASE METAS DIÁRIAS'!$A$2:$A$358,0),MOD(ROW()-2,6)+1),"")</f>
        <v/>
      </c>
      <c r="G1685" s="159">
        <f>IFERROR(IF(WEEKDAY($A1685,2)&lt;=INDEX('BASE METAS DIÁRIAS'!$H$2:$M$358,MATCH($A1685,'BASE METAS DIÁRIAS'!$A$2:$A$358,0),MOD(ROW()-2,6)+1),INDEX('BASE METAS DIÁRIAS'!$B$2:$G$358,MATCH($A1685,'BASE METAS DIÁRIAS'!$A$2:$A$358,0),MOD(ROW()-2,6)+1),""),"")</f>
        <v/>
      </c>
      <c r="H1685" s="159">
        <f>IFERROR(IF(INDEX('CONTROLE PRODUÇÃO POR EMPRESAS'!$B$6:$G$5000,MATCH($A1685,'CONTROLE PRODUÇÃO POR EMPRESAS'!$A$6:$A$5000,0),MOD(ROW()-2,6)+1)="","",IFERROR(1*INDEX('CONTROLE PRODUÇÃO POR EMPRESAS'!$B$6:$G$5000,MATCH($A1685,'CONTROLE PRODUÇÃO POR EMPRESAS'!$A$6:$A$5000,0),MOD(ROW()-2,6)+1),"")),"")</f>
        <v/>
      </c>
      <c r="I1685" s="159">
        <f>IF(OR(NOT(ISNUMBER(G1685)),NOT(ISNUMBER(H1685))),"",H1685-G1685)</f>
        <v/>
      </c>
      <c r="J1685" s="319">
        <f>IF(OR(NOT(ISNUMBER(G1685)),NOT(ISNUMBER(H1685)),G1685=0),"",I1685/G1685)</f>
        <v/>
      </c>
      <c r="K1685" s="319">
        <f>IF(OR(NOT(ISNUMBER(G1685)),NOT(ISNUMBER(H1685)),G1685=0),"",H1685/G1685)</f>
        <v/>
      </c>
      <c r="L1685">
        <f>IF(NOT(ISNUMBER(G1685)),"SEM META",IF(G1685=0,"SEM META",IF(NOT(ISNUMBER(H1685)),"SEM APONTAMENTO",IF(H1685&gt;=G1685,"VERDE",IF(H1685&gt;=G1685*0.9,"AMARELO","VERMELHO")))))</f>
        <v/>
      </c>
      <c r="M1685" s="162" t="n"/>
      <c r="N1685" s="162" t="n"/>
      <c r="O1685" s="162" t="n"/>
      <c r="P1685" s="162" t="n"/>
      <c r="Q1685" s="320" t="n"/>
      <c r="R1685" s="162" t="inlineStr">
        <is>
          <t>CONTROLE PRODUÇÃO POR EMPRESAS!E286</t>
        </is>
      </c>
    </row>
    <row r="1686" ht="28.5" customHeight="1">
      <c r="A1686" s="317" t="n">
        <v>46503</v>
      </c>
      <c r="B1686" t="inlineStr">
        <is>
          <t>GERAL</t>
        </is>
      </c>
      <c r="C1686" t="inlineStr">
        <is>
          <t>CMM</t>
        </is>
      </c>
      <c r="D1686" t="inlineStr">
        <is>
          <t>IÇAMENTO JOIST</t>
        </is>
      </c>
      <c r="F1686" s="159">
        <f>IFERROR(INDEX('BASE METAS DIÁRIAS'!$N$2:$S$358,MATCH($A1686,'BASE METAS DIÁRIAS'!$A$2:$A$358,0),MOD(ROW()-2,6)+1),"")</f>
        <v/>
      </c>
      <c r="G1686" s="159">
        <f>IFERROR(IF(WEEKDAY($A1686,2)&lt;=INDEX('BASE METAS DIÁRIAS'!$H$2:$M$358,MATCH($A1686,'BASE METAS DIÁRIAS'!$A$2:$A$358,0),MOD(ROW()-2,6)+1),INDEX('BASE METAS DIÁRIAS'!$B$2:$G$358,MATCH($A1686,'BASE METAS DIÁRIAS'!$A$2:$A$358,0),MOD(ROW()-2,6)+1),""),"")</f>
        <v/>
      </c>
      <c r="H1686" s="159">
        <f>IFERROR(IF(INDEX('CONTROLE PRODUÇÃO POR EMPRESAS'!$B$6:$G$5000,MATCH($A1686,'CONTROLE PRODUÇÃO POR EMPRESAS'!$A$6:$A$5000,0),MOD(ROW()-2,6)+1)="","",IFERROR(1*INDEX('CONTROLE PRODUÇÃO POR EMPRESAS'!$B$6:$G$5000,MATCH($A1686,'CONTROLE PRODUÇÃO POR EMPRESAS'!$A$6:$A$5000,0),MOD(ROW()-2,6)+1),"")),"")</f>
        <v/>
      </c>
      <c r="I1686" s="159">
        <f>IF(OR(NOT(ISNUMBER(G1686)),NOT(ISNUMBER(H1686))),"",H1686-G1686)</f>
        <v/>
      </c>
      <c r="J1686" s="319">
        <f>IF(OR(NOT(ISNUMBER(G1686)),NOT(ISNUMBER(H1686)),G1686=0),"",I1686/G1686)</f>
        <v/>
      </c>
      <c r="K1686" s="319">
        <f>IF(OR(NOT(ISNUMBER(G1686)),NOT(ISNUMBER(H1686)),G1686=0),"",H1686/G1686)</f>
        <v/>
      </c>
      <c r="L1686">
        <f>IF(NOT(ISNUMBER(G1686)),"SEM META",IF(G1686=0,"SEM META",IF(NOT(ISNUMBER(H1686)),"SEM APONTAMENTO",IF(H1686&gt;=G1686,"VERDE",IF(H1686&gt;=G1686*0.9,"AMARELO","VERMELHO")))))</f>
        <v/>
      </c>
      <c r="M1686" s="162" t="n"/>
      <c r="N1686" s="162" t="n"/>
      <c r="O1686" s="162" t="n"/>
      <c r="P1686" s="162" t="n"/>
      <c r="Q1686" s="320" t="n"/>
      <c r="R1686" s="162" t="inlineStr">
        <is>
          <t>CONTROLE PRODUÇÃO POR EMPRESAS!F286</t>
        </is>
      </c>
    </row>
    <row r="1687" ht="28.5" customHeight="1">
      <c r="A1687" s="317" t="n">
        <v>46503</v>
      </c>
      <c r="B1687" t="inlineStr">
        <is>
          <t>GERAL</t>
        </is>
      </c>
      <c r="C1687" t="inlineStr">
        <is>
          <t>CMM</t>
        </is>
      </c>
      <c r="D1687" t="inlineStr">
        <is>
          <t>VIGAS</t>
        </is>
      </c>
      <c r="F1687" s="159">
        <f>IFERROR(INDEX('BASE METAS DIÁRIAS'!$N$2:$S$358,MATCH($A1687,'BASE METAS DIÁRIAS'!$A$2:$A$358,0),MOD(ROW()-2,6)+1),"")</f>
        <v/>
      </c>
      <c r="G1687" s="159">
        <f>IFERROR(IF(WEEKDAY($A1687,2)&lt;=INDEX('BASE METAS DIÁRIAS'!$H$2:$M$358,MATCH($A1687,'BASE METAS DIÁRIAS'!$A$2:$A$358,0),MOD(ROW()-2,6)+1),INDEX('BASE METAS DIÁRIAS'!$B$2:$G$358,MATCH($A1687,'BASE METAS DIÁRIAS'!$A$2:$A$358,0),MOD(ROW()-2,6)+1),""),"")</f>
        <v/>
      </c>
      <c r="H1687" s="159">
        <f>IFERROR(IF(INDEX('CONTROLE PRODUÇÃO POR EMPRESAS'!$B$6:$G$5000,MATCH($A1687,'CONTROLE PRODUÇÃO POR EMPRESAS'!$A$6:$A$5000,0),MOD(ROW()-2,6)+1)="","",IFERROR(1*INDEX('CONTROLE PRODUÇÃO POR EMPRESAS'!$B$6:$G$5000,MATCH($A1687,'CONTROLE PRODUÇÃO POR EMPRESAS'!$A$6:$A$5000,0),MOD(ROW()-2,6)+1),"")),"")</f>
        <v/>
      </c>
      <c r="I1687" s="159">
        <f>IF(OR(NOT(ISNUMBER(G1687)),NOT(ISNUMBER(H1687))),"",H1687-G1687)</f>
        <v/>
      </c>
      <c r="J1687" s="319">
        <f>IF(OR(NOT(ISNUMBER(G1687)),NOT(ISNUMBER(H1687)),G1687=0),"",I1687/G1687)</f>
        <v/>
      </c>
      <c r="K1687" s="319">
        <f>IF(OR(NOT(ISNUMBER(G1687)),NOT(ISNUMBER(H1687)),G1687=0),"",H1687/G1687)</f>
        <v/>
      </c>
      <c r="L1687">
        <f>IF(NOT(ISNUMBER(G1687)),"SEM META",IF(G1687=0,"SEM META",IF(NOT(ISNUMBER(H1687)),"SEM APONTAMENTO",IF(H1687&gt;=G1687,"VERDE",IF(H1687&gt;=G1687*0.9,"AMARELO","VERMELHO")))))</f>
        <v/>
      </c>
      <c r="M1687" s="162" t="n"/>
      <c r="N1687" s="162" t="n"/>
      <c r="O1687" s="162" t="n"/>
      <c r="P1687" s="162" t="n"/>
      <c r="Q1687" s="320" t="n"/>
      <c r="R1687" s="162" t="inlineStr">
        <is>
          <t>CONTROLE PRODUÇÃO POR EMPRESAS!G286</t>
        </is>
      </c>
    </row>
    <row r="1688" ht="28.5" customHeight="1">
      <c r="A1688" s="317" t="n">
        <v>46504</v>
      </c>
      <c r="B1688" t="inlineStr">
        <is>
          <t>GERAL</t>
        </is>
      </c>
      <c r="C1688" t="inlineStr">
        <is>
          <t>EJ</t>
        </is>
      </c>
      <c r="D1688" t="inlineStr">
        <is>
          <t>PREMONTAGEM</t>
        </is>
      </c>
      <c r="F1688" s="159">
        <f>IFERROR(INDEX('BASE METAS DIÁRIAS'!$N$2:$S$358,MATCH($A1688,'BASE METAS DIÁRIAS'!$A$2:$A$358,0),MOD(ROW()-2,6)+1),"")</f>
        <v/>
      </c>
      <c r="G1688" s="159">
        <f>IFERROR(IF(WEEKDAY($A1688,2)&lt;=INDEX('BASE METAS DIÁRIAS'!$H$2:$M$358,MATCH($A1688,'BASE METAS DIÁRIAS'!$A$2:$A$358,0),MOD(ROW()-2,6)+1),INDEX('BASE METAS DIÁRIAS'!$B$2:$G$358,MATCH($A1688,'BASE METAS DIÁRIAS'!$A$2:$A$358,0),MOD(ROW()-2,6)+1),""),"")</f>
        <v/>
      </c>
      <c r="H1688" s="159">
        <f>IFERROR(IF(INDEX('CONTROLE PRODUÇÃO POR EMPRESAS'!$B$6:$G$5000,MATCH($A1688,'CONTROLE PRODUÇÃO POR EMPRESAS'!$A$6:$A$5000,0),MOD(ROW()-2,6)+1)="","",IFERROR(1*INDEX('CONTROLE PRODUÇÃO POR EMPRESAS'!$B$6:$G$5000,MATCH($A1688,'CONTROLE PRODUÇÃO POR EMPRESAS'!$A$6:$A$5000,0),MOD(ROW()-2,6)+1),"")),"")</f>
        <v/>
      </c>
      <c r="I1688" s="159">
        <f>IF(OR(NOT(ISNUMBER(G1688)),NOT(ISNUMBER(H1688))),"",H1688-G1688)</f>
        <v/>
      </c>
      <c r="J1688" s="319">
        <f>IF(OR(NOT(ISNUMBER(G1688)),NOT(ISNUMBER(H1688)),G1688=0),"",I1688/G1688)</f>
        <v/>
      </c>
      <c r="K1688" s="319">
        <f>IF(OR(NOT(ISNUMBER(G1688)),NOT(ISNUMBER(H1688)),G1688=0),"",H1688/G1688)</f>
        <v/>
      </c>
      <c r="L1688">
        <f>IF(NOT(ISNUMBER(G1688)),"SEM META",IF(G1688=0,"SEM META",IF(NOT(ISNUMBER(H1688)),"SEM APONTAMENTO",IF(H1688&gt;=G1688,"VERDE",IF(H1688&gt;=G1688*0.9,"AMARELO","VERMELHO")))))</f>
        <v/>
      </c>
      <c r="M1688" s="162" t="n"/>
      <c r="N1688" s="162" t="n"/>
      <c r="O1688" s="162" t="n"/>
      <c r="P1688" s="162" t="n"/>
      <c r="Q1688" s="320" t="n"/>
      <c r="R1688" s="162" t="inlineStr">
        <is>
          <t>CONTROLE PRODUÇÃO POR EMPRESAS!B287</t>
        </is>
      </c>
    </row>
    <row r="1689" ht="28.5" customHeight="1">
      <c r="A1689" s="317" t="n">
        <v>46504</v>
      </c>
      <c r="B1689" t="inlineStr">
        <is>
          <t>GERAL</t>
        </is>
      </c>
      <c r="C1689" t="inlineStr">
        <is>
          <t>EJ</t>
        </is>
      </c>
      <c r="D1689" t="inlineStr">
        <is>
          <t>IÇAMENTO JOIST</t>
        </is>
      </c>
      <c r="F1689" s="159">
        <f>IFERROR(INDEX('BASE METAS DIÁRIAS'!$N$2:$S$358,MATCH($A1689,'BASE METAS DIÁRIAS'!$A$2:$A$358,0),MOD(ROW()-2,6)+1),"")</f>
        <v/>
      </c>
      <c r="G1689" s="159">
        <f>IFERROR(IF(WEEKDAY($A1689,2)&lt;=INDEX('BASE METAS DIÁRIAS'!$H$2:$M$358,MATCH($A1689,'BASE METAS DIÁRIAS'!$A$2:$A$358,0),MOD(ROW()-2,6)+1),INDEX('BASE METAS DIÁRIAS'!$B$2:$G$358,MATCH($A1689,'BASE METAS DIÁRIAS'!$A$2:$A$358,0),MOD(ROW()-2,6)+1),""),"")</f>
        <v/>
      </c>
      <c r="H1689" s="159">
        <f>IFERROR(IF(INDEX('CONTROLE PRODUÇÃO POR EMPRESAS'!$B$6:$G$5000,MATCH($A1689,'CONTROLE PRODUÇÃO POR EMPRESAS'!$A$6:$A$5000,0),MOD(ROW()-2,6)+1)="","",IFERROR(1*INDEX('CONTROLE PRODUÇÃO POR EMPRESAS'!$B$6:$G$5000,MATCH($A1689,'CONTROLE PRODUÇÃO POR EMPRESAS'!$A$6:$A$5000,0),MOD(ROW()-2,6)+1),"")),"")</f>
        <v/>
      </c>
      <c r="I1689" s="159">
        <f>IF(OR(NOT(ISNUMBER(G1689)),NOT(ISNUMBER(H1689))),"",H1689-G1689)</f>
        <v/>
      </c>
      <c r="J1689" s="319">
        <f>IF(OR(NOT(ISNUMBER(G1689)),NOT(ISNUMBER(H1689)),G1689=0),"",I1689/G1689)</f>
        <v/>
      </c>
      <c r="K1689" s="319">
        <f>IF(OR(NOT(ISNUMBER(G1689)),NOT(ISNUMBER(H1689)),G1689=0),"",H1689/G1689)</f>
        <v/>
      </c>
      <c r="L1689">
        <f>IF(NOT(ISNUMBER(G1689)),"SEM META",IF(G1689=0,"SEM META",IF(NOT(ISNUMBER(H1689)),"SEM APONTAMENTO",IF(H1689&gt;=G1689,"VERDE",IF(H1689&gt;=G1689*0.9,"AMARELO","VERMELHO")))))</f>
        <v/>
      </c>
      <c r="M1689" s="162" t="n"/>
      <c r="N1689" s="162" t="n"/>
      <c r="O1689" s="162" t="n"/>
      <c r="P1689" s="162" t="n"/>
      <c r="Q1689" s="320" t="n"/>
      <c r="R1689" s="162" t="inlineStr">
        <is>
          <t>CONTROLE PRODUÇÃO POR EMPRESAS!C287</t>
        </is>
      </c>
    </row>
    <row r="1690" ht="28.5" customHeight="1">
      <c r="A1690" s="317" t="n">
        <v>46504</v>
      </c>
      <c r="B1690" t="inlineStr">
        <is>
          <t>GERAL</t>
        </is>
      </c>
      <c r="C1690" t="inlineStr">
        <is>
          <t>EJ</t>
        </is>
      </c>
      <c r="D1690" t="inlineStr">
        <is>
          <t>VIGAS</t>
        </is>
      </c>
      <c r="F1690" s="159">
        <f>IFERROR(INDEX('BASE METAS DIÁRIAS'!$N$2:$S$358,MATCH($A1690,'BASE METAS DIÁRIAS'!$A$2:$A$358,0),MOD(ROW()-2,6)+1),"")</f>
        <v/>
      </c>
      <c r="G1690" s="159">
        <f>IFERROR(IF(WEEKDAY($A1690,2)&lt;=INDEX('BASE METAS DIÁRIAS'!$H$2:$M$358,MATCH($A1690,'BASE METAS DIÁRIAS'!$A$2:$A$358,0),MOD(ROW()-2,6)+1),INDEX('BASE METAS DIÁRIAS'!$B$2:$G$358,MATCH($A1690,'BASE METAS DIÁRIAS'!$A$2:$A$358,0),MOD(ROW()-2,6)+1),""),"")</f>
        <v/>
      </c>
      <c r="H1690" s="159">
        <f>IFERROR(IF(INDEX('CONTROLE PRODUÇÃO POR EMPRESAS'!$B$6:$G$5000,MATCH($A1690,'CONTROLE PRODUÇÃO POR EMPRESAS'!$A$6:$A$5000,0),MOD(ROW()-2,6)+1)="","",IFERROR(1*INDEX('CONTROLE PRODUÇÃO POR EMPRESAS'!$B$6:$G$5000,MATCH($A1690,'CONTROLE PRODUÇÃO POR EMPRESAS'!$A$6:$A$5000,0),MOD(ROW()-2,6)+1),"")),"")</f>
        <v/>
      </c>
      <c r="I1690" s="159">
        <f>IF(OR(NOT(ISNUMBER(G1690)),NOT(ISNUMBER(H1690))),"",H1690-G1690)</f>
        <v/>
      </c>
      <c r="J1690" s="319">
        <f>IF(OR(NOT(ISNUMBER(G1690)),NOT(ISNUMBER(H1690)),G1690=0),"",I1690/G1690)</f>
        <v/>
      </c>
      <c r="K1690" s="319">
        <f>IF(OR(NOT(ISNUMBER(G1690)),NOT(ISNUMBER(H1690)),G1690=0),"",H1690/G1690)</f>
        <v/>
      </c>
      <c r="L1690">
        <f>IF(NOT(ISNUMBER(G1690)),"SEM META",IF(G1690=0,"SEM META",IF(NOT(ISNUMBER(H1690)),"SEM APONTAMENTO",IF(H1690&gt;=G1690,"VERDE",IF(H1690&gt;=G1690*0.9,"AMARELO","VERMELHO")))))</f>
        <v/>
      </c>
      <c r="M1690" s="162" t="n"/>
      <c r="N1690" s="162" t="n"/>
      <c r="O1690" s="162" t="n"/>
      <c r="P1690" s="162" t="n"/>
      <c r="Q1690" s="320" t="n"/>
      <c r="R1690" s="162" t="inlineStr">
        <is>
          <t>CONTROLE PRODUÇÃO POR EMPRESAS!D287</t>
        </is>
      </c>
    </row>
    <row r="1691" ht="28.5" customHeight="1">
      <c r="A1691" s="317" t="n">
        <v>46504</v>
      </c>
      <c r="B1691" t="inlineStr">
        <is>
          <t>GERAL</t>
        </is>
      </c>
      <c r="C1691" t="inlineStr">
        <is>
          <t>CMM</t>
        </is>
      </c>
      <c r="D1691" t="inlineStr">
        <is>
          <t>PREMONTAGEM</t>
        </is>
      </c>
      <c r="F1691" s="159">
        <f>IFERROR(INDEX('BASE METAS DIÁRIAS'!$N$2:$S$358,MATCH($A1691,'BASE METAS DIÁRIAS'!$A$2:$A$358,0),MOD(ROW()-2,6)+1),"")</f>
        <v/>
      </c>
      <c r="G1691" s="159">
        <f>IFERROR(IF(WEEKDAY($A1691,2)&lt;=INDEX('BASE METAS DIÁRIAS'!$H$2:$M$358,MATCH($A1691,'BASE METAS DIÁRIAS'!$A$2:$A$358,0),MOD(ROW()-2,6)+1),INDEX('BASE METAS DIÁRIAS'!$B$2:$G$358,MATCH($A1691,'BASE METAS DIÁRIAS'!$A$2:$A$358,0),MOD(ROW()-2,6)+1),""),"")</f>
        <v/>
      </c>
      <c r="H1691" s="159">
        <f>IFERROR(IF(INDEX('CONTROLE PRODUÇÃO POR EMPRESAS'!$B$6:$G$5000,MATCH($A1691,'CONTROLE PRODUÇÃO POR EMPRESAS'!$A$6:$A$5000,0),MOD(ROW()-2,6)+1)="","",IFERROR(1*INDEX('CONTROLE PRODUÇÃO POR EMPRESAS'!$B$6:$G$5000,MATCH($A1691,'CONTROLE PRODUÇÃO POR EMPRESAS'!$A$6:$A$5000,0),MOD(ROW()-2,6)+1),"")),"")</f>
        <v/>
      </c>
      <c r="I1691" s="159">
        <f>IF(OR(NOT(ISNUMBER(G1691)),NOT(ISNUMBER(H1691))),"",H1691-G1691)</f>
        <v/>
      </c>
      <c r="J1691" s="319">
        <f>IF(OR(NOT(ISNUMBER(G1691)),NOT(ISNUMBER(H1691)),G1691=0),"",I1691/G1691)</f>
        <v/>
      </c>
      <c r="K1691" s="319">
        <f>IF(OR(NOT(ISNUMBER(G1691)),NOT(ISNUMBER(H1691)),G1691=0),"",H1691/G1691)</f>
        <v/>
      </c>
      <c r="L1691">
        <f>IF(NOT(ISNUMBER(G1691)),"SEM META",IF(G1691=0,"SEM META",IF(NOT(ISNUMBER(H1691)),"SEM APONTAMENTO",IF(H1691&gt;=G1691,"VERDE",IF(H1691&gt;=G1691*0.9,"AMARELO","VERMELHO")))))</f>
        <v/>
      </c>
      <c r="M1691" s="162" t="n"/>
      <c r="N1691" s="162" t="n"/>
      <c r="O1691" s="162" t="n"/>
      <c r="P1691" s="162" t="n"/>
      <c r="Q1691" s="320" t="n"/>
      <c r="R1691" s="162" t="inlineStr">
        <is>
          <t>CONTROLE PRODUÇÃO POR EMPRESAS!E287</t>
        </is>
      </c>
    </row>
    <row r="1692" ht="28.5" customHeight="1">
      <c r="A1692" s="317" t="n">
        <v>46504</v>
      </c>
      <c r="B1692" t="inlineStr">
        <is>
          <t>GERAL</t>
        </is>
      </c>
      <c r="C1692" t="inlineStr">
        <is>
          <t>CMM</t>
        </is>
      </c>
      <c r="D1692" t="inlineStr">
        <is>
          <t>IÇAMENTO JOIST</t>
        </is>
      </c>
      <c r="F1692" s="159">
        <f>IFERROR(INDEX('BASE METAS DIÁRIAS'!$N$2:$S$358,MATCH($A1692,'BASE METAS DIÁRIAS'!$A$2:$A$358,0),MOD(ROW()-2,6)+1),"")</f>
        <v/>
      </c>
      <c r="G1692" s="159">
        <f>IFERROR(IF(WEEKDAY($A1692,2)&lt;=INDEX('BASE METAS DIÁRIAS'!$H$2:$M$358,MATCH($A1692,'BASE METAS DIÁRIAS'!$A$2:$A$358,0),MOD(ROW()-2,6)+1),INDEX('BASE METAS DIÁRIAS'!$B$2:$G$358,MATCH($A1692,'BASE METAS DIÁRIAS'!$A$2:$A$358,0),MOD(ROW()-2,6)+1),""),"")</f>
        <v/>
      </c>
      <c r="H1692" s="159">
        <f>IFERROR(IF(INDEX('CONTROLE PRODUÇÃO POR EMPRESAS'!$B$6:$G$5000,MATCH($A1692,'CONTROLE PRODUÇÃO POR EMPRESAS'!$A$6:$A$5000,0),MOD(ROW()-2,6)+1)="","",IFERROR(1*INDEX('CONTROLE PRODUÇÃO POR EMPRESAS'!$B$6:$G$5000,MATCH($A1692,'CONTROLE PRODUÇÃO POR EMPRESAS'!$A$6:$A$5000,0),MOD(ROW()-2,6)+1),"")),"")</f>
        <v/>
      </c>
      <c r="I1692" s="159">
        <f>IF(OR(NOT(ISNUMBER(G1692)),NOT(ISNUMBER(H1692))),"",H1692-G1692)</f>
        <v/>
      </c>
      <c r="J1692" s="319">
        <f>IF(OR(NOT(ISNUMBER(G1692)),NOT(ISNUMBER(H1692)),G1692=0),"",I1692/G1692)</f>
        <v/>
      </c>
      <c r="K1692" s="319">
        <f>IF(OR(NOT(ISNUMBER(G1692)),NOT(ISNUMBER(H1692)),G1692=0),"",H1692/G1692)</f>
        <v/>
      </c>
      <c r="L1692">
        <f>IF(NOT(ISNUMBER(G1692)),"SEM META",IF(G1692=0,"SEM META",IF(NOT(ISNUMBER(H1692)),"SEM APONTAMENTO",IF(H1692&gt;=G1692,"VERDE",IF(H1692&gt;=G1692*0.9,"AMARELO","VERMELHO")))))</f>
        <v/>
      </c>
      <c r="M1692" s="162" t="n"/>
      <c r="N1692" s="162" t="n"/>
      <c r="O1692" s="162" t="n"/>
      <c r="P1692" s="162" t="n"/>
      <c r="Q1692" s="320" t="n"/>
      <c r="R1692" s="162" t="inlineStr">
        <is>
          <t>CONTROLE PRODUÇÃO POR EMPRESAS!F287</t>
        </is>
      </c>
    </row>
    <row r="1693" ht="28.5" customHeight="1">
      <c r="A1693" s="317" t="n">
        <v>46504</v>
      </c>
      <c r="B1693" t="inlineStr">
        <is>
          <t>GERAL</t>
        </is>
      </c>
      <c r="C1693" t="inlineStr">
        <is>
          <t>CMM</t>
        </is>
      </c>
      <c r="D1693" t="inlineStr">
        <is>
          <t>VIGAS</t>
        </is>
      </c>
      <c r="F1693" s="159">
        <f>IFERROR(INDEX('BASE METAS DIÁRIAS'!$N$2:$S$358,MATCH($A1693,'BASE METAS DIÁRIAS'!$A$2:$A$358,0),MOD(ROW()-2,6)+1),"")</f>
        <v/>
      </c>
      <c r="G1693" s="159">
        <f>IFERROR(IF(WEEKDAY($A1693,2)&lt;=INDEX('BASE METAS DIÁRIAS'!$H$2:$M$358,MATCH($A1693,'BASE METAS DIÁRIAS'!$A$2:$A$358,0),MOD(ROW()-2,6)+1),INDEX('BASE METAS DIÁRIAS'!$B$2:$G$358,MATCH($A1693,'BASE METAS DIÁRIAS'!$A$2:$A$358,0),MOD(ROW()-2,6)+1),""),"")</f>
        <v/>
      </c>
      <c r="H1693" s="159">
        <f>IFERROR(IF(INDEX('CONTROLE PRODUÇÃO POR EMPRESAS'!$B$6:$G$5000,MATCH($A1693,'CONTROLE PRODUÇÃO POR EMPRESAS'!$A$6:$A$5000,0),MOD(ROW()-2,6)+1)="","",IFERROR(1*INDEX('CONTROLE PRODUÇÃO POR EMPRESAS'!$B$6:$G$5000,MATCH($A1693,'CONTROLE PRODUÇÃO POR EMPRESAS'!$A$6:$A$5000,0),MOD(ROW()-2,6)+1),"")),"")</f>
        <v/>
      </c>
      <c r="I1693" s="159">
        <f>IF(OR(NOT(ISNUMBER(G1693)),NOT(ISNUMBER(H1693))),"",H1693-G1693)</f>
        <v/>
      </c>
      <c r="J1693" s="319">
        <f>IF(OR(NOT(ISNUMBER(G1693)),NOT(ISNUMBER(H1693)),G1693=0),"",I1693/G1693)</f>
        <v/>
      </c>
      <c r="K1693" s="319">
        <f>IF(OR(NOT(ISNUMBER(G1693)),NOT(ISNUMBER(H1693)),G1693=0),"",H1693/G1693)</f>
        <v/>
      </c>
      <c r="L1693">
        <f>IF(NOT(ISNUMBER(G1693)),"SEM META",IF(G1693=0,"SEM META",IF(NOT(ISNUMBER(H1693)),"SEM APONTAMENTO",IF(H1693&gt;=G1693,"VERDE",IF(H1693&gt;=G1693*0.9,"AMARELO","VERMELHO")))))</f>
        <v/>
      </c>
      <c r="M1693" s="162" t="n"/>
      <c r="N1693" s="162" t="n"/>
      <c r="O1693" s="162" t="n"/>
      <c r="P1693" s="162" t="n"/>
      <c r="Q1693" s="320" t="n"/>
      <c r="R1693" s="162" t="inlineStr">
        <is>
          <t>CONTROLE PRODUÇÃO POR EMPRESAS!G287</t>
        </is>
      </c>
    </row>
    <row r="1694" ht="28.5" customHeight="1">
      <c r="A1694" s="317" t="n">
        <v>46505</v>
      </c>
      <c r="B1694" t="inlineStr">
        <is>
          <t>GERAL</t>
        </is>
      </c>
      <c r="C1694" t="inlineStr">
        <is>
          <t>EJ</t>
        </is>
      </c>
      <c r="D1694" t="inlineStr">
        <is>
          <t>PREMONTAGEM</t>
        </is>
      </c>
      <c r="F1694" s="159">
        <f>IFERROR(INDEX('BASE METAS DIÁRIAS'!$N$2:$S$358,MATCH($A1694,'BASE METAS DIÁRIAS'!$A$2:$A$358,0),MOD(ROW()-2,6)+1),"")</f>
        <v/>
      </c>
      <c r="G1694" s="159">
        <f>IFERROR(IF(WEEKDAY($A1694,2)&lt;=INDEX('BASE METAS DIÁRIAS'!$H$2:$M$358,MATCH($A1694,'BASE METAS DIÁRIAS'!$A$2:$A$358,0),MOD(ROW()-2,6)+1),INDEX('BASE METAS DIÁRIAS'!$B$2:$G$358,MATCH($A1694,'BASE METAS DIÁRIAS'!$A$2:$A$358,0),MOD(ROW()-2,6)+1),""),"")</f>
        <v/>
      </c>
      <c r="H1694" s="159">
        <f>IFERROR(IF(INDEX('CONTROLE PRODUÇÃO POR EMPRESAS'!$B$6:$G$5000,MATCH($A1694,'CONTROLE PRODUÇÃO POR EMPRESAS'!$A$6:$A$5000,0),MOD(ROW()-2,6)+1)="","",IFERROR(1*INDEX('CONTROLE PRODUÇÃO POR EMPRESAS'!$B$6:$G$5000,MATCH($A1694,'CONTROLE PRODUÇÃO POR EMPRESAS'!$A$6:$A$5000,0),MOD(ROW()-2,6)+1),"")),"")</f>
        <v/>
      </c>
      <c r="I1694" s="159">
        <f>IF(OR(NOT(ISNUMBER(G1694)),NOT(ISNUMBER(H1694))),"",H1694-G1694)</f>
        <v/>
      </c>
      <c r="J1694" s="319">
        <f>IF(OR(NOT(ISNUMBER(G1694)),NOT(ISNUMBER(H1694)),G1694=0),"",I1694/G1694)</f>
        <v/>
      </c>
      <c r="K1694" s="319">
        <f>IF(OR(NOT(ISNUMBER(G1694)),NOT(ISNUMBER(H1694)),G1694=0),"",H1694/G1694)</f>
        <v/>
      </c>
      <c r="L1694">
        <f>IF(NOT(ISNUMBER(G1694)),"SEM META",IF(G1694=0,"SEM META",IF(NOT(ISNUMBER(H1694)),"SEM APONTAMENTO",IF(H1694&gt;=G1694,"VERDE",IF(H1694&gt;=G1694*0.9,"AMARELO","VERMELHO")))))</f>
        <v/>
      </c>
      <c r="M1694" s="162" t="n"/>
      <c r="N1694" s="162" t="n"/>
      <c r="O1694" s="162" t="n"/>
      <c r="P1694" s="162" t="n"/>
      <c r="Q1694" s="320" t="n"/>
      <c r="R1694" s="162" t="inlineStr">
        <is>
          <t>CONTROLE PRODUÇÃO POR EMPRESAS!B288</t>
        </is>
      </c>
    </row>
    <row r="1695" ht="28.5" customHeight="1">
      <c r="A1695" s="317" t="n">
        <v>46505</v>
      </c>
      <c r="B1695" t="inlineStr">
        <is>
          <t>GERAL</t>
        </is>
      </c>
      <c r="C1695" t="inlineStr">
        <is>
          <t>EJ</t>
        </is>
      </c>
      <c r="D1695" t="inlineStr">
        <is>
          <t>IÇAMENTO JOIST</t>
        </is>
      </c>
      <c r="F1695" s="159">
        <f>IFERROR(INDEX('BASE METAS DIÁRIAS'!$N$2:$S$358,MATCH($A1695,'BASE METAS DIÁRIAS'!$A$2:$A$358,0),MOD(ROW()-2,6)+1),"")</f>
        <v/>
      </c>
      <c r="G1695" s="159">
        <f>IFERROR(IF(WEEKDAY($A1695,2)&lt;=INDEX('BASE METAS DIÁRIAS'!$H$2:$M$358,MATCH($A1695,'BASE METAS DIÁRIAS'!$A$2:$A$358,0),MOD(ROW()-2,6)+1),INDEX('BASE METAS DIÁRIAS'!$B$2:$G$358,MATCH($A1695,'BASE METAS DIÁRIAS'!$A$2:$A$358,0),MOD(ROW()-2,6)+1),""),"")</f>
        <v/>
      </c>
      <c r="H1695" s="159">
        <f>IFERROR(IF(INDEX('CONTROLE PRODUÇÃO POR EMPRESAS'!$B$6:$G$5000,MATCH($A1695,'CONTROLE PRODUÇÃO POR EMPRESAS'!$A$6:$A$5000,0),MOD(ROW()-2,6)+1)="","",IFERROR(1*INDEX('CONTROLE PRODUÇÃO POR EMPRESAS'!$B$6:$G$5000,MATCH($A1695,'CONTROLE PRODUÇÃO POR EMPRESAS'!$A$6:$A$5000,0),MOD(ROW()-2,6)+1),"")),"")</f>
        <v/>
      </c>
      <c r="I1695" s="159">
        <f>IF(OR(NOT(ISNUMBER(G1695)),NOT(ISNUMBER(H1695))),"",H1695-G1695)</f>
        <v/>
      </c>
      <c r="J1695" s="319">
        <f>IF(OR(NOT(ISNUMBER(G1695)),NOT(ISNUMBER(H1695)),G1695=0),"",I1695/G1695)</f>
        <v/>
      </c>
      <c r="K1695" s="319">
        <f>IF(OR(NOT(ISNUMBER(G1695)),NOT(ISNUMBER(H1695)),G1695=0),"",H1695/G1695)</f>
        <v/>
      </c>
      <c r="L1695">
        <f>IF(NOT(ISNUMBER(G1695)),"SEM META",IF(G1695=0,"SEM META",IF(NOT(ISNUMBER(H1695)),"SEM APONTAMENTO",IF(H1695&gt;=G1695,"VERDE",IF(H1695&gt;=G1695*0.9,"AMARELO","VERMELHO")))))</f>
        <v/>
      </c>
      <c r="M1695" s="162" t="n"/>
      <c r="N1695" s="162" t="n"/>
      <c r="O1695" s="162" t="n"/>
      <c r="P1695" s="162" t="n"/>
      <c r="Q1695" s="320" t="n"/>
      <c r="R1695" s="162" t="inlineStr">
        <is>
          <t>CONTROLE PRODUÇÃO POR EMPRESAS!C288</t>
        </is>
      </c>
    </row>
    <row r="1696" ht="28.5" customHeight="1">
      <c r="A1696" s="317" t="n">
        <v>46505</v>
      </c>
      <c r="B1696" t="inlineStr">
        <is>
          <t>GERAL</t>
        </is>
      </c>
      <c r="C1696" t="inlineStr">
        <is>
          <t>EJ</t>
        </is>
      </c>
      <c r="D1696" t="inlineStr">
        <is>
          <t>VIGAS</t>
        </is>
      </c>
      <c r="F1696" s="159">
        <f>IFERROR(INDEX('BASE METAS DIÁRIAS'!$N$2:$S$358,MATCH($A1696,'BASE METAS DIÁRIAS'!$A$2:$A$358,0),MOD(ROW()-2,6)+1),"")</f>
        <v/>
      </c>
      <c r="G1696" s="159">
        <f>IFERROR(IF(WEEKDAY($A1696,2)&lt;=INDEX('BASE METAS DIÁRIAS'!$H$2:$M$358,MATCH($A1696,'BASE METAS DIÁRIAS'!$A$2:$A$358,0),MOD(ROW()-2,6)+1),INDEX('BASE METAS DIÁRIAS'!$B$2:$G$358,MATCH($A1696,'BASE METAS DIÁRIAS'!$A$2:$A$358,0),MOD(ROW()-2,6)+1),""),"")</f>
        <v/>
      </c>
      <c r="H1696" s="159">
        <f>IFERROR(IF(INDEX('CONTROLE PRODUÇÃO POR EMPRESAS'!$B$6:$G$5000,MATCH($A1696,'CONTROLE PRODUÇÃO POR EMPRESAS'!$A$6:$A$5000,0),MOD(ROW()-2,6)+1)="","",IFERROR(1*INDEX('CONTROLE PRODUÇÃO POR EMPRESAS'!$B$6:$G$5000,MATCH($A1696,'CONTROLE PRODUÇÃO POR EMPRESAS'!$A$6:$A$5000,0),MOD(ROW()-2,6)+1),"")),"")</f>
        <v/>
      </c>
      <c r="I1696" s="159">
        <f>IF(OR(NOT(ISNUMBER(G1696)),NOT(ISNUMBER(H1696))),"",H1696-G1696)</f>
        <v/>
      </c>
      <c r="J1696" s="319">
        <f>IF(OR(NOT(ISNUMBER(G1696)),NOT(ISNUMBER(H1696)),G1696=0),"",I1696/G1696)</f>
        <v/>
      </c>
      <c r="K1696" s="319">
        <f>IF(OR(NOT(ISNUMBER(G1696)),NOT(ISNUMBER(H1696)),G1696=0),"",H1696/G1696)</f>
        <v/>
      </c>
      <c r="L1696">
        <f>IF(NOT(ISNUMBER(G1696)),"SEM META",IF(G1696=0,"SEM META",IF(NOT(ISNUMBER(H1696)),"SEM APONTAMENTO",IF(H1696&gt;=G1696,"VERDE",IF(H1696&gt;=G1696*0.9,"AMARELO","VERMELHO")))))</f>
        <v/>
      </c>
      <c r="M1696" s="162" t="n"/>
      <c r="N1696" s="162" t="n"/>
      <c r="O1696" s="162" t="n"/>
      <c r="P1696" s="162" t="n"/>
      <c r="Q1696" s="320" t="n"/>
      <c r="R1696" s="162" t="inlineStr">
        <is>
          <t>CONTROLE PRODUÇÃO POR EMPRESAS!D288</t>
        </is>
      </c>
    </row>
    <row r="1697" ht="28.5" customHeight="1">
      <c r="A1697" s="317" t="n">
        <v>46505</v>
      </c>
      <c r="B1697" t="inlineStr">
        <is>
          <t>GERAL</t>
        </is>
      </c>
      <c r="C1697" t="inlineStr">
        <is>
          <t>CMM</t>
        </is>
      </c>
      <c r="D1697" t="inlineStr">
        <is>
          <t>PREMONTAGEM</t>
        </is>
      </c>
      <c r="F1697" s="159">
        <f>IFERROR(INDEX('BASE METAS DIÁRIAS'!$N$2:$S$358,MATCH($A1697,'BASE METAS DIÁRIAS'!$A$2:$A$358,0),MOD(ROW()-2,6)+1),"")</f>
        <v/>
      </c>
      <c r="G1697" s="159">
        <f>IFERROR(IF(WEEKDAY($A1697,2)&lt;=INDEX('BASE METAS DIÁRIAS'!$H$2:$M$358,MATCH($A1697,'BASE METAS DIÁRIAS'!$A$2:$A$358,0),MOD(ROW()-2,6)+1),INDEX('BASE METAS DIÁRIAS'!$B$2:$G$358,MATCH($A1697,'BASE METAS DIÁRIAS'!$A$2:$A$358,0),MOD(ROW()-2,6)+1),""),"")</f>
        <v/>
      </c>
      <c r="H1697" s="159">
        <f>IFERROR(IF(INDEX('CONTROLE PRODUÇÃO POR EMPRESAS'!$B$6:$G$5000,MATCH($A1697,'CONTROLE PRODUÇÃO POR EMPRESAS'!$A$6:$A$5000,0),MOD(ROW()-2,6)+1)="","",IFERROR(1*INDEX('CONTROLE PRODUÇÃO POR EMPRESAS'!$B$6:$G$5000,MATCH($A1697,'CONTROLE PRODUÇÃO POR EMPRESAS'!$A$6:$A$5000,0),MOD(ROW()-2,6)+1),"")),"")</f>
        <v/>
      </c>
      <c r="I1697" s="159">
        <f>IF(OR(NOT(ISNUMBER(G1697)),NOT(ISNUMBER(H1697))),"",H1697-G1697)</f>
        <v/>
      </c>
      <c r="J1697" s="319">
        <f>IF(OR(NOT(ISNUMBER(G1697)),NOT(ISNUMBER(H1697)),G1697=0),"",I1697/G1697)</f>
        <v/>
      </c>
      <c r="K1697" s="319">
        <f>IF(OR(NOT(ISNUMBER(G1697)),NOT(ISNUMBER(H1697)),G1697=0),"",H1697/G1697)</f>
        <v/>
      </c>
      <c r="L1697">
        <f>IF(NOT(ISNUMBER(G1697)),"SEM META",IF(G1697=0,"SEM META",IF(NOT(ISNUMBER(H1697)),"SEM APONTAMENTO",IF(H1697&gt;=G1697,"VERDE",IF(H1697&gt;=G1697*0.9,"AMARELO","VERMELHO")))))</f>
        <v/>
      </c>
      <c r="M1697" s="162" t="n"/>
      <c r="N1697" s="162" t="n"/>
      <c r="O1697" s="162" t="n"/>
      <c r="P1697" s="162" t="n"/>
      <c r="Q1697" s="320" t="n"/>
      <c r="R1697" s="162" t="inlineStr">
        <is>
          <t>CONTROLE PRODUÇÃO POR EMPRESAS!E288</t>
        </is>
      </c>
    </row>
    <row r="1698" ht="28.5" customHeight="1">
      <c r="A1698" s="317" t="n">
        <v>46505</v>
      </c>
      <c r="B1698" t="inlineStr">
        <is>
          <t>GERAL</t>
        </is>
      </c>
      <c r="C1698" t="inlineStr">
        <is>
          <t>CMM</t>
        </is>
      </c>
      <c r="D1698" t="inlineStr">
        <is>
          <t>IÇAMENTO JOIST</t>
        </is>
      </c>
      <c r="F1698" s="159">
        <f>IFERROR(INDEX('BASE METAS DIÁRIAS'!$N$2:$S$358,MATCH($A1698,'BASE METAS DIÁRIAS'!$A$2:$A$358,0),MOD(ROW()-2,6)+1),"")</f>
        <v/>
      </c>
      <c r="G1698" s="159">
        <f>IFERROR(IF(WEEKDAY($A1698,2)&lt;=INDEX('BASE METAS DIÁRIAS'!$H$2:$M$358,MATCH($A1698,'BASE METAS DIÁRIAS'!$A$2:$A$358,0),MOD(ROW()-2,6)+1),INDEX('BASE METAS DIÁRIAS'!$B$2:$G$358,MATCH($A1698,'BASE METAS DIÁRIAS'!$A$2:$A$358,0),MOD(ROW()-2,6)+1),""),"")</f>
        <v/>
      </c>
      <c r="H1698" s="159">
        <f>IFERROR(IF(INDEX('CONTROLE PRODUÇÃO POR EMPRESAS'!$B$6:$G$5000,MATCH($A1698,'CONTROLE PRODUÇÃO POR EMPRESAS'!$A$6:$A$5000,0),MOD(ROW()-2,6)+1)="","",IFERROR(1*INDEX('CONTROLE PRODUÇÃO POR EMPRESAS'!$B$6:$G$5000,MATCH($A1698,'CONTROLE PRODUÇÃO POR EMPRESAS'!$A$6:$A$5000,0),MOD(ROW()-2,6)+1),"")),"")</f>
        <v/>
      </c>
      <c r="I1698" s="159">
        <f>IF(OR(NOT(ISNUMBER(G1698)),NOT(ISNUMBER(H1698))),"",H1698-G1698)</f>
        <v/>
      </c>
      <c r="J1698" s="319">
        <f>IF(OR(NOT(ISNUMBER(G1698)),NOT(ISNUMBER(H1698)),G1698=0),"",I1698/G1698)</f>
        <v/>
      </c>
      <c r="K1698" s="319">
        <f>IF(OR(NOT(ISNUMBER(G1698)),NOT(ISNUMBER(H1698)),G1698=0),"",H1698/G1698)</f>
        <v/>
      </c>
      <c r="L1698">
        <f>IF(NOT(ISNUMBER(G1698)),"SEM META",IF(G1698=0,"SEM META",IF(NOT(ISNUMBER(H1698)),"SEM APONTAMENTO",IF(H1698&gt;=G1698,"VERDE",IF(H1698&gt;=G1698*0.9,"AMARELO","VERMELHO")))))</f>
        <v/>
      </c>
      <c r="M1698" s="162" t="n"/>
      <c r="N1698" s="162" t="n"/>
      <c r="O1698" s="162" t="n"/>
      <c r="P1698" s="162" t="n"/>
      <c r="Q1698" s="320" t="n"/>
      <c r="R1698" s="162" t="inlineStr">
        <is>
          <t>CONTROLE PRODUÇÃO POR EMPRESAS!F288</t>
        </is>
      </c>
    </row>
    <row r="1699" ht="28.5" customHeight="1">
      <c r="A1699" s="317" t="n">
        <v>46505</v>
      </c>
      <c r="B1699" t="inlineStr">
        <is>
          <t>GERAL</t>
        </is>
      </c>
      <c r="C1699" t="inlineStr">
        <is>
          <t>CMM</t>
        </is>
      </c>
      <c r="D1699" t="inlineStr">
        <is>
          <t>VIGAS</t>
        </is>
      </c>
      <c r="F1699" s="159">
        <f>IFERROR(INDEX('BASE METAS DIÁRIAS'!$N$2:$S$358,MATCH($A1699,'BASE METAS DIÁRIAS'!$A$2:$A$358,0),MOD(ROW()-2,6)+1),"")</f>
        <v/>
      </c>
      <c r="G1699" s="159">
        <f>IFERROR(IF(WEEKDAY($A1699,2)&lt;=INDEX('BASE METAS DIÁRIAS'!$H$2:$M$358,MATCH($A1699,'BASE METAS DIÁRIAS'!$A$2:$A$358,0),MOD(ROW()-2,6)+1),INDEX('BASE METAS DIÁRIAS'!$B$2:$G$358,MATCH($A1699,'BASE METAS DIÁRIAS'!$A$2:$A$358,0),MOD(ROW()-2,6)+1),""),"")</f>
        <v/>
      </c>
      <c r="H1699" s="159">
        <f>IFERROR(IF(INDEX('CONTROLE PRODUÇÃO POR EMPRESAS'!$B$6:$G$5000,MATCH($A1699,'CONTROLE PRODUÇÃO POR EMPRESAS'!$A$6:$A$5000,0),MOD(ROW()-2,6)+1)="","",IFERROR(1*INDEX('CONTROLE PRODUÇÃO POR EMPRESAS'!$B$6:$G$5000,MATCH($A1699,'CONTROLE PRODUÇÃO POR EMPRESAS'!$A$6:$A$5000,0),MOD(ROW()-2,6)+1),"")),"")</f>
        <v/>
      </c>
      <c r="I1699" s="159">
        <f>IF(OR(NOT(ISNUMBER(G1699)),NOT(ISNUMBER(H1699))),"",H1699-G1699)</f>
        <v/>
      </c>
      <c r="J1699" s="319">
        <f>IF(OR(NOT(ISNUMBER(G1699)),NOT(ISNUMBER(H1699)),G1699=0),"",I1699/G1699)</f>
        <v/>
      </c>
      <c r="K1699" s="319">
        <f>IF(OR(NOT(ISNUMBER(G1699)),NOT(ISNUMBER(H1699)),G1699=0),"",H1699/G1699)</f>
        <v/>
      </c>
      <c r="L1699">
        <f>IF(NOT(ISNUMBER(G1699)),"SEM META",IF(G1699=0,"SEM META",IF(NOT(ISNUMBER(H1699)),"SEM APONTAMENTO",IF(H1699&gt;=G1699,"VERDE",IF(H1699&gt;=G1699*0.9,"AMARELO","VERMELHO")))))</f>
        <v/>
      </c>
      <c r="M1699" s="162" t="n"/>
      <c r="N1699" s="162" t="n"/>
      <c r="O1699" s="162" t="n"/>
      <c r="P1699" s="162" t="n"/>
      <c r="Q1699" s="320" t="n"/>
      <c r="R1699" s="162" t="inlineStr">
        <is>
          <t>CONTROLE PRODUÇÃO POR EMPRESAS!G288</t>
        </is>
      </c>
    </row>
    <row r="1700" ht="28.5" customHeight="1">
      <c r="A1700" s="317" t="n">
        <v>46506</v>
      </c>
      <c r="B1700" t="inlineStr">
        <is>
          <t>GERAL</t>
        </is>
      </c>
      <c r="C1700" t="inlineStr">
        <is>
          <t>EJ</t>
        </is>
      </c>
      <c r="D1700" t="inlineStr">
        <is>
          <t>PREMONTAGEM</t>
        </is>
      </c>
      <c r="F1700" s="159">
        <f>IFERROR(INDEX('BASE METAS DIÁRIAS'!$N$2:$S$358,MATCH($A1700,'BASE METAS DIÁRIAS'!$A$2:$A$358,0),MOD(ROW()-2,6)+1),"")</f>
        <v/>
      </c>
      <c r="G1700" s="159">
        <f>IFERROR(IF(WEEKDAY($A1700,2)&lt;=INDEX('BASE METAS DIÁRIAS'!$H$2:$M$358,MATCH($A1700,'BASE METAS DIÁRIAS'!$A$2:$A$358,0),MOD(ROW()-2,6)+1),INDEX('BASE METAS DIÁRIAS'!$B$2:$G$358,MATCH($A1700,'BASE METAS DIÁRIAS'!$A$2:$A$358,0),MOD(ROW()-2,6)+1),""),"")</f>
        <v/>
      </c>
      <c r="H1700" s="159">
        <f>IFERROR(IF(INDEX('CONTROLE PRODUÇÃO POR EMPRESAS'!$B$6:$G$5000,MATCH($A1700,'CONTROLE PRODUÇÃO POR EMPRESAS'!$A$6:$A$5000,0),MOD(ROW()-2,6)+1)="","",IFERROR(1*INDEX('CONTROLE PRODUÇÃO POR EMPRESAS'!$B$6:$G$5000,MATCH($A1700,'CONTROLE PRODUÇÃO POR EMPRESAS'!$A$6:$A$5000,0),MOD(ROW()-2,6)+1),"")),"")</f>
        <v/>
      </c>
      <c r="I1700" s="159">
        <f>IF(OR(NOT(ISNUMBER(G1700)),NOT(ISNUMBER(H1700))),"",H1700-G1700)</f>
        <v/>
      </c>
      <c r="J1700" s="319">
        <f>IF(OR(NOT(ISNUMBER(G1700)),NOT(ISNUMBER(H1700)),G1700=0),"",I1700/G1700)</f>
        <v/>
      </c>
      <c r="K1700" s="319">
        <f>IF(OR(NOT(ISNUMBER(G1700)),NOT(ISNUMBER(H1700)),G1700=0),"",H1700/G1700)</f>
        <v/>
      </c>
      <c r="L1700">
        <f>IF(NOT(ISNUMBER(G1700)),"SEM META",IF(G1700=0,"SEM META",IF(NOT(ISNUMBER(H1700)),"SEM APONTAMENTO",IF(H1700&gt;=G1700,"VERDE",IF(H1700&gt;=G1700*0.9,"AMARELO","VERMELHO")))))</f>
        <v/>
      </c>
      <c r="M1700" s="162" t="n"/>
      <c r="N1700" s="162" t="n"/>
      <c r="O1700" s="162" t="n"/>
      <c r="P1700" s="162" t="n"/>
      <c r="Q1700" s="320" t="n"/>
      <c r="R1700" s="162" t="inlineStr">
        <is>
          <t>CONTROLE PRODUÇÃO POR EMPRESAS!B289</t>
        </is>
      </c>
    </row>
    <row r="1701" ht="28.5" customHeight="1">
      <c r="A1701" s="317" t="n">
        <v>46506</v>
      </c>
      <c r="B1701" t="inlineStr">
        <is>
          <t>GERAL</t>
        </is>
      </c>
      <c r="C1701" t="inlineStr">
        <is>
          <t>EJ</t>
        </is>
      </c>
      <c r="D1701" t="inlineStr">
        <is>
          <t>IÇAMENTO JOIST</t>
        </is>
      </c>
      <c r="F1701" s="159">
        <f>IFERROR(INDEX('BASE METAS DIÁRIAS'!$N$2:$S$358,MATCH($A1701,'BASE METAS DIÁRIAS'!$A$2:$A$358,0),MOD(ROW()-2,6)+1),"")</f>
        <v/>
      </c>
      <c r="G1701" s="159">
        <f>IFERROR(IF(WEEKDAY($A1701,2)&lt;=INDEX('BASE METAS DIÁRIAS'!$H$2:$M$358,MATCH($A1701,'BASE METAS DIÁRIAS'!$A$2:$A$358,0),MOD(ROW()-2,6)+1),INDEX('BASE METAS DIÁRIAS'!$B$2:$G$358,MATCH($A1701,'BASE METAS DIÁRIAS'!$A$2:$A$358,0),MOD(ROW()-2,6)+1),""),"")</f>
        <v/>
      </c>
      <c r="H1701" s="159">
        <f>IFERROR(IF(INDEX('CONTROLE PRODUÇÃO POR EMPRESAS'!$B$6:$G$5000,MATCH($A1701,'CONTROLE PRODUÇÃO POR EMPRESAS'!$A$6:$A$5000,0),MOD(ROW()-2,6)+1)="","",IFERROR(1*INDEX('CONTROLE PRODUÇÃO POR EMPRESAS'!$B$6:$G$5000,MATCH($A1701,'CONTROLE PRODUÇÃO POR EMPRESAS'!$A$6:$A$5000,0),MOD(ROW()-2,6)+1),"")),"")</f>
        <v/>
      </c>
      <c r="I1701" s="159">
        <f>IF(OR(NOT(ISNUMBER(G1701)),NOT(ISNUMBER(H1701))),"",H1701-G1701)</f>
        <v/>
      </c>
      <c r="J1701" s="319">
        <f>IF(OR(NOT(ISNUMBER(G1701)),NOT(ISNUMBER(H1701)),G1701=0),"",I1701/G1701)</f>
        <v/>
      </c>
      <c r="K1701" s="319">
        <f>IF(OR(NOT(ISNUMBER(G1701)),NOT(ISNUMBER(H1701)),G1701=0),"",H1701/G1701)</f>
        <v/>
      </c>
      <c r="L1701">
        <f>IF(NOT(ISNUMBER(G1701)),"SEM META",IF(G1701=0,"SEM META",IF(NOT(ISNUMBER(H1701)),"SEM APONTAMENTO",IF(H1701&gt;=G1701,"VERDE",IF(H1701&gt;=G1701*0.9,"AMARELO","VERMELHO")))))</f>
        <v/>
      </c>
      <c r="M1701" s="162" t="n"/>
      <c r="N1701" s="162" t="n"/>
      <c r="O1701" s="162" t="n"/>
      <c r="P1701" s="162" t="n"/>
      <c r="Q1701" s="320" t="n"/>
      <c r="R1701" s="162" t="inlineStr">
        <is>
          <t>CONTROLE PRODUÇÃO POR EMPRESAS!C289</t>
        </is>
      </c>
    </row>
    <row r="1702" ht="28.5" customHeight="1">
      <c r="A1702" s="317" t="n">
        <v>46506</v>
      </c>
      <c r="B1702" t="inlineStr">
        <is>
          <t>GERAL</t>
        </is>
      </c>
      <c r="C1702" t="inlineStr">
        <is>
          <t>EJ</t>
        </is>
      </c>
      <c r="D1702" t="inlineStr">
        <is>
          <t>VIGAS</t>
        </is>
      </c>
      <c r="F1702" s="159">
        <f>IFERROR(INDEX('BASE METAS DIÁRIAS'!$N$2:$S$358,MATCH($A1702,'BASE METAS DIÁRIAS'!$A$2:$A$358,0),MOD(ROW()-2,6)+1),"")</f>
        <v/>
      </c>
      <c r="G1702" s="159">
        <f>IFERROR(IF(WEEKDAY($A1702,2)&lt;=INDEX('BASE METAS DIÁRIAS'!$H$2:$M$358,MATCH($A1702,'BASE METAS DIÁRIAS'!$A$2:$A$358,0),MOD(ROW()-2,6)+1),INDEX('BASE METAS DIÁRIAS'!$B$2:$G$358,MATCH($A1702,'BASE METAS DIÁRIAS'!$A$2:$A$358,0),MOD(ROW()-2,6)+1),""),"")</f>
        <v/>
      </c>
      <c r="H1702" s="159">
        <f>IFERROR(IF(INDEX('CONTROLE PRODUÇÃO POR EMPRESAS'!$B$6:$G$5000,MATCH($A1702,'CONTROLE PRODUÇÃO POR EMPRESAS'!$A$6:$A$5000,0),MOD(ROW()-2,6)+1)="","",IFERROR(1*INDEX('CONTROLE PRODUÇÃO POR EMPRESAS'!$B$6:$G$5000,MATCH($A1702,'CONTROLE PRODUÇÃO POR EMPRESAS'!$A$6:$A$5000,0),MOD(ROW()-2,6)+1),"")),"")</f>
        <v/>
      </c>
      <c r="I1702" s="159">
        <f>IF(OR(NOT(ISNUMBER(G1702)),NOT(ISNUMBER(H1702))),"",H1702-G1702)</f>
        <v/>
      </c>
      <c r="J1702" s="319">
        <f>IF(OR(NOT(ISNUMBER(G1702)),NOT(ISNUMBER(H1702)),G1702=0),"",I1702/G1702)</f>
        <v/>
      </c>
      <c r="K1702" s="319">
        <f>IF(OR(NOT(ISNUMBER(G1702)),NOT(ISNUMBER(H1702)),G1702=0),"",H1702/G1702)</f>
        <v/>
      </c>
      <c r="L1702">
        <f>IF(NOT(ISNUMBER(G1702)),"SEM META",IF(G1702=0,"SEM META",IF(NOT(ISNUMBER(H1702)),"SEM APONTAMENTO",IF(H1702&gt;=G1702,"VERDE",IF(H1702&gt;=G1702*0.9,"AMARELO","VERMELHO")))))</f>
        <v/>
      </c>
      <c r="M1702" s="162" t="n"/>
      <c r="N1702" s="162" t="n"/>
      <c r="O1702" s="162" t="n"/>
      <c r="P1702" s="162" t="n"/>
      <c r="Q1702" s="320" t="n"/>
      <c r="R1702" s="162" t="inlineStr">
        <is>
          <t>CONTROLE PRODUÇÃO POR EMPRESAS!D289</t>
        </is>
      </c>
    </row>
    <row r="1703" ht="28.5" customHeight="1">
      <c r="A1703" s="317" t="n">
        <v>46506</v>
      </c>
      <c r="B1703" t="inlineStr">
        <is>
          <t>GERAL</t>
        </is>
      </c>
      <c r="C1703" t="inlineStr">
        <is>
          <t>CMM</t>
        </is>
      </c>
      <c r="D1703" t="inlineStr">
        <is>
          <t>PREMONTAGEM</t>
        </is>
      </c>
      <c r="F1703" s="159">
        <f>IFERROR(INDEX('BASE METAS DIÁRIAS'!$N$2:$S$358,MATCH($A1703,'BASE METAS DIÁRIAS'!$A$2:$A$358,0),MOD(ROW()-2,6)+1),"")</f>
        <v/>
      </c>
      <c r="G1703" s="159">
        <f>IFERROR(IF(WEEKDAY($A1703,2)&lt;=INDEX('BASE METAS DIÁRIAS'!$H$2:$M$358,MATCH($A1703,'BASE METAS DIÁRIAS'!$A$2:$A$358,0),MOD(ROW()-2,6)+1),INDEX('BASE METAS DIÁRIAS'!$B$2:$G$358,MATCH($A1703,'BASE METAS DIÁRIAS'!$A$2:$A$358,0),MOD(ROW()-2,6)+1),""),"")</f>
        <v/>
      </c>
      <c r="H1703" s="159">
        <f>IFERROR(IF(INDEX('CONTROLE PRODUÇÃO POR EMPRESAS'!$B$6:$G$5000,MATCH($A1703,'CONTROLE PRODUÇÃO POR EMPRESAS'!$A$6:$A$5000,0),MOD(ROW()-2,6)+1)="","",IFERROR(1*INDEX('CONTROLE PRODUÇÃO POR EMPRESAS'!$B$6:$G$5000,MATCH($A1703,'CONTROLE PRODUÇÃO POR EMPRESAS'!$A$6:$A$5000,0),MOD(ROW()-2,6)+1),"")),"")</f>
        <v/>
      </c>
      <c r="I1703" s="159">
        <f>IF(OR(NOT(ISNUMBER(G1703)),NOT(ISNUMBER(H1703))),"",H1703-G1703)</f>
        <v/>
      </c>
      <c r="J1703" s="319">
        <f>IF(OR(NOT(ISNUMBER(G1703)),NOT(ISNUMBER(H1703)),G1703=0),"",I1703/G1703)</f>
        <v/>
      </c>
      <c r="K1703" s="319">
        <f>IF(OR(NOT(ISNUMBER(G1703)),NOT(ISNUMBER(H1703)),G1703=0),"",H1703/G1703)</f>
        <v/>
      </c>
      <c r="L1703">
        <f>IF(NOT(ISNUMBER(G1703)),"SEM META",IF(G1703=0,"SEM META",IF(NOT(ISNUMBER(H1703)),"SEM APONTAMENTO",IF(H1703&gt;=G1703,"VERDE",IF(H1703&gt;=G1703*0.9,"AMARELO","VERMELHO")))))</f>
        <v/>
      </c>
      <c r="M1703" s="162" t="n"/>
      <c r="N1703" s="162" t="n"/>
      <c r="O1703" s="162" t="n"/>
      <c r="P1703" s="162" t="n"/>
      <c r="Q1703" s="320" t="n"/>
      <c r="R1703" s="162" t="inlineStr">
        <is>
          <t>CONTROLE PRODUÇÃO POR EMPRESAS!E289</t>
        </is>
      </c>
    </row>
    <row r="1704" ht="28.5" customHeight="1">
      <c r="A1704" s="317" t="n">
        <v>46506</v>
      </c>
      <c r="B1704" t="inlineStr">
        <is>
          <t>GERAL</t>
        </is>
      </c>
      <c r="C1704" t="inlineStr">
        <is>
          <t>CMM</t>
        </is>
      </c>
      <c r="D1704" t="inlineStr">
        <is>
          <t>IÇAMENTO JOIST</t>
        </is>
      </c>
      <c r="F1704" s="159">
        <f>IFERROR(INDEX('BASE METAS DIÁRIAS'!$N$2:$S$358,MATCH($A1704,'BASE METAS DIÁRIAS'!$A$2:$A$358,0),MOD(ROW()-2,6)+1),"")</f>
        <v/>
      </c>
      <c r="G1704" s="159">
        <f>IFERROR(IF(WEEKDAY($A1704,2)&lt;=INDEX('BASE METAS DIÁRIAS'!$H$2:$M$358,MATCH($A1704,'BASE METAS DIÁRIAS'!$A$2:$A$358,0),MOD(ROW()-2,6)+1),INDEX('BASE METAS DIÁRIAS'!$B$2:$G$358,MATCH($A1704,'BASE METAS DIÁRIAS'!$A$2:$A$358,0),MOD(ROW()-2,6)+1),""),"")</f>
        <v/>
      </c>
      <c r="H1704" s="159">
        <f>IFERROR(IF(INDEX('CONTROLE PRODUÇÃO POR EMPRESAS'!$B$6:$G$5000,MATCH($A1704,'CONTROLE PRODUÇÃO POR EMPRESAS'!$A$6:$A$5000,0),MOD(ROW()-2,6)+1)="","",IFERROR(1*INDEX('CONTROLE PRODUÇÃO POR EMPRESAS'!$B$6:$G$5000,MATCH($A1704,'CONTROLE PRODUÇÃO POR EMPRESAS'!$A$6:$A$5000,0),MOD(ROW()-2,6)+1),"")),"")</f>
        <v/>
      </c>
      <c r="I1704" s="159">
        <f>IF(OR(NOT(ISNUMBER(G1704)),NOT(ISNUMBER(H1704))),"",H1704-G1704)</f>
        <v/>
      </c>
      <c r="J1704" s="319">
        <f>IF(OR(NOT(ISNUMBER(G1704)),NOT(ISNUMBER(H1704)),G1704=0),"",I1704/G1704)</f>
        <v/>
      </c>
      <c r="K1704" s="319">
        <f>IF(OR(NOT(ISNUMBER(G1704)),NOT(ISNUMBER(H1704)),G1704=0),"",H1704/G1704)</f>
        <v/>
      </c>
      <c r="L1704">
        <f>IF(NOT(ISNUMBER(G1704)),"SEM META",IF(G1704=0,"SEM META",IF(NOT(ISNUMBER(H1704)),"SEM APONTAMENTO",IF(H1704&gt;=G1704,"VERDE",IF(H1704&gt;=G1704*0.9,"AMARELO","VERMELHO")))))</f>
        <v/>
      </c>
      <c r="M1704" s="162" t="n"/>
      <c r="N1704" s="162" t="n"/>
      <c r="O1704" s="162" t="n"/>
      <c r="P1704" s="162" t="n"/>
      <c r="Q1704" s="320" t="n"/>
      <c r="R1704" s="162" t="inlineStr">
        <is>
          <t>CONTROLE PRODUÇÃO POR EMPRESAS!F289</t>
        </is>
      </c>
    </row>
    <row r="1705" ht="28.5" customHeight="1">
      <c r="A1705" s="317" t="n">
        <v>46506</v>
      </c>
      <c r="B1705" t="inlineStr">
        <is>
          <t>GERAL</t>
        </is>
      </c>
      <c r="C1705" t="inlineStr">
        <is>
          <t>CMM</t>
        </is>
      </c>
      <c r="D1705" t="inlineStr">
        <is>
          <t>VIGAS</t>
        </is>
      </c>
      <c r="F1705" s="159">
        <f>IFERROR(INDEX('BASE METAS DIÁRIAS'!$N$2:$S$358,MATCH($A1705,'BASE METAS DIÁRIAS'!$A$2:$A$358,0),MOD(ROW()-2,6)+1),"")</f>
        <v/>
      </c>
      <c r="G1705" s="159">
        <f>IFERROR(IF(WEEKDAY($A1705,2)&lt;=INDEX('BASE METAS DIÁRIAS'!$H$2:$M$358,MATCH($A1705,'BASE METAS DIÁRIAS'!$A$2:$A$358,0),MOD(ROW()-2,6)+1),INDEX('BASE METAS DIÁRIAS'!$B$2:$G$358,MATCH($A1705,'BASE METAS DIÁRIAS'!$A$2:$A$358,0),MOD(ROW()-2,6)+1),""),"")</f>
        <v/>
      </c>
      <c r="H1705" s="159">
        <f>IFERROR(IF(INDEX('CONTROLE PRODUÇÃO POR EMPRESAS'!$B$6:$G$5000,MATCH($A1705,'CONTROLE PRODUÇÃO POR EMPRESAS'!$A$6:$A$5000,0),MOD(ROW()-2,6)+1)="","",IFERROR(1*INDEX('CONTROLE PRODUÇÃO POR EMPRESAS'!$B$6:$G$5000,MATCH($A1705,'CONTROLE PRODUÇÃO POR EMPRESAS'!$A$6:$A$5000,0),MOD(ROW()-2,6)+1),"")),"")</f>
        <v/>
      </c>
      <c r="I1705" s="159">
        <f>IF(OR(NOT(ISNUMBER(G1705)),NOT(ISNUMBER(H1705))),"",H1705-G1705)</f>
        <v/>
      </c>
      <c r="J1705" s="319">
        <f>IF(OR(NOT(ISNUMBER(G1705)),NOT(ISNUMBER(H1705)),G1705=0),"",I1705/G1705)</f>
        <v/>
      </c>
      <c r="K1705" s="319">
        <f>IF(OR(NOT(ISNUMBER(G1705)),NOT(ISNUMBER(H1705)),G1705=0),"",H1705/G1705)</f>
        <v/>
      </c>
      <c r="L1705">
        <f>IF(NOT(ISNUMBER(G1705)),"SEM META",IF(G1705=0,"SEM META",IF(NOT(ISNUMBER(H1705)),"SEM APONTAMENTO",IF(H1705&gt;=G1705,"VERDE",IF(H1705&gt;=G1705*0.9,"AMARELO","VERMELHO")))))</f>
        <v/>
      </c>
      <c r="M1705" s="162" t="n"/>
      <c r="N1705" s="162" t="n"/>
      <c r="O1705" s="162" t="n"/>
      <c r="P1705" s="162" t="n"/>
      <c r="Q1705" s="320" t="n"/>
      <c r="R1705" s="162" t="inlineStr">
        <is>
          <t>CONTROLE PRODUÇÃO POR EMPRESAS!G289</t>
        </is>
      </c>
    </row>
    <row r="1706" ht="28.5" customHeight="1">
      <c r="A1706" s="317" t="n">
        <v>46507</v>
      </c>
      <c r="B1706" t="inlineStr">
        <is>
          <t>GERAL</t>
        </is>
      </c>
      <c r="C1706" t="inlineStr">
        <is>
          <t>EJ</t>
        </is>
      </c>
      <c r="D1706" t="inlineStr">
        <is>
          <t>PREMONTAGEM</t>
        </is>
      </c>
      <c r="F1706" s="159">
        <f>IFERROR(INDEX('BASE METAS DIÁRIAS'!$N$2:$S$358,MATCH($A1706,'BASE METAS DIÁRIAS'!$A$2:$A$358,0),MOD(ROW()-2,6)+1),"")</f>
        <v/>
      </c>
      <c r="G1706" s="159">
        <f>IFERROR(IF(WEEKDAY($A1706,2)&lt;=INDEX('BASE METAS DIÁRIAS'!$H$2:$M$358,MATCH($A1706,'BASE METAS DIÁRIAS'!$A$2:$A$358,0),MOD(ROW()-2,6)+1),INDEX('BASE METAS DIÁRIAS'!$B$2:$G$358,MATCH($A1706,'BASE METAS DIÁRIAS'!$A$2:$A$358,0),MOD(ROW()-2,6)+1),""),"")</f>
        <v/>
      </c>
      <c r="H1706" s="159">
        <f>IFERROR(IF(INDEX('CONTROLE PRODUÇÃO POR EMPRESAS'!$B$6:$G$5000,MATCH($A1706,'CONTROLE PRODUÇÃO POR EMPRESAS'!$A$6:$A$5000,0),MOD(ROW()-2,6)+1)="","",IFERROR(1*INDEX('CONTROLE PRODUÇÃO POR EMPRESAS'!$B$6:$G$5000,MATCH($A1706,'CONTROLE PRODUÇÃO POR EMPRESAS'!$A$6:$A$5000,0),MOD(ROW()-2,6)+1),"")),"")</f>
        <v/>
      </c>
      <c r="I1706" s="159">
        <f>IF(OR(NOT(ISNUMBER(G1706)),NOT(ISNUMBER(H1706))),"",H1706-G1706)</f>
        <v/>
      </c>
      <c r="J1706" s="319">
        <f>IF(OR(NOT(ISNUMBER(G1706)),NOT(ISNUMBER(H1706)),G1706=0),"",I1706/G1706)</f>
        <v/>
      </c>
      <c r="K1706" s="319">
        <f>IF(OR(NOT(ISNUMBER(G1706)),NOT(ISNUMBER(H1706)),G1706=0),"",H1706/G1706)</f>
        <v/>
      </c>
      <c r="L1706">
        <f>IF(NOT(ISNUMBER(G1706)),"SEM META",IF(G1706=0,"SEM META",IF(NOT(ISNUMBER(H1706)),"SEM APONTAMENTO",IF(H1706&gt;=G1706,"VERDE",IF(H1706&gt;=G1706*0.9,"AMARELO","VERMELHO")))))</f>
        <v/>
      </c>
      <c r="M1706" s="162" t="n"/>
      <c r="N1706" s="162" t="n"/>
      <c r="O1706" s="162" t="n"/>
      <c r="P1706" s="162" t="n"/>
      <c r="Q1706" s="320" t="n"/>
      <c r="R1706" s="162" t="inlineStr">
        <is>
          <t>CONTROLE PRODUÇÃO POR EMPRESAS!B290</t>
        </is>
      </c>
    </row>
    <row r="1707" ht="28.5" customHeight="1">
      <c r="A1707" s="317" t="n">
        <v>46507</v>
      </c>
      <c r="B1707" t="inlineStr">
        <is>
          <t>GERAL</t>
        </is>
      </c>
      <c r="C1707" t="inlineStr">
        <is>
          <t>EJ</t>
        </is>
      </c>
      <c r="D1707" t="inlineStr">
        <is>
          <t>IÇAMENTO JOIST</t>
        </is>
      </c>
      <c r="F1707" s="159">
        <f>IFERROR(INDEX('BASE METAS DIÁRIAS'!$N$2:$S$358,MATCH($A1707,'BASE METAS DIÁRIAS'!$A$2:$A$358,0),MOD(ROW()-2,6)+1),"")</f>
        <v/>
      </c>
      <c r="G1707" s="159">
        <f>IFERROR(IF(WEEKDAY($A1707,2)&lt;=INDEX('BASE METAS DIÁRIAS'!$H$2:$M$358,MATCH($A1707,'BASE METAS DIÁRIAS'!$A$2:$A$358,0),MOD(ROW()-2,6)+1),INDEX('BASE METAS DIÁRIAS'!$B$2:$G$358,MATCH($A1707,'BASE METAS DIÁRIAS'!$A$2:$A$358,0),MOD(ROW()-2,6)+1),""),"")</f>
        <v/>
      </c>
      <c r="H1707" s="159">
        <f>IFERROR(IF(INDEX('CONTROLE PRODUÇÃO POR EMPRESAS'!$B$6:$G$5000,MATCH($A1707,'CONTROLE PRODUÇÃO POR EMPRESAS'!$A$6:$A$5000,0),MOD(ROW()-2,6)+1)="","",IFERROR(1*INDEX('CONTROLE PRODUÇÃO POR EMPRESAS'!$B$6:$G$5000,MATCH($A1707,'CONTROLE PRODUÇÃO POR EMPRESAS'!$A$6:$A$5000,0),MOD(ROW()-2,6)+1),"")),"")</f>
        <v/>
      </c>
      <c r="I1707" s="159">
        <f>IF(OR(NOT(ISNUMBER(G1707)),NOT(ISNUMBER(H1707))),"",H1707-G1707)</f>
        <v/>
      </c>
      <c r="J1707" s="319">
        <f>IF(OR(NOT(ISNUMBER(G1707)),NOT(ISNUMBER(H1707)),G1707=0),"",I1707/G1707)</f>
        <v/>
      </c>
      <c r="K1707" s="319">
        <f>IF(OR(NOT(ISNUMBER(G1707)),NOT(ISNUMBER(H1707)),G1707=0),"",H1707/G1707)</f>
        <v/>
      </c>
      <c r="L1707">
        <f>IF(NOT(ISNUMBER(G1707)),"SEM META",IF(G1707=0,"SEM META",IF(NOT(ISNUMBER(H1707)),"SEM APONTAMENTO",IF(H1707&gt;=G1707,"VERDE",IF(H1707&gt;=G1707*0.9,"AMARELO","VERMELHO")))))</f>
        <v/>
      </c>
      <c r="M1707" s="162" t="n"/>
      <c r="N1707" s="162" t="n"/>
      <c r="O1707" s="162" t="n"/>
      <c r="P1707" s="162" t="n"/>
      <c r="Q1707" s="320" t="n"/>
      <c r="R1707" s="162" t="inlineStr">
        <is>
          <t>CONTROLE PRODUÇÃO POR EMPRESAS!C290</t>
        </is>
      </c>
    </row>
    <row r="1708" ht="28.5" customHeight="1">
      <c r="A1708" s="317" t="n">
        <v>46507</v>
      </c>
      <c r="B1708" t="inlineStr">
        <is>
          <t>GERAL</t>
        </is>
      </c>
      <c r="C1708" t="inlineStr">
        <is>
          <t>EJ</t>
        </is>
      </c>
      <c r="D1708" t="inlineStr">
        <is>
          <t>VIGAS</t>
        </is>
      </c>
      <c r="F1708" s="159">
        <f>IFERROR(INDEX('BASE METAS DIÁRIAS'!$N$2:$S$358,MATCH($A1708,'BASE METAS DIÁRIAS'!$A$2:$A$358,0),MOD(ROW()-2,6)+1),"")</f>
        <v/>
      </c>
      <c r="G1708" s="159">
        <f>IFERROR(IF(WEEKDAY($A1708,2)&lt;=INDEX('BASE METAS DIÁRIAS'!$H$2:$M$358,MATCH($A1708,'BASE METAS DIÁRIAS'!$A$2:$A$358,0),MOD(ROW()-2,6)+1),INDEX('BASE METAS DIÁRIAS'!$B$2:$G$358,MATCH($A1708,'BASE METAS DIÁRIAS'!$A$2:$A$358,0),MOD(ROW()-2,6)+1),""),"")</f>
        <v/>
      </c>
      <c r="H1708" s="159">
        <f>IFERROR(IF(INDEX('CONTROLE PRODUÇÃO POR EMPRESAS'!$B$6:$G$5000,MATCH($A1708,'CONTROLE PRODUÇÃO POR EMPRESAS'!$A$6:$A$5000,0),MOD(ROW()-2,6)+1)="","",IFERROR(1*INDEX('CONTROLE PRODUÇÃO POR EMPRESAS'!$B$6:$G$5000,MATCH($A1708,'CONTROLE PRODUÇÃO POR EMPRESAS'!$A$6:$A$5000,0),MOD(ROW()-2,6)+1),"")),"")</f>
        <v/>
      </c>
      <c r="I1708" s="159">
        <f>IF(OR(NOT(ISNUMBER(G1708)),NOT(ISNUMBER(H1708))),"",H1708-G1708)</f>
        <v/>
      </c>
      <c r="J1708" s="319">
        <f>IF(OR(NOT(ISNUMBER(G1708)),NOT(ISNUMBER(H1708)),G1708=0),"",I1708/G1708)</f>
        <v/>
      </c>
      <c r="K1708" s="319">
        <f>IF(OR(NOT(ISNUMBER(G1708)),NOT(ISNUMBER(H1708)),G1708=0),"",H1708/G1708)</f>
        <v/>
      </c>
      <c r="L1708">
        <f>IF(NOT(ISNUMBER(G1708)),"SEM META",IF(G1708=0,"SEM META",IF(NOT(ISNUMBER(H1708)),"SEM APONTAMENTO",IF(H1708&gt;=G1708,"VERDE",IF(H1708&gt;=G1708*0.9,"AMARELO","VERMELHO")))))</f>
        <v/>
      </c>
      <c r="M1708" s="162" t="n"/>
      <c r="N1708" s="162" t="n"/>
      <c r="O1708" s="162" t="n"/>
      <c r="P1708" s="162" t="n"/>
      <c r="Q1708" s="320" t="n"/>
      <c r="R1708" s="162" t="inlineStr">
        <is>
          <t>CONTROLE PRODUÇÃO POR EMPRESAS!D290</t>
        </is>
      </c>
    </row>
    <row r="1709" ht="28.5" customHeight="1">
      <c r="A1709" s="317" t="n">
        <v>46507</v>
      </c>
      <c r="B1709" t="inlineStr">
        <is>
          <t>GERAL</t>
        </is>
      </c>
      <c r="C1709" t="inlineStr">
        <is>
          <t>CMM</t>
        </is>
      </c>
      <c r="D1709" t="inlineStr">
        <is>
          <t>PREMONTAGEM</t>
        </is>
      </c>
      <c r="F1709" s="159">
        <f>IFERROR(INDEX('BASE METAS DIÁRIAS'!$N$2:$S$358,MATCH($A1709,'BASE METAS DIÁRIAS'!$A$2:$A$358,0),MOD(ROW()-2,6)+1),"")</f>
        <v/>
      </c>
      <c r="G1709" s="159">
        <f>IFERROR(IF(WEEKDAY($A1709,2)&lt;=INDEX('BASE METAS DIÁRIAS'!$H$2:$M$358,MATCH($A1709,'BASE METAS DIÁRIAS'!$A$2:$A$358,0),MOD(ROW()-2,6)+1),INDEX('BASE METAS DIÁRIAS'!$B$2:$G$358,MATCH($A1709,'BASE METAS DIÁRIAS'!$A$2:$A$358,0),MOD(ROW()-2,6)+1),""),"")</f>
        <v/>
      </c>
      <c r="H1709" s="159">
        <f>IFERROR(IF(INDEX('CONTROLE PRODUÇÃO POR EMPRESAS'!$B$6:$G$5000,MATCH($A1709,'CONTROLE PRODUÇÃO POR EMPRESAS'!$A$6:$A$5000,0),MOD(ROW()-2,6)+1)="","",IFERROR(1*INDEX('CONTROLE PRODUÇÃO POR EMPRESAS'!$B$6:$G$5000,MATCH($A1709,'CONTROLE PRODUÇÃO POR EMPRESAS'!$A$6:$A$5000,0),MOD(ROW()-2,6)+1),"")),"")</f>
        <v/>
      </c>
      <c r="I1709" s="159">
        <f>IF(OR(NOT(ISNUMBER(G1709)),NOT(ISNUMBER(H1709))),"",H1709-G1709)</f>
        <v/>
      </c>
      <c r="J1709" s="319">
        <f>IF(OR(NOT(ISNUMBER(G1709)),NOT(ISNUMBER(H1709)),G1709=0),"",I1709/G1709)</f>
        <v/>
      </c>
      <c r="K1709" s="319">
        <f>IF(OR(NOT(ISNUMBER(G1709)),NOT(ISNUMBER(H1709)),G1709=0),"",H1709/G1709)</f>
        <v/>
      </c>
      <c r="L1709">
        <f>IF(NOT(ISNUMBER(G1709)),"SEM META",IF(G1709=0,"SEM META",IF(NOT(ISNUMBER(H1709)),"SEM APONTAMENTO",IF(H1709&gt;=G1709,"VERDE",IF(H1709&gt;=G1709*0.9,"AMARELO","VERMELHO")))))</f>
        <v/>
      </c>
      <c r="M1709" s="162" t="n"/>
      <c r="N1709" s="162" t="n"/>
      <c r="O1709" s="162" t="n"/>
      <c r="P1709" s="162" t="n"/>
      <c r="Q1709" s="320" t="n"/>
      <c r="R1709" s="162" t="inlineStr">
        <is>
          <t>CONTROLE PRODUÇÃO POR EMPRESAS!E290</t>
        </is>
      </c>
    </row>
    <row r="1710" ht="28.5" customHeight="1">
      <c r="A1710" s="317" t="n">
        <v>46507</v>
      </c>
      <c r="B1710" t="inlineStr">
        <is>
          <t>GERAL</t>
        </is>
      </c>
      <c r="C1710" t="inlineStr">
        <is>
          <t>CMM</t>
        </is>
      </c>
      <c r="D1710" t="inlineStr">
        <is>
          <t>IÇAMENTO JOIST</t>
        </is>
      </c>
      <c r="F1710" s="159">
        <f>IFERROR(INDEX('BASE METAS DIÁRIAS'!$N$2:$S$358,MATCH($A1710,'BASE METAS DIÁRIAS'!$A$2:$A$358,0),MOD(ROW()-2,6)+1),"")</f>
        <v/>
      </c>
      <c r="G1710" s="159">
        <f>IFERROR(IF(WEEKDAY($A1710,2)&lt;=INDEX('BASE METAS DIÁRIAS'!$H$2:$M$358,MATCH($A1710,'BASE METAS DIÁRIAS'!$A$2:$A$358,0),MOD(ROW()-2,6)+1),INDEX('BASE METAS DIÁRIAS'!$B$2:$G$358,MATCH($A1710,'BASE METAS DIÁRIAS'!$A$2:$A$358,0),MOD(ROW()-2,6)+1),""),"")</f>
        <v/>
      </c>
      <c r="H1710" s="159">
        <f>IFERROR(IF(INDEX('CONTROLE PRODUÇÃO POR EMPRESAS'!$B$6:$G$5000,MATCH($A1710,'CONTROLE PRODUÇÃO POR EMPRESAS'!$A$6:$A$5000,0),MOD(ROW()-2,6)+1)="","",IFERROR(1*INDEX('CONTROLE PRODUÇÃO POR EMPRESAS'!$B$6:$G$5000,MATCH($A1710,'CONTROLE PRODUÇÃO POR EMPRESAS'!$A$6:$A$5000,0),MOD(ROW()-2,6)+1),"")),"")</f>
        <v/>
      </c>
      <c r="I1710" s="159">
        <f>IF(OR(NOT(ISNUMBER(G1710)),NOT(ISNUMBER(H1710))),"",H1710-G1710)</f>
        <v/>
      </c>
      <c r="J1710" s="319">
        <f>IF(OR(NOT(ISNUMBER(G1710)),NOT(ISNUMBER(H1710)),G1710=0),"",I1710/G1710)</f>
        <v/>
      </c>
      <c r="K1710" s="319">
        <f>IF(OR(NOT(ISNUMBER(G1710)),NOT(ISNUMBER(H1710)),G1710=0),"",H1710/G1710)</f>
        <v/>
      </c>
      <c r="L1710">
        <f>IF(NOT(ISNUMBER(G1710)),"SEM META",IF(G1710=0,"SEM META",IF(NOT(ISNUMBER(H1710)),"SEM APONTAMENTO",IF(H1710&gt;=G1710,"VERDE",IF(H1710&gt;=G1710*0.9,"AMARELO","VERMELHO")))))</f>
        <v/>
      </c>
      <c r="M1710" s="162" t="n"/>
      <c r="N1710" s="162" t="n"/>
      <c r="O1710" s="162" t="n"/>
      <c r="P1710" s="162" t="n"/>
      <c r="Q1710" s="320" t="n"/>
      <c r="R1710" s="162" t="inlineStr">
        <is>
          <t>CONTROLE PRODUÇÃO POR EMPRESAS!F290</t>
        </is>
      </c>
    </row>
    <row r="1711" ht="28.5" customHeight="1">
      <c r="A1711" s="317" t="n">
        <v>46507</v>
      </c>
      <c r="B1711" t="inlineStr">
        <is>
          <t>GERAL</t>
        </is>
      </c>
      <c r="C1711" t="inlineStr">
        <is>
          <t>CMM</t>
        </is>
      </c>
      <c r="D1711" t="inlineStr">
        <is>
          <t>VIGAS</t>
        </is>
      </c>
      <c r="F1711" s="159">
        <f>IFERROR(INDEX('BASE METAS DIÁRIAS'!$N$2:$S$358,MATCH($A1711,'BASE METAS DIÁRIAS'!$A$2:$A$358,0),MOD(ROW()-2,6)+1),"")</f>
        <v/>
      </c>
      <c r="G1711" s="159">
        <f>IFERROR(IF(WEEKDAY($A1711,2)&lt;=INDEX('BASE METAS DIÁRIAS'!$H$2:$M$358,MATCH($A1711,'BASE METAS DIÁRIAS'!$A$2:$A$358,0),MOD(ROW()-2,6)+1),INDEX('BASE METAS DIÁRIAS'!$B$2:$G$358,MATCH($A1711,'BASE METAS DIÁRIAS'!$A$2:$A$358,0),MOD(ROW()-2,6)+1),""),"")</f>
        <v/>
      </c>
      <c r="H1711" s="159">
        <f>IFERROR(IF(INDEX('CONTROLE PRODUÇÃO POR EMPRESAS'!$B$6:$G$5000,MATCH($A1711,'CONTROLE PRODUÇÃO POR EMPRESAS'!$A$6:$A$5000,0),MOD(ROW()-2,6)+1)="","",IFERROR(1*INDEX('CONTROLE PRODUÇÃO POR EMPRESAS'!$B$6:$G$5000,MATCH($A1711,'CONTROLE PRODUÇÃO POR EMPRESAS'!$A$6:$A$5000,0),MOD(ROW()-2,6)+1),"")),"")</f>
        <v/>
      </c>
      <c r="I1711" s="159">
        <f>IF(OR(NOT(ISNUMBER(G1711)),NOT(ISNUMBER(H1711))),"",H1711-G1711)</f>
        <v/>
      </c>
      <c r="J1711" s="319">
        <f>IF(OR(NOT(ISNUMBER(G1711)),NOT(ISNUMBER(H1711)),G1711=0),"",I1711/G1711)</f>
        <v/>
      </c>
      <c r="K1711" s="319">
        <f>IF(OR(NOT(ISNUMBER(G1711)),NOT(ISNUMBER(H1711)),G1711=0),"",H1711/G1711)</f>
        <v/>
      </c>
      <c r="L1711">
        <f>IF(NOT(ISNUMBER(G1711)),"SEM META",IF(G1711=0,"SEM META",IF(NOT(ISNUMBER(H1711)),"SEM APONTAMENTO",IF(H1711&gt;=G1711,"VERDE",IF(H1711&gt;=G1711*0.9,"AMARELO","VERMELHO")))))</f>
        <v/>
      </c>
      <c r="M1711" s="162" t="n"/>
      <c r="N1711" s="162" t="n"/>
      <c r="O1711" s="162" t="n"/>
      <c r="P1711" s="162" t="n"/>
      <c r="Q1711" s="320" t="n"/>
      <c r="R1711" s="162" t="inlineStr">
        <is>
          <t>CONTROLE PRODUÇÃO POR EMPRESAS!G290</t>
        </is>
      </c>
    </row>
    <row r="1712" ht="28.5" customHeight="1">
      <c r="A1712" s="317" t="n">
        <v>46508</v>
      </c>
      <c r="B1712" t="inlineStr">
        <is>
          <t>GERAL</t>
        </is>
      </c>
      <c r="C1712" t="inlineStr">
        <is>
          <t>EJ</t>
        </is>
      </c>
      <c r="D1712" t="inlineStr">
        <is>
          <t>PREMONTAGEM</t>
        </is>
      </c>
      <c r="F1712" s="159">
        <f>IFERROR(INDEX('BASE METAS DIÁRIAS'!$N$2:$S$358,MATCH($A1712,'BASE METAS DIÁRIAS'!$A$2:$A$358,0),MOD(ROW()-2,6)+1),"")</f>
        <v/>
      </c>
      <c r="G1712" s="159">
        <f>IFERROR(IF(WEEKDAY($A1712,2)&lt;=INDEX('BASE METAS DIÁRIAS'!$H$2:$M$358,MATCH($A1712,'BASE METAS DIÁRIAS'!$A$2:$A$358,0),MOD(ROW()-2,6)+1),INDEX('BASE METAS DIÁRIAS'!$B$2:$G$358,MATCH($A1712,'BASE METAS DIÁRIAS'!$A$2:$A$358,0),MOD(ROW()-2,6)+1),""),"")</f>
        <v/>
      </c>
      <c r="H1712" s="159">
        <f>IFERROR(IF(INDEX('CONTROLE PRODUÇÃO POR EMPRESAS'!$B$6:$G$5000,MATCH($A1712,'CONTROLE PRODUÇÃO POR EMPRESAS'!$A$6:$A$5000,0),MOD(ROW()-2,6)+1)="","",IFERROR(1*INDEX('CONTROLE PRODUÇÃO POR EMPRESAS'!$B$6:$G$5000,MATCH($A1712,'CONTROLE PRODUÇÃO POR EMPRESAS'!$A$6:$A$5000,0),MOD(ROW()-2,6)+1),"")),"")</f>
        <v/>
      </c>
      <c r="I1712" s="159">
        <f>IF(OR(NOT(ISNUMBER(G1712)),NOT(ISNUMBER(H1712))),"",H1712-G1712)</f>
        <v/>
      </c>
      <c r="J1712" s="319">
        <f>IF(OR(NOT(ISNUMBER(G1712)),NOT(ISNUMBER(H1712)),G1712=0),"",I1712/G1712)</f>
        <v/>
      </c>
      <c r="K1712" s="319">
        <f>IF(OR(NOT(ISNUMBER(G1712)),NOT(ISNUMBER(H1712)),G1712=0),"",H1712/G1712)</f>
        <v/>
      </c>
      <c r="L1712">
        <f>IF(NOT(ISNUMBER(G1712)),"SEM META",IF(G1712=0,"SEM META",IF(NOT(ISNUMBER(H1712)),"SEM APONTAMENTO",IF(H1712&gt;=G1712,"VERDE",IF(H1712&gt;=G1712*0.9,"AMARELO","VERMELHO")))))</f>
        <v/>
      </c>
      <c r="M1712" s="162" t="n"/>
      <c r="N1712" s="162" t="n"/>
      <c r="O1712" s="162" t="n"/>
      <c r="P1712" s="162" t="n"/>
      <c r="Q1712" s="320" t="n"/>
      <c r="R1712" s="162" t="inlineStr">
        <is>
          <t>CONTROLE PRODUÇÃO POR EMPRESAS!B291</t>
        </is>
      </c>
    </row>
    <row r="1713" ht="28.5" customHeight="1">
      <c r="A1713" s="317" t="n">
        <v>46508</v>
      </c>
      <c r="B1713" t="inlineStr">
        <is>
          <t>GERAL</t>
        </is>
      </c>
      <c r="C1713" t="inlineStr">
        <is>
          <t>EJ</t>
        </is>
      </c>
      <c r="D1713" t="inlineStr">
        <is>
          <t>IÇAMENTO JOIST</t>
        </is>
      </c>
      <c r="F1713" s="159">
        <f>IFERROR(INDEX('BASE METAS DIÁRIAS'!$N$2:$S$358,MATCH($A1713,'BASE METAS DIÁRIAS'!$A$2:$A$358,0),MOD(ROW()-2,6)+1),"")</f>
        <v/>
      </c>
      <c r="G1713" s="159">
        <f>IFERROR(IF(WEEKDAY($A1713,2)&lt;=INDEX('BASE METAS DIÁRIAS'!$H$2:$M$358,MATCH($A1713,'BASE METAS DIÁRIAS'!$A$2:$A$358,0),MOD(ROW()-2,6)+1),INDEX('BASE METAS DIÁRIAS'!$B$2:$G$358,MATCH($A1713,'BASE METAS DIÁRIAS'!$A$2:$A$358,0),MOD(ROW()-2,6)+1),""),"")</f>
        <v/>
      </c>
      <c r="H1713" s="159">
        <f>IFERROR(IF(INDEX('CONTROLE PRODUÇÃO POR EMPRESAS'!$B$6:$G$5000,MATCH($A1713,'CONTROLE PRODUÇÃO POR EMPRESAS'!$A$6:$A$5000,0),MOD(ROW()-2,6)+1)="","",IFERROR(1*INDEX('CONTROLE PRODUÇÃO POR EMPRESAS'!$B$6:$G$5000,MATCH($A1713,'CONTROLE PRODUÇÃO POR EMPRESAS'!$A$6:$A$5000,0),MOD(ROW()-2,6)+1),"")),"")</f>
        <v/>
      </c>
      <c r="I1713" s="159">
        <f>IF(OR(NOT(ISNUMBER(G1713)),NOT(ISNUMBER(H1713))),"",H1713-G1713)</f>
        <v/>
      </c>
      <c r="J1713" s="319">
        <f>IF(OR(NOT(ISNUMBER(G1713)),NOT(ISNUMBER(H1713)),G1713=0),"",I1713/G1713)</f>
        <v/>
      </c>
      <c r="K1713" s="319">
        <f>IF(OR(NOT(ISNUMBER(G1713)),NOT(ISNUMBER(H1713)),G1713=0),"",H1713/G1713)</f>
        <v/>
      </c>
      <c r="L1713">
        <f>IF(NOT(ISNUMBER(G1713)),"SEM META",IF(G1713=0,"SEM META",IF(NOT(ISNUMBER(H1713)),"SEM APONTAMENTO",IF(H1713&gt;=G1713,"VERDE",IF(H1713&gt;=G1713*0.9,"AMARELO","VERMELHO")))))</f>
        <v/>
      </c>
      <c r="M1713" s="162" t="n"/>
      <c r="N1713" s="162" t="n"/>
      <c r="O1713" s="162" t="n"/>
      <c r="P1713" s="162" t="n"/>
      <c r="Q1713" s="320" t="n"/>
      <c r="R1713" s="162" t="inlineStr">
        <is>
          <t>CONTROLE PRODUÇÃO POR EMPRESAS!C291</t>
        </is>
      </c>
    </row>
    <row r="1714" ht="28.5" customHeight="1">
      <c r="A1714" s="317" t="n">
        <v>46508</v>
      </c>
      <c r="B1714" t="inlineStr">
        <is>
          <t>GERAL</t>
        </is>
      </c>
      <c r="C1714" t="inlineStr">
        <is>
          <t>EJ</t>
        </is>
      </c>
      <c r="D1714" t="inlineStr">
        <is>
          <t>VIGAS</t>
        </is>
      </c>
      <c r="F1714" s="159">
        <f>IFERROR(INDEX('BASE METAS DIÁRIAS'!$N$2:$S$358,MATCH($A1714,'BASE METAS DIÁRIAS'!$A$2:$A$358,0),MOD(ROW()-2,6)+1),"")</f>
        <v/>
      </c>
      <c r="G1714" s="159">
        <f>IFERROR(IF(WEEKDAY($A1714,2)&lt;=INDEX('BASE METAS DIÁRIAS'!$H$2:$M$358,MATCH($A1714,'BASE METAS DIÁRIAS'!$A$2:$A$358,0),MOD(ROW()-2,6)+1),INDEX('BASE METAS DIÁRIAS'!$B$2:$G$358,MATCH($A1714,'BASE METAS DIÁRIAS'!$A$2:$A$358,0),MOD(ROW()-2,6)+1),""),"")</f>
        <v/>
      </c>
      <c r="H1714" s="159">
        <f>IFERROR(IF(INDEX('CONTROLE PRODUÇÃO POR EMPRESAS'!$B$6:$G$5000,MATCH($A1714,'CONTROLE PRODUÇÃO POR EMPRESAS'!$A$6:$A$5000,0),MOD(ROW()-2,6)+1)="","",IFERROR(1*INDEX('CONTROLE PRODUÇÃO POR EMPRESAS'!$B$6:$G$5000,MATCH($A1714,'CONTROLE PRODUÇÃO POR EMPRESAS'!$A$6:$A$5000,0),MOD(ROW()-2,6)+1),"")),"")</f>
        <v/>
      </c>
      <c r="I1714" s="159">
        <f>IF(OR(NOT(ISNUMBER(G1714)),NOT(ISNUMBER(H1714))),"",H1714-G1714)</f>
        <v/>
      </c>
      <c r="J1714" s="319">
        <f>IF(OR(NOT(ISNUMBER(G1714)),NOT(ISNUMBER(H1714)),G1714=0),"",I1714/G1714)</f>
        <v/>
      </c>
      <c r="K1714" s="319">
        <f>IF(OR(NOT(ISNUMBER(G1714)),NOT(ISNUMBER(H1714)),G1714=0),"",H1714/G1714)</f>
        <v/>
      </c>
      <c r="L1714">
        <f>IF(NOT(ISNUMBER(G1714)),"SEM META",IF(G1714=0,"SEM META",IF(NOT(ISNUMBER(H1714)),"SEM APONTAMENTO",IF(H1714&gt;=G1714,"VERDE",IF(H1714&gt;=G1714*0.9,"AMARELO","VERMELHO")))))</f>
        <v/>
      </c>
      <c r="M1714" s="162" t="n"/>
      <c r="N1714" s="162" t="n"/>
      <c r="O1714" s="162" t="n"/>
      <c r="P1714" s="162" t="n"/>
      <c r="Q1714" s="320" t="n"/>
      <c r="R1714" s="162" t="inlineStr">
        <is>
          <t>CONTROLE PRODUÇÃO POR EMPRESAS!D291</t>
        </is>
      </c>
    </row>
    <row r="1715" ht="28.5" customHeight="1">
      <c r="A1715" s="317" t="n">
        <v>46508</v>
      </c>
      <c r="B1715" t="inlineStr">
        <is>
          <t>GERAL</t>
        </is>
      </c>
      <c r="C1715" t="inlineStr">
        <is>
          <t>CMM</t>
        </is>
      </c>
      <c r="D1715" t="inlineStr">
        <is>
          <t>PREMONTAGEM</t>
        </is>
      </c>
      <c r="F1715" s="159">
        <f>IFERROR(INDEX('BASE METAS DIÁRIAS'!$N$2:$S$358,MATCH($A1715,'BASE METAS DIÁRIAS'!$A$2:$A$358,0),MOD(ROW()-2,6)+1),"")</f>
        <v/>
      </c>
      <c r="G1715" s="159">
        <f>IFERROR(IF(WEEKDAY($A1715,2)&lt;=INDEX('BASE METAS DIÁRIAS'!$H$2:$M$358,MATCH($A1715,'BASE METAS DIÁRIAS'!$A$2:$A$358,0),MOD(ROW()-2,6)+1),INDEX('BASE METAS DIÁRIAS'!$B$2:$G$358,MATCH($A1715,'BASE METAS DIÁRIAS'!$A$2:$A$358,0),MOD(ROW()-2,6)+1),""),"")</f>
        <v/>
      </c>
      <c r="H1715" s="159">
        <f>IFERROR(IF(INDEX('CONTROLE PRODUÇÃO POR EMPRESAS'!$B$6:$G$5000,MATCH($A1715,'CONTROLE PRODUÇÃO POR EMPRESAS'!$A$6:$A$5000,0),MOD(ROW()-2,6)+1)="","",IFERROR(1*INDEX('CONTROLE PRODUÇÃO POR EMPRESAS'!$B$6:$G$5000,MATCH($A1715,'CONTROLE PRODUÇÃO POR EMPRESAS'!$A$6:$A$5000,0),MOD(ROW()-2,6)+1),"")),"")</f>
        <v/>
      </c>
      <c r="I1715" s="159">
        <f>IF(OR(NOT(ISNUMBER(G1715)),NOT(ISNUMBER(H1715))),"",H1715-G1715)</f>
        <v/>
      </c>
      <c r="J1715" s="319">
        <f>IF(OR(NOT(ISNUMBER(G1715)),NOT(ISNUMBER(H1715)),G1715=0),"",I1715/G1715)</f>
        <v/>
      </c>
      <c r="K1715" s="319">
        <f>IF(OR(NOT(ISNUMBER(G1715)),NOT(ISNUMBER(H1715)),G1715=0),"",H1715/G1715)</f>
        <v/>
      </c>
      <c r="L1715">
        <f>IF(NOT(ISNUMBER(G1715)),"SEM META",IF(G1715=0,"SEM META",IF(NOT(ISNUMBER(H1715)),"SEM APONTAMENTO",IF(H1715&gt;=G1715,"VERDE",IF(H1715&gt;=G1715*0.9,"AMARELO","VERMELHO")))))</f>
        <v/>
      </c>
      <c r="M1715" s="162" t="n"/>
      <c r="N1715" s="162" t="n"/>
      <c r="O1715" s="162" t="n"/>
      <c r="P1715" s="162" t="n"/>
      <c r="Q1715" s="320" t="n"/>
      <c r="R1715" s="162" t="inlineStr">
        <is>
          <t>CONTROLE PRODUÇÃO POR EMPRESAS!E291</t>
        </is>
      </c>
    </row>
    <row r="1716" ht="28.5" customHeight="1">
      <c r="A1716" s="317" t="n">
        <v>46508</v>
      </c>
      <c r="B1716" t="inlineStr">
        <is>
          <t>GERAL</t>
        </is>
      </c>
      <c r="C1716" t="inlineStr">
        <is>
          <t>CMM</t>
        </is>
      </c>
      <c r="D1716" t="inlineStr">
        <is>
          <t>IÇAMENTO JOIST</t>
        </is>
      </c>
      <c r="F1716" s="159">
        <f>IFERROR(INDEX('BASE METAS DIÁRIAS'!$N$2:$S$358,MATCH($A1716,'BASE METAS DIÁRIAS'!$A$2:$A$358,0),MOD(ROW()-2,6)+1),"")</f>
        <v/>
      </c>
      <c r="G1716" s="159">
        <f>IFERROR(IF(WEEKDAY($A1716,2)&lt;=INDEX('BASE METAS DIÁRIAS'!$H$2:$M$358,MATCH($A1716,'BASE METAS DIÁRIAS'!$A$2:$A$358,0),MOD(ROW()-2,6)+1),INDEX('BASE METAS DIÁRIAS'!$B$2:$G$358,MATCH($A1716,'BASE METAS DIÁRIAS'!$A$2:$A$358,0),MOD(ROW()-2,6)+1),""),"")</f>
        <v/>
      </c>
      <c r="H1716" s="159">
        <f>IFERROR(IF(INDEX('CONTROLE PRODUÇÃO POR EMPRESAS'!$B$6:$G$5000,MATCH($A1716,'CONTROLE PRODUÇÃO POR EMPRESAS'!$A$6:$A$5000,0),MOD(ROW()-2,6)+1)="","",IFERROR(1*INDEX('CONTROLE PRODUÇÃO POR EMPRESAS'!$B$6:$G$5000,MATCH($A1716,'CONTROLE PRODUÇÃO POR EMPRESAS'!$A$6:$A$5000,0),MOD(ROW()-2,6)+1),"")),"")</f>
        <v/>
      </c>
      <c r="I1716" s="159">
        <f>IF(OR(NOT(ISNUMBER(G1716)),NOT(ISNUMBER(H1716))),"",H1716-G1716)</f>
        <v/>
      </c>
      <c r="J1716" s="319">
        <f>IF(OR(NOT(ISNUMBER(G1716)),NOT(ISNUMBER(H1716)),G1716=0),"",I1716/G1716)</f>
        <v/>
      </c>
      <c r="K1716" s="319">
        <f>IF(OR(NOT(ISNUMBER(G1716)),NOT(ISNUMBER(H1716)),G1716=0),"",H1716/G1716)</f>
        <v/>
      </c>
      <c r="L1716">
        <f>IF(NOT(ISNUMBER(G1716)),"SEM META",IF(G1716=0,"SEM META",IF(NOT(ISNUMBER(H1716)),"SEM APONTAMENTO",IF(H1716&gt;=G1716,"VERDE",IF(H1716&gt;=G1716*0.9,"AMARELO","VERMELHO")))))</f>
        <v/>
      </c>
      <c r="M1716" s="162" t="n"/>
      <c r="N1716" s="162" t="n"/>
      <c r="O1716" s="162" t="n"/>
      <c r="P1716" s="162" t="n"/>
      <c r="Q1716" s="320" t="n"/>
      <c r="R1716" s="162" t="inlineStr">
        <is>
          <t>CONTROLE PRODUÇÃO POR EMPRESAS!F291</t>
        </is>
      </c>
    </row>
    <row r="1717" ht="28.5" customHeight="1">
      <c r="A1717" s="317" t="n">
        <v>46508</v>
      </c>
      <c r="B1717" t="inlineStr">
        <is>
          <t>GERAL</t>
        </is>
      </c>
      <c r="C1717" t="inlineStr">
        <is>
          <t>CMM</t>
        </is>
      </c>
      <c r="D1717" t="inlineStr">
        <is>
          <t>VIGAS</t>
        </is>
      </c>
      <c r="F1717" s="159">
        <f>IFERROR(INDEX('BASE METAS DIÁRIAS'!$N$2:$S$358,MATCH($A1717,'BASE METAS DIÁRIAS'!$A$2:$A$358,0),MOD(ROW()-2,6)+1),"")</f>
        <v/>
      </c>
      <c r="G1717" s="159">
        <f>IFERROR(IF(WEEKDAY($A1717,2)&lt;=INDEX('BASE METAS DIÁRIAS'!$H$2:$M$358,MATCH($A1717,'BASE METAS DIÁRIAS'!$A$2:$A$358,0),MOD(ROW()-2,6)+1),INDEX('BASE METAS DIÁRIAS'!$B$2:$G$358,MATCH($A1717,'BASE METAS DIÁRIAS'!$A$2:$A$358,0),MOD(ROW()-2,6)+1),""),"")</f>
        <v/>
      </c>
      <c r="H1717" s="159">
        <f>IFERROR(IF(INDEX('CONTROLE PRODUÇÃO POR EMPRESAS'!$B$6:$G$5000,MATCH($A1717,'CONTROLE PRODUÇÃO POR EMPRESAS'!$A$6:$A$5000,0),MOD(ROW()-2,6)+1)="","",IFERROR(1*INDEX('CONTROLE PRODUÇÃO POR EMPRESAS'!$B$6:$G$5000,MATCH($A1717,'CONTROLE PRODUÇÃO POR EMPRESAS'!$A$6:$A$5000,0),MOD(ROW()-2,6)+1),"")),"")</f>
        <v/>
      </c>
      <c r="I1717" s="159">
        <f>IF(OR(NOT(ISNUMBER(G1717)),NOT(ISNUMBER(H1717))),"",H1717-G1717)</f>
        <v/>
      </c>
      <c r="J1717" s="319">
        <f>IF(OR(NOT(ISNUMBER(G1717)),NOT(ISNUMBER(H1717)),G1717=0),"",I1717/G1717)</f>
        <v/>
      </c>
      <c r="K1717" s="319">
        <f>IF(OR(NOT(ISNUMBER(G1717)),NOT(ISNUMBER(H1717)),G1717=0),"",H1717/G1717)</f>
        <v/>
      </c>
      <c r="L1717">
        <f>IF(NOT(ISNUMBER(G1717)),"SEM META",IF(G1717=0,"SEM META",IF(NOT(ISNUMBER(H1717)),"SEM APONTAMENTO",IF(H1717&gt;=G1717,"VERDE",IF(H1717&gt;=G1717*0.9,"AMARELO","VERMELHO")))))</f>
        <v/>
      </c>
      <c r="M1717" s="162" t="n"/>
      <c r="N1717" s="162" t="n"/>
      <c r="O1717" s="162" t="n"/>
      <c r="P1717" s="162" t="n"/>
      <c r="Q1717" s="320" t="n"/>
      <c r="R1717" s="162" t="inlineStr">
        <is>
          <t>CONTROLE PRODUÇÃO POR EMPRESAS!G291</t>
        </is>
      </c>
    </row>
    <row r="1718" ht="28.5" customHeight="1">
      <c r="A1718" s="317" t="n">
        <v>46509</v>
      </c>
      <c r="B1718" t="inlineStr">
        <is>
          <t>GERAL</t>
        </is>
      </c>
      <c r="C1718" t="inlineStr">
        <is>
          <t>EJ</t>
        </is>
      </c>
      <c r="D1718" t="inlineStr">
        <is>
          <t>PREMONTAGEM</t>
        </is>
      </c>
      <c r="F1718" s="159">
        <f>IFERROR(INDEX('BASE METAS DIÁRIAS'!$N$2:$S$358,MATCH($A1718,'BASE METAS DIÁRIAS'!$A$2:$A$358,0),MOD(ROW()-2,6)+1),"")</f>
        <v/>
      </c>
      <c r="G1718" s="159">
        <f>IFERROR(IF(WEEKDAY($A1718,2)&lt;=INDEX('BASE METAS DIÁRIAS'!$H$2:$M$358,MATCH($A1718,'BASE METAS DIÁRIAS'!$A$2:$A$358,0),MOD(ROW()-2,6)+1),INDEX('BASE METAS DIÁRIAS'!$B$2:$G$358,MATCH($A1718,'BASE METAS DIÁRIAS'!$A$2:$A$358,0),MOD(ROW()-2,6)+1),""),"")</f>
        <v/>
      </c>
      <c r="H1718" s="159">
        <f>IFERROR(IF(INDEX('CONTROLE PRODUÇÃO POR EMPRESAS'!$B$6:$G$5000,MATCH($A1718,'CONTROLE PRODUÇÃO POR EMPRESAS'!$A$6:$A$5000,0),MOD(ROW()-2,6)+1)="","",IFERROR(1*INDEX('CONTROLE PRODUÇÃO POR EMPRESAS'!$B$6:$G$5000,MATCH($A1718,'CONTROLE PRODUÇÃO POR EMPRESAS'!$A$6:$A$5000,0),MOD(ROW()-2,6)+1),"")),"")</f>
        <v/>
      </c>
      <c r="I1718" s="159">
        <f>IF(OR(NOT(ISNUMBER(G1718)),NOT(ISNUMBER(H1718))),"",H1718-G1718)</f>
        <v/>
      </c>
      <c r="J1718" s="319">
        <f>IF(OR(NOT(ISNUMBER(G1718)),NOT(ISNUMBER(H1718)),G1718=0),"",I1718/G1718)</f>
        <v/>
      </c>
      <c r="K1718" s="319">
        <f>IF(OR(NOT(ISNUMBER(G1718)),NOT(ISNUMBER(H1718)),G1718=0),"",H1718/G1718)</f>
        <v/>
      </c>
      <c r="L1718">
        <f>IF(NOT(ISNUMBER(G1718)),"SEM META",IF(G1718=0,"SEM META",IF(NOT(ISNUMBER(H1718)),"SEM APONTAMENTO",IF(H1718&gt;=G1718,"VERDE",IF(H1718&gt;=G1718*0.9,"AMARELO","VERMELHO")))))</f>
        <v/>
      </c>
      <c r="M1718" s="162" t="n"/>
      <c r="N1718" s="162" t="n"/>
      <c r="O1718" s="162" t="n"/>
      <c r="P1718" s="162" t="n"/>
      <c r="Q1718" s="320" t="n"/>
      <c r="R1718" s="162" t="inlineStr">
        <is>
          <t>CONTROLE PRODUÇÃO POR EMPRESAS!B292</t>
        </is>
      </c>
    </row>
    <row r="1719" ht="28.5" customHeight="1">
      <c r="A1719" s="317" t="n">
        <v>46509</v>
      </c>
      <c r="B1719" t="inlineStr">
        <is>
          <t>GERAL</t>
        </is>
      </c>
      <c r="C1719" t="inlineStr">
        <is>
          <t>EJ</t>
        </is>
      </c>
      <c r="D1719" t="inlineStr">
        <is>
          <t>IÇAMENTO JOIST</t>
        </is>
      </c>
      <c r="F1719" s="159">
        <f>IFERROR(INDEX('BASE METAS DIÁRIAS'!$N$2:$S$358,MATCH($A1719,'BASE METAS DIÁRIAS'!$A$2:$A$358,0),MOD(ROW()-2,6)+1),"")</f>
        <v/>
      </c>
      <c r="G1719" s="159">
        <f>IFERROR(IF(WEEKDAY($A1719,2)&lt;=INDEX('BASE METAS DIÁRIAS'!$H$2:$M$358,MATCH($A1719,'BASE METAS DIÁRIAS'!$A$2:$A$358,0),MOD(ROW()-2,6)+1),INDEX('BASE METAS DIÁRIAS'!$B$2:$G$358,MATCH($A1719,'BASE METAS DIÁRIAS'!$A$2:$A$358,0),MOD(ROW()-2,6)+1),""),"")</f>
        <v/>
      </c>
      <c r="H1719" s="159">
        <f>IFERROR(IF(INDEX('CONTROLE PRODUÇÃO POR EMPRESAS'!$B$6:$G$5000,MATCH($A1719,'CONTROLE PRODUÇÃO POR EMPRESAS'!$A$6:$A$5000,0),MOD(ROW()-2,6)+1)="","",IFERROR(1*INDEX('CONTROLE PRODUÇÃO POR EMPRESAS'!$B$6:$G$5000,MATCH($A1719,'CONTROLE PRODUÇÃO POR EMPRESAS'!$A$6:$A$5000,0),MOD(ROW()-2,6)+1),"")),"")</f>
        <v/>
      </c>
      <c r="I1719" s="159">
        <f>IF(OR(NOT(ISNUMBER(G1719)),NOT(ISNUMBER(H1719))),"",H1719-G1719)</f>
        <v/>
      </c>
      <c r="J1719" s="319">
        <f>IF(OR(NOT(ISNUMBER(G1719)),NOT(ISNUMBER(H1719)),G1719=0),"",I1719/G1719)</f>
        <v/>
      </c>
      <c r="K1719" s="319">
        <f>IF(OR(NOT(ISNUMBER(G1719)),NOT(ISNUMBER(H1719)),G1719=0),"",H1719/G1719)</f>
        <v/>
      </c>
      <c r="L1719">
        <f>IF(NOT(ISNUMBER(G1719)),"SEM META",IF(G1719=0,"SEM META",IF(NOT(ISNUMBER(H1719)),"SEM APONTAMENTO",IF(H1719&gt;=G1719,"VERDE",IF(H1719&gt;=G1719*0.9,"AMARELO","VERMELHO")))))</f>
        <v/>
      </c>
      <c r="M1719" s="162" t="n"/>
      <c r="N1719" s="162" t="n"/>
      <c r="O1719" s="162" t="n"/>
      <c r="P1719" s="162" t="n"/>
      <c r="Q1719" s="320" t="n"/>
      <c r="R1719" s="162" t="inlineStr">
        <is>
          <t>CONTROLE PRODUÇÃO POR EMPRESAS!C292</t>
        </is>
      </c>
    </row>
    <row r="1720" ht="28.5" customHeight="1">
      <c r="A1720" s="317" t="n">
        <v>46509</v>
      </c>
      <c r="B1720" t="inlineStr">
        <is>
          <t>GERAL</t>
        </is>
      </c>
      <c r="C1720" t="inlineStr">
        <is>
          <t>EJ</t>
        </is>
      </c>
      <c r="D1720" t="inlineStr">
        <is>
          <t>VIGAS</t>
        </is>
      </c>
      <c r="F1720" s="159">
        <f>IFERROR(INDEX('BASE METAS DIÁRIAS'!$N$2:$S$358,MATCH($A1720,'BASE METAS DIÁRIAS'!$A$2:$A$358,0),MOD(ROW()-2,6)+1),"")</f>
        <v/>
      </c>
      <c r="G1720" s="159">
        <f>IFERROR(IF(WEEKDAY($A1720,2)&lt;=INDEX('BASE METAS DIÁRIAS'!$H$2:$M$358,MATCH($A1720,'BASE METAS DIÁRIAS'!$A$2:$A$358,0),MOD(ROW()-2,6)+1),INDEX('BASE METAS DIÁRIAS'!$B$2:$G$358,MATCH($A1720,'BASE METAS DIÁRIAS'!$A$2:$A$358,0),MOD(ROW()-2,6)+1),""),"")</f>
        <v/>
      </c>
      <c r="H1720" s="159">
        <f>IFERROR(IF(INDEX('CONTROLE PRODUÇÃO POR EMPRESAS'!$B$6:$G$5000,MATCH($A1720,'CONTROLE PRODUÇÃO POR EMPRESAS'!$A$6:$A$5000,0),MOD(ROW()-2,6)+1)="","",IFERROR(1*INDEX('CONTROLE PRODUÇÃO POR EMPRESAS'!$B$6:$G$5000,MATCH($A1720,'CONTROLE PRODUÇÃO POR EMPRESAS'!$A$6:$A$5000,0),MOD(ROW()-2,6)+1),"")),"")</f>
        <v/>
      </c>
      <c r="I1720" s="159">
        <f>IF(OR(NOT(ISNUMBER(G1720)),NOT(ISNUMBER(H1720))),"",H1720-G1720)</f>
        <v/>
      </c>
      <c r="J1720" s="319">
        <f>IF(OR(NOT(ISNUMBER(G1720)),NOT(ISNUMBER(H1720)),G1720=0),"",I1720/G1720)</f>
        <v/>
      </c>
      <c r="K1720" s="319">
        <f>IF(OR(NOT(ISNUMBER(G1720)),NOT(ISNUMBER(H1720)),G1720=0),"",H1720/G1720)</f>
        <v/>
      </c>
      <c r="L1720">
        <f>IF(NOT(ISNUMBER(G1720)),"SEM META",IF(G1720=0,"SEM META",IF(NOT(ISNUMBER(H1720)),"SEM APONTAMENTO",IF(H1720&gt;=G1720,"VERDE",IF(H1720&gt;=G1720*0.9,"AMARELO","VERMELHO")))))</f>
        <v/>
      </c>
      <c r="M1720" s="162" t="n"/>
      <c r="N1720" s="162" t="n"/>
      <c r="O1720" s="162" t="n"/>
      <c r="P1720" s="162" t="n"/>
      <c r="Q1720" s="320" t="n"/>
      <c r="R1720" s="162" t="inlineStr">
        <is>
          <t>CONTROLE PRODUÇÃO POR EMPRESAS!D292</t>
        </is>
      </c>
    </row>
    <row r="1721" ht="28.5" customHeight="1">
      <c r="A1721" s="317" t="n">
        <v>46509</v>
      </c>
      <c r="B1721" t="inlineStr">
        <is>
          <t>GERAL</t>
        </is>
      </c>
      <c r="C1721" t="inlineStr">
        <is>
          <t>CMM</t>
        </is>
      </c>
      <c r="D1721" t="inlineStr">
        <is>
          <t>PREMONTAGEM</t>
        </is>
      </c>
      <c r="F1721" s="159">
        <f>IFERROR(INDEX('BASE METAS DIÁRIAS'!$N$2:$S$358,MATCH($A1721,'BASE METAS DIÁRIAS'!$A$2:$A$358,0),MOD(ROW()-2,6)+1),"")</f>
        <v/>
      </c>
      <c r="G1721" s="159">
        <f>IFERROR(IF(WEEKDAY($A1721,2)&lt;=INDEX('BASE METAS DIÁRIAS'!$H$2:$M$358,MATCH($A1721,'BASE METAS DIÁRIAS'!$A$2:$A$358,0),MOD(ROW()-2,6)+1),INDEX('BASE METAS DIÁRIAS'!$B$2:$G$358,MATCH($A1721,'BASE METAS DIÁRIAS'!$A$2:$A$358,0),MOD(ROW()-2,6)+1),""),"")</f>
        <v/>
      </c>
      <c r="H1721" s="159">
        <f>IFERROR(IF(INDEX('CONTROLE PRODUÇÃO POR EMPRESAS'!$B$6:$G$5000,MATCH($A1721,'CONTROLE PRODUÇÃO POR EMPRESAS'!$A$6:$A$5000,0),MOD(ROW()-2,6)+1)="","",IFERROR(1*INDEX('CONTROLE PRODUÇÃO POR EMPRESAS'!$B$6:$G$5000,MATCH($A1721,'CONTROLE PRODUÇÃO POR EMPRESAS'!$A$6:$A$5000,0),MOD(ROW()-2,6)+1),"")),"")</f>
        <v/>
      </c>
      <c r="I1721" s="159">
        <f>IF(OR(NOT(ISNUMBER(G1721)),NOT(ISNUMBER(H1721))),"",H1721-G1721)</f>
        <v/>
      </c>
      <c r="J1721" s="319">
        <f>IF(OR(NOT(ISNUMBER(G1721)),NOT(ISNUMBER(H1721)),G1721=0),"",I1721/G1721)</f>
        <v/>
      </c>
      <c r="K1721" s="319">
        <f>IF(OR(NOT(ISNUMBER(G1721)),NOT(ISNUMBER(H1721)),G1721=0),"",H1721/G1721)</f>
        <v/>
      </c>
      <c r="L1721">
        <f>IF(NOT(ISNUMBER(G1721)),"SEM META",IF(G1721=0,"SEM META",IF(NOT(ISNUMBER(H1721)),"SEM APONTAMENTO",IF(H1721&gt;=G1721,"VERDE",IF(H1721&gt;=G1721*0.9,"AMARELO","VERMELHO")))))</f>
        <v/>
      </c>
      <c r="M1721" s="162" t="n"/>
      <c r="N1721" s="162" t="n"/>
      <c r="O1721" s="162" t="n"/>
      <c r="P1721" s="162" t="n"/>
      <c r="Q1721" s="320" t="n"/>
      <c r="R1721" s="162" t="inlineStr">
        <is>
          <t>CONTROLE PRODUÇÃO POR EMPRESAS!E292</t>
        </is>
      </c>
    </row>
    <row r="1722" ht="28.5" customHeight="1">
      <c r="A1722" s="317" t="n">
        <v>46509</v>
      </c>
      <c r="B1722" t="inlineStr">
        <is>
          <t>GERAL</t>
        </is>
      </c>
      <c r="C1722" t="inlineStr">
        <is>
          <t>CMM</t>
        </is>
      </c>
      <c r="D1722" t="inlineStr">
        <is>
          <t>IÇAMENTO JOIST</t>
        </is>
      </c>
      <c r="F1722" s="159">
        <f>IFERROR(INDEX('BASE METAS DIÁRIAS'!$N$2:$S$358,MATCH($A1722,'BASE METAS DIÁRIAS'!$A$2:$A$358,0),MOD(ROW()-2,6)+1),"")</f>
        <v/>
      </c>
      <c r="G1722" s="159">
        <f>IFERROR(IF(WEEKDAY($A1722,2)&lt;=INDEX('BASE METAS DIÁRIAS'!$H$2:$M$358,MATCH($A1722,'BASE METAS DIÁRIAS'!$A$2:$A$358,0),MOD(ROW()-2,6)+1),INDEX('BASE METAS DIÁRIAS'!$B$2:$G$358,MATCH($A1722,'BASE METAS DIÁRIAS'!$A$2:$A$358,0),MOD(ROW()-2,6)+1),""),"")</f>
        <v/>
      </c>
      <c r="H1722" s="159">
        <f>IFERROR(IF(INDEX('CONTROLE PRODUÇÃO POR EMPRESAS'!$B$6:$G$5000,MATCH($A1722,'CONTROLE PRODUÇÃO POR EMPRESAS'!$A$6:$A$5000,0),MOD(ROW()-2,6)+1)="","",IFERROR(1*INDEX('CONTROLE PRODUÇÃO POR EMPRESAS'!$B$6:$G$5000,MATCH($A1722,'CONTROLE PRODUÇÃO POR EMPRESAS'!$A$6:$A$5000,0),MOD(ROW()-2,6)+1),"")),"")</f>
        <v/>
      </c>
      <c r="I1722" s="159">
        <f>IF(OR(NOT(ISNUMBER(G1722)),NOT(ISNUMBER(H1722))),"",H1722-G1722)</f>
        <v/>
      </c>
      <c r="J1722" s="319">
        <f>IF(OR(NOT(ISNUMBER(G1722)),NOT(ISNUMBER(H1722)),G1722=0),"",I1722/G1722)</f>
        <v/>
      </c>
      <c r="K1722" s="319">
        <f>IF(OR(NOT(ISNUMBER(G1722)),NOT(ISNUMBER(H1722)),G1722=0),"",H1722/G1722)</f>
        <v/>
      </c>
      <c r="L1722">
        <f>IF(NOT(ISNUMBER(G1722)),"SEM META",IF(G1722=0,"SEM META",IF(NOT(ISNUMBER(H1722)),"SEM APONTAMENTO",IF(H1722&gt;=G1722,"VERDE",IF(H1722&gt;=G1722*0.9,"AMARELO","VERMELHO")))))</f>
        <v/>
      </c>
      <c r="M1722" s="162" t="n"/>
      <c r="N1722" s="162" t="n"/>
      <c r="O1722" s="162" t="n"/>
      <c r="P1722" s="162" t="n"/>
      <c r="Q1722" s="320" t="n"/>
      <c r="R1722" s="162" t="inlineStr">
        <is>
          <t>CONTROLE PRODUÇÃO POR EMPRESAS!F292</t>
        </is>
      </c>
    </row>
    <row r="1723" ht="28.5" customHeight="1">
      <c r="A1723" s="317" t="n">
        <v>46509</v>
      </c>
      <c r="B1723" t="inlineStr">
        <is>
          <t>GERAL</t>
        </is>
      </c>
      <c r="C1723" t="inlineStr">
        <is>
          <t>CMM</t>
        </is>
      </c>
      <c r="D1723" t="inlineStr">
        <is>
          <t>VIGAS</t>
        </is>
      </c>
      <c r="F1723" s="159">
        <f>IFERROR(INDEX('BASE METAS DIÁRIAS'!$N$2:$S$358,MATCH($A1723,'BASE METAS DIÁRIAS'!$A$2:$A$358,0),MOD(ROW()-2,6)+1),"")</f>
        <v/>
      </c>
      <c r="G1723" s="159">
        <f>IFERROR(IF(WEEKDAY($A1723,2)&lt;=INDEX('BASE METAS DIÁRIAS'!$H$2:$M$358,MATCH($A1723,'BASE METAS DIÁRIAS'!$A$2:$A$358,0),MOD(ROW()-2,6)+1),INDEX('BASE METAS DIÁRIAS'!$B$2:$G$358,MATCH($A1723,'BASE METAS DIÁRIAS'!$A$2:$A$358,0),MOD(ROW()-2,6)+1),""),"")</f>
        <v/>
      </c>
      <c r="H1723" s="159">
        <f>IFERROR(IF(INDEX('CONTROLE PRODUÇÃO POR EMPRESAS'!$B$6:$G$5000,MATCH($A1723,'CONTROLE PRODUÇÃO POR EMPRESAS'!$A$6:$A$5000,0),MOD(ROW()-2,6)+1)="","",IFERROR(1*INDEX('CONTROLE PRODUÇÃO POR EMPRESAS'!$B$6:$G$5000,MATCH($A1723,'CONTROLE PRODUÇÃO POR EMPRESAS'!$A$6:$A$5000,0),MOD(ROW()-2,6)+1),"")),"")</f>
        <v/>
      </c>
      <c r="I1723" s="159">
        <f>IF(OR(NOT(ISNUMBER(G1723)),NOT(ISNUMBER(H1723))),"",H1723-G1723)</f>
        <v/>
      </c>
      <c r="J1723" s="319">
        <f>IF(OR(NOT(ISNUMBER(G1723)),NOT(ISNUMBER(H1723)),G1723=0),"",I1723/G1723)</f>
        <v/>
      </c>
      <c r="K1723" s="319">
        <f>IF(OR(NOT(ISNUMBER(G1723)),NOT(ISNUMBER(H1723)),G1723=0),"",H1723/G1723)</f>
        <v/>
      </c>
      <c r="L1723">
        <f>IF(NOT(ISNUMBER(G1723)),"SEM META",IF(G1723=0,"SEM META",IF(NOT(ISNUMBER(H1723)),"SEM APONTAMENTO",IF(H1723&gt;=G1723,"VERDE",IF(H1723&gt;=G1723*0.9,"AMARELO","VERMELHO")))))</f>
        <v/>
      </c>
      <c r="M1723" s="162" t="n"/>
      <c r="N1723" s="162" t="n"/>
      <c r="O1723" s="162" t="n"/>
      <c r="P1723" s="162" t="n"/>
      <c r="Q1723" s="320" t="n"/>
      <c r="R1723" s="162" t="inlineStr">
        <is>
          <t>CONTROLE PRODUÇÃO POR EMPRESAS!G292</t>
        </is>
      </c>
    </row>
    <row r="1724" ht="28.5" customHeight="1">
      <c r="A1724" s="317" t="n">
        <v>46510</v>
      </c>
      <c r="B1724" t="inlineStr">
        <is>
          <t>GERAL</t>
        </is>
      </c>
      <c r="C1724" t="inlineStr">
        <is>
          <t>EJ</t>
        </is>
      </c>
      <c r="D1724" t="inlineStr">
        <is>
          <t>PREMONTAGEM</t>
        </is>
      </c>
      <c r="F1724" s="159">
        <f>IFERROR(INDEX('BASE METAS DIÁRIAS'!$N$2:$S$358,MATCH($A1724,'BASE METAS DIÁRIAS'!$A$2:$A$358,0),MOD(ROW()-2,6)+1),"")</f>
        <v/>
      </c>
      <c r="G1724" s="159">
        <f>IFERROR(IF(WEEKDAY($A1724,2)&lt;=INDEX('BASE METAS DIÁRIAS'!$H$2:$M$358,MATCH($A1724,'BASE METAS DIÁRIAS'!$A$2:$A$358,0),MOD(ROW()-2,6)+1),INDEX('BASE METAS DIÁRIAS'!$B$2:$G$358,MATCH($A1724,'BASE METAS DIÁRIAS'!$A$2:$A$358,0),MOD(ROW()-2,6)+1),""),"")</f>
        <v/>
      </c>
      <c r="H1724" s="159">
        <f>IFERROR(IF(INDEX('CONTROLE PRODUÇÃO POR EMPRESAS'!$B$6:$G$5000,MATCH($A1724,'CONTROLE PRODUÇÃO POR EMPRESAS'!$A$6:$A$5000,0),MOD(ROW()-2,6)+1)="","",IFERROR(1*INDEX('CONTROLE PRODUÇÃO POR EMPRESAS'!$B$6:$G$5000,MATCH($A1724,'CONTROLE PRODUÇÃO POR EMPRESAS'!$A$6:$A$5000,0),MOD(ROW()-2,6)+1),"")),"")</f>
        <v/>
      </c>
      <c r="I1724" s="159">
        <f>IF(OR(NOT(ISNUMBER(G1724)),NOT(ISNUMBER(H1724))),"",H1724-G1724)</f>
        <v/>
      </c>
      <c r="J1724" s="319">
        <f>IF(OR(NOT(ISNUMBER(G1724)),NOT(ISNUMBER(H1724)),G1724=0),"",I1724/G1724)</f>
        <v/>
      </c>
      <c r="K1724" s="319">
        <f>IF(OR(NOT(ISNUMBER(G1724)),NOT(ISNUMBER(H1724)),G1724=0),"",H1724/G1724)</f>
        <v/>
      </c>
      <c r="L1724">
        <f>IF(NOT(ISNUMBER(G1724)),"SEM META",IF(G1724=0,"SEM META",IF(NOT(ISNUMBER(H1724)),"SEM APONTAMENTO",IF(H1724&gt;=G1724,"VERDE",IF(H1724&gt;=G1724*0.9,"AMARELO","VERMELHO")))))</f>
        <v/>
      </c>
      <c r="M1724" s="162" t="n"/>
      <c r="N1724" s="162" t="n"/>
      <c r="O1724" s="162" t="n"/>
      <c r="P1724" s="162" t="n"/>
      <c r="Q1724" s="320" t="n"/>
      <c r="R1724" s="162" t="inlineStr">
        <is>
          <t>CONTROLE PRODUÇÃO POR EMPRESAS!B293</t>
        </is>
      </c>
    </row>
    <row r="1725" ht="28.5" customHeight="1">
      <c r="A1725" s="317" t="n">
        <v>46510</v>
      </c>
      <c r="B1725" t="inlineStr">
        <is>
          <t>GERAL</t>
        </is>
      </c>
      <c r="C1725" t="inlineStr">
        <is>
          <t>EJ</t>
        </is>
      </c>
      <c r="D1725" t="inlineStr">
        <is>
          <t>IÇAMENTO JOIST</t>
        </is>
      </c>
      <c r="F1725" s="159">
        <f>IFERROR(INDEX('BASE METAS DIÁRIAS'!$N$2:$S$358,MATCH($A1725,'BASE METAS DIÁRIAS'!$A$2:$A$358,0),MOD(ROW()-2,6)+1),"")</f>
        <v/>
      </c>
      <c r="G1725" s="159">
        <f>IFERROR(IF(WEEKDAY($A1725,2)&lt;=INDEX('BASE METAS DIÁRIAS'!$H$2:$M$358,MATCH($A1725,'BASE METAS DIÁRIAS'!$A$2:$A$358,0),MOD(ROW()-2,6)+1),INDEX('BASE METAS DIÁRIAS'!$B$2:$G$358,MATCH($A1725,'BASE METAS DIÁRIAS'!$A$2:$A$358,0),MOD(ROW()-2,6)+1),""),"")</f>
        <v/>
      </c>
      <c r="H1725" s="159">
        <f>IFERROR(IF(INDEX('CONTROLE PRODUÇÃO POR EMPRESAS'!$B$6:$G$5000,MATCH($A1725,'CONTROLE PRODUÇÃO POR EMPRESAS'!$A$6:$A$5000,0),MOD(ROW()-2,6)+1)="","",IFERROR(1*INDEX('CONTROLE PRODUÇÃO POR EMPRESAS'!$B$6:$G$5000,MATCH($A1725,'CONTROLE PRODUÇÃO POR EMPRESAS'!$A$6:$A$5000,0),MOD(ROW()-2,6)+1),"")),"")</f>
        <v/>
      </c>
      <c r="I1725" s="159">
        <f>IF(OR(NOT(ISNUMBER(G1725)),NOT(ISNUMBER(H1725))),"",H1725-G1725)</f>
        <v/>
      </c>
      <c r="J1725" s="319">
        <f>IF(OR(NOT(ISNUMBER(G1725)),NOT(ISNUMBER(H1725)),G1725=0),"",I1725/G1725)</f>
        <v/>
      </c>
      <c r="K1725" s="319">
        <f>IF(OR(NOT(ISNUMBER(G1725)),NOT(ISNUMBER(H1725)),G1725=0),"",H1725/G1725)</f>
        <v/>
      </c>
      <c r="L1725">
        <f>IF(NOT(ISNUMBER(G1725)),"SEM META",IF(G1725=0,"SEM META",IF(NOT(ISNUMBER(H1725)),"SEM APONTAMENTO",IF(H1725&gt;=G1725,"VERDE",IF(H1725&gt;=G1725*0.9,"AMARELO","VERMELHO")))))</f>
        <v/>
      </c>
      <c r="M1725" s="162" t="n"/>
      <c r="N1725" s="162" t="n"/>
      <c r="O1725" s="162" t="n"/>
      <c r="P1725" s="162" t="n"/>
      <c r="Q1725" s="320" t="n"/>
      <c r="R1725" s="162" t="inlineStr">
        <is>
          <t>CONTROLE PRODUÇÃO POR EMPRESAS!C293</t>
        </is>
      </c>
    </row>
    <row r="1726" ht="28.5" customHeight="1">
      <c r="A1726" s="317" t="n">
        <v>46510</v>
      </c>
      <c r="B1726" t="inlineStr">
        <is>
          <t>GERAL</t>
        </is>
      </c>
      <c r="C1726" t="inlineStr">
        <is>
          <t>EJ</t>
        </is>
      </c>
      <c r="D1726" t="inlineStr">
        <is>
          <t>VIGAS</t>
        </is>
      </c>
      <c r="F1726" s="159">
        <f>IFERROR(INDEX('BASE METAS DIÁRIAS'!$N$2:$S$358,MATCH($A1726,'BASE METAS DIÁRIAS'!$A$2:$A$358,0),MOD(ROW()-2,6)+1),"")</f>
        <v/>
      </c>
      <c r="G1726" s="159">
        <f>IFERROR(IF(WEEKDAY($A1726,2)&lt;=INDEX('BASE METAS DIÁRIAS'!$H$2:$M$358,MATCH($A1726,'BASE METAS DIÁRIAS'!$A$2:$A$358,0),MOD(ROW()-2,6)+1),INDEX('BASE METAS DIÁRIAS'!$B$2:$G$358,MATCH($A1726,'BASE METAS DIÁRIAS'!$A$2:$A$358,0),MOD(ROW()-2,6)+1),""),"")</f>
        <v/>
      </c>
      <c r="H1726" s="159">
        <f>IFERROR(IF(INDEX('CONTROLE PRODUÇÃO POR EMPRESAS'!$B$6:$G$5000,MATCH($A1726,'CONTROLE PRODUÇÃO POR EMPRESAS'!$A$6:$A$5000,0),MOD(ROW()-2,6)+1)="","",IFERROR(1*INDEX('CONTROLE PRODUÇÃO POR EMPRESAS'!$B$6:$G$5000,MATCH($A1726,'CONTROLE PRODUÇÃO POR EMPRESAS'!$A$6:$A$5000,0),MOD(ROW()-2,6)+1),"")),"")</f>
        <v/>
      </c>
      <c r="I1726" s="159">
        <f>IF(OR(NOT(ISNUMBER(G1726)),NOT(ISNUMBER(H1726))),"",H1726-G1726)</f>
        <v/>
      </c>
      <c r="J1726" s="319">
        <f>IF(OR(NOT(ISNUMBER(G1726)),NOT(ISNUMBER(H1726)),G1726=0),"",I1726/G1726)</f>
        <v/>
      </c>
      <c r="K1726" s="319">
        <f>IF(OR(NOT(ISNUMBER(G1726)),NOT(ISNUMBER(H1726)),G1726=0),"",H1726/G1726)</f>
        <v/>
      </c>
      <c r="L1726">
        <f>IF(NOT(ISNUMBER(G1726)),"SEM META",IF(G1726=0,"SEM META",IF(NOT(ISNUMBER(H1726)),"SEM APONTAMENTO",IF(H1726&gt;=G1726,"VERDE",IF(H1726&gt;=G1726*0.9,"AMARELO","VERMELHO")))))</f>
        <v/>
      </c>
      <c r="M1726" s="162" t="n"/>
      <c r="N1726" s="162" t="n"/>
      <c r="O1726" s="162" t="n"/>
      <c r="P1726" s="162" t="n"/>
      <c r="Q1726" s="320" t="n"/>
      <c r="R1726" s="162" t="inlineStr">
        <is>
          <t>CONTROLE PRODUÇÃO POR EMPRESAS!D293</t>
        </is>
      </c>
    </row>
    <row r="1727" ht="28.5" customHeight="1">
      <c r="A1727" s="317" t="n">
        <v>46510</v>
      </c>
      <c r="B1727" t="inlineStr">
        <is>
          <t>GERAL</t>
        </is>
      </c>
      <c r="C1727" t="inlineStr">
        <is>
          <t>CMM</t>
        </is>
      </c>
      <c r="D1727" t="inlineStr">
        <is>
          <t>PREMONTAGEM</t>
        </is>
      </c>
      <c r="F1727" s="159">
        <f>IFERROR(INDEX('BASE METAS DIÁRIAS'!$N$2:$S$358,MATCH($A1727,'BASE METAS DIÁRIAS'!$A$2:$A$358,0),MOD(ROW()-2,6)+1),"")</f>
        <v/>
      </c>
      <c r="G1727" s="159">
        <f>IFERROR(IF(WEEKDAY($A1727,2)&lt;=INDEX('BASE METAS DIÁRIAS'!$H$2:$M$358,MATCH($A1727,'BASE METAS DIÁRIAS'!$A$2:$A$358,0),MOD(ROW()-2,6)+1),INDEX('BASE METAS DIÁRIAS'!$B$2:$G$358,MATCH($A1727,'BASE METAS DIÁRIAS'!$A$2:$A$358,0),MOD(ROW()-2,6)+1),""),"")</f>
        <v/>
      </c>
      <c r="H1727" s="159">
        <f>IFERROR(IF(INDEX('CONTROLE PRODUÇÃO POR EMPRESAS'!$B$6:$G$5000,MATCH($A1727,'CONTROLE PRODUÇÃO POR EMPRESAS'!$A$6:$A$5000,0),MOD(ROW()-2,6)+1)="","",IFERROR(1*INDEX('CONTROLE PRODUÇÃO POR EMPRESAS'!$B$6:$G$5000,MATCH($A1727,'CONTROLE PRODUÇÃO POR EMPRESAS'!$A$6:$A$5000,0),MOD(ROW()-2,6)+1),"")),"")</f>
        <v/>
      </c>
      <c r="I1727" s="159">
        <f>IF(OR(NOT(ISNUMBER(G1727)),NOT(ISNUMBER(H1727))),"",H1727-G1727)</f>
        <v/>
      </c>
      <c r="J1727" s="319">
        <f>IF(OR(NOT(ISNUMBER(G1727)),NOT(ISNUMBER(H1727)),G1727=0),"",I1727/G1727)</f>
        <v/>
      </c>
      <c r="K1727" s="319">
        <f>IF(OR(NOT(ISNUMBER(G1727)),NOT(ISNUMBER(H1727)),G1727=0),"",H1727/G1727)</f>
        <v/>
      </c>
      <c r="L1727">
        <f>IF(NOT(ISNUMBER(G1727)),"SEM META",IF(G1727=0,"SEM META",IF(NOT(ISNUMBER(H1727)),"SEM APONTAMENTO",IF(H1727&gt;=G1727,"VERDE",IF(H1727&gt;=G1727*0.9,"AMARELO","VERMELHO")))))</f>
        <v/>
      </c>
      <c r="M1727" s="162" t="n"/>
      <c r="N1727" s="162" t="n"/>
      <c r="O1727" s="162" t="n"/>
      <c r="P1727" s="162" t="n"/>
      <c r="Q1727" s="320" t="n"/>
      <c r="R1727" s="162" t="inlineStr">
        <is>
          <t>CONTROLE PRODUÇÃO POR EMPRESAS!E293</t>
        </is>
      </c>
    </row>
    <row r="1728" ht="28.5" customHeight="1">
      <c r="A1728" s="317" t="n">
        <v>46510</v>
      </c>
      <c r="B1728" t="inlineStr">
        <is>
          <t>GERAL</t>
        </is>
      </c>
      <c r="C1728" t="inlineStr">
        <is>
          <t>CMM</t>
        </is>
      </c>
      <c r="D1728" t="inlineStr">
        <is>
          <t>IÇAMENTO JOIST</t>
        </is>
      </c>
      <c r="F1728" s="159">
        <f>IFERROR(INDEX('BASE METAS DIÁRIAS'!$N$2:$S$358,MATCH($A1728,'BASE METAS DIÁRIAS'!$A$2:$A$358,0),MOD(ROW()-2,6)+1),"")</f>
        <v/>
      </c>
      <c r="G1728" s="159">
        <f>IFERROR(IF(WEEKDAY($A1728,2)&lt;=INDEX('BASE METAS DIÁRIAS'!$H$2:$M$358,MATCH($A1728,'BASE METAS DIÁRIAS'!$A$2:$A$358,0),MOD(ROW()-2,6)+1),INDEX('BASE METAS DIÁRIAS'!$B$2:$G$358,MATCH($A1728,'BASE METAS DIÁRIAS'!$A$2:$A$358,0),MOD(ROW()-2,6)+1),""),"")</f>
        <v/>
      </c>
      <c r="H1728" s="159">
        <f>IFERROR(IF(INDEX('CONTROLE PRODUÇÃO POR EMPRESAS'!$B$6:$G$5000,MATCH($A1728,'CONTROLE PRODUÇÃO POR EMPRESAS'!$A$6:$A$5000,0),MOD(ROW()-2,6)+1)="","",IFERROR(1*INDEX('CONTROLE PRODUÇÃO POR EMPRESAS'!$B$6:$G$5000,MATCH($A1728,'CONTROLE PRODUÇÃO POR EMPRESAS'!$A$6:$A$5000,0),MOD(ROW()-2,6)+1),"")),"")</f>
        <v/>
      </c>
      <c r="I1728" s="159">
        <f>IF(OR(NOT(ISNUMBER(G1728)),NOT(ISNUMBER(H1728))),"",H1728-G1728)</f>
        <v/>
      </c>
      <c r="J1728" s="319">
        <f>IF(OR(NOT(ISNUMBER(G1728)),NOT(ISNUMBER(H1728)),G1728=0),"",I1728/G1728)</f>
        <v/>
      </c>
      <c r="K1728" s="319">
        <f>IF(OR(NOT(ISNUMBER(G1728)),NOT(ISNUMBER(H1728)),G1728=0),"",H1728/G1728)</f>
        <v/>
      </c>
      <c r="L1728">
        <f>IF(NOT(ISNUMBER(G1728)),"SEM META",IF(G1728=0,"SEM META",IF(NOT(ISNUMBER(H1728)),"SEM APONTAMENTO",IF(H1728&gt;=G1728,"VERDE",IF(H1728&gt;=G1728*0.9,"AMARELO","VERMELHO")))))</f>
        <v/>
      </c>
      <c r="M1728" s="162" t="n"/>
      <c r="N1728" s="162" t="n"/>
      <c r="O1728" s="162" t="n"/>
      <c r="P1728" s="162" t="n"/>
      <c r="Q1728" s="320" t="n"/>
      <c r="R1728" s="162" t="inlineStr">
        <is>
          <t>CONTROLE PRODUÇÃO POR EMPRESAS!F293</t>
        </is>
      </c>
    </row>
    <row r="1729" ht="28.5" customHeight="1">
      <c r="A1729" s="317" t="n">
        <v>46510</v>
      </c>
      <c r="B1729" t="inlineStr">
        <is>
          <t>GERAL</t>
        </is>
      </c>
      <c r="C1729" t="inlineStr">
        <is>
          <t>CMM</t>
        </is>
      </c>
      <c r="D1729" t="inlineStr">
        <is>
          <t>VIGAS</t>
        </is>
      </c>
      <c r="F1729" s="159">
        <f>IFERROR(INDEX('BASE METAS DIÁRIAS'!$N$2:$S$358,MATCH($A1729,'BASE METAS DIÁRIAS'!$A$2:$A$358,0),MOD(ROW()-2,6)+1),"")</f>
        <v/>
      </c>
      <c r="G1729" s="159">
        <f>IFERROR(IF(WEEKDAY($A1729,2)&lt;=INDEX('BASE METAS DIÁRIAS'!$H$2:$M$358,MATCH($A1729,'BASE METAS DIÁRIAS'!$A$2:$A$358,0),MOD(ROW()-2,6)+1),INDEX('BASE METAS DIÁRIAS'!$B$2:$G$358,MATCH($A1729,'BASE METAS DIÁRIAS'!$A$2:$A$358,0),MOD(ROW()-2,6)+1),""),"")</f>
        <v/>
      </c>
      <c r="H1729" s="159">
        <f>IFERROR(IF(INDEX('CONTROLE PRODUÇÃO POR EMPRESAS'!$B$6:$G$5000,MATCH($A1729,'CONTROLE PRODUÇÃO POR EMPRESAS'!$A$6:$A$5000,0),MOD(ROW()-2,6)+1)="","",IFERROR(1*INDEX('CONTROLE PRODUÇÃO POR EMPRESAS'!$B$6:$G$5000,MATCH($A1729,'CONTROLE PRODUÇÃO POR EMPRESAS'!$A$6:$A$5000,0),MOD(ROW()-2,6)+1),"")),"")</f>
        <v/>
      </c>
      <c r="I1729" s="159">
        <f>IF(OR(NOT(ISNUMBER(G1729)),NOT(ISNUMBER(H1729))),"",H1729-G1729)</f>
        <v/>
      </c>
      <c r="J1729" s="319">
        <f>IF(OR(NOT(ISNUMBER(G1729)),NOT(ISNUMBER(H1729)),G1729=0),"",I1729/G1729)</f>
        <v/>
      </c>
      <c r="K1729" s="319">
        <f>IF(OR(NOT(ISNUMBER(G1729)),NOT(ISNUMBER(H1729)),G1729=0),"",H1729/G1729)</f>
        <v/>
      </c>
      <c r="L1729">
        <f>IF(NOT(ISNUMBER(G1729)),"SEM META",IF(G1729=0,"SEM META",IF(NOT(ISNUMBER(H1729)),"SEM APONTAMENTO",IF(H1729&gt;=G1729,"VERDE",IF(H1729&gt;=G1729*0.9,"AMARELO","VERMELHO")))))</f>
        <v/>
      </c>
      <c r="M1729" s="162" t="n"/>
      <c r="N1729" s="162" t="n"/>
      <c r="O1729" s="162" t="n"/>
      <c r="P1729" s="162" t="n"/>
      <c r="Q1729" s="320" t="n"/>
      <c r="R1729" s="162" t="inlineStr">
        <is>
          <t>CONTROLE PRODUÇÃO POR EMPRESAS!G293</t>
        </is>
      </c>
    </row>
    <row r="1730" ht="28.5" customHeight="1">
      <c r="A1730" s="317" t="n">
        <v>46511</v>
      </c>
      <c r="B1730" t="inlineStr">
        <is>
          <t>GERAL</t>
        </is>
      </c>
      <c r="C1730" t="inlineStr">
        <is>
          <t>EJ</t>
        </is>
      </c>
      <c r="D1730" t="inlineStr">
        <is>
          <t>PREMONTAGEM</t>
        </is>
      </c>
      <c r="F1730" s="159">
        <f>IFERROR(INDEX('BASE METAS DIÁRIAS'!$N$2:$S$358,MATCH($A1730,'BASE METAS DIÁRIAS'!$A$2:$A$358,0),MOD(ROW()-2,6)+1),"")</f>
        <v/>
      </c>
      <c r="G1730" s="159">
        <f>IFERROR(IF(WEEKDAY($A1730,2)&lt;=INDEX('BASE METAS DIÁRIAS'!$H$2:$M$358,MATCH($A1730,'BASE METAS DIÁRIAS'!$A$2:$A$358,0),MOD(ROW()-2,6)+1),INDEX('BASE METAS DIÁRIAS'!$B$2:$G$358,MATCH($A1730,'BASE METAS DIÁRIAS'!$A$2:$A$358,0),MOD(ROW()-2,6)+1),""),"")</f>
        <v/>
      </c>
      <c r="H1730" s="159">
        <f>IFERROR(IF(INDEX('CONTROLE PRODUÇÃO POR EMPRESAS'!$B$6:$G$5000,MATCH($A1730,'CONTROLE PRODUÇÃO POR EMPRESAS'!$A$6:$A$5000,0),MOD(ROW()-2,6)+1)="","",IFERROR(1*INDEX('CONTROLE PRODUÇÃO POR EMPRESAS'!$B$6:$G$5000,MATCH($A1730,'CONTROLE PRODUÇÃO POR EMPRESAS'!$A$6:$A$5000,0),MOD(ROW()-2,6)+1),"")),"")</f>
        <v/>
      </c>
      <c r="I1730" s="159">
        <f>IF(OR(NOT(ISNUMBER(G1730)),NOT(ISNUMBER(H1730))),"",H1730-G1730)</f>
        <v/>
      </c>
      <c r="J1730" s="319">
        <f>IF(OR(NOT(ISNUMBER(G1730)),NOT(ISNUMBER(H1730)),G1730=0),"",I1730/G1730)</f>
        <v/>
      </c>
      <c r="K1730" s="319">
        <f>IF(OR(NOT(ISNUMBER(G1730)),NOT(ISNUMBER(H1730)),G1730=0),"",H1730/G1730)</f>
        <v/>
      </c>
      <c r="L1730">
        <f>IF(NOT(ISNUMBER(G1730)),"SEM META",IF(G1730=0,"SEM META",IF(NOT(ISNUMBER(H1730)),"SEM APONTAMENTO",IF(H1730&gt;=G1730,"VERDE",IF(H1730&gt;=G1730*0.9,"AMARELO","VERMELHO")))))</f>
        <v/>
      </c>
      <c r="M1730" s="162" t="n"/>
      <c r="N1730" s="162" t="n"/>
      <c r="O1730" s="162" t="n"/>
      <c r="P1730" s="162" t="n"/>
      <c r="Q1730" s="320" t="n"/>
      <c r="R1730" s="162" t="inlineStr">
        <is>
          <t>CONTROLE PRODUÇÃO POR EMPRESAS!B294</t>
        </is>
      </c>
    </row>
    <row r="1731" ht="28.5" customHeight="1">
      <c r="A1731" s="317" t="n">
        <v>46511</v>
      </c>
      <c r="B1731" t="inlineStr">
        <is>
          <t>GERAL</t>
        </is>
      </c>
      <c r="C1731" t="inlineStr">
        <is>
          <t>EJ</t>
        </is>
      </c>
      <c r="D1731" t="inlineStr">
        <is>
          <t>IÇAMENTO JOIST</t>
        </is>
      </c>
      <c r="F1731" s="159">
        <f>IFERROR(INDEX('BASE METAS DIÁRIAS'!$N$2:$S$358,MATCH($A1731,'BASE METAS DIÁRIAS'!$A$2:$A$358,0),MOD(ROW()-2,6)+1),"")</f>
        <v/>
      </c>
      <c r="G1731" s="159">
        <f>IFERROR(IF(WEEKDAY($A1731,2)&lt;=INDEX('BASE METAS DIÁRIAS'!$H$2:$M$358,MATCH($A1731,'BASE METAS DIÁRIAS'!$A$2:$A$358,0),MOD(ROW()-2,6)+1),INDEX('BASE METAS DIÁRIAS'!$B$2:$G$358,MATCH($A1731,'BASE METAS DIÁRIAS'!$A$2:$A$358,0),MOD(ROW()-2,6)+1),""),"")</f>
        <v/>
      </c>
      <c r="H1731" s="159">
        <f>IFERROR(IF(INDEX('CONTROLE PRODUÇÃO POR EMPRESAS'!$B$6:$G$5000,MATCH($A1731,'CONTROLE PRODUÇÃO POR EMPRESAS'!$A$6:$A$5000,0),MOD(ROW()-2,6)+1)="","",IFERROR(1*INDEX('CONTROLE PRODUÇÃO POR EMPRESAS'!$B$6:$G$5000,MATCH($A1731,'CONTROLE PRODUÇÃO POR EMPRESAS'!$A$6:$A$5000,0),MOD(ROW()-2,6)+1),"")),"")</f>
        <v/>
      </c>
      <c r="I1731" s="159">
        <f>IF(OR(NOT(ISNUMBER(G1731)),NOT(ISNUMBER(H1731))),"",H1731-G1731)</f>
        <v/>
      </c>
      <c r="J1731" s="319">
        <f>IF(OR(NOT(ISNUMBER(G1731)),NOT(ISNUMBER(H1731)),G1731=0),"",I1731/G1731)</f>
        <v/>
      </c>
      <c r="K1731" s="319">
        <f>IF(OR(NOT(ISNUMBER(G1731)),NOT(ISNUMBER(H1731)),G1731=0),"",H1731/G1731)</f>
        <v/>
      </c>
      <c r="L1731">
        <f>IF(NOT(ISNUMBER(G1731)),"SEM META",IF(G1731=0,"SEM META",IF(NOT(ISNUMBER(H1731)),"SEM APONTAMENTO",IF(H1731&gt;=G1731,"VERDE",IF(H1731&gt;=G1731*0.9,"AMARELO","VERMELHO")))))</f>
        <v/>
      </c>
      <c r="M1731" s="162" t="n"/>
      <c r="N1731" s="162" t="n"/>
      <c r="O1731" s="162" t="n"/>
      <c r="P1731" s="162" t="n"/>
      <c r="Q1731" s="320" t="n"/>
      <c r="R1731" s="162" t="inlineStr">
        <is>
          <t>CONTROLE PRODUÇÃO POR EMPRESAS!C294</t>
        </is>
      </c>
    </row>
    <row r="1732" ht="28.5" customHeight="1">
      <c r="A1732" s="317" t="n">
        <v>46511</v>
      </c>
      <c r="B1732" t="inlineStr">
        <is>
          <t>GERAL</t>
        </is>
      </c>
      <c r="C1732" t="inlineStr">
        <is>
          <t>EJ</t>
        </is>
      </c>
      <c r="D1732" t="inlineStr">
        <is>
          <t>VIGAS</t>
        </is>
      </c>
      <c r="F1732" s="159">
        <f>IFERROR(INDEX('BASE METAS DIÁRIAS'!$N$2:$S$358,MATCH($A1732,'BASE METAS DIÁRIAS'!$A$2:$A$358,0),MOD(ROW()-2,6)+1),"")</f>
        <v/>
      </c>
      <c r="G1732" s="159">
        <f>IFERROR(IF(WEEKDAY($A1732,2)&lt;=INDEX('BASE METAS DIÁRIAS'!$H$2:$M$358,MATCH($A1732,'BASE METAS DIÁRIAS'!$A$2:$A$358,0),MOD(ROW()-2,6)+1),INDEX('BASE METAS DIÁRIAS'!$B$2:$G$358,MATCH($A1732,'BASE METAS DIÁRIAS'!$A$2:$A$358,0),MOD(ROW()-2,6)+1),""),"")</f>
        <v/>
      </c>
      <c r="H1732" s="159">
        <f>IFERROR(IF(INDEX('CONTROLE PRODUÇÃO POR EMPRESAS'!$B$6:$G$5000,MATCH($A1732,'CONTROLE PRODUÇÃO POR EMPRESAS'!$A$6:$A$5000,0),MOD(ROW()-2,6)+1)="","",IFERROR(1*INDEX('CONTROLE PRODUÇÃO POR EMPRESAS'!$B$6:$G$5000,MATCH($A1732,'CONTROLE PRODUÇÃO POR EMPRESAS'!$A$6:$A$5000,0),MOD(ROW()-2,6)+1),"")),"")</f>
        <v/>
      </c>
      <c r="I1732" s="159">
        <f>IF(OR(NOT(ISNUMBER(G1732)),NOT(ISNUMBER(H1732))),"",H1732-G1732)</f>
        <v/>
      </c>
      <c r="J1732" s="319">
        <f>IF(OR(NOT(ISNUMBER(G1732)),NOT(ISNUMBER(H1732)),G1732=0),"",I1732/G1732)</f>
        <v/>
      </c>
      <c r="K1732" s="319">
        <f>IF(OR(NOT(ISNUMBER(G1732)),NOT(ISNUMBER(H1732)),G1732=0),"",H1732/G1732)</f>
        <v/>
      </c>
      <c r="L1732">
        <f>IF(NOT(ISNUMBER(G1732)),"SEM META",IF(G1732=0,"SEM META",IF(NOT(ISNUMBER(H1732)),"SEM APONTAMENTO",IF(H1732&gt;=G1732,"VERDE",IF(H1732&gt;=G1732*0.9,"AMARELO","VERMELHO")))))</f>
        <v/>
      </c>
      <c r="M1732" s="162" t="n"/>
      <c r="N1732" s="162" t="n"/>
      <c r="O1732" s="162" t="n"/>
      <c r="P1732" s="162" t="n"/>
      <c r="Q1732" s="320" t="n"/>
      <c r="R1732" s="162" t="inlineStr">
        <is>
          <t>CONTROLE PRODUÇÃO POR EMPRESAS!D294</t>
        </is>
      </c>
    </row>
    <row r="1733" ht="28.5" customHeight="1">
      <c r="A1733" s="317" t="n">
        <v>46511</v>
      </c>
      <c r="B1733" t="inlineStr">
        <is>
          <t>GERAL</t>
        </is>
      </c>
      <c r="C1733" t="inlineStr">
        <is>
          <t>CMM</t>
        </is>
      </c>
      <c r="D1733" t="inlineStr">
        <is>
          <t>PREMONTAGEM</t>
        </is>
      </c>
      <c r="F1733" s="159">
        <f>IFERROR(INDEX('BASE METAS DIÁRIAS'!$N$2:$S$358,MATCH($A1733,'BASE METAS DIÁRIAS'!$A$2:$A$358,0),MOD(ROW()-2,6)+1),"")</f>
        <v/>
      </c>
      <c r="G1733" s="159">
        <f>IFERROR(IF(WEEKDAY($A1733,2)&lt;=INDEX('BASE METAS DIÁRIAS'!$H$2:$M$358,MATCH($A1733,'BASE METAS DIÁRIAS'!$A$2:$A$358,0),MOD(ROW()-2,6)+1),INDEX('BASE METAS DIÁRIAS'!$B$2:$G$358,MATCH($A1733,'BASE METAS DIÁRIAS'!$A$2:$A$358,0),MOD(ROW()-2,6)+1),""),"")</f>
        <v/>
      </c>
      <c r="H1733" s="159">
        <f>IFERROR(IF(INDEX('CONTROLE PRODUÇÃO POR EMPRESAS'!$B$6:$G$5000,MATCH($A1733,'CONTROLE PRODUÇÃO POR EMPRESAS'!$A$6:$A$5000,0),MOD(ROW()-2,6)+1)="","",IFERROR(1*INDEX('CONTROLE PRODUÇÃO POR EMPRESAS'!$B$6:$G$5000,MATCH($A1733,'CONTROLE PRODUÇÃO POR EMPRESAS'!$A$6:$A$5000,0),MOD(ROW()-2,6)+1),"")),"")</f>
        <v/>
      </c>
      <c r="I1733" s="159">
        <f>IF(OR(NOT(ISNUMBER(G1733)),NOT(ISNUMBER(H1733))),"",H1733-G1733)</f>
        <v/>
      </c>
      <c r="J1733" s="319">
        <f>IF(OR(NOT(ISNUMBER(G1733)),NOT(ISNUMBER(H1733)),G1733=0),"",I1733/G1733)</f>
        <v/>
      </c>
      <c r="K1733" s="319">
        <f>IF(OR(NOT(ISNUMBER(G1733)),NOT(ISNUMBER(H1733)),G1733=0),"",H1733/G1733)</f>
        <v/>
      </c>
      <c r="L1733">
        <f>IF(NOT(ISNUMBER(G1733)),"SEM META",IF(G1733=0,"SEM META",IF(NOT(ISNUMBER(H1733)),"SEM APONTAMENTO",IF(H1733&gt;=G1733,"VERDE",IF(H1733&gt;=G1733*0.9,"AMARELO","VERMELHO")))))</f>
        <v/>
      </c>
      <c r="M1733" s="162" t="n"/>
      <c r="N1733" s="162" t="n"/>
      <c r="O1733" s="162" t="n"/>
      <c r="P1733" s="162" t="n"/>
      <c r="Q1733" s="320" t="n"/>
      <c r="R1733" s="162" t="inlineStr">
        <is>
          <t>CONTROLE PRODUÇÃO POR EMPRESAS!E294</t>
        </is>
      </c>
    </row>
    <row r="1734" ht="28.5" customHeight="1">
      <c r="A1734" s="317" t="n">
        <v>46511</v>
      </c>
      <c r="B1734" t="inlineStr">
        <is>
          <t>GERAL</t>
        </is>
      </c>
      <c r="C1734" t="inlineStr">
        <is>
          <t>CMM</t>
        </is>
      </c>
      <c r="D1734" t="inlineStr">
        <is>
          <t>IÇAMENTO JOIST</t>
        </is>
      </c>
      <c r="F1734" s="159">
        <f>IFERROR(INDEX('BASE METAS DIÁRIAS'!$N$2:$S$358,MATCH($A1734,'BASE METAS DIÁRIAS'!$A$2:$A$358,0),MOD(ROW()-2,6)+1),"")</f>
        <v/>
      </c>
      <c r="G1734" s="159">
        <f>IFERROR(IF(WEEKDAY($A1734,2)&lt;=INDEX('BASE METAS DIÁRIAS'!$H$2:$M$358,MATCH($A1734,'BASE METAS DIÁRIAS'!$A$2:$A$358,0),MOD(ROW()-2,6)+1),INDEX('BASE METAS DIÁRIAS'!$B$2:$G$358,MATCH($A1734,'BASE METAS DIÁRIAS'!$A$2:$A$358,0),MOD(ROW()-2,6)+1),""),"")</f>
        <v/>
      </c>
      <c r="H1734" s="159">
        <f>IFERROR(IF(INDEX('CONTROLE PRODUÇÃO POR EMPRESAS'!$B$6:$G$5000,MATCH($A1734,'CONTROLE PRODUÇÃO POR EMPRESAS'!$A$6:$A$5000,0),MOD(ROW()-2,6)+1)="","",IFERROR(1*INDEX('CONTROLE PRODUÇÃO POR EMPRESAS'!$B$6:$G$5000,MATCH($A1734,'CONTROLE PRODUÇÃO POR EMPRESAS'!$A$6:$A$5000,0),MOD(ROW()-2,6)+1),"")),"")</f>
        <v/>
      </c>
      <c r="I1734" s="159">
        <f>IF(OR(NOT(ISNUMBER(G1734)),NOT(ISNUMBER(H1734))),"",H1734-G1734)</f>
        <v/>
      </c>
      <c r="J1734" s="319">
        <f>IF(OR(NOT(ISNUMBER(G1734)),NOT(ISNUMBER(H1734)),G1734=0),"",I1734/G1734)</f>
        <v/>
      </c>
      <c r="K1734" s="319">
        <f>IF(OR(NOT(ISNUMBER(G1734)),NOT(ISNUMBER(H1734)),G1734=0),"",H1734/G1734)</f>
        <v/>
      </c>
      <c r="L1734">
        <f>IF(NOT(ISNUMBER(G1734)),"SEM META",IF(G1734=0,"SEM META",IF(NOT(ISNUMBER(H1734)),"SEM APONTAMENTO",IF(H1734&gt;=G1734,"VERDE",IF(H1734&gt;=G1734*0.9,"AMARELO","VERMELHO")))))</f>
        <v/>
      </c>
      <c r="M1734" s="162" t="n"/>
      <c r="N1734" s="162" t="n"/>
      <c r="O1734" s="162" t="n"/>
      <c r="P1734" s="162" t="n"/>
      <c r="Q1734" s="320" t="n"/>
      <c r="R1734" s="162" t="inlineStr">
        <is>
          <t>CONTROLE PRODUÇÃO POR EMPRESAS!F294</t>
        </is>
      </c>
    </row>
    <row r="1735" ht="28.5" customHeight="1">
      <c r="A1735" s="317" t="n">
        <v>46511</v>
      </c>
      <c r="B1735" t="inlineStr">
        <is>
          <t>GERAL</t>
        </is>
      </c>
      <c r="C1735" t="inlineStr">
        <is>
          <t>CMM</t>
        </is>
      </c>
      <c r="D1735" t="inlineStr">
        <is>
          <t>VIGAS</t>
        </is>
      </c>
      <c r="F1735" s="159">
        <f>IFERROR(INDEX('BASE METAS DIÁRIAS'!$N$2:$S$358,MATCH($A1735,'BASE METAS DIÁRIAS'!$A$2:$A$358,0),MOD(ROW()-2,6)+1),"")</f>
        <v/>
      </c>
      <c r="G1735" s="159">
        <f>IFERROR(IF(WEEKDAY($A1735,2)&lt;=INDEX('BASE METAS DIÁRIAS'!$H$2:$M$358,MATCH($A1735,'BASE METAS DIÁRIAS'!$A$2:$A$358,0),MOD(ROW()-2,6)+1),INDEX('BASE METAS DIÁRIAS'!$B$2:$G$358,MATCH($A1735,'BASE METAS DIÁRIAS'!$A$2:$A$358,0),MOD(ROW()-2,6)+1),""),"")</f>
        <v/>
      </c>
      <c r="H1735" s="159">
        <f>IFERROR(IF(INDEX('CONTROLE PRODUÇÃO POR EMPRESAS'!$B$6:$G$5000,MATCH($A1735,'CONTROLE PRODUÇÃO POR EMPRESAS'!$A$6:$A$5000,0),MOD(ROW()-2,6)+1)="","",IFERROR(1*INDEX('CONTROLE PRODUÇÃO POR EMPRESAS'!$B$6:$G$5000,MATCH($A1735,'CONTROLE PRODUÇÃO POR EMPRESAS'!$A$6:$A$5000,0),MOD(ROW()-2,6)+1),"")),"")</f>
        <v/>
      </c>
      <c r="I1735" s="159">
        <f>IF(OR(NOT(ISNUMBER(G1735)),NOT(ISNUMBER(H1735))),"",H1735-G1735)</f>
        <v/>
      </c>
      <c r="J1735" s="319">
        <f>IF(OR(NOT(ISNUMBER(G1735)),NOT(ISNUMBER(H1735)),G1735=0),"",I1735/G1735)</f>
        <v/>
      </c>
      <c r="K1735" s="319">
        <f>IF(OR(NOT(ISNUMBER(G1735)),NOT(ISNUMBER(H1735)),G1735=0),"",H1735/G1735)</f>
        <v/>
      </c>
      <c r="L1735">
        <f>IF(NOT(ISNUMBER(G1735)),"SEM META",IF(G1735=0,"SEM META",IF(NOT(ISNUMBER(H1735)),"SEM APONTAMENTO",IF(H1735&gt;=G1735,"VERDE",IF(H1735&gt;=G1735*0.9,"AMARELO","VERMELHO")))))</f>
        <v/>
      </c>
      <c r="M1735" s="162" t="n"/>
      <c r="N1735" s="162" t="n"/>
      <c r="O1735" s="162" t="n"/>
      <c r="P1735" s="162" t="n"/>
      <c r="Q1735" s="320" t="n"/>
      <c r="R1735" s="162" t="inlineStr">
        <is>
          <t>CONTROLE PRODUÇÃO POR EMPRESAS!G294</t>
        </is>
      </c>
    </row>
    <row r="1736" ht="28.5" customHeight="1">
      <c r="A1736" s="317" t="n">
        <v>46512</v>
      </c>
      <c r="B1736" t="inlineStr">
        <is>
          <t>GERAL</t>
        </is>
      </c>
      <c r="C1736" t="inlineStr">
        <is>
          <t>EJ</t>
        </is>
      </c>
      <c r="D1736" t="inlineStr">
        <is>
          <t>PREMONTAGEM</t>
        </is>
      </c>
      <c r="F1736" s="159">
        <f>IFERROR(INDEX('BASE METAS DIÁRIAS'!$N$2:$S$358,MATCH($A1736,'BASE METAS DIÁRIAS'!$A$2:$A$358,0),MOD(ROW()-2,6)+1),"")</f>
        <v/>
      </c>
      <c r="G1736" s="159">
        <f>IFERROR(IF(WEEKDAY($A1736,2)&lt;=INDEX('BASE METAS DIÁRIAS'!$H$2:$M$358,MATCH($A1736,'BASE METAS DIÁRIAS'!$A$2:$A$358,0),MOD(ROW()-2,6)+1),INDEX('BASE METAS DIÁRIAS'!$B$2:$G$358,MATCH($A1736,'BASE METAS DIÁRIAS'!$A$2:$A$358,0),MOD(ROW()-2,6)+1),""),"")</f>
        <v/>
      </c>
      <c r="H1736" s="159">
        <f>IFERROR(IF(INDEX('CONTROLE PRODUÇÃO POR EMPRESAS'!$B$6:$G$5000,MATCH($A1736,'CONTROLE PRODUÇÃO POR EMPRESAS'!$A$6:$A$5000,0),MOD(ROW()-2,6)+1)="","",IFERROR(1*INDEX('CONTROLE PRODUÇÃO POR EMPRESAS'!$B$6:$G$5000,MATCH($A1736,'CONTROLE PRODUÇÃO POR EMPRESAS'!$A$6:$A$5000,0),MOD(ROW()-2,6)+1),"")),"")</f>
        <v/>
      </c>
      <c r="I1736" s="159">
        <f>IF(OR(NOT(ISNUMBER(G1736)),NOT(ISNUMBER(H1736))),"",H1736-G1736)</f>
        <v/>
      </c>
      <c r="J1736" s="319">
        <f>IF(OR(NOT(ISNUMBER(G1736)),NOT(ISNUMBER(H1736)),G1736=0),"",I1736/G1736)</f>
        <v/>
      </c>
      <c r="K1736" s="319">
        <f>IF(OR(NOT(ISNUMBER(G1736)),NOT(ISNUMBER(H1736)),G1736=0),"",H1736/G1736)</f>
        <v/>
      </c>
      <c r="L1736">
        <f>IF(NOT(ISNUMBER(G1736)),"SEM META",IF(G1736=0,"SEM META",IF(NOT(ISNUMBER(H1736)),"SEM APONTAMENTO",IF(H1736&gt;=G1736,"VERDE",IF(H1736&gt;=G1736*0.9,"AMARELO","VERMELHO")))))</f>
        <v/>
      </c>
      <c r="M1736" s="162" t="n"/>
      <c r="N1736" s="162" t="n"/>
      <c r="O1736" s="162" t="n"/>
      <c r="P1736" s="162" t="n"/>
      <c r="Q1736" s="320" t="n"/>
      <c r="R1736" s="162" t="inlineStr">
        <is>
          <t>CONTROLE PRODUÇÃO POR EMPRESAS!B295</t>
        </is>
      </c>
    </row>
    <row r="1737" ht="28.5" customHeight="1">
      <c r="A1737" s="317" t="n">
        <v>46512</v>
      </c>
      <c r="B1737" t="inlineStr">
        <is>
          <t>GERAL</t>
        </is>
      </c>
      <c r="C1737" t="inlineStr">
        <is>
          <t>EJ</t>
        </is>
      </c>
      <c r="D1737" t="inlineStr">
        <is>
          <t>IÇAMENTO JOIST</t>
        </is>
      </c>
      <c r="F1737" s="159">
        <f>IFERROR(INDEX('BASE METAS DIÁRIAS'!$N$2:$S$358,MATCH($A1737,'BASE METAS DIÁRIAS'!$A$2:$A$358,0),MOD(ROW()-2,6)+1),"")</f>
        <v/>
      </c>
      <c r="G1737" s="159">
        <f>IFERROR(IF(WEEKDAY($A1737,2)&lt;=INDEX('BASE METAS DIÁRIAS'!$H$2:$M$358,MATCH($A1737,'BASE METAS DIÁRIAS'!$A$2:$A$358,0),MOD(ROW()-2,6)+1),INDEX('BASE METAS DIÁRIAS'!$B$2:$G$358,MATCH($A1737,'BASE METAS DIÁRIAS'!$A$2:$A$358,0),MOD(ROW()-2,6)+1),""),"")</f>
        <v/>
      </c>
      <c r="H1737" s="159">
        <f>IFERROR(IF(INDEX('CONTROLE PRODUÇÃO POR EMPRESAS'!$B$6:$G$5000,MATCH($A1737,'CONTROLE PRODUÇÃO POR EMPRESAS'!$A$6:$A$5000,0),MOD(ROW()-2,6)+1)="","",IFERROR(1*INDEX('CONTROLE PRODUÇÃO POR EMPRESAS'!$B$6:$G$5000,MATCH($A1737,'CONTROLE PRODUÇÃO POR EMPRESAS'!$A$6:$A$5000,0),MOD(ROW()-2,6)+1),"")),"")</f>
        <v/>
      </c>
      <c r="I1737" s="159">
        <f>IF(OR(NOT(ISNUMBER(G1737)),NOT(ISNUMBER(H1737))),"",H1737-G1737)</f>
        <v/>
      </c>
      <c r="J1737" s="319">
        <f>IF(OR(NOT(ISNUMBER(G1737)),NOT(ISNUMBER(H1737)),G1737=0),"",I1737/G1737)</f>
        <v/>
      </c>
      <c r="K1737" s="319">
        <f>IF(OR(NOT(ISNUMBER(G1737)),NOT(ISNUMBER(H1737)),G1737=0),"",H1737/G1737)</f>
        <v/>
      </c>
      <c r="L1737">
        <f>IF(NOT(ISNUMBER(G1737)),"SEM META",IF(G1737=0,"SEM META",IF(NOT(ISNUMBER(H1737)),"SEM APONTAMENTO",IF(H1737&gt;=G1737,"VERDE",IF(H1737&gt;=G1737*0.9,"AMARELO","VERMELHO")))))</f>
        <v/>
      </c>
      <c r="M1737" s="162" t="n"/>
      <c r="N1737" s="162" t="n"/>
      <c r="O1737" s="162" t="n"/>
      <c r="P1737" s="162" t="n"/>
      <c r="Q1737" s="320" t="n"/>
      <c r="R1737" s="162" t="inlineStr">
        <is>
          <t>CONTROLE PRODUÇÃO POR EMPRESAS!C295</t>
        </is>
      </c>
    </row>
    <row r="1738" ht="28.5" customHeight="1">
      <c r="A1738" s="317" t="n">
        <v>46512</v>
      </c>
      <c r="B1738" t="inlineStr">
        <is>
          <t>GERAL</t>
        </is>
      </c>
      <c r="C1738" t="inlineStr">
        <is>
          <t>EJ</t>
        </is>
      </c>
      <c r="D1738" t="inlineStr">
        <is>
          <t>VIGAS</t>
        </is>
      </c>
      <c r="F1738" s="159">
        <f>IFERROR(INDEX('BASE METAS DIÁRIAS'!$N$2:$S$358,MATCH($A1738,'BASE METAS DIÁRIAS'!$A$2:$A$358,0),MOD(ROW()-2,6)+1),"")</f>
        <v/>
      </c>
      <c r="G1738" s="159">
        <f>IFERROR(IF(WEEKDAY($A1738,2)&lt;=INDEX('BASE METAS DIÁRIAS'!$H$2:$M$358,MATCH($A1738,'BASE METAS DIÁRIAS'!$A$2:$A$358,0),MOD(ROW()-2,6)+1),INDEX('BASE METAS DIÁRIAS'!$B$2:$G$358,MATCH($A1738,'BASE METAS DIÁRIAS'!$A$2:$A$358,0),MOD(ROW()-2,6)+1),""),"")</f>
        <v/>
      </c>
      <c r="H1738" s="159">
        <f>IFERROR(IF(INDEX('CONTROLE PRODUÇÃO POR EMPRESAS'!$B$6:$G$5000,MATCH($A1738,'CONTROLE PRODUÇÃO POR EMPRESAS'!$A$6:$A$5000,0),MOD(ROW()-2,6)+1)="","",IFERROR(1*INDEX('CONTROLE PRODUÇÃO POR EMPRESAS'!$B$6:$G$5000,MATCH($A1738,'CONTROLE PRODUÇÃO POR EMPRESAS'!$A$6:$A$5000,0),MOD(ROW()-2,6)+1),"")),"")</f>
        <v/>
      </c>
      <c r="I1738" s="159">
        <f>IF(OR(NOT(ISNUMBER(G1738)),NOT(ISNUMBER(H1738))),"",H1738-G1738)</f>
        <v/>
      </c>
      <c r="J1738" s="319">
        <f>IF(OR(NOT(ISNUMBER(G1738)),NOT(ISNUMBER(H1738)),G1738=0),"",I1738/G1738)</f>
        <v/>
      </c>
      <c r="K1738" s="319">
        <f>IF(OR(NOT(ISNUMBER(G1738)),NOT(ISNUMBER(H1738)),G1738=0),"",H1738/G1738)</f>
        <v/>
      </c>
      <c r="L1738">
        <f>IF(NOT(ISNUMBER(G1738)),"SEM META",IF(G1738=0,"SEM META",IF(NOT(ISNUMBER(H1738)),"SEM APONTAMENTO",IF(H1738&gt;=G1738,"VERDE",IF(H1738&gt;=G1738*0.9,"AMARELO","VERMELHO")))))</f>
        <v/>
      </c>
      <c r="M1738" s="162" t="n"/>
      <c r="N1738" s="162" t="n"/>
      <c r="O1738" s="162" t="n"/>
      <c r="P1738" s="162" t="n"/>
      <c r="Q1738" s="320" t="n"/>
      <c r="R1738" s="162" t="inlineStr">
        <is>
          <t>CONTROLE PRODUÇÃO POR EMPRESAS!D295</t>
        </is>
      </c>
    </row>
    <row r="1739" ht="28.5" customHeight="1">
      <c r="A1739" s="317" t="n">
        <v>46512</v>
      </c>
      <c r="B1739" t="inlineStr">
        <is>
          <t>GERAL</t>
        </is>
      </c>
      <c r="C1739" t="inlineStr">
        <is>
          <t>CMM</t>
        </is>
      </c>
      <c r="D1739" t="inlineStr">
        <is>
          <t>PREMONTAGEM</t>
        </is>
      </c>
      <c r="F1739" s="159">
        <f>IFERROR(INDEX('BASE METAS DIÁRIAS'!$N$2:$S$358,MATCH($A1739,'BASE METAS DIÁRIAS'!$A$2:$A$358,0),MOD(ROW()-2,6)+1),"")</f>
        <v/>
      </c>
      <c r="G1739" s="159">
        <f>IFERROR(IF(WEEKDAY($A1739,2)&lt;=INDEX('BASE METAS DIÁRIAS'!$H$2:$M$358,MATCH($A1739,'BASE METAS DIÁRIAS'!$A$2:$A$358,0),MOD(ROW()-2,6)+1),INDEX('BASE METAS DIÁRIAS'!$B$2:$G$358,MATCH($A1739,'BASE METAS DIÁRIAS'!$A$2:$A$358,0),MOD(ROW()-2,6)+1),""),"")</f>
        <v/>
      </c>
      <c r="H1739" s="159">
        <f>IFERROR(IF(INDEX('CONTROLE PRODUÇÃO POR EMPRESAS'!$B$6:$G$5000,MATCH($A1739,'CONTROLE PRODUÇÃO POR EMPRESAS'!$A$6:$A$5000,0),MOD(ROW()-2,6)+1)="","",IFERROR(1*INDEX('CONTROLE PRODUÇÃO POR EMPRESAS'!$B$6:$G$5000,MATCH($A1739,'CONTROLE PRODUÇÃO POR EMPRESAS'!$A$6:$A$5000,0),MOD(ROW()-2,6)+1),"")),"")</f>
        <v/>
      </c>
      <c r="I1739" s="159">
        <f>IF(OR(NOT(ISNUMBER(G1739)),NOT(ISNUMBER(H1739))),"",H1739-G1739)</f>
        <v/>
      </c>
      <c r="J1739" s="319">
        <f>IF(OR(NOT(ISNUMBER(G1739)),NOT(ISNUMBER(H1739)),G1739=0),"",I1739/G1739)</f>
        <v/>
      </c>
      <c r="K1739" s="319">
        <f>IF(OR(NOT(ISNUMBER(G1739)),NOT(ISNUMBER(H1739)),G1739=0),"",H1739/G1739)</f>
        <v/>
      </c>
      <c r="L1739">
        <f>IF(NOT(ISNUMBER(G1739)),"SEM META",IF(G1739=0,"SEM META",IF(NOT(ISNUMBER(H1739)),"SEM APONTAMENTO",IF(H1739&gt;=G1739,"VERDE",IF(H1739&gt;=G1739*0.9,"AMARELO","VERMELHO")))))</f>
        <v/>
      </c>
      <c r="M1739" s="162" t="n"/>
      <c r="N1739" s="162" t="n"/>
      <c r="O1739" s="162" t="n"/>
      <c r="P1739" s="162" t="n"/>
      <c r="Q1739" s="320" t="n"/>
      <c r="R1739" s="162" t="inlineStr">
        <is>
          <t>CONTROLE PRODUÇÃO POR EMPRESAS!E295</t>
        </is>
      </c>
    </row>
    <row r="1740" ht="28.5" customHeight="1">
      <c r="A1740" s="317" t="n">
        <v>46512</v>
      </c>
      <c r="B1740" t="inlineStr">
        <is>
          <t>GERAL</t>
        </is>
      </c>
      <c r="C1740" t="inlineStr">
        <is>
          <t>CMM</t>
        </is>
      </c>
      <c r="D1740" t="inlineStr">
        <is>
          <t>IÇAMENTO JOIST</t>
        </is>
      </c>
      <c r="F1740" s="159">
        <f>IFERROR(INDEX('BASE METAS DIÁRIAS'!$N$2:$S$358,MATCH($A1740,'BASE METAS DIÁRIAS'!$A$2:$A$358,0),MOD(ROW()-2,6)+1),"")</f>
        <v/>
      </c>
      <c r="G1740" s="159">
        <f>IFERROR(IF(WEEKDAY($A1740,2)&lt;=INDEX('BASE METAS DIÁRIAS'!$H$2:$M$358,MATCH($A1740,'BASE METAS DIÁRIAS'!$A$2:$A$358,0),MOD(ROW()-2,6)+1),INDEX('BASE METAS DIÁRIAS'!$B$2:$G$358,MATCH($A1740,'BASE METAS DIÁRIAS'!$A$2:$A$358,0),MOD(ROW()-2,6)+1),""),"")</f>
        <v/>
      </c>
      <c r="H1740" s="159">
        <f>IFERROR(IF(INDEX('CONTROLE PRODUÇÃO POR EMPRESAS'!$B$6:$G$5000,MATCH($A1740,'CONTROLE PRODUÇÃO POR EMPRESAS'!$A$6:$A$5000,0),MOD(ROW()-2,6)+1)="","",IFERROR(1*INDEX('CONTROLE PRODUÇÃO POR EMPRESAS'!$B$6:$G$5000,MATCH($A1740,'CONTROLE PRODUÇÃO POR EMPRESAS'!$A$6:$A$5000,0),MOD(ROW()-2,6)+1),"")),"")</f>
        <v/>
      </c>
      <c r="I1740" s="159">
        <f>IF(OR(NOT(ISNUMBER(G1740)),NOT(ISNUMBER(H1740))),"",H1740-G1740)</f>
        <v/>
      </c>
      <c r="J1740" s="319">
        <f>IF(OR(NOT(ISNUMBER(G1740)),NOT(ISNUMBER(H1740)),G1740=0),"",I1740/G1740)</f>
        <v/>
      </c>
      <c r="K1740" s="319">
        <f>IF(OR(NOT(ISNUMBER(G1740)),NOT(ISNUMBER(H1740)),G1740=0),"",H1740/G1740)</f>
        <v/>
      </c>
      <c r="L1740">
        <f>IF(NOT(ISNUMBER(G1740)),"SEM META",IF(G1740=0,"SEM META",IF(NOT(ISNUMBER(H1740)),"SEM APONTAMENTO",IF(H1740&gt;=G1740,"VERDE",IF(H1740&gt;=G1740*0.9,"AMARELO","VERMELHO")))))</f>
        <v/>
      </c>
      <c r="M1740" s="162" t="n"/>
      <c r="N1740" s="162" t="n"/>
      <c r="O1740" s="162" t="n"/>
      <c r="P1740" s="162" t="n"/>
      <c r="Q1740" s="320" t="n"/>
      <c r="R1740" s="162" t="inlineStr">
        <is>
          <t>CONTROLE PRODUÇÃO POR EMPRESAS!F295</t>
        </is>
      </c>
    </row>
    <row r="1741" ht="28.5" customHeight="1">
      <c r="A1741" s="317" t="n">
        <v>46512</v>
      </c>
      <c r="B1741" t="inlineStr">
        <is>
          <t>GERAL</t>
        </is>
      </c>
      <c r="C1741" t="inlineStr">
        <is>
          <t>CMM</t>
        </is>
      </c>
      <c r="D1741" t="inlineStr">
        <is>
          <t>VIGAS</t>
        </is>
      </c>
      <c r="F1741" s="159">
        <f>IFERROR(INDEX('BASE METAS DIÁRIAS'!$N$2:$S$358,MATCH($A1741,'BASE METAS DIÁRIAS'!$A$2:$A$358,0),MOD(ROW()-2,6)+1),"")</f>
        <v/>
      </c>
      <c r="G1741" s="159">
        <f>IFERROR(IF(WEEKDAY($A1741,2)&lt;=INDEX('BASE METAS DIÁRIAS'!$H$2:$M$358,MATCH($A1741,'BASE METAS DIÁRIAS'!$A$2:$A$358,0),MOD(ROW()-2,6)+1),INDEX('BASE METAS DIÁRIAS'!$B$2:$G$358,MATCH($A1741,'BASE METAS DIÁRIAS'!$A$2:$A$358,0),MOD(ROW()-2,6)+1),""),"")</f>
        <v/>
      </c>
      <c r="H1741" s="159">
        <f>IFERROR(IF(INDEX('CONTROLE PRODUÇÃO POR EMPRESAS'!$B$6:$G$5000,MATCH($A1741,'CONTROLE PRODUÇÃO POR EMPRESAS'!$A$6:$A$5000,0),MOD(ROW()-2,6)+1)="","",IFERROR(1*INDEX('CONTROLE PRODUÇÃO POR EMPRESAS'!$B$6:$G$5000,MATCH($A1741,'CONTROLE PRODUÇÃO POR EMPRESAS'!$A$6:$A$5000,0),MOD(ROW()-2,6)+1),"")),"")</f>
        <v/>
      </c>
      <c r="I1741" s="159">
        <f>IF(OR(NOT(ISNUMBER(G1741)),NOT(ISNUMBER(H1741))),"",H1741-G1741)</f>
        <v/>
      </c>
      <c r="J1741" s="319">
        <f>IF(OR(NOT(ISNUMBER(G1741)),NOT(ISNUMBER(H1741)),G1741=0),"",I1741/G1741)</f>
        <v/>
      </c>
      <c r="K1741" s="319">
        <f>IF(OR(NOT(ISNUMBER(G1741)),NOT(ISNUMBER(H1741)),G1741=0),"",H1741/G1741)</f>
        <v/>
      </c>
      <c r="L1741">
        <f>IF(NOT(ISNUMBER(G1741)),"SEM META",IF(G1741=0,"SEM META",IF(NOT(ISNUMBER(H1741)),"SEM APONTAMENTO",IF(H1741&gt;=G1741,"VERDE",IF(H1741&gt;=G1741*0.9,"AMARELO","VERMELHO")))))</f>
        <v/>
      </c>
      <c r="M1741" s="162" t="n"/>
      <c r="N1741" s="162" t="n"/>
      <c r="O1741" s="162" t="n"/>
      <c r="P1741" s="162" t="n"/>
      <c r="Q1741" s="320" t="n"/>
      <c r="R1741" s="162" t="inlineStr">
        <is>
          <t>CONTROLE PRODUÇÃO POR EMPRESAS!G295</t>
        </is>
      </c>
    </row>
    <row r="1742" ht="28.5" customHeight="1">
      <c r="A1742" s="317" t="n">
        <v>46513</v>
      </c>
      <c r="B1742" t="inlineStr">
        <is>
          <t>GERAL</t>
        </is>
      </c>
      <c r="C1742" t="inlineStr">
        <is>
          <t>EJ</t>
        </is>
      </c>
      <c r="D1742" t="inlineStr">
        <is>
          <t>PREMONTAGEM</t>
        </is>
      </c>
      <c r="F1742" s="159">
        <f>IFERROR(INDEX('BASE METAS DIÁRIAS'!$N$2:$S$358,MATCH($A1742,'BASE METAS DIÁRIAS'!$A$2:$A$358,0),MOD(ROW()-2,6)+1),"")</f>
        <v/>
      </c>
      <c r="G1742" s="159">
        <f>IFERROR(IF(WEEKDAY($A1742,2)&lt;=INDEX('BASE METAS DIÁRIAS'!$H$2:$M$358,MATCH($A1742,'BASE METAS DIÁRIAS'!$A$2:$A$358,0),MOD(ROW()-2,6)+1),INDEX('BASE METAS DIÁRIAS'!$B$2:$G$358,MATCH($A1742,'BASE METAS DIÁRIAS'!$A$2:$A$358,0),MOD(ROW()-2,6)+1),""),"")</f>
        <v/>
      </c>
      <c r="H1742" s="159">
        <f>IFERROR(IF(INDEX('CONTROLE PRODUÇÃO POR EMPRESAS'!$B$6:$G$5000,MATCH($A1742,'CONTROLE PRODUÇÃO POR EMPRESAS'!$A$6:$A$5000,0),MOD(ROW()-2,6)+1)="","",IFERROR(1*INDEX('CONTROLE PRODUÇÃO POR EMPRESAS'!$B$6:$G$5000,MATCH($A1742,'CONTROLE PRODUÇÃO POR EMPRESAS'!$A$6:$A$5000,0),MOD(ROW()-2,6)+1),"")),"")</f>
        <v/>
      </c>
      <c r="I1742" s="159">
        <f>IF(OR(NOT(ISNUMBER(G1742)),NOT(ISNUMBER(H1742))),"",H1742-G1742)</f>
        <v/>
      </c>
      <c r="J1742" s="319">
        <f>IF(OR(NOT(ISNUMBER(G1742)),NOT(ISNUMBER(H1742)),G1742=0),"",I1742/G1742)</f>
        <v/>
      </c>
      <c r="K1742" s="319">
        <f>IF(OR(NOT(ISNUMBER(G1742)),NOT(ISNUMBER(H1742)),G1742=0),"",H1742/G1742)</f>
        <v/>
      </c>
      <c r="L1742">
        <f>IF(NOT(ISNUMBER(G1742)),"SEM META",IF(G1742=0,"SEM META",IF(NOT(ISNUMBER(H1742)),"SEM APONTAMENTO",IF(H1742&gt;=G1742,"VERDE",IF(H1742&gt;=G1742*0.9,"AMARELO","VERMELHO")))))</f>
        <v/>
      </c>
      <c r="M1742" s="162" t="n"/>
      <c r="N1742" s="162" t="n"/>
      <c r="O1742" s="162" t="n"/>
      <c r="P1742" s="162" t="n"/>
      <c r="Q1742" s="320" t="n"/>
      <c r="R1742" s="162" t="inlineStr">
        <is>
          <t>CONTROLE PRODUÇÃO POR EMPRESAS!B296</t>
        </is>
      </c>
    </row>
    <row r="1743" ht="28.5" customHeight="1">
      <c r="A1743" s="317" t="n">
        <v>46513</v>
      </c>
      <c r="B1743" t="inlineStr">
        <is>
          <t>GERAL</t>
        </is>
      </c>
      <c r="C1743" t="inlineStr">
        <is>
          <t>EJ</t>
        </is>
      </c>
      <c r="D1743" t="inlineStr">
        <is>
          <t>IÇAMENTO JOIST</t>
        </is>
      </c>
      <c r="F1743" s="159">
        <f>IFERROR(INDEX('BASE METAS DIÁRIAS'!$N$2:$S$358,MATCH($A1743,'BASE METAS DIÁRIAS'!$A$2:$A$358,0),MOD(ROW()-2,6)+1),"")</f>
        <v/>
      </c>
      <c r="G1743" s="159">
        <f>IFERROR(IF(WEEKDAY($A1743,2)&lt;=INDEX('BASE METAS DIÁRIAS'!$H$2:$M$358,MATCH($A1743,'BASE METAS DIÁRIAS'!$A$2:$A$358,0),MOD(ROW()-2,6)+1),INDEX('BASE METAS DIÁRIAS'!$B$2:$G$358,MATCH($A1743,'BASE METAS DIÁRIAS'!$A$2:$A$358,0),MOD(ROW()-2,6)+1),""),"")</f>
        <v/>
      </c>
      <c r="H1743" s="159">
        <f>IFERROR(IF(INDEX('CONTROLE PRODUÇÃO POR EMPRESAS'!$B$6:$G$5000,MATCH($A1743,'CONTROLE PRODUÇÃO POR EMPRESAS'!$A$6:$A$5000,0),MOD(ROW()-2,6)+1)="","",IFERROR(1*INDEX('CONTROLE PRODUÇÃO POR EMPRESAS'!$B$6:$G$5000,MATCH($A1743,'CONTROLE PRODUÇÃO POR EMPRESAS'!$A$6:$A$5000,0),MOD(ROW()-2,6)+1),"")),"")</f>
        <v/>
      </c>
      <c r="I1743" s="159">
        <f>IF(OR(NOT(ISNUMBER(G1743)),NOT(ISNUMBER(H1743))),"",H1743-G1743)</f>
        <v/>
      </c>
      <c r="J1743" s="319">
        <f>IF(OR(NOT(ISNUMBER(G1743)),NOT(ISNUMBER(H1743)),G1743=0),"",I1743/G1743)</f>
        <v/>
      </c>
      <c r="K1743" s="319">
        <f>IF(OR(NOT(ISNUMBER(G1743)),NOT(ISNUMBER(H1743)),G1743=0),"",H1743/G1743)</f>
        <v/>
      </c>
      <c r="L1743">
        <f>IF(NOT(ISNUMBER(G1743)),"SEM META",IF(G1743=0,"SEM META",IF(NOT(ISNUMBER(H1743)),"SEM APONTAMENTO",IF(H1743&gt;=G1743,"VERDE",IF(H1743&gt;=G1743*0.9,"AMARELO","VERMELHO")))))</f>
        <v/>
      </c>
      <c r="M1743" s="162" t="n"/>
      <c r="N1743" s="162" t="n"/>
      <c r="O1743" s="162" t="n"/>
      <c r="P1743" s="162" t="n"/>
      <c r="Q1743" s="320" t="n"/>
      <c r="R1743" s="162" t="inlineStr">
        <is>
          <t>CONTROLE PRODUÇÃO POR EMPRESAS!C296</t>
        </is>
      </c>
    </row>
    <row r="1744" ht="28.5" customHeight="1">
      <c r="A1744" s="317" t="n">
        <v>46513</v>
      </c>
      <c r="B1744" t="inlineStr">
        <is>
          <t>GERAL</t>
        </is>
      </c>
      <c r="C1744" t="inlineStr">
        <is>
          <t>EJ</t>
        </is>
      </c>
      <c r="D1744" t="inlineStr">
        <is>
          <t>VIGAS</t>
        </is>
      </c>
      <c r="F1744" s="159">
        <f>IFERROR(INDEX('BASE METAS DIÁRIAS'!$N$2:$S$358,MATCH($A1744,'BASE METAS DIÁRIAS'!$A$2:$A$358,0),MOD(ROW()-2,6)+1),"")</f>
        <v/>
      </c>
      <c r="G1744" s="159">
        <f>IFERROR(IF(WEEKDAY($A1744,2)&lt;=INDEX('BASE METAS DIÁRIAS'!$H$2:$M$358,MATCH($A1744,'BASE METAS DIÁRIAS'!$A$2:$A$358,0),MOD(ROW()-2,6)+1),INDEX('BASE METAS DIÁRIAS'!$B$2:$G$358,MATCH($A1744,'BASE METAS DIÁRIAS'!$A$2:$A$358,0),MOD(ROW()-2,6)+1),""),"")</f>
        <v/>
      </c>
      <c r="H1744" s="159">
        <f>IFERROR(IF(INDEX('CONTROLE PRODUÇÃO POR EMPRESAS'!$B$6:$G$5000,MATCH($A1744,'CONTROLE PRODUÇÃO POR EMPRESAS'!$A$6:$A$5000,0),MOD(ROW()-2,6)+1)="","",IFERROR(1*INDEX('CONTROLE PRODUÇÃO POR EMPRESAS'!$B$6:$G$5000,MATCH($A1744,'CONTROLE PRODUÇÃO POR EMPRESAS'!$A$6:$A$5000,0),MOD(ROW()-2,6)+1),"")),"")</f>
        <v/>
      </c>
      <c r="I1744" s="159">
        <f>IF(OR(NOT(ISNUMBER(G1744)),NOT(ISNUMBER(H1744))),"",H1744-G1744)</f>
        <v/>
      </c>
      <c r="J1744" s="319">
        <f>IF(OR(NOT(ISNUMBER(G1744)),NOT(ISNUMBER(H1744)),G1744=0),"",I1744/G1744)</f>
        <v/>
      </c>
      <c r="K1744" s="319">
        <f>IF(OR(NOT(ISNUMBER(G1744)),NOT(ISNUMBER(H1744)),G1744=0),"",H1744/G1744)</f>
        <v/>
      </c>
      <c r="L1744">
        <f>IF(NOT(ISNUMBER(G1744)),"SEM META",IF(G1744=0,"SEM META",IF(NOT(ISNUMBER(H1744)),"SEM APONTAMENTO",IF(H1744&gt;=G1744,"VERDE",IF(H1744&gt;=G1744*0.9,"AMARELO","VERMELHO")))))</f>
        <v/>
      </c>
      <c r="M1744" s="162" t="n"/>
      <c r="N1744" s="162" t="n"/>
      <c r="O1744" s="162" t="n"/>
      <c r="P1744" s="162" t="n"/>
      <c r="Q1744" s="320" t="n"/>
      <c r="R1744" s="162" t="inlineStr">
        <is>
          <t>CONTROLE PRODUÇÃO POR EMPRESAS!D296</t>
        </is>
      </c>
    </row>
    <row r="1745" ht="28.5" customHeight="1">
      <c r="A1745" s="317" t="n">
        <v>46513</v>
      </c>
      <c r="B1745" t="inlineStr">
        <is>
          <t>GERAL</t>
        </is>
      </c>
      <c r="C1745" t="inlineStr">
        <is>
          <t>CMM</t>
        </is>
      </c>
      <c r="D1745" t="inlineStr">
        <is>
          <t>PREMONTAGEM</t>
        </is>
      </c>
      <c r="F1745" s="159">
        <f>IFERROR(INDEX('BASE METAS DIÁRIAS'!$N$2:$S$358,MATCH($A1745,'BASE METAS DIÁRIAS'!$A$2:$A$358,0),MOD(ROW()-2,6)+1),"")</f>
        <v/>
      </c>
      <c r="G1745" s="159">
        <f>IFERROR(IF(WEEKDAY($A1745,2)&lt;=INDEX('BASE METAS DIÁRIAS'!$H$2:$M$358,MATCH($A1745,'BASE METAS DIÁRIAS'!$A$2:$A$358,0),MOD(ROW()-2,6)+1),INDEX('BASE METAS DIÁRIAS'!$B$2:$G$358,MATCH($A1745,'BASE METAS DIÁRIAS'!$A$2:$A$358,0),MOD(ROW()-2,6)+1),""),"")</f>
        <v/>
      </c>
      <c r="H1745" s="159">
        <f>IFERROR(IF(INDEX('CONTROLE PRODUÇÃO POR EMPRESAS'!$B$6:$G$5000,MATCH($A1745,'CONTROLE PRODUÇÃO POR EMPRESAS'!$A$6:$A$5000,0),MOD(ROW()-2,6)+1)="","",IFERROR(1*INDEX('CONTROLE PRODUÇÃO POR EMPRESAS'!$B$6:$G$5000,MATCH($A1745,'CONTROLE PRODUÇÃO POR EMPRESAS'!$A$6:$A$5000,0),MOD(ROW()-2,6)+1),"")),"")</f>
        <v/>
      </c>
      <c r="I1745" s="159">
        <f>IF(OR(NOT(ISNUMBER(G1745)),NOT(ISNUMBER(H1745))),"",H1745-G1745)</f>
        <v/>
      </c>
      <c r="J1745" s="319">
        <f>IF(OR(NOT(ISNUMBER(G1745)),NOT(ISNUMBER(H1745)),G1745=0),"",I1745/G1745)</f>
        <v/>
      </c>
      <c r="K1745" s="319">
        <f>IF(OR(NOT(ISNUMBER(G1745)),NOT(ISNUMBER(H1745)),G1745=0),"",H1745/G1745)</f>
        <v/>
      </c>
      <c r="L1745">
        <f>IF(NOT(ISNUMBER(G1745)),"SEM META",IF(G1745=0,"SEM META",IF(NOT(ISNUMBER(H1745)),"SEM APONTAMENTO",IF(H1745&gt;=G1745,"VERDE",IF(H1745&gt;=G1745*0.9,"AMARELO","VERMELHO")))))</f>
        <v/>
      </c>
      <c r="M1745" s="162" t="n"/>
      <c r="N1745" s="162" t="n"/>
      <c r="O1745" s="162" t="n"/>
      <c r="P1745" s="162" t="n"/>
      <c r="Q1745" s="320" t="n"/>
      <c r="R1745" s="162" t="inlineStr">
        <is>
          <t>CONTROLE PRODUÇÃO POR EMPRESAS!E296</t>
        </is>
      </c>
    </row>
    <row r="1746" ht="28.5" customHeight="1">
      <c r="A1746" s="317" t="n">
        <v>46513</v>
      </c>
      <c r="B1746" t="inlineStr">
        <is>
          <t>GERAL</t>
        </is>
      </c>
      <c r="C1746" t="inlineStr">
        <is>
          <t>CMM</t>
        </is>
      </c>
      <c r="D1746" t="inlineStr">
        <is>
          <t>IÇAMENTO JOIST</t>
        </is>
      </c>
      <c r="F1746" s="159">
        <f>IFERROR(INDEX('BASE METAS DIÁRIAS'!$N$2:$S$358,MATCH($A1746,'BASE METAS DIÁRIAS'!$A$2:$A$358,0),MOD(ROW()-2,6)+1),"")</f>
        <v/>
      </c>
      <c r="G1746" s="159">
        <f>IFERROR(IF(WEEKDAY($A1746,2)&lt;=INDEX('BASE METAS DIÁRIAS'!$H$2:$M$358,MATCH($A1746,'BASE METAS DIÁRIAS'!$A$2:$A$358,0),MOD(ROW()-2,6)+1),INDEX('BASE METAS DIÁRIAS'!$B$2:$G$358,MATCH($A1746,'BASE METAS DIÁRIAS'!$A$2:$A$358,0),MOD(ROW()-2,6)+1),""),"")</f>
        <v/>
      </c>
      <c r="H1746" s="159">
        <f>IFERROR(IF(INDEX('CONTROLE PRODUÇÃO POR EMPRESAS'!$B$6:$G$5000,MATCH($A1746,'CONTROLE PRODUÇÃO POR EMPRESAS'!$A$6:$A$5000,0),MOD(ROW()-2,6)+1)="","",IFERROR(1*INDEX('CONTROLE PRODUÇÃO POR EMPRESAS'!$B$6:$G$5000,MATCH($A1746,'CONTROLE PRODUÇÃO POR EMPRESAS'!$A$6:$A$5000,0),MOD(ROW()-2,6)+1),"")),"")</f>
        <v/>
      </c>
      <c r="I1746" s="159">
        <f>IF(OR(NOT(ISNUMBER(G1746)),NOT(ISNUMBER(H1746))),"",H1746-G1746)</f>
        <v/>
      </c>
      <c r="J1746" s="319">
        <f>IF(OR(NOT(ISNUMBER(G1746)),NOT(ISNUMBER(H1746)),G1746=0),"",I1746/G1746)</f>
        <v/>
      </c>
      <c r="K1746" s="319">
        <f>IF(OR(NOT(ISNUMBER(G1746)),NOT(ISNUMBER(H1746)),G1746=0),"",H1746/G1746)</f>
        <v/>
      </c>
      <c r="L1746">
        <f>IF(NOT(ISNUMBER(G1746)),"SEM META",IF(G1746=0,"SEM META",IF(NOT(ISNUMBER(H1746)),"SEM APONTAMENTO",IF(H1746&gt;=G1746,"VERDE",IF(H1746&gt;=G1746*0.9,"AMARELO","VERMELHO")))))</f>
        <v/>
      </c>
      <c r="M1746" s="162" t="n"/>
      <c r="N1746" s="162" t="n"/>
      <c r="O1746" s="162" t="n"/>
      <c r="P1746" s="162" t="n"/>
      <c r="Q1746" s="320" t="n"/>
      <c r="R1746" s="162" t="inlineStr">
        <is>
          <t>CONTROLE PRODUÇÃO POR EMPRESAS!F296</t>
        </is>
      </c>
    </row>
    <row r="1747" ht="28.5" customHeight="1">
      <c r="A1747" s="317" t="n">
        <v>46513</v>
      </c>
      <c r="B1747" t="inlineStr">
        <is>
          <t>GERAL</t>
        </is>
      </c>
      <c r="C1747" t="inlineStr">
        <is>
          <t>CMM</t>
        </is>
      </c>
      <c r="D1747" t="inlineStr">
        <is>
          <t>VIGAS</t>
        </is>
      </c>
      <c r="F1747" s="159">
        <f>IFERROR(INDEX('BASE METAS DIÁRIAS'!$N$2:$S$358,MATCH($A1747,'BASE METAS DIÁRIAS'!$A$2:$A$358,0),MOD(ROW()-2,6)+1),"")</f>
        <v/>
      </c>
      <c r="G1747" s="159">
        <f>IFERROR(IF(WEEKDAY($A1747,2)&lt;=INDEX('BASE METAS DIÁRIAS'!$H$2:$M$358,MATCH($A1747,'BASE METAS DIÁRIAS'!$A$2:$A$358,0),MOD(ROW()-2,6)+1),INDEX('BASE METAS DIÁRIAS'!$B$2:$G$358,MATCH($A1747,'BASE METAS DIÁRIAS'!$A$2:$A$358,0),MOD(ROW()-2,6)+1),""),"")</f>
        <v/>
      </c>
      <c r="H1747" s="159">
        <f>IFERROR(IF(INDEX('CONTROLE PRODUÇÃO POR EMPRESAS'!$B$6:$G$5000,MATCH($A1747,'CONTROLE PRODUÇÃO POR EMPRESAS'!$A$6:$A$5000,0),MOD(ROW()-2,6)+1)="","",IFERROR(1*INDEX('CONTROLE PRODUÇÃO POR EMPRESAS'!$B$6:$G$5000,MATCH($A1747,'CONTROLE PRODUÇÃO POR EMPRESAS'!$A$6:$A$5000,0),MOD(ROW()-2,6)+1),"")),"")</f>
        <v/>
      </c>
      <c r="I1747" s="159">
        <f>IF(OR(NOT(ISNUMBER(G1747)),NOT(ISNUMBER(H1747))),"",H1747-G1747)</f>
        <v/>
      </c>
      <c r="J1747" s="319">
        <f>IF(OR(NOT(ISNUMBER(G1747)),NOT(ISNUMBER(H1747)),G1747=0),"",I1747/G1747)</f>
        <v/>
      </c>
      <c r="K1747" s="319">
        <f>IF(OR(NOT(ISNUMBER(G1747)),NOT(ISNUMBER(H1747)),G1747=0),"",H1747/G1747)</f>
        <v/>
      </c>
      <c r="L1747">
        <f>IF(NOT(ISNUMBER(G1747)),"SEM META",IF(G1747=0,"SEM META",IF(NOT(ISNUMBER(H1747)),"SEM APONTAMENTO",IF(H1747&gt;=G1747,"VERDE",IF(H1747&gt;=G1747*0.9,"AMARELO","VERMELHO")))))</f>
        <v/>
      </c>
      <c r="M1747" s="162" t="n"/>
      <c r="N1747" s="162" t="n"/>
      <c r="O1747" s="162" t="n"/>
      <c r="P1747" s="162" t="n"/>
      <c r="Q1747" s="320" t="n"/>
      <c r="R1747" s="162" t="inlineStr">
        <is>
          <t>CONTROLE PRODUÇÃO POR EMPRESAS!G296</t>
        </is>
      </c>
    </row>
    <row r="1748" ht="28.5" customHeight="1">
      <c r="A1748" s="317" t="n">
        <v>46514</v>
      </c>
      <c r="B1748" t="inlineStr">
        <is>
          <t>GERAL</t>
        </is>
      </c>
      <c r="C1748" t="inlineStr">
        <is>
          <t>EJ</t>
        </is>
      </c>
      <c r="D1748" t="inlineStr">
        <is>
          <t>PREMONTAGEM</t>
        </is>
      </c>
      <c r="F1748" s="159">
        <f>IFERROR(INDEX('BASE METAS DIÁRIAS'!$N$2:$S$358,MATCH($A1748,'BASE METAS DIÁRIAS'!$A$2:$A$358,0),MOD(ROW()-2,6)+1),"")</f>
        <v/>
      </c>
      <c r="G1748" s="159">
        <f>IFERROR(IF(WEEKDAY($A1748,2)&lt;=INDEX('BASE METAS DIÁRIAS'!$H$2:$M$358,MATCH($A1748,'BASE METAS DIÁRIAS'!$A$2:$A$358,0),MOD(ROW()-2,6)+1),INDEX('BASE METAS DIÁRIAS'!$B$2:$G$358,MATCH($A1748,'BASE METAS DIÁRIAS'!$A$2:$A$358,0),MOD(ROW()-2,6)+1),""),"")</f>
        <v/>
      </c>
      <c r="H1748" s="159">
        <f>IFERROR(IF(INDEX('CONTROLE PRODUÇÃO POR EMPRESAS'!$B$6:$G$5000,MATCH($A1748,'CONTROLE PRODUÇÃO POR EMPRESAS'!$A$6:$A$5000,0),MOD(ROW()-2,6)+1)="","",IFERROR(1*INDEX('CONTROLE PRODUÇÃO POR EMPRESAS'!$B$6:$G$5000,MATCH($A1748,'CONTROLE PRODUÇÃO POR EMPRESAS'!$A$6:$A$5000,0),MOD(ROW()-2,6)+1),"")),"")</f>
        <v/>
      </c>
      <c r="I1748" s="159">
        <f>IF(OR(NOT(ISNUMBER(G1748)),NOT(ISNUMBER(H1748))),"",H1748-G1748)</f>
        <v/>
      </c>
      <c r="J1748" s="319">
        <f>IF(OR(NOT(ISNUMBER(G1748)),NOT(ISNUMBER(H1748)),G1748=0),"",I1748/G1748)</f>
        <v/>
      </c>
      <c r="K1748" s="319">
        <f>IF(OR(NOT(ISNUMBER(G1748)),NOT(ISNUMBER(H1748)),G1748=0),"",H1748/G1748)</f>
        <v/>
      </c>
      <c r="L1748">
        <f>IF(NOT(ISNUMBER(G1748)),"SEM META",IF(G1748=0,"SEM META",IF(NOT(ISNUMBER(H1748)),"SEM APONTAMENTO",IF(H1748&gt;=G1748,"VERDE",IF(H1748&gt;=G1748*0.9,"AMARELO","VERMELHO")))))</f>
        <v/>
      </c>
      <c r="M1748" s="162" t="n"/>
      <c r="N1748" s="162" t="n"/>
      <c r="O1748" s="162" t="n"/>
      <c r="P1748" s="162" t="n"/>
      <c r="Q1748" s="320" t="n"/>
      <c r="R1748" s="162" t="inlineStr">
        <is>
          <t>CONTROLE PRODUÇÃO POR EMPRESAS!B297</t>
        </is>
      </c>
    </row>
    <row r="1749" ht="28.5" customHeight="1">
      <c r="A1749" s="317" t="n">
        <v>46514</v>
      </c>
      <c r="B1749" t="inlineStr">
        <is>
          <t>GERAL</t>
        </is>
      </c>
      <c r="C1749" t="inlineStr">
        <is>
          <t>EJ</t>
        </is>
      </c>
      <c r="D1749" t="inlineStr">
        <is>
          <t>IÇAMENTO JOIST</t>
        </is>
      </c>
      <c r="F1749" s="159">
        <f>IFERROR(INDEX('BASE METAS DIÁRIAS'!$N$2:$S$358,MATCH($A1749,'BASE METAS DIÁRIAS'!$A$2:$A$358,0),MOD(ROW()-2,6)+1),"")</f>
        <v/>
      </c>
      <c r="G1749" s="159">
        <f>IFERROR(IF(WEEKDAY($A1749,2)&lt;=INDEX('BASE METAS DIÁRIAS'!$H$2:$M$358,MATCH($A1749,'BASE METAS DIÁRIAS'!$A$2:$A$358,0),MOD(ROW()-2,6)+1),INDEX('BASE METAS DIÁRIAS'!$B$2:$G$358,MATCH($A1749,'BASE METAS DIÁRIAS'!$A$2:$A$358,0),MOD(ROW()-2,6)+1),""),"")</f>
        <v/>
      </c>
      <c r="H1749" s="159">
        <f>IFERROR(IF(INDEX('CONTROLE PRODUÇÃO POR EMPRESAS'!$B$6:$G$5000,MATCH($A1749,'CONTROLE PRODUÇÃO POR EMPRESAS'!$A$6:$A$5000,0),MOD(ROW()-2,6)+1)="","",IFERROR(1*INDEX('CONTROLE PRODUÇÃO POR EMPRESAS'!$B$6:$G$5000,MATCH($A1749,'CONTROLE PRODUÇÃO POR EMPRESAS'!$A$6:$A$5000,0),MOD(ROW()-2,6)+1),"")),"")</f>
        <v/>
      </c>
      <c r="I1749" s="159">
        <f>IF(OR(NOT(ISNUMBER(G1749)),NOT(ISNUMBER(H1749))),"",H1749-G1749)</f>
        <v/>
      </c>
      <c r="J1749" s="319">
        <f>IF(OR(NOT(ISNUMBER(G1749)),NOT(ISNUMBER(H1749)),G1749=0),"",I1749/G1749)</f>
        <v/>
      </c>
      <c r="K1749" s="319">
        <f>IF(OR(NOT(ISNUMBER(G1749)),NOT(ISNUMBER(H1749)),G1749=0),"",H1749/G1749)</f>
        <v/>
      </c>
      <c r="L1749">
        <f>IF(NOT(ISNUMBER(G1749)),"SEM META",IF(G1749=0,"SEM META",IF(NOT(ISNUMBER(H1749)),"SEM APONTAMENTO",IF(H1749&gt;=G1749,"VERDE",IF(H1749&gt;=G1749*0.9,"AMARELO","VERMELHO")))))</f>
        <v/>
      </c>
      <c r="M1749" s="162" t="n"/>
      <c r="N1749" s="162" t="n"/>
      <c r="O1749" s="162" t="n"/>
      <c r="P1749" s="162" t="n"/>
      <c r="Q1749" s="320" t="n"/>
      <c r="R1749" s="162" t="inlineStr">
        <is>
          <t>CONTROLE PRODUÇÃO POR EMPRESAS!C297</t>
        </is>
      </c>
    </row>
    <row r="1750" ht="28.5" customHeight="1">
      <c r="A1750" s="317" t="n">
        <v>46514</v>
      </c>
      <c r="B1750" t="inlineStr">
        <is>
          <t>GERAL</t>
        </is>
      </c>
      <c r="C1750" t="inlineStr">
        <is>
          <t>EJ</t>
        </is>
      </c>
      <c r="D1750" t="inlineStr">
        <is>
          <t>VIGAS</t>
        </is>
      </c>
      <c r="F1750" s="159">
        <f>IFERROR(INDEX('BASE METAS DIÁRIAS'!$N$2:$S$358,MATCH($A1750,'BASE METAS DIÁRIAS'!$A$2:$A$358,0),MOD(ROW()-2,6)+1),"")</f>
        <v/>
      </c>
      <c r="G1750" s="159">
        <f>IFERROR(IF(WEEKDAY($A1750,2)&lt;=INDEX('BASE METAS DIÁRIAS'!$H$2:$M$358,MATCH($A1750,'BASE METAS DIÁRIAS'!$A$2:$A$358,0),MOD(ROW()-2,6)+1),INDEX('BASE METAS DIÁRIAS'!$B$2:$G$358,MATCH($A1750,'BASE METAS DIÁRIAS'!$A$2:$A$358,0),MOD(ROW()-2,6)+1),""),"")</f>
        <v/>
      </c>
      <c r="H1750" s="159">
        <f>IFERROR(IF(INDEX('CONTROLE PRODUÇÃO POR EMPRESAS'!$B$6:$G$5000,MATCH($A1750,'CONTROLE PRODUÇÃO POR EMPRESAS'!$A$6:$A$5000,0),MOD(ROW()-2,6)+1)="","",IFERROR(1*INDEX('CONTROLE PRODUÇÃO POR EMPRESAS'!$B$6:$G$5000,MATCH($A1750,'CONTROLE PRODUÇÃO POR EMPRESAS'!$A$6:$A$5000,0),MOD(ROW()-2,6)+1),"")),"")</f>
        <v/>
      </c>
      <c r="I1750" s="159">
        <f>IF(OR(NOT(ISNUMBER(G1750)),NOT(ISNUMBER(H1750))),"",H1750-G1750)</f>
        <v/>
      </c>
      <c r="J1750" s="319">
        <f>IF(OR(NOT(ISNUMBER(G1750)),NOT(ISNUMBER(H1750)),G1750=0),"",I1750/G1750)</f>
        <v/>
      </c>
      <c r="K1750" s="319">
        <f>IF(OR(NOT(ISNUMBER(G1750)),NOT(ISNUMBER(H1750)),G1750=0),"",H1750/G1750)</f>
        <v/>
      </c>
      <c r="L1750">
        <f>IF(NOT(ISNUMBER(G1750)),"SEM META",IF(G1750=0,"SEM META",IF(NOT(ISNUMBER(H1750)),"SEM APONTAMENTO",IF(H1750&gt;=G1750,"VERDE",IF(H1750&gt;=G1750*0.9,"AMARELO","VERMELHO")))))</f>
        <v/>
      </c>
      <c r="M1750" s="162" t="n"/>
      <c r="N1750" s="162" t="n"/>
      <c r="O1750" s="162" t="n"/>
      <c r="P1750" s="162" t="n"/>
      <c r="Q1750" s="320" t="n"/>
      <c r="R1750" s="162" t="inlineStr">
        <is>
          <t>CONTROLE PRODUÇÃO POR EMPRESAS!D297</t>
        </is>
      </c>
    </row>
    <row r="1751" ht="28.5" customHeight="1">
      <c r="A1751" s="317" t="n">
        <v>46514</v>
      </c>
      <c r="B1751" t="inlineStr">
        <is>
          <t>GERAL</t>
        </is>
      </c>
      <c r="C1751" t="inlineStr">
        <is>
          <t>CMM</t>
        </is>
      </c>
      <c r="D1751" t="inlineStr">
        <is>
          <t>PREMONTAGEM</t>
        </is>
      </c>
      <c r="F1751" s="159">
        <f>IFERROR(INDEX('BASE METAS DIÁRIAS'!$N$2:$S$358,MATCH($A1751,'BASE METAS DIÁRIAS'!$A$2:$A$358,0),MOD(ROW()-2,6)+1),"")</f>
        <v/>
      </c>
      <c r="G1751" s="159">
        <f>IFERROR(IF(WEEKDAY($A1751,2)&lt;=INDEX('BASE METAS DIÁRIAS'!$H$2:$M$358,MATCH($A1751,'BASE METAS DIÁRIAS'!$A$2:$A$358,0),MOD(ROW()-2,6)+1),INDEX('BASE METAS DIÁRIAS'!$B$2:$G$358,MATCH($A1751,'BASE METAS DIÁRIAS'!$A$2:$A$358,0),MOD(ROW()-2,6)+1),""),"")</f>
        <v/>
      </c>
      <c r="H1751" s="159">
        <f>IFERROR(IF(INDEX('CONTROLE PRODUÇÃO POR EMPRESAS'!$B$6:$G$5000,MATCH($A1751,'CONTROLE PRODUÇÃO POR EMPRESAS'!$A$6:$A$5000,0),MOD(ROW()-2,6)+1)="","",IFERROR(1*INDEX('CONTROLE PRODUÇÃO POR EMPRESAS'!$B$6:$G$5000,MATCH($A1751,'CONTROLE PRODUÇÃO POR EMPRESAS'!$A$6:$A$5000,0),MOD(ROW()-2,6)+1),"")),"")</f>
        <v/>
      </c>
      <c r="I1751" s="159">
        <f>IF(OR(NOT(ISNUMBER(G1751)),NOT(ISNUMBER(H1751))),"",H1751-G1751)</f>
        <v/>
      </c>
      <c r="J1751" s="319">
        <f>IF(OR(NOT(ISNUMBER(G1751)),NOT(ISNUMBER(H1751)),G1751=0),"",I1751/G1751)</f>
        <v/>
      </c>
      <c r="K1751" s="319">
        <f>IF(OR(NOT(ISNUMBER(G1751)),NOT(ISNUMBER(H1751)),G1751=0),"",H1751/G1751)</f>
        <v/>
      </c>
      <c r="L1751">
        <f>IF(NOT(ISNUMBER(G1751)),"SEM META",IF(G1751=0,"SEM META",IF(NOT(ISNUMBER(H1751)),"SEM APONTAMENTO",IF(H1751&gt;=G1751,"VERDE",IF(H1751&gt;=G1751*0.9,"AMARELO","VERMELHO")))))</f>
        <v/>
      </c>
      <c r="M1751" s="162" t="n"/>
      <c r="N1751" s="162" t="n"/>
      <c r="O1751" s="162" t="n"/>
      <c r="P1751" s="162" t="n"/>
      <c r="Q1751" s="320" t="n"/>
      <c r="R1751" s="162" t="inlineStr">
        <is>
          <t>CONTROLE PRODUÇÃO POR EMPRESAS!E297</t>
        </is>
      </c>
    </row>
    <row r="1752" ht="28.5" customHeight="1">
      <c r="A1752" s="317" t="n">
        <v>46514</v>
      </c>
      <c r="B1752" t="inlineStr">
        <is>
          <t>GERAL</t>
        </is>
      </c>
      <c r="C1752" t="inlineStr">
        <is>
          <t>CMM</t>
        </is>
      </c>
      <c r="D1752" t="inlineStr">
        <is>
          <t>IÇAMENTO JOIST</t>
        </is>
      </c>
      <c r="F1752" s="159">
        <f>IFERROR(INDEX('BASE METAS DIÁRIAS'!$N$2:$S$358,MATCH($A1752,'BASE METAS DIÁRIAS'!$A$2:$A$358,0),MOD(ROW()-2,6)+1),"")</f>
        <v/>
      </c>
      <c r="G1752" s="159">
        <f>IFERROR(IF(WEEKDAY($A1752,2)&lt;=INDEX('BASE METAS DIÁRIAS'!$H$2:$M$358,MATCH($A1752,'BASE METAS DIÁRIAS'!$A$2:$A$358,0),MOD(ROW()-2,6)+1),INDEX('BASE METAS DIÁRIAS'!$B$2:$G$358,MATCH($A1752,'BASE METAS DIÁRIAS'!$A$2:$A$358,0),MOD(ROW()-2,6)+1),""),"")</f>
        <v/>
      </c>
      <c r="H1752" s="159">
        <f>IFERROR(IF(INDEX('CONTROLE PRODUÇÃO POR EMPRESAS'!$B$6:$G$5000,MATCH($A1752,'CONTROLE PRODUÇÃO POR EMPRESAS'!$A$6:$A$5000,0),MOD(ROW()-2,6)+1)="","",IFERROR(1*INDEX('CONTROLE PRODUÇÃO POR EMPRESAS'!$B$6:$G$5000,MATCH($A1752,'CONTROLE PRODUÇÃO POR EMPRESAS'!$A$6:$A$5000,0),MOD(ROW()-2,6)+1),"")),"")</f>
        <v/>
      </c>
      <c r="I1752" s="159">
        <f>IF(OR(NOT(ISNUMBER(G1752)),NOT(ISNUMBER(H1752))),"",H1752-G1752)</f>
        <v/>
      </c>
      <c r="J1752" s="319">
        <f>IF(OR(NOT(ISNUMBER(G1752)),NOT(ISNUMBER(H1752)),G1752=0),"",I1752/G1752)</f>
        <v/>
      </c>
      <c r="K1752" s="319">
        <f>IF(OR(NOT(ISNUMBER(G1752)),NOT(ISNUMBER(H1752)),G1752=0),"",H1752/G1752)</f>
        <v/>
      </c>
      <c r="L1752">
        <f>IF(NOT(ISNUMBER(G1752)),"SEM META",IF(G1752=0,"SEM META",IF(NOT(ISNUMBER(H1752)),"SEM APONTAMENTO",IF(H1752&gt;=G1752,"VERDE",IF(H1752&gt;=G1752*0.9,"AMARELO","VERMELHO")))))</f>
        <v/>
      </c>
      <c r="M1752" s="162" t="n"/>
      <c r="N1752" s="162" t="n"/>
      <c r="O1752" s="162" t="n"/>
      <c r="P1752" s="162" t="n"/>
      <c r="Q1752" s="320" t="n"/>
      <c r="R1752" s="162" t="inlineStr">
        <is>
          <t>CONTROLE PRODUÇÃO POR EMPRESAS!F297</t>
        </is>
      </c>
    </row>
    <row r="1753" ht="28.5" customHeight="1">
      <c r="A1753" s="317" t="n">
        <v>46514</v>
      </c>
      <c r="B1753" t="inlineStr">
        <is>
          <t>GERAL</t>
        </is>
      </c>
      <c r="C1753" t="inlineStr">
        <is>
          <t>CMM</t>
        </is>
      </c>
      <c r="D1753" t="inlineStr">
        <is>
          <t>VIGAS</t>
        </is>
      </c>
      <c r="F1753" s="159">
        <f>IFERROR(INDEX('BASE METAS DIÁRIAS'!$N$2:$S$358,MATCH($A1753,'BASE METAS DIÁRIAS'!$A$2:$A$358,0),MOD(ROW()-2,6)+1),"")</f>
        <v/>
      </c>
      <c r="G1753" s="159">
        <f>IFERROR(IF(WEEKDAY($A1753,2)&lt;=INDEX('BASE METAS DIÁRIAS'!$H$2:$M$358,MATCH($A1753,'BASE METAS DIÁRIAS'!$A$2:$A$358,0),MOD(ROW()-2,6)+1),INDEX('BASE METAS DIÁRIAS'!$B$2:$G$358,MATCH($A1753,'BASE METAS DIÁRIAS'!$A$2:$A$358,0),MOD(ROW()-2,6)+1),""),"")</f>
        <v/>
      </c>
      <c r="H1753" s="159">
        <f>IFERROR(IF(INDEX('CONTROLE PRODUÇÃO POR EMPRESAS'!$B$6:$G$5000,MATCH($A1753,'CONTROLE PRODUÇÃO POR EMPRESAS'!$A$6:$A$5000,0),MOD(ROW()-2,6)+1)="","",IFERROR(1*INDEX('CONTROLE PRODUÇÃO POR EMPRESAS'!$B$6:$G$5000,MATCH($A1753,'CONTROLE PRODUÇÃO POR EMPRESAS'!$A$6:$A$5000,0),MOD(ROW()-2,6)+1),"")),"")</f>
        <v/>
      </c>
      <c r="I1753" s="159">
        <f>IF(OR(NOT(ISNUMBER(G1753)),NOT(ISNUMBER(H1753))),"",H1753-G1753)</f>
        <v/>
      </c>
      <c r="J1753" s="319">
        <f>IF(OR(NOT(ISNUMBER(G1753)),NOT(ISNUMBER(H1753)),G1753=0),"",I1753/G1753)</f>
        <v/>
      </c>
      <c r="K1753" s="319">
        <f>IF(OR(NOT(ISNUMBER(G1753)),NOT(ISNUMBER(H1753)),G1753=0),"",H1753/G1753)</f>
        <v/>
      </c>
      <c r="L1753">
        <f>IF(NOT(ISNUMBER(G1753)),"SEM META",IF(G1753=0,"SEM META",IF(NOT(ISNUMBER(H1753)),"SEM APONTAMENTO",IF(H1753&gt;=G1753,"VERDE",IF(H1753&gt;=G1753*0.9,"AMARELO","VERMELHO")))))</f>
        <v/>
      </c>
      <c r="M1753" s="162" t="n"/>
      <c r="N1753" s="162" t="n"/>
      <c r="O1753" s="162" t="n"/>
      <c r="P1753" s="162" t="n"/>
      <c r="Q1753" s="320" t="n"/>
      <c r="R1753" s="162" t="inlineStr">
        <is>
          <t>CONTROLE PRODUÇÃO POR EMPRESAS!G297</t>
        </is>
      </c>
    </row>
    <row r="1754" ht="28.5" customHeight="1">
      <c r="A1754" s="317" t="n">
        <v>46515</v>
      </c>
      <c r="B1754" t="inlineStr">
        <is>
          <t>GERAL</t>
        </is>
      </c>
      <c r="C1754" t="inlineStr">
        <is>
          <t>EJ</t>
        </is>
      </c>
      <c r="D1754" t="inlineStr">
        <is>
          <t>PREMONTAGEM</t>
        </is>
      </c>
      <c r="F1754" s="159">
        <f>IFERROR(INDEX('BASE METAS DIÁRIAS'!$N$2:$S$358,MATCH($A1754,'BASE METAS DIÁRIAS'!$A$2:$A$358,0),MOD(ROW()-2,6)+1),"")</f>
        <v/>
      </c>
      <c r="G1754" s="159">
        <f>IFERROR(IF(WEEKDAY($A1754,2)&lt;=INDEX('BASE METAS DIÁRIAS'!$H$2:$M$358,MATCH($A1754,'BASE METAS DIÁRIAS'!$A$2:$A$358,0),MOD(ROW()-2,6)+1),INDEX('BASE METAS DIÁRIAS'!$B$2:$G$358,MATCH($A1754,'BASE METAS DIÁRIAS'!$A$2:$A$358,0),MOD(ROW()-2,6)+1),""),"")</f>
        <v/>
      </c>
      <c r="H1754" s="159">
        <f>IFERROR(IF(INDEX('CONTROLE PRODUÇÃO POR EMPRESAS'!$B$6:$G$5000,MATCH($A1754,'CONTROLE PRODUÇÃO POR EMPRESAS'!$A$6:$A$5000,0),MOD(ROW()-2,6)+1)="","",IFERROR(1*INDEX('CONTROLE PRODUÇÃO POR EMPRESAS'!$B$6:$G$5000,MATCH($A1754,'CONTROLE PRODUÇÃO POR EMPRESAS'!$A$6:$A$5000,0),MOD(ROW()-2,6)+1),"")),"")</f>
        <v/>
      </c>
      <c r="I1754" s="159">
        <f>IF(OR(NOT(ISNUMBER(G1754)),NOT(ISNUMBER(H1754))),"",H1754-G1754)</f>
        <v/>
      </c>
      <c r="J1754" s="319">
        <f>IF(OR(NOT(ISNUMBER(G1754)),NOT(ISNUMBER(H1754)),G1754=0),"",I1754/G1754)</f>
        <v/>
      </c>
      <c r="K1754" s="319">
        <f>IF(OR(NOT(ISNUMBER(G1754)),NOT(ISNUMBER(H1754)),G1754=0),"",H1754/G1754)</f>
        <v/>
      </c>
      <c r="L1754">
        <f>IF(NOT(ISNUMBER(G1754)),"SEM META",IF(G1754=0,"SEM META",IF(NOT(ISNUMBER(H1754)),"SEM APONTAMENTO",IF(H1754&gt;=G1754,"VERDE",IF(H1754&gt;=G1754*0.9,"AMARELO","VERMELHO")))))</f>
        <v/>
      </c>
      <c r="M1754" s="162" t="n"/>
      <c r="N1754" s="162" t="n"/>
      <c r="O1754" s="162" t="n"/>
      <c r="P1754" s="162" t="n"/>
      <c r="Q1754" s="320" t="n"/>
      <c r="R1754" s="162" t="inlineStr">
        <is>
          <t>CONTROLE PRODUÇÃO POR EMPRESAS!B298</t>
        </is>
      </c>
    </row>
    <row r="1755" ht="28.5" customHeight="1">
      <c r="A1755" s="317" t="n">
        <v>46515</v>
      </c>
      <c r="B1755" t="inlineStr">
        <is>
          <t>GERAL</t>
        </is>
      </c>
      <c r="C1755" t="inlineStr">
        <is>
          <t>EJ</t>
        </is>
      </c>
      <c r="D1755" t="inlineStr">
        <is>
          <t>IÇAMENTO JOIST</t>
        </is>
      </c>
      <c r="F1755" s="159">
        <f>IFERROR(INDEX('BASE METAS DIÁRIAS'!$N$2:$S$358,MATCH($A1755,'BASE METAS DIÁRIAS'!$A$2:$A$358,0),MOD(ROW()-2,6)+1),"")</f>
        <v/>
      </c>
      <c r="G1755" s="159">
        <f>IFERROR(IF(WEEKDAY($A1755,2)&lt;=INDEX('BASE METAS DIÁRIAS'!$H$2:$M$358,MATCH($A1755,'BASE METAS DIÁRIAS'!$A$2:$A$358,0),MOD(ROW()-2,6)+1),INDEX('BASE METAS DIÁRIAS'!$B$2:$G$358,MATCH($A1755,'BASE METAS DIÁRIAS'!$A$2:$A$358,0),MOD(ROW()-2,6)+1),""),"")</f>
        <v/>
      </c>
      <c r="H1755" s="159">
        <f>IFERROR(IF(INDEX('CONTROLE PRODUÇÃO POR EMPRESAS'!$B$6:$G$5000,MATCH($A1755,'CONTROLE PRODUÇÃO POR EMPRESAS'!$A$6:$A$5000,0),MOD(ROW()-2,6)+1)="","",IFERROR(1*INDEX('CONTROLE PRODUÇÃO POR EMPRESAS'!$B$6:$G$5000,MATCH($A1755,'CONTROLE PRODUÇÃO POR EMPRESAS'!$A$6:$A$5000,0),MOD(ROW()-2,6)+1),"")),"")</f>
        <v/>
      </c>
      <c r="I1755" s="159">
        <f>IF(OR(NOT(ISNUMBER(G1755)),NOT(ISNUMBER(H1755))),"",H1755-G1755)</f>
        <v/>
      </c>
      <c r="J1755" s="319">
        <f>IF(OR(NOT(ISNUMBER(G1755)),NOT(ISNUMBER(H1755)),G1755=0),"",I1755/G1755)</f>
        <v/>
      </c>
      <c r="K1755" s="319">
        <f>IF(OR(NOT(ISNUMBER(G1755)),NOT(ISNUMBER(H1755)),G1755=0),"",H1755/G1755)</f>
        <v/>
      </c>
      <c r="L1755">
        <f>IF(NOT(ISNUMBER(G1755)),"SEM META",IF(G1755=0,"SEM META",IF(NOT(ISNUMBER(H1755)),"SEM APONTAMENTO",IF(H1755&gt;=G1755,"VERDE",IF(H1755&gt;=G1755*0.9,"AMARELO","VERMELHO")))))</f>
        <v/>
      </c>
      <c r="M1755" s="162" t="n"/>
      <c r="N1755" s="162" t="n"/>
      <c r="O1755" s="162" t="n"/>
      <c r="P1755" s="162" t="n"/>
      <c r="Q1755" s="320" t="n"/>
      <c r="R1755" s="162" t="inlineStr">
        <is>
          <t>CONTROLE PRODUÇÃO POR EMPRESAS!C298</t>
        </is>
      </c>
    </row>
    <row r="1756" ht="28.5" customHeight="1">
      <c r="A1756" s="317" t="n">
        <v>46515</v>
      </c>
      <c r="B1756" t="inlineStr">
        <is>
          <t>GERAL</t>
        </is>
      </c>
      <c r="C1756" t="inlineStr">
        <is>
          <t>EJ</t>
        </is>
      </c>
      <c r="D1756" t="inlineStr">
        <is>
          <t>VIGAS</t>
        </is>
      </c>
      <c r="F1756" s="159">
        <f>IFERROR(INDEX('BASE METAS DIÁRIAS'!$N$2:$S$358,MATCH($A1756,'BASE METAS DIÁRIAS'!$A$2:$A$358,0),MOD(ROW()-2,6)+1),"")</f>
        <v/>
      </c>
      <c r="G1756" s="159">
        <f>IFERROR(IF(WEEKDAY($A1756,2)&lt;=INDEX('BASE METAS DIÁRIAS'!$H$2:$M$358,MATCH($A1756,'BASE METAS DIÁRIAS'!$A$2:$A$358,0),MOD(ROW()-2,6)+1),INDEX('BASE METAS DIÁRIAS'!$B$2:$G$358,MATCH($A1756,'BASE METAS DIÁRIAS'!$A$2:$A$358,0),MOD(ROW()-2,6)+1),""),"")</f>
        <v/>
      </c>
      <c r="H1756" s="159">
        <f>IFERROR(IF(INDEX('CONTROLE PRODUÇÃO POR EMPRESAS'!$B$6:$G$5000,MATCH($A1756,'CONTROLE PRODUÇÃO POR EMPRESAS'!$A$6:$A$5000,0),MOD(ROW()-2,6)+1)="","",IFERROR(1*INDEX('CONTROLE PRODUÇÃO POR EMPRESAS'!$B$6:$G$5000,MATCH($A1756,'CONTROLE PRODUÇÃO POR EMPRESAS'!$A$6:$A$5000,0),MOD(ROW()-2,6)+1),"")),"")</f>
        <v/>
      </c>
      <c r="I1756" s="159">
        <f>IF(OR(NOT(ISNUMBER(G1756)),NOT(ISNUMBER(H1756))),"",H1756-G1756)</f>
        <v/>
      </c>
      <c r="J1756" s="319">
        <f>IF(OR(NOT(ISNUMBER(G1756)),NOT(ISNUMBER(H1756)),G1756=0),"",I1756/G1756)</f>
        <v/>
      </c>
      <c r="K1756" s="319">
        <f>IF(OR(NOT(ISNUMBER(G1756)),NOT(ISNUMBER(H1756)),G1756=0),"",H1756/G1756)</f>
        <v/>
      </c>
      <c r="L1756">
        <f>IF(NOT(ISNUMBER(G1756)),"SEM META",IF(G1756=0,"SEM META",IF(NOT(ISNUMBER(H1756)),"SEM APONTAMENTO",IF(H1756&gt;=G1756,"VERDE",IF(H1756&gt;=G1756*0.9,"AMARELO","VERMELHO")))))</f>
        <v/>
      </c>
      <c r="M1756" s="162" t="n"/>
      <c r="N1756" s="162" t="n"/>
      <c r="O1756" s="162" t="n"/>
      <c r="P1756" s="162" t="n"/>
      <c r="Q1756" s="320" t="n"/>
      <c r="R1756" s="162" t="inlineStr">
        <is>
          <t>CONTROLE PRODUÇÃO POR EMPRESAS!D298</t>
        </is>
      </c>
    </row>
    <row r="1757" ht="28.5" customHeight="1">
      <c r="A1757" s="317" t="n">
        <v>46515</v>
      </c>
      <c r="B1757" t="inlineStr">
        <is>
          <t>GERAL</t>
        </is>
      </c>
      <c r="C1757" t="inlineStr">
        <is>
          <t>CMM</t>
        </is>
      </c>
      <c r="D1757" t="inlineStr">
        <is>
          <t>PREMONTAGEM</t>
        </is>
      </c>
      <c r="F1757" s="159">
        <f>IFERROR(INDEX('BASE METAS DIÁRIAS'!$N$2:$S$358,MATCH($A1757,'BASE METAS DIÁRIAS'!$A$2:$A$358,0),MOD(ROW()-2,6)+1),"")</f>
        <v/>
      </c>
      <c r="G1757" s="159">
        <f>IFERROR(IF(WEEKDAY($A1757,2)&lt;=INDEX('BASE METAS DIÁRIAS'!$H$2:$M$358,MATCH($A1757,'BASE METAS DIÁRIAS'!$A$2:$A$358,0),MOD(ROW()-2,6)+1),INDEX('BASE METAS DIÁRIAS'!$B$2:$G$358,MATCH($A1757,'BASE METAS DIÁRIAS'!$A$2:$A$358,0),MOD(ROW()-2,6)+1),""),"")</f>
        <v/>
      </c>
      <c r="H1757" s="159">
        <f>IFERROR(IF(INDEX('CONTROLE PRODUÇÃO POR EMPRESAS'!$B$6:$G$5000,MATCH($A1757,'CONTROLE PRODUÇÃO POR EMPRESAS'!$A$6:$A$5000,0),MOD(ROW()-2,6)+1)="","",IFERROR(1*INDEX('CONTROLE PRODUÇÃO POR EMPRESAS'!$B$6:$G$5000,MATCH($A1757,'CONTROLE PRODUÇÃO POR EMPRESAS'!$A$6:$A$5000,0),MOD(ROW()-2,6)+1),"")),"")</f>
        <v/>
      </c>
      <c r="I1757" s="159">
        <f>IF(OR(NOT(ISNUMBER(G1757)),NOT(ISNUMBER(H1757))),"",H1757-G1757)</f>
        <v/>
      </c>
      <c r="J1757" s="319">
        <f>IF(OR(NOT(ISNUMBER(G1757)),NOT(ISNUMBER(H1757)),G1757=0),"",I1757/G1757)</f>
        <v/>
      </c>
      <c r="K1757" s="319">
        <f>IF(OR(NOT(ISNUMBER(G1757)),NOT(ISNUMBER(H1757)),G1757=0),"",H1757/G1757)</f>
        <v/>
      </c>
      <c r="L1757">
        <f>IF(NOT(ISNUMBER(G1757)),"SEM META",IF(G1757=0,"SEM META",IF(NOT(ISNUMBER(H1757)),"SEM APONTAMENTO",IF(H1757&gt;=G1757,"VERDE",IF(H1757&gt;=G1757*0.9,"AMARELO","VERMELHO")))))</f>
        <v/>
      </c>
      <c r="M1757" s="162" t="n"/>
      <c r="N1757" s="162" t="n"/>
      <c r="O1757" s="162" t="n"/>
      <c r="P1757" s="162" t="n"/>
      <c r="Q1757" s="320" t="n"/>
      <c r="R1757" s="162" t="inlineStr">
        <is>
          <t>CONTROLE PRODUÇÃO POR EMPRESAS!E298</t>
        </is>
      </c>
    </row>
    <row r="1758" ht="28.5" customHeight="1">
      <c r="A1758" s="317" t="n">
        <v>46515</v>
      </c>
      <c r="B1758" t="inlineStr">
        <is>
          <t>GERAL</t>
        </is>
      </c>
      <c r="C1758" t="inlineStr">
        <is>
          <t>CMM</t>
        </is>
      </c>
      <c r="D1758" t="inlineStr">
        <is>
          <t>IÇAMENTO JOIST</t>
        </is>
      </c>
      <c r="F1758" s="159">
        <f>IFERROR(INDEX('BASE METAS DIÁRIAS'!$N$2:$S$358,MATCH($A1758,'BASE METAS DIÁRIAS'!$A$2:$A$358,0),MOD(ROW()-2,6)+1),"")</f>
        <v/>
      </c>
      <c r="G1758" s="159">
        <f>IFERROR(IF(WEEKDAY($A1758,2)&lt;=INDEX('BASE METAS DIÁRIAS'!$H$2:$M$358,MATCH($A1758,'BASE METAS DIÁRIAS'!$A$2:$A$358,0),MOD(ROW()-2,6)+1),INDEX('BASE METAS DIÁRIAS'!$B$2:$G$358,MATCH($A1758,'BASE METAS DIÁRIAS'!$A$2:$A$358,0),MOD(ROW()-2,6)+1),""),"")</f>
        <v/>
      </c>
      <c r="H1758" s="159">
        <f>IFERROR(IF(INDEX('CONTROLE PRODUÇÃO POR EMPRESAS'!$B$6:$G$5000,MATCH($A1758,'CONTROLE PRODUÇÃO POR EMPRESAS'!$A$6:$A$5000,0),MOD(ROW()-2,6)+1)="","",IFERROR(1*INDEX('CONTROLE PRODUÇÃO POR EMPRESAS'!$B$6:$G$5000,MATCH($A1758,'CONTROLE PRODUÇÃO POR EMPRESAS'!$A$6:$A$5000,0),MOD(ROW()-2,6)+1),"")),"")</f>
        <v/>
      </c>
      <c r="I1758" s="159">
        <f>IF(OR(NOT(ISNUMBER(G1758)),NOT(ISNUMBER(H1758))),"",H1758-G1758)</f>
        <v/>
      </c>
      <c r="J1758" s="319">
        <f>IF(OR(NOT(ISNUMBER(G1758)),NOT(ISNUMBER(H1758)),G1758=0),"",I1758/G1758)</f>
        <v/>
      </c>
      <c r="K1758" s="319">
        <f>IF(OR(NOT(ISNUMBER(G1758)),NOT(ISNUMBER(H1758)),G1758=0),"",H1758/G1758)</f>
        <v/>
      </c>
      <c r="L1758">
        <f>IF(NOT(ISNUMBER(G1758)),"SEM META",IF(G1758=0,"SEM META",IF(NOT(ISNUMBER(H1758)),"SEM APONTAMENTO",IF(H1758&gt;=G1758,"VERDE",IF(H1758&gt;=G1758*0.9,"AMARELO","VERMELHO")))))</f>
        <v/>
      </c>
      <c r="M1758" s="162" t="n"/>
      <c r="N1758" s="162" t="n"/>
      <c r="O1758" s="162" t="n"/>
      <c r="P1758" s="162" t="n"/>
      <c r="Q1758" s="320" t="n"/>
      <c r="R1758" s="162" t="inlineStr">
        <is>
          <t>CONTROLE PRODUÇÃO POR EMPRESAS!F298</t>
        </is>
      </c>
    </row>
    <row r="1759" ht="28.5" customHeight="1">
      <c r="A1759" s="317" t="n">
        <v>46515</v>
      </c>
      <c r="B1759" t="inlineStr">
        <is>
          <t>GERAL</t>
        </is>
      </c>
      <c r="C1759" t="inlineStr">
        <is>
          <t>CMM</t>
        </is>
      </c>
      <c r="D1759" t="inlineStr">
        <is>
          <t>VIGAS</t>
        </is>
      </c>
      <c r="F1759" s="159">
        <f>IFERROR(INDEX('BASE METAS DIÁRIAS'!$N$2:$S$358,MATCH($A1759,'BASE METAS DIÁRIAS'!$A$2:$A$358,0),MOD(ROW()-2,6)+1),"")</f>
        <v/>
      </c>
      <c r="G1759" s="159">
        <f>IFERROR(IF(WEEKDAY($A1759,2)&lt;=INDEX('BASE METAS DIÁRIAS'!$H$2:$M$358,MATCH($A1759,'BASE METAS DIÁRIAS'!$A$2:$A$358,0),MOD(ROW()-2,6)+1),INDEX('BASE METAS DIÁRIAS'!$B$2:$G$358,MATCH($A1759,'BASE METAS DIÁRIAS'!$A$2:$A$358,0),MOD(ROW()-2,6)+1),""),"")</f>
        <v/>
      </c>
      <c r="H1759" s="159">
        <f>IFERROR(IF(INDEX('CONTROLE PRODUÇÃO POR EMPRESAS'!$B$6:$G$5000,MATCH($A1759,'CONTROLE PRODUÇÃO POR EMPRESAS'!$A$6:$A$5000,0),MOD(ROW()-2,6)+1)="","",IFERROR(1*INDEX('CONTROLE PRODUÇÃO POR EMPRESAS'!$B$6:$G$5000,MATCH($A1759,'CONTROLE PRODUÇÃO POR EMPRESAS'!$A$6:$A$5000,0),MOD(ROW()-2,6)+1),"")),"")</f>
        <v/>
      </c>
      <c r="I1759" s="159">
        <f>IF(OR(NOT(ISNUMBER(G1759)),NOT(ISNUMBER(H1759))),"",H1759-G1759)</f>
        <v/>
      </c>
      <c r="J1759" s="319">
        <f>IF(OR(NOT(ISNUMBER(G1759)),NOT(ISNUMBER(H1759)),G1759=0),"",I1759/G1759)</f>
        <v/>
      </c>
      <c r="K1759" s="319">
        <f>IF(OR(NOT(ISNUMBER(G1759)),NOT(ISNUMBER(H1759)),G1759=0),"",H1759/G1759)</f>
        <v/>
      </c>
      <c r="L1759">
        <f>IF(NOT(ISNUMBER(G1759)),"SEM META",IF(G1759=0,"SEM META",IF(NOT(ISNUMBER(H1759)),"SEM APONTAMENTO",IF(H1759&gt;=G1759,"VERDE",IF(H1759&gt;=G1759*0.9,"AMARELO","VERMELHO")))))</f>
        <v/>
      </c>
      <c r="M1759" s="162" t="n"/>
      <c r="N1759" s="162" t="n"/>
      <c r="O1759" s="162" t="n"/>
      <c r="P1759" s="162" t="n"/>
      <c r="Q1759" s="320" t="n"/>
      <c r="R1759" s="162" t="inlineStr">
        <is>
          <t>CONTROLE PRODUÇÃO POR EMPRESAS!G298</t>
        </is>
      </c>
    </row>
    <row r="1760" ht="28.5" customHeight="1">
      <c r="A1760" s="317" t="n">
        <v>46516</v>
      </c>
      <c r="B1760" t="inlineStr">
        <is>
          <t>GERAL</t>
        </is>
      </c>
      <c r="C1760" t="inlineStr">
        <is>
          <t>EJ</t>
        </is>
      </c>
      <c r="D1760" t="inlineStr">
        <is>
          <t>PREMONTAGEM</t>
        </is>
      </c>
      <c r="F1760" s="159">
        <f>IFERROR(INDEX('BASE METAS DIÁRIAS'!$N$2:$S$358,MATCH($A1760,'BASE METAS DIÁRIAS'!$A$2:$A$358,0),MOD(ROW()-2,6)+1),"")</f>
        <v/>
      </c>
      <c r="G1760" s="159">
        <f>IFERROR(IF(WEEKDAY($A1760,2)&lt;=INDEX('BASE METAS DIÁRIAS'!$H$2:$M$358,MATCH($A1760,'BASE METAS DIÁRIAS'!$A$2:$A$358,0),MOD(ROW()-2,6)+1),INDEX('BASE METAS DIÁRIAS'!$B$2:$G$358,MATCH($A1760,'BASE METAS DIÁRIAS'!$A$2:$A$358,0),MOD(ROW()-2,6)+1),""),"")</f>
        <v/>
      </c>
      <c r="H1760" s="159">
        <f>IFERROR(IF(INDEX('CONTROLE PRODUÇÃO POR EMPRESAS'!$B$6:$G$5000,MATCH($A1760,'CONTROLE PRODUÇÃO POR EMPRESAS'!$A$6:$A$5000,0),MOD(ROW()-2,6)+1)="","",IFERROR(1*INDEX('CONTROLE PRODUÇÃO POR EMPRESAS'!$B$6:$G$5000,MATCH($A1760,'CONTROLE PRODUÇÃO POR EMPRESAS'!$A$6:$A$5000,0),MOD(ROW()-2,6)+1),"")),"")</f>
        <v/>
      </c>
      <c r="I1760" s="159">
        <f>IF(OR(NOT(ISNUMBER(G1760)),NOT(ISNUMBER(H1760))),"",H1760-G1760)</f>
        <v/>
      </c>
      <c r="J1760" s="319">
        <f>IF(OR(NOT(ISNUMBER(G1760)),NOT(ISNUMBER(H1760)),G1760=0),"",I1760/G1760)</f>
        <v/>
      </c>
      <c r="K1760" s="319">
        <f>IF(OR(NOT(ISNUMBER(G1760)),NOT(ISNUMBER(H1760)),G1760=0),"",H1760/G1760)</f>
        <v/>
      </c>
      <c r="L1760">
        <f>IF(NOT(ISNUMBER(G1760)),"SEM META",IF(G1760=0,"SEM META",IF(NOT(ISNUMBER(H1760)),"SEM APONTAMENTO",IF(H1760&gt;=G1760,"VERDE",IF(H1760&gt;=G1760*0.9,"AMARELO","VERMELHO")))))</f>
        <v/>
      </c>
      <c r="M1760" s="162" t="n"/>
      <c r="N1760" s="162" t="n"/>
      <c r="O1760" s="162" t="n"/>
      <c r="P1760" s="162" t="n"/>
      <c r="Q1760" s="320" t="n"/>
      <c r="R1760" s="162" t="inlineStr">
        <is>
          <t>CONTROLE PRODUÇÃO POR EMPRESAS!B299</t>
        </is>
      </c>
    </row>
    <row r="1761" ht="28.5" customHeight="1">
      <c r="A1761" s="317" t="n">
        <v>46516</v>
      </c>
      <c r="B1761" t="inlineStr">
        <is>
          <t>GERAL</t>
        </is>
      </c>
      <c r="C1761" t="inlineStr">
        <is>
          <t>EJ</t>
        </is>
      </c>
      <c r="D1761" t="inlineStr">
        <is>
          <t>IÇAMENTO JOIST</t>
        </is>
      </c>
      <c r="F1761" s="159">
        <f>IFERROR(INDEX('BASE METAS DIÁRIAS'!$N$2:$S$358,MATCH($A1761,'BASE METAS DIÁRIAS'!$A$2:$A$358,0),MOD(ROW()-2,6)+1),"")</f>
        <v/>
      </c>
      <c r="G1761" s="159">
        <f>IFERROR(IF(WEEKDAY($A1761,2)&lt;=INDEX('BASE METAS DIÁRIAS'!$H$2:$M$358,MATCH($A1761,'BASE METAS DIÁRIAS'!$A$2:$A$358,0),MOD(ROW()-2,6)+1),INDEX('BASE METAS DIÁRIAS'!$B$2:$G$358,MATCH($A1761,'BASE METAS DIÁRIAS'!$A$2:$A$358,0),MOD(ROW()-2,6)+1),""),"")</f>
        <v/>
      </c>
      <c r="H1761" s="159">
        <f>IFERROR(IF(INDEX('CONTROLE PRODUÇÃO POR EMPRESAS'!$B$6:$G$5000,MATCH($A1761,'CONTROLE PRODUÇÃO POR EMPRESAS'!$A$6:$A$5000,0),MOD(ROW()-2,6)+1)="","",IFERROR(1*INDEX('CONTROLE PRODUÇÃO POR EMPRESAS'!$B$6:$G$5000,MATCH($A1761,'CONTROLE PRODUÇÃO POR EMPRESAS'!$A$6:$A$5000,0),MOD(ROW()-2,6)+1),"")),"")</f>
        <v/>
      </c>
      <c r="I1761" s="159">
        <f>IF(OR(NOT(ISNUMBER(G1761)),NOT(ISNUMBER(H1761))),"",H1761-G1761)</f>
        <v/>
      </c>
      <c r="J1761" s="319">
        <f>IF(OR(NOT(ISNUMBER(G1761)),NOT(ISNUMBER(H1761)),G1761=0),"",I1761/G1761)</f>
        <v/>
      </c>
      <c r="K1761" s="319">
        <f>IF(OR(NOT(ISNUMBER(G1761)),NOT(ISNUMBER(H1761)),G1761=0),"",H1761/G1761)</f>
        <v/>
      </c>
      <c r="L1761">
        <f>IF(NOT(ISNUMBER(G1761)),"SEM META",IF(G1761=0,"SEM META",IF(NOT(ISNUMBER(H1761)),"SEM APONTAMENTO",IF(H1761&gt;=G1761,"VERDE",IF(H1761&gt;=G1761*0.9,"AMARELO","VERMELHO")))))</f>
        <v/>
      </c>
      <c r="M1761" s="162" t="n"/>
      <c r="N1761" s="162" t="n"/>
      <c r="O1761" s="162" t="n"/>
      <c r="P1761" s="162" t="n"/>
      <c r="Q1761" s="320" t="n"/>
      <c r="R1761" s="162" t="inlineStr">
        <is>
          <t>CONTROLE PRODUÇÃO POR EMPRESAS!C299</t>
        </is>
      </c>
    </row>
    <row r="1762" ht="28.5" customHeight="1">
      <c r="A1762" s="317" t="n">
        <v>46516</v>
      </c>
      <c r="B1762" t="inlineStr">
        <is>
          <t>GERAL</t>
        </is>
      </c>
      <c r="C1762" t="inlineStr">
        <is>
          <t>EJ</t>
        </is>
      </c>
      <c r="D1762" t="inlineStr">
        <is>
          <t>VIGAS</t>
        </is>
      </c>
      <c r="F1762" s="159">
        <f>IFERROR(INDEX('BASE METAS DIÁRIAS'!$N$2:$S$358,MATCH($A1762,'BASE METAS DIÁRIAS'!$A$2:$A$358,0),MOD(ROW()-2,6)+1),"")</f>
        <v/>
      </c>
      <c r="G1762" s="159">
        <f>IFERROR(IF(WEEKDAY($A1762,2)&lt;=INDEX('BASE METAS DIÁRIAS'!$H$2:$M$358,MATCH($A1762,'BASE METAS DIÁRIAS'!$A$2:$A$358,0),MOD(ROW()-2,6)+1),INDEX('BASE METAS DIÁRIAS'!$B$2:$G$358,MATCH($A1762,'BASE METAS DIÁRIAS'!$A$2:$A$358,0),MOD(ROW()-2,6)+1),""),"")</f>
        <v/>
      </c>
      <c r="H1762" s="159">
        <f>IFERROR(IF(INDEX('CONTROLE PRODUÇÃO POR EMPRESAS'!$B$6:$G$5000,MATCH($A1762,'CONTROLE PRODUÇÃO POR EMPRESAS'!$A$6:$A$5000,0),MOD(ROW()-2,6)+1)="","",IFERROR(1*INDEX('CONTROLE PRODUÇÃO POR EMPRESAS'!$B$6:$G$5000,MATCH($A1762,'CONTROLE PRODUÇÃO POR EMPRESAS'!$A$6:$A$5000,0),MOD(ROW()-2,6)+1),"")),"")</f>
        <v/>
      </c>
      <c r="I1762" s="159">
        <f>IF(OR(NOT(ISNUMBER(G1762)),NOT(ISNUMBER(H1762))),"",H1762-G1762)</f>
        <v/>
      </c>
      <c r="J1762" s="319">
        <f>IF(OR(NOT(ISNUMBER(G1762)),NOT(ISNUMBER(H1762)),G1762=0),"",I1762/G1762)</f>
        <v/>
      </c>
      <c r="K1762" s="319">
        <f>IF(OR(NOT(ISNUMBER(G1762)),NOT(ISNUMBER(H1762)),G1762=0),"",H1762/G1762)</f>
        <v/>
      </c>
      <c r="L1762">
        <f>IF(NOT(ISNUMBER(G1762)),"SEM META",IF(G1762=0,"SEM META",IF(NOT(ISNUMBER(H1762)),"SEM APONTAMENTO",IF(H1762&gt;=G1762,"VERDE",IF(H1762&gt;=G1762*0.9,"AMARELO","VERMELHO")))))</f>
        <v/>
      </c>
      <c r="M1762" s="162" t="n"/>
      <c r="N1762" s="162" t="n"/>
      <c r="O1762" s="162" t="n"/>
      <c r="P1762" s="162" t="n"/>
      <c r="Q1762" s="320" t="n"/>
      <c r="R1762" s="162" t="inlineStr">
        <is>
          <t>CONTROLE PRODUÇÃO POR EMPRESAS!D299</t>
        </is>
      </c>
    </row>
    <row r="1763" ht="28.5" customHeight="1">
      <c r="A1763" s="317" t="n">
        <v>46516</v>
      </c>
      <c r="B1763" t="inlineStr">
        <is>
          <t>GERAL</t>
        </is>
      </c>
      <c r="C1763" t="inlineStr">
        <is>
          <t>CMM</t>
        </is>
      </c>
      <c r="D1763" t="inlineStr">
        <is>
          <t>PREMONTAGEM</t>
        </is>
      </c>
      <c r="F1763" s="159">
        <f>IFERROR(INDEX('BASE METAS DIÁRIAS'!$N$2:$S$358,MATCH($A1763,'BASE METAS DIÁRIAS'!$A$2:$A$358,0),MOD(ROW()-2,6)+1),"")</f>
        <v/>
      </c>
      <c r="G1763" s="159">
        <f>IFERROR(IF(WEEKDAY($A1763,2)&lt;=INDEX('BASE METAS DIÁRIAS'!$H$2:$M$358,MATCH($A1763,'BASE METAS DIÁRIAS'!$A$2:$A$358,0),MOD(ROW()-2,6)+1),INDEX('BASE METAS DIÁRIAS'!$B$2:$G$358,MATCH($A1763,'BASE METAS DIÁRIAS'!$A$2:$A$358,0),MOD(ROW()-2,6)+1),""),"")</f>
        <v/>
      </c>
      <c r="H1763" s="159">
        <f>IFERROR(IF(INDEX('CONTROLE PRODUÇÃO POR EMPRESAS'!$B$6:$G$5000,MATCH($A1763,'CONTROLE PRODUÇÃO POR EMPRESAS'!$A$6:$A$5000,0),MOD(ROW()-2,6)+1)="","",IFERROR(1*INDEX('CONTROLE PRODUÇÃO POR EMPRESAS'!$B$6:$G$5000,MATCH($A1763,'CONTROLE PRODUÇÃO POR EMPRESAS'!$A$6:$A$5000,0),MOD(ROW()-2,6)+1),"")),"")</f>
        <v/>
      </c>
      <c r="I1763" s="159">
        <f>IF(OR(NOT(ISNUMBER(G1763)),NOT(ISNUMBER(H1763))),"",H1763-G1763)</f>
        <v/>
      </c>
      <c r="J1763" s="319">
        <f>IF(OR(NOT(ISNUMBER(G1763)),NOT(ISNUMBER(H1763)),G1763=0),"",I1763/G1763)</f>
        <v/>
      </c>
      <c r="K1763" s="319">
        <f>IF(OR(NOT(ISNUMBER(G1763)),NOT(ISNUMBER(H1763)),G1763=0),"",H1763/G1763)</f>
        <v/>
      </c>
      <c r="L1763">
        <f>IF(NOT(ISNUMBER(G1763)),"SEM META",IF(G1763=0,"SEM META",IF(NOT(ISNUMBER(H1763)),"SEM APONTAMENTO",IF(H1763&gt;=G1763,"VERDE",IF(H1763&gt;=G1763*0.9,"AMARELO","VERMELHO")))))</f>
        <v/>
      </c>
      <c r="M1763" s="162" t="n"/>
      <c r="N1763" s="162" t="n"/>
      <c r="O1763" s="162" t="n"/>
      <c r="P1763" s="162" t="n"/>
      <c r="Q1763" s="320" t="n"/>
      <c r="R1763" s="162" t="inlineStr">
        <is>
          <t>CONTROLE PRODUÇÃO POR EMPRESAS!E299</t>
        </is>
      </c>
    </row>
    <row r="1764" ht="28.5" customHeight="1">
      <c r="A1764" s="317" t="n">
        <v>46516</v>
      </c>
      <c r="B1764" t="inlineStr">
        <is>
          <t>GERAL</t>
        </is>
      </c>
      <c r="C1764" t="inlineStr">
        <is>
          <t>CMM</t>
        </is>
      </c>
      <c r="D1764" t="inlineStr">
        <is>
          <t>IÇAMENTO JOIST</t>
        </is>
      </c>
      <c r="F1764" s="159">
        <f>IFERROR(INDEX('BASE METAS DIÁRIAS'!$N$2:$S$358,MATCH($A1764,'BASE METAS DIÁRIAS'!$A$2:$A$358,0),MOD(ROW()-2,6)+1),"")</f>
        <v/>
      </c>
      <c r="G1764" s="159">
        <f>IFERROR(IF(WEEKDAY($A1764,2)&lt;=INDEX('BASE METAS DIÁRIAS'!$H$2:$M$358,MATCH($A1764,'BASE METAS DIÁRIAS'!$A$2:$A$358,0),MOD(ROW()-2,6)+1),INDEX('BASE METAS DIÁRIAS'!$B$2:$G$358,MATCH($A1764,'BASE METAS DIÁRIAS'!$A$2:$A$358,0),MOD(ROW()-2,6)+1),""),"")</f>
        <v/>
      </c>
      <c r="H1764" s="159">
        <f>IFERROR(IF(INDEX('CONTROLE PRODUÇÃO POR EMPRESAS'!$B$6:$G$5000,MATCH($A1764,'CONTROLE PRODUÇÃO POR EMPRESAS'!$A$6:$A$5000,0),MOD(ROW()-2,6)+1)="","",IFERROR(1*INDEX('CONTROLE PRODUÇÃO POR EMPRESAS'!$B$6:$G$5000,MATCH($A1764,'CONTROLE PRODUÇÃO POR EMPRESAS'!$A$6:$A$5000,0),MOD(ROW()-2,6)+1),"")),"")</f>
        <v/>
      </c>
      <c r="I1764" s="159">
        <f>IF(OR(NOT(ISNUMBER(G1764)),NOT(ISNUMBER(H1764))),"",H1764-G1764)</f>
        <v/>
      </c>
      <c r="J1764" s="319">
        <f>IF(OR(NOT(ISNUMBER(G1764)),NOT(ISNUMBER(H1764)),G1764=0),"",I1764/G1764)</f>
        <v/>
      </c>
      <c r="K1764" s="319">
        <f>IF(OR(NOT(ISNUMBER(G1764)),NOT(ISNUMBER(H1764)),G1764=0),"",H1764/G1764)</f>
        <v/>
      </c>
      <c r="L1764">
        <f>IF(NOT(ISNUMBER(G1764)),"SEM META",IF(G1764=0,"SEM META",IF(NOT(ISNUMBER(H1764)),"SEM APONTAMENTO",IF(H1764&gt;=G1764,"VERDE",IF(H1764&gt;=G1764*0.9,"AMARELO","VERMELHO")))))</f>
        <v/>
      </c>
      <c r="M1764" s="162" t="n"/>
      <c r="N1764" s="162" t="n"/>
      <c r="O1764" s="162" t="n"/>
      <c r="P1764" s="162" t="n"/>
      <c r="Q1764" s="320" t="n"/>
      <c r="R1764" s="162" t="inlineStr">
        <is>
          <t>CONTROLE PRODUÇÃO POR EMPRESAS!F299</t>
        </is>
      </c>
    </row>
    <row r="1765" ht="28.5" customHeight="1">
      <c r="A1765" s="317" t="n">
        <v>46516</v>
      </c>
      <c r="B1765" t="inlineStr">
        <is>
          <t>GERAL</t>
        </is>
      </c>
      <c r="C1765" t="inlineStr">
        <is>
          <t>CMM</t>
        </is>
      </c>
      <c r="D1765" t="inlineStr">
        <is>
          <t>VIGAS</t>
        </is>
      </c>
      <c r="F1765" s="159">
        <f>IFERROR(INDEX('BASE METAS DIÁRIAS'!$N$2:$S$358,MATCH($A1765,'BASE METAS DIÁRIAS'!$A$2:$A$358,0),MOD(ROW()-2,6)+1),"")</f>
        <v/>
      </c>
      <c r="G1765" s="159">
        <f>IFERROR(IF(WEEKDAY($A1765,2)&lt;=INDEX('BASE METAS DIÁRIAS'!$H$2:$M$358,MATCH($A1765,'BASE METAS DIÁRIAS'!$A$2:$A$358,0),MOD(ROW()-2,6)+1),INDEX('BASE METAS DIÁRIAS'!$B$2:$G$358,MATCH($A1765,'BASE METAS DIÁRIAS'!$A$2:$A$358,0),MOD(ROW()-2,6)+1),""),"")</f>
        <v/>
      </c>
      <c r="H1765" s="159">
        <f>IFERROR(IF(INDEX('CONTROLE PRODUÇÃO POR EMPRESAS'!$B$6:$G$5000,MATCH($A1765,'CONTROLE PRODUÇÃO POR EMPRESAS'!$A$6:$A$5000,0),MOD(ROW()-2,6)+1)="","",IFERROR(1*INDEX('CONTROLE PRODUÇÃO POR EMPRESAS'!$B$6:$G$5000,MATCH($A1765,'CONTROLE PRODUÇÃO POR EMPRESAS'!$A$6:$A$5000,0),MOD(ROW()-2,6)+1),"")),"")</f>
        <v/>
      </c>
      <c r="I1765" s="159">
        <f>IF(OR(NOT(ISNUMBER(G1765)),NOT(ISNUMBER(H1765))),"",H1765-G1765)</f>
        <v/>
      </c>
      <c r="J1765" s="319">
        <f>IF(OR(NOT(ISNUMBER(G1765)),NOT(ISNUMBER(H1765)),G1765=0),"",I1765/G1765)</f>
        <v/>
      </c>
      <c r="K1765" s="319">
        <f>IF(OR(NOT(ISNUMBER(G1765)),NOT(ISNUMBER(H1765)),G1765=0),"",H1765/G1765)</f>
        <v/>
      </c>
      <c r="L1765">
        <f>IF(NOT(ISNUMBER(G1765)),"SEM META",IF(G1765=0,"SEM META",IF(NOT(ISNUMBER(H1765)),"SEM APONTAMENTO",IF(H1765&gt;=G1765,"VERDE",IF(H1765&gt;=G1765*0.9,"AMARELO","VERMELHO")))))</f>
        <v/>
      </c>
      <c r="M1765" s="162" t="n"/>
      <c r="N1765" s="162" t="n"/>
      <c r="O1765" s="162" t="n"/>
      <c r="P1765" s="162" t="n"/>
      <c r="Q1765" s="320" t="n"/>
      <c r="R1765" s="162" t="inlineStr">
        <is>
          <t>CONTROLE PRODUÇÃO POR EMPRESAS!G299</t>
        </is>
      </c>
    </row>
    <row r="1766" ht="28.5" customHeight="1">
      <c r="A1766" s="317" t="n">
        <v>46517</v>
      </c>
      <c r="B1766" t="inlineStr">
        <is>
          <t>GERAL</t>
        </is>
      </c>
      <c r="C1766" t="inlineStr">
        <is>
          <t>EJ</t>
        </is>
      </c>
      <c r="D1766" t="inlineStr">
        <is>
          <t>PREMONTAGEM</t>
        </is>
      </c>
      <c r="F1766" s="159">
        <f>IFERROR(INDEX('BASE METAS DIÁRIAS'!$N$2:$S$358,MATCH($A1766,'BASE METAS DIÁRIAS'!$A$2:$A$358,0),MOD(ROW()-2,6)+1),"")</f>
        <v/>
      </c>
      <c r="G1766" s="159">
        <f>IFERROR(IF(WEEKDAY($A1766,2)&lt;=INDEX('BASE METAS DIÁRIAS'!$H$2:$M$358,MATCH($A1766,'BASE METAS DIÁRIAS'!$A$2:$A$358,0),MOD(ROW()-2,6)+1),INDEX('BASE METAS DIÁRIAS'!$B$2:$G$358,MATCH($A1766,'BASE METAS DIÁRIAS'!$A$2:$A$358,0),MOD(ROW()-2,6)+1),""),"")</f>
        <v/>
      </c>
      <c r="H1766" s="159">
        <f>IFERROR(IF(INDEX('CONTROLE PRODUÇÃO POR EMPRESAS'!$B$6:$G$5000,MATCH($A1766,'CONTROLE PRODUÇÃO POR EMPRESAS'!$A$6:$A$5000,0),MOD(ROW()-2,6)+1)="","",IFERROR(1*INDEX('CONTROLE PRODUÇÃO POR EMPRESAS'!$B$6:$G$5000,MATCH($A1766,'CONTROLE PRODUÇÃO POR EMPRESAS'!$A$6:$A$5000,0),MOD(ROW()-2,6)+1),"")),"")</f>
        <v/>
      </c>
      <c r="I1766" s="159">
        <f>IF(OR(NOT(ISNUMBER(G1766)),NOT(ISNUMBER(H1766))),"",H1766-G1766)</f>
        <v/>
      </c>
      <c r="J1766" s="319">
        <f>IF(OR(NOT(ISNUMBER(G1766)),NOT(ISNUMBER(H1766)),G1766=0),"",I1766/G1766)</f>
        <v/>
      </c>
      <c r="K1766" s="319">
        <f>IF(OR(NOT(ISNUMBER(G1766)),NOT(ISNUMBER(H1766)),G1766=0),"",H1766/G1766)</f>
        <v/>
      </c>
      <c r="L1766">
        <f>IF(NOT(ISNUMBER(G1766)),"SEM META",IF(G1766=0,"SEM META",IF(NOT(ISNUMBER(H1766)),"SEM APONTAMENTO",IF(H1766&gt;=G1766,"VERDE",IF(H1766&gt;=G1766*0.9,"AMARELO","VERMELHO")))))</f>
        <v/>
      </c>
      <c r="M1766" s="162" t="n"/>
      <c r="N1766" s="162" t="n"/>
      <c r="O1766" s="162" t="n"/>
      <c r="P1766" s="162" t="n"/>
      <c r="Q1766" s="320" t="n"/>
      <c r="R1766" s="162" t="inlineStr">
        <is>
          <t>CONTROLE PRODUÇÃO POR EMPRESAS!B300</t>
        </is>
      </c>
    </row>
    <row r="1767" ht="28.5" customHeight="1">
      <c r="A1767" s="317" t="n">
        <v>46517</v>
      </c>
      <c r="B1767" t="inlineStr">
        <is>
          <t>GERAL</t>
        </is>
      </c>
      <c r="C1767" t="inlineStr">
        <is>
          <t>EJ</t>
        </is>
      </c>
      <c r="D1767" t="inlineStr">
        <is>
          <t>IÇAMENTO JOIST</t>
        </is>
      </c>
      <c r="F1767" s="159">
        <f>IFERROR(INDEX('BASE METAS DIÁRIAS'!$N$2:$S$358,MATCH($A1767,'BASE METAS DIÁRIAS'!$A$2:$A$358,0),MOD(ROW()-2,6)+1),"")</f>
        <v/>
      </c>
      <c r="G1767" s="159">
        <f>IFERROR(IF(WEEKDAY($A1767,2)&lt;=INDEX('BASE METAS DIÁRIAS'!$H$2:$M$358,MATCH($A1767,'BASE METAS DIÁRIAS'!$A$2:$A$358,0),MOD(ROW()-2,6)+1),INDEX('BASE METAS DIÁRIAS'!$B$2:$G$358,MATCH($A1767,'BASE METAS DIÁRIAS'!$A$2:$A$358,0),MOD(ROW()-2,6)+1),""),"")</f>
        <v/>
      </c>
      <c r="H1767" s="159">
        <f>IFERROR(IF(INDEX('CONTROLE PRODUÇÃO POR EMPRESAS'!$B$6:$G$5000,MATCH($A1767,'CONTROLE PRODUÇÃO POR EMPRESAS'!$A$6:$A$5000,0),MOD(ROW()-2,6)+1)="","",IFERROR(1*INDEX('CONTROLE PRODUÇÃO POR EMPRESAS'!$B$6:$G$5000,MATCH($A1767,'CONTROLE PRODUÇÃO POR EMPRESAS'!$A$6:$A$5000,0),MOD(ROW()-2,6)+1),"")),"")</f>
        <v/>
      </c>
      <c r="I1767" s="159">
        <f>IF(OR(NOT(ISNUMBER(G1767)),NOT(ISNUMBER(H1767))),"",H1767-G1767)</f>
        <v/>
      </c>
      <c r="J1767" s="319">
        <f>IF(OR(NOT(ISNUMBER(G1767)),NOT(ISNUMBER(H1767)),G1767=0),"",I1767/G1767)</f>
        <v/>
      </c>
      <c r="K1767" s="319">
        <f>IF(OR(NOT(ISNUMBER(G1767)),NOT(ISNUMBER(H1767)),G1767=0),"",H1767/G1767)</f>
        <v/>
      </c>
      <c r="L1767">
        <f>IF(NOT(ISNUMBER(G1767)),"SEM META",IF(G1767=0,"SEM META",IF(NOT(ISNUMBER(H1767)),"SEM APONTAMENTO",IF(H1767&gt;=G1767,"VERDE",IF(H1767&gt;=G1767*0.9,"AMARELO","VERMELHO")))))</f>
        <v/>
      </c>
      <c r="M1767" s="162" t="n"/>
      <c r="N1767" s="162" t="n"/>
      <c r="O1767" s="162" t="n"/>
      <c r="P1767" s="162" t="n"/>
      <c r="Q1767" s="320" t="n"/>
      <c r="R1767" s="162" t="inlineStr">
        <is>
          <t>CONTROLE PRODUÇÃO POR EMPRESAS!C300</t>
        </is>
      </c>
    </row>
    <row r="1768" ht="28.5" customHeight="1">
      <c r="A1768" s="317" t="n">
        <v>46517</v>
      </c>
      <c r="B1768" t="inlineStr">
        <is>
          <t>GERAL</t>
        </is>
      </c>
      <c r="C1768" t="inlineStr">
        <is>
          <t>EJ</t>
        </is>
      </c>
      <c r="D1768" t="inlineStr">
        <is>
          <t>VIGAS</t>
        </is>
      </c>
      <c r="F1768" s="159">
        <f>IFERROR(INDEX('BASE METAS DIÁRIAS'!$N$2:$S$358,MATCH($A1768,'BASE METAS DIÁRIAS'!$A$2:$A$358,0),MOD(ROW()-2,6)+1),"")</f>
        <v/>
      </c>
      <c r="G1768" s="159">
        <f>IFERROR(IF(WEEKDAY($A1768,2)&lt;=INDEX('BASE METAS DIÁRIAS'!$H$2:$M$358,MATCH($A1768,'BASE METAS DIÁRIAS'!$A$2:$A$358,0),MOD(ROW()-2,6)+1),INDEX('BASE METAS DIÁRIAS'!$B$2:$G$358,MATCH($A1768,'BASE METAS DIÁRIAS'!$A$2:$A$358,0),MOD(ROW()-2,6)+1),""),"")</f>
        <v/>
      </c>
      <c r="H1768" s="159">
        <f>IFERROR(IF(INDEX('CONTROLE PRODUÇÃO POR EMPRESAS'!$B$6:$G$5000,MATCH($A1768,'CONTROLE PRODUÇÃO POR EMPRESAS'!$A$6:$A$5000,0),MOD(ROW()-2,6)+1)="","",IFERROR(1*INDEX('CONTROLE PRODUÇÃO POR EMPRESAS'!$B$6:$G$5000,MATCH($A1768,'CONTROLE PRODUÇÃO POR EMPRESAS'!$A$6:$A$5000,0),MOD(ROW()-2,6)+1),"")),"")</f>
        <v/>
      </c>
      <c r="I1768" s="159">
        <f>IF(OR(NOT(ISNUMBER(G1768)),NOT(ISNUMBER(H1768))),"",H1768-G1768)</f>
        <v/>
      </c>
      <c r="J1768" s="319">
        <f>IF(OR(NOT(ISNUMBER(G1768)),NOT(ISNUMBER(H1768)),G1768=0),"",I1768/G1768)</f>
        <v/>
      </c>
      <c r="K1768" s="319">
        <f>IF(OR(NOT(ISNUMBER(G1768)),NOT(ISNUMBER(H1768)),G1768=0),"",H1768/G1768)</f>
        <v/>
      </c>
      <c r="L1768">
        <f>IF(NOT(ISNUMBER(G1768)),"SEM META",IF(G1768=0,"SEM META",IF(NOT(ISNUMBER(H1768)),"SEM APONTAMENTO",IF(H1768&gt;=G1768,"VERDE",IF(H1768&gt;=G1768*0.9,"AMARELO","VERMELHO")))))</f>
        <v/>
      </c>
      <c r="M1768" s="162" t="n"/>
      <c r="N1768" s="162" t="n"/>
      <c r="O1768" s="162" t="n"/>
      <c r="P1768" s="162" t="n"/>
      <c r="Q1768" s="320" t="n"/>
      <c r="R1768" s="162" t="inlineStr">
        <is>
          <t>CONTROLE PRODUÇÃO POR EMPRESAS!D300</t>
        </is>
      </c>
    </row>
    <row r="1769" ht="28.5" customHeight="1">
      <c r="A1769" s="317" t="n">
        <v>46517</v>
      </c>
      <c r="B1769" t="inlineStr">
        <is>
          <t>GERAL</t>
        </is>
      </c>
      <c r="C1769" t="inlineStr">
        <is>
          <t>CMM</t>
        </is>
      </c>
      <c r="D1769" t="inlineStr">
        <is>
          <t>PREMONTAGEM</t>
        </is>
      </c>
      <c r="F1769" s="159">
        <f>IFERROR(INDEX('BASE METAS DIÁRIAS'!$N$2:$S$358,MATCH($A1769,'BASE METAS DIÁRIAS'!$A$2:$A$358,0),MOD(ROW()-2,6)+1),"")</f>
        <v/>
      </c>
      <c r="G1769" s="159">
        <f>IFERROR(IF(WEEKDAY($A1769,2)&lt;=INDEX('BASE METAS DIÁRIAS'!$H$2:$M$358,MATCH($A1769,'BASE METAS DIÁRIAS'!$A$2:$A$358,0),MOD(ROW()-2,6)+1),INDEX('BASE METAS DIÁRIAS'!$B$2:$G$358,MATCH($A1769,'BASE METAS DIÁRIAS'!$A$2:$A$358,0),MOD(ROW()-2,6)+1),""),"")</f>
        <v/>
      </c>
      <c r="H1769" s="159">
        <f>IFERROR(IF(INDEX('CONTROLE PRODUÇÃO POR EMPRESAS'!$B$6:$G$5000,MATCH($A1769,'CONTROLE PRODUÇÃO POR EMPRESAS'!$A$6:$A$5000,0),MOD(ROW()-2,6)+1)="","",IFERROR(1*INDEX('CONTROLE PRODUÇÃO POR EMPRESAS'!$B$6:$G$5000,MATCH($A1769,'CONTROLE PRODUÇÃO POR EMPRESAS'!$A$6:$A$5000,0),MOD(ROW()-2,6)+1),"")),"")</f>
        <v/>
      </c>
      <c r="I1769" s="159">
        <f>IF(OR(NOT(ISNUMBER(G1769)),NOT(ISNUMBER(H1769))),"",H1769-G1769)</f>
        <v/>
      </c>
      <c r="J1769" s="319">
        <f>IF(OR(NOT(ISNUMBER(G1769)),NOT(ISNUMBER(H1769)),G1769=0),"",I1769/G1769)</f>
        <v/>
      </c>
      <c r="K1769" s="319">
        <f>IF(OR(NOT(ISNUMBER(G1769)),NOT(ISNUMBER(H1769)),G1769=0),"",H1769/G1769)</f>
        <v/>
      </c>
      <c r="L1769">
        <f>IF(NOT(ISNUMBER(G1769)),"SEM META",IF(G1769=0,"SEM META",IF(NOT(ISNUMBER(H1769)),"SEM APONTAMENTO",IF(H1769&gt;=G1769,"VERDE",IF(H1769&gt;=G1769*0.9,"AMARELO","VERMELHO")))))</f>
        <v/>
      </c>
      <c r="M1769" s="162" t="n"/>
      <c r="N1769" s="162" t="n"/>
      <c r="O1769" s="162" t="n"/>
      <c r="P1769" s="162" t="n"/>
      <c r="Q1769" s="320" t="n"/>
      <c r="R1769" s="162" t="inlineStr">
        <is>
          <t>CONTROLE PRODUÇÃO POR EMPRESAS!E300</t>
        </is>
      </c>
    </row>
    <row r="1770" ht="28.5" customHeight="1">
      <c r="A1770" s="317" t="n">
        <v>46517</v>
      </c>
      <c r="B1770" t="inlineStr">
        <is>
          <t>GERAL</t>
        </is>
      </c>
      <c r="C1770" t="inlineStr">
        <is>
          <t>CMM</t>
        </is>
      </c>
      <c r="D1770" t="inlineStr">
        <is>
          <t>IÇAMENTO JOIST</t>
        </is>
      </c>
      <c r="F1770" s="159">
        <f>IFERROR(INDEX('BASE METAS DIÁRIAS'!$N$2:$S$358,MATCH($A1770,'BASE METAS DIÁRIAS'!$A$2:$A$358,0),MOD(ROW()-2,6)+1),"")</f>
        <v/>
      </c>
      <c r="G1770" s="159">
        <f>IFERROR(IF(WEEKDAY($A1770,2)&lt;=INDEX('BASE METAS DIÁRIAS'!$H$2:$M$358,MATCH($A1770,'BASE METAS DIÁRIAS'!$A$2:$A$358,0),MOD(ROW()-2,6)+1),INDEX('BASE METAS DIÁRIAS'!$B$2:$G$358,MATCH($A1770,'BASE METAS DIÁRIAS'!$A$2:$A$358,0),MOD(ROW()-2,6)+1),""),"")</f>
        <v/>
      </c>
      <c r="H1770" s="159">
        <f>IFERROR(IF(INDEX('CONTROLE PRODUÇÃO POR EMPRESAS'!$B$6:$G$5000,MATCH($A1770,'CONTROLE PRODUÇÃO POR EMPRESAS'!$A$6:$A$5000,0),MOD(ROW()-2,6)+1)="","",IFERROR(1*INDEX('CONTROLE PRODUÇÃO POR EMPRESAS'!$B$6:$G$5000,MATCH($A1770,'CONTROLE PRODUÇÃO POR EMPRESAS'!$A$6:$A$5000,0),MOD(ROW()-2,6)+1),"")),"")</f>
        <v/>
      </c>
      <c r="I1770" s="159">
        <f>IF(OR(NOT(ISNUMBER(G1770)),NOT(ISNUMBER(H1770))),"",H1770-G1770)</f>
        <v/>
      </c>
      <c r="J1770" s="319">
        <f>IF(OR(NOT(ISNUMBER(G1770)),NOT(ISNUMBER(H1770)),G1770=0),"",I1770/G1770)</f>
        <v/>
      </c>
      <c r="K1770" s="319">
        <f>IF(OR(NOT(ISNUMBER(G1770)),NOT(ISNUMBER(H1770)),G1770=0),"",H1770/G1770)</f>
        <v/>
      </c>
      <c r="L1770">
        <f>IF(NOT(ISNUMBER(G1770)),"SEM META",IF(G1770=0,"SEM META",IF(NOT(ISNUMBER(H1770)),"SEM APONTAMENTO",IF(H1770&gt;=G1770,"VERDE",IF(H1770&gt;=G1770*0.9,"AMARELO","VERMELHO")))))</f>
        <v/>
      </c>
      <c r="M1770" s="162" t="n"/>
      <c r="N1770" s="162" t="n"/>
      <c r="O1770" s="162" t="n"/>
      <c r="P1770" s="162" t="n"/>
      <c r="Q1770" s="320" t="n"/>
      <c r="R1770" s="162" t="inlineStr">
        <is>
          <t>CONTROLE PRODUÇÃO POR EMPRESAS!F300</t>
        </is>
      </c>
    </row>
    <row r="1771" ht="28.5" customHeight="1">
      <c r="A1771" s="317" t="n">
        <v>46517</v>
      </c>
      <c r="B1771" t="inlineStr">
        <is>
          <t>GERAL</t>
        </is>
      </c>
      <c r="C1771" t="inlineStr">
        <is>
          <t>CMM</t>
        </is>
      </c>
      <c r="D1771" t="inlineStr">
        <is>
          <t>VIGAS</t>
        </is>
      </c>
      <c r="F1771" s="159">
        <f>IFERROR(INDEX('BASE METAS DIÁRIAS'!$N$2:$S$358,MATCH($A1771,'BASE METAS DIÁRIAS'!$A$2:$A$358,0),MOD(ROW()-2,6)+1),"")</f>
        <v/>
      </c>
      <c r="G1771" s="159">
        <f>IFERROR(IF(WEEKDAY($A1771,2)&lt;=INDEX('BASE METAS DIÁRIAS'!$H$2:$M$358,MATCH($A1771,'BASE METAS DIÁRIAS'!$A$2:$A$358,0),MOD(ROW()-2,6)+1),INDEX('BASE METAS DIÁRIAS'!$B$2:$G$358,MATCH($A1771,'BASE METAS DIÁRIAS'!$A$2:$A$358,0),MOD(ROW()-2,6)+1),""),"")</f>
        <v/>
      </c>
      <c r="H1771" s="159">
        <f>IFERROR(IF(INDEX('CONTROLE PRODUÇÃO POR EMPRESAS'!$B$6:$G$5000,MATCH($A1771,'CONTROLE PRODUÇÃO POR EMPRESAS'!$A$6:$A$5000,0),MOD(ROW()-2,6)+1)="","",IFERROR(1*INDEX('CONTROLE PRODUÇÃO POR EMPRESAS'!$B$6:$G$5000,MATCH($A1771,'CONTROLE PRODUÇÃO POR EMPRESAS'!$A$6:$A$5000,0),MOD(ROW()-2,6)+1),"")),"")</f>
        <v/>
      </c>
      <c r="I1771" s="159">
        <f>IF(OR(NOT(ISNUMBER(G1771)),NOT(ISNUMBER(H1771))),"",H1771-G1771)</f>
        <v/>
      </c>
      <c r="J1771" s="319">
        <f>IF(OR(NOT(ISNUMBER(G1771)),NOT(ISNUMBER(H1771)),G1771=0),"",I1771/G1771)</f>
        <v/>
      </c>
      <c r="K1771" s="319">
        <f>IF(OR(NOT(ISNUMBER(G1771)),NOT(ISNUMBER(H1771)),G1771=0),"",H1771/G1771)</f>
        <v/>
      </c>
      <c r="L1771">
        <f>IF(NOT(ISNUMBER(G1771)),"SEM META",IF(G1771=0,"SEM META",IF(NOT(ISNUMBER(H1771)),"SEM APONTAMENTO",IF(H1771&gt;=G1771,"VERDE",IF(H1771&gt;=G1771*0.9,"AMARELO","VERMELHO")))))</f>
        <v/>
      </c>
      <c r="M1771" s="162" t="n"/>
      <c r="N1771" s="162" t="n"/>
      <c r="O1771" s="162" t="n"/>
      <c r="P1771" s="162" t="n"/>
      <c r="Q1771" s="320" t="n"/>
      <c r="R1771" s="162" t="inlineStr">
        <is>
          <t>CONTROLE PRODUÇÃO POR EMPRESAS!G300</t>
        </is>
      </c>
    </row>
    <row r="1772" ht="28.5" customHeight="1">
      <c r="A1772" s="317" t="n">
        <v>46518</v>
      </c>
      <c r="B1772" t="inlineStr">
        <is>
          <t>GERAL</t>
        </is>
      </c>
      <c r="C1772" t="inlineStr">
        <is>
          <t>EJ</t>
        </is>
      </c>
      <c r="D1772" t="inlineStr">
        <is>
          <t>PREMONTAGEM</t>
        </is>
      </c>
      <c r="F1772" s="159">
        <f>IFERROR(INDEX('BASE METAS DIÁRIAS'!$N$2:$S$358,MATCH($A1772,'BASE METAS DIÁRIAS'!$A$2:$A$358,0),MOD(ROW()-2,6)+1),"")</f>
        <v/>
      </c>
      <c r="G1772" s="159">
        <f>IFERROR(IF(WEEKDAY($A1772,2)&lt;=INDEX('BASE METAS DIÁRIAS'!$H$2:$M$358,MATCH($A1772,'BASE METAS DIÁRIAS'!$A$2:$A$358,0),MOD(ROW()-2,6)+1),INDEX('BASE METAS DIÁRIAS'!$B$2:$G$358,MATCH($A1772,'BASE METAS DIÁRIAS'!$A$2:$A$358,0),MOD(ROW()-2,6)+1),""),"")</f>
        <v/>
      </c>
      <c r="H1772" s="159">
        <f>IFERROR(IF(INDEX('CONTROLE PRODUÇÃO POR EMPRESAS'!$B$6:$G$5000,MATCH($A1772,'CONTROLE PRODUÇÃO POR EMPRESAS'!$A$6:$A$5000,0),MOD(ROW()-2,6)+1)="","",IFERROR(1*INDEX('CONTROLE PRODUÇÃO POR EMPRESAS'!$B$6:$G$5000,MATCH($A1772,'CONTROLE PRODUÇÃO POR EMPRESAS'!$A$6:$A$5000,0),MOD(ROW()-2,6)+1),"")),"")</f>
        <v/>
      </c>
      <c r="I1772" s="159">
        <f>IF(OR(NOT(ISNUMBER(G1772)),NOT(ISNUMBER(H1772))),"",H1772-G1772)</f>
        <v/>
      </c>
      <c r="J1772" s="319">
        <f>IF(OR(NOT(ISNUMBER(G1772)),NOT(ISNUMBER(H1772)),G1772=0),"",I1772/G1772)</f>
        <v/>
      </c>
      <c r="K1772" s="319">
        <f>IF(OR(NOT(ISNUMBER(G1772)),NOT(ISNUMBER(H1772)),G1772=0),"",H1772/G1772)</f>
        <v/>
      </c>
      <c r="L1772">
        <f>IF(NOT(ISNUMBER(G1772)),"SEM META",IF(G1772=0,"SEM META",IF(NOT(ISNUMBER(H1772)),"SEM APONTAMENTO",IF(H1772&gt;=G1772,"VERDE",IF(H1772&gt;=G1772*0.9,"AMARELO","VERMELHO")))))</f>
        <v/>
      </c>
      <c r="M1772" s="162" t="n"/>
      <c r="N1772" s="162" t="n"/>
      <c r="O1772" s="162" t="n"/>
      <c r="P1772" s="162" t="n"/>
      <c r="Q1772" s="320" t="n"/>
      <c r="R1772" s="162" t="inlineStr">
        <is>
          <t>CONTROLE PRODUÇÃO POR EMPRESAS!B301</t>
        </is>
      </c>
    </row>
    <row r="1773" ht="28.5" customHeight="1">
      <c r="A1773" s="317" t="n">
        <v>46518</v>
      </c>
      <c r="B1773" t="inlineStr">
        <is>
          <t>GERAL</t>
        </is>
      </c>
      <c r="C1773" t="inlineStr">
        <is>
          <t>EJ</t>
        </is>
      </c>
      <c r="D1773" t="inlineStr">
        <is>
          <t>IÇAMENTO JOIST</t>
        </is>
      </c>
      <c r="F1773" s="159">
        <f>IFERROR(INDEX('BASE METAS DIÁRIAS'!$N$2:$S$358,MATCH($A1773,'BASE METAS DIÁRIAS'!$A$2:$A$358,0),MOD(ROW()-2,6)+1),"")</f>
        <v/>
      </c>
      <c r="G1773" s="159">
        <f>IFERROR(IF(WEEKDAY($A1773,2)&lt;=INDEX('BASE METAS DIÁRIAS'!$H$2:$M$358,MATCH($A1773,'BASE METAS DIÁRIAS'!$A$2:$A$358,0),MOD(ROW()-2,6)+1),INDEX('BASE METAS DIÁRIAS'!$B$2:$G$358,MATCH($A1773,'BASE METAS DIÁRIAS'!$A$2:$A$358,0),MOD(ROW()-2,6)+1),""),"")</f>
        <v/>
      </c>
      <c r="H1773" s="159">
        <f>IFERROR(IF(INDEX('CONTROLE PRODUÇÃO POR EMPRESAS'!$B$6:$G$5000,MATCH($A1773,'CONTROLE PRODUÇÃO POR EMPRESAS'!$A$6:$A$5000,0),MOD(ROW()-2,6)+1)="","",IFERROR(1*INDEX('CONTROLE PRODUÇÃO POR EMPRESAS'!$B$6:$G$5000,MATCH($A1773,'CONTROLE PRODUÇÃO POR EMPRESAS'!$A$6:$A$5000,0),MOD(ROW()-2,6)+1),"")),"")</f>
        <v/>
      </c>
      <c r="I1773" s="159">
        <f>IF(OR(NOT(ISNUMBER(G1773)),NOT(ISNUMBER(H1773))),"",H1773-G1773)</f>
        <v/>
      </c>
      <c r="J1773" s="319">
        <f>IF(OR(NOT(ISNUMBER(G1773)),NOT(ISNUMBER(H1773)),G1773=0),"",I1773/G1773)</f>
        <v/>
      </c>
      <c r="K1773" s="319">
        <f>IF(OR(NOT(ISNUMBER(G1773)),NOT(ISNUMBER(H1773)),G1773=0),"",H1773/G1773)</f>
        <v/>
      </c>
      <c r="L1773">
        <f>IF(NOT(ISNUMBER(G1773)),"SEM META",IF(G1773=0,"SEM META",IF(NOT(ISNUMBER(H1773)),"SEM APONTAMENTO",IF(H1773&gt;=G1773,"VERDE",IF(H1773&gt;=G1773*0.9,"AMARELO","VERMELHO")))))</f>
        <v/>
      </c>
      <c r="M1773" s="162" t="n"/>
      <c r="N1773" s="162" t="n"/>
      <c r="O1773" s="162" t="n"/>
      <c r="P1773" s="162" t="n"/>
      <c r="Q1773" s="320" t="n"/>
      <c r="R1773" s="162" t="inlineStr">
        <is>
          <t>CONTROLE PRODUÇÃO POR EMPRESAS!C301</t>
        </is>
      </c>
    </row>
    <row r="1774" ht="28.5" customHeight="1">
      <c r="A1774" s="317" t="n">
        <v>46518</v>
      </c>
      <c r="B1774" t="inlineStr">
        <is>
          <t>GERAL</t>
        </is>
      </c>
      <c r="C1774" t="inlineStr">
        <is>
          <t>EJ</t>
        </is>
      </c>
      <c r="D1774" t="inlineStr">
        <is>
          <t>VIGAS</t>
        </is>
      </c>
      <c r="F1774" s="159">
        <f>IFERROR(INDEX('BASE METAS DIÁRIAS'!$N$2:$S$358,MATCH($A1774,'BASE METAS DIÁRIAS'!$A$2:$A$358,0),MOD(ROW()-2,6)+1),"")</f>
        <v/>
      </c>
      <c r="G1774" s="159">
        <f>IFERROR(IF(WEEKDAY($A1774,2)&lt;=INDEX('BASE METAS DIÁRIAS'!$H$2:$M$358,MATCH($A1774,'BASE METAS DIÁRIAS'!$A$2:$A$358,0),MOD(ROW()-2,6)+1),INDEX('BASE METAS DIÁRIAS'!$B$2:$G$358,MATCH($A1774,'BASE METAS DIÁRIAS'!$A$2:$A$358,0),MOD(ROW()-2,6)+1),""),"")</f>
        <v/>
      </c>
      <c r="H1774" s="159">
        <f>IFERROR(IF(INDEX('CONTROLE PRODUÇÃO POR EMPRESAS'!$B$6:$G$5000,MATCH($A1774,'CONTROLE PRODUÇÃO POR EMPRESAS'!$A$6:$A$5000,0),MOD(ROW()-2,6)+1)="","",IFERROR(1*INDEX('CONTROLE PRODUÇÃO POR EMPRESAS'!$B$6:$G$5000,MATCH($A1774,'CONTROLE PRODUÇÃO POR EMPRESAS'!$A$6:$A$5000,0),MOD(ROW()-2,6)+1),"")),"")</f>
        <v/>
      </c>
      <c r="I1774" s="159">
        <f>IF(OR(NOT(ISNUMBER(G1774)),NOT(ISNUMBER(H1774))),"",H1774-G1774)</f>
        <v/>
      </c>
      <c r="J1774" s="319">
        <f>IF(OR(NOT(ISNUMBER(G1774)),NOT(ISNUMBER(H1774)),G1774=0),"",I1774/G1774)</f>
        <v/>
      </c>
      <c r="K1774" s="319">
        <f>IF(OR(NOT(ISNUMBER(G1774)),NOT(ISNUMBER(H1774)),G1774=0),"",H1774/G1774)</f>
        <v/>
      </c>
      <c r="L1774">
        <f>IF(NOT(ISNUMBER(G1774)),"SEM META",IF(G1774=0,"SEM META",IF(NOT(ISNUMBER(H1774)),"SEM APONTAMENTO",IF(H1774&gt;=G1774,"VERDE",IF(H1774&gt;=G1774*0.9,"AMARELO","VERMELHO")))))</f>
        <v/>
      </c>
      <c r="M1774" s="162" t="n"/>
      <c r="N1774" s="162" t="n"/>
      <c r="O1774" s="162" t="n"/>
      <c r="P1774" s="162" t="n"/>
      <c r="Q1774" s="320" t="n"/>
      <c r="R1774" s="162" t="inlineStr">
        <is>
          <t>CONTROLE PRODUÇÃO POR EMPRESAS!D301</t>
        </is>
      </c>
    </row>
    <row r="1775" ht="28.5" customHeight="1">
      <c r="A1775" s="317" t="n">
        <v>46518</v>
      </c>
      <c r="B1775" t="inlineStr">
        <is>
          <t>GERAL</t>
        </is>
      </c>
      <c r="C1775" t="inlineStr">
        <is>
          <t>CMM</t>
        </is>
      </c>
      <c r="D1775" t="inlineStr">
        <is>
          <t>PREMONTAGEM</t>
        </is>
      </c>
      <c r="F1775" s="159">
        <f>IFERROR(INDEX('BASE METAS DIÁRIAS'!$N$2:$S$358,MATCH($A1775,'BASE METAS DIÁRIAS'!$A$2:$A$358,0),MOD(ROW()-2,6)+1),"")</f>
        <v/>
      </c>
      <c r="G1775" s="159">
        <f>IFERROR(IF(WEEKDAY($A1775,2)&lt;=INDEX('BASE METAS DIÁRIAS'!$H$2:$M$358,MATCH($A1775,'BASE METAS DIÁRIAS'!$A$2:$A$358,0),MOD(ROW()-2,6)+1),INDEX('BASE METAS DIÁRIAS'!$B$2:$G$358,MATCH($A1775,'BASE METAS DIÁRIAS'!$A$2:$A$358,0),MOD(ROW()-2,6)+1),""),"")</f>
        <v/>
      </c>
      <c r="H1775" s="159">
        <f>IFERROR(IF(INDEX('CONTROLE PRODUÇÃO POR EMPRESAS'!$B$6:$G$5000,MATCH($A1775,'CONTROLE PRODUÇÃO POR EMPRESAS'!$A$6:$A$5000,0),MOD(ROW()-2,6)+1)="","",IFERROR(1*INDEX('CONTROLE PRODUÇÃO POR EMPRESAS'!$B$6:$G$5000,MATCH($A1775,'CONTROLE PRODUÇÃO POR EMPRESAS'!$A$6:$A$5000,0),MOD(ROW()-2,6)+1),"")),"")</f>
        <v/>
      </c>
      <c r="I1775" s="159">
        <f>IF(OR(NOT(ISNUMBER(G1775)),NOT(ISNUMBER(H1775))),"",H1775-G1775)</f>
        <v/>
      </c>
      <c r="J1775" s="319">
        <f>IF(OR(NOT(ISNUMBER(G1775)),NOT(ISNUMBER(H1775)),G1775=0),"",I1775/G1775)</f>
        <v/>
      </c>
      <c r="K1775" s="319">
        <f>IF(OR(NOT(ISNUMBER(G1775)),NOT(ISNUMBER(H1775)),G1775=0),"",H1775/G1775)</f>
        <v/>
      </c>
      <c r="L1775">
        <f>IF(NOT(ISNUMBER(G1775)),"SEM META",IF(G1775=0,"SEM META",IF(NOT(ISNUMBER(H1775)),"SEM APONTAMENTO",IF(H1775&gt;=G1775,"VERDE",IF(H1775&gt;=G1775*0.9,"AMARELO","VERMELHO")))))</f>
        <v/>
      </c>
      <c r="M1775" s="162" t="n"/>
      <c r="N1775" s="162" t="n"/>
      <c r="O1775" s="162" t="n"/>
      <c r="P1775" s="162" t="n"/>
      <c r="Q1775" s="320" t="n"/>
      <c r="R1775" s="162" t="inlineStr">
        <is>
          <t>CONTROLE PRODUÇÃO POR EMPRESAS!E301</t>
        </is>
      </c>
    </row>
    <row r="1776" ht="28.5" customHeight="1">
      <c r="A1776" s="317" t="n">
        <v>46518</v>
      </c>
      <c r="B1776" t="inlineStr">
        <is>
          <t>GERAL</t>
        </is>
      </c>
      <c r="C1776" t="inlineStr">
        <is>
          <t>CMM</t>
        </is>
      </c>
      <c r="D1776" t="inlineStr">
        <is>
          <t>IÇAMENTO JOIST</t>
        </is>
      </c>
      <c r="F1776" s="159">
        <f>IFERROR(INDEX('BASE METAS DIÁRIAS'!$N$2:$S$358,MATCH($A1776,'BASE METAS DIÁRIAS'!$A$2:$A$358,0),MOD(ROW()-2,6)+1),"")</f>
        <v/>
      </c>
      <c r="G1776" s="159">
        <f>IFERROR(IF(WEEKDAY($A1776,2)&lt;=INDEX('BASE METAS DIÁRIAS'!$H$2:$M$358,MATCH($A1776,'BASE METAS DIÁRIAS'!$A$2:$A$358,0),MOD(ROW()-2,6)+1),INDEX('BASE METAS DIÁRIAS'!$B$2:$G$358,MATCH($A1776,'BASE METAS DIÁRIAS'!$A$2:$A$358,0),MOD(ROW()-2,6)+1),""),"")</f>
        <v/>
      </c>
      <c r="H1776" s="159">
        <f>IFERROR(IF(INDEX('CONTROLE PRODUÇÃO POR EMPRESAS'!$B$6:$G$5000,MATCH($A1776,'CONTROLE PRODUÇÃO POR EMPRESAS'!$A$6:$A$5000,0),MOD(ROW()-2,6)+1)="","",IFERROR(1*INDEX('CONTROLE PRODUÇÃO POR EMPRESAS'!$B$6:$G$5000,MATCH($A1776,'CONTROLE PRODUÇÃO POR EMPRESAS'!$A$6:$A$5000,0),MOD(ROW()-2,6)+1),"")),"")</f>
        <v/>
      </c>
      <c r="I1776" s="159">
        <f>IF(OR(NOT(ISNUMBER(G1776)),NOT(ISNUMBER(H1776))),"",H1776-G1776)</f>
        <v/>
      </c>
      <c r="J1776" s="319">
        <f>IF(OR(NOT(ISNUMBER(G1776)),NOT(ISNUMBER(H1776)),G1776=0),"",I1776/G1776)</f>
        <v/>
      </c>
      <c r="K1776" s="319">
        <f>IF(OR(NOT(ISNUMBER(G1776)),NOT(ISNUMBER(H1776)),G1776=0),"",H1776/G1776)</f>
        <v/>
      </c>
      <c r="L1776">
        <f>IF(NOT(ISNUMBER(G1776)),"SEM META",IF(G1776=0,"SEM META",IF(NOT(ISNUMBER(H1776)),"SEM APONTAMENTO",IF(H1776&gt;=G1776,"VERDE",IF(H1776&gt;=G1776*0.9,"AMARELO","VERMELHO")))))</f>
        <v/>
      </c>
      <c r="M1776" s="162" t="n"/>
      <c r="N1776" s="162" t="n"/>
      <c r="O1776" s="162" t="n"/>
      <c r="P1776" s="162" t="n"/>
      <c r="Q1776" s="320" t="n"/>
      <c r="R1776" s="162" t="inlineStr">
        <is>
          <t>CONTROLE PRODUÇÃO POR EMPRESAS!F301</t>
        </is>
      </c>
    </row>
    <row r="1777" ht="28.5" customHeight="1">
      <c r="A1777" s="317" t="n">
        <v>46518</v>
      </c>
      <c r="B1777" t="inlineStr">
        <is>
          <t>GERAL</t>
        </is>
      </c>
      <c r="C1777" t="inlineStr">
        <is>
          <t>CMM</t>
        </is>
      </c>
      <c r="D1777" t="inlineStr">
        <is>
          <t>VIGAS</t>
        </is>
      </c>
      <c r="F1777" s="159">
        <f>IFERROR(INDEX('BASE METAS DIÁRIAS'!$N$2:$S$358,MATCH($A1777,'BASE METAS DIÁRIAS'!$A$2:$A$358,0),MOD(ROW()-2,6)+1),"")</f>
        <v/>
      </c>
      <c r="G1777" s="159">
        <f>IFERROR(IF(WEEKDAY($A1777,2)&lt;=INDEX('BASE METAS DIÁRIAS'!$H$2:$M$358,MATCH($A1777,'BASE METAS DIÁRIAS'!$A$2:$A$358,0),MOD(ROW()-2,6)+1),INDEX('BASE METAS DIÁRIAS'!$B$2:$G$358,MATCH($A1777,'BASE METAS DIÁRIAS'!$A$2:$A$358,0),MOD(ROW()-2,6)+1),""),"")</f>
        <v/>
      </c>
      <c r="H1777" s="159">
        <f>IFERROR(IF(INDEX('CONTROLE PRODUÇÃO POR EMPRESAS'!$B$6:$G$5000,MATCH($A1777,'CONTROLE PRODUÇÃO POR EMPRESAS'!$A$6:$A$5000,0),MOD(ROW()-2,6)+1)="","",IFERROR(1*INDEX('CONTROLE PRODUÇÃO POR EMPRESAS'!$B$6:$G$5000,MATCH($A1777,'CONTROLE PRODUÇÃO POR EMPRESAS'!$A$6:$A$5000,0),MOD(ROW()-2,6)+1),"")),"")</f>
        <v/>
      </c>
      <c r="I1777" s="159">
        <f>IF(OR(NOT(ISNUMBER(G1777)),NOT(ISNUMBER(H1777))),"",H1777-G1777)</f>
        <v/>
      </c>
      <c r="J1777" s="319">
        <f>IF(OR(NOT(ISNUMBER(G1777)),NOT(ISNUMBER(H1777)),G1777=0),"",I1777/G1777)</f>
        <v/>
      </c>
      <c r="K1777" s="319">
        <f>IF(OR(NOT(ISNUMBER(G1777)),NOT(ISNUMBER(H1777)),G1777=0),"",H1777/G1777)</f>
        <v/>
      </c>
      <c r="L1777">
        <f>IF(NOT(ISNUMBER(G1777)),"SEM META",IF(G1777=0,"SEM META",IF(NOT(ISNUMBER(H1777)),"SEM APONTAMENTO",IF(H1777&gt;=G1777,"VERDE",IF(H1777&gt;=G1777*0.9,"AMARELO","VERMELHO")))))</f>
        <v/>
      </c>
      <c r="M1777" s="162" t="n"/>
      <c r="N1777" s="162" t="n"/>
      <c r="O1777" s="162" t="n"/>
      <c r="P1777" s="162" t="n"/>
      <c r="Q1777" s="320" t="n"/>
      <c r="R1777" s="162" t="inlineStr">
        <is>
          <t>CONTROLE PRODUÇÃO POR EMPRESAS!G301</t>
        </is>
      </c>
    </row>
    <row r="1778" ht="28.5" customHeight="1">
      <c r="A1778" s="317" t="n">
        <v>46519</v>
      </c>
      <c r="B1778" t="inlineStr">
        <is>
          <t>GERAL</t>
        </is>
      </c>
      <c r="C1778" t="inlineStr">
        <is>
          <t>EJ</t>
        </is>
      </c>
      <c r="D1778" t="inlineStr">
        <is>
          <t>PREMONTAGEM</t>
        </is>
      </c>
      <c r="F1778" s="159">
        <f>IFERROR(INDEX('BASE METAS DIÁRIAS'!$N$2:$S$358,MATCH($A1778,'BASE METAS DIÁRIAS'!$A$2:$A$358,0),MOD(ROW()-2,6)+1),"")</f>
        <v/>
      </c>
      <c r="G1778" s="159">
        <f>IFERROR(IF(WEEKDAY($A1778,2)&lt;=INDEX('BASE METAS DIÁRIAS'!$H$2:$M$358,MATCH($A1778,'BASE METAS DIÁRIAS'!$A$2:$A$358,0),MOD(ROW()-2,6)+1),INDEX('BASE METAS DIÁRIAS'!$B$2:$G$358,MATCH($A1778,'BASE METAS DIÁRIAS'!$A$2:$A$358,0),MOD(ROW()-2,6)+1),""),"")</f>
        <v/>
      </c>
      <c r="H1778" s="159">
        <f>IFERROR(IF(INDEX('CONTROLE PRODUÇÃO POR EMPRESAS'!$B$6:$G$5000,MATCH($A1778,'CONTROLE PRODUÇÃO POR EMPRESAS'!$A$6:$A$5000,0),MOD(ROW()-2,6)+1)="","",IFERROR(1*INDEX('CONTROLE PRODUÇÃO POR EMPRESAS'!$B$6:$G$5000,MATCH($A1778,'CONTROLE PRODUÇÃO POR EMPRESAS'!$A$6:$A$5000,0),MOD(ROW()-2,6)+1),"")),"")</f>
        <v/>
      </c>
      <c r="I1778" s="159">
        <f>IF(OR(NOT(ISNUMBER(G1778)),NOT(ISNUMBER(H1778))),"",H1778-G1778)</f>
        <v/>
      </c>
      <c r="J1778" s="319">
        <f>IF(OR(NOT(ISNUMBER(G1778)),NOT(ISNUMBER(H1778)),G1778=0),"",I1778/G1778)</f>
        <v/>
      </c>
      <c r="K1778" s="319">
        <f>IF(OR(NOT(ISNUMBER(G1778)),NOT(ISNUMBER(H1778)),G1778=0),"",H1778/G1778)</f>
        <v/>
      </c>
      <c r="L1778">
        <f>IF(NOT(ISNUMBER(G1778)),"SEM META",IF(G1778=0,"SEM META",IF(NOT(ISNUMBER(H1778)),"SEM APONTAMENTO",IF(H1778&gt;=G1778,"VERDE",IF(H1778&gt;=G1778*0.9,"AMARELO","VERMELHO")))))</f>
        <v/>
      </c>
      <c r="M1778" s="162" t="n"/>
      <c r="N1778" s="162" t="n"/>
      <c r="O1778" s="162" t="n"/>
      <c r="P1778" s="162" t="n"/>
      <c r="Q1778" s="320" t="n"/>
      <c r="R1778" s="162" t="inlineStr">
        <is>
          <t>CONTROLE PRODUÇÃO POR EMPRESAS!B302</t>
        </is>
      </c>
    </row>
    <row r="1779" ht="28.5" customHeight="1">
      <c r="A1779" s="317" t="n">
        <v>46519</v>
      </c>
      <c r="B1779" t="inlineStr">
        <is>
          <t>GERAL</t>
        </is>
      </c>
      <c r="C1779" t="inlineStr">
        <is>
          <t>EJ</t>
        </is>
      </c>
      <c r="D1779" t="inlineStr">
        <is>
          <t>IÇAMENTO JOIST</t>
        </is>
      </c>
      <c r="F1779" s="159">
        <f>IFERROR(INDEX('BASE METAS DIÁRIAS'!$N$2:$S$358,MATCH($A1779,'BASE METAS DIÁRIAS'!$A$2:$A$358,0),MOD(ROW()-2,6)+1),"")</f>
        <v/>
      </c>
      <c r="G1779" s="159">
        <f>IFERROR(IF(WEEKDAY($A1779,2)&lt;=INDEX('BASE METAS DIÁRIAS'!$H$2:$M$358,MATCH($A1779,'BASE METAS DIÁRIAS'!$A$2:$A$358,0),MOD(ROW()-2,6)+1),INDEX('BASE METAS DIÁRIAS'!$B$2:$G$358,MATCH($A1779,'BASE METAS DIÁRIAS'!$A$2:$A$358,0),MOD(ROW()-2,6)+1),""),"")</f>
        <v/>
      </c>
      <c r="H1779" s="159">
        <f>IFERROR(IF(INDEX('CONTROLE PRODUÇÃO POR EMPRESAS'!$B$6:$G$5000,MATCH($A1779,'CONTROLE PRODUÇÃO POR EMPRESAS'!$A$6:$A$5000,0),MOD(ROW()-2,6)+1)="","",IFERROR(1*INDEX('CONTROLE PRODUÇÃO POR EMPRESAS'!$B$6:$G$5000,MATCH($A1779,'CONTROLE PRODUÇÃO POR EMPRESAS'!$A$6:$A$5000,0),MOD(ROW()-2,6)+1),"")),"")</f>
        <v/>
      </c>
      <c r="I1779" s="159">
        <f>IF(OR(NOT(ISNUMBER(G1779)),NOT(ISNUMBER(H1779))),"",H1779-G1779)</f>
        <v/>
      </c>
      <c r="J1779" s="319">
        <f>IF(OR(NOT(ISNUMBER(G1779)),NOT(ISNUMBER(H1779)),G1779=0),"",I1779/G1779)</f>
        <v/>
      </c>
      <c r="K1779" s="319">
        <f>IF(OR(NOT(ISNUMBER(G1779)),NOT(ISNUMBER(H1779)),G1779=0),"",H1779/G1779)</f>
        <v/>
      </c>
      <c r="L1779">
        <f>IF(NOT(ISNUMBER(G1779)),"SEM META",IF(G1779=0,"SEM META",IF(NOT(ISNUMBER(H1779)),"SEM APONTAMENTO",IF(H1779&gt;=G1779,"VERDE",IF(H1779&gt;=G1779*0.9,"AMARELO","VERMELHO")))))</f>
        <v/>
      </c>
      <c r="M1779" s="162" t="n"/>
      <c r="N1779" s="162" t="n"/>
      <c r="O1779" s="162" t="n"/>
      <c r="P1779" s="162" t="n"/>
      <c r="Q1779" s="320" t="n"/>
      <c r="R1779" s="162" t="inlineStr">
        <is>
          <t>CONTROLE PRODUÇÃO POR EMPRESAS!C302</t>
        </is>
      </c>
    </row>
    <row r="1780" ht="28.5" customHeight="1">
      <c r="A1780" s="317" t="n">
        <v>46519</v>
      </c>
      <c r="B1780" t="inlineStr">
        <is>
          <t>GERAL</t>
        </is>
      </c>
      <c r="C1780" t="inlineStr">
        <is>
          <t>EJ</t>
        </is>
      </c>
      <c r="D1780" t="inlineStr">
        <is>
          <t>VIGAS</t>
        </is>
      </c>
      <c r="F1780" s="159">
        <f>IFERROR(INDEX('BASE METAS DIÁRIAS'!$N$2:$S$358,MATCH($A1780,'BASE METAS DIÁRIAS'!$A$2:$A$358,0),MOD(ROW()-2,6)+1),"")</f>
        <v/>
      </c>
      <c r="G1780" s="159">
        <f>IFERROR(IF(WEEKDAY($A1780,2)&lt;=INDEX('BASE METAS DIÁRIAS'!$H$2:$M$358,MATCH($A1780,'BASE METAS DIÁRIAS'!$A$2:$A$358,0),MOD(ROW()-2,6)+1),INDEX('BASE METAS DIÁRIAS'!$B$2:$G$358,MATCH($A1780,'BASE METAS DIÁRIAS'!$A$2:$A$358,0),MOD(ROW()-2,6)+1),""),"")</f>
        <v/>
      </c>
      <c r="H1780" s="159">
        <f>IFERROR(IF(INDEX('CONTROLE PRODUÇÃO POR EMPRESAS'!$B$6:$G$5000,MATCH($A1780,'CONTROLE PRODUÇÃO POR EMPRESAS'!$A$6:$A$5000,0),MOD(ROW()-2,6)+1)="","",IFERROR(1*INDEX('CONTROLE PRODUÇÃO POR EMPRESAS'!$B$6:$G$5000,MATCH($A1780,'CONTROLE PRODUÇÃO POR EMPRESAS'!$A$6:$A$5000,0),MOD(ROW()-2,6)+1),"")),"")</f>
        <v/>
      </c>
      <c r="I1780" s="159">
        <f>IF(OR(NOT(ISNUMBER(G1780)),NOT(ISNUMBER(H1780))),"",H1780-G1780)</f>
        <v/>
      </c>
      <c r="J1780" s="319">
        <f>IF(OR(NOT(ISNUMBER(G1780)),NOT(ISNUMBER(H1780)),G1780=0),"",I1780/G1780)</f>
        <v/>
      </c>
      <c r="K1780" s="319">
        <f>IF(OR(NOT(ISNUMBER(G1780)),NOT(ISNUMBER(H1780)),G1780=0),"",H1780/G1780)</f>
        <v/>
      </c>
      <c r="L1780">
        <f>IF(NOT(ISNUMBER(G1780)),"SEM META",IF(G1780=0,"SEM META",IF(NOT(ISNUMBER(H1780)),"SEM APONTAMENTO",IF(H1780&gt;=G1780,"VERDE",IF(H1780&gt;=G1780*0.9,"AMARELO","VERMELHO")))))</f>
        <v/>
      </c>
      <c r="M1780" s="162" t="n"/>
      <c r="N1780" s="162" t="n"/>
      <c r="O1780" s="162" t="n"/>
      <c r="P1780" s="162" t="n"/>
      <c r="Q1780" s="320" t="n"/>
      <c r="R1780" s="162" t="inlineStr">
        <is>
          <t>CONTROLE PRODUÇÃO POR EMPRESAS!D302</t>
        </is>
      </c>
    </row>
    <row r="1781" ht="28.5" customHeight="1">
      <c r="A1781" s="317" t="n">
        <v>46519</v>
      </c>
      <c r="B1781" t="inlineStr">
        <is>
          <t>GERAL</t>
        </is>
      </c>
      <c r="C1781" t="inlineStr">
        <is>
          <t>CMM</t>
        </is>
      </c>
      <c r="D1781" t="inlineStr">
        <is>
          <t>PREMONTAGEM</t>
        </is>
      </c>
      <c r="F1781" s="159">
        <f>IFERROR(INDEX('BASE METAS DIÁRIAS'!$N$2:$S$358,MATCH($A1781,'BASE METAS DIÁRIAS'!$A$2:$A$358,0),MOD(ROW()-2,6)+1),"")</f>
        <v/>
      </c>
      <c r="G1781" s="159">
        <f>IFERROR(IF(WEEKDAY($A1781,2)&lt;=INDEX('BASE METAS DIÁRIAS'!$H$2:$M$358,MATCH($A1781,'BASE METAS DIÁRIAS'!$A$2:$A$358,0),MOD(ROW()-2,6)+1),INDEX('BASE METAS DIÁRIAS'!$B$2:$G$358,MATCH($A1781,'BASE METAS DIÁRIAS'!$A$2:$A$358,0),MOD(ROW()-2,6)+1),""),"")</f>
        <v/>
      </c>
      <c r="H1781" s="159">
        <f>IFERROR(IF(INDEX('CONTROLE PRODUÇÃO POR EMPRESAS'!$B$6:$G$5000,MATCH($A1781,'CONTROLE PRODUÇÃO POR EMPRESAS'!$A$6:$A$5000,0),MOD(ROW()-2,6)+1)="","",IFERROR(1*INDEX('CONTROLE PRODUÇÃO POR EMPRESAS'!$B$6:$G$5000,MATCH($A1781,'CONTROLE PRODUÇÃO POR EMPRESAS'!$A$6:$A$5000,0),MOD(ROW()-2,6)+1),"")),"")</f>
        <v/>
      </c>
      <c r="I1781" s="159">
        <f>IF(OR(NOT(ISNUMBER(G1781)),NOT(ISNUMBER(H1781))),"",H1781-G1781)</f>
        <v/>
      </c>
      <c r="J1781" s="319">
        <f>IF(OR(NOT(ISNUMBER(G1781)),NOT(ISNUMBER(H1781)),G1781=0),"",I1781/G1781)</f>
        <v/>
      </c>
      <c r="K1781" s="319">
        <f>IF(OR(NOT(ISNUMBER(G1781)),NOT(ISNUMBER(H1781)),G1781=0),"",H1781/G1781)</f>
        <v/>
      </c>
      <c r="L1781">
        <f>IF(NOT(ISNUMBER(G1781)),"SEM META",IF(G1781=0,"SEM META",IF(NOT(ISNUMBER(H1781)),"SEM APONTAMENTO",IF(H1781&gt;=G1781,"VERDE",IF(H1781&gt;=G1781*0.9,"AMARELO","VERMELHO")))))</f>
        <v/>
      </c>
      <c r="M1781" s="162" t="n"/>
      <c r="N1781" s="162" t="n"/>
      <c r="O1781" s="162" t="n"/>
      <c r="P1781" s="162" t="n"/>
      <c r="Q1781" s="320" t="n"/>
      <c r="R1781" s="162" t="inlineStr">
        <is>
          <t>CONTROLE PRODUÇÃO POR EMPRESAS!E302</t>
        </is>
      </c>
    </row>
    <row r="1782" ht="28.5" customHeight="1">
      <c r="A1782" s="317" t="n">
        <v>46519</v>
      </c>
      <c r="B1782" t="inlineStr">
        <is>
          <t>GERAL</t>
        </is>
      </c>
      <c r="C1782" t="inlineStr">
        <is>
          <t>CMM</t>
        </is>
      </c>
      <c r="D1782" t="inlineStr">
        <is>
          <t>IÇAMENTO JOIST</t>
        </is>
      </c>
      <c r="F1782" s="159">
        <f>IFERROR(INDEX('BASE METAS DIÁRIAS'!$N$2:$S$358,MATCH($A1782,'BASE METAS DIÁRIAS'!$A$2:$A$358,0),MOD(ROW()-2,6)+1),"")</f>
        <v/>
      </c>
      <c r="G1782" s="159">
        <f>IFERROR(IF(WEEKDAY($A1782,2)&lt;=INDEX('BASE METAS DIÁRIAS'!$H$2:$M$358,MATCH($A1782,'BASE METAS DIÁRIAS'!$A$2:$A$358,0),MOD(ROW()-2,6)+1),INDEX('BASE METAS DIÁRIAS'!$B$2:$G$358,MATCH($A1782,'BASE METAS DIÁRIAS'!$A$2:$A$358,0),MOD(ROW()-2,6)+1),""),"")</f>
        <v/>
      </c>
      <c r="H1782" s="159">
        <f>IFERROR(IF(INDEX('CONTROLE PRODUÇÃO POR EMPRESAS'!$B$6:$G$5000,MATCH($A1782,'CONTROLE PRODUÇÃO POR EMPRESAS'!$A$6:$A$5000,0),MOD(ROW()-2,6)+1)="","",IFERROR(1*INDEX('CONTROLE PRODUÇÃO POR EMPRESAS'!$B$6:$G$5000,MATCH($A1782,'CONTROLE PRODUÇÃO POR EMPRESAS'!$A$6:$A$5000,0),MOD(ROW()-2,6)+1),"")),"")</f>
        <v/>
      </c>
      <c r="I1782" s="159">
        <f>IF(OR(NOT(ISNUMBER(G1782)),NOT(ISNUMBER(H1782))),"",H1782-G1782)</f>
        <v/>
      </c>
      <c r="J1782" s="319">
        <f>IF(OR(NOT(ISNUMBER(G1782)),NOT(ISNUMBER(H1782)),G1782=0),"",I1782/G1782)</f>
        <v/>
      </c>
      <c r="K1782" s="319">
        <f>IF(OR(NOT(ISNUMBER(G1782)),NOT(ISNUMBER(H1782)),G1782=0),"",H1782/G1782)</f>
        <v/>
      </c>
      <c r="L1782">
        <f>IF(NOT(ISNUMBER(G1782)),"SEM META",IF(G1782=0,"SEM META",IF(NOT(ISNUMBER(H1782)),"SEM APONTAMENTO",IF(H1782&gt;=G1782,"VERDE",IF(H1782&gt;=G1782*0.9,"AMARELO","VERMELHO")))))</f>
        <v/>
      </c>
      <c r="M1782" s="162" t="n"/>
      <c r="N1782" s="162" t="n"/>
      <c r="O1782" s="162" t="n"/>
      <c r="P1782" s="162" t="n"/>
      <c r="Q1782" s="320" t="n"/>
      <c r="R1782" s="162" t="inlineStr">
        <is>
          <t>CONTROLE PRODUÇÃO POR EMPRESAS!F302</t>
        </is>
      </c>
    </row>
    <row r="1783" ht="28.5" customHeight="1">
      <c r="A1783" s="317" t="n">
        <v>46519</v>
      </c>
      <c r="B1783" t="inlineStr">
        <is>
          <t>GERAL</t>
        </is>
      </c>
      <c r="C1783" t="inlineStr">
        <is>
          <t>CMM</t>
        </is>
      </c>
      <c r="D1783" t="inlineStr">
        <is>
          <t>VIGAS</t>
        </is>
      </c>
      <c r="F1783" s="159">
        <f>IFERROR(INDEX('BASE METAS DIÁRIAS'!$N$2:$S$358,MATCH($A1783,'BASE METAS DIÁRIAS'!$A$2:$A$358,0),MOD(ROW()-2,6)+1),"")</f>
        <v/>
      </c>
      <c r="G1783" s="159">
        <f>IFERROR(IF(WEEKDAY($A1783,2)&lt;=INDEX('BASE METAS DIÁRIAS'!$H$2:$M$358,MATCH($A1783,'BASE METAS DIÁRIAS'!$A$2:$A$358,0),MOD(ROW()-2,6)+1),INDEX('BASE METAS DIÁRIAS'!$B$2:$G$358,MATCH($A1783,'BASE METAS DIÁRIAS'!$A$2:$A$358,0),MOD(ROW()-2,6)+1),""),"")</f>
        <v/>
      </c>
      <c r="H1783" s="159">
        <f>IFERROR(IF(INDEX('CONTROLE PRODUÇÃO POR EMPRESAS'!$B$6:$G$5000,MATCH($A1783,'CONTROLE PRODUÇÃO POR EMPRESAS'!$A$6:$A$5000,0),MOD(ROW()-2,6)+1)="","",IFERROR(1*INDEX('CONTROLE PRODUÇÃO POR EMPRESAS'!$B$6:$G$5000,MATCH($A1783,'CONTROLE PRODUÇÃO POR EMPRESAS'!$A$6:$A$5000,0),MOD(ROW()-2,6)+1),"")),"")</f>
        <v/>
      </c>
      <c r="I1783" s="159">
        <f>IF(OR(NOT(ISNUMBER(G1783)),NOT(ISNUMBER(H1783))),"",H1783-G1783)</f>
        <v/>
      </c>
      <c r="J1783" s="319">
        <f>IF(OR(NOT(ISNUMBER(G1783)),NOT(ISNUMBER(H1783)),G1783=0),"",I1783/G1783)</f>
        <v/>
      </c>
      <c r="K1783" s="319">
        <f>IF(OR(NOT(ISNUMBER(G1783)),NOT(ISNUMBER(H1783)),G1783=0),"",H1783/G1783)</f>
        <v/>
      </c>
      <c r="L1783">
        <f>IF(NOT(ISNUMBER(G1783)),"SEM META",IF(G1783=0,"SEM META",IF(NOT(ISNUMBER(H1783)),"SEM APONTAMENTO",IF(H1783&gt;=G1783,"VERDE",IF(H1783&gt;=G1783*0.9,"AMARELO","VERMELHO")))))</f>
        <v/>
      </c>
      <c r="M1783" s="162" t="n"/>
      <c r="N1783" s="162" t="n"/>
      <c r="O1783" s="162" t="n"/>
      <c r="P1783" s="162" t="n"/>
      <c r="Q1783" s="320" t="n"/>
      <c r="R1783" s="162" t="inlineStr">
        <is>
          <t>CONTROLE PRODUÇÃO POR EMPRESAS!G302</t>
        </is>
      </c>
    </row>
    <row r="1784" ht="28.5" customHeight="1">
      <c r="A1784" s="317" t="n">
        <v>46520</v>
      </c>
      <c r="B1784" t="inlineStr">
        <is>
          <t>GERAL</t>
        </is>
      </c>
      <c r="C1784" t="inlineStr">
        <is>
          <t>EJ</t>
        </is>
      </c>
      <c r="D1784" t="inlineStr">
        <is>
          <t>PREMONTAGEM</t>
        </is>
      </c>
      <c r="F1784" s="159">
        <f>IFERROR(INDEX('BASE METAS DIÁRIAS'!$N$2:$S$358,MATCH($A1784,'BASE METAS DIÁRIAS'!$A$2:$A$358,0),MOD(ROW()-2,6)+1),"")</f>
        <v/>
      </c>
      <c r="G1784" s="159">
        <f>IFERROR(IF(WEEKDAY($A1784,2)&lt;=INDEX('BASE METAS DIÁRIAS'!$H$2:$M$358,MATCH($A1784,'BASE METAS DIÁRIAS'!$A$2:$A$358,0),MOD(ROW()-2,6)+1),INDEX('BASE METAS DIÁRIAS'!$B$2:$G$358,MATCH($A1784,'BASE METAS DIÁRIAS'!$A$2:$A$358,0),MOD(ROW()-2,6)+1),""),"")</f>
        <v/>
      </c>
      <c r="H1784" s="159">
        <f>IFERROR(IF(INDEX('CONTROLE PRODUÇÃO POR EMPRESAS'!$B$6:$G$5000,MATCH($A1784,'CONTROLE PRODUÇÃO POR EMPRESAS'!$A$6:$A$5000,0),MOD(ROW()-2,6)+1)="","",IFERROR(1*INDEX('CONTROLE PRODUÇÃO POR EMPRESAS'!$B$6:$G$5000,MATCH($A1784,'CONTROLE PRODUÇÃO POR EMPRESAS'!$A$6:$A$5000,0),MOD(ROW()-2,6)+1),"")),"")</f>
        <v/>
      </c>
      <c r="I1784" s="159">
        <f>IF(OR(NOT(ISNUMBER(G1784)),NOT(ISNUMBER(H1784))),"",H1784-G1784)</f>
        <v/>
      </c>
      <c r="J1784" s="319">
        <f>IF(OR(NOT(ISNUMBER(G1784)),NOT(ISNUMBER(H1784)),G1784=0),"",I1784/G1784)</f>
        <v/>
      </c>
      <c r="K1784" s="319">
        <f>IF(OR(NOT(ISNUMBER(G1784)),NOT(ISNUMBER(H1784)),G1784=0),"",H1784/G1784)</f>
        <v/>
      </c>
      <c r="L1784">
        <f>IF(NOT(ISNUMBER(G1784)),"SEM META",IF(G1784=0,"SEM META",IF(NOT(ISNUMBER(H1784)),"SEM APONTAMENTO",IF(H1784&gt;=G1784,"VERDE",IF(H1784&gt;=G1784*0.9,"AMARELO","VERMELHO")))))</f>
        <v/>
      </c>
      <c r="M1784" s="162" t="n"/>
      <c r="N1784" s="162" t="n"/>
      <c r="O1784" s="162" t="n"/>
      <c r="P1784" s="162" t="n"/>
      <c r="Q1784" s="320" t="n"/>
      <c r="R1784" s="162" t="inlineStr">
        <is>
          <t>CONTROLE PRODUÇÃO POR EMPRESAS!B303</t>
        </is>
      </c>
    </row>
    <row r="1785" ht="28.5" customHeight="1">
      <c r="A1785" s="317" t="n">
        <v>46520</v>
      </c>
      <c r="B1785" t="inlineStr">
        <is>
          <t>GERAL</t>
        </is>
      </c>
      <c r="C1785" t="inlineStr">
        <is>
          <t>EJ</t>
        </is>
      </c>
      <c r="D1785" t="inlineStr">
        <is>
          <t>IÇAMENTO JOIST</t>
        </is>
      </c>
      <c r="F1785" s="159">
        <f>IFERROR(INDEX('BASE METAS DIÁRIAS'!$N$2:$S$358,MATCH($A1785,'BASE METAS DIÁRIAS'!$A$2:$A$358,0),MOD(ROW()-2,6)+1),"")</f>
        <v/>
      </c>
      <c r="G1785" s="159">
        <f>IFERROR(IF(WEEKDAY($A1785,2)&lt;=INDEX('BASE METAS DIÁRIAS'!$H$2:$M$358,MATCH($A1785,'BASE METAS DIÁRIAS'!$A$2:$A$358,0),MOD(ROW()-2,6)+1),INDEX('BASE METAS DIÁRIAS'!$B$2:$G$358,MATCH($A1785,'BASE METAS DIÁRIAS'!$A$2:$A$358,0),MOD(ROW()-2,6)+1),""),"")</f>
        <v/>
      </c>
      <c r="H1785" s="159">
        <f>IFERROR(IF(INDEX('CONTROLE PRODUÇÃO POR EMPRESAS'!$B$6:$G$5000,MATCH($A1785,'CONTROLE PRODUÇÃO POR EMPRESAS'!$A$6:$A$5000,0),MOD(ROW()-2,6)+1)="","",IFERROR(1*INDEX('CONTROLE PRODUÇÃO POR EMPRESAS'!$B$6:$G$5000,MATCH($A1785,'CONTROLE PRODUÇÃO POR EMPRESAS'!$A$6:$A$5000,0),MOD(ROW()-2,6)+1),"")),"")</f>
        <v/>
      </c>
      <c r="I1785" s="159">
        <f>IF(OR(NOT(ISNUMBER(G1785)),NOT(ISNUMBER(H1785))),"",H1785-G1785)</f>
        <v/>
      </c>
      <c r="J1785" s="319">
        <f>IF(OR(NOT(ISNUMBER(G1785)),NOT(ISNUMBER(H1785)),G1785=0),"",I1785/G1785)</f>
        <v/>
      </c>
      <c r="K1785" s="319">
        <f>IF(OR(NOT(ISNUMBER(G1785)),NOT(ISNUMBER(H1785)),G1785=0),"",H1785/G1785)</f>
        <v/>
      </c>
      <c r="L1785">
        <f>IF(NOT(ISNUMBER(G1785)),"SEM META",IF(G1785=0,"SEM META",IF(NOT(ISNUMBER(H1785)),"SEM APONTAMENTO",IF(H1785&gt;=G1785,"VERDE",IF(H1785&gt;=G1785*0.9,"AMARELO","VERMELHO")))))</f>
        <v/>
      </c>
      <c r="M1785" s="162" t="n"/>
      <c r="N1785" s="162" t="n"/>
      <c r="O1785" s="162" t="n"/>
      <c r="P1785" s="162" t="n"/>
      <c r="Q1785" s="320" t="n"/>
      <c r="R1785" s="162" t="inlineStr">
        <is>
          <t>CONTROLE PRODUÇÃO POR EMPRESAS!C303</t>
        </is>
      </c>
    </row>
    <row r="1786" ht="28.5" customHeight="1">
      <c r="A1786" s="317" t="n">
        <v>46520</v>
      </c>
      <c r="B1786" t="inlineStr">
        <is>
          <t>GERAL</t>
        </is>
      </c>
      <c r="C1786" t="inlineStr">
        <is>
          <t>EJ</t>
        </is>
      </c>
      <c r="D1786" t="inlineStr">
        <is>
          <t>VIGAS</t>
        </is>
      </c>
      <c r="F1786" s="159">
        <f>IFERROR(INDEX('BASE METAS DIÁRIAS'!$N$2:$S$358,MATCH($A1786,'BASE METAS DIÁRIAS'!$A$2:$A$358,0),MOD(ROW()-2,6)+1),"")</f>
        <v/>
      </c>
      <c r="G1786" s="159">
        <f>IFERROR(IF(WEEKDAY($A1786,2)&lt;=INDEX('BASE METAS DIÁRIAS'!$H$2:$M$358,MATCH($A1786,'BASE METAS DIÁRIAS'!$A$2:$A$358,0),MOD(ROW()-2,6)+1),INDEX('BASE METAS DIÁRIAS'!$B$2:$G$358,MATCH($A1786,'BASE METAS DIÁRIAS'!$A$2:$A$358,0),MOD(ROW()-2,6)+1),""),"")</f>
        <v/>
      </c>
      <c r="H1786" s="159">
        <f>IFERROR(IF(INDEX('CONTROLE PRODUÇÃO POR EMPRESAS'!$B$6:$G$5000,MATCH($A1786,'CONTROLE PRODUÇÃO POR EMPRESAS'!$A$6:$A$5000,0),MOD(ROW()-2,6)+1)="","",IFERROR(1*INDEX('CONTROLE PRODUÇÃO POR EMPRESAS'!$B$6:$G$5000,MATCH($A1786,'CONTROLE PRODUÇÃO POR EMPRESAS'!$A$6:$A$5000,0),MOD(ROW()-2,6)+1),"")),"")</f>
        <v/>
      </c>
      <c r="I1786" s="159">
        <f>IF(OR(NOT(ISNUMBER(G1786)),NOT(ISNUMBER(H1786))),"",H1786-G1786)</f>
        <v/>
      </c>
      <c r="J1786" s="319">
        <f>IF(OR(NOT(ISNUMBER(G1786)),NOT(ISNUMBER(H1786)),G1786=0),"",I1786/G1786)</f>
        <v/>
      </c>
      <c r="K1786" s="319">
        <f>IF(OR(NOT(ISNUMBER(G1786)),NOT(ISNUMBER(H1786)),G1786=0),"",H1786/G1786)</f>
        <v/>
      </c>
      <c r="L1786">
        <f>IF(NOT(ISNUMBER(G1786)),"SEM META",IF(G1786=0,"SEM META",IF(NOT(ISNUMBER(H1786)),"SEM APONTAMENTO",IF(H1786&gt;=G1786,"VERDE",IF(H1786&gt;=G1786*0.9,"AMARELO","VERMELHO")))))</f>
        <v/>
      </c>
      <c r="M1786" s="162" t="n"/>
      <c r="N1786" s="162" t="n"/>
      <c r="O1786" s="162" t="n"/>
      <c r="P1786" s="162" t="n"/>
      <c r="Q1786" s="320" t="n"/>
      <c r="R1786" s="162" t="inlineStr">
        <is>
          <t>CONTROLE PRODUÇÃO POR EMPRESAS!D303</t>
        </is>
      </c>
    </row>
    <row r="1787" ht="28.5" customHeight="1">
      <c r="A1787" s="317" t="n">
        <v>46520</v>
      </c>
      <c r="B1787" t="inlineStr">
        <is>
          <t>GERAL</t>
        </is>
      </c>
      <c r="C1787" t="inlineStr">
        <is>
          <t>CMM</t>
        </is>
      </c>
      <c r="D1787" t="inlineStr">
        <is>
          <t>PREMONTAGEM</t>
        </is>
      </c>
      <c r="F1787" s="159">
        <f>IFERROR(INDEX('BASE METAS DIÁRIAS'!$N$2:$S$358,MATCH($A1787,'BASE METAS DIÁRIAS'!$A$2:$A$358,0),MOD(ROW()-2,6)+1),"")</f>
        <v/>
      </c>
      <c r="G1787" s="159">
        <f>IFERROR(IF(WEEKDAY($A1787,2)&lt;=INDEX('BASE METAS DIÁRIAS'!$H$2:$M$358,MATCH($A1787,'BASE METAS DIÁRIAS'!$A$2:$A$358,0),MOD(ROW()-2,6)+1),INDEX('BASE METAS DIÁRIAS'!$B$2:$G$358,MATCH($A1787,'BASE METAS DIÁRIAS'!$A$2:$A$358,0),MOD(ROW()-2,6)+1),""),"")</f>
        <v/>
      </c>
      <c r="H1787" s="159">
        <f>IFERROR(IF(INDEX('CONTROLE PRODUÇÃO POR EMPRESAS'!$B$6:$G$5000,MATCH($A1787,'CONTROLE PRODUÇÃO POR EMPRESAS'!$A$6:$A$5000,0),MOD(ROW()-2,6)+1)="","",IFERROR(1*INDEX('CONTROLE PRODUÇÃO POR EMPRESAS'!$B$6:$G$5000,MATCH($A1787,'CONTROLE PRODUÇÃO POR EMPRESAS'!$A$6:$A$5000,0),MOD(ROW()-2,6)+1),"")),"")</f>
        <v/>
      </c>
      <c r="I1787" s="159">
        <f>IF(OR(NOT(ISNUMBER(G1787)),NOT(ISNUMBER(H1787))),"",H1787-G1787)</f>
        <v/>
      </c>
      <c r="J1787" s="319">
        <f>IF(OR(NOT(ISNUMBER(G1787)),NOT(ISNUMBER(H1787)),G1787=0),"",I1787/G1787)</f>
        <v/>
      </c>
      <c r="K1787" s="319">
        <f>IF(OR(NOT(ISNUMBER(G1787)),NOT(ISNUMBER(H1787)),G1787=0),"",H1787/G1787)</f>
        <v/>
      </c>
      <c r="L1787">
        <f>IF(NOT(ISNUMBER(G1787)),"SEM META",IF(G1787=0,"SEM META",IF(NOT(ISNUMBER(H1787)),"SEM APONTAMENTO",IF(H1787&gt;=G1787,"VERDE",IF(H1787&gt;=G1787*0.9,"AMARELO","VERMELHO")))))</f>
        <v/>
      </c>
      <c r="M1787" s="162" t="n"/>
      <c r="N1787" s="162" t="n"/>
      <c r="O1787" s="162" t="n"/>
      <c r="P1787" s="162" t="n"/>
      <c r="Q1787" s="320" t="n"/>
      <c r="R1787" s="162" t="inlineStr">
        <is>
          <t>CONTROLE PRODUÇÃO POR EMPRESAS!E303</t>
        </is>
      </c>
    </row>
    <row r="1788" ht="28.5" customHeight="1">
      <c r="A1788" s="317" t="n">
        <v>46520</v>
      </c>
      <c r="B1788" t="inlineStr">
        <is>
          <t>GERAL</t>
        </is>
      </c>
      <c r="C1788" t="inlineStr">
        <is>
          <t>CMM</t>
        </is>
      </c>
      <c r="D1788" t="inlineStr">
        <is>
          <t>IÇAMENTO JOIST</t>
        </is>
      </c>
      <c r="F1788" s="159">
        <f>IFERROR(INDEX('BASE METAS DIÁRIAS'!$N$2:$S$358,MATCH($A1788,'BASE METAS DIÁRIAS'!$A$2:$A$358,0),MOD(ROW()-2,6)+1),"")</f>
        <v/>
      </c>
      <c r="G1788" s="159">
        <f>IFERROR(IF(WEEKDAY($A1788,2)&lt;=INDEX('BASE METAS DIÁRIAS'!$H$2:$M$358,MATCH($A1788,'BASE METAS DIÁRIAS'!$A$2:$A$358,0),MOD(ROW()-2,6)+1),INDEX('BASE METAS DIÁRIAS'!$B$2:$G$358,MATCH($A1788,'BASE METAS DIÁRIAS'!$A$2:$A$358,0),MOD(ROW()-2,6)+1),""),"")</f>
        <v/>
      </c>
      <c r="H1788" s="159">
        <f>IFERROR(IF(INDEX('CONTROLE PRODUÇÃO POR EMPRESAS'!$B$6:$G$5000,MATCH($A1788,'CONTROLE PRODUÇÃO POR EMPRESAS'!$A$6:$A$5000,0),MOD(ROW()-2,6)+1)="","",IFERROR(1*INDEX('CONTROLE PRODUÇÃO POR EMPRESAS'!$B$6:$G$5000,MATCH($A1788,'CONTROLE PRODUÇÃO POR EMPRESAS'!$A$6:$A$5000,0),MOD(ROW()-2,6)+1),"")),"")</f>
        <v/>
      </c>
      <c r="I1788" s="159">
        <f>IF(OR(NOT(ISNUMBER(G1788)),NOT(ISNUMBER(H1788))),"",H1788-G1788)</f>
        <v/>
      </c>
      <c r="J1788" s="319">
        <f>IF(OR(NOT(ISNUMBER(G1788)),NOT(ISNUMBER(H1788)),G1788=0),"",I1788/G1788)</f>
        <v/>
      </c>
      <c r="K1788" s="319">
        <f>IF(OR(NOT(ISNUMBER(G1788)),NOT(ISNUMBER(H1788)),G1788=0),"",H1788/G1788)</f>
        <v/>
      </c>
      <c r="L1788">
        <f>IF(NOT(ISNUMBER(G1788)),"SEM META",IF(G1788=0,"SEM META",IF(NOT(ISNUMBER(H1788)),"SEM APONTAMENTO",IF(H1788&gt;=G1788,"VERDE",IF(H1788&gt;=G1788*0.9,"AMARELO","VERMELHO")))))</f>
        <v/>
      </c>
      <c r="M1788" s="162" t="n"/>
      <c r="N1788" s="162" t="n"/>
      <c r="O1788" s="162" t="n"/>
      <c r="P1788" s="162" t="n"/>
      <c r="Q1788" s="320" t="n"/>
      <c r="R1788" s="162" t="inlineStr">
        <is>
          <t>CONTROLE PRODUÇÃO POR EMPRESAS!F303</t>
        </is>
      </c>
    </row>
    <row r="1789" ht="28.5" customHeight="1">
      <c r="A1789" s="317" t="n">
        <v>46520</v>
      </c>
      <c r="B1789" t="inlineStr">
        <is>
          <t>GERAL</t>
        </is>
      </c>
      <c r="C1789" t="inlineStr">
        <is>
          <t>CMM</t>
        </is>
      </c>
      <c r="D1789" t="inlineStr">
        <is>
          <t>VIGAS</t>
        </is>
      </c>
      <c r="F1789" s="159">
        <f>IFERROR(INDEX('BASE METAS DIÁRIAS'!$N$2:$S$358,MATCH($A1789,'BASE METAS DIÁRIAS'!$A$2:$A$358,0),MOD(ROW()-2,6)+1),"")</f>
        <v/>
      </c>
      <c r="G1789" s="159">
        <f>IFERROR(IF(WEEKDAY($A1789,2)&lt;=INDEX('BASE METAS DIÁRIAS'!$H$2:$M$358,MATCH($A1789,'BASE METAS DIÁRIAS'!$A$2:$A$358,0),MOD(ROW()-2,6)+1),INDEX('BASE METAS DIÁRIAS'!$B$2:$G$358,MATCH($A1789,'BASE METAS DIÁRIAS'!$A$2:$A$358,0),MOD(ROW()-2,6)+1),""),"")</f>
        <v/>
      </c>
      <c r="H1789" s="159">
        <f>IFERROR(IF(INDEX('CONTROLE PRODUÇÃO POR EMPRESAS'!$B$6:$G$5000,MATCH($A1789,'CONTROLE PRODUÇÃO POR EMPRESAS'!$A$6:$A$5000,0),MOD(ROW()-2,6)+1)="","",IFERROR(1*INDEX('CONTROLE PRODUÇÃO POR EMPRESAS'!$B$6:$G$5000,MATCH($A1789,'CONTROLE PRODUÇÃO POR EMPRESAS'!$A$6:$A$5000,0),MOD(ROW()-2,6)+1),"")),"")</f>
        <v/>
      </c>
      <c r="I1789" s="159">
        <f>IF(OR(NOT(ISNUMBER(G1789)),NOT(ISNUMBER(H1789))),"",H1789-G1789)</f>
        <v/>
      </c>
      <c r="J1789" s="319">
        <f>IF(OR(NOT(ISNUMBER(G1789)),NOT(ISNUMBER(H1789)),G1789=0),"",I1789/G1789)</f>
        <v/>
      </c>
      <c r="K1789" s="319">
        <f>IF(OR(NOT(ISNUMBER(G1789)),NOT(ISNUMBER(H1789)),G1789=0),"",H1789/G1789)</f>
        <v/>
      </c>
      <c r="L1789">
        <f>IF(NOT(ISNUMBER(G1789)),"SEM META",IF(G1789=0,"SEM META",IF(NOT(ISNUMBER(H1789)),"SEM APONTAMENTO",IF(H1789&gt;=G1789,"VERDE",IF(H1789&gt;=G1789*0.9,"AMARELO","VERMELHO")))))</f>
        <v/>
      </c>
      <c r="M1789" s="162" t="n"/>
      <c r="N1789" s="162" t="n"/>
      <c r="O1789" s="162" t="n"/>
      <c r="P1789" s="162" t="n"/>
      <c r="Q1789" s="320" t="n"/>
      <c r="R1789" s="162" t="inlineStr">
        <is>
          <t>CONTROLE PRODUÇÃO POR EMPRESAS!G303</t>
        </is>
      </c>
    </row>
    <row r="1790" ht="28.5" customHeight="1">
      <c r="A1790" s="317" t="n">
        <v>46521</v>
      </c>
      <c r="B1790" t="inlineStr">
        <is>
          <t>GERAL</t>
        </is>
      </c>
      <c r="C1790" t="inlineStr">
        <is>
          <t>EJ</t>
        </is>
      </c>
      <c r="D1790" t="inlineStr">
        <is>
          <t>PREMONTAGEM</t>
        </is>
      </c>
      <c r="F1790" s="159">
        <f>IFERROR(INDEX('BASE METAS DIÁRIAS'!$N$2:$S$358,MATCH($A1790,'BASE METAS DIÁRIAS'!$A$2:$A$358,0),MOD(ROW()-2,6)+1),"")</f>
        <v/>
      </c>
      <c r="G1790" s="159">
        <f>IFERROR(IF(WEEKDAY($A1790,2)&lt;=INDEX('BASE METAS DIÁRIAS'!$H$2:$M$358,MATCH($A1790,'BASE METAS DIÁRIAS'!$A$2:$A$358,0),MOD(ROW()-2,6)+1),INDEX('BASE METAS DIÁRIAS'!$B$2:$G$358,MATCH($A1790,'BASE METAS DIÁRIAS'!$A$2:$A$358,0),MOD(ROW()-2,6)+1),""),"")</f>
        <v/>
      </c>
      <c r="H1790" s="159">
        <f>IFERROR(IF(INDEX('CONTROLE PRODUÇÃO POR EMPRESAS'!$B$6:$G$5000,MATCH($A1790,'CONTROLE PRODUÇÃO POR EMPRESAS'!$A$6:$A$5000,0),MOD(ROW()-2,6)+1)="","",IFERROR(1*INDEX('CONTROLE PRODUÇÃO POR EMPRESAS'!$B$6:$G$5000,MATCH($A1790,'CONTROLE PRODUÇÃO POR EMPRESAS'!$A$6:$A$5000,0),MOD(ROW()-2,6)+1),"")),"")</f>
        <v/>
      </c>
      <c r="I1790" s="159">
        <f>IF(OR(NOT(ISNUMBER(G1790)),NOT(ISNUMBER(H1790))),"",H1790-G1790)</f>
        <v/>
      </c>
      <c r="J1790" s="319">
        <f>IF(OR(NOT(ISNUMBER(G1790)),NOT(ISNUMBER(H1790)),G1790=0),"",I1790/G1790)</f>
        <v/>
      </c>
      <c r="K1790" s="319">
        <f>IF(OR(NOT(ISNUMBER(G1790)),NOT(ISNUMBER(H1790)),G1790=0),"",H1790/G1790)</f>
        <v/>
      </c>
      <c r="L1790">
        <f>IF(NOT(ISNUMBER(G1790)),"SEM META",IF(G1790=0,"SEM META",IF(NOT(ISNUMBER(H1790)),"SEM APONTAMENTO",IF(H1790&gt;=G1790,"VERDE",IF(H1790&gt;=G1790*0.9,"AMARELO","VERMELHO")))))</f>
        <v/>
      </c>
      <c r="M1790" s="162" t="n"/>
      <c r="N1790" s="162" t="n"/>
      <c r="O1790" s="162" t="n"/>
      <c r="P1790" s="162" t="n"/>
      <c r="Q1790" s="320" t="n"/>
      <c r="R1790" s="162" t="inlineStr">
        <is>
          <t>CONTROLE PRODUÇÃO POR EMPRESAS!B304</t>
        </is>
      </c>
    </row>
    <row r="1791" ht="28.5" customHeight="1">
      <c r="A1791" s="317" t="n">
        <v>46521</v>
      </c>
      <c r="B1791" t="inlineStr">
        <is>
          <t>GERAL</t>
        </is>
      </c>
      <c r="C1791" t="inlineStr">
        <is>
          <t>EJ</t>
        </is>
      </c>
      <c r="D1791" t="inlineStr">
        <is>
          <t>IÇAMENTO JOIST</t>
        </is>
      </c>
      <c r="F1791" s="159">
        <f>IFERROR(INDEX('BASE METAS DIÁRIAS'!$N$2:$S$358,MATCH($A1791,'BASE METAS DIÁRIAS'!$A$2:$A$358,0),MOD(ROW()-2,6)+1),"")</f>
        <v/>
      </c>
      <c r="G1791" s="159">
        <f>IFERROR(IF(WEEKDAY($A1791,2)&lt;=INDEX('BASE METAS DIÁRIAS'!$H$2:$M$358,MATCH($A1791,'BASE METAS DIÁRIAS'!$A$2:$A$358,0),MOD(ROW()-2,6)+1),INDEX('BASE METAS DIÁRIAS'!$B$2:$G$358,MATCH($A1791,'BASE METAS DIÁRIAS'!$A$2:$A$358,0),MOD(ROW()-2,6)+1),""),"")</f>
        <v/>
      </c>
      <c r="H1791" s="159">
        <f>IFERROR(IF(INDEX('CONTROLE PRODUÇÃO POR EMPRESAS'!$B$6:$G$5000,MATCH($A1791,'CONTROLE PRODUÇÃO POR EMPRESAS'!$A$6:$A$5000,0),MOD(ROW()-2,6)+1)="","",IFERROR(1*INDEX('CONTROLE PRODUÇÃO POR EMPRESAS'!$B$6:$G$5000,MATCH($A1791,'CONTROLE PRODUÇÃO POR EMPRESAS'!$A$6:$A$5000,0),MOD(ROW()-2,6)+1),"")),"")</f>
        <v/>
      </c>
      <c r="I1791" s="159">
        <f>IF(OR(NOT(ISNUMBER(G1791)),NOT(ISNUMBER(H1791))),"",H1791-G1791)</f>
        <v/>
      </c>
      <c r="J1791" s="319">
        <f>IF(OR(NOT(ISNUMBER(G1791)),NOT(ISNUMBER(H1791)),G1791=0),"",I1791/G1791)</f>
        <v/>
      </c>
      <c r="K1791" s="319">
        <f>IF(OR(NOT(ISNUMBER(G1791)),NOT(ISNUMBER(H1791)),G1791=0),"",H1791/G1791)</f>
        <v/>
      </c>
      <c r="L1791">
        <f>IF(NOT(ISNUMBER(G1791)),"SEM META",IF(G1791=0,"SEM META",IF(NOT(ISNUMBER(H1791)),"SEM APONTAMENTO",IF(H1791&gt;=G1791,"VERDE",IF(H1791&gt;=G1791*0.9,"AMARELO","VERMELHO")))))</f>
        <v/>
      </c>
      <c r="M1791" s="162" t="n"/>
      <c r="N1791" s="162" t="n"/>
      <c r="O1791" s="162" t="n"/>
      <c r="P1791" s="162" t="n"/>
      <c r="Q1791" s="320" t="n"/>
      <c r="R1791" s="162" t="inlineStr">
        <is>
          <t>CONTROLE PRODUÇÃO POR EMPRESAS!C304</t>
        </is>
      </c>
    </row>
    <row r="1792" ht="28.5" customHeight="1">
      <c r="A1792" s="317" t="n">
        <v>46521</v>
      </c>
      <c r="B1792" t="inlineStr">
        <is>
          <t>GERAL</t>
        </is>
      </c>
      <c r="C1792" t="inlineStr">
        <is>
          <t>EJ</t>
        </is>
      </c>
      <c r="D1792" t="inlineStr">
        <is>
          <t>VIGAS</t>
        </is>
      </c>
      <c r="F1792" s="159">
        <f>IFERROR(INDEX('BASE METAS DIÁRIAS'!$N$2:$S$358,MATCH($A1792,'BASE METAS DIÁRIAS'!$A$2:$A$358,0),MOD(ROW()-2,6)+1),"")</f>
        <v/>
      </c>
      <c r="G1792" s="159">
        <f>IFERROR(IF(WEEKDAY($A1792,2)&lt;=INDEX('BASE METAS DIÁRIAS'!$H$2:$M$358,MATCH($A1792,'BASE METAS DIÁRIAS'!$A$2:$A$358,0),MOD(ROW()-2,6)+1),INDEX('BASE METAS DIÁRIAS'!$B$2:$G$358,MATCH($A1792,'BASE METAS DIÁRIAS'!$A$2:$A$358,0),MOD(ROW()-2,6)+1),""),"")</f>
        <v/>
      </c>
      <c r="H1792" s="159">
        <f>IFERROR(IF(INDEX('CONTROLE PRODUÇÃO POR EMPRESAS'!$B$6:$G$5000,MATCH($A1792,'CONTROLE PRODUÇÃO POR EMPRESAS'!$A$6:$A$5000,0),MOD(ROW()-2,6)+1)="","",IFERROR(1*INDEX('CONTROLE PRODUÇÃO POR EMPRESAS'!$B$6:$G$5000,MATCH($A1792,'CONTROLE PRODUÇÃO POR EMPRESAS'!$A$6:$A$5000,0),MOD(ROW()-2,6)+1),"")),"")</f>
        <v/>
      </c>
      <c r="I1792" s="159">
        <f>IF(OR(NOT(ISNUMBER(G1792)),NOT(ISNUMBER(H1792))),"",H1792-G1792)</f>
        <v/>
      </c>
      <c r="J1792" s="319">
        <f>IF(OR(NOT(ISNUMBER(G1792)),NOT(ISNUMBER(H1792)),G1792=0),"",I1792/G1792)</f>
        <v/>
      </c>
      <c r="K1792" s="319">
        <f>IF(OR(NOT(ISNUMBER(G1792)),NOT(ISNUMBER(H1792)),G1792=0),"",H1792/G1792)</f>
        <v/>
      </c>
      <c r="L1792">
        <f>IF(NOT(ISNUMBER(G1792)),"SEM META",IF(G1792=0,"SEM META",IF(NOT(ISNUMBER(H1792)),"SEM APONTAMENTO",IF(H1792&gt;=G1792,"VERDE",IF(H1792&gt;=G1792*0.9,"AMARELO","VERMELHO")))))</f>
        <v/>
      </c>
      <c r="M1792" s="162" t="n"/>
      <c r="N1792" s="162" t="n"/>
      <c r="O1792" s="162" t="n"/>
      <c r="P1792" s="162" t="n"/>
      <c r="Q1792" s="320" t="n"/>
      <c r="R1792" s="162" t="inlineStr">
        <is>
          <t>CONTROLE PRODUÇÃO POR EMPRESAS!D304</t>
        </is>
      </c>
    </row>
    <row r="1793" ht="28.5" customHeight="1">
      <c r="A1793" s="317" t="n">
        <v>46521</v>
      </c>
      <c r="B1793" t="inlineStr">
        <is>
          <t>GERAL</t>
        </is>
      </c>
      <c r="C1793" t="inlineStr">
        <is>
          <t>CMM</t>
        </is>
      </c>
      <c r="D1793" t="inlineStr">
        <is>
          <t>PREMONTAGEM</t>
        </is>
      </c>
      <c r="F1793" s="159">
        <f>IFERROR(INDEX('BASE METAS DIÁRIAS'!$N$2:$S$358,MATCH($A1793,'BASE METAS DIÁRIAS'!$A$2:$A$358,0),MOD(ROW()-2,6)+1),"")</f>
        <v/>
      </c>
      <c r="G1793" s="159">
        <f>IFERROR(IF(WEEKDAY($A1793,2)&lt;=INDEX('BASE METAS DIÁRIAS'!$H$2:$M$358,MATCH($A1793,'BASE METAS DIÁRIAS'!$A$2:$A$358,0),MOD(ROW()-2,6)+1),INDEX('BASE METAS DIÁRIAS'!$B$2:$G$358,MATCH($A1793,'BASE METAS DIÁRIAS'!$A$2:$A$358,0),MOD(ROW()-2,6)+1),""),"")</f>
        <v/>
      </c>
      <c r="H1793" s="159">
        <f>IFERROR(IF(INDEX('CONTROLE PRODUÇÃO POR EMPRESAS'!$B$6:$G$5000,MATCH($A1793,'CONTROLE PRODUÇÃO POR EMPRESAS'!$A$6:$A$5000,0),MOD(ROW()-2,6)+1)="","",IFERROR(1*INDEX('CONTROLE PRODUÇÃO POR EMPRESAS'!$B$6:$G$5000,MATCH($A1793,'CONTROLE PRODUÇÃO POR EMPRESAS'!$A$6:$A$5000,0),MOD(ROW()-2,6)+1),"")),"")</f>
        <v/>
      </c>
      <c r="I1793" s="159">
        <f>IF(OR(NOT(ISNUMBER(G1793)),NOT(ISNUMBER(H1793))),"",H1793-G1793)</f>
        <v/>
      </c>
      <c r="J1793" s="319">
        <f>IF(OR(NOT(ISNUMBER(G1793)),NOT(ISNUMBER(H1793)),G1793=0),"",I1793/G1793)</f>
        <v/>
      </c>
      <c r="K1793" s="319">
        <f>IF(OR(NOT(ISNUMBER(G1793)),NOT(ISNUMBER(H1793)),G1793=0),"",H1793/G1793)</f>
        <v/>
      </c>
      <c r="L1793">
        <f>IF(NOT(ISNUMBER(G1793)),"SEM META",IF(G1793=0,"SEM META",IF(NOT(ISNUMBER(H1793)),"SEM APONTAMENTO",IF(H1793&gt;=G1793,"VERDE",IF(H1793&gt;=G1793*0.9,"AMARELO","VERMELHO")))))</f>
        <v/>
      </c>
      <c r="M1793" s="162" t="n"/>
      <c r="N1793" s="162" t="n"/>
      <c r="O1793" s="162" t="n"/>
      <c r="P1793" s="162" t="n"/>
      <c r="Q1793" s="320" t="n"/>
      <c r="R1793" s="162" t="inlineStr">
        <is>
          <t>CONTROLE PRODUÇÃO POR EMPRESAS!E304</t>
        </is>
      </c>
    </row>
    <row r="1794" ht="28.5" customHeight="1">
      <c r="A1794" s="317" t="n">
        <v>46521</v>
      </c>
      <c r="B1794" t="inlineStr">
        <is>
          <t>GERAL</t>
        </is>
      </c>
      <c r="C1794" t="inlineStr">
        <is>
          <t>CMM</t>
        </is>
      </c>
      <c r="D1794" t="inlineStr">
        <is>
          <t>IÇAMENTO JOIST</t>
        </is>
      </c>
      <c r="F1794" s="159">
        <f>IFERROR(INDEX('BASE METAS DIÁRIAS'!$N$2:$S$358,MATCH($A1794,'BASE METAS DIÁRIAS'!$A$2:$A$358,0),MOD(ROW()-2,6)+1),"")</f>
        <v/>
      </c>
      <c r="G1794" s="159">
        <f>IFERROR(IF(WEEKDAY($A1794,2)&lt;=INDEX('BASE METAS DIÁRIAS'!$H$2:$M$358,MATCH($A1794,'BASE METAS DIÁRIAS'!$A$2:$A$358,0),MOD(ROW()-2,6)+1),INDEX('BASE METAS DIÁRIAS'!$B$2:$G$358,MATCH($A1794,'BASE METAS DIÁRIAS'!$A$2:$A$358,0),MOD(ROW()-2,6)+1),""),"")</f>
        <v/>
      </c>
      <c r="H1794" s="159">
        <f>IFERROR(IF(INDEX('CONTROLE PRODUÇÃO POR EMPRESAS'!$B$6:$G$5000,MATCH($A1794,'CONTROLE PRODUÇÃO POR EMPRESAS'!$A$6:$A$5000,0),MOD(ROW()-2,6)+1)="","",IFERROR(1*INDEX('CONTROLE PRODUÇÃO POR EMPRESAS'!$B$6:$G$5000,MATCH($A1794,'CONTROLE PRODUÇÃO POR EMPRESAS'!$A$6:$A$5000,0),MOD(ROW()-2,6)+1),"")),"")</f>
        <v/>
      </c>
      <c r="I1794" s="159">
        <f>IF(OR(NOT(ISNUMBER(G1794)),NOT(ISNUMBER(H1794))),"",H1794-G1794)</f>
        <v/>
      </c>
      <c r="J1794" s="319">
        <f>IF(OR(NOT(ISNUMBER(G1794)),NOT(ISNUMBER(H1794)),G1794=0),"",I1794/G1794)</f>
        <v/>
      </c>
      <c r="K1794" s="319">
        <f>IF(OR(NOT(ISNUMBER(G1794)),NOT(ISNUMBER(H1794)),G1794=0),"",H1794/G1794)</f>
        <v/>
      </c>
      <c r="L1794">
        <f>IF(NOT(ISNUMBER(G1794)),"SEM META",IF(G1794=0,"SEM META",IF(NOT(ISNUMBER(H1794)),"SEM APONTAMENTO",IF(H1794&gt;=G1794,"VERDE",IF(H1794&gt;=G1794*0.9,"AMARELO","VERMELHO")))))</f>
        <v/>
      </c>
      <c r="M1794" s="162" t="n"/>
      <c r="N1794" s="162" t="n"/>
      <c r="O1794" s="162" t="n"/>
      <c r="P1794" s="162" t="n"/>
      <c r="Q1794" s="320" t="n"/>
      <c r="R1794" s="162" t="inlineStr">
        <is>
          <t>CONTROLE PRODUÇÃO POR EMPRESAS!F304</t>
        </is>
      </c>
    </row>
    <row r="1795" ht="28.5" customHeight="1">
      <c r="A1795" s="317" t="n">
        <v>46521</v>
      </c>
      <c r="B1795" t="inlineStr">
        <is>
          <t>GERAL</t>
        </is>
      </c>
      <c r="C1795" t="inlineStr">
        <is>
          <t>CMM</t>
        </is>
      </c>
      <c r="D1795" t="inlineStr">
        <is>
          <t>VIGAS</t>
        </is>
      </c>
      <c r="F1795" s="159">
        <f>IFERROR(INDEX('BASE METAS DIÁRIAS'!$N$2:$S$358,MATCH($A1795,'BASE METAS DIÁRIAS'!$A$2:$A$358,0),MOD(ROW()-2,6)+1),"")</f>
        <v/>
      </c>
      <c r="G1795" s="159">
        <f>IFERROR(IF(WEEKDAY($A1795,2)&lt;=INDEX('BASE METAS DIÁRIAS'!$H$2:$M$358,MATCH($A1795,'BASE METAS DIÁRIAS'!$A$2:$A$358,0),MOD(ROW()-2,6)+1),INDEX('BASE METAS DIÁRIAS'!$B$2:$G$358,MATCH($A1795,'BASE METAS DIÁRIAS'!$A$2:$A$358,0),MOD(ROW()-2,6)+1),""),"")</f>
        <v/>
      </c>
      <c r="H1795" s="159">
        <f>IFERROR(IF(INDEX('CONTROLE PRODUÇÃO POR EMPRESAS'!$B$6:$G$5000,MATCH($A1795,'CONTROLE PRODUÇÃO POR EMPRESAS'!$A$6:$A$5000,0),MOD(ROW()-2,6)+1)="","",IFERROR(1*INDEX('CONTROLE PRODUÇÃO POR EMPRESAS'!$B$6:$G$5000,MATCH($A1795,'CONTROLE PRODUÇÃO POR EMPRESAS'!$A$6:$A$5000,0),MOD(ROW()-2,6)+1),"")),"")</f>
        <v/>
      </c>
      <c r="I1795" s="159">
        <f>IF(OR(NOT(ISNUMBER(G1795)),NOT(ISNUMBER(H1795))),"",H1795-G1795)</f>
        <v/>
      </c>
      <c r="J1795" s="319">
        <f>IF(OR(NOT(ISNUMBER(G1795)),NOT(ISNUMBER(H1795)),G1795=0),"",I1795/G1795)</f>
        <v/>
      </c>
      <c r="K1795" s="319">
        <f>IF(OR(NOT(ISNUMBER(G1795)),NOT(ISNUMBER(H1795)),G1795=0),"",H1795/G1795)</f>
        <v/>
      </c>
      <c r="L1795">
        <f>IF(NOT(ISNUMBER(G1795)),"SEM META",IF(G1795=0,"SEM META",IF(NOT(ISNUMBER(H1795)),"SEM APONTAMENTO",IF(H1795&gt;=G1795,"VERDE",IF(H1795&gt;=G1795*0.9,"AMARELO","VERMELHO")))))</f>
        <v/>
      </c>
      <c r="M1795" s="162" t="n"/>
      <c r="N1795" s="162" t="n"/>
      <c r="O1795" s="162" t="n"/>
      <c r="P1795" s="162" t="n"/>
      <c r="Q1795" s="320" t="n"/>
      <c r="R1795" s="162" t="inlineStr">
        <is>
          <t>CONTROLE PRODUÇÃO POR EMPRESAS!G304</t>
        </is>
      </c>
    </row>
    <row r="1796" ht="28.5" customHeight="1">
      <c r="A1796" s="317" t="n">
        <v>46522</v>
      </c>
      <c r="B1796" t="inlineStr">
        <is>
          <t>GERAL</t>
        </is>
      </c>
      <c r="C1796" t="inlineStr">
        <is>
          <t>EJ</t>
        </is>
      </c>
      <c r="D1796" t="inlineStr">
        <is>
          <t>PREMONTAGEM</t>
        </is>
      </c>
      <c r="F1796" s="159">
        <f>IFERROR(INDEX('BASE METAS DIÁRIAS'!$N$2:$S$358,MATCH($A1796,'BASE METAS DIÁRIAS'!$A$2:$A$358,0),MOD(ROW()-2,6)+1),"")</f>
        <v/>
      </c>
      <c r="G1796" s="159">
        <f>IFERROR(IF(WEEKDAY($A1796,2)&lt;=INDEX('BASE METAS DIÁRIAS'!$H$2:$M$358,MATCH($A1796,'BASE METAS DIÁRIAS'!$A$2:$A$358,0),MOD(ROW()-2,6)+1),INDEX('BASE METAS DIÁRIAS'!$B$2:$G$358,MATCH($A1796,'BASE METAS DIÁRIAS'!$A$2:$A$358,0),MOD(ROW()-2,6)+1),""),"")</f>
        <v/>
      </c>
      <c r="H1796" s="159">
        <f>IFERROR(IF(INDEX('CONTROLE PRODUÇÃO POR EMPRESAS'!$B$6:$G$5000,MATCH($A1796,'CONTROLE PRODUÇÃO POR EMPRESAS'!$A$6:$A$5000,0),MOD(ROW()-2,6)+1)="","",IFERROR(1*INDEX('CONTROLE PRODUÇÃO POR EMPRESAS'!$B$6:$G$5000,MATCH($A1796,'CONTROLE PRODUÇÃO POR EMPRESAS'!$A$6:$A$5000,0),MOD(ROW()-2,6)+1),"")),"")</f>
        <v/>
      </c>
      <c r="I1796" s="159">
        <f>IF(OR(NOT(ISNUMBER(G1796)),NOT(ISNUMBER(H1796))),"",H1796-G1796)</f>
        <v/>
      </c>
      <c r="J1796" s="319">
        <f>IF(OR(NOT(ISNUMBER(G1796)),NOT(ISNUMBER(H1796)),G1796=0),"",I1796/G1796)</f>
        <v/>
      </c>
      <c r="K1796" s="319">
        <f>IF(OR(NOT(ISNUMBER(G1796)),NOT(ISNUMBER(H1796)),G1796=0),"",H1796/G1796)</f>
        <v/>
      </c>
      <c r="L1796">
        <f>IF(NOT(ISNUMBER(G1796)),"SEM META",IF(G1796=0,"SEM META",IF(NOT(ISNUMBER(H1796)),"SEM APONTAMENTO",IF(H1796&gt;=G1796,"VERDE",IF(H1796&gt;=G1796*0.9,"AMARELO","VERMELHO")))))</f>
        <v/>
      </c>
      <c r="M1796" s="162" t="n"/>
      <c r="N1796" s="162" t="n"/>
      <c r="O1796" s="162" t="n"/>
      <c r="P1796" s="162" t="n"/>
      <c r="Q1796" s="320" t="n"/>
      <c r="R1796" s="162" t="inlineStr">
        <is>
          <t>CONTROLE PRODUÇÃO POR EMPRESAS!B305</t>
        </is>
      </c>
    </row>
    <row r="1797" ht="28.5" customHeight="1">
      <c r="A1797" s="317" t="n">
        <v>46522</v>
      </c>
      <c r="B1797" t="inlineStr">
        <is>
          <t>GERAL</t>
        </is>
      </c>
      <c r="C1797" t="inlineStr">
        <is>
          <t>EJ</t>
        </is>
      </c>
      <c r="D1797" t="inlineStr">
        <is>
          <t>IÇAMENTO JOIST</t>
        </is>
      </c>
      <c r="F1797" s="159">
        <f>IFERROR(INDEX('BASE METAS DIÁRIAS'!$N$2:$S$358,MATCH($A1797,'BASE METAS DIÁRIAS'!$A$2:$A$358,0),MOD(ROW()-2,6)+1),"")</f>
        <v/>
      </c>
      <c r="G1797" s="159">
        <f>IFERROR(IF(WEEKDAY($A1797,2)&lt;=INDEX('BASE METAS DIÁRIAS'!$H$2:$M$358,MATCH($A1797,'BASE METAS DIÁRIAS'!$A$2:$A$358,0),MOD(ROW()-2,6)+1),INDEX('BASE METAS DIÁRIAS'!$B$2:$G$358,MATCH($A1797,'BASE METAS DIÁRIAS'!$A$2:$A$358,0),MOD(ROW()-2,6)+1),""),"")</f>
        <v/>
      </c>
      <c r="H1797" s="159">
        <f>IFERROR(IF(INDEX('CONTROLE PRODUÇÃO POR EMPRESAS'!$B$6:$G$5000,MATCH($A1797,'CONTROLE PRODUÇÃO POR EMPRESAS'!$A$6:$A$5000,0),MOD(ROW()-2,6)+1)="","",IFERROR(1*INDEX('CONTROLE PRODUÇÃO POR EMPRESAS'!$B$6:$G$5000,MATCH($A1797,'CONTROLE PRODUÇÃO POR EMPRESAS'!$A$6:$A$5000,0),MOD(ROW()-2,6)+1),"")),"")</f>
        <v/>
      </c>
      <c r="I1797" s="159">
        <f>IF(OR(NOT(ISNUMBER(G1797)),NOT(ISNUMBER(H1797))),"",H1797-G1797)</f>
        <v/>
      </c>
      <c r="J1797" s="319">
        <f>IF(OR(NOT(ISNUMBER(G1797)),NOT(ISNUMBER(H1797)),G1797=0),"",I1797/G1797)</f>
        <v/>
      </c>
      <c r="K1797" s="319">
        <f>IF(OR(NOT(ISNUMBER(G1797)),NOT(ISNUMBER(H1797)),G1797=0),"",H1797/G1797)</f>
        <v/>
      </c>
      <c r="L1797">
        <f>IF(NOT(ISNUMBER(G1797)),"SEM META",IF(G1797=0,"SEM META",IF(NOT(ISNUMBER(H1797)),"SEM APONTAMENTO",IF(H1797&gt;=G1797,"VERDE",IF(H1797&gt;=G1797*0.9,"AMARELO","VERMELHO")))))</f>
        <v/>
      </c>
      <c r="M1797" s="162" t="n"/>
      <c r="N1797" s="162" t="n"/>
      <c r="O1797" s="162" t="n"/>
      <c r="P1797" s="162" t="n"/>
      <c r="Q1797" s="320" t="n"/>
      <c r="R1797" s="162" t="inlineStr">
        <is>
          <t>CONTROLE PRODUÇÃO POR EMPRESAS!C305</t>
        </is>
      </c>
    </row>
    <row r="1798" ht="28.5" customHeight="1">
      <c r="A1798" s="317" t="n">
        <v>46522</v>
      </c>
      <c r="B1798" t="inlineStr">
        <is>
          <t>GERAL</t>
        </is>
      </c>
      <c r="C1798" t="inlineStr">
        <is>
          <t>EJ</t>
        </is>
      </c>
      <c r="D1798" t="inlineStr">
        <is>
          <t>VIGAS</t>
        </is>
      </c>
      <c r="F1798" s="159">
        <f>IFERROR(INDEX('BASE METAS DIÁRIAS'!$N$2:$S$358,MATCH($A1798,'BASE METAS DIÁRIAS'!$A$2:$A$358,0),MOD(ROW()-2,6)+1),"")</f>
        <v/>
      </c>
      <c r="G1798" s="159">
        <f>IFERROR(IF(WEEKDAY($A1798,2)&lt;=INDEX('BASE METAS DIÁRIAS'!$H$2:$M$358,MATCH($A1798,'BASE METAS DIÁRIAS'!$A$2:$A$358,0),MOD(ROW()-2,6)+1),INDEX('BASE METAS DIÁRIAS'!$B$2:$G$358,MATCH($A1798,'BASE METAS DIÁRIAS'!$A$2:$A$358,0),MOD(ROW()-2,6)+1),""),"")</f>
        <v/>
      </c>
      <c r="H1798" s="159">
        <f>IFERROR(IF(INDEX('CONTROLE PRODUÇÃO POR EMPRESAS'!$B$6:$G$5000,MATCH($A1798,'CONTROLE PRODUÇÃO POR EMPRESAS'!$A$6:$A$5000,0),MOD(ROW()-2,6)+1)="","",IFERROR(1*INDEX('CONTROLE PRODUÇÃO POR EMPRESAS'!$B$6:$G$5000,MATCH($A1798,'CONTROLE PRODUÇÃO POR EMPRESAS'!$A$6:$A$5000,0),MOD(ROW()-2,6)+1),"")),"")</f>
        <v/>
      </c>
      <c r="I1798" s="159">
        <f>IF(OR(NOT(ISNUMBER(G1798)),NOT(ISNUMBER(H1798))),"",H1798-G1798)</f>
        <v/>
      </c>
      <c r="J1798" s="319">
        <f>IF(OR(NOT(ISNUMBER(G1798)),NOT(ISNUMBER(H1798)),G1798=0),"",I1798/G1798)</f>
        <v/>
      </c>
      <c r="K1798" s="319">
        <f>IF(OR(NOT(ISNUMBER(G1798)),NOT(ISNUMBER(H1798)),G1798=0),"",H1798/G1798)</f>
        <v/>
      </c>
      <c r="L1798">
        <f>IF(NOT(ISNUMBER(G1798)),"SEM META",IF(G1798=0,"SEM META",IF(NOT(ISNUMBER(H1798)),"SEM APONTAMENTO",IF(H1798&gt;=G1798,"VERDE",IF(H1798&gt;=G1798*0.9,"AMARELO","VERMELHO")))))</f>
        <v/>
      </c>
      <c r="M1798" s="162" t="n"/>
      <c r="N1798" s="162" t="n"/>
      <c r="O1798" s="162" t="n"/>
      <c r="P1798" s="162" t="n"/>
      <c r="Q1798" s="320" t="n"/>
      <c r="R1798" s="162" t="inlineStr">
        <is>
          <t>CONTROLE PRODUÇÃO POR EMPRESAS!D305</t>
        </is>
      </c>
    </row>
    <row r="1799" ht="28.5" customHeight="1">
      <c r="A1799" s="317" t="n">
        <v>46522</v>
      </c>
      <c r="B1799" t="inlineStr">
        <is>
          <t>GERAL</t>
        </is>
      </c>
      <c r="C1799" t="inlineStr">
        <is>
          <t>CMM</t>
        </is>
      </c>
      <c r="D1799" t="inlineStr">
        <is>
          <t>PREMONTAGEM</t>
        </is>
      </c>
      <c r="F1799" s="159">
        <f>IFERROR(INDEX('BASE METAS DIÁRIAS'!$N$2:$S$358,MATCH($A1799,'BASE METAS DIÁRIAS'!$A$2:$A$358,0),MOD(ROW()-2,6)+1),"")</f>
        <v/>
      </c>
      <c r="G1799" s="159">
        <f>IFERROR(IF(WEEKDAY($A1799,2)&lt;=INDEX('BASE METAS DIÁRIAS'!$H$2:$M$358,MATCH($A1799,'BASE METAS DIÁRIAS'!$A$2:$A$358,0),MOD(ROW()-2,6)+1),INDEX('BASE METAS DIÁRIAS'!$B$2:$G$358,MATCH($A1799,'BASE METAS DIÁRIAS'!$A$2:$A$358,0),MOD(ROW()-2,6)+1),""),"")</f>
        <v/>
      </c>
      <c r="H1799" s="159">
        <f>IFERROR(IF(INDEX('CONTROLE PRODUÇÃO POR EMPRESAS'!$B$6:$G$5000,MATCH($A1799,'CONTROLE PRODUÇÃO POR EMPRESAS'!$A$6:$A$5000,0),MOD(ROW()-2,6)+1)="","",IFERROR(1*INDEX('CONTROLE PRODUÇÃO POR EMPRESAS'!$B$6:$G$5000,MATCH($A1799,'CONTROLE PRODUÇÃO POR EMPRESAS'!$A$6:$A$5000,0),MOD(ROW()-2,6)+1),"")),"")</f>
        <v/>
      </c>
      <c r="I1799" s="159">
        <f>IF(OR(NOT(ISNUMBER(G1799)),NOT(ISNUMBER(H1799))),"",H1799-G1799)</f>
        <v/>
      </c>
      <c r="J1799" s="319">
        <f>IF(OR(NOT(ISNUMBER(G1799)),NOT(ISNUMBER(H1799)),G1799=0),"",I1799/G1799)</f>
        <v/>
      </c>
      <c r="K1799" s="319">
        <f>IF(OR(NOT(ISNUMBER(G1799)),NOT(ISNUMBER(H1799)),G1799=0),"",H1799/G1799)</f>
        <v/>
      </c>
      <c r="L1799">
        <f>IF(NOT(ISNUMBER(G1799)),"SEM META",IF(G1799=0,"SEM META",IF(NOT(ISNUMBER(H1799)),"SEM APONTAMENTO",IF(H1799&gt;=G1799,"VERDE",IF(H1799&gt;=G1799*0.9,"AMARELO","VERMELHO")))))</f>
        <v/>
      </c>
      <c r="M1799" s="162" t="n"/>
      <c r="N1799" s="162" t="n"/>
      <c r="O1799" s="162" t="n"/>
      <c r="P1799" s="162" t="n"/>
      <c r="Q1799" s="320" t="n"/>
      <c r="R1799" s="162" t="inlineStr">
        <is>
          <t>CONTROLE PRODUÇÃO POR EMPRESAS!E305</t>
        </is>
      </c>
    </row>
    <row r="1800" ht="28.5" customHeight="1">
      <c r="A1800" s="317" t="n">
        <v>46522</v>
      </c>
      <c r="B1800" t="inlineStr">
        <is>
          <t>GERAL</t>
        </is>
      </c>
      <c r="C1800" t="inlineStr">
        <is>
          <t>CMM</t>
        </is>
      </c>
      <c r="D1800" t="inlineStr">
        <is>
          <t>IÇAMENTO JOIST</t>
        </is>
      </c>
      <c r="F1800" s="159">
        <f>IFERROR(INDEX('BASE METAS DIÁRIAS'!$N$2:$S$358,MATCH($A1800,'BASE METAS DIÁRIAS'!$A$2:$A$358,0),MOD(ROW()-2,6)+1),"")</f>
        <v/>
      </c>
      <c r="G1800" s="159">
        <f>IFERROR(IF(WEEKDAY($A1800,2)&lt;=INDEX('BASE METAS DIÁRIAS'!$H$2:$M$358,MATCH($A1800,'BASE METAS DIÁRIAS'!$A$2:$A$358,0),MOD(ROW()-2,6)+1),INDEX('BASE METAS DIÁRIAS'!$B$2:$G$358,MATCH($A1800,'BASE METAS DIÁRIAS'!$A$2:$A$358,0),MOD(ROW()-2,6)+1),""),"")</f>
        <v/>
      </c>
      <c r="H1800" s="159">
        <f>IFERROR(IF(INDEX('CONTROLE PRODUÇÃO POR EMPRESAS'!$B$6:$G$5000,MATCH($A1800,'CONTROLE PRODUÇÃO POR EMPRESAS'!$A$6:$A$5000,0),MOD(ROW()-2,6)+1)="","",IFERROR(1*INDEX('CONTROLE PRODUÇÃO POR EMPRESAS'!$B$6:$G$5000,MATCH($A1800,'CONTROLE PRODUÇÃO POR EMPRESAS'!$A$6:$A$5000,0),MOD(ROW()-2,6)+1),"")),"")</f>
        <v/>
      </c>
      <c r="I1800" s="159">
        <f>IF(OR(NOT(ISNUMBER(G1800)),NOT(ISNUMBER(H1800))),"",H1800-G1800)</f>
        <v/>
      </c>
      <c r="J1800" s="319">
        <f>IF(OR(NOT(ISNUMBER(G1800)),NOT(ISNUMBER(H1800)),G1800=0),"",I1800/G1800)</f>
        <v/>
      </c>
      <c r="K1800" s="319">
        <f>IF(OR(NOT(ISNUMBER(G1800)),NOT(ISNUMBER(H1800)),G1800=0),"",H1800/G1800)</f>
        <v/>
      </c>
      <c r="L1800">
        <f>IF(NOT(ISNUMBER(G1800)),"SEM META",IF(G1800=0,"SEM META",IF(NOT(ISNUMBER(H1800)),"SEM APONTAMENTO",IF(H1800&gt;=G1800,"VERDE",IF(H1800&gt;=G1800*0.9,"AMARELO","VERMELHO")))))</f>
        <v/>
      </c>
      <c r="M1800" s="162" t="n"/>
      <c r="N1800" s="162" t="n"/>
      <c r="O1800" s="162" t="n"/>
      <c r="P1800" s="162" t="n"/>
      <c r="Q1800" s="320" t="n"/>
      <c r="R1800" s="162" t="inlineStr">
        <is>
          <t>CONTROLE PRODUÇÃO POR EMPRESAS!F305</t>
        </is>
      </c>
    </row>
    <row r="1801" ht="28.5" customHeight="1">
      <c r="A1801" s="317" t="n">
        <v>46522</v>
      </c>
      <c r="B1801" t="inlineStr">
        <is>
          <t>GERAL</t>
        </is>
      </c>
      <c r="C1801" t="inlineStr">
        <is>
          <t>CMM</t>
        </is>
      </c>
      <c r="D1801" t="inlineStr">
        <is>
          <t>VIGAS</t>
        </is>
      </c>
      <c r="F1801" s="159">
        <f>IFERROR(INDEX('BASE METAS DIÁRIAS'!$N$2:$S$358,MATCH($A1801,'BASE METAS DIÁRIAS'!$A$2:$A$358,0),MOD(ROW()-2,6)+1),"")</f>
        <v/>
      </c>
      <c r="G1801" s="159">
        <f>IFERROR(IF(WEEKDAY($A1801,2)&lt;=INDEX('BASE METAS DIÁRIAS'!$H$2:$M$358,MATCH($A1801,'BASE METAS DIÁRIAS'!$A$2:$A$358,0),MOD(ROW()-2,6)+1),INDEX('BASE METAS DIÁRIAS'!$B$2:$G$358,MATCH($A1801,'BASE METAS DIÁRIAS'!$A$2:$A$358,0),MOD(ROW()-2,6)+1),""),"")</f>
        <v/>
      </c>
      <c r="H1801" s="159">
        <f>IFERROR(IF(INDEX('CONTROLE PRODUÇÃO POR EMPRESAS'!$B$6:$G$5000,MATCH($A1801,'CONTROLE PRODUÇÃO POR EMPRESAS'!$A$6:$A$5000,0),MOD(ROW()-2,6)+1)="","",IFERROR(1*INDEX('CONTROLE PRODUÇÃO POR EMPRESAS'!$B$6:$G$5000,MATCH($A1801,'CONTROLE PRODUÇÃO POR EMPRESAS'!$A$6:$A$5000,0),MOD(ROW()-2,6)+1),"")),"")</f>
        <v/>
      </c>
      <c r="I1801" s="159">
        <f>IF(OR(NOT(ISNUMBER(G1801)),NOT(ISNUMBER(H1801))),"",H1801-G1801)</f>
        <v/>
      </c>
      <c r="J1801" s="319">
        <f>IF(OR(NOT(ISNUMBER(G1801)),NOT(ISNUMBER(H1801)),G1801=0),"",I1801/G1801)</f>
        <v/>
      </c>
      <c r="K1801" s="319">
        <f>IF(OR(NOT(ISNUMBER(G1801)),NOT(ISNUMBER(H1801)),G1801=0),"",H1801/G1801)</f>
        <v/>
      </c>
      <c r="L1801">
        <f>IF(NOT(ISNUMBER(G1801)),"SEM META",IF(G1801=0,"SEM META",IF(NOT(ISNUMBER(H1801)),"SEM APONTAMENTO",IF(H1801&gt;=G1801,"VERDE",IF(H1801&gt;=G1801*0.9,"AMARELO","VERMELHO")))))</f>
        <v/>
      </c>
      <c r="M1801" s="162" t="n"/>
      <c r="N1801" s="162" t="n"/>
      <c r="O1801" s="162" t="n"/>
      <c r="P1801" s="162" t="n"/>
      <c r="Q1801" s="320" t="n"/>
      <c r="R1801" s="162" t="inlineStr">
        <is>
          <t>CONTROLE PRODUÇÃO POR EMPRESAS!G305</t>
        </is>
      </c>
    </row>
    <row r="1802" ht="28.5" customHeight="1">
      <c r="A1802" s="317" t="n">
        <v>46523</v>
      </c>
      <c r="B1802" t="inlineStr">
        <is>
          <t>GERAL</t>
        </is>
      </c>
      <c r="C1802" t="inlineStr">
        <is>
          <t>EJ</t>
        </is>
      </c>
      <c r="D1802" t="inlineStr">
        <is>
          <t>PREMONTAGEM</t>
        </is>
      </c>
      <c r="F1802" s="159">
        <f>IFERROR(INDEX('BASE METAS DIÁRIAS'!$N$2:$S$358,MATCH($A1802,'BASE METAS DIÁRIAS'!$A$2:$A$358,0),MOD(ROW()-2,6)+1),"")</f>
        <v/>
      </c>
      <c r="G1802" s="159">
        <f>IFERROR(IF(WEEKDAY($A1802,2)&lt;=INDEX('BASE METAS DIÁRIAS'!$H$2:$M$358,MATCH($A1802,'BASE METAS DIÁRIAS'!$A$2:$A$358,0),MOD(ROW()-2,6)+1),INDEX('BASE METAS DIÁRIAS'!$B$2:$G$358,MATCH($A1802,'BASE METAS DIÁRIAS'!$A$2:$A$358,0),MOD(ROW()-2,6)+1),""),"")</f>
        <v/>
      </c>
      <c r="H1802" s="159">
        <f>IFERROR(IF(INDEX('CONTROLE PRODUÇÃO POR EMPRESAS'!$B$6:$G$5000,MATCH($A1802,'CONTROLE PRODUÇÃO POR EMPRESAS'!$A$6:$A$5000,0),MOD(ROW()-2,6)+1)="","",IFERROR(1*INDEX('CONTROLE PRODUÇÃO POR EMPRESAS'!$B$6:$G$5000,MATCH($A1802,'CONTROLE PRODUÇÃO POR EMPRESAS'!$A$6:$A$5000,0),MOD(ROW()-2,6)+1),"")),"")</f>
        <v/>
      </c>
      <c r="I1802" s="159">
        <f>IF(OR(NOT(ISNUMBER(G1802)),NOT(ISNUMBER(H1802))),"",H1802-G1802)</f>
        <v/>
      </c>
      <c r="J1802" s="319">
        <f>IF(OR(NOT(ISNUMBER(G1802)),NOT(ISNUMBER(H1802)),G1802=0),"",I1802/G1802)</f>
        <v/>
      </c>
      <c r="K1802" s="319">
        <f>IF(OR(NOT(ISNUMBER(G1802)),NOT(ISNUMBER(H1802)),G1802=0),"",H1802/G1802)</f>
        <v/>
      </c>
      <c r="L1802">
        <f>IF(NOT(ISNUMBER(G1802)),"SEM META",IF(G1802=0,"SEM META",IF(NOT(ISNUMBER(H1802)),"SEM APONTAMENTO",IF(H1802&gt;=G1802,"VERDE",IF(H1802&gt;=G1802*0.9,"AMARELO","VERMELHO")))))</f>
        <v/>
      </c>
      <c r="M1802" s="162" t="n"/>
      <c r="N1802" s="162" t="n"/>
      <c r="O1802" s="162" t="n"/>
      <c r="P1802" s="162" t="n"/>
      <c r="Q1802" s="320" t="n"/>
      <c r="R1802" s="162" t="inlineStr">
        <is>
          <t>CONTROLE PRODUÇÃO POR EMPRESAS!B306</t>
        </is>
      </c>
    </row>
    <row r="1803" ht="28.5" customHeight="1">
      <c r="A1803" s="317" t="n">
        <v>46523</v>
      </c>
      <c r="B1803" t="inlineStr">
        <is>
          <t>GERAL</t>
        </is>
      </c>
      <c r="C1803" t="inlineStr">
        <is>
          <t>EJ</t>
        </is>
      </c>
      <c r="D1803" t="inlineStr">
        <is>
          <t>IÇAMENTO JOIST</t>
        </is>
      </c>
      <c r="F1803" s="159">
        <f>IFERROR(INDEX('BASE METAS DIÁRIAS'!$N$2:$S$358,MATCH($A1803,'BASE METAS DIÁRIAS'!$A$2:$A$358,0),MOD(ROW()-2,6)+1),"")</f>
        <v/>
      </c>
      <c r="G1803" s="159">
        <f>IFERROR(IF(WEEKDAY($A1803,2)&lt;=INDEX('BASE METAS DIÁRIAS'!$H$2:$M$358,MATCH($A1803,'BASE METAS DIÁRIAS'!$A$2:$A$358,0),MOD(ROW()-2,6)+1),INDEX('BASE METAS DIÁRIAS'!$B$2:$G$358,MATCH($A1803,'BASE METAS DIÁRIAS'!$A$2:$A$358,0),MOD(ROW()-2,6)+1),""),"")</f>
        <v/>
      </c>
      <c r="H1803" s="159">
        <f>IFERROR(IF(INDEX('CONTROLE PRODUÇÃO POR EMPRESAS'!$B$6:$G$5000,MATCH($A1803,'CONTROLE PRODUÇÃO POR EMPRESAS'!$A$6:$A$5000,0),MOD(ROW()-2,6)+1)="","",IFERROR(1*INDEX('CONTROLE PRODUÇÃO POR EMPRESAS'!$B$6:$G$5000,MATCH($A1803,'CONTROLE PRODUÇÃO POR EMPRESAS'!$A$6:$A$5000,0),MOD(ROW()-2,6)+1),"")),"")</f>
        <v/>
      </c>
      <c r="I1803" s="159">
        <f>IF(OR(NOT(ISNUMBER(G1803)),NOT(ISNUMBER(H1803))),"",H1803-G1803)</f>
        <v/>
      </c>
      <c r="J1803" s="319">
        <f>IF(OR(NOT(ISNUMBER(G1803)),NOT(ISNUMBER(H1803)),G1803=0),"",I1803/G1803)</f>
        <v/>
      </c>
      <c r="K1803" s="319">
        <f>IF(OR(NOT(ISNUMBER(G1803)),NOT(ISNUMBER(H1803)),G1803=0),"",H1803/G1803)</f>
        <v/>
      </c>
      <c r="L1803">
        <f>IF(NOT(ISNUMBER(G1803)),"SEM META",IF(G1803=0,"SEM META",IF(NOT(ISNUMBER(H1803)),"SEM APONTAMENTO",IF(H1803&gt;=G1803,"VERDE",IF(H1803&gt;=G1803*0.9,"AMARELO","VERMELHO")))))</f>
        <v/>
      </c>
      <c r="M1803" s="162" t="n"/>
      <c r="N1803" s="162" t="n"/>
      <c r="O1803" s="162" t="n"/>
      <c r="P1803" s="162" t="n"/>
      <c r="Q1803" s="320" t="n"/>
      <c r="R1803" s="162" t="inlineStr">
        <is>
          <t>CONTROLE PRODUÇÃO POR EMPRESAS!C306</t>
        </is>
      </c>
    </row>
    <row r="1804" ht="28.5" customHeight="1">
      <c r="A1804" s="317" t="n">
        <v>46523</v>
      </c>
      <c r="B1804" t="inlineStr">
        <is>
          <t>GERAL</t>
        </is>
      </c>
      <c r="C1804" t="inlineStr">
        <is>
          <t>EJ</t>
        </is>
      </c>
      <c r="D1804" t="inlineStr">
        <is>
          <t>VIGAS</t>
        </is>
      </c>
      <c r="F1804" s="159">
        <f>IFERROR(INDEX('BASE METAS DIÁRIAS'!$N$2:$S$358,MATCH($A1804,'BASE METAS DIÁRIAS'!$A$2:$A$358,0),MOD(ROW()-2,6)+1),"")</f>
        <v/>
      </c>
      <c r="G1804" s="159">
        <f>IFERROR(IF(WEEKDAY($A1804,2)&lt;=INDEX('BASE METAS DIÁRIAS'!$H$2:$M$358,MATCH($A1804,'BASE METAS DIÁRIAS'!$A$2:$A$358,0),MOD(ROW()-2,6)+1),INDEX('BASE METAS DIÁRIAS'!$B$2:$G$358,MATCH($A1804,'BASE METAS DIÁRIAS'!$A$2:$A$358,0),MOD(ROW()-2,6)+1),""),"")</f>
        <v/>
      </c>
      <c r="H1804" s="159">
        <f>IFERROR(IF(INDEX('CONTROLE PRODUÇÃO POR EMPRESAS'!$B$6:$G$5000,MATCH($A1804,'CONTROLE PRODUÇÃO POR EMPRESAS'!$A$6:$A$5000,0),MOD(ROW()-2,6)+1)="","",IFERROR(1*INDEX('CONTROLE PRODUÇÃO POR EMPRESAS'!$B$6:$G$5000,MATCH($A1804,'CONTROLE PRODUÇÃO POR EMPRESAS'!$A$6:$A$5000,0),MOD(ROW()-2,6)+1),"")),"")</f>
        <v/>
      </c>
      <c r="I1804" s="159">
        <f>IF(OR(NOT(ISNUMBER(G1804)),NOT(ISNUMBER(H1804))),"",H1804-G1804)</f>
        <v/>
      </c>
      <c r="J1804" s="319">
        <f>IF(OR(NOT(ISNUMBER(G1804)),NOT(ISNUMBER(H1804)),G1804=0),"",I1804/G1804)</f>
        <v/>
      </c>
      <c r="K1804" s="319">
        <f>IF(OR(NOT(ISNUMBER(G1804)),NOT(ISNUMBER(H1804)),G1804=0),"",H1804/G1804)</f>
        <v/>
      </c>
      <c r="L1804">
        <f>IF(NOT(ISNUMBER(G1804)),"SEM META",IF(G1804=0,"SEM META",IF(NOT(ISNUMBER(H1804)),"SEM APONTAMENTO",IF(H1804&gt;=G1804,"VERDE",IF(H1804&gt;=G1804*0.9,"AMARELO","VERMELHO")))))</f>
        <v/>
      </c>
      <c r="M1804" s="162" t="n"/>
      <c r="N1804" s="162" t="n"/>
      <c r="O1804" s="162" t="n"/>
      <c r="P1804" s="162" t="n"/>
      <c r="Q1804" s="320" t="n"/>
      <c r="R1804" s="162" t="inlineStr">
        <is>
          <t>CONTROLE PRODUÇÃO POR EMPRESAS!D306</t>
        </is>
      </c>
    </row>
    <row r="1805" ht="28.5" customHeight="1">
      <c r="A1805" s="317" t="n">
        <v>46523</v>
      </c>
      <c r="B1805" t="inlineStr">
        <is>
          <t>GERAL</t>
        </is>
      </c>
      <c r="C1805" t="inlineStr">
        <is>
          <t>CMM</t>
        </is>
      </c>
      <c r="D1805" t="inlineStr">
        <is>
          <t>PREMONTAGEM</t>
        </is>
      </c>
      <c r="F1805" s="159">
        <f>IFERROR(INDEX('BASE METAS DIÁRIAS'!$N$2:$S$358,MATCH($A1805,'BASE METAS DIÁRIAS'!$A$2:$A$358,0),MOD(ROW()-2,6)+1),"")</f>
        <v/>
      </c>
      <c r="G1805" s="159">
        <f>IFERROR(IF(WEEKDAY($A1805,2)&lt;=INDEX('BASE METAS DIÁRIAS'!$H$2:$M$358,MATCH($A1805,'BASE METAS DIÁRIAS'!$A$2:$A$358,0),MOD(ROW()-2,6)+1),INDEX('BASE METAS DIÁRIAS'!$B$2:$G$358,MATCH($A1805,'BASE METAS DIÁRIAS'!$A$2:$A$358,0),MOD(ROW()-2,6)+1),""),"")</f>
        <v/>
      </c>
      <c r="H1805" s="159">
        <f>IFERROR(IF(INDEX('CONTROLE PRODUÇÃO POR EMPRESAS'!$B$6:$G$5000,MATCH($A1805,'CONTROLE PRODUÇÃO POR EMPRESAS'!$A$6:$A$5000,0),MOD(ROW()-2,6)+1)="","",IFERROR(1*INDEX('CONTROLE PRODUÇÃO POR EMPRESAS'!$B$6:$G$5000,MATCH($A1805,'CONTROLE PRODUÇÃO POR EMPRESAS'!$A$6:$A$5000,0),MOD(ROW()-2,6)+1),"")),"")</f>
        <v/>
      </c>
      <c r="I1805" s="159">
        <f>IF(OR(NOT(ISNUMBER(G1805)),NOT(ISNUMBER(H1805))),"",H1805-G1805)</f>
        <v/>
      </c>
      <c r="J1805" s="319">
        <f>IF(OR(NOT(ISNUMBER(G1805)),NOT(ISNUMBER(H1805)),G1805=0),"",I1805/G1805)</f>
        <v/>
      </c>
      <c r="K1805" s="319">
        <f>IF(OR(NOT(ISNUMBER(G1805)),NOT(ISNUMBER(H1805)),G1805=0),"",H1805/G1805)</f>
        <v/>
      </c>
      <c r="L1805">
        <f>IF(NOT(ISNUMBER(G1805)),"SEM META",IF(G1805=0,"SEM META",IF(NOT(ISNUMBER(H1805)),"SEM APONTAMENTO",IF(H1805&gt;=G1805,"VERDE",IF(H1805&gt;=G1805*0.9,"AMARELO","VERMELHO")))))</f>
        <v/>
      </c>
      <c r="M1805" s="162" t="n"/>
      <c r="N1805" s="162" t="n"/>
      <c r="O1805" s="162" t="n"/>
      <c r="P1805" s="162" t="n"/>
      <c r="Q1805" s="320" t="n"/>
      <c r="R1805" s="162" t="inlineStr">
        <is>
          <t>CONTROLE PRODUÇÃO POR EMPRESAS!E306</t>
        </is>
      </c>
    </row>
    <row r="1806" ht="28.5" customHeight="1">
      <c r="A1806" s="317" t="n">
        <v>46523</v>
      </c>
      <c r="B1806" t="inlineStr">
        <is>
          <t>GERAL</t>
        </is>
      </c>
      <c r="C1806" t="inlineStr">
        <is>
          <t>CMM</t>
        </is>
      </c>
      <c r="D1806" t="inlineStr">
        <is>
          <t>IÇAMENTO JOIST</t>
        </is>
      </c>
      <c r="F1806" s="159">
        <f>IFERROR(INDEX('BASE METAS DIÁRIAS'!$N$2:$S$358,MATCH($A1806,'BASE METAS DIÁRIAS'!$A$2:$A$358,0),MOD(ROW()-2,6)+1),"")</f>
        <v/>
      </c>
      <c r="G1806" s="159">
        <f>IFERROR(IF(WEEKDAY($A1806,2)&lt;=INDEX('BASE METAS DIÁRIAS'!$H$2:$M$358,MATCH($A1806,'BASE METAS DIÁRIAS'!$A$2:$A$358,0),MOD(ROW()-2,6)+1),INDEX('BASE METAS DIÁRIAS'!$B$2:$G$358,MATCH($A1806,'BASE METAS DIÁRIAS'!$A$2:$A$358,0),MOD(ROW()-2,6)+1),""),"")</f>
        <v/>
      </c>
      <c r="H1806" s="159">
        <f>IFERROR(IF(INDEX('CONTROLE PRODUÇÃO POR EMPRESAS'!$B$6:$G$5000,MATCH($A1806,'CONTROLE PRODUÇÃO POR EMPRESAS'!$A$6:$A$5000,0),MOD(ROW()-2,6)+1)="","",IFERROR(1*INDEX('CONTROLE PRODUÇÃO POR EMPRESAS'!$B$6:$G$5000,MATCH($A1806,'CONTROLE PRODUÇÃO POR EMPRESAS'!$A$6:$A$5000,0),MOD(ROW()-2,6)+1),"")),"")</f>
        <v/>
      </c>
      <c r="I1806" s="159">
        <f>IF(OR(NOT(ISNUMBER(G1806)),NOT(ISNUMBER(H1806))),"",H1806-G1806)</f>
        <v/>
      </c>
      <c r="J1806" s="319">
        <f>IF(OR(NOT(ISNUMBER(G1806)),NOT(ISNUMBER(H1806)),G1806=0),"",I1806/G1806)</f>
        <v/>
      </c>
      <c r="K1806" s="319">
        <f>IF(OR(NOT(ISNUMBER(G1806)),NOT(ISNUMBER(H1806)),G1806=0),"",H1806/G1806)</f>
        <v/>
      </c>
      <c r="L1806">
        <f>IF(NOT(ISNUMBER(G1806)),"SEM META",IF(G1806=0,"SEM META",IF(NOT(ISNUMBER(H1806)),"SEM APONTAMENTO",IF(H1806&gt;=G1806,"VERDE",IF(H1806&gt;=G1806*0.9,"AMARELO","VERMELHO")))))</f>
        <v/>
      </c>
      <c r="M1806" s="162" t="n"/>
      <c r="N1806" s="162" t="n"/>
      <c r="O1806" s="162" t="n"/>
      <c r="P1806" s="162" t="n"/>
      <c r="Q1806" s="320" t="n"/>
      <c r="R1806" s="162" t="inlineStr">
        <is>
          <t>CONTROLE PRODUÇÃO POR EMPRESAS!F306</t>
        </is>
      </c>
    </row>
    <row r="1807" ht="28.5" customHeight="1">
      <c r="A1807" s="317" t="n">
        <v>46523</v>
      </c>
      <c r="B1807" t="inlineStr">
        <is>
          <t>GERAL</t>
        </is>
      </c>
      <c r="C1807" t="inlineStr">
        <is>
          <t>CMM</t>
        </is>
      </c>
      <c r="D1807" t="inlineStr">
        <is>
          <t>VIGAS</t>
        </is>
      </c>
      <c r="F1807" s="159">
        <f>IFERROR(INDEX('BASE METAS DIÁRIAS'!$N$2:$S$358,MATCH($A1807,'BASE METAS DIÁRIAS'!$A$2:$A$358,0),MOD(ROW()-2,6)+1),"")</f>
        <v/>
      </c>
      <c r="G1807" s="159">
        <f>IFERROR(IF(WEEKDAY($A1807,2)&lt;=INDEX('BASE METAS DIÁRIAS'!$H$2:$M$358,MATCH($A1807,'BASE METAS DIÁRIAS'!$A$2:$A$358,0),MOD(ROW()-2,6)+1),INDEX('BASE METAS DIÁRIAS'!$B$2:$G$358,MATCH($A1807,'BASE METAS DIÁRIAS'!$A$2:$A$358,0),MOD(ROW()-2,6)+1),""),"")</f>
        <v/>
      </c>
      <c r="H1807" s="159">
        <f>IFERROR(IF(INDEX('CONTROLE PRODUÇÃO POR EMPRESAS'!$B$6:$G$5000,MATCH($A1807,'CONTROLE PRODUÇÃO POR EMPRESAS'!$A$6:$A$5000,0),MOD(ROW()-2,6)+1)="","",IFERROR(1*INDEX('CONTROLE PRODUÇÃO POR EMPRESAS'!$B$6:$G$5000,MATCH($A1807,'CONTROLE PRODUÇÃO POR EMPRESAS'!$A$6:$A$5000,0),MOD(ROW()-2,6)+1),"")),"")</f>
        <v/>
      </c>
      <c r="I1807" s="159">
        <f>IF(OR(NOT(ISNUMBER(G1807)),NOT(ISNUMBER(H1807))),"",H1807-G1807)</f>
        <v/>
      </c>
      <c r="J1807" s="319">
        <f>IF(OR(NOT(ISNUMBER(G1807)),NOT(ISNUMBER(H1807)),G1807=0),"",I1807/G1807)</f>
        <v/>
      </c>
      <c r="K1807" s="319">
        <f>IF(OR(NOT(ISNUMBER(G1807)),NOT(ISNUMBER(H1807)),G1807=0),"",H1807/G1807)</f>
        <v/>
      </c>
      <c r="L1807">
        <f>IF(NOT(ISNUMBER(G1807)),"SEM META",IF(G1807=0,"SEM META",IF(NOT(ISNUMBER(H1807)),"SEM APONTAMENTO",IF(H1807&gt;=G1807,"VERDE",IF(H1807&gt;=G1807*0.9,"AMARELO","VERMELHO")))))</f>
        <v/>
      </c>
      <c r="M1807" s="162" t="n"/>
      <c r="N1807" s="162" t="n"/>
      <c r="O1807" s="162" t="n"/>
      <c r="P1807" s="162" t="n"/>
      <c r="Q1807" s="320" t="n"/>
      <c r="R1807" s="162" t="inlineStr">
        <is>
          <t>CONTROLE PRODUÇÃO POR EMPRESAS!G306</t>
        </is>
      </c>
    </row>
    <row r="1808" ht="28.5" customHeight="1">
      <c r="A1808" s="317" t="n">
        <v>46524</v>
      </c>
      <c r="B1808" t="inlineStr">
        <is>
          <t>GERAL</t>
        </is>
      </c>
      <c r="C1808" t="inlineStr">
        <is>
          <t>EJ</t>
        </is>
      </c>
      <c r="D1808" t="inlineStr">
        <is>
          <t>PREMONTAGEM</t>
        </is>
      </c>
      <c r="F1808" s="159">
        <f>IFERROR(INDEX('BASE METAS DIÁRIAS'!$N$2:$S$358,MATCH($A1808,'BASE METAS DIÁRIAS'!$A$2:$A$358,0),MOD(ROW()-2,6)+1),"")</f>
        <v/>
      </c>
      <c r="G1808" s="159">
        <f>IFERROR(IF(WEEKDAY($A1808,2)&lt;=INDEX('BASE METAS DIÁRIAS'!$H$2:$M$358,MATCH($A1808,'BASE METAS DIÁRIAS'!$A$2:$A$358,0),MOD(ROW()-2,6)+1),INDEX('BASE METAS DIÁRIAS'!$B$2:$G$358,MATCH($A1808,'BASE METAS DIÁRIAS'!$A$2:$A$358,0),MOD(ROW()-2,6)+1),""),"")</f>
        <v/>
      </c>
      <c r="H1808" s="159">
        <f>IFERROR(IF(INDEX('CONTROLE PRODUÇÃO POR EMPRESAS'!$B$6:$G$5000,MATCH($A1808,'CONTROLE PRODUÇÃO POR EMPRESAS'!$A$6:$A$5000,0),MOD(ROW()-2,6)+1)="","",IFERROR(1*INDEX('CONTROLE PRODUÇÃO POR EMPRESAS'!$B$6:$G$5000,MATCH($A1808,'CONTROLE PRODUÇÃO POR EMPRESAS'!$A$6:$A$5000,0),MOD(ROW()-2,6)+1),"")),"")</f>
        <v/>
      </c>
      <c r="I1808" s="159">
        <f>IF(OR(NOT(ISNUMBER(G1808)),NOT(ISNUMBER(H1808))),"",H1808-G1808)</f>
        <v/>
      </c>
      <c r="J1808" s="319">
        <f>IF(OR(NOT(ISNUMBER(G1808)),NOT(ISNUMBER(H1808)),G1808=0),"",I1808/G1808)</f>
        <v/>
      </c>
      <c r="K1808" s="319">
        <f>IF(OR(NOT(ISNUMBER(G1808)),NOT(ISNUMBER(H1808)),G1808=0),"",H1808/G1808)</f>
        <v/>
      </c>
      <c r="L1808">
        <f>IF(NOT(ISNUMBER(G1808)),"SEM META",IF(G1808=0,"SEM META",IF(NOT(ISNUMBER(H1808)),"SEM APONTAMENTO",IF(H1808&gt;=G1808,"VERDE",IF(H1808&gt;=G1808*0.9,"AMARELO","VERMELHO")))))</f>
        <v/>
      </c>
      <c r="M1808" s="162" t="n"/>
      <c r="N1808" s="162" t="n"/>
      <c r="O1808" s="162" t="n"/>
      <c r="P1808" s="162" t="n"/>
      <c r="Q1808" s="320" t="n"/>
      <c r="R1808" s="162" t="inlineStr">
        <is>
          <t>CONTROLE PRODUÇÃO POR EMPRESAS!B307</t>
        </is>
      </c>
    </row>
    <row r="1809" ht="28.5" customHeight="1">
      <c r="A1809" s="317" t="n">
        <v>46524</v>
      </c>
      <c r="B1809" t="inlineStr">
        <is>
          <t>GERAL</t>
        </is>
      </c>
      <c r="C1809" t="inlineStr">
        <is>
          <t>EJ</t>
        </is>
      </c>
      <c r="D1809" t="inlineStr">
        <is>
          <t>IÇAMENTO JOIST</t>
        </is>
      </c>
      <c r="F1809" s="159">
        <f>IFERROR(INDEX('BASE METAS DIÁRIAS'!$N$2:$S$358,MATCH($A1809,'BASE METAS DIÁRIAS'!$A$2:$A$358,0),MOD(ROW()-2,6)+1),"")</f>
        <v/>
      </c>
      <c r="G1809" s="159">
        <f>IFERROR(IF(WEEKDAY($A1809,2)&lt;=INDEX('BASE METAS DIÁRIAS'!$H$2:$M$358,MATCH($A1809,'BASE METAS DIÁRIAS'!$A$2:$A$358,0),MOD(ROW()-2,6)+1),INDEX('BASE METAS DIÁRIAS'!$B$2:$G$358,MATCH($A1809,'BASE METAS DIÁRIAS'!$A$2:$A$358,0),MOD(ROW()-2,6)+1),""),"")</f>
        <v/>
      </c>
      <c r="H1809" s="159">
        <f>IFERROR(IF(INDEX('CONTROLE PRODUÇÃO POR EMPRESAS'!$B$6:$G$5000,MATCH($A1809,'CONTROLE PRODUÇÃO POR EMPRESAS'!$A$6:$A$5000,0),MOD(ROW()-2,6)+1)="","",IFERROR(1*INDEX('CONTROLE PRODUÇÃO POR EMPRESAS'!$B$6:$G$5000,MATCH($A1809,'CONTROLE PRODUÇÃO POR EMPRESAS'!$A$6:$A$5000,0),MOD(ROW()-2,6)+1),"")),"")</f>
        <v/>
      </c>
      <c r="I1809" s="159">
        <f>IF(OR(NOT(ISNUMBER(G1809)),NOT(ISNUMBER(H1809))),"",H1809-G1809)</f>
        <v/>
      </c>
      <c r="J1809" s="319">
        <f>IF(OR(NOT(ISNUMBER(G1809)),NOT(ISNUMBER(H1809)),G1809=0),"",I1809/G1809)</f>
        <v/>
      </c>
      <c r="K1809" s="319">
        <f>IF(OR(NOT(ISNUMBER(G1809)),NOT(ISNUMBER(H1809)),G1809=0),"",H1809/G1809)</f>
        <v/>
      </c>
      <c r="L1809">
        <f>IF(NOT(ISNUMBER(G1809)),"SEM META",IF(G1809=0,"SEM META",IF(NOT(ISNUMBER(H1809)),"SEM APONTAMENTO",IF(H1809&gt;=G1809,"VERDE",IF(H1809&gt;=G1809*0.9,"AMARELO","VERMELHO")))))</f>
        <v/>
      </c>
      <c r="M1809" s="162" t="n"/>
      <c r="N1809" s="162" t="n"/>
      <c r="O1809" s="162" t="n"/>
      <c r="P1809" s="162" t="n"/>
      <c r="Q1809" s="320" t="n"/>
      <c r="R1809" s="162" t="inlineStr">
        <is>
          <t>CONTROLE PRODUÇÃO POR EMPRESAS!C307</t>
        </is>
      </c>
    </row>
    <row r="1810" ht="28.5" customHeight="1">
      <c r="A1810" s="317" t="n">
        <v>46524</v>
      </c>
      <c r="B1810" t="inlineStr">
        <is>
          <t>GERAL</t>
        </is>
      </c>
      <c r="C1810" t="inlineStr">
        <is>
          <t>EJ</t>
        </is>
      </c>
      <c r="D1810" t="inlineStr">
        <is>
          <t>VIGAS</t>
        </is>
      </c>
      <c r="F1810" s="159">
        <f>IFERROR(INDEX('BASE METAS DIÁRIAS'!$N$2:$S$358,MATCH($A1810,'BASE METAS DIÁRIAS'!$A$2:$A$358,0),MOD(ROW()-2,6)+1),"")</f>
        <v/>
      </c>
      <c r="G1810" s="159">
        <f>IFERROR(IF(WEEKDAY($A1810,2)&lt;=INDEX('BASE METAS DIÁRIAS'!$H$2:$M$358,MATCH($A1810,'BASE METAS DIÁRIAS'!$A$2:$A$358,0),MOD(ROW()-2,6)+1),INDEX('BASE METAS DIÁRIAS'!$B$2:$G$358,MATCH($A1810,'BASE METAS DIÁRIAS'!$A$2:$A$358,0),MOD(ROW()-2,6)+1),""),"")</f>
        <v/>
      </c>
      <c r="H1810" s="159">
        <f>IFERROR(IF(INDEX('CONTROLE PRODUÇÃO POR EMPRESAS'!$B$6:$G$5000,MATCH($A1810,'CONTROLE PRODUÇÃO POR EMPRESAS'!$A$6:$A$5000,0),MOD(ROW()-2,6)+1)="","",IFERROR(1*INDEX('CONTROLE PRODUÇÃO POR EMPRESAS'!$B$6:$G$5000,MATCH($A1810,'CONTROLE PRODUÇÃO POR EMPRESAS'!$A$6:$A$5000,0),MOD(ROW()-2,6)+1),"")),"")</f>
        <v/>
      </c>
      <c r="I1810" s="159">
        <f>IF(OR(NOT(ISNUMBER(G1810)),NOT(ISNUMBER(H1810))),"",H1810-G1810)</f>
        <v/>
      </c>
      <c r="J1810" s="319">
        <f>IF(OR(NOT(ISNUMBER(G1810)),NOT(ISNUMBER(H1810)),G1810=0),"",I1810/G1810)</f>
        <v/>
      </c>
      <c r="K1810" s="319">
        <f>IF(OR(NOT(ISNUMBER(G1810)),NOT(ISNUMBER(H1810)),G1810=0),"",H1810/G1810)</f>
        <v/>
      </c>
      <c r="L1810">
        <f>IF(NOT(ISNUMBER(G1810)),"SEM META",IF(G1810=0,"SEM META",IF(NOT(ISNUMBER(H1810)),"SEM APONTAMENTO",IF(H1810&gt;=G1810,"VERDE",IF(H1810&gt;=G1810*0.9,"AMARELO","VERMELHO")))))</f>
        <v/>
      </c>
      <c r="M1810" s="162" t="n"/>
      <c r="N1810" s="162" t="n"/>
      <c r="O1810" s="162" t="n"/>
      <c r="P1810" s="162" t="n"/>
      <c r="Q1810" s="320" t="n"/>
      <c r="R1810" s="162" t="inlineStr">
        <is>
          <t>CONTROLE PRODUÇÃO POR EMPRESAS!D307</t>
        </is>
      </c>
    </row>
    <row r="1811" ht="28.5" customHeight="1">
      <c r="A1811" s="317" t="n">
        <v>46524</v>
      </c>
      <c r="B1811" t="inlineStr">
        <is>
          <t>GERAL</t>
        </is>
      </c>
      <c r="C1811" t="inlineStr">
        <is>
          <t>CMM</t>
        </is>
      </c>
      <c r="D1811" t="inlineStr">
        <is>
          <t>PREMONTAGEM</t>
        </is>
      </c>
      <c r="F1811" s="159">
        <f>IFERROR(INDEX('BASE METAS DIÁRIAS'!$N$2:$S$358,MATCH($A1811,'BASE METAS DIÁRIAS'!$A$2:$A$358,0),MOD(ROW()-2,6)+1),"")</f>
        <v/>
      </c>
      <c r="G1811" s="159">
        <f>IFERROR(IF(WEEKDAY($A1811,2)&lt;=INDEX('BASE METAS DIÁRIAS'!$H$2:$M$358,MATCH($A1811,'BASE METAS DIÁRIAS'!$A$2:$A$358,0),MOD(ROW()-2,6)+1),INDEX('BASE METAS DIÁRIAS'!$B$2:$G$358,MATCH($A1811,'BASE METAS DIÁRIAS'!$A$2:$A$358,0),MOD(ROW()-2,6)+1),""),"")</f>
        <v/>
      </c>
      <c r="H1811" s="159">
        <f>IFERROR(IF(INDEX('CONTROLE PRODUÇÃO POR EMPRESAS'!$B$6:$G$5000,MATCH($A1811,'CONTROLE PRODUÇÃO POR EMPRESAS'!$A$6:$A$5000,0),MOD(ROW()-2,6)+1)="","",IFERROR(1*INDEX('CONTROLE PRODUÇÃO POR EMPRESAS'!$B$6:$G$5000,MATCH($A1811,'CONTROLE PRODUÇÃO POR EMPRESAS'!$A$6:$A$5000,0),MOD(ROW()-2,6)+1),"")),"")</f>
        <v/>
      </c>
      <c r="I1811" s="159">
        <f>IF(OR(NOT(ISNUMBER(G1811)),NOT(ISNUMBER(H1811))),"",H1811-G1811)</f>
        <v/>
      </c>
      <c r="J1811" s="319">
        <f>IF(OR(NOT(ISNUMBER(G1811)),NOT(ISNUMBER(H1811)),G1811=0),"",I1811/G1811)</f>
        <v/>
      </c>
      <c r="K1811" s="319">
        <f>IF(OR(NOT(ISNUMBER(G1811)),NOT(ISNUMBER(H1811)),G1811=0),"",H1811/G1811)</f>
        <v/>
      </c>
      <c r="L1811">
        <f>IF(NOT(ISNUMBER(G1811)),"SEM META",IF(G1811=0,"SEM META",IF(NOT(ISNUMBER(H1811)),"SEM APONTAMENTO",IF(H1811&gt;=G1811,"VERDE",IF(H1811&gt;=G1811*0.9,"AMARELO","VERMELHO")))))</f>
        <v/>
      </c>
      <c r="M1811" s="162" t="n"/>
      <c r="N1811" s="162" t="n"/>
      <c r="O1811" s="162" t="n"/>
      <c r="P1811" s="162" t="n"/>
      <c r="Q1811" s="320" t="n"/>
      <c r="R1811" s="162" t="inlineStr">
        <is>
          <t>CONTROLE PRODUÇÃO POR EMPRESAS!E307</t>
        </is>
      </c>
    </row>
    <row r="1812" ht="28.5" customHeight="1">
      <c r="A1812" s="317" t="n">
        <v>46524</v>
      </c>
      <c r="B1812" t="inlineStr">
        <is>
          <t>GERAL</t>
        </is>
      </c>
      <c r="C1812" t="inlineStr">
        <is>
          <t>CMM</t>
        </is>
      </c>
      <c r="D1812" t="inlineStr">
        <is>
          <t>IÇAMENTO JOIST</t>
        </is>
      </c>
      <c r="F1812" s="159">
        <f>IFERROR(INDEX('BASE METAS DIÁRIAS'!$N$2:$S$358,MATCH($A1812,'BASE METAS DIÁRIAS'!$A$2:$A$358,0),MOD(ROW()-2,6)+1),"")</f>
        <v/>
      </c>
      <c r="G1812" s="159">
        <f>IFERROR(IF(WEEKDAY($A1812,2)&lt;=INDEX('BASE METAS DIÁRIAS'!$H$2:$M$358,MATCH($A1812,'BASE METAS DIÁRIAS'!$A$2:$A$358,0),MOD(ROW()-2,6)+1),INDEX('BASE METAS DIÁRIAS'!$B$2:$G$358,MATCH($A1812,'BASE METAS DIÁRIAS'!$A$2:$A$358,0),MOD(ROW()-2,6)+1),""),"")</f>
        <v/>
      </c>
      <c r="H1812" s="159">
        <f>IFERROR(IF(INDEX('CONTROLE PRODUÇÃO POR EMPRESAS'!$B$6:$G$5000,MATCH($A1812,'CONTROLE PRODUÇÃO POR EMPRESAS'!$A$6:$A$5000,0),MOD(ROW()-2,6)+1)="","",IFERROR(1*INDEX('CONTROLE PRODUÇÃO POR EMPRESAS'!$B$6:$G$5000,MATCH($A1812,'CONTROLE PRODUÇÃO POR EMPRESAS'!$A$6:$A$5000,0),MOD(ROW()-2,6)+1),"")),"")</f>
        <v/>
      </c>
      <c r="I1812" s="159">
        <f>IF(OR(NOT(ISNUMBER(G1812)),NOT(ISNUMBER(H1812))),"",H1812-G1812)</f>
        <v/>
      </c>
      <c r="J1812" s="319">
        <f>IF(OR(NOT(ISNUMBER(G1812)),NOT(ISNUMBER(H1812)),G1812=0),"",I1812/G1812)</f>
        <v/>
      </c>
      <c r="K1812" s="319">
        <f>IF(OR(NOT(ISNUMBER(G1812)),NOT(ISNUMBER(H1812)),G1812=0),"",H1812/G1812)</f>
        <v/>
      </c>
      <c r="L1812">
        <f>IF(NOT(ISNUMBER(G1812)),"SEM META",IF(G1812=0,"SEM META",IF(NOT(ISNUMBER(H1812)),"SEM APONTAMENTO",IF(H1812&gt;=G1812,"VERDE",IF(H1812&gt;=G1812*0.9,"AMARELO","VERMELHO")))))</f>
        <v/>
      </c>
      <c r="M1812" s="162" t="n"/>
      <c r="N1812" s="162" t="n"/>
      <c r="O1812" s="162" t="n"/>
      <c r="P1812" s="162" t="n"/>
      <c r="Q1812" s="320" t="n"/>
      <c r="R1812" s="162" t="inlineStr">
        <is>
          <t>CONTROLE PRODUÇÃO POR EMPRESAS!F307</t>
        </is>
      </c>
    </row>
    <row r="1813" ht="28.5" customHeight="1">
      <c r="A1813" s="317" t="n">
        <v>46524</v>
      </c>
      <c r="B1813" t="inlineStr">
        <is>
          <t>GERAL</t>
        </is>
      </c>
      <c r="C1813" t="inlineStr">
        <is>
          <t>CMM</t>
        </is>
      </c>
      <c r="D1813" t="inlineStr">
        <is>
          <t>VIGAS</t>
        </is>
      </c>
      <c r="F1813" s="159">
        <f>IFERROR(INDEX('BASE METAS DIÁRIAS'!$N$2:$S$358,MATCH($A1813,'BASE METAS DIÁRIAS'!$A$2:$A$358,0),MOD(ROW()-2,6)+1),"")</f>
        <v/>
      </c>
      <c r="G1813" s="159">
        <f>IFERROR(IF(WEEKDAY($A1813,2)&lt;=INDEX('BASE METAS DIÁRIAS'!$H$2:$M$358,MATCH($A1813,'BASE METAS DIÁRIAS'!$A$2:$A$358,0),MOD(ROW()-2,6)+1),INDEX('BASE METAS DIÁRIAS'!$B$2:$G$358,MATCH($A1813,'BASE METAS DIÁRIAS'!$A$2:$A$358,0),MOD(ROW()-2,6)+1),""),"")</f>
        <v/>
      </c>
      <c r="H1813" s="159">
        <f>IFERROR(IF(INDEX('CONTROLE PRODUÇÃO POR EMPRESAS'!$B$6:$G$5000,MATCH($A1813,'CONTROLE PRODUÇÃO POR EMPRESAS'!$A$6:$A$5000,0),MOD(ROW()-2,6)+1)="","",IFERROR(1*INDEX('CONTROLE PRODUÇÃO POR EMPRESAS'!$B$6:$G$5000,MATCH($A1813,'CONTROLE PRODUÇÃO POR EMPRESAS'!$A$6:$A$5000,0),MOD(ROW()-2,6)+1),"")),"")</f>
        <v/>
      </c>
      <c r="I1813" s="159">
        <f>IF(OR(NOT(ISNUMBER(G1813)),NOT(ISNUMBER(H1813))),"",H1813-G1813)</f>
        <v/>
      </c>
      <c r="J1813" s="319">
        <f>IF(OR(NOT(ISNUMBER(G1813)),NOT(ISNUMBER(H1813)),G1813=0),"",I1813/G1813)</f>
        <v/>
      </c>
      <c r="K1813" s="319">
        <f>IF(OR(NOT(ISNUMBER(G1813)),NOT(ISNUMBER(H1813)),G1813=0),"",H1813/G1813)</f>
        <v/>
      </c>
      <c r="L1813">
        <f>IF(NOT(ISNUMBER(G1813)),"SEM META",IF(G1813=0,"SEM META",IF(NOT(ISNUMBER(H1813)),"SEM APONTAMENTO",IF(H1813&gt;=G1813,"VERDE",IF(H1813&gt;=G1813*0.9,"AMARELO","VERMELHO")))))</f>
        <v/>
      </c>
      <c r="M1813" s="162" t="n"/>
      <c r="N1813" s="162" t="n"/>
      <c r="O1813" s="162" t="n"/>
      <c r="P1813" s="162" t="n"/>
      <c r="Q1813" s="320" t="n"/>
      <c r="R1813" s="162" t="inlineStr">
        <is>
          <t>CONTROLE PRODUÇÃO POR EMPRESAS!G307</t>
        </is>
      </c>
    </row>
    <row r="1814" ht="28.5" customHeight="1">
      <c r="A1814" s="317" t="n">
        <v>46525</v>
      </c>
      <c r="B1814" t="inlineStr">
        <is>
          <t>GERAL</t>
        </is>
      </c>
      <c r="C1814" t="inlineStr">
        <is>
          <t>EJ</t>
        </is>
      </c>
      <c r="D1814" t="inlineStr">
        <is>
          <t>PREMONTAGEM</t>
        </is>
      </c>
      <c r="F1814" s="159">
        <f>IFERROR(INDEX('BASE METAS DIÁRIAS'!$N$2:$S$358,MATCH($A1814,'BASE METAS DIÁRIAS'!$A$2:$A$358,0),MOD(ROW()-2,6)+1),"")</f>
        <v/>
      </c>
      <c r="G1814" s="159">
        <f>IFERROR(IF(WEEKDAY($A1814,2)&lt;=INDEX('BASE METAS DIÁRIAS'!$H$2:$M$358,MATCH($A1814,'BASE METAS DIÁRIAS'!$A$2:$A$358,0),MOD(ROW()-2,6)+1),INDEX('BASE METAS DIÁRIAS'!$B$2:$G$358,MATCH($A1814,'BASE METAS DIÁRIAS'!$A$2:$A$358,0),MOD(ROW()-2,6)+1),""),"")</f>
        <v/>
      </c>
      <c r="H1814" s="159">
        <f>IFERROR(IF(INDEX('CONTROLE PRODUÇÃO POR EMPRESAS'!$B$6:$G$5000,MATCH($A1814,'CONTROLE PRODUÇÃO POR EMPRESAS'!$A$6:$A$5000,0),MOD(ROW()-2,6)+1)="","",IFERROR(1*INDEX('CONTROLE PRODUÇÃO POR EMPRESAS'!$B$6:$G$5000,MATCH($A1814,'CONTROLE PRODUÇÃO POR EMPRESAS'!$A$6:$A$5000,0),MOD(ROW()-2,6)+1),"")),"")</f>
        <v/>
      </c>
      <c r="I1814" s="159">
        <f>IF(OR(NOT(ISNUMBER(G1814)),NOT(ISNUMBER(H1814))),"",H1814-G1814)</f>
        <v/>
      </c>
      <c r="J1814" s="319">
        <f>IF(OR(NOT(ISNUMBER(G1814)),NOT(ISNUMBER(H1814)),G1814=0),"",I1814/G1814)</f>
        <v/>
      </c>
      <c r="K1814" s="319">
        <f>IF(OR(NOT(ISNUMBER(G1814)),NOT(ISNUMBER(H1814)),G1814=0),"",H1814/G1814)</f>
        <v/>
      </c>
      <c r="L1814">
        <f>IF(NOT(ISNUMBER(G1814)),"SEM META",IF(G1814=0,"SEM META",IF(NOT(ISNUMBER(H1814)),"SEM APONTAMENTO",IF(H1814&gt;=G1814,"VERDE",IF(H1814&gt;=G1814*0.9,"AMARELO","VERMELHO")))))</f>
        <v/>
      </c>
      <c r="M1814" s="162" t="n"/>
      <c r="N1814" s="162" t="n"/>
      <c r="O1814" s="162" t="n"/>
      <c r="P1814" s="162" t="n"/>
      <c r="Q1814" s="320" t="n"/>
      <c r="R1814" s="162" t="inlineStr">
        <is>
          <t>CONTROLE PRODUÇÃO POR EMPRESAS!B308</t>
        </is>
      </c>
    </row>
    <row r="1815" ht="28.5" customHeight="1">
      <c r="A1815" s="317" t="n">
        <v>46525</v>
      </c>
      <c r="B1815" t="inlineStr">
        <is>
          <t>GERAL</t>
        </is>
      </c>
      <c r="C1815" t="inlineStr">
        <is>
          <t>EJ</t>
        </is>
      </c>
      <c r="D1815" t="inlineStr">
        <is>
          <t>IÇAMENTO JOIST</t>
        </is>
      </c>
      <c r="F1815" s="159">
        <f>IFERROR(INDEX('BASE METAS DIÁRIAS'!$N$2:$S$358,MATCH($A1815,'BASE METAS DIÁRIAS'!$A$2:$A$358,0),MOD(ROW()-2,6)+1),"")</f>
        <v/>
      </c>
      <c r="G1815" s="159">
        <f>IFERROR(IF(WEEKDAY($A1815,2)&lt;=INDEX('BASE METAS DIÁRIAS'!$H$2:$M$358,MATCH($A1815,'BASE METAS DIÁRIAS'!$A$2:$A$358,0),MOD(ROW()-2,6)+1),INDEX('BASE METAS DIÁRIAS'!$B$2:$G$358,MATCH($A1815,'BASE METAS DIÁRIAS'!$A$2:$A$358,0),MOD(ROW()-2,6)+1),""),"")</f>
        <v/>
      </c>
      <c r="H1815" s="159">
        <f>IFERROR(IF(INDEX('CONTROLE PRODUÇÃO POR EMPRESAS'!$B$6:$G$5000,MATCH($A1815,'CONTROLE PRODUÇÃO POR EMPRESAS'!$A$6:$A$5000,0),MOD(ROW()-2,6)+1)="","",IFERROR(1*INDEX('CONTROLE PRODUÇÃO POR EMPRESAS'!$B$6:$G$5000,MATCH($A1815,'CONTROLE PRODUÇÃO POR EMPRESAS'!$A$6:$A$5000,0),MOD(ROW()-2,6)+1),"")),"")</f>
        <v/>
      </c>
      <c r="I1815" s="159">
        <f>IF(OR(NOT(ISNUMBER(G1815)),NOT(ISNUMBER(H1815))),"",H1815-G1815)</f>
        <v/>
      </c>
      <c r="J1815" s="319">
        <f>IF(OR(NOT(ISNUMBER(G1815)),NOT(ISNUMBER(H1815)),G1815=0),"",I1815/G1815)</f>
        <v/>
      </c>
      <c r="K1815" s="319">
        <f>IF(OR(NOT(ISNUMBER(G1815)),NOT(ISNUMBER(H1815)),G1815=0),"",H1815/G1815)</f>
        <v/>
      </c>
      <c r="L1815">
        <f>IF(NOT(ISNUMBER(G1815)),"SEM META",IF(G1815=0,"SEM META",IF(NOT(ISNUMBER(H1815)),"SEM APONTAMENTO",IF(H1815&gt;=G1815,"VERDE",IF(H1815&gt;=G1815*0.9,"AMARELO","VERMELHO")))))</f>
        <v/>
      </c>
      <c r="M1815" s="162" t="n"/>
      <c r="N1815" s="162" t="n"/>
      <c r="O1815" s="162" t="n"/>
      <c r="P1815" s="162" t="n"/>
      <c r="Q1815" s="320" t="n"/>
      <c r="R1815" s="162" t="inlineStr">
        <is>
          <t>CONTROLE PRODUÇÃO POR EMPRESAS!C308</t>
        </is>
      </c>
    </row>
    <row r="1816" ht="28.5" customHeight="1">
      <c r="A1816" s="317" t="n">
        <v>46525</v>
      </c>
      <c r="B1816" t="inlineStr">
        <is>
          <t>GERAL</t>
        </is>
      </c>
      <c r="C1816" t="inlineStr">
        <is>
          <t>EJ</t>
        </is>
      </c>
      <c r="D1816" t="inlineStr">
        <is>
          <t>VIGAS</t>
        </is>
      </c>
      <c r="F1816" s="159">
        <f>IFERROR(INDEX('BASE METAS DIÁRIAS'!$N$2:$S$358,MATCH($A1816,'BASE METAS DIÁRIAS'!$A$2:$A$358,0),MOD(ROW()-2,6)+1),"")</f>
        <v/>
      </c>
      <c r="G1816" s="159">
        <f>IFERROR(IF(WEEKDAY($A1816,2)&lt;=INDEX('BASE METAS DIÁRIAS'!$H$2:$M$358,MATCH($A1816,'BASE METAS DIÁRIAS'!$A$2:$A$358,0),MOD(ROW()-2,6)+1),INDEX('BASE METAS DIÁRIAS'!$B$2:$G$358,MATCH($A1816,'BASE METAS DIÁRIAS'!$A$2:$A$358,0),MOD(ROW()-2,6)+1),""),"")</f>
        <v/>
      </c>
      <c r="H1816" s="159">
        <f>IFERROR(IF(INDEX('CONTROLE PRODUÇÃO POR EMPRESAS'!$B$6:$G$5000,MATCH($A1816,'CONTROLE PRODUÇÃO POR EMPRESAS'!$A$6:$A$5000,0),MOD(ROW()-2,6)+1)="","",IFERROR(1*INDEX('CONTROLE PRODUÇÃO POR EMPRESAS'!$B$6:$G$5000,MATCH($A1816,'CONTROLE PRODUÇÃO POR EMPRESAS'!$A$6:$A$5000,0),MOD(ROW()-2,6)+1),"")),"")</f>
        <v/>
      </c>
      <c r="I1816" s="159">
        <f>IF(OR(NOT(ISNUMBER(G1816)),NOT(ISNUMBER(H1816))),"",H1816-G1816)</f>
        <v/>
      </c>
      <c r="J1816" s="319">
        <f>IF(OR(NOT(ISNUMBER(G1816)),NOT(ISNUMBER(H1816)),G1816=0),"",I1816/G1816)</f>
        <v/>
      </c>
      <c r="K1816" s="319">
        <f>IF(OR(NOT(ISNUMBER(G1816)),NOT(ISNUMBER(H1816)),G1816=0),"",H1816/G1816)</f>
        <v/>
      </c>
      <c r="L1816">
        <f>IF(NOT(ISNUMBER(G1816)),"SEM META",IF(G1816=0,"SEM META",IF(NOT(ISNUMBER(H1816)),"SEM APONTAMENTO",IF(H1816&gt;=G1816,"VERDE",IF(H1816&gt;=G1816*0.9,"AMARELO","VERMELHO")))))</f>
        <v/>
      </c>
      <c r="M1816" s="162" t="n"/>
      <c r="N1816" s="162" t="n"/>
      <c r="O1816" s="162" t="n"/>
      <c r="P1816" s="162" t="n"/>
      <c r="Q1816" s="320" t="n"/>
      <c r="R1816" s="162" t="inlineStr">
        <is>
          <t>CONTROLE PRODUÇÃO POR EMPRESAS!D308</t>
        </is>
      </c>
    </row>
    <row r="1817" ht="28.5" customHeight="1">
      <c r="A1817" s="317" t="n">
        <v>46525</v>
      </c>
      <c r="B1817" t="inlineStr">
        <is>
          <t>GERAL</t>
        </is>
      </c>
      <c r="C1817" t="inlineStr">
        <is>
          <t>CMM</t>
        </is>
      </c>
      <c r="D1817" t="inlineStr">
        <is>
          <t>PREMONTAGEM</t>
        </is>
      </c>
      <c r="F1817" s="159">
        <f>IFERROR(INDEX('BASE METAS DIÁRIAS'!$N$2:$S$358,MATCH($A1817,'BASE METAS DIÁRIAS'!$A$2:$A$358,0),MOD(ROW()-2,6)+1),"")</f>
        <v/>
      </c>
      <c r="G1817" s="159">
        <f>IFERROR(IF(WEEKDAY($A1817,2)&lt;=INDEX('BASE METAS DIÁRIAS'!$H$2:$M$358,MATCH($A1817,'BASE METAS DIÁRIAS'!$A$2:$A$358,0),MOD(ROW()-2,6)+1),INDEX('BASE METAS DIÁRIAS'!$B$2:$G$358,MATCH($A1817,'BASE METAS DIÁRIAS'!$A$2:$A$358,0),MOD(ROW()-2,6)+1),""),"")</f>
        <v/>
      </c>
      <c r="H1817" s="159">
        <f>IFERROR(IF(INDEX('CONTROLE PRODUÇÃO POR EMPRESAS'!$B$6:$G$5000,MATCH($A1817,'CONTROLE PRODUÇÃO POR EMPRESAS'!$A$6:$A$5000,0),MOD(ROW()-2,6)+1)="","",IFERROR(1*INDEX('CONTROLE PRODUÇÃO POR EMPRESAS'!$B$6:$G$5000,MATCH($A1817,'CONTROLE PRODUÇÃO POR EMPRESAS'!$A$6:$A$5000,0),MOD(ROW()-2,6)+1),"")),"")</f>
        <v/>
      </c>
      <c r="I1817" s="159">
        <f>IF(OR(NOT(ISNUMBER(G1817)),NOT(ISNUMBER(H1817))),"",H1817-G1817)</f>
        <v/>
      </c>
      <c r="J1817" s="319">
        <f>IF(OR(NOT(ISNUMBER(G1817)),NOT(ISNUMBER(H1817)),G1817=0),"",I1817/G1817)</f>
        <v/>
      </c>
      <c r="K1817" s="319">
        <f>IF(OR(NOT(ISNUMBER(G1817)),NOT(ISNUMBER(H1817)),G1817=0),"",H1817/G1817)</f>
        <v/>
      </c>
      <c r="L1817">
        <f>IF(NOT(ISNUMBER(G1817)),"SEM META",IF(G1817=0,"SEM META",IF(NOT(ISNUMBER(H1817)),"SEM APONTAMENTO",IF(H1817&gt;=G1817,"VERDE",IF(H1817&gt;=G1817*0.9,"AMARELO","VERMELHO")))))</f>
        <v/>
      </c>
      <c r="M1817" s="162" t="n"/>
      <c r="N1817" s="162" t="n"/>
      <c r="O1817" s="162" t="n"/>
      <c r="P1817" s="162" t="n"/>
      <c r="Q1817" s="320" t="n"/>
      <c r="R1817" s="162" t="inlineStr">
        <is>
          <t>CONTROLE PRODUÇÃO POR EMPRESAS!E308</t>
        </is>
      </c>
    </row>
    <row r="1818" ht="28.5" customHeight="1">
      <c r="A1818" s="317" t="n">
        <v>46525</v>
      </c>
      <c r="B1818" t="inlineStr">
        <is>
          <t>GERAL</t>
        </is>
      </c>
      <c r="C1818" t="inlineStr">
        <is>
          <t>CMM</t>
        </is>
      </c>
      <c r="D1818" t="inlineStr">
        <is>
          <t>IÇAMENTO JOIST</t>
        </is>
      </c>
      <c r="F1818" s="159">
        <f>IFERROR(INDEX('BASE METAS DIÁRIAS'!$N$2:$S$358,MATCH($A1818,'BASE METAS DIÁRIAS'!$A$2:$A$358,0),MOD(ROW()-2,6)+1),"")</f>
        <v/>
      </c>
      <c r="G1818" s="159">
        <f>IFERROR(IF(WEEKDAY($A1818,2)&lt;=INDEX('BASE METAS DIÁRIAS'!$H$2:$M$358,MATCH($A1818,'BASE METAS DIÁRIAS'!$A$2:$A$358,0),MOD(ROW()-2,6)+1),INDEX('BASE METAS DIÁRIAS'!$B$2:$G$358,MATCH($A1818,'BASE METAS DIÁRIAS'!$A$2:$A$358,0),MOD(ROW()-2,6)+1),""),"")</f>
        <v/>
      </c>
      <c r="H1818" s="159">
        <f>IFERROR(IF(INDEX('CONTROLE PRODUÇÃO POR EMPRESAS'!$B$6:$G$5000,MATCH($A1818,'CONTROLE PRODUÇÃO POR EMPRESAS'!$A$6:$A$5000,0),MOD(ROW()-2,6)+1)="","",IFERROR(1*INDEX('CONTROLE PRODUÇÃO POR EMPRESAS'!$B$6:$G$5000,MATCH($A1818,'CONTROLE PRODUÇÃO POR EMPRESAS'!$A$6:$A$5000,0),MOD(ROW()-2,6)+1),"")),"")</f>
        <v/>
      </c>
      <c r="I1818" s="159">
        <f>IF(OR(NOT(ISNUMBER(G1818)),NOT(ISNUMBER(H1818))),"",H1818-G1818)</f>
        <v/>
      </c>
      <c r="J1818" s="319">
        <f>IF(OR(NOT(ISNUMBER(G1818)),NOT(ISNUMBER(H1818)),G1818=0),"",I1818/G1818)</f>
        <v/>
      </c>
      <c r="K1818" s="319">
        <f>IF(OR(NOT(ISNUMBER(G1818)),NOT(ISNUMBER(H1818)),G1818=0),"",H1818/G1818)</f>
        <v/>
      </c>
      <c r="L1818">
        <f>IF(NOT(ISNUMBER(G1818)),"SEM META",IF(G1818=0,"SEM META",IF(NOT(ISNUMBER(H1818)),"SEM APONTAMENTO",IF(H1818&gt;=G1818,"VERDE",IF(H1818&gt;=G1818*0.9,"AMARELO","VERMELHO")))))</f>
        <v/>
      </c>
      <c r="M1818" s="162" t="n"/>
      <c r="N1818" s="162" t="n"/>
      <c r="O1818" s="162" t="n"/>
      <c r="P1818" s="162" t="n"/>
      <c r="Q1818" s="320" t="n"/>
      <c r="R1818" s="162" t="inlineStr">
        <is>
          <t>CONTROLE PRODUÇÃO POR EMPRESAS!F308</t>
        </is>
      </c>
    </row>
    <row r="1819" ht="28.5" customHeight="1">
      <c r="A1819" s="317" t="n">
        <v>46525</v>
      </c>
      <c r="B1819" t="inlineStr">
        <is>
          <t>GERAL</t>
        </is>
      </c>
      <c r="C1819" t="inlineStr">
        <is>
          <t>CMM</t>
        </is>
      </c>
      <c r="D1819" t="inlineStr">
        <is>
          <t>VIGAS</t>
        </is>
      </c>
      <c r="F1819" s="159">
        <f>IFERROR(INDEX('BASE METAS DIÁRIAS'!$N$2:$S$358,MATCH($A1819,'BASE METAS DIÁRIAS'!$A$2:$A$358,0),MOD(ROW()-2,6)+1),"")</f>
        <v/>
      </c>
      <c r="G1819" s="159">
        <f>IFERROR(IF(WEEKDAY($A1819,2)&lt;=INDEX('BASE METAS DIÁRIAS'!$H$2:$M$358,MATCH($A1819,'BASE METAS DIÁRIAS'!$A$2:$A$358,0),MOD(ROW()-2,6)+1),INDEX('BASE METAS DIÁRIAS'!$B$2:$G$358,MATCH($A1819,'BASE METAS DIÁRIAS'!$A$2:$A$358,0),MOD(ROW()-2,6)+1),""),"")</f>
        <v/>
      </c>
      <c r="H1819" s="159">
        <f>IFERROR(IF(INDEX('CONTROLE PRODUÇÃO POR EMPRESAS'!$B$6:$G$5000,MATCH($A1819,'CONTROLE PRODUÇÃO POR EMPRESAS'!$A$6:$A$5000,0),MOD(ROW()-2,6)+1)="","",IFERROR(1*INDEX('CONTROLE PRODUÇÃO POR EMPRESAS'!$B$6:$G$5000,MATCH($A1819,'CONTROLE PRODUÇÃO POR EMPRESAS'!$A$6:$A$5000,0),MOD(ROW()-2,6)+1),"")),"")</f>
        <v/>
      </c>
      <c r="I1819" s="159">
        <f>IF(OR(NOT(ISNUMBER(G1819)),NOT(ISNUMBER(H1819))),"",H1819-G1819)</f>
        <v/>
      </c>
      <c r="J1819" s="319">
        <f>IF(OR(NOT(ISNUMBER(G1819)),NOT(ISNUMBER(H1819)),G1819=0),"",I1819/G1819)</f>
        <v/>
      </c>
      <c r="K1819" s="319">
        <f>IF(OR(NOT(ISNUMBER(G1819)),NOT(ISNUMBER(H1819)),G1819=0),"",H1819/G1819)</f>
        <v/>
      </c>
      <c r="L1819">
        <f>IF(NOT(ISNUMBER(G1819)),"SEM META",IF(G1819=0,"SEM META",IF(NOT(ISNUMBER(H1819)),"SEM APONTAMENTO",IF(H1819&gt;=G1819,"VERDE",IF(H1819&gt;=G1819*0.9,"AMARELO","VERMELHO")))))</f>
        <v/>
      </c>
      <c r="M1819" s="162" t="n"/>
      <c r="N1819" s="162" t="n"/>
      <c r="O1819" s="162" t="n"/>
      <c r="P1819" s="162" t="n"/>
      <c r="Q1819" s="320" t="n"/>
      <c r="R1819" s="162" t="inlineStr">
        <is>
          <t>CONTROLE PRODUÇÃO POR EMPRESAS!G308</t>
        </is>
      </c>
    </row>
    <row r="1820" ht="28.5" customHeight="1">
      <c r="A1820" s="317" t="n">
        <v>46526</v>
      </c>
      <c r="B1820" t="inlineStr">
        <is>
          <t>GERAL</t>
        </is>
      </c>
      <c r="C1820" t="inlineStr">
        <is>
          <t>EJ</t>
        </is>
      </c>
      <c r="D1820" t="inlineStr">
        <is>
          <t>PREMONTAGEM</t>
        </is>
      </c>
      <c r="F1820" s="159">
        <f>IFERROR(INDEX('BASE METAS DIÁRIAS'!$N$2:$S$358,MATCH($A1820,'BASE METAS DIÁRIAS'!$A$2:$A$358,0),MOD(ROW()-2,6)+1),"")</f>
        <v/>
      </c>
      <c r="G1820" s="159">
        <f>IFERROR(IF(WEEKDAY($A1820,2)&lt;=INDEX('BASE METAS DIÁRIAS'!$H$2:$M$358,MATCH($A1820,'BASE METAS DIÁRIAS'!$A$2:$A$358,0),MOD(ROW()-2,6)+1),INDEX('BASE METAS DIÁRIAS'!$B$2:$G$358,MATCH($A1820,'BASE METAS DIÁRIAS'!$A$2:$A$358,0),MOD(ROW()-2,6)+1),""),"")</f>
        <v/>
      </c>
      <c r="H1820" s="159">
        <f>IFERROR(IF(INDEX('CONTROLE PRODUÇÃO POR EMPRESAS'!$B$6:$G$5000,MATCH($A1820,'CONTROLE PRODUÇÃO POR EMPRESAS'!$A$6:$A$5000,0),MOD(ROW()-2,6)+1)="","",IFERROR(1*INDEX('CONTROLE PRODUÇÃO POR EMPRESAS'!$B$6:$G$5000,MATCH($A1820,'CONTROLE PRODUÇÃO POR EMPRESAS'!$A$6:$A$5000,0),MOD(ROW()-2,6)+1),"")),"")</f>
        <v/>
      </c>
      <c r="I1820" s="159">
        <f>IF(OR(NOT(ISNUMBER(G1820)),NOT(ISNUMBER(H1820))),"",H1820-G1820)</f>
        <v/>
      </c>
      <c r="J1820" s="319">
        <f>IF(OR(NOT(ISNUMBER(G1820)),NOT(ISNUMBER(H1820)),G1820=0),"",I1820/G1820)</f>
        <v/>
      </c>
      <c r="K1820" s="319">
        <f>IF(OR(NOT(ISNUMBER(G1820)),NOT(ISNUMBER(H1820)),G1820=0),"",H1820/G1820)</f>
        <v/>
      </c>
      <c r="L1820">
        <f>IF(NOT(ISNUMBER(G1820)),"SEM META",IF(G1820=0,"SEM META",IF(NOT(ISNUMBER(H1820)),"SEM APONTAMENTO",IF(H1820&gt;=G1820,"VERDE",IF(H1820&gt;=G1820*0.9,"AMARELO","VERMELHO")))))</f>
        <v/>
      </c>
      <c r="M1820" s="162" t="n"/>
      <c r="N1820" s="162" t="n"/>
      <c r="O1820" s="162" t="n"/>
      <c r="P1820" s="162" t="n"/>
      <c r="Q1820" s="320" t="n"/>
      <c r="R1820" s="162" t="inlineStr">
        <is>
          <t>CONTROLE PRODUÇÃO POR EMPRESAS!B309</t>
        </is>
      </c>
    </row>
    <row r="1821" ht="28.5" customHeight="1">
      <c r="A1821" s="317" t="n">
        <v>46526</v>
      </c>
      <c r="B1821" t="inlineStr">
        <is>
          <t>GERAL</t>
        </is>
      </c>
      <c r="C1821" t="inlineStr">
        <is>
          <t>EJ</t>
        </is>
      </c>
      <c r="D1821" t="inlineStr">
        <is>
          <t>IÇAMENTO JOIST</t>
        </is>
      </c>
      <c r="F1821" s="159">
        <f>IFERROR(INDEX('BASE METAS DIÁRIAS'!$N$2:$S$358,MATCH($A1821,'BASE METAS DIÁRIAS'!$A$2:$A$358,0),MOD(ROW()-2,6)+1),"")</f>
        <v/>
      </c>
      <c r="G1821" s="159">
        <f>IFERROR(IF(WEEKDAY($A1821,2)&lt;=INDEX('BASE METAS DIÁRIAS'!$H$2:$M$358,MATCH($A1821,'BASE METAS DIÁRIAS'!$A$2:$A$358,0),MOD(ROW()-2,6)+1),INDEX('BASE METAS DIÁRIAS'!$B$2:$G$358,MATCH($A1821,'BASE METAS DIÁRIAS'!$A$2:$A$358,0),MOD(ROW()-2,6)+1),""),"")</f>
        <v/>
      </c>
      <c r="H1821" s="159">
        <f>IFERROR(IF(INDEX('CONTROLE PRODUÇÃO POR EMPRESAS'!$B$6:$G$5000,MATCH($A1821,'CONTROLE PRODUÇÃO POR EMPRESAS'!$A$6:$A$5000,0),MOD(ROW()-2,6)+1)="","",IFERROR(1*INDEX('CONTROLE PRODUÇÃO POR EMPRESAS'!$B$6:$G$5000,MATCH($A1821,'CONTROLE PRODUÇÃO POR EMPRESAS'!$A$6:$A$5000,0),MOD(ROW()-2,6)+1),"")),"")</f>
        <v/>
      </c>
      <c r="I1821" s="159">
        <f>IF(OR(NOT(ISNUMBER(G1821)),NOT(ISNUMBER(H1821))),"",H1821-G1821)</f>
        <v/>
      </c>
      <c r="J1821" s="319">
        <f>IF(OR(NOT(ISNUMBER(G1821)),NOT(ISNUMBER(H1821)),G1821=0),"",I1821/G1821)</f>
        <v/>
      </c>
      <c r="K1821" s="319">
        <f>IF(OR(NOT(ISNUMBER(G1821)),NOT(ISNUMBER(H1821)),G1821=0),"",H1821/G1821)</f>
        <v/>
      </c>
      <c r="L1821">
        <f>IF(NOT(ISNUMBER(G1821)),"SEM META",IF(G1821=0,"SEM META",IF(NOT(ISNUMBER(H1821)),"SEM APONTAMENTO",IF(H1821&gt;=G1821,"VERDE",IF(H1821&gt;=G1821*0.9,"AMARELO","VERMELHO")))))</f>
        <v/>
      </c>
      <c r="M1821" s="162" t="n"/>
      <c r="N1821" s="162" t="n"/>
      <c r="O1821" s="162" t="n"/>
      <c r="P1821" s="162" t="n"/>
      <c r="Q1821" s="320" t="n"/>
      <c r="R1821" s="162" t="inlineStr">
        <is>
          <t>CONTROLE PRODUÇÃO POR EMPRESAS!C309</t>
        </is>
      </c>
    </row>
    <row r="1822" ht="28.5" customHeight="1">
      <c r="A1822" s="317" t="n">
        <v>46526</v>
      </c>
      <c r="B1822" t="inlineStr">
        <is>
          <t>GERAL</t>
        </is>
      </c>
      <c r="C1822" t="inlineStr">
        <is>
          <t>EJ</t>
        </is>
      </c>
      <c r="D1822" t="inlineStr">
        <is>
          <t>VIGAS</t>
        </is>
      </c>
      <c r="F1822" s="159">
        <f>IFERROR(INDEX('BASE METAS DIÁRIAS'!$N$2:$S$358,MATCH($A1822,'BASE METAS DIÁRIAS'!$A$2:$A$358,0),MOD(ROW()-2,6)+1),"")</f>
        <v/>
      </c>
      <c r="G1822" s="159">
        <f>IFERROR(IF(WEEKDAY($A1822,2)&lt;=INDEX('BASE METAS DIÁRIAS'!$H$2:$M$358,MATCH($A1822,'BASE METAS DIÁRIAS'!$A$2:$A$358,0),MOD(ROW()-2,6)+1),INDEX('BASE METAS DIÁRIAS'!$B$2:$G$358,MATCH($A1822,'BASE METAS DIÁRIAS'!$A$2:$A$358,0),MOD(ROW()-2,6)+1),""),"")</f>
        <v/>
      </c>
      <c r="H1822" s="159">
        <f>IFERROR(IF(INDEX('CONTROLE PRODUÇÃO POR EMPRESAS'!$B$6:$G$5000,MATCH($A1822,'CONTROLE PRODUÇÃO POR EMPRESAS'!$A$6:$A$5000,0),MOD(ROW()-2,6)+1)="","",IFERROR(1*INDEX('CONTROLE PRODUÇÃO POR EMPRESAS'!$B$6:$G$5000,MATCH($A1822,'CONTROLE PRODUÇÃO POR EMPRESAS'!$A$6:$A$5000,0),MOD(ROW()-2,6)+1),"")),"")</f>
        <v/>
      </c>
      <c r="I1822" s="159">
        <f>IF(OR(NOT(ISNUMBER(G1822)),NOT(ISNUMBER(H1822))),"",H1822-G1822)</f>
        <v/>
      </c>
      <c r="J1822" s="319">
        <f>IF(OR(NOT(ISNUMBER(G1822)),NOT(ISNUMBER(H1822)),G1822=0),"",I1822/G1822)</f>
        <v/>
      </c>
      <c r="K1822" s="319">
        <f>IF(OR(NOT(ISNUMBER(G1822)),NOT(ISNUMBER(H1822)),G1822=0),"",H1822/G1822)</f>
        <v/>
      </c>
      <c r="L1822">
        <f>IF(NOT(ISNUMBER(G1822)),"SEM META",IF(G1822=0,"SEM META",IF(NOT(ISNUMBER(H1822)),"SEM APONTAMENTO",IF(H1822&gt;=G1822,"VERDE",IF(H1822&gt;=G1822*0.9,"AMARELO","VERMELHO")))))</f>
        <v/>
      </c>
      <c r="M1822" s="162" t="n"/>
      <c r="N1822" s="162" t="n"/>
      <c r="O1822" s="162" t="n"/>
      <c r="P1822" s="162" t="n"/>
      <c r="Q1822" s="320" t="n"/>
      <c r="R1822" s="162" t="inlineStr">
        <is>
          <t>CONTROLE PRODUÇÃO POR EMPRESAS!D309</t>
        </is>
      </c>
    </row>
    <row r="1823" ht="28.5" customHeight="1">
      <c r="A1823" s="317" t="n">
        <v>46526</v>
      </c>
      <c r="B1823" t="inlineStr">
        <is>
          <t>GERAL</t>
        </is>
      </c>
      <c r="C1823" t="inlineStr">
        <is>
          <t>CMM</t>
        </is>
      </c>
      <c r="D1823" t="inlineStr">
        <is>
          <t>PREMONTAGEM</t>
        </is>
      </c>
      <c r="F1823" s="159">
        <f>IFERROR(INDEX('BASE METAS DIÁRIAS'!$N$2:$S$358,MATCH($A1823,'BASE METAS DIÁRIAS'!$A$2:$A$358,0),MOD(ROW()-2,6)+1),"")</f>
        <v/>
      </c>
      <c r="G1823" s="159">
        <f>IFERROR(IF(WEEKDAY($A1823,2)&lt;=INDEX('BASE METAS DIÁRIAS'!$H$2:$M$358,MATCH($A1823,'BASE METAS DIÁRIAS'!$A$2:$A$358,0),MOD(ROW()-2,6)+1),INDEX('BASE METAS DIÁRIAS'!$B$2:$G$358,MATCH($A1823,'BASE METAS DIÁRIAS'!$A$2:$A$358,0),MOD(ROW()-2,6)+1),""),"")</f>
        <v/>
      </c>
      <c r="H1823" s="159">
        <f>IFERROR(IF(INDEX('CONTROLE PRODUÇÃO POR EMPRESAS'!$B$6:$G$5000,MATCH($A1823,'CONTROLE PRODUÇÃO POR EMPRESAS'!$A$6:$A$5000,0),MOD(ROW()-2,6)+1)="","",IFERROR(1*INDEX('CONTROLE PRODUÇÃO POR EMPRESAS'!$B$6:$G$5000,MATCH($A1823,'CONTROLE PRODUÇÃO POR EMPRESAS'!$A$6:$A$5000,0),MOD(ROW()-2,6)+1),"")),"")</f>
        <v/>
      </c>
      <c r="I1823" s="159">
        <f>IF(OR(NOT(ISNUMBER(G1823)),NOT(ISNUMBER(H1823))),"",H1823-G1823)</f>
        <v/>
      </c>
      <c r="J1823" s="319">
        <f>IF(OR(NOT(ISNUMBER(G1823)),NOT(ISNUMBER(H1823)),G1823=0),"",I1823/G1823)</f>
        <v/>
      </c>
      <c r="K1823" s="319">
        <f>IF(OR(NOT(ISNUMBER(G1823)),NOT(ISNUMBER(H1823)),G1823=0),"",H1823/G1823)</f>
        <v/>
      </c>
      <c r="L1823">
        <f>IF(NOT(ISNUMBER(G1823)),"SEM META",IF(G1823=0,"SEM META",IF(NOT(ISNUMBER(H1823)),"SEM APONTAMENTO",IF(H1823&gt;=G1823,"VERDE",IF(H1823&gt;=G1823*0.9,"AMARELO","VERMELHO")))))</f>
        <v/>
      </c>
      <c r="M1823" s="162" t="n"/>
      <c r="N1823" s="162" t="n"/>
      <c r="O1823" s="162" t="n"/>
      <c r="P1823" s="162" t="n"/>
      <c r="Q1823" s="320" t="n"/>
      <c r="R1823" s="162" t="inlineStr">
        <is>
          <t>CONTROLE PRODUÇÃO POR EMPRESAS!E309</t>
        </is>
      </c>
    </row>
    <row r="1824" ht="28.5" customHeight="1">
      <c r="A1824" s="317" t="n">
        <v>46526</v>
      </c>
      <c r="B1824" t="inlineStr">
        <is>
          <t>GERAL</t>
        </is>
      </c>
      <c r="C1824" t="inlineStr">
        <is>
          <t>CMM</t>
        </is>
      </c>
      <c r="D1824" t="inlineStr">
        <is>
          <t>IÇAMENTO JOIST</t>
        </is>
      </c>
      <c r="F1824" s="159">
        <f>IFERROR(INDEX('BASE METAS DIÁRIAS'!$N$2:$S$358,MATCH($A1824,'BASE METAS DIÁRIAS'!$A$2:$A$358,0),MOD(ROW()-2,6)+1),"")</f>
        <v/>
      </c>
      <c r="G1824" s="159">
        <f>IFERROR(IF(WEEKDAY($A1824,2)&lt;=INDEX('BASE METAS DIÁRIAS'!$H$2:$M$358,MATCH($A1824,'BASE METAS DIÁRIAS'!$A$2:$A$358,0),MOD(ROW()-2,6)+1),INDEX('BASE METAS DIÁRIAS'!$B$2:$G$358,MATCH($A1824,'BASE METAS DIÁRIAS'!$A$2:$A$358,0),MOD(ROW()-2,6)+1),""),"")</f>
        <v/>
      </c>
      <c r="H1824" s="159">
        <f>IFERROR(IF(INDEX('CONTROLE PRODUÇÃO POR EMPRESAS'!$B$6:$G$5000,MATCH($A1824,'CONTROLE PRODUÇÃO POR EMPRESAS'!$A$6:$A$5000,0),MOD(ROW()-2,6)+1)="","",IFERROR(1*INDEX('CONTROLE PRODUÇÃO POR EMPRESAS'!$B$6:$G$5000,MATCH($A1824,'CONTROLE PRODUÇÃO POR EMPRESAS'!$A$6:$A$5000,0),MOD(ROW()-2,6)+1),"")),"")</f>
        <v/>
      </c>
      <c r="I1824" s="159">
        <f>IF(OR(NOT(ISNUMBER(G1824)),NOT(ISNUMBER(H1824))),"",H1824-G1824)</f>
        <v/>
      </c>
      <c r="J1824" s="319">
        <f>IF(OR(NOT(ISNUMBER(G1824)),NOT(ISNUMBER(H1824)),G1824=0),"",I1824/G1824)</f>
        <v/>
      </c>
      <c r="K1824" s="319">
        <f>IF(OR(NOT(ISNUMBER(G1824)),NOT(ISNUMBER(H1824)),G1824=0),"",H1824/G1824)</f>
        <v/>
      </c>
      <c r="L1824">
        <f>IF(NOT(ISNUMBER(G1824)),"SEM META",IF(G1824=0,"SEM META",IF(NOT(ISNUMBER(H1824)),"SEM APONTAMENTO",IF(H1824&gt;=G1824,"VERDE",IF(H1824&gt;=G1824*0.9,"AMARELO","VERMELHO")))))</f>
        <v/>
      </c>
      <c r="M1824" s="162" t="n"/>
      <c r="N1824" s="162" t="n"/>
      <c r="O1824" s="162" t="n"/>
      <c r="P1824" s="162" t="n"/>
      <c r="Q1824" s="320" t="n"/>
      <c r="R1824" s="162" t="inlineStr">
        <is>
          <t>CONTROLE PRODUÇÃO POR EMPRESAS!F309</t>
        </is>
      </c>
    </row>
    <row r="1825" ht="28.5" customHeight="1">
      <c r="A1825" s="317" t="n">
        <v>46526</v>
      </c>
      <c r="B1825" t="inlineStr">
        <is>
          <t>GERAL</t>
        </is>
      </c>
      <c r="C1825" t="inlineStr">
        <is>
          <t>CMM</t>
        </is>
      </c>
      <c r="D1825" t="inlineStr">
        <is>
          <t>VIGAS</t>
        </is>
      </c>
      <c r="F1825" s="159">
        <f>IFERROR(INDEX('BASE METAS DIÁRIAS'!$N$2:$S$358,MATCH($A1825,'BASE METAS DIÁRIAS'!$A$2:$A$358,0),MOD(ROW()-2,6)+1),"")</f>
        <v/>
      </c>
      <c r="G1825" s="159">
        <f>IFERROR(IF(WEEKDAY($A1825,2)&lt;=INDEX('BASE METAS DIÁRIAS'!$H$2:$M$358,MATCH($A1825,'BASE METAS DIÁRIAS'!$A$2:$A$358,0),MOD(ROW()-2,6)+1),INDEX('BASE METAS DIÁRIAS'!$B$2:$G$358,MATCH($A1825,'BASE METAS DIÁRIAS'!$A$2:$A$358,0),MOD(ROW()-2,6)+1),""),"")</f>
        <v/>
      </c>
      <c r="H1825" s="159">
        <f>IFERROR(IF(INDEX('CONTROLE PRODUÇÃO POR EMPRESAS'!$B$6:$G$5000,MATCH($A1825,'CONTROLE PRODUÇÃO POR EMPRESAS'!$A$6:$A$5000,0),MOD(ROW()-2,6)+1)="","",IFERROR(1*INDEX('CONTROLE PRODUÇÃO POR EMPRESAS'!$B$6:$G$5000,MATCH($A1825,'CONTROLE PRODUÇÃO POR EMPRESAS'!$A$6:$A$5000,0),MOD(ROW()-2,6)+1),"")),"")</f>
        <v/>
      </c>
      <c r="I1825" s="159">
        <f>IF(OR(NOT(ISNUMBER(G1825)),NOT(ISNUMBER(H1825))),"",H1825-G1825)</f>
        <v/>
      </c>
      <c r="J1825" s="319">
        <f>IF(OR(NOT(ISNUMBER(G1825)),NOT(ISNUMBER(H1825)),G1825=0),"",I1825/G1825)</f>
        <v/>
      </c>
      <c r="K1825" s="319">
        <f>IF(OR(NOT(ISNUMBER(G1825)),NOT(ISNUMBER(H1825)),G1825=0),"",H1825/G1825)</f>
        <v/>
      </c>
      <c r="L1825">
        <f>IF(NOT(ISNUMBER(G1825)),"SEM META",IF(G1825=0,"SEM META",IF(NOT(ISNUMBER(H1825)),"SEM APONTAMENTO",IF(H1825&gt;=G1825,"VERDE",IF(H1825&gt;=G1825*0.9,"AMARELO","VERMELHO")))))</f>
        <v/>
      </c>
      <c r="M1825" s="162" t="n"/>
      <c r="N1825" s="162" t="n"/>
      <c r="O1825" s="162" t="n"/>
      <c r="P1825" s="162" t="n"/>
      <c r="Q1825" s="320" t="n"/>
      <c r="R1825" s="162" t="inlineStr">
        <is>
          <t>CONTROLE PRODUÇÃO POR EMPRESAS!G309</t>
        </is>
      </c>
    </row>
    <row r="1826" ht="28.5" customHeight="1">
      <c r="A1826" s="317" t="n">
        <v>46527</v>
      </c>
      <c r="B1826" t="inlineStr">
        <is>
          <t>GERAL</t>
        </is>
      </c>
      <c r="C1826" t="inlineStr">
        <is>
          <t>EJ</t>
        </is>
      </c>
      <c r="D1826" t="inlineStr">
        <is>
          <t>PREMONTAGEM</t>
        </is>
      </c>
      <c r="F1826" s="159">
        <f>IFERROR(INDEX('BASE METAS DIÁRIAS'!$N$2:$S$358,MATCH($A1826,'BASE METAS DIÁRIAS'!$A$2:$A$358,0),MOD(ROW()-2,6)+1),"")</f>
        <v/>
      </c>
      <c r="G1826" s="159">
        <f>IFERROR(IF(WEEKDAY($A1826,2)&lt;=INDEX('BASE METAS DIÁRIAS'!$H$2:$M$358,MATCH($A1826,'BASE METAS DIÁRIAS'!$A$2:$A$358,0),MOD(ROW()-2,6)+1),INDEX('BASE METAS DIÁRIAS'!$B$2:$G$358,MATCH($A1826,'BASE METAS DIÁRIAS'!$A$2:$A$358,0),MOD(ROW()-2,6)+1),""),"")</f>
        <v/>
      </c>
      <c r="H1826" s="159">
        <f>IFERROR(IF(INDEX('CONTROLE PRODUÇÃO POR EMPRESAS'!$B$6:$G$5000,MATCH($A1826,'CONTROLE PRODUÇÃO POR EMPRESAS'!$A$6:$A$5000,0),MOD(ROW()-2,6)+1)="","",IFERROR(1*INDEX('CONTROLE PRODUÇÃO POR EMPRESAS'!$B$6:$G$5000,MATCH($A1826,'CONTROLE PRODUÇÃO POR EMPRESAS'!$A$6:$A$5000,0),MOD(ROW()-2,6)+1),"")),"")</f>
        <v/>
      </c>
      <c r="I1826" s="159">
        <f>IF(OR(NOT(ISNUMBER(G1826)),NOT(ISNUMBER(H1826))),"",H1826-G1826)</f>
        <v/>
      </c>
      <c r="J1826" s="319">
        <f>IF(OR(NOT(ISNUMBER(G1826)),NOT(ISNUMBER(H1826)),G1826=0),"",I1826/G1826)</f>
        <v/>
      </c>
      <c r="K1826" s="319">
        <f>IF(OR(NOT(ISNUMBER(G1826)),NOT(ISNUMBER(H1826)),G1826=0),"",H1826/G1826)</f>
        <v/>
      </c>
      <c r="L1826">
        <f>IF(NOT(ISNUMBER(G1826)),"SEM META",IF(G1826=0,"SEM META",IF(NOT(ISNUMBER(H1826)),"SEM APONTAMENTO",IF(H1826&gt;=G1826,"VERDE",IF(H1826&gt;=G1826*0.9,"AMARELO","VERMELHO")))))</f>
        <v/>
      </c>
      <c r="M1826" s="162" t="n"/>
      <c r="N1826" s="162" t="n"/>
      <c r="O1826" s="162" t="n"/>
      <c r="P1826" s="162" t="n"/>
      <c r="Q1826" s="320" t="n"/>
      <c r="R1826" s="162" t="inlineStr">
        <is>
          <t>CONTROLE PRODUÇÃO POR EMPRESAS!B310</t>
        </is>
      </c>
    </row>
    <row r="1827" ht="28.5" customHeight="1">
      <c r="A1827" s="317" t="n">
        <v>46527</v>
      </c>
      <c r="B1827" t="inlineStr">
        <is>
          <t>GERAL</t>
        </is>
      </c>
      <c r="C1827" t="inlineStr">
        <is>
          <t>EJ</t>
        </is>
      </c>
      <c r="D1827" t="inlineStr">
        <is>
          <t>IÇAMENTO JOIST</t>
        </is>
      </c>
      <c r="F1827" s="159">
        <f>IFERROR(INDEX('BASE METAS DIÁRIAS'!$N$2:$S$358,MATCH($A1827,'BASE METAS DIÁRIAS'!$A$2:$A$358,0),MOD(ROW()-2,6)+1),"")</f>
        <v/>
      </c>
      <c r="G1827" s="159">
        <f>IFERROR(IF(WEEKDAY($A1827,2)&lt;=INDEX('BASE METAS DIÁRIAS'!$H$2:$M$358,MATCH($A1827,'BASE METAS DIÁRIAS'!$A$2:$A$358,0),MOD(ROW()-2,6)+1),INDEX('BASE METAS DIÁRIAS'!$B$2:$G$358,MATCH($A1827,'BASE METAS DIÁRIAS'!$A$2:$A$358,0),MOD(ROW()-2,6)+1),""),"")</f>
        <v/>
      </c>
      <c r="H1827" s="159">
        <f>IFERROR(IF(INDEX('CONTROLE PRODUÇÃO POR EMPRESAS'!$B$6:$G$5000,MATCH($A1827,'CONTROLE PRODUÇÃO POR EMPRESAS'!$A$6:$A$5000,0),MOD(ROW()-2,6)+1)="","",IFERROR(1*INDEX('CONTROLE PRODUÇÃO POR EMPRESAS'!$B$6:$G$5000,MATCH($A1827,'CONTROLE PRODUÇÃO POR EMPRESAS'!$A$6:$A$5000,0),MOD(ROW()-2,6)+1),"")),"")</f>
        <v/>
      </c>
      <c r="I1827" s="159">
        <f>IF(OR(NOT(ISNUMBER(G1827)),NOT(ISNUMBER(H1827))),"",H1827-G1827)</f>
        <v/>
      </c>
      <c r="J1827" s="319">
        <f>IF(OR(NOT(ISNUMBER(G1827)),NOT(ISNUMBER(H1827)),G1827=0),"",I1827/G1827)</f>
        <v/>
      </c>
      <c r="K1827" s="319">
        <f>IF(OR(NOT(ISNUMBER(G1827)),NOT(ISNUMBER(H1827)),G1827=0),"",H1827/G1827)</f>
        <v/>
      </c>
      <c r="L1827">
        <f>IF(NOT(ISNUMBER(G1827)),"SEM META",IF(G1827=0,"SEM META",IF(NOT(ISNUMBER(H1827)),"SEM APONTAMENTO",IF(H1827&gt;=G1827,"VERDE",IF(H1827&gt;=G1827*0.9,"AMARELO","VERMELHO")))))</f>
        <v/>
      </c>
      <c r="M1827" s="162" t="n"/>
      <c r="N1827" s="162" t="n"/>
      <c r="O1827" s="162" t="n"/>
      <c r="P1827" s="162" t="n"/>
      <c r="Q1827" s="320" t="n"/>
      <c r="R1827" s="162" t="inlineStr">
        <is>
          <t>CONTROLE PRODUÇÃO POR EMPRESAS!C310</t>
        </is>
      </c>
    </row>
    <row r="1828" ht="28.5" customHeight="1">
      <c r="A1828" s="317" t="n">
        <v>46527</v>
      </c>
      <c r="B1828" t="inlineStr">
        <is>
          <t>GERAL</t>
        </is>
      </c>
      <c r="C1828" t="inlineStr">
        <is>
          <t>EJ</t>
        </is>
      </c>
      <c r="D1828" t="inlineStr">
        <is>
          <t>VIGAS</t>
        </is>
      </c>
      <c r="F1828" s="159">
        <f>IFERROR(INDEX('BASE METAS DIÁRIAS'!$N$2:$S$358,MATCH($A1828,'BASE METAS DIÁRIAS'!$A$2:$A$358,0),MOD(ROW()-2,6)+1),"")</f>
        <v/>
      </c>
      <c r="G1828" s="159">
        <f>IFERROR(IF(WEEKDAY($A1828,2)&lt;=INDEX('BASE METAS DIÁRIAS'!$H$2:$M$358,MATCH($A1828,'BASE METAS DIÁRIAS'!$A$2:$A$358,0),MOD(ROW()-2,6)+1),INDEX('BASE METAS DIÁRIAS'!$B$2:$G$358,MATCH($A1828,'BASE METAS DIÁRIAS'!$A$2:$A$358,0),MOD(ROW()-2,6)+1),""),"")</f>
        <v/>
      </c>
      <c r="H1828" s="159">
        <f>IFERROR(IF(INDEX('CONTROLE PRODUÇÃO POR EMPRESAS'!$B$6:$G$5000,MATCH($A1828,'CONTROLE PRODUÇÃO POR EMPRESAS'!$A$6:$A$5000,0),MOD(ROW()-2,6)+1)="","",IFERROR(1*INDEX('CONTROLE PRODUÇÃO POR EMPRESAS'!$B$6:$G$5000,MATCH($A1828,'CONTROLE PRODUÇÃO POR EMPRESAS'!$A$6:$A$5000,0),MOD(ROW()-2,6)+1),"")),"")</f>
        <v/>
      </c>
      <c r="I1828" s="159">
        <f>IF(OR(NOT(ISNUMBER(G1828)),NOT(ISNUMBER(H1828))),"",H1828-G1828)</f>
        <v/>
      </c>
      <c r="J1828" s="319">
        <f>IF(OR(NOT(ISNUMBER(G1828)),NOT(ISNUMBER(H1828)),G1828=0),"",I1828/G1828)</f>
        <v/>
      </c>
      <c r="K1828" s="319">
        <f>IF(OR(NOT(ISNUMBER(G1828)),NOT(ISNUMBER(H1828)),G1828=0),"",H1828/G1828)</f>
        <v/>
      </c>
      <c r="L1828">
        <f>IF(NOT(ISNUMBER(G1828)),"SEM META",IF(G1828=0,"SEM META",IF(NOT(ISNUMBER(H1828)),"SEM APONTAMENTO",IF(H1828&gt;=G1828,"VERDE",IF(H1828&gt;=G1828*0.9,"AMARELO","VERMELHO")))))</f>
        <v/>
      </c>
      <c r="M1828" s="162" t="n"/>
      <c r="N1828" s="162" t="n"/>
      <c r="O1828" s="162" t="n"/>
      <c r="P1828" s="162" t="n"/>
      <c r="Q1828" s="320" t="n"/>
      <c r="R1828" s="162" t="inlineStr">
        <is>
          <t>CONTROLE PRODUÇÃO POR EMPRESAS!D310</t>
        </is>
      </c>
    </row>
    <row r="1829" ht="28.5" customHeight="1">
      <c r="A1829" s="317" t="n">
        <v>46527</v>
      </c>
      <c r="B1829" t="inlineStr">
        <is>
          <t>GERAL</t>
        </is>
      </c>
      <c r="C1829" t="inlineStr">
        <is>
          <t>CMM</t>
        </is>
      </c>
      <c r="D1829" t="inlineStr">
        <is>
          <t>PREMONTAGEM</t>
        </is>
      </c>
      <c r="F1829" s="159">
        <f>IFERROR(INDEX('BASE METAS DIÁRIAS'!$N$2:$S$358,MATCH($A1829,'BASE METAS DIÁRIAS'!$A$2:$A$358,0),MOD(ROW()-2,6)+1),"")</f>
        <v/>
      </c>
      <c r="G1829" s="159">
        <f>IFERROR(IF(WEEKDAY($A1829,2)&lt;=INDEX('BASE METAS DIÁRIAS'!$H$2:$M$358,MATCH($A1829,'BASE METAS DIÁRIAS'!$A$2:$A$358,0),MOD(ROW()-2,6)+1),INDEX('BASE METAS DIÁRIAS'!$B$2:$G$358,MATCH($A1829,'BASE METAS DIÁRIAS'!$A$2:$A$358,0),MOD(ROW()-2,6)+1),""),"")</f>
        <v/>
      </c>
      <c r="H1829" s="159">
        <f>IFERROR(IF(INDEX('CONTROLE PRODUÇÃO POR EMPRESAS'!$B$6:$G$5000,MATCH($A1829,'CONTROLE PRODUÇÃO POR EMPRESAS'!$A$6:$A$5000,0),MOD(ROW()-2,6)+1)="","",IFERROR(1*INDEX('CONTROLE PRODUÇÃO POR EMPRESAS'!$B$6:$G$5000,MATCH($A1829,'CONTROLE PRODUÇÃO POR EMPRESAS'!$A$6:$A$5000,0),MOD(ROW()-2,6)+1),"")),"")</f>
        <v/>
      </c>
      <c r="I1829" s="159">
        <f>IF(OR(NOT(ISNUMBER(G1829)),NOT(ISNUMBER(H1829))),"",H1829-G1829)</f>
        <v/>
      </c>
      <c r="J1829" s="319">
        <f>IF(OR(NOT(ISNUMBER(G1829)),NOT(ISNUMBER(H1829)),G1829=0),"",I1829/G1829)</f>
        <v/>
      </c>
      <c r="K1829" s="319">
        <f>IF(OR(NOT(ISNUMBER(G1829)),NOT(ISNUMBER(H1829)),G1829=0),"",H1829/G1829)</f>
        <v/>
      </c>
      <c r="L1829">
        <f>IF(NOT(ISNUMBER(G1829)),"SEM META",IF(G1829=0,"SEM META",IF(NOT(ISNUMBER(H1829)),"SEM APONTAMENTO",IF(H1829&gt;=G1829,"VERDE",IF(H1829&gt;=G1829*0.9,"AMARELO","VERMELHO")))))</f>
        <v/>
      </c>
      <c r="M1829" s="162" t="n"/>
      <c r="N1829" s="162" t="n"/>
      <c r="O1829" s="162" t="n"/>
      <c r="P1829" s="162" t="n"/>
      <c r="Q1829" s="320" t="n"/>
      <c r="R1829" s="162" t="inlineStr">
        <is>
          <t>CONTROLE PRODUÇÃO POR EMPRESAS!E310</t>
        </is>
      </c>
    </row>
    <row r="1830" ht="28.5" customHeight="1">
      <c r="A1830" s="317" t="n">
        <v>46527</v>
      </c>
      <c r="B1830" t="inlineStr">
        <is>
          <t>GERAL</t>
        </is>
      </c>
      <c r="C1830" t="inlineStr">
        <is>
          <t>CMM</t>
        </is>
      </c>
      <c r="D1830" t="inlineStr">
        <is>
          <t>IÇAMENTO JOIST</t>
        </is>
      </c>
      <c r="F1830" s="159">
        <f>IFERROR(INDEX('BASE METAS DIÁRIAS'!$N$2:$S$358,MATCH($A1830,'BASE METAS DIÁRIAS'!$A$2:$A$358,0),MOD(ROW()-2,6)+1),"")</f>
        <v/>
      </c>
      <c r="G1830" s="159">
        <f>IFERROR(IF(WEEKDAY($A1830,2)&lt;=INDEX('BASE METAS DIÁRIAS'!$H$2:$M$358,MATCH($A1830,'BASE METAS DIÁRIAS'!$A$2:$A$358,0),MOD(ROW()-2,6)+1),INDEX('BASE METAS DIÁRIAS'!$B$2:$G$358,MATCH($A1830,'BASE METAS DIÁRIAS'!$A$2:$A$358,0),MOD(ROW()-2,6)+1),""),"")</f>
        <v/>
      </c>
      <c r="H1830" s="159">
        <f>IFERROR(IF(INDEX('CONTROLE PRODUÇÃO POR EMPRESAS'!$B$6:$G$5000,MATCH($A1830,'CONTROLE PRODUÇÃO POR EMPRESAS'!$A$6:$A$5000,0),MOD(ROW()-2,6)+1)="","",IFERROR(1*INDEX('CONTROLE PRODUÇÃO POR EMPRESAS'!$B$6:$G$5000,MATCH($A1830,'CONTROLE PRODUÇÃO POR EMPRESAS'!$A$6:$A$5000,0),MOD(ROW()-2,6)+1),"")),"")</f>
        <v/>
      </c>
      <c r="I1830" s="159">
        <f>IF(OR(NOT(ISNUMBER(G1830)),NOT(ISNUMBER(H1830))),"",H1830-G1830)</f>
        <v/>
      </c>
      <c r="J1830" s="319">
        <f>IF(OR(NOT(ISNUMBER(G1830)),NOT(ISNUMBER(H1830)),G1830=0),"",I1830/G1830)</f>
        <v/>
      </c>
      <c r="K1830" s="319">
        <f>IF(OR(NOT(ISNUMBER(G1830)),NOT(ISNUMBER(H1830)),G1830=0),"",H1830/G1830)</f>
        <v/>
      </c>
      <c r="L1830">
        <f>IF(NOT(ISNUMBER(G1830)),"SEM META",IF(G1830=0,"SEM META",IF(NOT(ISNUMBER(H1830)),"SEM APONTAMENTO",IF(H1830&gt;=G1830,"VERDE",IF(H1830&gt;=G1830*0.9,"AMARELO","VERMELHO")))))</f>
        <v/>
      </c>
      <c r="M1830" s="162" t="n"/>
      <c r="N1830" s="162" t="n"/>
      <c r="O1830" s="162" t="n"/>
      <c r="P1830" s="162" t="n"/>
      <c r="Q1830" s="320" t="n"/>
      <c r="R1830" s="162" t="inlineStr">
        <is>
          <t>CONTROLE PRODUÇÃO POR EMPRESAS!F310</t>
        </is>
      </c>
    </row>
    <row r="1831" ht="28.5" customHeight="1">
      <c r="A1831" s="317" t="n">
        <v>46527</v>
      </c>
      <c r="B1831" t="inlineStr">
        <is>
          <t>GERAL</t>
        </is>
      </c>
      <c r="C1831" t="inlineStr">
        <is>
          <t>CMM</t>
        </is>
      </c>
      <c r="D1831" t="inlineStr">
        <is>
          <t>VIGAS</t>
        </is>
      </c>
      <c r="F1831" s="159">
        <f>IFERROR(INDEX('BASE METAS DIÁRIAS'!$N$2:$S$358,MATCH($A1831,'BASE METAS DIÁRIAS'!$A$2:$A$358,0),MOD(ROW()-2,6)+1),"")</f>
        <v/>
      </c>
      <c r="G1831" s="159">
        <f>IFERROR(IF(WEEKDAY($A1831,2)&lt;=INDEX('BASE METAS DIÁRIAS'!$H$2:$M$358,MATCH($A1831,'BASE METAS DIÁRIAS'!$A$2:$A$358,0),MOD(ROW()-2,6)+1),INDEX('BASE METAS DIÁRIAS'!$B$2:$G$358,MATCH($A1831,'BASE METAS DIÁRIAS'!$A$2:$A$358,0),MOD(ROW()-2,6)+1),""),"")</f>
        <v/>
      </c>
      <c r="H1831" s="159">
        <f>IFERROR(IF(INDEX('CONTROLE PRODUÇÃO POR EMPRESAS'!$B$6:$G$5000,MATCH($A1831,'CONTROLE PRODUÇÃO POR EMPRESAS'!$A$6:$A$5000,0),MOD(ROW()-2,6)+1)="","",IFERROR(1*INDEX('CONTROLE PRODUÇÃO POR EMPRESAS'!$B$6:$G$5000,MATCH($A1831,'CONTROLE PRODUÇÃO POR EMPRESAS'!$A$6:$A$5000,0),MOD(ROW()-2,6)+1),"")),"")</f>
        <v/>
      </c>
      <c r="I1831" s="159">
        <f>IF(OR(NOT(ISNUMBER(G1831)),NOT(ISNUMBER(H1831))),"",H1831-G1831)</f>
        <v/>
      </c>
      <c r="J1831" s="319">
        <f>IF(OR(NOT(ISNUMBER(G1831)),NOT(ISNUMBER(H1831)),G1831=0),"",I1831/G1831)</f>
        <v/>
      </c>
      <c r="K1831" s="319">
        <f>IF(OR(NOT(ISNUMBER(G1831)),NOT(ISNUMBER(H1831)),G1831=0),"",H1831/G1831)</f>
        <v/>
      </c>
      <c r="L1831">
        <f>IF(NOT(ISNUMBER(G1831)),"SEM META",IF(G1831=0,"SEM META",IF(NOT(ISNUMBER(H1831)),"SEM APONTAMENTO",IF(H1831&gt;=G1831,"VERDE",IF(H1831&gt;=G1831*0.9,"AMARELO","VERMELHO")))))</f>
        <v/>
      </c>
      <c r="M1831" s="162" t="n"/>
      <c r="N1831" s="162" t="n"/>
      <c r="O1831" s="162" t="n"/>
      <c r="P1831" s="162" t="n"/>
      <c r="Q1831" s="320" t="n"/>
      <c r="R1831" s="162" t="inlineStr">
        <is>
          <t>CONTROLE PRODUÇÃO POR EMPRESAS!G310</t>
        </is>
      </c>
    </row>
    <row r="1832" ht="28.5" customHeight="1">
      <c r="A1832" s="317" t="n">
        <v>46528</v>
      </c>
      <c r="B1832" t="inlineStr">
        <is>
          <t>GERAL</t>
        </is>
      </c>
      <c r="C1832" t="inlineStr">
        <is>
          <t>EJ</t>
        </is>
      </c>
      <c r="D1832" t="inlineStr">
        <is>
          <t>PREMONTAGEM</t>
        </is>
      </c>
      <c r="F1832" s="159">
        <f>IFERROR(INDEX('BASE METAS DIÁRIAS'!$N$2:$S$358,MATCH($A1832,'BASE METAS DIÁRIAS'!$A$2:$A$358,0),MOD(ROW()-2,6)+1),"")</f>
        <v/>
      </c>
      <c r="G1832" s="159">
        <f>IFERROR(IF(WEEKDAY($A1832,2)&lt;=INDEX('BASE METAS DIÁRIAS'!$H$2:$M$358,MATCH($A1832,'BASE METAS DIÁRIAS'!$A$2:$A$358,0),MOD(ROW()-2,6)+1),INDEX('BASE METAS DIÁRIAS'!$B$2:$G$358,MATCH($A1832,'BASE METAS DIÁRIAS'!$A$2:$A$358,0),MOD(ROW()-2,6)+1),""),"")</f>
        <v/>
      </c>
      <c r="H1832" s="159">
        <f>IFERROR(IF(INDEX('CONTROLE PRODUÇÃO POR EMPRESAS'!$B$6:$G$5000,MATCH($A1832,'CONTROLE PRODUÇÃO POR EMPRESAS'!$A$6:$A$5000,0),MOD(ROW()-2,6)+1)="","",IFERROR(1*INDEX('CONTROLE PRODUÇÃO POR EMPRESAS'!$B$6:$G$5000,MATCH($A1832,'CONTROLE PRODUÇÃO POR EMPRESAS'!$A$6:$A$5000,0),MOD(ROW()-2,6)+1),"")),"")</f>
        <v/>
      </c>
      <c r="I1832" s="159">
        <f>IF(OR(NOT(ISNUMBER(G1832)),NOT(ISNUMBER(H1832))),"",H1832-G1832)</f>
        <v/>
      </c>
      <c r="J1832" s="319">
        <f>IF(OR(NOT(ISNUMBER(G1832)),NOT(ISNUMBER(H1832)),G1832=0),"",I1832/G1832)</f>
        <v/>
      </c>
      <c r="K1832" s="319">
        <f>IF(OR(NOT(ISNUMBER(G1832)),NOT(ISNUMBER(H1832)),G1832=0),"",H1832/G1832)</f>
        <v/>
      </c>
      <c r="L1832">
        <f>IF(NOT(ISNUMBER(G1832)),"SEM META",IF(G1832=0,"SEM META",IF(NOT(ISNUMBER(H1832)),"SEM APONTAMENTO",IF(H1832&gt;=G1832,"VERDE",IF(H1832&gt;=G1832*0.9,"AMARELO","VERMELHO")))))</f>
        <v/>
      </c>
      <c r="M1832" s="162" t="n"/>
      <c r="N1832" s="162" t="n"/>
      <c r="O1832" s="162" t="n"/>
      <c r="P1832" s="162" t="n"/>
      <c r="Q1832" s="320" t="n"/>
      <c r="R1832" s="162" t="inlineStr">
        <is>
          <t>CONTROLE PRODUÇÃO POR EMPRESAS!B311</t>
        </is>
      </c>
    </row>
    <row r="1833" ht="28.5" customHeight="1">
      <c r="A1833" s="317" t="n">
        <v>46528</v>
      </c>
      <c r="B1833" t="inlineStr">
        <is>
          <t>GERAL</t>
        </is>
      </c>
      <c r="C1833" t="inlineStr">
        <is>
          <t>EJ</t>
        </is>
      </c>
      <c r="D1833" t="inlineStr">
        <is>
          <t>IÇAMENTO JOIST</t>
        </is>
      </c>
      <c r="F1833" s="159">
        <f>IFERROR(INDEX('BASE METAS DIÁRIAS'!$N$2:$S$358,MATCH($A1833,'BASE METAS DIÁRIAS'!$A$2:$A$358,0),MOD(ROW()-2,6)+1),"")</f>
        <v/>
      </c>
      <c r="G1833" s="159">
        <f>IFERROR(IF(WEEKDAY($A1833,2)&lt;=INDEX('BASE METAS DIÁRIAS'!$H$2:$M$358,MATCH($A1833,'BASE METAS DIÁRIAS'!$A$2:$A$358,0),MOD(ROW()-2,6)+1),INDEX('BASE METAS DIÁRIAS'!$B$2:$G$358,MATCH($A1833,'BASE METAS DIÁRIAS'!$A$2:$A$358,0),MOD(ROW()-2,6)+1),""),"")</f>
        <v/>
      </c>
      <c r="H1833" s="159">
        <f>IFERROR(IF(INDEX('CONTROLE PRODUÇÃO POR EMPRESAS'!$B$6:$G$5000,MATCH($A1833,'CONTROLE PRODUÇÃO POR EMPRESAS'!$A$6:$A$5000,0),MOD(ROW()-2,6)+1)="","",IFERROR(1*INDEX('CONTROLE PRODUÇÃO POR EMPRESAS'!$B$6:$G$5000,MATCH($A1833,'CONTROLE PRODUÇÃO POR EMPRESAS'!$A$6:$A$5000,0),MOD(ROW()-2,6)+1),"")),"")</f>
        <v/>
      </c>
      <c r="I1833" s="159">
        <f>IF(OR(NOT(ISNUMBER(G1833)),NOT(ISNUMBER(H1833))),"",H1833-G1833)</f>
        <v/>
      </c>
      <c r="J1833" s="319">
        <f>IF(OR(NOT(ISNUMBER(G1833)),NOT(ISNUMBER(H1833)),G1833=0),"",I1833/G1833)</f>
        <v/>
      </c>
      <c r="K1833" s="319">
        <f>IF(OR(NOT(ISNUMBER(G1833)),NOT(ISNUMBER(H1833)),G1833=0),"",H1833/G1833)</f>
        <v/>
      </c>
      <c r="L1833">
        <f>IF(NOT(ISNUMBER(G1833)),"SEM META",IF(G1833=0,"SEM META",IF(NOT(ISNUMBER(H1833)),"SEM APONTAMENTO",IF(H1833&gt;=G1833,"VERDE",IF(H1833&gt;=G1833*0.9,"AMARELO","VERMELHO")))))</f>
        <v/>
      </c>
      <c r="M1833" s="162" t="n"/>
      <c r="N1833" s="162" t="n"/>
      <c r="O1833" s="162" t="n"/>
      <c r="P1833" s="162" t="n"/>
      <c r="Q1833" s="320" t="n"/>
      <c r="R1833" s="162" t="inlineStr">
        <is>
          <t>CONTROLE PRODUÇÃO POR EMPRESAS!C311</t>
        </is>
      </c>
    </row>
    <row r="1834" ht="28.5" customHeight="1">
      <c r="A1834" s="317" t="n">
        <v>46528</v>
      </c>
      <c r="B1834" t="inlineStr">
        <is>
          <t>GERAL</t>
        </is>
      </c>
      <c r="C1834" t="inlineStr">
        <is>
          <t>EJ</t>
        </is>
      </c>
      <c r="D1834" t="inlineStr">
        <is>
          <t>VIGAS</t>
        </is>
      </c>
      <c r="F1834" s="159">
        <f>IFERROR(INDEX('BASE METAS DIÁRIAS'!$N$2:$S$358,MATCH($A1834,'BASE METAS DIÁRIAS'!$A$2:$A$358,0),MOD(ROW()-2,6)+1),"")</f>
        <v/>
      </c>
      <c r="G1834" s="159">
        <f>IFERROR(IF(WEEKDAY($A1834,2)&lt;=INDEX('BASE METAS DIÁRIAS'!$H$2:$M$358,MATCH($A1834,'BASE METAS DIÁRIAS'!$A$2:$A$358,0),MOD(ROW()-2,6)+1),INDEX('BASE METAS DIÁRIAS'!$B$2:$G$358,MATCH($A1834,'BASE METAS DIÁRIAS'!$A$2:$A$358,0),MOD(ROW()-2,6)+1),""),"")</f>
        <v/>
      </c>
      <c r="H1834" s="159">
        <f>IFERROR(IF(INDEX('CONTROLE PRODUÇÃO POR EMPRESAS'!$B$6:$G$5000,MATCH($A1834,'CONTROLE PRODUÇÃO POR EMPRESAS'!$A$6:$A$5000,0),MOD(ROW()-2,6)+1)="","",IFERROR(1*INDEX('CONTROLE PRODUÇÃO POR EMPRESAS'!$B$6:$G$5000,MATCH($A1834,'CONTROLE PRODUÇÃO POR EMPRESAS'!$A$6:$A$5000,0),MOD(ROW()-2,6)+1),"")),"")</f>
        <v/>
      </c>
      <c r="I1834" s="159">
        <f>IF(OR(NOT(ISNUMBER(G1834)),NOT(ISNUMBER(H1834))),"",H1834-G1834)</f>
        <v/>
      </c>
      <c r="J1834" s="319">
        <f>IF(OR(NOT(ISNUMBER(G1834)),NOT(ISNUMBER(H1834)),G1834=0),"",I1834/G1834)</f>
        <v/>
      </c>
      <c r="K1834" s="319">
        <f>IF(OR(NOT(ISNUMBER(G1834)),NOT(ISNUMBER(H1834)),G1834=0),"",H1834/G1834)</f>
        <v/>
      </c>
      <c r="L1834">
        <f>IF(NOT(ISNUMBER(G1834)),"SEM META",IF(G1834=0,"SEM META",IF(NOT(ISNUMBER(H1834)),"SEM APONTAMENTO",IF(H1834&gt;=G1834,"VERDE",IF(H1834&gt;=G1834*0.9,"AMARELO","VERMELHO")))))</f>
        <v/>
      </c>
      <c r="M1834" s="162" t="n"/>
      <c r="N1834" s="162" t="n"/>
      <c r="O1834" s="162" t="n"/>
      <c r="P1834" s="162" t="n"/>
      <c r="Q1834" s="320" t="n"/>
      <c r="R1834" s="162" t="inlineStr">
        <is>
          <t>CONTROLE PRODUÇÃO POR EMPRESAS!D311</t>
        </is>
      </c>
    </row>
    <row r="1835" ht="28.5" customHeight="1">
      <c r="A1835" s="317" t="n">
        <v>46528</v>
      </c>
      <c r="B1835" t="inlineStr">
        <is>
          <t>GERAL</t>
        </is>
      </c>
      <c r="C1835" t="inlineStr">
        <is>
          <t>CMM</t>
        </is>
      </c>
      <c r="D1835" t="inlineStr">
        <is>
          <t>PREMONTAGEM</t>
        </is>
      </c>
      <c r="F1835" s="159">
        <f>IFERROR(INDEX('BASE METAS DIÁRIAS'!$N$2:$S$358,MATCH($A1835,'BASE METAS DIÁRIAS'!$A$2:$A$358,0),MOD(ROW()-2,6)+1),"")</f>
        <v/>
      </c>
      <c r="G1835" s="159">
        <f>IFERROR(IF(WEEKDAY($A1835,2)&lt;=INDEX('BASE METAS DIÁRIAS'!$H$2:$M$358,MATCH($A1835,'BASE METAS DIÁRIAS'!$A$2:$A$358,0),MOD(ROW()-2,6)+1),INDEX('BASE METAS DIÁRIAS'!$B$2:$G$358,MATCH($A1835,'BASE METAS DIÁRIAS'!$A$2:$A$358,0),MOD(ROW()-2,6)+1),""),"")</f>
        <v/>
      </c>
      <c r="H1835" s="159">
        <f>IFERROR(IF(INDEX('CONTROLE PRODUÇÃO POR EMPRESAS'!$B$6:$G$5000,MATCH($A1835,'CONTROLE PRODUÇÃO POR EMPRESAS'!$A$6:$A$5000,0),MOD(ROW()-2,6)+1)="","",IFERROR(1*INDEX('CONTROLE PRODUÇÃO POR EMPRESAS'!$B$6:$G$5000,MATCH($A1835,'CONTROLE PRODUÇÃO POR EMPRESAS'!$A$6:$A$5000,0),MOD(ROW()-2,6)+1),"")),"")</f>
        <v/>
      </c>
      <c r="I1835" s="159">
        <f>IF(OR(NOT(ISNUMBER(G1835)),NOT(ISNUMBER(H1835))),"",H1835-G1835)</f>
        <v/>
      </c>
      <c r="J1835" s="319">
        <f>IF(OR(NOT(ISNUMBER(G1835)),NOT(ISNUMBER(H1835)),G1835=0),"",I1835/G1835)</f>
        <v/>
      </c>
      <c r="K1835" s="319">
        <f>IF(OR(NOT(ISNUMBER(G1835)),NOT(ISNUMBER(H1835)),G1835=0),"",H1835/G1835)</f>
        <v/>
      </c>
      <c r="L1835">
        <f>IF(NOT(ISNUMBER(G1835)),"SEM META",IF(G1835=0,"SEM META",IF(NOT(ISNUMBER(H1835)),"SEM APONTAMENTO",IF(H1835&gt;=G1835,"VERDE",IF(H1835&gt;=G1835*0.9,"AMARELO","VERMELHO")))))</f>
        <v/>
      </c>
      <c r="M1835" s="162" t="n"/>
      <c r="N1835" s="162" t="n"/>
      <c r="O1835" s="162" t="n"/>
      <c r="P1835" s="162" t="n"/>
      <c r="Q1835" s="320" t="n"/>
      <c r="R1835" s="162" t="inlineStr">
        <is>
          <t>CONTROLE PRODUÇÃO POR EMPRESAS!E311</t>
        </is>
      </c>
    </row>
    <row r="1836" ht="28.5" customHeight="1">
      <c r="A1836" s="317" t="n">
        <v>46528</v>
      </c>
      <c r="B1836" t="inlineStr">
        <is>
          <t>GERAL</t>
        </is>
      </c>
      <c r="C1836" t="inlineStr">
        <is>
          <t>CMM</t>
        </is>
      </c>
      <c r="D1836" t="inlineStr">
        <is>
          <t>IÇAMENTO JOIST</t>
        </is>
      </c>
      <c r="F1836" s="159">
        <f>IFERROR(INDEX('BASE METAS DIÁRIAS'!$N$2:$S$358,MATCH($A1836,'BASE METAS DIÁRIAS'!$A$2:$A$358,0),MOD(ROW()-2,6)+1),"")</f>
        <v/>
      </c>
      <c r="G1836" s="159">
        <f>IFERROR(IF(WEEKDAY($A1836,2)&lt;=INDEX('BASE METAS DIÁRIAS'!$H$2:$M$358,MATCH($A1836,'BASE METAS DIÁRIAS'!$A$2:$A$358,0),MOD(ROW()-2,6)+1),INDEX('BASE METAS DIÁRIAS'!$B$2:$G$358,MATCH($A1836,'BASE METAS DIÁRIAS'!$A$2:$A$358,0),MOD(ROW()-2,6)+1),""),"")</f>
        <v/>
      </c>
      <c r="H1836" s="159">
        <f>IFERROR(IF(INDEX('CONTROLE PRODUÇÃO POR EMPRESAS'!$B$6:$G$5000,MATCH($A1836,'CONTROLE PRODUÇÃO POR EMPRESAS'!$A$6:$A$5000,0),MOD(ROW()-2,6)+1)="","",IFERROR(1*INDEX('CONTROLE PRODUÇÃO POR EMPRESAS'!$B$6:$G$5000,MATCH($A1836,'CONTROLE PRODUÇÃO POR EMPRESAS'!$A$6:$A$5000,0),MOD(ROW()-2,6)+1),"")),"")</f>
        <v/>
      </c>
      <c r="I1836" s="159">
        <f>IF(OR(NOT(ISNUMBER(G1836)),NOT(ISNUMBER(H1836))),"",H1836-G1836)</f>
        <v/>
      </c>
      <c r="J1836" s="319">
        <f>IF(OR(NOT(ISNUMBER(G1836)),NOT(ISNUMBER(H1836)),G1836=0),"",I1836/G1836)</f>
        <v/>
      </c>
      <c r="K1836" s="319">
        <f>IF(OR(NOT(ISNUMBER(G1836)),NOT(ISNUMBER(H1836)),G1836=0),"",H1836/G1836)</f>
        <v/>
      </c>
      <c r="L1836">
        <f>IF(NOT(ISNUMBER(G1836)),"SEM META",IF(G1836=0,"SEM META",IF(NOT(ISNUMBER(H1836)),"SEM APONTAMENTO",IF(H1836&gt;=G1836,"VERDE",IF(H1836&gt;=G1836*0.9,"AMARELO","VERMELHO")))))</f>
        <v/>
      </c>
      <c r="M1836" s="162" t="n"/>
      <c r="N1836" s="162" t="n"/>
      <c r="O1836" s="162" t="n"/>
      <c r="P1836" s="162" t="n"/>
      <c r="Q1836" s="320" t="n"/>
      <c r="R1836" s="162" t="inlineStr">
        <is>
          <t>CONTROLE PRODUÇÃO POR EMPRESAS!F311</t>
        </is>
      </c>
    </row>
    <row r="1837" ht="28.5" customHeight="1">
      <c r="A1837" s="317" t="n">
        <v>46528</v>
      </c>
      <c r="B1837" t="inlineStr">
        <is>
          <t>GERAL</t>
        </is>
      </c>
      <c r="C1837" t="inlineStr">
        <is>
          <t>CMM</t>
        </is>
      </c>
      <c r="D1837" t="inlineStr">
        <is>
          <t>VIGAS</t>
        </is>
      </c>
      <c r="F1837" s="159">
        <f>IFERROR(INDEX('BASE METAS DIÁRIAS'!$N$2:$S$358,MATCH($A1837,'BASE METAS DIÁRIAS'!$A$2:$A$358,0),MOD(ROW()-2,6)+1),"")</f>
        <v/>
      </c>
      <c r="G1837" s="159">
        <f>IFERROR(IF(WEEKDAY($A1837,2)&lt;=INDEX('BASE METAS DIÁRIAS'!$H$2:$M$358,MATCH($A1837,'BASE METAS DIÁRIAS'!$A$2:$A$358,0),MOD(ROW()-2,6)+1),INDEX('BASE METAS DIÁRIAS'!$B$2:$G$358,MATCH($A1837,'BASE METAS DIÁRIAS'!$A$2:$A$358,0),MOD(ROW()-2,6)+1),""),"")</f>
        <v/>
      </c>
      <c r="H1837" s="159">
        <f>IFERROR(IF(INDEX('CONTROLE PRODUÇÃO POR EMPRESAS'!$B$6:$G$5000,MATCH($A1837,'CONTROLE PRODUÇÃO POR EMPRESAS'!$A$6:$A$5000,0),MOD(ROW()-2,6)+1)="","",IFERROR(1*INDEX('CONTROLE PRODUÇÃO POR EMPRESAS'!$B$6:$G$5000,MATCH($A1837,'CONTROLE PRODUÇÃO POR EMPRESAS'!$A$6:$A$5000,0),MOD(ROW()-2,6)+1),"")),"")</f>
        <v/>
      </c>
      <c r="I1837" s="159">
        <f>IF(OR(NOT(ISNUMBER(G1837)),NOT(ISNUMBER(H1837))),"",H1837-G1837)</f>
        <v/>
      </c>
      <c r="J1837" s="319">
        <f>IF(OR(NOT(ISNUMBER(G1837)),NOT(ISNUMBER(H1837)),G1837=0),"",I1837/G1837)</f>
        <v/>
      </c>
      <c r="K1837" s="319">
        <f>IF(OR(NOT(ISNUMBER(G1837)),NOT(ISNUMBER(H1837)),G1837=0),"",H1837/G1837)</f>
        <v/>
      </c>
      <c r="L1837">
        <f>IF(NOT(ISNUMBER(G1837)),"SEM META",IF(G1837=0,"SEM META",IF(NOT(ISNUMBER(H1837)),"SEM APONTAMENTO",IF(H1837&gt;=G1837,"VERDE",IF(H1837&gt;=G1837*0.9,"AMARELO","VERMELHO")))))</f>
        <v/>
      </c>
      <c r="M1837" s="162" t="n"/>
      <c r="N1837" s="162" t="n"/>
      <c r="O1837" s="162" t="n"/>
      <c r="P1837" s="162" t="n"/>
      <c r="Q1837" s="320" t="n"/>
      <c r="R1837" s="162" t="inlineStr">
        <is>
          <t>CONTROLE PRODUÇÃO POR EMPRESAS!G311</t>
        </is>
      </c>
    </row>
    <row r="1838" ht="28.5" customHeight="1">
      <c r="A1838" s="317" t="n">
        <v>46529</v>
      </c>
      <c r="B1838" t="inlineStr">
        <is>
          <t>GERAL</t>
        </is>
      </c>
      <c r="C1838" t="inlineStr">
        <is>
          <t>EJ</t>
        </is>
      </c>
      <c r="D1838" t="inlineStr">
        <is>
          <t>PREMONTAGEM</t>
        </is>
      </c>
      <c r="F1838" s="159">
        <f>IFERROR(INDEX('BASE METAS DIÁRIAS'!$N$2:$S$358,MATCH($A1838,'BASE METAS DIÁRIAS'!$A$2:$A$358,0),MOD(ROW()-2,6)+1),"")</f>
        <v/>
      </c>
      <c r="G1838" s="159">
        <f>IFERROR(IF(WEEKDAY($A1838,2)&lt;=INDEX('BASE METAS DIÁRIAS'!$H$2:$M$358,MATCH($A1838,'BASE METAS DIÁRIAS'!$A$2:$A$358,0),MOD(ROW()-2,6)+1),INDEX('BASE METAS DIÁRIAS'!$B$2:$G$358,MATCH($A1838,'BASE METAS DIÁRIAS'!$A$2:$A$358,0),MOD(ROW()-2,6)+1),""),"")</f>
        <v/>
      </c>
      <c r="H1838" s="159">
        <f>IFERROR(IF(INDEX('CONTROLE PRODUÇÃO POR EMPRESAS'!$B$6:$G$5000,MATCH($A1838,'CONTROLE PRODUÇÃO POR EMPRESAS'!$A$6:$A$5000,0),MOD(ROW()-2,6)+1)="","",IFERROR(1*INDEX('CONTROLE PRODUÇÃO POR EMPRESAS'!$B$6:$G$5000,MATCH($A1838,'CONTROLE PRODUÇÃO POR EMPRESAS'!$A$6:$A$5000,0),MOD(ROW()-2,6)+1),"")),"")</f>
        <v/>
      </c>
      <c r="I1838" s="159">
        <f>IF(OR(NOT(ISNUMBER(G1838)),NOT(ISNUMBER(H1838))),"",H1838-G1838)</f>
        <v/>
      </c>
      <c r="J1838" s="319">
        <f>IF(OR(NOT(ISNUMBER(G1838)),NOT(ISNUMBER(H1838)),G1838=0),"",I1838/G1838)</f>
        <v/>
      </c>
      <c r="K1838" s="319">
        <f>IF(OR(NOT(ISNUMBER(G1838)),NOT(ISNUMBER(H1838)),G1838=0),"",H1838/G1838)</f>
        <v/>
      </c>
      <c r="L1838">
        <f>IF(NOT(ISNUMBER(G1838)),"SEM META",IF(G1838=0,"SEM META",IF(NOT(ISNUMBER(H1838)),"SEM APONTAMENTO",IF(H1838&gt;=G1838,"VERDE",IF(H1838&gt;=G1838*0.9,"AMARELO","VERMELHO")))))</f>
        <v/>
      </c>
      <c r="M1838" s="162" t="n"/>
      <c r="N1838" s="162" t="n"/>
      <c r="O1838" s="162" t="n"/>
      <c r="P1838" s="162" t="n"/>
      <c r="Q1838" s="320" t="n"/>
      <c r="R1838" s="162" t="inlineStr">
        <is>
          <t>CONTROLE PRODUÇÃO POR EMPRESAS!B312</t>
        </is>
      </c>
    </row>
    <row r="1839" ht="28.5" customHeight="1">
      <c r="A1839" s="317" t="n">
        <v>46529</v>
      </c>
      <c r="B1839" t="inlineStr">
        <is>
          <t>GERAL</t>
        </is>
      </c>
      <c r="C1839" t="inlineStr">
        <is>
          <t>EJ</t>
        </is>
      </c>
      <c r="D1839" t="inlineStr">
        <is>
          <t>IÇAMENTO JOIST</t>
        </is>
      </c>
      <c r="F1839" s="159">
        <f>IFERROR(INDEX('BASE METAS DIÁRIAS'!$N$2:$S$358,MATCH($A1839,'BASE METAS DIÁRIAS'!$A$2:$A$358,0),MOD(ROW()-2,6)+1),"")</f>
        <v/>
      </c>
      <c r="G1839" s="159">
        <f>IFERROR(IF(WEEKDAY($A1839,2)&lt;=INDEX('BASE METAS DIÁRIAS'!$H$2:$M$358,MATCH($A1839,'BASE METAS DIÁRIAS'!$A$2:$A$358,0),MOD(ROW()-2,6)+1),INDEX('BASE METAS DIÁRIAS'!$B$2:$G$358,MATCH($A1839,'BASE METAS DIÁRIAS'!$A$2:$A$358,0),MOD(ROW()-2,6)+1),""),"")</f>
        <v/>
      </c>
      <c r="H1839" s="159">
        <f>IFERROR(IF(INDEX('CONTROLE PRODUÇÃO POR EMPRESAS'!$B$6:$G$5000,MATCH($A1839,'CONTROLE PRODUÇÃO POR EMPRESAS'!$A$6:$A$5000,0),MOD(ROW()-2,6)+1)="","",IFERROR(1*INDEX('CONTROLE PRODUÇÃO POR EMPRESAS'!$B$6:$G$5000,MATCH($A1839,'CONTROLE PRODUÇÃO POR EMPRESAS'!$A$6:$A$5000,0),MOD(ROW()-2,6)+1),"")),"")</f>
        <v/>
      </c>
      <c r="I1839" s="159">
        <f>IF(OR(NOT(ISNUMBER(G1839)),NOT(ISNUMBER(H1839))),"",H1839-G1839)</f>
        <v/>
      </c>
      <c r="J1839" s="319">
        <f>IF(OR(NOT(ISNUMBER(G1839)),NOT(ISNUMBER(H1839)),G1839=0),"",I1839/G1839)</f>
        <v/>
      </c>
      <c r="K1839" s="319">
        <f>IF(OR(NOT(ISNUMBER(G1839)),NOT(ISNUMBER(H1839)),G1839=0),"",H1839/G1839)</f>
        <v/>
      </c>
      <c r="L1839">
        <f>IF(NOT(ISNUMBER(G1839)),"SEM META",IF(G1839=0,"SEM META",IF(NOT(ISNUMBER(H1839)),"SEM APONTAMENTO",IF(H1839&gt;=G1839,"VERDE",IF(H1839&gt;=G1839*0.9,"AMARELO","VERMELHO")))))</f>
        <v/>
      </c>
      <c r="M1839" s="162" t="n"/>
      <c r="N1839" s="162" t="n"/>
      <c r="O1839" s="162" t="n"/>
      <c r="P1839" s="162" t="n"/>
      <c r="Q1839" s="320" t="n"/>
      <c r="R1839" s="162" t="inlineStr">
        <is>
          <t>CONTROLE PRODUÇÃO POR EMPRESAS!C312</t>
        </is>
      </c>
    </row>
    <row r="1840" ht="28.5" customHeight="1">
      <c r="A1840" s="317" t="n">
        <v>46529</v>
      </c>
      <c r="B1840" t="inlineStr">
        <is>
          <t>GERAL</t>
        </is>
      </c>
      <c r="C1840" t="inlineStr">
        <is>
          <t>EJ</t>
        </is>
      </c>
      <c r="D1840" t="inlineStr">
        <is>
          <t>VIGAS</t>
        </is>
      </c>
      <c r="F1840" s="159">
        <f>IFERROR(INDEX('BASE METAS DIÁRIAS'!$N$2:$S$358,MATCH($A1840,'BASE METAS DIÁRIAS'!$A$2:$A$358,0),MOD(ROW()-2,6)+1),"")</f>
        <v/>
      </c>
      <c r="G1840" s="159">
        <f>IFERROR(IF(WEEKDAY($A1840,2)&lt;=INDEX('BASE METAS DIÁRIAS'!$H$2:$M$358,MATCH($A1840,'BASE METAS DIÁRIAS'!$A$2:$A$358,0),MOD(ROW()-2,6)+1),INDEX('BASE METAS DIÁRIAS'!$B$2:$G$358,MATCH($A1840,'BASE METAS DIÁRIAS'!$A$2:$A$358,0),MOD(ROW()-2,6)+1),""),"")</f>
        <v/>
      </c>
      <c r="H1840" s="159">
        <f>IFERROR(IF(INDEX('CONTROLE PRODUÇÃO POR EMPRESAS'!$B$6:$G$5000,MATCH($A1840,'CONTROLE PRODUÇÃO POR EMPRESAS'!$A$6:$A$5000,0),MOD(ROW()-2,6)+1)="","",IFERROR(1*INDEX('CONTROLE PRODUÇÃO POR EMPRESAS'!$B$6:$G$5000,MATCH($A1840,'CONTROLE PRODUÇÃO POR EMPRESAS'!$A$6:$A$5000,0),MOD(ROW()-2,6)+1),"")),"")</f>
        <v/>
      </c>
      <c r="I1840" s="159">
        <f>IF(OR(NOT(ISNUMBER(G1840)),NOT(ISNUMBER(H1840))),"",H1840-G1840)</f>
        <v/>
      </c>
      <c r="J1840" s="319">
        <f>IF(OR(NOT(ISNUMBER(G1840)),NOT(ISNUMBER(H1840)),G1840=0),"",I1840/G1840)</f>
        <v/>
      </c>
      <c r="K1840" s="319">
        <f>IF(OR(NOT(ISNUMBER(G1840)),NOT(ISNUMBER(H1840)),G1840=0),"",H1840/G1840)</f>
        <v/>
      </c>
      <c r="L1840">
        <f>IF(NOT(ISNUMBER(G1840)),"SEM META",IF(G1840=0,"SEM META",IF(NOT(ISNUMBER(H1840)),"SEM APONTAMENTO",IF(H1840&gt;=G1840,"VERDE",IF(H1840&gt;=G1840*0.9,"AMARELO","VERMELHO")))))</f>
        <v/>
      </c>
      <c r="M1840" s="162" t="n"/>
      <c r="N1840" s="162" t="n"/>
      <c r="O1840" s="162" t="n"/>
      <c r="P1840" s="162" t="n"/>
      <c r="Q1840" s="320" t="n"/>
      <c r="R1840" s="162" t="inlineStr">
        <is>
          <t>CONTROLE PRODUÇÃO POR EMPRESAS!D312</t>
        </is>
      </c>
    </row>
    <row r="1841" ht="28.5" customHeight="1">
      <c r="A1841" s="317" t="n">
        <v>46529</v>
      </c>
      <c r="B1841" t="inlineStr">
        <is>
          <t>GERAL</t>
        </is>
      </c>
      <c r="C1841" t="inlineStr">
        <is>
          <t>CMM</t>
        </is>
      </c>
      <c r="D1841" t="inlineStr">
        <is>
          <t>PREMONTAGEM</t>
        </is>
      </c>
      <c r="F1841" s="159">
        <f>IFERROR(INDEX('BASE METAS DIÁRIAS'!$N$2:$S$358,MATCH($A1841,'BASE METAS DIÁRIAS'!$A$2:$A$358,0),MOD(ROW()-2,6)+1),"")</f>
        <v/>
      </c>
      <c r="G1841" s="159">
        <f>IFERROR(IF(WEEKDAY($A1841,2)&lt;=INDEX('BASE METAS DIÁRIAS'!$H$2:$M$358,MATCH($A1841,'BASE METAS DIÁRIAS'!$A$2:$A$358,0),MOD(ROW()-2,6)+1),INDEX('BASE METAS DIÁRIAS'!$B$2:$G$358,MATCH($A1841,'BASE METAS DIÁRIAS'!$A$2:$A$358,0),MOD(ROW()-2,6)+1),""),"")</f>
        <v/>
      </c>
      <c r="H1841" s="159">
        <f>IFERROR(IF(INDEX('CONTROLE PRODUÇÃO POR EMPRESAS'!$B$6:$G$5000,MATCH($A1841,'CONTROLE PRODUÇÃO POR EMPRESAS'!$A$6:$A$5000,0),MOD(ROW()-2,6)+1)="","",IFERROR(1*INDEX('CONTROLE PRODUÇÃO POR EMPRESAS'!$B$6:$G$5000,MATCH($A1841,'CONTROLE PRODUÇÃO POR EMPRESAS'!$A$6:$A$5000,0),MOD(ROW()-2,6)+1),"")),"")</f>
        <v/>
      </c>
      <c r="I1841" s="159">
        <f>IF(OR(NOT(ISNUMBER(G1841)),NOT(ISNUMBER(H1841))),"",H1841-G1841)</f>
        <v/>
      </c>
      <c r="J1841" s="319">
        <f>IF(OR(NOT(ISNUMBER(G1841)),NOT(ISNUMBER(H1841)),G1841=0),"",I1841/G1841)</f>
        <v/>
      </c>
      <c r="K1841" s="319">
        <f>IF(OR(NOT(ISNUMBER(G1841)),NOT(ISNUMBER(H1841)),G1841=0),"",H1841/G1841)</f>
        <v/>
      </c>
      <c r="L1841">
        <f>IF(NOT(ISNUMBER(G1841)),"SEM META",IF(G1841=0,"SEM META",IF(NOT(ISNUMBER(H1841)),"SEM APONTAMENTO",IF(H1841&gt;=G1841,"VERDE",IF(H1841&gt;=G1841*0.9,"AMARELO","VERMELHO")))))</f>
        <v/>
      </c>
      <c r="M1841" s="162" t="n"/>
      <c r="N1841" s="162" t="n"/>
      <c r="O1841" s="162" t="n"/>
      <c r="P1841" s="162" t="n"/>
      <c r="Q1841" s="320" t="n"/>
      <c r="R1841" s="162" t="inlineStr">
        <is>
          <t>CONTROLE PRODUÇÃO POR EMPRESAS!E312</t>
        </is>
      </c>
    </row>
    <row r="1842" ht="28.5" customHeight="1">
      <c r="A1842" s="317" t="n">
        <v>46529</v>
      </c>
      <c r="B1842" t="inlineStr">
        <is>
          <t>GERAL</t>
        </is>
      </c>
      <c r="C1842" t="inlineStr">
        <is>
          <t>CMM</t>
        </is>
      </c>
      <c r="D1842" t="inlineStr">
        <is>
          <t>IÇAMENTO JOIST</t>
        </is>
      </c>
      <c r="F1842" s="159">
        <f>IFERROR(INDEX('BASE METAS DIÁRIAS'!$N$2:$S$358,MATCH($A1842,'BASE METAS DIÁRIAS'!$A$2:$A$358,0),MOD(ROW()-2,6)+1),"")</f>
        <v/>
      </c>
      <c r="G1842" s="159">
        <f>IFERROR(IF(WEEKDAY($A1842,2)&lt;=INDEX('BASE METAS DIÁRIAS'!$H$2:$M$358,MATCH($A1842,'BASE METAS DIÁRIAS'!$A$2:$A$358,0),MOD(ROW()-2,6)+1),INDEX('BASE METAS DIÁRIAS'!$B$2:$G$358,MATCH($A1842,'BASE METAS DIÁRIAS'!$A$2:$A$358,0),MOD(ROW()-2,6)+1),""),"")</f>
        <v/>
      </c>
      <c r="H1842" s="159">
        <f>IFERROR(IF(INDEX('CONTROLE PRODUÇÃO POR EMPRESAS'!$B$6:$G$5000,MATCH($A1842,'CONTROLE PRODUÇÃO POR EMPRESAS'!$A$6:$A$5000,0),MOD(ROW()-2,6)+1)="","",IFERROR(1*INDEX('CONTROLE PRODUÇÃO POR EMPRESAS'!$B$6:$G$5000,MATCH($A1842,'CONTROLE PRODUÇÃO POR EMPRESAS'!$A$6:$A$5000,0),MOD(ROW()-2,6)+1),"")),"")</f>
        <v/>
      </c>
      <c r="I1842" s="159">
        <f>IF(OR(NOT(ISNUMBER(G1842)),NOT(ISNUMBER(H1842))),"",H1842-G1842)</f>
        <v/>
      </c>
      <c r="J1842" s="319">
        <f>IF(OR(NOT(ISNUMBER(G1842)),NOT(ISNUMBER(H1842)),G1842=0),"",I1842/G1842)</f>
        <v/>
      </c>
      <c r="K1842" s="319">
        <f>IF(OR(NOT(ISNUMBER(G1842)),NOT(ISNUMBER(H1842)),G1842=0),"",H1842/G1842)</f>
        <v/>
      </c>
      <c r="L1842">
        <f>IF(NOT(ISNUMBER(G1842)),"SEM META",IF(G1842=0,"SEM META",IF(NOT(ISNUMBER(H1842)),"SEM APONTAMENTO",IF(H1842&gt;=G1842,"VERDE",IF(H1842&gt;=G1842*0.9,"AMARELO","VERMELHO")))))</f>
        <v/>
      </c>
      <c r="M1842" s="162" t="n"/>
      <c r="N1842" s="162" t="n"/>
      <c r="O1842" s="162" t="n"/>
      <c r="P1842" s="162" t="n"/>
      <c r="Q1842" s="320" t="n"/>
      <c r="R1842" s="162" t="inlineStr">
        <is>
          <t>CONTROLE PRODUÇÃO POR EMPRESAS!F312</t>
        </is>
      </c>
    </row>
    <row r="1843" ht="28.5" customHeight="1">
      <c r="A1843" s="317" t="n">
        <v>46529</v>
      </c>
      <c r="B1843" t="inlineStr">
        <is>
          <t>GERAL</t>
        </is>
      </c>
      <c r="C1843" t="inlineStr">
        <is>
          <t>CMM</t>
        </is>
      </c>
      <c r="D1843" t="inlineStr">
        <is>
          <t>VIGAS</t>
        </is>
      </c>
      <c r="F1843" s="159">
        <f>IFERROR(INDEX('BASE METAS DIÁRIAS'!$N$2:$S$358,MATCH($A1843,'BASE METAS DIÁRIAS'!$A$2:$A$358,0),MOD(ROW()-2,6)+1),"")</f>
        <v/>
      </c>
      <c r="G1843" s="159">
        <f>IFERROR(IF(WEEKDAY($A1843,2)&lt;=INDEX('BASE METAS DIÁRIAS'!$H$2:$M$358,MATCH($A1843,'BASE METAS DIÁRIAS'!$A$2:$A$358,0),MOD(ROW()-2,6)+1),INDEX('BASE METAS DIÁRIAS'!$B$2:$G$358,MATCH($A1843,'BASE METAS DIÁRIAS'!$A$2:$A$358,0),MOD(ROW()-2,6)+1),""),"")</f>
        <v/>
      </c>
      <c r="H1843" s="159">
        <f>IFERROR(IF(INDEX('CONTROLE PRODUÇÃO POR EMPRESAS'!$B$6:$G$5000,MATCH($A1843,'CONTROLE PRODUÇÃO POR EMPRESAS'!$A$6:$A$5000,0),MOD(ROW()-2,6)+1)="","",IFERROR(1*INDEX('CONTROLE PRODUÇÃO POR EMPRESAS'!$B$6:$G$5000,MATCH($A1843,'CONTROLE PRODUÇÃO POR EMPRESAS'!$A$6:$A$5000,0),MOD(ROW()-2,6)+1),"")),"")</f>
        <v/>
      </c>
      <c r="I1843" s="159">
        <f>IF(OR(NOT(ISNUMBER(G1843)),NOT(ISNUMBER(H1843))),"",H1843-G1843)</f>
        <v/>
      </c>
      <c r="J1843" s="319">
        <f>IF(OR(NOT(ISNUMBER(G1843)),NOT(ISNUMBER(H1843)),G1843=0),"",I1843/G1843)</f>
        <v/>
      </c>
      <c r="K1843" s="319">
        <f>IF(OR(NOT(ISNUMBER(G1843)),NOT(ISNUMBER(H1843)),G1843=0),"",H1843/G1843)</f>
        <v/>
      </c>
      <c r="L1843">
        <f>IF(NOT(ISNUMBER(G1843)),"SEM META",IF(G1843=0,"SEM META",IF(NOT(ISNUMBER(H1843)),"SEM APONTAMENTO",IF(H1843&gt;=G1843,"VERDE",IF(H1843&gt;=G1843*0.9,"AMARELO","VERMELHO")))))</f>
        <v/>
      </c>
      <c r="M1843" s="162" t="n"/>
      <c r="N1843" s="162" t="n"/>
      <c r="O1843" s="162" t="n"/>
      <c r="P1843" s="162" t="n"/>
      <c r="Q1843" s="320" t="n"/>
      <c r="R1843" s="162" t="inlineStr">
        <is>
          <t>CONTROLE PRODUÇÃO POR EMPRESAS!G312</t>
        </is>
      </c>
    </row>
    <row r="1844" ht="28.5" customHeight="1">
      <c r="A1844" s="317" t="n">
        <v>46530</v>
      </c>
      <c r="B1844" t="inlineStr">
        <is>
          <t>GERAL</t>
        </is>
      </c>
      <c r="C1844" t="inlineStr">
        <is>
          <t>EJ</t>
        </is>
      </c>
      <c r="D1844" t="inlineStr">
        <is>
          <t>PREMONTAGEM</t>
        </is>
      </c>
      <c r="F1844" s="159">
        <f>IFERROR(INDEX('BASE METAS DIÁRIAS'!$N$2:$S$358,MATCH($A1844,'BASE METAS DIÁRIAS'!$A$2:$A$358,0),MOD(ROW()-2,6)+1),"")</f>
        <v/>
      </c>
      <c r="G1844" s="159">
        <f>IFERROR(IF(WEEKDAY($A1844,2)&lt;=INDEX('BASE METAS DIÁRIAS'!$H$2:$M$358,MATCH($A1844,'BASE METAS DIÁRIAS'!$A$2:$A$358,0),MOD(ROW()-2,6)+1),INDEX('BASE METAS DIÁRIAS'!$B$2:$G$358,MATCH($A1844,'BASE METAS DIÁRIAS'!$A$2:$A$358,0),MOD(ROW()-2,6)+1),""),"")</f>
        <v/>
      </c>
      <c r="H1844" s="159">
        <f>IFERROR(IF(INDEX('CONTROLE PRODUÇÃO POR EMPRESAS'!$B$6:$G$5000,MATCH($A1844,'CONTROLE PRODUÇÃO POR EMPRESAS'!$A$6:$A$5000,0),MOD(ROW()-2,6)+1)="","",IFERROR(1*INDEX('CONTROLE PRODUÇÃO POR EMPRESAS'!$B$6:$G$5000,MATCH($A1844,'CONTROLE PRODUÇÃO POR EMPRESAS'!$A$6:$A$5000,0),MOD(ROW()-2,6)+1),"")),"")</f>
        <v/>
      </c>
      <c r="I1844" s="159">
        <f>IF(OR(NOT(ISNUMBER(G1844)),NOT(ISNUMBER(H1844))),"",H1844-G1844)</f>
        <v/>
      </c>
      <c r="J1844" s="319">
        <f>IF(OR(NOT(ISNUMBER(G1844)),NOT(ISNUMBER(H1844)),G1844=0),"",I1844/G1844)</f>
        <v/>
      </c>
      <c r="K1844" s="319">
        <f>IF(OR(NOT(ISNUMBER(G1844)),NOT(ISNUMBER(H1844)),G1844=0),"",H1844/G1844)</f>
        <v/>
      </c>
      <c r="L1844">
        <f>IF(NOT(ISNUMBER(G1844)),"SEM META",IF(G1844=0,"SEM META",IF(NOT(ISNUMBER(H1844)),"SEM APONTAMENTO",IF(H1844&gt;=G1844,"VERDE",IF(H1844&gt;=G1844*0.9,"AMARELO","VERMELHO")))))</f>
        <v/>
      </c>
      <c r="M1844" s="162" t="n"/>
      <c r="N1844" s="162" t="n"/>
      <c r="O1844" s="162" t="n"/>
      <c r="P1844" s="162" t="n"/>
      <c r="Q1844" s="320" t="n"/>
      <c r="R1844" s="162" t="inlineStr">
        <is>
          <t>CONTROLE PRODUÇÃO POR EMPRESAS!B313</t>
        </is>
      </c>
    </row>
    <row r="1845" ht="28.5" customHeight="1">
      <c r="A1845" s="317" t="n">
        <v>46530</v>
      </c>
      <c r="B1845" t="inlineStr">
        <is>
          <t>GERAL</t>
        </is>
      </c>
      <c r="C1845" t="inlineStr">
        <is>
          <t>EJ</t>
        </is>
      </c>
      <c r="D1845" t="inlineStr">
        <is>
          <t>IÇAMENTO JOIST</t>
        </is>
      </c>
      <c r="F1845" s="159">
        <f>IFERROR(INDEX('BASE METAS DIÁRIAS'!$N$2:$S$358,MATCH($A1845,'BASE METAS DIÁRIAS'!$A$2:$A$358,0),MOD(ROW()-2,6)+1),"")</f>
        <v/>
      </c>
      <c r="G1845" s="159">
        <f>IFERROR(IF(WEEKDAY($A1845,2)&lt;=INDEX('BASE METAS DIÁRIAS'!$H$2:$M$358,MATCH($A1845,'BASE METAS DIÁRIAS'!$A$2:$A$358,0),MOD(ROW()-2,6)+1),INDEX('BASE METAS DIÁRIAS'!$B$2:$G$358,MATCH($A1845,'BASE METAS DIÁRIAS'!$A$2:$A$358,0),MOD(ROW()-2,6)+1),""),"")</f>
        <v/>
      </c>
      <c r="H1845" s="159">
        <f>IFERROR(IF(INDEX('CONTROLE PRODUÇÃO POR EMPRESAS'!$B$6:$G$5000,MATCH($A1845,'CONTROLE PRODUÇÃO POR EMPRESAS'!$A$6:$A$5000,0),MOD(ROW()-2,6)+1)="","",IFERROR(1*INDEX('CONTROLE PRODUÇÃO POR EMPRESAS'!$B$6:$G$5000,MATCH($A1845,'CONTROLE PRODUÇÃO POR EMPRESAS'!$A$6:$A$5000,0),MOD(ROW()-2,6)+1),"")),"")</f>
        <v/>
      </c>
      <c r="I1845" s="159">
        <f>IF(OR(NOT(ISNUMBER(G1845)),NOT(ISNUMBER(H1845))),"",H1845-G1845)</f>
        <v/>
      </c>
      <c r="J1845" s="319">
        <f>IF(OR(NOT(ISNUMBER(G1845)),NOT(ISNUMBER(H1845)),G1845=0),"",I1845/G1845)</f>
        <v/>
      </c>
      <c r="K1845" s="319">
        <f>IF(OR(NOT(ISNUMBER(G1845)),NOT(ISNUMBER(H1845)),G1845=0),"",H1845/G1845)</f>
        <v/>
      </c>
      <c r="L1845">
        <f>IF(NOT(ISNUMBER(G1845)),"SEM META",IF(G1845=0,"SEM META",IF(NOT(ISNUMBER(H1845)),"SEM APONTAMENTO",IF(H1845&gt;=G1845,"VERDE",IF(H1845&gt;=G1845*0.9,"AMARELO","VERMELHO")))))</f>
        <v/>
      </c>
      <c r="M1845" s="162" t="n"/>
      <c r="N1845" s="162" t="n"/>
      <c r="O1845" s="162" t="n"/>
      <c r="P1845" s="162" t="n"/>
      <c r="Q1845" s="320" t="n"/>
      <c r="R1845" s="162" t="inlineStr">
        <is>
          <t>CONTROLE PRODUÇÃO POR EMPRESAS!C313</t>
        </is>
      </c>
    </row>
    <row r="1846" ht="28.5" customHeight="1">
      <c r="A1846" s="317" t="n">
        <v>46530</v>
      </c>
      <c r="B1846" t="inlineStr">
        <is>
          <t>GERAL</t>
        </is>
      </c>
      <c r="C1846" t="inlineStr">
        <is>
          <t>EJ</t>
        </is>
      </c>
      <c r="D1846" t="inlineStr">
        <is>
          <t>VIGAS</t>
        </is>
      </c>
      <c r="F1846" s="159">
        <f>IFERROR(INDEX('BASE METAS DIÁRIAS'!$N$2:$S$358,MATCH($A1846,'BASE METAS DIÁRIAS'!$A$2:$A$358,0),MOD(ROW()-2,6)+1),"")</f>
        <v/>
      </c>
      <c r="G1846" s="159">
        <f>IFERROR(IF(WEEKDAY($A1846,2)&lt;=INDEX('BASE METAS DIÁRIAS'!$H$2:$M$358,MATCH($A1846,'BASE METAS DIÁRIAS'!$A$2:$A$358,0),MOD(ROW()-2,6)+1),INDEX('BASE METAS DIÁRIAS'!$B$2:$G$358,MATCH($A1846,'BASE METAS DIÁRIAS'!$A$2:$A$358,0),MOD(ROW()-2,6)+1),""),"")</f>
        <v/>
      </c>
      <c r="H1846" s="159">
        <f>IFERROR(IF(INDEX('CONTROLE PRODUÇÃO POR EMPRESAS'!$B$6:$G$5000,MATCH($A1846,'CONTROLE PRODUÇÃO POR EMPRESAS'!$A$6:$A$5000,0),MOD(ROW()-2,6)+1)="","",IFERROR(1*INDEX('CONTROLE PRODUÇÃO POR EMPRESAS'!$B$6:$G$5000,MATCH($A1846,'CONTROLE PRODUÇÃO POR EMPRESAS'!$A$6:$A$5000,0),MOD(ROW()-2,6)+1),"")),"")</f>
        <v/>
      </c>
      <c r="I1846" s="159">
        <f>IF(OR(NOT(ISNUMBER(G1846)),NOT(ISNUMBER(H1846))),"",H1846-G1846)</f>
        <v/>
      </c>
      <c r="J1846" s="319">
        <f>IF(OR(NOT(ISNUMBER(G1846)),NOT(ISNUMBER(H1846)),G1846=0),"",I1846/G1846)</f>
        <v/>
      </c>
      <c r="K1846" s="319">
        <f>IF(OR(NOT(ISNUMBER(G1846)),NOT(ISNUMBER(H1846)),G1846=0),"",H1846/G1846)</f>
        <v/>
      </c>
      <c r="L1846">
        <f>IF(NOT(ISNUMBER(G1846)),"SEM META",IF(G1846=0,"SEM META",IF(NOT(ISNUMBER(H1846)),"SEM APONTAMENTO",IF(H1846&gt;=G1846,"VERDE",IF(H1846&gt;=G1846*0.9,"AMARELO","VERMELHO")))))</f>
        <v/>
      </c>
      <c r="M1846" s="162" t="n"/>
      <c r="N1846" s="162" t="n"/>
      <c r="O1846" s="162" t="n"/>
      <c r="P1846" s="162" t="n"/>
      <c r="Q1846" s="320" t="n"/>
      <c r="R1846" s="162" t="inlineStr">
        <is>
          <t>CONTROLE PRODUÇÃO POR EMPRESAS!D313</t>
        </is>
      </c>
    </row>
    <row r="1847" ht="28.5" customHeight="1">
      <c r="A1847" s="317" t="n">
        <v>46530</v>
      </c>
      <c r="B1847" t="inlineStr">
        <is>
          <t>GERAL</t>
        </is>
      </c>
      <c r="C1847" t="inlineStr">
        <is>
          <t>CMM</t>
        </is>
      </c>
      <c r="D1847" t="inlineStr">
        <is>
          <t>PREMONTAGEM</t>
        </is>
      </c>
      <c r="F1847" s="159">
        <f>IFERROR(INDEX('BASE METAS DIÁRIAS'!$N$2:$S$358,MATCH($A1847,'BASE METAS DIÁRIAS'!$A$2:$A$358,0),MOD(ROW()-2,6)+1),"")</f>
        <v/>
      </c>
      <c r="G1847" s="159">
        <f>IFERROR(IF(WEEKDAY($A1847,2)&lt;=INDEX('BASE METAS DIÁRIAS'!$H$2:$M$358,MATCH($A1847,'BASE METAS DIÁRIAS'!$A$2:$A$358,0),MOD(ROW()-2,6)+1),INDEX('BASE METAS DIÁRIAS'!$B$2:$G$358,MATCH($A1847,'BASE METAS DIÁRIAS'!$A$2:$A$358,0),MOD(ROW()-2,6)+1),""),"")</f>
        <v/>
      </c>
      <c r="H1847" s="159">
        <f>IFERROR(IF(INDEX('CONTROLE PRODUÇÃO POR EMPRESAS'!$B$6:$G$5000,MATCH($A1847,'CONTROLE PRODUÇÃO POR EMPRESAS'!$A$6:$A$5000,0),MOD(ROW()-2,6)+1)="","",IFERROR(1*INDEX('CONTROLE PRODUÇÃO POR EMPRESAS'!$B$6:$G$5000,MATCH($A1847,'CONTROLE PRODUÇÃO POR EMPRESAS'!$A$6:$A$5000,0),MOD(ROW()-2,6)+1),"")),"")</f>
        <v/>
      </c>
      <c r="I1847" s="159">
        <f>IF(OR(NOT(ISNUMBER(G1847)),NOT(ISNUMBER(H1847))),"",H1847-G1847)</f>
        <v/>
      </c>
      <c r="J1847" s="319">
        <f>IF(OR(NOT(ISNUMBER(G1847)),NOT(ISNUMBER(H1847)),G1847=0),"",I1847/G1847)</f>
        <v/>
      </c>
      <c r="K1847" s="319">
        <f>IF(OR(NOT(ISNUMBER(G1847)),NOT(ISNUMBER(H1847)),G1847=0),"",H1847/G1847)</f>
        <v/>
      </c>
      <c r="L1847">
        <f>IF(NOT(ISNUMBER(G1847)),"SEM META",IF(G1847=0,"SEM META",IF(NOT(ISNUMBER(H1847)),"SEM APONTAMENTO",IF(H1847&gt;=G1847,"VERDE",IF(H1847&gt;=G1847*0.9,"AMARELO","VERMELHO")))))</f>
        <v/>
      </c>
      <c r="M1847" s="162" t="n"/>
      <c r="N1847" s="162" t="n"/>
      <c r="O1847" s="162" t="n"/>
      <c r="P1847" s="162" t="n"/>
      <c r="Q1847" s="320" t="n"/>
      <c r="R1847" s="162" t="inlineStr">
        <is>
          <t>CONTROLE PRODUÇÃO POR EMPRESAS!E313</t>
        </is>
      </c>
    </row>
    <row r="1848" ht="28.5" customHeight="1">
      <c r="A1848" s="317" t="n">
        <v>46530</v>
      </c>
      <c r="B1848" t="inlineStr">
        <is>
          <t>GERAL</t>
        </is>
      </c>
      <c r="C1848" t="inlineStr">
        <is>
          <t>CMM</t>
        </is>
      </c>
      <c r="D1848" t="inlineStr">
        <is>
          <t>IÇAMENTO JOIST</t>
        </is>
      </c>
      <c r="F1848" s="159">
        <f>IFERROR(INDEX('BASE METAS DIÁRIAS'!$N$2:$S$358,MATCH($A1848,'BASE METAS DIÁRIAS'!$A$2:$A$358,0),MOD(ROW()-2,6)+1),"")</f>
        <v/>
      </c>
      <c r="G1848" s="159">
        <f>IFERROR(IF(WEEKDAY($A1848,2)&lt;=INDEX('BASE METAS DIÁRIAS'!$H$2:$M$358,MATCH($A1848,'BASE METAS DIÁRIAS'!$A$2:$A$358,0),MOD(ROW()-2,6)+1),INDEX('BASE METAS DIÁRIAS'!$B$2:$G$358,MATCH($A1848,'BASE METAS DIÁRIAS'!$A$2:$A$358,0),MOD(ROW()-2,6)+1),""),"")</f>
        <v/>
      </c>
      <c r="H1848" s="159">
        <f>IFERROR(IF(INDEX('CONTROLE PRODUÇÃO POR EMPRESAS'!$B$6:$G$5000,MATCH($A1848,'CONTROLE PRODUÇÃO POR EMPRESAS'!$A$6:$A$5000,0),MOD(ROW()-2,6)+1)="","",IFERROR(1*INDEX('CONTROLE PRODUÇÃO POR EMPRESAS'!$B$6:$G$5000,MATCH($A1848,'CONTROLE PRODUÇÃO POR EMPRESAS'!$A$6:$A$5000,0),MOD(ROW()-2,6)+1),"")),"")</f>
        <v/>
      </c>
      <c r="I1848" s="159">
        <f>IF(OR(NOT(ISNUMBER(G1848)),NOT(ISNUMBER(H1848))),"",H1848-G1848)</f>
        <v/>
      </c>
      <c r="J1848" s="319">
        <f>IF(OR(NOT(ISNUMBER(G1848)),NOT(ISNUMBER(H1848)),G1848=0),"",I1848/G1848)</f>
        <v/>
      </c>
      <c r="K1848" s="319">
        <f>IF(OR(NOT(ISNUMBER(G1848)),NOT(ISNUMBER(H1848)),G1848=0),"",H1848/G1848)</f>
        <v/>
      </c>
      <c r="L1848">
        <f>IF(NOT(ISNUMBER(G1848)),"SEM META",IF(G1848=0,"SEM META",IF(NOT(ISNUMBER(H1848)),"SEM APONTAMENTO",IF(H1848&gt;=G1848,"VERDE",IF(H1848&gt;=G1848*0.9,"AMARELO","VERMELHO")))))</f>
        <v/>
      </c>
      <c r="M1848" s="162" t="n"/>
      <c r="N1848" s="162" t="n"/>
      <c r="O1848" s="162" t="n"/>
      <c r="P1848" s="162" t="n"/>
      <c r="Q1848" s="320" t="n"/>
      <c r="R1848" s="162" t="inlineStr">
        <is>
          <t>CONTROLE PRODUÇÃO POR EMPRESAS!F313</t>
        </is>
      </c>
    </row>
    <row r="1849" ht="28.5" customHeight="1">
      <c r="A1849" s="317" t="n">
        <v>46530</v>
      </c>
      <c r="B1849" t="inlineStr">
        <is>
          <t>GERAL</t>
        </is>
      </c>
      <c r="C1849" t="inlineStr">
        <is>
          <t>CMM</t>
        </is>
      </c>
      <c r="D1849" t="inlineStr">
        <is>
          <t>VIGAS</t>
        </is>
      </c>
      <c r="F1849" s="159">
        <f>IFERROR(INDEX('BASE METAS DIÁRIAS'!$N$2:$S$358,MATCH($A1849,'BASE METAS DIÁRIAS'!$A$2:$A$358,0),MOD(ROW()-2,6)+1),"")</f>
        <v/>
      </c>
      <c r="G1849" s="159">
        <f>IFERROR(IF(WEEKDAY($A1849,2)&lt;=INDEX('BASE METAS DIÁRIAS'!$H$2:$M$358,MATCH($A1849,'BASE METAS DIÁRIAS'!$A$2:$A$358,0),MOD(ROW()-2,6)+1),INDEX('BASE METAS DIÁRIAS'!$B$2:$G$358,MATCH($A1849,'BASE METAS DIÁRIAS'!$A$2:$A$358,0),MOD(ROW()-2,6)+1),""),"")</f>
        <v/>
      </c>
      <c r="H1849" s="159">
        <f>IFERROR(IF(INDEX('CONTROLE PRODUÇÃO POR EMPRESAS'!$B$6:$G$5000,MATCH($A1849,'CONTROLE PRODUÇÃO POR EMPRESAS'!$A$6:$A$5000,0),MOD(ROW()-2,6)+1)="","",IFERROR(1*INDEX('CONTROLE PRODUÇÃO POR EMPRESAS'!$B$6:$G$5000,MATCH($A1849,'CONTROLE PRODUÇÃO POR EMPRESAS'!$A$6:$A$5000,0),MOD(ROW()-2,6)+1),"")),"")</f>
        <v/>
      </c>
      <c r="I1849" s="159">
        <f>IF(OR(NOT(ISNUMBER(G1849)),NOT(ISNUMBER(H1849))),"",H1849-G1849)</f>
        <v/>
      </c>
      <c r="J1849" s="319">
        <f>IF(OR(NOT(ISNUMBER(G1849)),NOT(ISNUMBER(H1849)),G1849=0),"",I1849/G1849)</f>
        <v/>
      </c>
      <c r="K1849" s="319">
        <f>IF(OR(NOT(ISNUMBER(G1849)),NOT(ISNUMBER(H1849)),G1849=0),"",H1849/G1849)</f>
        <v/>
      </c>
      <c r="L1849">
        <f>IF(NOT(ISNUMBER(G1849)),"SEM META",IF(G1849=0,"SEM META",IF(NOT(ISNUMBER(H1849)),"SEM APONTAMENTO",IF(H1849&gt;=G1849,"VERDE",IF(H1849&gt;=G1849*0.9,"AMARELO","VERMELHO")))))</f>
        <v/>
      </c>
      <c r="M1849" s="162" t="n"/>
      <c r="N1849" s="162" t="n"/>
      <c r="O1849" s="162" t="n"/>
      <c r="P1849" s="162" t="n"/>
      <c r="Q1849" s="320" t="n"/>
      <c r="R1849" s="162" t="inlineStr">
        <is>
          <t>CONTROLE PRODUÇÃO POR EMPRESAS!G313</t>
        </is>
      </c>
    </row>
    <row r="1850" ht="28.5" customHeight="1">
      <c r="A1850" s="317" t="n">
        <v>46531</v>
      </c>
      <c r="B1850" t="inlineStr">
        <is>
          <t>GERAL</t>
        </is>
      </c>
      <c r="C1850" t="inlineStr">
        <is>
          <t>EJ</t>
        </is>
      </c>
      <c r="D1850" t="inlineStr">
        <is>
          <t>PREMONTAGEM</t>
        </is>
      </c>
      <c r="F1850" s="159">
        <f>IFERROR(INDEX('BASE METAS DIÁRIAS'!$N$2:$S$358,MATCH($A1850,'BASE METAS DIÁRIAS'!$A$2:$A$358,0),MOD(ROW()-2,6)+1),"")</f>
        <v/>
      </c>
      <c r="G1850" s="159">
        <f>IFERROR(IF(WEEKDAY($A1850,2)&lt;=INDEX('BASE METAS DIÁRIAS'!$H$2:$M$358,MATCH($A1850,'BASE METAS DIÁRIAS'!$A$2:$A$358,0),MOD(ROW()-2,6)+1),INDEX('BASE METAS DIÁRIAS'!$B$2:$G$358,MATCH($A1850,'BASE METAS DIÁRIAS'!$A$2:$A$358,0),MOD(ROW()-2,6)+1),""),"")</f>
        <v/>
      </c>
      <c r="H1850" s="159">
        <f>IFERROR(IF(INDEX('CONTROLE PRODUÇÃO POR EMPRESAS'!$B$6:$G$5000,MATCH($A1850,'CONTROLE PRODUÇÃO POR EMPRESAS'!$A$6:$A$5000,0),MOD(ROW()-2,6)+1)="","",IFERROR(1*INDEX('CONTROLE PRODUÇÃO POR EMPRESAS'!$B$6:$G$5000,MATCH($A1850,'CONTROLE PRODUÇÃO POR EMPRESAS'!$A$6:$A$5000,0),MOD(ROW()-2,6)+1),"")),"")</f>
        <v/>
      </c>
      <c r="I1850" s="159">
        <f>IF(OR(NOT(ISNUMBER(G1850)),NOT(ISNUMBER(H1850))),"",H1850-G1850)</f>
        <v/>
      </c>
      <c r="J1850" s="319">
        <f>IF(OR(NOT(ISNUMBER(G1850)),NOT(ISNUMBER(H1850)),G1850=0),"",I1850/G1850)</f>
        <v/>
      </c>
      <c r="K1850" s="319">
        <f>IF(OR(NOT(ISNUMBER(G1850)),NOT(ISNUMBER(H1850)),G1850=0),"",H1850/G1850)</f>
        <v/>
      </c>
      <c r="L1850">
        <f>IF(NOT(ISNUMBER(G1850)),"SEM META",IF(G1850=0,"SEM META",IF(NOT(ISNUMBER(H1850)),"SEM APONTAMENTO",IF(H1850&gt;=G1850,"VERDE",IF(H1850&gt;=G1850*0.9,"AMARELO","VERMELHO")))))</f>
        <v/>
      </c>
      <c r="M1850" s="162" t="n"/>
      <c r="N1850" s="162" t="n"/>
      <c r="O1850" s="162" t="n"/>
      <c r="P1850" s="162" t="n"/>
      <c r="Q1850" s="320" t="n"/>
      <c r="R1850" s="162" t="inlineStr">
        <is>
          <t>CONTROLE PRODUÇÃO POR EMPRESAS!B314</t>
        </is>
      </c>
    </row>
    <row r="1851" ht="28.5" customHeight="1">
      <c r="A1851" s="317" t="n">
        <v>46531</v>
      </c>
      <c r="B1851" t="inlineStr">
        <is>
          <t>GERAL</t>
        </is>
      </c>
      <c r="C1851" t="inlineStr">
        <is>
          <t>EJ</t>
        </is>
      </c>
      <c r="D1851" t="inlineStr">
        <is>
          <t>IÇAMENTO JOIST</t>
        </is>
      </c>
      <c r="F1851" s="159">
        <f>IFERROR(INDEX('BASE METAS DIÁRIAS'!$N$2:$S$358,MATCH($A1851,'BASE METAS DIÁRIAS'!$A$2:$A$358,0),MOD(ROW()-2,6)+1),"")</f>
        <v/>
      </c>
      <c r="G1851" s="159">
        <f>IFERROR(IF(WEEKDAY($A1851,2)&lt;=INDEX('BASE METAS DIÁRIAS'!$H$2:$M$358,MATCH($A1851,'BASE METAS DIÁRIAS'!$A$2:$A$358,0),MOD(ROW()-2,6)+1),INDEX('BASE METAS DIÁRIAS'!$B$2:$G$358,MATCH($A1851,'BASE METAS DIÁRIAS'!$A$2:$A$358,0),MOD(ROW()-2,6)+1),""),"")</f>
        <v/>
      </c>
      <c r="H1851" s="159">
        <f>IFERROR(IF(INDEX('CONTROLE PRODUÇÃO POR EMPRESAS'!$B$6:$G$5000,MATCH($A1851,'CONTROLE PRODUÇÃO POR EMPRESAS'!$A$6:$A$5000,0),MOD(ROW()-2,6)+1)="","",IFERROR(1*INDEX('CONTROLE PRODUÇÃO POR EMPRESAS'!$B$6:$G$5000,MATCH($A1851,'CONTROLE PRODUÇÃO POR EMPRESAS'!$A$6:$A$5000,0),MOD(ROW()-2,6)+1),"")),"")</f>
        <v/>
      </c>
      <c r="I1851" s="159">
        <f>IF(OR(NOT(ISNUMBER(G1851)),NOT(ISNUMBER(H1851))),"",H1851-G1851)</f>
        <v/>
      </c>
      <c r="J1851" s="319">
        <f>IF(OR(NOT(ISNUMBER(G1851)),NOT(ISNUMBER(H1851)),G1851=0),"",I1851/G1851)</f>
        <v/>
      </c>
      <c r="K1851" s="319">
        <f>IF(OR(NOT(ISNUMBER(G1851)),NOT(ISNUMBER(H1851)),G1851=0),"",H1851/G1851)</f>
        <v/>
      </c>
      <c r="L1851">
        <f>IF(NOT(ISNUMBER(G1851)),"SEM META",IF(G1851=0,"SEM META",IF(NOT(ISNUMBER(H1851)),"SEM APONTAMENTO",IF(H1851&gt;=G1851,"VERDE",IF(H1851&gt;=G1851*0.9,"AMARELO","VERMELHO")))))</f>
        <v/>
      </c>
      <c r="M1851" s="162" t="n"/>
      <c r="N1851" s="162" t="n"/>
      <c r="O1851" s="162" t="n"/>
      <c r="P1851" s="162" t="n"/>
      <c r="Q1851" s="320" t="n"/>
      <c r="R1851" s="162" t="inlineStr">
        <is>
          <t>CONTROLE PRODUÇÃO POR EMPRESAS!C314</t>
        </is>
      </c>
    </row>
    <row r="1852" ht="28.5" customHeight="1">
      <c r="A1852" s="317" t="n">
        <v>46531</v>
      </c>
      <c r="B1852" t="inlineStr">
        <is>
          <t>GERAL</t>
        </is>
      </c>
      <c r="C1852" t="inlineStr">
        <is>
          <t>EJ</t>
        </is>
      </c>
      <c r="D1852" t="inlineStr">
        <is>
          <t>VIGAS</t>
        </is>
      </c>
      <c r="F1852" s="159">
        <f>IFERROR(INDEX('BASE METAS DIÁRIAS'!$N$2:$S$358,MATCH($A1852,'BASE METAS DIÁRIAS'!$A$2:$A$358,0),MOD(ROW()-2,6)+1),"")</f>
        <v/>
      </c>
      <c r="G1852" s="159">
        <f>IFERROR(IF(WEEKDAY($A1852,2)&lt;=INDEX('BASE METAS DIÁRIAS'!$H$2:$M$358,MATCH($A1852,'BASE METAS DIÁRIAS'!$A$2:$A$358,0),MOD(ROW()-2,6)+1),INDEX('BASE METAS DIÁRIAS'!$B$2:$G$358,MATCH($A1852,'BASE METAS DIÁRIAS'!$A$2:$A$358,0),MOD(ROW()-2,6)+1),""),"")</f>
        <v/>
      </c>
      <c r="H1852" s="159">
        <f>IFERROR(IF(INDEX('CONTROLE PRODUÇÃO POR EMPRESAS'!$B$6:$G$5000,MATCH($A1852,'CONTROLE PRODUÇÃO POR EMPRESAS'!$A$6:$A$5000,0),MOD(ROW()-2,6)+1)="","",IFERROR(1*INDEX('CONTROLE PRODUÇÃO POR EMPRESAS'!$B$6:$G$5000,MATCH($A1852,'CONTROLE PRODUÇÃO POR EMPRESAS'!$A$6:$A$5000,0),MOD(ROW()-2,6)+1),"")),"")</f>
        <v/>
      </c>
      <c r="I1852" s="159">
        <f>IF(OR(NOT(ISNUMBER(G1852)),NOT(ISNUMBER(H1852))),"",H1852-G1852)</f>
        <v/>
      </c>
      <c r="J1852" s="319">
        <f>IF(OR(NOT(ISNUMBER(G1852)),NOT(ISNUMBER(H1852)),G1852=0),"",I1852/G1852)</f>
        <v/>
      </c>
      <c r="K1852" s="319">
        <f>IF(OR(NOT(ISNUMBER(G1852)),NOT(ISNUMBER(H1852)),G1852=0),"",H1852/G1852)</f>
        <v/>
      </c>
      <c r="L1852">
        <f>IF(NOT(ISNUMBER(G1852)),"SEM META",IF(G1852=0,"SEM META",IF(NOT(ISNUMBER(H1852)),"SEM APONTAMENTO",IF(H1852&gt;=G1852,"VERDE",IF(H1852&gt;=G1852*0.9,"AMARELO","VERMELHO")))))</f>
        <v/>
      </c>
      <c r="M1852" s="162" t="n"/>
      <c r="N1852" s="162" t="n"/>
      <c r="O1852" s="162" t="n"/>
      <c r="P1852" s="162" t="n"/>
      <c r="Q1852" s="320" t="n"/>
      <c r="R1852" s="162" t="inlineStr">
        <is>
          <t>CONTROLE PRODUÇÃO POR EMPRESAS!D314</t>
        </is>
      </c>
    </row>
    <row r="1853" ht="28.5" customHeight="1">
      <c r="A1853" s="317" t="n">
        <v>46531</v>
      </c>
      <c r="B1853" t="inlineStr">
        <is>
          <t>GERAL</t>
        </is>
      </c>
      <c r="C1853" t="inlineStr">
        <is>
          <t>CMM</t>
        </is>
      </c>
      <c r="D1853" t="inlineStr">
        <is>
          <t>PREMONTAGEM</t>
        </is>
      </c>
      <c r="F1853" s="159">
        <f>IFERROR(INDEX('BASE METAS DIÁRIAS'!$N$2:$S$358,MATCH($A1853,'BASE METAS DIÁRIAS'!$A$2:$A$358,0),MOD(ROW()-2,6)+1),"")</f>
        <v/>
      </c>
      <c r="G1853" s="159">
        <f>IFERROR(IF(WEEKDAY($A1853,2)&lt;=INDEX('BASE METAS DIÁRIAS'!$H$2:$M$358,MATCH($A1853,'BASE METAS DIÁRIAS'!$A$2:$A$358,0),MOD(ROW()-2,6)+1),INDEX('BASE METAS DIÁRIAS'!$B$2:$G$358,MATCH($A1853,'BASE METAS DIÁRIAS'!$A$2:$A$358,0),MOD(ROW()-2,6)+1),""),"")</f>
        <v/>
      </c>
      <c r="H1853" s="159">
        <f>IFERROR(IF(INDEX('CONTROLE PRODUÇÃO POR EMPRESAS'!$B$6:$G$5000,MATCH($A1853,'CONTROLE PRODUÇÃO POR EMPRESAS'!$A$6:$A$5000,0),MOD(ROW()-2,6)+1)="","",IFERROR(1*INDEX('CONTROLE PRODUÇÃO POR EMPRESAS'!$B$6:$G$5000,MATCH($A1853,'CONTROLE PRODUÇÃO POR EMPRESAS'!$A$6:$A$5000,0),MOD(ROW()-2,6)+1),"")),"")</f>
        <v/>
      </c>
      <c r="I1853" s="159">
        <f>IF(OR(NOT(ISNUMBER(G1853)),NOT(ISNUMBER(H1853))),"",H1853-G1853)</f>
        <v/>
      </c>
      <c r="J1853" s="319">
        <f>IF(OR(NOT(ISNUMBER(G1853)),NOT(ISNUMBER(H1853)),G1853=0),"",I1853/G1853)</f>
        <v/>
      </c>
      <c r="K1853" s="319">
        <f>IF(OR(NOT(ISNUMBER(G1853)),NOT(ISNUMBER(H1853)),G1853=0),"",H1853/G1853)</f>
        <v/>
      </c>
      <c r="L1853">
        <f>IF(NOT(ISNUMBER(G1853)),"SEM META",IF(G1853=0,"SEM META",IF(NOT(ISNUMBER(H1853)),"SEM APONTAMENTO",IF(H1853&gt;=G1853,"VERDE",IF(H1853&gt;=G1853*0.9,"AMARELO","VERMELHO")))))</f>
        <v/>
      </c>
      <c r="M1853" s="162" t="n"/>
      <c r="N1853" s="162" t="n"/>
      <c r="O1853" s="162" t="n"/>
      <c r="P1853" s="162" t="n"/>
      <c r="Q1853" s="320" t="n"/>
      <c r="R1853" s="162" t="inlineStr">
        <is>
          <t>CONTROLE PRODUÇÃO POR EMPRESAS!E314</t>
        </is>
      </c>
    </row>
    <row r="1854" ht="28.5" customHeight="1">
      <c r="A1854" s="317" t="n">
        <v>46531</v>
      </c>
      <c r="B1854" t="inlineStr">
        <is>
          <t>GERAL</t>
        </is>
      </c>
      <c r="C1854" t="inlineStr">
        <is>
          <t>CMM</t>
        </is>
      </c>
      <c r="D1854" t="inlineStr">
        <is>
          <t>IÇAMENTO JOIST</t>
        </is>
      </c>
      <c r="F1854" s="159">
        <f>IFERROR(INDEX('BASE METAS DIÁRIAS'!$N$2:$S$358,MATCH($A1854,'BASE METAS DIÁRIAS'!$A$2:$A$358,0),MOD(ROW()-2,6)+1),"")</f>
        <v/>
      </c>
      <c r="G1854" s="159">
        <f>IFERROR(IF(WEEKDAY($A1854,2)&lt;=INDEX('BASE METAS DIÁRIAS'!$H$2:$M$358,MATCH($A1854,'BASE METAS DIÁRIAS'!$A$2:$A$358,0),MOD(ROW()-2,6)+1),INDEX('BASE METAS DIÁRIAS'!$B$2:$G$358,MATCH($A1854,'BASE METAS DIÁRIAS'!$A$2:$A$358,0),MOD(ROW()-2,6)+1),""),"")</f>
        <v/>
      </c>
      <c r="H1854" s="159">
        <f>IFERROR(IF(INDEX('CONTROLE PRODUÇÃO POR EMPRESAS'!$B$6:$G$5000,MATCH($A1854,'CONTROLE PRODUÇÃO POR EMPRESAS'!$A$6:$A$5000,0),MOD(ROW()-2,6)+1)="","",IFERROR(1*INDEX('CONTROLE PRODUÇÃO POR EMPRESAS'!$B$6:$G$5000,MATCH($A1854,'CONTROLE PRODUÇÃO POR EMPRESAS'!$A$6:$A$5000,0),MOD(ROW()-2,6)+1),"")),"")</f>
        <v/>
      </c>
      <c r="I1854" s="159">
        <f>IF(OR(NOT(ISNUMBER(G1854)),NOT(ISNUMBER(H1854))),"",H1854-G1854)</f>
        <v/>
      </c>
      <c r="J1854" s="319">
        <f>IF(OR(NOT(ISNUMBER(G1854)),NOT(ISNUMBER(H1854)),G1854=0),"",I1854/G1854)</f>
        <v/>
      </c>
      <c r="K1854" s="319">
        <f>IF(OR(NOT(ISNUMBER(G1854)),NOT(ISNUMBER(H1854)),G1854=0),"",H1854/G1854)</f>
        <v/>
      </c>
      <c r="L1854">
        <f>IF(NOT(ISNUMBER(G1854)),"SEM META",IF(G1854=0,"SEM META",IF(NOT(ISNUMBER(H1854)),"SEM APONTAMENTO",IF(H1854&gt;=G1854,"VERDE",IF(H1854&gt;=G1854*0.9,"AMARELO","VERMELHO")))))</f>
        <v/>
      </c>
      <c r="M1854" s="162" t="n"/>
      <c r="N1854" s="162" t="n"/>
      <c r="O1854" s="162" t="n"/>
      <c r="P1854" s="162" t="n"/>
      <c r="Q1854" s="320" t="n"/>
      <c r="R1854" s="162" t="inlineStr">
        <is>
          <t>CONTROLE PRODUÇÃO POR EMPRESAS!F314</t>
        </is>
      </c>
    </row>
    <row r="1855" ht="28.5" customHeight="1">
      <c r="A1855" s="317" t="n">
        <v>46531</v>
      </c>
      <c r="B1855" t="inlineStr">
        <is>
          <t>GERAL</t>
        </is>
      </c>
      <c r="C1855" t="inlineStr">
        <is>
          <t>CMM</t>
        </is>
      </c>
      <c r="D1855" t="inlineStr">
        <is>
          <t>VIGAS</t>
        </is>
      </c>
      <c r="F1855" s="159">
        <f>IFERROR(INDEX('BASE METAS DIÁRIAS'!$N$2:$S$358,MATCH($A1855,'BASE METAS DIÁRIAS'!$A$2:$A$358,0),MOD(ROW()-2,6)+1),"")</f>
        <v/>
      </c>
      <c r="G1855" s="159">
        <f>IFERROR(IF(WEEKDAY($A1855,2)&lt;=INDEX('BASE METAS DIÁRIAS'!$H$2:$M$358,MATCH($A1855,'BASE METAS DIÁRIAS'!$A$2:$A$358,0),MOD(ROW()-2,6)+1),INDEX('BASE METAS DIÁRIAS'!$B$2:$G$358,MATCH($A1855,'BASE METAS DIÁRIAS'!$A$2:$A$358,0),MOD(ROW()-2,6)+1),""),"")</f>
        <v/>
      </c>
      <c r="H1855" s="159">
        <f>IFERROR(IF(INDEX('CONTROLE PRODUÇÃO POR EMPRESAS'!$B$6:$G$5000,MATCH($A1855,'CONTROLE PRODUÇÃO POR EMPRESAS'!$A$6:$A$5000,0),MOD(ROW()-2,6)+1)="","",IFERROR(1*INDEX('CONTROLE PRODUÇÃO POR EMPRESAS'!$B$6:$G$5000,MATCH($A1855,'CONTROLE PRODUÇÃO POR EMPRESAS'!$A$6:$A$5000,0),MOD(ROW()-2,6)+1),"")),"")</f>
        <v/>
      </c>
      <c r="I1855" s="159">
        <f>IF(OR(NOT(ISNUMBER(G1855)),NOT(ISNUMBER(H1855))),"",H1855-G1855)</f>
        <v/>
      </c>
      <c r="J1855" s="319">
        <f>IF(OR(NOT(ISNUMBER(G1855)),NOT(ISNUMBER(H1855)),G1855=0),"",I1855/G1855)</f>
        <v/>
      </c>
      <c r="K1855" s="319">
        <f>IF(OR(NOT(ISNUMBER(G1855)),NOT(ISNUMBER(H1855)),G1855=0),"",H1855/G1855)</f>
        <v/>
      </c>
      <c r="L1855">
        <f>IF(NOT(ISNUMBER(G1855)),"SEM META",IF(G1855=0,"SEM META",IF(NOT(ISNUMBER(H1855)),"SEM APONTAMENTO",IF(H1855&gt;=G1855,"VERDE",IF(H1855&gt;=G1855*0.9,"AMARELO","VERMELHO")))))</f>
        <v/>
      </c>
      <c r="M1855" s="162" t="n"/>
      <c r="N1855" s="162" t="n"/>
      <c r="O1855" s="162" t="n"/>
      <c r="P1855" s="162" t="n"/>
      <c r="Q1855" s="320" t="n"/>
      <c r="R1855" s="162" t="inlineStr">
        <is>
          <t>CONTROLE PRODUÇÃO POR EMPRESAS!G314</t>
        </is>
      </c>
    </row>
    <row r="1856" ht="28.5" customHeight="1">
      <c r="A1856" s="317" t="n">
        <v>46532</v>
      </c>
      <c r="B1856" t="inlineStr">
        <is>
          <t>GERAL</t>
        </is>
      </c>
      <c r="C1856" t="inlineStr">
        <is>
          <t>EJ</t>
        </is>
      </c>
      <c r="D1856" t="inlineStr">
        <is>
          <t>PREMONTAGEM</t>
        </is>
      </c>
      <c r="F1856" s="159">
        <f>IFERROR(INDEX('BASE METAS DIÁRIAS'!$N$2:$S$358,MATCH($A1856,'BASE METAS DIÁRIAS'!$A$2:$A$358,0),MOD(ROW()-2,6)+1),"")</f>
        <v/>
      </c>
      <c r="G1856" s="159">
        <f>IFERROR(IF(WEEKDAY($A1856,2)&lt;=INDEX('BASE METAS DIÁRIAS'!$H$2:$M$358,MATCH($A1856,'BASE METAS DIÁRIAS'!$A$2:$A$358,0),MOD(ROW()-2,6)+1),INDEX('BASE METAS DIÁRIAS'!$B$2:$G$358,MATCH($A1856,'BASE METAS DIÁRIAS'!$A$2:$A$358,0),MOD(ROW()-2,6)+1),""),"")</f>
        <v/>
      </c>
      <c r="H1856" s="159">
        <f>IFERROR(IF(INDEX('CONTROLE PRODUÇÃO POR EMPRESAS'!$B$6:$G$5000,MATCH($A1856,'CONTROLE PRODUÇÃO POR EMPRESAS'!$A$6:$A$5000,0),MOD(ROW()-2,6)+1)="","",IFERROR(1*INDEX('CONTROLE PRODUÇÃO POR EMPRESAS'!$B$6:$G$5000,MATCH($A1856,'CONTROLE PRODUÇÃO POR EMPRESAS'!$A$6:$A$5000,0),MOD(ROW()-2,6)+1),"")),"")</f>
        <v/>
      </c>
      <c r="I1856" s="159">
        <f>IF(OR(NOT(ISNUMBER(G1856)),NOT(ISNUMBER(H1856))),"",H1856-G1856)</f>
        <v/>
      </c>
      <c r="J1856" s="319">
        <f>IF(OR(NOT(ISNUMBER(G1856)),NOT(ISNUMBER(H1856)),G1856=0),"",I1856/G1856)</f>
        <v/>
      </c>
      <c r="K1856" s="319">
        <f>IF(OR(NOT(ISNUMBER(G1856)),NOT(ISNUMBER(H1856)),G1856=0),"",H1856/G1856)</f>
        <v/>
      </c>
      <c r="L1856">
        <f>IF(NOT(ISNUMBER(G1856)),"SEM META",IF(G1856=0,"SEM META",IF(NOT(ISNUMBER(H1856)),"SEM APONTAMENTO",IF(H1856&gt;=G1856,"VERDE",IF(H1856&gt;=G1856*0.9,"AMARELO","VERMELHO")))))</f>
        <v/>
      </c>
      <c r="M1856" s="162" t="n"/>
      <c r="N1856" s="162" t="n"/>
      <c r="O1856" s="162" t="n"/>
      <c r="P1856" s="162" t="n"/>
      <c r="Q1856" s="320" t="n"/>
      <c r="R1856" s="162" t="inlineStr">
        <is>
          <t>CONTROLE PRODUÇÃO POR EMPRESAS!B315</t>
        </is>
      </c>
    </row>
    <row r="1857" ht="28.5" customHeight="1">
      <c r="A1857" s="317" t="n">
        <v>46532</v>
      </c>
      <c r="B1857" t="inlineStr">
        <is>
          <t>GERAL</t>
        </is>
      </c>
      <c r="C1857" t="inlineStr">
        <is>
          <t>EJ</t>
        </is>
      </c>
      <c r="D1857" t="inlineStr">
        <is>
          <t>IÇAMENTO JOIST</t>
        </is>
      </c>
      <c r="F1857" s="159">
        <f>IFERROR(INDEX('BASE METAS DIÁRIAS'!$N$2:$S$358,MATCH($A1857,'BASE METAS DIÁRIAS'!$A$2:$A$358,0),MOD(ROW()-2,6)+1),"")</f>
        <v/>
      </c>
      <c r="G1857" s="159">
        <f>IFERROR(IF(WEEKDAY($A1857,2)&lt;=INDEX('BASE METAS DIÁRIAS'!$H$2:$M$358,MATCH($A1857,'BASE METAS DIÁRIAS'!$A$2:$A$358,0),MOD(ROW()-2,6)+1),INDEX('BASE METAS DIÁRIAS'!$B$2:$G$358,MATCH($A1857,'BASE METAS DIÁRIAS'!$A$2:$A$358,0),MOD(ROW()-2,6)+1),""),"")</f>
        <v/>
      </c>
      <c r="H1857" s="159">
        <f>IFERROR(IF(INDEX('CONTROLE PRODUÇÃO POR EMPRESAS'!$B$6:$G$5000,MATCH($A1857,'CONTROLE PRODUÇÃO POR EMPRESAS'!$A$6:$A$5000,0),MOD(ROW()-2,6)+1)="","",IFERROR(1*INDEX('CONTROLE PRODUÇÃO POR EMPRESAS'!$B$6:$G$5000,MATCH($A1857,'CONTROLE PRODUÇÃO POR EMPRESAS'!$A$6:$A$5000,0),MOD(ROW()-2,6)+1),"")),"")</f>
        <v/>
      </c>
      <c r="I1857" s="159">
        <f>IF(OR(NOT(ISNUMBER(G1857)),NOT(ISNUMBER(H1857))),"",H1857-G1857)</f>
        <v/>
      </c>
      <c r="J1857" s="319">
        <f>IF(OR(NOT(ISNUMBER(G1857)),NOT(ISNUMBER(H1857)),G1857=0),"",I1857/G1857)</f>
        <v/>
      </c>
      <c r="K1857" s="319">
        <f>IF(OR(NOT(ISNUMBER(G1857)),NOT(ISNUMBER(H1857)),G1857=0),"",H1857/G1857)</f>
        <v/>
      </c>
      <c r="L1857">
        <f>IF(NOT(ISNUMBER(G1857)),"SEM META",IF(G1857=0,"SEM META",IF(NOT(ISNUMBER(H1857)),"SEM APONTAMENTO",IF(H1857&gt;=G1857,"VERDE",IF(H1857&gt;=G1857*0.9,"AMARELO","VERMELHO")))))</f>
        <v/>
      </c>
      <c r="M1857" s="162" t="n"/>
      <c r="N1857" s="162" t="n"/>
      <c r="O1857" s="162" t="n"/>
      <c r="P1857" s="162" t="n"/>
      <c r="Q1857" s="320" t="n"/>
      <c r="R1857" s="162" t="inlineStr">
        <is>
          <t>CONTROLE PRODUÇÃO POR EMPRESAS!C315</t>
        </is>
      </c>
    </row>
    <row r="1858" ht="28.5" customHeight="1">
      <c r="A1858" s="317" t="n">
        <v>46532</v>
      </c>
      <c r="B1858" t="inlineStr">
        <is>
          <t>GERAL</t>
        </is>
      </c>
      <c r="C1858" t="inlineStr">
        <is>
          <t>EJ</t>
        </is>
      </c>
      <c r="D1858" t="inlineStr">
        <is>
          <t>VIGAS</t>
        </is>
      </c>
      <c r="F1858" s="159">
        <f>IFERROR(INDEX('BASE METAS DIÁRIAS'!$N$2:$S$358,MATCH($A1858,'BASE METAS DIÁRIAS'!$A$2:$A$358,0),MOD(ROW()-2,6)+1),"")</f>
        <v/>
      </c>
      <c r="G1858" s="159">
        <f>IFERROR(IF(WEEKDAY($A1858,2)&lt;=INDEX('BASE METAS DIÁRIAS'!$H$2:$M$358,MATCH($A1858,'BASE METAS DIÁRIAS'!$A$2:$A$358,0),MOD(ROW()-2,6)+1),INDEX('BASE METAS DIÁRIAS'!$B$2:$G$358,MATCH($A1858,'BASE METAS DIÁRIAS'!$A$2:$A$358,0),MOD(ROW()-2,6)+1),""),"")</f>
        <v/>
      </c>
      <c r="H1858" s="159">
        <f>IFERROR(IF(INDEX('CONTROLE PRODUÇÃO POR EMPRESAS'!$B$6:$G$5000,MATCH($A1858,'CONTROLE PRODUÇÃO POR EMPRESAS'!$A$6:$A$5000,0),MOD(ROW()-2,6)+1)="","",IFERROR(1*INDEX('CONTROLE PRODUÇÃO POR EMPRESAS'!$B$6:$G$5000,MATCH($A1858,'CONTROLE PRODUÇÃO POR EMPRESAS'!$A$6:$A$5000,0),MOD(ROW()-2,6)+1),"")),"")</f>
        <v/>
      </c>
      <c r="I1858" s="159">
        <f>IF(OR(NOT(ISNUMBER(G1858)),NOT(ISNUMBER(H1858))),"",H1858-G1858)</f>
        <v/>
      </c>
      <c r="J1858" s="319">
        <f>IF(OR(NOT(ISNUMBER(G1858)),NOT(ISNUMBER(H1858)),G1858=0),"",I1858/G1858)</f>
        <v/>
      </c>
      <c r="K1858" s="319">
        <f>IF(OR(NOT(ISNUMBER(G1858)),NOT(ISNUMBER(H1858)),G1858=0),"",H1858/G1858)</f>
        <v/>
      </c>
      <c r="L1858">
        <f>IF(NOT(ISNUMBER(G1858)),"SEM META",IF(G1858=0,"SEM META",IF(NOT(ISNUMBER(H1858)),"SEM APONTAMENTO",IF(H1858&gt;=G1858,"VERDE",IF(H1858&gt;=G1858*0.9,"AMARELO","VERMELHO")))))</f>
        <v/>
      </c>
      <c r="M1858" s="162" t="n"/>
      <c r="N1858" s="162" t="n"/>
      <c r="O1858" s="162" t="n"/>
      <c r="P1858" s="162" t="n"/>
      <c r="Q1858" s="320" t="n"/>
      <c r="R1858" s="162" t="inlineStr">
        <is>
          <t>CONTROLE PRODUÇÃO POR EMPRESAS!D315</t>
        </is>
      </c>
    </row>
    <row r="1859" ht="28.5" customHeight="1">
      <c r="A1859" s="317" t="n">
        <v>46532</v>
      </c>
      <c r="B1859" t="inlineStr">
        <is>
          <t>GERAL</t>
        </is>
      </c>
      <c r="C1859" t="inlineStr">
        <is>
          <t>CMM</t>
        </is>
      </c>
      <c r="D1859" t="inlineStr">
        <is>
          <t>PREMONTAGEM</t>
        </is>
      </c>
      <c r="F1859" s="159">
        <f>IFERROR(INDEX('BASE METAS DIÁRIAS'!$N$2:$S$358,MATCH($A1859,'BASE METAS DIÁRIAS'!$A$2:$A$358,0),MOD(ROW()-2,6)+1),"")</f>
        <v/>
      </c>
      <c r="G1859" s="159">
        <f>IFERROR(IF(WEEKDAY($A1859,2)&lt;=INDEX('BASE METAS DIÁRIAS'!$H$2:$M$358,MATCH($A1859,'BASE METAS DIÁRIAS'!$A$2:$A$358,0),MOD(ROW()-2,6)+1),INDEX('BASE METAS DIÁRIAS'!$B$2:$G$358,MATCH($A1859,'BASE METAS DIÁRIAS'!$A$2:$A$358,0),MOD(ROW()-2,6)+1),""),"")</f>
        <v/>
      </c>
      <c r="H1859" s="159">
        <f>IFERROR(IF(INDEX('CONTROLE PRODUÇÃO POR EMPRESAS'!$B$6:$G$5000,MATCH($A1859,'CONTROLE PRODUÇÃO POR EMPRESAS'!$A$6:$A$5000,0),MOD(ROW()-2,6)+1)="","",IFERROR(1*INDEX('CONTROLE PRODUÇÃO POR EMPRESAS'!$B$6:$G$5000,MATCH($A1859,'CONTROLE PRODUÇÃO POR EMPRESAS'!$A$6:$A$5000,0),MOD(ROW()-2,6)+1),"")),"")</f>
        <v/>
      </c>
      <c r="I1859" s="159">
        <f>IF(OR(NOT(ISNUMBER(G1859)),NOT(ISNUMBER(H1859))),"",H1859-G1859)</f>
        <v/>
      </c>
      <c r="J1859" s="319">
        <f>IF(OR(NOT(ISNUMBER(G1859)),NOT(ISNUMBER(H1859)),G1859=0),"",I1859/G1859)</f>
        <v/>
      </c>
      <c r="K1859" s="319">
        <f>IF(OR(NOT(ISNUMBER(G1859)),NOT(ISNUMBER(H1859)),G1859=0),"",H1859/G1859)</f>
        <v/>
      </c>
      <c r="L1859">
        <f>IF(NOT(ISNUMBER(G1859)),"SEM META",IF(G1859=0,"SEM META",IF(NOT(ISNUMBER(H1859)),"SEM APONTAMENTO",IF(H1859&gt;=G1859,"VERDE",IF(H1859&gt;=G1859*0.9,"AMARELO","VERMELHO")))))</f>
        <v/>
      </c>
      <c r="M1859" s="162" t="n"/>
      <c r="N1859" s="162" t="n"/>
      <c r="O1859" s="162" t="n"/>
      <c r="P1859" s="162" t="n"/>
      <c r="Q1859" s="320" t="n"/>
      <c r="R1859" s="162" t="inlineStr">
        <is>
          <t>CONTROLE PRODUÇÃO POR EMPRESAS!E315</t>
        </is>
      </c>
    </row>
    <row r="1860" ht="28.5" customHeight="1">
      <c r="A1860" s="317" t="n">
        <v>46532</v>
      </c>
      <c r="B1860" t="inlineStr">
        <is>
          <t>GERAL</t>
        </is>
      </c>
      <c r="C1860" t="inlineStr">
        <is>
          <t>CMM</t>
        </is>
      </c>
      <c r="D1860" t="inlineStr">
        <is>
          <t>IÇAMENTO JOIST</t>
        </is>
      </c>
      <c r="F1860" s="159">
        <f>IFERROR(INDEX('BASE METAS DIÁRIAS'!$N$2:$S$358,MATCH($A1860,'BASE METAS DIÁRIAS'!$A$2:$A$358,0),MOD(ROW()-2,6)+1),"")</f>
        <v/>
      </c>
      <c r="G1860" s="159">
        <f>IFERROR(IF(WEEKDAY($A1860,2)&lt;=INDEX('BASE METAS DIÁRIAS'!$H$2:$M$358,MATCH($A1860,'BASE METAS DIÁRIAS'!$A$2:$A$358,0),MOD(ROW()-2,6)+1),INDEX('BASE METAS DIÁRIAS'!$B$2:$G$358,MATCH($A1860,'BASE METAS DIÁRIAS'!$A$2:$A$358,0),MOD(ROW()-2,6)+1),""),"")</f>
        <v/>
      </c>
      <c r="H1860" s="159">
        <f>IFERROR(IF(INDEX('CONTROLE PRODUÇÃO POR EMPRESAS'!$B$6:$G$5000,MATCH($A1860,'CONTROLE PRODUÇÃO POR EMPRESAS'!$A$6:$A$5000,0),MOD(ROW()-2,6)+1)="","",IFERROR(1*INDEX('CONTROLE PRODUÇÃO POR EMPRESAS'!$B$6:$G$5000,MATCH($A1860,'CONTROLE PRODUÇÃO POR EMPRESAS'!$A$6:$A$5000,0),MOD(ROW()-2,6)+1),"")),"")</f>
        <v/>
      </c>
      <c r="I1860" s="159">
        <f>IF(OR(NOT(ISNUMBER(G1860)),NOT(ISNUMBER(H1860))),"",H1860-G1860)</f>
        <v/>
      </c>
      <c r="J1860" s="319">
        <f>IF(OR(NOT(ISNUMBER(G1860)),NOT(ISNUMBER(H1860)),G1860=0),"",I1860/G1860)</f>
        <v/>
      </c>
      <c r="K1860" s="319">
        <f>IF(OR(NOT(ISNUMBER(G1860)),NOT(ISNUMBER(H1860)),G1860=0),"",H1860/G1860)</f>
        <v/>
      </c>
      <c r="L1860">
        <f>IF(NOT(ISNUMBER(G1860)),"SEM META",IF(G1860=0,"SEM META",IF(NOT(ISNUMBER(H1860)),"SEM APONTAMENTO",IF(H1860&gt;=G1860,"VERDE",IF(H1860&gt;=G1860*0.9,"AMARELO","VERMELHO")))))</f>
        <v/>
      </c>
      <c r="M1860" s="162" t="n"/>
      <c r="N1860" s="162" t="n"/>
      <c r="O1860" s="162" t="n"/>
      <c r="P1860" s="162" t="n"/>
      <c r="Q1860" s="320" t="n"/>
      <c r="R1860" s="162" t="inlineStr">
        <is>
          <t>CONTROLE PRODUÇÃO POR EMPRESAS!F315</t>
        </is>
      </c>
    </row>
    <row r="1861" ht="28.5" customHeight="1">
      <c r="A1861" s="317" t="n">
        <v>46532</v>
      </c>
      <c r="B1861" t="inlineStr">
        <is>
          <t>GERAL</t>
        </is>
      </c>
      <c r="C1861" t="inlineStr">
        <is>
          <t>CMM</t>
        </is>
      </c>
      <c r="D1861" t="inlineStr">
        <is>
          <t>VIGAS</t>
        </is>
      </c>
      <c r="F1861" s="159">
        <f>IFERROR(INDEX('BASE METAS DIÁRIAS'!$N$2:$S$358,MATCH($A1861,'BASE METAS DIÁRIAS'!$A$2:$A$358,0),MOD(ROW()-2,6)+1),"")</f>
        <v/>
      </c>
      <c r="G1861" s="159">
        <f>IFERROR(IF(WEEKDAY($A1861,2)&lt;=INDEX('BASE METAS DIÁRIAS'!$H$2:$M$358,MATCH($A1861,'BASE METAS DIÁRIAS'!$A$2:$A$358,0),MOD(ROW()-2,6)+1),INDEX('BASE METAS DIÁRIAS'!$B$2:$G$358,MATCH($A1861,'BASE METAS DIÁRIAS'!$A$2:$A$358,0),MOD(ROW()-2,6)+1),""),"")</f>
        <v/>
      </c>
      <c r="H1861" s="159">
        <f>IFERROR(IF(INDEX('CONTROLE PRODUÇÃO POR EMPRESAS'!$B$6:$G$5000,MATCH($A1861,'CONTROLE PRODUÇÃO POR EMPRESAS'!$A$6:$A$5000,0),MOD(ROW()-2,6)+1)="","",IFERROR(1*INDEX('CONTROLE PRODUÇÃO POR EMPRESAS'!$B$6:$G$5000,MATCH($A1861,'CONTROLE PRODUÇÃO POR EMPRESAS'!$A$6:$A$5000,0),MOD(ROW()-2,6)+1),"")),"")</f>
        <v/>
      </c>
      <c r="I1861" s="159">
        <f>IF(OR(NOT(ISNUMBER(G1861)),NOT(ISNUMBER(H1861))),"",H1861-G1861)</f>
        <v/>
      </c>
      <c r="J1861" s="319">
        <f>IF(OR(NOT(ISNUMBER(G1861)),NOT(ISNUMBER(H1861)),G1861=0),"",I1861/G1861)</f>
        <v/>
      </c>
      <c r="K1861" s="319">
        <f>IF(OR(NOT(ISNUMBER(G1861)),NOT(ISNUMBER(H1861)),G1861=0),"",H1861/G1861)</f>
        <v/>
      </c>
      <c r="L1861">
        <f>IF(NOT(ISNUMBER(G1861)),"SEM META",IF(G1861=0,"SEM META",IF(NOT(ISNUMBER(H1861)),"SEM APONTAMENTO",IF(H1861&gt;=G1861,"VERDE",IF(H1861&gt;=G1861*0.9,"AMARELO","VERMELHO")))))</f>
        <v/>
      </c>
      <c r="M1861" s="162" t="n"/>
      <c r="N1861" s="162" t="n"/>
      <c r="O1861" s="162" t="n"/>
      <c r="P1861" s="162" t="n"/>
      <c r="Q1861" s="320" t="n"/>
      <c r="R1861" s="162" t="inlineStr">
        <is>
          <t>CONTROLE PRODUÇÃO POR EMPRESAS!G315</t>
        </is>
      </c>
    </row>
    <row r="1862" ht="28.5" customHeight="1">
      <c r="A1862" s="317" t="n">
        <v>46533</v>
      </c>
      <c r="B1862" t="inlineStr">
        <is>
          <t>GERAL</t>
        </is>
      </c>
      <c r="C1862" t="inlineStr">
        <is>
          <t>EJ</t>
        </is>
      </c>
      <c r="D1862" t="inlineStr">
        <is>
          <t>PREMONTAGEM</t>
        </is>
      </c>
      <c r="F1862" s="159">
        <f>IFERROR(INDEX('BASE METAS DIÁRIAS'!$N$2:$S$358,MATCH($A1862,'BASE METAS DIÁRIAS'!$A$2:$A$358,0),MOD(ROW()-2,6)+1),"")</f>
        <v/>
      </c>
      <c r="G1862" s="159">
        <f>IFERROR(IF(WEEKDAY($A1862,2)&lt;=INDEX('BASE METAS DIÁRIAS'!$H$2:$M$358,MATCH($A1862,'BASE METAS DIÁRIAS'!$A$2:$A$358,0),MOD(ROW()-2,6)+1),INDEX('BASE METAS DIÁRIAS'!$B$2:$G$358,MATCH($A1862,'BASE METAS DIÁRIAS'!$A$2:$A$358,0),MOD(ROW()-2,6)+1),""),"")</f>
        <v/>
      </c>
      <c r="H1862" s="159">
        <f>IFERROR(IF(INDEX('CONTROLE PRODUÇÃO POR EMPRESAS'!$B$6:$G$5000,MATCH($A1862,'CONTROLE PRODUÇÃO POR EMPRESAS'!$A$6:$A$5000,0),MOD(ROW()-2,6)+1)="","",IFERROR(1*INDEX('CONTROLE PRODUÇÃO POR EMPRESAS'!$B$6:$G$5000,MATCH($A1862,'CONTROLE PRODUÇÃO POR EMPRESAS'!$A$6:$A$5000,0),MOD(ROW()-2,6)+1),"")),"")</f>
        <v/>
      </c>
      <c r="I1862" s="159">
        <f>IF(OR(NOT(ISNUMBER(G1862)),NOT(ISNUMBER(H1862))),"",H1862-G1862)</f>
        <v/>
      </c>
      <c r="J1862" s="319">
        <f>IF(OR(NOT(ISNUMBER(G1862)),NOT(ISNUMBER(H1862)),G1862=0),"",I1862/G1862)</f>
        <v/>
      </c>
      <c r="K1862" s="319">
        <f>IF(OR(NOT(ISNUMBER(G1862)),NOT(ISNUMBER(H1862)),G1862=0),"",H1862/G1862)</f>
        <v/>
      </c>
      <c r="L1862">
        <f>IF(NOT(ISNUMBER(G1862)),"SEM META",IF(G1862=0,"SEM META",IF(NOT(ISNUMBER(H1862)),"SEM APONTAMENTO",IF(H1862&gt;=G1862,"VERDE",IF(H1862&gt;=G1862*0.9,"AMARELO","VERMELHO")))))</f>
        <v/>
      </c>
      <c r="M1862" s="162" t="n"/>
      <c r="N1862" s="162" t="n"/>
      <c r="O1862" s="162" t="n"/>
      <c r="P1862" s="162" t="n"/>
      <c r="Q1862" s="320" t="n"/>
      <c r="R1862" s="162" t="inlineStr">
        <is>
          <t>CONTROLE PRODUÇÃO POR EMPRESAS!B316</t>
        </is>
      </c>
    </row>
    <row r="1863" ht="28.5" customHeight="1">
      <c r="A1863" s="317" t="n">
        <v>46533</v>
      </c>
      <c r="B1863" t="inlineStr">
        <is>
          <t>GERAL</t>
        </is>
      </c>
      <c r="C1863" t="inlineStr">
        <is>
          <t>EJ</t>
        </is>
      </c>
      <c r="D1863" t="inlineStr">
        <is>
          <t>IÇAMENTO JOIST</t>
        </is>
      </c>
      <c r="F1863" s="159">
        <f>IFERROR(INDEX('BASE METAS DIÁRIAS'!$N$2:$S$358,MATCH($A1863,'BASE METAS DIÁRIAS'!$A$2:$A$358,0),MOD(ROW()-2,6)+1),"")</f>
        <v/>
      </c>
      <c r="G1863" s="159">
        <f>IFERROR(IF(WEEKDAY($A1863,2)&lt;=INDEX('BASE METAS DIÁRIAS'!$H$2:$M$358,MATCH($A1863,'BASE METAS DIÁRIAS'!$A$2:$A$358,0),MOD(ROW()-2,6)+1),INDEX('BASE METAS DIÁRIAS'!$B$2:$G$358,MATCH($A1863,'BASE METAS DIÁRIAS'!$A$2:$A$358,0),MOD(ROW()-2,6)+1),""),"")</f>
        <v/>
      </c>
      <c r="H1863" s="159">
        <f>IFERROR(IF(INDEX('CONTROLE PRODUÇÃO POR EMPRESAS'!$B$6:$G$5000,MATCH($A1863,'CONTROLE PRODUÇÃO POR EMPRESAS'!$A$6:$A$5000,0),MOD(ROW()-2,6)+1)="","",IFERROR(1*INDEX('CONTROLE PRODUÇÃO POR EMPRESAS'!$B$6:$G$5000,MATCH($A1863,'CONTROLE PRODUÇÃO POR EMPRESAS'!$A$6:$A$5000,0),MOD(ROW()-2,6)+1),"")),"")</f>
        <v/>
      </c>
      <c r="I1863" s="159">
        <f>IF(OR(NOT(ISNUMBER(G1863)),NOT(ISNUMBER(H1863))),"",H1863-G1863)</f>
        <v/>
      </c>
      <c r="J1863" s="319">
        <f>IF(OR(NOT(ISNUMBER(G1863)),NOT(ISNUMBER(H1863)),G1863=0),"",I1863/G1863)</f>
        <v/>
      </c>
      <c r="K1863" s="319">
        <f>IF(OR(NOT(ISNUMBER(G1863)),NOT(ISNUMBER(H1863)),G1863=0),"",H1863/G1863)</f>
        <v/>
      </c>
      <c r="L1863">
        <f>IF(NOT(ISNUMBER(G1863)),"SEM META",IF(G1863=0,"SEM META",IF(NOT(ISNUMBER(H1863)),"SEM APONTAMENTO",IF(H1863&gt;=G1863,"VERDE",IF(H1863&gt;=G1863*0.9,"AMARELO","VERMELHO")))))</f>
        <v/>
      </c>
      <c r="M1863" s="162" t="n"/>
      <c r="N1863" s="162" t="n"/>
      <c r="O1863" s="162" t="n"/>
      <c r="P1863" s="162" t="n"/>
      <c r="Q1863" s="320" t="n"/>
      <c r="R1863" s="162" t="inlineStr">
        <is>
          <t>CONTROLE PRODUÇÃO POR EMPRESAS!C316</t>
        </is>
      </c>
    </row>
    <row r="1864" ht="28.5" customHeight="1">
      <c r="A1864" s="317" t="n">
        <v>46533</v>
      </c>
      <c r="B1864" t="inlineStr">
        <is>
          <t>GERAL</t>
        </is>
      </c>
      <c r="C1864" t="inlineStr">
        <is>
          <t>EJ</t>
        </is>
      </c>
      <c r="D1864" t="inlineStr">
        <is>
          <t>VIGAS</t>
        </is>
      </c>
      <c r="F1864" s="159">
        <f>IFERROR(INDEX('BASE METAS DIÁRIAS'!$N$2:$S$358,MATCH($A1864,'BASE METAS DIÁRIAS'!$A$2:$A$358,0),MOD(ROW()-2,6)+1),"")</f>
        <v/>
      </c>
      <c r="G1864" s="159">
        <f>IFERROR(IF(WEEKDAY($A1864,2)&lt;=INDEX('BASE METAS DIÁRIAS'!$H$2:$M$358,MATCH($A1864,'BASE METAS DIÁRIAS'!$A$2:$A$358,0),MOD(ROW()-2,6)+1),INDEX('BASE METAS DIÁRIAS'!$B$2:$G$358,MATCH($A1864,'BASE METAS DIÁRIAS'!$A$2:$A$358,0),MOD(ROW()-2,6)+1),""),"")</f>
        <v/>
      </c>
      <c r="H1864" s="159">
        <f>IFERROR(IF(INDEX('CONTROLE PRODUÇÃO POR EMPRESAS'!$B$6:$G$5000,MATCH($A1864,'CONTROLE PRODUÇÃO POR EMPRESAS'!$A$6:$A$5000,0),MOD(ROW()-2,6)+1)="","",IFERROR(1*INDEX('CONTROLE PRODUÇÃO POR EMPRESAS'!$B$6:$G$5000,MATCH($A1864,'CONTROLE PRODUÇÃO POR EMPRESAS'!$A$6:$A$5000,0),MOD(ROW()-2,6)+1),"")),"")</f>
        <v/>
      </c>
      <c r="I1864" s="159">
        <f>IF(OR(NOT(ISNUMBER(G1864)),NOT(ISNUMBER(H1864))),"",H1864-G1864)</f>
        <v/>
      </c>
      <c r="J1864" s="319">
        <f>IF(OR(NOT(ISNUMBER(G1864)),NOT(ISNUMBER(H1864)),G1864=0),"",I1864/G1864)</f>
        <v/>
      </c>
      <c r="K1864" s="319">
        <f>IF(OR(NOT(ISNUMBER(G1864)),NOT(ISNUMBER(H1864)),G1864=0),"",H1864/G1864)</f>
        <v/>
      </c>
      <c r="L1864">
        <f>IF(NOT(ISNUMBER(G1864)),"SEM META",IF(G1864=0,"SEM META",IF(NOT(ISNUMBER(H1864)),"SEM APONTAMENTO",IF(H1864&gt;=G1864,"VERDE",IF(H1864&gt;=G1864*0.9,"AMARELO","VERMELHO")))))</f>
        <v/>
      </c>
      <c r="M1864" s="162" t="n"/>
      <c r="N1864" s="162" t="n"/>
      <c r="O1864" s="162" t="n"/>
      <c r="P1864" s="162" t="n"/>
      <c r="Q1864" s="320" t="n"/>
      <c r="R1864" s="162" t="inlineStr">
        <is>
          <t>CONTROLE PRODUÇÃO POR EMPRESAS!D316</t>
        </is>
      </c>
    </row>
    <row r="1865" ht="28.5" customHeight="1">
      <c r="A1865" s="317" t="n">
        <v>46533</v>
      </c>
      <c r="B1865" t="inlineStr">
        <is>
          <t>GERAL</t>
        </is>
      </c>
      <c r="C1865" t="inlineStr">
        <is>
          <t>CMM</t>
        </is>
      </c>
      <c r="D1865" t="inlineStr">
        <is>
          <t>PREMONTAGEM</t>
        </is>
      </c>
      <c r="F1865" s="159">
        <f>IFERROR(INDEX('BASE METAS DIÁRIAS'!$N$2:$S$358,MATCH($A1865,'BASE METAS DIÁRIAS'!$A$2:$A$358,0),MOD(ROW()-2,6)+1),"")</f>
        <v/>
      </c>
      <c r="G1865" s="159">
        <f>IFERROR(IF(WEEKDAY($A1865,2)&lt;=INDEX('BASE METAS DIÁRIAS'!$H$2:$M$358,MATCH($A1865,'BASE METAS DIÁRIAS'!$A$2:$A$358,0),MOD(ROW()-2,6)+1),INDEX('BASE METAS DIÁRIAS'!$B$2:$G$358,MATCH($A1865,'BASE METAS DIÁRIAS'!$A$2:$A$358,0),MOD(ROW()-2,6)+1),""),"")</f>
        <v/>
      </c>
      <c r="H1865" s="159">
        <f>IFERROR(IF(INDEX('CONTROLE PRODUÇÃO POR EMPRESAS'!$B$6:$G$5000,MATCH($A1865,'CONTROLE PRODUÇÃO POR EMPRESAS'!$A$6:$A$5000,0),MOD(ROW()-2,6)+1)="","",IFERROR(1*INDEX('CONTROLE PRODUÇÃO POR EMPRESAS'!$B$6:$G$5000,MATCH($A1865,'CONTROLE PRODUÇÃO POR EMPRESAS'!$A$6:$A$5000,0),MOD(ROW()-2,6)+1),"")),"")</f>
        <v/>
      </c>
      <c r="I1865" s="159">
        <f>IF(OR(NOT(ISNUMBER(G1865)),NOT(ISNUMBER(H1865))),"",H1865-G1865)</f>
        <v/>
      </c>
      <c r="J1865" s="319">
        <f>IF(OR(NOT(ISNUMBER(G1865)),NOT(ISNUMBER(H1865)),G1865=0),"",I1865/G1865)</f>
        <v/>
      </c>
      <c r="K1865" s="319">
        <f>IF(OR(NOT(ISNUMBER(G1865)),NOT(ISNUMBER(H1865)),G1865=0),"",H1865/G1865)</f>
        <v/>
      </c>
      <c r="L1865">
        <f>IF(NOT(ISNUMBER(G1865)),"SEM META",IF(G1865=0,"SEM META",IF(NOT(ISNUMBER(H1865)),"SEM APONTAMENTO",IF(H1865&gt;=G1865,"VERDE",IF(H1865&gt;=G1865*0.9,"AMARELO","VERMELHO")))))</f>
        <v/>
      </c>
      <c r="M1865" s="162" t="n"/>
      <c r="N1865" s="162" t="n"/>
      <c r="O1865" s="162" t="n"/>
      <c r="P1865" s="162" t="n"/>
      <c r="Q1865" s="320" t="n"/>
      <c r="R1865" s="162" t="inlineStr">
        <is>
          <t>CONTROLE PRODUÇÃO POR EMPRESAS!E316</t>
        </is>
      </c>
    </row>
    <row r="1866" ht="28.5" customHeight="1">
      <c r="A1866" s="317" t="n">
        <v>46533</v>
      </c>
      <c r="B1866" t="inlineStr">
        <is>
          <t>GERAL</t>
        </is>
      </c>
      <c r="C1866" t="inlineStr">
        <is>
          <t>CMM</t>
        </is>
      </c>
      <c r="D1866" t="inlineStr">
        <is>
          <t>IÇAMENTO JOIST</t>
        </is>
      </c>
      <c r="F1866" s="159">
        <f>IFERROR(INDEX('BASE METAS DIÁRIAS'!$N$2:$S$358,MATCH($A1866,'BASE METAS DIÁRIAS'!$A$2:$A$358,0),MOD(ROW()-2,6)+1),"")</f>
        <v/>
      </c>
      <c r="G1866" s="159">
        <f>IFERROR(IF(WEEKDAY($A1866,2)&lt;=INDEX('BASE METAS DIÁRIAS'!$H$2:$M$358,MATCH($A1866,'BASE METAS DIÁRIAS'!$A$2:$A$358,0),MOD(ROW()-2,6)+1),INDEX('BASE METAS DIÁRIAS'!$B$2:$G$358,MATCH($A1866,'BASE METAS DIÁRIAS'!$A$2:$A$358,0),MOD(ROW()-2,6)+1),""),"")</f>
        <v/>
      </c>
      <c r="H1866" s="159">
        <f>IFERROR(IF(INDEX('CONTROLE PRODUÇÃO POR EMPRESAS'!$B$6:$G$5000,MATCH($A1866,'CONTROLE PRODUÇÃO POR EMPRESAS'!$A$6:$A$5000,0),MOD(ROW()-2,6)+1)="","",IFERROR(1*INDEX('CONTROLE PRODUÇÃO POR EMPRESAS'!$B$6:$G$5000,MATCH($A1866,'CONTROLE PRODUÇÃO POR EMPRESAS'!$A$6:$A$5000,0),MOD(ROW()-2,6)+1),"")),"")</f>
        <v/>
      </c>
      <c r="I1866" s="159">
        <f>IF(OR(NOT(ISNUMBER(G1866)),NOT(ISNUMBER(H1866))),"",H1866-G1866)</f>
        <v/>
      </c>
      <c r="J1866" s="319">
        <f>IF(OR(NOT(ISNUMBER(G1866)),NOT(ISNUMBER(H1866)),G1866=0),"",I1866/G1866)</f>
        <v/>
      </c>
      <c r="K1866" s="319">
        <f>IF(OR(NOT(ISNUMBER(G1866)),NOT(ISNUMBER(H1866)),G1866=0),"",H1866/G1866)</f>
        <v/>
      </c>
      <c r="L1866">
        <f>IF(NOT(ISNUMBER(G1866)),"SEM META",IF(G1866=0,"SEM META",IF(NOT(ISNUMBER(H1866)),"SEM APONTAMENTO",IF(H1866&gt;=G1866,"VERDE",IF(H1866&gt;=G1866*0.9,"AMARELO","VERMELHO")))))</f>
        <v/>
      </c>
      <c r="M1866" s="162" t="n"/>
      <c r="N1866" s="162" t="n"/>
      <c r="O1866" s="162" t="n"/>
      <c r="P1866" s="162" t="n"/>
      <c r="Q1866" s="320" t="n"/>
      <c r="R1866" s="162" t="inlineStr">
        <is>
          <t>CONTROLE PRODUÇÃO POR EMPRESAS!F316</t>
        </is>
      </c>
    </row>
    <row r="1867" ht="28.5" customHeight="1">
      <c r="A1867" s="317" t="n">
        <v>46533</v>
      </c>
      <c r="B1867" t="inlineStr">
        <is>
          <t>GERAL</t>
        </is>
      </c>
      <c r="C1867" t="inlineStr">
        <is>
          <t>CMM</t>
        </is>
      </c>
      <c r="D1867" t="inlineStr">
        <is>
          <t>VIGAS</t>
        </is>
      </c>
      <c r="F1867" s="159">
        <f>IFERROR(INDEX('BASE METAS DIÁRIAS'!$N$2:$S$358,MATCH($A1867,'BASE METAS DIÁRIAS'!$A$2:$A$358,0),MOD(ROW()-2,6)+1),"")</f>
        <v/>
      </c>
      <c r="G1867" s="159">
        <f>IFERROR(IF(WEEKDAY($A1867,2)&lt;=INDEX('BASE METAS DIÁRIAS'!$H$2:$M$358,MATCH($A1867,'BASE METAS DIÁRIAS'!$A$2:$A$358,0),MOD(ROW()-2,6)+1),INDEX('BASE METAS DIÁRIAS'!$B$2:$G$358,MATCH($A1867,'BASE METAS DIÁRIAS'!$A$2:$A$358,0),MOD(ROW()-2,6)+1),""),"")</f>
        <v/>
      </c>
      <c r="H1867" s="159">
        <f>IFERROR(IF(INDEX('CONTROLE PRODUÇÃO POR EMPRESAS'!$B$6:$G$5000,MATCH($A1867,'CONTROLE PRODUÇÃO POR EMPRESAS'!$A$6:$A$5000,0),MOD(ROW()-2,6)+1)="","",IFERROR(1*INDEX('CONTROLE PRODUÇÃO POR EMPRESAS'!$B$6:$G$5000,MATCH($A1867,'CONTROLE PRODUÇÃO POR EMPRESAS'!$A$6:$A$5000,0),MOD(ROW()-2,6)+1),"")),"")</f>
        <v/>
      </c>
      <c r="I1867" s="159">
        <f>IF(OR(NOT(ISNUMBER(G1867)),NOT(ISNUMBER(H1867))),"",H1867-G1867)</f>
        <v/>
      </c>
      <c r="J1867" s="319">
        <f>IF(OR(NOT(ISNUMBER(G1867)),NOT(ISNUMBER(H1867)),G1867=0),"",I1867/G1867)</f>
        <v/>
      </c>
      <c r="K1867" s="319">
        <f>IF(OR(NOT(ISNUMBER(G1867)),NOT(ISNUMBER(H1867)),G1867=0),"",H1867/G1867)</f>
        <v/>
      </c>
      <c r="L1867">
        <f>IF(NOT(ISNUMBER(G1867)),"SEM META",IF(G1867=0,"SEM META",IF(NOT(ISNUMBER(H1867)),"SEM APONTAMENTO",IF(H1867&gt;=G1867,"VERDE",IF(H1867&gt;=G1867*0.9,"AMARELO","VERMELHO")))))</f>
        <v/>
      </c>
      <c r="M1867" s="162" t="n"/>
      <c r="N1867" s="162" t="n"/>
      <c r="O1867" s="162" t="n"/>
      <c r="P1867" s="162" t="n"/>
      <c r="Q1867" s="320" t="n"/>
      <c r="R1867" s="162" t="inlineStr">
        <is>
          <t>CONTROLE PRODUÇÃO POR EMPRESAS!G316</t>
        </is>
      </c>
    </row>
    <row r="1868" ht="28.5" customHeight="1">
      <c r="A1868" s="317" t="n">
        <v>46534</v>
      </c>
      <c r="B1868" t="inlineStr">
        <is>
          <t>GERAL</t>
        </is>
      </c>
      <c r="C1868" t="inlineStr">
        <is>
          <t>EJ</t>
        </is>
      </c>
      <c r="D1868" t="inlineStr">
        <is>
          <t>PREMONTAGEM</t>
        </is>
      </c>
      <c r="F1868" s="159">
        <f>IFERROR(INDEX('BASE METAS DIÁRIAS'!$N$2:$S$358,MATCH($A1868,'BASE METAS DIÁRIAS'!$A$2:$A$358,0),MOD(ROW()-2,6)+1),"")</f>
        <v/>
      </c>
      <c r="G1868" s="159">
        <f>IFERROR(IF(WEEKDAY($A1868,2)&lt;=INDEX('BASE METAS DIÁRIAS'!$H$2:$M$358,MATCH($A1868,'BASE METAS DIÁRIAS'!$A$2:$A$358,0),MOD(ROW()-2,6)+1),INDEX('BASE METAS DIÁRIAS'!$B$2:$G$358,MATCH($A1868,'BASE METAS DIÁRIAS'!$A$2:$A$358,0),MOD(ROW()-2,6)+1),""),"")</f>
        <v/>
      </c>
      <c r="H1868" s="159">
        <f>IFERROR(IF(INDEX('CONTROLE PRODUÇÃO POR EMPRESAS'!$B$6:$G$5000,MATCH($A1868,'CONTROLE PRODUÇÃO POR EMPRESAS'!$A$6:$A$5000,0),MOD(ROW()-2,6)+1)="","",IFERROR(1*INDEX('CONTROLE PRODUÇÃO POR EMPRESAS'!$B$6:$G$5000,MATCH($A1868,'CONTROLE PRODUÇÃO POR EMPRESAS'!$A$6:$A$5000,0),MOD(ROW()-2,6)+1),"")),"")</f>
        <v/>
      </c>
      <c r="I1868" s="159">
        <f>IF(OR(NOT(ISNUMBER(G1868)),NOT(ISNUMBER(H1868))),"",H1868-G1868)</f>
        <v/>
      </c>
      <c r="J1868" s="319">
        <f>IF(OR(NOT(ISNUMBER(G1868)),NOT(ISNUMBER(H1868)),G1868=0),"",I1868/G1868)</f>
        <v/>
      </c>
      <c r="K1868" s="319">
        <f>IF(OR(NOT(ISNUMBER(G1868)),NOT(ISNUMBER(H1868)),G1868=0),"",H1868/G1868)</f>
        <v/>
      </c>
      <c r="L1868">
        <f>IF(NOT(ISNUMBER(G1868)),"SEM META",IF(G1868=0,"SEM META",IF(NOT(ISNUMBER(H1868)),"SEM APONTAMENTO",IF(H1868&gt;=G1868,"VERDE",IF(H1868&gt;=G1868*0.9,"AMARELO","VERMELHO")))))</f>
        <v/>
      </c>
      <c r="M1868" s="162" t="n"/>
      <c r="N1868" s="162" t="n"/>
      <c r="O1868" s="162" t="n"/>
      <c r="P1868" s="162" t="n"/>
      <c r="Q1868" s="320" t="n"/>
      <c r="R1868" s="162" t="inlineStr">
        <is>
          <t>CONTROLE PRODUÇÃO POR EMPRESAS!B317</t>
        </is>
      </c>
    </row>
    <row r="1869" ht="28.5" customHeight="1">
      <c r="A1869" s="317" t="n">
        <v>46534</v>
      </c>
      <c r="B1869" t="inlineStr">
        <is>
          <t>GERAL</t>
        </is>
      </c>
      <c r="C1869" t="inlineStr">
        <is>
          <t>EJ</t>
        </is>
      </c>
      <c r="D1869" t="inlineStr">
        <is>
          <t>IÇAMENTO JOIST</t>
        </is>
      </c>
      <c r="F1869" s="159">
        <f>IFERROR(INDEX('BASE METAS DIÁRIAS'!$N$2:$S$358,MATCH($A1869,'BASE METAS DIÁRIAS'!$A$2:$A$358,0),MOD(ROW()-2,6)+1),"")</f>
        <v/>
      </c>
      <c r="G1869" s="159">
        <f>IFERROR(IF(WEEKDAY($A1869,2)&lt;=INDEX('BASE METAS DIÁRIAS'!$H$2:$M$358,MATCH($A1869,'BASE METAS DIÁRIAS'!$A$2:$A$358,0),MOD(ROW()-2,6)+1),INDEX('BASE METAS DIÁRIAS'!$B$2:$G$358,MATCH($A1869,'BASE METAS DIÁRIAS'!$A$2:$A$358,0),MOD(ROW()-2,6)+1),""),"")</f>
        <v/>
      </c>
      <c r="H1869" s="159">
        <f>IFERROR(IF(INDEX('CONTROLE PRODUÇÃO POR EMPRESAS'!$B$6:$G$5000,MATCH($A1869,'CONTROLE PRODUÇÃO POR EMPRESAS'!$A$6:$A$5000,0),MOD(ROW()-2,6)+1)="","",IFERROR(1*INDEX('CONTROLE PRODUÇÃO POR EMPRESAS'!$B$6:$G$5000,MATCH($A1869,'CONTROLE PRODUÇÃO POR EMPRESAS'!$A$6:$A$5000,0),MOD(ROW()-2,6)+1),"")),"")</f>
        <v/>
      </c>
      <c r="I1869" s="159">
        <f>IF(OR(NOT(ISNUMBER(G1869)),NOT(ISNUMBER(H1869))),"",H1869-G1869)</f>
        <v/>
      </c>
      <c r="J1869" s="319">
        <f>IF(OR(NOT(ISNUMBER(G1869)),NOT(ISNUMBER(H1869)),G1869=0),"",I1869/G1869)</f>
        <v/>
      </c>
      <c r="K1869" s="319">
        <f>IF(OR(NOT(ISNUMBER(G1869)),NOT(ISNUMBER(H1869)),G1869=0),"",H1869/G1869)</f>
        <v/>
      </c>
      <c r="L1869">
        <f>IF(NOT(ISNUMBER(G1869)),"SEM META",IF(G1869=0,"SEM META",IF(NOT(ISNUMBER(H1869)),"SEM APONTAMENTO",IF(H1869&gt;=G1869,"VERDE",IF(H1869&gt;=G1869*0.9,"AMARELO","VERMELHO")))))</f>
        <v/>
      </c>
      <c r="M1869" s="162" t="n"/>
      <c r="N1869" s="162" t="n"/>
      <c r="O1869" s="162" t="n"/>
      <c r="P1869" s="162" t="n"/>
      <c r="Q1869" s="320" t="n"/>
      <c r="R1869" s="162" t="inlineStr">
        <is>
          <t>CONTROLE PRODUÇÃO POR EMPRESAS!C317</t>
        </is>
      </c>
    </row>
    <row r="1870" ht="28.5" customHeight="1">
      <c r="A1870" s="317" t="n">
        <v>46534</v>
      </c>
      <c r="B1870" t="inlineStr">
        <is>
          <t>GERAL</t>
        </is>
      </c>
      <c r="C1870" t="inlineStr">
        <is>
          <t>EJ</t>
        </is>
      </c>
      <c r="D1870" t="inlineStr">
        <is>
          <t>VIGAS</t>
        </is>
      </c>
      <c r="F1870" s="159">
        <f>IFERROR(INDEX('BASE METAS DIÁRIAS'!$N$2:$S$358,MATCH($A1870,'BASE METAS DIÁRIAS'!$A$2:$A$358,0),MOD(ROW()-2,6)+1),"")</f>
        <v/>
      </c>
      <c r="G1870" s="159">
        <f>IFERROR(IF(WEEKDAY($A1870,2)&lt;=INDEX('BASE METAS DIÁRIAS'!$H$2:$M$358,MATCH($A1870,'BASE METAS DIÁRIAS'!$A$2:$A$358,0),MOD(ROW()-2,6)+1),INDEX('BASE METAS DIÁRIAS'!$B$2:$G$358,MATCH($A1870,'BASE METAS DIÁRIAS'!$A$2:$A$358,0),MOD(ROW()-2,6)+1),""),"")</f>
        <v/>
      </c>
      <c r="H1870" s="159">
        <f>IFERROR(IF(INDEX('CONTROLE PRODUÇÃO POR EMPRESAS'!$B$6:$G$5000,MATCH($A1870,'CONTROLE PRODUÇÃO POR EMPRESAS'!$A$6:$A$5000,0),MOD(ROW()-2,6)+1)="","",IFERROR(1*INDEX('CONTROLE PRODUÇÃO POR EMPRESAS'!$B$6:$G$5000,MATCH($A1870,'CONTROLE PRODUÇÃO POR EMPRESAS'!$A$6:$A$5000,0),MOD(ROW()-2,6)+1),"")),"")</f>
        <v/>
      </c>
      <c r="I1870" s="159">
        <f>IF(OR(NOT(ISNUMBER(G1870)),NOT(ISNUMBER(H1870))),"",H1870-G1870)</f>
        <v/>
      </c>
      <c r="J1870" s="319">
        <f>IF(OR(NOT(ISNUMBER(G1870)),NOT(ISNUMBER(H1870)),G1870=0),"",I1870/G1870)</f>
        <v/>
      </c>
      <c r="K1870" s="319">
        <f>IF(OR(NOT(ISNUMBER(G1870)),NOT(ISNUMBER(H1870)),G1870=0),"",H1870/G1870)</f>
        <v/>
      </c>
      <c r="L1870">
        <f>IF(NOT(ISNUMBER(G1870)),"SEM META",IF(G1870=0,"SEM META",IF(NOT(ISNUMBER(H1870)),"SEM APONTAMENTO",IF(H1870&gt;=G1870,"VERDE",IF(H1870&gt;=G1870*0.9,"AMARELO","VERMELHO")))))</f>
        <v/>
      </c>
      <c r="M1870" s="162" t="n"/>
      <c r="N1870" s="162" t="n"/>
      <c r="O1870" s="162" t="n"/>
      <c r="P1870" s="162" t="n"/>
      <c r="Q1870" s="320" t="n"/>
      <c r="R1870" s="162" t="inlineStr">
        <is>
          <t>CONTROLE PRODUÇÃO POR EMPRESAS!D317</t>
        </is>
      </c>
    </row>
    <row r="1871" ht="28.5" customHeight="1">
      <c r="A1871" s="317" t="n">
        <v>46534</v>
      </c>
      <c r="B1871" t="inlineStr">
        <is>
          <t>GERAL</t>
        </is>
      </c>
      <c r="C1871" t="inlineStr">
        <is>
          <t>CMM</t>
        </is>
      </c>
      <c r="D1871" t="inlineStr">
        <is>
          <t>PREMONTAGEM</t>
        </is>
      </c>
      <c r="F1871" s="159">
        <f>IFERROR(INDEX('BASE METAS DIÁRIAS'!$N$2:$S$358,MATCH($A1871,'BASE METAS DIÁRIAS'!$A$2:$A$358,0),MOD(ROW()-2,6)+1),"")</f>
        <v/>
      </c>
      <c r="G1871" s="159">
        <f>IFERROR(IF(WEEKDAY($A1871,2)&lt;=INDEX('BASE METAS DIÁRIAS'!$H$2:$M$358,MATCH($A1871,'BASE METAS DIÁRIAS'!$A$2:$A$358,0),MOD(ROW()-2,6)+1),INDEX('BASE METAS DIÁRIAS'!$B$2:$G$358,MATCH($A1871,'BASE METAS DIÁRIAS'!$A$2:$A$358,0),MOD(ROW()-2,6)+1),""),"")</f>
        <v/>
      </c>
      <c r="H1871" s="159">
        <f>IFERROR(IF(INDEX('CONTROLE PRODUÇÃO POR EMPRESAS'!$B$6:$G$5000,MATCH($A1871,'CONTROLE PRODUÇÃO POR EMPRESAS'!$A$6:$A$5000,0),MOD(ROW()-2,6)+1)="","",IFERROR(1*INDEX('CONTROLE PRODUÇÃO POR EMPRESAS'!$B$6:$G$5000,MATCH($A1871,'CONTROLE PRODUÇÃO POR EMPRESAS'!$A$6:$A$5000,0),MOD(ROW()-2,6)+1),"")),"")</f>
        <v/>
      </c>
      <c r="I1871" s="159">
        <f>IF(OR(NOT(ISNUMBER(G1871)),NOT(ISNUMBER(H1871))),"",H1871-G1871)</f>
        <v/>
      </c>
      <c r="J1871" s="319">
        <f>IF(OR(NOT(ISNUMBER(G1871)),NOT(ISNUMBER(H1871)),G1871=0),"",I1871/G1871)</f>
        <v/>
      </c>
      <c r="K1871" s="319">
        <f>IF(OR(NOT(ISNUMBER(G1871)),NOT(ISNUMBER(H1871)),G1871=0),"",H1871/G1871)</f>
        <v/>
      </c>
      <c r="L1871">
        <f>IF(NOT(ISNUMBER(G1871)),"SEM META",IF(G1871=0,"SEM META",IF(NOT(ISNUMBER(H1871)),"SEM APONTAMENTO",IF(H1871&gt;=G1871,"VERDE",IF(H1871&gt;=G1871*0.9,"AMARELO","VERMELHO")))))</f>
        <v/>
      </c>
      <c r="M1871" s="162" t="n"/>
      <c r="N1871" s="162" t="n"/>
      <c r="O1871" s="162" t="n"/>
      <c r="P1871" s="162" t="n"/>
      <c r="Q1871" s="320" t="n"/>
      <c r="R1871" s="162" t="inlineStr">
        <is>
          <t>CONTROLE PRODUÇÃO POR EMPRESAS!E317</t>
        </is>
      </c>
    </row>
    <row r="1872" ht="28.5" customHeight="1">
      <c r="A1872" s="317" t="n">
        <v>46534</v>
      </c>
      <c r="B1872" t="inlineStr">
        <is>
          <t>GERAL</t>
        </is>
      </c>
      <c r="C1872" t="inlineStr">
        <is>
          <t>CMM</t>
        </is>
      </c>
      <c r="D1872" t="inlineStr">
        <is>
          <t>IÇAMENTO JOIST</t>
        </is>
      </c>
      <c r="F1872" s="159">
        <f>IFERROR(INDEX('BASE METAS DIÁRIAS'!$N$2:$S$358,MATCH($A1872,'BASE METAS DIÁRIAS'!$A$2:$A$358,0),MOD(ROW()-2,6)+1),"")</f>
        <v/>
      </c>
      <c r="G1872" s="159">
        <f>IFERROR(IF(WEEKDAY($A1872,2)&lt;=INDEX('BASE METAS DIÁRIAS'!$H$2:$M$358,MATCH($A1872,'BASE METAS DIÁRIAS'!$A$2:$A$358,0),MOD(ROW()-2,6)+1),INDEX('BASE METAS DIÁRIAS'!$B$2:$G$358,MATCH($A1872,'BASE METAS DIÁRIAS'!$A$2:$A$358,0),MOD(ROW()-2,6)+1),""),"")</f>
        <v/>
      </c>
      <c r="H1872" s="159">
        <f>IFERROR(IF(INDEX('CONTROLE PRODUÇÃO POR EMPRESAS'!$B$6:$G$5000,MATCH($A1872,'CONTROLE PRODUÇÃO POR EMPRESAS'!$A$6:$A$5000,0),MOD(ROW()-2,6)+1)="","",IFERROR(1*INDEX('CONTROLE PRODUÇÃO POR EMPRESAS'!$B$6:$G$5000,MATCH($A1872,'CONTROLE PRODUÇÃO POR EMPRESAS'!$A$6:$A$5000,0),MOD(ROW()-2,6)+1),"")),"")</f>
        <v/>
      </c>
      <c r="I1872" s="159">
        <f>IF(OR(NOT(ISNUMBER(G1872)),NOT(ISNUMBER(H1872))),"",H1872-G1872)</f>
        <v/>
      </c>
      <c r="J1872" s="319">
        <f>IF(OR(NOT(ISNUMBER(G1872)),NOT(ISNUMBER(H1872)),G1872=0),"",I1872/G1872)</f>
        <v/>
      </c>
      <c r="K1872" s="319">
        <f>IF(OR(NOT(ISNUMBER(G1872)),NOT(ISNUMBER(H1872)),G1872=0),"",H1872/G1872)</f>
        <v/>
      </c>
      <c r="L1872">
        <f>IF(NOT(ISNUMBER(G1872)),"SEM META",IF(G1872=0,"SEM META",IF(NOT(ISNUMBER(H1872)),"SEM APONTAMENTO",IF(H1872&gt;=G1872,"VERDE",IF(H1872&gt;=G1872*0.9,"AMARELO","VERMELHO")))))</f>
        <v/>
      </c>
      <c r="M1872" s="162" t="n"/>
      <c r="N1872" s="162" t="n"/>
      <c r="O1872" s="162" t="n"/>
      <c r="P1872" s="162" t="n"/>
      <c r="Q1872" s="320" t="n"/>
      <c r="R1872" s="162" t="inlineStr">
        <is>
          <t>CONTROLE PRODUÇÃO POR EMPRESAS!F317</t>
        </is>
      </c>
    </row>
    <row r="1873" ht="28.5" customHeight="1">
      <c r="A1873" s="317" t="n">
        <v>46534</v>
      </c>
      <c r="B1873" t="inlineStr">
        <is>
          <t>GERAL</t>
        </is>
      </c>
      <c r="C1873" t="inlineStr">
        <is>
          <t>CMM</t>
        </is>
      </c>
      <c r="D1873" t="inlineStr">
        <is>
          <t>VIGAS</t>
        </is>
      </c>
      <c r="F1873" s="159">
        <f>IFERROR(INDEX('BASE METAS DIÁRIAS'!$N$2:$S$358,MATCH($A1873,'BASE METAS DIÁRIAS'!$A$2:$A$358,0),MOD(ROW()-2,6)+1),"")</f>
        <v/>
      </c>
      <c r="G1873" s="159">
        <f>IFERROR(IF(WEEKDAY($A1873,2)&lt;=INDEX('BASE METAS DIÁRIAS'!$H$2:$M$358,MATCH($A1873,'BASE METAS DIÁRIAS'!$A$2:$A$358,0),MOD(ROW()-2,6)+1),INDEX('BASE METAS DIÁRIAS'!$B$2:$G$358,MATCH($A1873,'BASE METAS DIÁRIAS'!$A$2:$A$358,0),MOD(ROW()-2,6)+1),""),"")</f>
        <v/>
      </c>
      <c r="H1873" s="159">
        <f>IFERROR(IF(INDEX('CONTROLE PRODUÇÃO POR EMPRESAS'!$B$6:$G$5000,MATCH($A1873,'CONTROLE PRODUÇÃO POR EMPRESAS'!$A$6:$A$5000,0),MOD(ROW()-2,6)+1)="","",IFERROR(1*INDEX('CONTROLE PRODUÇÃO POR EMPRESAS'!$B$6:$G$5000,MATCH($A1873,'CONTROLE PRODUÇÃO POR EMPRESAS'!$A$6:$A$5000,0),MOD(ROW()-2,6)+1),"")),"")</f>
        <v/>
      </c>
      <c r="I1873" s="159">
        <f>IF(OR(NOT(ISNUMBER(G1873)),NOT(ISNUMBER(H1873))),"",H1873-G1873)</f>
        <v/>
      </c>
      <c r="J1873" s="319">
        <f>IF(OR(NOT(ISNUMBER(G1873)),NOT(ISNUMBER(H1873)),G1873=0),"",I1873/G1873)</f>
        <v/>
      </c>
      <c r="K1873" s="319">
        <f>IF(OR(NOT(ISNUMBER(G1873)),NOT(ISNUMBER(H1873)),G1873=0),"",H1873/G1873)</f>
        <v/>
      </c>
      <c r="L1873">
        <f>IF(NOT(ISNUMBER(G1873)),"SEM META",IF(G1873=0,"SEM META",IF(NOT(ISNUMBER(H1873)),"SEM APONTAMENTO",IF(H1873&gt;=G1873,"VERDE",IF(H1873&gt;=G1873*0.9,"AMARELO","VERMELHO")))))</f>
        <v/>
      </c>
      <c r="M1873" s="162" t="n"/>
      <c r="N1873" s="162" t="n"/>
      <c r="O1873" s="162" t="n"/>
      <c r="P1873" s="162" t="n"/>
      <c r="Q1873" s="320" t="n"/>
      <c r="R1873" s="162" t="inlineStr">
        <is>
          <t>CONTROLE PRODUÇÃO POR EMPRESAS!G317</t>
        </is>
      </c>
    </row>
    <row r="1874" ht="28.5" customHeight="1">
      <c r="A1874" s="317" t="n">
        <v>46535</v>
      </c>
      <c r="B1874" t="inlineStr">
        <is>
          <t>GERAL</t>
        </is>
      </c>
      <c r="C1874" t="inlineStr">
        <is>
          <t>EJ</t>
        </is>
      </c>
      <c r="D1874" t="inlineStr">
        <is>
          <t>PREMONTAGEM</t>
        </is>
      </c>
      <c r="F1874" s="159">
        <f>IFERROR(INDEX('BASE METAS DIÁRIAS'!$N$2:$S$358,MATCH($A1874,'BASE METAS DIÁRIAS'!$A$2:$A$358,0),MOD(ROW()-2,6)+1),"")</f>
        <v/>
      </c>
      <c r="G1874" s="159">
        <f>IFERROR(IF(WEEKDAY($A1874,2)&lt;=INDEX('BASE METAS DIÁRIAS'!$H$2:$M$358,MATCH($A1874,'BASE METAS DIÁRIAS'!$A$2:$A$358,0),MOD(ROW()-2,6)+1),INDEX('BASE METAS DIÁRIAS'!$B$2:$G$358,MATCH($A1874,'BASE METAS DIÁRIAS'!$A$2:$A$358,0),MOD(ROW()-2,6)+1),""),"")</f>
        <v/>
      </c>
      <c r="H1874" s="159">
        <f>IFERROR(IF(INDEX('CONTROLE PRODUÇÃO POR EMPRESAS'!$B$6:$G$5000,MATCH($A1874,'CONTROLE PRODUÇÃO POR EMPRESAS'!$A$6:$A$5000,0),MOD(ROW()-2,6)+1)="","",IFERROR(1*INDEX('CONTROLE PRODUÇÃO POR EMPRESAS'!$B$6:$G$5000,MATCH($A1874,'CONTROLE PRODUÇÃO POR EMPRESAS'!$A$6:$A$5000,0),MOD(ROW()-2,6)+1),"")),"")</f>
        <v/>
      </c>
      <c r="I1874" s="159">
        <f>IF(OR(NOT(ISNUMBER(G1874)),NOT(ISNUMBER(H1874))),"",H1874-G1874)</f>
        <v/>
      </c>
      <c r="J1874" s="319">
        <f>IF(OR(NOT(ISNUMBER(G1874)),NOT(ISNUMBER(H1874)),G1874=0),"",I1874/G1874)</f>
        <v/>
      </c>
      <c r="K1874" s="319">
        <f>IF(OR(NOT(ISNUMBER(G1874)),NOT(ISNUMBER(H1874)),G1874=0),"",H1874/G1874)</f>
        <v/>
      </c>
      <c r="L1874">
        <f>IF(NOT(ISNUMBER(G1874)),"SEM META",IF(G1874=0,"SEM META",IF(NOT(ISNUMBER(H1874)),"SEM APONTAMENTO",IF(H1874&gt;=G1874,"VERDE",IF(H1874&gt;=G1874*0.9,"AMARELO","VERMELHO")))))</f>
        <v/>
      </c>
      <c r="M1874" s="162" t="n"/>
      <c r="N1874" s="162" t="n"/>
      <c r="O1874" s="162" t="n"/>
      <c r="P1874" s="162" t="n"/>
      <c r="Q1874" s="320" t="n"/>
      <c r="R1874" s="162" t="inlineStr">
        <is>
          <t>CONTROLE PRODUÇÃO POR EMPRESAS!B318</t>
        </is>
      </c>
    </row>
    <row r="1875" ht="28.5" customHeight="1">
      <c r="A1875" s="317" t="n">
        <v>46535</v>
      </c>
      <c r="B1875" t="inlineStr">
        <is>
          <t>GERAL</t>
        </is>
      </c>
      <c r="C1875" t="inlineStr">
        <is>
          <t>EJ</t>
        </is>
      </c>
      <c r="D1875" t="inlineStr">
        <is>
          <t>IÇAMENTO JOIST</t>
        </is>
      </c>
      <c r="F1875" s="159">
        <f>IFERROR(INDEX('BASE METAS DIÁRIAS'!$N$2:$S$358,MATCH($A1875,'BASE METAS DIÁRIAS'!$A$2:$A$358,0),MOD(ROW()-2,6)+1),"")</f>
        <v/>
      </c>
      <c r="G1875" s="159">
        <f>IFERROR(IF(WEEKDAY($A1875,2)&lt;=INDEX('BASE METAS DIÁRIAS'!$H$2:$M$358,MATCH($A1875,'BASE METAS DIÁRIAS'!$A$2:$A$358,0),MOD(ROW()-2,6)+1),INDEX('BASE METAS DIÁRIAS'!$B$2:$G$358,MATCH($A1875,'BASE METAS DIÁRIAS'!$A$2:$A$358,0),MOD(ROW()-2,6)+1),""),"")</f>
        <v/>
      </c>
      <c r="H1875" s="159">
        <f>IFERROR(IF(INDEX('CONTROLE PRODUÇÃO POR EMPRESAS'!$B$6:$G$5000,MATCH($A1875,'CONTROLE PRODUÇÃO POR EMPRESAS'!$A$6:$A$5000,0),MOD(ROW()-2,6)+1)="","",IFERROR(1*INDEX('CONTROLE PRODUÇÃO POR EMPRESAS'!$B$6:$G$5000,MATCH($A1875,'CONTROLE PRODUÇÃO POR EMPRESAS'!$A$6:$A$5000,0),MOD(ROW()-2,6)+1),"")),"")</f>
        <v/>
      </c>
      <c r="I1875" s="159">
        <f>IF(OR(NOT(ISNUMBER(G1875)),NOT(ISNUMBER(H1875))),"",H1875-G1875)</f>
        <v/>
      </c>
      <c r="J1875" s="319">
        <f>IF(OR(NOT(ISNUMBER(G1875)),NOT(ISNUMBER(H1875)),G1875=0),"",I1875/G1875)</f>
        <v/>
      </c>
      <c r="K1875" s="319">
        <f>IF(OR(NOT(ISNUMBER(G1875)),NOT(ISNUMBER(H1875)),G1875=0),"",H1875/G1875)</f>
        <v/>
      </c>
      <c r="L1875">
        <f>IF(NOT(ISNUMBER(G1875)),"SEM META",IF(G1875=0,"SEM META",IF(NOT(ISNUMBER(H1875)),"SEM APONTAMENTO",IF(H1875&gt;=G1875,"VERDE",IF(H1875&gt;=G1875*0.9,"AMARELO","VERMELHO")))))</f>
        <v/>
      </c>
      <c r="M1875" s="162" t="n"/>
      <c r="N1875" s="162" t="n"/>
      <c r="O1875" s="162" t="n"/>
      <c r="P1875" s="162" t="n"/>
      <c r="Q1875" s="320" t="n"/>
      <c r="R1875" s="162" t="inlineStr">
        <is>
          <t>CONTROLE PRODUÇÃO POR EMPRESAS!C318</t>
        </is>
      </c>
    </row>
    <row r="1876" ht="28.5" customHeight="1">
      <c r="A1876" s="317" t="n">
        <v>46535</v>
      </c>
      <c r="B1876" t="inlineStr">
        <is>
          <t>GERAL</t>
        </is>
      </c>
      <c r="C1876" t="inlineStr">
        <is>
          <t>EJ</t>
        </is>
      </c>
      <c r="D1876" t="inlineStr">
        <is>
          <t>VIGAS</t>
        </is>
      </c>
      <c r="F1876" s="159">
        <f>IFERROR(INDEX('BASE METAS DIÁRIAS'!$N$2:$S$358,MATCH($A1876,'BASE METAS DIÁRIAS'!$A$2:$A$358,0),MOD(ROW()-2,6)+1),"")</f>
        <v/>
      </c>
      <c r="G1876" s="159">
        <f>IFERROR(IF(WEEKDAY($A1876,2)&lt;=INDEX('BASE METAS DIÁRIAS'!$H$2:$M$358,MATCH($A1876,'BASE METAS DIÁRIAS'!$A$2:$A$358,0),MOD(ROW()-2,6)+1),INDEX('BASE METAS DIÁRIAS'!$B$2:$G$358,MATCH($A1876,'BASE METAS DIÁRIAS'!$A$2:$A$358,0),MOD(ROW()-2,6)+1),""),"")</f>
        <v/>
      </c>
      <c r="H1876" s="159">
        <f>IFERROR(IF(INDEX('CONTROLE PRODUÇÃO POR EMPRESAS'!$B$6:$G$5000,MATCH($A1876,'CONTROLE PRODUÇÃO POR EMPRESAS'!$A$6:$A$5000,0),MOD(ROW()-2,6)+1)="","",IFERROR(1*INDEX('CONTROLE PRODUÇÃO POR EMPRESAS'!$B$6:$G$5000,MATCH($A1876,'CONTROLE PRODUÇÃO POR EMPRESAS'!$A$6:$A$5000,0),MOD(ROW()-2,6)+1),"")),"")</f>
        <v/>
      </c>
      <c r="I1876" s="159">
        <f>IF(OR(NOT(ISNUMBER(G1876)),NOT(ISNUMBER(H1876))),"",H1876-G1876)</f>
        <v/>
      </c>
      <c r="J1876" s="319">
        <f>IF(OR(NOT(ISNUMBER(G1876)),NOT(ISNUMBER(H1876)),G1876=0),"",I1876/G1876)</f>
        <v/>
      </c>
      <c r="K1876" s="319">
        <f>IF(OR(NOT(ISNUMBER(G1876)),NOT(ISNUMBER(H1876)),G1876=0),"",H1876/G1876)</f>
        <v/>
      </c>
      <c r="L1876">
        <f>IF(NOT(ISNUMBER(G1876)),"SEM META",IF(G1876=0,"SEM META",IF(NOT(ISNUMBER(H1876)),"SEM APONTAMENTO",IF(H1876&gt;=G1876,"VERDE",IF(H1876&gt;=G1876*0.9,"AMARELO","VERMELHO")))))</f>
        <v/>
      </c>
      <c r="M1876" s="162" t="n"/>
      <c r="N1876" s="162" t="n"/>
      <c r="O1876" s="162" t="n"/>
      <c r="P1876" s="162" t="n"/>
      <c r="Q1876" s="320" t="n"/>
      <c r="R1876" s="162" t="inlineStr">
        <is>
          <t>CONTROLE PRODUÇÃO POR EMPRESAS!D318</t>
        </is>
      </c>
    </row>
    <row r="1877" ht="28.5" customHeight="1">
      <c r="A1877" s="317" t="n">
        <v>46535</v>
      </c>
      <c r="B1877" t="inlineStr">
        <is>
          <t>GERAL</t>
        </is>
      </c>
      <c r="C1877" t="inlineStr">
        <is>
          <t>CMM</t>
        </is>
      </c>
      <c r="D1877" t="inlineStr">
        <is>
          <t>PREMONTAGEM</t>
        </is>
      </c>
      <c r="F1877" s="159">
        <f>IFERROR(INDEX('BASE METAS DIÁRIAS'!$N$2:$S$358,MATCH($A1877,'BASE METAS DIÁRIAS'!$A$2:$A$358,0),MOD(ROW()-2,6)+1),"")</f>
        <v/>
      </c>
      <c r="G1877" s="159">
        <f>IFERROR(IF(WEEKDAY($A1877,2)&lt;=INDEX('BASE METAS DIÁRIAS'!$H$2:$M$358,MATCH($A1877,'BASE METAS DIÁRIAS'!$A$2:$A$358,0),MOD(ROW()-2,6)+1),INDEX('BASE METAS DIÁRIAS'!$B$2:$G$358,MATCH($A1877,'BASE METAS DIÁRIAS'!$A$2:$A$358,0),MOD(ROW()-2,6)+1),""),"")</f>
        <v/>
      </c>
      <c r="H1877" s="159">
        <f>IFERROR(IF(INDEX('CONTROLE PRODUÇÃO POR EMPRESAS'!$B$6:$G$5000,MATCH($A1877,'CONTROLE PRODUÇÃO POR EMPRESAS'!$A$6:$A$5000,0),MOD(ROW()-2,6)+1)="","",IFERROR(1*INDEX('CONTROLE PRODUÇÃO POR EMPRESAS'!$B$6:$G$5000,MATCH($A1877,'CONTROLE PRODUÇÃO POR EMPRESAS'!$A$6:$A$5000,0),MOD(ROW()-2,6)+1),"")),"")</f>
        <v/>
      </c>
      <c r="I1877" s="159">
        <f>IF(OR(NOT(ISNUMBER(G1877)),NOT(ISNUMBER(H1877))),"",H1877-G1877)</f>
        <v/>
      </c>
      <c r="J1877" s="319">
        <f>IF(OR(NOT(ISNUMBER(G1877)),NOT(ISNUMBER(H1877)),G1877=0),"",I1877/G1877)</f>
        <v/>
      </c>
      <c r="K1877" s="319">
        <f>IF(OR(NOT(ISNUMBER(G1877)),NOT(ISNUMBER(H1877)),G1877=0),"",H1877/G1877)</f>
        <v/>
      </c>
      <c r="L1877">
        <f>IF(NOT(ISNUMBER(G1877)),"SEM META",IF(G1877=0,"SEM META",IF(NOT(ISNUMBER(H1877)),"SEM APONTAMENTO",IF(H1877&gt;=G1877,"VERDE",IF(H1877&gt;=G1877*0.9,"AMARELO","VERMELHO")))))</f>
        <v/>
      </c>
      <c r="M1877" s="162" t="n"/>
      <c r="N1877" s="162" t="n"/>
      <c r="O1877" s="162" t="n"/>
      <c r="P1877" s="162" t="n"/>
      <c r="Q1877" s="320" t="n"/>
      <c r="R1877" s="162" t="inlineStr">
        <is>
          <t>CONTROLE PRODUÇÃO POR EMPRESAS!E318</t>
        </is>
      </c>
    </row>
    <row r="1878" ht="28.5" customHeight="1">
      <c r="A1878" s="317" t="n">
        <v>46535</v>
      </c>
      <c r="B1878" t="inlineStr">
        <is>
          <t>GERAL</t>
        </is>
      </c>
      <c r="C1878" t="inlineStr">
        <is>
          <t>CMM</t>
        </is>
      </c>
      <c r="D1878" t="inlineStr">
        <is>
          <t>IÇAMENTO JOIST</t>
        </is>
      </c>
      <c r="F1878" s="159">
        <f>IFERROR(INDEX('BASE METAS DIÁRIAS'!$N$2:$S$358,MATCH($A1878,'BASE METAS DIÁRIAS'!$A$2:$A$358,0),MOD(ROW()-2,6)+1),"")</f>
        <v/>
      </c>
      <c r="G1878" s="159">
        <f>IFERROR(IF(WEEKDAY($A1878,2)&lt;=INDEX('BASE METAS DIÁRIAS'!$H$2:$M$358,MATCH($A1878,'BASE METAS DIÁRIAS'!$A$2:$A$358,0),MOD(ROW()-2,6)+1),INDEX('BASE METAS DIÁRIAS'!$B$2:$G$358,MATCH($A1878,'BASE METAS DIÁRIAS'!$A$2:$A$358,0),MOD(ROW()-2,6)+1),""),"")</f>
        <v/>
      </c>
      <c r="H1878" s="159">
        <f>IFERROR(IF(INDEX('CONTROLE PRODUÇÃO POR EMPRESAS'!$B$6:$G$5000,MATCH($A1878,'CONTROLE PRODUÇÃO POR EMPRESAS'!$A$6:$A$5000,0),MOD(ROW()-2,6)+1)="","",IFERROR(1*INDEX('CONTROLE PRODUÇÃO POR EMPRESAS'!$B$6:$G$5000,MATCH($A1878,'CONTROLE PRODUÇÃO POR EMPRESAS'!$A$6:$A$5000,0),MOD(ROW()-2,6)+1),"")),"")</f>
        <v/>
      </c>
      <c r="I1878" s="159">
        <f>IF(OR(NOT(ISNUMBER(G1878)),NOT(ISNUMBER(H1878))),"",H1878-G1878)</f>
        <v/>
      </c>
      <c r="J1878" s="319">
        <f>IF(OR(NOT(ISNUMBER(G1878)),NOT(ISNUMBER(H1878)),G1878=0),"",I1878/G1878)</f>
        <v/>
      </c>
      <c r="K1878" s="319">
        <f>IF(OR(NOT(ISNUMBER(G1878)),NOT(ISNUMBER(H1878)),G1878=0),"",H1878/G1878)</f>
        <v/>
      </c>
      <c r="L1878">
        <f>IF(NOT(ISNUMBER(G1878)),"SEM META",IF(G1878=0,"SEM META",IF(NOT(ISNUMBER(H1878)),"SEM APONTAMENTO",IF(H1878&gt;=G1878,"VERDE",IF(H1878&gt;=G1878*0.9,"AMARELO","VERMELHO")))))</f>
        <v/>
      </c>
      <c r="M1878" s="162" t="n"/>
      <c r="N1878" s="162" t="n"/>
      <c r="O1878" s="162" t="n"/>
      <c r="P1878" s="162" t="n"/>
      <c r="Q1878" s="320" t="n"/>
      <c r="R1878" s="162" t="inlineStr">
        <is>
          <t>CONTROLE PRODUÇÃO POR EMPRESAS!F318</t>
        </is>
      </c>
    </row>
    <row r="1879" ht="28.5" customHeight="1">
      <c r="A1879" s="317" t="n">
        <v>46535</v>
      </c>
      <c r="B1879" t="inlineStr">
        <is>
          <t>GERAL</t>
        </is>
      </c>
      <c r="C1879" t="inlineStr">
        <is>
          <t>CMM</t>
        </is>
      </c>
      <c r="D1879" t="inlineStr">
        <is>
          <t>VIGAS</t>
        </is>
      </c>
      <c r="F1879" s="159">
        <f>IFERROR(INDEX('BASE METAS DIÁRIAS'!$N$2:$S$358,MATCH($A1879,'BASE METAS DIÁRIAS'!$A$2:$A$358,0),MOD(ROW()-2,6)+1),"")</f>
        <v/>
      </c>
      <c r="G1879" s="159">
        <f>IFERROR(IF(WEEKDAY($A1879,2)&lt;=INDEX('BASE METAS DIÁRIAS'!$H$2:$M$358,MATCH($A1879,'BASE METAS DIÁRIAS'!$A$2:$A$358,0),MOD(ROW()-2,6)+1),INDEX('BASE METAS DIÁRIAS'!$B$2:$G$358,MATCH($A1879,'BASE METAS DIÁRIAS'!$A$2:$A$358,0),MOD(ROW()-2,6)+1),""),"")</f>
        <v/>
      </c>
      <c r="H1879" s="159">
        <f>IFERROR(IF(INDEX('CONTROLE PRODUÇÃO POR EMPRESAS'!$B$6:$G$5000,MATCH($A1879,'CONTROLE PRODUÇÃO POR EMPRESAS'!$A$6:$A$5000,0),MOD(ROW()-2,6)+1)="","",IFERROR(1*INDEX('CONTROLE PRODUÇÃO POR EMPRESAS'!$B$6:$G$5000,MATCH($A1879,'CONTROLE PRODUÇÃO POR EMPRESAS'!$A$6:$A$5000,0),MOD(ROW()-2,6)+1),"")),"")</f>
        <v/>
      </c>
      <c r="I1879" s="159">
        <f>IF(OR(NOT(ISNUMBER(G1879)),NOT(ISNUMBER(H1879))),"",H1879-G1879)</f>
        <v/>
      </c>
      <c r="J1879" s="319">
        <f>IF(OR(NOT(ISNUMBER(G1879)),NOT(ISNUMBER(H1879)),G1879=0),"",I1879/G1879)</f>
        <v/>
      </c>
      <c r="K1879" s="319">
        <f>IF(OR(NOT(ISNUMBER(G1879)),NOT(ISNUMBER(H1879)),G1879=0),"",H1879/G1879)</f>
        <v/>
      </c>
      <c r="L1879">
        <f>IF(NOT(ISNUMBER(G1879)),"SEM META",IF(G1879=0,"SEM META",IF(NOT(ISNUMBER(H1879)),"SEM APONTAMENTO",IF(H1879&gt;=G1879,"VERDE",IF(H1879&gt;=G1879*0.9,"AMARELO","VERMELHO")))))</f>
        <v/>
      </c>
      <c r="M1879" s="162" t="n"/>
      <c r="N1879" s="162" t="n"/>
      <c r="O1879" s="162" t="n"/>
      <c r="P1879" s="162" t="n"/>
      <c r="Q1879" s="320" t="n"/>
      <c r="R1879" s="162" t="inlineStr">
        <is>
          <t>CONTROLE PRODUÇÃO POR EMPRESAS!G318</t>
        </is>
      </c>
    </row>
    <row r="1880" ht="28.5" customHeight="1">
      <c r="A1880" s="317" t="n">
        <v>46536</v>
      </c>
      <c r="B1880" t="inlineStr">
        <is>
          <t>GERAL</t>
        </is>
      </c>
      <c r="C1880" t="inlineStr">
        <is>
          <t>EJ</t>
        </is>
      </c>
      <c r="D1880" t="inlineStr">
        <is>
          <t>PREMONTAGEM</t>
        </is>
      </c>
      <c r="F1880" s="159">
        <f>IFERROR(INDEX('BASE METAS DIÁRIAS'!$N$2:$S$358,MATCH($A1880,'BASE METAS DIÁRIAS'!$A$2:$A$358,0),MOD(ROW()-2,6)+1),"")</f>
        <v/>
      </c>
      <c r="G1880" s="159">
        <f>IFERROR(IF(WEEKDAY($A1880,2)&lt;=INDEX('BASE METAS DIÁRIAS'!$H$2:$M$358,MATCH($A1880,'BASE METAS DIÁRIAS'!$A$2:$A$358,0),MOD(ROW()-2,6)+1),INDEX('BASE METAS DIÁRIAS'!$B$2:$G$358,MATCH($A1880,'BASE METAS DIÁRIAS'!$A$2:$A$358,0),MOD(ROW()-2,6)+1),""),"")</f>
        <v/>
      </c>
      <c r="H1880" s="159">
        <f>IFERROR(IF(INDEX('CONTROLE PRODUÇÃO POR EMPRESAS'!$B$6:$G$5000,MATCH($A1880,'CONTROLE PRODUÇÃO POR EMPRESAS'!$A$6:$A$5000,0),MOD(ROW()-2,6)+1)="","",IFERROR(1*INDEX('CONTROLE PRODUÇÃO POR EMPRESAS'!$B$6:$G$5000,MATCH($A1880,'CONTROLE PRODUÇÃO POR EMPRESAS'!$A$6:$A$5000,0),MOD(ROW()-2,6)+1),"")),"")</f>
        <v/>
      </c>
      <c r="I1880" s="159">
        <f>IF(OR(NOT(ISNUMBER(G1880)),NOT(ISNUMBER(H1880))),"",H1880-G1880)</f>
        <v/>
      </c>
      <c r="J1880" s="319">
        <f>IF(OR(NOT(ISNUMBER(G1880)),NOT(ISNUMBER(H1880)),G1880=0),"",I1880/G1880)</f>
        <v/>
      </c>
      <c r="K1880" s="319">
        <f>IF(OR(NOT(ISNUMBER(G1880)),NOT(ISNUMBER(H1880)),G1880=0),"",H1880/G1880)</f>
        <v/>
      </c>
      <c r="L1880">
        <f>IF(NOT(ISNUMBER(G1880)),"SEM META",IF(G1880=0,"SEM META",IF(NOT(ISNUMBER(H1880)),"SEM APONTAMENTO",IF(H1880&gt;=G1880,"VERDE",IF(H1880&gt;=G1880*0.9,"AMARELO","VERMELHO")))))</f>
        <v/>
      </c>
      <c r="M1880" s="162" t="n"/>
      <c r="N1880" s="162" t="n"/>
      <c r="O1880" s="162" t="n"/>
      <c r="P1880" s="162" t="n"/>
      <c r="Q1880" s="320" t="n"/>
      <c r="R1880" s="162" t="inlineStr">
        <is>
          <t>CONTROLE PRODUÇÃO POR EMPRESAS!B319</t>
        </is>
      </c>
    </row>
    <row r="1881" ht="28.5" customHeight="1">
      <c r="A1881" s="317" t="n">
        <v>46536</v>
      </c>
      <c r="B1881" t="inlineStr">
        <is>
          <t>GERAL</t>
        </is>
      </c>
      <c r="C1881" t="inlineStr">
        <is>
          <t>EJ</t>
        </is>
      </c>
      <c r="D1881" t="inlineStr">
        <is>
          <t>IÇAMENTO JOIST</t>
        </is>
      </c>
      <c r="F1881" s="159">
        <f>IFERROR(INDEX('BASE METAS DIÁRIAS'!$N$2:$S$358,MATCH($A1881,'BASE METAS DIÁRIAS'!$A$2:$A$358,0),MOD(ROW()-2,6)+1),"")</f>
        <v/>
      </c>
      <c r="G1881" s="159">
        <f>IFERROR(IF(WEEKDAY($A1881,2)&lt;=INDEX('BASE METAS DIÁRIAS'!$H$2:$M$358,MATCH($A1881,'BASE METAS DIÁRIAS'!$A$2:$A$358,0),MOD(ROW()-2,6)+1),INDEX('BASE METAS DIÁRIAS'!$B$2:$G$358,MATCH($A1881,'BASE METAS DIÁRIAS'!$A$2:$A$358,0),MOD(ROW()-2,6)+1),""),"")</f>
        <v/>
      </c>
      <c r="H1881" s="159">
        <f>IFERROR(IF(INDEX('CONTROLE PRODUÇÃO POR EMPRESAS'!$B$6:$G$5000,MATCH($A1881,'CONTROLE PRODUÇÃO POR EMPRESAS'!$A$6:$A$5000,0),MOD(ROW()-2,6)+1)="","",IFERROR(1*INDEX('CONTROLE PRODUÇÃO POR EMPRESAS'!$B$6:$G$5000,MATCH($A1881,'CONTROLE PRODUÇÃO POR EMPRESAS'!$A$6:$A$5000,0),MOD(ROW()-2,6)+1),"")),"")</f>
        <v/>
      </c>
      <c r="I1881" s="159">
        <f>IF(OR(NOT(ISNUMBER(G1881)),NOT(ISNUMBER(H1881))),"",H1881-G1881)</f>
        <v/>
      </c>
      <c r="J1881" s="319">
        <f>IF(OR(NOT(ISNUMBER(G1881)),NOT(ISNUMBER(H1881)),G1881=0),"",I1881/G1881)</f>
        <v/>
      </c>
      <c r="K1881" s="319">
        <f>IF(OR(NOT(ISNUMBER(G1881)),NOT(ISNUMBER(H1881)),G1881=0),"",H1881/G1881)</f>
        <v/>
      </c>
      <c r="L1881">
        <f>IF(NOT(ISNUMBER(G1881)),"SEM META",IF(G1881=0,"SEM META",IF(NOT(ISNUMBER(H1881)),"SEM APONTAMENTO",IF(H1881&gt;=G1881,"VERDE",IF(H1881&gt;=G1881*0.9,"AMARELO","VERMELHO")))))</f>
        <v/>
      </c>
      <c r="M1881" s="162" t="n"/>
      <c r="N1881" s="162" t="n"/>
      <c r="O1881" s="162" t="n"/>
      <c r="P1881" s="162" t="n"/>
      <c r="Q1881" s="320" t="n"/>
      <c r="R1881" s="162" t="inlineStr">
        <is>
          <t>CONTROLE PRODUÇÃO POR EMPRESAS!C319</t>
        </is>
      </c>
    </row>
    <row r="1882" ht="28.5" customHeight="1">
      <c r="A1882" s="317" t="n">
        <v>46536</v>
      </c>
      <c r="B1882" t="inlineStr">
        <is>
          <t>GERAL</t>
        </is>
      </c>
      <c r="C1882" t="inlineStr">
        <is>
          <t>EJ</t>
        </is>
      </c>
      <c r="D1882" t="inlineStr">
        <is>
          <t>VIGAS</t>
        </is>
      </c>
      <c r="F1882" s="159">
        <f>IFERROR(INDEX('BASE METAS DIÁRIAS'!$N$2:$S$358,MATCH($A1882,'BASE METAS DIÁRIAS'!$A$2:$A$358,0),MOD(ROW()-2,6)+1),"")</f>
        <v/>
      </c>
      <c r="G1882" s="159">
        <f>IFERROR(IF(WEEKDAY($A1882,2)&lt;=INDEX('BASE METAS DIÁRIAS'!$H$2:$M$358,MATCH($A1882,'BASE METAS DIÁRIAS'!$A$2:$A$358,0),MOD(ROW()-2,6)+1),INDEX('BASE METAS DIÁRIAS'!$B$2:$G$358,MATCH($A1882,'BASE METAS DIÁRIAS'!$A$2:$A$358,0),MOD(ROW()-2,6)+1),""),"")</f>
        <v/>
      </c>
      <c r="H1882" s="159">
        <f>IFERROR(IF(INDEX('CONTROLE PRODUÇÃO POR EMPRESAS'!$B$6:$G$5000,MATCH($A1882,'CONTROLE PRODUÇÃO POR EMPRESAS'!$A$6:$A$5000,0),MOD(ROW()-2,6)+1)="","",IFERROR(1*INDEX('CONTROLE PRODUÇÃO POR EMPRESAS'!$B$6:$G$5000,MATCH($A1882,'CONTROLE PRODUÇÃO POR EMPRESAS'!$A$6:$A$5000,0),MOD(ROW()-2,6)+1),"")),"")</f>
        <v/>
      </c>
      <c r="I1882" s="159">
        <f>IF(OR(NOT(ISNUMBER(G1882)),NOT(ISNUMBER(H1882))),"",H1882-G1882)</f>
        <v/>
      </c>
      <c r="J1882" s="319">
        <f>IF(OR(NOT(ISNUMBER(G1882)),NOT(ISNUMBER(H1882)),G1882=0),"",I1882/G1882)</f>
        <v/>
      </c>
      <c r="K1882" s="319">
        <f>IF(OR(NOT(ISNUMBER(G1882)),NOT(ISNUMBER(H1882)),G1882=0),"",H1882/G1882)</f>
        <v/>
      </c>
      <c r="L1882">
        <f>IF(NOT(ISNUMBER(G1882)),"SEM META",IF(G1882=0,"SEM META",IF(NOT(ISNUMBER(H1882)),"SEM APONTAMENTO",IF(H1882&gt;=G1882,"VERDE",IF(H1882&gt;=G1882*0.9,"AMARELO","VERMELHO")))))</f>
        <v/>
      </c>
      <c r="M1882" s="162" t="n"/>
      <c r="N1882" s="162" t="n"/>
      <c r="O1882" s="162" t="n"/>
      <c r="P1882" s="162" t="n"/>
      <c r="Q1882" s="320" t="n"/>
      <c r="R1882" s="162" t="inlineStr">
        <is>
          <t>CONTROLE PRODUÇÃO POR EMPRESAS!D319</t>
        </is>
      </c>
    </row>
    <row r="1883" ht="28.5" customHeight="1">
      <c r="A1883" s="317" t="n">
        <v>46536</v>
      </c>
      <c r="B1883" t="inlineStr">
        <is>
          <t>GERAL</t>
        </is>
      </c>
      <c r="C1883" t="inlineStr">
        <is>
          <t>CMM</t>
        </is>
      </c>
      <c r="D1883" t="inlineStr">
        <is>
          <t>PREMONTAGEM</t>
        </is>
      </c>
      <c r="F1883" s="159">
        <f>IFERROR(INDEX('BASE METAS DIÁRIAS'!$N$2:$S$358,MATCH($A1883,'BASE METAS DIÁRIAS'!$A$2:$A$358,0),MOD(ROW()-2,6)+1),"")</f>
        <v/>
      </c>
      <c r="G1883" s="159">
        <f>IFERROR(IF(WEEKDAY($A1883,2)&lt;=INDEX('BASE METAS DIÁRIAS'!$H$2:$M$358,MATCH($A1883,'BASE METAS DIÁRIAS'!$A$2:$A$358,0),MOD(ROW()-2,6)+1),INDEX('BASE METAS DIÁRIAS'!$B$2:$G$358,MATCH($A1883,'BASE METAS DIÁRIAS'!$A$2:$A$358,0),MOD(ROW()-2,6)+1),""),"")</f>
        <v/>
      </c>
      <c r="H1883" s="159">
        <f>IFERROR(IF(INDEX('CONTROLE PRODUÇÃO POR EMPRESAS'!$B$6:$G$5000,MATCH($A1883,'CONTROLE PRODUÇÃO POR EMPRESAS'!$A$6:$A$5000,0),MOD(ROW()-2,6)+1)="","",IFERROR(1*INDEX('CONTROLE PRODUÇÃO POR EMPRESAS'!$B$6:$G$5000,MATCH($A1883,'CONTROLE PRODUÇÃO POR EMPRESAS'!$A$6:$A$5000,0),MOD(ROW()-2,6)+1),"")),"")</f>
        <v/>
      </c>
      <c r="I1883" s="159">
        <f>IF(OR(NOT(ISNUMBER(G1883)),NOT(ISNUMBER(H1883))),"",H1883-G1883)</f>
        <v/>
      </c>
      <c r="J1883" s="319">
        <f>IF(OR(NOT(ISNUMBER(G1883)),NOT(ISNUMBER(H1883)),G1883=0),"",I1883/G1883)</f>
        <v/>
      </c>
      <c r="K1883" s="319">
        <f>IF(OR(NOT(ISNUMBER(G1883)),NOT(ISNUMBER(H1883)),G1883=0),"",H1883/G1883)</f>
        <v/>
      </c>
      <c r="L1883">
        <f>IF(NOT(ISNUMBER(G1883)),"SEM META",IF(G1883=0,"SEM META",IF(NOT(ISNUMBER(H1883)),"SEM APONTAMENTO",IF(H1883&gt;=G1883,"VERDE",IF(H1883&gt;=G1883*0.9,"AMARELO","VERMELHO")))))</f>
        <v/>
      </c>
      <c r="M1883" s="162" t="n"/>
      <c r="N1883" s="162" t="n"/>
      <c r="O1883" s="162" t="n"/>
      <c r="P1883" s="162" t="n"/>
      <c r="Q1883" s="320" t="n"/>
      <c r="R1883" s="162" t="inlineStr">
        <is>
          <t>CONTROLE PRODUÇÃO POR EMPRESAS!E319</t>
        </is>
      </c>
    </row>
    <row r="1884" ht="28.5" customHeight="1">
      <c r="A1884" s="317" t="n">
        <v>46536</v>
      </c>
      <c r="B1884" t="inlineStr">
        <is>
          <t>GERAL</t>
        </is>
      </c>
      <c r="C1884" t="inlineStr">
        <is>
          <t>CMM</t>
        </is>
      </c>
      <c r="D1884" t="inlineStr">
        <is>
          <t>IÇAMENTO JOIST</t>
        </is>
      </c>
      <c r="F1884" s="159">
        <f>IFERROR(INDEX('BASE METAS DIÁRIAS'!$N$2:$S$358,MATCH($A1884,'BASE METAS DIÁRIAS'!$A$2:$A$358,0),MOD(ROW()-2,6)+1),"")</f>
        <v/>
      </c>
      <c r="G1884" s="159">
        <f>IFERROR(IF(WEEKDAY($A1884,2)&lt;=INDEX('BASE METAS DIÁRIAS'!$H$2:$M$358,MATCH($A1884,'BASE METAS DIÁRIAS'!$A$2:$A$358,0),MOD(ROW()-2,6)+1),INDEX('BASE METAS DIÁRIAS'!$B$2:$G$358,MATCH($A1884,'BASE METAS DIÁRIAS'!$A$2:$A$358,0),MOD(ROW()-2,6)+1),""),"")</f>
        <v/>
      </c>
      <c r="H1884" s="159">
        <f>IFERROR(IF(INDEX('CONTROLE PRODUÇÃO POR EMPRESAS'!$B$6:$G$5000,MATCH($A1884,'CONTROLE PRODUÇÃO POR EMPRESAS'!$A$6:$A$5000,0),MOD(ROW()-2,6)+1)="","",IFERROR(1*INDEX('CONTROLE PRODUÇÃO POR EMPRESAS'!$B$6:$G$5000,MATCH($A1884,'CONTROLE PRODUÇÃO POR EMPRESAS'!$A$6:$A$5000,0),MOD(ROW()-2,6)+1),"")),"")</f>
        <v/>
      </c>
      <c r="I1884" s="159">
        <f>IF(OR(NOT(ISNUMBER(G1884)),NOT(ISNUMBER(H1884))),"",H1884-G1884)</f>
        <v/>
      </c>
      <c r="J1884" s="319">
        <f>IF(OR(NOT(ISNUMBER(G1884)),NOT(ISNUMBER(H1884)),G1884=0),"",I1884/G1884)</f>
        <v/>
      </c>
      <c r="K1884" s="319">
        <f>IF(OR(NOT(ISNUMBER(G1884)),NOT(ISNUMBER(H1884)),G1884=0),"",H1884/G1884)</f>
        <v/>
      </c>
      <c r="L1884">
        <f>IF(NOT(ISNUMBER(G1884)),"SEM META",IF(G1884=0,"SEM META",IF(NOT(ISNUMBER(H1884)),"SEM APONTAMENTO",IF(H1884&gt;=G1884,"VERDE",IF(H1884&gt;=G1884*0.9,"AMARELO","VERMELHO")))))</f>
        <v/>
      </c>
      <c r="M1884" s="162" t="n"/>
      <c r="N1884" s="162" t="n"/>
      <c r="O1884" s="162" t="n"/>
      <c r="P1884" s="162" t="n"/>
      <c r="Q1884" s="320" t="n"/>
      <c r="R1884" s="162" t="inlineStr">
        <is>
          <t>CONTROLE PRODUÇÃO POR EMPRESAS!F319</t>
        </is>
      </c>
    </row>
    <row r="1885" ht="28.5" customHeight="1">
      <c r="A1885" s="317" t="n">
        <v>46536</v>
      </c>
      <c r="B1885" t="inlineStr">
        <is>
          <t>GERAL</t>
        </is>
      </c>
      <c r="C1885" t="inlineStr">
        <is>
          <t>CMM</t>
        </is>
      </c>
      <c r="D1885" t="inlineStr">
        <is>
          <t>VIGAS</t>
        </is>
      </c>
      <c r="F1885" s="159">
        <f>IFERROR(INDEX('BASE METAS DIÁRIAS'!$N$2:$S$358,MATCH($A1885,'BASE METAS DIÁRIAS'!$A$2:$A$358,0),MOD(ROW()-2,6)+1),"")</f>
        <v/>
      </c>
      <c r="G1885" s="159">
        <f>IFERROR(IF(WEEKDAY($A1885,2)&lt;=INDEX('BASE METAS DIÁRIAS'!$H$2:$M$358,MATCH($A1885,'BASE METAS DIÁRIAS'!$A$2:$A$358,0),MOD(ROW()-2,6)+1),INDEX('BASE METAS DIÁRIAS'!$B$2:$G$358,MATCH($A1885,'BASE METAS DIÁRIAS'!$A$2:$A$358,0),MOD(ROW()-2,6)+1),""),"")</f>
        <v/>
      </c>
      <c r="H1885" s="159">
        <f>IFERROR(IF(INDEX('CONTROLE PRODUÇÃO POR EMPRESAS'!$B$6:$G$5000,MATCH($A1885,'CONTROLE PRODUÇÃO POR EMPRESAS'!$A$6:$A$5000,0),MOD(ROW()-2,6)+1)="","",IFERROR(1*INDEX('CONTROLE PRODUÇÃO POR EMPRESAS'!$B$6:$G$5000,MATCH($A1885,'CONTROLE PRODUÇÃO POR EMPRESAS'!$A$6:$A$5000,0),MOD(ROW()-2,6)+1),"")),"")</f>
        <v/>
      </c>
      <c r="I1885" s="159">
        <f>IF(OR(NOT(ISNUMBER(G1885)),NOT(ISNUMBER(H1885))),"",H1885-G1885)</f>
        <v/>
      </c>
      <c r="J1885" s="319">
        <f>IF(OR(NOT(ISNUMBER(G1885)),NOT(ISNUMBER(H1885)),G1885=0),"",I1885/G1885)</f>
        <v/>
      </c>
      <c r="K1885" s="319">
        <f>IF(OR(NOT(ISNUMBER(G1885)),NOT(ISNUMBER(H1885)),G1885=0),"",H1885/G1885)</f>
        <v/>
      </c>
      <c r="L1885">
        <f>IF(NOT(ISNUMBER(G1885)),"SEM META",IF(G1885=0,"SEM META",IF(NOT(ISNUMBER(H1885)),"SEM APONTAMENTO",IF(H1885&gt;=G1885,"VERDE",IF(H1885&gt;=G1885*0.9,"AMARELO","VERMELHO")))))</f>
        <v/>
      </c>
      <c r="M1885" s="162" t="n"/>
      <c r="N1885" s="162" t="n"/>
      <c r="O1885" s="162" t="n"/>
      <c r="P1885" s="162" t="n"/>
      <c r="Q1885" s="320" t="n"/>
      <c r="R1885" s="162" t="inlineStr">
        <is>
          <t>CONTROLE PRODUÇÃO POR EMPRESAS!G319</t>
        </is>
      </c>
    </row>
    <row r="1886" ht="28.5" customHeight="1">
      <c r="A1886" s="317" t="n">
        <v>46537</v>
      </c>
      <c r="B1886" t="inlineStr">
        <is>
          <t>GERAL</t>
        </is>
      </c>
      <c r="C1886" t="inlineStr">
        <is>
          <t>EJ</t>
        </is>
      </c>
      <c r="D1886" t="inlineStr">
        <is>
          <t>PREMONTAGEM</t>
        </is>
      </c>
      <c r="F1886" s="159">
        <f>IFERROR(INDEX('BASE METAS DIÁRIAS'!$N$2:$S$358,MATCH($A1886,'BASE METAS DIÁRIAS'!$A$2:$A$358,0),MOD(ROW()-2,6)+1),"")</f>
        <v/>
      </c>
      <c r="G1886" s="159">
        <f>IFERROR(IF(WEEKDAY($A1886,2)&lt;=INDEX('BASE METAS DIÁRIAS'!$H$2:$M$358,MATCH($A1886,'BASE METAS DIÁRIAS'!$A$2:$A$358,0),MOD(ROW()-2,6)+1),INDEX('BASE METAS DIÁRIAS'!$B$2:$G$358,MATCH($A1886,'BASE METAS DIÁRIAS'!$A$2:$A$358,0),MOD(ROW()-2,6)+1),""),"")</f>
        <v/>
      </c>
      <c r="H1886" s="159">
        <f>IFERROR(IF(INDEX('CONTROLE PRODUÇÃO POR EMPRESAS'!$B$6:$G$5000,MATCH($A1886,'CONTROLE PRODUÇÃO POR EMPRESAS'!$A$6:$A$5000,0),MOD(ROW()-2,6)+1)="","",IFERROR(1*INDEX('CONTROLE PRODUÇÃO POR EMPRESAS'!$B$6:$G$5000,MATCH($A1886,'CONTROLE PRODUÇÃO POR EMPRESAS'!$A$6:$A$5000,0),MOD(ROW()-2,6)+1),"")),"")</f>
        <v/>
      </c>
      <c r="I1886" s="159">
        <f>IF(OR(NOT(ISNUMBER(G1886)),NOT(ISNUMBER(H1886))),"",H1886-G1886)</f>
        <v/>
      </c>
      <c r="J1886" s="319">
        <f>IF(OR(NOT(ISNUMBER(G1886)),NOT(ISNUMBER(H1886)),G1886=0),"",I1886/G1886)</f>
        <v/>
      </c>
      <c r="K1886" s="319">
        <f>IF(OR(NOT(ISNUMBER(G1886)),NOT(ISNUMBER(H1886)),G1886=0),"",H1886/G1886)</f>
        <v/>
      </c>
      <c r="L1886">
        <f>IF(NOT(ISNUMBER(G1886)),"SEM META",IF(G1886=0,"SEM META",IF(NOT(ISNUMBER(H1886)),"SEM APONTAMENTO",IF(H1886&gt;=G1886,"VERDE",IF(H1886&gt;=G1886*0.9,"AMARELO","VERMELHO")))))</f>
        <v/>
      </c>
      <c r="M1886" s="162" t="n"/>
      <c r="N1886" s="162" t="n"/>
      <c r="O1886" s="162" t="n"/>
      <c r="P1886" s="162" t="n"/>
      <c r="Q1886" s="320" t="n"/>
      <c r="R1886" s="162" t="inlineStr">
        <is>
          <t>CONTROLE PRODUÇÃO POR EMPRESAS!B320</t>
        </is>
      </c>
    </row>
    <row r="1887" ht="28.5" customHeight="1">
      <c r="A1887" s="317" t="n">
        <v>46537</v>
      </c>
      <c r="B1887" t="inlineStr">
        <is>
          <t>GERAL</t>
        </is>
      </c>
      <c r="C1887" t="inlineStr">
        <is>
          <t>EJ</t>
        </is>
      </c>
      <c r="D1887" t="inlineStr">
        <is>
          <t>IÇAMENTO JOIST</t>
        </is>
      </c>
      <c r="F1887" s="159">
        <f>IFERROR(INDEX('BASE METAS DIÁRIAS'!$N$2:$S$358,MATCH($A1887,'BASE METAS DIÁRIAS'!$A$2:$A$358,0),MOD(ROW()-2,6)+1),"")</f>
        <v/>
      </c>
      <c r="G1887" s="159">
        <f>IFERROR(IF(WEEKDAY($A1887,2)&lt;=INDEX('BASE METAS DIÁRIAS'!$H$2:$M$358,MATCH($A1887,'BASE METAS DIÁRIAS'!$A$2:$A$358,0),MOD(ROW()-2,6)+1),INDEX('BASE METAS DIÁRIAS'!$B$2:$G$358,MATCH($A1887,'BASE METAS DIÁRIAS'!$A$2:$A$358,0),MOD(ROW()-2,6)+1),""),"")</f>
        <v/>
      </c>
      <c r="H1887" s="159">
        <f>IFERROR(IF(INDEX('CONTROLE PRODUÇÃO POR EMPRESAS'!$B$6:$G$5000,MATCH($A1887,'CONTROLE PRODUÇÃO POR EMPRESAS'!$A$6:$A$5000,0),MOD(ROW()-2,6)+1)="","",IFERROR(1*INDEX('CONTROLE PRODUÇÃO POR EMPRESAS'!$B$6:$G$5000,MATCH($A1887,'CONTROLE PRODUÇÃO POR EMPRESAS'!$A$6:$A$5000,0),MOD(ROW()-2,6)+1),"")),"")</f>
        <v/>
      </c>
      <c r="I1887" s="159">
        <f>IF(OR(NOT(ISNUMBER(G1887)),NOT(ISNUMBER(H1887))),"",H1887-G1887)</f>
        <v/>
      </c>
      <c r="J1887" s="319">
        <f>IF(OR(NOT(ISNUMBER(G1887)),NOT(ISNUMBER(H1887)),G1887=0),"",I1887/G1887)</f>
        <v/>
      </c>
      <c r="K1887" s="319">
        <f>IF(OR(NOT(ISNUMBER(G1887)),NOT(ISNUMBER(H1887)),G1887=0),"",H1887/G1887)</f>
        <v/>
      </c>
      <c r="L1887">
        <f>IF(NOT(ISNUMBER(G1887)),"SEM META",IF(G1887=0,"SEM META",IF(NOT(ISNUMBER(H1887)),"SEM APONTAMENTO",IF(H1887&gt;=G1887,"VERDE",IF(H1887&gt;=G1887*0.9,"AMARELO","VERMELHO")))))</f>
        <v/>
      </c>
      <c r="M1887" s="162" t="n"/>
      <c r="N1887" s="162" t="n"/>
      <c r="O1887" s="162" t="n"/>
      <c r="P1887" s="162" t="n"/>
      <c r="Q1887" s="320" t="n"/>
      <c r="R1887" s="162" t="inlineStr">
        <is>
          <t>CONTROLE PRODUÇÃO POR EMPRESAS!C320</t>
        </is>
      </c>
    </row>
    <row r="1888" ht="28.5" customHeight="1">
      <c r="A1888" s="317" t="n">
        <v>46537</v>
      </c>
      <c r="B1888" t="inlineStr">
        <is>
          <t>GERAL</t>
        </is>
      </c>
      <c r="C1888" t="inlineStr">
        <is>
          <t>EJ</t>
        </is>
      </c>
      <c r="D1888" t="inlineStr">
        <is>
          <t>VIGAS</t>
        </is>
      </c>
      <c r="F1888" s="159">
        <f>IFERROR(INDEX('BASE METAS DIÁRIAS'!$N$2:$S$358,MATCH($A1888,'BASE METAS DIÁRIAS'!$A$2:$A$358,0),MOD(ROW()-2,6)+1),"")</f>
        <v/>
      </c>
      <c r="G1888" s="159">
        <f>IFERROR(IF(WEEKDAY($A1888,2)&lt;=INDEX('BASE METAS DIÁRIAS'!$H$2:$M$358,MATCH($A1888,'BASE METAS DIÁRIAS'!$A$2:$A$358,0),MOD(ROW()-2,6)+1),INDEX('BASE METAS DIÁRIAS'!$B$2:$G$358,MATCH($A1888,'BASE METAS DIÁRIAS'!$A$2:$A$358,0),MOD(ROW()-2,6)+1),""),"")</f>
        <v/>
      </c>
      <c r="H1888" s="159">
        <f>IFERROR(IF(INDEX('CONTROLE PRODUÇÃO POR EMPRESAS'!$B$6:$G$5000,MATCH($A1888,'CONTROLE PRODUÇÃO POR EMPRESAS'!$A$6:$A$5000,0),MOD(ROW()-2,6)+1)="","",IFERROR(1*INDEX('CONTROLE PRODUÇÃO POR EMPRESAS'!$B$6:$G$5000,MATCH($A1888,'CONTROLE PRODUÇÃO POR EMPRESAS'!$A$6:$A$5000,0),MOD(ROW()-2,6)+1),"")),"")</f>
        <v/>
      </c>
      <c r="I1888" s="159">
        <f>IF(OR(NOT(ISNUMBER(G1888)),NOT(ISNUMBER(H1888))),"",H1888-G1888)</f>
        <v/>
      </c>
      <c r="J1888" s="319">
        <f>IF(OR(NOT(ISNUMBER(G1888)),NOT(ISNUMBER(H1888)),G1888=0),"",I1888/G1888)</f>
        <v/>
      </c>
      <c r="K1888" s="319">
        <f>IF(OR(NOT(ISNUMBER(G1888)),NOT(ISNUMBER(H1888)),G1888=0),"",H1888/G1888)</f>
        <v/>
      </c>
      <c r="L1888">
        <f>IF(NOT(ISNUMBER(G1888)),"SEM META",IF(G1888=0,"SEM META",IF(NOT(ISNUMBER(H1888)),"SEM APONTAMENTO",IF(H1888&gt;=G1888,"VERDE",IF(H1888&gt;=G1888*0.9,"AMARELO","VERMELHO")))))</f>
        <v/>
      </c>
      <c r="M1888" s="162" t="n"/>
      <c r="N1888" s="162" t="n"/>
      <c r="O1888" s="162" t="n"/>
      <c r="P1888" s="162" t="n"/>
      <c r="Q1888" s="320" t="n"/>
      <c r="R1888" s="162" t="inlineStr">
        <is>
          <t>CONTROLE PRODUÇÃO POR EMPRESAS!D320</t>
        </is>
      </c>
    </row>
    <row r="1889" ht="28.5" customHeight="1">
      <c r="A1889" s="317" t="n">
        <v>46537</v>
      </c>
      <c r="B1889" t="inlineStr">
        <is>
          <t>GERAL</t>
        </is>
      </c>
      <c r="C1889" t="inlineStr">
        <is>
          <t>CMM</t>
        </is>
      </c>
      <c r="D1889" t="inlineStr">
        <is>
          <t>PREMONTAGEM</t>
        </is>
      </c>
      <c r="F1889" s="159">
        <f>IFERROR(INDEX('BASE METAS DIÁRIAS'!$N$2:$S$358,MATCH($A1889,'BASE METAS DIÁRIAS'!$A$2:$A$358,0),MOD(ROW()-2,6)+1),"")</f>
        <v/>
      </c>
      <c r="G1889" s="159">
        <f>IFERROR(IF(WEEKDAY($A1889,2)&lt;=INDEX('BASE METAS DIÁRIAS'!$H$2:$M$358,MATCH($A1889,'BASE METAS DIÁRIAS'!$A$2:$A$358,0),MOD(ROW()-2,6)+1),INDEX('BASE METAS DIÁRIAS'!$B$2:$G$358,MATCH($A1889,'BASE METAS DIÁRIAS'!$A$2:$A$358,0),MOD(ROW()-2,6)+1),""),"")</f>
        <v/>
      </c>
      <c r="H1889" s="159">
        <f>IFERROR(IF(INDEX('CONTROLE PRODUÇÃO POR EMPRESAS'!$B$6:$G$5000,MATCH($A1889,'CONTROLE PRODUÇÃO POR EMPRESAS'!$A$6:$A$5000,0),MOD(ROW()-2,6)+1)="","",IFERROR(1*INDEX('CONTROLE PRODUÇÃO POR EMPRESAS'!$B$6:$G$5000,MATCH($A1889,'CONTROLE PRODUÇÃO POR EMPRESAS'!$A$6:$A$5000,0),MOD(ROW()-2,6)+1),"")),"")</f>
        <v/>
      </c>
      <c r="I1889" s="159">
        <f>IF(OR(NOT(ISNUMBER(G1889)),NOT(ISNUMBER(H1889))),"",H1889-G1889)</f>
        <v/>
      </c>
      <c r="J1889" s="319">
        <f>IF(OR(NOT(ISNUMBER(G1889)),NOT(ISNUMBER(H1889)),G1889=0),"",I1889/G1889)</f>
        <v/>
      </c>
      <c r="K1889" s="319">
        <f>IF(OR(NOT(ISNUMBER(G1889)),NOT(ISNUMBER(H1889)),G1889=0),"",H1889/G1889)</f>
        <v/>
      </c>
      <c r="L1889">
        <f>IF(NOT(ISNUMBER(G1889)),"SEM META",IF(G1889=0,"SEM META",IF(NOT(ISNUMBER(H1889)),"SEM APONTAMENTO",IF(H1889&gt;=G1889,"VERDE",IF(H1889&gt;=G1889*0.9,"AMARELO","VERMELHO")))))</f>
        <v/>
      </c>
      <c r="M1889" s="162" t="n"/>
      <c r="N1889" s="162" t="n"/>
      <c r="O1889" s="162" t="n"/>
      <c r="P1889" s="162" t="n"/>
      <c r="Q1889" s="320" t="n"/>
      <c r="R1889" s="162" t="inlineStr">
        <is>
          <t>CONTROLE PRODUÇÃO POR EMPRESAS!E320</t>
        </is>
      </c>
    </row>
    <row r="1890" ht="28.5" customHeight="1">
      <c r="A1890" s="317" t="n">
        <v>46537</v>
      </c>
      <c r="B1890" t="inlineStr">
        <is>
          <t>GERAL</t>
        </is>
      </c>
      <c r="C1890" t="inlineStr">
        <is>
          <t>CMM</t>
        </is>
      </c>
      <c r="D1890" t="inlineStr">
        <is>
          <t>IÇAMENTO JOIST</t>
        </is>
      </c>
      <c r="F1890" s="159">
        <f>IFERROR(INDEX('BASE METAS DIÁRIAS'!$N$2:$S$358,MATCH($A1890,'BASE METAS DIÁRIAS'!$A$2:$A$358,0),MOD(ROW()-2,6)+1),"")</f>
        <v/>
      </c>
      <c r="G1890" s="159">
        <f>IFERROR(IF(WEEKDAY($A1890,2)&lt;=INDEX('BASE METAS DIÁRIAS'!$H$2:$M$358,MATCH($A1890,'BASE METAS DIÁRIAS'!$A$2:$A$358,0),MOD(ROW()-2,6)+1),INDEX('BASE METAS DIÁRIAS'!$B$2:$G$358,MATCH($A1890,'BASE METAS DIÁRIAS'!$A$2:$A$358,0),MOD(ROW()-2,6)+1),""),"")</f>
        <v/>
      </c>
      <c r="H1890" s="159">
        <f>IFERROR(IF(INDEX('CONTROLE PRODUÇÃO POR EMPRESAS'!$B$6:$G$5000,MATCH($A1890,'CONTROLE PRODUÇÃO POR EMPRESAS'!$A$6:$A$5000,0),MOD(ROW()-2,6)+1)="","",IFERROR(1*INDEX('CONTROLE PRODUÇÃO POR EMPRESAS'!$B$6:$G$5000,MATCH($A1890,'CONTROLE PRODUÇÃO POR EMPRESAS'!$A$6:$A$5000,0),MOD(ROW()-2,6)+1),"")),"")</f>
        <v/>
      </c>
      <c r="I1890" s="159">
        <f>IF(OR(NOT(ISNUMBER(G1890)),NOT(ISNUMBER(H1890))),"",H1890-G1890)</f>
        <v/>
      </c>
      <c r="J1890" s="319">
        <f>IF(OR(NOT(ISNUMBER(G1890)),NOT(ISNUMBER(H1890)),G1890=0),"",I1890/G1890)</f>
        <v/>
      </c>
      <c r="K1890" s="319">
        <f>IF(OR(NOT(ISNUMBER(G1890)),NOT(ISNUMBER(H1890)),G1890=0),"",H1890/G1890)</f>
        <v/>
      </c>
      <c r="L1890">
        <f>IF(NOT(ISNUMBER(G1890)),"SEM META",IF(G1890=0,"SEM META",IF(NOT(ISNUMBER(H1890)),"SEM APONTAMENTO",IF(H1890&gt;=G1890,"VERDE",IF(H1890&gt;=G1890*0.9,"AMARELO","VERMELHO")))))</f>
        <v/>
      </c>
      <c r="M1890" s="162" t="n"/>
      <c r="N1890" s="162" t="n"/>
      <c r="O1890" s="162" t="n"/>
      <c r="P1890" s="162" t="n"/>
      <c r="Q1890" s="320" t="n"/>
      <c r="R1890" s="162" t="inlineStr">
        <is>
          <t>CONTROLE PRODUÇÃO POR EMPRESAS!F320</t>
        </is>
      </c>
    </row>
    <row r="1891" ht="28.5" customHeight="1">
      <c r="A1891" s="317" t="n">
        <v>46537</v>
      </c>
      <c r="B1891" t="inlineStr">
        <is>
          <t>GERAL</t>
        </is>
      </c>
      <c r="C1891" t="inlineStr">
        <is>
          <t>CMM</t>
        </is>
      </c>
      <c r="D1891" t="inlineStr">
        <is>
          <t>VIGAS</t>
        </is>
      </c>
      <c r="F1891" s="159">
        <f>IFERROR(INDEX('BASE METAS DIÁRIAS'!$N$2:$S$358,MATCH($A1891,'BASE METAS DIÁRIAS'!$A$2:$A$358,0),MOD(ROW()-2,6)+1),"")</f>
        <v/>
      </c>
      <c r="G1891" s="159">
        <f>IFERROR(IF(WEEKDAY($A1891,2)&lt;=INDEX('BASE METAS DIÁRIAS'!$H$2:$M$358,MATCH($A1891,'BASE METAS DIÁRIAS'!$A$2:$A$358,0),MOD(ROW()-2,6)+1),INDEX('BASE METAS DIÁRIAS'!$B$2:$G$358,MATCH($A1891,'BASE METAS DIÁRIAS'!$A$2:$A$358,0),MOD(ROW()-2,6)+1),""),"")</f>
        <v/>
      </c>
      <c r="H1891" s="159">
        <f>IFERROR(IF(INDEX('CONTROLE PRODUÇÃO POR EMPRESAS'!$B$6:$G$5000,MATCH($A1891,'CONTROLE PRODUÇÃO POR EMPRESAS'!$A$6:$A$5000,0),MOD(ROW()-2,6)+1)="","",IFERROR(1*INDEX('CONTROLE PRODUÇÃO POR EMPRESAS'!$B$6:$G$5000,MATCH($A1891,'CONTROLE PRODUÇÃO POR EMPRESAS'!$A$6:$A$5000,0),MOD(ROW()-2,6)+1),"")),"")</f>
        <v/>
      </c>
      <c r="I1891" s="159">
        <f>IF(OR(NOT(ISNUMBER(G1891)),NOT(ISNUMBER(H1891))),"",H1891-G1891)</f>
        <v/>
      </c>
      <c r="J1891" s="319">
        <f>IF(OR(NOT(ISNUMBER(G1891)),NOT(ISNUMBER(H1891)),G1891=0),"",I1891/G1891)</f>
        <v/>
      </c>
      <c r="K1891" s="319">
        <f>IF(OR(NOT(ISNUMBER(G1891)),NOT(ISNUMBER(H1891)),G1891=0),"",H1891/G1891)</f>
        <v/>
      </c>
      <c r="L1891">
        <f>IF(NOT(ISNUMBER(G1891)),"SEM META",IF(G1891=0,"SEM META",IF(NOT(ISNUMBER(H1891)),"SEM APONTAMENTO",IF(H1891&gt;=G1891,"VERDE",IF(H1891&gt;=G1891*0.9,"AMARELO","VERMELHO")))))</f>
        <v/>
      </c>
      <c r="M1891" s="162" t="n"/>
      <c r="N1891" s="162" t="n"/>
      <c r="O1891" s="162" t="n"/>
      <c r="P1891" s="162" t="n"/>
      <c r="Q1891" s="320" t="n"/>
      <c r="R1891" s="162" t="inlineStr">
        <is>
          <t>CONTROLE PRODUÇÃO POR EMPRESAS!G320</t>
        </is>
      </c>
    </row>
    <row r="1892" ht="28.5" customHeight="1">
      <c r="A1892" s="317" t="n">
        <v>46538</v>
      </c>
      <c r="B1892" t="inlineStr">
        <is>
          <t>GERAL</t>
        </is>
      </c>
      <c r="C1892" t="inlineStr">
        <is>
          <t>EJ</t>
        </is>
      </c>
      <c r="D1892" t="inlineStr">
        <is>
          <t>PREMONTAGEM</t>
        </is>
      </c>
      <c r="F1892" s="159">
        <f>IFERROR(INDEX('BASE METAS DIÁRIAS'!$N$2:$S$358,MATCH($A1892,'BASE METAS DIÁRIAS'!$A$2:$A$358,0),MOD(ROW()-2,6)+1),"")</f>
        <v/>
      </c>
      <c r="G1892" s="159">
        <f>IFERROR(IF(WEEKDAY($A1892,2)&lt;=INDEX('BASE METAS DIÁRIAS'!$H$2:$M$358,MATCH($A1892,'BASE METAS DIÁRIAS'!$A$2:$A$358,0),MOD(ROW()-2,6)+1),INDEX('BASE METAS DIÁRIAS'!$B$2:$G$358,MATCH($A1892,'BASE METAS DIÁRIAS'!$A$2:$A$358,0),MOD(ROW()-2,6)+1),""),"")</f>
        <v/>
      </c>
      <c r="H1892" s="159">
        <f>IFERROR(IF(INDEX('CONTROLE PRODUÇÃO POR EMPRESAS'!$B$6:$G$5000,MATCH($A1892,'CONTROLE PRODUÇÃO POR EMPRESAS'!$A$6:$A$5000,0),MOD(ROW()-2,6)+1)="","",IFERROR(1*INDEX('CONTROLE PRODUÇÃO POR EMPRESAS'!$B$6:$G$5000,MATCH($A1892,'CONTROLE PRODUÇÃO POR EMPRESAS'!$A$6:$A$5000,0),MOD(ROW()-2,6)+1),"")),"")</f>
        <v/>
      </c>
      <c r="I1892" s="159">
        <f>IF(OR(NOT(ISNUMBER(G1892)),NOT(ISNUMBER(H1892))),"",H1892-G1892)</f>
        <v/>
      </c>
      <c r="J1892" s="319">
        <f>IF(OR(NOT(ISNUMBER(G1892)),NOT(ISNUMBER(H1892)),G1892=0),"",I1892/G1892)</f>
        <v/>
      </c>
      <c r="K1892" s="319">
        <f>IF(OR(NOT(ISNUMBER(G1892)),NOT(ISNUMBER(H1892)),G1892=0),"",H1892/G1892)</f>
        <v/>
      </c>
      <c r="L1892">
        <f>IF(NOT(ISNUMBER(G1892)),"SEM META",IF(G1892=0,"SEM META",IF(NOT(ISNUMBER(H1892)),"SEM APONTAMENTO",IF(H1892&gt;=G1892,"VERDE",IF(H1892&gt;=G1892*0.9,"AMARELO","VERMELHO")))))</f>
        <v/>
      </c>
      <c r="M1892" s="162" t="n"/>
      <c r="N1892" s="162" t="n"/>
      <c r="O1892" s="162" t="n"/>
      <c r="P1892" s="162" t="n"/>
      <c r="Q1892" s="320" t="n"/>
      <c r="R1892" s="162" t="inlineStr">
        <is>
          <t>CONTROLE PRODUÇÃO POR EMPRESAS!B321</t>
        </is>
      </c>
    </row>
    <row r="1893" ht="28.5" customHeight="1">
      <c r="A1893" s="317" t="n">
        <v>46538</v>
      </c>
      <c r="B1893" t="inlineStr">
        <is>
          <t>GERAL</t>
        </is>
      </c>
      <c r="C1893" t="inlineStr">
        <is>
          <t>EJ</t>
        </is>
      </c>
      <c r="D1893" t="inlineStr">
        <is>
          <t>IÇAMENTO JOIST</t>
        </is>
      </c>
      <c r="F1893" s="159">
        <f>IFERROR(INDEX('BASE METAS DIÁRIAS'!$N$2:$S$358,MATCH($A1893,'BASE METAS DIÁRIAS'!$A$2:$A$358,0),MOD(ROW()-2,6)+1),"")</f>
        <v/>
      </c>
      <c r="G1893" s="159">
        <f>IFERROR(IF(WEEKDAY($A1893,2)&lt;=INDEX('BASE METAS DIÁRIAS'!$H$2:$M$358,MATCH($A1893,'BASE METAS DIÁRIAS'!$A$2:$A$358,0),MOD(ROW()-2,6)+1),INDEX('BASE METAS DIÁRIAS'!$B$2:$G$358,MATCH($A1893,'BASE METAS DIÁRIAS'!$A$2:$A$358,0),MOD(ROW()-2,6)+1),""),"")</f>
        <v/>
      </c>
      <c r="H1893" s="159">
        <f>IFERROR(IF(INDEX('CONTROLE PRODUÇÃO POR EMPRESAS'!$B$6:$G$5000,MATCH($A1893,'CONTROLE PRODUÇÃO POR EMPRESAS'!$A$6:$A$5000,0),MOD(ROW()-2,6)+1)="","",IFERROR(1*INDEX('CONTROLE PRODUÇÃO POR EMPRESAS'!$B$6:$G$5000,MATCH($A1893,'CONTROLE PRODUÇÃO POR EMPRESAS'!$A$6:$A$5000,0),MOD(ROW()-2,6)+1),"")),"")</f>
        <v/>
      </c>
      <c r="I1893" s="159">
        <f>IF(OR(NOT(ISNUMBER(G1893)),NOT(ISNUMBER(H1893))),"",H1893-G1893)</f>
        <v/>
      </c>
      <c r="J1893" s="319">
        <f>IF(OR(NOT(ISNUMBER(G1893)),NOT(ISNUMBER(H1893)),G1893=0),"",I1893/G1893)</f>
        <v/>
      </c>
      <c r="K1893" s="319">
        <f>IF(OR(NOT(ISNUMBER(G1893)),NOT(ISNUMBER(H1893)),G1893=0),"",H1893/G1893)</f>
        <v/>
      </c>
      <c r="L1893">
        <f>IF(NOT(ISNUMBER(G1893)),"SEM META",IF(G1893=0,"SEM META",IF(NOT(ISNUMBER(H1893)),"SEM APONTAMENTO",IF(H1893&gt;=G1893,"VERDE",IF(H1893&gt;=G1893*0.9,"AMARELO","VERMELHO")))))</f>
        <v/>
      </c>
      <c r="M1893" s="162" t="n"/>
      <c r="N1893" s="162" t="n"/>
      <c r="O1893" s="162" t="n"/>
      <c r="P1893" s="162" t="n"/>
      <c r="Q1893" s="320" t="n"/>
      <c r="R1893" s="162" t="inlineStr">
        <is>
          <t>CONTROLE PRODUÇÃO POR EMPRESAS!C321</t>
        </is>
      </c>
    </row>
    <row r="1894" ht="28.5" customHeight="1">
      <c r="A1894" s="317" t="n">
        <v>46538</v>
      </c>
      <c r="B1894" t="inlineStr">
        <is>
          <t>GERAL</t>
        </is>
      </c>
      <c r="C1894" t="inlineStr">
        <is>
          <t>EJ</t>
        </is>
      </c>
      <c r="D1894" t="inlineStr">
        <is>
          <t>VIGAS</t>
        </is>
      </c>
      <c r="F1894" s="159">
        <f>IFERROR(INDEX('BASE METAS DIÁRIAS'!$N$2:$S$358,MATCH($A1894,'BASE METAS DIÁRIAS'!$A$2:$A$358,0),MOD(ROW()-2,6)+1),"")</f>
        <v/>
      </c>
      <c r="G1894" s="159">
        <f>IFERROR(IF(WEEKDAY($A1894,2)&lt;=INDEX('BASE METAS DIÁRIAS'!$H$2:$M$358,MATCH($A1894,'BASE METAS DIÁRIAS'!$A$2:$A$358,0),MOD(ROW()-2,6)+1),INDEX('BASE METAS DIÁRIAS'!$B$2:$G$358,MATCH($A1894,'BASE METAS DIÁRIAS'!$A$2:$A$358,0),MOD(ROW()-2,6)+1),""),"")</f>
        <v/>
      </c>
      <c r="H1894" s="159">
        <f>IFERROR(IF(INDEX('CONTROLE PRODUÇÃO POR EMPRESAS'!$B$6:$G$5000,MATCH($A1894,'CONTROLE PRODUÇÃO POR EMPRESAS'!$A$6:$A$5000,0),MOD(ROW()-2,6)+1)="","",IFERROR(1*INDEX('CONTROLE PRODUÇÃO POR EMPRESAS'!$B$6:$G$5000,MATCH($A1894,'CONTROLE PRODUÇÃO POR EMPRESAS'!$A$6:$A$5000,0),MOD(ROW()-2,6)+1),"")),"")</f>
        <v/>
      </c>
      <c r="I1894" s="159">
        <f>IF(OR(NOT(ISNUMBER(G1894)),NOT(ISNUMBER(H1894))),"",H1894-G1894)</f>
        <v/>
      </c>
      <c r="J1894" s="319">
        <f>IF(OR(NOT(ISNUMBER(G1894)),NOT(ISNUMBER(H1894)),G1894=0),"",I1894/G1894)</f>
        <v/>
      </c>
      <c r="K1894" s="319">
        <f>IF(OR(NOT(ISNUMBER(G1894)),NOT(ISNUMBER(H1894)),G1894=0),"",H1894/G1894)</f>
        <v/>
      </c>
      <c r="L1894">
        <f>IF(NOT(ISNUMBER(G1894)),"SEM META",IF(G1894=0,"SEM META",IF(NOT(ISNUMBER(H1894)),"SEM APONTAMENTO",IF(H1894&gt;=G1894,"VERDE",IF(H1894&gt;=G1894*0.9,"AMARELO","VERMELHO")))))</f>
        <v/>
      </c>
      <c r="M1894" s="162" t="n"/>
      <c r="N1894" s="162" t="n"/>
      <c r="O1894" s="162" t="n"/>
      <c r="P1894" s="162" t="n"/>
      <c r="Q1894" s="320" t="n"/>
      <c r="R1894" s="162" t="inlineStr">
        <is>
          <t>CONTROLE PRODUÇÃO POR EMPRESAS!D321</t>
        </is>
      </c>
    </row>
    <row r="1895" ht="28.5" customHeight="1">
      <c r="A1895" s="317" t="n">
        <v>46538</v>
      </c>
      <c r="B1895" t="inlineStr">
        <is>
          <t>GERAL</t>
        </is>
      </c>
      <c r="C1895" t="inlineStr">
        <is>
          <t>CMM</t>
        </is>
      </c>
      <c r="D1895" t="inlineStr">
        <is>
          <t>PREMONTAGEM</t>
        </is>
      </c>
      <c r="F1895" s="159">
        <f>IFERROR(INDEX('BASE METAS DIÁRIAS'!$N$2:$S$358,MATCH($A1895,'BASE METAS DIÁRIAS'!$A$2:$A$358,0),MOD(ROW()-2,6)+1),"")</f>
        <v/>
      </c>
      <c r="G1895" s="159">
        <f>IFERROR(IF(WEEKDAY($A1895,2)&lt;=INDEX('BASE METAS DIÁRIAS'!$H$2:$M$358,MATCH($A1895,'BASE METAS DIÁRIAS'!$A$2:$A$358,0),MOD(ROW()-2,6)+1),INDEX('BASE METAS DIÁRIAS'!$B$2:$G$358,MATCH($A1895,'BASE METAS DIÁRIAS'!$A$2:$A$358,0),MOD(ROW()-2,6)+1),""),"")</f>
        <v/>
      </c>
      <c r="H1895" s="159">
        <f>IFERROR(IF(INDEX('CONTROLE PRODUÇÃO POR EMPRESAS'!$B$6:$G$5000,MATCH($A1895,'CONTROLE PRODUÇÃO POR EMPRESAS'!$A$6:$A$5000,0),MOD(ROW()-2,6)+1)="","",IFERROR(1*INDEX('CONTROLE PRODUÇÃO POR EMPRESAS'!$B$6:$G$5000,MATCH($A1895,'CONTROLE PRODUÇÃO POR EMPRESAS'!$A$6:$A$5000,0),MOD(ROW()-2,6)+1),"")),"")</f>
        <v/>
      </c>
      <c r="I1895" s="159">
        <f>IF(OR(NOT(ISNUMBER(G1895)),NOT(ISNUMBER(H1895))),"",H1895-G1895)</f>
        <v/>
      </c>
      <c r="J1895" s="319">
        <f>IF(OR(NOT(ISNUMBER(G1895)),NOT(ISNUMBER(H1895)),G1895=0),"",I1895/G1895)</f>
        <v/>
      </c>
      <c r="K1895" s="319">
        <f>IF(OR(NOT(ISNUMBER(G1895)),NOT(ISNUMBER(H1895)),G1895=0),"",H1895/G1895)</f>
        <v/>
      </c>
      <c r="L1895">
        <f>IF(NOT(ISNUMBER(G1895)),"SEM META",IF(G1895=0,"SEM META",IF(NOT(ISNUMBER(H1895)),"SEM APONTAMENTO",IF(H1895&gt;=G1895,"VERDE",IF(H1895&gt;=G1895*0.9,"AMARELO","VERMELHO")))))</f>
        <v/>
      </c>
      <c r="M1895" s="162" t="n"/>
      <c r="N1895" s="162" t="n"/>
      <c r="O1895" s="162" t="n"/>
      <c r="P1895" s="162" t="n"/>
      <c r="Q1895" s="320" t="n"/>
      <c r="R1895" s="162" t="inlineStr">
        <is>
          <t>CONTROLE PRODUÇÃO POR EMPRESAS!E321</t>
        </is>
      </c>
    </row>
    <row r="1896" ht="28.5" customHeight="1">
      <c r="A1896" s="317" t="n">
        <v>46538</v>
      </c>
      <c r="B1896" t="inlineStr">
        <is>
          <t>GERAL</t>
        </is>
      </c>
      <c r="C1896" t="inlineStr">
        <is>
          <t>CMM</t>
        </is>
      </c>
      <c r="D1896" t="inlineStr">
        <is>
          <t>IÇAMENTO JOIST</t>
        </is>
      </c>
      <c r="F1896" s="159">
        <f>IFERROR(INDEX('BASE METAS DIÁRIAS'!$N$2:$S$358,MATCH($A1896,'BASE METAS DIÁRIAS'!$A$2:$A$358,0),MOD(ROW()-2,6)+1),"")</f>
        <v/>
      </c>
      <c r="G1896" s="159">
        <f>IFERROR(IF(WEEKDAY($A1896,2)&lt;=INDEX('BASE METAS DIÁRIAS'!$H$2:$M$358,MATCH($A1896,'BASE METAS DIÁRIAS'!$A$2:$A$358,0),MOD(ROW()-2,6)+1),INDEX('BASE METAS DIÁRIAS'!$B$2:$G$358,MATCH($A1896,'BASE METAS DIÁRIAS'!$A$2:$A$358,0),MOD(ROW()-2,6)+1),""),"")</f>
        <v/>
      </c>
      <c r="H1896" s="159">
        <f>IFERROR(IF(INDEX('CONTROLE PRODUÇÃO POR EMPRESAS'!$B$6:$G$5000,MATCH($A1896,'CONTROLE PRODUÇÃO POR EMPRESAS'!$A$6:$A$5000,0),MOD(ROW()-2,6)+1)="","",IFERROR(1*INDEX('CONTROLE PRODUÇÃO POR EMPRESAS'!$B$6:$G$5000,MATCH($A1896,'CONTROLE PRODUÇÃO POR EMPRESAS'!$A$6:$A$5000,0),MOD(ROW()-2,6)+1),"")),"")</f>
        <v/>
      </c>
      <c r="I1896" s="159">
        <f>IF(OR(NOT(ISNUMBER(G1896)),NOT(ISNUMBER(H1896))),"",H1896-G1896)</f>
        <v/>
      </c>
      <c r="J1896" s="319">
        <f>IF(OR(NOT(ISNUMBER(G1896)),NOT(ISNUMBER(H1896)),G1896=0),"",I1896/G1896)</f>
        <v/>
      </c>
      <c r="K1896" s="319">
        <f>IF(OR(NOT(ISNUMBER(G1896)),NOT(ISNUMBER(H1896)),G1896=0),"",H1896/G1896)</f>
        <v/>
      </c>
      <c r="L1896">
        <f>IF(NOT(ISNUMBER(G1896)),"SEM META",IF(G1896=0,"SEM META",IF(NOT(ISNUMBER(H1896)),"SEM APONTAMENTO",IF(H1896&gt;=G1896,"VERDE",IF(H1896&gt;=G1896*0.9,"AMARELO","VERMELHO")))))</f>
        <v/>
      </c>
      <c r="M1896" s="162" t="n"/>
      <c r="N1896" s="162" t="n"/>
      <c r="O1896" s="162" t="n"/>
      <c r="P1896" s="162" t="n"/>
      <c r="Q1896" s="320" t="n"/>
      <c r="R1896" s="162" t="inlineStr">
        <is>
          <t>CONTROLE PRODUÇÃO POR EMPRESAS!F321</t>
        </is>
      </c>
    </row>
    <row r="1897" ht="28.5" customHeight="1">
      <c r="A1897" s="317" t="n">
        <v>46538</v>
      </c>
      <c r="B1897" t="inlineStr">
        <is>
          <t>GERAL</t>
        </is>
      </c>
      <c r="C1897" t="inlineStr">
        <is>
          <t>CMM</t>
        </is>
      </c>
      <c r="D1897" t="inlineStr">
        <is>
          <t>VIGAS</t>
        </is>
      </c>
      <c r="F1897" s="159">
        <f>IFERROR(INDEX('BASE METAS DIÁRIAS'!$N$2:$S$358,MATCH($A1897,'BASE METAS DIÁRIAS'!$A$2:$A$358,0),MOD(ROW()-2,6)+1),"")</f>
        <v/>
      </c>
      <c r="G1897" s="159">
        <f>IFERROR(IF(WEEKDAY($A1897,2)&lt;=INDEX('BASE METAS DIÁRIAS'!$H$2:$M$358,MATCH($A1897,'BASE METAS DIÁRIAS'!$A$2:$A$358,0),MOD(ROW()-2,6)+1),INDEX('BASE METAS DIÁRIAS'!$B$2:$G$358,MATCH($A1897,'BASE METAS DIÁRIAS'!$A$2:$A$358,0),MOD(ROW()-2,6)+1),""),"")</f>
        <v/>
      </c>
      <c r="H1897" s="159">
        <f>IFERROR(IF(INDEX('CONTROLE PRODUÇÃO POR EMPRESAS'!$B$6:$G$5000,MATCH($A1897,'CONTROLE PRODUÇÃO POR EMPRESAS'!$A$6:$A$5000,0),MOD(ROW()-2,6)+1)="","",IFERROR(1*INDEX('CONTROLE PRODUÇÃO POR EMPRESAS'!$B$6:$G$5000,MATCH($A1897,'CONTROLE PRODUÇÃO POR EMPRESAS'!$A$6:$A$5000,0),MOD(ROW()-2,6)+1),"")),"")</f>
        <v/>
      </c>
      <c r="I1897" s="159">
        <f>IF(OR(NOT(ISNUMBER(G1897)),NOT(ISNUMBER(H1897))),"",H1897-G1897)</f>
        <v/>
      </c>
      <c r="J1897" s="319">
        <f>IF(OR(NOT(ISNUMBER(G1897)),NOT(ISNUMBER(H1897)),G1897=0),"",I1897/G1897)</f>
        <v/>
      </c>
      <c r="K1897" s="319">
        <f>IF(OR(NOT(ISNUMBER(G1897)),NOT(ISNUMBER(H1897)),G1897=0),"",H1897/G1897)</f>
        <v/>
      </c>
      <c r="L1897">
        <f>IF(NOT(ISNUMBER(G1897)),"SEM META",IF(G1897=0,"SEM META",IF(NOT(ISNUMBER(H1897)),"SEM APONTAMENTO",IF(H1897&gt;=G1897,"VERDE",IF(H1897&gt;=G1897*0.9,"AMARELO","VERMELHO")))))</f>
        <v/>
      </c>
      <c r="M1897" s="162" t="n"/>
      <c r="N1897" s="162" t="n"/>
      <c r="O1897" s="162" t="n"/>
      <c r="P1897" s="162" t="n"/>
      <c r="Q1897" s="320" t="n"/>
      <c r="R1897" s="162" t="inlineStr">
        <is>
          <t>CONTROLE PRODUÇÃO POR EMPRESAS!G321</t>
        </is>
      </c>
    </row>
    <row r="1898" ht="28.5" customHeight="1">
      <c r="A1898" s="317" t="n">
        <v>46539</v>
      </c>
      <c r="B1898" t="inlineStr">
        <is>
          <t>GERAL</t>
        </is>
      </c>
      <c r="C1898" t="inlineStr">
        <is>
          <t>EJ</t>
        </is>
      </c>
      <c r="D1898" t="inlineStr">
        <is>
          <t>PREMONTAGEM</t>
        </is>
      </c>
      <c r="F1898" s="159">
        <f>IFERROR(INDEX('BASE METAS DIÁRIAS'!$N$2:$S$358,MATCH($A1898,'BASE METAS DIÁRIAS'!$A$2:$A$358,0),MOD(ROW()-2,6)+1),"")</f>
        <v/>
      </c>
      <c r="G1898" s="159">
        <f>IFERROR(IF(WEEKDAY($A1898,2)&lt;=INDEX('BASE METAS DIÁRIAS'!$H$2:$M$358,MATCH($A1898,'BASE METAS DIÁRIAS'!$A$2:$A$358,0),MOD(ROW()-2,6)+1),INDEX('BASE METAS DIÁRIAS'!$B$2:$G$358,MATCH($A1898,'BASE METAS DIÁRIAS'!$A$2:$A$358,0),MOD(ROW()-2,6)+1),""),"")</f>
        <v/>
      </c>
      <c r="H1898" s="159">
        <f>IFERROR(IF(INDEX('CONTROLE PRODUÇÃO POR EMPRESAS'!$B$6:$G$5000,MATCH($A1898,'CONTROLE PRODUÇÃO POR EMPRESAS'!$A$6:$A$5000,0),MOD(ROW()-2,6)+1)="","",IFERROR(1*INDEX('CONTROLE PRODUÇÃO POR EMPRESAS'!$B$6:$G$5000,MATCH($A1898,'CONTROLE PRODUÇÃO POR EMPRESAS'!$A$6:$A$5000,0),MOD(ROW()-2,6)+1),"")),"")</f>
        <v/>
      </c>
      <c r="I1898" s="159">
        <f>IF(OR(NOT(ISNUMBER(G1898)),NOT(ISNUMBER(H1898))),"",H1898-G1898)</f>
        <v/>
      </c>
      <c r="J1898" s="319">
        <f>IF(OR(NOT(ISNUMBER(G1898)),NOT(ISNUMBER(H1898)),G1898=0),"",I1898/G1898)</f>
        <v/>
      </c>
      <c r="K1898" s="319">
        <f>IF(OR(NOT(ISNUMBER(G1898)),NOT(ISNUMBER(H1898)),G1898=0),"",H1898/G1898)</f>
        <v/>
      </c>
      <c r="L1898">
        <f>IF(NOT(ISNUMBER(G1898)),"SEM META",IF(G1898=0,"SEM META",IF(NOT(ISNUMBER(H1898)),"SEM APONTAMENTO",IF(H1898&gt;=G1898,"VERDE",IF(H1898&gt;=G1898*0.9,"AMARELO","VERMELHO")))))</f>
        <v/>
      </c>
      <c r="M1898" s="162" t="n"/>
      <c r="N1898" s="162" t="n"/>
      <c r="O1898" s="162" t="n"/>
      <c r="P1898" s="162" t="n"/>
      <c r="Q1898" s="320" t="n"/>
      <c r="R1898" s="162" t="inlineStr">
        <is>
          <t>CONTROLE PRODUÇÃO POR EMPRESAS!B322</t>
        </is>
      </c>
    </row>
    <row r="1899" ht="28.5" customHeight="1">
      <c r="A1899" s="317" t="n">
        <v>46539</v>
      </c>
      <c r="B1899" t="inlineStr">
        <is>
          <t>GERAL</t>
        </is>
      </c>
      <c r="C1899" t="inlineStr">
        <is>
          <t>EJ</t>
        </is>
      </c>
      <c r="D1899" t="inlineStr">
        <is>
          <t>IÇAMENTO JOIST</t>
        </is>
      </c>
      <c r="F1899" s="159">
        <f>IFERROR(INDEX('BASE METAS DIÁRIAS'!$N$2:$S$358,MATCH($A1899,'BASE METAS DIÁRIAS'!$A$2:$A$358,0),MOD(ROW()-2,6)+1),"")</f>
        <v/>
      </c>
      <c r="G1899" s="159">
        <f>IFERROR(IF(WEEKDAY($A1899,2)&lt;=INDEX('BASE METAS DIÁRIAS'!$H$2:$M$358,MATCH($A1899,'BASE METAS DIÁRIAS'!$A$2:$A$358,0),MOD(ROW()-2,6)+1),INDEX('BASE METAS DIÁRIAS'!$B$2:$G$358,MATCH($A1899,'BASE METAS DIÁRIAS'!$A$2:$A$358,0),MOD(ROW()-2,6)+1),""),"")</f>
        <v/>
      </c>
      <c r="H1899" s="159">
        <f>IFERROR(IF(INDEX('CONTROLE PRODUÇÃO POR EMPRESAS'!$B$6:$G$5000,MATCH($A1899,'CONTROLE PRODUÇÃO POR EMPRESAS'!$A$6:$A$5000,0),MOD(ROW()-2,6)+1)="","",IFERROR(1*INDEX('CONTROLE PRODUÇÃO POR EMPRESAS'!$B$6:$G$5000,MATCH($A1899,'CONTROLE PRODUÇÃO POR EMPRESAS'!$A$6:$A$5000,0),MOD(ROW()-2,6)+1),"")),"")</f>
        <v/>
      </c>
      <c r="I1899" s="159">
        <f>IF(OR(NOT(ISNUMBER(G1899)),NOT(ISNUMBER(H1899))),"",H1899-G1899)</f>
        <v/>
      </c>
      <c r="J1899" s="319">
        <f>IF(OR(NOT(ISNUMBER(G1899)),NOT(ISNUMBER(H1899)),G1899=0),"",I1899/G1899)</f>
        <v/>
      </c>
      <c r="K1899" s="319">
        <f>IF(OR(NOT(ISNUMBER(G1899)),NOT(ISNUMBER(H1899)),G1899=0),"",H1899/G1899)</f>
        <v/>
      </c>
      <c r="L1899">
        <f>IF(NOT(ISNUMBER(G1899)),"SEM META",IF(G1899=0,"SEM META",IF(NOT(ISNUMBER(H1899)),"SEM APONTAMENTO",IF(H1899&gt;=G1899,"VERDE",IF(H1899&gt;=G1899*0.9,"AMARELO","VERMELHO")))))</f>
        <v/>
      </c>
      <c r="M1899" s="162" t="n"/>
      <c r="N1899" s="162" t="n"/>
      <c r="O1899" s="162" t="n"/>
      <c r="P1899" s="162" t="n"/>
      <c r="Q1899" s="320" t="n"/>
      <c r="R1899" s="162" t="inlineStr">
        <is>
          <t>CONTROLE PRODUÇÃO POR EMPRESAS!C322</t>
        </is>
      </c>
    </row>
    <row r="1900" ht="28.5" customHeight="1">
      <c r="A1900" s="317" t="n">
        <v>46539</v>
      </c>
      <c r="B1900" t="inlineStr">
        <is>
          <t>GERAL</t>
        </is>
      </c>
      <c r="C1900" t="inlineStr">
        <is>
          <t>EJ</t>
        </is>
      </c>
      <c r="D1900" t="inlineStr">
        <is>
          <t>VIGAS</t>
        </is>
      </c>
      <c r="F1900" s="159">
        <f>IFERROR(INDEX('BASE METAS DIÁRIAS'!$N$2:$S$358,MATCH($A1900,'BASE METAS DIÁRIAS'!$A$2:$A$358,0),MOD(ROW()-2,6)+1),"")</f>
        <v/>
      </c>
      <c r="G1900" s="159">
        <f>IFERROR(IF(WEEKDAY($A1900,2)&lt;=INDEX('BASE METAS DIÁRIAS'!$H$2:$M$358,MATCH($A1900,'BASE METAS DIÁRIAS'!$A$2:$A$358,0),MOD(ROW()-2,6)+1),INDEX('BASE METAS DIÁRIAS'!$B$2:$G$358,MATCH($A1900,'BASE METAS DIÁRIAS'!$A$2:$A$358,0),MOD(ROW()-2,6)+1),""),"")</f>
        <v/>
      </c>
      <c r="H1900" s="159">
        <f>IFERROR(IF(INDEX('CONTROLE PRODUÇÃO POR EMPRESAS'!$B$6:$G$5000,MATCH($A1900,'CONTROLE PRODUÇÃO POR EMPRESAS'!$A$6:$A$5000,0),MOD(ROW()-2,6)+1)="","",IFERROR(1*INDEX('CONTROLE PRODUÇÃO POR EMPRESAS'!$B$6:$G$5000,MATCH($A1900,'CONTROLE PRODUÇÃO POR EMPRESAS'!$A$6:$A$5000,0),MOD(ROW()-2,6)+1),"")),"")</f>
        <v/>
      </c>
      <c r="I1900" s="159">
        <f>IF(OR(NOT(ISNUMBER(G1900)),NOT(ISNUMBER(H1900))),"",H1900-G1900)</f>
        <v/>
      </c>
      <c r="J1900" s="319">
        <f>IF(OR(NOT(ISNUMBER(G1900)),NOT(ISNUMBER(H1900)),G1900=0),"",I1900/G1900)</f>
        <v/>
      </c>
      <c r="K1900" s="319">
        <f>IF(OR(NOT(ISNUMBER(G1900)),NOT(ISNUMBER(H1900)),G1900=0),"",H1900/G1900)</f>
        <v/>
      </c>
      <c r="L1900">
        <f>IF(NOT(ISNUMBER(G1900)),"SEM META",IF(G1900=0,"SEM META",IF(NOT(ISNUMBER(H1900)),"SEM APONTAMENTO",IF(H1900&gt;=G1900,"VERDE",IF(H1900&gt;=G1900*0.9,"AMARELO","VERMELHO")))))</f>
        <v/>
      </c>
      <c r="M1900" s="162" t="n"/>
      <c r="N1900" s="162" t="n"/>
      <c r="O1900" s="162" t="n"/>
      <c r="P1900" s="162" t="n"/>
      <c r="Q1900" s="320" t="n"/>
      <c r="R1900" s="162" t="inlineStr">
        <is>
          <t>CONTROLE PRODUÇÃO POR EMPRESAS!D322</t>
        </is>
      </c>
    </row>
    <row r="1901" ht="28.5" customHeight="1">
      <c r="A1901" s="317" t="n">
        <v>46539</v>
      </c>
      <c r="B1901" t="inlineStr">
        <is>
          <t>GERAL</t>
        </is>
      </c>
      <c r="C1901" t="inlineStr">
        <is>
          <t>CMM</t>
        </is>
      </c>
      <c r="D1901" t="inlineStr">
        <is>
          <t>PREMONTAGEM</t>
        </is>
      </c>
      <c r="F1901" s="159">
        <f>IFERROR(INDEX('BASE METAS DIÁRIAS'!$N$2:$S$358,MATCH($A1901,'BASE METAS DIÁRIAS'!$A$2:$A$358,0),MOD(ROW()-2,6)+1),"")</f>
        <v/>
      </c>
      <c r="G1901" s="159">
        <f>IFERROR(IF(WEEKDAY($A1901,2)&lt;=INDEX('BASE METAS DIÁRIAS'!$H$2:$M$358,MATCH($A1901,'BASE METAS DIÁRIAS'!$A$2:$A$358,0),MOD(ROW()-2,6)+1),INDEX('BASE METAS DIÁRIAS'!$B$2:$G$358,MATCH($A1901,'BASE METAS DIÁRIAS'!$A$2:$A$358,0),MOD(ROW()-2,6)+1),""),"")</f>
        <v/>
      </c>
      <c r="H1901" s="159">
        <f>IFERROR(IF(INDEX('CONTROLE PRODUÇÃO POR EMPRESAS'!$B$6:$G$5000,MATCH($A1901,'CONTROLE PRODUÇÃO POR EMPRESAS'!$A$6:$A$5000,0),MOD(ROW()-2,6)+1)="","",IFERROR(1*INDEX('CONTROLE PRODUÇÃO POR EMPRESAS'!$B$6:$G$5000,MATCH($A1901,'CONTROLE PRODUÇÃO POR EMPRESAS'!$A$6:$A$5000,0),MOD(ROW()-2,6)+1),"")),"")</f>
        <v/>
      </c>
      <c r="I1901" s="159">
        <f>IF(OR(NOT(ISNUMBER(G1901)),NOT(ISNUMBER(H1901))),"",H1901-G1901)</f>
        <v/>
      </c>
      <c r="J1901" s="319">
        <f>IF(OR(NOT(ISNUMBER(G1901)),NOT(ISNUMBER(H1901)),G1901=0),"",I1901/G1901)</f>
        <v/>
      </c>
      <c r="K1901" s="319">
        <f>IF(OR(NOT(ISNUMBER(G1901)),NOT(ISNUMBER(H1901)),G1901=0),"",H1901/G1901)</f>
        <v/>
      </c>
      <c r="L1901">
        <f>IF(NOT(ISNUMBER(G1901)),"SEM META",IF(G1901=0,"SEM META",IF(NOT(ISNUMBER(H1901)),"SEM APONTAMENTO",IF(H1901&gt;=G1901,"VERDE",IF(H1901&gt;=G1901*0.9,"AMARELO","VERMELHO")))))</f>
        <v/>
      </c>
      <c r="M1901" s="162" t="n"/>
      <c r="N1901" s="162" t="n"/>
      <c r="O1901" s="162" t="n"/>
      <c r="P1901" s="162" t="n"/>
      <c r="Q1901" s="320" t="n"/>
      <c r="R1901" s="162" t="inlineStr">
        <is>
          <t>CONTROLE PRODUÇÃO POR EMPRESAS!E322</t>
        </is>
      </c>
    </row>
    <row r="1902" ht="28.5" customHeight="1">
      <c r="A1902" s="317" t="n">
        <v>46539</v>
      </c>
      <c r="B1902" t="inlineStr">
        <is>
          <t>GERAL</t>
        </is>
      </c>
      <c r="C1902" t="inlineStr">
        <is>
          <t>CMM</t>
        </is>
      </c>
      <c r="D1902" t="inlineStr">
        <is>
          <t>IÇAMENTO JOIST</t>
        </is>
      </c>
      <c r="F1902" s="159">
        <f>IFERROR(INDEX('BASE METAS DIÁRIAS'!$N$2:$S$358,MATCH($A1902,'BASE METAS DIÁRIAS'!$A$2:$A$358,0),MOD(ROW()-2,6)+1),"")</f>
        <v/>
      </c>
      <c r="G1902" s="159">
        <f>IFERROR(IF(WEEKDAY($A1902,2)&lt;=INDEX('BASE METAS DIÁRIAS'!$H$2:$M$358,MATCH($A1902,'BASE METAS DIÁRIAS'!$A$2:$A$358,0),MOD(ROW()-2,6)+1),INDEX('BASE METAS DIÁRIAS'!$B$2:$G$358,MATCH($A1902,'BASE METAS DIÁRIAS'!$A$2:$A$358,0),MOD(ROW()-2,6)+1),""),"")</f>
        <v/>
      </c>
      <c r="H1902" s="159">
        <f>IFERROR(IF(INDEX('CONTROLE PRODUÇÃO POR EMPRESAS'!$B$6:$G$5000,MATCH($A1902,'CONTROLE PRODUÇÃO POR EMPRESAS'!$A$6:$A$5000,0),MOD(ROW()-2,6)+1)="","",IFERROR(1*INDEX('CONTROLE PRODUÇÃO POR EMPRESAS'!$B$6:$G$5000,MATCH($A1902,'CONTROLE PRODUÇÃO POR EMPRESAS'!$A$6:$A$5000,0),MOD(ROW()-2,6)+1),"")),"")</f>
        <v/>
      </c>
      <c r="I1902" s="159">
        <f>IF(OR(NOT(ISNUMBER(G1902)),NOT(ISNUMBER(H1902))),"",H1902-G1902)</f>
        <v/>
      </c>
      <c r="J1902" s="319">
        <f>IF(OR(NOT(ISNUMBER(G1902)),NOT(ISNUMBER(H1902)),G1902=0),"",I1902/G1902)</f>
        <v/>
      </c>
      <c r="K1902" s="319">
        <f>IF(OR(NOT(ISNUMBER(G1902)),NOT(ISNUMBER(H1902)),G1902=0),"",H1902/G1902)</f>
        <v/>
      </c>
      <c r="L1902">
        <f>IF(NOT(ISNUMBER(G1902)),"SEM META",IF(G1902=0,"SEM META",IF(NOT(ISNUMBER(H1902)),"SEM APONTAMENTO",IF(H1902&gt;=G1902,"VERDE",IF(H1902&gt;=G1902*0.9,"AMARELO","VERMELHO")))))</f>
        <v/>
      </c>
      <c r="M1902" s="162" t="n"/>
      <c r="N1902" s="162" t="n"/>
      <c r="O1902" s="162" t="n"/>
      <c r="P1902" s="162" t="n"/>
      <c r="Q1902" s="320" t="n"/>
      <c r="R1902" s="162" t="inlineStr">
        <is>
          <t>CONTROLE PRODUÇÃO POR EMPRESAS!F322</t>
        </is>
      </c>
    </row>
    <row r="1903" ht="28.5" customHeight="1">
      <c r="A1903" s="317" t="n">
        <v>46539</v>
      </c>
      <c r="B1903" t="inlineStr">
        <is>
          <t>GERAL</t>
        </is>
      </c>
      <c r="C1903" t="inlineStr">
        <is>
          <t>CMM</t>
        </is>
      </c>
      <c r="D1903" t="inlineStr">
        <is>
          <t>VIGAS</t>
        </is>
      </c>
      <c r="F1903" s="159">
        <f>IFERROR(INDEX('BASE METAS DIÁRIAS'!$N$2:$S$358,MATCH($A1903,'BASE METAS DIÁRIAS'!$A$2:$A$358,0),MOD(ROW()-2,6)+1),"")</f>
        <v/>
      </c>
      <c r="G1903" s="159">
        <f>IFERROR(IF(WEEKDAY($A1903,2)&lt;=INDEX('BASE METAS DIÁRIAS'!$H$2:$M$358,MATCH($A1903,'BASE METAS DIÁRIAS'!$A$2:$A$358,0),MOD(ROW()-2,6)+1),INDEX('BASE METAS DIÁRIAS'!$B$2:$G$358,MATCH($A1903,'BASE METAS DIÁRIAS'!$A$2:$A$358,0),MOD(ROW()-2,6)+1),""),"")</f>
        <v/>
      </c>
      <c r="H1903" s="159">
        <f>IFERROR(IF(INDEX('CONTROLE PRODUÇÃO POR EMPRESAS'!$B$6:$G$5000,MATCH($A1903,'CONTROLE PRODUÇÃO POR EMPRESAS'!$A$6:$A$5000,0),MOD(ROW()-2,6)+1)="","",IFERROR(1*INDEX('CONTROLE PRODUÇÃO POR EMPRESAS'!$B$6:$G$5000,MATCH($A1903,'CONTROLE PRODUÇÃO POR EMPRESAS'!$A$6:$A$5000,0),MOD(ROW()-2,6)+1),"")),"")</f>
        <v/>
      </c>
      <c r="I1903" s="159">
        <f>IF(OR(NOT(ISNUMBER(G1903)),NOT(ISNUMBER(H1903))),"",H1903-G1903)</f>
        <v/>
      </c>
      <c r="J1903" s="319">
        <f>IF(OR(NOT(ISNUMBER(G1903)),NOT(ISNUMBER(H1903)),G1903=0),"",I1903/G1903)</f>
        <v/>
      </c>
      <c r="K1903" s="319">
        <f>IF(OR(NOT(ISNUMBER(G1903)),NOT(ISNUMBER(H1903)),G1903=0),"",H1903/G1903)</f>
        <v/>
      </c>
      <c r="L1903">
        <f>IF(NOT(ISNUMBER(G1903)),"SEM META",IF(G1903=0,"SEM META",IF(NOT(ISNUMBER(H1903)),"SEM APONTAMENTO",IF(H1903&gt;=G1903,"VERDE",IF(H1903&gt;=G1903*0.9,"AMARELO","VERMELHO")))))</f>
        <v/>
      </c>
      <c r="M1903" s="162" t="n"/>
      <c r="N1903" s="162" t="n"/>
      <c r="O1903" s="162" t="n"/>
      <c r="P1903" s="162" t="n"/>
      <c r="Q1903" s="320" t="n"/>
      <c r="R1903" s="162" t="inlineStr">
        <is>
          <t>CONTROLE PRODUÇÃO POR EMPRESAS!G322</t>
        </is>
      </c>
    </row>
    <row r="1904" ht="28.5" customHeight="1">
      <c r="A1904" s="317" t="n">
        <v>46540</v>
      </c>
      <c r="B1904" t="inlineStr">
        <is>
          <t>GERAL</t>
        </is>
      </c>
      <c r="C1904" t="inlineStr">
        <is>
          <t>EJ</t>
        </is>
      </c>
      <c r="D1904" t="inlineStr">
        <is>
          <t>PREMONTAGEM</t>
        </is>
      </c>
      <c r="F1904" s="159">
        <f>IFERROR(INDEX('BASE METAS DIÁRIAS'!$N$2:$S$358,MATCH($A1904,'BASE METAS DIÁRIAS'!$A$2:$A$358,0),MOD(ROW()-2,6)+1),"")</f>
        <v/>
      </c>
      <c r="G1904" s="159">
        <f>IFERROR(IF(WEEKDAY($A1904,2)&lt;=INDEX('BASE METAS DIÁRIAS'!$H$2:$M$358,MATCH($A1904,'BASE METAS DIÁRIAS'!$A$2:$A$358,0),MOD(ROW()-2,6)+1),INDEX('BASE METAS DIÁRIAS'!$B$2:$G$358,MATCH($A1904,'BASE METAS DIÁRIAS'!$A$2:$A$358,0),MOD(ROW()-2,6)+1),""),"")</f>
        <v/>
      </c>
      <c r="H1904" s="159">
        <f>IFERROR(IF(INDEX('CONTROLE PRODUÇÃO POR EMPRESAS'!$B$6:$G$5000,MATCH($A1904,'CONTROLE PRODUÇÃO POR EMPRESAS'!$A$6:$A$5000,0),MOD(ROW()-2,6)+1)="","",IFERROR(1*INDEX('CONTROLE PRODUÇÃO POR EMPRESAS'!$B$6:$G$5000,MATCH($A1904,'CONTROLE PRODUÇÃO POR EMPRESAS'!$A$6:$A$5000,0),MOD(ROW()-2,6)+1),"")),"")</f>
        <v/>
      </c>
      <c r="I1904" s="159">
        <f>IF(OR(NOT(ISNUMBER(G1904)),NOT(ISNUMBER(H1904))),"",H1904-G1904)</f>
        <v/>
      </c>
      <c r="J1904" s="319">
        <f>IF(OR(NOT(ISNUMBER(G1904)),NOT(ISNUMBER(H1904)),G1904=0),"",I1904/G1904)</f>
        <v/>
      </c>
      <c r="K1904" s="319">
        <f>IF(OR(NOT(ISNUMBER(G1904)),NOT(ISNUMBER(H1904)),G1904=0),"",H1904/G1904)</f>
        <v/>
      </c>
      <c r="L1904">
        <f>IF(NOT(ISNUMBER(G1904)),"SEM META",IF(G1904=0,"SEM META",IF(NOT(ISNUMBER(H1904)),"SEM APONTAMENTO",IF(H1904&gt;=G1904,"VERDE",IF(H1904&gt;=G1904*0.9,"AMARELO","VERMELHO")))))</f>
        <v/>
      </c>
      <c r="M1904" s="162" t="n"/>
      <c r="N1904" s="162" t="n"/>
      <c r="O1904" s="162" t="n"/>
      <c r="P1904" s="162" t="n"/>
      <c r="Q1904" s="320" t="n"/>
      <c r="R1904" s="162" t="inlineStr">
        <is>
          <t>CONTROLE PRODUÇÃO POR EMPRESAS!B323</t>
        </is>
      </c>
    </row>
    <row r="1905" ht="28.5" customHeight="1">
      <c r="A1905" s="317" t="n">
        <v>46540</v>
      </c>
      <c r="B1905" t="inlineStr">
        <is>
          <t>GERAL</t>
        </is>
      </c>
      <c r="C1905" t="inlineStr">
        <is>
          <t>EJ</t>
        </is>
      </c>
      <c r="D1905" t="inlineStr">
        <is>
          <t>IÇAMENTO JOIST</t>
        </is>
      </c>
      <c r="F1905" s="159">
        <f>IFERROR(INDEX('BASE METAS DIÁRIAS'!$N$2:$S$358,MATCH($A1905,'BASE METAS DIÁRIAS'!$A$2:$A$358,0),MOD(ROW()-2,6)+1),"")</f>
        <v/>
      </c>
      <c r="G1905" s="159">
        <f>IFERROR(IF(WEEKDAY($A1905,2)&lt;=INDEX('BASE METAS DIÁRIAS'!$H$2:$M$358,MATCH($A1905,'BASE METAS DIÁRIAS'!$A$2:$A$358,0),MOD(ROW()-2,6)+1),INDEX('BASE METAS DIÁRIAS'!$B$2:$G$358,MATCH($A1905,'BASE METAS DIÁRIAS'!$A$2:$A$358,0),MOD(ROW()-2,6)+1),""),"")</f>
        <v/>
      </c>
      <c r="H1905" s="159">
        <f>IFERROR(IF(INDEX('CONTROLE PRODUÇÃO POR EMPRESAS'!$B$6:$G$5000,MATCH($A1905,'CONTROLE PRODUÇÃO POR EMPRESAS'!$A$6:$A$5000,0),MOD(ROW()-2,6)+1)="","",IFERROR(1*INDEX('CONTROLE PRODUÇÃO POR EMPRESAS'!$B$6:$G$5000,MATCH($A1905,'CONTROLE PRODUÇÃO POR EMPRESAS'!$A$6:$A$5000,0),MOD(ROW()-2,6)+1),"")),"")</f>
        <v/>
      </c>
      <c r="I1905" s="159">
        <f>IF(OR(NOT(ISNUMBER(G1905)),NOT(ISNUMBER(H1905))),"",H1905-G1905)</f>
        <v/>
      </c>
      <c r="J1905" s="319">
        <f>IF(OR(NOT(ISNUMBER(G1905)),NOT(ISNUMBER(H1905)),G1905=0),"",I1905/G1905)</f>
        <v/>
      </c>
      <c r="K1905" s="319">
        <f>IF(OR(NOT(ISNUMBER(G1905)),NOT(ISNUMBER(H1905)),G1905=0),"",H1905/G1905)</f>
        <v/>
      </c>
      <c r="L1905">
        <f>IF(NOT(ISNUMBER(G1905)),"SEM META",IF(G1905=0,"SEM META",IF(NOT(ISNUMBER(H1905)),"SEM APONTAMENTO",IF(H1905&gt;=G1905,"VERDE",IF(H1905&gt;=G1905*0.9,"AMARELO","VERMELHO")))))</f>
        <v/>
      </c>
      <c r="M1905" s="162" t="n"/>
      <c r="N1905" s="162" t="n"/>
      <c r="O1905" s="162" t="n"/>
      <c r="P1905" s="162" t="n"/>
      <c r="Q1905" s="320" t="n"/>
      <c r="R1905" s="162" t="inlineStr">
        <is>
          <t>CONTROLE PRODUÇÃO POR EMPRESAS!C323</t>
        </is>
      </c>
    </row>
    <row r="1906" ht="28.5" customHeight="1">
      <c r="A1906" s="317" t="n">
        <v>46540</v>
      </c>
      <c r="B1906" t="inlineStr">
        <is>
          <t>GERAL</t>
        </is>
      </c>
      <c r="C1906" t="inlineStr">
        <is>
          <t>EJ</t>
        </is>
      </c>
      <c r="D1906" t="inlineStr">
        <is>
          <t>VIGAS</t>
        </is>
      </c>
      <c r="F1906" s="159">
        <f>IFERROR(INDEX('BASE METAS DIÁRIAS'!$N$2:$S$358,MATCH($A1906,'BASE METAS DIÁRIAS'!$A$2:$A$358,0),MOD(ROW()-2,6)+1),"")</f>
        <v/>
      </c>
      <c r="G1906" s="159">
        <f>IFERROR(IF(WEEKDAY($A1906,2)&lt;=INDEX('BASE METAS DIÁRIAS'!$H$2:$M$358,MATCH($A1906,'BASE METAS DIÁRIAS'!$A$2:$A$358,0),MOD(ROW()-2,6)+1),INDEX('BASE METAS DIÁRIAS'!$B$2:$G$358,MATCH($A1906,'BASE METAS DIÁRIAS'!$A$2:$A$358,0),MOD(ROW()-2,6)+1),""),"")</f>
        <v/>
      </c>
      <c r="H1906" s="159">
        <f>IFERROR(IF(INDEX('CONTROLE PRODUÇÃO POR EMPRESAS'!$B$6:$G$5000,MATCH($A1906,'CONTROLE PRODUÇÃO POR EMPRESAS'!$A$6:$A$5000,0),MOD(ROW()-2,6)+1)="","",IFERROR(1*INDEX('CONTROLE PRODUÇÃO POR EMPRESAS'!$B$6:$G$5000,MATCH($A1906,'CONTROLE PRODUÇÃO POR EMPRESAS'!$A$6:$A$5000,0),MOD(ROW()-2,6)+1),"")),"")</f>
        <v/>
      </c>
      <c r="I1906" s="159">
        <f>IF(OR(NOT(ISNUMBER(G1906)),NOT(ISNUMBER(H1906))),"",H1906-G1906)</f>
        <v/>
      </c>
      <c r="J1906" s="319">
        <f>IF(OR(NOT(ISNUMBER(G1906)),NOT(ISNUMBER(H1906)),G1906=0),"",I1906/G1906)</f>
        <v/>
      </c>
      <c r="K1906" s="319">
        <f>IF(OR(NOT(ISNUMBER(G1906)),NOT(ISNUMBER(H1906)),G1906=0),"",H1906/G1906)</f>
        <v/>
      </c>
      <c r="L1906">
        <f>IF(NOT(ISNUMBER(G1906)),"SEM META",IF(G1906=0,"SEM META",IF(NOT(ISNUMBER(H1906)),"SEM APONTAMENTO",IF(H1906&gt;=G1906,"VERDE",IF(H1906&gt;=G1906*0.9,"AMARELO","VERMELHO")))))</f>
        <v/>
      </c>
      <c r="M1906" s="162" t="n"/>
      <c r="N1906" s="162" t="n"/>
      <c r="O1906" s="162" t="n"/>
      <c r="P1906" s="162" t="n"/>
      <c r="Q1906" s="320" t="n"/>
      <c r="R1906" s="162" t="inlineStr">
        <is>
          <t>CONTROLE PRODUÇÃO POR EMPRESAS!D323</t>
        </is>
      </c>
    </row>
    <row r="1907" ht="28.5" customHeight="1">
      <c r="A1907" s="317" t="n">
        <v>46540</v>
      </c>
      <c r="B1907" t="inlineStr">
        <is>
          <t>GERAL</t>
        </is>
      </c>
      <c r="C1907" t="inlineStr">
        <is>
          <t>CMM</t>
        </is>
      </c>
      <c r="D1907" t="inlineStr">
        <is>
          <t>PREMONTAGEM</t>
        </is>
      </c>
      <c r="F1907" s="159">
        <f>IFERROR(INDEX('BASE METAS DIÁRIAS'!$N$2:$S$358,MATCH($A1907,'BASE METAS DIÁRIAS'!$A$2:$A$358,0),MOD(ROW()-2,6)+1),"")</f>
        <v/>
      </c>
      <c r="G1907" s="159">
        <f>IFERROR(IF(WEEKDAY($A1907,2)&lt;=INDEX('BASE METAS DIÁRIAS'!$H$2:$M$358,MATCH($A1907,'BASE METAS DIÁRIAS'!$A$2:$A$358,0),MOD(ROW()-2,6)+1),INDEX('BASE METAS DIÁRIAS'!$B$2:$G$358,MATCH($A1907,'BASE METAS DIÁRIAS'!$A$2:$A$358,0),MOD(ROW()-2,6)+1),""),"")</f>
        <v/>
      </c>
      <c r="H1907" s="159">
        <f>IFERROR(IF(INDEX('CONTROLE PRODUÇÃO POR EMPRESAS'!$B$6:$G$5000,MATCH($A1907,'CONTROLE PRODUÇÃO POR EMPRESAS'!$A$6:$A$5000,0),MOD(ROW()-2,6)+1)="","",IFERROR(1*INDEX('CONTROLE PRODUÇÃO POR EMPRESAS'!$B$6:$G$5000,MATCH($A1907,'CONTROLE PRODUÇÃO POR EMPRESAS'!$A$6:$A$5000,0),MOD(ROW()-2,6)+1),"")),"")</f>
        <v/>
      </c>
      <c r="I1907" s="159">
        <f>IF(OR(NOT(ISNUMBER(G1907)),NOT(ISNUMBER(H1907))),"",H1907-G1907)</f>
        <v/>
      </c>
      <c r="J1907" s="319">
        <f>IF(OR(NOT(ISNUMBER(G1907)),NOT(ISNUMBER(H1907)),G1907=0),"",I1907/G1907)</f>
        <v/>
      </c>
      <c r="K1907" s="319">
        <f>IF(OR(NOT(ISNUMBER(G1907)),NOT(ISNUMBER(H1907)),G1907=0),"",H1907/G1907)</f>
        <v/>
      </c>
      <c r="L1907">
        <f>IF(NOT(ISNUMBER(G1907)),"SEM META",IF(G1907=0,"SEM META",IF(NOT(ISNUMBER(H1907)),"SEM APONTAMENTO",IF(H1907&gt;=G1907,"VERDE",IF(H1907&gt;=G1907*0.9,"AMARELO","VERMELHO")))))</f>
        <v/>
      </c>
      <c r="M1907" s="162" t="n"/>
      <c r="N1907" s="162" t="n"/>
      <c r="O1907" s="162" t="n"/>
      <c r="P1907" s="162" t="n"/>
      <c r="Q1907" s="320" t="n"/>
      <c r="R1907" s="162" t="inlineStr">
        <is>
          <t>CONTROLE PRODUÇÃO POR EMPRESAS!E323</t>
        </is>
      </c>
    </row>
    <row r="1908" ht="28.5" customHeight="1">
      <c r="A1908" s="317" t="n">
        <v>46540</v>
      </c>
      <c r="B1908" t="inlineStr">
        <is>
          <t>GERAL</t>
        </is>
      </c>
      <c r="C1908" t="inlineStr">
        <is>
          <t>CMM</t>
        </is>
      </c>
      <c r="D1908" t="inlineStr">
        <is>
          <t>IÇAMENTO JOIST</t>
        </is>
      </c>
      <c r="F1908" s="159">
        <f>IFERROR(INDEX('BASE METAS DIÁRIAS'!$N$2:$S$358,MATCH($A1908,'BASE METAS DIÁRIAS'!$A$2:$A$358,0),MOD(ROW()-2,6)+1),"")</f>
        <v/>
      </c>
      <c r="G1908" s="159">
        <f>IFERROR(IF(WEEKDAY($A1908,2)&lt;=INDEX('BASE METAS DIÁRIAS'!$H$2:$M$358,MATCH($A1908,'BASE METAS DIÁRIAS'!$A$2:$A$358,0),MOD(ROW()-2,6)+1),INDEX('BASE METAS DIÁRIAS'!$B$2:$G$358,MATCH($A1908,'BASE METAS DIÁRIAS'!$A$2:$A$358,0),MOD(ROW()-2,6)+1),""),"")</f>
        <v/>
      </c>
      <c r="H1908" s="159">
        <f>IFERROR(IF(INDEX('CONTROLE PRODUÇÃO POR EMPRESAS'!$B$6:$G$5000,MATCH($A1908,'CONTROLE PRODUÇÃO POR EMPRESAS'!$A$6:$A$5000,0),MOD(ROW()-2,6)+1)="","",IFERROR(1*INDEX('CONTROLE PRODUÇÃO POR EMPRESAS'!$B$6:$G$5000,MATCH($A1908,'CONTROLE PRODUÇÃO POR EMPRESAS'!$A$6:$A$5000,0),MOD(ROW()-2,6)+1),"")),"")</f>
        <v/>
      </c>
      <c r="I1908" s="159">
        <f>IF(OR(NOT(ISNUMBER(G1908)),NOT(ISNUMBER(H1908))),"",H1908-G1908)</f>
        <v/>
      </c>
      <c r="J1908" s="319">
        <f>IF(OR(NOT(ISNUMBER(G1908)),NOT(ISNUMBER(H1908)),G1908=0),"",I1908/G1908)</f>
        <v/>
      </c>
      <c r="K1908" s="319">
        <f>IF(OR(NOT(ISNUMBER(G1908)),NOT(ISNUMBER(H1908)),G1908=0),"",H1908/G1908)</f>
        <v/>
      </c>
      <c r="L1908">
        <f>IF(NOT(ISNUMBER(G1908)),"SEM META",IF(G1908=0,"SEM META",IF(NOT(ISNUMBER(H1908)),"SEM APONTAMENTO",IF(H1908&gt;=G1908,"VERDE",IF(H1908&gt;=G1908*0.9,"AMARELO","VERMELHO")))))</f>
        <v/>
      </c>
      <c r="M1908" s="162" t="n"/>
      <c r="N1908" s="162" t="n"/>
      <c r="O1908" s="162" t="n"/>
      <c r="P1908" s="162" t="n"/>
      <c r="Q1908" s="320" t="n"/>
      <c r="R1908" s="162" t="inlineStr">
        <is>
          <t>CONTROLE PRODUÇÃO POR EMPRESAS!F323</t>
        </is>
      </c>
    </row>
    <row r="1909" ht="28.5" customHeight="1">
      <c r="A1909" s="317" t="n">
        <v>46540</v>
      </c>
      <c r="B1909" t="inlineStr">
        <is>
          <t>GERAL</t>
        </is>
      </c>
      <c r="C1909" t="inlineStr">
        <is>
          <t>CMM</t>
        </is>
      </c>
      <c r="D1909" t="inlineStr">
        <is>
          <t>VIGAS</t>
        </is>
      </c>
      <c r="F1909" s="159">
        <f>IFERROR(INDEX('BASE METAS DIÁRIAS'!$N$2:$S$358,MATCH($A1909,'BASE METAS DIÁRIAS'!$A$2:$A$358,0),MOD(ROW()-2,6)+1),"")</f>
        <v/>
      </c>
      <c r="G1909" s="159">
        <f>IFERROR(IF(WEEKDAY($A1909,2)&lt;=INDEX('BASE METAS DIÁRIAS'!$H$2:$M$358,MATCH($A1909,'BASE METAS DIÁRIAS'!$A$2:$A$358,0),MOD(ROW()-2,6)+1),INDEX('BASE METAS DIÁRIAS'!$B$2:$G$358,MATCH($A1909,'BASE METAS DIÁRIAS'!$A$2:$A$358,0),MOD(ROW()-2,6)+1),""),"")</f>
        <v/>
      </c>
      <c r="H1909" s="159">
        <f>IFERROR(IF(INDEX('CONTROLE PRODUÇÃO POR EMPRESAS'!$B$6:$G$5000,MATCH($A1909,'CONTROLE PRODUÇÃO POR EMPRESAS'!$A$6:$A$5000,0),MOD(ROW()-2,6)+1)="","",IFERROR(1*INDEX('CONTROLE PRODUÇÃO POR EMPRESAS'!$B$6:$G$5000,MATCH($A1909,'CONTROLE PRODUÇÃO POR EMPRESAS'!$A$6:$A$5000,0),MOD(ROW()-2,6)+1),"")),"")</f>
        <v/>
      </c>
      <c r="I1909" s="159">
        <f>IF(OR(NOT(ISNUMBER(G1909)),NOT(ISNUMBER(H1909))),"",H1909-G1909)</f>
        <v/>
      </c>
      <c r="J1909" s="319">
        <f>IF(OR(NOT(ISNUMBER(G1909)),NOT(ISNUMBER(H1909)),G1909=0),"",I1909/G1909)</f>
        <v/>
      </c>
      <c r="K1909" s="319">
        <f>IF(OR(NOT(ISNUMBER(G1909)),NOT(ISNUMBER(H1909)),G1909=0),"",H1909/G1909)</f>
        <v/>
      </c>
      <c r="L1909">
        <f>IF(NOT(ISNUMBER(G1909)),"SEM META",IF(G1909=0,"SEM META",IF(NOT(ISNUMBER(H1909)),"SEM APONTAMENTO",IF(H1909&gt;=G1909,"VERDE",IF(H1909&gt;=G1909*0.9,"AMARELO","VERMELHO")))))</f>
        <v/>
      </c>
      <c r="M1909" s="162" t="n"/>
      <c r="N1909" s="162" t="n"/>
      <c r="O1909" s="162" t="n"/>
      <c r="P1909" s="162" t="n"/>
      <c r="Q1909" s="320" t="n"/>
      <c r="R1909" s="162" t="inlineStr">
        <is>
          <t>CONTROLE PRODUÇÃO POR EMPRESAS!G323</t>
        </is>
      </c>
    </row>
    <row r="1910" ht="28.5" customHeight="1">
      <c r="A1910" s="317" t="n">
        <v>46541</v>
      </c>
      <c r="B1910" t="inlineStr">
        <is>
          <t>GERAL</t>
        </is>
      </c>
      <c r="C1910" t="inlineStr">
        <is>
          <t>EJ</t>
        </is>
      </c>
      <c r="D1910" t="inlineStr">
        <is>
          <t>PREMONTAGEM</t>
        </is>
      </c>
      <c r="F1910" s="159">
        <f>IFERROR(INDEX('BASE METAS DIÁRIAS'!$N$2:$S$358,MATCH($A1910,'BASE METAS DIÁRIAS'!$A$2:$A$358,0),MOD(ROW()-2,6)+1),"")</f>
        <v/>
      </c>
      <c r="G1910" s="159">
        <f>IFERROR(IF(WEEKDAY($A1910,2)&lt;=INDEX('BASE METAS DIÁRIAS'!$H$2:$M$358,MATCH($A1910,'BASE METAS DIÁRIAS'!$A$2:$A$358,0),MOD(ROW()-2,6)+1),INDEX('BASE METAS DIÁRIAS'!$B$2:$G$358,MATCH($A1910,'BASE METAS DIÁRIAS'!$A$2:$A$358,0),MOD(ROW()-2,6)+1),""),"")</f>
        <v/>
      </c>
      <c r="H1910" s="159">
        <f>IFERROR(IF(INDEX('CONTROLE PRODUÇÃO POR EMPRESAS'!$B$6:$G$5000,MATCH($A1910,'CONTROLE PRODUÇÃO POR EMPRESAS'!$A$6:$A$5000,0),MOD(ROW()-2,6)+1)="","",IFERROR(1*INDEX('CONTROLE PRODUÇÃO POR EMPRESAS'!$B$6:$G$5000,MATCH($A1910,'CONTROLE PRODUÇÃO POR EMPRESAS'!$A$6:$A$5000,0),MOD(ROW()-2,6)+1),"")),"")</f>
        <v/>
      </c>
      <c r="I1910" s="159">
        <f>IF(OR(NOT(ISNUMBER(G1910)),NOT(ISNUMBER(H1910))),"",H1910-G1910)</f>
        <v/>
      </c>
      <c r="J1910" s="319">
        <f>IF(OR(NOT(ISNUMBER(G1910)),NOT(ISNUMBER(H1910)),G1910=0),"",I1910/G1910)</f>
        <v/>
      </c>
      <c r="K1910" s="319">
        <f>IF(OR(NOT(ISNUMBER(G1910)),NOT(ISNUMBER(H1910)),G1910=0),"",H1910/G1910)</f>
        <v/>
      </c>
      <c r="L1910">
        <f>IF(NOT(ISNUMBER(G1910)),"SEM META",IF(G1910=0,"SEM META",IF(NOT(ISNUMBER(H1910)),"SEM APONTAMENTO",IF(H1910&gt;=G1910,"VERDE",IF(H1910&gt;=G1910*0.9,"AMARELO","VERMELHO")))))</f>
        <v/>
      </c>
      <c r="M1910" s="162" t="n"/>
      <c r="N1910" s="162" t="n"/>
      <c r="O1910" s="162" t="n"/>
      <c r="P1910" s="162" t="n"/>
      <c r="Q1910" s="320" t="n"/>
      <c r="R1910" s="162" t="inlineStr">
        <is>
          <t>CONTROLE PRODUÇÃO POR EMPRESAS!B324</t>
        </is>
      </c>
    </row>
    <row r="1911" ht="28.5" customHeight="1">
      <c r="A1911" s="317" t="n">
        <v>46541</v>
      </c>
      <c r="B1911" t="inlineStr">
        <is>
          <t>GERAL</t>
        </is>
      </c>
      <c r="C1911" t="inlineStr">
        <is>
          <t>EJ</t>
        </is>
      </c>
      <c r="D1911" t="inlineStr">
        <is>
          <t>IÇAMENTO JOIST</t>
        </is>
      </c>
      <c r="F1911" s="159">
        <f>IFERROR(INDEX('BASE METAS DIÁRIAS'!$N$2:$S$358,MATCH($A1911,'BASE METAS DIÁRIAS'!$A$2:$A$358,0),MOD(ROW()-2,6)+1),"")</f>
        <v/>
      </c>
      <c r="G1911" s="159">
        <f>IFERROR(IF(WEEKDAY($A1911,2)&lt;=INDEX('BASE METAS DIÁRIAS'!$H$2:$M$358,MATCH($A1911,'BASE METAS DIÁRIAS'!$A$2:$A$358,0),MOD(ROW()-2,6)+1),INDEX('BASE METAS DIÁRIAS'!$B$2:$G$358,MATCH($A1911,'BASE METAS DIÁRIAS'!$A$2:$A$358,0),MOD(ROW()-2,6)+1),""),"")</f>
        <v/>
      </c>
      <c r="H1911" s="159">
        <f>IFERROR(IF(INDEX('CONTROLE PRODUÇÃO POR EMPRESAS'!$B$6:$G$5000,MATCH($A1911,'CONTROLE PRODUÇÃO POR EMPRESAS'!$A$6:$A$5000,0),MOD(ROW()-2,6)+1)="","",IFERROR(1*INDEX('CONTROLE PRODUÇÃO POR EMPRESAS'!$B$6:$G$5000,MATCH($A1911,'CONTROLE PRODUÇÃO POR EMPRESAS'!$A$6:$A$5000,0),MOD(ROW()-2,6)+1),"")),"")</f>
        <v/>
      </c>
      <c r="I1911" s="159">
        <f>IF(OR(NOT(ISNUMBER(G1911)),NOT(ISNUMBER(H1911))),"",H1911-G1911)</f>
        <v/>
      </c>
      <c r="J1911" s="319">
        <f>IF(OR(NOT(ISNUMBER(G1911)),NOT(ISNUMBER(H1911)),G1911=0),"",I1911/G1911)</f>
        <v/>
      </c>
      <c r="K1911" s="319">
        <f>IF(OR(NOT(ISNUMBER(G1911)),NOT(ISNUMBER(H1911)),G1911=0),"",H1911/G1911)</f>
        <v/>
      </c>
      <c r="L1911">
        <f>IF(NOT(ISNUMBER(G1911)),"SEM META",IF(G1911=0,"SEM META",IF(NOT(ISNUMBER(H1911)),"SEM APONTAMENTO",IF(H1911&gt;=G1911,"VERDE",IF(H1911&gt;=G1911*0.9,"AMARELO","VERMELHO")))))</f>
        <v/>
      </c>
      <c r="M1911" s="162" t="n"/>
      <c r="N1911" s="162" t="n"/>
      <c r="O1911" s="162" t="n"/>
      <c r="P1911" s="162" t="n"/>
      <c r="Q1911" s="320" t="n"/>
      <c r="R1911" s="162" t="inlineStr">
        <is>
          <t>CONTROLE PRODUÇÃO POR EMPRESAS!C324</t>
        </is>
      </c>
    </row>
    <row r="1912" ht="28.5" customHeight="1">
      <c r="A1912" s="317" t="n">
        <v>46541</v>
      </c>
      <c r="B1912" t="inlineStr">
        <is>
          <t>GERAL</t>
        </is>
      </c>
      <c r="C1912" t="inlineStr">
        <is>
          <t>EJ</t>
        </is>
      </c>
      <c r="D1912" t="inlineStr">
        <is>
          <t>VIGAS</t>
        </is>
      </c>
      <c r="F1912" s="159">
        <f>IFERROR(INDEX('BASE METAS DIÁRIAS'!$N$2:$S$358,MATCH($A1912,'BASE METAS DIÁRIAS'!$A$2:$A$358,0),MOD(ROW()-2,6)+1),"")</f>
        <v/>
      </c>
      <c r="G1912" s="159">
        <f>IFERROR(IF(WEEKDAY($A1912,2)&lt;=INDEX('BASE METAS DIÁRIAS'!$H$2:$M$358,MATCH($A1912,'BASE METAS DIÁRIAS'!$A$2:$A$358,0),MOD(ROW()-2,6)+1),INDEX('BASE METAS DIÁRIAS'!$B$2:$G$358,MATCH($A1912,'BASE METAS DIÁRIAS'!$A$2:$A$358,0),MOD(ROW()-2,6)+1),""),"")</f>
        <v/>
      </c>
      <c r="H1912" s="159">
        <f>IFERROR(IF(INDEX('CONTROLE PRODUÇÃO POR EMPRESAS'!$B$6:$G$5000,MATCH($A1912,'CONTROLE PRODUÇÃO POR EMPRESAS'!$A$6:$A$5000,0),MOD(ROW()-2,6)+1)="","",IFERROR(1*INDEX('CONTROLE PRODUÇÃO POR EMPRESAS'!$B$6:$G$5000,MATCH($A1912,'CONTROLE PRODUÇÃO POR EMPRESAS'!$A$6:$A$5000,0),MOD(ROW()-2,6)+1),"")),"")</f>
        <v/>
      </c>
      <c r="I1912" s="159">
        <f>IF(OR(NOT(ISNUMBER(G1912)),NOT(ISNUMBER(H1912))),"",H1912-G1912)</f>
        <v/>
      </c>
      <c r="J1912" s="319">
        <f>IF(OR(NOT(ISNUMBER(G1912)),NOT(ISNUMBER(H1912)),G1912=0),"",I1912/G1912)</f>
        <v/>
      </c>
      <c r="K1912" s="319">
        <f>IF(OR(NOT(ISNUMBER(G1912)),NOT(ISNUMBER(H1912)),G1912=0),"",H1912/G1912)</f>
        <v/>
      </c>
      <c r="L1912">
        <f>IF(NOT(ISNUMBER(G1912)),"SEM META",IF(G1912=0,"SEM META",IF(NOT(ISNUMBER(H1912)),"SEM APONTAMENTO",IF(H1912&gt;=G1912,"VERDE",IF(H1912&gt;=G1912*0.9,"AMARELO","VERMELHO")))))</f>
        <v/>
      </c>
      <c r="M1912" s="162" t="n"/>
      <c r="N1912" s="162" t="n"/>
      <c r="O1912" s="162" t="n"/>
      <c r="P1912" s="162" t="n"/>
      <c r="Q1912" s="320" t="n"/>
      <c r="R1912" s="162" t="inlineStr">
        <is>
          <t>CONTROLE PRODUÇÃO POR EMPRESAS!D324</t>
        </is>
      </c>
    </row>
    <row r="1913" ht="28.5" customHeight="1">
      <c r="A1913" s="317" t="n">
        <v>46541</v>
      </c>
      <c r="B1913" t="inlineStr">
        <is>
          <t>GERAL</t>
        </is>
      </c>
      <c r="C1913" t="inlineStr">
        <is>
          <t>CMM</t>
        </is>
      </c>
      <c r="D1913" t="inlineStr">
        <is>
          <t>PREMONTAGEM</t>
        </is>
      </c>
      <c r="F1913" s="159">
        <f>IFERROR(INDEX('BASE METAS DIÁRIAS'!$N$2:$S$358,MATCH($A1913,'BASE METAS DIÁRIAS'!$A$2:$A$358,0),MOD(ROW()-2,6)+1),"")</f>
        <v/>
      </c>
      <c r="G1913" s="159">
        <f>IFERROR(IF(WEEKDAY($A1913,2)&lt;=INDEX('BASE METAS DIÁRIAS'!$H$2:$M$358,MATCH($A1913,'BASE METAS DIÁRIAS'!$A$2:$A$358,0),MOD(ROW()-2,6)+1),INDEX('BASE METAS DIÁRIAS'!$B$2:$G$358,MATCH($A1913,'BASE METAS DIÁRIAS'!$A$2:$A$358,0),MOD(ROW()-2,6)+1),""),"")</f>
        <v/>
      </c>
      <c r="H1913" s="159">
        <f>IFERROR(IF(INDEX('CONTROLE PRODUÇÃO POR EMPRESAS'!$B$6:$G$5000,MATCH($A1913,'CONTROLE PRODUÇÃO POR EMPRESAS'!$A$6:$A$5000,0),MOD(ROW()-2,6)+1)="","",IFERROR(1*INDEX('CONTROLE PRODUÇÃO POR EMPRESAS'!$B$6:$G$5000,MATCH($A1913,'CONTROLE PRODUÇÃO POR EMPRESAS'!$A$6:$A$5000,0),MOD(ROW()-2,6)+1),"")),"")</f>
        <v/>
      </c>
      <c r="I1913" s="159">
        <f>IF(OR(NOT(ISNUMBER(G1913)),NOT(ISNUMBER(H1913))),"",H1913-G1913)</f>
        <v/>
      </c>
      <c r="J1913" s="319">
        <f>IF(OR(NOT(ISNUMBER(G1913)),NOT(ISNUMBER(H1913)),G1913=0),"",I1913/G1913)</f>
        <v/>
      </c>
      <c r="K1913" s="319">
        <f>IF(OR(NOT(ISNUMBER(G1913)),NOT(ISNUMBER(H1913)),G1913=0),"",H1913/G1913)</f>
        <v/>
      </c>
      <c r="L1913">
        <f>IF(NOT(ISNUMBER(G1913)),"SEM META",IF(G1913=0,"SEM META",IF(NOT(ISNUMBER(H1913)),"SEM APONTAMENTO",IF(H1913&gt;=G1913,"VERDE",IF(H1913&gt;=G1913*0.9,"AMARELO","VERMELHO")))))</f>
        <v/>
      </c>
      <c r="M1913" s="162" t="n"/>
      <c r="N1913" s="162" t="n"/>
      <c r="O1913" s="162" t="n"/>
      <c r="P1913" s="162" t="n"/>
      <c r="Q1913" s="320" t="n"/>
      <c r="R1913" s="162" t="inlineStr">
        <is>
          <t>CONTROLE PRODUÇÃO POR EMPRESAS!E324</t>
        </is>
      </c>
    </row>
    <row r="1914" ht="28.5" customHeight="1">
      <c r="A1914" s="317" t="n">
        <v>46541</v>
      </c>
      <c r="B1914" t="inlineStr">
        <is>
          <t>GERAL</t>
        </is>
      </c>
      <c r="C1914" t="inlineStr">
        <is>
          <t>CMM</t>
        </is>
      </c>
      <c r="D1914" t="inlineStr">
        <is>
          <t>IÇAMENTO JOIST</t>
        </is>
      </c>
      <c r="F1914" s="159">
        <f>IFERROR(INDEX('BASE METAS DIÁRIAS'!$N$2:$S$358,MATCH($A1914,'BASE METAS DIÁRIAS'!$A$2:$A$358,0),MOD(ROW()-2,6)+1),"")</f>
        <v/>
      </c>
      <c r="G1914" s="159">
        <f>IFERROR(IF(WEEKDAY($A1914,2)&lt;=INDEX('BASE METAS DIÁRIAS'!$H$2:$M$358,MATCH($A1914,'BASE METAS DIÁRIAS'!$A$2:$A$358,0),MOD(ROW()-2,6)+1),INDEX('BASE METAS DIÁRIAS'!$B$2:$G$358,MATCH($A1914,'BASE METAS DIÁRIAS'!$A$2:$A$358,0),MOD(ROW()-2,6)+1),""),"")</f>
        <v/>
      </c>
      <c r="H1914" s="159">
        <f>IFERROR(IF(INDEX('CONTROLE PRODUÇÃO POR EMPRESAS'!$B$6:$G$5000,MATCH($A1914,'CONTROLE PRODUÇÃO POR EMPRESAS'!$A$6:$A$5000,0),MOD(ROW()-2,6)+1)="","",IFERROR(1*INDEX('CONTROLE PRODUÇÃO POR EMPRESAS'!$B$6:$G$5000,MATCH($A1914,'CONTROLE PRODUÇÃO POR EMPRESAS'!$A$6:$A$5000,0),MOD(ROW()-2,6)+1),"")),"")</f>
        <v/>
      </c>
      <c r="I1914" s="159">
        <f>IF(OR(NOT(ISNUMBER(G1914)),NOT(ISNUMBER(H1914))),"",H1914-G1914)</f>
        <v/>
      </c>
      <c r="J1914" s="319">
        <f>IF(OR(NOT(ISNUMBER(G1914)),NOT(ISNUMBER(H1914)),G1914=0),"",I1914/G1914)</f>
        <v/>
      </c>
      <c r="K1914" s="319">
        <f>IF(OR(NOT(ISNUMBER(G1914)),NOT(ISNUMBER(H1914)),G1914=0),"",H1914/G1914)</f>
        <v/>
      </c>
      <c r="L1914">
        <f>IF(NOT(ISNUMBER(G1914)),"SEM META",IF(G1914=0,"SEM META",IF(NOT(ISNUMBER(H1914)),"SEM APONTAMENTO",IF(H1914&gt;=G1914,"VERDE",IF(H1914&gt;=G1914*0.9,"AMARELO","VERMELHO")))))</f>
        <v/>
      </c>
      <c r="M1914" s="162" t="n"/>
      <c r="N1914" s="162" t="n"/>
      <c r="O1914" s="162" t="n"/>
      <c r="P1914" s="162" t="n"/>
      <c r="Q1914" s="320" t="n"/>
      <c r="R1914" s="162" t="inlineStr">
        <is>
          <t>CONTROLE PRODUÇÃO POR EMPRESAS!F324</t>
        </is>
      </c>
    </row>
    <row r="1915" ht="28.5" customHeight="1">
      <c r="A1915" s="317" t="n">
        <v>46541</v>
      </c>
      <c r="B1915" t="inlineStr">
        <is>
          <t>GERAL</t>
        </is>
      </c>
      <c r="C1915" t="inlineStr">
        <is>
          <t>CMM</t>
        </is>
      </c>
      <c r="D1915" t="inlineStr">
        <is>
          <t>VIGAS</t>
        </is>
      </c>
      <c r="F1915" s="159">
        <f>IFERROR(INDEX('BASE METAS DIÁRIAS'!$N$2:$S$358,MATCH($A1915,'BASE METAS DIÁRIAS'!$A$2:$A$358,0),MOD(ROW()-2,6)+1),"")</f>
        <v/>
      </c>
      <c r="G1915" s="159">
        <f>IFERROR(IF(WEEKDAY($A1915,2)&lt;=INDEX('BASE METAS DIÁRIAS'!$H$2:$M$358,MATCH($A1915,'BASE METAS DIÁRIAS'!$A$2:$A$358,0),MOD(ROW()-2,6)+1),INDEX('BASE METAS DIÁRIAS'!$B$2:$G$358,MATCH($A1915,'BASE METAS DIÁRIAS'!$A$2:$A$358,0),MOD(ROW()-2,6)+1),""),"")</f>
        <v/>
      </c>
      <c r="H1915" s="159">
        <f>IFERROR(IF(INDEX('CONTROLE PRODUÇÃO POR EMPRESAS'!$B$6:$G$5000,MATCH($A1915,'CONTROLE PRODUÇÃO POR EMPRESAS'!$A$6:$A$5000,0),MOD(ROW()-2,6)+1)="","",IFERROR(1*INDEX('CONTROLE PRODUÇÃO POR EMPRESAS'!$B$6:$G$5000,MATCH($A1915,'CONTROLE PRODUÇÃO POR EMPRESAS'!$A$6:$A$5000,0),MOD(ROW()-2,6)+1),"")),"")</f>
        <v/>
      </c>
      <c r="I1915" s="159">
        <f>IF(OR(NOT(ISNUMBER(G1915)),NOT(ISNUMBER(H1915))),"",H1915-G1915)</f>
        <v/>
      </c>
      <c r="J1915" s="319">
        <f>IF(OR(NOT(ISNUMBER(G1915)),NOT(ISNUMBER(H1915)),G1915=0),"",I1915/G1915)</f>
        <v/>
      </c>
      <c r="K1915" s="319">
        <f>IF(OR(NOT(ISNUMBER(G1915)),NOT(ISNUMBER(H1915)),G1915=0),"",H1915/G1915)</f>
        <v/>
      </c>
      <c r="L1915">
        <f>IF(NOT(ISNUMBER(G1915)),"SEM META",IF(G1915=0,"SEM META",IF(NOT(ISNUMBER(H1915)),"SEM APONTAMENTO",IF(H1915&gt;=G1915,"VERDE",IF(H1915&gt;=G1915*0.9,"AMARELO","VERMELHO")))))</f>
        <v/>
      </c>
      <c r="M1915" s="162" t="n"/>
      <c r="N1915" s="162" t="n"/>
      <c r="O1915" s="162" t="n"/>
      <c r="P1915" s="162" t="n"/>
      <c r="Q1915" s="320" t="n"/>
      <c r="R1915" s="162" t="inlineStr">
        <is>
          <t>CONTROLE PRODUÇÃO POR EMPRESAS!G324</t>
        </is>
      </c>
    </row>
    <row r="1916" ht="28.5" customHeight="1">
      <c r="A1916" s="317" t="n">
        <v>46542</v>
      </c>
      <c r="B1916" t="inlineStr">
        <is>
          <t>GERAL</t>
        </is>
      </c>
      <c r="C1916" t="inlineStr">
        <is>
          <t>EJ</t>
        </is>
      </c>
      <c r="D1916" t="inlineStr">
        <is>
          <t>PREMONTAGEM</t>
        </is>
      </c>
      <c r="F1916" s="159">
        <f>IFERROR(INDEX('BASE METAS DIÁRIAS'!$N$2:$S$358,MATCH($A1916,'BASE METAS DIÁRIAS'!$A$2:$A$358,0),MOD(ROW()-2,6)+1),"")</f>
        <v/>
      </c>
      <c r="G1916" s="159">
        <f>IFERROR(IF(WEEKDAY($A1916,2)&lt;=INDEX('BASE METAS DIÁRIAS'!$H$2:$M$358,MATCH($A1916,'BASE METAS DIÁRIAS'!$A$2:$A$358,0),MOD(ROW()-2,6)+1),INDEX('BASE METAS DIÁRIAS'!$B$2:$G$358,MATCH($A1916,'BASE METAS DIÁRIAS'!$A$2:$A$358,0),MOD(ROW()-2,6)+1),""),"")</f>
        <v/>
      </c>
      <c r="H1916" s="159">
        <f>IFERROR(IF(INDEX('CONTROLE PRODUÇÃO POR EMPRESAS'!$B$6:$G$5000,MATCH($A1916,'CONTROLE PRODUÇÃO POR EMPRESAS'!$A$6:$A$5000,0),MOD(ROW()-2,6)+1)="","",IFERROR(1*INDEX('CONTROLE PRODUÇÃO POR EMPRESAS'!$B$6:$G$5000,MATCH($A1916,'CONTROLE PRODUÇÃO POR EMPRESAS'!$A$6:$A$5000,0),MOD(ROW()-2,6)+1),"")),"")</f>
        <v/>
      </c>
      <c r="I1916" s="159">
        <f>IF(OR(NOT(ISNUMBER(G1916)),NOT(ISNUMBER(H1916))),"",H1916-G1916)</f>
        <v/>
      </c>
      <c r="J1916" s="319">
        <f>IF(OR(NOT(ISNUMBER(G1916)),NOT(ISNUMBER(H1916)),G1916=0),"",I1916/G1916)</f>
        <v/>
      </c>
      <c r="K1916" s="319">
        <f>IF(OR(NOT(ISNUMBER(G1916)),NOT(ISNUMBER(H1916)),G1916=0),"",H1916/G1916)</f>
        <v/>
      </c>
      <c r="L1916">
        <f>IF(NOT(ISNUMBER(G1916)),"SEM META",IF(G1916=0,"SEM META",IF(NOT(ISNUMBER(H1916)),"SEM APONTAMENTO",IF(H1916&gt;=G1916,"VERDE",IF(H1916&gt;=G1916*0.9,"AMARELO","VERMELHO")))))</f>
        <v/>
      </c>
      <c r="M1916" s="162" t="n"/>
      <c r="N1916" s="162" t="n"/>
      <c r="O1916" s="162" t="n"/>
      <c r="P1916" s="162" t="n"/>
      <c r="Q1916" s="320" t="n"/>
      <c r="R1916" s="162" t="inlineStr">
        <is>
          <t>CONTROLE PRODUÇÃO POR EMPRESAS!B325</t>
        </is>
      </c>
    </row>
    <row r="1917" ht="28.5" customHeight="1">
      <c r="A1917" s="317" t="n">
        <v>46542</v>
      </c>
      <c r="B1917" t="inlineStr">
        <is>
          <t>GERAL</t>
        </is>
      </c>
      <c r="C1917" t="inlineStr">
        <is>
          <t>EJ</t>
        </is>
      </c>
      <c r="D1917" t="inlineStr">
        <is>
          <t>IÇAMENTO JOIST</t>
        </is>
      </c>
      <c r="F1917" s="159">
        <f>IFERROR(INDEX('BASE METAS DIÁRIAS'!$N$2:$S$358,MATCH($A1917,'BASE METAS DIÁRIAS'!$A$2:$A$358,0),MOD(ROW()-2,6)+1),"")</f>
        <v/>
      </c>
      <c r="G1917" s="159">
        <f>IFERROR(IF(WEEKDAY($A1917,2)&lt;=INDEX('BASE METAS DIÁRIAS'!$H$2:$M$358,MATCH($A1917,'BASE METAS DIÁRIAS'!$A$2:$A$358,0),MOD(ROW()-2,6)+1),INDEX('BASE METAS DIÁRIAS'!$B$2:$G$358,MATCH($A1917,'BASE METAS DIÁRIAS'!$A$2:$A$358,0),MOD(ROW()-2,6)+1),""),"")</f>
        <v/>
      </c>
      <c r="H1917" s="159">
        <f>IFERROR(IF(INDEX('CONTROLE PRODUÇÃO POR EMPRESAS'!$B$6:$G$5000,MATCH($A1917,'CONTROLE PRODUÇÃO POR EMPRESAS'!$A$6:$A$5000,0),MOD(ROW()-2,6)+1)="","",IFERROR(1*INDEX('CONTROLE PRODUÇÃO POR EMPRESAS'!$B$6:$G$5000,MATCH($A1917,'CONTROLE PRODUÇÃO POR EMPRESAS'!$A$6:$A$5000,0),MOD(ROW()-2,6)+1),"")),"")</f>
        <v/>
      </c>
      <c r="I1917" s="159">
        <f>IF(OR(NOT(ISNUMBER(G1917)),NOT(ISNUMBER(H1917))),"",H1917-G1917)</f>
        <v/>
      </c>
      <c r="J1917" s="319">
        <f>IF(OR(NOT(ISNUMBER(G1917)),NOT(ISNUMBER(H1917)),G1917=0),"",I1917/G1917)</f>
        <v/>
      </c>
      <c r="K1917" s="319">
        <f>IF(OR(NOT(ISNUMBER(G1917)),NOT(ISNUMBER(H1917)),G1917=0),"",H1917/G1917)</f>
        <v/>
      </c>
      <c r="L1917">
        <f>IF(NOT(ISNUMBER(G1917)),"SEM META",IF(G1917=0,"SEM META",IF(NOT(ISNUMBER(H1917)),"SEM APONTAMENTO",IF(H1917&gt;=G1917,"VERDE",IF(H1917&gt;=G1917*0.9,"AMARELO","VERMELHO")))))</f>
        <v/>
      </c>
      <c r="M1917" s="162" t="n"/>
      <c r="N1917" s="162" t="n"/>
      <c r="O1917" s="162" t="n"/>
      <c r="P1917" s="162" t="n"/>
      <c r="Q1917" s="320" t="n"/>
      <c r="R1917" s="162" t="inlineStr">
        <is>
          <t>CONTROLE PRODUÇÃO POR EMPRESAS!C325</t>
        </is>
      </c>
    </row>
    <row r="1918" ht="28.5" customHeight="1">
      <c r="A1918" s="317" t="n">
        <v>46542</v>
      </c>
      <c r="B1918" t="inlineStr">
        <is>
          <t>GERAL</t>
        </is>
      </c>
      <c r="C1918" t="inlineStr">
        <is>
          <t>EJ</t>
        </is>
      </c>
      <c r="D1918" t="inlineStr">
        <is>
          <t>VIGAS</t>
        </is>
      </c>
      <c r="F1918" s="159">
        <f>IFERROR(INDEX('BASE METAS DIÁRIAS'!$N$2:$S$358,MATCH($A1918,'BASE METAS DIÁRIAS'!$A$2:$A$358,0),MOD(ROW()-2,6)+1),"")</f>
        <v/>
      </c>
      <c r="G1918" s="159">
        <f>IFERROR(IF(WEEKDAY($A1918,2)&lt;=INDEX('BASE METAS DIÁRIAS'!$H$2:$M$358,MATCH($A1918,'BASE METAS DIÁRIAS'!$A$2:$A$358,0),MOD(ROW()-2,6)+1),INDEX('BASE METAS DIÁRIAS'!$B$2:$G$358,MATCH($A1918,'BASE METAS DIÁRIAS'!$A$2:$A$358,0),MOD(ROW()-2,6)+1),""),"")</f>
        <v/>
      </c>
      <c r="H1918" s="159">
        <f>IFERROR(IF(INDEX('CONTROLE PRODUÇÃO POR EMPRESAS'!$B$6:$G$5000,MATCH($A1918,'CONTROLE PRODUÇÃO POR EMPRESAS'!$A$6:$A$5000,0),MOD(ROW()-2,6)+1)="","",IFERROR(1*INDEX('CONTROLE PRODUÇÃO POR EMPRESAS'!$B$6:$G$5000,MATCH($A1918,'CONTROLE PRODUÇÃO POR EMPRESAS'!$A$6:$A$5000,0),MOD(ROW()-2,6)+1),"")),"")</f>
        <v/>
      </c>
      <c r="I1918" s="159">
        <f>IF(OR(NOT(ISNUMBER(G1918)),NOT(ISNUMBER(H1918))),"",H1918-G1918)</f>
        <v/>
      </c>
      <c r="J1918" s="319">
        <f>IF(OR(NOT(ISNUMBER(G1918)),NOT(ISNUMBER(H1918)),G1918=0),"",I1918/G1918)</f>
        <v/>
      </c>
      <c r="K1918" s="319">
        <f>IF(OR(NOT(ISNUMBER(G1918)),NOT(ISNUMBER(H1918)),G1918=0),"",H1918/G1918)</f>
        <v/>
      </c>
      <c r="L1918">
        <f>IF(NOT(ISNUMBER(G1918)),"SEM META",IF(G1918=0,"SEM META",IF(NOT(ISNUMBER(H1918)),"SEM APONTAMENTO",IF(H1918&gt;=G1918,"VERDE",IF(H1918&gt;=G1918*0.9,"AMARELO","VERMELHO")))))</f>
        <v/>
      </c>
      <c r="M1918" s="162" t="n"/>
      <c r="N1918" s="162" t="n"/>
      <c r="O1918" s="162" t="n"/>
      <c r="P1918" s="162" t="n"/>
      <c r="Q1918" s="320" t="n"/>
      <c r="R1918" s="162" t="inlineStr">
        <is>
          <t>CONTROLE PRODUÇÃO POR EMPRESAS!D325</t>
        </is>
      </c>
    </row>
    <row r="1919" ht="28.5" customHeight="1">
      <c r="A1919" s="317" t="n">
        <v>46542</v>
      </c>
      <c r="B1919" t="inlineStr">
        <is>
          <t>GERAL</t>
        </is>
      </c>
      <c r="C1919" t="inlineStr">
        <is>
          <t>CMM</t>
        </is>
      </c>
      <c r="D1919" t="inlineStr">
        <is>
          <t>PREMONTAGEM</t>
        </is>
      </c>
      <c r="F1919" s="159">
        <f>IFERROR(INDEX('BASE METAS DIÁRIAS'!$N$2:$S$358,MATCH($A1919,'BASE METAS DIÁRIAS'!$A$2:$A$358,0),MOD(ROW()-2,6)+1),"")</f>
        <v/>
      </c>
      <c r="G1919" s="159">
        <f>IFERROR(IF(WEEKDAY($A1919,2)&lt;=INDEX('BASE METAS DIÁRIAS'!$H$2:$M$358,MATCH($A1919,'BASE METAS DIÁRIAS'!$A$2:$A$358,0),MOD(ROW()-2,6)+1),INDEX('BASE METAS DIÁRIAS'!$B$2:$G$358,MATCH($A1919,'BASE METAS DIÁRIAS'!$A$2:$A$358,0),MOD(ROW()-2,6)+1),""),"")</f>
        <v/>
      </c>
      <c r="H1919" s="159">
        <f>IFERROR(IF(INDEX('CONTROLE PRODUÇÃO POR EMPRESAS'!$B$6:$G$5000,MATCH($A1919,'CONTROLE PRODUÇÃO POR EMPRESAS'!$A$6:$A$5000,0),MOD(ROW()-2,6)+1)="","",IFERROR(1*INDEX('CONTROLE PRODUÇÃO POR EMPRESAS'!$B$6:$G$5000,MATCH($A1919,'CONTROLE PRODUÇÃO POR EMPRESAS'!$A$6:$A$5000,0),MOD(ROW()-2,6)+1),"")),"")</f>
        <v/>
      </c>
      <c r="I1919" s="159">
        <f>IF(OR(NOT(ISNUMBER(G1919)),NOT(ISNUMBER(H1919))),"",H1919-G1919)</f>
        <v/>
      </c>
      <c r="J1919" s="319">
        <f>IF(OR(NOT(ISNUMBER(G1919)),NOT(ISNUMBER(H1919)),G1919=0),"",I1919/G1919)</f>
        <v/>
      </c>
      <c r="K1919" s="319">
        <f>IF(OR(NOT(ISNUMBER(G1919)),NOT(ISNUMBER(H1919)),G1919=0),"",H1919/G1919)</f>
        <v/>
      </c>
      <c r="L1919">
        <f>IF(NOT(ISNUMBER(G1919)),"SEM META",IF(G1919=0,"SEM META",IF(NOT(ISNUMBER(H1919)),"SEM APONTAMENTO",IF(H1919&gt;=G1919,"VERDE",IF(H1919&gt;=G1919*0.9,"AMARELO","VERMELHO")))))</f>
        <v/>
      </c>
      <c r="M1919" s="162" t="n"/>
      <c r="N1919" s="162" t="n"/>
      <c r="O1919" s="162" t="n"/>
      <c r="P1919" s="162" t="n"/>
      <c r="Q1919" s="320" t="n"/>
      <c r="R1919" s="162" t="inlineStr">
        <is>
          <t>CONTROLE PRODUÇÃO POR EMPRESAS!E325</t>
        </is>
      </c>
    </row>
    <row r="1920" ht="28.5" customHeight="1">
      <c r="A1920" s="317" t="n">
        <v>46542</v>
      </c>
      <c r="B1920" t="inlineStr">
        <is>
          <t>GERAL</t>
        </is>
      </c>
      <c r="C1920" t="inlineStr">
        <is>
          <t>CMM</t>
        </is>
      </c>
      <c r="D1920" t="inlineStr">
        <is>
          <t>IÇAMENTO JOIST</t>
        </is>
      </c>
      <c r="F1920" s="159">
        <f>IFERROR(INDEX('BASE METAS DIÁRIAS'!$N$2:$S$358,MATCH($A1920,'BASE METAS DIÁRIAS'!$A$2:$A$358,0),MOD(ROW()-2,6)+1),"")</f>
        <v/>
      </c>
      <c r="G1920" s="159">
        <f>IFERROR(IF(WEEKDAY($A1920,2)&lt;=INDEX('BASE METAS DIÁRIAS'!$H$2:$M$358,MATCH($A1920,'BASE METAS DIÁRIAS'!$A$2:$A$358,0),MOD(ROW()-2,6)+1),INDEX('BASE METAS DIÁRIAS'!$B$2:$G$358,MATCH($A1920,'BASE METAS DIÁRIAS'!$A$2:$A$358,0),MOD(ROW()-2,6)+1),""),"")</f>
        <v/>
      </c>
      <c r="H1920" s="159">
        <f>IFERROR(IF(INDEX('CONTROLE PRODUÇÃO POR EMPRESAS'!$B$6:$G$5000,MATCH($A1920,'CONTROLE PRODUÇÃO POR EMPRESAS'!$A$6:$A$5000,0),MOD(ROW()-2,6)+1)="","",IFERROR(1*INDEX('CONTROLE PRODUÇÃO POR EMPRESAS'!$B$6:$G$5000,MATCH($A1920,'CONTROLE PRODUÇÃO POR EMPRESAS'!$A$6:$A$5000,0),MOD(ROW()-2,6)+1),"")),"")</f>
        <v/>
      </c>
      <c r="I1920" s="159">
        <f>IF(OR(NOT(ISNUMBER(G1920)),NOT(ISNUMBER(H1920))),"",H1920-G1920)</f>
        <v/>
      </c>
      <c r="J1920" s="319">
        <f>IF(OR(NOT(ISNUMBER(G1920)),NOT(ISNUMBER(H1920)),G1920=0),"",I1920/G1920)</f>
        <v/>
      </c>
      <c r="K1920" s="319">
        <f>IF(OR(NOT(ISNUMBER(G1920)),NOT(ISNUMBER(H1920)),G1920=0),"",H1920/G1920)</f>
        <v/>
      </c>
      <c r="L1920">
        <f>IF(NOT(ISNUMBER(G1920)),"SEM META",IF(G1920=0,"SEM META",IF(NOT(ISNUMBER(H1920)),"SEM APONTAMENTO",IF(H1920&gt;=G1920,"VERDE",IF(H1920&gt;=G1920*0.9,"AMARELO","VERMELHO")))))</f>
        <v/>
      </c>
      <c r="M1920" s="162" t="n"/>
      <c r="N1920" s="162" t="n"/>
      <c r="O1920" s="162" t="n"/>
      <c r="P1920" s="162" t="n"/>
      <c r="Q1920" s="320" t="n"/>
      <c r="R1920" s="162" t="inlineStr">
        <is>
          <t>CONTROLE PRODUÇÃO POR EMPRESAS!F325</t>
        </is>
      </c>
    </row>
    <row r="1921" ht="28.5" customHeight="1">
      <c r="A1921" s="317" t="n">
        <v>46542</v>
      </c>
      <c r="B1921" t="inlineStr">
        <is>
          <t>GERAL</t>
        </is>
      </c>
      <c r="C1921" t="inlineStr">
        <is>
          <t>CMM</t>
        </is>
      </c>
      <c r="D1921" t="inlineStr">
        <is>
          <t>VIGAS</t>
        </is>
      </c>
      <c r="F1921" s="159">
        <f>IFERROR(INDEX('BASE METAS DIÁRIAS'!$N$2:$S$358,MATCH($A1921,'BASE METAS DIÁRIAS'!$A$2:$A$358,0),MOD(ROW()-2,6)+1),"")</f>
        <v/>
      </c>
      <c r="G1921" s="159">
        <f>IFERROR(IF(WEEKDAY($A1921,2)&lt;=INDEX('BASE METAS DIÁRIAS'!$H$2:$M$358,MATCH($A1921,'BASE METAS DIÁRIAS'!$A$2:$A$358,0),MOD(ROW()-2,6)+1),INDEX('BASE METAS DIÁRIAS'!$B$2:$G$358,MATCH($A1921,'BASE METAS DIÁRIAS'!$A$2:$A$358,0),MOD(ROW()-2,6)+1),""),"")</f>
        <v/>
      </c>
      <c r="H1921" s="159">
        <f>IFERROR(IF(INDEX('CONTROLE PRODUÇÃO POR EMPRESAS'!$B$6:$G$5000,MATCH($A1921,'CONTROLE PRODUÇÃO POR EMPRESAS'!$A$6:$A$5000,0),MOD(ROW()-2,6)+1)="","",IFERROR(1*INDEX('CONTROLE PRODUÇÃO POR EMPRESAS'!$B$6:$G$5000,MATCH($A1921,'CONTROLE PRODUÇÃO POR EMPRESAS'!$A$6:$A$5000,0),MOD(ROW()-2,6)+1),"")),"")</f>
        <v/>
      </c>
      <c r="I1921" s="159">
        <f>IF(OR(NOT(ISNUMBER(G1921)),NOT(ISNUMBER(H1921))),"",H1921-G1921)</f>
        <v/>
      </c>
      <c r="J1921" s="319">
        <f>IF(OR(NOT(ISNUMBER(G1921)),NOT(ISNUMBER(H1921)),G1921=0),"",I1921/G1921)</f>
        <v/>
      </c>
      <c r="K1921" s="319">
        <f>IF(OR(NOT(ISNUMBER(G1921)),NOT(ISNUMBER(H1921)),G1921=0),"",H1921/G1921)</f>
        <v/>
      </c>
      <c r="L1921">
        <f>IF(NOT(ISNUMBER(G1921)),"SEM META",IF(G1921=0,"SEM META",IF(NOT(ISNUMBER(H1921)),"SEM APONTAMENTO",IF(H1921&gt;=G1921,"VERDE",IF(H1921&gt;=G1921*0.9,"AMARELO","VERMELHO")))))</f>
        <v/>
      </c>
      <c r="M1921" s="162" t="n"/>
      <c r="N1921" s="162" t="n"/>
      <c r="O1921" s="162" t="n"/>
      <c r="P1921" s="162" t="n"/>
      <c r="Q1921" s="320" t="n"/>
      <c r="R1921" s="162" t="inlineStr">
        <is>
          <t>CONTROLE PRODUÇÃO POR EMPRESAS!G325</t>
        </is>
      </c>
    </row>
    <row r="1922" ht="28.5" customHeight="1">
      <c r="A1922" s="317" t="n">
        <v>46543</v>
      </c>
      <c r="B1922" t="inlineStr">
        <is>
          <t>GERAL</t>
        </is>
      </c>
      <c r="C1922" t="inlineStr">
        <is>
          <t>EJ</t>
        </is>
      </c>
      <c r="D1922" t="inlineStr">
        <is>
          <t>PREMONTAGEM</t>
        </is>
      </c>
      <c r="F1922" s="159">
        <f>IFERROR(INDEX('BASE METAS DIÁRIAS'!$N$2:$S$358,MATCH($A1922,'BASE METAS DIÁRIAS'!$A$2:$A$358,0),MOD(ROW()-2,6)+1),"")</f>
        <v/>
      </c>
      <c r="G1922" s="159">
        <f>IFERROR(IF(WEEKDAY($A1922,2)&lt;=INDEX('BASE METAS DIÁRIAS'!$H$2:$M$358,MATCH($A1922,'BASE METAS DIÁRIAS'!$A$2:$A$358,0),MOD(ROW()-2,6)+1),INDEX('BASE METAS DIÁRIAS'!$B$2:$G$358,MATCH($A1922,'BASE METAS DIÁRIAS'!$A$2:$A$358,0),MOD(ROW()-2,6)+1),""),"")</f>
        <v/>
      </c>
      <c r="H1922" s="159">
        <f>IFERROR(IF(INDEX('CONTROLE PRODUÇÃO POR EMPRESAS'!$B$6:$G$5000,MATCH($A1922,'CONTROLE PRODUÇÃO POR EMPRESAS'!$A$6:$A$5000,0),MOD(ROW()-2,6)+1)="","",IFERROR(1*INDEX('CONTROLE PRODUÇÃO POR EMPRESAS'!$B$6:$G$5000,MATCH($A1922,'CONTROLE PRODUÇÃO POR EMPRESAS'!$A$6:$A$5000,0),MOD(ROW()-2,6)+1),"")),"")</f>
        <v/>
      </c>
      <c r="I1922" s="159">
        <f>IF(OR(NOT(ISNUMBER(G1922)),NOT(ISNUMBER(H1922))),"",H1922-G1922)</f>
        <v/>
      </c>
      <c r="J1922" s="319">
        <f>IF(OR(NOT(ISNUMBER(G1922)),NOT(ISNUMBER(H1922)),G1922=0),"",I1922/G1922)</f>
        <v/>
      </c>
      <c r="K1922" s="319">
        <f>IF(OR(NOT(ISNUMBER(G1922)),NOT(ISNUMBER(H1922)),G1922=0),"",H1922/G1922)</f>
        <v/>
      </c>
      <c r="L1922">
        <f>IF(NOT(ISNUMBER(G1922)),"SEM META",IF(G1922=0,"SEM META",IF(NOT(ISNUMBER(H1922)),"SEM APONTAMENTO",IF(H1922&gt;=G1922,"VERDE",IF(H1922&gt;=G1922*0.9,"AMARELO","VERMELHO")))))</f>
        <v/>
      </c>
      <c r="M1922" s="162" t="n"/>
      <c r="N1922" s="162" t="n"/>
      <c r="O1922" s="162" t="n"/>
      <c r="P1922" s="162" t="n"/>
      <c r="Q1922" s="320" t="n"/>
      <c r="R1922" s="162" t="inlineStr">
        <is>
          <t>CONTROLE PRODUÇÃO POR EMPRESAS!B326</t>
        </is>
      </c>
    </row>
    <row r="1923" ht="28.5" customHeight="1">
      <c r="A1923" s="317" t="n">
        <v>46543</v>
      </c>
      <c r="B1923" t="inlineStr">
        <is>
          <t>GERAL</t>
        </is>
      </c>
      <c r="C1923" t="inlineStr">
        <is>
          <t>EJ</t>
        </is>
      </c>
      <c r="D1923" t="inlineStr">
        <is>
          <t>IÇAMENTO JOIST</t>
        </is>
      </c>
      <c r="F1923" s="159">
        <f>IFERROR(INDEX('BASE METAS DIÁRIAS'!$N$2:$S$358,MATCH($A1923,'BASE METAS DIÁRIAS'!$A$2:$A$358,0),MOD(ROW()-2,6)+1),"")</f>
        <v/>
      </c>
      <c r="G1923" s="159">
        <f>IFERROR(IF(WEEKDAY($A1923,2)&lt;=INDEX('BASE METAS DIÁRIAS'!$H$2:$M$358,MATCH($A1923,'BASE METAS DIÁRIAS'!$A$2:$A$358,0),MOD(ROW()-2,6)+1),INDEX('BASE METAS DIÁRIAS'!$B$2:$G$358,MATCH($A1923,'BASE METAS DIÁRIAS'!$A$2:$A$358,0),MOD(ROW()-2,6)+1),""),"")</f>
        <v/>
      </c>
      <c r="H1923" s="159">
        <f>IFERROR(IF(INDEX('CONTROLE PRODUÇÃO POR EMPRESAS'!$B$6:$G$5000,MATCH($A1923,'CONTROLE PRODUÇÃO POR EMPRESAS'!$A$6:$A$5000,0),MOD(ROW()-2,6)+1)="","",IFERROR(1*INDEX('CONTROLE PRODUÇÃO POR EMPRESAS'!$B$6:$G$5000,MATCH($A1923,'CONTROLE PRODUÇÃO POR EMPRESAS'!$A$6:$A$5000,0),MOD(ROW()-2,6)+1),"")),"")</f>
        <v/>
      </c>
      <c r="I1923" s="159">
        <f>IF(OR(NOT(ISNUMBER(G1923)),NOT(ISNUMBER(H1923))),"",H1923-G1923)</f>
        <v/>
      </c>
      <c r="J1923" s="319">
        <f>IF(OR(NOT(ISNUMBER(G1923)),NOT(ISNUMBER(H1923)),G1923=0),"",I1923/G1923)</f>
        <v/>
      </c>
      <c r="K1923" s="319">
        <f>IF(OR(NOT(ISNUMBER(G1923)),NOT(ISNUMBER(H1923)),G1923=0),"",H1923/G1923)</f>
        <v/>
      </c>
      <c r="L1923">
        <f>IF(NOT(ISNUMBER(G1923)),"SEM META",IF(G1923=0,"SEM META",IF(NOT(ISNUMBER(H1923)),"SEM APONTAMENTO",IF(H1923&gt;=G1923,"VERDE",IF(H1923&gt;=G1923*0.9,"AMARELO","VERMELHO")))))</f>
        <v/>
      </c>
      <c r="M1923" s="162" t="n"/>
      <c r="N1923" s="162" t="n"/>
      <c r="O1923" s="162" t="n"/>
      <c r="P1923" s="162" t="n"/>
      <c r="Q1923" s="320" t="n"/>
      <c r="R1923" s="162" t="inlineStr">
        <is>
          <t>CONTROLE PRODUÇÃO POR EMPRESAS!C326</t>
        </is>
      </c>
    </row>
    <row r="1924" ht="28.5" customHeight="1">
      <c r="A1924" s="317" t="n">
        <v>46543</v>
      </c>
      <c r="B1924" t="inlineStr">
        <is>
          <t>GERAL</t>
        </is>
      </c>
      <c r="C1924" t="inlineStr">
        <is>
          <t>EJ</t>
        </is>
      </c>
      <c r="D1924" t="inlineStr">
        <is>
          <t>VIGAS</t>
        </is>
      </c>
      <c r="F1924" s="159">
        <f>IFERROR(INDEX('BASE METAS DIÁRIAS'!$N$2:$S$358,MATCH($A1924,'BASE METAS DIÁRIAS'!$A$2:$A$358,0),MOD(ROW()-2,6)+1),"")</f>
        <v/>
      </c>
      <c r="G1924" s="159">
        <f>IFERROR(IF(WEEKDAY($A1924,2)&lt;=INDEX('BASE METAS DIÁRIAS'!$H$2:$M$358,MATCH($A1924,'BASE METAS DIÁRIAS'!$A$2:$A$358,0),MOD(ROW()-2,6)+1),INDEX('BASE METAS DIÁRIAS'!$B$2:$G$358,MATCH($A1924,'BASE METAS DIÁRIAS'!$A$2:$A$358,0),MOD(ROW()-2,6)+1),""),"")</f>
        <v/>
      </c>
      <c r="H1924" s="159">
        <f>IFERROR(IF(INDEX('CONTROLE PRODUÇÃO POR EMPRESAS'!$B$6:$G$5000,MATCH($A1924,'CONTROLE PRODUÇÃO POR EMPRESAS'!$A$6:$A$5000,0),MOD(ROW()-2,6)+1)="","",IFERROR(1*INDEX('CONTROLE PRODUÇÃO POR EMPRESAS'!$B$6:$G$5000,MATCH($A1924,'CONTROLE PRODUÇÃO POR EMPRESAS'!$A$6:$A$5000,0),MOD(ROW()-2,6)+1),"")),"")</f>
        <v/>
      </c>
      <c r="I1924" s="159">
        <f>IF(OR(NOT(ISNUMBER(G1924)),NOT(ISNUMBER(H1924))),"",H1924-G1924)</f>
        <v/>
      </c>
      <c r="J1924" s="319">
        <f>IF(OR(NOT(ISNUMBER(G1924)),NOT(ISNUMBER(H1924)),G1924=0),"",I1924/G1924)</f>
        <v/>
      </c>
      <c r="K1924" s="319">
        <f>IF(OR(NOT(ISNUMBER(G1924)),NOT(ISNUMBER(H1924)),G1924=0),"",H1924/G1924)</f>
        <v/>
      </c>
      <c r="L1924">
        <f>IF(NOT(ISNUMBER(G1924)),"SEM META",IF(G1924=0,"SEM META",IF(NOT(ISNUMBER(H1924)),"SEM APONTAMENTO",IF(H1924&gt;=G1924,"VERDE",IF(H1924&gt;=G1924*0.9,"AMARELO","VERMELHO")))))</f>
        <v/>
      </c>
      <c r="M1924" s="162" t="n"/>
      <c r="N1924" s="162" t="n"/>
      <c r="O1924" s="162" t="n"/>
      <c r="P1924" s="162" t="n"/>
      <c r="Q1924" s="320" t="n"/>
      <c r="R1924" s="162" t="inlineStr">
        <is>
          <t>CONTROLE PRODUÇÃO POR EMPRESAS!D326</t>
        </is>
      </c>
    </row>
    <row r="1925" ht="28.5" customHeight="1">
      <c r="A1925" s="317" t="n">
        <v>46543</v>
      </c>
      <c r="B1925" t="inlineStr">
        <is>
          <t>GERAL</t>
        </is>
      </c>
      <c r="C1925" t="inlineStr">
        <is>
          <t>CMM</t>
        </is>
      </c>
      <c r="D1925" t="inlineStr">
        <is>
          <t>PREMONTAGEM</t>
        </is>
      </c>
      <c r="F1925" s="159">
        <f>IFERROR(INDEX('BASE METAS DIÁRIAS'!$N$2:$S$358,MATCH($A1925,'BASE METAS DIÁRIAS'!$A$2:$A$358,0),MOD(ROW()-2,6)+1),"")</f>
        <v/>
      </c>
      <c r="G1925" s="159">
        <f>IFERROR(IF(WEEKDAY($A1925,2)&lt;=INDEX('BASE METAS DIÁRIAS'!$H$2:$M$358,MATCH($A1925,'BASE METAS DIÁRIAS'!$A$2:$A$358,0),MOD(ROW()-2,6)+1),INDEX('BASE METAS DIÁRIAS'!$B$2:$G$358,MATCH($A1925,'BASE METAS DIÁRIAS'!$A$2:$A$358,0),MOD(ROW()-2,6)+1),""),"")</f>
        <v/>
      </c>
      <c r="H1925" s="159">
        <f>IFERROR(IF(INDEX('CONTROLE PRODUÇÃO POR EMPRESAS'!$B$6:$G$5000,MATCH($A1925,'CONTROLE PRODUÇÃO POR EMPRESAS'!$A$6:$A$5000,0),MOD(ROW()-2,6)+1)="","",IFERROR(1*INDEX('CONTROLE PRODUÇÃO POR EMPRESAS'!$B$6:$G$5000,MATCH($A1925,'CONTROLE PRODUÇÃO POR EMPRESAS'!$A$6:$A$5000,0),MOD(ROW()-2,6)+1),"")),"")</f>
        <v/>
      </c>
      <c r="I1925" s="159">
        <f>IF(OR(NOT(ISNUMBER(G1925)),NOT(ISNUMBER(H1925))),"",H1925-G1925)</f>
        <v/>
      </c>
      <c r="J1925" s="319">
        <f>IF(OR(NOT(ISNUMBER(G1925)),NOT(ISNUMBER(H1925)),G1925=0),"",I1925/G1925)</f>
        <v/>
      </c>
      <c r="K1925" s="319">
        <f>IF(OR(NOT(ISNUMBER(G1925)),NOT(ISNUMBER(H1925)),G1925=0),"",H1925/G1925)</f>
        <v/>
      </c>
      <c r="L1925">
        <f>IF(NOT(ISNUMBER(G1925)),"SEM META",IF(G1925=0,"SEM META",IF(NOT(ISNUMBER(H1925)),"SEM APONTAMENTO",IF(H1925&gt;=G1925,"VERDE",IF(H1925&gt;=G1925*0.9,"AMARELO","VERMELHO")))))</f>
        <v/>
      </c>
      <c r="M1925" s="162" t="n"/>
      <c r="N1925" s="162" t="n"/>
      <c r="O1925" s="162" t="n"/>
      <c r="P1925" s="162" t="n"/>
      <c r="Q1925" s="320" t="n"/>
      <c r="R1925" s="162" t="inlineStr">
        <is>
          <t>CONTROLE PRODUÇÃO POR EMPRESAS!E326</t>
        </is>
      </c>
    </row>
    <row r="1926" ht="28.5" customHeight="1">
      <c r="A1926" s="317" t="n">
        <v>46543</v>
      </c>
      <c r="B1926" t="inlineStr">
        <is>
          <t>GERAL</t>
        </is>
      </c>
      <c r="C1926" t="inlineStr">
        <is>
          <t>CMM</t>
        </is>
      </c>
      <c r="D1926" t="inlineStr">
        <is>
          <t>IÇAMENTO JOIST</t>
        </is>
      </c>
      <c r="F1926" s="159">
        <f>IFERROR(INDEX('BASE METAS DIÁRIAS'!$N$2:$S$358,MATCH($A1926,'BASE METAS DIÁRIAS'!$A$2:$A$358,0),MOD(ROW()-2,6)+1),"")</f>
        <v/>
      </c>
      <c r="G1926" s="159">
        <f>IFERROR(IF(WEEKDAY($A1926,2)&lt;=INDEX('BASE METAS DIÁRIAS'!$H$2:$M$358,MATCH($A1926,'BASE METAS DIÁRIAS'!$A$2:$A$358,0),MOD(ROW()-2,6)+1),INDEX('BASE METAS DIÁRIAS'!$B$2:$G$358,MATCH($A1926,'BASE METAS DIÁRIAS'!$A$2:$A$358,0),MOD(ROW()-2,6)+1),""),"")</f>
        <v/>
      </c>
      <c r="H1926" s="159">
        <f>IFERROR(IF(INDEX('CONTROLE PRODUÇÃO POR EMPRESAS'!$B$6:$G$5000,MATCH($A1926,'CONTROLE PRODUÇÃO POR EMPRESAS'!$A$6:$A$5000,0),MOD(ROW()-2,6)+1)="","",IFERROR(1*INDEX('CONTROLE PRODUÇÃO POR EMPRESAS'!$B$6:$G$5000,MATCH($A1926,'CONTROLE PRODUÇÃO POR EMPRESAS'!$A$6:$A$5000,0),MOD(ROW()-2,6)+1),"")),"")</f>
        <v/>
      </c>
      <c r="I1926" s="159">
        <f>IF(OR(NOT(ISNUMBER(G1926)),NOT(ISNUMBER(H1926))),"",H1926-G1926)</f>
        <v/>
      </c>
      <c r="J1926" s="319">
        <f>IF(OR(NOT(ISNUMBER(G1926)),NOT(ISNUMBER(H1926)),G1926=0),"",I1926/G1926)</f>
        <v/>
      </c>
      <c r="K1926" s="319">
        <f>IF(OR(NOT(ISNUMBER(G1926)),NOT(ISNUMBER(H1926)),G1926=0),"",H1926/G1926)</f>
        <v/>
      </c>
      <c r="L1926">
        <f>IF(NOT(ISNUMBER(G1926)),"SEM META",IF(G1926=0,"SEM META",IF(NOT(ISNUMBER(H1926)),"SEM APONTAMENTO",IF(H1926&gt;=G1926,"VERDE",IF(H1926&gt;=G1926*0.9,"AMARELO","VERMELHO")))))</f>
        <v/>
      </c>
      <c r="M1926" s="162" t="n"/>
      <c r="N1926" s="162" t="n"/>
      <c r="O1926" s="162" t="n"/>
      <c r="P1926" s="162" t="n"/>
      <c r="Q1926" s="320" t="n"/>
      <c r="R1926" s="162" t="inlineStr">
        <is>
          <t>CONTROLE PRODUÇÃO POR EMPRESAS!F326</t>
        </is>
      </c>
    </row>
    <row r="1927" ht="28.5" customHeight="1">
      <c r="A1927" s="317" t="n">
        <v>46543</v>
      </c>
      <c r="B1927" t="inlineStr">
        <is>
          <t>GERAL</t>
        </is>
      </c>
      <c r="C1927" t="inlineStr">
        <is>
          <t>CMM</t>
        </is>
      </c>
      <c r="D1927" t="inlineStr">
        <is>
          <t>VIGAS</t>
        </is>
      </c>
      <c r="F1927" s="159">
        <f>IFERROR(INDEX('BASE METAS DIÁRIAS'!$N$2:$S$358,MATCH($A1927,'BASE METAS DIÁRIAS'!$A$2:$A$358,0),MOD(ROW()-2,6)+1),"")</f>
        <v/>
      </c>
      <c r="G1927" s="159">
        <f>IFERROR(IF(WEEKDAY($A1927,2)&lt;=INDEX('BASE METAS DIÁRIAS'!$H$2:$M$358,MATCH($A1927,'BASE METAS DIÁRIAS'!$A$2:$A$358,0),MOD(ROW()-2,6)+1),INDEX('BASE METAS DIÁRIAS'!$B$2:$G$358,MATCH($A1927,'BASE METAS DIÁRIAS'!$A$2:$A$358,0),MOD(ROW()-2,6)+1),""),"")</f>
        <v/>
      </c>
      <c r="H1927" s="159">
        <f>IFERROR(IF(INDEX('CONTROLE PRODUÇÃO POR EMPRESAS'!$B$6:$G$5000,MATCH($A1927,'CONTROLE PRODUÇÃO POR EMPRESAS'!$A$6:$A$5000,0),MOD(ROW()-2,6)+1)="","",IFERROR(1*INDEX('CONTROLE PRODUÇÃO POR EMPRESAS'!$B$6:$G$5000,MATCH($A1927,'CONTROLE PRODUÇÃO POR EMPRESAS'!$A$6:$A$5000,0),MOD(ROW()-2,6)+1),"")),"")</f>
        <v/>
      </c>
      <c r="I1927" s="159">
        <f>IF(OR(NOT(ISNUMBER(G1927)),NOT(ISNUMBER(H1927))),"",H1927-G1927)</f>
        <v/>
      </c>
      <c r="J1927" s="319">
        <f>IF(OR(NOT(ISNUMBER(G1927)),NOT(ISNUMBER(H1927)),G1927=0),"",I1927/G1927)</f>
        <v/>
      </c>
      <c r="K1927" s="319">
        <f>IF(OR(NOT(ISNUMBER(G1927)),NOT(ISNUMBER(H1927)),G1927=0),"",H1927/G1927)</f>
        <v/>
      </c>
      <c r="L1927">
        <f>IF(NOT(ISNUMBER(G1927)),"SEM META",IF(G1927=0,"SEM META",IF(NOT(ISNUMBER(H1927)),"SEM APONTAMENTO",IF(H1927&gt;=G1927,"VERDE",IF(H1927&gt;=G1927*0.9,"AMARELO","VERMELHO")))))</f>
        <v/>
      </c>
      <c r="M1927" s="162" t="n"/>
      <c r="N1927" s="162" t="n"/>
      <c r="O1927" s="162" t="n"/>
      <c r="P1927" s="162" t="n"/>
      <c r="Q1927" s="320" t="n"/>
      <c r="R1927" s="162" t="inlineStr">
        <is>
          <t>CONTROLE PRODUÇÃO POR EMPRESAS!G326</t>
        </is>
      </c>
    </row>
    <row r="1928" ht="28.5" customHeight="1">
      <c r="A1928" s="317" t="n">
        <v>46544</v>
      </c>
      <c r="B1928" t="inlineStr">
        <is>
          <t>GERAL</t>
        </is>
      </c>
      <c r="C1928" t="inlineStr">
        <is>
          <t>EJ</t>
        </is>
      </c>
      <c r="D1928" t="inlineStr">
        <is>
          <t>PREMONTAGEM</t>
        </is>
      </c>
      <c r="F1928" s="159">
        <f>IFERROR(INDEX('BASE METAS DIÁRIAS'!$N$2:$S$358,MATCH($A1928,'BASE METAS DIÁRIAS'!$A$2:$A$358,0),MOD(ROW()-2,6)+1),"")</f>
        <v/>
      </c>
      <c r="G1928" s="159">
        <f>IFERROR(IF(WEEKDAY($A1928,2)&lt;=INDEX('BASE METAS DIÁRIAS'!$H$2:$M$358,MATCH($A1928,'BASE METAS DIÁRIAS'!$A$2:$A$358,0),MOD(ROW()-2,6)+1),INDEX('BASE METAS DIÁRIAS'!$B$2:$G$358,MATCH($A1928,'BASE METAS DIÁRIAS'!$A$2:$A$358,0),MOD(ROW()-2,6)+1),""),"")</f>
        <v/>
      </c>
      <c r="H1928" s="159">
        <f>IFERROR(IF(INDEX('CONTROLE PRODUÇÃO POR EMPRESAS'!$B$6:$G$5000,MATCH($A1928,'CONTROLE PRODUÇÃO POR EMPRESAS'!$A$6:$A$5000,0),MOD(ROW()-2,6)+1)="","",IFERROR(1*INDEX('CONTROLE PRODUÇÃO POR EMPRESAS'!$B$6:$G$5000,MATCH($A1928,'CONTROLE PRODUÇÃO POR EMPRESAS'!$A$6:$A$5000,0),MOD(ROW()-2,6)+1),"")),"")</f>
        <v/>
      </c>
      <c r="I1928" s="159">
        <f>IF(OR(NOT(ISNUMBER(G1928)),NOT(ISNUMBER(H1928))),"",H1928-G1928)</f>
        <v/>
      </c>
      <c r="J1928" s="319">
        <f>IF(OR(NOT(ISNUMBER(G1928)),NOT(ISNUMBER(H1928)),G1928=0),"",I1928/G1928)</f>
        <v/>
      </c>
      <c r="K1928" s="319">
        <f>IF(OR(NOT(ISNUMBER(G1928)),NOT(ISNUMBER(H1928)),G1928=0),"",H1928/G1928)</f>
        <v/>
      </c>
      <c r="L1928">
        <f>IF(NOT(ISNUMBER(G1928)),"SEM META",IF(G1928=0,"SEM META",IF(NOT(ISNUMBER(H1928)),"SEM APONTAMENTO",IF(H1928&gt;=G1928,"VERDE",IF(H1928&gt;=G1928*0.9,"AMARELO","VERMELHO")))))</f>
        <v/>
      </c>
      <c r="M1928" s="162" t="n"/>
      <c r="N1928" s="162" t="n"/>
      <c r="O1928" s="162" t="n"/>
      <c r="P1928" s="162" t="n"/>
      <c r="Q1928" s="320" t="n"/>
      <c r="R1928" s="162" t="inlineStr">
        <is>
          <t>CONTROLE PRODUÇÃO POR EMPRESAS!B327</t>
        </is>
      </c>
    </row>
    <row r="1929" ht="28.5" customHeight="1">
      <c r="A1929" s="317" t="n">
        <v>46544</v>
      </c>
      <c r="B1929" t="inlineStr">
        <is>
          <t>GERAL</t>
        </is>
      </c>
      <c r="C1929" t="inlineStr">
        <is>
          <t>EJ</t>
        </is>
      </c>
      <c r="D1929" t="inlineStr">
        <is>
          <t>IÇAMENTO JOIST</t>
        </is>
      </c>
      <c r="F1929" s="159">
        <f>IFERROR(INDEX('BASE METAS DIÁRIAS'!$N$2:$S$358,MATCH($A1929,'BASE METAS DIÁRIAS'!$A$2:$A$358,0),MOD(ROW()-2,6)+1),"")</f>
        <v/>
      </c>
      <c r="G1929" s="159">
        <f>IFERROR(IF(WEEKDAY($A1929,2)&lt;=INDEX('BASE METAS DIÁRIAS'!$H$2:$M$358,MATCH($A1929,'BASE METAS DIÁRIAS'!$A$2:$A$358,0),MOD(ROW()-2,6)+1),INDEX('BASE METAS DIÁRIAS'!$B$2:$G$358,MATCH($A1929,'BASE METAS DIÁRIAS'!$A$2:$A$358,0),MOD(ROW()-2,6)+1),""),"")</f>
        <v/>
      </c>
      <c r="H1929" s="159">
        <f>IFERROR(IF(INDEX('CONTROLE PRODUÇÃO POR EMPRESAS'!$B$6:$G$5000,MATCH($A1929,'CONTROLE PRODUÇÃO POR EMPRESAS'!$A$6:$A$5000,0),MOD(ROW()-2,6)+1)="","",IFERROR(1*INDEX('CONTROLE PRODUÇÃO POR EMPRESAS'!$B$6:$G$5000,MATCH($A1929,'CONTROLE PRODUÇÃO POR EMPRESAS'!$A$6:$A$5000,0),MOD(ROW()-2,6)+1),"")),"")</f>
        <v/>
      </c>
      <c r="I1929" s="159">
        <f>IF(OR(NOT(ISNUMBER(G1929)),NOT(ISNUMBER(H1929))),"",H1929-G1929)</f>
        <v/>
      </c>
      <c r="J1929" s="319">
        <f>IF(OR(NOT(ISNUMBER(G1929)),NOT(ISNUMBER(H1929)),G1929=0),"",I1929/G1929)</f>
        <v/>
      </c>
      <c r="K1929" s="319">
        <f>IF(OR(NOT(ISNUMBER(G1929)),NOT(ISNUMBER(H1929)),G1929=0),"",H1929/G1929)</f>
        <v/>
      </c>
      <c r="L1929">
        <f>IF(NOT(ISNUMBER(G1929)),"SEM META",IF(G1929=0,"SEM META",IF(NOT(ISNUMBER(H1929)),"SEM APONTAMENTO",IF(H1929&gt;=G1929,"VERDE",IF(H1929&gt;=G1929*0.9,"AMARELO","VERMELHO")))))</f>
        <v/>
      </c>
      <c r="M1929" s="162" t="n"/>
      <c r="N1929" s="162" t="n"/>
      <c r="O1929" s="162" t="n"/>
      <c r="P1929" s="162" t="n"/>
      <c r="Q1929" s="320" t="n"/>
      <c r="R1929" s="162" t="inlineStr">
        <is>
          <t>CONTROLE PRODUÇÃO POR EMPRESAS!C327</t>
        </is>
      </c>
    </row>
    <row r="1930" ht="28.5" customHeight="1">
      <c r="A1930" s="317" t="n">
        <v>46544</v>
      </c>
      <c r="B1930" t="inlineStr">
        <is>
          <t>GERAL</t>
        </is>
      </c>
      <c r="C1930" t="inlineStr">
        <is>
          <t>EJ</t>
        </is>
      </c>
      <c r="D1930" t="inlineStr">
        <is>
          <t>VIGAS</t>
        </is>
      </c>
      <c r="F1930" s="159">
        <f>IFERROR(INDEX('BASE METAS DIÁRIAS'!$N$2:$S$358,MATCH($A1930,'BASE METAS DIÁRIAS'!$A$2:$A$358,0),MOD(ROW()-2,6)+1),"")</f>
        <v/>
      </c>
      <c r="G1930" s="159">
        <f>IFERROR(IF(WEEKDAY($A1930,2)&lt;=INDEX('BASE METAS DIÁRIAS'!$H$2:$M$358,MATCH($A1930,'BASE METAS DIÁRIAS'!$A$2:$A$358,0),MOD(ROW()-2,6)+1),INDEX('BASE METAS DIÁRIAS'!$B$2:$G$358,MATCH($A1930,'BASE METAS DIÁRIAS'!$A$2:$A$358,0),MOD(ROW()-2,6)+1),""),"")</f>
        <v/>
      </c>
      <c r="H1930" s="159">
        <f>IFERROR(IF(INDEX('CONTROLE PRODUÇÃO POR EMPRESAS'!$B$6:$G$5000,MATCH($A1930,'CONTROLE PRODUÇÃO POR EMPRESAS'!$A$6:$A$5000,0),MOD(ROW()-2,6)+1)="","",IFERROR(1*INDEX('CONTROLE PRODUÇÃO POR EMPRESAS'!$B$6:$G$5000,MATCH($A1930,'CONTROLE PRODUÇÃO POR EMPRESAS'!$A$6:$A$5000,0),MOD(ROW()-2,6)+1),"")),"")</f>
        <v/>
      </c>
      <c r="I1930" s="159">
        <f>IF(OR(NOT(ISNUMBER(G1930)),NOT(ISNUMBER(H1930))),"",H1930-G1930)</f>
        <v/>
      </c>
      <c r="J1930" s="319">
        <f>IF(OR(NOT(ISNUMBER(G1930)),NOT(ISNUMBER(H1930)),G1930=0),"",I1930/G1930)</f>
        <v/>
      </c>
      <c r="K1930" s="319">
        <f>IF(OR(NOT(ISNUMBER(G1930)),NOT(ISNUMBER(H1930)),G1930=0),"",H1930/G1930)</f>
        <v/>
      </c>
      <c r="L1930">
        <f>IF(NOT(ISNUMBER(G1930)),"SEM META",IF(G1930=0,"SEM META",IF(NOT(ISNUMBER(H1930)),"SEM APONTAMENTO",IF(H1930&gt;=G1930,"VERDE",IF(H1930&gt;=G1930*0.9,"AMARELO","VERMELHO")))))</f>
        <v/>
      </c>
      <c r="M1930" s="162" t="n"/>
      <c r="N1930" s="162" t="n"/>
      <c r="O1930" s="162" t="n"/>
      <c r="P1930" s="162" t="n"/>
      <c r="Q1930" s="320" t="n"/>
      <c r="R1930" s="162" t="inlineStr">
        <is>
          <t>CONTROLE PRODUÇÃO POR EMPRESAS!D327</t>
        </is>
      </c>
    </row>
    <row r="1931" ht="28.5" customHeight="1">
      <c r="A1931" s="317" t="n">
        <v>46544</v>
      </c>
      <c r="B1931" t="inlineStr">
        <is>
          <t>GERAL</t>
        </is>
      </c>
      <c r="C1931" t="inlineStr">
        <is>
          <t>CMM</t>
        </is>
      </c>
      <c r="D1931" t="inlineStr">
        <is>
          <t>PREMONTAGEM</t>
        </is>
      </c>
      <c r="F1931" s="159">
        <f>IFERROR(INDEX('BASE METAS DIÁRIAS'!$N$2:$S$358,MATCH($A1931,'BASE METAS DIÁRIAS'!$A$2:$A$358,0),MOD(ROW()-2,6)+1),"")</f>
        <v/>
      </c>
      <c r="G1931" s="159">
        <f>IFERROR(IF(WEEKDAY($A1931,2)&lt;=INDEX('BASE METAS DIÁRIAS'!$H$2:$M$358,MATCH($A1931,'BASE METAS DIÁRIAS'!$A$2:$A$358,0),MOD(ROW()-2,6)+1),INDEX('BASE METAS DIÁRIAS'!$B$2:$G$358,MATCH($A1931,'BASE METAS DIÁRIAS'!$A$2:$A$358,0),MOD(ROW()-2,6)+1),""),"")</f>
        <v/>
      </c>
      <c r="H1931" s="159">
        <f>IFERROR(IF(INDEX('CONTROLE PRODUÇÃO POR EMPRESAS'!$B$6:$G$5000,MATCH($A1931,'CONTROLE PRODUÇÃO POR EMPRESAS'!$A$6:$A$5000,0),MOD(ROW()-2,6)+1)="","",IFERROR(1*INDEX('CONTROLE PRODUÇÃO POR EMPRESAS'!$B$6:$G$5000,MATCH($A1931,'CONTROLE PRODUÇÃO POR EMPRESAS'!$A$6:$A$5000,0),MOD(ROW()-2,6)+1),"")),"")</f>
        <v/>
      </c>
      <c r="I1931" s="159">
        <f>IF(OR(NOT(ISNUMBER(G1931)),NOT(ISNUMBER(H1931))),"",H1931-G1931)</f>
        <v/>
      </c>
      <c r="J1931" s="319">
        <f>IF(OR(NOT(ISNUMBER(G1931)),NOT(ISNUMBER(H1931)),G1931=0),"",I1931/G1931)</f>
        <v/>
      </c>
      <c r="K1931" s="319">
        <f>IF(OR(NOT(ISNUMBER(G1931)),NOT(ISNUMBER(H1931)),G1931=0),"",H1931/G1931)</f>
        <v/>
      </c>
      <c r="L1931">
        <f>IF(NOT(ISNUMBER(G1931)),"SEM META",IF(G1931=0,"SEM META",IF(NOT(ISNUMBER(H1931)),"SEM APONTAMENTO",IF(H1931&gt;=G1931,"VERDE",IF(H1931&gt;=G1931*0.9,"AMARELO","VERMELHO")))))</f>
        <v/>
      </c>
      <c r="M1931" s="162" t="n"/>
      <c r="N1931" s="162" t="n"/>
      <c r="O1931" s="162" t="n"/>
      <c r="P1931" s="162" t="n"/>
      <c r="Q1931" s="320" t="n"/>
      <c r="R1931" s="162" t="inlineStr">
        <is>
          <t>CONTROLE PRODUÇÃO POR EMPRESAS!E327</t>
        </is>
      </c>
    </row>
    <row r="1932" ht="28.5" customHeight="1">
      <c r="A1932" s="317" t="n">
        <v>46544</v>
      </c>
      <c r="B1932" t="inlineStr">
        <is>
          <t>GERAL</t>
        </is>
      </c>
      <c r="C1932" t="inlineStr">
        <is>
          <t>CMM</t>
        </is>
      </c>
      <c r="D1932" t="inlineStr">
        <is>
          <t>IÇAMENTO JOIST</t>
        </is>
      </c>
      <c r="F1932" s="159">
        <f>IFERROR(INDEX('BASE METAS DIÁRIAS'!$N$2:$S$358,MATCH($A1932,'BASE METAS DIÁRIAS'!$A$2:$A$358,0),MOD(ROW()-2,6)+1),"")</f>
        <v/>
      </c>
      <c r="G1932" s="159">
        <f>IFERROR(IF(WEEKDAY($A1932,2)&lt;=INDEX('BASE METAS DIÁRIAS'!$H$2:$M$358,MATCH($A1932,'BASE METAS DIÁRIAS'!$A$2:$A$358,0),MOD(ROW()-2,6)+1),INDEX('BASE METAS DIÁRIAS'!$B$2:$G$358,MATCH($A1932,'BASE METAS DIÁRIAS'!$A$2:$A$358,0),MOD(ROW()-2,6)+1),""),"")</f>
        <v/>
      </c>
      <c r="H1932" s="159">
        <f>IFERROR(IF(INDEX('CONTROLE PRODUÇÃO POR EMPRESAS'!$B$6:$G$5000,MATCH($A1932,'CONTROLE PRODUÇÃO POR EMPRESAS'!$A$6:$A$5000,0),MOD(ROW()-2,6)+1)="","",IFERROR(1*INDEX('CONTROLE PRODUÇÃO POR EMPRESAS'!$B$6:$G$5000,MATCH($A1932,'CONTROLE PRODUÇÃO POR EMPRESAS'!$A$6:$A$5000,0),MOD(ROW()-2,6)+1),"")),"")</f>
        <v/>
      </c>
      <c r="I1932" s="159">
        <f>IF(OR(NOT(ISNUMBER(G1932)),NOT(ISNUMBER(H1932))),"",H1932-G1932)</f>
        <v/>
      </c>
      <c r="J1932" s="319">
        <f>IF(OR(NOT(ISNUMBER(G1932)),NOT(ISNUMBER(H1932)),G1932=0),"",I1932/G1932)</f>
        <v/>
      </c>
      <c r="K1932" s="319">
        <f>IF(OR(NOT(ISNUMBER(G1932)),NOT(ISNUMBER(H1932)),G1932=0),"",H1932/G1932)</f>
        <v/>
      </c>
      <c r="L1932">
        <f>IF(NOT(ISNUMBER(G1932)),"SEM META",IF(G1932=0,"SEM META",IF(NOT(ISNUMBER(H1932)),"SEM APONTAMENTO",IF(H1932&gt;=G1932,"VERDE",IF(H1932&gt;=G1932*0.9,"AMARELO","VERMELHO")))))</f>
        <v/>
      </c>
      <c r="M1932" s="162" t="n"/>
      <c r="N1932" s="162" t="n"/>
      <c r="O1932" s="162" t="n"/>
      <c r="P1932" s="162" t="n"/>
      <c r="Q1932" s="320" t="n"/>
      <c r="R1932" s="162" t="inlineStr">
        <is>
          <t>CONTROLE PRODUÇÃO POR EMPRESAS!F327</t>
        </is>
      </c>
    </row>
    <row r="1933" ht="28.5" customHeight="1">
      <c r="A1933" s="317" t="n">
        <v>46544</v>
      </c>
      <c r="B1933" t="inlineStr">
        <is>
          <t>GERAL</t>
        </is>
      </c>
      <c r="C1933" t="inlineStr">
        <is>
          <t>CMM</t>
        </is>
      </c>
      <c r="D1933" t="inlineStr">
        <is>
          <t>VIGAS</t>
        </is>
      </c>
      <c r="F1933" s="159">
        <f>IFERROR(INDEX('BASE METAS DIÁRIAS'!$N$2:$S$358,MATCH($A1933,'BASE METAS DIÁRIAS'!$A$2:$A$358,0),MOD(ROW()-2,6)+1),"")</f>
        <v/>
      </c>
      <c r="G1933" s="159">
        <f>IFERROR(IF(WEEKDAY($A1933,2)&lt;=INDEX('BASE METAS DIÁRIAS'!$H$2:$M$358,MATCH($A1933,'BASE METAS DIÁRIAS'!$A$2:$A$358,0),MOD(ROW()-2,6)+1),INDEX('BASE METAS DIÁRIAS'!$B$2:$G$358,MATCH($A1933,'BASE METAS DIÁRIAS'!$A$2:$A$358,0),MOD(ROW()-2,6)+1),""),"")</f>
        <v/>
      </c>
      <c r="H1933" s="159">
        <f>IFERROR(IF(INDEX('CONTROLE PRODUÇÃO POR EMPRESAS'!$B$6:$G$5000,MATCH($A1933,'CONTROLE PRODUÇÃO POR EMPRESAS'!$A$6:$A$5000,0),MOD(ROW()-2,6)+1)="","",IFERROR(1*INDEX('CONTROLE PRODUÇÃO POR EMPRESAS'!$B$6:$G$5000,MATCH($A1933,'CONTROLE PRODUÇÃO POR EMPRESAS'!$A$6:$A$5000,0),MOD(ROW()-2,6)+1),"")),"")</f>
        <v/>
      </c>
      <c r="I1933" s="159">
        <f>IF(OR(NOT(ISNUMBER(G1933)),NOT(ISNUMBER(H1933))),"",H1933-G1933)</f>
        <v/>
      </c>
      <c r="J1933" s="319">
        <f>IF(OR(NOT(ISNUMBER(G1933)),NOT(ISNUMBER(H1933)),G1933=0),"",I1933/G1933)</f>
        <v/>
      </c>
      <c r="K1933" s="319">
        <f>IF(OR(NOT(ISNUMBER(G1933)),NOT(ISNUMBER(H1933)),G1933=0),"",H1933/G1933)</f>
        <v/>
      </c>
      <c r="L1933">
        <f>IF(NOT(ISNUMBER(G1933)),"SEM META",IF(G1933=0,"SEM META",IF(NOT(ISNUMBER(H1933)),"SEM APONTAMENTO",IF(H1933&gt;=G1933,"VERDE",IF(H1933&gt;=G1933*0.9,"AMARELO","VERMELHO")))))</f>
        <v/>
      </c>
      <c r="M1933" s="162" t="n"/>
      <c r="N1933" s="162" t="n"/>
      <c r="O1933" s="162" t="n"/>
      <c r="P1933" s="162" t="n"/>
      <c r="Q1933" s="320" t="n"/>
      <c r="R1933" s="162" t="inlineStr">
        <is>
          <t>CONTROLE PRODUÇÃO POR EMPRESAS!G327</t>
        </is>
      </c>
    </row>
    <row r="1934" ht="28.5" customHeight="1">
      <c r="A1934" s="317" t="n">
        <v>46545</v>
      </c>
      <c r="B1934" t="inlineStr">
        <is>
          <t>GERAL</t>
        </is>
      </c>
      <c r="C1934" t="inlineStr">
        <is>
          <t>EJ</t>
        </is>
      </c>
      <c r="D1934" t="inlineStr">
        <is>
          <t>PREMONTAGEM</t>
        </is>
      </c>
      <c r="F1934" s="159">
        <f>IFERROR(INDEX('BASE METAS DIÁRIAS'!$N$2:$S$358,MATCH($A1934,'BASE METAS DIÁRIAS'!$A$2:$A$358,0),MOD(ROW()-2,6)+1),"")</f>
        <v/>
      </c>
      <c r="G1934" s="159">
        <f>IFERROR(IF(WEEKDAY($A1934,2)&lt;=INDEX('BASE METAS DIÁRIAS'!$H$2:$M$358,MATCH($A1934,'BASE METAS DIÁRIAS'!$A$2:$A$358,0),MOD(ROW()-2,6)+1),INDEX('BASE METAS DIÁRIAS'!$B$2:$G$358,MATCH($A1934,'BASE METAS DIÁRIAS'!$A$2:$A$358,0),MOD(ROW()-2,6)+1),""),"")</f>
        <v/>
      </c>
      <c r="H1934" s="159">
        <f>IFERROR(IF(INDEX('CONTROLE PRODUÇÃO POR EMPRESAS'!$B$6:$G$5000,MATCH($A1934,'CONTROLE PRODUÇÃO POR EMPRESAS'!$A$6:$A$5000,0),MOD(ROW()-2,6)+1)="","",IFERROR(1*INDEX('CONTROLE PRODUÇÃO POR EMPRESAS'!$B$6:$G$5000,MATCH($A1934,'CONTROLE PRODUÇÃO POR EMPRESAS'!$A$6:$A$5000,0),MOD(ROW()-2,6)+1),"")),"")</f>
        <v/>
      </c>
      <c r="I1934" s="159">
        <f>IF(OR(NOT(ISNUMBER(G1934)),NOT(ISNUMBER(H1934))),"",H1934-G1934)</f>
        <v/>
      </c>
      <c r="J1934" s="319">
        <f>IF(OR(NOT(ISNUMBER(G1934)),NOT(ISNUMBER(H1934)),G1934=0),"",I1934/G1934)</f>
        <v/>
      </c>
      <c r="K1934" s="319">
        <f>IF(OR(NOT(ISNUMBER(G1934)),NOT(ISNUMBER(H1934)),G1934=0),"",H1934/G1934)</f>
        <v/>
      </c>
      <c r="L1934">
        <f>IF(NOT(ISNUMBER(G1934)),"SEM META",IF(G1934=0,"SEM META",IF(NOT(ISNUMBER(H1934)),"SEM APONTAMENTO",IF(H1934&gt;=G1934,"VERDE",IF(H1934&gt;=G1934*0.9,"AMARELO","VERMELHO")))))</f>
        <v/>
      </c>
      <c r="M1934" s="162" t="n"/>
      <c r="N1934" s="162" t="n"/>
      <c r="O1934" s="162" t="n"/>
      <c r="P1934" s="162" t="n"/>
      <c r="Q1934" s="320" t="n"/>
      <c r="R1934" s="162" t="inlineStr">
        <is>
          <t>CONTROLE PRODUÇÃO POR EMPRESAS!B328</t>
        </is>
      </c>
    </row>
    <row r="1935" ht="28.5" customHeight="1">
      <c r="A1935" s="317" t="n">
        <v>46545</v>
      </c>
      <c r="B1935" t="inlineStr">
        <is>
          <t>GERAL</t>
        </is>
      </c>
      <c r="C1935" t="inlineStr">
        <is>
          <t>EJ</t>
        </is>
      </c>
      <c r="D1935" t="inlineStr">
        <is>
          <t>IÇAMENTO JOIST</t>
        </is>
      </c>
      <c r="F1935" s="159">
        <f>IFERROR(INDEX('BASE METAS DIÁRIAS'!$N$2:$S$358,MATCH($A1935,'BASE METAS DIÁRIAS'!$A$2:$A$358,0),MOD(ROW()-2,6)+1),"")</f>
        <v/>
      </c>
      <c r="G1935" s="159">
        <f>IFERROR(IF(WEEKDAY($A1935,2)&lt;=INDEX('BASE METAS DIÁRIAS'!$H$2:$M$358,MATCH($A1935,'BASE METAS DIÁRIAS'!$A$2:$A$358,0),MOD(ROW()-2,6)+1),INDEX('BASE METAS DIÁRIAS'!$B$2:$G$358,MATCH($A1935,'BASE METAS DIÁRIAS'!$A$2:$A$358,0),MOD(ROW()-2,6)+1),""),"")</f>
        <v/>
      </c>
      <c r="H1935" s="159">
        <f>IFERROR(IF(INDEX('CONTROLE PRODUÇÃO POR EMPRESAS'!$B$6:$G$5000,MATCH($A1935,'CONTROLE PRODUÇÃO POR EMPRESAS'!$A$6:$A$5000,0),MOD(ROW()-2,6)+1)="","",IFERROR(1*INDEX('CONTROLE PRODUÇÃO POR EMPRESAS'!$B$6:$G$5000,MATCH($A1935,'CONTROLE PRODUÇÃO POR EMPRESAS'!$A$6:$A$5000,0),MOD(ROW()-2,6)+1),"")),"")</f>
        <v/>
      </c>
      <c r="I1935" s="159">
        <f>IF(OR(NOT(ISNUMBER(G1935)),NOT(ISNUMBER(H1935))),"",H1935-G1935)</f>
        <v/>
      </c>
      <c r="J1935" s="319">
        <f>IF(OR(NOT(ISNUMBER(G1935)),NOT(ISNUMBER(H1935)),G1935=0),"",I1935/G1935)</f>
        <v/>
      </c>
      <c r="K1935" s="319">
        <f>IF(OR(NOT(ISNUMBER(G1935)),NOT(ISNUMBER(H1935)),G1935=0),"",H1935/G1935)</f>
        <v/>
      </c>
      <c r="L1935">
        <f>IF(NOT(ISNUMBER(G1935)),"SEM META",IF(G1935=0,"SEM META",IF(NOT(ISNUMBER(H1935)),"SEM APONTAMENTO",IF(H1935&gt;=G1935,"VERDE",IF(H1935&gt;=G1935*0.9,"AMARELO","VERMELHO")))))</f>
        <v/>
      </c>
      <c r="M1935" s="162" t="n"/>
      <c r="N1935" s="162" t="n"/>
      <c r="O1935" s="162" t="n"/>
      <c r="P1935" s="162" t="n"/>
      <c r="Q1935" s="320" t="n"/>
      <c r="R1935" s="162" t="inlineStr">
        <is>
          <t>CONTROLE PRODUÇÃO POR EMPRESAS!C328</t>
        </is>
      </c>
    </row>
    <row r="1936" ht="28.5" customHeight="1">
      <c r="A1936" s="317" t="n">
        <v>46545</v>
      </c>
      <c r="B1936" t="inlineStr">
        <is>
          <t>GERAL</t>
        </is>
      </c>
      <c r="C1936" t="inlineStr">
        <is>
          <t>EJ</t>
        </is>
      </c>
      <c r="D1936" t="inlineStr">
        <is>
          <t>VIGAS</t>
        </is>
      </c>
      <c r="F1936" s="159">
        <f>IFERROR(INDEX('BASE METAS DIÁRIAS'!$N$2:$S$358,MATCH($A1936,'BASE METAS DIÁRIAS'!$A$2:$A$358,0),MOD(ROW()-2,6)+1),"")</f>
        <v/>
      </c>
      <c r="G1936" s="159">
        <f>IFERROR(IF(WEEKDAY($A1936,2)&lt;=INDEX('BASE METAS DIÁRIAS'!$H$2:$M$358,MATCH($A1936,'BASE METAS DIÁRIAS'!$A$2:$A$358,0),MOD(ROW()-2,6)+1),INDEX('BASE METAS DIÁRIAS'!$B$2:$G$358,MATCH($A1936,'BASE METAS DIÁRIAS'!$A$2:$A$358,0),MOD(ROW()-2,6)+1),""),"")</f>
        <v/>
      </c>
      <c r="H1936" s="159">
        <f>IFERROR(IF(INDEX('CONTROLE PRODUÇÃO POR EMPRESAS'!$B$6:$G$5000,MATCH($A1936,'CONTROLE PRODUÇÃO POR EMPRESAS'!$A$6:$A$5000,0),MOD(ROW()-2,6)+1)="","",IFERROR(1*INDEX('CONTROLE PRODUÇÃO POR EMPRESAS'!$B$6:$G$5000,MATCH($A1936,'CONTROLE PRODUÇÃO POR EMPRESAS'!$A$6:$A$5000,0),MOD(ROW()-2,6)+1),"")),"")</f>
        <v/>
      </c>
      <c r="I1936" s="159">
        <f>IF(OR(NOT(ISNUMBER(G1936)),NOT(ISNUMBER(H1936))),"",H1936-G1936)</f>
        <v/>
      </c>
      <c r="J1936" s="319">
        <f>IF(OR(NOT(ISNUMBER(G1936)),NOT(ISNUMBER(H1936)),G1936=0),"",I1936/G1936)</f>
        <v/>
      </c>
      <c r="K1936" s="319">
        <f>IF(OR(NOT(ISNUMBER(G1936)),NOT(ISNUMBER(H1936)),G1936=0),"",H1936/G1936)</f>
        <v/>
      </c>
      <c r="L1936">
        <f>IF(NOT(ISNUMBER(G1936)),"SEM META",IF(G1936=0,"SEM META",IF(NOT(ISNUMBER(H1936)),"SEM APONTAMENTO",IF(H1936&gt;=G1936,"VERDE",IF(H1936&gt;=G1936*0.9,"AMARELO","VERMELHO")))))</f>
        <v/>
      </c>
      <c r="M1936" s="162" t="n"/>
      <c r="N1936" s="162" t="n"/>
      <c r="O1936" s="162" t="n"/>
      <c r="P1936" s="162" t="n"/>
      <c r="Q1936" s="320" t="n"/>
      <c r="R1936" s="162" t="inlineStr">
        <is>
          <t>CONTROLE PRODUÇÃO POR EMPRESAS!D328</t>
        </is>
      </c>
    </row>
    <row r="1937" ht="28.5" customHeight="1">
      <c r="A1937" s="317" t="n">
        <v>46545</v>
      </c>
      <c r="B1937" t="inlineStr">
        <is>
          <t>GERAL</t>
        </is>
      </c>
      <c r="C1937" t="inlineStr">
        <is>
          <t>CMM</t>
        </is>
      </c>
      <c r="D1937" t="inlineStr">
        <is>
          <t>PREMONTAGEM</t>
        </is>
      </c>
      <c r="F1937" s="159">
        <f>IFERROR(INDEX('BASE METAS DIÁRIAS'!$N$2:$S$358,MATCH($A1937,'BASE METAS DIÁRIAS'!$A$2:$A$358,0),MOD(ROW()-2,6)+1),"")</f>
        <v/>
      </c>
      <c r="G1937" s="159">
        <f>IFERROR(IF(WEEKDAY($A1937,2)&lt;=INDEX('BASE METAS DIÁRIAS'!$H$2:$M$358,MATCH($A1937,'BASE METAS DIÁRIAS'!$A$2:$A$358,0),MOD(ROW()-2,6)+1),INDEX('BASE METAS DIÁRIAS'!$B$2:$G$358,MATCH($A1937,'BASE METAS DIÁRIAS'!$A$2:$A$358,0),MOD(ROW()-2,6)+1),""),"")</f>
        <v/>
      </c>
      <c r="H1937" s="159">
        <f>IFERROR(IF(INDEX('CONTROLE PRODUÇÃO POR EMPRESAS'!$B$6:$G$5000,MATCH($A1937,'CONTROLE PRODUÇÃO POR EMPRESAS'!$A$6:$A$5000,0),MOD(ROW()-2,6)+1)="","",IFERROR(1*INDEX('CONTROLE PRODUÇÃO POR EMPRESAS'!$B$6:$G$5000,MATCH($A1937,'CONTROLE PRODUÇÃO POR EMPRESAS'!$A$6:$A$5000,0),MOD(ROW()-2,6)+1),"")),"")</f>
        <v/>
      </c>
      <c r="I1937" s="159">
        <f>IF(OR(NOT(ISNUMBER(G1937)),NOT(ISNUMBER(H1937))),"",H1937-G1937)</f>
        <v/>
      </c>
      <c r="J1937" s="319">
        <f>IF(OR(NOT(ISNUMBER(G1937)),NOT(ISNUMBER(H1937)),G1937=0),"",I1937/G1937)</f>
        <v/>
      </c>
      <c r="K1937" s="319">
        <f>IF(OR(NOT(ISNUMBER(G1937)),NOT(ISNUMBER(H1937)),G1937=0),"",H1937/G1937)</f>
        <v/>
      </c>
      <c r="L1937">
        <f>IF(NOT(ISNUMBER(G1937)),"SEM META",IF(G1937=0,"SEM META",IF(NOT(ISNUMBER(H1937)),"SEM APONTAMENTO",IF(H1937&gt;=G1937,"VERDE",IF(H1937&gt;=G1937*0.9,"AMARELO","VERMELHO")))))</f>
        <v/>
      </c>
      <c r="M1937" s="162" t="n"/>
      <c r="N1937" s="162" t="n"/>
      <c r="O1937" s="162" t="n"/>
      <c r="P1937" s="162" t="n"/>
      <c r="Q1937" s="320" t="n"/>
      <c r="R1937" s="162" t="inlineStr">
        <is>
          <t>CONTROLE PRODUÇÃO POR EMPRESAS!E328</t>
        </is>
      </c>
    </row>
    <row r="1938" ht="28.5" customHeight="1">
      <c r="A1938" s="317" t="n">
        <v>46545</v>
      </c>
      <c r="B1938" t="inlineStr">
        <is>
          <t>GERAL</t>
        </is>
      </c>
      <c r="C1938" t="inlineStr">
        <is>
          <t>CMM</t>
        </is>
      </c>
      <c r="D1938" t="inlineStr">
        <is>
          <t>IÇAMENTO JOIST</t>
        </is>
      </c>
      <c r="F1938" s="159">
        <f>IFERROR(INDEX('BASE METAS DIÁRIAS'!$N$2:$S$358,MATCH($A1938,'BASE METAS DIÁRIAS'!$A$2:$A$358,0),MOD(ROW()-2,6)+1),"")</f>
        <v/>
      </c>
      <c r="G1938" s="159">
        <f>IFERROR(IF(WEEKDAY($A1938,2)&lt;=INDEX('BASE METAS DIÁRIAS'!$H$2:$M$358,MATCH($A1938,'BASE METAS DIÁRIAS'!$A$2:$A$358,0),MOD(ROW()-2,6)+1),INDEX('BASE METAS DIÁRIAS'!$B$2:$G$358,MATCH($A1938,'BASE METAS DIÁRIAS'!$A$2:$A$358,0),MOD(ROW()-2,6)+1),""),"")</f>
        <v/>
      </c>
      <c r="H1938" s="159">
        <f>IFERROR(IF(INDEX('CONTROLE PRODUÇÃO POR EMPRESAS'!$B$6:$G$5000,MATCH($A1938,'CONTROLE PRODUÇÃO POR EMPRESAS'!$A$6:$A$5000,0),MOD(ROW()-2,6)+1)="","",IFERROR(1*INDEX('CONTROLE PRODUÇÃO POR EMPRESAS'!$B$6:$G$5000,MATCH($A1938,'CONTROLE PRODUÇÃO POR EMPRESAS'!$A$6:$A$5000,0),MOD(ROW()-2,6)+1),"")),"")</f>
        <v/>
      </c>
      <c r="I1938" s="159">
        <f>IF(OR(NOT(ISNUMBER(G1938)),NOT(ISNUMBER(H1938))),"",H1938-G1938)</f>
        <v/>
      </c>
      <c r="J1938" s="319">
        <f>IF(OR(NOT(ISNUMBER(G1938)),NOT(ISNUMBER(H1938)),G1938=0),"",I1938/G1938)</f>
        <v/>
      </c>
      <c r="K1938" s="319">
        <f>IF(OR(NOT(ISNUMBER(G1938)),NOT(ISNUMBER(H1938)),G1938=0),"",H1938/G1938)</f>
        <v/>
      </c>
      <c r="L1938">
        <f>IF(NOT(ISNUMBER(G1938)),"SEM META",IF(G1938=0,"SEM META",IF(NOT(ISNUMBER(H1938)),"SEM APONTAMENTO",IF(H1938&gt;=G1938,"VERDE",IF(H1938&gt;=G1938*0.9,"AMARELO","VERMELHO")))))</f>
        <v/>
      </c>
      <c r="M1938" s="162" t="n"/>
      <c r="N1938" s="162" t="n"/>
      <c r="O1938" s="162" t="n"/>
      <c r="P1938" s="162" t="n"/>
      <c r="Q1938" s="320" t="n"/>
      <c r="R1938" s="162" t="inlineStr">
        <is>
          <t>CONTROLE PRODUÇÃO POR EMPRESAS!F328</t>
        </is>
      </c>
    </row>
    <row r="1939" ht="28.5" customHeight="1">
      <c r="A1939" s="317" t="n">
        <v>46545</v>
      </c>
      <c r="B1939" t="inlineStr">
        <is>
          <t>GERAL</t>
        </is>
      </c>
      <c r="C1939" t="inlineStr">
        <is>
          <t>CMM</t>
        </is>
      </c>
      <c r="D1939" t="inlineStr">
        <is>
          <t>VIGAS</t>
        </is>
      </c>
      <c r="F1939" s="159">
        <f>IFERROR(INDEX('BASE METAS DIÁRIAS'!$N$2:$S$358,MATCH($A1939,'BASE METAS DIÁRIAS'!$A$2:$A$358,0),MOD(ROW()-2,6)+1),"")</f>
        <v/>
      </c>
      <c r="G1939" s="159">
        <f>IFERROR(IF(WEEKDAY($A1939,2)&lt;=INDEX('BASE METAS DIÁRIAS'!$H$2:$M$358,MATCH($A1939,'BASE METAS DIÁRIAS'!$A$2:$A$358,0),MOD(ROW()-2,6)+1),INDEX('BASE METAS DIÁRIAS'!$B$2:$G$358,MATCH($A1939,'BASE METAS DIÁRIAS'!$A$2:$A$358,0),MOD(ROW()-2,6)+1),""),"")</f>
        <v/>
      </c>
      <c r="H1939" s="159">
        <f>IFERROR(IF(INDEX('CONTROLE PRODUÇÃO POR EMPRESAS'!$B$6:$G$5000,MATCH($A1939,'CONTROLE PRODUÇÃO POR EMPRESAS'!$A$6:$A$5000,0),MOD(ROW()-2,6)+1)="","",IFERROR(1*INDEX('CONTROLE PRODUÇÃO POR EMPRESAS'!$B$6:$G$5000,MATCH($A1939,'CONTROLE PRODUÇÃO POR EMPRESAS'!$A$6:$A$5000,0),MOD(ROW()-2,6)+1),"")),"")</f>
        <v/>
      </c>
      <c r="I1939" s="159">
        <f>IF(OR(NOT(ISNUMBER(G1939)),NOT(ISNUMBER(H1939))),"",H1939-G1939)</f>
        <v/>
      </c>
      <c r="J1939" s="319">
        <f>IF(OR(NOT(ISNUMBER(G1939)),NOT(ISNUMBER(H1939)),G1939=0),"",I1939/G1939)</f>
        <v/>
      </c>
      <c r="K1939" s="319">
        <f>IF(OR(NOT(ISNUMBER(G1939)),NOT(ISNUMBER(H1939)),G1939=0),"",H1939/G1939)</f>
        <v/>
      </c>
      <c r="L1939">
        <f>IF(NOT(ISNUMBER(G1939)),"SEM META",IF(G1939=0,"SEM META",IF(NOT(ISNUMBER(H1939)),"SEM APONTAMENTO",IF(H1939&gt;=G1939,"VERDE",IF(H1939&gt;=G1939*0.9,"AMARELO","VERMELHO")))))</f>
        <v/>
      </c>
      <c r="M1939" s="162" t="n"/>
      <c r="N1939" s="162" t="n"/>
      <c r="O1939" s="162" t="n"/>
      <c r="P1939" s="162" t="n"/>
      <c r="Q1939" s="320" t="n"/>
      <c r="R1939" s="162" t="inlineStr">
        <is>
          <t>CONTROLE PRODUÇÃO POR EMPRESAS!G328</t>
        </is>
      </c>
    </row>
    <row r="1940" ht="28.5" customHeight="1">
      <c r="A1940" s="317" t="n">
        <v>46546</v>
      </c>
      <c r="B1940" t="inlineStr">
        <is>
          <t>GERAL</t>
        </is>
      </c>
      <c r="C1940" t="inlineStr">
        <is>
          <t>EJ</t>
        </is>
      </c>
      <c r="D1940" t="inlineStr">
        <is>
          <t>PREMONTAGEM</t>
        </is>
      </c>
      <c r="F1940" s="159">
        <f>IFERROR(INDEX('BASE METAS DIÁRIAS'!$N$2:$S$358,MATCH($A1940,'BASE METAS DIÁRIAS'!$A$2:$A$358,0),MOD(ROW()-2,6)+1),"")</f>
        <v/>
      </c>
      <c r="G1940" s="159">
        <f>IFERROR(IF(WEEKDAY($A1940,2)&lt;=INDEX('BASE METAS DIÁRIAS'!$H$2:$M$358,MATCH($A1940,'BASE METAS DIÁRIAS'!$A$2:$A$358,0),MOD(ROW()-2,6)+1),INDEX('BASE METAS DIÁRIAS'!$B$2:$G$358,MATCH($A1940,'BASE METAS DIÁRIAS'!$A$2:$A$358,0),MOD(ROW()-2,6)+1),""),"")</f>
        <v/>
      </c>
      <c r="H1940" s="159">
        <f>IFERROR(IF(INDEX('CONTROLE PRODUÇÃO POR EMPRESAS'!$B$6:$G$5000,MATCH($A1940,'CONTROLE PRODUÇÃO POR EMPRESAS'!$A$6:$A$5000,0),MOD(ROW()-2,6)+1)="","",IFERROR(1*INDEX('CONTROLE PRODUÇÃO POR EMPRESAS'!$B$6:$G$5000,MATCH($A1940,'CONTROLE PRODUÇÃO POR EMPRESAS'!$A$6:$A$5000,0),MOD(ROW()-2,6)+1),"")),"")</f>
        <v/>
      </c>
      <c r="I1940" s="159">
        <f>IF(OR(NOT(ISNUMBER(G1940)),NOT(ISNUMBER(H1940))),"",H1940-G1940)</f>
        <v/>
      </c>
      <c r="J1940" s="319">
        <f>IF(OR(NOT(ISNUMBER(G1940)),NOT(ISNUMBER(H1940)),G1940=0),"",I1940/G1940)</f>
        <v/>
      </c>
      <c r="K1940" s="319">
        <f>IF(OR(NOT(ISNUMBER(G1940)),NOT(ISNUMBER(H1940)),G1940=0),"",H1940/G1940)</f>
        <v/>
      </c>
      <c r="L1940">
        <f>IF(NOT(ISNUMBER(G1940)),"SEM META",IF(G1940=0,"SEM META",IF(NOT(ISNUMBER(H1940)),"SEM APONTAMENTO",IF(H1940&gt;=G1940,"VERDE",IF(H1940&gt;=G1940*0.9,"AMARELO","VERMELHO")))))</f>
        <v/>
      </c>
      <c r="M1940" s="162" t="n"/>
      <c r="N1940" s="162" t="n"/>
      <c r="O1940" s="162" t="n"/>
      <c r="P1940" s="162" t="n"/>
      <c r="Q1940" s="320" t="n"/>
      <c r="R1940" s="162" t="inlineStr">
        <is>
          <t>CONTROLE PRODUÇÃO POR EMPRESAS!B329</t>
        </is>
      </c>
    </row>
    <row r="1941" ht="28.5" customHeight="1">
      <c r="A1941" s="317" t="n">
        <v>46546</v>
      </c>
      <c r="B1941" t="inlineStr">
        <is>
          <t>GERAL</t>
        </is>
      </c>
      <c r="C1941" t="inlineStr">
        <is>
          <t>EJ</t>
        </is>
      </c>
      <c r="D1941" t="inlineStr">
        <is>
          <t>IÇAMENTO JOIST</t>
        </is>
      </c>
      <c r="F1941" s="159">
        <f>IFERROR(INDEX('BASE METAS DIÁRIAS'!$N$2:$S$358,MATCH($A1941,'BASE METAS DIÁRIAS'!$A$2:$A$358,0),MOD(ROW()-2,6)+1),"")</f>
        <v/>
      </c>
      <c r="G1941" s="159">
        <f>IFERROR(IF(WEEKDAY($A1941,2)&lt;=INDEX('BASE METAS DIÁRIAS'!$H$2:$M$358,MATCH($A1941,'BASE METAS DIÁRIAS'!$A$2:$A$358,0),MOD(ROW()-2,6)+1),INDEX('BASE METAS DIÁRIAS'!$B$2:$G$358,MATCH($A1941,'BASE METAS DIÁRIAS'!$A$2:$A$358,0),MOD(ROW()-2,6)+1),""),"")</f>
        <v/>
      </c>
      <c r="H1941" s="159">
        <f>IFERROR(IF(INDEX('CONTROLE PRODUÇÃO POR EMPRESAS'!$B$6:$G$5000,MATCH($A1941,'CONTROLE PRODUÇÃO POR EMPRESAS'!$A$6:$A$5000,0),MOD(ROW()-2,6)+1)="","",IFERROR(1*INDEX('CONTROLE PRODUÇÃO POR EMPRESAS'!$B$6:$G$5000,MATCH($A1941,'CONTROLE PRODUÇÃO POR EMPRESAS'!$A$6:$A$5000,0),MOD(ROW()-2,6)+1),"")),"")</f>
        <v/>
      </c>
      <c r="I1941" s="159">
        <f>IF(OR(NOT(ISNUMBER(G1941)),NOT(ISNUMBER(H1941))),"",H1941-G1941)</f>
        <v/>
      </c>
      <c r="J1941" s="319">
        <f>IF(OR(NOT(ISNUMBER(G1941)),NOT(ISNUMBER(H1941)),G1941=0),"",I1941/G1941)</f>
        <v/>
      </c>
      <c r="K1941" s="319">
        <f>IF(OR(NOT(ISNUMBER(G1941)),NOT(ISNUMBER(H1941)),G1941=0),"",H1941/G1941)</f>
        <v/>
      </c>
      <c r="L1941">
        <f>IF(NOT(ISNUMBER(G1941)),"SEM META",IF(G1941=0,"SEM META",IF(NOT(ISNUMBER(H1941)),"SEM APONTAMENTO",IF(H1941&gt;=G1941,"VERDE",IF(H1941&gt;=G1941*0.9,"AMARELO","VERMELHO")))))</f>
        <v/>
      </c>
      <c r="M1941" s="162" t="n"/>
      <c r="N1941" s="162" t="n"/>
      <c r="O1941" s="162" t="n"/>
      <c r="P1941" s="162" t="n"/>
      <c r="Q1941" s="320" t="n"/>
      <c r="R1941" s="162" t="inlineStr">
        <is>
          <t>CONTROLE PRODUÇÃO POR EMPRESAS!C329</t>
        </is>
      </c>
    </row>
    <row r="1942" ht="28.5" customHeight="1">
      <c r="A1942" s="317" t="n">
        <v>46546</v>
      </c>
      <c r="B1942" t="inlineStr">
        <is>
          <t>GERAL</t>
        </is>
      </c>
      <c r="C1942" t="inlineStr">
        <is>
          <t>EJ</t>
        </is>
      </c>
      <c r="D1942" t="inlineStr">
        <is>
          <t>VIGAS</t>
        </is>
      </c>
      <c r="F1942" s="159">
        <f>IFERROR(INDEX('BASE METAS DIÁRIAS'!$N$2:$S$358,MATCH($A1942,'BASE METAS DIÁRIAS'!$A$2:$A$358,0),MOD(ROW()-2,6)+1),"")</f>
        <v/>
      </c>
      <c r="G1942" s="159">
        <f>IFERROR(IF(WEEKDAY($A1942,2)&lt;=INDEX('BASE METAS DIÁRIAS'!$H$2:$M$358,MATCH($A1942,'BASE METAS DIÁRIAS'!$A$2:$A$358,0),MOD(ROW()-2,6)+1),INDEX('BASE METAS DIÁRIAS'!$B$2:$G$358,MATCH($A1942,'BASE METAS DIÁRIAS'!$A$2:$A$358,0),MOD(ROW()-2,6)+1),""),"")</f>
        <v/>
      </c>
      <c r="H1942" s="159">
        <f>IFERROR(IF(INDEX('CONTROLE PRODUÇÃO POR EMPRESAS'!$B$6:$G$5000,MATCH($A1942,'CONTROLE PRODUÇÃO POR EMPRESAS'!$A$6:$A$5000,0),MOD(ROW()-2,6)+1)="","",IFERROR(1*INDEX('CONTROLE PRODUÇÃO POR EMPRESAS'!$B$6:$G$5000,MATCH($A1942,'CONTROLE PRODUÇÃO POR EMPRESAS'!$A$6:$A$5000,0),MOD(ROW()-2,6)+1),"")),"")</f>
        <v/>
      </c>
      <c r="I1942" s="159">
        <f>IF(OR(NOT(ISNUMBER(G1942)),NOT(ISNUMBER(H1942))),"",H1942-G1942)</f>
        <v/>
      </c>
      <c r="J1942" s="319">
        <f>IF(OR(NOT(ISNUMBER(G1942)),NOT(ISNUMBER(H1942)),G1942=0),"",I1942/G1942)</f>
        <v/>
      </c>
      <c r="K1942" s="319">
        <f>IF(OR(NOT(ISNUMBER(G1942)),NOT(ISNUMBER(H1942)),G1942=0),"",H1942/G1942)</f>
        <v/>
      </c>
      <c r="L1942">
        <f>IF(NOT(ISNUMBER(G1942)),"SEM META",IF(G1942=0,"SEM META",IF(NOT(ISNUMBER(H1942)),"SEM APONTAMENTO",IF(H1942&gt;=G1942,"VERDE",IF(H1942&gt;=G1942*0.9,"AMARELO","VERMELHO")))))</f>
        <v/>
      </c>
      <c r="M1942" s="162" t="n"/>
      <c r="N1942" s="162" t="n"/>
      <c r="O1942" s="162" t="n"/>
      <c r="P1942" s="162" t="n"/>
      <c r="Q1942" s="320" t="n"/>
      <c r="R1942" s="162" t="inlineStr">
        <is>
          <t>CONTROLE PRODUÇÃO POR EMPRESAS!D329</t>
        </is>
      </c>
    </row>
    <row r="1943" ht="28.5" customHeight="1">
      <c r="A1943" s="317" t="n">
        <v>46546</v>
      </c>
      <c r="B1943" t="inlineStr">
        <is>
          <t>GERAL</t>
        </is>
      </c>
      <c r="C1943" t="inlineStr">
        <is>
          <t>CMM</t>
        </is>
      </c>
      <c r="D1943" t="inlineStr">
        <is>
          <t>PREMONTAGEM</t>
        </is>
      </c>
      <c r="F1943" s="159">
        <f>IFERROR(INDEX('BASE METAS DIÁRIAS'!$N$2:$S$358,MATCH($A1943,'BASE METAS DIÁRIAS'!$A$2:$A$358,0),MOD(ROW()-2,6)+1),"")</f>
        <v/>
      </c>
      <c r="G1943" s="159">
        <f>IFERROR(IF(WEEKDAY($A1943,2)&lt;=INDEX('BASE METAS DIÁRIAS'!$H$2:$M$358,MATCH($A1943,'BASE METAS DIÁRIAS'!$A$2:$A$358,0),MOD(ROW()-2,6)+1),INDEX('BASE METAS DIÁRIAS'!$B$2:$G$358,MATCH($A1943,'BASE METAS DIÁRIAS'!$A$2:$A$358,0),MOD(ROW()-2,6)+1),""),"")</f>
        <v/>
      </c>
      <c r="H1943" s="159">
        <f>IFERROR(IF(INDEX('CONTROLE PRODUÇÃO POR EMPRESAS'!$B$6:$G$5000,MATCH($A1943,'CONTROLE PRODUÇÃO POR EMPRESAS'!$A$6:$A$5000,0),MOD(ROW()-2,6)+1)="","",IFERROR(1*INDEX('CONTROLE PRODUÇÃO POR EMPRESAS'!$B$6:$G$5000,MATCH($A1943,'CONTROLE PRODUÇÃO POR EMPRESAS'!$A$6:$A$5000,0),MOD(ROW()-2,6)+1),"")),"")</f>
        <v/>
      </c>
      <c r="I1943" s="159">
        <f>IF(OR(NOT(ISNUMBER(G1943)),NOT(ISNUMBER(H1943))),"",H1943-G1943)</f>
        <v/>
      </c>
      <c r="J1943" s="319">
        <f>IF(OR(NOT(ISNUMBER(G1943)),NOT(ISNUMBER(H1943)),G1943=0),"",I1943/G1943)</f>
        <v/>
      </c>
      <c r="K1943" s="319">
        <f>IF(OR(NOT(ISNUMBER(G1943)),NOT(ISNUMBER(H1943)),G1943=0),"",H1943/G1943)</f>
        <v/>
      </c>
      <c r="L1943">
        <f>IF(NOT(ISNUMBER(G1943)),"SEM META",IF(G1943=0,"SEM META",IF(NOT(ISNUMBER(H1943)),"SEM APONTAMENTO",IF(H1943&gt;=G1943,"VERDE",IF(H1943&gt;=G1943*0.9,"AMARELO","VERMELHO")))))</f>
        <v/>
      </c>
      <c r="M1943" s="162" t="n"/>
      <c r="N1943" s="162" t="n"/>
      <c r="O1943" s="162" t="n"/>
      <c r="P1943" s="162" t="n"/>
      <c r="Q1943" s="320" t="n"/>
      <c r="R1943" s="162" t="inlineStr">
        <is>
          <t>CONTROLE PRODUÇÃO POR EMPRESAS!E329</t>
        </is>
      </c>
    </row>
    <row r="1944" ht="28.5" customHeight="1">
      <c r="A1944" s="317" t="n">
        <v>46546</v>
      </c>
      <c r="B1944" t="inlineStr">
        <is>
          <t>GERAL</t>
        </is>
      </c>
      <c r="C1944" t="inlineStr">
        <is>
          <t>CMM</t>
        </is>
      </c>
      <c r="D1944" t="inlineStr">
        <is>
          <t>IÇAMENTO JOIST</t>
        </is>
      </c>
      <c r="F1944" s="159">
        <f>IFERROR(INDEX('BASE METAS DIÁRIAS'!$N$2:$S$358,MATCH($A1944,'BASE METAS DIÁRIAS'!$A$2:$A$358,0),MOD(ROW()-2,6)+1),"")</f>
        <v/>
      </c>
      <c r="G1944" s="159">
        <f>IFERROR(IF(WEEKDAY($A1944,2)&lt;=INDEX('BASE METAS DIÁRIAS'!$H$2:$M$358,MATCH($A1944,'BASE METAS DIÁRIAS'!$A$2:$A$358,0),MOD(ROW()-2,6)+1),INDEX('BASE METAS DIÁRIAS'!$B$2:$G$358,MATCH($A1944,'BASE METAS DIÁRIAS'!$A$2:$A$358,0),MOD(ROW()-2,6)+1),""),"")</f>
        <v/>
      </c>
      <c r="H1944" s="159">
        <f>IFERROR(IF(INDEX('CONTROLE PRODUÇÃO POR EMPRESAS'!$B$6:$G$5000,MATCH($A1944,'CONTROLE PRODUÇÃO POR EMPRESAS'!$A$6:$A$5000,0),MOD(ROW()-2,6)+1)="","",IFERROR(1*INDEX('CONTROLE PRODUÇÃO POR EMPRESAS'!$B$6:$G$5000,MATCH($A1944,'CONTROLE PRODUÇÃO POR EMPRESAS'!$A$6:$A$5000,0),MOD(ROW()-2,6)+1),"")),"")</f>
        <v/>
      </c>
      <c r="I1944" s="159">
        <f>IF(OR(NOT(ISNUMBER(G1944)),NOT(ISNUMBER(H1944))),"",H1944-G1944)</f>
        <v/>
      </c>
      <c r="J1944" s="319">
        <f>IF(OR(NOT(ISNUMBER(G1944)),NOT(ISNUMBER(H1944)),G1944=0),"",I1944/G1944)</f>
        <v/>
      </c>
      <c r="K1944" s="319">
        <f>IF(OR(NOT(ISNUMBER(G1944)),NOT(ISNUMBER(H1944)),G1944=0),"",H1944/G1944)</f>
        <v/>
      </c>
      <c r="L1944">
        <f>IF(NOT(ISNUMBER(G1944)),"SEM META",IF(G1944=0,"SEM META",IF(NOT(ISNUMBER(H1944)),"SEM APONTAMENTO",IF(H1944&gt;=G1944,"VERDE",IF(H1944&gt;=G1944*0.9,"AMARELO","VERMELHO")))))</f>
        <v/>
      </c>
      <c r="M1944" s="162" t="n"/>
      <c r="N1944" s="162" t="n"/>
      <c r="O1944" s="162" t="n"/>
      <c r="P1944" s="162" t="n"/>
      <c r="Q1944" s="320" t="n"/>
      <c r="R1944" s="162" t="inlineStr">
        <is>
          <t>CONTROLE PRODUÇÃO POR EMPRESAS!F329</t>
        </is>
      </c>
    </row>
    <row r="1945" ht="28.5" customHeight="1">
      <c r="A1945" s="317" t="n">
        <v>46546</v>
      </c>
      <c r="B1945" t="inlineStr">
        <is>
          <t>GERAL</t>
        </is>
      </c>
      <c r="C1945" t="inlineStr">
        <is>
          <t>CMM</t>
        </is>
      </c>
      <c r="D1945" t="inlineStr">
        <is>
          <t>VIGAS</t>
        </is>
      </c>
      <c r="F1945" s="159">
        <f>IFERROR(INDEX('BASE METAS DIÁRIAS'!$N$2:$S$358,MATCH($A1945,'BASE METAS DIÁRIAS'!$A$2:$A$358,0),MOD(ROW()-2,6)+1),"")</f>
        <v/>
      </c>
      <c r="G1945" s="159">
        <f>IFERROR(IF(WEEKDAY($A1945,2)&lt;=INDEX('BASE METAS DIÁRIAS'!$H$2:$M$358,MATCH($A1945,'BASE METAS DIÁRIAS'!$A$2:$A$358,0),MOD(ROW()-2,6)+1),INDEX('BASE METAS DIÁRIAS'!$B$2:$G$358,MATCH($A1945,'BASE METAS DIÁRIAS'!$A$2:$A$358,0),MOD(ROW()-2,6)+1),""),"")</f>
        <v/>
      </c>
      <c r="H1945" s="159">
        <f>IFERROR(IF(INDEX('CONTROLE PRODUÇÃO POR EMPRESAS'!$B$6:$G$5000,MATCH($A1945,'CONTROLE PRODUÇÃO POR EMPRESAS'!$A$6:$A$5000,0),MOD(ROW()-2,6)+1)="","",IFERROR(1*INDEX('CONTROLE PRODUÇÃO POR EMPRESAS'!$B$6:$G$5000,MATCH($A1945,'CONTROLE PRODUÇÃO POR EMPRESAS'!$A$6:$A$5000,0),MOD(ROW()-2,6)+1),"")),"")</f>
        <v/>
      </c>
      <c r="I1945" s="159">
        <f>IF(OR(NOT(ISNUMBER(G1945)),NOT(ISNUMBER(H1945))),"",H1945-G1945)</f>
        <v/>
      </c>
      <c r="J1945" s="319">
        <f>IF(OR(NOT(ISNUMBER(G1945)),NOT(ISNUMBER(H1945)),G1945=0),"",I1945/G1945)</f>
        <v/>
      </c>
      <c r="K1945" s="319">
        <f>IF(OR(NOT(ISNUMBER(G1945)),NOT(ISNUMBER(H1945)),G1945=0),"",H1945/G1945)</f>
        <v/>
      </c>
      <c r="L1945">
        <f>IF(NOT(ISNUMBER(G1945)),"SEM META",IF(G1945=0,"SEM META",IF(NOT(ISNUMBER(H1945)),"SEM APONTAMENTO",IF(H1945&gt;=G1945,"VERDE",IF(H1945&gt;=G1945*0.9,"AMARELO","VERMELHO")))))</f>
        <v/>
      </c>
      <c r="M1945" s="162" t="n"/>
      <c r="N1945" s="162" t="n"/>
      <c r="O1945" s="162" t="n"/>
      <c r="P1945" s="162" t="n"/>
      <c r="Q1945" s="320" t="n"/>
      <c r="R1945" s="162" t="inlineStr">
        <is>
          <t>CONTROLE PRODUÇÃO POR EMPRESAS!G329</t>
        </is>
      </c>
    </row>
    <row r="1946" ht="28.5" customHeight="1">
      <c r="A1946" s="317" t="n">
        <v>46547</v>
      </c>
      <c r="B1946" t="inlineStr">
        <is>
          <t>GERAL</t>
        </is>
      </c>
      <c r="C1946" t="inlineStr">
        <is>
          <t>EJ</t>
        </is>
      </c>
      <c r="D1946" t="inlineStr">
        <is>
          <t>PREMONTAGEM</t>
        </is>
      </c>
      <c r="F1946" s="159">
        <f>IFERROR(INDEX('BASE METAS DIÁRIAS'!$N$2:$S$358,MATCH($A1946,'BASE METAS DIÁRIAS'!$A$2:$A$358,0),MOD(ROW()-2,6)+1),"")</f>
        <v/>
      </c>
      <c r="G1946" s="159">
        <f>IFERROR(IF(WEEKDAY($A1946,2)&lt;=INDEX('BASE METAS DIÁRIAS'!$H$2:$M$358,MATCH($A1946,'BASE METAS DIÁRIAS'!$A$2:$A$358,0),MOD(ROW()-2,6)+1),INDEX('BASE METAS DIÁRIAS'!$B$2:$G$358,MATCH($A1946,'BASE METAS DIÁRIAS'!$A$2:$A$358,0),MOD(ROW()-2,6)+1),""),"")</f>
        <v/>
      </c>
      <c r="H1946" s="159">
        <f>IFERROR(IF(INDEX('CONTROLE PRODUÇÃO POR EMPRESAS'!$B$6:$G$5000,MATCH($A1946,'CONTROLE PRODUÇÃO POR EMPRESAS'!$A$6:$A$5000,0),MOD(ROW()-2,6)+1)="","",IFERROR(1*INDEX('CONTROLE PRODUÇÃO POR EMPRESAS'!$B$6:$G$5000,MATCH($A1946,'CONTROLE PRODUÇÃO POR EMPRESAS'!$A$6:$A$5000,0),MOD(ROW()-2,6)+1),"")),"")</f>
        <v/>
      </c>
      <c r="I1946" s="159">
        <f>IF(OR(NOT(ISNUMBER(G1946)),NOT(ISNUMBER(H1946))),"",H1946-G1946)</f>
        <v/>
      </c>
      <c r="J1946" s="319">
        <f>IF(OR(NOT(ISNUMBER(G1946)),NOT(ISNUMBER(H1946)),G1946=0),"",I1946/G1946)</f>
        <v/>
      </c>
      <c r="K1946" s="319">
        <f>IF(OR(NOT(ISNUMBER(G1946)),NOT(ISNUMBER(H1946)),G1946=0),"",H1946/G1946)</f>
        <v/>
      </c>
      <c r="L1946">
        <f>IF(NOT(ISNUMBER(G1946)),"SEM META",IF(G1946=0,"SEM META",IF(NOT(ISNUMBER(H1946)),"SEM APONTAMENTO",IF(H1946&gt;=G1946,"VERDE",IF(H1946&gt;=G1946*0.9,"AMARELO","VERMELHO")))))</f>
        <v/>
      </c>
      <c r="M1946" s="162" t="n"/>
      <c r="N1946" s="162" t="n"/>
      <c r="O1946" s="162" t="n"/>
      <c r="P1946" s="162" t="n"/>
      <c r="Q1946" s="320" t="n"/>
      <c r="R1946" s="162" t="inlineStr">
        <is>
          <t>CONTROLE PRODUÇÃO POR EMPRESAS!B330</t>
        </is>
      </c>
    </row>
    <row r="1947" ht="28.5" customHeight="1">
      <c r="A1947" s="317" t="n">
        <v>46547</v>
      </c>
      <c r="B1947" t="inlineStr">
        <is>
          <t>GERAL</t>
        </is>
      </c>
      <c r="C1947" t="inlineStr">
        <is>
          <t>EJ</t>
        </is>
      </c>
      <c r="D1947" t="inlineStr">
        <is>
          <t>IÇAMENTO JOIST</t>
        </is>
      </c>
      <c r="F1947" s="159">
        <f>IFERROR(INDEX('BASE METAS DIÁRIAS'!$N$2:$S$358,MATCH($A1947,'BASE METAS DIÁRIAS'!$A$2:$A$358,0),MOD(ROW()-2,6)+1),"")</f>
        <v/>
      </c>
      <c r="G1947" s="159">
        <f>IFERROR(IF(WEEKDAY($A1947,2)&lt;=INDEX('BASE METAS DIÁRIAS'!$H$2:$M$358,MATCH($A1947,'BASE METAS DIÁRIAS'!$A$2:$A$358,0),MOD(ROW()-2,6)+1),INDEX('BASE METAS DIÁRIAS'!$B$2:$G$358,MATCH($A1947,'BASE METAS DIÁRIAS'!$A$2:$A$358,0),MOD(ROW()-2,6)+1),""),"")</f>
        <v/>
      </c>
      <c r="H1947" s="159">
        <f>IFERROR(IF(INDEX('CONTROLE PRODUÇÃO POR EMPRESAS'!$B$6:$G$5000,MATCH($A1947,'CONTROLE PRODUÇÃO POR EMPRESAS'!$A$6:$A$5000,0),MOD(ROW()-2,6)+1)="","",IFERROR(1*INDEX('CONTROLE PRODUÇÃO POR EMPRESAS'!$B$6:$G$5000,MATCH($A1947,'CONTROLE PRODUÇÃO POR EMPRESAS'!$A$6:$A$5000,0),MOD(ROW()-2,6)+1),"")),"")</f>
        <v/>
      </c>
      <c r="I1947" s="159">
        <f>IF(OR(NOT(ISNUMBER(G1947)),NOT(ISNUMBER(H1947))),"",H1947-G1947)</f>
        <v/>
      </c>
      <c r="J1947" s="319">
        <f>IF(OR(NOT(ISNUMBER(G1947)),NOT(ISNUMBER(H1947)),G1947=0),"",I1947/G1947)</f>
        <v/>
      </c>
      <c r="K1947" s="319">
        <f>IF(OR(NOT(ISNUMBER(G1947)),NOT(ISNUMBER(H1947)),G1947=0),"",H1947/G1947)</f>
        <v/>
      </c>
      <c r="L1947">
        <f>IF(NOT(ISNUMBER(G1947)),"SEM META",IF(G1947=0,"SEM META",IF(NOT(ISNUMBER(H1947)),"SEM APONTAMENTO",IF(H1947&gt;=G1947,"VERDE",IF(H1947&gt;=G1947*0.9,"AMARELO","VERMELHO")))))</f>
        <v/>
      </c>
      <c r="M1947" s="162" t="n"/>
      <c r="N1947" s="162" t="n"/>
      <c r="O1947" s="162" t="n"/>
      <c r="P1947" s="162" t="n"/>
      <c r="Q1947" s="320" t="n"/>
      <c r="R1947" s="162" t="inlineStr">
        <is>
          <t>CONTROLE PRODUÇÃO POR EMPRESAS!C330</t>
        </is>
      </c>
    </row>
    <row r="1948" ht="28.5" customHeight="1">
      <c r="A1948" s="317" t="n">
        <v>46547</v>
      </c>
      <c r="B1948" t="inlineStr">
        <is>
          <t>GERAL</t>
        </is>
      </c>
      <c r="C1948" t="inlineStr">
        <is>
          <t>EJ</t>
        </is>
      </c>
      <c r="D1948" t="inlineStr">
        <is>
          <t>VIGAS</t>
        </is>
      </c>
      <c r="F1948" s="159">
        <f>IFERROR(INDEX('BASE METAS DIÁRIAS'!$N$2:$S$358,MATCH($A1948,'BASE METAS DIÁRIAS'!$A$2:$A$358,0),MOD(ROW()-2,6)+1),"")</f>
        <v/>
      </c>
      <c r="G1948" s="159">
        <f>IFERROR(IF(WEEKDAY($A1948,2)&lt;=INDEX('BASE METAS DIÁRIAS'!$H$2:$M$358,MATCH($A1948,'BASE METAS DIÁRIAS'!$A$2:$A$358,0),MOD(ROW()-2,6)+1),INDEX('BASE METAS DIÁRIAS'!$B$2:$G$358,MATCH($A1948,'BASE METAS DIÁRIAS'!$A$2:$A$358,0),MOD(ROW()-2,6)+1),""),"")</f>
        <v/>
      </c>
      <c r="H1948" s="159">
        <f>IFERROR(IF(INDEX('CONTROLE PRODUÇÃO POR EMPRESAS'!$B$6:$G$5000,MATCH($A1948,'CONTROLE PRODUÇÃO POR EMPRESAS'!$A$6:$A$5000,0),MOD(ROW()-2,6)+1)="","",IFERROR(1*INDEX('CONTROLE PRODUÇÃO POR EMPRESAS'!$B$6:$G$5000,MATCH($A1948,'CONTROLE PRODUÇÃO POR EMPRESAS'!$A$6:$A$5000,0),MOD(ROW()-2,6)+1),"")),"")</f>
        <v/>
      </c>
      <c r="I1948" s="159">
        <f>IF(OR(NOT(ISNUMBER(G1948)),NOT(ISNUMBER(H1948))),"",H1948-G1948)</f>
        <v/>
      </c>
      <c r="J1948" s="319">
        <f>IF(OR(NOT(ISNUMBER(G1948)),NOT(ISNUMBER(H1948)),G1948=0),"",I1948/G1948)</f>
        <v/>
      </c>
      <c r="K1948" s="319">
        <f>IF(OR(NOT(ISNUMBER(G1948)),NOT(ISNUMBER(H1948)),G1948=0),"",H1948/G1948)</f>
        <v/>
      </c>
      <c r="L1948">
        <f>IF(NOT(ISNUMBER(G1948)),"SEM META",IF(G1948=0,"SEM META",IF(NOT(ISNUMBER(H1948)),"SEM APONTAMENTO",IF(H1948&gt;=G1948,"VERDE",IF(H1948&gt;=G1948*0.9,"AMARELO","VERMELHO")))))</f>
        <v/>
      </c>
      <c r="M1948" s="162" t="n"/>
      <c r="N1948" s="162" t="n"/>
      <c r="O1948" s="162" t="n"/>
      <c r="P1948" s="162" t="n"/>
      <c r="Q1948" s="320" t="n"/>
      <c r="R1948" s="162" t="inlineStr">
        <is>
          <t>CONTROLE PRODUÇÃO POR EMPRESAS!D330</t>
        </is>
      </c>
    </row>
    <row r="1949" ht="28.5" customHeight="1">
      <c r="A1949" s="317" t="n">
        <v>46547</v>
      </c>
      <c r="B1949" t="inlineStr">
        <is>
          <t>GERAL</t>
        </is>
      </c>
      <c r="C1949" t="inlineStr">
        <is>
          <t>CMM</t>
        </is>
      </c>
      <c r="D1949" t="inlineStr">
        <is>
          <t>PREMONTAGEM</t>
        </is>
      </c>
      <c r="F1949" s="159">
        <f>IFERROR(INDEX('BASE METAS DIÁRIAS'!$N$2:$S$358,MATCH($A1949,'BASE METAS DIÁRIAS'!$A$2:$A$358,0),MOD(ROW()-2,6)+1),"")</f>
        <v/>
      </c>
      <c r="G1949" s="159">
        <f>IFERROR(IF(WEEKDAY($A1949,2)&lt;=INDEX('BASE METAS DIÁRIAS'!$H$2:$M$358,MATCH($A1949,'BASE METAS DIÁRIAS'!$A$2:$A$358,0),MOD(ROW()-2,6)+1),INDEX('BASE METAS DIÁRIAS'!$B$2:$G$358,MATCH($A1949,'BASE METAS DIÁRIAS'!$A$2:$A$358,0),MOD(ROW()-2,6)+1),""),"")</f>
        <v/>
      </c>
      <c r="H1949" s="159">
        <f>IFERROR(IF(INDEX('CONTROLE PRODUÇÃO POR EMPRESAS'!$B$6:$G$5000,MATCH($A1949,'CONTROLE PRODUÇÃO POR EMPRESAS'!$A$6:$A$5000,0),MOD(ROW()-2,6)+1)="","",IFERROR(1*INDEX('CONTROLE PRODUÇÃO POR EMPRESAS'!$B$6:$G$5000,MATCH($A1949,'CONTROLE PRODUÇÃO POR EMPRESAS'!$A$6:$A$5000,0),MOD(ROW()-2,6)+1),"")),"")</f>
        <v/>
      </c>
      <c r="I1949" s="159">
        <f>IF(OR(NOT(ISNUMBER(G1949)),NOT(ISNUMBER(H1949))),"",H1949-G1949)</f>
        <v/>
      </c>
      <c r="J1949" s="319">
        <f>IF(OR(NOT(ISNUMBER(G1949)),NOT(ISNUMBER(H1949)),G1949=0),"",I1949/G1949)</f>
        <v/>
      </c>
      <c r="K1949" s="319">
        <f>IF(OR(NOT(ISNUMBER(G1949)),NOT(ISNUMBER(H1949)),G1949=0),"",H1949/G1949)</f>
        <v/>
      </c>
      <c r="L1949">
        <f>IF(NOT(ISNUMBER(G1949)),"SEM META",IF(G1949=0,"SEM META",IF(NOT(ISNUMBER(H1949)),"SEM APONTAMENTO",IF(H1949&gt;=G1949,"VERDE",IF(H1949&gt;=G1949*0.9,"AMARELO","VERMELHO")))))</f>
        <v/>
      </c>
      <c r="M1949" s="162" t="n"/>
      <c r="N1949" s="162" t="n"/>
      <c r="O1949" s="162" t="n"/>
      <c r="P1949" s="162" t="n"/>
      <c r="Q1949" s="320" t="n"/>
      <c r="R1949" s="162" t="inlineStr">
        <is>
          <t>CONTROLE PRODUÇÃO POR EMPRESAS!E330</t>
        </is>
      </c>
    </row>
    <row r="1950" ht="28.5" customHeight="1">
      <c r="A1950" s="317" t="n">
        <v>46547</v>
      </c>
      <c r="B1950" t="inlineStr">
        <is>
          <t>GERAL</t>
        </is>
      </c>
      <c r="C1950" t="inlineStr">
        <is>
          <t>CMM</t>
        </is>
      </c>
      <c r="D1950" t="inlineStr">
        <is>
          <t>IÇAMENTO JOIST</t>
        </is>
      </c>
      <c r="F1950" s="159">
        <f>IFERROR(INDEX('BASE METAS DIÁRIAS'!$N$2:$S$358,MATCH($A1950,'BASE METAS DIÁRIAS'!$A$2:$A$358,0),MOD(ROW()-2,6)+1),"")</f>
        <v/>
      </c>
      <c r="G1950" s="159">
        <f>IFERROR(IF(WEEKDAY($A1950,2)&lt;=INDEX('BASE METAS DIÁRIAS'!$H$2:$M$358,MATCH($A1950,'BASE METAS DIÁRIAS'!$A$2:$A$358,0),MOD(ROW()-2,6)+1),INDEX('BASE METAS DIÁRIAS'!$B$2:$G$358,MATCH($A1950,'BASE METAS DIÁRIAS'!$A$2:$A$358,0),MOD(ROW()-2,6)+1),""),"")</f>
        <v/>
      </c>
      <c r="H1950" s="159">
        <f>IFERROR(IF(INDEX('CONTROLE PRODUÇÃO POR EMPRESAS'!$B$6:$G$5000,MATCH($A1950,'CONTROLE PRODUÇÃO POR EMPRESAS'!$A$6:$A$5000,0),MOD(ROW()-2,6)+1)="","",IFERROR(1*INDEX('CONTROLE PRODUÇÃO POR EMPRESAS'!$B$6:$G$5000,MATCH($A1950,'CONTROLE PRODUÇÃO POR EMPRESAS'!$A$6:$A$5000,0),MOD(ROW()-2,6)+1),"")),"")</f>
        <v/>
      </c>
      <c r="I1950" s="159">
        <f>IF(OR(NOT(ISNUMBER(G1950)),NOT(ISNUMBER(H1950))),"",H1950-G1950)</f>
        <v/>
      </c>
      <c r="J1950" s="319">
        <f>IF(OR(NOT(ISNUMBER(G1950)),NOT(ISNUMBER(H1950)),G1950=0),"",I1950/G1950)</f>
        <v/>
      </c>
      <c r="K1950" s="319">
        <f>IF(OR(NOT(ISNUMBER(G1950)),NOT(ISNUMBER(H1950)),G1950=0),"",H1950/G1950)</f>
        <v/>
      </c>
      <c r="L1950">
        <f>IF(NOT(ISNUMBER(G1950)),"SEM META",IF(G1950=0,"SEM META",IF(NOT(ISNUMBER(H1950)),"SEM APONTAMENTO",IF(H1950&gt;=G1950,"VERDE",IF(H1950&gt;=G1950*0.9,"AMARELO","VERMELHO")))))</f>
        <v/>
      </c>
      <c r="M1950" s="162" t="n"/>
      <c r="N1950" s="162" t="n"/>
      <c r="O1950" s="162" t="n"/>
      <c r="P1950" s="162" t="n"/>
      <c r="Q1950" s="320" t="n"/>
      <c r="R1950" s="162" t="inlineStr">
        <is>
          <t>CONTROLE PRODUÇÃO POR EMPRESAS!F330</t>
        </is>
      </c>
    </row>
    <row r="1951" ht="28.5" customHeight="1">
      <c r="A1951" s="317" t="n">
        <v>46547</v>
      </c>
      <c r="B1951" t="inlineStr">
        <is>
          <t>GERAL</t>
        </is>
      </c>
      <c r="C1951" t="inlineStr">
        <is>
          <t>CMM</t>
        </is>
      </c>
      <c r="D1951" t="inlineStr">
        <is>
          <t>VIGAS</t>
        </is>
      </c>
      <c r="F1951" s="159">
        <f>IFERROR(INDEX('BASE METAS DIÁRIAS'!$N$2:$S$358,MATCH($A1951,'BASE METAS DIÁRIAS'!$A$2:$A$358,0),MOD(ROW()-2,6)+1),"")</f>
        <v/>
      </c>
      <c r="G1951" s="159">
        <f>IFERROR(IF(WEEKDAY($A1951,2)&lt;=INDEX('BASE METAS DIÁRIAS'!$H$2:$M$358,MATCH($A1951,'BASE METAS DIÁRIAS'!$A$2:$A$358,0),MOD(ROW()-2,6)+1),INDEX('BASE METAS DIÁRIAS'!$B$2:$G$358,MATCH($A1951,'BASE METAS DIÁRIAS'!$A$2:$A$358,0),MOD(ROW()-2,6)+1),""),"")</f>
        <v/>
      </c>
      <c r="H1951" s="159">
        <f>IFERROR(IF(INDEX('CONTROLE PRODUÇÃO POR EMPRESAS'!$B$6:$G$5000,MATCH($A1951,'CONTROLE PRODUÇÃO POR EMPRESAS'!$A$6:$A$5000,0),MOD(ROW()-2,6)+1)="","",IFERROR(1*INDEX('CONTROLE PRODUÇÃO POR EMPRESAS'!$B$6:$G$5000,MATCH($A1951,'CONTROLE PRODUÇÃO POR EMPRESAS'!$A$6:$A$5000,0),MOD(ROW()-2,6)+1),"")),"")</f>
        <v/>
      </c>
      <c r="I1951" s="159">
        <f>IF(OR(NOT(ISNUMBER(G1951)),NOT(ISNUMBER(H1951))),"",H1951-G1951)</f>
        <v/>
      </c>
      <c r="J1951" s="319">
        <f>IF(OR(NOT(ISNUMBER(G1951)),NOT(ISNUMBER(H1951)),G1951=0),"",I1951/G1951)</f>
        <v/>
      </c>
      <c r="K1951" s="319">
        <f>IF(OR(NOT(ISNUMBER(G1951)),NOT(ISNUMBER(H1951)),G1951=0),"",H1951/G1951)</f>
        <v/>
      </c>
      <c r="L1951">
        <f>IF(NOT(ISNUMBER(G1951)),"SEM META",IF(G1951=0,"SEM META",IF(NOT(ISNUMBER(H1951)),"SEM APONTAMENTO",IF(H1951&gt;=G1951,"VERDE",IF(H1951&gt;=G1951*0.9,"AMARELO","VERMELHO")))))</f>
        <v/>
      </c>
      <c r="M1951" s="162" t="n"/>
      <c r="N1951" s="162" t="n"/>
      <c r="O1951" s="162" t="n"/>
      <c r="P1951" s="162" t="n"/>
      <c r="Q1951" s="320" t="n"/>
      <c r="R1951" s="162" t="inlineStr">
        <is>
          <t>CONTROLE PRODUÇÃO POR EMPRESAS!G330</t>
        </is>
      </c>
    </row>
    <row r="1952" ht="28.5" customHeight="1">
      <c r="A1952" s="317" t="n">
        <v>46548</v>
      </c>
      <c r="B1952" t="inlineStr">
        <is>
          <t>GERAL</t>
        </is>
      </c>
      <c r="C1952" t="inlineStr">
        <is>
          <t>EJ</t>
        </is>
      </c>
      <c r="D1952" t="inlineStr">
        <is>
          <t>PREMONTAGEM</t>
        </is>
      </c>
      <c r="F1952" s="159">
        <f>IFERROR(INDEX('BASE METAS DIÁRIAS'!$N$2:$S$358,MATCH($A1952,'BASE METAS DIÁRIAS'!$A$2:$A$358,0),MOD(ROW()-2,6)+1),"")</f>
        <v/>
      </c>
      <c r="G1952" s="159">
        <f>IFERROR(IF(WEEKDAY($A1952,2)&lt;=INDEX('BASE METAS DIÁRIAS'!$H$2:$M$358,MATCH($A1952,'BASE METAS DIÁRIAS'!$A$2:$A$358,0),MOD(ROW()-2,6)+1),INDEX('BASE METAS DIÁRIAS'!$B$2:$G$358,MATCH($A1952,'BASE METAS DIÁRIAS'!$A$2:$A$358,0),MOD(ROW()-2,6)+1),""),"")</f>
        <v/>
      </c>
      <c r="H1952" s="159">
        <f>IFERROR(IF(INDEX('CONTROLE PRODUÇÃO POR EMPRESAS'!$B$6:$G$5000,MATCH($A1952,'CONTROLE PRODUÇÃO POR EMPRESAS'!$A$6:$A$5000,0),MOD(ROW()-2,6)+1)="","",IFERROR(1*INDEX('CONTROLE PRODUÇÃO POR EMPRESAS'!$B$6:$G$5000,MATCH($A1952,'CONTROLE PRODUÇÃO POR EMPRESAS'!$A$6:$A$5000,0),MOD(ROW()-2,6)+1),"")),"")</f>
        <v/>
      </c>
      <c r="I1952" s="159">
        <f>IF(OR(NOT(ISNUMBER(G1952)),NOT(ISNUMBER(H1952))),"",H1952-G1952)</f>
        <v/>
      </c>
      <c r="J1952" s="319">
        <f>IF(OR(NOT(ISNUMBER(G1952)),NOT(ISNUMBER(H1952)),G1952=0),"",I1952/G1952)</f>
        <v/>
      </c>
      <c r="K1952" s="319">
        <f>IF(OR(NOT(ISNUMBER(G1952)),NOT(ISNUMBER(H1952)),G1952=0),"",H1952/G1952)</f>
        <v/>
      </c>
      <c r="L1952">
        <f>IF(NOT(ISNUMBER(G1952)),"SEM META",IF(G1952=0,"SEM META",IF(NOT(ISNUMBER(H1952)),"SEM APONTAMENTO",IF(H1952&gt;=G1952,"VERDE",IF(H1952&gt;=G1952*0.9,"AMARELO","VERMELHO")))))</f>
        <v/>
      </c>
      <c r="M1952" s="162" t="n"/>
      <c r="N1952" s="162" t="n"/>
      <c r="O1952" s="162" t="n"/>
      <c r="P1952" s="162" t="n"/>
      <c r="Q1952" s="320" t="n"/>
      <c r="R1952" s="162" t="inlineStr">
        <is>
          <t>CONTROLE PRODUÇÃO POR EMPRESAS!B331</t>
        </is>
      </c>
    </row>
    <row r="1953" ht="28.5" customHeight="1">
      <c r="A1953" s="317" t="n">
        <v>46548</v>
      </c>
      <c r="B1953" t="inlineStr">
        <is>
          <t>GERAL</t>
        </is>
      </c>
      <c r="C1953" t="inlineStr">
        <is>
          <t>EJ</t>
        </is>
      </c>
      <c r="D1953" t="inlineStr">
        <is>
          <t>IÇAMENTO JOIST</t>
        </is>
      </c>
      <c r="F1953" s="159">
        <f>IFERROR(INDEX('BASE METAS DIÁRIAS'!$N$2:$S$358,MATCH($A1953,'BASE METAS DIÁRIAS'!$A$2:$A$358,0),MOD(ROW()-2,6)+1),"")</f>
        <v/>
      </c>
      <c r="G1953" s="159">
        <f>IFERROR(IF(WEEKDAY($A1953,2)&lt;=INDEX('BASE METAS DIÁRIAS'!$H$2:$M$358,MATCH($A1953,'BASE METAS DIÁRIAS'!$A$2:$A$358,0),MOD(ROW()-2,6)+1),INDEX('BASE METAS DIÁRIAS'!$B$2:$G$358,MATCH($A1953,'BASE METAS DIÁRIAS'!$A$2:$A$358,0),MOD(ROW()-2,6)+1),""),"")</f>
        <v/>
      </c>
      <c r="H1953" s="159">
        <f>IFERROR(IF(INDEX('CONTROLE PRODUÇÃO POR EMPRESAS'!$B$6:$G$5000,MATCH($A1953,'CONTROLE PRODUÇÃO POR EMPRESAS'!$A$6:$A$5000,0),MOD(ROW()-2,6)+1)="","",IFERROR(1*INDEX('CONTROLE PRODUÇÃO POR EMPRESAS'!$B$6:$G$5000,MATCH($A1953,'CONTROLE PRODUÇÃO POR EMPRESAS'!$A$6:$A$5000,0),MOD(ROW()-2,6)+1),"")),"")</f>
        <v/>
      </c>
      <c r="I1953" s="159">
        <f>IF(OR(NOT(ISNUMBER(G1953)),NOT(ISNUMBER(H1953))),"",H1953-G1953)</f>
        <v/>
      </c>
      <c r="J1953" s="319">
        <f>IF(OR(NOT(ISNUMBER(G1953)),NOT(ISNUMBER(H1953)),G1953=0),"",I1953/G1953)</f>
        <v/>
      </c>
      <c r="K1953" s="319">
        <f>IF(OR(NOT(ISNUMBER(G1953)),NOT(ISNUMBER(H1953)),G1953=0),"",H1953/G1953)</f>
        <v/>
      </c>
      <c r="L1953">
        <f>IF(NOT(ISNUMBER(G1953)),"SEM META",IF(G1953=0,"SEM META",IF(NOT(ISNUMBER(H1953)),"SEM APONTAMENTO",IF(H1953&gt;=G1953,"VERDE",IF(H1953&gt;=G1953*0.9,"AMARELO","VERMELHO")))))</f>
        <v/>
      </c>
      <c r="M1953" s="162" t="n"/>
      <c r="N1953" s="162" t="n"/>
      <c r="O1953" s="162" t="n"/>
      <c r="P1953" s="162" t="n"/>
      <c r="Q1953" s="320" t="n"/>
      <c r="R1953" s="162" t="inlineStr">
        <is>
          <t>CONTROLE PRODUÇÃO POR EMPRESAS!C331</t>
        </is>
      </c>
    </row>
    <row r="1954" ht="28.5" customHeight="1">
      <c r="A1954" s="317" t="n">
        <v>46548</v>
      </c>
      <c r="B1954" t="inlineStr">
        <is>
          <t>GERAL</t>
        </is>
      </c>
      <c r="C1954" t="inlineStr">
        <is>
          <t>EJ</t>
        </is>
      </c>
      <c r="D1954" t="inlineStr">
        <is>
          <t>VIGAS</t>
        </is>
      </c>
      <c r="F1954" s="159">
        <f>IFERROR(INDEX('BASE METAS DIÁRIAS'!$N$2:$S$358,MATCH($A1954,'BASE METAS DIÁRIAS'!$A$2:$A$358,0),MOD(ROW()-2,6)+1),"")</f>
        <v/>
      </c>
      <c r="G1954" s="159">
        <f>IFERROR(IF(WEEKDAY($A1954,2)&lt;=INDEX('BASE METAS DIÁRIAS'!$H$2:$M$358,MATCH($A1954,'BASE METAS DIÁRIAS'!$A$2:$A$358,0),MOD(ROW()-2,6)+1),INDEX('BASE METAS DIÁRIAS'!$B$2:$G$358,MATCH($A1954,'BASE METAS DIÁRIAS'!$A$2:$A$358,0),MOD(ROW()-2,6)+1),""),"")</f>
        <v/>
      </c>
      <c r="H1954" s="159">
        <f>IFERROR(IF(INDEX('CONTROLE PRODUÇÃO POR EMPRESAS'!$B$6:$G$5000,MATCH($A1954,'CONTROLE PRODUÇÃO POR EMPRESAS'!$A$6:$A$5000,0),MOD(ROW()-2,6)+1)="","",IFERROR(1*INDEX('CONTROLE PRODUÇÃO POR EMPRESAS'!$B$6:$G$5000,MATCH($A1954,'CONTROLE PRODUÇÃO POR EMPRESAS'!$A$6:$A$5000,0),MOD(ROW()-2,6)+1),"")),"")</f>
        <v/>
      </c>
      <c r="I1954" s="159">
        <f>IF(OR(NOT(ISNUMBER(G1954)),NOT(ISNUMBER(H1954))),"",H1954-G1954)</f>
        <v/>
      </c>
      <c r="J1954" s="319">
        <f>IF(OR(NOT(ISNUMBER(G1954)),NOT(ISNUMBER(H1954)),G1954=0),"",I1954/G1954)</f>
        <v/>
      </c>
      <c r="K1954" s="319">
        <f>IF(OR(NOT(ISNUMBER(G1954)),NOT(ISNUMBER(H1954)),G1954=0),"",H1954/G1954)</f>
        <v/>
      </c>
      <c r="L1954">
        <f>IF(NOT(ISNUMBER(G1954)),"SEM META",IF(G1954=0,"SEM META",IF(NOT(ISNUMBER(H1954)),"SEM APONTAMENTO",IF(H1954&gt;=G1954,"VERDE",IF(H1954&gt;=G1954*0.9,"AMARELO","VERMELHO")))))</f>
        <v/>
      </c>
      <c r="M1954" s="162" t="n"/>
      <c r="N1954" s="162" t="n"/>
      <c r="O1954" s="162" t="n"/>
      <c r="P1954" s="162" t="n"/>
      <c r="Q1954" s="320" t="n"/>
      <c r="R1954" s="162" t="inlineStr">
        <is>
          <t>CONTROLE PRODUÇÃO POR EMPRESAS!D331</t>
        </is>
      </c>
    </row>
    <row r="1955" ht="28.5" customHeight="1">
      <c r="A1955" s="317" t="n">
        <v>46548</v>
      </c>
      <c r="B1955" t="inlineStr">
        <is>
          <t>GERAL</t>
        </is>
      </c>
      <c r="C1955" t="inlineStr">
        <is>
          <t>CMM</t>
        </is>
      </c>
      <c r="D1955" t="inlineStr">
        <is>
          <t>PREMONTAGEM</t>
        </is>
      </c>
      <c r="F1955" s="159">
        <f>IFERROR(INDEX('BASE METAS DIÁRIAS'!$N$2:$S$358,MATCH($A1955,'BASE METAS DIÁRIAS'!$A$2:$A$358,0),MOD(ROW()-2,6)+1),"")</f>
        <v/>
      </c>
      <c r="G1955" s="159">
        <f>IFERROR(IF(WEEKDAY($A1955,2)&lt;=INDEX('BASE METAS DIÁRIAS'!$H$2:$M$358,MATCH($A1955,'BASE METAS DIÁRIAS'!$A$2:$A$358,0),MOD(ROW()-2,6)+1),INDEX('BASE METAS DIÁRIAS'!$B$2:$G$358,MATCH($A1955,'BASE METAS DIÁRIAS'!$A$2:$A$358,0),MOD(ROW()-2,6)+1),""),"")</f>
        <v/>
      </c>
      <c r="H1955" s="159">
        <f>IFERROR(IF(INDEX('CONTROLE PRODUÇÃO POR EMPRESAS'!$B$6:$G$5000,MATCH($A1955,'CONTROLE PRODUÇÃO POR EMPRESAS'!$A$6:$A$5000,0),MOD(ROW()-2,6)+1)="","",IFERROR(1*INDEX('CONTROLE PRODUÇÃO POR EMPRESAS'!$B$6:$G$5000,MATCH($A1955,'CONTROLE PRODUÇÃO POR EMPRESAS'!$A$6:$A$5000,0),MOD(ROW()-2,6)+1),"")),"")</f>
        <v/>
      </c>
      <c r="I1955" s="159">
        <f>IF(OR(NOT(ISNUMBER(G1955)),NOT(ISNUMBER(H1955))),"",H1955-G1955)</f>
        <v/>
      </c>
      <c r="J1955" s="319">
        <f>IF(OR(NOT(ISNUMBER(G1955)),NOT(ISNUMBER(H1955)),G1955=0),"",I1955/G1955)</f>
        <v/>
      </c>
      <c r="K1955" s="319">
        <f>IF(OR(NOT(ISNUMBER(G1955)),NOT(ISNUMBER(H1955)),G1955=0),"",H1955/G1955)</f>
        <v/>
      </c>
      <c r="L1955">
        <f>IF(NOT(ISNUMBER(G1955)),"SEM META",IF(G1955=0,"SEM META",IF(NOT(ISNUMBER(H1955)),"SEM APONTAMENTO",IF(H1955&gt;=G1955,"VERDE",IF(H1955&gt;=G1955*0.9,"AMARELO","VERMELHO")))))</f>
        <v/>
      </c>
      <c r="M1955" s="162" t="n"/>
      <c r="N1955" s="162" t="n"/>
      <c r="O1955" s="162" t="n"/>
      <c r="P1955" s="162" t="n"/>
      <c r="Q1955" s="320" t="n"/>
      <c r="R1955" s="162" t="inlineStr">
        <is>
          <t>CONTROLE PRODUÇÃO POR EMPRESAS!E331</t>
        </is>
      </c>
    </row>
    <row r="1956" ht="28.5" customHeight="1">
      <c r="A1956" s="317" t="n">
        <v>46548</v>
      </c>
      <c r="B1956" t="inlineStr">
        <is>
          <t>GERAL</t>
        </is>
      </c>
      <c r="C1956" t="inlineStr">
        <is>
          <t>CMM</t>
        </is>
      </c>
      <c r="D1956" t="inlineStr">
        <is>
          <t>IÇAMENTO JOIST</t>
        </is>
      </c>
      <c r="F1956" s="159">
        <f>IFERROR(INDEX('BASE METAS DIÁRIAS'!$N$2:$S$358,MATCH($A1956,'BASE METAS DIÁRIAS'!$A$2:$A$358,0),MOD(ROW()-2,6)+1),"")</f>
        <v/>
      </c>
      <c r="G1956" s="159">
        <f>IFERROR(IF(WEEKDAY($A1956,2)&lt;=INDEX('BASE METAS DIÁRIAS'!$H$2:$M$358,MATCH($A1956,'BASE METAS DIÁRIAS'!$A$2:$A$358,0),MOD(ROW()-2,6)+1),INDEX('BASE METAS DIÁRIAS'!$B$2:$G$358,MATCH($A1956,'BASE METAS DIÁRIAS'!$A$2:$A$358,0),MOD(ROW()-2,6)+1),""),"")</f>
        <v/>
      </c>
      <c r="H1956" s="159">
        <f>IFERROR(IF(INDEX('CONTROLE PRODUÇÃO POR EMPRESAS'!$B$6:$G$5000,MATCH($A1956,'CONTROLE PRODUÇÃO POR EMPRESAS'!$A$6:$A$5000,0),MOD(ROW()-2,6)+1)="","",IFERROR(1*INDEX('CONTROLE PRODUÇÃO POR EMPRESAS'!$B$6:$G$5000,MATCH($A1956,'CONTROLE PRODUÇÃO POR EMPRESAS'!$A$6:$A$5000,0),MOD(ROW()-2,6)+1),"")),"")</f>
        <v/>
      </c>
      <c r="I1956" s="159">
        <f>IF(OR(NOT(ISNUMBER(G1956)),NOT(ISNUMBER(H1956))),"",H1956-G1956)</f>
        <v/>
      </c>
      <c r="J1956" s="319">
        <f>IF(OR(NOT(ISNUMBER(G1956)),NOT(ISNUMBER(H1956)),G1956=0),"",I1956/G1956)</f>
        <v/>
      </c>
      <c r="K1956" s="319">
        <f>IF(OR(NOT(ISNUMBER(G1956)),NOT(ISNUMBER(H1956)),G1956=0),"",H1956/G1956)</f>
        <v/>
      </c>
      <c r="L1956">
        <f>IF(NOT(ISNUMBER(G1956)),"SEM META",IF(G1956=0,"SEM META",IF(NOT(ISNUMBER(H1956)),"SEM APONTAMENTO",IF(H1956&gt;=G1956,"VERDE",IF(H1956&gt;=G1956*0.9,"AMARELO","VERMELHO")))))</f>
        <v/>
      </c>
      <c r="M1956" s="162" t="n"/>
      <c r="N1956" s="162" t="n"/>
      <c r="O1956" s="162" t="n"/>
      <c r="P1956" s="162" t="n"/>
      <c r="Q1956" s="320" t="n"/>
      <c r="R1956" s="162" t="inlineStr">
        <is>
          <t>CONTROLE PRODUÇÃO POR EMPRESAS!F331</t>
        </is>
      </c>
    </row>
    <row r="1957" ht="28.5" customHeight="1">
      <c r="A1957" s="317" t="n">
        <v>46548</v>
      </c>
      <c r="B1957" t="inlineStr">
        <is>
          <t>GERAL</t>
        </is>
      </c>
      <c r="C1957" t="inlineStr">
        <is>
          <t>CMM</t>
        </is>
      </c>
      <c r="D1957" t="inlineStr">
        <is>
          <t>VIGAS</t>
        </is>
      </c>
      <c r="F1957" s="159">
        <f>IFERROR(INDEX('BASE METAS DIÁRIAS'!$N$2:$S$358,MATCH($A1957,'BASE METAS DIÁRIAS'!$A$2:$A$358,0),MOD(ROW()-2,6)+1),"")</f>
        <v/>
      </c>
      <c r="G1957" s="159">
        <f>IFERROR(IF(WEEKDAY($A1957,2)&lt;=INDEX('BASE METAS DIÁRIAS'!$H$2:$M$358,MATCH($A1957,'BASE METAS DIÁRIAS'!$A$2:$A$358,0),MOD(ROW()-2,6)+1),INDEX('BASE METAS DIÁRIAS'!$B$2:$G$358,MATCH($A1957,'BASE METAS DIÁRIAS'!$A$2:$A$358,0),MOD(ROW()-2,6)+1),""),"")</f>
        <v/>
      </c>
      <c r="H1957" s="159">
        <f>IFERROR(IF(INDEX('CONTROLE PRODUÇÃO POR EMPRESAS'!$B$6:$G$5000,MATCH($A1957,'CONTROLE PRODUÇÃO POR EMPRESAS'!$A$6:$A$5000,0),MOD(ROW()-2,6)+1)="","",IFERROR(1*INDEX('CONTROLE PRODUÇÃO POR EMPRESAS'!$B$6:$G$5000,MATCH($A1957,'CONTROLE PRODUÇÃO POR EMPRESAS'!$A$6:$A$5000,0),MOD(ROW()-2,6)+1),"")),"")</f>
        <v/>
      </c>
      <c r="I1957" s="159">
        <f>IF(OR(NOT(ISNUMBER(G1957)),NOT(ISNUMBER(H1957))),"",H1957-G1957)</f>
        <v/>
      </c>
      <c r="J1957" s="319">
        <f>IF(OR(NOT(ISNUMBER(G1957)),NOT(ISNUMBER(H1957)),G1957=0),"",I1957/G1957)</f>
        <v/>
      </c>
      <c r="K1957" s="319">
        <f>IF(OR(NOT(ISNUMBER(G1957)),NOT(ISNUMBER(H1957)),G1957=0),"",H1957/G1957)</f>
        <v/>
      </c>
      <c r="L1957">
        <f>IF(NOT(ISNUMBER(G1957)),"SEM META",IF(G1957=0,"SEM META",IF(NOT(ISNUMBER(H1957)),"SEM APONTAMENTO",IF(H1957&gt;=G1957,"VERDE",IF(H1957&gt;=G1957*0.9,"AMARELO","VERMELHO")))))</f>
        <v/>
      </c>
      <c r="M1957" s="162" t="n"/>
      <c r="N1957" s="162" t="n"/>
      <c r="O1957" s="162" t="n"/>
      <c r="P1957" s="162" t="n"/>
      <c r="Q1957" s="320" t="n"/>
      <c r="R1957" s="162" t="inlineStr">
        <is>
          <t>CONTROLE PRODUÇÃO POR EMPRESAS!G331</t>
        </is>
      </c>
    </row>
    <row r="1958" ht="28.5" customHeight="1">
      <c r="A1958" s="317" t="n">
        <v>46549</v>
      </c>
      <c r="B1958" t="inlineStr">
        <is>
          <t>GERAL</t>
        </is>
      </c>
      <c r="C1958" t="inlineStr">
        <is>
          <t>EJ</t>
        </is>
      </c>
      <c r="D1958" t="inlineStr">
        <is>
          <t>PREMONTAGEM</t>
        </is>
      </c>
      <c r="F1958" s="159">
        <f>IFERROR(INDEX('BASE METAS DIÁRIAS'!$N$2:$S$358,MATCH($A1958,'BASE METAS DIÁRIAS'!$A$2:$A$358,0),MOD(ROW()-2,6)+1),"")</f>
        <v/>
      </c>
      <c r="G1958" s="159">
        <f>IFERROR(IF(WEEKDAY($A1958,2)&lt;=INDEX('BASE METAS DIÁRIAS'!$H$2:$M$358,MATCH($A1958,'BASE METAS DIÁRIAS'!$A$2:$A$358,0),MOD(ROW()-2,6)+1),INDEX('BASE METAS DIÁRIAS'!$B$2:$G$358,MATCH($A1958,'BASE METAS DIÁRIAS'!$A$2:$A$358,0),MOD(ROW()-2,6)+1),""),"")</f>
        <v/>
      </c>
      <c r="H1958" s="159">
        <f>IFERROR(IF(INDEX('CONTROLE PRODUÇÃO POR EMPRESAS'!$B$6:$G$5000,MATCH($A1958,'CONTROLE PRODUÇÃO POR EMPRESAS'!$A$6:$A$5000,0),MOD(ROW()-2,6)+1)="","",IFERROR(1*INDEX('CONTROLE PRODUÇÃO POR EMPRESAS'!$B$6:$G$5000,MATCH($A1958,'CONTROLE PRODUÇÃO POR EMPRESAS'!$A$6:$A$5000,0),MOD(ROW()-2,6)+1),"")),"")</f>
        <v/>
      </c>
      <c r="I1958" s="159">
        <f>IF(OR(NOT(ISNUMBER(G1958)),NOT(ISNUMBER(H1958))),"",H1958-G1958)</f>
        <v/>
      </c>
      <c r="J1958" s="319">
        <f>IF(OR(NOT(ISNUMBER(G1958)),NOT(ISNUMBER(H1958)),G1958=0),"",I1958/G1958)</f>
        <v/>
      </c>
      <c r="K1958" s="319">
        <f>IF(OR(NOT(ISNUMBER(G1958)),NOT(ISNUMBER(H1958)),G1958=0),"",H1958/G1958)</f>
        <v/>
      </c>
      <c r="L1958">
        <f>IF(NOT(ISNUMBER(G1958)),"SEM META",IF(G1958=0,"SEM META",IF(NOT(ISNUMBER(H1958)),"SEM APONTAMENTO",IF(H1958&gt;=G1958,"VERDE",IF(H1958&gt;=G1958*0.9,"AMARELO","VERMELHO")))))</f>
        <v/>
      </c>
      <c r="M1958" s="162" t="n"/>
      <c r="N1958" s="162" t="n"/>
      <c r="O1958" s="162" t="n"/>
      <c r="P1958" s="162" t="n"/>
      <c r="Q1958" s="320" t="n"/>
      <c r="R1958" s="162" t="inlineStr">
        <is>
          <t>CONTROLE PRODUÇÃO POR EMPRESAS!B332</t>
        </is>
      </c>
    </row>
    <row r="1959" ht="28.5" customHeight="1">
      <c r="A1959" s="317" t="n">
        <v>46549</v>
      </c>
      <c r="B1959" t="inlineStr">
        <is>
          <t>GERAL</t>
        </is>
      </c>
      <c r="C1959" t="inlineStr">
        <is>
          <t>EJ</t>
        </is>
      </c>
      <c r="D1959" t="inlineStr">
        <is>
          <t>IÇAMENTO JOIST</t>
        </is>
      </c>
      <c r="F1959" s="159">
        <f>IFERROR(INDEX('BASE METAS DIÁRIAS'!$N$2:$S$358,MATCH($A1959,'BASE METAS DIÁRIAS'!$A$2:$A$358,0),MOD(ROW()-2,6)+1),"")</f>
        <v/>
      </c>
      <c r="G1959" s="159">
        <f>IFERROR(IF(WEEKDAY($A1959,2)&lt;=INDEX('BASE METAS DIÁRIAS'!$H$2:$M$358,MATCH($A1959,'BASE METAS DIÁRIAS'!$A$2:$A$358,0),MOD(ROW()-2,6)+1),INDEX('BASE METAS DIÁRIAS'!$B$2:$G$358,MATCH($A1959,'BASE METAS DIÁRIAS'!$A$2:$A$358,0),MOD(ROW()-2,6)+1),""),"")</f>
        <v/>
      </c>
      <c r="H1959" s="159">
        <f>IFERROR(IF(INDEX('CONTROLE PRODUÇÃO POR EMPRESAS'!$B$6:$G$5000,MATCH($A1959,'CONTROLE PRODUÇÃO POR EMPRESAS'!$A$6:$A$5000,0),MOD(ROW()-2,6)+1)="","",IFERROR(1*INDEX('CONTROLE PRODUÇÃO POR EMPRESAS'!$B$6:$G$5000,MATCH($A1959,'CONTROLE PRODUÇÃO POR EMPRESAS'!$A$6:$A$5000,0),MOD(ROW()-2,6)+1),"")),"")</f>
        <v/>
      </c>
      <c r="I1959" s="159">
        <f>IF(OR(NOT(ISNUMBER(G1959)),NOT(ISNUMBER(H1959))),"",H1959-G1959)</f>
        <v/>
      </c>
      <c r="J1959" s="319">
        <f>IF(OR(NOT(ISNUMBER(G1959)),NOT(ISNUMBER(H1959)),G1959=0),"",I1959/G1959)</f>
        <v/>
      </c>
      <c r="K1959" s="319">
        <f>IF(OR(NOT(ISNUMBER(G1959)),NOT(ISNUMBER(H1959)),G1959=0),"",H1959/G1959)</f>
        <v/>
      </c>
      <c r="L1959">
        <f>IF(NOT(ISNUMBER(G1959)),"SEM META",IF(G1959=0,"SEM META",IF(NOT(ISNUMBER(H1959)),"SEM APONTAMENTO",IF(H1959&gt;=G1959,"VERDE",IF(H1959&gt;=G1959*0.9,"AMARELO","VERMELHO")))))</f>
        <v/>
      </c>
      <c r="M1959" s="162" t="n"/>
      <c r="N1959" s="162" t="n"/>
      <c r="O1959" s="162" t="n"/>
      <c r="P1959" s="162" t="n"/>
      <c r="Q1959" s="320" t="n"/>
      <c r="R1959" s="162" t="inlineStr">
        <is>
          <t>CONTROLE PRODUÇÃO POR EMPRESAS!C332</t>
        </is>
      </c>
    </row>
    <row r="1960" ht="28.5" customHeight="1">
      <c r="A1960" s="317" t="n">
        <v>46549</v>
      </c>
      <c r="B1960" t="inlineStr">
        <is>
          <t>GERAL</t>
        </is>
      </c>
      <c r="C1960" t="inlineStr">
        <is>
          <t>EJ</t>
        </is>
      </c>
      <c r="D1960" t="inlineStr">
        <is>
          <t>VIGAS</t>
        </is>
      </c>
      <c r="F1960" s="159">
        <f>IFERROR(INDEX('BASE METAS DIÁRIAS'!$N$2:$S$358,MATCH($A1960,'BASE METAS DIÁRIAS'!$A$2:$A$358,0),MOD(ROW()-2,6)+1),"")</f>
        <v/>
      </c>
      <c r="G1960" s="159">
        <f>IFERROR(IF(WEEKDAY($A1960,2)&lt;=INDEX('BASE METAS DIÁRIAS'!$H$2:$M$358,MATCH($A1960,'BASE METAS DIÁRIAS'!$A$2:$A$358,0),MOD(ROW()-2,6)+1),INDEX('BASE METAS DIÁRIAS'!$B$2:$G$358,MATCH($A1960,'BASE METAS DIÁRIAS'!$A$2:$A$358,0),MOD(ROW()-2,6)+1),""),"")</f>
        <v/>
      </c>
      <c r="H1960" s="159">
        <f>IFERROR(IF(INDEX('CONTROLE PRODUÇÃO POR EMPRESAS'!$B$6:$G$5000,MATCH($A1960,'CONTROLE PRODUÇÃO POR EMPRESAS'!$A$6:$A$5000,0),MOD(ROW()-2,6)+1)="","",IFERROR(1*INDEX('CONTROLE PRODUÇÃO POR EMPRESAS'!$B$6:$G$5000,MATCH($A1960,'CONTROLE PRODUÇÃO POR EMPRESAS'!$A$6:$A$5000,0),MOD(ROW()-2,6)+1),"")),"")</f>
        <v/>
      </c>
      <c r="I1960" s="159">
        <f>IF(OR(NOT(ISNUMBER(G1960)),NOT(ISNUMBER(H1960))),"",H1960-G1960)</f>
        <v/>
      </c>
      <c r="J1960" s="319">
        <f>IF(OR(NOT(ISNUMBER(G1960)),NOT(ISNUMBER(H1960)),G1960=0),"",I1960/G1960)</f>
        <v/>
      </c>
      <c r="K1960" s="319">
        <f>IF(OR(NOT(ISNUMBER(G1960)),NOT(ISNUMBER(H1960)),G1960=0),"",H1960/G1960)</f>
        <v/>
      </c>
      <c r="L1960">
        <f>IF(NOT(ISNUMBER(G1960)),"SEM META",IF(G1960=0,"SEM META",IF(NOT(ISNUMBER(H1960)),"SEM APONTAMENTO",IF(H1960&gt;=G1960,"VERDE",IF(H1960&gt;=G1960*0.9,"AMARELO","VERMELHO")))))</f>
        <v/>
      </c>
      <c r="M1960" s="162" t="n"/>
      <c r="N1960" s="162" t="n"/>
      <c r="O1960" s="162" t="n"/>
      <c r="P1960" s="162" t="n"/>
      <c r="Q1960" s="320" t="n"/>
      <c r="R1960" s="162" t="inlineStr">
        <is>
          <t>CONTROLE PRODUÇÃO POR EMPRESAS!D332</t>
        </is>
      </c>
    </row>
    <row r="1961" ht="28.5" customHeight="1">
      <c r="A1961" s="317" t="n">
        <v>46549</v>
      </c>
      <c r="B1961" t="inlineStr">
        <is>
          <t>GERAL</t>
        </is>
      </c>
      <c r="C1961" t="inlineStr">
        <is>
          <t>CMM</t>
        </is>
      </c>
      <c r="D1961" t="inlineStr">
        <is>
          <t>PREMONTAGEM</t>
        </is>
      </c>
      <c r="F1961" s="159">
        <f>IFERROR(INDEX('BASE METAS DIÁRIAS'!$N$2:$S$358,MATCH($A1961,'BASE METAS DIÁRIAS'!$A$2:$A$358,0),MOD(ROW()-2,6)+1),"")</f>
        <v/>
      </c>
      <c r="G1961" s="159">
        <f>IFERROR(IF(WEEKDAY($A1961,2)&lt;=INDEX('BASE METAS DIÁRIAS'!$H$2:$M$358,MATCH($A1961,'BASE METAS DIÁRIAS'!$A$2:$A$358,0),MOD(ROW()-2,6)+1),INDEX('BASE METAS DIÁRIAS'!$B$2:$G$358,MATCH($A1961,'BASE METAS DIÁRIAS'!$A$2:$A$358,0),MOD(ROW()-2,6)+1),""),"")</f>
        <v/>
      </c>
      <c r="H1961" s="159">
        <f>IFERROR(IF(INDEX('CONTROLE PRODUÇÃO POR EMPRESAS'!$B$6:$G$5000,MATCH($A1961,'CONTROLE PRODUÇÃO POR EMPRESAS'!$A$6:$A$5000,0),MOD(ROW()-2,6)+1)="","",IFERROR(1*INDEX('CONTROLE PRODUÇÃO POR EMPRESAS'!$B$6:$G$5000,MATCH($A1961,'CONTROLE PRODUÇÃO POR EMPRESAS'!$A$6:$A$5000,0),MOD(ROW()-2,6)+1),"")),"")</f>
        <v/>
      </c>
      <c r="I1961" s="159">
        <f>IF(OR(NOT(ISNUMBER(G1961)),NOT(ISNUMBER(H1961))),"",H1961-G1961)</f>
        <v/>
      </c>
      <c r="J1961" s="319">
        <f>IF(OR(NOT(ISNUMBER(G1961)),NOT(ISNUMBER(H1961)),G1961=0),"",I1961/G1961)</f>
        <v/>
      </c>
      <c r="K1961" s="319">
        <f>IF(OR(NOT(ISNUMBER(G1961)),NOT(ISNUMBER(H1961)),G1961=0),"",H1961/G1961)</f>
        <v/>
      </c>
      <c r="L1961">
        <f>IF(NOT(ISNUMBER(G1961)),"SEM META",IF(G1961=0,"SEM META",IF(NOT(ISNUMBER(H1961)),"SEM APONTAMENTO",IF(H1961&gt;=G1961,"VERDE",IF(H1961&gt;=G1961*0.9,"AMARELO","VERMELHO")))))</f>
        <v/>
      </c>
      <c r="M1961" s="162" t="n"/>
      <c r="N1961" s="162" t="n"/>
      <c r="O1961" s="162" t="n"/>
      <c r="P1961" s="162" t="n"/>
      <c r="Q1961" s="320" t="n"/>
      <c r="R1961" s="162" t="inlineStr">
        <is>
          <t>CONTROLE PRODUÇÃO POR EMPRESAS!E332</t>
        </is>
      </c>
    </row>
    <row r="1962" ht="28.5" customHeight="1">
      <c r="A1962" s="317" t="n">
        <v>46549</v>
      </c>
      <c r="B1962" t="inlineStr">
        <is>
          <t>GERAL</t>
        </is>
      </c>
      <c r="C1962" t="inlineStr">
        <is>
          <t>CMM</t>
        </is>
      </c>
      <c r="D1962" t="inlineStr">
        <is>
          <t>IÇAMENTO JOIST</t>
        </is>
      </c>
      <c r="F1962" s="159">
        <f>IFERROR(INDEX('BASE METAS DIÁRIAS'!$N$2:$S$358,MATCH($A1962,'BASE METAS DIÁRIAS'!$A$2:$A$358,0),MOD(ROW()-2,6)+1),"")</f>
        <v/>
      </c>
      <c r="G1962" s="159">
        <f>IFERROR(IF(WEEKDAY($A1962,2)&lt;=INDEX('BASE METAS DIÁRIAS'!$H$2:$M$358,MATCH($A1962,'BASE METAS DIÁRIAS'!$A$2:$A$358,0),MOD(ROW()-2,6)+1),INDEX('BASE METAS DIÁRIAS'!$B$2:$G$358,MATCH($A1962,'BASE METAS DIÁRIAS'!$A$2:$A$358,0),MOD(ROW()-2,6)+1),""),"")</f>
        <v/>
      </c>
      <c r="H1962" s="159">
        <f>IFERROR(IF(INDEX('CONTROLE PRODUÇÃO POR EMPRESAS'!$B$6:$G$5000,MATCH($A1962,'CONTROLE PRODUÇÃO POR EMPRESAS'!$A$6:$A$5000,0),MOD(ROW()-2,6)+1)="","",IFERROR(1*INDEX('CONTROLE PRODUÇÃO POR EMPRESAS'!$B$6:$G$5000,MATCH($A1962,'CONTROLE PRODUÇÃO POR EMPRESAS'!$A$6:$A$5000,0),MOD(ROW()-2,6)+1),"")),"")</f>
        <v/>
      </c>
      <c r="I1962" s="159">
        <f>IF(OR(NOT(ISNUMBER(G1962)),NOT(ISNUMBER(H1962))),"",H1962-G1962)</f>
        <v/>
      </c>
      <c r="J1962" s="319">
        <f>IF(OR(NOT(ISNUMBER(G1962)),NOT(ISNUMBER(H1962)),G1962=0),"",I1962/G1962)</f>
        <v/>
      </c>
      <c r="K1962" s="319">
        <f>IF(OR(NOT(ISNUMBER(G1962)),NOT(ISNUMBER(H1962)),G1962=0),"",H1962/G1962)</f>
        <v/>
      </c>
      <c r="L1962">
        <f>IF(NOT(ISNUMBER(G1962)),"SEM META",IF(G1962=0,"SEM META",IF(NOT(ISNUMBER(H1962)),"SEM APONTAMENTO",IF(H1962&gt;=G1962,"VERDE",IF(H1962&gt;=G1962*0.9,"AMARELO","VERMELHO")))))</f>
        <v/>
      </c>
      <c r="M1962" s="162" t="n"/>
      <c r="N1962" s="162" t="n"/>
      <c r="O1962" s="162" t="n"/>
      <c r="P1962" s="162" t="n"/>
      <c r="Q1962" s="320" t="n"/>
      <c r="R1962" s="162" t="inlineStr">
        <is>
          <t>CONTROLE PRODUÇÃO POR EMPRESAS!F332</t>
        </is>
      </c>
    </row>
    <row r="1963" ht="28.5" customHeight="1">
      <c r="A1963" s="317" t="n">
        <v>46549</v>
      </c>
      <c r="B1963" t="inlineStr">
        <is>
          <t>GERAL</t>
        </is>
      </c>
      <c r="C1963" t="inlineStr">
        <is>
          <t>CMM</t>
        </is>
      </c>
      <c r="D1963" t="inlineStr">
        <is>
          <t>VIGAS</t>
        </is>
      </c>
      <c r="F1963" s="159">
        <f>IFERROR(INDEX('BASE METAS DIÁRIAS'!$N$2:$S$358,MATCH($A1963,'BASE METAS DIÁRIAS'!$A$2:$A$358,0),MOD(ROW()-2,6)+1),"")</f>
        <v/>
      </c>
      <c r="G1963" s="159">
        <f>IFERROR(IF(WEEKDAY($A1963,2)&lt;=INDEX('BASE METAS DIÁRIAS'!$H$2:$M$358,MATCH($A1963,'BASE METAS DIÁRIAS'!$A$2:$A$358,0),MOD(ROW()-2,6)+1),INDEX('BASE METAS DIÁRIAS'!$B$2:$G$358,MATCH($A1963,'BASE METAS DIÁRIAS'!$A$2:$A$358,0),MOD(ROW()-2,6)+1),""),"")</f>
        <v/>
      </c>
      <c r="H1963" s="159">
        <f>IFERROR(IF(INDEX('CONTROLE PRODUÇÃO POR EMPRESAS'!$B$6:$G$5000,MATCH($A1963,'CONTROLE PRODUÇÃO POR EMPRESAS'!$A$6:$A$5000,0),MOD(ROW()-2,6)+1)="","",IFERROR(1*INDEX('CONTROLE PRODUÇÃO POR EMPRESAS'!$B$6:$G$5000,MATCH($A1963,'CONTROLE PRODUÇÃO POR EMPRESAS'!$A$6:$A$5000,0),MOD(ROW()-2,6)+1),"")),"")</f>
        <v/>
      </c>
      <c r="I1963" s="159">
        <f>IF(OR(NOT(ISNUMBER(G1963)),NOT(ISNUMBER(H1963))),"",H1963-G1963)</f>
        <v/>
      </c>
      <c r="J1963" s="319">
        <f>IF(OR(NOT(ISNUMBER(G1963)),NOT(ISNUMBER(H1963)),G1963=0),"",I1963/G1963)</f>
        <v/>
      </c>
      <c r="K1963" s="319">
        <f>IF(OR(NOT(ISNUMBER(G1963)),NOT(ISNUMBER(H1963)),G1963=0),"",H1963/G1963)</f>
        <v/>
      </c>
      <c r="L1963">
        <f>IF(NOT(ISNUMBER(G1963)),"SEM META",IF(G1963=0,"SEM META",IF(NOT(ISNUMBER(H1963)),"SEM APONTAMENTO",IF(H1963&gt;=G1963,"VERDE",IF(H1963&gt;=G1963*0.9,"AMARELO","VERMELHO")))))</f>
        <v/>
      </c>
      <c r="M1963" s="162" t="n"/>
      <c r="N1963" s="162" t="n"/>
      <c r="O1963" s="162" t="n"/>
      <c r="P1963" s="162" t="n"/>
      <c r="Q1963" s="320" t="n"/>
      <c r="R1963" s="162" t="inlineStr">
        <is>
          <t>CONTROLE PRODUÇÃO POR EMPRESAS!G332</t>
        </is>
      </c>
    </row>
    <row r="1964" ht="28.5" customHeight="1">
      <c r="A1964" s="317" t="n">
        <v>46550</v>
      </c>
      <c r="B1964" t="inlineStr">
        <is>
          <t>GERAL</t>
        </is>
      </c>
      <c r="C1964" t="inlineStr">
        <is>
          <t>EJ</t>
        </is>
      </c>
      <c r="D1964" t="inlineStr">
        <is>
          <t>PREMONTAGEM</t>
        </is>
      </c>
      <c r="F1964" s="159">
        <f>IFERROR(INDEX('BASE METAS DIÁRIAS'!$N$2:$S$358,MATCH($A1964,'BASE METAS DIÁRIAS'!$A$2:$A$358,0),MOD(ROW()-2,6)+1),"")</f>
        <v/>
      </c>
      <c r="G1964" s="159">
        <f>IFERROR(IF(WEEKDAY($A1964,2)&lt;=INDEX('BASE METAS DIÁRIAS'!$H$2:$M$358,MATCH($A1964,'BASE METAS DIÁRIAS'!$A$2:$A$358,0),MOD(ROW()-2,6)+1),INDEX('BASE METAS DIÁRIAS'!$B$2:$G$358,MATCH($A1964,'BASE METAS DIÁRIAS'!$A$2:$A$358,0),MOD(ROW()-2,6)+1),""),"")</f>
        <v/>
      </c>
      <c r="H1964" s="159">
        <f>IFERROR(IF(INDEX('CONTROLE PRODUÇÃO POR EMPRESAS'!$B$6:$G$5000,MATCH($A1964,'CONTROLE PRODUÇÃO POR EMPRESAS'!$A$6:$A$5000,0),MOD(ROW()-2,6)+1)="","",IFERROR(1*INDEX('CONTROLE PRODUÇÃO POR EMPRESAS'!$B$6:$G$5000,MATCH($A1964,'CONTROLE PRODUÇÃO POR EMPRESAS'!$A$6:$A$5000,0),MOD(ROW()-2,6)+1),"")),"")</f>
        <v/>
      </c>
      <c r="I1964" s="159">
        <f>IF(OR(NOT(ISNUMBER(G1964)),NOT(ISNUMBER(H1964))),"",H1964-G1964)</f>
        <v/>
      </c>
      <c r="J1964" s="319">
        <f>IF(OR(NOT(ISNUMBER(G1964)),NOT(ISNUMBER(H1964)),G1964=0),"",I1964/G1964)</f>
        <v/>
      </c>
      <c r="K1964" s="319">
        <f>IF(OR(NOT(ISNUMBER(G1964)),NOT(ISNUMBER(H1964)),G1964=0),"",H1964/G1964)</f>
        <v/>
      </c>
      <c r="L1964">
        <f>IF(NOT(ISNUMBER(G1964)),"SEM META",IF(G1964=0,"SEM META",IF(NOT(ISNUMBER(H1964)),"SEM APONTAMENTO",IF(H1964&gt;=G1964,"VERDE",IF(H1964&gt;=G1964*0.9,"AMARELO","VERMELHO")))))</f>
        <v/>
      </c>
      <c r="M1964" s="162" t="n"/>
      <c r="N1964" s="162" t="n"/>
      <c r="O1964" s="162" t="n"/>
      <c r="P1964" s="162" t="n"/>
      <c r="Q1964" s="320" t="n"/>
      <c r="R1964" s="162" t="inlineStr">
        <is>
          <t>CONTROLE PRODUÇÃO POR EMPRESAS!B333</t>
        </is>
      </c>
    </row>
    <row r="1965" ht="28.5" customHeight="1">
      <c r="A1965" s="317" t="n">
        <v>46550</v>
      </c>
      <c r="B1965" t="inlineStr">
        <is>
          <t>GERAL</t>
        </is>
      </c>
      <c r="C1965" t="inlineStr">
        <is>
          <t>EJ</t>
        </is>
      </c>
      <c r="D1965" t="inlineStr">
        <is>
          <t>IÇAMENTO JOIST</t>
        </is>
      </c>
      <c r="F1965" s="159">
        <f>IFERROR(INDEX('BASE METAS DIÁRIAS'!$N$2:$S$358,MATCH($A1965,'BASE METAS DIÁRIAS'!$A$2:$A$358,0),MOD(ROW()-2,6)+1),"")</f>
        <v/>
      </c>
      <c r="G1965" s="159">
        <f>IFERROR(IF(WEEKDAY($A1965,2)&lt;=INDEX('BASE METAS DIÁRIAS'!$H$2:$M$358,MATCH($A1965,'BASE METAS DIÁRIAS'!$A$2:$A$358,0),MOD(ROW()-2,6)+1),INDEX('BASE METAS DIÁRIAS'!$B$2:$G$358,MATCH($A1965,'BASE METAS DIÁRIAS'!$A$2:$A$358,0),MOD(ROW()-2,6)+1),""),"")</f>
        <v/>
      </c>
      <c r="H1965" s="159">
        <f>IFERROR(IF(INDEX('CONTROLE PRODUÇÃO POR EMPRESAS'!$B$6:$G$5000,MATCH($A1965,'CONTROLE PRODUÇÃO POR EMPRESAS'!$A$6:$A$5000,0),MOD(ROW()-2,6)+1)="","",IFERROR(1*INDEX('CONTROLE PRODUÇÃO POR EMPRESAS'!$B$6:$G$5000,MATCH($A1965,'CONTROLE PRODUÇÃO POR EMPRESAS'!$A$6:$A$5000,0),MOD(ROW()-2,6)+1),"")),"")</f>
        <v/>
      </c>
      <c r="I1965" s="159">
        <f>IF(OR(NOT(ISNUMBER(G1965)),NOT(ISNUMBER(H1965))),"",H1965-G1965)</f>
        <v/>
      </c>
      <c r="J1965" s="319">
        <f>IF(OR(NOT(ISNUMBER(G1965)),NOT(ISNUMBER(H1965)),G1965=0),"",I1965/G1965)</f>
        <v/>
      </c>
      <c r="K1965" s="319">
        <f>IF(OR(NOT(ISNUMBER(G1965)),NOT(ISNUMBER(H1965)),G1965=0),"",H1965/G1965)</f>
        <v/>
      </c>
      <c r="L1965">
        <f>IF(NOT(ISNUMBER(G1965)),"SEM META",IF(G1965=0,"SEM META",IF(NOT(ISNUMBER(H1965)),"SEM APONTAMENTO",IF(H1965&gt;=G1965,"VERDE",IF(H1965&gt;=G1965*0.9,"AMARELO","VERMELHO")))))</f>
        <v/>
      </c>
      <c r="M1965" s="162" t="n"/>
      <c r="N1965" s="162" t="n"/>
      <c r="O1965" s="162" t="n"/>
      <c r="P1965" s="162" t="n"/>
      <c r="Q1965" s="320" t="n"/>
      <c r="R1965" s="162" t="inlineStr">
        <is>
          <t>CONTROLE PRODUÇÃO POR EMPRESAS!C333</t>
        </is>
      </c>
    </row>
    <row r="1966" ht="28.5" customHeight="1">
      <c r="A1966" s="317" t="n">
        <v>46550</v>
      </c>
      <c r="B1966" t="inlineStr">
        <is>
          <t>GERAL</t>
        </is>
      </c>
      <c r="C1966" t="inlineStr">
        <is>
          <t>EJ</t>
        </is>
      </c>
      <c r="D1966" t="inlineStr">
        <is>
          <t>VIGAS</t>
        </is>
      </c>
      <c r="F1966" s="159">
        <f>IFERROR(INDEX('BASE METAS DIÁRIAS'!$N$2:$S$358,MATCH($A1966,'BASE METAS DIÁRIAS'!$A$2:$A$358,0),MOD(ROW()-2,6)+1),"")</f>
        <v/>
      </c>
      <c r="G1966" s="159">
        <f>IFERROR(IF(WEEKDAY($A1966,2)&lt;=INDEX('BASE METAS DIÁRIAS'!$H$2:$M$358,MATCH($A1966,'BASE METAS DIÁRIAS'!$A$2:$A$358,0),MOD(ROW()-2,6)+1),INDEX('BASE METAS DIÁRIAS'!$B$2:$G$358,MATCH($A1966,'BASE METAS DIÁRIAS'!$A$2:$A$358,0),MOD(ROW()-2,6)+1),""),"")</f>
        <v/>
      </c>
      <c r="H1966" s="159">
        <f>IFERROR(IF(INDEX('CONTROLE PRODUÇÃO POR EMPRESAS'!$B$6:$G$5000,MATCH($A1966,'CONTROLE PRODUÇÃO POR EMPRESAS'!$A$6:$A$5000,0),MOD(ROW()-2,6)+1)="","",IFERROR(1*INDEX('CONTROLE PRODUÇÃO POR EMPRESAS'!$B$6:$G$5000,MATCH($A1966,'CONTROLE PRODUÇÃO POR EMPRESAS'!$A$6:$A$5000,0),MOD(ROW()-2,6)+1),"")),"")</f>
        <v/>
      </c>
      <c r="I1966" s="159">
        <f>IF(OR(NOT(ISNUMBER(G1966)),NOT(ISNUMBER(H1966))),"",H1966-G1966)</f>
        <v/>
      </c>
      <c r="J1966" s="319">
        <f>IF(OR(NOT(ISNUMBER(G1966)),NOT(ISNUMBER(H1966)),G1966=0),"",I1966/G1966)</f>
        <v/>
      </c>
      <c r="K1966" s="319">
        <f>IF(OR(NOT(ISNUMBER(G1966)),NOT(ISNUMBER(H1966)),G1966=0),"",H1966/G1966)</f>
        <v/>
      </c>
      <c r="L1966">
        <f>IF(NOT(ISNUMBER(G1966)),"SEM META",IF(G1966=0,"SEM META",IF(NOT(ISNUMBER(H1966)),"SEM APONTAMENTO",IF(H1966&gt;=G1966,"VERDE",IF(H1966&gt;=G1966*0.9,"AMARELO","VERMELHO")))))</f>
        <v/>
      </c>
      <c r="M1966" s="162" t="n"/>
      <c r="N1966" s="162" t="n"/>
      <c r="O1966" s="162" t="n"/>
      <c r="P1966" s="162" t="n"/>
      <c r="Q1966" s="320" t="n"/>
      <c r="R1966" s="162" t="inlineStr">
        <is>
          <t>CONTROLE PRODUÇÃO POR EMPRESAS!D333</t>
        </is>
      </c>
    </row>
    <row r="1967" ht="28.5" customHeight="1">
      <c r="A1967" s="317" t="n">
        <v>46550</v>
      </c>
      <c r="B1967" t="inlineStr">
        <is>
          <t>GERAL</t>
        </is>
      </c>
      <c r="C1967" t="inlineStr">
        <is>
          <t>CMM</t>
        </is>
      </c>
      <c r="D1967" t="inlineStr">
        <is>
          <t>PREMONTAGEM</t>
        </is>
      </c>
      <c r="F1967" s="159">
        <f>IFERROR(INDEX('BASE METAS DIÁRIAS'!$N$2:$S$358,MATCH($A1967,'BASE METAS DIÁRIAS'!$A$2:$A$358,0),MOD(ROW()-2,6)+1),"")</f>
        <v/>
      </c>
      <c r="G1967" s="159">
        <f>IFERROR(IF(WEEKDAY($A1967,2)&lt;=INDEX('BASE METAS DIÁRIAS'!$H$2:$M$358,MATCH($A1967,'BASE METAS DIÁRIAS'!$A$2:$A$358,0),MOD(ROW()-2,6)+1),INDEX('BASE METAS DIÁRIAS'!$B$2:$G$358,MATCH($A1967,'BASE METAS DIÁRIAS'!$A$2:$A$358,0),MOD(ROW()-2,6)+1),""),"")</f>
        <v/>
      </c>
      <c r="H1967" s="159">
        <f>IFERROR(IF(INDEX('CONTROLE PRODUÇÃO POR EMPRESAS'!$B$6:$G$5000,MATCH($A1967,'CONTROLE PRODUÇÃO POR EMPRESAS'!$A$6:$A$5000,0),MOD(ROW()-2,6)+1)="","",IFERROR(1*INDEX('CONTROLE PRODUÇÃO POR EMPRESAS'!$B$6:$G$5000,MATCH($A1967,'CONTROLE PRODUÇÃO POR EMPRESAS'!$A$6:$A$5000,0),MOD(ROW()-2,6)+1),"")),"")</f>
        <v/>
      </c>
      <c r="I1967" s="159">
        <f>IF(OR(NOT(ISNUMBER(G1967)),NOT(ISNUMBER(H1967))),"",H1967-G1967)</f>
        <v/>
      </c>
      <c r="J1967" s="319">
        <f>IF(OR(NOT(ISNUMBER(G1967)),NOT(ISNUMBER(H1967)),G1967=0),"",I1967/G1967)</f>
        <v/>
      </c>
      <c r="K1967" s="319">
        <f>IF(OR(NOT(ISNUMBER(G1967)),NOT(ISNUMBER(H1967)),G1967=0),"",H1967/G1967)</f>
        <v/>
      </c>
      <c r="L1967">
        <f>IF(NOT(ISNUMBER(G1967)),"SEM META",IF(G1967=0,"SEM META",IF(NOT(ISNUMBER(H1967)),"SEM APONTAMENTO",IF(H1967&gt;=G1967,"VERDE",IF(H1967&gt;=G1967*0.9,"AMARELO","VERMELHO")))))</f>
        <v/>
      </c>
      <c r="M1967" s="162" t="n"/>
      <c r="N1967" s="162" t="n"/>
      <c r="O1967" s="162" t="n"/>
      <c r="P1967" s="162" t="n"/>
      <c r="Q1967" s="320" t="n"/>
      <c r="R1967" s="162" t="inlineStr">
        <is>
          <t>CONTROLE PRODUÇÃO POR EMPRESAS!E333</t>
        </is>
      </c>
    </row>
    <row r="1968" ht="28.5" customHeight="1">
      <c r="A1968" s="317" t="n">
        <v>46550</v>
      </c>
      <c r="B1968" t="inlineStr">
        <is>
          <t>GERAL</t>
        </is>
      </c>
      <c r="C1968" t="inlineStr">
        <is>
          <t>CMM</t>
        </is>
      </c>
      <c r="D1968" t="inlineStr">
        <is>
          <t>IÇAMENTO JOIST</t>
        </is>
      </c>
      <c r="F1968" s="159">
        <f>IFERROR(INDEX('BASE METAS DIÁRIAS'!$N$2:$S$358,MATCH($A1968,'BASE METAS DIÁRIAS'!$A$2:$A$358,0),MOD(ROW()-2,6)+1),"")</f>
        <v/>
      </c>
      <c r="G1968" s="159">
        <f>IFERROR(IF(WEEKDAY($A1968,2)&lt;=INDEX('BASE METAS DIÁRIAS'!$H$2:$M$358,MATCH($A1968,'BASE METAS DIÁRIAS'!$A$2:$A$358,0),MOD(ROW()-2,6)+1),INDEX('BASE METAS DIÁRIAS'!$B$2:$G$358,MATCH($A1968,'BASE METAS DIÁRIAS'!$A$2:$A$358,0),MOD(ROW()-2,6)+1),""),"")</f>
        <v/>
      </c>
      <c r="H1968" s="159">
        <f>IFERROR(IF(INDEX('CONTROLE PRODUÇÃO POR EMPRESAS'!$B$6:$G$5000,MATCH($A1968,'CONTROLE PRODUÇÃO POR EMPRESAS'!$A$6:$A$5000,0),MOD(ROW()-2,6)+1)="","",IFERROR(1*INDEX('CONTROLE PRODUÇÃO POR EMPRESAS'!$B$6:$G$5000,MATCH($A1968,'CONTROLE PRODUÇÃO POR EMPRESAS'!$A$6:$A$5000,0),MOD(ROW()-2,6)+1),"")),"")</f>
        <v/>
      </c>
      <c r="I1968" s="159">
        <f>IF(OR(NOT(ISNUMBER(G1968)),NOT(ISNUMBER(H1968))),"",H1968-G1968)</f>
        <v/>
      </c>
      <c r="J1968" s="319">
        <f>IF(OR(NOT(ISNUMBER(G1968)),NOT(ISNUMBER(H1968)),G1968=0),"",I1968/G1968)</f>
        <v/>
      </c>
      <c r="K1968" s="319">
        <f>IF(OR(NOT(ISNUMBER(G1968)),NOT(ISNUMBER(H1968)),G1968=0),"",H1968/G1968)</f>
        <v/>
      </c>
      <c r="L1968">
        <f>IF(NOT(ISNUMBER(G1968)),"SEM META",IF(G1968=0,"SEM META",IF(NOT(ISNUMBER(H1968)),"SEM APONTAMENTO",IF(H1968&gt;=G1968,"VERDE",IF(H1968&gt;=G1968*0.9,"AMARELO","VERMELHO")))))</f>
        <v/>
      </c>
      <c r="M1968" s="162" t="n"/>
      <c r="N1968" s="162" t="n"/>
      <c r="O1968" s="162" t="n"/>
      <c r="P1968" s="162" t="n"/>
      <c r="Q1968" s="320" t="n"/>
      <c r="R1968" s="162" t="inlineStr">
        <is>
          <t>CONTROLE PRODUÇÃO POR EMPRESAS!F333</t>
        </is>
      </c>
    </row>
    <row r="1969" ht="28.5" customHeight="1">
      <c r="A1969" s="317" t="n">
        <v>46550</v>
      </c>
      <c r="B1969" t="inlineStr">
        <is>
          <t>GERAL</t>
        </is>
      </c>
      <c r="C1969" t="inlineStr">
        <is>
          <t>CMM</t>
        </is>
      </c>
      <c r="D1969" t="inlineStr">
        <is>
          <t>VIGAS</t>
        </is>
      </c>
      <c r="F1969" s="159">
        <f>IFERROR(INDEX('BASE METAS DIÁRIAS'!$N$2:$S$358,MATCH($A1969,'BASE METAS DIÁRIAS'!$A$2:$A$358,0),MOD(ROW()-2,6)+1),"")</f>
        <v/>
      </c>
      <c r="G1969" s="159">
        <f>IFERROR(IF(WEEKDAY($A1969,2)&lt;=INDEX('BASE METAS DIÁRIAS'!$H$2:$M$358,MATCH($A1969,'BASE METAS DIÁRIAS'!$A$2:$A$358,0),MOD(ROW()-2,6)+1),INDEX('BASE METAS DIÁRIAS'!$B$2:$G$358,MATCH($A1969,'BASE METAS DIÁRIAS'!$A$2:$A$358,0),MOD(ROW()-2,6)+1),""),"")</f>
        <v/>
      </c>
      <c r="H1969" s="159">
        <f>IFERROR(IF(INDEX('CONTROLE PRODUÇÃO POR EMPRESAS'!$B$6:$G$5000,MATCH($A1969,'CONTROLE PRODUÇÃO POR EMPRESAS'!$A$6:$A$5000,0),MOD(ROW()-2,6)+1)="","",IFERROR(1*INDEX('CONTROLE PRODUÇÃO POR EMPRESAS'!$B$6:$G$5000,MATCH($A1969,'CONTROLE PRODUÇÃO POR EMPRESAS'!$A$6:$A$5000,0),MOD(ROW()-2,6)+1),"")),"")</f>
        <v/>
      </c>
      <c r="I1969" s="159">
        <f>IF(OR(NOT(ISNUMBER(G1969)),NOT(ISNUMBER(H1969))),"",H1969-G1969)</f>
        <v/>
      </c>
      <c r="J1969" s="319">
        <f>IF(OR(NOT(ISNUMBER(G1969)),NOT(ISNUMBER(H1969)),G1969=0),"",I1969/G1969)</f>
        <v/>
      </c>
      <c r="K1969" s="319">
        <f>IF(OR(NOT(ISNUMBER(G1969)),NOT(ISNUMBER(H1969)),G1969=0),"",H1969/G1969)</f>
        <v/>
      </c>
      <c r="L1969">
        <f>IF(NOT(ISNUMBER(G1969)),"SEM META",IF(G1969=0,"SEM META",IF(NOT(ISNUMBER(H1969)),"SEM APONTAMENTO",IF(H1969&gt;=G1969,"VERDE",IF(H1969&gt;=G1969*0.9,"AMARELO","VERMELHO")))))</f>
        <v/>
      </c>
      <c r="M1969" s="162" t="n"/>
      <c r="N1969" s="162" t="n"/>
      <c r="O1969" s="162" t="n"/>
      <c r="P1969" s="162" t="n"/>
      <c r="Q1969" s="320" t="n"/>
      <c r="R1969" s="162" t="inlineStr">
        <is>
          <t>CONTROLE PRODUÇÃO POR EMPRESAS!G333</t>
        </is>
      </c>
    </row>
    <row r="1970" ht="28.5" customHeight="1">
      <c r="A1970" s="317" t="n">
        <v>46551</v>
      </c>
      <c r="B1970" t="inlineStr">
        <is>
          <t>GERAL</t>
        </is>
      </c>
      <c r="C1970" t="inlineStr">
        <is>
          <t>EJ</t>
        </is>
      </c>
      <c r="D1970" t="inlineStr">
        <is>
          <t>PREMONTAGEM</t>
        </is>
      </c>
      <c r="F1970" s="159">
        <f>IFERROR(INDEX('BASE METAS DIÁRIAS'!$N$2:$S$358,MATCH($A1970,'BASE METAS DIÁRIAS'!$A$2:$A$358,0),MOD(ROW()-2,6)+1),"")</f>
        <v/>
      </c>
      <c r="G1970" s="159">
        <f>IFERROR(IF(WEEKDAY($A1970,2)&lt;=INDEX('BASE METAS DIÁRIAS'!$H$2:$M$358,MATCH($A1970,'BASE METAS DIÁRIAS'!$A$2:$A$358,0),MOD(ROW()-2,6)+1),INDEX('BASE METAS DIÁRIAS'!$B$2:$G$358,MATCH($A1970,'BASE METAS DIÁRIAS'!$A$2:$A$358,0),MOD(ROW()-2,6)+1),""),"")</f>
        <v/>
      </c>
      <c r="H1970" s="159">
        <f>IFERROR(IF(INDEX('CONTROLE PRODUÇÃO POR EMPRESAS'!$B$6:$G$5000,MATCH($A1970,'CONTROLE PRODUÇÃO POR EMPRESAS'!$A$6:$A$5000,0),MOD(ROW()-2,6)+1)="","",IFERROR(1*INDEX('CONTROLE PRODUÇÃO POR EMPRESAS'!$B$6:$G$5000,MATCH($A1970,'CONTROLE PRODUÇÃO POR EMPRESAS'!$A$6:$A$5000,0),MOD(ROW()-2,6)+1),"")),"")</f>
        <v/>
      </c>
      <c r="I1970" s="159">
        <f>IF(OR(NOT(ISNUMBER(G1970)),NOT(ISNUMBER(H1970))),"",H1970-G1970)</f>
        <v/>
      </c>
      <c r="J1970" s="319">
        <f>IF(OR(NOT(ISNUMBER(G1970)),NOT(ISNUMBER(H1970)),G1970=0),"",I1970/G1970)</f>
        <v/>
      </c>
      <c r="K1970" s="319">
        <f>IF(OR(NOT(ISNUMBER(G1970)),NOT(ISNUMBER(H1970)),G1970=0),"",H1970/G1970)</f>
        <v/>
      </c>
      <c r="L1970">
        <f>IF(NOT(ISNUMBER(G1970)),"SEM META",IF(G1970=0,"SEM META",IF(NOT(ISNUMBER(H1970)),"SEM APONTAMENTO",IF(H1970&gt;=G1970,"VERDE",IF(H1970&gt;=G1970*0.9,"AMARELO","VERMELHO")))))</f>
        <v/>
      </c>
      <c r="M1970" s="162" t="n"/>
      <c r="N1970" s="162" t="n"/>
      <c r="O1970" s="162" t="n"/>
      <c r="P1970" s="162" t="n"/>
      <c r="Q1970" s="320" t="n"/>
      <c r="R1970" s="162" t="inlineStr">
        <is>
          <t>CONTROLE PRODUÇÃO POR EMPRESAS!B334</t>
        </is>
      </c>
    </row>
    <row r="1971" ht="28.5" customHeight="1">
      <c r="A1971" s="317" t="n">
        <v>46551</v>
      </c>
      <c r="B1971" t="inlineStr">
        <is>
          <t>GERAL</t>
        </is>
      </c>
      <c r="C1971" t="inlineStr">
        <is>
          <t>EJ</t>
        </is>
      </c>
      <c r="D1971" t="inlineStr">
        <is>
          <t>IÇAMENTO JOIST</t>
        </is>
      </c>
      <c r="F1971" s="159">
        <f>IFERROR(INDEX('BASE METAS DIÁRIAS'!$N$2:$S$358,MATCH($A1971,'BASE METAS DIÁRIAS'!$A$2:$A$358,0),MOD(ROW()-2,6)+1),"")</f>
        <v/>
      </c>
      <c r="G1971" s="159">
        <f>IFERROR(IF(WEEKDAY($A1971,2)&lt;=INDEX('BASE METAS DIÁRIAS'!$H$2:$M$358,MATCH($A1971,'BASE METAS DIÁRIAS'!$A$2:$A$358,0),MOD(ROW()-2,6)+1),INDEX('BASE METAS DIÁRIAS'!$B$2:$G$358,MATCH($A1971,'BASE METAS DIÁRIAS'!$A$2:$A$358,0),MOD(ROW()-2,6)+1),""),"")</f>
        <v/>
      </c>
      <c r="H1971" s="159">
        <f>IFERROR(IF(INDEX('CONTROLE PRODUÇÃO POR EMPRESAS'!$B$6:$G$5000,MATCH($A1971,'CONTROLE PRODUÇÃO POR EMPRESAS'!$A$6:$A$5000,0),MOD(ROW()-2,6)+1)="","",IFERROR(1*INDEX('CONTROLE PRODUÇÃO POR EMPRESAS'!$B$6:$G$5000,MATCH($A1971,'CONTROLE PRODUÇÃO POR EMPRESAS'!$A$6:$A$5000,0),MOD(ROW()-2,6)+1),"")),"")</f>
        <v/>
      </c>
      <c r="I1971" s="159">
        <f>IF(OR(NOT(ISNUMBER(G1971)),NOT(ISNUMBER(H1971))),"",H1971-G1971)</f>
        <v/>
      </c>
      <c r="J1971" s="319">
        <f>IF(OR(NOT(ISNUMBER(G1971)),NOT(ISNUMBER(H1971)),G1971=0),"",I1971/G1971)</f>
        <v/>
      </c>
      <c r="K1971" s="319">
        <f>IF(OR(NOT(ISNUMBER(G1971)),NOT(ISNUMBER(H1971)),G1971=0),"",H1971/G1971)</f>
        <v/>
      </c>
      <c r="L1971">
        <f>IF(NOT(ISNUMBER(G1971)),"SEM META",IF(G1971=0,"SEM META",IF(NOT(ISNUMBER(H1971)),"SEM APONTAMENTO",IF(H1971&gt;=G1971,"VERDE",IF(H1971&gt;=G1971*0.9,"AMARELO","VERMELHO")))))</f>
        <v/>
      </c>
      <c r="M1971" s="162" t="n"/>
      <c r="N1971" s="162" t="n"/>
      <c r="O1971" s="162" t="n"/>
      <c r="P1971" s="162" t="n"/>
      <c r="Q1971" s="320" t="n"/>
      <c r="R1971" s="162" t="inlineStr">
        <is>
          <t>CONTROLE PRODUÇÃO POR EMPRESAS!C334</t>
        </is>
      </c>
    </row>
    <row r="1972" ht="28.5" customHeight="1">
      <c r="A1972" s="317" t="n">
        <v>46551</v>
      </c>
      <c r="B1972" t="inlineStr">
        <is>
          <t>GERAL</t>
        </is>
      </c>
      <c r="C1972" t="inlineStr">
        <is>
          <t>EJ</t>
        </is>
      </c>
      <c r="D1972" t="inlineStr">
        <is>
          <t>VIGAS</t>
        </is>
      </c>
      <c r="F1972" s="159">
        <f>IFERROR(INDEX('BASE METAS DIÁRIAS'!$N$2:$S$358,MATCH($A1972,'BASE METAS DIÁRIAS'!$A$2:$A$358,0),MOD(ROW()-2,6)+1),"")</f>
        <v/>
      </c>
      <c r="G1972" s="159">
        <f>IFERROR(IF(WEEKDAY($A1972,2)&lt;=INDEX('BASE METAS DIÁRIAS'!$H$2:$M$358,MATCH($A1972,'BASE METAS DIÁRIAS'!$A$2:$A$358,0),MOD(ROW()-2,6)+1),INDEX('BASE METAS DIÁRIAS'!$B$2:$G$358,MATCH($A1972,'BASE METAS DIÁRIAS'!$A$2:$A$358,0),MOD(ROW()-2,6)+1),""),"")</f>
        <v/>
      </c>
      <c r="H1972" s="159">
        <f>IFERROR(IF(INDEX('CONTROLE PRODUÇÃO POR EMPRESAS'!$B$6:$G$5000,MATCH($A1972,'CONTROLE PRODUÇÃO POR EMPRESAS'!$A$6:$A$5000,0),MOD(ROW()-2,6)+1)="","",IFERROR(1*INDEX('CONTROLE PRODUÇÃO POR EMPRESAS'!$B$6:$G$5000,MATCH($A1972,'CONTROLE PRODUÇÃO POR EMPRESAS'!$A$6:$A$5000,0),MOD(ROW()-2,6)+1),"")),"")</f>
        <v/>
      </c>
      <c r="I1972" s="159">
        <f>IF(OR(NOT(ISNUMBER(G1972)),NOT(ISNUMBER(H1972))),"",H1972-G1972)</f>
        <v/>
      </c>
      <c r="J1972" s="319">
        <f>IF(OR(NOT(ISNUMBER(G1972)),NOT(ISNUMBER(H1972)),G1972=0),"",I1972/G1972)</f>
        <v/>
      </c>
      <c r="K1972" s="319">
        <f>IF(OR(NOT(ISNUMBER(G1972)),NOT(ISNUMBER(H1972)),G1972=0),"",H1972/G1972)</f>
        <v/>
      </c>
      <c r="L1972">
        <f>IF(NOT(ISNUMBER(G1972)),"SEM META",IF(G1972=0,"SEM META",IF(NOT(ISNUMBER(H1972)),"SEM APONTAMENTO",IF(H1972&gt;=G1972,"VERDE",IF(H1972&gt;=G1972*0.9,"AMARELO","VERMELHO")))))</f>
        <v/>
      </c>
      <c r="M1972" s="162" t="n"/>
      <c r="N1972" s="162" t="n"/>
      <c r="O1972" s="162" t="n"/>
      <c r="P1972" s="162" t="n"/>
      <c r="Q1972" s="320" t="n"/>
      <c r="R1972" s="162" t="inlineStr">
        <is>
          <t>CONTROLE PRODUÇÃO POR EMPRESAS!D334</t>
        </is>
      </c>
    </row>
    <row r="1973" ht="28.5" customHeight="1">
      <c r="A1973" s="317" t="n">
        <v>46551</v>
      </c>
      <c r="B1973" t="inlineStr">
        <is>
          <t>GERAL</t>
        </is>
      </c>
      <c r="C1973" t="inlineStr">
        <is>
          <t>CMM</t>
        </is>
      </c>
      <c r="D1973" t="inlineStr">
        <is>
          <t>PREMONTAGEM</t>
        </is>
      </c>
      <c r="F1973" s="159">
        <f>IFERROR(INDEX('BASE METAS DIÁRIAS'!$N$2:$S$358,MATCH($A1973,'BASE METAS DIÁRIAS'!$A$2:$A$358,0),MOD(ROW()-2,6)+1),"")</f>
        <v/>
      </c>
      <c r="G1973" s="159">
        <f>IFERROR(IF(WEEKDAY($A1973,2)&lt;=INDEX('BASE METAS DIÁRIAS'!$H$2:$M$358,MATCH($A1973,'BASE METAS DIÁRIAS'!$A$2:$A$358,0),MOD(ROW()-2,6)+1),INDEX('BASE METAS DIÁRIAS'!$B$2:$G$358,MATCH($A1973,'BASE METAS DIÁRIAS'!$A$2:$A$358,0),MOD(ROW()-2,6)+1),""),"")</f>
        <v/>
      </c>
      <c r="H1973" s="159">
        <f>IFERROR(IF(INDEX('CONTROLE PRODUÇÃO POR EMPRESAS'!$B$6:$G$5000,MATCH($A1973,'CONTROLE PRODUÇÃO POR EMPRESAS'!$A$6:$A$5000,0),MOD(ROW()-2,6)+1)="","",IFERROR(1*INDEX('CONTROLE PRODUÇÃO POR EMPRESAS'!$B$6:$G$5000,MATCH($A1973,'CONTROLE PRODUÇÃO POR EMPRESAS'!$A$6:$A$5000,0),MOD(ROW()-2,6)+1),"")),"")</f>
        <v/>
      </c>
      <c r="I1973" s="159">
        <f>IF(OR(NOT(ISNUMBER(G1973)),NOT(ISNUMBER(H1973))),"",H1973-G1973)</f>
        <v/>
      </c>
      <c r="J1973" s="319">
        <f>IF(OR(NOT(ISNUMBER(G1973)),NOT(ISNUMBER(H1973)),G1973=0),"",I1973/G1973)</f>
        <v/>
      </c>
      <c r="K1973" s="319">
        <f>IF(OR(NOT(ISNUMBER(G1973)),NOT(ISNUMBER(H1973)),G1973=0),"",H1973/G1973)</f>
        <v/>
      </c>
      <c r="L1973">
        <f>IF(NOT(ISNUMBER(G1973)),"SEM META",IF(G1973=0,"SEM META",IF(NOT(ISNUMBER(H1973)),"SEM APONTAMENTO",IF(H1973&gt;=G1973,"VERDE",IF(H1973&gt;=G1973*0.9,"AMARELO","VERMELHO")))))</f>
        <v/>
      </c>
      <c r="M1973" s="162" t="n"/>
      <c r="N1973" s="162" t="n"/>
      <c r="O1973" s="162" t="n"/>
      <c r="P1973" s="162" t="n"/>
      <c r="Q1973" s="320" t="n"/>
      <c r="R1973" s="162" t="inlineStr">
        <is>
          <t>CONTROLE PRODUÇÃO POR EMPRESAS!E334</t>
        </is>
      </c>
    </row>
    <row r="1974" ht="28.5" customHeight="1">
      <c r="A1974" s="317" t="n">
        <v>46551</v>
      </c>
      <c r="B1974" t="inlineStr">
        <is>
          <t>GERAL</t>
        </is>
      </c>
      <c r="C1974" t="inlineStr">
        <is>
          <t>CMM</t>
        </is>
      </c>
      <c r="D1974" t="inlineStr">
        <is>
          <t>IÇAMENTO JOIST</t>
        </is>
      </c>
      <c r="F1974" s="159">
        <f>IFERROR(INDEX('BASE METAS DIÁRIAS'!$N$2:$S$358,MATCH($A1974,'BASE METAS DIÁRIAS'!$A$2:$A$358,0),MOD(ROW()-2,6)+1),"")</f>
        <v/>
      </c>
      <c r="G1974" s="159">
        <f>IFERROR(IF(WEEKDAY($A1974,2)&lt;=INDEX('BASE METAS DIÁRIAS'!$H$2:$M$358,MATCH($A1974,'BASE METAS DIÁRIAS'!$A$2:$A$358,0),MOD(ROW()-2,6)+1),INDEX('BASE METAS DIÁRIAS'!$B$2:$G$358,MATCH($A1974,'BASE METAS DIÁRIAS'!$A$2:$A$358,0),MOD(ROW()-2,6)+1),""),"")</f>
        <v/>
      </c>
      <c r="H1974" s="159">
        <f>IFERROR(IF(INDEX('CONTROLE PRODUÇÃO POR EMPRESAS'!$B$6:$G$5000,MATCH($A1974,'CONTROLE PRODUÇÃO POR EMPRESAS'!$A$6:$A$5000,0),MOD(ROW()-2,6)+1)="","",IFERROR(1*INDEX('CONTROLE PRODUÇÃO POR EMPRESAS'!$B$6:$G$5000,MATCH($A1974,'CONTROLE PRODUÇÃO POR EMPRESAS'!$A$6:$A$5000,0),MOD(ROW()-2,6)+1),"")),"")</f>
        <v/>
      </c>
      <c r="I1974" s="159">
        <f>IF(OR(NOT(ISNUMBER(G1974)),NOT(ISNUMBER(H1974))),"",H1974-G1974)</f>
        <v/>
      </c>
      <c r="J1974" s="319">
        <f>IF(OR(NOT(ISNUMBER(G1974)),NOT(ISNUMBER(H1974)),G1974=0),"",I1974/G1974)</f>
        <v/>
      </c>
      <c r="K1974" s="319">
        <f>IF(OR(NOT(ISNUMBER(G1974)),NOT(ISNUMBER(H1974)),G1974=0),"",H1974/G1974)</f>
        <v/>
      </c>
      <c r="L1974">
        <f>IF(NOT(ISNUMBER(G1974)),"SEM META",IF(G1974=0,"SEM META",IF(NOT(ISNUMBER(H1974)),"SEM APONTAMENTO",IF(H1974&gt;=G1974,"VERDE",IF(H1974&gt;=G1974*0.9,"AMARELO","VERMELHO")))))</f>
        <v/>
      </c>
      <c r="M1974" s="162" t="n"/>
      <c r="N1974" s="162" t="n"/>
      <c r="O1974" s="162" t="n"/>
      <c r="P1974" s="162" t="n"/>
      <c r="Q1974" s="320" t="n"/>
      <c r="R1974" s="162" t="inlineStr">
        <is>
          <t>CONTROLE PRODUÇÃO POR EMPRESAS!F334</t>
        </is>
      </c>
    </row>
    <row r="1975" ht="28.5" customHeight="1">
      <c r="A1975" s="317" t="n">
        <v>46551</v>
      </c>
      <c r="B1975" t="inlineStr">
        <is>
          <t>GERAL</t>
        </is>
      </c>
      <c r="C1975" t="inlineStr">
        <is>
          <t>CMM</t>
        </is>
      </c>
      <c r="D1975" t="inlineStr">
        <is>
          <t>VIGAS</t>
        </is>
      </c>
      <c r="F1975" s="159">
        <f>IFERROR(INDEX('BASE METAS DIÁRIAS'!$N$2:$S$358,MATCH($A1975,'BASE METAS DIÁRIAS'!$A$2:$A$358,0),MOD(ROW()-2,6)+1),"")</f>
        <v/>
      </c>
      <c r="G1975" s="159">
        <f>IFERROR(IF(WEEKDAY($A1975,2)&lt;=INDEX('BASE METAS DIÁRIAS'!$H$2:$M$358,MATCH($A1975,'BASE METAS DIÁRIAS'!$A$2:$A$358,0),MOD(ROW()-2,6)+1),INDEX('BASE METAS DIÁRIAS'!$B$2:$G$358,MATCH($A1975,'BASE METAS DIÁRIAS'!$A$2:$A$358,0),MOD(ROW()-2,6)+1),""),"")</f>
        <v/>
      </c>
      <c r="H1975" s="159">
        <f>IFERROR(IF(INDEX('CONTROLE PRODUÇÃO POR EMPRESAS'!$B$6:$G$5000,MATCH($A1975,'CONTROLE PRODUÇÃO POR EMPRESAS'!$A$6:$A$5000,0),MOD(ROW()-2,6)+1)="","",IFERROR(1*INDEX('CONTROLE PRODUÇÃO POR EMPRESAS'!$B$6:$G$5000,MATCH($A1975,'CONTROLE PRODUÇÃO POR EMPRESAS'!$A$6:$A$5000,0),MOD(ROW()-2,6)+1),"")),"")</f>
        <v/>
      </c>
      <c r="I1975" s="159">
        <f>IF(OR(NOT(ISNUMBER(G1975)),NOT(ISNUMBER(H1975))),"",H1975-G1975)</f>
        <v/>
      </c>
      <c r="J1975" s="319">
        <f>IF(OR(NOT(ISNUMBER(G1975)),NOT(ISNUMBER(H1975)),G1975=0),"",I1975/G1975)</f>
        <v/>
      </c>
      <c r="K1975" s="319">
        <f>IF(OR(NOT(ISNUMBER(G1975)),NOT(ISNUMBER(H1975)),G1975=0),"",H1975/G1975)</f>
        <v/>
      </c>
      <c r="L1975">
        <f>IF(NOT(ISNUMBER(G1975)),"SEM META",IF(G1975=0,"SEM META",IF(NOT(ISNUMBER(H1975)),"SEM APONTAMENTO",IF(H1975&gt;=G1975,"VERDE",IF(H1975&gt;=G1975*0.9,"AMARELO","VERMELHO")))))</f>
        <v/>
      </c>
      <c r="M1975" s="162" t="n"/>
      <c r="N1975" s="162" t="n"/>
      <c r="O1975" s="162" t="n"/>
      <c r="P1975" s="162" t="n"/>
      <c r="Q1975" s="320" t="n"/>
      <c r="R1975" s="162" t="inlineStr">
        <is>
          <t>CONTROLE PRODUÇÃO POR EMPRESAS!G334</t>
        </is>
      </c>
    </row>
    <row r="1976" ht="28.5" customHeight="1">
      <c r="A1976" s="317" t="n">
        <v>46552</v>
      </c>
      <c r="B1976" t="inlineStr">
        <is>
          <t>GERAL</t>
        </is>
      </c>
      <c r="C1976" t="inlineStr">
        <is>
          <t>EJ</t>
        </is>
      </c>
      <c r="D1976" t="inlineStr">
        <is>
          <t>PREMONTAGEM</t>
        </is>
      </c>
      <c r="F1976" s="159">
        <f>IFERROR(INDEX('BASE METAS DIÁRIAS'!$N$2:$S$358,MATCH($A1976,'BASE METAS DIÁRIAS'!$A$2:$A$358,0),MOD(ROW()-2,6)+1),"")</f>
        <v/>
      </c>
      <c r="G1976" s="159">
        <f>IFERROR(IF(WEEKDAY($A1976,2)&lt;=INDEX('BASE METAS DIÁRIAS'!$H$2:$M$358,MATCH($A1976,'BASE METAS DIÁRIAS'!$A$2:$A$358,0),MOD(ROW()-2,6)+1),INDEX('BASE METAS DIÁRIAS'!$B$2:$G$358,MATCH($A1976,'BASE METAS DIÁRIAS'!$A$2:$A$358,0),MOD(ROW()-2,6)+1),""),"")</f>
        <v/>
      </c>
      <c r="H1976" s="159">
        <f>IFERROR(IF(INDEX('CONTROLE PRODUÇÃO POR EMPRESAS'!$B$6:$G$5000,MATCH($A1976,'CONTROLE PRODUÇÃO POR EMPRESAS'!$A$6:$A$5000,0),MOD(ROW()-2,6)+1)="","",IFERROR(1*INDEX('CONTROLE PRODUÇÃO POR EMPRESAS'!$B$6:$G$5000,MATCH($A1976,'CONTROLE PRODUÇÃO POR EMPRESAS'!$A$6:$A$5000,0),MOD(ROW()-2,6)+1),"")),"")</f>
        <v/>
      </c>
      <c r="I1976" s="159">
        <f>IF(OR(NOT(ISNUMBER(G1976)),NOT(ISNUMBER(H1976))),"",H1976-G1976)</f>
        <v/>
      </c>
      <c r="J1976" s="319">
        <f>IF(OR(NOT(ISNUMBER(G1976)),NOT(ISNUMBER(H1976)),G1976=0),"",I1976/G1976)</f>
        <v/>
      </c>
      <c r="K1976" s="319">
        <f>IF(OR(NOT(ISNUMBER(G1976)),NOT(ISNUMBER(H1976)),G1976=0),"",H1976/G1976)</f>
        <v/>
      </c>
      <c r="L1976">
        <f>IF(NOT(ISNUMBER(G1976)),"SEM META",IF(G1976=0,"SEM META",IF(NOT(ISNUMBER(H1976)),"SEM APONTAMENTO",IF(H1976&gt;=G1976,"VERDE",IF(H1976&gt;=G1976*0.9,"AMARELO","VERMELHO")))))</f>
        <v/>
      </c>
      <c r="M1976" s="162" t="n"/>
      <c r="N1976" s="162" t="n"/>
      <c r="O1976" s="162" t="n"/>
      <c r="P1976" s="162" t="n"/>
      <c r="Q1976" s="320" t="n"/>
      <c r="R1976" s="162" t="inlineStr">
        <is>
          <t>CONTROLE PRODUÇÃO POR EMPRESAS!B335</t>
        </is>
      </c>
    </row>
    <row r="1977" ht="28.5" customHeight="1">
      <c r="A1977" s="317" t="n">
        <v>46552</v>
      </c>
      <c r="B1977" t="inlineStr">
        <is>
          <t>GERAL</t>
        </is>
      </c>
      <c r="C1977" t="inlineStr">
        <is>
          <t>EJ</t>
        </is>
      </c>
      <c r="D1977" t="inlineStr">
        <is>
          <t>IÇAMENTO JOIST</t>
        </is>
      </c>
      <c r="F1977" s="159">
        <f>IFERROR(INDEX('BASE METAS DIÁRIAS'!$N$2:$S$358,MATCH($A1977,'BASE METAS DIÁRIAS'!$A$2:$A$358,0),MOD(ROW()-2,6)+1),"")</f>
        <v/>
      </c>
      <c r="G1977" s="159">
        <f>IFERROR(IF(WEEKDAY($A1977,2)&lt;=INDEX('BASE METAS DIÁRIAS'!$H$2:$M$358,MATCH($A1977,'BASE METAS DIÁRIAS'!$A$2:$A$358,0),MOD(ROW()-2,6)+1),INDEX('BASE METAS DIÁRIAS'!$B$2:$G$358,MATCH($A1977,'BASE METAS DIÁRIAS'!$A$2:$A$358,0),MOD(ROW()-2,6)+1),""),"")</f>
        <v/>
      </c>
      <c r="H1977" s="159">
        <f>IFERROR(IF(INDEX('CONTROLE PRODUÇÃO POR EMPRESAS'!$B$6:$G$5000,MATCH($A1977,'CONTROLE PRODUÇÃO POR EMPRESAS'!$A$6:$A$5000,0),MOD(ROW()-2,6)+1)="","",IFERROR(1*INDEX('CONTROLE PRODUÇÃO POR EMPRESAS'!$B$6:$G$5000,MATCH($A1977,'CONTROLE PRODUÇÃO POR EMPRESAS'!$A$6:$A$5000,0),MOD(ROW()-2,6)+1),"")),"")</f>
        <v/>
      </c>
      <c r="I1977" s="159">
        <f>IF(OR(NOT(ISNUMBER(G1977)),NOT(ISNUMBER(H1977))),"",H1977-G1977)</f>
        <v/>
      </c>
      <c r="J1977" s="319">
        <f>IF(OR(NOT(ISNUMBER(G1977)),NOT(ISNUMBER(H1977)),G1977=0),"",I1977/G1977)</f>
        <v/>
      </c>
      <c r="K1977" s="319">
        <f>IF(OR(NOT(ISNUMBER(G1977)),NOT(ISNUMBER(H1977)),G1977=0),"",H1977/G1977)</f>
        <v/>
      </c>
      <c r="L1977">
        <f>IF(NOT(ISNUMBER(G1977)),"SEM META",IF(G1977=0,"SEM META",IF(NOT(ISNUMBER(H1977)),"SEM APONTAMENTO",IF(H1977&gt;=G1977,"VERDE",IF(H1977&gt;=G1977*0.9,"AMARELO","VERMELHO")))))</f>
        <v/>
      </c>
      <c r="M1977" s="162" t="n"/>
      <c r="N1977" s="162" t="n"/>
      <c r="O1977" s="162" t="n"/>
      <c r="P1977" s="162" t="n"/>
      <c r="Q1977" s="320" t="n"/>
      <c r="R1977" s="162" t="inlineStr">
        <is>
          <t>CONTROLE PRODUÇÃO POR EMPRESAS!C335</t>
        </is>
      </c>
    </row>
    <row r="1978" ht="28.5" customHeight="1">
      <c r="A1978" s="317" t="n">
        <v>46552</v>
      </c>
      <c r="B1978" t="inlineStr">
        <is>
          <t>GERAL</t>
        </is>
      </c>
      <c r="C1978" t="inlineStr">
        <is>
          <t>EJ</t>
        </is>
      </c>
      <c r="D1978" t="inlineStr">
        <is>
          <t>VIGAS</t>
        </is>
      </c>
      <c r="F1978" s="159">
        <f>IFERROR(INDEX('BASE METAS DIÁRIAS'!$N$2:$S$358,MATCH($A1978,'BASE METAS DIÁRIAS'!$A$2:$A$358,0),MOD(ROW()-2,6)+1),"")</f>
        <v/>
      </c>
      <c r="G1978" s="159">
        <f>IFERROR(IF(WEEKDAY($A1978,2)&lt;=INDEX('BASE METAS DIÁRIAS'!$H$2:$M$358,MATCH($A1978,'BASE METAS DIÁRIAS'!$A$2:$A$358,0),MOD(ROW()-2,6)+1),INDEX('BASE METAS DIÁRIAS'!$B$2:$G$358,MATCH($A1978,'BASE METAS DIÁRIAS'!$A$2:$A$358,0),MOD(ROW()-2,6)+1),""),"")</f>
        <v/>
      </c>
      <c r="H1978" s="159">
        <f>IFERROR(IF(INDEX('CONTROLE PRODUÇÃO POR EMPRESAS'!$B$6:$G$5000,MATCH($A1978,'CONTROLE PRODUÇÃO POR EMPRESAS'!$A$6:$A$5000,0),MOD(ROW()-2,6)+1)="","",IFERROR(1*INDEX('CONTROLE PRODUÇÃO POR EMPRESAS'!$B$6:$G$5000,MATCH($A1978,'CONTROLE PRODUÇÃO POR EMPRESAS'!$A$6:$A$5000,0),MOD(ROW()-2,6)+1),"")),"")</f>
        <v/>
      </c>
      <c r="I1978" s="159">
        <f>IF(OR(NOT(ISNUMBER(G1978)),NOT(ISNUMBER(H1978))),"",H1978-G1978)</f>
        <v/>
      </c>
      <c r="J1978" s="319">
        <f>IF(OR(NOT(ISNUMBER(G1978)),NOT(ISNUMBER(H1978)),G1978=0),"",I1978/G1978)</f>
        <v/>
      </c>
      <c r="K1978" s="319">
        <f>IF(OR(NOT(ISNUMBER(G1978)),NOT(ISNUMBER(H1978)),G1978=0),"",H1978/G1978)</f>
        <v/>
      </c>
      <c r="L1978">
        <f>IF(NOT(ISNUMBER(G1978)),"SEM META",IF(G1978=0,"SEM META",IF(NOT(ISNUMBER(H1978)),"SEM APONTAMENTO",IF(H1978&gt;=G1978,"VERDE",IF(H1978&gt;=G1978*0.9,"AMARELO","VERMELHO")))))</f>
        <v/>
      </c>
      <c r="M1978" s="162" t="n"/>
      <c r="N1978" s="162" t="n"/>
      <c r="O1978" s="162" t="n"/>
      <c r="P1978" s="162" t="n"/>
      <c r="Q1978" s="320" t="n"/>
      <c r="R1978" s="162" t="inlineStr">
        <is>
          <t>CONTROLE PRODUÇÃO POR EMPRESAS!D335</t>
        </is>
      </c>
    </row>
    <row r="1979" ht="28.5" customHeight="1">
      <c r="A1979" s="317" t="n">
        <v>46552</v>
      </c>
      <c r="B1979" t="inlineStr">
        <is>
          <t>GERAL</t>
        </is>
      </c>
      <c r="C1979" t="inlineStr">
        <is>
          <t>CMM</t>
        </is>
      </c>
      <c r="D1979" t="inlineStr">
        <is>
          <t>PREMONTAGEM</t>
        </is>
      </c>
      <c r="F1979" s="159">
        <f>IFERROR(INDEX('BASE METAS DIÁRIAS'!$N$2:$S$358,MATCH($A1979,'BASE METAS DIÁRIAS'!$A$2:$A$358,0),MOD(ROW()-2,6)+1),"")</f>
        <v/>
      </c>
      <c r="G1979" s="159">
        <f>IFERROR(IF(WEEKDAY($A1979,2)&lt;=INDEX('BASE METAS DIÁRIAS'!$H$2:$M$358,MATCH($A1979,'BASE METAS DIÁRIAS'!$A$2:$A$358,0),MOD(ROW()-2,6)+1),INDEX('BASE METAS DIÁRIAS'!$B$2:$G$358,MATCH($A1979,'BASE METAS DIÁRIAS'!$A$2:$A$358,0),MOD(ROW()-2,6)+1),""),"")</f>
        <v/>
      </c>
      <c r="H1979" s="159">
        <f>IFERROR(IF(INDEX('CONTROLE PRODUÇÃO POR EMPRESAS'!$B$6:$G$5000,MATCH($A1979,'CONTROLE PRODUÇÃO POR EMPRESAS'!$A$6:$A$5000,0),MOD(ROW()-2,6)+1)="","",IFERROR(1*INDEX('CONTROLE PRODUÇÃO POR EMPRESAS'!$B$6:$G$5000,MATCH($A1979,'CONTROLE PRODUÇÃO POR EMPRESAS'!$A$6:$A$5000,0),MOD(ROW()-2,6)+1),"")),"")</f>
        <v/>
      </c>
      <c r="I1979" s="159">
        <f>IF(OR(NOT(ISNUMBER(G1979)),NOT(ISNUMBER(H1979))),"",H1979-G1979)</f>
        <v/>
      </c>
      <c r="J1979" s="319">
        <f>IF(OR(NOT(ISNUMBER(G1979)),NOT(ISNUMBER(H1979)),G1979=0),"",I1979/G1979)</f>
        <v/>
      </c>
      <c r="K1979" s="319">
        <f>IF(OR(NOT(ISNUMBER(G1979)),NOT(ISNUMBER(H1979)),G1979=0),"",H1979/G1979)</f>
        <v/>
      </c>
      <c r="L1979">
        <f>IF(NOT(ISNUMBER(G1979)),"SEM META",IF(G1979=0,"SEM META",IF(NOT(ISNUMBER(H1979)),"SEM APONTAMENTO",IF(H1979&gt;=G1979,"VERDE",IF(H1979&gt;=G1979*0.9,"AMARELO","VERMELHO")))))</f>
        <v/>
      </c>
      <c r="M1979" s="162" t="n"/>
      <c r="N1979" s="162" t="n"/>
      <c r="O1979" s="162" t="n"/>
      <c r="P1979" s="162" t="n"/>
      <c r="Q1979" s="320" t="n"/>
      <c r="R1979" s="162" t="inlineStr">
        <is>
          <t>CONTROLE PRODUÇÃO POR EMPRESAS!E335</t>
        </is>
      </c>
    </row>
    <row r="1980" ht="28.5" customHeight="1">
      <c r="A1980" s="317" t="n">
        <v>46552</v>
      </c>
      <c r="B1980" t="inlineStr">
        <is>
          <t>GERAL</t>
        </is>
      </c>
      <c r="C1980" t="inlineStr">
        <is>
          <t>CMM</t>
        </is>
      </c>
      <c r="D1980" t="inlineStr">
        <is>
          <t>IÇAMENTO JOIST</t>
        </is>
      </c>
      <c r="F1980" s="159">
        <f>IFERROR(INDEX('BASE METAS DIÁRIAS'!$N$2:$S$358,MATCH($A1980,'BASE METAS DIÁRIAS'!$A$2:$A$358,0),MOD(ROW()-2,6)+1),"")</f>
        <v/>
      </c>
      <c r="G1980" s="159">
        <f>IFERROR(IF(WEEKDAY($A1980,2)&lt;=INDEX('BASE METAS DIÁRIAS'!$H$2:$M$358,MATCH($A1980,'BASE METAS DIÁRIAS'!$A$2:$A$358,0),MOD(ROW()-2,6)+1),INDEX('BASE METAS DIÁRIAS'!$B$2:$G$358,MATCH($A1980,'BASE METAS DIÁRIAS'!$A$2:$A$358,0),MOD(ROW()-2,6)+1),""),"")</f>
        <v/>
      </c>
      <c r="H1980" s="159">
        <f>IFERROR(IF(INDEX('CONTROLE PRODUÇÃO POR EMPRESAS'!$B$6:$G$5000,MATCH($A1980,'CONTROLE PRODUÇÃO POR EMPRESAS'!$A$6:$A$5000,0),MOD(ROW()-2,6)+1)="","",IFERROR(1*INDEX('CONTROLE PRODUÇÃO POR EMPRESAS'!$B$6:$G$5000,MATCH($A1980,'CONTROLE PRODUÇÃO POR EMPRESAS'!$A$6:$A$5000,0),MOD(ROW()-2,6)+1),"")),"")</f>
        <v/>
      </c>
      <c r="I1980" s="159">
        <f>IF(OR(NOT(ISNUMBER(G1980)),NOT(ISNUMBER(H1980))),"",H1980-G1980)</f>
        <v/>
      </c>
      <c r="J1980" s="319">
        <f>IF(OR(NOT(ISNUMBER(G1980)),NOT(ISNUMBER(H1980)),G1980=0),"",I1980/G1980)</f>
        <v/>
      </c>
      <c r="K1980" s="319">
        <f>IF(OR(NOT(ISNUMBER(G1980)),NOT(ISNUMBER(H1980)),G1980=0),"",H1980/G1980)</f>
        <v/>
      </c>
      <c r="L1980">
        <f>IF(NOT(ISNUMBER(G1980)),"SEM META",IF(G1980=0,"SEM META",IF(NOT(ISNUMBER(H1980)),"SEM APONTAMENTO",IF(H1980&gt;=G1980,"VERDE",IF(H1980&gt;=G1980*0.9,"AMARELO","VERMELHO")))))</f>
        <v/>
      </c>
      <c r="M1980" s="162" t="n"/>
      <c r="N1980" s="162" t="n"/>
      <c r="O1980" s="162" t="n"/>
      <c r="P1980" s="162" t="n"/>
      <c r="Q1980" s="320" t="n"/>
      <c r="R1980" s="162" t="inlineStr">
        <is>
          <t>CONTROLE PRODUÇÃO POR EMPRESAS!F335</t>
        </is>
      </c>
    </row>
    <row r="1981" ht="28.5" customHeight="1">
      <c r="A1981" s="317" t="n">
        <v>46552</v>
      </c>
      <c r="B1981" t="inlineStr">
        <is>
          <t>GERAL</t>
        </is>
      </c>
      <c r="C1981" t="inlineStr">
        <is>
          <t>CMM</t>
        </is>
      </c>
      <c r="D1981" t="inlineStr">
        <is>
          <t>VIGAS</t>
        </is>
      </c>
      <c r="F1981" s="159">
        <f>IFERROR(INDEX('BASE METAS DIÁRIAS'!$N$2:$S$358,MATCH($A1981,'BASE METAS DIÁRIAS'!$A$2:$A$358,0),MOD(ROW()-2,6)+1),"")</f>
        <v/>
      </c>
      <c r="G1981" s="159">
        <f>IFERROR(IF(WEEKDAY($A1981,2)&lt;=INDEX('BASE METAS DIÁRIAS'!$H$2:$M$358,MATCH($A1981,'BASE METAS DIÁRIAS'!$A$2:$A$358,0),MOD(ROW()-2,6)+1),INDEX('BASE METAS DIÁRIAS'!$B$2:$G$358,MATCH($A1981,'BASE METAS DIÁRIAS'!$A$2:$A$358,0),MOD(ROW()-2,6)+1),""),"")</f>
        <v/>
      </c>
      <c r="H1981" s="159">
        <f>IFERROR(IF(INDEX('CONTROLE PRODUÇÃO POR EMPRESAS'!$B$6:$G$5000,MATCH($A1981,'CONTROLE PRODUÇÃO POR EMPRESAS'!$A$6:$A$5000,0),MOD(ROW()-2,6)+1)="","",IFERROR(1*INDEX('CONTROLE PRODUÇÃO POR EMPRESAS'!$B$6:$G$5000,MATCH($A1981,'CONTROLE PRODUÇÃO POR EMPRESAS'!$A$6:$A$5000,0),MOD(ROW()-2,6)+1),"")),"")</f>
        <v/>
      </c>
      <c r="I1981" s="159">
        <f>IF(OR(NOT(ISNUMBER(G1981)),NOT(ISNUMBER(H1981))),"",H1981-G1981)</f>
        <v/>
      </c>
      <c r="J1981" s="319">
        <f>IF(OR(NOT(ISNUMBER(G1981)),NOT(ISNUMBER(H1981)),G1981=0),"",I1981/G1981)</f>
        <v/>
      </c>
      <c r="K1981" s="319">
        <f>IF(OR(NOT(ISNUMBER(G1981)),NOT(ISNUMBER(H1981)),G1981=0),"",H1981/G1981)</f>
        <v/>
      </c>
      <c r="L1981">
        <f>IF(NOT(ISNUMBER(G1981)),"SEM META",IF(G1981=0,"SEM META",IF(NOT(ISNUMBER(H1981)),"SEM APONTAMENTO",IF(H1981&gt;=G1981,"VERDE",IF(H1981&gt;=G1981*0.9,"AMARELO","VERMELHO")))))</f>
        <v/>
      </c>
      <c r="M1981" s="162" t="n"/>
      <c r="N1981" s="162" t="n"/>
      <c r="O1981" s="162" t="n"/>
      <c r="P1981" s="162" t="n"/>
      <c r="Q1981" s="320" t="n"/>
      <c r="R1981" s="162" t="inlineStr">
        <is>
          <t>CONTROLE PRODUÇÃO POR EMPRESAS!G335</t>
        </is>
      </c>
    </row>
    <row r="1982" ht="28.5" customHeight="1">
      <c r="A1982" s="317" t="n">
        <v>46553</v>
      </c>
      <c r="B1982" t="inlineStr">
        <is>
          <t>GERAL</t>
        </is>
      </c>
      <c r="C1982" t="inlineStr">
        <is>
          <t>EJ</t>
        </is>
      </c>
      <c r="D1982" t="inlineStr">
        <is>
          <t>PREMONTAGEM</t>
        </is>
      </c>
      <c r="F1982" s="159">
        <f>IFERROR(INDEX('BASE METAS DIÁRIAS'!$N$2:$S$358,MATCH($A1982,'BASE METAS DIÁRIAS'!$A$2:$A$358,0),MOD(ROW()-2,6)+1),"")</f>
        <v/>
      </c>
      <c r="G1982" s="159">
        <f>IFERROR(IF(WEEKDAY($A1982,2)&lt;=INDEX('BASE METAS DIÁRIAS'!$H$2:$M$358,MATCH($A1982,'BASE METAS DIÁRIAS'!$A$2:$A$358,0),MOD(ROW()-2,6)+1),INDEX('BASE METAS DIÁRIAS'!$B$2:$G$358,MATCH($A1982,'BASE METAS DIÁRIAS'!$A$2:$A$358,0),MOD(ROW()-2,6)+1),""),"")</f>
        <v/>
      </c>
      <c r="H1982" s="159">
        <f>IFERROR(IF(INDEX('CONTROLE PRODUÇÃO POR EMPRESAS'!$B$6:$G$5000,MATCH($A1982,'CONTROLE PRODUÇÃO POR EMPRESAS'!$A$6:$A$5000,0),MOD(ROW()-2,6)+1)="","",IFERROR(1*INDEX('CONTROLE PRODUÇÃO POR EMPRESAS'!$B$6:$G$5000,MATCH($A1982,'CONTROLE PRODUÇÃO POR EMPRESAS'!$A$6:$A$5000,0),MOD(ROW()-2,6)+1),"")),"")</f>
        <v/>
      </c>
      <c r="I1982" s="159">
        <f>IF(OR(NOT(ISNUMBER(G1982)),NOT(ISNUMBER(H1982))),"",H1982-G1982)</f>
        <v/>
      </c>
      <c r="J1982" s="319">
        <f>IF(OR(NOT(ISNUMBER(G1982)),NOT(ISNUMBER(H1982)),G1982=0),"",I1982/G1982)</f>
        <v/>
      </c>
      <c r="K1982" s="319">
        <f>IF(OR(NOT(ISNUMBER(G1982)),NOT(ISNUMBER(H1982)),G1982=0),"",H1982/G1982)</f>
        <v/>
      </c>
      <c r="L1982">
        <f>IF(NOT(ISNUMBER(G1982)),"SEM META",IF(G1982=0,"SEM META",IF(NOT(ISNUMBER(H1982)),"SEM APONTAMENTO",IF(H1982&gt;=G1982,"VERDE",IF(H1982&gt;=G1982*0.9,"AMARELO","VERMELHO")))))</f>
        <v/>
      </c>
      <c r="M1982" s="162" t="n"/>
      <c r="N1982" s="162" t="n"/>
      <c r="O1982" s="162" t="n"/>
      <c r="P1982" s="162" t="n"/>
      <c r="Q1982" s="320" t="n"/>
      <c r="R1982" s="162" t="inlineStr">
        <is>
          <t>CONTROLE PRODUÇÃO POR EMPRESAS!B336</t>
        </is>
      </c>
    </row>
    <row r="1983" ht="28.5" customHeight="1">
      <c r="A1983" s="317" t="n">
        <v>46553</v>
      </c>
      <c r="B1983" t="inlineStr">
        <is>
          <t>GERAL</t>
        </is>
      </c>
      <c r="C1983" t="inlineStr">
        <is>
          <t>EJ</t>
        </is>
      </c>
      <c r="D1983" t="inlineStr">
        <is>
          <t>IÇAMENTO JOIST</t>
        </is>
      </c>
      <c r="F1983" s="159">
        <f>IFERROR(INDEX('BASE METAS DIÁRIAS'!$N$2:$S$358,MATCH($A1983,'BASE METAS DIÁRIAS'!$A$2:$A$358,0),MOD(ROW()-2,6)+1),"")</f>
        <v/>
      </c>
      <c r="G1983" s="159">
        <f>IFERROR(IF(WEEKDAY($A1983,2)&lt;=INDEX('BASE METAS DIÁRIAS'!$H$2:$M$358,MATCH($A1983,'BASE METAS DIÁRIAS'!$A$2:$A$358,0),MOD(ROW()-2,6)+1),INDEX('BASE METAS DIÁRIAS'!$B$2:$G$358,MATCH($A1983,'BASE METAS DIÁRIAS'!$A$2:$A$358,0),MOD(ROW()-2,6)+1),""),"")</f>
        <v/>
      </c>
      <c r="H1983" s="159">
        <f>IFERROR(IF(INDEX('CONTROLE PRODUÇÃO POR EMPRESAS'!$B$6:$G$5000,MATCH($A1983,'CONTROLE PRODUÇÃO POR EMPRESAS'!$A$6:$A$5000,0),MOD(ROW()-2,6)+1)="","",IFERROR(1*INDEX('CONTROLE PRODUÇÃO POR EMPRESAS'!$B$6:$G$5000,MATCH($A1983,'CONTROLE PRODUÇÃO POR EMPRESAS'!$A$6:$A$5000,0),MOD(ROW()-2,6)+1),"")),"")</f>
        <v/>
      </c>
      <c r="I1983" s="159">
        <f>IF(OR(NOT(ISNUMBER(G1983)),NOT(ISNUMBER(H1983))),"",H1983-G1983)</f>
        <v/>
      </c>
      <c r="J1983" s="319">
        <f>IF(OR(NOT(ISNUMBER(G1983)),NOT(ISNUMBER(H1983)),G1983=0),"",I1983/G1983)</f>
        <v/>
      </c>
      <c r="K1983" s="319">
        <f>IF(OR(NOT(ISNUMBER(G1983)),NOT(ISNUMBER(H1983)),G1983=0),"",H1983/G1983)</f>
        <v/>
      </c>
      <c r="L1983">
        <f>IF(NOT(ISNUMBER(G1983)),"SEM META",IF(G1983=0,"SEM META",IF(NOT(ISNUMBER(H1983)),"SEM APONTAMENTO",IF(H1983&gt;=G1983,"VERDE",IF(H1983&gt;=G1983*0.9,"AMARELO","VERMELHO")))))</f>
        <v/>
      </c>
      <c r="M1983" s="162" t="n"/>
      <c r="N1983" s="162" t="n"/>
      <c r="O1983" s="162" t="n"/>
      <c r="P1983" s="162" t="n"/>
      <c r="Q1983" s="320" t="n"/>
      <c r="R1983" s="162" t="inlineStr">
        <is>
          <t>CONTROLE PRODUÇÃO POR EMPRESAS!C336</t>
        </is>
      </c>
    </row>
    <row r="1984" ht="28.5" customHeight="1">
      <c r="A1984" s="317" t="n">
        <v>46553</v>
      </c>
      <c r="B1984" t="inlineStr">
        <is>
          <t>GERAL</t>
        </is>
      </c>
      <c r="C1984" t="inlineStr">
        <is>
          <t>EJ</t>
        </is>
      </c>
      <c r="D1984" t="inlineStr">
        <is>
          <t>VIGAS</t>
        </is>
      </c>
      <c r="F1984" s="159">
        <f>IFERROR(INDEX('BASE METAS DIÁRIAS'!$N$2:$S$358,MATCH($A1984,'BASE METAS DIÁRIAS'!$A$2:$A$358,0),MOD(ROW()-2,6)+1),"")</f>
        <v/>
      </c>
      <c r="G1984" s="159">
        <f>IFERROR(IF(WEEKDAY($A1984,2)&lt;=INDEX('BASE METAS DIÁRIAS'!$H$2:$M$358,MATCH($A1984,'BASE METAS DIÁRIAS'!$A$2:$A$358,0),MOD(ROW()-2,6)+1),INDEX('BASE METAS DIÁRIAS'!$B$2:$G$358,MATCH($A1984,'BASE METAS DIÁRIAS'!$A$2:$A$358,0),MOD(ROW()-2,6)+1),""),"")</f>
        <v/>
      </c>
      <c r="H1984" s="159">
        <f>IFERROR(IF(INDEX('CONTROLE PRODUÇÃO POR EMPRESAS'!$B$6:$G$5000,MATCH($A1984,'CONTROLE PRODUÇÃO POR EMPRESAS'!$A$6:$A$5000,0),MOD(ROW()-2,6)+1)="","",IFERROR(1*INDEX('CONTROLE PRODUÇÃO POR EMPRESAS'!$B$6:$G$5000,MATCH($A1984,'CONTROLE PRODUÇÃO POR EMPRESAS'!$A$6:$A$5000,0),MOD(ROW()-2,6)+1),"")),"")</f>
        <v/>
      </c>
      <c r="I1984" s="159">
        <f>IF(OR(NOT(ISNUMBER(G1984)),NOT(ISNUMBER(H1984))),"",H1984-G1984)</f>
        <v/>
      </c>
      <c r="J1984" s="319">
        <f>IF(OR(NOT(ISNUMBER(G1984)),NOT(ISNUMBER(H1984)),G1984=0),"",I1984/G1984)</f>
        <v/>
      </c>
      <c r="K1984" s="319">
        <f>IF(OR(NOT(ISNUMBER(G1984)),NOT(ISNUMBER(H1984)),G1984=0),"",H1984/G1984)</f>
        <v/>
      </c>
      <c r="L1984">
        <f>IF(NOT(ISNUMBER(G1984)),"SEM META",IF(G1984=0,"SEM META",IF(NOT(ISNUMBER(H1984)),"SEM APONTAMENTO",IF(H1984&gt;=G1984,"VERDE",IF(H1984&gt;=G1984*0.9,"AMARELO","VERMELHO")))))</f>
        <v/>
      </c>
      <c r="M1984" s="162" t="n"/>
      <c r="N1984" s="162" t="n"/>
      <c r="O1984" s="162" t="n"/>
      <c r="P1984" s="162" t="n"/>
      <c r="Q1984" s="320" t="n"/>
      <c r="R1984" s="162" t="inlineStr">
        <is>
          <t>CONTROLE PRODUÇÃO POR EMPRESAS!D336</t>
        </is>
      </c>
    </row>
    <row r="1985" ht="28.5" customHeight="1">
      <c r="A1985" s="317" t="n">
        <v>46553</v>
      </c>
      <c r="B1985" t="inlineStr">
        <is>
          <t>GERAL</t>
        </is>
      </c>
      <c r="C1985" t="inlineStr">
        <is>
          <t>CMM</t>
        </is>
      </c>
      <c r="D1985" t="inlineStr">
        <is>
          <t>PREMONTAGEM</t>
        </is>
      </c>
      <c r="F1985" s="159">
        <f>IFERROR(INDEX('BASE METAS DIÁRIAS'!$N$2:$S$358,MATCH($A1985,'BASE METAS DIÁRIAS'!$A$2:$A$358,0),MOD(ROW()-2,6)+1),"")</f>
        <v/>
      </c>
      <c r="G1985" s="159">
        <f>IFERROR(IF(WEEKDAY($A1985,2)&lt;=INDEX('BASE METAS DIÁRIAS'!$H$2:$M$358,MATCH($A1985,'BASE METAS DIÁRIAS'!$A$2:$A$358,0),MOD(ROW()-2,6)+1),INDEX('BASE METAS DIÁRIAS'!$B$2:$G$358,MATCH($A1985,'BASE METAS DIÁRIAS'!$A$2:$A$358,0),MOD(ROW()-2,6)+1),""),"")</f>
        <v/>
      </c>
      <c r="H1985" s="159">
        <f>IFERROR(IF(INDEX('CONTROLE PRODUÇÃO POR EMPRESAS'!$B$6:$G$5000,MATCH($A1985,'CONTROLE PRODUÇÃO POR EMPRESAS'!$A$6:$A$5000,0),MOD(ROW()-2,6)+1)="","",IFERROR(1*INDEX('CONTROLE PRODUÇÃO POR EMPRESAS'!$B$6:$G$5000,MATCH($A1985,'CONTROLE PRODUÇÃO POR EMPRESAS'!$A$6:$A$5000,0),MOD(ROW()-2,6)+1),"")),"")</f>
        <v/>
      </c>
      <c r="I1985" s="159">
        <f>IF(OR(NOT(ISNUMBER(G1985)),NOT(ISNUMBER(H1985))),"",H1985-G1985)</f>
        <v/>
      </c>
      <c r="J1985" s="319">
        <f>IF(OR(NOT(ISNUMBER(G1985)),NOT(ISNUMBER(H1985)),G1985=0),"",I1985/G1985)</f>
        <v/>
      </c>
      <c r="K1985" s="319">
        <f>IF(OR(NOT(ISNUMBER(G1985)),NOT(ISNUMBER(H1985)),G1985=0),"",H1985/G1985)</f>
        <v/>
      </c>
      <c r="L1985">
        <f>IF(NOT(ISNUMBER(G1985)),"SEM META",IF(G1985=0,"SEM META",IF(NOT(ISNUMBER(H1985)),"SEM APONTAMENTO",IF(H1985&gt;=G1985,"VERDE",IF(H1985&gt;=G1985*0.9,"AMARELO","VERMELHO")))))</f>
        <v/>
      </c>
      <c r="M1985" s="162" t="n"/>
      <c r="N1985" s="162" t="n"/>
      <c r="O1985" s="162" t="n"/>
      <c r="P1985" s="162" t="n"/>
      <c r="Q1985" s="320" t="n"/>
      <c r="R1985" s="162" t="inlineStr">
        <is>
          <t>CONTROLE PRODUÇÃO POR EMPRESAS!E336</t>
        </is>
      </c>
    </row>
    <row r="1986" ht="28.5" customHeight="1">
      <c r="A1986" s="317" t="n">
        <v>46553</v>
      </c>
      <c r="B1986" t="inlineStr">
        <is>
          <t>GERAL</t>
        </is>
      </c>
      <c r="C1986" t="inlineStr">
        <is>
          <t>CMM</t>
        </is>
      </c>
      <c r="D1986" t="inlineStr">
        <is>
          <t>IÇAMENTO JOIST</t>
        </is>
      </c>
      <c r="F1986" s="159">
        <f>IFERROR(INDEX('BASE METAS DIÁRIAS'!$N$2:$S$358,MATCH($A1986,'BASE METAS DIÁRIAS'!$A$2:$A$358,0),MOD(ROW()-2,6)+1),"")</f>
        <v/>
      </c>
      <c r="G1986" s="159">
        <f>IFERROR(IF(WEEKDAY($A1986,2)&lt;=INDEX('BASE METAS DIÁRIAS'!$H$2:$M$358,MATCH($A1986,'BASE METAS DIÁRIAS'!$A$2:$A$358,0),MOD(ROW()-2,6)+1),INDEX('BASE METAS DIÁRIAS'!$B$2:$G$358,MATCH($A1986,'BASE METAS DIÁRIAS'!$A$2:$A$358,0),MOD(ROW()-2,6)+1),""),"")</f>
        <v/>
      </c>
      <c r="H1986" s="159">
        <f>IFERROR(IF(INDEX('CONTROLE PRODUÇÃO POR EMPRESAS'!$B$6:$G$5000,MATCH($A1986,'CONTROLE PRODUÇÃO POR EMPRESAS'!$A$6:$A$5000,0),MOD(ROW()-2,6)+1)="","",IFERROR(1*INDEX('CONTROLE PRODUÇÃO POR EMPRESAS'!$B$6:$G$5000,MATCH($A1986,'CONTROLE PRODUÇÃO POR EMPRESAS'!$A$6:$A$5000,0),MOD(ROW()-2,6)+1),"")),"")</f>
        <v/>
      </c>
      <c r="I1986" s="159">
        <f>IF(OR(NOT(ISNUMBER(G1986)),NOT(ISNUMBER(H1986))),"",H1986-G1986)</f>
        <v/>
      </c>
      <c r="J1986" s="319">
        <f>IF(OR(NOT(ISNUMBER(G1986)),NOT(ISNUMBER(H1986)),G1986=0),"",I1986/G1986)</f>
        <v/>
      </c>
      <c r="K1986" s="319">
        <f>IF(OR(NOT(ISNUMBER(G1986)),NOT(ISNUMBER(H1986)),G1986=0),"",H1986/G1986)</f>
        <v/>
      </c>
      <c r="L1986">
        <f>IF(NOT(ISNUMBER(G1986)),"SEM META",IF(G1986=0,"SEM META",IF(NOT(ISNUMBER(H1986)),"SEM APONTAMENTO",IF(H1986&gt;=G1986,"VERDE",IF(H1986&gt;=G1986*0.9,"AMARELO","VERMELHO")))))</f>
        <v/>
      </c>
      <c r="M1986" s="162" t="n"/>
      <c r="N1986" s="162" t="n"/>
      <c r="O1986" s="162" t="n"/>
      <c r="P1986" s="162" t="n"/>
      <c r="Q1986" s="320" t="n"/>
      <c r="R1986" s="162" t="inlineStr">
        <is>
          <t>CONTROLE PRODUÇÃO POR EMPRESAS!F336</t>
        </is>
      </c>
    </row>
    <row r="1987" ht="28.5" customHeight="1">
      <c r="A1987" s="317" t="n">
        <v>46553</v>
      </c>
      <c r="B1987" t="inlineStr">
        <is>
          <t>GERAL</t>
        </is>
      </c>
      <c r="C1987" t="inlineStr">
        <is>
          <t>CMM</t>
        </is>
      </c>
      <c r="D1987" t="inlineStr">
        <is>
          <t>VIGAS</t>
        </is>
      </c>
      <c r="F1987" s="159">
        <f>IFERROR(INDEX('BASE METAS DIÁRIAS'!$N$2:$S$358,MATCH($A1987,'BASE METAS DIÁRIAS'!$A$2:$A$358,0),MOD(ROW()-2,6)+1),"")</f>
        <v/>
      </c>
      <c r="G1987" s="159">
        <f>IFERROR(IF(WEEKDAY($A1987,2)&lt;=INDEX('BASE METAS DIÁRIAS'!$H$2:$M$358,MATCH($A1987,'BASE METAS DIÁRIAS'!$A$2:$A$358,0),MOD(ROW()-2,6)+1),INDEX('BASE METAS DIÁRIAS'!$B$2:$G$358,MATCH($A1987,'BASE METAS DIÁRIAS'!$A$2:$A$358,0),MOD(ROW()-2,6)+1),""),"")</f>
        <v/>
      </c>
      <c r="H1987" s="159">
        <f>IFERROR(IF(INDEX('CONTROLE PRODUÇÃO POR EMPRESAS'!$B$6:$G$5000,MATCH($A1987,'CONTROLE PRODUÇÃO POR EMPRESAS'!$A$6:$A$5000,0),MOD(ROW()-2,6)+1)="","",IFERROR(1*INDEX('CONTROLE PRODUÇÃO POR EMPRESAS'!$B$6:$G$5000,MATCH($A1987,'CONTROLE PRODUÇÃO POR EMPRESAS'!$A$6:$A$5000,0),MOD(ROW()-2,6)+1),"")),"")</f>
        <v/>
      </c>
      <c r="I1987" s="159">
        <f>IF(OR(NOT(ISNUMBER(G1987)),NOT(ISNUMBER(H1987))),"",H1987-G1987)</f>
        <v/>
      </c>
      <c r="J1987" s="319">
        <f>IF(OR(NOT(ISNUMBER(G1987)),NOT(ISNUMBER(H1987)),G1987=0),"",I1987/G1987)</f>
        <v/>
      </c>
      <c r="K1987" s="319">
        <f>IF(OR(NOT(ISNUMBER(G1987)),NOT(ISNUMBER(H1987)),G1987=0),"",H1987/G1987)</f>
        <v/>
      </c>
      <c r="L1987">
        <f>IF(NOT(ISNUMBER(G1987)),"SEM META",IF(G1987=0,"SEM META",IF(NOT(ISNUMBER(H1987)),"SEM APONTAMENTO",IF(H1987&gt;=G1987,"VERDE",IF(H1987&gt;=G1987*0.9,"AMARELO","VERMELHO")))))</f>
        <v/>
      </c>
      <c r="M1987" s="162" t="n"/>
      <c r="N1987" s="162" t="n"/>
      <c r="O1987" s="162" t="n"/>
      <c r="P1987" s="162" t="n"/>
      <c r="Q1987" s="320" t="n"/>
      <c r="R1987" s="162" t="inlineStr">
        <is>
          <t>CONTROLE PRODUÇÃO POR EMPRESAS!G336</t>
        </is>
      </c>
    </row>
    <row r="1988" ht="28.5" customHeight="1">
      <c r="A1988" s="317" t="n">
        <v>46554</v>
      </c>
      <c r="B1988" t="inlineStr">
        <is>
          <t>GERAL</t>
        </is>
      </c>
      <c r="C1988" t="inlineStr">
        <is>
          <t>EJ</t>
        </is>
      </c>
      <c r="D1988" t="inlineStr">
        <is>
          <t>PREMONTAGEM</t>
        </is>
      </c>
      <c r="F1988" s="159">
        <f>IFERROR(INDEX('BASE METAS DIÁRIAS'!$N$2:$S$358,MATCH($A1988,'BASE METAS DIÁRIAS'!$A$2:$A$358,0),MOD(ROW()-2,6)+1),"")</f>
        <v/>
      </c>
      <c r="G1988" s="159">
        <f>IFERROR(IF(WEEKDAY($A1988,2)&lt;=INDEX('BASE METAS DIÁRIAS'!$H$2:$M$358,MATCH($A1988,'BASE METAS DIÁRIAS'!$A$2:$A$358,0),MOD(ROW()-2,6)+1),INDEX('BASE METAS DIÁRIAS'!$B$2:$G$358,MATCH($A1988,'BASE METAS DIÁRIAS'!$A$2:$A$358,0),MOD(ROW()-2,6)+1),""),"")</f>
        <v/>
      </c>
      <c r="H1988" s="159">
        <f>IFERROR(IF(INDEX('CONTROLE PRODUÇÃO POR EMPRESAS'!$B$6:$G$5000,MATCH($A1988,'CONTROLE PRODUÇÃO POR EMPRESAS'!$A$6:$A$5000,0),MOD(ROW()-2,6)+1)="","",IFERROR(1*INDEX('CONTROLE PRODUÇÃO POR EMPRESAS'!$B$6:$G$5000,MATCH($A1988,'CONTROLE PRODUÇÃO POR EMPRESAS'!$A$6:$A$5000,0),MOD(ROW()-2,6)+1),"")),"")</f>
        <v/>
      </c>
      <c r="I1988" s="159">
        <f>IF(OR(NOT(ISNUMBER(G1988)),NOT(ISNUMBER(H1988))),"",H1988-G1988)</f>
        <v/>
      </c>
      <c r="J1988" s="319">
        <f>IF(OR(NOT(ISNUMBER(G1988)),NOT(ISNUMBER(H1988)),G1988=0),"",I1988/G1988)</f>
        <v/>
      </c>
      <c r="K1988" s="319">
        <f>IF(OR(NOT(ISNUMBER(G1988)),NOT(ISNUMBER(H1988)),G1988=0),"",H1988/G1988)</f>
        <v/>
      </c>
      <c r="L1988">
        <f>IF(NOT(ISNUMBER(G1988)),"SEM META",IF(G1988=0,"SEM META",IF(NOT(ISNUMBER(H1988)),"SEM APONTAMENTO",IF(H1988&gt;=G1988,"VERDE",IF(H1988&gt;=G1988*0.9,"AMARELO","VERMELHO")))))</f>
        <v/>
      </c>
      <c r="M1988" s="162" t="n"/>
      <c r="N1988" s="162" t="n"/>
      <c r="O1988" s="162" t="n"/>
      <c r="P1988" s="162" t="n"/>
      <c r="Q1988" s="320" t="n"/>
      <c r="R1988" s="162" t="inlineStr">
        <is>
          <t>CONTROLE PRODUÇÃO POR EMPRESAS!B337</t>
        </is>
      </c>
    </row>
    <row r="1989" ht="28.5" customHeight="1">
      <c r="A1989" s="317" t="n">
        <v>46554</v>
      </c>
      <c r="B1989" t="inlineStr">
        <is>
          <t>GERAL</t>
        </is>
      </c>
      <c r="C1989" t="inlineStr">
        <is>
          <t>EJ</t>
        </is>
      </c>
      <c r="D1989" t="inlineStr">
        <is>
          <t>IÇAMENTO JOIST</t>
        </is>
      </c>
      <c r="F1989" s="159">
        <f>IFERROR(INDEX('BASE METAS DIÁRIAS'!$N$2:$S$358,MATCH($A1989,'BASE METAS DIÁRIAS'!$A$2:$A$358,0),MOD(ROW()-2,6)+1),"")</f>
        <v/>
      </c>
      <c r="G1989" s="159">
        <f>IFERROR(IF(WEEKDAY($A1989,2)&lt;=INDEX('BASE METAS DIÁRIAS'!$H$2:$M$358,MATCH($A1989,'BASE METAS DIÁRIAS'!$A$2:$A$358,0),MOD(ROW()-2,6)+1),INDEX('BASE METAS DIÁRIAS'!$B$2:$G$358,MATCH($A1989,'BASE METAS DIÁRIAS'!$A$2:$A$358,0),MOD(ROW()-2,6)+1),""),"")</f>
        <v/>
      </c>
      <c r="H1989" s="159">
        <f>IFERROR(IF(INDEX('CONTROLE PRODUÇÃO POR EMPRESAS'!$B$6:$G$5000,MATCH($A1989,'CONTROLE PRODUÇÃO POR EMPRESAS'!$A$6:$A$5000,0),MOD(ROW()-2,6)+1)="","",IFERROR(1*INDEX('CONTROLE PRODUÇÃO POR EMPRESAS'!$B$6:$G$5000,MATCH($A1989,'CONTROLE PRODUÇÃO POR EMPRESAS'!$A$6:$A$5000,0),MOD(ROW()-2,6)+1),"")),"")</f>
        <v/>
      </c>
      <c r="I1989" s="159">
        <f>IF(OR(NOT(ISNUMBER(G1989)),NOT(ISNUMBER(H1989))),"",H1989-G1989)</f>
        <v/>
      </c>
      <c r="J1989" s="319">
        <f>IF(OR(NOT(ISNUMBER(G1989)),NOT(ISNUMBER(H1989)),G1989=0),"",I1989/G1989)</f>
        <v/>
      </c>
      <c r="K1989" s="319">
        <f>IF(OR(NOT(ISNUMBER(G1989)),NOT(ISNUMBER(H1989)),G1989=0),"",H1989/G1989)</f>
        <v/>
      </c>
      <c r="L1989">
        <f>IF(NOT(ISNUMBER(G1989)),"SEM META",IF(G1989=0,"SEM META",IF(NOT(ISNUMBER(H1989)),"SEM APONTAMENTO",IF(H1989&gt;=G1989,"VERDE",IF(H1989&gt;=G1989*0.9,"AMARELO","VERMELHO")))))</f>
        <v/>
      </c>
      <c r="M1989" s="162" t="n"/>
      <c r="N1989" s="162" t="n"/>
      <c r="O1989" s="162" t="n"/>
      <c r="P1989" s="162" t="n"/>
      <c r="Q1989" s="320" t="n"/>
      <c r="R1989" s="162" t="inlineStr">
        <is>
          <t>CONTROLE PRODUÇÃO POR EMPRESAS!C337</t>
        </is>
      </c>
    </row>
    <row r="1990" ht="28.5" customHeight="1">
      <c r="A1990" s="317" t="n">
        <v>46554</v>
      </c>
      <c r="B1990" t="inlineStr">
        <is>
          <t>GERAL</t>
        </is>
      </c>
      <c r="C1990" t="inlineStr">
        <is>
          <t>EJ</t>
        </is>
      </c>
      <c r="D1990" t="inlineStr">
        <is>
          <t>VIGAS</t>
        </is>
      </c>
      <c r="F1990" s="159">
        <f>IFERROR(INDEX('BASE METAS DIÁRIAS'!$N$2:$S$358,MATCH($A1990,'BASE METAS DIÁRIAS'!$A$2:$A$358,0),MOD(ROW()-2,6)+1),"")</f>
        <v/>
      </c>
      <c r="G1990" s="159">
        <f>IFERROR(IF(WEEKDAY($A1990,2)&lt;=INDEX('BASE METAS DIÁRIAS'!$H$2:$M$358,MATCH($A1990,'BASE METAS DIÁRIAS'!$A$2:$A$358,0),MOD(ROW()-2,6)+1),INDEX('BASE METAS DIÁRIAS'!$B$2:$G$358,MATCH($A1990,'BASE METAS DIÁRIAS'!$A$2:$A$358,0),MOD(ROW()-2,6)+1),""),"")</f>
        <v/>
      </c>
      <c r="H1990" s="159">
        <f>IFERROR(IF(INDEX('CONTROLE PRODUÇÃO POR EMPRESAS'!$B$6:$G$5000,MATCH($A1990,'CONTROLE PRODUÇÃO POR EMPRESAS'!$A$6:$A$5000,0),MOD(ROW()-2,6)+1)="","",IFERROR(1*INDEX('CONTROLE PRODUÇÃO POR EMPRESAS'!$B$6:$G$5000,MATCH($A1990,'CONTROLE PRODUÇÃO POR EMPRESAS'!$A$6:$A$5000,0),MOD(ROW()-2,6)+1),"")),"")</f>
        <v/>
      </c>
      <c r="I1990" s="159">
        <f>IF(OR(NOT(ISNUMBER(G1990)),NOT(ISNUMBER(H1990))),"",H1990-G1990)</f>
        <v/>
      </c>
      <c r="J1990" s="319">
        <f>IF(OR(NOT(ISNUMBER(G1990)),NOT(ISNUMBER(H1990)),G1990=0),"",I1990/G1990)</f>
        <v/>
      </c>
      <c r="K1990" s="319">
        <f>IF(OR(NOT(ISNUMBER(G1990)),NOT(ISNUMBER(H1990)),G1990=0),"",H1990/G1990)</f>
        <v/>
      </c>
      <c r="L1990">
        <f>IF(NOT(ISNUMBER(G1990)),"SEM META",IF(G1990=0,"SEM META",IF(NOT(ISNUMBER(H1990)),"SEM APONTAMENTO",IF(H1990&gt;=G1990,"VERDE",IF(H1990&gt;=G1990*0.9,"AMARELO","VERMELHO")))))</f>
        <v/>
      </c>
      <c r="M1990" s="162" t="n"/>
      <c r="N1990" s="162" t="n"/>
      <c r="O1990" s="162" t="n"/>
      <c r="P1990" s="162" t="n"/>
      <c r="Q1990" s="320" t="n"/>
      <c r="R1990" s="162" t="inlineStr">
        <is>
          <t>CONTROLE PRODUÇÃO POR EMPRESAS!D337</t>
        </is>
      </c>
    </row>
    <row r="1991" ht="28.5" customHeight="1">
      <c r="A1991" s="317" t="n">
        <v>46554</v>
      </c>
      <c r="B1991" t="inlineStr">
        <is>
          <t>GERAL</t>
        </is>
      </c>
      <c r="C1991" t="inlineStr">
        <is>
          <t>CMM</t>
        </is>
      </c>
      <c r="D1991" t="inlineStr">
        <is>
          <t>PREMONTAGEM</t>
        </is>
      </c>
      <c r="F1991" s="159">
        <f>IFERROR(INDEX('BASE METAS DIÁRIAS'!$N$2:$S$358,MATCH($A1991,'BASE METAS DIÁRIAS'!$A$2:$A$358,0),MOD(ROW()-2,6)+1),"")</f>
        <v/>
      </c>
      <c r="G1991" s="159">
        <f>IFERROR(IF(WEEKDAY($A1991,2)&lt;=INDEX('BASE METAS DIÁRIAS'!$H$2:$M$358,MATCH($A1991,'BASE METAS DIÁRIAS'!$A$2:$A$358,0),MOD(ROW()-2,6)+1),INDEX('BASE METAS DIÁRIAS'!$B$2:$G$358,MATCH($A1991,'BASE METAS DIÁRIAS'!$A$2:$A$358,0),MOD(ROW()-2,6)+1),""),"")</f>
        <v/>
      </c>
      <c r="H1991" s="159">
        <f>IFERROR(IF(INDEX('CONTROLE PRODUÇÃO POR EMPRESAS'!$B$6:$G$5000,MATCH($A1991,'CONTROLE PRODUÇÃO POR EMPRESAS'!$A$6:$A$5000,0),MOD(ROW()-2,6)+1)="","",IFERROR(1*INDEX('CONTROLE PRODUÇÃO POR EMPRESAS'!$B$6:$G$5000,MATCH($A1991,'CONTROLE PRODUÇÃO POR EMPRESAS'!$A$6:$A$5000,0),MOD(ROW()-2,6)+1),"")),"")</f>
        <v/>
      </c>
      <c r="I1991" s="159">
        <f>IF(OR(NOT(ISNUMBER(G1991)),NOT(ISNUMBER(H1991))),"",H1991-G1991)</f>
        <v/>
      </c>
      <c r="J1991" s="319">
        <f>IF(OR(NOT(ISNUMBER(G1991)),NOT(ISNUMBER(H1991)),G1991=0),"",I1991/G1991)</f>
        <v/>
      </c>
      <c r="K1991" s="319">
        <f>IF(OR(NOT(ISNUMBER(G1991)),NOT(ISNUMBER(H1991)),G1991=0),"",H1991/G1991)</f>
        <v/>
      </c>
      <c r="L1991">
        <f>IF(NOT(ISNUMBER(G1991)),"SEM META",IF(G1991=0,"SEM META",IF(NOT(ISNUMBER(H1991)),"SEM APONTAMENTO",IF(H1991&gt;=G1991,"VERDE",IF(H1991&gt;=G1991*0.9,"AMARELO","VERMELHO")))))</f>
        <v/>
      </c>
      <c r="M1991" s="162" t="n"/>
      <c r="N1991" s="162" t="n"/>
      <c r="O1991" s="162" t="n"/>
      <c r="P1991" s="162" t="n"/>
      <c r="Q1991" s="320" t="n"/>
      <c r="R1991" s="162" t="inlineStr">
        <is>
          <t>CONTROLE PRODUÇÃO POR EMPRESAS!E337</t>
        </is>
      </c>
    </row>
    <row r="1992" ht="28.5" customHeight="1">
      <c r="A1992" s="317" t="n">
        <v>46554</v>
      </c>
      <c r="B1992" t="inlineStr">
        <is>
          <t>GERAL</t>
        </is>
      </c>
      <c r="C1992" t="inlineStr">
        <is>
          <t>CMM</t>
        </is>
      </c>
      <c r="D1992" t="inlineStr">
        <is>
          <t>IÇAMENTO JOIST</t>
        </is>
      </c>
      <c r="F1992" s="159">
        <f>IFERROR(INDEX('BASE METAS DIÁRIAS'!$N$2:$S$358,MATCH($A1992,'BASE METAS DIÁRIAS'!$A$2:$A$358,0),MOD(ROW()-2,6)+1),"")</f>
        <v/>
      </c>
      <c r="G1992" s="159">
        <f>IFERROR(IF(WEEKDAY($A1992,2)&lt;=INDEX('BASE METAS DIÁRIAS'!$H$2:$M$358,MATCH($A1992,'BASE METAS DIÁRIAS'!$A$2:$A$358,0),MOD(ROW()-2,6)+1),INDEX('BASE METAS DIÁRIAS'!$B$2:$G$358,MATCH($A1992,'BASE METAS DIÁRIAS'!$A$2:$A$358,0),MOD(ROW()-2,6)+1),""),"")</f>
        <v/>
      </c>
      <c r="H1992" s="159">
        <f>IFERROR(IF(INDEX('CONTROLE PRODUÇÃO POR EMPRESAS'!$B$6:$G$5000,MATCH($A1992,'CONTROLE PRODUÇÃO POR EMPRESAS'!$A$6:$A$5000,0),MOD(ROW()-2,6)+1)="","",IFERROR(1*INDEX('CONTROLE PRODUÇÃO POR EMPRESAS'!$B$6:$G$5000,MATCH($A1992,'CONTROLE PRODUÇÃO POR EMPRESAS'!$A$6:$A$5000,0),MOD(ROW()-2,6)+1),"")),"")</f>
        <v/>
      </c>
      <c r="I1992" s="159">
        <f>IF(OR(NOT(ISNUMBER(G1992)),NOT(ISNUMBER(H1992))),"",H1992-G1992)</f>
        <v/>
      </c>
      <c r="J1992" s="319">
        <f>IF(OR(NOT(ISNUMBER(G1992)),NOT(ISNUMBER(H1992)),G1992=0),"",I1992/G1992)</f>
        <v/>
      </c>
      <c r="K1992" s="319">
        <f>IF(OR(NOT(ISNUMBER(G1992)),NOT(ISNUMBER(H1992)),G1992=0),"",H1992/G1992)</f>
        <v/>
      </c>
      <c r="L1992">
        <f>IF(NOT(ISNUMBER(G1992)),"SEM META",IF(G1992=0,"SEM META",IF(NOT(ISNUMBER(H1992)),"SEM APONTAMENTO",IF(H1992&gt;=G1992,"VERDE",IF(H1992&gt;=G1992*0.9,"AMARELO","VERMELHO")))))</f>
        <v/>
      </c>
      <c r="M1992" s="162" t="n"/>
      <c r="N1992" s="162" t="n"/>
      <c r="O1992" s="162" t="n"/>
      <c r="P1992" s="162" t="n"/>
      <c r="Q1992" s="320" t="n"/>
      <c r="R1992" s="162" t="inlineStr">
        <is>
          <t>CONTROLE PRODUÇÃO POR EMPRESAS!F337</t>
        </is>
      </c>
    </row>
    <row r="1993" ht="28.5" customHeight="1">
      <c r="A1993" s="317" t="n">
        <v>46554</v>
      </c>
      <c r="B1993" t="inlineStr">
        <is>
          <t>GERAL</t>
        </is>
      </c>
      <c r="C1993" t="inlineStr">
        <is>
          <t>CMM</t>
        </is>
      </c>
      <c r="D1993" t="inlineStr">
        <is>
          <t>VIGAS</t>
        </is>
      </c>
      <c r="F1993" s="159">
        <f>IFERROR(INDEX('BASE METAS DIÁRIAS'!$N$2:$S$358,MATCH($A1993,'BASE METAS DIÁRIAS'!$A$2:$A$358,0),MOD(ROW()-2,6)+1),"")</f>
        <v/>
      </c>
      <c r="G1993" s="159">
        <f>IFERROR(IF(WEEKDAY($A1993,2)&lt;=INDEX('BASE METAS DIÁRIAS'!$H$2:$M$358,MATCH($A1993,'BASE METAS DIÁRIAS'!$A$2:$A$358,0),MOD(ROW()-2,6)+1),INDEX('BASE METAS DIÁRIAS'!$B$2:$G$358,MATCH($A1993,'BASE METAS DIÁRIAS'!$A$2:$A$358,0),MOD(ROW()-2,6)+1),""),"")</f>
        <v/>
      </c>
      <c r="H1993" s="159">
        <f>IFERROR(IF(INDEX('CONTROLE PRODUÇÃO POR EMPRESAS'!$B$6:$G$5000,MATCH($A1993,'CONTROLE PRODUÇÃO POR EMPRESAS'!$A$6:$A$5000,0),MOD(ROW()-2,6)+1)="","",IFERROR(1*INDEX('CONTROLE PRODUÇÃO POR EMPRESAS'!$B$6:$G$5000,MATCH($A1993,'CONTROLE PRODUÇÃO POR EMPRESAS'!$A$6:$A$5000,0),MOD(ROW()-2,6)+1),"")),"")</f>
        <v/>
      </c>
      <c r="I1993" s="159">
        <f>IF(OR(NOT(ISNUMBER(G1993)),NOT(ISNUMBER(H1993))),"",H1993-G1993)</f>
        <v/>
      </c>
      <c r="J1993" s="319">
        <f>IF(OR(NOT(ISNUMBER(G1993)),NOT(ISNUMBER(H1993)),G1993=0),"",I1993/G1993)</f>
        <v/>
      </c>
      <c r="K1993" s="319">
        <f>IF(OR(NOT(ISNUMBER(G1993)),NOT(ISNUMBER(H1993)),G1993=0),"",H1993/G1993)</f>
        <v/>
      </c>
      <c r="L1993">
        <f>IF(NOT(ISNUMBER(G1993)),"SEM META",IF(G1993=0,"SEM META",IF(NOT(ISNUMBER(H1993)),"SEM APONTAMENTO",IF(H1993&gt;=G1993,"VERDE",IF(H1993&gt;=G1993*0.9,"AMARELO","VERMELHO")))))</f>
        <v/>
      </c>
      <c r="M1993" s="162" t="n"/>
      <c r="N1993" s="162" t="n"/>
      <c r="O1993" s="162" t="n"/>
      <c r="P1993" s="162" t="n"/>
      <c r="Q1993" s="320" t="n"/>
      <c r="R1993" s="162" t="inlineStr">
        <is>
          <t>CONTROLE PRODUÇÃO POR EMPRESAS!G337</t>
        </is>
      </c>
    </row>
    <row r="1994" ht="28.5" customHeight="1">
      <c r="A1994" s="317" t="n">
        <v>46555</v>
      </c>
      <c r="B1994" t="inlineStr">
        <is>
          <t>GERAL</t>
        </is>
      </c>
      <c r="C1994" t="inlineStr">
        <is>
          <t>EJ</t>
        </is>
      </c>
      <c r="D1994" t="inlineStr">
        <is>
          <t>PREMONTAGEM</t>
        </is>
      </c>
      <c r="F1994" s="159">
        <f>IFERROR(INDEX('BASE METAS DIÁRIAS'!$N$2:$S$358,MATCH($A1994,'BASE METAS DIÁRIAS'!$A$2:$A$358,0),MOD(ROW()-2,6)+1),"")</f>
        <v/>
      </c>
      <c r="G1994" s="159">
        <f>IFERROR(IF(WEEKDAY($A1994,2)&lt;=INDEX('BASE METAS DIÁRIAS'!$H$2:$M$358,MATCH($A1994,'BASE METAS DIÁRIAS'!$A$2:$A$358,0),MOD(ROW()-2,6)+1),INDEX('BASE METAS DIÁRIAS'!$B$2:$G$358,MATCH($A1994,'BASE METAS DIÁRIAS'!$A$2:$A$358,0),MOD(ROW()-2,6)+1),""),"")</f>
        <v/>
      </c>
      <c r="H1994" s="159">
        <f>IFERROR(IF(INDEX('CONTROLE PRODUÇÃO POR EMPRESAS'!$B$6:$G$5000,MATCH($A1994,'CONTROLE PRODUÇÃO POR EMPRESAS'!$A$6:$A$5000,0),MOD(ROW()-2,6)+1)="","",IFERROR(1*INDEX('CONTROLE PRODUÇÃO POR EMPRESAS'!$B$6:$G$5000,MATCH($A1994,'CONTROLE PRODUÇÃO POR EMPRESAS'!$A$6:$A$5000,0),MOD(ROW()-2,6)+1),"")),"")</f>
        <v/>
      </c>
      <c r="I1994" s="159">
        <f>IF(OR(NOT(ISNUMBER(G1994)),NOT(ISNUMBER(H1994))),"",H1994-G1994)</f>
        <v/>
      </c>
      <c r="J1994" s="319">
        <f>IF(OR(NOT(ISNUMBER(G1994)),NOT(ISNUMBER(H1994)),G1994=0),"",I1994/G1994)</f>
        <v/>
      </c>
      <c r="K1994" s="319">
        <f>IF(OR(NOT(ISNUMBER(G1994)),NOT(ISNUMBER(H1994)),G1994=0),"",H1994/G1994)</f>
        <v/>
      </c>
      <c r="L1994">
        <f>IF(NOT(ISNUMBER(G1994)),"SEM META",IF(G1994=0,"SEM META",IF(NOT(ISNUMBER(H1994)),"SEM APONTAMENTO",IF(H1994&gt;=G1994,"VERDE",IF(H1994&gt;=G1994*0.9,"AMARELO","VERMELHO")))))</f>
        <v/>
      </c>
      <c r="M1994" s="162" t="n"/>
      <c r="N1994" s="162" t="n"/>
      <c r="O1994" s="162" t="n"/>
      <c r="P1994" s="162" t="n"/>
      <c r="Q1994" s="320" t="n"/>
      <c r="R1994" s="162" t="inlineStr">
        <is>
          <t>CONTROLE PRODUÇÃO POR EMPRESAS!B338</t>
        </is>
      </c>
    </row>
    <row r="1995" ht="28.5" customHeight="1">
      <c r="A1995" s="317" t="n">
        <v>46555</v>
      </c>
      <c r="B1995" t="inlineStr">
        <is>
          <t>GERAL</t>
        </is>
      </c>
      <c r="C1995" t="inlineStr">
        <is>
          <t>EJ</t>
        </is>
      </c>
      <c r="D1995" t="inlineStr">
        <is>
          <t>IÇAMENTO JOIST</t>
        </is>
      </c>
      <c r="F1995" s="159">
        <f>IFERROR(INDEX('BASE METAS DIÁRIAS'!$N$2:$S$358,MATCH($A1995,'BASE METAS DIÁRIAS'!$A$2:$A$358,0),MOD(ROW()-2,6)+1),"")</f>
        <v/>
      </c>
      <c r="G1995" s="159">
        <f>IFERROR(IF(WEEKDAY($A1995,2)&lt;=INDEX('BASE METAS DIÁRIAS'!$H$2:$M$358,MATCH($A1995,'BASE METAS DIÁRIAS'!$A$2:$A$358,0),MOD(ROW()-2,6)+1),INDEX('BASE METAS DIÁRIAS'!$B$2:$G$358,MATCH($A1995,'BASE METAS DIÁRIAS'!$A$2:$A$358,0),MOD(ROW()-2,6)+1),""),"")</f>
        <v/>
      </c>
      <c r="H1995" s="159">
        <f>IFERROR(IF(INDEX('CONTROLE PRODUÇÃO POR EMPRESAS'!$B$6:$G$5000,MATCH($A1995,'CONTROLE PRODUÇÃO POR EMPRESAS'!$A$6:$A$5000,0),MOD(ROW()-2,6)+1)="","",IFERROR(1*INDEX('CONTROLE PRODUÇÃO POR EMPRESAS'!$B$6:$G$5000,MATCH($A1995,'CONTROLE PRODUÇÃO POR EMPRESAS'!$A$6:$A$5000,0),MOD(ROW()-2,6)+1),"")),"")</f>
        <v/>
      </c>
      <c r="I1995" s="159">
        <f>IF(OR(NOT(ISNUMBER(G1995)),NOT(ISNUMBER(H1995))),"",H1995-G1995)</f>
        <v/>
      </c>
      <c r="J1995" s="319">
        <f>IF(OR(NOT(ISNUMBER(G1995)),NOT(ISNUMBER(H1995)),G1995=0),"",I1995/G1995)</f>
        <v/>
      </c>
      <c r="K1995" s="319">
        <f>IF(OR(NOT(ISNUMBER(G1995)),NOT(ISNUMBER(H1995)),G1995=0),"",H1995/G1995)</f>
        <v/>
      </c>
      <c r="L1995">
        <f>IF(NOT(ISNUMBER(G1995)),"SEM META",IF(G1995=0,"SEM META",IF(NOT(ISNUMBER(H1995)),"SEM APONTAMENTO",IF(H1995&gt;=G1995,"VERDE",IF(H1995&gt;=G1995*0.9,"AMARELO","VERMELHO")))))</f>
        <v/>
      </c>
      <c r="M1995" s="162" t="n"/>
      <c r="N1995" s="162" t="n"/>
      <c r="O1995" s="162" t="n"/>
      <c r="P1995" s="162" t="n"/>
      <c r="Q1995" s="320" t="n"/>
      <c r="R1995" s="162" t="inlineStr">
        <is>
          <t>CONTROLE PRODUÇÃO POR EMPRESAS!C338</t>
        </is>
      </c>
    </row>
    <row r="1996" ht="28.5" customHeight="1">
      <c r="A1996" s="317" t="n">
        <v>46555</v>
      </c>
      <c r="B1996" t="inlineStr">
        <is>
          <t>GERAL</t>
        </is>
      </c>
      <c r="C1996" t="inlineStr">
        <is>
          <t>EJ</t>
        </is>
      </c>
      <c r="D1996" t="inlineStr">
        <is>
          <t>VIGAS</t>
        </is>
      </c>
      <c r="F1996" s="159">
        <f>IFERROR(INDEX('BASE METAS DIÁRIAS'!$N$2:$S$358,MATCH($A1996,'BASE METAS DIÁRIAS'!$A$2:$A$358,0),MOD(ROW()-2,6)+1),"")</f>
        <v/>
      </c>
      <c r="G1996" s="159">
        <f>IFERROR(IF(WEEKDAY($A1996,2)&lt;=INDEX('BASE METAS DIÁRIAS'!$H$2:$M$358,MATCH($A1996,'BASE METAS DIÁRIAS'!$A$2:$A$358,0),MOD(ROW()-2,6)+1),INDEX('BASE METAS DIÁRIAS'!$B$2:$G$358,MATCH($A1996,'BASE METAS DIÁRIAS'!$A$2:$A$358,0),MOD(ROW()-2,6)+1),""),"")</f>
        <v/>
      </c>
      <c r="H1996" s="159">
        <f>IFERROR(IF(INDEX('CONTROLE PRODUÇÃO POR EMPRESAS'!$B$6:$G$5000,MATCH($A1996,'CONTROLE PRODUÇÃO POR EMPRESAS'!$A$6:$A$5000,0),MOD(ROW()-2,6)+1)="","",IFERROR(1*INDEX('CONTROLE PRODUÇÃO POR EMPRESAS'!$B$6:$G$5000,MATCH($A1996,'CONTROLE PRODUÇÃO POR EMPRESAS'!$A$6:$A$5000,0),MOD(ROW()-2,6)+1),"")),"")</f>
        <v/>
      </c>
      <c r="I1996" s="159">
        <f>IF(OR(NOT(ISNUMBER(G1996)),NOT(ISNUMBER(H1996))),"",H1996-G1996)</f>
        <v/>
      </c>
      <c r="J1996" s="319">
        <f>IF(OR(NOT(ISNUMBER(G1996)),NOT(ISNUMBER(H1996)),G1996=0),"",I1996/G1996)</f>
        <v/>
      </c>
      <c r="K1996" s="319">
        <f>IF(OR(NOT(ISNUMBER(G1996)),NOT(ISNUMBER(H1996)),G1996=0),"",H1996/G1996)</f>
        <v/>
      </c>
      <c r="L1996">
        <f>IF(NOT(ISNUMBER(G1996)),"SEM META",IF(G1996=0,"SEM META",IF(NOT(ISNUMBER(H1996)),"SEM APONTAMENTO",IF(H1996&gt;=G1996,"VERDE",IF(H1996&gt;=G1996*0.9,"AMARELO","VERMELHO")))))</f>
        <v/>
      </c>
      <c r="M1996" s="162" t="n"/>
      <c r="N1996" s="162" t="n"/>
      <c r="O1996" s="162" t="n"/>
      <c r="P1996" s="162" t="n"/>
      <c r="Q1996" s="320" t="n"/>
      <c r="R1996" s="162" t="inlineStr">
        <is>
          <t>CONTROLE PRODUÇÃO POR EMPRESAS!D338</t>
        </is>
      </c>
    </row>
    <row r="1997" ht="28.5" customHeight="1">
      <c r="A1997" s="317" t="n">
        <v>46555</v>
      </c>
      <c r="B1997" t="inlineStr">
        <is>
          <t>GERAL</t>
        </is>
      </c>
      <c r="C1997" t="inlineStr">
        <is>
          <t>CMM</t>
        </is>
      </c>
      <c r="D1997" t="inlineStr">
        <is>
          <t>PREMONTAGEM</t>
        </is>
      </c>
      <c r="F1997" s="159">
        <f>IFERROR(INDEX('BASE METAS DIÁRIAS'!$N$2:$S$358,MATCH($A1997,'BASE METAS DIÁRIAS'!$A$2:$A$358,0),MOD(ROW()-2,6)+1),"")</f>
        <v/>
      </c>
      <c r="G1997" s="159">
        <f>IFERROR(IF(WEEKDAY($A1997,2)&lt;=INDEX('BASE METAS DIÁRIAS'!$H$2:$M$358,MATCH($A1997,'BASE METAS DIÁRIAS'!$A$2:$A$358,0),MOD(ROW()-2,6)+1),INDEX('BASE METAS DIÁRIAS'!$B$2:$G$358,MATCH($A1997,'BASE METAS DIÁRIAS'!$A$2:$A$358,0),MOD(ROW()-2,6)+1),""),"")</f>
        <v/>
      </c>
      <c r="H1997" s="159">
        <f>IFERROR(IF(INDEX('CONTROLE PRODUÇÃO POR EMPRESAS'!$B$6:$G$5000,MATCH($A1997,'CONTROLE PRODUÇÃO POR EMPRESAS'!$A$6:$A$5000,0),MOD(ROW()-2,6)+1)="","",IFERROR(1*INDEX('CONTROLE PRODUÇÃO POR EMPRESAS'!$B$6:$G$5000,MATCH($A1997,'CONTROLE PRODUÇÃO POR EMPRESAS'!$A$6:$A$5000,0),MOD(ROW()-2,6)+1),"")),"")</f>
        <v/>
      </c>
      <c r="I1997" s="159">
        <f>IF(OR(NOT(ISNUMBER(G1997)),NOT(ISNUMBER(H1997))),"",H1997-G1997)</f>
        <v/>
      </c>
      <c r="J1997" s="319">
        <f>IF(OR(NOT(ISNUMBER(G1997)),NOT(ISNUMBER(H1997)),G1997=0),"",I1997/G1997)</f>
        <v/>
      </c>
      <c r="K1997" s="319">
        <f>IF(OR(NOT(ISNUMBER(G1997)),NOT(ISNUMBER(H1997)),G1997=0),"",H1997/G1997)</f>
        <v/>
      </c>
      <c r="L1997">
        <f>IF(NOT(ISNUMBER(G1997)),"SEM META",IF(G1997=0,"SEM META",IF(NOT(ISNUMBER(H1997)),"SEM APONTAMENTO",IF(H1997&gt;=G1997,"VERDE",IF(H1997&gt;=G1997*0.9,"AMARELO","VERMELHO")))))</f>
        <v/>
      </c>
      <c r="M1997" s="162" t="n"/>
      <c r="N1997" s="162" t="n"/>
      <c r="O1997" s="162" t="n"/>
      <c r="P1997" s="162" t="n"/>
      <c r="Q1997" s="320" t="n"/>
      <c r="R1997" s="162" t="inlineStr">
        <is>
          <t>CONTROLE PRODUÇÃO POR EMPRESAS!E338</t>
        </is>
      </c>
    </row>
    <row r="1998" ht="28.5" customHeight="1">
      <c r="A1998" s="317" t="n">
        <v>46555</v>
      </c>
      <c r="B1998" t="inlineStr">
        <is>
          <t>GERAL</t>
        </is>
      </c>
      <c r="C1998" t="inlineStr">
        <is>
          <t>CMM</t>
        </is>
      </c>
      <c r="D1998" t="inlineStr">
        <is>
          <t>IÇAMENTO JOIST</t>
        </is>
      </c>
      <c r="F1998" s="159">
        <f>IFERROR(INDEX('BASE METAS DIÁRIAS'!$N$2:$S$358,MATCH($A1998,'BASE METAS DIÁRIAS'!$A$2:$A$358,0),MOD(ROW()-2,6)+1),"")</f>
        <v/>
      </c>
      <c r="G1998" s="159">
        <f>IFERROR(IF(WEEKDAY($A1998,2)&lt;=INDEX('BASE METAS DIÁRIAS'!$H$2:$M$358,MATCH($A1998,'BASE METAS DIÁRIAS'!$A$2:$A$358,0),MOD(ROW()-2,6)+1),INDEX('BASE METAS DIÁRIAS'!$B$2:$G$358,MATCH($A1998,'BASE METAS DIÁRIAS'!$A$2:$A$358,0),MOD(ROW()-2,6)+1),""),"")</f>
        <v/>
      </c>
      <c r="H1998" s="159">
        <f>IFERROR(IF(INDEX('CONTROLE PRODUÇÃO POR EMPRESAS'!$B$6:$G$5000,MATCH($A1998,'CONTROLE PRODUÇÃO POR EMPRESAS'!$A$6:$A$5000,0),MOD(ROW()-2,6)+1)="","",IFERROR(1*INDEX('CONTROLE PRODUÇÃO POR EMPRESAS'!$B$6:$G$5000,MATCH($A1998,'CONTROLE PRODUÇÃO POR EMPRESAS'!$A$6:$A$5000,0),MOD(ROW()-2,6)+1),"")),"")</f>
        <v/>
      </c>
      <c r="I1998" s="159">
        <f>IF(OR(NOT(ISNUMBER(G1998)),NOT(ISNUMBER(H1998))),"",H1998-G1998)</f>
        <v/>
      </c>
      <c r="J1998" s="319">
        <f>IF(OR(NOT(ISNUMBER(G1998)),NOT(ISNUMBER(H1998)),G1998=0),"",I1998/G1998)</f>
        <v/>
      </c>
      <c r="K1998" s="319">
        <f>IF(OR(NOT(ISNUMBER(G1998)),NOT(ISNUMBER(H1998)),G1998=0),"",H1998/G1998)</f>
        <v/>
      </c>
      <c r="L1998">
        <f>IF(NOT(ISNUMBER(G1998)),"SEM META",IF(G1998=0,"SEM META",IF(NOT(ISNUMBER(H1998)),"SEM APONTAMENTO",IF(H1998&gt;=G1998,"VERDE",IF(H1998&gt;=G1998*0.9,"AMARELO","VERMELHO")))))</f>
        <v/>
      </c>
      <c r="M1998" s="162" t="n"/>
      <c r="N1998" s="162" t="n"/>
      <c r="O1998" s="162" t="n"/>
      <c r="P1998" s="162" t="n"/>
      <c r="Q1998" s="320" t="n"/>
      <c r="R1998" s="162" t="inlineStr">
        <is>
          <t>CONTROLE PRODUÇÃO POR EMPRESAS!F338</t>
        </is>
      </c>
    </row>
    <row r="1999" ht="28.5" customHeight="1">
      <c r="A1999" s="317" t="n">
        <v>46555</v>
      </c>
      <c r="B1999" t="inlineStr">
        <is>
          <t>GERAL</t>
        </is>
      </c>
      <c r="C1999" t="inlineStr">
        <is>
          <t>CMM</t>
        </is>
      </c>
      <c r="D1999" t="inlineStr">
        <is>
          <t>VIGAS</t>
        </is>
      </c>
      <c r="F1999" s="159">
        <f>IFERROR(INDEX('BASE METAS DIÁRIAS'!$N$2:$S$358,MATCH($A1999,'BASE METAS DIÁRIAS'!$A$2:$A$358,0),MOD(ROW()-2,6)+1),"")</f>
        <v/>
      </c>
      <c r="G1999" s="159">
        <f>IFERROR(IF(WEEKDAY($A1999,2)&lt;=INDEX('BASE METAS DIÁRIAS'!$H$2:$M$358,MATCH($A1999,'BASE METAS DIÁRIAS'!$A$2:$A$358,0),MOD(ROW()-2,6)+1),INDEX('BASE METAS DIÁRIAS'!$B$2:$G$358,MATCH($A1999,'BASE METAS DIÁRIAS'!$A$2:$A$358,0),MOD(ROW()-2,6)+1),""),"")</f>
        <v/>
      </c>
      <c r="H1999" s="159">
        <f>IFERROR(IF(INDEX('CONTROLE PRODUÇÃO POR EMPRESAS'!$B$6:$G$5000,MATCH($A1999,'CONTROLE PRODUÇÃO POR EMPRESAS'!$A$6:$A$5000,0),MOD(ROW()-2,6)+1)="","",IFERROR(1*INDEX('CONTROLE PRODUÇÃO POR EMPRESAS'!$B$6:$G$5000,MATCH($A1999,'CONTROLE PRODUÇÃO POR EMPRESAS'!$A$6:$A$5000,0),MOD(ROW()-2,6)+1),"")),"")</f>
        <v/>
      </c>
      <c r="I1999" s="159">
        <f>IF(OR(NOT(ISNUMBER(G1999)),NOT(ISNUMBER(H1999))),"",H1999-G1999)</f>
        <v/>
      </c>
      <c r="J1999" s="319">
        <f>IF(OR(NOT(ISNUMBER(G1999)),NOT(ISNUMBER(H1999)),G1999=0),"",I1999/G1999)</f>
        <v/>
      </c>
      <c r="K1999" s="319">
        <f>IF(OR(NOT(ISNUMBER(G1999)),NOT(ISNUMBER(H1999)),G1999=0),"",H1999/G1999)</f>
        <v/>
      </c>
      <c r="L1999">
        <f>IF(NOT(ISNUMBER(G1999)),"SEM META",IF(G1999=0,"SEM META",IF(NOT(ISNUMBER(H1999)),"SEM APONTAMENTO",IF(H1999&gt;=G1999,"VERDE",IF(H1999&gt;=G1999*0.9,"AMARELO","VERMELHO")))))</f>
        <v/>
      </c>
      <c r="M1999" s="162" t="n"/>
      <c r="N1999" s="162" t="n"/>
      <c r="O1999" s="162" t="n"/>
      <c r="P1999" s="162" t="n"/>
      <c r="Q1999" s="320" t="n"/>
      <c r="R1999" s="162" t="inlineStr">
        <is>
          <t>CONTROLE PRODUÇÃO POR EMPRESAS!G338</t>
        </is>
      </c>
    </row>
    <row r="2000" ht="28.5" customHeight="1">
      <c r="A2000" s="317" t="n">
        <v>46556</v>
      </c>
      <c r="B2000" t="inlineStr">
        <is>
          <t>GERAL</t>
        </is>
      </c>
      <c r="C2000" t="inlineStr">
        <is>
          <t>EJ</t>
        </is>
      </c>
      <c r="D2000" t="inlineStr">
        <is>
          <t>PREMONTAGEM</t>
        </is>
      </c>
      <c r="F2000" s="159">
        <f>IFERROR(INDEX('BASE METAS DIÁRIAS'!$N$2:$S$358,MATCH($A2000,'BASE METAS DIÁRIAS'!$A$2:$A$358,0),MOD(ROW()-2,6)+1),"")</f>
        <v/>
      </c>
      <c r="G2000" s="159">
        <f>IFERROR(IF(WEEKDAY($A2000,2)&lt;=INDEX('BASE METAS DIÁRIAS'!$H$2:$M$358,MATCH($A2000,'BASE METAS DIÁRIAS'!$A$2:$A$358,0),MOD(ROW()-2,6)+1),INDEX('BASE METAS DIÁRIAS'!$B$2:$G$358,MATCH($A2000,'BASE METAS DIÁRIAS'!$A$2:$A$358,0),MOD(ROW()-2,6)+1),""),"")</f>
        <v/>
      </c>
      <c r="H2000" s="159">
        <f>IFERROR(IF(INDEX('CONTROLE PRODUÇÃO POR EMPRESAS'!$B$6:$G$5000,MATCH($A2000,'CONTROLE PRODUÇÃO POR EMPRESAS'!$A$6:$A$5000,0),MOD(ROW()-2,6)+1)="","",IFERROR(1*INDEX('CONTROLE PRODUÇÃO POR EMPRESAS'!$B$6:$G$5000,MATCH($A2000,'CONTROLE PRODUÇÃO POR EMPRESAS'!$A$6:$A$5000,0),MOD(ROW()-2,6)+1),"")),"")</f>
        <v/>
      </c>
      <c r="I2000" s="159">
        <f>IF(OR(NOT(ISNUMBER(G2000)),NOT(ISNUMBER(H2000))),"",H2000-G2000)</f>
        <v/>
      </c>
      <c r="J2000" s="319">
        <f>IF(OR(NOT(ISNUMBER(G2000)),NOT(ISNUMBER(H2000)),G2000=0),"",I2000/G2000)</f>
        <v/>
      </c>
      <c r="K2000" s="319">
        <f>IF(OR(NOT(ISNUMBER(G2000)),NOT(ISNUMBER(H2000)),G2000=0),"",H2000/G2000)</f>
        <v/>
      </c>
      <c r="L2000">
        <f>IF(NOT(ISNUMBER(G2000)),"SEM META",IF(G2000=0,"SEM META",IF(NOT(ISNUMBER(H2000)),"SEM APONTAMENTO",IF(H2000&gt;=G2000,"VERDE",IF(H2000&gt;=G2000*0.9,"AMARELO","VERMELHO")))))</f>
        <v/>
      </c>
      <c r="M2000" s="162" t="n"/>
      <c r="N2000" s="162" t="n"/>
      <c r="O2000" s="162" t="n"/>
      <c r="P2000" s="162" t="n"/>
      <c r="Q2000" s="320" t="n"/>
      <c r="R2000" s="162" t="inlineStr">
        <is>
          <t>CONTROLE PRODUÇÃO POR EMPRESAS!B339</t>
        </is>
      </c>
    </row>
    <row r="2001" ht="28.5" customHeight="1">
      <c r="A2001" s="317" t="n">
        <v>46556</v>
      </c>
      <c r="B2001" t="inlineStr">
        <is>
          <t>GERAL</t>
        </is>
      </c>
      <c r="C2001" t="inlineStr">
        <is>
          <t>EJ</t>
        </is>
      </c>
      <c r="D2001" t="inlineStr">
        <is>
          <t>IÇAMENTO JOIST</t>
        </is>
      </c>
      <c r="F2001" s="159">
        <f>IFERROR(INDEX('BASE METAS DIÁRIAS'!$N$2:$S$358,MATCH($A2001,'BASE METAS DIÁRIAS'!$A$2:$A$358,0),MOD(ROW()-2,6)+1),"")</f>
        <v/>
      </c>
      <c r="G2001" s="159">
        <f>IFERROR(IF(WEEKDAY($A2001,2)&lt;=INDEX('BASE METAS DIÁRIAS'!$H$2:$M$358,MATCH($A2001,'BASE METAS DIÁRIAS'!$A$2:$A$358,0),MOD(ROW()-2,6)+1),INDEX('BASE METAS DIÁRIAS'!$B$2:$G$358,MATCH($A2001,'BASE METAS DIÁRIAS'!$A$2:$A$358,0),MOD(ROW()-2,6)+1),""),"")</f>
        <v/>
      </c>
      <c r="H2001" s="159">
        <f>IFERROR(IF(INDEX('CONTROLE PRODUÇÃO POR EMPRESAS'!$B$6:$G$5000,MATCH($A2001,'CONTROLE PRODUÇÃO POR EMPRESAS'!$A$6:$A$5000,0),MOD(ROW()-2,6)+1)="","",IFERROR(1*INDEX('CONTROLE PRODUÇÃO POR EMPRESAS'!$B$6:$G$5000,MATCH($A2001,'CONTROLE PRODUÇÃO POR EMPRESAS'!$A$6:$A$5000,0),MOD(ROW()-2,6)+1),"")),"")</f>
        <v/>
      </c>
      <c r="I2001" s="159">
        <f>IF(OR(NOT(ISNUMBER(G2001)),NOT(ISNUMBER(H2001))),"",H2001-G2001)</f>
        <v/>
      </c>
      <c r="J2001" s="319">
        <f>IF(OR(NOT(ISNUMBER(G2001)),NOT(ISNUMBER(H2001)),G2001=0),"",I2001/G2001)</f>
        <v/>
      </c>
      <c r="K2001" s="319">
        <f>IF(OR(NOT(ISNUMBER(G2001)),NOT(ISNUMBER(H2001)),G2001=0),"",H2001/G2001)</f>
        <v/>
      </c>
      <c r="L2001">
        <f>IF(NOT(ISNUMBER(G2001)),"SEM META",IF(G2001=0,"SEM META",IF(NOT(ISNUMBER(H2001)),"SEM APONTAMENTO",IF(H2001&gt;=G2001,"VERDE",IF(H2001&gt;=G2001*0.9,"AMARELO","VERMELHO")))))</f>
        <v/>
      </c>
      <c r="M2001" s="162" t="n"/>
      <c r="N2001" s="162" t="n"/>
      <c r="O2001" s="162" t="n"/>
      <c r="P2001" s="162" t="n"/>
      <c r="Q2001" s="320" t="n"/>
      <c r="R2001" s="162" t="inlineStr">
        <is>
          <t>CONTROLE PRODUÇÃO POR EMPRESAS!C339</t>
        </is>
      </c>
    </row>
    <row r="2002" ht="28.5" customHeight="1">
      <c r="A2002" s="317" t="n">
        <v>46556</v>
      </c>
      <c r="B2002" t="inlineStr">
        <is>
          <t>GERAL</t>
        </is>
      </c>
      <c r="C2002" t="inlineStr">
        <is>
          <t>EJ</t>
        </is>
      </c>
      <c r="D2002" t="inlineStr">
        <is>
          <t>VIGAS</t>
        </is>
      </c>
      <c r="F2002" s="159">
        <f>IFERROR(INDEX('BASE METAS DIÁRIAS'!$N$2:$S$358,MATCH($A2002,'BASE METAS DIÁRIAS'!$A$2:$A$358,0),MOD(ROW()-2,6)+1),"")</f>
        <v/>
      </c>
      <c r="G2002" s="159">
        <f>IFERROR(IF(WEEKDAY($A2002,2)&lt;=INDEX('BASE METAS DIÁRIAS'!$H$2:$M$358,MATCH($A2002,'BASE METAS DIÁRIAS'!$A$2:$A$358,0),MOD(ROW()-2,6)+1),INDEX('BASE METAS DIÁRIAS'!$B$2:$G$358,MATCH($A2002,'BASE METAS DIÁRIAS'!$A$2:$A$358,0),MOD(ROW()-2,6)+1),""),"")</f>
        <v/>
      </c>
      <c r="H2002" s="159">
        <f>IFERROR(IF(INDEX('CONTROLE PRODUÇÃO POR EMPRESAS'!$B$6:$G$5000,MATCH($A2002,'CONTROLE PRODUÇÃO POR EMPRESAS'!$A$6:$A$5000,0),MOD(ROW()-2,6)+1)="","",IFERROR(1*INDEX('CONTROLE PRODUÇÃO POR EMPRESAS'!$B$6:$G$5000,MATCH($A2002,'CONTROLE PRODUÇÃO POR EMPRESAS'!$A$6:$A$5000,0),MOD(ROW()-2,6)+1),"")),"")</f>
        <v/>
      </c>
      <c r="I2002" s="159">
        <f>IF(OR(NOT(ISNUMBER(G2002)),NOT(ISNUMBER(H2002))),"",H2002-G2002)</f>
        <v/>
      </c>
      <c r="J2002" s="319">
        <f>IF(OR(NOT(ISNUMBER(G2002)),NOT(ISNUMBER(H2002)),G2002=0),"",I2002/G2002)</f>
        <v/>
      </c>
      <c r="K2002" s="319">
        <f>IF(OR(NOT(ISNUMBER(G2002)),NOT(ISNUMBER(H2002)),G2002=0),"",H2002/G2002)</f>
        <v/>
      </c>
      <c r="L2002">
        <f>IF(NOT(ISNUMBER(G2002)),"SEM META",IF(G2002=0,"SEM META",IF(NOT(ISNUMBER(H2002)),"SEM APONTAMENTO",IF(H2002&gt;=G2002,"VERDE",IF(H2002&gt;=G2002*0.9,"AMARELO","VERMELHO")))))</f>
        <v/>
      </c>
      <c r="M2002" s="162" t="n"/>
      <c r="N2002" s="162" t="n"/>
      <c r="O2002" s="162" t="n"/>
      <c r="P2002" s="162" t="n"/>
      <c r="Q2002" s="320" t="n"/>
      <c r="R2002" s="162" t="inlineStr">
        <is>
          <t>CONTROLE PRODUÇÃO POR EMPRESAS!D339</t>
        </is>
      </c>
    </row>
    <row r="2003" ht="28.5" customHeight="1">
      <c r="A2003" s="317" t="n">
        <v>46556</v>
      </c>
      <c r="B2003" t="inlineStr">
        <is>
          <t>GERAL</t>
        </is>
      </c>
      <c r="C2003" t="inlineStr">
        <is>
          <t>CMM</t>
        </is>
      </c>
      <c r="D2003" t="inlineStr">
        <is>
          <t>PREMONTAGEM</t>
        </is>
      </c>
      <c r="F2003" s="159">
        <f>IFERROR(INDEX('BASE METAS DIÁRIAS'!$N$2:$S$358,MATCH($A2003,'BASE METAS DIÁRIAS'!$A$2:$A$358,0),MOD(ROW()-2,6)+1),"")</f>
        <v/>
      </c>
      <c r="G2003" s="159">
        <f>IFERROR(IF(WEEKDAY($A2003,2)&lt;=INDEX('BASE METAS DIÁRIAS'!$H$2:$M$358,MATCH($A2003,'BASE METAS DIÁRIAS'!$A$2:$A$358,0),MOD(ROW()-2,6)+1),INDEX('BASE METAS DIÁRIAS'!$B$2:$G$358,MATCH($A2003,'BASE METAS DIÁRIAS'!$A$2:$A$358,0),MOD(ROW()-2,6)+1),""),"")</f>
        <v/>
      </c>
      <c r="H2003" s="159">
        <f>IFERROR(IF(INDEX('CONTROLE PRODUÇÃO POR EMPRESAS'!$B$6:$G$5000,MATCH($A2003,'CONTROLE PRODUÇÃO POR EMPRESAS'!$A$6:$A$5000,0),MOD(ROW()-2,6)+1)="","",IFERROR(1*INDEX('CONTROLE PRODUÇÃO POR EMPRESAS'!$B$6:$G$5000,MATCH($A2003,'CONTROLE PRODUÇÃO POR EMPRESAS'!$A$6:$A$5000,0),MOD(ROW()-2,6)+1),"")),"")</f>
        <v/>
      </c>
      <c r="I2003" s="159">
        <f>IF(OR(NOT(ISNUMBER(G2003)),NOT(ISNUMBER(H2003))),"",H2003-G2003)</f>
        <v/>
      </c>
      <c r="J2003" s="319">
        <f>IF(OR(NOT(ISNUMBER(G2003)),NOT(ISNUMBER(H2003)),G2003=0),"",I2003/G2003)</f>
        <v/>
      </c>
      <c r="K2003" s="319">
        <f>IF(OR(NOT(ISNUMBER(G2003)),NOT(ISNUMBER(H2003)),G2003=0),"",H2003/G2003)</f>
        <v/>
      </c>
      <c r="L2003">
        <f>IF(NOT(ISNUMBER(G2003)),"SEM META",IF(G2003=0,"SEM META",IF(NOT(ISNUMBER(H2003)),"SEM APONTAMENTO",IF(H2003&gt;=G2003,"VERDE",IF(H2003&gt;=G2003*0.9,"AMARELO","VERMELHO")))))</f>
        <v/>
      </c>
      <c r="M2003" s="162" t="n"/>
      <c r="N2003" s="162" t="n"/>
      <c r="O2003" s="162" t="n"/>
      <c r="P2003" s="162" t="n"/>
      <c r="Q2003" s="320" t="n"/>
      <c r="R2003" s="162" t="inlineStr">
        <is>
          <t>CONTROLE PRODUÇÃO POR EMPRESAS!E339</t>
        </is>
      </c>
    </row>
    <row r="2004" ht="28.5" customHeight="1">
      <c r="A2004" s="317" t="n">
        <v>46556</v>
      </c>
      <c r="B2004" t="inlineStr">
        <is>
          <t>GERAL</t>
        </is>
      </c>
      <c r="C2004" t="inlineStr">
        <is>
          <t>CMM</t>
        </is>
      </c>
      <c r="D2004" t="inlineStr">
        <is>
          <t>IÇAMENTO JOIST</t>
        </is>
      </c>
      <c r="F2004" s="159">
        <f>IFERROR(INDEX('BASE METAS DIÁRIAS'!$N$2:$S$358,MATCH($A2004,'BASE METAS DIÁRIAS'!$A$2:$A$358,0),MOD(ROW()-2,6)+1),"")</f>
        <v/>
      </c>
      <c r="G2004" s="159">
        <f>IFERROR(IF(WEEKDAY($A2004,2)&lt;=INDEX('BASE METAS DIÁRIAS'!$H$2:$M$358,MATCH($A2004,'BASE METAS DIÁRIAS'!$A$2:$A$358,0),MOD(ROW()-2,6)+1),INDEX('BASE METAS DIÁRIAS'!$B$2:$G$358,MATCH($A2004,'BASE METAS DIÁRIAS'!$A$2:$A$358,0),MOD(ROW()-2,6)+1),""),"")</f>
        <v/>
      </c>
      <c r="H2004" s="159">
        <f>IFERROR(IF(INDEX('CONTROLE PRODUÇÃO POR EMPRESAS'!$B$6:$G$5000,MATCH($A2004,'CONTROLE PRODUÇÃO POR EMPRESAS'!$A$6:$A$5000,0),MOD(ROW()-2,6)+1)="","",IFERROR(1*INDEX('CONTROLE PRODUÇÃO POR EMPRESAS'!$B$6:$G$5000,MATCH($A2004,'CONTROLE PRODUÇÃO POR EMPRESAS'!$A$6:$A$5000,0),MOD(ROW()-2,6)+1),"")),"")</f>
        <v/>
      </c>
      <c r="I2004" s="159">
        <f>IF(OR(NOT(ISNUMBER(G2004)),NOT(ISNUMBER(H2004))),"",H2004-G2004)</f>
        <v/>
      </c>
      <c r="J2004" s="319">
        <f>IF(OR(NOT(ISNUMBER(G2004)),NOT(ISNUMBER(H2004)),G2004=0),"",I2004/G2004)</f>
        <v/>
      </c>
      <c r="K2004" s="319">
        <f>IF(OR(NOT(ISNUMBER(G2004)),NOT(ISNUMBER(H2004)),G2004=0),"",H2004/G2004)</f>
        <v/>
      </c>
      <c r="L2004">
        <f>IF(NOT(ISNUMBER(G2004)),"SEM META",IF(G2004=0,"SEM META",IF(NOT(ISNUMBER(H2004)),"SEM APONTAMENTO",IF(H2004&gt;=G2004,"VERDE",IF(H2004&gt;=G2004*0.9,"AMARELO","VERMELHO")))))</f>
        <v/>
      </c>
      <c r="M2004" s="162" t="n"/>
      <c r="N2004" s="162" t="n"/>
      <c r="O2004" s="162" t="n"/>
      <c r="P2004" s="162" t="n"/>
      <c r="Q2004" s="320" t="n"/>
      <c r="R2004" s="162" t="inlineStr">
        <is>
          <t>CONTROLE PRODUÇÃO POR EMPRESAS!F339</t>
        </is>
      </c>
    </row>
    <row r="2005" ht="28.5" customHeight="1">
      <c r="A2005" s="317" t="n">
        <v>46556</v>
      </c>
      <c r="B2005" t="inlineStr">
        <is>
          <t>GERAL</t>
        </is>
      </c>
      <c r="C2005" t="inlineStr">
        <is>
          <t>CMM</t>
        </is>
      </c>
      <c r="D2005" t="inlineStr">
        <is>
          <t>VIGAS</t>
        </is>
      </c>
      <c r="F2005" s="159">
        <f>IFERROR(INDEX('BASE METAS DIÁRIAS'!$N$2:$S$358,MATCH($A2005,'BASE METAS DIÁRIAS'!$A$2:$A$358,0),MOD(ROW()-2,6)+1),"")</f>
        <v/>
      </c>
      <c r="G2005" s="159">
        <f>IFERROR(IF(WEEKDAY($A2005,2)&lt;=INDEX('BASE METAS DIÁRIAS'!$H$2:$M$358,MATCH($A2005,'BASE METAS DIÁRIAS'!$A$2:$A$358,0),MOD(ROW()-2,6)+1),INDEX('BASE METAS DIÁRIAS'!$B$2:$G$358,MATCH($A2005,'BASE METAS DIÁRIAS'!$A$2:$A$358,0),MOD(ROW()-2,6)+1),""),"")</f>
        <v/>
      </c>
      <c r="H2005" s="159">
        <f>IFERROR(IF(INDEX('CONTROLE PRODUÇÃO POR EMPRESAS'!$B$6:$G$5000,MATCH($A2005,'CONTROLE PRODUÇÃO POR EMPRESAS'!$A$6:$A$5000,0),MOD(ROW()-2,6)+1)="","",IFERROR(1*INDEX('CONTROLE PRODUÇÃO POR EMPRESAS'!$B$6:$G$5000,MATCH($A2005,'CONTROLE PRODUÇÃO POR EMPRESAS'!$A$6:$A$5000,0),MOD(ROW()-2,6)+1),"")),"")</f>
        <v/>
      </c>
      <c r="I2005" s="159">
        <f>IF(OR(NOT(ISNUMBER(G2005)),NOT(ISNUMBER(H2005))),"",H2005-G2005)</f>
        <v/>
      </c>
      <c r="J2005" s="319">
        <f>IF(OR(NOT(ISNUMBER(G2005)),NOT(ISNUMBER(H2005)),G2005=0),"",I2005/G2005)</f>
        <v/>
      </c>
      <c r="K2005" s="319">
        <f>IF(OR(NOT(ISNUMBER(G2005)),NOT(ISNUMBER(H2005)),G2005=0),"",H2005/G2005)</f>
        <v/>
      </c>
      <c r="L2005">
        <f>IF(NOT(ISNUMBER(G2005)),"SEM META",IF(G2005=0,"SEM META",IF(NOT(ISNUMBER(H2005)),"SEM APONTAMENTO",IF(H2005&gt;=G2005,"VERDE",IF(H2005&gt;=G2005*0.9,"AMARELO","VERMELHO")))))</f>
        <v/>
      </c>
      <c r="M2005" s="162" t="n"/>
      <c r="N2005" s="162" t="n"/>
      <c r="O2005" s="162" t="n"/>
      <c r="P2005" s="162" t="n"/>
      <c r="Q2005" s="320" t="n"/>
      <c r="R2005" s="162" t="inlineStr">
        <is>
          <t>CONTROLE PRODUÇÃO POR EMPRESAS!G339</t>
        </is>
      </c>
    </row>
    <row r="2006" ht="28.5" customHeight="1">
      <c r="A2006" s="317" t="n">
        <v>46557</v>
      </c>
      <c r="B2006" t="inlineStr">
        <is>
          <t>GERAL</t>
        </is>
      </c>
      <c r="C2006" t="inlineStr">
        <is>
          <t>EJ</t>
        </is>
      </c>
      <c r="D2006" t="inlineStr">
        <is>
          <t>PREMONTAGEM</t>
        </is>
      </c>
      <c r="F2006" s="159">
        <f>IFERROR(INDEX('BASE METAS DIÁRIAS'!$N$2:$S$358,MATCH($A2006,'BASE METAS DIÁRIAS'!$A$2:$A$358,0),MOD(ROW()-2,6)+1),"")</f>
        <v/>
      </c>
      <c r="G2006" s="159">
        <f>IFERROR(IF(WEEKDAY($A2006,2)&lt;=INDEX('BASE METAS DIÁRIAS'!$H$2:$M$358,MATCH($A2006,'BASE METAS DIÁRIAS'!$A$2:$A$358,0),MOD(ROW()-2,6)+1),INDEX('BASE METAS DIÁRIAS'!$B$2:$G$358,MATCH($A2006,'BASE METAS DIÁRIAS'!$A$2:$A$358,0),MOD(ROW()-2,6)+1),""),"")</f>
        <v/>
      </c>
      <c r="H2006" s="159">
        <f>IFERROR(IF(INDEX('CONTROLE PRODUÇÃO POR EMPRESAS'!$B$6:$G$5000,MATCH($A2006,'CONTROLE PRODUÇÃO POR EMPRESAS'!$A$6:$A$5000,0),MOD(ROW()-2,6)+1)="","",IFERROR(1*INDEX('CONTROLE PRODUÇÃO POR EMPRESAS'!$B$6:$G$5000,MATCH($A2006,'CONTROLE PRODUÇÃO POR EMPRESAS'!$A$6:$A$5000,0),MOD(ROW()-2,6)+1),"")),"")</f>
        <v/>
      </c>
      <c r="I2006" s="159">
        <f>IF(OR(NOT(ISNUMBER(G2006)),NOT(ISNUMBER(H2006))),"",H2006-G2006)</f>
        <v/>
      </c>
      <c r="J2006" s="319">
        <f>IF(OR(NOT(ISNUMBER(G2006)),NOT(ISNUMBER(H2006)),G2006=0),"",I2006/G2006)</f>
        <v/>
      </c>
      <c r="K2006" s="319">
        <f>IF(OR(NOT(ISNUMBER(G2006)),NOT(ISNUMBER(H2006)),G2006=0),"",H2006/G2006)</f>
        <v/>
      </c>
      <c r="L2006">
        <f>IF(NOT(ISNUMBER(G2006)),"SEM META",IF(G2006=0,"SEM META",IF(NOT(ISNUMBER(H2006)),"SEM APONTAMENTO",IF(H2006&gt;=G2006,"VERDE",IF(H2006&gt;=G2006*0.9,"AMARELO","VERMELHO")))))</f>
        <v/>
      </c>
      <c r="M2006" s="162" t="n"/>
      <c r="N2006" s="162" t="n"/>
      <c r="O2006" s="162" t="n"/>
      <c r="P2006" s="162" t="n"/>
      <c r="Q2006" s="320" t="n"/>
      <c r="R2006" s="162" t="inlineStr">
        <is>
          <t>CONTROLE PRODUÇÃO POR EMPRESAS!B340</t>
        </is>
      </c>
    </row>
    <row r="2007" ht="28.5" customHeight="1">
      <c r="A2007" s="317" t="n">
        <v>46557</v>
      </c>
      <c r="B2007" t="inlineStr">
        <is>
          <t>GERAL</t>
        </is>
      </c>
      <c r="C2007" t="inlineStr">
        <is>
          <t>EJ</t>
        </is>
      </c>
      <c r="D2007" t="inlineStr">
        <is>
          <t>IÇAMENTO JOIST</t>
        </is>
      </c>
      <c r="F2007" s="159">
        <f>IFERROR(INDEX('BASE METAS DIÁRIAS'!$N$2:$S$358,MATCH($A2007,'BASE METAS DIÁRIAS'!$A$2:$A$358,0),MOD(ROW()-2,6)+1),"")</f>
        <v/>
      </c>
      <c r="G2007" s="159">
        <f>IFERROR(IF(WEEKDAY($A2007,2)&lt;=INDEX('BASE METAS DIÁRIAS'!$H$2:$M$358,MATCH($A2007,'BASE METAS DIÁRIAS'!$A$2:$A$358,0),MOD(ROW()-2,6)+1),INDEX('BASE METAS DIÁRIAS'!$B$2:$G$358,MATCH($A2007,'BASE METAS DIÁRIAS'!$A$2:$A$358,0),MOD(ROW()-2,6)+1),""),"")</f>
        <v/>
      </c>
      <c r="H2007" s="159">
        <f>IFERROR(IF(INDEX('CONTROLE PRODUÇÃO POR EMPRESAS'!$B$6:$G$5000,MATCH($A2007,'CONTROLE PRODUÇÃO POR EMPRESAS'!$A$6:$A$5000,0),MOD(ROW()-2,6)+1)="","",IFERROR(1*INDEX('CONTROLE PRODUÇÃO POR EMPRESAS'!$B$6:$G$5000,MATCH($A2007,'CONTROLE PRODUÇÃO POR EMPRESAS'!$A$6:$A$5000,0),MOD(ROW()-2,6)+1),"")),"")</f>
        <v/>
      </c>
      <c r="I2007" s="159">
        <f>IF(OR(NOT(ISNUMBER(G2007)),NOT(ISNUMBER(H2007))),"",H2007-G2007)</f>
        <v/>
      </c>
      <c r="J2007" s="319">
        <f>IF(OR(NOT(ISNUMBER(G2007)),NOT(ISNUMBER(H2007)),G2007=0),"",I2007/G2007)</f>
        <v/>
      </c>
      <c r="K2007" s="319">
        <f>IF(OR(NOT(ISNUMBER(G2007)),NOT(ISNUMBER(H2007)),G2007=0),"",H2007/G2007)</f>
        <v/>
      </c>
      <c r="L2007">
        <f>IF(NOT(ISNUMBER(G2007)),"SEM META",IF(G2007=0,"SEM META",IF(NOT(ISNUMBER(H2007)),"SEM APONTAMENTO",IF(H2007&gt;=G2007,"VERDE",IF(H2007&gt;=G2007*0.9,"AMARELO","VERMELHO")))))</f>
        <v/>
      </c>
      <c r="M2007" s="162" t="n"/>
      <c r="N2007" s="162" t="n"/>
      <c r="O2007" s="162" t="n"/>
      <c r="P2007" s="162" t="n"/>
      <c r="Q2007" s="320" t="n"/>
      <c r="R2007" s="162" t="inlineStr">
        <is>
          <t>CONTROLE PRODUÇÃO POR EMPRESAS!C340</t>
        </is>
      </c>
    </row>
    <row r="2008" ht="28.5" customHeight="1">
      <c r="A2008" s="317" t="n">
        <v>46557</v>
      </c>
      <c r="B2008" t="inlineStr">
        <is>
          <t>GERAL</t>
        </is>
      </c>
      <c r="C2008" t="inlineStr">
        <is>
          <t>EJ</t>
        </is>
      </c>
      <c r="D2008" t="inlineStr">
        <is>
          <t>VIGAS</t>
        </is>
      </c>
      <c r="F2008" s="159">
        <f>IFERROR(INDEX('BASE METAS DIÁRIAS'!$N$2:$S$358,MATCH($A2008,'BASE METAS DIÁRIAS'!$A$2:$A$358,0),MOD(ROW()-2,6)+1),"")</f>
        <v/>
      </c>
      <c r="G2008" s="159">
        <f>IFERROR(IF(WEEKDAY($A2008,2)&lt;=INDEX('BASE METAS DIÁRIAS'!$H$2:$M$358,MATCH($A2008,'BASE METAS DIÁRIAS'!$A$2:$A$358,0),MOD(ROW()-2,6)+1),INDEX('BASE METAS DIÁRIAS'!$B$2:$G$358,MATCH($A2008,'BASE METAS DIÁRIAS'!$A$2:$A$358,0),MOD(ROW()-2,6)+1),""),"")</f>
        <v/>
      </c>
      <c r="H2008" s="159">
        <f>IFERROR(IF(INDEX('CONTROLE PRODUÇÃO POR EMPRESAS'!$B$6:$G$5000,MATCH($A2008,'CONTROLE PRODUÇÃO POR EMPRESAS'!$A$6:$A$5000,0),MOD(ROW()-2,6)+1)="","",IFERROR(1*INDEX('CONTROLE PRODUÇÃO POR EMPRESAS'!$B$6:$G$5000,MATCH($A2008,'CONTROLE PRODUÇÃO POR EMPRESAS'!$A$6:$A$5000,0),MOD(ROW()-2,6)+1),"")),"")</f>
        <v/>
      </c>
      <c r="I2008" s="159">
        <f>IF(OR(NOT(ISNUMBER(G2008)),NOT(ISNUMBER(H2008))),"",H2008-G2008)</f>
        <v/>
      </c>
      <c r="J2008" s="319">
        <f>IF(OR(NOT(ISNUMBER(G2008)),NOT(ISNUMBER(H2008)),G2008=0),"",I2008/G2008)</f>
        <v/>
      </c>
      <c r="K2008" s="319">
        <f>IF(OR(NOT(ISNUMBER(G2008)),NOT(ISNUMBER(H2008)),G2008=0),"",H2008/G2008)</f>
        <v/>
      </c>
      <c r="L2008">
        <f>IF(NOT(ISNUMBER(G2008)),"SEM META",IF(G2008=0,"SEM META",IF(NOT(ISNUMBER(H2008)),"SEM APONTAMENTO",IF(H2008&gt;=G2008,"VERDE",IF(H2008&gt;=G2008*0.9,"AMARELO","VERMELHO")))))</f>
        <v/>
      </c>
      <c r="M2008" s="162" t="n"/>
      <c r="N2008" s="162" t="n"/>
      <c r="O2008" s="162" t="n"/>
      <c r="P2008" s="162" t="n"/>
      <c r="Q2008" s="320" t="n"/>
      <c r="R2008" s="162" t="inlineStr">
        <is>
          <t>CONTROLE PRODUÇÃO POR EMPRESAS!D340</t>
        </is>
      </c>
    </row>
    <row r="2009" ht="28.5" customHeight="1">
      <c r="A2009" s="317" t="n">
        <v>46557</v>
      </c>
      <c r="B2009" t="inlineStr">
        <is>
          <t>GERAL</t>
        </is>
      </c>
      <c r="C2009" t="inlineStr">
        <is>
          <t>CMM</t>
        </is>
      </c>
      <c r="D2009" t="inlineStr">
        <is>
          <t>PREMONTAGEM</t>
        </is>
      </c>
      <c r="F2009" s="159">
        <f>IFERROR(INDEX('BASE METAS DIÁRIAS'!$N$2:$S$358,MATCH($A2009,'BASE METAS DIÁRIAS'!$A$2:$A$358,0),MOD(ROW()-2,6)+1),"")</f>
        <v/>
      </c>
      <c r="G2009" s="159">
        <f>IFERROR(IF(WEEKDAY($A2009,2)&lt;=INDEX('BASE METAS DIÁRIAS'!$H$2:$M$358,MATCH($A2009,'BASE METAS DIÁRIAS'!$A$2:$A$358,0),MOD(ROW()-2,6)+1),INDEX('BASE METAS DIÁRIAS'!$B$2:$G$358,MATCH($A2009,'BASE METAS DIÁRIAS'!$A$2:$A$358,0),MOD(ROW()-2,6)+1),""),"")</f>
        <v/>
      </c>
      <c r="H2009" s="159">
        <f>IFERROR(IF(INDEX('CONTROLE PRODUÇÃO POR EMPRESAS'!$B$6:$G$5000,MATCH($A2009,'CONTROLE PRODUÇÃO POR EMPRESAS'!$A$6:$A$5000,0),MOD(ROW()-2,6)+1)="","",IFERROR(1*INDEX('CONTROLE PRODUÇÃO POR EMPRESAS'!$B$6:$G$5000,MATCH($A2009,'CONTROLE PRODUÇÃO POR EMPRESAS'!$A$6:$A$5000,0),MOD(ROW()-2,6)+1),"")),"")</f>
        <v/>
      </c>
      <c r="I2009" s="159">
        <f>IF(OR(NOT(ISNUMBER(G2009)),NOT(ISNUMBER(H2009))),"",H2009-G2009)</f>
        <v/>
      </c>
      <c r="J2009" s="319">
        <f>IF(OR(NOT(ISNUMBER(G2009)),NOT(ISNUMBER(H2009)),G2009=0),"",I2009/G2009)</f>
        <v/>
      </c>
      <c r="K2009" s="319">
        <f>IF(OR(NOT(ISNUMBER(G2009)),NOT(ISNUMBER(H2009)),G2009=0),"",H2009/G2009)</f>
        <v/>
      </c>
      <c r="L2009">
        <f>IF(NOT(ISNUMBER(G2009)),"SEM META",IF(G2009=0,"SEM META",IF(NOT(ISNUMBER(H2009)),"SEM APONTAMENTO",IF(H2009&gt;=G2009,"VERDE",IF(H2009&gt;=G2009*0.9,"AMARELO","VERMELHO")))))</f>
        <v/>
      </c>
      <c r="M2009" s="162" t="n"/>
      <c r="N2009" s="162" t="n"/>
      <c r="O2009" s="162" t="n"/>
      <c r="P2009" s="162" t="n"/>
      <c r="Q2009" s="320" t="n"/>
      <c r="R2009" s="162" t="inlineStr">
        <is>
          <t>CONTROLE PRODUÇÃO POR EMPRESAS!E340</t>
        </is>
      </c>
    </row>
    <row r="2010" ht="28.5" customHeight="1">
      <c r="A2010" s="317" t="n">
        <v>46557</v>
      </c>
      <c r="B2010" t="inlineStr">
        <is>
          <t>GERAL</t>
        </is>
      </c>
      <c r="C2010" t="inlineStr">
        <is>
          <t>CMM</t>
        </is>
      </c>
      <c r="D2010" t="inlineStr">
        <is>
          <t>IÇAMENTO JOIST</t>
        </is>
      </c>
      <c r="F2010" s="159">
        <f>IFERROR(INDEX('BASE METAS DIÁRIAS'!$N$2:$S$358,MATCH($A2010,'BASE METAS DIÁRIAS'!$A$2:$A$358,0),MOD(ROW()-2,6)+1),"")</f>
        <v/>
      </c>
      <c r="G2010" s="159">
        <f>IFERROR(IF(WEEKDAY($A2010,2)&lt;=INDEX('BASE METAS DIÁRIAS'!$H$2:$M$358,MATCH($A2010,'BASE METAS DIÁRIAS'!$A$2:$A$358,0),MOD(ROW()-2,6)+1),INDEX('BASE METAS DIÁRIAS'!$B$2:$G$358,MATCH($A2010,'BASE METAS DIÁRIAS'!$A$2:$A$358,0),MOD(ROW()-2,6)+1),""),"")</f>
        <v/>
      </c>
      <c r="H2010" s="159">
        <f>IFERROR(IF(INDEX('CONTROLE PRODUÇÃO POR EMPRESAS'!$B$6:$G$5000,MATCH($A2010,'CONTROLE PRODUÇÃO POR EMPRESAS'!$A$6:$A$5000,0),MOD(ROW()-2,6)+1)="","",IFERROR(1*INDEX('CONTROLE PRODUÇÃO POR EMPRESAS'!$B$6:$G$5000,MATCH($A2010,'CONTROLE PRODUÇÃO POR EMPRESAS'!$A$6:$A$5000,0),MOD(ROW()-2,6)+1),"")),"")</f>
        <v/>
      </c>
      <c r="I2010" s="159">
        <f>IF(OR(NOT(ISNUMBER(G2010)),NOT(ISNUMBER(H2010))),"",H2010-G2010)</f>
        <v/>
      </c>
      <c r="J2010" s="319">
        <f>IF(OR(NOT(ISNUMBER(G2010)),NOT(ISNUMBER(H2010)),G2010=0),"",I2010/G2010)</f>
        <v/>
      </c>
      <c r="K2010" s="319">
        <f>IF(OR(NOT(ISNUMBER(G2010)),NOT(ISNUMBER(H2010)),G2010=0),"",H2010/G2010)</f>
        <v/>
      </c>
      <c r="L2010">
        <f>IF(NOT(ISNUMBER(G2010)),"SEM META",IF(G2010=0,"SEM META",IF(NOT(ISNUMBER(H2010)),"SEM APONTAMENTO",IF(H2010&gt;=G2010,"VERDE",IF(H2010&gt;=G2010*0.9,"AMARELO","VERMELHO")))))</f>
        <v/>
      </c>
      <c r="M2010" s="162" t="n"/>
      <c r="N2010" s="162" t="n"/>
      <c r="O2010" s="162" t="n"/>
      <c r="P2010" s="162" t="n"/>
      <c r="Q2010" s="320" t="n"/>
      <c r="R2010" s="162" t="inlineStr">
        <is>
          <t>CONTROLE PRODUÇÃO POR EMPRESAS!F340</t>
        </is>
      </c>
    </row>
    <row r="2011" ht="28.5" customHeight="1">
      <c r="A2011" s="317" t="n">
        <v>46557</v>
      </c>
      <c r="B2011" t="inlineStr">
        <is>
          <t>GERAL</t>
        </is>
      </c>
      <c r="C2011" t="inlineStr">
        <is>
          <t>CMM</t>
        </is>
      </c>
      <c r="D2011" t="inlineStr">
        <is>
          <t>VIGAS</t>
        </is>
      </c>
      <c r="F2011" s="159">
        <f>IFERROR(INDEX('BASE METAS DIÁRIAS'!$N$2:$S$358,MATCH($A2011,'BASE METAS DIÁRIAS'!$A$2:$A$358,0),MOD(ROW()-2,6)+1),"")</f>
        <v/>
      </c>
      <c r="G2011" s="159">
        <f>IFERROR(IF(WEEKDAY($A2011,2)&lt;=INDEX('BASE METAS DIÁRIAS'!$H$2:$M$358,MATCH($A2011,'BASE METAS DIÁRIAS'!$A$2:$A$358,0),MOD(ROW()-2,6)+1),INDEX('BASE METAS DIÁRIAS'!$B$2:$G$358,MATCH($A2011,'BASE METAS DIÁRIAS'!$A$2:$A$358,0),MOD(ROW()-2,6)+1),""),"")</f>
        <v/>
      </c>
      <c r="H2011" s="159">
        <f>IFERROR(IF(INDEX('CONTROLE PRODUÇÃO POR EMPRESAS'!$B$6:$G$5000,MATCH($A2011,'CONTROLE PRODUÇÃO POR EMPRESAS'!$A$6:$A$5000,0),MOD(ROW()-2,6)+1)="","",IFERROR(1*INDEX('CONTROLE PRODUÇÃO POR EMPRESAS'!$B$6:$G$5000,MATCH($A2011,'CONTROLE PRODUÇÃO POR EMPRESAS'!$A$6:$A$5000,0),MOD(ROW()-2,6)+1),"")),"")</f>
        <v/>
      </c>
      <c r="I2011" s="159">
        <f>IF(OR(NOT(ISNUMBER(G2011)),NOT(ISNUMBER(H2011))),"",H2011-G2011)</f>
        <v/>
      </c>
      <c r="J2011" s="319">
        <f>IF(OR(NOT(ISNUMBER(G2011)),NOT(ISNUMBER(H2011)),G2011=0),"",I2011/G2011)</f>
        <v/>
      </c>
      <c r="K2011" s="319">
        <f>IF(OR(NOT(ISNUMBER(G2011)),NOT(ISNUMBER(H2011)),G2011=0),"",H2011/G2011)</f>
        <v/>
      </c>
      <c r="L2011">
        <f>IF(NOT(ISNUMBER(G2011)),"SEM META",IF(G2011=0,"SEM META",IF(NOT(ISNUMBER(H2011)),"SEM APONTAMENTO",IF(H2011&gt;=G2011,"VERDE",IF(H2011&gt;=G2011*0.9,"AMARELO","VERMELHO")))))</f>
        <v/>
      </c>
      <c r="M2011" s="162" t="n"/>
      <c r="N2011" s="162" t="n"/>
      <c r="O2011" s="162" t="n"/>
      <c r="P2011" s="162" t="n"/>
      <c r="Q2011" s="320" t="n"/>
      <c r="R2011" s="162" t="inlineStr">
        <is>
          <t>CONTROLE PRODUÇÃO POR EMPRESAS!G340</t>
        </is>
      </c>
    </row>
    <row r="2012" ht="28.5" customHeight="1">
      <c r="A2012" s="317" t="n">
        <v>46558</v>
      </c>
      <c r="B2012" t="inlineStr">
        <is>
          <t>GERAL</t>
        </is>
      </c>
      <c r="C2012" t="inlineStr">
        <is>
          <t>EJ</t>
        </is>
      </c>
      <c r="D2012" t="inlineStr">
        <is>
          <t>PREMONTAGEM</t>
        </is>
      </c>
      <c r="F2012" s="159">
        <f>IFERROR(INDEX('BASE METAS DIÁRIAS'!$N$2:$S$358,MATCH($A2012,'BASE METAS DIÁRIAS'!$A$2:$A$358,0),MOD(ROW()-2,6)+1),"")</f>
        <v/>
      </c>
      <c r="G2012" s="159">
        <f>IFERROR(IF(WEEKDAY($A2012,2)&lt;=INDEX('BASE METAS DIÁRIAS'!$H$2:$M$358,MATCH($A2012,'BASE METAS DIÁRIAS'!$A$2:$A$358,0),MOD(ROW()-2,6)+1),INDEX('BASE METAS DIÁRIAS'!$B$2:$G$358,MATCH($A2012,'BASE METAS DIÁRIAS'!$A$2:$A$358,0),MOD(ROW()-2,6)+1),""),"")</f>
        <v/>
      </c>
      <c r="H2012" s="159">
        <f>IFERROR(IF(INDEX('CONTROLE PRODUÇÃO POR EMPRESAS'!$B$6:$G$5000,MATCH($A2012,'CONTROLE PRODUÇÃO POR EMPRESAS'!$A$6:$A$5000,0),MOD(ROW()-2,6)+1)="","",IFERROR(1*INDEX('CONTROLE PRODUÇÃO POR EMPRESAS'!$B$6:$G$5000,MATCH($A2012,'CONTROLE PRODUÇÃO POR EMPRESAS'!$A$6:$A$5000,0),MOD(ROW()-2,6)+1),"")),"")</f>
        <v/>
      </c>
      <c r="I2012" s="159">
        <f>IF(OR(NOT(ISNUMBER(G2012)),NOT(ISNUMBER(H2012))),"",H2012-G2012)</f>
        <v/>
      </c>
      <c r="J2012" s="319">
        <f>IF(OR(NOT(ISNUMBER(G2012)),NOT(ISNUMBER(H2012)),G2012=0),"",I2012/G2012)</f>
        <v/>
      </c>
      <c r="K2012" s="319">
        <f>IF(OR(NOT(ISNUMBER(G2012)),NOT(ISNUMBER(H2012)),G2012=0),"",H2012/G2012)</f>
        <v/>
      </c>
      <c r="L2012">
        <f>IF(NOT(ISNUMBER(G2012)),"SEM META",IF(G2012=0,"SEM META",IF(NOT(ISNUMBER(H2012)),"SEM APONTAMENTO",IF(H2012&gt;=G2012,"VERDE",IF(H2012&gt;=G2012*0.9,"AMARELO","VERMELHO")))))</f>
        <v/>
      </c>
      <c r="M2012" s="162" t="n"/>
      <c r="N2012" s="162" t="n"/>
      <c r="O2012" s="162" t="n"/>
      <c r="P2012" s="162" t="n"/>
      <c r="Q2012" s="320" t="n"/>
      <c r="R2012" s="162" t="inlineStr">
        <is>
          <t>CONTROLE PRODUÇÃO POR EMPRESAS!B341</t>
        </is>
      </c>
    </row>
    <row r="2013" ht="28.5" customHeight="1">
      <c r="A2013" s="317" t="n">
        <v>46558</v>
      </c>
      <c r="B2013" t="inlineStr">
        <is>
          <t>GERAL</t>
        </is>
      </c>
      <c r="C2013" t="inlineStr">
        <is>
          <t>EJ</t>
        </is>
      </c>
      <c r="D2013" t="inlineStr">
        <is>
          <t>IÇAMENTO JOIST</t>
        </is>
      </c>
      <c r="F2013" s="159">
        <f>IFERROR(INDEX('BASE METAS DIÁRIAS'!$N$2:$S$358,MATCH($A2013,'BASE METAS DIÁRIAS'!$A$2:$A$358,0),MOD(ROW()-2,6)+1),"")</f>
        <v/>
      </c>
      <c r="G2013" s="159">
        <f>IFERROR(IF(WEEKDAY($A2013,2)&lt;=INDEX('BASE METAS DIÁRIAS'!$H$2:$M$358,MATCH($A2013,'BASE METAS DIÁRIAS'!$A$2:$A$358,0),MOD(ROW()-2,6)+1),INDEX('BASE METAS DIÁRIAS'!$B$2:$G$358,MATCH($A2013,'BASE METAS DIÁRIAS'!$A$2:$A$358,0),MOD(ROW()-2,6)+1),""),"")</f>
        <v/>
      </c>
      <c r="H2013" s="159">
        <f>IFERROR(IF(INDEX('CONTROLE PRODUÇÃO POR EMPRESAS'!$B$6:$G$5000,MATCH($A2013,'CONTROLE PRODUÇÃO POR EMPRESAS'!$A$6:$A$5000,0),MOD(ROW()-2,6)+1)="","",IFERROR(1*INDEX('CONTROLE PRODUÇÃO POR EMPRESAS'!$B$6:$G$5000,MATCH($A2013,'CONTROLE PRODUÇÃO POR EMPRESAS'!$A$6:$A$5000,0),MOD(ROW()-2,6)+1),"")),"")</f>
        <v/>
      </c>
      <c r="I2013" s="159">
        <f>IF(OR(NOT(ISNUMBER(G2013)),NOT(ISNUMBER(H2013))),"",H2013-G2013)</f>
        <v/>
      </c>
      <c r="J2013" s="319">
        <f>IF(OR(NOT(ISNUMBER(G2013)),NOT(ISNUMBER(H2013)),G2013=0),"",I2013/G2013)</f>
        <v/>
      </c>
      <c r="K2013" s="319">
        <f>IF(OR(NOT(ISNUMBER(G2013)),NOT(ISNUMBER(H2013)),G2013=0),"",H2013/G2013)</f>
        <v/>
      </c>
      <c r="L2013">
        <f>IF(NOT(ISNUMBER(G2013)),"SEM META",IF(G2013=0,"SEM META",IF(NOT(ISNUMBER(H2013)),"SEM APONTAMENTO",IF(H2013&gt;=G2013,"VERDE",IF(H2013&gt;=G2013*0.9,"AMARELO","VERMELHO")))))</f>
        <v/>
      </c>
      <c r="M2013" s="162" t="n"/>
      <c r="N2013" s="162" t="n"/>
      <c r="O2013" s="162" t="n"/>
      <c r="P2013" s="162" t="n"/>
      <c r="Q2013" s="320" t="n"/>
      <c r="R2013" s="162" t="inlineStr">
        <is>
          <t>CONTROLE PRODUÇÃO POR EMPRESAS!C341</t>
        </is>
      </c>
    </row>
    <row r="2014" ht="28.5" customHeight="1">
      <c r="A2014" s="317" t="n">
        <v>46558</v>
      </c>
      <c r="B2014" t="inlineStr">
        <is>
          <t>GERAL</t>
        </is>
      </c>
      <c r="C2014" t="inlineStr">
        <is>
          <t>EJ</t>
        </is>
      </c>
      <c r="D2014" t="inlineStr">
        <is>
          <t>VIGAS</t>
        </is>
      </c>
      <c r="F2014" s="159">
        <f>IFERROR(INDEX('BASE METAS DIÁRIAS'!$N$2:$S$358,MATCH($A2014,'BASE METAS DIÁRIAS'!$A$2:$A$358,0),MOD(ROW()-2,6)+1),"")</f>
        <v/>
      </c>
      <c r="G2014" s="159">
        <f>IFERROR(IF(WEEKDAY($A2014,2)&lt;=INDEX('BASE METAS DIÁRIAS'!$H$2:$M$358,MATCH($A2014,'BASE METAS DIÁRIAS'!$A$2:$A$358,0),MOD(ROW()-2,6)+1),INDEX('BASE METAS DIÁRIAS'!$B$2:$G$358,MATCH($A2014,'BASE METAS DIÁRIAS'!$A$2:$A$358,0),MOD(ROW()-2,6)+1),""),"")</f>
        <v/>
      </c>
      <c r="H2014" s="159">
        <f>IFERROR(IF(INDEX('CONTROLE PRODUÇÃO POR EMPRESAS'!$B$6:$G$5000,MATCH($A2014,'CONTROLE PRODUÇÃO POR EMPRESAS'!$A$6:$A$5000,0),MOD(ROW()-2,6)+1)="","",IFERROR(1*INDEX('CONTROLE PRODUÇÃO POR EMPRESAS'!$B$6:$G$5000,MATCH($A2014,'CONTROLE PRODUÇÃO POR EMPRESAS'!$A$6:$A$5000,0),MOD(ROW()-2,6)+1),"")),"")</f>
        <v/>
      </c>
      <c r="I2014" s="159">
        <f>IF(OR(NOT(ISNUMBER(G2014)),NOT(ISNUMBER(H2014))),"",H2014-G2014)</f>
        <v/>
      </c>
      <c r="J2014" s="319">
        <f>IF(OR(NOT(ISNUMBER(G2014)),NOT(ISNUMBER(H2014)),G2014=0),"",I2014/G2014)</f>
        <v/>
      </c>
      <c r="K2014" s="319">
        <f>IF(OR(NOT(ISNUMBER(G2014)),NOT(ISNUMBER(H2014)),G2014=0),"",H2014/G2014)</f>
        <v/>
      </c>
      <c r="L2014">
        <f>IF(NOT(ISNUMBER(G2014)),"SEM META",IF(G2014=0,"SEM META",IF(NOT(ISNUMBER(H2014)),"SEM APONTAMENTO",IF(H2014&gt;=G2014,"VERDE",IF(H2014&gt;=G2014*0.9,"AMARELO","VERMELHO")))))</f>
        <v/>
      </c>
      <c r="M2014" s="162" t="n"/>
      <c r="N2014" s="162" t="n"/>
      <c r="O2014" s="162" t="n"/>
      <c r="P2014" s="162" t="n"/>
      <c r="Q2014" s="320" t="n"/>
      <c r="R2014" s="162" t="inlineStr">
        <is>
          <t>CONTROLE PRODUÇÃO POR EMPRESAS!D341</t>
        </is>
      </c>
    </row>
    <row r="2015" ht="28.5" customHeight="1">
      <c r="A2015" s="317" t="n">
        <v>46558</v>
      </c>
      <c r="B2015" t="inlineStr">
        <is>
          <t>GERAL</t>
        </is>
      </c>
      <c r="C2015" t="inlineStr">
        <is>
          <t>CMM</t>
        </is>
      </c>
      <c r="D2015" t="inlineStr">
        <is>
          <t>PREMONTAGEM</t>
        </is>
      </c>
      <c r="F2015" s="159">
        <f>IFERROR(INDEX('BASE METAS DIÁRIAS'!$N$2:$S$358,MATCH($A2015,'BASE METAS DIÁRIAS'!$A$2:$A$358,0),MOD(ROW()-2,6)+1),"")</f>
        <v/>
      </c>
      <c r="G2015" s="159">
        <f>IFERROR(IF(WEEKDAY($A2015,2)&lt;=INDEX('BASE METAS DIÁRIAS'!$H$2:$M$358,MATCH($A2015,'BASE METAS DIÁRIAS'!$A$2:$A$358,0),MOD(ROW()-2,6)+1),INDEX('BASE METAS DIÁRIAS'!$B$2:$G$358,MATCH($A2015,'BASE METAS DIÁRIAS'!$A$2:$A$358,0),MOD(ROW()-2,6)+1),""),"")</f>
        <v/>
      </c>
      <c r="H2015" s="159">
        <f>IFERROR(IF(INDEX('CONTROLE PRODUÇÃO POR EMPRESAS'!$B$6:$G$5000,MATCH($A2015,'CONTROLE PRODUÇÃO POR EMPRESAS'!$A$6:$A$5000,0),MOD(ROW()-2,6)+1)="","",IFERROR(1*INDEX('CONTROLE PRODUÇÃO POR EMPRESAS'!$B$6:$G$5000,MATCH($A2015,'CONTROLE PRODUÇÃO POR EMPRESAS'!$A$6:$A$5000,0),MOD(ROW()-2,6)+1),"")),"")</f>
        <v/>
      </c>
      <c r="I2015" s="159">
        <f>IF(OR(NOT(ISNUMBER(G2015)),NOT(ISNUMBER(H2015))),"",H2015-G2015)</f>
        <v/>
      </c>
      <c r="J2015" s="319">
        <f>IF(OR(NOT(ISNUMBER(G2015)),NOT(ISNUMBER(H2015)),G2015=0),"",I2015/G2015)</f>
        <v/>
      </c>
      <c r="K2015" s="319">
        <f>IF(OR(NOT(ISNUMBER(G2015)),NOT(ISNUMBER(H2015)),G2015=0),"",H2015/G2015)</f>
        <v/>
      </c>
      <c r="L2015">
        <f>IF(NOT(ISNUMBER(G2015)),"SEM META",IF(G2015=0,"SEM META",IF(NOT(ISNUMBER(H2015)),"SEM APONTAMENTO",IF(H2015&gt;=G2015,"VERDE",IF(H2015&gt;=G2015*0.9,"AMARELO","VERMELHO")))))</f>
        <v/>
      </c>
      <c r="M2015" s="162" t="n"/>
      <c r="N2015" s="162" t="n"/>
      <c r="O2015" s="162" t="n"/>
      <c r="P2015" s="162" t="n"/>
      <c r="Q2015" s="320" t="n"/>
      <c r="R2015" s="162" t="inlineStr">
        <is>
          <t>CONTROLE PRODUÇÃO POR EMPRESAS!E341</t>
        </is>
      </c>
    </row>
    <row r="2016" ht="28.5" customHeight="1">
      <c r="A2016" s="317" t="n">
        <v>46558</v>
      </c>
      <c r="B2016" t="inlineStr">
        <is>
          <t>GERAL</t>
        </is>
      </c>
      <c r="C2016" t="inlineStr">
        <is>
          <t>CMM</t>
        </is>
      </c>
      <c r="D2016" t="inlineStr">
        <is>
          <t>IÇAMENTO JOIST</t>
        </is>
      </c>
      <c r="F2016" s="159">
        <f>IFERROR(INDEX('BASE METAS DIÁRIAS'!$N$2:$S$358,MATCH($A2016,'BASE METAS DIÁRIAS'!$A$2:$A$358,0),MOD(ROW()-2,6)+1),"")</f>
        <v/>
      </c>
      <c r="G2016" s="159">
        <f>IFERROR(IF(WEEKDAY($A2016,2)&lt;=INDEX('BASE METAS DIÁRIAS'!$H$2:$M$358,MATCH($A2016,'BASE METAS DIÁRIAS'!$A$2:$A$358,0),MOD(ROW()-2,6)+1),INDEX('BASE METAS DIÁRIAS'!$B$2:$G$358,MATCH($A2016,'BASE METAS DIÁRIAS'!$A$2:$A$358,0),MOD(ROW()-2,6)+1),""),"")</f>
        <v/>
      </c>
      <c r="H2016" s="159">
        <f>IFERROR(IF(INDEX('CONTROLE PRODUÇÃO POR EMPRESAS'!$B$6:$G$5000,MATCH($A2016,'CONTROLE PRODUÇÃO POR EMPRESAS'!$A$6:$A$5000,0),MOD(ROW()-2,6)+1)="","",IFERROR(1*INDEX('CONTROLE PRODUÇÃO POR EMPRESAS'!$B$6:$G$5000,MATCH($A2016,'CONTROLE PRODUÇÃO POR EMPRESAS'!$A$6:$A$5000,0),MOD(ROW()-2,6)+1),"")),"")</f>
        <v/>
      </c>
      <c r="I2016" s="159">
        <f>IF(OR(NOT(ISNUMBER(G2016)),NOT(ISNUMBER(H2016))),"",H2016-G2016)</f>
        <v/>
      </c>
      <c r="J2016" s="319">
        <f>IF(OR(NOT(ISNUMBER(G2016)),NOT(ISNUMBER(H2016)),G2016=0),"",I2016/G2016)</f>
        <v/>
      </c>
      <c r="K2016" s="319">
        <f>IF(OR(NOT(ISNUMBER(G2016)),NOT(ISNUMBER(H2016)),G2016=0),"",H2016/G2016)</f>
        <v/>
      </c>
      <c r="L2016">
        <f>IF(NOT(ISNUMBER(G2016)),"SEM META",IF(G2016=0,"SEM META",IF(NOT(ISNUMBER(H2016)),"SEM APONTAMENTO",IF(H2016&gt;=G2016,"VERDE",IF(H2016&gt;=G2016*0.9,"AMARELO","VERMELHO")))))</f>
        <v/>
      </c>
      <c r="M2016" s="162" t="n"/>
      <c r="N2016" s="162" t="n"/>
      <c r="O2016" s="162" t="n"/>
      <c r="P2016" s="162" t="n"/>
      <c r="Q2016" s="320" t="n"/>
      <c r="R2016" s="162" t="inlineStr">
        <is>
          <t>CONTROLE PRODUÇÃO POR EMPRESAS!F341</t>
        </is>
      </c>
    </row>
    <row r="2017" ht="28.5" customHeight="1">
      <c r="A2017" s="317" t="n">
        <v>46558</v>
      </c>
      <c r="B2017" t="inlineStr">
        <is>
          <t>GERAL</t>
        </is>
      </c>
      <c r="C2017" t="inlineStr">
        <is>
          <t>CMM</t>
        </is>
      </c>
      <c r="D2017" t="inlineStr">
        <is>
          <t>VIGAS</t>
        </is>
      </c>
      <c r="F2017" s="159">
        <f>IFERROR(INDEX('BASE METAS DIÁRIAS'!$N$2:$S$358,MATCH($A2017,'BASE METAS DIÁRIAS'!$A$2:$A$358,0),MOD(ROW()-2,6)+1),"")</f>
        <v/>
      </c>
      <c r="G2017" s="159">
        <f>IFERROR(IF(WEEKDAY($A2017,2)&lt;=INDEX('BASE METAS DIÁRIAS'!$H$2:$M$358,MATCH($A2017,'BASE METAS DIÁRIAS'!$A$2:$A$358,0),MOD(ROW()-2,6)+1),INDEX('BASE METAS DIÁRIAS'!$B$2:$G$358,MATCH($A2017,'BASE METAS DIÁRIAS'!$A$2:$A$358,0),MOD(ROW()-2,6)+1),""),"")</f>
        <v/>
      </c>
      <c r="H2017" s="159">
        <f>IFERROR(IF(INDEX('CONTROLE PRODUÇÃO POR EMPRESAS'!$B$6:$G$5000,MATCH($A2017,'CONTROLE PRODUÇÃO POR EMPRESAS'!$A$6:$A$5000,0),MOD(ROW()-2,6)+1)="","",IFERROR(1*INDEX('CONTROLE PRODUÇÃO POR EMPRESAS'!$B$6:$G$5000,MATCH($A2017,'CONTROLE PRODUÇÃO POR EMPRESAS'!$A$6:$A$5000,0),MOD(ROW()-2,6)+1),"")),"")</f>
        <v/>
      </c>
      <c r="I2017" s="159">
        <f>IF(OR(NOT(ISNUMBER(G2017)),NOT(ISNUMBER(H2017))),"",H2017-G2017)</f>
        <v/>
      </c>
      <c r="J2017" s="319">
        <f>IF(OR(NOT(ISNUMBER(G2017)),NOT(ISNUMBER(H2017)),G2017=0),"",I2017/G2017)</f>
        <v/>
      </c>
      <c r="K2017" s="319">
        <f>IF(OR(NOT(ISNUMBER(G2017)),NOT(ISNUMBER(H2017)),G2017=0),"",H2017/G2017)</f>
        <v/>
      </c>
      <c r="L2017">
        <f>IF(NOT(ISNUMBER(G2017)),"SEM META",IF(G2017=0,"SEM META",IF(NOT(ISNUMBER(H2017)),"SEM APONTAMENTO",IF(H2017&gt;=G2017,"VERDE",IF(H2017&gt;=G2017*0.9,"AMARELO","VERMELHO")))))</f>
        <v/>
      </c>
      <c r="M2017" s="162" t="n"/>
      <c r="N2017" s="162" t="n"/>
      <c r="O2017" s="162" t="n"/>
      <c r="P2017" s="162" t="n"/>
      <c r="Q2017" s="320" t="n"/>
      <c r="R2017" s="162" t="inlineStr">
        <is>
          <t>CONTROLE PRODUÇÃO POR EMPRESAS!G341</t>
        </is>
      </c>
    </row>
    <row r="2018" ht="28.5" customHeight="1">
      <c r="A2018" s="317" t="n">
        <v>46559</v>
      </c>
      <c r="B2018" t="inlineStr">
        <is>
          <t>GERAL</t>
        </is>
      </c>
      <c r="C2018" t="inlineStr">
        <is>
          <t>EJ</t>
        </is>
      </c>
      <c r="D2018" t="inlineStr">
        <is>
          <t>PREMONTAGEM</t>
        </is>
      </c>
      <c r="F2018" s="159">
        <f>IFERROR(INDEX('BASE METAS DIÁRIAS'!$N$2:$S$358,MATCH($A2018,'BASE METAS DIÁRIAS'!$A$2:$A$358,0),MOD(ROW()-2,6)+1),"")</f>
        <v/>
      </c>
      <c r="G2018" s="159">
        <f>IFERROR(IF(WEEKDAY($A2018,2)&lt;=INDEX('BASE METAS DIÁRIAS'!$H$2:$M$358,MATCH($A2018,'BASE METAS DIÁRIAS'!$A$2:$A$358,0),MOD(ROW()-2,6)+1),INDEX('BASE METAS DIÁRIAS'!$B$2:$G$358,MATCH($A2018,'BASE METAS DIÁRIAS'!$A$2:$A$358,0),MOD(ROW()-2,6)+1),""),"")</f>
        <v/>
      </c>
      <c r="H2018" s="159">
        <f>IFERROR(IF(INDEX('CONTROLE PRODUÇÃO POR EMPRESAS'!$B$6:$G$5000,MATCH($A2018,'CONTROLE PRODUÇÃO POR EMPRESAS'!$A$6:$A$5000,0),MOD(ROW()-2,6)+1)="","",IFERROR(1*INDEX('CONTROLE PRODUÇÃO POR EMPRESAS'!$B$6:$G$5000,MATCH($A2018,'CONTROLE PRODUÇÃO POR EMPRESAS'!$A$6:$A$5000,0),MOD(ROW()-2,6)+1),"")),"")</f>
        <v/>
      </c>
      <c r="I2018" s="159">
        <f>IF(OR(NOT(ISNUMBER(G2018)),NOT(ISNUMBER(H2018))),"",H2018-G2018)</f>
        <v/>
      </c>
      <c r="J2018" s="319">
        <f>IF(OR(NOT(ISNUMBER(G2018)),NOT(ISNUMBER(H2018)),G2018=0),"",I2018/G2018)</f>
        <v/>
      </c>
      <c r="K2018" s="319">
        <f>IF(OR(NOT(ISNUMBER(G2018)),NOT(ISNUMBER(H2018)),G2018=0),"",H2018/G2018)</f>
        <v/>
      </c>
      <c r="L2018">
        <f>IF(NOT(ISNUMBER(G2018)),"SEM META",IF(G2018=0,"SEM META",IF(NOT(ISNUMBER(H2018)),"SEM APONTAMENTO",IF(H2018&gt;=G2018,"VERDE",IF(H2018&gt;=G2018*0.9,"AMARELO","VERMELHO")))))</f>
        <v/>
      </c>
      <c r="M2018" s="162" t="n"/>
      <c r="N2018" s="162" t="n"/>
      <c r="O2018" s="162" t="n"/>
      <c r="P2018" s="162" t="n"/>
      <c r="Q2018" s="320" t="n"/>
      <c r="R2018" s="162" t="inlineStr">
        <is>
          <t>CONTROLE PRODUÇÃO POR EMPRESAS!B342</t>
        </is>
      </c>
    </row>
    <row r="2019" ht="28.5" customHeight="1">
      <c r="A2019" s="317" t="n">
        <v>46559</v>
      </c>
      <c r="B2019" t="inlineStr">
        <is>
          <t>GERAL</t>
        </is>
      </c>
      <c r="C2019" t="inlineStr">
        <is>
          <t>EJ</t>
        </is>
      </c>
      <c r="D2019" t="inlineStr">
        <is>
          <t>IÇAMENTO JOIST</t>
        </is>
      </c>
      <c r="F2019" s="159">
        <f>IFERROR(INDEX('BASE METAS DIÁRIAS'!$N$2:$S$358,MATCH($A2019,'BASE METAS DIÁRIAS'!$A$2:$A$358,0),MOD(ROW()-2,6)+1),"")</f>
        <v/>
      </c>
      <c r="G2019" s="159">
        <f>IFERROR(IF(WEEKDAY($A2019,2)&lt;=INDEX('BASE METAS DIÁRIAS'!$H$2:$M$358,MATCH($A2019,'BASE METAS DIÁRIAS'!$A$2:$A$358,0),MOD(ROW()-2,6)+1),INDEX('BASE METAS DIÁRIAS'!$B$2:$G$358,MATCH($A2019,'BASE METAS DIÁRIAS'!$A$2:$A$358,0),MOD(ROW()-2,6)+1),""),"")</f>
        <v/>
      </c>
      <c r="H2019" s="159">
        <f>IFERROR(IF(INDEX('CONTROLE PRODUÇÃO POR EMPRESAS'!$B$6:$G$5000,MATCH($A2019,'CONTROLE PRODUÇÃO POR EMPRESAS'!$A$6:$A$5000,0),MOD(ROW()-2,6)+1)="","",IFERROR(1*INDEX('CONTROLE PRODUÇÃO POR EMPRESAS'!$B$6:$G$5000,MATCH($A2019,'CONTROLE PRODUÇÃO POR EMPRESAS'!$A$6:$A$5000,0),MOD(ROW()-2,6)+1),"")),"")</f>
        <v/>
      </c>
      <c r="I2019" s="159">
        <f>IF(OR(NOT(ISNUMBER(G2019)),NOT(ISNUMBER(H2019))),"",H2019-G2019)</f>
        <v/>
      </c>
      <c r="J2019" s="319">
        <f>IF(OR(NOT(ISNUMBER(G2019)),NOT(ISNUMBER(H2019)),G2019=0),"",I2019/G2019)</f>
        <v/>
      </c>
      <c r="K2019" s="319">
        <f>IF(OR(NOT(ISNUMBER(G2019)),NOT(ISNUMBER(H2019)),G2019=0),"",H2019/G2019)</f>
        <v/>
      </c>
      <c r="L2019">
        <f>IF(NOT(ISNUMBER(G2019)),"SEM META",IF(G2019=0,"SEM META",IF(NOT(ISNUMBER(H2019)),"SEM APONTAMENTO",IF(H2019&gt;=G2019,"VERDE",IF(H2019&gt;=G2019*0.9,"AMARELO","VERMELHO")))))</f>
        <v/>
      </c>
      <c r="M2019" s="162" t="n"/>
      <c r="N2019" s="162" t="n"/>
      <c r="O2019" s="162" t="n"/>
      <c r="P2019" s="162" t="n"/>
      <c r="Q2019" s="320" t="n"/>
      <c r="R2019" s="162" t="inlineStr">
        <is>
          <t>CONTROLE PRODUÇÃO POR EMPRESAS!C342</t>
        </is>
      </c>
    </row>
    <row r="2020" ht="28.5" customHeight="1">
      <c r="A2020" s="317" t="n">
        <v>46559</v>
      </c>
      <c r="B2020" t="inlineStr">
        <is>
          <t>GERAL</t>
        </is>
      </c>
      <c r="C2020" t="inlineStr">
        <is>
          <t>EJ</t>
        </is>
      </c>
      <c r="D2020" t="inlineStr">
        <is>
          <t>VIGAS</t>
        </is>
      </c>
      <c r="F2020" s="159">
        <f>IFERROR(INDEX('BASE METAS DIÁRIAS'!$N$2:$S$358,MATCH($A2020,'BASE METAS DIÁRIAS'!$A$2:$A$358,0),MOD(ROW()-2,6)+1),"")</f>
        <v/>
      </c>
      <c r="G2020" s="159">
        <f>IFERROR(IF(WEEKDAY($A2020,2)&lt;=INDEX('BASE METAS DIÁRIAS'!$H$2:$M$358,MATCH($A2020,'BASE METAS DIÁRIAS'!$A$2:$A$358,0),MOD(ROW()-2,6)+1),INDEX('BASE METAS DIÁRIAS'!$B$2:$G$358,MATCH($A2020,'BASE METAS DIÁRIAS'!$A$2:$A$358,0),MOD(ROW()-2,6)+1),""),"")</f>
        <v/>
      </c>
      <c r="H2020" s="159">
        <f>IFERROR(IF(INDEX('CONTROLE PRODUÇÃO POR EMPRESAS'!$B$6:$G$5000,MATCH($A2020,'CONTROLE PRODUÇÃO POR EMPRESAS'!$A$6:$A$5000,0),MOD(ROW()-2,6)+1)="","",IFERROR(1*INDEX('CONTROLE PRODUÇÃO POR EMPRESAS'!$B$6:$G$5000,MATCH($A2020,'CONTROLE PRODUÇÃO POR EMPRESAS'!$A$6:$A$5000,0),MOD(ROW()-2,6)+1),"")),"")</f>
        <v/>
      </c>
      <c r="I2020" s="159">
        <f>IF(OR(NOT(ISNUMBER(G2020)),NOT(ISNUMBER(H2020))),"",H2020-G2020)</f>
        <v/>
      </c>
      <c r="J2020" s="319">
        <f>IF(OR(NOT(ISNUMBER(G2020)),NOT(ISNUMBER(H2020)),G2020=0),"",I2020/G2020)</f>
        <v/>
      </c>
      <c r="K2020" s="319">
        <f>IF(OR(NOT(ISNUMBER(G2020)),NOT(ISNUMBER(H2020)),G2020=0),"",H2020/G2020)</f>
        <v/>
      </c>
      <c r="L2020">
        <f>IF(NOT(ISNUMBER(G2020)),"SEM META",IF(G2020=0,"SEM META",IF(NOT(ISNUMBER(H2020)),"SEM APONTAMENTO",IF(H2020&gt;=G2020,"VERDE",IF(H2020&gt;=G2020*0.9,"AMARELO","VERMELHO")))))</f>
        <v/>
      </c>
      <c r="M2020" s="162" t="n"/>
      <c r="N2020" s="162" t="n"/>
      <c r="O2020" s="162" t="n"/>
      <c r="P2020" s="162" t="n"/>
      <c r="Q2020" s="320" t="n"/>
      <c r="R2020" s="162" t="inlineStr">
        <is>
          <t>CONTROLE PRODUÇÃO POR EMPRESAS!D342</t>
        </is>
      </c>
    </row>
    <row r="2021" ht="28.5" customHeight="1">
      <c r="A2021" s="317" t="n">
        <v>46559</v>
      </c>
      <c r="B2021" t="inlineStr">
        <is>
          <t>GERAL</t>
        </is>
      </c>
      <c r="C2021" t="inlineStr">
        <is>
          <t>CMM</t>
        </is>
      </c>
      <c r="D2021" t="inlineStr">
        <is>
          <t>PREMONTAGEM</t>
        </is>
      </c>
      <c r="F2021" s="159">
        <f>IFERROR(INDEX('BASE METAS DIÁRIAS'!$N$2:$S$358,MATCH($A2021,'BASE METAS DIÁRIAS'!$A$2:$A$358,0),MOD(ROW()-2,6)+1),"")</f>
        <v/>
      </c>
      <c r="G2021" s="159">
        <f>IFERROR(IF(WEEKDAY($A2021,2)&lt;=INDEX('BASE METAS DIÁRIAS'!$H$2:$M$358,MATCH($A2021,'BASE METAS DIÁRIAS'!$A$2:$A$358,0),MOD(ROW()-2,6)+1),INDEX('BASE METAS DIÁRIAS'!$B$2:$G$358,MATCH($A2021,'BASE METAS DIÁRIAS'!$A$2:$A$358,0),MOD(ROW()-2,6)+1),""),"")</f>
        <v/>
      </c>
      <c r="H2021" s="159">
        <f>IFERROR(IF(INDEX('CONTROLE PRODUÇÃO POR EMPRESAS'!$B$6:$G$5000,MATCH($A2021,'CONTROLE PRODUÇÃO POR EMPRESAS'!$A$6:$A$5000,0),MOD(ROW()-2,6)+1)="","",IFERROR(1*INDEX('CONTROLE PRODUÇÃO POR EMPRESAS'!$B$6:$G$5000,MATCH($A2021,'CONTROLE PRODUÇÃO POR EMPRESAS'!$A$6:$A$5000,0),MOD(ROW()-2,6)+1),"")),"")</f>
        <v/>
      </c>
      <c r="I2021" s="159">
        <f>IF(OR(NOT(ISNUMBER(G2021)),NOT(ISNUMBER(H2021))),"",H2021-G2021)</f>
        <v/>
      </c>
      <c r="J2021" s="319">
        <f>IF(OR(NOT(ISNUMBER(G2021)),NOT(ISNUMBER(H2021)),G2021=0),"",I2021/G2021)</f>
        <v/>
      </c>
      <c r="K2021" s="319">
        <f>IF(OR(NOT(ISNUMBER(G2021)),NOT(ISNUMBER(H2021)),G2021=0),"",H2021/G2021)</f>
        <v/>
      </c>
      <c r="L2021">
        <f>IF(NOT(ISNUMBER(G2021)),"SEM META",IF(G2021=0,"SEM META",IF(NOT(ISNUMBER(H2021)),"SEM APONTAMENTO",IF(H2021&gt;=G2021,"VERDE",IF(H2021&gt;=G2021*0.9,"AMARELO","VERMELHO")))))</f>
        <v/>
      </c>
      <c r="M2021" s="162" t="n"/>
      <c r="N2021" s="162" t="n"/>
      <c r="O2021" s="162" t="n"/>
      <c r="P2021" s="162" t="n"/>
      <c r="Q2021" s="320" t="n"/>
      <c r="R2021" s="162" t="inlineStr">
        <is>
          <t>CONTROLE PRODUÇÃO POR EMPRESAS!E342</t>
        </is>
      </c>
    </row>
    <row r="2022" ht="28.5" customHeight="1">
      <c r="A2022" s="317" t="n">
        <v>46559</v>
      </c>
      <c r="B2022" t="inlineStr">
        <is>
          <t>GERAL</t>
        </is>
      </c>
      <c r="C2022" t="inlineStr">
        <is>
          <t>CMM</t>
        </is>
      </c>
      <c r="D2022" t="inlineStr">
        <is>
          <t>IÇAMENTO JOIST</t>
        </is>
      </c>
      <c r="F2022" s="159">
        <f>IFERROR(INDEX('BASE METAS DIÁRIAS'!$N$2:$S$358,MATCH($A2022,'BASE METAS DIÁRIAS'!$A$2:$A$358,0),MOD(ROW()-2,6)+1),"")</f>
        <v/>
      </c>
      <c r="G2022" s="159">
        <f>IFERROR(IF(WEEKDAY($A2022,2)&lt;=INDEX('BASE METAS DIÁRIAS'!$H$2:$M$358,MATCH($A2022,'BASE METAS DIÁRIAS'!$A$2:$A$358,0),MOD(ROW()-2,6)+1),INDEX('BASE METAS DIÁRIAS'!$B$2:$G$358,MATCH($A2022,'BASE METAS DIÁRIAS'!$A$2:$A$358,0),MOD(ROW()-2,6)+1),""),"")</f>
        <v/>
      </c>
      <c r="H2022" s="159">
        <f>IFERROR(IF(INDEX('CONTROLE PRODUÇÃO POR EMPRESAS'!$B$6:$G$5000,MATCH($A2022,'CONTROLE PRODUÇÃO POR EMPRESAS'!$A$6:$A$5000,0),MOD(ROW()-2,6)+1)="","",IFERROR(1*INDEX('CONTROLE PRODUÇÃO POR EMPRESAS'!$B$6:$G$5000,MATCH($A2022,'CONTROLE PRODUÇÃO POR EMPRESAS'!$A$6:$A$5000,0),MOD(ROW()-2,6)+1),"")),"")</f>
        <v/>
      </c>
      <c r="I2022" s="159">
        <f>IF(OR(NOT(ISNUMBER(G2022)),NOT(ISNUMBER(H2022))),"",H2022-G2022)</f>
        <v/>
      </c>
      <c r="J2022" s="319">
        <f>IF(OR(NOT(ISNUMBER(G2022)),NOT(ISNUMBER(H2022)),G2022=0),"",I2022/G2022)</f>
        <v/>
      </c>
      <c r="K2022" s="319">
        <f>IF(OR(NOT(ISNUMBER(G2022)),NOT(ISNUMBER(H2022)),G2022=0),"",H2022/G2022)</f>
        <v/>
      </c>
      <c r="L2022">
        <f>IF(NOT(ISNUMBER(G2022)),"SEM META",IF(G2022=0,"SEM META",IF(NOT(ISNUMBER(H2022)),"SEM APONTAMENTO",IF(H2022&gt;=G2022,"VERDE",IF(H2022&gt;=G2022*0.9,"AMARELO","VERMELHO")))))</f>
        <v/>
      </c>
      <c r="M2022" s="162" t="n"/>
      <c r="N2022" s="162" t="n"/>
      <c r="O2022" s="162" t="n"/>
      <c r="P2022" s="162" t="n"/>
      <c r="Q2022" s="320" t="n"/>
      <c r="R2022" s="162" t="inlineStr">
        <is>
          <t>CONTROLE PRODUÇÃO POR EMPRESAS!F342</t>
        </is>
      </c>
    </row>
    <row r="2023" ht="28.5" customHeight="1">
      <c r="A2023" s="317" t="n">
        <v>46559</v>
      </c>
      <c r="B2023" t="inlineStr">
        <is>
          <t>GERAL</t>
        </is>
      </c>
      <c r="C2023" t="inlineStr">
        <is>
          <t>CMM</t>
        </is>
      </c>
      <c r="D2023" t="inlineStr">
        <is>
          <t>VIGAS</t>
        </is>
      </c>
      <c r="F2023" s="159">
        <f>IFERROR(INDEX('BASE METAS DIÁRIAS'!$N$2:$S$358,MATCH($A2023,'BASE METAS DIÁRIAS'!$A$2:$A$358,0),MOD(ROW()-2,6)+1),"")</f>
        <v/>
      </c>
      <c r="G2023" s="159">
        <f>IFERROR(IF(WEEKDAY($A2023,2)&lt;=INDEX('BASE METAS DIÁRIAS'!$H$2:$M$358,MATCH($A2023,'BASE METAS DIÁRIAS'!$A$2:$A$358,0),MOD(ROW()-2,6)+1),INDEX('BASE METAS DIÁRIAS'!$B$2:$G$358,MATCH($A2023,'BASE METAS DIÁRIAS'!$A$2:$A$358,0),MOD(ROW()-2,6)+1),""),"")</f>
        <v/>
      </c>
      <c r="H2023" s="159">
        <f>IFERROR(IF(INDEX('CONTROLE PRODUÇÃO POR EMPRESAS'!$B$6:$G$5000,MATCH($A2023,'CONTROLE PRODUÇÃO POR EMPRESAS'!$A$6:$A$5000,0),MOD(ROW()-2,6)+1)="","",IFERROR(1*INDEX('CONTROLE PRODUÇÃO POR EMPRESAS'!$B$6:$G$5000,MATCH($A2023,'CONTROLE PRODUÇÃO POR EMPRESAS'!$A$6:$A$5000,0),MOD(ROW()-2,6)+1),"")),"")</f>
        <v/>
      </c>
      <c r="I2023" s="159">
        <f>IF(OR(NOT(ISNUMBER(G2023)),NOT(ISNUMBER(H2023))),"",H2023-G2023)</f>
        <v/>
      </c>
      <c r="J2023" s="319">
        <f>IF(OR(NOT(ISNUMBER(G2023)),NOT(ISNUMBER(H2023)),G2023=0),"",I2023/G2023)</f>
        <v/>
      </c>
      <c r="K2023" s="319">
        <f>IF(OR(NOT(ISNUMBER(G2023)),NOT(ISNUMBER(H2023)),G2023=0),"",H2023/G2023)</f>
        <v/>
      </c>
      <c r="L2023">
        <f>IF(NOT(ISNUMBER(G2023)),"SEM META",IF(G2023=0,"SEM META",IF(NOT(ISNUMBER(H2023)),"SEM APONTAMENTO",IF(H2023&gt;=G2023,"VERDE",IF(H2023&gt;=G2023*0.9,"AMARELO","VERMELHO")))))</f>
        <v/>
      </c>
      <c r="M2023" s="162" t="n"/>
      <c r="N2023" s="162" t="n"/>
      <c r="O2023" s="162" t="n"/>
      <c r="P2023" s="162" t="n"/>
      <c r="Q2023" s="320" t="n"/>
      <c r="R2023" s="162" t="inlineStr">
        <is>
          <t>CONTROLE PRODUÇÃO POR EMPRESAS!G342</t>
        </is>
      </c>
    </row>
    <row r="2024" ht="28.5" customHeight="1">
      <c r="A2024" s="317" t="n">
        <v>46560</v>
      </c>
      <c r="B2024" t="inlineStr">
        <is>
          <t>GERAL</t>
        </is>
      </c>
      <c r="C2024" t="inlineStr">
        <is>
          <t>EJ</t>
        </is>
      </c>
      <c r="D2024" t="inlineStr">
        <is>
          <t>PREMONTAGEM</t>
        </is>
      </c>
      <c r="F2024" s="159">
        <f>IFERROR(INDEX('BASE METAS DIÁRIAS'!$N$2:$S$358,MATCH($A2024,'BASE METAS DIÁRIAS'!$A$2:$A$358,0),MOD(ROW()-2,6)+1),"")</f>
        <v/>
      </c>
      <c r="G2024" s="159">
        <f>IFERROR(IF(WEEKDAY($A2024,2)&lt;=INDEX('BASE METAS DIÁRIAS'!$H$2:$M$358,MATCH($A2024,'BASE METAS DIÁRIAS'!$A$2:$A$358,0),MOD(ROW()-2,6)+1),INDEX('BASE METAS DIÁRIAS'!$B$2:$G$358,MATCH($A2024,'BASE METAS DIÁRIAS'!$A$2:$A$358,0),MOD(ROW()-2,6)+1),""),"")</f>
        <v/>
      </c>
      <c r="H2024" s="159">
        <f>IFERROR(IF(INDEX('CONTROLE PRODUÇÃO POR EMPRESAS'!$B$6:$G$5000,MATCH($A2024,'CONTROLE PRODUÇÃO POR EMPRESAS'!$A$6:$A$5000,0),MOD(ROW()-2,6)+1)="","",IFERROR(1*INDEX('CONTROLE PRODUÇÃO POR EMPRESAS'!$B$6:$G$5000,MATCH($A2024,'CONTROLE PRODUÇÃO POR EMPRESAS'!$A$6:$A$5000,0),MOD(ROW()-2,6)+1),"")),"")</f>
        <v/>
      </c>
      <c r="I2024" s="159">
        <f>IF(OR(NOT(ISNUMBER(G2024)),NOT(ISNUMBER(H2024))),"",H2024-G2024)</f>
        <v/>
      </c>
      <c r="J2024" s="319">
        <f>IF(OR(NOT(ISNUMBER(G2024)),NOT(ISNUMBER(H2024)),G2024=0),"",I2024/G2024)</f>
        <v/>
      </c>
      <c r="K2024" s="319">
        <f>IF(OR(NOT(ISNUMBER(G2024)),NOT(ISNUMBER(H2024)),G2024=0),"",H2024/G2024)</f>
        <v/>
      </c>
      <c r="L2024">
        <f>IF(NOT(ISNUMBER(G2024)),"SEM META",IF(G2024=0,"SEM META",IF(NOT(ISNUMBER(H2024)),"SEM APONTAMENTO",IF(H2024&gt;=G2024,"VERDE",IF(H2024&gt;=G2024*0.9,"AMARELO","VERMELHO")))))</f>
        <v/>
      </c>
      <c r="M2024" s="162" t="n"/>
      <c r="N2024" s="162" t="n"/>
      <c r="O2024" s="162" t="n"/>
      <c r="P2024" s="162" t="n"/>
      <c r="Q2024" s="320" t="n"/>
      <c r="R2024" s="162" t="inlineStr">
        <is>
          <t>CONTROLE PRODUÇÃO POR EMPRESAS!B343</t>
        </is>
      </c>
    </row>
    <row r="2025" ht="28.5" customHeight="1">
      <c r="A2025" s="317" t="n">
        <v>46560</v>
      </c>
      <c r="B2025" t="inlineStr">
        <is>
          <t>GERAL</t>
        </is>
      </c>
      <c r="C2025" t="inlineStr">
        <is>
          <t>EJ</t>
        </is>
      </c>
      <c r="D2025" t="inlineStr">
        <is>
          <t>IÇAMENTO JOIST</t>
        </is>
      </c>
      <c r="F2025" s="159">
        <f>IFERROR(INDEX('BASE METAS DIÁRIAS'!$N$2:$S$358,MATCH($A2025,'BASE METAS DIÁRIAS'!$A$2:$A$358,0),MOD(ROW()-2,6)+1),"")</f>
        <v/>
      </c>
      <c r="G2025" s="159">
        <f>IFERROR(IF(WEEKDAY($A2025,2)&lt;=INDEX('BASE METAS DIÁRIAS'!$H$2:$M$358,MATCH($A2025,'BASE METAS DIÁRIAS'!$A$2:$A$358,0),MOD(ROW()-2,6)+1),INDEX('BASE METAS DIÁRIAS'!$B$2:$G$358,MATCH($A2025,'BASE METAS DIÁRIAS'!$A$2:$A$358,0),MOD(ROW()-2,6)+1),""),"")</f>
        <v/>
      </c>
      <c r="H2025" s="159">
        <f>IFERROR(IF(INDEX('CONTROLE PRODUÇÃO POR EMPRESAS'!$B$6:$G$5000,MATCH($A2025,'CONTROLE PRODUÇÃO POR EMPRESAS'!$A$6:$A$5000,0),MOD(ROW()-2,6)+1)="","",IFERROR(1*INDEX('CONTROLE PRODUÇÃO POR EMPRESAS'!$B$6:$G$5000,MATCH($A2025,'CONTROLE PRODUÇÃO POR EMPRESAS'!$A$6:$A$5000,0),MOD(ROW()-2,6)+1),"")),"")</f>
        <v/>
      </c>
      <c r="I2025" s="159">
        <f>IF(OR(NOT(ISNUMBER(G2025)),NOT(ISNUMBER(H2025))),"",H2025-G2025)</f>
        <v/>
      </c>
      <c r="J2025" s="319">
        <f>IF(OR(NOT(ISNUMBER(G2025)),NOT(ISNUMBER(H2025)),G2025=0),"",I2025/G2025)</f>
        <v/>
      </c>
      <c r="K2025" s="319">
        <f>IF(OR(NOT(ISNUMBER(G2025)),NOT(ISNUMBER(H2025)),G2025=0),"",H2025/G2025)</f>
        <v/>
      </c>
      <c r="L2025">
        <f>IF(NOT(ISNUMBER(G2025)),"SEM META",IF(G2025=0,"SEM META",IF(NOT(ISNUMBER(H2025)),"SEM APONTAMENTO",IF(H2025&gt;=G2025,"VERDE",IF(H2025&gt;=G2025*0.9,"AMARELO","VERMELHO")))))</f>
        <v/>
      </c>
      <c r="M2025" s="162" t="n"/>
      <c r="N2025" s="162" t="n"/>
      <c r="O2025" s="162" t="n"/>
      <c r="P2025" s="162" t="n"/>
      <c r="Q2025" s="320" t="n"/>
      <c r="R2025" s="162" t="inlineStr">
        <is>
          <t>CONTROLE PRODUÇÃO POR EMPRESAS!C343</t>
        </is>
      </c>
    </row>
    <row r="2026" ht="28.5" customHeight="1">
      <c r="A2026" s="317" t="n">
        <v>46560</v>
      </c>
      <c r="B2026" t="inlineStr">
        <is>
          <t>GERAL</t>
        </is>
      </c>
      <c r="C2026" t="inlineStr">
        <is>
          <t>EJ</t>
        </is>
      </c>
      <c r="D2026" t="inlineStr">
        <is>
          <t>VIGAS</t>
        </is>
      </c>
      <c r="F2026" s="159">
        <f>IFERROR(INDEX('BASE METAS DIÁRIAS'!$N$2:$S$358,MATCH($A2026,'BASE METAS DIÁRIAS'!$A$2:$A$358,0),MOD(ROW()-2,6)+1),"")</f>
        <v/>
      </c>
      <c r="G2026" s="159">
        <f>IFERROR(IF(WEEKDAY($A2026,2)&lt;=INDEX('BASE METAS DIÁRIAS'!$H$2:$M$358,MATCH($A2026,'BASE METAS DIÁRIAS'!$A$2:$A$358,0),MOD(ROW()-2,6)+1),INDEX('BASE METAS DIÁRIAS'!$B$2:$G$358,MATCH($A2026,'BASE METAS DIÁRIAS'!$A$2:$A$358,0),MOD(ROW()-2,6)+1),""),"")</f>
        <v/>
      </c>
      <c r="H2026" s="159">
        <f>IFERROR(IF(INDEX('CONTROLE PRODUÇÃO POR EMPRESAS'!$B$6:$G$5000,MATCH($A2026,'CONTROLE PRODUÇÃO POR EMPRESAS'!$A$6:$A$5000,0),MOD(ROW()-2,6)+1)="","",IFERROR(1*INDEX('CONTROLE PRODUÇÃO POR EMPRESAS'!$B$6:$G$5000,MATCH($A2026,'CONTROLE PRODUÇÃO POR EMPRESAS'!$A$6:$A$5000,0),MOD(ROW()-2,6)+1),"")),"")</f>
        <v/>
      </c>
      <c r="I2026" s="159">
        <f>IF(OR(NOT(ISNUMBER(G2026)),NOT(ISNUMBER(H2026))),"",H2026-G2026)</f>
        <v/>
      </c>
      <c r="J2026" s="319">
        <f>IF(OR(NOT(ISNUMBER(G2026)),NOT(ISNUMBER(H2026)),G2026=0),"",I2026/G2026)</f>
        <v/>
      </c>
      <c r="K2026" s="319">
        <f>IF(OR(NOT(ISNUMBER(G2026)),NOT(ISNUMBER(H2026)),G2026=0),"",H2026/G2026)</f>
        <v/>
      </c>
      <c r="L2026">
        <f>IF(NOT(ISNUMBER(G2026)),"SEM META",IF(G2026=0,"SEM META",IF(NOT(ISNUMBER(H2026)),"SEM APONTAMENTO",IF(H2026&gt;=G2026,"VERDE",IF(H2026&gt;=G2026*0.9,"AMARELO","VERMELHO")))))</f>
        <v/>
      </c>
      <c r="M2026" s="162" t="n"/>
      <c r="N2026" s="162" t="n"/>
      <c r="O2026" s="162" t="n"/>
      <c r="P2026" s="162" t="n"/>
      <c r="Q2026" s="320" t="n"/>
      <c r="R2026" s="162" t="inlineStr">
        <is>
          <t>CONTROLE PRODUÇÃO POR EMPRESAS!D343</t>
        </is>
      </c>
    </row>
    <row r="2027" ht="28.5" customHeight="1">
      <c r="A2027" s="317" t="n">
        <v>46560</v>
      </c>
      <c r="B2027" t="inlineStr">
        <is>
          <t>GERAL</t>
        </is>
      </c>
      <c r="C2027" t="inlineStr">
        <is>
          <t>CMM</t>
        </is>
      </c>
      <c r="D2027" t="inlineStr">
        <is>
          <t>PREMONTAGEM</t>
        </is>
      </c>
      <c r="F2027" s="159">
        <f>IFERROR(INDEX('BASE METAS DIÁRIAS'!$N$2:$S$358,MATCH($A2027,'BASE METAS DIÁRIAS'!$A$2:$A$358,0),MOD(ROW()-2,6)+1),"")</f>
        <v/>
      </c>
      <c r="G2027" s="159">
        <f>IFERROR(IF(WEEKDAY($A2027,2)&lt;=INDEX('BASE METAS DIÁRIAS'!$H$2:$M$358,MATCH($A2027,'BASE METAS DIÁRIAS'!$A$2:$A$358,0),MOD(ROW()-2,6)+1),INDEX('BASE METAS DIÁRIAS'!$B$2:$G$358,MATCH($A2027,'BASE METAS DIÁRIAS'!$A$2:$A$358,0),MOD(ROW()-2,6)+1),""),"")</f>
        <v/>
      </c>
      <c r="H2027" s="159">
        <f>IFERROR(IF(INDEX('CONTROLE PRODUÇÃO POR EMPRESAS'!$B$6:$G$5000,MATCH($A2027,'CONTROLE PRODUÇÃO POR EMPRESAS'!$A$6:$A$5000,0),MOD(ROW()-2,6)+1)="","",IFERROR(1*INDEX('CONTROLE PRODUÇÃO POR EMPRESAS'!$B$6:$G$5000,MATCH($A2027,'CONTROLE PRODUÇÃO POR EMPRESAS'!$A$6:$A$5000,0),MOD(ROW()-2,6)+1),"")),"")</f>
        <v/>
      </c>
      <c r="I2027" s="159">
        <f>IF(OR(NOT(ISNUMBER(G2027)),NOT(ISNUMBER(H2027))),"",H2027-G2027)</f>
        <v/>
      </c>
      <c r="J2027" s="319">
        <f>IF(OR(NOT(ISNUMBER(G2027)),NOT(ISNUMBER(H2027)),G2027=0),"",I2027/G2027)</f>
        <v/>
      </c>
      <c r="K2027" s="319">
        <f>IF(OR(NOT(ISNUMBER(G2027)),NOT(ISNUMBER(H2027)),G2027=0),"",H2027/G2027)</f>
        <v/>
      </c>
      <c r="L2027">
        <f>IF(NOT(ISNUMBER(G2027)),"SEM META",IF(G2027=0,"SEM META",IF(NOT(ISNUMBER(H2027)),"SEM APONTAMENTO",IF(H2027&gt;=G2027,"VERDE",IF(H2027&gt;=G2027*0.9,"AMARELO","VERMELHO")))))</f>
        <v/>
      </c>
      <c r="M2027" s="162" t="n"/>
      <c r="N2027" s="162" t="n"/>
      <c r="O2027" s="162" t="n"/>
      <c r="P2027" s="162" t="n"/>
      <c r="Q2027" s="320" t="n"/>
      <c r="R2027" s="162" t="inlineStr">
        <is>
          <t>CONTROLE PRODUÇÃO POR EMPRESAS!E343</t>
        </is>
      </c>
    </row>
    <row r="2028" ht="28.5" customHeight="1">
      <c r="A2028" s="317" t="n">
        <v>46560</v>
      </c>
      <c r="B2028" t="inlineStr">
        <is>
          <t>GERAL</t>
        </is>
      </c>
      <c r="C2028" t="inlineStr">
        <is>
          <t>CMM</t>
        </is>
      </c>
      <c r="D2028" t="inlineStr">
        <is>
          <t>IÇAMENTO JOIST</t>
        </is>
      </c>
      <c r="F2028" s="159">
        <f>IFERROR(INDEX('BASE METAS DIÁRIAS'!$N$2:$S$358,MATCH($A2028,'BASE METAS DIÁRIAS'!$A$2:$A$358,0),MOD(ROW()-2,6)+1),"")</f>
        <v/>
      </c>
      <c r="G2028" s="159">
        <f>IFERROR(IF(WEEKDAY($A2028,2)&lt;=INDEX('BASE METAS DIÁRIAS'!$H$2:$M$358,MATCH($A2028,'BASE METAS DIÁRIAS'!$A$2:$A$358,0),MOD(ROW()-2,6)+1),INDEX('BASE METAS DIÁRIAS'!$B$2:$G$358,MATCH($A2028,'BASE METAS DIÁRIAS'!$A$2:$A$358,0),MOD(ROW()-2,6)+1),""),"")</f>
        <v/>
      </c>
      <c r="H2028" s="159">
        <f>IFERROR(IF(INDEX('CONTROLE PRODUÇÃO POR EMPRESAS'!$B$6:$G$5000,MATCH($A2028,'CONTROLE PRODUÇÃO POR EMPRESAS'!$A$6:$A$5000,0),MOD(ROW()-2,6)+1)="","",IFERROR(1*INDEX('CONTROLE PRODUÇÃO POR EMPRESAS'!$B$6:$G$5000,MATCH($A2028,'CONTROLE PRODUÇÃO POR EMPRESAS'!$A$6:$A$5000,0),MOD(ROW()-2,6)+1),"")),"")</f>
        <v/>
      </c>
      <c r="I2028" s="159">
        <f>IF(OR(NOT(ISNUMBER(G2028)),NOT(ISNUMBER(H2028))),"",H2028-G2028)</f>
        <v/>
      </c>
      <c r="J2028" s="319">
        <f>IF(OR(NOT(ISNUMBER(G2028)),NOT(ISNUMBER(H2028)),G2028=0),"",I2028/G2028)</f>
        <v/>
      </c>
      <c r="K2028" s="319">
        <f>IF(OR(NOT(ISNUMBER(G2028)),NOT(ISNUMBER(H2028)),G2028=0),"",H2028/G2028)</f>
        <v/>
      </c>
      <c r="L2028">
        <f>IF(NOT(ISNUMBER(G2028)),"SEM META",IF(G2028=0,"SEM META",IF(NOT(ISNUMBER(H2028)),"SEM APONTAMENTO",IF(H2028&gt;=G2028,"VERDE",IF(H2028&gt;=G2028*0.9,"AMARELO","VERMELHO")))))</f>
        <v/>
      </c>
      <c r="M2028" s="162" t="n"/>
      <c r="N2028" s="162" t="n"/>
      <c r="O2028" s="162" t="n"/>
      <c r="P2028" s="162" t="n"/>
      <c r="Q2028" s="320" t="n"/>
      <c r="R2028" s="162" t="inlineStr">
        <is>
          <t>CONTROLE PRODUÇÃO POR EMPRESAS!F343</t>
        </is>
      </c>
    </row>
    <row r="2029" ht="28.5" customHeight="1">
      <c r="A2029" s="317" t="n">
        <v>46560</v>
      </c>
      <c r="B2029" t="inlineStr">
        <is>
          <t>GERAL</t>
        </is>
      </c>
      <c r="C2029" t="inlineStr">
        <is>
          <t>CMM</t>
        </is>
      </c>
      <c r="D2029" t="inlineStr">
        <is>
          <t>VIGAS</t>
        </is>
      </c>
      <c r="F2029" s="159">
        <f>IFERROR(INDEX('BASE METAS DIÁRIAS'!$N$2:$S$358,MATCH($A2029,'BASE METAS DIÁRIAS'!$A$2:$A$358,0),MOD(ROW()-2,6)+1),"")</f>
        <v/>
      </c>
      <c r="G2029" s="159">
        <f>IFERROR(IF(WEEKDAY($A2029,2)&lt;=INDEX('BASE METAS DIÁRIAS'!$H$2:$M$358,MATCH($A2029,'BASE METAS DIÁRIAS'!$A$2:$A$358,0),MOD(ROW()-2,6)+1),INDEX('BASE METAS DIÁRIAS'!$B$2:$G$358,MATCH($A2029,'BASE METAS DIÁRIAS'!$A$2:$A$358,0),MOD(ROW()-2,6)+1),""),"")</f>
        <v/>
      </c>
      <c r="H2029" s="159">
        <f>IFERROR(IF(INDEX('CONTROLE PRODUÇÃO POR EMPRESAS'!$B$6:$G$5000,MATCH($A2029,'CONTROLE PRODUÇÃO POR EMPRESAS'!$A$6:$A$5000,0),MOD(ROW()-2,6)+1)="","",IFERROR(1*INDEX('CONTROLE PRODUÇÃO POR EMPRESAS'!$B$6:$G$5000,MATCH($A2029,'CONTROLE PRODUÇÃO POR EMPRESAS'!$A$6:$A$5000,0),MOD(ROW()-2,6)+1),"")),"")</f>
        <v/>
      </c>
      <c r="I2029" s="159">
        <f>IF(OR(NOT(ISNUMBER(G2029)),NOT(ISNUMBER(H2029))),"",H2029-G2029)</f>
        <v/>
      </c>
      <c r="J2029" s="319">
        <f>IF(OR(NOT(ISNUMBER(G2029)),NOT(ISNUMBER(H2029)),G2029=0),"",I2029/G2029)</f>
        <v/>
      </c>
      <c r="K2029" s="319">
        <f>IF(OR(NOT(ISNUMBER(G2029)),NOT(ISNUMBER(H2029)),G2029=0),"",H2029/G2029)</f>
        <v/>
      </c>
      <c r="L2029">
        <f>IF(NOT(ISNUMBER(G2029)),"SEM META",IF(G2029=0,"SEM META",IF(NOT(ISNUMBER(H2029)),"SEM APONTAMENTO",IF(H2029&gt;=G2029,"VERDE",IF(H2029&gt;=G2029*0.9,"AMARELO","VERMELHO")))))</f>
        <v/>
      </c>
      <c r="M2029" s="162" t="n"/>
      <c r="N2029" s="162" t="n"/>
      <c r="O2029" s="162" t="n"/>
      <c r="P2029" s="162" t="n"/>
      <c r="Q2029" s="320" t="n"/>
      <c r="R2029" s="162" t="inlineStr">
        <is>
          <t>CONTROLE PRODUÇÃO POR EMPRESAS!G343</t>
        </is>
      </c>
    </row>
    <row r="2030" ht="28.5" customHeight="1">
      <c r="A2030" s="317" t="n">
        <v>46561</v>
      </c>
      <c r="B2030" t="inlineStr">
        <is>
          <t>GERAL</t>
        </is>
      </c>
      <c r="C2030" t="inlineStr">
        <is>
          <t>EJ</t>
        </is>
      </c>
      <c r="D2030" t="inlineStr">
        <is>
          <t>PREMONTAGEM</t>
        </is>
      </c>
      <c r="F2030" s="159">
        <f>IFERROR(INDEX('BASE METAS DIÁRIAS'!$N$2:$S$358,MATCH($A2030,'BASE METAS DIÁRIAS'!$A$2:$A$358,0),MOD(ROW()-2,6)+1),"")</f>
        <v/>
      </c>
      <c r="G2030" s="159">
        <f>IFERROR(IF(WEEKDAY($A2030,2)&lt;=INDEX('BASE METAS DIÁRIAS'!$H$2:$M$358,MATCH($A2030,'BASE METAS DIÁRIAS'!$A$2:$A$358,0),MOD(ROW()-2,6)+1),INDEX('BASE METAS DIÁRIAS'!$B$2:$G$358,MATCH($A2030,'BASE METAS DIÁRIAS'!$A$2:$A$358,0),MOD(ROW()-2,6)+1),""),"")</f>
        <v/>
      </c>
      <c r="H2030" s="159">
        <f>IFERROR(IF(INDEX('CONTROLE PRODUÇÃO POR EMPRESAS'!$B$6:$G$5000,MATCH($A2030,'CONTROLE PRODUÇÃO POR EMPRESAS'!$A$6:$A$5000,0),MOD(ROW()-2,6)+1)="","",IFERROR(1*INDEX('CONTROLE PRODUÇÃO POR EMPRESAS'!$B$6:$G$5000,MATCH($A2030,'CONTROLE PRODUÇÃO POR EMPRESAS'!$A$6:$A$5000,0),MOD(ROW()-2,6)+1),"")),"")</f>
        <v/>
      </c>
      <c r="I2030" s="159">
        <f>IF(OR(NOT(ISNUMBER(G2030)),NOT(ISNUMBER(H2030))),"",H2030-G2030)</f>
        <v/>
      </c>
      <c r="J2030" s="319">
        <f>IF(OR(NOT(ISNUMBER(G2030)),NOT(ISNUMBER(H2030)),G2030=0),"",I2030/G2030)</f>
        <v/>
      </c>
      <c r="K2030" s="319">
        <f>IF(OR(NOT(ISNUMBER(G2030)),NOT(ISNUMBER(H2030)),G2030=0),"",H2030/G2030)</f>
        <v/>
      </c>
      <c r="L2030">
        <f>IF(NOT(ISNUMBER(G2030)),"SEM META",IF(G2030=0,"SEM META",IF(NOT(ISNUMBER(H2030)),"SEM APONTAMENTO",IF(H2030&gt;=G2030,"VERDE",IF(H2030&gt;=G2030*0.9,"AMARELO","VERMELHO")))))</f>
        <v/>
      </c>
      <c r="M2030" s="162" t="n"/>
      <c r="N2030" s="162" t="n"/>
      <c r="O2030" s="162" t="n"/>
      <c r="P2030" s="162" t="n"/>
      <c r="Q2030" s="320" t="n"/>
      <c r="R2030" s="162" t="inlineStr">
        <is>
          <t>CONTROLE PRODUÇÃO POR EMPRESAS!B344</t>
        </is>
      </c>
    </row>
    <row r="2031" ht="28.5" customHeight="1">
      <c r="A2031" s="317" t="n">
        <v>46561</v>
      </c>
      <c r="B2031" t="inlineStr">
        <is>
          <t>GERAL</t>
        </is>
      </c>
      <c r="C2031" t="inlineStr">
        <is>
          <t>EJ</t>
        </is>
      </c>
      <c r="D2031" t="inlineStr">
        <is>
          <t>IÇAMENTO JOIST</t>
        </is>
      </c>
      <c r="F2031" s="159">
        <f>IFERROR(INDEX('BASE METAS DIÁRIAS'!$N$2:$S$358,MATCH($A2031,'BASE METAS DIÁRIAS'!$A$2:$A$358,0),MOD(ROW()-2,6)+1),"")</f>
        <v/>
      </c>
      <c r="G2031" s="159">
        <f>IFERROR(IF(WEEKDAY($A2031,2)&lt;=INDEX('BASE METAS DIÁRIAS'!$H$2:$M$358,MATCH($A2031,'BASE METAS DIÁRIAS'!$A$2:$A$358,0),MOD(ROW()-2,6)+1),INDEX('BASE METAS DIÁRIAS'!$B$2:$G$358,MATCH($A2031,'BASE METAS DIÁRIAS'!$A$2:$A$358,0),MOD(ROW()-2,6)+1),""),"")</f>
        <v/>
      </c>
      <c r="H2031" s="159">
        <f>IFERROR(IF(INDEX('CONTROLE PRODUÇÃO POR EMPRESAS'!$B$6:$G$5000,MATCH($A2031,'CONTROLE PRODUÇÃO POR EMPRESAS'!$A$6:$A$5000,0),MOD(ROW()-2,6)+1)="","",IFERROR(1*INDEX('CONTROLE PRODUÇÃO POR EMPRESAS'!$B$6:$G$5000,MATCH($A2031,'CONTROLE PRODUÇÃO POR EMPRESAS'!$A$6:$A$5000,0),MOD(ROW()-2,6)+1),"")),"")</f>
        <v/>
      </c>
      <c r="I2031" s="159">
        <f>IF(OR(NOT(ISNUMBER(G2031)),NOT(ISNUMBER(H2031))),"",H2031-G2031)</f>
        <v/>
      </c>
      <c r="J2031" s="319">
        <f>IF(OR(NOT(ISNUMBER(G2031)),NOT(ISNUMBER(H2031)),G2031=0),"",I2031/G2031)</f>
        <v/>
      </c>
      <c r="K2031" s="319">
        <f>IF(OR(NOT(ISNUMBER(G2031)),NOT(ISNUMBER(H2031)),G2031=0),"",H2031/G2031)</f>
        <v/>
      </c>
      <c r="L2031">
        <f>IF(NOT(ISNUMBER(G2031)),"SEM META",IF(G2031=0,"SEM META",IF(NOT(ISNUMBER(H2031)),"SEM APONTAMENTO",IF(H2031&gt;=G2031,"VERDE",IF(H2031&gt;=G2031*0.9,"AMARELO","VERMELHO")))))</f>
        <v/>
      </c>
      <c r="M2031" s="162" t="n"/>
      <c r="N2031" s="162" t="n"/>
      <c r="O2031" s="162" t="n"/>
      <c r="P2031" s="162" t="n"/>
      <c r="Q2031" s="320" t="n"/>
      <c r="R2031" s="162" t="inlineStr">
        <is>
          <t>CONTROLE PRODUÇÃO POR EMPRESAS!C344</t>
        </is>
      </c>
    </row>
    <row r="2032" ht="28.5" customHeight="1">
      <c r="A2032" s="317" t="n">
        <v>46561</v>
      </c>
      <c r="B2032" t="inlineStr">
        <is>
          <t>GERAL</t>
        </is>
      </c>
      <c r="C2032" t="inlineStr">
        <is>
          <t>EJ</t>
        </is>
      </c>
      <c r="D2032" t="inlineStr">
        <is>
          <t>VIGAS</t>
        </is>
      </c>
      <c r="F2032" s="159">
        <f>IFERROR(INDEX('BASE METAS DIÁRIAS'!$N$2:$S$358,MATCH($A2032,'BASE METAS DIÁRIAS'!$A$2:$A$358,0),MOD(ROW()-2,6)+1),"")</f>
        <v/>
      </c>
      <c r="G2032" s="159">
        <f>IFERROR(IF(WEEKDAY($A2032,2)&lt;=INDEX('BASE METAS DIÁRIAS'!$H$2:$M$358,MATCH($A2032,'BASE METAS DIÁRIAS'!$A$2:$A$358,0),MOD(ROW()-2,6)+1),INDEX('BASE METAS DIÁRIAS'!$B$2:$G$358,MATCH($A2032,'BASE METAS DIÁRIAS'!$A$2:$A$358,0),MOD(ROW()-2,6)+1),""),"")</f>
        <v/>
      </c>
      <c r="H2032" s="159">
        <f>IFERROR(IF(INDEX('CONTROLE PRODUÇÃO POR EMPRESAS'!$B$6:$G$5000,MATCH($A2032,'CONTROLE PRODUÇÃO POR EMPRESAS'!$A$6:$A$5000,0),MOD(ROW()-2,6)+1)="","",IFERROR(1*INDEX('CONTROLE PRODUÇÃO POR EMPRESAS'!$B$6:$G$5000,MATCH($A2032,'CONTROLE PRODUÇÃO POR EMPRESAS'!$A$6:$A$5000,0),MOD(ROW()-2,6)+1),"")),"")</f>
        <v/>
      </c>
      <c r="I2032" s="159">
        <f>IF(OR(NOT(ISNUMBER(G2032)),NOT(ISNUMBER(H2032))),"",H2032-G2032)</f>
        <v/>
      </c>
      <c r="J2032" s="319">
        <f>IF(OR(NOT(ISNUMBER(G2032)),NOT(ISNUMBER(H2032)),G2032=0),"",I2032/G2032)</f>
        <v/>
      </c>
      <c r="K2032" s="319">
        <f>IF(OR(NOT(ISNUMBER(G2032)),NOT(ISNUMBER(H2032)),G2032=0),"",H2032/G2032)</f>
        <v/>
      </c>
      <c r="L2032">
        <f>IF(NOT(ISNUMBER(G2032)),"SEM META",IF(G2032=0,"SEM META",IF(NOT(ISNUMBER(H2032)),"SEM APONTAMENTO",IF(H2032&gt;=G2032,"VERDE",IF(H2032&gt;=G2032*0.9,"AMARELO","VERMELHO")))))</f>
        <v/>
      </c>
      <c r="M2032" s="162" t="n"/>
      <c r="N2032" s="162" t="n"/>
      <c r="O2032" s="162" t="n"/>
      <c r="P2032" s="162" t="n"/>
      <c r="Q2032" s="320" t="n"/>
      <c r="R2032" s="162" t="inlineStr">
        <is>
          <t>CONTROLE PRODUÇÃO POR EMPRESAS!D344</t>
        </is>
      </c>
    </row>
    <row r="2033" ht="28.5" customHeight="1">
      <c r="A2033" s="317" t="n">
        <v>46561</v>
      </c>
      <c r="B2033" t="inlineStr">
        <is>
          <t>GERAL</t>
        </is>
      </c>
      <c r="C2033" t="inlineStr">
        <is>
          <t>CMM</t>
        </is>
      </c>
      <c r="D2033" t="inlineStr">
        <is>
          <t>PREMONTAGEM</t>
        </is>
      </c>
      <c r="F2033" s="159">
        <f>IFERROR(INDEX('BASE METAS DIÁRIAS'!$N$2:$S$358,MATCH($A2033,'BASE METAS DIÁRIAS'!$A$2:$A$358,0),MOD(ROW()-2,6)+1),"")</f>
        <v/>
      </c>
      <c r="G2033" s="159">
        <f>IFERROR(IF(WEEKDAY($A2033,2)&lt;=INDEX('BASE METAS DIÁRIAS'!$H$2:$M$358,MATCH($A2033,'BASE METAS DIÁRIAS'!$A$2:$A$358,0),MOD(ROW()-2,6)+1),INDEX('BASE METAS DIÁRIAS'!$B$2:$G$358,MATCH($A2033,'BASE METAS DIÁRIAS'!$A$2:$A$358,0),MOD(ROW()-2,6)+1),""),"")</f>
        <v/>
      </c>
      <c r="H2033" s="159">
        <f>IFERROR(IF(INDEX('CONTROLE PRODUÇÃO POR EMPRESAS'!$B$6:$G$5000,MATCH($A2033,'CONTROLE PRODUÇÃO POR EMPRESAS'!$A$6:$A$5000,0),MOD(ROW()-2,6)+1)="","",IFERROR(1*INDEX('CONTROLE PRODUÇÃO POR EMPRESAS'!$B$6:$G$5000,MATCH($A2033,'CONTROLE PRODUÇÃO POR EMPRESAS'!$A$6:$A$5000,0),MOD(ROW()-2,6)+1),"")),"")</f>
        <v/>
      </c>
      <c r="I2033" s="159">
        <f>IF(OR(NOT(ISNUMBER(G2033)),NOT(ISNUMBER(H2033))),"",H2033-G2033)</f>
        <v/>
      </c>
      <c r="J2033" s="319">
        <f>IF(OR(NOT(ISNUMBER(G2033)),NOT(ISNUMBER(H2033)),G2033=0),"",I2033/G2033)</f>
        <v/>
      </c>
      <c r="K2033" s="319">
        <f>IF(OR(NOT(ISNUMBER(G2033)),NOT(ISNUMBER(H2033)),G2033=0),"",H2033/G2033)</f>
        <v/>
      </c>
      <c r="L2033">
        <f>IF(NOT(ISNUMBER(G2033)),"SEM META",IF(G2033=0,"SEM META",IF(NOT(ISNUMBER(H2033)),"SEM APONTAMENTO",IF(H2033&gt;=G2033,"VERDE",IF(H2033&gt;=G2033*0.9,"AMARELO","VERMELHO")))))</f>
        <v/>
      </c>
      <c r="M2033" s="162" t="n"/>
      <c r="N2033" s="162" t="n"/>
      <c r="O2033" s="162" t="n"/>
      <c r="P2033" s="162" t="n"/>
      <c r="Q2033" s="320" t="n"/>
      <c r="R2033" s="162" t="inlineStr">
        <is>
          <t>CONTROLE PRODUÇÃO POR EMPRESAS!E344</t>
        </is>
      </c>
    </row>
    <row r="2034" ht="28.5" customHeight="1">
      <c r="A2034" s="317" t="n">
        <v>46561</v>
      </c>
      <c r="B2034" t="inlineStr">
        <is>
          <t>GERAL</t>
        </is>
      </c>
      <c r="C2034" t="inlineStr">
        <is>
          <t>CMM</t>
        </is>
      </c>
      <c r="D2034" t="inlineStr">
        <is>
          <t>IÇAMENTO JOIST</t>
        </is>
      </c>
      <c r="F2034" s="159">
        <f>IFERROR(INDEX('BASE METAS DIÁRIAS'!$N$2:$S$358,MATCH($A2034,'BASE METAS DIÁRIAS'!$A$2:$A$358,0),MOD(ROW()-2,6)+1),"")</f>
        <v/>
      </c>
      <c r="G2034" s="159">
        <f>IFERROR(IF(WEEKDAY($A2034,2)&lt;=INDEX('BASE METAS DIÁRIAS'!$H$2:$M$358,MATCH($A2034,'BASE METAS DIÁRIAS'!$A$2:$A$358,0),MOD(ROW()-2,6)+1),INDEX('BASE METAS DIÁRIAS'!$B$2:$G$358,MATCH($A2034,'BASE METAS DIÁRIAS'!$A$2:$A$358,0),MOD(ROW()-2,6)+1),""),"")</f>
        <v/>
      </c>
      <c r="H2034" s="159">
        <f>IFERROR(IF(INDEX('CONTROLE PRODUÇÃO POR EMPRESAS'!$B$6:$G$5000,MATCH($A2034,'CONTROLE PRODUÇÃO POR EMPRESAS'!$A$6:$A$5000,0),MOD(ROW()-2,6)+1)="","",IFERROR(1*INDEX('CONTROLE PRODUÇÃO POR EMPRESAS'!$B$6:$G$5000,MATCH($A2034,'CONTROLE PRODUÇÃO POR EMPRESAS'!$A$6:$A$5000,0),MOD(ROW()-2,6)+1),"")),"")</f>
        <v/>
      </c>
      <c r="I2034" s="159">
        <f>IF(OR(NOT(ISNUMBER(G2034)),NOT(ISNUMBER(H2034))),"",H2034-G2034)</f>
        <v/>
      </c>
      <c r="J2034" s="319">
        <f>IF(OR(NOT(ISNUMBER(G2034)),NOT(ISNUMBER(H2034)),G2034=0),"",I2034/G2034)</f>
        <v/>
      </c>
      <c r="K2034" s="319">
        <f>IF(OR(NOT(ISNUMBER(G2034)),NOT(ISNUMBER(H2034)),G2034=0),"",H2034/G2034)</f>
        <v/>
      </c>
      <c r="L2034">
        <f>IF(NOT(ISNUMBER(G2034)),"SEM META",IF(G2034=0,"SEM META",IF(NOT(ISNUMBER(H2034)),"SEM APONTAMENTO",IF(H2034&gt;=G2034,"VERDE",IF(H2034&gt;=G2034*0.9,"AMARELO","VERMELHO")))))</f>
        <v/>
      </c>
      <c r="M2034" s="162" t="n"/>
      <c r="N2034" s="162" t="n"/>
      <c r="O2034" s="162" t="n"/>
      <c r="P2034" s="162" t="n"/>
      <c r="Q2034" s="320" t="n"/>
      <c r="R2034" s="162" t="inlineStr">
        <is>
          <t>CONTROLE PRODUÇÃO POR EMPRESAS!F344</t>
        </is>
      </c>
    </row>
    <row r="2035" ht="28.5" customHeight="1">
      <c r="A2035" s="317" t="n">
        <v>46561</v>
      </c>
      <c r="B2035" t="inlineStr">
        <is>
          <t>GERAL</t>
        </is>
      </c>
      <c r="C2035" t="inlineStr">
        <is>
          <t>CMM</t>
        </is>
      </c>
      <c r="D2035" t="inlineStr">
        <is>
          <t>VIGAS</t>
        </is>
      </c>
      <c r="F2035" s="159">
        <f>IFERROR(INDEX('BASE METAS DIÁRIAS'!$N$2:$S$358,MATCH($A2035,'BASE METAS DIÁRIAS'!$A$2:$A$358,0),MOD(ROW()-2,6)+1),"")</f>
        <v/>
      </c>
      <c r="G2035" s="159">
        <f>IFERROR(IF(WEEKDAY($A2035,2)&lt;=INDEX('BASE METAS DIÁRIAS'!$H$2:$M$358,MATCH($A2035,'BASE METAS DIÁRIAS'!$A$2:$A$358,0),MOD(ROW()-2,6)+1),INDEX('BASE METAS DIÁRIAS'!$B$2:$G$358,MATCH($A2035,'BASE METAS DIÁRIAS'!$A$2:$A$358,0),MOD(ROW()-2,6)+1),""),"")</f>
        <v/>
      </c>
      <c r="H2035" s="159">
        <f>IFERROR(IF(INDEX('CONTROLE PRODUÇÃO POR EMPRESAS'!$B$6:$G$5000,MATCH($A2035,'CONTROLE PRODUÇÃO POR EMPRESAS'!$A$6:$A$5000,0),MOD(ROW()-2,6)+1)="","",IFERROR(1*INDEX('CONTROLE PRODUÇÃO POR EMPRESAS'!$B$6:$G$5000,MATCH($A2035,'CONTROLE PRODUÇÃO POR EMPRESAS'!$A$6:$A$5000,0),MOD(ROW()-2,6)+1),"")),"")</f>
        <v/>
      </c>
      <c r="I2035" s="159">
        <f>IF(OR(NOT(ISNUMBER(G2035)),NOT(ISNUMBER(H2035))),"",H2035-G2035)</f>
        <v/>
      </c>
      <c r="J2035" s="319">
        <f>IF(OR(NOT(ISNUMBER(G2035)),NOT(ISNUMBER(H2035)),G2035=0),"",I2035/G2035)</f>
        <v/>
      </c>
      <c r="K2035" s="319">
        <f>IF(OR(NOT(ISNUMBER(G2035)),NOT(ISNUMBER(H2035)),G2035=0),"",H2035/G2035)</f>
        <v/>
      </c>
      <c r="L2035">
        <f>IF(NOT(ISNUMBER(G2035)),"SEM META",IF(G2035=0,"SEM META",IF(NOT(ISNUMBER(H2035)),"SEM APONTAMENTO",IF(H2035&gt;=G2035,"VERDE",IF(H2035&gt;=G2035*0.9,"AMARELO","VERMELHO")))))</f>
        <v/>
      </c>
      <c r="M2035" s="162" t="n"/>
      <c r="N2035" s="162" t="n"/>
      <c r="O2035" s="162" t="n"/>
      <c r="P2035" s="162" t="n"/>
      <c r="Q2035" s="320" t="n"/>
      <c r="R2035" s="162" t="inlineStr">
        <is>
          <t>CONTROLE PRODUÇÃO POR EMPRESAS!G344</t>
        </is>
      </c>
    </row>
    <row r="2036" ht="28.5" customHeight="1">
      <c r="A2036" s="317" t="n">
        <v>46562</v>
      </c>
      <c r="B2036" t="inlineStr">
        <is>
          <t>GERAL</t>
        </is>
      </c>
      <c r="C2036" t="inlineStr">
        <is>
          <t>EJ</t>
        </is>
      </c>
      <c r="D2036" t="inlineStr">
        <is>
          <t>PREMONTAGEM</t>
        </is>
      </c>
      <c r="F2036" s="159">
        <f>IFERROR(INDEX('BASE METAS DIÁRIAS'!$N$2:$S$358,MATCH($A2036,'BASE METAS DIÁRIAS'!$A$2:$A$358,0),MOD(ROW()-2,6)+1),"")</f>
        <v/>
      </c>
      <c r="G2036" s="159">
        <f>IFERROR(IF(WEEKDAY($A2036,2)&lt;=INDEX('BASE METAS DIÁRIAS'!$H$2:$M$358,MATCH($A2036,'BASE METAS DIÁRIAS'!$A$2:$A$358,0),MOD(ROW()-2,6)+1),INDEX('BASE METAS DIÁRIAS'!$B$2:$G$358,MATCH($A2036,'BASE METAS DIÁRIAS'!$A$2:$A$358,0),MOD(ROW()-2,6)+1),""),"")</f>
        <v/>
      </c>
      <c r="H2036" s="159">
        <f>IFERROR(IF(INDEX('CONTROLE PRODUÇÃO POR EMPRESAS'!$B$6:$G$5000,MATCH($A2036,'CONTROLE PRODUÇÃO POR EMPRESAS'!$A$6:$A$5000,0),MOD(ROW()-2,6)+1)="","",IFERROR(1*INDEX('CONTROLE PRODUÇÃO POR EMPRESAS'!$B$6:$G$5000,MATCH($A2036,'CONTROLE PRODUÇÃO POR EMPRESAS'!$A$6:$A$5000,0),MOD(ROW()-2,6)+1),"")),"")</f>
        <v/>
      </c>
      <c r="I2036" s="159">
        <f>IF(OR(NOT(ISNUMBER(G2036)),NOT(ISNUMBER(H2036))),"",H2036-G2036)</f>
        <v/>
      </c>
      <c r="J2036" s="319">
        <f>IF(OR(NOT(ISNUMBER(G2036)),NOT(ISNUMBER(H2036)),G2036=0),"",I2036/G2036)</f>
        <v/>
      </c>
      <c r="K2036" s="319">
        <f>IF(OR(NOT(ISNUMBER(G2036)),NOT(ISNUMBER(H2036)),G2036=0),"",H2036/G2036)</f>
        <v/>
      </c>
      <c r="L2036">
        <f>IF(NOT(ISNUMBER(G2036)),"SEM META",IF(G2036=0,"SEM META",IF(NOT(ISNUMBER(H2036)),"SEM APONTAMENTO",IF(H2036&gt;=G2036,"VERDE",IF(H2036&gt;=G2036*0.9,"AMARELO","VERMELHO")))))</f>
        <v/>
      </c>
      <c r="M2036" s="162" t="n"/>
      <c r="N2036" s="162" t="n"/>
      <c r="O2036" s="162" t="n"/>
      <c r="P2036" s="162" t="n"/>
      <c r="Q2036" s="320" t="n"/>
      <c r="R2036" s="162" t="inlineStr">
        <is>
          <t>CONTROLE PRODUÇÃO POR EMPRESAS!B345</t>
        </is>
      </c>
    </row>
    <row r="2037" ht="28.5" customHeight="1">
      <c r="A2037" s="317" t="n">
        <v>46562</v>
      </c>
      <c r="B2037" t="inlineStr">
        <is>
          <t>GERAL</t>
        </is>
      </c>
      <c r="C2037" t="inlineStr">
        <is>
          <t>EJ</t>
        </is>
      </c>
      <c r="D2037" t="inlineStr">
        <is>
          <t>IÇAMENTO JOIST</t>
        </is>
      </c>
      <c r="F2037" s="159">
        <f>IFERROR(INDEX('BASE METAS DIÁRIAS'!$N$2:$S$358,MATCH($A2037,'BASE METAS DIÁRIAS'!$A$2:$A$358,0),MOD(ROW()-2,6)+1),"")</f>
        <v/>
      </c>
      <c r="G2037" s="159">
        <f>IFERROR(IF(WEEKDAY($A2037,2)&lt;=INDEX('BASE METAS DIÁRIAS'!$H$2:$M$358,MATCH($A2037,'BASE METAS DIÁRIAS'!$A$2:$A$358,0),MOD(ROW()-2,6)+1),INDEX('BASE METAS DIÁRIAS'!$B$2:$G$358,MATCH($A2037,'BASE METAS DIÁRIAS'!$A$2:$A$358,0),MOD(ROW()-2,6)+1),""),"")</f>
        <v/>
      </c>
      <c r="H2037" s="159">
        <f>IFERROR(IF(INDEX('CONTROLE PRODUÇÃO POR EMPRESAS'!$B$6:$G$5000,MATCH($A2037,'CONTROLE PRODUÇÃO POR EMPRESAS'!$A$6:$A$5000,0),MOD(ROW()-2,6)+1)="","",IFERROR(1*INDEX('CONTROLE PRODUÇÃO POR EMPRESAS'!$B$6:$G$5000,MATCH($A2037,'CONTROLE PRODUÇÃO POR EMPRESAS'!$A$6:$A$5000,0),MOD(ROW()-2,6)+1),"")),"")</f>
        <v/>
      </c>
      <c r="I2037" s="159">
        <f>IF(OR(NOT(ISNUMBER(G2037)),NOT(ISNUMBER(H2037))),"",H2037-G2037)</f>
        <v/>
      </c>
      <c r="J2037" s="319">
        <f>IF(OR(NOT(ISNUMBER(G2037)),NOT(ISNUMBER(H2037)),G2037=0),"",I2037/G2037)</f>
        <v/>
      </c>
      <c r="K2037" s="319">
        <f>IF(OR(NOT(ISNUMBER(G2037)),NOT(ISNUMBER(H2037)),G2037=0),"",H2037/G2037)</f>
        <v/>
      </c>
      <c r="L2037">
        <f>IF(NOT(ISNUMBER(G2037)),"SEM META",IF(G2037=0,"SEM META",IF(NOT(ISNUMBER(H2037)),"SEM APONTAMENTO",IF(H2037&gt;=G2037,"VERDE",IF(H2037&gt;=G2037*0.9,"AMARELO","VERMELHO")))))</f>
        <v/>
      </c>
      <c r="M2037" s="162" t="n"/>
      <c r="N2037" s="162" t="n"/>
      <c r="O2037" s="162" t="n"/>
      <c r="P2037" s="162" t="n"/>
      <c r="Q2037" s="320" t="n"/>
      <c r="R2037" s="162" t="inlineStr">
        <is>
          <t>CONTROLE PRODUÇÃO POR EMPRESAS!C345</t>
        </is>
      </c>
    </row>
    <row r="2038" ht="28.5" customHeight="1">
      <c r="A2038" s="317" t="n">
        <v>46562</v>
      </c>
      <c r="B2038" t="inlineStr">
        <is>
          <t>GERAL</t>
        </is>
      </c>
      <c r="C2038" t="inlineStr">
        <is>
          <t>EJ</t>
        </is>
      </c>
      <c r="D2038" t="inlineStr">
        <is>
          <t>VIGAS</t>
        </is>
      </c>
      <c r="F2038" s="159">
        <f>IFERROR(INDEX('BASE METAS DIÁRIAS'!$N$2:$S$358,MATCH($A2038,'BASE METAS DIÁRIAS'!$A$2:$A$358,0),MOD(ROW()-2,6)+1),"")</f>
        <v/>
      </c>
      <c r="G2038" s="159">
        <f>IFERROR(IF(WEEKDAY($A2038,2)&lt;=INDEX('BASE METAS DIÁRIAS'!$H$2:$M$358,MATCH($A2038,'BASE METAS DIÁRIAS'!$A$2:$A$358,0),MOD(ROW()-2,6)+1),INDEX('BASE METAS DIÁRIAS'!$B$2:$G$358,MATCH($A2038,'BASE METAS DIÁRIAS'!$A$2:$A$358,0),MOD(ROW()-2,6)+1),""),"")</f>
        <v/>
      </c>
      <c r="H2038" s="159">
        <f>IFERROR(IF(INDEX('CONTROLE PRODUÇÃO POR EMPRESAS'!$B$6:$G$5000,MATCH($A2038,'CONTROLE PRODUÇÃO POR EMPRESAS'!$A$6:$A$5000,0),MOD(ROW()-2,6)+1)="","",IFERROR(1*INDEX('CONTROLE PRODUÇÃO POR EMPRESAS'!$B$6:$G$5000,MATCH($A2038,'CONTROLE PRODUÇÃO POR EMPRESAS'!$A$6:$A$5000,0),MOD(ROW()-2,6)+1),"")),"")</f>
        <v/>
      </c>
      <c r="I2038" s="159">
        <f>IF(OR(NOT(ISNUMBER(G2038)),NOT(ISNUMBER(H2038))),"",H2038-G2038)</f>
        <v/>
      </c>
      <c r="J2038" s="319">
        <f>IF(OR(NOT(ISNUMBER(G2038)),NOT(ISNUMBER(H2038)),G2038=0),"",I2038/G2038)</f>
        <v/>
      </c>
      <c r="K2038" s="319">
        <f>IF(OR(NOT(ISNUMBER(G2038)),NOT(ISNUMBER(H2038)),G2038=0),"",H2038/G2038)</f>
        <v/>
      </c>
      <c r="L2038">
        <f>IF(NOT(ISNUMBER(G2038)),"SEM META",IF(G2038=0,"SEM META",IF(NOT(ISNUMBER(H2038)),"SEM APONTAMENTO",IF(H2038&gt;=G2038,"VERDE",IF(H2038&gt;=G2038*0.9,"AMARELO","VERMELHO")))))</f>
        <v/>
      </c>
      <c r="M2038" s="162" t="n"/>
      <c r="N2038" s="162" t="n"/>
      <c r="O2038" s="162" t="n"/>
      <c r="P2038" s="162" t="n"/>
      <c r="Q2038" s="320" t="n"/>
      <c r="R2038" s="162" t="inlineStr">
        <is>
          <t>CONTROLE PRODUÇÃO POR EMPRESAS!D345</t>
        </is>
      </c>
    </row>
    <row r="2039" ht="28.5" customHeight="1">
      <c r="A2039" s="317" t="n">
        <v>46562</v>
      </c>
      <c r="B2039" t="inlineStr">
        <is>
          <t>GERAL</t>
        </is>
      </c>
      <c r="C2039" t="inlineStr">
        <is>
          <t>CMM</t>
        </is>
      </c>
      <c r="D2039" t="inlineStr">
        <is>
          <t>PREMONTAGEM</t>
        </is>
      </c>
      <c r="F2039" s="159">
        <f>IFERROR(INDEX('BASE METAS DIÁRIAS'!$N$2:$S$358,MATCH($A2039,'BASE METAS DIÁRIAS'!$A$2:$A$358,0),MOD(ROW()-2,6)+1),"")</f>
        <v/>
      </c>
      <c r="G2039" s="159">
        <f>IFERROR(IF(WEEKDAY($A2039,2)&lt;=INDEX('BASE METAS DIÁRIAS'!$H$2:$M$358,MATCH($A2039,'BASE METAS DIÁRIAS'!$A$2:$A$358,0),MOD(ROW()-2,6)+1),INDEX('BASE METAS DIÁRIAS'!$B$2:$G$358,MATCH($A2039,'BASE METAS DIÁRIAS'!$A$2:$A$358,0),MOD(ROW()-2,6)+1),""),"")</f>
        <v/>
      </c>
      <c r="H2039" s="159">
        <f>IFERROR(IF(INDEX('CONTROLE PRODUÇÃO POR EMPRESAS'!$B$6:$G$5000,MATCH($A2039,'CONTROLE PRODUÇÃO POR EMPRESAS'!$A$6:$A$5000,0),MOD(ROW()-2,6)+1)="","",IFERROR(1*INDEX('CONTROLE PRODUÇÃO POR EMPRESAS'!$B$6:$G$5000,MATCH($A2039,'CONTROLE PRODUÇÃO POR EMPRESAS'!$A$6:$A$5000,0),MOD(ROW()-2,6)+1),"")),"")</f>
        <v/>
      </c>
      <c r="I2039" s="159">
        <f>IF(OR(NOT(ISNUMBER(G2039)),NOT(ISNUMBER(H2039))),"",H2039-G2039)</f>
        <v/>
      </c>
      <c r="J2039" s="319">
        <f>IF(OR(NOT(ISNUMBER(G2039)),NOT(ISNUMBER(H2039)),G2039=0),"",I2039/G2039)</f>
        <v/>
      </c>
      <c r="K2039" s="319">
        <f>IF(OR(NOT(ISNUMBER(G2039)),NOT(ISNUMBER(H2039)),G2039=0),"",H2039/G2039)</f>
        <v/>
      </c>
      <c r="L2039">
        <f>IF(NOT(ISNUMBER(G2039)),"SEM META",IF(G2039=0,"SEM META",IF(NOT(ISNUMBER(H2039)),"SEM APONTAMENTO",IF(H2039&gt;=G2039,"VERDE",IF(H2039&gt;=G2039*0.9,"AMARELO","VERMELHO")))))</f>
        <v/>
      </c>
      <c r="M2039" s="162" t="n"/>
      <c r="N2039" s="162" t="n"/>
      <c r="O2039" s="162" t="n"/>
      <c r="P2039" s="162" t="n"/>
      <c r="Q2039" s="320" t="n"/>
      <c r="R2039" s="162" t="inlineStr">
        <is>
          <t>CONTROLE PRODUÇÃO POR EMPRESAS!E345</t>
        </is>
      </c>
    </row>
    <row r="2040" ht="28.5" customHeight="1">
      <c r="A2040" s="317" t="n">
        <v>46562</v>
      </c>
      <c r="B2040" t="inlineStr">
        <is>
          <t>GERAL</t>
        </is>
      </c>
      <c r="C2040" t="inlineStr">
        <is>
          <t>CMM</t>
        </is>
      </c>
      <c r="D2040" t="inlineStr">
        <is>
          <t>IÇAMENTO JOIST</t>
        </is>
      </c>
      <c r="F2040" s="159">
        <f>IFERROR(INDEX('BASE METAS DIÁRIAS'!$N$2:$S$358,MATCH($A2040,'BASE METAS DIÁRIAS'!$A$2:$A$358,0),MOD(ROW()-2,6)+1),"")</f>
        <v/>
      </c>
      <c r="G2040" s="159">
        <f>IFERROR(IF(WEEKDAY($A2040,2)&lt;=INDEX('BASE METAS DIÁRIAS'!$H$2:$M$358,MATCH($A2040,'BASE METAS DIÁRIAS'!$A$2:$A$358,0),MOD(ROW()-2,6)+1),INDEX('BASE METAS DIÁRIAS'!$B$2:$G$358,MATCH($A2040,'BASE METAS DIÁRIAS'!$A$2:$A$358,0),MOD(ROW()-2,6)+1),""),"")</f>
        <v/>
      </c>
      <c r="H2040" s="159">
        <f>IFERROR(IF(INDEX('CONTROLE PRODUÇÃO POR EMPRESAS'!$B$6:$G$5000,MATCH($A2040,'CONTROLE PRODUÇÃO POR EMPRESAS'!$A$6:$A$5000,0),MOD(ROW()-2,6)+1)="","",IFERROR(1*INDEX('CONTROLE PRODUÇÃO POR EMPRESAS'!$B$6:$G$5000,MATCH($A2040,'CONTROLE PRODUÇÃO POR EMPRESAS'!$A$6:$A$5000,0),MOD(ROW()-2,6)+1),"")),"")</f>
        <v/>
      </c>
      <c r="I2040" s="159">
        <f>IF(OR(NOT(ISNUMBER(G2040)),NOT(ISNUMBER(H2040))),"",H2040-G2040)</f>
        <v/>
      </c>
      <c r="J2040" s="319">
        <f>IF(OR(NOT(ISNUMBER(G2040)),NOT(ISNUMBER(H2040)),G2040=0),"",I2040/G2040)</f>
        <v/>
      </c>
      <c r="K2040" s="319">
        <f>IF(OR(NOT(ISNUMBER(G2040)),NOT(ISNUMBER(H2040)),G2040=0),"",H2040/G2040)</f>
        <v/>
      </c>
      <c r="L2040">
        <f>IF(NOT(ISNUMBER(G2040)),"SEM META",IF(G2040=0,"SEM META",IF(NOT(ISNUMBER(H2040)),"SEM APONTAMENTO",IF(H2040&gt;=G2040,"VERDE",IF(H2040&gt;=G2040*0.9,"AMARELO","VERMELHO")))))</f>
        <v/>
      </c>
      <c r="M2040" s="162" t="n"/>
      <c r="N2040" s="162" t="n"/>
      <c r="O2040" s="162" t="n"/>
      <c r="P2040" s="162" t="n"/>
      <c r="Q2040" s="320" t="n"/>
      <c r="R2040" s="162" t="inlineStr">
        <is>
          <t>CONTROLE PRODUÇÃO POR EMPRESAS!F345</t>
        </is>
      </c>
    </row>
    <row r="2041" ht="28.5" customHeight="1">
      <c r="A2041" s="317" t="n">
        <v>46562</v>
      </c>
      <c r="B2041" t="inlineStr">
        <is>
          <t>GERAL</t>
        </is>
      </c>
      <c r="C2041" t="inlineStr">
        <is>
          <t>CMM</t>
        </is>
      </c>
      <c r="D2041" t="inlineStr">
        <is>
          <t>VIGAS</t>
        </is>
      </c>
      <c r="F2041" s="159">
        <f>IFERROR(INDEX('BASE METAS DIÁRIAS'!$N$2:$S$358,MATCH($A2041,'BASE METAS DIÁRIAS'!$A$2:$A$358,0),MOD(ROW()-2,6)+1),"")</f>
        <v/>
      </c>
      <c r="G2041" s="159">
        <f>IFERROR(IF(WEEKDAY($A2041,2)&lt;=INDEX('BASE METAS DIÁRIAS'!$H$2:$M$358,MATCH($A2041,'BASE METAS DIÁRIAS'!$A$2:$A$358,0),MOD(ROW()-2,6)+1),INDEX('BASE METAS DIÁRIAS'!$B$2:$G$358,MATCH($A2041,'BASE METAS DIÁRIAS'!$A$2:$A$358,0),MOD(ROW()-2,6)+1),""),"")</f>
        <v/>
      </c>
      <c r="H2041" s="159">
        <f>IFERROR(IF(INDEX('CONTROLE PRODUÇÃO POR EMPRESAS'!$B$6:$G$5000,MATCH($A2041,'CONTROLE PRODUÇÃO POR EMPRESAS'!$A$6:$A$5000,0),MOD(ROW()-2,6)+1)="","",IFERROR(1*INDEX('CONTROLE PRODUÇÃO POR EMPRESAS'!$B$6:$G$5000,MATCH($A2041,'CONTROLE PRODUÇÃO POR EMPRESAS'!$A$6:$A$5000,0),MOD(ROW()-2,6)+1),"")),"")</f>
        <v/>
      </c>
      <c r="I2041" s="159">
        <f>IF(OR(NOT(ISNUMBER(G2041)),NOT(ISNUMBER(H2041))),"",H2041-G2041)</f>
        <v/>
      </c>
      <c r="J2041" s="319">
        <f>IF(OR(NOT(ISNUMBER(G2041)),NOT(ISNUMBER(H2041)),G2041=0),"",I2041/G2041)</f>
        <v/>
      </c>
      <c r="K2041" s="319">
        <f>IF(OR(NOT(ISNUMBER(G2041)),NOT(ISNUMBER(H2041)),G2041=0),"",H2041/G2041)</f>
        <v/>
      </c>
      <c r="L2041">
        <f>IF(NOT(ISNUMBER(G2041)),"SEM META",IF(G2041=0,"SEM META",IF(NOT(ISNUMBER(H2041)),"SEM APONTAMENTO",IF(H2041&gt;=G2041,"VERDE",IF(H2041&gt;=G2041*0.9,"AMARELO","VERMELHO")))))</f>
        <v/>
      </c>
      <c r="M2041" s="162" t="n"/>
      <c r="N2041" s="162" t="n"/>
      <c r="O2041" s="162" t="n"/>
      <c r="P2041" s="162" t="n"/>
      <c r="Q2041" s="320" t="n"/>
      <c r="R2041" s="162" t="inlineStr">
        <is>
          <t>CONTROLE PRODUÇÃO POR EMPRESAS!G345</t>
        </is>
      </c>
    </row>
    <row r="2042" ht="28.5" customHeight="1">
      <c r="A2042" s="317" t="n">
        <v>46563</v>
      </c>
      <c r="B2042" t="inlineStr">
        <is>
          <t>GERAL</t>
        </is>
      </c>
      <c r="C2042" t="inlineStr">
        <is>
          <t>EJ</t>
        </is>
      </c>
      <c r="D2042" t="inlineStr">
        <is>
          <t>PREMONTAGEM</t>
        </is>
      </c>
      <c r="F2042" s="159">
        <f>IFERROR(INDEX('BASE METAS DIÁRIAS'!$N$2:$S$358,MATCH($A2042,'BASE METAS DIÁRIAS'!$A$2:$A$358,0),MOD(ROW()-2,6)+1),"")</f>
        <v/>
      </c>
      <c r="G2042" s="159">
        <f>IFERROR(IF(WEEKDAY($A2042,2)&lt;=INDEX('BASE METAS DIÁRIAS'!$H$2:$M$358,MATCH($A2042,'BASE METAS DIÁRIAS'!$A$2:$A$358,0),MOD(ROW()-2,6)+1),INDEX('BASE METAS DIÁRIAS'!$B$2:$G$358,MATCH($A2042,'BASE METAS DIÁRIAS'!$A$2:$A$358,0),MOD(ROW()-2,6)+1),""),"")</f>
        <v/>
      </c>
      <c r="H2042" s="159">
        <f>IFERROR(IF(INDEX('CONTROLE PRODUÇÃO POR EMPRESAS'!$B$6:$G$5000,MATCH($A2042,'CONTROLE PRODUÇÃO POR EMPRESAS'!$A$6:$A$5000,0),MOD(ROW()-2,6)+1)="","",IFERROR(1*INDEX('CONTROLE PRODUÇÃO POR EMPRESAS'!$B$6:$G$5000,MATCH($A2042,'CONTROLE PRODUÇÃO POR EMPRESAS'!$A$6:$A$5000,0),MOD(ROW()-2,6)+1),"")),"")</f>
        <v/>
      </c>
      <c r="I2042" s="159">
        <f>IF(OR(NOT(ISNUMBER(G2042)),NOT(ISNUMBER(H2042))),"",H2042-G2042)</f>
        <v/>
      </c>
      <c r="J2042" s="319">
        <f>IF(OR(NOT(ISNUMBER(G2042)),NOT(ISNUMBER(H2042)),G2042=0),"",I2042/G2042)</f>
        <v/>
      </c>
      <c r="K2042" s="319">
        <f>IF(OR(NOT(ISNUMBER(G2042)),NOT(ISNUMBER(H2042)),G2042=0),"",H2042/G2042)</f>
        <v/>
      </c>
      <c r="L2042">
        <f>IF(NOT(ISNUMBER(G2042)),"SEM META",IF(G2042=0,"SEM META",IF(NOT(ISNUMBER(H2042)),"SEM APONTAMENTO",IF(H2042&gt;=G2042,"VERDE",IF(H2042&gt;=G2042*0.9,"AMARELO","VERMELHO")))))</f>
        <v/>
      </c>
      <c r="M2042" s="162" t="n"/>
      <c r="N2042" s="162" t="n"/>
      <c r="O2042" s="162" t="n"/>
      <c r="P2042" s="162" t="n"/>
      <c r="Q2042" s="320" t="n"/>
      <c r="R2042" s="162" t="inlineStr">
        <is>
          <t>CONTROLE PRODUÇÃO POR EMPRESAS!B346</t>
        </is>
      </c>
    </row>
    <row r="2043" ht="28.5" customHeight="1">
      <c r="A2043" s="317" t="n">
        <v>46563</v>
      </c>
      <c r="B2043" t="inlineStr">
        <is>
          <t>GERAL</t>
        </is>
      </c>
      <c r="C2043" t="inlineStr">
        <is>
          <t>EJ</t>
        </is>
      </c>
      <c r="D2043" t="inlineStr">
        <is>
          <t>IÇAMENTO JOIST</t>
        </is>
      </c>
      <c r="F2043" s="159">
        <f>IFERROR(INDEX('BASE METAS DIÁRIAS'!$N$2:$S$358,MATCH($A2043,'BASE METAS DIÁRIAS'!$A$2:$A$358,0),MOD(ROW()-2,6)+1),"")</f>
        <v/>
      </c>
      <c r="G2043" s="159">
        <f>IFERROR(IF(WEEKDAY($A2043,2)&lt;=INDEX('BASE METAS DIÁRIAS'!$H$2:$M$358,MATCH($A2043,'BASE METAS DIÁRIAS'!$A$2:$A$358,0),MOD(ROW()-2,6)+1),INDEX('BASE METAS DIÁRIAS'!$B$2:$G$358,MATCH($A2043,'BASE METAS DIÁRIAS'!$A$2:$A$358,0),MOD(ROW()-2,6)+1),""),"")</f>
        <v/>
      </c>
      <c r="H2043" s="159">
        <f>IFERROR(IF(INDEX('CONTROLE PRODUÇÃO POR EMPRESAS'!$B$6:$G$5000,MATCH($A2043,'CONTROLE PRODUÇÃO POR EMPRESAS'!$A$6:$A$5000,0),MOD(ROW()-2,6)+1)="","",IFERROR(1*INDEX('CONTROLE PRODUÇÃO POR EMPRESAS'!$B$6:$G$5000,MATCH($A2043,'CONTROLE PRODUÇÃO POR EMPRESAS'!$A$6:$A$5000,0),MOD(ROW()-2,6)+1),"")),"")</f>
        <v/>
      </c>
      <c r="I2043" s="159">
        <f>IF(OR(NOT(ISNUMBER(G2043)),NOT(ISNUMBER(H2043))),"",H2043-G2043)</f>
        <v/>
      </c>
      <c r="J2043" s="319">
        <f>IF(OR(NOT(ISNUMBER(G2043)),NOT(ISNUMBER(H2043)),G2043=0),"",I2043/G2043)</f>
        <v/>
      </c>
      <c r="K2043" s="319">
        <f>IF(OR(NOT(ISNUMBER(G2043)),NOT(ISNUMBER(H2043)),G2043=0),"",H2043/G2043)</f>
        <v/>
      </c>
      <c r="L2043">
        <f>IF(NOT(ISNUMBER(G2043)),"SEM META",IF(G2043=0,"SEM META",IF(NOT(ISNUMBER(H2043)),"SEM APONTAMENTO",IF(H2043&gt;=G2043,"VERDE",IF(H2043&gt;=G2043*0.9,"AMARELO","VERMELHO")))))</f>
        <v/>
      </c>
      <c r="M2043" s="162" t="n"/>
      <c r="N2043" s="162" t="n"/>
      <c r="O2043" s="162" t="n"/>
      <c r="P2043" s="162" t="n"/>
      <c r="Q2043" s="320" t="n"/>
      <c r="R2043" s="162" t="inlineStr">
        <is>
          <t>CONTROLE PRODUÇÃO POR EMPRESAS!C346</t>
        </is>
      </c>
    </row>
    <row r="2044" ht="28.5" customHeight="1">
      <c r="A2044" s="317" t="n">
        <v>46563</v>
      </c>
      <c r="B2044" t="inlineStr">
        <is>
          <t>GERAL</t>
        </is>
      </c>
      <c r="C2044" t="inlineStr">
        <is>
          <t>EJ</t>
        </is>
      </c>
      <c r="D2044" t="inlineStr">
        <is>
          <t>VIGAS</t>
        </is>
      </c>
      <c r="F2044" s="159">
        <f>IFERROR(INDEX('BASE METAS DIÁRIAS'!$N$2:$S$358,MATCH($A2044,'BASE METAS DIÁRIAS'!$A$2:$A$358,0),MOD(ROW()-2,6)+1),"")</f>
        <v/>
      </c>
      <c r="G2044" s="159">
        <f>IFERROR(IF(WEEKDAY($A2044,2)&lt;=INDEX('BASE METAS DIÁRIAS'!$H$2:$M$358,MATCH($A2044,'BASE METAS DIÁRIAS'!$A$2:$A$358,0),MOD(ROW()-2,6)+1),INDEX('BASE METAS DIÁRIAS'!$B$2:$G$358,MATCH($A2044,'BASE METAS DIÁRIAS'!$A$2:$A$358,0),MOD(ROW()-2,6)+1),""),"")</f>
        <v/>
      </c>
      <c r="H2044" s="159">
        <f>IFERROR(IF(INDEX('CONTROLE PRODUÇÃO POR EMPRESAS'!$B$6:$G$5000,MATCH($A2044,'CONTROLE PRODUÇÃO POR EMPRESAS'!$A$6:$A$5000,0),MOD(ROW()-2,6)+1)="","",IFERROR(1*INDEX('CONTROLE PRODUÇÃO POR EMPRESAS'!$B$6:$G$5000,MATCH($A2044,'CONTROLE PRODUÇÃO POR EMPRESAS'!$A$6:$A$5000,0),MOD(ROW()-2,6)+1),"")),"")</f>
        <v/>
      </c>
      <c r="I2044" s="159">
        <f>IF(OR(NOT(ISNUMBER(G2044)),NOT(ISNUMBER(H2044))),"",H2044-G2044)</f>
        <v/>
      </c>
      <c r="J2044" s="319">
        <f>IF(OR(NOT(ISNUMBER(G2044)),NOT(ISNUMBER(H2044)),G2044=0),"",I2044/G2044)</f>
        <v/>
      </c>
      <c r="K2044" s="319">
        <f>IF(OR(NOT(ISNUMBER(G2044)),NOT(ISNUMBER(H2044)),G2044=0),"",H2044/G2044)</f>
        <v/>
      </c>
      <c r="L2044">
        <f>IF(NOT(ISNUMBER(G2044)),"SEM META",IF(G2044=0,"SEM META",IF(NOT(ISNUMBER(H2044)),"SEM APONTAMENTO",IF(H2044&gt;=G2044,"VERDE",IF(H2044&gt;=G2044*0.9,"AMARELO","VERMELHO")))))</f>
        <v/>
      </c>
      <c r="M2044" s="162" t="n"/>
      <c r="N2044" s="162" t="n"/>
      <c r="O2044" s="162" t="n"/>
      <c r="P2044" s="162" t="n"/>
      <c r="Q2044" s="320" t="n"/>
      <c r="R2044" s="162" t="inlineStr">
        <is>
          <t>CONTROLE PRODUÇÃO POR EMPRESAS!D346</t>
        </is>
      </c>
    </row>
    <row r="2045" ht="28.5" customHeight="1">
      <c r="A2045" s="317" t="n">
        <v>46563</v>
      </c>
      <c r="B2045" t="inlineStr">
        <is>
          <t>GERAL</t>
        </is>
      </c>
      <c r="C2045" t="inlineStr">
        <is>
          <t>CMM</t>
        </is>
      </c>
      <c r="D2045" t="inlineStr">
        <is>
          <t>PREMONTAGEM</t>
        </is>
      </c>
      <c r="F2045" s="159">
        <f>IFERROR(INDEX('BASE METAS DIÁRIAS'!$N$2:$S$358,MATCH($A2045,'BASE METAS DIÁRIAS'!$A$2:$A$358,0),MOD(ROW()-2,6)+1),"")</f>
        <v/>
      </c>
      <c r="G2045" s="159">
        <f>IFERROR(IF(WEEKDAY($A2045,2)&lt;=INDEX('BASE METAS DIÁRIAS'!$H$2:$M$358,MATCH($A2045,'BASE METAS DIÁRIAS'!$A$2:$A$358,0),MOD(ROW()-2,6)+1),INDEX('BASE METAS DIÁRIAS'!$B$2:$G$358,MATCH($A2045,'BASE METAS DIÁRIAS'!$A$2:$A$358,0),MOD(ROW()-2,6)+1),""),"")</f>
        <v/>
      </c>
      <c r="H2045" s="159">
        <f>IFERROR(IF(INDEX('CONTROLE PRODUÇÃO POR EMPRESAS'!$B$6:$G$5000,MATCH($A2045,'CONTROLE PRODUÇÃO POR EMPRESAS'!$A$6:$A$5000,0),MOD(ROW()-2,6)+1)="","",IFERROR(1*INDEX('CONTROLE PRODUÇÃO POR EMPRESAS'!$B$6:$G$5000,MATCH($A2045,'CONTROLE PRODUÇÃO POR EMPRESAS'!$A$6:$A$5000,0),MOD(ROW()-2,6)+1),"")),"")</f>
        <v/>
      </c>
      <c r="I2045" s="159">
        <f>IF(OR(NOT(ISNUMBER(G2045)),NOT(ISNUMBER(H2045))),"",H2045-G2045)</f>
        <v/>
      </c>
      <c r="J2045" s="319">
        <f>IF(OR(NOT(ISNUMBER(G2045)),NOT(ISNUMBER(H2045)),G2045=0),"",I2045/G2045)</f>
        <v/>
      </c>
      <c r="K2045" s="319">
        <f>IF(OR(NOT(ISNUMBER(G2045)),NOT(ISNUMBER(H2045)),G2045=0),"",H2045/G2045)</f>
        <v/>
      </c>
      <c r="L2045">
        <f>IF(NOT(ISNUMBER(G2045)),"SEM META",IF(G2045=0,"SEM META",IF(NOT(ISNUMBER(H2045)),"SEM APONTAMENTO",IF(H2045&gt;=G2045,"VERDE",IF(H2045&gt;=G2045*0.9,"AMARELO","VERMELHO")))))</f>
        <v/>
      </c>
      <c r="M2045" s="162" t="n"/>
      <c r="N2045" s="162" t="n"/>
      <c r="O2045" s="162" t="n"/>
      <c r="P2045" s="162" t="n"/>
      <c r="Q2045" s="320" t="n"/>
      <c r="R2045" s="162" t="inlineStr">
        <is>
          <t>CONTROLE PRODUÇÃO POR EMPRESAS!E346</t>
        </is>
      </c>
    </row>
    <row r="2046" ht="28.5" customHeight="1">
      <c r="A2046" s="317" t="n">
        <v>46563</v>
      </c>
      <c r="B2046" t="inlineStr">
        <is>
          <t>GERAL</t>
        </is>
      </c>
      <c r="C2046" t="inlineStr">
        <is>
          <t>CMM</t>
        </is>
      </c>
      <c r="D2046" t="inlineStr">
        <is>
          <t>IÇAMENTO JOIST</t>
        </is>
      </c>
      <c r="F2046" s="159">
        <f>IFERROR(INDEX('BASE METAS DIÁRIAS'!$N$2:$S$358,MATCH($A2046,'BASE METAS DIÁRIAS'!$A$2:$A$358,0),MOD(ROW()-2,6)+1),"")</f>
        <v/>
      </c>
      <c r="G2046" s="159">
        <f>IFERROR(IF(WEEKDAY($A2046,2)&lt;=INDEX('BASE METAS DIÁRIAS'!$H$2:$M$358,MATCH($A2046,'BASE METAS DIÁRIAS'!$A$2:$A$358,0),MOD(ROW()-2,6)+1),INDEX('BASE METAS DIÁRIAS'!$B$2:$G$358,MATCH($A2046,'BASE METAS DIÁRIAS'!$A$2:$A$358,0),MOD(ROW()-2,6)+1),""),"")</f>
        <v/>
      </c>
      <c r="H2046" s="159">
        <f>IFERROR(IF(INDEX('CONTROLE PRODUÇÃO POR EMPRESAS'!$B$6:$G$5000,MATCH($A2046,'CONTROLE PRODUÇÃO POR EMPRESAS'!$A$6:$A$5000,0),MOD(ROW()-2,6)+1)="","",IFERROR(1*INDEX('CONTROLE PRODUÇÃO POR EMPRESAS'!$B$6:$G$5000,MATCH($A2046,'CONTROLE PRODUÇÃO POR EMPRESAS'!$A$6:$A$5000,0),MOD(ROW()-2,6)+1),"")),"")</f>
        <v/>
      </c>
      <c r="I2046" s="159">
        <f>IF(OR(NOT(ISNUMBER(G2046)),NOT(ISNUMBER(H2046))),"",H2046-G2046)</f>
        <v/>
      </c>
      <c r="J2046" s="319">
        <f>IF(OR(NOT(ISNUMBER(G2046)),NOT(ISNUMBER(H2046)),G2046=0),"",I2046/G2046)</f>
        <v/>
      </c>
      <c r="K2046" s="319">
        <f>IF(OR(NOT(ISNUMBER(G2046)),NOT(ISNUMBER(H2046)),G2046=0),"",H2046/G2046)</f>
        <v/>
      </c>
      <c r="L2046">
        <f>IF(NOT(ISNUMBER(G2046)),"SEM META",IF(G2046=0,"SEM META",IF(NOT(ISNUMBER(H2046)),"SEM APONTAMENTO",IF(H2046&gt;=G2046,"VERDE",IF(H2046&gt;=G2046*0.9,"AMARELO","VERMELHO")))))</f>
        <v/>
      </c>
      <c r="M2046" s="162" t="n"/>
      <c r="N2046" s="162" t="n"/>
      <c r="O2046" s="162" t="n"/>
      <c r="P2046" s="162" t="n"/>
      <c r="Q2046" s="320" t="n"/>
      <c r="R2046" s="162" t="inlineStr">
        <is>
          <t>CONTROLE PRODUÇÃO POR EMPRESAS!F346</t>
        </is>
      </c>
    </row>
    <row r="2047" ht="28.5" customHeight="1">
      <c r="A2047" s="317" t="n">
        <v>46563</v>
      </c>
      <c r="B2047" t="inlineStr">
        <is>
          <t>GERAL</t>
        </is>
      </c>
      <c r="C2047" t="inlineStr">
        <is>
          <t>CMM</t>
        </is>
      </c>
      <c r="D2047" t="inlineStr">
        <is>
          <t>VIGAS</t>
        </is>
      </c>
      <c r="F2047" s="159">
        <f>IFERROR(INDEX('BASE METAS DIÁRIAS'!$N$2:$S$358,MATCH($A2047,'BASE METAS DIÁRIAS'!$A$2:$A$358,0),MOD(ROW()-2,6)+1),"")</f>
        <v/>
      </c>
      <c r="G2047" s="159">
        <f>IFERROR(IF(WEEKDAY($A2047,2)&lt;=INDEX('BASE METAS DIÁRIAS'!$H$2:$M$358,MATCH($A2047,'BASE METAS DIÁRIAS'!$A$2:$A$358,0),MOD(ROW()-2,6)+1),INDEX('BASE METAS DIÁRIAS'!$B$2:$G$358,MATCH($A2047,'BASE METAS DIÁRIAS'!$A$2:$A$358,0),MOD(ROW()-2,6)+1),""),"")</f>
        <v/>
      </c>
      <c r="H2047" s="159">
        <f>IFERROR(IF(INDEX('CONTROLE PRODUÇÃO POR EMPRESAS'!$B$6:$G$5000,MATCH($A2047,'CONTROLE PRODUÇÃO POR EMPRESAS'!$A$6:$A$5000,0),MOD(ROW()-2,6)+1)="","",IFERROR(1*INDEX('CONTROLE PRODUÇÃO POR EMPRESAS'!$B$6:$G$5000,MATCH($A2047,'CONTROLE PRODUÇÃO POR EMPRESAS'!$A$6:$A$5000,0),MOD(ROW()-2,6)+1),"")),"")</f>
        <v/>
      </c>
      <c r="I2047" s="159">
        <f>IF(OR(NOT(ISNUMBER(G2047)),NOT(ISNUMBER(H2047))),"",H2047-G2047)</f>
        <v/>
      </c>
      <c r="J2047" s="319">
        <f>IF(OR(NOT(ISNUMBER(G2047)),NOT(ISNUMBER(H2047)),G2047=0),"",I2047/G2047)</f>
        <v/>
      </c>
      <c r="K2047" s="319">
        <f>IF(OR(NOT(ISNUMBER(G2047)),NOT(ISNUMBER(H2047)),G2047=0),"",H2047/G2047)</f>
        <v/>
      </c>
      <c r="L2047">
        <f>IF(NOT(ISNUMBER(G2047)),"SEM META",IF(G2047=0,"SEM META",IF(NOT(ISNUMBER(H2047)),"SEM APONTAMENTO",IF(H2047&gt;=G2047,"VERDE",IF(H2047&gt;=G2047*0.9,"AMARELO","VERMELHO")))))</f>
        <v/>
      </c>
      <c r="M2047" s="162" t="n"/>
      <c r="N2047" s="162" t="n"/>
      <c r="O2047" s="162" t="n"/>
      <c r="P2047" s="162" t="n"/>
      <c r="Q2047" s="320" t="n"/>
      <c r="R2047" s="162" t="inlineStr">
        <is>
          <t>CONTROLE PRODUÇÃO POR EMPRESAS!G346</t>
        </is>
      </c>
    </row>
    <row r="2048" ht="28.5" customHeight="1">
      <c r="A2048" s="317" t="n">
        <v>46564</v>
      </c>
      <c r="B2048" t="inlineStr">
        <is>
          <t>GERAL</t>
        </is>
      </c>
      <c r="C2048" t="inlineStr">
        <is>
          <t>EJ</t>
        </is>
      </c>
      <c r="D2048" t="inlineStr">
        <is>
          <t>PREMONTAGEM</t>
        </is>
      </c>
      <c r="F2048" s="159">
        <f>IFERROR(INDEX('BASE METAS DIÁRIAS'!$N$2:$S$358,MATCH($A2048,'BASE METAS DIÁRIAS'!$A$2:$A$358,0),MOD(ROW()-2,6)+1),"")</f>
        <v/>
      </c>
      <c r="G2048" s="159">
        <f>IFERROR(IF(WEEKDAY($A2048,2)&lt;=INDEX('BASE METAS DIÁRIAS'!$H$2:$M$358,MATCH($A2048,'BASE METAS DIÁRIAS'!$A$2:$A$358,0),MOD(ROW()-2,6)+1),INDEX('BASE METAS DIÁRIAS'!$B$2:$G$358,MATCH($A2048,'BASE METAS DIÁRIAS'!$A$2:$A$358,0),MOD(ROW()-2,6)+1),""),"")</f>
        <v/>
      </c>
      <c r="H2048" s="159">
        <f>IFERROR(IF(INDEX('CONTROLE PRODUÇÃO POR EMPRESAS'!$B$6:$G$5000,MATCH($A2048,'CONTROLE PRODUÇÃO POR EMPRESAS'!$A$6:$A$5000,0),MOD(ROW()-2,6)+1)="","",IFERROR(1*INDEX('CONTROLE PRODUÇÃO POR EMPRESAS'!$B$6:$G$5000,MATCH($A2048,'CONTROLE PRODUÇÃO POR EMPRESAS'!$A$6:$A$5000,0),MOD(ROW()-2,6)+1),"")),"")</f>
        <v/>
      </c>
      <c r="I2048" s="159">
        <f>IF(OR(NOT(ISNUMBER(G2048)),NOT(ISNUMBER(H2048))),"",H2048-G2048)</f>
        <v/>
      </c>
      <c r="J2048" s="319">
        <f>IF(OR(NOT(ISNUMBER(G2048)),NOT(ISNUMBER(H2048)),G2048=0),"",I2048/G2048)</f>
        <v/>
      </c>
      <c r="K2048" s="319">
        <f>IF(OR(NOT(ISNUMBER(G2048)),NOT(ISNUMBER(H2048)),G2048=0),"",H2048/G2048)</f>
        <v/>
      </c>
      <c r="L2048">
        <f>IF(NOT(ISNUMBER(G2048)),"SEM META",IF(G2048=0,"SEM META",IF(NOT(ISNUMBER(H2048)),"SEM APONTAMENTO",IF(H2048&gt;=G2048,"VERDE",IF(H2048&gt;=G2048*0.9,"AMARELO","VERMELHO")))))</f>
        <v/>
      </c>
      <c r="M2048" s="162" t="n"/>
      <c r="N2048" s="162" t="n"/>
      <c r="O2048" s="162" t="n"/>
      <c r="P2048" s="162" t="n"/>
      <c r="Q2048" s="320" t="n"/>
      <c r="R2048" s="162" t="inlineStr">
        <is>
          <t>CONTROLE PRODUÇÃO POR EMPRESAS!B347</t>
        </is>
      </c>
    </row>
    <row r="2049" ht="28.5" customHeight="1">
      <c r="A2049" s="317" t="n">
        <v>46564</v>
      </c>
      <c r="B2049" t="inlineStr">
        <is>
          <t>GERAL</t>
        </is>
      </c>
      <c r="C2049" t="inlineStr">
        <is>
          <t>EJ</t>
        </is>
      </c>
      <c r="D2049" t="inlineStr">
        <is>
          <t>IÇAMENTO JOIST</t>
        </is>
      </c>
      <c r="F2049" s="159">
        <f>IFERROR(INDEX('BASE METAS DIÁRIAS'!$N$2:$S$358,MATCH($A2049,'BASE METAS DIÁRIAS'!$A$2:$A$358,0),MOD(ROW()-2,6)+1),"")</f>
        <v/>
      </c>
      <c r="G2049" s="159">
        <f>IFERROR(IF(WEEKDAY($A2049,2)&lt;=INDEX('BASE METAS DIÁRIAS'!$H$2:$M$358,MATCH($A2049,'BASE METAS DIÁRIAS'!$A$2:$A$358,0),MOD(ROW()-2,6)+1),INDEX('BASE METAS DIÁRIAS'!$B$2:$G$358,MATCH($A2049,'BASE METAS DIÁRIAS'!$A$2:$A$358,0),MOD(ROW()-2,6)+1),""),"")</f>
        <v/>
      </c>
      <c r="H2049" s="159">
        <f>IFERROR(IF(INDEX('CONTROLE PRODUÇÃO POR EMPRESAS'!$B$6:$G$5000,MATCH($A2049,'CONTROLE PRODUÇÃO POR EMPRESAS'!$A$6:$A$5000,0),MOD(ROW()-2,6)+1)="","",IFERROR(1*INDEX('CONTROLE PRODUÇÃO POR EMPRESAS'!$B$6:$G$5000,MATCH($A2049,'CONTROLE PRODUÇÃO POR EMPRESAS'!$A$6:$A$5000,0),MOD(ROW()-2,6)+1),"")),"")</f>
        <v/>
      </c>
      <c r="I2049" s="159">
        <f>IF(OR(NOT(ISNUMBER(G2049)),NOT(ISNUMBER(H2049))),"",H2049-G2049)</f>
        <v/>
      </c>
      <c r="J2049" s="319">
        <f>IF(OR(NOT(ISNUMBER(G2049)),NOT(ISNUMBER(H2049)),G2049=0),"",I2049/G2049)</f>
        <v/>
      </c>
      <c r="K2049" s="319">
        <f>IF(OR(NOT(ISNUMBER(G2049)),NOT(ISNUMBER(H2049)),G2049=0),"",H2049/G2049)</f>
        <v/>
      </c>
      <c r="L2049">
        <f>IF(NOT(ISNUMBER(G2049)),"SEM META",IF(G2049=0,"SEM META",IF(NOT(ISNUMBER(H2049)),"SEM APONTAMENTO",IF(H2049&gt;=G2049,"VERDE",IF(H2049&gt;=G2049*0.9,"AMARELO","VERMELHO")))))</f>
        <v/>
      </c>
      <c r="M2049" s="162" t="n"/>
      <c r="N2049" s="162" t="n"/>
      <c r="O2049" s="162" t="n"/>
      <c r="P2049" s="162" t="n"/>
      <c r="Q2049" s="320" t="n"/>
      <c r="R2049" s="162" t="inlineStr">
        <is>
          <t>CONTROLE PRODUÇÃO POR EMPRESAS!C347</t>
        </is>
      </c>
    </row>
    <row r="2050" ht="28.5" customHeight="1">
      <c r="A2050" s="317" t="n">
        <v>46564</v>
      </c>
      <c r="B2050" t="inlineStr">
        <is>
          <t>GERAL</t>
        </is>
      </c>
      <c r="C2050" t="inlineStr">
        <is>
          <t>EJ</t>
        </is>
      </c>
      <c r="D2050" t="inlineStr">
        <is>
          <t>VIGAS</t>
        </is>
      </c>
      <c r="F2050" s="159">
        <f>IFERROR(INDEX('BASE METAS DIÁRIAS'!$N$2:$S$358,MATCH($A2050,'BASE METAS DIÁRIAS'!$A$2:$A$358,0),MOD(ROW()-2,6)+1),"")</f>
        <v/>
      </c>
      <c r="G2050" s="159">
        <f>IFERROR(IF(WEEKDAY($A2050,2)&lt;=INDEX('BASE METAS DIÁRIAS'!$H$2:$M$358,MATCH($A2050,'BASE METAS DIÁRIAS'!$A$2:$A$358,0),MOD(ROW()-2,6)+1),INDEX('BASE METAS DIÁRIAS'!$B$2:$G$358,MATCH($A2050,'BASE METAS DIÁRIAS'!$A$2:$A$358,0),MOD(ROW()-2,6)+1),""),"")</f>
        <v/>
      </c>
      <c r="H2050" s="159">
        <f>IFERROR(IF(INDEX('CONTROLE PRODUÇÃO POR EMPRESAS'!$B$6:$G$5000,MATCH($A2050,'CONTROLE PRODUÇÃO POR EMPRESAS'!$A$6:$A$5000,0),MOD(ROW()-2,6)+1)="","",IFERROR(1*INDEX('CONTROLE PRODUÇÃO POR EMPRESAS'!$B$6:$G$5000,MATCH($A2050,'CONTROLE PRODUÇÃO POR EMPRESAS'!$A$6:$A$5000,0),MOD(ROW()-2,6)+1),"")),"")</f>
        <v/>
      </c>
      <c r="I2050" s="159">
        <f>IF(OR(NOT(ISNUMBER(G2050)),NOT(ISNUMBER(H2050))),"",H2050-G2050)</f>
        <v/>
      </c>
      <c r="J2050" s="319">
        <f>IF(OR(NOT(ISNUMBER(G2050)),NOT(ISNUMBER(H2050)),G2050=0),"",I2050/G2050)</f>
        <v/>
      </c>
      <c r="K2050" s="319">
        <f>IF(OR(NOT(ISNUMBER(G2050)),NOT(ISNUMBER(H2050)),G2050=0),"",H2050/G2050)</f>
        <v/>
      </c>
      <c r="L2050">
        <f>IF(NOT(ISNUMBER(G2050)),"SEM META",IF(G2050=0,"SEM META",IF(NOT(ISNUMBER(H2050)),"SEM APONTAMENTO",IF(H2050&gt;=G2050,"VERDE",IF(H2050&gt;=G2050*0.9,"AMARELO","VERMELHO")))))</f>
        <v/>
      </c>
      <c r="M2050" s="162" t="n"/>
      <c r="N2050" s="162" t="n"/>
      <c r="O2050" s="162" t="n"/>
      <c r="P2050" s="162" t="n"/>
      <c r="Q2050" s="320" t="n"/>
      <c r="R2050" s="162" t="inlineStr">
        <is>
          <t>CONTROLE PRODUÇÃO POR EMPRESAS!D347</t>
        </is>
      </c>
    </row>
    <row r="2051" ht="28.5" customHeight="1">
      <c r="A2051" s="317" t="n">
        <v>46564</v>
      </c>
      <c r="B2051" t="inlineStr">
        <is>
          <t>GERAL</t>
        </is>
      </c>
      <c r="C2051" t="inlineStr">
        <is>
          <t>CMM</t>
        </is>
      </c>
      <c r="D2051" t="inlineStr">
        <is>
          <t>PREMONTAGEM</t>
        </is>
      </c>
      <c r="F2051" s="159">
        <f>IFERROR(INDEX('BASE METAS DIÁRIAS'!$N$2:$S$358,MATCH($A2051,'BASE METAS DIÁRIAS'!$A$2:$A$358,0),MOD(ROW()-2,6)+1),"")</f>
        <v/>
      </c>
      <c r="G2051" s="159">
        <f>IFERROR(IF(WEEKDAY($A2051,2)&lt;=INDEX('BASE METAS DIÁRIAS'!$H$2:$M$358,MATCH($A2051,'BASE METAS DIÁRIAS'!$A$2:$A$358,0),MOD(ROW()-2,6)+1),INDEX('BASE METAS DIÁRIAS'!$B$2:$G$358,MATCH($A2051,'BASE METAS DIÁRIAS'!$A$2:$A$358,0),MOD(ROW()-2,6)+1),""),"")</f>
        <v/>
      </c>
      <c r="H2051" s="159">
        <f>IFERROR(IF(INDEX('CONTROLE PRODUÇÃO POR EMPRESAS'!$B$6:$G$5000,MATCH($A2051,'CONTROLE PRODUÇÃO POR EMPRESAS'!$A$6:$A$5000,0),MOD(ROW()-2,6)+1)="","",IFERROR(1*INDEX('CONTROLE PRODUÇÃO POR EMPRESAS'!$B$6:$G$5000,MATCH($A2051,'CONTROLE PRODUÇÃO POR EMPRESAS'!$A$6:$A$5000,0),MOD(ROW()-2,6)+1),"")),"")</f>
        <v/>
      </c>
      <c r="I2051" s="159">
        <f>IF(OR(NOT(ISNUMBER(G2051)),NOT(ISNUMBER(H2051))),"",H2051-G2051)</f>
        <v/>
      </c>
      <c r="J2051" s="319">
        <f>IF(OR(NOT(ISNUMBER(G2051)),NOT(ISNUMBER(H2051)),G2051=0),"",I2051/G2051)</f>
        <v/>
      </c>
      <c r="K2051" s="319">
        <f>IF(OR(NOT(ISNUMBER(G2051)),NOT(ISNUMBER(H2051)),G2051=0),"",H2051/G2051)</f>
        <v/>
      </c>
      <c r="L2051">
        <f>IF(NOT(ISNUMBER(G2051)),"SEM META",IF(G2051=0,"SEM META",IF(NOT(ISNUMBER(H2051)),"SEM APONTAMENTO",IF(H2051&gt;=G2051,"VERDE",IF(H2051&gt;=G2051*0.9,"AMARELO","VERMELHO")))))</f>
        <v/>
      </c>
      <c r="M2051" s="162" t="n"/>
      <c r="N2051" s="162" t="n"/>
      <c r="O2051" s="162" t="n"/>
      <c r="P2051" s="162" t="n"/>
      <c r="Q2051" s="320" t="n"/>
      <c r="R2051" s="162" t="inlineStr">
        <is>
          <t>CONTROLE PRODUÇÃO POR EMPRESAS!E347</t>
        </is>
      </c>
    </row>
    <row r="2052" ht="28.5" customHeight="1">
      <c r="A2052" s="317" t="n">
        <v>46564</v>
      </c>
      <c r="B2052" t="inlineStr">
        <is>
          <t>GERAL</t>
        </is>
      </c>
      <c r="C2052" t="inlineStr">
        <is>
          <t>CMM</t>
        </is>
      </c>
      <c r="D2052" t="inlineStr">
        <is>
          <t>IÇAMENTO JOIST</t>
        </is>
      </c>
      <c r="F2052" s="159">
        <f>IFERROR(INDEX('BASE METAS DIÁRIAS'!$N$2:$S$358,MATCH($A2052,'BASE METAS DIÁRIAS'!$A$2:$A$358,0),MOD(ROW()-2,6)+1),"")</f>
        <v/>
      </c>
      <c r="G2052" s="159">
        <f>IFERROR(IF(WEEKDAY($A2052,2)&lt;=INDEX('BASE METAS DIÁRIAS'!$H$2:$M$358,MATCH($A2052,'BASE METAS DIÁRIAS'!$A$2:$A$358,0),MOD(ROW()-2,6)+1),INDEX('BASE METAS DIÁRIAS'!$B$2:$G$358,MATCH($A2052,'BASE METAS DIÁRIAS'!$A$2:$A$358,0),MOD(ROW()-2,6)+1),""),"")</f>
        <v/>
      </c>
      <c r="H2052" s="159">
        <f>IFERROR(IF(INDEX('CONTROLE PRODUÇÃO POR EMPRESAS'!$B$6:$G$5000,MATCH($A2052,'CONTROLE PRODUÇÃO POR EMPRESAS'!$A$6:$A$5000,0),MOD(ROW()-2,6)+1)="","",IFERROR(1*INDEX('CONTROLE PRODUÇÃO POR EMPRESAS'!$B$6:$G$5000,MATCH($A2052,'CONTROLE PRODUÇÃO POR EMPRESAS'!$A$6:$A$5000,0),MOD(ROW()-2,6)+1),"")),"")</f>
        <v/>
      </c>
      <c r="I2052" s="159">
        <f>IF(OR(NOT(ISNUMBER(G2052)),NOT(ISNUMBER(H2052))),"",H2052-G2052)</f>
        <v/>
      </c>
      <c r="J2052" s="319">
        <f>IF(OR(NOT(ISNUMBER(G2052)),NOT(ISNUMBER(H2052)),G2052=0),"",I2052/G2052)</f>
        <v/>
      </c>
      <c r="K2052" s="319">
        <f>IF(OR(NOT(ISNUMBER(G2052)),NOT(ISNUMBER(H2052)),G2052=0),"",H2052/G2052)</f>
        <v/>
      </c>
      <c r="L2052">
        <f>IF(NOT(ISNUMBER(G2052)),"SEM META",IF(G2052=0,"SEM META",IF(NOT(ISNUMBER(H2052)),"SEM APONTAMENTO",IF(H2052&gt;=G2052,"VERDE",IF(H2052&gt;=G2052*0.9,"AMARELO","VERMELHO")))))</f>
        <v/>
      </c>
      <c r="M2052" s="162" t="n"/>
      <c r="N2052" s="162" t="n"/>
      <c r="O2052" s="162" t="n"/>
      <c r="P2052" s="162" t="n"/>
      <c r="Q2052" s="320" t="n"/>
      <c r="R2052" s="162" t="inlineStr">
        <is>
          <t>CONTROLE PRODUÇÃO POR EMPRESAS!F347</t>
        </is>
      </c>
    </row>
    <row r="2053" ht="28.5" customHeight="1">
      <c r="A2053" s="317" t="n">
        <v>46564</v>
      </c>
      <c r="B2053" t="inlineStr">
        <is>
          <t>GERAL</t>
        </is>
      </c>
      <c r="C2053" t="inlineStr">
        <is>
          <t>CMM</t>
        </is>
      </c>
      <c r="D2053" t="inlineStr">
        <is>
          <t>VIGAS</t>
        </is>
      </c>
      <c r="F2053" s="159">
        <f>IFERROR(INDEX('BASE METAS DIÁRIAS'!$N$2:$S$358,MATCH($A2053,'BASE METAS DIÁRIAS'!$A$2:$A$358,0),MOD(ROW()-2,6)+1),"")</f>
        <v/>
      </c>
      <c r="G2053" s="159">
        <f>IFERROR(IF(WEEKDAY($A2053,2)&lt;=INDEX('BASE METAS DIÁRIAS'!$H$2:$M$358,MATCH($A2053,'BASE METAS DIÁRIAS'!$A$2:$A$358,0),MOD(ROW()-2,6)+1),INDEX('BASE METAS DIÁRIAS'!$B$2:$G$358,MATCH($A2053,'BASE METAS DIÁRIAS'!$A$2:$A$358,0),MOD(ROW()-2,6)+1),""),"")</f>
        <v/>
      </c>
      <c r="H2053" s="159">
        <f>IFERROR(IF(INDEX('CONTROLE PRODUÇÃO POR EMPRESAS'!$B$6:$G$5000,MATCH($A2053,'CONTROLE PRODUÇÃO POR EMPRESAS'!$A$6:$A$5000,0),MOD(ROW()-2,6)+1)="","",IFERROR(1*INDEX('CONTROLE PRODUÇÃO POR EMPRESAS'!$B$6:$G$5000,MATCH($A2053,'CONTROLE PRODUÇÃO POR EMPRESAS'!$A$6:$A$5000,0),MOD(ROW()-2,6)+1),"")),"")</f>
        <v/>
      </c>
      <c r="I2053" s="159">
        <f>IF(OR(NOT(ISNUMBER(G2053)),NOT(ISNUMBER(H2053))),"",H2053-G2053)</f>
        <v/>
      </c>
      <c r="J2053" s="319">
        <f>IF(OR(NOT(ISNUMBER(G2053)),NOT(ISNUMBER(H2053)),G2053=0),"",I2053/G2053)</f>
        <v/>
      </c>
      <c r="K2053" s="319">
        <f>IF(OR(NOT(ISNUMBER(G2053)),NOT(ISNUMBER(H2053)),G2053=0),"",H2053/G2053)</f>
        <v/>
      </c>
      <c r="L2053">
        <f>IF(NOT(ISNUMBER(G2053)),"SEM META",IF(G2053=0,"SEM META",IF(NOT(ISNUMBER(H2053)),"SEM APONTAMENTO",IF(H2053&gt;=G2053,"VERDE",IF(H2053&gt;=G2053*0.9,"AMARELO","VERMELHO")))))</f>
        <v/>
      </c>
      <c r="M2053" s="162" t="n"/>
      <c r="N2053" s="162" t="n"/>
      <c r="O2053" s="162" t="n"/>
      <c r="P2053" s="162" t="n"/>
      <c r="Q2053" s="320" t="n"/>
      <c r="R2053" s="162" t="inlineStr">
        <is>
          <t>CONTROLE PRODUÇÃO POR EMPRESAS!G347</t>
        </is>
      </c>
    </row>
    <row r="2054" ht="28.5" customHeight="1">
      <c r="A2054" s="317" t="n">
        <v>46565</v>
      </c>
      <c r="B2054" t="inlineStr">
        <is>
          <t>GERAL</t>
        </is>
      </c>
      <c r="C2054" t="inlineStr">
        <is>
          <t>EJ</t>
        </is>
      </c>
      <c r="D2054" t="inlineStr">
        <is>
          <t>PREMONTAGEM</t>
        </is>
      </c>
      <c r="F2054" s="159">
        <f>IFERROR(INDEX('BASE METAS DIÁRIAS'!$N$2:$S$358,MATCH($A2054,'BASE METAS DIÁRIAS'!$A$2:$A$358,0),MOD(ROW()-2,6)+1),"")</f>
        <v/>
      </c>
      <c r="G2054" s="159">
        <f>IFERROR(IF(WEEKDAY($A2054,2)&lt;=INDEX('BASE METAS DIÁRIAS'!$H$2:$M$358,MATCH($A2054,'BASE METAS DIÁRIAS'!$A$2:$A$358,0),MOD(ROW()-2,6)+1),INDEX('BASE METAS DIÁRIAS'!$B$2:$G$358,MATCH($A2054,'BASE METAS DIÁRIAS'!$A$2:$A$358,0),MOD(ROW()-2,6)+1),""),"")</f>
        <v/>
      </c>
      <c r="H2054" s="159">
        <f>IFERROR(IF(INDEX('CONTROLE PRODUÇÃO POR EMPRESAS'!$B$6:$G$5000,MATCH($A2054,'CONTROLE PRODUÇÃO POR EMPRESAS'!$A$6:$A$5000,0),MOD(ROW()-2,6)+1)="","",IFERROR(1*INDEX('CONTROLE PRODUÇÃO POR EMPRESAS'!$B$6:$G$5000,MATCH($A2054,'CONTROLE PRODUÇÃO POR EMPRESAS'!$A$6:$A$5000,0),MOD(ROW()-2,6)+1),"")),"")</f>
        <v/>
      </c>
      <c r="I2054" s="159">
        <f>IF(OR(NOT(ISNUMBER(G2054)),NOT(ISNUMBER(H2054))),"",H2054-G2054)</f>
        <v/>
      </c>
      <c r="J2054" s="319">
        <f>IF(OR(NOT(ISNUMBER(G2054)),NOT(ISNUMBER(H2054)),G2054=0),"",I2054/G2054)</f>
        <v/>
      </c>
      <c r="K2054" s="319">
        <f>IF(OR(NOT(ISNUMBER(G2054)),NOT(ISNUMBER(H2054)),G2054=0),"",H2054/G2054)</f>
        <v/>
      </c>
      <c r="L2054">
        <f>IF(NOT(ISNUMBER(G2054)),"SEM META",IF(G2054=0,"SEM META",IF(NOT(ISNUMBER(H2054)),"SEM APONTAMENTO",IF(H2054&gt;=G2054,"VERDE",IF(H2054&gt;=G2054*0.9,"AMARELO","VERMELHO")))))</f>
        <v/>
      </c>
      <c r="M2054" s="162" t="n"/>
      <c r="N2054" s="162" t="n"/>
      <c r="O2054" s="162" t="n"/>
      <c r="P2054" s="162" t="n"/>
      <c r="Q2054" s="320" t="n"/>
      <c r="R2054" s="162" t="inlineStr">
        <is>
          <t>CONTROLE PRODUÇÃO POR EMPRESAS!B348</t>
        </is>
      </c>
    </row>
    <row r="2055" ht="28.5" customHeight="1">
      <c r="A2055" s="317" t="n">
        <v>46565</v>
      </c>
      <c r="B2055" t="inlineStr">
        <is>
          <t>GERAL</t>
        </is>
      </c>
      <c r="C2055" t="inlineStr">
        <is>
          <t>EJ</t>
        </is>
      </c>
      <c r="D2055" t="inlineStr">
        <is>
          <t>IÇAMENTO JOIST</t>
        </is>
      </c>
      <c r="F2055" s="159">
        <f>IFERROR(INDEX('BASE METAS DIÁRIAS'!$N$2:$S$358,MATCH($A2055,'BASE METAS DIÁRIAS'!$A$2:$A$358,0),MOD(ROW()-2,6)+1),"")</f>
        <v/>
      </c>
      <c r="G2055" s="159">
        <f>IFERROR(IF(WEEKDAY($A2055,2)&lt;=INDEX('BASE METAS DIÁRIAS'!$H$2:$M$358,MATCH($A2055,'BASE METAS DIÁRIAS'!$A$2:$A$358,0),MOD(ROW()-2,6)+1),INDEX('BASE METAS DIÁRIAS'!$B$2:$G$358,MATCH($A2055,'BASE METAS DIÁRIAS'!$A$2:$A$358,0),MOD(ROW()-2,6)+1),""),"")</f>
        <v/>
      </c>
      <c r="H2055" s="159">
        <f>IFERROR(IF(INDEX('CONTROLE PRODUÇÃO POR EMPRESAS'!$B$6:$G$5000,MATCH($A2055,'CONTROLE PRODUÇÃO POR EMPRESAS'!$A$6:$A$5000,0),MOD(ROW()-2,6)+1)="","",IFERROR(1*INDEX('CONTROLE PRODUÇÃO POR EMPRESAS'!$B$6:$G$5000,MATCH($A2055,'CONTROLE PRODUÇÃO POR EMPRESAS'!$A$6:$A$5000,0),MOD(ROW()-2,6)+1),"")),"")</f>
        <v/>
      </c>
      <c r="I2055" s="159">
        <f>IF(OR(NOT(ISNUMBER(G2055)),NOT(ISNUMBER(H2055))),"",H2055-G2055)</f>
        <v/>
      </c>
      <c r="J2055" s="319">
        <f>IF(OR(NOT(ISNUMBER(G2055)),NOT(ISNUMBER(H2055)),G2055=0),"",I2055/G2055)</f>
        <v/>
      </c>
      <c r="K2055" s="319">
        <f>IF(OR(NOT(ISNUMBER(G2055)),NOT(ISNUMBER(H2055)),G2055=0),"",H2055/G2055)</f>
        <v/>
      </c>
      <c r="L2055">
        <f>IF(NOT(ISNUMBER(G2055)),"SEM META",IF(G2055=0,"SEM META",IF(NOT(ISNUMBER(H2055)),"SEM APONTAMENTO",IF(H2055&gt;=G2055,"VERDE",IF(H2055&gt;=G2055*0.9,"AMARELO","VERMELHO")))))</f>
        <v/>
      </c>
      <c r="M2055" s="162" t="n"/>
      <c r="N2055" s="162" t="n"/>
      <c r="O2055" s="162" t="n"/>
      <c r="P2055" s="162" t="n"/>
      <c r="Q2055" s="320" t="n"/>
      <c r="R2055" s="162" t="inlineStr">
        <is>
          <t>CONTROLE PRODUÇÃO POR EMPRESAS!C348</t>
        </is>
      </c>
    </row>
    <row r="2056" ht="28.5" customHeight="1">
      <c r="A2056" s="317" t="n">
        <v>46565</v>
      </c>
      <c r="B2056" t="inlineStr">
        <is>
          <t>GERAL</t>
        </is>
      </c>
      <c r="C2056" t="inlineStr">
        <is>
          <t>EJ</t>
        </is>
      </c>
      <c r="D2056" t="inlineStr">
        <is>
          <t>VIGAS</t>
        </is>
      </c>
      <c r="F2056" s="159">
        <f>IFERROR(INDEX('BASE METAS DIÁRIAS'!$N$2:$S$358,MATCH($A2056,'BASE METAS DIÁRIAS'!$A$2:$A$358,0),MOD(ROW()-2,6)+1),"")</f>
        <v/>
      </c>
      <c r="G2056" s="159">
        <f>IFERROR(IF(WEEKDAY($A2056,2)&lt;=INDEX('BASE METAS DIÁRIAS'!$H$2:$M$358,MATCH($A2056,'BASE METAS DIÁRIAS'!$A$2:$A$358,0),MOD(ROW()-2,6)+1),INDEX('BASE METAS DIÁRIAS'!$B$2:$G$358,MATCH($A2056,'BASE METAS DIÁRIAS'!$A$2:$A$358,0),MOD(ROW()-2,6)+1),""),"")</f>
        <v/>
      </c>
      <c r="H2056" s="159">
        <f>IFERROR(IF(INDEX('CONTROLE PRODUÇÃO POR EMPRESAS'!$B$6:$G$5000,MATCH($A2056,'CONTROLE PRODUÇÃO POR EMPRESAS'!$A$6:$A$5000,0),MOD(ROW()-2,6)+1)="","",IFERROR(1*INDEX('CONTROLE PRODUÇÃO POR EMPRESAS'!$B$6:$G$5000,MATCH($A2056,'CONTROLE PRODUÇÃO POR EMPRESAS'!$A$6:$A$5000,0),MOD(ROW()-2,6)+1),"")),"")</f>
        <v/>
      </c>
      <c r="I2056" s="159">
        <f>IF(OR(NOT(ISNUMBER(G2056)),NOT(ISNUMBER(H2056))),"",H2056-G2056)</f>
        <v/>
      </c>
      <c r="J2056" s="319">
        <f>IF(OR(NOT(ISNUMBER(G2056)),NOT(ISNUMBER(H2056)),G2056=0),"",I2056/G2056)</f>
        <v/>
      </c>
      <c r="K2056" s="319">
        <f>IF(OR(NOT(ISNUMBER(G2056)),NOT(ISNUMBER(H2056)),G2056=0),"",H2056/G2056)</f>
        <v/>
      </c>
      <c r="L2056">
        <f>IF(NOT(ISNUMBER(G2056)),"SEM META",IF(G2056=0,"SEM META",IF(NOT(ISNUMBER(H2056)),"SEM APONTAMENTO",IF(H2056&gt;=G2056,"VERDE",IF(H2056&gt;=G2056*0.9,"AMARELO","VERMELHO")))))</f>
        <v/>
      </c>
      <c r="M2056" s="162" t="n"/>
      <c r="N2056" s="162" t="n"/>
      <c r="O2056" s="162" t="n"/>
      <c r="P2056" s="162" t="n"/>
      <c r="Q2056" s="320" t="n"/>
      <c r="R2056" s="162" t="inlineStr">
        <is>
          <t>CONTROLE PRODUÇÃO POR EMPRESAS!D348</t>
        </is>
      </c>
    </row>
    <row r="2057" ht="28.5" customHeight="1">
      <c r="A2057" s="317" t="n">
        <v>46565</v>
      </c>
      <c r="B2057" t="inlineStr">
        <is>
          <t>GERAL</t>
        </is>
      </c>
      <c r="C2057" t="inlineStr">
        <is>
          <t>CMM</t>
        </is>
      </c>
      <c r="D2057" t="inlineStr">
        <is>
          <t>PREMONTAGEM</t>
        </is>
      </c>
      <c r="F2057" s="159">
        <f>IFERROR(INDEX('BASE METAS DIÁRIAS'!$N$2:$S$358,MATCH($A2057,'BASE METAS DIÁRIAS'!$A$2:$A$358,0),MOD(ROW()-2,6)+1),"")</f>
        <v/>
      </c>
      <c r="G2057" s="159">
        <f>IFERROR(IF(WEEKDAY($A2057,2)&lt;=INDEX('BASE METAS DIÁRIAS'!$H$2:$M$358,MATCH($A2057,'BASE METAS DIÁRIAS'!$A$2:$A$358,0),MOD(ROW()-2,6)+1),INDEX('BASE METAS DIÁRIAS'!$B$2:$G$358,MATCH($A2057,'BASE METAS DIÁRIAS'!$A$2:$A$358,0),MOD(ROW()-2,6)+1),""),"")</f>
        <v/>
      </c>
      <c r="H2057" s="159">
        <f>IFERROR(IF(INDEX('CONTROLE PRODUÇÃO POR EMPRESAS'!$B$6:$G$5000,MATCH($A2057,'CONTROLE PRODUÇÃO POR EMPRESAS'!$A$6:$A$5000,0),MOD(ROW()-2,6)+1)="","",IFERROR(1*INDEX('CONTROLE PRODUÇÃO POR EMPRESAS'!$B$6:$G$5000,MATCH($A2057,'CONTROLE PRODUÇÃO POR EMPRESAS'!$A$6:$A$5000,0),MOD(ROW()-2,6)+1),"")),"")</f>
        <v/>
      </c>
      <c r="I2057" s="159">
        <f>IF(OR(NOT(ISNUMBER(G2057)),NOT(ISNUMBER(H2057))),"",H2057-G2057)</f>
        <v/>
      </c>
      <c r="J2057" s="319">
        <f>IF(OR(NOT(ISNUMBER(G2057)),NOT(ISNUMBER(H2057)),G2057=0),"",I2057/G2057)</f>
        <v/>
      </c>
      <c r="K2057" s="319">
        <f>IF(OR(NOT(ISNUMBER(G2057)),NOT(ISNUMBER(H2057)),G2057=0),"",H2057/G2057)</f>
        <v/>
      </c>
      <c r="L2057">
        <f>IF(NOT(ISNUMBER(G2057)),"SEM META",IF(G2057=0,"SEM META",IF(NOT(ISNUMBER(H2057)),"SEM APONTAMENTO",IF(H2057&gt;=G2057,"VERDE",IF(H2057&gt;=G2057*0.9,"AMARELO","VERMELHO")))))</f>
        <v/>
      </c>
      <c r="M2057" s="162" t="n"/>
      <c r="N2057" s="162" t="n"/>
      <c r="O2057" s="162" t="n"/>
      <c r="P2057" s="162" t="n"/>
      <c r="Q2057" s="320" t="n"/>
      <c r="R2057" s="162" t="inlineStr">
        <is>
          <t>CONTROLE PRODUÇÃO POR EMPRESAS!E348</t>
        </is>
      </c>
    </row>
    <row r="2058" ht="28.5" customHeight="1">
      <c r="A2058" s="317" t="n">
        <v>46565</v>
      </c>
      <c r="B2058" t="inlineStr">
        <is>
          <t>GERAL</t>
        </is>
      </c>
      <c r="C2058" t="inlineStr">
        <is>
          <t>CMM</t>
        </is>
      </c>
      <c r="D2058" t="inlineStr">
        <is>
          <t>IÇAMENTO JOIST</t>
        </is>
      </c>
      <c r="F2058" s="159">
        <f>IFERROR(INDEX('BASE METAS DIÁRIAS'!$N$2:$S$358,MATCH($A2058,'BASE METAS DIÁRIAS'!$A$2:$A$358,0),MOD(ROW()-2,6)+1),"")</f>
        <v/>
      </c>
      <c r="G2058" s="159">
        <f>IFERROR(IF(WEEKDAY($A2058,2)&lt;=INDEX('BASE METAS DIÁRIAS'!$H$2:$M$358,MATCH($A2058,'BASE METAS DIÁRIAS'!$A$2:$A$358,0),MOD(ROW()-2,6)+1),INDEX('BASE METAS DIÁRIAS'!$B$2:$G$358,MATCH($A2058,'BASE METAS DIÁRIAS'!$A$2:$A$358,0),MOD(ROW()-2,6)+1),""),"")</f>
        <v/>
      </c>
      <c r="H2058" s="159">
        <f>IFERROR(IF(INDEX('CONTROLE PRODUÇÃO POR EMPRESAS'!$B$6:$G$5000,MATCH($A2058,'CONTROLE PRODUÇÃO POR EMPRESAS'!$A$6:$A$5000,0),MOD(ROW()-2,6)+1)="","",IFERROR(1*INDEX('CONTROLE PRODUÇÃO POR EMPRESAS'!$B$6:$G$5000,MATCH($A2058,'CONTROLE PRODUÇÃO POR EMPRESAS'!$A$6:$A$5000,0),MOD(ROW()-2,6)+1),"")),"")</f>
        <v/>
      </c>
      <c r="I2058" s="159">
        <f>IF(OR(NOT(ISNUMBER(G2058)),NOT(ISNUMBER(H2058))),"",H2058-G2058)</f>
        <v/>
      </c>
      <c r="J2058" s="319">
        <f>IF(OR(NOT(ISNUMBER(G2058)),NOT(ISNUMBER(H2058)),G2058=0),"",I2058/G2058)</f>
        <v/>
      </c>
      <c r="K2058" s="319">
        <f>IF(OR(NOT(ISNUMBER(G2058)),NOT(ISNUMBER(H2058)),G2058=0),"",H2058/G2058)</f>
        <v/>
      </c>
      <c r="L2058">
        <f>IF(NOT(ISNUMBER(G2058)),"SEM META",IF(G2058=0,"SEM META",IF(NOT(ISNUMBER(H2058)),"SEM APONTAMENTO",IF(H2058&gt;=G2058,"VERDE",IF(H2058&gt;=G2058*0.9,"AMARELO","VERMELHO")))))</f>
        <v/>
      </c>
      <c r="M2058" s="162" t="n"/>
      <c r="N2058" s="162" t="n"/>
      <c r="O2058" s="162" t="n"/>
      <c r="P2058" s="162" t="n"/>
      <c r="Q2058" s="320" t="n"/>
      <c r="R2058" s="162" t="inlineStr">
        <is>
          <t>CONTROLE PRODUÇÃO POR EMPRESAS!F348</t>
        </is>
      </c>
    </row>
    <row r="2059" ht="28.5" customHeight="1">
      <c r="A2059" s="317" t="n">
        <v>46565</v>
      </c>
      <c r="B2059" t="inlineStr">
        <is>
          <t>GERAL</t>
        </is>
      </c>
      <c r="C2059" t="inlineStr">
        <is>
          <t>CMM</t>
        </is>
      </c>
      <c r="D2059" t="inlineStr">
        <is>
          <t>VIGAS</t>
        </is>
      </c>
      <c r="F2059" s="159">
        <f>IFERROR(INDEX('BASE METAS DIÁRIAS'!$N$2:$S$358,MATCH($A2059,'BASE METAS DIÁRIAS'!$A$2:$A$358,0),MOD(ROW()-2,6)+1),"")</f>
        <v/>
      </c>
      <c r="G2059" s="159">
        <f>IFERROR(IF(WEEKDAY($A2059,2)&lt;=INDEX('BASE METAS DIÁRIAS'!$H$2:$M$358,MATCH($A2059,'BASE METAS DIÁRIAS'!$A$2:$A$358,0),MOD(ROW()-2,6)+1),INDEX('BASE METAS DIÁRIAS'!$B$2:$G$358,MATCH($A2059,'BASE METAS DIÁRIAS'!$A$2:$A$358,0),MOD(ROW()-2,6)+1),""),"")</f>
        <v/>
      </c>
      <c r="H2059" s="159">
        <f>IFERROR(IF(INDEX('CONTROLE PRODUÇÃO POR EMPRESAS'!$B$6:$G$5000,MATCH($A2059,'CONTROLE PRODUÇÃO POR EMPRESAS'!$A$6:$A$5000,0),MOD(ROW()-2,6)+1)="","",IFERROR(1*INDEX('CONTROLE PRODUÇÃO POR EMPRESAS'!$B$6:$G$5000,MATCH($A2059,'CONTROLE PRODUÇÃO POR EMPRESAS'!$A$6:$A$5000,0),MOD(ROW()-2,6)+1),"")),"")</f>
        <v/>
      </c>
      <c r="I2059" s="159">
        <f>IF(OR(NOT(ISNUMBER(G2059)),NOT(ISNUMBER(H2059))),"",H2059-G2059)</f>
        <v/>
      </c>
      <c r="J2059" s="319">
        <f>IF(OR(NOT(ISNUMBER(G2059)),NOT(ISNUMBER(H2059)),G2059=0),"",I2059/G2059)</f>
        <v/>
      </c>
      <c r="K2059" s="319">
        <f>IF(OR(NOT(ISNUMBER(G2059)),NOT(ISNUMBER(H2059)),G2059=0),"",H2059/G2059)</f>
        <v/>
      </c>
      <c r="L2059">
        <f>IF(NOT(ISNUMBER(G2059)),"SEM META",IF(G2059=0,"SEM META",IF(NOT(ISNUMBER(H2059)),"SEM APONTAMENTO",IF(H2059&gt;=G2059,"VERDE",IF(H2059&gt;=G2059*0.9,"AMARELO","VERMELHO")))))</f>
        <v/>
      </c>
      <c r="M2059" s="162" t="n"/>
      <c r="N2059" s="162" t="n"/>
      <c r="O2059" s="162" t="n"/>
      <c r="P2059" s="162" t="n"/>
      <c r="Q2059" s="320" t="n"/>
      <c r="R2059" s="162" t="inlineStr">
        <is>
          <t>CONTROLE PRODUÇÃO POR EMPRESAS!G348</t>
        </is>
      </c>
    </row>
    <row r="2060" ht="28.5" customHeight="1">
      <c r="A2060" s="317" t="n">
        <v>46566</v>
      </c>
      <c r="B2060" t="inlineStr">
        <is>
          <t>GERAL</t>
        </is>
      </c>
      <c r="C2060" t="inlineStr">
        <is>
          <t>EJ</t>
        </is>
      </c>
      <c r="D2060" t="inlineStr">
        <is>
          <t>PREMONTAGEM</t>
        </is>
      </c>
      <c r="F2060" s="159">
        <f>IFERROR(INDEX('BASE METAS DIÁRIAS'!$N$2:$S$358,MATCH($A2060,'BASE METAS DIÁRIAS'!$A$2:$A$358,0),MOD(ROW()-2,6)+1),"")</f>
        <v/>
      </c>
      <c r="G2060" s="159">
        <f>IFERROR(IF(WEEKDAY($A2060,2)&lt;=INDEX('BASE METAS DIÁRIAS'!$H$2:$M$358,MATCH($A2060,'BASE METAS DIÁRIAS'!$A$2:$A$358,0),MOD(ROW()-2,6)+1),INDEX('BASE METAS DIÁRIAS'!$B$2:$G$358,MATCH($A2060,'BASE METAS DIÁRIAS'!$A$2:$A$358,0),MOD(ROW()-2,6)+1),""),"")</f>
        <v/>
      </c>
      <c r="H2060" s="159">
        <f>IFERROR(IF(INDEX('CONTROLE PRODUÇÃO POR EMPRESAS'!$B$6:$G$5000,MATCH($A2060,'CONTROLE PRODUÇÃO POR EMPRESAS'!$A$6:$A$5000,0),MOD(ROW()-2,6)+1)="","",IFERROR(1*INDEX('CONTROLE PRODUÇÃO POR EMPRESAS'!$B$6:$G$5000,MATCH($A2060,'CONTROLE PRODUÇÃO POR EMPRESAS'!$A$6:$A$5000,0),MOD(ROW()-2,6)+1),"")),"")</f>
        <v/>
      </c>
      <c r="I2060" s="159">
        <f>IF(OR(NOT(ISNUMBER(G2060)),NOT(ISNUMBER(H2060))),"",H2060-G2060)</f>
        <v/>
      </c>
      <c r="J2060" s="319">
        <f>IF(OR(NOT(ISNUMBER(G2060)),NOT(ISNUMBER(H2060)),G2060=0),"",I2060/G2060)</f>
        <v/>
      </c>
      <c r="K2060" s="319">
        <f>IF(OR(NOT(ISNUMBER(G2060)),NOT(ISNUMBER(H2060)),G2060=0),"",H2060/G2060)</f>
        <v/>
      </c>
      <c r="L2060">
        <f>IF(NOT(ISNUMBER(G2060)),"SEM META",IF(G2060=0,"SEM META",IF(NOT(ISNUMBER(H2060)),"SEM APONTAMENTO",IF(H2060&gt;=G2060,"VERDE",IF(H2060&gt;=G2060*0.9,"AMARELO","VERMELHO")))))</f>
        <v/>
      </c>
      <c r="M2060" s="162" t="n"/>
      <c r="N2060" s="162" t="n"/>
      <c r="O2060" s="162" t="n"/>
      <c r="P2060" s="162" t="n"/>
      <c r="Q2060" s="320" t="n"/>
      <c r="R2060" s="162" t="inlineStr">
        <is>
          <t>CONTROLE PRODUÇÃO POR EMPRESAS!B349</t>
        </is>
      </c>
    </row>
    <row r="2061" ht="28.5" customHeight="1">
      <c r="A2061" s="317" t="n">
        <v>46566</v>
      </c>
      <c r="B2061" t="inlineStr">
        <is>
          <t>GERAL</t>
        </is>
      </c>
      <c r="C2061" t="inlineStr">
        <is>
          <t>EJ</t>
        </is>
      </c>
      <c r="D2061" t="inlineStr">
        <is>
          <t>IÇAMENTO JOIST</t>
        </is>
      </c>
      <c r="F2061" s="159">
        <f>IFERROR(INDEX('BASE METAS DIÁRIAS'!$N$2:$S$358,MATCH($A2061,'BASE METAS DIÁRIAS'!$A$2:$A$358,0),MOD(ROW()-2,6)+1),"")</f>
        <v/>
      </c>
      <c r="G2061" s="159">
        <f>IFERROR(IF(WEEKDAY($A2061,2)&lt;=INDEX('BASE METAS DIÁRIAS'!$H$2:$M$358,MATCH($A2061,'BASE METAS DIÁRIAS'!$A$2:$A$358,0),MOD(ROW()-2,6)+1),INDEX('BASE METAS DIÁRIAS'!$B$2:$G$358,MATCH($A2061,'BASE METAS DIÁRIAS'!$A$2:$A$358,0),MOD(ROW()-2,6)+1),""),"")</f>
        <v/>
      </c>
      <c r="H2061" s="159">
        <f>IFERROR(IF(INDEX('CONTROLE PRODUÇÃO POR EMPRESAS'!$B$6:$G$5000,MATCH($A2061,'CONTROLE PRODUÇÃO POR EMPRESAS'!$A$6:$A$5000,0),MOD(ROW()-2,6)+1)="","",IFERROR(1*INDEX('CONTROLE PRODUÇÃO POR EMPRESAS'!$B$6:$G$5000,MATCH($A2061,'CONTROLE PRODUÇÃO POR EMPRESAS'!$A$6:$A$5000,0),MOD(ROW()-2,6)+1),"")),"")</f>
        <v/>
      </c>
      <c r="I2061" s="159">
        <f>IF(OR(NOT(ISNUMBER(G2061)),NOT(ISNUMBER(H2061))),"",H2061-G2061)</f>
        <v/>
      </c>
      <c r="J2061" s="319">
        <f>IF(OR(NOT(ISNUMBER(G2061)),NOT(ISNUMBER(H2061)),G2061=0),"",I2061/G2061)</f>
        <v/>
      </c>
      <c r="K2061" s="319">
        <f>IF(OR(NOT(ISNUMBER(G2061)),NOT(ISNUMBER(H2061)),G2061=0),"",H2061/G2061)</f>
        <v/>
      </c>
      <c r="L2061">
        <f>IF(NOT(ISNUMBER(G2061)),"SEM META",IF(G2061=0,"SEM META",IF(NOT(ISNUMBER(H2061)),"SEM APONTAMENTO",IF(H2061&gt;=G2061,"VERDE",IF(H2061&gt;=G2061*0.9,"AMARELO","VERMELHO")))))</f>
        <v/>
      </c>
      <c r="M2061" s="162" t="n"/>
      <c r="N2061" s="162" t="n"/>
      <c r="O2061" s="162" t="n"/>
      <c r="P2061" s="162" t="n"/>
      <c r="Q2061" s="320" t="n"/>
      <c r="R2061" s="162" t="inlineStr">
        <is>
          <t>CONTROLE PRODUÇÃO POR EMPRESAS!C349</t>
        </is>
      </c>
    </row>
    <row r="2062" ht="28.5" customHeight="1">
      <c r="A2062" s="317" t="n">
        <v>46566</v>
      </c>
      <c r="B2062" t="inlineStr">
        <is>
          <t>GERAL</t>
        </is>
      </c>
      <c r="C2062" t="inlineStr">
        <is>
          <t>EJ</t>
        </is>
      </c>
      <c r="D2062" t="inlineStr">
        <is>
          <t>VIGAS</t>
        </is>
      </c>
      <c r="F2062" s="159">
        <f>IFERROR(INDEX('BASE METAS DIÁRIAS'!$N$2:$S$358,MATCH($A2062,'BASE METAS DIÁRIAS'!$A$2:$A$358,0),MOD(ROW()-2,6)+1),"")</f>
        <v/>
      </c>
      <c r="G2062" s="159">
        <f>IFERROR(IF(WEEKDAY($A2062,2)&lt;=INDEX('BASE METAS DIÁRIAS'!$H$2:$M$358,MATCH($A2062,'BASE METAS DIÁRIAS'!$A$2:$A$358,0),MOD(ROW()-2,6)+1),INDEX('BASE METAS DIÁRIAS'!$B$2:$G$358,MATCH($A2062,'BASE METAS DIÁRIAS'!$A$2:$A$358,0),MOD(ROW()-2,6)+1),""),"")</f>
        <v/>
      </c>
      <c r="H2062" s="159">
        <f>IFERROR(IF(INDEX('CONTROLE PRODUÇÃO POR EMPRESAS'!$B$6:$G$5000,MATCH($A2062,'CONTROLE PRODUÇÃO POR EMPRESAS'!$A$6:$A$5000,0),MOD(ROW()-2,6)+1)="","",IFERROR(1*INDEX('CONTROLE PRODUÇÃO POR EMPRESAS'!$B$6:$G$5000,MATCH($A2062,'CONTROLE PRODUÇÃO POR EMPRESAS'!$A$6:$A$5000,0),MOD(ROW()-2,6)+1),"")),"")</f>
        <v/>
      </c>
      <c r="I2062" s="159">
        <f>IF(OR(NOT(ISNUMBER(G2062)),NOT(ISNUMBER(H2062))),"",H2062-G2062)</f>
        <v/>
      </c>
      <c r="J2062" s="319">
        <f>IF(OR(NOT(ISNUMBER(G2062)),NOT(ISNUMBER(H2062)),G2062=0),"",I2062/G2062)</f>
        <v/>
      </c>
      <c r="K2062" s="319">
        <f>IF(OR(NOT(ISNUMBER(G2062)),NOT(ISNUMBER(H2062)),G2062=0),"",H2062/G2062)</f>
        <v/>
      </c>
      <c r="L2062">
        <f>IF(NOT(ISNUMBER(G2062)),"SEM META",IF(G2062=0,"SEM META",IF(NOT(ISNUMBER(H2062)),"SEM APONTAMENTO",IF(H2062&gt;=G2062,"VERDE",IF(H2062&gt;=G2062*0.9,"AMARELO","VERMELHO")))))</f>
        <v/>
      </c>
      <c r="M2062" s="162" t="n"/>
      <c r="N2062" s="162" t="n"/>
      <c r="O2062" s="162" t="n"/>
      <c r="P2062" s="162" t="n"/>
      <c r="Q2062" s="320" t="n"/>
      <c r="R2062" s="162" t="inlineStr">
        <is>
          <t>CONTROLE PRODUÇÃO POR EMPRESAS!D349</t>
        </is>
      </c>
    </row>
    <row r="2063" ht="28.5" customHeight="1">
      <c r="A2063" s="317" t="n">
        <v>46566</v>
      </c>
      <c r="B2063" t="inlineStr">
        <is>
          <t>GERAL</t>
        </is>
      </c>
      <c r="C2063" t="inlineStr">
        <is>
          <t>CMM</t>
        </is>
      </c>
      <c r="D2063" t="inlineStr">
        <is>
          <t>PREMONTAGEM</t>
        </is>
      </c>
      <c r="F2063" s="159">
        <f>IFERROR(INDEX('BASE METAS DIÁRIAS'!$N$2:$S$358,MATCH($A2063,'BASE METAS DIÁRIAS'!$A$2:$A$358,0),MOD(ROW()-2,6)+1),"")</f>
        <v/>
      </c>
      <c r="G2063" s="159">
        <f>IFERROR(IF(WEEKDAY($A2063,2)&lt;=INDEX('BASE METAS DIÁRIAS'!$H$2:$M$358,MATCH($A2063,'BASE METAS DIÁRIAS'!$A$2:$A$358,0),MOD(ROW()-2,6)+1),INDEX('BASE METAS DIÁRIAS'!$B$2:$G$358,MATCH($A2063,'BASE METAS DIÁRIAS'!$A$2:$A$358,0),MOD(ROW()-2,6)+1),""),"")</f>
        <v/>
      </c>
      <c r="H2063" s="159">
        <f>IFERROR(IF(INDEX('CONTROLE PRODUÇÃO POR EMPRESAS'!$B$6:$G$5000,MATCH($A2063,'CONTROLE PRODUÇÃO POR EMPRESAS'!$A$6:$A$5000,0),MOD(ROW()-2,6)+1)="","",IFERROR(1*INDEX('CONTROLE PRODUÇÃO POR EMPRESAS'!$B$6:$G$5000,MATCH($A2063,'CONTROLE PRODUÇÃO POR EMPRESAS'!$A$6:$A$5000,0),MOD(ROW()-2,6)+1),"")),"")</f>
        <v/>
      </c>
      <c r="I2063" s="159">
        <f>IF(OR(NOT(ISNUMBER(G2063)),NOT(ISNUMBER(H2063))),"",H2063-G2063)</f>
        <v/>
      </c>
      <c r="J2063" s="319">
        <f>IF(OR(NOT(ISNUMBER(G2063)),NOT(ISNUMBER(H2063)),G2063=0),"",I2063/G2063)</f>
        <v/>
      </c>
      <c r="K2063" s="319">
        <f>IF(OR(NOT(ISNUMBER(G2063)),NOT(ISNUMBER(H2063)),G2063=0),"",H2063/G2063)</f>
        <v/>
      </c>
      <c r="L2063">
        <f>IF(NOT(ISNUMBER(G2063)),"SEM META",IF(G2063=0,"SEM META",IF(NOT(ISNUMBER(H2063)),"SEM APONTAMENTO",IF(H2063&gt;=G2063,"VERDE",IF(H2063&gt;=G2063*0.9,"AMARELO","VERMELHO")))))</f>
        <v/>
      </c>
      <c r="M2063" s="162" t="n"/>
      <c r="N2063" s="162" t="n"/>
      <c r="O2063" s="162" t="n"/>
      <c r="P2063" s="162" t="n"/>
      <c r="Q2063" s="320" t="n"/>
      <c r="R2063" s="162" t="inlineStr">
        <is>
          <t>CONTROLE PRODUÇÃO POR EMPRESAS!E349</t>
        </is>
      </c>
    </row>
    <row r="2064" ht="28.5" customHeight="1">
      <c r="A2064" s="317" t="n">
        <v>46566</v>
      </c>
      <c r="B2064" t="inlineStr">
        <is>
          <t>GERAL</t>
        </is>
      </c>
      <c r="C2064" t="inlineStr">
        <is>
          <t>CMM</t>
        </is>
      </c>
      <c r="D2064" t="inlineStr">
        <is>
          <t>IÇAMENTO JOIST</t>
        </is>
      </c>
      <c r="F2064" s="159">
        <f>IFERROR(INDEX('BASE METAS DIÁRIAS'!$N$2:$S$358,MATCH($A2064,'BASE METAS DIÁRIAS'!$A$2:$A$358,0),MOD(ROW()-2,6)+1),"")</f>
        <v/>
      </c>
      <c r="G2064" s="159">
        <f>IFERROR(IF(WEEKDAY($A2064,2)&lt;=INDEX('BASE METAS DIÁRIAS'!$H$2:$M$358,MATCH($A2064,'BASE METAS DIÁRIAS'!$A$2:$A$358,0),MOD(ROW()-2,6)+1),INDEX('BASE METAS DIÁRIAS'!$B$2:$G$358,MATCH($A2064,'BASE METAS DIÁRIAS'!$A$2:$A$358,0),MOD(ROW()-2,6)+1),""),"")</f>
        <v/>
      </c>
      <c r="H2064" s="159">
        <f>IFERROR(IF(INDEX('CONTROLE PRODUÇÃO POR EMPRESAS'!$B$6:$G$5000,MATCH($A2064,'CONTROLE PRODUÇÃO POR EMPRESAS'!$A$6:$A$5000,0),MOD(ROW()-2,6)+1)="","",IFERROR(1*INDEX('CONTROLE PRODUÇÃO POR EMPRESAS'!$B$6:$G$5000,MATCH($A2064,'CONTROLE PRODUÇÃO POR EMPRESAS'!$A$6:$A$5000,0),MOD(ROW()-2,6)+1),"")),"")</f>
        <v/>
      </c>
      <c r="I2064" s="159">
        <f>IF(OR(NOT(ISNUMBER(G2064)),NOT(ISNUMBER(H2064))),"",H2064-G2064)</f>
        <v/>
      </c>
      <c r="J2064" s="319">
        <f>IF(OR(NOT(ISNUMBER(G2064)),NOT(ISNUMBER(H2064)),G2064=0),"",I2064/G2064)</f>
        <v/>
      </c>
      <c r="K2064" s="319">
        <f>IF(OR(NOT(ISNUMBER(G2064)),NOT(ISNUMBER(H2064)),G2064=0),"",H2064/G2064)</f>
        <v/>
      </c>
      <c r="L2064">
        <f>IF(NOT(ISNUMBER(G2064)),"SEM META",IF(G2064=0,"SEM META",IF(NOT(ISNUMBER(H2064)),"SEM APONTAMENTO",IF(H2064&gt;=G2064,"VERDE",IF(H2064&gt;=G2064*0.9,"AMARELO","VERMELHO")))))</f>
        <v/>
      </c>
      <c r="M2064" s="162" t="n"/>
      <c r="N2064" s="162" t="n"/>
      <c r="O2064" s="162" t="n"/>
      <c r="P2064" s="162" t="n"/>
      <c r="Q2064" s="320" t="n"/>
      <c r="R2064" s="162" t="inlineStr">
        <is>
          <t>CONTROLE PRODUÇÃO POR EMPRESAS!F349</t>
        </is>
      </c>
    </row>
    <row r="2065" ht="28.5" customHeight="1">
      <c r="A2065" s="317" t="n">
        <v>46566</v>
      </c>
      <c r="B2065" t="inlineStr">
        <is>
          <t>GERAL</t>
        </is>
      </c>
      <c r="C2065" t="inlineStr">
        <is>
          <t>CMM</t>
        </is>
      </c>
      <c r="D2065" t="inlineStr">
        <is>
          <t>VIGAS</t>
        </is>
      </c>
      <c r="F2065" s="159">
        <f>IFERROR(INDEX('BASE METAS DIÁRIAS'!$N$2:$S$358,MATCH($A2065,'BASE METAS DIÁRIAS'!$A$2:$A$358,0),MOD(ROW()-2,6)+1),"")</f>
        <v/>
      </c>
      <c r="G2065" s="159">
        <f>IFERROR(IF(WEEKDAY($A2065,2)&lt;=INDEX('BASE METAS DIÁRIAS'!$H$2:$M$358,MATCH($A2065,'BASE METAS DIÁRIAS'!$A$2:$A$358,0),MOD(ROW()-2,6)+1),INDEX('BASE METAS DIÁRIAS'!$B$2:$G$358,MATCH($A2065,'BASE METAS DIÁRIAS'!$A$2:$A$358,0),MOD(ROW()-2,6)+1),""),"")</f>
        <v/>
      </c>
      <c r="H2065" s="159">
        <f>IFERROR(IF(INDEX('CONTROLE PRODUÇÃO POR EMPRESAS'!$B$6:$G$5000,MATCH($A2065,'CONTROLE PRODUÇÃO POR EMPRESAS'!$A$6:$A$5000,0),MOD(ROW()-2,6)+1)="","",IFERROR(1*INDEX('CONTROLE PRODUÇÃO POR EMPRESAS'!$B$6:$G$5000,MATCH($A2065,'CONTROLE PRODUÇÃO POR EMPRESAS'!$A$6:$A$5000,0),MOD(ROW()-2,6)+1),"")),"")</f>
        <v/>
      </c>
      <c r="I2065" s="159">
        <f>IF(OR(NOT(ISNUMBER(G2065)),NOT(ISNUMBER(H2065))),"",H2065-G2065)</f>
        <v/>
      </c>
      <c r="J2065" s="319">
        <f>IF(OR(NOT(ISNUMBER(G2065)),NOT(ISNUMBER(H2065)),G2065=0),"",I2065/G2065)</f>
        <v/>
      </c>
      <c r="K2065" s="319">
        <f>IF(OR(NOT(ISNUMBER(G2065)),NOT(ISNUMBER(H2065)),G2065=0),"",H2065/G2065)</f>
        <v/>
      </c>
      <c r="L2065">
        <f>IF(NOT(ISNUMBER(G2065)),"SEM META",IF(G2065=0,"SEM META",IF(NOT(ISNUMBER(H2065)),"SEM APONTAMENTO",IF(H2065&gt;=G2065,"VERDE",IF(H2065&gt;=G2065*0.9,"AMARELO","VERMELHO")))))</f>
        <v/>
      </c>
      <c r="M2065" s="162" t="n"/>
      <c r="N2065" s="162" t="n"/>
      <c r="O2065" s="162" t="n"/>
      <c r="P2065" s="162" t="n"/>
      <c r="Q2065" s="320" t="n"/>
      <c r="R2065" s="162" t="inlineStr">
        <is>
          <t>CONTROLE PRODUÇÃO POR EMPRESAS!G349</t>
        </is>
      </c>
    </row>
    <row r="2066" ht="28.5" customHeight="1">
      <c r="A2066" s="317" t="n">
        <v>46567</v>
      </c>
      <c r="B2066" t="inlineStr">
        <is>
          <t>GERAL</t>
        </is>
      </c>
      <c r="C2066" t="inlineStr">
        <is>
          <t>EJ</t>
        </is>
      </c>
      <c r="D2066" t="inlineStr">
        <is>
          <t>PREMONTAGEM</t>
        </is>
      </c>
      <c r="F2066" s="159">
        <f>IFERROR(INDEX('BASE METAS DIÁRIAS'!$N$2:$S$358,MATCH($A2066,'BASE METAS DIÁRIAS'!$A$2:$A$358,0),MOD(ROW()-2,6)+1),"")</f>
        <v/>
      </c>
      <c r="G2066" s="159">
        <f>IFERROR(IF(WEEKDAY($A2066,2)&lt;=INDEX('BASE METAS DIÁRIAS'!$H$2:$M$358,MATCH($A2066,'BASE METAS DIÁRIAS'!$A$2:$A$358,0),MOD(ROW()-2,6)+1),INDEX('BASE METAS DIÁRIAS'!$B$2:$G$358,MATCH($A2066,'BASE METAS DIÁRIAS'!$A$2:$A$358,0),MOD(ROW()-2,6)+1),""),"")</f>
        <v/>
      </c>
      <c r="H2066" s="159">
        <f>IFERROR(IF(INDEX('CONTROLE PRODUÇÃO POR EMPRESAS'!$B$6:$G$5000,MATCH($A2066,'CONTROLE PRODUÇÃO POR EMPRESAS'!$A$6:$A$5000,0),MOD(ROW()-2,6)+1)="","",IFERROR(1*INDEX('CONTROLE PRODUÇÃO POR EMPRESAS'!$B$6:$G$5000,MATCH($A2066,'CONTROLE PRODUÇÃO POR EMPRESAS'!$A$6:$A$5000,0),MOD(ROW()-2,6)+1),"")),"")</f>
        <v/>
      </c>
      <c r="I2066" s="159">
        <f>IF(OR(NOT(ISNUMBER(G2066)),NOT(ISNUMBER(H2066))),"",H2066-G2066)</f>
        <v/>
      </c>
      <c r="J2066" s="319">
        <f>IF(OR(NOT(ISNUMBER(G2066)),NOT(ISNUMBER(H2066)),G2066=0),"",I2066/G2066)</f>
        <v/>
      </c>
      <c r="K2066" s="319">
        <f>IF(OR(NOT(ISNUMBER(G2066)),NOT(ISNUMBER(H2066)),G2066=0),"",H2066/G2066)</f>
        <v/>
      </c>
      <c r="L2066">
        <f>IF(NOT(ISNUMBER(G2066)),"SEM META",IF(G2066=0,"SEM META",IF(NOT(ISNUMBER(H2066)),"SEM APONTAMENTO",IF(H2066&gt;=G2066,"VERDE",IF(H2066&gt;=G2066*0.9,"AMARELO","VERMELHO")))))</f>
        <v/>
      </c>
      <c r="M2066" s="162" t="n"/>
      <c r="N2066" s="162" t="n"/>
      <c r="O2066" s="162" t="n"/>
      <c r="P2066" s="162" t="n"/>
      <c r="Q2066" s="320" t="n"/>
      <c r="R2066" s="162" t="inlineStr">
        <is>
          <t>CONTROLE PRODUÇÃO POR EMPRESAS!B350</t>
        </is>
      </c>
    </row>
    <row r="2067" ht="28.5" customHeight="1">
      <c r="A2067" s="317" t="n">
        <v>46567</v>
      </c>
      <c r="B2067" t="inlineStr">
        <is>
          <t>GERAL</t>
        </is>
      </c>
      <c r="C2067" t="inlineStr">
        <is>
          <t>EJ</t>
        </is>
      </c>
      <c r="D2067" t="inlineStr">
        <is>
          <t>IÇAMENTO JOIST</t>
        </is>
      </c>
      <c r="F2067" s="159">
        <f>IFERROR(INDEX('BASE METAS DIÁRIAS'!$N$2:$S$358,MATCH($A2067,'BASE METAS DIÁRIAS'!$A$2:$A$358,0),MOD(ROW()-2,6)+1),"")</f>
        <v/>
      </c>
      <c r="G2067" s="159">
        <f>IFERROR(IF(WEEKDAY($A2067,2)&lt;=INDEX('BASE METAS DIÁRIAS'!$H$2:$M$358,MATCH($A2067,'BASE METAS DIÁRIAS'!$A$2:$A$358,0),MOD(ROW()-2,6)+1),INDEX('BASE METAS DIÁRIAS'!$B$2:$G$358,MATCH($A2067,'BASE METAS DIÁRIAS'!$A$2:$A$358,0),MOD(ROW()-2,6)+1),""),"")</f>
        <v/>
      </c>
      <c r="H2067" s="159">
        <f>IFERROR(IF(INDEX('CONTROLE PRODUÇÃO POR EMPRESAS'!$B$6:$G$5000,MATCH($A2067,'CONTROLE PRODUÇÃO POR EMPRESAS'!$A$6:$A$5000,0),MOD(ROW()-2,6)+1)="","",IFERROR(1*INDEX('CONTROLE PRODUÇÃO POR EMPRESAS'!$B$6:$G$5000,MATCH($A2067,'CONTROLE PRODUÇÃO POR EMPRESAS'!$A$6:$A$5000,0),MOD(ROW()-2,6)+1),"")),"")</f>
        <v/>
      </c>
      <c r="I2067" s="159">
        <f>IF(OR(NOT(ISNUMBER(G2067)),NOT(ISNUMBER(H2067))),"",H2067-G2067)</f>
        <v/>
      </c>
      <c r="J2067" s="319">
        <f>IF(OR(NOT(ISNUMBER(G2067)),NOT(ISNUMBER(H2067)),G2067=0),"",I2067/G2067)</f>
        <v/>
      </c>
      <c r="K2067" s="319">
        <f>IF(OR(NOT(ISNUMBER(G2067)),NOT(ISNUMBER(H2067)),G2067=0),"",H2067/G2067)</f>
        <v/>
      </c>
      <c r="L2067">
        <f>IF(NOT(ISNUMBER(G2067)),"SEM META",IF(G2067=0,"SEM META",IF(NOT(ISNUMBER(H2067)),"SEM APONTAMENTO",IF(H2067&gt;=G2067,"VERDE",IF(H2067&gt;=G2067*0.9,"AMARELO","VERMELHO")))))</f>
        <v/>
      </c>
      <c r="M2067" s="162" t="n"/>
      <c r="N2067" s="162" t="n"/>
      <c r="O2067" s="162" t="n"/>
      <c r="P2067" s="162" t="n"/>
      <c r="Q2067" s="320" t="n"/>
      <c r="R2067" s="162" t="inlineStr">
        <is>
          <t>CONTROLE PRODUÇÃO POR EMPRESAS!C350</t>
        </is>
      </c>
    </row>
    <row r="2068" ht="28.5" customHeight="1">
      <c r="A2068" s="317" t="n">
        <v>46567</v>
      </c>
      <c r="B2068" t="inlineStr">
        <is>
          <t>GERAL</t>
        </is>
      </c>
      <c r="C2068" t="inlineStr">
        <is>
          <t>EJ</t>
        </is>
      </c>
      <c r="D2068" t="inlineStr">
        <is>
          <t>VIGAS</t>
        </is>
      </c>
      <c r="F2068" s="159">
        <f>IFERROR(INDEX('BASE METAS DIÁRIAS'!$N$2:$S$358,MATCH($A2068,'BASE METAS DIÁRIAS'!$A$2:$A$358,0),MOD(ROW()-2,6)+1),"")</f>
        <v/>
      </c>
      <c r="G2068" s="159">
        <f>IFERROR(IF(WEEKDAY($A2068,2)&lt;=INDEX('BASE METAS DIÁRIAS'!$H$2:$M$358,MATCH($A2068,'BASE METAS DIÁRIAS'!$A$2:$A$358,0),MOD(ROW()-2,6)+1),INDEX('BASE METAS DIÁRIAS'!$B$2:$G$358,MATCH($A2068,'BASE METAS DIÁRIAS'!$A$2:$A$358,0),MOD(ROW()-2,6)+1),""),"")</f>
        <v/>
      </c>
      <c r="H2068" s="159">
        <f>IFERROR(IF(INDEX('CONTROLE PRODUÇÃO POR EMPRESAS'!$B$6:$G$5000,MATCH($A2068,'CONTROLE PRODUÇÃO POR EMPRESAS'!$A$6:$A$5000,0),MOD(ROW()-2,6)+1)="","",IFERROR(1*INDEX('CONTROLE PRODUÇÃO POR EMPRESAS'!$B$6:$G$5000,MATCH($A2068,'CONTROLE PRODUÇÃO POR EMPRESAS'!$A$6:$A$5000,0),MOD(ROW()-2,6)+1),"")),"")</f>
        <v/>
      </c>
      <c r="I2068" s="159">
        <f>IF(OR(NOT(ISNUMBER(G2068)),NOT(ISNUMBER(H2068))),"",H2068-G2068)</f>
        <v/>
      </c>
      <c r="J2068" s="319">
        <f>IF(OR(NOT(ISNUMBER(G2068)),NOT(ISNUMBER(H2068)),G2068=0),"",I2068/G2068)</f>
        <v/>
      </c>
      <c r="K2068" s="319">
        <f>IF(OR(NOT(ISNUMBER(G2068)),NOT(ISNUMBER(H2068)),G2068=0),"",H2068/G2068)</f>
        <v/>
      </c>
      <c r="L2068">
        <f>IF(NOT(ISNUMBER(G2068)),"SEM META",IF(G2068=0,"SEM META",IF(NOT(ISNUMBER(H2068)),"SEM APONTAMENTO",IF(H2068&gt;=G2068,"VERDE",IF(H2068&gt;=G2068*0.9,"AMARELO","VERMELHO")))))</f>
        <v/>
      </c>
      <c r="M2068" s="162" t="n"/>
      <c r="N2068" s="162" t="n"/>
      <c r="O2068" s="162" t="n"/>
      <c r="P2068" s="162" t="n"/>
      <c r="Q2068" s="320" t="n"/>
      <c r="R2068" s="162" t="inlineStr">
        <is>
          <t>CONTROLE PRODUÇÃO POR EMPRESAS!D350</t>
        </is>
      </c>
    </row>
    <row r="2069" ht="28.5" customHeight="1">
      <c r="A2069" s="317" t="n">
        <v>46567</v>
      </c>
      <c r="B2069" t="inlineStr">
        <is>
          <t>GERAL</t>
        </is>
      </c>
      <c r="C2069" t="inlineStr">
        <is>
          <t>CMM</t>
        </is>
      </c>
      <c r="D2069" t="inlineStr">
        <is>
          <t>PREMONTAGEM</t>
        </is>
      </c>
      <c r="F2069" s="159">
        <f>IFERROR(INDEX('BASE METAS DIÁRIAS'!$N$2:$S$358,MATCH($A2069,'BASE METAS DIÁRIAS'!$A$2:$A$358,0),MOD(ROW()-2,6)+1),"")</f>
        <v/>
      </c>
      <c r="G2069" s="159">
        <f>IFERROR(IF(WEEKDAY($A2069,2)&lt;=INDEX('BASE METAS DIÁRIAS'!$H$2:$M$358,MATCH($A2069,'BASE METAS DIÁRIAS'!$A$2:$A$358,0),MOD(ROW()-2,6)+1),INDEX('BASE METAS DIÁRIAS'!$B$2:$G$358,MATCH($A2069,'BASE METAS DIÁRIAS'!$A$2:$A$358,0),MOD(ROW()-2,6)+1),""),"")</f>
        <v/>
      </c>
      <c r="H2069" s="159">
        <f>IFERROR(IF(INDEX('CONTROLE PRODUÇÃO POR EMPRESAS'!$B$6:$G$5000,MATCH($A2069,'CONTROLE PRODUÇÃO POR EMPRESAS'!$A$6:$A$5000,0),MOD(ROW()-2,6)+1)="","",IFERROR(1*INDEX('CONTROLE PRODUÇÃO POR EMPRESAS'!$B$6:$G$5000,MATCH($A2069,'CONTROLE PRODUÇÃO POR EMPRESAS'!$A$6:$A$5000,0),MOD(ROW()-2,6)+1),"")),"")</f>
        <v/>
      </c>
      <c r="I2069" s="159">
        <f>IF(OR(NOT(ISNUMBER(G2069)),NOT(ISNUMBER(H2069))),"",H2069-G2069)</f>
        <v/>
      </c>
      <c r="J2069" s="319">
        <f>IF(OR(NOT(ISNUMBER(G2069)),NOT(ISNUMBER(H2069)),G2069=0),"",I2069/G2069)</f>
        <v/>
      </c>
      <c r="K2069" s="319">
        <f>IF(OR(NOT(ISNUMBER(G2069)),NOT(ISNUMBER(H2069)),G2069=0),"",H2069/G2069)</f>
        <v/>
      </c>
      <c r="L2069">
        <f>IF(NOT(ISNUMBER(G2069)),"SEM META",IF(G2069=0,"SEM META",IF(NOT(ISNUMBER(H2069)),"SEM APONTAMENTO",IF(H2069&gt;=G2069,"VERDE",IF(H2069&gt;=G2069*0.9,"AMARELO","VERMELHO")))))</f>
        <v/>
      </c>
      <c r="M2069" s="162" t="n"/>
      <c r="N2069" s="162" t="n"/>
      <c r="O2069" s="162" t="n"/>
      <c r="P2069" s="162" t="n"/>
      <c r="Q2069" s="320" t="n"/>
      <c r="R2069" s="162" t="inlineStr">
        <is>
          <t>CONTROLE PRODUÇÃO POR EMPRESAS!E350</t>
        </is>
      </c>
    </row>
    <row r="2070" ht="28.5" customHeight="1">
      <c r="A2070" s="317" t="n">
        <v>46567</v>
      </c>
      <c r="B2070" t="inlineStr">
        <is>
          <t>GERAL</t>
        </is>
      </c>
      <c r="C2070" t="inlineStr">
        <is>
          <t>CMM</t>
        </is>
      </c>
      <c r="D2070" t="inlineStr">
        <is>
          <t>IÇAMENTO JOIST</t>
        </is>
      </c>
      <c r="F2070" s="159">
        <f>IFERROR(INDEX('BASE METAS DIÁRIAS'!$N$2:$S$358,MATCH($A2070,'BASE METAS DIÁRIAS'!$A$2:$A$358,0),MOD(ROW()-2,6)+1),"")</f>
        <v/>
      </c>
      <c r="G2070" s="159">
        <f>IFERROR(IF(WEEKDAY($A2070,2)&lt;=INDEX('BASE METAS DIÁRIAS'!$H$2:$M$358,MATCH($A2070,'BASE METAS DIÁRIAS'!$A$2:$A$358,0),MOD(ROW()-2,6)+1),INDEX('BASE METAS DIÁRIAS'!$B$2:$G$358,MATCH($A2070,'BASE METAS DIÁRIAS'!$A$2:$A$358,0),MOD(ROW()-2,6)+1),""),"")</f>
        <v/>
      </c>
      <c r="H2070" s="159">
        <f>IFERROR(IF(INDEX('CONTROLE PRODUÇÃO POR EMPRESAS'!$B$6:$G$5000,MATCH($A2070,'CONTROLE PRODUÇÃO POR EMPRESAS'!$A$6:$A$5000,0),MOD(ROW()-2,6)+1)="","",IFERROR(1*INDEX('CONTROLE PRODUÇÃO POR EMPRESAS'!$B$6:$G$5000,MATCH($A2070,'CONTROLE PRODUÇÃO POR EMPRESAS'!$A$6:$A$5000,0),MOD(ROW()-2,6)+1),"")),"")</f>
        <v/>
      </c>
      <c r="I2070" s="159">
        <f>IF(OR(NOT(ISNUMBER(G2070)),NOT(ISNUMBER(H2070))),"",H2070-G2070)</f>
        <v/>
      </c>
      <c r="J2070" s="319">
        <f>IF(OR(NOT(ISNUMBER(G2070)),NOT(ISNUMBER(H2070)),G2070=0),"",I2070/G2070)</f>
        <v/>
      </c>
      <c r="K2070" s="319">
        <f>IF(OR(NOT(ISNUMBER(G2070)),NOT(ISNUMBER(H2070)),G2070=0),"",H2070/G2070)</f>
        <v/>
      </c>
      <c r="L2070">
        <f>IF(NOT(ISNUMBER(G2070)),"SEM META",IF(G2070=0,"SEM META",IF(NOT(ISNUMBER(H2070)),"SEM APONTAMENTO",IF(H2070&gt;=G2070,"VERDE",IF(H2070&gt;=G2070*0.9,"AMARELO","VERMELHO")))))</f>
        <v/>
      </c>
      <c r="M2070" s="162" t="n"/>
      <c r="N2070" s="162" t="n"/>
      <c r="O2070" s="162" t="n"/>
      <c r="P2070" s="162" t="n"/>
      <c r="Q2070" s="320" t="n"/>
      <c r="R2070" s="162" t="inlineStr">
        <is>
          <t>CONTROLE PRODUÇÃO POR EMPRESAS!F350</t>
        </is>
      </c>
    </row>
    <row r="2071" ht="28.5" customHeight="1">
      <c r="A2071" s="317" t="n">
        <v>46567</v>
      </c>
      <c r="B2071" t="inlineStr">
        <is>
          <t>GERAL</t>
        </is>
      </c>
      <c r="C2071" t="inlineStr">
        <is>
          <t>CMM</t>
        </is>
      </c>
      <c r="D2071" t="inlineStr">
        <is>
          <t>VIGAS</t>
        </is>
      </c>
      <c r="F2071" s="159">
        <f>IFERROR(INDEX('BASE METAS DIÁRIAS'!$N$2:$S$358,MATCH($A2071,'BASE METAS DIÁRIAS'!$A$2:$A$358,0),MOD(ROW()-2,6)+1),"")</f>
        <v/>
      </c>
      <c r="G2071" s="159">
        <f>IFERROR(IF(WEEKDAY($A2071,2)&lt;=INDEX('BASE METAS DIÁRIAS'!$H$2:$M$358,MATCH($A2071,'BASE METAS DIÁRIAS'!$A$2:$A$358,0),MOD(ROW()-2,6)+1),INDEX('BASE METAS DIÁRIAS'!$B$2:$G$358,MATCH($A2071,'BASE METAS DIÁRIAS'!$A$2:$A$358,0),MOD(ROW()-2,6)+1),""),"")</f>
        <v/>
      </c>
      <c r="H2071" s="159">
        <f>IFERROR(IF(INDEX('CONTROLE PRODUÇÃO POR EMPRESAS'!$B$6:$G$5000,MATCH($A2071,'CONTROLE PRODUÇÃO POR EMPRESAS'!$A$6:$A$5000,0),MOD(ROW()-2,6)+1)="","",IFERROR(1*INDEX('CONTROLE PRODUÇÃO POR EMPRESAS'!$B$6:$G$5000,MATCH($A2071,'CONTROLE PRODUÇÃO POR EMPRESAS'!$A$6:$A$5000,0),MOD(ROW()-2,6)+1),"")),"")</f>
        <v/>
      </c>
      <c r="I2071" s="159">
        <f>IF(OR(NOT(ISNUMBER(G2071)),NOT(ISNUMBER(H2071))),"",H2071-G2071)</f>
        <v/>
      </c>
      <c r="J2071" s="319">
        <f>IF(OR(NOT(ISNUMBER(G2071)),NOT(ISNUMBER(H2071)),G2071=0),"",I2071/G2071)</f>
        <v/>
      </c>
      <c r="K2071" s="319">
        <f>IF(OR(NOT(ISNUMBER(G2071)),NOT(ISNUMBER(H2071)),G2071=0),"",H2071/G2071)</f>
        <v/>
      </c>
      <c r="L2071">
        <f>IF(NOT(ISNUMBER(G2071)),"SEM META",IF(G2071=0,"SEM META",IF(NOT(ISNUMBER(H2071)),"SEM APONTAMENTO",IF(H2071&gt;=G2071,"VERDE",IF(H2071&gt;=G2071*0.9,"AMARELO","VERMELHO")))))</f>
        <v/>
      </c>
      <c r="M2071" s="162" t="n"/>
      <c r="N2071" s="162" t="n"/>
      <c r="O2071" s="162" t="n"/>
      <c r="P2071" s="162" t="n"/>
      <c r="Q2071" s="320" t="n"/>
      <c r="R2071" s="162" t="inlineStr">
        <is>
          <t>CONTROLE PRODUÇÃO POR EMPRESAS!G350</t>
        </is>
      </c>
    </row>
    <row r="2072" ht="28.5" customHeight="1">
      <c r="A2072" s="317" t="n">
        <v>46568</v>
      </c>
      <c r="B2072" t="inlineStr">
        <is>
          <t>GERAL</t>
        </is>
      </c>
      <c r="C2072" t="inlineStr">
        <is>
          <t>EJ</t>
        </is>
      </c>
      <c r="D2072" t="inlineStr">
        <is>
          <t>PREMONTAGEM</t>
        </is>
      </c>
      <c r="F2072" s="159">
        <f>IFERROR(INDEX('BASE METAS DIÁRIAS'!$N$2:$S$358,MATCH($A2072,'BASE METAS DIÁRIAS'!$A$2:$A$358,0),MOD(ROW()-2,6)+1),"")</f>
        <v/>
      </c>
      <c r="G2072" s="159">
        <f>IFERROR(IF(WEEKDAY($A2072,2)&lt;=INDEX('BASE METAS DIÁRIAS'!$H$2:$M$358,MATCH($A2072,'BASE METAS DIÁRIAS'!$A$2:$A$358,0),MOD(ROW()-2,6)+1),INDEX('BASE METAS DIÁRIAS'!$B$2:$G$358,MATCH($A2072,'BASE METAS DIÁRIAS'!$A$2:$A$358,0),MOD(ROW()-2,6)+1),""),"")</f>
        <v/>
      </c>
      <c r="H2072" s="159">
        <f>IFERROR(IF(INDEX('CONTROLE PRODUÇÃO POR EMPRESAS'!$B$6:$G$5000,MATCH($A2072,'CONTROLE PRODUÇÃO POR EMPRESAS'!$A$6:$A$5000,0),MOD(ROW()-2,6)+1)="","",IFERROR(1*INDEX('CONTROLE PRODUÇÃO POR EMPRESAS'!$B$6:$G$5000,MATCH($A2072,'CONTROLE PRODUÇÃO POR EMPRESAS'!$A$6:$A$5000,0),MOD(ROW()-2,6)+1),"")),"")</f>
        <v/>
      </c>
      <c r="I2072" s="159">
        <f>IF(OR(NOT(ISNUMBER(G2072)),NOT(ISNUMBER(H2072))),"",H2072-G2072)</f>
        <v/>
      </c>
      <c r="J2072" s="319">
        <f>IF(OR(NOT(ISNUMBER(G2072)),NOT(ISNUMBER(H2072)),G2072=0),"",I2072/G2072)</f>
        <v/>
      </c>
      <c r="K2072" s="319">
        <f>IF(OR(NOT(ISNUMBER(G2072)),NOT(ISNUMBER(H2072)),G2072=0),"",H2072/G2072)</f>
        <v/>
      </c>
      <c r="L2072">
        <f>IF(NOT(ISNUMBER(G2072)),"SEM META",IF(G2072=0,"SEM META",IF(NOT(ISNUMBER(H2072)),"SEM APONTAMENTO",IF(H2072&gt;=G2072,"VERDE",IF(H2072&gt;=G2072*0.9,"AMARELO","VERMELHO")))))</f>
        <v/>
      </c>
      <c r="M2072" s="162" t="n"/>
      <c r="N2072" s="162" t="n"/>
      <c r="O2072" s="162" t="n"/>
      <c r="P2072" s="162" t="n"/>
      <c r="Q2072" s="320" t="n"/>
      <c r="R2072" s="162" t="inlineStr">
        <is>
          <t>CONTROLE PRODUÇÃO POR EMPRESAS!B351</t>
        </is>
      </c>
    </row>
    <row r="2073" ht="28.5" customHeight="1">
      <c r="A2073" s="317" t="n">
        <v>46568</v>
      </c>
      <c r="B2073" t="inlineStr">
        <is>
          <t>GERAL</t>
        </is>
      </c>
      <c r="C2073" t="inlineStr">
        <is>
          <t>EJ</t>
        </is>
      </c>
      <c r="D2073" t="inlineStr">
        <is>
          <t>IÇAMENTO JOIST</t>
        </is>
      </c>
      <c r="F2073" s="159">
        <f>IFERROR(INDEX('BASE METAS DIÁRIAS'!$N$2:$S$358,MATCH($A2073,'BASE METAS DIÁRIAS'!$A$2:$A$358,0),MOD(ROW()-2,6)+1),"")</f>
        <v/>
      </c>
      <c r="G2073" s="159">
        <f>IFERROR(IF(WEEKDAY($A2073,2)&lt;=INDEX('BASE METAS DIÁRIAS'!$H$2:$M$358,MATCH($A2073,'BASE METAS DIÁRIAS'!$A$2:$A$358,0),MOD(ROW()-2,6)+1),INDEX('BASE METAS DIÁRIAS'!$B$2:$G$358,MATCH($A2073,'BASE METAS DIÁRIAS'!$A$2:$A$358,0),MOD(ROW()-2,6)+1),""),"")</f>
        <v/>
      </c>
      <c r="H2073" s="159">
        <f>IFERROR(IF(INDEX('CONTROLE PRODUÇÃO POR EMPRESAS'!$B$6:$G$5000,MATCH($A2073,'CONTROLE PRODUÇÃO POR EMPRESAS'!$A$6:$A$5000,0),MOD(ROW()-2,6)+1)="","",IFERROR(1*INDEX('CONTROLE PRODUÇÃO POR EMPRESAS'!$B$6:$G$5000,MATCH($A2073,'CONTROLE PRODUÇÃO POR EMPRESAS'!$A$6:$A$5000,0),MOD(ROW()-2,6)+1),"")),"")</f>
        <v/>
      </c>
      <c r="I2073" s="159">
        <f>IF(OR(NOT(ISNUMBER(G2073)),NOT(ISNUMBER(H2073))),"",H2073-G2073)</f>
        <v/>
      </c>
      <c r="J2073" s="319">
        <f>IF(OR(NOT(ISNUMBER(G2073)),NOT(ISNUMBER(H2073)),G2073=0),"",I2073/G2073)</f>
        <v/>
      </c>
      <c r="K2073" s="319">
        <f>IF(OR(NOT(ISNUMBER(G2073)),NOT(ISNUMBER(H2073)),G2073=0),"",H2073/G2073)</f>
        <v/>
      </c>
      <c r="L2073">
        <f>IF(NOT(ISNUMBER(G2073)),"SEM META",IF(G2073=0,"SEM META",IF(NOT(ISNUMBER(H2073)),"SEM APONTAMENTO",IF(H2073&gt;=G2073,"VERDE",IF(H2073&gt;=G2073*0.9,"AMARELO","VERMELHO")))))</f>
        <v/>
      </c>
      <c r="M2073" s="162" t="n"/>
      <c r="N2073" s="162" t="n"/>
      <c r="O2073" s="162" t="n"/>
      <c r="P2073" s="162" t="n"/>
      <c r="Q2073" s="320" t="n"/>
      <c r="R2073" s="162" t="inlineStr">
        <is>
          <t>CONTROLE PRODUÇÃO POR EMPRESAS!C351</t>
        </is>
      </c>
    </row>
    <row r="2074" ht="28.5" customHeight="1">
      <c r="A2074" s="317" t="n">
        <v>46568</v>
      </c>
      <c r="B2074" t="inlineStr">
        <is>
          <t>GERAL</t>
        </is>
      </c>
      <c r="C2074" t="inlineStr">
        <is>
          <t>EJ</t>
        </is>
      </c>
      <c r="D2074" t="inlineStr">
        <is>
          <t>VIGAS</t>
        </is>
      </c>
      <c r="F2074" s="159">
        <f>IFERROR(INDEX('BASE METAS DIÁRIAS'!$N$2:$S$358,MATCH($A2074,'BASE METAS DIÁRIAS'!$A$2:$A$358,0),MOD(ROW()-2,6)+1),"")</f>
        <v/>
      </c>
      <c r="G2074" s="159">
        <f>IFERROR(IF(WEEKDAY($A2074,2)&lt;=INDEX('BASE METAS DIÁRIAS'!$H$2:$M$358,MATCH($A2074,'BASE METAS DIÁRIAS'!$A$2:$A$358,0),MOD(ROW()-2,6)+1),INDEX('BASE METAS DIÁRIAS'!$B$2:$G$358,MATCH($A2074,'BASE METAS DIÁRIAS'!$A$2:$A$358,0),MOD(ROW()-2,6)+1),""),"")</f>
        <v/>
      </c>
      <c r="H2074" s="159">
        <f>IFERROR(IF(INDEX('CONTROLE PRODUÇÃO POR EMPRESAS'!$B$6:$G$5000,MATCH($A2074,'CONTROLE PRODUÇÃO POR EMPRESAS'!$A$6:$A$5000,0),MOD(ROW()-2,6)+1)="","",IFERROR(1*INDEX('CONTROLE PRODUÇÃO POR EMPRESAS'!$B$6:$G$5000,MATCH($A2074,'CONTROLE PRODUÇÃO POR EMPRESAS'!$A$6:$A$5000,0),MOD(ROW()-2,6)+1),"")),"")</f>
        <v/>
      </c>
      <c r="I2074" s="159">
        <f>IF(OR(NOT(ISNUMBER(G2074)),NOT(ISNUMBER(H2074))),"",H2074-G2074)</f>
        <v/>
      </c>
      <c r="J2074" s="319">
        <f>IF(OR(NOT(ISNUMBER(G2074)),NOT(ISNUMBER(H2074)),G2074=0),"",I2074/G2074)</f>
        <v/>
      </c>
      <c r="K2074" s="319">
        <f>IF(OR(NOT(ISNUMBER(G2074)),NOT(ISNUMBER(H2074)),G2074=0),"",H2074/G2074)</f>
        <v/>
      </c>
      <c r="L2074">
        <f>IF(NOT(ISNUMBER(G2074)),"SEM META",IF(G2074=0,"SEM META",IF(NOT(ISNUMBER(H2074)),"SEM APONTAMENTO",IF(H2074&gt;=G2074,"VERDE",IF(H2074&gt;=G2074*0.9,"AMARELO","VERMELHO")))))</f>
        <v/>
      </c>
      <c r="M2074" s="162" t="n"/>
      <c r="N2074" s="162" t="n"/>
      <c r="O2074" s="162" t="n"/>
      <c r="P2074" s="162" t="n"/>
      <c r="Q2074" s="320" t="n"/>
      <c r="R2074" s="162" t="inlineStr">
        <is>
          <t>CONTROLE PRODUÇÃO POR EMPRESAS!D351</t>
        </is>
      </c>
    </row>
    <row r="2075" ht="28.5" customHeight="1">
      <c r="A2075" s="317" t="n">
        <v>46568</v>
      </c>
      <c r="B2075" t="inlineStr">
        <is>
          <t>GERAL</t>
        </is>
      </c>
      <c r="C2075" t="inlineStr">
        <is>
          <t>CMM</t>
        </is>
      </c>
      <c r="D2075" t="inlineStr">
        <is>
          <t>PREMONTAGEM</t>
        </is>
      </c>
      <c r="F2075" s="159">
        <f>IFERROR(INDEX('BASE METAS DIÁRIAS'!$N$2:$S$358,MATCH($A2075,'BASE METAS DIÁRIAS'!$A$2:$A$358,0),MOD(ROW()-2,6)+1),"")</f>
        <v/>
      </c>
      <c r="G2075" s="159">
        <f>IFERROR(IF(WEEKDAY($A2075,2)&lt;=INDEX('BASE METAS DIÁRIAS'!$H$2:$M$358,MATCH($A2075,'BASE METAS DIÁRIAS'!$A$2:$A$358,0),MOD(ROW()-2,6)+1),INDEX('BASE METAS DIÁRIAS'!$B$2:$G$358,MATCH($A2075,'BASE METAS DIÁRIAS'!$A$2:$A$358,0),MOD(ROW()-2,6)+1),""),"")</f>
        <v/>
      </c>
      <c r="H2075" s="159">
        <f>IFERROR(IF(INDEX('CONTROLE PRODUÇÃO POR EMPRESAS'!$B$6:$G$5000,MATCH($A2075,'CONTROLE PRODUÇÃO POR EMPRESAS'!$A$6:$A$5000,0),MOD(ROW()-2,6)+1)="","",IFERROR(1*INDEX('CONTROLE PRODUÇÃO POR EMPRESAS'!$B$6:$G$5000,MATCH($A2075,'CONTROLE PRODUÇÃO POR EMPRESAS'!$A$6:$A$5000,0),MOD(ROW()-2,6)+1),"")),"")</f>
        <v/>
      </c>
      <c r="I2075" s="159">
        <f>IF(OR(NOT(ISNUMBER(G2075)),NOT(ISNUMBER(H2075))),"",H2075-G2075)</f>
        <v/>
      </c>
      <c r="J2075" s="319">
        <f>IF(OR(NOT(ISNUMBER(G2075)),NOT(ISNUMBER(H2075)),G2075=0),"",I2075/G2075)</f>
        <v/>
      </c>
      <c r="K2075" s="319">
        <f>IF(OR(NOT(ISNUMBER(G2075)),NOT(ISNUMBER(H2075)),G2075=0),"",H2075/G2075)</f>
        <v/>
      </c>
      <c r="L2075">
        <f>IF(NOT(ISNUMBER(G2075)),"SEM META",IF(G2075=0,"SEM META",IF(NOT(ISNUMBER(H2075)),"SEM APONTAMENTO",IF(H2075&gt;=G2075,"VERDE",IF(H2075&gt;=G2075*0.9,"AMARELO","VERMELHO")))))</f>
        <v/>
      </c>
      <c r="M2075" s="162" t="n"/>
      <c r="N2075" s="162" t="n"/>
      <c r="O2075" s="162" t="n"/>
      <c r="P2075" s="162" t="n"/>
      <c r="Q2075" s="320" t="n"/>
      <c r="R2075" s="162" t="inlineStr">
        <is>
          <t>CONTROLE PRODUÇÃO POR EMPRESAS!E351</t>
        </is>
      </c>
    </row>
    <row r="2076" ht="28.5" customHeight="1">
      <c r="A2076" s="317" t="n">
        <v>46568</v>
      </c>
      <c r="B2076" t="inlineStr">
        <is>
          <t>GERAL</t>
        </is>
      </c>
      <c r="C2076" t="inlineStr">
        <is>
          <t>CMM</t>
        </is>
      </c>
      <c r="D2076" t="inlineStr">
        <is>
          <t>IÇAMENTO JOIST</t>
        </is>
      </c>
      <c r="F2076" s="159">
        <f>IFERROR(INDEX('BASE METAS DIÁRIAS'!$N$2:$S$358,MATCH($A2076,'BASE METAS DIÁRIAS'!$A$2:$A$358,0),MOD(ROW()-2,6)+1),"")</f>
        <v/>
      </c>
      <c r="G2076" s="159">
        <f>IFERROR(IF(WEEKDAY($A2076,2)&lt;=INDEX('BASE METAS DIÁRIAS'!$H$2:$M$358,MATCH($A2076,'BASE METAS DIÁRIAS'!$A$2:$A$358,0),MOD(ROW()-2,6)+1),INDEX('BASE METAS DIÁRIAS'!$B$2:$G$358,MATCH($A2076,'BASE METAS DIÁRIAS'!$A$2:$A$358,0),MOD(ROW()-2,6)+1),""),"")</f>
        <v/>
      </c>
      <c r="H2076" s="159">
        <f>IFERROR(IF(INDEX('CONTROLE PRODUÇÃO POR EMPRESAS'!$B$6:$G$5000,MATCH($A2076,'CONTROLE PRODUÇÃO POR EMPRESAS'!$A$6:$A$5000,0),MOD(ROW()-2,6)+1)="","",IFERROR(1*INDEX('CONTROLE PRODUÇÃO POR EMPRESAS'!$B$6:$G$5000,MATCH($A2076,'CONTROLE PRODUÇÃO POR EMPRESAS'!$A$6:$A$5000,0),MOD(ROW()-2,6)+1),"")),"")</f>
        <v/>
      </c>
      <c r="I2076" s="159">
        <f>IF(OR(NOT(ISNUMBER(G2076)),NOT(ISNUMBER(H2076))),"",H2076-G2076)</f>
        <v/>
      </c>
      <c r="J2076" s="319">
        <f>IF(OR(NOT(ISNUMBER(G2076)),NOT(ISNUMBER(H2076)),G2076=0),"",I2076/G2076)</f>
        <v/>
      </c>
      <c r="K2076" s="319">
        <f>IF(OR(NOT(ISNUMBER(G2076)),NOT(ISNUMBER(H2076)),G2076=0),"",H2076/G2076)</f>
        <v/>
      </c>
      <c r="L2076">
        <f>IF(NOT(ISNUMBER(G2076)),"SEM META",IF(G2076=0,"SEM META",IF(NOT(ISNUMBER(H2076)),"SEM APONTAMENTO",IF(H2076&gt;=G2076,"VERDE",IF(H2076&gt;=G2076*0.9,"AMARELO","VERMELHO")))))</f>
        <v/>
      </c>
      <c r="M2076" s="162" t="n"/>
      <c r="N2076" s="162" t="n"/>
      <c r="O2076" s="162" t="n"/>
      <c r="P2076" s="162" t="n"/>
      <c r="Q2076" s="320" t="n"/>
      <c r="R2076" s="162" t="inlineStr">
        <is>
          <t>CONTROLE PRODUÇÃO POR EMPRESAS!F351</t>
        </is>
      </c>
    </row>
    <row r="2077" ht="28.5" customHeight="1">
      <c r="A2077" s="317" t="n">
        <v>46568</v>
      </c>
      <c r="B2077" t="inlineStr">
        <is>
          <t>GERAL</t>
        </is>
      </c>
      <c r="C2077" t="inlineStr">
        <is>
          <t>CMM</t>
        </is>
      </c>
      <c r="D2077" t="inlineStr">
        <is>
          <t>VIGAS</t>
        </is>
      </c>
      <c r="F2077" s="159">
        <f>IFERROR(INDEX('BASE METAS DIÁRIAS'!$N$2:$S$358,MATCH($A2077,'BASE METAS DIÁRIAS'!$A$2:$A$358,0),MOD(ROW()-2,6)+1),"")</f>
        <v/>
      </c>
      <c r="G2077" s="159">
        <f>IFERROR(IF(WEEKDAY($A2077,2)&lt;=INDEX('BASE METAS DIÁRIAS'!$H$2:$M$358,MATCH($A2077,'BASE METAS DIÁRIAS'!$A$2:$A$358,0),MOD(ROW()-2,6)+1),INDEX('BASE METAS DIÁRIAS'!$B$2:$G$358,MATCH($A2077,'BASE METAS DIÁRIAS'!$A$2:$A$358,0),MOD(ROW()-2,6)+1),""),"")</f>
        <v/>
      </c>
      <c r="H2077" s="159">
        <f>IFERROR(IF(INDEX('CONTROLE PRODUÇÃO POR EMPRESAS'!$B$6:$G$5000,MATCH($A2077,'CONTROLE PRODUÇÃO POR EMPRESAS'!$A$6:$A$5000,0),MOD(ROW()-2,6)+1)="","",IFERROR(1*INDEX('CONTROLE PRODUÇÃO POR EMPRESAS'!$B$6:$G$5000,MATCH($A2077,'CONTROLE PRODUÇÃO POR EMPRESAS'!$A$6:$A$5000,0),MOD(ROW()-2,6)+1),"")),"")</f>
        <v/>
      </c>
      <c r="I2077" s="159">
        <f>IF(OR(NOT(ISNUMBER(G2077)),NOT(ISNUMBER(H2077))),"",H2077-G2077)</f>
        <v/>
      </c>
      <c r="J2077" s="319">
        <f>IF(OR(NOT(ISNUMBER(G2077)),NOT(ISNUMBER(H2077)),G2077=0),"",I2077/G2077)</f>
        <v/>
      </c>
      <c r="K2077" s="319">
        <f>IF(OR(NOT(ISNUMBER(G2077)),NOT(ISNUMBER(H2077)),G2077=0),"",H2077/G2077)</f>
        <v/>
      </c>
      <c r="L2077">
        <f>IF(NOT(ISNUMBER(G2077)),"SEM META",IF(G2077=0,"SEM META",IF(NOT(ISNUMBER(H2077)),"SEM APONTAMENTO",IF(H2077&gt;=G2077,"VERDE",IF(H2077&gt;=G2077*0.9,"AMARELO","VERMELHO")))))</f>
        <v/>
      </c>
      <c r="M2077" s="162" t="n"/>
      <c r="N2077" s="162" t="n"/>
      <c r="O2077" s="162" t="n"/>
      <c r="P2077" s="162" t="n"/>
      <c r="Q2077" s="320" t="n"/>
      <c r="R2077" s="162" t="inlineStr">
        <is>
          <t>CONTROLE PRODUÇÃO POR EMPRESAS!G351</t>
        </is>
      </c>
    </row>
    <row r="2078" ht="28.5" customHeight="1">
      <c r="A2078" s="317" t="n">
        <v>46569</v>
      </c>
      <c r="B2078" t="inlineStr">
        <is>
          <t>GERAL</t>
        </is>
      </c>
      <c r="C2078" t="inlineStr">
        <is>
          <t>EJ</t>
        </is>
      </c>
      <c r="D2078" t="inlineStr">
        <is>
          <t>PREMONTAGEM</t>
        </is>
      </c>
      <c r="F2078" s="159">
        <f>IFERROR(INDEX('BASE METAS DIÁRIAS'!$N$2:$S$358,MATCH($A2078,'BASE METAS DIÁRIAS'!$A$2:$A$358,0),MOD(ROW()-2,6)+1),"")</f>
        <v/>
      </c>
      <c r="G2078" s="159">
        <f>IFERROR(IF(WEEKDAY($A2078,2)&lt;=INDEX('BASE METAS DIÁRIAS'!$H$2:$M$358,MATCH($A2078,'BASE METAS DIÁRIAS'!$A$2:$A$358,0),MOD(ROW()-2,6)+1),INDEX('BASE METAS DIÁRIAS'!$B$2:$G$358,MATCH($A2078,'BASE METAS DIÁRIAS'!$A$2:$A$358,0),MOD(ROW()-2,6)+1),""),"")</f>
        <v/>
      </c>
      <c r="H2078" s="159">
        <f>IFERROR(IF(INDEX('CONTROLE PRODUÇÃO POR EMPRESAS'!$B$6:$G$5000,MATCH($A2078,'CONTROLE PRODUÇÃO POR EMPRESAS'!$A$6:$A$5000,0),MOD(ROW()-2,6)+1)="","",IFERROR(1*INDEX('CONTROLE PRODUÇÃO POR EMPRESAS'!$B$6:$G$5000,MATCH($A2078,'CONTROLE PRODUÇÃO POR EMPRESAS'!$A$6:$A$5000,0),MOD(ROW()-2,6)+1),"")),"")</f>
        <v/>
      </c>
      <c r="I2078" s="159">
        <f>IF(OR(NOT(ISNUMBER(G2078)),NOT(ISNUMBER(H2078))),"",H2078-G2078)</f>
        <v/>
      </c>
      <c r="J2078" s="319">
        <f>IF(OR(NOT(ISNUMBER(G2078)),NOT(ISNUMBER(H2078)),G2078=0),"",I2078/G2078)</f>
        <v/>
      </c>
      <c r="K2078" s="319">
        <f>IF(OR(NOT(ISNUMBER(G2078)),NOT(ISNUMBER(H2078)),G2078=0),"",H2078/G2078)</f>
        <v/>
      </c>
      <c r="L2078">
        <f>IF(NOT(ISNUMBER(G2078)),"SEM META",IF(G2078=0,"SEM META",IF(NOT(ISNUMBER(H2078)),"SEM APONTAMENTO",IF(H2078&gt;=G2078,"VERDE",IF(H2078&gt;=G2078*0.9,"AMARELO","VERMELHO")))))</f>
        <v/>
      </c>
      <c r="M2078" s="162" t="n"/>
      <c r="N2078" s="162" t="n"/>
      <c r="O2078" s="162" t="n"/>
      <c r="P2078" s="162" t="n"/>
      <c r="Q2078" s="320" t="n"/>
      <c r="R2078" s="162" t="inlineStr">
        <is>
          <t>CONTROLE PRODUÇÃO POR EMPRESAS!B352</t>
        </is>
      </c>
    </row>
    <row r="2079" ht="28.5" customHeight="1">
      <c r="A2079" s="317" t="n">
        <v>46569</v>
      </c>
      <c r="B2079" t="inlineStr">
        <is>
          <t>GERAL</t>
        </is>
      </c>
      <c r="C2079" t="inlineStr">
        <is>
          <t>EJ</t>
        </is>
      </c>
      <c r="D2079" t="inlineStr">
        <is>
          <t>IÇAMENTO JOIST</t>
        </is>
      </c>
      <c r="F2079" s="159">
        <f>IFERROR(INDEX('BASE METAS DIÁRIAS'!$N$2:$S$358,MATCH($A2079,'BASE METAS DIÁRIAS'!$A$2:$A$358,0),MOD(ROW()-2,6)+1),"")</f>
        <v/>
      </c>
      <c r="G2079" s="159">
        <f>IFERROR(IF(WEEKDAY($A2079,2)&lt;=INDEX('BASE METAS DIÁRIAS'!$H$2:$M$358,MATCH($A2079,'BASE METAS DIÁRIAS'!$A$2:$A$358,0),MOD(ROW()-2,6)+1),INDEX('BASE METAS DIÁRIAS'!$B$2:$G$358,MATCH($A2079,'BASE METAS DIÁRIAS'!$A$2:$A$358,0),MOD(ROW()-2,6)+1),""),"")</f>
        <v/>
      </c>
      <c r="H2079" s="159">
        <f>IFERROR(IF(INDEX('CONTROLE PRODUÇÃO POR EMPRESAS'!$B$6:$G$5000,MATCH($A2079,'CONTROLE PRODUÇÃO POR EMPRESAS'!$A$6:$A$5000,0),MOD(ROW()-2,6)+1)="","",IFERROR(1*INDEX('CONTROLE PRODUÇÃO POR EMPRESAS'!$B$6:$G$5000,MATCH($A2079,'CONTROLE PRODUÇÃO POR EMPRESAS'!$A$6:$A$5000,0),MOD(ROW()-2,6)+1),"")),"")</f>
        <v/>
      </c>
      <c r="I2079" s="159">
        <f>IF(OR(NOT(ISNUMBER(G2079)),NOT(ISNUMBER(H2079))),"",H2079-G2079)</f>
        <v/>
      </c>
      <c r="J2079" s="319">
        <f>IF(OR(NOT(ISNUMBER(G2079)),NOT(ISNUMBER(H2079)),G2079=0),"",I2079/G2079)</f>
        <v/>
      </c>
      <c r="K2079" s="319">
        <f>IF(OR(NOT(ISNUMBER(G2079)),NOT(ISNUMBER(H2079)),G2079=0),"",H2079/G2079)</f>
        <v/>
      </c>
      <c r="L2079">
        <f>IF(NOT(ISNUMBER(G2079)),"SEM META",IF(G2079=0,"SEM META",IF(NOT(ISNUMBER(H2079)),"SEM APONTAMENTO",IF(H2079&gt;=G2079,"VERDE",IF(H2079&gt;=G2079*0.9,"AMARELO","VERMELHO")))))</f>
        <v/>
      </c>
      <c r="M2079" s="162" t="n"/>
      <c r="N2079" s="162" t="n"/>
      <c r="O2079" s="162" t="n"/>
      <c r="P2079" s="162" t="n"/>
      <c r="Q2079" s="320" t="n"/>
      <c r="R2079" s="162" t="inlineStr">
        <is>
          <t>CONTROLE PRODUÇÃO POR EMPRESAS!C352</t>
        </is>
      </c>
    </row>
    <row r="2080" ht="28.5" customHeight="1">
      <c r="A2080" s="317" t="n">
        <v>46569</v>
      </c>
      <c r="B2080" t="inlineStr">
        <is>
          <t>GERAL</t>
        </is>
      </c>
      <c r="C2080" t="inlineStr">
        <is>
          <t>EJ</t>
        </is>
      </c>
      <c r="D2080" t="inlineStr">
        <is>
          <t>VIGAS</t>
        </is>
      </c>
      <c r="F2080" s="159">
        <f>IFERROR(INDEX('BASE METAS DIÁRIAS'!$N$2:$S$358,MATCH($A2080,'BASE METAS DIÁRIAS'!$A$2:$A$358,0),MOD(ROW()-2,6)+1),"")</f>
        <v/>
      </c>
      <c r="G2080" s="159">
        <f>IFERROR(IF(WEEKDAY($A2080,2)&lt;=INDEX('BASE METAS DIÁRIAS'!$H$2:$M$358,MATCH($A2080,'BASE METAS DIÁRIAS'!$A$2:$A$358,0),MOD(ROW()-2,6)+1),INDEX('BASE METAS DIÁRIAS'!$B$2:$G$358,MATCH($A2080,'BASE METAS DIÁRIAS'!$A$2:$A$358,0),MOD(ROW()-2,6)+1),""),"")</f>
        <v/>
      </c>
      <c r="H2080" s="159">
        <f>IFERROR(IF(INDEX('CONTROLE PRODUÇÃO POR EMPRESAS'!$B$6:$G$5000,MATCH($A2080,'CONTROLE PRODUÇÃO POR EMPRESAS'!$A$6:$A$5000,0),MOD(ROW()-2,6)+1)="","",IFERROR(1*INDEX('CONTROLE PRODUÇÃO POR EMPRESAS'!$B$6:$G$5000,MATCH($A2080,'CONTROLE PRODUÇÃO POR EMPRESAS'!$A$6:$A$5000,0),MOD(ROW()-2,6)+1),"")),"")</f>
        <v/>
      </c>
      <c r="I2080" s="159">
        <f>IF(OR(NOT(ISNUMBER(G2080)),NOT(ISNUMBER(H2080))),"",H2080-G2080)</f>
        <v/>
      </c>
      <c r="J2080" s="319">
        <f>IF(OR(NOT(ISNUMBER(G2080)),NOT(ISNUMBER(H2080)),G2080=0),"",I2080/G2080)</f>
        <v/>
      </c>
      <c r="K2080" s="319">
        <f>IF(OR(NOT(ISNUMBER(G2080)),NOT(ISNUMBER(H2080)),G2080=0),"",H2080/G2080)</f>
        <v/>
      </c>
      <c r="L2080">
        <f>IF(NOT(ISNUMBER(G2080)),"SEM META",IF(G2080=0,"SEM META",IF(NOT(ISNUMBER(H2080)),"SEM APONTAMENTO",IF(H2080&gt;=G2080,"VERDE",IF(H2080&gt;=G2080*0.9,"AMARELO","VERMELHO")))))</f>
        <v/>
      </c>
      <c r="M2080" s="162" t="n"/>
      <c r="N2080" s="162" t="n"/>
      <c r="O2080" s="162" t="n"/>
      <c r="P2080" s="162" t="n"/>
      <c r="Q2080" s="320" t="n"/>
      <c r="R2080" s="162" t="inlineStr">
        <is>
          <t>CONTROLE PRODUÇÃO POR EMPRESAS!D352</t>
        </is>
      </c>
    </row>
    <row r="2081" ht="28.5" customHeight="1">
      <c r="A2081" s="317" t="n">
        <v>46569</v>
      </c>
      <c r="B2081" t="inlineStr">
        <is>
          <t>GERAL</t>
        </is>
      </c>
      <c r="C2081" t="inlineStr">
        <is>
          <t>CMM</t>
        </is>
      </c>
      <c r="D2081" t="inlineStr">
        <is>
          <t>PREMONTAGEM</t>
        </is>
      </c>
      <c r="F2081" s="159">
        <f>IFERROR(INDEX('BASE METAS DIÁRIAS'!$N$2:$S$358,MATCH($A2081,'BASE METAS DIÁRIAS'!$A$2:$A$358,0),MOD(ROW()-2,6)+1),"")</f>
        <v/>
      </c>
      <c r="G2081" s="159">
        <f>IFERROR(IF(WEEKDAY($A2081,2)&lt;=INDEX('BASE METAS DIÁRIAS'!$H$2:$M$358,MATCH($A2081,'BASE METAS DIÁRIAS'!$A$2:$A$358,0),MOD(ROW()-2,6)+1),INDEX('BASE METAS DIÁRIAS'!$B$2:$G$358,MATCH($A2081,'BASE METAS DIÁRIAS'!$A$2:$A$358,0),MOD(ROW()-2,6)+1),""),"")</f>
        <v/>
      </c>
      <c r="H2081" s="159">
        <f>IFERROR(IF(INDEX('CONTROLE PRODUÇÃO POR EMPRESAS'!$B$6:$G$5000,MATCH($A2081,'CONTROLE PRODUÇÃO POR EMPRESAS'!$A$6:$A$5000,0),MOD(ROW()-2,6)+1)="","",IFERROR(1*INDEX('CONTROLE PRODUÇÃO POR EMPRESAS'!$B$6:$G$5000,MATCH($A2081,'CONTROLE PRODUÇÃO POR EMPRESAS'!$A$6:$A$5000,0),MOD(ROW()-2,6)+1),"")),"")</f>
        <v/>
      </c>
      <c r="I2081" s="159">
        <f>IF(OR(NOT(ISNUMBER(G2081)),NOT(ISNUMBER(H2081))),"",H2081-G2081)</f>
        <v/>
      </c>
      <c r="J2081" s="319">
        <f>IF(OR(NOT(ISNUMBER(G2081)),NOT(ISNUMBER(H2081)),G2081=0),"",I2081/G2081)</f>
        <v/>
      </c>
      <c r="K2081" s="319">
        <f>IF(OR(NOT(ISNUMBER(G2081)),NOT(ISNUMBER(H2081)),G2081=0),"",H2081/G2081)</f>
        <v/>
      </c>
      <c r="L2081">
        <f>IF(NOT(ISNUMBER(G2081)),"SEM META",IF(G2081=0,"SEM META",IF(NOT(ISNUMBER(H2081)),"SEM APONTAMENTO",IF(H2081&gt;=G2081,"VERDE",IF(H2081&gt;=G2081*0.9,"AMARELO","VERMELHO")))))</f>
        <v/>
      </c>
      <c r="M2081" s="162" t="n"/>
      <c r="N2081" s="162" t="n"/>
      <c r="O2081" s="162" t="n"/>
      <c r="P2081" s="162" t="n"/>
      <c r="Q2081" s="320" t="n"/>
      <c r="R2081" s="162" t="inlineStr">
        <is>
          <t>CONTROLE PRODUÇÃO POR EMPRESAS!E352</t>
        </is>
      </c>
    </row>
    <row r="2082" ht="28.5" customHeight="1">
      <c r="A2082" s="317" t="n">
        <v>46569</v>
      </c>
      <c r="B2082" t="inlineStr">
        <is>
          <t>GERAL</t>
        </is>
      </c>
      <c r="C2082" t="inlineStr">
        <is>
          <t>CMM</t>
        </is>
      </c>
      <c r="D2082" t="inlineStr">
        <is>
          <t>IÇAMENTO JOIST</t>
        </is>
      </c>
      <c r="F2082" s="159">
        <f>IFERROR(INDEX('BASE METAS DIÁRIAS'!$N$2:$S$358,MATCH($A2082,'BASE METAS DIÁRIAS'!$A$2:$A$358,0),MOD(ROW()-2,6)+1),"")</f>
        <v/>
      </c>
      <c r="G2082" s="159">
        <f>IFERROR(IF(WEEKDAY($A2082,2)&lt;=INDEX('BASE METAS DIÁRIAS'!$H$2:$M$358,MATCH($A2082,'BASE METAS DIÁRIAS'!$A$2:$A$358,0),MOD(ROW()-2,6)+1),INDEX('BASE METAS DIÁRIAS'!$B$2:$G$358,MATCH($A2082,'BASE METAS DIÁRIAS'!$A$2:$A$358,0),MOD(ROW()-2,6)+1),""),"")</f>
        <v/>
      </c>
      <c r="H2082" s="159">
        <f>IFERROR(IF(INDEX('CONTROLE PRODUÇÃO POR EMPRESAS'!$B$6:$G$5000,MATCH($A2082,'CONTROLE PRODUÇÃO POR EMPRESAS'!$A$6:$A$5000,0),MOD(ROW()-2,6)+1)="","",IFERROR(1*INDEX('CONTROLE PRODUÇÃO POR EMPRESAS'!$B$6:$G$5000,MATCH($A2082,'CONTROLE PRODUÇÃO POR EMPRESAS'!$A$6:$A$5000,0),MOD(ROW()-2,6)+1),"")),"")</f>
        <v/>
      </c>
      <c r="I2082" s="159">
        <f>IF(OR(NOT(ISNUMBER(G2082)),NOT(ISNUMBER(H2082))),"",H2082-G2082)</f>
        <v/>
      </c>
      <c r="J2082" s="319">
        <f>IF(OR(NOT(ISNUMBER(G2082)),NOT(ISNUMBER(H2082)),G2082=0),"",I2082/G2082)</f>
        <v/>
      </c>
      <c r="K2082" s="319">
        <f>IF(OR(NOT(ISNUMBER(G2082)),NOT(ISNUMBER(H2082)),G2082=0),"",H2082/G2082)</f>
        <v/>
      </c>
      <c r="L2082">
        <f>IF(NOT(ISNUMBER(G2082)),"SEM META",IF(G2082=0,"SEM META",IF(NOT(ISNUMBER(H2082)),"SEM APONTAMENTO",IF(H2082&gt;=G2082,"VERDE",IF(H2082&gt;=G2082*0.9,"AMARELO","VERMELHO")))))</f>
        <v/>
      </c>
      <c r="M2082" s="162" t="n"/>
      <c r="N2082" s="162" t="n"/>
      <c r="O2082" s="162" t="n"/>
      <c r="P2082" s="162" t="n"/>
      <c r="Q2082" s="320" t="n"/>
      <c r="R2082" s="162" t="inlineStr">
        <is>
          <t>CONTROLE PRODUÇÃO POR EMPRESAS!F352</t>
        </is>
      </c>
    </row>
    <row r="2083" ht="28.5" customHeight="1">
      <c r="A2083" s="317" t="n">
        <v>46569</v>
      </c>
      <c r="B2083" t="inlineStr">
        <is>
          <t>GERAL</t>
        </is>
      </c>
      <c r="C2083" t="inlineStr">
        <is>
          <t>CMM</t>
        </is>
      </c>
      <c r="D2083" t="inlineStr">
        <is>
          <t>VIGAS</t>
        </is>
      </c>
      <c r="F2083" s="159">
        <f>IFERROR(INDEX('BASE METAS DIÁRIAS'!$N$2:$S$358,MATCH($A2083,'BASE METAS DIÁRIAS'!$A$2:$A$358,0),MOD(ROW()-2,6)+1),"")</f>
        <v/>
      </c>
      <c r="G2083" s="159">
        <f>IFERROR(IF(WEEKDAY($A2083,2)&lt;=INDEX('BASE METAS DIÁRIAS'!$H$2:$M$358,MATCH($A2083,'BASE METAS DIÁRIAS'!$A$2:$A$358,0),MOD(ROW()-2,6)+1),INDEX('BASE METAS DIÁRIAS'!$B$2:$G$358,MATCH($A2083,'BASE METAS DIÁRIAS'!$A$2:$A$358,0),MOD(ROW()-2,6)+1),""),"")</f>
        <v/>
      </c>
      <c r="H2083" s="159">
        <f>IFERROR(IF(INDEX('CONTROLE PRODUÇÃO POR EMPRESAS'!$B$6:$G$5000,MATCH($A2083,'CONTROLE PRODUÇÃO POR EMPRESAS'!$A$6:$A$5000,0),MOD(ROW()-2,6)+1)="","",IFERROR(1*INDEX('CONTROLE PRODUÇÃO POR EMPRESAS'!$B$6:$G$5000,MATCH($A2083,'CONTROLE PRODUÇÃO POR EMPRESAS'!$A$6:$A$5000,0),MOD(ROW()-2,6)+1),"")),"")</f>
        <v/>
      </c>
      <c r="I2083" s="159">
        <f>IF(OR(NOT(ISNUMBER(G2083)),NOT(ISNUMBER(H2083))),"",H2083-G2083)</f>
        <v/>
      </c>
      <c r="J2083" s="319">
        <f>IF(OR(NOT(ISNUMBER(G2083)),NOT(ISNUMBER(H2083)),G2083=0),"",I2083/G2083)</f>
        <v/>
      </c>
      <c r="K2083" s="319">
        <f>IF(OR(NOT(ISNUMBER(G2083)),NOT(ISNUMBER(H2083)),G2083=0),"",H2083/G2083)</f>
        <v/>
      </c>
      <c r="L2083">
        <f>IF(NOT(ISNUMBER(G2083)),"SEM META",IF(G2083=0,"SEM META",IF(NOT(ISNUMBER(H2083)),"SEM APONTAMENTO",IF(H2083&gt;=G2083,"VERDE",IF(H2083&gt;=G2083*0.9,"AMARELO","VERMELHO")))))</f>
        <v/>
      </c>
      <c r="M2083" s="162" t="n"/>
      <c r="N2083" s="162" t="n"/>
      <c r="O2083" s="162" t="n"/>
      <c r="P2083" s="162" t="n"/>
      <c r="Q2083" s="320" t="n"/>
      <c r="R2083" s="162" t="inlineStr">
        <is>
          <t>CONTROLE PRODUÇÃO POR EMPRESAS!G352</t>
        </is>
      </c>
    </row>
    <row r="2084" ht="28.5" customHeight="1">
      <c r="A2084" s="317" t="n">
        <v>46570</v>
      </c>
      <c r="B2084" t="inlineStr">
        <is>
          <t>GERAL</t>
        </is>
      </c>
      <c r="C2084" t="inlineStr">
        <is>
          <t>EJ</t>
        </is>
      </c>
      <c r="D2084" t="inlineStr">
        <is>
          <t>PREMONTAGEM</t>
        </is>
      </c>
      <c r="F2084" s="159">
        <f>IFERROR(INDEX('BASE METAS DIÁRIAS'!$N$2:$S$358,MATCH($A2084,'BASE METAS DIÁRIAS'!$A$2:$A$358,0),MOD(ROW()-2,6)+1),"")</f>
        <v/>
      </c>
      <c r="G2084" s="159">
        <f>IFERROR(IF(WEEKDAY($A2084,2)&lt;=INDEX('BASE METAS DIÁRIAS'!$H$2:$M$358,MATCH($A2084,'BASE METAS DIÁRIAS'!$A$2:$A$358,0),MOD(ROW()-2,6)+1),INDEX('BASE METAS DIÁRIAS'!$B$2:$G$358,MATCH($A2084,'BASE METAS DIÁRIAS'!$A$2:$A$358,0),MOD(ROW()-2,6)+1),""),"")</f>
        <v/>
      </c>
      <c r="H2084" s="159">
        <f>IFERROR(IF(INDEX('CONTROLE PRODUÇÃO POR EMPRESAS'!$B$6:$G$5000,MATCH($A2084,'CONTROLE PRODUÇÃO POR EMPRESAS'!$A$6:$A$5000,0),MOD(ROW()-2,6)+1)="","",IFERROR(1*INDEX('CONTROLE PRODUÇÃO POR EMPRESAS'!$B$6:$G$5000,MATCH($A2084,'CONTROLE PRODUÇÃO POR EMPRESAS'!$A$6:$A$5000,0),MOD(ROW()-2,6)+1),"")),"")</f>
        <v/>
      </c>
      <c r="I2084" s="159">
        <f>IF(OR(NOT(ISNUMBER(G2084)),NOT(ISNUMBER(H2084))),"",H2084-G2084)</f>
        <v/>
      </c>
      <c r="J2084" s="319">
        <f>IF(OR(NOT(ISNUMBER(G2084)),NOT(ISNUMBER(H2084)),G2084=0),"",I2084/G2084)</f>
        <v/>
      </c>
      <c r="K2084" s="319">
        <f>IF(OR(NOT(ISNUMBER(G2084)),NOT(ISNUMBER(H2084)),G2084=0),"",H2084/G2084)</f>
        <v/>
      </c>
      <c r="L2084">
        <f>IF(NOT(ISNUMBER(G2084)),"SEM META",IF(G2084=0,"SEM META",IF(NOT(ISNUMBER(H2084)),"SEM APONTAMENTO",IF(H2084&gt;=G2084,"VERDE",IF(H2084&gt;=G2084*0.9,"AMARELO","VERMELHO")))))</f>
        <v/>
      </c>
      <c r="M2084" s="162" t="n"/>
      <c r="N2084" s="162" t="n"/>
      <c r="O2084" s="162" t="n"/>
      <c r="P2084" s="162" t="n"/>
      <c r="Q2084" s="320" t="n"/>
      <c r="R2084" s="162" t="inlineStr">
        <is>
          <t>CONTROLE PRODUÇÃO POR EMPRESAS!B353</t>
        </is>
      </c>
    </row>
    <row r="2085" ht="28.5" customHeight="1">
      <c r="A2085" s="317" t="n">
        <v>46570</v>
      </c>
      <c r="B2085" t="inlineStr">
        <is>
          <t>GERAL</t>
        </is>
      </c>
      <c r="C2085" t="inlineStr">
        <is>
          <t>EJ</t>
        </is>
      </c>
      <c r="D2085" t="inlineStr">
        <is>
          <t>IÇAMENTO JOIST</t>
        </is>
      </c>
      <c r="F2085" s="159">
        <f>IFERROR(INDEX('BASE METAS DIÁRIAS'!$N$2:$S$358,MATCH($A2085,'BASE METAS DIÁRIAS'!$A$2:$A$358,0),MOD(ROW()-2,6)+1),"")</f>
        <v/>
      </c>
      <c r="G2085" s="159">
        <f>IFERROR(IF(WEEKDAY($A2085,2)&lt;=INDEX('BASE METAS DIÁRIAS'!$H$2:$M$358,MATCH($A2085,'BASE METAS DIÁRIAS'!$A$2:$A$358,0),MOD(ROW()-2,6)+1),INDEX('BASE METAS DIÁRIAS'!$B$2:$G$358,MATCH($A2085,'BASE METAS DIÁRIAS'!$A$2:$A$358,0),MOD(ROW()-2,6)+1),""),"")</f>
        <v/>
      </c>
      <c r="H2085" s="159">
        <f>IFERROR(IF(INDEX('CONTROLE PRODUÇÃO POR EMPRESAS'!$B$6:$G$5000,MATCH($A2085,'CONTROLE PRODUÇÃO POR EMPRESAS'!$A$6:$A$5000,0),MOD(ROW()-2,6)+1)="","",IFERROR(1*INDEX('CONTROLE PRODUÇÃO POR EMPRESAS'!$B$6:$G$5000,MATCH($A2085,'CONTROLE PRODUÇÃO POR EMPRESAS'!$A$6:$A$5000,0),MOD(ROW()-2,6)+1),"")),"")</f>
        <v/>
      </c>
      <c r="I2085" s="159">
        <f>IF(OR(NOT(ISNUMBER(G2085)),NOT(ISNUMBER(H2085))),"",H2085-G2085)</f>
        <v/>
      </c>
      <c r="J2085" s="319">
        <f>IF(OR(NOT(ISNUMBER(G2085)),NOT(ISNUMBER(H2085)),G2085=0),"",I2085/G2085)</f>
        <v/>
      </c>
      <c r="K2085" s="319">
        <f>IF(OR(NOT(ISNUMBER(G2085)),NOT(ISNUMBER(H2085)),G2085=0),"",H2085/G2085)</f>
        <v/>
      </c>
      <c r="L2085">
        <f>IF(NOT(ISNUMBER(G2085)),"SEM META",IF(G2085=0,"SEM META",IF(NOT(ISNUMBER(H2085)),"SEM APONTAMENTO",IF(H2085&gt;=G2085,"VERDE",IF(H2085&gt;=G2085*0.9,"AMARELO","VERMELHO")))))</f>
        <v/>
      </c>
      <c r="M2085" s="162" t="n"/>
      <c r="N2085" s="162" t="n"/>
      <c r="O2085" s="162" t="n"/>
      <c r="P2085" s="162" t="n"/>
      <c r="Q2085" s="320" t="n"/>
      <c r="R2085" s="162" t="inlineStr">
        <is>
          <t>CONTROLE PRODUÇÃO POR EMPRESAS!C353</t>
        </is>
      </c>
    </row>
    <row r="2086" ht="28.5" customHeight="1">
      <c r="A2086" s="317" t="n">
        <v>46570</v>
      </c>
      <c r="B2086" t="inlineStr">
        <is>
          <t>GERAL</t>
        </is>
      </c>
      <c r="C2086" t="inlineStr">
        <is>
          <t>EJ</t>
        </is>
      </c>
      <c r="D2086" t="inlineStr">
        <is>
          <t>VIGAS</t>
        </is>
      </c>
      <c r="F2086" s="159">
        <f>IFERROR(INDEX('BASE METAS DIÁRIAS'!$N$2:$S$358,MATCH($A2086,'BASE METAS DIÁRIAS'!$A$2:$A$358,0),MOD(ROW()-2,6)+1),"")</f>
        <v/>
      </c>
      <c r="G2086" s="159">
        <f>IFERROR(IF(WEEKDAY($A2086,2)&lt;=INDEX('BASE METAS DIÁRIAS'!$H$2:$M$358,MATCH($A2086,'BASE METAS DIÁRIAS'!$A$2:$A$358,0),MOD(ROW()-2,6)+1),INDEX('BASE METAS DIÁRIAS'!$B$2:$G$358,MATCH($A2086,'BASE METAS DIÁRIAS'!$A$2:$A$358,0),MOD(ROW()-2,6)+1),""),"")</f>
        <v/>
      </c>
      <c r="H2086" s="159">
        <f>IFERROR(IF(INDEX('CONTROLE PRODUÇÃO POR EMPRESAS'!$B$6:$G$5000,MATCH($A2086,'CONTROLE PRODUÇÃO POR EMPRESAS'!$A$6:$A$5000,0),MOD(ROW()-2,6)+1)="","",IFERROR(1*INDEX('CONTROLE PRODUÇÃO POR EMPRESAS'!$B$6:$G$5000,MATCH($A2086,'CONTROLE PRODUÇÃO POR EMPRESAS'!$A$6:$A$5000,0),MOD(ROW()-2,6)+1),"")),"")</f>
        <v/>
      </c>
      <c r="I2086" s="159">
        <f>IF(OR(NOT(ISNUMBER(G2086)),NOT(ISNUMBER(H2086))),"",H2086-G2086)</f>
        <v/>
      </c>
      <c r="J2086" s="319">
        <f>IF(OR(NOT(ISNUMBER(G2086)),NOT(ISNUMBER(H2086)),G2086=0),"",I2086/G2086)</f>
        <v/>
      </c>
      <c r="K2086" s="319">
        <f>IF(OR(NOT(ISNUMBER(G2086)),NOT(ISNUMBER(H2086)),G2086=0),"",H2086/G2086)</f>
        <v/>
      </c>
      <c r="L2086">
        <f>IF(NOT(ISNUMBER(G2086)),"SEM META",IF(G2086=0,"SEM META",IF(NOT(ISNUMBER(H2086)),"SEM APONTAMENTO",IF(H2086&gt;=G2086,"VERDE",IF(H2086&gt;=G2086*0.9,"AMARELO","VERMELHO")))))</f>
        <v/>
      </c>
      <c r="M2086" s="162" t="n"/>
      <c r="N2086" s="162" t="n"/>
      <c r="O2086" s="162" t="n"/>
      <c r="P2086" s="162" t="n"/>
      <c r="Q2086" s="320" t="n"/>
      <c r="R2086" s="162" t="inlineStr">
        <is>
          <t>CONTROLE PRODUÇÃO POR EMPRESAS!D353</t>
        </is>
      </c>
    </row>
    <row r="2087" ht="28.5" customHeight="1">
      <c r="A2087" s="317" t="n">
        <v>46570</v>
      </c>
      <c r="B2087" t="inlineStr">
        <is>
          <t>GERAL</t>
        </is>
      </c>
      <c r="C2087" t="inlineStr">
        <is>
          <t>CMM</t>
        </is>
      </c>
      <c r="D2087" t="inlineStr">
        <is>
          <t>PREMONTAGEM</t>
        </is>
      </c>
      <c r="F2087" s="159">
        <f>IFERROR(INDEX('BASE METAS DIÁRIAS'!$N$2:$S$358,MATCH($A2087,'BASE METAS DIÁRIAS'!$A$2:$A$358,0),MOD(ROW()-2,6)+1),"")</f>
        <v/>
      </c>
      <c r="G2087" s="159">
        <f>IFERROR(IF(WEEKDAY($A2087,2)&lt;=INDEX('BASE METAS DIÁRIAS'!$H$2:$M$358,MATCH($A2087,'BASE METAS DIÁRIAS'!$A$2:$A$358,0),MOD(ROW()-2,6)+1),INDEX('BASE METAS DIÁRIAS'!$B$2:$G$358,MATCH($A2087,'BASE METAS DIÁRIAS'!$A$2:$A$358,0),MOD(ROW()-2,6)+1),""),"")</f>
        <v/>
      </c>
      <c r="H2087" s="159">
        <f>IFERROR(IF(INDEX('CONTROLE PRODUÇÃO POR EMPRESAS'!$B$6:$G$5000,MATCH($A2087,'CONTROLE PRODUÇÃO POR EMPRESAS'!$A$6:$A$5000,0),MOD(ROW()-2,6)+1)="","",IFERROR(1*INDEX('CONTROLE PRODUÇÃO POR EMPRESAS'!$B$6:$G$5000,MATCH($A2087,'CONTROLE PRODUÇÃO POR EMPRESAS'!$A$6:$A$5000,0),MOD(ROW()-2,6)+1),"")),"")</f>
        <v/>
      </c>
      <c r="I2087" s="159">
        <f>IF(OR(NOT(ISNUMBER(G2087)),NOT(ISNUMBER(H2087))),"",H2087-G2087)</f>
        <v/>
      </c>
      <c r="J2087" s="319">
        <f>IF(OR(NOT(ISNUMBER(G2087)),NOT(ISNUMBER(H2087)),G2087=0),"",I2087/G2087)</f>
        <v/>
      </c>
      <c r="K2087" s="319">
        <f>IF(OR(NOT(ISNUMBER(G2087)),NOT(ISNUMBER(H2087)),G2087=0),"",H2087/G2087)</f>
        <v/>
      </c>
      <c r="L2087">
        <f>IF(NOT(ISNUMBER(G2087)),"SEM META",IF(G2087=0,"SEM META",IF(NOT(ISNUMBER(H2087)),"SEM APONTAMENTO",IF(H2087&gt;=G2087,"VERDE",IF(H2087&gt;=G2087*0.9,"AMARELO","VERMELHO")))))</f>
        <v/>
      </c>
      <c r="M2087" s="162" t="n"/>
      <c r="N2087" s="162" t="n"/>
      <c r="O2087" s="162" t="n"/>
      <c r="P2087" s="162" t="n"/>
      <c r="Q2087" s="320" t="n"/>
      <c r="R2087" s="162" t="inlineStr">
        <is>
          <t>CONTROLE PRODUÇÃO POR EMPRESAS!E353</t>
        </is>
      </c>
    </row>
    <row r="2088" ht="28.5" customHeight="1">
      <c r="A2088" s="317" t="n">
        <v>46570</v>
      </c>
      <c r="B2088" t="inlineStr">
        <is>
          <t>GERAL</t>
        </is>
      </c>
      <c r="C2088" t="inlineStr">
        <is>
          <t>CMM</t>
        </is>
      </c>
      <c r="D2088" t="inlineStr">
        <is>
          <t>IÇAMENTO JOIST</t>
        </is>
      </c>
      <c r="F2088" s="159">
        <f>IFERROR(INDEX('BASE METAS DIÁRIAS'!$N$2:$S$358,MATCH($A2088,'BASE METAS DIÁRIAS'!$A$2:$A$358,0),MOD(ROW()-2,6)+1),"")</f>
        <v/>
      </c>
      <c r="G2088" s="159">
        <f>IFERROR(IF(WEEKDAY($A2088,2)&lt;=INDEX('BASE METAS DIÁRIAS'!$H$2:$M$358,MATCH($A2088,'BASE METAS DIÁRIAS'!$A$2:$A$358,0),MOD(ROW()-2,6)+1),INDEX('BASE METAS DIÁRIAS'!$B$2:$G$358,MATCH($A2088,'BASE METAS DIÁRIAS'!$A$2:$A$358,0),MOD(ROW()-2,6)+1),""),"")</f>
        <v/>
      </c>
      <c r="H2088" s="159">
        <f>IFERROR(IF(INDEX('CONTROLE PRODUÇÃO POR EMPRESAS'!$B$6:$G$5000,MATCH($A2088,'CONTROLE PRODUÇÃO POR EMPRESAS'!$A$6:$A$5000,0),MOD(ROW()-2,6)+1)="","",IFERROR(1*INDEX('CONTROLE PRODUÇÃO POR EMPRESAS'!$B$6:$G$5000,MATCH($A2088,'CONTROLE PRODUÇÃO POR EMPRESAS'!$A$6:$A$5000,0),MOD(ROW()-2,6)+1),"")),"")</f>
        <v/>
      </c>
      <c r="I2088" s="159">
        <f>IF(OR(NOT(ISNUMBER(G2088)),NOT(ISNUMBER(H2088))),"",H2088-G2088)</f>
        <v/>
      </c>
      <c r="J2088" s="319">
        <f>IF(OR(NOT(ISNUMBER(G2088)),NOT(ISNUMBER(H2088)),G2088=0),"",I2088/G2088)</f>
        <v/>
      </c>
      <c r="K2088" s="319">
        <f>IF(OR(NOT(ISNUMBER(G2088)),NOT(ISNUMBER(H2088)),G2088=0),"",H2088/G2088)</f>
        <v/>
      </c>
      <c r="L2088">
        <f>IF(NOT(ISNUMBER(G2088)),"SEM META",IF(G2088=0,"SEM META",IF(NOT(ISNUMBER(H2088)),"SEM APONTAMENTO",IF(H2088&gt;=G2088,"VERDE",IF(H2088&gt;=G2088*0.9,"AMARELO","VERMELHO")))))</f>
        <v/>
      </c>
      <c r="M2088" s="162" t="n"/>
      <c r="N2088" s="162" t="n"/>
      <c r="O2088" s="162" t="n"/>
      <c r="P2088" s="162" t="n"/>
      <c r="Q2088" s="320" t="n"/>
      <c r="R2088" s="162" t="inlineStr">
        <is>
          <t>CONTROLE PRODUÇÃO POR EMPRESAS!F353</t>
        </is>
      </c>
    </row>
    <row r="2089" ht="28.5" customHeight="1">
      <c r="A2089" s="317" t="n">
        <v>46570</v>
      </c>
      <c r="B2089" t="inlineStr">
        <is>
          <t>GERAL</t>
        </is>
      </c>
      <c r="C2089" t="inlineStr">
        <is>
          <t>CMM</t>
        </is>
      </c>
      <c r="D2089" t="inlineStr">
        <is>
          <t>VIGAS</t>
        </is>
      </c>
      <c r="F2089" s="159">
        <f>IFERROR(INDEX('BASE METAS DIÁRIAS'!$N$2:$S$358,MATCH($A2089,'BASE METAS DIÁRIAS'!$A$2:$A$358,0),MOD(ROW()-2,6)+1),"")</f>
        <v/>
      </c>
      <c r="G2089" s="159">
        <f>IFERROR(IF(WEEKDAY($A2089,2)&lt;=INDEX('BASE METAS DIÁRIAS'!$H$2:$M$358,MATCH($A2089,'BASE METAS DIÁRIAS'!$A$2:$A$358,0),MOD(ROW()-2,6)+1),INDEX('BASE METAS DIÁRIAS'!$B$2:$G$358,MATCH($A2089,'BASE METAS DIÁRIAS'!$A$2:$A$358,0),MOD(ROW()-2,6)+1),""),"")</f>
        <v/>
      </c>
      <c r="H2089" s="159">
        <f>IFERROR(IF(INDEX('CONTROLE PRODUÇÃO POR EMPRESAS'!$B$6:$G$5000,MATCH($A2089,'CONTROLE PRODUÇÃO POR EMPRESAS'!$A$6:$A$5000,0),MOD(ROW()-2,6)+1)="","",IFERROR(1*INDEX('CONTROLE PRODUÇÃO POR EMPRESAS'!$B$6:$G$5000,MATCH($A2089,'CONTROLE PRODUÇÃO POR EMPRESAS'!$A$6:$A$5000,0),MOD(ROW()-2,6)+1),"")),"")</f>
        <v/>
      </c>
      <c r="I2089" s="159">
        <f>IF(OR(NOT(ISNUMBER(G2089)),NOT(ISNUMBER(H2089))),"",H2089-G2089)</f>
        <v/>
      </c>
      <c r="J2089" s="319">
        <f>IF(OR(NOT(ISNUMBER(G2089)),NOT(ISNUMBER(H2089)),G2089=0),"",I2089/G2089)</f>
        <v/>
      </c>
      <c r="K2089" s="319">
        <f>IF(OR(NOT(ISNUMBER(G2089)),NOT(ISNUMBER(H2089)),G2089=0),"",H2089/G2089)</f>
        <v/>
      </c>
      <c r="L2089">
        <f>IF(NOT(ISNUMBER(G2089)),"SEM META",IF(G2089=0,"SEM META",IF(NOT(ISNUMBER(H2089)),"SEM APONTAMENTO",IF(H2089&gt;=G2089,"VERDE",IF(H2089&gt;=G2089*0.9,"AMARELO","VERMELHO")))))</f>
        <v/>
      </c>
      <c r="M2089" s="162" t="n"/>
      <c r="N2089" s="162" t="n"/>
      <c r="O2089" s="162" t="n"/>
      <c r="P2089" s="162" t="n"/>
      <c r="Q2089" s="320" t="n"/>
      <c r="R2089" s="162" t="inlineStr">
        <is>
          <t>CONTROLE PRODUÇÃO POR EMPRESAS!G353</t>
        </is>
      </c>
    </row>
    <row r="2090" ht="28.5" customHeight="1">
      <c r="A2090" s="317" t="n">
        <v>46571</v>
      </c>
      <c r="B2090" t="inlineStr">
        <is>
          <t>GERAL</t>
        </is>
      </c>
      <c r="C2090" t="inlineStr">
        <is>
          <t>EJ</t>
        </is>
      </c>
      <c r="D2090" t="inlineStr">
        <is>
          <t>PREMONTAGEM</t>
        </is>
      </c>
      <c r="F2090" s="159">
        <f>IFERROR(INDEX('BASE METAS DIÁRIAS'!$N$2:$S$358,MATCH($A2090,'BASE METAS DIÁRIAS'!$A$2:$A$358,0),MOD(ROW()-2,6)+1),"")</f>
        <v/>
      </c>
      <c r="G2090" s="159">
        <f>IFERROR(IF(WEEKDAY($A2090,2)&lt;=INDEX('BASE METAS DIÁRIAS'!$H$2:$M$358,MATCH($A2090,'BASE METAS DIÁRIAS'!$A$2:$A$358,0),MOD(ROW()-2,6)+1),INDEX('BASE METAS DIÁRIAS'!$B$2:$G$358,MATCH($A2090,'BASE METAS DIÁRIAS'!$A$2:$A$358,0),MOD(ROW()-2,6)+1),""),"")</f>
        <v/>
      </c>
      <c r="H2090" s="159">
        <f>IFERROR(IF(INDEX('CONTROLE PRODUÇÃO POR EMPRESAS'!$B$6:$G$5000,MATCH($A2090,'CONTROLE PRODUÇÃO POR EMPRESAS'!$A$6:$A$5000,0),MOD(ROW()-2,6)+1)="","",IFERROR(1*INDEX('CONTROLE PRODUÇÃO POR EMPRESAS'!$B$6:$G$5000,MATCH($A2090,'CONTROLE PRODUÇÃO POR EMPRESAS'!$A$6:$A$5000,0),MOD(ROW()-2,6)+1),"")),"")</f>
        <v/>
      </c>
      <c r="I2090" s="159">
        <f>IF(OR(NOT(ISNUMBER(G2090)),NOT(ISNUMBER(H2090))),"",H2090-G2090)</f>
        <v/>
      </c>
      <c r="J2090" s="319">
        <f>IF(OR(NOT(ISNUMBER(G2090)),NOT(ISNUMBER(H2090)),G2090=0),"",I2090/G2090)</f>
        <v/>
      </c>
      <c r="K2090" s="319">
        <f>IF(OR(NOT(ISNUMBER(G2090)),NOT(ISNUMBER(H2090)),G2090=0),"",H2090/G2090)</f>
        <v/>
      </c>
      <c r="L2090">
        <f>IF(NOT(ISNUMBER(G2090)),"SEM META",IF(G2090=0,"SEM META",IF(NOT(ISNUMBER(H2090)),"SEM APONTAMENTO",IF(H2090&gt;=G2090,"VERDE",IF(H2090&gt;=G2090*0.9,"AMARELO","VERMELHO")))))</f>
        <v/>
      </c>
      <c r="M2090" s="162" t="n"/>
      <c r="N2090" s="162" t="n"/>
      <c r="O2090" s="162" t="n"/>
      <c r="P2090" s="162" t="n"/>
      <c r="Q2090" s="320" t="n"/>
      <c r="R2090" s="162" t="inlineStr">
        <is>
          <t>CONTROLE PRODUÇÃO POR EMPRESAS!B354</t>
        </is>
      </c>
    </row>
    <row r="2091" ht="28.5" customHeight="1">
      <c r="A2091" s="317" t="n">
        <v>46571</v>
      </c>
      <c r="B2091" t="inlineStr">
        <is>
          <t>GERAL</t>
        </is>
      </c>
      <c r="C2091" t="inlineStr">
        <is>
          <t>EJ</t>
        </is>
      </c>
      <c r="D2091" t="inlineStr">
        <is>
          <t>IÇAMENTO JOIST</t>
        </is>
      </c>
      <c r="F2091" s="159">
        <f>IFERROR(INDEX('BASE METAS DIÁRIAS'!$N$2:$S$358,MATCH($A2091,'BASE METAS DIÁRIAS'!$A$2:$A$358,0),MOD(ROW()-2,6)+1),"")</f>
        <v/>
      </c>
      <c r="G2091" s="159">
        <f>IFERROR(IF(WEEKDAY($A2091,2)&lt;=INDEX('BASE METAS DIÁRIAS'!$H$2:$M$358,MATCH($A2091,'BASE METAS DIÁRIAS'!$A$2:$A$358,0),MOD(ROW()-2,6)+1),INDEX('BASE METAS DIÁRIAS'!$B$2:$G$358,MATCH($A2091,'BASE METAS DIÁRIAS'!$A$2:$A$358,0),MOD(ROW()-2,6)+1),""),"")</f>
        <v/>
      </c>
      <c r="H2091" s="159">
        <f>IFERROR(IF(INDEX('CONTROLE PRODUÇÃO POR EMPRESAS'!$B$6:$G$5000,MATCH($A2091,'CONTROLE PRODUÇÃO POR EMPRESAS'!$A$6:$A$5000,0),MOD(ROW()-2,6)+1)="","",IFERROR(1*INDEX('CONTROLE PRODUÇÃO POR EMPRESAS'!$B$6:$G$5000,MATCH($A2091,'CONTROLE PRODUÇÃO POR EMPRESAS'!$A$6:$A$5000,0),MOD(ROW()-2,6)+1),"")),"")</f>
        <v/>
      </c>
      <c r="I2091" s="159">
        <f>IF(OR(NOT(ISNUMBER(G2091)),NOT(ISNUMBER(H2091))),"",H2091-G2091)</f>
        <v/>
      </c>
      <c r="J2091" s="319">
        <f>IF(OR(NOT(ISNUMBER(G2091)),NOT(ISNUMBER(H2091)),G2091=0),"",I2091/G2091)</f>
        <v/>
      </c>
      <c r="K2091" s="319">
        <f>IF(OR(NOT(ISNUMBER(G2091)),NOT(ISNUMBER(H2091)),G2091=0),"",H2091/G2091)</f>
        <v/>
      </c>
      <c r="L2091">
        <f>IF(NOT(ISNUMBER(G2091)),"SEM META",IF(G2091=0,"SEM META",IF(NOT(ISNUMBER(H2091)),"SEM APONTAMENTO",IF(H2091&gt;=G2091,"VERDE",IF(H2091&gt;=G2091*0.9,"AMARELO","VERMELHO")))))</f>
        <v/>
      </c>
      <c r="M2091" s="162" t="n"/>
      <c r="N2091" s="162" t="n"/>
      <c r="O2091" s="162" t="n"/>
      <c r="P2091" s="162" t="n"/>
      <c r="Q2091" s="320" t="n"/>
      <c r="R2091" s="162" t="inlineStr">
        <is>
          <t>CONTROLE PRODUÇÃO POR EMPRESAS!C354</t>
        </is>
      </c>
    </row>
    <row r="2092" ht="28.5" customHeight="1">
      <c r="A2092" s="317" t="n">
        <v>46571</v>
      </c>
      <c r="B2092" t="inlineStr">
        <is>
          <t>GERAL</t>
        </is>
      </c>
      <c r="C2092" t="inlineStr">
        <is>
          <t>EJ</t>
        </is>
      </c>
      <c r="D2092" t="inlineStr">
        <is>
          <t>VIGAS</t>
        </is>
      </c>
      <c r="F2092" s="159">
        <f>IFERROR(INDEX('BASE METAS DIÁRIAS'!$N$2:$S$358,MATCH($A2092,'BASE METAS DIÁRIAS'!$A$2:$A$358,0),MOD(ROW()-2,6)+1),"")</f>
        <v/>
      </c>
      <c r="G2092" s="159">
        <f>IFERROR(IF(WEEKDAY($A2092,2)&lt;=INDEX('BASE METAS DIÁRIAS'!$H$2:$M$358,MATCH($A2092,'BASE METAS DIÁRIAS'!$A$2:$A$358,0),MOD(ROW()-2,6)+1),INDEX('BASE METAS DIÁRIAS'!$B$2:$G$358,MATCH($A2092,'BASE METAS DIÁRIAS'!$A$2:$A$358,0),MOD(ROW()-2,6)+1),""),"")</f>
        <v/>
      </c>
      <c r="H2092" s="159">
        <f>IFERROR(IF(INDEX('CONTROLE PRODUÇÃO POR EMPRESAS'!$B$6:$G$5000,MATCH($A2092,'CONTROLE PRODUÇÃO POR EMPRESAS'!$A$6:$A$5000,0),MOD(ROW()-2,6)+1)="","",IFERROR(1*INDEX('CONTROLE PRODUÇÃO POR EMPRESAS'!$B$6:$G$5000,MATCH($A2092,'CONTROLE PRODUÇÃO POR EMPRESAS'!$A$6:$A$5000,0),MOD(ROW()-2,6)+1),"")),"")</f>
        <v/>
      </c>
      <c r="I2092" s="159">
        <f>IF(OR(NOT(ISNUMBER(G2092)),NOT(ISNUMBER(H2092))),"",H2092-G2092)</f>
        <v/>
      </c>
      <c r="J2092" s="319">
        <f>IF(OR(NOT(ISNUMBER(G2092)),NOT(ISNUMBER(H2092)),G2092=0),"",I2092/G2092)</f>
        <v/>
      </c>
      <c r="K2092" s="319">
        <f>IF(OR(NOT(ISNUMBER(G2092)),NOT(ISNUMBER(H2092)),G2092=0),"",H2092/G2092)</f>
        <v/>
      </c>
      <c r="L2092">
        <f>IF(NOT(ISNUMBER(G2092)),"SEM META",IF(G2092=0,"SEM META",IF(NOT(ISNUMBER(H2092)),"SEM APONTAMENTO",IF(H2092&gt;=G2092,"VERDE",IF(H2092&gt;=G2092*0.9,"AMARELO","VERMELHO")))))</f>
        <v/>
      </c>
      <c r="M2092" s="162" t="n"/>
      <c r="N2092" s="162" t="n"/>
      <c r="O2092" s="162" t="n"/>
      <c r="P2092" s="162" t="n"/>
      <c r="Q2092" s="320" t="n"/>
      <c r="R2092" s="162" t="inlineStr">
        <is>
          <t>CONTROLE PRODUÇÃO POR EMPRESAS!D354</t>
        </is>
      </c>
    </row>
    <row r="2093" ht="28.5" customHeight="1">
      <c r="A2093" s="317" t="n">
        <v>46571</v>
      </c>
      <c r="B2093" t="inlineStr">
        <is>
          <t>GERAL</t>
        </is>
      </c>
      <c r="C2093" t="inlineStr">
        <is>
          <t>CMM</t>
        </is>
      </c>
      <c r="D2093" t="inlineStr">
        <is>
          <t>PREMONTAGEM</t>
        </is>
      </c>
      <c r="F2093" s="159">
        <f>IFERROR(INDEX('BASE METAS DIÁRIAS'!$N$2:$S$358,MATCH($A2093,'BASE METAS DIÁRIAS'!$A$2:$A$358,0),MOD(ROW()-2,6)+1),"")</f>
        <v/>
      </c>
      <c r="G2093" s="159">
        <f>IFERROR(IF(WEEKDAY($A2093,2)&lt;=INDEX('BASE METAS DIÁRIAS'!$H$2:$M$358,MATCH($A2093,'BASE METAS DIÁRIAS'!$A$2:$A$358,0),MOD(ROW()-2,6)+1),INDEX('BASE METAS DIÁRIAS'!$B$2:$G$358,MATCH($A2093,'BASE METAS DIÁRIAS'!$A$2:$A$358,0),MOD(ROW()-2,6)+1),""),"")</f>
        <v/>
      </c>
      <c r="H2093" s="159">
        <f>IFERROR(IF(INDEX('CONTROLE PRODUÇÃO POR EMPRESAS'!$B$6:$G$5000,MATCH($A2093,'CONTROLE PRODUÇÃO POR EMPRESAS'!$A$6:$A$5000,0),MOD(ROW()-2,6)+1)="","",IFERROR(1*INDEX('CONTROLE PRODUÇÃO POR EMPRESAS'!$B$6:$G$5000,MATCH($A2093,'CONTROLE PRODUÇÃO POR EMPRESAS'!$A$6:$A$5000,0),MOD(ROW()-2,6)+1),"")),"")</f>
        <v/>
      </c>
      <c r="I2093" s="159">
        <f>IF(OR(NOT(ISNUMBER(G2093)),NOT(ISNUMBER(H2093))),"",H2093-G2093)</f>
        <v/>
      </c>
      <c r="J2093" s="319">
        <f>IF(OR(NOT(ISNUMBER(G2093)),NOT(ISNUMBER(H2093)),G2093=0),"",I2093/G2093)</f>
        <v/>
      </c>
      <c r="K2093" s="319">
        <f>IF(OR(NOT(ISNUMBER(G2093)),NOT(ISNUMBER(H2093)),G2093=0),"",H2093/G2093)</f>
        <v/>
      </c>
      <c r="L2093">
        <f>IF(NOT(ISNUMBER(G2093)),"SEM META",IF(G2093=0,"SEM META",IF(NOT(ISNUMBER(H2093)),"SEM APONTAMENTO",IF(H2093&gt;=G2093,"VERDE",IF(H2093&gt;=G2093*0.9,"AMARELO","VERMELHO")))))</f>
        <v/>
      </c>
      <c r="M2093" s="162" t="n"/>
      <c r="N2093" s="162" t="n"/>
      <c r="O2093" s="162" t="n"/>
      <c r="P2093" s="162" t="n"/>
      <c r="Q2093" s="320" t="n"/>
      <c r="R2093" s="162" t="inlineStr">
        <is>
          <t>CONTROLE PRODUÇÃO POR EMPRESAS!E354</t>
        </is>
      </c>
    </row>
    <row r="2094" ht="28.5" customHeight="1">
      <c r="A2094" s="317" t="n">
        <v>46571</v>
      </c>
      <c r="B2094" t="inlineStr">
        <is>
          <t>GERAL</t>
        </is>
      </c>
      <c r="C2094" t="inlineStr">
        <is>
          <t>CMM</t>
        </is>
      </c>
      <c r="D2094" t="inlineStr">
        <is>
          <t>IÇAMENTO JOIST</t>
        </is>
      </c>
      <c r="F2094" s="159">
        <f>IFERROR(INDEX('BASE METAS DIÁRIAS'!$N$2:$S$358,MATCH($A2094,'BASE METAS DIÁRIAS'!$A$2:$A$358,0),MOD(ROW()-2,6)+1),"")</f>
        <v/>
      </c>
      <c r="G2094" s="159">
        <f>IFERROR(IF(WEEKDAY($A2094,2)&lt;=INDEX('BASE METAS DIÁRIAS'!$H$2:$M$358,MATCH($A2094,'BASE METAS DIÁRIAS'!$A$2:$A$358,0),MOD(ROW()-2,6)+1),INDEX('BASE METAS DIÁRIAS'!$B$2:$G$358,MATCH($A2094,'BASE METAS DIÁRIAS'!$A$2:$A$358,0),MOD(ROW()-2,6)+1),""),"")</f>
        <v/>
      </c>
      <c r="H2094" s="159">
        <f>IFERROR(IF(INDEX('CONTROLE PRODUÇÃO POR EMPRESAS'!$B$6:$G$5000,MATCH($A2094,'CONTROLE PRODUÇÃO POR EMPRESAS'!$A$6:$A$5000,0),MOD(ROW()-2,6)+1)="","",IFERROR(1*INDEX('CONTROLE PRODUÇÃO POR EMPRESAS'!$B$6:$G$5000,MATCH($A2094,'CONTROLE PRODUÇÃO POR EMPRESAS'!$A$6:$A$5000,0),MOD(ROW()-2,6)+1),"")),"")</f>
        <v/>
      </c>
      <c r="I2094" s="159">
        <f>IF(OR(NOT(ISNUMBER(G2094)),NOT(ISNUMBER(H2094))),"",H2094-G2094)</f>
        <v/>
      </c>
      <c r="J2094" s="319">
        <f>IF(OR(NOT(ISNUMBER(G2094)),NOT(ISNUMBER(H2094)),G2094=0),"",I2094/G2094)</f>
        <v/>
      </c>
      <c r="K2094" s="319">
        <f>IF(OR(NOT(ISNUMBER(G2094)),NOT(ISNUMBER(H2094)),G2094=0),"",H2094/G2094)</f>
        <v/>
      </c>
      <c r="L2094">
        <f>IF(NOT(ISNUMBER(G2094)),"SEM META",IF(G2094=0,"SEM META",IF(NOT(ISNUMBER(H2094)),"SEM APONTAMENTO",IF(H2094&gt;=G2094,"VERDE",IF(H2094&gt;=G2094*0.9,"AMARELO","VERMELHO")))))</f>
        <v/>
      </c>
      <c r="M2094" s="162" t="n"/>
      <c r="N2094" s="162" t="n"/>
      <c r="O2094" s="162" t="n"/>
      <c r="P2094" s="162" t="n"/>
      <c r="Q2094" s="320" t="n"/>
      <c r="R2094" s="162" t="inlineStr">
        <is>
          <t>CONTROLE PRODUÇÃO POR EMPRESAS!F354</t>
        </is>
      </c>
    </row>
    <row r="2095" ht="28.5" customHeight="1">
      <c r="A2095" s="317" t="n">
        <v>46571</v>
      </c>
      <c r="B2095" t="inlineStr">
        <is>
          <t>GERAL</t>
        </is>
      </c>
      <c r="C2095" t="inlineStr">
        <is>
          <t>CMM</t>
        </is>
      </c>
      <c r="D2095" t="inlineStr">
        <is>
          <t>VIGAS</t>
        </is>
      </c>
      <c r="F2095" s="159">
        <f>IFERROR(INDEX('BASE METAS DIÁRIAS'!$N$2:$S$358,MATCH($A2095,'BASE METAS DIÁRIAS'!$A$2:$A$358,0),MOD(ROW()-2,6)+1),"")</f>
        <v/>
      </c>
      <c r="G2095" s="159">
        <f>IFERROR(IF(WEEKDAY($A2095,2)&lt;=INDEX('BASE METAS DIÁRIAS'!$H$2:$M$358,MATCH($A2095,'BASE METAS DIÁRIAS'!$A$2:$A$358,0),MOD(ROW()-2,6)+1),INDEX('BASE METAS DIÁRIAS'!$B$2:$G$358,MATCH($A2095,'BASE METAS DIÁRIAS'!$A$2:$A$358,0),MOD(ROW()-2,6)+1),""),"")</f>
        <v/>
      </c>
      <c r="H2095" s="159">
        <f>IFERROR(IF(INDEX('CONTROLE PRODUÇÃO POR EMPRESAS'!$B$6:$G$5000,MATCH($A2095,'CONTROLE PRODUÇÃO POR EMPRESAS'!$A$6:$A$5000,0),MOD(ROW()-2,6)+1)="","",IFERROR(1*INDEX('CONTROLE PRODUÇÃO POR EMPRESAS'!$B$6:$G$5000,MATCH($A2095,'CONTROLE PRODUÇÃO POR EMPRESAS'!$A$6:$A$5000,0),MOD(ROW()-2,6)+1),"")),"")</f>
        <v/>
      </c>
      <c r="I2095" s="159">
        <f>IF(OR(NOT(ISNUMBER(G2095)),NOT(ISNUMBER(H2095))),"",H2095-G2095)</f>
        <v/>
      </c>
      <c r="J2095" s="319">
        <f>IF(OR(NOT(ISNUMBER(G2095)),NOT(ISNUMBER(H2095)),G2095=0),"",I2095/G2095)</f>
        <v/>
      </c>
      <c r="K2095" s="319">
        <f>IF(OR(NOT(ISNUMBER(G2095)),NOT(ISNUMBER(H2095)),G2095=0),"",H2095/G2095)</f>
        <v/>
      </c>
      <c r="L2095">
        <f>IF(NOT(ISNUMBER(G2095)),"SEM META",IF(G2095=0,"SEM META",IF(NOT(ISNUMBER(H2095)),"SEM APONTAMENTO",IF(H2095&gt;=G2095,"VERDE",IF(H2095&gt;=G2095*0.9,"AMARELO","VERMELHO")))))</f>
        <v/>
      </c>
      <c r="M2095" s="162" t="n"/>
      <c r="N2095" s="162" t="n"/>
      <c r="O2095" s="162" t="n"/>
      <c r="P2095" s="162" t="n"/>
      <c r="Q2095" s="320" t="n"/>
      <c r="R2095" s="162" t="inlineStr">
        <is>
          <t>CONTROLE PRODUÇÃO POR EMPRESAS!G354</t>
        </is>
      </c>
    </row>
    <row r="2096" ht="28.5" customHeight="1">
      <c r="A2096" s="317" t="n">
        <v>46572</v>
      </c>
      <c r="B2096" t="inlineStr">
        <is>
          <t>GERAL</t>
        </is>
      </c>
      <c r="C2096" t="inlineStr">
        <is>
          <t>EJ</t>
        </is>
      </c>
      <c r="D2096" t="inlineStr">
        <is>
          <t>PREMONTAGEM</t>
        </is>
      </c>
      <c r="F2096" s="159">
        <f>IFERROR(INDEX('BASE METAS DIÁRIAS'!$N$2:$S$358,MATCH($A2096,'BASE METAS DIÁRIAS'!$A$2:$A$358,0),MOD(ROW()-2,6)+1),"")</f>
        <v/>
      </c>
      <c r="G2096" s="159">
        <f>IFERROR(IF(WEEKDAY($A2096,2)&lt;=INDEX('BASE METAS DIÁRIAS'!$H$2:$M$358,MATCH($A2096,'BASE METAS DIÁRIAS'!$A$2:$A$358,0),MOD(ROW()-2,6)+1),INDEX('BASE METAS DIÁRIAS'!$B$2:$G$358,MATCH($A2096,'BASE METAS DIÁRIAS'!$A$2:$A$358,0),MOD(ROW()-2,6)+1),""),"")</f>
        <v/>
      </c>
      <c r="H2096" s="159">
        <f>IFERROR(IF(INDEX('CONTROLE PRODUÇÃO POR EMPRESAS'!$B$6:$G$5000,MATCH($A2096,'CONTROLE PRODUÇÃO POR EMPRESAS'!$A$6:$A$5000,0),MOD(ROW()-2,6)+1)="","",IFERROR(1*INDEX('CONTROLE PRODUÇÃO POR EMPRESAS'!$B$6:$G$5000,MATCH($A2096,'CONTROLE PRODUÇÃO POR EMPRESAS'!$A$6:$A$5000,0),MOD(ROW()-2,6)+1),"")),"")</f>
        <v/>
      </c>
      <c r="I2096" s="159">
        <f>IF(OR(NOT(ISNUMBER(G2096)),NOT(ISNUMBER(H2096))),"",H2096-G2096)</f>
        <v/>
      </c>
      <c r="J2096" s="319">
        <f>IF(OR(NOT(ISNUMBER(G2096)),NOT(ISNUMBER(H2096)),G2096=0),"",I2096/G2096)</f>
        <v/>
      </c>
      <c r="K2096" s="319">
        <f>IF(OR(NOT(ISNUMBER(G2096)),NOT(ISNUMBER(H2096)),G2096=0),"",H2096/G2096)</f>
        <v/>
      </c>
      <c r="L2096">
        <f>IF(NOT(ISNUMBER(G2096)),"SEM META",IF(G2096=0,"SEM META",IF(NOT(ISNUMBER(H2096)),"SEM APONTAMENTO",IF(H2096&gt;=G2096,"VERDE",IF(H2096&gt;=G2096*0.9,"AMARELO","VERMELHO")))))</f>
        <v/>
      </c>
      <c r="M2096" s="162" t="n"/>
      <c r="N2096" s="162" t="n"/>
      <c r="O2096" s="162" t="n"/>
      <c r="P2096" s="162" t="n"/>
      <c r="Q2096" s="320" t="n"/>
      <c r="R2096" s="162" t="inlineStr">
        <is>
          <t>CONTROLE PRODUÇÃO POR EMPRESAS!B355</t>
        </is>
      </c>
    </row>
    <row r="2097" ht="28.5" customHeight="1">
      <c r="A2097" s="317" t="n">
        <v>46572</v>
      </c>
      <c r="B2097" t="inlineStr">
        <is>
          <t>GERAL</t>
        </is>
      </c>
      <c r="C2097" t="inlineStr">
        <is>
          <t>EJ</t>
        </is>
      </c>
      <c r="D2097" t="inlineStr">
        <is>
          <t>IÇAMENTO JOIST</t>
        </is>
      </c>
      <c r="F2097" s="159">
        <f>IFERROR(INDEX('BASE METAS DIÁRIAS'!$N$2:$S$358,MATCH($A2097,'BASE METAS DIÁRIAS'!$A$2:$A$358,0),MOD(ROW()-2,6)+1),"")</f>
        <v/>
      </c>
      <c r="G2097" s="159">
        <f>IFERROR(IF(WEEKDAY($A2097,2)&lt;=INDEX('BASE METAS DIÁRIAS'!$H$2:$M$358,MATCH($A2097,'BASE METAS DIÁRIAS'!$A$2:$A$358,0),MOD(ROW()-2,6)+1),INDEX('BASE METAS DIÁRIAS'!$B$2:$G$358,MATCH($A2097,'BASE METAS DIÁRIAS'!$A$2:$A$358,0),MOD(ROW()-2,6)+1),""),"")</f>
        <v/>
      </c>
      <c r="H2097" s="159">
        <f>IFERROR(IF(INDEX('CONTROLE PRODUÇÃO POR EMPRESAS'!$B$6:$G$5000,MATCH($A2097,'CONTROLE PRODUÇÃO POR EMPRESAS'!$A$6:$A$5000,0),MOD(ROW()-2,6)+1)="","",IFERROR(1*INDEX('CONTROLE PRODUÇÃO POR EMPRESAS'!$B$6:$G$5000,MATCH($A2097,'CONTROLE PRODUÇÃO POR EMPRESAS'!$A$6:$A$5000,0),MOD(ROW()-2,6)+1),"")),"")</f>
        <v/>
      </c>
      <c r="I2097" s="159">
        <f>IF(OR(NOT(ISNUMBER(G2097)),NOT(ISNUMBER(H2097))),"",H2097-G2097)</f>
        <v/>
      </c>
      <c r="J2097" s="319">
        <f>IF(OR(NOT(ISNUMBER(G2097)),NOT(ISNUMBER(H2097)),G2097=0),"",I2097/G2097)</f>
        <v/>
      </c>
      <c r="K2097" s="319">
        <f>IF(OR(NOT(ISNUMBER(G2097)),NOT(ISNUMBER(H2097)),G2097=0),"",H2097/G2097)</f>
        <v/>
      </c>
      <c r="L2097">
        <f>IF(NOT(ISNUMBER(G2097)),"SEM META",IF(G2097=0,"SEM META",IF(NOT(ISNUMBER(H2097)),"SEM APONTAMENTO",IF(H2097&gt;=G2097,"VERDE",IF(H2097&gt;=G2097*0.9,"AMARELO","VERMELHO")))))</f>
        <v/>
      </c>
      <c r="M2097" s="162" t="n"/>
      <c r="N2097" s="162" t="n"/>
      <c r="O2097" s="162" t="n"/>
      <c r="P2097" s="162" t="n"/>
      <c r="Q2097" s="320" t="n"/>
      <c r="R2097" s="162" t="inlineStr">
        <is>
          <t>CONTROLE PRODUÇÃO POR EMPRESAS!C355</t>
        </is>
      </c>
    </row>
    <row r="2098" ht="28.5" customHeight="1">
      <c r="A2098" s="317" t="n">
        <v>46572</v>
      </c>
      <c r="B2098" t="inlineStr">
        <is>
          <t>GERAL</t>
        </is>
      </c>
      <c r="C2098" t="inlineStr">
        <is>
          <t>EJ</t>
        </is>
      </c>
      <c r="D2098" t="inlineStr">
        <is>
          <t>VIGAS</t>
        </is>
      </c>
      <c r="F2098" s="159">
        <f>IFERROR(INDEX('BASE METAS DIÁRIAS'!$N$2:$S$358,MATCH($A2098,'BASE METAS DIÁRIAS'!$A$2:$A$358,0),MOD(ROW()-2,6)+1),"")</f>
        <v/>
      </c>
      <c r="G2098" s="159">
        <f>IFERROR(IF(WEEKDAY($A2098,2)&lt;=INDEX('BASE METAS DIÁRIAS'!$H$2:$M$358,MATCH($A2098,'BASE METAS DIÁRIAS'!$A$2:$A$358,0),MOD(ROW()-2,6)+1),INDEX('BASE METAS DIÁRIAS'!$B$2:$G$358,MATCH($A2098,'BASE METAS DIÁRIAS'!$A$2:$A$358,0),MOD(ROW()-2,6)+1),""),"")</f>
        <v/>
      </c>
      <c r="H2098" s="159">
        <f>IFERROR(IF(INDEX('CONTROLE PRODUÇÃO POR EMPRESAS'!$B$6:$G$5000,MATCH($A2098,'CONTROLE PRODUÇÃO POR EMPRESAS'!$A$6:$A$5000,0),MOD(ROW()-2,6)+1)="","",IFERROR(1*INDEX('CONTROLE PRODUÇÃO POR EMPRESAS'!$B$6:$G$5000,MATCH($A2098,'CONTROLE PRODUÇÃO POR EMPRESAS'!$A$6:$A$5000,0),MOD(ROW()-2,6)+1),"")),"")</f>
        <v/>
      </c>
      <c r="I2098" s="159">
        <f>IF(OR(NOT(ISNUMBER(G2098)),NOT(ISNUMBER(H2098))),"",H2098-G2098)</f>
        <v/>
      </c>
      <c r="J2098" s="319">
        <f>IF(OR(NOT(ISNUMBER(G2098)),NOT(ISNUMBER(H2098)),G2098=0),"",I2098/G2098)</f>
        <v/>
      </c>
      <c r="K2098" s="319">
        <f>IF(OR(NOT(ISNUMBER(G2098)),NOT(ISNUMBER(H2098)),G2098=0),"",H2098/G2098)</f>
        <v/>
      </c>
      <c r="L2098">
        <f>IF(NOT(ISNUMBER(G2098)),"SEM META",IF(G2098=0,"SEM META",IF(NOT(ISNUMBER(H2098)),"SEM APONTAMENTO",IF(H2098&gt;=G2098,"VERDE",IF(H2098&gt;=G2098*0.9,"AMARELO","VERMELHO")))))</f>
        <v/>
      </c>
      <c r="M2098" s="162" t="n"/>
      <c r="N2098" s="162" t="n"/>
      <c r="O2098" s="162" t="n"/>
      <c r="P2098" s="162" t="n"/>
      <c r="Q2098" s="320" t="n"/>
      <c r="R2098" s="162" t="inlineStr">
        <is>
          <t>CONTROLE PRODUÇÃO POR EMPRESAS!D355</t>
        </is>
      </c>
    </row>
    <row r="2099" ht="28.5" customHeight="1">
      <c r="A2099" s="317" t="n">
        <v>46572</v>
      </c>
      <c r="B2099" t="inlineStr">
        <is>
          <t>GERAL</t>
        </is>
      </c>
      <c r="C2099" t="inlineStr">
        <is>
          <t>CMM</t>
        </is>
      </c>
      <c r="D2099" t="inlineStr">
        <is>
          <t>PREMONTAGEM</t>
        </is>
      </c>
      <c r="F2099" s="159">
        <f>IFERROR(INDEX('BASE METAS DIÁRIAS'!$N$2:$S$358,MATCH($A2099,'BASE METAS DIÁRIAS'!$A$2:$A$358,0),MOD(ROW()-2,6)+1),"")</f>
        <v/>
      </c>
      <c r="G2099" s="159">
        <f>IFERROR(IF(WEEKDAY($A2099,2)&lt;=INDEX('BASE METAS DIÁRIAS'!$H$2:$M$358,MATCH($A2099,'BASE METAS DIÁRIAS'!$A$2:$A$358,0),MOD(ROW()-2,6)+1),INDEX('BASE METAS DIÁRIAS'!$B$2:$G$358,MATCH($A2099,'BASE METAS DIÁRIAS'!$A$2:$A$358,0),MOD(ROW()-2,6)+1),""),"")</f>
        <v/>
      </c>
      <c r="H2099" s="159">
        <f>IFERROR(IF(INDEX('CONTROLE PRODUÇÃO POR EMPRESAS'!$B$6:$G$5000,MATCH($A2099,'CONTROLE PRODUÇÃO POR EMPRESAS'!$A$6:$A$5000,0),MOD(ROW()-2,6)+1)="","",IFERROR(1*INDEX('CONTROLE PRODUÇÃO POR EMPRESAS'!$B$6:$G$5000,MATCH($A2099,'CONTROLE PRODUÇÃO POR EMPRESAS'!$A$6:$A$5000,0),MOD(ROW()-2,6)+1),"")),"")</f>
        <v/>
      </c>
      <c r="I2099" s="159">
        <f>IF(OR(NOT(ISNUMBER(G2099)),NOT(ISNUMBER(H2099))),"",H2099-G2099)</f>
        <v/>
      </c>
      <c r="J2099" s="319">
        <f>IF(OR(NOT(ISNUMBER(G2099)),NOT(ISNUMBER(H2099)),G2099=0),"",I2099/G2099)</f>
        <v/>
      </c>
      <c r="K2099" s="319">
        <f>IF(OR(NOT(ISNUMBER(G2099)),NOT(ISNUMBER(H2099)),G2099=0),"",H2099/G2099)</f>
        <v/>
      </c>
      <c r="L2099">
        <f>IF(NOT(ISNUMBER(G2099)),"SEM META",IF(G2099=0,"SEM META",IF(NOT(ISNUMBER(H2099)),"SEM APONTAMENTO",IF(H2099&gt;=G2099,"VERDE",IF(H2099&gt;=G2099*0.9,"AMARELO","VERMELHO")))))</f>
        <v/>
      </c>
      <c r="M2099" s="162" t="n"/>
      <c r="N2099" s="162" t="n"/>
      <c r="O2099" s="162" t="n"/>
      <c r="P2099" s="162" t="n"/>
      <c r="Q2099" s="320" t="n"/>
      <c r="R2099" s="162" t="inlineStr">
        <is>
          <t>CONTROLE PRODUÇÃO POR EMPRESAS!E355</t>
        </is>
      </c>
    </row>
    <row r="2100" ht="28.5" customHeight="1">
      <c r="A2100" s="317" t="n">
        <v>46572</v>
      </c>
      <c r="B2100" t="inlineStr">
        <is>
          <t>GERAL</t>
        </is>
      </c>
      <c r="C2100" t="inlineStr">
        <is>
          <t>CMM</t>
        </is>
      </c>
      <c r="D2100" t="inlineStr">
        <is>
          <t>IÇAMENTO JOIST</t>
        </is>
      </c>
      <c r="F2100" s="159">
        <f>IFERROR(INDEX('BASE METAS DIÁRIAS'!$N$2:$S$358,MATCH($A2100,'BASE METAS DIÁRIAS'!$A$2:$A$358,0),MOD(ROW()-2,6)+1),"")</f>
        <v/>
      </c>
      <c r="G2100" s="159">
        <f>IFERROR(IF(WEEKDAY($A2100,2)&lt;=INDEX('BASE METAS DIÁRIAS'!$H$2:$M$358,MATCH($A2100,'BASE METAS DIÁRIAS'!$A$2:$A$358,0),MOD(ROW()-2,6)+1),INDEX('BASE METAS DIÁRIAS'!$B$2:$G$358,MATCH($A2100,'BASE METAS DIÁRIAS'!$A$2:$A$358,0),MOD(ROW()-2,6)+1),""),"")</f>
        <v/>
      </c>
      <c r="H2100" s="159">
        <f>IFERROR(IF(INDEX('CONTROLE PRODUÇÃO POR EMPRESAS'!$B$6:$G$5000,MATCH($A2100,'CONTROLE PRODUÇÃO POR EMPRESAS'!$A$6:$A$5000,0),MOD(ROW()-2,6)+1)="","",IFERROR(1*INDEX('CONTROLE PRODUÇÃO POR EMPRESAS'!$B$6:$G$5000,MATCH($A2100,'CONTROLE PRODUÇÃO POR EMPRESAS'!$A$6:$A$5000,0),MOD(ROW()-2,6)+1),"")),"")</f>
        <v/>
      </c>
      <c r="I2100" s="159">
        <f>IF(OR(NOT(ISNUMBER(G2100)),NOT(ISNUMBER(H2100))),"",H2100-G2100)</f>
        <v/>
      </c>
      <c r="J2100" s="319">
        <f>IF(OR(NOT(ISNUMBER(G2100)),NOT(ISNUMBER(H2100)),G2100=0),"",I2100/G2100)</f>
        <v/>
      </c>
      <c r="K2100" s="319">
        <f>IF(OR(NOT(ISNUMBER(G2100)),NOT(ISNUMBER(H2100)),G2100=0),"",H2100/G2100)</f>
        <v/>
      </c>
      <c r="L2100">
        <f>IF(NOT(ISNUMBER(G2100)),"SEM META",IF(G2100=0,"SEM META",IF(NOT(ISNUMBER(H2100)),"SEM APONTAMENTO",IF(H2100&gt;=G2100,"VERDE",IF(H2100&gt;=G2100*0.9,"AMARELO","VERMELHO")))))</f>
        <v/>
      </c>
      <c r="M2100" s="162" t="n"/>
      <c r="N2100" s="162" t="n"/>
      <c r="O2100" s="162" t="n"/>
      <c r="P2100" s="162" t="n"/>
      <c r="Q2100" s="320" t="n"/>
      <c r="R2100" s="162" t="inlineStr">
        <is>
          <t>CONTROLE PRODUÇÃO POR EMPRESAS!F355</t>
        </is>
      </c>
    </row>
    <row r="2101" ht="28.5" customHeight="1">
      <c r="A2101" s="317" t="n">
        <v>46572</v>
      </c>
      <c r="B2101" t="inlineStr">
        <is>
          <t>GERAL</t>
        </is>
      </c>
      <c r="C2101" t="inlineStr">
        <is>
          <t>CMM</t>
        </is>
      </c>
      <c r="D2101" t="inlineStr">
        <is>
          <t>VIGAS</t>
        </is>
      </c>
      <c r="F2101" s="159">
        <f>IFERROR(INDEX('BASE METAS DIÁRIAS'!$N$2:$S$358,MATCH($A2101,'BASE METAS DIÁRIAS'!$A$2:$A$358,0),MOD(ROW()-2,6)+1),"")</f>
        <v/>
      </c>
      <c r="G2101" s="159">
        <f>IFERROR(IF(WEEKDAY($A2101,2)&lt;=INDEX('BASE METAS DIÁRIAS'!$H$2:$M$358,MATCH($A2101,'BASE METAS DIÁRIAS'!$A$2:$A$358,0),MOD(ROW()-2,6)+1),INDEX('BASE METAS DIÁRIAS'!$B$2:$G$358,MATCH($A2101,'BASE METAS DIÁRIAS'!$A$2:$A$358,0),MOD(ROW()-2,6)+1),""),"")</f>
        <v/>
      </c>
      <c r="H2101" s="159">
        <f>IFERROR(IF(INDEX('CONTROLE PRODUÇÃO POR EMPRESAS'!$B$6:$G$5000,MATCH($A2101,'CONTROLE PRODUÇÃO POR EMPRESAS'!$A$6:$A$5000,0),MOD(ROW()-2,6)+1)="","",IFERROR(1*INDEX('CONTROLE PRODUÇÃO POR EMPRESAS'!$B$6:$G$5000,MATCH($A2101,'CONTROLE PRODUÇÃO POR EMPRESAS'!$A$6:$A$5000,0),MOD(ROW()-2,6)+1),"")),"")</f>
        <v/>
      </c>
      <c r="I2101" s="159">
        <f>IF(OR(NOT(ISNUMBER(G2101)),NOT(ISNUMBER(H2101))),"",H2101-G2101)</f>
        <v/>
      </c>
      <c r="J2101" s="319">
        <f>IF(OR(NOT(ISNUMBER(G2101)),NOT(ISNUMBER(H2101)),G2101=0),"",I2101/G2101)</f>
        <v/>
      </c>
      <c r="K2101" s="319">
        <f>IF(OR(NOT(ISNUMBER(G2101)),NOT(ISNUMBER(H2101)),G2101=0),"",H2101/G2101)</f>
        <v/>
      </c>
      <c r="L2101">
        <f>IF(NOT(ISNUMBER(G2101)),"SEM META",IF(G2101=0,"SEM META",IF(NOT(ISNUMBER(H2101)),"SEM APONTAMENTO",IF(H2101&gt;=G2101,"VERDE",IF(H2101&gt;=G2101*0.9,"AMARELO","VERMELHO")))))</f>
        <v/>
      </c>
      <c r="M2101" s="162" t="n"/>
      <c r="N2101" s="162" t="n"/>
      <c r="O2101" s="162" t="n"/>
      <c r="P2101" s="162" t="n"/>
      <c r="Q2101" s="320" t="n"/>
      <c r="R2101" s="162" t="inlineStr">
        <is>
          <t>CONTROLE PRODUÇÃO POR EMPRESAS!G355</t>
        </is>
      </c>
    </row>
    <row r="2102" ht="28.5" customHeight="1">
      <c r="A2102" s="317" t="n">
        <v>46573</v>
      </c>
      <c r="B2102" t="inlineStr">
        <is>
          <t>GERAL</t>
        </is>
      </c>
      <c r="C2102" t="inlineStr">
        <is>
          <t>EJ</t>
        </is>
      </c>
      <c r="D2102" t="inlineStr">
        <is>
          <t>PREMONTAGEM</t>
        </is>
      </c>
      <c r="F2102" s="159">
        <f>IFERROR(INDEX('BASE METAS DIÁRIAS'!$N$2:$S$358,MATCH($A2102,'BASE METAS DIÁRIAS'!$A$2:$A$358,0),MOD(ROW()-2,6)+1),"")</f>
        <v/>
      </c>
      <c r="G2102" s="159">
        <f>IFERROR(IF(WEEKDAY($A2102,2)&lt;=INDEX('BASE METAS DIÁRIAS'!$H$2:$M$358,MATCH($A2102,'BASE METAS DIÁRIAS'!$A$2:$A$358,0),MOD(ROW()-2,6)+1),INDEX('BASE METAS DIÁRIAS'!$B$2:$G$358,MATCH($A2102,'BASE METAS DIÁRIAS'!$A$2:$A$358,0),MOD(ROW()-2,6)+1),""),"")</f>
        <v/>
      </c>
      <c r="H2102" s="159">
        <f>IFERROR(IF(INDEX('CONTROLE PRODUÇÃO POR EMPRESAS'!$B$6:$G$5000,MATCH($A2102,'CONTROLE PRODUÇÃO POR EMPRESAS'!$A$6:$A$5000,0),MOD(ROW()-2,6)+1)="","",IFERROR(1*INDEX('CONTROLE PRODUÇÃO POR EMPRESAS'!$B$6:$G$5000,MATCH($A2102,'CONTROLE PRODUÇÃO POR EMPRESAS'!$A$6:$A$5000,0),MOD(ROW()-2,6)+1),"")),"")</f>
        <v/>
      </c>
      <c r="I2102" s="159">
        <f>IF(OR(NOT(ISNUMBER(G2102)),NOT(ISNUMBER(H2102))),"",H2102-G2102)</f>
        <v/>
      </c>
      <c r="J2102" s="319">
        <f>IF(OR(NOT(ISNUMBER(G2102)),NOT(ISNUMBER(H2102)),G2102=0),"",I2102/G2102)</f>
        <v/>
      </c>
      <c r="K2102" s="319">
        <f>IF(OR(NOT(ISNUMBER(G2102)),NOT(ISNUMBER(H2102)),G2102=0),"",H2102/G2102)</f>
        <v/>
      </c>
      <c r="L2102">
        <f>IF(NOT(ISNUMBER(G2102)),"SEM META",IF(G2102=0,"SEM META",IF(NOT(ISNUMBER(H2102)),"SEM APONTAMENTO",IF(H2102&gt;=G2102,"VERDE",IF(H2102&gt;=G2102*0.9,"AMARELO","VERMELHO")))))</f>
        <v/>
      </c>
      <c r="M2102" s="162" t="n"/>
      <c r="N2102" s="162" t="n"/>
      <c r="O2102" s="162" t="n"/>
      <c r="P2102" s="162" t="n"/>
      <c r="Q2102" s="320" t="n"/>
      <c r="R2102" s="162" t="inlineStr">
        <is>
          <t>CONTROLE PRODUÇÃO POR EMPRESAS!B356</t>
        </is>
      </c>
    </row>
    <row r="2103" ht="28.5" customHeight="1">
      <c r="A2103" s="317" t="n">
        <v>46573</v>
      </c>
      <c r="B2103" t="inlineStr">
        <is>
          <t>GERAL</t>
        </is>
      </c>
      <c r="C2103" t="inlineStr">
        <is>
          <t>EJ</t>
        </is>
      </c>
      <c r="D2103" t="inlineStr">
        <is>
          <t>IÇAMENTO JOIST</t>
        </is>
      </c>
      <c r="F2103" s="159">
        <f>IFERROR(INDEX('BASE METAS DIÁRIAS'!$N$2:$S$358,MATCH($A2103,'BASE METAS DIÁRIAS'!$A$2:$A$358,0),MOD(ROW()-2,6)+1),"")</f>
        <v/>
      </c>
      <c r="G2103" s="159">
        <f>IFERROR(IF(WEEKDAY($A2103,2)&lt;=INDEX('BASE METAS DIÁRIAS'!$H$2:$M$358,MATCH($A2103,'BASE METAS DIÁRIAS'!$A$2:$A$358,0),MOD(ROW()-2,6)+1),INDEX('BASE METAS DIÁRIAS'!$B$2:$G$358,MATCH($A2103,'BASE METAS DIÁRIAS'!$A$2:$A$358,0),MOD(ROW()-2,6)+1),""),"")</f>
        <v/>
      </c>
      <c r="H2103" s="159">
        <f>IFERROR(IF(INDEX('CONTROLE PRODUÇÃO POR EMPRESAS'!$B$6:$G$5000,MATCH($A2103,'CONTROLE PRODUÇÃO POR EMPRESAS'!$A$6:$A$5000,0),MOD(ROW()-2,6)+1)="","",IFERROR(1*INDEX('CONTROLE PRODUÇÃO POR EMPRESAS'!$B$6:$G$5000,MATCH($A2103,'CONTROLE PRODUÇÃO POR EMPRESAS'!$A$6:$A$5000,0),MOD(ROW()-2,6)+1),"")),"")</f>
        <v/>
      </c>
      <c r="I2103" s="159">
        <f>IF(OR(NOT(ISNUMBER(G2103)),NOT(ISNUMBER(H2103))),"",H2103-G2103)</f>
        <v/>
      </c>
      <c r="J2103" s="319">
        <f>IF(OR(NOT(ISNUMBER(G2103)),NOT(ISNUMBER(H2103)),G2103=0),"",I2103/G2103)</f>
        <v/>
      </c>
      <c r="K2103" s="319">
        <f>IF(OR(NOT(ISNUMBER(G2103)),NOT(ISNUMBER(H2103)),G2103=0),"",H2103/G2103)</f>
        <v/>
      </c>
      <c r="L2103">
        <f>IF(NOT(ISNUMBER(G2103)),"SEM META",IF(G2103=0,"SEM META",IF(NOT(ISNUMBER(H2103)),"SEM APONTAMENTO",IF(H2103&gt;=G2103,"VERDE",IF(H2103&gt;=G2103*0.9,"AMARELO","VERMELHO")))))</f>
        <v/>
      </c>
      <c r="M2103" s="162" t="n"/>
      <c r="N2103" s="162" t="n"/>
      <c r="O2103" s="162" t="n"/>
      <c r="P2103" s="162" t="n"/>
      <c r="Q2103" s="320" t="n"/>
      <c r="R2103" s="162" t="inlineStr">
        <is>
          <t>CONTROLE PRODUÇÃO POR EMPRESAS!C356</t>
        </is>
      </c>
    </row>
    <row r="2104" ht="28.5" customHeight="1">
      <c r="A2104" s="317" t="n">
        <v>46573</v>
      </c>
      <c r="B2104" t="inlineStr">
        <is>
          <t>GERAL</t>
        </is>
      </c>
      <c r="C2104" t="inlineStr">
        <is>
          <t>EJ</t>
        </is>
      </c>
      <c r="D2104" t="inlineStr">
        <is>
          <t>VIGAS</t>
        </is>
      </c>
      <c r="F2104" s="159">
        <f>IFERROR(INDEX('BASE METAS DIÁRIAS'!$N$2:$S$358,MATCH($A2104,'BASE METAS DIÁRIAS'!$A$2:$A$358,0),MOD(ROW()-2,6)+1),"")</f>
        <v/>
      </c>
      <c r="G2104" s="159">
        <f>IFERROR(IF(WEEKDAY($A2104,2)&lt;=INDEX('BASE METAS DIÁRIAS'!$H$2:$M$358,MATCH($A2104,'BASE METAS DIÁRIAS'!$A$2:$A$358,0),MOD(ROW()-2,6)+1),INDEX('BASE METAS DIÁRIAS'!$B$2:$G$358,MATCH($A2104,'BASE METAS DIÁRIAS'!$A$2:$A$358,0),MOD(ROW()-2,6)+1),""),"")</f>
        <v/>
      </c>
      <c r="H2104" s="159">
        <f>IFERROR(IF(INDEX('CONTROLE PRODUÇÃO POR EMPRESAS'!$B$6:$G$5000,MATCH($A2104,'CONTROLE PRODUÇÃO POR EMPRESAS'!$A$6:$A$5000,0),MOD(ROW()-2,6)+1)="","",IFERROR(1*INDEX('CONTROLE PRODUÇÃO POR EMPRESAS'!$B$6:$G$5000,MATCH($A2104,'CONTROLE PRODUÇÃO POR EMPRESAS'!$A$6:$A$5000,0),MOD(ROW()-2,6)+1),"")),"")</f>
        <v/>
      </c>
      <c r="I2104" s="159">
        <f>IF(OR(NOT(ISNUMBER(G2104)),NOT(ISNUMBER(H2104))),"",H2104-G2104)</f>
        <v/>
      </c>
      <c r="J2104" s="319">
        <f>IF(OR(NOT(ISNUMBER(G2104)),NOT(ISNUMBER(H2104)),G2104=0),"",I2104/G2104)</f>
        <v/>
      </c>
      <c r="K2104" s="319">
        <f>IF(OR(NOT(ISNUMBER(G2104)),NOT(ISNUMBER(H2104)),G2104=0),"",H2104/G2104)</f>
        <v/>
      </c>
      <c r="L2104">
        <f>IF(NOT(ISNUMBER(G2104)),"SEM META",IF(G2104=0,"SEM META",IF(NOT(ISNUMBER(H2104)),"SEM APONTAMENTO",IF(H2104&gt;=G2104,"VERDE",IF(H2104&gt;=G2104*0.9,"AMARELO","VERMELHO")))))</f>
        <v/>
      </c>
      <c r="M2104" s="162" t="n"/>
      <c r="N2104" s="162" t="n"/>
      <c r="O2104" s="162" t="n"/>
      <c r="P2104" s="162" t="n"/>
      <c r="Q2104" s="320" t="n"/>
      <c r="R2104" s="162" t="inlineStr">
        <is>
          <t>CONTROLE PRODUÇÃO POR EMPRESAS!D356</t>
        </is>
      </c>
    </row>
    <row r="2105" ht="28.5" customHeight="1">
      <c r="A2105" s="317" t="n">
        <v>46573</v>
      </c>
      <c r="B2105" t="inlineStr">
        <is>
          <t>GERAL</t>
        </is>
      </c>
      <c r="C2105" t="inlineStr">
        <is>
          <t>CMM</t>
        </is>
      </c>
      <c r="D2105" t="inlineStr">
        <is>
          <t>PREMONTAGEM</t>
        </is>
      </c>
      <c r="F2105" s="159">
        <f>IFERROR(INDEX('BASE METAS DIÁRIAS'!$N$2:$S$358,MATCH($A2105,'BASE METAS DIÁRIAS'!$A$2:$A$358,0),MOD(ROW()-2,6)+1),"")</f>
        <v/>
      </c>
      <c r="G2105" s="159">
        <f>IFERROR(IF(WEEKDAY($A2105,2)&lt;=INDEX('BASE METAS DIÁRIAS'!$H$2:$M$358,MATCH($A2105,'BASE METAS DIÁRIAS'!$A$2:$A$358,0),MOD(ROW()-2,6)+1),INDEX('BASE METAS DIÁRIAS'!$B$2:$G$358,MATCH($A2105,'BASE METAS DIÁRIAS'!$A$2:$A$358,0),MOD(ROW()-2,6)+1),""),"")</f>
        <v/>
      </c>
      <c r="H2105" s="159">
        <f>IFERROR(IF(INDEX('CONTROLE PRODUÇÃO POR EMPRESAS'!$B$6:$G$5000,MATCH($A2105,'CONTROLE PRODUÇÃO POR EMPRESAS'!$A$6:$A$5000,0),MOD(ROW()-2,6)+1)="","",IFERROR(1*INDEX('CONTROLE PRODUÇÃO POR EMPRESAS'!$B$6:$G$5000,MATCH($A2105,'CONTROLE PRODUÇÃO POR EMPRESAS'!$A$6:$A$5000,0),MOD(ROW()-2,6)+1),"")),"")</f>
        <v/>
      </c>
      <c r="I2105" s="159">
        <f>IF(OR(NOT(ISNUMBER(G2105)),NOT(ISNUMBER(H2105))),"",H2105-G2105)</f>
        <v/>
      </c>
      <c r="J2105" s="319">
        <f>IF(OR(NOT(ISNUMBER(G2105)),NOT(ISNUMBER(H2105)),G2105=0),"",I2105/G2105)</f>
        <v/>
      </c>
      <c r="K2105" s="319">
        <f>IF(OR(NOT(ISNUMBER(G2105)),NOT(ISNUMBER(H2105)),G2105=0),"",H2105/G2105)</f>
        <v/>
      </c>
      <c r="L2105">
        <f>IF(NOT(ISNUMBER(G2105)),"SEM META",IF(G2105=0,"SEM META",IF(NOT(ISNUMBER(H2105)),"SEM APONTAMENTO",IF(H2105&gt;=G2105,"VERDE",IF(H2105&gt;=G2105*0.9,"AMARELO","VERMELHO")))))</f>
        <v/>
      </c>
      <c r="M2105" s="162" t="n"/>
      <c r="N2105" s="162" t="n"/>
      <c r="O2105" s="162" t="n"/>
      <c r="P2105" s="162" t="n"/>
      <c r="Q2105" s="320" t="n"/>
      <c r="R2105" s="162" t="inlineStr">
        <is>
          <t>CONTROLE PRODUÇÃO POR EMPRESAS!E356</t>
        </is>
      </c>
    </row>
    <row r="2106" ht="28.5" customHeight="1">
      <c r="A2106" s="317" t="n">
        <v>46573</v>
      </c>
      <c r="B2106" t="inlineStr">
        <is>
          <t>GERAL</t>
        </is>
      </c>
      <c r="C2106" t="inlineStr">
        <is>
          <t>CMM</t>
        </is>
      </c>
      <c r="D2106" t="inlineStr">
        <is>
          <t>IÇAMENTO JOIST</t>
        </is>
      </c>
      <c r="F2106" s="159">
        <f>IFERROR(INDEX('BASE METAS DIÁRIAS'!$N$2:$S$358,MATCH($A2106,'BASE METAS DIÁRIAS'!$A$2:$A$358,0),MOD(ROW()-2,6)+1),"")</f>
        <v/>
      </c>
      <c r="G2106" s="159">
        <f>IFERROR(IF(WEEKDAY($A2106,2)&lt;=INDEX('BASE METAS DIÁRIAS'!$H$2:$M$358,MATCH($A2106,'BASE METAS DIÁRIAS'!$A$2:$A$358,0),MOD(ROW()-2,6)+1),INDEX('BASE METAS DIÁRIAS'!$B$2:$G$358,MATCH($A2106,'BASE METAS DIÁRIAS'!$A$2:$A$358,0),MOD(ROW()-2,6)+1),""),"")</f>
        <v/>
      </c>
      <c r="H2106" s="159">
        <f>IFERROR(IF(INDEX('CONTROLE PRODUÇÃO POR EMPRESAS'!$B$6:$G$5000,MATCH($A2106,'CONTROLE PRODUÇÃO POR EMPRESAS'!$A$6:$A$5000,0),MOD(ROW()-2,6)+1)="","",IFERROR(1*INDEX('CONTROLE PRODUÇÃO POR EMPRESAS'!$B$6:$G$5000,MATCH($A2106,'CONTROLE PRODUÇÃO POR EMPRESAS'!$A$6:$A$5000,0),MOD(ROW()-2,6)+1),"")),"")</f>
        <v/>
      </c>
      <c r="I2106" s="159">
        <f>IF(OR(NOT(ISNUMBER(G2106)),NOT(ISNUMBER(H2106))),"",H2106-G2106)</f>
        <v/>
      </c>
      <c r="J2106" s="319">
        <f>IF(OR(NOT(ISNUMBER(G2106)),NOT(ISNUMBER(H2106)),G2106=0),"",I2106/G2106)</f>
        <v/>
      </c>
      <c r="K2106" s="319">
        <f>IF(OR(NOT(ISNUMBER(G2106)),NOT(ISNUMBER(H2106)),G2106=0),"",H2106/G2106)</f>
        <v/>
      </c>
      <c r="L2106">
        <f>IF(NOT(ISNUMBER(G2106)),"SEM META",IF(G2106=0,"SEM META",IF(NOT(ISNUMBER(H2106)),"SEM APONTAMENTO",IF(H2106&gt;=G2106,"VERDE",IF(H2106&gt;=G2106*0.9,"AMARELO","VERMELHO")))))</f>
        <v/>
      </c>
      <c r="M2106" s="162" t="n"/>
      <c r="N2106" s="162" t="n"/>
      <c r="O2106" s="162" t="n"/>
      <c r="P2106" s="162" t="n"/>
      <c r="Q2106" s="320" t="n"/>
      <c r="R2106" s="162" t="inlineStr">
        <is>
          <t>CONTROLE PRODUÇÃO POR EMPRESAS!F356</t>
        </is>
      </c>
    </row>
    <row r="2107" ht="28.5" customHeight="1">
      <c r="A2107" s="317" t="n">
        <v>46573</v>
      </c>
      <c r="B2107" t="inlineStr">
        <is>
          <t>GERAL</t>
        </is>
      </c>
      <c r="C2107" t="inlineStr">
        <is>
          <t>CMM</t>
        </is>
      </c>
      <c r="D2107" t="inlineStr">
        <is>
          <t>VIGAS</t>
        </is>
      </c>
      <c r="F2107" s="159">
        <f>IFERROR(INDEX('BASE METAS DIÁRIAS'!$N$2:$S$358,MATCH($A2107,'BASE METAS DIÁRIAS'!$A$2:$A$358,0),MOD(ROW()-2,6)+1),"")</f>
        <v/>
      </c>
      <c r="G2107" s="159">
        <f>IFERROR(IF(WEEKDAY($A2107,2)&lt;=INDEX('BASE METAS DIÁRIAS'!$H$2:$M$358,MATCH($A2107,'BASE METAS DIÁRIAS'!$A$2:$A$358,0),MOD(ROW()-2,6)+1),INDEX('BASE METAS DIÁRIAS'!$B$2:$G$358,MATCH($A2107,'BASE METAS DIÁRIAS'!$A$2:$A$358,0),MOD(ROW()-2,6)+1),""),"")</f>
        <v/>
      </c>
      <c r="H2107" s="159">
        <f>IFERROR(IF(INDEX('CONTROLE PRODUÇÃO POR EMPRESAS'!$B$6:$G$5000,MATCH($A2107,'CONTROLE PRODUÇÃO POR EMPRESAS'!$A$6:$A$5000,0),MOD(ROW()-2,6)+1)="","",IFERROR(1*INDEX('CONTROLE PRODUÇÃO POR EMPRESAS'!$B$6:$G$5000,MATCH($A2107,'CONTROLE PRODUÇÃO POR EMPRESAS'!$A$6:$A$5000,0),MOD(ROW()-2,6)+1),"")),"")</f>
        <v/>
      </c>
      <c r="I2107" s="159">
        <f>IF(OR(NOT(ISNUMBER(G2107)),NOT(ISNUMBER(H2107))),"",H2107-G2107)</f>
        <v/>
      </c>
      <c r="J2107" s="319">
        <f>IF(OR(NOT(ISNUMBER(G2107)),NOT(ISNUMBER(H2107)),G2107=0),"",I2107/G2107)</f>
        <v/>
      </c>
      <c r="K2107" s="319">
        <f>IF(OR(NOT(ISNUMBER(G2107)),NOT(ISNUMBER(H2107)),G2107=0),"",H2107/G2107)</f>
        <v/>
      </c>
      <c r="L2107">
        <f>IF(NOT(ISNUMBER(G2107)),"SEM META",IF(G2107=0,"SEM META",IF(NOT(ISNUMBER(H2107)),"SEM APONTAMENTO",IF(H2107&gt;=G2107,"VERDE",IF(H2107&gt;=G2107*0.9,"AMARELO","VERMELHO")))))</f>
        <v/>
      </c>
      <c r="M2107" s="162" t="n"/>
      <c r="N2107" s="162" t="n"/>
      <c r="O2107" s="162" t="n"/>
      <c r="P2107" s="162" t="n"/>
      <c r="Q2107" s="320" t="n"/>
      <c r="R2107" s="162" t="inlineStr">
        <is>
          <t>CONTROLE PRODUÇÃO POR EMPRESAS!G356</t>
        </is>
      </c>
    </row>
    <row r="2108" ht="28.5" customHeight="1">
      <c r="A2108" s="317" t="n">
        <v>46574</v>
      </c>
      <c r="B2108" t="inlineStr">
        <is>
          <t>GERAL</t>
        </is>
      </c>
      <c r="C2108" t="inlineStr">
        <is>
          <t>EJ</t>
        </is>
      </c>
      <c r="D2108" t="inlineStr">
        <is>
          <t>PREMONTAGEM</t>
        </is>
      </c>
      <c r="F2108" s="159">
        <f>IFERROR(INDEX('BASE METAS DIÁRIAS'!$N$2:$S$358,MATCH($A2108,'BASE METAS DIÁRIAS'!$A$2:$A$358,0),MOD(ROW()-2,6)+1),"")</f>
        <v/>
      </c>
      <c r="G2108" s="159">
        <f>IFERROR(IF(WEEKDAY($A2108,2)&lt;=INDEX('BASE METAS DIÁRIAS'!$H$2:$M$358,MATCH($A2108,'BASE METAS DIÁRIAS'!$A$2:$A$358,0),MOD(ROW()-2,6)+1),INDEX('BASE METAS DIÁRIAS'!$B$2:$G$358,MATCH($A2108,'BASE METAS DIÁRIAS'!$A$2:$A$358,0),MOD(ROW()-2,6)+1),""),"")</f>
        <v/>
      </c>
      <c r="H2108" s="159">
        <f>IFERROR(IF(INDEX('CONTROLE PRODUÇÃO POR EMPRESAS'!$B$6:$G$5000,MATCH($A2108,'CONTROLE PRODUÇÃO POR EMPRESAS'!$A$6:$A$5000,0),MOD(ROW()-2,6)+1)="","",IFERROR(1*INDEX('CONTROLE PRODUÇÃO POR EMPRESAS'!$B$6:$G$5000,MATCH($A2108,'CONTROLE PRODUÇÃO POR EMPRESAS'!$A$6:$A$5000,0),MOD(ROW()-2,6)+1),"")),"")</f>
        <v/>
      </c>
      <c r="I2108" s="159">
        <f>IF(OR(NOT(ISNUMBER(G2108)),NOT(ISNUMBER(H2108))),"",H2108-G2108)</f>
        <v/>
      </c>
      <c r="J2108" s="319">
        <f>IF(OR(NOT(ISNUMBER(G2108)),NOT(ISNUMBER(H2108)),G2108=0),"",I2108/G2108)</f>
        <v/>
      </c>
      <c r="K2108" s="319">
        <f>IF(OR(NOT(ISNUMBER(G2108)),NOT(ISNUMBER(H2108)),G2108=0),"",H2108/G2108)</f>
        <v/>
      </c>
      <c r="L2108">
        <f>IF(NOT(ISNUMBER(G2108)),"SEM META",IF(G2108=0,"SEM META",IF(NOT(ISNUMBER(H2108)),"SEM APONTAMENTO",IF(H2108&gt;=G2108,"VERDE",IF(H2108&gt;=G2108*0.9,"AMARELO","VERMELHO")))))</f>
        <v/>
      </c>
      <c r="M2108" s="162" t="n"/>
      <c r="N2108" s="162" t="n"/>
      <c r="O2108" s="162" t="n"/>
      <c r="P2108" s="162" t="n"/>
      <c r="Q2108" s="320" t="n"/>
      <c r="R2108" s="162" t="inlineStr">
        <is>
          <t>CONTROLE PRODUÇÃO POR EMPRESAS!B357</t>
        </is>
      </c>
    </row>
    <row r="2109" ht="28.5" customHeight="1">
      <c r="A2109" s="317" t="n">
        <v>46574</v>
      </c>
      <c r="B2109" t="inlineStr">
        <is>
          <t>GERAL</t>
        </is>
      </c>
      <c r="C2109" t="inlineStr">
        <is>
          <t>EJ</t>
        </is>
      </c>
      <c r="D2109" t="inlineStr">
        <is>
          <t>IÇAMENTO JOIST</t>
        </is>
      </c>
      <c r="F2109" s="159">
        <f>IFERROR(INDEX('BASE METAS DIÁRIAS'!$N$2:$S$358,MATCH($A2109,'BASE METAS DIÁRIAS'!$A$2:$A$358,0),MOD(ROW()-2,6)+1),"")</f>
        <v/>
      </c>
      <c r="G2109" s="159">
        <f>IFERROR(IF(WEEKDAY($A2109,2)&lt;=INDEX('BASE METAS DIÁRIAS'!$H$2:$M$358,MATCH($A2109,'BASE METAS DIÁRIAS'!$A$2:$A$358,0),MOD(ROW()-2,6)+1),INDEX('BASE METAS DIÁRIAS'!$B$2:$G$358,MATCH($A2109,'BASE METAS DIÁRIAS'!$A$2:$A$358,0),MOD(ROW()-2,6)+1),""),"")</f>
        <v/>
      </c>
      <c r="H2109" s="159">
        <f>IFERROR(IF(INDEX('CONTROLE PRODUÇÃO POR EMPRESAS'!$B$6:$G$5000,MATCH($A2109,'CONTROLE PRODUÇÃO POR EMPRESAS'!$A$6:$A$5000,0),MOD(ROW()-2,6)+1)="","",IFERROR(1*INDEX('CONTROLE PRODUÇÃO POR EMPRESAS'!$B$6:$G$5000,MATCH($A2109,'CONTROLE PRODUÇÃO POR EMPRESAS'!$A$6:$A$5000,0),MOD(ROW()-2,6)+1),"")),"")</f>
        <v/>
      </c>
      <c r="I2109" s="159">
        <f>IF(OR(NOT(ISNUMBER(G2109)),NOT(ISNUMBER(H2109))),"",H2109-G2109)</f>
        <v/>
      </c>
      <c r="J2109" s="319">
        <f>IF(OR(NOT(ISNUMBER(G2109)),NOT(ISNUMBER(H2109)),G2109=0),"",I2109/G2109)</f>
        <v/>
      </c>
      <c r="K2109" s="319">
        <f>IF(OR(NOT(ISNUMBER(G2109)),NOT(ISNUMBER(H2109)),G2109=0),"",H2109/G2109)</f>
        <v/>
      </c>
      <c r="L2109">
        <f>IF(NOT(ISNUMBER(G2109)),"SEM META",IF(G2109=0,"SEM META",IF(NOT(ISNUMBER(H2109)),"SEM APONTAMENTO",IF(H2109&gt;=G2109,"VERDE",IF(H2109&gt;=G2109*0.9,"AMARELO","VERMELHO")))))</f>
        <v/>
      </c>
      <c r="M2109" s="162" t="n"/>
      <c r="N2109" s="162" t="n"/>
      <c r="O2109" s="162" t="n"/>
      <c r="P2109" s="162" t="n"/>
      <c r="Q2109" s="320" t="n"/>
      <c r="R2109" s="162" t="inlineStr">
        <is>
          <t>CONTROLE PRODUÇÃO POR EMPRESAS!C357</t>
        </is>
      </c>
    </row>
    <row r="2110" ht="28.5" customHeight="1">
      <c r="A2110" s="317" t="n">
        <v>46574</v>
      </c>
      <c r="B2110" t="inlineStr">
        <is>
          <t>GERAL</t>
        </is>
      </c>
      <c r="C2110" t="inlineStr">
        <is>
          <t>EJ</t>
        </is>
      </c>
      <c r="D2110" t="inlineStr">
        <is>
          <t>VIGAS</t>
        </is>
      </c>
      <c r="F2110" s="159">
        <f>IFERROR(INDEX('BASE METAS DIÁRIAS'!$N$2:$S$358,MATCH($A2110,'BASE METAS DIÁRIAS'!$A$2:$A$358,0),MOD(ROW()-2,6)+1),"")</f>
        <v/>
      </c>
      <c r="G2110" s="159">
        <f>IFERROR(IF(WEEKDAY($A2110,2)&lt;=INDEX('BASE METAS DIÁRIAS'!$H$2:$M$358,MATCH($A2110,'BASE METAS DIÁRIAS'!$A$2:$A$358,0),MOD(ROW()-2,6)+1),INDEX('BASE METAS DIÁRIAS'!$B$2:$G$358,MATCH($A2110,'BASE METAS DIÁRIAS'!$A$2:$A$358,0),MOD(ROW()-2,6)+1),""),"")</f>
        <v/>
      </c>
      <c r="H2110" s="159">
        <f>IFERROR(IF(INDEX('CONTROLE PRODUÇÃO POR EMPRESAS'!$B$6:$G$5000,MATCH($A2110,'CONTROLE PRODUÇÃO POR EMPRESAS'!$A$6:$A$5000,0),MOD(ROW()-2,6)+1)="","",IFERROR(1*INDEX('CONTROLE PRODUÇÃO POR EMPRESAS'!$B$6:$G$5000,MATCH($A2110,'CONTROLE PRODUÇÃO POR EMPRESAS'!$A$6:$A$5000,0),MOD(ROW()-2,6)+1),"")),"")</f>
        <v/>
      </c>
      <c r="I2110" s="159">
        <f>IF(OR(NOT(ISNUMBER(G2110)),NOT(ISNUMBER(H2110))),"",H2110-G2110)</f>
        <v/>
      </c>
      <c r="J2110" s="319">
        <f>IF(OR(NOT(ISNUMBER(G2110)),NOT(ISNUMBER(H2110)),G2110=0),"",I2110/G2110)</f>
        <v/>
      </c>
      <c r="K2110" s="319">
        <f>IF(OR(NOT(ISNUMBER(G2110)),NOT(ISNUMBER(H2110)),G2110=0),"",H2110/G2110)</f>
        <v/>
      </c>
      <c r="L2110">
        <f>IF(NOT(ISNUMBER(G2110)),"SEM META",IF(G2110=0,"SEM META",IF(NOT(ISNUMBER(H2110)),"SEM APONTAMENTO",IF(H2110&gt;=G2110,"VERDE",IF(H2110&gt;=G2110*0.9,"AMARELO","VERMELHO")))))</f>
        <v/>
      </c>
      <c r="M2110" s="162" t="n"/>
      <c r="N2110" s="162" t="n"/>
      <c r="O2110" s="162" t="n"/>
      <c r="P2110" s="162" t="n"/>
      <c r="Q2110" s="320" t="n"/>
      <c r="R2110" s="162" t="inlineStr">
        <is>
          <t>CONTROLE PRODUÇÃO POR EMPRESAS!D357</t>
        </is>
      </c>
    </row>
    <row r="2111" ht="28.5" customHeight="1">
      <c r="A2111" s="317" t="n">
        <v>46574</v>
      </c>
      <c r="B2111" t="inlineStr">
        <is>
          <t>GERAL</t>
        </is>
      </c>
      <c r="C2111" t="inlineStr">
        <is>
          <t>CMM</t>
        </is>
      </c>
      <c r="D2111" t="inlineStr">
        <is>
          <t>PREMONTAGEM</t>
        </is>
      </c>
      <c r="F2111" s="159">
        <f>IFERROR(INDEX('BASE METAS DIÁRIAS'!$N$2:$S$358,MATCH($A2111,'BASE METAS DIÁRIAS'!$A$2:$A$358,0),MOD(ROW()-2,6)+1),"")</f>
        <v/>
      </c>
      <c r="G2111" s="159">
        <f>IFERROR(IF(WEEKDAY($A2111,2)&lt;=INDEX('BASE METAS DIÁRIAS'!$H$2:$M$358,MATCH($A2111,'BASE METAS DIÁRIAS'!$A$2:$A$358,0),MOD(ROW()-2,6)+1),INDEX('BASE METAS DIÁRIAS'!$B$2:$G$358,MATCH($A2111,'BASE METAS DIÁRIAS'!$A$2:$A$358,0),MOD(ROW()-2,6)+1),""),"")</f>
        <v/>
      </c>
      <c r="H2111" s="159">
        <f>IFERROR(IF(INDEX('CONTROLE PRODUÇÃO POR EMPRESAS'!$B$6:$G$5000,MATCH($A2111,'CONTROLE PRODUÇÃO POR EMPRESAS'!$A$6:$A$5000,0),MOD(ROW()-2,6)+1)="","",IFERROR(1*INDEX('CONTROLE PRODUÇÃO POR EMPRESAS'!$B$6:$G$5000,MATCH($A2111,'CONTROLE PRODUÇÃO POR EMPRESAS'!$A$6:$A$5000,0),MOD(ROW()-2,6)+1),"")),"")</f>
        <v/>
      </c>
      <c r="I2111" s="159">
        <f>IF(OR(NOT(ISNUMBER(G2111)),NOT(ISNUMBER(H2111))),"",H2111-G2111)</f>
        <v/>
      </c>
      <c r="J2111" s="319">
        <f>IF(OR(NOT(ISNUMBER(G2111)),NOT(ISNUMBER(H2111)),G2111=0),"",I2111/G2111)</f>
        <v/>
      </c>
      <c r="K2111" s="319">
        <f>IF(OR(NOT(ISNUMBER(G2111)),NOT(ISNUMBER(H2111)),G2111=0),"",H2111/G2111)</f>
        <v/>
      </c>
      <c r="L2111">
        <f>IF(NOT(ISNUMBER(G2111)),"SEM META",IF(G2111=0,"SEM META",IF(NOT(ISNUMBER(H2111)),"SEM APONTAMENTO",IF(H2111&gt;=G2111,"VERDE",IF(H2111&gt;=G2111*0.9,"AMARELO","VERMELHO")))))</f>
        <v/>
      </c>
      <c r="M2111" s="162" t="n"/>
      <c r="N2111" s="162" t="n"/>
      <c r="O2111" s="162" t="n"/>
      <c r="P2111" s="162" t="n"/>
      <c r="Q2111" s="320" t="n"/>
      <c r="R2111" s="162" t="inlineStr">
        <is>
          <t>CONTROLE PRODUÇÃO POR EMPRESAS!E357</t>
        </is>
      </c>
    </row>
    <row r="2112" ht="28.5" customHeight="1">
      <c r="A2112" s="317" t="n">
        <v>46574</v>
      </c>
      <c r="B2112" t="inlineStr">
        <is>
          <t>GERAL</t>
        </is>
      </c>
      <c r="C2112" t="inlineStr">
        <is>
          <t>CMM</t>
        </is>
      </c>
      <c r="D2112" t="inlineStr">
        <is>
          <t>IÇAMENTO JOIST</t>
        </is>
      </c>
      <c r="F2112" s="159">
        <f>IFERROR(INDEX('BASE METAS DIÁRIAS'!$N$2:$S$358,MATCH($A2112,'BASE METAS DIÁRIAS'!$A$2:$A$358,0),MOD(ROW()-2,6)+1),"")</f>
        <v/>
      </c>
      <c r="G2112" s="159">
        <f>IFERROR(IF(WEEKDAY($A2112,2)&lt;=INDEX('BASE METAS DIÁRIAS'!$H$2:$M$358,MATCH($A2112,'BASE METAS DIÁRIAS'!$A$2:$A$358,0),MOD(ROW()-2,6)+1),INDEX('BASE METAS DIÁRIAS'!$B$2:$G$358,MATCH($A2112,'BASE METAS DIÁRIAS'!$A$2:$A$358,0),MOD(ROW()-2,6)+1),""),"")</f>
        <v/>
      </c>
      <c r="H2112" s="159">
        <f>IFERROR(IF(INDEX('CONTROLE PRODUÇÃO POR EMPRESAS'!$B$6:$G$5000,MATCH($A2112,'CONTROLE PRODUÇÃO POR EMPRESAS'!$A$6:$A$5000,0),MOD(ROW()-2,6)+1)="","",IFERROR(1*INDEX('CONTROLE PRODUÇÃO POR EMPRESAS'!$B$6:$G$5000,MATCH($A2112,'CONTROLE PRODUÇÃO POR EMPRESAS'!$A$6:$A$5000,0),MOD(ROW()-2,6)+1),"")),"")</f>
        <v/>
      </c>
      <c r="I2112" s="159">
        <f>IF(OR(NOT(ISNUMBER(G2112)),NOT(ISNUMBER(H2112))),"",H2112-G2112)</f>
        <v/>
      </c>
      <c r="J2112" s="319">
        <f>IF(OR(NOT(ISNUMBER(G2112)),NOT(ISNUMBER(H2112)),G2112=0),"",I2112/G2112)</f>
        <v/>
      </c>
      <c r="K2112" s="319">
        <f>IF(OR(NOT(ISNUMBER(G2112)),NOT(ISNUMBER(H2112)),G2112=0),"",H2112/G2112)</f>
        <v/>
      </c>
      <c r="L2112">
        <f>IF(NOT(ISNUMBER(G2112)),"SEM META",IF(G2112=0,"SEM META",IF(NOT(ISNUMBER(H2112)),"SEM APONTAMENTO",IF(H2112&gt;=G2112,"VERDE",IF(H2112&gt;=G2112*0.9,"AMARELO","VERMELHO")))))</f>
        <v/>
      </c>
      <c r="M2112" s="162" t="n"/>
      <c r="N2112" s="162" t="n"/>
      <c r="O2112" s="162" t="n"/>
      <c r="P2112" s="162" t="n"/>
      <c r="Q2112" s="320" t="n"/>
      <c r="R2112" s="162" t="inlineStr">
        <is>
          <t>CONTROLE PRODUÇÃO POR EMPRESAS!F357</t>
        </is>
      </c>
    </row>
    <row r="2113" ht="28.5" customHeight="1">
      <c r="A2113" s="317" t="n">
        <v>46574</v>
      </c>
      <c r="B2113" t="inlineStr">
        <is>
          <t>GERAL</t>
        </is>
      </c>
      <c r="C2113" t="inlineStr">
        <is>
          <t>CMM</t>
        </is>
      </c>
      <c r="D2113" t="inlineStr">
        <is>
          <t>VIGAS</t>
        </is>
      </c>
      <c r="F2113" s="159">
        <f>IFERROR(INDEX('BASE METAS DIÁRIAS'!$N$2:$S$358,MATCH($A2113,'BASE METAS DIÁRIAS'!$A$2:$A$358,0),MOD(ROW()-2,6)+1),"")</f>
        <v/>
      </c>
      <c r="G2113" s="159">
        <f>IFERROR(IF(WEEKDAY($A2113,2)&lt;=INDEX('BASE METAS DIÁRIAS'!$H$2:$M$358,MATCH($A2113,'BASE METAS DIÁRIAS'!$A$2:$A$358,0),MOD(ROW()-2,6)+1),INDEX('BASE METAS DIÁRIAS'!$B$2:$G$358,MATCH($A2113,'BASE METAS DIÁRIAS'!$A$2:$A$358,0),MOD(ROW()-2,6)+1),""),"")</f>
        <v/>
      </c>
      <c r="H2113" s="159">
        <f>IFERROR(IF(INDEX('CONTROLE PRODUÇÃO POR EMPRESAS'!$B$6:$G$5000,MATCH($A2113,'CONTROLE PRODUÇÃO POR EMPRESAS'!$A$6:$A$5000,0),MOD(ROW()-2,6)+1)="","",IFERROR(1*INDEX('CONTROLE PRODUÇÃO POR EMPRESAS'!$B$6:$G$5000,MATCH($A2113,'CONTROLE PRODUÇÃO POR EMPRESAS'!$A$6:$A$5000,0),MOD(ROW()-2,6)+1),"")),"")</f>
        <v/>
      </c>
      <c r="I2113" s="159">
        <f>IF(OR(NOT(ISNUMBER(G2113)),NOT(ISNUMBER(H2113))),"",H2113-G2113)</f>
        <v/>
      </c>
      <c r="J2113" s="319">
        <f>IF(OR(NOT(ISNUMBER(G2113)),NOT(ISNUMBER(H2113)),G2113=0),"",I2113/G2113)</f>
        <v/>
      </c>
      <c r="K2113" s="319">
        <f>IF(OR(NOT(ISNUMBER(G2113)),NOT(ISNUMBER(H2113)),G2113=0),"",H2113/G2113)</f>
        <v/>
      </c>
      <c r="L2113">
        <f>IF(NOT(ISNUMBER(G2113)),"SEM META",IF(G2113=0,"SEM META",IF(NOT(ISNUMBER(H2113)),"SEM APONTAMENTO",IF(H2113&gt;=G2113,"VERDE",IF(H2113&gt;=G2113*0.9,"AMARELO","VERMELHO")))))</f>
        <v/>
      </c>
      <c r="M2113" s="162" t="n"/>
      <c r="N2113" s="162" t="n"/>
      <c r="O2113" s="162" t="n"/>
      <c r="P2113" s="162" t="n"/>
      <c r="Q2113" s="320" t="n"/>
      <c r="R2113" s="162" t="inlineStr">
        <is>
          <t>CONTROLE PRODUÇÃO POR EMPRESAS!G357</t>
        </is>
      </c>
    </row>
    <row r="2114" ht="28.5" customHeight="1">
      <c r="A2114" s="317" t="n">
        <v>46575</v>
      </c>
      <c r="B2114" t="inlineStr">
        <is>
          <t>GERAL</t>
        </is>
      </c>
      <c r="C2114" t="inlineStr">
        <is>
          <t>EJ</t>
        </is>
      </c>
      <c r="D2114" t="inlineStr">
        <is>
          <t>PREMONTAGEM</t>
        </is>
      </c>
      <c r="F2114" s="159">
        <f>IFERROR(INDEX('BASE METAS DIÁRIAS'!$N$2:$S$358,MATCH($A2114,'BASE METAS DIÁRIAS'!$A$2:$A$358,0),MOD(ROW()-2,6)+1),"")</f>
        <v/>
      </c>
      <c r="G2114" s="159">
        <f>IFERROR(IF(WEEKDAY($A2114,2)&lt;=INDEX('BASE METAS DIÁRIAS'!$H$2:$M$358,MATCH($A2114,'BASE METAS DIÁRIAS'!$A$2:$A$358,0),MOD(ROW()-2,6)+1),INDEX('BASE METAS DIÁRIAS'!$B$2:$G$358,MATCH($A2114,'BASE METAS DIÁRIAS'!$A$2:$A$358,0),MOD(ROW()-2,6)+1),""),"")</f>
        <v/>
      </c>
      <c r="H2114" s="159">
        <f>IFERROR(IF(INDEX('CONTROLE PRODUÇÃO POR EMPRESAS'!$B$6:$G$5000,MATCH($A2114,'CONTROLE PRODUÇÃO POR EMPRESAS'!$A$6:$A$5000,0),MOD(ROW()-2,6)+1)="","",IFERROR(1*INDEX('CONTROLE PRODUÇÃO POR EMPRESAS'!$B$6:$G$5000,MATCH($A2114,'CONTROLE PRODUÇÃO POR EMPRESAS'!$A$6:$A$5000,0),MOD(ROW()-2,6)+1),"")),"")</f>
        <v/>
      </c>
      <c r="I2114" s="159">
        <f>IF(OR(NOT(ISNUMBER(G2114)),NOT(ISNUMBER(H2114))),"",H2114-G2114)</f>
        <v/>
      </c>
      <c r="J2114" s="319">
        <f>IF(OR(NOT(ISNUMBER(G2114)),NOT(ISNUMBER(H2114)),G2114=0),"",I2114/G2114)</f>
        <v/>
      </c>
      <c r="K2114" s="319">
        <f>IF(OR(NOT(ISNUMBER(G2114)),NOT(ISNUMBER(H2114)),G2114=0),"",H2114/G2114)</f>
        <v/>
      </c>
      <c r="L2114">
        <f>IF(NOT(ISNUMBER(G2114)),"SEM META",IF(G2114=0,"SEM META",IF(NOT(ISNUMBER(H2114)),"SEM APONTAMENTO",IF(H2114&gt;=G2114,"VERDE",IF(H2114&gt;=G2114*0.9,"AMARELO","VERMELHO")))))</f>
        <v/>
      </c>
      <c r="M2114" s="162" t="n"/>
      <c r="N2114" s="162" t="n"/>
      <c r="O2114" s="162" t="n"/>
      <c r="P2114" s="162" t="n"/>
      <c r="Q2114" s="320" t="n"/>
      <c r="R2114" s="162" t="inlineStr">
        <is>
          <t>CONTROLE PRODUÇÃO POR EMPRESAS!B358</t>
        </is>
      </c>
    </row>
    <row r="2115" ht="28.5" customHeight="1">
      <c r="A2115" s="317" t="n">
        <v>46575</v>
      </c>
      <c r="B2115" t="inlineStr">
        <is>
          <t>GERAL</t>
        </is>
      </c>
      <c r="C2115" t="inlineStr">
        <is>
          <t>EJ</t>
        </is>
      </c>
      <c r="D2115" t="inlineStr">
        <is>
          <t>IÇAMENTO JOIST</t>
        </is>
      </c>
      <c r="F2115" s="159">
        <f>IFERROR(INDEX('BASE METAS DIÁRIAS'!$N$2:$S$358,MATCH($A2115,'BASE METAS DIÁRIAS'!$A$2:$A$358,0),MOD(ROW()-2,6)+1),"")</f>
        <v/>
      </c>
      <c r="G2115" s="159">
        <f>IFERROR(IF(WEEKDAY($A2115,2)&lt;=INDEX('BASE METAS DIÁRIAS'!$H$2:$M$358,MATCH($A2115,'BASE METAS DIÁRIAS'!$A$2:$A$358,0),MOD(ROW()-2,6)+1),INDEX('BASE METAS DIÁRIAS'!$B$2:$G$358,MATCH($A2115,'BASE METAS DIÁRIAS'!$A$2:$A$358,0),MOD(ROW()-2,6)+1),""),"")</f>
        <v/>
      </c>
      <c r="H2115" s="159">
        <f>IFERROR(IF(INDEX('CONTROLE PRODUÇÃO POR EMPRESAS'!$B$6:$G$5000,MATCH($A2115,'CONTROLE PRODUÇÃO POR EMPRESAS'!$A$6:$A$5000,0),MOD(ROW()-2,6)+1)="","",IFERROR(1*INDEX('CONTROLE PRODUÇÃO POR EMPRESAS'!$B$6:$G$5000,MATCH($A2115,'CONTROLE PRODUÇÃO POR EMPRESAS'!$A$6:$A$5000,0),MOD(ROW()-2,6)+1),"")),"")</f>
        <v/>
      </c>
      <c r="I2115" s="159">
        <f>IF(OR(NOT(ISNUMBER(G2115)),NOT(ISNUMBER(H2115))),"",H2115-G2115)</f>
        <v/>
      </c>
      <c r="J2115" s="319">
        <f>IF(OR(NOT(ISNUMBER(G2115)),NOT(ISNUMBER(H2115)),G2115=0),"",I2115/G2115)</f>
        <v/>
      </c>
      <c r="K2115" s="319">
        <f>IF(OR(NOT(ISNUMBER(G2115)),NOT(ISNUMBER(H2115)),G2115=0),"",H2115/G2115)</f>
        <v/>
      </c>
      <c r="L2115">
        <f>IF(NOT(ISNUMBER(G2115)),"SEM META",IF(G2115=0,"SEM META",IF(NOT(ISNUMBER(H2115)),"SEM APONTAMENTO",IF(H2115&gt;=G2115,"VERDE",IF(H2115&gt;=G2115*0.9,"AMARELO","VERMELHO")))))</f>
        <v/>
      </c>
      <c r="M2115" s="162" t="n"/>
      <c r="N2115" s="162" t="n"/>
      <c r="O2115" s="162" t="n"/>
      <c r="P2115" s="162" t="n"/>
      <c r="Q2115" s="320" t="n"/>
      <c r="R2115" s="162" t="inlineStr">
        <is>
          <t>CONTROLE PRODUÇÃO POR EMPRESAS!C358</t>
        </is>
      </c>
    </row>
    <row r="2116" ht="28.5" customHeight="1">
      <c r="A2116" s="317" t="n">
        <v>46575</v>
      </c>
      <c r="B2116" t="inlineStr">
        <is>
          <t>GERAL</t>
        </is>
      </c>
      <c r="C2116" t="inlineStr">
        <is>
          <t>EJ</t>
        </is>
      </c>
      <c r="D2116" t="inlineStr">
        <is>
          <t>VIGAS</t>
        </is>
      </c>
      <c r="F2116" s="159">
        <f>IFERROR(INDEX('BASE METAS DIÁRIAS'!$N$2:$S$358,MATCH($A2116,'BASE METAS DIÁRIAS'!$A$2:$A$358,0),MOD(ROW()-2,6)+1),"")</f>
        <v/>
      </c>
      <c r="G2116" s="159">
        <f>IFERROR(IF(WEEKDAY($A2116,2)&lt;=INDEX('BASE METAS DIÁRIAS'!$H$2:$M$358,MATCH($A2116,'BASE METAS DIÁRIAS'!$A$2:$A$358,0),MOD(ROW()-2,6)+1),INDEX('BASE METAS DIÁRIAS'!$B$2:$G$358,MATCH($A2116,'BASE METAS DIÁRIAS'!$A$2:$A$358,0),MOD(ROW()-2,6)+1),""),"")</f>
        <v/>
      </c>
      <c r="H2116" s="159">
        <f>IFERROR(IF(INDEX('CONTROLE PRODUÇÃO POR EMPRESAS'!$B$6:$G$5000,MATCH($A2116,'CONTROLE PRODUÇÃO POR EMPRESAS'!$A$6:$A$5000,0),MOD(ROW()-2,6)+1)="","",IFERROR(1*INDEX('CONTROLE PRODUÇÃO POR EMPRESAS'!$B$6:$G$5000,MATCH($A2116,'CONTROLE PRODUÇÃO POR EMPRESAS'!$A$6:$A$5000,0),MOD(ROW()-2,6)+1),"")),"")</f>
        <v/>
      </c>
      <c r="I2116" s="159">
        <f>IF(OR(NOT(ISNUMBER(G2116)),NOT(ISNUMBER(H2116))),"",H2116-G2116)</f>
        <v/>
      </c>
      <c r="J2116" s="319">
        <f>IF(OR(NOT(ISNUMBER(G2116)),NOT(ISNUMBER(H2116)),G2116=0),"",I2116/G2116)</f>
        <v/>
      </c>
      <c r="K2116" s="319">
        <f>IF(OR(NOT(ISNUMBER(G2116)),NOT(ISNUMBER(H2116)),G2116=0),"",H2116/G2116)</f>
        <v/>
      </c>
      <c r="L2116">
        <f>IF(NOT(ISNUMBER(G2116)),"SEM META",IF(G2116=0,"SEM META",IF(NOT(ISNUMBER(H2116)),"SEM APONTAMENTO",IF(H2116&gt;=G2116,"VERDE",IF(H2116&gt;=G2116*0.9,"AMARELO","VERMELHO")))))</f>
        <v/>
      </c>
      <c r="M2116" s="162" t="n"/>
      <c r="N2116" s="162" t="n"/>
      <c r="O2116" s="162" t="n"/>
      <c r="P2116" s="162" t="n"/>
      <c r="Q2116" s="320" t="n"/>
      <c r="R2116" s="162" t="inlineStr">
        <is>
          <t>CONTROLE PRODUÇÃO POR EMPRESAS!D358</t>
        </is>
      </c>
    </row>
    <row r="2117" ht="28.5" customHeight="1">
      <c r="A2117" s="317" t="n">
        <v>46575</v>
      </c>
      <c r="B2117" t="inlineStr">
        <is>
          <t>GERAL</t>
        </is>
      </c>
      <c r="C2117" t="inlineStr">
        <is>
          <t>CMM</t>
        </is>
      </c>
      <c r="D2117" t="inlineStr">
        <is>
          <t>PREMONTAGEM</t>
        </is>
      </c>
      <c r="F2117" s="159">
        <f>IFERROR(INDEX('BASE METAS DIÁRIAS'!$N$2:$S$358,MATCH($A2117,'BASE METAS DIÁRIAS'!$A$2:$A$358,0),MOD(ROW()-2,6)+1),"")</f>
        <v/>
      </c>
      <c r="G2117" s="159">
        <f>IFERROR(IF(WEEKDAY($A2117,2)&lt;=INDEX('BASE METAS DIÁRIAS'!$H$2:$M$358,MATCH($A2117,'BASE METAS DIÁRIAS'!$A$2:$A$358,0),MOD(ROW()-2,6)+1),INDEX('BASE METAS DIÁRIAS'!$B$2:$G$358,MATCH($A2117,'BASE METAS DIÁRIAS'!$A$2:$A$358,0),MOD(ROW()-2,6)+1),""),"")</f>
        <v/>
      </c>
      <c r="H2117" s="159">
        <f>IFERROR(IF(INDEX('CONTROLE PRODUÇÃO POR EMPRESAS'!$B$6:$G$5000,MATCH($A2117,'CONTROLE PRODUÇÃO POR EMPRESAS'!$A$6:$A$5000,0),MOD(ROW()-2,6)+1)="","",IFERROR(1*INDEX('CONTROLE PRODUÇÃO POR EMPRESAS'!$B$6:$G$5000,MATCH($A2117,'CONTROLE PRODUÇÃO POR EMPRESAS'!$A$6:$A$5000,0),MOD(ROW()-2,6)+1),"")),"")</f>
        <v/>
      </c>
      <c r="I2117" s="159">
        <f>IF(OR(NOT(ISNUMBER(G2117)),NOT(ISNUMBER(H2117))),"",H2117-G2117)</f>
        <v/>
      </c>
      <c r="J2117" s="319">
        <f>IF(OR(NOT(ISNUMBER(G2117)),NOT(ISNUMBER(H2117)),G2117=0),"",I2117/G2117)</f>
        <v/>
      </c>
      <c r="K2117" s="319">
        <f>IF(OR(NOT(ISNUMBER(G2117)),NOT(ISNUMBER(H2117)),G2117=0),"",H2117/G2117)</f>
        <v/>
      </c>
      <c r="L2117">
        <f>IF(NOT(ISNUMBER(G2117)),"SEM META",IF(G2117=0,"SEM META",IF(NOT(ISNUMBER(H2117)),"SEM APONTAMENTO",IF(H2117&gt;=G2117,"VERDE",IF(H2117&gt;=G2117*0.9,"AMARELO","VERMELHO")))))</f>
        <v/>
      </c>
      <c r="M2117" s="162" t="n"/>
      <c r="N2117" s="162" t="n"/>
      <c r="O2117" s="162" t="n"/>
      <c r="P2117" s="162" t="n"/>
      <c r="Q2117" s="320" t="n"/>
      <c r="R2117" s="162" t="inlineStr">
        <is>
          <t>CONTROLE PRODUÇÃO POR EMPRESAS!E358</t>
        </is>
      </c>
    </row>
    <row r="2118" ht="28.5" customHeight="1">
      <c r="A2118" s="317" t="n">
        <v>46575</v>
      </c>
      <c r="B2118" t="inlineStr">
        <is>
          <t>GERAL</t>
        </is>
      </c>
      <c r="C2118" t="inlineStr">
        <is>
          <t>CMM</t>
        </is>
      </c>
      <c r="D2118" t="inlineStr">
        <is>
          <t>IÇAMENTO JOIST</t>
        </is>
      </c>
      <c r="F2118" s="159">
        <f>IFERROR(INDEX('BASE METAS DIÁRIAS'!$N$2:$S$358,MATCH($A2118,'BASE METAS DIÁRIAS'!$A$2:$A$358,0),MOD(ROW()-2,6)+1),"")</f>
        <v/>
      </c>
      <c r="G2118" s="159">
        <f>IFERROR(IF(WEEKDAY($A2118,2)&lt;=INDEX('BASE METAS DIÁRIAS'!$H$2:$M$358,MATCH($A2118,'BASE METAS DIÁRIAS'!$A$2:$A$358,0),MOD(ROW()-2,6)+1),INDEX('BASE METAS DIÁRIAS'!$B$2:$G$358,MATCH($A2118,'BASE METAS DIÁRIAS'!$A$2:$A$358,0),MOD(ROW()-2,6)+1),""),"")</f>
        <v/>
      </c>
      <c r="H2118" s="159">
        <f>IFERROR(IF(INDEX('CONTROLE PRODUÇÃO POR EMPRESAS'!$B$6:$G$5000,MATCH($A2118,'CONTROLE PRODUÇÃO POR EMPRESAS'!$A$6:$A$5000,0),MOD(ROW()-2,6)+1)="","",IFERROR(1*INDEX('CONTROLE PRODUÇÃO POR EMPRESAS'!$B$6:$G$5000,MATCH($A2118,'CONTROLE PRODUÇÃO POR EMPRESAS'!$A$6:$A$5000,0),MOD(ROW()-2,6)+1),"")),"")</f>
        <v/>
      </c>
      <c r="I2118" s="159">
        <f>IF(OR(NOT(ISNUMBER(G2118)),NOT(ISNUMBER(H2118))),"",H2118-G2118)</f>
        <v/>
      </c>
      <c r="J2118" s="319">
        <f>IF(OR(NOT(ISNUMBER(G2118)),NOT(ISNUMBER(H2118)),G2118=0),"",I2118/G2118)</f>
        <v/>
      </c>
      <c r="K2118" s="319">
        <f>IF(OR(NOT(ISNUMBER(G2118)),NOT(ISNUMBER(H2118)),G2118=0),"",H2118/G2118)</f>
        <v/>
      </c>
      <c r="L2118">
        <f>IF(NOT(ISNUMBER(G2118)),"SEM META",IF(G2118=0,"SEM META",IF(NOT(ISNUMBER(H2118)),"SEM APONTAMENTO",IF(H2118&gt;=G2118,"VERDE",IF(H2118&gt;=G2118*0.9,"AMARELO","VERMELHO")))))</f>
        <v/>
      </c>
      <c r="M2118" s="162" t="n"/>
      <c r="N2118" s="162" t="n"/>
      <c r="O2118" s="162" t="n"/>
      <c r="P2118" s="162" t="n"/>
      <c r="Q2118" s="320" t="n"/>
      <c r="R2118" s="162" t="inlineStr">
        <is>
          <t>CONTROLE PRODUÇÃO POR EMPRESAS!F358</t>
        </is>
      </c>
    </row>
    <row r="2119" ht="28.5" customHeight="1">
      <c r="A2119" s="317" t="n">
        <v>46575</v>
      </c>
      <c r="B2119" t="inlineStr">
        <is>
          <t>GERAL</t>
        </is>
      </c>
      <c r="C2119" t="inlineStr">
        <is>
          <t>CMM</t>
        </is>
      </c>
      <c r="D2119" t="inlineStr">
        <is>
          <t>VIGAS</t>
        </is>
      </c>
      <c r="F2119" s="159">
        <f>IFERROR(INDEX('BASE METAS DIÁRIAS'!$N$2:$S$358,MATCH($A2119,'BASE METAS DIÁRIAS'!$A$2:$A$358,0),MOD(ROW()-2,6)+1),"")</f>
        <v/>
      </c>
      <c r="G2119" s="159">
        <f>IFERROR(IF(WEEKDAY($A2119,2)&lt;=INDEX('BASE METAS DIÁRIAS'!$H$2:$M$358,MATCH($A2119,'BASE METAS DIÁRIAS'!$A$2:$A$358,0),MOD(ROW()-2,6)+1),INDEX('BASE METAS DIÁRIAS'!$B$2:$G$358,MATCH($A2119,'BASE METAS DIÁRIAS'!$A$2:$A$358,0),MOD(ROW()-2,6)+1),""),"")</f>
        <v/>
      </c>
      <c r="H2119" s="159">
        <f>IFERROR(IF(INDEX('CONTROLE PRODUÇÃO POR EMPRESAS'!$B$6:$G$5000,MATCH($A2119,'CONTROLE PRODUÇÃO POR EMPRESAS'!$A$6:$A$5000,0),MOD(ROW()-2,6)+1)="","",IFERROR(1*INDEX('CONTROLE PRODUÇÃO POR EMPRESAS'!$B$6:$G$5000,MATCH($A2119,'CONTROLE PRODUÇÃO POR EMPRESAS'!$A$6:$A$5000,0),MOD(ROW()-2,6)+1),"")),"")</f>
        <v/>
      </c>
      <c r="I2119" s="159">
        <f>IF(OR(NOT(ISNUMBER(G2119)),NOT(ISNUMBER(H2119))),"",H2119-G2119)</f>
        <v/>
      </c>
      <c r="J2119" s="319">
        <f>IF(OR(NOT(ISNUMBER(G2119)),NOT(ISNUMBER(H2119)),G2119=0),"",I2119/G2119)</f>
        <v/>
      </c>
      <c r="K2119" s="319">
        <f>IF(OR(NOT(ISNUMBER(G2119)),NOT(ISNUMBER(H2119)),G2119=0),"",H2119/G2119)</f>
        <v/>
      </c>
      <c r="L2119">
        <f>IF(NOT(ISNUMBER(G2119)),"SEM META",IF(G2119=0,"SEM META",IF(NOT(ISNUMBER(H2119)),"SEM APONTAMENTO",IF(H2119&gt;=G2119,"VERDE",IF(H2119&gt;=G2119*0.9,"AMARELO","VERMELHO")))))</f>
        <v/>
      </c>
      <c r="M2119" s="162" t="n"/>
      <c r="N2119" s="162" t="n"/>
      <c r="O2119" s="162" t="n"/>
      <c r="P2119" s="162" t="n"/>
      <c r="Q2119" s="320" t="n"/>
      <c r="R2119" s="162" t="inlineStr">
        <is>
          <t>CONTROLE PRODUÇÃO POR EMPRESAS!G358</t>
        </is>
      </c>
    </row>
    <row r="2120" ht="28.5" customHeight="1">
      <c r="A2120" s="317" t="n">
        <v>46576</v>
      </c>
      <c r="B2120" t="inlineStr">
        <is>
          <t>GERAL</t>
        </is>
      </c>
      <c r="C2120" t="inlineStr">
        <is>
          <t>EJ</t>
        </is>
      </c>
      <c r="D2120" t="inlineStr">
        <is>
          <t>PREMONTAGEM</t>
        </is>
      </c>
      <c r="F2120" s="159">
        <f>IFERROR(INDEX('BASE METAS DIÁRIAS'!$N$2:$S$358,MATCH($A2120,'BASE METAS DIÁRIAS'!$A$2:$A$358,0),MOD(ROW()-2,6)+1),"")</f>
        <v/>
      </c>
      <c r="G2120" s="159">
        <f>IFERROR(IF(WEEKDAY($A2120,2)&lt;=INDEX('BASE METAS DIÁRIAS'!$H$2:$M$358,MATCH($A2120,'BASE METAS DIÁRIAS'!$A$2:$A$358,0),MOD(ROW()-2,6)+1),INDEX('BASE METAS DIÁRIAS'!$B$2:$G$358,MATCH($A2120,'BASE METAS DIÁRIAS'!$A$2:$A$358,0),MOD(ROW()-2,6)+1),""),"")</f>
        <v/>
      </c>
      <c r="H2120" s="159">
        <f>IFERROR(IF(INDEX('CONTROLE PRODUÇÃO POR EMPRESAS'!$B$6:$G$5000,MATCH($A2120,'CONTROLE PRODUÇÃO POR EMPRESAS'!$A$6:$A$5000,0),MOD(ROW()-2,6)+1)="","",IFERROR(1*INDEX('CONTROLE PRODUÇÃO POR EMPRESAS'!$B$6:$G$5000,MATCH($A2120,'CONTROLE PRODUÇÃO POR EMPRESAS'!$A$6:$A$5000,0),MOD(ROW()-2,6)+1),"")),"")</f>
        <v/>
      </c>
      <c r="I2120" s="159">
        <f>IF(OR(NOT(ISNUMBER(G2120)),NOT(ISNUMBER(H2120))),"",H2120-G2120)</f>
        <v/>
      </c>
      <c r="J2120" s="319">
        <f>IF(OR(NOT(ISNUMBER(G2120)),NOT(ISNUMBER(H2120)),G2120=0),"",I2120/G2120)</f>
        <v/>
      </c>
      <c r="K2120" s="319">
        <f>IF(OR(NOT(ISNUMBER(G2120)),NOT(ISNUMBER(H2120)),G2120=0),"",H2120/G2120)</f>
        <v/>
      </c>
      <c r="L2120">
        <f>IF(NOT(ISNUMBER(G2120)),"SEM META",IF(G2120=0,"SEM META",IF(NOT(ISNUMBER(H2120)),"SEM APONTAMENTO",IF(H2120&gt;=G2120,"VERDE",IF(H2120&gt;=G2120*0.9,"AMARELO","VERMELHO")))))</f>
        <v/>
      </c>
      <c r="M2120" s="162" t="n"/>
      <c r="N2120" s="162" t="n"/>
      <c r="O2120" s="162" t="n"/>
      <c r="P2120" s="162" t="n"/>
      <c r="Q2120" s="320" t="n"/>
      <c r="R2120" s="162" t="inlineStr">
        <is>
          <t>CONTROLE PRODUÇÃO POR EMPRESAS!B359</t>
        </is>
      </c>
    </row>
    <row r="2121" ht="28.5" customHeight="1">
      <c r="A2121" s="317" t="n">
        <v>46576</v>
      </c>
      <c r="B2121" t="inlineStr">
        <is>
          <t>GERAL</t>
        </is>
      </c>
      <c r="C2121" t="inlineStr">
        <is>
          <t>EJ</t>
        </is>
      </c>
      <c r="D2121" t="inlineStr">
        <is>
          <t>IÇAMENTO JOIST</t>
        </is>
      </c>
      <c r="F2121" s="159">
        <f>IFERROR(INDEX('BASE METAS DIÁRIAS'!$N$2:$S$358,MATCH($A2121,'BASE METAS DIÁRIAS'!$A$2:$A$358,0),MOD(ROW()-2,6)+1),"")</f>
        <v/>
      </c>
      <c r="G2121" s="159">
        <f>IFERROR(IF(WEEKDAY($A2121,2)&lt;=INDEX('BASE METAS DIÁRIAS'!$H$2:$M$358,MATCH($A2121,'BASE METAS DIÁRIAS'!$A$2:$A$358,0),MOD(ROW()-2,6)+1),INDEX('BASE METAS DIÁRIAS'!$B$2:$G$358,MATCH($A2121,'BASE METAS DIÁRIAS'!$A$2:$A$358,0),MOD(ROW()-2,6)+1),""),"")</f>
        <v/>
      </c>
      <c r="H2121" s="159">
        <f>IFERROR(IF(INDEX('CONTROLE PRODUÇÃO POR EMPRESAS'!$B$6:$G$5000,MATCH($A2121,'CONTROLE PRODUÇÃO POR EMPRESAS'!$A$6:$A$5000,0),MOD(ROW()-2,6)+1)="","",IFERROR(1*INDEX('CONTROLE PRODUÇÃO POR EMPRESAS'!$B$6:$G$5000,MATCH($A2121,'CONTROLE PRODUÇÃO POR EMPRESAS'!$A$6:$A$5000,0),MOD(ROW()-2,6)+1),"")),"")</f>
        <v/>
      </c>
      <c r="I2121" s="159">
        <f>IF(OR(NOT(ISNUMBER(G2121)),NOT(ISNUMBER(H2121))),"",H2121-G2121)</f>
        <v/>
      </c>
      <c r="J2121" s="319">
        <f>IF(OR(NOT(ISNUMBER(G2121)),NOT(ISNUMBER(H2121)),G2121=0),"",I2121/G2121)</f>
        <v/>
      </c>
      <c r="K2121" s="319">
        <f>IF(OR(NOT(ISNUMBER(G2121)),NOT(ISNUMBER(H2121)),G2121=0),"",H2121/G2121)</f>
        <v/>
      </c>
      <c r="L2121">
        <f>IF(NOT(ISNUMBER(G2121)),"SEM META",IF(G2121=0,"SEM META",IF(NOT(ISNUMBER(H2121)),"SEM APONTAMENTO",IF(H2121&gt;=G2121,"VERDE",IF(H2121&gt;=G2121*0.9,"AMARELO","VERMELHO")))))</f>
        <v/>
      </c>
      <c r="M2121" s="162" t="n"/>
      <c r="N2121" s="162" t="n"/>
      <c r="O2121" s="162" t="n"/>
      <c r="P2121" s="162" t="n"/>
      <c r="Q2121" s="320" t="n"/>
      <c r="R2121" s="162" t="inlineStr">
        <is>
          <t>CONTROLE PRODUÇÃO POR EMPRESAS!C359</t>
        </is>
      </c>
    </row>
    <row r="2122" ht="28.5" customHeight="1">
      <c r="A2122" s="317" t="n">
        <v>46576</v>
      </c>
      <c r="B2122" t="inlineStr">
        <is>
          <t>GERAL</t>
        </is>
      </c>
      <c r="C2122" t="inlineStr">
        <is>
          <t>EJ</t>
        </is>
      </c>
      <c r="D2122" t="inlineStr">
        <is>
          <t>VIGAS</t>
        </is>
      </c>
      <c r="F2122" s="159">
        <f>IFERROR(INDEX('BASE METAS DIÁRIAS'!$N$2:$S$358,MATCH($A2122,'BASE METAS DIÁRIAS'!$A$2:$A$358,0),MOD(ROW()-2,6)+1),"")</f>
        <v/>
      </c>
      <c r="G2122" s="159">
        <f>IFERROR(IF(WEEKDAY($A2122,2)&lt;=INDEX('BASE METAS DIÁRIAS'!$H$2:$M$358,MATCH($A2122,'BASE METAS DIÁRIAS'!$A$2:$A$358,0),MOD(ROW()-2,6)+1),INDEX('BASE METAS DIÁRIAS'!$B$2:$G$358,MATCH($A2122,'BASE METAS DIÁRIAS'!$A$2:$A$358,0),MOD(ROW()-2,6)+1),""),"")</f>
        <v/>
      </c>
      <c r="H2122" s="159">
        <f>IFERROR(IF(INDEX('CONTROLE PRODUÇÃO POR EMPRESAS'!$B$6:$G$5000,MATCH($A2122,'CONTROLE PRODUÇÃO POR EMPRESAS'!$A$6:$A$5000,0),MOD(ROW()-2,6)+1)="","",IFERROR(1*INDEX('CONTROLE PRODUÇÃO POR EMPRESAS'!$B$6:$G$5000,MATCH($A2122,'CONTROLE PRODUÇÃO POR EMPRESAS'!$A$6:$A$5000,0),MOD(ROW()-2,6)+1),"")),"")</f>
        <v/>
      </c>
      <c r="I2122" s="159">
        <f>IF(OR(NOT(ISNUMBER(G2122)),NOT(ISNUMBER(H2122))),"",H2122-G2122)</f>
        <v/>
      </c>
      <c r="J2122" s="319">
        <f>IF(OR(NOT(ISNUMBER(G2122)),NOT(ISNUMBER(H2122)),G2122=0),"",I2122/G2122)</f>
        <v/>
      </c>
      <c r="K2122" s="319">
        <f>IF(OR(NOT(ISNUMBER(G2122)),NOT(ISNUMBER(H2122)),G2122=0),"",H2122/G2122)</f>
        <v/>
      </c>
      <c r="L2122">
        <f>IF(NOT(ISNUMBER(G2122)),"SEM META",IF(G2122=0,"SEM META",IF(NOT(ISNUMBER(H2122)),"SEM APONTAMENTO",IF(H2122&gt;=G2122,"VERDE",IF(H2122&gt;=G2122*0.9,"AMARELO","VERMELHO")))))</f>
        <v/>
      </c>
      <c r="M2122" s="162" t="n"/>
      <c r="N2122" s="162" t="n"/>
      <c r="O2122" s="162" t="n"/>
      <c r="P2122" s="162" t="n"/>
      <c r="Q2122" s="320" t="n"/>
      <c r="R2122" s="162" t="inlineStr">
        <is>
          <t>CONTROLE PRODUÇÃO POR EMPRESAS!D359</t>
        </is>
      </c>
    </row>
    <row r="2123" ht="28.5" customHeight="1">
      <c r="A2123" s="317" t="n">
        <v>46576</v>
      </c>
      <c r="B2123" t="inlineStr">
        <is>
          <t>GERAL</t>
        </is>
      </c>
      <c r="C2123" t="inlineStr">
        <is>
          <t>CMM</t>
        </is>
      </c>
      <c r="D2123" t="inlineStr">
        <is>
          <t>PREMONTAGEM</t>
        </is>
      </c>
      <c r="F2123" s="159">
        <f>IFERROR(INDEX('BASE METAS DIÁRIAS'!$N$2:$S$358,MATCH($A2123,'BASE METAS DIÁRIAS'!$A$2:$A$358,0),MOD(ROW()-2,6)+1),"")</f>
        <v/>
      </c>
      <c r="G2123" s="159">
        <f>IFERROR(IF(WEEKDAY($A2123,2)&lt;=INDEX('BASE METAS DIÁRIAS'!$H$2:$M$358,MATCH($A2123,'BASE METAS DIÁRIAS'!$A$2:$A$358,0),MOD(ROW()-2,6)+1),INDEX('BASE METAS DIÁRIAS'!$B$2:$G$358,MATCH($A2123,'BASE METAS DIÁRIAS'!$A$2:$A$358,0),MOD(ROW()-2,6)+1),""),"")</f>
        <v/>
      </c>
      <c r="H2123" s="159">
        <f>IFERROR(IF(INDEX('CONTROLE PRODUÇÃO POR EMPRESAS'!$B$6:$G$5000,MATCH($A2123,'CONTROLE PRODUÇÃO POR EMPRESAS'!$A$6:$A$5000,0),MOD(ROW()-2,6)+1)="","",IFERROR(1*INDEX('CONTROLE PRODUÇÃO POR EMPRESAS'!$B$6:$G$5000,MATCH($A2123,'CONTROLE PRODUÇÃO POR EMPRESAS'!$A$6:$A$5000,0),MOD(ROW()-2,6)+1),"")),"")</f>
        <v/>
      </c>
      <c r="I2123" s="159">
        <f>IF(OR(NOT(ISNUMBER(G2123)),NOT(ISNUMBER(H2123))),"",H2123-G2123)</f>
        <v/>
      </c>
      <c r="J2123" s="319">
        <f>IF(OR(NOT(ISNUMBER(G2123)),NOT(ISNUMBER(H2123)),G2123=0),"",I2123/G2123)</f>
        <v/>
      </c>
      <c r="K2123" s="319">
        <f>IF(OR(NOT(ISNUMBER(G2123)),NOT(ISNUMBER(H2123)),G2123=0),"",H2123/G2123)</f>
        <v/>
      </c>
      <c r="L2123">
        <f>IF(NOT(ISNUMBER(G2123)),"SEM META",IF(G2123=0,"SEM META",IF(NOT(ISNUMBER(H2123)),"SEM APONTAMENTO",IF(H2123&gt;=G2123,"VERDE",IF(H2123&gt;=G2123*0.9,"AMARELO","VERMELHO")))))</f>
        <v/>
      </c>
      <c r="M2123" s="162" t="n"/>
      <c r="N2123" s="162" t="n"/>
      <c r="O2123" s="162" t="n"/>
      <c r="P2123" s="162" t="n"/>
      <c r="Q2123" s="320" t="n"/>
      <c r="R2123" s="162" t="inlineStr">
        <is>
          <t>CONTROLE PRODUÇÃO POR EMPRESAS!E359</t>
        </is>
      </c>
    </row>
    <row r="2124" ht="28.5" customHeight="1">
      <c r="A2124" s="317" t="n">
        <v>46576</v>
      </c>
      <c r="B2124" t="inlineStr">
        <is>
          <t>GERAL</t>
        </is>
      </c>
      <c r="C2124" t="inlineStr">
        <is>
          <t>CMM</t>
        </is>
      </c>
      <c r="D2124" t="inlineStr">
        <is>
          <t>IÇAMENTO JOIST</t>
        </is>
      </c>
      <c r="F2124" s="159">
        <f>IFERROR(INDEX('BASE METAS DIÁRIAS'!$N$2:$S$358,MATCH($A2124,'BASE METAS DIÁRIAS'!$A$2:$A$358,0),MOD(ROW()-2,6)+1),"")</f>
        <v/>
      </c>
      <c r="G2124" s="159">
        <f>IFERROR(IF(WEEKDAY($A2124,2)&lt;=INDEX('BASE METAS DIÁRIAS'!$H$2:$M$358,MATCH($A2124,'BASE METAS DIÁRIAS'!$A$2:$A$358,0),MOD(ROW()-2,6)+1),INDEX('BASE METAS DIÁRIAS'!$B$2:$G$358,MATCH($A2124,'BASE METAS DIÁRIAS'!$A$2:$A$358,0),MOD(ROW()-2,6)+1),""),"")</f>
        <v/>
      </c>
      <c r="H2124" s="159">
        <f>IFERROR(IF(INDEX('CONTROLE PRODUÇÃO POR EMPRESAS'!$B$6:$G$5000,MATCH($A2124,'CONTROLE PRODUÇÃO POR EMPRESAS'!$A$6:$A$5000,0),MOD(ROW()-2,6)+1)="","",IFERROR(1*INDEX('CONTROLE PRODUÇÃO POR EMPRESAS'!$B$6:$G$5000,MATCH($A2124,'CONTROLE PRODUÇÃO POR EMPRESAS'!$A$6:$A$5000,0),MOD(ROW()-2,6)+1),"")),"")</f>
        <v/>
      </c>
      <c r="I2124" s="159">
        <f>IF(OR(NOT(ISNUMBER(G2124)),NOT(ISNUMBER(H2124))),"",H2124-G2124)</f>
        <v/>
      </c>
      <c r="J2124" s="319">
        <f>IF(OR(NOT(ISNUMBER(G2124)),NOT(ISNUMBER(H2124)),G2124=0),"",I2124/G2124)</f>
        <v/>
      </c>
      <c r="K2124" s="319">
        <f>IF(OR(NOT(ISNUMBER(G2124)),NOT(ISNUMBER(H2124)),G2124=0),"",H2124/G2124)</f>
        <v/>
      </c>
      <c r="L2124">
        <f>IF(NOT(ISNUMBER(G2124)),"SEM META",IF(G2124=0,"SEM META",IF(NOT(ISNUMBER(H2124)),"SEM APONTAMENTO",IF(H2124&gt;=G2124,"VERDE",IF(H2124&gt;=G2124*0.9,"AMARELO","VERMELHO")))))</f>
        <v/>
      </c>
      <c r="M2124" s="162" t="n"/>
      <c r="N2124" s="162" t="n"/>
      <c r="O2124" s="162" t="n"/>
      <c r="P2124" s="162" t="n"/>
      <c r="Q2124" s="320" t="n"/>
      <c r="R2124" s="162" t="inlineStr">
        <is>
          <t>CONTROLE PRODUÇÃO POR EMPRESAS!F359</t>
        </is>
      </c>
    </row>
    <row r="2125" ht="28.5" customHeight="1">
      <c r="A2125" s="317" t="n">
        <v>46576</v>
      </c>
      <c r="B2125" t="inlineStr">
        <is>
          <t>GERAL</t>
        </is>
      </c>
      <c r="C2125" t="inlineStr">
        <is>
          <t>CMM</t>
        </is>
      </c>
      <c r="D2125" t="inlineStr">
        <is>
          <t>VIGAS</t>
        </is>
      </c>
      <c r="F2125" s="159">
        <f>IFERROR(INDEX('BASE METAS DIÁRIAS'!$N$2:$S$358,MATCH($A2125,'BASE METAS DIÁRIAS'!$A$2:$A$358,0),MOD(ROW()-2,6)+1),"")</f>
        <v/>
      </c>
      <c r="G2125" s="159">
        <f>IFERROR(IF(WEEKDAY($A2125,2)&lt;=INDEX('BASE METAS DIÁRIAS'!$H$2:$M$358,MATCH($A2125,'BASE METAS DIÁRIAS'!$A$2:$A$358,0),MOD(ROW()-2,6)+1),INDEX('BASE METAS DIÁRIAS'!$B$2:$G$358,MATCH($A2125,'BASE METAS DIÁRIAS'!$A$2:$A$358,0),MOD(ROW()-2,6)+1),""),"")</f>
        <v/>
      </c>
      <c r="H2125" s="159">
        <f>IFERROR(IF(INDEX('CONTROLE PRODUÇÃO POR EMPRESAS'!$B$6:$G$5000,MATCH($A2125,'CONTROLE PRODUÇÃO POR EMPRESAS'!$A$6:$A$5000,0),MOD(ROW()-2,6)+1)="","",IFERROR(1*INDEX('CONTROLE PRODUÇÃO POR EMPRESAS'!$B$6:$G$5000,MATCH($A2125,'CONTROLE PRODUÇÃO POR EMPRESAS'!$A$6:$A$5000,0),MOD(ROW()-2,6)+1),"")),"")</f>
        <v/>
      </c>
      <c r="I2125" s="159">
        <f>IF(OR(NOT(ISNUMBER(G2125)),NOT(ISNUMBER(H2125))),"",H2125-G2125)</f>
        <v/>
      </c>
      <c r="J2125" s="319">
        <f>IF(OR(NOT(ISNUMBER(G2125)),NOT(ISNUMBER(H2125)),G2125=0),"",I2125/G2125)</f>
        <v/>
      </c>
      <c r="K2125" s="319">
        <f>IF(OR(NOT(ISNUMBER(G2125)),NOT(ISNUMBER(H2125)),G2125=0),"",H2125/G2125)</f>
        <v/>
      </c>
      <c r="L2125">
        <f>IF(NOT(ISNUMBER(G2125)),"SEM META",IF(G2125=0,"SEM META",IF(NOT(ISNUMBER(H2125)),"SEM APONTAMENTO",IF(H2125&gt;=G2125,"VERDE",IF(H2125&gt;=G2125*0.9,"AMARELO","VERMELHO")))))</f>
        <v/>
      </c>
      <c r="M2125" s="162" t="n"/>
      <c r="N2125" s="162" t="n"/>
      <c r="O2125" s="162" t="n"/>
      <c r="P2125" s="162" t="n"/>
      <c r="Q2125" s="320" t="n"/>
      <c r="R2125" s="162" t="inlineStr">
        <is>
          <t>CONTROLE PRODUÇÃO POR EMPRESAS!G359</t>
        </is>
      </c>
    </row>
    <row r="2126" ht="28.5" customHeight="1">
      <c r="A2126" s="317" t="n">
        <v>46577</v>
      </c>
      <c r="B2126" t="inlineStr">
        <is>
          <t>GERAL</t>
        </is>
      </c>
      <c r="C2126" t="inlineStr">
        <is>
          <t>EJ</t>
        </is>
      </c>
      <c r="D2126" t="inlineStr">
        <is>
          <t>PREMONTAGEM</t>
        </is>
      </c>
      <c r="F2126" s="159">
        <f>IFERROR(INDEX('BASE METAS DIÁRIAS'!$N$2:$S$358,MATCH($A2126,'BASE METAS DIÁRIAS'!$A$2:$A$358,0),MOD(ROW()-2,6)+1),"")</f>
        <v/>
      </c>
      <c r="G2126" s="159">
        <f>IFERROR(IF(WEEKDAY($A2126,2)&lt;=INDEX('BASE METAS DIÁRIAS'!$H$2:$M$358,MATCH($A2126,'BASE METAS DIÁRIAS'!$A$2:$A$358,0),MOD(ROW()-2,6)+1),INDEX('BASE METAS DIÁRIAS'!$B$2:$G$358,MATCH($A2126,'BASE METAS DIÁRIAS'!$A$2:$A$358,0),MOD(ROW()-2,6)+1),""),"")</f>
        <v/>
      </c>
      <c r="H2126" s="159">
        <f>IFERROR(IF(INDEX('CONTROLE PRODUÇÃO POR EMPRESAS'!$B$6:$G$5000,MATCH($A2126,'CONTROLE PRODUÇÃO POR EMPRESAS'!$A$6:$A$5000,0),MOD(ROW()-2,6)+1)="","",IFERROR(1*INDEX('CONTROLE PRODUÇÃO POR EMPRESAS'!$B$6:$G$5000,MATCH($A2126,'CONTROLE PRODUÇÃO POR EMPRESAS'!$A$6:$A$5000,0),MOD(ROW()-2,6)+1),"")),"")</f>
        <v/>
      </c>
      <c r="I2126" s="159">
        <f>IF(OR(NOT(ISNUMBER(G2126)),NOT(ISNUMBER(H2126))),"",H2126-G2126)</f>
        <v/>
      </c>
      <c r="J2126" s="319">
        <f>IF(OR(NOT(ISNUMBER(G2126)),NOT(ISNUMBER(H2126)),G2126=0),"",I2126/G2126)</f>
        <v/>
      </c>
      <c r="K2126" s="319">
        <f>IF(OR(NOT(ISNUMBER(G2126)),NOT(ISNUMBER(H2126)),G2126=0),"",H2126/G2126)</f>
        <v/>
      </c>
      <c r="L2126">
        <f>IF(NOT(ISNUMBER(G2126)),"SEM META",IF(G2126=0,"SEM META",IF(NOT(ISNUMBER(H2126)),"SEM APONTAMENTO",IF(H2126&gt;=G2126,"VERDE",IF(H2126&gt;=G2126*0.9,"AMARELO","VERMELHO")))))</f>
        <v/>
      </c>
      <c r="M2126" s="162" t="n"/>
      <c r="N2126" s="162" t="n"/>
      <c r="O2126" s="162" t="n"/>
      <c r="P2126" s="162" t="n"/>
      <c r="Q2126" s="320" t="n"/>
      <c r="R2126" s="162" t="inlineStr">
        <is>
          <t>CONTROLE PRODUÇÃO POR EMPRESAS!B360</t>
        </is>
      </c>
    </row>
    <row r="2127" ht="28.5" customHeight="1">
      <c r="A2127" s="317" t="n">
        <v>46577</v>
      </c>
      <c r="B2127" t="inlineStr">
        <is>
          <t>GERAL</t>
        </is>
      </c>
      <c r="C2127" t="inlineStr">
        <is>
          <t>EJ</t>
        </is>
      </c>
      <c r="D2127" t="inlineStr">
        <is>
          <t>IÇAMENTO JOIST</t>
        </is>
      </c>
      <c r="F2127" s="159">
        <f>IFERROR(INDEX('BASE METAS DIÁRIAS'!$N$2:$S$358,MATCH($A2127,'BASE METAS DIÁRIAS'!$A$2:$A$358,0),MOD(ROW()-2,6)+1),"")</f>
        <v/>
      </c>
      <c r="G2127" s="159">
        <f>IFERROR(IF(WEEKDAY($A2127,2)&lt;=INDEX('BASE METAS DIÁRIAS'!$H$2:$M$358,MATCH($A2127,'BASE METAS DIÁRIAS'!$A$2:$A$358,0),MOD(ROW()-2,6)+1),INDEX('BASE METAS DIÁRIAS'!$B$2:$G$358,MATCH($A2127,'BASE METAS DIÁRIAS'!$A$2:$A$358,0),MOD(ROW()-2,6)+1),""),"")</f>
        <v/>
      </c>
      <c r="H2127" s="159">
        <f>IFERROR(IF(INDEX('CONTROLE PRODUÇÃO POR EMPRESAS'!$B$6:$G$5000,MATCH($A2127,'CONTROLE PRODUÇÃO POR EMPRESAS'!$A$6:$A$5000,0),MOD(ROW()-2,6)+1)="","",IFERROR(1*INDEX('CONTROLE PRODUÇÃO POR EMPRESAS'!$B$6:$G$5000,MATCH($A2127,'CONTROLE PRODUÇÃO POR EMPRESAS'!$A$6:$A$5000,0),MOD(ROW()-2,6)+1),"")),"")</f>
        <v/>
      </c>
      <c r="I2127" s="159">
        <f>IF(OR(NOT(ISNUMBER(G2127)),NOT(ISNUMBER(H2127))),"",H2127-G2127)</f>
        <v/>
      </c>
      <c r="J2127" s="319">
        <f>IF(OR(NOT(ISNUMBER(G2127)),NOT(ISNUMBER(H2127)),G2127=0),"",I2127/G2127)</f>
        <v/>
      </c>
      <c r="K2127" s="319">
        <f>IF(OR(NOT(ISNUMBER(G2127)),NOT(ISNUMBER(H2127)),G2127=0),"",H2127/G2127)</f>
        <v/>
      </c>
      <c r="L2127">
        <f>IF(NOT(ISNUMBER(G2127)),"SEM META",IF(G2127=0,"SEM META",IF(NOT(ISNUMBER(H2127)),"SEM APONTAMENTO",IF(H2127&gt;=G2127,"VERDE",IF(H2127&gt;=G2127*0.9,"AMARELO","VERMELHO")))))</f>
        <v/>
      </c>
      <c r="M2127" s="162" t="n"/>
      <c r="N2127" s="162" t="n"/>
      <c r="O2127" s="162" t="n"/>
      <c r="P2127" s="162" t="n"/>
      <c r="Q2127" s="320" t="n"/>
      <c r="R2127" s="162" t="inlineStr">
        <is>
          <t>CONTROLE PRODUÇÃO POR EMPRESAS!C360</t>
        </is>
      </c>
    </row>
    <row r="2128" ht="28.5" customHeight="1">
      <c r="A2128" s="317" t="n">
        <v>46577</v>
      </c>
      <c r="B2128" t="inlineStr">
        <is>
          <t>GERAL</t>
        </is>
      </c>
      <c r="C2128" t="inlineStr">
        <is>
          <t>EJ</t>
        </is>
      </c>
      <c r="D2128" t="inlineStr">
        <is>
          <t>VIGAS</t>
        </is>
      </c>
      <c r="F2128" s="159">
        <f>IFERROR(INDEX('BASE METAS DIÁRIAS'!$N$2:$S$358,MATCH($A2128,'BASE METAS DIÁRIAS'!$A$2:$A$358,0),MOD(ROW()-2,6)+1),"")</f>
        <v/>
      </c>
      <c r="G2128" s="159">
        <f>IFERROR(IF(WEEKDAY($A2128,2)&lt;=INDEX('BASE METAS DIÁRIAS'!$H$2:$M$358,MATCH($A2128,'BASE METAS DIÁRIAS'!$A$2:$A$358,0),MOD(ROW()-2,6)+1),INDEX('BASE METAS DIÁRIAS'!$B$2:$G$358,MATCH($A2128,'BASE METAS DIÁRIAS'!$A$2:$A$358,0),MOD(ROW()-2,6)+1),""),"")</f>
        <v/>
      </c>
      <c r="H2128" s="159">
        <f>IFERROR(IF(INDEX('CONTROLE PRODUÇÃO POR EMPRESAS'!$B$6:$G$5000,MATCH($A2128,'CONTROLE PRODUÇÃO POR EMPRESAS'!$A$6:$A$5000,0),MOD(ROW()-2,6)+1)="","",IFERROR(1*INDEX('CONTROLE PRODUÇÃO POR EMPRESAS'!$B$6:$G$5000,MATCH($A2128,'CONTROLE PRODUÇÃO POR EMPRESAS'!$A$6:$A$5000,0),MOD(ROW()-2,6)+1),"")),"")</f>
        <v/>
      </c>
      <c r="I2128" s="159">
        <f>IF(OR(NOT(ISNUMBER(G2128)),NOT(ISNUMBER(H2128))),"",H2128-G2128)</f>
        <v/>
      </c>
      <c r="J2128" s="319">
        <f>IF(OR(NOT(ISNUMBER(G2128)),NOT(ISNUMBER(H2128)),G2128=0),"",I2128/G2128)</f>
        <v/>
      </c>
      <c r="K2128" s="319">
        <f>IF(OR(NOT(ISNUMBER(G2128)),NOT(ISNUMBER(H2128)),G2128=0),"",H2128/G2128)</f>
        <v/>
      </c>
      <c r="L2128">
        <f>IF(NOT(ISNUMBER(G2128)),"SEM META",IF(G2128=0,"SEM META",IF(NOT(ISNUMBER(H2128)),"SEM APONTAMENTO",IF(H2128&gt;=G2128,"VERDE",IF(H2128&gt;=G2128*0.9,"AMARELO","VERMELHO")))))</f>
        <v/>
      </c>
      <c r="M2128" s="162" t="n"/>
      <c r="N2128" s="162" t="n"/>
      <c r="O2128" s="162" t="n"/>
      <c r="P2128" s="162" t="n"/>
      <c r="Q2128" s="320" t="n"/>
      <c r="R2128" s="162" t="inlineStr">
        <is>
          <t>CONTROLE PRODUÇÃO POR EMPRESAS!D360</t>
        </is>
      </c>
    </row>
    <row r="2129" ht="28.5" customHeight="1">
      <c r="A2129" s="317" t="n">
        <v>46577</v>
      </c>
      <c r="B2129" t="inlineStr">
        <is>
          <t>GERAL</t>
        </is>
      </c>
      <c r="C2129" t="inlineStr">
        <is>
          <t>CMM</t>
        </is>
      </c>
      <c r="D2129" t="inlineStr">
        <is>
          <t>PREMONTAGEM</t>
        </is>
      </c>
      <c r="F2129" s="159">
        <f>IFERROR(INDEX('BASE METAS DIÁRIAS'!$N$2:$S$358,MATCH($A2129,'BASE METAS DIÁRIAS'!$A$2:$A$358,0),MOD(ROW()-2,6)+1),"")</f>
        <v/>
      </c>
      <c r="G2129" s="159">
        <f>IFERROR(IF(WEEKDAY($A2129,2)&lt;=INDEX('BASE METAS DIÁRIAS'!$H$2:$M$358,MATCH($A2129,'BASE METAS DIÁRIAS'!$A$2:$A$358,0),MOD(ROW()-2,6)+1),INDEX('BASE METAS DIÁRIAS'!$B$2:$G$358,MATCH($A2129,'BASE METAS DIÁRIAS'!$A$2:$A$358,0),MOD(ROW()-2,6)+1),""),"")</f>
        <v/>
      </c>
      <c r="H2129" s="159">
        <f>IFERROR(IF(INDEX('CONTROLE PRODUÇÃO POR EMPRESAS'!$B$6:$G$5000,MATCH($A2129,'CONTROLE PRODUÇÃO POR EMPRESAS'!$A$6:$A$5000,0),MOD(ROW()-2,6)+1)="","",IFERROR(1*INDEX('CONTROLE PRODUÇÃO POR EMPRESAS'!$B$6:$G$5000,MATCH($A2129,'CONTROLE PRODUÇÃO POR EMPRESAS'!$A$6:$A$5000,0),MOD(ROW()-2,6)+1),"")),"")</f>
        <v/>
      </c>
      <c r="I2129" s="159">
        <f>IF(OR(NOT(ISNUMBER(G2129)),NOT(ISNUMBER(H2129))),"",H2129-G2129)</f>
        <v/>
      </c>
      <c r="J2129" s="319">
        <f>IF(OR(NOT(ISNUMBER(G2129)),NOT(ISNUMBER(H2129)),G2129=0),"",I2129/G2129)</f>
        <v/>
      </c>
      <c r="K2129" s="319">
        <f>IF(OR(NOT(ISNUMBER(G2129)),NOT(ISNUMBER(H2129)),G2129=0),"",H2129/G2129)</f>
        <v/>
      </c>
      <c r="L2129">
        <f>IF(NOT(ISNUMBER(G2129)),"SEM META",IF(G2129=0,"SEM META",IF(NOT(ISNUMBER(H2129)),"SEM APONTAMENTO",IF(H2129&gt;=G2129,"VERDE",IF(H2129&gt;=G2129*0.9,"AMARELO","VERMELHO")))))</f>
        <v/>
      </c>
      <c r="M2129" s="162" t="n"/>
      <c r="N2129" s="162" t="n"/>
      <c r="O2129" s="162" t="n"/>
      <c r="P2129" s="162" t="n"/>
      <c r="Q2129" s="320" t="n"/>
      <c r="R2129" s="162" t="inlineStr">
        <is>
          <t>CONTROLE PRODUÇÃO POR EMPRESAS!E360</t>
        </is>
      </c>
    </row>
    <row r="2130" ht="28.5" customHeight="1">
      <c r="A2130" s="317" t="n">
        <v>46577</v>
      </c>
      <c r="B2130" t="inlineStr">
        <is>
          <t>GERAL</t>
        </is>
      </c>
      <c r="C2130" t="inlineStr">
        <is>
          <t>CMM</t>
        </is>
      </c>
      <c r="D2130" t="inlineStr">
        <is>
          <t>IÇAMENTO JOIST</t>
        </is>
      </c>
      <c r="F2130" s="159">
        <f>IFERROR(INDEX('BASE METAS DIÁRIAS'!$N$2:$S$358,MATCH($A2130,'BASE METAS DIÁRIAS'!$A$2:$A$358,0),MOD(ROW()-2,6)+1),"")</f>
        <v/>
      </c>
      <c r="G2130" s="159">
        <f>IFERROR(IF(WEEKDAY($A2130,2)&lt;=INDEX('BASE METAS DIÁRIAS'!$H$2:$M$358,MATCH($A2130,'BASE METAS DIÁRIAS'!$A$2:$A$358,0),MOD(ROW()-2,6)+1),INDEX('BASE METAS DIÁRIAS'!$B$2:$G$358,MATCH($A2130,'BASE METAS DIÁRIAS'!$A$2:$A$358,0),MOD(ROW()-2,6)+1),""),"")</f>
        <v/>
      </c>
      <c r="H2130" s="159">
        <f>IFERROR(IF(INDEX('CONTROLE PRODUÇÃO POR EMPRESAS'!$B$6:$G$5000,MATCH($A2130,'CONTROLE PRODUÇÃO POR EMPRESAS'!$A$6:$A$5000,0),MOD(ROW()-2,6)+1)="","",IFERROR(1*INDEX('CONTROLE PRODUÇÃO POR EMPRESAS'!$B$6:$G$5000,MATCH($A2130,'CONTROLE PRODUÇÃO POR EMPRESAS'!$A$6:$A$5000,0),MOD(ROW()-2,6)+1),"")),"")</f>
        <v/>
      </c>
      <c r="I2130" s="159">
        <f>IF(OR(NOT(ISNUMBER(G2130)),NOT(ISNUMBER(H2130))),"",H2130-G2130)</f>
        <v/>
      </c>
      <c r="J2130" s="319">
        <f>IF(OR(NOT(ISNUMBER(G2130)),NOT(ISNUMBER(H2130)),G2130=0),"",I2130/G2130)</f>
        <v/>
      </c>
      <c r="K2130" s="319">
        <f>IF(OR(NOT(ISNUMBER(G2130)),NOT(ISNUMBER(H2130)),G2130=0),"",H2130/G2130)</f>
        <v/>
      </c>
      <c r="L2130">
        <f>IF(NOT(ISNUMBER(G2130)),"SEM META",IF(G2130=0,"SEM META",IF(NOT(ISNUMBER(H2130)),"SEM APONTAMENTO",IF(H2130&gt;=G2130,"VERDE",IF(H2130&gt;=G2130*0.9,"AMARELO","VERMELHO")))))</f>
        <v/>
      </c>
      <c r="M2130" s="162" t="n"/>
      <c r="N2130" s="162" t="n"/>
      <c r="O2130" s="162" t="n"/>
      <c r="P2130" s="162" t="n"/>
      <c r="Q2130" s="320" t="n"/>
      <c r="R2130" s="162" t="inlineStr">
        <is>
          <t>CONTROLE PRODUÇÃO POR EMPRESAS!F360</t>
        </is>
      </c>
    </row>
    <row r="2131" ht="28.5" customHeight="1">
      <c r="A2131" s="317" t="n">
        <v>46577</v>
      </c>
      <c r="B2131" t="inlineStr">
        <is>
          <t>GERAL</t>
        </is>
      </c>
      <c r="C2131" t="inlineStr">
        <is>
          <t>CMM</t>
        </is>
      </c>
      <c r="D2131" t="inlineStr">
        <is>
          <t>VIGAS</t>
        </is>
      </c>
      <c r="F2131" s="159">
        <f>IFERROR(INDEX('BASE METAS DIÁRIAS'!$N$2:$S$358,MATCH($A2131,'BASE METAS DIÁRIAS'!$A$2:$A$358,0),MOD(ROW()-2,6)+1),"")</f>
        <v/>
      </c>
      <c r="G2131" s="159">
        <f>IFERROR(IF(WEEKDAY($A2131,2)&lt;=INDEX('BASE METAS DIÁRIAS'!$H$2:$M$358,MATCH($A2131,'BASE METAS DIÁRIAS'!$A$2:$A$358,0),MOD(ROW()-2,6)+1),INDEX('BASE METAS DIÁRIAS'!$B$2:$G$358,MATCH($A2131,'BASE METAS DIÁRIAS'!$A$2:$A$358,0),MOD(ROW()-2,6)+1),""),"")</f>
        <v/>
      </c>
      <c r="H2131" s="159">
        <f>IFERROR(IF(INDEX('CONTROLE PRODUÇÃO POR EMPRESAS'!$B$6:$G$5000,MATCH($A2131,'CONTROLE PRODUÇÃO POR EMPRESAS'!$A$6:$A$5000,0),MOD(ROW()-2,6)+1)="","",IFERROR(1*INDEX('CONTROLE PRODUÇÃO POR EMPRESAS'!$B$6:$G$5000,MATCH($A2131,'CONTROLE PRODUÇÃO POR EMPRESAS'!$A$6:$A$5000,0),MOD(ROW()-2,6)+1),"")),"")</f>
        <v/>
      </c>
      <c r="I2131" s="159">
        <f>IF(OR(NOT(ISNUMBER(G2131)),NOT(ISNUMBER(H2131))),"",H2131-G2131)</f>
        <v/>
      </c>
      <c r="J2131" s="319">
        <f>IF(OR(NOT(ISNUMBER(G2131)),NOT(ISNUMBER(H2131)),G2131=0),"",I2131/G2131)</f>
        <v/>
      </c>
      <c r="K2131" s="319">
        <f>IF(OR(NOT(ISNUMBER(G2131)),NOT(ISNUMBER(H2131)),G2131=0),"",H2131/G2131)</f>
        <v/>
      </c>
      <c r="L2131">
        <f>IF(NOT(ISNUMBER(G2131)),"SEM META",IF(G2131=0,"SEM META",IF(NOT(ISNUMBER(H2131)),"SEM APONTAMENTO",IF(H2131&gt;=G2131,"VERDE",IF(H2131&gt;=G2131*0.9,"AMARELO","VERMELHO")))))</f>
        <v/>
      </c>
      <c r="M2131" s="162" t="n"/>
      <c r="N2131" s="162" t="n"/>
      <c r="O2131" s="162" t="n"/>
      <c r="P2131" s="162" t="n"/>
      <c r="Q2131" s="320" t="n"/>
      <c r="R2131" s="162" t="inlineStr">
        <is>
          <t>CONTROLE PRODUÇÃO POR EMPRESAS!G360</t>
        </is>
      </c>
    </row>
    <row r="2132" ht="28.5" customHeight="1">
      <c r="A2132" s="317" t="n">
        <v>46578</v>
      </c>
      <c r="B2132" t="inlineStr">
        <is>
          <t>GERAL</t>
        </is>
      </c>
      <c r="C2132" t="inlineStr">
        <is>
          <t>EJ</t>
        </is>
      </c>
      <c r="D2132" t="inlineStr">
        <is>
          <t>PREMONTAGEM</t>
        </is>
      </c>
      <c r="F2132" s="159">
        <f>IFERROR(INDEX('BASE METAS DIÁRIAS'!$N$2:$S$358,MATCH($A2132,'BASE METAS DIÁRIAS'!$A$2:$A$358,0),MOD(ROW()-2,6)+1),"")</f>
        <v/>
      </c>
      <c r="G2132" s="159">
        <f>IFERROR(IF(WEEKDAY($A2132,2)&lt;=INDEX('BASE METAS DIÁRIAS'!$H$2:$M$358,MATCH($A2132,'BASE METAS DIÁRIAS'!$A$2:$A$358,0),MOD(ROW()-2,6)+1),INDEX('BASE METAS DIÁRIAS'!$B$2:$G$358,MATCH($A2132,'BASE METAS DIÁRIAS'!$A$2:$A$358,0),MOD(ROW()-2,6)+1),""),"")</f>
        <v/>
      </c>
      <c r="H2132" s="159">
        <f>IFERROR(IF(INDEX('CONTROLE PRODUÇÃO POR EMPRESAS'!$B$6:$G$5000,MATCH($A2132,'CONTROLE PRODUÇÃO POR EMPRESAS'!$A$6:$A$5000,0),MOD(ROW()-2,6)+1)="","",IFERROR(1*INDEX('CONTROLE PRODUÇÃO POR EMPRESAS'!$B$6:$G$5000,MATCH($A2132,'CONTROLE PRODUÇÃO POR EMPRESAS'!$A$6:$A$5000,0),MOD(ROW()-2,6)+1),"")),"")</f>
        <v/>
      </c>
      <c r="I2132" s="159">
        <f>IF(OR(NOT(ISNUMBER(G2132)),NOT(ISNUMBER(H2132))),"",H2132-G2132)</f>
        <v/>
      </c>
      <c r="J2132" s="319">
        <f>IF(OR(NOT(ISNUMBER(G2132)),NOT(ISNUMBER(H2132)),G2132=0),"",I2132/G2132)</f>
        <v/>
      </c>
      <c r="K2132" s="319">
        <f>IF(OR(NOT(ISNUMBER(G2132)),NOT(ISNUMBER(H2132)),G2132=0),"",H2132/G2132)</f>
        <v/>
      </c>
      <c r="L2132">
        <f>IF(NOT(ISNUMBER(G2132)),"SEM META",IF(G2132=0,"SEM META",IF(NOT(ISNUMBER(H2132)),"SEM APONTAMENTO",IF(H2132&gt;=G2132,"VERDE",IF(H2132&gt;=G2132*0.9,"AMARELO","VERMELHO")))))</f>
        <v/>
      </c>
      <c r="M2132" s="162" t="n"/>
      <c r="N2132" s="162" t="n"/>
      <c r="O2132" s="162" t="n"/>
      <c r="P2132" s="162" t="n"/>
      <c r="Q2132" s="320" t="n"/>
      <c r="R2132" s="162" t="inlineStr">
        <is>
          <t>CONTROLE PRODUÇÃO POR EMPRESAS!B361</t>
        </is>
      </c>
    </row>
    <row r="2133" ht="28.5" customHeight="1">
      <c r="A2133" s="317" t="n">
        <v>46578</v>
      </c>
      <c r="B2133" t="inlineStr">
        <is>
          <t>GERAL</t>
        </is>
      </c>
      <c r="C2133" t="inlineStr">
        <is>
          <t>EJ</t>
        </is>
      </c>
      <c r="D2133" t="inlineStr">
        <is>
          <t>IÇAMENTO JOIST</t>
        </is>
      </c>
      <c r="F2133" s="159">
        <f>IFERROR(INDEX('BASE METAS DIÁRIAS'!$N$2:$S$358,MATCH($A2133,'BASE METAS DIÁRIAS'!$A$2:$A$358,0),MOD(ROW()-2,6)+1),"")</f>
        <v/>
      </c>
      <c r="G2133" s="159">
        <f>IFERROR(IF(WEEKDAY($A2133,2)&lt;=INDEX('BASE METAS DIÁRIAS'!$H$2:$M$358,MATCH($A2133,'BASE METAS DIÁRIAS'!$A$2:$A$358,0),MOD(ROW()-2,6)+1),INDEX('BASE METAS DIÁRIAS'!$B$2:$G$358,MATCH($A2133,'BASE METAS DIÁRIAS'!$A$2:$A$358,0),MOD(ROW()-2,6)+1),""),"")</f>
        <v/>
      </c>
      <c r="H2133" s="159">
        <f>IFERROR(IF(INDEX('CONTROLE PRODUÇÃO POR EMPRESAS'!$B$6:$G$5000,MATCH($A2133,'CONTROLE PRODUÇÃO POR EMPRESAS'!$A$6:$A$5000,0),MOD(ROW()-2,6)+1)="","",IFERROR(1*INDEX('CONTROLE PRODUÇÃO POR EMPRESAS'!$B$6:$G$5000,MATCH($A2133,'CONTROLE PRODUÇÃO POR EMPRESAS'!$A$6:$A$5000,0),MOD(ROW()-2,6)+1),"")),"")</f>
        <v/>
      </c>
      <c r="I2133" s="159">
        <f>IF(OR(NOT(ISNUMBER(G2133)),NOT(ISNUMBER(H2133))),"",H2133-G2133)</f>
        <v/>
      </c>
      <c r="J2133" s="319">
        <f>IF(OR(NOT(ISNUMBER(G2133)),NOT(ISNUMBER(H2133)),G2133=0),"",I2133/G2133)</f>
        <v/>
      </c>
      <c r="K2133" s="319">
        <f>IF(OR(NOT(ISNUMBER(G2133)),NOT(ISNUMBER(H2133)),G2133=0),"",H2133/G2133)</f>
        <v/>
      </c>
      <c r="L2133">
        <f>IF(NOT(ISNUMBER(G2133)),"SEM META",IF(G2133=0,"SEM META",IF(NOT(ISNUMBER(H2133)),"SEM APONTAMENTO",IF(H2133&gt;=G2133,"VERDE",IF(H2133&gt;=G2133*0.9,"AMARELO","VERMELHO")))))</f>
        <v/>
      </c>
      <c r="M2133" s="162" t="n"/>
      <c r="N2133" s="162" t="n"/>
      <c r="O2133" s="162" t="n"/>
      <c r="P2133" s="162" t="n"/>
      <c r="Q2133" s="320" t="n"/>
      <c r="R2133" s="162" t="inlineStr">
        <is>
          <t>CONTROLE PRODUÇÃO POR EMPRESAS!C361</t>
        </is>
      </c>
    </row>
    <row r="2134" ht="28.5" customHeight="1">
      <c r="A2134" s="317" t="n">
        <v>46578</v>
      </c>
      <c r="B2134" t="inlineStr">
        <is>
          <t>GERAL</t>
        </is>
      </c>
      <c r="C2134" t="inlineStr">
        <is>
          <t>EJ</t>
        </is>
      </c>
      <c r="D2134" t="inlineStr">
        <is>
          <t>VIGAS</t>
        </is>
      </c>
      <c r="F2134" s="159">
        <f>IFERROR(INDEX('BASE METAS DIÁRIAS'!$N$2:$S$358,MATCH($A2134,'BASE METAS DIÁRIAS'!$A$2:$A$358,0),MOD(ROW()-2,6)+1),"")</f>
        <v/>
      </c>
      <c r="G2134" s="159">
        <f>IFERROR(IF(WEEKDAY($A2134,2)&lt;=INDEX('BASE METAS DIÁRIAS'!$H$2:$M$358,MATCH($A2134,'BASE METAS DIÁRIAS'!$A$2:$A$358,0),MOD(ROW()-2,6)+1),INDEX('BASE METAS DIÁRIAS'!$B$2:$G$358,MATCH($A2134,'BASE METAS DIÁRIAS'!$A$2:$A$358,0),MOD(ROW()-2,6)+1),""),"")</f>
        <v/>
      </c>
      <c r="H2134" s="159">
        <f>IFERROR(IF(INDEX('CONTROLE PRODUÇÃO POR EMPRESAS'!$B$6:$G$5000,MATCH($A2134,'CONTROLE PRODUÇÃO POR EMPRESAS'!$A$6:$A$5000,0),MOD(ROW()-2,6)+1)="","",IFERROR(1*INDEX('CONTROLE PRODUÇÃO POR EMPRESAS'!$B$6:$G$5000,MATCH($A2134,'CONTROLE PRODUÇÃO POR EMPRESAS'!$A$6:$A$5000,0),MOD(ROW()-2,6)+1),"")),"")</f>
        <v/>
      </c>
      <c r="I2134" s="159">
        <f>IF(OR(NOT(ISNUMBER(G2134)),NOT(ISNUMBER(H2134))),"",H2134-G2134)</f>
        <v/>
      </c>
      <c r="J2134" s="319">
        <f>IF(OR(NOT(ISNUMBER(G2134)),NOT(ISNUMBER(H2134)),G2134=0),"",I2134/G2134)</f>
        <v/>
      </c>
      <c r="K2134" s="319">
        <f>IF(OR(NOT(ISNUMBER(G2134)),NOT(ISNUMBER(H2134)),G2134=0),"",H2134/G2134)</f>
        <v/>
      </c>
      <c r="L2134">
        <f>IF(NOT(ISNUMBER(G2134)),"SEM META",IF(G2134=0,"SEM META",IF(NOT(ISNUMBER(H2134)),"SEM APONTAMENTO",IF(H2134&gt;=G2134,"VERDE",IF(H2134&gt;=G2134*0.9,"AMARELO","VERMELHO")))))</f>
        <v/>
      </c>
      <c r="M2134" s="162" t="n"/>
      <c r="N2134" s="162" t="n"/>
      <c r="O2134" s="162" t="n"/>
      <c r="P2134" s="162" t="n"/>
      <c r="Q2134" s="320" t="n"/>
      <c r="R2134" s="162" t="inlineStr">
        <is>
          <t>CONTROLE PRODUÇÃO POR EMPRESAS!D361</t>
        </is>
      </c>
    </row>
    <row r="2135" ht="28.5" customHeight="1">
      <c r="A2135" s="317" t="n">
        <v>46578</v>
      </c>
      <c r="B2135" t="inlineStr">
        <is>
          <t>GERAL</t>
        </is>
      </c>
      <c r="C2135" t="inlineStr">
        <is>
          <t>CMM</t>
        </is>
      </c>
      <c r="D2135" t="inlineStr">
        <is>
          <t>PREMONTAGEM</t>
        </is>
      </c>
      <c r="F2135" s="159">
        <f>IFERROR(INDEX('BASE METAS DIÁRIAS'!$N$2:$S$358,MATCH($A2135,'BASE METAS DIÁRIAS'!$A$2:$A$358,0),MOD(ROW()-2,6)+1),"")</f>
        <v/>
      </c>
      <c r="G2135" s="159">
        <f>IFERROR(IF(WEEKDAY($A2135,2)&lt;=INDEX('BASE METAS DIÁRIAS'!$H$2:$M$358,MATCH($A2135,'BASE METAS DIÁRIAS'!$A$2:$A$358,0),MOD(ROW()-2,6)+1),INDEX('BASE METAS DIÁRIAS'!$B$2:$G$358,MATCH($A2135,'BASE METAS DIÁRIAS'!$A$2:$A$358,0),MOD(ROW()-2,6)+1),""),"")</f>
        <v/>
      </c>
      <c r="H2135" s="159">
        <f>IFERROR(IF(INDEX('CONTROLE PRODUÇÃO POR EMPRESAS'!$B$6:$G$5000,MATCH($A2135,'CONTROLE PRODUÇÃO POR EMPRESAS'!$A$6:$A$5000,0),MOD(ROW()-2,6)+1)="","",IFERROR(1*INDEX('CONTROLE PRODUÇÃO POR EMPRESAS'!$B$6:$G$5000,MATCH($A2135,'CONTROLE PRODUÇÃO POR EMPRESAS'!$A$6:$A$5000,0),MOD(ROW()-2,6)+1),"")),"")</f>
        <v/>
      </c>
      <c r="I2135" s="159">
        <f>IF(OR(NOT(ISNUMBER(G2135)),NOT(ISNUMBER(H2135))),"",H2135-G2135)</f>
        <v/>
      </c>
      <c r="J2135" s="319">
        <f>IF(OR(NOT(ISNUMBER(G2135)),NOT(ISNUMBER(H2135)),G2135=0),"",I2135/G2135)</f>
        <v/>
      </c>
      <c r="K2135" s="319">
        <f>IF(OR(NOT(ISNUMBER(G2135)),NOT(ISNUMBER(H2135)),G2135=0),"",H2135/G2135)</f>
        <v/>
      </c>
      <c r="L2135">
        <f>IF(NOT(ISNUMBER(G2135)),"SEM META",IF(G2135=0,"SEM META",IF(NOT(ISNUMBER(H2135)),"SEM APONTAMENTO",IF(H2135&gt;=G2135,"VERDE",IF(H2135&gt;=G2135*0.9,"AMARELO","VERMELHO")))))</f>
        <v/>
      </c>
      <c r="M2135" s="162" t="n"/>
      <c r="N2135" s="162" t="n"/>
      <c r="O2135" s="162" t="n"/>
      <c r="P2135" s="162" t="n"/>
      <c r="Q2135" s="320" t="n"/>
      <c r="R2135" s="162" t="inlineStr">
        <is>
          <t>CONTROLE PRODUÇÃO POR EMPRESAS!E361</t>
        </is>
      </c>
    </row>
    <row r="2136" ht="28.5" customHeight="1">
      <c r="A2136" s="317" t="n">
        <v>46578</v>
      </c>
      <c r="B2136" t="inlineStr">
        <is>
          <t>GERAL</t>
        </is>
      </c>
      <c r="C2136" t="inlineStr">
        <is>
          <t>CMM</t>
        </is>
      </c>
      <c r="D2136" t="inlineStr">
        <is>
          <t>IÇAMENTO JOIST</t>
        </is>
      </c>
      <c r="F2136" s="159">
        <f>IFERROR(INDEX('BASE METAS DIÁRIAS'!$N$2:$S$358,MATCH($A2136,'BASE METAS DIÁRIAS'!$A$2:$A$358,0),MOD(ROW()-2,6)+1),"")</f>
        <v/>
      </c>
      <c r="G2136" s="159">
        <f>IFERROR(IF(WEEKDAY($A2136,2)&lt;=INDEX('BASE METAS DIÁRIAS'!$H$2:$M$358,MATCH($A2136,'BASE METAS DIÁRIAS'!$A$2:$A$358,0),MOD(ROW()-2,6)+1),INDEX('BASE METAS DIÁRIAS'!$B$2:$G$358,MATCH($A2136,'BASE METAS DIÁRIAS'!$A$2:$A$358,0),MOD(ROW()-2,6)+1),""),"")</f>
        <v/>
      </c>
      <c r="H2136" s="159">
        <f>IFERROR(IF(INDEX('CONTROLE PRODUÇÃO POR EMPRESAS'!$B$6:$G$5000,MATCH($A2136,'CONTROLE PRODUÇÃO POR EMPRESAS'!$A$6:$A$5000,0),MOD(ROW()-2,6)+1)="","",IFERROR(1*INDEX('CONTROLE PRODUÇÃO POR EMPRESAS'!$B$6:$G$5000,MATCH($A2136,'CONTROLE PRODUÇÃO POR EMPRESAS'!$A$6:$A$5000,0),MOD(ROW()-2,6)+1),"")),"")</f>
        <v/>
      </c>
      <c r="I2136" s="159">
        <f>IF(OR(NOT(ISNUMBER(G2136)),NOT(ISNUMBER(H2136))),"",H2136-G2136)</f>
        <v/>
      </c>
      <c r="J2136" s="319">
        <f>IF(OR(NOT(ISNUMBER(G2136)),NOT(ISNUMBER(H2136)),G2136=0),"",I2136/G2136)</f>
        <v/>
      </c>
      <c r="K2136" s="319">
        <f>IF(OR(NOT(ISNUMBER(G2136)),NOT(ISNUMBER(H2136)),G2136=0),"",H2136/G2136)</f>
        <v/>
      </c>
      <c r="L2136">
        <f>IF(NOT(ISNUMBER(G2136)),"SEM META",IF(G2136=0,"SEM META",IF(NOT(ISNUMBER(H2136)),"SEM APONTAMENTO",IF(H2136&gt;=G2136,"VERDE",IF(H2136&gt;=G2136*0.9,"AMARELO","VERMELHO")))))</f>
        <v/>
      </c>
      <c r="M2136" s="162" t="n"/>
      <c r="N2136" s="162" t="n"/>
      <c r="O2136" s="162" t="n"/>
      <c r="P2136" s="162" t="n"/>
      <c r="Q2136" s="320" t="n"/>
      <c r="R2136" s="162" t="inlineStr">
        <is>
          <t>CONTROLE PRODUÇÃO POR EMPRESAS!F361</t>
        </is>
      </c>
    </row>
    <row r="2137" ht="28.5" customHeight="1">
      <c r="A2137" s="317" t="n">
        <v>46578</v>
      </c>
      <c r="B2137" t="inlineStr">
        <is>
          <t>GERAL</t>
        </is>
      </c>
      <c r="C2137" t="inlineStr">
        <is>
          <t>CMM</t>
        </is>
      </c>
      <c r="D2137" t="inlineStr">
        <is>
          <t>VIGAS</t>
        </is>
      </c>
      <c r="F2137" s="159">
        <f>IFERROR(INDEX('BASE METAS DIÁRIAS'!$N$2:$S$358,MATCH($A2137,'BASE METAS DIÁRIAS'!$A$2:$A$358,0),MOD(ROW()-2,6)+1),"")</f>
        <v/>
      </c>
      <c r="G2137" s="159">
        <f>IFERROR(IF(WEEKDAY($A2137,2)&lt;=INDEX('BASE METAS DIÁRIAS'!$H$2:$M$358,MATCH($A2137,'BASE METAS DIÁRIAS'!$A$2:$A$358,0),MOD(ROW()-2,6)+1),INDEX('BASE METAS DIÁRIAS'!$B$2:$G$358,MATCH($A2137,'BASE METAS DIÁRIAS'!$A$2:$A$358,0),MOD(ROW()-2,6)+1),""),"")</f>
        <v/>
      </c>
      <c r="H2137" s="159">
        <f>IFERROR(IF(INDEX('CONTROLE PRODUÇÃO POR EMPRESAS'!$B$6:$G$5000,MATCH($A2137,'CONTROLE PRODUÇÃO POR EMPRESAS'!$A$6:$A$5000,0),MOD(ROW()-2,6)+1)="","",IFERROR(1*INDEX('CONTROLE PRODUÇÃO POR EMPRESAS'!$B$6:$G$5000,MATCH($A2137,'CONTROLE PRODUÇÃO POR EMPRESAS'!$A$6:$A$5000,0),MOD(ROW()-2,6)+1),"")),"")</f>
        <v/>
      </c>
      <c r="I2137" s="159">
        <f>IF(OR(NOT(ISNUMBER(G2137)),NOT(ISNUMBER(H2137))),"",H2137-G2137)</f>
        <v/>
      </c>
      <c r="J2137" s="319">
        <f>IF(OR(NOT(ISNUMBER(G2137)),NOT(ISNUMBER(H2137)),G2137=0),"",I2137/G2137)</f>
        <v/>
      </c>
      <c r="K2137" s="319">
        <f>IF(OR(NOT(ISNUMBER(G2137)),NOT(ISNUMBER(H2137)),G2137=0),"",H2137/G2137)</f>
        <v/>
      </c>
      <c r="L2137">
        <f>IF(NOT(ISNUMBER(G2137)),"SEM META",IF(G2137=0,"SEM META",IF(NOT(ISNUMBER(H2137)),"SEM APONTAMENTO",IF(H2137&gt;=G2137,"VERDE",IF(H2137&gt;=G2137*0.9,"AMARELO","VERMELHO")))))</f>
        <v/>
      </c>
      <c r="M2137" s="162" t="n"/>
      <c r="N2137" s="162" t="n"/>
      <c r="O2137" s="162" t="n"/>
      <c r="P2137" s="162" t="n"/>
      <c r="Q2137" s="320" t="n"/>
      <c r="R2137" s="162" t="inlineStr">
        <is>
          <t>CONTROLE PRODUÇÃO POR EMPRESAS!G361</t>
        </is>
      </c>
    </row>
    <row r="2138" ht="28.5" customHeight="1">
      <c r="A2138" s="317" t="n">
        <v>46579</v>
      </c>
      <c r="B2138" t="inlineStr">
        <is>
          <t>GERAL</t>
        </is>
      </c>
      <c r="C2138" t="inlineStr">
        <is>
          <t>EJ</t>
        </is>
      </c>
      <c r="D2138" t="inlineStr">
        <is>
          <t>PREMONTAGEM</t>
        </is>
      </c>
      <c r="F2138" s="159">
        <f>IFERROR(INDEX('BASE METAS DIÁRIAS'!$N$2:$S$358,MATCH($A2138,'BASE METAS DIÁRIAS'!$A$2:$A$358,0),MOD(ROW()-2,6)+1),"")</f>
        <v/>
      </c>
      <c r="G2138" s="159">
        <f>IFERROR(IF(WEEKDAY($A2138,2)&lt;=INDEX('BASE METAS DIÁRIAS'!$H$2:$M$358,MATCH($A2138,'BASE METAS DIÁRIAS'!$A$2:$A$358,0),MOD(ROW()-2,6)+1),INDEX('BASE METAS DIÁRIAS'!$B$2:$G$358,MATCH($A2138,'BASE METAS DIÁRIAS'!$A$2:$A$358,0),MOD(ROW()-2,6)+1),""),"")</f>
        <v/>
      </c>
      <c r="H2138" s="159">
        <f>IFERROR(IF(INDEX('CONTROLE PRODUÇÃO POR EMPRESAS'!$B$6:$G$5000,MATCH($A2138,'CONTROLE PRODUÇÃO POR EMPRESAS'!$A$6:$A$5000,0),MOD(ROW()-2,6)+1)="","",IFERROR(1*INDEX('CONTROLE PRODUÇÃO POR EMPRESAS'!$B$6:$G$5000,MATCH($A2138,'CONTROLE PRODUÇÃO POR EMPRESAS'!$A$6:$A$5000,0),MOD(ROW()-2,6)+1),"")),"")</f>
        <v/>
      </c>
      <c r="I2138" s="159">
        <f>IF(OR(NOT(ISNUMBER(G2138)),NOT(ISNUMBER(H2138))),"",H2138-G2138)</f>
        <v/>
      </c>
      <c r="J2138" s="319">
        <f>IF(OR(NOT(ISNUMBER(G2138)),NOT(ISNUMBER(H2138)),G2138=0),"",I2138/G2138)</f>
        <v/>
      </c>
      <c r="K2138" s="319">
        <f>IF(OR(NOT(ISNUMBER(G2138)),NOT(ISNUMBER(H2138)),G2138=0),"",H2138/G2138)</f>
        <v/>
      </c>
      <c r="L2138">
        <f>IF(NOT(ISNUMBER(G2138)),"SEM META",IF(G2138=0,"SEM META",IF(NOT(ISNUMBER(H2138)),"SEM APONTAMENTO",IF(H2138&gt;=G2138,"VERDE",IF(H2138&gt;=G2138*0.9,"AMARELO","VERMELHO")))))</f>
        <v/>
      </c>
      <c r="M2138" s="162" t="n"/>
      <c r="N2138" s="162" t="n"/>
      <c r="O2138" s="162" t="n"/>
      <c r="P2138" s="162" t="n"/>
      <c r="Q2138" s="320" t="n"/>
      <c r="R2138" s="162" t="inlineStr">
        <is>
          <t>CONTROLE PRODUÇÃO POR EMPRESAS!B362</t>
        </is>
      </c>
    </row>
    <row r="2139" ht="28.5" customHeight="1">
      <c r="A2139" s="317" t="n">
        <v>46579</v>
      </c>
      <c r="B2139" t="inlineStr">
        <is>
          <t>GERAL</t>
        </is>
      </c>
      <c r="C2139" t="inlineStr">
        <is>
          <t>EJ</t>
        </is>
      </c>
      <c r="D2139" t="inlineStr">
        <is>
          <t>IÇAMENTO JOIST</t>
        </is>
      </c>
      <c r="F2139" s="159">
        <f>IFERROR(INDEX('BASE METAS DIÁRIAS'!$N$2:$S$358,MATCH($A2139,'BASE METAS DIÁRIAS'!$A$2:$A$358,0),MOD(ROW()-2,6)+1),"")</f>
        <v/>
      </c>
      <c r="G2139" s="159">
        <f>IFERROR(IF(WEEKDAY($A2139,2)&lt;=INDEX('BASE METAS DIÁRIAS'!$H$2:$M$358,MATCH($A2139,'BASE METAS DIÁRIAS'!$A$2:$A$358,0),MOD(ROW()-2,6)+1),INDEX('BASE METAS DIÁRIAS'!$B$2:$G$358,MATCH($A2139,'BASE METAS DIÁRIAS'!$A$2:$A$358,0),MOD(ROW()-2,6)+1),""),"")</f>
        <v/>
      </c>
      <c r="H2139" s="159">
        <f>IFERROR(IF(INDEX('CONTROLE PRODUÇÃO POR EMPRESAS'!$B$6:$G$5000,MATCH($A2139,'CONTROLE PRODUÇÃO POR EMPRESAS'!$A$6:$A$5000,0),MOD(ROW()-2,6)+1)="","",IFERROR(1*INDEX('CONTROLE PRODUÇÃO POR EMPRESAS'!$B$6:$G$5000,MATCH($A2139,'CONTROLE PRODUÇÃO POR EMPRESAS'!$A$6:$A$5000,0),MOD(ROW()-2,6)+1),"")),"")</f>
        <v/>
      </c>
      <c r="I2139" s="159">
        <f>IF(OR(NOT(ISNUMBER(G2139)),NOT(ISNUMBER(H2139))),"",H2139-G2139)</f>
        <v/>
      </c>
      <c r="J2139" s="319">
        <f>IF(OR(NOT(ISNUMBER(G2139)),NOT(ISNUMBER(H2139)),G2139=0),"",I2139/G2139)</f>
        <v/>
      </c>
      <c r="K2139" s="319">
        <f>IF(OR(NOT(ISNUMBER(G2139)),NOT(ISNUMBER(H2139)),G2139=0),"",H2139/G2139)</f>
        <v/>
      </c>
      <c r="L2139">
        <f>IF(NOT(ISNUMBER(G2139)),"SEM META",IF(G2139=0,"SEM META",IF(NOT(ISNUMBER(H2139)),"SEM APONTAMENTO",IF(H2139&gt;=G2139,"VERDE",IF(H2139&gt;=G2139*0.9,"AMARELO","VERMELHO")))))</f>
        <v/>
      </c>
      <c r="M2139" s="162" t="n"/>
      <c r="N2139" s="162" t="n"/>
      <c r="O2139" s="162" t="n"/>
      <c r="P2139" s="162" t="n"/>
      <c r="Q2139" s="320" t="n"/>
      <c r="R2139" s="162" t="inlineStr">
        <is>
          <t>CONTROLE PRODUÇÃO POR EMPRESAS!C362</t>
        </is>
      </c>
    </row>
    <row r="2140" ht="28.5" customHeight="1">
      <c r="A2140" s="317" t="n">
        <v>46579</v>
      </c>
      <c r="B2140" t="inlineStr">
        <is>
          <t>GERAL</t>
        </is>
      </c>
      <c r="C2140" t="inlineStr">
        <is>
          <t>EJ</t>
        </is>
      </c>
      <c r="D2140" t="inlineStr">
        <is>
          <t>VIGAS</t>
        </is>
      </c>
      <c r="F2140" s="159">
        <f>IFERROR(INDEX('BASE METAS DIÁRIAS'!$N$2:$S$358,MATCH($A2140,'BASE METAS DIÁRIAS'!$A$2:$A$358,0),MOD(ROW()-2,6)+1),"")</f>
        <v/>
      </c>
      <c r="G2140" s="159">
        <f>IFERROR(IF(WEEKDAY($A2140,2)&lt;=INDEX('BASE METAS DIÁRIAS'!$H$2:$M$358,MATCH($A2140,'BASE METAS DIÁRIAS'!$A$2:$A$358,0),MOD(ROW()-2,6)+1),INDEX('BASE METAS DIÁRIAS'!$B$2:$G$358,MATCH($A2140,'BASE METAS DIÁRIAS'!$A$2:$A$358,0),MOD(ROW()-2,6)+1),""),"")</f>
        <v/>
      </c>
      <c r="H2140" s="159">
        <f>IFERROR(IF(INDEX('CONTROLE PRODUÇÃO POR EMPRESAS'!$B$6:$G$5000,MATCH($A2140,'CONTROLE PRODUÇÃO POR EMPRESAS'!$A$6:$A$5000,0),MOD(ROW()-2,6)+1)="","",IFERROR(1*INDEX('CONTROLE PRODUÇÃO POR EMPRESAS'!$B$6:$G$5000,MATCH($A2140,'CONTROLE PRODUÇÃO POR EMPRESAS'!$A$6:$A$5000,0),MOD(ROW()-2,6)+1),"")),"")</f>
        <v/>
      </c>
      <c r="I2140" s="159">
        <f>IF(OR(NOT(ISNUMBER(G2140)),NOT(ISNUMBER(H2140))),"",H2140-G2140)</f>
        <v/>
      </c>
      <c r="J2140" s="319">
        <f>IF(OR(NOT(ISNUMBER(G2140)),NOT(ISNUMBER(H2140)),G2140=0),"",I2140/G2140)</f>
        <v/>
      </c>
      <c r="K2140" s="319">
        <f>IF(OR(NOT(ISNUMBER(G2140)),NOT(ISNUMBER(H2140)),G2140=0),"",H2140/G2140)</f>
        <v/>
      </c>
      <c r="L2140">
        <f>IF(NOT(ISNUMBER(G2140)),"SEM META",IF(G2140=0,"SEM META",IF(NOT(ISNUMBER(H2140)),"SEM APONTAMENTO",IF(H2140&gt;=G2140,"VERDE",IF(H2140&gt;=G2140*0.9,"AMARELO","VERMELHO")))))</f>
        <v/>
      </c>
      <c r="M2140" s="162" t="n"/>
      <c r="N2140" s="162" t="n"/>
      <c r="O2140" s="162" t="n"/>
      <c r="P2140" s="162" t="n"/>
      <c r="Q2140" s="320" t="n"/>
      <c r="R2140" s="162" t="inlineStr">
        <is>
          <t>CONTROLE PRODUÇÃO POR EMPRESAS!D362</t>
        </is>
      </c>
    </row>
    <row r="2141" ht="28.5" customHeight="1">
      <c r="A2141" s="317" t="n">
        <v>46579</v>
      </c>
      <c r="B2141" t="inlineStr">
        <is>
          <t>GERAL</t>
        </is>
      </c>
      <c r="C2141" t="inlineStr">
        <is>
          <t>CMM</t>
        </is>
      </c>
      <c r="D2141" t="inlineStr">
        <is>
          <t>PREMONTAGEM</t>
        </is>
      </c>
      <c r="F2141" s="159">
        <f>IFERROR(INDEX('BASE METAS DIÁRIAS'!$N$2:$S$358,MATCH($A2141,'BASE METAS DIÁRIAS'!$A$2:$A$358,0),MOD(ROW()-2,6)+1),"")</f>
        <v/>
      </c>
      <c r="G2141" s="159">
        <f>IFERROR(IF(WEEKDAY($A2141,2)&lt;=INDEX('BASE METAS DIÁRIAS'!$H$2:$M$358,MATCH($A2141,'BASE METAS DIÁRIAS'!$A$2:$A$358,0),MOD(ROW()-2,6)+1),INDEX('BASE METAS DIÁRIAS'!$B$2:$G$358,MATCH($A2141,'BASE METAS DIÁRIAS'!$A$2:$A$358,0),MOD(ROW()-2,6)+1),""),"")</f>
        <v/>
      </c>
      <c r="H2141" s="159">
        <f>IFERROR(IF(INDEX('CONTROLE PRODUÇÃO POR EMPRESAS'!$B$6:$G$5000,MATCH($A2141,'CONTROLE PRODUÇÃO POR EMPRESAS'!$A$6:$A$5000,0),MOD(ROW()-2,6)+1)="","",IFERROR(1*INDEX('CONTROLE PRODUÇÃO POR EMPRESAS'!$B$6:$G$5000,MATCH($A2141,'CONTROLE PRODUÇÃO POR EMPRESAS'!$A$6:$A$5000,0),MOD(ROW()-2,6)+1),"")),"")</f>
        <v/>
      </c>
      <c r="I2141" s="159">
        <f>IF(OR(NOT(ISNUMBER(G2141)),NOT(ISNUMBER(H2141))),"",H2141-G2141)</f>
        <v/>
      </c>
      <c r="J2141" s="319">
        <f>IF(OR(NOT(ISNUMBER(G2141)),NOT(ISNUMBER(H2141)),G2141=0),"",I2141/G2141)</f>
        <v/>
      </c>
      <c r="K2141" s="319">
        <f>IF(OR(NOT(ISNUMBER(G2141)),NOT(ISNUMBER(H2141)),G2141=0),"",H2141/G2141)</f>
        <v/>
      </c>
      <c r="L2141">
        <f>IF(NOT(ISNUMBER(G2141)),"SEM META",IF(G2141=0,"SEM META",IF(NOT(ISNUMBER(H2141)),"SEM APONTAMENTO",IF(H2141&gt;=G2141,"VERDE",IF(H2141&gt;=G2141*0.9,"AMARELO","VERMELHO")))))</f>
        <v/>
      </c>
      <c r="M2141" s="162" t="n"/>
      <c r="N2141" s="162" t="n"/>
      <c r="O2141" s="162" t="n"/>
      <c r="P2141" s="162" t="n"/>
      <c r="Q2141" s="320" t="n"/>
      <c r="R2141" s="162" t="inlineStr">
        <is>
          <t>CONTROLE PRODUÇÃO POR EMPRESAS!E362</t>
        </is>
      </c>
    </row>
    <row r="2142" ht="28.5" customHeight="1">
      <c r="A2142" s="317" t="n">
        <v>46579</v>
      </c>
      <c r="B2142" t="inlineStr">
        <is>
          <t>GERAL</t>
        </is>
      </c>
      <c r="C2142" t="inlineStr">
        <is>
          <t>CMM</t>
        </is>
      </c>
      <c r="D2142" t="inlineStr">
        <is>
          <t>IÇAMENTO JOIST</t>
        </is>
      </c>
      <c r="F2142" s="159">
        <f>IFERROR(INDEX('BASE METAS DIÁRIAS'!$N$2:$S$358,MATCH($A2142,'BASE METAS DIÁRIAS'!$A$2:$A$358,0),MOD(ROW()-2,6)+1),"")</f>
        <v/>
      </c>
      <c r="G2142" s="159">
        <f>IFERROR(IF(WEEKDAY($A2142,2)&lt;=INDEX('BASE METAS DIÁRIAS'!$H$2:$M$358,MATCH($A2142,'BASE METAS DIÁRIAS'!$A$2:$A$358,0),MOD(ROW()-2,6)+1),INDEX('BASE METAS DIÁRIAS'!$B$2:$G$358,MATCH($A2142,'BASE METAS DIÁRIAS'!$A$2:$A$358,0),MOD(ROW()-2,6)+1),""),"")</f>
        <v/>
      </c>
      <c r="H2142" s="159">
        <f>IFERROR(IF(INDEX('CONTROLE PRODUÇÃO POR EMPRESAS'!$B$6:$G$5000,MATCH($A2142,'CONTROLE PRODUÇÃO POR EMPRESAS'!$A$6:$A$5000,0),MOD(ROW()-2,6)+1)="","",IFERROR(1*INDEX('CONTROLE PRODUÇÃO POR EMPRESAS'!$B$6:$G$5000,MATCH($A2142,'CONTROLE PRODUÇÃO POR EMPRESAS'!$A$6:$A$5000,0),MOD(ROW()-2,6)+1),"")),"")</f>
        <v/>
      </c>
      <c r="I2142" s="159">
        <f>IF(OR(NOT(ISNUMBER(G2142)),NOT(ISNUMBER(H2142))),"",H2142-G2142)</f>
        <v/>
      </c>
      <c r="J2142" s="319">
        <f>IF(OR(NOT(ISNUMBER(G2142)),NOT(ISNUMBER(H2142)),G2142=0),"",I2142/G2142)</f>
        <v/>
      </c>
      <c r="K2142" s="319">
        <f>IF(OR(NOT(ISNUMBER(G2142)),NOT(ISNUMBER(H2142)),G2142=0),"",H2142/G2142)</f>
        <v/>
      </c>
      <c r="L2142">
        <f>IF(NOT(ISNUMBER(G2142)),"SEM META",IF(G2142=0,"SEM META",IF(NOT(ISNUMBER(H2142)),"SEM APONTAMENTO",IF(H2142&gt;=G2142,"VERDE",IF(H2142&gt;=G2142*0.9,"AMARELO","VERMELHO")))))</f>
        <v/>
      </c>
      <c r="M2142" s="162" t="n"/>
      <c r="N2142" s="162" t="n"/>
      <c r="O2142" s="162" t="n"/>
      <c r="P2142" s="162" t="n"/>
      <c r="Q2142" s="320" t="n"/>
      <c r="R2142" s="162" t="inlineStr">
        <is>
          <t>CONTROLE PRODUÇÃO POR EMPRESAS!F362</t>
        </is>
      </c>
    </row>
    <row r="2143" ht="28.5" customHeight="1">
      <c r="A2143" s="317" t="n">
        <v>46579</v>
      </c>
      <c r="B2143" t="inlineStr">
        <is>
          <t>GERAL</t>
        </is>
      </c>
      <c r="C2143" t="inlineStr">
        <is>
          <t>CMM</t>
        </is>
      </c>
      <c r="D2143" t="inlineStr">
        <is>
          <t>VIGAS</t>
        </is>
      </c>
      <c r="F2143" s="159">
        <f>IFERROR(INDEX('BASE METAS DIÁRIAS'!$N$2:$S$358,MATCH($A2143,'BASE METAS DIÁRIAS'!$A$2:$A$358,0),MOD(ROW()-2,6)+1),"")</f>
        <v/>
      </c>
      <c r="G2143" s="159">
        <f>IFERROR(IF(WEEKDAY($A2143,2)&lt;=INDEX('BASE METAS DIÁRIAS'!$H$2:$M$358,MATCH($A2143,'BASE METAS DIÁRIAS'!$A$2:$A$358,0),MOD(ROW()-2,6)+1),INDEX('BASE METAS DIÁRIAS'!$B$2:$G$358,MATCH($A2143,'BASE METAS DIÁRIAS'!$A$2:$A$358,0),MOD(ROW()-2,6)+1),""),"")</f>
        <v/>
      </c>
      <c r="H2143" s="159">
        <f>IFERROR(IF(INDEX('CONTROLE PRODUÇÃO POR EMPRESAS'!$B$6:$G$5000,MATCH($A2143,'CONTROLE PRODUÇÃO POR EMPRESAS'!$A$6:$A$5000,0),MOD(ROW()-2,6)+1)="","",IFERROR(1*INDEX('CONTROLE PRODUÇÃO POR EMPRESAS'!$B$6:$G$5000,MATCH($A2143,'CONTROLE PRODUÇÃO POR EMPRESAS'!$A$6:$A$5000,0),MOD(ROW()-2,6)+1),"")),"")</f>
        <v/>
      </c>
      <c r="I2143" s="159">
        <f>IF(OR(NOT(ISNUMBER(G2143)),NOT(ISNUMBER(H2143))),"",H2143-G2143)</f>
        <v/>
      </c>
      <c r="J2143" s="319">
        <f>IF(OR(NOT(ISNUMBER(G2143)),NOT(ISNUMBER(H2143)),G2143=0),"",I2143/G2143)</f>
        <v/>
      </c>
      <c r="K2143" s="319">
        <f>IF(OR(NOT(ISNUMBER(G2143)),NOT(ISNUMBER(H2143)),G2143=0),"",H2143/G2143)</f>
        <v/>
      </c>
      <c r="L2143">
        <f>IF(NOT(ISNUMBER(G2143)),"SEM META",IF(G2143=0,"SEM META",IF(NOT(ISNUMBER(H2143)),"SEM APONTAMENTO",IF(H2143&gt;=G2143,"VERDE",IF(H2143&gt;=G2143*0.9,"AMARELO","VERMELHO")))))</f>
        <v/>
      </c>
      <c r="M2143" s="162" t="n"/>
      <c r="N2143" s="162" t="n"/>
      <c r="O2143" s="162" t="n"/>
      <c r="P2143" s="162" t="n"/>
      <c r="Q2143" s="320" t="n"/>
      <c r="R2143" s="162" t="inlineStr">
        <is>
          <t>CONTROLE PRODUÇÃO POR EMPRESAS!G362</t>
        </is>
      </c>
    </row>
    <row r="2144">
      <c r="A2144" s="321" t="n">
        <v>46223</v>
      </c>
      <c r="B2144" t="inlineStr">
        <is>
          <t>GERAL</t>
        </is>
      </c>
      <c r="C2144" t="inlineStr">
        <is>
          <t>GLOBO AÇOS</t>
        </is>
      </c>
      <c r="D2144" t="inlineStr">
        <is>
          <t>PERFILAÇÃO</t>
        </is>
      </c>
      <c r="F2144">
        <f>IFERROR(INDEX('BASE METAS DIÁRIAS'!$AA$2:$AC$358,MATCH($A2144,'BASE METAS DIÁRIAS'!$A$2:$A$358,0),1),"")</f>
        <v/>
      </c>
      <c r="G2144">
        <f>IFERROR(IF(WEEKDAY($A2144,2)&lt;=INDEX('BASE METAS DIÁRIAS'!$X$2:$Z$358,MATCH($A2144,'BASE METAS DIÁRIAS'!$A$2:$A$358,0),1),INDEX('BASE METAS DIÁRIAS'!$U$2:$W$358,MATCH($A2144,'BASE METAS DIÁRIAS'!$A$2:$A$358,0),1),""),"")</f>
        <v/>
      </c>
      <c r="H2144">
        <f>IFERROR(IF(INDEX('CONTROLE PRODUÇÃO POR EMPRESAS'!$H$6:$J$5000,MATCH($A2144,'CONTROLE PRODUÇÃO POR EMPRESAS'!$A$6:$A$5000,0),1)="","",IFERROR(1*INDEX('CONTROLE PRODUÇÃO POR EMPRESAS'!$H$6:$J$5000,MATCH($A2144,'CONTROLE PRODUÇÃO POR EMPRESAS'!$A$6:$A$5000,0),1),"")),"")</f>
        <v/>
      </c>
      <c r="I2144">
        <f>IF(OR(NOT(ISNUMBER(G2144)),NOT(ISNUMBER(H2144))),"",H2144-G2144)</f>
        <v/>
      </c>
      <c r="J2144">
        <f>IF(OR(NOT(ISNUMBER(G2144)),NOT(ISNUMBER(H2144)),G2144=0),"",I2144/G2144)</f>
        <v/>
      </c>
      <c r="K2144">
        <f>IF(OR(NOT(ISNUMBER(G2144)),NOT(ISNUMBER(H2144)),G2144=0),"",H2144/G2144)</f>
        <v/>
      </c>
      <c r="L2144">
        <f>IF(NOT(ISNUMBER(G2144)),"SEM META",IF(G2144=0,"SEM META",IF(NOT(ISNUMBER(H2144)),"SEM APONTAMENTO",IF(H2144&gt;=G2144,"VERDE",IF(H2144&gt;=G2144*0.9,"AMARELO","VERMELHO")))))</f>
        <v/>
      </c>
    </row>
    <row r="2145">
      <c r="A2145" s="321" t="n">
        <v>46223</v>
      </c>
      <c r="B2145" t="inlineStr">
        <is>
          <t>GERAL</t>
        </is>
      </c>
      <c r="C2145" t="inlineStr">
        <is>
          <t>GLOBO AÇOS</t>
        </is>
      </c>
      <c r="D2145" t="inlineStr">
        <is>
          <t>TELHAR</t>
        </is>
      </c>
      <c r="F2145">
        <f>IFERROR(INDEX('BASE METAS DIÁRIAS'!$AA$2:$AC$358,MATCH($A2145,'BASE METAS DIÁRIAS'!$A$2:$A$358,0),2),"")</f>
        <v/>
      </c>
      <c r="G2145">
        <f>IFERROR(IF(WEEKDAY($A2145,2)&lt;=INDEX('BASE METAS DIÁRIAS'!$X$2:$Z$358,MATCH($A2145,'BASE METAS DIÁRIAS'!$A$2:$A$358,0),2),INDEX('BASE METAS DIÁRIAS'!$U$2:$W$358,MATCH($A2145,'BASE METAS DIÁRIAS'!$A$2:$A$358,0),2),""),"")</f>
        <v/>
      </c>
      <c r="H2145">
        <f>IFERROR(IF(INDEX('CONTROLE PRODUÇÃO POR EMPRESAS'!$H$6:$J$5000,MATCH($A2145,'CONTROLE PRODUÇÃO POR EMPRESAS'!$A$6:$A$5000,0),2)="","",IFERROR(1*INDEX('CONTROLE PRODUÇÃO POR EMPRESAS'!$H$6:$J$5000,MATCH($A2145,'CONTROLE PRODUÇÃO POR EMPRESAS'!$A$6:$A$5000,0),2),"")),"")</f>
        <v/>
      </c>
      <c r="I2145">
        <f>IF(OR(NOT(ISNUMBER(G2145)),NOT(ISNUMBER(H2145))),"",H2145-G2145)</f>
        <v/>
      </c>
      <c r="J2145">
        <f>IF(OR(NOT(ISNUMBER(G2145)),NOT(ISNUMBER(H2145)),G2145=0),"",I2145/G2145)</f>
        <v/>
      </c>
      <c r="K2145">
        <f>IF(OR(NOT(ISNUMBER(G2145)),NOT(ISNUMBER(H2145)),G2145=0),"",H2145/G2145)</f>
        <v/>
      </c>
      <c r="L2145">
        <f>IF(NOT(ISNUMBER(G2145)),"SEM META",IF(G2145=0,"SEM META",IF(NOT(ISNUMBER(H2145)),"SEM APONTAMENTO",IF(H2145&gt;=G2145,"VERDE",IF(H2145&gt;=G2145*0.9,"AMARELO","VERMELHO")))))</f>
        <v/>
      </c>
    </row>
    <row r="2146">
      <c r="A2146" s="321" t="n">
        <v>46223</v>
      </c>
      <c r="B2146" t="inlineStr">
        <is>
          <t>GERAL</t>
        </is>
      </c>
      <c r="C2146" t="inlineStr">
        <is>
          <t>GLOBO AÇOS</t>
        </is>
      </c>
      <c r="D2146" t="inlineStr">
        <is>
          <t>FECHAMENTO</t>
        </is>
      </c>
      <c r="F2146">
        <f>IFERROR(INDEX('BASE METAS DIÁRIAS'!$AA$2:$AC$358,MATCH($A2146,'BASE METAS DIÁRIAS'!$A$2:$A$358,0),3),"")</f>
        <v/>
      </c>
      <c r="G2146">
        <f>IFERROR(IF(WEEKDAY($A2146,2)&lt;=INDEX('BASE METAS DIÁRIAS'!$X$2:$Z$358,MATCH($A2146,'BASE METAS DIÁRIAS'!$A$2:$A$358,0),3),INDEX('BASE METAS DIÁRIAS'!$U$2:$W$358,MATCH($A2146,'BASE METAS DIÁRIAS'!$A$2:$A$358,0),3),""),"")</f>
        <v/>
      </c>
      <c r="H2146">
        <f>IFERROR(IF(INDEX('CONTROLE PRODUÇÃO POR EMPRESAS'!$H$6:$J$5000,MATCH($A2146,'CONTROLE PRODUÇÃO POR EMPRESAS'!$A$6:$A$5000,0),3)="","",IFERROR(1*INDEX('CONTROLE PRODUÇÃO POR EMPRESAS'!$H$6:$J$5000,MATCH($A2146,'CONTROLE PRODUÇÃO POR EMPRESAS'!$A$6:$A$5000,0),3),"")),"")</f>
        <v/>
      </c>
      <c r="I2146">
        <f>IF(OR(NOT(ISNUMBER(G2146)),NOT(ISNUMBER(H2146))),"",H2146-G2146)</f>
        <v/>
      </c>
      <c r="J2146">
        <f>IF(OR(NOT(ISNUMBER(G2146)),NOT(ISNUMBER(H2146)),G2146=0),"",I2146/G2146)</f>
        <v/>
      </c>
      <c r="K2146">
        <f>IF(OR(NOT(ISNUMBER(G2146)),NOT(ISNUMBER(H2146)),G2146=0),"",H2146/G2146)</f>
        <v/>
      </c>
      <c r="L2146">
        <f>IF(NOT(ISNUMBER(G2146)),"SEM META",IF(G2146=0,"SEM META",IF(NOT(ISNUMBER(H2146)),"SEM APONTAMENTO",IF(H2146&gt;=G2146,"VERDE",IF(H2146&gt;=G2146*0.9,"AMARELO","VERMELHO")))))</f>
        <v/>
      </c>
    </row>
    <row r="2147">
      <c r="A2147" s="321" t="n">
        <v>46224</v>
      </c>
      <c r="B2147" t="inlineStr">
        <is>
          <t>GERAL</t>
        </is>
      </c>
      <c r="C2147" t="inlineStr">
        <is>
          <t>GLOBO AÇOS</t>
        </is>
      </c>
      <c r="D2147" t="inlineStr">
        <is>
          <t>PERFILAÇÃO</t>
        </is>
      </c>
      <c r="F2147">
        <f>IFERROR(INDEX('BASE METAS DIÁRIAS'!$AA$2:$AC$358,MATCH($A2147,'BASE METAS DIÁRIAS'!$A$2:$A$358,0),1),"")</f>
        <v/>
      </c>
      <c r="G2147">
        <f>IFERROR(IF(WEEKDAY($A2147,2)&lt;=INDEX('BASE METAS DIÁRIAS'!$X$2:$Z$358,MATCH($A2147,'BASE METAS DIÁRIAS'!$A$2:$A$358,0),1),INDEX('BASE METAS DIÁRIAS'!$U$2:$W$358,MATCH($A2147,'BASE METAS DIÁRIAS'!$A$2:$A$358,0),1),""),"")</f>
        <v/>
      </c>
      <c r="H2147">
        <f>IFERROR(IF(INDEX('CONTROLE PRODUÇÃO POR EMPRESAS'!$H$6:$J$5000,MATCH($A2147,'CONTROLE PRODUÇÃO POR EMPRESAS'!$A$6:$A$5000,0),1)="","",IFERROR(1*INDEX('CONTROLE PRODUÇÃO POR EMPRESAS'!$H$6:$J$5000,MATCH($A2147,'CONTROLE PRODUÇÃO POR EMPRESAS'!$A$6:$A$5000,0),1),"")),"")</f>
        <v/>
      </c>
      <c r="I2147">
        <f>IF(OR(NOT(ISNUMBER(G2147)),NOT(ISNUMBER(H2147))),"",H2147-G2147)</f>
        <v/>
      </c>
      <c r="J2147">
        <f>IF(OR(NOT(ISNUMBER(G2147)),NOT(ISNUMBER(H2147)),G2147=0),"",I2147/G2147)</f>
        <v/>
      </c>
      <c r="K2147">
        <f>IF(OR(NOT(ISNUMBER(G2147)),NOT(ISNUMBER(H2147)),G2147=0),"",H2147/G2147)</f>
        <v/>
      </c>
      <c r="L2147">
        <f>IF(NOT(ISNUMBER(G2147)),"SEM META",IF(G2147=0,"SEM META",IF(NOT(ISNUMBER(H2147)),"SEM APONTAMENTO",IF(H2147&gt;=G2147,"VERDE",IF(H2147&gt;=G2147*0.9,"AMARELO","VERMELHO")))))</f>
        <v/>
      </c>
    </row>
    <row r="2148">
      <c r="A2148" s="321" t="n">
        <v>46224</v>
      </c>
      <c r="B2148" t="inlineStr">
        <is>
          <t>GERAL</t>
        </is>
      </c>
      <c r="C2148" t="inlineStr">
        <is>
          <t>GLOBO AÇOS</t>
        </is>
      </c>
      <c r="D2148" t="inlineStr">
        <is>
          <t>TELHAR</t>
        </is>
      </c>
      <c r="F2148">
        <f>IFERROR(INDEX('BASE METAS DIÁRIAS'!$AA$2:$AC$358,MATCH($A2148,'BASE METAS DIÁRIAS'!$A$2:$A$358,0),2),"")</f>
        <v/>
      </c>
      <c r="G2148">
        <f>IFERROR(IF(WEEKDAY($A2148,2)&lt;=INDEX('BASE METAS DIÁRIAS'!$X$2:$Z$358,MATCH($A2148,'BASE METAS DIÁRIAS'!$A$2:$A$358,0),2),INDEX('BASE METAS DIÁRIAS'!$U$2:$W$358,MATCH($A2148,'BASE METAS DIÁRIAS'!$A$2:$A$358,0),2),""),"")</f>
        <v/>
      </c>
      <c r="H2148">
        <f>IFERROR(IF(INDEX('CONTROLE PRODUÇÃO POR EMPRESAS'!$H$6:$J$5000,MATCH($A2148,'CONTROLE PRODUÇÃO POR EMPRESAS'!$A$6:$A$5000,0),2)="","",IFERROR(1*INDEX('CONTROLE PRODUÇÃO POR EMPRESAS'!$H$6:$J$5000,MATCH($A2148,'CONTROLE PRODUÇÃO POR EMPRESAS'!$A$6:$A$5000,0),2),"")),"")</f>
        <v/>
      </c>
      <c r="I2148">
        <f>IF(OR(NOT(ISNUMBER(G2148)),NOT(ISNUMBER(H2148))),"",H2148-G2148)</f>
        <v/>
      </c>
      <c r="J2148">
        <f>IF(OR(NOT(ISNUMBER(G2148)),NOT(ISNUMBER(H2148)),G2148=0),"",I2148/G2148)</f>
        <v/>
      </c>
      <c r="K2148">
        <f>IF(OR(NOT(ISNUMBER(G2148)),NOT(ISNUMBER(H2148)),G2148=0),"",H2148/G2148)</f>
        <v/>
      </c>
      <c r="L2148">
        <f>IF(NOT(ISNUMBER(G2148)),"SEM META",IF(G2148=0,"SEM META",IF(NOT(ISNUMBER(H2148)),"SEM APONTAMENTO",IF(H2148&gt;=G2148,"VERDE",IF(H2148&gt;=G2148*0.9,"AMARELO","VERMELHO")))))</f>
        <v/>
      </c>
    </row>
    <row r="2149">
      <c r="A2149" s="321" t="n">
        <v>46224</v>
      </c>
      <c r="B2149" t="inlineStr">
        <is>
          <t>GERAL</t>
        </is>
      </c>
      <c r="C2149" t="inlineStr">
        <is>
          <t>GLOBO AÇOS</t>
        </is>
      </c>
      <c r="D2149" t="inlineStr">
        <is>
          <t>FECHAMENTO</t>
        </is>
      </c>
      <c r="F2149">
        <f>IFERROR(INDEX('BASE METAS DIÁRIAS'!$AA$2:$AC$358,MATCH($A2149,'BASE METAS DIÁRIAS'!$A$2:$A$358,0),3),"")</f>
        <v/>
      </c>
      <c r="G2149">
        <f>IFERROR(IF(WEEKDAY($A2149,2)&lt;=INDEX('BASE METAS DIÁRIAS'!$X$2:$Z$358,MATCH($A2149,'BASE METAS DIÁRIAS'!$A$2:$A$358,0),3),INDEX('BASE METAS DIÁRIAS'!$U$2:$W$358,MATCH($A2149,'BASE METAS DIÁRIAS'!$A$2:$A$358,0),3),""),"")</f>
        <v/>
      </c>
      <c r="H2149">
        <f>IFERROR(IF(INDEX('CONTROLE PRODUÇÃO POR EMPRESAS'!$H$6:$J$5000,MATCH($A2149,'CONTROLE PRODUÇÃO POR EMPRESAS'!$A$6:$A$5000,0),3)="","",IFERROR(1*INDEX('CONTROLE PRODUÇÃO POR EMPRESAS'!$H$6:$J$5000,MATCH($A2149,'CONTROLE PRODUÇÃO POR EMPRESAS'!$A$6:$A$5000,0),3),"")),"")</f>
        <v/>
      </c>
      <c r="I2149">
        <f>IF(OR(NOT(ISNUMBER(G2149)),NOT(ISNUMBER(H2149))),"",H2149-G2149)</f>
        <v/>
      </c>
      <c r="J2149">
        <f>IF(OR(NOT(ISNUMBER(G2149)),NOT(ISNUMBER(H2149)),G2149=0),"",I2149/G2149)</f>
        <v/>
      </c>
      <c r="K2149">
        <f>IF(OR(NOT(ISNUMBER(G2149)),NOT(ISNUMBER(H2149)),G2149=0),"",H2149/G2149)</f>
        <v/>
      </c>
      <c r="L2149">
        <f>IF(NOT(ISNUMBER(G2149)),"SEM META",IF(G2149=0,"SEM META",IF(NOT(ISNUMBER(H2149)),"SEM APONTAMENTO",IF(H2149&gt;=G2149,"VERDE",IF(H2149&gt;=G2149*0.9,"AMARELO","VERMELHO")))))</f>
        <v/>
      </c>
    </row>
    <row r="2150">
      <c r="A2150" s="321" t="n">
        <v>46225</v>
      </c>
      <c r="B2150" t="inlineStr">
        <is>
          <t>GERAL</t>
        </is>
      </c>
      <c r="C2150" t="inlineStr">
        <is>
          <t>GLOBO AÇOS</t>
        </is>
      </c>
      <c r="D2150" t="inlineStr">
        <is>
          <t>PERFILAÇÃO</t>
        </is>
      </c>
      <c r="F2150">
        <f>IFERROR(INDEX('BASE METAS DIÁRIAS'!$AA$2:$AC$358,MATCH($A2150,'BASE METAS DIÁRIAS'!$A$2:$A$358,0),1),"")</f>
        <v/>
      </c>
      <c r="G2150">
        <f>IFERROR(IF(WEEKDAY($A2150,2)&lt;=INDEX('BASE METAS DIÁRIAS'!$X$2:$Z$358,MATCH($A2150,'BASE METAS DIÁRIAS'!$A$2:$A$358,0),1),INDEX('BASE METAS DIÁRIAS'!$U$2:$W$358,MATCH($A2150,'BASE METAS DIÁRIAS'!$A$2:$A$358,0),1),""),"")</f>
        <v/>
      </c>
      <c r="H2150">
        <f>IFERROR(IF(INDEX('CONTROLE PRODUÇÃO POR EMPRESAS'!$H$6:$J$5000,MATCH($A2150,'CONTROLE PRODUÇÃO POR EMPRESAS'!$A$6:$A$5000,0),1)="","",IFERROR(1*INDEX('CONTROLE PRODUÇÃO POR EMPRESAS'!$H$6:$J$5000,MATCH($A2150,'CONTROLE PRODUÇÃO POR EMPRESAS'!$A$6:$A$5000,0),1),"")),"")</f>
        <v/>
      </c>
      <c r="I2150">
        <f>IF(OR(NOT(ISNUMBER(G2150)),NOT(ISNUMBER(H2150))),"",H2150-G2150)</f>
        <v/>
      </c>
      <c r="J2150">
        <f>IF(OR(NOT(ISNUMBER(G2150)),NOT(ISNUMBER(H2150)),G2150=0),"",I2150/G2150)</f>
        <v/>
      </c>
      <c r="K2150">
        <f>IF(OR(NOT(ISNUMBER(G2150)),NOT(ISNUMBER(H2150)),G2150=0),"",H2150/G2150)</f>
        <v/>
      </c>
      <c r="L2150">
        <f>IF(NOT(ISNUMBER(G2150)),"SEM META",IF(G2150=0,"SEM META",IF(NOT(ISNUMBER(H2150)),"SEM APONTAMENTO",IF(H2150&gt;=G2150,"VERDE",IF(H2150&gt;=G2150*0.9,"AMARELO","VERMELHO")))))</f>
        <v/>
      </c>
    </row>
    <row r="2151">
      <c r="A2151" s="321" t="n">
        <v>46225</v>
      </c>
      <c r="B2151" t="inlineStr">
        <is>
          <t>GERAL</t>
        </is>
      </c>
      <c r="C2151" t="inlineStr">
        <is>
          <t>GLOBO AÇOS</t>
        </is>
      </c>
      <c r="D2151" t="inlineStr">
        <is>
          <t>TELHAR</t>
        </is>
      </c>
      <c r="F2151">
        <f>IFERROR(INDEX('BASE METAS DIÁRIAS'!$AA$2:$AC$358,MATCH($A2151,'BASE METAS DIÁRIAS'!$A$2:$A$358,0),2),"")</f>
        <v/>
      </c>
      <c r="G2151">
        <f>IFERROR(IF(WEEKDAY($A2151,2)&lt;=INDEX('BASE METAS DIÁRIAS'!$X$2:$Z$358,MATCH($A2151,'BASE METAS DIÁRIAS'!$A$2:$A$358,0),2),INDEX('BASE METAS DIÁRIAS'!$U$2:$W$358,MATCH($A2151,'BASE METAS DIÁRIAS'!$A$2:$A$358,0),2),""),"")</f>
        <v/>
      </c>
      <c r="H2151">
        <f>IFERROR(IF(INDEX('CONTROLE PRODUÇÃO POR EMPRESAS'!$H$6:$J$5000,MATCH($A2151,'CONTROLE PRODUÇÃO POR EMPRESAS'!$A$6:$A$5000,0),2)="","",IFERROR(1*INDEX('CONTROLE PRODUÇÃO POR EMPRESAS'!$H$6:$J$5000,MATCH($A2151,'CONTROLE PRODUÇÃO POR EMPRESAS'!$A$6:$A$5000,0),2),"")),"")</f>
        <v/>
      </c>
      <c r="I2151">
        <f>IF(OR(NOT(ISNUMBER(G2151)),NOT(ISNUMBER(H2151))),"",H2151-G2151)</f>
        <v/>
      </c>
      <c r="J2151">
        <f>IF(OR(NOT(ISNUMBER(G2151)),NOT(ISNUMBER(H2151)),G2151=0),"",I2151/G2151)</f>
        <v/>
      </c>
      <c r="K2151">
        <f>IF(OR(NOT(ISNUMBER(G2151)),NOT(ISNUMBER(H2151)),G2151=0),"",H2151/G2151)</f>
        <v/>
      </c>
      <c r="L2151">
        <f>IF(NOT(ISNUMBER(G2151)),"SEM META",IF(G2151=0,"SEM META",IF(NOT(ISNUMBER(H2151)),"SEM APONTAMENTO",IF(H2151&gt;=G2151,"VERDE",IF(H2151&gt;=G2151*0.9,"AMARELO","VERMELHO")))))</f>
        <v/>
      </c>
    </row>
    <row r="2152">
      <c r="A2152" s="321" t="n">
        <v>46225</v>
      </c>
      <c r="B2152" t="inlineStr">
        <is>
          <t>GERAL</t>
        </is>
      </c>
      <c r="C2152" t="inlineStr">
        <is>
          <t>GLOBO AÇOS</t>
        </is>
      </c>
      <c r="D2152" t="inlineStr">
        <is>
          <t>FECHAMENTO</t>
        </is>
      </c>
      <c r="F2152">
        <f>IFERROR(INDEX('BASE METAS DIÁRIAS'!$AA$2:$AC$358,MATCH($A2152,'BASE METAS DIÁRIAS'!$A$2:$A$358,0),3),"")</f>
        <v/>
      </c>
      <c r="G2152">
        <f>IFERROR(IF(WEEKDAY($A2152,2)&lt;=INDEX('BASE METAS DIÁRIAS'!$X$2:$Z$358,MATCH($A2152,'BASE METAS DIÁRIAS'!$A$2:$A$358,0),3),INDEX('BASE METAS DIÁRIAS'!$U$2:$W$358,MATCH($A2152,'BASE METAS DIÁRIAS'!$A$2:$A$358,0),3),""),"")</f>
        <v/>
      </c>
      <c r="H2152">
        <f>IFERROR(IF(INDEX('CONTROLE PRODUÇÃO POR EMPRESAS'!$H$6:$J$5000,MATCH($A2152,'CONTROLE PRODUÇÃO POR EMPRESAS'!$A$6:$A$5000,0),3)="","",IFERROR(1*INDEX('CONTROLE PRODUÇÃO POR EMPRESAS'!$H$6:$J$5000,MATCH($A2152,'CONTROLE PRODUÇÃO POR EMPRESAS'!$A$6:$A$5000,0),3),"")),"")</f>
        <v/>
      </c>
      <c r="I2152">
        <f>IF(OR(NOT(ISNUMBER(G2152)),NOT(ISNUMBER(H2152))),"",H2152-G2152)</f>
        <v/>
      </c>
      <c r="J2152">
        <f>IF(OR(NOT(ISNUMBER(G2152)),NOT(ISNUMBER(H2152)),G2152=0),"",I2152/G2152)</f>
        <v/>
      </c>
      <c r="K2152">
        <f>IF(OR(NOT(ISNUMBER(G2152)),NOT(ISNUMBER(H2152)),G2152=0),"",H2152/G2152)</f>
        <v/>
      </c>
      <c r="L2152">
        <f>IF(NOT(ISNUMBER(G2152)),"SEM META",IF(G2152=0,"SEM META",IF(NOT(ISNUMBER(H2152)),"SEM APONTAMENTO",IF(H2152&gt;=G2152,"VERDE",IF(H2152&gt;=G2152*0.9,"AMARELO","VERMELHO")))))</f>
        <v/>
      </c>
    </row>
    <row r="2153">
      <c r="A2153" s="321" t="n">
        <v>46226</v>
      </c>
      <c r="B2153" t="inlineStr">
        <is>
          <t>GERAL</t>
        </is>
      </c>
      <c r="C2153" t="inlineStr">
        <is>
          <t>GLOBO AÇOS</t>
        </is>
      </c>
      <c r="D2153" t="inlineStr">
        <is>
          <t>PERFILAÇÃO</t>
        </is>
      </c>
      <c r="F2153">
        <f>IFERROR(INDEX('BASE METAS DIÁRIAS'!$AA$2:$AC$358,MATCH($A2153,'BASE METAS DIÁRIAS'!$A$2:$A$358,0),1),"")</f>
        <v/>
      </c>
      <c r="G2153">
        <f>IFERROR(IF(WEEKDAY($A2153,2)&lt;=INDEX('BASE METAS DIÁRIAS'!$X$2:$Z$358,MATCH($A2153,'BASE METAS DIÁRIAS'!$A$2:$A$358,0),1),INDEX('BASE METAS DIÁRIAS'!$U$2:$W$358,MATCH($A2153,'BASE METAS DIÁRIAS'!$A$2:$A$358,0),1),""),"")</f>
        <v/>
      </c>
      <c r="H2153">
        <f>IFERROR(IF(INDEX('CONTROLE PRODUÇÃO POR EMPRESAS'!$H$6:$J$5000,MATCH($A2153,'CONTROLE PRODUÇÃO POR EMPRESAS'!$A$6:$A$5000,0),1)="","",IFERROR(1*INDEX('CONTROLE PRODUÇÃO POR EMPRESAS'!$H$6:$J$5000,MATCH($A2153,'CONTROLE PRODUÇÃO POR EMPRESAS'!$A$6:$A$5000,0),1),"")),"")</f>
        <v/>
      </c>
      <c r="I2153">
        <f>IF(OR(NOT(ISNUMBER(G2153)),NOT(ISNUMBER(H2153))),"",H2153-G2153)</f>
        <v/>
      </c>
      <c r="J2153">
        <f>IF(OR(NOT(ISNUMBER(G2153)),NOT(ISNUMBER(H2153)),G2153=0),"",I2153/G2153)</f>
        <v/>
      </c>
      <c r="K2153">
        <f>IF(OR(NOT(ISNUMBER(G2153)),NOT(ISNUMBER(H2153)),G2153=0),"",H2153/G2153)</f>
        <v/>
      </c>
      <c r="L2153">
        <f>IF(NOT(ISNUMBER(G2153)),"SEM META",IF(G2153=0,"SEM META",IF(NOT(ISNUMBER(H2153)),"SEM APONTAMENTO",IF(H2153&gt;=G2153,"VERDE",IF(H2153&gt;=G2153*0.9,"AMARELO","VERMELHO")))))</f>
        <v/>
      </c>
    </row>
    <row r="2154">
      <c r="A2154" s="321" t="n">
        <v>46226</v>
      </c>
      <c r="B2154" t="inlineStr">
        <is>
          <t>GERAL</t>
        </is>
      </c>
      <c r="C2154" t="inlineStr">
        <is>
          <t>GLOBO AÇOS</t>
        </is>
      </c>
      <c r="D2154" t="inlineStr">
        <is>
          <t>TELHAR</t>
        </is>
      </c>
      <c r="F2154">
        <f>IFERROR(INDEX('BASE METAS DIÁRIAS'!$AA$2:$AC$358,MATCH($A2154,'BASE METAS DIÁRIAS'!$A$2:$A$358,0),2),"")</f>
        <v/>
      </c>
      <c r="G2154">
        <f>IFERROR(IF(WEEKDAY($A2154,2)&lt;=INDEX('BASE METAS DIÁRIAS'!$X$2:$Z$358,MATCH($A2154,'BASE METAS DIÁRIAS'!$A$2:$A$358,0),2),INDEX('BASE METAS DIÁRIAS'!$U$2:$W$358,MATCH($A2154,'BASE METAS DIÁRIAS'!$A$2:$A$358,0),2),""),"")</f>
        <v/>
      </c>
      <c r="H2154">
        <f>IFERROR(IF(INDEX('CONTROLE PRODUÇÃO POR EMPRESAS'!$H$6:$J$5000,MATCH($A2154,'CONTROLE PRODUÇÃO POR EMPRESAS'!$A$6:$A$5000,0),2)="","",IFERROR(1*INDEX('CONTROLE PRODUÇÃO POR EMPRESAS'!$H$6:$J$5000,MATCH($A2154,'CONTROLE PRODUÇÃO POR EMPRESAS'!$A$6:$A$5000,0),2),"")),"")</f>
        <v/>
      </c>
      <c r="I2154">
        <f>IF(OR(NOT(ISNUMBER(G2154)),NOT(ISNUMBER(H2154))),"",H2154-G2154)</f>
        <v/>
      </c>
      <c r="J2154">
        <f>IF(OR(NOT(ISNUMBER(G2154)),NOT(ISNUMBER(H2154)),G2154=0),"",I2154/G2154)</f>
        <v/>
      </c>
      <c r="K2154">
        <f>IF(OR(NOT(ISNUMBER(G2154)),NOT(ISNUMBER(H2154)),G2154=0),"",H2154/G2154)</f>
        <v/>
      </c>
      <c r="L2154">
        <f>IF(NOT(ISNUMBER(G2154)),"SEM META",IF(G2154=0,"SEM META",IF(NOT(ISNUMBER(H2154)),"SEM APONTAMENTO",IF(H2154&gt;=G2154,"VERDE",IF(H2154&gt;=G2154*0.9,"AMARELO","VERMELHO")))))</f>
        <v/>
      </c>
    </row>
    <row r="2155">
      <c r="A2155" s="321" t="n">
        <v>46226</v>
      </c>
      <c r="B2155" t="inlineStr">
        <is>
          <t>GERAL</t>
        </is>
      </c>
      <c r="C2155" t="inlineStr">
        <is>
          <t>GLOBO AÇOS</t>
        </is>
      </c>
      <c r="D2155" t="inlineStr">
        <is>
          <t>FECHAMENTO</t>
        </is>
      </c>
      <c r="F2155">
        <f>IFERROR(INDEX('BASE METAS DIÁRIAS'!$AA$2:$AC$358,MATCH($A2155,'BASE METAS DIÁRIAS'!$A$2:$A$358,0),3),"")</f>
        <v/>
      </c>
      <c r="G2155">
        <f>IFERROR(IF(WEEKDAY($A2155,2)&lt;=INDEX('BASE METAS DIÁRIAS'!$X$2:$Z$358,MATCH($A2155,'BASE METAS DIÁRIAS'!$A$2:$A$358,0),3),INDEX('BASE METAS DIÁRIAS'!$U$2:$W$358,MATCH($A2155,'BASE METAS DIÁRIAS'!$A$2:$A$358,0),3),""),"")</f>
        <v/>
      </c>
      <c r="H2155">
        <f>IFERROR(IF(INDEX('CONTROLE PRODUÇÃO POR EMPRESAS'!$H$6:$J$5000,MATCH($A2155,'CONTROLE PRODUÇÃO POR EMPRESAS'!$A$6:$A$5000,0),3)="","",IFERROR(1*INDEX('CONTROLE PRODUÇÃO POR EMPRESAS'!$H$6:$J$5000,MATCH($A2155,'CONTROLE PRODUÇÃO POR EMPRESAS'!$A$6:$A$5000,0),3),"")),"")</f>
        <v/>
      </c>
      <c r="I2155">
        <f>IF(OR(NOT(ISNUMBER(G2155)),NOT(ISNUMBER(H2155))),"",H2155-G2155)</f>
        <v/>
      </c>
      <c r="J2155">
        <f>IF(OR(NOT(ISNUMBER(G2155)),NOT(ISNUMBER(H2155)),G2155=0),"",I2155/G2155)</f>
        <v/>
      </c>
      <c r="K2155">
        <f>IF(OR(NOT(ISNUMBER(G2155)),NOT(ISNUMBER(H2155)),G2155=0),"",H2155/G2155)</f>
        <v/>
      </c>
      <c r="L2155">
        <f>IF(NOT(ISNUMBER(G2155)),"SEM META",IF(G2155=0,"SEM META",IF(NOT(ISNUMBER(H2155)),"SEM APONTAMENTO",IF(H2155&gt;=G2155,"VERDE",IF(H2155&gt;=G2155*0.9,"AMARELO","VERMELHO")))))</f>
        <v/>
      </c>
    </row>
    <row r="2156">
      <c r="A2156" s="321" t="n">
        <v>46227</v>
      </c>
      <c r="B2156" t="inlineStr">
        <is>
          <t>GERAL</t>
        </is>
      </c>
      <c r="C2156" t="inlineStr">
        <is>
          <t>GLOBO AÇOS</t>
        </is>
      </c>
      <c r="D2156" t="inlineStr">
        <is>
          <t>PERFILAÇÃO</t>
        </is>
      </c>
      <c r="F2156">
        <f>IFERROR(INDEX('BASE METAS DIÁRIAS'!$AA$2:$AC$358,MATCH($A2156,'BASE METAS DIÁRIAS'!$A$2:$A$358,0),1),"")</f>
        <v/>
      </c>
      <c r="G2156">
        <f>IFERROR(IF(WEEKDAY($A2156,2)&lt;=INDEX('BASE METAS DIÁRIAS'!$X$2:$Z$358,MATCH($A2156,'BASE METAS DIÁRIAS'!$A$2:$A$358,0),1),INDEX('BASE METAS DIÁRIAS'!$U$2:$W$358,MATCH($A2156,'BASE METAS DIÁRIAS'!$A$2:$A$358,0),1),""),"")</f>
        <v/>
      </c>
      <c r="H2156">
        <f>IFERROR(IF(INDEX('CONTROLE PRODUÇÃO POR EMPRESAS'!$H$6:$J$5000,MATCH($A2156,'CONTROLE PRODUÇÃO POR EMPRESAS'!$A$6:$A$5000,0),1)="","",IFERROR(1*INDEX('CONTROLE PRODUÇÃO POR EMPRESAS'!$H$6:$J$5000,MATCH($A2156,'CONTROLE PRODUÇÃO POR EMPRESAS'!$A$6:$A$5000,0),1),"")),"")</f>
        <v/>
      </c>
      <c r="I2156">
        <f>IF(OR(NOT(ISNUMBER(G2156)),NOT(ISNUMBER(H2156))),"",H2156-G2156)</f>
        <v/>
      </c>
      <c r="J2156">
        <f>IF(OR(NOT(ISNUMBER(G2156)),NOT(ISNUMBER(H2156)),G2156=0),"",I2156/G2156)</f>
        <v/>
      </c>
      <c r="K2156">
        <f>IF(OR(NOT(ISNUMBER(G2156)),NOT(ISNUMBER(H2156)),G2156=0),"",H2156/G2156)</f>
        <v/>
      </c>
      <c r="L2156">
        <f>IF(NOT(ISNUMBER(G2156)),"SEM META",IF(G2156=0,"SEM META",IF(NOT(ISNUMBER(H2156)),"SEM APONTAMENTO",IF(H2156&gt;=G2156,"VERDE",IF(H2156&gt;=G2156*0.9,"AMARELO","VERMELHO")))))</f>
        <v/>
      </c>
    </row>
    <row r="2157">
      <c r="A2157" s="321" t="n">
        <v>46227</v>
      </c>
      <c r="B2157" t="inlineStr">
        <is>
          <t>GERAL</t>
        </is>
      </c>
      <c r="C2157" t="inlineStr">
        <is>
          <t>GLOBO AÇOS</t>
        </is>
      </c>
      <c r="D2157" t="inlineStr">
        <is>
          <t>TELHAR</t>
        </is>
      </c>
      <c r="F2157">
        <f>IFERROR(INDEX('BASE METAS DIÁRIAS'!$AA$2:$AC$358,MATCH($A2157,'BASE METAS DIÁRIAS'!$A$2:$A$358,0),2),"")</f>
        <v/>
      </c>
      <c r="G2157">
        <f>IFERROR(IF(WEEKDAY($A2157,2)&lt;=INDEX('BASE METAS DIÁRIAS'!$X$2:$Z$358,MATCH($A2157,'BASE METAS DIÁRIAS'!$A$2:$A$358,0),2),INDEX('BASE METAS DIÁRIAS'!$U$2:$W$358,MATCH($A2157,'BASE METAS DIÁRIAS'!$A$2:$A$358,0),2),""),"")</f>
        <v/>
      </c>
      <c r="H2157">
        <f>IFERROR(IF(INDEX('CONTROLE PRODUÇÃO POR EMPRESAS'!$H$6:$J$5000,MATCH($A2157,'CONTROLE PRODUÇÃO POR EMPRESAS'!$A$6:$A$5000,0),2)="","",IFERROR(1*INDEX('CONTROLE PRODUÇÃO POR EMPRESAS'!$H$6:$J$5000,MATCH($A2157,'CONTROLE PRODUÇÃO POR EMPRESAS'!$A$6:$A$5000,0),2),"")),"")</f>
        <v/>
      </c>
      <c r="I2157">
        <f>IF(OR(NOT(ISNUMBER(G2157)),NOT(ISNUMBER(H2157))),"",H2157-G2157)</f>
        <v/>
      </c>
      <c r="J2157">
        <f>IF(OR(NOT(ISNUMBER(G2157)),NOT(ISNUMBER(H2157)),G2157=0),"",I2157/G2157)</f>
        <v/>
      </c>
      <c r="K2157">
        <f>IF(OR(NOT(ISNUMBER(G2157)),NOT(ISNUMBER(H2157)),G2157=0),"",H2157/G2157)</f>
        <v/>
      </c>
      <c r="L2157">
        <f>IF(NOT(ISNUMBER(G2157)),"SEM META",IF(G2157=0,"SEM META",IF(NOT(ISNUMBER(H2157)),"SEM APONTAMENTO",IF(H2157&gt;=G2157,"VERDE",IF(H2157&gt;=G2157*0.9,"AMARELO","VERMELHO")))))</f>
        <v/>
      </c>
    </row>
    <row r="2158">
      <c r="A2158" s="321" t="n">
        <v>46227</v>
      </c>
      <c r="B2158" t="inlineStr">
        <is>
          <t>GERAL</t>
        </is>
      </c>
      <c r="C2158" t="inlineStr">
        <is>
          <t>GLOBO AÇOS</t>
        </is>
      </c>
      <c r="D2158" t="inlineStr">
        <is>
          <t>FECHAMENTO</t>
        </is>
      </c>
      <c r="F2158">
        <f>IFERROR(INDEX('BASE METAS DIÁRIAS'!$AA$2:$AC$358,MATCH($A2158,'BASE METAS DIÁRIAS'!$A$2:$A$358,0),3),"")</f>
        <v/>
      </c>
      <c r="G2158">
        <f>IFERROR(IF(WEEKDAY($A2158,2)&lt;=INDEX('BASE METAS DIÁRIAS'!$X$2:$Z$358,MATCH($A2158,'BASE METAS DIÁRIAS'!$A$2:$A$358,0),3),INDEX('BASE METAS DIÁRIAS'!$U$2:$W$358,MATCH($A2158,'BASE METAS DIÁRIAS'!$A$2:$A$358,0),3),""),"")</f>
        <v/>
      </c>
      <c r="H2158">
        <f>IFERROR(IF(INDEX('CONTROLE PRODUÇÃO POR EMPRESAS'!$H$6:$J$5000,MATCH($A2158,'CONTROLE PRODUÇÃO POR EMPRESAS'!$A$6:$A$5000,0),3)="","",IFERROR(1*INDEX('CONTROLE PRODUÇÃO POR EMPRESAS'!$H$6:$J$5000,MATCH($A2158,'CONTROLE PRODUÇÃO POR EMPRESAS'!$A$6:$A$5000,0),3),"")),"")</f>
        <v/>
      </c>
      <c r="I2158">
        <f>IF(OR(NOT(ISNUMBER(G2158)),NOT(ISNUMBER(H2158))),"",H2158-G2158)</f>
        <v/>
      </c>
      <c r="J2158">
        <f>IF(OR(NOT(ISNUMBER(G2158)),NOT(ISNUMBER(H2158)),G2158=0),"",I2158/G2158)</f>
        <v/>
      </c>
      <c r="K2158">
        <f>IF(OR(NOT(ISNUMBER(G2158)),NOT(ISNUMBER(H2158)),G2158=0),"",H2158/G2158)</f>
        <v/>
      </c>
      <c r="L2158">
        <f>IF(NOT(ISNUMBER(G2158)),"SEM META",IF(G2158=0,"SEM META",IF(NOT(ISNUMBER(H2158)),"SEM APONTAMENTO",IF(H2158&gt;=G2158,"VERDE",IF(H2158&gt;=G2158*0.9,"AMARELO","VERMELHO")))))</f>
        <v/>
      </c>
    </row>
    <row r="2159">
      <c r="A2159" s="321" t="n">
        <v>46228</v>
      </c>
      <c r="B2159" t="inlineStr">
        <is>
          <t>GERAL</t>
        </is>
      </c>
      <c r="C2159" t="inlineStr">
        <is>
          <t>GLOBO AÇOS</t>
        </is>
      </c>
      <c r="D2159" t="inlineStr">
        <is>
          <t>PERFILAÇÃO</t>
        </is>
      </c>
      <c r="F2159">
        <f>IFERROR(INDEX('BASE METAS DIÁRIAS'!$AA$2:$AC$358,MATCH($A2159,'BASE METAS DIÁRIAS'!$A$2:$A$358,0),1),"")</f>
        <v/>
      </c>
      <c r="G2159">
        <f>IFERROR(IF(WEEKDAY($A2159,2)&lt;=INDEX('BASE METAS DIÁRIAS'!$X$2:$Z$358,MATCH($A2159,'BASE METAS DIÁRIAS'!$A$2:$A$358,0),1),INDEX('BASE METAS DIÁRIAS'!$U$2:$W$358,MATCH($A2159,'BASE METAS DIÁRIAS'!$A$2:$A$358,0),1),""),"")</f>
        <v/>
      </c>
      <c r="H2159">
        <f>IFERROR(IF(INDEX('CONTROLE PRODUÇÃO POR EMPRESAS'!$H$6:$J$5000,MATCH($A2159,'CONTROLE PRODUÇÃO POR EMPRESAS'!$A$6:$A$5000,0),1)="","",IFERROR(1*INDEX('CONTROLE PRODUÇÃO POR EMPRESAS'!$H$6:$J$5000,MATCH($A2159,'CONTROLE PRODUÇÃO POR EMPRESAS'!$A$6:$A$5000,0),1),"")),"")</f>
        <v/>
      </c>
      <c r="I2159">
        <f>IF(OR(NOT(ISNUMBER(G2159)),NOT(ISNUMBER(H2159))),"",H2159-G2159)</f>
        <v/>
      </c>
      <c r="J2159">
        <f>IF(OR(NOT(ISNUMBER(G2159)),NOT(ISNUMBER(H2159)),G2159=0),"",I2159/G2159)</f>
        <v/>
      </c>
      <c r="K2159">
        <f>IF(OR(NOT(ISNUMBER(G2159)),NOT(ISNUMBER(H2159)),G2159=0),"",H2159/G2159)</f>
        <v/>
      </c>
      <c r="L2159">
        <f>IF(NOT(ISNUMBER(G2159)),"SEM META",IF(G2159=0,"SEM META",IF(NOT(ISNUMBER(H2159)),"SEM APONTAMENTO",IF(H2159&gt;=G2159,"VERDE",IF(H2159&gt;=G2159*0.9,"AMARELO","VERMELHO")))))</f>
        <v/>
      </c>
    </row>
    <row r="2160">
      <c r="A2160" s="321" t="n">
        <v>46228</v>
      </c>
      <c r="B2160" t="inlineStr">
        <is>
          <t>GERAL</t>
        </is>
      </c>
      <c r="C2160" t="inlineStr">
        <is>
          <t>GLOBO AÇOS</t>
        </is>
      </c>
      <c r="D2160" t="inlineStr">
        <is>
          <t>TELHAR</t>
        </is>
      </c>
      <c r="F2160">
        <f>IFERROR(INDEX('BASE METAS DIÁRIAS'!$AA$2:$AC$358,MATCH($A2160,'BASE METAS DIÁRIAS'!$A$2:$A$358,0),2),"")</f>
        <v/>
      </c>
      <c r="G2160">
        <f>IFERROR(IF(WEEKDAY($A2160,2)&lt;=INDEX('BASE METAS DIÁRIAS'!$X$2:$Z$358,MATCH($A2160,'BASE METAS DIÁRIAS'!$A$2:$A$358,0),2),INDEX('BASE METAS DIÁRIAS'!$U$2:$W$358,MATCH($A2160,'BASE METAS DIÁRIAS'!$A$2:$A$358,0),2),""),"")</f>
        <v/>
      </c>
      <c r="H2160">
        <f>IFERROR(IF(INDEX('CONTROLE PRODUÇÃO POR EMPRESAS'!$H$6:$J$5000,MATCH($A2160,'CONTROLE PRODUÇÃO POR EMPRESAS'!$A$6:$A$5000,0),2)="","",IFERROR(1*INDEX('CONTROLE PRODUÇÃO POR EMPRESAS'!$H$6:$J$5000,MATCH($A2160,'CONTROLE PRODUÇÃO POR EMPRESAS'!$A$6:$A$5000,0),2),"")),"")</f>
        <v/>
      </c>
      <c r="I2160">
        <f>IF(OR(NOT(ISNUMBER(G2160)),NOT(ISNUMBER(H2160))),"",H2160-G2160)</f>
        <v/>
      </c>
      <c r="J2160">
        <f>IF(OR(NOT(ISNUMBER(G2160)),NOT(ISNUMBER(H2160)),G2160=0),"",I2160/G2160)</f>
        <v/>
      </c>
      <c r="K2160">
        <f>IF(OR(NOT(ISNUMBER(G2160)),NOT(ISNUMBER(H2160)),G2160=0),"",H2160/G2160)</f>
        <v/>
      </c>
      <c r="L2160">
        <f>IF(NOT(ISNUMBER(G2160)),"SEM META",IF(G2160=0,"SEM META",IF(NOT(ISNUMBER(H2160)),"SEM APONTAMENTO",IF(H2160&gt;=G2160,"VERDE",IF(H2160&gt;=G2160*0.9,"AMARELO","VERMELHO")))))</f>
        <v/>
      </c>
    </row>
    <row r="2161">
      <c r="A2161" s="321" t="n">
        <v>46228</v>
      </c>
      <c r="B2161" t="inlineStr">
        <is>
          <t>GERAL</t>
        </is>
      </c>
      <c r="C2161" t="inlineStr">
        <is>
          <t>GLOBO AÇOS</t>
        </is>
      </c>
      <c r="D2161" t="inlineStr">
        <is>
          <t>FECHAMENTO</t>
        </is>
      </c>
      <c r="F2161">
        <f>IFERROR(INDEX('BASE METAS DIÁRIAS'!$AA$2:$AC$358,MATCH($A2161,'BASE METAS DIÁRIAS'!$A$2:$A$358,0),3),"")</f>
        <v/>
      </c>
      <c r="G2161">
        <f>IFERROR(IF(WEEKDAY($A2161,2)&lt;=INDEX('BASE METAS DIÁRIAS'!$X$2:$Z$358,MATCH($A2161,'BASE METAS DIÁRIAS'!$A$2:$A$358,0),3),INDEX('BASE METAS DIÁRIAS'!$U$2:$W$358,MATCH($A2161,'BASE METAS DIÁRIAS'!$A$2:$A$358,0),3),""),"")</f>
        <v/>
      </c>
      <c r="H2161">
        <f>IFERROR(IF(INDEX('CONTROLE PRODUÇÃO POR EMPRESAS'!$H$6:$J$5000,MATCH($A2161,'CONTROLE PRODUÇÃO POR EMPRESAS'!$A$6:$A$5000,0),3)="","",IFERROR(1*INDEX('CONTROLE PRODUÇÃO POR EMPRESAS'!$H$6:$J$5000,MATCH($A2161,'CONTROLE PRODUÇÃO POR EMPRESAS'!$A$6:$A$5000,0),3),"")),"")</f>
        <v/>
      </c>
      <c r="I2161">
        <f>IF(OR(NOT(ISNUMBER(G2161)),NOT(ISNUMBER(H2161))),"",H2161-G2161)</f>
        <v/>
      </c>
      <c r="J2161">
        <f>IF(OR(NOT(ISNUMBER(G2161)),NOT(ISNUMBER(H2161)),G2161=0),"",I2161/G2161)</f>
        <v/>
      </c>
      <c r="K2161">
        <f>IF(OR(NOT(ISNUMBER(G2161)),NOT(ISNUMBER(H2161)),G2161=0),"",H2161/G2161)</f>
        <v/>
      </c>
      <c r="L2161">
        <f>IF(NOT(ISNUMBER(G2161)),"SEM META",IF(G2161=0,"SEM META",IF(NOT(ISNUMBER(H2161)),"SEM APONTAMENTO",IF(H2161&gt;=G2161,"VERDE",IF(H2161&gt;=G2161*0.9,"AMARELO","VERMELHO")))))</f>
        <v/>
      </c>
    </row>
    <row r="2162">
      <c r="A2162" s="321" t="n">
        <v>46229</v>
      </c>
      <c r="B2162" t="inlineStr">
        <is>
          <t>GERAL</t>
        </is>
      </c>
      <c r="C2162" t="inlineStr">
        <is>
          <t>GLOBO AÇOS</t>
        </is>
      </c>
      <c r="D2162" t="inlineStr">
        <is>
          <t>PERFILAÇÃO</t>
        </is>
      </c>
      <c r="F2162">
        <f>IFERROR(INDEX('BASE METAS DIÁRIAS'!$AA$2:$AC$358,MATCH($A2162,'BASE METAS DIÁRIAS'!$A$2:$A$358,0),1),"")</f>
        <v/>
      </c>
      <c r="G2162">
        <f>IFERROR(IF(WEEKDAY($A2162,2)&lt;=INDEX('BASE METAS DIÁRIAS'!$X$2:$Z$358,MATCH($A2162,'BASE METAS DIÁRIAS'!$A$2:$A$358,0),1),INDEX('BASE METAS DIÁRIAS'!$U$2:$W$358,MATCH($A2162,'BASE METAS DIÁRIAS'!$A$2:$A$358,0),1),""),"")</f>
        <v/>
      </c>
      <c r="H2162">
        <f>IFERROR(IF(INDEX('CONTROLE PRODUÇÃO POR EMPRESAS'!$H$6:$J$5000,MATCH($A2162,'CONTROLE PRODUÇÃO POR EMPRESAS'!$A$6:$A$5000,0),1)="","",IFERROR(1*INDEX('CONTROLE PRODUÇÃO POR EMPRESAS'!$H$6:$J$5000,MATCH($A2162,'CONTROLE PRODUÇÃO POR EMPRESAS'!$A$6:$A$5000,0),1),"")),"")</f>
        <v/>
      </c>
      <c r="I2162">
        <f>IF(OR(NOT(ISNUMBER(G2162)),NOT(ISNUMBER(H2162))),"",H2162-G2162)</f>
        <v/>
      </c>
      <c r="J2162">
        <f>IF(OR(NOT(ISNUMBER(G2162)),NOT(ISNUMBER(H2162)),G2162=0),"",I2162/G2162)</f>
        <v/>
      </c>
      <c r="K2162">
        <f>IF(OR(NOT(ISNUMBER(G2162)),NOT(ISNUMBER(H2162)),G2162=0),"",H2162/G2162)</f>
        <v/>
      </c>
      <c r="L2162">
        <f>IF(NOT(ISNUMBER(G2162)),"SEM META",IF(G2162=0,"SEM META",IF(NOT(ISNUMBER(H2162)),"SEM APONTAMENTO",IF(H2162&gt;=G2162,"VERDE",IF(H2162&gt;=G2162*0.9,"AMARELO","VERMELHO")))))</f>
        <v/>
      </c>
    </row>
    <row r="2163">
      <c r="A2163" s="321" t="n">
        <v>46229</v>
      </c>
      <c r="B2163" t="inlineStr">
        <is>
          <t>GERAL</t>
        </is>
      </c>
      <c r="C2163" t="inlineStr">
        <is>
          <t>GLOBO AÇOS</t>
        </is>
      </c>
      <c r="D2163" t="inlineStr">
        <is>
          <t>TELHAR</t>
        </is>
      </c>
      <c r="F2163">
        <f>IFERROR(INDEX('BASE METAS DIÁRIAS'!$AA$2:$AC$358,MATCH($A2163,'BASE METAS DIÁRIAS'!$A$2:$A$358,0),2),"")</f>
        <v/>
      </c>
      <c r="G2163">
        <f>IFERROR(IF(WEEKDAY($A2163,2)&lt;=INDEX('BASE METAS DIÁRIAS'!$X$2:$Z$358,MATCH($A2163,'BASE METAS DIÁRIAS'!$A$2:$A$358,0),2),INDEX('BASE METAS DIÁRIAS'!$U$2:$W$358,MATCH($A2163,'BASE METAS DIÁRIAS'!$A$2:$A$358,0),2),""),"")</f>
        <v/>
      </c>
      <c r="H2163">
        <f>IFERROR(IF(INDEX('CONTROLE PRODUÇÃO POR EMPRESAS'!$H$6:$J$5000,MATCH($A2163,'CONTROLE PRODUÇÃO POR EMPRESAS'!$A$6:$A$5000,0),2)="","",IFERROR(1*INDEX('CONTROLE PRODUÇÃO POR EMPRESAS'!$H$6:$J$5000,MATCH($A2163,'CONTROLE PRODUÇÃO POR EMPRESAS'!$A$6:$A$5000,0),2),"")),"")</f>
        <v/>
      </c>
      <c r="I2163">
        <f>IF(OR(NOT(ISNUMBER(G2163)),NOT(ISNUMBER(H2163))),"",H2163-G2163)</f>
        <v/>
      </c>
      <c r="J2163">
        <f>IF(OR(NOT(ISNUMBER(G2163)),NOT(ISNUMBER(H2163)),G2163=0),"",I2163/G2163)</f>
        <v/>
      </c>
      <c r="K2163">
        <f>IF(OR(NOT(ISNUMBER(G2163)),NOT(ISNUMBER(H2163)),G2163=0),"",H2163/G2163)</f>
        <v/>
      </c>
      <c r="L2163">
        <f>IF(NOT(ISNUMBER(G2163)),"SEM META",IF(G2163=0,"SEM META",IF(NOT(ISNUMBER(H2163)),"SEM APONTAMENTO",IF(H2163&gt;=G2163,"VERDE",IF(H2163&gt;=G2163*0.9,"AMARELO","VERMELHO")))))</f>
        <v/>
      </c>
    </row>
    <row r="2164">
      <c r="A2164" s="321" t="n">
        <v>46229</v>
      </c>
      <c r="B2164" t="inlineStr">
        <is>
          <t>GERAL</t>
        </is>
      </c>
      <c r="C2164" t="inlineStr">
        <is>
          <t>GLOBO AÇOS</t>
        </is>
      </c>
      <c r="D2164" t="inlineStr">
        <is>
          <t>FECHAMENTO</t>
        </is>
      </c>
      <c r="F2164">
        <f>IFERROR(INDEX('BASE METAS DIÁRIAS'!$AA$2:$AC$358,MATCH($A2164,'BASE METAS DIÁRIAS'!$A$2:$A$358,0),3),"")</f>
        <v/>
      </c>
      <c r="G2164">
        <f>IFERROR(IF(WEEKDAY($A2164,2)&lt;=INDEX('BASE METAS DIÁRIAS'!$X$2:$Z$358,MATCH($A2164,'BASE METAS DIÁRIAS'!$A$2:$A$358,0),3),INDEX('BASE METAS DIÁRIAS'!$U$2:$W$358,MATCH($A2164,'BASE METAS DIÁRIAS'!$A$2:$A$358,0),3),""),"")</f>
        <v/>
      </c>
      <c r="H2164">
        <f>IFERROR(IF(INDEX('CONTROLE PRODUÇÃO POR EMPRESAS'!$H$6:$J$5000,MATCH($A2164,'CONTROLE PRODUÇÃO POR EMPRESAS'!$A$6:$A$5000,0),3)="","",IFERROR(1*INDEX('CONTROLE PRODUÇÃO POR EMPRESAS'!$H$6:$J$5000,MATCH($A2164,'CONTROLE PRODUÇÃO POR EMPRESAS'!$A$6:$A$5000,0),3),"")),"")</f>
        <v/>
      </c>
      <c r="I2164">
        <f>IF(OR(NOT(ISNUMBER(G2164)),NOT(ISNUMBER(H2164))),"",H2164-G2164)</f>
        <v/>
      </c>
      <c r="J2164">
        <f>IF(OR(NOT(ISNUMBER(G2164)),NOT(ISNUMBER(H2164)),G2164=0),"",I2164/G2164)</f>
        <v/>
      </c>
      <c r="K2164">
        <f>IF(OR(NOT(ISNUMBER(G2164)),NOT(ISNUMBER(H2164)),G2164=0),"",H2164/G2164)</f>
        <v/>
      </c>
      <c r="L2164">
        <f>IF(NOT(ISNUMBER(G2164)),"SEM META",IF(G2164=0,"SEM META",IF(NOT(ISNUMBER(H2164)),"SEM APONTAMENTO",IF(H2164&gt;=G2164,"VERDE",IF(H2164&gt;=G2164*0.9,"AMARELO","VERMELHO")))))</f>
        <v/>
      </c>
    </row>
    <row r="2165">
      <c r="A2165" s="321" t="n">
        <v>46230</v>
      </c>
      <c r="B2165" t="inlineStr">
        <is>
          <t>GERAL</t>
        </is>
      </c>
      <c r="C2165" t="inlineStr">
        <is>
          <t>GLOBO AÇOS</t>
        </is>
      </c>
      <c r="D2165" t="inlineStr">
        <is>
          <t>PERFILAÇÃO</t>
        </is>
      </c>
      <c r="F2165">
        <f>IFERROR(INDEX('BASE METAS DIÁRIAS'!$AA$2:$AC$358,MATCH($A2165,'BASE METAS DIÁRIAS'!$A$2:$A$358,0),1),"")</f>
        <v/>
      </c>
      <c r="G2165">
        <f>IFERROR(IF(WEEKDAY($A2165,2)&lt;=INDEX('BASE METAS DIÁRIAS'!$X$2:$Z$358,MATCH($A2165,'BASE METAS DIÁRIAS'!$A$2:$A$358,0),1),INDEX('BASE METAS DIÁRIAS'!$U$2:$W$358,MATCH($A2165,'BASE METAS DIÁRIAS'!$A$2:$A$358,0),1),""),"")</f>
        <v/>
      </c>
      <c r="H2165">
        <f>IFERROR(IF(INDEX('CONTROLE PRODUÇÃO POR EMPRESAS'!$H$6:$J$5000,MATCH($A2165,'CONTROLE PRODUÇÃO POR EMPRESAS'!$A$6:$A$5000,0),1)="","",IFERROR(1*INDEX('CONTROLE PRODUÇÃO POR EMPRESAS'!$H$6:$J$5000,MATCH($A2165,'CONTROLE PRODUÇÃO POR EMPRESAS'!$A$6:$A$5000,0),1),"")),"")</f>
        <v/>
      </c>
      <c r="I2165">
        <f>IF(OR(NOT(ISNUMBER(G2165)),NOT(ISNUMBER(H2165))),"",H2165-G2165)</f>
        <v/>
      </c>
      <c r="J2165">
        <f>IF(OR(NOT(ISNUMBER(G2165)),NOT(ISNUMBER(H2165)),G2165=0),"",I2165/G2165)</f>
        <v/>
      </c>
      <c r="K2165">
        <f>IF(OR(NOT(ISNUMBER(G2165)),NOT(ISNUMBER(H2165)),G2165=0),"",H2165/G2165)</f>
        <v/>
      </c>
      <c r="L2165">
        <f>IF(NOT(ISNUMBER(G2165)),"SEM META",IF(G2165=0,"SEM META",IF(NOT(ISNUMBER(H2165)),"SEM APONTAMENTO",IF(H2165&gt;=G2165,"VERDE",IF(H2165&gt;=G2165*0.9,"AMARELO","VERMELHO")))))</f>
        <v/>
      </c>
    </row>
    <row r="2166">
      <c r="A2166" s="321" t="n">
        <v>46230</v>
      </c>
      <c r="B2166" t="inlineStr">
        <is>
          <t>GERAL</t>
        </is>
      </c>
      <c r="C2166" t="inlineStr">
        <is>
          <t>GLOBO AÇOS</t>
        </is>
      </c>
      <c r="D2166" t="inlineStr">
        <is>
          <t>TELHAR</t>
        </is>
      </c>
      <c r="F2166">
        <f>IFERROR(INDEX('BASE METAS DIÁRIAS'!$AA$2:$AC$358,MATCH($A2166,'BASE METAS DIÁRIAS'!$A$2:$A$358,0),2),"")</f>
        <v/>
      </c>
      <c r="G2166">
        <f>IFERROR(IF(WEEKDAY($A2166,2)&lt;=INDEX('BASE METAS DIÁRIAS'!$X$2:$Z$358,MATCH($A2166,'BASE METAS DIÁRIAS'!$A$2:$A$358,0),2),INDEX('BASE METAS DIÁRIAS'!$U$2:$W$358,MATCH($A2166,'BASE METAS DIÁRIAS'!$A$2:$A$358,0),2),""),"")</f>
        <v/>
      </c>
      <c r="H2166">
        <f>IFERROR(IF(INDEX('CONTROLE PRODUÇÃO POR EMPRESAS'!$H$6:$J$5000,MATCH($A2166,'CONTROLE PRODUÇÃO POR EMPRESAS'!$A$6:$A$5000,0),2)="","",IFERROR(1*INDEX('CONTROLE PRODUÇÃO POR EMPRESAS'!$H$6:$J$5000,MATCH($A2166,'CONTROLE PRODUÇÃO POR EMPRESAS'!$A$6:$A$5000,0),2),"")),"")</f>
        <v/>
      </c>
      <c r="I2166">
        <f>IF(OR(NOT(ISNUMBER(G2166)),NOT(ISNUMBER(H2166))),"",H2166-G2166)</f>
        <v/>
      </c>
      <c r="J2166">
        <f>IF(OR(NOT(ISNUMBER(G2166)),NOT(ISNUMBER(H2166)),G2166=0),"",I2166/G2166)</f>
        <v/>
      </c>
      <c r="K2166">
        <f>IF(OR(NOT(ISNUMBER(G2166)),NOT(ISNUMBER(H2166)),G2166=0),"",H2166/G2166)</f>
        <v/>
      </c>
      <c r="L2166">
        <f>IF(NOT(ISNUMBER(G2166)),"SEM META",IF(G2166=0,"SEM META",IF(NOT(ISNUMBER(H2166)),"SEM APONTAMENTO",IF(H2166&gt;=G2166,"VERDE",IF(H2166&gt;=G2166*0.9,"AMARELO","VERMELHO")))))</f>
        <v/>
      </c>
    </row>
    <row r="2167">
      <c r="A2167" s="321" t="n">
        <v>46230</v>
      </c>
      <c r="B2167" t="inlineStr">
        <is>
          <t>GERAL</t>
        </is>
      </c>
      <c r="C2167" t="inlineStr">
        <is>
          <t>GLOBO AÇOS</t>
        </is>
      </c>
      <c r="D2167" t="inlineStr">
        <is>
          <t>FECHAMENTO</t>
        </is>
      </c>
      <c r="F2167">
        <f>IFERROR(INDEX('BASE METAS DIÁRIAS'!$AA$2:$AC$358,MATCH($A2167,'BASE METAS DIÁRIAS'!$A$2:$A$358,0),3),"")</f>
        <v/>
      </c>
      <c r="G2167">
        <f>IFERROR(IF(WEEKDAY($A2167,2)&lt;=INDEX('BASE METAS DIÁRIAS'!$X$2:$Z$358,MATCH($A2167,'BASE METAS DIÁRIAS'!$A$2:$A$358,0),3),INDEX('BASE METAS DIÁRIAS'!$U$2:$W$358,MATCH($A2167,'BASE METAS DIÁRIAS'!$A$2:$A$358,0),3),""),"")</f>
        <v/>
      </c>
      <c r="H2167">
        <f>IFERROR(IF(INDEX('CONTROLE PRODUÇÃO POR EMPRESAS'!$H$6:$J$5000,MATCH($A2167,'CONTROLE PRODUÇÃO POR EMPRESAS'!$A$6:$A$5000,0),3)="","",IFERROR(1*INDEX('CONTROLE PRODUÇÃO POR EMPRESAS'!$H$6:$J$5000,MATCH($A2167,'CONTROLE PRODUÇÃO POR EMPRESAS'!$A$6:$A$5000,0),3),"")),"")</f>
        <v/>
      </c>
      <c r="I2167">
        <f>IF(OR(NOT(ISNUMBER(G2167)),NOT(ISNUMBER(H2167))),"",H2167-G2167)</f>
        <v/>
      </c>
      <c r="J2167">
        <f>IF(OR(NOT(ISNUMBER(G2167)),NOT(ISNUMBER(H2167)),G2167=0),"",I2167/G2167)</f>
        <v/>
      </c>
      <c r="K2167">
        <f>IF(OR(NOT(ISNUMBER(G2167)),NOT(ISNUMBER(H2167)),G2167=0),"",H2167/G2167)</f>
        <v/>
      </c>
      <c r="L2167">
        <f>IF(NOT(ISNUMBER(G2167)),"SEM META",IF(G2167=0,"SEM META",IF(NOT(ISNUMBER(H2167)),"SEM APONTAMENTO",IF(H2167&gt;=G2167,"VERDE",IF(H2167&gt;=G2167*0.9,"AMARELO","VERMELHO")))))</f>
        <v/>
      </c>
    </row>
    <row r="2168">
      <c r="A2168" s="321" t="n">
        <v>46231</v>
      </c>
      <c r="B2168" t="inlineStr">
        <is>
          <t>GERAL</t>
        </is>
      </c>
      <c r="C2168" t="inlineStr">
        <is>
          <t>GLOBO AÇOS</t>
        </is>
      </c>
      <c r="D2168" t="inlineStr">
        <is>
          <t>PERFILAÇÃO</t>
        </is>
      </c>
      <c r="F2168">
        <f>IFERROR(INDEX('BASE METAS DIÁRIAS'!$AA$2:$AC$358,MATCH($A2168,'BASE METAS DIÁRIAS'!$A$2:$A$358,0),1),"")</f>
        <v/>
      </c>
      <c r="G2168">
        <f>IFERROR(IF(WEEKDAY($A2168,2)&lt;=INDEX('BASE METAS DIÁRIAS'!$X$2:$Z$358,MATCH($A2168,'BASE METAS DIÁRIAS'!$A$2:$A$358,0),1),INDEX('BASE METAS DIÁRIAS'!$U$2:$W$358,MATCH($A2168,'BASE METAS DIÁRIAS'!$A$2:$A$358,0),1),""),"")</f>
        <v/>
      </c>
      <c r="H2168">
        <f>IFERROR(IF(INDEX('CONTROLE PRODUÇÃO POR EMPRESAS'!$H$6:$J$5000,MATCH($A2168,'CONTROLE PRODUÇÃO POR EMPRESAS'!$A$6:$A$5000,0),1)="","",IFERROR(1*INDEX('CONTROLE PRODUÇÃO POR EMPRESAS'!$H$6:$J$5000,MATCH($A2168,'CONTROLE PRODUÇÃO POR EMPRESAS'!$A$6:$A$5000,0),1),"")),"")</f>
        <v/>
      </c>
      <c r="I2168">
        <f>IF(OR(NOT(ISNUMBER(G2168)),NOT(ISNUMBER(H2168))),"",H2168-G2168)</f>
        <v/>
      </c>
      <c r="J2168">
        <f>IF(OR(NOT(ISNUMBER(G2168)),NOT(ISNUMBER(H2168)),G2168=0),"",I2168/G2168)</f>
        <v/>
      </c>
      <c r="K2168">
        <f>IF(OR(NOT(ISNUMBER(G2168)),NOT(ISNUMBER(H2168)),G2168=0),"",H2168/G2168)</f>
        <v/>
      </c>
      <c r="L2168">
        <f>IF(NOT(ISNUMBER(G2168)),"SEM META",IF(G2168=0,"SEM META",IF(NOT(ISNUMBER(H2168)),"SEM APONTAMENTO",IF(H2168&gt;=G2168,"VERDE",IF(H2168&gt;=G2168*0.9,"AMARELO","VERMELHO")))))</f>
        <v/>
      </c>
    </row>
    <row r="2169">
      <c r="A2169" s="321" t="n">
        <v>46231</v>
      </c>
      <c r="B2169" t="inlineStr">
        <is>
          <t>GERAL</t>
        </is>
      </c>
      <c r="C2169" t="inlineStr">
        <is>
          <t>GLOBO AÇOS</t>
        </is>
      </c>
      <c r="D2169" t="inlineStr">
        <is>
          <t>TELHAR</t>
        </is>
      </c>
      <c r="F2169">
        <f>IFERROR(INDEX('BASE METAS DIÁRIAS'!$AA$2:$AC$358,MATCH($A2169,'BASE METAS DIÁRIAS'!$A$2:$A$358,0),2),"")</f>
        <v/>
      </c>
      <c r="G2169">
        <f>IFERROR(IF(WEEKDAY($A2169,2)&lt;=INDEX('BASE METAS DIÁRIAS'!$X$2:$Z$358,MATCH($A2169,'BASE METAS DIÁRIAS'!$A$2:$A$358,0),2),INDEX('BASE METAS DIÁRIAS'!$U$2:$W$358,MATCH($A2169,'BASE METAS DIÁRIAS'!$A$2:$A$358,0),2),""),"")</f>
        <v/>
      </c>
      <c r="H2169">
        <f>IFERROR(IF(INDEX('CONTROLE PRODUÇÃO POR EMPRESAS'!$H$6:$J$5000,MATCH($A2169,'CONTROLE PRODUÇÃO POR EMPRESAS'!$A$6:$A$5000,0),2)="","",IFERROR(1*INDEX('CONTROLE PRODUÇÃO POR EMPRESAS'!$H$6:$J$5000,MATCH($A2169,'CONTROLE PRODUÇÃO POR EMPRESAS'!$A$6:$A$5000,0),2),"")),"")</f>
        <v/>
      </c>
      <c r="I2169">
        <f>IF(OR(NOT(ISNUMBER(G2169)),NOT(ISNUMBER(H2169))),"",H2169-G2169)</f>
        <v/>
      </c>
      <c r="J2169">
        <f>IF(OR(NOT(ISNUMBER(G2169)),NOT(ISNUMBER(H2169)),G2169=0),"",I2169/G2169)</f>
        <v/>
      </c>
      <c r="K2169">
        <f>IF(OR(NOT(ISNUMBER(G2169)),NOT(ISNUMBER(H2169)),G2169=0),"",H2169/G2169)</f>
        <v/>
      </c>
      <c r="L2169">
        <f>IF(NOT(ISNUMBER(G2169)),"SEM META",IF(G2169=0,"SEM META",IF(NOT(ISNUMBER(H2169)),"SEM APONTAMENTO",IF(H2169&gt;=G2169,"VERDE",IF(H2169&gt;=G2169*0.9,"AMARELO","VERMELHO")))))</f>
        <v/>
      </c>
    </row>
    <row r="2170">
      <c r="A2170" s="321" t="n">
        <v>46231</v>
      </c>
      <c r="B2170" t="inlineStr">
        <is>
          <t>GERAL</t>
        </is>
      </c>
      <c r="C2170" t="inlineStr">
        <is>
          <t>GLOBO AÇOS</t>
        </is>
      </c>
      <c r="D2170" t="inlineStr">
        <is>
          <t>FECHAMENTO</t>
        </is>
      </c>
      <c r="F2170">
        <f>IFERROR(INDEX('BASE METAS DIÁRIAS'!$AA$2:$AC$358,MATCH($A2170,'BASE METAS DIÁRIAS'!$A$2:$A$358,0),3),"")</f>
        <v/>
      </c>
      <c r="G2170">
        <f>IFERROR(IF(WEEKDAY($A2170,2)&lt;=INDEX('BASE METAS DIÁRIAS'!$X$2:$Z$358,MATCH($A2170,'BASE METAS DIÁRIAS'!$A$2:$A$358,0),3),INDEX('BASE METAS DIÁRIAS'!$U$2:$W$358,MATCH($A2170,'BASE METAS DIÁRIAS'!$A$2:$A$358,0),3),""),"")</f>
        <v/>
      </c>
      <c r="H2170">
        <f>IFERROR(IF(INDEX('CONTROLE PRODUÇÃO POR EMPRESAS'!$H$6:$J$5000,MATCH($A2170,'CONTROLE PRODUÇÃO POR EMPRESAS'!$A$6:$A$5000,0),3)="","",IFERROR(1*INDEX('CONTROLE PRODUÇÃO POR EMPRESAS'!$H$6:$J$5000,MATCH($A2170,'CONTROLE PRODUÇÃO POR EMPRESAS'!$A$6:$A$5000,0),3),"")),"")</f>
        <v/>
      </c>
      <c r="I2170">
        <f>IF(OR(NOT(ISNUMBER(G2170)),NOT(ISNUMBER(H2170))),"",H2170-G2170)</f>
        <v/>
      </c>
      <c r="J2170">
        <f>IF(OR(NOT(ISNUMBER(G2170)),NOT(ISNUMBER(H2170)),G2170=0),"",I2170/G2170)</f>
        <v/>
      </c>
      <c r="K2170">
        <f>IF(OR(NOT(ISNUMBER(G2170)),NOT(ISNUMBER(H2170)),G2170=0),"",H2170/G2170)</f>
        <v/>
      </c>
      <c r="L2170">
        <f>IF(NOT(ISNUMBER(G2170)),"SEM META",IF(G2170=0,"SEM META",IF(NOT(ISNUMBER(H2170)),"SEM APONTAMENTO",IF(H2170&gt;=G2170,"VERDE",IF(H2170&gt;=G2170*0.9,"AMARELO","VERMELHO")))))</f>
        <v/>
      </c>
    </row>
    <row r="2171">
      <c r="A2171" s="321" t="n">
        <v>46232</v>
      </c>
      <c r="B2171" t="inlineStr">
        <is>
          <t>GERAL</t>
        </is>
      </c>
      <c r="C2171" t="inlineStr">
        <is>
          <t>GLOBO AÇOS</t>
        </is>
      </c>
      <c r="D2171" t="inlineStr">
        <is>
          <t>PERFILAÇÃO</t>
        </is>
      </c>
      <c r="F2171">
        <f>IFERROR(INDEX('BASE METAS DIÁRIAS'!$AA$2:$AC$358,MATCH($A2171,'BASE METAS DIÁRIAS'!$A$2:$A$358,0),1),"")</f>
        <v/>
      </c>
      <c r="G2171">
        <f>IFERROR(IF(WEEKDAY($A2171,2)&lt;=INDEX('BASE METAS DIÁRIAS'!$X$2:$Z$358,MATCH($A2171,'BASE METAS DIÁRIAS'!$A$2:$A$358,0),1),INDEX('BASE METAS DIÁRIAS'!$U$2:$W$358,MATCH($A2171,'BASE METAS DIÁRIAS'!$A$2:$A$358,0),1),""),"")</f>
        <v/>
      </c>
      <c r="H2171">
        <f>IFERROR(IF(INDEX('CONTROLE PRODUÇÃO POR EMPRESAS'!$H$6:$J$5000,MATCH($A2171,'CONTROLE PRODUÇÃO POR EMPRESAS'!$A$6:$A$5000,0),1)="","",IFERROR(1*INDEX('CONTROLE PRODUÇÃO POR EMPRESAS'!$H$6:$J$5000,MATCH($A2171,'CONTROLE PRODUÇÃO POR EMPRESAS'!$A$6:$A$5000,0),1),"")),"")</f>
        <v/>
      </c>
      <c r="I2171">
        <f>IF(OR(NOT(ISNUMBER(G2171)),NOT(ISNUMBER(H2171))),"",H2171-G2171)</f>
        <v/>
      </c>
      <c r="J2171">
        <f>IF(OR(NOT(ISNUMBER(G2171)),NOT(ISNUMBER(H2171)),G2171=0),"",I2171/G2171)</f>
        <v/>
      </c>
      <c r="K2171">
        <f>IF(OR(NOT(ISNUMBER(G2171)),NOT(ISNUMBER(H2171)),G2171=0),"",H2171/G2171)</f>
        <v/>
      </c>
      <c r="L2171">
        <f>IF(NOT(ISNUMBER(G2171)),"SEM META",IF(G2171=0,"SEM META",IF(NOT(ISNUMBER(H2171)),"SEM APONTAMENTO",IF(H2171&gt;=G2171,"VERDE",IF(H2171&gt;=G2171*0.9,"AMARELO","VERMELHO")))))</f>
        <v/>
      </c>
    </row>
    <row r="2172">
      <c r="A2172" s="321" t="n">
        <v>46232</v>
      </c>
      <c r="B2172" t="inlineStr">
        <is>
          <t>GERAL</t>
        </is>
      </c>
      <c r="C2172" t="inlineStr">
        <is>
          <t>GLOBO AÇOS</t>
        </is>
      </c>
      <c r="D2172" t="inlineStr">
        <is>
          <t>TELHAR</t>
        </is>
      </c>
      <c r="F2172">
        <f>IFERROR(INDEX('BASE METAS DIÁRIAS'!$AA$2:$AC$358,MATCH($A2172,'BASE METAS DIÁRIAS'!$A$2:$A$358,0),2),"")</f>
        <v/>
      </c>
      <c r="G2172">
        <f>IFERROR(IF(WEEKDAY($A2172,2)&lt;=INDEX('BASE METAS DIÁRIAS'!$X$2:$Z$358,MATCH($A2172,'BASE METAS DIÁRIAS'!$A$2:$A$358,0),2),INDEX('BASE METAS DIÁRIAS'!$U$2:$W$358,MATCH($A2172,'BASE METAS DIÁRIAS'!$A$2:$A$358,0),2),""),"")</f>
        <v/>
      </c>
      <c r="H2172">
        <f>IFERROR(IF(INDEX('CONTROLE PRODUÇÃO POR EMPRESAS'!$H$6:$J$5000,MATCH($A2172,'CONTROLE PRODUÇÃO POR EMPRESAS'!$A$6:$A$5000,0),2)="","",IFERROR(1*INDEX('CONTROLE PRODUÇÃO POR EMPRESAS'!$H$6:$J$5000,MATCH($A2172,'CONTROLE PRODUÇÃO POR EMPRESAS'!$A$6:$A$5000,0),2),"")),"")</f>
        <v/>
      </c>
      <c r="I2172">
        <f>IF(OR(NOT(ISNUMBER(G2172)),NOT(ISNUMBER(H2172))),"",H2172-G2172)</f>
        <v/>
      </c>
      <c r="J2172">
        <f>IF(OR(NOT(ISNUMBER(G2172)),NOT(ISNUMBER(H2172)),G2172=0),"",I2172/G2172)</f>
        <v/>
      </c>
      <c r="K2172">
        <f>IF(OR(NOT(ISNUMBER(G2172)),NOT(ISNUMBER(H2172)),G2172=0),"",H2172/G2172)</f>
        <v/>
      </c>
      <c r="L2172">
        <f>IF(NOT(ISNUMBER(G2172)),"SEM META",IF(G2172=0,"SEM META",IF(NOT(ISNUMBER(H2172)),"SEM APONTAMENTO",IF(H2172&gt;=G2172,"VERDE",IF(H2172&gt;=G2172*0.9,"AMARELO","VERMELHO")))))</f>
        <v/>
      </c>
    </row>
    <row r="2173">
      <c r="A2173" s="321" t="n">
        <v>46232</v>
      </c>
      <c r="B2173" t="inlineStr">
        <is>
          <t>GERAL</t>
        </is>
      </c>
      <c r="C2173" t="inlineStr">
        <is>
          <t>GLOBO AÇOS</t>
        </is>
      </c>
      <c r="D2173" t="inlineStr">
        <is>
          <t>FECHAMENTO</t>
        </is>
      </c>
      <c r="F2173">
        <f>IFERROR(INDEX('BASE METAS DIÁRIAS'!$AA$2:$AC$358,MATCH($A2173,'BASE METAS DIÁRIAS'!$A$2:$A$358,0),3),"")</f>
        <v/>
      </c>
      <c r="G2173">
        <f>IFERROR(IF(WEEKDAY($A2173,2)&lt;=INDEX('BASE METAS DIÁRIAS'!$X$2:$Z$358,MATCH($A2173,'BASE METAS DIÁRIAS'!$A$2:$A$358,0),3),INDEX('BASE METAS DIÁRIAS'!$U$2:$W$358,MATCH($A2173,'BASE METAS DIÁRIAS'!$A$2:$A$358,0),3),""),"")</f>
        <v/>
      </c>
      <c r="H2173">
        <f>IFERROR(IF(INDEX('CONTROLE PRODUÇÃO POR EMPRESAS'!$H$6:$J$5000,MATCH($A2173,'CONTROLE PRODUÇÃO POR EMPRESAS'!$A$6:$A$5000,0),3)="","",IFERROR(1*INDEX('CONTROLE PRODUÇÃO POR EMPRESAS'!$H$6:$J$5000,MATCH($A2173,'CONTROLE PRODUÇÃO POR EMPRESAS'!$A$6:$A$5000,0),3),"")),"")</f>
        <v/>
      </c>
      <c r="I2173">
        <f>IF(OR(NOT(ISNUMBER(G2173)),NOT(ISNUMBER(H2173))),"",H2173-G2173)</f>
        <v/>
      </c>
      <c r="J2173">
        <f>IF(OR(NOT(ISNUMBER(G2173)),NOT(ISNUMBER(H2173)),G2173=0),"",I2173/G2173)</f>
        <v/>
      </c>
      <c r="K2173">
        <f>IF(OR(NOT(ISNUMBER(G2173)),NOT(ISNUMBER(H2173)),G2173=0),"",H2173/G2173)</f>
        <v/>
      </c>
      <c r="L2173">
        <f>IF(NOT(ISNUMBER(G2173)),"SEM META",IF(G2173=0,"SEM META",IF(NOT(ISNUMBER(H2173)),"SEM APONTAMENTO",IF(H2173&gt;=G2173,"VERDE",IF(H2173&gt;=G2173*0.9,"AMARELO","VERMELHO")))))</f>
        <v/>
      </c>
    </row>
    <row r="2174">
      <c r="A2174" s="321" t="n">
        <v>46233</v>
      </c>
      <c r="B2174" t="inlineStr">
        <is>
          <t>GERAL</t>
        </is>
      </c>
      <c r="C2174" t="inlineStr">
        <is>
          <t>GLOBO AÇOS</t>
        </is>
      </c>
      <c r="D2174" t="inlineStr">
        <is>
          <t>PERFILAÇÃO</t>
        </is>
      </c>
      <c r="F2174">
        <f>IFERROR(INDEX('BASE METAS DIÁRIAS'!$AA$2:$AC$358,MATCH($A2174,'BASE METAS DIÁRIAS'!$A$2:$A$358,0),1),"")</f>
        <v/>
      </c>
      <c r="G2174">
        <f>IFERROR(IF(WEEKDAY($A2174,2)&lt;=INDEX('BASE METAS DIÁRIAS'!$X$2:$Z$358,MATCH($A2174,'BASE METAS DIÁRIAS'!$A$2:$A$358,0),1),INDEX('BASE METAS DIÁRIAS'!$U$2:$W$358,MATCH($A2174,'BASE METAS DIÁRIAS'!$A$2:$A$358,0),1),""),"")</f>
        <v/>
      </c>
      <c r="H2174">
        <f>IFERROR(IF(INDEX('CONTROLE PRODUÇÃO POR EMPRESAS'!$H$6:$J$5000,MATCH($A2174,'CONTROLE PRODUÇÃO POR EMPRESAS'!$A$6:$A$5000,0),1)="","",IFERROR(1*INDEX('CONTROLE PRODUÇÃO POR EMPRESAS'!$H$6:$J$5000,MATCH($A2174,'CONTROLE PRODUÇÃO POR EMPRESAS'!$A$6:$A$5000,0),1),"")),"")</f>
        <v/>
      </c>
      <c r="I2174">
        <f>IF(OR(NOT(ISNUMBER(G2174)),NOT(ISNUMBER(H2174))),"",H2174-G2174)</f>
        <v/>
      </c>
      <c r="J2174">
        <f>IF(OR(NOT(ISNUMBER(G2174)),NOT(ISNUMBER(H2174)),G2174=0),"",I2174/G2174)</f>
        <v/>
      </c>
      <c r="K2174">
        <f>IF(OR(NOT(ISNUMBER(G2174)),NOT(ISNUMBER(H2174)),G2174=0),"",H2174/G2174)</f>
        <v/>
      </c>
      <c r="L2174">
        <f>IF(NOT(ISNUMBER(G2174)),"SEM META",IF(G2174=0,"SEM META",IF(NOT(ISNUMBER(H2174)),"SEM APONTAMENTO",IF(H2174&gt;=G2174,"VERDE",IF(H2174&gt;=G2174*0.9,"AMARELO","VERMELHO")))))</f>
        <v/>
      </c>
    </row>
    <row r="2175">
      <c r="A2175" s="321" t="n">
        <v>46233</v>
      </c>
      <c r="B2175" t="inlineStr">
        <is>
          <t>GERAL</t>
        </is>
      </c>
      <c r="C2175" t="inlineStr">
        <is>
          <t>GLOBO AÇOS</t>
        </is>
      </c>
      <c r="D2175" t="inlineStr">
        <is>
          <t>TELHAR</t>
        </is>
      </c>
      <c r="F2175">
        <f>IFERROR(INDEX('BASE METAS DIÁRIAS'!$AA$2:$AC$358,MATCH($A2175,'BASE METAS DIÁRIAS'!$A$2:$A$358,0),2),"")</f>
        <v/>
      </c>
      <c r="G2175">
        <f>IFERROR(IF(WEEKDAY($A2175,2)&lt;=INDEX('BASE METAS DIÁRIAS'!$X$2:$Z$358,MATCH($A2175,'BASE METAS DIÁRIAS'!$A$2:$A$358,0),2),INDEX('BASE METAS DIÁRIAS'!$U$2:$W$358,MATCH($A2175,'BASE METAS DIÁRIAS'!$A$2:$A$358,0),2),""),"")</f>
        <v/>
      </c>
      <c r="H2175">
        <f>IFERROR(IF(INDEX('CONTROLE PRODUÇÃO POR EMPRESAS'!$H$6:$J$5000,MATCH($A2175,'CONTROLE PRODUÇÃO POR EMPRESAS'!$A$6:$A$5000,0),2)="","",IFERROR(1*INDEX('CONTROLE PRODUÇÃO POR EMPRESAS'!$H$6:$J$5000,MATCH($A2175,'CONTROLE PRODUÇÃO POR EMPRESAS'!$A$6:$A$5000,0),2),"")),"")</f>
        <v/>
      </c>
      <c r="I2175">
        <f>IF(OR(NOT(ISNUMBER(G2175)),NOT(ISNUMBER(H2175))),"",H2175-G2175)</f>
        <v/>
      </c>
      <c r="J2175">
        <f>IF(OR(NOT(ISNUMBER(G2175)),NOT(ISNUMBER(H2175)),G2175=0),"",I2175/G2175)</f>
        <v/>
      </c>
      <c r="K2175">
        <f>IF(OR(NOT(ISNUMBER(G2175)),NOT(ISNUMBER(H2175)),G2175=0),"",H2175/G2175)</f>
        <v/>
      </c>
      <c r="L2175">
        <f>IF(NOT(ISNUMBER(G2175)),"SEM META",IF(G2175=0,"SEM META",IF(NOT(ISNUMBER(H2175)),"SEM APONTAMENTO",IF(H2175&gt;=G2175,"VERDE",IF(H2175&gt;=G2175*0.9,"AMARELO","VERMELHO")))))</f>
        <v/>
      </c>
    </row>
    <row r="2176">
      <c r="A2176" s="321" t="n">
        <v>46233</v>
      </c>
      <c r="B2176" t="inlineStr">
        <is>
          <t>GERAL</t>
        </is>
      </c>
      <c r="C2176" t="inlineStr">
        <is>
          <t>GLOBO AÇOS</t>
        </is>
      </c>
      <c r="D2176" t="inlineStr">
        <is>
          <t>FECHAMENTO</t>
        </is>
      </c>
      <c r="F2176">
        <f>IFERROR(INDEX('BASE METAS DIÁRIAS'!$AA$2:$AC$358,MATCH($A2176,'BASE METAS DIÁRIAS'!$A$2:$A$358,0),3),"")</f>
        <v/>
      </c>
      <c r="G2176">
        <f>IFERROR(IF(WEEKDAY($A2176,2)&lt;=INDEX('BASE METAS DIÁRIAS'!$X$2:$Z$358,MATCH($A2176,'BASE METAS DIÁRIAS'!$A$2:$A$358,0),3),INDEX('BASE METAS DIÁRIAS'!$U$2:$W$358,MATCH($A2176,'BASE METAS DIÁRIAS'!$A$2:$A$358,0),3),""),"")</f>
        <v/>
      </c>
      <c r="H2176">
        <f>IFERROR(IF(INDEX('CONTROLE PRODUÇÃO POR EMPRESAS'!$H$6:$J$5000,MATCH($A2176,'CONTROLE PRODUÇÃO POR EMPRESAS'!$A$6:$A$5000,0),3)="","",IFERROR(1*INDEX('CONTROLE PRODUÇÃO POR EMPRESAS'!$H$6:$J$5000,MATCH($A2176,'CONTROLE PRODUÇÃO POR EMPRESAS'!$A$6:$A$5000,0),3),"")),"")</f>
        <v/>
      </c>
      <c r="I2176">
        <f>IF(OR(NOT(ISNUMBER(G2176)),NOT(ISNUMBER(H2176))),"",H2176-G2176)</f>
        <v/>
      </c>
      <c r="J2176">
        <f>IF(OR(NOT(ISNUMBER(G2176)),NOT(ISNUMBER(H2176)),G2176=0),"",I2176/G2176)</f>
        <v/>
      </c>
      <c r="K2176">
        <f>IF(OR(NOT(ISNUMBER(G2176)),NOT(ISNUMBER(H2176)),G2176=0),"",H2176/G2176)</f>
        <v/>
      </c>
      <c r="L2176">
        <f>IF(NOT(ISNUMBER(G2176)),"SEM META",IF(G2176=0,"SEM META",IF(NOT(ISNUMBER(H2176)),"SEM APONTAMENTO",IF(H2176&gt;=G2176,"VERDE",IF(H2176&gt;=G2176*0.9,"AMARELO","VERMELHO")))))</f>
        <v/>
      </c>
    </row>
    <row r="2177">
      <c r="A2177" s="321" t="n">
        <v>46234</v>
      </c>
      <c r="B2177" t="inlineStr">
        <is>
          <t>GERAL</t>
        </is>
      </c>
      <c r="C2177" t="inlineStr">
        <is>
          <t>GLOBO AÇOS</t>
        </is>
      </c>
      <c r="D2177" t="inlineStr">
        <is>
          <t>PERFILAÇÃO</t>
        </is>
      </c>
      <c r="F2177">
        <f>IFERROR(INDEX('BASE METAS DIÁRIAS'!$AA$2:$AC$358,MATCH($A2177,'BASE METAS DIÁRIAS'!$A$2:$A$358,0),1),"")</f>
        <v/>
      </c>
      <c r="G2177">
        <f>IFERROR(IF(WEEKDAY($A2177,2)&lt;=INDEX('BASE METAS DIÁRIAS'!$X$2:$Z$358,MATCH($A2177,'BASE METAS DIÁRIAS'!$A$2:$A$358,0),1),INDEX('BASE METAS DIÁRIAS'!$U$2:$W$358,MATCH($A2177,'BASE METAS DIÁRIAS'!$A$2:$A$358,0),1),""),"")</f>
        <v/>
      </c>
      <c r="H2177">
        <f>IFERROR(IF(INDEX('CONTROLE PRODUÇÃO POR EMPRESAS'!$H$6:$J$5000,MATCH($A2177,'CONTROLE PRODUÇÃO POR EMPRESAS'!$A$6:$A$5000,0),1)="","",IFERROR(1*INDEX('CONTROLE PRODUÇÃO POR EMPRESAS'!$H$6:$J$5000,MATCH($A2177,'CONTROLE PRODUÇÃO POR EMPRESAS'!$A$6:$A$5000,0),1),"")),"")</f>
        <v/>
      </c>
      <c r="I2177">
        <f>IF(OR(NOT(ISNUMBER(G2177)),NOT(ISNUMBER(H2177))),"",H2177-G2177)</f>
        <v/>
      </c>
      <c r="J2177">
        <f>IF(OR(NOT(ISNUMBER(G2177)),NOT(ISNUMBER(H2177)),G2177=0),"",I2177/G2177)</f>
        <v/>
      </c>
      <c r="K2177">
        <f>IF(OR(NOT(ISNUMBER(G2177)),NOT(ISNUMBER(H2177)),G2177=0),"",H2177/G2177)</f>
        <v/>
      </c>
      <c r="L2177">
        <f>IF(NOT(ISNUMBER(G2177)),"SEM META",IF(G2177=0,"SEM META",IF(NOT(ISNUMBER(H2177)),"SEM APONTAMENTO",IF(H2177&gt;=G2177,"VERDE",IF(H2177&gt;=G2177*0.9,"AMARELO","VERMELHO")))))</f>
        <v/>
      </c>
    </row>
    <row r="2178">
      <c r="A2178" s="321" t="n">
        <v>46234</v>
      </c>
      <c r="B2178" t="inlineStr">
        <is>
          <t>GERAL</t>
        </is>
      </c>
      <c r="C2178" t="inlineStr">
        <is>
          <t>GLOBO AÇOS</t>
        </is>
      </c>
      <c r="D2178" t="inlineStr">
        <is>
          <t>TELHAR</t>
        </is>
      </c>
      <c r="F2178">
        <f>IFERROR(INDEX('BASE METAS DIÁRIAS'!$AA$2:$AC$358,MATCH($A2178,'BASE METAS DIÁRIAS'!$A$2:$A$358,0),2),"")</f>
        <v/>
      </c>
      <c r="G2178">
        <f>IFERROR(IF(WEEKDAY($A2178,2)&lt;=INDEX('BASE METAS DIÁRIAS'!$X$2:$Z$358,MATCH($A2178,'BASE METAS DIÁRIAS'!$A$2:$A$358,0),2),INDEX('BASE METAS DIÁRIAS'!$U$2:$W$358,MATCH($A2178,'BASE METAS DIÁRIAS'!$A$2:$A$358,0),2),""),"")</f>
        <v/>
      </c>
      <c r="H2178">
        <f>IFERROR(IF(INDEX('CONTROLE PRODUÇÃO POR EMPRESAS'!$H$6:$J$5000,MATCH($A2178,'CONTROLE PRODUÇÃO POR EMPRESAS'!$A$6:$A$5000,0),2)="","",IFERROR(1*INDEX('CONTROLE PRODUÇÃO POR EMPRESAS'!$H$6:$J$5000,MATCH($A2178,'CONTROLE PRODUÇÃO POR EMPRESAS'!$A$6:$A$5000,0),2),"")),"")</f>
        <v/>
      </c>
      <c r="I2178">
        <f>IF(OR(NOT(ISNUMBER(G2178)),NOT(ISNUMBER(H2178))),"",H2178-G2178)</f>
        <v/>
      </c>
      <c r="J2178">
        <f>IF(OR(NOT(ISNUMBER(G2178)),NOT(ISNUMBER(H2178)),G2178=0),"",I2178/G2178)</f>
        <v/>
      </c>
      <c r="K2178">
        <f>IF(OR(NOT(ISNUMBER(G2178)),NOT(ISNUMBER(H2178)),G2178=0),"",H2178/G2178)</f>
        <v/>
      </c>
      <c r="L2178">
        <f>IF(NOT(ISNUMBER(G2178)),"SEM META",IF(G2178=0,"SEM META",IF(NOT(ISNUMBER(H2178)),"SEM APONTAMENTO",IF(H2178&gt;=G2178,"VERDE",IF(H2178&gt;=G2178*0.9,"AMARELO","VERMELHO")))))</f>
        <v/>
      </c>
    </row>
    <row r="2179">
      <c r="A2179" s="321" t="n">
        <v>46234</v>
      </c>
      <c r="B2179" t="inlineStr">
        <is>
          <t>GERAL</t>
        </is>
      </c>
      <c r="C2179" t="inlineStr">
        <is>
          <t>GLOBO AÇOS</t>
        </is>
      </c>
      <c r="D2179" t="inlineStr">
        <is>
          <t>FECHAMENTO</t>
        </is>
      </c>
      <c r="F2179">
        <f>IFERROR(INDEX('BASE METAS DIÁRIAS'!$AA$2:$AC$358,MATCH($A2179,'BASE METAS DIÁRIAS'!$A$2:$A$358,0),3),"")</f>
        <v/>
      </c>
      <c r="G2179">
        <f>IFERROR(IF(WEEKDAY($A2179,2)&lt;=INDEX('BASE METAS DIÁRIAS'!$X$2:$Z$358,MATCH($A2179,'BASE METAS DIÁRIAS'!$A$2:$A$358,0),3),INDEX('BASE METAS DIÁRIAS'!$U$2:$W$358,MATCH($A2179,'BASE METAS DIÁRIAS'!$A$2:$A$358,0),3),""),"")</f>
        <v/>
      </c>
      <c r="H2179">
        <f>IFERROR(IF(INDEX('CONTROLE PRODUÇÃO POR EMPRESAS'!$H$6:$J$5000,MATCH($A2179,'CONTROLE PRODUÇÃO POR EMPRESAS'!$A$6:$A$5000,0),3)="","",IFERROR(1*INDEX('CONTROLE PRODUÇÃO POR EMPRESAS'!$H$6:$J$5000,MATCH($A2179,'CONTROLE PRODUÇÃO POR EMPRESAS'!$A$6:$A$5000,0),3),"")),"")</f>
        <v/>
      </c>
      <c r="I2179">
        <f>IF(OR(NOT(ISNUMBER(G2179)),NOT(ISNUMBER(H2179))),"",H2179-G2179)</f>
        <v/>
      </c>
      <c r="J2179">
        <f>IF(OR(NOT(ISNUMBER(G2179)),NOT(ISNUMBER(H2179)),G2179=0),"",I2179/G2179)</f>
        <v/>
      </c>
      <c r="K2179">
        <f>IF(OR(NOT(ISNUMBER(G2179)),NOT(ISNUMBER(H2179)),G2179=0),"",H2179/G2179)</f>
        <v/>
      </c>
      <c r="L2179">
        <f>IF(NOT(ISNUMBER(G2179)),"SEM META",IF(G2179=0,"SEM META",IF(NOT(ISNUMBER(H2179)),"SEM APONTAMENTO",IF(H2179&gt;=G2179,"VERDE",IF(H2179&gt;=G2179*0.9,"AMARELO","VERMELHO")))))</f>
        <v/>
      </c>
    </row>
    <row r="2180">
      <c r="A2180" s="321" t="n">
        <v>46235</v>
      </c>
      <c r="B2180" t="inlineStr">
        <is>
          <t>GERAL</t>
        </is>
      </c>
      <c r="C2180" t="inlineStr">
        <is>
          <t>GLOBO AÇOS</t>
        </is>
      </c>
      <c r="D2180" t="inlineStr">
        <is>
          <t>PERFILAÇÃO</t>
        </is>
      </c>
      <c r="F2180">
        <f>IFERROR(INDEX('BASE METAS DIÁRIAS'!$AA$2:$AC$358,MATCH($A2180,'BASE METAS DIÁRIAS'!$A$2:$A$358,0),1),"")</f>
        <v/>
      </c>
      <c r="G2180">
        <f>IFERROR(IF(WEEKDAY($A2180,2)&lt;=INDEX('BASE METAS DIÁRIAS'!$X$2:$Z$358,MATCH($A2180,'BASE METAS DIÁRIAS'!$A$2:$A$358,0),1),INDEX('BASE METAS DIÁRIAS'!$U$2:$W$358,MATCH($A2180,'BASE METAS DIÁRIAS'!$A$2:$A$358,0),1),""),"")</f>
        <v/>
      </c>
      <c r="H2180">
        <f>IFERROR(IF(INDEX('CONTROLE PRODUÇÃO POR EMPRESAS'!$H$6:$J$5000,MATCH($A2180,'CONTROLE PRODUÇÃO POR EMPRESAS'!$A$6:$A$5000,0),1)="","",IFERROR(1*INDEX('CONTROLE PRODUÇÃO POR EMPRESAS'!$H$6:$J$5000,MATCH($A2180,'CONTROLE PRODUÇÃO POR EMPRESAS'!$A$6:$A$5000,0),1),"")),"")</f>
        <v/>
      </c>
      <c r="I2180">
        <f>IF(OR(NOT(ISNUMBER(G2180)),NOT(ISNUMBER(H2180))),"",H2180-G2180)</f>
        <v/>
      </c>
      <c r="J2180">
        <f>IF(OR(NOT(ISNUMBER(G2180)),NOT(ISNUMBER(H2180)),G2180=0),"",I2180/G2180)</f>
        <v/>
      </c>
      <c r="K2180">
        <f>IF(OR(NOT(ISNUMBER(G2180)),NOT(ISNUMBER(H2180)),G2180=0),"",H2180/G2180)</f>
        <v/>
      </c>
      <c r="L2180">
        <f>IF(NOT(ISNUMBER(G2180)),"SEM META",IF(G2180=0,"SEM META",IF(NOT(ISNUMBER(H2180)),"SEM APONTAMENTO",IF(H2180&gt;=G2180,"VERDE",IF(H2180&gt;=G2180*0.9,"AMARELO","VERMELHO")))))</f>
        <v/>
      </c>
    </row>
    <row r="2181">
      <c r="A2181" s="321" t="n">
        <v>46235</v>
      </c>
      <c r="B2181" t="inlineStr">
        <is>
          <t>GERAL</t>
        </is>
      </c>
      <c r="C2181" t="inlineStr">
        <is>
          <t>GLOBO AÇOS</t>
        </is>
      </c>
      <c r="D2181" t="inlineStr">
        <is>
          <t>TELHAR</t>
        </is>
      </c>
      <c r="F2181">
        <f>IFERROR(INDEX('BASE METAS DIÁRIAS'!$AA$2:$AC$358,MATCH($A2181,'BASE METAS DIÁRIAS'!$A$2:$A$358,0),2),"")</f>
        <v/>
      </c>
      <c r="G2181">
        <f>IFERROR(IF(WEEKDAY($A2181,2)&lt;=INDEX('BASE METAS DIÁRIAS'!$X$2:$Z$358,MATCH($A2181,'BASE METAS DIÁRIAS'!$A$2:$A$358,0),2),INDEX('BASE METAS DIÁRIAS'!$U$2:$W$358,MATCH($A2181,'BASE METAS DIÁRIAS'!$A$2:$A$358,0),2),""),"")</f>
        <v/>
      </c>
      <c r="H2181">
        <f>IFERROR(IF(INDEX('CONTROLE PRODUÇÃO POR EMPRESAS'!$H$6:$J$5000,MATCH($A2181,'CONTROLE PRODUÇÃO POR EMPRESAS'!$A$6:$A$5000,0),2)="","",IFERROR(1*INDEX('CONTROLE PRODUÇÃO POR EMPRESAS'!$H$6:$J$5000,MATCH($A2181,'CONTROLE PRODUÇÃO POR EMPRESAS'!$A$6:$A$5000,0),2),"")),"")</f>
        <v/>
      </c>
      <c r="I2181">
        <f>IF(OR(NOT(ISNUMBER(G2181)),NOT(ISNUMBER(H2181))),"",H2181-G2181)</f>
        <v/>
      </c>
      <c r="J2181">
        <f>IF(OR(NOT(ISNUMBER(G2181)),NOT(ISNUMBER(H2181)),G2181=0),"",I2181/G2181)</f>
        <v/>
      </c>
      <c r="K2181">
        <f>IF(OR(NOT(ISNUMBER(G2181)),NOT(ISNUMBER(H2181)),G2181=0),"",H2181/G2181)</f>
        <v/>
      </c>
      <c r="L2181">
        <f>IF(NOT(ISNUMBER(G2181)),"SEM META",IF(G2181=0,"SEM META",IF(NOT(ISNUMBER(H2181)),"SEM APONTAMENTO",IF(H2181&gt;=G2181,"VERDE",IF(H2181&gt;=G2181*0.9,"AMARELO","VERMELHO")))))</f>
        <v/>
      </c>
    </row>
    <row r="2182">
      <c r="A2182" s="321" t="n">
        <v>46235</v>
      </c>
      <c r="B2182" t="inlineStr">
        <is>
          <t>GERAL</t>
        </is>
      </c>
      <c r="C2182" t="inlineStr">
        <is>
          <t>GLOBO AÇOS</t>
        </is>
      </c>
      <c r="D2182" t="inlineStr">
        <is>
          <t>FECHAMENTO</t>
        </is>
      </c>
      <c r="F2182">
        <f>IFERROR(INDEX('BASE METAS DIÁRIAS'!$AA$2:$AC$358,MATCH($A2182,'BASE METAS DIÁRIAS'!$A$2:$A$358,0),3),"")</f>
        <v/>
      </c>
      <c r="G2182">
        <f>IFERROR(IF(WEEKDAY($A2182,2)&lt;=INDEX('BASE METAS DIÁRIAS'!$X$2:$Z$358,MATCH($A2182,'BASE METAS DIÁRIAS'!$A$2:$A$358,0),3),INDEX('BASE METAS DIÁRIAS'!$U$2:$W$358,MATCH($A2182,'BASE METAS DIÁRIAS'!$A$2:$A$358,0),3),""),"")</f>
        <v/>
      </c>
      <c r="H2182">
        <f>IFERROR(IF(INDEX('CONTROLE PRODUÇÃO POR EMPRESAS'!$H$6:$J$5000,MATCH($A2182,'CONTROLE PRODUÇÃO POR EMPRESAS'!$A$6:$A$5000,0),3)="","",IFERROR(1*INDEX('CONTROLE PRODUÇÃO POR EMPRESAS'!$H$6:$J$5000,MATCH($A2182,'CONTROLE PRODUÇÃO POR EMPRESAS'!$A$6:$A$5000,0),3),"")),"")</f>
        <v/>
      </c>
      <c r="I2182">
        <f>IF(OR(NOT(ISNUMBER(G2182)),NOT(ISNUMBER(H2182))),"",H2182-G2182)</f>
        <v/>
      </c>
      <c r="J2182">
        <f>IF(OR(NOT(ISNUMBER(G2182)),NOT(ISNUMBER(H2182)),G2182=0),"",I2182/G2182)</f>
        <v/>
      </c>
      <c r="K2182">
        <f>IF(OR(NOT(ISNUMBER(G2182)),NOT(ISNUMBER(H2182)),G2182=0),"",H2182/G2182)</f>
        <v/>
      </c>
      <c r="L2182">
        <f>IF(NOT(ISNUMBER(G2182)),"SEM META",IF(G2182=0,"SEM META",IF(NOT(ISNUMBER(H2182)),"SEM APONTAMENTO",IF(H2182&gt;=G2182,"VERDE",IF(H2182&gt;=G2182*0.9,"AMARELO","VERMELHO")))))</f>
        <v/>
      </c>
    </row>
    <row r="2183">
      <c r="A2183" s="321" t="n">
        <v>46236</v>
      </c>
      <c r="B2183" t="inlineStr">
        <is>
          <t>GERAL</t>
        </is>
      </c>
      <c r="C2183" t="inlineStr">
        <is>
          <t>GLOBO AÇOS</t>
        </is>
      </c>
      <c r="D2183" t="inlineStr">
        <is>
          <t>PERFILAÇÃO</t>
        </is>
      </c>
      <c r="F2183">
        <f>IFERROR(INDEX('BASE METAS DIÁRIAS'!$AA$2:$AC$358,MATCH($A2183,'BASE METAS DIÁRIAS'!$A$2:$A$358,0),1),"")</f>
        <v/>
      </c>
      <c r="G2183">
        <f>IFERROR(IF(WEEKDAY($A2183,2)&lt;=INDEX('BASE METAS DIÁRIAS'!$X$2:$Z$358,MATCH($A2183,'BASE METAS DIÁRIAS'!$A$2:$A$358,0),1),INDEX('BASE METAS DIÁRIAS'!$U$2:$W$358,MATCH($A2183,'BASE METAS DIÁRIAS'!$A$2:$A$358,0),1),""),"")</f>
        <v/>
      </c>
      <c r="H2183">
        <f>IFERROR(IF(INDEX('CONTROLE PRODUÇÃO POR EMPRESAS'!$H$6:$J$5000,MATCH($A2183,'CONTROLE PRODUÇÃO POR EMPRESAS'!$A$6:$A$5000,0),1)="","",IFERROR(1*INDEX('CONTROLE PRODUÇÃO POR EMPRESAS'!$H$6:$J$5000,MATCH($A2183,'CONTROLE PRODUÇÃO POR EMPRESAS'!$A$6:$A$5000,0),1),"")),"")</f>
        <v/>
      </c>
      <c r="I2183">
        <f>IF(OR(NOT(ISNUMBER(G2183)),NOT(ISNUMBER(H2183))),"",H2183-G2183)</f>
        <v/>
      </c>
      <c r="J2183">
        <f>IF(OR(NOT(ISNUMBER(G2183)),NOT(ISNUMBER(H2183)),G2183=0),"",I2183/G2183)</f>
        <v/>
      </c>
      <c r="K2183">
        <f>IF(OR(NOT(ISNUMBER(G2183)),NOT(ISNUMBER(H2183)),G2183=0),"",H2183/G2183)</f>
        <v/>
      </c>
      <c r="L2183">
        <f>IF(NOT(ISNUMBER(G2183)),"SEM META",IF(G2183=0,"SEM META",IF(NOT(ISNUMBER(H2183)),"SEM APONTAMENTO",IF(H2183&gt;=G2183,"VERDE",IF(H2183&gt;=G2183*0.9,"AMARELO","VERMELHO")))))</f>
        <v/>
      </c>
    </row>
    <row r="2184">
      <c r="A2184" s="321" t="n">
        <v>46236</v>
      </c>
      <c r="B2184" t="inlineStr">
        <is>
          <t>GERAL</t>
        </is>
      </c>
      <c r="C2184" t="inlineStr">
        <is>
          <t>GLOBO AÇOS</t>
        </is>
      </c>
      <c r="D2184" t="inlineStr">
        <is>
          <t>TELHAR</t>
        </is>
      </c>
      <c r="F2184">
        <f>IFERROR(INDEX('BASE METAS DIÁRIAS'!$AA$2:$AC$358,MATCH($A2184,'BASE METAS DIÁRIAS'!$A$2:$A$358,0),2),"")</f>
        <v/>
      </c>
      <c r="G2184">
        <f>IFERROR(IF(WEEKDAY($A2184,2)&lt;=INDEX('BASE METAS DIÁRIAS'!$X$2:$Z$358,MATCH($A2184,'BASE METAS DIÁRIAS'!$A$2:$A$358,0),2),INDEX('BASE METAS DIÁRIAS'!$U$2:$W$358,MATCH($A2184,'BASE METAS DIÁRIAS'!$A$2:$A$358,0),2),""),"")</f>
        <v/>
      </c>
      <c r="H2184">
        <f>IFERROR(IF(INDEX('CONTROLE PRODUÇÃO POR EMPRESAS'!$H$6:$J$5000,MATCH($A2184,'CONTROLE PRODUÇÃO POR EMPRESAS'!$A$6:$A$5000,0),2)="","",IFERROR(1*INDEX('CONTROLE PRODUÇÃO POR EMPRESAS'!$H$6:$J$5000,MATCH($A2184,'CONTROLE PRODUÇÃO POR EMPRESAS'!$A$6:$A$5000,0),2),"")),"")</f>
        <v/>
      </c>
      <c r="I2184">
        <f>IF(OR(NOT(ISNUMBER(G2184)),NOT(ISNUMBER(H2184))),"",H2184-G2184)</f>
        <v/>
      </c>
      <c r="J2184">
        <f>IF(OR(NOT(ISNUMBER(G2184)),NOT(ISNUMBER(H2184)),G2184=0),"",I2184/G2184)</f>
        <v/>
      </c>
      <c r="K2184">
        <f>IF(OR(NOT(ISNUMBER(G2184)),NOT(ISNUMBER(H2184)),G2184=0),"",H2184/G2184)</f>
        <v/>
      </c>
      <c r="L2184">
        <f>IF(NOT(ISNUMBER(G2184)),"SEM META",IF(G2184=0,"SEM META",IF(NOT(ISNUMBER(H2184)),"SEM APONTAMENTO",IF(H2184&gt;=G2184,"VERDE",IF(H2184&gt;=G2184*0.9,"AMARELO","VERMELHO")))))</f>
        <v/>
      </c>
    </row>
    <row r="2185">
      <c r="A2185" s="321" t="n">
        <v>46236</v>
      </c>
      <c r="B2185" t="inlineStr">
        <is>
          <t>GERAL</t>
        </is>
      </c>
      <c r="C2185" t="inlineStr">
        <is>
          <t>GLOBO AÇOS</t>
        </is>
      </c>
      <c r="D2185" t="inlineStr">
        <is>
          <t>FECHAMENTO</t>
        </is>
      </c>
      <c r="F2185">
        <f>IFERROR(INDEX('BASE METAS DIÁRIAS'!$AA$2:$AC$358,MATCH($A2185,'BASE METAS DIÁRIAS'!$A$2:$A$358,0),3),"")</f>
        <v/>
      </c>
      <c r="G2185">
        <f>IFERROR(IF(WEEKDAY($A2185,2)&lt;=INDEX('BASE METAS DIÁRIAS'!$X$2:$Z$358,MATCH($A2185,'BASE METAS DIÁRIAS'!$A$2:$A$358,0),3),INDEX('BASE METAS DIÁRIAS'!$U$2:$W$358,MATCH($A2185,'BASE METAS DIÁRIAS'!$A$2:$A$358,0),3),""),"")</f>
        <v/>
      </c>
      <c r="H2185">
        <f>IFERROR(IF(INDEX('CONTROLE PRODUÇÃO POR EMPRESAS'!$H$6:$J$5000,MATCH($A2185,'CONTROLE PRODUÇÃO POR EMPRESAS'!$A$6:$A$5000,0),3)="","",IFERROR(1*INDEX('CONTROLE PRODUÇÃO POR EMPRESAS'!$H$6:$J$5000,MATCH($A2185,'CONTROLE PRODUÇÃO POR EMPRESAS'!$A$6:$A$5000,0),3),"")),"")</f>
        <v/>
      </c>
      <c r="I2185">
        <f>IF(OR(NOT(ISNUMBER(G2185)),NOT(ISNUMBER(H2185))),"",H2185-G2185)</f>
        <v/>
      </c>
      <c r="J2185">
        <f>IF(OR(NOT(ISNUMBER(G2185)),NOT(ISNUMBER(H2185)),G2185=0),"",I2185/G2185)</f>
        <v/>
      </c>
      <c r="K2185">
        <f>IF(OR(NOT(ISNUMBER(G2185)),NOT(ISNUMBER(H2185)),G2185=0),"",H2185/G2185)</f>
        <v/>
      </c>
      <c r="L2185">
        <f>IF(NOT(ISNUMBER(G2185)),"SEM META",IF(G2185=0,"SEM META",IF(NOT(ISNUMBER(H2185)),"SEM APONTAMENTO",IF(H2185&gt;=G2185,"VERDE",IF(H2185&gt;=G2185*0.9,"AMARELO","VERMELHO")))))</f>
        <v/>
      </c>
    </row>
    <row r="2186">
      <c r="A2186" s="321" t="n">
        <v>46237</v>
      </c>
      <c r="B2186" t="inlineStr">
        <is>
          <t>GERAL</t>
        </is>
      </c>
      <c r="C2186" t="inlineStr">
        <is>
          <t>GLOBO AÇOS</t>
        </is>
      </c>
      <c r="D2186" t="inlineStr">
        <is>
          <t>PERFILAÇÃO</t>
        </is>
      </c>
      <c r="F2186">
        <f>IFERROR(INDEX('BASE METAS DIÁRIAS'!$AA$2:$AC$358,MATCH($A2186,'BASE METAS DIÁRIAS'!$A$2:$A$358,0),1),"")</f>
        <v/>
      </c>
      <c r="G2186">
        <f>IFERROR(IF(WEEKDAY($A2186,2)&lt;=INDEX('BASE METAS DIÁRIAS'!$X$2:$Z$358,MATCH($A2186,'BASE METAS DIÁRIAS'!$A$2:$A$358,0),1),INDEX('BASE METAS DIÁRIAS'!$U$2:$W$358,MATCH($A2186,'BASE METAS DIÁRIAS'!$A$2:$A$358,0),1),""),"")</f>
        <v/>
      </c>
      <c r="H2186">
        <f>IFERROR(IF(INDEX('CONTROLE PRODUÇÃO POR EMPRESAS'!$H$6:$J$5000,MATCH($A2186,'CONTROLE PRODUÇÃO POR EMPRESAS'!$A$6:$A$5000,0),1)="","",IFERROR(1*INDEX('CONTROLE PRODUÇÃO POR EMPRESAS'!$H$6:$J$5000,MATCH($A2186,'CONTROLE PRODUÇÃO POR EMPRESAS'!$A$6:$A$5000,0),1),"")),"")</f>
        <v/>
      </c>
      <c r="I2186">
        <f>IF(OR(NOT(ISNUMBER(G2186)),NOT(ISNUMBER(H2186))),"",H2186-G2186)</f>
        <v/>
      </c>
      <c r="J2186">
        <f>IF(OR(NOT(ISNUMBER(G2186)),NOT(ISNUMBER(H2186)),G2186=0),"",I2186/G2186)</f>
        <v/>
      </c>
      <c r="K2186">
        <f>IF(OR(NOT(ISNUMBER(G2186)),NOT(ISNUMBER(H2186)),G2186=0),"",H2186/G2186)</f>
        <v/>
      </c>
      <c r="L2186">
        <f>IF(NOT(ISNUMBER(G2186)),"SEM META",IF(G2186=0,"SEM META",IF(NOT(ISNUMBER(H2186)),"SEM APONTAMENTO",IF(H2186&gt;=G2186,"VERDE",IF(H2186&gt;=G2186*0.9,"AMARELO","VERMELHO")))))</f>
        <v/>
      </c>
    </row>
    <row r="2187">
      <c r="A2187" s="321" t="n">
        <v>46237</v>
      </c>
      <c r="B2187" t="inlineStr">
        <is>
          <t>GERAL</t>
        </is>
      </c>
      <c r="C2187" t="inlineStr">
        <is>
          <t>GLOBO AÇOS</t>
        </is>
      </c>
      <c r="D2187" t="inlineStr">
        <is>
          <t>TELHAR</t>
        </is>
      </c>
      <c r="F2187">
        <f>IFERROR(INDEX('BASE METAS DIÁRIAS'!$AA$2:$AC$358,MATCH($A2187,'BASE METAS DIÁRIAS'!$A$2:$A$358,0),2),"")</f>
        <v/>
      </c>
      <c r="G2187">
        <f>IFERROR(IF(WEEKDAY($A2187,2)&lt;=INDEX('BASE METAS DIÁRIAS'!$X$2:$Z$358,MATCH($A2187,'BASE METAS DIÁRIAS'!$A$2:$A$358,0),2),INDEX('BASE METAS DIÁRIAS'!$U$2:$W$358,MATCH($A2187,'BASE METAS DIÁRIAS'!$A$2:$A$358,0),2),""),"")</f>
        <v/>
      </c>
      <c r="H2187">
        <f>IFERROR(IF(INDEX('CONTROLE PRODUÇÃO POR EMPRESAS'!$H$6:$J$5000,MATCH($A2187,'CONTROLE PRODUÇÃO POR EMPRESAS'!$A$6:$A$5000,0),2)="","",IFERROR(1*INDEX('CONTROLE PRODUÇÃO POR EMPRESAS'!$H$6:$J$5000,MATCH($A2187,'CONTROLE PRODUÇÃO POR EMPRESAS'!$A$6:$A$5000,0),2),"")),"")</f>
        <v/>
      </c>
      <c r="I2187">
        <f>IF(OR(NOT(ISNUMBER(G2187)),NOT(ISNUMBER(H2187))),"",H2187-G2187)</f>
        <v/>
      </c>
      <c r="J2187">
        <f>IF(OR(NOT(ISNUMBER(G2187)),NOT(ISNUMBER(H2187)),G2187=0),"",I2187/G2187)</f>
        <v/>
      </c>
      <c r="K2187">
        <f>IF(OR(NOT(ISNUMBER(G2187)),NOT(ISNUMBER(H2187)),G2187=0),"",H2187/G2187)</f>
        <v/>
      </c>
      <c r="L2187">
        <f>IF(NOT(ISNUMBER(G2187)),"SEM META",IF(G2187=0,"SEM META",IF(NOT(ISNUMBER(H2187)),"SEM APONTAMENTO",IF(H2187&gt;=G2187,"VERDE",IF(H2187&gt;=G2187*0.9,"AMARELO","VERMELHO")))))</f>
        <v/>
      </c>
    </row>
    <row r="2188">
      <c r="A2188" s="321" t="n">
        <v>46237</v>
      </c>
      <c r="B2188" t="inlineStr">
        <is>
          <t>GERAL</t>
        </is>
      </c>
      <c r="C2188" t="inlineStr">
        <is>
          <t>GLOBO AÇOS</t>
        </is>
      </c>
      <c r="D2188" t="inlineStr">
        <is>
          <t>FECHAMENTO</t>
        </is>
      </c>
      <c r="F2188">
        <f>IFERROR(INDEX('BASE METAS DIÁRIAS'!$AA$2:$AC$358,MATCH($A2188,'BASE METAS DIÁRIAS'!$A$2:$A$358,0),3),"")</f>
        <v/>
      </c>
      <c r="G2188">
        <f>IFERROR(IF(WEEKDAY($A2188,2)&lt;=INDEX('BASE METAS DIÁRIAS'!$X$2:$Z$358,MATCH($A2188,'BASE METAS DIÁRIAS'!$A$2:$A$358,0),3),INDEX('BASE METAS DIÁRIAS'!$U$2:$W$358,MATCH($A2188,'BASE METAS DIÁRIAS'!$A$2:$A$358,0),3),""),"")</f>
        <v/>
      </c>
      <c r="H2188">
        <f>IFERROR(IF(INDEX('CONTROLE PRODUÇÃO POR EMPRESAS'!$H$6:$J$5000,MATCH($A2188,'CONTROLE PRODUÇÃO POR EMPRESAS'!$A$6:$A$5000,0),3)="","",IFERROR(1*INDEX('CONTROLE PRODUÇÃO POR EMPRESAS'!$H$6:$J$5000,MATCH($A2188,'CONTROLE PRODUÇÃO POR EMPRESAS'!$A$6:$A$5000,0),3),"")),"")</f>
        <v/>
      </c>
      <c r="I2188">
        <f>IF(OR(NOT(ISNUMBER(G2188)),NOT(ISNUMBER(H2188))),"",H2188-G2188)</f>
        <v/>
      </c>
      <c r="J2188">
        <f>IF(OR(NOT(ISNUMBER(G2188)),NOT(ISNUMBER(H2188)),G2188=0),"",I2188/G2188)</f>
        <v/>
      </c>
      <c r="K2188">
        <f>IF(OR(NOT(ISNUMBER(G2188)),NOT(ISNUMBER(H2188)),G2188=0),"",H2188/G2188)</f>
        <v/>
      </c>
      <c r="L2188">
        <f>IF(NOT(ISNUMBER(G2188)),"SEM META",IF(G2188=0,"SEM META",IF(NOT(ISNUMBER(H2188)),"SEM APONTAMENTO",IF(H2188&gt;=G2188,"VERDE",IF(H2188&gt;=G2188*0.9,"AMARELO","VERMELHO")))))</f>
        <v/>
      </c>
    </row>
    <row r="2189">
      <c r="A2189" s="321" t="n">
        <v>46238</v>
      </c>
      <c r="B2189" t="inlineStr">
        <is>
          <t>GERAL</t>
        </is>
      </c>
      <c r="C2189" t="inlineStr">
        <is>
          <t>GLOBO AÇOS</t>
        </is>
      </c>
      <c r="D2189" t="inlineStr">
        <is>
          <t>PERFILAÇÃO</t>
        </is>
      </c>
      <c r="F2189">
        <f>IFERROR(INDEX('BASE METAS DIÁRIAS'!$AA$2:$AC$358,MATCH($A2189,'BASE METAS DIÁRIAS'!$A$2:$A$358,0),1),"")</f>
        <v/>
      </c>
      <c r="G2189">
        <f>IFERROR(IF(WEEKDAY($A2189,2)&lt;=INDEX('BASE METAS DIÁRIAS'!$X$2:$Z$358,MATCH($A2189,'BASE METAS DIÁRIAS'!$A$2:$A$358,0),1),INDEX('BASE METAS DIÁRIAS'!$U$2:$W$358,MATCH($A2189,'BASE METAS DIÁRIAS'!$A$2:$A$358,0),1),""),"")</f>
        <v/>
      </c>
      <c r="H2189">
        <f>IFERROR(IF(INDEX('CONTROLE PRODUÇÃO POR EMPRESAS'!$H$6:$J$5000,MATCH($A2189,'CONTROLE PRODUÇÃO POR EMPRESAS'!$A$6:$A$5000,0),1)="","",IFERROR(1*INDEX('CONTROLE PRODUÇÃO POR EMPRESAS'!$H$6:$J$5000,MATCH($A2189,'CONTROLE PRODUÇÃO POR EMPRESAS'!$A$6:$A$5000,0),1),"")),"")</f>
        <v/>
      </c>
      <c r="I2189">
        <f>IF(OR(NOT(ISNUMBER(G2189)),NOT(ISNUMBER(H2189))),"",H2189-G2189)</f>
        <v/>
      </c>
      <c r="J2189">
        <f>IF(OR(NOT(ISNUMBER(G2189)),NOT(ISNUMBER(H2189)),G2189=0),"",I2189/G2189)</f>
        <v/>
      </c>
      <c r="K2189">
        <f>IF(OR(NOT(ISNUMBER(G2189)),NOT(ISNUMBER(H2189)),G2189=0),"",H2189/G2189)</f>
        <v/>
      </c>
      <c r="L2189">
        <f>IF(NOT(ISNUMBER(G2189)),"SEM META",IF(G2189=0,"SEM META",IF(NOT(ISNUMBER(H2189)),"SEM APONTAMENTO",IF(H2189&gt;=G2189,"VERDE",IF(H2189&gt;=G2189*0.9,"AMARELO","VERMELHO")))))</f>
        <v/>
      </c>
    </row>
    <row r="2190">
      <c r="A2190" s="321" t="n">
        <v>46238</v>
      </c>
      <c r="B2190" t="inlineStr">
        <is>
          <t>GERAL</t>
        </is>
      </c>
      <c r="C2190" t="inlineStr">
        <is>
          <t>GLOBO AÇOS</t>
        </is>
      </c>
      <c r="D2190" t="inlineStr">
        <is>
          <t>TELHAR</t>
        </is>
      </c>
      <c r="F2190">
        <f>IFERROR(INDEX('BASE METAS DIÁRIAS'!$AA$2:$AC$358,MATCH($A2190,'BASE METAS DIÁRIAS'!$A$2:$A$358,0),2),"")</f>
        <v/>
      </c>
      <c r="G2190">
        <f>IFERROR(IF(WEEKDAY($A2190,2)&lt;=INDEX('BASE METAS DIÁRIAS'!$X$2:$Z$358,MATCH($A2190,'BASE METAS DIÁRIAS'!$A$2:$A$358,0),2),INDEX('BASE METAS DIÁRIAS'!$U$2:$W$358,MATCH($A2190,'BASE METAS DIÁRIAS'!$A$2:$A$358,0),2),""),"")</f>
        <v/>
      </c>
      <c r="H2190">
        <f>IFERROR(IF(INDEX('CONTROLE PRODUÇÃO POR EMPRESAS'!$H$6:$J$5000,MATCH($A2190,'CONTROLE PRODUÇÃO POR EMPRESAS'!$A$6:$A$5000,0),2)="","",IFERROR(1*INDEX('CONTROLE PRODUÇÃO POR EMPRESAS'!$H$6:$J$5000,MATCH($A2190,'CONTROLE PRODUÇÃO POR EMPRESAS'!$A$6:$A$5000,0),2),"")),"")</f>
        <v/>
      </c>
      <c r="I2190">
        <f>IF(OR(NOT(ISNUMBER(G2190)),NOT(ISNUMBER(H2190))),"",H2190-G2190)</f>
        <v/>
      </c>
      <c r="J2190">
        <f>IF(OR(NOT(ISNUMBER(G2190)),NOT(ISNUMBER(H2190)),G2190=0),"",I2190/G2190)</f>
        <v/>
      </c>
      <c r="K2190">
        <f>IF(OR(NOT(ISNUMBER(G2190)),NOT(ISNUMBER(H2190)),G2190=0),"",H2190/G2190)</f>
        <v/>
      </c>
      <c r="L2190">
        <f>IF(NOT(ISNUMBER(G2190)),"SEM META",IF(G2190=0,"SEM META",IF(NOT(ISNUMBER(H2190)),"SEM APONTAMENTO",IF(H2190&gt;=G2190,"VERDE",IF(H2190&gt;=G2190*0.9,"AMARELO","VERMELHO")))))</f>
        <v/>
      </c>
    </row>
    <row r="2191">
      <c r="A2191" s="321" t="n">
        <v>46238</v>
      </c>
      <c r="B2191" t="inlineStr">
        <is>
          <t>GERAL</t>
        </is>
      </c>
      <c r="C2191" t="inlineStr">
        <is>
          <t>GLOBO AÇOS</t>
        </is>
      </c>
      <c r="D2191" t="inlineStr">
        <is>
          <t>FECHAMENTO</t>
        </is>
      </c>
      <c r="F2191">
        <f>IFERROR(INDEX('BASE METAS DIÁRIAS'!$AA$2:$AC$358,MATCH($A2191,'BASE METAS DIÁRIAS'!$A$2:$A$358,0),3),"")</f>
        <v/>
      </c>
      <c r="G2191">
        <f>IFERROR(IF(WEEKDAY($A2191,2)&lt;=INDEX('BASE METAS DIÁRIAS'!$X$2:$Z$358,MATCH($A2191,'BASE METAS DIÁRIAS'!$A$2:$A$358,0),3),INDEX('BASE METAS DIÁRIAS'!$U$2:$W$358,MATCH($A2191,'BASE METAS DIÁRIAS'!$A$2:$A$358,0),3),""),"")</f>
        <v/>
      </c>
      <c r="H2191">
        <f>IFERROR(IF(INDEX('CONTROLE PRODUÇÃO POR EMPRESAS'!$H$6:$J$5000,MATCH($A2191,'CONTROLE PRODUÇÃO POR EMPRESAS'!$A$6:$A$5000,0),3)="","",IFERROR(1*INDEX('CONTROLE PRODUÇÃO POR EMPRESAS'!$H$6:$J$5000,MATCH($A2191,'CONTROLE PRODUÇÃO POR EMPRESAS'!$A$6:$A$5000,0),3),"")),"")</f>
        <v/>
      </c>
      <c r="I2191">
        <f>IF(OR(NOT(ISNUMBER(G2191)),NOT(ISNUMBER(H2191))),"",H2191-G2191)</f>
        <v/>
      </c>
      <c r="J2191">
        <f>IF(OR(NOT(ISNUMBER(G2191)),NOT(ISNUMBER(H2191)),G2191=0),"",I2191/G2191)</f>
        <v/>
      </c>
      <c r="K2191">
        <f>IF(OR(NOT(ISNUMBER(G2191)),NOT(ISNUMBER(H2191)),G2191=0),"",H2191/G2191)</f>
        <v/>
      </c>
      <c r="L2191">
        <f>IF(NOT(ISNUMBER(G2191)),"SEM META",IF(G2191=0,"SEM META",IF(NOT(ISNUMBER(H2191)),"SEM APONTAMENTO",IF(H2191&gt;=G2191,"VERDE",IF(H2191&gt;=G2191*0.9,"AMARELO","VERMELHO")))))</f>
        <v/>
      </c>
    </row>
    <row r="2192">
      <c r="A2192" s="321" t="n">
        <v>46239</v>
      </c>
      <c r="B2192" t="inlineStr">
        <is>
          <t>GERAL</t>
        </is>
      </c>
      <c r="C2192" t="inlineStr">
        <is>
          <t>GLOBO AÇOS</t>
        </is>
      </c>
      <c r="D2192" t="inlineStr">
        <is>
          <t>PERFILAÇÃO</t>
        </is>
      </c>
      <c r="F2192">
        <f>IFERROR(INDEX('BASE METAS DIÁRIAS'!$AA$2:$AC$358,MATCH($A2192,'BASE METAS DIÁRIAS'!$A$2:$A$358,0),1),"")</f>
        <v/>
      </c>
      <c r="G2192">
        <f>IFERROR(IF(WEEKDAY($A2192,2)&lt;=INDEX('BASE METAS DIÁRIAS'!$X$2:$Z$358,MATCH($A2192,'BASE METAS DIÁRIAS'!$A$2:$A$358,0),1),INDEX('BASE METAS DIÁRIAS'!$U$2:$W$358,MATCH($A2192,'BASE METAS DIÁRIAS'!$A$2:$A$358,0),1),""),"")</f>
        <v/>
      </c>
      <c r="H2192">
        <f>IFERROR(IF(INDEX('CONTROLE PRODUÇÃO POR EMPRESAS'!$H$6:$J$5000,MATCH($A2192,'CONTROLE PRODUÇÃO POR EMPRESAS'!$A$6:$A$5000,0),1)="","",IFERROR(1*INDEX('CONTROLE PRODUÇÃO POR EMPRESAS'!$H$6:$J$5000,MATCH($A2192,'CONTROLE PRODUÇÃO POR EMPRESAS'!$A$6:$A$5000,0),1),"")),"")</f>
        <v/>
      </c>
      <c r="I2192">
        <f>IF(OR(NOT(ISNUMBER(G2192)),NOT(ISNUMBER(H2192))),"",H2192-G2192)</f>
        <v/>
      </c>
      <c r="J2192">
        <f>IF(OR(NOT(ISNUMBER(G2192)),NOT(ISNUMBER(H2192)),G2192=0),"",I2192/G2192)</f>
        <v/>
      </c>
      <c r="K2192">
        <f>IF(OR(NOT(ISNUMBER(G2192)),NOT(ISNUMBER(H2192)),G2192=0),"",H2192/G2192)</f>
        <v/>
      </c>
      <c r="L2192">
        <f>IF(NOT(ISNUMBER(G2192)),"SEM META",IF(G2192=0,"SEM META",IF(NOT(ISNUMBER(H2192)),"SEM APONTAMENTO",IF(H2192&gt;=G2192,"VERDE",IF(H2192&gt;=G2192*0.9,"AMARELO","VERMELHO")))))</f>
        <v/>
      </c>
    </row>
    <row r="2193">
      <c r="A2193" s="321" t="n">
        <v>46239</v>
      </c>
      <c r="B2193" t="inlineStr">
        <is>
          <t>GERAL</t>
        </is>
      </c>
      <c r="C2193" t="inlineStr">
        <is>
          <t>GLOBO AÇOS</t>
        </is>
      </c>
      <c r="D2193" t="inlineStr">
        <is>
          <t>TELHAR</t>
        </is>
      </c>
      <c r="F2193">
        <f>IFERROR(INDEX('BASE METAS DIÁRIAS'!$AA$2:$AC$358,MATCH($A2193,'BASE METAS DIÁRIAS'!$A$2:$A$358,0),2),"")</f>
        <v/>
      </c>
      <c r="G2193">
        <f>IFERROR(IF(WEEKDAY($A2193,2)&lt;=INDEX('BASE METAS DIÁRIAS'!$X$2:$Z$358,MATCH($A2193,'BASE METAS DIÁRIAS'!$A$2:$A$358,0),2),INDEX('BASE METAS DIÁRIAS'!$U$2:$W$358,MATCH($A2193,'BASE METAS DIÁRIAS'!$A$2:$A$358,0),2),""),"")</f>
        <v/>
      </c>
      <c r="H2193">
        <f>IFERROR(IF(INDEX('CONTROLE PRODUÇÃO POR EMPRESAS'!$H$6:$J$5000,MATCH($A2193,'CONTROLE PRODUÇÃO POR EMPRESAS'!$A$6:$A$5000,0),2)="","",IFERROR(1*INDEX('CONTROLE PRODUÇÃO POR EMPRESAS'!$H$6:$J$5000,MATCH($A2193,'CONTROLE PRODUÇÃO POR EMPRESAS'!$A$6:$A$5000,0),2),"")),"")</f>
        <v/>
      </c>
      <c r="I2193">
        <f>IF(OR(NOT(ISNUMBER(G2193)),NOT(ISNUMBER(H2193))),"",H2193-G2193)</f>
        <v/>
      </c>
      <c r="J2193">
        <f>IF(OR(NOT(ISNUMBER(G2193)),NOT(ISNUMBER(H2193)),G2193=0),"",I2193/G2193)</f>
        <v/>
      </c>
      <c r="K2193">
        <f>IF(OR(NOT(ISNUMBER(G2193)),NOT(ISNUMBER(H2193)),G2193=0),"",H2193/G2193)</f>
        <v/>
      </c>
      <c r="L2193">
        <f>IF(NOT(ISNUMBER(G2193)),"SEM META",IF(G2193=0,"SEM META",IF(NOT(ISNUMBER(H2193)),"SEM APONTAMENTO",IF(H2193&gt;=G2193,"VERDE",IF(H2193&gt;=G2193*0.9,"AMARELO","VERMELHO")))))</f>
        <v/>
      </c>
    </row>
    <row r="2194">
      <c r="A2194" s="321" t="n">
        <v>46239</v>
      </c>
      <c r="B2194" t="inlineStr">
        <is>
          <t>GERAL</t>
        </is>
      </c>
      <c r="C2194" t="inlineStr">
        <is>
          <t>GLOBO AÇOS</t>
        </is>
      </c>
      <c r="D2194" t="inlineStr">
        <is>
          <t>FECHAMENTO</t>
        </is>
      </c>
      <c r="F2194">
        <f>IFERROR(INDEX('BASE METAS DIÁRIAS'!$AA$2:$AC$358,MATCH($A2194,'BASE METAS DIÁRIAS'!$A$2:$A$358,0),3),"")</f>
        <v/>
      </c>
      <c r="G2194">
        <f>IFERROR(IF(WEEKDAY($A2194,2)&lt;=INDEX('BASE METAS DIÁRIAS'!$X$2:$Z$358,MATCH($A2194,'BASE METAS DIÁRIAS'!$A$2:$A$358,0),3),INDEX('BASE METAS DIÁRIAS'!$U$2:$W$358,MATCH($A2194,'BASE METAS DIÁRIAS'!$A$2:$A$358,0),3),""),"")</f>
        <v/>
      </c>
      <c r="H2194">
        <f>IFERROR(IF(INDEX('CONTROLE PRODUÇÃO POR EMPRESAS'!$H$6:$J$5000,MATCH($A2194,'CONTROLE PRODUÇÃO POR EMPRESAS'!$A$6:$A$5000,0),3)="","",IFERROR(1*INDEX('CONTROLE PRODUÇÃO POR EMPRESAS'!$H$6:$J$5000,MATCH($A2194,'CONTROLE PRODUÇÃO POR EMPRESAS'!$A$6:$A$5000,0),3),"")),"")</f>
        <v/>
      </c>
      <c r="I2194">
        <f>IF(OR(NOT(ISNUMBER(G2194)),NOT(ISNUMBER(H2194))),"",H2194-G2194)</f>
        <v/>
      </c>
      <c r="J2194">
        <f>IF(OR(NOT(ISNUMBER(G2194)),NOT(ISNUMBER(H2194)),G2194=0),"",I2194/G2194)</f>
        <v/>
      </c>
      <c r="K2194">
        <f>IF(OR(NOT(ISNUMBER(G2194)),NOT(ISNUMBER(H2194)),G2194=0),"",H2194/G2194)</f>
        <v/>
      </c>
      <c r="L2194">
        <f>IF(NOT(ISNUMBER(G2194)),"SEM META",IF(G2194=0,"SEM META",IF(NOT(ISNUMBER(H2194)),"SEM APONTAMENTO",IF(H2194&gt;=G2194,"VERDE",IF(H2194&gt;=G2194*0.9,"AMARELO","VERMELHO")))))</f>
        <v/>
      </c>
    </row>
    <row r="2195">
      <c r="A2195" s="321" t="n">
        <v>46240</v>
      </c>
      <c r="B2195" t="inlineStr">
        <is>
          <t>GERAL</t>
        </is>
      </c>
      <c r="C2195" t="inlineStr">
        <is>
          <t>GLOBO AÇOS</t>
        </is>
      </c>
      <c r="D2195" t="inlineStr">
        <is>
          <t>PERFILAÇÃO</t>
        </is>
      </c>
      <c r="F2195">
        <f>IFERROR(INDEX('BASE METAS DIÁRIAS'!$AA$2:$AC$358,MATCH($A2195,'BASE METAS DIÁRIAS'!$A$2:$A$358,0),1),"")</f>
        <v/>
      </c>
      <c r="G2195">
        <f>IFERROR(IF(WEEKDAY($A2195,2)&lt;=INDEX('BASE METAS DIÁRIAS'!$X$2:$Z$358,MATCH($A2195,'BASE METAS DIÁRIAS'!$A$2:$A$358,0),1),INDEX('BASE METAS DIÁRIAS'!$U$2:$W$358,MATCH($A2195,'BASE METAS DIÁRIAS'!$A$2:$A$358,0),1),""),"")</f>
        <v/>
      </c>
      <c r="H2195">
        <f>IFERROR(IF(INDEX('CONTROLE PRODUÇÃO POR EMPRESAS'!$H$6:$J$5000,MATCH($A2195,'CONTROLE PRODUÇÃO POR EMPRESAS'!$A$6:$A$5000,0),1)="","",IFERROR(1*INDEX('CONTROLE PRODUÇÃO POR EMPRESAS'!$H$6:$J$5000,MATCH($A2195,'CONTROLE PRODUÇÃO POR EMPRESAS'!$A$6:$A$5000,0),1),"")),"")</f>
        <v/>
      </c>
      <c r="I2195">
        <f>IF(OR(NOT(ISNUMBER(G2195)),NOT(ISNUMBER(H2195))),"",H2195-G2195)</f>
        <v/>
      </c>
      <c r="J2195">
        <f>IF(OR(NOT(ISNUMBER(G2195)),NOT(ISNUMBER(H2195)),G2195=0),"",I2195/G2195)</f>
        <v/>
      </c>
      <c r="K2195">
        <f>IF(OR(NOT(ISNUMBER(G2195)),NOT(ISNUMBER(H2195)),G2195=0),"",H2195/G2195)</f>
        <v/>
      </c>
      <c r="L2195">
        <f>IF(NOT(ISNUMBER(G2195)),"SEM META",IF(G2195=0,"SEM META",IF(NOT(ISNUMBER(H2195)),"SEM APONTAMENTO",IF(H2195&gt;=G2195,"VERDE",IF(H2195&gt;=G2195*0.9,"AMARELO","VERMELHO")))))</f>
        <v/>
      </c>
    </row>
    <row r="2196">
      <c r="A2196" s="321" t="n">
        <v>46240</v>
      </c>
      <c r="B2196" t="inlineStr">
        <is>
          <t>GERAL</t>
        </is>
      </c>
      <c r="C2196" t="inlineStr">
        <is>
          <t>GLOBO AÇOS</t>
        </is>
      </c>
      <c r="D2196" t="inlineStr">
        <is>
          <t>TELHAR</t>
        </is>
      </c>
      <c r="F2196">
        <f>IFERROR(INDEX('BASE METAS DIÁRIAS'!$AA$2:$AC$358,MATCH($A2196,'BASE METAS DIÁRIAS'!$A$2:$A$358,0),2),"")</f>
        <v/>
      </c>
      <c r="G2196">
        <f>IFERROR(IF(WEEKDAY($A2196,2)&lt;=INDEX('BASE METAS DIÁRIAS'!$X$2:$Z$358,MATCH($A2196,'BASE METAS DIÁRIAS'!$A$2:$A$358,0),2),INDEX('BASE METAS DIÁRIAS'!$U$2:$W$358,MATCH($A2196,'BASE METAS DIÁRIAS'!$A$2:$A$358,0),2),""),"")</f>
        <v/>
      </c>
      <c r="H2196">
        <f>IFERROR(IF(INDEX('CONTROLE PRODUÇÃO POR EMPRESAS'!$H$6:$J$5000,MATCH($A2196,'CONTROLE PRODUÇÃO POR EMPRESAS'!$A$6:$A$5000,0),2)="","",IFERROR(1*INDEX('CONTROLE PRODUÇÃO POR EMPRESAS'!$H$6:$J$5000,MATCH($A2196,'CONTROLE PRODUÇÃO POR EMPRESAS'!$A$6:$A$5000,0),2),"")),"")</f>
        <v/>
      </c>
      <c r="I2196">
        <f>IF(OR(NOT(ISNUMBER(G2196)),NOT(ISNUMBER(H2196))),"",H2196-G2196)</f>
        <v/>
      </c>
      <c r="J2196">
        <f>IF(OR(NOT(ISNUMBER(G2196)),NOT(ISNUMBER(H2196)),G2196=0),"",I2196/G2196)</f>
        <v/>
      </c>
      <c r="K2196">
        <f>IF(OR(NOT(ISNUMBER(G2196)),NOT(ISNUMBER(H2196)),G2196=0),"",H2196/G2196)</f>
        <v/>
      </c>
      <c r="L2196">
        <f>IF(NOT(ISNUMBER(G2196)),"SEM META",IF(G2196=0,"SEM META",IF(NOT(ISNUMBER(H2196)),"SEM APONTAMENTO",IF(H2196&gt;=G2196,"VERDE",IF(H2196&gt;=G2196*0.9,"AMARELO","VERMELHO")))))</f>
        <v/>
      </c>
    </row>
    <row r="2197">
      <c r="A2197" s="321" t="n">
        <v>46240</v>
      </c>
      <c r="B2197" t="inlineStr">
        <is>
          <t>GERAL</t>
        </is>
      </c>
      <c r="C2197" t="inlineStr">
        <is>
          <t>GLOBO AÇOS</t>
        </is>
      </c>
      <c r="D2197" t="inlineStr">
        <is>
          <t>FECHAMENTO</t>
        </is>
      </c>
      <c r="F2197">
        <f>IFERROR(INDEX('BASE METAS DIÁRIAS'!$AA$2:$AC$358,MATCH($A2197,'BASE METAS DIÁRIAS'!$A$2:$A$358,0),3),"")</f>
        <v/>
      </c>
      <c r="G2197">
        <f>IFERROR(IF(WEEKDAY($A2197,2)&lt;=INDEX('BASE METAS DIÁRIAS'!$X$2:$Z$358,MATCH($A2197,'BASE METAS DIÁRIAS'!$A$2:$A$358,0),3),INDEX('BASE METAS DIÁRIAS'!$U$2:$W$358,MATCH($A2197,'BASE METAS DIÁRIAS'!$A$2:$A$358,0),3),""),"")</f>
        <v/>
      </c>
      <c r="H2197">
        <f>IFERROR(IF(INDEX('CONTROLE PRODUÇÃO POR EMPRESAS'!$H$6:$J$5000,MATCH($A2197,'CONTROLE PRODUÇÃO POR EMPRESAS'!$A$6:$A$5000,0),3)="","",IFERROR(1*INDEX('CONTROLE PRODUÇÃO POR EMPRESAS'!$H$6:$J$5000,MATCH($A2197,'CONTROLE PRODUÇÃO POR EMPRESAS'!$A$6:$A$5000,0),3),"")),"")</f>
        <v/>
      </c>
      <c r="I2197">
        <f>IF(OR(NOT(ISNUMBER(G2197)),NOT(ISNUMBER(H2197))),"",H2197-G2197)</f>
        <v/>
      </c>
      <c r="J2197">
        <f>IF(OR(NOT(ISNUMBER(G2197)),NOT(ISNUMBER(H2197)),G2197=0),"",I2197/G2197)</f>
        <v/>
      </c>
      <c r="K2197">
        <f>IF(OR(NOT(ISNUMBER(G2197)),NOT(ISNUMBER(H2197)),G2197=0),"",H2197/G2197)</f>
        <v/>
      </c>
      <c r="L2197">
        <f>IF(NOT(ISNUMBER(G2197)),"SEM META",IF(G2197=0,"SEM META",IF(NOT(ISNUMBER(H2197)),"SEM APONTAMENTO",IF(H2197&gt;=G2197,"VERDE",IF(H2197&gt;=G2197*0.9,"AMARELO","VERMELHO")))))</f>
        <v/>
      </c>
    </row>
    <row r="2198">
      <c r="A2198" s="321" t="n">
        <v>46241</v>
      </c>
      <c r="B2198" t="inlineStr">
        <is>
          <t>GERAL</t>
        </is>
      </c>
      <c r="C2198" t="inlineStr">
        <is>
          <t>GLOBO AÇOS</t>
        </is>
      </c>
      <c r="D2198" t="inlineStr">
        <is>
          <t>PERFILAÇÃO</t>
        </is>
      </c>
      <c r="F2198">
        <f>IFERROR(INDEX('BASE METAS DIÁRIAS'!$AA$2:$AC$358,MATCH($A2198,'BASE METAS DIÁRIAS'!$A$2:$A$358,0),1),"")</f>
        <v/>
      </c>
      <c r="G2198">
        <f>IFERROR(IF(WEEKDAY($A2198,2)&lt;=INDEX('BASE METAS DIÁRIAS'!$X$2:$Z$358,MATCH($A2198,'BASE METAS DIÁRIAS'!$A$2:$A$358,0),1),INDEX('BASE METAS DIÁRIAS'!$U$2:$W$358,MATCH($A2198,'BASE METAS DIÁRIAS'!$A$2:$A$358,0),1),""),"")</f>
        <v/>
      </c>
      <c r="H2198">
        <f>IFERROR(IF(INDEX('CONTROLE PRODUÇÃO POR EMPRESAS'!$H$6:$J$5000,MATCH($A2198,'CONTROLE PRODUÇÃO POR EMPRESAS'!$A$6:$A$5000,0),1)="","",IFERROR(1*INDEX('CONTROLE PRODUÇÃO POR EMPRESAS'!$H$6:$J$5000,MATCH($A2198,'CONTROLE PRODUÇÃO POR EMPRESAS'!$A$6:$A$5000,0),1),"")),"")</f>
        <v/>
      </c>
      <c r="I2198">
        <f>IF(OR(NOT(ISNUMBER(G2198)),NOT(ISNUMBER(H2198))),"",H2198-G2198)</f>
        <v/>
      </c>
      <c r="J2198">
        <f>IF(OR(NOT(ISNUMBER(G2198)),NOT(ISNUMBER(H2198)),G2198=0),"",I2198/G2198)</f>
        <v/>
      </c>
      <c r="K2198">
        <f>IF(OR(NOT(ISNUMBER(G2198)),NOT(ISNUMBER(H2198)),G2198=0),"",H2198/G2198)</f>
        <v/>
      </c>
      <c r="L2198">
        <f>IF(NOT(ISNUMBER(G2198)),"SEM META",IF(G2198=0,"SEM META",IF(NOT(ISNUMBER(H2198)),"SEM APONTAMENTO",IF(H2198&gt;=G2198,"VERDE",IF(H2198&gt;=G2198*0.9,"AMARELO","VERMELHO")))))</f>
        <v/>
      </c>
    </row>
    <row r="2199">
      <c r="A2199" s="321" t="n">
        <v>46241</v>
      </c>
      <c r="B2199" t="inlineStr">
        <is>
          <t>GERAL</t>
        </is>
      </c>
      <c r="C2199" t="inlineStr">
        <is>
          <t>GLOBO AÇOS</t>
        </is>
      </c>
      <c r="D2199" t="inlineStr">
        <is>
          <t>TELHAR</t>
        </is>
      </c>
      <c r="F2199">
        <f>IFERROR(INDEX('BASE METAS DIÁRIAS'!$AA$2:$AC$358,MATCH($A2199,'BASE METAS DIÁRIAS'!$A$2:$A$358,0),2),"")</f>
        <v/>
      </c>
      <c r="G2199">
        <f>IFERROR(IF(WEEKDAY($A2199,2)&lt;=INDEX('BASE METAS DIÁRIAS'!$X$2:$Z$358,MATCH($A2199,'BASE METAS DIÁRIAS'!$A$2:$A$358,0),2),INDEX('BASE METAS DIÁRIAS'!$U$2:$W$358,MATCH($A2199,'BASE METAS DIÁRIAS'!$A$2:$A$358,0),2),""),"")</f>
        <v/>
      </c>
      <c r="H2199">
        <f>IFERROR(IF(INDEX('CONTROLE PRODUÇÃO POR EMPRESAS'!$H$6:$J$5000,MATCH($A2199,'CONTROLE PRODUÇÃO POR EMPRESAS'!$A$6:$A$5000,0),2)="","",IFERROR(1*INDEX('CONTROLE PRODUÇÃO POR EMPRESAS'!$H$6:$J$5000,MATCH($A2199,'CONTROLE PRODUÇÃO POR EMPRESAS'!$A$6:$A$5000,0),2),"")),"")</f>
        <v/>
      </c>
      <c r="I2199">
        <f>IF(OR(NOT(ISNUMBER(G2199)),NOT(ISNUMBER(H2199))),"",H2199-G2199)</f>
        <v/>
      </c>
      <c r="J2199">
        <f>IF(OR(NOT(ISNUMBER(G2199)),NOT(ISNUMBER(H2199)),G2199=0),"",I2199/G2199)</f>
        <v/>
      </c>
      <c r="K2199">
        <f>IF(OR(NOT(ISNUMBER(G2199)),NOT(ISNUMBER(H2199)),G2199=0),"",H2199/G2199)</f>
        <v/>
      </c>
      <c r="L2199">
        <f>IF(NOT(ISNUMBER(G2199)),"SEM META",IF(G2199=0,"SEM META",IF(NOT(ISNUMBER(H2199)),"SEM APONTAMENTO",IF(H2199&gt;=G2199,"VERDE",IF(H2199&gt;=G2199*0.9,"AMARELO","VERMELHO")))))</f>
        <v/>
      </c>
    </row>
    <row r="2200">
      <c r="A2200" s="321" t="n">
        <v>46241</v>
      </c>
      <c r="B2200" t="inlineStr">
        <is>
          <t>GERAL</t>
        </is>
      </c>
      <c r="C2200" t="inlineStr">
        <is>
          <t>GLOBO AÇOS</t>
        </is>
      </c>
      <c r="D2200" t="inlineStr">
        <is>
          <t>FECHAMENTO</t>
        </is>
      </c>
      <c r="F2200">
        <f>IFERROR(INDEX('BASE METAS DIÁRIAS'!$AA$2:$AC$358,MATCH($A2200,'BASE METAS DIÁRIAS'!$A$2:$A$358,0),3),"")</f>
        <v/>
      </c>
      <c r="G2200">
        <f>IFERROR(IF(WEEKDAY($A2200,2)&lt;=INDEX('BASE METAS DIÁRIAS'!$X$2:$Z$358,MATCH($A2200,'BASE METAS DIÁRIAS'!$A$2:$A$358,0),3),INDEX('BASE METAS DIÁRIAS'!$U$2:$W$358,MATCH($A2200,'BASE METAS DIÁRIAS'!$A$2:$A$358,0),3),""),"")</f>
        <v/>
      </c>
      <c r="H2200">
        <f>IFERROR(IF(INDEX('CONTROLE PRODUÇÃO POR EMPRESAS'!$H$6:$J$5000,MATCH($A2200,'CONTROLE PRODUÇÃO POR EMPRESAS'!$A$6:$A$5000,0),3)="","",IFERROR(1*INDEX('CONTROLE PRODUÇÃO POR EMPRESAS'!$H$6:$J$5000,MATCH($A2200,'CONTROLE PRODUÇÃO POR EMPRESAS'!$A$6:$A$5000,0),3),"")),"")</f>
        <v/>
      </c>
      <c r="I2200">
        <f>IF(OR(NOT(ISNUMBER(G2200)),NOT(ISNUMBER(H2200))),"",H2200-G2200)</f>
        <v/>
      </c>
      <c r="J2200">
        <f>IF(OR(NOT(ISNUMBER(G2200)),NOT(ISNUMBER(H2200)),G2200=0),"",I2200/G2200)</f>
        <v/>
      </c>
      <c r="K2200">
        <f>IF(OR(NOT(ISNUMBER(G2200)),NOT(ISNUMBER(H2200)),G2200=0),"",H2200/G2200)</f>
        <v/>
      </c>
      <c r="L2200">
        <f>IF(NOT(ISNUMBER(G2200)),"SEM META",IF(G2200=0,"SEM META",IF(NOT(ISNUMBER(H2200)),"SEM APONTAMENTO",IF(H2200&gt;=G2200,"VERDE",IF(H2200&gt;=G2200*0.9,"AMARELO","VERMELHO")))))</f>
        <v/>
      </c>
    </row>
    <row r="2201">
      <c r="A2201" s="321" t="n">
        <v>46242</v>
      </c>
      <c r="B2201" t="inlineStr">
        <is>
          <t>GERAL</t>
        </is>
      </c>
      <c r="C2201" t="inlineStr">
        <is>
          <t>GLOBO AÇOS</t>
        </is>
      </c>
      <c r="D2201" t="inlineStr">
        <is>
          <t>PERFILAÇÃO</t>
        </is>
      </c>
      <c r="F2201">
        <f>IFERROR(INDEX('BASE METAS DIÁRIAS'!$AA$2:$AC$358,MATCH($A2201,'BASE METAS DIÁRIAS'!$A$2:$A$358,0),1),"")</f>
        <v/>
      </c>
      <c r="G2201">
        <f>IFERROR(IF(WEEKDAY($A2201,2)&lt;=INDEX('BASE METAS DIÁRIAS'!$X$2:$Z$358,MATCH($A2201,'BASE METAS DIÁRIAS'!$A$2:$A$358,0),1),INDEX('BASE METAS DIÁRIAS'!$U$2:$W$358,MATCH($A2201,'BASE METAS DIÁRIAS'!$A$2:$A$358,0),1),""),"")</f>
        <v/>
      </c>
      <c r="H2201">
        <f>IFERROR(IF(INDEX('CONTROLE PRODUÇÃO POR EMPRESAS'!$H$6:$J$5000,MATCH($A2201,'CONTROLE PRODUÇÃO POR EMPRESAS'!$A$6:$A$5000,0),1)="","",IFERROR(1*INDEX('CONTROLE PRODUÇÃO POR EMPRESAS'!$H$6:$J$5000,MATCH($A2201,'CONTROLE PRODUÇÃO POR EMPRESAS'!$A$6:$A$5000,0),1),"")),"")</f>
        <v/>
      </c>
      <c r="I2201">
        <f>IF(OR(NOT(ISNUMBER(G2201)),NOT(ISNUMBER(H2201))),"",H2201-G2201)</f>
        <v/>
      </c>
      <c r="J2201">
        <f>IF(OR(NOT(ISNUMBER(G2201)),NOT(ISNUMBER(H2201)),G2201=0),"",I2201/G2201)</f>
        <v/>
      </c>
      <c r="K2201">
        <f>IF(OR(NOT(ISNUMBER(G2201)),NOT(ISNUMBER(H2201)),G2201=0),"",H2201/G2201)</f>
        <v/>
      </c>
      <c r="L2201">
        <f>IF(NOT(ISNUMBER(G2201)),"SEM META",IF(G2201=0,"SEM META",IF(NOT(ISNUMBER(H2201)),"SEM APONTAMENTO",IF(H2201&gt;=G2201,"VERDE",IF(H2201&gt;=G2201*0.9,"AMARELO","VERMELHO")))))</f>
        <v/>
      </c>
    </row>
    <row r="2202">
      <c r="A2202" s="321" t="n">
        <v>46242</v>
      </c>
      <c r="B2202" t="inlineStr">
        <is>
          <t>GERAL</t>
        </is>
      </c>
      <c r="C2202" t="inlineStr">
        <is>
          <t>GLOBO AÇOS</t>
        </is>
      </c>
      <c r="D2202" t="inlineStr">
        <is>
          <t>TELHAR</t>
        </is>
      </c>
      <c r="F2202">
        <f>IFERROR(INDEX('BASE METAS DIÁRIAS'!$AA$2:$AC$358,MATCH($A2202,'BASE METAS DIÁRIAS'!$A$2:$A$358,0),2),"")</f>
        <v/>
      </c>
      <c r="G2202">
        <f>IFERROR(IF(WEEKDAY($A2202,2)&lt;=INDEX('BASE METAS DIÁRIAS'!$X$2:$Z$358,MATCH($A2202,'BASE METAS DIÁRIAS'!$A$2:$A$358,0),2),INDEX('BASE METAS DIÁRIAS'!$U$2:$W$358,MATCH($A2202,'BASE METAS DIÁRIAS'!$A$2:$A$358,0),2),""),"")</f>
        <v/>
      </c>
      <c r="H2202">
        <f>IFERROR(IF(INDEX('CONTROLE PRODUÇÃO POR EMPRESAS'!$H$6:$J$5000,MATCH($A2202,'CONTROLE PRODUÇÃO POR EMPRESAS'!$A$6:$A$5000,0),2)="","",IFERROR(1*INDEX('CONTROLE PRODUÇÃO POR EMPRESAS'!$H$6:$J$5000,MATCH($A2202,'CONTROLE PRODUÇÃO POR EMPRESAS'!$A$6:$A$5000,0),2),"")),"")</f>
        <v/>
      </c>
      <c r="I2202">
        <f>IF(OR(NOT(ISNUMBER(G2202)),NOT(ISNUMBER(H2202))),"",H2202-G2202)</f>
        <v/>
      </c>
      <c r="J2202">
        <f>IF(OR(NOT(ISNUMBER(G2202)),NOT(ISNUMBER(H2202)),G2202=0),"",I2202/G2202)</f>
        <v/>
      </c>
      <c r="K2202">
        <f>IF(OR(NOT(ISNUMBER(G2202)),NOT(ISNUMBER(H2202)),G2202=0),"",H2202/G2202)</f>
        <v/>
      </c>
      <c r="L2202">
        <f>IF(NOT(ISNUMBER(G2202)),"SEM META",IF(G2202=0,"SEM META",IF(NOT(ISNUMBER(H2202)),"SEM APONTAMENTO",IF(H2202&gt;=G2202,"VERDE",IF(H2202&gt;=G2202*0.9,"AMARELO","VERMELHO")))))</f>
        <v/>
      </c>
    </row>
    <row r="2203">
      <c r="A2203" s="321" t="n">
        <v>46242</v>
      </c>
      <c r="B2203" t="inlineStr">
        <is>
          <t>GERAL</t>
        </is>
      </c>
      <c r="C2203" t="inlineStr">
        <is>
          <t>GLOBO AÇOS</t>
        </is>
      </c>
      <c r="D2203" t="inlineStr">
        <is>
          <t>FECHAMENTO</t>
        </is>
      </c>
      <c r="F2203">
        <f>IFERROR(INDEX('BASE METAS DIÁRIAS'!$AA$2:$AC$358,MATCH($A2203,'BASE METAS DIÁRIAS'!$A$2:$A$358,0),3),"")</f>
        <v/>
      </c>
      <c r="G2203">
        <f>IFERROR(IF(WEEKDAY($A2203,2)&lt;=INDEX('BASE METAS DIÁRIAS'!$X$2:$Z$358,MATCH($A2203,'BASE METAS DIÁRIAS'!$A$2:$A$358,0),3),INDEX('BASE METAS DIÁRIAS'!$U$2:$W$358,MATCH($A2203,'BASE METAS DIÁRIAS'!$A$2:$A$358,0),3),""),"")</f>
        <v/>
      </c>
      <c r="H2203">
        <f>IFERROR(IF(INDEX('CONTROLE PRODUÇÃO POR EMPRESAS'!$H$6:$J$5000,MATCH($A2203,'CONTROLE PRODUÇÃO POR EMPRESAS'!$A$6:$A$5000,0),3)="","",IFERROR(1*INDEX('CONTROLE PRODUÇÃO POR EMPRESAS'!$H$6:$J$5000,MATCH($A2203,'CONTROLE PRODUÇÃO POR EMPRESAS'!$A$6:$A$5000,0),3),"")),"")</f>
        <v/>
      </c>
      <c r="I2203">
        <f>IF(OR(NOT(ISNUMBER(G2203)),NOT(ISNUMBER(H2203))),"",H2203-G2203)</f>
        <v/>
      </c>
      <c r="J2203">
        <f>IF(OR(NOT(ISNUMBER(G2203)),NOT(ISNUMBER(H2203)),G2203=0),"",I2203/G2203)</f>
        <v/>
      </c>
      <c r="K2203">
        <f>IF(OR(NOT(ISNUMBER(G2203)),NOT(ISNUMBER(H2203)),G2203=0),"",H2203/G2203)</f>
        <v/>
      </c>
      <c r="L2203">
        <f>IF(NOT(ISNUMBER(G2203)),"SEM META",IF(G2203=0,"SEM META",IF(NOT(ISNUMBER(H2203)),"SEM APONTAMENTO",IF(H2203&gt;=G2203,"VERDE",IF(H2203&gt;=G2203*0.9,"AMARELO","VERMELHO")))))</f>
        <v/>
      </c>
    </row>
    <row r="2204">
      <c r="A2204" s="321" t="n">
        <v>46243</v>
      </c>
      <c r="B2204" t="inlineStr">
        <is>
          <t>GERAL</t>
        </is>
      </c>
      <c r="C2204" t="inlineStr">
        <is>
          <t>GLOBO AÇOS</t>
        </is>
      </c>
      <c r="D2204" t="inlineStr">
        <is>
          <t>PERFILAÇÃO</t>
        </is>
      </c>
      <c r="F2204">
        <f>IFERROR(INDEX('BASE METAS DIÁRIAS'!$AA$2:$AC$358,MATCH($A2204,'BASE METAS DIÁRIAS'!$A$2:$A$358,0),1),"")</f>
        <v/>
      </c>
      <c r="G2204">
        <f>IFERROR(IF(WEEKDAY($A2204,2)&lt;=INDEX('BASE METAS DIÁRIAS'!$X$2:$Z$358,MATCH($A2204,'BASE METAS DIÁRIAS'!$A$2:$A$358,0),1),INDEX('BASE METAS DIÁRIAS'!$U$2:$W$358,MATCH($A2204,'BASE METAS DIÁRIAS'!$A$2:$A$358,0),1),""),"")</f>
        <v/>
      </c>
      <c r="H2204">
        <f>IFERROR(IF(INDEX('CONTROLE PRODUÇÃO POR EMPRESAS'!$H$6:$J$5000,MATCH($A2204,'CONTROLE PRODUÇÃO POR EMPRESAS'!$A$6:$A$5000,0),1)="","",IFERROR(1*INDEX('CONTROLE PRODUÇÃO POR EMPRESAS'!$H$6:$J$5000,MATCH($A2204,'CONTROLE PRODUÇÃO POR EMPRESAS'!$A$6:$A$5000,0),1),"")),"")</f>
        <v/>
      </c>
      <c r="I2204">
        <f>IF(OR(NOT(ISNUMBER(G2204)),NOT(ISNUMBER(H2204))),"",H2204-G2204)</f>
        <v/>
      </c>
      <c r="J2204">
        <f>IF(OR(NOT(ISNUMBER(G2204)),NOT(ISNUMBER(H2204)),G2204=0),"",I2204/G2204)</f>
        <v/>
      </c>
      <c r="K2204">
        <f>IF(OR(NOT(ISNUMBER(G2204)),NOT(ISNUMBER(H2204)),G2204=0),"",H2204/G2204)</f>
        <v/>
      </c>
      <c r="L2204">
        <f>IF(NOT(ISNUMBER(G2204)),"SEM META",IF(G2204=0,"SEM META",IF(NOT(ISNUMBER(H2204)),"SEM APONTAMENTO",IF(H2204&gt;=G2204,"VERDE",IF(H2204&gt;=G2204*0.9,"AMARELO","VERMELHO")))))</f>
        <v/>
      </c>
    </row>
    <row r="2205">
      <c r="A2205" s="321" t="n">
        <v>46243</v>
      </c>
      <c r="B2205" t="inlineStr">
        <is>
          <t>GERAL</t>
        </is>
      </c>
      <c r="C2205" t="inlineStr">
        <is>
          <t>GLOBO AÇOS</t>
        </is>
      </c>
      <c r="D2205" t="inlineStr">
        <is>
          <t>TELHAR</t>
        </is>
      </c>
      <c r="F2205">
        <f>IFERROR(INDEX('BASE METAS DIÁRIAS'!$AA$2:$AC$358,MATCH($A2205,'BASE METAS DIÁRIAS'!$A$2:$A$358,0),2),"")</f>
        <v/>
      </c>
      <c r="G2205">
        <f>IFERROR(IF(WEEKDAY($A2205,2)&lt;=INDEX('BASE METAS DIÁRIAS'!$X$2:$Z$358,MATCH($A2205,'BASE METAS DIÁRIAS'!$A$2:$A$358,0),2),INDEX('BASE METAS DIÁRIAS'!$U$2:$W$358,MATCH($A2205,'BASE METAS DIÁRIAS'!$A$2:$A$358,0),2),""),"")</f>
        <v/>
      </c>
      <c r="H2205">
        <f>IFERROR(IF(INDEX('CONTROLE PRODUÇÃO POR EMPRESAS'!$H$6:$J$5000,MATCH($A2205,'CONTROLE PRODUÇÃO POR EMPRESAS'!$A$6:$A$5000,0),2)="","",IFERROR(1*INDEX('CONTROLE PRODUÇÃO POR EMPRESAS'!$H$6:$J$5000,MATCH($A2205,'CONTROLE PRODUÇÃO POR EMPRESAS'!$A$6:$A$5000,0),2),"")),"")</f>
        <v/>
      </c>
      <c r="I2205">
        <f>IF(OR(NOT(ISNUMBER(G2205)),NOT(ISNUMBER(H2205))),"",H2205-G2205)</f>
        <v/>
      </c>
      <c r="J2205">
        <f>IF(OR(NOT(ISNUMBER(G2205)),NOT(ISNUMBER(H2205)),G2205=0),"",I2205/G2205)</f>
        <v/>
      </c>
      <c r="K2205">
        <f>IF(OR(NOT(ISNUMBER(G2205)),NOT(ISNUMBER(H2205)),G2205=0),"",H2205/G2205)</f>
        <v/>
      </c>
      <c r="L2205">
        <f>IF(NOT(ISNUMBER(G2205)),"SEM META",IF(G2205=0,"SEM META",IF(NOT(ISNUMBER(H2205)),"SEM APONTAMENTO",IF(H2205&gt;=G2205,"VERDE",IF(H2205&gt;=G2205*0.9,"AMARELO","VERMELHO")))))</f>
        <v/>
      </c>
    </row>
    <row r="2206">
      <c r="A2206" s="321" t="n">
        <v>46243</v>
      </c>
      <c r="B2206" t="inlineStr">
        <is>
          <t>GERAL</t>
        </is>
      </c>
      <c r="C2206" t="inlineStr">
        <is>
          <t>GLOBO AÇOS</t>
        </is>
      </c>
      <c r="D2206" t="inlineStr">
        <is>
          <t>FECHAMENTO</t>
        </is>
      </c>
      <c r="F2206">
        <f>IFERROR(INDEX('BASE METAS DIÁRIAS'!$AA$2:$AC$358,MATCH($A2206,'BASE METAS DIÁRIAS'!$A$2:$A$358,0),3),"")</f>
        <v/>
      </c>
      <c r="G2206">
        <f>IFERROR(IF(WEEKDAY($A2206,2)&lt;=INDEX('BASE METAS DIÁRIAS'!$X$2:$Z$358,MATCH($A2206,'BASE METAS DIÁRIAS'!$A$2:$A$358,0),3),INDEX('BASE METAS DIÁRIAS'!$U$2:$W$358,MATCH($A2206,'BASE METAS DIÁRIAS'!$A$2:$A$358,0),3),""),"")</f>
        <v/>
      </c>
      <c r="H2206">
        <f>IFERROR(IF(INDEX('CONTROLE PRODUÇÃO POR EMPRESAS'!$H$6:$J$5000,MATCH($A2206,'CONTROLE PRODUÇÃO POR EMPRESAS'!$A$6:$A$5000,0),3)="","",IFERROR(1*INDEX('CONTROLE PRODUÇÃO POR EMPRESAS'!$H$6:$J$5000,MATCH($A2206,'CONTROLE PRODUÇÃO POR EMPRESAS'!$A$6:$A$5000,0),3),"")),"")</f>
        <v/>
      </c>
      <c r="I2206">
        <f>IF(OR(NOT(ISNUMBER(G2206)),NOT(ISNUMBER(H2206))),"",H2206-G2206)</f>
        <v/>
      </c>
      <c r="J2206">
        <f>IF(OR(NOT(ISNUMBER(G2206)),NOT(ISNUMBER(H2206)),G2206=0),"",I2206/G2206)</f>
        <v/>
      </c>
      <c r="K2206">
        <f>IF(OR(NOT(ISNUMBER(G2206)),NOT(ISNUMBER(H2206)),G2206=0),"",H2206/G2206)</f>
        <v/>
      </c>
      <c r="L2206">
        <f>IF(NOT(ISNUMBER(G2206)),"SEM META",IF(G2206=0,"SEM META",IF(NOT(ISNUMBER(H2206)),"SEM APONTAMENTO",IF(H2206&gt;=G2206,"VERDE",IF(H2206&gt;=G2206*0.9,"AMARELO","VERMELHO")))))</f>
        <v/>
      </c>
    </row>
    <row r="2207">
      <c r="A2207" s="321" t="n">
        <v>46244</v>
      </c>
      <c r="B2207" t="inlineStr">
        <is>
          <t>GERAL</t>
        </is>
      </c>
      <c r="C2207" t="inlineStr">
        <is>
          <t>GLOBO AÇOS</t>
        </is>
      </c>
      <c r="D2207" t="inlineStr">
        <is>
          <t>PERFILAÇÃO</t>
        </is>
      </c>
      <c r="F2207">
        <f>IFERROR(INDEX('BASE METAS DIÁRIAS'!$AA$2:$AC$358,MATCH($A2207,'BASE METAS DIÁRIAS'!$A$2:$A$358,0),1),"")</f>
        <v/>
      </c>
      <c r="G2207">
        <f>IFERROR(IF(WEEKDAY($A2207,2)&lt;=INDEX('BASE METAS DIÁRIAS'!$X$2:$Z$358,MATCH($A2207,'BASE METAS DIÁRIAS'!$A$2:$A$358,0),1),INDEX('BASE METAS DIÁRIAS'!$U$2:$W$358,MATCH($A2207,'BASE METAS DIÁRIAS'!$A$2:$A$358,0),1),""),"")</f>
        <v/>
      </c>
      <c r="H2207">
        <f>IFERROR(IF(INDEX('CONTROLE PRODUÇÃO POR EMPRESAS'!$H$6:$J$5000,MATCH($A2207,'CONTROLE PRODUÇÃO POR EMPRESAS'!$A$6:$A$5000,0),1)="","",IFERROR(1*INDEX('CONTROLE PRODUÇÃO POR EMPRESAS'!$H$6:$J$5000,MATCH($A2207,'CONTROLE PRODUÇÃO POR EMPRESAS'!$A$6:$A$5000,0),1),"")),"")</f>
        <v/>
      </c>
      <c r="I2207">
        <f>IF(OR(NOT(ISNUMBER(G2207)),NOT(ISNUMBER(H2207))),"",H2207-G2207)</f>
        <v/>
      </c>
      <c r="J2207">
        <f>IF(OR(NOT(ISNUMBER(G2207)),NOT(ISNUMBER(H2207)),G2207=0),"",I2207/G2207)</f>
        <v/>
      </c>
      <c r="K2207">
        <f>IF(OR(NOT(ISNUMBER(G2207)),NOT(ISNUMBER(H2207)),G2207=0),"",H2207/G2207)</f>
        <v/>
      </c>
      <c r="L2207">
        <f>IF(NOT(ISNUMBER(G2207)),"SEM META",IF(G2207=0,"SEM META",IF(NOT(ISNUMBER(H2207)),"SEM APONTAMENTO",IF(H2207&gt;=G2207,"VERDE",IF(H2207&gt;=G2207*0.9,"AMARELO","VERMELHO")))))</f>
        <v/>
      </c>
    </row>
    <row r="2208">
      <c r="A2208" s="321" t="n">
        <v>46244</v>
      </c>
      <c r="B2208" t="inlineStr">
        <is>
          <t>GERAL</t>
        </is>
      </c>
      <c r="C2208" t="inlineStr">
        <is>
          <t>GLOBO AÇOS</t>
        </is>
      </c>
      <c r="D2208" t="inlineStr">
        <is>
          <t>TELHAR</t>
        </is>
      </c>
      <c r="F2208">
        <f>IFERROR(INDEX('BASE METAS DIÁRIAS'!$AA$2:$AC$358,MATCH($A2208,'BASE METAS DIÁRIAS'!$A$2:$A$358,0),2),"")</f>
        <v/>
      </c>
      <c r="G2208">
        <f>IFERROR(IF(WEEKDAY($A2208,2)&lt;=INDEX('BASE METAS DIÁRIAS'!$X$2:$Z$358,MATCH($A2208,'BASE METAS DIÁRIAS'!$A$2:$A$358,0),2),INDEX('BASE METAS DIÁRIAS'!$U$2:$W$358,MATCH($A2208,'BASE METAS DIÁRIAS'!$A$2:$A$358,0),2),""),"")</f>
        <v/>
      </c>
      <c r="H2208">
        <f>IFERROR(IF(INDEX('CONTROLE PRODUÇÃO POR EMPRESAS'!$H$6:$J$5000,MATCH($A2208,'CONTROLE PRODUÇÃO POR EMPRESAS'!$A$6:$A$5000,0),2)="","",IFERROR(1*INDEX('CONTROLE PRODUÇÃO POR EMPRESAS'!$H$6:$J$5000,MATCH($A2208,'CONTROLE PRODUÇÃO POR EMPRESAS'!$A$6:$A$5000,0),2),"")),"")</f>
        <v/>
      </c>
      <c r="I2208">
        <f>IF(OR(NOT(ISNUMBER(G2208)),NOT(ISNUMBER(H2208))),"",H2208-G2208)</f>
        <v/>
      </c>
      <c r="J2208">
        <f>IF(OR(NOT(ISNUMBER(G2208)),NOT(ISNUMBER(H2208)),G2208=0),"",I2208/G2208)</f>
        <v/>
      </c>
      <c r="K2208">
        <f>IF(OR(NOT(ISNUMBER(G2208)),NOT(ISNUMBER(H2208)),G2208=0),"",H2208/G2208)</f>
        <v/>
      </c>
      <c r="L2208">
        <f>IF(NOT(ISNUMBER(G2208)),"SEM META",IF(G2208=0,"SEM META",IF(NOT(ISNUMBER(H2208)),"SEM APONTAMENTO",IF(H2208&gt;=G2208,"VERDE",IF(H2208&gt;=G2208*0.9,"AMARELO","VERMELHO")))))</f>
        <v/>
      </c>
    </row>
    <row r="2209">
      <c r="A2209" s="321" t="n">
        <v>46244</v>
      </c>
      <c r="B2209" t="inlineStr">
        <is>
          <t>GERAL</t>
        </is>
      </c>
      <c r="C2209" t="inlineStr">
        <is>
          <t>GLOBO AÇOS</t>
        </is>
      </c>
      <c r="D2209" t="inlineStr">
        <is>
          <t>FECHAMENTO</t>
        </is>
      </c>
      <c r="F2209">
        <f>IFERROR(INDEX('BASE METAS DIÁRIAS'!$AA$2:$AC$358,MATCH($A2209,'BASE METAS DIÁRIAS'!$A$2:$A$358,0),3),"")</f>
        <v/>
      </c>
      <c r="G2209">
        <f>IFERROR(IF(WEEKDAY($A2209,2)&lt;=INDEX('BASE METAS DIÁRIAS'!$X$2:$Z$358,MATCH($A2209,'BASE METAS DIÁRIAS'!$A$2:$A$358,0),3),INDEX('BASE METAS DIÁRIAS'!$U$2:$W$358,MATCH($A2209,'BASE METAS DIÁRIAS'!$A$2:$A$358,0),3),""),"")</f>
        <v/>
      </c>
      <c r="H2209">
        <f>IFERROR(IF(INDEX('CONTROLE PRODUÇÃO POR EMPRESAS'!$H$6:$J$5000,MATCH($A2209,'CONTROLE PRODUÇÃO POR EMPRESAS'!$A$6:$A$5000,0),3)="","",IFERROR(1*INDEX('CONTROLE PRODUÇÃO POR EMPRESAS'!$H$6:$J$5000,MATCH($A2209,'CONTROLE PRODUÇÃO POR EMPRESAS'!$A$6:$A$5000,0),3),"")),"")</f>
        <v/>
      </c>
      <c r="I2209">
        <f>IF(OR(NOT(ISNUMBER(G2209)),NOT(ISNUMBER(H2209))),"",H2209-G2209)</f>
        <v/>
      </c>
      <c r="J2209">
        <f>IF(OR(NOT(ISNUMBER(G2209)),NOT(ISNUMBER(H2209)),G2209=0),"",I2209/G2209)</f>
        <v/>
      </c>
      <c r="K2209">
        <f>IF(OR(NOT(ISNUMBER(G2209)),NOT(ISNUMBER(H2209)),G2209=0),"",H2209/G2209)</f>
        <v/>
      </c>
      <c r="L2209">
        <f>IF(NOT(ISNUMBER(G2209)),"SEM META",IF(G2209=0,"SEM META",IF(NOT(ISNUMBER(H2209)),"SEM APONTAMENTO",IF(H2209&gt;=G2209,"VERDE",IF(H2209&gt;=G2209*0.9,"AMARELO","VERMELHO")))))</f>
        <v/>
      </c>
    </row>
    <row r="2210">
      <c r="A2210" s="321" t="n">
        <v>46245</v>
      </c>
      <c r="B2210" t="inlineStr">
        <is>
          <t>GERAL</t>
        </is>
      </c>
      <c r="C2210" t="inlineStr">
        <is>
          <t>GLOBO AÇOS</t>
        </is>
      </c>
      <c r="D2210" t="inlineStr">
        <is>
          <t>PERFILAÇÃO</t>
        </is>
      </c>
      <c r="F2210">
        <f>IFERROR(INDEX('BASE METAS DIÁRIAS'!$AA$2:$AC$358,MATCH($A2210,'BASE METAS DIÁRIAS'!$A$2:$A$358,0),1),"")</f>
        <v/>
      </c>
      <c r="G2210">
        <f>IFERROR(IF(WEEKDAY($A2210,2)&lt;=INDEX('BASE METAS DIÁRIAS'!$X$2:$Z$358,MATCH($A2210,'BASE METAS DIÁRIAS'!$A$2:$A$358,0),1),INDEX('BASE METAS DIÁRIAS'!$U$2:$W$358,MATCH($A2210,'BASE METAS DIÁRIAS'!$A$2:$A$358,0),1),""),"")</f>
        <v/>
      </c>
      <c r="H2210">
        <f>IFERROR(IF(INDEX('CONTROLE PRODUÇÃO POR EMPRESAS'!$H$6:$J$5000,MATCH($A2210,'CONTROLE PRODUÇÃO POR EMPRESAS'!$A$6:$A$5000,0),1)="","",IFERROR(1*INDEX('CONTROLE PRODUÇÃO POR EMPRESAS'!$H$6:$J$5000,MATCH($A2210,'CONTROLE PRODUÇÃO POR EMPRESAS'!$A$6:$A$5000,0),1),"")),"")</f>
        <v/>
      </c>
      <c r="I2210">
        <f>IF(OR(NOT(ISNUMBER(G2210)),NOT(ISNUMBER(H2210))),"",H2210-G2210)</f>
        <v/>
      </c>
      <c r="J2210">
        <f>IF(OR(NOT(ISNUMBER(G2210)),NOT(ISNUMBER(H2210)),G2210=0),"",I2210/G2210)</f>
        <v/>
      </c>
      <c r="K2210">
        <f>IF(OR(NOT(ISNUMBER(G2210)),NOT(ISNUMBER(H2210)),G2210=0),"",H2210/G2210)</f>
        <v/>
      </c>
      <c r="L2210">
        <f>IF(NOT(ISNUMBER(G2210)),"SEM META",IF(G2210=0,"SEM META",IF(NOT(ISNUMBER(H2210)),"SEM APONTAMENTO",IF(H2210&gt;=G2210,"VERDE",IF(H2210&gt;=G2210*0.9,"AMARELO","VERMELHO")))))</f>
        <v/>
      </c>
    </row>
    <row r="2211">
      <c r="A2211" s="321" t="n">
        <v>46245</v>
      </c>
      <c r="B2211" t="inlineStr">
        <is>
          <t>GERAL</t>
        </is>
      </c>
      <c r="C2211" t="inlineStr">
        <is>
          <t>GLOBO AÇOS</t>
        </is>
      </c>
      <c r="D2211" t="inlineStr">
        <is>
          <t>TELHAR</t>
        </is>
      </c>
      <c r="F2211">
        <f>IFERROR(INDEX('BASE METAS DIÁRIAS'!$AA$2:$AC$358,MATCH($A2211,'BASE METAS DIÁRIAS'!$A$2:$A$358,0),2),"")</f>
        <v/>
      </c>
      <c r="G2211">
        <f>IFERROR(IF(WEEKDAY($A2211,2)&lt;=INDEX('BASE METAS DIÁRIAS'!$X$2:$Z$358,MATCH($A2211,'BASE METAS DIÁRIAS'!$A$2:$A$358,0),2),INDEX('BASE METAS DIÁRIAS'!$U$2:$W$358,MATCH($A2211,'BASE METAS DIÁRIAS'!$A$2:$A$358,0),2),""),"")</f>
        <v/>
      </c>
      <c r="H2211">
        <f>IFERROR(IF(INDEX('CONTROLE PRODUÇÃO POR EMPRESAS'!$H$6:$J$5000,MATCH($A2211,'CONTROLE PRODUÇÃO POR EMPRESAS'!$A$6:$A$5000,0),2)="","",IFERROR(1*INDEX('CONTROLE PRODUÇÃO POR EMPRESAS'!$H$6:$J$5000,MATCH($A2211,'CONTROLE PRODUÇÃO POR EMPRESAS'!$A$6:$A$5000,0),2),"")),"")</f>
        <v/>
      </c>
      <c r="I2211">
        <f>IF(OR(NOT(ISNUMBER(G2211)),NOT(ISNUMBER(H2211))),"",H2211-G2211)</f>
        <v/>
      </c>
      <c r="J2211">
        <f>IF(OR(NOT(ISNUMBER(G2211)),NOT(ISNUMBER(H2211)),G2211=0),"",I2211/G2211)</f>
        <v/>
      </c>
      <c r="K2211">
        <f>IF(OR(NOT(ISNUMBER(G2211)),NOT(ISNUMBER(H2211)),G2211=0),"",H2211/G2211)</f>
        <v/>
      </c>
      <c r="L2211">
        <f>IF(NOT(ISNUMBER(G2211)),"SEM META",IF(G2211=0,"SEM META",IF(NOT(ISNUMBER(H2211)),"SEM APONTAMENTO",IF(H2211&gt;=G2211,"VERDE",IF(H2211&gt;=G2211*0.9,"AMARELO","VERMELHO")))))</f>
        <v/>
      </c>
    </row>
    <row r="2212">
      <c r="A2212" s="321" t="n">
        <v>46245</v>
      </c>
      <c r="B2212" t="inlineStr">
        <is>
          <t>GERAL</t>
        </is>
      </c>
      <c r="C2212" t="inlineStr">
        <is>
          <t>GLOBO AÇOS</t>
        </is>
      </c>
      <c r="D2212" t="inlineStr">
        <is>
          <t>FECHAMENTO</t>
        </is>
      </c>
      <c r="F2212">
        <f>IFERROR(INDEX('BASE METAS DIÁRIAS'!$AA$2:$AC$358,MATCH($A2212,'BASE METAS DIÁRIAS'!$A$2:$A$358,0),3),"")</f>
        <v/>
      </c>
      <c r="G2212">
        <f>IFERROR(IF(WEEKDAY($A2212,2)&lt;=INDEX('BASE METAS DIÁRIAS'!$X$2:$Z$358,MATCH($A2212,'BASE METAS DIÁRIAS'!$A$2:$A$358,0),3),INDEX('BASE METAS DIÁRIAS'!$U$2:$W$358,MATCH($A2212,'BASE METAS DIÁRIAS'!$A$2:$A$358,0),3),""),"")</f>
        <v/>
      </c>
      <c r="H2212">
        <f>IFERROR(IF(INDEX('CONTROLE PRODUÇÃO POR EMPRESAS'!$H$6:$J$5000,MATCH($A2212,'CONTROLE PRODUÇÃO POR EMPRESAS'!$A$6:$A$5000,0),3)="","",IFERROR(1*INDEX('CONTROLE PRODUÇÃO POR EMPRESAS'!$H$6:$J$5000,MATCH($A2212,'CONTROLE PRODUÇÃO POR EMPRESAS'!$A$6:$A$5000,0),3),"")),"")</f>
        <v/>
      </c>
      <c r="I2212">
        <f>IF(OR(NOT(ISNUMBER(G2212)),NOT(ISNUMBER(H2212))),"",H2212-G2212)</f>
        <v/>
      </c>
      <c r="J2212">
        <f>IF(OR(NOT(ISNUMBER(G2212)),NOT(ISNUMBER(H2212)),G2212=0),"",I2212/G2212)</f>
        <v/>
      </c>
      <c r="K2212">
        <f>IF(OR(NOT(ISNUMBER(G2212)),NOT(ISNUMBER(H2212)),G2212=0),"",H2212/G2212)</f>
        <v/>
      </c>
      <c r="L2212">
        <f>IF(NOT(ISNUMBER(G2212)),"SEM META",IF(G2212=0,"SEM META",IF(NOT(ISNUMBER(H2212)),"SEM APONTAMENTO",IF(H2212&gt;=G2212,"VERDE",IF(H2212&gt;=G2212*0.9,"AMARELO","VERMELHO")))))</f>
        <v/>
      </c>
    </row>
    <row r="2213">
      <c r="A2213" s="321" t="n">
        <v>46246</v>
      </c>
      <c r="B2213" t="inlineStr">
        <is>
          <t>GERAL</t>
        </is>
      </c>
      <c r="C2213" t="inlineStr">
        <is>
          <t>GLOBO AÇOS</t>
        </is>
      </c>
      <c r="D2213" t="inlineStr">
        <is>
          <t>PERFILAÇÃO</t>
        </is>
      </c>
      <c r="F2213">
        <f>IFERROR(INDEX('BASE METAS DIÁRIAS'!$AA$2:$AC$358,MATCH($A2213,'BASE METAS DIÁRIAS'!$A$2:$A$358,0),1),"")</f>
        <v/>
      </c>
      <c r="G2213">
        <f>IFERROR(IF(WEEKDAY($A2213,2)&lt;=INDEX('BASE METAS DIÁRIAS'!$X$2:$Z$358,MATCH($A2213,'BASE METAS DIÁRIAS'!$A$2:$A$358,0),1),INDEX('BASE METAS DIÁRIAS'!$U$2:$W$358,MATCH($A2213,'BASE METAS DIÁRIAS'!$A$2:$A$358,0),1),""),"")</f>
        <v/>
      </c>
      <c r="H2213">
        <f>IFERROR(IF(INDEX('CONTROLE PRODUÇÃO POR EMPRESAS'!$H$6:$J$5000,MATCH($A2213,'CONTROLE PRODUÇÃO POR EMPRESAS'!$A$6:$A$5000,0),1)="","",IFERROR(1*INDEX('CONTROLE PRODUÇÃO POR EMPRESAS'!$H$6:$J$5000,MATCH($A2213,'CONTROLE PRODUÇÃO POR EMPRESAS'!$A$6:$A$5000,0),1),"")),"")</f>
        <v/>
      </c>
      <c r="I2213">
        <f>IF(OR(NOT(ISNUMBER(G2213)),NOT(ISNUMBER(H2213))),"",H2213-G2213)</f>
        <v/>
      </c>
      <c r="J2213">
        <f>IF(OR(NOT(ISNUMBER(G2213)),NOT(ISNUMBER(H2213)),G2213=0),"",I2213/G2213)</f>
        <v/>
      </c>
      <c r="K2213">
        <f>IF(OR(NOT(ISNUMBER(G2213)),NOT(ISNUMBER(H2213)),G2213=0),"",H2213/G2213)</f>
        <v/>
      </c>
      <c r="L2213">
        <f>IF(NOT(ISNUMBER(G2213)),"SEM META",IF(G2213=0,"SEM META",IF(NOT(ISNUMBER(H2213)),"SEM APONTAMENTO",IF(H2213&gt;=G2213,"VERDE",IF(H2213&gt;=G2213*0.9,"AMARELO","VERMELHO")))))</f>
        <v/>
      </c>
    </row>
    <row r="2214">
      <c r="A2214" s="321" t="n">
        <v>46246</v>
      </c>
      <c r="B2214" t="inlineStr">
        <is>
          <t>GERAL</t>
        </is>
      </c>
      <c r="C2214" t="inlineStr">
        <is>
          <t>GLOBO AÇOS</t>
        </is>
      </c>
      <c r="D2214" t="inlineStr">
        <is>
          <t>TELHAR</t>
        </is>
      </c>
      <c r="F2214">
        <f>IFERROR(INDEX('BASE METAS DIÁRIAS'!$AA$2:$AC$358,MATCH($A2214,'BASE METAS DIÁRIAS'!$A$2:$A$358,0),2),"")</f>
        <v/>
      </c>
      <c r="G2214">
        <f>IFERROR(IF(WEEKDAY($A2214,2)&lt;=INDEX('BASE METAS DIÁRIAS'!$X$2:$Z$358,MATCH($A2214,'BASE METAS DIÁRIAS'!$A$2:$A$358,0),2),INDEX('BASE METAS DIÁRIAS'!$U$2:$W$358,MATCH($A2214,'BASE METAS DIÁRIAS'!$A$2:$A$358,0),2),""),"")</f>
        <v/>
      </c>
      <c r="H2214">
        <f>IFERROR(IF(INDEX('CONTROLE PRODUÇÃO POR EMPRESAS'!$H$6:$J$5000,MATCH($A2214,'CONTROLE PRODUÇÃO POR EMPRESAS'!$A$6:$A$5000,0),2)="","",IFERROR(1*INDEX('CONTROLE PRODUÇÃO POR EMPRESAS'!$H$6:$J$5000,MATCH($A2214,'CONTROLE PRODUÇÃO POR EMPRESAS'!$A$6:$A$5000,0),2),"")),"")</f>
        <v/>
      </c>
      <c r="I2214">
        <f>IF(OR(NOT(ISNUMBER(G2214)),NOT(ISNUMBER(H2214))),"",H2214-G2214)</f>
        <v/>
      </c>
      <c r="J2214">
        <f>IF(OR(NOT(ISNUMBER(G2214)),NOT(ISNUMBER(H2214)),G2214=0),"",I2214/G2214)</f>
        <v/>
      </c>
      <c r="K2214">
        <f>IF(OR(NOT(ISNUMBER(G2214)),NOT(ISNUMBER(H2214)),G2214=0),"",H2214/G2214)</f>
        <v/>
      </c>
      <c r="L2214">
        <f>IF(NOT(ISNUMBER(G2214)),"SEM META",IF(G2214=0,"SEM META",IF(NOT(ISNUMBER(H2214)),"SEM APONTAMENTO",IF(H2214&gt;=G2214,"VERDE",IF(H2214&gt;=G2214*0.9,"AMARELO","VERMELHO")))))</f>
        <v/>
      </c>
    </row>
    <row r="2215">
      <c r="A2215" s="321" t="n">
        <v>46246</v>
      </c>
      <c r="B2215" t="inlineStr">
        <is>
          <t>GERAL</t>
        </is>
      </c>
      <c r="C2215" t="inlineStr">
        <is>
          <t>GLOBO AÇOS</t>
        </is>
      </c>
      <c r="D2215" t="inlineStr">
        <is>
          <t>FECHAMENTO</t>
        </is>
      </c>
      <c r="F2215">
        <f>IFERROR(INDEX('BASE METAS DIÁRIAS'!$AA$2:$AC$358,MATCH($A2215,'BASE METAS DIÁRIAS'!$A$2:$A$358,0),3),"")</f>
        <v/>
      </c>
      <c r="G2215">
        <f>IFERROR(IF(WEEKDAY($A2215,2)&lt;=INDEX('BASE METAS DIÁRIAS'!$X$2:$Z$358,MATCH($A2215,'BASE METAS DIÁRIAS'!$A$2:$A$358,0),3),INDEX('BASE METAS DIÁRIAS'!$U$2:$W$358,MATCH($A2215,'BASE METAS DIÁRIAS'!$A$2:$A$358,0),3),""),"")</f>
        <v/>
      </c>
      <c r="H2215">
        <f>IFERROR(IF(INDEX('CONTROLE PRODUÇÃO POR EMPRESAS'!$H$6:$J$5000,MATCH($A2215,'CONTROLE PRODUÇÃO POR EMPRESAS'!$A$6:$A$5000,0),3)="","",IFERROR(1*INDEX('CONTROLE PRODUÇÃO POR EMPRESAS'!$H$6:$J$5000,MATCH($A2215,'CONTROLE PRODUÇÃO POR EMPRESAS'!$A$6:$A$5000,0),3),"")),"")</f>
        <v/>
      </c>
      <c r="I2215">
        <f>IF(OR(NOT(ISNUMBER(G2215)),NOT(ISNUMBER(H2215))),"",H2215-G2215)</f>
        <v/>
      </c>
      <c r="J2215">
        <f>IF(OR(NOT(ISNUMBER(G2215)),NOT(ISNUMBER(H2215)),G2215=0),"",I2215/G2215)</f>
        <v/>
      </c>
      <c r="K2215">
        <f>IF(OR(NOT(ISNUMBER(G2215)),NOT(ISNUMBER(H2215)),G2215=0),"",H2215/G2215)</f>
        <v/>
      </c>
      <c r="L2215">
        <f>IF(NOT(ISNUMBER(G2215)),"SEM META",IF(G2215=0,"SEM META",IF(NOT(ISNUMBER(H2215)),"SEM APONTAMENTO",IF(H2215&gt;=G2215,"VERDE",IF(H2215&gt;=G2215*0.9,"AMARELO","VERMELHO")))))</f>
        <v/>
      </c>
    </row>
    <row r="2216">
      <c r="A2216" s="321" t="n">
        <v>46247</v>
      </c>
      <c r="B2216" t="inlineStr">
        <is>
          <t>GERAL</t>
        </is>
      </c>
      <c r="C2216" t="inlineStr">
        <is>
          <t>GLOBO AÇOS</t>
        </is>
      </c>
      <c r="D2216" t="inlineStr">
        <is>
          <t>PERFILAÇÃO</t>
        </is>
      </c>
      <c r="F2216">
        <f>IFERROR(INDEX('BASE METAS DIÁRIAS'!$AA$2:$AC$358,MATCH($A2216,'BASE METAS DIÁRIAS'!$A$2:$A$358,0),1),"")</f>
        <v/>
      </c>
      <c r="G2216">
        <f>IFERROR(IF(WEEKDAY($A2216,2)&lt;=INDEX('BASE METAS DIÁRIAS'!$X$2:$Z$358,MATCH($A2216,'BASE METAS DIÁRIAS'!$A$2:$A$358,0),1),INDEX('BASE METAS DIÁRIAS'!$U$2:$W$358,MATCH($A2216,'BASE METAS DIÁRIAS'!$A$2:$A$358,0),1),""),"")</f>
        <v/>
      </c>
      <c r="H2216">
        <f>IFERROR(IF(INDEX('CONTROLE PRODUÇÃO POR EMPRESAS'!$H$6:$J$5000,MATCH($A2216,'CONTROLE PRODUÇÃO POR EMPRESAS'!$A$6:$A$5000,0),1)="","",IFERROR(1*INDEX('CONTROLE PRODUÇÃO POR EMPRESAS'!$H$6:$J$5000,MATCH($A2216,'CONTROLE PRODUÇÃO POR EMPRESAS'!$A$6:$A$5000,0),1),"")),"")</f>
        <v/>
      </c>
      <c r="I2216">
        <f>IF(OR(NOT(ISNUMBER(G2216)),NOT(ISNUMBER(H2216))),"",H2216-G2216)</f>
        <v/>
      </c>
      <c r="J2216">
        <f>IF(OR(NOT(ISNUMBER(G2216)),NOT(ISNUMBER(H2216)),G2216=0),"",I2216/G2216)</f>
        <v/>
      </c>
      <c r="K2216">
        <f>IF(OR(NOT(ISNUMBER(G2216)),NOT(ISNUMBER(H2216)),G2216=0),"",H2216/G2216)</f>
        <v/>
      </c>
      <c r="L2216">
        <f>IF(NOT(ISNUMBER(G2216)),"SEM META",IF(G2216=0,"SEM META",IF(NOT(ISNUMBER(H2216)),"SEM APONTAMENTO",IF(H2216&gt;=G2216,"VERDE",IF(H2216&gt;=G2216*0.9,"AMARELO","VERMELHO")))))</f>
        <v/>
      </c>
    </row>
    <row r="2217">
      <c r="A2217" s="321" t="n">
        <v>46247</v>
      </c>
      <c r="B2217" t="inlineStr">
        <is>
          <t>GERAL</t>
        </is>
      </c>
      <c r="C2217" t="inlineStr">
        <is>
          <t>GLOBO AÇOS</t>
        </is>
      </c>
      <c r="D2217" t="inlineStr">
        <is>
          <t>TELHAR</t>
        </is>
      </c>
      <c r="F2217">
        <f>IFERROR(INDEX('BASE METAS DIÁRIAS'!$AA$2:$AC$358,MATCH($A2217,'BASE METAS DIÁRIAS'!$A$2:$A$358,0),2),"")</f>
        <v/>
      </c>
      <c r="G2217">
        <f>IFERROR(IF(WEEKDAY($A2217,2)&lt;=INDEX('BASE METAS DIÁRIAS'!$X$2:$Z$358,MATCH($A2217,'BASE METAS DIÁRIAS'!$A$2:$A$358,0),2),INDEX('BASE METAS DIÁRIAS'!$U$2:$W$358,MATCH($A2217,'BASE METAS DIÁRIAS'!$A$2:$A$358,0),2),""),"")</f>
        <v/>
      </c>
      <c r="H2217">
        <f>IFERROR(IF(INDEX('CONTROLE PRODUÇÃO POR EMPRESAS'!$H$6:$J$5000,MATCH($A2217,'CONTROLE PRODUÇÃO POR EMPRESAS'!$A$6:$A$5000,0),2)="","",IFERROR(1*INDEX('CONTROLE PRODUÇÃO POR EMPRESAS'!$H$6:$J$5000,MATCH($A2217,'CONTROLE PRODUÇÃO POR EMPRESAS'!$A$6:$A$5000,0),2),"")),"")</f>
        <v/>
      </c>
      <c r="I2217">
        <f>IF(OR(NOT(ISNUMBER(G2217)),NOT(ISNUMBER(H2217))),"",H2217-G2217)</f>
        <v/>
      </c>
      <c r="J2217">
        <f>IF(OR(NOT(ISNUMBER(G2217)),NOT(ISNUMBER(H2217)),G2217=0),"",I2217/G2217)</f>
        <v/>
      </c>
      <c r="K2217">
        <f>IF(OR(NOT(ISNUMBER(G2217)),NOT(ISNUMBER(H2217)),G2217=0),"",H2217/G2217)</f>
        <v/>
      </c>
      <c r="L2217">
        <f>IF(NOT(ISNUMBER(G2217)),"SEM META",IF(G2217=0,"SEM META",IF(NOT(ISNUMBER(H2217)),"SEM APONTAMENTO",IF(H2217&gt;=G2217,"VERDE",IF(H2217&gt;=G2217*0.9,"AMARELO","VERMELHO")))))</f>
        <v/>
      </c>
    </row>
    <row r="2218">
      <c r="A2218" s="321" t="n">
        <v>46247</v>
      </c>
      <c r="B2218" t="inlineStr">
        <is>
          <t>GERAL</t>
        </is>
      </c>
      <c r="C2218" t="inlineStr">
        <is>
          <t>GLOBO AÇOS</t>
        </is>
      </c>
      <c r="D2218" t="inlineStr">
        <is>
          <t>FECHAMENTO</t>
        </is>
      </c>
      <c r="F2218">
        <f>IFERROR(INDEX('BASE METAS DIÁRIAS'!$AA$2:$AC$358,MATCH($A2218,'BASE METAS DIÁRIAS'!$A$2:$A$358,0),3),"")</f>
        <v/>
      </c>
      <c r="G2218">
        <f>IFERROR(IF(WEEKDAY($A2218,2)&lt;=INDEX('BASE METAS DIÁRIAS'!$X$2:$Z$358,MATCH($A2218,'BASE METAS DIÁRIAS'!$A$2:$A$358,0),3),INDEX('BASE METAS DIÁRIAS'!$U$2:$W$358,MATCH($A2218,'BASE METAS DIÁRIAS'!$A$2:$A$358,0),3),""),"")</f>
        <v/>
      </c>
      <c r="H2218">
        <f>IFERROR(IF(INDEX('CONTROLE PRODUÇÃO POR EMPRESAS'!$H$6:$J$5000,MATCH($A2218,'CONTROLE PRODUÇÃO POR EMPRESAS'!$A$6:$A$5000,0),3)="","",IFERROR(1*INDEX('CONTROLE PRODUÇÃO POR EMPRESAS'!$H$6:$J$5000,MATCH($A2218,'CONTROLE PRODUÇÃO POR EMPRESAS'!$A$6:$A$5000,0),3),"")),"")</f>
        <v/>
      </c>
      <c r="I2218">
        <f>IF(OR(NOT(ISNUMBER(G2218)),NOT(ISNUMBER(H2218))),"",H2218-G2218)</f>
        <v/>
      </c>
      <c r="J2218">
        <f>IF(OR(NOT(ISNUMBER(G2218)),NOT(ISNUMBER(H2218)),G2218=0),"",I2218/G2218)</f>
        <v/>
      </c>
      <c r="K2218">
        <f>IF(OR(NOT(ISNUMBER(G2218)),NOT(ISNUMBER(H2218)),G2218=0),"",H2218/G2218)</f>
        <v/>
      </c>
      <c r="L2218">
        <f>IF(NOT(ISNUMBER(G2218)),"SEM META",IF(G2218=0,"SEM META",IF(NOT(ISNUMBER(H2218)),"SEM APONTAMENTO",IF(H2218&gt;=G2218,"VERDE",IF(H2218&gt;=G2218*0.9,"AMARELO","VERMELHO")))))</f>
        <v/>
      </c>
    </row>
    <row r="2219">
      <c r="A2219" s="321" t="n">
        <v>46248</v>
      </c>
      <c r="B2219" t="inlineStr">
        <is>
          <t>GERAL</t>
        </is>
      </c>
      <c r="C2219" t="inlineStr">
        <is>
          <t>GLOBO AÇOS</t>
        </is>
      </c>
      <c r="D2219" t="inlineStr">
        <is>
          <t>PERFILAÇÃO</t>
        </is>
      </c>
      <c r="F2219">
        <f>IFERROR(INDEX('BASE METAS DIÁRIAS'!$AA$2:$AC$358,MATCH($A2219,'BASE METAS DIÁRIAS'!$A$2:$A$358,0),1),"")</f>
        <v/>
      </c>
      <c r="G2219">
        <f>IFERROR(IF(WEEKDAY($A2219,2)&lt;=INDEX('BASE METAS DIÁRIAS'!$X$2:$Z$358,MATCH($A2219,'BASE METAS DIÁRIAS'!$A$2:$A$358,0),1),INDEX('BASE METAS DIÁRIAS'!$U$2:$W$358,MATCH($A2219,'BASE METAS DIÁRIAS'!$A$2:$A$358,0),1),""),"")</f>
        <v/>
      </c>
      <c r="H2219">
        <f>IFERROR(IF(INDEX('CONTROLE PRODUÇÃO POR EMPRESAS'!$H$6:$J$5000,MATCH($A2219,'CONTROLE PRODUÇÃO POR EMPRESAS'!$A$6:$A$5000,0),1)="","",IFERROR(1*INDEX('CONTROLE PRODUÇÃO POR EMPRESAS'!$H$6:$J$5000,MATCH($A2219,'CONTROLE PRODUÇÃO POR EMPRESAS'!$A$6:$A$5000,0),1),"")),"")</f>
        <v/>
      </c>
      <c r="I2219">
        <f>IF(OR(NOT(ISNUMBER(G2219)),NOT(ISNUMBER(H2219))),"",H2219-G2219)</f>
        <v/>
      </c>
      <c r="J2219">
        <f>IF(OR(NOT(ISNUMBER(G2219)),NOT(ISNUMBER(H2219)),G2219=0),"",I2219/G2219)</f>
        <v/>
      </c>
      <c r="K2219">
        <f>IF(OR(NOT(ISNUMBER(G2219)),NOT(ISNUMBER(H2219)),G2219=0),"",H2219/G2219)</f>
        <v/>
      </c>
      <c r="L2219">
        <f>IF(NOT(ISNUMBER(G2219)),"SEM META",IF(G2219=0,"SEM META",IF(NOT(ISNUMBER(H2219)),"SEM APONTAMENTO",IF(H2219&gt;=G2219,"VERDE",IF(H2219&gt;=G2219*0.9,"AMARELO","VERMELHO")))))</f>
        <v/>
      </c>
    </row>
    <row r="2220">
      <c r="A2220" s="321" t="n">
        <v>46248</v>
      </c>
      <c r="B2220" t="inlineStr">
        <is>
          <t>GERAL</t>
        </is>
      </c>
      <c r="C2220" t="inlineStr">
        <is>
          <t>GLOBO AÇOS</t>
        </is>
      </c>
      <c r="D2220" t="inlineStr">
        <is>
          <t>TELHAR</t>
        </is>
      </c>
      <c r="F2220">
        <f>IFERROR(INDEX('BASE METAS DIÁRIAS'!$AA$2:$AC$358,MATCH($A2220,'BASE METAS DIÁRIAS'!$A$2:$A$358,0),2),"")</f>
        <v/>
      </c>
      <c r="G2220">
        <f>IFERROR(IF(WEEKDAY($A2220,2)&lt;=INDEX('BASE METAS DIÁRIAS'!$X$2:$Z$358,MATCH($A2220,'BASE METAS DIÁRIAS'!$A$2:$A$358,0),2),INDEX('BASE METAS DIÁRIAS'!$U$2:$W$358,MATCH($A2220,'BASE METAS DIÁRIAS'!$A$2:$A$358,0),2),""),"")</f>
        <v/>
      </c>
      <c r="H2220">
        <f>IFERROR(IF(INDEX('CONTROLE PRODUÇÃO POR EMPRESAS'!$H$6:$J$5000,MATCH($A2220,'CONTROLE PRODUÇÃO POR EMPRESAS'!$A$6:$A$5000,0),2)="","",IFERROR(1*INDEX('CONTROLE PRODUÇÃO POR EMPRESAS'!$H$6:$J$5000,MATCH($A2220,'CONTROLE PRODUÇÃO POR EMPRESAS'!$A$6:$A$5000,0),2),"")),"")</f>
        <v/>
      </c>
      <c r="I2220">
        <f>IF(OR(NOT(ISNUMBER(G2220)),NOT(ISNUMBER(H2220))),"",H2220-G2220)</f>
        <v/>
      </c>
      <c r="J2220">
        <f>IF(OR(NOT(ISNUMBER(G2220)),NOT(ISNUMBER(H2220)),G2220=0),"",I2220/G2220)</f>
        <v/>
      </c>
      <c r="K2220">
        <f>IF(OR(NOT(ISNUMBER(G2220)),NOT(ISNUMBER(H2220)),G2220=0),"",H2220/G2220)</f>
        <v/>
      </c>
      <c r="L2220">
        <f>IF(NOT(ISNUMBER(G2220)),"SEM META",IF(G2220=0,"SEM META",IF(NOT(ISNUMBER(H2220)),"SEM APONTAMENTO",IF(H2220&gt;=G2220,"VERDE",IF(H2220&gt;=G2220*0.9,"AMARELO","VERMELHO")))))</f>
        <v/>
      </c>
    </row>
    <row r="2221">
      <c r="A2221" s="321" t="n">
        <v>46248</v>
      </c>
      <c r="B2221" t="inlineStr">
        <is>
          <t>GERAL</t>
        </is>
      </c>
      <c r="C2221" t="inlineStr">
        <is>
          <t>GLOBO AÇOS</t>
        </is>
      </c>
      <c r="D2221" t="inlineStr">
        <is>
          <t>FECHAMENTO</t>
        </is>
      </c>
      <c r="F2221">
        <f>IFERROR(INDEX('BASE METAS DIÁRIAS'!$AA$2:$AC$358,MATCH($A2221,'BASE METAS DIÁRIAS'!$A$2:$A$358,0),3),"")</f>
        <v/>
      </c>
      <c r="G2221">
        <f>IFERROR(IF(WEEKDAY($A2221,2)&lt;=INDEX('BASE METAS DIÁRIAS'!$X$2:$Z$358,MATCH($A2221,'BASE METAS DIÁRIAS'!$A$2:$A$358,0),3),INDEX('BASE METAS DIÁRIAS'!$U$2:$W$358,MATCH($A2221,'BASE METAS DIÁRIAS'!$A$2:$A$358,0),3),""),"")</f>
        <v/>
      </c>
      <c r="H2221">
        <f>IFERROR(IF(INDEX('CONTROLE PRODUÇÃO POR EMPRESAS'!$H$6:$J$5000,MATCH($A2221,'CONTROLE PRODUÇÃO POR EMPRESAS'!$A$6:$A$5000,0),3)="","",IFERROR(1*INDEX('CONTROLE PRODUÇÃO POR EMPRESAS'!$H$6:$J$5000,MATCH($A2221,'CONTROLE PRODUÇÃO POR EMPRESAS'!$A$6:$A$5000,0),3),"")),"")</f>
        <v/>
      </c>
      <c r="I2221">
        <f>IF(OR(NOT(ISNUMBER(G2221)),NOT(ISNUMBER(H2221))),"",H2221-G2221)</f>
        <v/>
      </c>
      <c r="J2221">
        <f>IF(OR(NOT(ISNUMBER(G2221)),NOT(ISNUMBER(H2221)),G2221=0),"",I2221/G2221)</f>
        <v/>
      </c>
      <c r="K2221">
        <f>IF(OR(NOT(ISNUMBER(G2221)),NOT(ISNUMBER(H2221)),G2221=0),"",H2221/G2221)</f>
        <v/>
      </c>
      <c r="L2221">
        <f>IF(NOT(ISNUMBER(G2221)),"SEM META",IF(G2221=0,"SEM META",IF(NOT(ISNUMBER(H2221)),"SEM APONTAMENTO",IF(H2221&gt;=G2221,"VERDE",IF(H2221&gt;=G2221*0.9,"AMARELO","VERMELHO")))))</f>
        <v/>
      </c>
    </row>
    <row r="2222">
      <c r="A2222" s="321" t="n">
        <v>46249</v>
      </c>
      <c r="B2222" t="inlineStr">
        <is>
          <t>GERAL</t>
        </is>
      </c>
      <c r="C2222" t="inlineStr">
        <is>
          <t>GLOBO AÇOS</t>
        </is>
      </c>
      <c r="D2222" t="inlineStr">
        <is>
          <t>PERFILAÇÃO</t>
        </is>
      </c>
      <c r="F2222">
        <f>IFERROR(INDEX('BASE METAS DIÁRIAS'!$AA$2:$AC$358,MATCH($A2222,'BASE METAS DIÁRIAS'!$A$2:$A$358,0),1),"")</f>
        <v/>
      </c>
      <c r="G2222">
        <f>IFERROR(IF(WEEKDAY($A2222,2)&lt;=INDEX('BASE METAS DIÁRIAS'!$X$2:$Z$358,MATCH($A2222,'BASE METAS DIÁRIAS'!$A$2:$A$358,0),1),INDEX('BASE METAS DIÁRIAS'!$U$2:$W$358,MATCH($A2222,'BASE METAS DIÁRIAS'!$A$2:$A$358,0),1),""),"")</f>
        <v/>
      </c>
      <c r="H2222">
        <f>IFERROR(IF(INDEX('CONTROLE PRODUÇÃO POR EMPRESAS'!$H$6:$J$5000,MATCH($A2222,'CONTROLE PRODUÇÃO POR EMPRESAS'!$A$6:$A$5000,0),1)="","",IFERROR(1*INDEX('CONTROLE PRODUÇÃO POR EMPRESAS'!$H$6:$J$5000,MATCH($A2222,'CONTROLE PRODUÇÃO POR EMPRESAS'!$A$6:$A$5000,0),1),"")),"")</f>
        <v/>
      </c>
      <c r="I2222">
        <f>IF(OR(NOT(ISNUMBER(G2222)),NOT(ISNUMBER(H2222))),"",H2222-G2222)</f>
        <v/>
      </c>
      <c r="J2222">
        <f>IF(OR(NOT(ISNUMBER(G2222)),NOT(ISNUMBER(H2222)),G2222=0),"",I2222/G2222)</f>
        <v/>
      </c>
      <c r="K2222">
        <f>IF(OR(NOT(ISNUMBER(G2222)),NOT(ISNUMBER(H2222)),G2222=0),"",H2222/G2222)</f>
        <v/>
      </c>
      <c r="L2222">
        <f>IF(NOT(ISNUMBER(G2222)),"SEM META",IF(G2222=0,"SEM META",IF(NOT(ISNUMBER(H2222)),"SEM APONTAMENTO",IF(H2222&gt;=G2222,"VERDE",IF(H2222&gt;=G2222*0.9,"AMARELO","VERMELHO")))))</f>
        <v/>
      </c>
    </row>
    <row r="2223">
      <c r="A2223" s="321" t="n">
        <v>46249</v>
      </c>
      <c r="B2223" t="inlineStr">
        <is>
          <t>GERAL</t>
        </is>
      </c>
      <c r="C2223" t="inlineStr">
        <is>
          <t>GLOBO AÇOS</t>
        </is>
      </c>
      <c r="D2223" t="inlineStr">
        <is>
          <t>TELHAR</t>
        </is>
      </c>
      <c r="F2223">
        <f>IFERROR(INDEX('BASE METAS DIÁRIAS'!$AA$2:$AC$358,MATCH($A2223,'BASE METAS DIÁRIAS'!$A$2:$A$358,0),2),"")</f>
        <v/>
      </c>
      <c r="G2223">
        <f>IFERROR(IF(WEEKDAY($A2223,2)&lt;=INDEX('BASE METAS DIÁRIAS'!$X$2:$Z$358,MATCH($A2223,'BASE METAS DIÁRIAS'!$A$2:$A$358,0),2),INDEX('BASE METAS DIÁRIAS'!$U$2:$W$358,MATCH($A2223,'BASE METAS DIÁRIAS'!$A$2:$A$358,0),2),""),"")</f>
        <v/>
      </c>
      <c r="H2223">
        <f>IFERROR(IF(INDEX('CONTROLE PRODUÇÃO POR EMPRESAS'!$H$6:$J$5000,MATCH($A2223,'CONTROLE PRODUÇÃO POR EMPRESAS'!$A$6:$A$5000,0),2)="","",IFERROR(1*INDEX('CONTROLE PRODUÇÃO POR EMPRESAS'!$H$6:$J$5000,MATCH($A2223,'CONTROLE PRODUÇÃO POR EMPRESAS'!$A$6:$A$5000,0),2),"")),"")</f>
        <v/>
      </c>
      <c r="I2223">
        <f>IF(OR(NOT(ISNUMBER(G2223)),NOT(ISNUMBER(H2223))),"",H2223-G2223)</f>
        <v/>
      </c>
      <c r="J2223">
        <f>IF(OR(NOT(ISNUMBER(G2223)),NOT(ISNUMBER(H2223)),G2223=0),"",I2223/G2223)</f>
        <v/>
      </c>
      <c r="K2223">
        <f>IF(OR(NOT(ISNUMBER(G2223)),NOT(ISNUMBER(H2223)),G2223=0),"",H2223/G2223)</f>
        <v/>
      </c>
      <c r="L2223">
        <f>IF(NOT(ISNUMBER(G2223)),"SEM META",IF(G2223=0,"SEM META",IF(NOT(ISNUMBER(H2223)),"SEM APONTAMENTO",IF(H2223&gt;=G2223,"VERDE",IF(H2223&gt;=G2223*0.9,"AMARELO","VERMELHO")))))</f>
        <v/>
      </c>
    </row>
    <row r="2224">
      <c r="A2224" s="321" t="n">
        <v>46249</v>
      </c>
      <c r="B2224" t="inlineStr">
        <is>
          <t>GERAL</t>
        </is>
      </c>
      <c r="C2224" t="inlineStr">
        <is>
          <t>GLOBO AÇOS</t>
        </is>
      </c>
      <c r="D2224" t="inlineStr">
        <is>
          <t>FECHAMENTO</t>
        </is>
      </c>
      <c r="F2224">
        <f>IFERROR(INDEX('BASE METAS DIÁRIAS'!$AA$2:$AC$358,MATCH($A2224,'BASE METAS DIÁRIAS'!$A$2:$A$358,0),3),"")</f>
        <v/>
      </c>
      <c r="G2224">
        <f>IFERROR(IF(WEEKDAY($A2224,2)&lt;=INDEX('BASE METAS DIÁRIAS'!$X$2:$Z$358,MATCH($A2224,'BASE METAS DIÁRIAS'!$A$2:$A$358,0),3),INDEX('BASE METAS DIÁRIAS'!$U$2:$W$358,MATCH($A2224,'BASE METAS DIÁRIAS'!$A$2:$A$358,0),3),""),"")</f>
        <v/>
      </c>
      <c r="H2224">
        <f>IFERROR(IF(INDEX('CONTROLE PRODUÇÃO POR EMPRESAS'!$H$6:$J$5000,MATCH($A2224,'CONTROLE PRODUÇÃO POR EMPRESAS'!$A$6:$A$5000,0),3)="","",IFERROR(1*INDEX('CONTROLE PRODUÇÃO POR EMPRESAS'!$H$6:$J$5000,MATCH($A2224,'CONTROLE PRODUÇÃO POR EMPRESAS'!$A$6:$A$5000,0),3),"")),"")</f>
        <v/>
      </c>
      <c r="I2224">
        <f>IF(OR(NOT(ISNUMBER(G2224)),NOT(ISNUMBER(H2224))),"",H2224-G2224)</f>
        <v/>
      </c>
      <c r="J2224">
        <f>IF(OR(NOT(ISNUMBER(G2224)),NOT(ISNUMBER(H2224)),G2224=0),"",I2224/G2224)</f>
        <v/>
      </c>
      <c r="K2224">
        <f>IF(OR(NOT(ISNUMBER(G2224)),NOT(ISNUMBER(H2224)),G2224=0),"",H2224/G2224)</f>
        <v/>
      </c>
      <c r="L2224">
        <f>IF(NOT(ISNUMBER(G2224)),"SEM META",IF(G2224=0,"SEM META",IF(NOT(ISNUMBER(H2224)),"SEM APONTAMENTO",IF(H2224&gt;=G2224,"VERDE",IF(H2224&gt;=G2224*0.9,"AMARELO","VERMELHO")))))</f>
        <v/>
      </c>
    </row>
    <row r="2225">
      <c r="A2225" s="321" t="n">
        <v>46250</v>
      </c>
      <c r="B2225" t="inlineStr">
        <is>
          <t>GERAL</t>
        </is>
      </c>
      <c r="C2225" t="inlineStr">
        <is>
          <t>GLOBO AÇOS</t>
        </is>
      </c>
      <c r="D2225" t="inlineStr">
        <is>
          <t>PERFILAÇÃO</t>
        </is>
      </c>
      <c r="F2225">
        <f>IFERROR(INDEX('BASE METAS DIÁRIAS'!$AA$2:$AC$358,MATCH($A2225,'BASE METAS DIÁRIAS'!$A$2:$A$358,0),1),"")</f>
        <v/>
      </c>
      <c r="G2225">
        <f>IFERROR(IF(WEEKDAY($A2225,2)&lt;=INDEX('BASE METAS DIÁRIAS'!$X$2:$Z$358,MATCH($A2225,'BASE METAS DIÁRIAS'!$A$2:$A$358,0),1),INDEX('BASE METAS DIÁRIAS'!$U$2:$W$358,MATCH($A2225,'BASE METAS DIÁRIAS'!$A$2:$A$358,0),1),""),"")</f>
        <v/>
      </c>
      <c r="H2225">
        <f>IFERROR(IF(INDEX('CONTROLE PRODUÇÃO POR EMPRESAS'!$H$6:$J$5000,MATCH($A2225,'CONTROLE PRODUÇÃO POR EMPRESAS'!$A$6:$A$5000,0),1)="","",IFERROR(1*INDEX('CONTROLE PRODUÇÃO POR EMPRESAS'!$H$6:$J$5000,MATCH($A2225,'CONTROLE PRODUÇÃO POR EMPRESAS'!$A$6:$A$5000,0),1),"")),"")</f>
        <v/>
      </c>
      <c r="I2225">
        <f>IF(OR(NOT(ISNUMBER(G2225)),NOT(ISNUMBER(H2225))),"",H2225-G2225)</f>
        <v/>
      </c>
      <c r="J2225">
        <f>IF(OR(NOT(ISNUMBER(G2225)),NOT(ISNUMBER(H2225)),G2225=0),"",I2225/G2225)</f>
        <v/>
      </c>
      <c r="K2225">
        <f>IF(OR(NOT(ISNUMBER(G2225)),NOT(ISNUMBER(H2225)),G2225=0),"",H2225/G2225)</f>
        <v/>
      </c>
      <c r="L2225">
        <f>IF(NOT(ISNUMBER(G2225)),"SEM META",IF(G2225=0,"SEM META",IF(NOT(ISNUMBER(H2225)),"SEM APONTAMENTO",IF(H2225&gt;=G2225,"VERDE",IF(H2225&gt;=G2225*0.9,"AMARELO","VERMELHO")))))</f>
        <v/>
      </c>
    </row>
    <row r="2226">
      <c r="A2226" s="321" t="n">
        <v>46250</v>
      </c>
      <c r="B2226" t="inlineStr">
        <is>
          <t>GERAL</t>
        </is>
      </c>
      <c r="C2226" t="inlineStr">
        <is>
          <t>GLOBO AÇOS</t>
        </is>
      </c>
      <c r="D2226" t="inlineStr">
        <is>
          <t>TELHAR</t>
        </is>
      </c>
      <c r="F2226">
        <f>IFERROR(INDEX('BASE METAS DIÁRIAS'!$AA$2:$AC$358,MATCH($A2226,'BASE METAS DIÁRIAS'!$A$2:$A$358,0),2),"")</f>
        <v/>
      </c>
      <c r="G2226">
        <f>IFERROR(IF(WEEKDAY($A2226,2)&lt;=INDEX('BASE METAS DIÁRIAS'!$X$2:$Z$358,MATCH($A2226,'BASE METAS DIÁRIAS'!$A$2:$A$358,0),2),INDEX('BASE METAS DIÁRIAS'!$U$2:$W$358,MATCH($A2226,'BASE METAS DIÁRIAS'!$A$2:$A$358,0),2),""),"")</f>
        <v/>
      </c>
      <c r="H2226">
        <f>IFERROR(IF(INDEX('CONTROLE PRODUÇÃO POR EMPRESAS'!$H$6:$J$5000,MATCH($A2226,'CONTROLE PRODUÇÃO POR EMPRESAS'!$A$6:$A$5000,0),2)="","",IFERROR(1*INDEX('CONTROLE PRODUÇÃO POR EMPRESAS'!$H$6:$J$5000,MATCH($A2226,'CONTROLE PRODUÇÃO POR EMPRESAS'!$A$6:$A$5000,0),2),"")),"")</f>
        <v/>
      </c>
      <c r="I2226">
        <f>IF(OR(NOT(ISNUMBER(G2226)),NOT(ISNUMBER(H2226))),"",H2226-G2226)</f>
        <v/>
      </c>
      <c r="J2226">
        <f>IF(OR(NOT(ISNUMBER(G2226)),NOT(ISNUMBER(H2226)),G2226=0),"",I2226/G2226)</f>
        <v/>
      </c>
      <c r="K2226">
        <f>IF(OR(NOT(ISNUMBER(G2226)),NOT(ISNUMBER(H2226)),G2226=0),"",H2226/G2226)</f>
        <v/>
      </c>
      <c r="L2226">
        <f>IF(NOT(ISNUMBER(G2226)),"SEM META",IF(G2226=0,"SEM META",IF(NOT(ISNUMBER(H2226)),"SEM APONTAMENTO",IF(H2226&gt;=G2226,"VERDE",IF(H2226&gt;=G2226*0.9,"AMARELO","VERMELHO")))))</f>
        <v/>
      </c>
    </row>
    <row r="2227">
      <c r="A2227" s="321" t="n">
        <v>46250</v>
      </c>
      <c r="B2227" t="inlineStr">
        <is>
          <t>GERAL</t>
        </is>
      </c>
      <c r="C2227" t="inlineStr">
        <is>
          <t>GLOBO AÇOS</t>
        </is>
      </c>
      <c r="D2227" t="inlineStr">
        <is>
          <t>FECHAMENTO</t>
        </is>
      </c>
      <c r="F2227">
        <f>IFERROR(INDEX('BASE METAS DIÁRIAS'!$AA$2:$AC$358,MATCH($A2227,'BASE METAS DIÁRIAS'!$A$2:$A$358,0),3),"")</f>
        <v/>
      </c>
      <c r="G2227">
        <f>IFERROR(IF(WEEKDAY($A2227,2)&lt;=INDEX('BASE METAS DIÁRIAS'!$X$2:$Z$358,MATCH($A2227,'BASE METAS DIÁRIAS'!$A$2:$A$358,0),3),INDEX('BASE METAS DIÁRIAS'!$U$2:$W$358,MATCH($A2227,'BASE METAS DIÁRIAS'!$A$2:$A$358,0),3),""),"")</f>
        <v/>
      </c>
      <c r="H2227">
        <f>IFERROR(IF(INDEX('CONTROLE PRODUÇÃO POR EMPRESAS'!$H$6:$J$5000,MATCH($A2227,'CONTROLE PRODUÇÃO POR EMPRESAS'!$A$6:$A$5000,0),3)="","",IFERROR(1*INDEX('CONTROLE PRODUÇÃO POR EMPRESAS'!$H$6:$J$5000,MATCH($A2227,'CONTROLE PRODUÇÃO POR EMPRESAS'!$A$6:$A$5000,0),3),"")),"")</f>
        <v/>
      </c>
      <c r="I2227">
        <f>IF(OR(NOT(ISNUMBER(G2227)),NOT(ISNUMBER(H2227))),"",H2227-G2227)</f>
        <v/>
      </c>
      <c r="J2227">
        <f>IF(OR(NOT(ISNUMBER(G2227)),NOT(ISNUMBER(H2227)),G2227=0),"",I2227/G2227)</f>
        <v/>
      </c>
      <c r="K2227">
        <f>IF(OR(NOT(ISNUMBER(G2227)),NOT(ISNUMBER(H2227)),G2227=0),"",H2227/G2227)</f>
        <v/>
      </c>
      <c r="L2227">
        <f>IF(NOT(ISNUMBER(G2227)),"SEM META",IF(G2227=0,"SEM META",IF(NOT(ISNUMBER(H2227)),"SEM APONTAMENTO",IF(H2227&gt;=G2227,"VERDE",IF(H2227&gt;=G2227*0.9,"AMARELO","VERMELHO")))))</f>
        <v/>
      </c>
    </row>
    <row r="2228">
      <c r="A2228" s="321" t="n">
        <v>46251</v>
      </c>
      <c r="B2228" t="inlineStr">
        <is>
          <t>GERAL</t>
        </is>
      </c>
      <c r="C2228" t="inlineStr">
        <is>
          <t>GLOBO AÇOS</t>
        </is>
      </c>
      <c r="D2228" t="inlineStr">
        <is>
          <t>PERFILAÇÃO</t>
        </is>
      </c>
      <c r="F2228">
        <f>IFERROR(INDEX('BASE METAS DIÁRIAS'!$AA$2:$AC$358,MATCH($A2228,'BASE METAS DIÁRIAS'!$A$2:$A$358,0),1),"")</f>
        <v/>
      </c>
      <c r="G2228">
        <f>IFERROR(IF(WEEKDAY($A2228,2)&lt;=INDEX('BASE METAS DIÁRIAS'!$X$2:$Z$358,MATCH($A2228,'BASE METAS DIÁRIAS'!$A$2:$A$358,0),1),INDEX('BASE METAS DIÁRIAS'!$U$2:$W$358,MATCH($A2228,'BASE METAS DIÁRIAS'!$A$2:$A$358,0),1),""),"")</f>
        <v/>
      </c>
      <c r="H2228">
        <f>IFERROR(IF(INDEX('CONTROLE PRODUÇÃO POR EMPRESAS'!$H$6:$J$5000,MATCH($A2228,'CONTROLE PRODUÇÃO POR EMPRESAS'!$A$6:$A$5000,0),1)="","",IFERROR(1*INDEX('CONTROLE PRODUÇÃO POR EMPRESAS'!$H$6:$J$5000,MATCH($A2228,'CONTROLE PRODUÇÃO POR EMPRESAS'!$A$6:$A$5000,0),1),"")),"")</f>
        <v/>
      </c>
      <c r="I2228">
        <f>IF(OR(NOT(ISNUMBER(G2228)),NOT(ISNUMBER(H2228))),"",H2228-G2228)</f>
        <v/>
      </c>
      <c r="J2228">
        <f>IF(OR(NOT(ISNUMBER(G2228)),NOT(ISNUMBER(H2228)),G2228=0),"",I2228/G2228)</f>
        <v/>
      </c>
      <c r="K2228">
        <f>IF(OR(NOT(ISNUMBER(G2228)),NOT(ISNUMBER(H2228)),G2228=0),"",H2228/G2228)</f>
        <v/>
      </c>
      <c r="L2228">
        <f>IF(NOT(ISNUMBER(G2228)),"SEM META",IF(G2228=0,"SEM META",IF(NOT(ISNUMBER(H2228)),"SEM APONTAMENTO",IF(H2228&gt;=G2228,"VERDE",IF(H2228&gt;=G2228*0.9,"AMARELO","VERMELHO")))))</f>
        <v/>
      </c>
    </row>
    <row r="2229">
      <c r="A2229" s="321" t="n">
        <v>46251</v>
      </c>
      <c r="B2229" t="inlineStr">
        <is>
          <t>GERAL</t>
        </is>
      </c>
      <c r="C2229" t="inlineStr">
        <is>
          <t>GLOBO AÇOS</t>
        </is>
      </c>
      <c r="D2229" t="inlineStr">
        <is>
          <t>TELHAR</t>
        </is>
      </c>
      <c r="F2229">
        <f>IFERROR(INDEX('BASE METAS DIÁRIAS'!$AA$2:$AC$358,MATCH($A2229,'BASE METAS DIÁRIAS'!$A$2:$A$358,0),2),"")</f>
        <v/>
      </c>
      <c r="G2229">
        <f>IFERROR(IF(WEEKDAY($A2229,2)&lt;=INDEX('BASE METAS DIÁRIAS'!$X$2:$Z$358,MATCH($A2229,'BASE METAS DIÁRIAS'!$A$2:$A$358,0),2),INDEX('BASE METAS DIÁRIAS'!$U$2:$W$358,MATCH($A2229,'BASE METAS DIÁRIAS'!$A$2:$A$358,0),2),""),"")</f>
        <v/>
      </c>
      <c r="H2229">
        <f>IFERROR(IF(INDEX('CONTROLE PRODUÇÃO POR EMPRESAS'!$H$6:$J$5000,MATCH($A2229,'CONTROLE PRODUÇÃO POR EMPRESAS'!$A$6:$A$5000,0),2)="","",IFERROR(1*INDEX('CONTROLE PRODUÇÃO POR EMPRESAS'!$H$6:$J$5000,MATCH($A2229,'CONTROLE PRODUÇÃO POR EMPRESAS'!$A$6:$A$5000,0),2),"")),"")</f>
        <v/>
      </c>
      <c r="I2229">
        <f>IF(OR(NOT(ISNUMBER(G2229)),NOT(ISNUMBER(H2229))),"",H2229-G2229)</f>
        <v/>
      </c>
      <c r="J2229">
        <f>IF(OR(NOT(ISNUMBER(G2229)),NOT(ISNUMBER(H2229)),G2229=0),"",I2229/G2229)</f>
        <v/>
      </c>
      <c r="K2229">
        <f>IF(OR(NOT(ISNUMBER(G2229)),NOT(ISNUMBER(H2229)),G2229=0),"",H2229/G2229)</f>
        <v/>
      </c>
      <c r="L2229">
        <f>IF(NOT(ISNUMBER(G2229)),"SEM META",IF(G2229=0,"SEM META",IF(NOT(ISNUMBER(H2229)),"SEM APONTAMENTO",IF(H2229&gt;=G2229,"VERDE",IF(H2229&gt;=G2229*0.9,"AMARELO","VERMELHO")))))</f>
        <v/>
      </c>
    </row>
    <row r="2230">
      <c r="A2230" s="321" t="n">
        <v>46251</v>
      </c>
      <c r="B2230" t="inlineStr">
        <is>
          <t>GERAL</t>
        </is>
      </c>
      <c r="C2230" t="inlineStr">
        <is>
          <t>GLOBO AÇOS</t>
        </is>
      </c>
      <c r="D2230" t="inlineStr">
        <is>
          <t>FECHAMENTO</t>
        </is>
      </c>
      <c r="F2230">
        <f>IFERROR(INDEX('BASE METAS DIÁRIAS'!$AA$2:$AC$358,MATCH($A2230,'BASE METAS DIÁRIAS'!$A$2:$A$358,0),3),"")</f>
        <v/>
      </c>
      <c r="G2230">
        <f>IFERROR(IF(WEEKDAY($A2230,2)&lt;=INDEX('BASE METAS DIÁRIAS'!$X$2:$Z$358,MATCH($A2230,'BASE METAS DIÁRIAS'!$A$2:$A$358,0),3),INDEX('BASE METAS DIÁRIAS'!$U$2:$W$358,MATCH($A2230,'BASE METAS DIÁRIAS'!$A$2:$A$358,0),3),""),"")</f>
        <v/>
      </c>
      <c r="H2230">
        <f>IFERROR(IF(INDEX('CONTROLE PRODUÇÃO POR EMPRESAS'!$H$6:$J$5000,MATCH($A2230,'CONTROLE PRODUÇÃO POR EMPRESAS'!$A$6:$A$5000,0),3)="","",IFERROR(1*INDEX('CONTROLE PRODUÇÃO POR EMPRESAS'!$H$6:$J$5000,MATCH($A2230,'CONTROLE PRODUÇÃO POR EMPRESAS'!$A$6:$A$5000,0),3),"")),"")</f>
        <v/>
      </c>
      <c r="I2230">
        <f>IF(OR(NOT(ISNUMBER(G2230)),NOT(ISNUMBER(H2230))),"",H2230-G2230)</f>
        <v/>
      </c>
      <c r="J2230">
        <f>IF(OR(NOT(ISNUMBER(G2230)),NOT(ISNUMBER(H2230)),G2230=0),"",I2230/G2230)</f>
        <v/>
      </c>
      <c r="K2230">
        <f>IF(OR(NOT(ISNUMBER(G2230)),NOT(ISNUMBER(H2230)),G2230=0),"",H2230/G2230)</f>
        <v/>
      </c>
      <c r="L2230">
        <f>IF(NOT(ISNUMBER(G2230)),"SEM META",IF(G2230=0,"SEM META",IF(NOT(ISNUMBER(H2230)),"SEM APONTAMENTO",IF(H2230&gt;=G2230,"VERDE",IF(H2230&gt;=G2230*0.9,"AMARELO","VERMELHO")))))</f>
        <v/>
      </c>
    </row>
    <row r="2231">
      <c r="A2231" s="321" t="n">
        <v>46252</v>
      </c>
      <c r="B2231" t="inlineStr">
        <is>
          <t>GERAL</t>
        </is>
      </c>
      <c r="C2231" t="inlineStr">
        <is>
          <t>GLOBO AÇOS</t>
        </is>
      </c>
      <c r="D2231" t="inlineStr">
        <is>
          <t>PERFILAÇÃO</t>
        </is>
      </c>
      <c r="F2231">
        <f>IFERROR(INDEX('BASE METAS DIÁRIAS'!$AA$2:$AC$358,MATCH($A2231,'BASE METAS DIÁRIAS'!$A$2:$A$358,0),1),"")</f>
        <v/>
      </c>
      <c r="G2231">
        <f>IFERROR(IF(WEEKDAY($A2231,2)&lt;=INDEX('BASE METAS DIÁRIAS'!$X$2:$Z$358,MATCH($A2231,'BASE METAS DIÁRIAS'!$A$2:$A$358,0),1),INDEX('BASE METAS DIÁRIAS'!$U$2:$W$358,MATCH($A2231,'BASE METAS DIÁRIAS'!$A$2:$A$358,0),1),""),"")</f>
        <v/>
      </c>
      <c r="H2231">
        <f>IFERROR(IF(INDEX('CONTROLE PRODUÇÃO POR EMPRESAS'!$H$6:$J$5000,MATCH($A2231,'CONTROLE PRODUÇÃO POR EMPRESAS'!$A$6:$A$5000,0),1)="","",IFERROR(1*INDEX('CONTROLE PRODUÇÃO POR EMPRESAS'!$H$6:$J$5000,MATCH($A2231,'CONTROLE PRODUÇÃO POR EMPRESAS'!$A$6:$A$5000,0),1),"")),"")</f>
        <v/>
      </c>
      <c r="I2231">
        <f>IF(OR(NOT(ISNUMBER(G2231)),NOT(ISNUMBER(H2231))),"",H2231-G2231)</f>
        <v/>
      </c>
      <c r="J2231">
        <f>IF(OR(NOT(ISNUMBER(G2231)),NOT(ISNUMBER(H2231)),G2231=0),"",I2231/G2231)</f>
        <v/>
      </c>
      <c r="K2231">
        <f>IF(OR(NOT(ISNUMBER(G2231)),NOT(ISNUMBER(H2231)),G2231=0),"",H2231/G2231)</f>
        <v/>
      </c>
      <c r="L2231">
        <f>IF(NOT(ISNUMBER(G2231)),"SEM META",IF(G2231=0,"SEM META",IF(NOT(ISNUMBER(H2231)),"SEM APONTAMENTO",IF(H2231&gt;=G2231,"VERDE",IF(H2231&gt;=G2231*0.9,"AMARELO","VERMELHO")))))</f>
        <v/>
      </c>
    </row>
    <row r="2232">
      <c r="A2232" s="321" t="n">
        <v>46252</v>
      </c>
      <c r="B2232" t="inlineStr">
        <is>
          <t>GERAL</t>
        </is>
      </c>
      <c r="C2232" t="inlineStr">
        <is>
          <t>GLOBO AÇOS</t>
        </is>
      </c>
      <c r="D2232" t="inlineStr">
        <is>
          <t>TELHAR</t>
        </is>
      </c>
      <c r="F2232">
        <f>IFERROR(INDEX('BASE METAS DIÁRIAS'!$AA$2:$AC$358,MATCH($A2232,'BASE METAS DIÁRIAS'!$A$2:$A$358,0),2),"")</f>
        <v/>
      </c>
      <c r="G2232">
        <f>IFERROR(IF(WEEKDAY($A2232,2)&lt;=INDEX('BASE METAS DIÁRIAS'!$X$2:$Z$358,MATCH($A2232,'BASE METAS DIÁRIAS'!$A$2:$A$358,0),2),INDEX('BASE METAS DIÁRIAS'!$U$2:$W$358,MATCH($A2232,'BASE METAS DIÁRIAS'!$A$2:$A$358,0),2),""),"")</f>
        <v/>
      </c>
      <c r="H2232">
        <f>IFERROR(IF(INDEX('CONTROLE PRODUÇÃO POR EMPRESAS'!$H$6:$J$5000,MATCH($A2232,'CONTROLE PRODUÇÃO POR EMPRESAS'!$A$6:$A$5000,0),2)="","",IFERROR(1*INDEX('CONTROLE PRODUÇÃO POR EMPRESAS'!$H$6:$J$5000,MATCH($A2232,'CONTROLE PRODUÇÃO POR EMPRESAS'!$A$6:$A$5000,0),2),"")),"")</f>
        <v/>
      </c>
      <c r="I2232">
        <f>IF(OR(NOT(ISNUMBER(G2232)),NOT(ISNUMBER(H2232))),"",H2232-G2232)</f>
        <v/>
      </c>
      <c r="J2232">
        <f>IF(OR(NOT(ISNUMBER(G2232)),NOT(ISNUMBER(H2232)),G2232=0),"",I2232/G2232)</f>
        <v/>
      </c>
      <c r="K2232">
        <f>IF(OR(NOT(ISNUMBER(G2232)),NOT(ISNUMBER(H2232)),G2232=0),"",H2232/G2232)</f>
        <v/>
      </c>
      <c r="L2232">
        <f>IF(NOT(ISNUMBER(G2232)),"SEM META",IF(G2232=0,"SEM META",IF(NOT(ISNUMBER(H2232)),"SEM APONTAMENTO",IF(H2232&gt;=G2232,"VERDE",IF(H2232&gt;=G2232*0.9,"AMARELO","VERMELHO")))))</f>
        <v/>
      </c>
    </row>
    <row r="2233">
      <c r="A2233" s="321" t="n">
        <v>46252</v>
      </c>
      <c r="B2233" t="inlineStr">
        <is>
          <t>GERAL</t>
        </is>
      </c>
      <c r="C2233" t="inlineStr">
        <is>
          <t>GLOBO AÇOS</t>
        </is>
      </c>
      <c r="D2233" t="inlineStr">
        <is>
          <t>FECHAMENTO</t>
        </is>
      </c>
      <c r="F2233">
        <f>IFERROR(INDEX('BASE METAS DIÁRIAS'!$AA$2:$AC$358,MATCH($A2233,'BASE METAS DIÁRIAS'!$A$2:$A$358,0),3),"")</f>
        <v/>
      </c>
      <c r="G2233">
        <f>IFERROR(IF(WEEKDAY($A2233,2)&lt;=INDEX('BASE METAS DIÁRIAS'!$X$2:$Z$358,MATCH($A2233,'BASE METAS DIÁRIAS'!$A$2:$A$358,0),3),INDEX('BASE METAS DIÁRIAS'!$U$2:$W$358,MATCH($A2233,'BASE METAS DIÁRIAS'!$A$2:$A$358,0),3),""),"")</f>
        <v/>
      </c>
      <c r="H2233">
        <f>IFERROR(IF(INDEX('CONTROLE PRODUÇÃO POR EMPRESAS'!$H$6:$J$5000,MATCH($A2233,'CONTROLE PRODUÇÃO POR EMPRESAS'!$A$6:$A$5000,0),3)="","",IFERROR(1*INDEX('CONTROLE PRODUÇÃO POR EMPRESAS'!$H$6:$J$5000,MATCH($A2233,'CONTROLE PRODUÇÃO POR EMPRESAS'!$A$6:$A$5000,0),3),"")),"")</f>
        <v/>
      </c>
      <c r="I2233">
        <f>IF(OR(NOT(ISNUMBER(G2233)),NOT(ISNUMBER(H2233))),"",H2233-G2233)</f>
        <v/>
      </c>
      <c r="J2233">
        <f>IF(OR(NOT(ISNUMBER(G2233)),NOT(ISNUMBER(H2233)),G2233=0),"",I2233/G2233)</f>
        <v/>
      </c>
      <c r="K2233">
        <f>IF(OR(NOT(ISNUMBER(G2233)),NOT(ISNUMBER(H2233)),G2233=0),"",H2233/G2233)</f>
        <v/>
      </c>
      <c r="L2233">
        <f>IF(NOT(ISNUMBER(G2233)),"SEM META",IF(G2233=0,"SEM META",IF(NOT(ISNUMBER(H2233)),"SEM APONTAMENTO",IF(H2233&gt;=G2233,"VERDE",IF(H2233&gt;=G2233*0.9,"AMARELO","VERMELHO")))))</f>
        <v/>
      </c>
    </row>
    <row r="2234">
      <c r="A2234" s="321" t="n">
        <v>46253</v>
      </c>
      <c r="B2234" t="inlineStr">
        <is>
          <t>GERAL</t>
        </is>
      </c>
      <c r="C2234" t="inlineStr">
        <is>
          <t>GLOBO AÇOS</t>
        </is>
      </c>
      <c r="D2234" t="inlineStr">
        <is>
          <t>PERFILAÇÃO</t>
        </is>
      </c>
      <c r="F2234">
        <f>IFERROR(INDEX('BASE METAS DIÁRIAS'!$AA$2:$AC$358,MATCH($A2234,'BASE METAS DIÁRIAS'!$A$2:$A$358,0),1),"")</f>
        <v/>
      </c>
      <c r="G2234">
        <f>IFERROR(IF(WEEKDAY($A2234,2)&lt;=INDEX('BASE METAS DIÁRIAS'!$X$2:$Z$358,MATCH($A2234,'BASE METAS DIÁRIAS'!$A$2:$A$358,0),1),INDEX('BASE METAS DIÁRIAS'!$U$2:$W$358,MATCH($A2234,'BASE METAS DIÁRIAS'!$A$2:$A$358,0),1),""),"")</f>
        <v/>
      </c>
      <c r="H2234">
        <f>IFERROR(IF(INDEX('CONTROLE PRODUÇÃO POR EMPRESAS'!$H$6:$J$5000,MATCH($A2234,'CONTROLE PRODUÇÃO POR EMPRESAS'!$A$6:$A$5000,0),1)="","",IFERROR(1*INDEX('CONTROLE PRODUÇÃO POR EMPRESAS'!$H$6:$J$5000,MATCH($A2234,'CONTROLE PRODUÇÃO POR EMPRESAS'!$A$6:$A$5000,0),1),"")),"")</f>
        <v/>
      </c>
      <c r="I2234">
        <f>IF(OR(NOT(ISNUMBER(G2234)),NOT(ISNUMBER(H2234))),"",H2234-G2234)</f>
        <v/>
      </c>
      <c r="J2234">
        <f>IF(OR(NOT(ISNUMBER(G2234)),NOT(ISNUMBER(H2234)),G2234=0),"",I2234/G2234)</f>
        <v/>
      </c>
      <c r="K2234">
        <f>IF(OR(NOT(ISNUMBER(G2234)),NOT(ISNUMBER(H2234)),G2234=0),"",H2234/G2234)</f>
        <v/>
      </c>
      <c r="L2234">
        <f>IF(NOT(ISNUMBER(G2234)),"SEM META",IF(G2234=0,"SEM META",IF(NOT(ISNUMBER(H2234)),"SEM APONTAMENTO",IF(H2234&gt;=G2234,"VERDE",IF(H2234&gt;=G2234*0.9,"AMARELO","VERMELHO")))))</f>
        <v/>
      </c>
    </row>
    <row r="2235">
      <c r="A2235" s="321" t="n">
        <v>46253</v>
      </c>
      <c r="B2235" t="inlineStr">
        <is>
          <t>GERAL</t>
        </is>
      </c>
      <c r="C2235" t="inlineStr">
        <is>
          <t>GLOBO AÇOS</t>
        </is>
      </c>
      <c r="D2235" t="inlineStr">
        <is>
          <t>TELHAR</t>
        </is>
      </c>
      <c r="F2235">
        <f>IFERROR(INDEX('BASE METAS DIÁRIAS'!$AA$2:$AC$358,MATCH($A2235,'BASE METAS DIÁRIAS'!$A$2:$A$358,0),2),"")</f>
        <v/>
      </c>
      <c r="G2235">
        <f>IFERROR(IF(WEEKDAY($A2235,2)&lt;=INDEX('BASE METAS DIÁRIAS'!$X$2:$Z$358,MATCH($A2235,'BASE METAS DIÁRIAS'!$A$2:$A$358,0),2),INDEX('BASE METAS DIÁRIAS'!$U$2:$W$358,MATCH($A2235,'BASE METAS DIÁRIAS'!$A$2:$A$358,0),2),""),"")</f>
        <v/>
      </c>
      <c r="H2235">
        <f>IFERROR(IF(INDEX('CONTROLE PRODUÇÃO POR EMPRESAS'!$H$6:$J$5000,MATCH($A2235,'CONTROLE PRODUÇÃO POR EMPRESAS'!$A$6:$A$5000,0),2)="","",IFERROR(1*INDEX('CONTROLE PRODUÇÃO POR EMPRESAS'!$H$6:$J$5000,MATCH($A2235,'CONTROLE PRODUÇÃO POR EMPRESAS'!$A$6:$A$5000,0),2),"")),"")</f>
        <v/>
      </c>
      <c r="I2235">
        <f>IF(OR(NOT(ISNUMBER(G2235)),NOT(ISNUMBER(H2235))),"",H2235-G2235)</f>
        <v/>
      </c>
      <c r="J2235">
        <f>IF(OR(NOT(ISNUMBER(G2235)),NOT(ISNUMBER(H2235)),G2235=0),"",I2235/G2235)</f>
        <v/>
      </c>
      <c r="K2235">
        <f>IF(OR(NOT(ISNUMBER(G2235)),NOT(ISNUMBER(H2235)),G2235=0),"",H2235/G2235)</f>
        <v/>
      </c>
      <c r="L2235">
        <f>IF(NOT(ISNUMBER(G2235)),"SEM META",IF(G2235=0,"SEM META",IF(NOT(ISNUMBER(H2235)),"SEM APONTAMENTO",IF(H2235&gt;=G2235,"VERDE",IF(H2235&gt;=G2235*0.9,"AMARELO","VERMELHO")))))</f>
        <v/>
      </c>
    </row>
    <row r="2236">
      <c r="A2236" s="321" t="n">
        <v>46253</v>
      </c>
      <c r="B2236" t="inlineStr">
        <is>
          <t>GERAL</t>
        </is>
      </c>
      <c r="C2236" t="inlineStr">
        <is>
          <t>GLOBO AÇOS</t>
        </is>
      </c>
      <c r="D2236" t="inlineStr">
        <is>
          <t>FECHAMENTO</t>
        </is>
      </c>
      <c r="F2236">
        <f>IFERROR(INDEX('BASE METAS DIÁRIAS'!$AA$2:$AC$358,MATCH($A2236,'BASE METAS DIÁRIAS'!$A$2:$A$358,0),3),"")</f>
        <v/>
      </c>
      <c r="G2236">
        <f>IFERROR(IF(WEEKDAY($A2236,2)&lt;=INDEX('BASE METAS DIÁRIAS'!$X$2:$Z$358,MATCH($A2236,'BASE METAS DIÁRIAS'!$A$2:$A$358,0),3),INDEX('BASE METAS DIÁRIAS'!$U$2:$W$358,MATCH($A2236,'BASE METAS DIÁRIAS'!$A$2:$A$358,0),3),""),"")</f>
        <v/>
      </c>
      <c r="H2236">
        <f>IFERROR(IF(INDEX('CONTROLE PRODUÇÃO POR EMPRESAS'!$H$6:$J$5000,MATCH($A2236,'CONTROLE PRODUÇÃO POR EMPRESAS'!$A$6:$A$5000,0),3)="","",IFERROR(1*INDEX('CONTROLE PRODUÇÃO POR EMPRESAS'!$H$6:$J$5000,MATCH($A2236,'CONTROLE PRODUÇÃO POR EMPRESAS'!$A$6:$A$5000,0),3),"")),"")</f>
        <v/>
      </c>
      <c r="I2236">
        <f>IF(OR(NOT(ISNUMBER(G2236)),NOT(ISNUMBER(H2236))),"",H2236-G2236)</f>
        <v/>
      </c>
      <c r="J2236">
        <f>IF(OR(NOT(ISNUMBER(G2236)),NOT(ISNUMBER(H2236)),G2236=0),"",I2236/G2236)</f>
        <v/>
      </c>
      <c r="K2236">
        <f>IF(OR(NOT(ISNUMBER(G2236)),NOT(ISNUMBER(H2236)),G2236=0),"",H2236/G2236)</f>
        <v/>
      </c>
      <c r="L2236">
        <f>IF(NOT(ISNUMBER(G2236)),"SEM META",IF(G2236=0,"SEM META",IF(NOT(ISNUMBER(H2236)),"SEM APONTAMENTO",IF(H2236&gt;=G2236,"VERDE",IF(H2236&gt;=G2236*0.9,"AMARELO","VERMELHO")))))</f>
        <v/>
      </c>
    </row>
    <row r="2237">
      <c r="A2237" s="321" t="n">
        <v>46254</v>
      </c>
      <c r="B2237" t="inlineStr">
        <is>
          <t>GERAL</t>
        </is>
      </c>
      <c r="C2237" t="inlineStr">
        <is>
          <t>GLOBO AÇOS</t>
        </is>
      </c>
      <c r="D2237" t="inlineStr">
        <is>
          <t>PERFILAÇÃO</t>
        </is>
      </c>
      <c r="F2237">
        <f>IFERROR(INDEX('BASE METAS DIÁRIAS'!$AA$2:$AC$358,MATCH($A2237,'BASE METAS DIÁRIAS'!$A$2:$A$358,0),1),"")</f>
        <v/>
      </c>
      <c r="G2237">
        <f>IFERROR(IF(WEEKDAY($A2237,2)&lt;=INDEX('BASE METAS DIÁRIAS'!$X$2:$Z$358,MATCH($A2237,'BASE METAS DIÁRIAS'!$A$2:$A$358,0),1),INDEX('BASE METAS DIÁRIAS'!$U$2:$W$358,MATCH($A2237,'BASE METAS DIÁRIAS'!$A$2:$A$358,0),1),""),"")</f>
        <v/>
      </c>
      <c r="H2237">
        <f>IFERROR(IF(INDEX('CONTROLE PRODUÇÃO POR EMPRESAS'!$H$6:$J$5000,MATCH($A2237,'CONTROLE PRODUÇÃO POR EMPRESAS'!$A$6:$A$5000,0),1)="","",IFERROR(1*INDEX('CONTROLE PRODUÇÃO POR EMPRESAS'!$H$6:$J$5000,MATCH($A2237,'CONTROLE PRODUÇÃO POR EMPRESAS'!$A$6:$A$5000,0),1),"")),"")</f>
        <v/>
      </c>
      <c r="I2237">
        <f>IF(OR(NOT(ISNUMBER(G2237)),NOT(ISNUMBER(H2237))),"",H2237-G2237)</f>
        <v/>
      </c>
      <c r="J2237">
        <f>IF(OR(NOT(ISNUMBER(G2237)),NOT(ISNUMBER(H2237)),G2237=0),"",I2237/G2237)</f>
        <v/>
      </c>
      <c r="K2237">
        <f>IF(OR(NOT(ISNUMBER(G2237)),NOT(ISNUMBER(H2237)),G2237=0),"",H2237/G2237)</f>
        <v/>
      </c>
      <c r="L2237">
        <f>IF(NOT(ISNUMBER(G2237)),"SEM META",IF(G2237=0,"SEM META",IF(NOT(ISNUMBER(H2237)),"SEM APONTAMENTO",IF(H2237&gt;=G2237,"VERDE",IF(H2237&gt;=G2237*0.9,"AMARELO","VERMELHO")))))</f>
        <v/>
      </c>
    </row>
    <row r="2238">
      <c r="A2238" s="321" t="n">
        <v>46254</v>
      </c>
      <c r="B2238" t="inlineStr">
        <is>
          <t>GERAL</t>
        </is>
      </c>
      <c r="C2238" t="inlineStr">
        <is>
          <t>GLOBO AÇOS</t>
        </is>
      </c>
      <c r="D2238" t="inlineStr">
        <is>
          <t>TELHAR</t>
        </is>
      </c>
      <c r="F2238">
        <f>IFERROR(INDEX('BASE METAS DIÁRIAS'!$AA$2:$AC$358,MATCH($A2238,'BASE METAS DIÁRIAS'!$A$2:$A$358,0),2),"")</f>
        <v/>
      </c>
      <c r="G2238">
        <f>IFERROR(IF(WEEKDAY($A2238,2)&lt;=INDEX('BASE METAS DIÁRIAS'!$X$2:$Z$358,MATCH($A2238,'BASE METAS DIÁRIAS'!$A$2:$A$358,0),2),INDEX('BASE METAS DIÁRIAS'!$U$2:$W$358,MATCH($A2238,'BASE METAS DIÁRIAS'!$A$2:$A$358,0),2),""),"")</f>
        <v/>
      </c>
      <c r="H2238">
        <f>IFERROR(IF(INDEX('CONTROLE PRODUÇÃO POR EMPRESAS'!$H$6:$J$5000,MATCH($A2238,'CONTROLE PRODUÇÃO POR EMPRESAS'!$A$6:$A$5000,0),2)="","",IFERROR(1*INDEX('CONTROLE PRODUÇÃO POR EMPRESAS'!$H$6:$J$5000,MATCH($A2238,'CONTROLE PRODUÇÃO POR EMPRESAS'!$A$6:$A$5000,0),2),"")),"")</f>
        <v/>
      </c>
      <c r="I2238">
        <f>IF(OR(NOT(ISNUMBER(G2238)),NOT(ISNUMBER(H2238))),"",H2238-G2238)</f>
        <v/>
      </c>
      <c r="J2238">
        <f>IF(OR(NOT(ISNUMBER(G2238)),NOT(ISNUMBER(H2238)),G2238=0),"",I2238/G2238)</f>
        <v/>
      </c>
      <c r="K2238">
        <f>IF(OR(NOT(ISNUMBER(G2238)),NOT(ISNUMBER(H2238)),G2238=0),"",H2238/G2238)</f>
        <v/>
      </c>
      <c r="L2238">
        <f>IF(NOT(ISNUMBER(G2238)),"SEM META",IF(G2238=0,"SEM META",IF(NOT(ISNUMBER(H2238)),"SEM APONTAMENTO",IF(H2238&gt;=G2238,"VERDE",IF(H2238&gt;=G2238*0.9,"AMARELO","VERMELHO")))))</f>
        <v/>
      </c>
    </row>
    <row r="2239">
      <c r="A2239" s="321" t="n">
        <v>46254</v>
      </c>
      <c r="B2239" t="inlineStr">
        <is>
          <t>GERAL</t>
        </is>
      </c>
      <c r="C2239" t="inlineStr">
        <is>
          <t>GLOBO AÇOS</t>
        </is>
      </c>
      <c r="D2239" t="inlineStr">
        <is>
          <t>FECHAMENTO</t>
        </is>
      </c>
      <c r="F2239">
        <f>IFERROR(INDEX('BASE METAS DIÁRIAS'!$AA$2:$AC$358,MATCH($A2239,'BASE METAS DIÁRIAS'!$A$2:$A$358,0),3),"")</f>
        <v/>
      </c>
      <c r="G2239">
        <f>IFERROR(IF(WEEKDAY($A2239,2)&lt;=INDEX('BASE METAS DIÁRIAS'!$X$2:$Z$358,MATCH($A2239,'BASE METAS DIÁRIAS'!$A$2:$A$358,0),3),INDEX('BASE METAS DIÁRIAS'!$U$2:$W$358,MATCH($A2239,'BASE METAS DIÁRIAS'!$A$2:$A$358,0),3),""),"")</f>
        <v/>
      </c>
      <c r="H2239">
        <f>IFERROR(IF(INDEX('CONTROLE PRODUÇÃO POR EMPRESAS'!$H$6:$J$5000,MATCH($A2239,'CONTROLE PRODUÇÃO POR EMPRESAS'!$A$6:$A$5000,0),3)="","",IFERROR(1*INDEX('CONTROLE PRODUÇÃO POR EMPRESAS'!$H$6:$J$5000,MATCH($A2239,'CONTROLE PRODUÇÃO POR EMPRESAS'!$A$6:$A$5000,0),3),"")),"")</f>
        <v/>
      </c>
      <c r="I2239">
        <f>IF(OR(NOT(ISNUMBER(G2239)),NOT(ISNUMBER(H2239))),"",H2239-G2239)</f>
        <v/>
      </c>
      <c r="J2239">
        <f>IF(OR(NOT(ISNUMBER(G2239)),NOT(ISNUMBER(H2239)),G2239=0),"",I2239/G2239)</f>
        <v/>
      </c>
      <c r="K2239">
        <f>IF(OR(NOT(ISNUMBER(G2239)),NOT(ISNUMBER(H2239)),G2239=0),"",H2239/G2239)</f>
        <v/>
      </c>
      <c r="L2239">
        <f>IF(NOT(ISNUMBER(G2239)),"SEM META",IF(G2239=0,"SEM META",IF(NOT(ISNUMBER(H2239)),"SEM APONTAMENTO",IF(H2239&gt;=G2239,"VERDE",IF(H2239&gt;=G2239*0.9,"AMARELO","VERMELHO")))))</f>
        <v/>
      </c>
    </row>
    <row r="2240">
      <c r="A2240" s="321" t="n">
        <v>46255</v>
      </c>
      <c r="B2240" t="inlineStr">
        <is>
          <t>GERAL</t>
        </is>
      </c>
      <c r="C2240" t="inlineStr">
        <is>
          <t>GLOBO AÇOS</t>
        </is>
      </c>
      <c r="D2240" t="inlineStr">
        <is>
          <t>PERFILAÇÃO</t>
        </is>
      </c>
      <c r="F2240">
        <f>IFERROR(INDEX('BASE METAS DIÁRIAS'!$AA$2:$AC$358,MATCH($A2240,'BASE METAS DIÁRIAS'!$A$2:$A$358,0),1),"")</f>
        <v/>
      </c>
      <c r="G2240">
        <f>IFERROR(IF(WEEKDAY($A2240,2)&lt;=INDEX('BASE METAS DIÁRIAS'!$X$2:$Z$358,MATCH($A2240,'BASE METAS DIÁRIAS'!$A$2:$A$358,0),1),INDEX('BASE METAS DIÁRIAS'!$U$2:$W$358,MATCH($A2240,'BASE METAS DIÁRIAS'!$A$2:$A$358,0),1),""),"")</f>
        <v/>
      </c>
      <c r="H2240">
        <f>IFERROR(IF(INDEX('CONTROLE PRODUÇÃO POR EMPRESAS'!$H$6:$J$5000,MATCH($A2240,'CONTROLE PRODUÇÃO POR EMPRESAS'!$A$6:$A$5000,0),1)="","",IFERROR(1*INDEX('CONTROLE PRODUÇÃO POR EMPRESAS'!$H$6:$J$5000,MATCH($A2240,'CONTROLE PRODUÇÃO POR EMPRESAS'!$A$6:$A$5000,0),1),"")),"")</f>
        <v/>
      </c>
      <c r="I2240">
        <f>IF(OR(NOT(ISNUMBER(G2240)),NOT(ISNUMBER(H2240))),"",H2240-G2240)</f>
        <v/>
      </c>
      <c r="J2240">
        <f>IF(OR(NOT(ISNUMBER(G2240)),NOT(ISNUMBER(H2240)),G2240=0),"",I2240/G2240)</f>
        <v/>
      </c>
      <c r="K2240">
        <f>IF(OR(NOT(ISNUMBER(G2240)),NOT(ISNUMBER(H2240)),G2240=0),"",H2240/G2240)</f>
        <v/>
      </c>
      <c r="L2240">
        <f>IF(NOT(ISNUMBER(G2240)),"SEM META",IF(G2240=0,"SEM META",IF(NOT(ISNUMBER(H2240)),"SEM APONTAMENTO",IF(H2240&gt;=G2240,"VERDE",IF(H2240&gt;=G2240*0.9,"AMARELO","VERMELHO")))))</f>
        <v/>
      </c>
    </row>
    <row r="2241">
      <c r="A2241" s="321" t="n">
        <v>46255</v>
      </c>
      <c r="B2241" t="inlineStr">
        <is>
          <t>GERAL</t>
        </is>
      </c>
      <c r="C2241" t="inlineStr">
        <is>
          <t>GLOBO AÇOS</t>
        </is>
      </c>
      <c r="D2241" t="inlineStr">
        <is>
          <t>TELHAR</t>
        </is>
      </c>
      <c r="F2241">
        <f>IFERROR(INDEX('BASE METAS DIÁRIAS'!$AA$2:$AC$358,MATCH($A2241,'BASE METAS DIÁRIAS'!$A$2:$A$358,0),2),"")</f>
        <v/>
      </c>
      <c r="G2241">
        <f>IFERROR(IF(WEEKDAY($A2241,2)&lt;=INDEX('BASE METAS DIÁRIAS'!$X$2:$Z$358,MATCH($A2241,'BASE METAS DIÁRIAS'!$A$2:$A$358,0),2),INDEX('BASE METAS DIÁRIAS'!$U$2:$W$358,MATCH($A2241,'BASE METAS DIÁRIAS'!$A$2:$A$358,0),2),""),"")</f>
        <v/>
      </c>
      <c r="H2241">
        <f>IFERROR(IF(INDEX('CONTROLE PRODUÇÃO POR EMPRESAS'!$H$6:$J$5000,MATCH($A2241,'CONTROLE PRODUÇÃO POR EMPRESAS'!$A$6:$A$5000,0),2)="","",IFERROR(1*INDEX('CONTROLE PRODUÇÃO POR EMPRESAS'!$H$6:$J$5000,MATCH($A2241,'CONTROLE PRODUÇÃO POR EMPRESAS'!$A$6:$A$5000,0),2),"")),"")</f>
        <v/>
      </c>
      <c r="I2241">
        <f>IF(OR(NOT(ISNUMBER(G2241)),NOT(ISNUMBER(H2241))),"",H2241-G2241)</f>
        <v/>
      </c>
      <c r="J2241">
        <f>IF(OR(NOT(ISNUMBER(G2241)),NOT(ISNUMBER(H2241)),G2241=0),"",I2241/G2241)</f>
        <v/>
      </c>
      <c r="K2241">
        <f>IF(OR(NOT(ISNUMBER(G2241)),NOT(ISNUMBER(H2241)),G2241=0),"",H2241/G2241)</f>
        <v/>
      </c>
      <c r="L2241">
        <f>IF(NOT(ISNUMBER(G2241)),"SEM META",IF(G2241=0,"SEM META",IF(NOT(ISNUMBER(H2241)),"SEM APONTAMENTO",IF(H2241&gt;=G2241,"VERDE",IF(H2241&gt;=G2241*0.9,"AMARELO","VERMELHO")))))</f>
        <v/>
      </c>
    </row>
    <row r="2242">
      <c r="A2242" s="321" t="n">
        <v>46255</v>
      </c>
      <c r="B2242" t="inlineStr">
        <is>
          <t>GERAL</t>
        </is>
      </c>
      <c r="C2242" t="inlineStr">
        <is>
          <t>GLOBO AÇOS</t>
        </is>
      </c>
      <c r="D2242" t="inlineStr">
        <is>
          <t>FECHAMENTO</t>
        </is>
      </c>
      <c r="F2242">
        <f>IFERROR(INDEX('BASE METAS DIÁRIAS'!$AA$2:$AC$358,MATCH($A2242,'BASE METAS DIÁRIAS'!$A$2:$A$358,0),3),"")</f>
        <v/>
      </c>
      <c r="G2242">
        <f>IFERROR(IF(WEEKDAY($A2242,2)&lt;=INDEX('BASE METAS DIÁRIAS'!$X$2:$Z$358,MATCH($A2242,'BASE METAS DIÁRIAS'!$A$2:$A$358,0),3),INDEX('BASE METAS DIÁRIAS'!$U$2:$W$358,MATCH($A2242,'BASE METAS DIÁRIAS'!$A$2:$A$358,0),3),""),"")</f>
        <v/>
      </c>
      <c r="H2242">
        <f>IFERROR(IF(INDEX('CONTROLE PRODUÇÃO POR EMPRESAS'!$H$6:$J$5000,MATCH($A2242,'CONTROLE PRODUÇÃO POR EMPRESAS'!$A$6:$A$5000,0),3)="","",IFERROR(1*INDEX('CONTROLE PRODUÇÃO POR EMPRESAS'!$H$6:$J$5000,MATCH($A2242,'CONTROLE PRODUÇÃO POR EMPRESAS'!$A$6:$A$5000,0),3),"")),"")</f>
        <v/>
      </c>
      <c r="I2242">
        <f>IF(OR(NOT(ISNUMBER(G2242)),NOT(ISNUMBER(H2242))),"",H2242-G2242)</f>
        <v/>
      </c>
      <c r="J2242">
        <f>IF(OR(NOT(ISNUMBER(G2242)),NOT(ISNUMBER(H2242)),G2242=0),"",I2242/G2242)</f>
        <v/>
      </c>
      <c r="K2242">
        <f>IF(OR(NOT(ISNUMBER(G2242)),NOT(ISNUMBER(H2242)),G2242=0),"",H2242/G2242)</f>
        <v/>
      </c>
      <c r="L2242">
        <f>IF(NOT(ISNUMBER(G2242)),"SEM META",IF(G2242=0,"SEM META",IF(NOT(ISNUMBER(H2242)),"SEM APONTAMENTO",IF(H2242&gt;=G2242,"VERDE",IF(H2242&gt;=G2242*0.9,"AMARELO","VERMELHO")))))</f>
        <v/>
      </c>
    </row>
    <row r="2243">
      <c r="A2243" s="321" t="n">
        <v>46256</v>
      </c>
      <c r="B2243" t="inlineStr">
        <is>
          <t>GERAL</t>
        </is>
      </c>
      <c r="C2243" t="inlineStr">
        <is>
          <t>GLOBO AÇOS</t>
        </is>
      </c>
      <c r="D2243" t="inlineStr">
        <is>
          <t>PERFILAÇÃO</t>
        </is>
      </c>
      <c r="F2243">
        <f>IFERROR(INDEX('BASE METAS DIÁRIAS'!$AA$2:$AC$358,MATCH($A2243,'BASE METAS DIÁRIAS'!$A$2:$A$358,0),1),"")</f>
        <v/>
      </c>
      <c r="G2243">
        <f>IFERROR(IF(WEEKDAY($A2243,2)&lt;=INDEX('BASE METAS DIÁRIAS'!$X$2:$Z$358,MATCH($A2243,'BASE METAS DIÁRIAS'!$A$2:$A$358,0),1),INDEX('BASE METAS DIÁRIAS'!$U$2:$W$358,MATCH($A2243,'BASE METAS DIÁRIAS'!$A$2:$A$358,0),1),""),"")</f>
        <v/>
      </c>
      <c r="H2243">
        <f>IFERROR(IF(INDEX('CONTROLE PRODUÇÃO POR EMPRESAS'!$H$6:$J$5000,MATCH($A2243,'CONTROLE PRODUÇÃO POR EMPRESAS'!$A$6:$A$5000,0),1)="","",IFERROR(1*INDEX('CONTROLE PRODUÇÃO POR EMPRESAS'!$H$6:$J$5000,MATCH($A2243,'CONTROLE PRODUÇÃO POR EMPRESAS'!$A$6:$A$5000,0),1),"")),"")</f>
        <v/>
      </c>
      <c r="I2243">
        <f>IF(OR(NOT(ISNUMBER(G2243)),NOT(ISNUMBER(H2243))),"",H2243-G2243)</f>
        <v/>
      </c>
      <c r="J2243">
        <f>IF(OR(NOT(ISNUMBER(G2243)),NOT(ISNUMBER(H2243)),G2243=0),"",I2243/G2243)</f>
        <v/>
      </c>
      <c r="K2243">
        <f>IF(OR(NOT(ISNUMBER(G2243)),NOT(ISNUMBER(H2243)),G2243=0),"",H2243/G2243)</f>
        <v/>
      </c>
      <c r="L2243">
        <f>IF(NOT(ISNUMBER(G2243)),"SEM META",IF(G2243=0,"SEM META",IF(NOT(ISNUMBER(H2243)),"SEM APONTAMENTO",IF(H2243&gt;=G2243,"VERDE",IF(H2243&gt;=G2243*0.9,"AMARELO","VERMELHO")))))</f>
        <v/>
      </c>
    </row>
    <row r="2244">
      <c r="A2244" s="321" t="n">
        <v>46256</v>
      </c>
      <c r="B2244" t="inlineStr">
        <is>
          <t>GERAL</t>
        </is>
      </c>
      <c r="C2244" t="inlineStr">
        <is>
          <t>GLOBO AÇOS</t>
        </is>
      </c>
      <c r="D2244" t="inlineStr">
        <is>
          <t>TELHAR</t>
        </is>
      </c>
      <c r="F2244">
        <f>IFERROR(INDEX('BASE METAS DIÁRIAS'!$AA$2:$AC$358,MATCH($A2244,'BASE METAS DIÁRIAS'!$A$2:$A$358,0),2),"")</f>
        <v/>
      </c>
      <c r="G2244">
        <f>IFERROR(IF(WEEKDAY($A2244,2)&lt;=INDEX('BASE METAS DIÁRIAS'!$X$2:$Z$358,MATCH($A2244,'BASE METAS DIÁRIAS'!$A$2:$A$358,0),2),INDEX('BASE METAS DIÁRIAS'!$U$2:$W$358,MATCH($A2244,'BASE METAS DIÁRIAS'!$A$2:$A$358,0),2),""),"")</f>
        <v/>
      </c>
      <c r="H2244">
        <f>IFERROR(IF(INDEX('CONTROLE PRODUÇÃO POR EMPRESAS'!$H$6:$J$5000,MATCH($A2244,'CONTROLE PRODUÇÃO POR EMPRESAS'!$A$6:$A$5000,0),2)="","",IFERROR(1*INDEX('CONTROLE PRODUÇÃO POR EMPRESAS'!$H$6:$J$5000,MATCH($A2244,'CONTROLE PRODUÇÃO POR EMPRESAS'!$A$6:$A$5000,0),2),"")),"")</f>
        <v/>
      </c>
      <c r="I2244">
        <f>IF(OR(NOT(ISNUMBER(G2244)),NOT(ISNUMBER(H2244))),"",H2244-G2244)</f>
        <v/>
      </c>
      <c r="J2244">
        <f>IF(OR(NOT(ISNUMBER(G2244)),NOT(ISNUMBER(H2244)),G2244=0),"",I2244/G2244)</f>
        <v/>
      </c>
      <c r="K2244">
        <f>IF(OR(NOT(ISNUMBER(G2244)),NOT(ISNUMBER(H2244)),G2244=0),"",H2244/G2244)</f>
        <v/>
      </c>
      <c r="L2244">
        <f>IF(NOT(ISNUMBER(G2244)),"SEM META",IF(G2244=0,"SEM META",IF(NOT(ISNUMBER(H2244)),"SEM APONTAMENTO",IF(H2244&gt;=G2244,"VERDE",IF(H2244&gt;=G2244*0.9,"AMARELO","VERMELHO")))))</f>
        <v/>
      </c>
    </row>
    <row r="2245">
      <c r="A2245" s="321" t="n">
        <v>46256</v>
      </c>
      <c r="B2245" t="inlineStr">
        <is>
          <t>GERAL</t>
        </is>
      </c>
      <c r="C2245" t="inlineStr">
        <is>
          <t>GLOBO AÇOS</t>
        </is>
      </c>
      <c r="D2245" t="inlineStr">
        <is>
          <t>FECHAMENTO</t>
        </is>
      </c>
      <c r="F2245">
        <f>IFERROR(INDEX('BASE METAS DIÁRIAS'!$AA$2:$AC$358,MATCH($A2245,'BASE METAS DIÁRIAS'!$A$2:$A$358,0),3),"")</f>
        <v/>
      </c>
      <c r="G2245">
        <f>IFERROR(IF(WEEKDAY($A2245,2)&lt;=INDEX('BASE METAS DIÁRIAS'!$X$2:$Z$358,MATCH($A2245,'BASE METAS DIÁRIAS'!$A$2:$A$358,0),3),INDEX('BASE METAS DIÁRIAS'!$U$2:$W$358,MATCH($A2245,'BASE METAS DIÁRIAS'!$A$2:$A$358,0),3),""),"")</f>
        <v/>
      </c>
      <c r="H2245">
        <f>IFERROR(IF(INDEX('CONTROLE PRODUÇÃO POR EMPRESAS'!$H$6:$J$5000,MATCH($A2245,'CONTROLE PRODUÇÃO POR EMPRESAS'!$A$6:$A$5000,0),3)="","",IFERROR(1*INDEX('CONTROLE PRODUÇÃO POR EMPRESAS'!$H$6:$J$5000,MATCH($A2245,'CONTROLE PRODUÇÃO POR EMPRESAS'!$A$6:$A$5000,0),3),"")),"")</f>
        <v/>
      </c>
      <c r="I2245">
        <f>IF(OR(NOT(ISNUMBER(G2245)),NOT(ISNUMBER(H2245))),"",H2245-G2245)</f>
        <v/>
      </c>
      <c r="J2245">
        <f>IF(OR(NOT(ISNUMBER(G2245)),NOT(ISNUMBER(H2245)),G2245=0),"",I2245/G2245)</f>
        <v/>
      </c>
      <c r="K2245">
        <f>IF(OR(NOT(ISNUMBER(G2245)),NOT(ISNUMBER(H2245)),G2245=0),"",H2245/G2245)</f>
        <v/>
      </c>
      <c r="L2245">
        <f>IF(NOT(ISNUMBER(G2245)),"SEM META",IF(G2245=0,"SEM META",IF(NOT(ISNUMBER(H2245)),"SEM APONTAMENTO",IF(H2245&gt;=G2245,"VERDE",IF(H2245&gt;=G2245*0.9,"AMARELO","VERMELHO")))))</f>
        <v/>
      </c>
    </row>
    <row r="2246">
      <c r="A2246" s="321" t="n">
        <v>46257</v>
      </c>
      <c r="B2246" t="inlineStr">
        <is>
          <t>GERAL</t>
        </is>
      </c>
      <c r="C2246" t="inlineStr">
        <is>
          <t>GLOBO AÇOS</t>
        </is>
      </c>
      <c r="D2246" t="inlineStr">
        <is>
          <t>PERFILAÇÃO</t>
        </is>
      </c>
      <c r="F2246">
        <f>IFERROR(INDEX('BASE METAS DIÁRIAS'!$AA$2:$AC$358,MATCH($A2246,'BASE METAS DIÁRIAS'!$A$2:$A$358,0),1),"")</f>
        <v/>
      </c>
      <c r="G2246">
        <f>IFERROR(IF(WEEKDAY($A2246,2)&lt;=INDEX('BASE METAS DIÁRIAS'!$X$2:$Z$358,MATCH($A2246,'BASE METAS DIÁRIAS'!$A$2:$A$358,0),1),INDEX('BASE METAS DIÁRIAS'!$U$2:$W$358,MATCH($A2246,'BASE METAS DIÁRIAS'!$A$2:$A$358,0),1),""),"")</f>
        <v/>
      </c>
      <c r="H2246">
        <f>IFERROR(IF(INDEX('CONTROLE PRODUÇÃO POR EMPRESAS'!$H$6:$J$5000,MATCH($A2246,'CONTROLE PRODUÇÃO POR EMPRESAS'!$A$6:$A$5000,0),1)="","",IFERROR(1*INDEX('CONTROLE PRODUÇÃO POR EMPRESAS'!$H$6:$J$5000,MATCH($A2246,'CONTROLE PRODUÇÃO POR EMPRESAS'!$A$6:$A$5000,0),1),"")),"")</f>
        <v/>
      </c>
      <c r="I2246">
        <f>IF(OR(NOT(ISNUMBER(G2246)),NOT(ISNUMBER(H2246))),"",H2246-G2246)</f>
        <v/>
      </c>
      <c r="J2246">
        <f>IF(OR(NOT(ISNUMBER(G2246)),NOT(ISNUMBER(H2246)),G2246=0),"",I2246/G2246)</f>
        <v/>
      </c>
      <c r="K2246">
        <f>IF(OR(NOT(ISNUMBER(G2246)),NOT(ISNUMBER(H2246)),G2246=0),"",H2246/G2246)</f>
        <v/>
      </c>
      <c r="L2246">
        <f>IF(NOT(ISNUMBER(G2246)),"SEM META",IF(G2246=0,"SEM META",IF(NOT(ISNUMBER(H2246)),"SEM APONTAMENTO",IF(H2246&gt;=G2246,"VERDE",IF(H2246&gt;=G2246*0.9,"AMARELO","VERMELHO")))))</f>
        <v/>
      </c>
    </row>
    <row r="2247">
      <c r="A2247" s="321" t="n">
        <v>46257</v>
      </c>
      <c r="B2247" t="inlineStr">
        <is>
          <t>GERAL</t>
        </is>
      </c>
      <c r="C2247" t="inlineStr">
        <is>
          <t>GLOBO AÇOS</t>
        </is>
      </c>
      <c r="D2247" t="inlineStr">
        <is>
          <t>TELHAR</t>
        </is>
      </c>
      <c r="F2247">
        <f>IFERROR(INDEX('BASE METAS DIÁRIAS'!$AA$2:$AC$358,MATCH($A2247,'BASE METAS DIÁRIAS'!$A$2:$A$358,0),2),"")</f>
        <v/>
      </c>
      <c r="G2247">
        <f>IFERROR(IF(WEEKDAY($A2247,2)&lt;=INDEX('BASE METAS DIÁRIAS'!$X$2:$Z$358,MATCH($A2247,'BASE METAS DIÁRIAS'!$A$2:$A$358,0),2),INDEX('BASE METAS DIÁRIAS'!$U$2:$W$358,MATCH($A2247,'BASE METAS DIÁRIAS'!$A$2:$A$358,0),2),""),"")</f>
        <v/>
      </c>
      <c r="H2247">
        <f>IFERROR(IF(INDEX('CONTROLE PRODUÇÃO POR EMPRESAS'!$H$6:$J$5000,MATCH($A2247,'CONTROLE PRODUÇÃO POR EMPRESAS'!$A$6:$A$5000,0),2)="","",IFERROR(1*INDEX('CONTROLE PRODUÇÃO POR EMPRESAS'!$H$6:$J$5000,MATCH($A2247,'CONTROLE PRODUÇÃO POR EMPRESAS'!$A$6:$A$5000,0),2),"")),"")</f>
        <v/>
      </c>
      <c r="I2247">
        <f>IF(OR(NOT(ISNUMBER(G2247)),NOT(ISNUMBER(H2247))),"",H2247-G2247)</f>
        <v/>
      </c>
      <c r="J2247">
        <f>IF(OR(NOT(ISNUMBER(G2247)),NOT(ISNUMBER(H2247)),G2247=0),"",I2247/G2247)</f>
        <v/>
      </c>
      <c r="K2247">
        <f>IF(OR(NOT(ISNUMBER(G2247)),NOT(ISNUMBER(H2247)),G2247=0),"",H2247/G2247)</f>
        <v/>
      </c>
      <c r="L2247">
        <f>IF(NOT(ISNUMBER(G2247)),"SEM META",IF(G2247=0,"SEM META",IF(NOT(ISNUMBER(H2247)),"SEM APONTAMENTO",IF(H2247&gt;=G2247,"VERDE",IF(H2247&gt;=G2247*0.9,"AMARELO","VERMELHO")))))</f>
        <v/>
      </c>
    </row>
    <row r="2248">
      <c r="A2248" s="321" t="n">
        <v>46257</v>
      </c>
      <c r="B2248" t="inlineStr">
        <is>
          <t>GERAL</t>
        </is>
      </c>
      <c r="C2248" t="inlineStr">
        <is>
          <t>GLOBO AÇOS</t>
        </is>
      </c>
      <c r="D2248" t="inlineStr">
        <is>
          <t>FECHAMENTO</t>
        </is>
      </c>
      <c r="F2248">
        <f>IFERROR(INDEX('BASE METAS DIÁRIAS'!$AA$2:$AC$358,MATCH($A2248,'BASE METAS DIÁRIAS'!$A$2:$A$358,0),3),"")</f>
        <v/>
      </c>
      <c r="G2248">
        <f>IFERROR(IF(WEEKDAY($A2248,2)&lt;=INDEX('BASE METAS DIÁRIAS'!$X$2:$Z$358,MATCH($A2248,'BASE METAS DIÁRIAS'!$A$2:$A$358,0),3),INDEX('BASE METAS DIÁRIAS'!$U$2:$W$358,MATCH($A2248,'BASE METAS DIÁRIAS'!$A$2:$A$358,0),3),""),"")</f>
        <v/>
      </c>
      <c r="H2248">
        <f>IFERROR(IF(INDEX('CONTROLE PRODUÇÃO POR EMPRESAS'!$H$6:$J$5000,MATCH($A2248,'CONTROLE PRODUÇÃO POR EMPRESAS'!$A$6:$A$5000,0),3)="","",IFERROR(1*INDEX('CONTROLE PRODUÇÃO POR EMPRESAS'!$H$6:$J$5000,MATCH($A2248,'CONTROLE PRODUÇÃO POR EMPRESAS'!$A$6:$A$5000,0),3),"")),"")</f>
        <v/>
      </c>
      <c r="I2248">
        <f>IF(OR(NOT(ISNUMBER(G2248)),NOT(ISNUMBER(H2248))),"",H2248-G2248)</f>
        <v/>
      </c>
      <c r="J2248">
        <f>IF(OR(NOT(ISNUMBER(G2248)),NOT(ISNUMBER(H2248)),G2248=0),"",I2248/G2248)</f>
        <v/>
      </c>
      <c r="K2248">
        <f>IF(OR(NOT(ISNUMBER(G2248)),NOT(ISNUMBER(H2248)),G2248=0),"",H2248/G2248)</f>
        <v/>
      </c>
      <c r="L2248">
        <f>IF(NOT(ISNUMBER(G2248)),"SEM META",IF(G2248=0,"SEM META",IF(NOT(ISNUMBER(H2248)),"SEM APONTAMENTO",IF(H2248&gt;=G2248,"VERDE",IF(H2248&gt;=G2248*0.9,"AMARELO","VERMELHO")))))</f>
        <v/>
      </c>
    </row>
    <row r="2249">
      <c r="A2249" s="321" t="n">
        <v>46258</v>
      </c>
      <c r="B2249" t="inlineStr">
        <is>
          <t>GERAL</t>
        </is>
      </c>
      <c r="C2249" t="inlineStr">
        <is>
          <t>GLOBO AÇOS</t>
        </is>
      </c>
      <c r="D2249" t="inlineStr">
        <is>
          <t>PERFILAÇÃO</t>
        </is>
      </c>
      <c r="F2249">
        <f>IFERROR(INDEX('BASE METAS DIÁRIAS'!$AA$2:$AC$358,MATCH($A2249,'BASE METAS DIÁRIAS'!$A$2:$A$358,0),1),"")</f>
        <v/>
      </c>
      <c r="G2249">
        <f>IFERROR(IF(WEEKDAY($A2249,2)&lt;=INDEX('BASE METAS DIÁRIAS'!$X$2:$Z$358,MATCH($A2249,'BASE METAS DIÁRIAS'!$A$2:$A$358,0),1),INDEX('BASE METAS DIÁRIAS'!$U$2:$W$358,MATCH($A2249,'BASE METAS DIÁRIAS'!$A$2:$A$358,0),1),""),"")</f>
        <v/>
      </c>
      <c r="H2249">
        <f>IFERROR(IF(INDEX('CONTROLE PRODUÇÃO POR EMPRESAS'!$H$6:$J$5000,MATCH($A2249,'CONTROLE PRODUÇÃO POR EMPRESAS'!$A$6:$A$5000,0),1)="","",IFERROR(1*INDEX('CONTROLE PRODUÇÃO POR EMPRESAS'!$H$6:$J$5000,MATCH($A2249,'CONTROLE PRODUÇÃO POR EMPRESAS'!$A$6:$A$5000,0),1),"")),"")</f>
        <v/>
      </c>
      <c r="I2249">
        <f>IF(OR(NOT(ISNUMBER(G2249)),NOT(ISNUMBER(H2249))),"",H2249-G2249)</f>
        <v/>
      </c>
      <c r="J2249">
        <f>IF(OR(NOT(ISNUMBER(G2249)),NOT(ISNUMBER(H2249)),G2249=0),"",I2249/G2249)</f>
        <v/>
      </c>
      <c r="K2249">
        <f>IF(OR(NOT(ISNUMBER(G2249)),NOT(ISNUMBER(H2249)),G2249=0),"",H2249/G2249)</f>
        <v/>
      </c>
      <c r="L2249">
        <f>IF(NOT(ISNUMBER(G2249)),"SEM META",IF(G2249=0,"SEM META",IF(NOT(ISNUMBER(H2249)),"SEM APONTAMENTO",IF(H2249&gt;=G2249,"VERDE",IF(H2249&gt;=G2249*0.9,"AMARELO","VERMELHO")))))</f>
        <v/>
      </c>
    </row>
    <row r="2250">
      <c r="A2250" s="321" t="n">
        <v>46258</v>
      </c>
      <c r="B2250" t="inlineStr">
        <is>
          <t>GERAL</t>
        </is>
      </c>
      <c r="C2250" t="inlineStr">
        <is>
          <t>GLOBO AÇOS</t>
        </is>
      </c>
      <c r="D2250" t="inlineStr">
        <is>
          <t>TELHAR</t>
        </is>
      </c>
      <c r="F2250">
        <f>IFERROR(INDEX('BASE METAS DIÁRIAS'!$AA$2:$AC$358,MATCH($A2250,'BASE METAS DIÁRIAS'!$A$2:$A$358,0),2),"")</f>
        <v/>
      </c>
      <c r="G2250">
        <f>IFERROR(IF(WEEKDAY($A2250,2)&lt;=INDEX('BASE METAS DIÁRIAS'!$X$2:$Z$358,MATCH($A2250,'BASE METAS DIÁRIAS'!$A$2:$A$358,0),2),INDEX('BASE METAS DIÁRIAS'!$U$2:$W$358,MATCH($A2250,'BASE METAS DIÁRIAS'!$A$2:$A$358,0),2),""),"")</f>
        <v/>
      </c>
      <c r="H2250">
        <f>IFERROR(IF(INDEX('CONTROLE PRODUÇÃO POR EMPRESAS'!$H$6:$J$5000,MATCH($A2250,'CONTROLE PRODUÇÃO POR EMPRESAS'!$A$6:$A$5000,0),2)="","",IFERROR(1*INDEX('CONTROLE PRODUÇÃO POR EMPRESAS'!$H$6:$J$5000,MATCH($A2250,'CONTROLE PRODUÇÃO POR EMPRESAS'!$A$6:$A$5000,0),2),"")),"")</f>
        <v/>
      </c>
      <c r="I2250">
        <f>IF(OR(NOT(ISNUMBER(G2250)),NOT(ISNUMBER(H2250))),"",H2250-G2250)</f>
        <v/>
      </c>
      <c r="J2250">
        <f>IF(OR(NOT(ISNUMBER(G2250)),NOT(ISNUMBER(H2250)),G2250=0),"",I2250/G2250)</f>
        <v/>
      </c>
      <c r="K2250">
        <f>IF(OR(NOT(ISNUMBER(G2250)),NOT(ISNUMBER(H2250)),G2250=0),"",H2250/G2250)</f>
        <v/>
      </c>
      <c r="L2250">
        <f>IF(NOT(ISNUMBER(G2250)),"SEM META",IF(G2250=0,"SEM META",IF(NOT(ISNUMBER(H2250)),"SEM APONTAMENTO",IF(H2250&gt;=G2250,"VERDE",IF(H2250&gt;=G2250*0.9,"AMARELO","VERMELHO")))))</f>
        <v/>
      </c>
    </row>
    <row r="2251">
      <c r="A2251" s="321" t="n">
        <v>46258</v>
      </c>
      <c r="B2251" t="inlineStr">
        <is>
          <t>GERAL</t>
        </is>
      </c>
      <c r="C2251" t="inlineStr">
        <is>
          <t>GLOBO AÇOS</t>
        </is>
      </c>
      <c r="D2251" t="inlineStr">
        <is>
          <t>FECHAMENTO</t>
        </is>
      </c>
      <c r="F2251">
        <f>IFERROR(INDEX('BASE METAS DIÁRIAS'!$AA$2:$AC$358,MATCH($A2251,'BASE METAS DIÁRIAS'!$A$2:$A$358,0),3),"")</f>
        <v/>
      </c>
      <c r="G2251">
        <f>IFERROR(IF(WEEKDAY($A2251,2)&lt;=INDEX('BASE METAS DIÁRIAS'!$X$2:$Z$358,MATCH($A2251,'BASE METAS DIÁRIAS'!$A$2:$A$358,0),3),INDEX('BASE METAS DIÁRIAS'!$U$2:$W$358,MATCH($A2251,'BASE METAS DIÁRIAS'!$A$2:$A$358,0),3),""),"")</f>
        <v/>
      </c>
      <c r="H2251">
        <f>IFERROR(IF(INDEX('CONTROLE PRODUÇÃO POR EMPRESAS'!$H$6:$J$5000,MATCH($A2251,'CONTROLE PRODUÇÃO POR EMPRESAS'!$A$6:$A$5000,0),3)="","",IFERROR(1*INDEX('CONTROLE PRODUÇÃO POR EMPRESAS'!$H$6:$J$5000,MATCH($A2251,'CONTROLE PRODUÇÃO POR EMPRESAS'!$A$6:$A$5000,0),3),"")),"")</f>
        <v/>
      </c>
      <c r="I2251">
        <f>IF(OR(NOT(ISNUMBER(G2251)),NOT(ISNUMBER(H2251))),"",H2251-G2251)</f>
        <v/>
      </c>
      <c r="J2251">
        <f>IF(OR(NOT(ISNUMBER(G2251)),NOT(ISNUMBER(H2251)),G2251=0),"",I2251/G2251)</f>
        <v/>
      </c>
      <c r="K2251">
        <f>IF(OR(NOT(ISNUMBER(G2251)),NOT(ISNUMBER(H2251)),G2251=0),"",H2251/G2251)</f>
        <v/>
      </c>
      <c r="L2251">
        <f>IF(NOT(ISNUMBER(G2251)),"SEM META",IF(G2251=0,"SEM META",IF(NOT(ISNUMBER(H2251)),"SEM APONTAMENTO",IF(H2251&gt;=G2251,"VERDE",IF(H2251&gt;=G2251*0.9,"AMARELO","VERMELHO")))))</f>
        <v/>
      </c>
    </row>
    <row r="2252">
      <c r="A2252" s="321" t="n">
        <v>46259</v>
      </c>
      <c r="B2252" t="inlineStr">
        <is>
          <t>GERAL</t>
        </is>
      </c>
      <c r="C2252" t="inlineStr">
        <is>
          <t>GLOBO AÇOS</t>
        </is>
      </c>
      <c r="D2252" t="inlineStr">
        <is>
          <t>PERFILAÇÃO</t>
        </is>
      </c>
      <c r="F2252">
        <f>IFERROR(INDEX('BASE METAS DIÁRIAS'!$AA$2:$AC$358,MATCH($A2252,'BASE METAS DIÁRIAS'!$A$2:$A$358,0),1),"")</f>
        <v/>
      </c>
      <c r="G2252">
        <f>IFERROR(IF(WEEKDAY($A2252,2)&lt;=INDEX('BASE METAS DIÁRIAS'!$X$2:$Z$358,MATCH($A2252,'BASE METAS DIÁRIAS'!$A$2:$A$358,0),1),INDEX('BASE METAS DIÁRIAS'!$U$2:$W$358,MATCH($A2252,'BASE METAS DIÁRIAS'!$A$2:$A$358,0),1),""),"")</f>
        <v/>
      </c>
      <c r="H2252">
        <f>IFERROR(IF(INDEX('CONTROLE PRODUÇÃO POR EMPRESAS'!$H$6:$J$5000,MATCH($A2252,'CONTROLE PRODUÇÃO POR EMPRESAS'!$A$6:$A$5000,0),1)="","",IFERROR(1*INDEX('CONTROLE PRODUÇÃO POR EMPRESAS'!$H$6:$J$5000,MATCH($A2252,'CONTROLE PRODUÇÃO POR EMPRESAS'!$A$6:$A$5000,0),1),"")),"")</f>
        <v/>
      </c>
      <c r="I2252">
        <f>IF(OR(NOT(ISNUMBER(G2252)),NOT(ISNUMBER(H2252))),"",H2252-G2252)</f>
        <v/>
      </c>
      <c r="J2252">
        <f>IF(OR(NOT(ISNUMBER(G2252)),NOT(ISNUMBER(H2252)),G2252=0),"",I2252/G2252)</f>
        <v/>
      </c>
      <c r="K2252">
        <f>IF(OR(NOT(ISNUMBER(G2252)),NOT(ISNUMBER(H2252)),G2252=0),"",H2252/G2252)</f>
        <v/>
      </c>
      <c r="L2252">
        <f>IF(NOT(ISNUMBER(G2252)),"SEM META",IF(G2252=0,"SEM META",IF(NOT(ISNUMBER(H2252)),"SEM APONTAMENTO",IF(H2252&gt;=G2252,"VERDE",IF(H2252&gt;=G2252*0.9,"AMARELO","VERMELHO")))))</f>
        <v/>
      </c>
    </row>
    <row r="2253">
      <c r="A2253" s="321" t="n">
        <v>46259</v>
      </c>
      <c r="B2253" t="inlineStr">
        <is>
          <t>GERAL</t>
        </is>
      </c>
      <c r="C2253" t="inlineStr">
        <is>
          <t>GLOBO AÇOS</t>
        </is>
      </c>
      <c r="D2253" t="inlineStr">
        <is>
          <t>TELHAR</t>
        </is>
      </c>
      <c r="F2253">
        <f>IFERROR(INDEX('BASE METAS DIÁRIAS'!$AA$2:$AC$358,MATCH($A2253,'BASE METAS DIÁRIAS'!$A$2:$A$358,0),2),"")</f>
        <v/>
      </c>
      <c r="G2253">
        <f>IFERROR(IF(WEEKDAY($A2253,2)&lt;=INDEX('BASE METAS DIÁRIAS'!$X$2:$Z$358,MATCH($A2253,'BASE METAS DIÁRIAS'!$A$2:$A$358,0),2),INDEX('BASE METAS DIÁRIAS'!$U$2:$W$358,MATCH($A2253,'BASE METAS DIÁRIAS'!$A$2:$A$358,0),2),""),"")</f>
        <v/>
      </c>
      <c r="H2253">
        <f>IFERROR(IF(INDEX('CONTROLE PRODUÇÃO POR EMPRESAS'!$H$6:$J$5000,MATCH($A2253,'CONTROLE PRODUÇÃO POR EMPRESAS'!$A$6:$A$5000,0),2)="","",IFERROR(1*INDEX('CONTROLE PRODUÇÃO POR EMPRESAS'!$H$6:$J$5000,MATCH($A2253,'CONTROLE PRODUÇÃO POR EMPRESAS'!$A$6:$A$5000,0),2),"")),"")</f>
        <v/>
      </c>
      <c r="I2253">
        <f>IF(OR(NOT(ISNUMBER(G2253)),NOT(ISNUMBER(H2253))),"",H2253-G2253)</f>
        <v/>
      </c>
      <c r="J2253">
        <f>IF(OR(NOT(ISNUMBER(G2253)),NOT(ISNUMBER(H2253)),G2253=0),"",I2253/G2253)</f>
        <v/>
      </c>
      <c r="K2253">
        <f>IF(OR(NOT(ISNUMBER(G2253)),NOT(ISNUMBER(H2253)),G2253=0),"",H2253/G2253)</f>
        <v/>
      </c>
      <c r="L2253">
        <f>IF(NOT(ISNUMBER(G2253)),"SEM META",IF(G2253=0,"SEM META",IF(NOT(ISNUMBER(H2253)),"SEM APONTAMENTO",IF(H2253&gt;=G2253,"VERDE",IF(H2253&gt;=G2253*0.9,"AMARELO","VERMELHO")))))</f>
        <v/>
      </c>
    </row>
    <row r="2254">
      <c r="A2254" s="321" t="n">
        <v>46259</v>
      </c>
      <c r="B2254" t="inlineStr">
        <is>
          <t>GERAL</t>
        </is>
      </c>
      <c r="C2254" t="inlineStr">
        <is>
          <t>GLOBO AÇOS</t>
        </is>
      </c>
      <c r="D2254" t="inlineStr">
        <is>
          <t>FECHAMENTO</t>
        </is>
      </c>
      <c r="F2254">
        <f>IFERROR(INDEX('BASE METAS DIÁRIAS'!$AA$2:$AC$358,MATCH($A2254,'BASE METAS DIÁRIAS'!$A$2:$A$358,0),3),"")</f>
        <v/>
      </c>
      <c r="G2254">
        <f>IFERROR(IF(WEEKDAY($A2254,2)&lt;=INDEX('BASE METAS DIÁRIAS'!$X$2:$Z$358,MATCH($A2254,'BASE METAS DIÁRIAS'!$A$2:$A$358,0),3),INDEX('BASE METAS DIÁRIAS'!$U$2:$W$358,MATCH($A2254,'BASE METAS DIÁRIAS'!$A$2:$A$358,0),3),""),"")</f>
        <v/>
      </c>
      <c r="H2254">
        <f>IFERROR(IF(INDEX('CONTROLE PRODUÇÃO POR EMPRESAS'!$H$6:$J$5000,MATCH($A2254,'CONTROLE PRODUÇÃO POR EMPRESAS'!$A$6:$A$5000,0),3)="","",IFERROR(1*INDEX('CONTROLE PRODUÇÃO POR EMPRESAS'!$H$6:$J$5000,MATCH($A2254,'CONTROLE PRODUÇÃO POR EMPRESAS'!$A$6:$A$5000,0),3),"")),"")</f>
        <v/>
      </c>
      <c r="I2254">
        <f>IF(OR(NOT(ISNUMBER(G2254)),NOT(ISNUMBER(H2254))),"",H2254-G2254)</f>
        <v/>
      </c>
      <c r="J2254">
        <f>IF(OR(NOT(ISNUMBER(G2254)),NOT(ISNUMBER(H2254)),G2254=0),"",I2254/G2254)</f>
        <v/>
      </c>
      <c r="K2254">
        <f>IF(OR(NOT(ISNUMBER(G2254)),NOT(ISNUMBER(H2254)),G2254=0),"",H2254/G2254)</f>
        <v/>
      </c>
      <c r="L2254">
        <f>IF(NOT(ISNUMBER(G2254)),"SEM META",IF(G2254=0,"SEM META",IF(NOT(ISNUMBER(H2254)),"SEM APONTAMENTO",IF(H2254&gt;=G2254,"VERDE",IF(H2254&gt;=G2254*0.9,"AMARELO","VERMELHO")))))</f>
        <v/>
      </c>
    </row>
    <row r="2255">
      <c r="A2255" s="321" t="n">
        <v>46260</v>
      </c>
      <c r="B2255" t="inlineStr">
        <is>
          <t>GERAL</t>
        </is>
      </c>
      <c r="C2255" t="inlineStr">
        <is>
          <t>GLOBO AÇOS</t>
        </is>
      </c>
      <c r="D2255" t="inlineStr">
        <is>
          <t>PERFILAÇÃO</t>
        </is>
      </c>
      <c r="F2255">
        <f>IFERROR(INDEX('BASE METAS DIÁRIAS'!$AA$2:$AC$358,MATCH($A2255,'BASE METAS DIÁRIAS'!$A$2:$A$358,0),1),"")</f>
        <v/>
      </c>
      <c r="G2255">
        <f>IFERROR(IF(WEEKDAY($A2255,2)&lt;=INDEX('BASE METAS DIÁRIAS'!$X$2:$Z$358,MATCH($A2255,'BASE METAS DIÁRIAS'!$A$2:$A$358,0),1),INDEX('BASE METAS DIÁRIAS'!$U$2:$W$358,MATCH($A2255,'BASE METAS DIÁRIAS'!$A$2:$A$358,0),1),""),"")</f>
        <v/>
      </c>
      <c r="H2255">
        <f>IFERROR(IF(INDEX('CONTROLE PRODUÇÃO POR EMPRESAS'!$H$6:$J$5000,MATCH($A2255,'CONTROLE PRODUÇÃO POR EMPRESAS'!$A$6:$A$5000,0),1)="","",IFERROR(1*INDEX('CONTROLE PRODUÇÃO POR EMPRESAS'!$H$6:$J$5000,MATCH($A2255,'CONTROLE PRODUÇÃO POR EMPRESAS'!$A$6:$A$5000,0),1),"")),"")</f>
        <v/>
      </c>
      <c r="I2255">
        <f>IF(OR(NOT(ISNUMBER(G2255)),NOT(ISNUMBER(H2255))),"",H2255-G2255)</f>
        <v/>
      </c>
      <c r="J2255">
        <f>IF(OR(NOT(ISNUMBER(G2255)),NOT(ISNUMBER(H2255)),G2255=0),"",I2255/G2255)</f>
        <v/>
      </c>
      <c r="K2255">
        <f>IF(OR(NOT(ISNUMBER(G2255)),NOT(ISNUMBER(H2255)),G2255=0),"",H2255/G2255)</f>
        <v/>
      </c>
      <c r="L2255">
        <f>IF(NOT(ISNUMBER(G2255)),"SEM META",IF(G2255=0,"SEM META",IF(NOT(ISNUMBER(H2255)),"SEM APONTAMENTO",IF(H2255&gt;=G2255,"VERDE",IF(H2255&gt;=G2255*0.9,"AMARELO","VERMELHO")))))</f>
        <v/>
      </c>
    </row>
    <row r="2256">
      <c r="A2256" s="321" t="n">
        <v>46260</v>
      </c>
      <c r="B2256" t="inlineStr">
        <is>
          <t>GERAL</t>
        </is>
      </c>
      <c r="C2256" t="inlineStr">
        <is>
          <t>GLOBO AÇOS</t>
        </is>
      </c>
      <c r="D2256" t="inlineStr">
        <is>
          <t>TELHAR</t>
        </is>
      </c>
      <c r="F2256">
        <f>IFERROR(INDEX('BASE METAS DIÁRIAS'!$AA$2:$AC$358,MATCH($A2256,'BASE METAS DIÁRIAS'!$A$2:$A$358,0),2),"")</f>
        <v/>
      </c>
      <c r="G2256">
        <f>IFERROR(IF(WEEKDAY($A2256,2)&lt;=INDEX('BASE METAS DIÁRIAS'!$X$2:$Z$358,MATCH($A2256,'BASE METAS DIÁRIAS'!$A$2:$A$358,0),2),INDEX('BASE METAS DIÁRIAS'!$U$2:$W$358,MATCH($A2256,'BASE METAS DIÁRIAS'!$A$2:$A$358,0),2),""),"")</f>
        <v/>
      </c>
      <c r="H2256">
        <f>IFERROR(IF(INDEX('CONTROLE PRODUÇÃO POR EMPRESAS'!$H$6:$J$5000,MATCH($A2256,'CONTROLE PRODUÇÃO POR EMPRESAS'!$A$6:$A$5000,0),2)="","",IFERROR(1*INDEX('CONTROLE PRODUÇÃO POR EMPRESAS'!$H$6:$J$5000,MATCH($A2256,'CONTROLE PRODUÇÃO POR EMPRESAS'!$A$6:$A$5000,0),2),"")),"")</f>
        <v/>
      </c>
      <c r="I2256">
        <f>IF(OR(NOT(ISNUMBER(G2256)),NOT(ISNUMBER(H2256))),"",H2256-G2256)</f>
        <v/>
      </c>
      <c r="J2256">
        <f>IF(OR(NOT(ISNUMBER(G2256)),NOT(ISNUMBER(H2256)),G2256=0),"",I2256/G2256)</f>
        <v/>
      </c>
      <c r="K2256">
        <f>IF(OR(NOT(ISNUMBER(G2256)),NOT(ISNUMBER(H2256)),G2256=0),"",H2256/G2256)</f>
        <v/>
      </c>
      <c r="L2256">
        <f>IF(NOT(ISNUMBER(G2256)),"SEM META",IF(G2256=0,"SEM META",IF(NOT(ISNUMBER(H2256)),"SEM APONTAMENTO",IF(H2256&gt;=G2256,"VERDE",IF(H2256&gt;=G2256*0.9,"AMARELO","VERMELHO")))))</f>
        <v/>
      </c>
    </row>
    <row r="2257">
      <c r="A2257" s="321" t="n">
        <v>46260</v>
      </c>
      <c r="B2257" t="inlineStr">
        <is>
          <t>GERAL</t>
        </is>
      </c>
      <c r="C2257" t="inlineStr">
        <is>
          <t>GLOBO AÇOS</t>
        </is>
      </c>
      <c r="D2257" t="inlineStr">
        <is>
          <t>FECHAMENTO</t>
        </is>
      </c>
      <c r="F2257">
        <f>IFERROR(INDEX('BASE METAS DIÁRIAS'!$AA$2:$AC$358,MATCH($A2257,'BASE METAS DIÁRIAS'!$A$2:$A$358,0),3),"")</f>
        <v/>
      </c>
      <c r="G2257">
        <f>IFERROR(IF(WEEKDAY($A2257,2)&lt;=INDEX('BASE METAS DIÁRIAS'!$X$2:$Z$358,MATCH($A2257,'BASE METAS DIÁRIAS'!$A$2:$A$358,0),3),INDEX('BASE METAS DIÁRIAS'!$U$2:$W$358,MATCH($A2257,'BASE METAS DIÁRIAS'!$A$2:$A$358,0),3),""),"")</f>
        <v/>
      </c>
      <c r="H2257">
        <f>IFERROR(IF(INDEX('CONTROLE PRODUÇÃO POR EMPRESAS'!$H$6:$J$5000,MATCH($A2257,'CONTROLE PRODUÇÃO POR EMPRESAS'!$A$6:$A$5000,0),3)="","",IFERROR(1*INDEX('CONTROLE PRODUÇÃO POR EMPRESAS'!$H$6:$J$5000,MATCH($A2257,'CONTROLE PRODUÇÃO POR EMPRESAS'!$A$6:$A$5000,0),3),"")),"")</f>
        <v/>
      </c>
      <c r="I2257">
        <f>IF(OR(NOT(ISNUMBER(G2257)),NOT(ISNUMBER(H2257))),"",H2257-G2257)</f>
        <v/>
      </c>
      <c r="J2257">
        <f>IF(OR(NOT(ISNUMBER(G2257)),NOT(ISNUMBER(H2257)),G2257=0),"",I2257/G2257)</f>
        <v/>
      </c>
      <c r="K2257">
        <f>IF(OR(NOT(ISNUMBER(G2257)),NOT(ISNUMBER(H2257)),G2257=0),"",H2257/G2257)</f>
        <v/>
      </c>
      <c r="L2257">
        <f>IF(NOT(ISNUMBER(G2257)),"SEM META",IF(G2257=0,"SEM META",IF(NOT(ISNUMBER(H2257)),"SEM APONTAMENTO",IF(H2257&gt;=G2257,"VERDE",IF(H2257&gt;=G2257*0.9,"AMARELO","VERMELHO")))))</f>
        <v/>
      </c>
    </row>
    <row r="2258">
      <c r="A2258" s="321" t="n">
        <v>46261</v>
      </c>
      <c r="B2258" t="inlineStr">
        <is>
          <t>GERAL</t>
        </is>
      </c>
      <c r="C2258" t="inlineStr">
        <is>
          <t>GLOBO AÇOS</t>
        </is>
      </c>
      <c r="D2258" t="inlineStr">
        <is>
          <t>PERFILAÇÃO</t>
        </is>
      </c>
      <c r="F2258">
        <f>IFERROR(INDEX('BASE METAS DIÁRIAS'!$AA$2:$AC$358,MATCH($A2258,'BASE METAS DIÁRIAS'!$A$2:$A$358,0),1),"")</f>
        <v/>
      </c>
      <c r="G2258">
        <f>IFERROR(IF(WEEKDAY($A2258,2)&lt;=INDEX('BASE METAS DIÁRIAS'!$X$2:$Z$358,MATCH($A2258,'BASE METAS DIÁRIAS'!$A$2:$A$358,0),1),INDEX('BASE METAS DIÁRIAS'!$U$2:$W$358,MATCH($A2258,'BASE METAS DIÁRIAS'!$A$2:$A$358,0),1),""),"")</f>
        <v/>
      </c>
      <c r="H2258">
        <f>IFERROR(IF(INDEX('CONTROLE PRODUÇÃO POR EMPRESAS'!$H$6:$J$5000,MATCH($A2258,'CONTROLE PRODUÇÃO POR EMPRESAS'!$A$6:$A$5000,0),1)="","",IFERROR(1*INDEX('CONTROLE PRODUÇÃO POR EMPRESAS'!$H$6:$J$5000,MATCH($A2258,'CONTROLE PRODUÇÃO POR EMPRESAS'!$A$6:$A$5000,0),1),"")),"")</f>
        <v/>
      </c>
      <c r="I2258">
        <f>IF(OR(NOT(ISNUMBER(G2258)),NOT(ISNUMBER(H2258))),"",H2258-G2258)</f>
        <v/>
      </c>
      <c r="J2258">
        <f>IF(OR(NOT(ISNUMBER(G2258)),NOT(ISNUMBER(H2258)),G2258=0),"",I2258/G2258)</f>
        <v/>
      </c>
      <c r="K2258">
        <f>IF(OR(NOT(ISNUMBER(G2258)),NOT(ISNUMBER(H2258)),G2258=0),"",H2258/G2258)</f>
        <v/>
      </c>
      <c r="L2258">
        <f>IF(NOT(ISNUMBER(G2258)),"SEM META",IF(G2258=0,"SEM META",IF(NOT(ISNUMBER(H2258)),"SEM APONTAMENTO",IF(H2258&gt;=G2258,"VERDE",IF(H2258&gt;=G2258*0.9,"AMARELO","VERMELHO")))))</f>
        <v/>
      </c>
    </row>
    <row r="2259">
      <c r="A2259" s="321" t="n">
        <v>46261</v>
      </c>
      <c r="B2259" t="inlineStr">
        <is>
          <t>GERAL</t>
        </is>
      </c>
      <c r="C2259" t="inlineStr">
        <is>
          <t>GLOBO AÇOS</t>
        </is>
      </c>
      <c r="D2259" t="inlineStr">
        <is>
          <t>TELHAR</t>
        </is>
      </c>
      <c r="F2259">
        <f>IFERROR(INDEX('BASE METAS DIÁRIAS'!$AA$2:$AC$358,MATCH($A2259,'BASE METAS DIÁRIAS'!$A$2:$A$358,0),2),"")</f>
        <v/>
      </c>
      <c r="G2259">
        <f>IFERROR(IF(WEEKDAY($A2259,2)&lt;=INDEX('BASE METAS DIÁRIAS'!$X$2:$Z$358,MATCH($A2259,'BASE METAS DIÁRIAS'!$A$2:$A$358,0),2),INDEX('BASE METAS DIÁRIAS'!$U$2:$W$358,MATCH($A2259,'BASE METAS DIÁRIAS'!$A$2:$A$358,0),2),""),"")</f>
        <v/>
      </c>
      <c r="H2259">
        <f>IFERROR(IF(INDEX('CONTROLE PRODUÇÃO POR EMPRESAS'!$H$6:$J$5000,MATCH($A2259,'CONTROLE PRODUÇÃO POR EMPRESAS'!$A$6:$A$5000,0),2)="","",IFERROR(1*INDEX('CONTROLE PRODUÇÃO POR EMPRESAS'!$H$6:$J$5000,MATCH($A2259,'CONTROLE PRODUÇÃO POR EMPRESAS'!$A$6:$A$5000,0),2),"")),"")</f>
        <v/>
      </c>
      <c r="I2259">
        <f>IF(OR(NOT(ISNUMBER(G2259)),NOT(ISNUMBER(H2259))),"",H2259-G2259)</f>
        <v/>
      </c>
      <c r="J2259">
        <f>IF(OR(NOT(ISNUMBER(G2259)),NOT(ISNUMBER(H2259)),G2259=0),"",I2259/G2259)</f>
        <v/>
      </c>
      <c r="K2259">
        <f>IF(OR(NOT(ISNUMBER(G2259)),NOT(ISNUMBER(H2259)),G2259=0),"",H2259/G2259)</f>
        <v/>
      </c>
      <c r="L2259">
        <f>IF(NOT(ISNUMBER(G2259)),"SEM META",IF(G2259=0,"SEM META",IF(NOT(ISNUMBER(H2259)),"SEM APONTAMENTO",IF(H2259&gt;=G2259,"VERDE",IF(H2259&gt;=G2259*0.9,"AMARELO","VERMELHO")))))</f>
        <v/>
      </c>
    </row>
    <row r="2260">
      <c r="A2260" s="321" t="n">
        <v>46261</v>
      </c>
      <c r="B2260" t="inlineStr">
        <is>
          <t>GERAL</t>
        </is>
      </c>
      <c r="C2260" t="inlineStr">
        <is>
          <t>GLOBO AÇOS</t>
        </is>
      </c>
      <c r="D2260" t="inlineStr">
        <is>
          <t>FECHAMENTO</t>
        </is>
      </c>
      <c r="F2260">
        <f>IFERROR(INDEX('BASE METAS DIÁRIAS'!$AA$2:$AC$358,MATCH($A2260,'BASE METAS DIÁRIAS'!$A$2:$A$358,0),3),"")</f>
        <v/>
      </c>
      <c r="G2260">
        <f>IFERROR(IF(WEEKDAY($A2260,2)&lt;=INDEX('BASE METAS DIÁRIAS'!$X$2:$Z$358,MATCH($A2260,'BASE METAS DIÁRIAS'!$A$2:$A$358,0),3),INDEX('BASE METAS DIÁRIAS'!$U$2:$W$358,MATCH($A2260,'BASE METAS DIÁRIAS'!$A$2:$A$358,0),3),""),"")</f>
        <v/>
      </c>
      <c r="H2260">
        <f>IFERROR(IF(INDEX('CONTROLE PRODUÇÃO POR EMPRESAS'!$H$6:$J$5000,MATCH($A2260,'CONTROLE PRODUÇÃO POR EMPRESAS'!$A$6:$A$5000,0),3)="","",IFERROR(1*INDEX('CONTROLE PRODUÇÃO POR EMPRESAS'!$H$6:$J$5000,MATCH($A2260,'CONTROLE PRODUÇÃO POR EMPRESAS'!$A$6:$A$5000,0),3),"")),"")</f>
        <v/>
      </c>
      <c r="I2260">
        <f>IF(OR(NOT(ISNUMBER(G2260)),NOT(ISNUMBER(H2260))),"",H2260-G2260)</f>
        <v/>
      </c>
      <c r="J2260">
        <f>IF(OR(NOT(ISNUMBER(G2260)),NOT(ISNUMBER(H2260)),G2260=0),"",I2260/G2260)</f>
        <v/>
      </c>
      <c r="K2260">
        <f>IF(OR(NOT(ISNUMBER(G2260)),NOT(ISNUMBER(H2260)),G2260=0),"",H2260/G2260)</f>
        <v/>
      </c>
      <c r="L2260">
        <f>IF(NOT(ISNUMBER(G2260)),"SEM META",IF(G2260=0,"SEM META",IF(NOT(ISNUMBER(H2260)),"SEM APONTAMENTO",IF(H2260&gt;=G2260,"VERDE",IF(H2260&gt;=G2260*0.9,"AMARELO","VERMELHO")))))</f>
        <v/>
      </c>
    </row>
    <row r="2261">
      <c r="A2261" s="321" t="n">
        <v>46262</v>
      </c>
      <c r="B2261" t="inlineStr">
        <is>
          <t>GERAL</t>
        </is>
      </c>
      <c r="C2261" t="inlineStr">
        <is>
          <t>GLOBO AÇOS</t>
        </is>
      </c>
      <c r="D2261" t="inlineStr">
        <is>
          <t>PERFILAÇÃO</t>
        </is>
      </c>
      <c r="F2261">
        <f>IFERROR(INDEX('BASE METAS DIÁRIAS'!$AA$2:$AC$358,MATCH($A2261,'BASE METAS DIÁRIAS'!$A$2:$A$358,0),1),"")</f>
        <v/>
      </c>
      <c r="G2261">
        <f>IFERROR(IF(WEEKDAY($A2261,2)&lt;=INDEX('BASE METAS DIÁRIAS'!$X$2:$Z$358,MATCH($A2261,'BASE METAS DIÁRIAS'!$A$2:$A$358,0),1),INDEX('BASE METAS DIÁRIAS'!$U$2:$W$358,MATCH($A2261,'BASE METAS DIÁRIAS'!$A$2:$A$358,0),1),""),"")</f>
        <v/>
      </c>
      <c r="H2261">
        <f>IFERROR(IF(INDEX('CONTROLE PRODUÇÃO POR EMPRESAS'!$H$6:$J$5000,MATCH($A2261,'CONTROLE PRODUÇÃO POR EMPRESAS'!$A$6:$A$5000,0),1)="","",IFERROR(1*INDEX('CONTROLE PRODUÇÃO POR EMPRESAS'!$H$6:$J$5000,MATCH($A2261,'CONTROLE PRODUÇÃO POR EMPRESAS'!$A$6:$A$5000,0),1),"")),"")</f>
        <v/>
      </c>
      <c r="I2261">
        <f>IF(OR(NOT(ISNUMBER(G2261)),NOT(ISNUMBER(H2261))),"",H2261-G2261)</f>
        <v/>
      </c>
      <c r="J2261">
        <f>IF(OR(NOT(ISNUMBER(G2261)),NOT(ISNUMBER(H2261)),G2261=0),"",I2261/G2261)</f>
        <v/>
      </c>
      <c r="K2261">
        <f>IF(OR(NOT(ISNUMBER(G2261)),NOT(ISNUMBER(H2261)),G2261=0),"",H2261/G2261)</f>
        <v/>
      </c>
      <c r="L2261">
        <f>IF(NOT(ISNUMBER(G2261)),"SEM META",IF(G2261=0,"SEM META",IF(NOT(ISNUMBER(H2261)),"SEM APONTAMENTO",IF(H2261&gt;=G2261,"VERDE",IF(H2261&gt;=G2261*0.9,"AMARELO","VERMELHO")))))</f>
        <v/>
      </c>
    </row>
    <row r="2262">
      <c r="A2262" s="321" t="n">
        <v>46262</v>
      </c>
      <c r="B2262" t="inlineStr">
        <is>
          <t>GERAL</t>
        </is>
      </c>
      <c r="C2262" t="inlineStr">
        <is>
          <t>GLOBO AÇOS</t>
        </is>
      </c>
      <c r="D2262" t="inlineStr">
        <is>
          <t>TELHAR</t>
        </is>
      </c>
      <c r="F2262">
        <f>IFERROR(INDEX('BASE METAS DIÁRIAS'!$AA$2:$AC$358,MATCH($A2262,'BASE METAS DIÁRIAS'!$A$2:$A$358,0),2),"")</f>
        <v/>
      </c>
      <c r="G2262">
        <f>IFERROR(IF(WEEKDAY($A2262,2)&lt;=INDEX('BASE METAS DIÁRIAS'!$X$2:$Z$358,MATCH($A2262,'BASE METAS DIÁRIAS'!$A$2:$A$358,0),2),INDEX('BASE METAS DIÁRIAS'!$U$2:$W$358,MATCH($A2262,'BASE METAS DIÁRIAS'!$A$2:$A$358,0),2),""),"")</f>
        <v/>
      </c>
      <c r="H2262">
        <f>IFERROR(IF(INDEX('CONTROLE PRODUÇÃO POR EMPRESAS'!$H$6:$J$5000,MATCH($A2262,'CONTROLE PRODUÇÃO POR EMPRESAS'!$A$6:$A$5000,0),2)="","",IFERROR(1*INDEX('CONTROLE PRODUÇÃO POR EMPRESAS'!$H$6:$J$5000,MATCH($A2262,'CONTROLE PRODUÇÃO POR EMPRESAS'!$A$6:$A$5000,0),2),"")),"")</f>
        <v/>
      </c>
      <c r="I2262">
        <f>IF(OR(NOT(ISNUMBER(G2262)),NOT(ISNUMBER(H2262))),"",H2262-G2262)</f>
        <v/>
      </c>
      <c r="J2262">
        <f>IF(OR(NOT(ISNUMBER(G2262)),NOT(ISNUMBER(H2262)),G2262=0),"",I2262/G2262)</f>
        <v/>
      </c>
      <c r="K2262">
        <f>IF(OR(NOT(ISNUMBER(G2262)),NOT(ISNUMBER(H2262)),G2262=0),"",H2262/G2262)</f>
        <v/>
      </c>
      <c r="L2262">
        <f>IF(NOT(ISNUMBER(G2262)),"SEM META",IF(G2262=0,"SEM META",IF(NOT(ISNUMBER(H2262)),"SEM APONTAMENTO",IF(H2262&gt;=G2262,"VERDE",IF(H2262&gt;=G2262*0.9,"AMARELO","VERMELHO")))))</f>
        <v/>
      </c>
    </row>
    <row r="2263">
      <c r="A2263" s="321" t="n">
        <v>46262</v>
      </c>
      <c r="B2263" t="inlineStr">
        <is>
          <t>GERAL</t>
        </is>
      </c>
      <c r="C2263" t="inlineStr">
        <is>
          <t>GLOBO AÇOS</t>
        </is>
      </c>
      <c r="D2263" t="inlineStr">
        <is>
          <t>FECHAMENTO</t>
        </is>
      </c>
      <c r="F2263">
        <f>IFERROR(INDEX('BASE METAS DIÁRIAS'!$AA$2:$AC$358,MATCH($A2263,'BASE METAS DIÁRIAS'!$A$2:$A$358,0),3),"")</f>
        <v/>
      </c>
      <c r="G2263">
        <f>IFERROR(IF(WEEKDAY($A2263,2)&lt;=INDEX('BASE METAS DIÁRIAS'!$X$2:$Z$358,MATCH($A2263,'BASE METAS DIÁRIAS'!$A$2:$A$358,0),3),INDEX('BASE METAS DIÁRIAS'!$U$2:$W$358,MATCH($A2263,'BASE METAS DIÁRIAS'!$A$2:$A$358,0),3),""),"")</f>
        <v/>
      </c>
      <c r="H2263">
        <f>IFERROR(IF(INDEX('CONTROLE PRODUÇÃO POR EMPRESAS'!$H$6:$J$5000,MATCH($A2263,'CONTROLE PRODUÇÃO POR EMPRESAS'!$A$6:$A$5000,0),3)="","",IFERROR(1*INDEX('CONTROLE PRODUÇÃO POR EMPRESAS'!$H$6:$J$5000,MATCH($A2263,'CONTROLE PRODUÇÃO POR EMPRESAS'!$A$6:$A$5000,0),3),"")),"")</f>
        <v/>
      </c>
      <c r="I2263">
        <f>IF(OR(NOT(ISNUMBER(G2263)),NOT(ISNUMBER(H2263))),"",H2263-G2263)</f>
        <v/>
      </c>
      <c r="J2263">
        <f>IF(OR(NOT(ISNUMBER(G2263)),NOT(ISNUMBER(H2263)),G2263=0),"",I2263/G2263)</f>
        <v/>
      </c>
      <c r="K2263">
        <f>IF(OR(NOT(ISNUMBER(G2263)),NOT(ISNUMBER(H2263)),G2263=0),"",H2263/G2263)</f>
        <v/>
      </c>
      <c r="L2263">
        <f>IF(NOT(ISNUMBER(G2263)),"SEM META",IF(G2263=0,"SEM META",IF(NOT(ISNUMBER(H2263)),"SEM APONTAMENTO",IF(H2263&gt;=G2263,"VERDE",IF(H2263&gt;=G2263*0.9,"AMARELO","VERMELHO")))))</f>
        <v/>
      </c>
    </row>
    <row r="2264">
      <c r="A2264" s="321" t="n">
        <v>46263</v>
      </c>
      <c r="B2264" t="inlineStr">
        <is>
          <t>GERAL</t>
        </is>
      </c>
      <c r="C2264" t="inlineStr">
        <is>
          <t>GLOBO AÇOS</t>
        </is>
      </c>
      <c r="D2264" t="inlineStr">
        <is>
          <t>PERFILAÇÃO</t>
        </is>
      </c>
      <c r="F2264">
        <f>IFERROR(INDEX('BASE METAS DIÁRIAS'!$AA$2:$AC$358,MATCH($A2264,'BASE METAS DIÁRIAS'!$A$2:$A$358,0),1),"")</f>
        <v/>
      </c>
      <c r="G2264">
        <f>IFERROR(IF(WEEKDAY($A2264,2)&lt;=INDEX('BASE METAS DIÁRIAS'!$X$2:$Z$358,MATCH($A2264,'BASE METAS DIÁRIAS'!$A$2:$A$358,0),1),INDEX('BASE METAS DIÁRIAS'!$U$2:$W$358,MATCH($A2264,'BASE METAS DIÁRIAS'!$A$2:$A$358,0),1),""),"")</f>
        <v/>
      </c>
      <c r="H2264">
        <f>IFERROR(IF(INDEX('CONTROLE PRODUÇÃO POR EMPRESAS'!$H$6:$J$5000,MATCH($A2264,'CONTROLE PRODUÇÃO POR EMPRESAS'!$A$6:$A$5000,0),1)="","",IFERROR(1*INDEX('CONTROLE PRODUÇÃO POR EMPRESAS'!$H$6:$J$5000,MATCH($A2264,'CONTROLE PRODUÇÃO POR EMPRESAS'!$A$6:$A$5000,0),1),"")),"")</f>
        <v/>
      </c>
      <c r="I2264">
        <f>IF(OR(NOT(ISNUMBER(G2264)),NOT(ISNUMBER(H2264))),"",H2264-G2264)</f>
        <v/>
      </c>
      <c r="J2264">
        <f>IF(OR(NOT(ISNUMBER(G2264)),NOT(ISNUMBER(H2264)),G2264=0),"",I2264/G2264)</f>
        <v/>
      </c>
      <c r="K2264">
        <f>IF(OR(NOT(ISNUMBER(G2264)),NOT(ISNUMBER(H2264)),G2264=0),"",H2264/G2264)</f>
        <v/>
      </c>
      <c r="L2264">
        <f>IF(NOT(ISNUMBER(G2264)),"SEM META",IF(G2264=0,"SEM META",IF(NOT(ISNUMBER(H2264)),"SEM APONTAMENTO",IF(H2264&gt;=G2264,"VERDE",IF(H2264&gt;=G2264*0.9,"AMARELO","VERMELHO")))))</f>
        <v/>
      </c>
    </row>
    <row r="2265">
      <c r="A2265" s="321" t="n">
        <v>46263</v>
      </c>
      <c r="B2265" t="inlineStr">
        <is>
          <t>GERAL</t>
        </is>
      </c>
      <c r="C2265" t="inlineStr">
        <is>
          <t>GLOBO AÇOS</t>
        </is>
      </c>
      <c r="D2265" t="inlineStr">
        <is>
          <t>TELHAR</t>
        </is>
      </c>
      <c r="F2265">
        <f>IFERROR(INDEX('BASE METAS DIÁRIAS'!$AA$2:$AC$358,MATCH($A2265,'BASE METAS DIÁRIAS'!$A$2:$A$358,0),2),"")</f>
        <v/>
      </c>
      <c r="G2265">
        <f>IFERROR(IF(WEEKDAY($A2265,2)&lt;=INDEX('BASE METAS DIÁRIAS'!$X$2:$Z$358,MATCH($A2265,'BASE METAS DIÁRIAS'!$A$2:$A$358,0),2),INDEX('BASE METAS DIÁRIAS'!$U$2:$W$358,MATCH($A2265,'BASE METAS DIÁRIAS'!$A$2:$A$358,0),2),""),"")</f>
        <v/>
      </c>
      <c r="H2265">
        <f>IFERROR(IF(INDEX('CONTROLE PRODUÇÃO POR EMPRESAS'!$H$6:$J$5000,MATCH($A2265,'CONTROLE PRODUÇÃO POR EMPRESAS'!$A$6:$A$5000,0),2)="","",IFERROR(1*INDEX('CONTROLE PRODUÇÃO POR EMPRESAS'!$H$6:$J$5000,MATCH($A2265,'CONTROLE PRODUÇÃO POR EMPRESAS'!$A$6:$A$5000,0),2),"")),"")</f>
        <v/>
      </c>
      <c r="I2265">
        <f>IF(OR(NOT(ISNUMBER(G2265)),NOT(ISNUMBER(H2265))),"",H2265-G2265)</f>
        <v/>
      </c>
      <c r="J2265">
        <f>IF(OR(NOT(ISNUMBER(G2265)),NOT(ISNUMBER(H2265)),G2265=0),"",I2265/G2265)</f>
        <v/>
      </c>
      <c r="K2265">
        <f>IF(OR(NOT(ISNUMBER(G2265)),NOT(ISNUMBER(H2265)),G2265=0),"",H2265/G2265)</f>
        <v/>
      </c>
      <c r="L2265">
        <f>IF(NOT(ISNUMBER(G2265)),"SEM META",IF(G2265=0,"SEM META",IF(NOT(ISNUMBER(H2265)),"SEM APONTAMENTO",IF(H2265&gt;=G2265,"VERDE",IF(H2265&gt;=G2265*0.9,"AMARELO","VERMELHO")))))</f>
        <v/>
      </c>
    </row>
    <row r="2266">
      <c r="A2266" s="321" t="n">
        <v>46263</v>
      </c>
      <c r="B2266" t="inlineStr">
        <is>
          <t>GERAL</t>
        </is>
      </c>
      <c r="C2266" t="inlineStr">
        <is>
          <t>GLOBO AÇOS</t>
        </is>
      </c>
      <c r="D2266" t="inlineStr">
        <is>
          <t>FECHAMENTO</t>
        </is>
      </c>
      <c r="F2266">
        <f>IFERROR(INDEX('BASE METAS DIÁRIAS'!$AA$2:$AC$358,MATCH($A2266,'BASE METAS DIÁRIAS'!$A$2:$A$358,0),3),"")</f>
        <v/>
      </c>
      <c r="G2266">
        <f>IFERROR(IF(WEEKDAY($A2266,2)&lt;=INDEX('BASE METAS DIÁRIAS'!$X$2:$Z$358,MATCH($A2266,'BASE METAS DIÁRIAS'!$A$2:$A$358,0),3),INDEX('BASE METAS DIÁRIAS'!$U$2:$W$358,MATCH($A2266,'BASE METAS DIÁRIAS'!$A$2:$A$358,0),3),""),"")</f>
        <v/>
      </c>
      <c r="H2266">
        <f>IFERROR(IF(INDEX('CONTROLE PRODUÇÃO POR EMPRESAS'!$H$6:$J$5000,MATCH($A2266,'CONTROLE PRODUÇÃO POR EMPRESAS'!$A$6:$A$5000,0),3)="","",IFERROR(1*INDEX('CONTROLE PRODUÇÃO POR EMPRESAS'!$H$6:$J$5000,MATCH($A2266,'CONTROLE PRODUÇÃO POR EMPRESAS'!$A$6:$A$5000,0),3),"")),"")</f>
        <v/>
      </c>
      <c r="I2266">
        <f>IF(OR(NOT(ISNUMBER(G2266)),NOT(ISNUMBER(H2266))),"",H2266-G2266)</f>
        <v/>
      </c>
      <c r="J2266">
        <f>IF(OR(NOT(ISNUMBER(G2266)),NOT(ISNUMBER(H2266)),G2266=0),"",I2266/G2266)</f>
        <v/>
      </c>
      <c r="K2266">
        <f>IF(OR(NOT(ISNUMBER(G2266)),NOT(ISNUMBER(H2266)),G2266=0),"",H2266/G2266)</f>
        <v/>
      </c>
      <c r="L2266">
        <f>IF(NOT(ISNUMBER(G2266)),"SEM META",IF(G2266=0,"SEM META",IF(NOT(ISNUMBER(H2266)),"SEM APONTAMENTO",IF(H2266&gt;=G2266,"VERDE",IF(H2266&gt;=G2266*0.9,"AMARELO","VERMELHO")))))</f>
        <v/>
      </c>
    </row>
    <row r="2267">
      <c r="A2267" s="321" t="n">
        <v>46264</v>
      </c>
      <c r="B2267" t="inlineStr">
        <is>
          <t>GERAL</t>
        </is>
      </c>
      <c r="C2267" t="inlineStr">
        <is>
          <t>GLOBO AÇOS</t>
        </is>
      </c>
      <c r="D2267" t="inlineStr">
        <is>
          <t>PERFILAÇÃO</t>
        </is>
      </c>
      <c r="F2267">
        <f>IFERROR(INDEX('BASE METAS DIÁRIAS'!$AA$2:$AC$358,MATCH($A2267,'BASE METAS DIÁRIAS'!$A$2:$A$358,0),1),"")</f>
        <v/>
      </c>
      <c r="G2267">
        <f>IFERROR(IF(WEEKDAY($A2267,2)&lt;=INDEX('BASE METAS DIÁRIAS'!$X$2:$Z$358,MATCH($A2267,'BASE METAS DIÁRIAS'!$A$2:$A$358,0),1),INDEX('BASE METAS DIÁRIAS'!$U$2:$W$358,MATCH($A2267,'BASE METAS DIÁRIAS'!$A$2:$A$358,0),1),""),"")</f>
        <v/>
      </c>
      <c r="H2267">
        <f>IFERROR(IF(INDEX('CONTROLE PRODUÇÃO POR EMPRESAS'!$H$6:$J$5000,MATCH($A2267,'CONTROLE PRODUÇÃO POR EMPRESAS'!$A$6:$A$5000,0),1)="","",IFERROR(1*INDEX('CONTROLE PRODUÇÃO POR EMPRESAS'!$H$6:$J$5000,MATCH($A2267,'CONTROLE PRODUÇÃO POR EMPRESAS'!$A$6:$A$5000,0),1),"")),"")</f>
        <v/>
      </c>
      <c r="I2267">
        <f>IF(OR(NOT(ISNUMBER(G2267)),NOT(ISNUMBER(H2267))),"",H2267-G2267)</f>
        <v/>
      </c>
      <c r="J2267">
        <f>IF(OR(NOT(ISNUMBER(G2267)),NOT(ISNUMBER(H2267)),G2267=0),"",I2267/G2267)</f>
        <v/>
      </c>
      <c r="K2267">
        <f>IF(OR(NOT(ISNUMBER(G2267)),NOT(ISNUMBER(H2267)),G2267=0),"",H2267/G2267)</f>
        <v/>
      </c>
      <c r="L2267">
        <f>IF(NOT(ISNUMBER(G2267)),"SEM META",IF(G2267=0,"SEM META",IF(NOT(ISNUMBER(H2267)),"SEM APONTAMENTO",IF(H2267&gt;=G2267,"VERDE",IF(H2267&gt;=G2267*0.9,"AMARELO","VERMELHO")))))</f>
        <v/>
      </c>
    </row>
    <row r="2268">
      <c r="A2268" s="321" t="n">
        <v>46264</v>
      </c>
      <c r="B2268" t="inlineStr">
        <is>
          <t>GERAL</t>
        </is>
      </c>
      <c r="C2268" t="inlineStr">
        <is>
          <t>GLOBO AÇOS</t>
        </is>
      </c>
      <c r="D2268" t="inlineStr">
        <is>
          <t>TELHAR</t>
        </is>
      </c>
      <c r="F2268">
        <f>IFERROR(INDEX('BASE METAS DIÁRIAS'!$AA$2:$AC$358,MATCH($A2268,'BASE METAS DIÁRIAS'!$A$2:$A$358,0),2),"")</f>
        <v/>
      </c>
      <c r="G2268">
        <f>IFERROR(IF(WEEKDAY($A2268,2)&lt;=INDEX('BASE METAS DIÁRIAS'!$X$2:$Z$358,MATCH($A2268,'BASE METAS DIÁRIAS'!$A$2:$A$358,0),2),INDEX('BASE METAS DIÁRIAS'!$U$2:$W$358,MATCH($A2268,'BASE METAS DIÁRIAS'!$A$2:$A$358,0),2),""),"")</f>
        <v/>
      </c>
      <c r="H2268">
        <f>IFERROR(IF(INDEX('CONTROLE PRODUÇÃO POR EMPRESAS'!$H$6:$J$5000,MATCH($A2268,'CONTROLE PRODUÇÃO POR EMPRESAS'!$A$6:$A$5000,0),2)="","",IFERROR(1*INDEX('CONTROLE PRODUÇÃO POR EMPRESAS'!$H$6:$J$5000,MATCH($A2268,'CONTROLE PRODUÇÃO POR EMPRESAS'!$A$6:$A$5000,0),2),"")),"")</f>
        <v/>
      </c>
      <c r="I2268">
        <f>IF(OR(NOT(ISNUMBER(G2268)),NOT(ISNUMBER(H2268))),"",H2268-G2268)</f>
        <v/>
      </c>
      <c r="J2268">
        <f>IF(OR(NOT(ISNUMBER(G2268)),NOT(ISNUMBER(H2268)),G2268=0),"",I2268/G2268)</f>
        <v/>
      </c>
      <c r="K2268">
        <f>IF(OR(NOT(ISNUMBER(G2268)),NOT(ISNUMBER(H2268)),G2268=0),"",H2268/G2268)</f>
        <v/>
      </c>
      <c r="L2268">
        <f>IF(NOT(ISNUMBER(G2268)),"SEM META",IF(G2268=0,"SEM META",IF(NOT(ISNUMBER(H2268)),"SEM APONTAMENTO",IF(H2268&gt;=G2268,"VERDE",IF(H2268&gt;=G2268*0.9,"AMARELO","VERMELHO")))))</f>
        <v/>
      </c>
    </row>
    <row r="2269">
      <c r="A2269" s="321" t="n">
        <v>46264</v>
      </c>
      <c r="B2269" t="inlineStr">
        <is>
          <t>GERAL</t>
        </is>
      </c>
      <c r="C2269" t="inlineStr">
        <is>
          <t>GLOBO AÇOS</t>
        </is>
      </c>
      <c r="D2269" t="inlineStr">
        <is>
          <t>FECHAMENTO</t>
        </is>
      </c>
      <c r="F2269">
        <f>IFERROR(INDEX('BASE METAS DIÁRIAS'!$AA$2:$AC$358,MATCH($A2269,'BASE METAS DIÁRIAS'!$A$2:$A$358,0),3),"")</f>
        <v/>
      </c>
      <c r="G2269">
        <f>IFERROR(IF(WEEKDAY($A2269,2)&lt;=INDEX('BASE METAS DIÁRIAS'!$X$2:$Z$358,MATCH($A2269,'BASE METAS DIÁRIAS'!$A$2:$A$358,0),3),INDEX('BASE METAS DIÁRIAS'!$U$2:$W$358,MATCH($A2269,'BASE METAS DIÁRIAS'!$A$2:$A$358,0),3),""),"")</f>
        <v/>
      </c>
      <c r="H2269">
        <f>IFERROR(IF(INDEX('CONTROLE PRODUÇÃO POR EMPRESAS'!$H$6:$J$5000,MATCH($A2269,'CONTROLE PRODUÇÃO POR EMPRESAS'!$A$6:$A$5000,0),3)="","",IFERROR(1*INDEX('CONTROLE PRODUÇÃO POR EMPRESAS'!$H$6:$J$5000,MATCH($A2269,'CONTROLE PRODUÇÃO POR EMPRESAS'!$A$6:$A$5000,0),3),"")),"")</f>
        <v/>
      </c>
      <c r="I2269">
        <f>IF(OR(NOT(ISNUMBER(G2269)),NOT(ISNUMBER(H2269))),"",H2269-G2269)</f>
        <v/>
      </c>
      <c r="J2269">
        <f>IF(OR(NOT(ISNUMBER(G2269)),NOT(ISNUMBER(H2269)),G2269=0),"",I2269/G2269)</f>
        <v/>
      </c>
      <c r="K2269">
        <f>IF(OR(NOT(ISNUMBER(G2269)),NOT(ISNUMBER(H2269)),G2269=0),"",H2269/G2269)</f>
        <v/>
      </c>
      <c r="L2269">
        <f>IF(NOT(ISNUMBER(G2269)),"SEM META",IF(G2269=0,"SEM META",IF(NOT(ISNUMBER(H2269)),"SEM APONTAMENTO",IF(H2269&gt;=G2269,"VERDE",IF(H2269&gt;=G2269*0.9,"AMARELO","VERMELHO")))))</f>
        <v/>
      </c>
    </row>
    <row r="2270">
      <c r="A2270" s="321" t="n">
        <v>46265</v>
      </c>
      <c r="B2270" t="inlineStr">
        <is>
          <t>GERAL</t>
        </is>
      </c>
      <c r="C2270" t="inlineStr">
        <is>
          <t>GLOBO AÇOS</t>
        </is>
      </c>
      <c r="D2270" t="inlineStr">
        <is>
          <t>PERFILAÇÃO</t>
        </is>
      </c>
      <c r="F2270">
        <f>IFERROR(INDEX('BASE METAS DIÁRIAS'!$AA$2:$AC$358,MATCH($A2270,'BASE METAS DIÁRIAS'!$A$2:$A$358,0),1),"")</f>
        <v/>
      </c>
      <c r="G2270">
        <f>IFERROR(IF(WEEKDAY($A2270,2)&lt;=INDEX('BASE METAS DIÁRIAS'!$X$2:$Z$358,MATCH($A2270,'BASE METAS DIÁRIAS'!$A$2:$A$358,0),1),INDEX('BASE METAS DIÁRIAS'!$U$2:$W$358,MATCH($A2270,'BASE METAS DIÁRIAS'!$A$2:$A$358,0),1),""),"")</f>
        <v/>
      </c>
      <c r="H2270">
        <f>IFERROR(IF(INDEX('CONTROLE PRODUÇÃO POR EMPRESAS'!$H$6:$J$5000,MATCH($A2270,'CONTROLE PRODUÇÃO POR EMPRESAS'!$A$6:$A$5000,0),1)="","",IFERROR(1*INDEX('CONTROLE PRODUÇÃO POR EMPRESAS'!$H$6:$J$5000,MATCH($A2270,'CONTROLE PRODUÇÃO POR EMPRESAS'!$A$6:$A$5000,0),1),"")),"")</f>
        <v/>
      </c>
      <c r="I2270">
        <f>IF(OR(NOT(ISNUMBER(G2270)),NOT(ISNUMBER(H2270))),"",H2270-G2270)</f>
        <v/>
      </c>
      <c r="J2270">
        <f>IF(OR(NOT(ISNUMBER(G2270)),NOT(ISNUMBER(H2270)),G2270=0),"",I2270/G2270)</f>
        <v/>
      </c>
      <c r="K2270">
        <f>IF(OR(NOT(ISNUMBER(G2270)),NOT(ISNUMBER(H2270)),G2270=0),"",H2270/G2270)</f>
        <v/>
      </c>
      <c r="L2270">
        <f>IF(NOT(ISNUMBER(G2270)),"SEM META",IF(G2270=0,"SEM META",IF(NOT(ISNUMBER(H2270)),"SEM APONTAMENTO",IF(H2270&gt;=G2270,"VERDE",IF(H2270&gt;=G2270*0.9,"AMARELO","VERMELHO")))))</f>
        <v/>
      </c>
    </row>
    <row r="2271">
      <c r="A2271" s="321" t="n">
        <v>46265</v>
      </c>
      <c r="B2271" t="inlineStr">
        <is>
          <t>GERAL</t>
        </is>
      </c>
      <c r="C2271" t="inlineStr">
        <is>
          <t>GLOBO AÇOS</t>
        </is>
      </c>
      <c r="D2271" t="inlineStr">
        <is>
          <t>TELHAR</t>
        </is>
      </c>
      <c r="F2271">
        <f>IFERROR(INDEX('BASE METAS DIÁRIAS'!$AA$2:$AC$358,MATCH($A2271,'BASE METAS DIÁRIAS'!$A$2:$A$358,0),2),"")</f>
        <v/>
      </c>
      <c r="G2271">
        <f>IFERROR(IF(WEEKDAY($A2271,2)&lt;=INDEX('BASE METAS DIÁRIAS'!$X$2:$Z$358,MATCH($A2271,'BASE METAS DIÁRIAS'!$A$2:$A$358,0),2),INDEX('BASE METAS DIÁRIAS'!$U$2:$W$358,MATCH($A2271,'BASE METAS DIÁRIAS'!$A$2:$A$358,0),2),""),"")</f>
        <v/>
      </c>
      <c r="H2271">
        <f>IFERROR(IF(INDEX('CONTROLE PRODUÇÃO POR EMPRESAS'!$H$6:$J$5000,MATCH($A2271,'CONTROLE PRODUÇÃO POR EMPRESAS'!$A$6:$A$5000,0),2)="","",IFERROR(1*INDEX('CONTROLE PRODUÇÃO POR EMPRESAS'!$H$6:$J$5000,MATCH($A2271,'CONTROLE PRODUÇÃO POR EMPRESAS'!$A$6:$A$5000,0),2),"")),"")</f>
        <v/>
      </c>
      <c r="I2271">
        <f>IF(OR(NOT(ISNUMBER(G2271)),NOT(ISNUMBER(H2271))),"",H2271-G2271)</f>
        <v/>
      </c>
      <c r="J2271">
        <f>IF(OR(NOT(ISNUMBER(G2271)),NOT(ISNUMBER(H2271)),G2271=0),"",I2271/G2271)</f>
        <v/>
      </c>
      <c r="K2271">
        <f>IF(OR(NOT(ISNUMBER(G2271)),NOT(ISNUMBER(H2271)),G2271=0),"",H2271/G2271)</f>
        <v/>
      </c>
      <c r="L2271">
        <f>IF(NOT(ISNUMBER(G2271)),"SEM META",IF(G2271=0,"SEM META",IF(NOT(ISNUMBER(H2271)),"SEM APONTAMENTO",IF(H2271&gt;=G2271,"VERDE",IF(H2271&gt;=G2271*0.9,"AMARELO","VERMELHO")))))</f>
        <v/>
      </c>
    </row>
    <row r="2272">
      <c r="A2272" s="321" t="n">
        <v>46265</v>
      </c>
      <c r="B2272" t="inlineStr">
        <is>
          <t>GERAL</t>
        </is>
      </c>
      <c r="C2272" t="inlineStr">
        <is>
          <t>GLOBO AÇOS</t>
        </is>
      </c>
      <c r="D2272" t="inlineStr">
        <is>
          <t>FECHAMENTO</t>
        </is>
      </c>
      <c r="F2272">
        <f>IFERROR(INDEX('BASE METAS DIÁRIAS'!$AA$2:$AC$358,MATCH($A2272,'BASE METAS DIÁRIAS'!$A$2:$A$358,0),3),"")</f>
        <v/>
      </c>
      <c r="G2272">
        <f>IFERROR(IF(WEEKDAY($A2272,2)&lt;=INDEX('BASE METAS DIÁRIAS'!$X$2:$Z$358,MATCH($A2272,'BASE METAS DIÁRIAS'!$A$2:$A$358,0),3),INDEX('BASE METAS DIÁRIAS'!$U$2:$W$358,MATCH($A2272,'BASE METAS DIÁRIAS'!$A$2:$A$358,0),3),""),"")</f>
        <v/>
      </c>
      <c r="H2272">
        <f>IFERROR(IF(INDEX('CONTROLE PRODUÇÃO POR EMPRESAS'!$H$6:$J$5000,MATCH($A2272,'CONTROLE PRODUÇÃO POR EMPRESAS'!$A$6:$A$5000,0),3)="","",IFERROR(1*INDEX('CONTROLE PRODUÇÃO POR EMPRESAS'!$H$6:$J$5000,MATCH($A2272,'CONTROLE PRODUÇÃO POR EMPRESAS'!$A$6:$A$5000,0),3),"")),"")</f>
        <v/>
      </c>
      <c r="I2272">
        <f>IF(OR(NOT(ISNUMBER(G2272)),NOT(ISNUMBER(H2272))),"",H2272-G2272)</f>
        <v/>
      </c>
      <c r="J2272">
        <f>IF(OR(NOT(ISNUMBER(G2272)),NOT(ISNUMBER(H2272)),G2272=0),"",I2272/G2272)</f>
        <v/>
      </c>
      <c r="K2272">
        <f>IF(OR(NOT(ISNUMBER(G2272)),NOT(ISNUMBER(H2272)),G2272=0),"",H2272/G2272)</f>
        <v/>
      </c>
      <c r="L2272">
        <f>IF(NOT(ISNUMBER(G2272)),"SEM META",IF(G2272=0,"SEM META",IF(NOT(ISNUMBER(H2272)),"SEM APONTAMENTO",IF(H2272&gt;=G2272,"VERDE",IF(H2272&gt;=G2272*0.9,"AMARELO","VERMELHO")))))</f>
        <v/>
      </c>
    </row>
    <row r="2273">
      <c r="A2273" s="321" t="n">
        <v>46266</v>
      </c>
      <c r="B2273" t="inlineStr">
        <is>
          <t>GERAL</t>
        </is>
      </c>
      <c r="C2273" t="inlineStr">
        <is>
          <t>GLOBO AÇOS</t>
        </is>
      </c>
      <c r="D2273" t="inlineStr">
        <is>
          <t>PERFILAÇÃO</t>
        </is>
      </c>
      <c r="F2273">
        <f>IFERROR(INDEX('BASE METAS DIÁRIAS'!$AA$2:$AC$358,MATCH($A2273,'BASE METAS DIÁRIAS'!$A$2:$A$358,0),1),"")</f>
        <v/>
      </c>
      <c r="G2273">
        <f>IFERROR(IF(WEEKDAY($A2273,2)&lt;=INDEX('BASE METAS DIÁRIAS'!$X$2:$Z$358,MATCH($A2273,'BASE METAS DIÁRIAS'!$A$2:$A$358,0),1),INDEX('BASE METAS DIÁRIAS'!$U$2:$W$358,MATCH($A2273,'BASE METAS DIÁRIAS'!$A$2:$A$358,0),1),""),"")</f>
        <v/>
      </c>
      <c r="H2273">
        <f>IFERROR(IF(INDEX('CONTROLE PRODUÇÃO POR EMPRESAS'!$H$6:$J$5000,MATCH($A2273,'CONTROLE PRODUÇÃO POR EMPRESAS'!$A$6:$A$5000,0),1)="","",IFERROR(1*INDEX('CONTROLE PRODUÇÃO POR EMPRESAS'!$H$6:$J$5000,MATCH($A2273,'CONTROLE PRODUÇÃO POR EMPRESAS'!$A$6:$A$5000,0),1),"")),"")</f>
        <v/>
      </c>
      <c r="I2273">
        <f>IF(OR(NOT(ISNUMBER(G2273)),NOT(ISNUMBER(H2273))),"",H2273-G2273)</f>
        <v/>
      </c>
      <c r="J2273">
        <f>IF(OR(NOT(ISNUMBER(G2273)),NOT(ISNUMBER(H2273)),G2273=0),"",I2273/G2273)</f>
        <v/>
      </c>
      <c r="K2273">
        <f>IF(OR(NOT(ISNUMBER(G2273)),NOT(ISNUMBER(H2273)),G2273=0),"",H2273/G2273)</f>
        <v/>
      </c>
      <c r="L2273">
        <f>IF(NOT(ISNUMBER(G2273)),"SEM META",IF(G2273=0,"SEM META",IF(NOT(ISNUMBER(H2273)),"SEM APONTAMENTO",IF(H2273&gt;=G2273,"VERDE",IF(H2273&gt;=G2273*0.9,"AMARELO","VERMELHO")))))</f>
        <v/>
      </c>
    </row>
    <row r="2274">
      <c r="A2274" s="321" t="n">
        <v>46266</v>
      </c>
      <c r="B2274" t="inlineStr">
        <is>
          <t>GERAL</t>
        </is>
      </c>
      <c r="C2274" t="inlineStr">
        <is>
          <t>GLOBO AÇOS</t>
        </is>
      </c>
      <c r="D2274" t="inlineStr">
        <is>
          <t>TELHAR</t>
        </is>
      </c>
      <c r="F2274">
        <f>IFERROR(INDEX('BASE METAS DIÁRIAS'!$AA$2:$AC$358,MATCH($A2274,'BASE METAS DIÁRIAS'!$A$2:$A$358,0),2),"")</f>
        <v/>
      </c>
      <c r="G2274">
        <f>IFERROR(IF(WEEKDAY($A2274,2)&lt;=INDEX('BASE METAS DIÁRIAS'!$X$2:$Z$358,MATCH($A2274,'BASE METAS DIÁRIAS'!$A$2:$A$358,0),2),INDEX('BASE METAS DIÁRIAS'!$U$2:$W$358,MATCH($A2274,'BASE METAS DIÁRIAS'!$A$2:$A$358,0),2),""),"")</f>
        <v/>
      </c>
      <c r="H2274">
        <f>IFERROR(IF(INDEX('CONTROLE PRODUÇÃO POR EMPRESAS'!$H$6:$J$5000,MATCH($A2274,'CONTROLE PRODUÇÃO POR EMPRESAS'!$A$6:$A$5000,0),2)="","",IFERROR(1*INDEX('CONTROLE PRODUÇÃO POR EMPRESAS'!$H$6:$J$5000,MATCH($A2274,'CONTROLE PRODUÇÃO POR EMPRESAS'!$A$6:$A$5000,0),2),"")),"")</f>
        <v/>
      </c>
      <c r="I2274">
        <f>IF(OR(NOT(ISNUMBER(G2274)),NOT(ISNUMBER(H2274))),"",H2274-G2274)</f>
        <v/>
      </c>
      <c r="J2274">
        <f>IF(OR(NOT(ISNUMBER(G2274)),NOT(ISNUMBER(H2274)),G2274=0),"",I2274/G2274)</f>
        <v/>
      </c>
      <c r="K2274">
        <f>IF(OR(NOT(ISNUMBER(G2274)),NOT(ISNUMBER(H2274)),G2274=0),"",H2274/G2274)</f>
        <v/>
      </c>
      <c r="L2274">
        <f>IF(NOT(ISNUMBER(G2274)),"SEM META",IF(G2274=0,"SEM META",IF(NOT(ISNUMBER(H2274)),"SEM APONTAMENTO",IF(H2274&gt;=G2274,"VERDE",IF(H2274&gt;=G2274*0.9,"AMARELO","VERMELHO")))))</f>
        <v/>
      </c>
    </row>
    <row r="2275">
      <c r="A2275" s="321" t="n">
        <v>46266</v>
      </c>
      <c r="B2275" t="inlineStr">
        <is>
          <t>GERAL</t>
        </is>
      </c>
      <c r="C2275" t="inlineStr">
        <is>
          <t>GLOBO AÇOS</t>
        </is>
      </c>
      <c r="D2275" t="inlineStr">
        <is>
          <t>FECHAMENTO</t>
        </is>
      </c>
      <c r="F2275">
        <f>IFERROR(INDEX('BASE METAS DIÁRIAS'!$AA$2:$AC$358,MATCH($A2275,'BASE METAS DIÁRIAS'!$A$2:$A$358,0),3),"")</f>
        <v/>
      </c>
      <c r="G2275">
        <f>IFERROR(IF(WEEKDAY($A2275,2)&lt;=INDEX('BASE METAS DIÁRIAS'!$X$2:$Z$358,MATCH($A2275,'BASE METAS DIÁRIAS'!$A$2:$A$358,0),3),INDEX('BASE METAS DIÁRIAS'!$U$2:$W$358,MATCH($A2275,'BASE METAS DIÁRIAS'!$A$2:$A$358,0),3),""),"")</f>
        <v/>
      </c>
      <c r="H2275">
        <f>IFERROR(IF(INDEX('CONTROLE PRODUÇÃO POR EMPRESAS'!$H$6:$J$5000,MATCH($A2275,'CONTROLE PRODUÇÃO POR EMPRESAS'!$A$6:$A$5000,0),3)="","",IFERROR(1*INDEX('CONTROLE PRODUÇÃO POR EMPRESAS'!$H$6:$J$5000,MATCH($A2275,'CONTROLE PRODUÇÃO POR EMPRESAS'!$A$6:$A$5000,0),3),"")),"")</f>
        <v/>
      </c>
      <c r="I2275">
        <f>IF(OR(NOT(ISNUMBER(G2275)),NOT(ISNUMBER(H2275))),"",H2275-G2275)</f>
        <v/>
      </c>
      <c r="J2275">
        <f>IF(OR(NOT(ISNUMBER(G2275)),NOT(ISNUMBER(H2275)),G2275=0),"",I2275/G2275)</f>
        <v/>
      </c>
      <c r="K2275">
        <f>IF(OR(NOT(ISNUMBER(G2275)),NOT(ISNUMBER(H2275)),G2275=0),"",H2275/G2275)</f>
        <v/>
      </c>
      <c r="L2275">
        <f>IF(NOT(ISNUMBER(G2275)),"SEM META",IF(G2275=0,"SEM META",IF(NOT(ISNUMBER(H2275)),"SEM APONTAMENTO",IF(H2275&gt;=G2275,"VERDE",IF(H2275&gt;=G2275*0.9,"AMARELO","VERMELHO")))))</f>
        <v/>
      </c>
    </row>
    <row r="2276">
      <c r="A2276" s="321" t="n">
        <v>46267</v>
      </c>
      <c r="B2276" t="inlineStr">
        <is>
          <t>GERAL</t>
        </is>
      </c>
      <c r="C2276" t="inlineStr">
        <is>
          <t>GLOBO AÇOS</t>
        </is>
      </c>
      <c r="D2276" t="inlineStr">
        <is>
          <t>PERFILAÇÃO</t>
        </is>
      </c>
      <c r="F2276">
        <f>IFERROR(INDEX('BASE METAS DIÁRIAS'!$AA$2:$AC$358,MATCH($A2276,'BASE METAS DIÁRIAS'!$A$2:$A$358,0),1),"")</f>
        <v/>
      </c>
      <c r="G2276">
        <f>IFERROR(IF(WEEKDAY($A2276,2)&lt;=INDEX('BASE METAS DIÁRIAS'!$X$2:$Z$358,MATCH($A2276,'BASE METAS DIÁRIAS'!$A$2:$A$358,0),1),INDEX('BASE METAS DIÁRIAS'!$U$2:$W$358,MATCH($A2276,'BASE METAS DIÁRIAS'!$A$2:$A$358,0),1),""),"")</f>
        <v/>
      </c>
      <c r="H2276">
        <f>IFERROR(IF(INDEX('CONTROLE PRODUÇÃO POR EMPRESAS'!$H$6:$J$5000,MATCH($A2276,'CONTROLE PRODUÇÃO POR EMPRESAS'!$A$6:$A$5000,0),1)="","",IFERROR(1*INDEX('CONTROLE PRODUÇÃO POR EMPRESAS'!$H$6:$J$5000,MATCH($A2276,'CONTROLE PRODUÇÃO POR EMPRESAS'!$A$6:$A$5000,0),1),"")),"")</f>
        <v/>
      </c>
      <c r="I2276">
        <f>IF(OR(NOT(ISNUMBER(G2276)),NOT(ISNUMBER(H2276))),"",H2276-G2276)</f>
        <v/>
      </c>
      <c r="J2276">
        <f>IF(OR(NOT(ISNUMBER(G2276)),NOT(ISNUMBER(H2276)),G2276=0),"",I2276/G2276)</f>
        <v/>
      </c>
      <c r="K2276">
        <f>IF(OR(NOT(ISNUMBER(G2276)),NOT(ISNUMBER(H2276)),G2276=0),"",H2276/G2276)</f>
        <v/>
      </c>
      <c r="L2276">
        <f>IF(NOT(ISNUMBER(G2276)),"SEM META",IF(G2276=0,"SEM META",IF(NOT(ISNUMBER(H2276)),"SEM APONTAMENTO",IF(H2276&gt;=G2276,"VERDE",IF(H2276&gt;=G2276*0.9,"AMARELO","VERMELHO")))))</f>
        <v/>
      </c>
    </row>
    <row r="2277">
      <c r="A2277" s="321" t="n">
        <v>46267</v>
      </c>
      <c r="B2277" t="inlineStr">
        <is>
          <t>GERAL</t>
        </is>
      </c>
      <c r="C2277" t="inlineStr">
        <is>
          <t>GLOBO AÇOS</t>
        </is>
      </c>
      <c r="D2277" t="inlineStr">
        <is>
          <t>TELHAR</t>
        </is>
      </c>
      <c r="F2277">
        <f>IFERROR(INDEX('BASE METAS DIÁRIAS'!$AA$2:$AC$358,MATCH($A2277,'BASE METAS DIÁRIAS'!$A$2:$A$358,0),2),"")</f>
        <v/>
      </c>
      <c r="G2277">
        <f>IFERROR(IF(WEEKDAY($A2277,2)&lt;=INDEX('BASE METAS DIÁRIAS'!$X$2:$Z$358,MATCH($A2277,'BASE METAS DIÁRIAS'!$A$2:$A$358,0),2),INDEX('BASE METAS DIÁRIAS'!$U$2:$W$358,MATCH($A2277,'BASE METAS DIÁRIAS'!$A$2:$A$358,0),2),""),"")</f>
        <v/>
      </c>
      <c r="H2277">
        <f>IFERROR(IF(INDEX('CONTROLE PRODUÇÃO POR EMPRESAS'!$H$6:$J$5000,MATCH($A2277,'CONTROLE PRODUÇÃO POR EMPRESAS'!$A$6:$A$5000,0),2)="","",IFERROR(1*INDEX('CONTROLE PRODUÇÃO POR EMPRESAS'!$H$6:$J$5000,MATCH($A2277,'CONTROLE PRODUÇÃO POR EMPRESAS'!$A$6:$A$5000,0),2),"")),"")</f>
        <v/>
      </c>
      <c r="I2277">
        <f>IF(OR(NOT(ISNUMBER(G2277)),NOT(ISNUMBER(H2277))),"",H2277-G2277)</f>
        <v/>
      </c>
      <c r="J2277">
        <f>IF(OR(NOT(ISNUMBER(G2277)),NOT(ISNUMBER(H2277)),G2277=0),"",I2277/G2277)</f>
        <v/>
      </c>
      <c r="K2277">
        <f>IF(OR(NOT(ISNUMBER(G2277)),NOT(ISNUMBER(H2277)),G2277=0),"",H2277/G2277)</f>
        <v/>
      </c>
      <c r="L2277">
        <f>IF(NOT(ISNUMBER(G2277)),"SEM META",IF(G2277=0,"SEM META",IF(NOT(ISNUMBER(H2277)),"SEM APONTAMENTO",IF(H2277&gt;=G2277,"VERDE",IF(H2277&gt;=G2277*0.9,"AMARELO","VERMELHO")))))</f>
        <v/>
      </c>
    </row>
    <row r="2278">
      <c r="A2278" s="321" t="n">
        <v>46267</v>
      </c>
      <c r="B2278" t="inlineStr">
        <is>
          <t>GERAL</t>
        </is>
      </c>
      <c r="C2278" t="inlineStr">
        <is>
          <t>GLOBO AÇOS</t>
        </is>
      </c>
      <c r="D2278" t="inlineStr">
        <is>
          <t>FECHAMENTO</t>
        </is>
      </c>
      <c r="F2278">
        <f>IFERROR(INDEX('BASE METAS DIÁRIAS'!$AA$2:$AC$358,MATCH($A2278,'BASE METAS DIÁRIAS'!$A$2:$A$358,0),3),"")</f>
        <v/>
      </c>
      <c r="G2278">
        <f>IFERROR(IF(WEEKDAY($A2278,2)&lt;=INDEX('BASE METAS DIÁRIAS'!$X$2:$Z$358,MATCH($A2278,'BASE METAS DIÁRIAS'!$A$2:$A$358,0),3),INDEX('BASE METAS DIÁRIAS'!$U$2:$W$358,MATCH($A2278,'BASE METAS DIÁRIAS'!$A$2:$A$358,0),3),""),"")</f>
        <v/>
      </c>
      <c r="H2278">
        <f>IFERROR(IF(INDEX('CONTROLE PRODUÇÃO POR EMPRESAS'!$H$6:$J$5000,MATCH($A2278,'CONTROLE PRODUÇÃO POR EMPRESAS'!$A$6:$A$5000,0),3)="","",IFERROR(1*INDEX('CONTROLE PRODUÇÃO POR EMPRESAS'!$H$6:$J$5000,MATCH($A2278,'CONTROLE PRODUÇÃO POR EMPRESAS'!$A$6:$A$5000,0),3),"")),"")</f>
        <v/>
      </c>
      <c r="I2278">
        <f>IF(OR(NOT(ISNUMBER(G2278)),NOT(ISNUMBER(H2278))),"",H2278-G2278)</f>
        <v/>
      </c>
      <c r="J2278">
        <f>IF(OR(NOT(ISNUMBER(G2278)),NOT(ISNUMBER(H2278)),G2278=0),"",I2278/G2278)</f>
        <v/>
      </c>
      <c r="K2278">
        <f>IF(OR(NOT(ISNUMBER(G2278)),NOT(ISNUMBER(H2278)),G2278=0),"",H2278/G2278)</f>
        <v/>
      </c>
      <c r="L2278">
        <f>IF(NOT(ISNUMBER(G2278)),"SEM META",IF(G2278=0,"SEM META",IF(NOT(ISNUMBER(H2278)),"SEM APONTAMENTO",IF(H2278&gt;=G2278,"VERDE",IF(H2278&gt;=G2278*0.9,"AMARELO","VERMELHO")))))</f>
        <v/>
      </c>
    </row>
    <row r="2279">
      <c r="A2279" s="321" t="n">
        <v>46268</v>
      </c>
      <c r="B2279" t="inlineStr">
        <is>
          <t>GERAL</t>
        </is>
      </c>
      <c r="C2279" t="inlineStr">
        <is>
          <t>GLOBO AÇOS</t>
        </is>
      </c>
      <c r="D2279" t="inlineStr">
        <is>
          <t>PERFILAÇÃO</t>
        </is>
      </c>
      <c r="F2279">
        <f>IFERROR(INDEX('BASE METAS DIÁRIAS'!$AA$2:$AC$358,MATCH($A2279,'BASE METAS DIÁRIAS'!$A$2:$A$358,0),1),"")</f>
        <v/>
      </c>
      <c r="G2279">
        <f>IFERROR(IF(WEEKDAY($A2279,2)&lt;=INDEX('BASE METAS DIÁRIAS'!$X$2:$Z$358,MATCH($A2279,'BASE METAS DIÁRIAS'!$A$2:$A$358,0),1),INDEX('BASE METAS DIÁRIAS'!$U$2:$W$358,MATCH($A2279,'BASE METAS DIÁRIAS'!$A$2:$A$358,0),1),""),"")</f>
        <v/>
      </c>
      <c r="H2279">
        <f>IFERROR(IF(INDEX('CONTROLE PRODUÇÃO POR EMPRESAS'!$H$6:$J$5000,MATCH($A2279,'CONTROLE PRODUÇÃO POR EMPRESAS'!$A$6:$A$5000,0),1)="","",IFERROR(1*INDEX('CONTROLE PRODUÇÃO POR EMPRESAS'!$H$6:$J$5000,MATCH($A2279,'CONTROLE PRODUÇÃO POR EMPRESAS'!$A$6:$A$5000,0),1),"")),"")</f>
        <v/>
      </c>
      <c r="I2279">
        <f>IF(OR(NOT(ISNUMBER(G2279)),NOT(ISNUMBER(H2279))),"",H2279-G2279)</f>
        <v/>
      </c>
      <c r="J2279">
        <f>IF(OR(NOT(ISNUMBER(G2279)),NOT(ISNUMBER(H2279)),G2279=0),"",I2279/G2279)</f>
        <v/>
      </c>
      <c r="K2279">
        <f>IF(OR(NOT(ISNUMBER(G2279)),NOT(ISNUMBER(H2279)),G2279=0),"",H2279/G2279)</f>
        <v/>
      </c>
      <c r="L2279">
        <f>IF(NOT(ISNUMBER(G2279)),"SEM META",IF(G2279=0,"SEM META",IF(NOT(ISNUMBER(H2279)),"SEM APONTAMENTO",IF(H2279&gt;=G2279,"VERDE",IF(H2279&gt;=G2279*0.9,"AMARELO","VERMELHO")))))</f>
        <v/>
      </c>
    </row>
    <row r="2280">
      <c r="A2280" s="321" t="n">
        <v>46268</v>
      </c>
      <c r="B2280" t="inlineStr">
        <is>
          <t>GERAL</t>
        </is>
      </c>
      <c r="C2280" t="inlineStr">
        <is>
          <t>GLOBO AÇOS</t>
        </is>
      </c>
      <c r="D2280" t="inlineStr">
        <is>
          <t>TELHAR</t>
        </is>
      </c>
      <c r="F2280">
        <f>IFERROR(INDEX('BASE METAS DIÁRIAS'!$AA$2:$AC$358,MATCH($A2280,'BASE METAS DIÁRIAS'!$A$2:$A$358,0),2),"")</f>
        <v/>
      </c>
      <c r="G2280">
        <f>IFERROR(IF(WEEKDAY($A2280,2)&lt;=INDEX('BASE METAS DIÁRIAS'!$X$2:$Z$358,MATCH($A2280,'BASE METAS DIÁRIAS'!$A$2:$A$358,0),2),INDEX('BASE METAS DIÁRIAS'!$U$2:$W$358,MATCH($A2280,'BASE METAS DIÁRIAS'!$A$2:$A$358,0),2),""),"")</f>
        <v/>
      </c>
      <c r="H2280">
        <f>IFERROR(IF(INDEX('CONTROLE PRODUÇÃO POR EMPRESAS'!$H$6:$J$5000,MATCH($A2280,'CONTROLE PRODUÇÃO POR EMPRESAS'!$A$6:$A$5000,0),2)="","",IFERROR(1*INDEX('CONTROLE PRODUÇÃO POR EMPRESAS'!$H$6:$J$5000,MATCH($A2280,'CONTROLE PRODUÇÃO POR EMPRESAS'!$A$6:$A$5000,0),2),"")),"")</f>
        <v/>
      </c>
      <c r="I2280">
        <f>IF(OR(NOT(ISNUMBER(G2280)),NOT(ISNUMBER(H2280))),"",H2280-G2280)</f>
        <v/>
      </c>
      <c r="J2280">
        <f>IF(OR(NOT(ISNUMBER(G2280)),NOT(ISNUMBER(H2280)),G2280=0),"",I2280/G2280)</f>
        <v/>
      </c>
      <c r="K2280">
        <f>IF(OR(NOT(ISNUMBER(G2280)),NOT(ISNUMBER(H2280)),G2280=0),"",H2280/G2280)</f>
        <v/>
      </c>
      <c r="L2280">
        <f>IF(NOT(ISNUMBER(G2280)),"SEM META",IF(G2280=0,"SEM META",IF(NOT(ISNUMBER(H2280)),"SEM APONTAMENTO",IF(H2280&gt;=G2280,"VERDE",IF(H2280&gt;=G2280*0.9,"AMARELO","VERMELHO")))))</f>
        <v/>
      </c>
    </row>
    <row r="2281">
      <c r="A2281" s="321" t="n">
        <v>46268</v>
      </c>
      <c r="B2281" t="inlineStr">
        <is>
          <t>GERAL</t>
        </is>
      </c>
      <c r="C2281" t="inlineStr">
        <is>
          <t>GLOBO AÇOS</t>
        </is>
      </c>
      <c r="D2281" t="inlineStr">
        <is>
          <t>FECHAMENTO</t>
        </is>
      </c>
      <c r="F2281">
        <f>IFERROR(INDEX('BASE METAS DIÁRIAS'!$AA$2:$AC$358,MATCH($A2281,'BASE METAS DIÁRIAS'!$A$2:$A$358,0),3),"")</f>
        <v/>
      </c>
      <c r="G2281">
        <f>IFERROR(IF(WEEKDAY($A2281,2)&lt;=INDEX('BASE METAS DIÁRIAS'!$X$2:$Z$358,MATCH($A2281,'BASE METAS DIÁRIAS'!$A$2:$A$358,0),3),INDEX('BASE METAS DIÁRIAS'!$U$2:$W$358,MATCH($A2281,'BASE METAS DIÁRIAS'!$A$2:$A$358,0),3),""),"")</f>
        <v/>
      </c>
      <c r="H2281">
        <f>IFERROR(IF(INDEX('CONTROLE PRODUÇÃO POR EMPRESAS'!$H$6:$J$5000,MATCH($A2281,'CONTROLE PRODUÇÃO POR EMPRESAS'!$A$6:$A$5000,0),3)="","",IFERROR(1*INDEX('CONTROLE PRODUÇÃO POR EMPRESAS'!$H$6:$J$5000,MATCH($A2281,'CONTROLE PRODUÇÃO POR EMPRESAS'!$A$6:$A$5000,0),3),"")),"")</f>
        <v/>
      </c>
      <c r="I2281">
        <f>IF(OR(NOT(ISNUMBER(G2281)),NOT(ISNUMBER(H2281))),"",H2281-G2281)</f>
        <v/>
      </c>
      <c r="J2281">
        <f>IF(OR(NOT(ISNUMBER(G2281)),NOT(ISNUMBER(H2281)),G2281=0),"",I2281/G2281)</f>
        <v/>
      </c>
      <c r="K2281">
        <f>IF(OR(NOT(ISNUMBER(G2281)),NOT(ISNUMBER(H2281)),G2281=0),"",H2281/G2281)</f>
        <v/>
      </c>
      <c r="L2281">
        <f>IF(NOT(ISNUMBER(G2281)),"SEM META",IF(G2281=0,"SEM META",IF(NOT(ISNUMBER(H2281)),"SEM APONTAMENTO",IF(H2281&gt;=G2281,"VERDE",IF(H2281&gt;=G2281*0.9,"AMARELO","VERMELHO")))))</f>
        <v/>
      </c>
    </row>
    <row r="2282">
      <c r="A2282" s="321" t="n">
        <v>46269</v>
      </c>
      <c r="B2282" t="inlineStr">
        <is>
          <t>GERAL</t>
        </is>
      </c>
      <c r="C2282" t="inlineStr">
        <is>
          <t>GLOBO AÇOS</t>
        </is>
      </c>
      <c r="D2282" t="inlineStr">
        <is>
          <t>PERFILAÇÃO</t>
        </is>
      </c>
      <c r="F2282">
        <f>IFERROR(INDEX('BASE METAS DIÁRIAS'!$AA$2:$AC$358,MATCH($A2282,'BASE METAS DIÁRIAS'!$A$2:$A$358,0),1),"")</f>
        <v/>
      </c>
      <c r="G2282">
        <f>IFERROR(IF(WEEKDAY($A2282,2)&lt;=INDEX('BASE METAS DIÁRIAS'!$X$2:$Z$358,MATCH($A2282,'BASE METAS DIÁRIAS'!$A$2:$A$358,0),1),INDEX('BASE METAS DIÁRIAS'!$U$2:$W$358,MATCH($A2282,'BASE METAS DIÁRIAS'!$A$2:$A$358,0),1),""),"")</f>
        <v/>
      </c>
      <c r="H2282">
        <f>IFERROR(IF(INDEX('CONTROLE PRODUÇÃO POR EMPRESAS'!$H$6:$J$5000,MATCH($A2282,'CONTROLE PRODUÇÃO POR EMPRESAS'!$A$6:$A$5000,0),1)="","",IFERROR(1*INDEX('CONTROLE PRODUÇÃO POR EMPRESAS'!$H$6:$J$5000,MATCH($A2282,'CONTROLE PRODUÇÃO POR EMPRESAS'!$A$6:$A$5000,0),1),"")),"")</f>
        <v/>
      </c>
      <c r="I2282">
        <f>IF(OR(NOT(ISNUMBER(G2282)),NOT(ISNUMBER(H2282))),"",H2282-G2282)</f>
        <v/>
      </c>
      <c r="J2282">
        <f>IF(OR(NOT(ISNUMBER(G2282)),NOT(ISNUMBER(H2282)),G2282=0),"",I2282/G2282)</f>
        <v/>
      </c>
      <c r="K2282">
        <f>IF(OR(NOT(ISNUMBER(G2282)),NOT(ISNUMBER(H2282)),G2282=0),"",H2282/G2282)</f>
        <v/>
      </c>
      <c r="L2282">
        <f>IF(NOT(ISNUMBER(G2282)),"SEM META",IF(G2282=0,"SEM META",IF(NOT(ISNUMBER(H2282)),"SEM APONTAMENTO",IF(H2282&gt;=G2282,"VERDE",IF(H2282&gt;=G2282*0.9,"AMARELO","VERMELHO")))))</f>
        <v/>
      </c>
    </row>
    <row r="2283">
      <c r="A2283" s="321" t="n">
        <v>46269</v>
      </c>
      <c r="B2283" t="inlineStr">
        <is>
          <t>GERAL</t>
        </is>
      </c>
      <c r="C2283" t="inlineStr">
        <is>
          <t>GLOBO AÇOS</t>
        </is>
      </c>
      <c r="D2283" t="inlineStr">
        <is>
          <t>TELHAR</t>
        </is>
      </c>
      <c r="F2283">
        <f>IFERROR(INDEX('BASE METAS DIÁRIAS'!$AA$2:$AC$358,MATCH($A2283,'BASE METAS DIÁRIAS'!$A$2:$A$358,0),2),"")</f>
        <v/>
      </c>
      <c r="G2283">
        <f>IFERROR(IF(WEEKDAY($A2283,2)&lt;=INDEX('BASE METAS DIÁRIAS'!$X$2:$Z$358,MATCH($A2283,'BASE METAS DIÁRIAS'!$A$2:$A$358,0),2),INDEX('BASE METAS DIÁRIAS'!$U$2:$W$358,MATCH($A2283,'BASE METAS DIÁRIAS'!$A$2:$A$358,0),2),""),"")</f>
        <v/>
      </c>
      <c r="H2283">
        <f>IFERROR(IF(INDEX('CONTROLE PRODUÇÃO POR EMPRESAS'!$H$6:$J$5000,MATCH($A2283,'CONTROLE PRODUÇÃO POR EMPRESAS'!$A$6:$A$5000,0),2)="","",IFERROR(1*INDEX('CONTROLE PRODUÇÃO POR EMPRESAS'!$H$6:$J$5000,MATCH($A2283,'CONTROLE PRODUÇÃO POR EMPRESAS'!$A$6:$A$5000,0),2),"")),"")</f>
        <v/>
      </c>
      <c r="I2283">
        <f>IF(OR(NOT(ISNUMBER(G2283)),NOT(ISNUMBER(H2283))),"",H2283-G2283)</f>
        <v/>
      </c>
      <c r="J2283">
        <f>IF(OR(NOT(ISNUMBER(G2283)),NOT(ISNUMBER(H2283)),G2283=0),"",I2283/G2283)</f>
        <v/>
      </c>
      <c r="K2283">
        <f>IF(OR(NOT(ISNUMBER(G2283)),NOT(ISNUMBER(H2283)),G2283=0),"",H2283/G2283)</f>
        <v/>
      </c>
      <c r="L2283">
        <f>IF(NOT(ISNUMBER(G2283)),"SEM META",IF(G2283=0,"SEM META",IF(NOT(ISNUMBER(H2283)),"SEM APONTAMENTO",IF(H2283&gt;=G2283,"VERDE",IF(H2283&gt;=G2283*0.9,"AMARELO","VERMELHO")))))</f>
        <v/>
      </c>
    </row>
    <row r="2284">
      <c r="A2284" s="321" t="n">
        <v>46269</v>
      </c>
      <c r="B2284" t="inlineStr">
        <is>
          <t>GERAL</t>
        </is>
      </c>
      <c r="C2284" t="inlineStr">
        <is>
          <t>GLOBO AÇOS</t>
        </is>
      </c>
      <c r="D2284" t="inlineStr">
        <is>
          <t>FECHAMENTO</t>
        </is>
      </c>
      <c r="F2284">
        <f>IFERROR(INDEX('BASE METAS DIÁRIAS'!$AA$2:$AC$358,MATCH($A2284,'BASE METAS DIÁRIAS'!$A$2:$A$358,0),3),"")</f>
        <v/>
      </c>
      <c r="G2284">
        <f>IFERROR(IF(WEEKDAY($A2284,2)&lt;=INDEX('BASE METAS DIÁRIAS'!$X$2:$Z$358,MATCH($A2284,'BASE METAS DIÁRIAS'!$A$2:$A$358,0),3),INDEX('BASE METAS DIÁRIAS'!$U$2:$W$358,MATCH($A2284,'BASE METAS DIÁRIAS'!$A$2:$A$358,0),3),""),"")</f>
        <v/>
      </c>
      <c r="H2284">
        <f>IFERROR(IF(INDEX('CONTROLE PRODUÇÃO POR EMPRESAS'!$H$6:$J$5000,MATCH($A2284,'CONTROLE PRODUÇÃO POR EMPRESAS'!$A$6:$A$5000,0),3)="","",IFERROR(1*INDEX('CONTROLE PRODUÇÃO POR EMPRESAS'!$H$6:$J$5000,MATCH($A2284,'CONTROLE PRODUÇÃO POR EMPRESAS'!$A$6:$A$5000,0),3),"")),"")</f>
        <v/>
      </c>
      <c r="I2284">
        <f>IF(OR(NOT(ISNUMBER(G2284)),NOT(ISNUMBER(H2284))),"",H2284-G2284)</f>
        <v/>
      </c>
      <c r="J2284">
        <f>IF(OR(NOT(ISNUMBER(G2284)),NOT(ISNUMBER(H2284)),G2284=0),"",I2284/G2284)</f>
        <v/>
      </c>
      <c r="K2284">
        <f>IF(OR(NOT(ISNUMBER(G2284)),NOT(ISNUMBER(H2284)),G2284=0),"",H2284/G2284)</f>
        <v/>
      </c>
      <c r="L2284">
        <f>IF(NOT(ISNUMBER(G2284)),"SEM META",IF(G2284=0,"SEM META",IF(NOT(ISNUMBER(H2284)),"SEM APONTAMENTO",IF(H2284&gt;=G2284,"VERDE",IF(H2284&gt;=G2284*0.9,"AMARELO","VERMELHO")))))</f>
        <v/>
      </c>
    </row>
    <row r="2285">
      <c r="A2285" s="321" t="n">
        <v>46270</v>
      </c>
      <c r="B2285" t="inlineStr">
        <is>
          <t>GERAL</t>
        </is>
      </c>
      <c r="C2285" t="inlineStr">
        <is>
          <t>GLOBO AÇOS</t>
        </is>
      </c>
      <c r="D2285" t="inlineStr">
        <is>
          <t>PERFILAÇÃO</t>
        </is>
      </c>
      <c r="F2285">
        <f>IFERROR(INDEX('BASE METAS DIÁRIAS'!$AA$2:$AC$358,MATCH($A2285,'BASE METAS DIÁRIAS'!$A$2:$A$358,0),1),"")</f>
        <v/>
      </c>
      <c r="G2285">
        <f>IFERROR(IF(WEEKDAY($A2285,2)&lt;=INDEX('BASE METAS DIÁRIAS'!$X$2:$Z$358,MATCH($A2285,'BASE METAS DIÁRIAS'!$A$2:$A$358,0),1),INDEX('BASE METAS DIÁRIAS'!$U$2:$W$358,MATCH($A2285,'BASE METAS DIÁRIAS'!$A$2:$A$358,0),1),""),"")</f>
        <v/>
      </c>
      <c r="H2285">
        <f>IFERROR(IF(INDEX('CONTROLE PRODUÇÃO POR EMPRESAS'!$H$6:$J$5000,MATCH($A2285,'CONTROLE PRODUÇÃO POR EMPRESAS'!$A$6:$A$5000,0),1)="","",IFERROR(1*INDEX('CONTROLE PRODUÇÃO POR EMPRESAS'!$H$6:$J$5000,MATCH($A2285,'CONTROLE PRODUÇÃO POR EMPRESAS'!$A$6:$A$5000,0),1),"")),"")</f>
        <v/>
      </c>
      <c r="I2285">
        <f>IF(OR(NOT(ISNUMBER(G2285)),NOT(ISNUMBER(H2285))),"",H2285-G2285)</f>
        <v/>
      </c>
      <c r="J2285">
        <f>IF(OR(NOT(ISNUMBER(G2285)),NOT(ISNUMBER(H2285)),G2285=0),"",I2285/G2285)</f>
        <v/>
      </c>
      <c r="K2285">
        <f>IF(OR(NOT(ISNUMBER(G2285)),NOT(ISNUMBER(H2285)),G2285=0),"",H2285/G2285)</f>
        <v/>
      </c>
      <c r="L2285">
        <f>IF(NOT(ISNUMBER(G2285)),"SEM META",IF(G2285=0,"SEM META",IF(NOT(ISNUMBER(H2285)),"SEM APONTAMENTO",IF(H2285&gt;=G2285,"VERDE",IF(H2285&gt;=G2285*0.9,"AMARELO","VERMELHO")))))</f>
        <v/>
      </c>
    </row>
    <row r="2286">
      <c r="A2286" s="321" t="n">
        <v>46270</v>
      </c>
      <c r="B2286" t="inlineStr">
        <is>
          <t>GERAL</t>
        </is>
      </c>
      <c r="C2286" t="inlineStr">
        <is>
          <t>GLOBO AÇOS</t>
        </is>
      </c>
      <c r="D2286" t="inlineStr">
        <is>
          <t>TELHAR</t>
        </is>
      </c>
      <c r="F2286">
        <f>IFERROR(INDEX('BASE METAS DIÁRIAS'!$AA$2:$AC$358,MATCH($A2286,'BASE METAS DIÁRIAS'!$A$2:$A$358,0),2),"")</f>
        <v/>
      </c>
      <c r="G2286">
        <f>IFERROR(IF(WEEKDAY($A2286,2)&lt;=INDEX('BASE METAS DIÁRIAS'!$X$2:$Z$358,MATCH($A2286,'BASE METAS DIÁRIAS'!$A$2:$A$358,0),2),INDEX('BASE METAS DIÁRIAS'!$U$2:$W$358,MATCH($A2286,'BASE METAS DIÁRIAS'!$A$2:$A$358,0),2),""),"")</f>
        <v/>
      </c>
      <c r="H2286">
        <f>IFERROR(IF(INDEX('CONTROLE PRODUÇÃO POR EMPRESAS'!$H$6:$J$5000,MATCH($A2286,'CONTROLE PRODUÇÃO POR EMPRESAS'!$A$6:$A$5000,0),2)="","",IFERROR(1*INDEX('CONTROLE PRODUÇÃO POR EMPRESAS'!$H$6:$J$5000,MATCH($A2286,'CONTROLE PRODUÇÃO POR EMPRESAS'!$A$6:$A$5000,0),2),"")),"")</f>
        <v/>
      </c>
      <c r="I2286">
        <f>IF(OR(NOT(ISNUMBER(G2286)),NOT(ISNUMBER(H2286))),"",H2286-G2286)</f>
        <v/>
      </c>
      <c r="J2286">
        <f>IF(OR(NOT(ISNUMBER(G2286)),NOT(ISNUMBER(H2286)),G2286=0),"",I2286/G2286)</f>
        <v/>
      </c>
      <c r="K2286">
        <f>IF(OR(NOT(ISNUMBER(G2286)),NOT(ISNUMBER(H2286)),G2286=0),"",H2286/G2286)</f>
        <v/>
      </c>
      <c r="L2286">
        <f>IF(NOT(ISNUMBER(G2286)),"SEM META",IF(G2286=0,"SEM META",IF(NOT(ISNUMBER(H2286)),"SEM APONTAMENTO",IF(H2286&gt;=G2286,"VERDE",IF(H2286&gt;=G2286*0.9,"AMARELO","VERMELHO")))))</f>
        <v/>
      </c>
    </row>
    <row r="2287">
      <c r="A2287" s="321" t="n">
        <v>46270</v>
      </c>
      <c r="B2287" t="inlineStr">
        <is>
          <t>GERAL</t>
        </is>
      </c>
      <c r="C2287" t="inlineStr">
        <is>
          <t>GLOBO AÇOS</t>
        </is>
      </c>
      <c r="D2287" t="inlineStr">
        <is>
          <t>FECHAMENTO</t>
        </is>
      </c>
      <c r="F2287">
        <f>IFERROR(INDEX('BASE METAS DIÁRIAS'!$AA$2:$AC$358,MATCH($A2287,'BASE METAS DIÁRIAS'!$A$2:$A$358,0),3),"")</f>
        <v/>
      </c>
      <c r="G2287">
        <f>IFERROR(IF(WEEKDAY($A2287,2)&lt;=INDEX('BASE METAS DIÁRIAS'!$X$2:$Z$358,MATCH($A2287,'BASE METAS DIÁRIAS'!$A$2:$A$358,0),3),INDEX('BASE METAS DIÁRIAS'!$U$2:$W$358,MATCH($A2287,'BASE METAS DIÁRIAS'!$A$2:$A$358,0),3),""),"")</f>
        <v/>
      </c>
      <c r="H2287">
        <f>IFERROR(IF(INDEX('CONTROLE PRODUÇÃO POR EMPRESAS'!$H$6:$J$5000,MATCH($A2287,'CONTROLE PRODUÇÃO POR EMPRESAS'!$A$6:$A$5000,0),3)="","",IFERROR(1*INDEX('CONTROLE PRODUÇÃO POR EMPRESAS'!$H$6:$J$5000,MATCH($A2287,'CONTROLE PRODUÇÃO POR EMPRESAS'!$A$6:$A$5000,0),3),"")),"")</f>
        <v/>
      </c>
      <c r="I2287">
        <f>IF(OR(NOT(ISNUMBER(G2287)),NOT(ISNUMBER(H2287))),"",H2287-G2287)</f>
        <v/>
      </c>
      <c r="J2287">
        <f>IF(OR(NOT(ISNUMBER(G2287)),NOT(ISNUMBER(H2287)),G2287=0),"",I2287/G2287)</f>
        <v/>
      </c>
      <c r="K2287">
        <f>IF(OR(NOT(ISNUMBER(G2287)),NOT(ISNUMBER(H2287)),G2287=0),"",H2287/G2287)</f>
        <v/>
      </c>
      <c r="L2287">
        <f>IF(NOT(ISNUMBER(G2287)),"SEM META",IF(G2287=0,"SEM META",IF(NOT(ISNUMBER(H2287)),"SEM APONTAMENTO",IF(H2287&gt;=G2287,"VERDE",IF(H2287&gt;=G2287*0.9,"AMARELO","VERMELHO")))))</f>
        <v/>
      </c>
    </row>
    <row r="2288">
      <c r="A2288" s="321" t="n">
        <v>46271</v>
      </c>
      <c r="B2288" t="inlineStr">
        <is>
          <t>GERAL</t>
        </is>
      </c>
      <c r="C2288" t="inlineStr">
        <is>
          <t>GLOBO AÇOS</t>
        </is>
      </c>
      <c r="D2288" t="inlineStr">
        <is>
          <t>PERFILAÇÃO</t>
        </is>
      </c>
      <c r="F2288">
        <f>IFERROR(INDEX('BASE METAS DIÁRIAS'!$AA$2:$AC$358,MATCH($A2288,'BASE METAS DIÁRIAS'!$A$2:$A$358,0),1),"")</f>
        <v/>
      </c>
      <c r="G2288">
        <f>IFERROR(IF(WEEKDAY($A2288,2)&lt;=INDEX('BASE METAS DIÁRIAS'!$X$2:$Z$358,MATCH($A2288,'BASE METAS DIÁRIAS'!$A$2:$A$358,0),1),INDEX('BASE METAS DIÁRIAS'!$U$2:$W$358,MATCH($A2288,'BASE METAS DIÁRIAS'!$A$2:$A$358,0),1),""),"")</f>
        <v/>
      </c>
      <c r="H2288">
        <f>IFERROR(IF(INDEX('CONTROLE PRODUÇÃO POR EMPRESAS'!$H$6:$J$5000,MATCH($A2288,'CONTROLE PRODUÇÃO POR EMPRESAS'!$A$6:$A$5000,0),1)="","",IFERROR(1*INDEX('CONTROLE PRODUÇÃO POR EMPRESAS'!$H$6:$J$5000,MATCH($A2288,'CONTROLE PRODUÇÃO POR EMPRESAS'!$A$6:$A$5000,0),1),"")),"")</f>
        <v/>
      </c>
      <c r="I2288">
        <f>IF(OR(NOT(ISNUMBER(G2288)),NOT(ISNUMBER(H2288))),"",H2288-G2288)</f>
        <v/>
      </c>
      <c r="J2288">
        <f>IF(OR(NOT(ISNUMBER(G2288)),NOT(ISNUMBER(H2288)),G2288=0),"",I2288/G2288)</f>
        <v/>
      </c>
      <c r="K2288">
        <f>IF(OR(NOT(ISNUMBER(G2288)),NOT(ISNUMBER(H2288)),G2288=0),"",H2288/G2288)</f>
        <v/>
      </c>
      <c r="L2288">
        <f>IF(NOT(ISNUMBER(G2288)),"SEM META",IF(G2288=0,"SEM META",IF(NOT(ISNUMBER(H2288)),"SEM APONTAMENTO",IF(H2288&gt;=G2288,"VERDE",IF(H2288&gt;=G2288*0.9,"AMARELO","VERMELHO")))))</f>
        <v/>
      </c>
    </row>
    <row r="2289">
      <c r="A2289" s="321" t="n">
        <v>46271</v>
      </c>
      <c r="B2289" t="inlineStr">
        <is>
          <t>GERAL</t>
        </is>
      </c>
      <c r="C2289" t="inlineStr">
        <is>
          <t>GLOBO AÇOS</t>
        </is>
      </c>
      <c r="D2289" t="inlineStr">
        <is>
          <t>TELHAR</t>
        </is>
      </c>
      <c r="F2289">
        <f>IFERROR(INDEX('BASE METAS DIÁRIAS'!$AA$2:$AC$358,MATCH($A2289,'BASE METAS DIÁRIAS'!$A$2:$A$358,0),2),"")</f>
        <v/>
      </c>
      <c r="G2289">
        <f>IFERROR(IF(WEEKDAY($A2289,2)&lt;=INDEX('BASE METAS DIÁRIAS'!$X$2:$Z$358,MATCH($A2289,'BASE METAS DIÁRIAS'!$A$2:$A$358,0),2),INDEX('BASE METAS DIÁRIAS'!$U$2:$W$358,MATCH($A2289,'BASE METAS DIÁRIAS'!$A$2:$A$358,0),2),""),"")</f>
        <v/>
      </c>
      <c r="H2289">
        <f>IFERROR(IF(INDEX('CONTROLE PRODUÇÃO POR EMPRESAS'!$H$6:$J$5000,MATCH($A2289,'CONTROLE PRODUÇÃO POR EMPRESAS'!$A$6:$A$5000,0),2)="","",IFERROR(1*INDEX('CONTROLE PRODUÇÃO POR EMPRESAS'!$H$6:$J$5000,MATCH($A2289,'CONTROLE PRODUÇÃO POR EMPRESAS'!$A$6:$A$5000,0),2),"")),"")</f>
        <v/>
      </c>
      <c r="I2289">
        <f>IF(OR(NOT(ISNUMBER(G2289)),NOT(ISNUMBER(H2289))),"",H2289-G2289)</f>
        <v/>
      </c>
      <c r="J2289">
        <f>IF(OR(NOT(ISNUMBER(G2289)),NOT(ISNUMBER(H2289)),G2289=0),"",I2289/G2289)</f>
        <v/>
      </c>
      <c r="K2289">
        <f>IF(OR(NOT(ISNUMBER(G2289)),NOT(ISNUMBER(H2289)),G2289=0),"",H2289/G2289)</f>
        <v/>
      </c>
      <c r="L2289">
        <f>IF(NOT(ISNUMBER(G2289)),"SEM META",IF(G2289=0,"SEM META",IF(NOT(ISNUMBER(H2289)),"SEM APONTAMENTO",IF(H2289&gt;=G2289,"VERDE",IF(H2289&gt;=G2289*0.9,"AMARELO","VERMELHO")))))</f>
        <v/>
      </c>
    </row>
    <row r="2290">
      <c r="A2290" s="321" t="n">
        <v>46271</v>
      </c>
      <c r="B2290" t="inlineStr">
        <is>
          <t>GERAL</t>
        </is>
      </c>
      <c r="C2290" t="inlineStr">
        <is>
          <t>GLOBO AÇOS</t>
        </is>
      </c>
      <c r="D2290" t="inlineStr">
        <is>
          <t>FECHAMENTO</t>
        </is>
      </c>
      <c r="F2290">
        <f>IFERROR(INDEX('BASE METAS DIÁRIAS'!$AA$2:$AC$358,MATCH($A2290,'BASE METAS DIÁRIAS'!$A$2:$A$358,0),3),"")</f>
        <v/>
      </c>
      <c r="G2290">
        <f>IFERROR(IF(WEEKDAY($A2290,2)&lt;=INDEX('BASE METAS DIÁRIAS'!$X$2:$Z$358,MATCH($A2290,'BASE METAS DIÁRIAS'!$A$2:$A$358,0),3),INDEX('BASE METAS DIÁRIAS'!$U$2:$W$358,MATCH($A2290,'BASE METAS DIÁRIAS'!$A$2:$A$358,0),3),""),"")</f>
        <v/>
      </c>
      <c r="H2290">
        <f>IFERROR(IF(INDEX('CONTROLE PRODUÇÃO POR EMPRESAS'!$H$6:$J$5000,MATCH($A2290,'CONTROLE PRODUÇÃO POR EMPRESAS'!$A$6:$A$5000,0),3)="","",IFERROR(1*INDEX('CONTROLE PRODUÇÃO POR EMPRESAS'!$H$6:$J$5000,MATCH($A2290,'CONTROLE PRODUÇÃO POR EMPRESAS'!$A$6:$A$5000,0),3),"")),"")</f>
        <v/>
      </c>
      <c r="I2290">
        <f>IF(OR(NOT(ISNUMBER(G2290)),NOT(ISNUMBER(H2290))),"",H2290-G2290)</f>
        <v/>
      </c>
      <c r="J2290">
        <f>IF(OR(NOT(ISNUMBER(G2290)),NOT(ISNUMBER(H2290)),G2290=0),"",I2290/G2290)</f>
        <v/>
      </c>
      <c r="K2290">
        <f>IF(OR(NOT(ISNUMBER(G2290)),NOT(ISNUMBER(H2290)),G2290=0),"",H2290/G2290)</f>
        <v/>
      </c>
      <c r="L2290">
        <f>IF(NOT(ISNUMBER(G2290)),"SEM META",IF(G2290=0,"SEM META",IF(NOT(ISNUMBER(H2290)),"SEM APONTAMENTO",IF(H2290&gt;=G2290,"VERDE",IF(H2290&gt;=G2290*0.9,"AMARELO","VERMELHO")))))</f>
        <v/>
      </c>
    </row>
    <row r="2291">
      <c r="A2291" s="321" t="n">
        <v>46272</v>
      </c>
      <c r="B2291" t="inlineStr">
        <is>
          <t>GERAL</t>
        </is>
      </c>
      <c r="C2291" t="inlineStr">
        <is>
          <t>GLOBO AÇOS</t>
        </is>
      </c>
      <c r="D2291" t="inlineStr">
        <is>
          <t>PERFILAÇÃO</t>
        </is>
      </c>
      <c r="F2291">
        <f>IFERROR(INDEX('BASE METAS DIÁRIAS'!$AA$2:$AC$358,MATCH($A2291,'BASE METAS DIÁRIAS'!$A$2:$A$358,0),1),"")</f>
        <v/>
      </c>
      <c r="G2291">
        <f>IFERROR(IF(WEEKDAY($A2291,2)&lt;=INDEX('BASE METAS DIÁRIAS'!$X$2:$Z$358,MATCH($A2291,'BASE METAS DIÁRIAS'!$A$2:$A$358,0),1),INDEX('BASE METAS DIÁRIAS'!$U$2:$W$358,MATCH($A2291,'BASE METAS DIÁRIAS'!$A$2:$A$358,0),1),""),"")</f>
        <v/>
      </c>
      <c r="H2291">
        <f>IFERROR(IF(INDEX('CONTROLE PRODUÇÃO POR EMPRESAS'!$H$6:$J$5000,MATCH($A2291,'CONTROLE PRODUÇÃO POR EMPRESAS'!$A$6:$A$5000,0),1)="","",IFERROR(1*INDEX('CONTROLE PRODUÇÃO POR EMPRESAS'!$H$6:$J$5000,MATCH($A2291,'CONTROLE PRODUÇÃO POR EMPRESAS'!$A$6:$A$5000,0),1),"")),"")</f>
        <v/>
      </c>
      <c r="I2291">
        <f>IF(OR(NOT(ISNUMBER(G2291)),NOT(ISNUMBER(H2291))),"",H2291-G2291)</f>
        <v/>
      </c>
      <c r="J2291">
        <f>IF(OR(NOT(ISNUMBER(G2291)),NOT(ISNUMBER(H2291)),G2291=0),"",I2291/G2291)</f>
        <v/>
      </c>
      <c r="K2291">
        <f>IF(OR(NOT(ISNUMBER(G2291)),NOT(ISNUMBER(H2291)),G2291=0),"",H2291/G2291)</f>
        <v/>
      </c>
      <c r="L2291">
        <f>IF(NOT(ISNUMBER(G2291)),"SEM META",IF(G2291=0,"SEM META",IF(NOT(ISNUMBER(H2291)),"SEM APONTAMENTO",IF(H2291&gt;=G2291,"VERDE",IF(H2291&gt;=G2291*0.9,"AMARELO","VERMELHO")))))</f>
        <v/>
      </c>
    </row>
    <row r="2292">
      <c r="A2292" s="321" t="n">
        <v>46272</v>
      </c>
      <c r="B2292" t="inlineStr">
        <is>
          <t>GERAL</t>
        </is>
      </c>
      <c r="C2292" t="inlineStr">
        <is>
          <t>GLOBO AÇOS</t>
        </is>
      </c>
      <c r="D2292" t="inlineStr">
        <is>
          <t>TELHAR</t>
        </is>
      </c>
      <c r="F2292">
        <f>IFERROR(INDEX('BASE METAS DIÁRIAS'!$AA$2:$AC$358,MATCH($A2292,'BASE METAS DIÁRIAS'!$A$2:$A$358,0),2),"")</f>
        <v/>
      </c>
      <c r="G2292">
        <f>IFERROR(IF(WEEKDAY($A2292,2)&lt;=INDEX('BASE METAS DIÁRIAS'!$X$2:$Z$358,MATCH($A2292,'BASE METAS DIÁRIAS'!$A$2:$A$358,0),2),INDEX('BASE METAS DIÁRIAS'!$U$2:$W$358,MATCH($A2292,'BASE METAS DIÁRIAS'!$A$2:$A$358,0),2),""),"")</f>
        <v/>
      </c>
      <c r="H2292">
        <f>IFERROR(IF(INDEX('CONTROLE PRODUÇÃO POR EMPRESAS'!$H$6:$J$5000,MATCH($A2292,'CONTROLE PRODUÇÃO POR EMPRESAS'!$A$6:$A$5000,0),2)="","",IFERROR(1*INDEX('CONTROLE PRODUÇÃO POR EMPRESAS'!$H$6:$J$5000,MATCH($A2292,'CONTROLE PRODUÇÃO POR EMPRESAS'!$A$6:$A$5000,0),2),"")),"")</f>
        <v/>
      </c>
      <c r="I2292">
        <f>IF(OR(NOT(ISNUMBER(G2292)),NOT(ISNUMBER(H2292))),"",H2292-G2292)</f>
        <v/>
      </c>
      <c r="J2292">
        <f>IF(OR(NOT(ISNUMBER(G2292)),NOT(ISNUMBER(H2292)),G2292=0),"",I2292/G2292)</f>
        <v/>
      </c>
      <c r="K2292">
        <f>IF(OR(NOT(ISNUMBER(G2292)),NOT(ISNUMBER(H2292)),G2292=0),"",H2292/G2292)</f>
        <v/>
      </c>
      <c r="L2292">
        <f>IF(NOT(ISNUMBER(G2292)),"SEM META",IF(G2292=0,"SEM META",IF(NOT(ISNUMBER(H2292)),"SEM APONTAMENTO",IF(H2292&gt;=G2292,"VERDE",IF(H2292&gt;=G2292*0.9,"AMARELO","VERMELHO")))))</f>
        <v/>
      </c>
    </row>
    <row r="2293">
      <c r="A2293" s="321" t="n">
        <v>46272</v>
      </c>
      <c r="B2293" t="inlineStr">
        <is>
          <t>GERAL</t>
        </is>
      </c>
      <c r="C2293" t="inlineStr">
        <is>
          <t>GLOBO AÇOS</t>
        </is>
      </c>
      <c r="D2293" t="inlineStr">
        <is>
          <t>FECHAMENTO</t>
        </is>
      </c>
      <c r="F2293">
        <f>IFERROR(INDEX('BASE METAS DIÁRIAS'!$AA$2:$AC$358,MATCH($A2293,'BASE METAS DIÁRIAS'!$A$2:$A$358,0),3),"")</f>
        <v/>
      </c>
      <c r="G2293">
        <f>IFERROR(IF(WEEKDAY($A2293,2)&lt;=INDEX('BASE METAS DIÁRIAS'!$X$2:$Z$358,MATCH($A2293,'BASE METAS DIÁRIAS'!$A$2:$A$358,0),3),INDEX('BASE METAS DIÁRIAS'!$U$2:$W$358,MATCH($A2293,'BASE METAS DIÁRIAS'!$A$2:$A$358,0),3),""),"")</f>
        <v/>
      </c>
      <c r="H2293">
        <f>IFERROR(IF(INDEX('CONTROLE PRODUÇÃO POR EMPRESAS'!$H$6:$J$5000,MATCH($A2293,'CONTROLE PRODUÇÃO POR EMPRESAS'!$A$6:$A$5000,0),3)="","",IFERROR(1*INDEX('CONTROLE PRODUÇÃO POR EMPRESAS'!$H$6:$J$5000,MATCH($A2293,'CONTROLE PRODUÇÃO POR EMPRESAS'!$A$6:$A$5000,0),3),"")),"")</f>
        <v/>
      </c>
      <c r="I2293">
        <f>IF(OR(NOT(ISNUMBER(G2293)),NOT(ISNUMBER(H2293))),"",H2293-G2293)</f>
        <v/>
      </c>
      <c r="J2293">
        <f>IF(OR(NOT(ISNUMBER(G2293)),NOT(ISNUMBER(H2293)),G2293=0),"",I2293/G2293)</f>
        <v/>
      </c>
      <c r="K2293">
        <f>IF(OR(NOT(ISNUMBER(G2293)),NOT(ISNUMBER(H2293)),G2293=0),"",H2293/G2293)</f>
        <v/>
      </c>
      <c r="L2293">
        <f>IF(NOT(ISNUMBER(G2293)),"SEM META",IF(G2293=0,"SEM META",IF(NOT(ISNUMBER(H2293)),"SEM APONTAMENTO",IF(H2293&gt;=G2293,"VERDE",IF(H2293&gt;=G2293*0.9,"AMARELO","VERMELHO")))))</f>
        <v/>
      </c>
    </row>
    <row r="2294">
      <c r="A2294" s="321" t="n">
        <v>46273</v>
      </c>
      <c r="B2294" t="inlineStr">
        <is>
          <t>GERAL</t>
        </is>
      </c>
      <c r="C2294" t="inlineStr">
        <is>
          <t>GLOBO AÇOS</t>
        </is>
      </c>
      <c r="D2294" t="inlineStr">
        <is>
          <t>PERFILAÇÃO</t>
        </is>
      </c>
      <c r="F2294">
        <f>IFERROR(INDEX('BASE METAS DIÁRIAS'!$AA$2:$AC$358,MATCH($A2294,'BASE METAS DIÁRIAS'!$A$2:$A$358,0),1),"")</f>
        <v/>
      </c>
      <c r="G2294">
        <f>IFERROR(IF(WEEKDAY($A2294,2)&lt;=INDEX('BASE METAS DIÁRIAS'!$X$2:$Z$358,MATCH($A2294,'BASE METAS DIÁRIAS'!$A$2:$A$358,0),1),INDEX('BASE METAS DIÁRIAS'!$U$2:$W$358,MATCH($A2294,'BASE METAS DIÁRIAS'!$A$2:$A$358,0),1),""),"")</f>
        <v/>
      </c>
      <c r="H2294">
        <f>IFERROR(IF(INDEX('CONTROLE PRODUÇÃO POR EMPRESAS'!$H$6:$J$5000,MATCH($A2294,'CONTROLE PRODUÇÃO POR EMPRESAS'!$A$6:$A$5000,0),1)="","",IFERROR(1*INDEX('CONTROLE PRODUÇÃO POR EMPRESAS'!$H$6:$J$5000,MATCH($A2294,'CONTROLE PRODUÇÃO POR EMPRESAS'!$A$6:$A$5000,0),1),"")),"")</f>
        <v/>
      </c>
      <c r="I2294">
        <f>IF(OR(NOT(ISNUMBER(G2294)),NOT(ISNUMBER(H2294))),"",H2294-G2294)</f>
        <v/>
      </c>
      <c r="J2294">
        <f>IF(OR(NOT(ISNUMBER(G2294)),NOT(ISNUMBER(H2294)),G2294=0),"",I2294/G2294)</f>
        <v/>
      </c>
      <c r="K2294">
        <f>IF(OR(NOT(ISNUMBER(G2294)),NOT(ISNUMBER(H2294)),G2294=0),"",H2294/G2294)</f>
        <v/>
      </c>
      <c r="L2294">
        <f>IF(NOT(ISNUMBER(G2294)),"SEM META",IF(G2294=0,"SEM META",IF(NOT(ISNUMBER(H2294)),"SEM APONTAMENTO",IF(H2294&gt;=G2294,"VERDE",IF(H2294&gt;=G2294*0.9,"AMARELO","VERMELHO")))))</f>
        <v/>
      </c>
    </row>
    <row r="2295">
      <c r="A2295" s="321" t="n">
        <v>46273</v>
      </c>
      <c r="B2295" t="inlineStr">
        <is>
          <t>GERAL</t>
        </is>
      </c>
      <c r="C2295" t="inlineStr">
        <is>
          <t>GLOBO AÇOS</t>
        </is>
      </c>
      <c r="D2295" t="inlineStr">
        <is>
          <t>TELHAR</t>
        </is>
      </c>
      <c r="F2295">
        <f>IFERROR(INDEX('BASE METAS DIÁRIAS'!$AA$2:$AC$358,MATCH($A2295,'BASE METAS DIÁRIAS'!$A$2:$A$358,0),2),"")</f>
        <v/>
      </c>
      <c r="G2295">
        <f>IFERROR(IF(WEEKDAY($A2295,2)&lt;=INDEX('BASE METAS DIÁRIAS'!$X$2:$Z$358,MATCH($A2295,'BASE METAS DIÁRIAS'!$A$2:$A$358,0),2),INDEX('BASE METAS DIÁRIAS'!$U$2:$W$358,MATCH($A2295,'BASE METAS DIÁRIAS'!$A$2:$A$358,0),2),""),"")</f>
        <v/>
      </c>
      <c r="H2295">
        <f>IFERROR(IF(INDEX('CONTROLE PRODUÇÃO POR EMPRESAS'!$H$6:$J$5000,MATCH($A2295,'CONTROLE PRODUÇÃO POR EMPRESAS'!$A$6:$A$5000,0),2)="","",IFERROR(1*INDEX('CONTROLE PRODUÇÃO POR EMPRESAS'!$H$6:$J$5000,MATCH($A2295,'CONTROLE PRODUÇÃO POR EMPRESAS'!$A$6:$A$5000,0),2),"")),"")</f>
        <v/>
      </c>
      <c r="I2295">
        <f>IF(OR(NOT(ISNUMBER(G2295)),NOT(ISNUMBER(H2295))),"",H2295-G2295)</f>
        <v/>
      </c>
      <c r="J2295">
        <f>IF(OR(NOT(ISNUMBER(G2295)),NOT(ISNUMBER(H2295)),G2295=0),"",I2295/G2295)</f>
        <v/>
      </c>
      <c r="K2295">
        <f>IF(OR(NOT(ISNUMBER(G2295)),NOT(ISNUMBER(H2295)),G2295=0),"",H2295/G2295)</f>
        <v/>
      </c>
      <c r="L2295">
        <f>IF(NOT(ISNUMBER(G2295)),"SEM META",IF(G2295=0,"SEM META",IF(NOT(ISNUMBER(H2295)),"SEM APONTAMENTO",IF(H2295&gt;=G2295,"VERDE",IF(H2295&gt;=G2295*0.9,"AMARELO","VERMELHO")))))</f>
        <v/>
      </c>
    </row>
    <row r="2296">
      <c r="A2296" s="321" t="n">
        <v>46273</v>
      </c>
      <c r="B2296" t="inlineStr">
        <is>
          <t>GERAL</t>
        </is>
      </c>
      <c r="C2296" t="inlineStr">
        <is>
          <t>GLOBO AÇOS</t>
        </is>
      </c>
      <c r="D2296" t="inlineStr">
        <is>
          <t>FECHAMENTO</t>
        </is>
      </c>
      <c r="F2296">
        <f>IFERROR(INDEX('BASE METAS DIÁRIAS'!$AA$2:$AC$358,MATCH($A2296,'BASE METAS DIÁRIAS'!$A$2:$A$358,0),3),"")</f>
        <v/>
      </c>
      <c r="G2296">
        <f>IFERROR(IF(WEEKDAY($A2296,2)&lt;=INDEX('BASE METAS DIÁRIAS'!$X$2:$Z$358,MATCH($A2296,'BASE METAS DIÁRIAS'!$A$2:$A$358,0),3),INDEX('BASE METAS DIÁRIAS'!$U$2:$W$358,MATCH($A2296,'BASE METAS DIÁRIAS'!$A$2:$A$358,0),3),""),"")</f>
        <v/>
      </c>
      <c r="H2296">
        <f>IFERROR(IF(INDEX('CONTROLE PRODUÇÃO POR EMPRESAS'!$H$6:$J$5000,MATCH($A2296,'CONTROLE PRODUÇÃO POR EMPRESAS'!$A$6:$A$5000,0),3)="","",IFERROR(1*INDEX('CONTROLE PRODUÇÃO POR EMPRESAS'!$H$6:$J$5000,MATCH($A2296,'CONTROLE PRODUÇÃO POR EMPRESAS'!$A$6:$A$5000,0),3),"")),"")</f>
        <v/>
      </c>
      <c r="I2296">
        <f>IF(OR(NOT(ISNUMBER(G2296)),NOT(ISNUMBER(H2296))),"",H2296-G2296)</f>
        <v/>
      </c>
      <c r="J2296">
        <f>IF(OR(NOT(ISNUMBER(G2296)),NOT(ISNUMBER(H2296)),G2296=0),"",I2296/G2296)</f>
        <v/>
      </c>
      <c r="K2296">
        <f>IF(OR(NOT(ISNUMBER(G2296)),NOT(ISNUMBER(H2296)),G2296=0),"",H2296/G2296)</f>
        <v/>
      </c>
      <c r="L2296">
        <f>IF(NOT(ISNUMBER(G2296)),"SEM META",IF(G2296=0,"SEM META",IF(NOT(ISNUMBER(H2296)),"SEM APONTAMENTO",IF(H2296&gt;=G2296,"VERDE",IF(H2296&gt;=G2296*0.9,"AMARELO","VERMELHO")))))</f>
        <v/>
      </c>
    </row>
    <row r="2297">
      <c r="A2297" s="321" t="n">
        <v>46274</v>
      </c>
      <c r="B2297" t="inlineStr">
        <is>
          <t>GERAL</t>
        </is>
      </c>
      <c r="C2297" t="inlineStr">
        <is>
          <t>GLOBO AÇOS</t>
        </is>
      </c>
      <c r="D2297" t="inlineStr">
        <is>
          <t>PERFILAÇÃO</t>
        </is>
      </c>
      <c r="F2297">
        <f>IFERROR(INDEX('BASE METAS DIÁRIAS'!$AA$2:$AC$358,MATCH($A2297,'BASE METAS DIÁRIAS'!$A$2:$A$358,0),1),"")</f>
        <v/>
      </c>
      <c r="G2297">
        <f>IFERROR(IF(WEEKDAY($A2297,2)&lt;=INDEX('BASE METAS DIÁRIAS'!$X$2:$Z$358,MATCH($A2297,'BASE METAS DIÁRIAS'!$A$2:$A$358,0),1),INDEX('BASE METAS DIÁRIAS'!$U$2:$W$358,MATCH($A2297,'BASE METAS DIÁRIAS'!$A$2:$A$358,0),1),""),"")</f>
        <v/>
      </c>
      <c r="H2297">
        <f>IFERROR(IF(INDEX('CONTROLE PRODUÇÃO POR EMPRESAS'!$H$6:$J$5000,MATCH($A2297,'CONTROLE PRODUÇÃO POR EMPRESAS'!$A$6:$A$5000,0),1)="","",IFERROR(1*INDEX('CONTROLE PRODUÇÃO POR EMPRESAS'!$H$6:$J$5000,MATCH($A2297,'CONTROLE PRODUÇÃO POR EMPRESAS'!$A$6:$A$5000,0),1),"")),"")</f>
        <v/>
      </c>
      <c r="I2297">
        <f>IF(OR(NOT(ISNUMBER(G2297)),NOT(ISNUMBER(H2297))),"",H2297-G2297)</f>
        <v/>
      </c>
      <c r="J2297">
        <f>IF(OR(NOT(ISNUMBER(G2297)),NOT(ISNUMBER(H2297)),G2297=0),"",I2297/G2297)</f>
        <v/>
      </c>
      <c r="K2297">
        <f>IF(OR(NOT(ISNUMBER(G2297)),NOT(ISNUMBER(H2297)),G2297=0),"",H2297/G2297)</f>
        <v/>
      </c>
      <c r="L2297">
        <f>IF(NOT(ISNUMBER(G2297)),"SEM META",IF(G2297=0,"SEM META",IF(NOT(ISNUMBER(H2297)),"SEM APONTAMENTO",IF(H2297&gt;=G2297,"VERDE",IF(H2297&gt;=G2297*0.9,"AMARELO","VERMELHO")))))</f>
        <v/>
      </c>
    </row>
    <row r="2298">
      <c r="A2298" s="321" t="n">
        <v>46274</v>
      </c>
      <c r="B2298" t="inlineStr">
        <is>
          <t>GERAL</t>
        </is>
      </c>
      <c r="C2298" t="inlineStr">
        <is>
          <t>GLOBO AÇOS</t>
        </is>
      </c>
      <c r="D2298" t="inlineStr">
        <is>
          <t>TELHAR</t>
        </is>
      </c>
      <c r="F2298">
        <f>IFERROR(INDEX('BASE METAS DIÁRIAS'!$AA$2:$AC$358,MATCH($A2298,'BASE METAS DIÁRIAS'!$A$2:$A$358,0),2),"")</f>
        <v/>
      </c>
      <c r="G2298">
        <f>IFERROR(IF(WEEKDAY($A2298,2)&lt;=INDEX('BASE METAS DIÁRIAS'!$X$2:$Z$358,MATCH($A2298,'BASE METAS DIÁRIAS'!$A$2:$A$358,0),2),INDEX('BASE METAS DIÁRIAS'!$U$2:$W$358,MATCH($A2298,'BASE METAS DIÁRIAS'!$A$2:$A$358,0),2),""),"")</f>
        <v/>
      </c>
      <c r="H2298">
        <f>IFERROR(IF(INDEX('CONTROLE PRODUÇÃO POR EMPRESAS'!$H$6:$J$5000,MATCH($A2298,'CONTROLE PRODUÇÃO POR EMPRESAS'!$A$6:$A$5000,0),2)="","",IFERROR(1*INDEX('CONTROLE PRODUÇÃO POR EMPRESAS'!$H$6:$J$5000,MATCH($A2298,'CONTROLE PRODUÇÃO POR EMPRESAS'!$A$6:$A$5000,0),2),"")),"")</f>
        <v/>
      </c>
      <c r="I2298">
        <f>IF(OR(NOT(ISNUMBER(G2298)),NOT(ISNUMBER(H2298))),"",H2298-G2298)</f>
        <v/>
      </c>
      <c r="J2298">
        <f>IF(OR(NOT(ISNUMBER(G2298)),NOT(ISNUMBER(H2298)),G2298=0),"",I2298/G2298)</f>
        <v/>
      </c>
      <c r="K2298">
        <f>IF(OR(NOT(ISNUMBER(G2298)),NOT(ISNUMBER(H2298)),G2298=0),"",H2298/G2298)</f>
        <v/>
      </c>
      <c r="L2298">
        <f>IF(NOT(ISNUMBER(G2298)),"SEM META",IF(G2298=0,"SEM META",IF(NOT(ISNUMBER(H2298)),"SEM APONTAMENTO",IF(H2298&gt;=G2298,"VERDE",IF(H2298&gt;=G2298*0.9,"AMARELO","VERMELHO")))))</f>
        <v/>
      </c>
    </row>
    <row r="2299">
      <c r="A2299" s="321" t="n">
        <v>46274</v>
      </c>
      <c r="B2299" t="inlineStr">
        <is>
          <t>GERAL</t>
        </is>
      </c>
      <c r="C2299" t="inlineStr">
        <is>
          <t>GLOBO AÇOS</t>
        </is>
      </c>
      <c r="D2299" t="inlineStr">
        <is>
          <t>FECHAMENTO</t>
        </is>
      </c>
      <c r="F2299">
        <f>IFERROR(INDEX('BASE METAS DIÁRIAS'!$AA$2:$AC$358,MATCH($A2299,'BASE METAS DIÁRIAS'!$A$2:$A$358,0),3),"")</f>
        <v/>
      </c>
      <c r="G2299">
        <f>IFERROR(IF(WEEKDAY($A2299,2)&lt;=INDEX('BASE METAS DIÁRIAS'!$X$2:$Z$358,MATCH($A2299,'BASE METAS DIÁRIAS'!$A$2:$A$358,0),3),INDEX('BASE METAS DIÁRIAS'!$U$2:$W$358,MATCH($A2299,'BASE METAS DIÁRIAS'!$A$2:$A$358,0),3),""),"")</f>
        <v/>
      </c>
      <c r="H2299">
        <f>IFERROR(IF(INDEX('CONTROLE PRODUÇÃO POR EMPRESAS'!$H$6:$J$5000,MATCH($A2299,'CONTROLE PRODUÇÃO POR EMPRESAS'!$A$6:$A$5000,0),3)="","",IFERROR(1*INDEX('CONTROLE PRODUÇÃO POR EMPRESAS'!$H$6:$J$5000,MATCH($A2299,'CONTROLE PRODUÇÃO POR EMPRESAS'!$A$6:$A$5000,0),3),"")),"")</f>
        <v/>
      </c>
      <c r="I2299">
        <f>IF(OR(NOT(ISNUMBER(G2299)),NOT(ISNUMBER(H2299))),"",H2299-G2299)</f>
        <v/>
      </c>
      <c r="J2299">
        <f>IF(OR(NOT(ISNUMBER(G2299)),NOT(ISNUMBER(H2299)),G2299=0),"",I2299/G2299)</f>
        <v/>
      </c>
      <c r="K2299">
        <f>IF(OR(NOT(ISNUMBER(G2299)),NOT(ISNUMBER(H2299)),G2299=0),"",H2299/G2299)</f>
        <v/>
      </c>
      <c r="L2299">
        <f>IF(NOT(ISNUMBER(G2299)),"SEM META",IF(G2299=0,"SEM META",IF(NOT(ISNUMBER(H2299)),"SEM APONTAMENTO",IF(H2299&gt;=G2299,"VERDE",IF(H2299&gt;=G2299*0.9,"AMARELO","VERMELHO")))))</f>
        <v/>
      </c>
    </row>
    <row r="2300">
      <c r="A2300" s="321" t="n">
        <v>46275</v>
      </c>
      <c r="B2300" t="inlineStr">
        <is>
          <t>GERAL</t>
        </is>
      </c>
      <c r="C2300" t="inlineStr">
        <is>
          <t>GLOBO AÇOS</t>
        </is>
      </c>
      <c r="D2300" t="inlineStr">
        <is>
          <t>PERFILAÇÃO</t>
        </is>
      </c>
      <c r="F2300">
        <f>IFERROR(INDEX('BASE METAS DIÁRIAS'!$AA$2:$AC$358,MATCH($A2300,'BASE METAS DIÁRIAS'!$A$2:$A$358,0),1),"")</f>
        <v/>
      </c>
      <c r="G2300">
        <f>IFERROR(IF(WEEKDAY($A2300,2)&lt;=INDEX('BASE METAS DIÁRIAS'!$X$2:$Z$358,MATCH($A2300,'BASE METAS DIÁRIAS'!$A$2:$A$358,0),1),INDEX('BASE METAS DIÁRIAS'!$U$2:$W$358,MATCH($A2300,'BASE METAS DIÁRIAS'!$A$2:$A$358,0),1),""),"")</f>
        <v/>
      </c>
      <c r="H2300">
        <f>IFERROR(IF(INDEX('CONTROLE PRODUÇÃO POR EMPRESAS'!$H$6:$J$5000,MATCH($A2300,'CONTROLE PRODUÇÃO POR EMPRESAS'!$A$6:$A$5000,0),1)="","",IFERROR(1*INDEX('CONTROLE PRODUÇÃO POR EMPRESAS'!$H$6:$J$5000,MATCH($A2300,'CONTROLE PRODUÇÃO POR EMPRESAS'!$A$6:$A$5000,0),1),"")),"")</f>
        <v/>
      </c>
      <c r="I2300">
        <f>IF(OR(NOT(ISNUMBER(G2300)),NOT(ISNUMBER(H2300))),"",H2300-G2300)</f>
        <v/>
      </c>
      <c r="J2300">
        <f>IF(OR(NOT(ISNUMBER(G2300)),NOT(ISNUMBER(H2300)),G2300=0),"",I2300/G2300)</f>
        <v/>
      </c>
      <c r="K2300">
        <f>IF(OR(NOT(ISNUMBER(G2300)),NOT(ISNUMBER(H2300)),G2300=0),"",H2300/G2300)</f>
        <v/>
      </c>
      <c r="L2300">
        <f>IF(NOT(ISNUMBER(G2300)),"SEM META",IF(G2300=0,"SEM META",IF(NOT(ISNUMBER(H2300)),"SEM APONTAMENTO",IF(H2300&gt;=G2300,"VERDE",IF(H2300&gt;=G2300*0.9,"AMARELO","VERMELHO")))))</f>
        <v/>
      </c>
    </row>
    <row r="2301">
      <c r="A2301" s="321" t="n">
        <v>46275</v>
      </c>
      <c r="B2301" t="inlineStr">
        <is>
          <t>GERAL</t>
        </is>
      </c>
      <c r="C2301" t="inlineStr">
        <is>
          <t>GLOBO AÇOS</t>
        </is>
      </c>
      <c r="D2301" t="inlineStr">
        <is>
          <t>TELHAR</t>
        </is>
      </c>
      <c r="F2301">
        <f>IFERROR(INDEX('BASE METAS DIÁRIAS'!$AA$2:$AC$358,MATCH($A2301,'BASE METAS DIÁRIAS'!$A$2:$A$358,0),2),"")</f>
        <v/>
      </c>
      <c r="G2301">
        <f>IFERROR(IF(WEEKDAY($A2301,2)&lt;=INDEX('BASE METAS DIÁRIAS'!$X$2:$Z$358,MATCH($A2301,'BASE METAS DIÁRIAS'!$A$2:$A$358,0),2),INDEX('BASE METAS DIÁRIAS'!$U$2:$W$358,MATCH($A2301,'BASE METAS DIÁRIAS'!$A$2:$A$358,0),2),""),"")</f>
        <v/>
      </c>
      <c r="H2301">
        <f>IFERROR(IF(INDEX('CONTROLE PRODUÇÃO POR EMPRESAS'!$H$6:$J$5000,MATCH($A2301,'CONTROLE PRODUÇÃO POR EMPRESAS'!$A$6:$A$5000,0),2)="","",IFERROR(1*INDEX('CONTROLE PRODUÇÃO POR EMPRESAS'!$H$6:$J$5000,MATCH($A2301,'CONTROLE PRODUÇÃO POR EMPRESAS'!$A$6:$A$5000,0),2),"")),"")</f>
        <v/>
      </c>
      <c r="I2301">
        <f>IF(OR(NOT(ISNUMBER(G2301)),NOT(ISNUMBER(H2301))),"",H2301-G2301)</f>
        <v/>
      </c>
      <c r="J2301">
        <f>IF(OR(NOT(ISNUMBER(G2301)),NOT(ISNUMBER(H2301)),G2301=0),"",I2301/G2301)</f>
        <v/>
      </c>
      <c r="K2301">
        <f>IF(OR(NOT(ISNUMBER(G2301)),NOT(ISNUMBER(H2301)),G2301=0),"",H2301/G2301)</f>
        <v/>
      </c>
      <c r="L2301">
        <f>IF(NOT(ISNUMBER(G2301)),"SEM META",IF(G2301=0,"SEM META",IF(NOT(ISNUMBER(H2301)),"SEM APONTAMENTO",IF(H2301&gt;=G2301,"VERDE",IF(H2301&gt;=G2301*0.9,"AMARELO","VERMELHO")))))</f>
        <v/>
      </c>
    </row>
    <row r="2302">
      <c r="A2302" s="321" t="n">
        <v>46275</v>
      </c>
      <c r="B2302" t="inlineStr">
        <is>
          <t>GERAL</t>
        </is>
      </c>
      <c r="C2302" t="inlineStr">
        <is>
          <t>GLOBO AÇOS</t>
        </is>
      </c>
      <c r="D2302" t="inlineStr">
        <is>
          <t>FECHAMENTO</t>
        </is>
      </c>
      <c r="F2302">
        <f>IFERROR(INDEX('BASE METAS DIÁRIAS'!$AA$2:$AC$358,MATCH($A2302,'BASE METAS DIÁRIAS'!$A$2:$A$358,0),3),"")</f>
        <v/>
      </c>
      <c r="G2302">
        <f>IFERROR(IF(WEEKDAY($A2302,2)&lt;=INDEX('BASE METAS DIÁRIAS'!$X$2:$Z$358,MATCH($A2302,'BASE METAS DIÁRIAS'!$A$2:$A$358,0),3),INDEX('BASE METAS DIÁRIAS'!$U$2:$W$358,MATCH($A2302,'BASE METAS DIÁRIAS'!$A$2:$A$358,0),3),""),"")</f>
        <v/>
      </c>
      <c r="H2302">
        <f>IFERROR(IF(INDEX('CONTROLE PRODUÇÃO POR EMPRESAS'!$H$6:$J$5000,MATCH($A2302,'CONTROLE PRODUÇÃO POR EMPRESAS'!$A$6:$A$5000,0),3)="","",IFERROR(1*INDEX('CONTROLE PRODUÇÃO POR EMPRESAS'!$H$6:$J$5000,MATCH($A2302,'CONTROLE PRODUÇÃO POR EMPRESAS'!$A$6:$A$5000,0),3),"")),"")</f>
        <v/>
      </c>
      <c r="I2302">
        <f>IF(OR(NOT(ISNUMBER(G2302)),NOT(ISNUMBER(H2302))),"",H2302-G2302)</f>
        <v/>
      </c>
      <c r="J2302">
        <f>IF(OR(NOT(ISNUMBER(G2302)),NOT(ISNUMBER(H2302)),G2302=0),"",I2302/G2302)</f>
        <v/>
      </c>
      <c r="K2302">
        <f>IF(OR(NOT(ISNUMBER(G2302)),NOT(ISNUMBER(H2302)),G2302=0),"",H2302/G2302)</f>
        <v/>
      </c>
      <c r="L2302">
        <f>IF(NOT(ISNUMBER(G2302)),"SEM META",IF(G2302=0,"SEM META",IF(NOT(ISNUMBER(H2302)),"SEM APONTAMENTO",IF(H2302&gt;=G2302,"VERDE",IF(H2302&gt;=G2302*0.9,"AMARELO","VERMELHO")))))</f>
        <v/>
      </c>
    </row>
    <row r="2303">
      <c r="A2303" s="321" t="n">
        <v>46276</v>
      </c>
      <c r="B2303" t="inlineStr">
        <is>
          <t>GERAL</t>
        </is>
      </c>
      <c r="C2303" t="inlineStr">
        <is>
          <t>GLOBO AÇOS</t>
        </is>
      </c>
      <c r="D2303" t="inlineStr">
        <is>
          <t>PERFILAÇÃO</t>
        </is>
      </c>
      <c r="F2303">
        <f>IFERROR(INDEX('BASE METAS DIÁRIAS'!$AA$2:$AC$358,MATCH($A2303,'BASE METAS DIÁRIAS'!$A$2:$A$358,0),1),"")</f>
        <v/>
      </c>
      <c r="G2303">
        <f>IFERROR(IF(WEEKDAY($A2303,2)&lt;=INDEX('BASE METAS DIÁRIAS'!$X$2:$Z$358,MATCH($A2303,'BASE METAS DIÁRIAS'!$A$2:$A$358,0),1),INDEX('BASE METAS DIÁRIAS'!$U$2:$W$358,MATCH($A2303,'BASE METAS DIÁRIAS'!$A$2:$A$358,0),1),""),"")</f>
        <v/>
      </c>
      <c r="H2303">
        <f>IFERROR(IF(INDEX('CONTROLE PRODUÇÃO POR EMPRESAS'!$H$6:$J$5000,MATCH($A2303,'CONTROLE PRODUÇÃO POR EMPRESAS'!$A$6:$A$5000,0),1)="","",IFERROR(1*INDEX('CONTROLE PRODUÇÃO POR EMPRESAS'!$H$6:$J$5000,MATCH($A2303,'CONTROLE PRODUÇÃO POR EMPRESAS'!$A$6:$A$5000,0),1),"")),"")</f>
        <v/>
      </c>
      <c r="I2303">
        <f>IF(OR(NOT(ISNUMBER(G2303)),NOT(ISNUMBER(H2303))),"",H2303-G2303)</f>
        <v/>
      </c>
      <c r="J2303">
        <f>IF(OR(NOT(ISNUMBER(G2303)),NOT(ISNUMBER(H2303)),G2303=0),"",I2303/G2303)</f>
        <v/>
      </c>
      <c r="K2303">
        <f>IF(OR(NOT(ISNUMBER(G2303)),NOT(ISNUMBER(H2303)),G2303=0),"",H2303/G2303)</f>
        <v/>
      </c>
      <c r="L2303">
        <f>IF(NOT(ISNUMBER(G2303)),"SEM META",IF(G2303=0,"SEM META",IF(NOT(ISNUMBER(H2303)),"SEM APONTAMENTO",IF(H2303&gt;=G2303,"VERDE",IF(H2303&gt;=G2303*0.9,"AMARELO","VERMELHO")))))</f>
        <v/>
      </c>
    </row>
    <row r="2304">
      <c r="A2304" s="321" t="n">
        <v>46276</v>
      </c>
      <c r="B2304" t="inlineStr">
        <is>
          <t>GERAL</t>
        </is>
      </c>
      <c r="C2304" t="inlineStr">
        <is>
          <t>GLOBO AÇOS</t>
        </is>
      </c>
      <c r="D2304" t="inlineStr">
        <is>
          <t>TELHAR</t>
        </is>
      </c>
      <c r="F2304">
        <f>IFERROR(INDEX('BASE METAS DIÁRIAS'!$AA$2:$AC$358,MATCH($A2304,'BASE METAS DIÁRIAS'!$A$2:$A$358,0),2),"")</f>
        <v/>
      </c>
      <c r="G2304">
        <f>IFERROR(IF(WEEKDAY($A2304,2)&lt;=INDEX('BASE METAS DIÁRIAS'!$X$2:$Z$358,MATCH($A2304,'BASE METAS DIÁRIAS'!$A$2:$A$358,0),2),INDEX('BASE METAS DIÁRIAS'!$U$2:$W$358,MATCH($A2304,'BASE METAS DIÁRIAS'!$A$2:$A$358,0),2),""),"")</f>
        <v/>
      </c>
      <c r="H2304">
        <f>IFERROR(IF(INDEX('CONTROLE PRODUÇÃO POR EMPRESAS'!$H$6:$J$5000,MATCH($A2304,'CONTROLE PRODUÇÃO POR EMPRESAS'!$A$6:$A$5000,0),2)="","",IFERROR(1*INDEX('CONTROLE PRODUÇÃO POR EMPRESAS'!$H$6:$J$5000,MATCH($A2304,'CONTROLE PRODUÇÃO POR EMPRESAS'!$A$6:$A$5000,0),2),"")),"")</f>
        <v/>
      </c>
      <c r="I2304">
        <f>IF(OR(NOT(ISNUMBER(G2304)),NOT(ISNUMBER(H2304))),"",H2304-G2304)</f>
        <v/>
      </c>
      <c r="J2304">
        <f>IF(OR(NOT(ISNUMBER(G2304)),NOT(ISNUMBER(H2304)),G2304=0),"",I2304/G2304)</f>
        <v/>
      </c>
      <c r="K2304">
        <f>IF(OR(NOT(ISNUMBER(G2304)),NOT(ISNUMBER(H2304)),G2304=0),"",H2304/G2304)</f>
        <v/>
      </c>
      <c r="L2304">
        <f>IF(NOT(ISNUMBER(G2304)),"SEM META",IF(G2304=0,"SEM META",IF(NOT(ISNUMBER(H2304)),"SEM APONTAMENTO",IF(H2304&gt;=G2304,"VERDE",IF(H2304&gt;=G2304*0.9,"AMARELO","VERMELHO")))))</f>
        <v/>
      </c>
    </row>
    <row r="2305">
      <c r="A2305" s="321" t="n">
        <v>46276</v>
      </c>
      <c r="B2305" t="inlineStr">
        <is>
          <t>GERAL</t>
        </is>
      </c>
      <c r="C2305" t="inlineStr">
        <is>
          <t>GLOBO AÇOS</t>
        </is>
      </c>
      <c r="D2305" t="inlineStr">
        <is>
          <t>FECHAMENTO</t>
        </is>
      </c>
      <c r="F2305">
        <f>IFERROR(INDEX('BASE METAS DIÁRIAS'!$AA$2:$AC$358,MATCH($A2305,'BASE METAS DIÁRIAS'!$A$2:$A$358,0),3),"")</f>
        <v/>
      </c>
      <c r="G2305">
        <f>IFERROR(IF(WEEKDAY($A2305,2)&lt;=INDEX('BASE METAS DIÁRIAS'!$X$2:$Z$358,MATCH($A2305,'BASE METAS DIÁRIAS'!$A$2:$A$358,0),3),INDEX('BASE METAS DIÁRIAS'!$U$2:$W$358,MATCH($A2305,'BASE METAS DIÁRIAS'!$A$2:$A$358,0),3),""),"")</f>
        <v/>
      </c>
      <c r="H2305">
        <f>IFERROR(IF(INDEX('CONTROLE PRODUÇÃO POR EMPRESAS'!$H$6:$J$5000,MATCH($A2305,'CONTROLE PRODUÇÃO POR EMPRESAS'!$A$6:$A$5000,0),3)="","",IFERROR(1*INDEX('CONTROLE PRODUÇÃO POR EMPRESAS'!$H$6:$J$5000,MATCH($A2305,'CONTROLE PRODUÇÃO POR EMPRESAS'!$A$6:$A$5000,0),3),"")),"")</f>
        <v/>
      </c>
      <c r="I2305">
        <f>IF(OR(NOT(ISNUMBER(G2305)),NOT(ISNUMBER(H2305))),"",H2305-G2305)</f>
        <v/>
      </c>
      <c r="J2305">
        <f>IF(OR(NOT(ISNUMBER(G2305)),NOT(ISNUMBER(H2305)),G2305=0),"",I2305/G2305)</f>
        <v/>
      </c>
      <c r="K2305">
        <f>IF(OR(NOT(ISNUMBER(G2305)),NOT(ISNUMBER(H2305)),G2305=0),"",H2305/G2305)</f>
        <v/>
      </c>
      <c r="L2305">
        <f>IF(NOT(ISNUMBER(G2305)),"SEM META",IF(G2305=0,"SEM META",IF(NOT(ISNUMBER(H2305)),"SEM APONTAMENTO",IF(H2305&gt;=G2305,"VERDE",IF(H2305&gt;=G2305*0.9,"AMARELO","VERMELHO")))))</f>
        <v/>
      </c>
    </row>
    <row r="2306">
      <c r="A2306" s="321" t="n">
        <v>46277</v>
      </c>
      <c r="B2306" t="inlineStr">
        <is>
          <t>GERAL</t>
        </is>
      </c>
      <c r="C2306" t="inlineStr">
        <is>
          <t>GLOBO AÇOS</t>
        </is>
      </c>
      <c r="D2306" t="inlineStr">
        <is>
          <t>PERFILAÇÃO</t>
        </is>
      </c>
      <c r="F2306">
        <f>IFERROR(INDEX('BASE METAS DIÁRIAS'!$AA$2:$AC$358,MATCH($A2306,'BASE METAS DIÁRIAS'!$A$2:$A$358,0),1),"")</f>
        <v/>
      </c>
      <c r="G2306">
        <f>IFERROR(IF(WEEKDAY($A2306,2)&lt;=INDEX('BASE METAS DIÁRIAS'!$X$2:$Z$358,MATCH($A2306,'BASE METAS DIÁRIAS'!$A$2:$A$358,0),1),INDEX('BASE METAS DIÁRIAS'!$U$2:$W$358,MATCH($A2306,'BASE METAS DIÁRIAS'!$A$2:$A$358,0),1),""),"")</f>
        <v/>
      </c>
      <c r="H2306">
        <f>IFERROR(IF(INDEX('CONTROLE PRODUÇÃO POR EMPRESAS'!$H$6:$J$5000,MATCH($A2306,'CONTROLE PRODUÇÃO POR EMPRESAS'!$A$6:$A$5000,0),1)="","",IFERROR(1*INDEX('CONTROLE PRODUÇÃO POR EMPRESAS'!$H$6:$J$5000,MATCH($A2306,'CONTROLE PRODUÇÃO POR EMPRESAS'!$A$6:$A$5000,0),1),"")),"")</f>
        <v/>
      </c>
      <c r="I2306">
        <f>IF(OR(NOT(ISNUMBER(G2306)),NOT(ISNUMBER(H2306))),"",H2306-G2306)</f>
        <v/>
      </c>
      <c r="J2306">
        <f>IF(OR(NOT(ISNUMBER(G2306)),NOT(ISNUMBER(H2306)),G2306=0),"",I2306/G2306)</f>
        <v/>
      </c>
      <c r="K2306">
        <f>IF(OR(NOT(ISNUMBER(G2306)),NOT(ISNUMBER(H2306)),G2306=0),"",H2306/G2306)</f>
        <v/>
      </c>
      <c r="L2306">
        <f>IF(NOT(ISNUMBER(G2306)),"SEM META",IF(G2306=0,"SEM META",IF(NOT(ISNUMBER(H2306)),"SEM APONTAMENTO",IF(H2306&gt;=G2306,"VERDE",IF(H2306&gt;=G2306*0.9,"AMARELO","VERMELHO")))))</f>
        <v/>
      </c>
    </row>
    <row r="2307">
      <c r="A2307" s="321" t="n">
        <v>46277</v>
      </c>
      <c r="B2307" t="inlineStr">
        <is>
          <t>GERAL</t>
        </is>
      </c>
      <c r="C2307" t="inlineStr">
        <is>
          <t>GLOBO AÇOS</t>
        </is>
      </c>
      <c r="D2307" t="inlineStr">
        <is>
          <t>TELHAR</t>
        </is>
      </c>
      <c r="F2307">
        <f>IFERROR(INDEX('BASE METAS DIÁRIAS'!$AA$2:$AC$358,MATCH($A2307,'BASE METAS DIÁRIAS'!$A$2:$A$358,0),2),"")</f>
        <v/>
      </c>
      <c r="G2307">
        <f>IFERROR(IF(WEEKDAY($A2307,2)&lt;=INDEX('BASE METAS DIÁRIAS'!$X$2:$Z$358,MATCH($A2307,'BASE METAS DIÁRIAS'!$A$2:$A$358,0),2),INDEX('BASE METAS DIÁRIAS'!$U$2:$W$358,MATCH($A2307,'BASE METAS DIÁRIAS'!$A$2:$A$358,0),2),""),"")</f>
        <v/>
      </c>
      <c r="H2307">
        <f>IFERROR(IF(INDEX('CONTROLE PRODUÇÃO POR EMPRESAS'!$H$6:$J$5000,MATCH($A2307,'CONTROLE PRODUÇÃO POR EMPRESAS'!$A$6:$A$5000,0),2)="","",IFERROR(1*INDEX('CONTROLE PRODUÇÃO POR EMPRESAS'!$H$6:$J$5000,MATCH($A2307,'CONTROLE PRODUÇÃO POR EMPRESAS'!$A$6:$A$5000,0),2),"")),"")</f>
        <v/>
      </c>
      <c r="I2307">
        <f>IF(OR(NOT(ISNUMBER(G2307)),NOT(ISNUMBER(H2307))),"",H2307-G2307)</f>
        <v/>
      </c>
      <c r="J2307">
        <f>IF(OR(NOT(ISNUMBER(G2307)),NOT(ISNUMBER(H2307)),G2307=0),"",I2307/G2307)</f>
        <v/>
      </c>
      <c r="K2307">
        <f>IF(OR(NOT(ISNUMBER(G2307)),NOT(ISNUMBER(H2307)),G2307=0),"",H2307/G2307)</f>
        <v/>
      </c>
      <c r="L2307">
        <f>IF(NOT(ISNUMBER(G2307)),"SEM META",IF(G2307=0,"SEM META",IF(NOT(ISNUMBER(H2307)),"SEM APONTAMENTO",IF(H2307&gt;=G2307,"VERDE",IF(H2307&gt;=G2307*0.9,"AMARELO","VERMELHO")))))</f>
        <v/>
      </c>
    </row>
    <row r="2308">
      <c r="A2308" s="321" t="n">
        <v>46277</v>
      </c>
      <c r="B2308" t="inlineStr">
        <is>
          <t>GERAL</t>
        </is>
      </c>
      <c r="C2308" t="inlineStr">
        <is>
          <t>GLOBO AÇOS</t>
        </is>
      </c>
      <c r="D2308" t="inlineStr">
        <is>
          <t>FECHAMENTO</t>
        </is>
      </c>
      <c r="F2308">
        <f>IFERROR(INDEX('BASE METAS DIÁRIAS'!$AA$2:$AC$358,MATCH($A2308,'BASE METAS DIÁRIAS'!$A$2:$A$358,0),3),"")</f>
        <v/>
      </c>
      <c r="G2308">
        <f>IFERROR(IF(WEEKDAY($A2308,2)&lt;=INDEX('BASE METAS DIÁRIAS'!$X$2:$Z$358,MATCH($A2308,'BASE METAS DIÁRIAS'!$A$2:$A$358,0),3),INDEX('BASE METAS DIÁRIAS'!$U$2:$W$358,MATCH($A2308,'BASE METAS DIÁRIAS'!$A$2:$A$358,0),3),""),"")</f>
        <v/>
      </c>
      <c r="H2308">
        <f>IFERROR(IF(INDEX('CONTROLE PRODUÇÃO POR EMPRESAS'!$H$6:$J$5000,MATCH($A2308,'CONTROLE PRODUÇÃO POR EMPRESAS'!$A$6:$A$5000,0),3)="","",IFERROR(1*INDEX('CONTROLE PRODUÇÃO POR EMPRESAS'!$H$6:$J$5000,MATCH($A2308,'CONTROLE PRODUÇÃO POR EMPRESAS'!$A$6:$A$5000,0),3),"")),"")</f>
        <v/>
      </c>
      <c r="I2308">
        <f>IF(OR(NOT(ISNUMBER(G2308)),NOT(ISNUMBER(H2308))),"",H2308-G2308)</f>
        <v/>
      </c>
      <c r="J2308">
        <f>IF(OR(NOT(ISNUMBER(G2308)),NOT(ISNUMBER(H2308)),G2308=0),"",I2308/G2308)</f>
        <v/>
      </c>
      <c r="K2308">
        <f>IF(OR(NOT(ISNUMBER(G2308)),NOT(ISNUMBER(H2308)),G2308=0),"",H2308/G2308)</f>
        <v/>
      </c>
      <c r="L2308">
        <f>IF(NOT(ISNUMBER(G2308)),"SEM META",IF(G2308=0,"SEM META",IF(NOT(ISNUMBER(H2308)),"SEM APONTAMENTO",IF(H2308&gt;=G2308,"VERDE",IF(H2308&gt;=G2308*0.9,"AMARELO","VERMELHO")))))</f>
        <v/>
      </c>
    </row>
    <row r="2309">
      <c r="A2309" s="321" t="n">
        <v>46278</v>
      </c>
      <c r="B2309" t="inlineStr">
        <is>
          <t>GERAL</t>
        </is>
      </c>
      <c r="C2309" t="inlineStr">
        <is>
          <t>GLOBO AÇOS</t>
        </is>
      </c>
      <c r="D2309" t="inlineStr">
        <is>
          <t>PERFILAÇÃO</t>
        </is>
      </c>
      <c r="F2309">
        <f>IFERROR(INDEX('BASE METAS DIÁRIAS'!$AA$2:$AC$358,MATCH($A2309,'BASE METAS DIÁRIAS'!$A$2:$A$358,0),1),"")</f>
        <v/>
      </c>
      <c r="G2309">
        <f>IFERROR(IF(WEEKDAY($A2309,2)&lt;=INDEX('BASE METAS DIÁRIAS'!$X$2:$Z$358,MATCH($A2309,'BASE METAS DIÁRIAS'!$A$2:$A$358,0),1),INDEX('BASE METAS DIÁRIAS'!$U$2:$W$358,MATCH($A2309,'BASE METAS DIÁRIAS'!$A$2:$A$358,0),1),""),"")</f>
        <v/>
      </c>
      <c r="H2309">
        <f>IFERROR(IF(INDEX('CONTROLE PRODUÇÃO POR EMPRESAS'!$H$6:$J$5000,MATCH($A2309,'CONTROLE PRODUÇÃO POR EMPRESAS'!$A$6:$A$5000,0),1)="","",IFERROR(1*INDEX('CONTROLE PRODUÇÃO POR EMPRESAS'!$H$6:$J$5000,MATCH($A2309,'CONTROLE PRODUÇÃO POR EMPRESAS'!$A$6:$A$5000,0),1),"")),"")</f>
        <v/>
      </c>
      <c r="I2309">
        <f>IF(OR(NOT(ISNUMBER(G2309)),NOT(ISNUMBER(H2309))),"",H2309-G2309)</f>
        <v/>
      </c>
      <c r="J2309">
        <f>IF(OR(NOT(ISNUMBER(G2309)),NOT(ISNUMBER(H2309)),G2309=0),"",I2309/G2309)</f>
        <v/>
      </c>
      <c r="K2309">
        <f>IF(OR(NOT(ISNUMBER(G2309)),NOT(ISNUMBER(H2309)),G2309=0),"",H2309/G2309)</f>
        <v/>
      </c>
      <c r="L2309">
        <f>IF(NOT(ISNUMBER(G2309)),"SEM META",IF(G2309=0,"SEM META",IF(NOT(ISNUMBER(H2309)),"SEM APONTAMENTO",IF(H2309&gt;=G2309,"VERDE",IF(H2309&gt;=G2309*0.9,"AMARELO","VERMELHO")))))</f>
        <v/>
      </c>
    </row>
    <row r="2310">
      <c r="A2310" s="321" t="n">
        <v>46278</v>
      </c>
      <c r="B2310" t="inlineStr">
        <is>
          <t>GERAL</t>
        </is>
      </c>
      <c r="C2310" t="inlineStr">
        <is>
          <t>GLOBO AÇOS</t>
        </is>
      </c>
      <c r="D2310" t="inlineStr">
        <is>
          <t>TELHAR</t>
        </is>
      </c>
      <c r="F2310">
        <f>IFERROR(INDEX('BASE METAS DIÁRIAS'!$AA$2:$AC$358,MATCH($A2310,'BASE METAS DIÁRIAS'!$A$2:$A$358,0),2),"")</f>
        <v/>
      </c>
      <c r="G2310">
        <f>IFERROR(IF(WEEKDAY($A2310,2)&lt;=INDEX('BASE METAS DIÁRIAS'!$X$2:$Z$358,MATCH($A2310,'BASE METAS DIÁRIAS'!$A$2:$A$358,0),2),INDEX('BASE METAS DIÁRIAS'!$U$2:$W$358,MATCH($A2310,'BASE METAS DIÁRIAS'!$A$2:$A$358,0),2),""),"")</f>
        <v/>
      </c>
      <c r="H2310">
        <f>IFERROR(IF(INDEX('CONTROLE PRODUÇÃO POR EMPRESAS'!$H$6:$J$5000,MATCH($A2310,'CONTROLE PRODUÇÃO POR EMPRESAS'!$A$6:$A$5000,0),2)="","",IFERROR(1*INDEX('CONTROLE PRODUÇÃO POR EMPRESAS'!$H$6:$J$5000,MATCH($A2310,'CONTROLE PRODUÇÃO POR EMPRESAS'!$A$6:$A$5000,0),2),"")),"")</f>
        <v/>
      </c>
      <c r="I2310">
        <f>IF(OR(NOT(ISNUMBER(G2310)),NOT(ISNUMBER(H2310))),"",H2310-G2310)</f>
        <v/>
      </c>
      <c r="J2310">
        <f>IF(OR(NOT(ISNUMBER(G2310)),NOT(ISNUMBER(H2310)),G2310=0),"",I2310/G2310)</f>
        <v/>
      </c>
      <c r="K2310">
        <f>IF(OR(NOT(ISNUMBER(G2310)),NOT(ISNUMBER(H2310)),G2310=0),"",H2310/G2310)</f>
        <v/>
      </c>
      <c r="L2310">
        <f>IF(NOT(ISNUMBER(G2310)),"SEM META",IF(G2310=0,"SEM META",IF(NOT(ISNUMBER(H2310)),"SEM APONTAMENTO",IF(H2310&gt;=G2310,"VERDE",IF(H2310&gt;=G2310*0.9,"AMARELO","VERMELHO")))))</f>
        <v/>
      </c>
    </row>
    <row r="2311">
      <c r="A2311" s="321" t="n">
        <v>46278</v>
      </c>
      <c r="B2311" t="inlineStr">
        <is>
          <t>GERAL</t>
        </is>
      </c>
      <c r="C2311" t="inlineStr">
        <is>
          <t>GLOBO AÇOS</t>
        </is>
      </c>
      <c r="D2311" t="inlineStr">
        <is>
          <t>FECHAMENTO</t>
        </is>
      </c>
      <c r="F2311">
        <f>IFERROR(INDEX('BASE METAS DIÁRIAS'!$AA$2:$AC$358,MATCH($A2311,'BASE METAS DIÁRIAS'!$A$2:$A$358,0),3),"")</f>
        <v/>
      </c>
      <c r="G2311">
        <f>IFERROR(IF(WEEKDAY($A2311,2)&lt;=INDEX('BASE METAS DIÁRIAS'!$X$2:$Z$358,MATCH($A2311,'BASE METAS DIÁRIAS'!$A$2:$A$358,0),3),INDEX('BASE METAS DIÁRIAS'!$U$2:$W$358,MATCH($A2311,'BASE METAS DIÁRIAS'!$A$2:$A$358,0),3),""),"")</f>
        <v/>
      </c>
      <c r="H2311">
        <f>IFERROR(IF(INDEX('CONTROLE PRODUÇÃO POR EMPRESAS'!$H$6:$J$5000,MATCH($A2311,'CONTROLE PRODUÇÃO POR EMPRESAS'!$A$6:$A$5000,0),3)="","",IFERROR(1*INDEX('CONTROLE PRODUÇÃO POR EMPRESAS'!$H$6:$J$5000,MATCH($A2311,'CONTROLE PRODUÇÃO POR EMPRESAS'!$A$6:$A$5000,0),3),"")),"")</f>
        <v/>
      </c>
      <c r="I2311">
        <f>IF(OR(NOT(ISNUMBER(G2311)),NOT(ISNUMBER(H2311))),"",H2311-G2311)</f>
        <v/>
      </c>
      <c r="J2311">
        <f>IF(OR(NOT(ISNUMBER(G2311)),NOT(ISNUMBER(H2311)),G2311=0),"",I2311/G2311)</f>
        <v/>
      </c>
      <c r="K2311">
        <f>IF(OR(NOT(ISNUMBER(G2311)),NOT(ISNUMBER(H2311)),G2311=0),"",H2311/G2311)</f>
        <v/>
      </c>
      <c r="L2311">
        <f>IF(NOT(ISNUMBER(G2311)),"SEM META",IF(G2311=0,"SEM META",IF(NOT(ISNUMBER(H2311)),"SEM APONTAMENTO",IF(H2311&gt;=G2311,"VERDE",IF(H2311&gt;=G2311*0.9,"AMARELO","VERMELHO")))))</f>
        <v/>
      </c>
    </row>
    <row r="2312">
      <c r="A2312" s="321" t="n">
        <v>46279</v>
      </c>
      <c r="B2312" t="inlineStr">
        <is>
          <t>GERAL</t>
        </is>
      </c>
      <c r="C2312" t="inlineStr">
        <is>
          <t>GLOBO AÇOS</t>
        </is>
      </c>
      <c r="D2312" t="inlineStr">
        <is>
          <t>PERFILAÇÃO</t>
        </is>
      </c>
      <c r="F2312">
        <f>IFERROR(INDEX('BASE METAS DIÁRIAS'!$AA$2:$AC$358,MATCH($A2312,'BASE METAS DIÁRIAS'!$A$2:$A$358,0),1),"")</f>
        <v/>
      </c>
      <c r="G2312">
        <f>IFERROR(IF(WEEKDAY($A2312,2)&lt;=INDEX('BASE METAS DIÁRIAS'!$X$2:$Z$358,MATCH($A2312,'BASE METAS DIÁRIAS'!$A$2:$A$358,0),1),INDEX('BASE METAS DIÁRIAS'!$U$2:$W$358,MATCH($A2312,'BASE METAS DIÁRIAS'!$A$2:$A$358,0),1),""),"")</f>
        <v/>
      </c>
      <c r="H2312">
        <f>IFERROR(IF(INDEX('CONTROLE PRODUÇÃO POR EMPRESAS'!$H$6:$J$5000,MATCH($A2312,'CONTROLE PRODUÇÃO POR EMPRESAS'!$A$6:$A$5000,0),1)="","",IFERROR(1*INDEX('CONTROLE PRODUÇÃO POR EMPRESAS'!$H$6:$J$5000,MATCH($A2312,'CONTROLE PRODUÇÃO POR EMPRESAS'!$A$6:$A$5000,0),1),"")),"")</f>
        <v/>
      </c>
      <c r="I2312">
        <f>IF(OR(NOT(ISNUMBER(G2312)),NOT(ISNUMBER(H2312))),"",H2312-G2312)</f>
        <v/>
      </c>
      <c r="J2312">
        <f>IF(OR(NOT(ISNUMBER(G2312)),NOT(ISNUMBER(H2312)),G2312=0),"",I2312/G2312)</f>
        <v/>
      </c>
      <c r="K2312">
        <f>IF(OR(NOT(ISNUMBER(G2312)),NOT(ISNUMBER(H2312)),G2312=0),"",H2312/G2312)</f>
        <v/>
      </c>
      <c r="L2312">
        <f>IF(NOT(ISNUMBER(G2312)),"SEM META",IF(G2312=0,"SEM META",IF(NOT(ISNUMBER(H2312)),"SEM APONTAMENTO",IF(H2312&gt;=G2312,"VERDE",IF(H2312&gt;=G2312*0.9,"AMARELO","VERMELHO")))))</f>
        <v/>
      </c>
    </row>
    <row r="2313">
      <c r="A2313" s="321" t="n">
        <v>46279</v>
      </c>
      <c r="B2313" t="inlineStr">
        <is>
          <t>GERAL</t>
        </is>
      </c>
      <c r="C2313" t="inlineStr">
        <is>
          <t>GLOBO AÇOS</t>
        </is>
      </c>
      <c r="D2313" t="inlineStr">
        <is>
          <t>TELHAR</t>
        </is>
      </c>
      <c r="F2313">
        <f>IFERROR(INDEX('BASE METAS DIÁRIAS'!$AA$2:$AC$358,MATCH($A2313,'BASE METAS DIÁRIAS'!$A$2:$A$358,0),2),"")</f>
        <v/>
      </c>
      <c r="G2313">
        <f>IFERROR(IF(WEEKDAY($A2313,2)&lt;=INDEX('BASE METAS DIÁRIAS'!$X$2:$Z$358,MATCH($A2313,'BASE METAS DIÁRIAS'!$A$2:$A$358,0),2),INDEX('BASE METAS DIÁRIAS'!$U$2:$W$358,MATCH($A2313,'BASE METAS DIÁRIAS'!$A$2:$A$358,0),2),""),"")</f>
        <v/>
      </c>
      <c r="H2313">
        <f>IFERROR(IF(INDEX('CONTROLE PRODUÇÃO POR EMPRESAS'!$H$6:$J$5000,MATCH($A2313,'CONTROLE PRODUÇÃO POR EMPRESAS'!$A$6:$A$5000,0),2)="","",IFERROR(1*INDEX('CONTROLE PRODUÇÃO POR EMPRESAS'!$H$6:$J$5000,MATCH($A2313,'CONTROLE PRODUÇÃO POR EMPRESAS'!$A$6:$A$5000,0),2),"")),"")</f>
        <v/>
      </c>
      <c r="I2313">
        <f>IF(OR(NOT(ISNUMBER(G2313)),NOT(ISNUMBER(H2313))),"",H2313-G2313)</f>
        <v/>
      </c>
      <c r="J2313">
        <f>IF(OR(NOT(ISNUMBER(G2313)),NOT(ISNUMBER(H2313)),G2313=0),"",I2313/G2313)</f>
        <v/>
      </c>
      <c r="K2313">
        <f>IF(OR(NOT(ISNUMBER(G2313)),NOT(ISNUMBER(H2313)),G2313=0),"",H2313/G2313)</f>
        <v/>
      </c>
      <c r="L2313">
        <f>IF(NOT(ISNUMBER(G2313)),"SEM META",IF(G2313=0,"SEM META",IF(NOT(ISNUMBER(H2313)),"SEM APONTAMENTO",IF(H2313&gt;=G2313,"VERDE",IF(H2313&gt;=G2313*0.9,"AMARELO","VERMELHO")))))</f>
        <v/>
      </c>
    </row>
    <row r="2314">
      <c r="A2314" s="321" t="n">
        <v>46279</v>
      </c>
      <c r="B2314" t="inlineStr">
        <is>
          <t>GERAL</t>
        </is>
      </c>
      <c r="C2314" t="inlineStr">
        <is>
          <t>GLOBO AÇOS</t>
        </is>
      </c>
      <c r="D2314" t="inlineStr">
        <is>
          <t>FECHAMENTO</t>
        </is>
      </c>
      <c r="F2314">
        <f>IFERROR(INDEX('BASE METAS DIÁRIAS'!$AA$2:$AC$358,MATCH($A2314,'BASE METAS DIÁRIAS'!$A$2:$A$358,0),3),"")</f>
        <v/>
      </c>
      <c r="G2314">
        <f>IFERROR(IF(WEEKDAY($A2314,2)&lt;=INDEX('BASE METAS DIÁRIAS'!$X$2:$Z$358,MATCH($A2314,'BASE METAS DIÁRIAS'!$A$2:$A$358,0),3),INDEX('BASE METAS DIÁRIAS'!$U$2:$W$358,MATCH($A2314,'BASE METAS DIÁRIAS'!$A$2:$A$358,0),3),""),"")</f>
        <v/>
      </c>
      <c r="H2314">
        <f>IFERROR(IF(INDEX('CONTROLE PRODUÇÃO POR EMPRESAS'!$H$6:$J$5000,MATCH($A2314,'CONTROLE PRODUÇÃO POR EMPRESAS'!$A$6:$A$5000,0),3)="","",IFERROR(1*INDEX('CONTROLE PRODUÇÃO POR EMPRESAS'!$H$6:$J$5000,MATCH($A2314,'CONTROLE PRODUÇÃO POR EMPRESAS'!$A$6:$A$5000,0),3),"")),"")</f>
        <v/>
      </c>
      <c r="I2314">
        <f>IF(OR(NOT(ISNUMBER(G2314)),NOT(ISNUMBER(H2314))),"",H2314-G2314)</f>
        <v/>
      </c>
      <c r="J2314">
        <f>IF(OR(NOT(ISNUMBER(G2314)),NOT(ISNUMBER(H2314)),G2314=0),"",I2314/G2314)</f>
        <v/>
      </c>
      <c r="K2314">
        <f>IF(OR(NOT(ISNUMBER(G2314)),NOT(ISNUMBER(H2314)),G2314=0),"",H2314/G2314)</f>
        <v/>
      </c>
      <c r="L2314">
        <f>IF(NOT(ISNUMBER(G2314)),"SEM META",IF(G2314=0,"SEM META",IF(NOT(ISNUMBER(H2314)),"SEM APONTAMENTO",IF(H2314&gt;=G2314,"VERDE",IF(H2314&gt;=G2314*0.9,"AMARELO","VERMELHO")))))</f>
        <v/>
      </c>
    </row>
    <row r="2315">
      <c r="A2315" s="321" t="n">
        <v>46280</v>
      </c>
      <c r="B2315" t="inlineStr">
        <is>
          <t>GERAL</t>
        </is>
      </c>
      <c r="C2315" t="inlineStr">
        <is>
          <t>GLOBO AÇOS</t>
        </is>
      </c>
      <c r="D2315" t="inlineStr">
        <is>
          <t>PERFILAÇÃO</t>
        </is>
      </c>
      <c r="F2315">
        <f>IFERROR(INDEX('BASE METAS DIÁRIAS'!$AA$2:$AC$358,MATCH($A2315,'BASE METAS DIÁRIAS'!$A$2:$A$358,0),1),"")</f>
        <v/>
      </c>
      <c r="G2315">
        <f>IFERROR(IF(WEEKDAY($A2315,2)&lt;=INDEX('BASE METAS DIÁRIAS'!$X$2:$Z$358,MATCH($A2315,'BASE METAS DIÁRIAS'!$A$2:$A$358,0),1),INDEX('BASE METAS DIÁRIAS'!$U$2:$W$358,MATCH($A2315,'BASE METAS DIÁRIAS'!$A$2:$A$358,0),1),""),"")</f>
        <v/>
      </c>
      <c r="H2315">
        <f>IFERROR(IF(INDEX('CONTROLE PRODUÇÃO POR EMPRESAS'!$H$6:$J$5000,MATCH($A2315,'CONTROLE PRODUÇÃO POR EMPRESAS'!$A$6:$A$5000,0),1)="","",IFERROR(1*INDEX('CONTROLE PRODUÇÃO POR EMPRESAS'!$H$6:$J$5000,MATCH($A2315,'CONTROLE PRODUÇÃO POR EMPRESAS'!$A$6:$A$5000,0),1),"")),"")</f>
        <v/>
      </c>
      <c r="I2315">
        <f>IF(OR(NOT(ISNUMBER(G2315)),NOT(ISNUMBER(H2315))),"",H2315-G2315)</f>
        <v/>
      </c>
      <c r="J2315">
        <f>IF(OR(NOT(ISNUMBER(G2315)),NOT(ISNUMBER(H2315)),G2315=0),"",I2315/G2315)</f>
        <v/>
      </c>
      <c r="K2315">
        <f>IF(OR(NOT(ISNUMBER(G2315)),NOT(ISNUMBER(H2315)),G2315=0),"",H2315/G2315)</f>
        <v/>
      </c>
      <c r="L2315">
        <f>IF(NOT(ISNUMBER(G2315)),"SEM META",IF(G2315=0,"SEM META",IF(NOT(ISNUMBER(H2315)),"SEM APONTAMENTO",IF(H2315&gt;=G2315,"VERDE",IF(H2315&gt;=G2315*0.9,"AMARELO","VERMELHO")))))</f>
        <v/>
      </c>
    </row>
    <row r="2316">
      <c r="A2316" s="321" t="n">
        <v>46280</v>
      </c>
      <c r="B2316" t="inlineStr">
        <is>
          <t>GERAL</t>
        </is>
      </c>
      <c r="C2316" t="inlineStr">
        <is>
          <t>GLOBO AÇOS</t>
        </is>
      </c>
      <c r="D2316" t="inlineStr">
        <is>
          <t>TELHAR</t>
        </is>
      </c>
      <c r="F2316">
        <f>IFERROR(INDEX('BASE METAS DIÁRIAS'!$AA$2:$AC$358,MATCH($A2316,'BASE METAS DIÁRIAS'!$A$2:$A$358,0),2),"")</f>
        <v/>
      </c>
      <c r="G2316">
        <f>IFERROR(IF(WEEKDAY($A2316,2)&lt;=INDEX('BASE METAS DIÁRIAS'!$X$2:$Z$358,MATCH($A2316,'BASE METAS DIÁRIAS'!$A$2:$A$358,0),2),INDEX('BASE METAS DIÁRIAS'!$U$2:$W$358,MATCH($A2316,'BASE METAS DIÁRIAS'!$A$2:$A$358,0),2),""),"")</f>
        <v/>
      </c>
      <c r="H2316">
        <f>IFERROR(IF(INDEX('CONTROLE PRODUÇÃO POR EMPRESAS'!$H$6:$J$5000,MATCH($A2316,'CONTROLE PRODUÇÃO POR EMPRESAS'!$A$6:$A$5000,0),2)="","",IFERROR(1*INDEX('CONTROLE PRODUÇÃO POR EMPRESAS'!$H$6:$J$5000,MATCH($A2316,'CONTROLE PRODUÇÃO POR EMPRESAS'!$A$6:$A$5000,0),2),"")),"")</f>
        <v/>
      </c>
      <c r="I2316">
        <f>IF(OR(NOT(ISNUMBER(G2316)),NOT(ISNUMBER(H2316))),"",H2316-G2316)</f>
        <v/>
      </c>
      <c r="J2316">
        <f>IF(OR(NOT(ISNUMBER(G2316)),NOT(ISNUMBER(H2316)),G2316=0),"",I2316/G2316)</f>
        <v/>
      </c>
      <c r="K2316">
        <f>IF(OR(NOT(ISNUMBER(G2316)),NOT(ISNUMBER(H2316)),G2316=0),"",H2316/G2316)</f>
        <v/>
      </c>
      <c r="L2316">
        <f>IF(NOT(ISNUMBER(G2316)),"SEM META",IF(G2316=0,"SEM META",IF(NOT(ISNUMBER(H2316)),"SEM APONTAMENTO",IF(H2316&gt;=G2316,"VERDE",IF(H2316&gt;=G2316*0.9,"AMARELO","VERMELHO")))))</f>
        <v/>
      </c>
    </row>
    <row r="2317">
      <c r="A2317" s="321" t="n">
        <v>46280</v>
      </c>
      <c r="B2317" t="inlineStr">
        <is>
          <t>GERAL</t>
        </is>
      </c>
      <c r="C2317" t="inlineStr">
        <is>
          <t>GLOBO AÇOS</t>
        </is>
      </c>
      <c r="D2317" t="inlineStr">
        <is>
          <t>FECHAMENTO</t>
        </is>
      </c>
      <c r="F2317">
        <f>IFERROR(INDEX('BASE METAS DIÁRIAS'!$AA$2:$AC$358,MATCH($A2317,'BASE METAS DIÁRIAS'!$A$2:$A$358,0),3),"")</f>
        <v/>
      </c>
      <c r="G2317">
        <f>IFERROR(IF(WEEKDAY($A2317,2)&lt;=INDEX('BASE METAS DIÁRIAS'!$X$2:$Z$358,MATCH($A2317,'BASE METAS DIÁRIAS'!$A$2:$A$358,0),3),INDEX('BASE METAS DIÁRIAS'!$U$2:$W$358,MATCH($A2317,'BASE METAS DIÁRIAS'!$A$2:$A$358,0),3),""),"")</f>
        <v/>
      </c>
      <c r="H2317">
        <f>IFERROR(IF(INDEX('CONTROLE PRODUÇÃO POR EMPRESAS'!$H$6:$J$5000,MATCH($A2317,'CONTROLE PRODUÇÃO POR EMPRESAS'!$A$6:$A$5000,0),3)="","",IFERROR(1*INDEX('CONTROLE PRODUÇÃO POR EMPRESAS'!$H$6:$J$5000,MATCH($A2317,'CONTROLE PRODUÇÃO POR EMPRESAS'!$A$6:$A$5000,0),3),"")),"")</f>
        <v/>
      </c>
      <c r="I2317">
        <f>IF(OR(NOT(ISNUMBER(G2317)),NOT(ISNUMBER(H2317))),"",H2317-G2317)</f>
        <v/>
      </c>
      <c r="J2317">
        <f>IF(OR(NOT(ISNUMBER(G2317)),NOT(ISNUMBER(H2317)),G2317=0),"",I2317/G2317)</f>
        <v/>
      </c>
      <c r="K2317">
        <f>IF(OR(NOT(ISNUMBER(G2317)),NOT(ISNUMBER(H2317)),G2317=0),"",H2317/G2317)</f>
        <v/>
      </c>
      <c r="L2317">
        <f>IF(NOT(ISNUMBER(G2317)),"SEM META",IF(G2317=0,"SEM META",IF(NOT(ISNUMBER(H2317)),"SEM APONTAMENTO",IF(H2317&gt;=G2317,"VERDE",IF(H2317&gt;=G2317*0.9,"AMARELO","VERMELHO")))))</f>
        <v/>
      </c>
    </row>
    <row r="2318">
      <c r="A2318" s="321" t="n">
        <v>46281</v>
      </c>
      <c r="B2318" t="inlineStr">
        <is>
          <t>GERAL</t>
        </is>
      </c>
      <c r="C2318" t="inlineStr">
        <is>
          <t>GLOBO AÇOS</t>
        </is>
      </c>
      <c r="D2318" t="inlineStr">
        <is>
          <t>PERFILAÇÃO</t>
        </is>
      </c>
      <c r="F2318">
        <f>IFERROR(INDEX('BASE METAS DIÁRIAS'!$AA$2:$AC$358,MATCH($A2318,'BASE METAS DIÁRIAS'!$A$2:$A$358,0),1),"")</f>
        <v/>
      </c>
      <c r="G2318">
        <f>IFERROR(IF(WEEKDAY($A2318,2)&lt;=INDEX('BASE METAS DIÁRIAS'!$X$2:$Z$358,MATCH($A2318,'BASE METAS DIÁRIAS'!$A$2:$A$358,0),1),INDEX('BASE METAS DIÁRIAS'!$U$2:$W$358,MATCH($A2318,'BASE METAS DIÁRIAS'!$A$2:$A$358,0),1),""),"")</f>
        <v/>
      </c>
      <c r="H2318">
        <f>IFERROR(IF(INDEX('CONTROLE PRODUÇÃO POR EMPRESAS'!$H$6:$J$5000,MATCH($A2318,'CONTROLE PRODUÇÃO POR EMPRESAS'!$A$6:$A$5000,0),1)="","",IFERROR(1*INDEX('CONTROLE PRODUÇÃO POR EMPRESAS'!$H$6:$J$5000,MATCH($A2318,'CONTROLE PRODUÇÃO POR EMPRESAS'!$A$6:$A$5000,0),1),"")),"")</f>
        <v/>
      </c>
      <c r="I2318">
        <f>IF(OR(NOT(ISNUMBER(G2318)),NOT(ISNUMBER(H2318))),"",H2318-G2318)</f>
        <v/>
      </c>
      <c r="J2318">
        <f>IF(OR(NOT(ISNUMBER(G2318)),NOT(ISNUMBER(H2318)),G2318=0),"",I2318/G2318)</f>
        <v/>
      </c>
      <c r="K2318">
        <f>IF(OR(NOT(ISNUMBER(G2318)),NOT(ISNUMBER(H2318)),G2318=0),"",H2318/G2318)</f>
        <v/>
      </c>
      <c r="L2318">
        <f>IF(NOT(ISNUMBER(G2318)),"SEM META",IF(G2318=0,"SEM META",IF(NOT(ISNUMBER(H2318)),"SEM APONTAMENTO",IF(H2318&gt;=G2318,"VERDE",IF(H2318&gt;=G2318*0.9,"AMARELO","VERMELHO")))))</f>
        <v/>
      </c>
    </row>
    <row r="2319">
      <c r="A2319" s="321" t="n">
        <v>46281</v>
      </c>
      <c r="B2319" t="inlineStr">
        <is>
          <t>GERAL</t>
        </is>
      </c>
      <c r="C2319" t="inlineStr">
        <is>
          <t>GLOBO AÇOS</t>
        </is>
      </c>
      <c r="D2319" t="inlineStr">
        <is>
          <t>TELHAR</t>
        </is>
      </c>
      <c r="F2319">
        <f>IFERROR(INDEX('BASE METAS DIÁRIAS'!$AA$2:$AC$358,MATCH($A2319,'BASE METAS DIÁRIAS'!$A$2:$A$358,0),2),"")</f>
        <v/>
      </c>
      <c r="G2319">
        <f>IFERROR(IF(WEEKDAY($A2319,2)&lt;=INDEX('BASE METAS DIÁRIAS'!$X$2:$Z$358,MATCH($A2319,'BASE METAS DIÁRIAS'!$A$2:$A$358,0),2),INDEX('BASE METAS DIÁRIAS'!$U$2:$W$358,MATCH($A2319,'BASE METAS DIÁRIAS'!$A$2:$A$358,0),2),""),"")</f>
        <v/>
      </c>
      <c r="H2319">
        <f>IFERROR(IF(INDEX('CONTROLE PRODUÇÃO POR EMPRESAS'!$H$6:$J$5000,MATCH($A2319,'CONTROLE PRODUÇÃO POR EMPRESAS'!$A$6:$A$5000,0),2)="","",IFERROR(1*INDEX('CONTROLE PRODUÇÃO POR EMPRESAS'!$H$6:$J$5000,MATCH($A2319,'CONTROLE PRODUÇÃO POR EMPRESAS'!$A$6:$A$5000,0),2),"")),"")</f>
        <v/>
      </c>
      <c r="I2319">
        <f>IF(OR(NOT(ISNUMBER(G2319)),NOT(ISNUMBER(H2319))),"",H2319-G2319)</f>
        <v/>
      </c>
      <c r="J2319">
        <f>IF(OR(NOT(ISNUMBER(G2319)),NOT(ISNUMBER(H2319)),G2319=0),"",I2319/G2319)</f>
        <v/>
      </c>
      <c r="K2319">
        <f>IF(OR(NOT(ISNUMBER(G2319)),NOT(ISNUMBER(H2319)),G2319=0),"",H2319/G2319)</f>
        <v/>
      </c>
      <c r="L2319">
        <f>IF(NOT(ISNUMBER(G2319)),"SEM META",IF(G2319=0,"SEM META",IF(NOT(ISNUMBER(H2319)),"SEM APONTAMENTO",IF(H2319&gt;=G2319,"VERDE",IF(H2319&gt;=G2319*0.9,"AMARELO","VERMELHO")))))</f>
        <v/>
      </c>
    </row>
    <row r="2320">
      <c r="A2320" s="321" t="n">
        <v>46281</v>
      </c>
      <c r="B2320" t="inlineStr">
        <is>
          <t>GERAL</t>
        </is>
      </c>
      <c r="C2320" t="inlineStr">
        <is>
          <t>GLOBO AÇOS</t>
        </is>
      </c>
      <c r="D2320" t="inlineStr">
        <is>
          <t>FECHAMENTO</t>
        </is>
      </c>
      <c r="F2320">
        <f>IFERROR(INDEX('BASE METAS DIÁRIAS'!$AA$2:$AC$358,MATCH($A2320,'BASE METAS DIÁRIAS'!$A$2:$A$358,0),3),"")</f>
        <v/>
      </c>
      <c r="G2320">
        <f>IFERROR(IF(WEEKDAY($A2320,2)&lt;=INDEX('BASE METAS DIÁRIAS'!$X$2:$Z$358,MATCH($A2320,'BASE METAS DIÁRIAS'!$A$2:$A$358,0),3),INDEX('BASE METAS DIÁRIAS'!$U$2:$W$358,MATCH($A2320,'BASE METAS DIÁRIAS'!$A$2:$A$358,0),3),""),"")</f>
        <v/>
      </c>
      <c r="H2320">
        <f>IFERROR(IF(INDEX('CONTROLE PRODUÇÃO POR EMPRESAS'!$H$6:$J$5000,MATCH($A2320,'CONTROLE PRODUÇÃO POR EMPRESAS'!$A$6:$A$5000,0),3)="","",IFERROR(1*INDEX('CONTROLE PRODUÇÃO POR EMPRESAS'!$H$6:$J$5000,MATCH($A2320,'CONTROLE PRODUÇÃO POR EMPRESAS'!$A$6:$A$5000,0),3),"")),"")</f>
        <v/>
      </c>
      <c r="I2320">
        <f>IF(OR(NOT(ISNUMBER(G2320)),NOT(ISNUMBER(H2320))),"",H2320-G2320)</f>
        <v/>
      </c>
      <c r="J2320">
        <f>IF(OR(NOT(ISNUMBER(G2320)),NOT(ISNUMBER(H2320)),G2320=0),"",I2320/G2320)</f>
        <v/>
      </c>
      <c r="K2320">
        <f>IF(OR(NOT(ISNUMBER(G2320)),NOT(ISNUMBER(H2320)),G2320=0),"",H2320/G2320)</f>
        <v/>
      </c>
      <c r="L2320">
        <f>IF(NOT(ISNUMBER(G2320)),"SEM META",IF(G2320=0,"SEM META",IF(NOT(ISNUMBER(H2320)),"SEM APONTAMENTO",IF(H2320&gt;=G2320,"VERDE",IF(H2320&gt;=G2320*0.9,"AMARELO","VERMELHO")))))</f>
        <v/>
      </c>
    </row>
    <row r="2321">
      <c r="A2321" s="321" t="n">
        <v>46282</v>
      </c>
      <c r="B2321" t="inlineStr">
        <is>
          <t>GERAL</t>
        </is>
      </c>
      <c r="C2321" t="inlineStr">
        <is>
          <t>GLOBO AÇOS</t>
        </is>
      </c>
      <c r="D2321" t="inlineStr">
        <is>
          <t>PERFILAÇÃO</t>
        </is>
      </c>
      <c r="F2321">
        <f>IFERROR(INDEX('BASE METAS DIÁRIAS'!$AA$2:$AC$358,MATCH($A2321,'BASE METAS DIÁRIAS'!$A$2:$A$358,0),1),"")</f>
        <v/>
      </c>
      <c r="G2321">
        <f>IFERROR(IF(WEEKDAY($A2321,2)&lt;=INDEX('BASE METAS DIÁRIAS'!$X$2:$Z$358,MATCH($A2321,'BASE METAS DIÁRIAS'!$A$2:$A$358,0),1),INDEX('BASE METAS DIÁRIAS'!$U$2:$W$358,MATCH($A2321,'BASE METAS DIÁRIAS'!$A$2:$A$358,0),1),""),"")</f>
        <v/>
      </c>
      <c r="H2321">
        <f>IFERROR(IF(INDEX('CONTROLE PRODUÇÃO POR EMPRESAS'!$H$6:$J$5000,MATCH($A2321,'CONTROLE PRODUÇÃO POR EMPRESAS'!$A$6:$A$5000,0),1)="","",IFERROR(1*INDEX('CONTROLE PRODUÇÃO POR EMPRESAS'!$H$6:$J$5000,MATCH($A2321,'CONTROLE PRODUÇÃO POR EMPRESAS'!$A$6:$A$5000,0),1),"")),"")</f>
        <v/>
      </c>
      <c r="I2321">
        <f>IF(OR(NOT(ISNUMBER(G2321)),NOT(ISNUMBER(H2321))),"",H2321-G2321)</f>
        <v/>
      </c>
      <c r="J2321">
        <f>IF(OR(NOT(ISNUMBER(G2321)),NOT(ISNUMBER(H2321)),G2321=0),"",I2321/G2321)</f>
        <v/>
      </c>
      <c r="K2321">
        <f>IF(OR(NOT(ISNUMBER(G2321)),NOT(ISNUMBER(H2321)),G2321=0),"",H2321/G2321)</f>
        <v/>
      </c>
      <c r="L2321">
        <f>IF(NOT(ISNUMBER(G2321)),"SEM META",IF(G2321=0,"SEM META",IF(NOT(ISNUMBER(H2321)),"SEM APONTAMENTO",IF(H2321&gt;=G2321,"VERDE",IF(H2321&gt;=G2321*0.9,"AMARELO","VERMELHO")))))</f>
        <v/>
      </c>
    </row>
    <row r="2322">
      <c r="A2322" s="321" t="n">
        <v>46282</v>
      </c>
      <c r="B2322" t="inlineStr">
        <is>
          <t>GERAL</t>
        </is>
      </c>
      <c r="C2322" t="inlineStr">
        <is>
          <t>GLOBO AÇOS</t>
        </is>
      </c>
      <c r="D2322" t="inlineStr">
        <is>
          <t>TELHAR</t>
        </is>
      </c>
      <c r="F2322">
        <f>IFERROR(INDEX('BASE METAS DIÁRIAS'!$AA$2:$AC$358,MATCH($A2322,'BASE METAS DIÁRIAS'!$A$2:$A$358,0),2),"")</f>
        <v/>
      </c>
      <c r="G2322">
        <f>IFERROR(IF(WEEKDAY($A2322,2)&lt;=INDEX('BASE METAS DIÁRIAS'!$X$2:$Z$358,MATCH($A2322,'BASE METAS DIÁRIAS'!$A$2:$A$358,0),2),INDEX('BASE METAS DIÁRIAS'!$U$2:$W$358,MATCH($A2322,'BASE METAS DIÁRIAS'!$A$2:$A$358,0),2),""),"")</f>
        <v/>
      </c>
      <c r="H2322">
        <f>IFERROR(IF(INDEX('CONTROLE PRODUÇÃO POR EMPRESAS'!$H$6:$J$5000,MATCH($A2322,'CONTROLE PRODUÇÃO POR EMPRESAS'!$A$6:$A$5000,0),2)="","",IFERROR(1*INDEX('CONTROLE PRODUÇÃO POR EMPRESAS'!$H$6:$J$5000,MATCH($A2322,'CONTROLE PRODUÇÃO POR EMPRESAS'!$A$6:$A$5000,0),2),"")),"")</f>
        <v/>
      </c>
      <c r="I2322">
        <f>IF(OR(NOT(ISNUMBER(G2322)),NOT(ISNUMBER(H2322))),"",H2322-G2322)</f>
        <v/>
      </c>
      <c r="J2322">
        <f>IF(OR(NOT(ISNUMBER(G2322)),NOT(ISNUMBER(H2322)),G2322=0),"",I2322/G2322)</f>
        <v/>
      </c>
      <c r="K2322">
        <f>IF(OR(NOT(ISNUMBER(G2322)),NOT(ISNUMBER(H2322)),G2322=0),"",H2322/G2322)</f>
        <v/>
      </c>
      <c r="L2322">
        <f>IF(NOT(ISNUMBER(G2322)),"SEM META",IF(G2322=0,"SEM META",IF(NOT(ISNUMBER(H2322)),"SEM APONTAMENTO",IF(H2322&gt;=G2322,"VERDE",IF(H2322&gt;=G2322*0.9,"AMARELO","VERMELHO")))))</f>
        <v/>
      </c>
    </row>
    <row r="2323">
      <c r="A2323" s="321" t="n">
        <v>46282</v>
      </c>
      <c r="B2323" t="inlineStr">
        <is>
          <t>GERAL</t>
        </is>
      </c>
      <c r="C2323" t="inlineStr">
        <is>
          <t>GLOBO AÇOS</t>
        </is>
      </c>
      <c r="D2323" t="inlineStr">
        <is>
          <t>FECHAMENTO</t>
        </is>
      </c>
      <c r="F2323">
        <f>IFERROR(INDEX('BASE METAS DIÁRIAS'!$AA$2:$AC$358,MATCH($A2323,'BASE METAS DIÁRIAS'!$A$2:$A$358,0),3),"")</f>
        <v/>
      </c>
      <c r="G2323">
        <f>IFERROR(IF(WEEKDAY($A2323,2)&lt;=INDEX('BASE METAS DIÁRIAS'!$X$2:$Z$358,MATCH($A2323,'BASE METAS DIÁRIAS'!$A$2:$A$358,0),3),INDEX('BASE METAS DIÁRIAS'!$U$2:$W$358,MATCH($A2323,'BASE METAS DIÁRIAS'!$A$2:$A$358,0),3),""),"")</f>
        <v/>
      </c>
      <c r="H2323">
        <f>IFERROR(IF(INDEX('CONTROLE PRODUÇÃO POR EMPRESAS'!$H$6:$J$5000,MATCH($A2323,'CONTROLE PRODUÇÃO POR EMPRESAS'!$A$6:$A$5000,0),3)="","",IFERROR(1*INDEX('CONTROLE PRODUÇÃO POR EMPRESAS'!$H$6:$J$5000,MATCH($A2323,'CONTROLE PRODUÇÃO POR EMPRESAS'!$A$6:$A$5000,0),3),"")),"")</f>
        <v/>
      </c>
      <c r="I2323">
        <f>IF(OR(NOT(ISNUMBER(G2323)),NOT(ISNUMBER(H2323))),"",H2323-G2323)</f>
        <v/>
      </c>
      <c r="J2323">
        <f>IF(OR(NOT(ISNUMBER(G2323)),NOT(ISNUMBER(H2323)),G2323=0),"",I2323/G2323)</f>
        <v/>
      </c>
      <c r="K2323">
        <f>IF(OR(NOT(ISNUMBER(G2323)),NOT(ISNUMBER(H2323)),G2323=0),"",H2323/G2323)</f>
        <v/>
      </c>
      <c r="L2323">
        <f>IF(NOT(ISNUMBER(G2323)),"SEM META",IF(G2323=0,"SEM META",IF(NOT(ISNUMBER(H2323)),"SEM APONTAMENTO",IF(H2323&gt;=G2323,"VERDE",IF(H2323&gt;=G2323*0.9,"AMARELO","VERMELHO")))))</f>
        <v/>
      </c>
    </row>
    <row r="2324">
      <c r="A2324" s="321" t="n">
        <v>46283</v>
      </c>
      <c r="B2324" t="inlineStr">
        <is>
          <t>GERAL</t>
        </is>
      </c>
      <c r="C2324" t="inlineStr">
        <is>
          <t>GLOBO AÇOS</t>
        </is>
      </c>
      <c r="D2324" t="inlineStr">
        <is>
          <t>PERFILAÇÃO</t>
        </is>
      </c>
      <c r="F2324">
        <f>IFERROR(INDEX('BASE METAS DIÁRIAS'!$AA$2:$AC$358,MATCH($A2324,'BASE METAS DIÁRIAS'!$A$2:$A$358,0),1),"")</f>
        <v/>
      </c>
      <c r="G2324">
        <f>IFERROR(IF(WEEKDAY($A2324,2)&lt;=INDEX('BASE METAS DIÁRIAS'!$X$2:$Z$358,MATCH($A2324,'BASE METAS DIÁRIAS'!$A$2:$A$358,0),1),INDEX('BASE METAS DIÁRIAS'!$U$2:$W$358,MATCH($A2324,'BASE METAS DIÁRIAS'!$A$2:$A$358,0),1),""),"")</f>
        <v/>
      </c>
      <c r="H2324">
        <f>IFERROR(IF(INDEX('CONTROLE PRODUÇÃO POR EMPRESAS'!$H$6:$J$5000,MATCH($A2324,'CONTROLE PRODUÇÃO POR EMPRESAS'!$A$6:$A$5000,0),1)="","",IFERROR(1*INDEX('CONTROLE PRODUÇÃO POR EMPRESAS'!$H$6:$J$5000,MATCH($A2324,'CONTROLE PRODUÇÃO POR EMPRESAS'!$A$6:$A$5000,0),1),"")),"")</f>
        <v/>
      </c>
      <c r="I2324">
        <f>IF(OR(NOT(ISNUMBER(G2324)),NOT(ISNUMBER(H2324))),"",H2324-G2324)</f>
        <v/>
      </c>
      <c r="J2324">
        <f>IF(OR(NOT(ISNUMBER(G2324)),NOT(ISNUMBER(H2324)),G2324=0),"",I2324/G2324)</f>
        <v/>
      </c>
      <c r="K2324">
        <f>IF(OR(NOT(ISNUMBER(G2324)),NOT(ISNUMBER(H2324)),G2324=0),"",H2324/G2324)</f>
        <v/>
      </c>
      <c r="L2324">
        <f>IF(NOT(ISNUMBER(G2324)),"SEM META",IF(G2324=0,"SEM META",IF(NOT(ISNUMBER(H2324)),"SEM APONTAMENTO",IF(H2324&gt;=G2324,"VERDE",IF(H2324&gt;=G2324*0.9,"AMARELO","VERMELHO")))))</f>
        <v/>
      </c>
    </row>
    <row r="2325">
      <c r="A2325" s="321" t="n">
        <v>46283</v>
      </c>
      <c r="B2325" t="inlineStr">
        <is>
          <t>GERAL</t>
        </is>
      </c>
      <c r="C2325" t="inlineStr">
        <is>
          <t>GLOBO AÇOS</t>
        </is>
      </c>
      <c r="D2325" t="inlineStr">
        <is>
          <t>TELHAR</t>
        </is>
      </c>
      <c r="F2325">
        <f>IFERROR(INDEX('BASE METAS DIÁRIAS'!$AA$2:$AC$358,MATCH($A2325,'BASE METAS DIÁRIAS'!$A$2:$A$358,0),2),"")</f>
        <v/>
      </c>
      <c r="G2325">
        <f>IFERROR(IF(WEEKDAY($A2325,2)&lt;=INDEX('BASE METAS DIÁRIAS'!$X$2:$Z$358,MATCH($A2325,'BASE METAS DIÁRIAS'!$A$2:$A$358,0),2),INDEX('BASE METAS DIÁRIAS'!$U$2:$W$358,MATCH($A2325,'BASE METAS DIÁRIAS'!$A$2:$A$358,0),2),""),"")</f>
        <v/>
      </c>
      <c r="H2325">
        <f>IFERROR(IF(INDEX('CONTROLE PRODUÇÃO POR EMPRESAS'!$H$6:$J$5000,MATCH($A2325,'CONTROLE PRODUÇÃO POR EMPRESAS'!$A$6:$A$5000,0),2)="","",IFERROR(1*INDEX('CONTROLE PRODUÇÃO POR EMPRESAS'!$H$6:$J$5000,MATCH($A2325,'CONTROLE PRODUÇÃO POR EMPRESAS'!$A$6:$A$5000,0),2),"")),"")</f>
        <v/>
      </c>
      <c r="I2325">
        <f>IF(OR(NOT(ISNUMBER(G2325)),NOT(ISNUMBER(H2325))),"",H2325-G2325)</f>
        <v/>
      </c>
      <c r="J2325">
        <f>IF(OR(NOT(ISNUMBER(G2325)),NOT(ISNUMBER(H2325)),G2325=0),"",I2325/G2325)</f>
        <v/>
      </c>
      <c r="K2325">
        <f>IF(OR(NOT(ISNUMBER(G2325)),NOT(ISNUMBER(H2325)),G2325=0),"",H2325/G2325)</f>
        <v/>
      </c>
      <c r="L2325">
        <f>IF(NOT(ISNUMBER(G2325)),"SEM META",IF(G2325=0,"SEM META",IF(NOT(ISNUMBER(H2325)),"SEM APONTAMENTO",IF(H2325&gt;=G2325,"VERDE",IF(H2325&gt;=G2325*0.9,"AMARELO","VERMELHO")))))</f>
        <v/>
      </c>
    </row>
    <row r="2326">
      <c r="A2326" s="321" t="n">
        <v>46283</v>
      </c>
      <c r="B2326" t="inlineStr">
        <is>
          <t>GERAL</t>
        </is>
      </c>
      <c r="C2326" t="inlineStr">
        <is>
          <t>GLOBO AÇOS</t>
        </is>
      </c>
      <c r="D2326" t="inlineStr">
        <is>
          <t>FECHAMENTO</t>
        </is>
      </c>
      <c r="F2326">
        <f>IFERROR(INDEX('BASE METAS DIÁRIAS'!$AA$2:$AC$358,MATCH($A2326,'BASE METAS DIÁRIAS'!$A$2:$A$358,0),3),"")</f>
        <v/>
      </c>
      <c r="G2326">
        <f>IFERROR(IF(WEEKDAY($A2326,2)&lt;=INDEX('BASE METAS DIÁRIAS'!$X$2:$Z$358,MATCH($A2326,'BASE METAS DIÁRIAS'!$A$2:$A$358,0),3),INDEX('BASE METAS DIÁRIAS'!$U$2:$W$358,MATCH($A2326,'BASE METAS DIÁRIAS'!$A$2:$A$358,0),3),""),"")</f>
        <v/>
      </c>
      <c r="H2326">
        <f>IFERROR(IF(INDEX('CONTROLE PRODUÇÃO POR EMPRESAS'!$H$6:$J$5000,MATCH($A2326,'CONTROLE PRODUÇÃO POR EMPRESAS'!$A$6:$A$5000,0),3)="","",IFERROR(1*INDEX('CONTROLE PRODUÇÃO POR EMPRESAS'!$H$6:$J$5000,MATCH($A2326,'CONTROLE PRODUÇÃO POR EMPRESAS'!$A$6:$A$5000,0),3),"")),"")</f>
        <v/>
      </c>
      <c r="I2326">
        <f>IF(OR(NOT(ISNUMBER(G2326)),NOT(ISNUMBER(H2326))),"",H2326-G2326)</f>
        <v/>
      </c>
      <c r="J2326">
        <f>IF(OR(NOT(ISNUMBER(G2326)),NOT(ISNUMBER(H2326)),G2326=0),"",I2326/G2326)</f>
        <v/>
      </c>
      <c r="K2326">
        <f>IF(OR(NOT(ISNUMBER(G2326)),NOT(ISNUMBER(H2326)),G2326=0),"",H2326/G2326)</f>
        <v/>
      </c>
      <c r="L2326">
        <f>IF(NOT(ISNUMBER(G2326)),"SEM META",IF(G2326=0,"SEM META",IF(NOT(ISNUMBER(H2326)),"SEM APONTAMENTO",IF(H2326&gt;=G2326,"VERDE",IF(H2326&gt;=G2326*0.9,"AMARELO","VERMELHO")))))</f>
        <v/>
      </c>
    </row>
    <row r="2327">
      <c r="A2327" s="321" t="n">
        <v>46284</v>
      </c>
      <c r="B2327" t="inlineStr">
        <is>
          <t>GERAL</t>
        </is>
      </c>
      <c r="C2327" t="inlineStr">
        <is>
          <t>GLOBO AÇOS</t>
        </is>
      </c>
      <c r="D2327" t="inlineStr">
        <is>
          <t>PERFILAÇÃO</t>
        </is>
      </c>
      <c r="F2327">
        <f>IFERROR(INDEX('BASE METAS DIÁRIAS'!$AA$2:$AC$358,MATCH($A2327,'BASE METAS DIÁRIAS'!$A$2:$A$358,0),1),"")</f>
        <v/>
      </c>
      <c r="G2327">
        <f>IFERROR(IF(WEEKDAY($A2327,2)&lt;=INDEX('BASE METAS DIÁRIAS'!$X$2:$Z$358,MATCH($A2327,'BASE METAS DIÁRIAS'!$A$2:$A$358,0),1),INDEX('BASE METAS DIÁRIAS'!$U$2:$W$358,MATCH($A2327,'BASE METAS DIÁRIAS'!$A$2:$A$358,0),1),""),"")</f>
        <v/>
      </c>
      <c r="H2327">
        <f>IFERROR(IF(INDEX('CONTROLE PRODUÇÃO POR EMPRESAS'!$H$6:$J$5000,MATCH($A2327,'CONTROLE PRODUÇÃO POR EMPRESAS'!$A$6:$A$5000,0),1)="","",IFERROR(1*INDEX('CONTROLE PRODUÇÃO POR EMPRESAS'!$H$6:$J$5000,MATCH($A2327,'CONTROLE PRODUÇÃO POR EMPRESAS'!$A$6:$A$5000,0),1),"")),"")</f>
        <v/>
      </c>
      <c r="I2327">
        <f>IF(OR(NOT(ISNUMBER(G2327)),NOT(ISNUMBER(H2327))),"",H2327-G2327)</f>
        <v/>
      </c>
      <c r="J2327">
        <f>IF(OR(NOT(ISNUMBER(G2327)),NOT(ISNUMBER(H2327)),G2327=0),"",I2327/G2327)</f>
        <v/>
      </c>
      <c r="K2327">
        <f>IF(OR(NOT(ISNUMBER(G2327)),NOT(ISNUMBER(H2327)),G2327=0),"",H2327/G2327)</f>
        <v/>
      </c>
      <c r="L2327">
        <f>IF(NOT(ISNUMBER(G2327)),"SEM META",IF(G2327=0,"SEM META",IF(NOT(ISNUMBER(H2327)),"SEM APONTAMENTO",IF(H2327&gt;=G2327,"VERDE",IF(H2327&gt;=G2327*0.9,"AMARELO","VERMELHO")))))</f>
        <v/>
      </c>
    </row>
    <row r="2328">
      <c r="A2328" s="321" t="n">
        <v>46284</v>
      </c>
      <c r="B2328" t="inlineStr">
        <is>
          <t>GERAL</t>
        </is>
      </c>
      <c r="C2328" t="inlineStr">
        <is>
          <t>GLOBO AÇOS</t>
        </is>
      </c>
      <c r="D2328" t="inlineStr">
        <is>
          <t>TELHAR</t>
        </is>
      </c>
      <c r="F2328">
        <f>IFERROR(INDEX('BASE METAS DIÁRIAS'!$AA$2:$AC$358,MATCH($A2328,'BASE METAS DIÁRIAS'!$A$2:$A$358,0),2),"")</f>
        <v/>
      </c>
      <c r="G2328">
        <f>IFERROR(IF(WEEKDAY($A2328,2)&lt;=INDEX('BASE METAS DIÁRIAS'!$X$2:$Z$358,MATCH($A2328,'BASE METAS DIÁRIAS'!$A$2:$A$358,0),2),INDEX('BASE METAS DIÁRIAS'!$U$2:$W$358,MATCH($A2328,'BASE METAS DIÁRIAS'!$A$2:$A$358,0),2),""),"")</f>
        <v/>
      </c>
      <c r="H2328">
        <f>IFERROR(IF(INDEX('CONTROLE PRODUÇÃO POR EMPRESAS'!$H$6:$J$5000,MATCH($A2328,'CONTROLE PRODUÇÃO POR EMPRESAS'!$A$6:$A$5000,0),2)="","",IFERROR(1*INDEX('CONTROLE PRODUÇÃO POR EMPRESAS'!$H$6:$J$5000,MATCH($A2328,'CONTROLE PRODUÇÃO POR EMPRESAS'!$A$6:$A$5000,0),2),"")),"")</f>
        <v/>
      </c>
      <c r="I2328">
        <f>IF(OR(NOT(ISNUMBER(G2328)),NOT(ISNUMBER(H2328))),"",H2328-G2328)</f>
        <v/>
      </c>
      <c r="J2328">
        <f>IF(OR(NOT(ISNUMBER(G2328)),NOT(ISNUMBER(H2328)),G2328=0),"",I2328/G2328)</f>
        <v/>
      </c>
      <c r="K2328">
        <f>IF(OR(NOT(ISNUMBER(G2328)),NOT(ISNUMBER(H2328)),G2328=0),"",H2328/G2328)</f>
        <v/>
      </c>
      <c r="L2328">
        <f>IF(NOT(ISNUMBER(G2328)),"SEM META",IF(G2328=0,"SEM META",IF(NOT(ISNUMBER(H2328)),"SEM APONTAMENTO",IF(H2328&gt;=G2328,"VERDE",IF(H2328&gt;=G2328*0.9,"AMARELO","VERMELHO")))))</f>
        <v/>
      </c>
    </row>
    <row r="2329">
      <c r="A2329" s="321" t="n">
        <v>46284</v>
      </c>
      <c r="B2329" t="inlineStr">
        <is>
          <t>GERAL</t>
        </is>
      </c>
      <c r="C2329" t="inlineStr">
        <is>
          <t>GLOBO AÇOS</t>
        </is>
      </c>
      <c r="D2329" t="inlineStr">
        <is>
          <t>FECHAMENTO</t>
        </is>
      </c>
      <c r="F2329">
        <f>IFERROR(INDEX('BASE METAS DIÁRIAS'!$AA$2:$AC$358,MATCH($A2329,'BASE METAS DIÁRIAS'!$A$2:$A$358,0),3),"")</f>
        <v/>
      </c>
      <c r="G2329">
        <f>IFERROR(IF(WEEKDAY($A2329,2)&lt;=INDEX('BASE METAS DIÁRIAS'!$X$2:$Z$358,MATCH($A2329,'BASE METAS DIÁRIAS'!$A$2:$A$358,0),3),INDEX('BASE METAS DIÁRIAS'!$U$2:$W$358,MATCH($A2329,'BASE METAS DIÁRIAS'!$A$2:$A$358,0),3),""),"")</f>
        <v/>
      </c>
      <c r="H2329">
        <f>IFERROR(IF(INDEX('CONTROLE PRODUÇÃO POR EMPRESAS'!$H$6:$J$5000,MATCH($A2329,'CONTROLE PRODUÇÃO POR EMPRESAS'!$A$6:$A$5000,0),3)="","",IFERROR(1*INDEX('CONTROLE PRODUÇÃO POR EMPRESAS'!$H$6:$J$5000,MATCH($A2329,'CONTROLE PRODUÇÃO POR EMPRESAS'!$A$6:$A$5000,0),3),"")),"")</f>
        <v/>
      </c>
      <c r="I2329">
        <f>IF(OR(NOT(ISNUMBER(G2329)),NOT(ISNUMBER(H2329))),"",H2329-G2329)</f>
        <v/>
      </c>
      <c r="J2329">
        <f>IF(OR(NOT(ISNUMBER(G2329)),NOT(ISNUMBER(H2329)),G2329=0),"",I2329/G2329)</f>
        <v/>
      </c>
      <c r="K2329">
        <f>IF(OR(NOT(ISNUMBER(G2329)),NOT(ISNUMBER(H2329)),G2329=0),"",H2329/G2329)</f>
        <v/>
      </c>
      <c r="L2329">
        <f>IF(NOT(ISNUMBER(G2329)),"SEM META",IF(G2329=0,"SEM META",IF(NOT(ISNUMBER(H2329)),"SEM APONTAMENTO",IF(H2329&gt;=G2329,"VERDE",IF(H2329&gt;=G2329*0.9,"AMARELO","VERMELHO")))))</f>
        <v/>
      </c>
    </row>
    <row r="2330">
      <c r="A2330" s="321" t="n">
        <v>46285</v>
      </c>
      <c r="B2330" t="inlineStr">
        <is>
          <t>GERAL</t>
        </is>
      </c>
      <c r="C2330" t="inlineStr">
        <is>
          <t>GLOBO AÇOS</t>
        </is>
      </c>
      <c r="D2330" t="inlineStr">
        <is>
          <t>PERFILAÇÃO</t>
        </is>
      </c>
      <c r="F2330">
        <f>IFERROR(INDEX('BASE METAS DIÁRIAS'!$AA$2:$AC$358,MATCH($A2330,'BASE METAS DIÁRIAS'!$A$2:$A$358,0),1),"")</f>
        <v/>
      </c>
      <c r="G2330">
        <f>IFERROR(IF(WEEKDAY($A2330,2)&lt;=INDEX('BASE METAS DIÁRIAS'!$X$2:$Z$358,MATCH($A2330,'BASE METAS DIÁRIAS'!$A$2:$A$358,0),1),INDEX('BASE METAS DIÁRIAS'!$U$2:$W$358,MATCH($A2330,'BASE METAS DIÁRIAS'!$A$2:$A$358,0),1),""),"")</f>
        <v/>
      </c>
      <c r="H2330">
        <f>IFERROR(IF(INDEX('CONTROLE PRODUÇÃO POR EMPRESAS'!$H$6:$J$5000,MATCH($A2330,'CONTROLE PRODUÇÃO POR EMPRESAS'!$A$6:$A$5000,0),1)="","",IFERROR(1*INDEX('CONTROLE PRODUÇÃO POR EMPRESAS'!$H$6:$J$5000,MATCH($A2330,'CONTROLE PRODUÇÃO POR EMPRESAS'!$A$6:$A$5000,0),1),"")),"")</f>
        <v/>
      </c>
      <c r="I2330">
        <f>IF(OR(NOT(ISNUMBER(G2330)),NOT(ISNUMBER(H2330))),"",H2330-G2330)</f>
        <v/>
      </c>
      <c r="J2330">
        <f>IF(OR(NOT(ISNUMBER(G2330)),NOT(ISNUMBER(H2330)),G2330=0),"",I2330/G2330)</f>
        <v/>
      </c>
      <c r="K2330">
        <f>IF(OR(NOT(ISNUMBER(G2330)),NOT(ISNUMBER(H2330)),G2330=0),"",H2330/G2330)</f>
        <v/>
      </c>
      <c r="L2330">
        <f>IF(NOT(ISNUMBER(G2330)),"SEM META",IF(G2330=0,"SEM META",IF(NOT(ISNUMBER(H2330)),"SEM APONTAMENTO",IF(H2330&gt;=G2330,"VERDE",IF(H2330&gt;=G2330*0.9,"AMARELO","VERMELHO")))))</f>
        <v/>
      </c>
    </row>
    <row r="2331">
      <c r="A2331" s="321" t="n">
        <v>46285</v>
      </c>
      <c r="B2331" t="inlineStr">
        <is>
          <t>GERAL</t>
        </is>
      </c>
      <c r="C2331" t="inlineStr">
        <is>
          <t>GLOBO AÇOS</t>
        </is>
      </c>
      <c r="D2331" t="inlineStr">
        <is>
          <t>TELHAR</t>
        </is>
      </c>
      <c r="F2331">
        <f>IFERROR(INDEX('BASE METAS DIÁRIAS'!$AA$2:$AC$358,MATCH($A2331,'BASE METAS DIÁRIAS'!$A$2:$A$358,0),2),"")</f>
        <v/>
      </c>
      <c r="G2331">
        <f>IFERROR(IF(WEEKDAY($A2331,2)&lt;=INDEX('BASE METAS DIÁRIAS'!$X$2:$Z$358,MATCH($A2331,'BASE METAS DIÁRIAS'!$A$2:$A$358,0),2),INDEX('BASE METAS DIÁRIAS'!$U$2:$W$358,MATCH($A2331,'BASE METAS DIÁRIAS'!$A$2:$A$358,0),2),""),"")</f>
        <v/>
      </c>
      <c r="H2331">
        <f>IFERROR(IF(INDEX('CONTROLE PRODUÇÃO POR EMPRESAS'!$H$6:$J$5000,MATCH($A2331,'CONTROLE PRODUÇÃO POR EMPRESAS'!$A$6:$A$5000,0),2)="","",IFERROR(1*INDEX('CONTROLE PRODUÇÃO POR EMPRESAS'!$H$6:$J$5000,MATCH($A2331,'CONTROLE PRODUÇÃO POR EMPRESAS'!$A$6:$A$5000,0),2),"")),"")</f>
        <v/>
      </c>
      <c r="I2331">
        <f>IF(OR(NOT(ISNUMBER(G2331)),NOT(ISNUMBER(H2331))),"",H2331-G2331)</f>
        <v/>
      </c>
      <c r="J2331">
        <f>IF(OR(NOT(ISNUMBER(G2331)),NOT(ISNUMBER(H2331)),G2331=0),"",I2331/G2331)</f>
        <v/>
      </c>
      <c r="K2331">
        <f>IF(OR(NOT(ISNUMBER(G2331)),NOT(ISNUMBER(H2331)),G2331=0),"",H2331/G2331)</f>
        <v/>
      </c>
      <c r="L2331">
        <f>IF(NOT(ISNUMBER(G2331)),"SEM META",IF(G2331=0,"SEM META",IF(NOT(ISNUMBER(H2331)),"SEM APONTAMENTO",IF(H2331&gt;=G2331,"VERDE",IF(H2331&gt;=G2331*0.9,"AMARELO","VERMELHO")))))</f>
        <v/>
      </c>
    </row>
    <row r="2332">
      <c r="A2332" s="321" t="n">
        <v>46285</v>
      </c>
      <c r="B2332" t="inlineStr">
        <is>
          <t>GERAL</t>
        </is>
      </c>
      <c r="C2332" t="inlineStr">
        <is>
          <t>GLOBO AÇOS</t>
        </is>
      </c>
      <c r="D2332" t="inlineStr">
        <is>
          <t>FECHAMENTO</t>
        </is>
      </c>
      <c r="F2332">
        <f>IFERROR(INDEX('BASE METAS DIÁRIAS'!$AA$2:$AC$358,MATCH($A2332,'BASE METAS DIÁRIAS'!$A$2:$A$358,0),3),"")</f>
        <v/>
      </c>
      <c r="G2332">
        <f>IFERROR(IF(WEEKDAY($A2332,2)&lt;=INDEX('BASE METAS DIÁRIAS'!$X$2:$Z$358,MATCH($A2332,'BASE METAS DIÁRIAS'!$A$2:$A$358,0),3),INDEX('BASE METAS DIÁRIAS'!$U$2:$W$358,MATCH($A2332,'BASE METAS DIÁRIAS'!$A$2:$A$358,0),3),""),"")</f>
        <v/>
      </c>
      <c r="H2332">
        <f>IFERROR(IF(INDEX('CONTROLE PRODUÇÃO POR EMPRESAS'!$H$6:$J$5000,MATCH($A2332,'CONTROLE PRODUÇÃO POR EMPRESAS'!$A$6:$A$5000,0),3)="","",IFERROR(1*INDEX('CONTROLE PRODUÇÃO POR EMPRESAS'!$H$6:$J$5000,MATCH($A2332,'CONTROLE PRODUÇÃO POR EMPRESAS'!$A$6:$A$5000,0),3),"")),"")</f>
        <v/>
      </c>
      <c r="I2332">
        <f>IF(OR(NOT(ISNUMBER(G2332)),NOT(ISNUMBER(H2332))),"",H2332-G2332)</f>
        <v/>
      </c>
      <c r="J2332">
        <f>IF(OR(NOT(ISNUMBER(G2332)),NOT(ISNUMBER(H2332)),G2332=0),"",I2332/G2332)</f>
        <v/>
      </c>
      <c r="K2332">
        <f>IF(OR(NOT(ISNUMBER(G2332)),NOT(ISNUMBER(H2332)),G2332=0),"",H2332/G2332)</f>
        <v/>
      </c>
      <c r="L2332">
        <f>IF(NOT(ISNUMBER(G2332)),"SEM META",IF(G2332=0,"SEM META",IF(NOT(ISNUMBER(H2332)),"SEM APONTAMENTO",IF(H2332&gt;=G2332,"VERDE",IF(H2332&gt;=G2332*0.9,"AMARELO","VERMELHO")))))</f>
        <v/>
      </c>
    </row>
    <row r="2333">
      <c r="A2333" s="321" t="n">
        <v>46286</v>
      </c>
      <c r="B2333" t="inlineStr">
        <is>
          <t>GERAL</t>
        </is>
      </c>
      <c r="C2333" t="inlineStr">
        <is>
          <t>GLOBO AÇOS</t>
        </is>
      </c>
      <c r="D2333" t="inlineStr">
        <is>
          <t>PERFILAÇÃO</t>
        </is>
      </c>
      <c r="F2333">
        <f>IFERROR(INDEX('BASE METAS DIÁRIAS'!$AA$2:$AC$358,MATCH($A2333,'BASE METAS DIÁRIAS'!$A$2:$A$358,0),1),"")</f>
        <v/>
      </c>
      <c r="G2333">
        <f>IFERROR(IF(WEEKDAY($A2333,2)&lt;=INDEX('BASE METAS DIÁRIAS'!$X$2:$Z$358,MATCH($A2333,'BASE METAS DIÁRIAS'!$A$2:$A$358,0),1),INDEX('BASE METAS DIÁRIAS'!$U$2:$W$358,MATCH($A2333,'BASE METAS DIÁRIAS'!$A$2:$A$358,0),1),""),"")</f>
        <v/>
      </c>
      <c r="H2333">
        <f>IFERROR(IF(INDEX('CONTROLE PRODUÇÃO POR EMPRESAS'!$H$6:$J$5000,MATCH($A2333,'CONTROLE PRODUÇÃO POR EMPRESAS'!$A$6:$A$5000,0),1)="","",IFERROR(1*INDEX('CONTROLE PRODUÇÃO POR EMPRESAS'!$H$6:$J$5000,MATCH($A2333,'CONTROLE PRODUÇÃO POR EMPRESAS'!$A$6:$A$5000,0),1),"")),"")</f>
        <v/>
      </c>
      <c r="I2333">
        <f>IF(OR(NOT(ISNUMBER(G2333)),NOT(ISNUMBER(H2333))),"",H2333-G2333)</f>
        <v/>
      </c>
      <c r="J2333">
        <f>IF(OR(NOT(ISNUMBER(G2333)),NOT(ISNUMBER(H2333)),G2333=0),"",I2333/G2333)</f>
        <v/>
      </c>
      <c r="K2333">
        <f>IF(OR(NOT(ISNUMBER(G2333)),NOT(ISNUMBER(H2333)),G2333=0),"",H2333/G2333)</f>
        <v/>
      </c>
      <c r="L2333">
        <f>IF(NOT(ISNUMBER(G2333)),"SEM META",IF(G2333=0,"SEM META",IF(NOT(ISNUMBER(H2333)),"SEM APONTAMENTO",IF(H2333&gt;=G2333,"VERDE",IF(H2333&gt;=G2333*0.9,"AMARELO","VERMELHO")))))</f>
        <v/>
      </c>
    </row>
    <row r="2334">
      <c r="A2334" s="321" t="n">
        <v>46286</v>
      </c>
      <c r="B2334" t="inlineStr">
        <is>
          <t>GERAL</t>
        </is>
      </c>
      <c r="C2334" t="inlineStr">
        <is>
          <t>GLOBO AÇOS</t>
        </is>
      </c>
      <c r="D2334" t="inlineStr">
        <is>
          <t>TELHAR</t>
        </is>
      </c>
      <c r="F2334">
        <f>IFERROR(INDEX('BASE METAS DIÁRIAS'!$AA$2:$AC$358,MATCH($A2334,'BASE METAS DIÁRIAS'!$A$2:$A$358,0),2),"")</f>
        <v/>
      </c>
      <c r="G2334">
        <f>IFERROR(IF(WEEKDAY($A2334,2)&lt;=INDEX('BASE METAS DIÁRIAS'!$X$2:$Z$358,MATCH($A2334,'BASE METAS DIÁRIAS'!$A$2:$A$358,0),2),INDEX('BASE METAS DIÁRIAS'!$U$2:$W$358,MATCH($A2334,'BASE METAS DIÁRIAS'!$A$2:$A$358,0),2),""),"")</f>
        <v/>
      </c>
      <c r="H2334">
        <f>IFERROR(IF(INDEX('CONTROLE PRODUÇÃO POR EMPRESAS'!$H$6:$J$5000,MATCH($A2334,'CONTROLE PRODUÇÃO POR EMPRESAS'!$A$6:$A$5000,0),2)="","",IFERROR(1*INDEX('CONTROLE PRODUÇÃO POR EMPRESAS'!$H$6:$J$5000,MATCH($A2334,'CONTROLE PRODUÇÃO POR EMPRESAS'!$A$6:$A$5000,0),2),"")),"")</f>
        <v/>
      </c>
      <c r="I2334">
        <f>IF(OR(NOT(ISNUMBER(G2334)),NOT(ISNUMBER(H2334))),"",H2334-G2334)</f>
        <v/>
      </c>
      <c r="J2334">
        <f>IF(OR(NOT(ISNUMBER(G2334)),NOT(ISNUMBER(H2334)),G2334=0),"",I2334/G2334)</f>
        <v/>
      </c>
      <c r="K2334">
        <f>IF(OR(NOT(ISNUMBER(G2334)),NOT(ISNUMBER(H2334)),G2334=0),"",H2334/G2334)</f>
        <v/>
      </c>
      <c r="L2334">
        <f>IF(NOT(ISNUMBER(G2334)),"SEM META",IF(G2334=0,"SEM META",IF(NOT(ISNUMBER(H2334)),"SEM APONTAMENTO",IF(H2334&gt;=G2334,"VERDE",IF(H2334&gt;=G2334*0.9,"AMARELO","VERMELHO")))))</f>
        <v/>
      </c>
    </row>
    <row r="2335">
      <c r="A2335" s="321" t="n">
        <v>46286</v>
      </c>
      <c r="B2335" t="inlineStr">
        <is>
          <t>GERAL</t>
        </is>
      </c>
      <c r="C2335" t="inlineStr">
        <is>
          <t>GLOBO AÇOS</t>
        </is>
      </c>
      <c r="D2335" t="inlineStr">
        <is>
          <t>FECHAMENTO</t>
        </is>
      </c>
      <c r="F2335">
        <f>IFERROR(INDEX('BASE METAS DIÁRIAS'!$AA$2:$AC$358,MATCH($A2335,'BASE METAS DIÁRIAS'!$A$2:$A$358,0),3),"")</f>
        <v/>
      </c>
      <c r="G2335">
        <f>IFERROR(IF(WEEKDAY($A2335,2)&lt;=INDEX('BASE METAS DIÁRIAS'!$X$2:$Z$358,MATCH($A2335,'BASE METAS DIÁRIAS'!$A$2:$A$358,0),3),INDEX('BASE METAS DIÁRIAS'!$U$2:$W$358,MATCH($A2335,'BASE METAS DIÁRIAS'!$A$2:$A$358,0),3),""),"")</f>
        <v/>
      </c>
      <c r="H2335">
        <f>IFERROR(IF(INDEX('CONTROLE PRODUÇÃO POR EMPRESAS'!$H$6:$J$5000,MATCH($A2335,'CONTROLE PRODUÇÃO POR EMPRESAS'!$A$6:$A$5000,0),3)="","",IFERROR(1*INDEX('CONTROLE PRODUÇÃO POR EMPRESAS'!$H$6:$J$5000,MATCH($A2335,'CONTROLE PRODUÇÃO POR EMPRESAS'!$A$6:$A$5000,0),3),"")),"")</f>
        <v/>
      </c>
      <c r="I2335">
        <f>IF(OR(NOT(ISNUMBER(G2335)),NOT(ISNUMBER(H2335))),"",H2335-G2335)</f>
        <v/>
      </c>
      <c r="J2335">
        <f>IF(OR(NOT(ISNUMBER(G2335)),NOT(ISNUMBER(H2335)),G2335=0),"",I2335/G2335)</f>
        <v/>
      </c>
      <c r="K2335">
        <f>IF(OR(NOT(ISNUMBER(G2335)),NOT(ISNUMBER(H2335)),G2335=0),"",H2335/G2335)</f>
        <v/>
      </c>
      <c r="L2335">
        <f>IF(NOT(ISNUMBER(G2335)),"SEM META",IF(G2335=0,"SEM META",IF(NOT(ISNUMBER(H2335)),"SEM APONTAMENTO",IF(H2335&gt;=G2335,"VERDE",IF(H2335&gt;=G2335*0.9,"AMARELO","VERMELHO")))))</f>
        <v/>
      </c>
    </row>
    <row r="2336">
      <c r="A2336" s="321" t="n">
        <v>46287</v>
      </c>
      <c r="B2336" t="inlineStr">
        <is>
          <t>GERAL</t>
        </is>
      </c>
      <c r="C2336" t="inlineStr">
        <is>
          <t>GLOBO AÇOS</t>
        </is>
      </c>
      <c r="D2336" t="inlineStr">
        <is>
          <t>PERFILAÇÃO</t>
        </is>
      </c>
      <c r="F2336">
        <f>IFERROR(INDEX('BASE METAS DIÁRIAS'!$AA$2:$AC$358,MATCH($A2336,'BASE METAS DIÁRIAS'!$A$2:$A$358,0),1),"")</f>
        <v/>
      </c>
      <c r="G2336">
        <f>IFERROR(IF(WEEKDAY($A2336,2)&lt;=INDEX('BASE METAS DIÁRIAS'!$X$2:$Z$358,MATCH($A2336,'BASE METAS DIÁRIAS'!$A$2:$A$358,0),1),INDEX('BASE METAS DIÁRIAS'!$U$2:$W$358,MATCH($A2336,'BASE METAS DIÁRIAS'!$A$2:$A$358,0),1),""),"")</f>
        <v/>
      </c>
      <c r="H2336">
        <f>IFERROR(IF(INDEX('CONTROLE PRODUÇÃO POR EMPRESAS'!$H$6:$J$5000,MATCH($A2336,'CONTROLE PRODUÇÃO POR EMPRESAS'!$A$6:$A$5000,0),1)="","",IFERROR(1*INDEX('CONTROLE PRODUÇÃO POR EMPRESAS'!$H$6:$J$5000,MATCH($A2336,'CONTROLE PRODUÇÃO POR EMPRESAS'!$A$6:$A$5000,0),1),"")),"")</f>
        <v/>
      </c>
      <c r="I2336">
        <f>IF(OR(NOT(ISNUMBER(G2336)),NOT(ISNUMBER(H2336))),"",H2336-G2336)</f>
        <v/>
      </c>
      <c r="J2336">
        <f>IF(OR(NOT(ISNUMBER(G2336)),NOT(ISNUMBER(H2336)),G2336=0),"",I2336/G2336)</f>
        <v/>
      </c>
      <c r="K2336">
        <f>IF(OR(NOT(ISNUMBER(G2336)),NOT(ISNUMBER(H2336)),G2336=0),"",H2336/G2336)</f>
        <v/>
      </c>
      <c r="L2336">
        <f>IF(NOT(ISNUMBER(G2336)),"SEM META",IF(G2336=0,"SEM META",IF(NOT(ISNUMBER(H2336)),"SEM APONTAMENTO",IF(H2336&gt;=G2336,"VERDE",IF(H2336&gt;=G2336*0.9,"AMARELO","VERMELHO")))))</f>
        <v/>
      </c>
    </row>
    <row r="2337">
      <c r="A2337" s="321" t="n">
        <v>46287</v>
      </c>
      <c r="B2337" t="inlineStr">
        <is>
          <t>GERAL</t>
        </is>
      </c>
      <c r="C2337" t="inlineStr">
        <is>
          <t>GLOBO AÇOS</t>
        </is>
      </c>
      <c r="D2337" t="inlineStr">
        <is>
          <t>TELHAR</t>
        </is>
      </c>
      <c r="F2337">
        <f>IFERROR(INDEX('BASE METAS DIÁRIAS'!$AA$2:$AC$358,MATCH($A2337,'BASE METAS DIÁRIAS'!$A$2:$A$358,0),2),"")</f>
        <v/>
      </c>
      <c r="G2337">
        <f>IFERROR(IF(WEEKDAY($A2337,2)&lt;=INDEX('BASE METAS DIÁRIAS'!$X$2:$Z$358,MATCH($A2337,'BASE METAS DIÁRIAS'!$A$2:$A$358,0),2),INDEX('BASE METAS DIÁRIAS'!$U$2:$W$358,MATCH($A2337,'BASE METAS DIÁRIAS'!$A$2:$A$358,0),2),""),"")</f>
        <v/>
      </c>
      <c r="H2337">
        <f>IFERROR(IF(INDEX('CONTROLE PRODUÇÃO POR EMPRESAS'!$H$6:$J$5000,MATCH($A2337,'CONTROLE PRODUÇÃO POR EMPRESAS'!$A$6:$A$5000,0),2)="","",IFERROR(1*INDEX('CONTROLE PRODUÇÃO POR EMPRESAS'!$H$6:$J$5000,MATCH($A2337,'CONTROLE PRODUÇÃO POR EMPRESAS'!$A$6:$A$5000,0),2),"")),"")</f>
        <v/>
      </c>
      <c r="I2337">
        <f>IF(OR(NOT(ISNUMBER(G2337)),NOT(ISNUMBER(H2337))),"",H2337-G2337)</f>
        <v/>
      </c>
      <c r="J2337">
        <f>IF(OR(NOT(ISNUMBER(G2337)),NOT(ISNUMBER(H2337)),G2337=0),"",I2337/G2337)</f>
        <v/>
      </c>
      <c r="K2337">
        <f>IF(OR(NOT(ISNUMBER(G2337)),NOT(ISNUMBER(H2337)),G2337=0),"",H2337/G2337)</f>
        <v/>
      </c>
      <c r="L2337">
        <f>IF(NOT(ISNUMBER(G2337)),"SEM META",IF(G2337=0,"SEM META",IF(NOT(ISNUMBER(H2337)),"SEM APONTAMENTO",IF(H2337&gt;=G2337,"VERDE",IF(H2337&gt;=G2337*0.9,"AMARELO","VERMELHO")))))</f>
        <v/>
      </c>
    </row>
    <row r="2338">
      <c r="A2338" s="321" t="n">
        <v>46287</v>
      </c>
      <c r="B2338" t="inlineStr">
        <is>
          <t>GERAL</t>
        </is>
      </c>
      <c r="C2338" t="inlineStr">
        <is>
          <t>GLOBO AÇOS</t>
        </is>
      </c>
      <c r="D2338" t="inlineStr">
        <is>
          <t>FECHAMENTO</t>
        </is>
      </c>
      <c r="F2338">
        <f>IFERROR(INDEX('BASE METAS DIÁRIAS'!$AA$2:$AC$358,MATCH($A2338,'BASE METAS DIÁRIAS'!$A$2:$A$358,0),3),"")</f>
        <v/>
      </c>
      <c r="G2338">
        <f>IFERROR(IF(WEEKDAY($A2338,2)&lt;=INDEX('BASE METAS DIÁRIAS'!$X$2:$Z$358,MATCH($A2338,'BASE METAS DIÁRIAS'!$A$2:$A$358,0),3),INDEX('BASE METAS DIÁRIAS'!$U$2:$W$358,MATCH($A2338,'BASE METAS DIÁRIAS'!$A$2:$A$358,0),3),""),"")</f>
        <v/>
      </c>
      <c r="H2338">
        <f>IFERROR(IF(INDEX('CONTROLE PRODUÇÃO POR EMPRESAS'!$H$6:$J$5000,MATCH($A2338,'CONTROLE PRODUÇÃO POR EMPRESAS'!$A$6:$A$5000,0),3)="","",IFERROR(1*INDEX('CONTROLE PRODUÇÃO POR EMPRESAS'!$H$6:$J$5000,MATCH($A2338,'CONTROLE PRODUÇÃO POR EMPRESAS'!$A$6:$A$5000,0),3),"")),"")</f>
        <v/>
      </c>
      <c r="I2338">
        <f>IF(OR(NOT(ISNUMBER(G2338)),NOT(ISNUMBER(H2338))),"",H2338-G2338)</f>
        <v/>
      </c>
      <c r="J2338">
        <f>IF(OR(NOT(ISNUMBER(G2338)),NOT(ISNUMBER(H2338)),G2338=0),"",I2338/G2338)</f>
        <v/>
      </c>
      <c r="K2338">
        <f>IF(OR(NOT(ISNUMBER(G2338)),NOT(ISNUMBER(H2338)),G2338=0),"",H2338/G2338)</f>
        <v/>
      </c>
      <c r="L2338">
        <f>IF(NOT(ISNUMBER(G2338)),"SEM META",IF(G2338=0,"SEM META",IF(NOT(ISNUMBER(H2338)),"SEM APONTAMENTO",IF(H2338&gt;=G2338,"VERDE",IF(H2338&gt;=G2338*0.9,"AMARELO","VERMELHO")))))</f>
        <v/>
      </c>
    </row>
    <row r="2339">
      <c r="A2339" s="321" t="n">
        <v>46288</v>
      </c>
      <c r="B2339" t="inlineStr">
        <is>
          <t>GERAL</t>
        </is>
      </c>
      <c r="C2339" t="inlineStr">
        <is>
          <t>GLOBO AÇOS</t>
        </is>
      </c>
      <c r="D2339" t="inlineStr">
        <is>
          <t>PERFILAÇÃO</t>
        </is>
      </c>
      <c r="F2339">
        <f>IFERROR(INDEX('BASE METAS DIÁRIAS'!$AA$2:$AC$358,MATCH($A2339,'BASE METAS DIÁRIAS'!$A$2:$A$358,0),1),"")</f>
        <v/>
      </c>
      <c r="G2339">
        <f>IFERROR(IF(WEEKDAY($A2339,2)&lt;=INDEX('BASE METAS DIÁRIAS'!$X$2:$Z$358,MATCH($A2339,'BASE METAS DIÁRIAS'!$A$2:$A$358,0),1),INDEX('BASE METAS DIÁRIAS'!$U$2:$W$358,MATCH($A2339,'BASE METAS DIÁRIAS'!$A$2:$A$358,0),1),""),"")</f>
        <v/>
      </c>
      <c r="H2339">
        <f>IFERROR(IF(INDEX('CONTROLE PRODUÇÃO POR EMPRESAS'!$H$6:$J$5000,MATCH($A2339,'CONTROLE PRODUÇÃO POR EMPRESAS'!$A$6:$A$5000,0),1)="","",IFERROR(1*INDEX('CONTROLE PRODUÇÃO POR EMPRESAS'!$H$6:$J$5000,MATCH($A2339,'CONTROLE PRODUÇÃO POR EMPRESAS'!$A$6:$A$5000,0),1),"")),"")</f>
        <v/>
      </c>
      <c r="I2339">
        <f>IF(OR(NOT(ISNUMBER(G2339)),NOT(ISNUMBER(H2339))),"",H2339-G2339)</f>
        <v/>
      </c>
      <c r="J2339">
        <f>IF(OR(NOT(ISNUMBER(G2339)),NOT(ISNUMBER(H2339)),G2339=0),"",I2339/G2339)</f>
        <v/>
      </c>
      <c r="K2339">
        <f>IF(OR(NOT(ISNUMBER(G2339)),NOT(ISNUMBER(H2339)),G2339=0),"",H2339/G2339)</f>
        <v/>
      </c>
      <c r="L2339">
        <f>IF(NOT(ISNUMBER(G2339)),"SEM META",IF(G2339=0,"SEM META",IF(NOT(ISNUMBER(H2339)),"SEM APONTAMENTO",IF(H2339&gt;=G2339,"VERDE",IF(H2339&gt;=G2339*0.9,"AMARELO","VERMELHO")))))</f>
        <v/>
      </c>
    </row>
    <row r="2340">
      <c r="A2340" s="321" t="n">
        <v>46288</v>
      </c>
      <c r="B2340" t="inlineStr">
        <is>
          <t>GERAL</t>
        </is>
      </c>
      <c r="C2340" t="inlineStr">
        <is>
          <t>GLOBO AÇOS</t>
        </is>
      </c>
      <c r="D2340" t="inlineStr">
        <is>
          <t>TELHAR</t>
        </is>
      </c>
      <c r="F2340">
        <f>IFERROR(INDEX('BASE METAS DIÁRIAS'!$AA$2:$AC$358,MATCH($A2340,'BASE METAS DIÁRIAS'!$A$2:$A$358,0),2),"")</f>
        <v/>
      </c>
      <c r="G2340">
        <f>IFERROR(IF(WEEKDAY($A2340,2)&lt;=INDEX('BASE METAS DIÁRIAS'!$X$2:$Z$358,MATCH($A2340,'BASE METAS DIÁRIAS'!$A$2:$A$358,0),2),INDEX('BASE METAS DIÁRIAS'!$U$2:$W$358,MATCH($A2340,'BASE METAS DIÁRIAS'!$A$2:$A$358,0),2),""),"")</f>
        <v/>
      </c>
      <c r="H2340">
        <f>IFERROR(IF(INDEX('CONTROLE PRODUÇÃO POR EMPRESAS'!$H$6:$J$5000,MATCH($A2340,'CONTROLE PRODUÇÃO POR EMPRESAS'!$A$6:$A$5000,0),2)="","",IFERROR(1*INDEX('CONTROLE PRODUÇÃO POR EMPRESAS'!$H$6:$J$5000,MATCH($A2340,'CONTROLE PRODUÇÃO POR EMPRESAS'!$A$6:$A$5000,0),2),"")),"")</f>
        <v/>
      </c>
      <c r="I2340">
        <f>IF(OR(NOT(ISNUMBER(G2340)),NOT(ISNUMBER(H2340))),"",H2340-G2340)</f>
        <v/>
      </c>
      <c r="J2340">
        <f>IF(OR(NOT(ISNUMBER(G2340)),NOT(ISNUMBER(H2340)),G2340=0),"",I2340/G2340)</f>
        <v/>
      </c>
      <c r="K2340">
        <f>IF(OR(NOT(ISNUMBER(G2340)),NOT(ISNUMBER(H2340)),G2340=0),"",H2340/G2340)</f>
        <v/>
      </c>
      <c r="L2340">
        <f>IF(NOT(ISNUMBER(G2340)),"SEM META",IF(G2340=0,"SEM META",IF(NOT(ISNUMBER(H2340)),"SEM APONTAMENTO",IF(H2340&gt;=G2340,"VERDE",IF(H2340&gt;=G2340*0.9,"AMARELO","VERMELHO")))))</f>
        <v/>
      </c>
    </row>
    <row r="2341">
      <c r="A2341" s="321" t="n">
        <v>46288</v>
      </c>
      <c r="B2341" t="inlineStr">
        <is>
          <t>GERAL</t>
        </is>
      </c>
      <c r="C2341" t="inlineStr">
        <is>
          <t>GLOBO AÇOS</t>
        </is>
      </c>
      <c r="D2341" t="inlineStr">
        <is>
          <t>FECHAMENTO</t>
        </is>
      </c>
      <c r="F2341">
        <f>IFERROR(INDEX('BASE METAS DIÁRIAS'!$AA$2:$AC$358,MATCH($A2341,'BASE METAS DIÁRIAS'!$A$2:$A$358,0),3),"")</f>
        <v/>
      </c>
      <c r="G2341">
        <f>IFERROR(IF(WEEKDAY($A2341,2)&lt;=INDEX('BASE METAS DIÁRIAS'!$X$2:$Z$358,MATCH($A2341,'BASE METAS DIÁRIAS'!$A$2:$A$358,0),3),INDEX('BASE METAS DIÁRIAS'!$U$2:$W$358,MATCH($A2341,'BASE METAS DIÁRIAS'!$A$2:$A$358,0),3),""),"")</f>
        <v/>
      </c>
      <c r="H2341">
        <f>IFERROR(IF(INDEX('CONTROLE PRODUÇÃO POR EMPRESAS'!$H$6:$J$5000,MATCH($A2341,'CONTROLE PRODUÇÃO POR EMPRESAS'!$A$6:$A$5000,0),3)="","",IFERROR(1*INDEX('CONTROLE PRODUÇÃO POR EMPRESAS'!$H$6:$J$5000,MATCH($A2341,'CONTROLE PRODUÇÃO POR EMPRESAS'!$A$6:$A$5000,0),3),"")),"")</f>
        <v/>
      </c>
      <c r="I2341">
        <f>IF(OR(NOT(ISNUMBER(G2341)),NOT(ISNUMBER(H2341))),"",H2341-G2341)</f>
        <v/>
      </c>
      <c r="J2341">
        <f>IF(OR(NOT(ISNUMBER(G2341)),NOT(ISNUMBER(H2341)),G2341=0),"",I2341/G2341)</f>
        <v/>
      </c>
      <c r="K2341">
        <f>IF(OR(NOT(ISNUMBER(G2341)),NOT(ISNUMBER(H2341)),G2341=0),"",H2341/G2341)</f>
        <v/>
      </c>
      <c r="L2341">
        <f>IF(NOT(ISNUMBER(G2341)),"SEM META",IF(G2341=0,"SEM META",IF(NOT(ISNUMBER(H2341)),"SEM APONTAMENTO",IF(H2341&gt;=G2341,"VERDE",IF(H2341&gt;=G2341*0.9,"AMARELO","VERMELHO")))))</f>
        <v/>
      </c>
    </row>
    <row r="2342">
      <c r="A2342" s="321" t="n">
        <v>46289</v>
      </c>
      <c r="B2342" t="inlineStr">
        <is>
          <t>GERAL</t>
        </is>
      </c>
      <c r="C2342" t="inlineStr">
        <is>
          <t>GLOBO AÇOS</t>
        </is>
      </c>
      <c r="D2342" t="inlineStr">
        <is>
          <t>PERFILAÇÃO</t>
        </is>
      </c>
      <c r="F2342">
        <f>IFERROR(INDEX('BASE METAS DIÁRIAS'!$AA$2:$AC$358,MATCH($A2342,'BASE METAS DIÁRIAS'!$A$2:$A$358,0),1),"")</f>
        <v/>
      </c>
      <c r="G2342">
        <f>IFERROR(IF(WEEKDAY($A2342,2)&lt;=INDEX('BASE METAS DIÁRIAS'!$X$2:$Z$358,MATCH($A2342,'BASE METAS DIÁRIAS'!$A$2:$A$358,0),1),INDEX('BASE METAS DIÁRIAS'!$U$2:$W$358,MATCH($A2342,'BASE METAS DIÁRIAS'!$A$2:$A$358,0),1),""),"")</f>
        <v/>
      </c>
      <c r="H2342">
        <f>IFERROR(IF(INDEX('CONTROLE PRODUÇÃO POR EMPRESAS'!$H$6:$J$5000,MATCH($A2342,'CONTROLE PRODUÇÃO POR EMPRESAS'!$A$6:$A$5000,0),1)="","",IFERROR(1*INDEX('CONTROLE PRODUÇÃO POR EMPRESAS'!$H$6:$J$5000,MATCH($A2342,'CONTROLE PRODUÇÃO POR EMPRESAS'!$A$6:$A$5000,0),1),"")),"")</f>
        <v/>
      </c>
      <c r="I2342">
        <f>IF(OR(NOT(ISNUMBER(G2342)),NOT(ISNUMBER(H2342))),"",H2342-G2342)</f>
        <v/>
      </c>
      <c r="J2342">
        <f>IF(OR(NOT(ISNUMBER(G2342)),NOT(ISNUMBER(H2342)),G2342=0),"",I2342/G2342)</f>
        <v/>
      </c>
      <c r="K2342">
        <f>IF(OR(NOT(ISNUMBER(G2342)),NOT(ISNUMBER(H2342)),G2342=0),"",H2342/G2342)</f>
        <v/>
      </c>
      <c r="L2342">
        <f>IF(NOT(ISNUMBER(G2342)),"SEM META",IF(G2342=0,"SEM META",IF(NOT(ISNUMBER(H2342)),"SEM APONTAMENTO",IF(H2342&gt;=G2342,"VERDE",IF(H2342&gt;=G2342*0.9,"AMARELO","VERMELHO")))))</f>
        <v/>
      </c>
    </row>
    <row r="2343">
      <c r="A2343" s="321" t="n">
        <v>46289</v>
      </c>
      <c r="B2343" t="inlineStr">
        <is>
          <t>GERAL</t>
        </is>
      </c>
      <c r="C2343" t="inlineStr">
        <is>
          <t>GLOBO AÇOS</t>
        </is>
      </c>
      <c r="D2343" t="inlineStr">
        <is>
          <t>TELHAR</t>
        </is>
      </c>
      <c r="F2343">
        <f>IFERROR(INDEX('BASE METAS DIÁRIAS'!$AA$2:$AC$358,MATCH($A2343,'BASE METAS DIÁRIAS'!$A$2:$A$358,0),2),"")</f>
        <v/>
      </c>
      <c r="G2343">
        <f>IFERROR(IF(WEEKDAY($A2343,2)&lt;=INDEX('BASE METAS DIÁRIAS'!$X$2:$Z$358,MATCH($A2343,'BASE METAS DIÁRIAS'!$A$2:$A$358,0),2),INDEX('BASE METAS DIÁRIAS'!$U$2:$W$358,MATCH($A2343,'BASE METAS DIÁRIAS'!$A$2:$A$358,0),2),""),"")</f>
        <v/>
      </c>
      <c r="H2343">
        <f>IFERROR(IF(INDEX('CONTROLE PRODUÇÃO POR EMPRESAS'!$H$6:$J$5000,MATCH($A2343,'CONTROLE PRODUÇÃO POR EMPRESAS'!$A$6:$A$5000,0),2)="","",IFERROR(1*INDEX('CONTROLE PRODUÇÃO POR EMPRESAS'!$H$6:$J$5000,MATCH($A2343,'CONTROLE PRODUÇÃO POR EMPRESAS'!$A$6:$A$5000,0),2),"")),"")</f>
        <v/>
      </c>
      <c r="I2343">
        <f>IF(OR(NOT(ISNUMBER(G2343)),NOT(ISNUMBER(H2343))),"",H2343-G2343)</f>
        <v/>
      </c>
      <c r="J2343">
        <f>IF(OR(NOT(ISNUMBER(G2343)),NOT(ISNUMBER(H2343)),G2343=0),"",I2343/G2343)</f>
        <v/>
      </c>
      <c r="K2343">
        <f>IF(OR(NOT(ISNUMBER(G2343)),NOT(ISNUMBER(H2343)),G2343=0),"",H2343/G2343)</f>
        <v/>
      </c>
      <c r="L2343">
        <f>IF(NOT(ISNUMBER(G2343)),"SEM META",IF(G2343=0,"SEM META",IF(NOT(ISNUMBER(H2343)),"SEM APONTAMENTO",IF(H2343&gt;=G2343,"VERDE",IF(H2343&gt;=G2343*0.9,"AMARELO","VERMELHO")))))</f>
        <v/>
      </c>
    </row>
    <row r="2344">
      <c r="A2344" s="321" t="n">
        <v>46289</v>
      </c>
      <c r="B2344" t="inlineStr">
        <is>
          <t>GERAL</t>
        </is>
      </c>
      <c r="C2344" t="inlineStr">
        <is>
          <t>GLOBO AÇOS</t>
        </is>
      </c>
      <c r="D2344" t="inlineStr">
        <is>
          <t>FECHAMENTO</t>
        </is>
      </c>
      <c r="F2344">
        <f>IFERROR(INDEX('BASE METAS DIÁRIAS'!$AA$2:$AC$358,MATCH($A2344,'BASE METAS DIÁRIAS'!$A$2:$A$358,0),3),"")</f>
        <v/>
      </c>
      <c r="G2344">
        <f>IFERROR(IF(WEEKDAY($A2344,2)&lt;=INDEX('BASE METAS DIÁRIAS'!$X$2:$Z$358,MATCH($A2344,'BASE METAS DIÁRIAS'!$A$2:$A$358,0),3),INDEX('BASE METAS DIÁRIAS'!$U$2:$W$358,MATCH($A2344,'BASE METAS DIÁRIAS'!$A$2:$A$358,0),3),""),"")</f>
        <v/>
      </c>
      <c r="H2344">
        <f>IFERROR(IF(INDEX('CONTROLE PRODUÇÃO POR EMPRESAS'!$H$6:$J$5000,MATCH($A2344,'CONTROLE PRODUÇÃO POR EMPRESAS'!$A$6:$A$5000,0),3)="","",IFERROR(1*INDEX('CONTROLE PRODUÇÃO POR EMPRESAS'!$H$6:$J$5000,MATCH($A2344,'CONTROLE PRODUÇÃO POR EMPRESAS'!$A$6:$A$5000,0),3),"")),"")</f>
        <v/>
      </c>
      <c r="I2344">
        <f>IF(OR(NOT(ISNUMBER(G2344)),NOT(ISNUMBER(H2344))),"",H2344-G2344)</f>
        <v/>
      </c>
      <c r="J2344">
        <f>IF(OR(NOT(ISNUMBER(G2344)),NOT(ISNUMBER(H2344)),G2344=0),"",I2344/G2344)</f>
        <v/>
      </c>
      <c r="K2344">
        <f>IF(OR(NOT(ISNUMBER(G2344)),NOT(ISNUMBER(H2344)),G2344=0),"",H2344/G2344)</f>
        <v/>
      </c>
      <c r="L2344">
        <f>IF(NOT(ISNUMBER(G2344)),"SEM META",IF(G2344=0,"SEM META",IF(NOT(ISNUMBER(H2344)),"SEM APONTAMENTO",IF(H2344&gt;=G2344,"VERDE",IF(H2344&gt;=G2344*0.9,"AMARELO","VERMELHO")))))</f>
        <v/>
      </c>
    </row>
    <row r="2345">
      <c r="A2345" s="321" t="n">
        <v>46290</v>
      </c>
      <c r="B2345" t="inlineStr">
        <is>
          <t>GERAL</t>
        </is>
      </c>
      <c r="C2345" t="inlineStr">
        <is>
          <t>GLOBO AÇOS</t>
        </is>
      </c>
      <c r="D2345" t="inlineStr">
        <is>
          <t>PERFILAÇÃO</t>
        </is>
      </c>
      <c r="F2345">
        <f>IFERROR(INDEX('BASE METAS DIÁRIAS'!$AA$2:$AC$358,MATCH($A2345,'BASE METAS DIÁRIAS'!$A$2:$A$358,0),1),"")</f>
        <v/>
      </c>
      <c r="G2345">
        <f>IFERROR(IF(WEEKDAY($A2345,2)&lt;=INDEX('BASE METAS DIÁRIAS'!$X$2:$Z$358,MATCH($A2345,'BASE METAS DIÁRIAS'!$A$2:$A$358,0),1),INDEX('BASE METAS DIÁRIAS'!$U$2:$W$358,MATCH($A2345,'BASE METAS DIÁRIAS'!$A$2:$A$358,0),1),""),"")</f>
        <v/>
      </c>
      <c r="H2345">
        <f>IFERROR(IF(INDEX('CONTROLE PRODUÇÃO POR EMPRESAS'!$H$6:$J$5000,MATCH($A2345,'CONTROLE PRODUÇÃO POR EMPRESAS'!$A$6:$A$5000,0),1)="","",IFERROR(1*INDEX('CONTROLE PRODUÇÃO POR EMPRESAS'!$H$6:$J$5000,MATCH($A2345,'CONTROLE PRODUÇÃO POR EMPRESAS'!$A$6:$A$5000,0),1),"")),"")</f>
        <v/>
      </c>
      <c r="I2345">
        <f>IF(OR(NOT(ISNUMBER(G2345)),NOT(ISNUMBER(H2345))),"",H2345-G2345)</f>
        <v/>
      </c>
      <c r="J2345">
        <f>IF(OR(NOT(ISNUMBER(G2345)),NOT(ISNUMBER(H2345)),G2345=0),"",I2345/G2345)</f>
        <v/>
      </c>
      <c r="K2345">
        <f>IF(OR(NOT(ISNUMBER(G2345)),NOT(ISNUMBER(H2345)),G2345=0),"",H2345/G2345)</f>
        <v/>
      </c>
      <c r="L2345">
        <f>IF(NOT(ISNUMBER(G2345)),"SEM META",IF(G2345=0,"SEM META",IF(NOT(ISNUMBER(H2345)),"SEM APONTAMENTO",IF(H2345&gt;=G2345,"VERDE",IF(H2345&gt;=G2345*0.9,"AMARELO","VERMELHO")))))</f>
        <v/>
      </c>
    </row>
    <row r="2346">
      <c r="A2346" s="321" t="n">
        <v>46290</v>
      </c>
      <c r="B2346" t="inlineStr">
        <is>
          <t>GERAL</t>
        </is>
      </c>
      <c r="C2346" t="inlineStr">
        <is>
          <t>GLOBO AÇOS</t>
        </is>
      </c>
      <c r="D2346" t="inlineStr">
        <is>
          <t>TELHAR</t>
        </is>
      </c>
      <c r="F2346">
        <f>IFERROR(INDEX('BASE METAS DIÁRIAS'!$AA$2:$AC$358,MATCH($A2346,'BASE METAS DIÁRIAS'!$A$2:$A$358,0),2),"")</f>
        <v/>
      </c>
      <c r="G2346">
        <f>IFERROR(IF(WEEKDAY($A2346,2)&lt;=INDEX('BASE METAS DIÁRIAS'!$X$2:$Z$358,MATCH($A2346,'BASE METAS DIÁRIAS'!$A$2:$A$358,0),2),INDEX('BASE METAS DIÁRIAS'!$U$2:$W$358,MATCH($A2346,'BASE METAS DIÁRIAS'!$A$2:$A$358,0),2),""),"")</f>
        <v/>
      </c>
      <c r="H2346">
        <f>IFERROR(IF(INDEX('CONTROLE PRODUÇÃO POR EMPRESAS'!$H$6:$J$5000,MATCH($A2346,'CONTROLE PRODUÇÃO POR EMPRESAS'!$A$6:$A$5000,0),2)="","",IFERROR(1*INDEX('CONTROLE PRODUÇÃO POR EMPRESAS'!$H$6:$J$5000,MATCH($A2346,'CONTROLE PRODUÇÃO POR EMPRESAS'!$A$6:$A$5000,0),2),"")),"")</f>
        <v/>
      </c>
      <c r="I2346">
        <f>IF(OR(NOT(ISNUMBER(G2346)),NOT(ISNUMBER(H2346))),"",H2346-G2346)</f>
        <v/>
      </c>
      <c r="J2346">
        <f>IF(OR(NOT(ISNUMBER(G2346)),NOT(ISNUMBER(H2346)),G2346=0),"",I2346/G2346)</f>
        <v/>
      </c>
      <c r="K2346">
        <f>IF(OR(NOT(ISNUMBER(G2346)),NOT(ISNUMBER(H2346)),G2346=0),"",H2346/G2346)</f>
        <v/>
      </c>
      <c r="L2346">
        <f>IF(NOT(ISNUMBER(G2346)),"SEM META",IF(G2346=0,"SEM META",IF(NOT(ISNUMBER(H2346)),"SEM APONTAMENTO",IF(H2346&gt;=G2346,"VERDE",IF(H2346&gt;=G2346*0.9,"AMARELO","VERMELHO")))))</f>
        <v/>
      </c>
    </row>
    <row r="2347">
      <c r="A2347" s="321" t="n">
        <v>46290</v>
      </c>
      <c r="B2347" t="inlineStr">
        <is>
          <t>GERAL</t>
        </is>
      </c>
      <c r="C2347" t="inlineStr">
        <is>
          <t>GLOBO AÇOS</t>
        </is>
      </c>
      <c r="D2347" t="inlineStr">
        <is>
          <t>FECHAMENTO</t>
        </is>
      </c>
      <c r="F2347">
        <f>IFERROR(INDEX('BASE METAS DIÁRIAS'!$AA$2:$AC$358,MATCH($A2347,'BASE METAS DIÁRIAS'!$A$2:$A$358,0),3),"")</f>
        <v/>
      </c>
      <c r="G2347">
        <f>IFERROR(IF(WEEKDAY($A2347,2)&lt;=INDEX('BASE METAS DIÁRIAS'!$X$2:$Z$358,MATCH($A2347,'BASE METAS DIÁRIAS'!$A$2:$A$358,0),3),INDEX('BASE METAS DIÁRIAS'!$U$2:$W$358,MATCH($A2347,'BASE METAS DIÁRIAS'!$A$2:$A$358,0),3),""),"")</f>
        <v/>
      </c>
      <c r="H2347">
        <f>IFERROR(IF(INDEX('CONTROLE PRODUÇÃO POR EMPRESAS'!$H$6:$J$5000,MATCH($A2347,'CONTROLE PRODUÇÃO POR EMPRESAS'!$A$6:$A$5000,0),3)="","",IFERROR(1*INDEX('CONTROLE PRODUÇÃO POR EMPRESAS'!$H$6:$J$5000,MATCH($A2347,'CONTROLE PRODUÇÃO POR EMPRESAS'!$A$6:$A$5000,0),3),"")),"")</f>
        <v/>
      </c>
      <c r="I2347">
        <f>IF(OR(NOT(ISNUMBER(G2347)),NOT(ISNUMBER(H2347))),"",H2347-G2347)</f>
        <v/>
      </c>
      <c r="J2347">
        <f>IF(OR(NOT(ISNUMBER(G2347)),NOT(ISNUMBER(H2347)),G2347=0),"",I2347/G2347)</f>
        <v/>
      </c>
      <c r="K2347">
        <f>IF(OR(NOT(ISNUMBER(G2347)),NOT(ISNUMBER(H2347)),G2347=0),"",H2347/G2347)</f>
        <v/>
      </c>
      <c r="L2347">
        <f>IF(NOT(ISNUMBER(G2347)),"SEM META",IF(G2347=0,"SEM META",IF(NOT(ISNUMBER(H2347)),"SEM APONTAMENTO",IF(H2347&gt;=G2347,"VERDE",IF(H2347&gt;=G2347*0.9,"AMARELO","VERMELHO")))))</f>
        <v/>
      </c>
    </row>
    <row r="2348">
      <c r="A2348" s="321" t="n">
        <v>46291</v>
      </c>
      <c r="B2348" t="inlineStr">
        <is>
          <t>GERAL</t>
        </is>
      </c>
      <c r="C2348" t="inlineStr">
        <is>
          <t>GLOBO AÇOS</t>
        </is>
      </c>
      <c r="D2348" t="inlineStr">
        <is>
          <t>PERFILAÇÃO</t>
        </is>
      </c>
      <c r="F2348">
        <f>IFERROR(INDEX('BASE METAS DIÁRIAS'!$AA$2:$AC$358,MATCH($A2348,'BASE METAS DIÁRIAS'!$A$2:$A$358,0),1),"")</f>
        <v/>
      </c>
      <c r="G2348">
        <f>IFERROR(IF(WEEKDAY($A2348,2)&lt;=INDEX('BASE METAS DIÁRIAS'!$X$2:$Z$358,MATCH($A2348,'BASE METAS DIÁRIAS'!$A$2:$A$358,0),1),INDEX('BASE METAS DIÁRIAS'!$U$2:$W$358,MATCH($A2348,'BASE METAS DIÁRIAS'!$A$2:$A$358,0),1),""),"")</f>
        <v/>
      </c>
      <c r="H2348">
        <f>IFERROR(IF(INDEX('CONTROLE PRODUÇÃO POR EMPRESAS'!$H$6:$J$5000,MATCH($A2348,'CONTROLE PRODUÇÃO POR EMPRESAS'!$A$6:$A$5000,0),1)="","",IFERROR(1*INDEX('CONTROLE PRODUÇÃO POR EMPRESAS'!$H$6:$J$5000,MATCH($A2348,'CONTROLE PRODUÇÃO POR EMPRESAS'!$A$6:$A$5000,0),1),"")),"")</f>
        <v/>
      </c>
      <c r="I2348">
        <f>IF(OR(NOT(ISNUMBER(G2348)),NOT(ISNUMBER(H2348))),"",H2348-G2348)</f>
        <v/>
      </c>
      <c r="J2348">
        <f>IF(OR(NOT(ISNUMBER(G2348)),NOT(ISNUMBER(H2348)),G2348=0),"",I2348/G2348)</f>
        <v/>
      </c>
      <c r="K2348">
        <f>IF(OR(NOT(ISNUMBER(G2348)),NOT(ISNUMBER(H2348)),G2348=0),"",H2348/G2348)</f>
        <v/>
      </c>
      <c r="L2348">
        <f>IF(NOT(ISNUMBER(G2348)),"SEM META",IF(G2348=0,"SEM META",IF(NOT(ISNUMBER(H2348)),"SEM APONTAMENTO",IF(H2348&gt;=G2348,"VERDE",IF(H2348&gt;=G2348*0.9,"AMARELO","VERMELHO")))))</f>
        <v/>
      </c>
    </row>
    <row r="2349">
      <c r="A2349" s="321" t="n">
        <v>46291</v>
      </c>
      <c r="B2349" t="inlineStr">
        <is>
          <t>GERAL</t>
        </is>
      </c>
      <c r="C2349" t="inlineStr">
        <is>
          <t>GLOBO AÇOS</t>
        </is>
      </c>
      <c r="D2349" t="inlineStr">
        <is>
          <t>TELHAR</t>
        </is>
      </c>
      <c r="F2349">
        <f>IFERROR(INDEX('BASE METAS DIÁRIAS'!$AA$2:$AC$358,MATCH($A2349,'BASE METAS DIÁRIAS'!$A$2:$A$358,0),2),"")</f>
        <v/>
      </c>
      <c r="G2349">
        <f>IFERROR(IF(WEEKDAY($A2349,2)&lt;=INDEX('BASE METAS DIÁRIAS'!$X$2:$Z$358,MATCH($A2349,'BASE METAS DIÁRIAS'!$A$2:$A$358,0),2),INDEX('BASE METAS DIÁRIAS'!$U$2:$W$358,MATCH($A2349,'BASE METAS DIÁRIAS'!$A$2:$A$358,0),2),""),"")</f>
        <v/>
      </c>
      <c r="H2349">
        <f>IFERROR(IF(INDEX('CONTROLE PRODUÇÃO POR EMPRESAS'!$H$6:$J$5000,MATCH($A2349,'CONTROLE PRODUÇÃO POR EMPRESAS'!$A$6:$A$5000,0),2)="","",IFERROR(1*INDEX('CONTROLE PRODUÇÃO POR EMPRESAS'!$H$6:$J$5000,MATCH($A2349,'CONTROLE PRODUÇÃO POR EMPRESAS'!$A$6:$A$5000,0),2),"")),"")</f>
        <v/>
      </c>
      <c r="I2349">
        <f>IF(OR(NOT(ISNUMBER(G2349)),NOT(ISNUMBER(H2349))),"",H2349-G2349)</f>
        <v/>
      </c>
      <c r="J2349">
        <f>IF(OR(NOT(ISNUMBER(G2349)),NOT(ISNUMBER(H2349)),G2349=0),"",I2349/G2349)</f>
        <v/>
      </c>
      <c r="K2349">
        <f>IF(OR(NOT(ISNUMBER(G2349)),NOT(ISNUMBER(H2349)),G2349=0),"",H2349/G2349)</f>
        <v/>
      </c>
      <c r="L2349">
        <f>IF(NOT(ISNUMBER(G2349)),"SEM META",IF(G2349=0,"SEM META",IF(NOT(ISNUMBER(H2349)),"SEM APONTAMENTO",IF(H2349&gt;=G2349,"VERDE",IF(H2349&gt;=G2349*0.9,"AMARELO","VERMELHO")))))</f>
        <v/>
      </c>
    </row>
    <row r="2350">
      <c r="A2350" s="321" t="n">
        <v>46291</v>
      </c>
      <c r="B2350" t="inlineStr">
        <is>
          <t>GERAL</t>
        </is>
      </c>
      <c r="C2350" t="inlineStr">
        <is>
          <t>GLOBO AÇOS</t>
        </is>
      </c>
      <c r="D2350" t="inlineStr">
        <is>
          <t>FECHAMENTO</t>
        </is>
      </c>
      <c r="F2350">
        <f>IFERROR(INDEX('BASE METAS DIÁRIAS'!$AA$2:$AC$358,MATCH($A2350,'BASE METAS DIÁRIAS'!$A$2:$A$358,0),3),"")</f>
        <v/>
      </c>
      <c r="G2350">
        <f>IFERROR(IF(WEEKDAY($A2350,2)&lt;=INDEX('BASE METAS DIÁRIAS'!$X$2:$Z$358,MATCH($A2350,'BASE METAS DIÁRIAS'!$A$2:$A$358,0),3),INDEX('BASE METAS DIÁRIAS'!$U$2:$W$358,MATCH($A2350,'BASE METAS DIÁRIAS'!$A$2:$A$358,0),3),""),"")</f>
        <v/>
      </c>
      <c r="H2350">
        <f>IFERROR(IF(INDEX('CONTROLE PRODUÇÃO POR EMPRESAS'!$H$6:$J$5000,MATCH($A2350,'CONTROLE PRODUÇÃO POR EMPRESAS'!$A$6:$A$5000,0),3)="","",IFERROR(1*INDEX('CONTROLE PRODUÇÃO POR EMPRESAS'!$H$6:$J$5000,MATCH($A2350,'CONTROLE PRODUÇÃO POR EMPRESAS'!$A$6:$A$5000,0),3),"")),"")</f>
        <v/>
      </c>
      <c r="I2350">
        <f>IF(OR(NOT(ISNUMBER(G2350)),NOT(ISNUMBER(H2350))),"",H2350-G2350)</f>
        <v/>
      </c>
      <c r="J2350">
        <f>IF(OR(NOT(ISNUMBER(G2350)),NOT(ISNUMBER(H2350)),G2350=0),"",I2350/G2350)</f>
        <v/>
      </c>
      <c r="K2350">
        <f>IF(OR(NOT(ISNUMBER(G2350)),NOT(ISNUMBER(H2350)),G2350=0),"",H2350/G2350)</f>
        <v/>
      </c>
      <c r="L2350">
        <f>IF(NOT(ISNUMBER(G2350)),"SEM META",IF(G2350=0,"SEM META",IF(NOT(ISNUMBER(H2350)),"SEM APONTAMENTO",IF(H2350&gt;=G2350,"VERDE",IF(H2350&gt;=G2350*0.9,"AMARELO","VERMELHO")))))</f>
        <v/>
      </c>
    </row>
    <row r="2351">
      <c r="A2351" s="321" t="n">
        <v>46292</v>
      </c>
      <c r="B2351" t="inlineStr">
        <is>
          <t>GERAL</t>
        </is>
      </c>
      <c r="C2351" t="inlineStr">
        <is>
          <t>GLOBO AÇOS</t>
        </is>
      </c>
      <c r="D2351" t="inlineStr">
        <is>
          <t>PERFILAÇÃO</t>
        </is>
      </c>
      <c r="F2351">
        <f>IFERROR(INDEX('BASE METAS DIÁRIAS'!$AA$2:$AC$358,MATCH($A2351,'BASE METAS DIÁRIAS'!$A$2:$A$358,0),1),"")</f>
        <v/>
      </c>
      <c r="G2351">
        <f>IFERROR(IF(WEEKDAY($A2351,2)&lt;=INDEX('BASE METAS DIÁRIAS'!$X$2:$Z$358,MATCH($A2351,'BASE METAS DIÁRIAS'!$A$2:$A$358,0),1),INDEX('BASE METAS DIÁRIAS'!$U$2:$W$358,MATCH($A2351,'BASE METAS DIÁRIAS'!$A$2:$A$358,0),1),""),"")</f>
        <v/>
      </c>
      <c r="H2351">
        <f>IFERROR(IF(INDEX('CONTROLE PRODUÇÃO POR EMPRESAS'!$H$6:$J$5000,MATCH($A2351,'CONTROLE PRODUÇÃO POR EMPRESAS'!$A$6:$A$5000,0),1)="","",IFERROR(1*INDEX('CONTROLE PRODUÇÃO POR EMPRESAS'!$H$6:$J$5000,MATCH($A2351,'CONTROLE PRODUÇÃO POR EMPRESAS'!$A$6:$A$5000,0),1),"")),"")</f>
        <v/>
      </c>
      <c r="I2351">
        <f>IF(OR(NOT(ISNUMBER(G2351)),NOT(ISNUMBER(H2351))),"",H2351-G2351)</f>
        <v/>
      </c>
      <c r="J2351">
        <f>IF(OR(NOT(ISNUMBER(G2351)),NOT(ISNUMBER(H2351)),G2351=0),"",I2351/G2351)</f>
        <v/>
      </c>
      <c r="K2351">
        <f>IF(OR(NOT(ISNUMBER(G2351)),NOT(ISNUMBER(H2351)),G2351=0),"",H2351/G2351)</f>
        <v/>
      </c>
      <c r="L2351">
        <f>IF(NOT(ISNUMBER(G2351)),"SEM META",IF(G2351=0,"SEM META",IF(NOT(ISNUMBER(H2351)),"SEM APONTAMENTO",IF(H2351&gt;=G2351,"VERDE",IF(H2351&gt;=G2351*0.9,"AMARELO","VERMELHO")))))</f>
        <v/>
      </c>
    </row>
    <row r="2352">
      <c r="A2352" s="321" t="n">
        <v>46292</v>
      </c>
      <c r="B2352" t="inlineStr">
        <is>
          <t>GERAL</t>
        </is>
      </c>
      <c r="C2352" t="inlineStr">
        <is>
          <t>GLOBO AÇOS</t>
        </is>
      </c>
      <c r="D2352" t="inlineStr">
        <is>
          <t>TELHAR</t>
        </is>
      </c>
      <c r="F2352">
        <f>IFERROR(INDEX('BASE METAS DIÁRIAS'!$AA$2:$AC$358,MATCH($A2352,'BASE METAS DIÁRIAS'!$A$2:$A$358,0),2),"")</f>
        <v/>
      </c>
      <c r="G2352">
        <f>IFERROR(IF(WEEKDAY($A2352,2)&lt;=INDEX('BASE METAS DIÁRIAS'!$X$2:$Z$358,MATCH($A2352,'BASE METAS DIÁRIAS'!$A$2:$A$358,0),2),INDEX('BASE METAS DIÁRIAS'!$U$2:$W$358,MATCH($A2352,'BASE METAS DIÁRIAS'!$A$2:$A$358,0),2),""),"")</f>
        <v/>
      </c>
      <c r="H2352">
        <f>IFERROR(IF(INDEX('CONTROLE PRODUÇÃO POR EMPRESAS'!$H$6:$J$5000,MATCH($A2352,'CONTROLE PRODUÇÃO POR EMPRESAS'!$A$6:$A$5000,0),2)="","",IFERROR(1*INDEX('CONTROLE PRODUÇÃO POR EMPRESAS'!$H$6:$J$5000,MATCH($A2352,'CONTROLE PRODUÇÃO POR EMPRESAS'!$A$6:$A$5000,0),2),"")),"")</f>
        <v/>
      </c>
      <c r="I2352">
        <f>IF(OR(NOT(ISNUMBER(G2352)),NOT(ISNUMBER(H2352))),"",H2352-G2352)</f>
        <v/>
      </c>
      <c r="J2352">
        <f>IF(OR(NOT(ISNUMBER(G2352)),NOT(ISNUMBER(H2352)),G2352=0),"",I2352/G2352)</f>
        <v/>
      </c>
      <c r="K2352">
        <f>IF(OR(NOT(ISNUMBER(G2352)),NOT(ISNUMBER(H2352)),G2352=0),"",H2352/G2352)</f>
        <v/>
      </c>
      <c r="L2352">
        <f>IF(NOT(ISNUMBER(G2352)),"SEM META",IF(G2352=0,"SEM META",IF(NOT(ISNUMBER(H2352)),"SEM APONTAMENTO",IF(H2352&gt;=G2352,"VERDE",IF(H2352&gt;=G2352*0.9,"AMARELO","VERMELHO")))))</f>
        <v/>
      </c>
    </row>
    <row r="2353">
      <c r="A2353" s="321" t="n">
        <v>46292</v>
      </c>
      <c r="B2353" t="inlineStr">
        <is>
          <t>GERAL</t>
        </is>
      </c>
      <c r="C2353" t="inlineStr">
        <is>
          <t>GLOBO AÇOS</t>
        </is>
      </c>
      <c r="D2353" t="inlineStr">
        <is>
          <t>FECHAMENTO</t>
        </is>
      </c>
      <c r="F2353">
        <f>IFERROR(INDEX('BASE METAS DIÁRIAS'!$AA$2:$AC$358,MATCH($A2353,'BASE METAS DIÁRIAS'!$A$2:$A$358,0),3),"")</f>
        <v/>
      </c>
      <c r="G2353">
        <f>IFERROR(IF(WEEKDAY($A2353,2)&lt;=INDEX('BASE METAS DIÁRIAS'!$X$2:$Z$358,MATCH($A2353,'BASE METAS DIÁRIAS'!$A$2:$A$358,0),3),INDEX('BASE METAS DIÁRIAS'!$U$2:$W$358,MATCH($A2353,'BASE METAS DIÁRIAS'!$A$2:$A$358,0),3),""),"")</f>
        <v/>
      </c>
      <c r="H2353">
        <f>IFERROR(IF(INDEX('CONTROLE PRODUÇÃO POR EMPRESAS'!$H$6:$J$5000,MATCH($A2353,'CONTROLE PRODUÇÃO POR EMPRESAS'!$A$6:$A$5000,0),3)="","",IFERROR(1*INDEX('CONTROLE PRODUÇÃO POR EMPRESAS'!$H$6:$J$5000,MATCH($A2353,'CONTROLE PRODUÇÃO POR EMPRESAS'!$A$6:$A$5000,0),3),"")),"")</f>
        <v/>
      </c>
      <c r="I2353">
        <f>IF(OR(NOT(ISNUMBER(G2353)),NOT(ISNUMBER(H2353))),"",H2353-G2353)</f>
        <v/>
      </c>
      <c r="J2353">
        <f>IF(OR(NOT(ISNUMBER(G2353)),NOT(ISNUMBER(H2353)),G2353=0),"",I2353/G2353)</f>
        <v/>
      </c>
      <c r="K2353">
        <f>IF(OR(NOT(ISNUMBER(G2353)),NOT(ISNUMBER(H2353)),G2353=0),"",H2353/G2353)</f>
        <v/>
      </c>
      <c r="L2353">
        <f>IF(NOT(ISNUMBER(G2353)),"SEM META",IF(G2353=0,"SEM META",IF(NOT(ISNUMBER(H2353)),"SEM APONTAMENTO",IF(H2353&gt;=G2353,"VERDE",IF(H2353&gt;=G2353*0.9,"AMARELO","VERMELHO")))))</f>
        <v/>
      </c>
    </row>
    <row r="2354">
      <c r="A2354" s="321" t="n">
        <v>46293</v>
      </c>
      <c r="B2354" t="inlineStr">
        <is>
          <t>GERAL</t>
        </is>
      </c>
      <c r="C2354" t="inlineStr">
        <is>
          <t>GLOBO AÇOS</t>
        </is>
      </c>
      <c r="D2354" t="inlineStr">
        <is>
          <t>PERFILAÇÃO</t>
        </is>
      </c>
      <c r="F2354">
        <f>IFERROR(INDEX('BASE METAS DIÁRIAS'!$AA$2:$AC$358,MATCH($A2354,'BASE METAS DIÁRIAS'!$A$2:$A$358,0),1),"")</f>
        <v/>
      </c>
      <c r="G2354">
        <f>IFERROR(IF(WEEKDAY($A2354,2)&lt;=INDEX('BASE METAS DIÁRIAS'!$X$2:$Z$358,MATCH($A2354,'BASE METAS DIÁRIAS'!$A$2:$A$358,0),1),INDEX('BASE METAS DIÁRIAS'!$U$2:$W$358,MATCH($A2354,'BASE METAS DIÁRIAS'!$A$2:$A$358,0),1),""),"")</f>
        <v/>
      </c>
      <c r="H2354">
        <f>IFERROR(IF(INDEX('CONTROLE PRODUÇÃO POR EMPRESAS'!$H$6:$J$5000,MATCH($A2354,'CONTROLE PRODUÇÃO POR EMPRESAS'!$A$6:$A$5000,0),1)="","",IFERROR(1*INDEX('CONTROLE PRODUÇÃO POR EMPRESAS'!$H$6:$J$5000,MATCH($A2354,'CONTROLE PRODUÇÃO POR EMPRESAS'!$A$6:$A$5000,0),1),"")),"")</f>
        <v/>
      </c>
      <c r="I2354">
        <f>IF(OR(NOT(ISNUMBER(G2354)),NOT(ISNUMBER(H2354))),"",H2354-G2354)</f>
        <v/>
      </c>
      <c r="J2354">
        <f>IF(OR(NOT(ISNUMBER(G2354)),NOT(ISNUMBER(H2354)),G2354=0),"",I2354/G2354)</f>
        <v/>
      </c>
      <c r="K2354">
        <f>IF(OR(NOT(ISNUMBER(G2354)),NOT(ISNUMBER(H2354)),G2354=0),"",H2354/G2354)</f>
        <v/>
      </c>
      <c r="L2354">
        <f>IF(NOT(ISNUMBER(G2354)),"SEM META",IF(G2354=0,"SEM META",IF(NOT(ISNUMBER(H2354)),"SEM APONTAMENTO",IF(H2354&gt;=G2354,"VERDE",IF(H2354&gt;=G2354*0.9,"AMARELO","VERMELHO")))))</f>
        <v/>
      </c>
    </row>
    <row r="2355">
      <c r="A2355" s="321" t="n">
        <v>46293</v>
      </c>
      <c r="B2355" t="inlineStr">
        <is>
          <t>GERAL</t>
        </is>
      </c>
      <c r="C2355" t="inlineStr">
        <is>
          <t>GLOBO AÇOS</t>
        </is>
      </c>
      <c r="D2355" t="inlineStr">
        <is>
          <t>TELHAR</t>
        </is>
      </c>
      <c r="F2355">
        <f>IFERROR(INDEX('BASE METAS DIÁRIAS'!$AA$2:$AC$358,MATCH($A2355,'BASE METAS DIÁRIAS'!$A$2:$A$358,0),2),"")</f>
        <v/>
      </c>
      <c r="G2355">
        <f>IFERROR(IF(WEEKDAY($A2355,2)&lt;=INDEX('BASE METAS DIÁRIAS'!$X$2:$Z$358,MATCH($A2355,'BASE METAS DIÁRIAS'!$A$2:$A$358,0),2),INDEX('BASE METAS DIÁRIAS'!$U$2:$W$358,MATCH($A2355,'BASE METAS DIÁRIAS'!$A$2:$A$358,0),2),""),"")</f>
        <v/>
      </c>
      <c r="H2355">
        <f>IFERROR(IF(INDEX('CONTROLE PRODUÇÃO POR EMPRESAS'!$H$6:$J$5000,MATCH($A2355,'CONTROLE PRODUÇÃO POR EMPRESAS'!$A$6:$A$5000,0),2)="","",IFERROR(1*INDEX('CONTROLE PRODUÇÃO POR EMPRESAS'!$H$6:$J$5000,MATCH($A2355,'CONTROLE PRODUÇÃO POR EMPRESAS'!$A$6:$A$5000,0),2),"")),"")</f>
        <v/>
      </c>
      <c r="I2355">
        <f>IF(OR(NOT(ISNUMBER(G2355)),NOT(ISNUMBER(H2355))),"",H2355-G2355)</f>
        <v/>
      </c>
      <c r="J2355">
        <f>IF(OR(NOT(ISNUMBER(G2355)),NOT(ISNUMBER(H2355)),G2355=0),"",I2355/G2355)</f>
        <v/>
      </c>
      <c r="K2355">
        <f>IF(OR(NOT(ISNUMBER(G2355)),NOT(ISNUMBER(H2355)),G2355=0),"",H2355/G2355)</f>
        <v/>
      </c>
      <c r="L2355">
        <f>IF(NOT(ISNUMBER(G2355)),"SEM META",IF(G2355=0,"SEM META",IF(NOT(ISNUMBER(H2355)),"SEM APONTAMENTO",IF(H2355&gt;=G2355,"VERDE",IF(H2355&gt;=G2355*0.9,"AMARELO","VERMELHO")))))</f>
        <v/>
      </c>
    </row>
    <row r="2356">
      <c r="A2356" s="321" t="n">
        <v>46293</v>
      </c>
      <c r="B2356" t="inlineStr">
        <is>
          <t>GERAL</t>
        </is>
      </c>
      <c r="C2356" t="inlineStr">
        <is>
          <t>GLOBO AÇOS</t>
        </is>
      </c>
      <c r="D2356" t="inlineStr">
        <is>
          <t>FECHAMENTO</t>
        </is>
      </c>
      <c r="F2356">
        <f>IFERROR(INDEX('BASE METAS DIÁRIAS'!$AA$2:$AC$358,MATCH($A2356,'BASE METAS DIÁRIAS'!$A$2:$A$358,0),3),"")</f>
        <v/>
      </c>
      <c r="G2356">
        <f>IFERROR(IF(WEEKDAY($A2356,2)&lt;=INDEX('BASE METAS DIÁRIAS'!$X$2:$Z$358,MATCH($A2356,'BASE METAS DIÁRIAS'!$A$2:$A$358,0),3),INDEX('BASE METAS DIÁRIAS'!$U$2:$W$358,MATCH($A2356,'BASE METAS DIÁRIAS'!$A$2:$A$358,0),3),""),"")</f>
        <v/>
      </c>
      <c r="H2356">
        <f>IFERROR(IF(INDEX('CONTROLE PRODUÇÃO POR EMPRESAS'!$H$6:$J$5000,MATCH($A2356,'CONTROLE PRODUÇÃO POR EMPRESAS'!$A$6:$A$5000,0),3)="","",IFERROR(1*INDEX('CONTROLE PRODUÇÃO POR EMPRESAS'!$H$6:$J$5000,MATCH($A2356,'CONTROLE PRODUÇÃO POR EMPRESAS'!$A$6:$A$5000,0),3),"")),"")</f>
        <v/>
      </c>
      <c r="I2356">
        <f>IF(OR(NOT(ISNUMBER(G2356)),NOT(ISNUMBER(H2356))),"",H2356-G2356)</f>
        <v/>
      </c>
      <c r="J2356">
        <f>IF(OR(NOT(ISNUMBER(G2356)),NOT(ISNUMBER(H2356)),G2356=0),"",I2356/G2356)</f>
        <v/>
      </c>
      <c r="K2356">
        <f>IF(OR(NOT(ISNUMBER(G2356)),NOT(ISNUMBER(H2356)),G2356=0),"",H2356/G2356)</f>
        <v/>
      </c>
      <c r="L2356">
        <f>IF(NOT(ISNUMBER(G2356)),"SEM META",IF(G2356=0,"SEM META",IF(NOT(ISNUMBER(H2356)),"SEM APONTAMENTO",IF(H2356&gt;=G2356,"VERDE",IF(H2356&gt;=G2356*0.9,"AMARELO","VERMELHO")))))</f>
        <v/>
      </c>
    </row>
    <row r="2357">
      <c r="A2357" s="321" t="n">
        <v>46294</v>
      </c>
      <c r="B2357" t="inlineStr">
        <is>
          <t>GERAL</t>
        </is>
      </c>
      <c r="C2357" t="inlineStr">
        <is>
          <t>GLOBO AÇOS</t>
        </is>
      </c>
      <c r="D2357" t="inlineStr">
        <is>
          <t>PERFILAÇÃO</t>
        </is>
      </c>
      <c r="F2357">
        <f>IFERROR(INDEX('BASE METAS DIÁRIAS'!$AA$2:$AC$358,MATCH($A2357,'BASE METAS DIÁRIAS'!$A$2:$A$358,0),1),"")</f>
        <v/>
      </c>
      <c r="G2357">
        <f>IFERROR(IF(WEEKDAY($A2357,2)&lt;=INDEX('BASE METAS DIÁRIAS'!$X$2:$Z$358,MATCH($A2357,'BASE METAS DIÁRIAS'!$A$2:$A$358,0),1),INDEX('BASE METAS DIÁRIAS'!$U$2:$W$358,MATCH($A2357,'BASE METAS DIÁRIAS'!$A$2:$A$358,0),1),""),"")</f>
        <v/>
      </c>
      <c r="H2357">
        <f>IFERROR(IF(INDEX('CONTROLE PRODUÇÃO POR EMPRESAS'!$H$6:$J$5000,MATCH($A2357,'CONTROLE PRODUÇÃO POR EMPRESAS'!$A$6:$A$5000,0),1)="","",IFERROR(1*INDEX('CONTROLE PRODUÇÃO POR EMPRESAS'!$H$6:$J$5000,MATCH($A2357,'CONTROLE PRODUÇÃO POR EMPRESAS'!$A$6:$A$5000,0),1),"")),"")</f>
        <v/>
      </c>
      <c r="I2357">
        <f>IF(OR(NOT(ISNUMBER(G2357)),NOT(ISNUMBER(H2357))),"",H2357-G2357)</f>
        <v/>
      </c>
      <c r="J2357">
        <f>IF(OR(NOT(ISNUMBER(G2357)),NOT(ISNUMBER(H2357)),G2357=0),"",I2357/G2357)</f>
        <v/>
      </c>
      <c r="K2357">
        <f>IF(OR(NOT(ISNUMBER(G2357)),NOT(ISNUMBER(H2357)),G2357=0),"",H2357/G2357)</f>
        <v/>
      </c>
      <c r="L2357">
        <f>IF(NOT(ISNUMBER(G2357)),"SEM META",IF(G2357=0,"SEM META",IF(NOT(ISNUMBER(H2357)),"SEM APONTAMENTO",IF(H2357&gt;=G2357,"VERDE",IF(H2357&gt;=G2357*0.9,"AMARELO","VERMELHO")))))</f>
        <v/>
      </c>
    </row>
    <row r="2358">
      <c r="A2358" s="321" t="n">
        <v>46294</v>
      </c>
      <c r="B2358" t="inlineStr">
        <is>
          <t>GERAL</t>
        </is>
      </c>
      <c r="C2358" t="inlineStr">
        <is>
          <t>GLOBO AÇOS</t>
        </is>
      </c>
      <c r="D2358" t="inlineStr">
        <is>
          <t>TELHAR</t>
        </is>
      </c>
      <c r="F2358">
        <f>IFERROR(INDEX('BASE METAS DIÁRIAS'!$AA$2:$AC$358,MATCH($A2358,'BASE METAS DIÁRIAS'!$A$2:$A$358,0),2),"")</f>
        <v/>
      </c>
      <c r="G2358">
        <f>IFERROR(IF(WEEKDAY($A2358,2)&lt;=INDEX('BASE METAS DIÁRIAS'!$X$2:$Z$358,MATCH($A2358,'BASE METAS DIÁRIAS'!$A$2:$A$358,0),2),INDEX('BASE METAS DIÁRIAS'!$U$2:$W$358,MATCH($A2358,'BASE METAS DIÁRIAS'!$A$2:$A$358,0),2),""),"")</f>
        <v/>
      </c>
      <c r="H2358">
        <f>IFERROR(IF(INDEX('CONTROLE PRODUÇÃO POR EMPRESAS'!$H$6:$J$5000,MATCH($A2358,'CONTROLE PRODUÇÃO POR EMPRESAS'!$A$6:$A$5000,0),2)="","",IFERROR(1*INDEX('CONTROLE PRODUÇÃO POR EMPRESAS'!$H$6:$J$5000,MATCH($A2358,'CONTROLE PRODUÇÃO POR EMPRESAS'!$A$6:$A$5000,0),2),"")),"")</f>
        <v/>
      </c>
      <c r="I2358">
        <f>IF(OR(NOT(ISNUMBER(G2358)),NOT(ISNUMBER(H2358))),"",H2358-G2358)</f>
        <v/>
      </c>
      <c r="J2358">
        <f>IF(OR(NOT(ISNUMBER(G2358)),NOT(ISNUMBER(H2358)),G2358=0),"",I2358/G2358)</f>
        <v/>
      </c>
      <c r="K2358">
        <f>IF(OR(NOT(ISNUMBER(G2358)),NOT(ISNUMBER(H2358)),G2358=0),"",H2358/G2358)</f>
        <v/>
      </c>
      <c r="L2358">
        <f>IF(NOT(ISNUMBER(G2358)),"SEM META",IF(G2358=0,"SEM META",IF(NOT(ISNUMBER(H2358)),"SEM APONTAMENTO",IF(H2358&gt;=G2358,"VERDE",IF(H2358&gt;=G2358*0.9,"AMARELO","VERMELHO")))))</f>
        <v/>
      </c>
    </row>
    <row r="2359">
      <c r="A2359" s="321" t="n">
        <v>46294</v>
      </c>
      <c r="B2359" t="inlineStr">
        <is>
          <t>GERAL</t>
        </is>
      </c>
      <c r="C2359" t="inlineStr">
        <is>
          <t>GLOBO AÇOS</t>
        </is>
      </c>
      <c r="D2359" t="inlineStr">
        <is>
          <t>FECHAMENTO</t>
        </is>
      </c>
      <c r="F2359">
        <f>IFERROR(INDEX('BASE METAS DIÁRIAS'!$AA$2:$AC$358,MATCH($A2359,'BASE METAS DIÁRIAS'!$A$2:$A$358,0),3),"")</f>
        <v/>
      </c>
      <c r="G2359">
        <f>IFERROR(IF(WEEKDAY($A2359,2)&lt;=INDEX('BASE METAS DIÁRIAS'!$X$2:$Z$358,MATCH($A2359,'BASE METAS DIÁRIAS'!$A$2:$A$358,0),3),INDEX('BASE METAS DIÁRIAS'!$U$2:$W$358,MATCH($A2359,'BASE METAS DIÁRIAS'!$A$2:$A$358,0),3),""),"")</f>
        <v/>
      </c>
      <c r="H2359">
        <f>IFERROR(IF(INDEX('CONTROLE PRODUÇÃO POR EMPRESAS'!$H$6:$J$5000,MATCH($A2359,'CONTROLE PRODUÇÃO POR EMPRESAS'!$A$6:$A$5000,0),3)="","",IFERROR(1*INDEX('CONTROLE PRODUÇÃO POR EMPRESAS'!$H$6:$J$5000,MATCH($A2359,'CONTROLE PRODUÇÃO POR EMPRESAS'!$A$6:$A$5000,0),3),"")),"")</f>
        <v/>
      </c>
      <c r="I2359">
        <f>IF(OR(NOT(ISNUMBER(G2359)),NOT(ISNUMBER(H2359))),"",H2359-G2359)</f>
        <v/>
      </c>
      <c r="J2359">
        <f>IF(OR(NOT(ISNUMBER(G2359)),NOT(ISNUMBER(H2359)),G2359=0),"",I2359/G2359)</f>
        <v/>
      </c>
      <c r="K2359">
        <f>IF(OR(NOT(ISNUMBER(G2359)),NOT(ISNUMBER(H2359)),G2359=0),"",H2359/G2359)</f>
        <v/>
      </c>
      <c r="L2359">
        <f>IF(NOT(ISNUMBER(G2359)),"SEM META",IF(G2359=0,"SEM META",IF(NOT(ISNUMBER(H2359)),"SEM APONTAMENTO",IF(H2359&gt;=G2359,"VERDE",IF(H2359&gt;=G2359*0.9,"AMARELO","VERMELHO")))))</f>
        <v/>
      </c>
    </row>
    <row r="2360">
      <c r="A2360" s="321" t="n">
        <v>46295</v>
      </c>
      <c r="B2360" t="inlineStr">
        <is>
          <t>GERAL</t>
        </is>
      </c>
      <c r="C2360" t="inlineStr">
        <is>
          <t>GLOBO AÇOS</t>
        </is>
      </c>
      <c r="D2360" t="inlineStr">
        <is>
          <t>PERFILAÇÃO</t>
        </is>
      </c>
      <c r="F2360">
        <f>IFERROR(INDEX('BASE METAS DIÁRIAS'!$AA$2:$AC$358,MATCH($A2360,'BASE METAS DIÁRIAS'!$A$2:$A$358,0),1),"")</f>
        <v/>
      </c>
      <c r="G2360">
        <f>IFERROR(IF(WEEKDAY($A2360,2)&lt;=INDEX('BASE METAS DIÁRIAS'!$X$2:$Z$358,MATCH($A2360,'BASE METAS DIÁRIAS'!$A$2:$A$358,0),1),INDEX('BASE METAS DIÁRIAS'!$U$2:$W$358,MATCH($A2360,'BASE METAS DIÁRIAS'!$A$2:$A$358,0),1),""),"")</f>
        <v/>
      </c>
      <c r="H2360">
        <f>IFERROR(IF(INDEX('CONTROLE PRODUÇÃO POR EMPRESAS'!$H$6:$J$5000,MATCH($A2360,'CONTROLE PRODUÇÃO POR EMPRESAS'!$A$6:$A$5000,0),1)="","",IFERROR(1*INDEX('CONTROLE PRODUÇÃO POR EMPRESAS'!$H$6:$J$5000,MATCH($A2360,'CONTROLE PRODUÇÃO POR EMPRESAS'!$A$6:$A$5000,0),1),"")),"")</f>
        <v/>
      </c>
      <c r="I2360">
        <f>IF(OR(NOT(ISNUMBER(G2360)),NOT(ISNUMBER(H2360))),"",H2360-G2360)</f>
        <v/>
      </c>
      <c r="J2360">
        <f>IF(OR(NOT(ISNUMBER(G2360)),NOT(ISNUMBER(H2360)),G2360=0),"",I2360/G2360)</f>
        <v/>
      </c>
      <c r="K2360">
        <f>IF(OR(NOT(ISNUMBER(G2360)),NOT(ISNUMBER(H2360)),G2360=0),"",H2360/G2360)</f>
        <v/>
      </c>
      <c r="L2360">
        <f>IF(NOT(ISNUMBER(G2360)),"SEM META",IF(G2360=0,"SEM META",IF(NOT(ISNUMBER(H2360)),"SEM APONTAMENTO",IF(H2360&gt;=G2360,"VERDE",IF(H2360&gt;=G2360*0.9,"AMARELO","VERMELHO")))))</f>
        <v/>
      </c>
    </row>
    <row r="2361">
      <c r="A2361" s="321" t="n">
        <v>46295</v>
      </c>
      <c r="B2361" t="inlineStr">
        <is>
          <t>GERAL</t>
        </is>
      </c>
      <c r="C2361" t="inlineStr">
        <is>
          <t>GLOBO AÇOS</t>
        </is>
      </c>
      <c r="D2361" t="inlineStr">
        <is>
          <t>TELHAR</t>
        </is>
      </c>
      <c r="F2361">
        <f>IFERROR(INDEX('BASE METAS DIÁRIAS'!$AA$2:$AC$358,MATCH($A2361,'BASE METAS DIÁRIAS'!$A$2:$A$358,0),2),"")</f>
        <v/>
      </c>
      <c r="G2361">
        <f>IFERROR(IF(WEEKDAY($A2361,2)&lt;=INDEX('BASE METAS DIÁRIAS'!$X$2:$Z$358,MATCH($A2361,'BASE METAS DIÁRIAS'!$A$2:$A$358,0),2),INDEX('BASE METAS DIÁRIAS'!$U$2:$W$358,MATCH($A2361,'BASE METAS DIÁRIAS'!$A$2:$A$358,0),2),""),"")</f>
        <v/>
      </c>
      <c r="H2361">
        <f>IFERROR(IF(INDEX('CONTROLE PRODUÇÃO POR EMPRESAS'!$H$6:$J$5000,MATCH($A2361,'CONTROLE PRODUÇÃO POR EMPRESAS'!$A$6:$A$5000,0),2)="","",IFERROR(1*INDEX('CONTROLE PRODUÇÃO POR EMPRESAS'!$H$6:$J$5000,MATCH($A2361,'CONTROLE PRODUÇÃO POR EMPRESAS'!$A$6:$A$5000,0),2),"")),"")</f>
        <v/>
      </c>
      <c r="I2361">
        <f>IF(OR(NOT(ISNUMBER(G2361)),NOT(ISNUMBER(H2361))),"",H2361-G2361)</f>
        <v/>
      </c>
      <c r="J2361">
        <f>IF(OR(NOT(ISNUMBER(G2361)),NOT(ISNUMBER(H2361)),G2361=0),"",I2361/G2361)</f>
        <v/>
      </c>
      <c r="K2361">
        <f>IF(OR(NOT(ISNUMBER(G2361)),NOT(ISNUMBER(H2361)),G2361=0),"",H2361/G2361)</f>
        <v/>
      </c>
      <c r="L2361">
        <f>IF(NOT(ISNUMBER(G2361)),"SEM META",IF(G2361=0,"SEM META",IF(NOT(ISNUMBER(H2361)),"SEM APONTAMENTO",IF(H2361&gt;=G2361,"VERDE",IF(H2361&gt;=G2361*0.9,"AMARELO","VERMELHO")))))</f>
        <v/>
      </c>
    </row>
    <row r="2362">
      <c r="A2362" s="321" t="n">
        <v>46295</v>
      </c>
      <c r="B2362" t="inlineStr">
        <is>
          <t>GERAL</t>
        </is>
      </c>
      <c r="C2362" t="inlineStr">
        <is>
          <t>GLOBO AÇOS</t>
        </is>
      </c>
      <c r="D2362" t="inlineStr">
        <is>
          <t>FECHAMENTO</t>
        </is>
      </c>
      <c r="F2362">
        <f>IFERROR(INDEX('BASE METAS DIÁRIAS'!$AA$2:$AC$358,MATCH($A2362,'BASE METAS DIÁRIAS'!$A$2:$A$358,0),3),"")</f>
        <v/>
      </c>
      <c r="G2362">
        <f>IFERROR(IF(WEEKDAY($A2362,2)&lt;=INDEX('BASE METAS DIÁRIAS'!$X$2:$Z$358,MATCH($A2362,'BASE METAS DIÁRIAS'!$A$2:$A$358,0),3),INDEX('BASE METAS DIÁRIAS'!$U$2:$W$358,MATCH($A2362,'BASE METAS DIÁRIAS'!$A$2:$A$358,0),3),""),"")</f>
        <v/>
      </c>
      <c r="H2362">
        <f>IFERROR(IF(INDEX('CONTROLE PRODUÇÃO POR EMPRESAS'!$H$6:$J$5000,MATCH($A2362,'CONTROLE PRODUÇÃO POR EMPRESAS'!$A$6:$A$5000,0),3)="","",IFERROR(1*INDEX('CONTROLE PRODUÇÃO POR EMPRESAS'!$H$6:$J$5000,MATCH($A2362,'CONTROLE PRODUÇÃO POR EMPRESAS'!$A$6:$A$5000,0),3),"")),"")</f>
        <v/>
      </c>
      <c r="I2362">
        <f>IF(OR(NOT(ISNUMBER(G2362)),NOT(ISNUMBER(H2362))),"",H2362-G2362)</f>
        <v/>
      </c>
      <c r="J2362">
        <f>IF(OR(NOT(ISNUMBER(G2362)),NOT(ISNUMBER(H2362)),G2362=0),"",I2362/G2362)</f>
        <v/>
      </c>
      <c r="K2362">
        <f>IF(OR(NOT(ISNUMBER(G2362)),NOT(ISNUMBER(H2362)),G2362=0),"",H2362/G2362)</f>
        <v/>
      </c>
      <c r="L2362">
        <f>IF(NOT(ISNUMBER(G2362)),"SEM META",IF(G2362=0,"SEM META",IF(NOT(ISNUMBER(H2362)),"SEM APONTAMENTO",IF(H2362&gt;=G2362,"VERDE",IF(H2362&gt;=G2362*0.9,"AMARELO","VERMELHO")))))</f>
        <v/>
      </c>
    </row>
    <row r="2363">
      <c r="A2363" s="321" t="n">
        <v>46296</v>
      </c>
      <c r="B2363" t="inlineStr">
        <is>
          <t>GERAL</t>
        </is>
      </c>
      <c r="C2363" t="inlineStr">
        <is>
          <t>GLOBO AÇOS</t>
        </is>
      </c>
      <c r="D2363" t="inlineStr">
        <is>
          <t>PERFILAÇÃO</t>
        </is>
      </c>
      <c r="F2363">
        <f>IFERROR(INDEX('BASE METAS DIÁRIAS'!$AA$2:$AC$358,MATCH($A2363,'BASE METAS DIÁRIAS'!$A$2:$A$358,0),1),"")</f>
        <v/>
      </c>
      <c r="G2363">
        <f>IFERROR(IF(WEEKDAY($A2363,2)&lt;=INDEX('BASE METAS DIÁRIAS'!$X$2:$Z$358,MATCH($A2363,'BASE METAS DIÁRIAS'!$A$2:$A$358,0),1),INDEX('BASE METAS DIÁRIAS'!$U$2:$W$358,MATCH($A2363,'BASE METAS DIÁRIAS'!$A$2:$A$358,0),1),""),"")</f>
        <v/>
      </c>
      <c r="H2363">
        <f>IFERROR(IF(INDEX('CONTROLE PRODUÇÃO POR EMPRESAS'!$H$6:$J$5000,MATCH($A2363,'CONTROLE PRODUÇÃO POR EMPRESAS'!$A$6:$A$5000,0),1)="","",IFERROR(1*INDEX('CONTROLE PRODUÇÃO POR EMPRESAS'!$H$6:$J$5000,MATCH($A2363,'CONTROLE PRODUÇÃO POR EMPRESAS'!$A$6:$A$5000,0),1),"")),"")</f>
        <v/>
      </c>
      <c r="I2363">
        <f>IF(OR(NOT(ISNUMBER(G2363)),NOT(ISNUMBER(H2363))),"",H2363-G2363)</f>
        <v/>
      </c>
      <c r="J2363">
        <f>IF(OR(NOT(ISNUMBER(G2363)),NOT(ISNUMBER(H2363)),G2363=0),"",I2363/G2363)</f>
        <v/>
      </c>
      <c r="K2363">
        <f>IF(OR(NOT(ISNUMBER(G2363)),NOT(ISNUMBER(H2363)),G2363=0),"",H2363/G2363)</f>
        <v/>
      </c>
      <c r="L2363">
        <f>IF(NOT(ISNUMBER(G2363)),"SEM META",IF(G2363=0,"SEM META",IF(NOT(ISNUMBER(H2363)),"SEM APONTAMENTO",IF(H2363&gt;=G2363,"VERDE",IF(H2363&gt;=G2363*0.9,"AMARELO","VERMELHO")))))</f>
        <v/>
      </c>
    </row>
    <row r="2364">
      <c r="A2364" s="321" t="n">
        <v>46296</v>
      </c>
      <c r="B2364" t="inlineStr">
        <is>
          <t>GERAL</t>
        </is>
      </c>
      <c r="C2364" t="inlineStr">
        <is>
          <t>GLOBO AÇOS</t>
        </is>
      </c>
      <c r="D2364" t="inlineStr">
        <is>
          <t>TELHAR</t>
        </is>
      </c>
      <c r="F2364">
        <f>IFERROR(INDEX('BASE METAS DIÁRIAS'!$AA$2:$AC$358,MATCH($A2364,'BASE METAS DIÁRIAS'!$A$2:$A$358,0),2),"")</f>
        <v/>
      </c>
      <c r="G2364">
        <f>IFERROR(IF(WEEKDAY($A2364,2)&lt;=INDEX('BASE METAS DIÁRIAS'!$X$2:$Z$358,MATCH($A2364,'BASE METAS DIÁRIAS'!$A$2:$A$358,0),2),INDEX('BASE METAS DIÁRIAS'!$U$2:$W$358,MATCH($A2364,'BASE METAS DIÁRIAS'!$A$2:$A$358,0),2),""),"")</f>
        <v/>
      </c>
      <c r="H2364">
        <f>IFERROR(IF(INDEX('CONTROLE PRODUÇÃO POR EMPRESAS'!$H$6:$J$5000,MATCH($A2364,'CONTROLE PRODUÇÃO POR EMPRESAS'!$A$6:$A$5000,0),2)="","",IFERROR(1*INDEX('CONTROLE PRODUÇÃO POR EMPRESAS'!$H$6:$J$5000,MATCH($A2364,'CONTROLE PRODUÇÃO POR EMPRESAS'!$A$6:$A$5000,0),2),"")),"")</f>
        <v/>
      </c>
      <c r="I2364">
        <f>IF(OR(NOT(ISNUMBER(G2364)),NOT(ISNUMBER(H2364))),"",H2364-G2364)</f>
        <v/>
      </c>
      <c r="J2364">
        <f>IF(OR(NOT(ISNUMBER(G2364)),NOT(ISNUMBER(H2364)),G2364=0),"",I2364/G2364)</f>
        <v/>
      </c>
      <c r="K2364">
        <f>IF(OR(NOT(ISNUMBER(G2364)),NOT(ISNUMBER(H2364)),G2364=0),"",H2364/G2364)</f>
        <v/>
      </c>
      <c r="L2364">
        <f>IF(NOT(ISNUMBER(G2364)),"SEM META",IF(G2364=0,"SEM META",IF(NOT(ISNUMBER(H2364)),"SEM APONTAMENTO",IF(H2364&gt;=G2364,"VERDE",IF(H2364&gt;=G2364*0.9,"AMARELO","VERMELHO")))))</f>
        <v/>
      </c>
    </row>
    <row r="2365">
      <c r="A2365" s="321" t="n">
        <v>46296</v>
      </c>
      <c r="B2365" t="inlineStr">
        <is>
          <t>GERAL</t>
        </is>
      </c>
      <c r="C2365" t="inlineStr">
        <is>
          <t>GLOBO AÇOS</t>
        </is>
      </c>
      <c r="D2365" t="inlineStr">
        <is>
          <t>FECHAMENTO</t>
        </is>
      </c>
      <c r="F2365">
        <f>IFERROR(INDEX('BASE METAS DIÁRIAS'!$AA$2:$AC$358,MATCH($A2365,'BASE METAS DIÁRIAS'!$A$2:$A$358,0),3),"")</f>
        <v/>
      </c>
      <c r="G2365">
        <f>IFERROR(IF(WEEKDAY($A2365,2)&lt;=INDEX('BASE METAS DIÁRIAS'!$X$2:$Z$358,MATCH($A2365,'BASE METAS DIÁRIAS'!$A$2:$A$358,0),3),INDEX('BASE METAS DIÁRIAS'!$U$2:$W$358,MATCH($A2365,'BASE METAS DIÁRIAS'!$A$2:$A$358,0),3),""),"")</f>
        <v/>
      </c>
      <c r="H2365">
        <f>IFERROR(IF(INDEX('CONTROLE PRODUÇÃO POR EMPRESAS'!$H$6:$J$5000,MATCH($A2365,'CONTROLE PRODUÇÃO POR EMPRESAS'!$A$6:$A$5000,0),3)="","",IFERROR(1*INDEX('CONTROLE PRODUÇÃO POR EMPRESAS'!$H$6:$J$5000,MATCH($A2365,'CONTROLE PRODUÇÃO POR EMPRESAS'!$A$6:$A$5000,0),3),"")),"")</f>
        <v/>
      </c>
      <c r="I2365">
        <f>IF(OR(NOT(ISNUMBER(G2365)),NOT(ISNUMBER(H2365))),"",H2365-G2365)</f>
        <v/>
      </c>
      <c r="J2365">
        <f>IF(OR(NOT(ISNUMBER(G2365)),NOT(ISNUMBER(H2365)),G2365=0),"",I2365/G2365)</f>
        <v/>
      </c>
      <c r="K2365">
        <f>IF(OR(NOT(ISNUMBER(G2365)),NOT(ISNUMBER(H2365)),G2365=0),"",H2365/G2365)</f>
        <v/>
      </c>
      <c r="L2365">
        <f>IF(NOT(ISNUMBER(G2365)),"SEM META",IF(G2365=0,"SEM META",IF(NOT(ISNUMBER(H2365)),"SEM APONTAMENTO",IF(H2365&gt;=G2365,"VERDE",IF(H2365&gt;=G2365*0.9,"AMARELO","VERMELHO")))))</f>
        <v/>
      </c>
    </row>
    <row r="2366">
      <c r="A2366" s="321" t="n">
        <v>46297</v>
      </c>
      <c r="B2366" t="inlineStr">
        <is>
          <t>GERAL</t>
        </is>
      </c>
      <c r="C2366" t="inlineStr">
        <is>
          <t>GLOBO AÇOS</t>
        </is>
      </c>
      <c r="D2366" t="inlineStr">
        <is>
          <t>PERFILAÇÃO</t>
        </is>
      </c>
      <c r="F2366">
        <f>IFERROR(INDEX('BASE METAS DIÁRIAS'!$AA$2:$AC$358,MATCH($A2366,'BASE METAS DIÁRIAS'!$A$2:$A$358,0),1),"")</f>
        <v/>
      </c>
      <c r="G2366">
        <f>IFERROR(IF(WEEKDAY($A2366,2)&lt;=INDEX('BASE METAS DIÁRIAS'!$X$2:$Z$358,MATCH($A2366,'BASE METAS DIÁRIAS'!$A$2:$A$358,0),1),INDEX('BASE METAS DIÁRIAS'!$U$2:$W$358,MATCH($A2366,'BASE METAS DIÁRIAS'!$A$2:$A$358,0),1),""),"")</f>
        <v/>
      </c>
      <c r="H2366">
        <f>IFERROR(IF(INDEX('CONTROLE PRODUÇÃO POR EMPRESAS'!$H$6:$J$5000,MATCH($A2366,'CONTROLE PRODUÇÃO POR EMPRESAS'!$A$6:$A$5000,0),1)="","",IFERROR(1*INDEX('CONTROLE PRODUÇÃO POR EMPRESAS'!$H$6:$J$5000,MATCH($A2366,'CONTROLE PRODUÇÃO POR EMPRESAS'!$A$6:$A$5000,0),1),"")),"")</f>
        <v/>
      </c>
      <c r="I2366">
        <f>IF(OR(NOT(ISNUMBER(G2366)),NOT(ISNUMBER(H2366))),"",H2366-G2366)</f>
        <v/>
      </c>
      <c r="J2366">
        <f>IF(OR(NOT(ISNUMBER(G2366)),NOT(ISNUMBER(H2366)),G2366=0),"",I2366/G2366)</f>
        <v/>
      </c>
      <c r="K2366">
        <f>IF(OR(NOT(ISNUMBER(G2366)),NOT(ISNUMBER(H2366)),G2366=0),"",H2366/G2366)</f>
        <v/>
      </c>
      <c r="L2366">
        <f>IF(NOT(ISNUMBER(G2366)),"SEM META",IF(G2366=0,"SEM META",IF(NOT(ISNUMBER(H2366)),"SEM APONTAMENTO",IF(H2366&gt;=G2366,"VERDE",IF(H2366&gt;=G2366*0.9,"AMARELO","VERMELHO")))))</f>
        <v/>
      </c>
    </row>
    <row r="2367">
      <c r="A2367" s="321" t="n">
        <v>46297</v>
      </c>
      <c r="B2367" t="inlineStr">
        <is>
          <t>GERAL</t>
        </is>
      </c>
      <c r="C2367" t="inlineStr">
        <is>
          <t>GLOBO AÇOS</t>
        </is>
      </c>
      <c r="D2367" t="inlineStr">
        <is>
          <t>TELHAR</t>
        </is>
      </c>
      <c r="F2367">
        <f>IFERROR(INDEX('BASE METAS DIÁRIAS'!$AA$2:$AC$358,MATCH($A2367,'BASE METAS DIÁRIAS'!$A$2:$A$358,0),2),"")</f>
        <v/>
      </c>
      <c r="G2367">
        <f>IFERROR(IF(WEEKDAY($A2367,2)&lt;=INDEX('BASE METAS DIÁRIAS'!$X$2:$Z$358,MATCH($A2367,'BASE METAS DIÁRIAS'!$A$2:$A$358,0),2),INDEX('BASE METAS DIÁRIAS'!$U$2:$W$358,MATCH($A2367,'BASE METAS DIÁRIAS'!$A$2:$A$358,0),2),""),"")</f>
        <v/>
      </c>
      <c r="H2367">
        <f>IFERROR(IF(INDEX('CONTROLE PRODUÇÃO POR EMPRESAS'!$H$6:$J$5000,MATCH($A2367,'CONTROLE PRODUÇÃO POR EMPRESAS'!$A$6:$A$5000,0),2)="","",IFERROR(1*INDEX('CONTROLE PRODUÇÃO POR EMPRESAS'!$H$6:$J$5000,MATCH($A2367,'CONTROLE PRODUÇÃO POR EMPRESAS'!$A$6:$A$5000,0),2),"")),"")</f>
        <v/>
      </c>
      <c r="I2367">
        <f>IF(OR(NOT(ISNUMBER(G2367)),NOT(ISNUMBER(H2367))),"",H2367-G2367)</f>
        <v/>
      </c>
      <c r="J2367">
        <f>IF(OR(NOT(ISNUMBER(G2367)),NOT(ISNUMBER(H2367)),G2367=0),"",I2367/G2367)</f>
        <v/>
      </c>
      <c r="K2367">
        <f>IF(OR(NOT(ISNUMBER(G2367)),NOT(ISNUMBER(H2367)),G2367=0),"",H2367/G2367)</f>
        <v/>
      </c>
      <c r="L2367">
        <f>IF(NOT(ISNUMBER(G2367)),"SEM META",IF(G2367=0,"SEM META",IF(NOT(ISNUMBER(H2367)),"SEM APONTAMENTO",IF(H2367&gt;=G2367,"VERDE",IF(H2367&gt;=G2367*0.9,"AMARELO","VERMELHO")))))</f>
        <v/>
      </c>
    </row>
    <row r="2368">
      <c r="A2368" s="321" t="n">
        <v>46297</v>
      </c>
      <c r="B2368" t="inlineStr">
        <is>
          <t>GERAL</t>
        </is>
      </c>
      <c r="C2368" t="inlineStr">
        <is>
          <t>GLOBO AÇOS</t>
        </is>
      </c>
      <c r="D2368" t="inlineStr">
        <is>
          <t>FECHAMENTO</t>
        </is>
      </c>
      <c r="F2368">
        <f>IFERROR(INDEX('BASE METAS DIÁRIAS'!$AA$2:$AC$358,MATCH($A2368,'BASE METAS DIÁRIAS'!$A$2:$A$358,0),3),"")</f>
        <v/>
      </c>
      <c r="G2368">
        <f>IFERROR(IF(WEEKDAY($A2368,2)&lt;=INDEX('BASE METAS DIÁRIAS'!$X$2:$Z$358,MATCH($A2368,'BASE METAS DIÁRIAS'!$A$2:$A$358,0),3),INDEX('BASE METAS DIÁRIAS'!$U$2:$W$358,MATCH($A2368,'BASE METAS DIÁRIAS'!$A$2:$A$358,0),3),""),"")</f>
        <v/>
      </c>
      <c r="H2368">
        <f>IFERROR(IF(INDEX('CONTROLE PRODUÇÃO POR EMPRESAS'!$H$6:$J$5000,MATCH($A2368,'CONTROLE PRODUÇÃO POR EMPRESAS'!$A$6:$A$5000,0),3)="","",IFERROR(1*INDEX('CONTROLE PRODUÇÃO POR EMPRESAS'!$H$6:$J$5000,MATCH($A2368,'CONTROLE PRODUÇÃO POR EMPRESAS'!$A$6:$A$5000,0),3),"")),"")</f>
        <v/>
      </c>
      <c r="I2368">
        <f>IF(OR(NOT(ISNUMBER(G2368)),NOT(ISNUMBER(H2368))),"",H2368-G2368)</f>
        <v/>
      </c>
      <c r="J2368">
        <f>IF(OR(NOT(ISNUMBER(G2368)),NOT(ISNUMBER(H2368)),G2368=0),"",I2368/G2368)</f>
        <v/>
      </c>
      <c r="K2368">
        <f>IF(OR(NOT(ISNUMBER(G2368)),NOT(ISNUMBER(H2368)),G2368=0),"",H2368/G2368)</f>
        <v/>
      </c>
      <c r="L2368">
        <f>IF(NOT(ISNUMBER(G2368)),"SEM META",IF(G2368=0,"SEM META",IF(NOT(ISNUMBER(H2368)),"SEM APONTAMENTO",IF(H2368&gt;=G2368,"VERDE",IF(H2368&gt;=G2368*0.9,"AMARELO","VERMELHO")))))</f>
        <v/>
      </c>
    </row>
    <row r="2369">
      <c r="A2369" s="321" t="n">
        <v>46298</v>
      </c>
      <c r="B2369" t="inlineStr">
        <is>
          <t>GERAL</t>
        </is>
      </c>
      <c r="C2369" t="inlineStr">
        <is>
          <t>GLOBO AÇOS</t>
        </is>
      </c>
      <c r="D2369" t="inlineStr">
        <is>
          <t>PERFILAÇÃO</t>
        </is>
      </c>
      <c r="F2369">
        <f>IFERROR(INDEX('BASE METAS DIÁRIAS'!$AA$2:$AC$358,MATCH($A2369,'BASE METAS DIÁRIAS'!$A$2:$A$358,0),1),"")</f>
        <v/>
      </c>
      <c r="G2369">
        <f>IFERROR(IF(WEEKDAY($A2369,2)&lt;=INDEX('BASE METAS DIÁRIAS'!$X$2:$Z$358,MATCH($A2369,'BASE METAS DIÁRIAS'!$A$2:$A$358,0),1),INDEX('BASE METAS DIÁRIAS'!$U$2:$W$358,MATCH($A2369,'BASE METAS DIÁRIAS'!$A$2:$A$358,0),1),""),"")</f>
        <v/>
      </c>
      <c r="H2369">
        <f>IFERROR(IF(INDEX('CONTROLE PRODUÇÃO POR EMPRESAS'!$H$6:$J$5000,MATCH($A2369,'CONTROLE PRODUÇÃO POR EMPRESAS'!$A$6:$A$5000,0),1)="","",IFERROR(1*INDEX('CONTROLE PRODUÇÃO POR EMPRESAS'!$H$6:$J$5000,MATCH($A2369,'CONTROLE PRODUÇÃO POR EMPRESAS'!$A$6:$A$5000,0),1),"")),"")</f>
        <v/>
      </c>
      <c r="I2369">
        <f>IF(OR(NOT(ISNUMBER(G2369)),NOT(ISNUMBER(H2369))),"",H2369-G2369)</f>
        <v/>
      </c>
      <c r="J2369">
        <f>IF(OR(NOT(ISNUMBER(G2369)),NOT(ISNUMBER(H2369)),G2369=0),"",I2369/G2369)</f>
        <v/>
      </c>
      <c r="K2369">
        <f>IF(OR(NOT(ISNUMBER(G2369)),NOT(ISNUMBER(H2369)),G2369=0),"",H2369/G2369)</f>
        <v/>
      </c>
      <c r="L2369">
        <f>IF(NOT(ISNUMBER(G2369)),"SEM META",IF(G2369=0,"SEM META",IF(NOT(ISNUMBER(H2369)),"SEM APONTAMENTO",IF(H2369&gt;=G2369,"VERDE",IF(H2369&gt;=G2369*0.9,"AMARELO","VERMELHO")))))</f>
        <v/>
      </c>
    </row>
    <row r="2370">
      <c r="A2370" s="321" t="n">
        <v>46298</v>
      </c>
      <c r="B2370" t="inlineStr">
        <is>
          <t>GERAL</t>
        </is>
      </c>
      <c r="C2370" t="inlineStr">
        <is>
          <t>GLOBO AÇOS</t>
        </is>
      </c>
      <c r="D2370" t="inlineStr">
        <is>
          <t>TELHAR</t>
        </is>
      </c>
      <c r="F2370">
        <f>IFERROR(INDEX('BASE METAS DIÁRIAS'!$AA$2:$AC$358,MATCH($A2370,'BASE METAS DIÁRIAS'!$A$2:$A$358,0),2),"")</f>
        <v/>
      </c>
      <c r="G2370">
        <f>IFERROR(IF(WEEKDAY($A2370,2)&lt;=INDEX('BASE METAS DIÁRIAS'!$X$2:$Z$358,MATCH($A2370,'BASE METAS DIÁRIAS'!$A$2:$A$358,0),2),INDEX('BASE METAS DIÁRIAS'!$U$2:$W$358,MATCH($A2370,'BASE METAS DIÁRIAS'!$A$2:$A$358,0),2),""),"")</f>
        <v/>
      </c>
      <c r="H2370">
        <f>IFERROR(IF(INDEX('CONTROLE PRODUÇÃO POR EMPRESAS'!$H$6:$J$5000,MATCH($A2370,'CONTROLE PRODUÇÃO POR EMPRESAS'!$A$6:$A$5000,0),2)="","",IFERROR(1*INDEX('CONTROLE PRODUÇÃO POR EMPRESAS'!$H$6:$J$5000,MATCH($A2370,'CONTROLE PRODUÇÃO POR EMPRESAS'!$A$6:$A$5000,0),2),"")),"")</f>
        <v/>
      </c>
      <c r="I2370">
        <f>IF(OR(NOT(ISNUMBER(G2370)),NOT(ISNUMBER(H2370))),"",H2370-G2370)</f>
        <v/>
      </c>
      <c r="J2370">
        <f>IF(OR(NOT(ISNUMBER(G2370)),NOT(ISNUMBER(H2370)),G2370=0),"",I2370/G2370)</f>
        <v/>
      </c>
      <c r="K2370">
        <f>IF(OR(NOT(ISNUMBER(G2370)),NOT(ISNUMBER(H2370)),G2370=0),"",H2370/G2370)</f>
        <v/>
      </c>
      <c r="L2370">
        <f>IF(NOT(ISNUMBER(G2370)),"SEM META",IF(G2370=0,"SEM META",IF(NOT(ISNUMBER(H2370)),"SEM APONTAMENTO",IF(H2370&gt;=G2370,"VERDE",IF(H2370&gt;=G2370*0.9,"AMARELO","VERMELHO")))))</f>
        <v/>
      </c>
    </row>
    <row r="2371">
      <c r="A2371" s="321" t="n">
        <v>46298</v>
      </c>
      <c r="B2371" t="inlineStr">
        <is>
          <t>GERAL</t>
        </is>
      </c>
      <c r="C2371" t="inlineStr">
        <is>
          <t>GLOBO AÇOS</t>
        </is>
      </c>
      <c r="D2371" t="inlineStr">
        <is>
          <t>FECHAMENTO</t>
        </is>
      </c>
      <c r="F2371">
        <f>IFERROR(INDEX('BASE METAS DIÁRIAS'!$AA$2:$AC$358,MATCH($A2371,'BASE METAS DIÁRIAS'!$A$2:$A$358,0),3),"")</f>
        <v/>
      </c>
      <c r="G2371">
        <f>IFERROR(IF(WEEKDAY($A2371,2)&lt;=INDEX('BASE METAS DIÁRIAS'!$X$2:$Z$358,MATCH($A2371,'BASE METAS DIÁRIAS'!$A$2:$A$358,0),3),INDEX('BASE METAS DIÁRIAS'!$U$2:$W$358,MATCH($A2371,'BASE METAS DIÁRIAS'!$A$2:$A$358,0),3),""),"")</f>
        <v/>
      </c>
      <c r="H2371">
        <f>IFERROR(IF(INDEX('CONTROLE PRODUÇÃO POR EMPRESAS'!$H$6:$J$5000,MATCH($A2371,'CONTROLE PRODUÇÃO POR EMPRESAS'!$A$6:$A$5000,0),3)="","",IFERROR(1*INDEX('CONTROLE PRODUÇÃO POR EMPRESAS'!$H$6:$J$5000,MATCH($A2371,'CONTROLE PRODUÇÃO POR EMPRESAS'!$A$6:$A$5000,0),3),"")),"")</f>
        <v/>
      </c>
      <c r="I2371">
        <f>IF(OR(NOT(ISNUMBER(G2371)),NOT(ISNUMBER(H2371))),"",H2371-G2371)</f>
        <v/>
      </c>
      <c r="J2371">
        <f>IF(OR(NOT(ISNUMBER(G2371)),NOT(ISNUMBER(H2371)),G2371=0),"",I2371/G2371)</f>
        <v/>
      </c>
      <c r="K2371">
        <f>IF(OR(NOT(ISNUMBER(G2371)),NOT(ISNUMBER(H2371)),G2371=0),"",H2371/G2371)</f>
        <v/>
      </c>
      <c r="L2371">
        <f>IF(NOT(ISNUMBER(G2371)),"SEM META",IF(G2371=0,"SEM META",IF(NOT(ISNUMBER(H2371)),"SEM APONTAMENTO",IF(H2371&gt;=G2371,"VERDE",IF(H2371&gt;=G2371*0.9,"AMARELO","VERMELHO")))))</f>
        <v/>
      </c>
    </row>
    <row r="2372">
      <c r="A2372" s="321" t="n">
        <v>46299</v>
      </c>
      <c r="B2372" t="inlineStr">
        <is>
          <t>GERAL</t>
        </is>
      </c>
      <c r="C2372" t="inlineStr">
        <is>
          <t>GLOBO AÇOS</t>
        </is>
      </c>
      <c r="D2372" t="inlineStr">
        <is>
          <t>PERFILAÇÃO</t>
        </is>
      </c>
      <c r="F2372">
        <f>IFERROR(INDEX('BASE METAS DIÁRIAS'!$AA$2:$AC$358,MATCH($A2372,'BASE METAS DIÁRIAS'!$A$2:$A$358,0),1),"")</f>
        <v/>
      </c>
      <c r="G2372">
        <f>IFERROR(IF(WEEKDAY($A2372,2)&lt;=INDEX('BASE METAS DIÁRIAS'!$X$2:$Z$358,MATCH($A2372,'BASE METAS DIÁRIAS'!$A$2:$A$358,0),1),INDEX('BASE METAS DIÁRIAS'!$U$2:$W$358,MATCH($A2372,'BASE METAS DIÁRIAS'!$A$2:$A$358,0),1),""),"")</f>
        <v/>
      </c>
      <c r="H2372">
        <f>IFERROR(IF(INDEX('CONTROLE PRODUÇÃO POR EMPRESAS'!$H$6:$J$5000,MATCH($A2372,'CONTROLE PRODUÇÃO POR EMPRESAS'!$A$6:$A$5000,0),1)="","",IFERROR(1*INDEX('CONTROLE PRODUÇÃO POR EMPRESAS'!$H$6:$J$5000,MATCH($A2372,'CONTROLE PRODUÇÃO POR EMPRESAS'!$A$6:$A$5000,0),1),"")),"")</f>
        <v/>
      </c>
      <c r="I2372">
        <f>IF(OR(NOT(ISNUMBER(G2372)),NOT(ISNUMBER(H2372))),"",H2372-G2372)</f>
        <v/>
      </c>
      <c r="J2372">
        <f>IF(OR(NOT(ISNUMBER(G2372)),NOT(ISNUMBER(H2372)),G2372=0),"",I2372/G2372)</f>
        <v/>
      </c>
      <c r="K2372">
        <f>IF(OR(NOT(ISNUMBER(G2372)),NOT(ISNUMBER(H2372)),G2372=0),"",H2372/G2372)</f>
        <v/>
      </c>
      <c r="L2372">
        <f>IF(NOT(ISNUMBER(G2372)),"SEM META",IF(G2372=0,"SEM META",IF(NOT(ISNUMBER(H2372)),"SEM APONTAMENTO",IF(H2372&gt;=G2372,"VERDE",IF(H2372&gt;=G2372*0.9,"AMARELO","VERMELHO")))))</f>
        <v/>
      </c>
    </row>
    <row r="2373">
      <c r="A2373" s="321" t="n">
        <v>46299</v>
      </c>
      <c r="B2373" t="inlineStr">
        <is>
          <t>GERAL</t>
        </is>
      </c>
      <c r="C2373" t="inlineStr">
        <is>
          <t>GLOBO AÇOS</t>
        </is>
      </c>
      <c r="D2373" t="inlineStr">
        <is>
          <t>TELHAR</t>
        </is>
      </c>
      <c r="F2373">
        <f>IFERROR(INDEX('BASE METAS DIÁRIAS'!$AA$2:$AC$358,MATCH($A2373,'BASE METAS DIÁRIAS'!$A$2:$A$358,0),2),"")</f>
        <v/>
      </c>
      <c r="G2373">
        <f>IFERROR(IF(WEEKDAY($A2373,2)&lt;=INDEX('BASE METAS DIÁRIAS'!$X$2:$Z$358,MATCH($A2373,'BASE METAS DIÁRIAS'!$A$2:$A$358,0),2),INDEX('BASE METAS DIÁRIAS'!$U$2:$W$358,MATCH($A2373,'BASE METAS DIÁRIAS'!$A$2:$A$358,0),2),""),"")</f>
        <v/>
      </c>
      <c r="H2373">
        <f>IFERROR(IF(INDEX('CONTROLE PRODUÇÃO POR EMPRESAS'!$H$6:$J$5000,MATCH($A2373,'CONTROLE PRODUÇÃO POR EMPRESAS'!$A$6:$A$5000,0),2)="","",IFERROR(1*INDEX('CONTROLE PRODUÇÃO POR EMPRESAS'!$H$6:$J$5000,MATCH($A2373,'CONTROLE PRODUÇÃO POR EMPRESAS'!$A$6:$A$5000,0),2),"")),"")</f>
        <v/>
      </c>
      <c r="I2373">
        <f>IF(OR(NOT(ISNUMBER(G2373)),NOT(ISNUMBER(H2373))),"",H2373-G2373)</f>
        <v/>
      </c>
      <c r="J2373">
        <f>IF(OR(NOT(ISNUMBER(G2373)),NOT(ISNUMBER(H2373)),G2373=0),"",I2373/G2373)</f>
        <v/>
      </c>
      <c r="K2373">
        <f>IF(OR(NOT(ISNUMBER(G2373)),NOT(ISNUMBER(H2373)),G2373=0),"",H2373/G2373)</f>
        <v/>
      </c>
      <c r="L2373">
        <f>IF(NOT(ISNUMBER(G2373)),"SEM META",IF(G2373=0,"SEM META",IF(NOT(ISNUMBER(H2373)),"SEM APONTAMENTO",IF(H2373&gt;=G2373,"VERDE",IF(H2373&gt;=G2373*0.9,"AMARELO","VERMELHO")))))</f>
        <v/>
      </c>
    </row>
    <row r="2374">
      <c r="A2374" s="321" t="n">
        <v>46299</v>
      </c>
      <c r="B2374" t="inlineStr">
        <is>
          <t>GERAL</t>
        </is>
      </c>
      <c r="C2374" t="inlineStr">
        <is>
          <t>GLOBO AÇOS</t>
        </is>
      </c>
      <c r="D2374" t="inlineStr">
        <is>
          <t>FECHAMENTO</t>
        </is>
      </c>
      <c r="F2374">
        <f>IFERROR(INDEX('BASE METAS DIÁRIAS'!$AA$2:$AC$358,MATCH($A2374,'BASE METAS DIÁRIAS'!$A$2:$A$358,0),3),"")</f>
        <v/>
      </c>
      <c r="G2374">
        <f>IFERROR(IF(WEEKDAY($A2374,2)&lt;=INDEX('BASE METAS DIÁRIAS'!$X$2:$Z$358,MATCH($A2374,'BASE METAS DIÁRIAS'!$A$2:$A$358,0),3),INDEX('BASE METAS DIÁRIAS'!$U$2:$W$358,MATCH($A2374,'BASE METAS DIÁRIAS'!$A$2:$A$358,0),3),""),"")</f>
        <v/>
      </c>
      <c r="H2374">
        <f>IFERROR(IF(INDEX('CONTROLE PRODUÇÃO POR EMPRESAS'!$H$6:$J$5000,MATCH($A2374,'CONTROLE PRODUÇÃO POR EMPRESAS'!$A$6:$A$5000,0),3)="","",IFERROR(1*INDEX('CONTROLE PRODUÇÃO POR EMPRESAS'!$H$6:$J$5000,MATCH($A2374,'CONTROLE PRODUÇÃO POR EMPRESAS'!$A$6:$A$5000,0),3),"")),"")</f>
        <v/>
      </c>
      <c r="I2374">
        <f>IF(OR(NOT(ISNUMBER(G2374)),NOT(ISNUMBER(H2374))),"",H2374-G2374)</f>
        <v/>
      </c>
      <c r="J2374">
        <f>IF(OR(NOT(ISNUMBER(G2374)),NOT(ISNUMBER(H2374)),G2374=0),"",I2374/G2374)</f>
        <v/>
      </c>
      <c r="K2374">
        <f>IF(OR(NOT(ISNUMBER(G2374)),NOT(ISNUMBER(H2374)),G2374=0),"",H2374/G2374)</f>
        <v/>
      </c>
      <c r="L2374">
        <f>IF(NOT(ISNUMBER(G2374)),"SEM META",IF(G2374=0,"SEM META",IF(NOT(ISNUMBER(H2374)),"SEM APONTAMENTO",IF(H2374&gt;=G2374,"VERDE",IF(H2374&gt;=G2374*0.9,"AMARELO","VERMELHO")))))</f>
        <v/>
      </c>
    </row>
    <row r="2375">
      <c r="A2375" s="321" t="n">
        <v>46300</v>
      </c>
      <c r="B2375" t="inlineStr">
        <is>
          <t>GERAL</t>
        </is>
      </c>
      <c r="C2375" t="inlineStr">
        <is>
          <t>GLOBO AÇOS</t>
        </is>
      </c>
      <c r="D2375" t="inlineStr">
        <is>
          <t>PERFILAÇÃO</t>
        </is>
      </c>
      <c r="F2375">
        <f>IFERROR(INDEX('BASE METAS DIÁRIAS'!$AA$2:$AC$358,MATCH($A2375,'BASE METAS DIÁRIAS'!$A$2:$A$358,0),1),"")</f>
        <v/>
      </c>
      <c r="G2375">
        <f>IFERROR(IF(WEEKDAY($A2375,2)&lt;=INDEX('BASE METAS DIÁRIAS'!$X$2:$Z$358,MATCH($A2375,'BASE METAS DIÁRIAS'!$A$2:$A$358,0),1),INDEX('BASE METAS DIÁRIAS'!$U$2:$W$358,MATCH($A2375,'BASE METAS DIÁRIAS'!$A$2:$A$358,0),1),""),"")</f>
        <v/>
      </c>
      <c r="H2375">
        <f>IFERROR(IF(INDEX('CONTROLE PRODUÇÃO POR EMPRESAS'!$H$6:$J$5000,MATCH($A2375,'CONTROLE PRODUÇÃO POR EMPRESAS'!$A$6:$A$5000,0),1)="","",IFERROR(1*INDEX('CONTROLE PRODUÇÃO POR EMPRESAS'!$H$6:$J$5000,MATCH($A2375,'CONTROLE PRODUÇÃO POR EMPRESAS'!$A$6:$A$5000,0),1),"")),"")</f>
        <v/>
      </c>
      <c r="I2375">
        <f>IF(OR(NOT(ISNUMBER(G2375)),NOT(ISNUMBER(H2375))),"",H2375-G2375)</f>
        <v/>
      </c>
      <c r="J2375">
        <f>IF(OR(NOT(ISNUMBER(G2375)),NOT(ISNUMBER(H2375)),G2375=0),"",I2375/G2375)</f>
        <v/>
      </c>
      <c r="K2375">
        <f>IF(OR(NOT(ISNUMBER(G2375)),NOT(ISNUMBER(H2375)),G2375=0),"",H2375/G2375)</f>
        <v/>
      </c>
      <c r="L2375">
        <f>IF(NOT(ISNUMBER(G2375)),"SEM META",IF(G2375=0,"SEM META",IF(NOT(ISNUMBER(H2375)),"SEM APONTAMENTO",IF(H2375&gt;=G2375,"VERDE",IF(H2375&gt;=G2375*0.9,"AMARELO","VERMELHO")))))</f>
        <v/>
      </c>
    </row>
    <row r="2376">
      <c r="A2376" s="321" t="n">
        <v>46300</v>
      </c>
      <c r="B2376" t="inlineStr">
        <is>
          <t>GERAL</t>
        </is>
      </c>
      <c r="C2376" t="inlineStr">
        <is>
          <t>GLOBO AÇOS</t>
        </is>
      </c>
      <c r="D2376" t="inlineStr">
        <is>
          <t>TELHAR</t>
        </is>
      </c>
      <c r="F2376">
        <f>IFERROR(INDEX('BASE METAS DIÁRIAS'!$AA$2:$AC$358,MATCH($A2376,'BASE METAS DIÁRIAS'!$A$2:$A$358,0),2),"")</f>
        <v/>
      </c>
      <c r="G2376">
        <f>IFERROR(IF(WEEKDAY($A2376,2)&lt;=INDEX('BASE METAS DIÁRIAS'!$X$2:$Z$358,MATCH($A2376,'BASE METAS DIÁRIAS'!$A$2:$A$358,0),2),INDEX('BASE METAS DIÁRIAS'!$U$2:$W$358,MATCH($A2376,'BASE METAS DIÁRIAS'!$A$2:$A$358,0),2),""),"")</f>
        <v/>
      </c>
      <c r="H2376">
        <f>IFERROR(IF(INDEX('CONTROLE PRODUÇÃO POR EMPRESAS'!$H$6:$J$5000,MATCH($A2376,'CONTROLE PRODUÇÃO POR EMPRESAS'!$A$6:$A$5000,0),2)="","",IFERROR(1*INDEX('CONTROLE PRODUÇÃO POR EMPRESAS'!$H$6:$J$5000,MATCH($A2376,'CONTROLE PRODUÇÃO POR EMPRESAS'!$A$6:$A$5000,0),2),"")),"")</f>
        <v/>
      </c>
      <c r="I2376">
        <f>IF(OR(NOT(ISNUMBER(G2376)),NOT(ISNUMBER(H2376))),"",H2376-G2376)</f>
        <v/>
      </c>
      <c r="J2376">
        <f>IF(OR(NOT(ISNUMBER(G2376)),NOT(ISNUMBER(H2376)),G2376=0),"",I2376/G2376)</f>
        <v/>
      </c>
      <c r="K2376">
        <f>IF(OR(NOT(ISNUMBER(G2376)),NOT(ISNUMBER(H2376)),G2376=0),"",H2376/G2376)</f>
        <v/>
      </c>
      <c r="L2376">
        <f>IF(NOT(ISNUMBER(G2376)),"SEM META",IF(G2376=0,"SEM META",IF(NOT(ISNUMBER(H2376)),"SEM APONTAMENTO",IF(H2376&gt;=G2376,"VERDE",IF(H2376&gt;=G2376*0.9,"AMARELO","VERMELHO")))))</f>
        <v/>
      </c>
    </row>
    <row r="2377">
      <c r="A2377" s="321" t="n">
        <v>46300</v>
      </c>
      <c r="B2377" t="inlineStr">
        <is>
          <t>GERAL</t>
        </is>
      </c>
      <c r="C2377" t="inlineStr">
        <is>
          <t>GLOBO AÇOS</t>
        </is>
      </c>
      <c r="D2377" t="inlineStr">
        <is>
          <t>FECHAMENTO</t>
        </is>
      </c>
      <c r="F2377">
        <f>IFERROR(INDEX('BASE METAS DIÁRIAS'!$AA$2:$AC$358,MATCH($A2377,'BASE METAS DIÁRIAS'!$A$2:$A$358,0),3),"")</f>
        <v/>
      </c>
      <c r="G2377">
        <f>IFERROR(IF(WEEKDAY($A2377,2)&lt;=INDEX('BASE METAS DIÁRIAS'!$X$2:$Z$358,MATCH($A2377,'BASE METAS DIÁRIAS'!$A$2:$A$358,0),3),INDEX('BASE METAS DIÁRIAS'!$U$2:$W$358,MATCH($A2377,'BASE METAS DIÁRIAS'!$A$2:$A$358,0),3),""),"")</f>
        <v/>
      </c>
      <c r="H2377">
        <f>IFERROR(IF(INDEX('CONTROLE PRODUÇÃO POR EMPRESAS'!$H$6:$J$5000,MATCH($A2377,'CONTROLE PRODUÇÃO POR EMPRESAS'!$A$6:$A$5000,0),3)="","",IFERROR(1*INDEX('CONTROLE PRODUÇÃO POR EMPRESAS'!$H$6:$J$5000,MATCH($A2377,'CONTROLE PRODUÇÃO POR EMPRESAS'!$A$6:$A$5000,0),3),"")),"")</f>
        <v/>
      </c>
      <c r="I2377">
        <f>IF(OR(NOT(ISNUMBER(G2377)),NOT(ISNUMBER(H2377))),"",H2377-G2377)</f>
        <v/>
      </c>
      <c r="J2377">
        <f>IF(OR(NOT(ISNUMBER(G2377)),NOT(ISNUMBER(H2377)),G2377=0),"",I2377/G2377)</f>
        <v/>
      </c>
      <c r="K2377">
        <f>IF(OR(NOT(ISNUMBER(G2377)),NOT(ISNUMBER(H2377)),G2377=0),"",H2377/G2377)</f>
        <v/>
      </c>
      <c r="L2377">
        <f>IF(NOT(ISNUMBER(G2377)),"SEM META",IF(G2377=0,"SEM META",IF(NOT(ISNUMBER(H2377)),"SEM APONTAMENTO",IF(H2377&gt;=G2377,"VERDE",IF(H2377&gt;=G2377*0.9,"AMARELO","VERMELHO")))))</f>
        <v/>
      </c>
    </row>
    <row r="2378">
      <c r="A2378" s="321" t="n">
        <v>46301</v>
      </c>
      <c r="B2378" t="inlineStr">
        <is>
          <t>GERAL</t>
        </is>
      </c>
      <c r="C2378" t="inlineStr">
        <is>
          <t>GLOBO AÇOS</t>
        </is>
      </c>
      <c r="D2378" t="inlineStr">
        <is>
          <t>PERFILAÇÃO</t>
        </is>
      </c>
      <c r="F2378">
        <f>IFERROR(INDEX('BASE METAS DIÁRIAS'!$AA$2:$AC$358,MATCH($A2378,'BASE METAS DIÁRIAS'!$A$2:$A$358,0),1),"")</f>
        <v/>
      </c>
      <c r="G2378">
        <f>IFERROR(IF(WEEKDAY($A2378,2)&lt;=INDEX('BASE METAS DIÁRIAS'!$X$2:$Z$358,MATCH($A2378,'BASE METAS DIÁRIAS'!$A$2:$A$358,0),1),INDEX('BASE METAS DIÁRIAS'!$U$2:$W$358,MATCH($A2378,'BASE METAS DIÁRIAS'!$A$2:$A$358,0),1),""),"")</f>
        <v/>
      </c>
      <c r="H2378">
        <f>IFERROR(IF(INDEX('CONTROLE PRODUÇÃO POR EMPRESAS'!$H$6:$J$5000,MATCH($A2378,'CONTROLE PRODUÇÃO POR EMPRESAS'!$A$6:$A$5000,0),1)="","",IFERROR(1*INDEX('CONTROLE PRODUÇÃO POR EMPRESAS'!$H$6:$J$5000,MATCH($A2378,'CONTROLE PRODUÇÃO POR EMPRESAS'!$A$6:$A$5000,0),1),"")),"")</f>
        <v/>
      </c>
      <c r="I2378">
        <f>IF(OR(NOT(ISNUMBER(G2378)),NOT(ISNUMBER(H2378))),"",H2378-G2378)</f>
        <v/>
      </c>
      <c r="J2378">
        <f>IF(OR(NOT(ISNUMBER(G2378)),NOT(ISNUMBER(H2378)),G2378=0),"",I2378/G2378)</f>
        <v/>
      </c>
      <c r="K2378">
        <f>IF(OR(NOT(ISNUMBER(G2378)),NOT(ISNUMBER(H2378)),G2378=0),"",H2378/G2378)</f>
        <v/>
      </c>
      <c r="L2378">
        <f>IF(NOT(ISNUMBER(G2378)),"SEM META",IF(G2378=0,"SEM META",IF(NOT(ISNUMBER(H2378)),"SEM APONTAMENTO",IF(H2378&gt;=G2378,"VERDE",IF(H2378&gt;=G2378*0.9,"AMARELO","VERMELHO")))))</f>
        <v/>
      </c>
    </row>
    <row r="2379">
      <c r="A2379" s="321" t="n">
        <v>46301</v>
      </c>
      <c r="B2379" t="inlineStr">
        <is>
          <t>GERAL</t>
        </is>
      </c>
      <c r="C2379" t="inlineStr">
        <is>
          <t>GLOBO AÇOS</t>
        </is>
      </c>
      <c r="D2379" t="inlineStr">
        <is>
          <t>TELHAR</t>
        </is>
      </c>
      <c r="F2379">
        <f>IFERROR(INDEX('BASE METAS DIÁRIAS'!$AA$2:$AC$358,MATCH($A2379,'BASE METAS DIÁRIAS'!$A$2:$A$358,0),2),"")</f>
        <v/>
      </c>
      <c r="G2379">
        <f>IFERROR(IF(WEEKDAY($A2379,2)&lt;=INDEX('BASE METAS DIÁRIAS'!$X$2:$Z$358,MATCH($A2379,'BASE METAS DIÁRIAS'!$A$2:$A$358,0),2),INDEX('BASE METAS DIÁRIAS'!$U$2:$W$358,MATCH($A2379,'BASE METAS DIÁRIAS'!$A$2:$A$358,0),2),""),"")</f>
        <v/>
      </c>
      <c r="H2379">
        <f>IFERROR(IF(INDEX('CONTROLE PRODUÇÃO POR EMPRESAS'!$H$6:$J$5000,MATCH($A2379,'CONTROLE PRODUÇÃO POR EMPRESAS'!$A$6:$A$5000,0),2)="","",IFERROR(1*INDEX('CONTROLE PRODUÇÃO POR EMPRESAS'!$H$6:$J$5000,MATCH($A2379,'CONTROLE PRODUÇÃO POR EMPRESAS'!$A$6:$A$5000,0),2),"")),"")</f>
        <v/>
      </c>
      <c r="I2379">
        <f>IF(OR(NOT(ISNUMBER(G2379)),NOT(ISNUMBER(H2379))),"",H2379-G2379)</f>
        <v/>
      </c>
      <c r="J2379">
        <f>IF(OR(NOT(ISNUMBER(G2379)),NOT(ISNUMBER(H2379)),G2379=0),"",I2379/G2379)</f>
        <v/>
      </c>
      <c r="K2379">
        <f>IF(OR(NOT(ISNUMBER(G2379)),NOT(ISNUMBER(H2379)),G2379=0),"",H2379/G2379)</f>
        <v/>
      </c>
      <c r="L2379">
        <f>IF(NOT(ISNUMBER(G2379)),"SEM META",IF(G2379=0,"SEM META",IF(NOT(ISNUMBER(H2379)),"SEM APONTAMENTO",IF(H2379&gt;=G2379,"VERDE",IF(H2379&gt;=G2379*0.9,"AMARELO","VERMELHO")))))</f>
        <v/>
      </c>
    </row>
    <row r="2380">
      <c r="A2380" s="321" t="n">
        <v>46301</v>
      </c>
      <c r="B2380" t="inlineStr">
        <is>
          <t>GERAL</t>
        </is>
      </c>
      <c r="C2380" t="inlineStr">
        <is>
          <t>GLOBO AÇOS</t>
        </is>
      </c>
      <c r="D2380" t="inlineStr">
        <is>
          <t>FECHAMENTO</t>
        </is>
      </c>
      <c r="F2380">
        <f>IFERROR(INDEX('BASE METAS DIÁRIAS'!$AA$2:$AC$358,MATCH($A2380,'BASE METAS DIÁRIAS'!$A$2:$A$358,0),3),"")</f>
        <v/>
      </c>
      <c r="G2380">
        <f>IFERROR(IF(WEEKDAY($A2380,2)&lt;=INDEX('BASE METAS DIÁRIAS'!$X$2:$Z$358,MATCH($A2380,'BASE METAS DIÁRIAS'!$A$2:$A$358,0),3),INDEX('BASE METAS DIÁRIAS'!$U$2:$W$358,MATCH($A2380,'BASE METAS DIÁRIAS'!$A$2:$A$358,0),3),""),"")</f>
        <v/>
      </c>
      <c r="H2380">
        <f>IFERROR(IF(INDEX('CONTROLE PRODUÇÃO POR EMPRESAS'!$H$6:$J$5000,MATCH($A2380,'CONTROLE PRODUÇÃO POR EMPRESAS'!$A$6:$A$5000,0),3)="","",IFERROR(1*INDEX('CONTROLE PRODUÇÃO POR EMPRESAS'!$H$6:$J$5000,MATCH($A2380,'CONTROLE PRODUÇÃO POR EMPRESAS'!$A$6:$A$5000,0),3),"")),"")</f>
        <v/>
      </c>
      <c r="I2380">
        <f>IF(OR(NOT(ISNUMBER(G2380)),NOT(ISNUMBER(H2380))),"",H2380-G2380)</f>
        <v/>
      </c>
      <c r="J2380">
        <f>IF(OR(NOT(ISNUMBER(G2380)),NOT(ISNUMBER(H2380)),G2380=0),"",I2380/G2380)</f>
        <v/>
      </c>
      <c r="K2380">
        <f>IF(OR(NOT(ISNUMBER(G2380)),NOT(ISNUMBER(H2380)),G2380=0),"",H2380/G2380)</f>
        <v/>
      </c>
      <c r="L2380">
        <f>IF(NOT(ISNUMBER(G2380)),"SEM META",IF(G2380=0,"SEM META",IF(NOT(ISNUMBER(H2380)),"SEM APONTAMENTO",IF(H2380&gt;=G2380,"VERDE",IF(H2380&gt;=G2380*0.9,"AMARELO","VERMELHO")))))</f>
        <v/>
      </c>
    </row>
    <row r="2381">
      <c r="A2381" s="321" t="n">
        <v>46302</v>
      </c>
      <c r="B2381" t="inlineStr">
        <is>
          <t>GERAL</t>
        </is>
      </c>
      <c r="C2381" t="inlineStr">
        <is>
          <t>GLOBO AÇOS</t>
        </is>
      </c>
      <c r="D2381" t="inlineStr">
        <is>
          <t>PERFILAÇÃO</t>
        </is>
      </c>
      <c r="F2381">
        <f>IFERROR(INDEX('BASE METAS DIÁRIAS'!$AA$2:$AC$358,MATCH($A2381,'BASE METAS DIÁRIAS'!$A$2:$A$358,0),1),"")</f>
        <v/>
      </c>
      <c r="G2381">
        <f>IFERROR(IF(WEEKDAY($A2381,2)&lt;=INDEX('BASE METAS DIÁRIAS'!$X$2:$Z$358,MATCH($A2381,'BASE METAS DIÁRIAS'!$A$2:$A$358,0),1),INDEX('BASE METAS DIÁRIAS'!$U$2:$W$358,MATCH($A2381,'BASE METAS DIÁRIAS'!$A$2:$A$358,0),1),""),"")</f>
        <v/>
      </c>
      <c r="H2381">
        <f>IFERROR(IF(INDEX('CONTROLE PRODUÇÃO POR EMPRESAS'!$H$6:$J$5000,MATCH($A2381,'CONTROLE PRODUÇÃO POR EMPRESAS'!$A$6:$A$5000,0),1)="","",IFERROR(1*INDEX('CONTROLE PRODUÇÃO POR EMPRESAS'!$H$6:$J$5000,MATCH($A2381,'CONTROLE PRODUÇÃO POR EMPRESAS'!$A$6:$A$5000,0),1),"")),"")</f>
        <v/>
      </c>
      <c r="I2381">
        <f>IF(OR(NOT(ISNUMBER(G2381)),NOT(ISNUMBER(H2381))),"",H2381-G2381)</f>
        <v/>
      </c>
      <c r="J2381">
        <f>IF(OR(NOT(ISNUMBER(G2381)),NOT(ISNUMBER(H2381)),G2381=0),"",I2381/G2381)</f>
        <v/>
      </c>
      <c r="K2381">
        <f>IF(OR(NOT(ISNUMBER(G2381)),NOT(ISNUMBER(H2381)),G2381=0),"",H2381/G2381)</f>
        <v/>
      </c>
      <c r="L2381">
        <f>IF(NOT(ISNUMBER(G2381)),"SEM META",IF(G2381=0,"SEM META",IF(NOT(ISNUMBER(H2381)),"SEM APONTAMENTO",IF(H2381&gt;=G2381,"VERDE",IF(H2381&gt;=G2381*0.9,"AMARELO","VERMELHO")))))</f>
        <v/>
      </c>
    </row>
    <row r="2382">
      <c r="A2382" s="321" t="n">
        <v>46302</v>
      </c>
      <c r="B2382" t="inlineStr">
        <is>
          <t>GERAL</t>
        </is>
      </c>
      <c r="C2382" t="inlineStr">
        <is>
          <t>GLOBO AÇOS</t>
        </is>
      </c>
      <c r="D2382" t="inlineStr">
        <is>
          <t>TELHAR</t>
        </is>
      </c>
      <c r="F2382">
        <f>IFERROR(INDEX('BASE METAS DIÁRIAS'!$AA$2:$AC$358,MATCH($A2382,'BASE METAS DIÁRIAS'!$A$2:$A$358,0),2),"")</f>
        <v/>
      </c>
      <c r="G2382">
        <f>IFERROR(IF(WEEKDAY($A2382,2)&lt;=INDEX('BASE METAS DIÁRIAS'!$X$2:$Z$358,MATCH($A2382,'BASE METAS DIÁRIAS'!$A$2:$A$358,0),2),INDEX('BASE METAS DIÁRIAS'!$U$2:$W$358,MATCH($A2382,'BASE METAS DIÁRIAS'!$A$2:$A$358,0),2),""),"")</f>
        <v/>
      </c>
      <c r="H2382">
        <f>IFERROR(IF(INDEX('CONTROLE PRODUÇÃO POR EMPRESAS'!$H$6:$J$5000,MATCH($A2382,'CONTROLE PRODUÇÃO POR EMPRESAS'!$A$6:$A$5000,0),2)="","",IFERROR(1*INDEX('CONTROLE PRODUÇÃO POR EMPRESAS'!$H$6:$J$5000,MATCH($A2382,'CONTROLE PRODUÇÃO POR EMPRESAS'!$A$6:$A$5000,0),2),"")),"")</f>
        <v/>
      </c>
      <c r="I2382">
        <f>IF(OR(NOT(ISNUMBER(G2382)),NOT(ISNUMBER(H2382))),"",H2382-G2382)</f>
        <v/>
      </c>
      <c r="J2382">
        <f>IF(OR(NOT(ISNUMBER(G2382)),NOT(ISNUMBER(H2382)),G2382=0),"",I2382/G2382)</f>
        <v/>
      </c>
      <c r="K2382">
        <f>IF(OR(NOT(ISNUMBER(G2382)),NOT(ISNUMBER(H2382)),G2382=0),"",H2382/G2382)</f>
        <v/>
      </c>
      <c r="L2382">
        <f>IF(NOT(ISNUMBER(G2382)),"SEM META",IF(G2382=0,"SEM META",IF(NOT(ISNUMBER(H2382)),"SEM APONTAMENTO",IF(H2382&gt;=G2382,"VERDE",IF(H2382&gt;=G2382*0.9,"AMARELO","VERMELHO")))))</f>
        <v/>
      </c>
    </row>
    <row r="2383">
      <c r="A2383" s="321" t="n">
        <v>46302</v>
      </c>
      <c r="B2383" t="inlineStr">
        <is>
          <t>GERAL</t>
        </is>
      </c>
      <c r="C2383" t="inlineStr">
        <is>
          <t>GLOBO AÇOS</t>
        </is>
      </c>
      <c r="D2383" t="inlineStr">
        <is>
          <t>FECHAMENTO</t>
        </is>
      </c>
      <c r="F2383">
        <f>IFERROR(INDEX('BASE METAS DIÁRIAS'!$AA$2:$AC$358,MATCH($A2383,'BASE METAS DIÁRIAS'!$A$2:$A$358,0),3),"")</f>
        <v/>
      </c>
      <c r="G2383">
        <f>IFERROR(IF(WEEKDAY($A2383,2)&lt;=INDEX('BASE METAS DIÁRIAS'!$X$2:$Z$358,MATCH($A2383,'BASE METAS DIÁRIAS'!$A$2:$A$358,0),3),INDEX('BASE METAS DIÁRIAS'!$U$2:$W$358,MATCH($A2383,'BASE METAS DIÁRIAS'!$A$2:$A$358,0),3),""),"")</f>
        <v/>
      </c>
      <c r="H2383">
        <f>IFERROR(IF(INDEX('CONTROLE PRODUÇÃO POR EMPRESAS'!$H$6:$J$5000,MATCH($A2383,'CONTROLE PRODUÇÃO POR EMPRESAS'!$A$6:$A$5000,0),3)="","",IFERROR(1*INDEX('CONTROLE PRODUÇÃO POR EMPRESAS'!$H$6:$J$5000,MATCH($A2383,'CONTROLE PRODUÇÃO POR EMPRESAS'!$A$6:$A$5000,0),3),"")),"")</f>
        <v/>
      </c>
      <c r="I2383">
        <f>IF(OR(NOT(ISNUMBER(G2383)),NOT(ISNUMBER(H2383))),"",H2383-G2383)</f>
        <v/>
      </c>
      <c r="J2383">
        <f>IF(OR(NOT(ISNUMBER(G2383)),NOT(ISNUMBER(H2383)),G2383=0),"",I2383/G2383)</f>
        <v/>
      </c>
      <c r="K2383">
        <f>IF(OR(NOT(ISNUMBER(G2383)),NOT(ISNUMBER(H2383)),G2383=0),"",H2383/G2383)</f>
        <v/>
      </c>
      <c r="L2383">
        <f>IF(NOT(ISNUMBER(G2383)),"SEM META",IF(G2383=0,"SEM META",IF(NOT(ISNUMBER(H2383)),"SEM APONTAMENTO",IF(H2383&gt;=G2383,"VERDE",IF(H2383&gt;=G2383*0.9,"AMARELO","VERMELHO")))))</f>
        <v/>
      </c>
    </row>
    <row r="2384">
      <c r="A2384" s="321" t="n">
        <v>46303</v>
      </c>
      <c r="B2384" t="inlineStr">
        <is>
          <t>GERAL</t>
        </is>
      </c>
      <c r="C2384" t="inlineStr">
        <is>
          <t>GLOBO AÇOS</t>
        </is>
      </c>
      <c r="D2384" t="inlineStr">
        <is>
          <t>PERFILAÇÃO</t>
        </is>
      </c>
      <c r="F2384">
        <f>IFERROR(INDEX('BASE METAS DIÁRIAS'!$AA$2:$AC$358,MATCH($A2384,'BASE METAS DIÁRIAS'!$A$2:$A$358,0),1),"")</f>
        <v/>
      </c>
      <c r="G2384">
        <f>IFERROR(IF(WEEKDAY($A2384,2)&lt;=INDEX('BASE METAS DIÁRIAS'!$X$2:$Z$358,MATCH($A2384,'BASE METAS DIÁRIAS'!$A$2:$A$358,0),1),INDEX('BASE METAS DIÁRIAS'!$U$2:$W$358,MATCH($A2384,'BASE METAS DIÁRIAS'!$A$2:$A$358,0),1),""),"")</f>
        <v/>
      </c>
      <c r="H2384">
        <f>IFERROR(IF(INDEX('CONTROLE PRODUÇÃO POR EMPRESAS'!$H$6:$J$5000,MATCH($A2384,'CONTROLE PRODUÇÃO POR EMPRESAS'!$A$6:$A$5000,0),1)="","",IFERROR(1*INDEX('CONTROLE PRODUÇÃO POR EMPRESAS'!$H$6:$J$5000,MATCH($A2384,'CONTROLE PRODUÇÃO POR EMPRESAS'!$A$6:$A$5000,0),1),"")),"")</f>
        <v/>
      </c>
      <c r="I2384">
        <f>IF(OR(NOT(ISNUMBER(G2384)),NOT(ISNUMBER(H2384))),"",H2384-G2384)</f>
        <v/>
      </c>
      <c r="J2384">
        <f>IF(OR(NOT(ISNUMBER(G2384)),NOT(ISNUMBER(H2384)),G2384=0),"",I2384/G2384)</f>
        <v/>
      </c>
      <c r="K2384">
        <f>IF(OR(NOT(ISNUMBER(G2384)),NOT(ISNUMBER(H2384)),G2384=0),"",H2384/G2384)</f>
        <v/>
      </c>
      <c r="L2384">
        <f>IF(NOT(ISNUMBER(G2384)),"SEM META",IF(G2384=0,"SEM META",IF(NOT(ISNUMBER(H2384)),"SEM APONTAMENTO",IF(H2384&gt;=G2384,"VERDE",IF(H2384&gt;=G2384*0.9,"AMARELO","VERMELHO")))))</f>
        <v/>
      </c>
    </row>
    <row r="2385">
      <c r="A2385" s="321" t="n">
        <v>46303</v>
      </c>
      <c r="B2385" t="inlineStr">
        <is>
          <t>GERAL</t>
        </is>
      </c>
      <c r="C2385" t="inlineStr">
        <is>
          <t>GLOBO AÇOS</t>
        </is>
      </c>
      <c r="D2385" t="inlineStr">
        <is>
          <t>TELHAR</t>
        </is>
      </c>
      <c r="F2385">
        <f>IFERROR(INDEX('BASE METAS DIÁRIAS'!$AA$2:$AC$358,MATCH($A2385,'BASE METAS DIÁRIAS'!$A$2:$A$358,0),2),"")</f>
        <v/>
      </c>
      <c r="G2385">
        <f>IFERROR(IF(WEEKDAY($A2385,2)&lt;=INDEX('BASE METAS DIÁRIAS'!$X$2:$Z$358,MATCH($A2385,'BASE METAS DIÁRIAS'!$A$2:$A$358,0),2),INDEX('BASE METAS DIÁRIAS'!$U$2:$W$358,MATCH($A2385,'BASE METAS DIÁRIAS'!$A$2:$A$358,0),2),""),"")</f>
        <v/>
      </c>
      <c r="H2385">
        <f>IFERROR(IF(INDEX('CONTROLE PRODUÇÃO POR EMPRESAS'!$H$6:$J$5000,MATCH($A2385,'CONTROLE PRODUÇÃO POR EMPRESAS'!$A$6:$A$5000,0),2)="","",IFERROR(1*INDEX('CONTROLE PRODUÇÃO POR EMPRESAS'!$H$6:$J$5000,MATCH($A2385,'CONTROLE PRODUÇÃO POR EMPRESAS'!$A$6:$A$5000,0),2),"")),"")</f>
        <v/>
      </c>
      <c r="I2385">
        <f>IF(OR(NOT(ISNUMBER(G2385)),NOT(ISNUMBER(H2385))),"",H2385-G2385)</f>
        <v/>
      </c>
      <c r="J2385">
        <f>IF(OR(NOT(ISNUMBER(G2385)),NOT(ISNUMBER(H2385)),G2385=0),"",I2385/G2385)</f>
        <v/>
      </c>
      <c r="K2385">
        <f>IF(OR(NOT(ISNUMBER(G2385)),NOT(ISNUMBER(H2385)),G2385=0),"",H2385/G2385)</f>
        <v/>
      </c>
      <c r="L2385">
        <f>IF(NOT(ISNUMBER(G2385)),"SEM META",IF(G2385=0,"SEM META",IF(NOT(ISNUMBER(H2385)),"SEM APONTAMENTO",IF(H2385&gt;=G2385,"VERDE",IF(H2385&gt;=G2385*0.9,"AMARELO","VERMELHO")))))</f>
        <v/>
      </c>
    </row>
    <row r="2386">
      <c r="A2386" s="321" t="n">
        <v>46303</v>
      </c>
      <c r="B2386" t="inlineStr">
        <is>
          <t>GERAL</t>
        </is>
      </c>
      <c r="C2386" t="inlineStr">
        <is>
          <t>GLOBO AÇOS</t>
        </is>
      </c>
      <c r="D2386" t="inlineStr">
        <is>
          <t>FECHAMENTO</t>
        </is>
      </c>
      <c r="F2386">
        <f>IFERROR(INDEX('BASE METAS DIÁRIAS'!$AA$2:$AC$358,MATCH($A2386,'BASE METAS DIÁRIAS'!$A$2:$A$358,0),3),"")</f>
        <v/>
      </c>
      <c r="G2386">
        <f>IFERROR(IF(WEEKDAY($A2386,2)&lt;=INDEX('BASE METAS DIÁRIAS'!$X$2:$Z$358,MATCH($A2386,'BASE METAS DIÁRIAS'!$A$2:$A$358,0),3),INDEX('BASE METAS DIÁRIAS'!$U$2:$W$358,MATCH($A2386,'BASE METAS DIÁRIAS'!$A$2:$A$358,0),3),""),"")</f>
        <v/>
      </c>
      <c r="H2386">
        <f>IFERROR(IF(INDEX('CONTROLE PRODUÇÃO POR EMPRESAS'!$H$6:$J$5000,MATCH($A2386,'CONTROLE PRODUÇÃO POR EMPRESAS'!$A$6:$A$5000,0),3)="","",IFERROR(1*INDEX('CONTROLE PRODUÇÃO POR EMPRESAS'!$H$6:$J$5000,MATCH($A2386,'CONTROLE PRODUÇÃO POR EMPRESAS'!$A$6:$A$5000,0),3),"")),"")</f>
        <v/>
      </c>
      <c r="I2386">
        <f>IF(OR(NOT(ISNUMBER(G2386)),NOT(ISNUMBER(H2386))),"",H2386-G2386)</f>
        <v/>
      </c>
      <c r="J2386">
        <f>IF(OR(NOT(ISNUMBER(G2386)),NOT(ISNUMBER(H2386)),G2386=0),"",I2386/G2386)</f>
        <v/>
      </c>
      <c r="K2386">
        <f>IF(OR(NOT(ISNUMBER(G2386)),NOT(ISNUMBER(H2386)),G2386=0),"",H2386/G2386)</f>
        <v/>
      </c>
      <c r="L2386">
        <f>IF(NOT(ISNUMBER(G2386)),"SEM META",IF(G2386=0,"SEM META",IF(NOT(ISNUMBER(H2386)),"SEM APONTAMENTO",IF(H2386&gt;=G2386,"VERDE",IF(H2386&gt;=G2386*0.9,"AMARELO","VERMELHO")))))</f>
        <v/>
      </c>
    </row>
    <row r="2387">
      <c r="A2387" s="321" t="n">
        <v>46304</v>
      </c>
      <c r="B2387" t="inlineStr">
        <is>
          <t>GERAL</t>
        </is>
      </c>
      <c r="C2387" t="inlineStr">
        <is>
          <t>GLOBO AÇOS</t>
        </is>
      </c>
      <c r="D2387" t="inlineStr">
        <is>
          <t>PERFILAÇÃO</t>
        </is>
      </c>
      <c r="F2387">
        <f>IFERROR(INDEX('BASE METAS DIÁRIAS'!$AA$2:$AC$358,MATCH($A2387,'BASE METAS DIÁRIAS'!$A$2:$A$358,0),1),"")</f>
        <v/>
      </c>
      <c r="G2387">
        <f>IFERROR(IF(WEEKDAY($A2387,2)&lt;=INDEX('BASE METAS DIÁRIAS'!$X$2:$Z$358,MATCH($A2387,'BASE METAS DIÁRIAS'!$A$2:$A$358,0),1),INDEX('BASE METAS DIÁRIAS'!$U$2:$W$358,MATCH($A2387,'BASE METAS DIÁRIAS'!$A$2:$A$358,0),1),""),"")</f>
        <v/>
      </c>
      <c r="H2387">
        <f>IFERROR(IF(INDEX('CONTROLE PRODUÇÃO POR EMPRESAS'!$H$6:$J$5000,MATCH($A2387,'CONTROLE PRODUÇÃO POR EMPRESAS'!$A$6:$A$5000,0),1)="","",IFERROR(1*INDEX('CONTROLE PRODUÇÃO POR EMPRESAS'!$H$6:$J$5000,MATCH($A2387,'CONTROLE PRODUÇÃO POR EMPRESAS'!$A$6:$A$5000,0),1),"")),"")</f>
        <v/>
      </c>
      <c r="I2387">
        <f>IF(OR(NOT(ISNUMBER(G2387)),NOT(ISNUMBER(H2387))),"",H2387-G2387)</f>
        <v/>
      </c>
      <c r="J2387">
        <f>IF(OR(NOT(ISNUMBER(G2387)),NOT(ISNUMBER(H2387)),G2387=0),"",I2387/G2387)</f>
        <v/>
      </c>
      <c r="K2387">
        <f>IF(OR(NOT(ISNUMBER(G2387)),NOT(ISNUMBER(H2387)),G2387=0),"",H2387/G2387)</f>
        <v/>
      </c>
      <c r="L2387">
        <f>IF(NOT(ISNUMBER(G2387)),"SEM META",IF(G2387=0,"SEM META",IF(NOT(ISNUMBER(H2387)),"SEM APONTAMENTO",IF(H2387&gt;=G2387,"VERDE",IF(H2387&gt;=G2387*0.9,"AMARELO","VERMELHO")))))</f>
        <v/>
      </c>
    </row>
    <row r="2388">
      <c r="A2388" s="321" t="n">
        <v>46304</v>
      </c>
      <c r="B2388" t="inlineStr">
        <is>
          <t>GERAL</t>
        </is>
      </c>
      <c r="C2388" t="inlineStr">
        <is>
          <t>GLOBO AÇOS</t>
        </is>
      </c>
      <c r="D2388" t="inlineStr">
        <is>
          <t>TELHAR</t>
        </is>
      </c>
      <c r="F2388">
        <f>IFERROR(INDEX('BASE METAS DIÁRIAS'!$AA$2:$AC$358,MATCH($A2388,'BASE METAS DIÁRIAS'!$A$2:$A$358,0),2),"")</f>
        <v/>
      </c>
      <c r="G2388">
        <f>IFERROR(IF(WEEKDAY($A2388,2)&lt;=INDEX('BASE METAS DIÁRIAS'!$X$2:$Z$358,MATCH($A2388,'BASE METAS DIÁRIAS'!$A$2:$A$358,0),2),INDEX('BASE METAS DIÁRIAS'!$U$2:$W$358,MATCH($A2388,'BASE METAS DIÁRIAS'!$A$2:$A$358,0),2),""),"")</f>
        <v/>
      </c>
      <c r="H2388">
        <f>IFERROR(IF(INDEX('CONTROLE PRODUÇÃO POR EMPRESAS'!$H$6:$J$5000,MATCH($A2388,'CONTROLE PRODUÇÃO POR EMPRESAS'!$A$6:$A$5000,0),2)="","",IFERROR(1*INDEX('CONTROLE PRODUÇÃO POR EMPRESAS'!$H$6:$J$5000,MATCH($A2388,'CONTROLE PRODUÇÃO POR EMPRESAS'!$A$6:$A$5000,0),2),"")),"")</f>
        <v/>
      </c>
      <c r="I2388">
        <f>IF(OR(NOT(ISNUMBER(G2388)),NOT(ISNUMBER(H2388))),"",H2388-G2388)</f>
        <v/>
      </c>
      <c r="J2388">
        <f>IF(OR(NOT(ISNUMBER(G2388)),NOT(ISNUMBER(H2388)),G2388=0),"",I2388/G2388)</f>
        <v/>
      </c>
      <c r="K2388">
        <f>IF(OR(NOT(ISNUMBER(G2388)),NOT(ISNUMBER(H2388)),G2388=0),"",H2388/G2388)</f>
        <v/>
      </c>
      <c r="L2388">
        <f>IF(NOT(ISNUMBER(G2388)),"SEM META",IF(G2388=0,"SEM META",IF(NOT(ISNUMBER(H2388)),"SEM APONTAMENTO",IF(H2388&gt;=G2388,"VERDE",IF(H2388&gt;=G2388*0.9,"AMARELO","VERMELHO")))))</f>
        <v/>
      </c>
    </row>
    <row r="2389">
      <c r="A2389" s="321" t="n">
        <v>46304</v>
      </c>
      <c r="B2389" t="inlineStr">
        <is>
          <t>GERAL</t>
        </is>
      </c>
      <c r="C2389" t="inlineStr">
        <is>
          <t>GLOBO AÇOS</t>
        </is>
      </c>
      <c r="D2389" t="inlineStr">
        <is>
          <t>FECHAMENTO</t>
        </is>
      </c>
      <c r="F2389">
        <f>IFERROR(INDEX('BASE METAS DIÁRIAS'!$AA$2:$AC$358,MATCH($A2389,'BASE METAS DIÁRIAS'!$A$2:$A$358,0),3),"")</f>
        <v/>
      </c>
      <c r="G2389">
        <f>IFERROR(IF(WEEKDAY($A2389,2)&lt;=INDEX('BASE METAS DIÁRIAS'!$X$2:$Z$358,MATCH($A2389,'BASE METAS DIÁRIAS'!$A$2:$A$358,0),3),INDEX('BASE METAS DIÁRIAS'!$U$2:$W$358,MATCH($A2389,'BASE METAS DIÁRIAS'!$A$2:$A$358,0),3),""),"")</f>
        <v/>
      </c>
      <c r="H2389">
        <f>IFERROR(IF(INDEX('CONTROLE PRODUÇÃO POR EMPRESAS'!$H$6:$J$5000,MATCH($A2389,'CONTROLE PRODUÇÃO POR EMPRESAS'!$A$6:$A$5000,0),3)="","",IFERROR(1*INDEX('CONTROLE PRODUÇÃO POR EMPRESAS'!$H$6:$J$5000,MATCH($A2389,'CONTROLE PRODUÇÃO POR EMPRESAS'!$A$6:$A$5000,0),3),"")),"")</f>
        <v/>
      </c>
      <c r="I2389">
        <f>IF(OR(NOT(ISNUMBER(G2389)),NOT(ISNUMBER(H2389))),"",H2389-G2389)</f>
        <v/>
      </c>
      <c r="J2389">
        <f>IF(OR(NOT(ISNUMBER(G2389)),NOT(ISNUMBER(H2389)),G2389=0),"",I2389/G2389)</f>
        <v/>
      </c>
      <c r="K2389">
        <f>IF(OR(NOT(ISNUMBER(G2389)),NOT(ISNUMBER(H2389)),G2389=0),"",H2389/G2389)</f>
        <v/>
      </c>
      <c r="L2389">
        <f>IF(NOT(ISNUMBER(G2389)),"SEM META",IF(G2389=0,"SEM META",IF(NOT(ISNUMBER(H2389)),"SEM APONTAMENTO",IF(H2389&gt;=G2389,"VERDE",IF(H2389&gt;=G2389*0.9,"AMARELO","VERMELHO")))))</f>
        <v/>
      </c>
    </row>
    <row r="2390">
      <c r="A2390" s="321" t="n">
        <v>46305</v>
      </c>
      <c r="B2390" t="inlineStr">
        <is>
          <t>GERAL</t>
        </is>
      </c>
      <c r="C2390" t="inlineStr">
        <is>
          <t>GLOBO AÇOS</t>
        </is>
      </c>
      <c r="D2390" t="inlineStr">
        <is>
          <t>PERFILAÇÃO</t>
        </is>
      </c>
      <c r="F2390">
        <f>IFERROR(INDEX('BASE METAS DIÁRIAS'!$AA$2:$AC$358,MATCH($A2390,'BASE METAS DIÁRIAS'!$A$2:$A$358,0),1),"")</f>
        <v/>
      </c>
      <c r="G2390">
        <f>IFERROR(IF(WEEKDAY($A2390,2)&lt;=INDEX('BASE METAS DIÁRIAS'!$X$2:$Z$358,MATCH($A2390,'BASE METAS DIÁRIAS'!$A$2:$A$358,0),1),INDEX('BASE METAS DIÁRIAS'!$U$2:$W$358,MATCH($A2390,'BASE METAS DIÁRIAS'!$A$2:$A$358,0),1),""),"")</f>
        <v/>
      </c>
      <c r="H2390">
        <f>IFERROR(IF(INDEX('CONTROLE PRODUÇÃO POR EMPRESAS'!$H$6:$J$5000,MATCH($A2390,'CONTROLE PRODUÇÃO POR EMPRESAS'!$A$6:$A$5000,0),1)="","",IFERROR(1*INDEX('CONTROLE PRODUÇÃO POR EMPRESAS'!$H$6:$J$5000,MATCH($A2390,'CONTROLE PRODUÇÃO POR EMPRESAS'!$A$6:$A$5000,0),1),"")),"")</f>
        <v/>
      </c>
      <c r="I2390">
        <f>IF(OR(NOT(ISNUMBER(G2390)),NOT(ISNUMBER(H2390))),"",H2390-G2390)</f>
        <v/>
      </c>
      <c r="J2390">
        <f>IF(OR(NOT(ISNUMBER(G2390)),NOT(ISNUMBER(H2390)),G2390=0),"",I2390/G2390)</f>
        <v/>
      </c>
      <c r="K2390">
        <f>IF(OR(NOT(ISNUMBER(G2390)),NOT(ISNUMBER(H2390)),G2390=0),"",H2390/G2390)</f>
        <v/>
      </c>
      <c r="L2390">
        <f>IF(NOT(ISNUMBER(G2390)),"SEM META",IF(G2390=0,"SEM META",IF(NOT(ISNUMBER(H2390)),"SEM APONTAMENTO",IF(H2390&gt;=G2390,"VERDE",IF(H2390&gt;=G2390*0.9,"AMARELO","VERMELHO")))))</f>
        <v/>
      </c>
    </row>
    <row r="2391">
      <c r="A2391" s="321" t="n">
        <v>46305</v>
      </c>
      <c r="B2391" t="inlineStr">
        <is>
          <t>GERAL</t>
        </is>
      </c>
      <c r="C2391" t="inlineStr">
        <is>
          <t>GLOBO AÇOS</t>
        </is>
      </c>
      <c r="D2391" t="inlineStr">
        <is>
          <t>TELHAR</t>
        </is>
      </c>
      <c r="F2391">
        <f>IFERROR(INDEX('BASE METAS DIÁRIAS'!$AA$2:$AC$358,MATCH($A2391,'BASE METAS DIÁRIAS'!$A$2:$A$358,0),2),"")</f>
        <v/>
      </c>
      <c r="G2391">
        <f>IFERROR(IF(WEEKDAY($A2391,2)&lt;=INDEX('BASE METAS DIÁRIAS'!$X$2:$Z$358,MATCH($A2391,'BASE METAS DIÁRIAS'!$A$2:$A$358,0),2),INDEX('BASE METAS DIÁRIAS'!$U$2:$W$358,MATCH($A2391,'BASE METAS DIÁRIAS'!$A$2:$A$358,0),2),""),"")</f>
        <v/>
      </c>
      <c r="H2391">
        <f>IFERROR(IF(INDEX('CONTROLE PRODUÇÃO POR EMPRESAS'!$H$6:$J$5000,MATCH($A2391,'CONTROLE PRODUÇÃO POR EMPRESAS'!$A$6:$A$5000,0),2)="","",IFERROR(1*INDEX('CONTROLE PRODUÇÃO POR EMPRESAS'!$H$6:$J$5000,MATCH($A2391,'CONTROLE PRODUÇÃO POR EMPRESAS'!$A$6:$A$5000,0),2),"")),"")</f>
        <v/>
      </c>
      <c r="I2391">
        <f>IF(OR(NOT(ISNUMBER(G2391)),NOT(ISNUMBER(H2391))),"",H2391-G2391)</f>
        <v/>
      </c>
      <c r="J2391">
        <f>IF(OR(NOT(ISNUMBER(G2391)),NOT(ISNUMBER(H2391)),G2391=0),"",I2391/G2391)</f>
        <v/>
      </c>
      <c r="K2391">
        <f>IF(OR(NOT(ISNUMBER(G2391)),NOT(ISNUMBER(H2391)),G2391=0),"",H2391/G2391)</f>
        <v/>
      </c>
      <c r="L2391">
        <f>IF(NOT(ISNUMBER(G2391)),"SEM META",IF(G2391=0,"SEM META",IF(NOT(ISNUMBER(H2391)),"SEM APONTAMENTO",IF(H2391&gt;=G2391,"VERDE",IF(H2391&gt;=G2391*0.9,"AMARELO","VERMELHO")))))</f>
        <v/>
      </c>
    </row>
    <row r="2392">
      <c r="A2392" s="321" t="n">
        <v>46305</v>
      </c>
      <c r="B2392" t="inlineStr">
        <is>
          <t>GERAL</t>
        </is>
      </c>
      <c r="C2392" t="inlineStr">
        <is>
          <t>GLOBO AÇOS</t>
        </is>
      </c>
      <c r="D2392" t="inlineStr">
        <is>
          <t>FECHAMENTO</t>
        </is>
      </c>
      <c r="F2392">
        <f>IFERROR(INDEX('BASE METAS DIÁRIAS'!$AA$2:$AC$358,MATCH($A2392,'BASE METAS DIÁRIAS'!$A$2:$A$358,0),3),"")</f>
        <v/>
      </c>
      <c r="G2392">
        <f>IFERROR(IF(WEEKDAY($A2392,2)&lt;=INDEX('BASE METAS DIÁRIAS'!$X$2:$Z$358,MATCH($A2392,'BASE METAS DIÁRIAS'!$A$2:$A$358,0),3),INDEX('BASE METAS DIÁRIAS'!$U$2:$W$358,MATCH($A2392,'BASE METAS DIÁRIAS'!$A$2:$A$358,0),3),""),"")</f>
        <v/>
      </c>
      <c r="H2392">
        <f>IFERROR(IF(INDEX('CONTROLE PRODUÇÃO POR EMPRESAS'!$H$6:$J$5000,MATCH($A2392,'CONTROLE PRODUÇÃO POR EMPRESAS'!$A$6:$A$5000,0),3)="","",IFERROR(1*INDEX('CONTROLE PRODUÇÃO POR EMPRESAS'!$H$6:$J$5000,MATCH($A2392,'CONTROLE PRODUÇÃO POR EMPRESAS'!$A$6:$A$5000,0),3),"")),"")</f>
        <v/>
      </c>
      <c r="I2392">
        <f>IF(OR(NOT(ISNUMBER(G2392)),NOT(ISNUMBER(H2392))),"",H2392-G2392)</f>
        <v/>
      </c>
      <c r="J2392">
        <f>IF(OR(NOT(ISNUMBER(G2392)),NOT(ISNUMBER(H2392)),G2392=0),"",I2392/G2392)</f>
        <v/>
      </c>
      <c r="K2392">
        <f>IF(OR(NOT(ISNUMBER(G2392)),NOT(ISNUMBER(H2392)),G2392=0),"",H2392/G2392)</f>
        <v/>
      </c>
      <c r="L2392">
        <f>IF(NOT(ISNUMBER(G2392)),"SEM META",IF(G2392=0,"SEM META",IF(NOT(ISNUMBER(H2392)),"SEM APONTAMENTO",IF(H2392&gt;=G2392,"VERDE",IF(H2392&gt;=G2392*0.9,"AMARELO","VERMELHO")))))</f>
        <v/>
      </c>
    </row>
    <row r="2393">
      <c r="A2393" s="321" t="n">
        <v>46306</v>
      </c>
      <c r="B2393" t="inlineStr">
        <is>
          <t>GERAL</t>
        </is>
      </c>
      <c r="C2393" t="inlineStr">
        <is>
          <t>GLOBO AÇOS</t>
        </is>
      </c>
      <c r="D2393" t="inlineStr">
        <is>
          <t>PERFILAÇÃO</t>
        </is>
      </c>
      <c r="F2393">
        <f>IFERROR(INDEX('BASE METAS DIÁRIAS'!$AA$2:$AC$358,MATCH($A2393,'BASE METAS DIÁRIAS'!$A$2:$A$358,0),1),"")</f>
        <v/>
      </c>
      <c r="G2393">
        <f>IFERROR(IF(WEEKDAY($A2393,2)&lt;=INDEX('BASE METAS DIÁRIAS'!$X$2:$Z$358,MATCH($A2393,'BASE METAS DIÁRIAS'!$A$2:$A$358,0),1),INDEX('BASE METAS DIÁRIAS'!$U$2:$W$358,MATCH($A2393,'BASE METAS DIÁRIAS'!$A$2:$A$358,0),1),""),"")</f>
        <v/>
      </c>
      <c r="H2393">
        <f>IFERROR(IF(INDEX('CONTROLE PRODUÇÃO POR EMPRESAS'!$H$6:$J$5000,MATCH($A2393,'CONTROLE PRODUÇÃO POR EMPRESAS'!$A$6:$A$5000,0),1)="","",IFERROR(1*INDEX('CONTROLE PRODUÇÃO POR EMPRESAS'!$H$6:$J$5000,MATCH($A2393,'CONTROLE PRODUÇÃO POR EMPRESAS'!$A$6:$A$5000,0),1),"")),"")</f>
        <v/>
      </c>
      <c r="I2393">
        <f>IF(OR(NOT(ISNUMBER(G2393)),NOT(ISNUMBER(H2393))),"",H2393-G2393)</f>
        <v/>
      </c>
      <c r="J2393">
        <f>IF(OR(NOT(ISNUMBER(G2393)),NOT(ISNUMBER(H2393)),G2393=0),"",I2393/G2393)</f>
        <v/>
      </c>
      <c r="K2393">
        <f>IF(OR(NOT(ISNUMBER(G2393)),NOT(ISNUMBER(H2393)),G2393=0),"",H2393/G2393)</f>
        <v/>
      </c>
      <c r="L2393">
        <f>IF(NOT(ISNUMBER(G2393)),"SEM META",IF(G2393=0,"SEM META",IF(NOT(ISNUMBER(H2393)),"SEM APONTAMENTO",IF(H2393&gt;=G2393,"VERDE",IF(H2393&gt;=G2393*0.9,"AMARELO","VERMELHO")))))</f>
        <v/>
      </c>
    </row>
    <row r="2394">
      <c r="A2394" s="321" t="n">
        <v>46306</v>
      </c>
      <c r="B2394" t="inlineStr">
        <is>
          <t>GERAL</t>
        </is>
      </c>
      <c r="C2394" t="inlineStr">
        <is>
          <t>GLOBO AÇOS</t>
        </is>
      </c>
      <c r="D2394" t="inlineStr">
        <is>
          <t>TELHAR</t>
        </is>
      </c>
      <c r="F2394">
        <f>IFERROR(INDEX('BASE METAS DIÁRIAS'!$AA$2:$AC$358,MATCH($A2394,'BASE METAS DIÁRIAS'!$A$2:$A$358,0),2),"")</f>
        <v/>
      </c>
      <c r="G2394">
        <f>IFERROR(IF(WEEKDAY($A2394,2)&lt;=INDEX('BASE METAS DIÁRIAS'!$X$2:$Z$358,MATCH($A2394,'BASE METAS DIÁRIAS'!$A$2:$A$358,0),2),INDEX('BASE METAS DIÁRIAS'!$U$2:$W$358,MATCH($A2394,'BASE METAS DIÁRIAS'!$A$2:$A$358,0),2),""),"")</f>
        <v/>
      </c>
      <c r="H2394">
        <f>IFERROR(IF(INDEX('CONTROLE PRODUÇÃO POR EMPRESAS'!$H$6:$J$5000,MATCH($A2394,'CONTROLE PRODUÇÃO POR EMPRESAS'!$A$6:$A$5000,0),2)="","",IFERROR(1*INDEX('CONTROLE PRODUÇÃO POR EMPRESAS'!$H$6:$J$5000,MATCH($A2394,'CONTROLE PRODUÇÃO POR EMPRESAS'!$A$6:$A$5000,0),2),"")),"")</f>
        <v/>
      </c>
      <c r="I2394">
        <f>IF(OR(NOT(ISNUMBER(G2394)),NOT(ISNUMBER(H2394))),"",H2394-G2394)</f>
        <v/>
      </c>
      <c r="J2394">
        <f>IF(OR(NOT(ISNUMBER(G2394)),NOT(ISNUMBER(H2394)),G2394=0),"",I2394/G2394)</f>
        <v/>
      </c>
      <c r="K2394">
        <f>IF(OR(NOT(ISNUMBER(G2394)),NOT(ISNUMBER(H2394)),G2394=0),"",H2394/G2394)</f>
        <v/>
      </c>
      <c r="L2394">
        <f>IF(NOT(ISNUMBER(G2394)),"SEM META",IF(G2394=0,"SEM META",IF(NOT(ISNUMBER(H2394)),"SEM APONTAMENTO",IF(H2394&gt;=G2394,"VERDE",IF(H2394&gt;=G2394*0.9,"AMARELO","VERMELHO")))))</f>
        <v/>
      </c>
    </row>
    <row r="2395">
      <c r="A2395" s="321" t="n">
        <v>46306</v>
      </c>
      <c r="B2395" t="inlineStr">
        <is>
          <t>GERAL</t>
        </is>
      </c>
      <c r="C2395" t="inlineStr">
        <is>
          <t>GLOBO AÇOS</t>
        </is>
      </c>
      <c r="D2395" t="inlineStr">
        <is>
          <t>FECHAMENTO</t>
        </is>
      </c>
      <c r="F2395">
        <f>IFERROR(INDEX('BASE METAS DIÁRIAS'!$AA$2:$AC$358,MATCH($A2395,'BASE METAS DIÁRIAS'!$A$2:$A$358,0),3),"")</f>
        <v/>
      </c>
      <c r="G2395">
        <f>IFERROR(IF(WEEKDAY($A2395,2)&lt;=INDEX('BASE METAS DIÁRIAS'!$X$2:$Z$358,MATCH($A2395,'BASE METAS DIÁRIAS'!$A$2:$A$358,0),3),INDEX('BASE METAS DIÁRIAS'!$U$2:$W$358,MATCH($A2395,'BASE METAS DIÁRIAS'!$A$2:$A$358,0),3),""),"")</f>
        <v/>
      </c>
      <c r="H2395">
        <f>IFERROR(IF(INDEX('CONTROLE PRODUÇÃO POR EMPRESAS'!$H$6:$J$5000,MATCH($A2395,'CONTROLE PRODUÇÃO POR EMPRESAS'!$A$6:$A$5000,0),3)="","",IFERROR(1*INDEX('CONTROLE PRODUÇÃO POR EMPRESAS'!$H$6:$J$5000,MATCH($A2395,'CONTROLE PRODUÇÃO POR EMPRESAS'!$A$6:$A$5000,0),3),"")),"")</f>
        <v/>
      </c>
      <c r="I2395">
        <f>IF(OR(NOT(ISNUMBER(G2395)),NOT(ISNUMBER(H2395))),"",H2395-G2395)</f>
        <v/>
      </c>
      <c r="J2395">
        <f>IF(OR(NOT(ISNUMBER(G2395)),NOT(ISNUMBER(H2395)),G2395=0),"",I2395/G2395)</f>
        <v/>
      </c>
      <c r="K2395">
        <f>IF(OR(NOT(ISNUMBER(G2395)),NOT(ISNUMBER(H2395)),G2395=0),"",H2395/G2395)</f>
        <v/>
      </c>
      <c r="L2395">
        <f>IF(NOT(ISNUMBER(G2395)),"SEM META",IF(G2395=0,"SEM META",IF(NOT(ISNUMBER(H2395)),"SEM APONTAMENTO",IF(H2395&gt;=G2395,"VERDE",IF(H2395&gt;=G2395*0.9,"AMARELO","VERMELHO")))))</f>
        <v/>
      </c>
    </row>
    <row r="2396">
      <c r="A2396" s="321" t="n">
        <v>46307</v>
      </c>
      <c r="B2396" t="inlineStr">
        <is>
          <t>GERAL</t>
        </is>
      </c>
      <c r="C2396" t="inlineStr">
        <is>
          <t>GLOBO AÇOS</t>
        </is>
      </c>
      <c r="D2396" t="inlineStr">
        <is>
          <t>PERFILAÇÃO</t>
        </is>
      </c>
      <c r="F2396">
        <f>IFERROR(INDEX('BASE METAS DIÁRIAS'!$AA$2:$AC$358,MATCH($A2396,'BASE METAS DIÁRIAS'!$A$2:$A$358,0),1),"")</f>
        <v/>
      </c>
      <c r="G2396">
        <f>IFERROR(IF(WEEKDAY($A2396,2)&lt;=INDEX('BASE METAS DIÁRIAS'!$X$2:$Z$358,MATCH($A2396,'BASE METAS DIÁRIAS'!$A$2:$A$358,0),1),INDEX('BASE METAS DIÁRIAS'!$U$2:$W$358,MATCH($A2396,'BASE METAS DIÁRIAS'!$A$2:$A$358,0),1),""),"")</f>
        <v/>
      </c>
      <c r="H2396">
        <f>IFERROR(IF(INDEX('CONTROLE PRODUÇÃO POR EMPRESAS'!$H$6:$J$5000,MATCH($A2396,'CONTROLE PRODUÇÃO POR EMPRESAS'!$A$6:$A$5000,0),1)="","",IFERROR(1*INDEX('CONTROLE PRODUÇÃO POR EMPRESAS'!$H$6:$J$5000,MATCH($A2396,'CONTROLE PRODUÇÃO POR EMPRESAS'!$A$6:$A$5000,0),1),"")),"")</f>
        <v/>
      </c>
      <c r="I2396">
        <f>IF(OR(NOT(ISNUMBER(G2396)),NOT(ISNUMBER(H2396))),"",H2396-G2396)</f>
        <v/>
      </c>
      <c r="J2396">
        <f>IF(OR(NOT(ISNUMBER(G2396)),NOT(ISNUMBER(H2396)),G2396=0),"",I2396/G2396)</f>
        <v/>
      </c>
      <c r="K2396">
        <f>IF(OR(NOT(ISNUMBER(G2396)),NOT(ISNUMBER(H2396)),G2396=0),"",H2396/G2396)</f>
        <v/>
      </c>
      <c r="L2396">
        <f>IF(NOT(ISNUMBER(G2396)),"SEM META",IF(G2396=0,"SEM META",IF(NOT(ISNUMBER(H2396)),"SEM APONTAMENTO",IF(H2396&gt;=G2396,"VERDE",IF(H2396&gt;=G2396*0.9,"AMARELO","VERMELHO")))))</f>
        <v/>
      </c>
    </row>
    <row r="2397">
      <c r="A2397" s="321" t="n">
        <v>46307</v>
      </c>
      <c r="B2397" t="inlineStr">
        <is>
          <t>GERAL</t>
        </is>
      </c>
      <c r="C2397" t="inlineStr">
        <is>
          <t>GLOBO AÇOS</t>
        </is>
      </c>
      <c r="D2397" t="inlineStr">
        <is>
          <t>TELHAR</t>
        </is>
      </c>
      <c r="F2397">
        <f>IFERROR(INDEX('BASE METAS DIÁRIAS'!$AA$2:$AC$358,MATCH($A2397,'BASE METAS DIÁRIAS'!$A$2:$A$358,0),2),"")</f>
        <v/>
      </c>
      <c r="G2397">
        <f>IFERROR(IF(WEEKDAY($A2397,2)&lt;=INDEX('BASE METAS DIÁRIAS'!$X$2:$Z$358,MATCH($A2397,'BASE METAS DIÁRIAS'!$A$2:$A$358,0),2),INDEX('BASE METAS DIÁRIAS'!$U$2:$W$358,MATCH($A2397,'BASE METAS DIÁRIAS'!$A$2:$A$358,0),2),""),"")</f>
        <v/>
      </c>
      <c r="H2397">
        <f>IFERROR(IF(INDEX('CONTROLE PRODUÇÃO POR EMPRESAS'!$H$6:$J$5000,MATCH($A2397,'CONTROLE PRODUÇÃO POR EMPRESAS'!$A$6:$A$5000,0),2)="","",IFERROR(1*INDEX('CONTROLE PRODUÇÃO POR EMPRESAS'!$H$6:$J$5000,MATCH($A2397,'CONTROLE PRODUÇÃO POR EMPRESAS'!$A$6:$A$5000,0),2),"")),"")</f>
        <v/>
      </c>
      <c r="I2397">
        <f>IF(OR(NOT(ISNUMBER(G2397)),NOT(ISNUMBER(H2397))),"",H2397-G2397)</f>
        <v/>
      </c>
      <c r="J2397">
        <f>IF(OR(NOT(ISNUMBER(G2397)),NOT(ISNUMBER(H2397)),G2397=0),"",I2397/G2397)</f>
        <v/>
      </c>
      <c r="K2397">
        <f>IF(OR(NOT(ISNUMBER(G2397)),NOT(ISNUMBER(H2397)),G2397=0),"",H2397/G2397)</f>
        <v/>
      </c>
      <c r="L2397">
        <f>IF(NOT(ISNUMBER(G2397)),"SEM META",IF(G2397=0,"SEM META",IF(NOT(ISNUMBER(H2397)),"SEM APONTAMENTO",IF(H2397&gt;=G2397,"VERDE",IF(H2397&gt;=G2397*0.9,"AMARELO","VERMELHO")))))</f>
        <v/>
      </c>
    </row>
    <row r="2398">
      <c r="A2398" s="321" t="n">
        <v>46307</v>
      </c>
      <c r="B2398" t="inlineStr">
        <is>
          <t>GERAL</t>
        </is>
      </c>
      <c r="C2398" t="inlineStr">
        <is>
          <t>GLOBO AÇOS</t>
        </is>
      </c>
      <c r="D2398" t="inlineStr">
        <is>
          <t>FECHAMENTO</t>
        </is>
      </c>
      <c r="F2398">
        <f>IFERROR(INDEX('BASE METAS DIÁRIAS'!$AA$2:$AC$358,MATCH($A2398,'BASE METAS DIÁRIAS'!$A$2:$A$358,0),3),"")</f>
        <v/>
      </c>
      <c r="G2398">
        <f>IFERROR(IF(WEEKDAY($A2398,2)&lt;=INDEX('BASE METAS DIÁRIAS'!$X$2:$Z$358,MATCH($A2398,'BASE METAS DIÁRIAS'!$A$2:$A$358,0),3),INDEX('BASE METAS DIÁRIAS'!$U$2:$W$358,MATCH($A2398,'BASE METAS DIÁRIAS'!$A$2:$A$358,0),3),""),"")</f>
        <v/>
      </c>
      <c r="H2398">
        <f>IFERROR(IF(INDEX('CONTROLE PRODUÇÃO POR EMPRESAS'!$H$6:$J$5000,MATCH($A2398,'CONTROLE PRODUÇÃO POR EMPRESAS'!$A$6:$A$5000,0),3)="","",IFERROR(1*INDEX('CONTROLE PRODUÇÃO POR EMPRESAS'!$H$6:$J$5000,MATCH($A2398,'CONTROLE PRODUÇÃO POR EMPRESAS'!$A$6:$A$5000,0),3),"")),"")</f>
        <v/>
      </c>
      <c r="I2398">
        <f>IF(OR(NOT(ISNUMBER(G2398)),NOT(ISNUMBER(H2398))),"",H2398-G2398)</f>
        <v/>
      </c>
      <c r="J2398">
        <f>IF(OR(NOT(ISNUMBER(G2398)),NOT(ISNUMBER(H2398)),G2398=0),"",I2398/G2398)</f>
        <v/>
      </c>
      <c r="K2398">
        <f>IF(OR(NOT(ISNUMBER(G2398)),NOT(ISNUMBER(H2398)),G2398=0),"",H2398/G2398)</f>
        <v/>
      </c>
      <c r="L2398">
        <f>IF(NOT(ISNUMBER(G2398)),"SEM META",IF(G2398=0,"SEM META",IF(NOT(ISNUMBER(H2398)),"SEM APONTAMENTO",IF(H2398&gt;=G2398,"VERDE",IF(H2398&gt;=G2398*0.9,"AMARELO","VERMELHO")))))</f>
        <v/>
      </c>
    </row>
    <row r="2399">
      <c r="A2399" s="321" t="n">
        <v>46308</v>
      </c>
      <c r="B2399" t="inlineStr">
        <is>
          <t>GERAL</t>
        </is>
      </c>
      <c r="C2399" t="inlineStr">
        <is>
          <t>GLOBO AÇOS</t>
        </is>
      </c>
      <c r="D2399" t="inlineStr">
        <is>
          <t>PERFILAÇÃO</t>
        </is>
      </c>
      <c r="F2399">
        <f>IFERROR(INDEX('BASE METAS DIÁRIAS'!$AA$2:$AC$358,MATCH($A2399,'BASE METAS DIÁRIAS'!$A$2:$A$358,0),1),"")</f>
        <v/>
      </c>
      <c r="G2399">
        <f>IFERROR(IF(WEEKDAY($A2399,2)&lt;=INDEX('BASE METAS DIÁRIAS'!$X$2:$Z$358,MATCH($A2399,'BASE METAS DIÁRIAS'!$A$2:$A$358,0),1),INDEX('BASE METAS DIÁRIAS'!$U$2:$W$358,MATCH($A2399,'BASE METAS DIÁRIAS'!$A$2:$A$358,0),1),""),"")</f>
        <v/>
      </c>
      <c r="H2399">
        <f>IFERROR(IF(INDEX('CONTROLE PRODUÇÃO POR EMPRESAS'!$H$6:$J$5000,MATCH($A2399,'CONTROLE PRODUÇÃO POR EMPRESAS'!$A$6:$A$5000,0),1)="","",IFERROR(1*INDEX('CONTROLE PRODUÇÃO POR EMPRESAS'!$H$6:$J$5000,MATCH($A2399,'CONTROLE PRODUÇÃO POR EMPRESAS'!$A$6:$A$5000,0),1),"")),"")</f>
        <v/>
      </c>
      <c r="I2399">
        <f>IF(OR(NOT(ISNUMBER(G2399)),NOT(ISNUMBER(H2399))),"",H2399-G2399)</f>
        <v/>
      </c>
      <c r="J2399">
        <f>IF(OR(NOT(ISNUMBER(G2399)),NOT(ISNUMBER(H2399)),G2399=0),"",I2399/G2399)</f>
        <v/>
      </c>
      <c r="K2399">
        <f>IF(OR(NOT(ISNUMBER(G2399)),NOT(ISNUMBER(H2399)),G2399=0),"",H2399/G2399)</f>
        <v/>
      </c>
      <c r="L2399">
        <f>IF(NOT(ISNUMBER(G2399)),"SEM META",IF(G2399=0,"SEM META",IF(NOT(ISNUMBER(H2399)),"SEM APONTAMENTO",IF(H2399&gt;=G2399,"VERDE",IF(H2399&gt;=G2399*0.9,"AMARELO","VERMELHO")))))</f>
        <v/>
      </c>
    </row>
    <row r="2400">
      <c r="A2400" s="321" t="n">
        <v>46308</v>
      </c>
      <c r="B2400" t="inlineStr">
        <is>
          <t>GERAL</t>
        </is>
      </c>
      <c r="C2400" t="inlineStr">
        <is>
          <t>GLOBO AÇOS</t>
        </is>
      </c>
      <c r="D2400" t="inlineStr">
        <is>
          <t>TELHAR</t>
        </is>
      </c>
      <c r="F2400">
        <f>IFERROR(INDEX('BASE METAS DIÁRIAS'!$AA$2:$AC$358,MATCH($A2400,'BASE METAS DIÁRIAS'!$A$2:$A$358,0),2),"")</f>
        <v/>
      </c>
      <c r="G2400">
        <f>IFERROR(IF(WEEKDAY($A2400,2)&lt;=INDEX('BASE METAS DIÁRIAS'!$X$2:$Z$358,MATCH($A2400,'BASE METAS DIÁRIAS'!$A$2:$A$358,0),2),INDEX('BASE METAS DIÁRIAS'!$U$2:$W$358,MATCH($A2400,'BASE METAS DIÁRIAS'!$A$2:$A$358,0),2),""),"")</f>
        <v/>
      </c>
      <c r="H2400">
        <f>IFERROR(IF(INDEX('CONTROLE PRODUÇÃO POR EMPRESAS'!$H$6:$J$5000,MATCH($A2400,'CONTROLE PRODUÇÃO POR EMPRESAS'!$A$6:$A$5000,0),2)="","",IFERROR(1*INDEX('CONTROLE PRODUÇÃO POR EMPRESAS'!$H$6:$J$5000,MATCH($A2400,'CONTROLE PRODUÇÃO POR EMPRESAS'!$A$6:$A$5000,0),2),"")),"")</f>
        <v/>
      </c>
      <c r="I2400">
        <f>IF(OR(NOT(ISNUMBER(G2400)),NOT(ISNUMBER(H2400))),"",H2400-G2400)</f>
        <v/>
      </c>
      <c r="J2400">
        <f>IF(OR(NOT(ISNUMBER(G2400)),NOT(ISNUMBER(H2400)),G2400=0),"",I2400/G2400)</f>
        <v/>
      </c>
      <c r="K2400">
        <f>IF(OR(NOT(ISNUMBER(G2400)),NOT(ISNUMBER(H2400)),G2400=0),"",H2400/G2400)</f>
        <v/>
      </c>
      <c r="L2400">
        <f>IF(NOT(ISNUMBER(G2400)),"SEM META",IF(G2400=0,"SEM META",IF(NOT(ISNUMBER(H2400)),"SEM APONTAMENTO",IF(H2400&gt;=G2400,"VERDE",IF(H2400&gt;=G2400*0.9,"AMARELO","VERMELHO")))))</f>
        <v/>
      </c>
    </row>
    <row r="2401">
      <c r="A2401" s="321" t="n">
        <v>46308</v>
      </c>
      <c r="B2401" t="inlineStr">
        <is>
          <t>GERAL</t>
        </is>
      </c>
      <c r="C2401" t="inlineStr">
        <is>
          <t>GLOBO AÇOS</t>
        </is>
      </c>
      <c r="D2401" t="inlineStr">
        <is>
          <t>FECHAMENTO</t>
        </is>
      </c>
      <c r="F2401">
        <f>IFERROR(INDEX('BASE METAS DIÁRIAS'!$AA$2:$AC$358,MATCH($A2401,'BASE METAS DIÁRIAS'!$A$2:$A$358,0),3),"")</f>
        <v/>
      </c>
      <c r="G2401">
        <f>IFERROR(IF(WEEKDAY($A2401,2)&lt;=INDEX('BASE METAS DIÁRIAS'!$X$2:$Z$358,MATCH($A2401,'BASE METAS DIÁRIAS'!$A$2:$A$358,0),3),INDEX('BASE METAS DIÁRIAS'!$U$2:$W$358,MATCH($A2401,'BASE METAS DIÁRIAS'!$A$2:$A$358,0),3),""),"")</f>
        <v/>
      </c>
      <c r="H2401">
        <f>IFERROR(IF(INDEX('CONTROLE PRODUÇÃO POR EMPRESAS'!$H$6:$J$5000,MATCH($A2401,'CONTROLE PRODUÇÃO POR EMPRESAS'!$A$6:$A$5000,0),3)="","",IFERROR(1*INDEX('CONTROLE PRODUÇÃO POR EMPRESAS'!$H$6:$J$5000,MATCH($A2401,'CONTROLE PRODUÇÃO POR EMPRESAS'!$A$6:$A$5000,0),3),"")),"")</f>
        <v/>
      </c>
      <c r="I2401">
        <f>IF(OR(NOT(ISNUMBER(G2401)),NOT(ISNUMBER(H2401))),"",H2401-G2401)</f>
        <v/>
      </c>
      <c r="J2401">
        <f>IF(OR(NOT(ISNUMBER(G2401)),NOT(ISNUMBER(H2401)),G2401=0),"",I2401/G2401)</f>
        <v/>
      </c>
      <c r="K2401">
        <f>IF(OR(NOT(ISNUMBER(G2401)),NOT(ISNUMBER(H2401)),G2401=0),"",H2401/G2401)</f>
        <v/>
      </c>
      <c r="L2401">
        <f>IF(NOT(ISNUMBER(G2401)),"SEM META",IF(G2401=0,"SEM META",IF(NOT(ISNUMBER(H2401)),"SEM APONTAMENTO",IF(H2401&gt;=G2401,"VERDE",IF(H2401&gt;=G2401*0.9,"AMARELO","VERMELHO")))))</f>
        <v/>
      </c>
    </row>
    <row r="2402">
      <c r="A2402" s="321" t="n">
        <v>46309</v>
      </c>
      <c r="B2402" t="inlineStr">
        <is>
          <t>GERAL</t>
        </is>
      </c>
      <c r="C2402" t="inlineStr">
        <is>
          <t>GLOBO AÇOS</t>
        </is>
      </c>
      <c r="D2402" t="inlineStr">
        <is>
          <t>PERFILAÇÃO</t>
        </is>
      </c>
      <c r="F2402">
        <f>IFERROR(INDEX('BASE METAS DIÁRIAS'!$AA$2:$AC$358,MATCH($A2402,'BASE METAS DIÁRIAS'!$A$2:$A$358,0),1),"")</f>
        <v/>
      </c>
      <c r="G2402">
        <f>IFERROR(IF(WEEKDAY($A2402,2)&lt;=INDEX('BASE METAS DIÁRIAS'!$X$2:$Z$358,MATCH($A2402,'BASE METAS DIÁRIAS'!$A$2:$A$358,0),1),INDEX('BASE METAS DIÁRIAS'!$U$2:$W$358,MATCH($A2402,'BASE METAS DIÁRIAS'!$A$2:$A$358,0),1),""),"")</f>
        <v/>
      </c>
      <c r="H2402">
        <f>IFERROR(IF(INDEX('CONTROLE PRODUÇÃO POR EMPRESAS'!$H$6:$J$5000,MATCH($A2402,'CONTROLE PRODUÇÃO POR EMPRESAS'!$A$6:$A$5000,0),1)="","",IFERROR(1*INDEX('CONTROLE PRODUÇÃO POR EMPRESAS'!$H$6:$J$5000,MATCH($A2402,'CONTROLE PRODUÇÃO POR EMPRESAS'!$A$6:$A$5000,0),1),"")),"")</f>
        <v/>
      </c>
      <c r="I2402">
        <f>IF(OR(NOT(ISNUMBER(G2402)),NOT(ISNUMBER(H2402))),"",H2402-G2402)</f>
        <v/>
      </c>
      <c r="J2402">
        <f>IF(OR(NOT(ISNUMBER(G2402)),NOT(ISNUMBER(H2402)),G2402=0),"",I2402/G2402)</f>
        <v/>
      </c>
      <c r="K2402">
        <f>IF(OR(NOT(ISNUMBER(G2402)),NOT(ISNUMBER(H2402)),G2402=0),"",H2402/G2402)</f>
        <v/>
      </c>
      <c r="L2402">
        <f>IF(NOT(ISNUMBER(G2402)),"SEM META",IF(G2402=0,"SEM META",IF(NOT(ISNUMBER(H2402)),"SEM APONTAMENTO",IF(H2402&gt;=G2402,"VERDE",IF(H2402&gt;=G2402*0.9,"AMARELO","VERMELHO")))))</f>
        <v/>
      </c>
    </row>
    <row r="2403">
      <c r="A2403" s="321" t="n">
        <v>46309</v>
      </c>
      <c r="B2403" t="inlineStr">
        <is>
          <t>GERAL</t>
        </is>
      </c>
      <c r="C2403" t="inlineStr">
        <is>
          <t>GLOBO AÇOS</t>
        </is>
      </c>
      <c r="D2403" t="inlineStr">
        <is>
          <t>TELHAR</t>
        </is>
      </c>
      <c r="F2403">
        <f>IFERROR(INDEX('BASE METAS DIÁRIAS'!$AA$2:$AC$358,MATCH($A2403,'BASE METAS DIÁRIAS'!$A$2:$A$358,0),2),"")</f>
        <v/>
      </c>
      <c r="G2403">
        <f>IFERROR(IF(WEEKDAY($A2403,2)&lt;=INDEX('BASE METAS DIÁRIAS'!$X$2:$Z$358,MATCH($A2403,'BASE METAS DIÁRIAS'!$A$2:$A$358,0),2),INDEX('BASE METAS DIÁRIAS'!$U$2:$W$358,MATCH($A2403,'BASE METAS DIÁRIAS'!$A$2:$A$358,0),2),""),"")</f>
        <v/>
      </c>
      <c r="H2403">
        <f>IFERROR(IF(INDEX('CONTROLE PRODUÇÃO POR EMPRESAS'!$H$6:$J$5000,MATCH($A2403,'CONTROLE PRODUÇÃO POR EMPRESAS'!$A$6:$A$5000,0),2)="","",IFERROR(1*INDEX('CONTROLE PRODUÇÃO POR EMPRESAS'!$H$6:$J$5000,MATCH($A2403,'CONTROLE PRODUÇÃO POR EMPRESAS'!$A$6:$A$5000,0),2),"")),"")</f>
        <v/>
      </c>
      <c r="I2403">
        <f>IF(OR(NOT(ISNUMBER(G2403)),NOT(ISNUMBER(H2403))),"",H2403-G2403)</f>
        <v/>
      </c>
      <c r="J2403">
        <f>IF(OR(NOT(ISNUMBER(G2403)),NOT(ISNUMBER(H2403)),G2403=0),"",I2403/G2403)</f>
        <v/>
      </c>
      <c r="K2403">
        <f>IF(OR(NOT(ISNUMBER(G2403)),NOT(ISNUMBER(H2403)),G2403=0),"",H2403/G2403)</f>
        <v/>
      </c>
      <c r="L2403">
        <f>IF(NOT(ISNUMBER(G2403)),"SEM META",IF(G2403=0,"SEM META",IF(NOT(ISNUMBER(H2403)),"SEM APONTAMENTO",IF(H2403&gt;=G2403,"VERDE",IF(H2403&gt;=G2403*0.9,"AMARELO","VERMELHO")))))</f>
        <v/>
      </c>
    </row>
    <row r="2404">
      <c r="A2404" s="321" t="n">
        <v>46309</v>
      </c>
      <c r="B2404" t="inlineStr">
        <is>
          <t>GERAL</t>
        </is>
      </c>
      <c r="C2404" t="inlineStr">
        <is>
          <t>GLOBO AÇOS</t>
        </is>
      </c>
      <c r="D2404" t="inlineStr">
        <is>
          <t>FECHAMENTO</t>
        </is>
      </c>
      <c r="F2404">
        <f>IFERROR(INDEX('BASE METAS DIÁRIAS'!$AA$2:$AC$358,MATCH($A2404,'BASE METAS DIÁRIAS'!$A$2:$A$358,0),3),"")</f>
        <v/>
      </c>
      <c r="G2404">
        <f>IFERROR(IF(WEEKDAY($A2404,2)&lt;=INDEX('BASE METAS DIÁRIAS'!$X$2:$Z$358,MATCH($A2404,'BASE METAS DIÁRIAS'!$A$2:$A$358,0),3),INDEX('BASE METAS DIÁRIAS'!$U$2:$W$358,MATCH($A2404,'BASE METAS DIÁRIAS'!$A$2:$A$358,0),3),""),"")</f>
        <v/>
      </c>
      <c r="H2404">
        <f>IFERROR(IF(INDEX('CONTROLE PRODUÇÃO POR EMPRESAS'!$H$6:$J$5000,MATCH($A2404,'CONTROLE PRODUÇÃO POR EMPRESAS'!$A$6:$A$5000,0),3)="","",IFERROR(1*INDEX('CONTROLE PRODUÇÃO POR EMPRESAS'!$H$6:$J$5000,MATCH($A2404,'CONTROLE PRODUÇÃO POR EMPRESAS'!$A$6:$A$5000,0),3),"")),"")</f>
        <v/>
      </c>
      <c r="I2404">
        <f>IF(OR(NOT(ISNUMBER(G2404)),NOT(ISNUMBER(H2404))),"",H2404-G2404)</f>
        <v/>
      </c>
      <c r="J2404">
        <f>IF(OR(NOT(ISNUMBER(G2404)),NOT(ISNUMBER(H2404)),G2404=0),"",I2404/G2404)</f>
        <v/>
      </c>
      <c r="K2404">
        <f>IF(OR(NOT(ISNUMBER(G2404)),NOT(ISNUMBER(H2404)),G2404=0),"",H2404/G2404)</f>
        <v/>
      </c>
      <c r="L2404">
        <f>IF(NOT(ISNUMBER(G2404)),"SEM META",IF(G2404=0,"SEM META",IF(NOT(ISNUMBER(H2404)),"SEM APONTAMENTO",IF(H2404&gt;=G2404,"VERDE",IF(H2404&gt;=G2404*0.9,"AMARELO","VERMELHO")))))</f>
        <v/>
      </c>
    </row>
    <row r="2405">
      <c r="A2405" s="321" t="n">
        <v>46310</v>
      </c>
      <c r="B2405" t="inlineStr">
        <is>
          <t>GERAL</t>
        </is>
      </c>
      <c r="C2405" t="inlineStr">
        <is>
          <t>GLOBO AÇOS</t>
        </is>
      </c>
      <c r="D2405" t="inlineStr">
        <is>
          <t>PERFILAÇÃO</t>
        </is>
      </c>
      <c r="F2405">
        <f>IFERROR(INDEX('BASE METAS DIÁRIAS'!$AA$2:$AC$358,MATCH($A2405,'BASE METAS DIÁRIAS'!$A$2:$A$358,0),1),"")</f>
        <v/>
      </c>
      <c r="G2405">
        <f>IFERROR(IF(WEEKDAY($A2405,2)&lt;=INDEX('BASE METAS DIÁRIAS'!$X$2:$Z$358,MATCH($A2405,'BASE METAS DIÁRIAS'!$A$2:$A$358,0),1),INDEX('BASE METAS DIÁRIAS'!$U$2:$W$358,MATCH($A2405,'BASE METAS DIÁRIAS'!$A$2:$A$358,0),1),""),"")</f>
        <v/>
      </c>
      <c r="H2405">
        <f>IFERROR(IF(INDEX('CONTROLE PRODUÇÃO POR EMPRESAS'!$H$6:$J$5000,MATCH($A2405,'CONTROLE PRODUÇÃO POR EMPRESAS'!$A$6:$A$5000,0),1)="","",IFERROR(1*INDEX('CONTROLE PRODUÇÃO POR EMPRESAS'!$H$6:$J$5000,MATCH($A2405,'CONTROLE PRODUÇÃO POR EMPRESAS'!$A$6:$A$5000,0),1),"")),"")</f>
        <v/>
      </c>
      <c r="I2405">
        <f>IF(OR(NOT(ISNUMBER(G2405)),NOT(ISNUMBER(H2405))),"",H2405-G2405)</f>
        <v/>
      </c>
      <c r="J2405">
        <f>IF(OR(NOT(ISNUMBER(G2405)),NOT(ISNUMBER(H2405)),G2405=0),"",I2405/G2405)</f>
        <v/>
      </c>
      <c r="K2405">
        <f>IF(OR(NOT(ISNUMBER(G2405)),NOT(ISNUMBER(H2405)),G2405=0),"",H2405/G2405)</f>
        <v/>
      </c>
      <c r="L2405">
        <f>IF(NOT(ISNUMBER(G2405)),"SEM META",IF(G2405=0,"SEM META",IF(NOT(ISNUMBER(H2405)),"SEM APONTAMENTO",IF(H2405&gt;=G2405,"VERDE",IF(H2405&gt;=G2405*0.9,"AMARELO","VERMELHO")))))</f>
        <v/>
      </c>
    </row>
    <row r="2406">
      <c r="A2406" s="321" t="n">
        <v>46310</v>
      </c>
      <c r="B2406" t="inlineStr">
        <is>
          <t>GERAL</t>
        </is>
      </c>
      <c r="C2406" t="inlineStr">
        <is>
          <t>GLOBO AÇOS</t>
        </is>
      </c>
      <c r="D2406" t="inlineStr">
        <is>
          <t>TELHAR</t>
        </is>
      </c>
      <c r="F2406">
        <f>IFERROR(INDEX('BASE METAS DIÁRIAS'!$AA$2:$AC$358,MATCH($A2406,'BASE METAS DIÁRIAS'!$A$2:$A$358,0),2),"")</f>
        <v/>
      </c>
      <c r="G2406">
        <f>IFERROR(IF(WEEKDAY($A2406,2)&lt;=INDEX('BASE METAS DIÁRIAS'!$X$2:$Z$358,MATCH($A2406,'BASE METAS DIÁRIAS'!$A$2:$A$358,0),2),INDEX('BASE METAS DIÁRIAS'!$U$2:$W$358,MATCH($A2406,'BASE METAS DIÁRIAS'!$A$2:$A$358,0),2),""),"")</f>
        <v/>
      </c>
      <c r="H2406">
        <f>IFERROR(IF(INDEX('CONTROLE PRODUÇÃO POR EMPRESAS'!$H$6:$J$5000,MATCH($A2406,'CONTROLE PRODUÇÃO POR EMPRESAS'!$A$6:$A$5000,0),2)="","",IFERROR(1*INDEX('CONTROLE PRODUÇÃO POR EMPRESAS'!$H$6:$J$5000,MATCH($A2406,'CONTROLE PRODUÇÃO POR EMPRESAS'!$A$6:$A$5000,0),2),"")),"")</f>
        <v/>
      </c>
      <c r="I2406">
        <f>IF(OR(NOT(ISNUMBER(G2406)),NOT(ISNUMBER(H2406))),"",H2406-G2406)</f>
        <v/>
      </c>
      <c r="J2406">
        <f>IF(OR(NOT(ISNUMBER(G2406)),NOT(ISNUMBER(H2406)),G2406=0),"",I2406/G2406)</f>
        <v/>
      </c>
      <c r="K2406">
        <f>IF(OR(NOT(ISNUMBER(G2406)),NOT(ISNUMBER(H2406)),G2406=0),"",H2406/G2406)</f>
        <v/>
      </c>
      <c r="L2406">
        <f>IF(NOT(ISNUMBER(G2406)),"SEM META",IF(G2406=0,"SEM META",IF(NOT(ISNUMBER(H2406)),"SEM APONTAMENTO",IF(H2406&gt;=G2406,"VERDE",IF(H2406&gt;=G2406*0.9,"AMARELO","VERMELHO")))))</f>
        <v/>
      </c>
    </row>
    <row r="2407">
      <c r="A2407" s="321" t="n">
        <v>46310</v>
      </c>
      <c r="B2407" t="inlineStr">
        <is>
          <t>GERAL</t>
        </is>
      </c>
      <c r="C2407" t="inlineStr">
        <is>
          <t>GLOBO AÇOS</t>
        </is>
      </c>
      <c r="D2407" t="inlineStr">
        <is>
          <t>FECHAMENTO</t>
        </is>
      </c>
      <c r="F2407">
        <f>IFERROR(INDEX('BASE METAS DIÁRIAS'!$AA$2:$AC$358,MATCH($A2407,'BASE METAS DIÁRIAS'!$A$2:$A$358,0),3),"")</f>
        <v/>
      </c>
      <c r="G2407">
        <f>IFERROR(IF(WEEKDAY($A2407,2)&lt;=INDEX('BASE METAS DIÁRIAS'!$X$2:$Z$358,MATCH($A2407,'BASE METAS DIÁRIAS'!$A$2:$A$358,0),3),INDEX('BASE METAS DIÁRIAS'!$U$2:$W$358,MATCH($A2407,'BASE METAS DIÁRIAS'!$A$2:$A$358,0),3),""),"")</f>
        <v/>
      </c>
      <c r="H2407">
        <f>IFERROR(IF(INDEX('CONTROLE PRODUÇÃO POR EMPRESAS'!$H$6:$J$5000,MATCH($A2407,'CONTROLE PRODUÇÃO POR EMPRESAS'!$A$6:$A$5000,0),3)="","",IFERROR(1*INDEX('CONTROLE PRODUÇÃO POR EMPRESAS'!$H$6:$J$5000,MATCH($A2407,'CONTROLE PRODUÇÃO POR EMPRESAS'!$A$6:$A$5000,0),3),"")),"")</f>
        <v/>
      </c>
      <c r="I2407">
        <f>IF(OR(NOT(ISNUMBER(G2407)),NOT(ISNUMBER(H2407))),"",H2407-G2407)</f>
        <v/>
      </c>
      <c r="J2407">
        <f>IF(OR(NOT(ISNUMBER(G2407)),NOT(ISNUMBER(H2407)),G2407=0),"",I2407/G2407)</f>
        <v/>
      </c>
      <c r="K2407">
        <f>IF(OR(NOT(ISNUMBER(G2407)),NOT(ISNUMBER(H2407)),G2407=0),"",H2407/G2407)</f>
        <v/>
      </c>
      <c r="L2407">
        <f>IF(NOT(ISNUMBER(G2407)),"SEM META",IF(G2407=0,"SEM META",IF(NOT(ISNUMBER(H2407)),"SEM APONTAMENTO",IF(H2407&gt;=G2407,"VERDE",IF(H2407&gt;=G2407*0.9,"AMARELO","VERMELHO")))))</f>
        <v/>
      </c>
    </row>
    <row r="2408">
      <c r="A2408" s="321" t="n">
        <v>46311</v>
      </c>
      <c r="B2408" t="inlineStr">
        <is>
          <t>GERAL</t>
        </is>
      </c>
      <c r="C2408" t="inlineStr">
        <is>
          <t>GLOBO AÇOS</t>
        </is>
      </c>
      <c r="D2408" t="inlineStr">
        <is>
          <t>PERFILAÇÃO</t>
        </is>
      </c>
      <c r="F2408">
        <f>IFERROR(INDEX('BASE METAS DIÁRIAS'!$AA$2:$AC$358,MATCH($A2408,'BASE METAS DIÁRIAS'!$A$2:$A$358,0),1),"")</f>
        <v/>
      </c>
      <c r="G2408">
        <f>IFERROR(IF(WEEKDAY($A2408,2)&lt;=INDEX('BASE METAS DIÁRIAS'!$X$2:$Z$358,MATCH($A2408,'BASE METAS DIÁRIAS'!$A$2:$A$358,0),1),INDEX('BASE METAS DIÁRIAS'!$U$2:$W$358,MATCH($A2408,'BASE METAS DIÁRIAS'!$A$2:$A$358,0),1),""),"")</f>
        <v/>
      </c>
      <c r="H2408">
        <f>IFERROR(IF(INDEX('CONTROLE PRODUÇÃO POR EMPRESAS'!$H$6:$J$5000,MATCH($A2408,'CONTROLE PRODUÇÃO POR EMPRESAS'!$A$6:$A$5000,0),1)="","",IFERROR(1*INDEX('CONTROLE PRODUÇÃO POR EMPRESAS'!$H$6:$J$5000,MATCH($A2408,'CONTROLE PRODUÇÃO POR EMPRESAS'!$A$6:$A$5000,0),1),"")),"")</f>
        <v/>
      </c>
      <c r="I2408">
        <f>IF(OR(NOT(ISNUMBER(G2408)),NOT(ISNUMBER(H2408))),"",H2408-G2408)</f>
        <v/>
      </c>
      <c r="J2408">
        <f>IF(OR(NOT(ISNUMBER(G2408)),NOT(ISNUMBER(H2408)),G2408=0),"",I2408/G2408)</f>
        <v/>
      </c>
      <c r="K2408">
        <f>IF(OR(NOT(ISNUMBER(G2408)),NOT(ISNUMBER(H2408)),G2408=0),"",H2408/G2408)</f>
        <v/>
      </c>
      <c r="L2408">
        <f>IF(NOT(ISNUMBER(G2408)),"SEM META",IF(G2408=0,"SEM META",IF(NOT(ISNUMBER(H2408)),"SEM APONTAMENTO",IF(H2408&gt;=G2408,"VERDE",IF(H2408&gt;=G2408*0.9,"AMARELO","VERMELHO")))))</f>
        <v/>
      </c>
    </row>
    <row r="2409">
      <c r="A2409" s="321" t="n">
        <v>46311</v>
      </c>
      <c r="B2409" t="inlineStr">
        <is>
          <t>GERAL</t>
        </is>
      </c>
      <c r="C2409" t="inlineStr">
        <is>
          <t>GLOBO AÇOS</t>
        </is>
      </c>
      <c r="D2409" t="inlineStr">
        <is>
          <t>TELHAR</t>
        </is>
      </c>
      <c r="F2409">
        <f>IFERROR(INDEX('BASE METAS DIÁRIAS'!$AA$2:$AC$358,MATCH($A2409,'BASE METAS DIÁRIAS'!$A$2:$A$358,0),2),"")</f>
        <v/>
      </c>
      <c r="G2409">
        <f>IFERROR(IF(WEEKDAY($A2409,2)&lt;=INDEX('BASE METAS DIÁRIAS'!$X$2:$Z$358,MATCH($A2409,'BASE METAS DIÁRIAS'!$A$2:$A$358,0),2),INDEX('BASE METAS DIÁRIAS'!$U$2:$W$358,MATCH($A2409,'BASE METAS DIÁRIAS'!$A$2:$A$358,0),2),""),"")</f>
        <v/>
      </c>
      <c r="H2409">
        <f>IFERROR(IF(INDEX('CONTROLE PRODUÇÃO POR EMPRESAS'!$H$6:$J$5000,MATCH($A2409,'CONTROLE PRODUÇÃO POR EMPRESAS'!$A$6:$A$5000,0),2)="","",IFERROR(1*INDEX('CONTROLE PRODUÇÃO POR EMPRESAS'!$H$6:$J$5000,MATCH($A2409,'CONTROLE PRODUÇÃO POR EMPRESAS'!$A$6:$A$5000,0),2),"")),"")</f>
        <v/>
      </c>
      <c r="I2409">
        <f>IF(OR(NOT(ISNUMBER(G2409)),NOT(ISNUMBER(H2409))),"",H2409-G2409)</f>
        <v/>
      </c>
      <c r="J2409">
        <f>IF(OR(NOT(ISNUMBER(G2409)),NOT(ISNUMBER(H2409)),G2409=0),"",I2409/G2409)</f>
        <v/>
      </c>
      <c r="K2409">
        <f>IF(OR(NOT(ISNUMBER(G2409)),NOT(ISNUMBER(H2409)),G2409=0),"",H2409/G2409)</f>
        <v/>
      </c>
      <c r="L2409">
        <f>IF(NOT(ISNUMBER(G2409)),"SEM META",IF(G2409=0,"SEM META",IF(NOT(ISNUMBER(H2409)),"SEM APONTAMENTO",IF(H2409&gt;=G2409,"VERDE",IF(H2409&gt;=G2409*0.9,"AMARELO","VERMELHO")))))</f>
        <v/>
      </c>
    </row>
    <row r="2410">
      <c r="A2410" s="321" t="n">
        <v>46311</v>
      </c>
      <c r="B2410" t="inlineStr">
        <is>
          <t>GERAL</t>
        </is>
      </c>
      <c r="C2410" t="inlineStr">
        <is>
          <t>GLOBO AÇOS</t>
        </is>
      </c>
      <c r="D2410" t="inlineStr">
        <is>
          <t>FECHAMENTO</t>
        </is>
      </c>
      <c r="F2410">
        <f>IFERROR(INDEX('BASE METAS DIÁRIAS'!$AA$2:$AC$358,MATCH($A2410,'BASE METAS DIÁRIAS'!$A$2:$A$358,0),3),"")</f>
        <v/>
      </c>
      <c r="G2410">
        <f>IFERROR(IF(WEEKDAY($A2410,2)&lt;=INDEX('BASE METAS DIÁRIAS'!$X$2:$Z$358,MATCH($A2410,'BASE METAS DIÁRIAS'!$A$2:$A$358,0),3),INDEX('BASE METAS DIÁRIAS'!$U$2:$W$358,MATCH($A2410,'BASE METAS DIÁRIAS'!$A$2:$A$358,0),3),""),"")</f>
        <v/>
      </c>
      <c r="H2410">
        <f>IFERROR(IF(INDEX('CONTROLE PRODUÇÃO POR EMPRESAS'!$H$6:$J$5000,MATCH($A2410,'CONTROLE PRODUÇÃO POR EMPRESAS'!$A$6:$A$5000,0),3)="","",IFERROR(1*INDEX('CONTROLE PRODUÇÃO POR EMPRESAS'!$H$6:$J$5000,MATCH($A2410,'CONTROLE PRODUÇÃO POR EMPRESAS'!$A$6:$A$5000,0),3),"")),"")</f>
        <v/>
      </c>
      <c r="I2410">
        <f>IF(OR(NOT(ISNUMBER(G2410)),NOT(ISNUMBER(H2410))),"",H2410-G2410)</f>
        <v/>
      </c>
      <c r="J2410">
        <f>IF(OR(NOT(ISNUMBER(G2410)),NOT(ISNUMBER(H2410)),G2410=0),"",I2410/G2410)</f>
        <v/>
      </c>
      <c r="K2410">
        <f>IF(OR(NOT(ISNUMBER(G2410)),NOT(ISNUMBER(H2410)),G2410=0),"",H2410/G2410)</f>
        <v/>
      </c>
      <c r="L2410">
        <f>IF(NOT(ISNUMBER(G2410)),"SEM META",IF(G2410=0,"SEM META",IF(NOT(ISNUMBER(H2410)),"SEM APONTAMENTO",IF(H2410&gt;=G2410,"VERDE",IF(H2410&gt;=G2410*0.9,"AMARELO","VERMELHO")))))</f>
        <v/>
      </c>
    </row>
    <row r="2411">
      <c r="A2411" s="321" t="n">
        <v>46312</v>
      </c>
      <c r="B2411" t="inlineStr">
        <is>
          <t>GERAL</t>
        </is>
      </c>
      <c r="C2411" t="inlineStr">
        <is>
          <t>GLOBO AÇOS</t>
        </is>
      </c>
      <c r="D2411" t="inlineStr">
        <is>
          <t>PERFILAÇÃO</t>
        </is>
      </c>
      <c r="F2411">
        <f>IFERROR(INDEX('BASE METAS DIÁRIAS'!$AA$2:$AC$358,MATCH($A2411,'BASE METAS DIÁRIAS'!$A$2:$A$358,0),1),"")</f>
        <v/>
      </c>
      <c r="G2411">
        <f>IFERROR(IF(WEEKDAY($A2411,2)&lt;=INDEX('BASE METAS DIÁRIAS'!$X$2:$Z$358,MATCH($A2411,'BASE METAS DIÁRIAS'!$A$2:$A$358,0),1),INDEX('BASE METAS DIÁRIAS'!$U$2:$W$358,MATCH($A2411,'BASE METAS DIÁRIAS'!$A$2:$A$358,0),1),""),"")</f>
        <v/>
      </c>
      <c r="H2411">
        <f>IFERROR(IF(INDEX('CONTROLE PRODUÇÃO POR EMPRESAS'!$H$6:$J$5000,MATCH($A2411,'CONTROLE PRODUÇÃO POR EMPRESAS'!$A$6:$A$5000,0),1)="","",IFERROR(1*INDEX('CONTROLE PRODUÇÃO POR EMPRESAS'!$H$6:$J$5000,MATCH($A2411,'CONTROLE PRODUÇÃO POR EMPRESAS'!$A$6:$A$5000,0),1),"")),"")</f>
        <v/>
      </c>
      <c r="I2411">
        <f>IF(OR(NOT(ISNUMBER(G2411)),NOT(ISNUMBER(H2411))),"",H2411-G2411)</f>
        <v/>
      </c>
      <c r="J2411">
        <f>IF(OR(NOT(ISNUMBER(G2411)),NOT(ISNUMBER(H2411)),G2411=0),"",I2411/G2411)</f>
        <v/>
      </c>
      <c r="K2411">
        <f>IF(OR(NOT(ISNUMBER(G2411)),NOT(ISNUMBER(H2411)),G2411=0),"",H2411/G2411)</f>
        <v/>
      </c>
      <c r="L2411">
        <f>IF(NOT(ISNUMBER(G2411)),"SEM META",IF(G2411=0,"SEM META",IF(NOT(ISNUMBER(H2411)),"SEM APONTAMENTO",IF(H2411&gt;=G2411,"VERDE",IF(H2411&gt;=G2411*0.9,"AMARELO","VERMELHO")))))</f>
        <v/>
      </c>
    </row>
    <row r="2412">
      <c r="A2412" s="321" t="n">
        <v>46312</v>
      </c>
      <c r="B2412" t="inlineStr">
        <is>
          <t>GERAL</t>
        </is>
      </c>
      <c r="C2412" t="inlineStr">
        <is>
          <t>GLOBO AÇOS</t>
        </is>
      </c>
      <c r="D2412" t="inlineStr">
        <is>
          <t>TELHAR</t>
        </is>
      </c>
      <c r="F2412">
        <f>IFERROR(INDEX('BASE METAS DIÁRIAS'!$AA$2:$AC$358,MATCH($A2412,'BASE METAS DIÁRIAS'!$A$2:$A$358,0),2),"")</f>
        <v/>
      </c>
      <c r="G2412">
        <f>IFERROR(IF(WEEKDAY($A2412,2)&lt;=INDEX('BASE METAS DIÁRIAS'!$X$2:$Z$358,MATCH($A2412,'BASE METAS DIÁRIAS'!$A$2:$A$358,0),2),INDEX('BASE METAS DIÁRIAS'!$U$2:$W$358,MATCH($A2412,'BASE METAS DIÁRIAS'!$A$2:$A$358,0),2),""),"")</f>
        <v/>
      </c>
      <c r="H2412">
        <f>IFERROR(IF(INDEX('CONTROLE PRODUÇÃO POR EMPRESAS'!$H$6:$J$5000,MATCH($A2412,'CONTROLE PRODUÇÃO POR EMPRESAS'!$A$6:$A$5000,0),2)="","",IFERROR(1*INDEX('CONTROLE PRODUÇÃO POR EMPRESAS'!$H$6:$J$5000,MATCH($A2412,'CONTROLE PRODUÇÃO POR EMPRESAS'!$A$6:$A$5000,0),2),"")),"")</f>
        <v/>
      </c>
      <c r="I2412">
        <f>IF(OR(NOT(ISNUMBER(G2412)),NOT(ISNUMBER(H2412))),"",H2412-G2412)</f>
        <v/>
      </c>
      <c r="J2412">
        <f>IF(OR(NOT(ISNUMBER(G2412)),NOT(ISNUMBER(H2412)),G2412=0),"",I2412/G2412)</f>
        <v/>
      </c>
      <c r="K2412">
        <f>IF(OR(NOT(ISNUMBER(G2412)),NOT(ISNUMBER(H2412)),G2412=0),"",H2412/G2412)</f>
        <v/>
      </c>
      <c r="L2412">
        <f>IF(NOT(ISNUMBER(G2412)),"SEM META",IF(G2412=0,"SEM META",IF(NOT(ISNUMBER(H2412)),"SEM APONTAMENTO",IF(H2412&gt;=G2412,"VERDE",IF(H2412&gt;=G2412*0.9,"AMARELO","VERMELHO")))))</f>
        <v/>
      </c>
    </row>
    <row r="2413">
      <c r="A2413" s="321" t="n">
        <v>46312</v>
      </c>
      <c r="B2413" t="inlineStr">
        <is>
          <t>GERAL</t>
        </is>
      </c>
      <c r="C2413" t="inlineStr">
        <is>
          <t>GLOBO AÇOS</t>
        </is>
      </c>
      <c r="D2413" t="inlineStr">
        <is>
          <t>FECHAMENTO</t>
        </is>
      </c>
      <c r="F2413">
        <f>IFERROR(INDEX('BASE METAS DIÁRIAS'!$AA$2:$AC$358,MATCH($A2413,'BASE METAS DIÁRIAS'!$A$2:$A$358,0),3),"")</f>
        <v/>
      </c>
      <c r="G2413">
        <f>IFERROR(IF(WEEKDAY($A2413,2)&lt;=INDEX('BASE METAS DIÁRIAS'!$X$2:$Z$358,MATCH($A2413,'BASE METAS DIÁRIAS'!$A$2:$A$358,0),3),INDEX('BASE METAS DIÁRIAS'!$U$2:$W$358,MATCH($A2413,'BASE METAS DIÁRIAS'!$A$2:$A$358,0),3),""),"")</f>
        <v/>
      </c>
      <c r="H2413">
        <f>IFERROR(IF(INDEX('CONTROLE PRODUÇÃO POR EMPRESAS'!$H$6:$J$5000,MATCH($A2413,'CONTROLE PRODUÇÃO POR EMPRESAS'!$A$6:$A$5000,0),3)="","",IFERROR(1*INDEX('CONTROLE PRODUÇÃO POR EMPRESAS'!$H$6:$J$5000,MATCH($A2413,'CONTROLE PRODUÇÃO POR EMPRESAS'!$A$6:$A$5000,0),3),"")),"")</f>
        <v/>
      </c>
      <c r="I2413">
        <f>IF(OR(NOT(ISNUMBER(G2413)),NOT(ISNUMBER(H2413))),"",H2413-G2413)</f>
        <v/>
      </c>
      <c r="J2413">
        <f>IF(OR(NOT(ISNUMBER(G2413)),NOT(ISNUMBER(H2413)),G2413=0),"",I2413/G2413)</f>
        <v/>
      </c>
      <c r="K2413">
        <f>IF(OR(NOT(ISNUMBER(G2413)),NOT(ISNUMBER(H2413)),G2413=0),"",H2413/G2413)</f>
        <v/>
      </c>
      <c r="L2413">
        <f>IF(NOT(ISNUMBER(G2413)),"SEM META",IF(G2413=0,"SEM META",IF(NOT(ISNUMBER(H2413)),"SEM APONTAMENTO",IF(H2413&gt;=G2413,"VERDE",IF(H2413&gt;=G2413*0.9,"AMARELO","VERMELHO")))))</f>
        <v/>
      </c>
    </row>
    <row r="2414">
      <c r="A2414" s="321" t="n">
        <v>46313</v>
      </c>
      <c r="B2414" t="inlineStr">
        <is>
          <t>GERAL</t>
        </is>
      </c>
      <c r="C2414" t="inlineStr">
        <is>
          <t>GLOBO AÇOS</t>
        </is>
      </c>
      <c r="D2414" t="inlineStr">
        <is>
          <t>PERFILAÇÃO</t>
        </is>
      </c>
      <c r="F2414">
        <f>IFERROR(INDEX('BASE METAS DIÁRIAS'!$AA$2:$AC$358,MATCH($A2414,'BASE METAS DIÁRIAS'!$A$2:$A$358,0),1),"")</f>
        <v/>
      </c>
      <c r="G2414">
        <f>IFERROR(IF(WEEKDAY($A2414,2)&lt;=INDEX('BASE METAS DIÁRIAS'!$X$2:$Z$358,MATCH($A2414,'BASE METAS DIÁRIAS'!$A$2:$A$358,0),1),INDEX('BASE METAS DIÁRIAS'!$U$2:$W$358,MATCH($A2414,'BASE METAS DIÁRIAS'!$A$2:$A$358,0),1),""),"")</f>
        <v/>
      </c>
      <c r="H2414">
        <f>IFERROR(IF(INDEX('CONTROLE PRODUÇÃO POR EMPRESAS'!$H$6:$J$5000,MATCH($A2414,'CONTROLE PRODUÇÃO POR EMPRESAS'!$A$6:$A$5000,0),1)="","",IFERROR(1*INDEX('CONTROLE PRODUÇÃO POR EMPRESAS'!$H$6:$J$5000,MATCH($A2414,'CONTROLE PRODUÇÃO POR EMPRESAS'!$A$6:$A$5000,0),1),"")),"")</f>
        <v/>
      </c>
      <c r="I2414">
        <f>IF(OR(NOT(ISNUMBER(G2414)),NOT(ISNUMBER(H2414))),"",H2414-G2414)</f>
        <v/>
      </c>
      <c r="J2414">
        <f>IF(OR(NOT(ISNUMBER(G2414)),NOT(ISNUMBER(H2414)),G2414=0),"",I2414/G2414)</f>
        <v/>
      </c>
      <c r="K2414">
        <f>IF(OR(NOT(ISNUMBER(G2414)),NOT(ISNUMBER(H2414)),G2414=0),"",H2414/G2414)</f>
        <v/>
      </c>
      <c r="L2414">
        <f>IF(NOT(ISNUMBER(G2414)),"SEM META",IF(G2414=0,"SEM META",IF(NOT(ISNUMBER(H2414)),"SEM APONTAMENTO",IF(H2414&gt;=G2414,"VERDE",IF(H2414&gt;=G2414*0.9,"AMARELO","VERMELHO")))))</f>
        <v/>
      </c>
    </row>
    <row r="2415">
      <c r="A2415" s="321" t="n">
        <v>46313</v>
      </c>
      <c r="B2415" t="inlineStr">
        <is>
          <t>GERAL</t>
        </is>
      </c>
      <c r="C2415" t="inlineStr">
        <is>
          <t>GLOBO AÇOS</t>
        </is>
      </c>
      <c r="D2415" t="inlineStr">
        <is>
          <t>TELHAR</t>
        </is>
      </c>
      <c r="F2415">
        <f>IFERROR(INDEX('BASE METAS DIÁRIAS'!$AA$2:$AC$358,MATCH($A2415,'BASE METAS DIÁRIAS'!$A$2:$A$358,0),2),"")</f>
        <v/>
      </c>
      <c r="G2415">
        <f>IFERROR(IF(WEEKDAY($A2415,2)&lt;=INDEX('BASE METAS DIÁRIAS'!$X$2:$Z$358,MATCH($A2415,'BASE METAS DIÁRIAS'!$A$2:$A$358,0),2),INDEX('BASE METAS DIÁRIAS'!$U$2:$W$358,MATCH($A2415,'BASE METAS DIÁRIAS'!$A$2:$A$358,0),2),""),"")</f>
        <v/>
      </c>
      <c r="H2415">
        <f>IFERROR(IF(INDEX('CONTROLE PRODUÇÃO POR EMPRESAS'!$H$6:$J$5000,MATCH($A2415,'CONTROLE PRODUÇÃO POR EMPRESAS'!$A$6:$A$5000,0),2)="","",IFERROR(1*INDEX('CONTROLE PRODUÇÃO POR EMPRESAS'!$H$6:$J$5000,MATCH($A2415,'CONTROLE PRODUÇÃO POR EMPRESAS'!$A$6:$A$5000,0),2),"")),"")</f>
        <v/>
      </c>
      <c r="I2415">
        <f>IF(OR(NOT(ISNUMBER(G2415)),NOT(ISNUMBER(H2415))),"",H2415-G2415)</f>
        <v/>
      </c>
      <c r="J2415">
        <f>IF(OR(NOT(ISNUMBER(G2415)),NOT(ISNUMBER(H2415)),G2415=0),"",I2415/G2415)</f>
        <v/>
      </c>
      <c r="K2415">
        <f>IF(OR(NOT(ISNUMBER(G2415)),NOT(ISNUMBER(H2415)),G2415=0),"",H2415/G2415)</f>
        <v/>
      </c>
      <c r="L2415">
        <f>IF(NOT(ISNUMBER(G2415)),"SEM META",IF(G2415=0,"SEM META",IF(NOT(ISNUMBER(H2415)),"SEM APONTAMENTO",IF(H2415&gt;=G2415,"VERDE",IF(H2415&gt;=G2415*0.9,"AMARELO","VERMELHO")))))</f>
        <v/>
      </c>
    </row>
    <row r="2416">
      <c r="A2416" s="321" t="n">
        <v>46313</v>
      </c>
      <c r="B2416" t="inlineStr">
        <is>
          <t>GERAL</t>
        </is>
      </c>
      <c r="C2416" t="inlineStr">
        <is>
          <t>GLOBO AÇOS</t>
        </is>
      </c>
      <c r="D2416" t="inlineStr">
        <is>
          <t>FECHAMENTO</t>
        </is>
      </c>
      <c r="F2416">
        <f>IFERROR(INDEX('BASE METAS DIÁRIAS'!$AA$2:$AC$358,MATCH($A2416,'BASE METAS DIÁRIAS'!$A$2:$A$358,0),3),"")</f>
        <v/>
      </c>
      <c r="G2416">
        <f>IFERROR(IF(WEEKDAY($A2416,2)&lt;=INDEX('BASE METAS DIÁRIAS'!$X$2:$Z$358,MATCH($A2416,'BASE METAS DIÁRIAS'!$A$2:$A$358,0),3),INDEX('BASE METAS DIÁRIAS'!$U$2:$W$358,MATCH($A2416,'BASE METAS DIÁRIAS'!$A$2:$A$358,0),3),""),"")</f>
        <v/>
      </c>
      <c r="H2416">
        <f>IFERROR(IF(INDEX('CONTROLE PRODUÇÃO POR EMPRESAS'!$H$6:$J$5000,MATCH($A2416,'CONTROLE PRODUÇÃO POR EMPRESAS'!$A$6:$A$5000,0),3)="","",IFERROR(1*INDEX('CONTROLE PRODUÇÃO POR EMPRESAS'!$H$6:$J$5000,MATCH($A2416,'CONTROLE PRODUÇÃO POR EMPRESAS'!$A$6:$A$5000,0),3),"")),"")</f>
        <v/>
      </c>
      <c r="I2416">
        <f>IF(OR(NOT(ISNUMBER(G2416)),NOT(ISNUMBER(H2416))),"",H2416-G2416)</f>
        <v/>
      </c>
      <c r="J2416">
        <f>IF(OR(NOT(ISNUMBER(G2416)),NOT(ISNUMBER(H2416)),G2416=0),"",I2416/G2416)</f>
        <v/>
      </c>
      <c r="K2416">
        <f>IF(OR(NOT(ISNUMBER(G2416)),NOT(ISNUMBER(H2416)),G2416=0),"",H2416/G2416)</f>
        <v/>
      </c>
      <c r="L2416">
        <f>IF(NOT(ISNUMBER(G2416)),"SEM META",IF(G2416=0,"SEM META",IF(NOT(ISNUMBER(H2416)),"SEM APONTAMENTO",IF(H2416&gt;=G2416,"VERDE",IF(H2416&gt;=G2416*0.9,"AMARELO","VERMELHO")))))</f>
        <v/>
      </c>
    </row>
    <row r="2417">
      <c r="A2417" s="321" t="n">
        <v>46314</v>
      </c>
      <c r="B2417" t="inlineStr">
        <is>
          <t>GERAL</t>
        </is>
      </c>
      <c r="C2417" t="inlineStr">
        <is>
          <t>GLOBO AÇOS</t>
        </is>
      </c>
      <c r="D2417" t="inlineStr">
        <is>
          <t>PERFILAÇÃO</t>
        </is>
      </c>
      <c r="F2417">
        <f>IFERROR(INDEX('BASE METAS DIÁRIAS'!$AA$2:$AC$358,MATCH($A2417,'BASE METAS DIÁRIAS'!$A$2:$A$358,0),1),"")</f>
        <v/>
      </c>
      <c r="G2417">
        <f>IFERROR(IF(WEEKDAY($A2417,2)&lt;=INDEX('BASE METAS DIÁRIAS'!$X$2:$Z$358,MATCH($A2417,'BASE METAS DIÁRIAS'!$A$2:$A$358,0),1),INDEX('BASE METAS DIÁRIAS'!$U$2:$W$358,MATCH($A2417,'BASE METAS DIÁRIAS'!$A$2:$A$358,0),1),""),"")</f>
        <v/>
      </c>
      <c r="H2417">
        <f>IFERROR(IF(INDEX('CONTROLE PRODUÇÃO POR EMPRESAS'!$H$6:$J$5000,MATCH($A2417,'CONTROLE PRODUÇÃO POR EMPRESAS'!$A$6:$A$5000,0),1)="","",IFERROR(1*INDEX('CONTROLE PRODUÇÃO POR EMPRESAS'!$H$6:$J$5000,MATCH($A2417,'CONTROLE PRODUÇÃO POR EMPRESAS'!$A$6:$A$5000,0),1),"")),"")</f>
        <v/>
      </c>
      <c r="I2417">
        <f>IF(OR(NOT(ISNUMBER(G2417)),NOT(ISNUMBER(H2417))),"",H2417-G2417)</f>
        <v/>
      </c>
      <c r="J2417">
        <f>IF(OR(NOT(ISNUMBER(G2417)),NOT(ISNUMBER(H2417)),G2417=0),"",I2417/G2417)</f>
        <v/>
      </c>
      <c r="K2417">
        <f>IF(OR(NOT(ISNUMBER(G2417)),NOT(ISNUMBER(H2417)),G2417=0),"",H2417/G2417)</f>
        <v/>
      </c>
      <c r="L2417">
        <f>IF(NOT(ISNUMBER(G2417)),"SEM META",IF(G2417=0,"SEM META",IF(NOT(ISNUMBER(H2417)),"SEM APONTAMENTO",IF(H2417&gt;=G2417,"VERDE",IF(H2417&gt;=G2417*0.9,"AMARELO","VERMELHO")))))</f>
        <v/>
      </c>
    </row>
    <row r="2418">
      <c r="A2418" s="321" t="n">
        <v>46314</v>
      </c>
      <c r="B2418" t="inlineStr">
        <is>
          <t>GERAL</t>
        </is>
      </c>
      <c r="C2418" t="inlineStr">
        <is>
          <t>GLOBO AÇOS</t>
        </is>
      </c>
      <c r="D2418" t="inlineStr">
        <is>
          <t>TELHAR</t>
        </is>
      </c>
      <c r="F2418">
        <f>IFERROR(INDEX('BASE METAS DIÁRIAS'!$AA$2:$AC$358,MATCH($A2418,'BASE METAS DIÁRIAS'!$A$2:$A$358,0),2),"")</f>
        <v/>
      </c>
      <c r="G2418">
        <f>IFERROR(IF(WEEKDAY($A2418,2)&lt;=INDEX('BASE METAS DIÁRIAS'!$X$2:$Z$358,MATCH($A2418,'BASE METAS DIÁRIAS'!$A$2:$A$358,0),2),INDEX('BASE METAS DIÁRIAS'!$U$2:$W$358,MATCH($A2418,'BASE METAS DIÁRIAS'!$A$2:$A$358,0),2),""),"")</f>
        <v/>
      </c>
      <c r="H2418">
        <f>IFERROR(IF(INDEX('CONTROLE PRODUÇÃO POR EMPRESAS'!$H$6:$J$5000,MATCH($A2418,'CONTROLE PRODUÇÃO POR EMPRESAS'!$A$6:$A$5000,0),2)="","",IFERROR(1*INDEX('CONTROLE PRODUÇÃO POR EMPRESAS'!$H$6:$J$5000,MATCH($A2418,'CONTROLE PRODUÇÃO POR EMPRESAS'!$A$6:$A$5000,0),2),"")),"")</f>
        <v/>
      </c>
      <c r="I2418">
        <f>IF(OR(NOT(ISNUMBER(G2418)),NOT(ISNUMBER(H2418))),"",H2418-G2418)</f>
        <v/>
      </c>
      <c r="J2418">
        <f>IF(OR(NOT(ISNUMBER(G2418)),NOT(ISNUMBER(H2418)),G2418=0),"",I2418/G2418)</f>
        <v/>
      </c>
      <c r="K2418">
        <f>IF(OR(NOT(ISNUMBER(G2418)),NOT(ISNUMBER(H2418)),G2418=0),"",H2418/G2418)</f>
        <v/>
      </c>
      <c r="L2418">
        <f>IF(NOT(ISNUMBER(G2418)),"SEM META",IF(G2418=0,"SEM META",IF(NOT(ISNUMBER(H2418)),"SEM APONTAMENTO",IF(H2418&gt;=G2418,"VERDE",IF(H2418&gt;=G2418*0.9,"AMARELO","VERMELHO")))))</f>
        <v/>
      </c>
    </row>
    <row r="2419">
      <c r="A2419" s="321" t="n">
        <v>46314</v>
      </c>
      <c r="B2419" t="inlineStr">
        <is>
          <t>GERAL</t>
        </is>
      </c>
      <c r="C2419" t="inlineStr">
        <is>
          <t>GLOBO AÇOS</t>
        </is>
      </c>
      <c r="D2419" t="inlineStr">
        <is>
          <t>FECHAMENTO</t>
        </is>
      </c>
      <c r="F2419">
        <f>IFERROR(INDEX('BASE METAS DIÁRIAS'!$AA$2:$AC$358,MATCH($A2419,'BASE METAS DIÁRIAS'!$A$2:$A$358,0),3),"")</f>
        <v/>
      </c>
      <c r="G2419">
        <f>IFERROR(IF(WEEKDAY($A2419,2)&lt;=INDEX('BASE METAS DIÁRIAS'!$X$2:$Z$358,MATCH($A2419,'BASE METAS DIÁRIAS'!$A$2:$A$358,0),3),INDEX('BASE METAS DIÁRIAS'!$U$2:$W$358,MATCH($A2419,'BASE METAS DIÁRIAS'!$A$2:$A$358,0),3),""),"")</f>
        <v/>
      </c>
      <c r="H2419">
        <f>IFERROR(IF(INDEX('CONTROLE PRODUÇÃO POR EMPRESAS'!$H$6:$J$5000,MATCH($A2419,'CONTROLE PRODUÇÃO POR EMPRESAS'!$A$6:$A$5000,0),3)="","",IFERROR(1*INDEX('CONTROLE PRODUÇÃO POR EMPRESAS'!$H$6:$J$5000,MATCH($A2419,'CONTROLE PRODUÇÃO POR EMPRESAS'!$A$6:$A$5000,0),3),"")),"")</f>
        <v/>
      </c>
      <c r="I2419">
        <f>IF(OR(NOT(ISNUMBER(G2419)),NOT(ISNUMBER(H2419))),"",H2419-G2419)</f>
        <v/>
      </c>
      <c r="J2419">
        <f>IF(OR(NOT(ISNUMBER(G2419)),NOT(ISNUMBER(H2419)),G2419=0),"",I2419/G2419)</f>
        <v/>
      </c>
      <c r="K2419">
        <f>IF(OR(NOT(ISNUMBER(G2419)),NOT(ISNUMBER(H2419)),G2419=0),"",H2419/G2419)</f>
        <v/>
      </c>
      <c r="L2419">
        <f>IF(NOT(ISNUMBER(G2419)),"SEM META",IF(G2419=0,"SEM META",IF(NOT(ISNUMBER(H2419)),"SEM APONTAMENTO",IF(H2419&gt;=G2419,"VERDE",IF(H2419&gt;=G2419*0.9,"AMARELO","VERMELHO")))))</f>
        <v/>
      </c>
    </row>
    <row r="2420">
      <c r="A2420" s="321" t="n">
        <v>46315</v>
      </c>
      <c r="B2420" t="inlineStr">
        <is>
          <t>GERAL</t>
        </is>
      </c>
      <c r="C2420" t="inlineStr">
        <is>
          <t>GLOBO AÇOS</t>
        </is>
      </c>
      <c r="D2420" t="inlineStr">
        <is>
          <t>PERFILAÇÃO</t>
        </is>
      </c>
      <c r="F2420">
        <f>IFERROR(INDEX('BASE METAS DIÁRIAS'!$AA$2:$AC$358,MATCH($A2420,'BASE METAS DIÁRIAS'!$A$2:$A$358,0),1),"")</f>
        <v/>
      </c>
      <c r="G2420">
        <f>IFERROR(IF(WEEKDAY($A2420,2)&lt;=INDEX('BASE METAS DIÁRIAS'!$X$2:$Z$358,MATCH($A2420,'BASE METAS DIÁRIAS'!$A$2:$A$358,0),1),INDEX('BASE METAS DIÁRIAS'!$U$2:$W$358,MATCH($A2420,'BASE METAS DIÁRIAS'!$A$2:$A$358,0),1),""),"")</f>
        <v/>
      </c>
      <c r="H2420">
        <f>IFERROR(IF(INDEX('CONTROLE PRODUÇÃO POR EMPRESAS'!$H$6:$J$5000,MATCH($A2420,'CONTROLE PRODUÇÃO POR EMPRESAS'!$A$6:$A$5000,0),1)="","",IFERROR(1*INDEX('CONTROLE PRODUÇÃO POR EMPRESAS'!$H$6:$J$5000,MATCH($A2420,'CONTROLE PRODUÇÃO POR EMPRESAS'!$A$6:$A$5000,0),1),"")),"")</f>
        <v/>
      </c>
      <c r="I2420">
        <f>IF(OR(NOT(ISNUMBER(G2420)),NOT(ISNUMBER(H2420))),"",H2420-G2420)</f>
        <v/>
      </c>
      <c r="J2420">
        <f>IF(OR(NOT(ISNUMBER(G2420)),NOT(ISNUMBER(H2420)),G2420=0),"",I2420/G2420)</f>
        <v/>
      </c>
      <c r="K2420">
        <f>IF(OR(NOT(ISNUMBER(G2420)),NOT(ISNUMBER(H2420)),G2420=0),"",H2420/G2420)</f>
        <v/>
      </c>
      <c r="L2420">
        <f>IF(NOT(ISNUMBER(G2420)),"SEM META",IF(G2420=0,"SEM META",IF(NOT(ISNUMBER(H2420)),"SEM APONTAMENTO",IF(H2420&gt;=G2420,"VERDE",IF(H2420&gt;=G2420*0.9,"AMARELO","VERMELHO")))))</f>
        <v/>
      </c>
    </row>
    <row r="2421">
      <c r="A2421" s="321" t="n">
        <v>46315</v>
      </c>
      <c r="B2421" t="inlineStr">
        <is>
          <t>GERAL</t>
        </is>
      </c>
      <c r="C2421" t="inlineStr">
        <is>
          <t>GLOBO AÇOS</t>
        </is>
      </c>
      <c r="D2421" t="inlineStr">
        <is>
          <t>TELHAR</t>
        </is>
      </c>
      <c r="F2421">
        <f>IFERROR(INDEX('BASE METAS DIÁRIAS'!$AA$2:$AC$358,MATCH($A2421,'BASE METAS DIÁRIAS'!$A$2:$A$358,0),2),"")</f>
        <v/>
      </c>
      <c r="G2421">
        <f>IFERROR(IF(WEEKDAY($A2421,2)&lt;=INDEX('BASE METAS DIÁRIAS'!$X$2:$Z$358,MATCH($A2421,'BASE METAS DIÁRIAS'!$A$2:$A$358,0),2),INDEX('BASE METAS DIÁRIAS'!$U$2:$W$358,MATCH($A2421,'BASE METAS DIÁRIAS'!$A$2:$A$358,0),2),""),"")</f>
        <v/>
      </c>
      <c r="H2421">
        <f>IFERROR(IF(INDEX('CONTROLE PRODUÇÃO POR EMPRESAS'!$H$6:$J$5000,MATCH($A2421,'CONTROLE PRODUÇÃO POR EMPRESAS'!$A$6:$A$5000,0),2)="","",IFERROR(1*INDEX('CONTROLE PRODUÇÃO POR EMPRESAS'!$H$6:$J$5000,MATCH($A2421,'CONTROLE PRODUÇÃO POR EMPRESAS'!$A$6:$A$5000,0),2),"")),"")</f>
        <v/>
      </c>
      <c r="I2421">
        <f>IF(OR(NOT(ISNUMBER(G2421)),NOT(ISNUMBER(H2421))),"",H2421-G2421)</f>
        <v/>
      </c>
      <c r="J2421">
        <f>IF(OR(NOT(ISNUMBER(G2421)),NOT(ISNUMBER(H2421)),G2421=0),"",I2421/G2421)</f>
        <v/>
      </c>
      <c r="K2421">
        <f>IF(OR(NOT(ISNUMBER(G2421)),NOT(ISNUMBER(H2421)),G2421=0),"",H2421/G2421)</f>
        <v/>
      </c>
      <c r="L2421">
        <f>IF(NOT(ISNUMBER(G2421)),"SEM META",IF(G2421=0,"SEM META",IF(NOT(ISNUMBER(H2421)),"SEM APONTAMENTO",IF(H2421&gt;=G2421,"VERDE",IF(H2421&gt;=G2421*0.9,"AMARELO","VERMELHO")))))</f>
        <v/>
      </c>
    </row>
    <row r="2422">
      <c r="A2422" s="321" t="n">
        <v>46315</v>
      </c>
      <c r="B2422" t="inlineStr">
        <is>
          <t>GERAL</t>
        </is>
      </c>
      <c r="C2422" t="inlineStr">
        <is>
          <t>GLOBO AÇOS</t>
        </is>
      </c>
      <c r="D2422" t="inlineStr">
        <is>
          <t>FECHAMENTO</t>
        </is>
      </c>
      <c r="F2422">
        <f>IFERROR(INDEX('BASE METAS DIÁRIAS'!$AA$2:$AC$358,MATCH($A2422,'BASE METAS DIÁRIAS'!$A$2:$A$358,0),3),"")</f>
        <v/>
      </c>
      <c r="G2422">
        <f>IFERROR(IF(WEEKDAY($A2422,2)&lt;=INDEX('BASE METAS DIÁRIAS'!$X$2:$Z$358,MATCH($A2422,'BASE METAS DIÁRIAS'!$A$2:$A$358,0),3),INDEX('BASE METAS DIÁRIAS'!$U$2:$W$358,MATCH($A2422,'BASE METAS DIÁRIAS'!$A$2:$A$358,0),3),""),"")</f>
        <v/>
      </c>
      <c r="H2422">
        <f>IFERROR(IF(INDEX('CONTROLE PRODUÇÃO POR EMPRESAS'!$H$6:$J$5000,MATCH($A2422,'CONTROLE PRODUÇÃO POR EMPRESAS'!$A$6:$A$5000,0),3)="","",IFERROR(1*INDEX('CONTROLE PRODUÇÃO POR EMPRESAS'!$H$6:$J$5000,MATCH($A2422,'CONTROLE PRODUÇÃO POR EMPRESAS'!$A$6:$A$5000,0),3),"")),"")</f>
        <v/>
      </c>
      <c r="I2422">
        <f>IF(OR(NOT(ISNUMBER(G2422)),NOT(ISNUMBER(H2422))),"",H2422-G2422)</f>
        <v/>
      </c>
      <c r="J2422">
        <f>IF(OR(NOT(ISNUMBER(G2422)),NOT(ISNUMBER(H2422)),G2422=0),"",I2422/G2422)</f>
        <v/>
      </c>
      <c r="K2422">
        <f>IF(OR(NOT(ISNUMBER(G2422)),NOT(ISNUMBER(H2422)),G2422=0),"",H2422/G2422)</f>
        <v/>
      </c>
      <c r="L2422">
        <f>IF(NOT(ISNUMBER(G2422)),"SEM META",IF(G2422=0,"SEM META",IF(NOT(ISNUMBER(H2422)),"SEM APONTAMENTO",IF(H2422&gt;=G2422,"VERDE",IF(H2422&gt;=G2422*0.9,"AMARELO","VERMELHO")))))</f>
        <v/>
      </c>
    </row>
    <row r="2423">
      <c r="A2423" s="321" t="n">
        <v>46316</v>
      </c>
      <c r="B2423" t="inlineStr">
        <is>
          <t>GERAL</t>
        </is>
      </c>
      <c r="C2423" t="inlineStr">
        <is>
          <t>GLOBO AÇOS</t>
        </is>
      </c>
      <c r="D2423" t="inlineStr">
        <is>
          <t>PERFILAÇÃO</t>
        </is>
      </c>
      <c r="F2423">
        <f>IFERROR(INDEX('BASE METAS DIÁRIAS'!$AA$2:$AC$358,MATCH($A2423,'BASE METAS DIÁRIAS'!$A$2:$A$358,0),1),"")</f>
        <v/>
      </c>
      <c r="G2423">
        <f>IFERROR(IF(WEEKDAY($A2423,2)&lt;=INDEX('BASE METAS DIÁRIAS'!$X$2:$Z$358,MATCH($A2423,'BASE METAS DIÁRIAS'!$A$2:$A$358,0),1),INDEX('BASE METAS DIÁRIAS'!$U$2:$W$358,MATCH($A2423,'BASE METAS DIÁRIAS'!$A$2:$A$358,0),1),""),"")</f>
        <v/>
      </c>
      <c r="H2423">
        <f>IFERROR(IF(INDEX('CONTROLE PRODUÇÃO POR EMPRESAS'!$H$6:$J$5000,MATCH($A2423,'CONTROLE PRODUÇÃO POR EMPRESAS'!$A$6:$A$5000,0),1)="","",IFERROR(1*INDEX('CONTROLE PRODUÇÃO POR EMPRESAS'!$H$6:$J$5000,MATCH($A2423,'CONTROLE PRODUÇÃO POR EMPRESAS'!$A$6:$A$5000,0),1),"")),"")</f>
        <v/>
      </c>
      <c r="I2423">
        <f>IF(OR(NOT(ISNUMBER(G2423)),NOT(ISNUMBER(H2423))),"",H2423-G2423)</f>
        <v/>
      </c>
      <c r="J2423">
        <f>IF(OR(NOT(ISNUMBER(G2423)),NOT(ISNUMBER(H2423)),G2423=0),"",I2423/G2423)</f>
        <v/>
      </c>
      <c r="K2423">
        <f>IF(OR(NOT(ISNUMBER(G2423)),NOT(ISNUMBER(H2423)),G2423=0),"",H2423/G2423)</f>
        <v/>
      </c>
      <c r="L2423">
        <f>IF(NOT(ISNUMBER(G2423)),"SEM META",IF(G2423=0,"SEM META",IF(NOT(ISNUMBER(H2423)),"SEM APONTAMENTO",IF(H2423&gt;=G2423,"VERDE",IF(H2423&gt;=G2423*0.9,"AMARELO","VERMELHO")))))</f>
        <v/>
      </c>
    </row>
    <row r="2424">
      <c r="A2424" s="321" t="n">
        <v>46316</v>
      </c>
      <c r="B2424" t="inlineStr">
        <is>
          <t>GERAL</t>
        </is>
      </c>
      <c r="C2424" t="inlineStr">
        <is>
          <t>GLOBO AÇOS</t>
        </is>
      </c>
      <c r="D2424" t="inlineStr">
        <is>
          <t>TELHAR</t>
        </is>
      </c>
      <c r="F2424">
        <f>IFERROR(INDEX('BASE METAS DIÁRIAS'!$AA$2:$AC$358,MATCH($A2424,'BASE METAS DIÁRIAS'!$A$2:$A$358,0),2),"")</f>
        <v/>
      </c>
      <c r="G2424">
        <f>IFERROR(IF(WEEKDAY($A2424,2)&lt;=INDEX('BASE METAS DIÁRIAS'!$X$2:$Z$358,MATCH($A2424,'BASE METAS DIÁRIAS'!$A$2:$A$358,0),2),INDEX('BASE METAS DIÁRIAS'!$U$2:$W$358,MATCH($A2424,'BASE METAS DIÁRIAS'!$A$2:$A$358,0),2),""),"")</f>
        <v/>
      </c>
      <c r="H2424">
        <f>IFERROR(IF(INDEX('CONTROLE PRODUÇÃO POR EMPRESAS'!$H$6:$J$5000,MATCH($A2424,'CONTROLE PRODUÇÃO POR EMPRESAS'!$A$6:$A$5000,0),2)="","",IFERROR(1*INDEX('CONTROLE PRODUÇÃO POR EMPRESAS'!$H$6:$J$5000,MATCH($A2424,'CONTROLE PRODUÇÃO POR EMPRESAS'!$A$6:$A$5000,0),2),"")),"")</f>
        <v/>
      </c>
      <c r="I2424">
        <f>IF(OR(NOT(ISNUMBER(G2424)),NOT(ISNUMBER(H2424))),"",H2424-G2424)</f>
        <v/>
      </c>
      <c r="J2424">
        <f>IF(OR(NOT(ISNUMBER(G2424)),NOT(ISNUMBER(H2424)),G2424=0),"",I2424/G2424)</f>
        <v/>
      </c>
      <c r="K2424">
        <f>IF(OR(NOT(ISNUMBER(G2424)),NOT(ISNUMBER(H2424)),G2424=0),"",H2424/G2424)</f>
        <v/>
      </c>
      <c r="L2424">
        <f>IF(NOT(ISNUMBER(G2424)),"SEM META",IF(G2424=0,"SEM META",IF(NOT(ISNUMBER(H2424)),"SEM APONTAMENTO",IF(H2424&gt;=G2424,"VERDE",IF(H2424&gt;=G2424*0.9,"AMARELO","VERMELHO")))))</f>
        <v/>
      </c>
    </row>
    <row r="2425">
      <c r="A2425" s="321" t="n">
        <v>46316</v>
      </c>
      <c r="B2425" t="inlineStr">
        <is>
          <t>GERAL</t>
        </is>
      </c>
      <c r="C2425" t="inlineStr">
        <is>
          <t>GLOBO AÇOS</t>
        </is>
      </c>
      <c r="D2425" t="inlineStr">
        <is>
          <t>FECHAMENTO</t>
        </is>
      </c>
      <c r="F2425">
        <f>IFERROR(INDEX('BASE METAS DIÁRIAS'!$AA$2:$AC$358,MATCH($A2425,'BASE METAS DIÁRIAS'!$A$2:$A$358,0),3),"")</f>
        <v/>
      </c>
      <c r="G2425">
        <f>IFERROR(IF(WEEKDAY($A2425,2)&lt;=INDEX('BASE METAS DIÁRIAS'!$X$2:$Z$358,MATCH($A2425,'BASE METAS DIÁRIAS'!$A$2:$A$358,0),3),INDEX('BASE METAS DIÁRIAS'!$U$2:$W$358,MATCH($A2425,'BASE METAS DIÁRIAS'!$A$2:$A$358,0),3),""),"")</f>
        <v/>
      </c>
      <c r="H2425">
        <f>IFERROR(IF(INDEX('CONTROLE PRODUÇÃO POR EMPRESAS'!$H$6:$J$5000,MATCH($A2425,'CONTROLE PRODUÇÃO POR EMPRESAS'!$A$6:$A$5000,0),3)="","",IFERROR(1*INDEX('CONTROLE PRODUÇÃO POR EMPRESAS'!$H$6:$J$5000,MATCH($A2425,'CONTROLE PRODUÇÃO POR EMPRESAS'!$A$6:$A$5000,0),3),"")),"")</f>
        <v/>
      </c>
      <c r="I2425">
        <f>IF(OR(NOT(ISNUMBER(G2425)),NOT(ISNUMBER(H2425))),"",H2425-G2425)</f>
        <v/>
      </c>
      <c r="J2425">
        <f>IF(OR(NOT(ISNUMBER(G2425)),NOT(ISNUMBER(H2425)),G2425=0),"",I2425/G2425)</f>
        <v/>
      </c>
      <c r="K2425">
        <f>IF(OR(NOT(ISNUMBER(G2425)),NOT(ISNUMBER(H2425)),G2425=0),"",H2425/G2425)</f>
        <v/>
      </c>
      <c r="L2425">
        <f>IF(NOT(ISNUMBER(G2425)),"SEM META",IF(G2425=0,"SEM META",IF(NOT(ISNUMBER(H2425)),"SEM APONTAMENTO",IF(H2425&gt;=G2425,"VERDE",IF(H2425&gt;=G2425*0.9,"AMARELO","VERMELHO")))))</f>
        <v/>
      </c>
    </row>
    <row r="2426">
      <c r="A2426" s="321" t="n">
        <v>46317</v>
      </c>
      <c r="B2426" t="inlineStr">
        <is>
          <t>GERAL</t>
        </is>
      </c>
      <c r="C2426" t="inlineStr">
        <is>
          <t>GLOBO AÇOS</t>
        </is>
      </c>
      <c r="D2426" t="inlineStr">
        <is>
          <t>PERFILAÇÃO</t>
        </is>
      </c>
      <c r="F2426">
        <f>IFERROR(INDEX('BASE METAS DIÁRIAS'!$AA$2:$AC$358,MATCH($A2426,'BASE METAS DIÁRIAS'!$A$2:$A$358,0),1),"")</f>
        <v/>
      </c>
      <c r="G2426">
        <f>IFERROR(IF(WEEKDAY($A2426,2)&lt;=INDEX('BASE METAS DIÁRIAS'!$X$2:$Z$358,MATCH($A2426,'BASE METAS DIÁRIAS'!$A$2:$A$358,0),1),INDEX('BASE METAS DIÁRIAS'!$U$2:$W$358,MATCH($A2426,'BASE METAS DIÁRIAS'!$A$2:$A$358,0),1),""),"")</f>
        <v/>
      </c>
      <c r="H2426">
        <f>IFERROR(IF(INDEX('CONTROLE PRODUÇÃO POR EMPRESAS'!$H$6:$J$5000,MATCH($A2426,'CONTROLE PRODUÇÃO POR EMPRESAS'!$A$6:$A$5000,0),1)="","",IFERROR(1*INDEX('CONTROLE PRODUÇÃO POR EMPRESAS'!$H$6:$J$5000,MATCH($A2426,'CONTROLE PRODUÇÃO POR EMPRESAS'!$A$6:$A$5000,0),1),"")),"")</f>
        <v/>
      </c>
      <c r="I2426">
        <f>IF(OR(NOT(ISNUMBER(G2426)),NOT(ISNUMBER(H2426))),"",H2426-G2426)</f>
        <v/>
      </c>
      <c r="J2426">
        <f>IF(OR(NOT(ISNUMBER(G2426)),NOT(ISNUMBER(H2426)),G2426=0),"",I2426/G2426)</f>
        <v/>
      </c>
      <c r="K2426">
        <f>IF(OR(NOT(ISNUMBER(G2426)),NOT(ISNUMBER(H2426)),G2426=0),"",H2426/G2426)</f>
        <v/>
      </c>
      <c r="L2426">
        <f>IF(NOT(ISNUMBER(G2426)),"SEM META",IF(G2426=0,"SEM META",IF(NOT(ISNUMBER(H2426)),"SEM APONTAMENTO",IF(H2426&gt;=G2426,"VERDE",IF(H2426&gt;=G2426*0.9,"AMARELO","VERMELHO")))))</f>
        <v/>
      </c>
    </row>
    <row r="2427">
      <c r="A2427" s="321" t="n">
        <v>46317</v>
      </c>
      <c r="B2427" t="inlineStr">
        <is>
          <t>GERAL</t>
        </is>
      </c>
      <c r="C2427" t="inlineStr">
        <is>
          <t>GLOBO AÇOS</t>
        </is>
      </c>
      <c r="D2427" t="inlineStr">
        <is>
          <t>TELHAR</t>
        </is>
      </c>
      <c r="F2427">
        <f>IFERROR(INDEX('BASE METAS DIÁRIAS'!$AA$2:$AC$358,MATCH($A2427,'BASE METAS DIÁRIAS'!$A$2:$A$358,0),2),"")</f>
        <v/>
      </c>
      <c r="G2427">
        <f>IFERROR(IF(WEEKDAY($A2427,2)&lt;=INDEX('BASE METAS DIÁRIAS'!$X$2:$Z$358,MATCH($A2427,'BASE METAS DIÁRIAS'!$A$2:$A$358,0),2),INDEX('BASE METAS DIÁRIAS'!$U$2:$W$358,MATCH($A2427,'BASE METAS DIÁRIAS'!$A$2:$A$358,0),2),""),"")</f>
        <v/>
      </c>
      <c r="H2427">
        <f>IFERROR(IF(INDEX('CONTROLE PRODUÇÃO POR EMPRESAS'!$H$6:$J$5000,MATCH($A2427,'CONTROLE PRODUÇÃO POR EMPRESAS'!$A$6:$A$5000,0),2)="","",IFERROR(1*INDEX('CONTROLE PRODUÇÃO POR EMPRESAS'!$H$6:$J$5000,MATCH($A2427,'CONTROLE PRODUÇÃO POR EMPRESAS'!$A$6:$A$5000,0),2),"")),"")</f>
        <v/>
      </c>
      <c r="I2427">
        <f>IF(OR(NOT(ISNUMBER(G2427)),NOT(ISNUMBER(H2427))),"",H2427-G2427)</f>
        <v/>
      </c>
      <c r="J2427">
        <f>IF(OR(NOT(ISNUMBER(G2427)),NOT(ISNUMBER(H2427)),G2427=0),"",I2427/G2427)</f>
        <v/>
      </c>
      <c r="K2427">
        <f>IF(OR(NOT(ISNUMBER(G2427)),NOT(ISNUMBER(H2427)),G2427=0),"",H2427/G2427)</f>
        <v/>
      </c>
      <c r="L2427">
        <f>IF(NOT(ISNUMBER(G2427)),"SEM META",IF(G2427=0,"SEM META",IF(NOT(ISNUMBER(H2427)),"SEM APONTAMENTO",IF(H2427&gt;=G2427,"VERDE",IF(H2427&gt;=G2427*0.9,"AMARELO","VERMELHO")))))</f>
        <v/>
      </c>
    </row>
    <row r="2428">
      <c r="A2428" s="321" t="n">
        <v>46317</v>
      </c>
      <c r="B2428" t="inlineStr">
        <is>
          <t>GERAL</t>
        </is>
      </c>
      <c r="C2428" t="inlineStr">
        <is>
          <t>GLOBO AÇOS</t>
        </is>
      </c>
      <c r="D2428" t="inlineStr">
        <is>
          <t>FECHAMENTO</t>
        </is>
      </c>
      <c r="F2428">
        <f>IFERROR(INDEX('BASE METAS DIÁRIAS'!$AA$2:$AC$358,MATCH($A2428,'BASE METAS DIÁRIAS'!$A$2:$A$358,0),3),"")</f>
        <v/>
      </c>
      <c r="G2428">
        <f>IFERROR(IF(WEEKDAY($A2428,2)&lt;=INDEX('BASE METAS DIÁRIAS'!$X$2:$Z$358,MATCH($A2428,'BASE METAS DIÁRIAS'!$A$2:$A$358,0),3),INDEX('BASE METAS DIÁRIAS'!$U$2:$W$358,MATCH($A2428,'BASE METAS DIÁRIAS'!$A$2:$A$358,0),3),""),"")</f>
        <v/>
      </c>
      <c r="H2428">
        <f>IFERROR(IF(INDEX('CONTROLE PRODUÇÃO POR EMPRESAS'!$H$6:$J$5000,MATCH($A2428,'CONTROLE PRODUÇÃO POR EMPRESAS'!$A$6:$A$5000,0),3)="","",IFERROR(1*INDEX('CONTROLE PRODUÇÃO POR EMPRESAS'!$H$6:$J$5000,MATCH($A2428,'CONTROLE PRODUÇÃO POR EMPRESAS'!$A$6:$A$5000,0),3),"")),"")</f>
        <v/>
      </c>
      <c r="I2428">
        <f>IF(OR(NOT(ISNUMBER(G2428)),NOT(ISNUMBER(H2428))),"",H2428-G2428)</f>
        <v/>
      </c>
      <c r="J2428">
        <f>IF(OR(NOT(ISNUMBER(G2428)),NOT(ISNUMBER(H2428)),G2428=0),"",I2428/G2428)</f>
        <v/>
      </c>
      <c r="K2428">
        <f>IF(OR(NOT(ISNUMBER(G2428)),NOT(ISNUMBER(H2428)),G2428=0),"",H2428/G2428)</f>
        <v/>
      </c>
      <c r="L2428">
        <f>IF(NOT(ISNUMBER(G2428)),"SEM META",IF(G2428=0,"SEM META",IF(NOT(ISNUMBER(H2428)),"SEM APONTAMENTO",IF(H2428&gt;=G2428,"VERDE",IF(H2428&gt;=G2428*0.9,"AMARELO","VERMELHO")))))</f>
        <v/>
      </c>
    </row>
    <row r="2429">
      <c r="A2429" s="321" t="n">
        <v>46318</v>
      </c>
      <c r="B2429" t="inlineStr">
        <is>
          <t>GERAL</t>
        </is>
      </c>
      <c r="C2429" t="inlineStr">
        <is>
          <t>GLOBO AÇOS</t>
        </is>
      </c>
      <c r="D2429" t="inlineStr">
        <is>
          <t>PERFILAÇÃO</t>
        </is>
      </c>
      <c r="F2429">
        <f>IFERROR(INDEX('BASE METAS DIÁRIAS'!$AA$2:$AC$358,MATCH($A2429,'BASE METAS DIÁRIAS'!$A$2:$A$358,0),1),"")</f>
        <v/>
      </c>
      <c r="G2429">
        <f>IFERROR(IF(WEEKDAY($A2429,2)&lt;=INDEX('BASE METAS DIÁRIAS'!$X$2:$Z$358,MATCH($A2429,'BASE METAS DIÁRIAS'!$A$2:$A$358,0),1),INDEX('BASE METAS DIÁRIAS'!$U$2:$W$358,MATCH($A2429,'BASE METAS DIÁRIAS'!$A$2:$A$358,0),1),""),"")</f>
        <v/>
      </c>
      <c r="H2429">
        <f>IFERROR(IF(INDEX('CONTROLE PRODUÇÃO POR EMPRESAS'!$H$6:$J$5000,MATCH($A2429,'CONTROLE PRODUÇÃO POR EMPRESAS'!$A$6:$A$5000,0),1)="","",IFERROR(1*INDEX('CONTROLE PRODUÇÃO POR EMPRESAS'!$H$6:$J$5000,MATCH($A2429,'CONTROLE PRODUÇÃO POR EMPRESAS'!$A$6:$A$5000,0),1),"")),"")</f>
        <v/>
      </c>
      <c r="I2429">
        <f>IF(OR(NOT(ISNUMBER(G2429)),NOT(ISNUMBER(H2429))),"",H2429-G2429)</f>
        <v/>
      </c>
      <c r="J2429">
        <f>IF(OR(NOT(ISNUMBER(G2429)),NOT(ISNUMBER(H2429)),G2429=0),"",I2429/G2429)</f>
        <v/>
      </c>
      <c r="K2429">
        <f>IF(OR(NOT(ISNUMBER(G2429)),NOT(ISNUMBER(H2429)),G2429=0),"",H2429/G2429)</f>
        <v/>
      </c>
      <c r="L2429">
        <f>IF(NOT(ISNUMBER(G2429)),"SEM META",IF(G2429=0,"SEM META",IF(NOT(ISNUMBER(H2429)),"SEM APONTAMENTO",IF(H2429&gt;=G2429,"VERDE",IF(H2429&gt;=G2429*0.9,"AMARELO","VERMELHO")))))</f>
        <v/>
      </c>
    </row>
    <row r="2430">
      <c r="A2430" s="321" t="n">
        <v>46318</v>
      </c>
      <c r="B2430" t="inlineStr">
        <is>
          <t>GERAL</t>
        </is>
      </c>
      <c r="C2430" t="inlineStr">
        <is>
          <t>GLOBO AÇOS</t>
        </is>
      </c>
      <c r="D2430" t="inlineStr">
        <is>
          <t>TELHAR</t>
        </is>
      </c>
      <c r="F2430">
        <f>IFERROR(INDEX('BASE METAS DIÁRIAS'!$AA$2:$AC$358,MATCH($A2430,'BASE METAS DIÁRIAS'!$A$2:$A$358,0),2),"")</f>
        <v/>
      </c>
      <c r="G2430">
        <f>IFERROR(IF(WEEKDAY($A2430,2)&lt;=INDEX('BASE METAS DIÁRIAS'!$X$2:$Z$358,MATCH($A2430,'BASE METAS DIÁRIAS'!$A$2:$A$358,0),2),INDEX('BASE METAS DIÁRIAS'!$U$2:$W$358,MATCH($A2430,'BASE METAS DIÁRIAS'!$A$2:$A$358,0),2),""),"")</f>
        <v/>
      </c>
      <c r="H2430">
        <f>IFERROR(IF(INDEX('CONTROLE PRODUÇÃO POR EMPRESAS'!$H$6:$J$5000,MATCH($A2430,'CONTROLE PRODUÇÃO POR EMPRESAS'!$A$6:$A$5000,0),2)="","",IFERROR(1*INDEX('CONTROLE PRODUÇÃO POR EMPRESAS'!$H$6:$J$5000,MATCH($A2430,'CONTROLE PRODUÇÃO POR EMPRESAS'!$A$6:$A$5000,0),2),"")),"")</f>
        <v/>
      </c>
      <c r="I2430">
        <f>IF(OR(NOT(ISNUMBER(G2430)),NOT(ISNUMBER(H2430))),"",H2430-G2430)</f>
        <v/>
      </c>
      <c r="J2430">
        <f>IF(OR(NOT(ISNUMBER(G2430)),NOT(ISNUMBER(H2430)),G2430=0),"",I2430/G2430)</f>
        <v/>
      </c>
      <c r="K2430">
        <f>IF(OR(NOT(ISNUMBER(G2430)),NOT(ISNUMBER(H2430)),G2430=0),"",H2430/G2430)</f>
        <v/>
      </c>
      <c r="L2430">
        <f>IF(NOT(ISNUMBER(G2430)),"SEM META",IF(G2430=0,"SEM META",IF(NOT(ISNUMBER(H2430)),"SEM APONTAMENTO",IF(H2430&gt;=G2430,"VERDE",IF(H2430&gt;=G2430*0.9,"AMARELO","VERMELHO")))))</f>
        <v/>
      </c>
    </row>
    <row r="2431">
      <c r="A2431" s="321" t="n">
        <v>46318</v>
      </c>
      <c r="B2431" t="inlineStr">
        <is>
          <t>GERAL</t>
        </is>
      </c>
      <c r="C2431" t="inlineStr">
        <is>
          <t>GLOBO AÇOS</t>
        </is>
      </c>
      <c r="D2431" t="inlineStr">
        <is>
          <t>FECHAMENTO</t>
        </is>
      </c>
      <c r="F2431">
        <f>IFERROR(INDEX('BASE METAS DIÁRIAS'!$AA$2:$AC$358,MATCH($A2431,'BASE METAS DIÁRIAS'!$A$2:$A$358,0),3),"")</f>
        <v/>
      </c>
      <c r="G2431">
        <f>IFERROR(IF(WEEKDAY($A2431,2)&lt;=INDEX('BASE METAS DIÁRIAS'!$X$2:$Z$358,MATCH($A2431,'BASE METAS DIÁRIAS'!$A$2:$A$358,0),3),INDEX('BASE METAS DIÁRIAS'!$U$2:$W$358,MATCH($A2431,'BASE METAS DIÁRIAS'!$A$2:$A$358,0),3),""),"")</f>
        <v/>
      </c>
      <c r="H2431">
        <f>IFERROR(IF(INDEX('CONTROLE PRODUÇÃO POR EMPRESAS'!$H$6:$J$5000,MATCH($A2431,'CONTROLE PRODUÇÃO POR EMPRESAS'!$A$6:$A$5000,0),3)="","",IFERROR(1*INDEX('CONTROLE PRODUÇÃO POR EMPRESAS'!$H$6:$J$5000,MATCH($A2431,'CONTROLE PRODUÇÃO POR EMPRESAS'!$A$6:$A$5000,0),3),"")),"")</f>
        <v/>
      </c>
      <c r="I2431">
        <f>IF(OR(NOT(ISNUMBER(G2431)),NOT(ISNUMBER(H2431))),"",H2431-G2431)</f>
        <v/>
      </c>
      <c r="J2431">
        <f>IF(OR(NOT(ISNUMBER(G2431)),NOT(ISNUMBER(H2431)),G2431=0),"",I2431/G2431)</f>
        <v/>
      </c>
      <c r="K2431">
        <f>IF(OR(NOT(ISNUMBER(G2431)),NOT(ISNUMBER(H2431)),G2431=0),"",H2431/G2431)</f>
        <v/>
      </c>
      <c r="L2431">
        <f>IF(NOT(ISNUMBER(G2431)),"SEM META",IF(G2431=0,"SEM META",IF(NOT(ISNUMBER(H2431)),"SEM APONTAMENTO",IF(H2431&gt;=G2431,"VERDE",IF(H2431&gt;=G2431*0.9,"AMARELO","VERMELHO")))))</f>
        <v/>
      </c>
    </row>
    <row r="2432">
      <c r="A2432" s="321" t="n">
        <v>46319</v>
      </c>
      <c r="B2432" t="inlineStr">
        <is>
          <t>GERAL</t>
        </is>
      </c>
      <c r="C2432" t="inlineStr">
        <is>
          <t>GLOBO AÇOS</t>
        </is>
      </c>
      <c r="D2432" t="inlineStr">
        <is>
          <t>PERFILAÇÃO</t>
        </is>
      </c>
      <c r="F2432">
        <f>IFERROR(INDEX('BASE METAS DIÁRIAS'!$AA$2:$AC$358,MATCH($A2432,'BASE METAS DIÁRIAS'!$A$2:$A$358,0),1),"")</f>
        <v/>
      </c>
      <c r="G2432">
        <f>IFERROR(IF(WEEKDAY($A2432,2)&lt;=INDEX('BASE METAS DIÁRIAS'!$X$2:$Z$358,MATCH($A2432,'BASE METAS DIÁRIAS'!$A$2:$A$358,0),1),INDEX('BASE METAS DIÁRIAS'!$U$2:$W$358,MATCH($A2432,'BASE METAS DIÁRIAS'!$A$2:$A$358,0),1),""),"")</f>
        <v/>
      </c>
      <c r="H2432">
        <f>IFERROR(IF(INDEX('CONTROLE PRODUÇÃO POR EMPRESAS'!$H$6:$J$5000,MATCH($A2432,'CONTROLE PRODUÇÃO POR EMPRESAS'!$A$6:$A$5000,0),1)="","",IFERROR(1*INDEX('CONTROLE PRODUÇÃO POR EMPRESAS'!$H$6:$J$5000,MATCH($A2432,'CONTROLE PRODUÇÃO POR EMPRESAS'!$A$6:$A$5000,0),1),"")),"")</f>
        <v/>
      </c>
      <c r="I2432">
        <f>IF(OR(NOT(ISNUMBER(G2432)),NOT(ISNUMBER(H2432))),"",H2432-G2432)</f>
        <v/>
      </c>
      <c r="J2432">
        <f>IF(OR(NOT(ISNUMBER(G2432)),NOT(ISNUMBER(H2432)),G2432=0),"",I2432/G2432)</f>
        <v/>
      </c>
      <c r="K2432">
        <f>IF(OR(NOT(ISNUMBER(G2432)),NOT(ISNUMBER(H2432)),G2432=0),"",H2432/G2432)</f>
        <v/>
      </c>
      <c r="L2432">
        <f>IF(NOT(ISNUMBER(G2432)),"SEM META",IF(G2432=0,"SEM META",IF(NOT(ISNUMBER(H2432)),"SEM APONTAMENTO",IF(H2432&gt;=G2432,"VERDE",IF(H2432&gt;=G2432*0.9,"AMARELO","VERMELHO")))))</f>
        <v/>
      </c>
    </row>
    <row r="2433">
      <c r="A2433" s="321" t="n">
        <v>46319</v>
      </c>
      <c r="B2433" t="inlineStr">
        <is>
          <t>GERAL</t>
        </is>
      </c>
      <c r="C2433" t="inlineStr">
        <is>
          <t>GLOBO AÇOS</t>
        </is>
      </c>
      <c r="D2433" t="inlineStr">
        <is>
          <t>TELHAR</t>
        </is>
      </c>
      <c r="F2433">
        <f>IFERROR(INDEX('BASE METAS DIÁRIAS'!$AA$2:$AC$358,MATCH($A2433,'BASE METAS DIÁRIAS'!$A$2:$A$358,0),2),"")</f>
        <v/>
      </c>
      <c r="G2433">
        <f>IFERROR(IF(WEEKDAY($A2433,2)&lt;=INDEX('BASE METAS DIÁRIAS'!$X$2:$Z$358,MATCH($A2433,'BASE METAS DIÁRIAS'!$A$2:$A$358,0),2),INDEX('BASE METAS DIÁRIAS'!$U$2:$W$358,MATCH($A2433,'BASE METAS DIÁRIAS'!$A$2:$A$358,0),2),""),"")</f>
        <v/>
      </c>
      <c r="H2433">
        <f>IFERROR(IF(INDEX('CONTROLE PRODUÇÃO POR EMPRESAS'!$H$6:$J$5000,MATCH($A2433,'CONTROLE PRODUÇÃO POR EMPRESAS'!$A$6:$A$5000,0),2)="","",IFERROR(1*INDEX('CONTROLE PRODUÇÃO POR EMPRESAS'!$H$6:$J$5000,MATCH($A2433,'CONTROLE PRODUÇÃO POR EMPRESAS'!$A$6:$A$5000,0),2),"")),"")</f>
        <v/>
      </c>
      <c r="I2433">
        <f>IF(OR(NOT(ISNUMBER(G2433)),NOT(ISNUMBER(H2433))),"",H2433-G2433)</f>
        <v/>
      </c>
      <c r="J2433">
        <f>IF(OR(NOT(ISNUMBER(G2433)),NOT(ISNUMBER(H2433)),G2433=0),"",I2433/G2433)</f>
        <v/>
      </c>
      <c r="K2433">
        <f>IF(OR(NOT(ISNUMBER(G2433)),NOT(ISNUMBER(H2433)),G2433=0),"",H2433/G2433)</f>
        <v/>
      </c>
      <c r="L2433">
        <f>IF(NOT(ISNUMBER(G2433)),"SEM META",IF(G2433=0,"SEM META",IF(NOT(ISNUMBER(H2433)),"SEM APONTAMENTO",IF(H2433&gt;=G2433,"VERDE",IF(H2433&gt;=G2433*0.9,"AMARELO","VERMELHO")))))</f>
        <v/>
      </c>
    </row>
    <row r="2434">
      <c r="A2434" s="321" t="n">
        <v>46319</v>
      </c>
      <c r="B2434" t="inlineStr">
        <is>
          <t>GERAL</t>
        </is>
      </c>
      <c r="C2434" t="inlineStr">
        <is>
          <t>GLOBO AÇOS</t>
        </is>
      </c>
      <c r="D2434" t="inlineStr">
        <is>
          <t>FECHAMENTO</t>
        </is>
      </c>
      <c r="F2434">
        <f>IFERROR(INDEX('BASE METAS DIÁRIAS'!$AA$2:$AC$358,MATCH($A2434,'BASE METAS DIÁRIAS'!$A$2:$A$358,0),3),"")</f>
        <v/>
      </c>
      <c r="G2434">
        <f>IFERROR(IF(WEEKDAY($A2434,2)&lt;=INDEX('BASE METAS DIÁRIAS'!$X$2:$Z$358,MATCH($A2434,'BASE METAS DIÁRIAS'!$A$2:$A$358,0),3),INDEX('BASE METAS DIÁRIAS'!$U$2:$W$358,MATCH($A2434,'BASE METAS DIÁRIAS'!$A$2:$A$358,0),3),""),"")</f>
        <v/>
      </c>
      <c r="H2434">
        <f>IFERROR(IF(INDEX('CONTROLE PRODUÇÃO POR EMPRESAS'!$H$6:$J$5000,MATCH($A2434,'CONTROLE PRODUÇÃO POR EMPRESAS'!$A$6:$A$5000,0),3)="","",IFERROR(1*INDEX('CONTROLE PRODUÇÃO POR EMPRESAS'!$H$6:$J$5000,MATCH($A2434,'CONTROLE PRODUÇÃO POR EMPRESAS'!$A$6:$A$5000,0),3),"")),"")</f>
        <v/>
      </c>
      <c r="I2434">
        <f>IF(OR(NOT(ISNUMBER(G2434)),NOT(ISNUMBER(H2434))),"",H2434-G2434)</f>
        <v/>
      </c>
      <c r="J2434">
        <f>IF(OR(NOT(ISNUMBER(G2434)),NOT(ISNUMBER(H2434)),G2434=0),"",I2434/G2434)</f>
        <v/>
      </c>
      <c r="K2434">
        <f>IF(OR(NOT(ISNUMBER(G2434)),NOT(ISNUMBER(H2434)),G2434=0),"",H2434/G2434)</f>
        <v/>
      </c>
      <c r="L2434">
        <f>IF(NOT(ISNUMBER(G2434)),"SEM META",IF(G2434=0,"SEM META",IF(NOT(ISNUMBER(H2434)),"SEM APONTAMENTO",IF(H2434&gt;=G2434,"VERDE",IF(H2434&gt;=G2434*0.9,"AMARELO","VERMELHO")))))</f>
        <v/>
      </c>
    </row>
    <row r="2435">
      <c r="A2435" s="321" t="n">
        <v>46320</v>
      </c>
      <c r="B2435" t="inlineStr">
        <is>
          <t>GERAL</t>
        </is>
      </c>
      <c r="C2435" t="inlineStr">
        <is>
          <t>GLOBO AÇOS</t>
        </is>
      </c>
      <c r="D2435" t="inlineStr">
        <is>
          <t>PERFILAÇÃO</t>
        </is>
      </c>
      <c r="F2435">
        <f>IFERROR(INDEX('BASE METAS DIÁRIAS'!$AA$2:$AC$358,MATCH($A2435,'BASE METAS DIÁRIAS'!$A$2:$A$358,0),1),"")</f>
        <v/>
      </c>
      <c r="G2435">
        <f>IFERROR(IF(WEEKDAY($A2435,2)&lt;=INDEX('BASE METAS DIÁRIAS'!$X$2:$Z$358,MATCH($A2435,'BASE METAS DIÁRIAS'!$A$2:$A$358,0),1),INDEX('BASE METAS DIÁRIAS'!$U$2:$W$358,MATCH($A2435,'BASE METAS DIÁRIAS'!$A$2:$A$358,0),1),""),"")</f>
        <v/>
      </c>
      <c r="H2435">
        <f>IFERROR(IF(INDEX('CONTROLE PRODUÇÃO POR EMPRESAS'!$H$6:$J$5000,MATCH($A2435,'CONTROLE PRODUÇÃO POR EMPRESAS'!$A$6:$A$5000,0),1)="","",IFERROR(1*INDEX('CONTROLE PRODUÇÃO POR EMPRESAS'!$H$6:$J$5000,MATCH($A2435,'CONTROLE PRODUÇÃO POR EMPRESAS'!$A$6:$A$5000,0),1),"")),"")</f>
        <v/>
      </c>
      <c r="I2435">
        <f>IF(OR(NOT(ISNUMBER(G2435)),NOT(ISNUMBER(H2435))),"",H2435-G2435)</f>
        <v/>
      </c>
      <c r="J2435">
        <f>IF(OR(NOT(ISNUMBER(G2435)),NOT(ISNUMBER(H2435)),G2435=0),"",I2435/G2435)</f>
        <v/>
      </c>
      <c r="K2435">
        <f>IF(OR(NOT(ISNUMBER(G2435)),NOT(ISNUMBER(H2435)),G2435=0),"",H2435/G2435)</f>
        <v/>
      </c>
      <c r="L2435">
        <f>IF(NOT(ISNUMBER(G2435)),"SEM META",IF(G2435=0,"SEM META",IF(NOT(ISNUMBER(H2435)),"SEM APONTAMENTO",IF(H2435&gt;=G2435,"VERDE",IF(H2435&gt;=G2435*0.9,"AMARELO","VERMELHO")))))</f>
        <v/>
      </c>
    </row>
    <row r="2436">
      <c r="A2436" s="321" t="n">
        <v>46320</v>
      </c>
      <c r="B2436" t="inlineStr">
        <is>
          <t>GERAL</t>
        </is>
      </c>
      <c r="C2436" t="inlineStr">
        <is>
          <t>GLOBO AÇOS</t>
        </is>
      </c>
      <c r="D2436" t="inlineStr">
        <is>
          <t>TELHAR</t>
        </is>
      </c>
      <c r="F2436">
        <f>IFERROR(INDEX('BASE METAS DIÁRIAS'!$AA$2:$AC$358,MATCH($A2436,'BASE METAS DIÁRIAS'!$A$2:$A$358,0),2),"")</f>
        <v/>
      </c>
      <c r="G2436">
        <f>IFERROR(IF(WEEKDAY($A2436,2)&lt;=INDEX('BASE METAS DIÁRIAS'!$X$2:$Z$358,MATCH($A2436,'BASE METAS DIÁRIAS'!$A$2:$A$358,0),2),INDEX('BASE METAS DIÁRIAS'!$U$2:$W$358,MATCH($A2436,'BASE METAS DIÁRIAS'!$A$2:$A$358,0),2),""),"")</f>
        <v/>
      </c>
      <c r="H2436">
        <f>IFERROR(IF(INDEX('CONTROLE PRODUÇÃO POR EMPRESAS'!$H$6:$J$5000,MATCH($A2436,'CONTROLE PRODUÇÃO POR EMPRESAS'!$A$6:$A$5000,0),2)="","",IFERROR(1*INDEX('CONTROLE PRODUÇÃO POR EMPRESAS'!$H$6:$J$5000,MATCH($A2436,'CONTROLE PRODUÇÃO POR EMPRESAS'!$A$6:$A$5000,0),2),"")),"")</f>
        <v/>
      </c>
      <c r="I2436">
        <f>IF(OR(NOT(ISNUMBER(G2436)),NOT(ISNUMBER(H2436))),"",H2436-G2436)</f>
        <v/>
      </c>
      <c r="J2436">
        <f>IF(OR(NOT(ISNUMBER(G2436)),NOT(ISNUMBER(H2436)),G2436=0),"",I2436/G2436)</f>
        <v/>
      </c>
      <c r="K2436">
        <f>IF(OR(NOT(ISNUMBER(G2436)),NOT(ISNUMBER(H2436)),G2436=0),"",H2436/G2436)</f>
        <v/>
      </c>
      <c r="L2436">
        <f>IF(NOT(ISNUMBER(G2436)),"SEM META",IF(G2436=0,"SEM META",IF(NOT(ISNUMBER(H2436)),"SEM APONTAMENTO",IF(H2436&gt;=G2436,"VERDE",IF(H2436&gt;=G2436*0.9,"AMARELO","VERMELHO")))))</f>
        <v/>
      </c>
    </row>
    <row r="2437">
      <c r="A2437" s="321" t="n">
        <v>46320</v>
      </c>
      <c r="B2437" t="inlineStr">
        <is>
          <t>GERAL</t>
        </is>
      </c>
      <c r="C2437" t="inlineStr">
        <is>
          <t>GLOBO AÇOS</t>
        </is>
      </c>
      <c r="D2437" t="inlineStr">
        <is>
          <t>FECHAMENTO</t>
        </is>
      </c>
      <c r="F2437">
        <f>IFERROR(INDEX('BASE METAS DIÁRIAS'!$AA$2:$AC$358,MATCH($A2437,'BASE METAS DIÁRIAS'!$A$2:$A$358,0),3),"")</f>
        <v/>
      </c>
      <c r="G2437">
        <f>IFERROR(IF(WEEKDAY($A2437,2)&lt;=INDEX('BASE METAS DIÁRIAS'!$X$2:$Z$358,MATCH($A2437,'BASE METAS DIÁRIAS'!$A$2:$A$358,0),3),INDEX('BASE METAS DIÁRIAS'!$U$2:$W$358,MATCH($A2437,'BASE METAS DIÁRIAS'!$A$2:$A$358,0),3),""),"")</f>
        <v/>
      </c>
      <c r="H2437">
        <f>IFERROR(IF(INDEX('CONTROLE PRODUÇÃO POR EMPRESAS'!$H$6:$J$5000,MATCH($A2437,'CONTROLE PRODUÇÃO POR EMPRESAS'!$A$6:$A$5000,0),3)="","",IFERROR(1*INDEX('CONTROLE PRODUÇÃO POR EMPRESAS'!$H$6:$J$5000,MATCH($A2437,'CONTROLE PRODUÇÃO POR EMPRESAS'!$A$6:$A$5000,0),3),"")),"")</f>
        <v/>
      </c>
      <c r="I2437">
        <f>IF(OR(NOT(ISNUMBER(G2437)),NOT(ISNUMBER(H2437))),"",H2437-G2437)</f>
        <v/>
      </c>
      <c r="J2437">
        <f>IF(OR(NOT(ISNUMBER(G2437)),NOT(ISNUMBER(H2437)),G2437=0),"",I2437/G2437)</f>
        <v/>
      </c>
      <c r="K2437">
        <f>IF(OR(NOT(ISNUMBER(G2437)),NOT(ISNUMBER(H2437)),G2437=0),"",H2437/G2437)</f>
        <v/>
      </c>
      <c r="L2437">
        <f>IF(NOT(ISNUMBER(G2437)),"SEM META",IF(G2437=0,"SEM META",IF(NOT(ISNUMBER(H2437)),"SEM APONTAMENTO",IF(H2437&gt;=G2437,"VERDE",IF(H2437&gt;=G2437*0.9,"AMARELO","VERMELHO")))))</f>
        <v/>
      </c>
    </row>
    <row r="2438">
      <c r="A2438" s="321" t="n">
        <v>46321</v>
      </c>
      <c r="B2438" t="inlineStr">
        <is>
          <t>GERAL</t>
        </is>
      </c>
      <c r="C2438" t="inlineStr">
        <is>
          <t>GLOBO AÇOS</t>
        </is>
      </c>
      <c r="D2438" t="inlineStr">
        <is>
          <t>PERFILAÇÃO</t>
        </is>
      </c>
      <c r="F2438">
        <f>IFERROR(INDEX('BASE METAS DIÁRIAS'!$AA$2:$AC$358,MATCH($A2438,'BASE METAS DIÁRIAS'!$A$2:$A$358,0),1),"")</f>
        <v/>
      </c>
      <c r="G2438">
        <f>IFERROR(IF(WEEKDAY($A2438,2)&lt;=INDEX('BASE METAS DIÁRIAS'!$X$2:$Z$358,MATCH($A2438,'BASE METAS DIÁRIAS'!$A$2:$A$358,0),1),INDEX('BASE METAS DIÁRIAS'!$U$2:$W$358,MATCH($A2438,'BASE METAS DIÁRIAS'!$A$2:$A$358,0),1),""),"")</f>
        <v/>
      </c>
      <c r="H2438">
        <f>IFERROR(IF(INDEX('CONTROLE PRODUÇÃO POR EMPRESAS'!$H$6:$J$5000,MATCH($A2438,'CONTROLE PRODUÇÃO POR EMPRESAS'!$A$6:$A$5000,0),1)="","",IFERROR(1*INDEX('CONTROLE PRODUÇÃO POR EMPRESAS'!$H$6:$J$5000,MATCH($A2438,'CONTROLE PRODUÇÃO POR EMPRESAS'!$A$6:$A$5000,0),1),"")),"")</f>
        <v/>
      </c>
      <c r="I2438">
        <f>IF(OR(NOT(ISNUMBER(G2438)),NOT(ISNUMBER(H2438))),"",H2438-G2438)</f>
        <v/>
      </c>
      <c r="J2438">
        <f>IF(OR(NOT(ISNUMBER(G2438)),NOT(ISNUMBER(H2438)),G2438=0),"",I2438/G2438)</f>
        <v/>
      </c>
      <c r="K2438">
        <f>IF(OR(NOT(ISNUMBER(G2438)),NOT(ISNUMBER(H2438)),G2438=0),"",H2438/G2438)</f>
        <v/>
      </c>
      <c r="L2438">
        <f>IF(NOT(ISNUMBER(G2438)),"SEM META",IF(G2438=0,"SEM META",IF(NOT(ISNUMBER(H2438)),"SEM APONTAMENTO",IF(H2438&gt;=G2438,"VERDE",IF(H2438&gt;=G2438*0.9,"AMARELO","VERMELHO")))))</f>
        <v/>
      </c>
    </row>
    <row r="2439">
      <c r="A2439" s="321" t="n">
        <v>46321</v>
      </c>
      <c r="B2439" t="inlineStr">
        <is>
          <t>GERAL</t>
        </is>
      </c>
      <c r="C2439" t="inlineStr">
        <is>
          <t>GLOBO AÇOS</t>
        </is>
      </c>
      <c r="D2439" t="inlineStr">
        <is>
          <t>TELHAR</t>
        </is>
      </c>
      <c r="F2439">
        <f>IFERROR(INDEX('BASE METAS DIÁRIAS'!$AA$2:$AC$358,MATCH($A2439,'BASE METAS DIÁRIAS'!$A$2:$A$358,0),2),"")</f>
        <v/>
      </c>
      <c r="G2439">
        <f>IFERROR(IF(WEEKDAY($A2439,2)&lt;=INDEX('BASE METAS DIÁRIAS'!$X$2:$Z$358,MATCH($A2439,'BASE METAS DIÁRIAS'!$A$2:$A$358,0),2),INDEX('BASE METAS DIÁRIAS'!$U$2:$W$358,MATCH($A2439,'BASE METAS DIÁRIAS'!$A$2:$A$358,0),2),""),"")</f>
        <v/>
      </c>
      <c r="H2439">
        <f>IFERROR(IF(INDEX('CONTROLE PRODUÇÃO POR EMPRESAS'!$H$6:$J$5000,MATCH($A2439,'CONTROLE PRODUÇÃO POR EMPRESAS'!$A$6:$A$5000,0),2)="","",IFERROR(1*INDEX('CONTROLE PRODUÇÃO POR EMPRESAS'!$H$6:$J$5000,MATCH($A2439,'CONTROLE PRODUÇÃO POR EMPRESAS'!$A$6:$A$5000,0),2),"")),"")</f>
        <v/>
      </c>
      <c r="I2439">
        <f>IF(OR(NOT(ISNUMBER(G2439)),NOT(ISNUMBER(H2439))),"",H2439-G2439)</f>
        <v/>
      </c>
      <c r="J2439">
        <f>IF(OR(NOT(ISNUMBER(G2439)),NOT(ISNUMBER(H2439)),G2439=0),"",I2439/G2439)</f>
        <v/>
      </c>
      <c r="K2439">
        <f>IF(OR(NOT(ISNUMBER(G2439)),NOT(ISNUMBER(H2439)),G2439=0),"",H2439/G2439)</f>
        <v/>
      </c>
      <c r="L2439">
        <f>IF(NOT(ISNUMBER(G2439)),"SEM META",IF(G2439=0,"SEM META",IF(NOT(ISNUMBER(H2439)),"SEM APONTAMENTO",IF(H2439&gt;=G2439,"VERDE",IF(H2439&gt;=G2439*0.9,"AMARELO","VERMELHO")))))</f>
        <v/>
      </c>
    </row>
    <row r="2440">
      <c r="A2440" s="321" t="n">
        <v>46321</v>
      </c>
      <c r="B2440" t="inlineStr">
        <is>
          <t>GERAL</t>
        </is>
      </c>
      <c r="C2440" t="inlineStr">
        <is>
          <t>GLOBO AÇOS</t>
        </is>
      </c>
      <c r="D2440" t="inlineStr">
        <is>
          <t>FECHAMENTO</t>
        </is>
      </c>
      <c r="F2440">
        <f>IFERROR(INDEX('BASE METAS DIÁRIAS'!$AA$2:$AC$358,MATCH($A2440,'BASE METAS DIÁRIAS'!$A$2:$A$358,0),3),"")</f>
        <v/>
      </c>
      <c r="G2440">
        <f>IFERROR(IF(WEEKDAY($A2440,2)&lt;=INDEX('BASE METAS DIÁRIAS'!$X$2:$Z$358,MATCH($A2440,'BASE METAS DIÁRIAS'!$A$2:$A$358,0),3),INDEX('BASE METAS DIÁRIAS'!$U$2:$W$358,MATCH($A2440,'BASE METAS DIÁRIAS'!$A$2:$A$358,0),3),""),"")</f>
        <v/>
      </c>
      <c r="H2440">
        <f>IFERROR(IF(INDEX('CONTROLE PRODUÇÃO POR EMPRESAS'!$H$6:$J$5000,MATCH($A2440,'CONTROLE PRODUÇÃO POR EMPRESAS'!$A$6:$A$5000,0),3)="","",IFERROR(1*INDEX('CONTROLE PRODUÇÃO POR EMPRESAS'!$H$6:$J$5000,MATCH($A2440,'CONTROLE PRODUÇÃO POR EMPRESAS'!$A$6:$A$5000,0),3),"")),"")</f>
        <v/>
      </c>
      <c r="I2440">
        <f>IF(OR(NOT(ISNUMBER(G2440)),NOT(ISNUMBER(H2440))),"",H2440-G2440)</f>
        <v/>
      </c>
      <c r="J2440">
        <f>IF(OR(NOT(ISNUMBER(G2440)),NOT(ISNUMBER(H2440)),G2440=0),"",I2440/G2440)</f>
        <v/>
      </c>
      <c r="K2440">
        <f>IF(OR(NOT(ISNUMBER(G2440)),NOT(ISNUMBER(H2440)),G2440=0),"",H2440/G2440)</f>
        <v/>
      </c>
      <c r="L2440">
        <f>IF(NOT(ISNUMBER(G2440)),"SEM META",IF(G2440=0,"SEM META",IF(NOT(ISNUMBER(H2440)),"SEM APONTAMENTO",IF(H2440&gt;=G2440,"VERDE",IF(H2440&gt;=G2440*0.9,"AMARELO","VERMELHO")))))</f>
        <v/>
      </c>
    </row>
    <row r="2441">
      <c r="A2441" s="321" t="n">
        <v>46322</v>
      </c>
      <c r="B2441" t="inlineStr">
        <is>
          <t>GERAL</t>
        </is>
      </c>
      <c r="C2441" t="inlineStr">
        <is>
          <t>GLOBO AÇOS</t>
        </is>
      </c>
      <c r="D2441" t="inlineStr">
        <is>
          <t>PERFILAÇÃO</t>
        </is>
      </c>
      <c r="F2441">
        <f>IFERROR(INDEX('BASE METAS DIÁRIAS'!$AA$2:$AC$358,MATCH($A2441,'BASE METAS DIÁRIAS'!$A$2:$A$358,0),1),"")</f>
        <v/>
      </c>
      <c r="G2441">
        <f>IFERROR(IF(WEEKDAY($A2441,2)&lt;=INDEX('BASE METAS DIÁRIAS'!$X$2:$Z$358,MATCH($A2441,'BASE METAS DIÁRIAS'!$A$2:$A$358,0),1),INDEX('BASE METAS DIÁRIAS'!$U$2:$W$358,MATCH($A2441,'BASE METAS DIÁRIAS'!$A$2:$A$358,0),1),""),"")</f>
        <v/>
      </c>
      <c r="H2441">
        <f>IFERROR(IF(INDEX('CONTROLE PRODUÇÃO POR EMPRESAS'!$H$6:$J$5000,MATCH($A2441,'CONTROLE PRODUÇÃO POR EMPRESAS'!$A$6:$A$5000,0),1)="","",IFERROR(1*INDEX('CONTROLE PRODUÇÃO POR EMPRESAS'!$H$6:$J$5000,MATCH($A2441,'CONTROLE PRODUÇÃO POR EMPRESAS'!$A$6:$A$5000,0),1),"")),"")</f>
        <v/>
      </c>
      <c r="I2441">
        <f>IF(OR(NOT(ISNUMBER(G2441)),NOT(ISNUMBER(H2441))),"",H2441-G2441)</f>
        <v/>
      </c>
      <c r="J2441">
        <f>IF(OR(NOT(ISNUMBER(G2441)),NOT(ISNUMBER(H2441)),G2441=0),"",I2441/G2441)</f>
        <v/>
      </c>
      <c r="K2441">
        <f>IF(OR(NOT(ISNUMBER(G2441)),NOT(ISNUMBER(H2441)),G2441=0),"",H2441/G2441)</f>
        <v/>
      </c>
      <c r="L2441">
        <f>IF(NOT(ISNUMBER(G2441)),"SEM META",IF(G2441=0,"SEM META",IF(NOT(ISNUMBER(H2441)),"SEM APONTAMENTO",IF(H2441&gt;=G2441,"VERDE",IF(H2441&gt;=G2441*0.9,"AMARELO","VERMELHO")))))</f>
        <v/>
      </c>
    </row>
    <row r="2442">
      <c r="A2442" s="321" t="n">
        <v>46322</v>
      </c>
      <c r="B2442" t="inlineStr">
        <is>
          <t>GERAL</t>
        </is>
      </c>
      <c r="C2442" t="inlineStr">
        <is>
          <t>GLOBO AÇOS</t>
        </is>
      </c>
      <c r="D2442" t="inlineStr">
        <is>
          <t>TELHAR</t>
        </is>
      </c>
      <c r="F2442">
        <f>IFERROR(INDEX('BASE METAS DIÁRIAS'!$AA$2:$AC$358,MATCH($A2442,'BASE METAS DIÁRIAS'!$A$2:$A$358,0),2),"")</f>
        <v/>
      </c>
      <c r="G2442">
        <f>IFERROR(IF(WEEKDAY($A2442,2)&lt;=INDEX('BASE METAS DIÁRIAS'!$X$2:$Z$358,MATCH($A2442,'BASE METAS DIÁRIAS'!$A$2:$A$358,0),2),INDEX('BASE METAS DIÁRIAS'!$U$2:$W$358,MATCH($A2442,'BASE METAS DIÁRIAS'!$A$2:$A$358,0),2),""),"")</f>
        <v/>
      </c>
      <c r="H2442">
        <f>IFERROR(IF(INDEX('CONTROLE PRODUÇÃO POR EMPRESAS'!$H$6:$J$5000,MATCH($A2442,'CONTROLE PRODUÇÃO POR EMPRESAS'!$A$6:$A$5000,0),2)="","",IFERROR(1*INDEX('CONTROLE PRODUÇÃO POR EMPRESAS'!$H$6:$J$5000,MATCH($A2442,'CONTROLE PRODUÇÃO POR EMPRESAS'!$A$6:$A$5000,0),2),"")),"")</f>
        <v/>
      </c>
      <c r="I2442">
        <f>IF(OR(NOT(ISNUMBER(G2442)),NOT(ISNUMBER(H2442))),"",H2442-G2442)</f>
        <v/>
      </c>
      <c r="J2442">
        <f>IF(OR(NOT(ISNUMBER(G2442)),NOT(ISNUMBER(H2442)),G2442=0),"",I2442/G2442)</f>
        <v/>
      </c>
      <c r="K2442">
        <f>IF(OR(NOT(ISNUMBER(G2442)),NOT(ISNUMBER(H2442)),G2442=0),"",H2442/G2442)</f>
        <v/>
      </c>
      <c r="L2442">
        <f>IF(NOT(ISNUMBER(G2442)),"SEM META",IF(G2442=0,"SEM META",IF(NOT(ISNUMBER(H2442)),"SEM APONTAMENTO",IF(H2442&gt;=G2442,"VERDE",IF(H2442&gt;=G2442*0.9,"AMARELO","VERMELHO")))))</f>
        <v/>
      </c>
    </row>
    <row r="2443">
      <c r="A2443" s="321" t="n">
        <v>46322</v>
      </c>
      <c r="B2443" t="inlineStr">
        <is>
          <t>GERAL</t>
        </is>
      </c>
      <c r="C2443" t="inlineStr">
        <is>
          <t>GLOBO AÇOS</t>
        </is>
      </c>
      <c r="D2443" t="inlineStr">
        <is>
          <t>FECHAMENTO</t>
        </is>
      </c>
      <c r="F2443">
        <f>IFERROR(INDEX('BASE METAS DIÁRIAS'!$AA$2:$AC$358,MATCH($A2443,'BASE METAS DIÁRIAS'!$A$2:$A$358,0),3),"")</f>
        <v/>
      </c>
      <c r="G2443">
        <f>IFERROR(IF(WEEKDAY($A2443,2)&lt;=INDEX('BASE METAS DIÁRIAS'!$X$2:$Z$358,MATCH($A2443,'BASE METAS DIÁRIAS'!$A$2:$A$358,0),3),INDEX('BASE METAS DIÁRIAS'!$U$2:$W$358,MATCH($A2443,'BASE METAS DIÁRIAS'!$A$2:$A$358,0),3),""),"")</f>
        <v/>
      </c>
      <c r="H2443">
        <f>IFERROR(IF(INDEX('CONTROLE PRODUÇÃO POR EMPRESAS'!$H$6:$J$5000,MATCH($A2443,'CONTROLE PRODUÇÃO POR EMPRESAS'!$A$6:$A$5000,0),3)="","",IFERROR(1*INDEX('CONTROLE PRODUÇÃO POR EMPRESAS'!$H$6:$J$5000,MATCH($A2443,'CONTROLE PRODUÇÃO POR EMPRESAS'!$A$6:$A$5000,0),3),"")),"")</f>
        <v/>
      </c>
      <c r="I2443">
        <f>IF(OR(NOT(ISNUMBER(G2443)),NOT(ISNUMBER(H2443))),"",H2443-G2443)</f>
        <v/>
      </c>
      <c r="J2443">
        <f>IF(OR(NOT(ISNUMBER(G2443)),NOT(ISNUMBER(H2443)),G2443=0),"",I2443/G2443)</f>
        <v/>
      </c>
      <c r="K2443">
        <f>IF(OR(NOT(ISNUMBER(G2443)),NOT(ISNUMBER(H2443)),G2443=0),"",H2443/G2443)</f>
        <v/>
      </c>
      <c r="L2443">
        <f>IF(NOT(ISNUMBER(G2443)),"SEM META",IF(G2443=0,"SEM META",IF(NOT(ISNUMBER(H2443)),"SEM APONTAMENTO",IF(H2443&gt;=G2443,"VERDE",IF(H2443&gt;=G2443*0.9,"AMARELO","VERMELHO")))))</f>
        <v/>
      </c>
    </row>
    <row r="2444">
      <c r="A2444" s="321" t="n">
        <v>46323</v>
      </c>
      <c r="B2444" t="inlineStr">
        <is>
          <t>GERAL</t>
        </is>
      </c>
      <c r="C2444" t="inlineStr">
        <is>
          <t>GLOBO AÇOS</t>
        </is>
      </c>
      <c r="D2444" t="inlineStr">
        <is>
          <t>PERFILAÇÃO</t>
        </is>
      </c>
      <c r="F2444">
        <f>IFERROR(INDEX('BASE METAS DIÁRIAS'!$AA$2:$AC$358,MATCH($A2444,'BASE METAS DIÁRIAS'!$A$2:$A$358,0),1),"")</f>
        <v/>
      </c>
      <c r="G2444">
        <f>IFERROR(IF(WEEKDAY($A2444,2)&lt;=INDEX('BASE METAS DIÁRIAS'!$X$2:$Z$358,MATCH($A2444,'BASE METAS DIÁRIAS'!$A$2:$A$358,0),1),INDEX('BASE METAS DIÁRIAS'!$U$2:$W$358,MATCH($A2444,'BASE METAS DIÁRIAS'!$A$2:$A$358,0),1),""),"")</f>
        <v/>
      </c>
      <c r="H2444">
        <f>IFERROR(IF(INDEX('CONTROLE PRODUÇÃO POR EMPRESAS'!$H$6:$J$5000,MATCH($A2444,'CONTROLE PRODUÇÃO POR EMPRESAS'!$A$6:$A$5000,0),1)="","",IFERROR(1*INDEX('CONTROLE PRODUÇÃO POR EMPRESAS'!$H$6:$J$5000,MATCH($A2444,'CONTROLE PRODUÇÃO POR EMPRESAS'!$A$6:$A$5000,0),1),"")),"")</f>
        <v/>
      </c>
      <c r="I2444">
        <f>IF(OR(NOT(ISNUMBER(G2444)),NOT(ISNUMBER(H2444))),"",H2444-G2444)</f>
        <v/>
      </c>
      <c r="J2444">
        <f>IF(OR(NOT(ISNUMBER(G2444)),NOT(ISNUMBER(H2444)),G2444=0),"",I2444/G2444)</f>
        <v/>
      </c>
      <c r="K2444">
        <f>IF(OR(NOT(ISNUMBER(G2444)),NOT(ISNUMBER(H2444)),G2444=0),"",H2444/G2444)</f>
        <v/>
      </c>
      <c r="L2444">
        <f>IF(NOT(ISNUMBER(G2444)),"SEM META",IF(G2444=0,"SEM META",IF(NOT(ISNUMBER(H2444)),"SEM APONTAMENTO",IF(H2444&gt;=G2444,"VERDE",IF(H2444&gt;=G2444*0.9,"AMARELO","VERMELHO")))))</f>
        <v/>
      </c>
    </row>
    <row r="2445">
      <c r="A2445" s="321" t="n">
        <v>46323</v>
      </c>
      <c r="B2445" t="inlineStr">
        <is>
          <t>GERAL</t>
        </is>
      </c>
      <c r="C2445" t="inlineStr">
        <is>
          <t>GLOBO AÇOS</t>
        </is>
      </c>
      <c r="D2445" t="inlineStr">
        <is>
          <t>TELHAR</t>
        </is>
      </c>
      <c r="F2445">
        <f>IFERROR(INDEX('BASE METAS DIÁRIAS'!$AA$2:$AC$358,MATCH($A2445,'BASE METAS DIÁRIAS'!$A$2:$A$358,0),2),"")</f>
        <v/>
      </c>
      <c r="G2445">
        <f>IFERROR(IF(WEEKDAY($A2445,2)&lt;=INDEX('BASE METAS DIÁRIAS'!$X$2:$Z$358,MATCH($A2445,'BASE METAS DIÁRIAS'!$A$2:$A$358,0),2),INDEX('BASE METAS DIÁRIAS'!$U$2:$W$358,MATCH($A2445,'BASE METAS DIÁRIAS'!$A$2:$A$358,0),2),""),"")</f>
        <v/>
      </c>
      <c r="H2445">
        <f>IFERROR(IF(INDEX('CONTROLE PRODUÇÃO POR EMPRESAS'!$H$6:$J$5000,MATCH($A2445,'CONTROLE PRODUÇÃO POR EMPRESAS'!$A$6:$A$5000,0),2)="","",IFERROR(1*INDEX('CONTROLE PRODUÇÃO POR EMPRESAS'!$H$6:$J$5000,MATCH($A2445,'CONTROLE PRODUÇÃO POR EMPRESAS'!$A$6:$A$5000,0),2),"")),"")</f>
        <v/>
      </c>
      <c r="I2445">
        <f>IF(OR(NOT(ISNUMBER(G2445)),NOT(ISNUMBER(H2445))),"",H2445-G2445)</f>
        <v/>
      </c>
      <c r="J2445">
        <f>IF(OR(NOT(ISNUMBER(G2445)),NOT(ISNUMBER(H2445)),G2445=0),"",I2445/G2445)</f>
        <v/>
      </c>
      <c r="K2445">
        <f>IF(OR(NOT(ISNUMBER(G2445)),NOT(ISNUMBER(H2445)),G2445=0),"",H2445/G2445)</f>
        <v/>
      </c>
      <c r="L2445">
        <f>IF(NOT(ISNUMBER(G2445)),"SEM META",IF(G2445=0,"SEM META",IF(NOT(ISNUMBER(H2445)),"SEM APONTAMENTO",IF(H2445&gt;=G2445,"VERDE",IF(H2445&gt;=G2445*0.9,"AMARELO","VERMELHO")))))</f>
        <v/>
      </c>
    </row>
    <row r="2446">
      <c r="A2446" s="321" t="n">
        <v>46323</v>
      </c>
      <c r="B2446" t="inlineStr">
        <is>
          <t>GERAL</t>
        </is>
      </c>
      <c r="C2446" t="inlineStr">
        <is>
          <t>GLOBO AÇOS</t>
        </is>
      </c>
      <c r="D2446" t="inlineStr">
        <is>
          <t>FECHAMENTO</t>
        </is>
      </c>
      <c r="F2446">
        <f>IFERROR(INDEX('BASE METAS DIÁRIAS'!$AA$2:$AC$358,MATCH($A2446,'BASE METAS DIÁRIAS'!$A$2:$A$358,0),3),"")</f>
        <v/>
      </c>
      <c r="G2446">
        <f>IFERROR(IF(WEEKDAY($A2446,2)&lt;=INDEX('BASE METAS DIÁRIAS'!$X$2:$Z$358,MATCH($A2446,'BASE METAS DIÁRIAS'!$A$2:$A$358,0),3),INDEX('BASE METAS DIÁRIAS'!$U$2:$W$358,MATCH($A2446,'BASE METAS DIÁRIAS'!$A$2:$A$358,0),3),""),"")</f>
        <v/>
      </c>
      <c r="H2446">
        <f>IFERROR(IF(INDEX('CONTROLE PRODUÇÃO POR EMPRESAS'!$H$6:$J$5000,MATCH($A2446,'CONTROLE PRODUÇÃO POR EMPRESAS'!$A$6:$A$5000,0),3)="","",IFERROR(1*INDEX('CONTROLE PRODUÇÃO POR EMPRESAS'!$H$6:$J$5000,MATCH($A2446,'CONTROLE PRODUÇÃO POR EMPRESAS'!$A$6:$A$5000,0),3),"")),"")</f>
        <v/>
      </c>
      <c r="I2446">
        <f>IF(OR(NOT(ISNUMBER(G2446)),NOT(ISNUMBER(H2446))),"",H2446-G2446)</f>
        <v/>
      </c>
      <c r="J2446">
        <f>IF(OR(NOT(ISNUMBER(G2446)),NOT(ISNUMBER(H2446)),G2446=0),"",I2446/G2446)</f>
        <v/>
      </c>
      <c r="K2446">
        <f>IF(OR(NOT(ISNUMBER(G2446)),NOT(ISNUMBER(H2446)),G2446=0),"",H2446/G2446)</f>
        <v/>
      </c>
      <c r="L2446">
        <f>IF(NOT(ISNUMBER(G2446)),"SEM META",IF(G2446=0,"SEM META",IF(NOT(ISNUMBER(H2446)),"SEM APONTAMENTO",IF(H2446&gt;=G2446,"VERDE",IF(H2446&gt;=G2446*0.9,"AMARELO","VERMELHO")))))</f>
        <v/>
      </c>
    </row>
    <row r="2447">
      <c r="A2447" s="321" t="n">
        <v>46324</v>
      </c>
      <c r="B2447" t="inlineStr">
        <is>
          <t>GERAL</t>
        </is>
      </c>
      <c r="C2447" t="inlineStr">
        <is>
          <t>GLOBO AÇOS</t>
        </is>
      </c>
      <c r="D2447" t="inlineStr">
        <is>
          <t>PERFILAÇÃO</t>
        </is>
      </c>
      <c r="F2447">
        <f>IFERROR(INDEX('BASE METAS DIÁRIAS'!$AA$2:$AC$358,MATCH($A2447,'BASE METAS DIÁRIAS'!$A$2:$A$358,0),1),"")</f>
        <v/>
      </c>
      <c r="G2447">
        <f>IFERROR(IF(WEEKDAY($A2447,2)&lt;=INDEX('BASE METAS DIÁRIAS'!$X$2:$Z$358,MATCH($A2447,'BASE METAS DIÁRIAS'!$A$2:$A$358,0),1),INDEX('BASE METAS DIÁRIAS'!$U$2:$W$358,MATCH($A2447,'BASE METAS DIÁRIAS'!$A$2:$A$358,0),1),""),"")</f>
        <v/>
      </c>
      <c r="H2447">
        <f>IFERROR(IF(INDEX('CONTROLE PRODUÇÃO POR EMPRESAS'!$H$6:$J$5000,MATCH($A2447,'CONTROLE PRODUÇÃO POR EMPRESAS'!$A$6:$A$5000,0),1)="","",IFERROR(1*INDEX('CONTROLE PRODUÇÃO POR EMPRESAS'!$H$6:$J$5000,MATCH($A2447,'CONTROLE PRODUÇÃO POR EMPRESAS'!$A$6:$A$5000,0),1),"")),"")</f>
        <v/>
      </c>
      <c r="I2447">
        <f>IF(OR(NOT(ISNUMBER(G2447)),NOT(ISNUMBER(H2447))),"",H2447-G2447)</f>
        <v/>
      </c>
      <c r="J2447">
        <f>IF(OR(NOT(ISNUMBER(G2447)),NOT(ISNUMBER(H2447)),G2447=0),"",I2447/G2447)</f>
        <v/>
      </c>
      <c r="K2447">
        <f>IF(OR(NOT(ISNUMBER(G2447)),NOT(ISNUMBER(H2447)),G2447=0),"",H2447/G2447)</f>
        <v/>
      </c>
      <c r="L2447">
        <f>IF(NOT(ISNUMBER(G2447)),"SEM META",IF(G2447=0,"SEM META",IF(NOT(ISNUMBER(H2447)),"SEM APONTAMENTO",IF(H2447&gt;=G2447,"VERDE",IF(H2447&gt;=G2447*0.9,"AMARELO","VERMELHO")))))</f>
        <v/>
      </c>
    </row>
    <row r="2448">
      <c r="A2448" s="321" t="n">
        <v>46324</v>
      </c>
      <c r="B2448" t="inlineStr">
        <is>
          <t>GERAL</t>
        </is>
      </c>
      <c r="C2448" t="inlineStr">
        <is>
          <t>GLOBO AÇOS</t>
        </is>
      </c>
      <c r="D2448" t="inlineStr">
        <is>
          <t>TELHAR</t>
        </is>
      </c>
      <c r="F2448">
        <f>IFERROR(INDEX('BASE METAS DIÁRIAS'!$AA$2:$AC$358,MATCH($A2448,'BASE METAS DIÁRIAS'!$A$2:$A$358,0),2),"")</f>
        <v/>
      </c>
      <c r="G2448">
        <f>IFERROR(IF(WEEKDAY($A2448,2)&lt;=INDEX('BASE METAS DIÁRIAS'!$X$2:$Z$358,MATCH($A2448,'BASE METAS DIÁRIAS'!$A$2:$A$358,0),2),INDEX('BASE METAS DIÁRIAS'!$U$2:$W$358,MATCH($A2448,'BASE METAS DIÁRIAS'!$A$2:$A$358,0),2),""),"")</f>
        <v/>
      </c>
      <c r="H2448">
        <f>IFERROR(IF(INDEX('CONTROLE PRODUÇÃO POR EMPRESAS'!$H$6:$J$5000,MATCH($A2448,'CONTROLE PRODUÇÃO POR EMPRESAS'!$A$6:$A$5000,0),2)="","",IFERROR(1*INDEX('CONTROLE PRODUÇÃO POR EMPRESAS'!$H$6:$J$5000,MATCH($A2448,'CONTROLE PRODUÇÃO POR EMPRESAS'!$A$6:$A$5000,0),2),"")),"")</f>
        <v/>
      </c>
      <c r="I2448">
        <f>IF(OR(NOT(ISNUMBER(G2448)),NOT(ISNUMBER(H2448))),"",H2448-G2448)</f>
        <v/>
      </c>
      <c r="J2448">
        <f>IF(OR(NOT(ISNUMBER(G2448)),NOT(ISNUMBER(H2448)),G2448=0),"",I2448/G2448)</f>
        <v/>
      </c>
      <c r="K2448">
        <f>IF(OR(NOT(ISNUMBER(G2448)),NOT(ISNUMBER(H2448)),G2448=0),"",H2448/G2448)</f>
        <v/>
      </c>
      <c r="L2448">
        <f>IF(NOT(ISNUMBER(G2448)),"SEM META",IF(G2448=0,"SEM META",IF(NOT(ISNUMBER(H2448)),"SEM APONTAMENTO",IF(H2448&gt;=G2448,"VERDE",IF(H2448&gt;=G2448*0.9,"AMARELO","VERMELHO")))))</f>
        <v/>
      </c>
    </row>
    <row r="2449">
      <c r="A2449" s="321" t="n">
        <v>46324</v>
      </c>
      <c r="B2449" t="inlineStr">
        <is>
          <t>GERAL</t>
        </is>
      </c>
      <c r="C2449" t="inlineStr">
        <is>
          <t>GLOBO AÇOS</t>
        </is>
      </c>
      <c r="D2449" t="inlineStr">
        <is>
          <t>FECHAMENTO</t>
        </is>
      </c>
      <c r="F2449">
        <f>IFERROR(INDEX('BASE METAS DIÁRIAS'!$AA$2:$AC$358,MATCH($A2449,'BASE METAS DIÁRIAS'!$A$2:$A$358,0),3),"")</f>
        <v/>
      </c>
      <c r="G2449">
        <f>IFERROR(IF(WEEKDAY($A2449,2)&lt;=INDEX('BASE METAS DIÁRIAS'!$X$2:$Z$358,MATCH($A2449,'BASE METAS DIÁRIAS'!$A$2:$A$358,0),3),INDEX('BASE METAS DIÁRIAS'!$U$2:$W$358,MATCH($A2449,'BASE METAS DIÁRIAS'!$A$2:$A$358,0),3),""),"")</f>
        <v/>
      </c>
      <c r="H2449">
        <f>IFERROR(IF(INDEX('CONTROLE PRODUÇÃO POR EMPRESAS'!$H$6:$J$5000,MATCH($A2449,'CONTROLE PRODUÇÃO POR EMPRESAS'!$A$6:$A$5000,0),3)="","",IFERROR(1*INDEX('CONTROLE PRODUÇÃO POR EMPRESAS'!$H$6:$J$5000,MATCH($A2449,'CONTROLE PRODUÇÃO POR EMPRESAS'!$A$6:$A$5000,0),3),"")),"")</f>
        <v/>
      </c>
      <c r="I2449">
        <f>IF(OR(NOT(ISNUMBER(G2449)),NOT(ISNUMBER(H2449))),"",H2449-G2449)</f>
        <v/>
      </c>
      <c r="J2449">
        <f>IF(OR(NOT(ISNUMBER(G2449)),NOT(ISNUMBER(H2449)),G2449=0),"",I2449/G2449)</f>
        <v/>
      </c>
      <c r="K2449">
        <f>IF(OR(NOT(ISNUMBER(G2449)),NOT(ISNUMBER(H2449)),G2449=0),"",H2449/G2449)</f>
        <v/>
      </c>
      <c r="L2449">
        <f>IF(NOT(ISNUMBER(G2449)),"SEM META",IF(G2449=0,"SEM META",IF(NOT(ISNUMBER(H2449)),"SEM APONTAMENTO",IF(H2449&gt;=G2449,"VERDE",IF(H2449&gt;=G2449*0.9,"AMARELO","VERMELHO")))))</f>
        <v/>
      </c>
    </row>
    <row r="2450">
      <c r="A2450" s="321" t="n">
        <v>46325</v>
      </c>
      <c r="B2450" t="inlineStr">
        <is>
          <t>GERAL</t>
        </is>
      </c>
      <c r="C2450" t="inlineStr">
        <is>
          <t>GLOBO AÇOS</t>
        </is>
      </c>
      <c r="D2450" t="inlineStr">
        <is>
          <t>PERFILAÇÃO</t>
        </is>
      </c>
      <c r="F2450">
        <f>IFERROR(INDEX('BASE METAS DIÁRIAS'!$AA$2:$AC$358,MATCH($A2450,'BASE METAS DIÁRIAS'!$A$2:$A$358,0),1),"")</f>
        <v/>
      </c>
      <c r="G2450">
        <f>IFERROR(IF(WEEKDAY($A2450,2)&lt;=INDEX('BASE METAS DIÁRIAS'!$X$2:$Z$358,MATCH($A2450,'BASE METAS DIÁRIAS'!$A$2:$A$358,0),1),INDEX('BASE METAS DIÁRIAS'!$U$2:$W$358,MATCH($A2450,'BASE METAS DIÁRIAS'!$A$2:$A$358,0),1),""),"")</f>
        <v/>
      </c>
      <c r="H2450">
        <f>IFERROR(IF(INDEX('CONTROLE PRODUÇÃO POR EMPRESAS'!$H$6:$J$5000,MATCH($A2450,'CONTROLE PRODUÇÃO POR EMPRESAS'!$A$6:$A$5000,0),1)="","",IFERROR(1*INDEX('CONTROLE PRODUÇÃO POR EMPRESAS'!$H$6:$J$5000,MATCH($A2450,'CONTROLE PRODUÇÃO POR EMPRESAS'!$A$6:$A$5000,0),1),"")),"")</f>
        <v/>
      </c>
      <c r="I2450">
        <f>IF(OR(NOT(ISNUMBER(G2450)),NOT(ISNUMBER(H2450))),"",H2450-G2450)</f>
        <v/>
      </c>
      <c r="J2450">
        <f>IF(OR(NOT(ISNUMBER(G2450)),NOT(ISNUMBER(H2450)),G2450=0),"",I2450/G2450)</f>
        <v/>
      </c>
      <c r="K2450">
        <f>IF(OR(NOT(ISNUMBER(G2450)),NOT(ISNUMBER(H2450)),G2450=0),"",H2450/G2450)</f>
        <v/>
      </c>
      <c r="L2450">
        <f>IF(NOT(ISNUMBER(G2450)),"SEM META",IF(G2450=0,"SEM META",IF(NOT(ISNUMBER(H2450)),"SEM APONTAMENTO",IF(H2450&gt;=G2450,"VERDE",IF(H2450&gt;=G2450*0.9,"AMARELO","VERMELHO")))))</f>
        <v/>
      </c>
    </row>
    <row r="2451">
      <c r="A2451" s="321" t="n">
        <v>46325</v>
      </c>
      <c r="B2451" t="inlineStr">
        <is>
          <t>GERAL</t>
        </is>
      </c>
      <c r="C2451" t="inlineStr">
        <is>
          <t>GLOBO AÇOS</t>
        </is>
      </c>
      <c r="D2451" t="inlineStr">
        <is>
          <t>TELHAR</t>
        </is>
      </c>
      <c r="F2451">
        <f>IFERROR(INDEX('BASE METAS DIÁRIAS'!$AA$2:$AC$358,MATCH($A2451,'BASE METAS DIÁRIAS'!$A$2:$A$358,0),2),"")</f>
        <v/>
      </c>
      <c r="G2451">
        <f>IFERROR(IF(WEEKDAY($A2451,2)&lt;=INDEX('BASE METAS DIÁRIAS'!$X$2:$Z$358,MATCH($A2451,'BASE METAS DIÁRIAS'!$A$2:$A$358,0),2),INDEX('BASE METAS DIÁRIAS'!$U$2:$W$358,MATCH($A2451,'BASE METAS DIÁRIAS'!$A$2:$A$358,0),2),""),"")</f>
        <v/>
      </c>
      <c r="H2451">
        <f>IFERROR(IF(INDEX('CONTROLE PRODUÇÃO POR EMPRESAS'!$H$6:$J$5000,MATCH($A2451,'CONTROLE PRODUÇÃO POR EMPRESAS'!$A$6:$A$5000,0),2)="","",IFERROR(1*INDEX('CONTROLE PRODUÇÃO POR EMPRESAS'!$H$6:$J$5000,MATCH($A2451,'CONTROLE PRODUÇÃO POR EMPRESAS'!$A$6:$A$5000,0),2),"")),"")</f>
        <v/>
      </c>
      <c r="I2451">
        <f>IF(OR(NOT(ISNUMBER(G2451)),NOT(ISNUMBER(H2451))),"",H2451-G2451)</f>
        <v/>
      </c>
      <c r="J2451">
        <f>IF(OR(NOT(ISNUMBER(G2451)),NOT(ISNUMBER(H2451)),G2451=0),"",I2451/G2451)</f>
        <v/>
      </c>
      <c r="K2451">
        <f>IF(OR(NOT(ISNUMBER(G2451)),NOT(ISNUMBER(H2451)),G2451=0),"",H2451/G2451)</f>
        <v/>
      </c>
      <c r="L2451">
        <f>IF(NOT(ISNUMBER(G2451)),"SEM META",IF(G2451=0,"SEM META",IF(NOT(ISNUMBER(H2451)),"SEM APONTAMENTO",IF(H2451&gt;=G2451,"VERDE",IF(H2451&gt;=G2451*0.9,"AMARELO","VERMELHO")))))</f>
        <v/>
      </c>
    </row>
    <row r="2452">
      <c r="A2452" s="321" t="n">
        <v>46325</v>
      </c>
      <c r="B2452" t="inlineStr">
        <is>
          <t>GERAL</t>
        </is>
      </c>
      <c r="C2452" t="inlineStr">
        <is>
          <t>GLOBO AÇOS</t>
        </is>
      </c>
      <c r="D2452" t="inlineStr">
        <is>
          <t>FECHAMENTO</t>
        </is>
      </c>
      <c r="F2452">
        <f>IFERROR(INDEX('BASE METAS DIÁRIAS'!$AA$2:$AC$358,MATCH($A2452,'BASE METAS DIÁRIAS'!$A$2:$A$358,0),3),"")</f>
        <v/>
      </c>
      <c r="G2452">
        <f>IFERROR(IF(WEEKDAY($A2452,2)&lt;=INDEX('BASE METAS DIÁRIAS'!$X$2:$Z$358,MATCH($A2452,'BASE METAS DIÁRIAS'!$A$2:$A$358,0),3),INDEX('BASE METAS DIÁRIAS'!$U$2:$W$358,MATCH($A2452,'BASE METAS DIÁRIAS'!$A$2:$A$358,0),3),""),"")</f>
        <v/>
      </c>
      <c r="H2452">
        <f>IFERROR(IF(INDEX('CONTROLE PRODUÇÃO POR EMPRESAS'!$H$6:$J$5000,MATCH($A2452,'CONTROLE PRODUÇÃO POR EMPRESAS'!$A$6:$A$5000,0),3)="","",IFERROR(1*INDEX('CONTROLE PRODUÇÃO POR EMPRESAS'!$H$6:$J$5000,MATCH($A2452,'CONTROLE PRODUÇÃO POR EMPRESAS'!$A$6:$A$5000,0),3),"")),"")</f>
        <v/>
      </c>
      <c r="I2452">
        <f>IF(OR(NOT(ISNUMBER(G2452)),NOT(ISNUMBER(H2452))),"",H2452-G2452)</f>
        <v/>
      </c>
      <c r="J2452">
        <f>IF(OR(NOT(ISNUMBER(G2452)),NOT(ISNUMBER(H2452)),G2452=0),"",I2452/G2452)</f>
        <v/>
      </c>
      <c r="K2452">
        <f>IF(OR(NOT(ISNUMBER(G2452)),NOT(ISNUMBER(H2452)),G2452=0),"",H2452/G2452)</f>
        <v/>
      </c>
      <c r="L2452">
        <f>IF(NOT(ISNUMBER(G2452)),"SEM META",IF(G2452=0,"SEM META",IF(NOT(ISNUMBER(H2452)),"SEM APONTAMENTO",IF(H2452&gt;=G2452,"VERDE",IF(H2452&gt;=G2452*0.9,"AMARELO","VERMELHO")))))</f>
        <v/>
      </c>
    </row>
    <row r="2453">
      <c r="A2453" s="321" t="n">
        <v>46326</v>
      </c>
      <c r="B2453" t="inlineStr">
        <is>
          <t>GERAL</t>
        </is>
      </c>
      <c r="C2453" t="inlineStr">
        <is>
          <t>GLOBO AÇOS</t>
        </is>
      </c>
      <c r="D2453" t="inlineStr">
        <is>
          <t>PERFILAÇÃO</t>
        </is>
      </c>
      <c r="F2453">
        <f>IFERROR(INDEX('BASE METAS DIÁRIAS'!$AA$2:$AC$358,MATCH($A2453,'BASE METAS DIÁRIAS'!$A$2:$A$358,0),1),"")</f>
        <v/>
      </c>
      <c r="G2453">
        <f>IFERROR(IF(WEEKDAY($A2453,2)&lt;=INDEX('BASE METAS DIÁRIAS'!$X$2:$Z$358,MATCH($A2453,'BASE METAS DIÁRIAS'!$A$2:$A$358,0),1),INDEX('BASE METAS DIÁRIAS'!$U$2:$W$358,MATCH($A2453,'BASE METAS DIÁRIAS'!$A$2:$A$358,0),1),""),"")</f>
        <v/>
      </c>
      <c r="H2453">
        <f>IFERROR(IF(INDEX('CONTROLE PRODUÇÃO POR EMPRESAS'!$H$6:$J$5000,MATCH($A2453,'CONTROLE PRODUÇÃO POR EMPRESAS'!$A$6:$A$5000,0),1)="","",IFERROR(1*INDEX('CONTROLE PRODUÇÃO POR EMPRESAS'!$H$6:$J$5000,MATCH($A2453,'CONTROLE PRODUÇÃO POR EMPRESAS'!$A$6:$A$5000,0),1),"")),"")</f>
        <v/>
      </c>
      <c r="I2453">
        <f>IF(OR(NOT(ISNUMBER(G2453)),NOT(ISNUMBER(H2453))),"",H2453-G2453)</f>
        <v/>
      </c>
      <c r="J2453">
        <f>IF(OR(NOT(ISNUMBER(G2453)),NOT(ISNUMBER(H2453)),G2453=0),"",I2453/G2453)</f>
        <v/>
      </c>
      <c r="K2453">
        <f>IF(OR(NOT(ISNUMBER(G2453)),NOT(ISNUMBER(H2453)),G2453=0),"",H2453/G2453)</f>
        <v/>
      </c>
      <c r="L2453">
        <f>IF(NOT(ISNUMBER(G2453)),"SEM META",IF(G2453=0,"SEM META",IF(NOT(ISNUMBER(H2453)),"SEM APONTAMENTO",IF(H2453&gt;=G2453,"VERDE",IF(H2453&gt;=G2453*0.9,"AMARELO","VERMELHO")))))</f>
        <v/>
      </c>
    </row>
    <row r="2454">
      <c r="A2454" s="321" t="n">
        <v>46326</v>
      </c>
      <c r="B2454" t="inlineStr">
        <is>
          <t>GERAL</t>
        </is>
      </c>
      <c r="C2454" t="inlineStr">
        <is>
          <t>GLOBO AÇOS</t>
        </is>
      </c>
      <c r="D2454" t="inlineStr">
        <is>
          <t>TELHAR</t>
        </is>
      </c>
      <c r="F2454">
        <f>IFERROR(INDEX('BASE METAS DIÁRIAS'!$AA$2:$AC$358,MATCH($A2454,'BASE METAS DIÁRIAS'!$A$2:$A$358,0),2),"")</f>
        <v/>
      </c>
      <c r="G2454">
        <f>IFERROR(IF(WEEKDAY($A2454,2)&lt;=INDEX('BASE METAS DIÁRIAS'!$X$2:$Z$358,MATCH($A2454,'BASE METAS DIÁRIAS'!$A$2:$A$358,0),2),INDEX('BASE METAS DIÁRIAS'!$U$2:$W$358,MATCH($A2454,'BASE METAS DIÁRIAS'!$A$2:$A$358,0),2),""),"")</f>
        <v/>
      </c>
      <c r="H2454">
        <f>IFERROR(IF(INDEX('CONTROLE PRODUÇÃO POR EMPRESAS'!$H$6:$J$5000,MATCH($A2454,'CONTROLE PRODUÇÃO POR EMPRESAS'!$A$6:$A$5000,0),2)="","",IFERROR(1*INDEX('CONTROLE PRODUÇÃO POR EMPRESAS'!$H$6:$J$5000,MATCH($A2454,'CONTROLE PRODUÇÃO POR EMPRESAS'!$A$6:$A$5000,0),2),"")),"")</f>
        <v/>
      </c>
      <c r="I2454">
        <f>IF(OR(NOT(ISNUMBER(G2454)),NOT(ISNUMBER(H2454))),"",H2454-G2454)</f>
        <v/>
      </c>
      <c r="J2454">
        <f>IF(OR(NOT(ISNUMBER(G2454)),NOT(ISNUMBER(H2454)),G2454=0),"",I2454/G2454)</f>
        <v/>
      </c>
      <c r="K2454">
        <f>IF(OR(NOT(ISNUMBER(G2454)),NOT(ISNUMBER(H2454)),G2454=0),"",H2454/G2454)</f>
        <v/>
      </c>
      <c r="L2454">
        <f>IF(NOT(ISNUMBER(G2454)),"SEM META",IF(G2454=0,"SEM META",IF(NOT(ISNUMBER(H2454)),"SEM APONTAMENTO",IF(H2454&gt;=G2454,"VERDE",IF(H2454&gt;=G2454*0.9,"AMARELO","VERMELHO")))))</f>
        <v/>
      </c>
    </row>
    <row r="2455">
      <c r="A2455" s="321" t="n">
        <v>46326</v>
      </c>
      <c r="B2455" t="inlineStr">
        <is>
          <t>GERAL</t>
        </is>
      </c>
      <c r="C2455" t="inlineStr">
        <is>
          <t>GLOBO AÇOS</t>
        </is>
      </c>
      <c r="D2455" t="inlineStr">
        <is>
          <t>FECHAMENTO</t>
        </is>
      </c>
      <c r="F2455">
        <f>IFERROR(INDEX('BASE METAS DIÁRIAS'!$AA$2:$AC$358,MATCH($A2455,'BASE METAS DIÁRIAS'!$A$2:$A$358,0),3),"")</f>
        <v/>
      </c>
      <c r="G2455">
        <f>IFERROR(IF(WEEKDAY($A2455,2)&lt;=INDEX('BASE METAS DIÁRIAS'!$X$2:$Z$358,MATCH($A2455,'BASE METAS DIÁRIAS'!$A$2:$A$358,0),3),INDEX('BASE METAS DIÁRIAS'!$U$2:$W$358,MATCH($A2455,'BASE METAS DIÁRIAS'!$A$2:$A$358,0),3),""),"")</f>
        <v/>
      </c>
      <c r="H2455">
        <f>IFERROR(IF(INDEX('CONTROLE PRODUÇÃO POR EMPRESAS'!$H$6:$J$5000,MATCH($A2455,'CONTROLE PRODUÇÃO POR EMPRESAS'!$A$6:$A$5000,0),3)="","",IFERROR(1*INDEX('CONTROLE PRODUÇÃO POR EMPRESAS'!$H$6:$J$5000,MATCH($A2455,'CONTROLE PRODUÇÃO POR EMPRESAS'!$A$6:$A$5000,0),3),"")),"")</f>
        <v/>
      </c>
      <c r="I2455">
        <f>IF(OR(NOT(ISNUMBER(G2455)),NOT(ISNUMBER(H2455))),"",H2455-G2455)</f>
        <v/>
      </c>
      <c r="J2455">
        <f>IF(OR(NOT(ISNUMBER(G2455)),NOT(ISNUMBER(H2455)),G2455=0),"",I2455/G2455)</f>
        <v/>
      </c>
      <c r="K2455">
        <f>IF(OR(NOT(ISNUMBER(G2455)),NOT(ISNUMBER(H2455)),G2455=0),"",H2455/G2455)</f>
        <v/>
      </c>
      <c r="L2455">
        <f>IF(NOT(ISNUMBER(G2455)),"SEM META",IF(G2455=0,"SEM META",IF(NOT(ISNUMBER(H2455)),"SEM APONTAMENTO",IF(H2455&gt;=G2455,"VERDE",IF(H2455&gt;=G2455*0.9,"AMARELO","VERMELHO")))))</f>
        <v/>
      </c>
    </row>
    <row r="2456">
      <c r="A2456" s="321" t="n">
        <v>46327</v>
      </c>
      <c r="B2456" t="inlineStr">
        <is>
          <t>GERAL</t>
        </is>
      </c>
      <c r="C2456" t="inlineStr">
        <is>
          <t>GLOBO AÇOS</t>
        </is>
      </c>
      <c r="D2456" t="inlineStr">
        <is>
          <t>PERFILAÇÃO</t>
        </is>
      </c>
      <c r="F2456">
        <f>IFERROR(INDEX('BASE METAS DIÁRIAS'!$AA$2:$AC$358,MATCH($A2456,'BASE METAS DIÁRIAS'!$A$2:$A$358,0),1),"")</f>
        <v/>
      </c>
      <c r="G2456">
        <f>IFERROR(IF(WEEKDAY($A2456,2)&lt;=INDEX('BASE METAS DIÁRIAS'!$X$2:$Z$358,MATCH($A2456,'BASE METAS DIÁRIAS'!$A$2:$A$358,0),1),INDEX('BASE METAS DIÁRIAS'!$U$2:$W$358,MATCH($A2456,'BASE METAS DIÁRIAS'!$A$2:$A$358,0),1),""),"")</f>
        <v/>
      </c>
      <c r="H2456">
        <f>IFERROR(IF(INDEX('CONTROLE PRODUÇÃO POR EMPRESAS'!$H$6:$J$5000,MATCH($A2456,'CONTROLE PRODUÇÃO POR EMPRESAS'!$A$6:$A$5000,0),1)="","",IFERROR(1*INDEX('CONTROLE PRODUÇÃO POR EMPRESAS'!$H$6:$J$5000,MATCH($A2456,'CONTROLE PRODUÇÃO POR EMPRESAS'!$A$6:$A$5000,0),1),"")),"")</f>
        <v/>
      </c>
      <c r="I2456">
        <f>IF(OR(NOT(ISNUMBER(G2456)),NOT(ISNUMBER(H2456))),"",H2456-G2456)</f>
        <v/>
      </c>
      <c r="J2456">
        <f>IF(OR(NOT(ISNUMBER(G2456)),NOT(ISNUMBER(H2456)),G2456=0),"",I2456/G2456)</f>
        <v/>
      </c>
      <c r="K2456">
        <f>IF(OR(NOT(ISNUMBER(G2456)),NOT(ISNUMBER(H2456)),G2456=0),"",H2456/G2456)</f>
        <v/>
      </c>
      <c r="L2456">
        <f>IF(NOT(ISNUMBER(G2456)),"SEM META",IF(G2456=0,"SEM META",IF(NOT(ISNUMBER(H2456)),"SEM APONTAMENTO",IF(H2456&gt;=G2456,"VERDE",IF(H2456&gt;=G2456*0.9,"AMARELO","VERMELHO")))))</f>
        <v/>
      </c>
    </row>
    <row r="2457">
      <c r="A2457" s="321" t="n">
        <v>46327</v>
      </c>
      <c r="B2457" t="inlineStr">
        <is>
          <t>GERAL</t>
        </is>
      </c>
      <c r="C2457" t="inlineStr">
        <is>
          <t>GLOBO AÇOS</t>
        </is>
      </c>
      <c r="D2457" t="inlineStr">
        <is>
          <t>TELHAR</t>
        </is>
      </c>
      <c r="F2457">
        <f>IFERROR(INDEX('BASE METAS DIÁRIAS'!$AA$2:$AC$358,MATCH($A2457,'BASE METAS DIÁRIAS'!$A$2:$A$358,0),2),"")</f>
        <v/>
      </c>
      <c r="G2457">
        <f>IFERROR(IF(WEEKDAY($A2457,2)&lt;=INDEX('BASE METAS DIÁRIAS'!$X$2:$Z$358,MATCH($A2457,'BASE METAS DIÁRIAS'!$A$2:$A$358,0),2),INDEX('BASE METAS DIÁRIAS'!$U$2:$W$358,MATCH($A2457,'BASE METAS DIÁRIAS'!$A$2:$A$358,0),2),""),"")</f>
        <v/>
      </c>
      <c r="H2457">
        <f>IFERROR(IF(INDEX('CONTROLE PRODUÇÃO POR EMPRESAS'!$H$6:$J$5000,MATCH($A2457,'CONTROLE PRODUÇÃO POR EMPRESAS'!$A$6:$A$5000,0),2)="","",IFERROR(1*INDEX('CONTROLE PRODUÇÃO POR EMPRESAS'!$H$6:$J$5000,MATCH($A2457,'CONTROLE PRODUÇÃO POR EMPRESAS'!$A$6:$A$5000,0),2),"")),"")</f>
        <v/>
      </c>
      <c r="I2457">
        <f>IF(OR(NOT(ISNUMBER(G2457)),NOT(ISNUMBER(H2457))),"",H2457-G2457)</f>
        <v/>
      </c>
      <c r="J2457">
        <f>IF(OR(NOT(ISNUMBER(G2457)),NOT(ISNUMBER(H2457)),G2457=0),"",I2457/G2457)</f>
        <v/>
      </c>
      <c r="K2457">
        <f>IF(OR(NOT(ISNUMBER(G2457)),NOT(ISNUMBER(H2457)),G2457=0),"",H2457/G2457)</f>
        <v/>
      </c>
      <c r="L2457">
        <f>IF(NOT(ISNUMBER(G2457)),"SEM META",IF(G2457=0,"SEM META",IF(NOT(ISNUMBER(H2457)),"SEM APONTAMENTO",IF(H2457&gt;=G2457,"VERDE",IF(H2457&gt;=G2457*0.9,"AMARELO","VERMELHO")))))</f>
        <v/>
      </c>
    </row>
    <row r="2458">
      <c r="A2458" s="321" t="n">
        <v>46327</v>
      </c>
      <c r="B2458" t="inlineStr">
        <is>
          <t>GERAL</t>
        </is>
      </c>
      <c r="C2458" t="inlineStr">
        <is>
          <t>GLOBO AÇOS</t>
        </is>
      </c>
      <c r="D2458" t="inlineStr">
        <is>
          <t>FECHAMENTO</t>
        </is>
      </c>
      <c r="F2458">
        <f>IFERROR(INDEX('BASE METAS DIÁRIAS'!$AA$2:$AC$358,MATCH($A2458,'BASE METAS DIÁRIAS'!$A$2:$A$358,0),3),"")</f>
        <v/>
      </c>
      <c r="G2458">
        <f>IFERROR(IF(WEEKDAY($A2458,2)&lt;=INDEX('BASE METAS DIÁRIAS'!$X$2:$Z$358,MATCH($A2458,'BASE METAS DIÁRIAS'!$A$2:$A$358,0),3),INDEX('BASE METAS DIÁRIAS'!$U$2:$W$358,MATCH($A2458,'BASE METAS DIÁRIAS'!$A$2:$A$358,0),3),""),"")</f>
        <v/>
      </c>
      <c r="H2458">
        <f>IFERROR(IF(INDEX('CONTROLE PRODUÇÃO POR EMPRESAS'!$H$6:$J$5000,MATCH($A2458,'CONTROLE PRODUÇÃO POR EMPRESAS'!$A$6:$A$5000,0),3)="","",IFERROR(1*INDEX('CONTROLE PRODUÇÃO POR EMPRESAS'!$H$6:$J$5000,MATCH($A2458,'CONTROLE PRODUÇÃO POR EMPRESAS'!$A$6:$A$5000,0),3),"")),"")</f>
        <v/>
      </c>
      <c r="I2458">
        <f>IF(OR(NOT(ISNUMBER(G2458)),NOT(ISNUMBER(H2458))),"",H2458-G2458)</f>
        <v/>
      </c>
      <c r="J2458">
        <f>IF(OR(NOT(ISNUMBER(G2458)),NOT(ISNUMBER(H2458)),G2458=0),"",I2458/G2458)</f>
        <v/>
      </c>
      <c r="K2458">
        <f>IF(OR(NOT(ISNUMBER(G2458)),NOT(ISNUMBER(H2458)),G2458=0),"",H2458/G2458)</f>
        <v/>
      </c>
      <c r="L2458">
        <f>IF(NOT(ISNUMBER(G2458)),"SEM META",IF(G2458=0,"SEM META",IF(NOT(ISNUMBER(H2458)),"SEM APONTAMENTO",IF(H2458&gt;=G2458,"VERDE",IF(H2458&gt;=G2458*0.9,"AMARELO","VERMELHO")))))</f>
        <v/>
      </c>
    </row>
    <row r="2459">
      <c r="A2459" s="321" t="n">
        <v>46328</v>
      </c>
      <c r="B2459" t="inlineStr">
        <is>
          <t>GERAL</t>
        </is>
      </c>
      <c r="C2459" t="inlineStr">
        <is>
          <t>GLOBO AÇOS</t>
        </is>
      </c>
      <c r="D2459" t="inlineStr">
        <is>
          <t>PERFILAÇÃO</t>
        </is>
      </c>
      <c r="F2459">
        <f>IFERROR(INDEX('BASE METAS DIÁRIAS'!$AA$2:$AC$358,MATCH($A2459,'BASE METAS DIÁRIAS'!$A$2:$A$358,0),1),"")</f>
        <v/>
      </c>
      <c r="G2459">
        <f>IFERROR(IF(WEEKDAY($A2459,2)&lt;=INDEX('BASE METAS DIÁRIAS'!$X$2:$Z$358,MATCH($A2459,'BASE METAS DIÁRIAS'!$A$2:$A$358,0),1),INDEX('BASE METAS DIÁRIAS'!$U$2:$W$358,MATCH($A2459,'BASE METAS DIÁRIAS'!$A$2:$A$358,0),1),""),"")</f>
        <v/>
      </c>
      <c r="H2459">
        <f>IFERROR(IF(INDEX('CONTROLE PRODUÇÃO POR EMPRESAS'!$H$6:$J$5000,MATCH($A2459,'CONTROLE PRODUÇÃO POR EMPRESAS'!$A$6:$A$5000,0),1)="","",IFERROR(1*INDEX('CONTROLE PRODUÇÃO POR EMPRESAS'!$H$6:$J$5000,MATCH($A2459,'CONTROLE PRODUÇÃO POR EMPRESAS'!$A$6:$A$5000,0),1),"")),"")</f>
        <v/>
      </c>
      <c r="I2459">
        <f>IF(OR(NOT(ISNUMBER(G2459)),NOT(ISNUMBER(H2459))),"",H2459-G2459)</f>
        <v/>
      </c>
      <c r="J2459">
        <f>IF(OR(NOT(ISNUMBER(G2459)),NOT(ISNUMBER(H2459)),G2459=0),"",I2459/G2459)</f>
        <v/>
      </c>
      <c r="K2459">
        <f>IF(OR(NOT(ISNUMBER(G2459)),NOT(ISNUMBER(H2459)),G2459=0),"",H2459/G2459)</f>
        <v/>
      </c>
      <c r="L2459">
        <f>IF(NOT(ISNUMBER(G2459)),"SEM META",IF(G2459=0,"SEM META",IF(NOT(ISNUMBER(H2459)),"SEM APONTAMENTO",IF(H2459&gt;=G2459,"VERDE",IF(H2459&gt;=G2459*0.9,"AMARELO","VERMELHO")))))</f>
        <v/>
      </c>
    </row>
    <row r="2460">
      <c r="A2460" s="321" t="n">
        <v>46328</v>
      </c>
      <c r="B2460" t="inlineStr">
        <is>
          <t>GERAL</t>
        </is>
      </c>
      <c r="C2460" t="inlineStr">
        <is>
          <t>GLOBO AÇOS</t>
        </is>
      </c>
      <c r="D2460" t="inlineStr">
        <is>
          <t>TELHAR</t>
        </is>
      </c>
      <c r="F2460">
        <f>IFERROR(INDEX('BASE METAS DIÁRIAS'!$AA$2:$AC$358,MATCH($A2460,'BASE METAS DIÁRIAS'!$A$2:$A$358,0),2),"")</f>
        <v/>
      </c>
      <c r="G2460">
        <f>IFERROR(IF(WEEKDAY($A2460,2)&lt;=INDEX('BASE METAS DIÁRIAS'!$X$2:$Z$358,MATCH($A2460,'BASE METAS DIÁRIAS'!$A$2:$A$358,0),2),INDEX('BASE METAS DIÁRIAS'!$U$2:$W$358,MATCH($A2460,'BASE METAS DIÁRIAS'!$A$2:$A$358,0),2),""),"")</f>
        <v/>
      </c>
      <c r="H2460">
        <f>IFERROR(IF(INDEX('CONTROLE PRODUÇÃO POR EMPRESAS'!$H$6:$J$5000,MATCH($A2460,'CONTROLE PRODUÇÃO POR EMPRESAS'!$A$6:$A$5000,0),2)="","",IFERROR(1*INDEX('CONTROLE PRODUÇÃO POR EMPRESAS'!$H$6:$J$5000,MATCH($A2460,'CONTROLE PRODUÇÃO POR EMPRESAS'!$A$6:$A$5000,0),2),"")),"")</f>
        <v/>
      </c>
      <c r="I2460">
        <f>IF(OR(NOT(ISNUMBER(G2460)),NOT(ISNUMBER(H2460))),"",H2460-G2460)</f>
        <v/>
      </c>
      <c r="J2460">
        <f>IF(OR(NOT(ISNUMBER(G2460)),NOT(ISNUMBER(H2460)),G2460=0),"",I2460/G2460)</f>
        <v/>
      </c>
      <c r="K2460">
        <f>IF(OR(NOT(ISNUMBER(G2460)),NOT(ISNUMBER(H2460)),G2460=0),"",H2460/G2460)</f>
        <v/>
      </c>
      <c r="L2460">
        <f>IF(NOT(ISNUMBER(G2460)),"SEM META",IF(G2460=0,"SEM META",IF(NOT(ISNUMBER(H2460)),"SEM APONTAMENTO",IF(H2460&gt;=G2460,"VERDE",IF(H2460&gt;=G2460*0.9,"AMARELO","VERMELHO")))))</f>
        <v/>
      </c>
    </row>
    <row r="2461">
      <c r="A2461" s="321" t="n">
        <v>46328</v>
      </c>
      <c r="B2461" t="inlineStr">
        <is>
          <t>GERAL</t>
        </is>
      </c>
      <c r="C2461" t="inlineStr">
        <is>
          <t>GLOBO AÇOS</t>
        </is>
      </c>
      <c r="D2461" t="inlineStr">
        <is>
          <t>FECHAMENTO</t>
        </is>
      </c>
      <c r="F2461">
        <f>IFERROR(INDEX('BASE METAS DIÁRIAS'!$AA$2:$AC$358,MATCH($A2461,'BASE METAS DIÁRIAS'!$A$2:$A$358,0),3),"")</f>
        <v/>
      </c>
      <c r="G2461">
        <f>IFERROR(IF(WEEKDAY($A2461,2)&lt;=INDEX('BASE METAS DIÁRIAS'!$X$2:$Z$358,MATCH($A2461,'BASE METAS DIÁRIAS'!$A$2:$A$358,0),3),INDEX('BASE METAS DIÁRIAS'!$U$2:$W$358,MATCH($A2461,'BASE METAS DIÁRIAS'!$A$2:$A$358,0),3),""),"")</f>
        <v/>
      </c>
      <c r="H2461">
        <f>IFERROR(IF(INDEX('CONTROLE PRODUÇÃO POR EMPRESAS'!$H$6:$J$5000,MATCH($A2461,'CONTROLE PRODUÇÃO POR EMPRESAS'!$A$6:$A$5000,0),3)="","",IFERROR(1*INDEX('CONTROLE PRODUÇÃO POR EMPRESAS'!$H$6:$J$5000,MATCH($A2461,'CONTROLE PRODUÇÃO POR EMPRESAS'!$A$6:$A$5000,0),3),"")),"")</f>
        <v/>
      </c>
      <c r="I2461">
        <f>IF(OR(NOT(ISNUMBER(G2461)),NOT(ISNUMBER(H2461))),"",H2461-G2461)</f>
        <v/>
      </c>
      <c r="J2461">
        <f>IF(OR(NOT(ISNUMBER(G2461)),NOT(ISNUMBER(H2461)),G2461=0),"",I2461/G2461)</f>
        <v/>
      </c>
      <c r="K2461">
        <f>IF(OR(NOT(ISNUMBER(G2461)),NOT(ISNUMBER(H2461)),G2461=0),"",H2461/G2461)</f>
        <v/>
      </c>
      <c r="L2461">
        <f>IF(NOT(ISNUMBER(G2461)),"SEM META",IF(G2461=0,"SEM META",IF(NOT(ISNUMBER(H2461)),"SEM APONTAMENTO",IF(H2461&gt;=G2461,"VERDE",IF(H2461&gt;=G2461*0.9,"AMARELO","VERMELHO")))))</f>
        <v/>
      </c>
    </row>
    <row r="2462">
      <c r="A2462" s="321" t="n">
        <v>46329</v>
      </c>
      <c r="B2462" t="inlineStr">
        <is>
          <t>GERAL</t>
        </is>
      </c>
      <c r="C2462" t="inlineStr">
        <is>
          <t>GLOBO AÇOS</t>
        </is>
      </c>
      <c r="D2462" t="inlineStr">
        <is>
          <t>PERFILAÇÃO</t>
        </is>
      </c>
      <c r="F2462">
        <f>IFERROR(INDEX('BASE METAS DIÁRIAS'!$AA$2:$AC$358,MATCH($A2462,'BASE METAS DIÁRIAS'!$A$2:$A$358,0),1),"")</f>
        <v/>
      </c>
      <c r="G2462">
        <f>IFERROR(IF(WEEKDAY($A2462,2)&lt;=INDEX('BASE METAS DIÁRIAS'!$X$2:$Z$358,MATCH($A2462,'BASE METAS DIÁRIAS'!$A$2:$A$358,0),1),INDEX('BASE METAS DIÁRIAS'!$U$2:$W$358,MATCH($A2462,'BASE METAS DIÁRIAS'!$A$2:$A$358,0),1),""),"")</f>
        <v/>
      </c>
      <c r="H2462">
        <f>IFERROR(IF(INDEX('CONTROLE PRODUÇÃO POR EMPRESAS'!$H$6:$J$5000,MATCH($A2462,'CONTROLE PRODUÇÃO POR EMPRESAS'!$A$6:$A$5000,0),1)="","",IFERROR(1*INDEX('CONTROLE PRODUÇÃO POR EMPRESAS'!$H$6:$J$5000,MATCH($A2462,'CONTROLE PRODUÇÃO POR EMPRESAS'!$A$6:$A$5000,0),1),"")),"")</f>
        <v/>
      </c>
      <c r="I2462">
        <f>IF(OR(NOT(ISNUMBER(G2462)),NOT(ISNUMBER(H2462))),"",H2462-G2462)</f>
        <v/>
      </c>
      <c r="J2462">
        <f>IF(OR(NOT(ISNUMBER(G2462)),NOT(ISNUMBER(H2462)),G2462=0),"",I2462/G2462)</f>
        <v/>
      </c>
      <c r="K2462">
        <f>IF(OR(NOT(ISNUMBER(G2462)),NOT(ISNUMBER(H2462)),G2462=0),"",H2462/G2462)</f>
        <v/>
      </c>
      <c r="L2462">
        <f>IF(NOT(ISNUMBER(G2462)),"SEM META",IF(G2462=0,"SEM META",IF(NOT(ISNUMBER(H2462)),"SEM APONTAMENTO",IF(H2462&gt;=G2462,"VERDE",IF(H2462&gt;=G2462*0.9,"AMARELO","VERMELHO")))))</f>
        <v/>
      </c>
    </row>
    <row r="2463">
      <c r="A2463" s="321" t="n">
        <v>46329</v>
      </c>
      <c r="B2463" t="inlineStr">
        <is>
          <t>GERAL</t>
        </is>
      </c>
      <c r="C2463" t="inlineStr">
        <is>
          <t>GLOBO AÇOS</t>
        </is>
      </c>
      <c r="D2463" t="inlineStr">
        <is>
          <t>TELHAR</t>
        </is>
      </c>
      <c r="F2463">
        <f>IFERROR(INDEX('BASE METAS DIÁRIAS'!$AA$2:$AC$358,MATCH($A2463,'BASE METAS DIÁRIAS'!$A$2:$A$358,0),2),"")</f>
        <v/>
      </c>
      <c r="G2463">
        <f>IFERROR(IF(WEEKDAY($A2463,2)&lt;=INDEX('BASE METAS DIÁRIAS'!$X$2:$Z$358,MATCH($A2463,'BASE METAS DIÁRIAS'!$A$2:$A$358,0),2),INDEX('BASE METAS DIÁRIAS'!$U$2:$W$358,MATCH($A2463,'BASE METAS DIÁRIAS'!$A$2:$A$358,0),2),""),"")</f>
        <v/>
      </c>
      <c r="H2463">
        <f>IFERROR(IF(INDEX('CONTROLE PRODUÇÃO POR EMPRESAS'!$H$6:$J$5000,MATCH($A2463,'CONTROLE PRODUÇÃO POR EMPRESAS'!$A$6:$A$5000,0),2)="","",IFERROR(1*INDEX('CONTROLE PRODUÇÃO POR EMPRESAS'!$H$6:$J$5000,MATCH($A2463,'CONTROLE PRODUÇÃO POR EMPRESAS'!$A$6:$A$5000,0),2),"")),"")</f>
        <v/>
      </c>
      <c r="I2463">
        <f>IF(OR(NOT(ISNUMBER(G2463)),NOT(ISNUMBER(H2463))),"",H2463-G2463)</f>
        <v/>
      </c>
      <c r="J2463">
        <f>IF(OR(NOT(ISNUMBER(G2463)),NOT(ISNUMBER(H2463)),G2463=0),"",I2463/G2463)</f>
        <v/>
      </c>
      <c r="K2463">
        <f>IF(OR(NOT(ISNUMBER(G2463)),NOT(ISNUMBER(H2463)),G2463=0),"",H2463/G2463)</f>
        <v/>
      </c>
      <c r="L2463">
        <f>IF(NOT(ISNUMBER(G2463)),"SEM META",IF(G2463=0,"SEM META",IF(NOT(ISNUMBER(H2463)),"SEM APONTAMENTO",IF(H2463&gt;=G2463,"VERDE",IF(H2463&gt;=G2463*0.9,"AMARELO","VERMELHO")))))</f>
        <v/>
      </c>
    </row>
    <row r="2464">
      <c r="A2464" s="321" t="n">
        <v>46329</v>
      </c>
      <c r="B2464" t="inlineStr">
        <is>
          <t>GERAL</t>
        </is>
      </c>
      <c r="C2464" t="inlineStr">
        <is>
          <t>GLOBO AÇOS</t>
        </is>
      </c>
      <c r="D2464" t="inlineStr">
        <is>
          <t>FECHAMENTO</t>
        </is>
      </c>
      <c r="F2464">
        <f>IFERROR(INDEX('BASE METAS DIÁRIAS'!$AA$2:$AC$358,MATCH($A2464,'BASE METAS DIÁRIAS'!$A$2:$A$358,0),3),"")</f>
        <v/>
      </c>
      <c r="G2464">
        <f>IFERROR(IF(WEEKDAY($A2464,2)&lt;=INDEX('BASE METAS DIÁRIAS'!$X$2:$Z$358,MATCH($A2464,'BASE METAS DIÁRIAS'!$A$2:$A$358,0),3),INDEX('BASE METAS DIÁRIAS'!$U$2:$W$358,MATCH($A2464,'BASE METAS DIÁRIAS'!$A$2:$A$358,0),3),""),"")</f>
        <v/>
      </c>
      <c r="H2464">
        <f>IFERROR(IF(INDEX('CONTROLE PRODUÇÃO POR EMPRESAS'!$H$6:$J$5000,MATCH($A2464,'CONTROLE PRODUÇÃO POR EMPRESAS'!$A$6:$A$5000,0),3)="","",IFERROR(1*INDEX('CONTROLE PRODUÇÃO POR EMPRESAS'!$H$6:$J$5000,MATCH($A2464,'CONTROLE PRODUÇÃO POR EMPRESAS'!$A$6:$A$5000,0),3),"")),"")</f>
        <v/>
      </c>
      <c r="I2464">
        <f>IF(OR(NOT(ISNUMBER(G2464)),NOT(ISNUMBER(H2464))),"",H2464-G2464)</f>
        <v/>
      </c>
      <c r="J2464">
        <f>IF(OR(NOT(ISNUMBER(G2464)),NOT(ISNUMBER(H2464)),G2464=0),"",I2464/G2464)</f>
        <v/>
      </c>
      <c r="K2464">
        <f>IF(OR(NOT(ISNUMBER(G2464)),NOT(ISNUMBER(H2464)),G2464=0),"",H2464/G2464)</f>
        <v/>
      </c>
      <c r="L2464">
        <f>IF(NOT(ISNUMBER(G2464)),"SEM META",IF(G2464=0,"SEM META",IF(NOT(ISNUMBER(H2464)),"SEM APONTAMENTO",IF(H2464&gt;=G2464,"VERDE",IF(H2464&gt;=G2464*0.9,"AMARELO","VERMELHO")))))</f>
        <v/>
      </c>
    </row>
    <row r="2465">
      <c r="A2465" s="321" t="n">
        <v>46330</v>
      </c>
      <c r="B2465" t="inlineStr">
        <is>
          <t>GERAL</t>
        </is>
      </c>
      <c r="C2465" t="inlineStr">
        <is>
          <t>GLOBO AÇOS</t>
        </is>
      </c>
      <c r="D2465" t="inlineStr">
        <is>
          <t>PERFILAÇÃO</t>
        </is>
      </c>
      <c r="F2465">
        <f>IFERROR(INDEX('BASE METAS DIÁRIAS'!$AA$2:$AC$358,MATCH($A2465,'BASE METAS DIÁRIAS'!$A$2:$A$358,0),1),"")</f>
        <v/>
      </c>
      <c r="G2465">
        <f>IFERROR(IF(WEEKDAY($A2465,2)&lt;=INDEX('BASE METAS DIÁRIAS'!$X$2:$Z$358,MATCH($A2465,'BASE METAS DIÁRIAS'!$A$2:$A$358,0),1),INDEX('BASE METAS DIÁRIAS'!$U$2:$W$358,MATCH($A2465,'BASE METAS DIÁRIAS'!$A$2:$A$358,0),1),""),"")</f>
        <v/>
      </c>
      <c r="H2465">
        <f>IFERROR(IF(INDEX('CONTROLE PRODUÇÃO POR EMPRESAS'!$H$6:$J$5000,MATCH($A2465,'CONTROLE PRODUÇÃO POR EMPRESAS'!$A$6:$A$5000,0),1)="","",IFERROR(1*INDEX('CONTROLE PRODUÇÃO POR EMPRESAS'!$H$6:$J$5000,MATCH($A2465,'CONTROLE PRODUÇÃO POR EMPRESAS'!$A$6:$A$5000,0),1),"")),"")</f>
        <v/>
      </c>
      <c r="I2465">
        <f>IF(OR(NOT(ISNUMBER(G2465)),NOT(ISNUMBER(H2465))),"",H2465-G2465)</f>
        <v/>
      </c>
      <c r="J2465">
        <f>IF(OR(NOT(ISNUMBER(G2465)),NOT(ISNUMBER(H2465)),G2465=0),"",I2465/G2465)</f>
        <v/>
      </c>
      <c r="K2465">
        <f>IF(OR(NOT(ISNUMBER(G2465)),NOT(ISNUMBER(H2465)),G2465=0),"",H2465/G2465)</f>
        <v/>
      </c>
      <c r="L2465">
        <f>IF(NOT(ISNUMBER(G2465)),"SEM META",IF(G2465=0,"SEM META",IF(NOT(ISNUMBER(H2465)),"SEM APONTAMENTO",IF(H2465&gt;=G2465,"VERDE",IF(H2465&gt;=G2465*0.9,"AMARELO","VERMELHO")))))</f>
        <v/>
      </c>
    </row>
    <row r="2466">
      <c r="A2466" s="321" t="n">
        <v>46330</v>
      </c>
      <c r="B2466" t="inlineStr">
        <is>
          <t>GERAL</t>
        </is>
      </c>
      <c r="C2466" t="inlineStr">
        <is>
          <t>GLOBO AÇOS</t>
        </is>
      </c>
      <c r="D2466" t="inlineStr">
        <is>
          <t>TELHAR</t>
        </is>
      </c>
      <c r="F2466">
        <f>IFERROR(INDEX('BASE METAS DIÁRIAS'!$AA$2:$AC$358,MATCH($A2466,'BASE METAS DIÁRIAS'!$A$2:$A$358,0),2),"")</f>
        <v/>
      </c>
      <c r="G2466">
        <f>IFERROR(IF(WEEKDAY($A2466,2)&lt;=INDEX('BASE METAS DIÁRIAS'!$X$2:$Z$358,MATCH($A2466,'BASE METAS DIÁRIAS'!$A$2:$A$358,0),2),INDEX('BASE METAS DIÁRIAS'!$U$2:$W$358,MATCH($A2466,'BASE METAS DIÁRIAS'!$A$2:$A$358,0),2),""),"")</f>
        <v/>
      </c>
      <c r="H2466">
        <f>IFERROR(IF(INDEX('CONTROLE PRODUÇÃO POR EMPRESAS'!$H$6:$J$5000,MATCH($A2466,'CONTROLE PRODUÇÃO POR EMPRESAS'!$A$6:$A$5000,0),2)="","",IFERROR(1*INDEX('CONTROLE PRODUÇÃO POR EMPRESAS'!$H$6:$J$5000,MATCH($A2466,'CONTROLE PRODUÇÃO POR EMPRESAS'!$A$6:$A$5000,0),2),"")),"")</f>
        <v/>
      </c>
      <c r="I2466">
        <f>IF(OR(NOT(ISNUMBER(G2466)),NOT(ISNUMBER(H2466))),"",H2466-G2466)</f>
        <v/>
      </c>
      <c r="J2466">
        <f>IF(OR(NOT(ISNUMBER(G2466)),NOT(ISNUMBER(H2466)),G2466=0),"",I2466/G2466)</f>
        <v/>
      </c>
      <c r="K2466">
        <f>IF(OR(NOT(ISNUMBER(G2466)),NOT(ISNUMBER(H2466)),G2466=0),"",H2466/G2466)</f>
        <v/>
      </c>
      <c r="L2466">
        <f>IF(NOT(ISNUMBER(G2466)),"SEM META",IF(G2466=0,"SEM META",IF(NOT(ISNUMBER(H2466)),"SEM APONTAMENTO",IF(H2466&gt;=G2466,"VERDE",IF(H2466&gt;=G2466*0.9,"AMARELO","VERMELHO")))))</f>
        <v/>
      </c>
    </row>
    <row r="2467">
      <c r="A2467" s="321" t="n">
        <v>46330</v>
      </c>
      <c r="B2467" t="inlineStr">
        <is>
          <t>GERAL</t>
        </is>
      </c>
      <c r="C2467" t="inlineStr">
        <is>
          <t>GLOBO AÇOS</t>
        </is>
      </c>
      <c r="D2467" t="inlineStr">
        <is>
          <t>FECHAMENTO</t>
        </is>
      </c>
      <c r="F2467">
        <f>IFERROR(INDEX('BASE METAS DIÁRIAS'!$AA$2:$AC$358,MATCH($A2467,'BASE METAS DIÁRIAS'!$A$2:$A$358,0),3),"")</f>
        <v/>
      </c>
      <c r="G2467">
        <f>IFERROR(IF(WEEKDAY($A2467,2)&lt;=INDEX('BASE METAS DIÁRIAS'!$X$2:$Z$358,MATCH($A2467,'BASE METAS DIÁRIAS'!$A$2:$A$358,0),3),INDEX('BASE METAS DIÁRIAS'!$U$2:$W$358,MATCH($A2467,'BASE METAS DIÁRIAS'!$A$2:$A$358,0),3),""),"")</f>
        <v/>
      </c>
      <c r="H2467">
        <f>IFERROR(IF(INDEX('CONTROLE PRODUÇÃO POR EMPRESAS'!$H$6:$J$5000,MATCH($A2467,'CONTROLE PRODUÇÃO POR EMPRESAS'!$A$6:$A$5000,0),3)="","",IFERROR(1*INDEX('CONTROLE PRODUÇÃO POR EMPRESAS'!$H$6:$J$5000,MATCH($A2467,'CONTROLE PRODUÇÃO POR EMPRESAS'!$A$6:$A$5000,0),3),"")),"")</f>
        <v/>
      </c>
      <c r="I2467">
        <f>IF(OR(NOT(ISNUMBER(G2467)),NOT(ISNUMBER(H2467))),"",H2467-G2467)</f>
        <v/>
      </c>
      <c r="J2467">
        <f>IF(OR(NOT(ISNUMBER(G2467)),NOT(ISNUMBER(H2467)),G2467=0),"",I2467/G2467)</f>
        <v/>
      </c>
      <c r="K2467">
        <f>IF(OR(NOT(ISNUMBER(G2467)),NOT(ISNUMBER(H2467)),G2467=0),"",H2467/G2467)</f>
        <v/>
      </c>
      <c r="L2467">
        <f>IF(NOT(ISNUMBER(G2467)),"SEM META",IF(G2467=0,"SEM META",IF(NOT(ISNUMBER(H2467)),"SEM APONTAMENTO",IF(H2467&gt;=G2467,"VERDE",IF(H2467&gt;=G2467*0.9,"AMARELO","VERMELHO")))))</f>
        <v/>
      </c>
    </row>
    <row r="2468">
      <c r="A2468" s="321" t="n">
        <v>46331</v>
      </c>
      <c r="B2468" t="inlineStr">
        <is>
          <t>GERAL</t>
        </is>
      </c>
      <c r="C2468" t="inlineStr">
        <is>
          <t>GLOBO AÇOS</t>
        </is>
      </c>
      <c r="D2468" t="inlineStr">
        <is>
          <t>PERFILAÇÃO</t>
        </is>
      </c>
      <c r="F2468">
        <f>IFERROR(INDEX('BASE METAS DIÁRIAS'!$AA$2:$AC$358,MATCH($A2468,'BASE METAS DIÁRIAS'!$A$2:$A$358,0),1),"")</f>
        <v/>
      </c>
      <c r="G2468">
        <f>IFERROR(IF(WEEKDAY($A2468,2)&lt;=INDEX('BASE METAS DIÁRIAS'!$X$2:$Z$358,MATCH($A2468,'BASE METAS DIÁRIAS'!$A$2:$A$358,0),1),INDEX('BASE METAS DIÁRIAS'!$U$2:$W$358,MATCH($A2468,'BASE METAS DIÁRIAS'!$A$2:$A$358,0),1),""),"")</f>
        <v/>
      </c>
      <c r="H2468">
        <f>IFERROR(IF(INDEX('CONTROLE PRODUÇÃO POR EMPRESAS'!$H$6:$J$5000,MATCH($A2468,'CONTROLE PRODUÇÃO POR EMPRESAS'!$A$6:$A$5000,0),1)="","",IFERROR(1*INDEX('CONTROLE PRODUÇÃO POR EMPRESAS'!$H$6:$J$5000,MATCH($A2468,'CONTROLE PRODUÇÃO POR EMPRESAS'!$A$6:$A$5000,0),1),"")),"")</f>
        <v/>
      </c>
      <c r="I2468">
        <f>IF(OR(NOT(ISNUMBER(G2468)),NOT(ISNUMBER(H2468))),"",H2468-G2468)</f>
        <v/>
      </c>
      <c r="J2468">
        <f>IF(OR(NOT(ISNUMBER(G2468)),NOT(ISNUMBER(H2468)),G2468=0),"",I2468/G2468)</f>
        <v/>
      </c>
      <c r="K2468">
        <f>IF(OR(NOT(ISNUMBER(G2468)),NOT(ISNUMBER(H2468)),G2468=0),"",H2468/G2468)</f>
        <v/>
      </c>
      <c r="L2468">
        <f>IF(NOT(ISNUMBER(G2468)),"SEM META",IF(G2468=0,"SEM META",IF(NOT(ISNUMBER(H2468)),"SEM APONTAMENTO",IF(H2468&gt;=G2468,"VERDE",IF(H2468&gt;=G2468*0.9,"AMARELO","VERMELHO")))))</f>
        <v/>
      </c>
    </row>
    <row r="2469">
      <c r="A2469" s="321" t="n">
        <v>46331</v>
      </c>
      <c r="B2469" t="inlineStr">
        <is>
          <t>GERAL</t>
        </is>
      </c>
      <c r="C2469" t="inlineStr">
        <is>
          <t>GLOBO AÇOS</t>
        </is>
      </c>
      <c r="D2469" t="inlineStr">
        <is>
          <t>TELHAR</t>
        </is>
      </c>
      <c r="F2469">
        <f>IFERROR(INDEX('BASE METAS DIÁRIAS'!$AA$2:$AC$358,MATCH($A2469,'BASE METAS DIÁRIAS'!$A$2:$A$358,0),2),"")</f>
        <v/>
      </c>
      <c r="G2469">
        <f>IFERROR(IF(WEEKDAY($A2469,2)&lt;=INDEX('BASE METAS DIÁRIAS'!$X$2:$Z$358,MATCH($A2469,'BASE METAS DIÁRIAS'!$A$2:$A$358,0),2),INDEX('BASE METAS DIÁRIAS'!$U$2:$W$358,MATCH($A2469,'BASE METAS DIÁRIAS'!$A$2:$A$358,0),2),""),"")</f>
        <v/>
      </c>
      <c r="H2469">
        <f>IFERROR(IF(INDEX('CONTROLE PRODUÇÃO POR EMPRESAS'!$H$6:$J$5000,MATCH($A2469,'CONTROLE PRODUÇÃO POR EMPRESAS'!$A$6:$A$5000,0),2)="","",IFERROR(1*INDEX('CONTROLE PRODUÇÃO POR EMPRESAS'!$H$6:$J$5000,MATCH($A2469,'CONTROLE PRODUÇÃO POR EMPRESAS'!$A$6:$A$5000,0),2),"")),"")</f>
        <v/>
      </c>
      <c r="I2469">
        <f>IF(OR(NOT(ISNUMBER(G2469)),NOT(ISNUMBER(H2469))),"",H2469-G2469)</f>
        <v/>
      </c>
      <c r="J2469">
        <f>IF(OR(NOT(ISNUMBER(G2469)),NOT(ISNUMBER(H2469)),G2469=0),"",I2469/G2469)</f>
        <v/>
      </c>
      <c r="K2469">
        <f>IF(OR(NOT(ISNUMBER(G2469)),NOT(ISNUMBER(H2469)),G2469=0),"",H2469/G2469)</f>
        <v/>
      </c>
      <c r="L2469">
        <f>IF(NOT(ISNUMBER(G2469)),"SEM META",IF(G2469=0,"SEM META",IF(NOT(ISNUMBER(H2469)),"SEM APONTAMENTO",IF(H2469&gt;=G2469,"VERDE",IF(H2469&gt;=G2469*0.9,"AMARELO","VERMELHO")))))</f>
        <v/>
      </c>
    </row>
    <row r="2470">
      <c r="A2470" s="321" t="n">
        <v>46331</v>
      </c>
      <c r="B2470" t="inlineStr">
        <is>
          <t>GERAL</t>
        </is>
      </c>
      <c r="C2470" t="inlineStr">
        <is>
          <t>GLOBO AÇOS</t>
        </is>
      </c>
      <c r="D2470" t="inlineStr">
        <is>
          <t>FECHAMENTO</t>
        </is>
      </c>
      <c r="F2470">
        <f>IFERROR(INDEX('BASE METAS DIÁRIAS'!$AA$2:$AC$358,MATCH($A2470,'BASE METAS DIÁRIAS'!$A$2:$A$358,0),3),"")</f>
        <v/>
      </c>
      <c r="G2470">
        <f>IFERROR(IF(WEEKDAY($A2470,2)&lt;=INDEX('BASE METAS DIÁRIAS'!$X$2:$Z$358,MATCH($A2470,'BASE METAS DIÁRIAS'!$A$2:$A$358,0),3),INDEX('BASE METAS DIÁRIAS'!$U$2:$W$358,MATCH($A2470,'BASE METAS DIÁRIAS'!$A$2:$A$358,0),3),""),"")</f>
        <v/>
      </c>
      <c r="H2470">
        <f>IFERROR(IF(INDEX('CONTROLE PRODUÇÃO POR EMPRESAS'!$H$6:$J$5000,MATCH($A2470,'CONTROLE PRODUÇÃO POR EMPRESAS'!$A$6:$A$5000,0),3)="","",IFERROR(1*INDEX('CONTROLE PRODUÇÃO POR EMPRESAS'!$H$6:$J$5000,MATCH($A2470,'CONTROLE PRODUÇÃO POR EMPRESAS'!$A$6:$A$5000,0),3),"")),"")</f>
        <v/>
      </c>
      <c r="I2470">
        <f>IF(OR(NOT(ISNUMBER(G2470)),NOT(ISNUMBER(H2470))),"",H2470-G2470)</f>
        <v/>
      </c>
      <c r="J2470">
        <f>IF(OR(NOT(ISNUMBER(G2470)),NOT(ISNUMBER(H2470)),G2470=0),"",I2470/G2470)</f>
        <v/>
      </c>
      <c r="K2470">
        <f>IF(OR(NOT(ISNUMBER(G2470)),NOT(ISNUMBER(H2470)),G2470=0),"",H2470/G2470)</f>
        <v/>
      </c>
      <c r="L2470">
        <f>IF(NOT(ISNUMBER(G2470)),"SEM META",IF(G2470=0,"SEM META",IF(NOT(ISNUMBER(H2470)),"SEM APONTAMENTO",IF(H2470&gt;=G2470,"VERDE",IF(H2470&gt;=G2470*0.9,"AMARELO","VERMELHO")))))</f>
        <v/>
      </c>
    </row>
    <row r="2471">
      <c r="A2471" s="321" t="n">
        <v>46332</v>
      </c>
      <c r="B2471" t="inlineStr">
        <is>
          <t>GERAL</t>
        </is>
      </c>
      <c r="C2471" t="inlineStr">
        <is>
          <t>GLOBO AÇOS</t>
        </is>
      </c>
      <c r="D2471" t="inlineStr">
        <is>
          <t>PERFILAÇÃO</t>
        </is>
      </c>
      <c r="F2471">
        <f>IFERROR(INDEX('BASE METAS DIÁRIAS'!$AA$2:$AC$358,MATCH($A2471,'BASE METAS DIÁRIAS'!$A$2:$A$358,0),1),"")</f>
        <v/>
      </c>
      <c r="G2471">
        <f>IFERROR(IF(WEEKDAY($A2471,2)&lt;=INDEX('BASE METAS DIÁRIAS'!$X$2:$Z$358,MATCH($A2471,'BASE METAS DIÁRIAS'!$A$2:$A$358,0),1),INDEX('BASE METAS DIÁRIAS'!$U$2:$W$358,MATCH($A2471,'BASE METAS DIÁRIAS'!$A$2:$A$358,0),1),""),"")</f>
        <v/>
      </c>
      <c r="H2471">
        <f>IFERROR(IF(INDEX('CONTROLE PRODUÇÃO POR EMPRESAS'!$H$6:$J$5000,MATCH($A2471,'CONTROLE PRODUÇÃO POR EMPRESAS'!$A$6:$A$5000,0),1)="","",IFERROR(1*INDEX('CONTROLE PRODUÇÃO POR EMPRESAS'!$H$6:$J$5000,MATCH($A2471,'CONTROLE PRODUÇÃO POR EMPRESAS'!$A$6:$A$5000,0),1),"")),"")</f>
        <v/>
      </c>
      <c r="I2471">
        <f>IF(OR(NOT(ISNUMBER(G2471)),NOT(ISNUMBER(H2471))),"",H2471-G2471)</f>
        <v/>
      </c>
      <c r="J2471">
        <f>IF(OR(NOT(ISNUMBER(G2471)),NOT(ISNUMBER(H2471)),G2471=0),"",I2471/G2471)</f>
        <v/>
      </c>
      <c r="K2471">
        <f>IF(OR(NOT(ISNUMBER(G2471)),NOT(ISNUMBER(H2471)),G2471=0),"",H2471/G2471)</f>
        <v/>
      </c>
      <c r="L2471">
        <f>IF(NOT(ISNUMBER(G2471)),"SEM META",IF(G2471=0,"SEM META",IF(NOT(ISNUMBER(H2471)),"SEM APONTAMENTO",IF(H2471&gt;=G2471,"VERDE",IF(H2471&gt;=G2471*0.9,"AMARELO","VERMELHO")))))</f>
        <v/>
      </c>
    </row>
    <row r="2472">
      <c r="A2472" s="321" t="n">
        <v>46332</v>
      </c>
      <c r="B2472" t="inlineStr">
        <is>
          <t>GERAL</t>
        </is>
      </c>
      <c r="C2472" t="inlineStr">
        <is>
          <t>GLOBO AÇOS</t>
        </is>
      </c>
      <c r="D2472" t="inlineStr">
        <is>
          <t>TELHAR</t>
        </is>
      </c>
      <c r="F2472">
        <f>IFERROR(INDEX('BASE METAS DIÁRIAS'!$AA$2:$AC$358,MATCH($A2472,'BASE METAS DIÁRIAS'!$A$2:$A$358,0),2),"")</f>
        <v/>
      </c>
      <c r="G2472">
        <f>IFERROR(IF(WEEKDAY($A2472,2)&lt;=INDEX('BASE METAS DIÁRIAS'!$X$2:$Z$358,MATCH($A2472,'BASE METAS DIÁRIAS'!$A$2:$A$358,0),2),INDEX('BASE METAS DIÁRIAS'!$U$2:$W$358,MATCH($A2472,'BASE METAS DIÁRIAS'!$A$2:$A$358,0),2),""),"")</f>
        <v/>
      </c>
      <c r="H2472">
        <f>IFERROR(IF(INDEX('CONTROLE PRODUÇÃO POR EMPRESAS'!$H$6:$J$5000,MATCH($A2472,'CONTROLE PRODUÇÃO POR EMPRESAS'!$A$6:$A$5000,0),2)="","",IFERROR(1*INDEX('CONTROLE PRODUÇÃO POR EMPRESAS'!$H$6:$J$5000,MATCH($A2472,'CONTROLE PRODUÇÃO POR EMPRESAS'!$A$6:$A$5000,0),2),"")),"")</f>
        <v/>
      </c>
      <c r="I2472">
        <f>IF(OR(NOT(ISNUMBER(G2472)),NOT(ISNUMBER(H2472))),"",H2472-G2472)</f>
        <v/>
      </c>
      <c r="J2472">
        <f>IF(OR(NOT(ISNUMBER(G2472)),NOT(ISNUMBER(H2472)),G2472=0),"",I2472/G2472)</f>
        <v/>
      </c>
      <c r="K2472">
        <f>IF(OR(NOT(ISNUMBER(G2472)),NOT(ISNUMBER(H2472)),G2472=0),"",H2472/G2472)</f>
        <v/>
      </c>
      <c r="L2472">
        <f>IF(NOT(ISNUMBER(G2472)),"SEM META",IF(G2472=0,"SEM META",IF(NOT(ISNUMBER(H2472)),"SEM APONTAMENTO",IF(H2472&gt;=G2472,"VERDE",IF(H2472&gt;=G2472*0.9,"AMARELO","VERMELHO")))))</f>
        <v/>
      </c>
    </row>
    <row r="2473">
      <c r="A2473" s="321" t="n">
        <v>46332</v>
      </c>
      <c r="B2473" t="inlineStr">
        <is>
          <t>GERAL</t>
        </is>
      </c>
      <c r="C2473" t="inlineStr">
        <is>
          <t>GLOBO AÇOS</t>
        </is>
      </c>
      <c r="D2473" t="inlineStr">
        <is>
          <t>FECHAMENTO</t>
        </is>
      </c>
      <c r="F2473">
        <f>IFERROR(INDEX('BASE METAS DIÁRIAS'!$AA$2:$AC$358,MATCH($A2473,'BASE METAS DIÁRIAS'!$A$2:$A$358,0),3),"")</f>
        <v/>
      </c>
      <c r="G2473">
        <f>IFERROR(IF(WEEKDAY($A2473,2)&lt;=INDEX('BASE METAS DIÁRIAS'!$X$2:$Z$358,MATCH($A2473,'BASE METAS DIÁRIAS'!$A$2:$A$358,0),3),INDEX('BASE METAS DIÁRIAS'!$U$2:$W$358,MATCH($A2473,'BASE METAS DIÁRIAS'!$A$2:$A$358,0),3),""),"")</f>
        <v/>
      </c>
      <c r="H2473">
        <f>IFERROR(IF(INDEX('CONTROLE PRODUÇÃO POR EMPRESAS'!$H$6:$J$5000,MATCH($A2473,'CONTROLE PRODUÇÃO POR EMPRESAS'!$A$6:$A$5000,0),3)="","",IFERROR(1*INDEX('CONTROLE PRODUÇÃO POR EMPRESAS'!$H$6:$J$5000,MATCH($A2473,'CONTROLE PRODUÇÃO POR EMPRESAS'!$A$6:$A$5000,0),3),"")),"")</f>
        <v/>
      </c>
      <c r="I2473">
        <f>IF(OR(NOT(ISNUMBER(G2473)),NOT(ISNUMBER(H2473))),"",H2473-G2473)</f>
        <v/>
      </c>
      <c r="J2473">
        <f>IF(OR(NOT(ISNUMBER(G2473)),NOT(ISNUMBER(H2473)),G2473=0),"",I2473/G2473)</f>
        <v/>
      </c>
      <c r="K2473">
        <f>IF(OR(NOT(ISNUMBER(G2473)),NOT(ISNUMBER(H2473)),G2473=0),"",H2473/G2473)</f>
        <v/>
      </c>
      <c r="L2473">
        <f>IF(NOT(ISNUMBER(G2473)),"SEM META",IF(G2473=0,"SEM META",IF(NOT(ISNUMBER(H2473)),"SEM APONTAMENTO",IF(H2473&gt;=G2473,"VERDE",IF(H2473&gt;=G2473*0.9,"AMARELO","VERMELHO")))))</f>
        <v/>
      </c>
    </row>
    <row r="2474">
      <c r="A2474" s="321" t="n">
        <v>46333</v>
      </c>
      <c r="B2474" t="inlineStr">
        <is>
          <t>GERAL</t>
        </is>
      </c>
      <c r="C2474" t="inlineStr">
        <is>
          <t>GLOBO AÇOS</t>
        </is>
      </c>
      <c r="D2474" t="inlineStr">
        <is>
          <t>PERFILAÇÃO</t>
        </is>
      </c>
      <c r="F2474">
        <f>IFERROR(INDEX('BASE METAS DIÁRIAS'!$AA$2:$AC$358,MATCH($A2474,'BASE METAS DIÁRIAS'!$A$2:$A$358,0),1),"")</f>
        <v/>
      </c>
      <c r="G2474">
        <f>IFERROR(IF(WEEKDAY($A2474,2)&lt;=INDEX('BASE METAS DIÁRIAS'!$X$2:$Z$358,MATCH($A2474,'BASE METAS DIÁRIAS'!$A$2:$A$358,0),1),INDEX('BASE METAS DIÁRIAS'!$U$2:$W$358,MATCH($A2474,'BASE METAS DIÁRIAS'!$A$2:$A$358,0),1),""),"")</f>
        <v/>
      </c>
      <c r="H2474">
        <f>IFERROR(IF(INDEX('CONTROLE PRODUÇÃO POR EMPRESAS'!$H$6:$J$5000,MATCH($A2474,'CONTROLE PRODUÇÃO POR EMPRESAS'!$A$6:$A$5000,0),1)="","",IFERROR(1*INDEX('CONTROLE PRODUÇÃO POR EMPRESAS'!$H$6:$J$5000,MATCH($A2474,'CONTROLE PRODUÇÃO POR EMPRESAS'!$A$6:$A$5000,0),1),"")),"")</f>
        <v/>
      </c>
      <c r="I2474">
        <f>IF(OR(NOT(ISNUMBER(G2474)),NOT(ISNUMBER(H2474))),"",H2474-G2474)</f>
        <v/>
      </c>
      <c r="J2474">
        <f>IF(OR(NOT(ISNUMBER(G2474)),NOT(ISNUMBER(H2474)),G2474=0),"",I2474/G2474)</f>
        <v/>
      </c>
      <c r="K2474">
        <f>IF(OR(NOT(ISNUMBER(G2474)),NOT(ISNUMBER(H2474)),G2474=0),"",H2474/G2474)</f>
        <v/>
      </c>
      <c r="L2474">
        <f>IF(NOT(ISNUMBER(G2474)),"SEM META",IF(G2474=0,"SEM META",IF(NOT(ISNUMBER(H2474)),"SEM APONTAMENTO",IF(H2474&gt;=G2474,"VERDE",IF(H2474&gt;=G2474*0.9,"AMARELO","VERMELHO")))))</f>
        <v/>
      </c>
    </row>
    <row r="2475">
      <c r="A2475" s="321" t="n">
        <v>46333</v>
      </c>
      <c r="B2475" t="inlineStr">
        <is>
          <t>GERAL</t>
        </is>
      </c>
      <c r="C2475" t="inlineStr">
        <is>
          <t>GLOBO AÇOS</t>
        </is>
      </c>
      <c r="D2475" t="inlineStr">
        <is>
          <t>TELHAR</t>
        </is>
      </c>
      <c r="F2475">
        <f>IFERROR(INDEX('BASE METAS DIÁRIAS'!$AA$2:$AC$358,MATCH($A2475,'BASE METAS DIÁRIAS'!$A$2:$A$358,0),2),"")</f>
        <v/>
      </c>
      <c r="G2475">
        <f>IFERROR(IF(WEEKDAY($A2475,2)&lt;=INDEX('BASE METAS DIÁRIAS'!$X$2:$Z$358,MATCH($A2475,'BASE METAS DIÁRIAS'!$A$2:$A$358,0),2),INDEX('BASE METAS DIÁRIAS'!$U$2:$W$358,MATCH($A2475,'BASE METAS DIÁRIAS'!$A$2:$A$358,0),2),""),"")</f>
        <v/>
      </c>
      <c r="H2475">
        <f>IFERROR(IF(INDEX('CONTROLE PRODUÇÃO POR EMPRESAS'!$H$6:$J$5000,MATCH($A2475,'CONTROLE PRODUÇÃO POR EMPRESAS'!$A$6:$A$5000,0),2)="","",IFERROR(1*INDEX('CONTROLE PRODUÇÃO POR EMPRESAS'!$H$6:$J$5000,MATCH($A2475,'CONTROLE PRODUÇÃO POR EMPRESAS'!$A$6:$A$5000,0),2),"")),"")</f>
        <v/>
      </c>
      <c r="I2475">
        <f>IF(OR(NOT(ISNUMBER(G2475)),NOT(ISNUMBER(H2475))),"",H2475-G2475)</f>
        <v/>
      </c>
      <c r="J2475">
        <f>IF(OR(NOT(ISNUMBER(G2475)),NOT(ISNUMBER(H2475)),G2475=0),"",I2475/G2475)</f>
        <v/>
      </c>
      <c r="K2475">
        <f>IF(OR(NOT(ISNUMBER(G2475)),NOT(ISNUMBER(H2475)),G2475=0),"",H2475/G2475)</f>
        <v/>
      </c>
      <c r="L2475">
        <f>IF(NOT(ISNUMBER(G2475)),"SEM META",IF(G2475=0,"SEM META",IF(NOT(ISNUMBER(H2475)),"SEM APONTAMENTO",IF(H2475&gt;=G2475,"VERDE",IF(H2475&gt;=G2475*0.9,"AMARELO","VERMELHO")))))</f>
        <v/>
      </c>
    </row>
    <row r="2476">
      <c r="A2476" s="321" t="n">
        <v>46333</v>
      </c>
      <c r="B2476" t="inlineStr">
        <is>
          <t>GERAL</t>
        </is>
      </c>
      <c r="C2476" t="inlineStr">
        <is>
          <t>GLOBO AÇOS</t>
        </is>
      </c>
      <c r="D2476" t="inlineStr">
        <is>
          <t>FECHAMENTO</t>
        </is>
      </c>
      <c r="F2476">
        <f>IFERROR(INDEX('BASE METAS DIÁRIAS'!$AA$2:$AC$358,MATCH($A2476,'BASE METAS DIÁRIAS'!$A$2:$A$358,0),3),"")</f>
        <v/>
      </c>
      <c r="G2476">
        <f>IFERROR(IF(WEEKDAY($A2476,2)&lt;=INDEX('BASE METAS DIÁRIAS'!$X$2:$Z$358,MATCH($A2476,'BASE METAS DIÁRIAS'!$A$2:$A$358,0),3),INDEX('BASE METAS DIÁRIAS'!$U$2:$W$358,MATCH($A2476,'BASE METAS DIÁRIAS'!$A$2:$A$358,0),3),""),"")</f>
        <v/>
      </c>
      <c r="H2476">
        <f>IFERROR(IF(INDEX('CONTROLE PRODUÇÃO POR EMPRESAS'!$H$6:$J$5000,MATCH($A2476,'CONTROLE PRODUÇÃO POR EMPRESAS'!$A$6:$A$5000,0),3)="","",IFERROR(1*INDEX('CONTROLE PRODUÇÃO POR EMPRESAS'!$H$6:$J$5000,MATCH($A2476,'CONTROLE PRODUÇÃO POR EMPRESAS'!$A$6:$A$5000,0),3),"")),"")</f>
        <v/>
      </c>
      <c r="I2476">
        <f>IF(OR(NOT(ISNUMBER(G2476)),NOT(ISNUMBER(H2476))),"",H2476-G2476)</f>
        <v/>
      </c>
      <c r="J2476">
        <f>IF(OR(NOT(ISNUMBER(G2476)),NOT(ISNUMBER(H2476)),G2476=0),"",I2476/G2476)</f>
        <v/>
      </c>
      <c r="K2476">
        <f>IF(OR(NOT(ISNUMBER(G2476)),NOT(ISNUMBER(H2476)),G2476=0),"",H2476/G2476)</f>
        <v/>
      </c>
      <c r="L2476">
        <f>IF(NOT(ISNUMBER(G2476)),"SEM META",IF(G2476=0,"SEM META",IF(NOT(ISNUMBER(H2476)),"SEM APONTAMENTO",IF(H2476&gt;=G2476,"VERDE",IF(H2476&gt;=G2476*0.9,"AMARELO","VERMELHO")))))</f>
        <v/>
      </c>
    </row>
    <row r="2477">
      <c r="A2477" s="321" t="n">
        <v>46334</v>
      </c>
      <c r="B2477" t="inlineStr">
        <is>
          <t>GERAL</t>
        </is>
      </c>
      <c r="C2477" t="inlineStr">
        <is>
          <t>GLOBO AÇOS</t>
        </is>
      </c>
      <c r="D2477" t="inlineStr">
        <is>
          <t>PERFILAÇÃO</t>
        </is>
      </c>
      <c r="F2477">
        <f>IFERROR(INDEX('BASE METAS DIÁRIAS'!$AA$2:$AC$358,MATCH($A2477,'BASE METAS DIÁRIAS'!$A$2:$A$358,0),1),"")</f>
        <v/>
      </c>
      <c r="G2477">
        <f>IFERROR(IF(WEEKDAY($A2477,2)&lt;=INDEX('BASE METAS DIÁRIAS'!$X$2:$Z$358,MATCH($A2477,'BASE METAS DIÁRIAS'!$A$2:$A$358,0),1),INDEX('BASE METAS DIÁRIAS'!$U$2:$W$358,MATCH($A2477,'BASE METAS DIÁRIAS'!$A$2:$A$358,0),1),""),"")</f>
        <v/>
      </c>
      <c r="H2477">
        <f>IFERROR(IF(INDEX('CONTROLE PRODUÇÃO POR EMPRESAS'!$H$6:$J$5000,MATCH($A2477,'CONTROLE PRODUÇÃO POR EMPRESAS'!$A$6:$A$5000,0),1)="","",IFERROR(1*INDEX('CONTROLE PRODUÇÃO POR EMPRESAS'!$H$6:$J$5000,MATCH($A2477,'CONTROLE PRODUÇÃO POR EMPRESAS'!$A$6:$A$5000,0),1),"")),"")</f>
        <v/>
      </c>
      <c r="I2477">
        <f>IF(OR(NOT(ISNUMBER(G2477)),NOT(ISNUMBER(H2477))),"",H2477-G2477)</f>
        <v/>
      </c>
      <c r="J2477">
        <f>IF(OR(NOT(ISNUMBER(G2477)),NOT(ISNUMBER(H2477)),G2477=0),"",I2477/G2477)</f>
        <v/>
      </c>
      <c r="K2477">
        <f>IF(OR(NOT(ISNUMBER(G2477)),NOT(ISNUMBER(H2477)),G2477=0),"",H2477/G2477)</f>
        <v/>
      </c>
      <c r="L2477">
        <f>IF(NOT(ISNUMBER(G2477)),"SEM META",IF(G2477=0,"SEM META",IF(NOT(ISNUMBER(H2477)),"SEM APONTAMENTO",IF(H2477&gt;=G2477,"VERDE",IF(H2477&gt;=G2477*0.9,"AMARELO","VERMELHO")))))</f>
        <v/>
      </c>
    </row>
    <row r="2478">
      <c r="A2478" s="321" t="n">
        <v>46334</v>
      </c>
      <c r="B2478" t="inlineStr">
        <is>
          <t>GERAL</t>
        </is>
      </c>
      <c r="C2478" t="inlineStr">
        <is>
          <t>GLOBO AÇOS</t>
        </is>
      </c>
      <c r="D2478" t="inlineStr">
        <is>
          <t>TELHAR</t>
        </is>
      </c>
      <c r="F2478">
        <f>IFERROR(INDEX('BASE METAS DIÁRIAS'!$AA$2:$AC$358,MATCH($A2478,'BASE METAS DIÁRIAS'!$A$2:$A$358,0),2),"")</f>
        <v/>
      </c>
      <c r="G2478">
        <f>IFERROR(IF(WEEKDAY($A2478,2)&lt;=INDEX('BASE METAS DIÁRIAS'!$X$2:$Z$358,MATCH($A2478,'BASE METAS DIÁRIAS'!$A$2:$A$358,0),2),INDEX('BASE METAS DIÁRIAS'!$U$2:$W$358,MATCH($A2478,'BASE METAS DIÁRIAS'!$A$2:$A$358,0),2),""),"")</f>
        <v/>
      </c>
      <c r="H2478">
        <f>IFERROR(IF(INDEX('CONTROLE PRODUÇÃO POR EMPRESAS'!$H$6:$J$5000,MATCH($A2478,'CONTROLE PRODUÇÃO POR EMPRESAS'!$A$6:$A$5000,0),2)="","",IFERROR(1*INDEX('CONTROLE PRODUÇÃO POR EMPRESAS'!$H$6:$J$5000,MATCH($A2478,'CONTROLE PRODUÇÃO POR EMPRESAS'!$A$6:$A$5000,0),2),"")),"")</f>
        <v/>
      </c>
      <c r="I2478">
        <f>IF(OR(NOT(ISNUMBER(G2478)),NOT(ISNUMBER(H2478))),"",H2478-G2478)</f>
        <v/>
      </c>
      <c r="J2478">
        <f>IF(OR(NOT(ISNUMBER(G2478)),NOT(ISNUMBER(H2478)),G2478=0),"",I2478/G2478)</f>
        <v/>
      </c>
      <c r="K2478">
        <f>IF(OR(NOT(ISNUMBER(G2478)),NOT(ISNUMBER(H2478)),G2478=0),"",H2478/G2478)</f>
        <v/>
      </c>
      <c r="L2478">
        <f>IF(NOT(ISNUMBER(G2478)),"SEM META",IF(G2478=0,"SEM META",IF(NOT(ISNUMBER(H2478)),"SEM APONTAMENTO",IF(H2478&gt;=G2478,"VERDE",IF(H2478&gt;=G2478*0.9,"AMARELO","VERMELHO")))))</f>
        <v/>
      </c>
    </row>
    <row r="2479">
      <c r="A2479" s="321" t="n">
        <v>46334</v>
      </c>
      <c r="B2479" t="inlineStr">
        <is>
          <t>GERAL</t>
        </is>
      </c>
      <c r="C2479" t="inlineStr">
        <is>
          <t>GLOBO AÇOS</t>
        </is>
      </c>
      <c r="D2479" t="inlineStr">
        <is>
          <t>FECHAMENTO</t>
        </is>
      </c>
      <c r="F2479">
        <f>IFERROR(INDEX('BASE METAS DIÁRIAS'!$AA$2:$AC$358,MATCH($A2479,'BASE METAS DIÁRIAS'!$A$2:$A$358,0),3),"")</f>
        <v/>
      </c>
      <c r="G2479">
        <f>IFERROR(IF(WEEKDAY($A2479,2)&lt;=INDEX('BASE METAS DIÁRIAS'!$X$2:$Z$358,MATCH($A2479,'BASE METAS DIÁRIAS'!$A$2:$A$358,0),3),INDEX('BASE METAS DIÁRIAS'!$U$2:$W$358,MATCH($A2479,'BASE METAS DIÁRIAS'!$A$2:$A$358,0),3),""),"")</f>
        <v/>
      </c>
      <c r="H2479">
        <f>IFERROR(IF(INDEX('CONTROLE PRODUÇÃO POR EMPRESAS'!$H$6:$J$5000,MATCH($A2479,'CONTROLE PRODUÇÃO POR EMPRESAS'!$A$6:$A$5000,0),3)="","",IFERROR(1*INDEX('CONTROLE PRODUÇÃO POR EMPRESAS'!$H$6:$J$5000,MATCH($A2479,'CONTROLE PRODUÇÃO POR EMPRESAS'!$A$6:$A$5000,0),3),"")),"")</f>
        <v/>
      </c>
      <c r="I2479">
        <f>IF(OR(NOT(ISNUMBER(G2479)),NOT(ISNUMBER(H2479))),"",H2479-G2479)</f>
        <v/>
      </c>
      <c r="J2479">
        <f>IF(OR(NOT(ISNUMBER(G2479)),NOT(ISNUMBER(H2479)),G2479=0),"",I2479/G2479)</f>
        <v/>
      </c>
      <c r="K2479">
        <f>IF(OR(NOT(ISNUMBER(G2479)),NOT(ISNUMBER(H2479)),G2479=0),"",H2479/G2479)</f>
        <v/>
      </c>
      <c r="L2479">
        <f>IF(NOT(ISNUMBER(G2479)),"SEM META",IF(G2479=0,"SEM META",IF(NOT(ISNUMBER(H2479)),"SEM APONTAMENTO",IF(H2479&gt;=G2479,"VERDE",IF(H2479&gt;=G2479*0.9,"AMARELO","VERMELHO")))))</f>
        <v/>
      </c>
    </row>
    <row r="2480">
      <c r="A2480" s="321" t="n">
        <v>46335</v>
      </c>
      <c r="B2480" t="inlineStr">
        <is>
          <t>GERAL</t>
        </is>
      </c>
      <c r="C2480" t="inlineStr">
        <is>
          <t>GLOBO AÇOS</t>
        </is>
      </c>
      <c r="D2480" t="inlineStr">
        <is>
          <t>PERFILAÇÃO</t>
        </is>
      </c>
      <c r="F2480">
        <f>IFERROR(INDEX('BASE METAS DIÁRIAS'!$AA$2:$AC$358,MATCH($A2480,'BASE METAS DIÁRIAS'!$A$2:$A$358,0),1),"")</f>
        <v/>
      </c>
      <c r="G2480">
        <f>IFERROR(IF(WEEKDAY($A2480,2)&lt;=INDEX('BASE METAS DIÁRIAS'!$X$2:$Z$358,MATCH($A2480,'BASE METAS DIÁRIAS'!$A$2:$A$358,0),1),INDEX('BASE METAS DIÁRIAS'!$U$2:$W$358,MATCH($A2480,'BASE METAS DIÁRIAS'!$A$2:$A$358,0),1),""),"")</f>
        <v/>
      </c>
      <c r="H2480">
        <f>IFERROR(IF(INDEX('CONTROLE PRODUÇÃO POR EMPRESAS'!$H$6:$J$5000,MATCH($A2480,'CONTROLE PRODUÇÃO POR EMPRESAS'!$A$6:$A$5000,0),1)="","",IFERROR(1*INDEX('CONTROLE PRODUÇÃO POR EMPRESAS'!$H$6:$J$5000,MATCH($A2480,'CONTROLE PRODUÇÃO POR EMPRESAS'!$A$6:$A$5000,0),1),"")),"")</f>
        <v/>
      </c>
      <c r="I2480">
        <f>IF(OR(NOT(ISNUMBER(G2480)),NOT(ISNUMBER(H2480))),"",H2480-G2480)</f>
        <v/>
      </c>
      <c r="J2480">
        <f>IF(OR(NOT(ISNUMBER(G2480)),NOT(ISNUMBER(H2480)),G2480=0),"",I2480/G2480)</f>
        <v/>
      </c>
      <c r="K2480">
        <f>IF(OR(NOT(ISNUMBER(G2480)),NOT(ISNUMBER(H2480)),G2480=0),"",H2480/G2480)</f>
        <v/>
      </c>
      <c r="L2480">
        <f>IF(NOT(ISNUMBER(G2480)),"SEM META",IF(G2480=0,"SEM META",IF(NOT(ISNUMBER(H2480)),"SEM APONTAMENTO",IF(H2480&gt;=G2480,"VERDE",IF(H2480&gt;=G2480*0.9,"AMARELO","VERMELHO")))))</f>
        <v/>
      </c>
    </row>
    <row r="2481">
      <c r="A2481" s="321" t="n">
        <v>46335</v>
      </c>
      <c r="B2481" t="inlineStr">
        <is>
          <t>GERAL</t>
        </is>
      </c>
      <c r="C2481" t="inlineStr">
        <is>
          <t>GLOBO AÇOS</t>
        </is>
      </c>
      <c r="D2481" t="inlineStr">
        <is>
          <t>TELHAR</t>
        </is>
      </c>
      <c r="F2481">
        <f>IFERROR(INDEX('BASE METAS DIÁRIAS'!$AA$2:$AC$358,MATCH($A2481,'BASE METAS DIÁRIAS'!$A$2:$A$358,0),2),"")</f>
        <v/>
      </c>
      <c r="G2481">
        <f>IFERROR(IF(WEEKDAY($A2481,2)&lt;=INDEX('BASE METAS DIÁRIAS'!$X$2:$Z$358,MATCH($A2481,'BASE METAS DIÁRIAS'!$A$2:$A$358,0),2),INDEX('BASE METAS DIÁRIAS'!$U$2:$W$358,MATCH($A2481,'BASE METAS DIÁRIAS'!$A$2:$A$358,0),2),""),"")</f>
        <v/>
      </c>
      <c r="H2481">
        <f>IFERROR(IF(INDEX('CONTROLE PRODUÇÃO POR EMPRESAS'!$H$6:$J$5000,MATCH($A2481,'CONTROLE PRODUÇÃO POR EMPRESAS'!$A$6:$A$5000,0),2)="","",IFERROR(1*INDEX('CONTROLE PRODUÇÃO POR EMPRESAS'!$H$6:$J$5000,MATCH($A2481,'CONTROLE PRODUÇÃO POR EMPRESAS'!$A$6:$A$5000,0),2),"")),"")</f>
        <v/>
      </c>
      <c r="I2481">
        <f>IF(OR(NOT(ISNUMBER(G2481)),NOT(ISNUMBER(H2481))),"",H2481-G2481)</f>
        <v/>
      </c>
      <c r="J2481">
        <f>IF(OR(NOT(ISNUMBER(G2481)),NOT(ISNUMBER(H2481)),G2481=0),"",I2481/G2481)</f>
        <v/>
      </c>
      <c r="K2481">
        <f>IF(OR(NOT(ISNUMBER(G2481)),NOT(ISNUMBER(H2481)),G2481=0),"",H2481/G2481)</f>
        <v/>
      </c>
      <c r="L2481">
        <f>IF(NOT(ISNUMBER(G2481)),"SEM META",IF(G2481=0,"SEM META",IF(NOT(ISNUMBER(H2481)),"SEM APONTAMENTO",IF(H2481&gt;=G2481,"VERDE",IF(H2481&gt;=G2481*0.9,"AMARELO","VERMELHO")))))</f>
        <v/>
      </c>
    </row>
    <row r="2482">
      <c r="A2482" s="321" t="n">
        <v>46335</v>
      </c>
      <c r="B2482" t="inlineStr">
        <is>
          <t>GERAL</t>
        </is>
      </c>
      <c r="C2482" t="inlineStr">
        <is>
          <t>GLOBO AÇOS</t>
        </is>
      </c>
      <c r="D2482" t="inlineStr">
        <is>
          <t>FECHAMENTO</t>
        </is>
      </c>
      <c r="F2482">
        <f>IFERROR(INDEX('BASE METAS DIÁRIAS'!$AA$2:$AC$358,MATCH($A2482,'BASE METAS DIÁRIAS'!$A$2:$A$358,0),3),"")</f>
        <v/>
      </c>
      <c r="G2482">
        <f>IFERROR(IF(WEEKDAY($A2482,2)&lt;=INDEX('BASE METAS DIÁRIAS'!$X$2:$Z$358,MATCH($A2482,'BASE METAS DIÁRIAS'!$A$2:$A$358,0),3),INDEX('BASE METAS DIÁRIAS'!$U$2:$W$358,MATCH($A2482,'BASE METAS DIÁRIAS'!$A$2:$A$358,0),3),""),"")</f>
        <v/>
      </c>
      <c r="H2482">
        <f>IFERROR(IF(INDEX('CONTROLE PRODUÇÃO POR EMPRESAS'!$H$6:$J$5000,MATCH($A2482,'CONTROLE PRODUÇÃO POR EMPRESAS'!$A$6:$A$5000,0),3)="","",IFERROR(1*INDEX('CONTROLE PRODUÇÃO POR EMPRESAS'!$H$6:$J$5000,MATCH($A2482,'CONTROLE PRODUÇÃO POR EMPRESAS'!$A$6:$A$5000,0),3),"")),"")</f>
        <v/>
      </c>
      <c r="I2482">
        <f>IF(OR(NOT(ISNUMBER(G2482)),NOT(ISNUMBER(H2482))),"",H2482-G2482)</f>
        <v/>
      </c>
      <c r="J2482">
        <f>IF(OR(NOT(ISNUMBER(G2482)),NOT(ISNUMBER(H2482)),G2482=0),"",I2482/G2482)</f>
        <v/>
      </c>
      <c r="K2482">
        <f>IF(OR(NOT(ISNUMBER(G2482)),NOT(ISNUMBER(H2482)),G2482=0),"",H2482/G2482)</f>
        <v/>
      </c>
      <c r="L2482">
        <f>IF(NOT(ISNUMBER(G2482)),"SEM META",IF(G2482=0,"SEM META",IF(NOT(ISNUMBER(H2482)),"SEM APONTAMENTO",IF(H2482&gt;=G2482,"VERDE",IF(H2482&gt;=G2482*0.9,"AMARELO","VERMELHO")))))</f>
        <v/>
      </c>
    </row>
    <row r="2483">
      <c r="A2483" s="321" t="n">
        <v>46336</v>
      </c>
      <c r="B2483" t="inlineStr">
        <is>
          <t>GERAL</t>
        </is>
      </c>
      <c r="C2483" t="inlineStr">
        <is>
          <t>GLOBO AÇOS</t>
        </is>
      </c>
      <c r="D2483" t="inlineStr">
        <is>
          <t>PERFILAÇÃO</t>
        </is>
      </c>
      <c r="F2483">
        <f>IFERROR(INDEX('BASE METAS DIÁRIAS'!$AA$2:$AC$358,MATCH($A2483,'BASE METAS DIÁRIAS'!$A$2:$A$358,0),1),"")</f>
        <v/>
      </c>
      <c r="G2483">
        <f>IFERROR(IF(WEEKDAY($A2483,2)&lt;=INDEX('BASE METAS DIÁRIAS'!$X$2:$Z$358,MATCH($A2483,'BASE METAS DIÁRIAS'!$A$2:$A$358,0),1),INDEX('BASE METAS DIÁRIAS'!$U$2:$W$358,MATCH($A2483,'BASE METAS DIÁRIAS'!$A$2:$A$358,0),1),""),"")</f>
        <v/>
      </c>
      <c r="H2483">
        <f>IFERROR(IF(INDEX('CONTROLE PRODUÇÃO POR EMPRESAS'!$H$6:$J$5000,MATCH($A2483,'CONTROLE PRODUÇÃO POR EMPRESAS'!$A$6:$A$5000,0),1)="","",IFERROR(1*INDEX('CONTROLE PRODUÇÃO POR EMPRESAS'!$H$6:$J$5000,MATCH($A2483,'CONTROLE PRODUÇÃO POR EMPRESAS'!$A$6:$A$5000,0),1),"")),"")</f>
        <v/>
      </c>
      <c r="I2483">
        <f>IF(OR(NOT(ISNUMBER(G2483)),NOT(ISNUMBER(H2483))),"",H2483-G2483)</f>
        <v/>
      </c>
      <c r="J2483">
        <f>IF(OR(NOT(ISNUMBER(G2483)),NOT(ISNUMBER(H2483)),G2483=0),"",I2483/G2483)</f>
        <v/>
      </c>
      <c r="K2483">
        <f>IF(OR(NOT(ISNUMBER(G2483)),NOT(ISNUMBER(H2483)),G2483=0),"",H2483/G2483)</f>
        <v/>
      </c>
      <c r="L2483">
        <f>IF(NOT(ISNUMBER(G2483)),"SEM META",IF(G2483=0,"SEM META",IF(NOT(ISNUMBER(H2483)),"SEM APONTAMENTO",IF(H2483&gt;=G2483,"VERDE",IF(H2483&gt;=G2483*0.9,"AMARELO","VERMELHO")))))</f>
        <v/>
      </c>
    </row>
    <row r="2484">
      <c r="A2484" s="321" t="n">
        <v>46336</v>
      </c>
      <c r="B2484" t="inlineStr">
        <is>
          <t>GERAL</t>
        </is>
      </c>
      <c r="C2484" t="inlineStr">
        <is>
          <t>GLOBO AÇOS</t>
        </is>
      </c>
      <c r="D2484" t="inlineStr">
        <is>
          <t>TELHAR</t>
        </is>
      </c>
      <c r="F2484">
        <f>IFERROR(INDEX('BASE METAS DIÁRIAS'!$AA$2:$AC$358,MATCH($A2484,'BASE METAS DIÁRIAS'!$A$2:$A$358,0),2),"")</f>
        <v/>
      </c>
      <c r="G2484">
        <f>IFERROR(IF(WEEKDAY($A2484,2)&lt;=INDEX('BASE METAS DIÁRIAS'!$X$2:$Z$358,MATCH($A2484,'BASE METAS DIÁRIAS'!$A$2:$A$358,0),2),INDEX('BASE METAS DIÁRIAS'!$U$2:$W$358,MATCH($A2484,'BASE METAS DIÁRIAS'!$A$2:$A$358,0),2),""),"")</f>
        <v/>
      </c>
      <c r="H2484">
        <f>IFERROR(IF(INDEX('CONTROLE PRODUÇÃO POR EMPRESAS'!$H$6:$J$5000,MATCH($A2484,'CONTROLE PRODUÇÃO POR EMPRESAS'!$A$6:$A$5000,0),2)="","",IFERROR(1*INDEX('CONTROLE PRODUÇÃO POR EMPRESAS'!$H$6:$J$5000,MATCH($A2484,'CONTROLE PRODUÇÃO POR EMPRESAS'!$A$6:$A$5000,0),2),"")),"")</f>
        <v/>
      </c>
      <c r="I2484">
        <f>IF(OR(NOT(ISNUMBER(G2484)),NOT(ISNUMBER(H2484))),"",H2484-G2484)</f>
        <v/>
      </c>
      <c r="J2484">
        <f>IF(OR(NOT(ISNUMBER(G2484)),NOT(ISNUMBER(H2484)),G2484=0),"",I2484/G2484)</f>
        <v/>
      </c>
      <c r="K2484">
        <f>IF(OR(NOT(ISNUMBER(G2484)),NOT(ISNUMBER(H2484)),G2484=0),"",H2484/G2484)</f>
        <v/>
      </c>
      <c r="L2484">
        <f>IF(NOT(ISNUMBER(G2484)),"SEM META",IF(G2484=0,"SEM META",IF(NOT(ISNUMBER(H2484)),"SEM APONTAMENTO",IF(H2484&gt;=G2484,"VERDE",IF(H2484&gt;=G2484*0.9,"AMARELO","VERMELHO")))))</f>
        <v/>
      </c>
    </row>
    <row r="2485">
      <c r="A2485" s="321" t="n">
        <v>46336</v>
      </c>
      <c r="B2485" t="inlineStr">
        <is>
          <t>GERAL</t>
        </is>
      </c>
      <c r="C2485" t="inlineStr">
        <is>
          <t>GLOBO AÇOS</t>
        </is>
      </c>
      <c r="D2485" t="inlineStr">
        <is>
          <t>FECHAMENTO</t>
        </is>
      </c>
      <c r="F2485">
        <f>IFERROR(INDEX('BASE METAS DIÁRIAS'!$AA$2:$AC$358,MATCH($A2485,'BASE METAS DIÁRIAS'!$A$2:$A$358,0),3),"")</f>
        <v/>
      </c>
      <c r="G2485">
        <f>IFERROR(IF(WEEKDAY($A2485,2)&lt;=INDEX('BASE METAS DIÁRIAS'!$X$2:$Z$358,MATCH($A2485,'BASE METAS DIÁRIAS'!$A$2:$A$358,0),3),INDEX('BASE METAS DIÁRIAS'!$U$2:$W$358,MATCH($A2485,'BASE METAS DIÁRIAS'!$A$2:$A$358,0),3),""),"")</f>
        <v/>
      </c>
      <c r="H2485">
        <f>IFERROR(IF(INDEX('CONTROLE PRODUÇÃO POR EMPRESAS'!$H$6:$J$5000,MATCH($A2485,'CONTROLE PRODUÇÃO POR EMPRESAS'!$A$6:$A$5000,0),3)="","",IFERROR(1*INDEX('CONTROLE PRODUÇÃO POR EMPRESAS'!$H$6:$J$5000,MATCH($A2485,'CONTROLE PRODUÇÃO POR EMPRESAS'!$A$6:$A$5000,0),3),"")),"")</f>
        <v/>
      </c>
      <c r="I2485">
        <f>IF(OR(NOT(ISNUMBER(G2485)),NOT(ISNUMBER(H2485))),"",H2485-G2485)</f>
        <v/>
      </c>
      <c r="J2485">
        <f>IF(OR(NOT(ISNUMBER(G2485)),NOT(ISNUMBER(H2485)),G2485=0),"",I2485/G2485)</f>
        <v/>
      </c>
      <c r="K2485">
        <f>IF(OR(NOT(ISNUMBER(G2485)),NOT(ISNUMBER(H2485)),G2485=0),"",H2485/G2485)</f>
        <v/>
      </c>
      <c r="L2485">
        <f>IF(NOT(ISNUMBER(G2485)),"SEM META",IF(G2485=0,"SEM META",IF(NOT(ISNUMBER(H2485)),"SEM APONTAMENTO",IF(H2485&gt;=G2485,"VERDE",IF(H2485&gt;=G2485*0.9,"AMARELO","VERMELHO")))))</f>
        <v/>
      </c>
    </row>
    <row r="2486">
      <c r="A2486" s="321" t="n">
        <v>46337</v>
      </c>
      <c r="B2486" t="inlineStr">
        <is>
          <t>GERAL</t>
        </is>
      </c>
      <c r="C2486" t="inlineStr">
        <is>
          <t>GLOBO AÇOS</t>
        </is>
      </c>
      <c r="D2486" t="inlineStr">
        <is>
          <t>PERFILAÇÃO</t>
        </is>
      </c>
      <c r="F2486">
        <f>IFERROR(INDEX('BASE METAS DIÁRIAS'!$AA$2:$AC$358,MATCH($A2486,'BASE METAS DIÁRIAS'!$A$2:$A$358,0),1),"")</f>
        <v/>
      </c>
      <c r="G2486">
        <f>IFERROR(IF(WEEKDAY($A2486,2)&lt;=INDEX('BASE METAS DIÁRIAS'!$X$2:$Z$358,MATCH($A2486,'BASE METAS DIÁRIAS'!$A$2:$A$358,0),1),INDEX('BASE METAS DIÁRIAS'!$U$2:$W$358,MATCH($A2486,'BASE METAS DIÁRIAS'!$A$2:$A$358,0),1),""),"")</f>
        <v/>
      </c>
      <c r="H2486">
        <f>IFERROR(IF(INDEX('CONTROLE PRODUÇÃO POR EMPRESAS'!$H$6:$J$5000,MATCH($A2486,'CONTROLE PRODUÇÃO POR EMPRESAS'!$A$6:$A$5000,0),1)="","",IFERROR(1*INDEX('CONTROLE PRODUÇÃO POR EMPRESAS'!$H$6:$J$5000,MATCH($A2486,'CONTROLE PRODUÇÃO POR EMPRESAS'!$A$6:$A$5000,0),1),"")),"")</f>
        <v/>
      </c>
      <c r="I2486">
        <f>IF(OR(NOT(ISNUMBER(G2486)),NOT(ISNUMBER(H2486))),"",H2486-G2486)</f>
        <v/>
      </c>
      <c r="J2486">
        <f>IF(OR(NOT(ISNUMBER(G2486)),NOT(ISNUMBER(H2486)),G2486=0),"",I2486/G2486)</f>
        <v/>
      </c>
      <c r="K2486">
        <f>IF(OR(NOT(ISNUMBER(G2486)),NOT(ISNUMBER(H2486)),G2486=0),"",H2486/G2486)</f>
        <v/>
      </c>
      <c r="L2486">
        <f>IF(NOT(ISNUMBER(G2486)),"SEM META",IF(G2486=0,"SEM META",IF(NOT(ISNUMBER(H2486)),"SEM APONTAMENTO",IF(H2486&gt;=G2486,"VERDE",IF(H2486&gt;=G2486*0.9,"AMARELO","VERMELHO")))))</f>
        <v/>
      </c>
    </row>
    <row r="2487">
      <c r="A2487" s="321" t="n">
        <v>46337</v>
      </c>
      <c r="B2487" t="inlineStr">
        <is>
          <t>GERAL</t>
        </is>
      </c>
      <c r="C2487" t="inlineStr">
        <is>
          <t>GLOBO AÇOS</t>
        </is>
      </c>
      <c r="D2487" t="inlineStr">
        <is>
          <t>TELHAR</t>
        </is>
      </c>
      <c r="F2487">
        <f>IFERROR(INDEX('BASE METAS DIÁRIAS'!$AA$2:$AC$358,MATCH($A2487,'BASE METAS DIÁRIAS'!$A$2:$A$358,0),2),"")</f>
        <v/>
      </c>
      <c r="G2487">
        <f>IFERROR(IF(WEEKDAY($A2487,2)&lt;=INDEX('BASE METAS DIÁRIAS'!$X$2:$Z$358,MATCH($A2487,'BASE METAS DIÁRIAS'!$A$2:$A$358,0),2),INDEX('BASE METAS DIÁRIAS'!$U$2:$W$358,MATCH($A2487,'BASE METAS DIÁRIAS'!$A$2:$A$358,0),2),""),"")</f>
        <v/>
      </c>
      <c r="H2487">
        <f>IFERROR(IF(INDEX('CONTROLE PRODUÇÃO POR EMPRESAS'!$H$6:$J$5000,MATCH($A2487,'CONTROLE PRODUÇÃO POR EMPRESAS'!$A$6:$A$5000,0),2)="","",IFERROR(1*INDEX('CONTROLE PRODUÇÃO POR EMPRESAS'!$H$6:$J$5000,MATCH($A2487,'CONTROLE PRODUÇÃO POR EMPRESAS'!$A$6:$A$5000,0),2),"")),"")</f>
        <v/>
      </c>
      <c r="I2487">
        <f>IF(OR(NOT(ISNUMBER(G2487)),NOT(ISNUMBER(H2487))),"",H2487-G2487)</f>
        <v/>
      </c>
      <c r="J2487">
        <f>IF(OR(NOT(ISNUMBER(G2487)),NOT(ISNUMBER(H2487)),G2487=0),"",I2487/G2487)</f>
        <v/>
      </c>
      <c r="K2487">
        <f>IF(OR(NOT(ISNUMBER(G2487)),NOT(ISNUMBER(H2487)),G2487=0),"",H2487/G2487)</f>
        <v/>
      </c>
      <c r="L2487">
        <f>IF(NOT(ISNUMBER(G2487)),"SEM META",IF(G2487=0,"SEM META",IF(NOT(ISNUMBER(H2487)),"SEM APONTAMENTO",IF(H2487&gt;=G2487,"VERDE",IF(H2487&gt;=G2487*0.9,"AMARELO","VERMELHO")))))</f>
        <v/>
      </c>
    </row>
    <row r="2488">
      <c r="A2488" s="321" t="n">
        <v>46337</v>
      </c>
      <c r="B2488" t="inlineStr">
        <is>
          <t>GERAL</t>
        </is>
      </c>
      <c r="C2488" t="inlineStr">
        <is>
          <t>GLOBO AÇOS</t>
        </is>
      </c>
      <c r="D2488" t="inlineStr">
        <is>
          <t>FECHAMENTO</t>
        </is>
      </c>
      <c r="F2488">
        <f>IFERROR(INDEX('BASE METAS DIÁRIAS'!$AA$2:$AC$358,MATCH($A2488,'BASE METAS DIÁRIAS'!$A$2:$A$358,0),3),"")</f>
        <v/>
      </c>
      <c r="G2488">
        <f>IFERROR(IF(WEEKDAY($A2488,2)&lt;=INDEX('BASE METAS DIÁRIAS'!$X$2:$Z$358,MATCH($A2488,'BASE METAS DIÁRIAS'!$A$2:$A$358,0),3),INDEX('BASE METAS DIÁRIAS'!$U$2:$W$358,MATCH($A2488,'BASE METAS DIÁRIAS'!$A$2:$A$358,0),3),""),"")</f>
        <v/>
      </c>
      <c r="H2488">
        <f>IFERROR(IF(INDEX('CONTROLE PRODUÇÃO POR EMPRESAS'!$H$6:$J$5000,MATCH($A2488,'CONTROLE PRODUÇÃO POR EMPRESAS'!$A$6:$A$5000,0),3)="","",IFERROR(1*INDEX('CONTROLE PRODUÇÃO POR EMPRESAS'!$H$6:$J$5000,MATCH($A2488,'CONTROLE PRODUÇÃO POR EMPRESAS'!$A$6:$A$5000,0),3),"")),"")</f>
        <v/>
      </c>
      <c r="I2488">
        <f>IF(OR(NOT(ISNUMBER(G2488)),NOT(ISNUMBER(H2488))),"",H2488-G2488)</f>
        <v/>
      </c>
      <c r="J2488">
        <f>IF(OR(NOT(ISNUMBER(G2488)),NOT(ISNUMBER(H2488)),G2488=0),"",I2488/G2488)</f>
        <v/>
      </c>
      <c r="K2488">
        <f>IF(OR(NOT(ISNUMBER(G2488)),NOT(ISNUMBER(H2488)),G2488=0),"",H2488/G2488)</f>
        <v/>
      </c>
      <c r="L2488">
        <f>IF(NOT(ISNUMBER(G2488)),"SEM META",IF(G2488=0,"SEM META",IF(NOT(ISNUMBER(H2488)),"SEM APONTAMENTO",IF(H2488&gt;=G2488,"VERDE",IF(H2488&gt;=G2488*0.9,"AMARELO","VERMELHO")))))</f>
        <v/>
      </c>
    </row>
    <row r="2489">
      <c r="A2489" s="321" t="n">
        <v>46338</v>
      </c>
      <c r="B2489" t="inlineStr">
        <is>
          <t>GERAL</t>
        </is>
      </c>
      <c r="C2489" t="inlineStr">
        <is>
          <t>GLOBO AÇOS</t>
        </is>
      </c>
      <c r="D2489" t="inlineStr">
        <is>
          <t>PERFILAÇÃO</t>
        </is>
      </c>
      <c r="F2489">
        <f>IFERROR(INDEX('BASE METAS DIÁRIAS'!$AA$2:$AC$358,MATCH($A2489,'BASE METAS DIÁRIAS'!$A$2:$A$358,0),1),"")</f>
        <v/>
      </c>
      <c r="G2489">
        <f>IFERROR(IF(WEEKDAY($A2489,2)&lt;=INDEX('BASE METAS DIÁRIAS'!$X$2:$Z$358,MATCH($A2489,'BASE METAS DIÁRIAS'!$A$2:$A$358,0),1),INDEX('BASE METAS DIÁRIAS'!$U$2:$W$358,MATCH($A2489,'BASE METAS DIÁRIAS'!$A$2:$A$358,0),1),""),"")</f>
        <v/>
      </c>
      <c r="H2489">
        <f>IFERROR(IF(INDEX('CONTROLE PRODUÇÃO POR EMPRESAS'!$H$6:$J$5000,MATCH($A2489,'CONTROLE PRODUÇÃO POR EMPRESAS'!$A$6:$A$5000,0),1)="","",IFERROR(1*INDEX('CONTROLE PRODUÇÃO POR EMPRESAS'!$H$6:$J$5000,MATCH($A2489,'CONTROLE PRODUÇÃO POR EMPRESAS'!$A$6:$A$5000,0),1),"")),"")</f>
        <v/>
      </c>
      <c r="I2489">
        <f>IF(OR(NOT(ISNUMBER(G2489)),NOT(ISNUMBER(H2489))),"",H2489-G2489)</f>
        <v/>
      </c>
      <c r="J2489">
        <f>IF(OR(NOT(ISNUMBER(G2489)),NOT(ISNUMBER(H2489)),G2489=0),"",I2489/G2489)</f>
        <v/>
      </c>
      <c r="K2489">
        <f>IF(OR(NOT(ISNUMBER(G2489)),NOT(ISNUMBER(H2489)),G2489=0),"",H2489/G2489)</f>
        <v/>
      </c>
      <c r="L2489">
        <f>IF(NOT(ISNUMBER(G2489)),"SEM META",IF(G2489=0,"SEM META",IF(NOT(ISNUMBER(H2489)),"SEM APONTAMENTO",IF(H2489&gt;=G2489,"VERDE",IF(H2489&gt;=G2489*0.9,"AMARELO","VERMELHO")))))</f>
        <v/>
      </c>
    </row>
    <row r="2490">
      <c r="A2490" s="321" t="n">
        <v>46338</v>
      </c>
      <c r="B2490" t="inlineStr">
        <is>
          <t>GERAL</t>
        </is>
      </c>
      <c r="C2490" t="inlineStr">
        <is>
          <t>GLOBO AÇOS</t>
        </is>
      </c>
      <c r="D2490" t="inlineStr">
        <is>
          <t>TELHAR</t>
        </is>
      </c>
      <c r="F2490">
        <f>IFERROR(INDEX('BASE METAS DIÁRIAS'!$AA$2:$AC$358,MATCH($A2490,'BASE METAS DIÁRIAS'!$A$2:$A$358,0),2),"")</f>
        <v/>
      </c>
      <c r="G2490">
        <f>IFERROR(IF(WEEKDAY($A2490,2)&lt;=INDEX('BASE METAS DIÁRIAS'!$X$2:$Z$358,MATCH($A2490,'BASE METAS DIÁRIAS'!$A$2:$A$358,0),2),INDEX('BASE METAS DIÁRIAS'!$U$2:$W$358,MATCH($A2490,'BASE METAS DIÁRIAS'!$A$2:$A$358,0),2),""),"")</f>
        <v/>
      </c>
      <c r="H2490">
        <f>IFERROR(IF(INDEX('CONTROLE PRODUÇÃO POR EMPRESAS'!$H$6:$J$5000,MATCH($A2490,'CONTROLE PRODUÇÃO POR EMPRESAS'!$A$6:$A$5000,0),2)="","",IFERROR(1*INDEX('CONTROLE PRODUÇÃO POR EMPRESAS'!$H$6:$J$5000,MATCH($A2490,'CONTROLE PRODUÇÃO POR EMPRESAS'!$A$6:$A$5000,0),2),"")),"")</f>
        <v/>
      </c>
      <c r="I2490">
        <f>IF(OR(NOT(ISNUMBER(G2490)),NOT(ISNUMBER(H2490))),"",H2490-G2490)</f>
        <v/>
      </c>
      <c r="J2490">
        <f>IF(OR(NOT(ISNUMBER(G2490)),NOT(ISNUMBER(H2490)),G2490=0),"",I2490/G2490)</f>
        <v/>
      </c>
      <c r="K2490">
        <f>IF(OR(NOT(ISNUMBER(G2490)),NOT(ISNUMBER(H2490)),G2490=0),"",H2490/G2490)</f>
        <v/>
      </c>
      <c r="L2490">
        <f>IF(NOT(ISNUMBER(G2490)),"SEM META",IF(G2490=0,"SEM META",IF(NOT(ISNUMBER(H2490)),"SEM APONTAMENTO",IF(H2490&gt;=G2490,"VERDE",IF(H2490&gt;=G2490*0.9,"AMARELO","VERMELHO")))))</f>
        <v/>
      </c>
    </row>
    <row r="2491">
      <c r="A2491" s="321" t="n">
        <v>46338</v>
      </c>
      <c r="B2491" t="inlineStr">
        <is>
          <t>GERAL</t>
        </is>
      </c>
      <c r="C2491" t="inlineStr">
        <is>
          <t>GLOBO AÇOS</t>
        </is>
      </c>
      <c r="D2491" t="inlineStr">
        <is>
          <t>FECHAMENTO</t>
        </is>
      </c>
      <c r="F2491">
        <f>IFERROR(INDEX('BASE METAS DIÁRIAS'!$AA$2:$AC$358,MATCH($A2491,'BASE METAS DIÁRIAS'!$A$2:$A$358,0),3),"")</f>
        <v/>
      </c>
      <c r="G2491">
        <f>IFERROR(IF(WEEKDAY($A2491,2)&lt;=INDEX('BASE METAS DIÁRIAS'!$X$2:$Z$358,MATCH($A2491,'BASE METAS DIÁRIAS'!$A$2:$A$358,0),3),INDEX('BASE METAS DIÁRIAS'!$U$2:$W$358,MATCH($A2491,'BASE METAS DIÁRIAS'!$A$2:$A$358,0),3),""),"")</f>
        <v/>
      </c>
      <c r="H2491">
        <f>IFERROR(IF(INDEX('CONTROLE PRODUÇÃO POR EMPRESAS'!$H$6:$J$5000,MATCH($A2491,'CONTROLE PRODUÇÃO POR EMPRESAS'!$A$6:$A$5000,0),3)="","",IFERROR(1*INDEX('CONTROLE PRODUÇÃO POR EMPRESAS'!$H$6:$J$5000,MATCH($A2491,'CONTROLE PRODUÇÃO POR EMPRESAS'!$A$6:$A$5000,0),3),"")),"")</f>
        <v/>
      </c>
      <c r="I2491">
        <f>IF(OR(NOT(ISNUMBER(G2491)),NOT(ISNUMBER(H2491))),"",H2491-G2491)</f>
        <v/>
      </c>
      <c r="J2491">
        <f>IF(OR(NOT(ISNUMBER(G2491)),NOT(ISNUMBER(H2491)),G2491=0),"",I2491/G2491)</f>
        <v/>
      </c>
      <c r="K2491">
        <f>IF(OR(NOT(ISNUMBER(G2491)),NOT(ISNUMBER(H2491)),G2491=0),"",H2491/G2491)</f>
        <v/>
      </c>
      <c r="L2491">
        <f>IF(NOT(ISNUMBER(G2491)),"SEM META",IF(G2491=0,"SEM META",IF(NOT(ISNUMBER(H2491)),"SEM APONTAMENTO",IF(H2491&gt;=G2491,"VERDE",IF(H2491&gt;=G2491*0.9,"AMARELO","VERMELHO")))))</f>
        <v/>
      </c>
    </row>
    <row r="2492">
      <c r="A2492" s="321" t="n">
        <v>46339</v>
      </c>
      <c r="B2492" t="inlineStr">
        <is>
          <t>GERAL</t>
        </is>
      </c>
      <c r="C2492" t="inlineStr">
        <is>
          <t>GLOBO AÇOS</t>
        </is>
      </c>
      <c r="D2492" t="inlineStr">
        <is>
          <t>PERFILAÇÃO</t>
        </is>
      </c>
      <c r="F2492">
        <f>IFERROR(INDEX('BASE METAS DIÁRIAS'!$AA$2:$AC$358,MATCH($A2492,'BASE METAS DIÁRIAS'!$A$2:$A$358,0),1),"")</f>
        <v/>
      </c>
      <c r="G2492">
        <f>IFERROR(IF(WEEKDAY($A2492,2)&lt;=INDEX('BASE METAS DIÁRIAS'!$X$2:$Z$358,MATCH($A2492,'BASE METAS DIÁRIAS'!$A$2:$A$358,0),1),INDEX('BASE METAS DIÁRIAS'!$U$2:$W$358,MATCH($A2492,'BASE METAS DIÁRIAS'!$A$2:$A$358,0),1),""),"")</f>
        <v/>
      </c>
      <c r="H2492">
        <f>IFERROR(IF(INDEX('CONTROLE PRODUÇÃO POR EMPRESAS'!$H$6:$J$5000,MATCH($A2492,'CONTROLE PRODUÇÃO POR EMPRESAS'!$A$6:$A$5000,0),1)="","",IFERROR(1*INDEX('CONTROLE PRODUÇÃO POR EMPRESAS'!$H$6:$J$5000,MATCH($A2492,'CONTROLE PRODUÇÃO POR EMPRESAS'!$A$6:$A$5000,0),1),"")),"")</f>
        <v/>
      </c>
      <c r="I2492">
        <f>IF(OR(NOT(ISNUMBER(G2492)),NOT(ISNUMBER(H2492))),"",H2492-G2492)</f>
        <v/>
      </c>
      <c r="J2492">
        <f>IF(OR(NOT(ISNUMBER(G2492)),NOT(ISNUMBER(H2492)),G2492=0),"",I2492/G2492)</f>
        <v/>
      </c>
      <c r="K2492">
        <f>IF(OR(NOT(ISNUMBER(G2492)),NOT(ISNUMBER(H2492)),G2492=0),"",H2492/G2492)</f>
        <v/>
      </c>
      <c r="L2492">
        <f>IF(NOT(ISNUMBER(G2492)),"SEM META",IF(G2492=0,"SEM META",IF(NOT(ISNUMBER(H2492)),"SEM APONTAMENTO",IF(H2492&gt;=G2492,"VERDE",IF(H2492&gt;=G2492*0.9,"AMARELO","VERMELHO")))))</f>
        <v/>
      </c>
    </row>
    <row r="2493">
      <c r="A2493" s="321" t="n">
        <v>46339</v>
      </c>
      <c r="B2493" t="inlineStr">
        <is>
          <t>GERAL</t>
        </is>
      </c>
      <c r="C2493" t="inlineStr">
        <is>
          <t>GLOBO AÇOS</t>
        </is>
      </c>
      <c r="D2493" t="inlineStr">
        <is>
          <t>TELHAR</t>
        </is>
      </c>
      <c r="F2493">
        <f>IFERROR(INDEX('BASE METAS DIÁRIAS'!$AA$2:$AC$358,MATCH($A2493,'BASE METAS DIÁRIAS'!$A$2:$A$358,0),2),"")</f>
        <v/>
      </c>
      <c r="G2493">
        <f>IFERROR(IF(WEEKDAY($A2493,2)&lt;=INDEX('BASE METAS DIÁRIAS'!$X$2:$Z$358,MATCH($A2493,'BASE METAS DIÁRIAS'!$A$2:$A$358,0),2),INDEX('BASE METAS DIÁRIAS'!$U$2:$W$358,MATCH($A2493,'BASE METAS DIÁRIAS'!$A$2:$A$358,0),2),""),"")</f>
        <v/>
      </c>
      <c r="H2493">
        <f>IFERROR(IF(INDEX('CONTROLE PRODUÇÃO POR EMPRESAS'!$H$6:$J$5000,MATCH($A2493,'CONTROLE PRODUÇÃO POR EMPRESAS'!$A$6:$A$5000,0),2)="","",IFERROR(1*INDEX('CONTROLE PRODUÇÃO POR EMPRESAS'!$H$6:$J$5000,MATCH($A2493,'CONTROLE PRODUÇÃO POR EMPRESAS'!$A$6:$A$5000,0),2),"")),"")</f>
        <v/>
      </c>
      <c r="I2493">
        <f>IF(OR(NOT(ISNUMBER(G2493)),NOT(ISNUMBER(H2493))),"",H2493-G2493)</f>
        <v/>
      </c>
      <c r="J2493">
        <f>IF(OR(NOT(ISNUMBER(G2493)),NOT(ISNUMBER(H2493)),G2493=0),"",I2493/G2493)</f>
        <v/>
      </c>
      <c r="K2493">
        <f>IF(OR(NOT(ISNUMBER(G2493)),NOT(ISNUMBER(H2493)),G2493=0),"",H2493/G2493)</f>
        <v/>
      </c>
      <c r="L2493">
        <f>IF(NOT(ISNUMBER(G2493)),"SEM META",IF(G2493=0,"SEM META",IF(NOT(ISNUMBER(H2493)),"SEM APONTAMENTO",IF(H2493&gt;=G2493,"VERDE",IF(H2493&gt;=G2493*0.9,"AMARELO","VERMELHO")))))</f>
        <v/>
      </c>
    </row>
    <row r="2494">
      <c r="A2494" s="321" t="n">
        <v>46339</v>
      </c>
      <c r="B2494" t="inlineStr">
        <is>
          <t>GERAL</t>
        </is>
      </c>
      <c r="C2494" t="inlineStr">
        <is>
          <t>GLOBO AÇOS</t>
        </is>
      </c>
      <c r="D2494" t="inlineStr">
        <is>
          <t>FECHAMENTO</t>
        </is>
      </c>
      <c r="F2494">
        <f>IFERROR(INDEX('BASE METAS DIÁRIAS'!$AA$2:$AC$358,MATCH($A2494,'BASE METAS DIÁRIAS'!$A$2:$A$358,0),3),"")</f>
        <v/>
      </c>
      <c r="G2494">
        <f>IFERROR(IF(WEEKDAY($A2494,2)&lt;=INDEX('BASE METAS DIÁRIAS'!$X$2:$Z$358,MATCH($A2494,'BASE METAS DIÁRIAS'!$A$2:$A$358,0),3),INDEX('BASE METAS DIÁRIAS'!$U$2:$W$358,MATCH($A2494,'BASE METAS DIÁRIAS'!$A$2:$A$358,0),3),""),"")</f>
        <v/>
      </c>
      <c r="H2494">
        <f>IFERROR(IF(INDEX('CONTROLE PRODUÇÃO POR EMPRESAS'!$H$6:$J$5000,MATCH($A2494,'CONTROLE PRODUÇÃO POR EMPRESAS'!$A$6:$A$5000,0),3)="","",IFERROR(1*INDEX('CONTROLE PRODUÇÃO POR EMPRESAS'!$H$6:$J$5000,MATCH($A2494,'CONTROLE PRODUÇÃO POR EMPRESAS'!$A$6:$A$5000,0),3),"")),"")</f>
        <v/>
      </c>
      <c r="I2494">
        <f>IF(OR(NOT(ISNUMBER(G2494)),NOT(ISNUMBER(H2494))),"",H2494-G2494)</f>
        <v/>
      </c>
      <c r="J2494">
        <f>IF(OR(NOT(ISNUMBER(G2494)),NOT(ISNUMBER(H2494)),G2494=0),"",I2494/G2494)</f>
        <v/>
      </c>
      <c r="K2494">
        <f>IF(OR(NOT(ISNUMBER(G2494)),NOT(ISNUMBER(H2494)),G2494=0),"",H2494/G2494)</f>
        <v/>
      </c>
      <c r="L2494">
        <f>IF(NOT(ISNUMBER(G2494)),"SEM META",IF(G2494=0,"SEM META",IF(NOT(ISNUMBER(H2494)),"SEM APONTAMENTO",IF(H2494&gt;=G2494,"VERDE",IF(H2494&gt;=G2494*0.9,"AMARELO","VERMELHO")))))</f>
        <v/>
      </c>
    </row>
    <row r="2495">
      <c r="A2495" s="321" t="n">
        <v>46340</v>
      </c>
      <c r="B2495" t="inlineStr">
        <is>
          <t>GERAL</t>
        </is>
      </c>
      <c r="C2495" t="inlineStr">
        <is>
          <t>GLOBO AÇOS</t>
        </is>
      </c>
      <c r="D2495" t="inlineStr">
        <is>
          <t>PERFILAÇÃO</t>
        </is>
      </c>
      <c r="F2495">
        <f>IFERROR(INDEX('BASE METAS DIÁRIAS'!$AA$2:$AC$358,MATCH($A2495,'BASE METAS DIÁRIAS'!$A$2:$A$358,0),1),"")</f>
        <v/>
      </c>
      <c r="G2495">
        <f>IFERROR(IF(WEEKDAY($A2495,2)&lt;=INDEX('BASE METAS DIÁRIAS'!$X$2:$Z$358,MATCH($A2495,'BASE METAS DIÁRIAS'!$A$2:$A$358,0),1),INDEX('BASE METAS DIÁRIAS'!$U$2:$W$358,MATCH($A2495,'BASE METAS DIÁRIAS'!$A$2:$A$358,0),1),""),"")</f>
        <v/>
      </c>
      <c r="H2495">
        <f>IFERROR(IF(INDEX('CONTROLE PRODUÇÃO POR EMPRESAS'!$H$6:$J$5000,MATCH($A2495,'CONTROLE PRODUÇÃO POR EMPRESAS'!$A$6:$A$5000,0),1)="","",IFERROR(1*INDEX('CONTROLE PRODUÇÃO POR EMPRESAS'!$H$6:$J$5000,MATCH($A2495,'CONTROLE PRODUÇÃO POR EMPRESAS'!$A$6:$A$5000,0),1),"")),"")</f>
        <v/>
      </c>
      <c r="I2495">
        <f>IF(OR(NOT(ISNUMBER(G2495)),NOT(ISNUMBER(H2495))),"",H2495-G2495)</f>
        <v/>
      </c>
      <c r="J2495">
        <f>IF(OR(NOT(ISNUMBER(G2495)),NOT(ISNUMBER(H2495)),G2495=0),"",I2495/G2495)</f>
        <v/>
      </c>
      <c r="K2495">
        <f>IF(OR(NOT(ISNUMBER(G2495)),NOT(ISNUMBER(H2495)),G2495=0),"",H2495/G2495)</f>
        <v/>
      </c>
      <c r="L2495">
        <f>IF(NOT(ISNUMBER(G2495)),"SEM META",IF(G2495=0,"SEM META",IF(NOT(ISNUMBER(H2495)),"SEM APONTAMENTO",IF(H2495&gt;=G2495,"VERDE",IF(H2495&gt;=G2495*0.9,"AMARELO","VERMELHO")))))</f>
        <v/>
      </c>
    </row>
    <row r="2496">
      <c r="A2496" s="321" t="n">
        <v>46340</v>
      </c>
      <c r="B2496" t="inlineStr">
        <is>
          <t>GERAL</t>
        </is>
      </c>
      <c r="C2496" t="inlineStr">
        <is>
          <t>GLOBO AÇOS</t>
        </is>
      </c>
      <c r="D2496" t="inlineStr">
        <is>
          <t>TELHAR</t>
        </is>
      </c>
      <c r="F2496">
        <f>IFERROR(INDEX('BASE METAS DIÁRIAS'!$AA$2:$AC$358,MATCH($A2496,'BASE METAS DIÁRIAS'!$A$2:$A$358,0),2),"")</f>
        <v/>
      </c>
      <c r="G2496">
        <f>IFERROR(IF(WEEKDAY($A2496,2)&lt;=INDEX('BASE METAS DIÁRIAS'!$X$2:$Z$358,MATCH($A2496,'BASE METAS DIÁRIAS'!$A$2:$A$358,0),2),INDEX('BASE METAS DIÁRIAS'!$U$2:$W$358,MATCH($A2496,'BASE METAS DIÁRIAS'!$A$2:$A$358,0),2),""),"")</f>
        <v/>
      </c>
      <c r="H2496">
        <f>IFERROR(IF(INDEX('CONTROLE PRODUÇÃO POR EMPRESAS'!$H$6:$J$5000,MATCH($A2496,'CONTROLE PRODUÇÃO POR EMPRESAS'!$A$6:$A$5000,0),2)="","",IFERROR(1*INDEX('CONTROLE PRODUÇÃO POR EMPRESAS'!$H$6:$J$5000,MATCH($A2496,'CONTROLE PRODUÇÃO POR EMPRESAS'!$A$6:$A$5000,0),2),"")),"")</f>
        <v/>
      </c>
      <c r="I2496">
        <f>IF(OR(NOT(ISNUMBER(G2496)),NOT(ISNUMBER(H2496))),"",H2496-G2496)</f>
        <v/>
      </c>
      <c r="J2496">
        <f>IF(OR(NOT(ISNUMBER(G2496)),NOT(ISNUMBER(H2496)),G2496=0),"",I2496/G2496)</f>
        <v/>
      </c>
      <c r="K2496">
        <f>IF(OR(NOT(ISNUMBER(G2496)),NOT(ISNUMBER(H2496)),G2496=0),"",H2496/G2496)</f>
        <v/>
      </c>
      <c r="L2496">
        <f>IF(NOT(ISNUMBER(G2496)),"SEM META",IF(G2496=0,"SEM META",IF(NOT(ISNUMBER(H2496)),"SEM APONTAMENTO",IF(H2496&gt;=G2496,"VERDE",IF(H2496&gt;=G2496*0.9,"AMARELO","VERMELHO")))))</f>
        <v/>
      </c>
    </row>
    <row r="2497">
      <c r="A2497" s="321" t="n">
        <v>46340</v>
      </c>
      <c r="B2497" t="inlineStr">
        <is>
          <t>GERAL</t>
        </is>
      </c>
      <c r="C2497" t="inlineStr">
        <is>
          <t>GLOBO AÇOS</t>
        </is>
      </c>
      <c r="D2497" t="inlineStr">
        <is>
          <t>FECHAMENTO</t>
        </is>
      </c>
      <c r="F2497">
        <f>IFERROR(INDEX('BASE METAS DIÁRIAS'!$AA$2:$AC$358,MATCH($A2497,'BASE METAS DIÁRIAS'!$A$2:$A$358,0),3),"")</f>
        <v/>
      </c>
      <c r="G2497">
        <f>IFERROR(IF(WEEKDAY($A2497,2)&lt;=INDEX('BASE METAS DIÁRIAS'!$X$2:$Z$358,MATCH($A2497,'BASE METAS DIÁRIAS'!$A$2:$A$358,0),3),INDEX('BASE METAS DIÁRIAS'!$U$2:$W$358,MATCH($A2497,'BASE METAS DIÁRIAS'!$A$2:$A$358,0),3),""),"")</f>
        <v/>
      </c>
      <c r="H2497">
        <f>IFERROR(IF(INDEX('CONTROLE PRODUÇÃO POR EMPRESAS'!$H$6:$J$5000,MATCH($A2497,'CONTROLE PRODUÇÃO POR EMPRESAS'!$A$6:$A$5000,0),3)="","",IFERROR(1*INDEX('CONTROLE PRODUÇÃO POR EMPRESAS'!$H$6:$J$5000,MATCH($A2497,'CONTROLE PRODUÇÃO POR EMPRESAS'!$A$6:$A$5000,0),3),"")),"")</f>
        <v/>
      </c>
      <c r="I2497">
        <f>IF(OR(NOT(ISNUMBER(G2497)),NOT(ISNUMBER(H2497))),"",H2497-G2497)</f>
        <v/>
      </c>
      <c r="J2497">
        <f>IF(OR(NOT(ISNUMBER(G2497)),NOT(ISNUMBER(H2497)),G2497=0),"",I2497/G2497)</f>
        <v/>
      </c>
      <c r="K2497">
        <f>IF(OR(NOT(ISNUMBER(G2497)),NOT(ISNUMBER(H2497)),G2497=0),"",H2497/G2497)</f>
        <v/>
      </c>
      <c r="L2497">
        <f>IF(NOT(ISNUMBER(G2497)),"SEM META",IF(G2497=0,"SEM META",IF(NOT(ISNUMBER(H2497)),"SEM APONTAMENTO",IF(H2497&gt;=G2497,"VERDE",IF(H2497&gt;=G2497*0.9,"AMARELO","VERMELHO")))))</f>
        <v/>
      </c>
    </row>
    <row r="2498">
      <c r="A2498" s="321" t="n">
        <v>46341</v>
      </c>
      <c r="B2498" t="inlineStr">
        <is>
          <t>GERAL</t>
        </is>
      </c>
      <c r="C2498" t="inlineStr">
        <is>
          <t>GLOBO AÇOS</t>
        </is>
      </c>
      <c r="D2498" t="inlineStr">
        <is>
          <t>PERFILAÇÃO</t>
        </is>
      </c>
      <c r="F2498">
        <f>IFERROR(INDEX('BASE METAS DIÁRIAS'!$AA$2:$AC$358,MATCH($A2498,'BASE METAS DIÁRIAS'!$A$2:$A$358,0),1),"")</f>
        <v/>
      </c>
      <c r="G2498">
        <f>IFERROR(IF(WEEKDAY($A2498,2)&lt;=INDEX('BASE METAS DIÁRIAS'!$X$2:$Z$358,MATCH($A2498,'BASE METAS DIÁRIAS'!$A$2:$A$358,0),1),INDEX('BASE METAS DIÁRIAS'!$U$2:$W$358,MATCH($A2498,'BASE METAS DIÁRIAS'!$A$2:$A$358,0),1),""),"")</f>
        <v/>
      </c>
      <c r="H2498">
        <f>IFERROR(IF(INDEX('CONTROLE PRODUÇÃO POR EMPRESAS'!$H$6:$J$5000,MATCH($A2498,'CONTROLE PRODUÇÃO POR EMPRESAS'!$A$6:$A$5000,0),1)="","",IFERROR(1*INDEX('CONTROLE PRODUÇÃO POR EMPRESAS'!$H$6:$J$5000,MATCH($A2498,'CONTROLE PRODUÇÃO POR EMPRESAS'!$A$6:$A$5000,0),1),"")),"")</f>
        <v/>
      </c>
      <c r="I2498">
        <f>IF(OR(NOT(ISNUMBER(G2498)),NOT(ISNUMBER(H2498))),"",H2498-G2498)</f>
        <v/>
      </c>
      <c r="J2498">
        <f>IF(OR(NOT(ISNUMBER(G2498)),NOT(ISNUMBER(H2498)),G2498=0),"",I2498/G2498)</f>
        <v/>
      </c>
      <c r="K2498">
        <f>IF(OR(NOT(ISNUMBER(G2498)),NOT(ISNUMBER(H2498)),G2498=0),"",H2498/G2498)</f>
        <v/>
      </c>
      <c r="L2498">
        <f>IF(NOT(ISNUMBER(G2498)),"SEM META",IF(G2498=0,"SEM META",IF(NOT(ISNUMBER(H2498)),"SEM APONTAMENTO",IF(H2498&gt;=G2498,"VERDE",IF(H2498&gt;=G2498*0.9,"AMARELO","VERMELHO")))))</f>
        <v/>
      </c>
    </row>
    <row r="2499">
      <c r="A2499" s="321" t="n">
        <v>46341</v>
      </c>
      <c r="B2499" t="inlineStr">
        <is>
          <t>GERAL</t>
        </is>
      </c>
      <c r="C2499" t="inlineStr">
        <is>
          <t>GLOBO AÇOS</t>
        </is>
      </c>
      <c r="D2499" t="inlineStr">
        <is>
          <t>TELHAR</t>
        </is>
      </c>
      <c r="F2499">
        <f>IFERROR(INDEX('BASE METAS DIÁRIAS'!$AA$2:$AC$358,MATCH($A2499,'BASE METAS DIÁRIAS'!$A$2:$A$358,0),2),"")</f>
        <v/>
      </c>
      <c r="G2499">
        <f>IFERROR(IF(WEEKDAY($A2499,2)&lt;=INDEX('BASE METAS DIÁRIAS'!$X$2:$Z$358,MATCH($A2499,'BASE METAS DIÁRIAS'!$A$2:$A$358,0),2),INDEX('BASE METAS DIÁRIAS'!$U$2:$W$358,MATCH($A2499,'BASE METAS DIÁRIAS'!$A$2:$A$358,0),2),""),"")</f>
        <v/>
      </c>
      <c r="H2499">
        <f>IFERROR(IF(INDEX('CONTROLE PRODUÇÃO POR EMPRESAS'!$H$6:$J$5000,MATCH($A2499,'CONTROLE PRODUÇÃO POR EMPRESAS'!$A$6:$A$5000,0),2)="","",IFERROR(1*INDEX('CONTROLE PRODUÇÃO POR EMPRESAS'!$H$6:$J$5000,MATCH($A2499,'CONTROLE PRODUÇÃO POR EMPRESAS'!$A$6:$A$5000,0),2),"")),"")</f>
        <v/>
      </c>
      <c r="I2499">
        <f>IF(OR(NOT(ISNUMBER(G2499)),NOT(ISNUMBER(H2499))),"",H2499-G2499)</f>
        <v/>
      </c>
      <c r="J2499">
        <f>IF(OR(NOT(ISNUMBER(G2499)),NOT(ISNUMBER(H2499)),G2499=0),"",I2499/G2499)</f>
        <v/>
      </c>
      <c r="K2499">
        <f>IF(OR(NOT(ISNUMBER(G2499)),NOT(ISNUMBER(H2499)),G2499=0),"",H2499/G2499)</f>
        <v/>
      </c>
      <c r="L2499">
        <f>IF(NOT(ISNUMBER(G2499)),"SEM META",IF(G2499=0,"SEM META",IF(NOT(ISNUMBER(H2499)),"SEM APONTAMENTO",IF(H2499&gt;=G2499,"VERDE",IF(H2499&gt;=G2499*0.9,"AMARELO","VERMELHO")))))</f>
        <v/>
      </c>
    </row>
    <row r="2500">
      <c r="A2500" s="321" t="n">
        <v>46341</v>
      </c>
      <c r="B2500" t="inlineStr">
        <is>
          <t>GERAL</t>
        </is>
      </c>
      <c r="C2500" t="inlineStr">
        <is>
          <t>GLOBO AÇOS</t>
        </is>
      </c>
      <c r="D2500" t="inlineStr">
        <is>
          <t>FECHAMENTO</t>
        </is>
      </c>
      <c r="F2500">
        <f>IFERROR(INDEX('BASE METAS DIÁRIAS'!$AA$2:$AC$358,MATCH($A2500,'BASE METAS DIÁRIAS'!$A$2:$A$358,0),3),"")</f>
        <v/>
      </c>
      <c r="G2500">
        <f>IFERROR(IF(WEEKDAY($A2500,2)&lt;=INDEX('BASE METAS DIÁRIAS'!$X$2:$Z$358,MATCH($A2500,'BASE METAS DIÁRIAS'!$A$2:$A$358,0),3),INDEX('BASE METAS DIÁRIAS'!$U$2:$W$358,MATCH($A2500,'BASE METAS DIÁRIAS'!$A$2:$A$358,0),3),""),"")</f>
        <v/>
      </c>
      <c r="H2500">
        <f>IFERROR(IF(INDEX('CONTROLE PRODUÇÃO POR EMPRESAS'!$H$6:$J$5000,MATCH($A2500,'CONTROLE PRODUÇÃO POR EMPRESAS'!$A$6:$A$5000,0),3)="","",IFERROR(1*INDEX('CONTROLE PRODUÇÃO POR EMPRESAS'!$H$6:$J$5000,MATCH($A2500,'CONTROLE PRODUÇÃO POR EMPRESAS'!$A$6:$A$5000,0),3),"")),"")</f>
        <v/>
      </c>
      <c r="I2500">
        <f>IF(OR(NOT(ISNUMBER(G2500)),NOT(ISNUMBER(H2500))),"",H2500-G2500)</f>
        <v/>
      </c>
      <c r="J2500">
        <f>IF(OR(NOT(ISNUMBER(G2500)),NOT(ISNUMBER(H2500)),G2500=0),"",I2500/G2500)</f>
        <v/>
      </c>
      <c r="K2500">
        <f>IF(OR(NOT(ISNUMBER(G2500)),NOT(ISNUMBER(H2500)),G2500=0),"",H2500/G2500)</f>
        <v/>
      </c>
      <c r="L2500">
        <f>IF(NOT(ISNUMBER(G2500)),"SEM META",IF(G2500=0,"SEM META",IF(NOT(ISNUMBER(H2500)),"SEM APONTAMENTO",IF(H2500&gt;=G2500,"VERDE",IF(H2500&gt;=G2500*0.9,"AMARELO","VERMELHO")))))</f>
        <v/>
      </c>
    </row>
    <row r="2501">
      <c r="A2501" s="321" t="n">
        <v>46342</v>
      </c>
      <c r="B2501" t="inlineStr">
        <is>
          <t>GERAL</t>
        </is>
      </c>
      <c r="C2501" t="inlineStr">
        <is>
          <t>GLOBO AÇOS</t>
        </is>
      </c>
      <c r="D2501" t="inlineStr">
        <is>
          <t>PERFILAÇÃO</t>
        </is>
      </c>
      <c r="F2501">
        <f>IFERROR(INDEX('BASE METAS DIÁRIAS'!$AA$2:$AC$358,MATCH($A2501,'BASE METAS DIÁRIAS'!$A$2:$A$358,0),1),"")</f>
        <v/>
      </c>
      <c r="G2501">
        <f>IFERROR(IF(WEEKDAY($A2501,2)&lt;=INDEX('BASE METAS DIÁRIAS'!$X$2:$Z$358,MATCH($A2501,'BASE METAS DIÁRIAS'!$A$2:$A$358,0),1),INDEX('BASE METAS DIÁRIAS'!$U$2:$W$358,MATCH($A2501,'BASE METAS DIÁRIAS'!$A$2:$A$358,0),1),""),"")</f>
        <v/>
      </c>
      <c r="H2501">
        <f>IFERROR(IF(INDEX('CONTROLE PRODUÇÃO POR EMPRESAS'!$H$6:$J$5000,MATCH($A2501,'CONTROLE PRODUÇÃO POR EMPRESAS'!$A$6:$A$5000,0),1)="","",IFERROR(1*INDEX('CONTROLE PRODUÇÃO POR EMPRESAS'!$H$6:$J$5000,MATCH($A2501,'CONTROLE PRODUÇÃO POR EMPRESAS'!$A$6:$A$5000,0),1),"")),"")</f>
        <v/>
      </c>
      <c r="I2501">
        <f>IF(OR(NOT(ISNUMBER(G2501)),NOT(ISNUMBER(H2501))),"",H2501-G2501)</f>
        <v/>
      </c>
      <c r="J2501">
        <f>IF(OR(NOT(ISNUMBER(G2501)),NOT(ISNUMBER(H2501)),G2501=0),"",I2501/G2501)</f>
        <v/>
      </c>
      <c r="K2501">
        <f>IF(OR(NOT(ISNUMBER(G2501)),NOT(ISNUMBER(H2501)),G2501=0),"",H2501/G2501)</f>
        <v/>
      </c>
      <c r="L2501">
        <f>IF(NOT(ISNUMBER(G2501)),"SEM META",IF(G2501=0,"SEM META",IF(NOT(ISNUMBER(H2501)),"SEM APONTAMENTO",IF(H2501&gt;=G2501,"VERDE",IF(H2501&gt;=G2501*0.9,"AMARELO","VERMELHO")))))</f>
        <v/>
      </c>
    </row>
    <row r="2502">
      <c r="A2502" s="321" t="n">
        <v>46342</v>
      </c>
      <c r="B2502" t="inlineStr">
        <is>
          <t>GERAL</t>
        </is>
      </c>
      <c r="C2502" t="inlineStr">
        <is>
          <t>GLOBO AÇOS</t>
        </is>
      </c>
      <c r="D2502" t="inlineStr">
        <is>
          <t>TELHAR</t>
        </is>
      </c>
      <c r="F2502">
        <f>IFERROR(INDEX('BASE METAS DIÁRIAS'!$AA$2:$AC$358,MATCH($A2502,'BASE METAS DIÁRIAS'!$A$2:$A$358,0),2),"")</f>
        <v/>
      </c>
      <c r="G2502">
        <f>IFERROR(IF(WEEKDAY($A2502,2)&lt;=INDEX('BASE METAS DIÁRIAS'!$X$2:$Z$358,MATCH($A2502,'BASE METAS DIÁRIAS'!$A$2:$A$358,0),2),INDEX('BASE METAS DIÁRIAS'!$U$2:$W$358,MATCH($A2502,'BASE METAS DIÁRIAS'!$A$2:$A$358,0),2),""),"")</f>
        <v/>
      </c>
      <c r="H2502">
        <f>IFERROR(IF(INDEX('CONTROLE PRODUÇÃO POR EMPRESAS'!$H$6:$J$5000,MATCH($A2502,'CONTROLE PRODUÇÃO POR EMPRESAS'!$A$6:$A$5000,0),2)="","",IFERROR(1*INDEX('CONTROLE PRODUÇÃO POR EMPRESAS'!$H$6:$J$5000,MATCH($A2502,'CONTROLE PRODUÇÃO POR EMPRESAS'!$A$6:$A$5000,0),2),"")),"")</f>
        <v/>
      </c>
      <c r="I2502">
        <f>IF(OR(NOT(ISNUMBER(G2502)),NOT(ISNUMBER(H2502))),"",H2502-G2502)</f>
        <v/>
      </c>
      <c r="J2502">
        <f>IF(OR(NOT(ISNUMBER(G2502)),NOT(ISNUMBER(H2502)),G2502=0),"",I2502/G2502)</f>
        <v/>
      </c>
      <c r="K2502">
        <f>IF(OR(NOT(ISNUMBER(G2502)),NOT(ISNUMBER(H2502)),G2502=0),"",H2502/G2502)</f>
        <v/>
      </c>
      <c r="L2502">
        <f>IF(NOT(ISNUMBER(G2502)),"SEM META",IF(G2502=0,"SEM META",IF(NOT(ISNUMBER(H2502)),"SEM APONTAMENTO",IF(H2502&gt;=G2502,"VERDE",IF(H2502&gt;=G2502*0.9,"AMARELO","VERMELHO")))))</f>
        <v/>
      </c>
    </row>
    <row r="2503">
      <c r="A2503" s="321" t="n">
        <v>46342</v>
      </c>
      <c r="B2503" t="inlineStr">
        <is>
          <t>GERAL</t>
        </is>
      </c>
      <c r="C2503" t="inlineStr">
        <is>
          <t>GLOBO AÇOS</t>
        </is>
      </c>
      <c r="D2503" t="inlineStr">
        <is>
          <t>FECHAMENTO</t>
        </is>
      </c>
      <c r="F2503">
        <f>IFERROR(INDEX('BASE METAS DIÁRIAS'!$AA$2:$AC$358,MATCH($A2503,'BASE METAS DIÁRIAS'!$A$2:$A$358,0),3),"")</f>
        <v/>
      </c>
      <c r="G2503">
        <f>IFERROR(IF(WEEKDAY($A2503,2)&lt;=INDEX('BASE METAS DIÁRIAS'!$X$2:$Z$358,MATCH($A2503,'BASE METAS DIÁRIAS'!$A$2:$A$358,0),3),INDEX('BASE METAS DIÁRIAS'!$U$2:$W$358,MATCH($A2503,'BASE METAS DIÁRIAS'!$A$2:$A$358,0),3),""),"")</f>
        <v/>
      </c>
      <c r="H2503">
        <f>IFERROR(IF(INDEX('CONTROLE PRODUÇÃO POR EMPRESAS'!$H$6:$J$5000,MATCH($A2503,'CONTROLE PRODUÇÃO POR EMPRESAS'!$A$6:$A$5000,0),3)="","",IFERROR(1*INDEX('CONTROLE PRODUÇÃO POR EMPRESAS'!$H$6:$J$5000,MATCH($A2503,'CONTROLE PRODUÇÃO POR EMPRESAS'!$A$6:$A$5000,0),3),"")),"")</f>
        <v/>
      </c>
      <c r="I2503">
        <f>IF(OR(NOT(ISNUMBER(G2503)),NOT(ISNUMBER(H2503))),"",H2503-G2503)</f>
        <v/>
      </c>
      <c r="J2503">
        <f>IF(OR(NOT(ISNUMBER(G2503)),NOT(ISNUMBER(H2503)),G2503=0),"",I2503/G2503)</f>
        <v/>
      </c>
      <c r="K2503">
        <f>IF(OR(NOT(ISNUMBER(G2503)),NOT(ISNUMBER(H2503)),G2503=0),"",H2503/G2503)</f>
        <v/>
      </c>
      <c r="L2503">
        <f>IF(NOT(ISNUMBER(G2503)),"SEM META",IF(G2503=0,"SEM META",IF(NOT(ISNUMBER(H2503)),"SEM APONTAMENTO",IF(H2503&gt;=G2503,"VERDE",IF(H2503&gt;=G2503*0.9,"AMARELO","VERMELHO")))))</f>
        <v/>
      </c>
    </row>
    <row r="2504">
      <c r="A2504" s="321" t="n">
        <v>46343</v>
      </c>
      <c r="B2504" t="inlineStr">
        <is>
          <t>GERAL</t>
        </is>
      </c>
      <c r="C2504" t="inlineStr">
        <is>
          <t>GLOBO AÇOS</t>
        </is>
      </c>
      <c r="D2504" t="inlineStr">
        <is>
          <t>PERFILAÇÃO</t>
        </is>
      </c>
      <c r="F2504">
        <f>IFERROR(INDEX('BASE METAS DIÁRIAS'!$AA$2:$AC$358,MATCH($A2504,'BASE METAS DIÁRIAS'!$A$2:$A$358,0),1),"")</f>
        <v/>
      </c>
      <c r="G2504">
        <f>IFERROR(IF(WEEKDAY($A2504,2)&lt;=INDEX('BASE METAS DIÁRIAS'!$X$2:$Z$358,MATCH($A2504,'BASE METAS DIÁRIAS'!$A$2:$A$358,0),1),INDEX('BASE METAS DIÁRIAS'!$U$2:$W$358,MATCH($A2504,'BASE METAS DIÁRIAS'!$A$2:$A$358,0),1),""),"")</f>
        <v/>
      </c>
      <c r="H2504">
        <f>IFERROR(IF(INDEX('CONTROLE PRODUÇÃO POR EMPRESAS'!$H$6:$J$5000,MATCH($A2504,'CONTROLE PRODUÇÃO POR EMPRESAS'!$A$6:$A$5000,0),1)="","",IFERROR(1*INDEX('CONTROLE PRODUÇÃO POR EMPRESAS'!$H$6:$J$5000,MATCH($A2504,'CONTROLE PRODUÇÃO POR EMPRESAS'!$A$6:$A$5000,0),1),"")),"")</f>
        <v/>
      </c>
      <c r="I2504">
        <f>IF(OR(NOT(ISNUMBER(G2504)),NOT(ISNUMBER(H2504))),"",H2504-G2504)</f>
        <v/>
      </c>
      <c r="J2504">
        <f>IF(OR(NOT(ISNUMBER(G2504)),NOT(ISNUMBER(H2504)),G2504=0),"",I2504/G2504)</f>
        <v/>
      </c>
      <c r="K2504">
        <f>IF(OR(NOT(ISNUMBER(G2504)),NOT(ISNUMBER(H2504)),G2504=0),"",H2504/G2504)</f>
        <v/>
      </c>
      <c r="L2504">
        <f>IF(NOT(ISNUMBER(G2504)),"SEM META",IF(G2504=0,"SEM META",IF(NOT(ISNUMBER(H2504)),"SEM APONTAMENTO",IF(H2504&gt;=G2504,"VERDE",IF(H2504&gt;=G2504*0.9,"AMARELO","VERMELHO")))))</f>
        <v/>
      </c>
    </row>
    <row r="2505">
      <c r="A2505" s="321" t="n">
        <v>46343</v>
      </c>
      <c r="B2505" t="inlineStr">
        <is>
          <t>GERAL</t>
        </is>
      </c>
      <c r="C2505" t="inlineStr">
        <is>
          <t>GLOBO AÇOS</t>
        </is>
      </c>
      <c r="D2505" t="inlineStr">
        <is>
          <t>TELHAR</t>
        </is>
      </c>
      <c r="F2505">
        <f>IFERROR(INDEX('BASE METAS DIÁRIAS'!$AA$2:$AC$358,MATCH($A2505,'BASE METAS DIÁRIAS'!$A$2:$A$358,0),2),"")</f>
        <v/>
      </c>
      <c r="G2505">
        <f>IFERROR(IF(WEEKDAY($A2505,2)&lt;=INDEX('BASE METAS DIÁRIAS'!$X$2:$Z$358,MATCH($A2505,'BASE METAS DIÁRIAS'!$A$2:$A$358,0),2),INDEX('BASE METAS DIÁRIAS'!$U$2:$W$358,MATCH($A2505,'BASE METAS DIÁRIAS'!$A$2:$A$358,0),2),""),"")</f>
        <v/>
      </c>
      <c r="H2505">
        <f>IFERROR(IF(INDEX('CONTROLE PRODUÇÃO POR EMPRESAS'!$H$6:$J$5000,MATCH($A2505,'CONTROLE PRODUÇÃO POR EMPRESAS'!$A$6:$A$5000,0),2)="","",IFERROR(1*INDEX('CONTROLE PRODUÇÃO POR EMPRESAS'!$H$6:$J$5000,MATCH($A2505,'CONTROLE PRODUÇÃO POR EMPRESAS'!$A$6:$A$5000,0),2),"")),"")</f>
        <v/>
      </c>
      <c r="I2505">
        <f>IF(OR(NOT(ISNUMBER(G2505)),NOT(ISNUMBER(H2505))),"",H2505-G2505)</f>
        <v/>
      </c>
      <c r="J2505">
        <f>IF(OR(NOT(ISNUMBER(G2505)),NOT(ISNUMBER(H2505)),G2505=0),"",I2505/G2505)</f>
        <v/>
      </c>
      <c r="K2505">
        <f>IF(OR(NOT(ISNUMBER(G2505)),NOT(ISNUMBER(H2505)),G2505=0),"",H2505/G2505)</f>
        <v/>
      </c>
      <c r="L2505">
        <f>IF(NOT(ISNUMBER(G2505)),"SEM META",IF(G2505=0,"SEM META",IF(NOT(ISNUMBER(H2505)),"SEM APONTAMENTO",IF(H2505&gt;=G2505,"VERDE",IF(H2505&gt;=G2505*0.9,"AMARELO","VERMELHO")))))</f>
        <v/>
      </c>
    </row>
    <row r="2506">
      <c r="A2506" s="321" t="n">
        <v>46343</v>
      </c>
      <c r="B2506" t="inlineStr">
        <is>
          <t>GERAL</t>
        </is>
      </c>
      <c r="C2506" t="inlineStr">
        <is>
          <t>GLOBO AÇOS</t>
        </is>
      </c>
      <c r="D2506" t="inlineStr">
        <is>
          <t>FECHAMENTO</t>
        </is>
      </c>
      <c r="F2506">
        <f>IFERROR(INDEX('BASE METAS DIÁRIAS'!$AA$2:$AC$358,MATCH($A2506,'BASE METAS DIÁRIAS'!$A$2:$A$358,0),3),"")</f>
        <v/>
      </c>
      <c r="G2506">
        <f>IFERROR(IF(WEEKDAY($A2506,2)&lt;=INDEX('BASE METAS DIÁRIAS'!$X$2:$Z$358,MATCH($A2506,'BASE METAS DIÁRIAS'!$A$2:$A$358,0),3),INDEX('BASE METAS DIÁRIAS'!$U$2:$W$358,MATCH($A2506,'BASE METAS DIÁRIAS'!$A$2:$A$358,0),3),""),"")</f>
        <v/>
      </c>
      <c r="H2506">
        <f>IFERROR(IF(INDEX('CONTROLE PRODUÇÃO POR EMPRESAS'!$H$6:$J$5000,MATCH($A2506,'CONTROLE PRODUÇÃO POR EMPRESAS'!$A$6:$A$5000,0),3)="","",IFERROR(1*INDEX('CONTROLE PRODUÇÃO POR EMPRESAS'!$H$6:$J$5000,MATCH($A2506,'CONTROLE PRODUÇÃO POR EMPRESAS'!$A$6:$A$5000,0),3),"")),"")</f>
        <v/>
      </c>
      <c r="I2506">
        <f>IF(OR(NOT(ISNUMBER(G2506)),NOT(ISNUMBER(H2506))),"",H2506-G2506)</f>
        <v/>
      </c>
      <c r="J2506">
        <f>IF(OR(NOT(ISNUMBER(G2506)),NOT(ISNUMBER(H2506)),G2506=0),"",I2506/G2506)</f>
        <v/>
      </c>
      <c r="K2506">
        <f>IF(OR(NOT(ISNUMBER(G2506)),NOT(ISNUMBER(H2506)),G2506=0),"",H2506/G2506)</f>
        <v/>
      </c>
      <c r="L2506">
        <f>IF(NOT(ISNUMBER(G2506)),"SEM META",IF(G2506=0,"SEM META",IF(NOT(ISNUMBER(H2506)),"SEM APONTAMENTO",IF(H2506&gt;=G2506,"VERDE",IF(H2506&gt;=G2506*0.9,"AMARELO","VERMELHO")))))</f>
        <v/>
      </c>
    </row>
    <row r="2507">
      <c r="A2507" s="321" t="n">
        <v>46344</v>
      </c>
      <c r="B2507" t="inlineStr">
        <is>
          <t>GERAL</t>
        </is>
      </c>
      <c r="C2507" t="inlineStr">
        <is>
          <t>GLOBO AÇOS</t>
        </is>
      </c>
      <c r="D2507" t="inlineStr">
        <is>
          <t>PERFILAÇÃO</t>
        </is>
      </c>
      <c r="F2507">
        <f>IFERROR(INDEX('BASE METAS DIÁRIAS'!$AA$2:$AC$358,MATCH($A2507,'BASE METAS DIÁRIAS'!$A$2:$A$358,0),1),"")</f>
        <v/>
      </c>
      <c r="G2507">
        <f>IFERROR(IF(WEEKDAY($A2507,2)&lt;=INDEX('BASE METAS DIÁRIAS'!$X$2:$Z$358,MATCH($A2507,'BASE METAS DIÁRIAS'!$A$2:$A$358,0),1),INDEX('BASE METAS DIÁRIAS'!$U$2:$W$358,MATCH($A2507,'BASE METAS DIÁRIAS'!$A$2:$A$358,0),1),""),"")</f>
        <v/>
      </c>
      <c r="H2507">
        <f>IFERROR(IF(INDEX('CONTROLE PRODUÇÃO POR EMPRESAS'!$H$6:$J$5000,MATCH($A2507,'CONTROLE PRODUÇÃO POR EMPRESAS'!$A$6:$A$5000,0),1)="","",IFERROR(1*INDEX('CONTROLE PRODUÇÃO POR EMPRESAS'!$H$6:$J$5000,MATCH($A2507,'CONTROLE PRODUÇÃO POR EMPRESAS'!$A$6:$A$5000,0),1),"")),"")</f>
        <v/>
      </c>
      <c r="I2507">
        <f>IF(OR(NOT(ISNUMBER(G2507)),NOT(ISNUMBER(H2507))),"",H2507-G2507)</f>
        <v/>
      </c>
      <c r="J2507">
        <f>IF(OR(NOT(ISNUMBER(G2507)),NOT(ISNUMBER(H2507)),G2507=0),"",I2507/G2507)</f>
        <v/>
      </c>
      <c r="K2507">
        <f>IF(OR(NOT(ISNUMBER(G2507)),NOT(ISNUMBER(H2507)),G2507=0),"",H2507/G2507)</f>
        <v/>
      </c>
      <c r="L2507">
        <f>IF(NOT(ISNUMBER(G2507)),"SEM META",IF(G2507=0,"SEM META",IF(NOT(ISNUMBER(H2507)),"SEM APONTAMENTO",IF(H2507&gt;=G2507,"VERDE",IF(H2507&gt;=G2507*0.9,"AMARELO","VERMELHO")))))</f>
        <v/>
      </c>
    </row>
    <row r="2508">
      <c r="A2508" s="321" t="n">
        <v>46344</v>
      </c>
      <c r="B2508" t="inlineStr">
        <is>
          <t>GERAL</t>
        </is>
      </c>
      <c r="C2508" t="inlineStr">
        <is>
          <t>GLOBO AÇOS</t>
        </is>
      </c>
      <c r="D2508" t="inlineStr">
        <is>
          <t>TELHAR</t>
        </is>
      </c>
      <c r="F2508">
        <f>IFERROR(INDEX('BASE METAS DIÁRIAS'!$AA$2:$AC$358,MATCH($A2508,'BASE METAS DIÁRIAS'!$A$2:$A$358,0),2),"")</f>
        <v/>
      </c>
      <c r="G2508">
        <f>IFERROR(IF(WEEKDAY($A2508,2)&lt;=INDEX('BASE METAS DIÁRIAS'!$X$2:$Z$358,MATCH($A2508,'BASE METAS DIÁRIAS'!$A$2:$A$358,0),2),INDEX('BASE METAS DIÁRIAS'!$U$2:$W$358,MATCH($A2508,'BASE METAS DIÁRIAS'!$A$2:$A$358,0),2),""),"")</f>
        <v/>
      </c>
      <c r="H2508">
        <f>IFERROR(IF(INDEX('CONTROLE PRODUÇÃO POR EMPRESAS'!$H$6:$J$5000,MATCH($A2508,'CONTROLE PRODUÇÃO POR EMPRESAS'!$A$6:$A$5000,0),2)="","",IFERROR(1*INDEX('CONTROLE PRODUÇÃO POR EMPRESAS'!$H$6:$J$5000,MATCH($A2508,'CONTROLE PRODUÇÃO POR EMPRESAS'!$A$6:$A$5000,0),2),"")),"")</f>
        <v/>
      </c>
      <c r="I2508">
        <f>IF(OR(NOT(ISNUMBER(G2508)),NOT(ISNUMBER(H2508))),"",H2508-G2508)</f>
        <v/>
      </c>
      <c r="J2508">
        <f>IF(OR(NOT(ISNUMBER(G2508)),NOT(ISNUMBER(H2508)),G2508=0),"",I2508/G2508)</f>
        <v/>
      </c>
      <c r="K2508">
        <f>IF(OR(NOT(ISNUMBER(G2508)),NOT(ISNUMBER(H2508)),G2508=0),"",H2508/G2508)</f>
        <v/>
      </c>
      <c r="L2508">
        <f>IF(NOT(ISNUMBER(G2508)),"SEM META",IF(G2508=0,"SEM META",IF(NOT(ISNUMBER(H2508)),"SEM APONTAMENTO",IF(H2508&gt;=G2508,"VERDE",IF(H2508&gt;=G2508*0.9,"AMARELO","VERMELHO")))))</f>
        <v/>
      </c>
    </row>
    <row r="2509">
      <c r="A2509" s="321" t="n">
        <v>46344</v>
      </c>
      <c r="B2509" t="inlineStr">
        <is>
          <t>GERAL</t>
        </is>
      </c>
      <c r="C2509" t="inlineStr">
        <is>
          <t>GLOBO AÇOS</t>
        </is>
      </c>
      <c r="D2509" t="inlineStr">
        <is>
          <t>FECHAMENTO</t>
        </is>
      </c>
      <c r="F2509">
        <f>IFERROR(INDEX('BASE METAS DIÁRIAS'!$AA$2:$AC$358,MATCH($A2509,'BASE METAS DIÁRIAS'!$A$2:$A$358,0),3),"")</f>
        <v/>
      </c>
      <c r="G2509">
        <f>IFERROR(IF(WEEKDAY($A2509,2)&lt;=INDEX('BASE METAS DIÁRIAS'!$X$2:$Z$358,MATCH($A2509,'BASE METAS DIÁRIAS'!$A$2:$A$358,0),3),INDEX('BASE METAS DIÁRIAS'!$U$2:$W$358,MATCH($A2509,'BASE METAS DIÁRIAS'!$A$2:$A$358,0),3),""),"")</f>
        <v/>
      </c>
      <c r="H2509">
        <f>IFERROR(IF(INDEX('CONTROLE PRODUÇÃO POR EMPRESAS'!$H$6:$J$5000,MATCH($A2509,'CONTROLE PRODUÇÃO POR EMPRESAS'!$A$6:$A$5000,0),3)="","",IFERROR(1*INDEX('CONTROLE PRODUÇÃO POR EMPRESAS'!$H$6:$J$5000,MATCH($A2509,'CONTROLE PRODUÇÃO POR EMPRESAS'!$A$6:$A$5000,0),3),"")),"")</f>
        <v/>
      </c>
      <c r="I2509">
        <f>IF(OR(NOT(ISNUMBER(G2509)),NOT(ISNUMBER(H2509))),"",H2509-G2509)</f>
        <v/>
      </c>
      <c r="J2509">
        <f>IF(OR(NOT(ISNUMBER(G2509)),NOT(ISNUMBER(H2509)),G2509=0),"",I2509/G2509)</f>
        <v/>
      </c>
      <c r="K2509">
        <f>IF(OR(NOT(ISNUMBER(G2509)),NOT(ISNUMBER(H2509)),G2509=0),"",H2509/G2509)</f>
        <v/>
      </c>
      <c r="L2509">
        <f>IF(NOT(ISNUMBER(G2509)),"SEM META",IF(G2509=0,"SEM META",IF(NOT(ISNUMBER(H2509)),"SEM APONTAMENTO",IF(H2509&gt;=G2509,"VERDE",IF(H2509&gt;=G2509*0.9,"AMARELO","VERMELHO")))))</f>
        <v/>
      </c>
    </row>
    <row r="2510">
      <c r="A2510" s="321" t="n">
        <v>46345</v>
      </c>
      <c r="B2510" t="inlineStr">
        <is>
          <t>GERAL</t>
        </is>
      </c>
      <c r="C2510" t="inlineStr">
        <is>
          <t>GLOBO AÇOS</t>
        </is>
      </c>
      <c r="D2510" t="inlineStr">
        <is>
          <t>PERFILAÇÃO</t>
        </is>
      </c>
      <c r="F2510">
        <f>IFERROR(INDEX('BASE METAS DIÁRIAS'!$AA$2:$AC$358,MATCH($A2510,'BASE METAS DIÁRIAS'!$A$2:$A$358,0),1),"")</f>
        <v/>
      </c>
      <c r="G2510">
        <f>IFERROR(IF(WEEKDAY($A2510,2)&lt;=INDEX('BASE METAS DIÁRIAS'!$X$2:$Z$358,MATCH($A2510,'BASE METAS DIÁRIAS'!$A$2:$A$358,0),1),INDEX('BASE METAS DIÁRIAS'!$U$2:$W$358,MATCH($A2510,'BASE METAS DIÁRIAS'!$A$2:$A$358,0),1),""),"")</f>
        <v/>
      </c>
      <c r="H2510">
        <f>IFERROR(IF(INDEX('CONTROLE PRODUÇÃO POR EMPRESAS'!$H$6:$J$5000,MATCH($A2510,'CONTROLE PRODUÇÃO POR EMPRESAS'!$A$6:$A$5000,0),1)="","",IFERROR(1*INDEX('CONTROLE PRODUÇÃO POR EMPRESAS'!$H$6:$J$5000,MATCH($A2510,'CONTROLE PRODUÇÃO POR EMPRESAS'!$A$6:$A$5000,0),1),"")),"")</f>
        <v/>
      </c>
      <c r="I2510">
        <f>IF(OR(NOT(ISNUMBER(G2510)),NOT(ISNUMBER(H2510))),"",H2510-G2510)</f>
        <v/>
      </c>
      <c r="J2510">
        <f>IF(OR(NOT(ISNUMBER(G2510)),NOT(ISNUMBER(H2510)),G2510=0),"",I2510/G2510)</f>
        <v/>
      </c>
      <c r="K2510">
        <f>IF(OR(NOT(ISNUMBER(G2510)),NOT(ISNUMBER(H2510)),G2510=0),"",H2510/G2510)</f>
        <v/>
      </c>
      <c r="L2510">
        <f>IF(NOT(ISNUMBER(G2510)),"SEM META",IF(G2510=0,"SEM META",IF(NOT(ISNUMBER(H2510)),"SEM APONTAMENTO",IF(H2510&gt;=G2510,"VERDE",IF(H2510&gt;=G2510*0.9,"AMARELO","VERMELHO")))))</f>
        <v/>
      </c>
    </row>
    <row r="2511">
      <c r="A2511" s="321" t="n">
        <v>46345</v>
      </c>
      <c r="B2511" t="inlineStr">
        <is>
          <t>GERAL</t>
        </is>
      </c>
      <c r="C2511" t="inlineStr">
        <is>
          <t>GLOBO AÇOS</t>
        </is>
      </c>
      <c r="D2511" t="inlineStr">
        <is>
          <t>TELHAR</t>
        </is>
      </c>
      <c r="F2511">
        <f>IFERROR(INDEX('BASE METAS DIÁRIAS'!$AA$2:$AC$358,MATCH($A2511,'BASE METAS DIÁRIAS'!$A$2:$A$358,0),2),"")</f>
        <v/>
      </c>
      <c r="G2511">
        <f>IFERROR(IF(WEEKDAY($A2511,2)&lt;=INDEX('BASE METAS DIÁRIAS'!$X$2:$Z$358,MATCH($A2511,'BASE METAS DIÁRIAS'!$A$2:$A$358,0),2),INDEX('BASE METAS DIÁRIAS'!$U$2:$W$358,MATCH($A2511,'BASE METAS DIÁRIAS'!$A$2:$A$358,0),2),""),"")</f>
        <v/>
      </c>
      <c r="H2511">
        <f>IFERROR(IF(INDEX('CONTROLE PRODUÇÃO POR EMPRESAS'!$H$6:$J$5000,MATCH($A2511,'CONTROLE PRODUÇÃO POR EMPRESAS'!$A$6:$A$5000,0),2)="","",IFERROR(1*INDEX('CONTROLE PRODUÇÃO POR EMPRESAS'!$H$6:$J$5000,MATCH($A2511,'CONTROLE PRODUÇÃO POR EMPRESAS'!$A$6:$A$5000,0),2),"")),"")</f>
        <v/>
      </c>
      <c r="I2511">
        <f>IF(OR(NOT(ISNUMBER(G2511)),NOT(ISNUMBER(H2511))),"",H2511-G2511)</f>
        <v/>
      </c>
      <c r="J2511">
        <f>IF(OR(NOT(ISNUMBER(G2511)),NOT(ISNUMBER(H2511)),G2511=0),"",I2511/G2511)</f>
        <v/>
      </c>
      <c r="K2511">
        <f>IF(OR(NOT(ISNUMBER(G2511)),NOT(ISNUMBER(H2511)),G2511=0),"",H2511/G2511)</f>
        <v/>
      </c>
      <c r="L2511">
        <f>IF(NOT(ISNUMBER(G2511)),"SEM META",IF(G2511=0,"SEM META",IF(NOT(ISNUMBER(H2511)),"SEM APONTAMENTO",IF(H2511&gt;=G2511,"VERDE",IF(H2511&gt;=G2511*0.9,"AMARELO","VERMELHO")))))</f>
        <v/>
      </c>
    </row>
    <row r="2512">
      <c r="A2512" s="321" t="n">
        <v>46345</v>
      </c>
      <c r="B2512" t="inlineStr">
        <is>
          <t>GERAL</t>
        </is>
      </c>
      <c r="C2512" t="inlineStr">
        <is>
          <t>GLOBO AÇOS</t>
        </is>
      </c>
      <c r="D2512" t="inlineStr">
        <is>
          <t>FECHAMENTO</t>
        </is>
      </c>
      <c r="F2512">
        <f>IFERROR(INDEX('BASE METAS DIÁRIAS'!$AA$2:$AC$358,MATCH($A2512,'BASE METAS DIÁRIAS'!$A$2:$A$358,0),3),"")</f>
        <v/>
      </c>
      <c r="G2512">
        <f>IFERROR(IF(WEEKDAY($A2512,2)&lt;=INDEX('BASE METAS DIÁRIAS'!$X$2:$Z$358,MATCH($A2512,'BASE METAS DIÁRIAS'!$A$2:$A$358,0),3),INDEX('BASE METAS DIÁRIAS'!$U$2:$W$358,MATCH($A2512,'BASE METAS DIÁRIAS'!$A$2:$A$358,0),3),""),"")</f>
        <v/>
      </c>
      <c r="H2512">
        <f>IFERROR(IF(INDEX('CONTROLE PRODUÇÃO POR EMPRESAS'!$H$6:$J$5000,MATCH($A2512,'CONTROLE PRODUÇÃO POR EMPRESAS'!$A$6:$A$5000,0),3)="","",IFERROR(1*INDEX('CONTROLE PRODUÇÃO POR EMPRESAS'!$H$6:$J$5000,MATCH($A2512,'CONTROLE PRODUÇÃO POR EMPRESAS'!$A$6:$A$5000,0),3),"")),"")</f>
        <v/>
      </c>
      <c r="I2512">
        <f>IF(OR(NOT(ISNUMBER(G2512)),NOT(ISNUMBER(H2512))),"",H2512-G2512)</f>
        <v/>
      </c>
      <c r="J2512">
        <f>IF(OR(NOT(ISNUMBER(G2512)),NOT(ISNUMBER(H2512)),G2512=0),"",I2512/G2512)</f>
        <v/>
      </c>
      <c r="K2512">
        <f>IF(OR(NOT(ISNUMBER(G2512)),NOT(ISNUMBER(H2512)),G2512=0),"",H2512/G2512)</f>
        <v/>
      </c>
      <c r="L2512">
        <f>IF(NOT(ISNUMBER(G2512)),"SEM META",IF(G2512=0,"SEM META",IF(NOT(ISNUMBER(H2512)),"SEM APONTAMENTO",IF(H2512&gt;=G2512,"VERDE",IF(H2512&gt;=G2512*0.9,"AMARELO","VERMELHO")))))</f>
        <v/>
      </c>
    </row>
    <row r="2513">
      <c r="A2513" s="321" t="n">
        <v>46346</v>
      </c>
      <c r="B2513" t="inlineStr">
        <is>
          <t>GERAL</t>
        </is>
      </c>
      <c r="C2513" t="inlineStr">
        <is>
          <t>GLOBO AÇOS</t>
        </is>
      </c>
      <c r="D2513" t="inlineStr">
        <is>
          <t>PERFILAÇÃO</t>
        </is>
      </c>
      <c r="F2513">
        <f>IFERROR(INDEX('BASE METAS DIÁRIAS'!$AA$2:$AC$358,MATCH($A2513,'BASE METAS DIÁRIAS'!$A$2:$A$358,0),1),"")</f>
        <v/>
      </c>
      <c r="G2513">
        <f>IFERROR(IF(WEEKDAY($A2513,2)&lt;=INDEX('BASE METAS DIÁRIAS'!$X$2:$Z$358,MATCH($A2513,'BASE METAS DIÁRIAS'!$A$2:$A$358,0),1),INDEX('BASE METAS DIÁRIAS'!$U$2:$W$358,MATCH($A2513,'BASE METAS DIÁRIAS'!$A$2:$A$358,0),1),""),"")</f>
        <v/>
      </c>
      <c r="H2513">
        <f>IFERROR(IF(INDEX('CONTROLE PRODUÇÃO POR EMPRESAS'!$H$6:$J$5000,MATCH($A2513,'CONTROLE PRODUÇÃO POR EMPRESAS'!$A$6:$A$5000,0),1)="","",IFERROR(1*INDEX('CONTROLE PRODUÇÃO POR EMPRESAS'!$H$6:$J$5000,MATCH($A2513,'CONTROLE PRODUÇÃO POR EMPRESAS'!$A$6:$A$5000,0),1),"")),"")</f>
        <v/>
      </c>
      <c r="I2513">
        <f>IF(OR(NOT(ISNUMBER(G2513)),NOT(ISNUMBER(H2513))),"",H2513-G2513)</f>
        <v/>
      </c>
      <c r="J2513">
        <f>IF(OR(NOT(ISNUMBER(G2513)),NOT(ISNUMBER(H2513)),G2513=0),"",I2513/G2513)</f>
        <v/>
      </c>
      <c r="K2513">
        <f>IF(OR(NOT(ISNUMBER(G2513)),NOT(ISNUMBER(H2513)),G2513=0),"",H2513/G2513)</f>
        <v/>
      </c>
      <c r="L2513">
        <f>IF(NOT(ISNUMBER(G2513)),"SEM META",IF(G2513=0,"SEM META",IF(NOT(ISNUMBER(H2513)),"SEM APONTAMENTO",IF(H2513&gt;=G2513,"VERDE",IF(H2513&gt;=G2513*0.9,"AMARELO","VERMELHO")))))</f>
        <v/>
      </c>
    </row>
    <row r="2514">
      <c r="A2514" s="321" t="n">
        <v>46346</v>
      </c>
      <c r="B2514" t="inlineStr">
        <is>
          <t>GERAL</t>
        </is>
      </c>
      <c r="C2514" t="inlineStr">
        <is>
          <t>GLOBO AÇOS</t>
        </is>
      </c>
      <c r="D2514" t="inlineStr">
        <is>
          <t>TELHAR</t>
        </is>
      </c>
      <c r="F2514">
        <f>IFERROR(INDEX('BASE METAS DIÁRIAS'!$AA$2:$AC$358,MATCH($A2514,'BASE METAS DIÁRIAS'!$A$2:$A$358,0),2),"")</f>
        <v/>
      </c>
      <c r="G2514">
        <f>IFERROR(IF(WEEKDAY($A2514,2)&lt;=INDEX('BASE METAS DIÁRIAS'!$X$2:$Z$358,MATCH($A2514,'BASE METAS DIÁRIAS'!$A$2:$A$358,0),2),INDEX('BASE METAS DIÁRIAS'!$U$2:$W$358,MATCH($A2514,'BASE METAS DIÁRIAS'!$A$2:$A$358,0),2),""),"")</f>
        <v/>
      </c>
      <c r="H2514">
        <f>IFERROR(IF(INDEX('CONTROLE PRODUÇÃO POR EMPRESAS'!$H$6:$J$5000,MATCH($A2514,'CONTROLE PRODUÇÃO POR EMPRESAS'!$A$6:$A$5000,0),2)="","",IFERROR(1*INDEX('CONTROLE PRODUÇÃO POR EMPRESAS'!$H$6:$J$5000,MATCH($A2514,'CONTROLE PRODUÇÃO POR EMPRESAS'!$A$6:$A$5000,0),2),"")),"")</f>
        <v/>
      </c>
      <c r="I2514">
        <f>IF(OR(NOT(ISNUMBER(G2514)),NOT(ISNUMBER(H2514))),"",H2514-G2514)</f>
        <v/>
      </c>
      <c r="J2514">
        <f>IF(OR(NOT(ISNUMBER(G2514)),NOT(ISNUMBER(H2514)),G2514=0),"",I2514/G2514)</f>
        <v/>
      </c>
      <c r="K2514">
        <f>IF(OR(NOT(ISNUMBER(G2514)),NOT(ISNUMBER(H2514)),G2514=0),"",H2514/G2514)</f>
        <v/>
      </c>
      <c r="L2514">
        <f>IF(NOT(ISNUMBER(G2514)),"SEM META",IF(G2514=0,"SEM META",IF(NOT(ISNUMBER(H2514)),"SEM APONTAMENTO",IF(H2514&gt;=G2514,"VERDE",IF(H2514&gt;=G2514*0.9,"AMARELO","VERMELHO")))))</f>
        <v/>
      </c>
    </row>
    <row r="2515">
      <c r="A2515" s="321" t="n">
        <v>46346</v>
      </c>
      <c r="B2515" t="inlineStr">
        <is>
          <t>GERAL</t>
        </is>
      </c>
      <c r="C2515" t="inlineStr">
        <is>
          <t>GLOBO AÇOS</t>
        </is>
      </c>
      <c r="D2515" t="inlineStr">
        <is>
          <t>FECHAMENTO</t>
        </is>
      </c>
      <c r="F2515">
        <f>IFERROR(INDEX('BASE METAS DIÁRIAS'!$AA$2:$AC$358,MATCH($A2515,'BASE METAS DIÁRIAS'!$A$2:$A$358,0),3),"")</f>
        <v/>
      </c>
      <c r="G2515">
        <f>IFERROR(IF(WEEKDAY($A2515,2)&lt;=INDEX('BASE METAS DIÁRIAS'!$X$2:$Z$358,MATCH($A2515,'BASE METAS DIÁRIAS'!$A$2:$A$358,0),3),INDEX('BASE METAS DIÁRIAS'!$U$2:$W$358,MATCH($A2515,'BASE METAS DIÁRIAS'!$A$2:$A$358,0),3),""),"")</f>
        <v/>
      </c>
      <c r="H2515">
        <f>IFERROR(IF(INDEX('CONTROLE PRODUÇÃO POR EMPRESAS'!$H$6:$J$5000,MATCH($A2515,'CONTROLE PRODUÇÃO POR EMPRESAS'!$A$6:$A$5000,0),3)="","",IFERROR(1*INDEX('CONTROLE PRODUÇÃO POR EMPRESAS'!$H$6:$J$5000,MATCH($A2515,'CONTROLE PRODUÇÃO POR EMPRESAS'!$A$6:$A$5000,0),3),"")),"")</f>
        <v/>
      </c>
      <c r="I2515">
        <f>IF(OR(NOT(ISNUMBER(G2515)),NOT(ISNUMBER(H2515))),"",H2515-G2515)</f>
        <v/>
      </c>
      <c r="J2515">
        <f>IF(OR(NOT(ISNUMBER(G2515)),NOT(ISNUMBER(H2515)),G2515=0),"",I2515/G2515)</f>
        <v/>
      </c>
      <c r="K2515">
        <f>IF(OR(NOT(ISNUMBER(G2515)),NOT(ISNUMBER(H2515)),G2515=0),"",H2515/G2515)</f>
        <v/>
      </c>
      <c r="L2515">
        <f>IF(NOT(ISNUMBER(G2515)),"SEM META",IF(G2515=0,"SEM META",IF(NOT(ISNUMBER(H2515)),"SEM APONTAMENTO",IF(H2515&gt;=G2515,"VERDE",IF(H2515&gt;=G2515*0.9,"AMARELO","VERMELHO")))))</f>
        <v/>
      </c>
    </row>
    <row r="2516">
      <c r="A2516" s="321" t="n">
        <v>46347</v>
      </c>
      <c r="B2516" t="inlineStr">
        <is>
          <t>GERAL</t>
        </is>
      </c>
      <c r="C2516" t="inlineStr">
        <is>
          <t>GLOBO AÇOS</t>
        </is>
      </c>
      <c r="D2516" t="inlineStr">
        <is>
          <t>PERFILAÇÃO</t>
        </is>
      </c>
      <c r="F2516">
        <f>IFERROR(INDEX('BASE METAS DIÁRIAS'!$AA$2:$AC$358,MATCH($A2516,'BASE METAS DIÁRIAS'!$A$2:$A$358,0),1),"")</f>
        <v/>
      </c>
      <c r="G2516">
        <f>IFERROR(IF(WEEKDAY($A2516,2)&lt;=INDEX('BASE METAS DIÁRIAS'!$X$2:$Z$358,MATCH($A2516,'BASE METAS DIÁRIAS'!$A$2:$A$358,0),1),INDEX('BASE METAS DIÁRIAS'!$U$2:$W$358,MATCH($A2516,'BASE METAS DIÁRIAS'!$A$2:$A$358,0),1),""),"")</f>
        <v/>
      </c>
      <c r="H2516">
        <f>IFERROR(IF(INDEX('CONTROLE PRODUÇÃO POR EMPRESAS'!$H$6:$J$5000,MATCH($A2516,'CONTROLE PRODUÇÃO POR EMPRESAS'!$A$6:$A$5000,0),1)="","",IFERROR(1*INDEX('CONTROLE PRODUÇÃO POR EMPRESAS'!$H$6:$J$5000,MATCH($A2516,'CONTROLE PRODUÇÃO POR EMPRESAS'!$A$6:$A$5000,0),1),"")),"")</f>
        <v/>
      </c>
      <c r="I2516">
        <f>IF(OR(NOT(ISNUMBER(G2516)),NOT(ISNUMBER(H2516))),"",H2516-G2516)</f>
        <v/>
      </c>
      <c r="J2516">
        <f>IF(OR(NOT(ISNUMBER(G2516)),NOT(ISNUMBER(H2516)),G2516=0),"",I2516/G2516)</f>
        <v/>
      </c>
      <c r="K2516">
        <f>IF(OR(NOT(ISNUMBER(G2516)),NOT(ISNUMBER(H2516)),G2516=0),"",H2516/G2516)</f>
        <v/>
      </c>
      <c r="L2516">
        <f>IF(NOT(ISNUMBER(G2516)),"SEM META",IF(G2516=0,"SEM META",IF(NOT(ISNUMBER(H2516)),"SEM APONTAMENTO",IF(H2516&gt;=G2516,"VERDE",IF(H2516&gt;=G2516*0.9,"AMARELO","VERMELHO")))))</f>
        <v/>
      </c>
    </row>
    <row r="2517">
      <c r="A2517" s="321" t="n">
        <v>46347</v>
      </c>
      <c r="B2517" t="inlineStr">
        <is>
          <t>GERAL</t>
        </is>
      </c>
      <c r="C2517" t="inlineStr">
        <is>
          <t>GLOBO AÇOS</t>
        </is>
      </c>
      <c r="D2517" t="inlineStr">
        <is>
          <t>TELHAR</t>
        </is>
      </c>
      <c r="F2517">
        <f>IFERROR(INDEX('BASE METAS DIÁRIAS'!$AA$2:$AC$358,MATCH($A2517,'BASE METAS DIÁRIAS'!$A$2:$A$358,0),2),"")</f>
        <v/>
      </c>
      <c r="G2517">
        <f>IFERROR(IF(WEEKDAY($A2517,2)&lt;=INDEX('BASE METAS DIÁRIAS'!$X$2:$Z$358,MATCH($A2517,'BASE METAS DIÁRIAS'!$A$2:$A$358,0),2),INDEX('BASE METAS DIÁRIAS'!$U$2:$W$358,MATCH($A2517,'BASE METAS DIÁRIAS'!$A$2:$A$358,0),2),""),"")</f>
        <v/>
      </c>
      <c r="H2517">
        <f>IFERROR(IF(INDEX('CONTROLE PRODUÇÃO POR EMPRESAS'!$H$6:$J$5000,MATCH($A2517,'CONTROLE PRODUÇÃO POR EMPRESAS'!$A$6:$A$5000,0),2)="","",IFERROR(1*INDEX('CONTROLE PRODUÇÃO POR EMPRESAS'!$H$6:$J$5000,MATCH($A2517,'CONTROLE PRODUÇÃO POR EMPRESAS'!$A$6:$A$5000,0),2),"")),"")</f>
        <v/>
      </c>
      <c r="I2517">
        <f>IF(OR(NOT(ISNUMBER(G2517)),NOT(ISNUMBER(H2517))),"",H2517-G2517)</f>
        <v/>
      </c>
      <c r="J2517">
        <f>IF(OR(NOT(ISNUMBER(G2517)),NOT(ISNUMBER(H2517)),G2517=0),"",I2517/G2517)</f>
        <v/>
      </c>
      <c r="K2517">
        <f>IF(OR(NOT(ISNUMBER(G2517)),NOT(ISNUMBER(H2517)),G2517=0),"",H2517/G2517)</f>
        <v/>
      </c>
      <c r="L2517">
        <f>IF(NOT(ISNUMBER(G2517)),"SEM META",IF(G2517=0,"SEM META",IF(NOT(ISNUMBER(H2517)),"SEM APONTAMENTO",IF(H2517&gt;=G2517,"VERDE",IF(H2517&gt;=G2517*0.9,"AMARELO","VERMELHO")))))</f>
        <v/>
      </c>
    </row>
    <row r="2518">
      <c r="A2518" s="321" t="n">
        <v>46347</v>
      </c>
      <c r="B2518" t="inlineStr">
        <is>
          <t>GERAL</t>
        </is>
      </c>
      <c r="C2518" t="inlineStr">
        <is>
          <t>GLOBO AÇOS</t>
        </is>
      </c>
      <c r="D2518" t="inlineStr">
        <is>
          <t>FECHAMENTO</t>
        </is>
      </c>
      <c r="F2518">
        <f>IFERROR(INDEX('BASE METAS DIÁRIAS'!$AA$2:$AC$358,MATCH($A2518,'BASE METAS DIÁRIAS'!$A$2:$A$358,0),3),"")</f>
        <v/>
      </c>
      <c r="G2518">
        <f>IFERROR(IF(WEEKDAY($A2518,2)&lt;=INDEX('BASE METAS DIÁRIAS'!$X$2:$Z$358,MATCH($A2518,'BASE METAS DIÁRIAS'!$A$2:$A$358,0),3),INDEX('BASE METAS DIÁRIAS'!$U$2:$W$358,MATCH($A2518,'BASE METAS DIÁRIAS'!$A$2:$A$358,0),3),""),"")</f>
        <v/>
      </c>
      <c r="H2518">
        <f>IFERROR(IF(INDEX('CONTROLE PRODUÇÃO POR EMPRESAS'!$H$6:$J$5000,MATCH($A2518,'CONTROLE PRODUÇÃO POR EMPRESAS'!$A$6:$A$5000,0),3)="","",IFERROR(1*INDEX('CONTROLE PRODUÇÃO POR EMPRESAS'!$H$6:$J$5000,MATCH($A2518,'CONTROLE PRODUÇÃO POR EMPRESAS'!$A$6:$A$5000,0),3),"")),"")</f>
        <v/>
      </c>
      <c r="I2518">
        <f>IF(OR(NOT(ISNUMBER(G2518)),NOT(ISNUMBER(H2518))),"",H2518-G2518)</f>
        <v/>
      </c>
      <c r="J2518">
        <f>IF(OR(NOT(ISNUMBER(G2518)),NOT(ISNUMBER(H2518)),G2518=0),"",I2518/G2518)</f>
        <v/>
      </c>
      <c r="K2518">
        <f>IF(OR(NOT(ISNUMBER(G2518)),NOT(ISNUMBER(H2518)),G2518=0),"",H2518/G2518)</f>
        <v/>
      </c>
      <c r="L2518">
        <f>IF(NOT(ISNUMBER(G2518)),"SEM META",IF(G2518=0,"SEM META",IF(NOT(ISNUMBER(H2518)),"SEM APONTAMENTO",IF(H2518&gt;=G2518,"VERDE",IF(H2518&gt;=G2518*0.9,"AMARELO","VERMELHO")))))</f>
        <v/>
      </c>
    </row>
    <row r="2519">
      <c r="A2519" s="321" t="n">
        <v>46348</v>
      </c>
      <c r="B2519" t="inlineStr">
        <is>
          <t>GERAL</t>
        </is>
      </c>
      <c r="C2519" t="inlineStr">
        <is>
          <t>GLOBO AÇOS</t>
        </is>
      </c>
      <c r="D2519" t="inlineStr">
        <is>
          <t>PERFILAÇÃO</t>
        </is>
      </c>
      <c r="F2519">
        <f>IFERROR(INDEX('BASE METAS DIÁRIAS'!$AA$2:$AC$358,MATCH($A2519,'BASE METAS DIÁRIAS'!$A$2:$A$358,0),1),"")</f>
        <v/>
      </c>
      <c r="G2519">
        <f>IFERROR(IF(WEEKDAY($A2519,2)&lt;=INDEX('BASE METAS DIÁRIAS'!$X$2:$Z$358,MATCH($A2519,'BASE METAS DIÁRIAS'!$A$2:$A$358,0),1),INDEX('BASE METAS DIÁRIAS'!$U$2:$W$358,MATCH($A2519,'BASE METAS DIÁRIAS'!$A$2:$A$358,0),1),""),"")</f>
        <v/>
      </c>
      <c r="H2519">
        <f>IFERROR(IF(INDEX('CONTROLE PRODUÇÃO POR EMPRESAS'!$H$6:$J$5000,MATCH($A2519,'CONTROLE PRODUÇÃO POR EMPRESAS'!$A$6:$A$5000,0),1)="","",IFERROR(1*INDEX('CONTROLE PRODUÇÃO POR EMPRESAS'!$H$6:$J$5000,MATCH($A2519,'CONTROLE PRODUÇÃO POR EMPRESAS'!$A$6:$A$5000,0),1),"")),"")</f>
        <v/>
      </c>
      <c r="I2519">
        <f>IF(OR(NOT(ISNUMBER(G2519)),NOT(ISNUMBER(H2519))),"",H2519-G2519)</f>
        <v/>
      </c>
      <c r="J2519">
        <f>IF(OR(NOT(ISNUMBER(G2519)),NOT(ISNUMBER(H2519)),G2519=0),"",I2519/G2519)</f>
        <v/>
      </c>
      <c r="K2519">
        <f>IF(OR(NOT(ISNUMBER(G2519)),NOT(ISNUMBER(H2519)),G2519=0),"",H2519/G2519)</f>
        <v/>
      </c>
      <c r="L2519">
        <f>IF(NOT(ISNUMBER(G2519)),"SEM META",IF(G2519=0,"SEM META",IF(NOT(ISNUMBER(H2519)),"SEM APONTAMENTO",IF(H2519&gt;=G2519,"VERDE",IF(H2519&gt;=G2519*0.9,"AMARELO","VERMELHO")))))</f>
        <v/>
      </c>
    </row>
    <row r="2520">
      <c r="A2520" s="321" t="n">
        <v>46348</v>
      </c>
      <c r="B2520" t="inlineStr">
        <is>
          <t>GERAL</t>
        </is>
      </c>
      <c r="C2520" t="inlineStr">
        <is>
          <t>GLOBO AÇOS</t>
        </is>
      </c>
      <c r="D2520" t="inlineStr">
        <is>
          <t>TELHAR</t>
        </is>
      </c>
      <c r="F2520">
        <f>IFERROR(INDEX('BASE METAS DIÁRIAS'!$AA$2:$AC$358,MATCH($A2520,'BASE METAS DIÁRIAS'!$A$2:$A$358,0),2),"")</f>
        <v/>
      </c>
      <c r="G2520">
        <f>IFERROR(IF(WEEKDAY($A2520,2)&lt;=INDEX('BASE METAS DIÁRIAS'!$X$2:$Z$358,MATCH($A2520,'BASE METAS DIÁRIAS'!$A$2:$A$358,0),2),INDEX('BASE METAS DIÁRIAS'!$U$2:$W$358,MATCH($A2520,'BASE METAS DIÁRIAS'!$A$2:$A$358,0),2),""),"")</f>
        <v/>
      </c>
      <c r="H2520">
        <f>IFERROR(IF(INDEX('CONTROLE PRODUÇÃO POR EMPRESAS'!$H$6:$J$5000,MATCH($A2520,'CONTROLE PRODUÇÃO POR EMPRESAS'!$A$6:$A$5000,0),2)="","",IFERROR(1*INDEX('CONTROLE PRODUÇÃO POR EMPRESAS'!$H$6:$J$5000,MATCH($A2520,'CONTROLE PRODUÇÃO POR EMPRESAS'!$A$6:$A$5000,0),2),"")),"")</f>
        <v/>
      </c>
      <c r="I2520">
        <f>IF(OR(NOT(ISNUMBER(G2520)),NOT(ISNUMBER(H2520))),"",H2520-G2520)</f>
        <v/>
      </c>
      <c r="J2520">
        <f>IF(OR(NOT(ISNUMBER(G2520)),NOT(ISNUMBER(H2520)),G2520=0),"",I2520/G2520)</f>
        <v/>
      </c>
      <c r="K2520">
        <f>IF(OR(NOT(ISNUMBER(G2520)),NOT(ISNUMBER(H2520)),G2520=0),"",H2520/G2520)</f>
        <v/>
      </c>
      <c r="L2520">
        <f>IF(NOT(ISNUMBER(G2520)),"SEM META",IF(G2520=0,"SEM META",IF(NOT(ISNUMBER(H2520)),"SEM APONTAMENTO",IF(H2520&gt;=G2520,"VERDE",IF(H2520&gt;=G2520*0.9,"AMARELO","VERMELHO")))))</f>
        <v/>
      </c>
    </row>
    <row r="2521">
      <c r="A2521" s="321" t="n">
        <v>46348</v>
      </c>
      <c r="B2521" t="inlineStr">
        <is>
          <t>GERAL</t>
        </is>
      </c>
      <c r="C2521" t="inlineStr">
        <is>
          <t>GLOBO AÇOS</t>
        </is>
      </c>
      <c r="D2521" t="inlineStr">
        <is>
          <t>FECHAMENTO</t>
        </is>
      </c>
      <c r="F2521">
        <f>IFERROR(INDEX('BASE METAS DIÁRIAS'!$AA$2:$AC$358,MATCH($A2521,'BASE METAS DIÁRIAS'!$A$2:$A$358,0),3),"")</f>
        <v/>
      </c>
      <c r="G2521">
        <f>IFERROR(IF(WEEKDAY($A2521,2)&lt;=INDEX('BASE METAS DIÁRIAS'!$X$2:$Z$358,MATCH($A2521,'BASE METAS DIÁRIAS'!$A$2:$A$358,0),3),INDEX('BASE METAS DIÁRIAS'!$U$2:$W$358,MATCH($A2521,'BASE METAS DIÁRIAS'!$A$2:$A$358,0),3),""),"")</f>
        <v/>
      </c>
      <c r="H2521">
        <f>IFERROR(IF(INDEX('CONTROLE PRODUÇÃO POR EMPRESAS'!$H$6:$J$5000,MATCH($A2521,'CONTROLE PRODUÇÃO POR EMPRESAS'!$A$6:$A$5000,0),3)="","",IFERROR(1*INDEX('CONTROLE PRODUÇÃO POR EMPRESAS'!$H$6:$J$5000,MATCH($A2521,'CONTROLE PRODUÇÃO POR EMPRESAS'!$A$6:$A$5000,0),3),"")),"")</f>
        <v/>
      </c>
      <c r="I2521">
        <f>IF(OR(NOT(ISNUMBER(G2521)),NOT(ISNUMBER(H2521))),"",H2521-G2521)</f>
        <v/>
      </c>
      <c r="J2521">
        <f>IF(OR(NOT(ISNUMBER(G2521)),NOT(ISNUMBER(H2521)),G2521=0),"",I2521/G2521)</f>
        <v/>
      </c>
      <c r="K2521">
        <f>IF(OR(NOT(ISNUMBER(G2521)),NOT(ISNUMBER(H2521)),G2521=0),"",H2521/G2521)</f>
        <v/>
      </c>
      <c r="L2521">
        <f>IF(NOT(ISNUMBER(G2521)),"SEM META",IF(G2521=0,"SEM META",IF(NOT(ISNUMBER(H2521)),"SEM APONTAMENTO",IF(H2521&gt;=G2521,"VERDE",IF(H2521&gt;=G2521*0.9,"AMARELO","VERMELHO")))))</f>
        <v/>
      </c>
    </row>
    <row r="2522">
      <c r="A2522" s="321" t="n">
        <v>46349</v>
      </c>
      <c r="B2522" t="inlineStr">
        <is>
          <t>GERAL</t>
        </is>
      </c>
      <c r="C2522" t="inlineStr">
        <is>
          <t>GLOBO AÇOS</t>
        </is>
      </c>
      <c r="D2522" t="inlineStr">
        <is>
          <t>PERFILAÇÃO</t>
        </is>
      </c>
      <c r="F2522">
        <f>IFERROR(INDEX('BASE METAS DIÁRIAS'!$AA$2:$AC$358,MATCH($A2522,'BASE METAS DIÁRIAS'!$A$2:$A$358,0),1),"")</f>
        <v/>
      </c>
      <c r="G2522">
        <f>IFERROR(IF(WEEKDAY($A2522,2)&lt;=INDEX('BASE METAS DIÁRIAS'!$X$2:$Z$358,MATCH($A2522,'BASE METAS DIÁRIAS'!$A$2:$A$358,0),1),INDEX('BASE METAS DIÁRIAS'!$U$2:$W$358,MATCH($A2522,'BASE METAS DIÁRIAS'!$A$2:$A$358,0),1),""),"")</f>
        <v/>
      </c>
      <c r="H2522">
        <f>IFERROR(IF(INDEX('CONTROLE PRODUÇÃO POR EMPRESAS'!$H$6:$J$5000,MATCH($A2522,'CONTROLE PRODUÇÃO POR EMPRESAS'!$A$6:$A$5000,0),1)="","",IFERROR(1*INDEX('CONTROLE PRODUÇÃO POR EMPRESAS'!$H$6:$J$5000,MATCH($A2522,'CONTROLE PRODUÇÃO POR EMPRESAS'!$A$6:$A$5000,0),1),"")),"")</f>
        <v/>
      </c>
      <c r="I2522">
        <f>IF(OR(NOT(ISNUMBER(G2522)),NOT(ISNUMBER(H2522))),"",H2522-G2522)</f>
        <v/>
      </c>
      <c r="J2522">
        <f>IF(OR(NOT(ISNUMBER(G2522)),NOT(ISNUMBER(H2522)),G2522=0),"",I2522/G2522)</f>
        <v/>
      </c>
      <c r="K2522">
        <f>IF(OR(NOT(ISNUMBER(G2522)),NOT(ISNUMBER(H2522)),G2522=0),"",H2522/G2522)</f>
        <v/>
      </c>
      <c r="L2522">
        <f>IF(NOT(ISNUMBER(G2522)),"SEM META",IF(G2522=0,"SEM META",IF(NOT(ISNUMBER(H2522)),"SEM APONTAMENTO",IF(H2522&gt;=G2522,"VERDE",IF(H2522&gt;=G2522*0.9,"AMARELO","VERMELHO")))))</f>
        <v/>
      </c>
    </row>
    <row r="2523">
      <c r="A2523" s="321" t="n">
        <v>46349</v>
      </c>
      <c r="B2523" t="inlineStr">
        <is>
          <t>GERAL</t>
        </is>
      </c>
      <c r="C2523" t="inlineStr">
        <is>
          <t>GLOBO AÇOS</t>
        </is>
      </c>
      <c r="D2523" t="inlineStr">
        <is>
          <t>TELHAR</t>
        </is>
      </c>
      <c r="F2523">
        <f>IFERROR(INDEX('BASE METAS DIÁRIAS'!$AA$2:$AC$358,MATCH($A2523,'BASE METAS DIÁRIAS'!$A$2:$A$358,0),2),"")</f>
        <v/>
      </c>
      <c r="G2523">
        <f>IFERROR(IF(WEEKDAY($A2523,2)&lt;=INDEX('BASE METAS DIÁRIAS'!$X$2:$Z$358,MATCH($A2523,'BASE METAS DIÁRIAS'!$A$2:$A$358,0),2),INDEX('BASE METAS DIÁRIAS'!$U$2:$W$358,MATCH($A2523,'BASE METAS DIÁRIAS'!$A$2:$A$358,0),2),""),"")</f>
        <v/>
      </c>
      <c r="H2523">
        <f>IFERROR(IF(INDEX('CONTROLE PRODUÇÃO POR EMPRESAS'!$H$6:$J$5000,MATCH($A2523,'CONTROLE PRODUÇÃO POR EMPRESAS'!$A$6:$A$5000,0),2)="","",IFERROR(1*INDEX('CONTROLE PRODUÇÃO POR EMPRESAS'!$H$6:$J$5000,MATCH($A2523,'CONTROLE PRODUÇÃO POR EMPRESAS'!$A$6:$A$5000,0),2),"")),"")</f>
        <v/>
      </c>
      <c r="I2523">
        <f>IF(OR(NOT(ISNUMBER(G2523)),NOT(ISNUMBER(H2523))),"",H2523-G2523)</f>
        <v/>
      </c>
      <c r="J2523">
        <f>IF(OR(NOT(ISNUMBER(G2523)),NOT(ISNUMBER(H2523)),G2523=0),"",I2523/G2523)</f>
        <v/>
      </c>
      <c r="K2523">
        <f>IF(OR(NOT(ISNUMBER(G2523)),NOT(ISNUMBER(H2523)),G2523=0),"",H2523/G2523)</f>
        <v/>
      </c>
      <c r="L2523">
        <f>IF(NOT(ISNUMBER(G2523)),"SEM META",IF(G2523=0,"SEM META",IF(NOT(ISNUMBER(H2523)),"SEM APONTAMENTO",IF(H2523&gt;=G2523,"VERDE",IF(H2523&gt;=G2523*0.9,"AMARELO","VERMELHO")))))</f>
        <v/>
      </c>
    </row>
    <row r="2524">
      <c r="A2524" s="321" t="n">
        <v>46349</v>
      </c>
      <c r="B2524" t="inlineStr">
        <is>
          <t>GERAL</t>
        </is>
      </c>
      <c r="C2524" t="inlineStr">
        <is>
          <t>GLOBO AÇOS</t>
        </is>
      </c>
      <c r="D2524" t="inlineStr">
        <is>
          <t>FECHAMENTO</t>
        </is>
      </c>
      <c r="F2524">
        <f>IFERROR(INDEX('BASE METAS DIÁRIAS'!$AA$2:$AC$358,MATCH($A2524,'BASE METAS DIÁRIAS'!$A$2:$A$358,0),3),"")</f>
        <v/>
      </c>
      <c r="G2524">
        <f>IFERROR(IF(WEEKDAY($A2524,2)&lt;=INDEX('BASE METAS DIÁRIAS'!$X$2:$Z$358,MATCH($A2524,'BASE METAS DIÁRIAS'!$A$2:$A$358,0),3),INDEX('BASE METAS DIÁRIAS'!$U$2:$W$358,MATCH($A2524,'BASE METAS DIÁRIAS'!$A$2:$A$358,0),3),""),"")</f>
        <v/>
      </c>
      <c r="H2524">
        <f>IFERROR(IF(INDEX('CONTROLE PRODUÇÃO POR EMPRESAS'!$H$6:$J$5000,MATCH($A2524,'CONTROLE PRODUÇÃO POR EMPRESAS'!$A$6:$A$5000,0),3)="","",IFERROR(1*INDEX('CONTROLE PRODUÇÃO POR EMPRESAS'!$H$6:$J$5000,MATCH($A2524,'CONTROLE PRODUÇÃO POR EMPRESAS'!$A$6:$A$5000,0),3),"")),"")</f>
        <v/>
      </c>
      <c r="I2524">
        <f>IF(OR(NOT(ISNUMBER(G2524)),NOT(ISNUMBER(H2524))),"",H2524-G2524)</f>
        <v/>
      </c>
      <c r="J2524">
        <f>IF(OR(NOT(ISNUMBER(G2524)),NOT(ISNUMBER(H2524)),G2524=0),"",I2524/G2524)</f>
        <v/>
      </c>
      <c r="K2524">
        <f>IF(OR(NOT(ISNUMBER(G2524)),NOT(ISNUMBER(H2524)),G2524=0),"",H2524/G2524)</f>
        <v/>
      </c>
      <c r="L2524">
        <f>IF(NOT(ISNUMBER(G2524)),"SEM META",IF(G2524=0,"SEM META",IF(NOT(ISNUMBER(H2524)),"SEM APONTAMENTO",IF(H2524&gt;=G2524,"VERDE",IF(H2524&gt;=G2524*0.9,"AMARELO","VERMELHO")))))</f>
        <v/>
      </c>
    </row>
    <row r="2525">
      <c r="A2525" s="321" t="n">
        <v>46350</v>
      </c>
      <c r="B2525" t="inlineStr">
        <is>
          <t>GERAL</t>
        </is>
      </c>
      <c r="C2525" t="inlineStr">
        <is>
          <t>GLOBO AÇOS</t>
        </is>
      </c>
      <c r="D2525" t="inlineStr">
        <is>
          <t>PERFILAÇÃO</t>
        </is>
      </c>
      <c r="F2525">
        <f>IFERROR(INDEX('BASE METAS DIÁRIAS'!$AA$2:$AC$358,MATCH($A2525,'BASE METAS DIÁRIAS'!$A$2:$A$358,0),1),"")</f>
        <v/>
      </c>
      <c r="G2525">
        <f>IFERROR(IF(WEEKDAY($A2525,2)&lt;=INDEX('BASE METAS DIÁRIAS'!$X$2:$Z$358,MATCH($A2525,'BASE METAS DIÁRIAS'!$A$2:$A$358,0),1),INDEX('BASE METAS DIÁRIAS'!$U$2:$W$358,MATCH($A2525,'BASE METAS DIÁRIAS'!$A$2:$A$358,0),1),""),"")</f>
        <v/>
      </c>
      <c r="H2525">
        <f>IFERROR(IF(INDEX('CONTROLE PRODUÇÃO POR EMPRESAS'!$H$6:$J$5000,MATCH($A2525,'CONTROLE PRODUÇÃO POR EMPRESAS'!$A$6:$A$5000,0),1)="","",IFERROR(1*INDEX('CONTROLE PRODUÇÃO POR EMPRESAS'!$H$6:$J$5000,MATCH($A2525,'CONTROLE PRODUÇÃO POR EMPRESAS'!$A$6:$A$5000,0),1),"")),"")</f>
        <v/>
      </c>
      <c r="I2525">
        <f>IF(OR(NOT(ISNUMBER(G2525)),NOT(ISNUMBER(H2525))),"",H2525-G2525)</f>
        <v/>
      </c>
      <c r="J2525">
        <f>IF(OR(NOT(ISNUMBER(G2525)),NOT(ISNUMBER(H2525)),G2525=0),"",I2525/G2525)</f>
        <v/>
      </c>
      <c r="K2525">
        <f>IF(OR(NOT(ISNUMBER(G2525)),NOT(ISNUMBER(H2525)),G2525=0),"",H2525/G2525)</f>
        <v/>
      </c>
      <c r="L2525">
        <f>IF(NOT(ISNUMBER(G2525)),"SEM META",IF(G2525=0,"SEM META",IF(NOT(ISNUMBER(H2525)),"SEM APONTAMENTO",IF(H2525&gt;=G2525,"VERDE",IF(H2525&gt;=G2525*0.9,"AMARELO","VERMELHO")))))</f>
        <v/>
      </c>
    </row>
    <row r="2526">
      <c r="A2526" s="321" t="n">
        <v>46350</v>
      </c>
      <c r="B2526" t="inlineStr">
        <is>
          <t>GERAL</t>
        </is>
      </c>
      <c r="C2526" t="inlineStr">
        <is>
          <t>GLOBO AÇOS</t>
        </is>
      </c>
      <c r="D2526" t="inlineStr">
        <is>
          <t>TELHAR</t>
        </is>
      </c>
      <c r="F2526">
        <f>IFERROR(INDEX('BASE METAS DIÁRIAS'!$AA$2:$AC$358,MATCH($A2526,'BASE METAS DIÁRIAS'!$A$2:$A$358,0),2),"")</f>
        <v/>
      </c>
      <c r="G2526">
        <f>IFERROR(IF(WEEKDAY($A2526,2)&lt;=INDEX('BASE METAS DIÁRIAS'!$X$2:$Z$358,MATCH($A2526,'BASE METAS DIÁRIAS'!$A$2:$A$358,0),2),INDEX('BASE METAS DIÁRIAS'!$U$2:$W$358,MATCH($A2526,'BASE METAS DIÁRIAS'!$A$2:$A$358,0),2),""),"")</f>
        <v/>
      </c>
      <c r="H2526">
        <f>IFERROR(IF(INDEX('CONTROLE PRODUÇÃO POR EMPRESAS'!$H$6:$J$5000,MATCH($A2526,'CONTROLE PRODUÇÃO POR EMPRESAS'!$A$6:$A$5000,0),2)="","",IFERROR(1*INDEX('CONTROLE PRODUÇÃO POR EMPRESAS'!$H$6:$J$5000,MATCH($A2526,'CONTROLE PRODUÇÃO POR EMPRESAS'!$A$6:$A$5000,0),2),"")),"")</f>
        <v/>
      </c>
      <c r="I2526">
        <f>IF(OR(NOT(ISNUMBER(G2526)),NOT(ISNUMBER(H2526))),"",H2526-G2526)</f>
        <v/>
      </c>
      <c r="J2526">
        <f>IF(OR(NOT(ISNUMBER(G2526)),NOT(ISNUMBER(H2526)),G2526=0),"",I2526/G2526)</f>
        <v/>
      </c>
      <c r="K2526">
        <f>IF(OR(NOT(ISNUMBER(G2526)),NOT(ISNUMBER(H2526)),G2526=0),"",H2526/G2526)</f>
        <v/>
      </c>
      <c r="L2526">
        <f>IF(NOT(ISNUMBER(G2526)),"SEM META",IF(G2526=0,"SEM META",IF(NOT(ISNUMBER(H2526)),"SEM APONTAMENTO",IF(H2526&gt;=G2526,"VERDE",IF(H2526&gt;=G2526*0.9,"AMARELO","VERMELHO")))))</f>
        <v/>
      </c>
    </row>
    <row r="2527">
      <c r="A2527" s="321" t="n">
        <v>46350</v>
      </c>
      <c r="B2527" t="inlineStr">
        <is>
          <t>GERAL</t>
        </is>
      </c>
      <c r="C2527" t="inlineStr">
        <is>
          <t>GLOBO AÇOS</t>
        </is>
      </c>
      <c r="D2527" t="inlineStr">
        <is>
          <t>FECHAMENTO</t>
        </is>
      </c>
      <c r="F2527">
        <f>IFERROR(INDEX('BASE METAS DIÁRIAS'!$AA$2:$AC$358,MATCH($A2527,'BASE METAS DIÁRIAS'!$A$2:$A$358,0),3),"")</f>
        <v/>
      </c>
      <c r="G2527">
        <f>IFERROR(IF(WEEKDAY($A2527,2)&lt;=INDEX('BASE METAS DIÁRIAS'!$X$2:$Z$358,MATCH($A2527,'BASE METAS DIÁRIAS'!$A$2:$A$358,0),3),INDEX('BASE METAS DIÁRIAS'!$U$2:$W$358,MATCH($A2527,'BASE METAS DIÁRIAS'!$A$2:$A$358,0),3),""),"")</f>
        <v/>
      </c>
      <c r="H2527">
        <f>IFERROR(IF(INDEX('CONTROLE PRODUÇÃO POR EMPRESAS'!$H$6:$J$5000,MATCH($A2527,'CONTROLE PRODUÇÃO POR EMPRESAS'!$A$6:$A$5000,0),3)="","",IFERROR(1*INDEX('CONTROLE PRODUÇÃO POR EMPRESAS'!$H$6:$J$5000,MATCH($A2527,'CONTROLE PRODUÇÃO POR EMPRESAS'!$A$6:$A$5000,0),3),"")),"")</f>
        <v/>
      </c>
      <c r="I2527">
        <f>IF(OR(NOT(ISNUMBER(G2527)),NOT(ISNUMBER(H2527))),"",H2527-G2527)</f>
        <v/>
      </c>
      <c r="J2527">
        <f>IF(OR(NOT(ISNUMBER(G2527)),NOT(ISNUMBER(H2527)),G2527=0),"",I2527/G2527)</f>
        <v/>
      </c>
      <c r="K2527">
        <f>IF(OR(NOT(ISNUMBER(G2527)),NOT(ISNUMBER(H2527)),G2527=0),"",H2527/G2527)</f>
        <v/>
      </c>
      <c r="L2527">
        <f>IF(NOT(ISNUMBER(G2527)),"SEM META",IF(G2527=0,"SEM META",IF(NOT(ISNUMBER(H2527)),"SEM APONTAMENTO",IF(H2527&gt;=G2527,"VERDE",IF(H2527&gt;=G2527*0.9,"AMARELO","VERMELHO")))))</f>
        <v/>
      </c>
    </row>
    <row r="2528">
      <c r="A2528" s="321" t="n">
        <v>46351</v>
      </c>
      <c r="B2528" t="inlineStr">
        <is>
          <t>GERAL</t>
        </is>
      </c>
      <c r="C2528" t="inlineStr">
        <is>
          <t>GLOBO AÇOS</t>
        </is>
      </c>
      <c r="D2528" t="inlineStr">
        <is>
          <t>PERFILAÇÃO</t>
        </is>
      </c>
      <c r="F2528">
        <f>IFERROR(INDEX('BASE METAS DIÁRIAS'!$AA$2:$AC$358,MATCH($A2528,'BASE METAS DIÁRIAS'!$A$2:$A$358,0),1),"")</f>
        <v/>
      </c>
      <c r="G2528">
        <f>IFERROR(IF(WEEKDAY($A2528,2)&lt;=INDEX('BASE METAS DIÁRIAS'!$X$2:$Z$358,MATCH($A2528,'BASE METAS DIÁRIAS'!$A$2:$A$358,0),1),INDEX('BASE METAS DIÁRIAS'!$U$2:$W$358,MATCH($A2528,'BASE METAS DIÁRIAS'!$A$2:$A$358,0),1),""),"")</f>
        <v/>
      </c>
      <c r="H2528">
        <f>IFERROR(IF(INDEX('CONTROLE PRODUÇÃO POR EMPRESAS'!$H$6:$J$5000,MATCH($A2528,'CONTROLE PRODUÇÃO POR EMPRESAS'!$A$6:$A$5000,0),1)="","",IFERROR(1*INDEX('CONTROLE PRODUÇÃO POR EMPRESAS'!$H$6:$J$5000,MATCH($A2528,'CONTROLE PRODUÇÃO POR EMPRESAS'!$A$6:$A$5000,0),1),"")),"")</f>
        <v/>
      </c>
      <c r="I2528">
        <f>IF(OR(NOT(ISNUMBER(G2528)),NOT(ISNUMBER(H2528))),"",H2528-G2528)</f>
        <v/>
      </c>
      <c r="J2528">
        <f>IF(OR(NOT(ISNUMBER(G2528)),NOT(ISNUMBER(H2528)),G2528=0),"",I2528/G2528)</f>
        <v/>
      </c>
      <c r="K2528">
        <f>IF(OR(NOT(ISNUMBER(G2528)),NOT(ISNUMBER(H2528)),G2528=0),"",H2528/G2528)</f>
        <v/>
      </c>
      <c r="L2528">
        <f>IF(NOT(ISNUMBER(G2528)),"SEM META",IF(G2528=0,"SEM META",IF(NOT(ISNUMBER(H2528)),"SEM APONTAMENTO",IF(H2528&gt;=G2528,"VERDE",IF(H2528&gt;=G2528*0.9,"AMARELO","VERMELHO")))))</f>
        <v/>
      </c>
    </row>
    <row r="2529">
      <c r="A2529" s="321" t="n">
        <v>46351</v>
      </c>
      <c r="B2529" t="inlineStr">
        <is>
          <t>GERAL</t>
        </is>
      </c>
      <c r="C2529" t="inlineStr">
        <is>
          <t>GLOBO AÇOS</t>
        </is>
      </c>
      <c r="D2529" t="inlineStr">
        <is>
          <t>TELHAR</t>
        </is>
      </c>
      <c r="F2529">
        <f>IFERROR(INDEX('BASE METAS DIÁRIAS'!$AA$2:$AC$358,MATCH($A2529,'BASE METAS DIÁRIAS'!$A$2:$A$358,0),2),"")</f>
        <v/>
      </c>
      <c r="G2529">
        <f>IFERROR(IF(WEEKDAY($A2529,2)&lt;=INDEX('BASE METAS DIÁRIAS'!$X$2:$Z$358,MATCH($A2529,'BASE METAS DIÁRIAS'!$A$2:$A$358,0),2),INDEX('BASE METAS DIÁRIAS'!$U$2:$W$358,MATCH($A2529,'BASE METAS DIÁRIAS'!$A$2:$A$358,0),2),""),"")</f>
        <v/>
      </c>
      <c r="H2529">
        <f>IFERROR(IF(INDEX('CONTROLE PRODUÇÃO POR EMPRESAS'!$H$6:$J$5000,MATCH($A2529,'CONTROLE PRODUÇÃO POR EMPRESAS'!$A$6:$A$5000,0),2)="","",IFERROR(1*INDEX('CONTROLE PRODUÇÃO POR EMPRESAS'!$H$6:$J$5000,MATCH($A2529,'CONTROLE PRODUÇÃO POR EMPRESAS'!$A$6:$A$5000,0),2),"")),"")</f>
        <v/>
      </c>
      <c r="I2529">
        <f>IF(OR(NOT(ISNUMBER(G2529)),NOT(ISNUMBER(H2529))),"",H2529-G2529)</f>
        <v/>
      </c>
      <c r="J2529">
        <f>IF(OR(NOT(ISNUMBER(G2529)),NOT(ISNUMBER(H2529)),G2529=0),"",I2529/G2529)</f>
        <v/>
      </c>
      <c r="K2529">
        <f>IF(OR(NOT(ISNUMBER(G2529)),NOT(ISNUMBER(H2529)),G2529=0),"",H2529/G2529)</f>
        <v/>
      </c>
      <c r="L2529">
        <f>IF(NOT(ISNUMBER(G2529)),"SEM META",IF(G2529=0,"SEM META",IF(NOT(ISNUMBER(H2529)),"SEM APONTAMENTO",IF(H2529&gt;=G2529,"VERDE",IF(H2529&gt;=G2529*0.9,"AMARELO","VERMELHO")))))</f>
        <v/>
      </c>
    </row>
    <row r="2530">
      <c r="A2530" s="321" t="n">
        <v>46351</v>
      </c>
      <c r="B2530" t="inlineStr">
        <is>
          <t>GERAL</t>
        </is>
      </c>
      <c r="C2530" t="inlineStr">
        <is>
          <t>GLOBO AÇOS</t>
        </is>
      </c>
      <c r="D2530" t="inlineStr">
        <is>
          <t>FECHAMENTO</t>
        </is>
      </c>
      <c r="F2530">
        <f>IFERROR(INDEX('BASE METAS DIÁRIAS'!$AA$2:$AC$358,MATCH($A2530,'BASE METAS DIÁRIAS'!$A$2:$A$358,0),3),"")</f>
        <v/>
      </c>
      <c r="G2530">
        <f>IFERROR(IF(WEEKDAY($A2530,2)&lt;=INDEX('BASE METAS DIÁRIAS'!$X$2:$Z$358,MATCH($A2530,'BASE METAS DIÁRIAS'!$A$2:$A$358,0),3),INDEX('BASE METAS DIÁRIAS'!$U$2:$W$358,MATCH($A2530,'BASE METAS DIÁRIAS'!$A$2:$A$358,0),3),""),"")</f>
        <v/>
      </c>
      <c r="H2530">
        <f>IFERROR(IF(INDEX('CONTROLE PRODUÇÃO POR EMPRESAS'!$H$6:$J$5000,MATCH($A2530,'CONTROLE PRODUÇÃO POR EMPRESAS'!$A$6:$A$5000,0),3)="","",IFERROR(1*INDEX('CONTROLE PRODUÇÃO POR EMPRESAS'!$H$6:$J$5000,MATCH($A2530,'CONTROLE PRODUÇÃO POR EMPRESAS'!$A$6:$A$5000,0),3),"")),"")</f>
        <v/>
      </c>
      <c r="I2530">
        <f>IF(OR(NOT(ISNUMBER(G2530)),NOT(ISNUMBER(H2530))),"",H2530-G2530)</f>
        <v/>
      </c>
      <c r="J2530">
        <f>IF(OR(NOT(ISNUMBER(G2530)),NOT(ISNUMBER(H2530)),G2530=0),"",I2530/G2530)</f>
        <v/>
      </c>
      <c r="K2530">
        <f>IF(OR(NOT(ISNUMBER(G2530)),NOT(ISNUMBER(H2530)),G2530=0),"",H2530/G2530)</f>
        <v/>
      </c>
      <c r="L2530">
        <f>IF(NOT(ISNUMBER(G2530)),"SEM META",IF(G2530=0,"SEM META",IF(NOT(ISNUMBER(H2530)),"SEM APONTAMENTO",IF(H2530&gt;=G2530,"VERDE",IF(H2530&gt;=G2530*0.9,"AMARELO","VERMELHO")))))</f>
        <v/>
      </c>
    </row>
    <row r="2531">
      <c r="A2531" s="321" t="n">
        <v>46352</v>
      </c>
      <c r="B2531" t="inlineStr">
        <is>
          <t>GERAL</t>
        </is>
      </c>
      <c r="C2531" t="inlineStr">
        <is>
          <t>GLOBO AÇOS</t>
        </is>
      </c>
      <c r="D2531" t="inlineStr">
        <is>
          <t>PERFILAÇÃO</t>
        </is>
      </c>
      <c r="F2531">
        <f>IFERROR(INDEX('BASE METAS DIÁRIAS'!$AA$2:$AC$358,MATCH($A2531,'BASE METAS DIÁRIAS'!$A$2:$A$358,0),1),"")</f>
        <v/>
      </c>
      <c r="G2531">
        <f>IFERROR(IF(WEEKDAY($A2531,2)&lt;=INDEX('BASE METAS DIÁRIAS'!$X$2:$Z$358,MATCH($A2531,'BASE METAS DIÁRIAS'!$A$2:$A$358,0),1),INDEX('BASE METAS DIÁRIAS'!$U$2:$W$358,MATCH($A2531,'BASE METAS DIÁRIAS'!$A$2:$A$358,0),1),""),"")</f>
        <v/>
      </c>
      <c r="H2531">
        <f>IFERROR(IF(INDEX('CONTROLE PRODUÇÃO POR EMPRESAS'!$H$6:$J$5000,MATCH($A2531,'CONTROLE PRODUÇÃO POR EMPRESAS'!$A$6:$A$5000,0),1)="","",IFERROR(1*INDEX('CONTROLE PRODUÇÃO POR EMPRESAS'!$H$6:$J$5000,MATCH($A2531,'CONTROLE PRODUÇÃO POR EMPRESAS'!$A$6:$A$5000,0),1),"")),"")</f>
        <v/>
      </c>
      <c r="I2531">
        <f>IF(OR(NOT(ISNUMBER(G2531)),NOT(ISNUMBER(H2531))),"",H2531-G2531)</f>
        <v/>
      </c>
      <c r="J2531">
        <f>IF(OR(NOT(ISNUMBER(G2531)),NOT(ISNUMBER(H2531)),G2531=0),"",I2531/G2531)</f>
        <v/>
      </c>
      <c r="K2531">
        <f>IF(OR(NOT(ISNUMBER(G2531)),NOT(ISNUMBER(H2531)),G2531=0),"",H2531/G2531)</f>
        <v/>
      </c>
      <c r="L2531">
        <f>IF(NOT(ISNUMBER(G2531)),"SEM META",IF(G2531=0,"SEM META",IF(NOT(ISNUMBER(H2531)),"SEM APONTAMENTO",IF(H2531&gt;=G2531,"VERDE",IF(H2531&gt;=G2531*0.9,"AMARELO","VERMELHO")))))</f>
        <v/>
      </c>
    </row>
    <row r="2532">
      <c r="A2532" s="321" t="n">
        <v>46352</v>
      </c>
      <c r="B2532" t="inlineStr">
        <is>
          <t>GERAL</t>
        </is>
      </c>
      <c r="C2532" t="inlineStr">
        <is>
          <t>GLOBO AÇOS</t>
        </is>
      </c>
      <c r="D2532" t="inlineStr">
        <is>
          <t>TELHAR</t>
        </is>
      </c>
      <c r="F2532">
        <f>IFERROR(INDEX('BASE METAS DIÁRIAS'!$AA$2:$AC$358,MATCH($A2532,'BASE METAS DIÁRIAS'!$A$2:$A$358,0),2),"")</f>
        <v/>
      </c>
      <c r="G2532">
        <f>IFERROR(IF(WEEKDAY($A2532,2)&lt;=INDEX('BASE METAS DIÁRIAS'!$X$2:$Z$358,MATCH($A2532,'BASE METAS DIÁRIAS'!$A$2:$A$358,0),2),INDEX('BASE METAS DIÁRIAS'!$U$2:$W$358,MATCH($A2532,'BASE METAS DIÁRIAS'!$A$2:$A$358,0),2),""),"")</f>
        <v/>
      </c>
      <c r="H2532">
        <f>IFERROR(IF(INDEX('CONTROLE PRODUÇÃO POR EMPRESAS'!$H$6:$J$5000,MATCH($A2532,'CONTROLE PRODUÇÃO POR EMPRESAS'!$A$6:$A$5000,0),2)="","",IFERROR(1*INDEX('CONTROLE PRODUÇÃO POR EMPRESAS'!$H$6:$J$5000,MATCH($A2532,'CONTROLE PRODUÇÃO POR EMPRESAS'!$A$6:$A$5000,0),2),"")),"")</f>
        <v/>
      </c>
      <c r="I2532">
        <f>IF(OR(NOT(ISNUMBER(G2532)),NOT(ISNUMBER(H2532))),"",H2532-G2532)</f>
        <v/>
      </c>
      <c r="J2532">
        <f>IF(OR(NOT(ISNUMBER(G2532)),NOT(ISNUMBER(H2532)),G2532=0),"",I2532/G2532)</f>
        <v/>
      </c>
      <c r="K2532">
        <f>IF(OR(NOT(ISNUMBER(G2532)),NOT(ISNUMBER(H2532)),G2532=0),"",H2532/G2532)</f>
        <v/>
      </c>
      <c r="L2532">
        <f>IF(NOT(ISNUMBER(G2532)),"SEM META",IF(G2532=0,"SEM META",IF(NOT(ISNUMBER(H2532)),"SEM APONTAMENTO",IF(H2532&gt;=G2532,"VERDE",IF(H2532&gt;=G2532*0.9,"AMARELO","VERMELHO")))))</f>
        <v/>
      </c>
    </row>
    <row r="2533">
      <c r="A2533" s="321" t="n">
        <v>46352</v>
      </c>
      <c r="B2533" t="inlineStr">
        <is>
          <t>GERAL</t>
        </is>
      </c>
      <c r="C2533" t="inlineStr">
        <is>
          <t>GLOBO AÇOS</t>
        </is>
      </c>
      <c r="D2533" t="inlineStr">
        <is>
          <t>FECHAMENTO</t>
        </is>
      </c>
      <c r="F2533">
        <f>IFERROR(INDEX('BASE METAS DIÁRIAS'!$AA$2:$AC$358,MATCH($A2533,'BASE METAS DIÁRIAS'!$A$2:$A$358,0),3),"")</f>
        <v/>
      </c>
      <c r="G2533">
        <f>IFERROR(IF(WEEKDAY($A2533,2)&lt;=INDEX('BASE METAS DIÁRIAS'!$X$2:$Z$358,MATCH($A2533,'BASE METAS DIÁRIAS'!$A$2:$A$358,0),3),INDEX('BASE METAS DIÁRIAS'!$U$2:$W$358,MATCH($A2533,'BASE METAS DIÁRIAS'!$A$2:$A$358,0),3),""),"")</f>
        <v/>
      </c>
      <c r="H2533">
        <f>IFERROR(IF(INDEX('CONTROLE PRODUÇÃO POR EMPRESAS'!$H$6:$J$5000,MATCH($A2533,'CONTROLE PRODUÇÃO POR EMPRESAS'!$A$6:$A$5000,0),3)="","",IFERROR(1*INDEX('CONTROLE PRODUÇÃO POR EMPRESAS'!$H$6:$J$5000,MATCH($A2533,'CONTROLE PRODUÇÃO POR EMPRESAS'!$A$6:$A$5000,0),3),"")),"")</f>
        <v/>
      </c>
      <c r="I2533">
        <f>IF(OR(NOT(ISNUMBER(G2533)),NOT(ISNUMBER(H2533))),"",H2533-G2533)</f>
        <v/>
      </c>
      <c r="J2533">
        <f>IF(OR(NOT(ISNUMBER(G2533)),NOT(ISNUMBER(H2533)),G2533=0),"",I2533/G2533)</f>
        <v/>
      </c>
      <c r="K2533">
        <f>IF(OR(NOT(ISNUMBER(G2533)),NOT(ISNUMBER(H2533)),G2533=0),"",H2533/G2533)</f>
        <v/>
      </c>
      <c r="L2533">
        <f>IF(NOT(ISNUMBER(G2533)),"SEM META",IF(G2533=0,"SEM META",IF(NOT(ISNUMBER(H2533)),"SEM APONTAMENTO",IF(H2533&gt;=G2533,"VERDE",IF(H2533&gt;=G2533*0.9,"AMARELO","VERMELHO")))))</f>
        <v/>
      </c>
    </row>
    <row r="2534">
      <c r="A2534" s="321" t="n">
        <v>46353</v>
      </c>
      <c r="B2534" t="inlineStr">
        <is>
          <t>GERAL</t>
        </is>
      </c>
      <c r="C2534" t="inlineStr">
        <is>
          <t>GLOBO AÇOS</t>
        </is>
      </c>
      <c r="D2534" t="inlineStr">
        <is>
          <t>PERFILAÇÃO</t>
        </is>
      </c>
      <c r="F2534">
        <f>IFERROR(INDEX('BASE METAS DIÁRIAS'!$AA$2:$AC$358,MATCH($A2534,'BASE METAS DIÁRIAS'!$A$2:$A$358,0),1),"")</f>
        <v/>
      </c>
      <c r="G2534">
        <f>IFERROR(IF(WEEKDAY($A2534,2)&lt;=INDEX('BASE METAS DIÁRIAS'!$X$2:$Z$358,MATCH($A2534,'BASE METAS DIÁRIAS'!$A$2:$A$358,0),1),INDEX('BASE METAS DIÁRIAS'!$U$2:$W$358,MATCH($A2534,'BASE METAS DIÁRIAS'!$A$2:$A$358,0),1),""),"")</f>
        <v/>
      </c>
      <c r="H2534">
        <f>IFERROR(IF(INDEX('CONTROLE PRODUÇÃO POR EMPRESAS'!$H$6:$J$5000,MATCH($A2534,'CONTROLE PRODUÇÃO POR EMPRESAS'!$A$6:$A$5000,0),1)="","",IFERROR(1*INDEX('CONTROLE PRODUÇÃO POR EMPRESAS'!$H$6:$J$5000,MATCH($A2534,'CONTROLE PRODUÇÃO POR EMPRESAS'!$A$6:$A$5000,0),1),"")),"")</f>
        <v/>
      </c>
      <c r="I2534">
        <f>IF(OR(NOT(ISNUMBER(G2534)),NOT(ISNUMBER(H2534))),"",H2534-G2534)</f>
        <v/>
      </c>
      <c r="J2534">
        <f>IF(OR(NOT(ISNUMBER(G2534)),NOT(ISNUMBER(H2534)),G2534=0),"",I2534/G2534)</f>
        <v/>
      </c>
      <c r="K2534">
        <f>IF(OR(NOT(ISNUMBER(G2534)),NOT(ISNUMBER(H2534)),G2534=0),"",H2534/G2534)</f>
        <v/>
      </c>
      <c r="L2534">
        <f>IF(NOT(ISNUMBER(G2534)),"SEM META",IF(G2534=0,"SEM META",IF(NOT(ISNUMBER(H2534)),"SEM APONTAMENTO",IF(H2534&gt;=G2534,"VERDE",IF(H2534&gt;=G2534*0.9,"AMARELO","VERMELHO")))))</f>
        <v/>
      </c>
    </row>
    <row r="2535">
      <c r="A2535" s="321" t="n">
        <v>46353</v>
      </c>
      <c r="B2535" t="inlineStr">
        <is>
          <t>GERAL</t>
        </is>
      </c>
      <c r="C2535" t="inlineStr">
        <is>
          <t>GLOBO AÇOS</t>
        </is>
      </c>
      <c r="D2535" t="inlineStr">
        <is>
          <t>TELHAR</t>
        </is>
      </c>
      <c r="F2535">
        <f>IFERROR(INDEX('BASE METAS DIÁRIAS'!$AA$2:$AC$358,MATCH($A2535,'BASE METAS DIÁRIAS'!$A$2:$A$358,0),2),"")</f>
        <v/>
      </c>
      <c r="G2535">
        <f>IFERROR(IF(WEEKDAY($A2535,2)&lt;=INDEX('BASE METAS DIÁRIAS'!$X$2:$Z$358,MATCH($A2535,'BASE METAS DIÁRIAS'!$A$2:$A$358,0),2),INDEX('BASE METAS DIÁRIAS'!$U$2:$W$358,MATCH($A2535,'BASE METAS DIÁRIAS'!$A$2:$A$358,0),2),""),"")</f>
        <v/>
      </c>
      <c r="H2535">
        <f>IFERROR(IF(INDEX('CONTROLE PRODUÇÃO POR EMPRESAS'!$H$6:$J$5000,MATCH($A2535,'CONTROLE PRODUÇÃO POR EMPRESAS'!$A$6:$A$5000,0),2)="","",IFERROR(1*INDEX('CONTROLE PRODUÇÃO POR EMPRESAS'!$H$6:$J$5000,MATCH($A2535,'CONTROLE PRODUÇÃO POR EMPRESAS'!$A$6:$A$5000,0),2),"")),"")</f>
        <v/>
      </c>
      <c r="I2535">
        <f>IF(OR(NOT(ISNUMBER(G2535)),NOT(ISNUMBER(H2535))),"",H2535-G2535)</f>
        <v/>
      </c>
      <c r="J2535">
        <f>IF(OR(NOT(ISNUMBER(G2535)),NOT(ISNUMBER(H2535)),G2535=0),"",I2535/G2535)</f>
        <v/>
      </c>
      <c r="K2535">
        <f>IF(OR(NOT(ISNUMBER(G2535)),NOT(ISNUMBER(H2535)),G2535=0),"",H2535/G2535)</f>
        <v/>
      </c>
      <c r="L2535">
        <f>IF(NOT(ISNUMBER(G2535)),"SEM META",IF(G2535=0,"SEM META",IF(NOT(ISNUMBER(H2535)),"SEM APONTAMENTO",IF(H2535&gt;=G2535,"VERDE",IF(H2535&gt;=G2535*0.9,"AMARELO","VERMELHO")))))</f>
        <v/>
      </c>
    </row>
    <row r="2536">
      <c r="A2536" s="321" t="n">
        <v>46353</v>
      </c>
      <c r="B2536" t="inlineStr">
        <is>
          <t>GERAL</t>
        </is>
      </c>
      <c r="C2536" t="inlineStr">
        <is>
          <t>GLOBO AÇOS</t>
        </is>
      </c>
      <c r="D2536" t="inlineStr">
        <is>
          <t>FECHAMENTO</t>
        </is>
      </c>
      <c r="F2536">
        <f>IFERROR(INDEX('BASE METAS DIÁRIAS'!$AA$2:$AC$358,MATCH($A2536,'BASE METAS DIÁRIAS'!$A$2:$A$358,0),3),"")</f>
        <v/>
      </c>
      <c r="G2536">
        <f>IFERROR(IF(WEEKDAY($A2536,2)&lt;=INDEX('BASE METAS DIÁRIAS'!$X$2:$Z$358,MATCH($A2536,'BASE METAS DIÁRIAS'!$A$2:$A$358,0),3),INDEX('BASE METAS DIÁRIAS'!$U$2:$W$358,MATCH($A2536,'BASE METAS DIÁRIAS'!$A$2:$A$358,0),3),""),"")</f>
        <v/>
      </c>
      <c r="H2536">
        <f>IFERROR(IF(INDEX('CONTROLE PRODUÇÃO POR EMPRESAS'!$H$6:$J$5000,MATCH($A2536,'CONTROLE PRODUÇÃO POR EMPRESAS'!$A$6:$A$5000,0),3)="","",IFERROR(1*INDEX('CONTROLE PRODUÇÃO POR EMPRESAS'!$H$6:$J$5000,MATCH($A2536,'CONTROLE PRODUÇÃO POR EMPRESAS'!$A$6:$A$5000,0),3),"")),"")</f>
        <v/>
      </c>
      <c r="I2536">
        <f>IF(OR(NOT(ISNUMBER(G2536)),NOT(ISNUMBER(H2536))),"",H2536-G2536)</f>
        <v/>
      </c>
      <c r="J2536">
        <f>IF(OR(NOT(ISNUMBER(G2536)),NOT(ISNUMBER(H2536)),G2536=0),"",I2536/G2536)</f>
        <v/>
      </c>
      <c r="K2536">
        <f>IF(OR(NOT(ISNUMBER(G2536)),NOT(ISNUMBER(H2536)),G2536=0),"",H2536/G2536)</f>
        <v/>
      </c>
      <c r="L2536">
        <f>IF(NOT(ISNUMBER(G2536)),"SEM META",IF(G2536=0,"SEM META",IF(NOT(ISNUMBER(H2536)),"SEM APONTAMENTO",IF(H2536&gt;=G2536,"VERDE",IF(H2536&gt;=G2536*0.9,"AMARELO","VERMELHO")))))</f>
        <v/>
      </c>
    </row>
    <row r="2537">
      <c r="A2537" s="321" t="n">
        <v>46354</v>
      </c>
      <c r="B2537" t="inlineStr">
        <is>
          <t>GERAL</t>
        </is>
      </c>
      <c r="C2537" t="inlineStr">
        <is>
          <t>GLOBO AÇOS</t>
        </is>
      </c>
      <c r="D2537" t="inlineStr">
        <is>
          <t>PERFILAÇÃO</t>
        </is>
      </c>
      <c r="F2537">
        <f>IFERROR(INDEX('BASE METAS DIÁRIAS'!$AA$2:$AC$358,MATCH($A2537,'BASE METAS DIÁRIAS'!$A$2:$A$358,0),1),"")</f>
        <v/>
      </c>
      <c r="G2537">
        <f>IFERROR(IF(WEEKDAY($A2537,2)&lt;=INDEX('BASE METAS DIÁRIAS'!$X$2:$Z$358,MATCH($A2537,'BASE METAS DIÁRIAS'!$A$2:$A$358,0),1),INDEX('BASE METAS DIÁRIAS'!$U$2:$W$358,MATCH($A2537,'BASE METAS DIÁRIAS'!$A$2:$A$358,0),1),""),"")</f>
        <v/>
      </c>
      <c r="H2537">
        <f>IFERROR(IF(INDEX('CONTROLE PRODUÇÃO POR EMPRESAS'!$H$6:$J$5000,MATCH($A2537,'CONTROLE PRODUÇÃO POR EMPRESAS'!$A$6:$A$5000,0),1)="","",IFERROR(1*INDEX('CONTROLE PRODUÇÃO POR EMPRESAS'!$H$6:$J$5000,MATCH($A2537,'CONTROLE PRODUÇÃO POR EMPRESAS'!$A$6:$A$5000,0),1),"")),"")</f>
        <v/>
      </c>
      <c r="I2537">
        <f>IF(OR(NOT(ISNUMBER(G2537)),NOT(ISNUMBER(H2537))),"",H2537-G2537)</f>
        <v/>
      </c>
      <c r="J2537">
        <f>IF(OR(NOT(ISNUMBER(G2537)),NOT(ISNUMBER(H2537)),G2537=0),"",I2537/G2537)</f>
        <v/>
      </c>
      <c r="K2537">
        <f>IF(OR(NOT(ISNUMBER(G2537)),NOT(ISNUMBER(H2537)),G2537=0),"",H2537/G2537)</f>
        <v/>
      </c>
      <c r="L2537">
        <f>IF(NOT(ISNUMBER(G2537)),"SEM META",IF(G2537=0,"SEM META",IF(NOT(ISNUMBER(H2537)),"SEM APONTAMENTO",IF(H2537&gt;=G2537,"VERDE",IF(H2537&gt;=G2537*0.9,"AMARELO","VERMELHO")))))</f>
        <v/>
      </c>
    </row>
    <row r="2538">
      <c r="A2538" s="321" t="n">
        <v>46354</v>
      </c>
      <c r="B2538" t="inlineStr">
        <is>
          <t>GERAL</t>
        </is>
      </c>
      <c r="C2538" t="inlineStr">
        <is>
          <t>GLOBO AÇOS</t>
        </is>
      </c>
      <c r="D2538" t="inlineStr">
        <is>
          <t>TELHAR</t>
        </is>
      </c>
      <c r="F2538">
        <f>IFERROR(INDEX('BASE METAS DIÁRIAS'!$AA$2:$AC$358,MATCH($A2538,'BASE METAS DIÁRIAS'!$A$2:$A$358,0),2),"")</f>
        <v/>
      </c>
      <c r="G2538">
        <f>IFERROR(IF(WEEKDAY($A2538,2)&lt;=INDEX('BASE METAS DIÁRIAS'!$X$2:$Z$358,MATCH($A2538,'BASE METAS DIÁRIAS'!$A$2:$A$358,0),2),INDEX('BASE METAS DIÁRIAS'!$U$2:$W$358,MATCH($A2538,'BASE METAS DIÁRIAS'!$A$2:$A$358,0),2),""),"")</f>
        <v/>
      </c>
      <c r="H2538">
        <f>IFERROR(IF(INDEX('CONTROLE PRODUÇÃO POR EMPRESAS'!$H$6:$J$5000,MATCH($A2538,'CONTROLE PRODUÇÃO POR EMPRESAS'!$A$6:$A$5000,0),2)="","",IFERROR(1*INDEX('CONTROLE PRODUÇÃO POR EMPRESAS'!$H$6:$J$5000,MATCH($A2538,'CONTROLE PRODUÇÃO POR EMPRESAS'!$A$6:$A$5000,0),2),"")),"")</f>
        <v/>
      </c>
      <c r="I2538">
        <f>IF(OR(NOT(ISNUMBER(G2538)),NOT(ISNUMBER(H2538))),"",H2538-G2538)</f>
        <v/>
      </c>
      <c r="J2538">
        <f>IF(OR(NOT(ISNUMBER(G2538)),NOT(ISNUMBER(H2538)),G2538=0),"",I2538/G2538)</f>
        <v/>
      </c>
      <c r="K2538">
        <f>IF(OR(NOT(ISNUMBER(G2538)),NOT(ISNUMBER(H2538)),G2538=0),"",H2538/G2538)</f>
        <v/>
      </c>
      <c r="L2538">
        <f>IF(NOT(ISNUMBER(G2538)),"SEM META",IF(G2538=0,"SEM META",IF(NOT(ISNUMBER(H2538)),"SEM APONTAMENTO",IF(H2538&gt;=G2538,"VERDE",IF(H2538&gt;=G2538*0.9,"AMARELO","VERMELHO")))))</f>
        <v/>
      </c>
    </row>
    <row r="2539">
      <c r="A2539" s="321" t="n">
        <v>46354</v>
      </c>
      <c r="B2539" t="inlineStr">
        <is>
          <t>GERAL</t>
        </is>
      </c>
      <c r="C2539" t="inlineStr">
        <is>
          <t>GLOBO AÇOS</t>
        </is>
      </c>
      <c r="D2539" t="inlineStr">
        <is>
          <t>FECHAMENTO</t>
        </is>
      </c>
      <c r="F2539">
        <f>IFERROR(INDEX('BASE METAS DIÁRIAS'!$AA$2:$AC$358,MATCH($A2539,'BASE METAS DIÁRIAS'!$A$2:$A$358,0),3),"")</f>
        <v/>
      </c>
      <c r="G2539">
        <f>IFERROR(IF(WEEKDAY($A2539,2)&lt;=INDEX('BASE METAS DIÁRIAS'!$X$2:$Z$358,MATCH($A2539,'BASE METAS DIÁRIAS'!$A$2:$A$358,0),3),INDEX('BASE METAS DIÁRIAS'!$U$2:$W$358,MATCH($A2539,'BASE METAS DIÁRIAS'!$A$2:$A$358,0),3),""),"")</f>
        <v/>
      </c>
      <c r="H2539">
        <f>IFERROR(IF(INDEX('CONTROLE PRODUÇÃO POR EMPRESAS'!$H$6:$J$5000,MATCH($A2539,'CONTROLE PRODUÇÃO POR EMPRESAS'!$A$6:$A$5000,0),3)="","",IFERROR(1*INDEX('CONTROLE PRODUÇÃO POR EMPRESAS'!$H$6:$J$5000,MATCH($A2539,'CONTROLE PRODUÇÃO POR EMPRESAS'!$A$6:$A$5000,0),3),"")),"")</f>
        <v/>
      </c>
      <c r="I2539">
        <f>IF(OR(NOT(ISNUMBER(G2539)),NOT(ISNUMBER(H2539))),"",H2539-G2539)</f>
        <v/>
      </c>
      <c r="J2539">
        <f>IF(OR(NOT(ISNUMBER(G2539)),NOT(ISNUMBER(H2539)),G2539=0),"",I2539/G2539)</f>
        <v/>
      </c>
      <c r="K2539">
        <f>IF(OR(NOT(ISNUMBER(G2539)),NOT(ISNUMBER(H2539)),G2539=0),"",H2539/G2539)</f>
        <v/>
      </c>
      <c r="L2539">
        <f>IF(NOT(ISNUMBER(G2539)),"SEM META",IF(G2539=0,"SEM META",IF(NOT(ISNUMBER(H2539)),"SEM APONTAMENTO",IF(H2539&gt;=G2539,"VERDE",IF(H2539&gt;=G2539*0.9,"AMARELO","VERMELHO")))))</f>
        <v/>
      </c>
    </row>
    <row r="2540">
      <c r="A2540" s="321" t="n">
        <v>46355</v>
      </c>
      <c r="B2540" t="inlineStr">
        <is>
          <t>GERAL</t>
        </is>
      </c>
      <c r="C2540" t="inlineStr">
        <is>
          <t>GLOBO AÇOS</t>
        </is>
      </c>
      <c r="D2540" t="inlineStr">
        <is>
          <t>PERFILAÇÃO</t>
        </is>
      </c>
      <c r="F2540">
        <f>IFERROR(INDEX('BASE METAS DIÁRIAS'!$AA$2:$AC$358,MATCH($A2540,'BASE METAS DIÁRIAS'!$A$2:$A$358,0),1),"")</f>
        <v/>
      </c>
      <c r="G2540">
        <f>IFERROR(IF(WEEKDAY($A2540,2)&lt;=INDEX('BASE METAS DIÁRIAS'!$X$2:$Z$358,MATCH($A2540,'BASE METAS DIÁRIAS'!$A$2:$A$358,0),1),INDEX('BASE METAS DIÁRIAS'!$U$2:$W$358,MATCH($A2540,'BASE METAS DIÁRIAS'!$A$2:$A$358,0),1),""),"")</f>
        <v/>
      </c>
      <c r="H2540">
        <f>IFERROR(IF(INDEX('CONTROLE PRODUÇÃO POR EMPRESAS'!$H$6:$J$5000,MATCH($A2540,'CONTROLE PRODUÇÃO POR EMPRESAS'!$A$6:$A$5000,0),1)="","",IFERROR(1*INDEX('CONTROLE PRODUÇÃO POR EMPRESAS'!$H$6:$J$5000,MATCH($A2540,'CONTROLE PRODUÇÃO POR EMPRESAS'!$A$6:$A$5000,0),1),"")),"")</f>
        <v/>
      </c>
      <c r="I2540">
        <f>IF(OR(NOT(ISNUMBER(G2540)),NOT(ISNUMBER(H2540))),"",H2540-G2540)</f>
        <v/>
      </c>
      <c r="J2540">
        <f>IF(OR(NOT(ISNUMBER(G2540)),NOT(ISNUMBER(H2540)),G2540=0),"",I2540/G2540)</f>
        <v/>
      </c>
      <c r="K2540">
        <f>IF(OR(NOT(ISNUMBER(G2540)),NOT(ISNUMBER(H2540)),G2540=0),"",H2540/G2540)</f>
        <v/>
      </c>
      <c r="L2540">
        <f>IF(NOT(ISNUMBER(G2540)),"SEM META",IF(G2540=0,"SEM META",IF(NOT(ISNUMBER(H2540)),"SEM APONTAMENTO",IF(H2540&gt;=G2540,"VERDE",IF(H2540&gt;=G2540*0.9,"AMARELO","VERMELHO")))))</f>
        <v/>
      </c>
    </row>
    <row r="2541">
      <c r="A2541" s="321" t="n">
        <v>46355</v>
      </c>
      <c r="B2541" t="inlineStr">
        <is>
          <t>GERAL</t>
        </is>
      </c>
      <c r="C2541" t="inlineStr">
        <is>
          <t>GLOBO AÇOS</t>
        </is>
      </c>
      <c r="D2541" t="inlineStr">
        <is>
          <t>TELHAR</t>
        </is>
      </c>
      <c r="F2541">
        <f>IFERROR(INDEX('BASE METAS DIÁRIAS'!$AA$2:$AC$358,MATCH($A2541,'BASE METAS DIÁRIAS'!$A$2:$A$358,0),2),"")</f>
        <v/>
      </c>
      <c r="G2541">
        <f>IFERROR(IF(WEEKDAY($A2541,2)&lt;=INDEX('BASE METAS DIÁRIAS'!$X$2:$Z$358,MATCH($A2541,'BASE METAS DIÁRIAS'!$A$2:$A$358,0),2),INDEX('BASE METAS DIÁRIAS'!$U$2:$W$358,MATCH($A2541,'BASE METAS DIÁRIAS'!$A$2:$A$358,0),2),""),"")</f>
        <v/>
      </c>
      <c r="H2541">
        <f>IFERROR(IF(INDEX('CONTROLE PRODUÇÃO POR EMPRESAS'!$H$6:$J$5000,MATCH($A2541,'CONTROLE PRODUÇÃO POR EMPRESAS'!$A$6:$A$5000,0),2)="","",IFERROR(1*INDEX('CONTROLE PRODUÇÃO POR EMPRESAS'!$H$6:$J$5000,MATCH($A2541,'CONTROLE PRODUÇÃO POR EMPRESAS'!$A$6:$A$5000,0),2),"")),"")</f>
        <v/>
      </c>
      <c r="I2541">
        <f>IF(OR(NOT(ISNUMBER(G2541)),NOT(ISNUMBER(H2541))),"",H2541-G2541)</f>
        <v/>
      </c>
      <c r="J2541">
        <f>IF(OR(NOT(ISNUMBER(G2541)),NOT(ISNUMBER(H2541)),G2541=0),"",I2541/G2541)</f>
        <v/>
      </c>
      <c r="K2541">
        <f>IF(OR(NOT(ISNUMBER(G2541)),NOT(ISNUMBER(H2541)),G2541=0),"",H2541/G2541)</f>
        <v/>
      </c>
      <c r="L2541">
        <f>IF(NOT(ISNUMBER(G2541)),"SEM META",IF(G2541=0,"SEM META",IF(NOT(ISNUMBER(H2541)),"SEM APONTAMENTO",IF(H2541&gt;=G2541,"VERDE",IF(H2541&gt;=G2541*0.9,"AMARELO","VERMELHO")))))</f>
        <v/>
      </c>
    </row>
    <row r="2542">
      <c r="A2542" s="321" t="n">
        <v>46355</v>
      </c>
      <c r="B2542" t="inlineStr">
        <is>
          <t>GERAL</t>
        </is>
      </c>
      <c r="C2542" t="inlineStr">
        <is>
          <t>GLOBO AÇOS</t>
        </is>
      </c>
      <c r="D2542" t="inlineStr">
        <is>
          <t>FECHAMENTO</t>
        </is>
      </c>
      <c r="F2542">
        <f>IFERROR(INDEX('BASE METAS DIÁRIAS'!$AA$2:$AC$358,MATCH($A2542,'BASE METAS DIÁRIAS'!$A$2:$A$358,0),3),"")</f>
        <v/>
      </c>
      <c r="G2542">
        <f>IFERROR(IF(WEEKDAY($A2542,2)&lt;=INDEX('BASE METAS DIÁRIAS'!$X$2:$Z$358,MATCH($A2542,'BASE METAS DIÁRIAS'!$A$2:$A$358,0),3),INDEX('BASE METAS DIÁRIAS'!$U$2:$W$358,MATCH($A2542,'BASE METAS DIÁRIAS'!$A$2:$A$358,0),3),""),"")</f>
        <v/>
      </c>
      <c r="H2542">
        <f>IFERROR(IF(INDEX('CONTROLE PRODUÇÃO POR EMPRESAS'!$H$6:$J$5000,MATCH($A2542,'CONTROLE PRODUÇÃO POR EMPRESAS'!$A$6:$A$5000,0),3)="","",IFERROR(1*INDEX('CONTROLE PRODUÇÃO POR EMPRESAS'!$H$6:$J$5000,MATCH($A2542,'CONTROLE PRODUÇÃO POR EMPRESAS'!$A$6:$A$5000,0),3),"")),"")</f>
        <v/>
      </c>
      <c r="I2542">
        <f>IF(OR(NOT(ISNUMBER(G2542)),NOT(ISNUMBER(H2542))),"",H2542-G2542)</f>
        <v/>
      </c>
      <c r="J2542">
        <f>IF(OR(NOT(ISNUMBER(G2542)),NOT(ISNUMBER(H2542)),G2542=0),"",I2542/G2542)</f>
        <v/>
      </c>
      <c r="K2542">
        <f>IF(OR(NOT(ISNUMBER(G2542)),NOT(ISNUMBER(H2542)),G2542=0),"",H2542/G2542)</f>
        <v/>
      </c>
      <c r="L2542">
        <f>IF(NOT(ISNUMBER(G2542)),"SEM META",IF(G2542=0,"SEM META",IF(NOT(ISNUMBER(H2542)),"SEM APONTAMENTO",IF(H2542&gt;=G2542,"VERDE",IF(H2542&gt;=G2542*0.9,"AMARELO","VERMELHO")))))</f>
        <v/>
      </c>
    </row>
    <row r="2543">
      <c r="A2543" s="321" t="n">
        <v>46356</v>
      </c>
      <c r="B2543" t="inlineStr">
        <is>
          <t>GERAL</t>
        </is>
      </c>
      <c r="C2543" t="inlineStr">
        <is>
          <t>GLOBO AÇOS</t>
        </is>
      </c>
      <c r="D2543" t="inlineStr">
        <is>
          <t>PERFILAÇÃO</t>
        </is>
      </c>
      <c r="F2543">
        <f>IFERROR(INDEX('BASE METAS DIÁRIAS'!$AA$2:$AC$358,MATCH($A2543,'BASE METAS DIÁRIAS'!$A$2:$A$358,0),1),"")</f>
        <v/>
      </c>
      <c r="G2543">
        <f>IFERROR(IF(WEEKDAY($A2543,2)&lt;=INDEX('BASE METAS DIÁRIAS'!$X$2:$Z$358,MATCH($A2543,'BASE METAS DIÁRIAS'!$A$2:$A$358,0),1),INDEX('BASE METAS DIÁRIAS'!$U$2:$W$358,MATCH($A2543,'BASE METAS DIÁRIAS'!$A$2:$A$358,0),1),""),"")</f>
        <v/>
      </c>
      <c r="H2543">
        <f>IFERROR(IF(INDEX('CONTROLE PRODUÇÃO POR EMPRESAS'!$H$6:$J$5000,MATCH($A2543,'CONTROLE PRODUÇÃO POR EMPRESAS'!$A$6:$A$5000,0),1)="","",IFERROR(1*INDEX('CONTROLE PRODUÇÃO POR EMPRESAS'!$H$6:$J$5000,MATCH($A2543,'CONTROLE PRODUÇÃO POR EMPRESAS'!$A$6:$A$5000,0),1),"")),"")</f>
        <v/>
      </c>
      <c r="I2543">
        <f>IF(OR(NOT(ISNUMBER(G2543)),NOT(ISNUMBER(H2543))),"",H2543-G2543)</f>
        <v/>
      </c>
      <c r="J2543">
        <f>IF(OR(NOT(ISNUMBER(G2543)),NOT(ISNUMBER(H2543)),G2543=0),"",I2543/G2543)</f>
        <v/>
      </c>
      <c r="K2543">
        <f>IF(OR(NOT(ISNUMBER(G2543)),NOT(ISNUMBER(H2543)),G2543=0),"",H2543/G2543)</f>
        <v/>
      </c>
      <c r="L2543">
        <f>IF(NOT(ISNUMBER(G2543)),"SEM META",IF(G2543=0,"SEM META",IF(NOT(ISNUMBER(H2543)),"SEM APONTAMENTO",IF(H2543&gt;=G2543,"VERDE",IF(H2543&gt;=G2543*0.9,"AMARELO","VERMELHO")))))</f>
        <v/>
      </c>
    </row>
    <row r="2544">
      <c r="A2544" s="321" t="n">
        <v>46356</v>
      </c>
      <c r="B2544" t="inlineStr">
        <is>
          <t>GERAL</t>
        </is>
      </c>
      <c r="C2544" t="inlineStr">
        <is>
          <t>GLOBO AÇOS</t>
        </is>
      </c>
      <c r="D2544" t="inlineStr">
        <is>
          <t>TELHAR</t>
        </is>
      </c>
      <c r="F2544">
        <f>IFERROR(INDEX('BASE METAS DIÁRIAS'!$AA$2:$AC$358,MATCH($A2544,'BASE METAS DIÁRIAS'!$A$2:$A$358,0),2),"")</f>
        <v/>
      </c>
      <c r="G2544">
        <f>IFERROR(IF(WEEKDAY($A2544,2)&lt;=INDEX('BASE METAS DIÁRIAS'!$X$2:$Z$358,MATCH($A2544,'BASE METAS DIÁRIAS'!$A$2:$A$358,0),2),INDEX('BASE METAS DIÁRIAS'!$U$2:$W$358,MATCH($A2544,'BASE METAS DIÁRIAS'!$A$2:$A$358,0),2),""),"")</f>
        <v/>
      </c>
      <c r="H2544">
        <f>IFERROR(IF(INDEX('CONTROLE PRODUÇÃO POR EMPRESAS'!$H$6:$J$5000,MATCH($A2544,'CONTROLE PRODUÇÃO POR EMPRESAS'!$A$6:$A$5000,0),2)="","",IFERROR(1*INDEX('CONTROLE PRODUÇÃO POR EMPRESAS'!$H$6:$J$5000,MATCH($A2544,'CONTROLE PRODUÇÃO POR EMPRESAS'!$A$6:$A$5000,0),2),"")),"")</f>
        <v/>
      </c>
      <c r="I2544">
        <f>IF(OR(NOT(ISNUMBER(G2544)),NOT(ISNUMBER(H2544))),"",H2544-G2544)</f>
        <v/>
      </c>
      <c r="J2544">
        <f>IF(OR(NOT(ISNUMBER(G2544)),NOT(ISNUMBER(H2544)),G2544=0),"",I2544/G2544)</f>
        <v/>
      </c>
      <c r="K2544">
        <f>IF(OR(NOT(ISNUMBER(G2544)),NOT(ISNUMBER(H2544)),G2544=0),"",H2544/G2544)</f>
        <v/>
      </c>
      <c r="L2544">
        <f>IF(NOT(ISNUMBER(G2544)),"SEM META",IF(G2544=0,"SEM META",IF(NOT(ISNUMBER(H2544)),"SEM APONTAMENTO",IF(H2544&gt;=G2544,"VERDE",IF(H2544&gt;=G2544*0.9,"AMARELO","VERMELHO")))))</f>
        <v/>
      </c>
    </row>
    <row r="2545">
      <c r="A2545" s="321" t="n">
        <v>46356</v>
      </c>
      <c r="B2545" t="inlineStr">
        <is>
          <t>GERAL</t>
        </is>
      </c>
      <c r="C2545" t="inlineStr">
        <is>
          <t>GLOBO AÇOS</t>
        </is>
      </c>
      <c r="D2545" t="inlineStr">
        <is>
          <t>FECHAMENTO</t>
        </is>
      </c>
      <c r="F2545">
        <f>IFERROR(INDEX('BASE METAS DIÁRIAS'!$AA$2:$AC$358,MATCH($A2545,'BASE METAS DIÁRIAS'!$A$2:$A$358,0),3),"")</f>
        <v/>
      </c>
      <c r="G2545">
        <f>IFERROR(IF(WEEKDAY($A2545,2)&lt;=INDEX('BASE METAS DIÁRIAS'!$X$2:$Z$358,MATCH($A2545,'BASE METAS DIÁRIAS'!$A$2:$A$358,0),3),INDEX('BASE METAS DIÁRIAS'!$U$2:$W$358,MATCH($A2545,'BASE METAS DIÁRIAS'!$A$2:$A$358,0),3),""),"")</f>
        <v/>
      </c>
      <c r="H2545">
        <f>IFERROR(IF(INDEX('CONTROLE PRODUÇÃO POR EMPRESAS'!$H$6:$J$5000,MATCH($A2545,'CONTROLE PRODUÇÃO POR EMPRESAS'!$A$6:$A$5000,0),3)="","",IFERROR(1*INDEX('CONTROLE PRODUÇÃO POR EMPRESAS'!$H$6:$J$5000,MATCH($A2545,'CONTROLE PRODUÇÃO POR EMPRESAS'!$A$6:$A$5000,0),3),"")),"")</f>
        <v/>
      </c>
      <c r="I2545">
        <f>IF(OR(NOT(ISNUMBER(G2545)),NOT(ISNUMBER(H2545))),"",H2545-G2545)</f>
        <v/>
      </c>
      <c r="J2545">
        <f>IF(OR(NOT(ISNUMBER(G2545)),NOT(ISNUMBER(H2545)),G2545=0),"",I2545/G2545)</f>
        <v/>
      </c>
      <c r="K2545">
        <f>IF(OR(NOT(ISNUMBER(G2545)),NOT(ISNUMBER(H2545)),G2545=0),"",H2545/G2545)</f>
        <v/>
      </c>
      <c r="L2545">
        <f>IF(NOT(ISNUMBER(G2545)),"SEM META",IF(G2545=0,"SEM META",IF(NOT(ISNUMBER(H2545)),"SEM APONTAMENTO",IF(H2545&gt;=G2545,"VERDE",IF(H2545&gt;=G2545*0.9,"AMARELO","VERMELHO")))))</f>
        <v/>
      </c>
    </row>
    <row r="2546">
      <c r="A2546" s="321" t="n">
        <v>46357</v>
      </c>
      <c r="B2546" t="inlineStr">
        <is>
          <t>GERAL</t>
        </is>
      </c>
      <c r="C2546" t="inlineStr">
        <is>
          <t>GLOBO AÇOS</t>
        </is>
      </c>
      <c r="D2546" t="inlineStr">
        <is>
          <t>PERFILAÇÃO</t>
        </is>
      </c>
      <c r="F2546">
        <f>IFERROR(INDEX('BASE METAS DIÁRIAS'!$AA$2:$AC$358,MATCH($A2546,'BASE METAS DIÁRIAS'!$A$2:$A$358,0),1),"")</f>
        <v/>
      </c>
      <c r="G2546">
        <f>IFERROR(IF(WEEKDAY($A2546,2)&lt;=INDEX('BASE METAS DIÁRIAS'!$X$2:$Z$358,MATCH($A2546,'BASE METAS DIÁRIAS'!$A$2:$A$358,0),1),INDEX('BASE METAS DIÁRIAS'!$U$2:$W$358,MATCH($A2546,'BASE METAS DIÁRIAS'!$A$2:$A$358,0),1),""),"")</f>
        <v/>
      </c>
      <c r="H2546">
        <f>IFERROR(IF(INDEX('CONTROLE PRODUÇÃO POR EMPRESAS'!$H$6:$J$5000,MATCH($A2546,'CONTROLE PRODUÇÃO POR EMPRESAS'!$A$6:$A$5000,0),1)="","",IFERROR(1*INDEX('CONTROLE PRODUÇÃO POR EMPRESAS'!$H$6:$J$5000,MATCH($A2546,'CONTROLE PRODUÇÃO POR EMPRESAS'!$A$6:$A$5000,0),1),"")),"")</f>
        <v/>
      </c>
      <c r="I2546">
        <f>IF(OR(NOT(ISNUMBER(G2546)),NOT(ISNUMBER(H2546))),"",H2546-G2546)</f>
        <v/>
      </c>
      <c r="J2546">
        <f>IF(OR(NOT(ISNUMBER(G2546)),NOT(ISNUMBER(H2546)),G2546=0),"",I2546/G2546)</f>
        <v/>
      </c>
      <c r="K2546">
        <f>IF(OR(NOT(ISNUMBER(G2546)),NOT(ISNUMBER(H2546)),G2546=0),"",H2546/G2546)</f>
        <v/>
      </c>
      <c r="L2546">
        <f>IF(NOT(ISNUMBER(G2546)),"SEM META",IF(G2546=0,"SEM META",IF(NOT(ISNUMBER(H2546)),"SEM APONTAMENTO",IF(H2546&gt;=G2546,"VERDE",IF(H2546&gt;=G2546*0.9,"AMARELO","VERMELHO")))))</f>
        <v/>
      </c>
    </row>
    <row r="2547">
      <c r="A2547" s="321" t="n">
        <v>46357</v>
      </c>
      <c r="B2547" t="inlineStr">
        <is>
          <t>GERAL</t>
        </is>
      </c>
      <c r="C2547" t="inlineStr">
        <is>
          <t>GLOBO AÇOS</t>
        </is>
      </c>
      <c r="D2547" t="inlineStr">
        <is>
          <t>TELHAR</t>
        </is>
      </c>
      <c r="F2547">
        <f>IFERROR(INDEX('BASE METAS DIÁRIAS'!$AA$2:$AC$358,MATCH($A2547,'BASE METAS DIÁRIAS'!$A$2:$A$358,0),2),"")</f>
        <v/>
      </c>
      <c r="G2547">
        <f>IFERROR(IF(WEEKDAY($A2547,2)&lt;=INDEX('BASE METAS DIÁRIAS'!$X$2:$Z$358,MATCH($A2547,'BASE METAS DIÁRIAS'!$A$2:$A$358,0),2),INDEX('BASE METAS DIÁRIAS'!$U$2:$W$358,MATCH($A2547,'BASE METAS DIÁRIAS'!$A$2:$A$358,0),2),""),"")</f>
        <v/>
      </c>
      <c r="H2547">
        <f>IFERROR(IF(INDEX('CONTROLE PRODUÇÃO POR EMPRESAS'!$H$6:$J$5000,MATCH($A2547,'CONTROLE PRODUÇÃO POR EMPRESAS'!$A$6:$A$5000,0),2)="","",IFERROR(1*INDEX('CONTROLE PRODUÇÃO POR EMPRESAS'!$H$6:$J$5000,MATCH($A2547,'CONTROLE PRODUÇÃO POR EMPRESAS'!$A$6:$A$5000,0),2),"")),"")</f>
        <v/>
      </c>
      <c r="I2547">
        <f>IF(OR(NOT(ISNUMBER(G2547)),NOT(ISNUMBER(H2547))),"",H2547-G2547)</f>
        <v/>
      </c>
      <c r="J2547">
        <f>IF(OR(NOT(ISNUMBER(G2547)),NOT(ISNUMBER(H2547)),G2547=0),"",I2547/G2547)</f>
        <v/>
      </c>
      <c r="K2547">
        <f>IF(OR(NOT(ISNUMBER(G2547)),NOT(ISNUMBER(H2547)),G2547=0),"",H2547/G2547)</f>
        <v/>
      </c>
      <c r="L2547">
        <f>IF(NOT(ISNUMBER(G2547)),"SEM META",IF(G2547=0,"SEM META",IF(NOT(ISNUMBER(H2547)),"SEM APONTAMENTO",IF(H2547&gt;=G2547,"VERDE",IF(H2547&gt;=G2547*0.9,"AMARELO","VERMELHO")))))</f>
        <v/>
      </c>
    </row>
    <row r="2548">
      <c r="A2548" s="321" t="n">
        <v>46357</v>
      </c>
      <c r="B2548" t="inlineStr">
        <is>
          <t>GERAL</t>
        </is>
      </c>
      <c r="C2548" t="inlineStr">
        <is>
          <t>GLOBO AÇOS</t>
        </is>
      </c>
      <c r="D2548" t="inlineStr">
        <is>
          <t>FECHAMENTO</t>
        </is>
      </c>
      <c r="F2548">
        <f>IFERROR(INDEX('BASE METAS DIÁRIAS'!$AA$2:$AC$358,MATCH($A2548,'BASE METAS DIÁRIAS'!$A$2:$A$358,0),3),"")</f>
        <v/>
      </c>
      <c r="G2548">
        <f>IFERROR(IF(WEEKDAY($A2548,2)&lt;=INDEX('BASE METAS DIÁRIAS'!$X$2:$Z$358,MATCH($A2548,'BASE METAS DIÁRIAS'!$A$2:$A$358,0),3),INDEX('BASE METAS DIÁRIAS'!$U$2:$W$358,MATCH($A2548,'BASE METAS DIÁRIAS'!$A$2:$A$358,0),3),""),"")</f>
        <v/>
      </c>
      <c r="H2548">
        <f>IFERROR(IF(INDEX('CONTROLE PRODUÇÃO POR EMPRESAS'!$H$6:$J$5000,MATCH($A2548,'CONTROLE PRODUÇÃO POR EMPRESAS'!$A$6:$A$5000,0),3)="","",IFERROR(1*INDEX('CONTROLE PRODUÇÃO POR EMPRESAS'!$H$6:$J$5000,MATCH($A2548,'CONTROLE PRODUÇÃO POR EMPRESAS'!$A$6:$A$5000,0),3),"")),"")</f>
        <v/>
      </c>
      <c r="I2548">
        <f>IF(OR(NOT(ISNUMBER(G2548)),NOT(ISNUMBER(H2548))),"",H2548-G2548)</f>
        <v/>
      </c>
      <c r="J2548">
        <f>IF(OR(NOT(ISNUMBER(G2548)),NOT(ISNUMBER(H2548)),G2548=0),"",I2548/G2548)</f>
        <v/>
      </c>
      <c r="K2548">
        <f>IF(OR(NOT(ISNUMBER(G2548)),NOT(ISNUMBER(H2548)),G2548=0),"",H2548/G2548)</f>
        <v/>
      </c>
      <c r="L2548">
        <f>IF(NOT(ISNUMBER(G2548)),"SEM META",IF(G2548=0,"SEM META",IF(NOT(ISNUMBER(H2548)),"SEM APONTAMENTO",IF(H2548&gt;=G2548,"VERDE",IF(H2548&gt;=G2548*0.9,"AMARELO","VERMELHO")))))</f>
        <v/>
      </c>
    </row>
    <row r="2549">
      <c r="A2549" s="321" t="n">
        <v>46358</v>
      </c>
      <c r="B2549" t="inlineStr">
        <is>
          <t>GERAL</t>
        </is>
      </c>
      <c r="C2549" t="inlineStr">
        <is>
          <t>GLOBO AÇOS</t>
        </is>
      </c>
      <c r="D2549" t="inlineStr">
        <is>
          <t>PERFILAÇÃO</t>
        </is>
      </c>
      <c r="F2549">
        <f>IFERROR(INDEX('BASE METAS DIÁRIAS'!$AA$2:$AC$358,MATCH($A2549,'BASE METAS DIÁRIAS'!$A$2:$A$358,0),1),"")</f>
        <v/>
      </c>
      <c r="G2549">
        <f>IFERROR(IF(WEEKDAY($A2549,2)&lt;=INDEX('BASE METAS DIÁRIAS'!$X$2:$Z$358,MATCH($A2549,'BASE METAS DIÁRIAS'!$A$2:$A$358,0),1),INDEX('BASE METAS DIÁRIAS'!$U$2:$W$358,MATCH($A2549,'BASE METAS DIÁRIAS'!$A$2:$A$358,0),1),""),"")</f>
        <v/>
      </c>
      <c r="H2549">
        <f>IFERROR(IF(INDEX('CONTROLE PRODUÇÃO POR EMPRESAS'!$H$6:$J$5000,MATCH($A2549,'CONTROLE PRODUÇÃO POR EMPRESAS'!$A$6:$A$5000,0),1)="","",IFERROR(1*INDEX('CONTROLE PRODUÇÃO POR EMPRESAS'!$H$6:$J$5000,MATCH($A2549,'CONTROLE PRODUÇÃO POR EMPRESAS'!$A$6:$A$5000,0),1),"")),"")</f>
        <v/>
      </c>
      <c r="I2549">
        <f>IF(OR(NOT(ISNUMBER(G2549)),NOT(ISNUMBER(H2549))),"",H2549-G2549)</f>
        <v/>
      </c>
      <c r="J2549">
        <f>IF(OR(NOT(ISNUMBER(G2549)),NOT(ISNUMBER(H2549)),G2549=0),"",I2549/G2549)</f>
        <v/>
      </c>
      <c r="K2549">
        <f>IF(OR(NOT(ISNUMBER(G2549)),NOT(ISNUMBER(H2549)),G2549=0),"",H2549/G2549)</f>
        <v/>
      </c>
      <c r="L2549">
        <f>IF(NOT(ISNUMBER(G2549)),"SEM META",IF(G2549=0,"SEM META",IF(NOT(ISNUMBER(H2549)),"SEM APONTAMENTO",IF(H2549&gt;=G2549,"VERDE",IF(H2549&gt;=G2549*0.9,"AMARELO","VERMELHO")))))</f>
        <v/>
      </c>
    </row>
    <row r="2550">
      <c r="A2550" s="321" t="n">
        <v>46358</v>
      </c>
      <c r="B2550" t="inlineStr">
        <is>
          <t>GERAL</t>
        </is>
      </c>
      <c r="C2550" t="inlineStr">
        <is>
          <t>GLOBO AÇOS</t>
        </is>
      </c>
      <c r="D2550" t="inlineStr">
        <is>
          <t>TELHAR</t>
        </is>
      </c>
      <c r="F2550">
        <f>IFERROR(INDEX('BASE METAS DIÁRIAS'!$AA$2:$AC$358,MATCH($A2550,'BASE METAS DIÁRIAS'!$A$2:$A$358,0),2),"")</f>
        <v/>
      </c>
      <c r="G2550">
        <f>IFERROR(IF(WEEKDAY($A2550,2)&lt;=INDEX('BASE METAS DIÁRIAS'!$X$2:$Z$358,MATCH($A2550,'BASE METAS DIÁRIAS'!$A$2:$A$358,0),2),INDEX('BASE METAS DIÁRIAS'!$U$2:$W$358,MATCH($A2550,'BASE METAS DIÁRIAS'!$A$2:$A$358,0),2),""),"")</f>
        <v/>
      </c>
      <c r="H2550">
        <f>IFERROR(IF(INDEX('CONTROLE PRODUÇÃO POR EMPRESAS'!$H$6:$J$5000,MATCH($A2550,'CONTROLE PRODUÇÃO POR EMPRESAS'!$A$6:$A$5000,0),2)="","",IFERROR(1*INDEX('CONTROLE PRODUÇÃO POR EMPRESAS'!$H$6:$J$5000,MATCH($A2550,'CONTROLE PRODUÇÃO POR EMPRESAS'!$A$6:$A$5000,0),2),"")),"")</f>
        <v/>
      </c>
      <c r="I2550">
        <f>IF(OR(NOT(ISNUMBER(G2550)),NOT(ISNUMBER(H2550))),"",H2550-G2550)</f>
        <v/>
      </c>
      <c r="J2550">
        <f>IF(OR(NOT(ISNUMBER(G2550)),NOT(ISNUMBER(H2550)),G2550=0),"",I2550/G2550)</f>
        <v/>
      </c>
      <c r="K2550">
        <f>IF(OR(NOT(ISNUMBER(G2550)),NOT(ISNUMBER(H2550)),G2550=0),"",H2550/G2550)</f>
        <v/>
      </c>
      <c r="L2550">
        <f>IF(NOT(ISNUMBER(G2550)),"SEM META",IF(G2550=0,"SEM META",IF(NOT(ISNUMBER(H2550)),"SEM APONTAMENTO",IF(H2550&gt;=G2550,"VERDE",IF(H2550&gt;=G2550*0.9,"AMARELO","VERMELHO")))))</f>
        <v/>
      </c>
    </row>
    <row r="2551">
      <c r="A2551" s="321" t="n">
        <v>46358</v>
      </c>
      <c r="B2551" t="inlineStr">
        <is>
          <t>GERAL</t>
        </is>
      </c>
      <c r="C2551" t="inlineStr">
        <is>
          <t>GLOBO AÇOS</t>
        </is>
      </c>
      <c r="D2551" t="inlineStr">
        <is>
          <t>FECHAMENTO</t>
        </is>
      </c>
      <c r="F2551">
        <f>IFERROR(INDEX('BASE METAS DIÁRIAS'!$AA$2:$AC$358,MATCH($A2551,'BASE METAS DIÁRIAS'!$A$2:$A$358,0),3),"")</f>
        <v/>
      </c>
      <c r="G2551">
        <f>IFERROR(IF(WEEKDAY($A2551,2)&lt;=INDEX('BASE METAS DIÁRIAS'!$X$2:$Z$358,MATCH($A2551,'BASE METAS DIÁRIAS'!$A$2:$A$358,0),3),INDEX('BASE METAS DIÁRIAS'!$U$2:$W$358,MATCH($A2551,'BASE METAS DIÁRIAS'!$A$2:$A$358,0),3),""),"")</f>
        <v/>
      </c>
      <c r="H2551">
        <f>IFERROR(IF(INDEX('CONTROLE PRODUÇÃO POR EMPRESAS'!$H$6:$J$5000,MATCH($A2551,'CONTROLE PRODUÇÃO POR EMPRESAS'!$A$6:$A$5000,0),3)="","",IFERROR(1*INDEX('CONTROLE PRODUÇÃO POR EMPRESAS'!$H$6:$J$5000,MATCH($A2551,'CONTROLE PRODUÇÃO POR EMPRESAS'!$A$6:$A$5000,0),3),"")),"")</f>
        <v/>
      </c>
      <c r="I2551">
        <f>IF(OR(NOT(ISNUMBER(G2551)),NOT(ISNUMBER(H2551))),"",H2551-G2551)</f>
        <v/>
      </c>
      <c r="J2551">
        <f>IF(OR(NOT(ISNUMBER(G2551)),NOT(ISNUMBER(H2551)),G2551=0),"",I2551/G2551)</f>
        <v/>
      </c>
      <c r="K2551">
        <f>IF(OR(NOT(ISNUMBER(G2551)),NOT(ISNUMBER(H2551)),G2551=0),"",H2551/G2551)</f>
        <v/>
      </c>
      <c r="L2551">
        <f>IF(NOT(ISNUMBER(G2551)),"SEM META",IF(G2551=0,"SEM META",IF(NOT(ISNUMBER(H2551)),"SEM APONTAMENTO",IF(H2551&gt;=G2551,"VERDE",IF(H2551&gt;=G2551*0.9,"AMARELO","VERMELHO")))))</f>
        <v/>
      </c>
    </row>
    <row r="2552">
      <c r="A2552" s="321" t="n">
        <v>46359</v>
      </c>
      <c r="B2552" t="inlineStr">
        <is>
          <t>GERAL</t>
        </is>
      </c>
      <c r="C2552" t="inlineStr">
        <is>
          <t>GLOBO AÇOS</t>
        </is>
      </c>
      <c r="D2552" t="inlineStr">
        <is>
          <t>PERFILAÇÃO</t>
        </is>
      </c>
      <c r="F2552">
        <f>IFERROR(INDEX('BASE METAS DIÁRIAS'!$AA$2:$AC$358,MATCH($A2552,'BASE METAS DIÁRIAS'!$A$2:$A$358,0),1),"")</f>
        <v/>
      </c>
      <c r="G2552">
        <f>IFERROR(IF(WEEKDAY($A2552,2)&lt;=INDEX('BASE METAS DIÁRIAS'!$X$2:$Z$358,MATCH($A2552,'BASE METAS DIÁRIAS'!$A$2:$A$358,0),1),INDEX('BASE METAS DIÁRIAS'!$U$2:$W$358,MATCH($A2552,'BASE METAS DIÁRIAS'!$A$2:$A$358,0),1),""),"")</f>
        <v/>
      </c>
      <c r="H2552">
        <f>IFERROR(IF(INDEX('CONTROLE PRODUÇÃO POR EMPRESAS'!$H$6:$J$5000,MATCH($A2552,'CONTROLE PRODUÇÃO POR EMPRESAS'!$A$6:$A$5000,0),1)="","",IFERROR(1*INDEX('CONTROLE PRODUÇÃO POR EMPRESAS'!$H$6:$J$5000,MATCH($A2552,'CONTROLE PRODUÇÃO POR EMPRESAS'!$A$6:$A$5000,0),1),"")),"")</f>
        <v/>
      </c>
      <c r="I2552">
        <f>IF(OR(NOT(ISNUMBER(G2552)),NOT(ISNUMBER(H2552))),"",H2552-G2552)</f>
        <v/>
      </c>
      <c r="J2552">
        <f>IF(OR(NOT(ISNUMBER(G2552)),NOT(ISNUMBER(H2552)),G2552=0),"",I2552/G2552)</f>
        <v/>
      </c>
      <c r="K2552">
        <f>IF(OR(NOT(ISNUMBER(G2552)),NOT(ISNUMBER(H2552)),G2552=0),"",H2552/G2552)</f>
        <v/>
      </c>
      <c r="L2552">
        <f>IF(NOT(ISNUMBER(G2552)),"SEM META",IF(G2552=0,"SEM META",IF(NOT(ISNUMBER(H2552)),"SEM APONTAMENTO",IF(H2552&gt;=G2552,"VERDE",IF(H2552&gt;=G2552*0.9,"AMARELO","VERMELHO")))))</f>
        <v/>
      </c>
    </row>
    <row r="2553">
      <c r="A2553" s="321" t="n">
        <v>46359</v>
      </c>
      <c r="B2553" t="inlineStr">
        <is>
          <t>GERAL</t>
        </is>
      </c>
      <c r="C2553" t="inlineStr">
        <is>
          <t>GLOBO AÇOS</t>
        </is>
      </c>
      <c r="D2553" t="inlineStr">
        <is>
          <t>TELHAR</t>
        </is>
      </c>
      <c r="F2553">
        <f>IFERROR(INDEX('BASE METAS DIÁRIAS'!$AA$2:$AC$358,MATCH($A2553,'BASE METAS DIÁRIAS'!$A$2:$A$358,0),2),"")</f>
        <v/>
      </c>
      <c r="G2553">
        <f>IFERROR(IF(WEEKDAY($A2553,2)&lt;=INDEX('BASE METAS DIÁRIAS'!$X$2:$Z$358,MATCH($A2553,'BASE METAS DIÁRIAS'!$A$2:$A$358,0),2),INDEX('BASE METAS DIÁRIAS'!$U$2:$W$358,MATCH($A2553,'BASE METAS DIÁRIAS'!$A$2:$A$358,0),2),""),"")</f>
        <v/>
      </c>
      <c r="H2553">
        <f>IFERROR(IF(INDEX('CONTROLE PRODUÇÃO POR EMPRESAS'!$H$6:$J$5000,MATCH($A2553,'CONTROLE PRODUÇÃO POR EMPRESAS'!$A$6:$A$5000,0),2)="","",IFERROR(1*INDEX('CONTROLE PRODUÇÃO POR EMPRESAS'!$H$6:$J$5000,MATCH($A2553,'CONTROLE PRODUÇÃO POR EMPRESAS'!$A$6:$A$5000,0),2),"")),"")</f>
        <v/>
      </c>
      <c r="I2553">
        <f>IF(OR(NOT(ISNUMBER(G2553)),NOT(ISNUMBER(H2553))),"",H2553-G2553)</f>
        <v/>
      </c>
      <c r="J2553">
        <f>IF(OR(NOT(ISNUMBER(G2553)),NOT(ISNUMBER(H2553)),G2553=0),"",I2553/G2553)</f>
        <v/>
      </c>
      <c r="K2553">
        <f>IF(OR(NOT(ISNUMBER(G2553)),NOT(ISNUMBER(H2553)),G2553=0),"",H2553/G2553)</f>
        <v/>
      </c>
      <c r="L2553">
        <f>IF(NOT(ISNUMBER(G2553)),"SEM META",IF(G2553=0,"SEM META",IF(NOT(ISNUMBER(H2553)),"SEM APONTAMENTO",IF(H2553&gt;=G2553,"VERDE",IF(H2553&gt;=G2553*0.9,"AMARELO","VERMELHO")))))</f>
        <v/>
      </c>
    </row>
    <row r="2554">
      <c r="A2554" s="321" t="n">
        <v>46359</v>
      </c>
      <c r="B2554" t="inlineStr">
        <is>
          <t>GERAL</t>
        </is>
      </c>
      <c r="C2554" t="inlineStr">
        <is>
          <t>GLOBO AÇOS</t>
        </is>
      </c>
      <c r="D2554" t="inlineStr">
        <is>
          <t>FECHAMENTO</t>
        </is>
      </c>
      <c r="F2554">
        <f>IFERROR(INDEX('BASE METAS DIÁRIAS'!$AA$2:$AC$358,MATCH($A2554,'BASE METAS DIÁRIAS'!$A$2:$A$358,0),3),"")</f>
        <v/>
      </c>
      <c r="G2554">
        <f>IFERROR(IF(WEEKDAY($A2554,2)&lt;=INDEX('BASE METAS DIÁRIAS'!$X$2:$Z$358,MATCH($A2554,'BASE METAS DIÁRIAS'!$A$2:$A$358,0),3),INDEX('BASE METAS DIÁRIAS'!$U$2:$W$358,MATCH($A2554,'BASE METAS DIÁRIAS'!$A$2:$A$358,0),3),""),"")</f>
        <v/>
      </c>
      <c r="H2554">
        <f>IFERROR(IF(INDEX('CONTROLE PRODUÇÃO POR EMPRESAS'!$H$6:$J$5000,MATCH($A2554,'CONTROLE PRODUÇÃO POR EMPRESAS'!$A$6:$A$5000,0),3)="","",IFERROR(1*INDEX('CONTROLE PRODUÇÃO POR EMPRESAS'!$H$6:$J$5000,MATCH($A2554,'CONTROLE PRODUÇÃO POR EMPRESAS'!$A$6:$A$5000,0),3),"")),"")</f>
        <v/>
      </c>
      <c r="I2554">
        <f>IF(OR(NOT(ISNUMBER(G2554)),NOT(ISNUMBER(H2554))),"",H2554-G2554)</f>
        <v/>
      </c>
      <c r="J2554">
        <f>IF(OR(NOT(ISNUMBER(G2554)),NOT(ISNUMBER(H2554)),G2554=0),"",I2554/G2554)</f>
        <v/>
      </c>
      <c r="K2554">
        <f>IF(OR(NOT(ISNUMBER(G2554)),NOT(ISNUMBER(H2554)),G2554=0),"",H2554/G2554)</f>
        <v/>
      </c>
      <c r="L2554">
        <f>IF(NOT(ISNUMBER(G2554)),"SEM META",IF(G2554=0,"SEM META",IF(NOT(ISNUMBER(H2554)),"SEM APONTAMENTO",IF(H2554&gt;=G2554,"VERDE",IF(H2554&gt;=G2554*0.9,"AMARELO","VERMELHO")))))</f>
        <v/>
      </c>
    </row>
    <row r="2555">
      <c r="A2555" s="321" t="n">
        <v>46360</v>
      </c>
      <c r="B2555" t="inlineStr">
        <is>
          <t>GERAL</t>
        </is>
      </c>
      <c r="C2555" t="inlineStr">
        <is>
          <t>GLOBO AÇOS</t>
        </is>
      </c>
      <c r="D2555" t="inlineStr">
        <is>
          <t>PERFILAÇÃO</t>
        </is>
      </c>
      <c r="F2555">
        <f>IFERROR(INDEX('BASE METAS DIÁRIAS'!$AA$2:$AC$358,MATCH($A2555,'BASE METAS DIÁRIAS'!$A$2:$A$358,0),1),"")</f>
        <v/>
      </c>
      <c r="G2555">
        <f>IFERROR(IF(WEEKDAY($A2555,2)&lt;=INDEX('BASE METAS DIÁRIAS'!$X$2:$Z$358,MATCH($A2555,'BASE METAS DIÁRIAS'!$A$2:$A$358,0),1),INDEX('BASE METAS DIÁRIAS'!$U$2:$W$358,MATCH($A2555,'BASE METAS DIÁRIAS'!$A$2:$A$358,0),1),""),"")</f>
        <v/>
      </c>
      <c r="H2555">
        <f>IFERROR(IF(INDEX('CONTROLE PRODUÇÃO POR EMPRESAS'!$H$6:$J$5000,MATCH($A2555,'CONTROLE PRODUÇÃO POR EMPRESAS'!$A$6:$A$5000,0),1)="","",IFERROR(1*INDEX('CONTROLE PRODUÇÃO POR EMPRESAS'!$H$6:$J$5000,MATCH($A2555,'CONTROLE PRODUÇÃO POR EMPRESAS'!$A$6:$A$5000,0),1),"")),"")</f>
        <v/>
      </c>
      <c r="I2555">
        <f>IF(OR(NOT(ISNUMBER(G2555)),NOT(ISNUMBER(H2555))),"",H2555-G2555)</f>
        <v/>
      </c>
      <c r="J2555">
        <f>IF(OR(NOT(ISNUMBER(G2555)),NOT(ISNUMBER(H2555)),G2555=0),"",I2555/G2555)</f>
        <v/>
      </c>
      <c r="K2555">
        <f>IF(OR(NOT(ISNUMBER(G2555)),NOT(ISNUMBER(H2555)),G2555=0),"",H2555/G2555)</f>
        <v/>
      </c>
      <c r="L2555">
        <f>IF(NOT(ISNUMBER(G2555)),"SEM META",IF(G2555=0,"SEM META",IF(NOT(ISNUMBER(H2555)),"SEM APONTAMENTO",IF(H2555&gt;=G2555,"VERDE",IF(H2555&gt;=G2555*0.9,"AMARELO","VERMELHO")))))</f>
        <v/>
      </c>
    </row>
    <row r="2556">
      <c r="A2556" s="321" t="n">
        <v>46360</v>
      </c>
      <c r="B2556" t="inlineStr">
        <is>
          <t>GERAL</t>
        </is>
      </c>
      <c r="C2556" t="inlineStr">
        <is>
          <t>GLOBO AÇOS</t>
        </is>
      </c>
      <c r="D2556" t="inlineStr">
        <is>
          <t>TELHAR</t>
        </is>
      </c>
      <c r="F2556">
        <f>IFERROR(INDEX('BASE METAS DIÁRIAS'!$AA$2:$AC$358,MATCH($A2556,'BASE METAS DIÁRIAS'!$A$2:$A$358,0),2),"")</f>
        <v/>
      </c>
      <c r="G2556">
        <f>IFERROR(IF(WEEKDAY($A2556,2)&lt;=INDEX('BASE METAS DIÁRIAS'!$X$2:$Z$358,MATCH($A2556,'BASE METAS DIÁRIAS'!$A$2:$A$358,0),2),INDEX('BASE METAS DIÁRIAS'!$U$2:$W$358,MATCH($A2556,'BASE METAS DIÁRIAS'!$A$2:$A$358,0),2),""),"")</f>
        <v/>
      </c>
      <c r="H2556">
        <f>IFERROR(IF(INDEX('CONTROLE PRODUÇÃO POR EMPRESAS'!$H$6:$J$5000,MATCH($A2556,'CONTROLE PRODUÇÃO POR EMPRESAS'!$A$6:$A$5000,0),2)="","",IFERROR(1*INDEX('CONTROLE PRODUÇÃO POR EMPRESAS'!$H$6:$J$5000,MATCH($A2556,'CONTROLE PRODUÇÃO POR EMPRESAS'!$A$6:$A$5000,0),2),"")),"")</f>
        <v/>
      </c>
      <c r="I2556">
        <f>IF(OR(NOT(ISNUMBER(G2556)),NOT(ISNUMBER(H2556))),"",H2556-G2556)</f>
        <v/>
      </c>
      <c r="J2556">
        <f>IF(OR(NOT(ISNUMBER(G2556)),NOT(ISNUMBER(H2556)),G2556=0),"",I2556/G2556)</f>
        <v/>
      </c>
      <c r="K2556">
        <f>IF(OR(NOT(ISNUMBER(G2556)),NOT(ISNUMBER(H2556)),G2556=0),"",H2556/G2556)</f>
        <v/>
      </c>
      <c r="L2556">
        <f>IF(NOT(ISNUMBER(G2556)),"SEM META",IF(G2556=0,"SEM META",IF(NOT(ISNUMBER(H2556)),"SEM APONTAMENTO",IF(H2556&gt;=G2556,"VERDE",IF(H2556&gt;=G2556*0.9,"AMARELO","VERMELHO")))))</f>
        <v/>
      </c>
    </row>
    <row r="2557">
      <c r="A2557" s="321" t="n">
        <v>46360</v>
      </c>
      <c r="B2557" t="inlineStr">
        <is>
          <t>GERAL</t>
        </is>
      </c>
      <c r="C2557" t="inlineStr">
        <is>
          <t>GLOBO AÇOS</t>
        </is>
      </c>
      <c r="D2557" t="inlineStr">
        <is>
          <t>FECHAMENTO</t>
        </is>
      </c>
      <c r="F2557">
        <f>IFERROR(INDEX('BASE METAS DIÁRIAS'!$AA$2:$AC$358,MATCH($A2557,'BASE METAS DIÁRIAS'!$A$2:$A$358,0),3),"")</f>
        <v/>
      </c>
      <c r="G2557">
        <f>IFERROR(IF(WEEKDAY($A2557,2)&lt;=INDEX('BASE METAS DIÁRIAS'!$X$2:$Z$358,MATCH($A2557,'BASE METAS DIÁRIAS'!$A$2:$A$358,0),3),INDEX('BASE METAS DIÁRIAS'!$U$2:$W$358,MATCH($A2557,'BASE METAS DIÁRIAS'!$A$2:$A$358,0),3),""),"")</f>
        <v/>
      </c>
      <c r="H2557">
        <f>IFERROR(IF(INDEX('CONTROLE PRODUÇÃO POR EMPRESAS'!$H$6:$J$5000,MATCH($A2557,'CONTROLE PRODUÇÃO POR EMPRESAS'!$A$6:$A$5000,0),3)="","",IFERROR(1*INDEX('CONTROLE PRODUÇÃO POR EMPRESAS'!$H$6:$J$5000,MATCH($A2557,'CONTROLE PRODUÇÃO POR EMPRESAS'!$A$6:$A$5000,0),3),"")),"")</f>
        <v/>
      </c>
      <c r="I2557">
        <f>IF(OR(NOT(ISNUMBER(G2557)),NOT(ISNUMBER(H2557))),"",H2557-G2557)</f>
        <v/>
      </c>
      <c r="J2557">
        <f>IF(OR(NOT(ISNUMBER(G2557)),NOT(ISNUMBER(H2557)),G2557=0),"",I2557/G2557)</f>
        <v/>
      </c>
      <c r="K2557">
        <f>IF(OR(NOT(ISNUMBER(G2557)),NOT(ISNUMBER(H2557)),G2557=0),"",H2557/G2557)</f>
        <v/>
      </c>
      <c r="L2557">
        <f>IF(NOT(ISNUMBER(G2557)),"SEM META",IF(G2557=0,"SEM META",IF(NOT(ISNUMBER(H2557)),"SEM APONTAMENTO",IF(H2557&gt;=G2557,"VERDE",IF(H2557&gt;=G2557*0.9,"AMARELO","VERMELHO")))))</f>
        <v/>
      </c>
    </row>
    <row r="2558">
      <c r="A2558" s="321" t="n">
        <v>46361</v>
      </c>
      <c r="B2558" t="inlineStr">
        <is>
          <t>GERAL</t>
        </is>
      </c>
      <c r="C2558" t="inlineStr">
        <is>
          <t>GLOBO AÇOS</t>
        </is>
      </c>
      <c r="D2558" t="inlineStr">
        <is>
          <t>PERFILAÇÃO</t>
        </is>
      </c>
      <c r="F2558">
        <f>IFERROR(INDEX('BASE METAS DIÁRIAS'!$AA$2:$AC$358,MATCH($A2558,'BASE METAS DIÁRIAS'!$A$2:$A$358,0),1),"")</f>
        <v/>
      </c>
      <c r="G2558">
        <f>IFERROR(IF(WEEKDAY($A2558,2)&lt;=INDEX('BASE METAS DIÁRIAS'!$X$2:$Z$358,MATCH($A2558,'BASE METAS DIÁRIAS'!$A$2:$A$358,0),1),INDEX('BASE METAS DIÁRIAS'!$U$2:$W$358,MATCH($A2558,'BASE METAS DIÁRIAS'!$A$2:$A$358,0),1),""),"")</f>
        <v/>
      </c>
      <c r="H2558">
        <f>IFERROR(IF(INDEX('CONTROLE PRODUÇÃO POR EMPRESAS'!$H$6:$J$5000,MATCH($A2558,'CONTROLE PRODUÇÃO POR EMPRESAS'!$A$6:$A$5000,0),1)="","",IFERROR(1*INDEX('CONTROLE PRODUÇÃO POR EMPRESAS'!$H$6:$J$5000,MATCH($A2558,'CONTROLE PRODUÇÃO POR EMPRESAS'!$A$6:$A$5000,0),1),"")),"")</f>
        <v/>
      </c>
      <c r="I2558">
        <f>IF(OR(NOT(ISNUMBER(G2558)),NOT(ISNUMBER(H2558))),"",H2558-G2558)</f>
        <v/>
      </c>
      <c r="J2558">
        <f>IF(OR(NOT(ISNUMBER(G2558)),NOT(ISNUMBER(H2558)),G2558=0),"",I2558/G2558)</f>
        <v/>
      </c>
      <c r="K2558">
        <f>IF(OR(NOT(ISNUMBER(G2558)),NOT(ISNUMBER(H2558)),G2558=0),"",H2558/G2558)</f>
        <v/>
      </c>
      <c r="L2558">
        <f>IF(NOT(ISNUMBER(G2558)),"SEM META",IF(G2558=0,"SEM META",IF(NOT(ISNUMBER(H2558)),"SEM APONTAMENTO",IF(H2558&gt;=G2558,"VERDE",IF(H2558&gt;=G2558*0.9,"AMARELO","VERMELHO")))))</f>
        <v/>
      </c>
    </row>
    <row r="2559">
      <c r="A2559" s="321" t="n">
        <v>46361</v>
      </c>
      <c r="B2559" t="inlineStr">
        <is>
          <t>GERAL</t>
        </is>
      </c>
      <c r="C2559" t="inlineStr">
        <is>
          <t>GLOBO AÇOS</t>
        </is>
      </c>
      <c r="D2559" t="inlineStr">
        <is>
          <t>TELHAR</t>
        </is>
      </c>
      <c r="F2559">
        <f>IFERROR(INDEX('BASE METAS DIÁRIAS'!$AA$2:$AC$358,MATCH($A2559,'BASE METAS DIÁRIAS'!$A$2:$A$358,0),2),"")</f>
        <v/>
      </c>
      <c r="G2559">
        <f>IFERROR(IF(WEEKDAY($A2559,2)&lt;=INDEX('BASE METAS DIÁRIAS'!$X$2:$Z$358,MATCH($A2559,'BASE METAS DIÁRIAS'!$A$2:$A$358,0),2),INDEX('BASE METAS DIÁRIAS'!$U$2:$W$358,MATCH($A2559,'BASE METAS DIÁRIAS'!$A$2:$A$358,0),2),""),"")</f>
        <v/>
      </c>
      <c r="H2559">
        <f>IFERROR(IF(INDEX('CONTROLE PRODUÇÃO POR EMPRESAS'!$H$6:$J$5000,MATCH($A2559,'CONTROLE PRODUÇÃO POR EMPRESAS'!$A$6:$A$5000,0),2)="","",IFERROR(1*INDEX('CONTROLE PRODUÇÃO POR EMPRESAS'!$H$6:$J$5000,MATCH($A2559,'CONTROLE PRODUÇÃO POR EMPRESAS'!$A$6:$A$5000,0),2),"")),"")</f>
        <v/>
      </c>
      <c r="I2559">
        <f>IF(OR(NOT(ISNUMBER(G2559)),NOT(ISNUMBER(H2559))),"",H2559-G2559)</f>
        <v/>
      </c>
      <c r="J2559">
        <f>IF(OR(NOT(ISNUMBER(G2559)),NOT(ISNUMBER(H2559)),G2559=0),"",I2559/G2559)</f>
        <v/>
      </c>
      <c r="K2559">
        <f>IF(OR(NOT(ISNUMBER(G2559)),NOT(ISNUMBER(H2559)),G2559=0),"",H2559/G2559)</f>
        <v/>
      </c>
      <c r="L2559">
        <f>IF(NOT(ISNUMBER(G2559)),"SEM META",IF(G2559=0,"SEM META",IF(NOT(ISNUMBER(H2559)),"SEM APONTAMENTO",IF(H2559&gt;=G2559,"VERDE",IF(H2559&gt;=G2559*0.9,"AMARELO","VERMELHO")))))</f>
        <v/>
      </c>
    </row>
    <row r="2560">
      <c r="A2560" s="321" t="n">
        <v>46361</v>
      </c>
      <c r="B2560" t="inlineStr">
        <is>
          <t>GERAL</t>
        </is>
      </c>
      <c r="C2560" t="inlineStr">
        <is>
          <t>GLOBO AÇOS</t>
        </is>
      </c>
      <c r="D2560" t="inlineStr">
        <is>
          <t>FECHAMENTO</t>
        </is>
      </c>
      <c r="F2560">
        <f>IFERROR(INDEX('BASE METAS DIÁRIAS'!$AA$2:$AC$358,MATCH($A2560,'BASE METAS DIÁRIAS'!$A$2:$A$358,0),3),"")</f>
        <v/>
      </c>
      <c r="G2560">
        <f>IFERROR(IF(WEEKDAY($A2560,2)&lt;=INDEX('BASE METAS DIÁRIAS'!$X$2:$Z$358,MATCH($A2560,'BASE METAS DIÁRIAS'!$A$2:$A$358,0),3),INDEX('BASE METAS DIÁRIAS'!$U$2:$W$358,MATCH($A2560,'BASE METAS DIÁRIAS'!$A$2:$A$358,0),3),""),"")</f>
        <v/>
      </c>
      <c r="H2560">
        <f>IFERROR(IF(INDEX('CONTROLE PRODUÇÃO POR EMPRESAS'!$H$6:$J$5000,MATCH($A2560,'CONTROLE PRODUÇÃO POR EMPRESAS'!$A$6:$A$5000,0),3)="","",IFERROR(1*INDEX('CONTROLE PRODUÇÃO POR EMPRESAS'!$H$6:$J$5000,MATCH($A2560,'CONTROLE PRODUÇÃO POR EMPRESAS'!$A$6:$A$5000,0),3),"")),"")</f>
        <v/>
      </c>
      <c r="I2560">
        <f>IF(OR(NOT(ISNUMBER(G2560)),NOT(ISNUMBER(H2560))),"",H2560-G2560)</f>
        <v/>
      </c>
      <c r="J2560">
        <f>IF(OR(NOT(ISNUMBER(G2560)),NOT(ISNUMBER(H2560)),G2560=0),"",I2560/G2560)</f>
        <v/>
      </c>
      <c r="K2560">
        <f>IF(OR(NOT(ISNUMBER(G2560)),NOT(ISNUMBER(H2560)),G2560=0),"",H2560/G2560)</f>
        <v/>
      </c>
      <c r="L2560">
        <f>IF(NOT(ISNUMBER(G2560)),"SEM META",IF(G2560=0,"SEM META",IF(NOT(ISNUMBER(H2560)),"SEM APONTAMENTO",IF(H2560&gt;=G2560,"VERDE",IF(H2560&gt;=G2560*0.9,"AMARELO","VERMELHO")))))</f>
        <v/>
      </c>
    </row>
    <row r="2561">
      <c r="A2561" s="321" t="n">
        <v>46362</v>
      </c>
      <c r="B2561" t="inlineStr">
        <is>
          <t>GERAL</t>
        </is>
      </c>
      <c r="C2561" t="inlineStr">
        <is>
          <t>GLOBO AÇOS</t>
        </is>
      </c>
      <c r="D2561" t="inlineStr">
        <is>
          <t>PERFILAÇÃO</t>
        </is>
      </c>
      <c r="F2561">
        <f>IFERROR(INDEX('BASE METAS DIÁRIAS'!$AA$2:$AC$358,MATCH($A2561,'BASE METAS DIÁRIAS'!$A$2:$A$358,0),1),"")</f>
        <v/>
      </c>
      <c r="G2561">
        <f>IFERROR(IF(WEEKDAY($A2561,2)&lt;=INDEX('BASE METAS DIÁRIAS'!$X$2:$Z$358,MATCH($A2561,'BASE METAS DIÁRIAS'!$A$2:$A$358,0),1),INDEX('BASE METAS DIÁRIAS'!$U$2:$W$358,MATCH($A2561,'BASE METAS DIÁRIAS'!$A$2:$A$358,0),1),""),"")</f>
        <v/>
      </c>
      <c r="H2561">
        <f>IFERROR(IF(INDEX('CONTROLE PRODUÇÃO POR EMPRESAS'!$H$6:$J$5000,MATCH($A2561,'CONTROLE PRODUÇÃO POR EMPRESAS'!$A$6:$A$5000,0),1)="","",IFERROR(1*INDEX('CONTROLE PRODUÇÃO POR EMPRESAS'!$H$6:$J$5000,MATCH($A2561,'CONTROLE PRODUÇÃO POR EMPRESAS'!$A$6:$A$5000,0),1),"")),"")</f>
        <v/>
      </c>
      <c r="I2561">
        <f>IF(OR(NOT(ISNUMBER(G2561)),NOT(ISNUMBER(H2561))),"",H2561-G2561)</f>
        <v/>
      </c>
      <c r="J2561">
        <f>IF(OR(NOT(ISNUMBER(G2561)),NOT(ISNUMBER(H2561)),G2561=0),"",I2561/G2561)</f>
        <v/>
      </c>
      <c r="K2561">
        <f>IF(OR(NOT(ISNUMBER(G2561)),NOT(ISNUMBER(H2561)),G2561=0),"",H2561/G2561)</f>
        <v/>
      </c>
      <c r="L2561">
        <f>IF(NOT(ISNUMBER(G2561)),"SEM META",IF(G2561=0,"SEM META",IF(NOT(ISNUMBER(H2561)),"SEM APONTAMENTO",IF(H2561&gt;=G2561,"VERDE",IF(H2561&gt;=G2561*0.9,"AMARELO","VERMELHO")))))</f>
        <v/>
      </c>
    </row>
    <row r="2562">
      <c r="A2562" s="321" t="n">
        <v>46362</v>
      </c>
      <c r="B2562" t="inlineStr">
        <is>
          <t>GERAL</t>
        </is>
      </c>
      <c r="C2562" t="inlineStr">
        <is>
          <t>GLOBO AÇOS</t>
        </is>
      </c>
      <c r="D2562" t="inlineStr">
        <is>
          <t>TELHAR</t>
        </is>
      </c>
      <c r="F2562">
        <f>IFERROR(INDEX('BASE METAS DIÁRIAS'!$AA$2:$AC$358,MATCH($A2562,'BASE METAS DIÁRIAS'!$A$2:$A$358,0),2),"")</f>
        <v/>
      </c>
      <c r="G2562">
        <f>IFERROR(IF(WEEKDAY($A2562,2)&lt;=INDEX('BASE METAS DIÁRIAS'!$X$2:$Z$358,MATCH($A2562,'BASE METAS DIÁRIAS'!$A$2:$A$358,0),2),INDEX('BASE METAS DIÁRIAS'!$U$2:$W$358,MATCH($A2562,'BASE METAS DIÁRIAS'!$A$2:$A$358,0),2),""),"")</f>
        <v/>
      </c>
      <c r="H2562">
        <f>IFERROR(IF(INDEX('CONTROLE PRODUÇÃO POR EMPRESAS'!$H$6:$J$5000,MATCH($A2562,'CONTROLE PRODUÇÃO POR EMPRESAS'!$A$6:$A$5000,0),2)="","",IFERROR(1*INDEX('CONTROLE PRODUÇÃO POR EMPRESAS'!$H$6:$J$5000,MATCH($A2562,'CONTROLE PRODUÇÃO POR EMPRESAS'!$A$6:$A$5000,0),2),"")),"")</f>
        <v/>
      </c>
      <c r="I2562">
        <f>IF(OR(NOT(ISNUMBER(G2562)),NOT(ISNUMBER(H2562))),"",H2562-G2562)</f>
        <v/>
      </c>
      <c r="J2562">
        <f>IF(OR(NOT(ISNUMBER(G2562)),NOT(ISNUMBER(H2562)),G2562=0),"",I2562/G2562)</f>
        <v/>
      </c>
      <c r="K2562">
        <f>IF(OR(NOT(ISNUMBER(G2562)),NOT(ISNUMBER(H2562)),G2562=0),"",H2562/G2562)</f>
        <v/>
      </c>
      <c r="L2562">
        <f>IF(NOT(ISNUMBER(G2562)),"SEM META",IF(G2562=0,"SEM META",IF(NOT(ISNUMBER(H2562)),"SEM APONTAMENTO",IF(H2562&gt;=G2562,"VERDE",IF(H2562&gt;=G2562*0.9,"AMARELO","VERMELHO")))))</f>
        <v/>
      </c>
    </row>
    <row r="2563">
      <c r="A2563" s="321" t="n">
        <v>46362</v>
      </c>
      <c r="B2563" t="inlineStr">
        <is>
          <t>GERAL</t>
        </is>
      </c>
      <c r="C2563" t="inlineStr">
        <is>
          <t>GLOBO AÇOS</t>
        </is>
      </c>
      <c r="D2563" t="inlineStr">
        <is>
          <t>FECHAMENTO</t>
        </is>
      </c>
      <c r="F2563">
        <f>IFERROR(INDEX('BASE METAS DIÁRIAS'!$AA$2:$AC$358,MATCH($A2563,'BASE METAS DIÁRIAS'!$A$2:$A$358,0),3),"")</f>
        <v/>
      </c>
      <c r="G2563">
        <f>IFERROR(IF(WEEKDAY($A2563,2)&lt;=INDEX('BASE METAS DIÁRIAS'!$X$2:$Z$358,MATCH($A2563,'BASE METAS DIÁRIAS'!$A$2:$A$358,0),3),INDEX('BASE METAS DIÁRIAS'!$U$2:$W$358,MATCH($A2563,'BASE METAS DIÁRIAS'!$A$2:$A$358,0),3),""),"")</f>
        <v/>
      </c>
      <c r="H2563">
        <f>IFERROR(IF(INDEX('CONTROLE PRODUÇÃO POR EMPRESAS'!$H$6:$J$5000,MATCH($A2563,'CONTROLE PRODUÇÃO POR EMPRESAS'!$A$6:$A$5000,0),3)="","",IFERROR(1*INDEX('CONTROLE PRODUÇÃO POR EMPRESAS'!$H$6:$J$5000,MATCH($A2563,'CONTROLE PRODUÇÃO POR EMPRESAS'!$A$6:$A$5000,0),3),"")),"")</f>
        <v/>
      </c>
      <c r="I2563">
        <f>IF(OR(NOT(ISNUMBER(G2563)),NOT(ISNUMBER(H2563))),"",H2563-G2563)</f>
        <v/>
      </c>
      <c r="J2563">
        <f>IF(OR(NOT(ISNUMBER(G2563)),NOT(ISNUMBER(H2563)),G2563=0),"",I2563/G2563)</f>
        <v/>
      </c>
      <c r="K2563">
        <f>IF(OR(NOT(ISNUMBER(G2563)),NOT(ISNUMBER(H2563)),G2563=0),"",H2563/G2563)</f>
        <v/>
      </c>
      <c r="L2563">
        <f>IF(NOT(ISNUMBER(G2563)),"SEM META",IF(G2563=0,"SEM META",IF(NOT(ISNUMBER(H2563)),"SEM APONTAMENTO",IF(H2563&gt;=G2563,"VERDE",IF(H2563&gt;=G2563*0.9,"AMARELO","VERMELHO")))))</f>
        <v/>
      </c>
    </row>
    <row r="2564">
      <c r="A2564" s="321" t="n">
        <v>46363</v>
      </c>
      <c r="B2564" t="inlineStr">
        <is>
          <t>GERAL</t>
        </is>
      </c>
      <c r="C2564" t="inlineStr">
        <is>
          <t>GLOBO AÇOS</t>
        </is>
      </c>
      <c r="D2564" t="inlineStr">
        <is>
          <t>PERFILAÇÃO</t>
        </is>
      </c>
      <c r="F2564">
        <f>IFERROR(INDEX('BASE METAS DIÁRIAS'!$AA$2:$AC$358,MATCH($A2564,'BASE METAS DIÁRIAS'!$A$2:$A$358,0),1),"")</f>
        <v/>
      </c>
      <c r="G2564">
        <f>IFERROR(IF(WEEKDAY($A2564,2)&lt;=INDEX('BASE METAS DIÁRIAS'!$X$2:$Z$358,MATCH($A2564,'BASE METAS DIÁRIAS'!$A$2:$A$358,0),1),INDEX('BASE METAS DIÁRIAS'!$U$2:$W$358,MATCH($A2564,'BASE METAS DIÁRIAS'!$A$2:$A$358,0),1),""),"")</f>
        <v/>
      </c>
      <c r="H2564">
        <f>IFERROR(IF(INDEX('CONTROLE PRODUÇÃO POR EMPRESAS'!$H$6:$J$5000,MATCH($A2564,'CONTROLE PRODUÇÃO POR EMPRESAS'!$A$6:$A$5000,0),1)="","",IFERROR(1*INDEX('CONTROLE PRODUÇÃO POR EMPRESAS'!$H$6:$J$5000,MATCH($A2564,'CONTROLE PRODUÇÃO POR EMPRESAS'!$A$6:$A$5000,0),1),"")),"")</f>
        <v/>
      </c>
      <c r="I2564">
        <f>IF(OR(NOT(ISNUMBER(G2564)),NOT(ISNUMBER(H2564))),"",H2564-G2564)</f>
        <v/>
      </c>
      <c r="J2564">
        <f>IF(OR(NOT(ISNUMBER(G2564)),NOT(ISNUMBER(H2564)),G2564=0),"",I2564/G2564)</f>
        <v/>
      </c>
      <c r="K2564">
        <f>IF(OR(NOT(ISNUMBER(G2564)),NOT(ISNUMBER(H2564)),G2564=0),"",H2564/G2564)</f>
        <v/>
      </c>
      <c r="L2564">
        <f>IF(NOT(ISNUMBER(G2564)),"SEM META",IF(G2564=0,"SEM META",IF(NOT(ISNUMBER(H2564)),"SEM APONTAMENTO",IF(H2564&gt;=G2564,"VERDE",IF(H2564&gt;=G2564*0.9,"AMARELO","VERMELHO")))))</f>
        <v/>
      </c>
    </row>
    <row r="2565">
      <c r="A2565" s="321" t="n">
        <v>46363</v>
      </c>
      <c r="B2565" t="inlineStr">
        <is>
          <t>GERAL</t>
        </is>
      </c>
      <c r="C2565" t="inlineStr">
        <is>
          <t>GLOBO AÇOS</t>
        </is>
      </c>
      <c r="D2565" t="inlineStr">
        <is>
          <t>TELHAR</t>
        </is>
      </c>
      <c r="F2565">
        <f>IFERROR(INDEX('BASE METAS DIÁRIAS'!$AA$2:$AC$358,MATCH($A2565,'BASE METAS DIÁRIAS'!$A$2:$A$358,0),2),"")</f>
        <v/>
      </c>
      <c r="G2565">
        <f>IFERROR(IF(WEEKDAY($A2565,2)&lt;=INDEX('BASE METAS DIÁRIAS'!$X$2:$Z$358,MATCH($A2565,'BASE METAS DIÁRIAS'!$A$2:$A$358,0),2),INDEX('BASE METAS DIÁRIAS'!$U$2:$W$358,MATCH($A2565,'BASE METAS DIÁRIAS'!$A$2:$A$358,0),2),""),"")</f>
        <v/>
      </c>
      <c r="H2565">
        <f>IFERROR(IF(INDEX('CONTROLE PRODUÇÃO POR EMPRESAS'!$H$6:$J$5000,MATCH($A2565,'CONTROLE PRODUÇÃO POR EMPRESAS'!$A$6:$A$5000,0),2)="","",IFERROR(1*INDEX('CONTROLE PRODUÇÃO POR EMPRESAS'!$H$6:$J$5000,MATCH($A2565,'CONTROLE PRODUÇÃO POR EMPRESAS'!$A$6:$A$5000,0),2),"")),"")</f>
        <v/>
      </c>
      <c r="I2565">
        <f>IF(OR(NOT(ISNUMBER(G2565)),NOT(ISNUMBER(H2565))),"",H2565-G2565)</f>
        <v/>
      </c>
      <c r="J2565">
        <f>IF(OR(NOT(ISNUMBER(G2565)),NOT(ISNUMBER(H2565)),G2565=0),"",I2565/G2565)</f>
        <v/>
      </c>
      <c r="K2565">
        <f>IF(OR(NOT(ISNUMBER(G2565)),NOT(ISNUMBER(H2565)),G2565=0),"",H2565/G2565)</f>
        <v/>
      </c>
      <c r="L2565">
        <f>IF(NOT(ISNUMBER(G2565)),"SEM META",IF(G2565=0,"SEM META",IF(NOT(ISNUMBER(H2565)),"SEM APONTAMENTO",IF(H2565&gt;=G2565,"VERDE",IF(H2565&gt;=G2565*0.9,"AMARELO","VERMELHO")))))</f>
        <v/>
      </c>
    </row>
    <row r="2566">
      <c r="A2566" s="321" t="n">
        <v>46363</v>
      </c>
      <c r="B2566" t="inlineStr">
        <is>
          <t>GERAL</t>
        </is>
      </c>
      <c r="C2566" t="inlineStr">
        <is>
          <t>GLOBO AÇOS</t>
        </is>
      </c>
      <c r="D2566" t="inlineStr">
        <is>
          <t>FECHAMENTO</t>
        </is>
      </c>
      <c r="F2566">
        <f>IFERROR(INDEX('BASE METAS DIÁRIAS'!$AA$2:$AC$358,MATCH($A2566,'BASE METAS DIÁRIAS'!$A$2:$A$358,0),3),"")</f>
        <v/>
      </c>
      <c r="G2566">
        <f>IFERROR(IF(WEEKDAY($A2566,2)&lt;=INDEX('BASE METAS DIÁRIAS'!$X$2:$Z$358,MATCH($A2566,'BASE METAS DIÁRIAS'!$A$2:$A$358,0),3),INDEX('BASE METAS DIÁRIAS'!$U$2:$W$358,MATCH($A2566,'BASE METAS DIÁRIAS'!$A$2:$A$358,0),3),""),"")</f>
        <v/>
      </c>
      <c r="H2566">
        <f>IFERROR(IF(INDEX('CONTROLE PRODUÇÃO POR EMPRESAS'!$H$6:$J$5000,MATCH($A2566,'CONTROLE PRODUÇÃO POR EMPRESAS'!$A$6:$A$5000,0),3)="","",IFERROR(1*INDEX('CONTROLE PRODUÇÃO POR EMPRESAS'!$H$6:$J$5000,MATCH($A2566,'CONTROLE PRODUÇÃO POR EMPRESAS'!$A$6:$A$5000,0),3),"")),"")</f>
        <v/>
      </c>
      <c r="I2566">
        <f>IF(OR(NOT(ISNUMBER(G2566)),NOT(ISNUMBER(H2566))),"",H2566-G2566)</f>
        <v/>
      </c>
      <c r="J2566">
        <f>IF(OR(NOT(ISNUMBER(G2566)),NOT(ISNUMBER(H2566)),G2566=0),"",I2566/G2566)</f>
        <v/>
      </c>
      <c r="K2566">
        <f>IF(OR(NOT(ISNUMBER(G2566)),NOT(ISNUMBER(H2566)),G2566=0),"",H2566/G2566)</f>
        <v/>
      </c>
      <c r="L2566">
        <f>IF(NOT(ISNUMBER(G2566)),"SEM META",IF(G2566=0,"SEM META",IF(NOT(ISNUMBER(H2566)),"SEM APONTAMENTO",IF(H2566&gt;=G2566,"VERDE",IF(H2566&gt;=G2566*0.9,"AMARELO","VERMELHO")))))</f>
        <v/>
      </c>
    </row>
    <row r="2567">
      <c r="A2567" s="321" t="n">
        <v>46364</v>
      </c>
      <c r="B2567" t="inlineStr">
        <is>
          <t>GERAL</t>
        </is>
      </c>
      <c r="C2567" t="inlineStr">
        <is>
          <t>GLOBO AÇOS</t>
        </is>
      </c>
      <c r="D2567" t="inlineStr">
        <is>
          <t>PERFILAÇÃO</t>
        </is>
      </c>
      <c r="F2567">
        <f>IFERROR(INDEX('BASE METAS DIÁRIAS'!$AA$2:$AC$358,MATCH($A2567,'BASE METAS DIÁRIAS'!$A$2:$A$358,0),1),"")</f>
        <v/>
      </c>
      <c r="G2567">
        <f>IFERROR(IF(WEEKDAY($A2567,2)&lt;=INDEX('BASE METAS DIÁRIAS'!$X$2:$Z$358,MATCH($A2567,'BASE METAS DIÁRIAS'!$A$2:$A$358,0),1),INDEX('BASE METAS DIÁRIAS'!$U$2:$W$358,MATCH($A2567,'BASE METAS DIÁRIAS'!$A$2:$A$358,0),1),""),"")</f>
        <v/>
      </c>
      <c r="H2567">
        <f>IFERROR(IF(INDEX('CONTROLE PRODUÇÃO POR EMPRESAS'!$H$6:$J$5000,MATCH($A2567,'CONTROLE PRODUÇÃO POR EMPRESAS'!$A$6:$A$5000,0),1)="","",IFERROR(1*INDEX('CONTROLE PRODUÇÃO POR EMPRESAS'!$H$6:$J$5000,MATCH($A2567,'CONTROLE PRODUÇÃO POR EMPRESAS'!$A$6:$A$5000,0),1),"")),"")</f>
        <v/>
      </c>
      <c r="I2567">
        <f>IF(OR(NOT(ISNUMBER(G2567)),NOT(ISNUMBER(H2567))),"",H2567-G2567)</f>
        <v/>
      </c>
      <c r="J2567">
        <f>IF(OR(NOT(ISNUMBER(G2567)),NOT(ISNUMBER(H2567)),G2567=0),"",I2567/G2567)</f>
        <v/>
      </c>
      <c r="K2567">
        <f>IF(OR(NOT(ISNUMBER(G2567)),NOT(ISNUMBER(H2567)),G2567=0),"",H2567/G2567)</f>
        <v/>
      </c>
      <c r="L2567">
        <f>IF(NOT(ISNUMBER(G2567)),"SEM META",IF(G2567=0,"SEM META",IF(NOT(ISNUMBER(H2567)),"SEM APONTAMENTO",IF(H2567&gt;=G2567,"VERDE",IF(H2567&gt;=G2567*0.9,"AMARELO","VERMELHO")))))</f>
        <v/>
      </c>
    </row>
    <row r="2568">
      <c r="A2568" s="321" t="n">
        <v>46364</v>
      </c>
      <c r="B2568" t="inlineStr">
        <is>
          <t>GERAL</t>
        </is>
      </c>
      <c r="C2568" t="inlineStr">
        <is>
          <t>GLOBO AÇOS</t>
        </is>
      </c>
      <c r="D2568" t="inlineStr">
        <is>
          <t>TELHAR</t>
        </is>
      </c>
      <c r="F2568">
        <f>IFERROR(INDEX('BASE METAS DIÁRIAS'!$AA$2:$AC$358,MATCH($A2568,'BASE METAS DIÁRIAS'!$A$2:$A$358,0),2),"")</f>
        <v/>
      </c>
      <c r="G2568">
        <f>IFERROR(IF(WEEKDAY($A2568,2)&lt;=INDEX('BASE METAS DIÁRIAS'!$X$2:$Z$358,MATCH($A2568,'BASE METAS DIÁRIAS'!$A$2:$A$358,0),2),INDEX('BASE METAS DIÁRIAS'!$U$2:$W$358,MATCH($A2568,'BASE METAS DIÁRIAS'!$A$2:$A$358,0),2),""),"")</f>
        <v/>
      </c>
      <c r="H2568">
        <f>IFERROR(IF(INDEX('CONTROLE PRODUÇÃO POR EMPRESAS'!$H$6:$J$5000,MATCH($A2568,'CONTROLE PRODUÇÃO POR EMPRESAS'!$A$6:$A$5000,0),2)="","",IFERROR(1*INDEX('CONTROLE PRODUÇÃO POR EMPRESAS'!$H$6:$J$5000,MATCH($A2568,'CONTROLE PRODUÇÃO POR EMPRESAS'!$A$6:$A$5000,0),2),"")),"")</f>
        <v/>
      </c>
      <c r="I2568">
        <f>IF(OR(NOT(ISNUMBER(G2568)),NOT(ISNUMBER(H2568))),"",H2568-G2568)</f>
        <v/>
      </c>
      <c r="J2568">
        <f>IF(OR(NOT(ISNUMBER(G2568)),NOT(ISNUMBER(H2568)),G2568=0),"",I2568/G2568)</f>
        <v/>
      </c>
      <c r="K2568">
        <f>IF(OR(NOT(ISNUMBER(G2568)),NOT(ISNUMBER(H2568)),G2568=0),"",H2568/G2568)</f>
        <v/>
      </c>
      <c r="L2568">
        <f>IF(NOT(ISNUMBER(G2568)),"SEM META",IF(G2568=0,"SEM META",IF(NOT(ISNUMBER(H2568)),"SEM APONTAMENTO",IF(H2568&gt;=G2568,"VERDE",IF(H2568&gt;=G2568*0.9,"AMARELO","VERMELHO")))))</f>
        <v/>
      </c>
    </row>
    <row r="2569">
      <c r="A2569" s="321" t="n">
        <v>46364</v>
      </c>
      <c r="B2569" t="inlineStr">
        <is>
          <t>GERAL</t>
        </is>
      </c>
      <c r="C2569" t="inlineStr">
        <is>
          <t>GLOBO AÇOS</t>
        </is>
      </c>
      <c r="D2569" t="inlineStr">
        <is>
          <t>FECHAMENTO</t>
        </is>
      </c>
      <c r="F2569">
        <f>IFERROR(INDEX('BASE METAS DIÁRIAS'!$AA$2:$AC$358,MATCH($A2569,'BASE METAS DIÁRIAS'!$A$2:$A$358,0),3),"")</f>
        <v/>
      </c>
      <c r="G2569">
        <f>IFERROR(IF(WEEKDAY($A2569,2)&lt;=INDEX('BASE METAS DIÁRIAS'!$X$2:$Z$358,MATCH($A2569,'BASE METAS DIÁRIAS'!$A$2:$A$358,0),3),INDEX('BASE METAS DIÁRIAS'!$U$2:$W$358,MATCH($A2569,'BASE METAS DIÁRIAS'!$A$2:$A$358,0),3),""),"")</f>
        <v/>
      </c>
      <c r="H2569">
        <f>IFERROR(IF(INDEX('CONTROLE PRODUÇÃO POR EMPRESAS'!$H$6:$J$5000,MATCH($A2569,'CONTROLE PRODUÇÃO POR EMPRESAS'!$A$6:$A$5000,0),3)="","",IFERROR(1*INDEX('CONTROLE PRODUÇÃO POR EMPRESAS'!$H$6:$J$5000,MATCH($A2569,'CONTROLE PRODUÇÃO POR EMPRESAS'!$A$6:$A$5000,0),3),"")),"")</f>
        <v/>
      </c>
      <c r="I2569">
        <f>IF(OR(NOT(ISNUMBER(G2569)),NOT(ISNUMBER(H2569))),"",H2569-G2569)</f>
        <v/>
      </c>
      <c r="J2569">
        <f>IF(OR(NOT(ISNUMBER(G2569)),NOT(ISNUMBER(H2569)),G2569=0),"",I2569/G2569)</f>
        <v/>
      </c>
      <c r="K2569">
        <f>IF(OR(NOT(ISNUMBER(G2569)),NOT(ISNUMBER(H2569)),G2569=0),"",H2569/G2569)</f>
        <v/>
      </c>
      <c r="L2569">
        <f>IF(NOT(ISNUMBER(G2569)),"SEM META",IF(G2569=0,"SEM META",IF(NOT(ISNUMBER(H2569)),"SEM APONTAMENTO",IF(H2569&gt;=G2569,"VERDE",IF(H2569&gt;=G2569*0.9,"AMARELO","VERMELHO")))))</f>
        <v/>
      </c>
    </row>
    <row r="2570">
      <c r="A2570" s="321" t="n">
        <v>46365</v>
      </c>
      <c r="B2570" t="inlineStr">
        <is>
          <t>GERAL</t>
        </is>
      </c>
      <c r="C2570" t="inlineStr">
        <is>
          <t>GLOBO AÇOS</t>
        </is>
      </c>
      <c r="D2570" t="inlineStr">
        <is>
          <t>PERFILAÇÃO</t>
        </is>
      </c>
      <c r="F2570">
        <f>IFERROR(INDEX('BASE METAS DIÁRIAS'!$AA$2:$AC$358,MATCH($A2570,'BASE METAS DIÁRIAS'!$A$2:$A$358,0),1),"")</f>
        <v/>
      </c>
      <c r="G2570">
        <f>IFERROR(IF(WEEKDAY($A2570,2)&lt;=INDEX('BASE METAS DIÁRIAS'!$X$2:$Z$358,MATCH($A2570,'BASE METAS DIÁRIAS'!$A$2:$A$358,0),1),INDEX('BASE METAS DIÁRIAS'!$U$2:$W$358,MATCH($A2570,'BASE METAS DIÁRIAS'!$A$2:$A$358,0),1),""),"")</f>
        <v/>
      </c>
      <c r="H2570">
        <f>IFERROR(IF(INDEX('CONTROLE PRODUÇÃO POR EMPRESAS'!$H$6:$J$5000,MATCH($A2570,'CONTROLE PRODUÇÃO POR EMPRESAS'!$A$6:$A$5000,0),1)="","",IFERROR(1*INDEX('CONTROLE PRODUÇÃO POR EMPRESAS'!$H$6:$J$5000,MATCH($A2570,'CONTROLE PRODUÇÃO POR EMPRESAS'!$A$6:$A$5000,0),1),"")),"")</f>
        <v/>
      </c>
      <c r="I2570">
        <f>IF(OR(NOT(ISNUMBER(G2570)),NOT(ISNUMBER(H2570))),"",H2570-G2570)</f>
        <v/>
      </c>
      <c r="J2570">
        <f>IF(OR(NOT(ISNUMBER(G2570)),NOT(ISNUMBER(H2570)),G2570=0),"",I2570/G2570)</f>
        <v/>
      </c>
      <c r="K2570">
        <f>IF(OR(NOT(ISNUMBER(G2570)),NOT(ISNUMBER(H2570)),G2570=0),"",H2570/G2570)</f>
        <v/>
      </c>
      <c r="L2570">
        <f>IF(NOT(ISNUMBER(G2570)),"SEM META",IF(G2570=0,"SEM META",IF(NOT(ISNUMBER(H2570)),"SEM APONTAMENTO",IF(H2570&gt;=G2570,"VERDE",IF(H2570&gt;=G2570*0.9,"AMARELO","VERMELHO")))))</f>
        <v/>
      </c>
    </row>
    <row r="2571">
      <c r="A2571" s="321" t="n">
        <v>46365</v>
      </c>
      <c r="B2571" t="inlineStr">
        <is>
          <t>GERAL</t>
        </is>
      </c>
      <c r="C2571" t="inlineStr">
        <is>
          <t>GLOBO AÇOS</t>
        </is>
      </c>
      <c r="D2571" t="inlineStr">
        <is>
          <t>TELHAR</t>
        </is>
      </c>
      <c r="F2571">
        <f>IFERROR(INDEX('BASE METAS DIÁRIAS'!$AA$2:$AC$358,MATCH($A2571,'BASE METAS DIÁRIAS'!$A$2:$A$358,0),2),"")</f>
        <v/>
      </c>
      <c r="G2571">
        <f>IFERROR(IF(WEEKDAY($A2571,2)&lt;=INDEX('BASE METAS DIÁRIAS'!$X$2:$Z$358,MATCH($A2571,'BASE METAS DIÁRIAS'!$A$2:$A$358,0),2),INDEX('BASE METAS DIÁRIAS'!$U$2:$W$358,MATCH($A2571,'BASE METAS DIÁRIAS'!$A$2:$A$358,0),2),""),"")</f>
        <v/>
      </c>
      <c r="H2571">
        <f>IFERROR(IF(INDEX('CONTROLE PRODUÇÃO POR EMPRESAS'!$H$6:$J$5000,MATCH($A2571,'CONTROLE PRODUÇÃO POR EMPRESAS'!$A$6:$A$5000,0),2)="","",IFERROR(1*INDEX('CONTROLE PRODUÇÃO POR EMPRESAS'!$H$6:$J$5000,MATCH($A2571,'CONTROLE PRODUÇÃO POR EMPRESAS'!$A$6:$A$5000,0),2),"")),"")</f>
        <v/>
      </c>
      <c r="I2571">
        <f>IF(OR(NOT(ISNUMBER(G2571)),NOT(ISNUMBER(H2571))),"",H2571-G2571)</f>
        <v/>
      </c>
      <c r="J2571">
        <f>IF(OR(NOT(ISNUMBER(G2571)),NOT(ISNUMBER(H2571)),G2571=0),"",I2571/G2571)</f>
        <v/>
      </c>
      <c r="K2571">
        <f>IF(OR(NOT(ISNUMBER(G2571)),NOT(ISNUMBER(H2571)),G2571=0),"",H2571/G2571)</f>
        <v/>
      </c>
      <c r="L2571">
        <f>IF(NOT(ISNUMBER(G2571)),"SEM META",IF(G2571=0,"SEM META",IF(NOT(ISNUMBER(H2571)),"SEM APONTAMENTO",IF(H2571&gt;=G2571,"VERDE",IF(H2571&gt;=G2571*0.9,"AMARELO","VERMELHO")))))</f>
        <v/>
      </c>
    </row>
    <row r="2572">
      <c r="A2572" s="321" t="n">
        <v>46365</v>
      </c>
      <c r="B2572" t="inlineStr">
        <is>
          <t>GERAL</t>
        </is>
      </c>
      <c r="C2572" t="inlineStr">
        <is>
          <t>GLOBO AÇOS</t>
        </is>
      </c>
      <c r="D2572" t="inlineStr">
        <is>
          <t>FECHAMENTO</t>
        </is>
      </c>
      <c r="F2572">
        <f>IFERROR(INDEX('BASE METAS DIÁRIAS'!$AA$2:$AC$358,MATCH($A2572,'BASE METAS DIÁRIAS'!$A$2:$A$358,0),3),"")</f>
        <v/>
      </c>
      <c r="G2572">
        <f>IFERROR(IF(WEEKDAY($A2572,2)&lt;=INDEX('BASE METAS DIÁRIAS'!$X$2:$Z$358,MATCH($A2572,'BASE METAS DIÁRIAS'!$A$2:$A$358,0),3),INDEX('BASE METAS DIÁRIAS'!$U$2:$W$358,MATCH($A2572,'BASE METAS DIÁRIAS'!$A$2:$A$358,0),3),""),"")</f>
        <v/>
      </c>
      <c r="H2572">
        <f>IFERROR(IF(INDEX('CONTROLE PRODUÇÃO POR EMPRESAS'!$H$6:$J$5000,MATCH($A2572,'CONTROLE PRODUÇÃO POR EMPRESAS'!$A$6:$A$5000,0),3)="","",IFERROR(1*INDEX('CONTROLE PRODUÇÃO POR EMPRESAS'!$H$6:$J$5000,MATCH($A2572,'CONTROLE PRODUÇÃO POR EMPRESAS'!$A$6:$A$5000,0),3),"")),"")</f>
        <v/>
      </c>
      <c r="I2572">
        <f>IF(OR(NOT(ISNUMBER(G2572)),NOT(ISNUMBER(H2572))),"",H2572-G2572)</f>
        <v/>
      </c>
      <c r="J2572">
        <f>IF(OR(NOT(ISNUMBER(G2572)),NOT(ISNUMBER(H2572)),G2572=0),"",I2572/G2572)</f>
        <v/>
      </c>
      <c r="K2572">
        <f>IF(OR(NOT(ISNUMBER(G2572)),NOT(ISNUMBER(H2572)),G2572=0),"",H2572/G2572)</f>
        <v/>
      </c>
      <c r="L2572">
        <f>IF(NOT(ISNUMBER(G2572)),"SEM META",IF(G2572=0,"SEM META",IF(NOT(ISNUMBER(H2572)),"SEM APONTAMENTO",IF(H2572&gt;=G2572,"VERDE",IF(H2572&gt;=G2572*0.9,"AMARELO","VERMELHO")))))</f>
        <v/>
      </c>
    </row>
    <row r="2573">
      <c r="A2573" s="321" t="n">
        <v>46366</v>
      </c>
      <c r="B2573" t="inlineStr">
        <is>
          <t>GERAL</t>
        </is>
      </c>
      <c r="C2573" t="inlineStr">
        <is>
          <t>GLOBO AÇOS</t>
        </is>
      </c>
      <c r="D2573" t="inlineStr">
        <is>
          <t>PERFILAÇÃO</t>
        </is>
      </c>
      <c r="F2573">
        <f>IFERROR(INDEX('BASE METAS DIÁRIAS'!$AA$2:$AC$358,MATCH($A2573,'BASE METAS DIÁRIAS'!$A$2:$A$358,0),1),"")</f>
        <v/>
      </c>
      <c r="G2573">
        <f>IFERROR(IF(WEEKDAY($A2573,2)&lt;=INDEX('BASE METAS DIÁRIAS'!$X$2:$Z$358,MATCH($A2573,'BASE METAS DIÁRIAS'!$A$2:$A$358,0),1),INDEX('BASE METAS DIÁRIAS'!$U$2:$W$358,MATCH($A2573,'BASE METAS DIÁRIAS'!$A$2:$A$358,0),1),""),"")</f>
        <v/>
      </c>
      <c r="H2573">
        <f>IFERROR(IF(INDEX('CONTROLE PRODUÇÃO POR EMPRESAS'!$H$6:$J$5000,MATCH($A2573,'CONTROLE PRODUÇÃO POR EMPRESAS'!$A$6:$A$5000,0),1)="","",IFERROR(1*INDEX('CONTROLE PRODUÇÃO POR EMPRESAS'!$H$6:$J$5000,MATCH($A2573,'CONTROLE PRODUÇÃO POR EMPRESAS'!$A$6:$A$5000,0),1),"")),"")</f>
        <v/>
      </c>
      <c r="I2573">
        <f>IF(OR(NOT(ISNUMBER(G2573)),NOT(ISNUMBER(H2573))),"",H2573-G2573)</f>
        <v/>
      </c>
      <c r="J2573">
        <f>IF(OR(NOT(ISNUMBER(G2573)),NOT(ISNUMBER(H2573)),G2573=0),"",I2573/G2573)</f>
        <v/>
      </c>
      <c r="K2573">
        <f>IF(OR(NOT(ISNUMBER(G2573)),NOT(ISNUMBER(H2573)),G2573=0),"",H2573/G2573)</f>
        <v/>
      </c>
      <c r="L2573">
        <f>IF(NOT(ISNUMBER(G2573)),"SEM META",IF(G2573=0,"SEM META",IF(NOT(ISNUMBER(H2573)),"SEM APONTAMENTO",IF(H2573&gt;=G2573,"VERDE",IF(H2573&gt;=G2573*0.9,"AMARELO","VERMELHO")))))</f>
        <v/>
      </c>
    </row>
    <row r="2574">
      <c r="A2574" s="321" t="n">
        <v>46366</v>
      </c>
      <c r="B2574" t="inlineStr">
        <is>
          <t>GERAL</t>
        </is>
      </c>
      <c r="C2574" t="inlineStr">
        <is>
          <t>GLOBO AÇOS</t>
        </is>
      </c>
      <c r="D2574" t="inlineStr">
        <is>
          <t>TELHAR</t>
        </is>
      </c>
      <c r="F2574">
        <f>IFERROR(INDEX('BASE METAS DIÁRIAS'!$AA$2:$AC$358,MATCH($A2574,'BASE METAS DIÁRIAS'!$A$2:$A$358,0),2),"")</f>
        <v/>
      </c>
      <c r="G2574">
        <f>IFERROR(IF(WEEKDAY($A2574,2)&lt;=INDEX('BASE METAS DIÁRIAS'!$X$2:$Z$358,MATCH($A2574,'BASE METAS DIÁRIAS'!$A$2:$A$358,0),2),INDEX('BASE METAS DIÁRIAS'!$U$2:$W$358,MATCH($A2574,'BASE METAS DIÁRIAS'!$A$2:$A$358,0),2),""),"")</f>
        <v/>
      </c>
      <c r="H2574">
        <f>IFERROR(IF(INDEX('CONTROLE PRODUÇÃO POR EMPRESAS'!$H$6:$J$5000,MATCH($A2574,'CONTROLE PRODUÇÃO POR EMPRESAS'!$A$6:$A$5000,0),2)="","",IFERROR(1*INDEX('CONTROLE PRODUÇÃO POR EMPRESAS'!$H$6:$J$5000,MATCH($A2574,'CONTROLE PRODUÇÃO POR EMPRESAS'!$A$6:$A$5000,0),2),"")),"")</f>
        <v/>
      </c>
      <c r="I2574">
        <f>IF(OR(NOT(ISNUMBER(G2574)),NOT(ISNUMBER(H2574))),"",H2574-G2574)</f>
        <v/>
      </c>
      <c r="J2574">
        <f>IF(OR(NOT(ISNUMBER(G2574)),NOT(ISNUMBER(H2574)),G2574=0),"",I2574/G2574)</f>
        <v/>
      </c>
      <c r="K2574">
        <f>IF(OR(NOT(ISNUMBER(G2574)),NOT(ISNUMBER(H2574)),G2574=0),"",H2574/G2574)</f>
        <v/>
      </c>
      <c r="L2574">
        <f>IF(NOT(ISNUMBER(G2574)),"SEM META",IF(G2574=0,"SEM META",IF(NOT(ISNUMBER(H2574)),"SEM APONTAMENTO",IF(H2574&gt;=G2574,"VERDE",IF(H2574&gt;=G2574*0.9,"AMARELO","VERMELHO")))))</f>
        <v/>
      </c>
    </row>
    <row r="2575">
      <c r="A2575" s="321" t="n">
        <v>46366</v>
      </c>
      <c r="B2575" t="inlineStr">
        <is>
          <t>GERAL</t>
        </is>
      </c>
      <c r="C2575" t="inlineStr">
        <is>
          <t>GLOBO AÇOS</t>
        </is>
      </c>
      <c r="D2575" t="inlineStr">
        <is>
          <t>FECHAMENTO</t>
        </is>
      </c>
      <c r="F2575">
        <f>IFERROR(INDEX('BASE METAS DIÁRIAS'!$AA$2:$AC$358,MATCH($A2575,'BASE METAS DIÁRIAS'!$A$2:$A$358,0),3),"")</f>
        <v/>
      </c>
      <c r="G2575">
        <f>IFERROR(IF(WEEKDAY($A2575,2)&lt;=INDEX('BASE METAS DIÁRIAS'!$X$2:$Z$358,MATCH($A2575,'BASE METAS DIÁRIAS'!$A$2:$A$358,0),3),INDEX('BASE METAS DIÁRIAS'!$U$2:$W$358,MATCH($A2575,'BASE METAS DIÁRIAS'!$A$2:$A$358,0),3),""),"")</f>
        <v/>
      </c>
      <c r="H2575">
        <f>IFERROR(IF(INDEX('CONTROLE PRODUÇÃO POR EMPRESAS'!$H$6:$J$5000,MATCH($A2575,'CONTROLE PRODUÇÃO POR EMPRESAS'!$A$6:$A$5000,0),3)="","",IFERROR(1*INDEX('CONTROLE PRODUÇÃO POR EMPRESAS'!$H$6:$J$5000,MATCH($A2575,'CONTROLE PRODUÇÃO POR EMPRESAS'!$A$6:$A$5000,0),3),"")),"")</f>
        <v/>
      </c>
      <c r="I2575">
        <f>IF(OR(NOT(ISNUMBER(G2575)),NOT(ISNUMBER(H2575))),"",H2575-G2575)</f>
        <v/>
      </c>
      <c r="J2575">
        <f>IF(OR(NOT(ISNUMBER(G2575)),NOT(ISNUMBER(H2575)),G2575=0),"",I2575/G2575)</f>
        <v/>
      </c>
      <c r="K2575">
        <f>IF(OR(NOT(ISNUMBER(G2575)),NOT(ISNUMBER(H2575)),G2575=0),"",H2575/G2575)</f>
        <v/>
      </c>
      <c r="L2575">
        <f>IF(NOT(ISNUMBER(G2575)),"SEM META",IF(G2575=0,"SEM META",IF(NOT(ISNUMBER(H2575)),"SEM APONTAMENTO",IF(H2575&gt;=G2575,"VERDE",IF(H2575&gt;=G2575*0.9,"AMARELO","VERMELHO")))))</f>
        <v/>
      </c>
    </row>
    <row r="2576">
      <c r="A2576" s="321" t="n">
        <v>46367</v>
      </c>
      <c r="B2576" t="inlineStr">
        <is>
          <t>GERAL</t>
        </is>
      </c>
      <c r="C2576" t="inlineStr">
        <is>
          <t>GLOBO AÇOS</t>
        </is>
      </c>
      <c r="D2576" t="inlineStr">
        <is>
          <t>PERFILAÇÃO</t>
        </is>
      </c>
      <c r="F2576">
        <f>IFERROR(INDEX('BASE METAS DIÁRIAS'!$AA$2:$AC$358,MATCH($A2576,'BASE METAS DIÁRIAS'!$A$2:$A$358,0),1),"")</f>
        <v/>
      </c>
      <c r="G2576">
        <f>IFERROR(IF(WEEKDAY($A2576,2)&lt;=INDEX('BASE METAS DIÁRIAS'!$X$2:$Z$358,MATCH($A2576,'BASE METAS DIÁRIAS'!$A$2:$A$358,0),1),INDEX('BASE METAS DIÁRIAS'!$U$2:$W$358,MATCH($A2576,'BASE METAS DIÁRIAS'!$A$2:$A$358,0),1),""),"")</f>
        <v/>
      </c>
      <c r="H2576">
        <f>IFERROR(IF(INDEX('CONTROLE PRODUÇÃO POR EMPRESAS'!$H$6:$J$5000,MATCH($A2576,'CONTROLE PRODUÇÃO POR EMPRESAS'!$A$6:$A$5000,0),1)="","",IFERROR(1*INDEX('CONTROLE PRODUÇÃO POR EMPRESAS'!$H$6:$J$5000,MATCH($A2576,'CONTROLE PRODUÇÃO POR EMPRESAS'!$A$6:$A$5000,0),1),"")),"")</f>
        <v/>
      </c>
      <c r="I2576">
        <f>IF(OR(NOT(ISNUMBER(G2576)),NOT(ISNUMBER(H2576))),"",H2576-G2576)</f>
        <v/>
      </c>
      <c r="J2576">
        <f>IF(OR(NOT(ISNUMBER(G2576)),NOT(ISNUMBER(H2576)),G2576=0),"",I2576/G2576)</f>
        <v/>
      </c>
      <c r="K2576">
        <f>IF(OR(NOT(ISNUMBER(G2576)),NOT(ISNUMBER(H2576)),G2576=0),"",H2576/G2576)</f>
        <v/>
      </c>
      <c r="L2576">
        <f>IF(NOT(ISNUMBER(G2576)),"SEM META",IF(G2576=0,"SEM META",IF(NOT(ISNUMBER(H2576)),"SEM APONTAMENTO",IF(H2576&gt;=G2576,"VERDE",IF(H2576&gt;=G2576*0.9,"AMARELO","VERMELHO")))))</f>
        <v/>
      </c>
    </row>
    <row r="2577">
      <c r="A2577" s="321" t="n">
        <v>46367</v>
      </c>
      <c r="B2577" t="inlineStr">
        <is>
          <t>GERAL</t>
        </is>
      </c>
      <c r="C2577" t="inlineStr">
        <is>
          <t>GLOBO AÇOS</t>
        </is>
      </c>
      <c r="D2577" t="inlineStr">
        <is>
          <t>TELHAR</t>
        </is>
      </c>
      <c r="F2577">
        <f>IFERROR(INDEX('BASE METAS DIÁRIAS'!$AA$2:$AC$358,MATCH($A2577,'BASE METAS DIÁRIAS'!$A$2:$A$358,0),2),"")</f>
        <v/>
      </c>
      <c r="G2577">
        <f>IFERROR(IF(WEEKDAY($A2577,2)&lt;=INDEX('BASE METAS DIÁRIAS'!$X$2:$Z$358,MATCH($A2577,'BASE METAS DIÁRIAS'!$A$2:$A$358,0),2),INDEX('BASE METAS DIÁRIAS'!$U$2:$W$358,MATCH($A2577,'BASE METAS DIÁRIAS'!$A$2:$A$358,0),2),""),"")</f>
        <v/>
      </c>
      <c r="H2577">
        <f>IFERROR(IF(INDEX('CONTROLE PRODUÇÃO POR EMPRESAS'!$H$6:$J$5000,MATCH($A2577,'CONTROLE PRODUÇÃO POR EMPRESAS'!$A$6:$A$5000,0),2)="","",IFERROR(1*INDEX('CONTROLE PRODUÇÃO POR EMPRESAS'!$H$6:$J$5000,MATCH($A2577,'CONTROLE PRODUÇÃO POR EMPRESAS'!$A$6:$A$5000,0),2),"")),"")</f>
        <v/>
      </c>
      <c r="I2577">
        <f>IF(OR(NOT(ISNUMBER(G2577)),NOT(ISNUMBER(H2577))),"",H2577-G2577)</f>
        <v/>
      </c>
      <c r="J2577">
        <f>IF(OR(NOT(ISNUMBER(G2577)),NOT(ISNUMBER(H2577)),G2577=0),"",I2577/G2577)</f>
        <v/>
      </c>
      <c r="K2577">
        <f>IF(OR(NOT(ISNUMBER(G2577)),NOT(ISNUMBER(H2577)),G2577=0),"",H2577/G2577)</f>
        <v/>
      </c>
      <c r="L2577">
        <f>IF(NOT(ISNUMBER(G2577)),"SEM META",IF(G2577=0,"SEM META",IF(NOT(ISNUMBER(H2577)),"SEM APONTAMENTO",IF(H2577&gt;=G2577,"VERDE",IF(H2577&gt;=G2577*0.9,"AMARELO","VERMELHO")))))</f>
        <v/>
      </c>
    </row>
    <row r="2578">
      <c r="A2578" s="321" t="n">
        <v>46367</v>
      </c>
      <c r="B2578" t="inlineStr">
        <is>
          <t>GERAL</t>
        </is>
      </c>
      <c r="C2578" t="inlineStr">
        <is>
          <t>GLOBO AÇOS</t>
        </is>
      </c>
      <c r="D2578" t="inlineStr">
        <is>
          <t>FECHAMENTO</t>
        </is>
      </c>
      <c r="F2578">
        <f>IFERROR(INDEX('BASE METAS DIÁRIAS'!$AA$2:$AC$358,MATCH($A2578,'BASE METAS DIÁRIAS'!$A$2:$A$358,0),3),"")</f>
        <v/>
      </c>
      <c r="G2578">
        <f>IFERROR(IF(WEEKDAY($A2578,2)&lt;=INDEX('BASE METAS DIÁRIAS'!$X$2:$Z$358,MATCH($A2578,'BASE METAS DIÁRIAS'!$A$2:$A$358,0),3),INDEX('BASE METAS DIÁRIAS'!$U$2:$W$358,MATCH($A2578,'BASE METAS DIÁRIAS'!$A$2:$A$358,0),3),""),"")</f>
        <v/>
      </c>
      <c r="H2578">
        <f>IFERROR(IF(INDEX('CONTROLE PRODUÇÃO POR EMPRESAS'!$H$6:$J$5000,MATCH($A2578,'CONTROLE PRODUÇÃO POR EMPRESAS'!$A$6:$A$5000,0),3)="","",IFERROR(1*INDEX('CONTROLE PRODUÇÃO POR EMPRESAS'!$H$6:$J$5000,MATCH($A2578,'CONTROLE PRODUÇÃO POR EMPRESAS'!$A$6:$A$5000,0),3),"")),"")</f>
        <v/>
      </c>
      <c r="I2578">
        <f>IF(OR(NOT(ISNUMBER(G2578)),NOT(ISNUMBER(H2578))),"",H2578-G2578)</f>
        <v/>
      </c>
      <c r="J2578">
        <f>IF(OR(NOT(ISNUMBER(G2578)),NOT(ISNUMBER(H2578)),G2578=0),"",I2578/G2578)</f>
        <v/>
      </c>
      <c r="K2578">
        <f>IF(OR(NOT(ISNUMBER(G2578)),NOT(ISNUMBER(H2578)),G2578=0),"",H2578/G2578)</f>
        <v/>
      </c>
      <c r="L2578">
        <f>IF(NOT(ISNUMBER(G2578)),"SEM META",IF(G2578=0,"SEM META",IF(NOT(ISNUMBER(H2578)),"SEM APONTAMENTO",IF(H2578&gt;=G2578,"VERDE",IF(H2578&gt;=G2578*0.9,"AMARELO","VERMELHO")))))</f>
        <v/>
      </c>
    </row>
    <row r="2579">
      <c r="A2579" s="321" t="n">
        <v>46368</v>
      </c>
      <c r="B2579" t="inlineStr">
        <is>
          <t>GERAL</t>
        </is>
      </c>
      <c r="C2579" t="inlineStr">
        <is>
          <t>GLOBO AÇOS</t>
        </is>
      </c>
      <c r="D2579" t="inlineStr">
        <is>
          <t>PERFILAÇÃO</t>
        </is>
      </c>
      <c r="F2579">
        <f>IFERROR(INDEX('BASE METAS DIÁRIAS'!$AA$2:$AC$358,MATCH($A2579,'BASE METAS DIÁRIAS'!$A$2:$A$358,0),1),"")</f>
        <v/>
      </c>
      <c r="G2579">
        <f>IFERROR(IF(WEEKDAY($A2579,2)&lt;=INDEX('BASE METAS DIÁRIAS'!$X$2:$Z$358,MATCH($A2579,'BASE METAS DIÁRIAS'!$A$2:$A$358,0),1),INDEX('BASE METAS DIÁRIAS'!$U$2:$W$358,MATCH($A2579,'BASE METAS DIÁRIAS'!$A$2:$A$358,0),1),""),"")</f>
        <v/>
      </c>
      <c r="H2579">
        <f>IFERROR(IF(INDEX('CONTROLE PRODUÇÃO POR EMPRESAS'!$H$6:$J$5000,MATCH($A2579,'CONTROLE PRODUÇÃO POR EMPRESAS'!$A$6:$A$5000,0),1)="","",IFERROR(1*INDEX('CONTROLE PRODUÇÃO POR EMPRESAS'!$H$6:$J$5000,MATCH($A2579,'CONTROLE PRODUÇÃO POR EMPRESAS'!$A$6:$A$5000,0),1),"")),"")</f>
        <v/>
      </c>
      <c r="I2579">
        <f>IF(OR(NOT(ISNUMBER(G2579)),NOT(ISNUMBER(H2579))),"",H2579-G2579)</f>
        <v/>
      </c>
      <c r="J2579">
        <f>IF(OR(NOT(ISNUMBER(G2579)),NOT(ISNUMBER(H2579)),G2579=0),"",I2579/G2579)</f>
        <v/>
      </c>
      <c r="K2579">
        <f>IF(OR(NOT(ISNUMBER(G2579)),NOT(ISNUMBER(H2579)),G2579=0),"",H2579/G2579)</f>
        <v/>
      </c>
      <c r="L2579">
        <f>IF(NOT(ISNUMBER(G2579)),"SEM META",IF(G2579=0,"SEM META",IF(NOT(ISNUMBER(H2579)),"SEM APONTAMENTO",IF(H2579&gt;=G2579,"VERDE",IF(H2579&gt;=G2579*0.9,"AMARELO","VERMELHO")))))</f>
        <v/>
      </c>
    </row>
    <row r="2580">
      <c r="A2580" s="321" t="n">
        <v>46368</v>
      </c>
      <c r="B2580" t="inlineStr">
        <is>
          <t>GERAL</t>
        </is>
      </c>
      <c r="C2580" t="inlineStr">
        <is>
          <t>GLOBO AÇOS</t>
        </is>
      </c>
      <c r="D2580" t="inlineStr">
        <is>
          <t>TELHAR</t>
        </is>
      </c>
      <c r="F2580">
        <f>IFERROR(INDEX('BASE METAS DIÁRIAS'!$AA$2:$AC$358,MATCH($A2580,'BASE METAS DIÁRIAS'!$A$2:$A$358,0),2),"")</f>
        <v/>
      </c>
      <c r="G2580">
        <f>IFERROR(IF(WEEKDAY($A2580,2)&lt;=INDEX('BASE METAS DIÁRIAS'!$X$2:$Z$358,MATCH($A2580,'BASE METAS DIÁRIAS'!$A$2:$A$358,0),2),INDEX('BASE METAS DIÁRIAS'!$U$2:$W$358,MATCH($A2580,'BASE METAS DIÁRIAS'!$A$2:$A$358,0),2),""),"")</f>
        <v/>
      </c>
      <c r="H2580">
        <f>IFERROR(IF(INDEX('CONTROLE PRODUÇÃO POR EMPRESAS'!$H$6:$J$5000,MATCH($A2580,'CONTROLE PRODUÇÃO POR EMPRESAS'!$A$6:$A$5000,0),2)="","",IFERROR(1*INDEX('CONTROLE PRODUÇÃO POR EMPRESAS'!$H$6:$J$5000,MATCH($A2580,'CONTROLE PRODUÇÃO POR EMPRESAS'!$A$6:$A$5000,0),2),"")),"")</f>
        <v/>
      </c>
      <c r="I2580">
        <f>IF(OR(NOT(ISNUMBER(G2580)),NOT(ISNUMBER(H2580))),"",H2580-G2580)</f>
        <v/>
      </c>
      <c r="J2580">
        <f>IF(OR(NOT(ISNUMBER(G2580)),NOT(ISNUMBER(H2580)),G2580=0),"",I2580/G2580)</f>
        <v/>
      </c>
      <c r="K2580">
        <f>IF(OR(NOT(ISNUMBER(G2580)),NOT(ISNUMBER(H2580)),G2580=0),"",H2580/G2580)</f>
        <v/>
      </c>
      <c r="L2580">
        <f>IF(NOT(ISNUMBER(G2580)),"SEM META",IF(G2580=0,"SEM META",IF(NOT(ISNUMBER(H2580)),"SEM APONTAMENTO",IF(H2580&gt;=G2580,"VERDE",IF(H2580&gt;=G2580*0.9,"AMARELO","VERMELHO")))))</f>
        <v/>
      </c>
    </row>
    <row r="2581">
      <c r="A2581" s="321" t="n">
        <v>46368</v>
      </c>
      <c r="B2581" t="inlineStr">
        <is>
          <t>GERAL</t>
        </is>
      </c>
      <c r="C2581" t="inlineStr">
        <is>
          <t>GLOBO AÇOS</t>
        </is>
      </c>
      <c r="D2581" t="inlineStr">
        <is>
          <t>FECHAMENTO</t>
        </is>
      </c>
      <c r="F2581">
        <f>IFERROR(INDEX('BASE METAS DIÁRIAS'!$AA$2:$AC$358,MATCH($A2581,'BASE METAS DIÁRIAS'!$A$2:$A$358,0),3),"")</f>
        <v/>
      </c>
      <c r="G2581">
        <f>IFERROR(IF(WEEKDAY($A2581,2)&lt;=INDEX('BASE METAS DIÁRIAS'!$X$2:$Z$358,MATCH($A2581,'BASE METAS DIÁRIAS'!$A$2:$A$358,0),3),INDEX('BASE METAS DIÁRIAS'!$U$2:$W$358,MATCH($A2581,'BASE METAS DIÁRIAS'!$A$2:$A$358,0),3),""),"")</f>
        <v/>
      </c>
      <c r="H2581">
        <f>IFERROR(IF(INDEX('CONTROLE PRODUÇÃO POR EMPRESAS'!$H$6:$J$5000,MATCH($A2581,'CONTROLE PRODUÇÃO POR EMPRESAS'!$A$6:$A$5000,0),3)="","",IFERROR(1*INDEX('CONTROLE PRODUÇÃO POR EMPRESAS'!$H$6:$J$5000,MATCH($A2581,'CONTROLE PRODUÇÃO POR EMPRESAS'!$A$6:$A$5000,0),3),"")),"")</f>
        <v/>
      </c>
      <c r="I2581">
        <f>IF(OR(NOT(ISNUMBER(G2581)),NOT(ISNUMBER(H2581))),"",H2581-G2581)</f>
        <v/>
      </c>
      <c r="J2581">
        <f>IF(OR(NOT(ISNUMBER(G2581)),NOT(ISNUMBER(H2581)),G2581=0),"",I2581/G2581)</f>
        <v/>
      </c>
      <c r="K2581">
        <f>IF(OR(NOT(ISNUMBER(G2581)),NOT(ISNUMBER(H2581)),G2581=0),"",H2581/G2581)</f>
        <v/>
      </c>
      <c r="L2581">
        <f>IF(NOT(ISNUMBER(G2581)),"SEM META",IF(G2581=0,"SEM META",IF(NOT(ISNUMBER(H2581)),"SEM APONTAMENTO",IF(H2581&gt;=G2581,"VERDE",IF(H2581&gt;=G2581*0.9,"AMARELO","VERMELHO")))))</f>
        <v/>
      </c>
    </row>
    <row r="2582">
      <c r="A2582" s="321" t="n">
        <v>46369</v>
      </c>
      <c r="B2582" t="inlineStr">
        <is>
          <t>GERAL</t>
        </is>
      </c>
      <c r="C2582" t="inlineStr">
        <is>
          <t>GLOBO AÇOS</t>
        </is>
      </c>
      <c r="D2582" t="inlineStr">
        <is>
          <t>PERFILAÇÃO</t>
        </is>
      </c>
      <c r="F2582">
        <f>IFERROR(INDEX('BASE METAS DIÁRIAS'!$AA$2:$AC$358,MATCH($A2582,'BASE METAS DIÁRIAS'!$A$2:$A$358,0),1),"")</f>
        <v/>
      </c>
      <c r="G2582">
        <f>IFERROR(IF(WEEKDAY($A2582,2)&lt;=INDEX('BASE METAS DIÁRIAS'!$X$2:$Z$358,MATCH($A2582,'BASE METAS DIÁRIAS'!$A$2:$A$358,0),1),INDEX('BASE METAS DIÁRIAS'!$U$2:$W$358,MATCH($A2582,'BASE METAS DIÁRIAS'!$A$2:$A$358,0),1),""),"")</f>
        <v/>
      </c>
      <c r="H2582">
        <f>IFERROR(IF(INDEX('CONTROLE PRODUÇÃO POR EMPRESAS'!$H$6:$J$5000,MATCH($A2582,'CONTROLE PRODUÇÃO POR EMPRESAS'!$A$6:$A$5000,0),1)="","",IFERROR(1*INDEX('CONTROLE PRODUÇÃO POR EMPRESAS'!$H$6:$J$5000,MATCH($A2582,'CONTROLE PRODUÇÃO POR EMPRESAS'!$A$6:$A$5000,0),1),"")),"")</f>
        <v/>
      </c>
      <c r="I2582">
        <f>IF(OR(NOT(ISNUMBER(G2582)),NOT(ISNUMBER(H2582))),"",H2582-G2582)</f>
        <v/>
      </c>
      <c r="J2582">
        <f>IF(OR(NOT(ISNUMBER(G2582)),NOT(ISNUMBER(H2582)),G2582=0),"",I2582/G2582)</f>
        <v/>
      </c>
      <c r="K2582">
        <f>IF(OR(NOT(ISNUMBER(G2582)),NOT(ISNUMBER(H2582)),G2582=0),"",H2582/G2582)</f>
        <v/>
      </c>
      <c r="L2582">
        <f>IF(NOT(ISNUMBER(G2582)),"SEM META",IF(G2582=0,"SEM META",IF(NOT(ISNUMBER(H2582)),"SEM APONTAMENTO",IF(H2582&gt;=G2582,"VERDE",IF(H2582&gt;=G2582*0.9,"AMARELO","VERMELHO")))))</f>
        <v/>
      </c>
    </row>
    <row r="2583">
      <c r="A2583" s="321" t="n">
        <v>46369</v>
      </c>
      <c r="B2583" t="inlineStr">
        <is>
          <t>GERAL</t>
        </is>
      </c>
      <c r="C2583" t="inlineStr">
        <is>
          <t>GLOBO AÇOS</t>
        </is>
      </c>
      <c r="D2583" t="inlineStr">
        <is>
          <t>TELHAR</t>
        </is>
      </c>
      <c r="F2583">
        <f>IFERROR(INDEX('BASE METAS DIÁRIAS'!$AA$2:$AC$358,MATCH($A2583,'BASE METAS DIÁRIAS'!$A$2:$A$358,0),2),"")</f>
        <v/>
      </c>
      <c r="G2583">
        <f>IFERROR(IF(WEEKDAY($A2583,2)&lt;=INDEX('BASE METAS DIÁRIAS'!$X$2:$Z$358,MATCH($A2583,'BASE METAS DIÁRIAS'!$A$2:$A$358,0),2),INDEX('BASE METAS DIÁRIAS'!$U$2:$W$358,MATCH($A2583,'BASE METAS DIÁRIAS'!$A$2:$A$358,0),2),""),"")</f>
        <v/>
      </c>
      <c r="H2583">
        <f>IFERROR(IF(INDEX('CONTROLE PRODUÇÃO POR EMPRESAS'!$H$6:$J$5000,MATCH($A2583,'CONTROLE PRODUÇÃO POR EMPRESAS'!$A$6:$A$5000,0),2)="","",IFERROR(1*INDEX('CONTROLE PRODUÇÃO POR EMPRESAS'!$H$6:$J$5000,MATCH($A2583,'CONTROLE PRODUÇÃO POR EMPRESAS'!$A$6:$A$5000,0),2),"")),"")</f>
        <v/>
      </c>
      <c r="I2583">
        <f>IF(OR(NOT(ISNUMBER(G2583)),NOT(ISNUMBER(H2583))),"",H2583-G2583)</f>
        <v/>
      </c>
      <c r="J2583">
        <f>IF(OR(NOT(ISNUMBER(G2583)),NOT(ISNUMBER(H2583)),G2583=0),"",I2583/G2583)</f>
        <v/>
      </c>
      <c r="K2583">
        <f>IF(OR(NOT(ISNUMBER(G2583)),NOT(ISNUMBER(H2583)),G2583=0),"",H2583/G2583)</f>
        <v/>
      </c>
      <c r="L2583">
        <f>IF(NOT(ISNUMBER(G2583)),"SEM META",IF(G2583=0,"SEM META",IF(NOT(ISNUMBER(H2583)),"SEM APONTAMENTO",IF(H2583&gt;=G2583,"VERDE",IF(H2583&gt;=G2583*0.9,"AMARELO","VERMELHO")))))</f>
        <v/>
      </c>
    </row>
    <row r="2584">
      <c r="A2584" s="321" t="n">
        <v>46369</v>
      </c>
      <c r="B2584" t="inlineStr">
        <is>
          <t>GERAL</t>
        </is>
      </c>
      <c r="C2584" t="inlineStr">
        <is>
          <t>GLOBO AÇOS</t>
        </is>
      </c>
      <c r="D2584" t="inlineStr">
        <is>
          <t>FECHAMENTO</t>
        </is>
      </c>
      <c r="F2584">
        <f>IFERROR(INDEX('BASE METAS DIÁRIAS'!$AA$2:$AC$358,MATCH($A2584,'BASE METAS DIÁRIAS'!$A$2:$A$358,0),3),"")</f>
        <v/>
      </c>
      <c r="G2584">
        <f>IFERROR(IF(WEEKDAY($A2584,2)&lt;=INDEX('BASE METAS DIÁRIAS'!$X$2:$Z$358,MATCH($A2584,'BASE METAS DIÁRIAS'!$A$2:$A$358,0),3),INDEX('BASE METAS DIÁRIAS'!$U$2:$W$358,MATCH($A2584,'BASE METAS DIÁRIAS'!$A$2:$A$358,0),3),""),"")</f>
        <v/>
      </c>
      <c r="H2584">
        <f>IFERROR(IF(INDEX('CONTROLE PRODUÇÃO POR EMPRESAS'!$H$6:$J$5000,MATCH($A2584,'CONTROLE PRODUÇÃO POR EMPRESAS'!$A$6:$A$5000,0),3)="","",IFERROR(1*INDEX('CONTROLE PRODUÇÃO POR EMPRESAS'!$H$6:$J$5000,MATCH($A2584,'CONTROLE PRODUÇÃO POR EMPRESAS'!$A$6:$A$5000,0),3),"")),"")</f>
        <v/>
      </c>
      <c r="I2584">
        <f>IF(OR(NOT(ISNUMBER(G2584)),NOT(ISNUMBER(H2584))),"",H2584-G2584)</f>
        <v/>
      </c>
      <c r="J2584">
        <f>IF(OR(NOT(ISNUMBER(G2584)),NOT(ISNUMBER(H2584)),G2584=0),"",I2584/G2584)</f>
        <v/>
      </c>
      <c r="K2584">
        <f>IF(OR(NOT(ISNUMBER(G2584)),NOT(ISNUMBER(H2584)),G2584=0),"",H2584/G2584)</f>
        <v/>
      </c>
      <c r="L2584">
        <f>IF(NOT(ISNUMBER(G2584)),"SEM META",IF(G2584=0,"SEM META",IF(NOT(ISNUMBER(H2584)),"SEM APONTAMENTO",IF(H2584&gt;=G2584,"VERDE",IF(H2584&gt;=G2584*0.9,"AMARELO","VERMELHO")))))</f>
        <v/>
      </c>
    </row>
    <row r="2585">
      <c r="A2585" s="321" t="n">
        <v>46370</v>
      </c>
      <c r="B2585" t="inlineStr">
        <is>
          <t>GERAL</t>
        </is>
      </c>
      <c r="C2585" t="inlineStr">
        <is>
          <t>GLOBO AÇOS</t>
        </is>
      </c>
      <c r="D2585" t="inlineStr">
        <is>
          <t>PERFILAÇÃO</t>
        </is>
      </c>
      <c r="F2585">
        <f>IFERROR(INDEX('BASE METAS DIÁRIAS'!$AA$2:$AC$358,MATCH($A2585,'BASE METAS DIÁRIAS'!$A$2:$A$358,0),1),"")</f>
        <v/>
      </c>
      <c r="G2585">
        <f>IFERROR(IF(WEEKDAY($A2585,2)&lt;=INDEX('BASE METAS DIÁRIAS'!$X$2:$Z$358,MATCH($A2585,'BASE METAS DIÁRIAS'!$A$2:$A$358,0),1),INDEX('BASE METAS DIÁRIAS'!$U$2:$W$358,MATCH($A2585,'BASE METAS DIÁRIAS'!$A$2:$A$358,0),1),""),"")</f>
        <v/>
      </c>
      <c r="H2585">
        <f>IFERROR(IF(INDEX('CONTROLE PRODUÇÃO POR EMPRESAS'!$H$6:$J$5000,MATCH($A2585,'CONTROLE PRODUÇÃO POR EMPRESAS'!$A$6:$A$5000,0),1)="","",IFERROR(1*INDEX('CONTROLE PRODUÇÃO POR EMPRESAS'!$H$6:$J$5000,MATCH($A2585,'CONTROLE PRODUÇÃO POR EMPRESAS'!$A$6:$A$5000,0),1),"")),"")</f>
        <v/>
      </c>
      <c r="I2585">
        <f>IF(OR(NOT(ISNUMBER(G2585)),NOT(ISNUMBER(H2585))),"",H2585-G2585)</f>
        <v/>
      </c>
      <c r="J2585">
        <f>IF(OR(NOT(ISNUMBER(G2585)),NOT(ISNUMBER(H2585)),G2585=0),"",I2585/G2585)</f>
        <v/>
      </c>
      <c r="K2585">
        <f>IF(OR(NOT(ISNUMBER(G2585)),NOT(ISNUMBER(H2585)),G2585=0),"",H2585/G2585)</f>
        <v/>
      </c>
      <c r="L2585">
        <f>IF(NOT(ISNUMBER(G2585)),"SEM META",IF(G2585=0,"SEM META",IF(NOT(ISNUMBER(H2585)),"SEM APONTAMENTO",IF(H2585&gt;=G2585,"VERDE",IF(H2585&gt;=G2585*0.9,"AMARELO","VERMELHO")))))</f>
        <v/>
      </c>
    </row>
    <row r="2586">
      <c r="A2586" s="321" t="n">
        <v>46370</v>
      </c>
      <c r="B2586" t="inlineStr">
        <is>
          <t>GERAL</t>
        </is>
      </c>
      <c r="C2586" t="inlineStr">
        <is>
          <t>GLOBO AÇOS</t>
        </is>
      </c>
      <c r="D2586" t="inlineStr">
        <is>
          <t>TELHAR</t>
        </is>
      </c>
      <c r="F2586">
        <f>IFERROR(INDEX('BASE METAS DIÁRIAS'!$AA$2:$AC$358,MATCH($A2586,'BASE METAS DIÁRIAS'!$A$2:$A$358,0),2),"")</f>
        <v/>
      </c>
      <c r="G2586">
        <f>IFERROR(IF(WEEKDAY($A2586,2)&lt;=INDEX('BASE METAS DIÁRIAS'!$X$2:$Z$358,MATCH($A2586,'BASE METAS DIÁRIAS'!$A$2:$A$358,0),2),INDEX('BASE METAS DIÁRIAS'!$U$2:$W$358,MATCH($A2586,'BASE METAS DIÁRIAS'!$A$2:$A$358,0),2),""),"")</f>
        <v/>
      </c>
      <c r="H2586">
        <f>IFERROR(IF(INDEX('CONTROLE PRODUÇÃO POR EMPRESAS'!$H$6:$J$5000,MATCH($A2586,'CONTROLE PRODUÇÃO POR EMPRESAS'!$A$6:$A$5000,0),2)="","",IFERROR(1*INDEX('CONTROLE PRODUÇÃO POR EMPRESAS'!$H$6:$J$5000,MATCH($A2586,'CONTROLE PRODUÇÃO POR EMPRESAS'!$A$6:$A$5000,0),2),"")),"")</f>
        <v/>
      </c>
      <c r="I2586">
        <f>IF(OR(NOT(ISNUMBER(G2586)),NOT(ISNUMBER(H2586))),"",H2586-G2586)</f>
        <v/>
      </c>
      <c r="J2586">
        <f>IF(OR(NOT(ISNUMBER(G2586)),NOT(ISNUMBER(H2586)),G2586=0),"",I2586/G2586)</f>
        <v/>
      </c>
      <c r="K2586">
        <f>IF(OR(NOT(ISNUMBER(G2586)),NOT(ISNUMBER(H2586)),G2586=0),"",H2586/G2586)</f>
        <v/>
      </c>
      <c r="L2586">
        <f>IF(NOT(ISNUMBER(G2586)),"SEM META",IF(G2586=0,"SEM META",IF(NOT(ISNUMBER(H2586)),"SEM APONTAMENTO",IF(H2586&gt;=G2586,"VERDE",IF(H2586&gt;=G2586*0.9,"AMARELO","VERMELHO")))))</f>
        <v/>
      </c>
    </row>
    <row r="2587">
      <c r="A2587" s="321" t="n">
        <v>46370</v>
      </c>
      <c r="B2587" t="inlineStr">
        <is>
          <t>GERAL</t>
        </is>
      </c>
      <c r="C2587" t="inlineStr">
        <is>
          <t>GLOBO AÇOS</t>
        </is>
      </c>
      <c r="D2587" t="inlineStr">
        <is>
          <t>FECHAMENTO</t>
        </is>
      </c>
      <c r="F2587">
        <f>IFERROR(INDEX('BASE METAS DIÁRIAS'!$AA$2:$AC$358,MATCH($A2587,'BASE METAS DIÁRIAS'!$A$2:$A$358,0),3),"")</f>
        <v/>
      </c>
      <c r="G2587">
        <f>IFERROR(IF(WEEKDAY($A2587,2)&lt;=INDEX('BASE METAS DIÁRIAS'!$X$2:$Z$358,MATCH($A2587,'BASE METAS DIÁRIAS'!$A$2:$A$358,0),3),INDEX('BASE METAS DIÁRIAS'!$U$2:$W$358,MATCH($A2587,'BASE METAS DIÁRIAS'!$A$2:$A$358,0),3),""),"")</f>
        <v/>
      </c>
      <c r="H2587">
        <f>IFERROR(IF(INDEX('CONTROLE PRODUÇÃO POR EMPRESAS'!$H$6:$J$5000,MATCH($A2587,'CONTROLE PRODUÇÃO POR EMPRESAS'!$A$6:$A$5000,0),3)="","",IFERROR(1*INDEX('CONTROLE PRODUÇÃO POR EMPRESAS'!$H$6:$J$5000,MATCH($A2587,'CONTROLE PRODUÇÃO POR EMPRESAS'!$A$6:$A$5000,0),3),"")),"")</f>
        <v/>
      </c>
      <c r="I2587">
        <f>IF(OR(NOT(ISNUMBER(G2587)),NOT(ISNUMBER(H2587))),"",H2587-G2587)</f>
        <v/>
      </c>
      <c r="J2587">
        <f>IF(OR(NOT(ISNUMBER(G2587)),NOT(ISNUMBER(H2587)),G2587=0),"",I2587/G2587)</f>
        <v/>
      </c>
      <c r="K2587">
        <f>IF(OR(NOT(ISNUMBER(G2587)),NOT(ISNUMBER(H2587)),G2587=0),"",H2587/G2587)</f>
        <v/>
      </c>
      <c r="L2587">
        <f>IF(NOT(ISNUMBER(G2587)),"SEM META",IF(G2587=0,"SEM META",IF(NOT(ISNUMBER(H2587)),"SEM APONTAMENTO",IF(H2587&gt;=G2587,"VERDE",IF(H2587&gt;=G2587*0.9,"AMARELO","VERMELHO")))))</f>
        <v/>
      </c>
    </row>
    <row r="2588">
      <c r="A2588" s="321" t="n">
        <v>46371</v>
      </c>
      <c r="B2588" t="inlineStr">
        <is>
          <t>GERAL</t>
        </is>
      </c>
      <c r="C2588" t="inlineStr">
        <is>
          <t>GLOBO AÇOS</t>
        </is>
      </c>
      <c r="D2588" t="inlineStr">
        <is>
          <t>PERFILAÇÃO</t>
        </is>
      </c>
      <c r="F2588">
        <f>IFERROR(INDEX('BASE METAS DIÁRIAS'!$AA$2:$AC$358,MATCH($A2588,'BASE METAS DIÁRIAS'!$A$2:$A$358,0),1),"")</f>
        <v/>
      </c>
      <c r="G2588">
        <f>IFERROR(IF(WEEKDAY($A2588,2)&lt;=INDEX('BASE METAS DIÁRIAS'!$X$2:$Z$358,MATCH($A2588,'BASE METAS DIÁRIAS'!$A$2:$A$358,0),1),INDEX('BASE METAS DIÁRIAS'!$U$2:$W$358,MATCH($A2588,'BASE METAS DIÁRIAS'!$A$2:$A$358,0),1),""),"")</f>
        <v/>
      </c>
      <c r="H2588">
        <f>IFERROR(IF(INDEX('CONTROLE PRODUÇÃO POR EMPRESAS'!$H$6:$J$5000,MATCH($A2588,'CONTROLE PRODUÇÃO POR EMPRESAS'!$A$6:$A$5000,0),1)="","",IFERROR(1*INDEX('CONTROLE PRODUÇÃO POR EMPRESAS'!$H$6:$J$5000,MATCH($A2588,'CONTROLE PRODUÇÃO POR EMPRESAS'!$A$6:$A$5000,0),1),"")),"")</f>
        <v/>
      </c>
      <c r="I2588">
        <f>IF(OR(NOT(ISNUMBER(G2588)),NOT(ISNUMBER(H2588))),"",H2588-G2588)</f>
        <v/>
      </c>
      <c r="J2588">
        <f>IF(OR(NOT(ISNUMBER(G2588)),NOT(ISNUMBER(H2588)),G2588=0),"",I2588/G2588)</f>
        <v/>
      </c>
      <c r="K2588">
        <f>IF(OR(NOT(ISNUMBER(G2588)),NOT(ISNUMBER(H2588)),G2588=0),"",H2588/G2588)</f>
        <v/>
      </c>
      <c r="L2588">
        <f>IF(NOT(ISNUMBER(G2588)),"SEM META",IF(G2588=0,"SEM META",IF(NOT(ISNUMBER(H2588)),"SEM APONTAMENTO",IF(H2588&gt;=G2588,"VERDE",IF(H2588&gt;=G2588*0.9,"AMARELO","VERMELHO")))))</f>
        <v/>
      </c>
    </row>
    <row r="2589">
      <c r="A2589" s="321" t="n">
        <v>46371</v>
      </c>
      <c r="B2589" t="inlineStr">
        <is>
          <t>GERAL</t>
        </is>
      </c>
      <c r="C2589" t="inlineStr">
        <is>
          <t>GLOBO AÇOS</t>
        </is>
      </c>
      <c r="D2589" t="inlineStr">
        <is>
          <t>TELHAR</t>
        </is>
      </c>
      <c r="F2589">
        <f>IFERROR(INDEX('BASE METAS DIÁRIAS'!$AA$2:$AC$358,MATCH($A2589,'BASE METAS DIÁRIAS'!$A$2:$A$358,0),2),"")</f>
        <v/>
      </c>
      <c r="G2589">
        <f>IFERROR(IF(WEEKDAY($A2589,2)&lt;=INDEX('BASE METAS DIÁRIAS'!$X$2:$Z$358,MATCH($A2589,'BASE METAS DIÁRIAS'!$A$2:$A$358,0),2),INDEX('BASE METAS DIÁRIAS'!$U$2:$W$358,MATCH($A2589,'BASE METAS DIÁRIAS'!$A$2:$A$358,0),2),""),"")</f>
        <v/>
      </c>
      <c r="H2589">
        <f>IFERROR(IF(INDEX('CONTROLE PRODUÇÃO POR EMPRESAS'!$H$6:$J$5000,MATCH($A2589,'CONTROLE PRODUÇÃO POR EMPRESAS'!$A$6:$A$5000,0),2)="","",IFERROR(1*INDEX('CONTROLE PRODUÇÃO POR EMPRESAS'!$H$6:$J$5000,MATCH($A2589,'CONTROLE PRODUÇÃO POR EMPRESAS'!$A$6:$A$5000,0),2),"")),"")</f>
        <v/>
      </c>
      <c r="I2589">
        <f>IF(OR(NOT(ISNUMBER(G2589)),NOT(ISNUMBER(H2589))),"",H2589-G2589)</f>
        <v/>
      </c>
      <c r="J2589">
        <f>IF(OR(NOT(ISNUMBER(G2589)),NOT(ISNUMBER(H2589)),G2589=0),"",I2589/G2589)</f>
        <v/>
      </c>
      <c r="K2589">
        <f>IF(OR(NOT(ISNUMBER(G2589)),NOT(ISNUMBER(H2589)),G2589=0),"",H2589/G2589)</f>
        <v/>
      </c>
      <c r="L2589">
        <f>IF(NOT(ISNUMBER(G2589)),"SEM META",IF(G2589=0,"SEM META",IF(NOT(ISNUMBER(H2589)),"SEM APONTAMENTO",IF(H2589&gt;=G2589,"VERDE",IF(H2589&gt;=G2589*0.9,"AMARELO","VERMELHO")))))</f>
        <v/>
      </c>
    </row>
    <row r="2590">
      <c r="A2590" s="321" t="n">
        <v>46371</v>
      </c>
      <c r="B2590" t="inlineStr">
        <is>
          <t>GERAL</t>
        </is>
      </c>
      <c r="C2590" t="inlineStr">
        <is>
          <t>GLOBO AÇOS</t>
        </is>
      </c>
      <c r="D2590" t="inlineStr">
        <is>
          <t>FECHAMENTO</t>
        </is>
      </c>
      <c r="F2590">
        <f>IFERROR(INDEX('BASE METAS DIÁRIAS'!$AA$2:$AC$358,MATCH($A2590,'BASE METAS DIÁRIAS'!$A$2:$A$358,0),3),"")</f>
        <v/>
      </c>
      <c r="G2590">
        <f>IFERROR(IF(WEEKDAY($A2590,2)&lt;=INDEX('BASE METAS DIÁRIAS'!$X$2:$Z$358,MATCH($A2590,'BASE METAS DIÁRIAS'!$A$2:$A$358,0),3),INDEX('BASE METAS DIÁRIAS'!$U$2:$W$358,MATCH($A2590,'BASE METAS DIÁRIAS'!$A$2:$A$358,0),3),""),"")</f>
        <v/>
      </c>
      <c r="H2590">
        <f>IFERROR(IF(INDEX('CONTROLE PRODUÇÃO POR EMPRESAS'!$H$6:$J$5000,MATCH($A2590,'CONTROLE PRODUÇÃO POR EMPRESAS'!$A$6:$A$5000,0),3)="","",IFERROR(1*INDEX('CONTROLE PRODUÇÃO POR EMPRESAS'!$H$6:$J$5000,MATCH($A2590,'CONTROLE PRODUÇÃO POR EMPRESAS'!$A$6:$A$5000,0),3),"")),"")</f>
        <v/>
      </c>
      <c r="I2590">
        <f>IF(OR(NOT(ISNUMBER(G2590)),NOT(ISNUMBER(H2590))),"",H2590-G2590)</f>
        <v/>
      </c>
      <c r="J2590">
        <f>IF(OR(NOT(ISNUMBER(G2590)),NOT(ISNUMBER(H2590)),G2590=0),"",I2590/G2590)</f>
        <v/>
      </c>
      <c r="K2590">
        <f>IF(OR(NOT(ISNUMBER(G2590)),NOT(ISNUMBER(H2590)),G2590=0),"",H2590/G2590)</f>
        <v/>
      </c>
      <c r="L2590">
        <f>IF(NOT(ISNUMBER(G2590)),"SEM META",IF(G2590=0,"SEM META",IF(NOT(ISNUMBER(H2590)),"SEM APONTAMENTO",IF(H2590&gt;=G2590,"VERDE",IF(H2590&gt;=G2590*0.9,"AMARELO","VERMELHO")))))</f>
        <v/>
      </c>
    </row>
    <row r="2591">
      <c r="A2591" s="321" t="n">
        <v>46372</v>
      </c>
      <c r="B2591" t="inlineStr">
        <is>
          <t>GERAL</t>
        </is>
      </c>
      <c r="C2591" t="inlineStr">
        <is>
          <t>GLOBO AÇOS</t>
        </is>
      </c>
      <c r="D2591" t="inlineStr">
        <is>
          <t>PERFILAÇÃO</t>
        </is>
      </c>
      <c r="F2591">
        <f>IFERROR(INDEX('BASE METAS DIÁRIAS'!$AA$2:$AC$358,MATCH($A2591,'BASE METAS DIÁRIAS'!$A$2:$A$358,0),1),"")</f>
        <v/>
      </c>
      <c r="G2591">
        <f>IFERROR(IF(WEEKDAY($A2591,2)&lt;=INDEX('BASE METAS DIÁRIAS'!$X$2:$Z$358,MATCH($A2591,'BASE METAS DIÁRIAS'!$A$2:$A$358,0),1),INDEX('BASE METAS DIÁRIAS'!$U$2:$W$358,MATCH($A2591,'BASE METAS DIÁRIAS'!$A$2:$A$358,0),1),""),"")</f>
        <v/>
      </c>
      <c r="H2591">
        <f>IFERROR(IF(INDEX('CONTROLE PRODUÇÃO POR EMPRESAS'!$H$6:$J$5000,MATCH($A2591,'CONTROLE PRODUÇÃO POR EMPRESAS'!$A$6:$A$5000,0),1)="","",IFERROR(1*INDEX('CONTROLE PRODUÇÃO POR EMPRESAS'!$H$6:$J$5000,MATCH($A2591,'CONTROLE PRODUÇÃO POR EMPRESAS'!$A$6:$A$5000,0),1),"")),"")</f>
        <v/>
      </c>
      <c r="I2591">
        <f>IF(OR(NOT(ISNUMBER(G2591)),NOT(ISNUMBER(H2591))),"",H2591-G2591)</f>
        <v/>
      </c>
      <c r="J2591">
        <f>IF(OR(NOT(ISNUMBER(G2591)),NOT(ISNUMBER(H2591)),G2591=0),"",I2591/G2591)</f>
        <v/>
      </c>
      <c r="K2591">
        <f>IF(OR(NOT(ISNUMBER(G2591)),NOT(ISNUMBER(H2591)),G2591=0),"",H2591/G2591)</f>
        <v/>
      </c>
      <c r="L2591">
        <f>IF(NOT(ISNUMBER(G2591)),"SEM META",IF(G2591=0,"SEM META",IF(NOT(ISNUMBER(H2591)),"SEM APONTAMENTO",IF(H2591&gt;=G2591,"VERDE",IF(H2591&gt;=G2591*0.9,"AMARELO","VERMELHO")))))</f>
        <v/>
      </c>
    </row>
    <row r="2592">
      <c r="A2592" s="321" t="n">
        <v>46372</v>
      </c>
      <c r="B2592" t="inlineStr">
        <is>
          <t>GERAL</t>
        </is>
      </c>
      <c r="C2592" t="inlineStr">
        <is>
          <t>GLOBO AÇOS</t>
        </is>
      </c>
      <c r="D2592" t="inlineStr">
        <is>
          <t>TELHAR</t>
        </is>
      </c>
      <c r="F2592">
        <f>IFERROR(INDEX('BASE METAS DIÁRIAS'!$AA$2:$AC$358,MATCH($A2592,'BASE METAS DIÁRIAS'!$A$2:$A$358,0),2),"")</f>
        <v/>
      </c>
      <c r="G2592">
        <f>IFERROR(IF(WEEKDAY($A2592,2)&lt;=INDEX('BASE METAS DIÁRIAS'!$X$2:$Z$358,MATCH($A2592,'BASE METAS DIÁRIAS'!$A$2:$A$358,0),2),INDEX('BASE METAS DIÁRIAS'!$U$2:$W$358,MATCH($A2592,'BASE METAS DIÁRIAS'!$A$2:$A$358,0),2),""),"")</f>
        <v/>
      </c>
      <c r="H2592">
        <f>IFERROR(IF(INDEX('CONTROLE PRODUÇÃO POR EMPRESAS'!$H$6:$J$5000,MATCH($A2592,'CONTROLE PRODUÇÃO POR EMPRESAS'!$A$6:$A$5000,0),2)="","",IFERROR(1*INDEX('CONTROLE PRODUÇÃO POR EMPRESAS'!$H$6:$J$5000,MATCH($A2592,'CONTROLE PRODUÇÃO POR EMPRESAS'!$A$6:$A$5000,0),2),"")),"")</f>
        <v/>
      </c>
      <c r="I2592">
        <f>IF(OR(NOT(ISNUMBER(G2592)),NOT(ISNUMBER(H2592))),"",H2592-G2592)</f>
        <v/>
      </c>
      <c r="J2592">
        <f>IF(OR(NOT(ISNUMBER(G2592)),NOT(ISNUMBER(H2592)),G2592=0),"",I2592/G2592)</f>
        <v/>
      </c>
      <c r="K2592">
        <f>IF(OR(NOT(ISNUMBER(G2592)),NOT(ISNUMBER(H2592)),G2592=0),"",H2592/G2592)</f>
        <v/>
      </c>
      <c r="L2592">
        <f>IF(NOT(ISNUMBER(G2592)),"SEM META",IF(G2592=0,"SEM META",IF(NOT(ISNUMBER(H2592)),"SEM APONTAMENTO",IF(H2592&gt;=G2592,"VERDE",IF(H2592&gt;=G2592*0.9,"AMARELO","VERMELHO")))))</f>
        <v/>
      </c>
    </row>
    <row r="2593">
      <c r="A2593" s="321" t="n">
        <v>46372</v>
      </c>
      <c r="B2593" t="inlineStr">
        <is>
          <t>GERAL</t>
        </is>
      </c>
      <c r="C2593" t="inlineStr">
        <is>
          <t>GLOBO AÇOS</t>
        </is>
      </c>
      <c r="D2593" t="inlineStr">
        <is>
          <t>FECHAMENTO</t>
        </is>
      </c>
      <c r="F2593">
        <f>IFERROR(INDEX('BASE METAS DIÁRIAS'!$AA$2:$AC$358,MATCH($A2593,'BASE METAS DIÁRIAS'!$A$2:$A$358,0),3),"")</f>
        <v/>
      </c>
      <c r="G2593">
        <f>IFERROR(IF(WEEKDAY($A2593,2)&lt;=INDEX('BASE METAS DIÁRIAS'!$X$2:$Z$358,MATCH($A2593,'BASE METAS DIÁRIAS'!$A$2:$A$358,0),3),INDEX('BASE METAS DIÁRIAS'!$U$2:$W$358,MATCH($A2593,'BASE METAS DIÁRIAS'!$A$2:$A$358,0),3),""),"")</f>
        <v/>
      </c>
      <c r="H2593">
        <f>IFERROR(IF(INDEX('CONTROLE PRODUÇÃO POR EMPRESAS'!$H$6:$J$5000,MATCH($A2593,'CONTROLE PRODUÇÃO POR EMPRESAS'!$A$6:$A$5000,0),3)="","",IFERROR(1*INDEX('CONTROLE PRODUÇÃO POR EMPRESAS'!$H$6:$J$5000,MATCH($A2593,'CONTROLE PRODUÇÃO POR EMPRESAS'!$A$6:$A$5000,0),3),"")),"")</f>
        <v/>
      </c>
      <c r="I2593">
        <f>IF(OR(NOT(ISNUMBER(G2593)),NOT(ISNUMBER(H2593))),"",H2593-G2593)</f>
        <v/>
      </c>
      <c r="J2593">
        <f>IF(OR(NOT(ISNUMBER(G2593)),NOT(ISNUMBER(H2593)),G2593=0),"",I2593/G2593)</f>
        <v/>
      </c>
      <c r="K2593">
        <f>IF(OR(NOT(ISNUMBER(G2593)),NOT(ISNUMBER(H2593)),G2593=0),"",H2593/G2593)</f>
        <v/>
      </c>
      <c r="L2593">
        <f>IF(NOT(ISNUMBER(G2593)),"SEM META",IF(G2593=0,"SEM META",IF(NOT(ISNUMBER(H2593)),"SEM APONTAMENTO",IF(H2593&gt;=G2593,"VERDE",IF(H2593&gt;=G2593*0.9,"AMARELO","VERMELHO")))))</f>
        <v/>
      </c>
    </row>
    <row r="2594">
      <c r="A2594" s="321" t="n">
        <v>46373</v>
      </c>
      <c r="B2594" t="inlineStr">
        <is>
          <t>GERAL</t>
        </is>
      </c>
      <c r="C2594" t="inlineStr">
        <is>
          <t>GLOBO AÇOS</t>
        </is>
      </c>
      <c r="D2594" t="inlineStr">
        <is>
          <t>PERFILAÇÃO</t>
        </is>
      </c>
      <c r="F2594">
        <f>IFERROR(INDEX('BASE METAS DIÁRIAS'!$AA$2:$AC$358,MATCH($A2594,'BASE METAS DIÁRIAS'!$A$2:$A$358,0),1),"")</f>
        <v/>
      </c>
      <c r="G2594">
        <f>IFERROR(IF(WEEKDAY($A2594,2)&lt;=INDEX('BASE METAS DIÁRIAS'!$X$2:$Z$358,MATCH($A2594,'BASE METAS DIÁRIAS'!$A$2:$A$358,0),1),INDEX('BASE METAS DIÁRIAS'!$U$2:$W$358,MATCH($A2594,'BASE METAS DIÁRIAS'!$A$2:$A$358,0),1),""),"")</f>
        <v/>
      </c>
      <c r="H2594">
        <f>IFERROR(IF(INDEX('CONTROLE PRODUÇÃO POR EMPRESAS'!$H$6:$J$5000,MATCH($A2594,'CONTROLE PRODUÇÃO POR EMPRESAS'!$A$6:$A$5000,0),1)="","",IFERROR(1*INDEX('CONTROLE PRODUÇÃO POR EMPRESAS'!$H$6:$J$5000,MATCH($A2594,'CONTROLE PRODUÇÃO POR EMPRESAS'!$A$6:$A$5000,0),1),"")),"")</f>
        <v/>
      </c>
      <c r="I2594">
        <f>IF(OR(NOT(ISNUMBER(G2594)),NOT(ISNUMBER(H2594))),"",H2594-G2594)</f>
        <v/>
      </c>
      <c r="J2594">
        <f>IF(OR(NOT(ISNUMBER(G2594)),NOT(ISNUMBER(H2594)),G2594=0),"",I2594/G2594)</f>
        <v/>
      </c>
      <c r="K2594">
        <f>IF(OR(NOT(ISNUMBER(G2594)),NOT(ISNUMBER(H2594)),G2594=0),"",H2594/G2594)</f>
        <v/>
      </c>
      <c r="L2594">
        <f>IF(NOT(ISNUMBER(G2594)),"SEM META",IF(G2594=0,"SEM META",IF(NOT(ISNUMBER(H2594)),"SEM APONTAMENTO",IF(H2594&gt;=G2594,"VERDE",IF(H2594&gt;=G2594*0.9,"AMARELO","VERMELHO")))))</f>
        <v/>
      </c>
    </row>
    <row r="2595">
      <c r="A2595" s="321" t="n">
        <v>46373</v>
      </c>
      <c r="B2595" t="inlineStr">
        <is>
          <t>GERAL</t>
        </is>
      </c>
      <c r="C2595" t="inlineStr">
        <is>
          <t>GLOBO AÇOS</t>
        </is>
      </c>
      <c r="D2595" t="inlineStr">
        <is>
          <t>TELHAR</t>
        </is>
      </c>
      <c r="F2595">
        <f>IFERROR(INDEX('BASE METAS DIÁRIAS'!$AA$2:$AC$358,MATCH($A2595,'BASE METAS DIÁRIAS'!$A$2:$A$358,0),2),"")</f>
        <v/>
      </c>
      <c r="G2595">
        <f>IFERROR(IF(WEEKDAY($A2595,2)&lt;=INDEX('BASE METAS DIÁRIAS'!$X$2:$Z$358,MATCH($A2595,'BASE METAS DIÁRIAS'!$A$2:$A$358,0),2),INDEX('BASE METAS DIÁRIAS'!$U$2:$W$358,MATCH($A2595,'BASE METAS DIÁRIAS'!$A$2:$A$358,0),2),""),"")</f>
        <v/>
      </c>
      <c r="H2595">
        <f>IFERROR(IF(INDEX('CONTROLE PRODUÇÃO POR EMPRESAS'!$H$6:$J$5000,MATCH($A2595,'CONTROLE PRODUÇÃO POR EMPRESAS'!$A$6:$A$5000,0),2)="","",IFERROR(1*INDEX('CONTROLE PRODUÇÃO POR EMPRESAS'!$H$6:$J$5000,MATCH($A2595,'CONTROLE PRODUÇÃO POR EMPRESAS'!$A$6:$A$5000,0),2),"")),"")</f>
        <v/>
      </c>
      <c r="I2595">
        <f>IF(OR(NOT(ISNUMBER(G2595)),NOT(ISNUMBER(H2595))),"",H2595-G2595)</f>
        <v/>
      </c>
      <c r="J2595">
        <f>IF(OR(NOT(ISNUMBER(G2595)),NOT(ISNUMBER(H2595)),G2595=0),"",I2595/G2595)</f>
        <v/>
      </c>
      <c r="K2595">
        <f>IF(OR(NOT(ISNUMBER(G2595)),NOT(ISNUMBER(H2595)),G2595=0),"",H2595/G2595)</f>
        <v/>
      </c>
      <c r="L2595">
        <f>IF(NOT(ISNUMBER(G2595)),"SEM META",IF(G2595=0,"SEM META",IF(NOT(ISNUMBER(H2595)),"SEM APONTAMENTO",IF(H2595&gt;=G2595,"VERDE",IF(H2595&gt;=G2595*0.9,"AMARELO","VERMELHO")))))</f>
        <v/>
      </c>
    </row>
    <row r="2596">
      <c r="A2596" s="321" t="n">
        <v>46373</v>
      </c>
      <c r="B2596" t="inlineStr">
        <is>
          <t>GERAL</t>
        </is>
      </c>
      <c r="C2596" t="inlineStr">
        <is>
          <t>GLOBO AÇOS</t>
        </is>
      </c>
      <c r="D2596" t="inlineStr">
        <is>
          <t>FECHAMENTO</t>
        </is>
      </c>
      <c r="F2596">
        <f>IFERROR(INDEX('BASE METAS DIÁRIAS'!$AA$2:$AC$358,MATCH($A2596,'BASE METAS DIÁRIAS'!$A$2:$A$358,0),3),"")</f>
        <v/>
      </c>
      <c r="G2596">
        <f>IFERROR(IF(WEEKDAY($A2596,2)&lt;=INDEX('BASE METAS DIÁRIAS'!$X$2:$Z$358,MATCH($A2596,'BASE METAS DIÁRIAS'!$A$2:$A$358,0),3),INDEX('BASE METAS DIÁRIAS'!$U$2:$W$358,MATCH($A2596,'BASE METAS DIÁRIAS'!$A$2:$A$358,0),3),""),"")</f>
        <v/>
      </c>
      <c r="H2596">
        <f>IFERROR(IF(INDEX('CONTROLE PRODUÇÃO POR EMPRESAS'!$H$6:$J$5000,MATCH($A2596,'CONTROLE PRODUÇÃO POR EMPRESAS'!$A$6:$A$5000,0),3)="","",IFERROR(1*INDEX('CONTROLE PRODUÇÃO POR EMPRESAS'!$H$6:$J$5000,MATCH($A2596,'CONTROLE PRODUÇÃO POR EMPRESAS'!$A$6:$A$5000,0),3),"")),"")</f>
        <v/>
      </c>
      <c r="I2596">
        <f>IF(OR(NOT(ISNUMBER(G2596)),NOT(ISNUMBER(H2596))),"",H2596-G2596)</f>
        <v/>
      </c>
      <c r="J2596">
        <f>IF(OR(NOT(ISNUMBER(G2596)),NOT(ISNUMBER(H2596)),G2596=0),"",I2596/G2596)</f>
        <v/>
      </c>
      <c r="K2596">
        <f>IF(OR(NOT(ISNUMBER(G2596)),NOT(ISNUMBER(H2596)),G2596=0),"",H2596/G2596)</f>
        <v/>
      </c>
      <c r="L2596">
        <f>IF(NOT(ISNUMBER(G2596)),"SEM META",IF(G2596=0,"SEM META",IF(NOT(ISNUMBER(H2596)),"SEM APONTAMENTO",IF(H2596&gt;=G2596,"VERDE",IF(H2596&gt;=G2596*0.9,"AMARELO","VERMELHO")))))</f>
        <v/>
      </c>
    </row>
    <row r="2597">
      <c r="A2597" s="321" t="n">
        <v>46374</v>
      </c>
      <c r="B2597" t="inlineStr">
        <is>
          <t>GERAL</t>
        </is>
      </c>
      <c r="C2597" t="inlineStr">
        <is>
          <t>GLOBO AÇOS</t>
        </is>
      </c>
      <c r="D2597" t="inlineStr">
        <is>
          <t>PERFILAÇÃO</t>
        </is>
      </c>
      <c r="F2597">
        <f>IFERROR(INDEX('BASE METAS DIÁRIAS'!$AA$2:$AC$358,MATCH($A2597,'BASE METAS DIÁRIAS'!$A$2:$A$358,0),1),"")</f>
        <v/>
      </c>
      <c r="G2597">
        <f>IFERROR(IF(WEEKDAY($A2597,2)&lt;=INDEX('BASE METAS DIÁRIAS'!$X$2:$Z$358,MATCH($A2597,'BASE METAS DIÁRIAS'!$A$2:$A$358,0),1),INDEX('BASE METAS DIÁRIAS'!$U$2:$W$358,MATCH($A2597,'BASE METAS DIÁRIAS'!$A$2:$A$358,0),1),""),"")</f>
        <v/>
      </c>
      <c r="H2597">
        <f>IFERROR(IF(INDEX('CONTROLE PRODUÇÃO POR EMPRESAS'!$H$6:$J$5000,MATCH($A2597,'CONTROLE PRODUÇÃO POR EMPRESAS'!$A$6:$A$5000,0),1)="","",IFERROR(1*INDEX('CONTROLE PRODUÇÃO POR EMPRESAS'!$H$6:$J$5000,MATCH($A2597,'CONTROLE PRODUÇÃO POR EMPRESAS'!$A$6:$A$5000,0),1),"")),"")</f>
        <v/>
      </c>
      <c r="I2597">
        <f>IF(OR(NOT(ISNUMBER(G2597)),NOT(ISNUMBER(H2597))),"",H2597-G2597)</f>
        <v/>
      </c>
      <c r="J2597">
        <f>IF(OR(NOT(ISNUMBER(G2597)),NOT(ISNUMBER(H2597)),G2597=0),"",I2597/G2597)</f>
        <v/>
      </c>
      <c r="K2597">
        <f>IF(OR(NOT(ISNUMBER(G2597)),NOT(ISNUMBER(H2597)),G2597=0),"",H2597/G2597)</f>
        <v/>
      </c>
      <c r="L2597">
        <f>IF(NOT(ISNUMBER(G2597)),"SEM META",IF(G2597=0,"SEM META",IF(NOT(ISNUMBER(H2597)),"SEM APONTAMENTO",IF(H2597&gt;=G2597,"VERDE",IF(H2597&gt;=G2597*0.9,"AMARELO","VERMELHO")))))</f>
        <v/>
      </c>
    </row>
    <row r="2598">
      <c r="A2598" s="321" t="n">
        <v>46374</v>
      </c>
      <c r="B2598" t="inlineStr">
        <is>
          <t>GERAL</t>
        </is>
      </c>
      <c r="C2598" t="inlineStr">
        <is>
          <t>GLOBO AÇOS</t>
        </is>
      </c>
      <c r="D2598" t="inlineStr">
        <is>
          <t>TELHAR</t>
        </is>
      </c>
      <c r="F2598">
        <f>IFERROR(INDEX('BASE METAS DIÁRIAS'!$AA$2:$AC$358,MATCH($A2598,'BASE METAS DIÁRIAS'!$A$2:$A$358,0),2),"")</f>
        <v/>
      </c>
      <c r="G2598">
        <f>IFERROR(IF(WEEKDAY($A2598,2)&lt;=INDEX('BASE METAS DIÁRIAS'!$X$2:$Z$358,MATCH($A2598,'BASE METAS DIÁRIAS'!$A$2:$A$358,0),2),INDEX('BASE METAS DIÁRIAS'!$U$2:$W$358,MATCH($A2598,'BASE METAS DIÁRIAS'!$A$2:$A$358,0),2),""),"")</f>
        <v/>
      </c>
      <c r="H2598">
        <f>IFERROR(IF(INDEX('CONTROLE PRODUÇÃO POR EMPRESAS'!$H$6:$J$5000,MATCH($A2598,'CONTROLE PRODUÇÃO POR EMPRESAS'!$A$6:$A$5000,0),2)="","",IFERROR(1*INDEX('CONTROLE PRODUÇÃO POR EMPRESAS'!$H$6:$J$5000,MATCH($A2598,'CONTROLE PRODUÇÃO POR EMPRESAS'!$A$6:$A$5000,0),2),"")),"")</f>
        <v/>
      </c>
      <c r="I2598">
        <f>IF(OR(NOT(ISNUMBER(G2598)),NOT(ISNUMBER(H2598))),"",H2598-G2598)</f>
        <v/>
      </c>
      <c r="J2598">
        <f>IF(OR(NOT(ISNUMBER(G2598)),NOT(ISNUMBER(H2598)),G2598=0),"",I2598/G2598)</f>
        <v/>
      </c>
      <c r="K2598">
        <f>IF(OR(NOT(ISNUMBER(G2598)),NOT(ISNUMBER(H2598)),G2598=0),"",H2598/G2598)</f>
        <v/>
      </c>
      <c r="L2598">
        <f>IF(NOT(ISNUMBER(G2598)),"SEM META",IF(G2598=0,"SEM META",IF(NOT(ISNUMBER(H2598)),"SEM APONTAMENTO",IF(H2598&gt;=G2598,"VERDE",IF(H2598&gt;=G2598*0.9,"AMARELO","VERMELHO")))))</f>
        <v/>
      </c>
    </row>
    <row r="2599">
      <c r="A2599" s="321" t="n">
        <v>46374</v>
      </c>
      <c r="B2599" t="inlineStr">
        <is>
          <t>GERAL</t>
        </is>
      </c>
      <c r="C2599" t="inlineStr">
        <is>
          <t>GLOBO AÇOS</t>
        </is>
      </c>
      <c r="D2599" t="inlineStr">
        <is>
          <t>FECHAMENTO</t>
        </is>
      </c>
      <c r="F2599">
        <f>IFERROR(INDEX('BASE METAS DIÁRIAS'!$AA$2:$AC$358,MATCH($A2599,'BASE METAS DIÁRIAS'!$A$2:$A$358,0),3),"")</f>
        <v/>
      </c>
      <c r="G2599">
        <f>IFERROR(IF(WEEKDAY($A2599,2)&lt;=INDEX('BASE METAS DIÁRIAS'!$X$2:$Z$358,MATCH($A2599,'BASE METAS DIÁRIAS'!$A$2:$A$358,0),3),INDEX('BASE METAS DIÁRIAS'!$U$2:$W$358,MATCH($A2599,'BASE METAS DIÁRIAS'!$A$2:$A$358,0),3),""),"")</f>
        <v/>
      </c>
      <c r="H2599">
        <f>IFERROR(IF(INDEX('CONTROLE PRODUÇÃO POR EMPRESAS'!$H$6:$J$5000,MATCH($A2599,'CONTROLE PRODUÇÃO POR EMPRESAS'!$A$6:$A$5000,0),3)="","",IFERROR(1*INDEX('CONTROLE PRODUÇÃO POR EMPRESAS'!$H$6:$J$5000,MATCH($A2599,'CONTROLE PRODUÇÃO POR EMPRESAS'!$A$6:$A$5000,0),3),"")),"")</f>
        <v/>
      </c>
      <c r="I2599">
        <f>IF(OR(NOT(ISNUMBER(G2599)),NOT(ISNUMBER(H2599))),"",H2599-G2599)</f>
        <v/>
      </c>
      <c r="J2599">
        <f>IF(OR(NOT(ISNUMBER(G2599)),NOT(ISNUMBER(H2599)),G2599=0),"",I2599/G2599)</f>
        <v/>
      </c>
      <c r="K2599">
        <f>IF(OR(NOT(ISNUMBER(G2599)),NOT(ISNUMBER(H2599)),G2599=0),"",H2599/G2599)</f>
        <v/>
      </c>
      <c r="L2599">
        <f>IF(NOT(ISNUMBER(G2599)),"SEM META",IF(G2599=0,"SEM META",IF(NOT(ISNUMBER(H2599)),"SEM APONTAMENTO",IF(H2599&gt;=G2599,"VERDE",IF(H2599&gt;=G2599*0.9,"AMARELO","VERMELHO")))))</f>
        <v/>
      </c>
    </row>
    <row r="2600">
      <c r="A2600" s="321" t="n">
        <v>46375</v>
      </c>
      <c r="B2600" t="inlineStr">
        <is>
          <t>GERAL</t>
        </is>
      </c>
      <c r="C2600" t="inlineStr">
        <is>
          <t>GLOBO AÇOS</t>
        </is>
      </c>
      <c r="D2600" t="inlineStr">
        <is>
          <t>PERFILAÇÃO</t>
        </is>
      </c>
      <c r="F2600">
        <f>IFERROR(INDEX('BASE METAS DIÁRIAS'!$AA$2:$AC$358,MATCH($A2600,'BASE METAS DIÁRIAS'!$A$2:$A$358,0),1),"")</f>
        <v/>
      </c>
      <c r="G2600">
        <f>IFERROR(IF(WEEKDAY($A2600,2)&lt;=INDEX('BASE METAS DIÁRIAS'!$X$2:$Z$358,MATCH($A2600,'BASE METAS DIÁRIAS'!$A$2:$A$358,0),1),INDEX('BASE METAS DIÁRIAS'!$U$2:$W$358,MATCH($A2600,'BASE METAS DIÁRIAS'!$A$2:$A$358,0),1),""),"")</f>
        <v/>
      </c>
      <c r="H2600">
        <f>IFERROR(IF(INDEX('CONTROLE PRODUÇÃO POR EMPRESAS'!$H$6:$J$5000,MATCH($A2600,'CONTROLE PRODUÇÃO POR EMPRESAS'!$A$6:$A$5000,0),1)="","",IFERROR(1*INDEX('CONTROLE PRODUÇÃO POR EMPRESAS'!$H$6:$J$5000,MATCH($A2600,'CONTROLE PRODUÇÃO POR EMPRESAS'!$A$6:$A$5000,0),1),"")),"")</f>
        <v/>
      </c>
      <c r="I2600">
        <f>IF(OR(NOT(ISNUMBER(G2600)),NOT(ISNUMBER(H2600))),"",H2600-G2600)</f>
        <v/>
      </c>
      <c r="J2600">
        <f>IF(OR(NOT(ISNUMBER(G2600)),NOT(ISNUMBER(H2600)),G2600=0),"",I2600/G2600)</f>
        <v/>
      </c>
      <c r="K2600">
        <f>IF(OR(NOT(ISNUMBER(G2600)),NOT(ISNUMBER(H2600)),G2600=0),"",H2600/G2600)</f>
        <v/>
      </c>
      <c r="L2600">
        <f>IF(NOT(ISNUMBER(G2600)),"SEM META",IF(G2600=0,"SEM META",IF(NOT(ISNUMBER(H2600)),"SEM APONTAMENTO",IF(H2600&gt;=G2600,"VERDE",IF(H2600&gt;=G2600*0.9,"AMARELO","VERMELHO")))))</f>
        <v/>
      </c>
    </row>
    <row r="2601">
      <c r="A2601" s="321" t="n">
        <v>46375</v>
      </c>
      <c r="B2601" t="inlineStr">
        <is>
          <t>GERAL</t>
        </is>
      </c>
      <c r="C2601" t="inlineStr">
        <is>
          <t>GLOBO AÇOS</t>
        </is>
      </c>
      <c r="D2601" t="inlineStr">
        <is>
          <t>TELHAR</t>
        </is>
      </c>
      <c r="F2601">
        <f>IFERROR(INDEX('BASE METAS DIÁRIAS'!$AA$2:$AC$358,MATCH($A2601,'BASE METAS DIÁRIAS'!$A$2:$A$358,0),2),"")</f>
        <v/>
      </c>
      <c r="G2601">
        <f>IFERROR(IF(WEEKDAY($A2601,2)&lt;=INDEX('BASE METAS DIÁRIAS'!$X$2:$Z$358,MATCH($A2601,'BASE METAS DIÁRIAS'!$A$2:$A$358,0),2),INDEX('BASE METAS DIÁRIAS'!$U$2:$W$358,MATCH($A2601,'BASE METAS DIÁRIAS'!$A$2:$A$358,0),2),""),"")</f>
        <v/>
      </c>
      <c r="H2601">
        <f>IFERROR(IF(INDEX('CONTROLE PRODUÇÃO POR EMPRESAS'!$H$6:$J$5000,MATCH($A2601,'CONTROLE PRODUÇÃO POR EMPRESAS'!$A$6:$A$5000,0),2)="","",IFERROR(1*INDEX('CONTROLE PRODUÇÃO POR EMPRESAS'!$H$6:$J$5000,MATCH($A2601,'CONTROLE PRODUÇÃO POR EMPRESAS'!$A$6:$A$5000,0),2),"")),"")</f>
        <v/>
      </c>
      <c r="I2601">
        <f>IF(OR(NOT(ISNUMBER(G2601)),NOT(ISNUMBER(H2601))),"",H2601-G2601)</f>
        <v/>
      </c>
      <c r="J2601">
        <f>IF(OR(NOT(ISNUMBER(G2601)),NOT(ISNUMBER(H2601)),G2601=0),"",I2601/G2601)</f>
        <v/>
      </c>
      <c r="K2601">
        <f>IF(OR(NOT(ISNUMBER(G2601)),NOT(ISNUMBER(H2601)),G2601=0),"",H2601/G2601)</f>
        <v/>
      </c>
      <c r="L2601">
        <f>IF(NOT(ISNUMBER(G2601)),"SEM META",IF(G2601=0,"SEM META",IF(NOT(ISNUMBER(H2601)),"SEM APONTAMENTO",IF(H2601&gt;=G2601,"VERDE",IF(H2601&gt;=G2601*0.9,"AMARELO","VERMELHO")))))</f>
        <v/>
      </c>
    </row>
    <row r="2602">
      <c r="A2602" s="321" t="n">
        <v>46375</v>
      </c>
      <c r="B2602" t="inlineStr">
        <is>
          <t>GERAL</t>
        </is>
      </c>
      <c r="C2602" t="inlineStr">
        <is>
          <t>GLOBO AÇOS</t>
        </is>
      </c>
      <c r="D2602" t="inlineStr">
        <is>
          <t>FECHAMENTO</t>
        </is>
      </c>
      <c r="F2602">
        <f>IFERROR(INDEX('BASE METAS DIÁRIAS'!$AA$2:$AC$358,MATCH($A2602,'BASE METAS DIÁRIAS'!$A$2:$A$358,0),3),"")</f>
        <v/>
      </c>
      <c r="G2602">
        <f>IFERROR(IF(WEEKDAY($A2602,2)&lt;=INDEX('BASE METAS DIÁRIAS'!$X$2:$Z$358,MATCH($A2602,'BASE METAS DIÁRIAS'!$A$2:$A$358,0),3),INDEX('BASE METAS DIÁRIAS'!$U$2:$W$358,MATCH($A2602,'BASE METAS DIÁRIAS'!$A$2:$A$358,0),3),""),"")</f>
        <v/>
      </c>
      <c r="H2602">
        <f>IFERROR(IF(INDEX('CONTROLE PRODUÇÃO POR EMPRESAS'!$H$6:$J$5000,MATCH($A2602,'CONTROLE PRODUÇÃO POR EMPRESAS'!$A$6:$A$5000,0),3)="","",IFERROR(1*INDEX('CONTROLE PRODUÇÃO POR EMPRESAS'!$H$6:$J$5000,MATCH($A2602,'CONTROLE PRODUÇÃO POR EMPRESAS'!$A$6:$A$5000,0),3),"")),"")</f>
        <v/>
      </c>
      <c r="I2602">
        <f>IF(OR(NOT(ISNUMBER(G2602)),NOT(ISNUMBER(H2602))),"",H2602-G2602)</f>
        <v/>
      </c>
      <c r="J2602">
        <f>IF(OR(NOT(ISNUMBER(G2602)),NOT(ISNUMBER(H2602)),G2602=0),"",I2602/G2602)</f>
        <v/>
      </c>
      <c r="K2602">
        <f>IF(OR(NOT(ISNUMBER(G2602)),NOT(ISNUMBER(H2602)),G2602=0),"",H2602/G2602)</f>
        <v/>
      </c>
      <c r="L2602">
        <f>IF(NOT(ISNUMBER(G2602)),"SEM META",IF(G2602=0,"SEM META",IF(NOT(ISNUMBER(H2602)),"SEM APONTAMENTO",IF(H2602&gt;=G2602,"VERDE",IF(H2602&gt;=G2602*0.9,"AMARELO","VERMELHO")))))</f>
        <v/>
      </c>
    </row>
    <row r="2603">
      <c r="A2603" s="321" t="n">
        <v>46376</v>
      </c>
      <c r="B2603" t="inlineStr">
        <is>
          <t>GERAL</t>
        </is>
      </c>
      <c r="C2603" t="inlineStr">
        <is>
          <t>GLOBO AÇOS</t>
        </is>
      </c>
      <c r="D2603" t="inlineStr">
        <is>
          <t>PERFILAÇÃO</t>
        </is>
      </c>
      <c r="F2603">
        <f>IFERROR(INDEX('BASE METAS DIÁRIAS'!$AA$2:$AC$358,MATCH($A2603,'BASE METAS DIÁRIAS'!$A$2:$A$358,0),1),"")</f>
        <v/>
      </c>
      <c r="G2603">
        <f>IFERROR(IF(WEEKDAY($A2603,2)&lt;=INDEX('BASE METAS DIÁRIAS'!$X$2:$Z$358,MATCH($A2603,'BASE METAS DIÁRIAS'!$A$2:$A$358,0),1),INDEX('BASE METAS DIÁRIAS'!$U$2:$W$358,MATCH($A2603,'BASE METAS DIÁRIAS'!$A$2:$A$358,0),1),""),"")</f>
        <v/>
      </c>
      <c r="H2603">
        <f>IFERROR(IF(INDEX('CONTROLE PRODUÇÃO POR EMPRESAS'!$H$6:$J$5000,MATCH($A2603,'CONTROLE PRODUÇÃO POR EMPRESAS'!$A$6:$A$5000,0),1)="","",IFERROR(1*INDEX('CONTROLE PRODUÇÃO POR EMPRESAS'!$H$6:$J$5000,MATCH($A2603,'CONTROLE PRODUÇÃO POR EMPRESAS'!$A$6:$A$5000,0),1),"")),"")</f>
        <v/>
      </c>
      <c r="I2603">
        <f>IF(OR(NOT(ISNUMBER(G2603)),NOT(ISNUMBER(H2603))),"",H2603-G2603)</f>
        <v/>
      </c>
      <c r="J2603">
        <f>IF(OR(NOT(ISNUMBER(G2603)),NOT(ISNUMBER(H2603)),G2603=0),"",I2603/G2603)</f>
        <v/>
      </c>
      <c r="K2603">
        <f>IF(OR(NOT(ISNUMBER(G2603)),NOT(ISNUMBER(H2603)),G2603=0),"",H2603/G2603)</f>
        <v/>
      </c>
      <c r="L2603">
        <f>IF(NOT(ISNUMBER(G2603)),"SEM META",IF(G2603=0,"SEM META",IF(NOT(ISNUMBER(H2603)),"SEM APONTAMENTO",IF(H2603&gt;=G2603,"VERDE",IF(H2603&gt;=G2603*0.9,"AMARELO","VERMELHO")))))</f>
        <v/>
      </c>
    </row>
    <row r="2604">
      <c r="A2604" s="321" t="n">
        <v>46376</v>
      </c>
      <c r="B2604" t="inlineStr">
        <is>
          <t>GERAL</t>
        </is>
      </c>
      <c r="C2604" t="inlineStr">
        <is>
          <t>GLOBO AÇOS</t>
        </is>
      </c>
      <c r="D2604" t="inlineStr">
        <is>
          <t>TELHAR</t>
        </is>
      </c>
      <c r="F2604">
        <f>IFERROR(INDEX('BASE METAS DIÁRIAS'!$AA$2:$AC$358,MATCH($A2604,'BASE METAS DIÁRIAS'!$A$2:$A$358,0),2),"")</f>
        <v/>
      </c>
      <c r="G2604">
        <f>IFERROR(IF(WEEKDAY($A2604,2)&lt;=INDEX('BASE METAS DIÁRIAS'!$X$2:$Z$358,MATCH($A2604,'BASE METAS DIÁRIAS'!$A$2:$A$358,0),2),INDEX('BASE METAS DIÁRIAS'!$U$2:$W$358,MATCH($A2604,'BASE METAS DIÁRIAS'!$A$2:$A$358,0),2),""),"")</f>
        <v/>
      </c>
      <c r="H2604">
        <f>IFERROR(IF(INDEX('CONTROLE PRODUÇÃO POR EMPRESAS'!$H$6:$J$5000,MATCH($A2604,'CONTROLE PRODUÇÃO POR EMPRESAS'!$A$6:$A$5000,0),2)="","",IFERROR(1*INDEX('CONTROLE PRODUÇÃO POR EMPRESAS'!$H$6:$J$5000,MATCH($A2604,'CONTROLE PRODUÇÃO POR EMPRESAS'!$A$6:$A$5000,0),2),"")),"")</f>
        <v/>
      </c>
      <c r="I2604">
        <f>IF(OR(NOT(ISNUMBER(G2604)),NOT(ISNUMBER(H2604))),"",H2604-G2604)</f>
        <v/>
      </c>
      <c r="J2604">
        <f>IF(OR(NOT(ISNUMBER(G2604)),NOT(ISNUMBER(H2604)),G2604=0),"",I2604/G2604)</f>
        <v/>
      </c>
      <c r="K2604">
        <f>IF(OR(NOT(ISNUMBER(G2604)),NOT(ISNUMBER(H2604)),G2604=0),"",H2604/G2604)</f>
        <v/>
      </c>
      <c r="L2604">
        <f>IF(NOT(ISNUMBER(G2604)),"SEM META",IF(G2604=0,"SEM META",IF(NOT(ISNUMBER(H2604)),"SEM APONTAMENTO",IF(H2604&gt;=G2604,"VERDE",IF(H2604&gt;=G2604*0.9,"AMARELO","VERMELHO")))))</f>
        <v/>
      </c>
    </row>
    <row r="2605">
      <c r="A2605" s="321" t="n">
        <v>46376</v>
      </c>
      <c r="B2605" t="inlineStr">
        <is>
          <t>GERAL</t>
        </is>
      </c>
      <c r="C2605" t="inlineStr">
        <is>
          <t>GLOBO AÇOS</t>
        </is>
      </c>
      <c r="D2605" t="inlineStr">
        <is>
          <t>FECHAMENTO</t>
        </is>
      </c>
      <c r="F2605">
        <f>IFERROR(INDEX('BASE METAS DIÁRIAS'!$AA$2:$AC$358,MATCH($A2605,'BASE METAS DIÁRIAS'!$A$2:$A$358,0),3),"")</f>
        <v/>
      </c>
      <c r="G2605">
        <f>IFERROR(IF(WEEKDAY($A2605,2)&lt;=INDEX('BASE METAS DIÁRIAS'!$X$2:$Z$358,MATCH($A2605,'BASE METAS DIÁRIAS'!$A$2:$A$358,0),3),INDEX('BASE METAS DIÁRIAS'!$U$2:$W$358,MATCH($A2605,'BASE METAS DIÁRIAS'!$A$2:$A$358,0),3),""),"")</f>
        <v/>
      </c>
      <c r="H2605">
        <f>IFERROR(IF(INDEX('CONTROLE PRODUÇÃO POR EMPRESAS'!$H$6:$J$5000,MATCH($A2605,'CONTROLE PRODUÇÃO POR EMPRESAS'!$A$6:$A$5000,0),3)="","",IFERROR(1*INDEX('CONTROLE PRODUÇÃO POR EMPRESAS'!$H$6:$J$5000,MATCH($A2605,'CONTROLE PRODUÇÃO POR EMPRESAS'!$A$6:$A$5000,0),3),"")),"")</f>
        <v/>
      </c>
      <c r="I2605">
        <f>IF(OR(NOT(ISNUMBER(G2605)),NOT(ISNUMBER(H2605))),"",H2605-G2605)</f>
        <v/>
      </c>
      <c r="J2605">
        <f>IF(OR(NOT(ISNUMBER(G2605)),NOT(ISNUMBER(H2605)),G2605=0),"",I2605/G2605)</f>
        <v/>
      </c>
      <c r="K2605">
        <f>IF(OR(NOT(ISNUMBER(G2605)),NOT(ISNUMBER(H2605)),G2605=0),"",H2605/G2605)</f>
        <v/>
      </c>
      <c r="L2605">
        <f>IF(NOT(ISNUMBER(G2605)),"SEM META",IF(G2605=0,"SEM META",IF(NOT(ISNUMBER(H2605)),"SEM APONTAMENTO",IF(H2605&gt;=G2605,"VERDE",IF(H2605&gt;=G2605*0.9,"AMARELO","VERMELHO")))))</f>
        <v/>
      </c>
    </row>
    <row r="2606">
      <c r="A2606" s="321" t="n">
        <v>46377</v>
      </c>
      <c r="B2606" t="inlineStr">
        <is>
          <t>GERAL</t>
        </is>
      </c>
      <c r="C2606" t="inlineStr">
        <is>
          <t>GLOBO AÇOS</t>
        </is>
      </c>
      <c r="D2606" t="inlineStr">
        <is>
          <t>PERFILAÇÃO</t>
        </is>
      </c>
      <c r="F2606">
        <f>IFERROR(INDEX('BASE METAS DIÁRIAS'!$AA$2:$AC$358,MATCH($A2606,'BASE METAS DIÁRIAS'!$A$2:$A$358,0),1),"")</f>
        <v/>
      </c>
      <c r="G2606">
        <f>IFERROR(IF(WEEKDAY($A2606,2)&lt;=INDEX('BASE METAS DIÁRIAS'!$X$2:$Z$358,MATCH($A2606,'BASE METAS DIÁRIAS'!$A$2:$A$358,0),1),INDEX('BASE METAS DIÁRIAS'!$U$2:$W$358,MATCH($A2606,'BASE METAS DIÁRIAS'!$A$2:$A$358,0),1),""),"")</f>
        <v/>
      </c>
      <c r="H2606">
        <f>IFERROR(IF(INDEX('CONTROLE PRODUÇÃO POR EMPRESAS'!$H$6:$J$5000,MATCH($A2606,'CONTROLE PRODUÇÃO POR EMPRESAS'!$A$6:$A$5000,0),1)="","",IFERROR(1*INDEX('CONTROLE PRODUÇÃO POR EMPRESAS'!$H$6:$J$5000,MATCH($A2606,'CONTROLE PRODUÇÃO POR EMPRESAS'!$A$6:$A$5000,0),1),"")),"")</f>
        <v/>
      </c>
      <c r="I2606">
        <f>IF(OR(NOT(ISNUMBER(G2606)),NOT(ISNUMBER(H2606))),"",H2606-G2606)</f>
        <v/>
      </c>
      <c r="J2606">
        <f>IF(OR(NOT(ISNUMBER(G2606)),NOT(ISNUMBER(H2606)),G2606=0),"",I2606/G2606)</f>
        <v/>
      </c>
      <c r="K2606">
        <f>IF(OR(NOT(ISNUMBER(G2606)),NOT(ISNUMBER(H2606)),G2606=0),"",H2606/G2606)</f>
        <v/>
      </c>
      <c r="L2606">
        <f>IF(NOT(ISNUMBER(G2606)),"SEM META",IF(G2606=0,"SEM META",IF(NOT(ISNUMBER(H2606)),"SEM APONTAMENTO",IF(H2606&gt;=G2606,"VERDE",IF(H2606&gt;=G2606*0.9,"AMARELO","VERMELHO")))))</f>
        <v/>
      </c>
    </row>
    <row r="2607">
      <c r="A2607" s="321" t="n">
        <v>46377</v>
      </c>
      <c r="B2607" t="inlineStr">
        <is>
          <t>GERAL</t>
        </is>
      </c>
      <c r="C2607" t="inlineStr">
        <is>
          <t>GLOBO AÇOS</t>
        </is>
      </c>
      <c r="D2607" t="inlineStr">
        <is>
          <t>TELHAR</t>
        </is>
      </c>
      <c r="F2607">
        <f>IFERROR(INDEX('BASE METAS DIÁRIAS'!$AA$2:$AC$358,MATCH($A2607,'BASE METAS DIÁRIAS'!$A$2:$A$358,0),2),"")</f>
        <v/>
      </c>
      <c r="G2607">
        <f>IFERROR(IF(WEEKDAY($A2607,2)&lt;=INDEX('BASE METAS DIÁRIAS'!$X$2:$Z$358,MATCH($A2607,'BASE METAS DIÁRIAS'!$A$2:$A$358,0),2),INDEX('BASE METAS DIÁRIAS'!$U$2:$W$358,MATCH($A2607,'BASE METAS DIÁRIAS'!$A$2:$A$358,0),2),""),"")</f>
        <v/>
      </c>
      <c r="H2607">
        <f>IFERROR(IF(INDEX('CONTROLE PRODUÇÃO POR EMPRESAS'!$H$6:$J$5000,MATCH($A2607,'CONTROLE PRODUÇÃO POR EMPRESAS'!$A$6:$A$5000,0),2)="","",IFERROR(1*INDEX('CONTROLE PRODUÇÃO POR EMPRESAS'!$H$6:$J$5000,MATCH($A2607,'CONTROLE PRODUÇÃO POR EMPRESAS'!$A$6:$A$5000,0),2),"")),"")</f>
        <v/>
      </c>
      <c r="I2607">
        <f>IF(OR(NOT(ISNUMBER(G2607)),NOT(ISNUMBER(H2607))),"",H2607-G2607)</f>
        <v/>
      </c>
      <c r="J2607">
        <f>IF(OR(NOT(ISNUMBER(G2607)),NOT(ISNUMBER(H2607)),G2607=0),"",I2607/G2607)</f>
        <v/>
      </c>
      <c r="K2607">
        <f>IF(OR(NOT(ISNUMBER(G2607)),NOT(ISNUMBER(H2607)),G2607=0),"",H2607/G2607)</f>
        <v/>
      </c>
      <c r="L2607">
        <f>IF(NOT(ISNUMBER(G2607)),"SEM META",IF(G2607=0,"SEM META",IF(NOT(ISNUMBER(H2607)),"SEM APONTAMENTO",IF(H2607&gt;=G2607,"VERDE",IF(H2607&gt;=G2607*0.9,"AMARELO","VERMELHO")))))</f>
        <v/>
      </c>
    </row>
    <row r="2608">
      <c r="A2608" s="321" t="n">
        <v>46377</v>
      </c>
      <c r="B2608" t="inlineStr">
        <is>
          <t>GERAL</t>
        </is>
      </c>
      <c r="C2608" t="inlineStr">
        <is>
          <t>GLOBO AÇOS</t>
        </is>
      </c>
      <c r="D2608" t="inlineStr">
        <is>
          <t>FECHAMENTO</t>
        </is>
      </c>
      <c r="F2608">
        <f>IFERROR(INDEX('BASE METAS DIÁRIAS'!$AA$2:$AC$358,MATCH($A2608,'BASE METAS DIÁRIAS'!$A$2:$A$358,0),3),"")</f>
        <v/>
      </c>
      <c r="G2608">
        <f>IFERROR(IF(WEEKDAY($A2608,2)&lt;=INDEX('BASE METAS DIÁRIAS'!$X$2:$Z$358,MATCH($A2608,'BASE METAS DIÁRIAS'!$A$2:$A$358,0),3),INDEX('BASE METAS DIÁRIAS'!$U$2:$W$358,MATCH($A2608,'BASE METAS DIÁRIAS'!$A$2:$A$358,0),3),""),"")</f>
        <v/>
      </c>
      <c r="H2608">
        <f>IFERROR(IF(INDEX('CONTROLE PRODUÇÃO POR EMPRESAS'!$H$6:$J$5000,MATCH($A2608,'CONTROLE PRODUÇÃO POR EMPRESAS'!$A$6:$A$5000,0),3)="","",IFERROR(1*INDEX('CONTROLE PRODUÇÃO POR EMPRESAS'!$H$6:$J$5000,MATCH($A2608,'CONTROLE PRODUÇÃO POR EMPRESAS'!$A$6:$A$5000,0),3),"")),"")</f>
        <v/>
      </c>
      <c r="I2608">
        <f>IF(OR(NOT(ISNUMBER(G2608)),NOT(ISNUMBER(H2608))),"",H2608-G2608)</f>
        <v/>
      </c>
      <c r="J2608">
        <f>IF(OR(NOT(ISNUMBER(G2608)),NOT(ISNUMBER(H2608)),G2608=0),"",I2608/G2608)</f>
        <v/>
      </c>
      <c r="K2608">
        <f>IF(OR(NOT(ISNUMBER(G2608)),NOT(ISNUMBER(H2608)),G2608=0),"",H2608/G2608)</f>
        <v/>
      </c>
      <c r="L2608">
        <f>IF(NOT(ISNUMBER(G2608)),"SEM META",IF(G2608=0,"SEM META",IF(NOT(ISNUMBER(H2608)),"SEM APONTAMENTO",IF(H2608&gt;=G2608,"VERDE",IF(H2608&gt;=G2608*0.9,"AMARELO","VERMELHO")))))</f>
        <v/>
      </c>
    </row>
    <row r="2609">
      <c r="A2609" s="321" t="n">
        <v>46378</v>
      </c>
      <c r="B2609" t="inlineStr">
        <is>
          <t>GERAL</t>
        </is>
      </c>
      <c r="C2609" t="inlineStr">
        <is>
          <t>GLOBO AÇOS</t>
        </is>
      </c>
      <c r="D2609" t="inlineStr">
        <is>
          <t>PERFILAÇÃO</t>
        </is>
      </c>
      <c r="F2609">
        <f>IFERROR(INDEX('BASE METAS DIÁRIAS'!$AA$2:$AC$358,MATCH($A2609,'BASE METAS DIÁRIAS'!$A$2:$A$358,0),1),"")</f>
        <v/>
      </c>
      <c r="G2609">
        <f>IFERROR(IF(WEEKDAY($A2609,2)&lt;=INDEX('BASE METAS DIÁRIAS'!$X$2:$Z$358,MATCH($A2609,'BASE METAS DIÁRIAS'!$A$2:$A$358,0),1),INDEX('BASE METAS DIÁRIAS'!$U$2:$W$358,MATCH($A2609,'BASE METAS DIÁRIAS'!$A$2:$A$358,0),1),""),"")</f>
        <v/>
      </c>
      <c r="H2609">
        <f>IFERROR(IF(INDEX('CONTROLE PRODUÇÃO POR EMPRESAS'!$H$6:$J$5000,MATCH($A2609,'CONTROLE PRODUÇÃO POR EMPRESAS'!$A$6:$A$5000,0),1)="","",IFERROR(1*INDEX('CONTROLE PRODUÇÃO POR EMPRESAS'!$H$6:$J$5000,MATCH($A2609,'CONTROLE PRODUÇÃO POR EMPRESAS'!$A$6:$A$5000,0),1),"")),"")</f>
        <v/>
      </c>
      <c r="I2609">
        <f>IF(OR(NOT(ISNUMBER(G2609)),NOT(ISNUMBER(H2609))),"",H2609-G2609)</f>
        <v/>
      </c>
      <c r="J2609">
        <f>IF(OR(NOT(ISNUMBER(G2609)),NOT(ISNUMBER(H2609)),G2609=0),"",I2609/G2609)</f>
        <v/>
      </c>
      <c r="K2609">
        <f>IF(OR(NOT(ISNUMBER(G2609)),NOT(ISNUMBER(H2609)),G2609=0),"",H2609/G2609)</f>
        <v/>
      </c>
      <c r="L2609">
        <f>IF(NOT(ISNUMBER(G2609)),"SEM META",IF(G2609=0,"SEM META",IF(NOT(ISNUMBER(H2609)),"SEM APONTAMENTO",IF(H2609&gt;=G2609,"VERDE",IF(H2609&gt;=G2609*0.9,"AMARELO","VERMELHO")))))</f>
        <v/>
      </c>
    </row>
    <row r="2610">
      <c r="A2610" s="321" t="n">
        <v>46378</v>
      </c>
      <c r="B2610" t="inlineStr">
        <is>
          <t>GERAL</t>
        </is>
      </c>
      <c r="C2610" t="inlineStr">
        <is>
          <t>GLOBO AÇOS</t>
        </is>
      </c>
      <c r="D2610" t="inlineStr">
        <is>
          <t>TELHAR</t>
        </is>
      </c>
      <c r="F2610">
        <f>IFERROR(INDEX('BASE METAS DIÁRIAS'!$AA$2:$AC$358,MATCH($A2610,'BASE METAS DIÁRIAS'!$A$2:$A$358,0),2),"")</f>
        <v/>
      </c>
      <c r="G2610">
        <f>IFERROR(IF(WEEKDAY($A2610,2)&lt;=INDEX('BASE METAS DIÁRIAS'!$X$2:$Z$358,MATCH($A2610,'BASE METAS DIÁRIAS'!$A$2:$A$358,0),2),INDEX('BASE METAS DIÁRIAS'!$U$2:$W$358,MATCH($A2610,'BASE METAS DIÁRIAS'!$A$2:$A$358,0),2),""),"")</f>
        <v/>
      </c>
      <c r="H2610">
        <f>IFERROR(IF(INDEX('CONTROLE PRODUÇÃO POR EMPRESAS'!$H$6:$J$5000,MATCH($A2610,'CONTROLE PRODUÇÃO POR EMPRESAS'!$A$6:$A$5000,0),2)="","",IFERROR(1*INDEX('CONTROLE PRODUÇÃO POR EMPRESAS'!$H$6:$J$5000,MATCH($A2610,'CONTROLE PRODUÇÃO POR EMPRESAS'!$A$6:$A$5000,0),2),"")),"")</f>
        <v/>
      </c>
      <c r="I2610">
        <f>IF(OR(NOT(ISNUMBER(G2610)),NOT(ISNUMBER(H2610))),"",H2610-G2610)</f>
        <v/>
      </c>
      <c r="J2610">
        <f>IF(OR(NOT(ISNUMBER(G2610)),NOT(ISNUMBER(H2610)),G2610=0),"",I2610/G2610)</f>
        <v/>
      </c>
      <c r="K2610">
        <f>IF(OR(NOT(ISNUMBER(G2610)),NOT(ISNUMBER(H2610)),G2610=0),"",H2610/G2610)</f>
        <v/>
      </c>
      <c r="L2610">
        <f>IF(NOT(ISNUMBER(G2610)),"SEM META",IF(G2610=0,"SEM META",IF(NOT(ISNUMBER(H2610)),"SEM APONTAMENTO",IF(H2610&gt;=G2610,"VERDE",IF(H2610&gt;=G2610*0.9,"AMARELO","VERMELHO")))))</f>
        <v/>
      </c>
    </row>
    <row r="2611">
      <c r="A2611" s="321" t="n">
        <v>46378</v>
      </c>
      <c r="B2611" t="inlineStr">
        <is>
          <t>GERAL</t>
        </is>
      </c>
      <c r="C2611" t="inlineStr">
        <is>
          <t>GLOBO AÇOS</t>
        </is>
      </c>
      <c r="D2611" t="inlineStr">
        <is>
          <t>FECHAMENTO</t>
        </is>
      </c>
      <c r="F2611">
        <f>IFERROR(INDEX('BASE METAS DIÁRIAS'!$AA$2:$AC$358,MATCH($A2611,'BASE METAS DIÁRIAS'!$A$2:$A$358,0),3),"")</f>
        <v/>
      </c>
      <c r="G2611">
        <f>IFERROR(IF(WEEKDAY($A2611,2)&lt;=INDEX('BASE METAS DIÁRIAS'!$X$2:$Z$358,MATCH($A2611,'BASE METAS DIÁRIAS'!$A$2:$A$358,0),3),INDEX('BASE METAS DIÁRIAS'!$U$2:$W$358,MATCH($A2611,'BASE METAS DIÁRIAS'!$A$2:$A$358,0),3),""),"")</f>
        <v/>
      </c>
      <c r="H2611">
        <f>IFERROR(IF(INDEX('CONTROLE PRODUÇÃO POR EMPRESAS'!$H$6:$J$5000,MATCH($A2611,'CONTROLE PRODUÇÃO POR EMPRESAS'!$A$6:$A$5000,0),3)="","",IFERROR(1*INDEX('CONTROLE PRODUÇÃO POR EMPRESAS'!$H$6:$J$5000,MATCH($A2611,'CONTROLE PRODUÇÃO POR EMPRESAS'!$A$6:$A$5000,0),3),"")),"")</f>
        <v/>
      </c>
      <c r="I2611">
        <f>IF(OR(NOT(ISNUMBER(G2611)),NOT(ISNUMBER(H2611))),"",H2611-G2611)</f>
        <v/>
      </c>
      <c r="J2611">
        <f>IF(OR(NOT(ISNUMBER(G2611)),NOT(ISNUMBER(H2611)),G2611=0),"",I2611/G2611)</f>
        <v/>
      </c>
      <c r="K2611">
        <f>IF(OR(NOT(ISNUMBER(G2611)),NOT(ISNUMBER(H2611)),G2611=0),"",H2611/G2611)</f>
        <v/>
      </c>
      <c r="L2611">
        <f>IF(NOT(ISNUMBER(G2611)),"SEM META",IF(G2611=0,"SEM META",IF(NOT(ISNUMBER(H2611)),"SEM APONTAMENTO",IF(H2611&gt;=G2611,"VERDE",IF(H2611&gt;=G2611*0.9,"AMARELO","VERMELHO")))))</f>
        <v/>
      </c>
    </row>
    <row r="2612">
      <c r="A2612" s="321" t="n">
        <v>46379</v>
      </c>
      <c r="B2612" t="inlineStr">
        <is>
          <t>GERAL</t>
        </is>
      </c>
      <c r="C2612" t="inlineStr">
        <is>
          <t>GLOBO AÇOS</t>
        </is>
      </c>
      <c r="D2612" t="inlineStr">
        <is>
          <t>PERFILAÇÃO</t>
        </is>
      </c>
      <c r="F2612">
        <f>IFERROR(INDEX('BASE METAS DIÁRIAS'!$AA$2:$AC$358,MATCH($A2612,'BASE METAS DIÁRIAS'!$A$2:$A$358,0),1),"")</f>
        <v/>
      </c>
      <c r="G2612">
        <f>IFERROR(IF(WEEKDAY($A2612,2)&lt;=INDEX('BASE METAS DIÁRIAS'!$X$2:$Z$358,MATCH($A2612,'BASE METAS DIÁRIAS'!$A$2:$A$358,0),1),INDEX('BASE METAS DIÁRIAS'!$U$2:$W$358,MATCH($A2612,'BASE METAS DIÁRIAS'!$A$2:$A$358,0),1),""),"")</f>
        <v/>
      </c>
      <c r="H2612">
        <f>IFERROR(IF(INDEX('CONTROLE PRODUÇÃO POR EMPRESAS'!$H$6:$J$5000,MATCH($A2612,'CONTROLE PRODUÇÃO POR EMPRESAS'!$A$6:$A$5000,0),1)="","",IFERROR(1*INDEX('CONTROLE PRODUÇÃO POR EMPRESAS'!$H$6:$J$5000,MATCH($A2612,'CONTROLE PRODUÇÃO POR EMPRESAS'!$A$6:$A$5000,0),1),"")),"")</f>
        <v/>
      </c>
      <c r="I2612">
        <f>IF(OR(NOT(ISNUMBER(G2612)),NOT(ISNUMBER(H2612))),"",H2612-G2612)</f>
        <v/>
      </c>
      <c r="J2612">
        <f>IF(OR(NOT(ISNUMBER(G2612)),NOT(ISNUMBER(H2612)),G2612=0),"",I2612/G2612)</f>
        <v/>
      </c>
      <c r="K2612">
        <f>IF(OR(NOT(ISNUMBER(G2612)),NOT(ISNUMBER(H2612)),G2612=0),"",H2612/G2612)</f>
        <v/>
      </c>
      <c r="L2612">
        <f>IF(NOT(ISNUMBER(G2612)),"SEM META",IF(G2612=0,"SEM META",IF(NOT(ISNUMBER(H2612)),"SEM APONTAMENTO",IF(H2612&gt;=G2612,"VERDE",IF(H2612&gt;=G2612*0.9,"AMARELO","VERMELHO")))))</f>
        <v/>
      </c>
    </row>
    <row r="2613">
      <c r="A2613" s="321" t="n">
        <v>46379</v>
      </c>
      <c r="B2613" t="inlineStr">
        <is>
          <t>GERAL</t>
        </is>
      </c>
      <c r="C2613" t="inlineStr">
        <is>
          <t>GLOBO AÇOS</t>
        </is>
      </c>
      <c r="D2613" t="inlineStr">
        <is>
          <t>TELHAR</t>
        </is>
      </c>
      <c r="F2613">
        <f>IFERROR(INDEX('BASE METAS DIÁRIAS'!$AA$2:$AC$358,MATCH($A2613,'BASE METAS DIÁRIAS'!$A$2:$A$358,0),2),"")</f>
        <v/>
      </c>
      <c r="G2613">
        <f>IFERROR(IF(WEEKDAY($A2613,2)&lt;=INDEX('BASE METAS DIÁRIAS'!$X$2:$Z$358,MATCH($A2613,'BASE METAS DIÁRIAS'!$A$2:$A$358,0),2),INDEX('BASE METAS DIÁRIAS'!$U$2:$W$358,MATCH($A2613,'BASE METAS DIÁRIAS'!$A$2:$A$358,0),2),""),"")</f>
        <v/>
      </c>
      <c r="H2613">
        <f>IFERROR(IF(INDEX('CONTROLE PRODUÇÃO POR EMPRESAS'!$H$6:$J$5000,MATCH($A2613,'CONTROLE PRODUÇÃO POR EMPRESAS'!$A$6:$A$5000,0),2)="","",IFERROR(1*INDEX('CONTROLE PRODUÇÃO POR EMPRESAS'!$H$6:$J$5000,MATCH($A2613,'CONTROLE PRODUÇÃO POR EMPRESAS'!$A$6:$A$5000,0),2),"")),"")</f>
        <v/>
      </c>
      <c r="I2613">
        <f>IF(OR(NOT(ISNUMBER(G2613)),NOT(ISNUMBER(H2613))),"",H2613-G2613)</f>
        <v/>
      </c>
      <c r="J2613">
        <f>IF(OR(NOT(ISNUMBER(G2613)),NOT(ISNUMBER(H2613)),G2613=0),"",I2613/G2613)</f>
        <v/>
      </c>
      <c r="K2613">
        <f>IF(OR(NOT(ISNUMBER(G2613)),NOT(ISNUMBER(H2613)),G2613=0),"",H2613/G2613)</f>
        <v/>
      </c>
      <c r="L2613">
        <f>IF(NOT(ISNUMBER(G2613)),"SEM META",IF(G2613=0,"SEM META",IF(NOT(ISNUMBER(H2613)),"SEM APONTAMENTO",IF(H2613&gt;=G2613,"VERDE",IF(H2613&gt;=G2613*0.9,"AMARELO","VERMELHO")))))</f>
        <v/>
      </c>
    </row>
    <row r="2614">
      <c r="A2614" s="321" t="n">
        <v>46379</v>
      </c>
      <c r="B2614" t="inlineStr">
        <is>
          <t>GERAL</t>
        </is>
      </c>
      <c r="C2614" t="inlineStr">
        <is>
          <t>GLOBO AÇOS</t>
        </is>
      </c>
      <c r="D2614" t="inlineStr">
        <is>
          <t>FECHAMENTO</t>
        </is>
      </c>
      <c r="F2614">
        <f>IFERROR(INDEX('BASE METAS DIÁRIAS'!$AA$2:$AC$358,MATCH($A2614,'BASE METAS DIÁRIAS'!$A$2:$A$358,0),3),"")</f>
        <v/>
      </c>
      <c r="G2614">
        <f>IFERROR(IF(WEEKDAY($A2614,2)&lt;=INDEX('BASE METAS DIÁRIAS'!$X$2:$Z$358,MATCH($A2614,'BASE METAS DIÁRIAS'!$A$2:$A$358,0),3),INDEX('BASE METAS DIÁRIAS'!$U$2:$W$358,MATCH($A2614,'BASE METAS DIÁRIAS'!$A$2:$A$358,0),3),""),"")</f>
        <v/>
      </c>
      <c r="H2614">
        <f>IFERROR(IF(INDEX('CONTROLE PRODUÇÃO POR EMPRESAS'!$H$6:$J$5000,MATCH($A2614,'CONTROLE PRODUÇÃO POR EMPRESAS'!$A$6:$A$5000,0),3)="","",IFERROR(1*INDEX('CONTROLE PRODUÇÃO POR EMPRESAS'!$H$6:$J$5000,MATCH($A2614,'CONTROLE PRODUÇÃO POR EMPRESAS'!$A$6:$A$5000,0),3),"")),"")</f>
        <v/>
      </c>
      <c r="I2614">
        <f>IF(OR(NOT(ISNUMBER(G2614)),NOT(ISNUMBER(H2614))),"",H2614-G2614)</f>
        <v/>
      </c>
      <c r="J2614">
        <f>IF(OR(NOT(ISNUMBER(G2614)),NOT(ISNUMBER(H2614)),G2614=0),"",I2614/G2614)</f>
        <v/>
      </c>
      <c r="K2614">
        <f>IF(OR(NOT(ISNUMBER(G2614)),NOT(ISNUMBER(H2614)),G2614=0),"",H2614/G2614)</f>
        <v/>
      </c>
      <c r="L2614">
        <f>IF(NOT(ISNUMBER(G2614)),"SEM META",IF(G2614=0,"SEM META",IF(NOT(ISNUMBER(H2614)),"SEM APONTAMENTO",IF(H2614&gt;=G2614,"VERDE",IF(H2614&gt;=G2614*0.9,"AMARELO","VERMELHO")))))</f>
        <v/>
      </c>
    </row>
    <row r="2615">
      <c r="A2615" s="321" t="n">
        <v>46380</v>
      </c>
      <c r="B2615" t="inlineStr">
        <is>
          <t>GERAL</t>
        </is>
      </c>
      <c r="C2615" t="inlineStr">
        <is>
          <t>GLOBO AÇOS</t>
        </is>
      </c>
      <c r="D2615" t="inlineStr">
        <is>
          <t>PERFILAÇÃO</t>
        </is>
      </c>
      <c r="F2615">
        <f>IFERROR(INDEX('BASE METAS DIÁRIAS'!$AA$2:$AC$358,MATCH($A2615,'BASE METAS DIÁRIAS'!$A$2:$A$358,0),1),"")</f>
        <v/>
      </c>
      <c r="G2615">
        <f>IFERROR(IF(WEEKDAY($A2615,2)&lt;=INDEX('BASE METAS DIÁRIAS'!$X$2:$Z$358,MATCH($A2615,'BASE METAS DIÁRIAS'!$A$2:$A$358,0),1),INDEX('BASE METAS DIÁRIAS'!$U$2:$W$358,MATCH($A2615,'BASE METAS DIÁRIAS'!$A$2:$A$358,0),1),""),"")</f>
        <v/>
      </c>
      <c r="H2615">
        <f>IFERROR(IF(INDEX('CONTROLE PRODUÇÃO POR EMPRESAS'!$H$6:$J$5000,MATCH($A2615,'CONTROLE PRODUÇÃO POR EMPRESAS'!$A$6:$A$5000,0),1)="","",IFERROR(1*INDEX('CONTROLE PRODUÇÃO POR EMPRESAS'!$H$6:$J$5000,MATCH($A2615,'CONTROLE PRODUÇÃO POR EMPRESAS'!$A$6:$A$5000,0),1),"")),"")</f>
        <v/>
      </c>
      <c r="I2615">
        <f>IF(OR(NOT(ISNUMBER(G2615)),NOT(ISNUMBER(H2615))),"",H2615-G2615)</f>
        <v/>
      </c>
      <c r="J2615">
        <f>IF(OR(NOT(ISNUMBER(G2615)),NOT(ISNUMBER(H2615)),G2615=0),"",I2615/G2615)</f>
        <v/>
      </c>
      <c r="K2615">
        <f>IF(OR(NOT(ISNUMBER(G2615)),NOT(ISNUMBER(H2615)),G2615=0),"",H2615/G2615)</f>
        <v/>
      </c>
      <c r="L2615">
        <f>IF(NOT(ISNUMBER(G2615)),"SEM META",IF(G2615=0,"SEM META",IF(NOT(ISNUMBER(H2615)),"SEM APONTAMENTO",IF(H2615&gt;=G2615,"VERDE",IF(H2615&gt;=G2615*0.9,"AMARELO","VERMELHO")))))</f>
        <v/>
      </c>
    </row>
    <row r="2616">
      <c r="A2616" s="321" t="n">
        <v>46380</v>
      </c>
      <c r="B2616" t="inlineStr">
        <is>
          <t>GERAL</t>
        </is>
      </c>
      <c r="C2616" t="inlineStr">
        <is>
          <t>GLOBO AÇOS</t>
        </is>
      </c>
      <c r="D2616" t="inlineStr">
        <is>
          <t>TELHAR</t>
        </is>
      </c>
      <c r="F2616">
        <f>IFERROR(INDEX('BASE METAS DIÁRIAS'!$AA$2:$AC$358,MATCH($A2616,'BASE METAS DIÁRIAS'!$A$2:$A$358,0),2),"")</f>
        <v/>
      </c>
      <c r="G2616">
        <f>IFERROR(IF(WEEKDAY($A2616,2)&lt;=INDEX('BASE METAS DIÁRIAS'!$X$2:$Z$358,MATCH($A2616,'BASE METAS DIÁRIAS'!$A$2:$A$358,0),2),INDEX('BASE METAS DIÁRIAS'!$U$2:$W$358,MATCH($A2616,'BASE METAS DIÁRIAS'!$A$2:$A$358,0),2),""),"")</f>
        <v/>
      </c>
      <c r="H2616">
        <f>IFERROR(IF(INDEX('CONTROLE PRODUÇÃO POR EMPRESAS'!$H$6:$J$5000,MATCH($A2616,'CONTROLE PRODUÇÃO POR EMPRESAS'!$A$6:$A$5000,0),2)="","",IFERROR(1*INDEX('CONTROLE PRODUÇÃO POR EMPRESAS'!$H$6:$J$5000,MATCH($A2616,'CONTROLE PRODUÇÃO POR EMPRESAS'!$A$6:$A$5000,0),2),"")),"")</f>
        <v/>
      </c>
      <c r="I2616">
        <f>IF(OR(NOT(ISNUMBER(G2616)),NOT(ISNUMBER(H2616))),"",H2616-G2616)</f>
        <v/>
      </c>
      <c r="J2616">
        <f>IF(OR(NOT(ISNUMBER(G2616)),NOT(ISNUMBER(H2616)),G2616=0),"",I2616/G2616)</f>
        <v/>
      </c>
      <c r="K2616">
        <f>IF(OR(NOT(ISNUMBER(G2616)),NOT(ISNUMBER(H2616)),G2616=0),"",H2616/G2616)</f>
        <v/>
      </c>
      <c r="L2616">
        <f>IF(NOT(ISNUMBER(G2616)),"SEM META",IF(G2616=0,"SEM META",IF(NOT(ISNUMBER(H2616)),"SEM APONTAMENTO",IF(H2616&gt;=G2616,"VERDE",IF(H2616&gt;=G2616*0.9,"AMARELO","VERMELHO")))))</f>
        <v/>
      </c>
    </row>
    <row r="2617">
      <c r="A2617" s="321" t="n">
        <v>46380</v>
      </c>
      <c r="B2617" t="inlineStr">
        <is>
          <t>GERAL</t>
        </is>
      </c>
      <c r="C2617" t="inlineStr">
        <is>
          <t>GLOBO AÇOS</t>
        </is>
      </c>
      <c r="D2617" t="inlineStr">
        <is>
          <t>FECHAMENTO</t>
        </is>
      </c>
      <c r="F2617">
        <f>IFERROR(INDEX('BASE METAS DIÁRIAS'!$AA$2:$AC$358,MATCH($A2617,'BASE METAS DIÁRIAS'!$A$2:$A$358,0),3),"")</f>
        <v/>
      </c>
      <c r="G2617">
        <f>IFERROR(IF(WEEKDAY($A2617,2)&lt;=INDEX('BASE METAS DIÁRIAS'!$X$2:$Z$358,MATCH($A2617,'BASE METAS DIÁRIAS'!$A$2:$A$358,0),3),INDEX('BASE METAS DIÁRIAS'!$U$2:$W$358,MATCH($A2617,'BASE METAS DIÁRIAS'!$A$2:$A$358,0),3),""),"")</f>
        <v/>
      </c>
      <c r="H2617">
        <f>IFERROR(IF(INDEX('CONTROLE PRODUÇÃO POR EMPRESAS'!$H$6:$J$5000,MATCH($A2617,'CONTROLE PRODUÇÃO POR EMPRESAS'!$A$6:$A$5000,0),3)="","",IFERROR(1*INDEX('CONTROLE PRODUÇÃO POR EMPRESAS'!$H$6:$J$5000,MATCH($A2617,'CONTROLE PRODUÇÃO POR EMPRESAS'!$A$6:$A$5000,0),3),"")),"")</f>
        <v/>
      </c>
      <c r="I2617">
        <f>IF(OR(NOT(ISNUMBER(G2617)),NOT(ISNUMBER(H2617))),"",H2617-G2617)</f>
        <v/>
      </c>
      <c r="J2617">
        <f>IF(OR(NOT(ISNUMBER(G2617)),NOT(ISNUMBER(H2617)),G2617=0),"",I2617/G2617)</f>
        <v/>
      </c>
      <c r="K2617">
        <f>IF(OR(NOT(ISNUMBER(G2617)),NOT(ISNUMBER(H2617)),G2617=0),"",H2617/G2617)</f>
        <v/>
      </c>
      <c r="L2617">
        <f>IF(NOT(ISNUMBER(G2617)),"SEM META",IF(G2617=0,"SEM META",IF(NOT(ISNUMBER(H2617)),"SEM APONTAMENTO",IF(H2617&gt;=G2617,"VERDE",IF(H2617&gt;=G2617*0.9,"AMARELO","VERMELHO")))))</f>
        <v/>
      </c>
    </row>
    <row r="2618">
      <c r="A2618" s="321" t="n">
        <v>46381</v>
      </c>
      <c r="B2618" t="inlineStr">
        <is>
          <t>GERAL</t>
        </is>
      </c>
      <c r="C2618" t="inlineStr">
        <is>
          <t>GLOBO AÇOS</t>
        </is>
      </c>
      <c r="D2618" t="inlineStr">
        <is>
          <t>PERFILAÇÃO</t>
        </is>
      </c>
      <c r="F2618">
        <f>IFERROR(INDEX('BASE METAS DIÁRIAS'!$AA$2:$AC$358,MATCH($A2618,'BASE METAS DIÁRIAS'!$A$2:$A$358,0),1),"")</f>
        <v/>
      </c>
      <c r="G2618">
        <f>IFERROR(IF(WEEKDAY($A2618,2)&lt;=INDEX('BASE METAS DIÁRIAS'!$X$2:$Z$358,MATCH($A2618,'BASE METAS DIÁRIAS'!$A$2:$A$358,0),1),INDEX('BASE METAS DIÁRIAS'!$U$2:$W$358,MATCH($A2618,'BASE METAS DIÁRIAS'!$A$2:$A$358,0),1),""),"")</f>
        <v/>
      </c>
      <c r="H2618">
        <f>IFERROR(IF(INDEX('CONTROLE PRODUÇÃO POR EMPRESAS'!$H$6:$J$5000,MATCH($A2618,'CONTROLE PRODUÇÃO POR EMPRESAS'!$A$6:$A$5000,0),1)="","",IFERROR(1*INDEX('CONTROLE PRODUÇÃO POR EMPRESAS'!$H$6:$J$5000,MATCH($A2618,'CONTROLE PRODUÇÃO POR EMPRESAS'!$A$6:$A$5000,0),1),"")),"")</f>
        <v/>
      </c>
      <c r="I2618">
        <f>IF(OR(NOT(ISNUMBER(G2618)),NOT(ISNUMBER(H2618))),"",H2618-G2618)</f>
        <v/>
      </c>
      <c r="J2618">
        <f>IF(OR(NOT(ISNUMBER(G2618)),NOT(ISNUMBER(H2618)),G2618=0),"",I2618/G2618)</f>
        <v/>
      </c>
      <c r="K2618">
        <f>IF(OR(NOT(ISNUMBER(G2618)),NOT(ISNUMBER(H2618)),G2618=0),"",H2618/G2618)</f>
        <v/>
      </c>
      <c r="L2618">
        <f>IF(NOT(ISNUMBER(G2618)),"SEM META",IF(G2618=0,"SEM META",IF(NOT(ISNUMBER(H2618)),"SEM APONTAMENTO",IF(H2618&gt;=G2618,"VERDE",IF(H2618&gt;=G2618*0.9,"AMARELO","VERMELHO")))))</f>
        <v/>
      </c>
    </row>
    <row r="2619">
      <c r="A2619" s="321" t="n">
        <v>46381</v>
      </c>
      <c r="B2619" t="inlineStr">
        <is>
          <t>GERAL</t>
        </is>
      </c>
      <c r="C2619" t="inlineStr">
        <is>
          <t>GLOBO AÇOS</t>
        </is>
      </c>
      <c r="D2619" t="inlineStr">
        <is>
          <t>TELHAR</t>
        </is>
      </c>
      <c r="F2619">
        <f>IFERROR(INDEX('BASE METAS DIÁRIAS'!$AA$2:$AC$358,MATCH($A2619,'BASE METAS DIÁRIAS'!$A$2:$A$358,0),2),"")</f>
        <v/>
      </c>
      <c r="G2619">
        <f>IFERROR(IF(WEEKDAY($A2619,2)&lt;=INDEX('BASE METAS DIÁRIAS'!$X$2:$Z$358,MATCH($A2619,'BASE METAS DIÁRIAS'!$A$2:$A$358,0),2),INDEX('BASE METAS DIÁRIAS'!$U$2:$W$358,MATCH($A2619,'BASE METAS DIÁRIAS'!$A$2:$A$358,0),2),""),"")</f>
        <v/>
      </c>
      <c r="H2619">
        <f>IFERROR(IF(INDEX('CONTROLE PRODUÇÃO POR EMPRESAS'!$H$6:$J$5000,MATCH($A2619,'CONTROLE PRODUÇÃO POR EMPRESAS'!$A$6:$A$5000,0),2)="","",IFERROR(1*INDEX('CONTROLE PRODUÇÃO POR EMPRESAS'!$H$6:$J$5000,MATCH($A2619,'CONTROLE PRODUÇÃO POR EMPRESAS'!$A$6:$A$5000,0),2),"")),"")</f>
        <v/>
      </c>
      <c r="I2619">
        <f>IF(OR(NOT(ISNUMBER(G2619)),NOT(ISNUMBER(H2619))),"",H2619-G2619)</f>
        <v/>
      </c>
      <c r="J2619">
        <f>IF(OR(NOT(ISNUMBER(G2619)),NOT(ISNUMBER(H2619)),G2619=0),"",I2619/G2619)</f>
        <v/>
      </c>
      <c r="K2619">
        <f>IF(OR(NOT(ISNUMBER(G2619)),NOT(ISNUMBER(H2619)),G2619=0),"",H2619/G2619)</f>
        <v/>
      </c>
      <c r="L2619">
        <f>IF(NOT(ISNUMBER(G2619)),"SEM META",IF(G2619=0,"SEM META",IF(NOT(ISNUMBER(H2619)),"SEM APONTAMENTO",IF(H2619&gt;=G2619,"VERDE",IF(H2619&gt;=G2619*0.9,"AMARELO","VERMELHO")))))</f>
        <v/>
      </c>
    </row>
    <row r="2620">
      <c r="A2620" s="321" t="n">
        <v>46381</v>
      </c>
      <c r="B2620" t="inlineStr">
        <is>
          <t>GERAL</t>
        </is>
      </c>
      <c r="C2620" t="inlineStr">
        <is>
          <t>GLOBO AÇOS</t>
        </is>
      </c>
      <c r="D2620" t="inlineStr">
        <is>
          <t>FECHAMENTO</t>
        </is>
      </c>
      <c r="F2620">
        <f>IFERROR(INDEX('BASE METAS DIÁRIAS'!$AA$2:$AC$358,MATCH($A2620,'BASE METAS DIÁRIAS'!$A$2:$A$358,0),3),"")</f>
        <v/>
      </c>
      <c r="G2620">
        <f>IFERROR(IF(WEEKDAY($A2620,2)&lt;=INDEX('BASE METAS DIÁRIAS'!$X$2:$Z$358,MATCH($A2620,'BASE METAS DIÁRIAS'!$A$2:$A$358,0),3),INDEX('BASE METAS DIÁRIAS'!$U$2:$W$358,MATCH($A2620,'BASE METAS DIÁRIAS'!$A$2:$A$358,0),3),""),"")</f>
        <v/>
      </c>
      <c r="H2620">
        <f>IFERROR(IF(INDEX('CONTROLE PRODUÇÃO POR EMPRESAS'!$H$6:$J$5000,MATCH($A2620,'CONTROLE PRODUÇÃO POR EMPRESAS'!$A$6:$A$5000,0),3)="","",IFERROR(1*INDEX('CONTROLE PRODUÇÃO POR EMPRESAS'!$H$6:$J$5000,MATCH($A2620,'CONTROLE PRODUÇÃO POR EMPRESAS'!$A$6:$A$5000,0),3),"")),"")</f>
        <v/>
      </c>
      <c r="I2620">
        <f>IF(OR(NOT(ISNUMBER(G2620)),NOT(ISNUMBER(H2620))),"",H2620-G2620)</f>
        <v/>
      </c>
      <c r="J2620">
        <f>IF(OR(NOT(ISNUMBER(G2620)),NOT(ISNUMBER(H2620)),G2620=0),"",I2620/G2620)</f>
        <v/>
      </c>
      <c r="K2620">
        <f>IF(OR(NOT(ISNUMBER(G2620)),NOT(ISNUMBER(H2620)),G2620=0),"",H2620/G2620)</f>
        <v/>
      </c>
      <c r="L2620">
        <f>IF(NOT(ISNUMBER(G2620)),"SEM META",IF(G2620=0,"SEM META",IF(NOT(ISNUMBER(H2620)),"SEM APONTAMENTO",IF(H2620&gt;=G2620,"VERDE",IF(H2620&gt;=G2620*0.9,"AMARELO","VERMELHO")))))</f>
        <v/>
      </c>
    </row>
    <row r="2621">
      <c r="A2621" s="321" t="n">
        <v>46382</v>
      </c>
      <c r="B2621" t="inlineStr">
        <is>
          <t>GERAL</t>
        </is>
      </c>
      <c r="C2621" t="inlineStr">
        <is>
          <t>GLOBO AÇOS</t>
        </is>
      </c>
      <c r="D2621" t="inlineStr">
        <is>
          <t>PERFILAÇÃO</t>
        </is>
      </c>
      <c r="F2621">
        <f>IFERROR(INDEX('BASE METAS DIÁRIAS'!$AA$2:$AC$358,MATCH($A2621,'BASE METAS DIÁRIAS'!$A$2:$A$358,0),1),"")</f>
        <v/>
      </c>
      <c r="G2621">
        <f>IFERROR(IF(WEEKDAY($A2621,2)&lt;=INDEX('BASE METAS DIÁRIAS'!$X$2:$Z$358,MATCH($A2621,'BASE METAS DIÁRIAS'!$A$2:$A$358,0),1),INDEX('BASE METAS DIÁRIAS'!$U$2:$W$358,MATCH($A2621,'BASE METAS DIÁRIAS'!$A$2:$A$358,0),1),""),"")</f>
        <v/>
      </c>
      <c r="H2621">
        <f>IFERROR(IF(INDEX('CONTROLE PRODUÇÃO POR EMPRESAS'!$H$6:$J$5000,MATCH($A2621,'CONTROLE PRODUÇÃO POR EMPRESAS'!$A$6:$A$5000,0),1)="","",IFERROR(1*INDEX('CONTROLE PRODUÇÃO POR EMPRESAS'!$H$6:$J$5000,MATCH($A2621,'CONTROLE PRODUÇÃO POR EMPRESAS'!$A$6:$A$5000,0),1),"")),"")</f>
        <v/>
      </c>
      <c r="I2621">
        <f>IF(OR(NOT(ISNUMBER(G2621)),NOT(ISNUMBER(H2621))),"",H2621-G2621)</f>
        <v/>
      </c>
      <c r="J2621">
        <f>IF(OR(NOT(ISNUMBER(G2621)),NOT(ISNUMBER(H2621)),G2621=0),"",I2621/G2621)</f>
        <v/>
      </c>
      <c r="K2621">
        <f>IF(OR(NOT(ISNUMBER(G2621)),NOT(ISNUMBER(H2621)),G2621=0),"",H2621/G2621)</f>
        <v/>
      </c>
      <c r="L2621">
        <f>IF(NOT(ISNUMBER(G2621)),"SEM META",IF(G2621=0,"SEM META",IF(NOT(ISNUMBER(H2621)),"SEM APONTAMENTO",IF(H2621&gt;=G2621,"VERDE",IF(H2621&gt;=G2621*0.9,"AMARELO","VERMELHO")))))</f>
        <v/>
      </c>
    </row>
    <row r="2622">
      <c r="A2622" s="321" t="n">
        <v>46382</v>
      </c>
      <c r="B2622" t="inlineStr">
        <is>
          <t>GERAL</t>
        </is>
      </c>
      <c r="C2622" t="inlineStr">
        <is>
          <t>GLOBO AÇOS</t>
        </is>
      </c>
      <c r="D2622" t="inlineStr">
        <is>
          <t>TELHAR</t>
        </is>
      </c>
      <c r="F2622">
        <f>IFERROR(INDEX('BASE METAS DIÁRIAS'!$AA$2:$AC$358,MATCH($A2622,'BASE METAS DIÁRIAS'!$A$2:$A$358,0),2),"")</f>
        <v/>
      </c>
      <c r="G2622">
        <f>IFERROR(IF(WEEKDAY($A2622,2)&lt;=INDEX('BASE METAS DIÁRIAS'!$X$2:$Z$358,MATCH($A2622,'BASE METAS DIÁRIAS'!$A$2:$A$358,0),2),INDEX('BASE METAS DIÁRIAS'!$U$2:$W$358,MATCH($A2622,'BASE METAS DIÁRIAS'!$A$2:$A$358,0),2),""),"")</f>
        <v/>
      </c>
      <c r="H2622">
        <f>IFERROR(IF(INDEX('CONTROLE PRODUÇÃO POR EMPRESAS'!$H$6:$J$5000,MATCH($A2622,'CONTROLE PRODUÇÃO POR EMPRESAS'!$A$6:$A$5000,0),2)="","",IFERROR(1*INDEX('CONTROLE PRODUÇÃO POR EMPRESAS'!$H$6:$J$5000,MATCH($A2622,'CONTROLE PRODUÇÃO POR EMPRESAS'!$A$6:$A$5000,0),2),"")),"")</f>
        <v/>
      </c>
      <c r="I2622">
        <f>IF(OR(NOT(ISNUMBER(G2622)),NOT(ISNUMBER(H2622))),"",H2622-G2622)</f>
        <v/>
      </c>
      <c r="J2622">
        <f>IF(OR(NOT(ISNUMBER(G2622)),NOT(ISNUMBER(H2622)),G2622=0),"",I2622/G2622)</f>
        <v/>
      </c>
      <c r="K2622">
        <f>IF(OR(NOT(ISNUMBER(G2622)),NOT(ISNUMBER(H2622)),G2622=0),"",H2622/G2622)</f>
        <v/>
      </c>
      <c r="L2622">
        <f>IF(NOT(ISNUMBER(G2622)),"SEM META",IF(G2622=0,"SEM META",IF(NOT(ISNUMBER(H2622)),"SEM APONTAMENTO",IF(H2622&gt;=G2622,"VERDE",IF(H2622&gt;=G2622*0.9,"AMARELO","VERMELHO")))))</f>
        <v/>
      </c>
    </row>
    <row r="2623">
      <c r="A2623" s="321" t="n">
        <v>46382</v>
      </c>
      <c r="B2623" t="inlineStr">
        <is>
          <t>GERAL</t>
        </is>
      </c>
      <c r="C2623" t="inlineStr">
        <is>
          <t>GLOBO AÇOS</t>
        </is>
      </c>
      <c r="D2623" t="inlineStr">
        <is>
          <t>FECHAMENTO</t>
        </is>
      </c>
      <c r="F2623">
        <f>IFERROR(INDEX('BASE METAS DIÁRIAS'!$AA$2:$AC$358,MATCH($A2623,'BASE METAS DIÁRIAS'!$A$2:$A$358,0),3),"")</f>
        <v/>
      </c>
      <c r="G2623">
        <f>IFERROR(IF(WEEKDAY($A2623,2)&lt;=INDEX('BASE METAS DIÁRIAS'!$X$2:$Z$358,MATCH($A2623,'BASE METAS DIÁRIAS'!$A$2:$A$358,0),3),INDEX('BASE METAS DIÁRIAS'!$U$2:$W$358,MATCH($A2623,'BASE METAS DIÁRIAS'!$A$2:$A$358,0),3),""),"")</f>
        <v/>
      </c>
      <c r="H2623">
        <f>IFERROR(IF(INDEX('CONTROLE PRODUÇÃO POR EMPRESAS'!$H$6:$J$5000,MATCH($A2623,'CONTROLE PRODUÇÃO POR EMPRESAS'!$A$6:$A$5000,0),3)="","",IFERROR(1*INDEX('CONTROLE PRODUÇÃO POR EMPRESAS'!$H$6:$J$5000,MATCH($A2623,'CONTROLE PRODUÇÃO POR EMPRESAS'!$A$6:$A$5000,0),3),"")),"")</f>
        <v/>
      </c>
      <c r="I2623">
        <f>IF(OR(NOT(ISNUMBER(G2623)),NOT(ISNUMBER(H2623))),"",H2623-G2623)</f>
        <v/>
      </c>
      <c r="J2623">
        <f>IF(OR(NOT(ISNUMBER(G2623)),NOT(ISNUMBER(H2623)),G2623=0),"",I2623/G2623)</f>
        <v/>
      </c>
      <c r="K2623">
        <f>IF(OR(NOT(ISNUMBER(G2623)),NOT(ISNUMBER(H2623)),G2623=0),"",H2623/G2623)</f>
        <v/>
      </c>
      <c r="L2623">
        <f>IF(NOT(ISNUMBER(G2623)),"SEM META",IF(G2623=0,"SEM META",IF(NOT(ISNUMBER(H2623)),"SEM APONTAMENTO",IF(H2623&gt;=G2623,"VERDE",IF(H2623&gt;=G2623*0.9,"AMARELO","VERMELHO")))))</f>
        <v/>
      </c>
    </row>
    <row r="2624">
      <c r="A2624" s="321" t="n">
        <v>46383</v>
      </c>
      <c r="B2624" t="inlineStr">
        <is>
          <t>GERAL</t>
        </is>
      </c>
      <c r="C2624" t="inlineStr">
        <is>
          <t>GLOBO AÇOS</t>
        </is>
      </c>
      <c r="D2624" t="inlineStr">
        <is>
          <t>PERFILAÇÃO</t>
        </is>
      </c>
      <c r="F2624">
        <f>IFERROR(INDEX('BASE METAS DIÁRIAS'!$AA$2:$AC$358,MATCH($A2624,'BASE METAS DIÁRIAS'!$A$2:$A$358,0),1),"")</f>
        <v/>
      </c>
      <c r="G2624">
        <f>IFERROR(IF(WEEKDAY($A2624,2)&lt;=INDEX('BASE METAS DIÁRIAS'!$X$2:$Z$358,MATCH($A2624,'BASE METAS DIÁRIAS'!$A$2:$A$358,0),1),INDEX('BASE METAS DIÁRIAS'!$U$2:$W$358,MATCH($A2624,'BASE METAS DIÁRIAS'!$A$2:$A$358,0),1),""),"")</f>
        <v/>
      </c>
      <c r="H2624">
        <f>IFERROR(IF(INDEX('CONTROLE PRODUÇÃO POR EMPRESAS'!$H$6:$J$5000,MATCH($A2624,'CONTROLE PRODUÇÃO POR EMPRESAS'!$A$6:$A$5000,0),1)="","",IFERROR(1*INDEX('CONTROLE PRODUÇÃO POR EMPRESAS'!$H$6:$J$5000,MATCH($A2624,'CONTROLE PRODUÇÃO POR EMPRESAS'!$A$6:$A$5000,0),1),"")),"")</f>
        <v/>
      </c>
      <c r="I2624">
        <f>IF(OR(NOT(ISNUMBER(G2624)),NOT(ISNUMBER(H2624))),"",H2624-G2624)</f>
        <v/>
      </c>
      <c r="J2624">
        <f>IF(OR(NOT(ISNUMBER(G2624)),NOT(ISNUMBER(H2624)),G2624=0),"",I2624/G2624)</f>
        <v/>
      </c>
      <c r="K2624">
        <f>IF(OR(NOT(ISNUMBER(G2624)),NOT(ISNUMBER(H2624)),G2624=0),"",H2624/G2624)</f>
        <v/>
      </c>
      <c r="L2624">
        <f>IF(NOT(ISNUMBER(G2624)),"SEM META",IF(G2624=0,"SEM META",IF(NOT(ISNUMBER(H2624)),"SEM APONTAMENTO",IF(H2624&gt;=G2624,"VERDE",IF(H2624&gt;=G2624*0.9,"AMARELO","VERMELHO")))))</f>
        <v/>
      </c>
    </row>
    <row r="2625">
      <c r="A2625" s="321" t="n">
        <v>46383</v>
      </c>
      <c r="B2625" t="inlineStr">
        <is>
          <t>GERAL</t>
        </is>
      </c>
      <c r="C2625" t="inlineStr">
        <is>
          <t>GLOBO AÇOS</t>
        </is>
      </c>
      <c r="D2625" t="inlineStr">
        <is>
          <t>TELHAR</t>
        </is>
      </c>
      <c r="F2625">
        <f>IFERROR(INDEX('BASE METAS DIÁRIAS'!$AA$2:$AC$358,MATCH($A2625,'BASE METAS DIÁRIAS'!$A$2:$A$358,0),2),"")</f>
        <v/>
      </c>
      <c r="G2625">
        <f>IFERROR(IF(WEEKDAY($A2625,2)&lt;=INDEX('BASE METAS DIÁRIAS'!$X$2:$Z$358,MATCH($A2625,'BASE METAS DIÁRIAS'!$A$2:$A$358,0),2),INDEX('BASE METAS DIÁRIAS'!$U$2:$W$358,MATCH($A2625,'BASE METAS DIÁRIAS'!$A$2:$A$358,0),2),""),"")</f>
        <v/>
      </c>
      <c r="H2625">
        <f>IFERROR(IF(INDEX('CONTROLE PRODUÇÃO POR EMPRESAS'!$H$6:$J$5000,MATCH($A2625,'CONTROLE PRODUÇÃO POR EMPRESAS'!$A$6:$A$5000,0),2)="","",IFERROR(1*INDEX('CONTROLE PRODUÇÃO POR EMPRESAS'!$H$6:$J$5000,MATCH($A2625,'CONTROLE PRODUÇÃO POR EMPRESAS'!$A$6:$A$5000,0),2),"")),"")</f>
        <v/>
      </c>
      <c r="I2625">
        <f>IF(OR(NOT(ISNUMBER(G2625)),NOT(ISNUMBER(H2625))),"",H2625-G2625)</f>
        <v/>
      </c>
      <c r="J2625">
        <f>IF(OR(NOT(ISNUMBER(G2625)),NOT(ISNUMBER(H2625)),G2625=0),"",I2625/G2625)</f>
        <v/>
      </c>
      <c r="K2625">
        <f>IF(OR(NOT(ISNUMBER(G2625)),NOT(ISNUMBER(H2625)),G2625=0),"",H2625/G2625)</f>
        <v/>
      </c>
      <c r="L2625">
        <f>IF(NOT(ISNUMBER(G2625)),"SEM META",IF(G2625=0,"SEM META",IF(NOT(ISNUMBER(H2625)),"SEM APONTAMENTO",IF(H2625&gt;=G2625,"VERDE",IF(H2625&gt;=G2625*0.9,"AMARELO","VERMELHO")))))</f>
        <v/>
      </c>
    </row>
    <row r="2626">
      <c r="A2626" s="321" t="n">
        <v>46383</v>
      </c>
      <c r="B2626" t="inlineStr">
        <is>
          <t>GERAL</t>
        </is>
      </c>
      <c r="C2626" t="inlineStr">
        <is>
          <t>GLOBO AÇOS</t>
        </is>
      </c>
      <c r="D2626" t="inlineStr">
        <is>
          <t>FECHAMENTO</t>
        </is>
      </c>
      <c r="F2626">
        <f>IFERROR(INDEX('BASE METAS DIÁRIAS'!$AA$2:$AC$358,MATCH($A2626,'BASE METAS DIÁRIAS'!$A$2:$A$358,0),3),"")</f>
        <v/>
      </c>
      <c r="G2626">
        <f>IFERROR(IF(WEEKDAY($A2626,2)&lt;=INDEX('BASE METAS DIÁRIAS'!$X$2:$Z$358,MATCH($A2626,'BASE METAS DIÁRIAS'!$A$2:$A$358,0),3),INDEX('BASE METAS DIÁRIAS'!$U$2:$W$358,MATCH($A2626,'BASE METAS DIÁRIAS'!$A$2:$A$358,0),3),""),"")</f>
        <v/>
      </c>
      <c r="H2626">
        <f>IFERROR(IF(INDEX('CONTROLE PRODUÇÃO POR EMPRESAS'!$H$6:$J$5000,MATCH($A2626,'CONTROLE PRODUÇÃO POR EMPRESAS'!$A$6:$A$5000,0),3)="","",IFERROR(1*INDEX('CONTROLE PRODUÇÃO POR EMPRESAS'!$H$6:$J$5000,MATCH($A2626,'CONTROLE PRODUÇÃO POR EMPRESAS'!$A$6:$A$5000,0),3),"")),"")</f>
        <v/>
      </c>
      <c r="I2626">
        <f>IF(OR(NOT(ISNUMBER(G2626)),NOT(ISNUMBER(H2626))),"",H2626-G2626)</f>
        <v/>
      </c>
      <c r="J2626">
        <f>IF(OR(NOT(ISNUMBER(G2626)),NOT(ISNUMBER(H2626)),G2626=0),"",I2626/G2626)</f>
        <v/>
      </c>
      <c r="K2626">
        <f>IF(OR(NOT(ISNUMBER(G2626)),NOT(ISNUMBER(H2626)),G2626=0),"",H2626/G2626)</f>
        <v/>
      </c>
      <c r="L2626">
        <f>IF(NOT(ISNUMBER(G2626)),"SEM META",IF(G2626=0,"SEM META",IF(NOT(ISNUMBER(H2626)),"SEM APONTAMENTO",IF(H2626&gt;=G2626,"VERDE",IF(H2626&gt;=G2626*0.9,"AMARELO","VERMELHO")))))</f>
        <v/>
      </c>
    </row>
    <row r="2627">
      <c r="A2627" s="321" t="n">
        <v>46384</v>
      </c>
      <c r="B2627" t="inlineStr">
        <is>
          <t>GERAL</t>
        </is>
      </c>
      <c r="C2627" t="inlineStr">
        <is>
          <t>GLOBO AÇOS</t>
        </is>
      </c>
      <c r="D2627" t="inlineStr">
        <is>
          <t>PERFILAÇÃO</t>
        </is>
      </c>
      <c r="F2627">
        <f>IFERROR(INDEX('BASE METAS DIÁRIAS'!$AA$2:$AC$358,MATCH($A2627,'BASE METAS DIÁRIAS'!$A$2:$A$358,0),1),"")</f>
        <v/>
      </c>
      <c r="G2627">
        <f>IFERROR(IF(WEEKDAY($A2627,2)&lt;=INDEX('BASE METAS DIÁRIAS'!$X$2:$Z$358,MATCH($A2627,'BASE METAS DIÁRIAS'!$A$2:$A$358,0),1),INDEX('BASE METAS DIÁRIAS'!$U$2:$W$358,MATCH($A2627,'BASE METAS DIÁRIAS'!$A$2:$A$358,0),1),""),"")</f>
        <v/>
      </c>
      <c r="H2627">
        <f>IFERROR(IF(INDEX('CONTROLE PRODUÇÃO POR EMPRESAS'!$H$6:$J$5000,MATCH($A2627,'CONTROLE PRODUÇÃO POR EMPRESAS'!$A$6:$A$5000,0),1)="","",IFERROR(1*INDEX('CONTROLE PRODUÇÃO POR EMPRESAS'!$H$6:$J$5000,MATCH($A2627,'CONTROLE PRODUÇÃO POR EMPRESAS'!$A$6:$A$5000,0),1),"")),"")</f>
        <v/>
      </c>
      <c r="I2627">
        <f>IF(OR(NOT(ISNUMBER(G2627)),NOT(ISNUMBER(H2627))),"",H2627-G2627)</f>
        <v/>
      </c>
      <c r="J2627">
        <f>IF(OR(NOT(ISNUMBER(G2627)),NOT(ISNUMBER(H2627)),G2627=0),"",I2627/G2627)</f>
        <v/>
      </c>
      <c r="K2627">
        <f>IF(OR(NOT(ISNUMBER(G2627)),NOT(ISNUMBER(H2627)),G2627=0),"",H2627/G2627)</f>
        <v/>
      </c>
      <c r="L2627">
        <f>IF(NOT(ISNUMBER(G2627)),"SEM META",IF(G2627=0,"SEM META",IF(NOT(ISNUMBER(H2627)),"SEM APONTAMENTO",IF(H2627&gt;=G2627,"VERDE",IF(H2627&gt;=G2627*0.9,"AMARELO","VERMELHO")))))</f>
        <v/>
      </c>
    </row>
    <row r="2628">
      <c r="A2628" s="321" t="n">
        <v>46384</v>
      </c>
      <c r="B2628" t="inlineStr">
        <is>
          <t>GERAL</t>
        </is>
      </c>
      <c r="C2628" t="inlineStr">
        <is>
          <t>GLOBO AÇOS</t>
        </is>
      </c>
      <c r="D2628" t="inlineStr">
        <is>
          <t>TELHAR</t>
        </is>
      </c>
      <c r="F2628">
        <f>IFERROR(INDEX('BASE METAS DIÁRIAS'!$AA$2:$AC$358,MATCH($A2628,'BASE METAS DIÁRIAS'!$A$2:$A$358,0),2),"")</f>
        <v/>
      </c>
      <c r="G2628">
        <f>IFERROR(IF(WEEKDAY($A2628,2)&lt;=INDEX('BASE METAS DIÁRIAS'!$X$2:$Z$358,MATCH($A2628,'BASE METAS DIÁRIAS'!$A$2:$A$358,0),2),INDEX('BASE METAS DIÁRIAS'!$U$2:$W$358,MATCH($A2628,'BASE METAS DIÁRIAS'!$A$2:$A$358,0),2),""),"")</f>
        <v/>
      </c>
      <c r="H2628">
        <f>IFERROR(IF(INDEX('CONTROLE PRODUÇÃO POR EMPRESAS'!$H$6:$J$5000,MATCH($A2628,'CONTROLE PRODUÇÃO POR EMPRESAS'!$A$6:$A$5000,0),2)="","",IFERROR(1*INDEX('CONTROLE PRODUÇÃO POR EMPRESAS'!$H$6:$J$5000,MATCH($A2628,'CONTROLE PRODUÇÃO POR EMPRESAS'!$A$6:$A$5000,0),2),"")),"")</f>
        <v/>
      </c>
      <c r="I2628">
        <f>IF(OR(NOT(ISNUMBER(G2628)),NOT(ISNUMBER(H2628))),"",H2628-G2628)</f>
        <v/>
      </c>
      <c r="J2628">
        <f>IF(OR(NOT(ISNUMBER(G2628)),NOT(ISNUMBER(H2628)),G2628=0),"",I2628/G2628)</f>
        <v/>
      </c>
      <c r="K2628">
        <f>IF(OR(NOT(ISNUMBER(G2628)),NOT(ISNUMBER(H2628)),G2628=0),"",H2628/G2628)</f>
        <v/>
      </c>
      <c r="L2628">
        <f>IF(NOT(ISNUMBER(G2628)),"SEM META",IF(G2628=0,"SEM META",IF(NOT(ISNUMBER(H2628)),"SEM APONTAMENTO",IF(H2628&gt;=G2628,"VERDE",IF(H2628&gt;=G2628*0.9,"AMARELO","VERMELHO")))))</f>
        <v/>
      </c>
    </row>
    <row r="2629">
      <c r="A2629" s="321" t="n">
        <v>46384</v>
      </c>
      <c r="B2629" t="inlineStr">
        <is>
          <t>GERAL</t>
        </is>
      </c>
      <c r="C2629" t="inlineStr">
        <is>
          <t>GLOBO AÇOS</t>
        </is>
      </c>
      <c r="D2629" t="inlineStr">
        <is>
          <t>FECHAMENTO</t>
        </is>
      </c>
      <c r="F2629">
        <f>IFERROR(INDEX('BASE METAS DIÁRIAS'!$AA$2:$AC$358,MATCH($A2629,'BASE METAS DIÁRIAS'!$A$2:$A$358,0),3),"")</f>
        <v/>
      </c>
      <c r="G2629">
        <f>IFERROR(IF(WEEKDAY($A2629,2)&lt;=INDEX('BASE METAS DIÁRIAS'!$X$2:$Z$358,MATCH($A2629,'BASE METAS DIÁRIAS'!$A$2:$A$358,0),3),INDEX('BASE METAS DIÁRIAS'!$U$2:$W$358,MATCH($A2629,'BASE METAS DIÁRIAS'!$A$2:$A$358,0),3),""),"")</f>
        <v/>
      </c>
      <c r="H2629">
        <f>IFERROR(IF(INDEX('CONTROLE PRODUÇÃO POR EMPRESAS'!$H$6:$J$5000,MATCH($A2629,'CONTROLE PRODUÇÃO POR EMPRESAS'!$A$6:$A$5000,0),3)="","",IFERROR(1*INDEX('CONTROLE PRODUÇÃO POR EMPRESAS'!$H$6:$J$5000,MATCH($A2629,'CONTROLE PRODUÇÃO POR EMPRESAS'!$A$6:$A$5000,0),3),"")),"")</f>
        <v/>
      </c>
      <c r="I2629">
        <f>IF(OR(NOT(ISNUMBER(G2629)),NOT(ISNUMBER(H2629))),"",H2629-G2629)</f>
        <v/>
      </c>
      <c r="J2629">
        <f>IF(OR(NOT(ISNUMBER(G2629)),NOT(ISNUMBER(H2629)),G2629=0),"",I2629/G2629)</f>
        <v/>
      </c>
      <c r="K2629">
        <f>IF(OR(NOT(ISNUMBER(G2629)),NOT(ISNUMBER(H2629)),G2629=0),"",H2629/G2629)</f>
        <v/>
      </c>
      <c r="L2629">
        <f>IF(NOT(ISNUMBER(G2629)),"SEM META",IF(G2629=0,"SEM META",IF(NOT(ISNUMBER(H2629)),"SEM APONTAMENTO",IF(H2629&gt;=G2629,"VERDE",IF(H2629&gt;=G2629*0.9,"AMARELO","VERMELHO")))))</f>
        <v/>
      </c>
    </row>
    <row r="2630">
      <c r="A2630" s="321" t="n">
        <v>46385</v>
      </c>
      <c r="B2630" t="inlineStr">
        <is>
          <t>GERAL</t>
        </is>
      </c>
      <c r="C2630" t="inlineStr">
        <is>
          <t>GLOBO AÇOS</t>
        </is>
      </c>
      <c r="D2630" t="inlineStr">
        <is>
          <t>PERFILAÇÃO</t>
        </is>
      </c>
      <c r="F2630">
        <f>IFERROR(INDEX('BASE METAS DIÁRIAS'!$AA$2:$AC$358,MATCH($A2630,'BASE METAS DIÁRIAS'!$A$2:$A$358,0),1),"")</f>
        <v/>
      </c>
      <c r="G2630">
        <f>IFERROR(IF(WEEKDAY($A2630,2)&lt;=INDEX('BASE METAS DIÁRIAS'!$X$2:$Z$358,MATCH($A2630,'BASE METAS DIÁRIAS'!$A$2:$A$358,0),1),INDEX('BASE METAS DIÁRIAS'!$U$2:$W$358,MATCH($A2630,'BASE METAS DIÁRIAS'!$A$2:$A$358,0),1),""),"")</f>
        <v/>
      </c>
      <c r="H2630">
        <f>IFERROR(IF(INDEX('CONTROLE PRODUÇÃO POR EMPRESAS'!$H$6:$J$5000,MATCH($A2630,'CONTROLE PRODUÇÃO POR EMPRESAS'!$A$6:$A$5000,0),1)="","",IFERROR(1*INDEX('CONTROLE PRODUÇÃO POR EMPRESAS'!$H$6:$J$5000,MATCH($A2630,'CONTROLE PRODUÇÃO POR EMPRESAS'!$A$6:$A$5000,0),1),"")),"")</f>
        <v/>
      </c>
      <c r="I2630">
        <f>IF(OR(NOT(ISNUMBER(G2630)),NOT(ISNUMBER(H2630))),"",H2630-G2630)</f>
        <v/>
      </c>
      <c r="J2630">
        <f>IF(OR(NOT(ISNUMBER(G2630)),NOT(ISNUMBER(H2630)),G2630=0),"",I2630/G2630)</f>
        <v/>
      </c>
      <c r="K2630">
        <f>IF(OR(NOT(ISNUMBER(G2630)),NOT(ISNUMBER(H2630)),G2630=0),"",H2630/G2630)</f>
        <v/>
      </c>
      <c r="L2630">
        <f>IF(NOT(ISNUMBER(G2630)),"SEM META",IF(G2630=0,"SEM META",IF(NOT(ISNUMBER(H2630)),"SEM APONTAMENTO",IF(H2630&gt;=G2630,"VERDE",IF(H2630&gt;=G2630*0.9,"AMARELO","VERMELHO")))))</f>
        <v/>
      </c>
    </row>
    <row r="2631">
      <c r="A2631" s="321" t="n">
        <v>46385</v>
      </c>
      <c r="B2631" t="inlineStr">
        <is>
          <t>GERAL</t>
        </is>
      </c>
      <c r="C2631" t="inlineStr">
        <is>
          <t>GLOBO AÇOS</t>
        </is>
      </c>
      <c r="D2631" t="inlineStr">
        <is>
          <t>TELHAR</t>
        </is>
      </c>
      <c r="F2631">
        <f>IFERROR(INDEX('BASE METAS DIÁRIAS'!$AA$2:$AC$358,MATCH($A2631,'BASE METAS DIÁRIAS'!$A$2:$A$358,0),2),"")</f>
        <v/>
      </c>
      <c r="G2631">
        <f>IFERROR(IF(WEEKDAY($A2631,2)&lt;=INDEX('BASE METAS DIÁRIAS'!$X$2:$Z$358,MATCH($A2631,'BASE METAS DIÁRIAS'!$A$2:$A$358,0),2),INDEX('BASE METAS DIÁRIAS'!$U$2:$W$358,MATCH($A2631,'BASE METAS DIÁRIAS'!$A$2:$A$358,0),2),""),"")</f>
        <v/>
      </c>
      <c r="H2631">
        <f>IFERROR(IF(INDEX('CONTROLE PRODUÇÃO POR EMPRESAS'!$H$6:$J$5000,MATCH($A2631,'CONTROLE PRODUÇÃO POR EMPRESAS'!$A$6:$A$5000,0),2)="","",IFERROR(1*INDEX('CONTROLE PRODUÇÃO POR EMPRESAS'!$H$6:$J$5000,MATCH($A2631,'CONTROLE PRODUÇÃO POR EMPRESAS'!$A$6:$A$5000,0),2),"")),"")</f>
        <v/>
      </c>
      <c r="I2631">
        <f>IF(OR(NOT(ISNUMBER(G2631)),NOT(ISNUMBER(H2631))),"",H2631-G2631)</f>
        <v/>
      </c>
      <c r="J2631">
        <f>IF(OR(NOT(ISNUMBER(G2631)),NOT(ISNUMBER(H2631)),G2631=0),"",I2631/G2631)</f>
        <v/>
      </c>
      <c r="K2631">
        <f>IF(OR(NOT(ISNUMBER(G2631)),NOT(ISNUMBER(H2631)),G2631=0),"",H2631/G2631)</f>
        <v/>
      </c>
      <c r="L2631">
        <f>IF(NOT(ISNUMBER(G2631)),"SEM META",IF(G2631=0,"SEM META",IF(NOT(ISNUMBER(H2631)),"SEM APONTAMENTO",IF(H2631&gt;=G2631,"VERDE",IF(H2631&gt;=G2631*0.9,"AMARELO","VERMELHO")))))</f>
        <v/>
      </c>
    </row>
    <row r="2632">
      <c r="A2632" s="321" t="n">
        <v>46385</v>
      </c>
      <c r="B2632" t="inlineStr">
        <is>
          <t>GERAL</t>
        </is>
      </c>
      <c r="C2632" t="inlineStr">
        <is>
          <t>GLOBO AÇOS</t>
        </is>
      </c>
      <c r="D2632" t="inlineStr">
        <is>
          <t>FECHAMENTO</t>
        </is>
      </c>
      <c r="F2632">
        <f>IFERROR(INDEX('BASE METAS DIÁRIAS'!$AA$2:$AC$358,MATCH($A2632,'BASE METAS DIÁRIAS'!$A$2:$A$358,0),3),"")</f>
        <v/>
      </c>
      <c r="G2632">
        <f>IFERROR(IF(WEEKDAY($A2632,2)&lt;=INDEX('BASE METAS DIÁRIAS'!$X$2:$Z$358,MATCH($A2632,'BASE METAS DIÁRIAS'!$A$2:$A$358,0),3),INDEX('BASE METAS DIÁRIAS'!$U$2:$W$358,MATCH($A2632,'BASE METAS DIÁRIAS'!$A$2:$A$358,0),3),""),"")</f>
        <v/>
      </c>
      <c r="H2632">
        <f>IFERROR(IF(INDEX('CONTROLE PRODUÇÃO POR EMPRESAS'!$H$6:$J$5000,MATCH($A2632,'CONTROLE PRODUÇÃO POR EMPRESAS'!$A$6:$A$5000,0),3)="","",IFERROR(1*INDEX('CONTROLE PRODUÇÃO POR EMPRESAS'!$H$6:$J$5000,MATCH($A2632,'CONTROLE PRODUÇÃO POR EMPRESAS'!$A$6:$A$5000,0),3),"")),"")</f>
        <v/>
      </c>
      <c r="I2632">
        <f>IF(OR(NOT(ISNUMBER(G2632)),NOT(ISNUMBER(H2632))),"",H2632-G2632)</f>
        <v/>
      </c>
      <c r="J2632">
        <f>IF(OR(NOT(ISNUMBER(G2632)),NOT(ISNUMBER(H2632)),G2632=0),"",I2632/G2632)</f>
        <v/>
      </c>
      <c r="K2632">
        <f>IF(OR(NOT(ISNUMBER(G2632)),NOT(ISNUMBER(H2632)),G2632=0),"",H2632/G2632)</f>
        <v/>
      </c>
      <c r="L2632">
        <f>IF(NOT(ISNUMBER(G2632)),"SEM META",IF(G2632=0,"SEM META",IF(NOT(ISNUMBER(H2632)),"SEM APONTAMENTO",IF(H2632&gt;=G2632,"VERDE",IF(H2632&gt;=G2632*0.9,"AMARELO","VERMELHO")))))</f>
        <v/>
      </c>
    </row>
    <row r="2633">
      <c r="A2633" s="321" t="n">
        <v>46386</v>
      </c>
      <c r="B2633" t="inlineStr">
        <is>
          <t>GERAL</t>
        </is>
      </c>
      <c r="C2633" t="inlineStr">
        <is>
          <t>GLOBO AÇOS</t>
        </is>
      </c>
      <c r="D2633" t="inlineStr">
        <is>
          <t>PERFILAÇÃO</t>
        </is>
      </c>
      <c r="F2633">
        <f>IFERROR(INDEX('BASE METAS DIÁRIAS'!$AA$2:$AC$358,MATCH($A2633,'BASE METAS DIÁRIAS'!$A$2:$A$358,0),1),"")</f>
        <v/>
      </c>
      <c r="G2633">
        <f>IFERROR(IF(WEEKDAY($A2633,2)&lt;=INDEX('BASE METAS DIÁRIAS'!$X$2:$Z$358,MATCH($A2633,'BASE METAS DIÁRIAS'!$A$2:$A$358,0),1),INDEX('BASE METAS DIÁRIAS'!$U$2:$W$358,MATCH($A2633,'BASE METAS DIÁRIAS'!$A$2:$A$358,0),1),""),"")</f>
        <v/>
      </c>
      <c r="H2633">
        <f>IFERROR(IF(INDEX('CONTROLE PRODUÇÃO POR EMPRESAS'!$H$6:$J$5000,MATCH($A2633,'CONTROLE PRODUÇÃO POR EMPRESAS'!$A$6:$A$5000,0),1)="","",IFERROR(1*INDEX('CONTROLE PRODUÇÃO POR EMPRESAS'!$H$6:$J$5000,MATCH($A2633,'CONTROLE PRODUÇÃO POR EMPRESAS'!$A$6:$A$5000,0),1),"")),"")</f>
        <v/>
      </c>
      <c r="I2633">
        <f>IF(OR(NOT(ISNUMBER(G2633)),NOT(ISNUMBER(H2633))),"",H2633-G2633)</f>
        <v/>
      </c>
      <c r="J2633">
        <f>IF(OR(NOT(ISNUMBER(G2633)),NOT(ISNUMBER(H2633)),G2633=0),"",I2633/G2633)</f>
        <v/>
      </c>
      <c r="K2633">
        <f>IF(OR(NOT(ISNUMBER(G2633)),NOT(ISNUMBER(H2633)),G2633=0),"",H2633/G2633)</f>
        <v/>
      </c>
      <c r="L2633">
        <f>IF(NOT(ISNUMBER(G2633)),"SEM META",IF(G2633=0,"SEM META",IF(NOT(ISNUMBER(H2633)),"SEM APONTAMENTO",IF(H2633&gt;=G2633,"VERDE",IF(H2633&gt;=G2633*0.9,"AMARELO","VERMELHO")))))</f>
        <v/>
      </c>
    </row>
    <row r="2634">
      <c r="A2634" s="321" t="n">
        <v>46386</v>
      </c>
      <c r="B2634" t="inlineStr">
        <is>
          <t>GERAL</t>
        </is>
      </c>
      <c r="C2634" t="inlineStr">
        <is>
          <t>GLOBO AÇOS</t>
        </is>
      </c>
      <c r="D2634" t="inlineStr">
        <is>
          <t>TELHAR</t>
        </is>
      </c>
      <c r="F2634">
        <f>IFERROR(INDEX('BASE METAS DIÁRIAS'!$AA$2:$AC$358,MATCH($A2634,'BASE METAS DIÁRIAS'!$A$2:$A$358,0),2),"")</f>
        <v/>
      </c>
      <c r="G2634">
        <f>IFERROR(IF(WEEKDAY($A2634,2)&lt;=INDEX('BASE METAS DIÁRIAS'!$X$2:$Z$358,MATCH($A2634,'BASE METAS DIÁRIAS'!$A$2:$A$358,0),2),INDEX('BASE METAS DIÁRIAS'!$U$2:$W$358,MATCH($A2634,'BASE METAS DIÁRIAS'!$A$2:$A$358,0),2),""),"")</f>
        <v/>
      </c>
      <c r="H2634">
        <f>IFERROR(IF(INDEX('CONTROLE PRODUÇÃO POR EMPRESAS'!$H$6:$J$5000,MATCH($A2634,'CONTROLE PRODUÇÃO POR EMPRESAS'!$A$6:$A$5000,0),2)="","",IFERROR(1*INDEX('CONTROLE PRODUÇÃO POR EMPRESAS'!$H$6:$J$5000,MATCH($A2634,'CONTROLE PRODUÇÃO POR EMPRESAS'!$A$6:$A$5000,0),2),"")),"")</f>
        <v/>
      </c>
      <c r="I2634">
        <f>IF(OR(NOT(ISNUMBER(G2634)),NOT(ISNUMBER(H2634))),"",H2634-G2634)</f>
        <v/>
      </c>
      <c r="J2634">
        <f>IF(OR(NOT(ISNUMBER(G2634)),NOT(ISNUMBER(H2634)),G2634=0),"",I2634/G2634)</f>
        <v/>
      </c>
      <c r="K2634">
        <f>IF(OR(NOT(ISNUMBER(G2634)),NOT(ISNUMBER(H2634)),G2634=0),"",H2634/G2634)</f>
        <v/>
      </c>
      <c r="L2634">
        <f>IF(NOT(ISNUMBER(G2634)),"SEM META",IF(G2634=0,"SEM META",IF(NOT(ISNUMBER(H2634)),"SEM APONTAMENTO",IF(H2634&gt;=G2634,"VERDE",IF(H2634&gt;=G2634*0.9,"AMARELO","VERMELHO")))))</f>
        <v/>
      </c>
    </row>
    <row r="2635">
      <c r="A2635" s="321" t="n">
        <v>46386</v>
      </c>
      <c r="B2635" t="inlineStr">
        <is>
          <t>GERAL</t>
        </is>
      </c>
      <c r="C2635" t="inlineStr">
        <is>
          <t>GLOBO AÇOS</t>
        </is>
      </c>
      <c r="D2635" t="inlineStr">
        <is>
          <t>FECHAMENTO</t>
        </is>
      </c>
      <c r="F2635">
        <f>IFERROR(INDEX('BASE METAS DIÁRIAS'!$AA$2:$AC$358,MATCH($A2635,'BASE METAS DIÁRIAS'!$A$2:$A$358,0),3),"")</f>
        <v/>
      </c>
      <c r="G2635">
        <f>IFERROR(IF(WEEKDAY($A2635,2)&lt;=INDEX('BASE METAS DIÁRIAS'!$X$2:$Z$358,MATCH($A2635,'BASE METAS DIÁRIAS'!$A$2:$A$358,0),3),INDEX('BASE METAS DIÁRIAS'!$U$2:$W$358,MATCH($A2635,'BASE METAS DIÁRIAS'!$A$2:$A$358,0),3),""),"")</f>
        <v/>
      </c>
      <c r="H2635">
        <f>IFERROR(IF(INDEX('CONTROLE PRODUÇÃO POR EMPRESAS'!$H$6:$J$5000,MATCH($A2635,'CONTROLE PRODUÇÃO POR EMPRESAS'!$A$6:$A$5000,0),3)="","",IFERROR(1*INDEX('CONTROLE PRODUÇÃO POR EMPRESAS'!$H$6:$J$5000,MATCH($A2635,'CONTROLE PRODUÇÃO POR EMPRESAS'!$A$6:$A$5000,0),3),"")),"")</f>
        <v/>
      </c>
      <c r="I2635">
        <f>IF(OR(NOT(ISNUMBER(G2635)),NOT(ISNUMBER(H2635))),"",H2635-G2635)</f>
        <v/>
      </c>
      <c r="J2635">
        <f>IF(OR(NOT(ISNUMBER(G2635)),NOT(ISNUMBER(H2635)),G2635=0),"",I2635/G2635)</f>
        <v/>
      </c>
      <c r="K2635">
        <f>IF(OR(NOT(ISNUMBER(G2635)),NOT(ISNUMBER(H2635)),G2635=0),"",H2635/G2635)</f>
        <v/>
      </c>
      <c r="L2635">
        <f>IF(NOT(ISNUMBER(G2635)),"SEM META",IF(G2635=0,"SEM META",IF(NOT(ISNUMBER(H2635)),"SEM APONTAMENTO",IF(H2635&gt;=G2635,"VERDE",IF(H2635&gt;=G2635*0.9,"AMARELO","VERMELHO")))))</f>
        <v/>
      </c>
    </row>
    <row r="2636">
      <c r="A2636" s="321" t="n">
        <v>46387</v>
      </c>
      <c r="B2636" t="inlineStr">
        <is>
          <t>GERAL</t>
        </is>
      </c>
      <c r="C2636" t="inlineStr">
        <is>
          <t>GLOBO AÇOS</t>
        </is>
      </c>
      <c r="D2636" t="inlineStr">
        <is>
          <t>PERFILAÇÃO</t>
        </is>
      </c>
      <c r="F2636">
        <f>IFERROR(INDEX('BASE METAS DIÁRIAS'!$AA$2:$AC$358,MATCH($A2636,'BASE METAS DIÁRIAS'!$A$2:$A$358,0),1),"")</f>
        <v/>
      </c>
      <c r="G2636">
        <f>IFERROR(IF(WEEKDAY($A2636,2)&lt;=INDEX('BASE METAS DIÁRIAS'!$X$2:$Z$358,MATCH($A2636,'BASE METAS DIÁRIAS'!$A$2:$A$358,0),1),INDEX('BASE METAS DIÁRIAS'!$U$2:$W$358,MATCH($A2636,'BASE METAS DIÁRIAS'!$A$2:$A$358,0),1),""),"")</f>
        <v/>
      </c>
      <c r="H2636">
        <f>IFERROR(IF(INDEX('CONTROLE PRODUÇÃO POR EMPRESAS'!$H$6:$J$5000,MATCH($A2636,'CONTROLE PRODUÇÃO POR EMPRESAS'!$A$6:$A$5000,0),1)="","",IFERROR(1*INDEX('CONTROLE PRODUÇÃO POR EMPRESAS'!$H$6:$J$5000,MATCH($A2636,'CONTROLE PRODUÇÃO POR EMPRESAS'!$A$6:$A$5000,0),1),"")),"")</f>
        <v/>
      </c>
      <c r="I2636">
        <f>IF(OR(NOT(ISNUMBER(G2636)),NOT(ISNUMBER(H2636))),"",H2636-G2636)</f>
        <v/>
      </c>
      <c r="J2636">
        <f>IF(OR(NOT(ISNUMBER(G2636)),NOT(ISNUMBER(H2636)),G2636=0),"",I2636/G2636)</f>
        <v/>
      </c>
      <c r="K2636">
        <f>IF(OR(NOT(ISNUMBER(G2636)),NOT(ISNUMBER(H2636)),G2636=0),"",H2636/G2636)</f>
        <v/>
      </c>
      <c r="L2636">
        <f>IF(NOT(ISNUMBER(G2636)),"SEM META",IF(G2636=0,"SEM META",IF(NOT(ISNUMBER(H2636)),"SEM APONTAMENTO",IF(H2636&gt;=G2636,"VERDE",IF(H2636&gt;=G2636*0.9,"AMARELO","VERMELHO")))))</f>
        <v/>
      </c>
    </row>
    <row r="2637">
      <c r="A2637" s="321" t="n">
        <v>46387</v>
      </c>
      <c r="B2637" t="inlineStr">
        <is>
          <t>GERAL</t>
        </is>
      </c>
      <c r="C2637" t="inlineStr">
        <is>
          <t>GLOBO AÇOS</t>
        </is>
      </c>
      <c r="D2637" t="inlineStr">
        <is>
          <t>TELHAR</t>
        </is>
      </c>
      <c r="F2637">
        <f>IFERROR(INDEX('BASE METAS DIÁRIAS'!$AA$2:$AC$358,MATCH($A2637,'BASE METAS DIÁRIAS'!$A$2:$A$358,0),2),"")</f>
        <v/>
      </c>
      <c r="G2637">
        <f>IFERROR(IF(WEEKDAY($A2637,2)&lt;=INDEX('BASE METAS DIÁRIAS'!$X$2:$Z$358,MATCH($A2637,'BASE METAS DIÁRIAS'!$A$2:$A$358,0),2),INDEX('BASE METAS DIÁRIAS'!$U$2:$W$358,MATCH($A2637,'BASE METAS DIÁRIAS'!$A$2:$A$358,0),2),""),"")</f>
        <v/>
      </c>
      <c r="H2637">
        <f>IFERROR(IF(INDEX('CONTROLE PRODUÇÃO POR EMPRESAS'!$H$6:$J$5000,MATCH($A2637,'CONTROLE PRODUÇÃO POR EMPRESAS'!$A$6:$A$5000,0),2)="","",IFERROR(1*INDEX('CONTROLE PRODUÇÃO POR EMPRESAS'!$H$6:$J$5000,MATCH($A2637,'CONTROLE PRODUÇÃO POR EMPRESAS'!$A$6:$A$5000,0),2),"")),"")</f>
        <v/>
      </c>
      <c r="I2637">
        <f>IF(OR(NOT(ISNUMBER(G2637)),NOT(ISNUMBER(H2637))),"",H2637-G2637)</f>
        <v/>
      </c>
      <c r="J2637">
        <f>IF(OR(NOT(ISNUMBER(G2637)),NOT(ISNUMBER(H2637)),G2637=0),"",I2637/G2637)</f>
        <v/>
      </c>
      <c r="K2637">
        <f>IF(OR(NOT(ISNUMBER(G2637)),NOT(ISNUMBER(H2637)),G2637=0),"",H2637/G2637)</f>
        <v/>
      </c>
      <c r="L2637">
        <f>IF(NOT(ISNUMBER(G2637)),"SEM META",IF(G2637=0,"SEM META",IF(NOT(ISNUMBER(H2637)),"SEM APONTAMENTO",IF(H2637&gt;=G2637,"VERDE",IF(H2637&gt;=G2637*0.9,"AMARELO","VERMELHO")))))</f>
        <v/>
      </c>
    </row>
    <row r="2638">
      <c r="A2638" s="321" t="n">
        <v>46387</v>
      </c>
      <c r="B2638" t="inlineStr">
        <is>
          <t>GERAL</t>
        </is>
      </c>
      <c r="C2638" t="inlineStr">
        <is>
          <t>GLOBO AÇOS</t>
        </is>
      </c>
      <c r="D2638" t="inlineStr">
        <is>
          <t>FECHAMENTO</t>
        </is>
      </c>
      <c r="F2638">
        <f>IFERROR(INDEX('BASE METAS DIÁRIAS'!$AA$2:$AC$358,MATCH($A2638,'BASE METAS DIÁRIAS'!$A$2:$A$358,0),3),"")</f>
        <v/>
      </c>
      <c r="G2638">
        <f>IFERROR(IF(WEEKDAY($A2638,2)&lt;=INDEX('BASE METAS DIÁRIAS'!$X$2:$Z$358,MATCH($A2638,'BASE METAS DIÁRIAS'!$A$2:$A$358,0),3),INDEX('BASE METAS DIÁRIAS'!$U$2:$W$358,MATCH($A2638,'BASE METAS DIÁRIAS'!$A$2:$A$358,0),3),""),"")</f>
        <v/>
      </c>
      <c r="H2638">
        <f>IFERROR(IF(INDEX('CONTROLE PRODUÇÃO POR EMPRESAS'!$H$6:$J$5000,MATCH($A2638,'CONTROLE PRODUÇÃO POR EMPRESAS'!$A$6:$A$5000,0),3)="","",IFERROR(1*INDEX('CONTROLE PRODUÇÃO POR EMPRESAS'!$H$6:$J$5000,MATCH($A2638,'CONTROLE PRODUÇÃO POR EMPRESAS'!$A$6:$A$5000,0),3),"")),"")</f>
        <v/>
      </c>
      <c r="I2638">
        <f>IF(OR(NOT(ISNUMBER(G2638)),NOT(ISNUMBER(H2638))),"",H2638-G2638)</f>
        <v/>
      </c>
      <c r="J2638">
        <f>IF(OR(NOT(ISNUMBER(G2638)),NOT(ISNUMBER(H2638)),G2638=0),"",I2638/G2638)</f>
        <v/>
      </c>
      <c r="K2638">
        <f>IF(OR(NOT(ISNUMBER(G2638)),NOT(ISNUMBER(H2638)),G2638=0),"",H2638/G2638)</f>
        <v/>
      </c>
      <c r="L2638">
        <f>IF(NOT(ISNUMBER(G2638)),"SEM META",IF(G2638=0,"SEM META",IF(NOT(ISNUMBER(H2638)),"SEM APONTAMENTO",IF(H2638&gt;=G2638,"VERDE",IF(H2638&gt;=G2638*0.9,"AMARELO","VERMELHO")))))</f>
        <v/>
      </c>
    </row>
    <row r="2639">
      <c r="A2639" s="321" t="n">
        <v>46388</v>
      </c>
      <c r="B2639" t="inlineStr">
        <is>
          <t>GERAL</t>
        </is>
      </c>
      <c r="C2639" t="inlineStr">
        <is>
          <t>GLOBO AÇOS</t>
        </is>
      </c>
      <c r="D2639" t="inlineStr">
        <is>
          <t>PERFILAÇÃO</t>
        </is>
      </c>
      <c r="F2639">
        <f>IFERROR(INDEX('BASE METAS DIÁRIAS'!$AA$2:$AC$358,MATCH($A2639,'BASE METAS DIÁRIAS'!$A$2:$A$358,0),1),"")</f>
        <v/>
      </c>
      <c r="G2639">
        <f>IFERROR(IF(WEEKDAY($A2639,2)&lt;=INDEX('BASE METAS DIÁRIAS'!$X$2:$Z$358,MATCH($A2639,'BASE METAS DIÁRIAS'!$A$2:$A$358,0),1),INDEX('BASE METAS DIÁRIAS'!$U$2:$W$358,MATCH($A2639,'BASE METAS DIÁRIAS'!$A$2:$A$358,0),1),""),"")</f>
        <v/>
      </c>
      <c r="H2639">
        <f>IFERROR(IF(INDEX('CONTROLE PRODUÇÃO POR EMPRESAS'!$H$6:$J$5000,MATCH($A2639,'CONTROLE PRODUÇÃO POR EMPRESAS'!$A$6:$A$5000,0),1)="","",IFERROR(1*INDEX('CONTROLE PRODUÇÃO POR EMPRESAS'!$H$6:$J$5000,MATCH($A2639,'CONTROLE PRODUÇÃO POR EMPRESAS'!$A$6:$A$5000,0),1),"")),"")</f>
        <v/>
      </c>
      <c r="I2639">
        <f>IF(OR(NOT(ISNUMBER(G2639)),NOT(ISNUMBER(H2639))),"",H2639-G2639)</f>
        <v/>
      </c>
      <c r="J2639">
        <f>IF(OR(NOT(ISNUMBER(G2639)),NOT(ISNUMBER(H2639)),G2639=0),"",I2639/G2639)</f>
        <v/>
      </c>
      <c r="K2639">
        <f>IF(OR(NOT(ISNUMBER(G2639)),NOT(ISNUMBER(H2639)),G2639=0),"",H2639/G2639)</f>
        <v/>
      </c>
      <c r="L2639">
        <f>IF(NOT(ISNUMBER(G2639)),"SEM META",IF(G2639=0,"SEM META",IF(NOT(ISNUMBER(H2639)),"SEM APONTAMENTO",IF(H2639&gt;=G2639,"VERDE",IF(H2639&gt;=G2639*0.9,"AMARELO","VERMELHO")))))</f>
        <v/>
      </c>
    </row>
    <row r="2640">
      <c r="A2640" s="321" t="n">
        <v>46388</v>
      </c>
      <c r="B2640" t="inlineStr">
        <is>
          <t>GERAL</t>
        </is>
      </c>
      <c r="C2640" t="inlineStr">
        <is>
          <t>GLOBO AÇOS</t>
        </is>
      </c>
      <c r="D2640" t="inlineStr">
        <is>
          <t>TELHAR</t>
        </is>
      </c>
      <c r="F2640">
        <f>IFERROR(INDEX('BASE METAS DIÁRIAS'!$AA$2:$AC$358,MATCH($A2640,'BASE METAS DIÁRIAS'!$A$2:$A$358,0),2),"")</f>
        <v/>
      </c>
      <c r="G2640">
        <f>IFERROR(IF(WEEKDAY($A2640,2)&lt;=INDEX('BASE METAS DIÁRIAS'!$X$2:$Z$358,MATCH($A2640,'BASE METAS DIÁRIAS'!$A$2:$A$358,0),2),INDEX('BASE METAS DIÁRIAS'!$U$2:$W$358,MATCH($A2640,'BASE METAS DIÁRIAS'!$A$2:$A$358,0),2),""),"")</f>
        <v/>
      </c>
      <c r="H2640">
        <f>IFERROR(IF(INDEX('CONTROLE PRODUÇÃO POR EMPRESAS'!$H$6:$J$5000,MATCH($A2640,'CONTROLE PRODUÇÃO POR EMPRESAS'!$A$6:$A$5000,0),2)="","",IFERROR(1*INDEX('CONTROLE PRODUÇÃO POR EMPRESAS'!$H$6:$J$5000,MATCH($A2640,'CONTROLE PRODUÇÃO POR EMPRESAS'!$A$6:$A$5000,0),2),"")),"")</f>
        <v/>
      </c>
      <c r="I2640">
        <f>IF(OR(NOT(ISNUMBER(G2640)),NOT(ISNUMBER(H2640))),"",H2640-G2640)</f>
        <v/>
      </c>
      <c r="J2640">
        <f>IF(OR(NOT(ISNUMBER(G2640)),NOT(ISNUMBER(H2640)),G2640=0),"",I2640/G2640)</f>
        <v/>
      </c>
      <c r="K2640">
        <f>IF(OR(NOT(ISNUMBER(G2640)),NOT(ISNUMBER(H2640)),G2640=0),"",H2640/G2640)</f>
        <v/>
      </c>
      <c r="L2640">
        <f>IF(NOT(ISNUMBER(G2640)),"SEM META",IF(G2640=0,"SEM META",IF(NOT(ISNUMBER(H2640)),"SEM APONTAMENTO",IF(H2640&gt;=G2640,"VERDE",IF(H2640&gt;=G2640*0.9,"AMARELO","VERMELHO")))))</f>
        <v/>
      </c>
    </row>
    <row r="2641">
      <c r="A2641" s="321" t="n">
        <v>46388</v>
      </c>
      <c r="B2641" t="inlineStr">
        <is>
          <t>GERAL</t>
        </is>
      </c>
      <c r="C2641" t="inlineStr">
        <is>
          <t>GLOBO AÇOS</t>
        </is>
      </c>
      <c r="D2641" t="inlineStr">
        <is>
          <t>FECHAMENTO</t>
        </is>
      </c>
      <c r="F2641">
        <f>IFERROR(INDEX('BASE METAS DIÁRIAS'!$AA$2:$AC$358,MATCH($A2641,'BASE METAS DIÁRIAS'!$A$2:$A$358,0),3),"")</f>
        <v/>
      </c>
      <c r="G2641">
        <f>IFERROR(IF(WEEKDAY($A2641,2)&lt;=INDEX('BASE METAS DIÁRIAS'!$X$2:$Z$358,MATCH($A2641,'BASE METAS DIÁRIAS'!$A$2:$A$358,0),3),INDEX('BASE METAS DIÁRIAS'!$U$2:$W$358,MATCH($A2641,'BASE METAS DIÁRIAS'!$A$2:$A$358,0),3),""),"")</f>
        <v/>
      </c>
      <c r="H2641">
        <f>IFERROR(IF(INDEX('CONTROLE PRODUÇÃO POR EMPRESAS'!$H$6:$J$5000,MATCH($A2641,'CONTROLE PRODUÇÃO POR EMPRESAS'!$A$6:$A$5000,0),3)="","",IFERROR(1*INDEX('CONTROLE PRODUÇÃO POR EMPRESAS'!$H$6:$J$5000,MATCH($A2641,'CONTROLE PRODUÇÃO POR EMPRESAS'!$A$6:$A$5000,0),3),"")),"")</f>
        <v/>
      </c>
      <c r="I2641">
        <f>IF(OR(NOT(ISNUMBER(G2641)),NOT(ISNUMBER(H2641))),"",H2641-G2641)</f>
        <v/>
      </c>
      <c r="J2641">
        <f>IF(OR(NOT(ISNUMBER(G2641)),NOT(ISNUMBER(H2641)),G2641=0),"",I2641/G2641)</f>
        <v/>
      </c>
      <c r="K2641">
        <f>IF(OR(NOT(ISNUMBER(G2641)),NOT(ISNUMBER(H2641)),G2641=0),"",H2641/G2641)</f>
        <v/>
      </c>
      <c r="L2641">
        <f>IF(NOT(ISNUMBER(G2641)),"SEM META",IF(G2641=0,"SEM META",IF(NOT(ISNUMBER(H2641)),"SEM APONTAMENTO",IF(H2641&gt;=G2641,"VERDE",IF(H2641&gt;=G2641*0.9,"AMARELO","VERMELHO")))))</f>
        <v/>
      </c>
    </row>
    <row r="2642">
      <c r="A2642" s="321" t="n">
        <v>46389</v>
      </c>
      <c r="B2642" t="inlineStr">
        <is>
          <t>GERAL</t>
        </is>
      </c>
      <c r="C2642" t="inlineStr">
        <is>
          <t>GLOBO AÇOS</t>
        </is>
      </c>
      <c r="D2642" t="inlineStr">
        <is>
          <t>PERFILAÇÃO</t>
        </is>
      </c>
      <c r="F2642">
        <f>IFERROR(INDEX('BASE METAS DIÁRIAS'!$AA$2:$AC$358,MATCH($A2642,'BASE METAS DIÁRIAS'!$A$2:$A$358,0),1),"")</f>
        <v/>
      </c>
      <c r="G2642">
        <f>IFERROR(IF(WEEKDAY($A2642,2)&lt;=INDEX('BASE METAS DIÁRIAS'!$X$2:$Z$358,MATCH($A2642,'BASE METAS DIÁRIAS'!$A$2:$A$358,0),1),INDEX('BASE METAS DIÁRIAS'!$U$2:$W$358,MATCH($A2642,'BASE METAS DIÁRIAS'!$A$2:$A$358,0),1),""),"")</f>
        <v/>
      </c>
      <c r="H2642">
        <f>IFERROR(IF(INDEX('CONTROLE PRODUÇÃO POR EMPRESAS'!$H$6:$J$5000,MATCH($A2642,'CONTROLE PRODUÇÃO POR EMPRESAS'!$A$6:$A$5000,0),1)="","",IFERROR(1*INDEX('CONTROLE PRODUÇÃO POR EMPRESAS'!$H$6:$J$5000,MATCH($A2642,'CONTROLE PRODUÇÃO POR EMPRESAS'!$A$6:$A$5000,0),1),"")),"")</f>
        <v/>
      </c>
      <c r="I2642">
        <f>IF(OR(NOT(ISNUMBER(G2642)),NOT(ISNUMBER(H2642))),"",H2642-G2642)</f>
        <v/>
      </c>
      <c r="J2642">
        <f>IF(OR(NOT(ISNUMBER(G2642)),NOT(ISNUMBER(H2642)),G2642=0),"",I2642/G2642)</f>
        <v/>
      </c>
      <c r="K2642">
        <f>IF(OR(NOT(ISNUMBER(G2642)),NOT(ISNUMBER(H2642)),G2642=0),"",H2642/G2642)</f>
        <v/>
      </c>
      <c r="L2642">
        <f>IF(NOT(ISNUMBER(G2642)),"SEM META",IF(G2642=0,"SEM META",IF(NOT(ISNUMBER(H2642)),"SEM APONTAMENTO",IF(H2642&gt;=G2642,"VERDE",IF(H2642&gt;=G2642*0.9,"AMARELO","VERMELHO")))))</f>
        <v/>
      </c>
    </row>
    <row r="2643">
      <c r="A2643" s="321" t="n">
        <v>46389</v>
      </c>
      <c r="B2643" t="inlineStr">
        <is>
          <t>GERAL</t>
        </is>
      </c>
      <c r="C2643" t="inlineStr">
        <is>
          <t>GLOBO AÇOS</t>
        </is>
      </c>
      <c r="D2643" t="inlineStr">
        <is>
          <t>TELHAR</t>
        </is>
      </c>
      <c r="F2643">
        <f>IFERROR(INDEX('BASE METAS DIÁRIAS'!$AA$2:$AC$358,MATCH($A2643,'BASE METAS DIÁRIAS'!$A$2:$A$358,0),2),"")</f>
        <v/>
      </c>
      <c r="G2643">
        <f>IFERROR(IF(WEEKDAY($A2643,2)&lt;=INDEX('BASE METAS DIÁRIAS'!$X$2:$Z$358,MATCH($A2643,'BASE METAS DIÁRIAS'!$A$2:$A$358,0),2),INDEX('BASE METAS DIÁRIAS'!$U$2:$W$358,MATCH($A2643,'BASE METAS DIÁRIAS'!$A$2:$A$358,0),2),""),"")</f>
        <v/>
      </c>
      <c r="H2643">
        <f>IFERROR(IF(INDEX('CONTROLE PRODUÇÃO POR EMPRESAS'!$H$6:$J$5000,MATCH($A2643,'CONTROLE PRODUÇÃO POR EMPRESAS'!$A$6:$A$5000,0),2)="","",IFERROR(1*INDEX('CONTROLE PRODUÇÃO POR EMPRESAS'!$H$6:$J$5000,MATCH($A2643,'CONTROLE PRODUÇÃO POR EMPRESAS'!$A$6:$A$5000,0),2),"")),"")</f>
        <v/>
      </c>
      <c r="I2643">
        <f>IF(OR(NOT(ISNUMBER(G2643)),NOT(ISNUMBER(H2643))),"",H2643-G2643)</f>
        <v/>
      </c>
      <c r="J2643">
        <f>IF(OR(NOT(ISNUMBER(G2643)),NOT(ISNUMBER(H2643)),G2643=0),"",I2643/G2643)</f>
        <v/>
      </c>
      <c r="K2643">
        <f>IF(OR(NOT(ISNUMBER(G2643)),NOT(ISNUMBER(H2643)),G2643=0),"",H2643/G2643)</f>
        <v/>
      </c>
      <c r="L2643">
        <f>IF(NOT(ISNUMBER(G2643)),"SEM META",IF(G2643=0,"SEM META",IF(NOT(ISNUMBER(H2643)),"SEM APONTAMENTO",IF(H2643&gt;=G2643,"VERDE",IF(H2643&gt;=G2643*0.9,"AMARELO","VERMELHO")))))</f>
        <v/>
      </c>
    </row>
    <row r="2644">
      <c r="A2644" s="321" t="n">
        <v>46389</v>
      </c>
      <c r="B2644" t="inlineStr">
        <is>
          <t>GERAL</t>
        </is>
      </c>
      <c r="C2644" t="inlineStr">
        <is>
          <t>GLOBO AÇOS</t>
        </is>
      </c>
      <c r="D2644" t="inlineStr">
        <is>
          <t>FECHAMENTO</t>
        </is>
      </c>
      <c r="F2644">
        <f>IFERROR(INDEX('BASE METAS DIÁRIAS'!$AA$2:$AC$358,MATCH($A2644,'BASE METAS DIÁRIAS'!$A$2:$A$358,0),3),"")</f>
        <v/>
      </c>
      <c r="G2644">
        <f>IFERROR(IF(WEEKDAY($A2644,2)&lt;=INDEX('BASE METAS DIÁRIAS'!$X$2:$Z$358,MATCH($A2644,'BASE METAS DIÁRIAS'!$A$2:$A$358,0),3),INDEX('BASE METAS DIÁRIAS'!$U$2:$W$358,MATCH($A2644,'BASE METAS DIÁRIAS'!$A$2:$A$358,0),3),""),"")</f>
        <v/>
      </c>
      <c r="H2644">
        <f>IFERROR(IF(INDEX('CONTROLE PRODUÇÃO POR EMPRESAS'!$H$6:$J$5000,MATCH($A2644,'CONTROLE PRODUÇÃO POR EMPRESAS'!$A$6:$A$5000,0),3)="","",IFERROR(1*INDEX('CONTROLE PRODUÇÃO POR EMPRESAS'!$H$6:$J$5000,MATCH($A2644,'CONTROLE PRODUÇÃO POR EMPRESAS'!$A$6:$A$5000,0),3),"")),"")</f>
        <v/>
      </c>
      <c r="I2644">
        <f>IF(OR(NOT(ISNUMBER(G2644)),NOT(ISNUMBER(H2644))),"",H2644-G2644)</f>
        <v/>
      </c>
      <c r="J2644">
        <f>IF(OR(NOT(ISNUMBER(G2644)),NOT(ISNUMBER(H2644)),G2644=0),"",I2644/G2644)</f>
        <v/>
      </c>
      <c r="K2644">
        <f>IF(OR(NOT(ISNUMBER(G2644)),NOT(ISNUMBER(H2644)),G2644=0),"",H2644/G2644)</f>
        <v/>
      </c>
      <c r="L2644">
        <f>IF(NOT(ISNUMBER(G2644)),"SEM META",IF(G2644=0,"SEM META",IF(NOT(ISNUMBER(H2644)),"SEM APONTAMENTO",IF(H2644&gt;=G2644,"VERDE",IF(H2644&gt;=G2644*0.9,"AMARELO","VERMELHO")))))</f>
        <v/>
      </c>
    </row>
    <row r="2645">
      <c r="A2645" s="321" t="n">
        <v>46390</v>
      </c>
      <c r="B2645" t="inlineStr">
        <is>
          <t>GERAL</t>
        </is>
      </c>
      <c r="C2645" t="inlineStr">
        <is>
          <t>GLOBO AÇOS</t>
        </is>
      </c>
      <c r="D2645" t="inlineStr">
        <is>
          <t>PERFILAÇÃO</t>
        </is>
      </c>
      <c r="F2645">
        <f>IFERROR(INDEX('BASE METAS DIÁRIAS'!$AA$2:$AC$358,MATCH($A2645,'BASE METAS DIÁRIAS'!$A$2:$A$358,0),1),"")</f>
        <v/>
      </c>
      <c r="G2645">
        <f>IFERROR(IF(WEEKDAY($A2645,2)&lt;=INDEX('BASE METAS DIÁRIAS'!$X$2:$Z$358,MATCH($A2645,'BASE METAS DIÁRIAS'!$A$2:$A$358,0),1),INDEX('BASE METAS DIÁRIAS'!$U$2:$W$358,MATCH($A2645,'BASE METAS DIÁRIAS'!$A$2:$A$358,0),1),""),"")</f>
        <v/>
      </c>
      <c r="H2645">
        <f>IFERROR(IF(INDEX('CONTROLE PRODUÇÃO POR EMPRESAS'!$H$6:$J$5000,MATCH($A2645,'CONTROLE PRODUÇÃO POR EMPRESAS'!$A$6:$A$5000,0),1)="","",IFERROR(1*INDEX('CONTROLE PRODUÇÃO POR EMPRESAS'!$H$6:$J$5000,MATCH($A2645,'CONTROLE PRODUÇÃO POR EMPRESAS'!$A$6:$A$5000,0),1),"")),"")</f>
        <v/>
      </c>
      <c r="I2645">
        <f>IF(OR(NOT(ISNUMBER(G2645)),NOT(ISNUMBER(H2645))),"",H2645-G2645)</f>
        <v/>
      </c>
      <c r="J2645">
        <f>IF(OR(NOT(ISNUMBER(G2645)),NOT(ISNUMBER(H2645)),G2645=0),"",I2645/G2645)</f>
        <v/>
      </c>
      <c r="K2645">
        <f>IF(OR(NOT(ISNUMBER(G2645)),NOT(ISNUMBER(H2645)),G2645=0),"",H2645/G2645)</f>
        <v/>
      </c>
      <c r="L2645">
        <f>IF(NOT(ISNUMBER(G2645)),"SEM META",IF(G2645=0,"SEM META",IF(NOT(ISNUMBER(H2645)),"SEM APONTAMENTO",IF(H2645&gt;=G2645,"VERDE",IF(H2645&gt;=G2645*0.9,"AMARELO","VERMELHO")))))</f>
        <v/>
      </c>
    </row>
    <row r="2646">
      <c r="A2646" s="321" t="n">
        <v>46390</v>
      </c>
      <c r="B2646" t="inlineStr">
        <is>
          <t>GERAL</t>
        </is>
      </c>
      <c r="C2646" t="inlineStr">
        <is>
          <t>GLOBO AÇOS</t>
        </is>
      </c>
      <c r="D2646" t="inlineStr">
        <is>
          <t>TELHAR</t>
        </is>
      </c>
      <c r="F2646">
        <f>IFERROR(INDEX('BASE METAS DIÁRIAS'!$AA$2:$AC$358,MATCH($A2646,'BASE METAS DIÁRIAS'!$A$2:$A$358,0),2),"")</f>
        <v/>
      </c>
      <c r="G2646">
        <f>IFERROR(IF(WEEKDAY($A2646,2)&lt;=INDEX('BASE METAS DIÁRIAS'!$X$2:$Z$358,MATCH($A2646,'BASE METAS DIÁRIAS'!$A$2:$A$358,0),2),INDEX('BASE METAS DIÁRIAS'!$U$2:$W$358,MATCH($A2646,'BASE METAS DIÁRIAS'!$A$2:$A$358,0),2),""),"")</f>
        <v/>
      </c>
      <c r="H2646">
        <f>IFERROR(IF(INDEX('CONTROLE PRODUÇÃO POR EMPRESAS'!$H$6:$J$5000,MATCH($A2646,'CONTROLE PRODUÇÃO POR EMPRESAS'!$A$6:$A$5000,0),2)="","",IFERROR(1*INDEX('CONTROLE PRODUÇÃO POR EMPRESAS'!$H$6:$J$5000,MATCH($A2646,'CONTROLE PRODUÇÃO POR EMPRESAS'!$A$6:$A$5000,0),2),"")),"")</f>
        <v/>
      </c>
      <c r="I2646">
        <f>IF(OR(NOT(ISNUMBER(G2646)),NOT(ISNUMBER(H2646))),"",H2646-G2646)</f>
        <v/>
      </c>
      <c r="J2646">
        <f>IF(OR(NOT(ISNUMBER(G2646)),NOT(ISNUMBER(H2646)),G2646=0),"",I2646/G2646)</f>
        <v/>
      </c>
      <c r="K2646">
        <f>IF(OR(NOT(ISNUMBER(G2646)),NOT(ISNUMBER(H2646)),G2646=0),"",H2646/G2646)</f>
        <v/>
      </c>
      <c r="L2646">
        <f>IF(NOT(ISNUMBER(G2646)),"SEM META",IF(G2646=0,"SEM META",IF(NOT(ISNUMBER(H2646)),"SEM APONTAMENTO",IF(H2646&gt;=G2646,"VERDE",IF(H2646&gt;=G2646*0.9,"AMARELO","VERMELHO")))))</f>
        <v/>
      </c>
    </row>
    <row r="2647">
      <c r="A2647" s="321" t="n">
        <v>46390</v>
      </c>
      <c r="B2647" t="inlineStr">
        <is>
          <t>GERAL</t>
        </is>
      </c>
      <c r="C2647" t="inlineStr">
        <is>
          <t>GLOBO AÇOS</t>
        </is>
      </c>
      <c r="D2647" t="inlineStr">
        <is>
          <t>FECHAMENTO</t>
        </is>
      </c>
      <c r="F2647">
        <f>IFERROR(INDEX('BASE METAS DIÁRIAS'!$AA$2:$AC$358,MATCH($A2647,'BASE METAS DIÁRIAS'!$A$2:$A$358,0),3),"")</f>
        <v/>
      </c>
      <c r="G2647">
        <f>IFERROR(IF(WEEKDAY($A2647,2)&lt;=INDEX('BASE METAS DIÁRIAS'!$X$2:$Z$358,MATCH($A2647,'BASE METAS DIÁRIAS'!$A$2:$A$358,0),3),INDEX('BASE METAS DIÁRIAS'!$U$2:$W$358,MATCH($A2647,'BASE METAS DIÁRIAS'!$A$2:$A$358,0),3),""),"")</f>
        <v/>
      </c>
      <c r="H2647">
        <f>IFERROR(IF(INDEX('CONTROLE PRODUÇÃO POR EMPRESAS'!$H$6:$J$5000,MATCH($A2647,'CONTROLE PRODUÇÃO POR EMPRESAS'!$A$6:$A$5000,0),3)="","",IFERROR(1*INDEX('CONTROLE PRODUÇÃO POR EMPRESAS'!$H$6:$J$5000,MATCH($A2647,'CONTROLE PRODUÇÃO POR EMPRESAS'!$A$6:$A$5000,0),3),"")),"")</f>
        <v/>
      </c>
      <c r="I2647">
        <f>IF(OR(NOT(ISNUMBER(G2647)),NOT(ISNUMBER(H2647))),"",H2647-G2647)</f>
        <v/>
      </c>
      <c r="J2647">
        <f>IF(OR(NOT(ISNUMBER(G2647)),NOT(ISNUMBER(H2647)),G2647=0),"",I2647/G2647)</f>
        <v/>
      </c>
      <c r="K2647">
        <f>IF(OR(NOT(ISNUMBER(G2647)),NOT(ISNUMBER(H2647)),G2647=0),"",H2647/G2647)</f>
        <v/>
      </c>
      <c r="L2647">
        <f>IF(NOT(ISNUMBER(G2647)),"SEM META",IF(G2647=0,"SEM META",IF(NOT(ISNUMBER(H2647)),"SEM APONTAMENTO",IF(H2647&gt;=G2647,"VERDE",IF(H2647&gt;=G2647*0.9,"AMARELO","VERMELHO")))))</f>
        <v/>
      </c>
    </row>
    <row r="2648">
      <c r="A2648" s="321" t="n">
        <v>46391</v>
      </c>
      <c r="B2648" t="inlineStr">
        <is>
          <t>GERAL</t>
        </is>
      </c>
      <c r="C2648" t="inlineStr">
        <is>
          <t>GLOBO AÇOS</t>
        </is>
      </c>
      <c r="D2648" t="inlineStr">
        <is>
          <t>PERFILAÇÃO</t>
        </is>
      </c>
      <c r="F2648">
        <f>IFERROR(INDEX('BASE METAS DIÁRIAS'!$AA$2:$AC$358,MATCH($A2648,'BASE METAS DIÁRIAS'!$A$2:$A$358,0),1),"")</f>
        <v/>
      </c>
      <c r="G2648">
        <f>IFERROR(IF(WEEKDAY($A2648,2)&lt;=INDEX('BASE METAS DIÁRIAS'!$X$2:$Z$358,MATCH($A2648,'BASE METAS DIÁRIAS'!$A$2:$A$358,0),1),INDEX('BASE METAS DIÁRIAS'!$U$2:$W$358,MATCH($A2648,'BASE METAS DIÁRIAS'!$A$2:$A$358,0),1),""),"")</f>
        <v/>
      </c>
      <c r="H2648">
        <f>IFERROR(IF(INDEX('CONTROLE PRODUÇÃO POR EMPRESAS'!$H$6:$J$5000,MATCH($A2648,'CONTROLE PRODUÇÃO POR EMPRESAS'!$A$6:$A$5000,0),1)="","",IFERROR(1*INDEX('CONTROLE PRODUÇÃO POR EMPRESAS'!$H$6:$J$5000,MATCH($A2648,'CONTROLE PRODUÇÃO POR EMPRESAS'!$A$6:$A$5000,0),1),"")),"")</f>
        <v/>
      </c>
      <c r="I2648">
        <f>IF(OR(NOT(ISNUMBER(G2648)),NOT(ISNUMBER(H2648))),"",H2648-G2648)</f>
        <v/>
      </c>
      <c r="J2648">
        <f>IF(OR(NOT(ISNUMBER(G2648)),NOT(ISNUMBER(H2648)),G2648=0),"",I2648/G2648)</f>
        <v/>
      </c>
      <c r="K2648">
        <f>IF(OR(NOT(ISNUMBER(G2648)),NOT(ISNUMBER(H2648)),G2648=0),"",H2648/G2648)</f>
        <v/>
      </c>
      <c r="L2648">
        <f>IF(NOT(ISNUMBER(G2648)),"SEM META",IF(G2648=0,"SEM META",IF(NOT(ISNUMBER(H2648)),"SEM APONTAMENTO",IF(H2648&gt;=G2648,"VERDE",IF(H2648&gt;=G2648*0.9,"AMARELO","VERMELHO")))))</f>
        <v/>
      </c>
    </row>
    <row r="2649">
      <c r="A2649" s="321" t="n">
        <v>46391</v>
      </c>
      <c r="B2649" t="inlineStr">
        <is>
          <t>GERAL</t>
        </is>
      </c>
      <c r="C2649" t="inlineStr">
        <is>
          <t>GLOBO AÇOS</t>
        </is>
      </c>
      <c r="D2649" t="inlineStr">
        <is>
          <t>TELHAR</t>
        </is>
      </c>
      <c r="F2649">
        <f>IFERROR(INDEX('BASE METAS DIÁRIAS'!$AA$2:$AC$358,MATCH($A2649,'BASE METAS DIÁRIAS'!$A$2:$A$358,0),2),"")</f>
        <v/>
      </c>
      <c r="G2649">
        <f>IFERROR(IF(WEEKDAY($A2649,2)&lt;=INDEX('BASE METAS DIÁRIAS'!$X$2:$Z$358,MATCH($A2649,'BASE METAS DIÁRIAS'!$A$2:$A$358,0),2),INDEX('BASE METAS DIÁRIAS'!$U$2:$W$358,MATCH($A2649,'BASE METAS DIÁRIAS'!$A$2:$A$358,0),2),""),"")</f>
        <v/>
      </c>
      <c r="H2649">
        <f>IFERROR(IF(INDEX('CONTROLE PRODUÇÃO POR EMPRESAS'!$H$6:$J$5000,MATCH($A2649,'CONTROLE PRODUÇÃO POR EMPRESAS'!$A$6:$A$5000,0),2)="","",IFERROR(1*INDEX('CONTROLE PRODUÇÃO POR EMPRESAS'!$H$6:$J$5000,MATCH($A2649,'CONTROLE PRODUÇÃO POR EMPRESAS'!$A$6:$A$5000,0),2),"")),"")</f>
        <v/>
      </c>
      <c r="I2649">
        <f>IF(OR(NOT(ISNUMBER(G2649)),NOT(ISNUMBER(H2649))),"",H2649-G2649)</f>
        <v/>
      </c>
      <c r="J2649">
        <f>IF(OR(NOT(ISNUMBER(G2649)),NOT(ISNUMBER(H2649)),G2649=0),"",I2649/G2649)</f>
        <v/>
      </c>
      <c r="K2649">
        <f>IF(OR(NOT(ISNUMBER(G2649)),NOT(ISNUMBER(H2649)),G2649=0),"",H2649/G2649)</f>
        <v/>
      </c>
      <c r="L2649">
        <f>IF(NOT(ISNUMBER(G2649)),"SEM META",IF(G2649=0,"SEM META",IF(NOT(ISNUMBER(H2649)),"SEM APONTAMENTO",IF(H2649&gt;=G2649,"VERDE",IF(H2649&gt;=G2649*0.9,"AMARELO","VERMELHO")))))</f>
        <v/>
      </c>
    </row>
    <row r="2650">
      <c r="A2650" s="321" t="n">
        <v>46391</v>
      </c>
      <c r="B2650" t="inlineStr">
        <is>
          <t>GERAL</t>
        </is>
      </c>
      <c r="C2650" t="inlineStr">
        <is>
          <t>GLOBO AÇOS</t>
        </is>
      </c>
      <c r="D2650" t="inlineStr">
        <is>
          <t>FECHAMENTO</t>
        </is>
      </c>
      <c r="F2650">
        <f>IFERROR(INDEX('BASE METAS DIÁRIAS'!$AA$2:$AC$358,MATCH($A2650,'BASE METAS DIÁRIAS'!$A$2:$A$358,0),3),"")</f>
        <v/>
      </c>
      <c r="G2650">
        <f>IFERROR(IF(WEEKDAY($A2650,2)&lt;=INDEX('BASE METAS DIÁRIAS'!$X$2:$Z$358,MATCH($A2650,'BASE METAS DIÁRIAS'!$A$2:$A$358,0),3),INDEX('BASE METAS DIÁRIAS'!$U$2:$W$358,MATCH($A2650,'BASE METAS DIÁRIAS'!$A$2:$A$358,0),3),""),"")</f>
        <v/>
      </c>
      <c r="H2650">
        <f>IFERROR(IF(INDEX('CONTROLE PRODUÇÃO POR EMPRESAS'!$H$6:$J$5000,MATCH($A2650,'CONTROLE PRODUÇÃO POR EMPRESAS'!$A$6:$A$5000,0),3)="","",IFERROR(1*INDEX('CONTROLE PRODUÇÃO POR EMPRESAS'!$H$6:$J$5000,MATCH($A2650,'CONTROLE PRODUÇÃO POR EMPRESAS'!$A$6:$A$5000,0),3),"")),"")</f>
        <v/>
      </c>
      <c r="I2650">
        <f>IF(OR(NOT(ISNUMBER(G2650)),NOT(ISNUMBER(H2650))),"",H2650-G2650)</f>
        <v/>
      </c>
      <c r="J2650">
        <f>IF(OR(NOT(ISNUMBER(G2650)),NOT(ISNUMBER(H2650)),G2650=0),"",I2650/G2650)</f>
        <v/>
      </c>
      <c r="K2650">
        <f>IF(OR(NOT(ISNUMBER(G2650)),NOT(ISNUMBER(H2650)),G2650=0),"",H2650/G2650)</f>
        <v/>
      </c>
      <c r="L2650">
        <f>IF(NOT(ISNUMBER(G2650)),"SEM META",IF(G2650=0,"SEM META",IF(NOT(ISNUMBER(H2650)),"SEM APONTAMENTO",IF(H2650&gt;=G2650,"VERDE",IF(H2650&gt;=G2650*0.9,"AMARELO","VERMELHO")))))</f>
        <v/>
      </c>
    </row>
    <row r="2651">
      <c r="A2651" s="321" t="n">
        <v>46392</v>
      </c>
      <c r="B2651" t="inlineStr">
        <is>
          <t>GERAL</t>
        </is>
      </c>
      <c r="C2651" t="inlineStr">
        <is>
          <t>GLOBO AÇOS</t>
        </is>
      </c>
      <c r="D2651" t="inlineStr">
        <is>
          <t>PERFILAÇÃO</t>
        </is>
      </c>
      <c r="F2651">
        <f>IFERROR(INDEX('BASE METAS DIÁRIAS'!$AA$2:$AC$358,MATCH($A2651,'BASE METAS DIÁRIAS'!$A$2:$A$358,0),1),"")</f>
        <v/>
      </c>
      <c r="G2651">
        <f>IFERROR(IF(WEEKDAY($A2651,2)&lt;=INDEX('BASE METAS DIÁRIAS'!$X$2:$Z$358,MATCH($A2651,'BASE METAS DIÁRIAS'!$A$2:$A$358,0),1),INDEX('BASE METAS DIÁRIAS'!$U$2:$W$358,MATCH($A2651,'BASE METAS DIÁRIAS'!$A$2:$A$358,0),1),""),"")</f>
        <v/>
      </c>
      <c r="H2651">
        <f>IFERROR(IF(INDEX('CONTROLE PRODUÇÃO POR EMPRESAS'!$H$6:$J$5000,MATCH($A2651,'CONTROLE PRODUÇÃO POR EMPRESAS'!$A$6:$A$5000,0),1)="","",IFERROR(1*INDEX('CONTROLE PRODUÇÃO POR EMPRESAS'!$H$6:$J$5000,MATCH($A2651,'CONTROLE PRODUÇÃO POR EMPRESAS'!$A$6:$A$5000,0),1),"")),"")</f>
        <v/>
      </c>
      <c r="I2651">
        <f>IF(OR(NOT(ISNUMBER(G2651)),NOT(ISNUMBER(H2651))),"",H2651-G2651)</f>
        <v/>
      </c>
      <c r="J2651">
        <f>IF(OR(NOT(ISNUMBER(G2651)),NOT(ISNUMBER(H2651)),G2651=0),"",I2651/G2651)</f>
        <v/>
      </c>
      <c r="K2651">
        <f>IF(OR(NOT(ISNUMBER(G2651)),NOT(ISNUMBER(H2651)),G2651=0),"",H2651/G2651)</f>
        <v/>
      </c>
      <c r="L2651">
        <f>IF(NOT(ISNUMBER(G2651)),"SEM META",IF(G2651=0,"SEM META",IF(NOT(ISNUMBER(H2651)),"SEM APONTAMENTO",IF(H2651&gt;=G2651,"VERDE",IF(H2651&gt;=G2651*0.9,"AMARELO","VERMELHO")))))</f>
        <v/>
      </c>
    </row>
    <row r="2652">
      <c r="A2652" s="321" t="n">
        <v>46392</v>
      </c>
      <c r="B2652" t="inlineStr">
        <is>
          <t>GERAL</t>
        </is>
      </c>
      <c r="C2652" t="inlineStr">
        <is>
          <t>GLOBO AÇOS</t>
        </is>
      </c>
      <c r="D2652" t="inlineStr">
        <is>
          <t>TELHAR</t>
        </is>
      </c>
      <c r="F2652">
        <f>IFERROR(INDEX('BASE METAS DIÁRIAS'!$AA$2:$AC$358,MATCH($A2652,'BASE METAS DIÁRIAS'!$A$2:$A$358,0),2),"")</f>
        <v/>
      </c>
      <c r="G2652">
        <f>IFERROR(IF(WEEKDAY($A2652,2)&lt;=INDEX('BASE METAS DIÁRIAS'!$X$2:$Z$358,MATCH($A2652,'BASE METAS DIÁRIAS'!$A$2:$A$358,0),2),INDEX('BASE METAS DIÁRIAS'!$U$2:$W$358,MATCH($A2652,'BASE METAS DIÁRIAS'!$A$2:$A$358,0),2),""),"")</f>
        <v/>
      </c>
      <c r="H2652">
        <f>IFERROR(IF(INDEX('CONTROLE PRODUÇÃO POR EMPRESAS'!$H$6:$J$5000,MATCH($A2652,'CONTROLE PRODUÇÃO POR EMPRESAS'!$A$6:$A$5000,0),2)="","",IFERROR(1*INDEX('CONTROLE PRODUÇÃO POR EMPRESAS'!$H$6:$J$5000,MATCH($A2652,'CONTROLE PRODUÇÃO POR EMPRESAS'!$A$6:$A$5000,0),2),"")),"")</f>
        <v/>
      </c>
      <c r="I2652">
        <f>IF(OR(NOT(ISNUMBER(G2652)),NOT(ISNUMBER(H2652))),"",H2652-G2652)</f>
        <v/>
      </c>
      <c r="J2652">
        <f>IF(OR(NOT(ISNUMBER(G2652)),NOT(ISNUMBER(H2652)),G2652=0),"",I2652/G2652)</f>
        <v/>
      </c>
      <c r="K2652">
        <f>IF(OR(NOT(ISNUMBER(G2652)),NOT(ISNUMBER(H2652)),G2652=0),"",H2652/G2652)</f>
        <v/>
      </c>
      <c r="L2652">
        <f>IF(NOT(ISNUMBER(G2652)),"SEM META",IF(G2652=0,"SEM META",IF(NOT(ISNUMBER(H2652)),"SEM APONTAMENTO",IF(H2652&gt;=G2652,"VERDE",IF(H2652&gt;=G2652*0.9,"AMARELO","VERMELHO")))))</f>
        <v/>
      </c>
    </row>
    <row r="2653">
      <c r="A2653" s="321" t="n">
        <v>46392</v>
      </c>
      <c r="B2653" t="inlineStr">
        <is>
          <t>GERAL</t>
        </is>
      </c>
      <c r="C2653" t="inlineStr">
        <is>
          <t>GLOBO AÇOS</t>
        </is>
      </c>
      <c r="D2653" t="inlineStr">
        <is>
          <t>FECHAMENTO</t>
        </is>
      </c>
      <c r="F2653">
        <f>IFERROR(INDEX('BASE METAS DIÁRIAS'!$AA$2:$AC$358,MATCH($A2653,'BASE METAS DIÁRIAS'!$A$2:$A$358,0),3),"")</f>
        <v/>
      </c>
      <c r="G2653">
        <f>IFERROR(IF(WEEKDAY($A2653,2)&lt;=INDEX('BASE METAS DIÁRIAS'!$X$2:$Z$358,MATCH($A2653,'BASE METAS DIÁRIAS'!$A$2:$A$358,0),3),INDEX('BASE METAS DIÁRIAS'!$U$2:$W$358,MATCH($A2653,'BASE METAS DIÁRIAS'!$A$2:$A$358,0),3),""),"")</f>
        <v/>
      </c>
      <c r="H2653">
        <f>IFERROR(IF(INDEX('CONTROLE PRODUÇÃO POR EMPRESAS'!$H$6:$J$5000,MATCH($A2653,'CONTROLE PRODUÇÃO POR EMPRESAS'!$A$6:$A$5000,0),3)="","",IFERROR(1*INDEX('CONTROLE PRODUÇÃO POR EMPRESAS'!$H$6:$J$5000,MATCH($A2653,'CONTROLE PRODUÇÃO POR EMPRESAS'!$A$6:$A$5000,0),3),"")),"")</f>
        <v/>
      </c>
      <c r="I2653">
        <f>IF(OR(NOT(ISNUMBER(G2653)),NOT(ISNUMBER(H2653))),"",H2653-G2653)</f>
        <v/>
      </c>
      <c r="J2653">
        <f>IF(OR(NOT(ISNUMBER(G2653)),NOT(ISNUMBER(H2653)),G2653=0),"",I2653/G2653)</f>
        <v/>
      </c>
      <c r="K2653">
        <f>IF(OR(NOT(ISNUMBER(G2653)),NOT(ISNUMBER(H2653)),G2653=0),"",H2653/G2653)</f>
        <v/>
      </c>
      <c r="L2653">
        <f>IF(NOT(ISNUMBER(G2653)),"SEM META",IF(G2653=0,"SEM META",IF(NOT(ISNUMBER(H2653)),"SEM APONTAMENTO",IF(H2653&gt;=G2653,"VERDE",IF(H2653&gt;=G2653*0.9,"AMARELO","VERMELHO")))))</f>
        <v/>
      </c>
    </row>
    <row r="2654">
      <c r="A2654" s="321" t="n">
        <v>46393</v>
      </c>
      <c r="B2654" t="inlineStr">
        <is>
          <t>GERAL</t>
        </is>
      </c>
      <c r="C2654" t="inlineStr">
        <is>
          <t>GLOBO AÇOS</t>
        </is>
      </c>
      <c r="D2654" t="inlineStr">
        <is>
          <t>PERFILAÇÃO</t>
        </is>
      </c>
      <c r="F2654">
        <f>IFERROR(INDEX('BASE METAS DIÁRIAS'!$AA$2:$AC$358,MATCH($A2654,'BASE METAS DIÁRIAS'!$A$2:$A$358,0),1),"")</f>
        <v/>
      </c>
      <c r="G2654">
        <f>IFERROR(IF(WEEKDAY($A2654,2)&lt;=INDEX('BASE METAS DIÁRIAS'!$X$2:$Z$358,MATCH($A2654,'BASE METAS DIÁRIAS'!$A$2:$A$358,0),1),INDEX('BASE METAS DIÁRIAS'!$U$2:$W$358,MATCH($A2654,'BASE METAS DIÁRIAS'!$A$2:$A$358,0),1),""),"")</f>
        <v/>
      </c>
      <c r="H2654">
        <f>IFERROR(IF(INDEX('CONTROLE PRODUÇÃO POR EMPRESAS'!$H$6:$J$5000,MATCH($A2654,'CONTROLE PRODUÇÃO POR EMPRESAS'!$A$6:$A$5000,0),1)="","",IFERROR(1*INDEX('CONTROLE PRODUÇÃO POR EMPRESAS'!$H$6:$J$5000,MATCH($A2654,'CONTROLE PRODUÇÃO POR EMPRESAS'!$A$6:$A$5000,0),1),"")),"")</f>
        <v/>
      </c>
      <c r="I2654">
        <f>IF(OR(NOT(ISNUMBER(G2654)),NOT(ISNUMBER(H2654))),"",H2654-G2654)</f>
        <v/>
      </c>
      <c r="J2654">
        <f>IF(OR(NOT(ISNUMBER(G2654)),NOT(ISNUMBER(H2654)),G2654=0),"",I2654/G2654)</f>
        <v/>
      </c>
      <c r="K2654">
        <f>IF(OR(NOT(ISNUMBER(G2654)),NOT(ISNUMBER(H2654)),G2654=0),"",H2654/G2654)</f>
        <v/>
      </c>
      <c r="L2654">
        <f>IF(NOT(ISNUMBER(G2654)),"SEM META",IF(G2654=0,"SEM META",IF(NOT(ISNUMBER(H2654)),"SEM APONTAMENTO",IF(H2654&gt;=G2654,"VERDE",IF(H2654&gt;=G2654*0.9,"AMARELO","VERMELHO")))))</f>
        <v/>
      </c>
    </row>
    <row r="2655">
      <c r="A2655" s="321" t="n">
        <v>46393</v>
      </c>
      <c r="B2655" t="inlineStr">
        <is>
          <t>GERAL</t>
        </is>
      </c>
      <c r="C2655" t="inlineStr">
        <is>
          <t>GLOBO AÇOS</t>
        </is>
      </c>
      <c r="D2655" t="inlineStr">
        <is>
          <t>TELHAR</t>
        </is>
      </c>
      <c r="F2655">
        <f>IFERROR(INDEX('BASE METAS DIÁRIAS'!$AA$2:$AC$358,MATCH($A2655,'BASE METAS DIÁRIAS'!$A$2:$A$358,0),2),"")</f>
        <v/>
      </c>
      <c r="G2655">
        <f>IFERROR(IF(WEEKDAY($A2655,2)&lt;=INDEX('BASE METAS DIÁRIAS'!$X$2:$Z$358,MATCH($A2655,'BASE METAS DIÁRIAS'!$A$2:$A$358,0),2),INDEX('BASE METAS DIÁRIAS'!$U$2:$W$358,MATCH($A2655,'BASE METAS DIÁRIAS'!$A$2:$A$358,0),2),""),"")</f>
        <v/>
      </c>
      <c r="H2655">
        <f>IFERROR(IF(INDEX('CONTROLE PRODUÇÃO POR EMPRESAS'!$H$6:$J$5000,MATCH($A2655,'CONTROLE PRODUÇÃO POR EMPRESAS'!$A$6:$A$5000,0),2)="","",IFERROR(1*INDEX('CONTROLE PRODUÇÃO POR EMPRESAS'!$H$6:$J$5000,MATCH($A2655,'CONTROLE PRODUÇÃO POR EMPRESAS'!$A$6:$A$5000,0),2),"")),"")</f>
        <v/>
      </c>
      <c r="I2655">
        <f>IF(OR(NOT(ISNUMBER(G2655)),NOT(ISNUMBER(H2655))),"",H2655-G2655)</f>
        <v/>
      </c>
      <c r="J2655">
        <f>IF(OR(NOT(ISNUMBER(G2655)),NOT(ISNUMBER(H2655)),G2655=0),"",I2655/G2655)</f>
        <v/>
      </c>
      <c r="K2655">
        <f>IF(OR(NOT(ISNUMBER(G2655)),NOT(ISNUMBER(H2655)),G2655=0),"",H2655/G2655)</f>
        <v/>
      </c>
      <c r="L2655">
        <f>IF(NOT(ISNUMBER(G2655)),"SEM META",IF(G2655=0,"SEM META",IF(NOT(ISNUMBER(H2655)),"SEM APONTAMENTO",IF(H2655&gt;=G2655,"VERDE",IF(H2655&gt;=G2655*0.9,"AMARELO","VERMELHO")))))</f>
        <v/>
      </c>
    </row>
    <row r="2656">
      <c r="A2656" s="321" t="n">
        <v>46393</v>
      </c>
      <c r="B2656" t="inlineStr">
        <is>
          <t>GERAL</t>
        </is>
      </c>
      <c r="C2656" t="inlineStr">
        <is>
          <t>GLOBO AÇOS</t>
        </is>
      </c>
      <c r="D2656" t="inlineStr">
        <is>
          <t>FECHAMENTO</t>
        </is>
      </c>
      <c r="F2656">
        <f>IFERROR(INDEX('BASE METAS DIÁRIAS'!$AA$2:$AC$358,MATCH($A2656,'BASE METAS DIÁRIAS'!$A$2:$A$358,0),3),"")</f>
        <v/>
      </c>
      <c r="G2656">
        <f>IFERROR(IF(WEEKDAY($A2656,2)&lt;=INDEX('BASE METAS DIÁRIAS'!$X$2:$Z$358,MATCH($A2656,'BASE METAS DIÁRIAS'!$A$2:$A$358,0),3),INDEX('BASE METAS DIÁRIAS'!$U$2:$W$358,MATCH($A2656,'BASE METAS DIÁRIAS'!$A$2:$A$358,0),3),""),"")</f>
        <v/>
      </c>
      <c r="H2656">
        <f>IFERROR(IF(INDEX('CONTROLE PRODUÇÃO POR EMPRESAS'!$H$6:$J$5000,MATCH($A2656,'CONTROLE PRODUÇÃO POR EMPRESAS'!$A$6:$A$5000,0),3)="","",IFERROR(1*INDEX('CONTROLE PRODUÇÃO POR EMPRESAS'!$H$6:$J$5000,MATCH($A2656,'CONTROLE PRODUÇÃO POR EMPRESAS'!$A$6:$A$5000,0),3),"")),"")</f>
        <v/>
      </c>
      <c r="I2656">
        <f>IF(OR(NOT(ISNUMBER(G2656)),NOT(ISNUMBER(H2656))),"",H2656-G2656)</f>
        <v/>
      </c>
      <c r="J2656">
        <f>IF(OR(NOT(ISNUMBER(G2656)),NOT(ISNUMBER(H2656)),G2656=0),"",I2656/G2656)</f>
        <v/>
      </c>
      <c r="K2656">
        <f>IF(OR(NOT(ISNUMBER(G2656)),NOT(ISNUMBER(H2656)),G2656=0),"",H2656/G2656)</f>
        <v/>
      </c>
      <c r="L2656">
        <f>IF(NOT(ISNUMBER(G2656)),"SEM META",IF(G2656=0,"SEM META",IF(NOT(ISNUMBER(H2656)),"SEM APONTAMENTO",IF(H2656&gt;=G2656,"VERDE",IF(H2656&gt;=G2656*0.9,"AMARELO","VERMELHO")))))</f>
        <v/>
      </c>
    </row>
    <row r="2657">
      <c r="A2657" s="321" t="n">
        <v>46394</v>
      </c>
      <c r="B2657" t="inlineStr">
        <is>
          <t>GERAL</t>
        </is>
      </c>
      <c r="C2657" t="inlineStr">
        <is>
          <t>GLOBO AÇOS</t>
        </is>
      </c>
      <c r="D2657" t="inlineStr">
        <is>
          <t>PERFILAÇÃO</t>
        </is>
      </c>
      <c r="F2657">
        <f>IFERROR(INDEX('BASE METAS DIÁRIAS'!$AA$2:$AC$358,MATCH($A2657,'BASE METAS DIÁRIAS'!$A$2:$A$358,0),1),"")</f>
        <v/>
      </c>
      <c r="G2657">
        <f>IFERROR(IF(WEEKDAY($A2657,2)&lt;=INDEX('BASE METAS DIÁRIAS'!$X$2:$Z$358,MATCH($A2657,'BASE METAS DIÁRIAS'!$A$2:$A$358,0),1),INDEX('BASE METAS DIÁRIAS'!$U$2:$W$358,MATCH($A2657,'BASE METAS DIÁRIAS'!$A$2:$A$358,0),1),""),"")</f>
        <v/>
      </c>
      <c r="H2657">
        <f>IFERROR(IF(INDEX('CONTROLE PRODUÇÃO POR EMPRESAS'!$H$6:$J$5000,MATCH($A2657,'CONTROLE PRODUÇÃO POR EMPRESAS'!$A$6:$A$5000,0),1)="","",IFERROR(1*INDEX('CONTROLE PRODUÇÃO POR EMPRESAS'!$H$6:$J$5000,MATCH($A2657,'CONTROLE PRODUÇÃO POR EMPRESAS'!$A$6:$A$5000,0),1),"")),"")</f>
        <v/>
      </c>
      <c r="I2657">
        <f>IF(OR(NOT(ISNUMBER(G2657)),NOT(ISNUMBER(H2657))),"",H2657-G2657)</f>
        <v/>
      </c>
      <c r="J2657">
        <f>IF(OR(NOT(ISNUMBER(G2657)),NOT(ISNUMBER(H2657)),G2657=0),"",I2657/G2657)</f>
        <v/>
      </c>
      <c r="K2657">
        <f>IF(OR(NOT(ISNUMBER(G2657)),NOT(ISNUMBER(H2657)),G2657=0),"",H2657/G2657)</f>
        <v/>
      </c>
      <c r="L2657">
        <f>IF(NOT(ISNUMBER(G2657)),"SEM META",IF(G2657=0,"SEM META",IF(NOT(ISNUMBER(H2657)),"SEM APONTAMENTO",IF(H2657&gt;=G2657,"VERDE",IF(H2657&gt;=G2657*0.9,"AMARELO","VERMELHO")))))</f>
        <v/>
      </c>
    </row>
    <row r="2658">
      <c r="A2658" s="321" t="n">
        <v>46394</v>
      </c>
      <c r="B2658" t="inlineStr">
        <is>
          <t>GERAL</t>
        </is>
      </c>
      <c r="C2658" t="inlineStr">
        <is>
          <t>GLOBO AÇOS</t>
        </is>
      </c>
      <c r="D2658" t="inlineStr">
        <is>
          <t>TELHAR</t>
        </is>
      </c>
      <c r="F2658">
        <f>IFERROR(INDEX('BASE METAS DIÁRIAS'!$AA$2:$AC$358,MATCH($A2658,'BASE METAS DIÁRIAS'!$A$2:$A$358,0),2),"")</f>
        <v/>
      </c>
      <c r="G2658">
        <f>IFERROR(IF(WEEKDAY($A2658,2)&lt;=INDEX('BASE METAS DIÁRIAS'!$X$2:$Z$358,MATCH($A2658,'BASE METAS DIÁRIAS'!$A$2:$A$358,0),2),INDEX('BASE METAS DIÁRIAS'!$U$2:$W$358,MATCH($A2658,'BASE METAS DIÁRIAS'!$A$2:$A$358,0),2),""),"")</f>
        <v/>
      </c>
      <c r="H2658">
        <f>IFERROR(IF(INDEX('CONTROLE PRODUÇÃO POR EMPRESAS'!$H$6:$J$5000,MATCH($A2658,'CONTROLE PRODUÇÃO POR EMPRESAS'!$A$6:$A$5000,0),2)="","",IFERROR(1*INDEX('CONTROLE PRODUÇÃO POR EMPRESAS'!$H$6:$J$5000,MATCH($A2658,'CONTROLE PRODUÇÃO POR EMPRESAS'!$A$6:$A$5000,0),2),"")),"")</f>
        <v/>
      </c>
      <c r="I2658">
        <f>IF(OR(NOT(ISNUMBER(G2658)),NOT(ISNUMBER(H2658))),"",H2658-G2658)</f>
        <v/>
      </c>
      <c r="J2658">
        <f>IF(OR(NOT(ISNUMBER(G2658)),NOT(ISNUMBER(H2658)),G2658=0),"",I2658/G2658)</f>
        <v/>
      </c>
      <c r="K2658">
        <f>IF(OR(NOT(ISNUMBER(G2658)),NOT(ISNUMBER(H2658)),G2658=0),"",H2658/G2658)</f>
        <v/>
      </c>
      <c r="L2658">
        <f>IF(NOT(ISNUMBER(G2658)),"SEM META",IF(G2658=0,"SEM META",IF(NOT(ISNUMBER(H2658)),"SEM APONTAMENTO",IF(H2658&gt;=G2658,"VERDE",IF(H2658&gt;=G2658*0.9,"AMARELO","VERMELHO")))))</f>
        <v/>
      </c>
    </row>
    <row r="2659">
      <c r="A2659" s="321" t="n">
        <v>46394</v>
      </c>
      <c r="B2659" t="inlineStr">
        <is>
          <t>GERAL</t>
        </is>
      </c>
      <c r="C2659" t="inlineStr">
        <is>
          <t>GLOBO AÇOS</t>
        </is>
      </c>
      <c r="D2659" t="inlineStr">
        <is>
          <t>FECHAMENTO</t>
        </is>
      </c>
      <c r="F2659">
        <f>IFERROR(INDEX('BASE METAS DIÁRIAS'!$AA$2:$AC$358,MATCH($A2659,'BASE METAS DIÁRIAS'!$A$2:$A$358,0),3),"")</f>
        <v/>
      </c>
      <c r="G2659">
        <f>IFERROR(IF(WEEKDAY($A2659,2)&lt;=INDEX('BASE METAS DIÁRIAS'!$X$2:$Z$358,MATCH($A2659,'BASE METAS DIÁRIAS'!$A$2:$A$358,0),3),INDEX('BASE METAS DIÁRIAS'!$U$2:$W$358,MATCH($A2659,'BASE METAS DIÁRIAS'!$A$2:$A$358,0),3),""),"")</f>
        <v/>
      </c>
      <c r="H2659">
        <f>IFERROR(IF(INDEX('CONTROLE PRODUÇÃO POR EMPRESAS'!$H$6:$J$5000,MATCH($A2659,'CONTROLE PRODUÇÃO POR EMPRESAS'!$A$6:$A$5000,0),3)="","",IFERROR(1*INDEX('CONTROLE PRODUÇÃO POR EMPRESAS'!$H$6:$J$5000,MATCH($A2659,'CONTROLE PRODUÇÃO POR EMPRESAS'!$A$6:$A$5000,0),3),"")),"")</f>
        <v/>
      </c>
      <c r="I2659">
        <f>IF(OR(NOT(ISNUMBER(G2659)),NOT(ISNUMBER(H2659))),"",H2659-G2659)</f>
        <v/>
      </c>
      <c r="J2659">
        <f>IF(OR(NOT(ISNUMBER(G2659)),NOT(ISNUMBER(H2659)),G2659=0),"",I2659/G2659)</f>
        <v/>
      </c>
      <c r="K2659">
        <f>IF(OR(NOT(ISNUMBER(G2659)),NOT(ISNUMBER(H2659)),G2659=0),"",H2659/G2659)</f>
        <v/>
      </c>
      <c r="L2659">
        <f>IF(NOT(ISNUMBER(G2659)),"SEM META",IF(G2659=0,"SEM META",IF(NOT(ISNUMBER(H2659)),"SEM APONTAMENTO",IF(H2659&gt;=G2659,"VERDE",IF(H2659&gt;=G2659*0.9,"AMARELO","VERMELHO")))))</f>
        <v/>
      </c>
    </row>
    <row r="2660">
      <c r="A2660" s="321" t="n">
        <v>46395</v>
      </c>
      <c r="B2660" t="inlineStr">
        <is>
          <t>GERAL</t>
        </is>
      </c>
      <c r="C2660" t="inlineStr">
        <is>
          <t>GLOBO AÇOS</t>
        </is>
      </c>
      <c r="D2660" t="inlineStr">
        <is>
          <t>PERFILAÇÃO</t>
        </is>
      </c>
      <c r="F2660">
        <f>IFERROR(INDEX('BASE METAS DIÁRIAS'!$AA$2:$AC$358,MATCH($A2660,'BASE METAS DIÁRIAS'!$A$2:$A$358,0),1),"")</f>
        <v/>
      </c>
      <c r="G2660">
        <f>IFERROR(IF(WEEKDAY($A2660,2)&lt;=INDEX('BASE METAS DIÁRIAS'!$X$2:$Z$358,MATCH($A2660,'BASE METAS DIÁRIAS'!$A$2:$A$358,0),1),INDEX('BASE METAS DIÁRIAS'!$U$2:$W$358,MATCH($A2660,'BASE METAS DIÁRIAS'!$A$2:$A$358,0),1),""),"")</f>
        <v/>
      </c>
      <c r="H2660">
        <f>IFERROR(IF(INDEX('CONTROLE PRODUÇÃO POR EMPRESAS'!$H$6:$J$5000,MATCH($A2660,'CONTROLE PRODUÇÃO POR EMPRESAS'!$A$6:$A$5000,0),1)="","",IFERROR(1*INDEX('CONTROLE PRODUÇÃO POR EMPRESAS'!$H$6:$J$5000,MATCH($A2660,'CONTROLE PRODUÇÃO POR EMPRESAS'!$A$6:$A$5000,0),1),"")),"")</f>
        <v/>
      </c>
      <c r="I2660">
        <f>IF(OR(NOT(ISNUMBER(G2660)),NOT(ISNUMBER(H2660))),"",H2660-G2660)</f>
        <v/>
      </c>
      <c r="J2660">
        <f>IF(OR(NOT(ISNUMBER(G2660)),NOT(ISNUMBER(H2660)),G2660=0),"",I2660/G2660)</f>
        <v/>
      </c>
      <c r="K2660">
        <f>IF(OR(NOT(ISNUMBER(G2660)),NOT(ISNUMBER(H2660)),G2660=0),"",H2660/G2660)</f>
        <v/>
      </c>
      <c r="L2660">
        <f>IF(NOT(ISNUMBER(G2660)),"SEM META",IF(G2660=0,"SEM META",IF(NOT(ISNUMBER(H2660)),"SEM APONTAMENTO",IF(H2660&gt;=G2660,"VERDE",IF(H2660&gt;=G2660*0.9,"AMARELO","VERMELHO")))))</f>
        <v/>
      </c>
    </row>
    <row r="2661">
      <c r="A2661" s="321" t="n">
        <v>46395</v>
      </c>
      <c r="B2661" t="inlineStr">
        <is>
          <t>GERAL</t>
        </is>
      </c>
      <c r="C2661" t="inlineStr">
        <is>
          <t>GLOBO AÇOS</t>
        </is>
      </c>
      <c r="D2661" t="inlineStr">
        <is>
          <t>TELHAR</t>
        </is>
      </c>
      <c r="F2661">
        <f>IFERROR(INDEX('BASE METAS DIÁRIAS'!$AA$2:$AC$358,MATCH($A2661,'BASE METAS DIÁRIAS'!$A$2:$A$358,0),2),"")</f>
        <v/>
      </c>
      <c r="G2661">
        <f>IFERROR(IF(WEEKDAY($A2661,2)&lt;=INDEX('BASE METAS DIÁRIAS'!$X$2:$Z$358,MATCH($A2661,'BASE METAS DIÁRIAS'!$A$2:$A$358,0),2),INDEX('BASE METAS DIÁRIAS'!$U$2:$W$358,MATCH($A2661,'BASE METAS DIÁRIAS'!$A$2:$A$358,0),2),""),"")</f>
        <v/>
      </c>
      <c r="H2661">
        <f>IFERROR(IF(INDEX('CONTROLE PRODUÇÃO POR EMPRESAS'!$H$6:$J$5000,MATCH($A2661,'CONTROLE PRODUÇÃO POR EMPRESAS'!$A$6:$A$5000,0),2)="","",IFERROR(1*INDEX('CONTROLE PRODUÇÃO POR EMPRESAS'!$H$6:$J$5000,MATCH($A2661,'CONTROLE PRODUÇÃO POR EMPRESAS'!$A$6:$A$5000,0),2),"")),"")</f>
        <v/>
      </c>
      <c r="I2661">
        <f>IF(OR(NOT(ISNUMBER(G2661)),NOT(ISNUMBER(H2661))),"",H2661-G2661)</f>
        <v/>
      </c>
      <c r="J2661">
        <f>IF(OR(NOT(ISNUMBER(G2661)),NOT(ISNUMBER(H2661)),G2661=0),"",I2661/G2661)</f>
        <v/>
      </c>
      <c r="K2661">
        <f>IF(OR(NOT(ISNUMBER(G2661)),NOT(ISNUMBER(H2661)),G2661=0),"",H2661/G2661)</f>
        <v/>
      </c>
      <c r="L2661">
        <f>IF(NOT(ISNUMBER(G2661)),"SEM META",IF(G2661=0,"SEM META",IF(NOT(ISNUMBER(H2661)),"SEM APONTAMENTO",IF(H2661&gt;=G2661,"VERDE",IF(H2661&gt;=G2661*0.9,"AMARELO","VERMELHO")))))</f>
        <v/>
      </c>
    </row>
    <row r="2662">
      <c r="A2662" s="321" t="n">
        <v>46395</v>
      </c>
      <c r="B2662" t="inlineStr">
        <is>
          <t>GERAL</t>
        </is>
      </c>
      <c r="C2662" t="inlineStr">
        <is>
          <t>GLOBO AÇOS</t>
        </is>
      </c>
      <c r="D2662" t="inlineStr">
        <is>
          <t>FECHAMENTO</t>
        </is>
      </c>
      <c r="F2662">
        <f>IFERROR(INDEX('BASE METAS DIÁRIAS'!$AA$2:$AC$358,MATCH($A2662,'BASE METAS DIÁRIAS'!$A$2:$A$358,0),3),"")</f>
        <v/>
      </c>
      <c r="G2662">
        <f>IFERROR(IF(WEEKDAY($A2662,2)&lt;=INDEX('BASE METAS DIÁRIAS'!$X$2:$Z$358,MATCH($A2662,'BASE METAS DIÁRIAS'!$A$2:$A$358,0),3),INDEX('BASE METAS DIÁRIAS'!$U$2:$W$358,MATCH($A2662,'BASE METAS DIÁRIAS'!$A$2:$A$358,0),3),""),"")</f>
        <v/>
      </c>
      <c r="H2662">
        <f>IFERROR(IF(INDEX('CONTROLE PRODUÇÃO POR EMPRESAS'!$H$6:$J$5000,MATCH($A2662,'CONTROLE PRODUÇÃO POR EMPRESAS'!$A$6:$A$5000,0),3)="","",IFERROR(1*INDEX('CONTROLE PRODUÇÃO POR EMPRESAS'!$H$6:$J$5000,MATCH($A2662,'CONTROLE PRODUÇÃO POR EMPRESAS'!$A$6:$A$5000,0),3),"")),"")</f>
        <v/>
      </c>
      <c r="I2662">
        <f>IF(OR(NOT(ISNUMBER(G2662)),NOT(ISNUMBER(H2662))),"",H2662-G2662)</f>
        <v/>
      </c>
      <c r="J2662">
        <f>IF(OR(NOT(ISNUMBER(G2662)),NOT(ISNUMBER(H2662)),G2662=0),"",I2662/G2662)</f>
        <v/>
      </c>
      <c r="K2662">
        <f>IF(OR(NOT(ISNUMBER(G2662)),NOT(ISNUMBER(H2662)),G2662=0),"",H2662/G2662)</f>
        <v/>
      </c>
      <c r="L2662">
        <f>IF(NOT(ISNUMBER(G2662)),"SEM META",IF(G2662=0,"SEM META",IF(NOT(ISNUMBER(H2662)),"SEM APONTAMENTO",IF(H2662&gt;=G2662,"VERDE",IF(H2662&gt;=G2662*0.9,"AMARELO","VERMELHO")))))</f>
        <v/>
      </c>
    </row>
    <row r="2663">
      <c r="A2663" s="321" t="n">
        <v>46396</v>
      </c>
      <c r="B2663" t="inlineStr">
        <is>
          <t>GERAL</t>
        </is>
      </c>
      <c r="C2663" t="inlineStr">
        <is>
          <t>GLOBO AÇOS</t>
        </is>
      </c>
      <c r="D2663" t="inlineStr">
        <is>
          <t>PERFILAÇÃO</t>
        </is>
      </c>
      <c r="F2663">
        <f>IFERROR(INDEX('BASE METAS DIÁRIAS'!$AA$2:$AC$358,MATCH($A2663,'BASE METAS DIÁRIAS'!$A$2:$A$358,0),1),"")</f>
        <v/>
      </c>
      <c r="G2663">
        <f>IFERROR(IF(WEEKDAY($A2663,2)&lt;=INDEX('BASE METAS DIÁRIAS'!$X$2:$Z$358,MATCH($A2663,'BASE METAS DIÁRIAS'!$A$2:$A$358,0),1),INDEX('BASE METAS DIÁRIAS'!$U$2:$W$358,MATCH($A2663,'BASE METAS DIÁRIAS'!$A$2:$A$358,0),1),""),"")</f>
        <v/>
      </c>
      <c r="H2663">
        <f>IFERROR(IF(INDEX('CONTROLE PRODUÇÃO POR EMPRESAS'!$H$6:$J$5000,MATCH($A2663,'CONTROLE PRODUÇÃO POR EMPRESAS'!$A$6:$A$5000,0),1)="","",IFERROR(1*INDEX('CONTROLE PRODUÇÃO POR EMPRESAS'!$H$6:$J$5000,MATCH($A2663,'CONTROLE PRODUÇÃO POR EMPRESAS'!$A$6:$A$5000,0),1),"")),"")</f>
        <v/>
      </c>
      <c r="I2663">
        <f>IF(OR(NOT(ISNUMBER(G2663)),NOT(ISNUMBER(H2663))),"",H2663-G2663)</f>
        <v/>
      </c>
      <c r="J2663">
        <f>IF(OR(NOT(ISNUMBER(G2663)),NOT(ISNUMBER(H2663)),G2663=0),"",I2663/G2663)</f>
        <v/>
      </c>
      <c r="K2663">
        <f>IF(OR(NOT(ISNUMBER(G2663)),NOT(ISNUMBER(H2663)),G2663=0),"",H2663/G2663)</f>
        <v/>
      </c>
      <c r="L2663">
        <f>IF(NOT(ISNUMBER(G2663)),"SEM META",IF(G2663=0,"SEM META",IF(NOT(ISNUMBER(H2663)),"SEM APONTAMENTO",IF(H2663&gt;=G2663,"VERDE",IF(H2663&gt;=G2663*0.9,"AMARELO","VERMELHO")))))</f>
        <v/>
      </c>
    </row>
    <row r="2664">
      <c r="A2664" s="321" t="n">
        <v>46396</v>
      </c>
      <c r="B2664" t="inlineStr">
        <is>
          <t>GERAL</t>
        </is>
      </c>
      <c r="C2664" t="inlineStr">
        <is>
          <t>GLOBO AÇOS</t>
        </is>
      </c>
      <c r="D2664" t="inlineStr">
        <is>
          <t>TELHAR</t>
        </is>
      </c>
      <c r="F2664">
        <f>IFERROR(INDEX('BASE METAS DIÁRIAS'!$AA$2:$AC$358,MATCH($A2664,'BASE METAS DIÁRIAS'!$A$2:$A$358,0),2),"")</f>
        <v/>
      </c>
      <c r="G2664">
        <f>IFERROR(IF(WEEKDAY($A2664,2)&lt;=INDEX('BASE METAS DIÁRIAS'!$X$2:$Z$358,MATCH($A2664,'BASE METAS DIÁRIAS'!$A$2:$A$358,0),2),INDEX('BASE METAS DIÁRIAS'!$U$2:$W$358,MATCH($A2664,'BASE METAS DIÁRIAS'!$A$2:$A$358,0),2),""),"")</f>
        <v/>
      </c>
      <c r="H2664">
        <f>IFERROR(IF(INDEX('CONTROLE PRODUÇÃO POR EMPRESAS'!$H$6:$J$5000,MATCH($A2664,'CONTROLE PRODUÇÃO POR EMPRESAS'!$A$6:$A$5000,0),2)="","",IFERROR(1*INDEX('CONTROLE PRODUÇÃO POR EMPRESAS'!$H$6:$J$5000,MATCH($A2664,'CONTROLE PRODUÇÃO POR EMPRESAS'!$A$6:$A$5000,0),2),"")),"")</f>
        <v/>
      </c>
      <c r="I2664">
        <f>IF(OR(NOT(ISNUMBER(G2664)),NOT(ISNUMBER(H2664))),"",H2664-G2664)</f>
        <v/>
      </c>
      <c r="J2664">
        <f>IF(OR(NOT(ISNUMBER(G2664)),NOT(ISNUMBER(H2664)),G2664=0),"",I2664/G2664)</f>
        <v/>
      </c>
      <c r="K2664">
        <f>IF(OR(NOT(ISNUMBER(G2664)),NOT(ISNUMBER(H2664)),G2664=0),"",H2664/G2664)</f>
        <v/>
      </c>
      <c r="L2664">
        <f>IF(NOT(ISNUMBER(G2664)),"SEM META",IF(G2664=0,"SEM META",IF(NOT(ISNUMBER(H2664)),"SEM APONTAMENTO",IF(H2664&gt;=G2664,"VERDE",IF(H2664&gt;=G2664*0.9,"AMARELO","VERMELHO")))))</f>
        <v/>
      </c>
    </row>
    <row r="2665">
      <c r="A2665" s="321" t="n">
        <v>46396</v>
      </c>
      <c r="B2665" t="inlineStr">
        <is>
          <t>GERAL</t>
        </is>
      </c>
      <c r="C2665" t="inlineStr">
        <is>
          <t>GLOBO AÇOS</t>
        </is>
      </c>
      <c r="D2665" t="inlineStr">
        <is>
          <t>FECHAMENTO</t>
        </is>
      </c>
      <c r="F2665">
        <f>IFERROR(INDEX('BASE METAS DIÁRIAS'!$AA$2:$AC$358,MATCH($A2665,'BASE METAS DIÁRIAS'!$A$2:$A$358,0),3),"")</f>
        <v/>
      </c>
      <c r="G2665">
        <f>IFERROR(IF(WEEKDAY($A2665,2)&lt;=INDEX('BASE METAS DIÁRIAS'!$X$2:$Z$358,MATCH($A2665,'BASE METAS DIÁRIAS'!$A$2:$A$358,0),3),INDEX('BASE METAS DIÁRIAS'!$U$2:$W$358,MATCH($A2665,'BASE METAS DIÁRIAS'!$A$2:$A$358,0),3),""),"")</f>
        <v/>
      </c>
      <c r="H2665">
        <f>IFERROR(IF(INDEX('CONTROLE PRODUÇÃO POR EMPRESAS'!$H$6:$J$5000,MATCH($A2665,'CONTROLE PRODUÇÃO POR EMPRESAS'!$A$6:$A$5000,0),3)="","",IFERROR(1*INDEX('CONTROLE PRODUÇÃO POR EMPRESAS'!$H$6:$J$5000,MATCH($A2665,'CONTROLE PRODUÇÃO POR EMPRESAS'!$A$6:$A$5000,0),3),"")),"")</f>
        <v/>
      </c>
      <c r="I2665">
        <f>IF(OR(NOT(ISNUMBER(G2665)),NOT(ISNUMBER(H2665))),"",H2665-G2665)</f>
        <v/>
      </c>
      <c r="J2665">
        <f>IF(OR(NOT(ISNUMBER(G2665)),NOT(ISNUMBER(H2665)),G2665=0),"",I2665/G2665)</f>
        <v/>
      </c>
      <c r="K2665">
        <f>IF(OR(NOT(ISNUMBER(G2665)),NOT(ISNUMBER(H2665)),G2665=0),"",H2665/G2665)</f>
        <v/>
      </c>
      <c r="L2665">
        <f>IF(NOT(ISNUMBER(G2665)),"SEM META",IF(G2665=0,"SEM META",IF(NOT(ISNUMBER(H2665)),"SEM APONTAMENTO",IF(H2665&gt;=G2665,"VERDE",IF(H2665&gt;=G2665*0.9,"AMARELO","VERMELHO")))))</f>
        <v/>
      </c>
    </row>
    <row r="2666">
      <c r="A2666" s="321" t="n">
        <v>46397</v>
      </c>
      <c r="B2666" t="inlineStr">
        <is>
          <t>GERAL</t>
        </is>
      </c>
      <c r="C2666" t="inlineStr">
        <is>
          <t>GLOBO AÇOS</t>
        </is>
      </c>
      <c r="D2666" t="inlineStr">
        <is>
          <t>PERFILAÇÃO</t>
        </is>
      </c>
      <c r="F2666">
        <f>IFERROR(INDEX('BASE METAS DIÁRIAS'!$AA$2:$AC$358,MATCH($A2666,'BASE METAS DIÁRIAS'!$A$2:$A$358,0),1),"")</f>
        <v/>
      </c>
      <c r="G2666">
        <f>IFERROR(IF(WEEKDAY($A2666,2)&lt;=INDEX('BASE METAS DIÁRIAS'!$X$2:$Z$358,MATCH($A2666,'BASE METAS DIÁRIAS'!$A$2:$A$358,0),1),INDEX('BASE METAS DIÁRIAS'!$U$2:$W$358,MATCH($A2666,'BASE METAS DIÁRIAS'!$A$2:$A$358,0),1),""),"")</f>
        <v/>
      </c>
      <c r="H2666">
        <f>IFERROR(IF(INDEX('CONTROLE PRODUÇÃO POR EMPRESAS'!$H$6:$J$5000,MATCH($A2666,'CONTROLE PRODUÇÃO POR EMPRESAS'!$A$6:$A$5000,0),1)="","",IFERROR(1*INDEX('CONTROLE PRODUÇÃO POR EMPRESAS'!$H$6:$J$5000,MATCH($A2666,'CONTROLE PRODUÇÃO POR EMPRESAS'!$A$6:$A$5000,0),1),"")),"")</f>
        <v/>
      </c>
      <c r="I2666">
        <f>IF(OR(NOT(ISNUMBER(G2666)),NOT(ISNUMBER(H2666))),"",H2666-G2666)</f>
        <v/>
      </c>
      <c r="J2666">
        <f>IF(OR(NOT(ISNUMBER(G2666)),NOT(ISNUMBER(H2666)),G2666=0),"",I2666/G2666)</f>
        <v/>
      </c>
      <c r="K2666">
        <f>IF(OR(NOT(ISNUMBER(G2666)),NOT(ISNUMBER(H2666)),G2666=0),"",H2666/G2666)</f>
        <v/>
      </c>
      <c r="L2666">
        <f>IF(NOT(ISNUMBER(G2666)),"SEM META",IF(G2666=0,"SEM META",IF(NOT(ISNUMBER(H2666)),"SEM APONTAMENTO",IF(H2666&gt;=G2666,"VERDE",IF(H2666&gt;=G2666*0.9,"AMARELO","VERMELHO")))))</f>
        <v/>
      </c>
    </row>
    <row r="2667">
      <c r="A2667" s="321" t="n">
        <v>46397</v>
      </c>
      <c r="B2667" t="inlineStr">
        <is>
          <t>GERAL</t>
        </is>
      </c>
      <c r="C2667" t="inlineStr">
        <is>
          <t>GLOBO AÇOS</t>
        </is>
      </c>
      <c r="D2667" t="inlineStr">
        <is>
          <t>TELHAR</t>
        </is>
      </c>
      <c r="F2667">
        <f>IFERROR(INDEX('BASE METAS DIÁRIAS'!$AA$2:$AC$358,MATCH($A2667,'BASE METAS DIÁRIAS'!$A$2:$A$358,0),2),"")</f>
        <v/>
      </c>
      <c r="G2667">
        <f>IFERROR(IF(WEEKDAY($A2667,2)&lt;=INDEX('BASE METAS DIÁRIAS'!$X$2:$Z$358,MATCH($A2667,'BASE METAS DIÁRIAS'!$A$2:$A$358,0),2),INDEX('BASE METAS DIÁRIAS'!$U$2:$W$358,MATCH($A2667,'BASE METAS DIÁRIAS'!$A$2:$A$358,0),2),""),"")</f>
        <v/>
      </c>
      <c r="H2667">
        <f>IFERROR(IF(INDEX('CONTROLE PRODUÇÃO POR EMPRESAS'!$H$6:$J$5000,MATCH($A2667,'CONTROLE PRODUÇÃO POR EMPRESAS'!$A$6:$A$5000,0),2)="","",IFERROR(1*INDEX('CONTROLE PRODUÇÃO POR EMPRESAS'!$H$6:$J$5000,MATCH($A2667,'CONTROLE PRODUÇÃO POR EMPRESAS'!$A$6:$A$5000,0),2),"")),"")</f>
        <v/>
      </c>
      <c r="I2667">
        <f>IF(OR(NOT(ISNUMBER(G2667)),NOT(ISNUMBER(H2667))),"",H2667-G2667)</f>
        <v/>
      </c>
      <c r="J2667">
        <f>IF(OR(NOT(ISNUMBER(G2667)),NOT(ISNUMBER(H2667)),G2667=0),"",I2667/G2667)</f>
        <v/>
      </c>
      <c r="K2667">
        <f>IF(OR(NOT(ISNUMBER(G2667)),NOT(ISNUMBER(H2667)),G2667=0),"",H2667/G2667)</f>
        <v/>
      </c>
      <c r="L2667">
        <f>IF(NOT(ISNUMBER(G2667)),"SEM META",IF(G2667=0,"SEM META",IF(NOT(ISNUMBER(H2667)),"SEM APONTAMENTO",IF(H2667&gt;=G2667,"VERDE",IF(H2667&gt;=G2667*0.9,"AMARELO","VERMELHO")))))</f>
        <v/>
      </c>
    </row>
    <row r="2668">
      <c r="A2668" s="321" t="n">
        <v>46397</v>
      </c>
      <c r="B2668" t="inlineStr">
        <is>
          <t>GERAL</t>
        </is>
      </c>
      <c r="C2668" t="inlineStr">
        <is>
          <t>GLOBO AÇOS</t>
        </is>
      </c>
      <c r="D2668" t="inlineStr">
        <is>
          <t>FECHAMENTO</t>
        </is>
      </c>
      <c r="F2668">
        <f>IFERROR(INDEX('BASE METAS DIÁRIAS'!$AA$2:$AC$358,MATCH($A2668,'BASE METAS DIÁRIAS'!$A$2:$A$358,0),3),"")</f>
        <v/>
      </c>
      <c r="G2668">
        <f>IFERROR(IF(WEEKDAY($A2668,2)&lt;=INDEX('BASE METAS DIÁRIAS'!$X$2:$Z$358,MATCH($A2668,'BASE METAS DIÁRIAS'!$A$2:$A$358,0),3),INDEX('BASE METAS DIÁRIAS'!$U$2:$W$358,MATCH($A2668,'BASE METAS DIÁRIAS'!$A$2:$A$358,0),3),""),"")</f>
        <v/>
      </c>
      <c r="H2668">
        <f>IFERROR(IF(INDEX('CONTROLE PRODUÇÃO POR EMPRESAS'!$H$6:$J$5000,MATCH($A2668,'CONTROLE PRODUÇÃO POR EMPRESAS'!$A$6:$A$5000,0),3)="","",IFERROR(1*INDEX('CONTROLE PRODUÇÃO POR EMPRESAS'!$H$6:$J$5000,MATCH($A2668,'CONTROLE PRODUÇÃO POR EMPRESAS'!$A$6:$A$5000,0),3),"")),"")</f>
        <v/>
      </c>
      <c r="I2668">
        <f>IF(OR(NOT(ISNUMBER(G2668)),NOT(ISNUMBER(H2668))),"",H2668-G2668)</f>
        <v/>
      </c>
      <c r="J2668">
        <f>IF(OR(NOT(ISNUMBER(G2668)),NOT(ISNUMBER(H2668)),G2668=0),"",I2668/G2668)</f>
        <v/>
      </c>
      <c r="K2668">
        <f>IF(OR(NOT(ISNUMBER(G2668)),NOT(ISNUMBER(H2668)),G2668=0),"",H2668/G2668)</f>
        <v/>
      </c>
      <c r="L2668">
        <f>IF(NOT(ISNUMBER(G2668)),"SEM META",IF(G2668=0,"SEM META",IF(NOT(ISNUMBER(H2668)),"SEM APONTAMENTO",IF(H2668&gt;=G2668,"VERDE",IF(H2668&gt;=G2668*0.9,"AMARELO","VERMELHO")))))</f>
        <v/>
      </c>
    </row>
    <row r="2669">
      <c r="A2669" s="321" t="n">
        <v>46398</v>
      </c>
      <c r="B2669" t="inlineStr">
        <is>
          <t>GERAL</t>
        </is>
      </c>
      <c r="C2669" t="inlineStr">
        <is>
          <t>GLOBO AÇOS</t>
        </is>
      </c>
      <c r="D2669" t="inlineStr">
        <is>
          <t>PERFILAÇÃO</t>
        </is>
      </c>
      <c r="F2669">
        <f>IFERROR(INDEX('BASE METAS DIÁRIAS'!$AA$2:$AC$358,MATCH($A2669,'BASE METAS DIÁRIAS'!$A$2:$A$358,0),1),"")</f>
        <v/>
      </c>
      <c r="G2669">
        <f>IFERROR(IF(WEEKDAY($A2669,2)&lt;=INDEX('BASE METAS DIÁRIAS'!$X$2:$Z$358,MATCH($A2669,'BASE METAS DIÁRIAS'!$A$2:$A$358,0),1),INDEX('BASE METAS DIÁRIAS'!$U$2:$W$358,MATCH($A2669,'BASE METAS DIÁRIAS'!$A$2:$A$358,0),1),""),"")</f>
        <v/>
      </c>
      <c r="H2669">
        <f>IFERROR(IF(INDEX('CONTROLE PRODUÇÃO POR EMPRESAS'!$H$6:$J$5000,MATCH($A2669,'CONTROLE PRODUÇÃO POR EMPRESAS'!$A$6:$A$5000,0),1)="","",IFERROR(1*INDEX('CONTROLE PRODUÇÃO POR EMPRESAS'!$H$6:$J$5000,MATCH($A2669,'CONTROLE PRODUÇÃO POR EMPRESAS'!$A$6:$A$5000,0),1),"")),"")</f>
        <v/>
      </c>
      <c r="I2669">
        <f>IF(OR(NOT(ISNUMBER(G2669)),NOT(ISNUMBER(H2669))),"",H2669-G2669)</f>
        <v/>
      </c>
      <c r="J2669">
        <f>IF(OR(NOT(ISNUMBER(G2669)),NOT(ISNUMBER(H2669)),G2669=0),"",I2669/G2669)</f>
        <v/>
      </c>
      <c r="K2669">
        <f>IF(OR(NOT(ISNUMBER(G2669)),NOT(ISNUMBER(H2669)),G2669=0),"",H2669/G2669)</f>
        <v/>
      </c>
      <c r="L2669">
        <f>IF(NOT(ISNUMBER(G2669)),"SEM META",IF(G2669=0,"SEM META",IF(NOT(ISNUMBER(H2669)),"SEM APONTAMENTO",IF(H2669&gt;=G2669,"VERDE",IF(H2669&gt;=G2669*0.9,"AMARELO","VERMELHO")))))</f>
        <v/>
      </c>
    </row>
    <row r="2670">
      <c r="A2670" s="321" t="n">
        <v>46398</v>
      </c>
      <c r="B2670" t="inlineStr">
        <is>
          <t>GERAL</t>
        </is>
      </c>
      <c r="C2670" t="inlineStr">
        <is>
          <t>GLOBO AÇOS</t>
        </is>
      </c>
      <c r="D2670" t="inlineStr">
        <is>
          <t>TELHAR</t>
        </is>
      </c>
      <c r="F2670">
        <f>IFERROR(INDEX('BASE METAS DIÁRIAS'!$AA$2:$AC$358,MATCH($A2670,'BASE METAS DIÁRIAS'!$A$2:$A$358,0),2),"")</f>
        <v/>
      </c>
      <c r="G2670">
        <f>IFERROR(IF(WEEKDAY($A2670,2)&lt;=INDEX('BASE METAS DIÁRIAS'!$X$2:$Z$358,MATCH($A2670,'BASE METAS DIÁRIAS'!$A$2:$A$358,0),2),INDEX('BASE METAS DIÁRIAS'!$U$2:$W$358,MATCH($A2670,'BASE METAS DIÁRIAS'!$A$2:$A$358,0),2),""),"")</f>
        <v/>
      </c>
      <c r="H2670">
        <f>IFERROR(IF(INDEX('CONTROLE PRODUÇÃO POR EMPRESAS'!$H$6:$J$5000,MATCH($A2670,'CONTROLE PRODUÇÃO POR EMPRESAS'!$A$6:$A$5000,0),2)="","",IFERROR(1*INDEX('CONTROLE PRODUÇÃO POR EMPRESAS'!$H$6:$J$5000,MATCH($A2670,'CONTROLE PRODUÇÃO POR EMPRESAS'!$A$6:$A$5000,0),2),"")),"")</f>
        <v/>
      </c>
      <c r="I2670">
        <f>IF(OR(NOT(ISNUMBER(G2670)),NOT(ISNUMBER(H2670))),"",H2670-G2670)</f>
        <v/>
      </c>
      <c r="J2670">
        <f>IF(OR(NOT(ISNUMBER(G2670)),NOT(ISNUMBER(H2670)),G2670=0),"",I2670/G2670)</f>
        <v/>
      </c>
      <c r="K2670">
        <f>IF(OR(NOT(ISNUMBER(G2670)),NOT(ISNUMBER(H2670)),G2670=0),"",H2670/G2670)</f>
        <v/>
      </c>
      <c r="L2670">
        <f>IF(NOT(ISNUMBER(G2670)),"SEM META",IF(G2670=0,"SEM META",IF(NOT(ISNUMBER(H2670)),"SEM APONTAMENTO",IF(H2670&gt;=G2670,"VERDE",IF(H2670&gt;=G2670*0.9,"AMARELO","VERMELHO")))))</f>
        <v/>
      </c>
    </row>
    <row r="2671">
      <c r="A2671" s="321" t="n">
        <v>46398</v>
      </c>
      <c r="B2671" t="inlineStr">
        <is>
          <t>GERAL</t>
        </is>
      </c>
      <c r="C2671" t="inlineStr">
        <is>
          <t>GLOBO AÇOS</t>
        </is>
      </c>
      <c r="D2671" t="inlineStr">
        <is>
          <t>FECHAMENTO</t>
        </is>
      </c>
      <c r="F2671">
        <f>IFERROR(INDEX('BASE METAS DIÁRIAS'!$AA$2:$AC$358,MATCH($A2671,'BASE METAS DIÁRIAS'!$A$2:$A$358,0),3),"")</f>
        <v/>
      </c>
      <c r="G2671">
        <f>IFERROR(IF(WEEKDAY($A2671,2)&lt;=INDEX('BASE METAS DIÁRIAS'!$X$2:$Z$358,MATCH($A2671,'BASE METAS DIÁRIAS'!$A$2:$A$358,0),3),INDEX('BASE METAS DIÁRIAS'!$U$2:$W$358,MATCH($A2671,'BASE METAS DIÁRIAS'!$A$2:$A$358,0),3),""),"")</f>
        <v/>
      </c>
      <c r="H2671">
        <f>IFERROR(IF(INDEX('CONTROLE PRODUÇÃO POR EMPRESAS'!$H$6:$J$5000,MATCH($A2671,'CONTROLE PRODUÇÃO POR EMPRESAS'!$A$6:$A$5000,0),3)="","",IFERROR(1*INDEX('CONTROLE PRODUÇÃO POR EMPRESAS'!$H$6:$J$5000,MATCH($A2671,'CONTROLE PRODUÇÃO POR EMPRESAS'!$A$6:$A$5000,0),3),"")),"")</f>
        <v/>
      </c>
      <c r="I2671">
        <f>IF(OR(NOT(ISNUMBER(G2671)),NOT(ISNUMBER(H2671))),"",H2671-G2671)</f>
        <v/>
      </c>
      <c r="J2671">
        <f>IF(OR(NOT(ISNUMBER(G2671)),NOT(ISNUMBER(H2671)),G2671=0),"",I2671/G2671)</f>
        <v/>
      </c>
      <c r="K2671">
        <f>IF(OR(NOT(ISNUMBER(G2671)),NOT(ISNUMBER(H2671)),G2671=0),"",H2671/G2671)</f>
        <v/>
      </c>
      <c r="L2671">
        <f>IF(NOT(ISNUMBER(G2671)),"SEM META",IF(G2671=0,"SEM META",IF(NOT(ISNUMBER(H2671)),"SEM APONTAMENTO",IF(H2671&gt;=G2671,"VERDE",IF(H2671&gt;=G2671*0.9,"AMARELO","VERMELHO")))))</f>
        <v/>
      </c>
    </row>
    <row r="2672">
      <c r="A2672" s="321" t="n">
        <v>46399</v>
      </c>
      <c r="B2672" t="inlineStr">
        <is>
          <t>GERAL</t>
        </is>
      </c>
      <c r="C2672" t="inlineStr">
        <is>
          <t>GLOBO AÇOS</t>
        </is>
      </c>
      <c r="D2672" t="inlineStr">
        <is>
          <t>PERFILAÇÃO</t>
        </is>
      </c>
      <c r="F2672">
        <f>IFERROR(INDEX('BASE METAS DIÁRIAS'!$AA$2:$AC$358,MATCH($A2672,'BASE METAS DIÁRIAS'!$A$2:$A$358,0),1),"")</f>
        <v/>
      </c>
      <c r="G2672">
        <f>IFERROR(IF(WEEKDAY($A2672,2)&lt;=INDEX('BASE METAS DIÁRIAS'!$X$2:$Z$358,MATCH($A2672,'BASE METAS DIÁRIAS'!$A$2:$A$358,0),1),INDEX('BASE METAS DIÁRIAS'!$U$2:$W$358,MATCH($A2672,'BASE METAS DIÁRIAS'!$A$2:$A$358,0),1),""),"")</f>
        <v/>
      </c>
      <c r="H2672">
        <f>IFERROR(IF(INDEX('CONTROLE PRODUÇÃO POR EMPRESAS'!$H$6:$J$5000,MATCH($A2672,'CONTROLE PRODUÇÃO POR EMPRESAS'!$A$6:$A$5000,0),1)="","",IFERROR(1*INDEX('CONTROLE PRODUÇÃO POR EMPRESAS'!$H$6:$J$5000,MATCH($A2672,'CONTROLE PRODUÇÃO POR EMPRESAS'!$A$6:$A$5000,0),1),"")),"")</f>
        <v/>
      </c>
      <c r="I2672">
        <f>IF(OR(NOT(ISNUMBER(G2672)),NOT(ISNUMBER(H2672))),"",H2672-G2672)</f>
        <v/>
      </c>
      <c r="J2672">
        <f>IF(OR(NOT(ISNUMBER(G2672)),NOT(ISNUMBER(H2672)),G2672=0),"",I2672/G2672)</f>
        <v/>
      </c>
      <c r="K2672">
        <f>IF(OR(NOT(ISNUMBER(G2672)),NOT(ISNUMBER(H2672)),G2672=0),"",H2672/G2672)</f>
        <v/>
      </c>
      <c r="L2672">
        <f>IF(NOT(ISNUMBER(G2672)),"SEM META",IF(G2672=0,"SEM META",IF(NOT(ISNUMBER(H2672)),"SEM APONTAMENTO",IF(H2672&gt;=G2672,"VERDE",IF(H2672&gt;=G2672*0.9,"AMARELO","VERMELHO")))))</f>
        <v/>
      </c>
    </row>
    <row r="2673">
      <c r="A2673" s="321" t="n">
        <v>46399</v>
      </c>
      <c r="B2673" t="inlineStr">
        <is>
          <t>GERAL</t>
        </is>
      </c>
      <c r="C2673" t="inlineStr">
        <is>
          <t>GLOBO AÇOS</t>
        </is>
      </c>
      <c r="D2673" t="inlineStr">
        <is>
          <t>TELHAR</t>
        </is>
      </c>
      <c r="F2673">
        <f>IFERROR(INDEX('BASE METAS DIÁRIAS'!$AA$2:$AC$358,MATCH($A2673,'BASE METAS DIÁRIAS'!$A$2:$A$358,0),2),"")</f>
        <v/>
      </c>
      <c r="G2673">
        <f>IFERROR(IF(WEEKDAY($A2673,2)&lt;=INDEX('BASE METAS DIÁRIAS'!$X$2:$Z$358,MATCH($A2673,'BASE METAS DIÁRIAS'!$A$2:$A$358,0),2),INDEX('BASE METAS DIÁRIAS'!$U$2:$W$358,MATCH($A2673,'BASE METAS DIÁRIAS'!$A$2:$A$358,0),2),""),"")</f>
        <v/>
      </c>
      <c r="H2673">
        <f>IFERROR(IF(INDEX('CONTROLE PRODUÇÃO POR EMPRESAS'!$H$6:$J$5000,MATCH($A2673,'CONTROLE PRODUÇÃO POR EMPRESAS'!$A$6:$A$5000,0),2)="","",IFERROR(1*INDEX('CONTROLE PRODUÇÃO POR EMPRESAS'!$H$6:$J$5000,MATCH($A2673,'CONTROLE PRODUÇÃO POR EMPRESAS'!$A$6:$A$5000,0),2),"")),"")</f>
        <v/>
      </c>
      <c r="I2673">
        <f>IF(OR(NOT(ISNUMBER(G2673)),NOT(ISNUMBER(H2673))),"",H2673-G2673)</f>
        <v/>
      </c>
      <c r="J2673">
        <f>IF(OR(NOT(ISNUMBER(G2673)),NOT(ISNUMBER(H2673)),G2673=0),"",I2673/G2673)</f>
        <v/>
      </c>
      <c r="K2673">
        <f>IF(OR(NOT(ISNUMBER(G2673)),NOT(ISNUMBER(H2673)),G2673=0),"",H2673/G2673)</f>
        <v/>
      </c>
      <c r="L2673">
        <f>IF(NOT(ISNUMBER(G2673)),"SEM META",IF(G2673=0,"SEM META",IF(NOT(ISNUMBER(H2673)),"SEM APONTAMENTO",IF(H2673&gt;=G2673,"VERDE",IF(H2673&gt;=G2673*0.9,"AMARELO","VERMELHO")))))</f>
        <v/>
      </c>
    </row>
    <row r="2674">
      <c r="A2674" s="321" t="n">
        <v>46399</v>
      </c>
      <c r="B2674" t="inlineStr">
        <is>
          <t>GERAL</t>
        </is>
      </c>
      <c r="C2674" t="inlineStr">
        <is>
          <t>GLOBO AÇOS</t>
        </is>
      </c>
      <c r="D2674" t="inlineStr">
        <is>
          <t>FECHAMENTO</t>
        </is>
      </c>
      <c r="F2674">
        <f>IFERROR(INDEX('BASE METAS DIÁRIAS'!$AA$2:$AC$358,MATCH($A2674,'BASE METAS DIÁRIAS'!$A$2:$A$358,0),3),"")</f>
        <v/>
      </c>
      <c r="G2674">
        <f>IFERROR(IF(WEEKDAY($A2674,2)&lt;=INDEX('BASE METAS DIÁRIAS'!$X$2:$Z$358,MATCH($A2674,'BASE METAS DIÁRIAS'!$A$2:$A$358,0),3),INDEX('BASE METAS DIÁRIAS'!$U$2:$W$358,MATCH($A2674,'BASE METAS DIÁRIAS'!$A$2:$A$358,0),3),""),"")</f>
        <v/>
      </c>
      <c r="H2674">
        <f>IFERROR(IF(INDEX('CONTROLE PRODUÇÃO POR EMPRESAS'!$H$6:$J$5000,MATCH($A2674,'CONTROLE PRODUÇÃO POR EMPRESAS'!$A$6:$A$5000,0),3)="","",IFERROR(1*INDEX('CONTROLE PRODUÇÃO POR EMPRESAS'!$H$6:$J$5000,MATCH($A2674,'CONTROLE PRODUÇÃO POR EMPRESAS'!$A$6:$A$5000,0),3),"")),"")</f>
        <v/>
      </c>
      <c r="I2674">
        <f>IF(OR(NOT(ISNUMBER(G2674)),NOT(ISNUMBER(H2674))),"",H2674-G2674)</f>
        <v/>
      </c>
      <c r="J2674">
        <f>IF(OR(NOT(ISNUMBER(G2674)),NOT(ISNUMBER(H2674)),G2674=0),"",I2674/G2674)</f>
        <v/>
      </c>
      <c r="K2674">
        <f>IF(OR(NOT(ISNUMBER(G2674)),NOT(ISNUMBER(H2674)),G2674=0),"",H2674/G2674)</f>
        <v/>
      </c>
      <c r="L2674">
        <f>IF(NOT(ISNUMBER(G2674)),"SEM META",IF(G2674=0,"SEM META",IF(NOT(ISNUMBER(H2674)),"SEM APONTAMENTO",IF(H2674&gt;=G2674,"VERDE",IF(H2674&gt;=G2674*0.9,"AMARELO","VERMELHO")))))</f>
        <v/>
      </c>
    </row>
    <row r="2675">
      <c r="A2675" s="321" t="n">
        <v>46400</v>
      </c>
      <c r="B2675" t="inlineStr">
        <is>
          <t>GERAL</t>
        </is>
      </c>
      <c r="C2675" t="inlineStr">
        <is>
          <t>GLOBO AÇOS</t>
        </is>
      </c>
      <c r="D2675" t="inlineStr">
        <is>
          <t>PERFILAÇÃO</t>
        </is>
      </c>
      <c r="F2675">
        <f>IFERROR(INDEX('BASE METAS DIÁRIAS'!$AA$2:$AC$358,MATCH($A2675,'BASE METAS DIÁRIAS'!$A$2:$A$358,0),1),"")</f>
        <v/>
      </c>
      <c r="G2675">
        <f>IFERROR(IF(WEEKDAY($A2675,2)&lt;=INDEX('BASE METAS DIÁRIAS'!$X$2:$Z$358,MATCH($A2675,'BASE METAS DIÁRIAS'!$A$2:$A$358,0),1),INDEX('BASE METAS DIÁRIAS'!$U$2:$W$358,MATCH($A2675,'BASE METAS DIÁRIAS'!$A$2:$A$358,0),1),""),"")</f>
        <v/>
      </c>
      <c r="H2675">
        <f>IFERROR(IF(INDEX('CONTROLE PRODUÇÃO POR EMPRESAS'!$H$6:$J$5000,MATCH($A2675,'CONTROLE PRODUÇÃO POR EMPRESAS'!$A$6:$A$5000,0),1)="","",IFERROR(1*INDEX('CONTROLE PRODUÇÃO POR EMPRESAS'!$H$6:$J$5000,MATCH($A2675,'CONTROLE PRODUÇÃO POR EMPRESAS'!$A$6:$A$5000,0),1),"")),"")</f>
        <v/>
      </c>
      <c r="I2675">
        <f>IF(OR(NOT(ISNUMBER(G2675)),NOT(ISNUMBER(H2675))),"",H2675-G2675)</f>
        <v/>
      </c>
      <c r="J2675">
        <f>IF(OR(NOT(ISNUMBER(G2675)),NOT(ISNUMBER(H2675)),G2675=0),"",I2675/G2675)</f>
        <v/>
      </c>
      <c r="K2675">
        <f>IF(OR(NOT(ISNUMBER(G2675)),NOT(ISNUMBER(H2675)),G2675=0),"",H2675/G2675)</f>
        <v/>
      </c>
      <c r="L2675">
        <f>IF(NOT(ISNUMBER(G2675)),"SEM META",IF(G2675=0,"SEM META",IF(NOT(ISNUMBER(H2675)),"SEM APONTAMENTO",IF(H2675&gt;=G2675,"VERDE",IF(H2675&gt;=G2675*0.9,"AMARELO","VERMELHO")))))</f>
        <v/>
      </c>
    </row>
    <row r="2676">
      <c r="A2676" s="321" t="n">
        <v>46400</v>
      </c>
      <c r="B2676" t="inlineStr">
        <is>
          <t>GERAL</t>
        </is>
      </c>
      <c r="C2676" t="inlineStr">
        <is>
          <t>GLOBO AÇOS</t>
        </is>
      </c>
      <c r="D2676" t="inlineStr">
        <is>
          <t>TELHAR</t>
        </is>
      </c>
      <c r="F2676">
        <f>IFERROR(INDEX('BASE METAS DIÁRIAS'!$AA$2:$AC$358,MATCH($A2676,'BASE METAS DIÁRIAS'!$A$2:$A$358,0),2),"")</f>
        <v/>
      </c>
      <c r="G2676">
        <f>IFERROR(IF(WEEKDAY($A2676,2)&lt;=INDEX('BASE METAS DIÁRIAS'!$X$2:$Z$358,MATCH($A2676,'BASE METAS DIÁRIAS'!$A$2:$A$358,0),2),INDEX('BASE METAS DIÁRIAS'!$U$2:$W$358,MATCH($A2676,'BASE METAS DIÁRIAS'!$A$2:$A$358,0),2),""),"")</f>
        <v/>
      </c>
      <c r="H2676">
        <f>IFERROR(IF(INDEX('CONTROLE PRODUÇÃO POR EMPRESAS'!$H$6:$J$5000,MATCH($A2676,'CONTROLE PRODUÇÃO POR EMPRESAS'!$A$6:$A$5000,0),2)="","",IFERROR(1*INDEX('CONTROLE PRODUÇÃO POR EMPRESAS'!$H$6:$J$5000,MATCH($A2676,'CONTROLE PRODUÇÃO POR EMPRESAS'!$A$6:$A$5000,0),2),"")),"")</f>
        <v/>
      </c>
      <c r="I2676">
        <f>IF(OR(NOT(ISNUMBER(G2676)),NOT(ISNUMBER(H2676))),"",H2676-G2676)</f>
        <v/>
      </c>
      <c r="J2676">
        <f>IF(OR(NOT(ISNUMBER(G2676)),NOT(ISNUMBER(H2676)),G2676=0),"",I2676/G2676)</f>
        <v/>
      </c>
      <c r="K2676">
        <f>IF(OR(NOT(ISNUMBER(G2676)),NOT(ISNUMBER(H2676)),G2676=0),"",H2676/G2676)</f>
        <v/>
      </c>
      <c r="L2676">
        <f>IF(NOT(ISNUMBER(G2676)),"SEM META",IF(G2676=0,"SEM META",IF(NOT(ISNUMBER(H2676)),"SEM APONTAMENTO",IF(H2676&gt;=G2676,"VERDE",IF(H2676&gt;=G2676*0.9,"AMARELO","VERMELHO")))))</f>
        <v/>
      </c>
    </row>
    <row r="2677">
      <c r="A2677" s="321" t="n">
        <v>46400</v>
      </c>
      <c r="B2677" t="inlineStr">
        <is>
          <t>GERAL</t>
        </is>
      </c>
      <c r="C2677" t="inlineStr">
        <is>
          <t>GLOBO AÇOS</t>
        </is>
      </c>
      <c r="D2677" t="inlineStr">
        <is>
          <t>FECHAMENTO</t>
        </is>
      </c>
      <c r="F2677">
        <f>IFERROR(INDEX('BASE METAS DIÁRIAS'!$AA$2:$AC$358,MATCH($A2677,'BASE METAS DIÁRIAS'!$A$2:$A$358,0),3),"")</f>
        <v/>
      </c>
      <c r="G2677">
        <f>IFERROR(IF(WEEKDAY($A2677,2)&lt;=INDEX('BASE METAS DIÁRIAS'!$X$2:$Z$358,MATCH($A2677,'BASE METAS DIÁRIAS'!$A$2:$A$358,0),3),INDEX('BASE METAS DIÁRIAS'!$U$2:$W$358,MATCH($A2677,'BASE METAS DIÁRIAS'!$A$2:$A$358,0),3),""),"")</f>
        <v/>
      </c>
      <c r="H2677">
        <f>IFERROR(IF(INDEX('CONTROLE PRODUÇÃO POR EMPRESAS'!$H$6:$J$5000,MATCH($A2677,'CONTROLE PRODUÇÃO POR EMPRESAS'!$A$6:$A$5000,0),3)="","",IFERROR(1*INDEX('CONTROLE PRODUÇÃO POR EMPRESAS'!$H$6:$J$5000,MATCH($A2677,'CONTROLE PRODUÇÃO POR EMPRESAS'!$A$6:$A$5000,0),3),"")),"")</f>
        <v/>
      </c>
      <c r="I2677">
        <f>IF(OR(NOT(ISNUMBER(G2677)),NOT(ISNUMBER(H2677))),"",H2677-G2677)</f>
        <v/>
      </c>
      <c r="J2677">
        <f>IF(OR(NOT(ISNUMBER(G2677)),NOT(ISNUMBER(H2677)),G2677=0),"",I2677/G2677)</f>
        <v/>
      </c>
      <c r="K2677">
        <f>IF(OR(NOT(ISNUMBER(G2677)),NOT(ISNUMBER(H2677)),G2677=0),"",H2677/G2677)</f>
        <v/>
      </c>
      <c r="L2677">
        <f>IF(NOT(ISNUMBER(G2677)),"SEM META",IF(G2677=0,"SEM META",IF(NOT(ISNUMBER(H2677)),"SEM APONTAMENTO",IF(H2677&gt;=G2677,"VERDE",IF(H2677&gt;=G2677*0.9,"AMARELO","VERMELHO")))))</f>
        <v/>
      </c>
    </row>
    <row r="2678">
      <c r="A2678" s="321" t="n">
        <v>46401</v>
      </c>
      <c r="B2678" t="inlineStr">
        <is>
          <t>GERAL</t>
        </is>
      </c>
      <c r="C2678" t="inlineStr">
        <is>
          <t>GLOBO AÇOS</t>
        </is>
      </c>
      <c r="D2678" t="inlineStr">
        <is>
          <t>PERFILAÇÃO</t>
        </is>
      </c>
      <c r="F2678">
        <f>IFERROR(INDEX('BASE METAS DIÁRIAS'!$AA$2:$AC$358,MATCH($A2678,'BASE METAS DIÁRIAS'!$A$2:$A$358,0),1),"")</f>
        <v/>
      </c>
      <c r="G2678">
        <f>IFERROR(IF(WEEKDAY($A2678,2)&lt;=INDEX('BASE METAS DIÁRIAS'!$X$2:$Z$358,MATCH($A2678,'BASE METAS DIÁRIAS'!$A$2:$A$358,0),1),INDEX('BASE METAS DIÁRIAS'!$U$2:$W$358,MATCH($A2678,'BASE METAS DIÁRIAS'!$A$2:$A$358,0),1),""),"")</f>
        <v/>
      </c>
      <c r="H2678">
        <f>IFERROR(IF(INDEX('CONTROLE PRODUÇÃO POR EMPRESAS'!$H$6:$J$5000,MATCH($A2678,'CONTROLE PRODUÇÃO POR EMPRESAS'!$A$6:$A$5000,0),1)="","",IFERROR(1*INDEX('CONTROLE PRODUÇÃO POR EMPRESAS'!$H$6:$J$5000,MATCH($A2678,'CONTROLE PRODUÇÃO POR EMPRESAS'!$A$6:$A$5000,0),1),"")),"")</f>
        <v/>
      </c>
      <c r="I2678">
        <f>IF(OR(NOT(ISNUMBER(G2678)),NOT(ISNUMBER(H2678))),"",H2678-G2678)</f>
        <v/>
      </c>
      <c r="J2678">
        <f>IF(OR(NOT(ISNUMBER(G2678)),NOT(ISNUMBER(H2678)),G2678=0),"",I2678/G2678)</f>
        <v/>
      </c>
      <c r="K2678">
        <f>IF(OR(NOT(ISNUMBER(G2678)),NOT(ISNUMBER(H2678)),G2678=0),"",H2678/G2678)</f>
        <v/>
      </c>
      <c r="L2678">
        <f>IF(NOT(ISNUMBER(G2678)),"SEM META",IF(G2678=0,"SEM META",IF(NOT(ISNUMBER(H2678)),"SEM APONTAMENTO",IF(H2678&gt;=G2678,"VERDE",IF(H2678&gt;=G2678*0.9,"AMARELO","VERMELHO")))))</f>
        <v/>
      </c>
    </row>
    <row r="2679">
      <c r="A2679" s="321" t="n">
        <v>46401</v>
      </c>
      <c r="B2679" t="inlineStr">
        <is>
          <t>GERAL</t>
        </is>
      </c>
      <c r="C2679" t="inlineStr">
        <is>
          <t>GLOBO AÇOS</t>
        </is>
      </c>
      <c r="D2679" t="inlineStr">
        <is>
          <t>TELHAR</t>
        </is>
      </c>
      <c r="F2679">
        <f>IFERROR(INDEX('BASE METAS DIÁRIAS'!$AA$2:$AC$358,MATCH($A2679,'BASE METAS DIÁRIAS'!$A$2:$A$358,0),2),"")</f>
        <v/>
      </c>
      <c r="G2679">
        <f>IFERROR(IF(WEEKDAY($A2679,2)&lt;=INDEX('BASE METAS DIÁRIAS'!$X$2:$Z$358,MATCH($A2679,'BASE METAS DIÁRIAS'!$A$2:$A$358,0),2),INDEX('BASE METAS DIÁRIAS'!$U$2:$W$358,MATCH($A2679,'BASE METAS DIÁRIAS'!$A$2:$A$358,0),2),""),"")</f>
        <v/>
      </c>
      <c r="H2679">
        <f>IFERROR(IF(INDEX('CONTROLE PRODUÇÃO POR EMPRESAS'!$H$6:$J$5000,MATCH($A2679,'CONTROLE PRODUÇÃO POR EMPRESAS'!$A$6:$A$5000,0),2)="","",IFERROR(1*INDEX('CONTROLE PRODUÇÃO POR EMPRESAS'!$H$6:$J$5000,MATCH($A2679,'CONTROLE PRODUÇÃO POR EMPRESAS'!$A$6:$A$5000,0),2),"")),"")</f>
        <v/>
      </c>
      <c r="I2679">
        <f>IF(OR(NOT(ISNUMBER(G2679)),NOT(ISNUMBER(H2679))),"",H2679-G2679)</f>
        <v/>
      </c>
      <c r="J2679">
        <f>IF(OR(NOT(ISNUMBER(G2679)),NOT(ISNUMBER(H2679)),G2679=0),"",I2679/G2679)</f>
        <v/>
      </c>
      <c r="K2679">
        <f>IF(OR(NOT(ISNUMBER(G2679)),NOT(ISNUMBER(H2679)),G2679=0),"",H2679/G2679)</f>
        <v/>
      </c>
      <c r="L2679">
        <f>IF(NOT(ISNUMBER(G2679)),"SEM META",IF(G2679=0,"SEM META",IF(NOT(ISNUMBER(H2679)),"SEM APONTAMENTO",IF(H2679&gt;=G2679,"VERDE",IF(H2679&gt;=G2679*0.9,"AMARELO","VERMELHO")))))</f>
        <v/>
      </c>
    </row>
    <row r="2680">
      <c r="A2680" s="321" t="n">
        <v>46401</v>
      </c>
      <c r="B2680" t="inlineStr">
        <is>
          <t>GERAL</t>
        </is>
      </c>
      <c r="C2680" t="inlineStr">
        <is>
          <t>GLOBO AÇOS</t>
        </is>
      </c>
      <c r="D2680" t="inlineStr">
        <is>
          <t>FECHAMENTO</t>
        </is>
      </c>
      <c r="F2680">
        <f>IFERROR(INDEX('BASE METAS DIÁRIAS'!$AA$2:$AC$358,MATCH($A2680,'BASE METAS DIÁRIAS'!$A$2:$A$358,0),3),"")</f>
        <v/>
      </c>
      <c r="G2680">
        <f>IFERROR(IF(WEEKDAY($A2680,2)&lt;=INDEX('BASE METAS DIÁRIAS'!$X$2:$Z$358,MATCH($A2680,'BASE METAS DIÁRIAS'!$A$2:$A$358,0),3),INDEX('BASE METAS DIÁRIAS'!$U$2:$W$358,MATCH($A2680,'BASE METAS DIÁRIAS'!$A$2:$A$358,0),3),""),"")</f>
        <v/>
      </c>
      <c r="H2680">
        <f>IFERROR(IF(INDEX('CONTROLE PRODUÇÃO POR EMPRESAS'!$H$6:$J$5000,MATCH($A2680,'CONTROLE PRODUÇÃO POR EMPRESAS'!$A$6:$A$5000,0),3)="","",IFERROR(1*INDEX('CONTROLE PRODUÇÃO POR EMPRESAS'!$H$6:$J$5000,MATCH($A2680,'CONTROLE PRODUÇÃO POR EMPRESAS'!$A$6:$A$5000,0),3),"")),"")</f>
        <v/>
      </c>
      <c r="I2680">
        <f>IF(OR(NOT(ISNUMBER(G2680)),NOT(ISNUMBER(H2680))),"",H2680-G2680)</f>
        <v/>
      </c>
      <c r="J2680">
        <f>IF(OR(NOT(ISNUMBER(G2680)),NOT(ISNUMBER(H2680)),G2680=0),"",I2680/G2680)</f>
        <v/>
      </c>
      <c r="K2680">
        <f>IF(OR(NOT(ISNUMBER(G2680)),NOT(ISNUMBER(H2680)),G2680=0),"",H2680/G2680)</f>
        <v/>
      </c>
      <c r="L2680">
        <f>IF(NOT(ISNUMBER(G2680)),"SEM META",IF(G2680=0,"SEM META",IF(NOT(ISNUMBER(H2680)),"SEM APONTAMENTO",IF(H2680&gt;=G2680,"VERDE",IF(H2680&gt;=G2680*0.9,"AMARELO","VERMELHO")))))</f>
        <v/>
      </c>
    </row>
    <row r="2681">
      <c r="A2681" s="321" t="n">
        <v>46402</v>
      </c>
      <c r="B2681" t="inlineStr">
        <is>
          <t>GERAL</t>
        </is>
      </c>
      <c r="C2681" t="inlineStr">
        <is>
          <t>GLOBO AÇOS</t>
        </is>
      </c>
      <c r="D2681" t="inlineStr">
        <is>
          <t>PERFILAÇÃO</t>
        </is>
      </c>
      <c r="F2681">
        <f>IFERROR(INDEX('BASE METAS DIÁRIAS'!$AA$2:$AC$358,MATCH($A2681,'BASE METAS DIÁRIAS'!$A$2:$A$358,0),1),"")</f>
        <v/>
      </c>
      <c r="G2681">
        <f>IFERROR(IF(WEEKDAY($A2681,2)&lt;=INDEX('BASE METAS DIÁRIAS'!$X$2:$Z$358,MATCH($A2681,'BASE METAS DIÁRIAS'!$A$2:$A$358,0),1),INDEX('BASE METAS DIÁRIAS'!$U$2:$W$358,MATCH($A2681,'BASE METAS DIÁRIAS'!$A$2:$A$358,0),1),""),"")</f>
        <v/>
      </c>
      <c r="H2681">
        <f>IFERROR(IF(INDEX('CONTROLE PRODUÇÃO POR EMPRESAS'!$H$6:$J$5000,MATCH($A2681,'CONTROLE PRODUÇÃO POR EMPRESAS'!$A$6:$A$5000,0),1)="","",IFERROR(1*INDEX('CONTROLE PRODUÇÃO POR EMPRESAS'!$H$6:$J$5000,MATCH($A2681,'CONTROLE PRODUÇÃO POR EMPRESAS'!$A$6:$A$5000,0),1),"")),"")</f>
        <v/>
      </c>
      <c r="I2681">
        <f>IF(OR(NOT(ISNUMBER(G2681)),NOT(ISNUMBER(H2681))),"",H2681-G2681)</f>
        <v/>
      </c>
      <c r="J2681">
        <f>IF(OR(NOT(ISNUMBER(G2681)),NOT(ISNUMBER(H2681)),G2681=0),"",I2681/G2681)</f>
        <v/>
      </c>
      <c r="K2681">
        <f>IF(OR(NOT(ISNUMBER(G2681)),NOT(ISNUMBER(H2681)),G2681=0),"",H2681/G2681)</f>
        <v/>
      </c>
      <c r="L2681">
        <f>IF(NOT(ISNUMBER(G2681)),"SEM META",IF(G2681=0,"SEM META",IF(NOT(ISNUMBER(H2681)),"SEM APONTAMENTO",IF(H2681&gt;=G2681,"VERDE",IF(H2681&gt;=G2681*0.9,"AMARELO","VERMELHO")))))</f>
        <v/>
      </c>
    </row>
    <row r="2682">
      <c r="A2682" s="321" t="n">
        <v>46402</v>
      </c>
      <c r="B2682" t="inlineStr">
        <is>
          <t>GERAL</t>
        </is>
      </c>
      <c r="C2682" t="inlineStr">
        <is>
          <t>GLOBO AÇOS</t>
        </is>
      </c>
      <c r="D2682" t="inlineStr">
        <is>
          <t>TELHAR</t>
        </is>
      </c>
      <c r="F2682">
        <f>IFERROR(INDEX('BASE METAS DIÁRIAS'!$AA$2:$AC$358,MATCH($A2682,'BASE METAS DIÁRIAS'!$A$2:$A$358,0),2),"")</f>
        <v/>
      </c>
      <c r="G2682">
        <f>IFERROR(IF(WEEKDAY($A2682,2)&lt;=INDEX('BASE METAS DIÁRIAS'!$X$2:$Z$358,MATCH($A2682,'BASE METAS DIÁRIAS'!$A$2:$A$358,0),2),INDEX('BASE METAS DIÁRIAS'!$U$2:$W$358,MATCH($A2682,'BASE METAS DIÁRIAS'!$A$2:$A$358,0),2),""),"")</f>
        <v/>
      </c>
      <c r="H2682">
        <f>IFERROR(IF(INDEX('CONTROLE PRODUÇÃO POR EMPRESAS'!$H$6:$J$5000,MATCH($A2682,'CONTROLE PRODUÇÃO POR EMPRESAS'!$A$6:$A$5000,0),2)="","",IFERROR(1*INDEX('CONTROLE PRODUÇÃO POR EMPRESAS'!$H$6:$J$5000,MATCH($A2682,'CONTROLE PRODUÇÃO POR EMPRESAS'!$A$6:$A$5000,0),2),"")),"")</f>
        <v/>
      </c>
      <c r="I2682">
        <f>IF(OR(NOT(ISNUMBER(G2682)),NOT(ISNUMBER(H2682))),"",H2682-G2682)</f>
        <v/>
      </c>
      <c r="J2682">
        <f>IF(OR(NOT(ISNUMBER(G2682)),NOT(ISNUMBER(H2682)),G2682=0),"",I2682/G2682)</f>
        <v/>
      </c>
      <c r="K2682">
        <f>IF(OR(NOT(ISNUMBER(G2682)),NOT(ISNUMBER(H2682)),G2682=0),"",H2682/G2682)</f>
        <v/>
      </c>
      <c r="L2682">
        <f>IF(NOT(ISNUMBER(G2682)),"SEM META",IF(G2682=0,"SEM META",IF(NOT(ISNUMBER(H2682)),"SEM APONTAMENTO",IF(H2682&gt;=G2682,"VERDE",IF(H2682&gt;=G2682*0.9,"AMARELO","VERMELHO")))))</f>
        <v/>
      </c>
    </row>
    <row r="2683">
      <c r="A2683" s="321" t="n">
        <v>46402</v>
      </c>
      <c r="B2683" t="inlineStr">
        <is>
          <t>GERAL</t>
        </is>
      </c>
      <c r="C2683" t="inlineStr">
        <is>
          <t>GLOBO AÇOS</t>
        </is>
      </c>
      <c r="D2683" t="inlineStr">
        <is>
          <t>FECHAMENTO</t>
        </is>
      </c>
      <c r="F2683">
        <f>IFERROR(INDEX('BASE METAS DIÁRIAS'!$AA$2:$AC$358,MATCH($A2683,'BASE METAS DIÁRIAS'!$A$2:$A$358,0),3),"")</f>
        <v/>
      </c>
      <c r="G2683">
        <f>IFERROR(IF(WEEKDAY($A2683,2)&lt;=INDEX('BASE METAS DIÁRIAS'!$X$2:$Z$358,MATCH($A2683,'BASE METAS DIÁRIAS'!$A$2:$A$358,0),3),INDEX('BASE METAS DIÁRIAS'!$U$2:$W$358,MATCH($A2683,'BASE METAS DIÁRIAS'!$A$2:$A$358,0),3),""),"")</f>
        <v/>
      </c>
      <c r="H2683">
        <f>IFERROR(IF(INDEX('CONTROLE PRODUÇÃO POR EMPRESAS'!$H$6:$J$5000,MATCH($A2683,'CONTROLE PRODUÇÃO POR EMPRESAS'!$A$6:$A$5000,0),3)="","",IFERROR(1*INDEX('CONTROLE PRODUÇÃO POR EMPRESAS'!$H$6:$J$5000,MATCH($A2683,'CONTROLE PRODUÇÃO POR EMPRESAS'!$A$6:$A$5000,0),3),"")),"")</f>
        <v/>
      </c>
      <c r="I2683">
        <f>IF(OR(NOT(ISNUMBER(G2683)),NOT(ISNUMBER(H2683))),"",H2683-G2683)</f>
        <v/>
      </c>
      <c r="J2683">
        <f>IF(OR(NOT(ISNUMBER(G2683)),NOT(ISNUMBER(H2683)),G2683=0),"",I2683/G2683)</f>
        <v/>
      </c>
      <c r="K2683">
        <f>IF(OR(NOT(ISNUMBER(G2683)),NOT(ISNUMBER(H2683)),G2683=0),"",H2683/G2683)</f>
        <v/>
      </c>
      <c r="L2683">
        <f>IF(NOT(ISNUMBER(G2683)),"SEM META",IF(G2683=0,"SEM META",IF(NOT(ISNUMBER(H2683)),"SEM APONTAMENTO",IF(H2683&gt;=G2683,"VERDE",IF(H2683&gt;=G2683*0.9,"AMARELO","VERMELHO")))))</f>
        <v/>
      </c>
    </row>
    <row r="2684">
      <c r="A2684" s="321" t="n">
        <v>46403</v>
      </c>
      <c r="B2684" t="inlineStr">
        <is>
          <t>GERAL</t>
        </is>
      </c>
      <c r="C2684" t="inlineStr">
        <is>
          <t>GLOBO AÇOS</t>
        </is>
      </c>
      <c r="D2684" t="inlineStr">
        <is>
          <t>PERFILAÇÃO</t>
        </is>
      </c>
      <c r="F2684">
        <f>IFERROR(INDEX('BASE METAS DIÁRIAS'!$AA$2:$AC$358,MATCH($A2684,'BASE METAS DIÁRIAS'!$A$2:$A$358,0),1),"")</f>
        <v/>
      </c>
      <c r="G2684">
        <f>IFERROR(IF(WEEKDAY($A2684,2)&lt;=INDEX('BASE METAS DIÁRIAS'!$X$2:$Z$358,MATCH($A2684,'BASE METAS DIÁRIAS'!$A$2:$A$358,0),1),INDEX('BASE METAS DIÁRIAS'!$U$2:$W$358,MATCH($A2684,'BASE METAS DIÁRIAS'!$A$2:$A$358,0),1),""),"")</f>
        <v/>
      </c>
      <c r="H2684">
        <f>IFERROR(IF(INDEX('CONTROLE PRODUÇÃO POR EMPRESAS'!$H$6:$J$5000,MATCH($A2684,'CONTROLE PRODUÇÃO POR EMPRESAS'!$A$6:$A$5000,0),1)="","",IFERROR(1*INDEX('CONTROLE PRODUÇÃO POR EMPRESAS'!$H$6:$J$5000,MATCH($A2684,'CONTROLE PRODUÇÃO POR EMPRESAS'!$A$6:$A$5000,0),1),"")),"")</f>
        <v/>
      </c>
      <c r="I2684">
        <f>IF(OR(NOT(ISNUMBER(G2684)),NOT(ISNUMBER(H2684))),"",H2684-G2684)</f>
        <v/>
      </c>
      <c r="J2684">
        <f>IF(OR(NOT(ISNUMBER(G2684)),NOT(ISNUMBER(H2684)),G2684=0),"",I2684/G2684)</f>
        <v/>
      </c>
      <c r="K2684">
        <f>IF(OR(NOT(ISNUMBER(G2684)),NOT(ISNUMBER(H2684)),G2684=0),"",H2684/G2684)</f>
        <v/>
      </c>
      <c r="L2684">
        <f>IF(NOT(ISNUMBER(G2684)),"SEM META",IF(G2684=0,"SEM META",IF(NOT(ISNUMBER(H2684)),"SEM APONTAMENTO",IF(H2684&gt;=G2684,"VERDE",IF(H2684&gt;=G2684*0.9,"AMARELO","VERMELHO")))))</f>
        <v/>
      </c>
    </row>
    <row r="2685">
      <c r="A2685" s="321" t="n">
        <v>46403</v>
      </c>
      <c r="B2685" t="inlineStr">
        <is>
          <t>GERAL</t>
        </is>
      </c>
      <c r="C2685" t="inlineStr">
        <is>
          <t>GLOBO AÇOS</t>
        </is>
      </c>
      <c r="D2685" t="inlineStr">
        <is>
          <t>TELHAR</t>
        </is>
      </c>
      <c r="F2685">
        <f>IFERROR(INDEX('BASE METAS DIÁRIAS'!$AA$2:$AC$358,MATCH($A2685,'BASE METAS DIÁRIAS'!$A$2:$A$358,0),2),"")</f>
        <v/>
      </c>
      <c r="G2685">
        <f>IFERROR(IF(WEEKDAY($A2685,2)&lt;=INDEX('BASE METAS DIÁRIAS'!$X$2:$Z$358,MATCH($A2685,'BASE METAS DIÁRIAS'!$A$2:$A$358,0),2),INDEX('BASE METAS DIÁRIAS'!$U$2:$W$358,MATCH($A2685,'BASE METAS DIÁRIAS'!$A$2:$A$358,0),2),""),"")</f>
        <v/>
      </c>
      <c r="H2685">
        <f>IFERROR(IF(INDEX('CONTROLE PRODUÇÃO POR EMPRESAS'!$H$6:$J$5000,MATCH($A2685,'CONTROLE PRODUÇÃO POR EMPRESAS'!$A$6:$A$5000,0),2)="","",IFERROR(1*INDEX('CONTROLE PRODUÇÃO POR EMPRESAS'!$H$6:$J$5000,MATCH($A2685,'CONTROLE PRODUÇÃO POR EMPRESAS'!$A$6:$A$5000,0),2),"")),"")</f>
        <v/>
      </c>
      <c r="I2685">
        <f>IF(OR(NOT(ISNUMBER(G2685)),NOT(ISNUMBER(H2685))),"",H2685-G2685)</f>
        <v/>
      </c>
      <c r="J2685">
        <f>IF(OR(NOT(ISNUMBER(G2685)),NOT(ISNUMBER(H2685)),G2685=0),"",I2685/G2685)</f>
        <v/>
      </c>
      <c r="K2685">
        <f>IF(OR(NOT(ISNUMBER(G2685)),NOT(ISNUMBER(H2685)),G2685=0),"",H2685/G2685)</f>
        <v/>
      </c>
      <c r="L2685">
        <f>IF(NOT(ISNUMBER(G2685)),"SEM META",IF(G2685=0,"SEM META",IF(NOT(ISNUMBER(H2685)),"SEM APONTAMENTO",IF(H2685&gt;=G2685,"VERDE",IF(H2685&gt;=G2685*0.9,"AMARELO","VERMELHO")))))</f>
        <v/>
      </c>
    </row>
    <row r="2686">
      <c r="A2686" s="321" t="n">
        <v>46403</v>
      </c>
      <c r="B2686" t="inlineStr">
        <is>
          <t>GERAL</t>
        </is>
      </c>
      <c r="C2686" t="inlineStr">
        <is>
          <t>GLOBO AÇOS</t>
        </is>
      </c>
      <c r="D2686" t="inlineStr">
        <is>
          <t>FECHAMENTO</t>
        </is>
      </c>
      <c r="F2686">
        <f>IFERROR(INDEX('BASE METAS DIÁRIAS'!$AA$2:$AC$358,MATCH($A2686,'BASE METAS DIÁRIAS'!$A$2:$A$358,0),3),"")</f>
        <v/>
      </c>
      <c r="G2686">
        <f>IFERROR(IF(WEEKDAY($A2686,2)&lt;=INDEX('BASE METAS DIÁRIAS'!$X$2:$Z$358,MATCH($A2686,'BASE METAS DIÁRIAS'!$A$2:$A$358,0),3),INDEX('BASE METAS DIÁRIAS'!$U$2:$W$358,MATCH($A2686,'BASE METAS DIÁRIAS'!$A$2:$A$358,0),3),""),"")</f>
        <v/>
      </c>
      <c r="H2686">
        <f>IFERROR(IF(INDEX('CONTROLE PRODUÇÃO POR EMPRESAS'!$H$6:$J$5000,MATCH($A2686,'CONTROLE PRODUÇÃO POR EMPRESAS'!$A$6:$A$5000,0),3)="","",IFERROR(1*INDEX('CONTROLE PRODUÇÃO POR EMPRESAS'!$H$6:$J$5000,MATCH($A2686,'CONTROLE PRODUÇÃO POR EMPRESAS'!$A$6:$A$5000,0),3),"")),"")</f>
        <v/>
      </c>
      <c r="I2686">
        <f>IF(OR(NOT(ISNUMBER(G2686)),NOT(ISNUMBER(H2686))),"",H2686-G2686)</f>
        <v/>
      </c>
      <c r="J2686">
        <f>IF(OR(NOT(ISNUMBER(G2686)),NOT(ISNUMBER(H2686)),G2686=0),"",I2686/G2686)</f>
        <v/>
      </c>
      <c r="K2686">
        <f>IF(OR(NOT(ISNUMBER(G2686)),NOT(ISNUMBER(H2686)),G2686=0),"",H2686/G2686)</f>
        <v/>
      </c>
      <c r="L2686">
        <f>IF(NOT(ISNUMBER(G2686)),"SEM META",IF(G2686=0,"SEM META",IF(NOT(ISNUMBER(H2686)),"SEM APONTAMENTO",IF(H2686&gt;=G2686,"VERDE",IF(H2686&gt;=G2686*0.9,"AMARELO","VERMELHO")))))</f>
        <v/>
      </c>
    </row>
    <row r="2687">
      <c r="A2687" s="321" t="n">
        <v>46404</v>
      </c>
      <c r="B2687" t="inlineStr">
        <is>
          <t>GERAL</t>
        </is>
      </c>
      <c r="C2687" t="inlineStr">
        <is>
          <t>GLOBO AÇOS</t>
        </is>
      </c>
      <c r="D2687" t="inlineStr">
        <is>
          <t>PERFILAÇÃO</t>
        </is>
      </c>
      <c r="F2687">
        <f>IFERROR(INDEX('BASE METAS DIÁRIAS'!$AA$2:$AC$358,MATCH($A2687,'BASE METAS DIÁRIAS'!$A$2:$A$358,0),1),"")</f>
        <v/>
      </c>
      <c r="G2687">
        <f>IFERROR(IF(WEEKDAY($A2687,2)&lt;=INDEX('BASE METAS DIÁRIAS'!$X$2:$Z$358,MATCH($A2687,'BASE METAS DIÁRIAS'!$A$2:$A$358,0),1),INDEX('BASE METAS DIÁRIAS'!$U$2:$W$358,MATCH($A2687,'BASE METAS DIÁRIAS'!$A$2:$A$358,0),1),""),"")</f>
        <v/>
      </c>
      <c r="H2687">
        <f>IFERROR(IF(INDEX('CONTROLE PRODUÇÃO POR EMPRESAS'!$H$6:$J$5000,MATCH($A2687,'CONTROLE PRODUÇÃO POR EMPRESAS'!$A$6:$A$5000,0),1)="","",IFERROR(1*INDEX('CONTROLE PRODUÇÃO POR EMPRESAS'!$H$6:$J$5000,MATCH($A2687,'CONTROLE PRODUÇÃO POR EMPRESAS'!$A$6:$A$5000,0),1),"")),"")</f>
        <v/>
      </c>
      <c r="I2687">
        <f>IF(OR(NOT(ISNUMBER(G2687)),NOT(ISNUMBER(H2687))),"",H2687-G2687)</f>
        <v/>
      </c>
      <c r="J2687">
        <f>IF(OR(NOT(ISNUMBER(G2687)),NOT(ISNUMBER(H2687)),G2687=0),"",I2687/G2687)</f>
        <v/>
      </c>
      <c r="K2687">
        <f>IF(OR(NOT(ISNUMBER(G2687)),NOT(ISNUMBER(H2687)),G2687=0),"",H2687/G2687)</f>
        <v/>
      </c>
      <c r="L2687">
        <f>IF(NOT(ISNUMBER(G2687)),"SEM META",IF(G2687=0,"SEM META",IF(NOT(ISNUMBER(H2687)),"SEM APONTAMENTO",IF(H2687&gt;=G2687,"VERDE",IF(H2687&gt;=G2687*0.9,"AMARELO","VERMELHO")))))</f>
        <v/>
      </c>
    </row>
    <row r="2688">
      <c r="A2688" s="321" t="n">
        <v>46404</v>
      </c>
      <c r="B2688" t="inlineStr">
        <is>
          <t>GERAL</t>
        </is>
      </c>
      <c r="C2688" t="inlineStr">
        <is>
          <t>GLOBO AÇOS</t>
        </is>
      </c>
      <c r="D2688" t="inlineStr">
        <is>
          <t>TELHAR</t>
        </is>
      </c>
      <c r="F2688">
        <f>IFERROR(INDEX('BASE METAS DIÁRIAS'!$AA$2:$AC$358,MATCH($A2688,'BASE METAS DIÁRIAS'!$A$2:$A$358,0),2),"")</f>
        <v/>
      </c>
      <c r="G2688">
        <f>IFERROR(IF(WEEKDAY($A2688,2)&lt;=INDEX('BASE METAS DIÁRIAS'!$X$2:$Z$358,MATCH($A2688,'BASE METAS DIÁRIAS'!$A$2:$A$358,0),2),INDEX('BASE METAS DIÁRIAS'!$U$2:$W$358,MATCH($A2688,'BASE METAS DIÁRIAS'!$A$2:$A$358,0),2),""),"")</f>
        <v/>
      </c>
      <c r="H2688">
        <f>IFERROR(IF(INDEX('CONTROLE PRODUÇÃO POR EMPRESAS'!$H$6:$J$5000,MATCH($A2688,'CONTROLE PRODUÇÃO POR EMPRESAS'!$A$6:$A$5000,0),2)="","",IFERROR(1*INDEX('CONTROLE PRODUÇÃO POR EMPRESAS'!$H$6:$J$5000,MATCH($A2688,'CONTROLE PRODUÇÃO POR EMPRESAS'!$A$6:$A$5000,0),2),"")),"")</f>
        <v/>
      </c>
      <c r="I2688">
        <f>IF(OR(NOT(ISNUMBER(G2688)),NOT(ISNUMBER(H2688))),"",H2688-G2688)</f>
        <v/>
      </c>
      <c r="J2688">
        <f>IF(OR(NOT(ISNUMBER(G2688)),NOT(ISNUMBER(H2688)),G2688=0),"",I2688/G2688)</f>
        <v/>
      </c>
      <c r="K2688">
        <f>IF(OR(NOT(ISNUMBER(G2688)),NOT(ISNUMBER(H2688)),G2688=0),"",H2688/G2688)</f>
        <v/>
      </c>
      <c r="L2688">
        <f>IF(NOT(ISNUMBER(G2688)),"SEM META",IF(G2688=0,"SEM META",IF(NOT(ISNUMBER(H2688)),"SEM APONTAMENTO",IF(H2688&gt;=G2688,"VERDE",IF(H2688&gt;=G2688*0.9,"AMARELO","VERMELHO")))))</f>
        <v/>
      </c>
    </row>
    <row r="2689">
      <c r="A2689" s="321" t="n">
        <v>46404</v>
      </c>
      <c r="B2689" t="inlineStr">
        <is>
          <t>GERAL</t>
        </is>
      </c>
      <c r="C2689" t="inlineStr">
        <is>
          <t>GLOBO AÇOS</t>
        </is>
      </c>
      <c r="D2689" t="inlineStr">
        <is>
          <t>FECHAMENTO</t>
        </is>
      </c>
      <c r="F2689">
        <f>IFERROR(INDEX('BASE METAS DIÁRIAS'!$AA$2:$AC$358,MATCH($A2689,'BASE METAS DIÁRIAS'!$A$2:$A$358,0),3),"")</f>
        <v/>
      </c>
      <c r="G2689">
        <f>IFERROR(IF(WEEKDAY($A2689,2)&lt;=INDEX('BASE METAS DIÁRIAS'!$X$2:$Z$358,MATCH($A2689,'BASE METAS DIÁRIAS'!$A$2:$A$358,0),3),INDEX('BASE METAS DIÁRIAS'!$U$2:$W$358,MATCH($A2689,'BASE METAS DIÁRIAS'!$A$2:$A$358,0),3),""),"")</f>
        <v/>
      </c>
      <c r="H2689">
        <f>IFERROR(IF(INDEX('CONTROLE PRODUÇÃO POR EMPRESAS'!$H$6:$J$5000,MATCH($A2689,'CONTROLE PRODUÇÃO POR EMPRESAS'!$A$6:$A$5000,0),3)="","",IFERROR(1*INDEX('CONTROLE PRODUÇÃO POR EMPRESAS'!$H$6:$J$5000,MATCH($A2689,'CONTROLE PRODUÇÃO POR EMPRESAS'!$A$6:$A$5000,0),3),"")),"")</f>
        <v/>
      </c>
      <c r="I2689">
        <f>IF(OR(NOT(ISNUMBER(G2689)),NOT(ISNUMBER(H2689))),"",H2689-G2689)</f>
        <v/>
      </c>
      <c r="J2689">
        <f>IF(OR(NOT(ISNUMBER(G2689)),NOT(ISNUMBER(H2689)),G2689=0),"",I2689/G2689)</f>
        <v/>
      </c>
      <c r="K2689">
        <f>IF(OR(NOT(ISNUMBER(G2689)),NOT(ISNUMBER(H2689)),G2689=0),"",H2689/G2689)</f>
        <v/>
      </c>
      <c r="L2689">
        <f>IF(NOT(ISNUMBER(G2689)),"SEM META",IF(G2689=0,"SEM META",IF(NOT(ISNUMBER(H2689)),"SEM APONTAMENTO",IF(H2689&gt;=G2689,"VERDE",IF(H2689&gt;=G2689*0.9,"AMARELO","VERMELHO")))))</f>
        <v/>
      </c>
    </row>
    <row r="2690">
      <c r="A2690" s="321" t="n">
        <v>46405</v>
      </c>
      <c r="B2690" t="inlineStr">
        <is>
          <t>GERAL</t>
        </is>
      </c>
      <c r="C2690" t="inlineStr">
        <is>
          <t>GLOBO AÇOS</t>
        </is>
      </c>
      <c r="D2690" t="inlineStr">
        <is>
          <t>PERFILAÇÃO</t>
        </is>
      </c>
      <c r="F2690">
        <f>IFERROR(INDEX('BASE METAS DIÁRIAS'!$AA$2:$AC$358,MATCH($A2690,'BASE METAS DIÁRIAS'!$A$2:$A$358,0),1),"")</f>
        <v/>
      </c>
      <c r="G2690">
        <f>IFERROR(IF(WEEKDAY($A2690,2)&lt;=INDEX('BASE METAS DIÁRIAS'!$X$2:$Z$358,MATCH($A2690,'BASE METAS DIÁRIAS'!$A$2:$A$358,0),1),INDEX('BASE METAS DIÁRIAS'!$U$2:$W$358,MATCH($A2690,'BASE METAS DIÁRIAS'!$A$2:$A$358,0),1),""),"")</f>
        <v/>
      </c>
      <c r="H2690">
        <f>IFERROR(IF(INDEX('CONTROLE PRODUÇÃO POR EMPRESAS'!$H$6:$J$5000,MATCH($A2690,'CONTROLE PRODUÇÃO POR EMPRESAS'!$A$6:$A$5000,0),1)="","",IFERROR(1*INDEX('CONTROLE PRODUÇÃO POR EMPRESAS'!$H$6:$J$5000,MATCH($A2690,'CONTROLE PRODUÇÃO POR EMPRESAS'!$A$6:$A$5000,0),1),"")),"")</f>
        <v/>
      </c>
      <c r="I2690">
        <f>IF(OR(NOT(ISNUMBER(G2690)),NOT(ISNUMBER(H2690))),"",H2690-G2690)</f>
        <v/>
      </c>
      <c r="J2690">
        <f>IF(OR(NOT(ISNUMBER(G2690)),NOT(ISNUMBER(H2690)),G2690=0),"",I2690/G2690)</f>
        <v/>
      </c>
      <c r="K2690">
        <f>IF(OR(NOT(ISNUMBER(G2690)),NOT(ISNUMBER(H2690)),G2690=0),"",H2690/G2690)</f>
        <v/>
      </c>
      <c r="L2690">
        <f>IF(NOT(ISNUMBER(G2690)),"SEM META",IF(G2690=0,"SEM META",IF(NOT(ISNUMBER(H2690)),"SEM APONTAMENTO",IF(H2690&gt;=G2690,"VERDE",IF(H2690&gt;=G2690*0.9,"AMARELO","VERMELHO")))))</f>
        <v/>
      </c>
    </row>
    <row r="2691">
      <c r="A2691" s="321" t="n">
        <v>46405</v>
      </c>
      <c r="B2691" t="inlineStr">
        <is>
          <t>GERAL</t>
        </is>
      </c>
      <c r="C2691" t="inlineStr">
        <is>
          <t>GLOBO AÇOS</t>
        </is>
      </c>
      <c r="D2691" t="inlineStr">
        <is>
          <t>TELHAR</t>
        </is>
      </c>
      <c r="F2691">
        <f>IFERROR(INDEX('BASE METAS DIÁRIAS'!$AA$2:$AC$358,MATCH($A2691,'BASE METAS DIÁRIAS'!$A$2:$A$358,0),2),"")</f>
        <v/>
      </c>
      <c r="G2691">
        <f>IFERROR(IF(WEEKDAY($A2691,2)&lt;=INDEX('BASE METAS DIÁRIAS'!$X$2:$Z$358,MATCH($A2691,'BASE METAS DIÁRIAS'!$A$2:$A$358,0),2),INDEX('BASE METAS DIÁRIAS'!$U$2:$W$358,MATCH($A2691,'BASE METAS DIÁRIAS'!$A$2:$A$358,0),2),""),"")</f>
        <v/>
      </c>
      <c r="H2691">
        <f>IFERROR(IF(INDEX('CONTROLE PRODUÇÃO POR EMPRESAS'!$H$6:$J$5000,MATCH($A2691,'CONTROLE PRODUÇÃO POR EMPRESAS'!$A$6:$A$5000,0),2)="","",IFERROR(1*INDEX('CONTROLE PRODUÇÃO POR EMPRESAS'!$H$6:$J$5000,MATCH($A2691,'CONTROLE PRODUÇÃO POR EMPRESAS'!$A$6:$A$5000,0),2),"")),"")</f>
        <v/>
      </c>
      <c r="I2691">
        <f>IF(OR(NOT(ISNUMBER(G2691)),NOT(ISNUMBER(H2691))),"",H2691-G2691)</f>
        <v/>
      </c>
      <c r="J2691">
        <f>IF(OR(NOT(ISNUMBER(G2691)),NOT(ISNUMBER(H2691)),G2691=0),"",I2691/G2691)</f>
        <v/>
      </c>
      <c r="K2691">
        <f>IF(OR(NOT(ISNUMBER(G2691)),NOT(ISNUMBER(H2691)),G2691=0),"",H2691/G2691)</f>
        <v/>
      </c>
      <c r="L2691">
        <f>IF(NOT(ISNUMBER(G2691)),"SEM META",IF(G2691=0,"SEM META",IF(NOT(ISNUMBER(H2691)),"SEM APONTAMENTO",IF(H2691&gt;=G2691,"VERDE",IF(H2691&gt;=G2691*0.9,"AMARELO","VERMELHO")))))</f>
        <v/>
      </c>
    </row>
    <row r="2692">
      <c r="A2692" s="321" t="n">
        <v>46405</v>
      </c>
      <c r="B2692" t="inlineStr">
        <is>
          <t>GERAL</t>
        </is>
      </c>
      <c r="C2692" t="inlineStr">
        <is>
          <t>GLOBO AÇOS</t>
        </is>
      </c>
      <c r="D2692" t="inlineStr">
        <is>
          <t>FECHAMENTO</t>
        </is>
      </c>
      <c r="F2692">
        <f>IFERROR(INDEX('BASE METAS DIÁRIAS'!$AA$2:$AC$358,MATCH($A2692,'BASE METAS DIÁRIAS'!$A$2:$A$358,0),3),"")</f>
        <v/>
      </c>
      <c r="G2692">
        <f>IFERROR(IF(WEEKDAY($A2692,2)&lt;=INDEX('BASE METAS DIÁRIAS'!$X$2:$Z$358,MATCH($A2692,'BASE METAS DIÁRIAS'!$A$2:$A$358,0),3),INDEX('BASE METAS DIÁRIAS'!$U$2:$W$358,MATCH($A2692,'BASE METAS DIÁRIAS'!$A$2:$A$358,0),3),""),"")</f>
        <v/>
      </c>
      <c r="H2692">
        <f>IFERROR(IF(INDEX('CONTROLE PRODUÇÃO POR EMPRESAS'!$H$6:$J$5000,MATCH($A2692,'CONTROLE PRODUÇÃO POR EMPRESAS'!$A$6:$A$5000,0),3)="","",IFERROR(1*INDEX('CONTROLE PRODUÇÃO POR EMPRESAS'!$H$6:$J$5000,MATCH($A2692,'CONTROLE PRODUÇÃO POR EMPRESAS'!$A$6:$A$5000,0),3),"")),"")</f>
        <v/>
      </c>
      <c r="I2692">
        <f>IF(OR(NOT(ISNUMBER(G2692)),NOT(ISNUMBER(H2692))),"",H2692-G2692)</f>
        <v/>
      </c>
      <c r="J2692">
        <f>IF(OR(NOT(ISNUMBER(G2692)),NOT(ISNUMBER(H2692)),G2692=0),"",I2692/G2692)</f>
        <v/>
      </c>
      <c r="K2692">
        <f>IF(OR(NOT(ISNUMBER(G2692)),NOT(ISNUMBER(H2692)),G2692=0),"",H2692/G2692)</f>
        <v/>
      </c>
      <c r="L2692">
        <f>IF(NOT(ISNUMBER(G2692)),"SEM META",IF(G2692=0,"SEM META",IF(NOT(ISNUMBER(H2692)),"SEM APONTAMENTO",IF(H2692&gt;=G2692,"VERDE",IF(H2692&gt;=G2692*0.9,"AMARELO","VERMELHO")))))</f>
        <v/>
      </c>
    </row>
    <row r="2693">
      <c r="A2693" s="321" t="n">
        <v>46406</v>
      </c>
      <c r="B2693" t="inlineStr">
        <is>
          <t>GERAL</t>
        </is>
      </c>
      <c r="C2693" t="inlineStr">
        <is>
          <t>GLOBO AÇOS</t>
        </is>
      </c>
      <c r="D2693" t="inlineStr">
        <is>
          <t>PERFILAÇÃO</t>
        </is>
      </c>
      <c r="F2693">
        <f>IFERROR(INDEX('BASE METAS DIÁRIAS'!$AA$2:$AC$358,MATCH($A2693,'BASE METAS DIÁRIAS'!$A$2:$A$358,0),1),"")</f>
        <v/>
      </c>
      <c r="G2693">
        <f>IFERROR(IF(WEEKDAY($A2693,2)&lt;=INDEX('BASE METAS DIÁRIAS'!$X$2:$Z$358,MATCH($A2693,'BASE METAS DIÁRIAS'!$A$2:$A$358,0),1),INDEX('BASE METAS DIÁRIAS'!$U$2:$W$358,MATCH($A2693,'BASE METAS DIÁRIAS'!$A$2:$A$358,0),1),""),"")</f>
        <v/>
      </c>
      <c r="H2693">
        <f>IFERROR(IF(INDEX('CONTROLE PRODUÇÃO POR EMPRESAS'!$H$6:$J$5000,MATCH($A2693,'CONTROLE PRODUÇÃO POR EMPRESAS'!$A$6:$A$5000,0),1)="","",IFERROR(1*INDEX('CONTROLE PRODUÇÃO POR EMPRESAS'!$H$6:$J$5000,MATCH($A2693,'CONTROLE PRODUÇÃO POR EMPRESAS'!$A$6:$A$5000,0),1),"")),"")</f>
        <v/>
      </c>
      <c r="I2693">
        <f>IF(OR(NOT(ISNUMBER(G2693)),NOT(ISNUMBER(H2693))),"",H2693-G2693)</f>
        <v/>
      </c>
      <c r="J2693">
        <f>IF(OR(NOT(ISNUMBER(G2693)),NOT(ISNUMBER(H2693)),G2693=0),"",I2693/G2693)</f>
        <v/>
      </c>
      <c r="K2693">
        <f>IF(OR(NOT(ISNUMBER(G2693)),NOT(ISNUMBER(H2693)),G2693=0),"",H2693/G2693)</f>
        <v/>
      </c>
      <c r="L2693">
        <f>IF(NOT(ISNUMBER(G2693)),"SEM META",IF(G2693=0,"SEM META",IF(NOT(ISNUMBER(H2693)),"SEM APONTAMENTO",IF(H2693&gt;=G2693,"VERDE",IF(H2693&gt;=G2693*0.9,"AMARELO","VERMELHO")))))</f>
        <v/>
      </c>
    </row>
    <row r="2694">
      <c r="A2694" s="321" t="n">
        <v>46406</v>
      </c>
      <c r="B2694" t="inlineStr">
        <is>
          <t>GERAL</t>
        </is>
      </c>
      <c r="C2694" t="inlineStr">
        <is>
          <t>GLOBO AÇOS</t>
        </is>
      </c>
      <c r="D2694" t="inlineStr">
        <is>
          <t>TELHAR</t>
        </is>
      </c>
      <c r="F2694">
        <f>IFERROR(INDEX('BASE METAS DIÁRIAS'!$AA$2:$AC$358,MATCH($A2694,'BASE METAS DIÁRIAS'!$A$2:$A$358,0),2),"")</f>
        <v/>
      </c>
      <c r="G2694">
        <f>IFERROR(IF(WEEKDAY($A2694,2)&lt;=INDEX('BASE METAS DIÁRIAS'!$X$2:$Z$358,MATCH($A2694,'BASE METAS DIÁRIAS'!$A$2:$A$358,0),2),INDEX('BASE METAS DIÁRIAS'!$U$2:$W$358,MATCH($A2694,'BASE METAS DIÁRIAS'!$A$2:$A$358,0),2),""),"")</f>
        <v/>
      </c>
      <c r="H2694">
        <f>IFERROR(IF(INDEX('CONTROLE PRODUÇÃO POR EMPRESAS'!$H$6:$J$5000,MATCH($A2694,'CONTROLE PRODUÇÃO POR EMPRESAS'!$A$6:$A$5000,0),2)="","",IFERROR(1*INDEX('CONTROLE PRODUÇÃO POR EMPRESAS'!$H$6:$J$5000,MATCH($A2694,'CONTROLE PRODUÇÃO POR EMPRESAS'!$A$6:$A$5000,0),2),"")),"")</f>
        <v/>
      </c>
      <c r="I2694">
        <f>IF(OR(NOT(ISNUMBER(G2694)),NOT(ISNUMBER(H2694))),"",H2694-G2694)</f>
        <v/>
      </c>
      <c r="J2694">
        <f>IF(OR(NOT(ISNUMBER(G2694)),NOT(ISNUMBER(H2694)),G2694=0),"",I2694/G2694)</f>
        <v/>
      </c>
      <c r="K2694">
        <f>IF(OR(NOT(ISNUMBER(G2694)),NOT(ISNUMBER(H2694)),G2694=0),"",H2694/G2694)</f>
        <v/>
      </c>
      <c r="L2694">
        <f>IF(NOT(ISNUMBER(G2694)),"SEM META",IF(G2694=0,"SEM META",IF(NOT(ISNUMBER(H2694)),"SEM APONTAMENTO",IF(H2694&gt;=G2694,"VERDE",IF(H2694&gt;=G2694*0.9,"AMARELO","VERMELHO")))))</f>
        <v/>
      </c>
    </row>
    <row r="2695">
      <c r="A2695" s="321" t="n">
        <v>46406</v>
      </c>
      <c r="B2695" t="inlineStr">
        <is>
          <t>GERAL</t>
        </is>
      </c>
      <c r="C2695" t="inlineStr">
        <is>
          <t>GLOBO AÇOS</t>
        </is>
      </c>
      <c r="D2695" t="inlineStr">
        <is>
          <t>FECHAMENTO</t>
        </is>
      </c>
      <c r="F2695">
        <f>IFERROR(INDEX('BASE METAS DIÁRIAS'!$AA$2:$AC$358,MATCH($A2695,'BASE METAS DIÁRIAS'!$A$2:$A$358,0),3),"")</f>
        <v/>
      </c>
      <c r="G2695">
        <f>IFERROR(IF(WEEKDAY($A2695,2)&lt;=INDEX('BASE METAS DIÁRIAS'!$X$2:$Z$358,MATCH($A2695,'BASE METAS DIÁRIAS'!$A$2:$A$358,0),3),INDEX('BASE METAS DIÁRIAS'!$U$2:$W$358,MATCH($A2695,'BASE METAS DIÁRIAS'!$A$2:$A$358,0),3),""),"")</f>
        <v/>
      </c>
      <c r="H2695">
        <f>IFERROR(IF(INDEX('CONTROLE PRODUÇÃO POR EMPRESAS'!$H$6:$J$5000,MATCH($A2695,'CONTROLE PRODUÇÃO POR EMPRESAS'!$A$6:$A$5000,0),3)="","",IFERROR(1*INDEX('CONTROLE PRODUÇÃO POR EMPRESAS'!$H$6:$J$5000,MATCH($A2695,'CONTROLE PRODUÇÃO POR EMPRESAS'!$A$6:$A$5000,0),3),"")),"")</f>
        <v/>
      </c>
      <c r="I2695">
        <f>IF(OR(NOT(ISNUMBER(G2695)),NOT(ISNUMBER(H2695))),"",H2695-G2695)</f>
        <v/>
      </c>
      <c r="J2695">
        <f>IF(OR(NOT(ISNUMBER(G2695)),NOT(ISNUMBER(H2695)),G2695=0),"",I2695/G2695)</f>
        <v/>
      </c>
      <c r="K2695">
        <f>IF(OR(NOT(ISNUMBER(G2695)),NOT(ISNUMBER(H2695)),G2695=0),"",H2695/G2695)</f>
        <v/>
      </c>
      <c r="L2695">
        <f>IF(NOT(ISNUMBER(G2695)),"SEM META",IF(G2695=0,"SEM META",IF(NOT(ISNUMBER(H2695)),"SEM APONTAMENTO",IF(H2695&gt;=G2695,"VERDE",IF(H2695&gt;=G2695*0.9,"AMARELO","VERMELHO")))))</f>
        <v/>
      </c>
    </row>
    <row r="2696">
      <c r="A2696" s="321" t="n">
        <v>46407</v>
      </c>
      <c r="B2696" t="inlineStr">
        <is>
          <t>GERAL</t>
        </is>
      </c>
      <c r="C2696" t="inlineStr">
        <is>
          <t>GLOBO AÇOS</t>
        </is>
      </c>
      <c r="D2696" t="inlineStr">
        <is>
          <t>PERFILAÇÃO</t>
        </is>
      </c>
      <c r="F2696">
        <f>IFERROR(INDEX('BASE METAS DIÁRIAS'!$AA$2:$AC$358,MATCH($A2696,'BASE METAS DIÁRIAS'!$A$2:$A$358,0),1),"")</f>
        <v/>
      </c>
      <c r="G2696">
        <f>IFERROR(IF(WEEKDAY($A2696,2)&lt;=INDEX('BASE METAS DIÁRIAS'!$X$2:$Z$358,MATCH($A2696,'BASE METAS DIÁRIAS'!$A$2:$A$358,0),1),INDEX('BASE METAS DIÁRIAS'!$U$2:$W$358,MATCH($A2696,'BASE METAS DIÁRIAS'!$A$2:$A$358,0),1),""),"")</f>
        <v/>
      </c>
      <c r="H2696">
        <f>IFERROR(IF(INDEX('CONTROLE PRODUÇÃO POR EMPRESAS'!$H$6:$J$5000,MATCH($A2696,'CONTROLE PRODUÇÃO POR EMPRESAS'!$A$6:$A$5000,0),1)="","",IFERROR(1*INDEX('CONTROLE PRODUÇÃO POR EMPRESAS'!$H$6:$J$5000,MATCH($A2696,'CONTROLE PRODUÇÃO POR EMPRESAS'!$A$6:$A$5000,0),1),"")),"")</f>
        <v/>
      </c>
      <c r="I2696">
        <f>IF(OR(NOT(ISNUMBER(G2696)),NOT(ISNUMBER(H2696))),"",H2696-G2696)</f>
        <v/>
      </c>
      <c r="J2696">
        <f>IF(OR(NOT(ISNUMBER(G2696)),NOT(ISNUMBER(H2696)),G2696=0),"",I2696/G2696)</f>
        <v/>
      </c>
      <c r="K2696">
        <f>IF(OR(NOT(ISNUMBER(G2696)),NOT(ISNUMBER(H2696)),G2696=0),"",H2696/G2696)</f>
        <v/>
      </c>
      <c r="L2696">
        <f>IF(NOT(ISNUMBER(G2696)),"SEM META",IF(G2696=0,"SEM META",IF(NOT(ISNUMBER(H2696)),"SEM APONTAMENTO",IF(H2696&gt;=G2696,"VERDE",IF(H2696&gt;=G2696*0.9,"AMARELO","VERMELHO")))))</f>
        <v/>
      </c>
    </row>
    <row r="2697">
      <c r="A2697" s="321" t="n">
        <v>46407</v>
      </c>
      <c r="B2697" t="inlineStr">
        <is>
          <t>GERAL</t>
        </is>
      </c>
      <c r="C2697" t="inlineStr">
        <is>
          <t>GLOBO AÇOS</t>
        </is>
      </c>
      <c r="D2697" t="inlineStr">
        <is>
          <t>TELHAR</t>
        </is>
      </c>
      <c r="F2697">
        <f>IFERROR(INDEX('BASE METAS DIÁRIAS'!$AA$2:$AC$358,MATCH($A2697,'BASE METAS DIÁRIAS'!$A$2:$A$358,0),2),"")</f>
        <v/>
      </c>
      <c r="G2697">
        <f>IFERROR(IF(WEEKDAY($A2697,2)&lt;=INDEX('BASE METAS DIÁRIAS'!$X$2:$Z$358,MATCH($A2697,'BASE METAS DIÁRIAS'!$A$2:$A$358,0),2),INDEX('BASE METAS DIÁRIAS'!$U$2:$W$358,MATCH($A2697,'BASE METAS DIÁRIAS'!$A$2:$A$358,0),2),""),"")</f>
        <v/>
      </c>
      <c r="H2697">
        <f>IFERROR(IF(INDEX('CONTROLE PRODUÇÃO POR EMPRESAS'!$H$6:$J$5000,MATCH($A2697,'CONTROLE PRODUÇÃO POR EMPRESAS'!$A$6:$A$5000,0),2)="","",IFERROR(1*INDEX('CONTROLE PRODUÇÃO POR EMPRESAS'!$H$6:$J$5000,MATCH($A2697,'CONTROLE PRODUÇÃO POR EMPRESAS'!$A$6:$A$5000,0),2),"")),"")</f>
        <v/>
      </c>
      <c r="I2697">
        <f>IF(OR(NOT(ISNUMBER(G2697)),NOT(ISNUMBER(H2697))),"",H2697-G2697)</f>
        <v/>
      </c>
      <c r="J2697">
        <f>IF(OR(NOT(ISNUMBER(G2697)),NOT(ISNUMBER(H2697)),G2697=0),"",I2697/G2697)</f>
        <v/>
      </c>
      <c r="K2697">
        <f>IF(OR(NOT(ISNUMBER(G2697)),NOT(ISNUMBER(H2697)),G2697=0),"",H2697/G2697)</f>
        <v/>
      </c>
      <c r="L2697">
        <f>IF(NOT(ISNUMBER(G2697)),"SEM META",IF(G2697=0,"SEM META",IF(NOT(ISNUMBER(H2697)),"SEM APONTAMENTO",IF(H2697&gt;=G2697,"VERDE",IF(H2697&gt;=G2697*0.9,"AMARELO","VERMELHO")))))</f>
        <v/>
      </c>
    </row>
    <row r="2698">
      <c r="A2698" s="321" t="n">
        <v>46407</v>
      </c>
      <c r="B2698" t="inlineStr">
        <is>
          <t>GERAL</t>
        </is>
      </c>
      <c r="C2698" t="inlineStr">
        <is>
          <t>GLOBO AÇOS</t>
        </is>
      </c>
      <c r="D2698" t="inlineStr">
        <is>
          <t>FECHAMENTO</t>
        </is>
      </c>
      <c r="F2698">
        <f>IFERROR(INDEX('BASE METAS DIÁRIAS'!$AA$2:$AC$358,MATCH($A2698,'BASE METAS DIÁRIAS'!$A$2:$A$358,0),3),"")</f>
        <v/>
      </c>
      <c r="G2698">
        <f>IFERROR(IF(WEEKDAY($A2698,2)&lt;=INDEX('BASE METAS DIÁRIAS'!$X$2:$Z$358,MATCH($A2698,'BASE METAS DIÁRIAS'!$A$2:$A$358,0),3),INDEX('BASE METAS DIÁRIAS'!$U$2:$W$358,MATCH($A2698,'BASE METAS DIÁRIAS'!$A$2:$A$358,0),3),""),"")</f>
        <v/>
      </c>
      <c r="H2698">
        <f>IFERROR(IF(INDEX('CONTROLE PRODUÇÃO POR EMPRESAS'!$H$6:$J$5000,MATCH($A2698,'CONTROLE PRODUÇÃO POR EMPRESAS'!$A$6:$A$5000,0),3)="","",IFERROR(1*INDEX('CONTROLE PRODUÇÃO POR EMPRESAS'!$H$6:$J$5000,MATCH($A2698,'CONTROLE PRODUÇÃO POR EMPRESAS'!$A$6:$A$5000,0),3),"")),"")</f>
        <v/>
      </c>
      <c r="I2698">
        <f>IF(OR(NOT(ISNUMBER(G2698)),NOT(ISNUMBER(H2698))),"",H2698-G2698)</f>
        <v/>
      </c>
      <c r="J2698">
        <f>IF(OR(NOT(ISNUMBER(G2698)),NOT(ISNUMBER(H2698)),G2698=0),"",I2698/G2698)</f>
        <v/>
      </c>
      <c r="K2698">
        <f>IF(OR(NOT(ISNUMBER(G2698)),NOT(ISNUMBER(H2698)),G2698=0),"",H2698/G2698)</f>
        <v/>
      </c>
      <c r="L2698">
        <f>IF(NOT(ISNUMBER(G2698)),"SEM META",IF(G2698=0,"SEM META",IF(NOT(ISNUMBER(H2698)),"SEM APONTAMENTO",IF(H2698&gt;=G2698,"VERDE",IF(H2698&gt;=G2698*0.9,"AMARELO","VERMELHO")))))</f>
        <v/>
      </c>
    </row>
    <row r="2699">
      <c r="A2699" s="321" t="n">
        <v>46408</v>
      </c>
      <c r="B2699" t="inlineStr">
        <is>
          <t>GERAL</t>
        </is>
      </c>
      <c r="C2699" t="inlineStr">
        <is>
          <t>GLOBO AÇOS</t>
        </is>
      </c>
      <c r="D2699" t="inlineStr">
        <is>
          <t>PERFILAÇÃO</t>
        </is>
      </c>
      <c r="F2699">
        <f>IFERROR(INDEX('BASE METAS DIÁRIAS'!$AA$2:$AC$358,MATCH($A2699,'BASE METAS DIÁRIAS'!$A$2:$A$358,0),1),"")</f>
        <v/>
      </c>
      <c r="G2699">
        <f>IFERROR(IF(WEEKDAY($A2699,2)&lt;=INDEX('BASE METAS DIÁRIAS'!$X$2:$Z$358,MATCH($A2699,'BASE METAS DIÁRIAS'!$A$2:$A$358,0),1),INDEX('BASE METAS DIÁRIAS'!$U$2:$W$358,MATCH($A2699,'BASE METAS DIÁRIAS'!$A$2:$A$358,0),1),""),"")</f>
        <v/>
      </c>
      <c r="H2699">
        <f>IFERROR(IF(INDEX('CONTROLE PRODUÇÃO POR EMPRESAS'!$H$6:$J$5000,MATCH($A2699,'CONTROLE PRODUÇÃO POR EMPRESAS'!$A$6:$A$5000,0),1)="","",IFERROR(1*INDEX('CONTROLE PRODUÇÃO POR EMPRESAS'!$H$6:$J$5000,MATCH($A2699,'CONTROLE PRODUÇÃO POR EMPRESAS'!$A$6:$A$5000,0),1),"")),"")</f>
        <v/>
      </c>
      <c r="I2699">
        <f>IF(OR(NOT(ISNUMBER(G2699)),NOT(ISNUMBER(H2699))),"",H2699-G2699)</f>
        <v/>
      </c>
      <c r="J2699">
        <f>IF(OR(NOT(ISNUMBER(G2699)),NOT(ISNUMBER(H2699)),G2699=0),"",I2699/G2699)</f>
        <v/>
      </c>
      <c r="K2699">
        <f>IF(OR(NOT(ISNUMBER(G2699)),NOT(ISNUMBER(H2699)),G2699=0),"",H2699/G2699)</f>
        <v/>
      </c>
      <c r="L2699">
        <f>IF(NOT(ISNUMBER(G2699)),"SEM META",IF(G2699=0,"SEM META",IF(NOT(ISNUMBER(H2699)),"SEM APONTAMENTO",IF(H2699&gt;=G2699,"VERDE",IF(H2699&gt;=G2699*0.9,"AMARELO","VERMELHO")))))</f>
        <v/>
      </c>
    </row>
    <row r="2700">
      <c r="A2700" s="321" t="n">
        <v>46408</v>
      </c>
      <c r="B2700" t="inlineStr">
        <is>
          <t>GERAL</t>
        </is>
      </c>
      <c r="C2700" t="inlineStr">
        <is>
          <t>GLOBO AÇOS</t>
        </is>
      </c>
      <c r="D2700" t="inlineStr">
        <is>
          <t>TELHAR</t>
        </is>
      </c>
      <c r="F2700">
        <f>IFERROR(INDEX('BASE METAS DIÁRIAS'!$AA$2:$AC$358,MATCH($A2700,'BASE METAS DIÁRIAS'!$A$2:$A$358,0),2),"")</f>
        <v/>
      </c>
      <c r="G2700">
        <f>IFERROR(IF(WEEKDAY($A2700,2)&lt;=INDEX('BASE METAS DIÁRIAS'!$X$2:$Z$358,MATCH($A2700,'BASE METAS DIÁRIAS'!$A$2:$A$358,0),2),INDEX('BASE METAS DIÁRIAS'!$U$2:$W$358,MATCH($A2700,'BASE METAS DIÁRIAS'!$A$2:$A$358,0),2),""),"")</f>
        <v/>
      </c>
      <c r="H2700">
        <f>IFERROR(IF(INDEX('CONTROLE PRODUÇÃO POR EMPRESAS'!$H$6:$J$5000,MATCH($A2700,'CONTROLE PRODUÇÃO POR EMPRESAS'!$A$6:$A$5000,0),2)="","",IFERROR(1*INDEX('CONTROLE PRODUÇÃO POR EMPRESAS'!$H$6:$J$5000,MATCH($A2700,'CONTROLE PRODUÇÃO POR EMPRESAS'!$A$6:$A$5000,0),2),"")),"")</f>
        <v/>
      </c>
      <c r="I2700">
        <f>IF(OR(NOT(ISNUMBER(G2700)),NOT(ISNUMBER(H2700))),"",H2700-G2700)</f>
        <v/>
      </c>
      <c r="J2700">
        <f>IF(OR(NOT(ISNUMBER(G2700)),NOT(ISNUMBER(H2700)),G2700=0),"",I2700/G2700)</f>
        <v/>
      </c>
      <c r="K2700">
        <f>IF(OR(NOT(ISNUMBER(G2700)),NOT(ISNUMBER(H2700)),G2700=0),"",H2700/G2700)</f>
        <v/>
      </c>
      <c r="L2700">
        <f>IF(NOT(ISNUMBER(G2700)),"SEM META",IF(G2700=0,"SEM META",IF(NOT(ISNUMBER(H2700)),"SEM APONTAMENTO",IF(H2700&gt;=G2700,"VERDE",IF(H2700&gt;=G2700*0.9,"AMARELO","VERMELHO")))))</f>
        <v/>
      </c>
    </row>
    <row r="2701">
      <c r="A2701" s="321" t="n">
        <v>46408</v>
      </c>
      <c r="B2701" t="inlineStr">
        <is>
          <t>GERAL</t>
        </is>
      </c>
      <c r="C2701" t="inlineStr">
        <is>
          <t>GLOBO AÇOS</t>
        </is>
      </c>
      <c r="D2701" t="inlineStr">
        <is>
          <t>FECHAMENTO</t>
        </is>
      </c>
      <c r="F2701">
        <f>IFERROR(INDEX('BASE METAS DIÁRIAS'!$AA$2:$AC$358,MATCH($A2701,'BASE METAS DIÁRIAS'!$A$2:$A$358,0),3),"")</f>
        <v/>
      </c>
      <c r="G2701">
        <f>IFERROR(IF(WEEKDAY($A2701,2)&lt;=INDEX('BASE METAS DIÁRIAS'!$X$2:$Z$358,MATCH($A2701,'BASE METAS DIÁRIAS'!$A$2:$A$358,0),3),INDEX('BASE METAS DIÁRIAS'!$U$2:$W$358,MATCH($A2701,'BASE METAS DIÁRIAS'!$A$2:$A$358,0),3),""),"")</f>
        <v/>
      </c>
      <c r="H2701">
        <f>IFERROR(IF(INDEX('CONTROLE PRODUÇÃO POR EMPRESAS'!$H$6:$J$5000,MATCH($A2701,'CONTROLE PRODUÇÃO POR EMPRESAS'!$A$6:$A$5000,0),3)="","",IFERROR(1*INDEX('CONTROLE PRODUÇÃO POR EMPRESAS'!$H$6:$J$5000,MATCH($A2701,'CONTROLE PRODUÇÃO POR EMPRESAS'!$A$6:$A$5000,0),3),"")),"")</f>
        <v/>
      </c>
      <c r="I2701">
        <f>IF(OR(NOT(ISNUMBER(G2701)),NOT(ISNUMBER(H2701))),"",H2701-G2701)</f>
        <v/>
      </c>
      <c r="J2701">
        <f>IF(OR(NOT(ISNUMBER(G2701)),NOT(ISNUMBER(H2701)),G2701=0),"",I2701/G2701)</f>
        <v/>
      </c>
      <c r="K2701">
        <f>IF(OR(NOT(ISNUMBER(G2701)),NOT(ISNUMBER(H2701)),G2701=0),"",H2701/G2701)</f>
        <v/>
      </c>
      <c r="L2701">
        <f>IF(NOT(ISNUMBER(G2701)),"SEM META",IF(G2701=0,"SEM META",IF(NOT(ISNUMBER(H2701)),"SEM APONTAMENTO",IF(H2701&gt;=G2701,"VERDE",IF(H2701&gt;=G2701*0.9,"AMARELO","VERMELHO")))))</f>
        <v/>
      </c>
    </row>
    <row r="2702">
      <c r="A2702" s="321" t="n">
        <v>46409</v>
      </c>
      <c r="B2702" t="inlineStr">
        <is>
          <t>GERAL</t>
        </is>
      </c>
      <c r="C2702" t="inlineStr">
        <is>
          <t>GLOBO AÇOS</t>
        </is>
      </c>
      <c r="D2702" t="inlineStr">
        <is>
          <t>PERFILAÇÃO</t>
        </is>
      </c>
      <c r="F2702">
        <f>IFERROR(INDEX('BASE METAS DIÁRIAS'!$AA$2:$AC$358,MATCH($A2702,'BASE METAS DIÁRIAS'!$A$2:$A$358,0),1),"")</f>
        <v/>
      </c>
      <c r="G2702">
        <f>IFERROR(IF(WEEKDAY($A2702,2)&lt;=INDEX('BASE METAS DIÁRIAS'!$X$2:$Z$358,MATCH($A2702,'BASE METAS DIÁRIAS'!$A$2:$A$358,0),1),INDEX('BASE METAS DIÁRIAS'!$U$2:$W$358,MATCH($A2702,'BASE METAS DIÁRIAS'!$A$2:$A$358,0),1),""),"")</f>
        <v/>
      </c>
      <c r="H2702">
        <f>IFERROR(IF(INDEX('CONTROLE PRODUÇÃO POR EMPRESAS'!$H$6:$J$5000,MATCH($A2702,'CONTROLE PRODUÇÃO POR EMPRESAS'!$A$6:$A$5000,0),1)="","",IFERROR(1*INDEX('CONTROLE PRODUÇÃO POR EMPRESAS'!$H$6:$J$5000,MATCH($A2702,'CONTROLE PRODUÇÃO POR EMPRESAS'!$A$6:$A$5000,0),1),"")),"")</f>
        <v/>
      </c>
      <c r="I2702">
        <f>IF(OR(NOT(ISNUMBER(G2702)),NOT(ISNUMBER(H2702))),"",H2702-G2702)</f>
        <v/>
      </c>
      <c r="J2702">
        <f>IF(OR(NOT(ISNUMBER(G2702)),NOT(ISNUMBER(H2702)),G2702=0),"",I2702/G2702)</f>
        <v/>
      </c>
      <c r="K2702">
        <f>IF(OR(NOT(ISNUMBER(G2702)),NOT(ISNUMBER(H2702)),G2702=0),"",H2702/G2702)</f>
        <v/>
      </c>
      <c r="L2702">
        <f>IF(NOT(ISNUMBER(G2702)),"SEM META",IF(G2702=0,"SEM META",IF(NOT(ISNUMBER(H2702)),"SEM APONTAMENTO",IF(H2702&gt;=G2702,"VERDE",IF(H2702&gt;=G2702*0.9,"AMARELO","VERMELHO")))))</f>
        <v/>
      </c>
    </row>
    <row r="2703">
      <c r="A2703" s="321" t="n">
        <v>46409</v>
      </c>
      <c r="B2703" t="inlineStr">
        <is>
          <t>GERAL</t>
        </is>
      </c>
      <c r="C2703" t="inlineStr">
        <is>
          <t>GLOBO AÇOS</t>
        </is>
      </c>
      <c r="D2703" t="inlineStr">
        <is>
          <t>TELHAR</t>
        </is>
      </c>
      <c r="F2703">
        <f>IFERROR(INDEX('BASE METAS DIÁRIAS'!$AA$2:$AC$358,MATCH($A2703,'BASE METAS DIÁRIAS'!$A$2:$A$358,0),2),"")</f>
        <v/>
      </c>
      <c r="G2703">
        <f>IFERROR(IF(WEEKDAY($A2703,2)&lt;=INDEX('BASE METAS DIÁRIAS'!$X$2:$Z$358,MATCH($A2703,'BASE METAS DIÁRIAS'!$A$2:$A$358,0),2),INDEX('BASE METAS DIÁRIAS'!$U$2:$W$358,MATCH($A2703,'BASE METAS DIÁRIAS'!$A$2:$A$358,0),2),""),"")</f>
        <v/>
      </c>
      <c r="H2703">
        <f>IFERROR(IF(INDEX('CONTROLE PRODUÇÃO POR EMPRESAS'!$H$6:$J$5000,MATCH($A2703,'CONTROLE PRODUÇÃO POR EMPRESAS'!$A$6:$A$5000,0),2)="","",IFERROR(1*INDEX('CONTROLE PRODUÇÃO POR EMPRESAS'!$H$6:$J$5000,MATCH($A2703,'CONTROLE PRODUÇÃO POR EMPRESAS'!$A$6:$A$5000,0),2),"")),"")</f>
        <v/>
      </c>
      <c r="I2703">
        <f>IF(OR(NOT(ISNUMBER(G2703)),NOT(ISNUMBER(H2703))),"",H2703-G2703)</f>
        <v/>
      </c>
      <c r="J2703">
        <f>IF(OR(NOT(ISNUMBER(G2703)),NOT(ISNUMBER(H2703)),G2703=0),"",I2703/G2703)</f>
        <v/>
      </c>
      <c r="K2703">
        <f>IF(OR(NOT(ISNUMBER(G2703)),NOT(ISNUMBER(H2703)),G2703=0),"",H2703/G2703)</f>
        <v/>
      </c>
      <c r="L2703">
        <f>IF(NOT(ISNUMBER(G2703)),"SEM META",IF(G2703=0,"SEM META",IF(NOT(ISNUMBER(H2703)),"SEM APONTAMENTO",IF(H2703&gt;=G2703,"VERDE",IF(H2703&gt;=G2703*0.9,"AMARELO","VERMELHO")))))</f>
        <v/>
      </c>
    </row>
    <row r="2704">
      <c r="A2704" s="321" t="n">
        <v>46409</v>
      </c>
      <c r="B2704" t="inlineStr">
        <is>
          <t>GERAL</t>
        </is>
      </c>
      <c r="C2704" t="inlineStr">
        <is>
          <t>GLOBO AÇOS</t>
        </is>
      </c>
      <c r="D2704" t="inlineStr">
        <is>
          <t>FECHAMENTO</t>
        </is>
      </c>
      <c r="F2704">
        <f>IFERROR(INDEX('BASE METAS DIÁRIAS'!$AA$2:$AC$358,MATCH($A2704,'BASE METAS DIÁRIAS'!$A$2:$A$358,0),3),"")</f>
        <v/>
      </c>
      <c r="G2704">
        <f>IFERROR(IF(WEEKDAY($A2704,2)&lt;=INDEX('BASE METAS DIÁRIAS'!$X$2:$Z$358,MATCH($A2704,'BASE METAS DIÁRIAS'!$A$2:$A$358,0),3),INDEX('BASE METAS DIÁRIAS'!$U$2:$W$358,MATCH($A2704,'BASE METAS DIÁRIAS'!$A$2:$A$358,0),3),""),"")</f>
        <v/>
      </c>
      <c r="H2704">
        <f>IFERROR(IF(INDEX('CONTROLE PRODUÇÃO POR EMPRESAS'!$H$6:$J$5000,MATCH($A2704,'CONTROLE PRODUÇÃO POR EMPRESAS'!$A$6:$A$5000,0),3)="","",IFERROR(1*INDEX('CONTROLE PRODUÇÃO POR EMPRESAS'!$H$6:$J$5000,MATCH($A2704,'CONTROLE PRODUÇÃO POR EMPRESAS'!$A$6:$A$5000,0),3),"")),"")</f>
        <v/>
      </c>
      <c r="I2704">
        <f>IF(OR(NOT(ISNUMBER(G2704)),NOT(ISNUMBER(H2704))),"",H2704-G2704)</f>
        <v/>
      </c>
      <c r="J2704">
        <f>IF(OR(NOT(ISNUMBER(G2704)),NOT(ISNUMBER(H2704)),G2704=0),"",I2704/G2704)</f>
        <v/>
      </c>
      <c r="K2704">
        <f>IF(OR(NOT(ISNUMBER(G2704)),NOT(ISNUMBER(H2704)),G2704=0),"",H2704/G2704)</f>
        <v/>
      </c>
      <c r="L2704">
        <f>IF(NOT(ISNUMBER(G2704)),"SEM META",IF(G2704=0,"SEM META",IF(NOT(ISNUMBER(H2704)),"SEM APONTAMENTO",IF(H2704&gt;=G2704,"VERDE",IF(H2704&gt;=G2704*0.9,"AMARELO","VERMELHO")))))</f>
        <v/>
      </c>
    </row>
    <row r="2705">
      <c r="A2705" s="321" t="n">
        <v>46410</v>
      </c>
      <c r="B2705" t="inlineStr">
        <is>
          <t>GERAL</t>
        </is>
      </c>
      <c r="C2705" t="inlineStr">
        <is>
          <t>GLOBO AÇOS</t>
        </is>
      </c>
      <c r="D2705" t="inlineStr">
        <is>
          <t>PERFILAÇÃO</t>
        </is>
      </c>
      <c r="F2705">
        <f>IFERROR(INDEX('BASE METAS DIÁRIAS'!$AA$2:$AC$358,MATCH($A2705,'BASE METAS DIÁRIAS'!$A$2:$A$358,0),1),"")</f>
        <v/>
      </c>
      <c r="G2705">
        <f>IFERROR(IF(WEEKDAY($A2705,2)&lt;=INDEX('BASE METAS DIÁRIAS'!$X$2:$Z$358,MATCH($A2705,'BASE METAS DIÁRIAS'!$A$2:$A$358,0),1),INDEX('BASE METAS DIÁRIAS'!$U$2:$W$358,MATCH($A2705,'BASE METAS DIÁRIAS'!$A$2:$A$358,0),1),""),"")</f>
        <v/>
      </c>
      <c r="H2705">
        <f>IFERROR(IF(INDEX('CONTROLE PRODUÇÃO POR EMPRESAS'!$H$6:$J$5000,MATCH($A2705,'CONTROLE PRODUÇÃO POR EMPRESAS'!$A$6:$A$5000,0),1)="","",IFERROR(1*INDEX('CONTROLE PRODUÇÃO POR EMPRESAS'!$H$6:$J$5000,MATCH($A2705,'CONTROLE PRODUÇÃO POR EMPRESAS'!$A$6:$A$5000,0),1),"")),"")</f>
        <v/>
      </c>
      <c r="I2705">
        <f>IF(OR(NOT(ISNUMBER(G2705)),NOT(ISNUMBER(H2705))),"",H2705-G2705)</f>
        <v/>
      </c>
      <c r="J2705">
        <f>IF(OR(NOT(ISNUMBER(G2705)),NOT(ISNUMBER(H2705)),G2705=0),"",I2705/G2705)</f>
        <v/>
      </c>
      <c r="K2705">
        <f>IF(OR(NOT(ISNUMBER(G2705)),NOT(ISNUMBER(H2705)),G2705=0),"",H2705/G2705)</f>
        <v/>
      </c>
      <c r="L2705">
        <f>IF(NOT(ISNUMBER(G2705)),"SEM META",IF(G2705=0,"SEM META",IF(NOT(ISNUMBER(H2705)),"SEM APONTAMENTO",IF(H2705&gt;=G2705,"VERDE",IF(H2705&gt;=G2705*0.9,"AMARELO","VERMELHO")))))</f>
        <v/>
      </c>
    </row>
    <row r="2706">
      <c r="A2706" s="321" t="n">
        <v>46410</v>
      </c>
      <c r="B2706" t="inlineStr">
        <is>
          <t>GERAL</t>
        </is>
      </c>
      <c r="C2706" t="inlineStr">
        <is>
          <t>GLOBO AÇOS</t>
        </is>
      </c>
      <c r="D2706" t="inlineStr">
        <is>
          <t>TELHAR</t>
        </is>
      </c>
      <c r="F2706">
        <f>IFERROR(INDEX('BASE METAS DIÁRIAS'!$AA$2:$AC$358,MATCH($A2706,'BASE METAS DIÁRIAS'!$A$2:$A$358,0),2),"")</f>
        <v/>
      </c>
      <c r="G2706">
        <f>IFERROR(IF(WEEKDAY($A2706,2)&lt;=INDEX('BASE METAS DIÁRIAS'!$X$2:$Z$358,MATCH($A2706,'BASE METAS DIÁRIAS'!$A$2:$A$358,0),2),INDEX('BASE METAS DIÁRIAS'!$U$2:$W$358,MATCH($A2706,'BASE METAS DIÁRIAS'!$A$2:$A$358,0),2),""),"")</f>
        <v/>
      </c>
      <c r="H2706">
        <f>IFERROR(IF(INDEX('CONTROLE PRODUÇÃO POR EMPRESAS'!$H$6:$J$5000,MATCH($A2706,'CONTROLE PRODUÇÃO POR EMPRESAS'!$A$6:$A$5000,0),2)="","",IFERROR(1*INDEX('CONTROLE PRODUÇÃO POR EMPRESAS'!$H$6:$J$5000,MATCH($A2706,'CONTROLE PRODUÇÃO POR EMPRESAS'!$A$6:$A$5000,0),2),"")),"")</f>
        <v/>
      </c>
      <c r="I2706">
        <f>IF(OR(NOT(ISNUMBER(G2706)),NOT(ISNUMBER(H2706))),"",H2706-G2706)</f>
        <v/>
      </c>
      <c r="J2706">
        <f>IF(OR(NOT(ISNUMBER(G2706)),NOT(ISNUMBER(H2706)),G2706=0),"",I2706/G2706)</f>
        <v/>
      </c>
      <c r="K2706">
        <f>IF(OR(NOT(ISNUMBER(G2706)),NOT(ISNUMBER(H2706)),G2706=0),"",H2706/G2706)</f>
        <v/>
      </c>
      <c r="L2706">
        <f>IF(NOT(ISNUMBER(G2706)),"SEM META",IF(G2706=0,"SEM META",IF(NOT(ISNUMBER(H2706)),"SEM APONTAMENTO",IF(H2706&gt;=G2706,"VERDE",IF(H2706&gt;=G2706*0.9,"AMARELO","VERMELHO")))))</f>
        <v/>
      </c>
    </row>
    <row r="2707">
      <c r="A2707" s="321" t="n">
        <v>46410</v>
      </c>
      <c r="B2707" t="inlineStr">
        <is>
          <t>GERAL</t>
        </is>
      </c>
      <c r="C2707" t="inlineStr">
        <is>
          <t>GLOBO AÇOS</t>
        </is>
      </c>
      <c r="D2707" t="inlineStr">
        <is>
          <t>FECHAMENTO</t>
        </is>
      </c>
      <c r="F2707">
        <f>IFERROR(INDEX('BASE METAS DIÁRIAS'!$AA$2:$AC$358,MATCH($A2707,'BASE METAS DIÁRIAS'!$A$2:$A$358,0),3),"")</f>
        <v/>
      </c>
      <c r="G2707">
        <f>IFERROR(IF(WEEKDAY($A2707,2)&lt;=INDEX('BASE METAS DIÁRIAS'!$X$2:$Z$358,MATCH($A2707,'BASE METAS DIÁRIAS'!$A$2:$A$358,0),3),INDEX('BASE METAS DIÁRIAS'!$U$2:$W$358,MATCH($A2707,'BASE METAS DIÁRIAS'!$A$2:$A$358,0),3),""),"")</f>
        <v/>
      </c>
      <c r="H2707">
        <f>IFERROR(IF(INDEX('CONTROLE PRODUÇÃO POR EMPRESAS'!$H$6:$J$5000,MATCH($A2707,'CONTROLE PRODUÇÃO POR EMPRESAS'!$A$6:$A$5000,0),3)="","",IFERROR(1*INDEX('CONTROLE PRODUÇÃO POR EMPRESAS'!$H$6:$J$5000,MATCH($A2707,'CONTROLE PRODUÇÃO POR EMPRESAS'!$A$6:$A$5000,0),3),"")),"")</f>
        <v/>
      </c>
      <c r="I2707">
        <f>IF(OR(NOT(ISNUMBER(G2707)),NOT(ISNUMBER(H2707))),"",H2707-G2707)</f>
        <v/>
      </c>
      <c r="J2707">
        <f>IF(OR(NOT(ISNUMBER(G2707)),NOT(ISNUMBER(H2707)),G2707=0),"",I2707/G2707)</f>
        <v/>
      </c>
      <c r="K2707">
        <f>IF(OR(NOT(ISNUMBER(G2707)),NOT(ISNUMBER(H2707)),G2707=0),"",H2707/G2707)</f>
        <v/>
      </c>
      <c r="L2707">
        <f>IF(NOT(ISNUMBER(G2707)),"SEM META",IF(G2707=0,"SEM META",IF(NOT(ISNUMBER(H2707)),"SEM APONTAMENTO",IF(H2707&gt;=G2707,"VERDE",IF(H2707&gt;=G2707*0.9,"AMARELO","VERMELHO")))))</f>
        <v/>
      </c>
    </row>
    <row r="2708">
      <c r="A2708" s="321" t="n">
        <v>46411</v>
      </c>
      <c r="B2708" t="inlineStr">
        <is>
          <t>GERAL</t>
        </is>
      </c>
      <c r="C2708" t="inlineStr">
        <is>
          <t>GLOBO AÇOS</t>
        </is>
      </c>
      <c r="D2708" t="inlineStr">
        <is>
          <t>PERFILAÇÃO</t>
        </is>
      </c>
      <c r="F2708">
        <f>IFERROR(INDEX('BASE METAS DIÁRIAS'!$AA$2:$AC$358,MATCH($A2708,'BASE METAS DIÁRIAS'!$A$2:$A$358,0),1),"")</f>
        <v/>
      </c>
      <c r="G2708">
        <f>IFERROR(IF(WEEKDAY($A2708,2)&lt;=INDEX('BASE METAS DIÁRIAS'!$X$2:$Z$358,MATCH($A2708,'BASE METAS DIÁRIAS'!$A$2:$A$358,0),1),INDEX('BASE METAS DIÁRIAS'!$U$2:$W$358,MATCH($A2708,'BASE METAS DIÁRIAS'!$A$2:$A$358,0),1),""),"")</f>
        <v/>
      </c>
      <c r="H2708">
        <f>IFERROR(IF(INDEX('CONTROLE PRODUÇÃO POR EMPRESAS'!$H$6:$J$5000,MATCH($A2708,'CONTROLE PRODUÇÃO POR EMPRESAS'!$A$6:$A$5000,0),1)="","",IFERROR(1*INDEX('CONTROLE PRODUÇÃO POR EMPRESAS'!$H$6:$J$5000,MATCH($A2708,'CONTROLE PRODUÇÃO POR EMPRESAS'!$A$6:$A$5000,0),1),"")),"")</f>
        <v/>
      </c>
      <c r="I2708">
        <f>IF(OR(NOT(ISNUMBER(G2708)),NOT(ISNUMBER(H2708))),"",H2708-G2708)</f>
        <v/>
      </c>
      <c r="J2708">
        <f>IF(OR(NOT(ISNUMBER(G2708)),NOT(ISNUMBER(H2708)),G2708=0),"",I2708/G2708)</f>
        <v/>
      </c>
      <c r="K2708">
        <f>IF(OR(NOT(ISNUMBER(G2708)),NOT(ISNUMBER(H2708)),G2708=0),"",H2708/G2708)</f>
        <v/>
      </c>
      <c r="L2708">
        <f>IF(NOT(ISNUMBER(G2708)),"SEM META",IF(G2708=0,"SEM META",IF(NOT(ISNUMBER(H2708)),"SEM APONTAMENTO",IF(H2708&gt;=G2708,"VERDE",IF(H2708&gt;=G2708*0.9,"AMARELO","VERMELHO")))))</f>
        <v/>
      </c>
    </row>
    <row r="2709">
      <c r="A2709" s="321" t="n">
        <v>46411</v>
      </c>
      <c r="B2709" t="inlineStr">
        <is>
          <t>GERAL</t>
        </is>
      </c>
      <c r="C2709" t="inlineStr">
        <is>
          <t>GLOBO AÇOS</t>
        </is>
      </c>
      <c r="D2709" t="inlineStr">
        <is>
          <t>TELHAR</t>
        </is>
      </c>
      <c r="F2709">
        <f>IFERROR(INDEX('BASE METAS DIÁRIAS'!$AA$2:$AC$358,MATCH($A2709,'BASE METAS DIÁRIAS'!$A$2:$A$358,0),2),"")</f>
        <v/>
      </c>
      <c r="G2709">
        <f>IFERROR(IF(WEEKDAY($A2709,2)&lt;=INDEX('BASE METAS DIÁRIAS'!$X$2:$Z$358,MATCH($A2709,'BASE METAS DIÁRIAS'!$A$2:$A$358,0),2),INDEX('BASE METAS DIÁRIAS'!$U$2:$W$358,MATCH($A2709,'BASE METAS DIÁRIAS'!$A$2:$A$358,0),2),""),"")</f>
        <v/>
      </c>
      <c r="H2709">
        <f>IFERROR(IF(INDEX('CONTROLE PRODUÇÃO POR EMPRESAS'!$H$6:$J$5000,MATCH($A2709,'CONTROLE PRODUÇÃO POR EMPRESAS'!$A$6:$A$5000,0),2)="","",IFERROR(1*INDEX('CONTROLE PRODUÇÃO POR EMPRESAS'!$H$6:$J$5000,MATCH($A2709,'CONTROLE PRODUÇÃO POR EMPRESAS'!$A$6:$A$5000,0),2),"")),"")</f>
        <v/>
      </c>
      <c r="I2709">
        <f>IF(OR(NOT(ISNUMBER(G2709)),NOT(ISNUMBER(H2709))),"",H2709-G2709)</f>
        <v/>
      </c>
      <c r="J2709">
        <f>IF(OR(NOT(ISNUMBER(G2709)),NOT(ISNUMBER(H2709)),G2709=0),"",I2709/G2709)</f>
        <v/>
      </c>
      <c r="K2709">
        <f>IF(OR(NOT(ISNUMBER(G2709)),NOT(ISNUMBER(H2709)),G2709=0),"",H2709/G2709)</f>
        <v/>
      </c>
      <c r="L2709">
        <f>IF(NOT(ISNUMBER(G2709)),"SEM META",IF(G2709=0,"SEM META",IF(NOT(ISNUMBER(H2709)),"SEM APONTAMENTO",IF(H2709&gt;=G2709,"VERDE",IF(H2709&gt;=G2709*0.9,"AMARELO","VERMELHO")))))</f>
        <v/>
      </c>
    </row>
    <row r="2710">
      <c r="A2710" s="321" t="n">
        <v>46411</v>
      </c>
      <c r="B2710" t="inlineStr">
        <is>
          <t>GERAL</t>
        </is>
      </c>
      <c r="C2710" t="inlineStr">
        <is>
          <t>GLOBO AÇOS</t>
        </is>
      </c>
      <c r="D2710" t="inlineStr">
        <is>
          <t>FECHAMENTO</t>
        </is>
      </c>
      <c r="F2710">
        <f>IFERROR(INDEX('BASE METAS DIÁRIAS'!$AA$2:$AC$358,MATCH($A2710,'BASE METAS DIÁRIAS'!$A$2:$A$358,0),3),"")</f>
        <v/>
      </c>
      <c r="G2710">
        <f>IFERROR(IF(WEEKDAY($A2710,2)&lt;=INDEX('BASE METAS DIÁRIAS'!$X$2:$Z$358,MATCH($A2710,'BASE METAS DIÁRIAS'!$A$2:$A$358,0),3),INDEX('BASE METAS DIÁRIAS'!$U$2:$W$358,MATCH($A2710,'BASE METAS DIÁRIAS'!$A$2:$A$358,0),3),""),"")</f>
        <v/>
      </c>
      <c r="H2710">
        <f>IFERROR(IF(INDEX('CONTROLE PRODUÇÃO POR EMPRESAS'!$H$6:$J$5000,MATCH($A2710,'CONTROLE PRODUÇÃO POR EMPRESAS'!$A$6:$A$5000,0),3)="","",IFERROR(1*INDEX('CONTROLE PRODUÇÃO POR EMPRESAS'!$H$6:$J$5000,MATCH($A2710,'CONTROLE PRODUÇÃO POR EMPRESAS'!$A$6:$A$5000,0),3),"")),"")</f>
        <v/>
      </c>
      <c r="I2710">
        <f>IF(OR(NOT(ISNUMBER(G2710)),NOT(ISNUMBER(H2710))),"",H2710-G2710)</f>
        <v/>
      </c>
      <c r="J2710">
        <f>IF(OR(NOT(ISNUMBER(G2710)),NOT(ISNUMBER(H2710)),G2710=0),"",I2710/G2710)</f>
        <v/>
      </c>
      <c r="K2710">
        <f>IF(OR(NOT(ISNUMBER(G2710)),NOT(ISNUMBER(H2710)),G2710=0),"",H2710/G2710)</f>
        <v/>
      </c>
      <c r="L2710">
        <f>IF(NOT(ISNUMBER(G2710)),"SEM META",IF(G2710=0,"SEM META",IF(NOT(ISNUMBER(H2710)),"SEM APONTAMENTO",IF(H2710&gt;=G2710,"VERDE",IF(H2710&gt;=G2710*0.9,"AMARELO","VERMELHO")))))</f>
        <v/>
      </c>
    </row>
    <row r="2711">
      <c r="A2711" s="321" t="n">
        <v>46412</v>
      </c>
      <c r="B2711" t="inlineStr">
        <is>
          <t>GERAL</t>
        </is>
      </c>
      <c r="C2711" t="inlineStr">
        <is>
          <t>GLOBO AÇOS</t>
        </is>
      </c>
      <c r="D2711" t="inlineStr">
        <is>
          <t>PERFILAÇÃO</t>
        </is>
      </c>
      <c r="F2711">
        <f>IFERROR(INDEX('BASE METAS DIÁRIAS'!$AA$2:$AC$358,MATCH($A2711,'BASE METAS DIÁRIAS'!$A$2:$A$358,0),1),"")</f>
        <v/>
      </c>
      <c r="G2711">
        <f>IFERROR(IF(WEEKDAY($A2711,2)&lt;=INDEX('BASE METAS DIÁRIAS'!$X$2:$Z$358,MATCH($A2711,'BASE METAS DIÁRIAS'!$A$2:$A$358,0),1),INDEX('BASE METAS DIÁRIAS'!$U$2:$W$358,MATCH($A2711,'BASE METAS DIÁRIAS'!$A$2:$A$358,0),1),""),"")</f>
        <v/>
      </c>
      <c r="H2711">
        <f>IFERROR(IF(INDEX('CONTROLE PRODUÇÃO POR EMPRESAS'!$H$6:$J$5000,MATCH($A2711,'CONTROLE PRODUÇÃO POR EMPRESAS'!$A$6:$A$5000,0),1)="","",IFERROR(1*INDEX('CONTROLE PRODUÇÃO POR EMPRESAS'!$H$6:$J$5000,MATCH($A2711,'CONTROLE PRODUÇÃO POR EMPRESAS'!$A$6:$A$5000,0),1),"")),"")</f>
        <v/>
      </c>
      <c r="I2711">
        <f>IF(OR(NOT(ISNUMBER(G2711)),NOT(ISNUMBER(H2711))),"",H2711-G2711)</f>
        <v/>
      </c>
      <c r="J2711">
        <f>IF(OR(NOT(ISNUMBER(G2711)),NOT(ISNUMBER(H2711)),G2711=0),"",I2711/G2711)</f>
        <v/>
      </c>
      <c r="K2711">
        <f>IF(OR(NOT(ISNUMBER(G2711)),NOT(ISNUMBER(H2711)),G2711=0),"",H2711/G2711)</f>
        <v/>
      </c>
      <c r="L2711">
        <f>IF(NOT(ISNUMBER(G2711)),"SEM META",IF(G2711=0,"SEM META",IF(NOT(ISNUMBER(H2711)),"SEM APONTAMENTO",IF(H2711&gt;=G2711,"VERDE",IF(H2711&gt;=G2711*0.9,"AMARELO","VERMELHO")))))</f>
        <v/>
      </c>
    </row>
    <row r="2712">
      <c r="A2712" s="321" t="n">
        <v>46412</v>
      </c>
      <c r="B2712" t="inlineStr">
        <is>
          <t>GERAL</t>
        </is>
      </c>
      <c r="C2712" t="inlineStr">
        <is>
          <t>GLOBO AÇOS</t>
        </is>
      </c>
      <c r="D2712" t="inlineStr">
        <is>
          <t>TELHAR</t>
        </is>
      </c>
      <c r="F2712">
        <f>IFERROR(INDEX('BASE METAS DIÁRIAS'!$AA$2:$AC$358,MATCH($A2712,'BASE METAS DIÁRIAS'!$A$2:$A$358,0),2),"")</f>
        <v/>
      </c>
      <c r="G2712">
        <f>IFERROR(IF(WEEKDAY($A2712,2)&lt;=INDEX('BASE METAS DIÁRIAS'!$X$2:$Z$358,MATCH($A2712,'BASE METAS DIÁRIAS'!$A$2:$A$358,0),2),INDEX('BASE METAS DIÁRIAS'!$U$2:$W$358,MATCH($A2712,'BASE METAS DIÁRIAS'!$A$2:$A$358,0),2),""),"")</f>
        <v/>
      </c>
      <c r="H2712">
        <f>IFERROR(IF(INDEX('CONTROLE PRODUÇÃO POR EMPRESAS'!$H$6:$J$5000,MATCH($A2712,'CONTROLE PRODUÇÃO POR EMPRESAS'!$A$6:$A$5000,0),2)="","",IFERROR(1*INDEX('CONTROLE PRODUÇÃO POR EMPRESAS'!$H$6:$J$5000,MATCH($A2712,'CONTROLE PRODUÇÃO POR EMPRESAS'!$A$6:$A$5000,0),2),"")),"")</f>
        <v/>
      </c>
      <c r="I2712">
        <f>IF(OR(NOT(ISNUMBER(G2712)),NOT(ISNUMBER(H2712))),"",H2712-G2712)</f>
        <v/>
      </c>
      <c r="J2712">
        <f>IF(OR(NOT(ISNUMBER(G2712)),NOT(ISNUMBER(H2712)),G2712=0),"",I2712/G2712)</f>
        <v/>
      </c>
      <c r="K2712">
        <f>IF(OR(NOT(ISNUMBER(G2712)),NOT(ISNUMBER(H2712)),G2712=0),"",H2712/G2712)</f>
        <v/>
      </c>
      <c r="L2712">
        <f>IF(NOT(ISNUMBER(G2712)),"SEM META",IF(G2712=0,"SEM META",IF(NOT(ISNUMBER(H2712)),"SEM APONTAMENTO",IF(H2712&gt;=G2712,"VERDE",IF(H2712&gt;=G2712*0.9,"AMARELO","VERMELHO")))))</f>
        <v/>
      </c>
    </row>
    <row r="2713">
      <c r="A2713" s="321" t="n">
        <v>46412</v>
      </c>
      <c r="B2713" t="inlineStr">
        <is>
          <t>GERAL</t>
        </is>
      </c>
      <c r="C2713" t="inlineStr">
        <is>
          <t>GLOBO AÇOS</t>
        </is>
      </c>
      <c r="D2713" t="inlineStr">
        <is>
          <t>FECHAMENTO</t>
        </is>
      </c>
      <c r="F2713">
        <f>IFERROR(INDEX('BASE METAS DIÁRIAS'!$AA$2:$AC$358,MATCH($A2713,'BASE METAS DIÁRIAS'!$A$2:$A$358,0),3),"")</f>
        <v/>
      </c>
      <c r="G2713">
        <f>IFERROR(IF(WEEKDAY($A2713,2)&lt;=INDEX('BASE METAS DIÁRIAS'!$X$2:$Z$358,MATCH($A2713,'BASE METAS DIÁRIAS'!$A$2:$A$358,0),3),INDEX('BASE METAS DIÁRIAS'!$U$2:$W$358,MATCH($A2713,'BASE METAS DIÁRIAS'!$A$2:$A$358,0),3),""),"")</f>
        <v/>
      </c>
      <c r="H2713">
        <f>IFERROR(IF(INDEX('CONTROLE PRODUÇÃO POR EMPRESAS'!$H$6:$J$5000,MATCH($A2713,'CONTROLE PRODUÇÃO POR EMPRESAS'!$A$6:$A$5000,0),3)="","",IFERROR(1*INDEX('CONTROLE PRODUÇÃO POR EMPRESAS'!$H$6:$J$5000,MATCH($A2713,'CONTROLE PRODUÇÃO POR EMPRESAS'!$A$6:$A$5000,0),3),"")),"")</f>
        <v/>
      </c>
      <c r="I2713">
        <f>IF(OR(NOT(ISNUMBER(G2713)),NOT(ISNUMBER(H2713))),"",H2713-G2713)</f>
        <v/>
      </c>
      <c r="J2713">
        <f>IF(OR(NOT(ISNUMBER(G2713)),NOT(ISNUMBER(H2713)),G2713=0),"",I2713/G2713)</f>
        <v/>
      </c>
      <c r="K2713">
        <f>IF(OR(NOT(ISNUMBER(G2713)),NOT(ISNUMBER(H2713)),G2713=0),"",H2713/G2713)</f>
        <v/>
      </c>
      <c r="L2713">
        <f>IF(NOT(ISNUMBER(G2713)),"SEM META",IF(G2713=0,"SEM META",IF(NOT(ISNUMBER(H2713)),"SEM APONTAMENTO",IF(H2713&gt;=G2713,"VERDE",IF(H2713&gt;=G2713*0.9,"AMARELO","VERMELHO")))))</f>
        <v/>
      </c>
    </row>
    <row r="2714">
      <c r="A2714" s="321" t="n">
        <v>46413</v>
      </c>
      <c r="B2714" t="inlineStr">
        <is>
          <t>GERAL</t>
        </is>
      </c>
      <c r="C2714" t="inlineStr">
        <is>
          <t>GLOBO AÇOS</t>
        </is>
      </c>
      <c r="D2714" t="inlineStr">
        <is>
          <t>PERFILAÇÃO</t>
        </is>
      </c>
      <c r="F2714">
        <f>IFERROR(INDEX('BASE METAS DIÁRIAS'!$AA$2:$AC$358,MATCH($A2714,'BASE METAS DIÁRIAS'!$A$2:$A$358,0),1),"")</f>
        <v/>
      </c>
      <c r="G2714">
        <f>IFERROR(IF(WEEKDAY($A2714,2)&lt;=INDEX('BASE METAS DIÁRIAS'!$X$2:$Z$358,MATCH($A2714,'BASE METAS DIÁRIAS'!$A$2:$A$358,0),1),INDEX('BASE METAS DIÁRIAS'!$U$2:$W$358,MATCH($A2714,'BASE METAS DIÁRIAS'!$A$2:$A$358,0),1),""),"")</f>
        <v/>
      </c>
      <c r="H2714">
        <f>IFERROR(IF(INDEX('CONTROLE PRODUÇÃO POR EMPRESAS'!$H$6:$J$5000,MATCH($A2714,'CONTROLE PRODUÇÃO POR EMPRESAS'!$A$6:$A$5000,0),1)="","",IFERROR(1*INDEX('CONTROLE PRODUÇÃO POR EMPRESAS'!$H$6:$J$5000,MATCH($A2714,'CONTROLE PRODUÇÃO POR EMPRESAS'!$A$6:$A$5000,0),1),"")),"")</f>
        <v/>
      </c>
      <c r="I2714">
        <f>IF(OR(NOT(ISNUMBER(G2714)),NOT(ISNUMBER(H2714))),"",H2714-G2714)</f>
        <v/>
      </c>
      <c r="J2714">
        <f>IF(OR(NOT(ISNUMBER(G2714)),NOT(ISNUMBER(H2714)),G2714=0),"",I2714/G2714)</f>
        <v/>
      </c>
      <c r="K2714">
        <f>IF(OR(NOT(ISNUMBER(G2714)),NOT(ISNUMBER(H2714)),G2714=0),"",H2714/G2714)</f>
        <v/>
      </c>
      <c r="L2714">
        <f>IF(NOT(ISNUMBER(G2714)),"SEM META",IF(G2714=0,"SEM META",IF(NOT(ISNUMBER(H2714)),"SEM APONTAMENTO",IF(H2714&gt;=G2714,"VERDE",IF(H2714&gt;=G2714*0.9,"AMARELO","VERMELHO")))))</f>
        <v/>
      </c>
    </row>
    <row r="2715">
      <c r="A2715" s="321" t="n">
        <v>46413</v>
      </c>
      <c r="B2715" t="inlineStr">
        <is>
          <t>GERAL</t>
        </is>
      </c>
      <c r="C2715" t="inlineStr">
        <is>
          <t>GLOBO AÇOS</t>
        </is>
      </c>
      <c r="D2715" t="inlineStr">
        <is>
          <t>TELHAR</t>
        </is>
      </c>
      <c r="F2715">
        <f>IFERROR(INDEX('BASE METAS DIÁRIAS'!$AA$2:$AC$358,MATCH($A2715,'BASE METAS DIÁRIAS'!$A$2:$A$358,0),2),"")</f>
        <v/>
      </c>
      <c r="G2715">
        <f>IFERROR(IF(WEEKDAY($A2715,2)&lt;=INDEX('BASE METAS DIÁRIAS'!$X$2:$Z$358,MATCH($A2715,'BASE METAS DIÁRIAS'!$A$2:$A$358,0),2),INDEX('BASE METAS DIÁRIAS'!$U$2:$W$358,MATCH($A2715,'BASE METAS DIÁRIAS'!$A$2:$A$358,0),2),""),"")</f>
        <v/>
      </c>
      <c r="H2715">
        <f>IFERROR(IF(INDEX('CONTROLE PRODUÇÃO POR EMPRESAS'!$H$6:$J$5000,MATCH($A2715,'CONTROLE PRODUÇÃO POR EMPRESAS'!$A$6:$A$5000,0),2)="","",IFERROR(1*INDEX('CONTROLE PRODUÇÃO POR EMPRESAS'!$H$6:$J$5000,MATCH($A2715,'CONTROLE PRODUÇÃO POR EMPRESAS'!$A$6:$A$5000,0),2),"")),"")</f>
        <v/>
      </c>
      <c r="I2715">
        <f>IF(OR(NOT(ISNUMBER(G2715)),NOT(ISNUMBER(H2715))),"",H2715-G2715)</f>
        <v/>
      </c>
      <c r="J2715">
        <f>IF(OR(NOT(ISNUMBER(G2715)),NOT(ISNUMBER(H2715)),G2715=0),"",I2715/G2715)</f>
        <v/>
      </c>
      <c r="K2715">
        <f>IF(OR(NOT(ISNUMBER(G2715)),NOT(ISNUMBER(H2715)),G2715=0),"",H2715/G2715)</f>
        <v/>
      </c>
      <c r="L2715">
        <f>IF(NOT(ISNUMBER(G2715)),"SEM META",IF(G2715=0,"SEM META",IF(NOT(ISNUMBER(H2715)),"SEM APONTAMENTO",IF(H2715&gt;=G2715,"VERDE",IF(H2715&gt;=G2715*0.9,"AMARELO","VERMELHO")))))</f>
        <v/>
      </c>
    </row>
    <row r="2716">
      <c r="A2716" s="321" t="n">
        <v>46413</v>
      </c>
      <c r="B2716" t="inlineStr">
        <is>
          <t>GERAL</t>
        </is>
      </c>
      <c r="C2716" t="inlineStr">
        <is>
          <t>GLOBO AÇOS</t>
        </is>
      </c>
      <c r="D2716" t="inlineStr">
        <is>
          <t>FECHAMENTO</t>
        </is>
      </c>
      <c r="F2716">
        <f>IFERROR(INDEX('BASE METAS DIÁRIAS'!$AA$2:$AC$358,MATCH($A2716,'BASE METAS DIÁRIAS'!$A$2:$A$358,0),3),"")</f>
        <v/>
      </c>
      <c r="G2716">
        <f>IFERROR(IF(WEEKDAY($A2716,2)&lt;=INDEX('BASE METAS DIÁRIAS'!$X$2:$Z$358,MATCH($A2716,'BASE METAS DIÁRIAS'!$A$2:$A$358,0),3),INDEX('BASE METAS DIÁRIAS'!$U$2:$W$358,MATCH($A2716,'BASE METAS DIÁRIAS'!$A$2:$A$358,0),3),""),"")</f>
        <v/>
      </c>
      <c r="H2716">
        <f>IFERROR(IF(INDEX('CONTROLE PRODUÇÃO POR EMPRESAS'!$H$6:$J$5000,MATCH($A2716,'CONTROLE PRODUÇÃO POR EMPRESAS'!$A$6:$A$5000,0),3)="","",IFERROR(1*INDEX('CONTROLE PRODUÇÃO POR EMPRESAS'!$H$6:$J$5000,MATCH($A2716,'CONTROLE PRODUÇÃO POR EMPRESAS'!$A$6:$A$5000,0),3),"")),"")</f>
        <v/>
      </c>
      <c r="I2716">
        <f>IF(OR(NOT(ISNUMBER(G2716)),NOT(ISNUMBER(H2716))),"",H2716-G2716)</f>
        <v/>
      </c>
      <c r="J2716">
        <f>IF(OR(NOT(ISNUMBER(G2716)),NOT(ISNUMBER(H2716)),G2716=0),"",I2716/G2716)</f>
        <v/>
      </c>
      <c r="K2716">
        <f>IF(OR(NOT(ISNUMBER(G2716)),NOT(ISNUMBER(H2716)),G2716=0),"",H2716/G2716)</f>
        <v/>
      </c>
      <c r="L2716">
        <f>IF(NOT(ISNUMBER(G2716)),"SEM META",IF(G2716=0,"SEM META",IF(NOT(ISNUMBER(H2716)),"SEM APONTAMENTO",IF(H2716&gt;=G2716,"VERDE",IF(H2716&gt;=G2716*0.9,"AMARELO","VERMELHO")))))</f>
        <v/>
      </c>
    </row>
    <row r="2717">
      <c r="A2717" s="321" t="n">
        <v>46414</v>
      </c>
      <c r="B2717" t="inlineStr">
        <is>
          <t>GERAL</t>
        </is>
      </c>
      <c r="C2717" t="inlineStr">
        <is>
          <t>GLOBO AÇOS</t>
        </is>
      </c>
      <c r="D2717" t="inlineStr">
        <is>
          <t>PERFILAÇÃO</t>
        </is>
      </c>
      <c r="F2717">
        <f>IFERROR(INDEX('BASE METAS DIÁRIAS'!$AA$2:$AC$358,MATCH($A2717,'BASE METAS DIÁRIAS'!$A$2:$A$358,0),1),"")</f>
        <v/>
      </c>
      <c r="G2717">
        <f>IFERROR(IF(WEEKDAY($A2717,2)&lt;=INDEX('BASE METAS DIÁRIAS'!$X$2:$Z$358,MATCH($A2717,'BASE METAS DIÁRIAS'!$A$2:$A$358,0),1),INDEX('BASE METAS DIÁRIAS'!$U$2:$W$358,MATCH($A2717,'BASE METAS DIÁRIAS'!$A$2:$A$358,0),1),""),"")</f>
        <v/>
      </c>
      <c r="H2717">
        <f>IFERROR(IF(INDEX('CONTROLE PRODUÇÃO POR EMPRESAS'!$H$6:$J$5000,MATCH($A2717,'CONTROLE PRODUÇÃO POR EMPRESAS'!$A$6:$A$5000,0),1)="","",IFERROR(1*INDEX('CONTROLE PRODUÇÃO POR EMPRESAS'!$H$6:$J$5000,MATCH($A2717,'CONTROLE PRODUÇÃO POR EMPRESAS'!$A$6:$A$5000,0),1),"")),"")</f>
        <v/>
      </c>
      <c r="I2717">
        <f>IF(OR(NOT(ISNUMBER(G2717)),NOT(ISNUMBER(H2717))),"",H2717-G2717)</f>
        <v/>
      </c>
      <c r="J2717">
        <f>IF(OR(NOT(ISNUMBER(G2717)),NOT(ISNUMBER(H2717)),G2717=0),"",I2717/G2717)</f>
        <v/>
      </c>
      <c r="K2717">
        <f>IF(OR(NOT(ISNUMBER(G2717)),NOT(ISNUMBER(H2717)),G2717=0),"",H2717/G2717)</f>
        <v/>
      </c>
      <c r="L2717">
        <f>IF(NOT(ISNUMBER(G2717)),"SEM META",IF(G2717=0,"SEM META",IF(NOT(ISNUMBER(H2717)),"SEM APONTAMENTO",IF(H2717&gt;=G2717,"VERDE",IF(H2717&gt;=G2717*0.9,"AMARELO","VERMELHO")))))</f>
        <v/>
      </c>
    </row>
    <row r="2718">
      <c r="A2718" s="321" t="n">
        <v>46414</v>
      </c>
      <c r="B2718" t="inlineStr">
        <is>
          <t>GERAL</t>
        </is>
      </c>
      <c r="C2718" t="inlineStr">
        <is>
          <t>GLOBO AÇOS</t>
        </is>
      </c>
      <c r="D2718" t="inlineStr">
        <is>
          <t>TELHAR</t>
        </is>
      </c>
      <c r="F2718">
        <f>IFERROR(INDEX('BASE METAS DIÁRIAS'!$AA$2:$AC$358,MATCH($A2718,'BASE METAS DIÁRIAS'!$A$2:$A$358,0),2),"")</f>
        <v/>
      </c>
      <c r="G2718">
        <f>IFERROR(IF(WEEKDAY($A2718,2)&lt;=INDEX('BASE METAS DIÁRIAS'!$X$2:$Z$358,MATCH($A2718,'BASE METAS DIÁRIAS'!$A$2:$A$358,0),2),INDEX('BASE METAS DIÁRIAS'!$U$2:$W$358,MATCH($A2718,'BASE METAS DIÁRIAS'!$A$2:$A$358,0),2),""),"")</f>
        <v/>
      </c>
      <c r="H2718">
        <f>IFERROR(IF(INDEX('CONTROLE PRODUÇÃO POR EMPRESAS'!$H$6:$J$5000,MATCH($A2718,'CONTROLE PRODUÇÃO POR EMPRESAS'!$A$6:$A$5000,0),2)="","",IFERROR(1*INDEX('CONTROLE PRODUÇÃO POR EMPRESAS'!$H$6:$J$5000,MATCH($A2718,'CONTROLE PRODUÇÃO POR EMPRESAS'!$A$6:$A$5000,0),2),"")),"")</f>
        <v/>
      </c>
      <c r="I2718">
        <f>IF(OR(NOT(ISNUMBER(G2718)),NOT(ISNUMBER(H2718))),"",H2718-G2718)</f>
        <v/>
      </c>
      <c r="J2718">
        <f>IF(OR(NOT(ISNUMBER(G2718)),NOT(ISNUMBER(H2718)),G2718=0),"",I2718/G2718)</f>
        <v/>
      </c>
      <c r="K2718">
        <f>IF(OR(NOT(ISNUMBER(G2718)),NOT(ISNUMBER(H2718)),G2718=0),"",H2718/G2718)</f>
        <v/>
      </c>
      <c r="L2718">
        <f>IF(NOT(ISNUMBER(G2718)),"SEM META",IF(G2718=0,"SEM META",IF(NOT(ISNUMBER(H2718)),"SEM APONTAMENTO",IF(H2718&gt;=G2718,"VERDE",IF(H2718&gt;=G2718*0.9,"AMARELO","VERMELHO")))))</f>
        <v/>
      </c>
    </row>
    <row r="2719">
      <c r="A2719" s="321" t="n">
        <v>46414</v>
      </c>
      <c r="B2719" t="inlineStr">
        <is>
          <t>GERAL</t>
        </is>
      </c>
      <c r="C2719" t="inlineStr">
        <is>
          <t>GLOBO AÇOS</t>
        </is>
      </c>
      <c r="D2719" t="inlineStr">
        <is>
          <t>FECHAMENTO</t>
        </is>
      </c>
      <c r="F2719">
        <f>IFERROR(INDEX('BASE METAS DIÁRIAS'!$AA$2:$AC$358,MATCH($A2719,'BASE METAS DIÁRIAS'!$A$2:$A$358,0),3),"")</f>
        <v/>
      </c>
      <c r="G2719">
        <f>IFERROR(IF(WEEKDAY($A2719,2)&lt;=INDEX('BASE METAS DIÁRIAS'!$X$2:$Z$358,MATCH($A2719,'BASE METAS DIÁRIAS'!$A$2:$A$358,0),3),INDEX('BASE METAS DIÁRIAS'!$U$2:$W$358,MATCH($A2719,'BASE METAS DIÁRIAS'!$A$2:$A$358,0),3),""),"")</f>
        <v/>
      </c>
      <c r="H2719">
        <f>IFERROR(IF(INDEX('CONTROLE PRODUÇÃO POR EMPRESAS'!$H$6:$J$5000,MATCH($A2719,'CONTROLE PRODUÇÃO POR EMPRESAS'!$A$6:$A$5000,0),3)="","",IFERROR(1*INDEX('CONTROLE PRODUÇÃO POR EMPRESAS'!$H$6:$J$5000,MATCH($A2719,'CONTROLE PRODUÇÃO POR EMPRESAS'!$A$6:$A$5000,0),3),"")),"")</f>
        <v/>
      </c>
      <c r="I2719">
        <f>IF(OR(NOT(ISNUMBER(G2719)),NOT(ISNUMBER(H2719))),"",H2719-G2719)</f>
        <v/>
      </c>
      <c r="J2719">
        <f>IF(OR(NOT(ISNUMBER(G2719)),NOT(ISNUMBER(H2719)),G2719=0),"",I2719/G2719)</f>
        <v/>
      </c>
      <c r="K2719">
        <f>IF(OR(NOT(ISNUMBER(G2719)),NOT(ISNUMBER(H2719)),G2719=0),"",H2719/G2719)</f>
        <v/>
      </c>
      <c r="L2719">
        <f>IF(NOT(ISNUMBER(G2719)),"SEM META",IF(G2719=0,"SEM META",IF(NOT(ISNUMBER(H2719)),"SEM APONTAMENTO",IF(H2719&gt;=G2719,"VERDE",IF(H2719&gt;=G2719*0.9,"AMARELO","VERMELHO")))))</f>
        <v/>
      </c>
    </row>
    <row r="2720">
      <c r="A2720" s="321" t="n">
        <v>46415</v>
      </c>
      <c r="B2720" t="inlineStr">
        <is>
          <t>GERAL</t>
        </is>
      </c>
      <c r="C2720" t="inlineStr">
        <is>
          <t>GLOBO AÇOS</t>
        </is>
      </c>
      <c r="D2720" t="inlineStr">
        <is>
          <t>PERFILAÇÃO</t>
        </is>
      </c>
      <c r="F2720">
        <f>IFERROR(INDEX('BASE METAS DIÁRIAS'!$AA$2:$AC$358,MATCH($A2720,'BASE METAS DIÁRIAS'!$A$2:$A$358,0),1),"")</f>
        <v/>
      </c>
      <c r="G2720">
        <f>IFERROR(IF(WEEKDAY($A2720,2)&lt;=INDEX('BASE METAS DIÁRIAS'!$X$2:$Z$358,MATCH($A2720,'BASE METAS DIÁRIAS'!$A$2:$A$358,0),1),INDEX('BASE METAS DIÁRIAS'!$U$2:$W$358,MATCH($A2720,'BASE METAS DIÁRIAS'!$A$2:$A$358,0),1),""),"")</f>
        <v/>
      </c>
      <c r="H2720">
        <f>IFERROR(IF(INDEX('CONTROLE PRODUÇÃO POR EMPRESAS'!$H$6:$J$5000,MATCH($A2720,'CONTROLE PRODUÇÃO POR EMPRESAS'!$A$6:$A$5000,0),1)="","",IFERROR(1*INDEX('CONTROLE PRODUÇÃO POR EMPRESAS'!$H$6:$J$5000,MATCH($A2720,'CONTROLE PRODUÇÃO POR EMPRESAS'!$A$6:$A$5000,0),1),"")),"")</f>
        <v/>
      </c>
      <c r="I2720">
        <f>IF(OR(NOT(ISNUMBER(G2720)),NOT(ISNUMBER(H2720))),"",H2720-G2720)</f>
        <v/>
      </c>
      <c r="J2720">
        <f>IF(OR(NOT(ISNUMBER(G2720)),NOT(ISNUMBER(H2720)),G2720=0),"",I2720/G2720)</f>
        <v/>
      </c>
      <c r="K2720">
        <f>IF(OR(NOT(ISNUMBER(G2720)),NOT(ISNUMBER(H2720)),G2720=0),"",H2720/G2720)</f>
        <v/>
      </c>
      <c r="L2720">
        <f>IF(NOT(ISNUMBER(G2720)),"SEM META",IF(G2720=0,"SEM META",IF(NOT(ISNUMBER(H2720)),"SEM APONTAMENTO",IF(H2720&gt;=G2720,"VERDE",IF(H2720&gt;=G2720*0.9,"AMARELO","VERMELHO")))))</f>
        <v/>
      </c>
    </row>
    <row r="2721">
      <c r="A2721" s="321" t="n">
        <v>46415</v>
      </c>
      <c r="B2721" t="inlineStr">
        <is>
          <t>GERAL</t>
        </is>
      </c>
      <c r="C2721" t="inlineStr">
        <is>
          <t>GLOBO AÇOS</t>
        </is>
      </c>
      <c r="D2721" t="inlineStr">
        <is>
          <t>TELHAR</t>
        </is>
      </c>
      <c r="F2721">
        <f>IFERROR(INDEX('BASE METAS DIÁRIAS'!$AA$2:$AC$358,MATCH($A2721,'BASE METAS DIÁRIAS'!$A$2:$A$358,0),2),"")</f>
        <v/>
      </c>
      <c r="G2721">
        <f>IFERROR(IF(WEEKDAY($A2721,2)&lt;=INDEX('BASE METAS DIÁRIAS'!$X$2:$Z$358,MATCH($A2721,'BASE METAS DIÁRIAS'!$A$2:$A$358,0),2),INDEX('BASE METAS DIÁRIAS'!$U$2:$W$358,MATCH($A2721,'BASE METAS DIÁRIAS'!$A$2:$A$358,0),2),""),"")</f>
        <v/>
      </c>
      <c r="H2721">
        <f>IFERROR(IF(INDEX('CONTROLE PRODUÇÃO POR EMPRESAS'!$H$6:$J$5000,MATCH($A2721,'CONTROLE PRODUÇÃO POR EMPRESAS'!$A$6:$A$5000,0),2)="","",IFERROR(1*INDEX('CONTROLE PRODUÇÃO POR EMPRESAS'!$H$6:$J$5000,MATCH($A2721,'CONTROLE PRODUÇÃO POR EMPRESAS'!$A$6:$A$5000,0),2),"")),"")</f>
        <v/>
      </c>
      <c r="I2721">
        <f>IF(OR(NOT(ISNUMBER(G2721)),NOT(ISNUMBER(H2721))),"",H2721-G2721)</f>
        <v/>
      </c>
      <c r="J2721">
        <f>IF(OR(NOT(ISNUMBER(G2721)),NOT(ISNUMBER(H2721)),G2721=0),"",I2721/G2721)</f>
        <v/>
      </c>
      <c r="K2721">
        <f>IF(OR(NOT(ISNUMBER(G2721)),NOT(ISNUMBER(H2721)),G2721=0),"",H2721/G2721)</f>
        <v/>
      </c>
      <c r="L2721">
        <f>IF(NOT(ISNUMBER(G2721)),"SEM META",IF(G2721=0,"SEM META",IF(NOT(ISNUMBER(H2721)),"SEM APONTAMENTO",IF(H2721&gt;=G2721,"VERDE",IF(H2721&gt;=G2721*0.9,"AMARELO","VERMELHO")))))</f>
        <v/>
      </c>
    </row>
    <row r="2722">
      <c r="A2722" s="321" t="n">
        <v>46415</v>
      </c>
      <c r="B2722" t="inlineStr">
        <is>
          <t>GERAL</t>
        </is>
      </c>
      <c r="C2722" t="inlineStr">
        <is>
          <t>GLOBO AÇOS</t>
        </is>
      </c>
      <c r="D2722" t="inlineStr">
        <is>
          <t>FECHAMENTO</t>
        </is>
      </c>
      <c r="F2722">
        <f>IFERROR(INDEX('BASE METAS DIÁRIAS'!$AA$2:$AC$358,MATCH($A2722,'BASE METAS DIÁRIAS'!$A$2:$A$358,0),3),"")</f>
        <v/>
      </c>
      <c r="G2722">
        <f>IFERROR(IF(WEEKDAY($A2722,2)&lt;=INDEX('BASE METAS DIÁRIAS'!$X$2:$Z$358,MATCH($A2722,'BASE METAS DIÁRIAS'!$A$2:$A$358,0),3),INDEX('BASE METAS DIÁRIAS'!$U$2:$W$358,MATCH($A2722,'BASE METAS DIÁRIAS'!$A$2:$A$358,0),3),""),"")</f>
        <v/>
      </c>
      <c r="H2722">
        <f>IFERROR(IF(INDEX('CONTROLE PRODUÇÃO POR EMPRESAS'!$H$6:$J$5000,MATCH($A2722,'CONTROLE PRODUÇÃO POR EMPRESAS'!$A$6:$A$5000,0),3)="","",IFERROR(1*INDEX('CONTROLE PRODUÇÃO POR EMPRESAS'!$H$6:$J$5000,MATCH($A2722,'CONTROLE PRODUÇÃO POR EMPRESAS'!$A$6:$A$5000,0),3),"")),"")</f>
        <v/>
      </c>
      <c r="I2722">
        <f>IF(OR(NOT(ISNUMBER(G2722)),NOT(ISNUMBER(H2722))),"",H2722-G2722)</f>
        <v/>
      </c>
      <c r="J2722">
        <f>IF(OR(NOT(ISNUMBER(G2722)),NOT(ISNUMBER(H2722)),G2722=0),"",I2722/G2722)</f>
        <v/>
      </c>
      <c r="K2722">
        <f>IF(OR(NOT(ISNUMBER(G2722)),NOT(ISNUMBER(H2722)),G2722=0),"",H2722/G2722)</f>
        <v/>
      </c>
      <c r="L2722">
        <f>IF(NOT(ISNUMBER(G2722)),"SEM META",IF(G2722=0,"SEM META",IF(NOT(ISNUMBER(H2722)),"SEM APONTAMENTO",IF(H2722&gt;=G2722,"VERDE",IF(H2722&gt;=G2722*0.9,"AMARELO","VERMELHO")))))</f>
        <v/>
      </c>
    </row>
    <row r="2723">
      <c r="A2723" s="321" t="n">
        <v>46416</v>
      </c>
      <c r="B2723" t="inlineStr">
        <is>
          <t>GERAL</t>
        </is>
      </c>
      <c r="C2723" t="inlineStr">
        <is>
          <t>GLOBO AÇOS</t>
        </is>
      </c>
      <c r="D2723" t="inlineStr">
        <is>
          <t>PERFILAÇÃO</t>
        </is>
      </c>
      <c r="F2723">
        <f>IFERROR(INDEX('BASE METAS DIÁRIAS'!$AA$2:$AC$358,MATCH($A2723,'BASE METAS DIÁRIAS'!$A$2:$A$358,0),1),"")</f>
        <v/>
      </c>
      <c r="G2723">
        <f>IFERROR(IF(WEEKDAY($A2723,2)&lt;=INDEX('BASE METAS DIÁRIAS'!$X$2:$Z$358,MATCH($A2723,'BASE METAS DIÁRIAS'!$A$2:$A$358,0),1),INDEX('BASE METAS DIÁRIAS'!$U$2:$W$358,MATCH($A2723,'BASE METAS DIÁRIAS'!$A$2:$A$358,0),1),""),"")</f>
        <v/>
      </c>
      <c r="H2723">
        <f>IFERROR(IF(INDEX('CONTROLE PRODUÇÃO POR EMPRESAS'!$H$6:$J$5000,MATCH($A2723,'CONTROLE PRODUÇÃO POR EMPRESAS'!$A$6:$A$5000,0),1)="","",IFERROR(1*INDEX('CONTROLE PRODUÇÃO POR EMPRESAS'!$H$6:$J$5000,MATCH($A2723,'CONTROLE PRODUÇÃO POR EMPRESAS'!$A$6:$A$5000,0),1),"")),"")</f>
        <v/>
      </c>
      <c r="I2723">
        <f>IF(OR(NOT(ISNUMBER(G2723)),NOT(ISNUMBER(H2723))),"",H2723-G2723)</f>
        <v/>
      </c>
      <c r="J2723">
        <f>IF(OR(NOT(ISNUMBER(G2723)),NOT(ISNUMBER(H2723)),G2723=0),"",I2723/G2723)</f>
        <v/>
      </c>
      <c r="K2723">
        <f>IF(OR(NOT(ISNUMBER(G2723)),NOT(ISNUMBER(H2723)),G2723=0),"",H2723/G2723)</f>
        <v/>
      </c>
      <c r="L2723">
        <f>IF(NOT(ISNUMBER(G2723)),"SEM META",IF(G2723=0,"SEM META",IF(NOT(ISNUMBER(H2723)),"SEM APONTAMENTO",IF(H2723&gt;=G2723,"VERDE",IF(H2723&gt;=G2723*0.9,"AMARELO","VERMELHO")))))</f>
        <v/>
      </c>
    </row>
    <row r="2724">
      <c r="A2724" s="321" t="n">
        <v>46416</v>
      </c>
      <c r="B2724" t="inlineStr">
        <is>
          <t>GERAL</t>
        </is>
      </c>
      <c r="C2724" t="inlineStr">
        <is>
          <t>GLOBO AÇOS</t>
        </is>
      </c>
      <c r="D2724" t="inlineStr">
        <is>
          <t>TELHAR</t>
        </is>
      </c>
      <c r="F2724">
        <f>IFERROR(INDEX('BASE METAS DIÁRIAS'!$AA$2:$AC$358,MATCH($A2724,'BASE METAS DIÁRIAS'!$A$2:$A$358,0),2),"")</f>
        <v/>
      </c>
      <c r="G2724">
        <f>IFERROR(IF(WEEKDAY($A2724,2)&lt;=INDEX('BASE METAS DIÁRIAS'!$X$2:$Z$358,MATCH($A2724,'BASE METAS DIÁRIAS'!$A$2:$A$358,0),2),INDEX('BASE METAS DIÁRIAS'!$U$2:$W$358,MATCH($A2724,'BASE METAS DIÁRIAS'!$A$2:$A$358,0),2),""),"")</f>
        <v/>
      </c>
      <c r="H2724">
        <f>IFERROR(IF(INDEX('CONTROLE PRODUÇÃO POR EMPRESAS'!$H$6:$J$5000,MATCH($A2724,'CONTROLE PRODUÇÃO POR EMPRESAS'!$A$6:$A$5000,0),2)="","",IFERROR(1*INDEX('CONTROLE PRODUÇÃO POR EMPRESAS'!$H$6:$J$5000,MATCH($A2724,'CONTROLE PRODUÇÃO POR EMPRESAS'!$A$6:$A$5000,0),2),"")),"")</f>
        <v/>
      </c>
      <c r="I2724">
        <f>IF(OR(NOT(ISNUMBER(G2724)),NOT(ISNUMBER(H2724))),"",H2724-G2724)</f>
        <v/>
      </c>
      <c r="J2724">
        <f>IF(OR(NOT(ISNUMBER(G2724)),NOT(ISNUMBER(H2724)),G2724=0),"",I2724/G2724)</f>
        <v/>
      </c>
      <c r="K2724">
        <f>IF(OR(NOT(ISNUMBER(G2724)),NOT(ISNUMBER(H2724)),G2724=0),"",H2724/G2724)</f>
        <v/>
      </c>
      <c r="L2724">
        <f>IF(NOT(ISNUMBER(G2724)),"SEM META",IF(G2724=0,"SEM META",IF(NOT(ISNUMBER(H2724)),"SEM APONTAMENTO",IF(H2724&gt;=G2724,"VERDE",IF(H2724&gt;=G2724*0.9,"AMARELO","VERMELHO")))))</f>
        <v/>
      </c>
    </row>
    <row r="2725">
      <c r="A2725" s="321" t="n">
        <v>46416</v>
      </c>
      <c r="B2725" t="inlineStr">
        <is>
          <t>GERAL</t>
        </is>
      </c>
      <c r="C2725" t="inlineStr">
        <is>
          <t>GLOBO AÇOS</t>
        </is>
      </c>
      <c r="D2725" t="inlineStr">
        <is>
          <t>FECHAMENTO</t>
        </is>
      </c>
      <c r="F2725">
        <f>IFERROR(INDEX('BASE METAS DIÁRIAS'!$AA$2:$AC$358,MATCH($A2725,'BASE METAS DIÁRIAS'!$A$2:$A$358,0),3),"")</f>
        <v/>
      </c>
      <c r="G2725">
        <f>IFERROR(IF(WEEKDAY($A2725,2)&lt;=INDEX('BASE METAS DIÁRIAS'!$X$2:$Z$358,MATCH($A2725,'BASE METAS DIÁRIAS'!$A$2:$A$358,0),3),INDEX('BASE METAS DIÁRIAS'!$U$2:$W$358,MATCH($A2725,'BASE METAS DIÁRIAS'!$A$2:$A$358,0),3),""),"")</f>
        <v/>
      </c>
      <c r="H2725">
        <f>IFERROR(IF(INDEX('CONTROLE PRODUÇÃO POR EMPRESAS'!$H$6:$J$5000,MATCH($A2725,'CONTROLE PRODUÇÃO POR EMPRESAS'!$A$6:$A$5000,0),3)="","",IFERROR(1*INDEX('CONTROLE PRODUÇÃO POR EMPRESAS'!$H$6:$J$5000,MATCH($A2725,'CONTROLE PRODUÇÃO POR EMPRESAS'!$A$6:$A$5000,0),3),"")),"")</f>
        <v/>
      </c>
      <c r="I2725">
        <f>IF(OR(NOT(ISNUMBER(G2725)),NOT(ISNUMBER(H2725))),"",H2725-G2725)</f>
        <v/>
      </c>
      <c r="J2725">
        <f>IF(OR(NOT(ISNUMBER(G2725)),NOT(ISNUMBER(H2725)),G2725=0),"",I2725/G2725)</f>
        <v/>
      </c>
      <c r="K2725">
        <f>IF(OR(NOT(ISNUMBER(G2725)),NOT(ISNUMBER(H2725)),G2725=0),"",H2725/G2725)</f>
        <v/>
      </c>
      <c r="L2725">
        <f>IF(NOT(ISNUMBER(G2725)),"SEM META",IF(G2725=0,"SEM META",IF(NOT(ISNUMBER(H2725)),"SEM APONTAMENTO",IF(H2725&gt;=G2725,"VERDE",IF(H2725&gt;=G2725*0.9,"AMARELO","VERMELHO")))))</f>
        <v/>
      </c>
    </row>
    <row r="2726">
      <c r="A2726" s="321" t="n">
        <v>46417</v>
      </c>
      <c r="B2726" t="inlineStr">
        <is>
          <t>GERAL</t>
        </is>
      </c>
      <c r="C2726" t="inlineStr">
        <is>
          <t>GLOBO AÇOS</t>
        </is>
      </c>
      <c r="D2726" t="inlineStr">
        <is>
          <t>PERFILAÇÃO</t>
        </is>
      </c>
      <c r="F2726">
        <f>IFERROR(INDEX('BASE METAS DIÁRIAS'!$AA$2:$AC$358,MATCH($A2726,'BASE METAS DIÁRIAS'!$A$2:$A$358,0),1),"")</f>
        <v/>
      </c>
      <c r="G2726">
        <f>IFERROR(IF(WEEKDAY($A2726,2)&lt;=INDEX('BASE METAS DIÁRIAS'!$X$2:$Z$358,MATCH($A2726,'BASE METAS DIÁRIAS'!$A$2:$A$358,0),1),INDEX('BASE METAS DIÁRIAS'!$U$2:$W$358,MATCH($A2726,'BASE METAS DIÁRIAS'!$A$2:$A$358,0),1),""),"")</f>
        <v/>
      </c>
      <c r="H2726">
        <f>IFERROR(IF(INDEX('CONTROLE PRODUÇÃO POR EMPRESAS'!$H$6:$J$5000,MATCH($A2726,'CONTROLE PRODUÇÃO POR EMPRESAS'!$A$6:$A$5000,0),1)="","",IFERROR(1*INDEX('CONTROLE PRODUÇÃO POR EMPRESAS'!$H$6:$J$5000,MATCH($A2726,'CONTROLE PRODUÇÃO POR EMPRESAS'!$A$6:$A$5000,0),1),"")),"")</f>
        <v/>
      </c>
      <c r="I2726">
        <f>IF(OR(NOT(ISNUMBER(G2726)),NOT(ISNUMBER(H2726))),"",H2726-G2726)</f>
        <v/>
      </c>
      <c r="J2726">
        <f>IF(OR(NOT(ISNUMBER(G2726)),NOT(ISNUMBER(H2726)),G2726=0),"",I2726/G2726)</f>
        <v/>
      </c>
      <c r="K2726">
        <f>IF(OR(NOT(ISNUMBER(G2726)),NOT(ISNUMBER(H2726)),G2726=0),"",H2726/G2726)</f>
        <v/>
      </c>
      <c r="L2726">
        <f>IF(NOT(ISNUMBER(G2726)),"SEM META",IF(G2726=0,"SEM META",IF(NOT(ISNUMBER(H2726)),"SEM APONTAMENTO",IF(H2726&gt;=G2726,"VERDE",IF(H2726&gt;=G2726*0.9,"AMARELO","VERMELHO")))))</f>
        <v/>
      </c>
    </row>
    <row r="2727">
      <c r="A2727" s="321" t="n">
        <v>46417</v>
      </c>
      <c r="B2727" t="inlineStr">
        <is>
          <t>GERAL</t>
        </is>
      </c>
      <c r="C2727" t="inlineStr">
        <is>
          <t>GLOBO AÇOS</t>
        </is>
      </c>
      <c r="D2727" t="inlineStr">
        <is>
          <t>TELHAR</t>
        </is>
      </c>
      <c r="F2727">
        <f>IFERROR(INDEX('BASE METAS DIÁRIAS'!$AA$2:$AC$358,MATCH($A2727,'BASE METAS DIÁRIAS'!$A$2:$A$358,0),2),"")</f>
        <v/>
      </c>
      <c r="G2727">
        <f>IFERROR(IF(WEEKDAY($A2727,2)&lt;=INDEX('BASE METAS DIÁRIAS'!$X$2:$Z$358,MATCH($A2727,'BASE METAS DIÁRIAS'!$A$2:$A$358,0),2),INDEX('BASE METAS DIÁRIAS'!$U$2:$W$358,MATCH($A2727,'BASE METAS DIÁRIAS'!$A$2:$A$358,0),2),""),"")</f>
        <v/>
      </c>
      <c r="H2727">
        <f>IFERROR(IF(INDEX('CONTROLE PRODUÇÃO POR EMPRESAS'!$H$6:$J$5000,MATCH($A2727,'CONTROLE PRODUÇÃO POR EMPRESAS'!$A$6:$A$5000,0),2)="","",IFERROR(1*INDEX('CONTROLE PRODUÇÃO POR EMPRESAS'!$H$6:$J$5000,MATCH($A2727,'CONTROLE PRODUÇÃO POR EMPRESAS'!$A$6:$A$5000,0),2),"")),"")</f>
        <v/>
      </c>
      <c r="I2727">
        <f>IF(OR(NOT(ISNUMBER(G2727)),NOT(ISNUMBER(H2727))),"",H2727-G2727)</f>
        <v/>
      </c>
      <c r="J2727">
        <f>IF(OR(NOT(ISNUMBER(G2727)),NOT(ISNUMBER(H2727)),G2727=0),"",I2727/G2727)</f>
        <v/>
      </c>
      <c r="K2727">
        <f>IF(OR(NOT(ISNUMBER(G2727)),NOT(ISNUMBER(H2727)),G2727=0),"",H2727/G2727)</f>
        <v/>
      </c>
      <c r="L2727">
        <f>IF(NOT(ISNUMBER(G2727)),"SEM META",IF(G2727=0,"SEM META",IF(NOT(ISNUMBER(H2727)),"SEM APONTAMENTO",IF(H2727&gt;=G2727,"VERDE",IF(H2727&gt;=G2727*0.9,"AMARELO","VERMELHO")))))</f>
        <v/>
      </c>
    </row>
    <row r="2728">
      <c r="A2728" s="321" t="n">
        <v>46417</v>
      </c>
      <c r="B2728" t="inlineStr">
        <is>
          <t>GERAL</t>
        </is>
      </c>
      <c r="C2728" t="inlineStr">
        <is>
          <t>GLOBO AÇOS</t>
        </is>
      </c>
      <c r="D2728" t="inlineStr">
        <is>
          <t>FECHAMENTO</t>
        </is>
      </c>
      <c r="F2728">
        <f>IFERROR(INDEX('BASE METAS DIÁRIAS'!$AA$2:$AC$358,MATCH($A2728,'BASE METAS DIÁRIAS'!$A$2:$A$358,0),3),"")</f>
        <v/>
      </c>
      <c r="G2728">
        <f>IFERROR(IF(WEEKDAY($A2728,2)&lt;=INDEX('BASE METAS DIÁRIAS'!$X$2:$Z$358,MATCH($A2728,'BASE METAS DIÁRIAS'!$A$2:$A$358,0),3),INDEX('BASE METAS DIÁRIAS'!$U$2:$W$358,MATCH($A2728,'BASE METAS DIÁRIAS'!$A$2:$A$358,0),3),""),"")</f>
        <v/>
      </c>
      <c r="H2728">
        <f>IFERROR(IF(INDEX('CONTROLE PRODUÇÃO POR EMPRESAS'!$H$6:$J$5000,MATCH($A2728,'CONTROLE PRODUÇÃO POR EMPRESAS'!$A$6:$A$5000,0),3)="","",IFERROR(1*INDEX('CONTROLE PRODUÇÃO POR EMPRESAS'!$H$6:$J$5000,MATCH($A2728,'CONTROLE PRODUÇÃO POR EMPRESAS'!$A$6:$A$5000,0),3),"")),"")</f>
        <v/>
      </c>
      <c r="I2728">
        <f>IF(OR(NOT(ISNUMBER(G2728)),NOT(ISNUMBER(H2728))),"",H2728-G2728)</f>
        <v/>
      </c>
      <c r="J2728">
        <f>IF(OR(NOT(ISNUMBER(G2728)),NOT(ISNUMBER(H2728)),G2728=0),"",I2728/G2728)</f>
        <v/>
      </c>
      <c r="K2728">
        <f>IF(OR(NOT(ISNUMBER(G2728)),NOT(ISNUMBER(H2728)),G2728=0),"",H2728/G2728)</f>
        <v/>
      </c>
      <c r="L2728">
        <f>IF(NOT(ISNUMBER(G2728)),"SEM META",IF(G2728=0,"SEM META",IF(NOT(ISNUMBER(H2728)),"SEM APONTAMENTO",IF(H2728&gt;=G2728,"VERDE",IF(H2728&gt;=G2728*0.9,"AMARELO","VERMELHO")))))</f>
        <v/>
      </c>
    </row>
    <row r="2729">
      <c r="A2729" s="321" t="n">
        <v>46418</v>
      </c>
      <c r="B2729" t="inlineStr">
        <is>
          <t>GERAL</t>
        </is>
      </c>
      <c r="C2729" t="inlineStr">
        <is>
          <t>GLOBO AÇOS</t>
        </is>
      </c>
      <c r="D2729" t="inlineStr">
        <is>
          <t>PERFILAÇÃO</t>
        </is>
      </c>
      <c r="F2729">
        <f>IFERROR(INDEX('BASE METAS DIÁRIAS'!$AA$2:$AC$358,MATCH($A2729,'BASE METAS DIÁRIAS'!$A$2:$A$358,0),1),"")</f>
        <v/>
      </c>
      <c r="G2729">
        <f>IFERROR(IF(WEEKDAY($A2729,2)&lt;=INDEX('BASE METAS DIÁRIAS'!$X$2:$Z$358,MATCH($A2729,'BASE METAS DIÁRIAS'!$A$2:$A$358,0),1),INDEX('BASE METAS DIÁRIAS'!$U$2:$W$358,MATCH($A2729,'BASE METAS DIÁRIAS'!$A$2:$A$358,0),1),""),"")</f>
        <v/>
      </c>
      <c r="H2729">
        <f>IFERROR(IF(INDEX('CONTROLE PRODUÇÃO POR EMPRESAS'!$H$6:$J$5000,MATCH($A2729,'CONTROLE PRODUÇÃO POR EMPRESAS'!$A$6:$A$5000,0),1)="","",IFERROR(1*INDEX('CONTROLE PRODUÇÃO POR EMPRESAS'!$H$6:$J$5000,MATCH($A2729,'CONTROLE PRODUÇÃO POR EMPRESAS'!$A$6:$A$5000,0),1),"")),"")</f>
        <v/>
      </c>
      <c r="I2729">
        <f>IF(OR(NOT(ISNUMBER(G2729)),NOT(ISNUMBER(H2729))),"",H2729-G2729)</f>
        <v/>
      </c>
      <c r="J2729">
        <f>IF(OR(NOT(ISNUMBER(G2729)),NOT(ISNUMBER(H2729)),G2729=0),"",I2729/G2729)</f>
        <v/>
      </c>
      <c r="K2729">
        <f>IF(OR(NOT(ISNUMBER(G2729)),NOT(ISNUMBER(H2729)),G2729=0),"",H2729/G2729)</f>
        <v/>
      </c>
      <c r="L2729">
        <f>IF(NOT(ISNUMBER(G2729)),"SEM META",IF(G2729=0,"SEM META",IF(NOT(ISNUMBER(H2729)),"SEM APONTAMENTO",IF(H2729&gt;=G2729,"VERDE",IF(H2729&gt;=G2729*0.9,"AMARELO","VERMELHO")))))</f>
        <v/>
      </c>
    </row>
    <row r="2730">
      <c r="A2730" s="321" t="n">
        <v>46418</v>
      </c>
      <c r="B2730" t="inlineStr">
        <is>
          <t>GERAL</t>
        </is>
      </c>
      <c r="C2730" t="inlineStr">
        <is>
          <t>GLOBO AÇOS</t>
        </is>
      </c>
      <c r="D2730" t="inlineStr">
        <is>
          <t>TELHAR</t>
        </is>
      </c>
      <c r="F2730">
        <f>IFERROR(INDEX('BASE METAS DIÁRIAS'!$AA$2:$AC$358,MATCH($A2730,'BASE METAS DIÁRIAS'!$A$2:$A$358,0),2),"")</f>
        <v/>
      </c>
      <c r="G2730">
        <f>IFERROR(IF(WEEKDAY($A2730,2)&lt;=INDEX('BASE METAS DIÁRIAS'!$X$2:$Z$358,MATCH($A2730,'BASE METAS DIÁRIAS'!$A$2:$A$358,0),2),INDEX('BASE METAS DIÁRIAS'!$U$2:$W$358,MATCH($A2730,'BASE METAS DIÁRIAS'!$A$2:$A$358,0),2),""),"")</f>
        <v/>
      </c>
      <c r="H2730">
        <f>IFERROR(IF(INDEX('CONTROLE PRODUÇÃO POR EMPRESAS'!$H$6:$J$5000,MATCH($A2730,'CONTROLE PRODUÇÃO POR EMPRESAS'!$A$6:$A$5000,0),2)="","",IFERROR(1*INDEX('CONTROLE PRODUÇÃO POR EMPRESAS'!$H$6:$J$5000,MATCH($A2730,'CONTROLE PRODUÇÃO POR EMPRESAS'!$A$6:$A$5000,0),2),"")),"")</f>
        <v/>
      </c>
      <c r="I2730">
        <f>IF(OR(NOT(ISNUMBER(G2730)),NOT(ISNUMBER(H2730))),"",H2730-G2730)</f>
        <v/>
      </c>
      <c r="J2730">
        <f>IF(OR(NOT(ISNUMBER(G2730)),NOT(ISNUMBER(H2730)),G2730=0),"",I2730/G2730)</f>
        <v/>
      </c>
      <c r="K2730">
        <f>IF(OR(NOT(ISNUMBER(G2730)),NOT(ISNUMBER(H2730)),G2730=0),"",H2730/G2730)</f>
        <v/>
      </c>
      <c r="L2730">
        <f>IF(NOT(ISNUMBER(G2730)),"SEM META",IF(G2730=0,"SEM META",IF(NOT(ISNUMBER(H2730)),"SEM APONTAMENTO",IF(H2730&gt;=G2730,"VERDE",IF(H2730&gt;=G2730*0.9,"AMARELO","VERMELHO")))))</f>
        <v/>
      </c>
    </row>
    <row r="2731">
      <c r="A2731" s="321" t="n">
        <v>46418</v>
      </c>
      <c r="B2731" t="inlineStr">
        <is>
          <t>GERAL</t>
        </is>
      </c>
      <c r="C2731" t="inlineStr">
        <is>
          <t>GLOBO AÇOS</t>
        </is>
      </c>
      <c r="D2731" t="inlineStr">
        <is>
          <t>FECHAMENTO</t>
        </is>
      </c>
      <c r="F2731">
        <f>IFERROR(INDEX('BASE METAS DIÁRIAS'!$AA$2:$AC$358,MATCH($A2731,'BASE METAS DIÁRIAS'!$A$2:$A$358,0),3),"")</f>
        <v/>
      </c>
      <c r="G2731">
        <f>IFERROR(IF(WEEKDAY($A2731,2)&lt;=INDEX('BASE METAS DIÁRIAS'!$X$2:$Z$358,MATCH($A2731,'BASE METAS DIÁRIAS'!$A$2:$A$358,0),3),INDEX('BASE METAS DIÁRIAS'!$U$2:$W$358,MATCH($A2731,'BASE METAS DIÁRIAS'!$A$2:$A$358,0),3),""),"")</f>
        <v/>
      </c>
      <c r="H2731">
        <f>IFERROR(IF(INDEX('CONTROLE PRODUÇÃO POR EMPRESAS'!$H$6:$J$5000,MATCH($A2731,'CONTROLE PRODUÇÃO POR EMPRESAS'!$A$6:$A$5000,0),3)="","",IFERROR(1*INDEX('CONTROLE PRODUÇÃO POR EMPRESAS'!$H$6:$J$5000,MATCH($A2731,'CONTROLE PRODUÇÃO POR EMPRESAS'!$A$6:$A$5000,0),3),"")),"")</f>
        <v/>
      </c>
      <c r="I2731">
        <f>IF(OR(NOT(ISNUMBER(G2731)),NOT(ISNUMBER(H2731))),"",H2731-G2731)</f>
        <v/>
      </c>
      <c r="J2731">
        <f>IF(OR(NOT(ISNUMBER(G2731)),NOT(ISNUMBER(H2731)),G2731=0),"",I2731/G2731)</f>
        <v/>
      </c>
      <c r="K2731">
        <f>IF(OR(NOT(ISNUMBER(G2731)),NOT(ISNUMBER(H2731)),G2731=0),"",H2731/G2731)</f>
        <v/>
      </c>
      <c r="L2731">
        <f>IF(NOT(ISNUMBER(G2731)),"SEM META",IF(G2731=0,"SEM META",IF(NOT(ISNUMBER(H2731)),"SEM APONTAMENTO",IF(H2731&gt;=G2731,"VERDE",IF(H2731&gt;=G2731*0.9,"AMARELO","VERMELHO")))))</f>
        <v/>
      </c>
    </row>
    <row r="2732">
      <c r="A2732" s="321" t="n">
        <v>46419</v>
      </c>
      <c r="B2732" t="inlineStr">
        <is>
          <t>GERAL</t>
        </is>
      </c>
      <c r="C2732" t="inlineStr">
        <is>
          <t>GLOBO AÇOS</t>
        </is>
      </c>
      <c r="D2732" t="inlineStr">
        <is>
          <t>PERFILAÇÃO</t>
        </is>
      </c>
      <c r="F2732">
        <f>IFERROR(INDEX('BASE METAS DIÁRIAS'!$AA$2:$AC$358,MATCH($A2732,'BASE METAS DIÁRIAS'!$A$2:$A$358,0),1),"")</f>
        <v/>
      </c>
      <c r="G2732">
        <f>IFERROR(IF(WEEKDAY($A2732,2)&lt;=INDEX('BASE METAS DIÁRIAS'!$X$2:$Z$358,MATCH($A2732,'BASE METAS DIÁRIAS'!$A$2:$A$358,0),1),INDEX('BASE METAS DIÁRIAS'!$U$2:$W$358,MATCH($A2732,'BASE METAS DIÁRIAS'!$A$2:$A$358,0),1),""),"")</f>
        <v/>
      </c>
      <c r="H2732">
        <f>IFERROR(IF(INDEX('CONTROLE PRODUÇÃO POR EMPRESAS'!$H$6:$J$5000,MATCH($A2732,'CONTROLE PRODUÇÃO POR EMPRESAS'!$A$6:$A$5000,0),1)="","",IFERROR(1*INDEX('CONTROLE PRODUÇÃO POR EMPRESAS'!$H$6:$J$5000,MATCH($A2732,'CONTROLE PRODUÇÃO POR EMPRESAS'!$A$6:$A$5000,0),1),"")),"")</f>
        <v/>
      </c>
      <c r="I2732">
        <f>IF(OR(NOT(ISNUMBER(G2732)),NOT(ISNUMBER(H2732))),"",H2732-G2732)</f>
        <v/>
      </c>
      <c r="J2732">
        <f>IF(OR(NOT(ISNUMBER(G2732)),NOT(ISNUMBER(H2732)),G2732=0),"",I2732/G2732)</f>
        <v/>
      </c>
      <c r="K2732">
        <f>IF(OR(NOT(ISNUMBER(G2732)),NOT(ISNUMBER(H2732)),G2732=0),"",H2732/G2732)</f>
        <v/>
      </c>
      <c r="L2732">
        <f>IF(NOT(ISNUMBER(G2732)),"SEM META",IF(G2732=0,"SEM META",IF(NOT(ISNUMBER(H2732)),"SEM APONTAMENTO",IF(H2732&gt;=G2732,"VERDE",IF(H2732&gt;=G2732*0.9,"AMARELO","VERMELHO")))))</f>
        <v/>
      </c>
    </row>
    <row r="2733">
      <c r="A2733" s="321" t="n">
        <v>46419</v>
      </c>
      <c r="B2733" t="inlineStr">
        <is>
          <t>GERAL</t>
        </is>
      </c>
      <c r="C2733" t="inlineStr">
        <is>
          <t>GLOBO AÇOS</t>
        </is>
      </c>
      <c r="D2733" t="inlineStr">
        <is>
          <t>TELHAR</t>
        </is>
      </c>
      <c r="F2733">
        <f>IFERROR(INDEX('BASE METAS DIÁRIAS'!$AA$2:$AC$358,MATCH($A2733,'BASE METAS DIÁRIAS'!$A$2:$A$358,0),2),"")</f>
        <v/>
      </c>
      <c r="G2733">
        <f>IFERROR(IF(WEEKDAY($A2733,2)&lt;=INDEX('BASE METAS DIÁRIAS'!$X$2:$Z$358,MATCH($A2733,'BASE METAS DIÁRIAS'!$A$2:$A$358,0),2),INDEX('BASE METAS DIÁRIAS'!$U$2:$W$358,MATCH($A2733,'BASE METAS DIÁRIAS'!$A$2:$A$358,0),2),""),"")</f>
        <v/>
      </c>
      <c r="H2733">
        <f>IFERROR(IF(INDEX('CONTROLE PRODUÇÃO POR EMPRESAS'!$H$6:$J$5000,MATCH($A2733,'CONTROLE PRODUÇÃO POR EMPRESAS'!$A$6:$A$5000,0),2)="","",IFERROR(1*INDEX('CONTROLE PRODUÇÃO POR EMPRESAS'!$H$6:$J$5000,MATCH($A2733,'CONTROLE PRODUÇÃO POR EMPRESAS'!$A$6:$A$5000,0),2),"")),"")</f>
        <v/>
      </c>
      <c r="I2733">
        <f>IF(OR(NOT(ISNUMBER(G2733)),NOT(ISNUMBER(H2733))),"",H2733-G2733)</f>
        <v/>
      </c>
      <c r="J2733">
        <f>IF(OR(NOT(ISNUMBER(G2733)),NOT(ISNUMBER(H2733)),G2733=0),"",I2733/G2733)</f>
        <v/>
      </c>
      <c r="K2733">
        <f>IF(OR(NOT(ISNUMBER(G2733)),NOT(ISNUMBER(H2733)),G2733=0),"",H2733/G2733)</f>
        <v/>
      </c>
      <c r="L2733">
        <f>IF(NOT(ISNUMBER(G2733)),"SEM META",IF(G2733=0,"SEM META",IF(NOT(ISNUMBER(H2733)),"SEM APONTAMENTO",IF(H2733&gt;=G2733,"VERDE",IF(H2733&gt;=G2733*0.9,"AMARELO","VERMELHO")))))</f>
        <v/>
      </c>
    </row>
    <row r="2734">
      <c r="A2734" s="321" t="n">
        <v>46419</v>
      </c>
      <c r="B2734" t="inlineStr">
        <is>
          <t>GERAL</t>
        </is>
      </c>
      <c r="C2734" t="inlineStr">
        <is>
          <t>GLOBO AÇOS</t>
        </is>
      </c>
      <c r="D2734" t="inlineStr">
        <is>
          <t>FECHAMENTO</t>
        </is>
      </c>
      <c r="F2734">
        <f>IFERROR(INDEX('BASE METAS DIÁRIAS'!$AA$2:$AC$358,MATCH($A2734,'BASE METAS DIÁRIAS'!$A$2:$A$358,0),3),"")</f>
        <v/>
      </c>
      <c r="G2734">
        <f>IFERROR(IF(WEEKDAY($A2734,2)&lt;=INDEX('BASE METAS DIÁRIAS'!$X$2:$Z$358,MATCH($A2734,'BASE METAS DIÁRIAS'!$A$2:$A$358,0),3),INDEX('BASE METAS DIÁRIAS'!$U$2:$W$358,MATCH($A2734,'BASE METAS DIÁRIAS'!$A$2:$A$358,0),3),""),"")</f>
        <v/>
      </c>
      <c r="H2734">
        <f>IFERROR(IF(INDEX('CONTROLE PRODUÇÃO POR EMPRESAS'!$H$6:$J$5000,MATCH($A2734,'CONTROLE PRODUÇÃO POR EMPRESAS'!$A$6:$A$5000,0),3)="","",IFERROR(1*INDEX('CONTROLE PRODUÇÃO POR EMPRESAS'!$H$6:$J$5000,MATCH($A2734,'CONTROLE PRODUÇÃO POR EMPRESAS'!$A$6:$A$5000,0),3),"")),"")</f>
        <v/>
      </c>
      <c r="I2734">
        <f>IF(OR(NOT(ISNUMBER(G2734)),NOT(ISNUMBER(H2734))),"",H2734-G2734)</f>
        <v/>
      </c>
      <c r="J2734">
        <f>IF(OR(NOT(ISNUMBER(G2734)),NOT(ISNUMBER(H2734)),G2734=0),"",I2734/G2734)</f>
        <v/>
      </c>
      <c r="K2734">
        <f>IF(OR(NOT(ISNUMBER(G2734)),NOT(ISNUMBER(H2734)),G2734=0),"",H2734/G2734)</f>
        <v/>
      </c>
      <c r="L2734">
        <f>IF(NOT(ISNUMBER(G2734)),"SEM META",IF(G2734=0,"SEM META",IF(NOT(ISNUMBER(H2734)),"SEM APONTAMENTO",IF(H2734&gt;=G2734,"VERDE",IF(H2734&gt;=G2734*0.9,"AMARELO","VERMELHO")))))</f>
        <v/>
      </c>
    </row>
    <row r="2735">
      <c r="A2735" s="321" t="n">
        <v>46420</v>
      </c>
      <c r="B2735" t="inlineStr">
        <is>
          <t>GERAL</t>
        </is>
      </c>
      <c r="C2735" t="inlineStr">
        <is>
          <t>GLOBO AÇOS</t>
        </is>
      </c>
      <c r="D2735" t="inlineStr">
        <is>
          <t>PERFILAÇÃO</t>
        </is>
      </c>
      <c r="F2735">
        <f>IFERROR(INDEX('BASE METAS DIÁRIAS'!$AA$2:$AC$358,MATCH($A2735,'BASE METAS DIÁRIAS'!$A$2:$A$358,0),1),"")</f>
        <v/>
      </c>
      <c r="G2735">
        <f>IFERROR(IF(WEEKDAY($A2735,2)&lt;=INDEX('BASE METAS DIÁRIAS'!$X$2:$Z$358,MATCH($A2735,'BASE METAS DIÁRIAS'!$A$2:$A$358,0),1),INDEX('BASE METAS DIÁRIAS'!$U$2:$W$358,MATCH($A2735,'BASE METAS DIÁRIAS'!$A$2:$A$358,0),1),""),"")</f>
        <v/>
      </c>
      <c r="H2735">
        <f>IFERROR(IF(INDEX('CONTROLE PRODUÇÃO POR EMPRESAS'!$H$6:$J$5000,MATCH($A2735,'CONTROLE PRODUÇÃO POR EMPRESAS'!$A$6:$A$5000,0),1)="","",IFERROR(1*INDEX('CONTROLE PRODUÇÃO POR EMPRESAS'!$H$6:$J$5000,MATCH($A2735,'CONTROLE PRODUÇÃO POR EMPRESAS'!$A$6:$A$5000,0),1),"")),"")</f>
        <v/>
      </c>
      <c r="I2735">
        <f>IF(OR(NOT(ISNUMBER(G2735)),NOT(ISNUMBER(H2735))),"",H2735-G2735)</f>
        <v/>
      </c>
      <c r="J2735">
        <f>IF(OR(NOT(ISNUMBER(G2735)),NOT(ISNUMBER(H2735)),G2735=0),"",I2735/G2735)</f>
        <v/>
      </c>
      <c r="K2735">
        <f>IF(OR(NOT(ISNUMBER(G2735)),NOT(ISNUMBER(H2735)),G2735=0),"",H2735/G2735)</f>
        <v/>
      </c>
      <c r="L2735">
        <f>IF(NOT(ISNUMBER(G2735)),"SEM META",IF(G2735=0,"SEM META",IF(NOT(ISNUMBER(H2735)),"SEM APONTAMENTO",IF(H2735&gt;=G2735,"VERDE",IF(H2735&gt;=G2735*0.9,"AMARELO","VERMELHO")))))</f>
        <v/>
      </c>
    </row>
    <row r="2736">
      <c r="A2736" s="321" t="n">
        <v>46420</v>
      </c>
      <c r="B2736" t="inlineStr">
        <is>
          <t>GERAL</t>
        </is>
      </c>
      <c r="C2736" t="inlineStr">
        <is>
          <t>GLOBO AÇOS</t>
        </is>
      </c>
      <c r="D2736" t="inlineStr">
        <is>
          <t>TELHAR</t>
        </is>
      </c>
      <c r="F2736">
        <f>IFERROR(INDEX('BASE METAS DIÁRIAS'!$AA$2:$AC$358,MATCH($A2736,'BASE METAS DIÁRIAS'!$A$2:$A$358,0),2),"")</f>
        <v/>
      </c>
      <c r="G2736">
        <f>IFERROR(IF(WEEKDAY($A2736,2)&lt;=INDEX('BASE METAS DIÁRIAS'!$X$2:$Z$358,MATCH($A2736,'BASE METAS DIÁRIAS'!$A$2:$A$358,0),2),INDEX('BASE METAS DIÁRIAS'!$U$2:$W$358,MATCH($A2736,'BASE METAS DIÁRIAS'!$A$2:$A$358,0),2),""),"")</f>
        <v/>
      </c>
      <c r="H2736">
        <f>IFERROR(IF(INDEX('CONTROLE PRODUÇÃO POR EMPRESAS'!$H$6:$J$5000,MATCH($A2736,'CONTROLE PRODUÇÃO POR EMPRESAS'!$A$6:$A$5000,0),2)="","",IFERROR(1*INDEX('CONTROLE PRODUÇÃO POR EMPRESAS'!$H$6:$J$5000,MATCH($A2736,'CONTROLE PRODUÇÃO POR EMPRESAS'!$A$6:$A$5000,0),2),"")),"")</f>
        <v/>
      </c>
      <c r="I2736">
        <f>IF(OR(NOT(ISNUMBER(G2736)),NOT(ISNUMBER(H2736))),"",H2736-G2736)</f>
        <v/>
      </c>
      <c r="J2736">
        <f>IF(OR(NOT(ISNUMBER(G2736)),NOT(ISNUMBER(H2736)),G2736=0),"",I2736/G2736)</f>
        <v/>
      </c>
      <c r="K2736">
        <f>IF(OR(NOT(ISNUMBER(G2736)),NOT(ISNUMBER(H2736)),G2736=0),"",H2736/G2736)</f>
        <v/>
      </c>
      <c r="L2736">
        <f>IF(NOT(ISNUMBER(G2736)),"SEM META",IF(G2736=0,"SEM META",IF(NOT(ISNUMBER(H2736)),"SEM APONTAMENTO",IF(H2736&gt;=G2736,"VERDE",IF(H2736&gt;=G2736*0.9,"AMARELO","VERMELHO")))))</f>
        <v/>
      </c>
    </row>
    <row r="2737">
      <c r="A2737" s="321" t="n">
        <v>46420</v>
      </c>
      <c r="B2737" t="inlineStr">
        <is>
          <t>GERAL</t>
        </is>
      </c>
      <c r="C2737" t="inlineStr">
        <is>
          <t>GLOBO AÇOS</t>
        </is>
      </c>
      <c r="D2737" t="inlineStr">
        <is>
          <t>FECHAMENTO</t>
        </is>
      </c>
      <c r="F2737">
        <f>IFERROR(INDEX('BASE METAS DIÁRIAS'!$AA$2:$AC$358,MATCH($A2737,'BASE METAS DIÁRIAS'!$A$2:$A$358,0),3),"")</f>
        <v/>
      </c>
      <c r="G2737">
        <f>IFERROR(IF(WEEKDAY($A2737,2)&lt;=INDEX('BASE METAS DIÁRIAS'!$X$2:$Z$358,MATCH($A2737,'BASE METAS DIÁRIAS'!$A$2:$A$358,0),3),INDEX('BASE METAS DIÁRIAS'!$U$2:$W$358,MATCH($A2737,'BASE METAS DIÁRIAS'!$A$2:$A$358,0),3),""),"")</f>
        <v/>
      </c>
      <c r="H2737">
        <f>IFERROR(IF(INDEX('CONTROLE PRODUÇÃO POR EMPRESAS'!$H$6:$J$5000,MATCH($A2737,'CONTROLE PRODUÇÃO POR EMPRESAS'!$A$6:$A$5000,0),3)="","",IFERROR(1*INDEX('CONTROLE PRODUÇÃO POR EMPRESAS'!$H$6:$J$5000,MATCH($A2737,'CONTROLE PRODUÇÃO POR EMPRESAS'!$A$6:$A$5000,0),3),"")),"")</f>
        <v/>
      </c>
      <c r="I2737">
        <f>IF(OR(NOT(ISNUMBER(G2737)),NOT(ISNUMBER(H2737))),"",H2737-G2737)</f>
        <v/>
      </c>
      <c r="J2737">
        <f>IF(OR(NOT(ISNUMBER(G2737)),NOT(ISNUMBER(H2737)),G2737=0),"",I2737/G2737)</f>
        <v/>
      </c>
      <c r="K2737">
        <f>IF(OR(NOT(ISNUMBER(G2737)),NOT(ISNUMBER(H2737)),G2737=0),"",H2737/G2737)</f>
        <v/>
      </c>
      <c r="L2737">
        <f>IF(NOT(ISNUMBER(G2737)),"SEM META",IF(G2737=0,"SEM META",IF(NOT(ISNUMBER(H2737)),"SEM APONTAMENTO",IF(H2737&gt;=G2737,"VERDE",IF(H2737&gt;=G2737*0.9,"AMARELO","VERMELHO")))))</f>
        <v/>
      </c>
    </row>
    <row r="2738">
      <c r="A2738" s="321" t="n">
        <v>46421</v>
      </c>
      <c r="B2738" t="inlineStr">
        <is>
          <t>GERAL</t>
        </is>
      </c>
      <c r="C2738" t="inlineStr">
        <is>
          <t>GLOBO AÇOS</t>
        </is>
      </c>
      <c r="D2738" t="inlineStr">
        <is>
          <t>PERFILAÇÃO</t>
        </is>
      </c>
      <c r="F2738">
        <f>IFERROR(INDEX('BASE METAS DIÁRIAS'!$AA$2:$AC$358,MATCH($A2738,'BASE METAS DIÁRIAS'!$A$2:$A$358,0),1),"")</f>
        <v/>
      </c>
      <c r="G2738">
        <f>IFERROR(IF(WEEKDAY($A2738,2)&lt;=INDEX('BASE METAS DIÁRIAS'!$X$2:$Z$358,MATCH($A2738,'BASE METAS DIÁRIAS'!$A$2:$A$358,0),1),INDEX('BASE METAS DIÁRIAS'!$U$2:$W$358,MATCH($A2738,'BASE METAS DIÁRIAS'!$A$2:$A$358,0),1),""),"")</f>
        <v/>
      </c>
      <c r="H2738">
        <f>IFERROR(IF(INDEX('CONTROLE PRODUÇÃO POR EMPRESAS'!$H$6:$J$5000,MATCH($A2738,'CONTROLE PRODUÇÃO POR EMPRESAS'!$A$6:$A$5000,0),1)="","",IFERROR(1*INDEX('CONTROLE PRODUÇÃO POR EMPRESAS'!$H$6:$J$5000,MATCH($A2738,'CONTROLE PRODUÇÃO POR EMPRESAS'!$A$6:$A$5000,0),1),"")),"")</f>
        <v/>
      </c>
      <c r="I2738">
        <f>IF(OR(NOT(ISNUMBER(G2738)),NOT(ISNUMBER(H2738))),"",H2738-G2738)</f>
        <v/>
      </c>
      <c r="J2738">
        <f>IF(OR(NOT(ISNUMBER(G2738)),NOT(ISNUMBER(H2738)),G2738=0),"",I2738/G2738)</f>
        <v/>
      </c>
      <c r="K2738">
        <f>IF(OR(NOT(ISNUMBER(G2738)),NOT(ISNUMBER(H2738)),G2738=0),"",H2738/G2738)</f>
        <v/>
      </c>
      <c r="L2738">
        <f>IF(NOT(ISNUMBER(G2738)),"SEM META",IF(G2738=0,"SEM META",IF(NOT(ISNUMBER(H2738)),"SEM APONTAMENTO",IF(H2738&gt;=G2738,"VERDE",IF(H2738&gt;=G2738*0.9,"AMARELO","VERMELHO")))))</f>
        <v/>
      </c>
    </row>
    <row r="2739">
      <c r="A2739" s="321" t="n">
        <v>46421</v>
      </c>
      <c r="B2739" t="inlineStr">
        <is>
          <t>GERAL</t>
        </is>
      </c>
      <c r="C2739" t="inlineStr">
        <is>
          <t>GLOBO AÇOS</t>
        </is>
      </c>
      <c r="D2739" t="inlineStr">
        <is>
          <t>TELHAR</t>
        </is>
      </c>
      <c r="F2739">
        <f>IFERROR(INDEX('BASE METAS DIÁRIAS'!$AA$2:$AC$358,MATCH($A2739,'BASE METAS DIÁRIAS'!$A$2:$A$358,0),2),"")</f>
        <v/>
      </c>
      <c r="G2739">
        <f>IFERROR(IF(WEEKDAY($A2739,2)&lt;=INDEX('BASE METAS DIÁRIAS'!$X$2:$Z$358,MATCH($A2739,'BASE METAS DIÁRIAS'!$A$2:$A$358,0),2),INDEX('BASE METAS DIÁRIAS'!$U$2:$W$358,MATCH($A2739,'BASE METAS DIÁRIAS'!$A$2:$A$358,0),2),""),"")</f>
        <v/>
      </c>
      <c r="H2739">
        <f>IFERROR(IF(INDEX('CONTROLE PRODUÇÃO POR EMPRESAS'!$H$6:$J$5000,MATCH($A2739,'CONTROLE PRODUÇÃO POR EMPRESAS'!$A$6:$A$5000,0),2)="","",IFERROR(1*INDEX('CONTROLE PRODUÇÃO POR EMPRESAS'!$H$6:$J$5000,MATCH($A2739,'CONTROLE PRODUÇÃO POR EMPRESAS'!$A$6:$A$5000,0),2),"")),"")</f>
        <v/>
      </c>
      <c r="I2739">
        <f>IF(OR(NOT(ISNUMBER(G2739)),NOT(ISNUMBER(H2739))),"",H2739-G2739)</f>
        <v/>
      </c>
      <c r="J2739">
        <f>IF(OR(NOT(ISNUMBER(G2739)),NOT(ISNUMBER(H2739)),G2739=0),"",I2739/G2739)</f>
        <v/>
      </c>
      <c r="K2739">
        <f>IF(OR(NOT(ISNUMBER(G2739)),NOT(ISNUMBER(H2739)),G2739=0),"",H2739/G2739)</f>
        <v/>
      </c>
      <c r="L2739">
        <f>IF(NOT(ISNUMBER(G2739)),"SEM META",IF(G2739=0,"SEM META",IF(NOT(ISNUMBER(H2739)),"SEM APONTAMENTO",IF(H2739&gt;=G2739,"VERDE",IF(H2739&gt;=G2739*0.9,"AMARELO","VERMELHO")))))</f>
        <v/>
      </c>
    </row>
    <row r="2740">
      <c r="A2740" s="321" t="n">
        <v>46421</v>
      </c>
      <c r="B2740" t="inlineStr">
        <is>
          <t>GERAL</t>
        </is>
      </c>
      <c r="C2740" t="inlineStr">
        <is>
          <t>GLOBO AÇOS</t>
        </is>
      </c>
      <c r="D2740" t="inlineStr">
        <is>
          <t>FECHAMENTO</t>
        </is>
      </c>
      <c r="F2740">
        <f>IFERROR(INDEX('BASE METAS DIÁRIAS'!$AA$2:$AC$358,MATCH($A2740,'BASE METAS DIÁRIAS'!$A$2:$A$358,0),3),"")</f>
        <v/>
      </c>
      <c r="G2740">
        <f>IFERROR(IF(WEEKDAY($A2740,2)&lt;=INDEX('BASE METAS DIÁRIAS'!$X$2:$Z$358,MATCH($A2740,'BASE METAS DIÁRIAS'!$A$2:$A$358,0),3),INDEX('BASE METAS DIÁRIAS'!$U$2:$W$358,MATCH($A2740,'BASE METAS DIÁRIAS'!$A$2:$A$358,0),3),""),"")</f>
        <v/>
      </c>
      <c r="H2740">
        <f>IFERROR(IF(INDEX('CONTROLE PRODUÇÃO POR EMPRESAS'!$H$6:$J$5000,MATCH($A2740,'CONTROLE PRODUÇÃO POR EMPRESAS'!$A$6:$A$5000,0),3)="","",IFERROR(1*INDEX('CONTROLE PRODUÇÃO POR EMPRESAS'!$H$6:$J$5000,MATCH($A2740,'CONTROLE PRODUÇÃO POR EMPRESAS'!$A$6:$A$5000,0),3),"")),"")</f>
        <v/>
      </c>
      <c r="I2740">
        <f>IF(OR(NOT(ISNUMBER(G2740)),NOT(ISNUMBER(H2740))),"",H2740-G2740)</f>
        <v/>
      </c>
      <c r="J2740">
        <f>IF(OR(NOT(ISNUMBER(G2740)),NOT(ISNUMBER(H2740)),G2740=0),"",I2740/G2740)</f>
        <v/>
      </c>
      <c r="K2740">
        <f>IF(OR(NOT(ISNUMBER(G2740)),NOT(ISNUMBER(H2740)),G2740=0),"",H2740/G2740)</f>
        <v/>
      </c>
      <c r="L2740">
        <f>IF(NOT(ISNUMBER(G2740)),"SEM META",IF(G2740=0,"SEM META",IF(NOT(ISNUMBER(H2740)),"SEM APONTAMENTO",IF(H2740&gt;=G2740,"VERDE",IF(H2740&gt;=G2740*0.9,"AMARELO","VERMELHO")))))</f>
        <v/>
      </c>
    </row>
    <row r="2741">
      <c r="A2741" s="321" t="n">
        <v>46422</v>
      </c>
      <c r="B2741" t="inlineStr">
        <is>
          <t>GERAL</t>
        </is>
      </c>
      <c r="C2741" t="inlineStr">
        <is>
          <t>GLOBO AÇOS</t>
        </is>
      </c>
      <c r="D2741" t="inlineStr">
        <is>
          <t>PERFILAÇÃO</t>
        </is>
      </c>
      <c r="F2741">
        <f>IFERROR(INDEX('BASE METAS DIÁRIAS'!$AA$2:$AC$358,MATCH($A2741,'BASE METAS DIÁRIAS'!$A$2:$A$358,0),1),"")</f>
        <v/>
      </c>
      <c r="G2741">
        <f>IFERROR(IF(WEEKDAY($A2741,2)&lt;=INDEX('BASE METAS DIÁRIAS'!$X$2:$Z$358,MATCH($A2741,'BASE METAS DIÁRIAS'!$A$2:$A$358,0),1),INDEX('BASE METAS DIÁRIAS'!$U$2:$W$358,MATCH($A2741,'BASE METAS DIÁRIAS'!$A$2:$A$358,0),1),""),"")</f>
        <v/>
      </c>
      <c r="H2741">
        <f>IFERROR(IF(INDEX('CONTROLE PRODUÇÃO POR EMPRESAS'!$H$6:$J$5000,MATCH($A2741,'CONTROLE PRODUÇÃO POR EMPRESAS'!$A$6:$A$5000,0),1)="","",IFERROR(1*INDEX('CONTROLE PRODUÇÃO POR EMPRESAS'!$H$6:$J$5000,MATCH($A2741,'CONTROLE PRODUÇÃO POR EMPRESAS'!$A$6:$A$5000,0),1),"")),"")</f>
        <v/>
      </c>
      <c r="I2741">
        <f>IF(OR(NOT(ISNUMBER(G2741)),NOT(ISNUMBER(H2741))),"",H2741-G2741)</f>
        <v/>
      </c>
      <c r="J2741">
        <f>IF(OR(NOT(ISNUMBER(G2741)),NOT(ISNUMBER(H2741)),G2741=0),"",I2741/G2741)</f>
        <v/>
      </c>
      <c r="K2741">
        <f>IF(OR(NOT(ISNUMBER(G2741)),NOT(ISNUMBER(H2741)),G2741=0),"",H2741/G2741)</f>
        <v/>
      </c>
      <c r="L2741">
        <f>IF(NOT(ISNUMBER(G2741)),"SEM META",IF(G2741=0,"SEM META",IF(NOT(ISNUMBER(H2741)),"SEM APONTAMENTO",IF(H2741&gt;=G2741,"VERDE",IF(H2741&gt;=G2741*0.9,"AMARELO","VERMELHO")))))</f>
        <v/>
      </c>
    </row>
    <row r="2742">
      <c r="A2742" s="321" t="n">
        <v>46422</v>
      </c>
      <c r="B2742" t="inlineStr">
        <is>
          <t>GERAL</t>
        </is>
      </c>
      <c r="C2742" t="inlineStr">
        <is>
          <t>GLOBO AÇOS</t>
        </is>
      </c>
      <c r="D2742" t="inlineStr">
        <is>
          <t>TELHAR</t>
        </is>
      </c>
      <c r="F2742">
        <f>IFERROR(INDEX('BASE METAS DIÁRIAS'!$AA$2:$AC$358,MATCH($A2742,'BASE METAS DIÁRIAS'!$A$2:$A$358,0),2),"")</f>
        <v/>
      </c>
      <c r="G2742">
        <f>IFERROR(IF(WEEKDAY($A2742,2)&lt;=INDEX('BASE METAS DIÁRIAS'!$X$2:$Z$358,MATCH($A2742,'BASE METAS DIÁRIAS'!$A$2:$A$358,0),2),INDEX('BASE METAS DIÁRIAS'!$U$2:$W$358,MATCH($A2742,'BASE METAS DIÁRIAS'!$A$2:$A$358,0),2),""),"")</f>
        <v/>
      </c>
      <c r="H2742">
        <f>IFERROR(IF(INDEX('CONTROLE PRODUÇÃO POR EMPRESAS'!$H$6:$J$5000,MATCH($A2742,'CONTROLE PRODUÇÃO POR EMPRESAS'!$A$6:$A$5000,0),2)="","",IFERROR(1*INDEX('CONTROLE PRODUÇÃO POR EMPRESAS'!$H$6:$J$5000,MATCH($A2742,'CONTROLE PRODUÇÃO POR EMPRESAS'!$A$6:$A$5000,0),2),"")),"")</f>
        <v/>
      </c>
      <c r="I2742">
        <f>IF(OR(NOT(ISNUMBER(G2742)),NOT(ISNUMBER(H2742))),"",H2742-G2742)</f>
        <v/>
      </c>
      <c r="J2742">
        <f>IF(OR(NOT(ISNUMBER(G2742)),NOT(ISNUMBER(H2742)),G2742=0),"",I2742/G2742)</f>
        <v/>
      </c>
      <c r="K2742">
        <f>IF(OR(NOT(ISNUMBER(G2742)),NOT(ISNUMBER(H2742)),G2742=0),"",H2742/G2742)</f>
        <v/>
      </c>
      <c r="L2742">
        <f>IF(NOT(ISNUMBER(G2742)),"SEM META",IF(G2742=0,"SEM META",IF(NOT(ISNUMBER(H2742)),"SEM APONTAMENTO",IF(H2742&gt;=G2742,"VERDE",IF(H2742&gt;=G2742*0.9,"AMARELO","VERMELHO")))))</f>
        <v/>
      </c>
    </row>
    <row r="2743">
      <c r="A2743" s="321" t="n">
        <v>46422</v>
      </c>
      <c r="B2743" t="inlineStr">
        <is>
          <t>GERAL</t>
        </is>
      </c>
      <c r="C2743" t="inlineStr">
        <is>
          <t>GLOBO AÇOS</t>
        </is>
      </c>
      <c r="D2743" t="inlineStr">
        <is>
          <t>FECHAMENTO</t>
        </is>
      </c>
      <c r="F2743">
        <f>IFERROR(INDEX('BASE METAS DIÁRIAS'!$AA$2:$AC$358,MATCH($A2743,'BASE METAS DIÁRIAS'!$A$2:$A$358,0),3),"")</f>
        <v/>
      </c>
      <c r="G2743">
        <f>IFERROR(IF(WEEKDAY($A2743,2)&lt;=INDEX('BASE METAS DIÁRIAS'!$X$2:$Z$358,MATCH($A2743,'BASE METAS DIÁRIAS'!$A$2:$A$358,0),3),INDEX('BASE METAS DIÁRIAS'!$U$2:$W$358,MATCH($A2743,'BASE METAS DIÁRIAS'!$A$2:$A$358,0),3),""),"")</f>
        <v/>
      </c>
      <c r="H2743">
        <f>IFERROR(IF(INDEX('CONTROLE PRODUÇÃO POR EMPRESAS'!$H$6:$J$5000,MATCH($A2743,'CONTROLE PRODUÇÃO POR EMPRESAS'!$A$6:$A$5000,0),3)="","",IFERROR(1*INDEX('CONTROLE PRODUÇÃO POR EMPRESAS'!$H$6:$J$5000,MATCH($A2743,'CONTROLE PRODUÇÃO POR EMPRESAS'!$A$6:$A$5000,0),3),"")),"")</f>
        <v/>
      </c>
      <c r="I2743">
        <f>IF(OR(NOT(ISNUMBER(G2743)),NOT(ISNUMBER(H2743))),"",H2743-G2743)</f>
        <v/>
      </c>
      <c r="J2743">
        <f>IF(OR(NOT(ISNUMBER(G2743)),NOT(ISNUMBER(H2743)),G2743=0),"",I2743/G2743)</f>
        <v/>
      </c>
      <c r="K2743">
        <f>IF(OR(NOT(ISNUMBER(G2743)),NOT(ISNUMBER(H2743)),G2743=0),"",H2743/G2743)</f>
        <v/>
      </c>
      <c r="L2743">
        <f>IF(NOT(ISNUMBER(G2743)),"SEM META",IF(G2743=0,"SEM META",IF(NOT(ISNUMBER(H2743)),"SEM APONTAMENTO",IF(H2743&gt;=G2743,"VERDE",IF(H2743&gt;=G2743*0.9,"AMARELO","VERMELHO")))))</f>
        <v/>
      </c>
    </row>
    <row r="2744">
      <c r="A2744" s="321" t="n">
        <v>46423</v>
      </c>
      <c r="B2744" t="inlineStr">
        <is>
          <t>GERAL</t>
        </is>
      </c>
      <c r="C2744" t="inlineStr">
        <is>
          <t>GLOBO AÇOS</t>
        </is>
      </c>
      <c r="D2744" t="inlineStr">
        <is>
          <t>PERFILAÇÃO</t>
        </is>
      </c>
      <c r="F2744">
        <f>IFERROR(INDEX('BASE METAS DIÁRIAS'!$AA$2:$AC$358,MATCH($A2744,'BASE METAS DIÁRIAS'!$A$2:$A$358,0),1),"")</f>
        <v/>
      </c>
      <c r="G2744">
        <f>IFERROR(IF(WEEKDAY($A2744,2)&lt;=INDEX('BASE METAS DIÁRIAS'!$X$2:$Z$358,MATCH($A2744,'BASE METAS DIÁRIAS'!$A$2:$A$358,0),1),INDEX('BASE METAS DIÁRIAS'!$U$2:$W$358,MATCH($A2744,'BASE METAS DIÁRIAS'!$A$2:$A$358,0),1),""),"")</f>
        <v/>
      </c>
      <c r="H2744">
        <f>IFERROR(IF(INDEX('CONTROLE PRODUÇÃO POR EMPRESAS'!$H$6:$J$5000,MATCH($A2744,'CONTROLE PRODUÇÃO POR EMPRESAS'!$A$6:$A$5000,0),1)="","",IFERROR(1*INDEX('CONTROLE PRODUÇÃO POR EMPRESAS'!$H$6:$J$5000,MATCH($A2744,'CONTROLE PRODUÇÃO POR EMPRESAS'!$A$6:$A$5000,0),1),"")),"")</f>
        <v/>
      </c>
      <c r="I2744">
        <f>IF(OR(NOT(ISNUMBER(G2744)),NOT(ISNUMBER(H2744))),"",H2744-G2744)</f>
        <v/>
      </c>
      <c r="J2744">
        <f>IF(OR(NOT(ISNUMBER(G2744)),NOT(ISNUMBER(H2744)),G2744=0),"",I2744/G2744)</f>
        <v/>
      </c>
      <c r="K2744">
        <f>IF(OR(NOT(ISNUMBER(G2744)),NOT(ISNUMBER(H2744)),G2744=0),"",H2744/G2744)</f>
        <v/>
      </c>
      <c r="L2744">
        <f>IF(NOT(ISNUMBER(G2744)),"SEM META",IF(G2744=0,"SEM META",IF(NOT(ISNUMBER(H2744)),"SEM APONTAMENTO",IF(H2744&gt;=G2744,"VERDE",IF(H2744&gt;=G2744*0.9,"AMARELO","VERMELHO")))))</f>
        <v/>
      </c>
    </row>
    <row r="2745">
      <c r="A2745" s="321" t="n">
        <v>46423</v>
      </c>
      <c r="B2745" t="inlineStr">
        <is>
          <t>GERAL</t>
        </is>
      </c>
      <c r="C2745" t="inlineStr">
        <is>
          <t>GLOBO AÇOS</t>
        </is>
      </c>
      <c r="D2745" t="inlineStr">
        <is>
          <t>TELHAR</t>
        </is>
      </c>
      <c r="F2745">
        <f>IFERROR(INDEX('BASE METAS DIÁRIAS'!$AA$2:$AC$358,MATCH($A2745,'BASE METAS DIÁRIAS'!$A$2:$A$358,0),2),"")</f>
        <v/>
      </c>
      <c r="G2745">
        <f>IFERROR(IF(WEEKDAY($A2745,2)&lt;=INDEX('BASE METAS DIÁRIAS'!$X$2:$Z$358,MATCH($A2745,'BASE METAS DIÁRIAS'!$A$2:$A$358,0),2),INDEX('BASE METAS DIÁRIAS'!$U$2:$W$358,MATCH($A2745,'BASE METAS DIÁRIAS'!$A$2:$A$358,0),2),""),"")</f>
        <v/>
      </c>
      <c r="H2745">
        <f>IFERROR(IF(INDEX('CONTROLE PRODUÇÃO POR EMPRESAS'!$H$6:$J$5000,MATCH($A2745,'CONTROLE PRODUÇÃO POR EMPRESAS'!$A$6:$A$5000,0),2)="","",IFERROR(1*INDEX('CONTROLE PRODUÇÃO POR EMPRESAS'!$H$6:$J$5000,MATCH($A2745,'CONTROLE PRODUÇÃO POR EMPRESAS'!$A$6:$A$5000,0),2),"")),"")</f>
        <v/>
      </c>
      <c r="I2745">
        <f>IF(OR(NOT(ISNUMBER(G2745)),NOT(ISNUMBER(H2745))),"",H2745-G2745)</f>
        <v/>
      </c>
      <c r="J2745">
        <f>IF(OR(NOT(ISNUMBER(G2745)),NOT(ISNUMBER(H2745)),G2745=0),"",I2745/G2745)</f>
        <v/>
      </c>
      <c r="K2745">
        <f>IF(OR(NOT(ISNUMBER(G2745)),NOT(ISNUMBER(H2745)),G2745=0),"",H2745/G2745)</f>
        <v/>
      </c>
      <c r="L2745">
        <f>IF(NOT(ISNUMBER(G2745)),"SEM META",IF(G2745=0,"SEM META",IF(NOT(ISNUMBER(H2745)),"SEM APONTAMENTO",IF(H2745&gt;=G2745,"VERDE",IF(H2745&gt;=G2745*0.9,"AMARELO","VERMELHO")))))</f>
        <v/>
      </c>
    </row>
    <row r="2746">
      <c r="A2746" s="321" t="n">
        <v>46423</v>
      </c>
      <c r="B2746" t="inlineStr">
        <is>
          <t>GERAL</t>
        </is>
      </c>
      <c r="C2746" t="inlineStr">
        <is>
          <t>GLOBO AÇOS</t>
        </is>
      </c>
      <c r="D2746" t="inlineStr">
        <is>
          <t>FECHAMENTO</t>
        </is>
      </c>
      <c r="F2746">
        <f>IFERROR(INDEX('BASE METAS DIÁRIAS'!$AA$2:$AC$358,MATCH($A2746,'BASE METAS DIÁRIAS'!$A$2:$A$358,0),3),"")</f>
        <v/>
      </c>
      <c r="G2746">
        <f>IFERROR(IF(WEEKDAY($A2746,2)&lt;=INDEX('BASE METAS DIÁRIAS'!$X$2:$Z$358,MATCH($A2746,'BASE METAS DIÁRIAS'!$A$2:$A$358,0),3),INDEX('BASE METAS DIÁRIAS'!$U$2:$W$358,MATCH($A2746,'BASE METAS DIÁRIAS'!$A$2:$A$358,0),3),""),"")</f>
        <v/>
      </c>
      <c r="H2746">
        <f>IFERROR(IF(INDEX('CONTROLE PRODUÇÃO POR EMPRESAS'!$H$6:$J$5000,MATCH($A2746,'CONTROLE PRODUÇÃO POR EMPRESAS'!$A$6:$A$5000,0),3)="","",IFERROR(1*INDEX('CONTROLE PRODUÇÃO POR EMPRESAS'!$H$6:$J$5000,MATCH($A2746,'CONTROLE PRODUÇÃO POR EMPRESAS'!$A$6:$A$5000,0),3),"")),"")</f>
        <v/>
      </c>
      <c r="I2746">
        <f>IF(OR(NOT(ISNUMBER(G2746)),NOT(ISNUMBER(H2746))),"",H2746-G2746)</f>
        <v/>
      </c>
      <c r="J2746">
        <f>IF(OR(NOT(ISNUMBER(G2746)),NOT(ISNUMBER(H2746)),G2746=0),"",I2746/G2746)</f>
        <v/>
      </c>
      <c r="K2746">
        <f>IF(OR(NOT(ISNUMBER(G2746)),NOT(ISNUMBER(H2746)),G2746=0),"",H2746/G2746)</f>
        <v/>
      </c>
      <c r="L2746">
        <f>IF(NOT(ISNUMBER(G2746)),"SEM META",IF(G2746=0,"SEM META",IF(NOT(ISNUMBER(H2746)),"SEM APONTAMENTO",IF(H2746&gt;=G2746,"VERDE",IF(H2746&gt;=G2746*0.9,"AMARELO","VERMELHO")))))</f>
        <v/>
      </c>
    </row>
    <row r="2747">
      <c r="A2747" s="321" t="n">
        <v>46424</v>
      </c>
      <c r="B2747" t="inlineStr">
        <is>
          <t>GERAL</t>
        </is>
      </c>
      <c r="C2747" t="inlineStr">
        <is>
          <t>GLOBO AÇOS</t>
        </is>
      </c>
      <c r="D2747" t="inlineStr">
        <is>
          <t>PERFILAÇÃO</t>
        </is>
      </c>
      <c r="F2747">
        <f>IFERROR(INDEX('BASE METAS DIÁRIAS'!$AA$2:$AC$358,MATCH($A2747,'BASE METAS DIÁRIAS'!$A$2:$A$358,0),1),"")</f>
        <v/>
      </c>
      <c r="G2747">
        <f>IFERROR(IF(WEEKDAY($A2747,2)&lt;=INDEX('BASE METAS DIÁRIAS'!$X$2:$Z$358,MATCH($A2747,'BASE METAS DIÁRIAS'!$A$2:$A$358,0),1),INDEX('BASE METAS DIÁRIAS'!$U$2:$W$358,MATCH($A2747,'BASE METAS DIÁRIAS'!$A$2:$A$358,0),1),""),"")</f>
        <v/>
      </c>
      <c r="H2747">
        <f>IFERROR(IF(INDEX('CONTROLE PRODUÇÃO POR EMPRESAS'!$H$6:$J$5000,MATCH($A2747,'CONTROLE PRODUÇÃO POR EMPRESAS'!$A$6:$A$5000,0),1)="","",IFERROR(1*INDEX('CONTROLE PRODUÇÃO POR EMPRESAS'!$H$6:$J$5000,MATCH($A2747,'CONTROLE PRODUÇÃO POR EMPRESAS'!$A$6:$A$5000,0),1),"")),"")</f>
        <v/>
      </c>
      <c r="I2747">
        <f>IF(OR(NOT(ISNUMBER(G2747)),NOT(ISNUMBER(H2747))),"",H2747-G2747)</f>
        <v/>
      </c>
      <c r="J2747">
        <f>IF(OR(NOT(ISNUMBER(G2747)),NOT(ISNUMBER(H2747)),G2747=0),"",I2747/G2747)</f>
        <v/>
      </c>
      <c r="K2747">
        <f>IF(OR(NOT(ISNUMBER(G2747)),NOT(ISNUMBER(H2747)),G2747=0),"",H2747/G2747)</f>
        <v/>
      </c>
      <c r="L2747">
        <f>IF(NOT(ISNUMBER(G2747)),"SEM META",IF(G2747=0,"SEM META",IF(NOT(ISNUMBER(H2747)),"SEM APONTAMENTO",IF(H2747&gt;=G2747,"VERDE",IF(H2747&gt;=G2747*0.9,"AMARELO","VERMELHO")))))</f>
        <v/>
      </c>
    </row>
    <row r="2748">
      <c r="A2748" s="321" t="n">
        <v>46424</v>
      </c>
      <c r="B2748" t="inlineStr">
        <is>
          <t>GERAL</t>
        </is>
      </c>
      <c r="C2748" t="inlineStr">
        <is>
          <t>GLOBO AÇOS</t>
        </is>
      </c>
      <c r="D2748" t="inlineStr">
        <is>
          <t>TELHAR</t>
        </is>
      </c>
      <c r="F2748">
        <f>IFERROR(INDEX('BASE METAS DIÁRIAS'!$AA$2:$AC$358,MATCH($A2748,'BASE METAS DIÁRIAS'!$A$2:$A$358,0),2),"")</f>
        <v/>
      </c>
      <c r="G2748">
        <f>IFERROR(IF(WEEKDAY($A2748,2)&lt;=INDEX('BASE METAS DIÁRIAS'!$X$2:$Z$358,MATCH($A2748,'BASE METAS DIÁRIAS'!$A$2:$A$358,0),2),INDEX('BASE METAS DIÁRIAS'!$U$2:$W$358,MATCH($A2748,'BASE METAS DIÁRIAS'!$A$2:$A$358,0),2),""),"")</f>
        <v/>
      </c>
      <c r="H2748">
        <f>IFERROR(IF(INDEX('CONTROLE PRODUÇÃO POR EMPRESAS'!$H$6:$J$5000,MATCH($A2748,'CONTROLE PRODUÇÃO POR EMPRESAS'!$A$6:$A$5000,0),2)="","",IFERROR(1*INDEX('CONTROLE PRODUÇÃO POR EMPRESAS'!$H$6:$J$5000,MATCH($A2748,'CONTROLE PRODUÇÃO POR EMPRESAS'!$A$6:$A$5000,0),2),"")),"")</f>
        <v/>
      </c>
      <c r="I2748">
        <f>IF(OR(NOT(ISNUMBER(G2748)),NOT(ISNUMBER(H2748))),"",H2748-G2748)</f>
        <v/>
      </c>
      <c r="J2748">
        <f>IF(OR(NOT(ISNUMBER(G2748)),NOT(ISNUMBER(H2748)),G2748=0),"",I2748/G2748)</f>
        <v/>
      </c>
      <c r="K2748">
        <f>IF(OR(NOT(ISNUMBER(G2748)),NOT(ISNUMBER(H2748)),G2748=0),"",H2748/G2748)</f>
        <v/>
      </c>
      <c r="L2748">
        <f>IF(NOT(ISNUMBER(G2748)),"SEM META",IF(G2748=0,"SEM META",IF(NOT(ISNUMBER(H2748)),"SEM APONTAMENTO",IF(H2748&gt;=G2748,"VERDE",IF(H2748&gt;=G2748*0.9,"AMARELO","VERMELHO")))))</f>
        <v/>
      </c>
    </row>
    <row r="2749">
      <c r="A2749" s="321" t="n">
        <v>46424</v>
      </c>
      <c r="B2749" t="inlineStr">
        <is>
          <t>GERAL</t>
        </is>
      </c>
      <c r="C2749" t="inlineStr">
        <is>
          <t>GLOBO AÇOS</t>
        </is>
      </c>
      <c r="D2749" t="inlineStr">
        <is>
          <t>FECHAMENTO</t>
        </is>
      </c>
      <c r="F2749">
        <f>IFERROR(INDEX('BASE METAS DIÁRIAS'!$AA$2:$AC$358,MATCH($A2749,'BASE METAS DIÁRIAS'!$A$2:$A$358,0),3),"")</f>
        <v/>
      </c>
      <c r="G2749">
        <f>IFERROR(IF(WEEKDAY($A2749,2)&lt;=INDEX('BASE METAS DIÁRIAS'!$X$2:$Z$358,MATCH($A2749,'BASE METAS DIÁRIAS'!$A$2:$A$358,0),3),INDEX('BASE METAS DIÁRIAS'!$U$2:$W$358,MATCH($A2749,'BASE METAS DIÁRIAS'!$A$2:$A$358,0),3),""),"")</f>
        <v/>
      </c>
      <c r="H2749">
        <f>IFERROR(IF(INDEX('CONTROLE PRODUÇÃO POR EMPRESAS'!$H$6:$J$5000,MATCH($A2749,'CONTROLE PRODUÇÃO POR EMPRESAS'!$A$6:$A$5000,0),3)="","",IFERROR(1*INDEX('CONTROLE PRODUÇÃO POR EMPRESAS'!$H$6:$J$5000,MATCH($A2749,'CONTROLE PRODUÇÃO POR EMPRESAS'!$A$6:$A$5000,0),3),"")),"")</f>
        <v/>
      </c>
      <c r="I2749">
        <f>IF(OR(NOT(ISNUMBER(G2749)),NOT(ISNUMBER(H2749))),"",H2749-G2749)</f>
        <v/>
      </c>
      <c r="J2749">
        <f>IF(OR(NOT(ISNUMBER(G2749)),NOT(ISNUMBER(H2749)),G2749=0),"",I2749/G2749)</f>
        <v/>
      </c>
      <c r="K2749">
        <f>IF(OR(NOT(ISNUMBER(G2749)),NOT(ISNUMBER(H2749)),G2749=0),"",H2749/G2749)</f>
        <v/>
      </c>
      <c r="L2749">
        <f>IF(NOT(ISNUMBER(G2749)),"SEM META",IF(G2749=0,"SEM META",IF(NOT(ISNUMBER(H2749)),"SEM APONTAMENTO",IF(H2749&gt;=G2749,"VERDE",IF(H2749&gt;=G2749*0.9,"AMARELO","VERMELHO")))))</f>
        <v/>
      </c>
    </row>
    <row r="2750">
      <c r="A2750" s="321" t="n">
        <v>46425</v>
      </c>
      <c r="B2750" t="inlineStr">
        <is>
          <t>GERAL</t>
        </is>
      </c>
      <c r="C2750" t="inlineStr">
        <is>
          <t>GLOBO AÇOS</t>
        </is>
      </c>
      <c r="D2750" t="inlineStr">
        <is>
          <t>PERFILAÇÃO</t>
        </is>
      </c>
      <c r="F2750">
        <f>IFERROR(INDEX('BASE METAS DIÁRIAS'!$AA$2:$AC$358,MATCH($A2750,'BASE METAS DIÁRIAS'!$A$2:$A$358,0),1),"")</f>
        <v/>
      </c>
      <c r="G2750">
        <f>IFERROR(IF(WEEKDAY($A2750,2)&lt;=INDEX('BASE METAS DIÁRIAS'!$X$2:$Z$358,MATCH($A2750,'BASE METAS DIÁRIAS'!$A$2:$A$358,0),1),INDEX('BASE METAS DIÁRIAS'!$U$2:$W$358,MATCH($A2750,'BASE METAS DIÁRIAS'!$A$2:$A$358,0),1),""),"")</f>
        <v/>
      </c>
      <c r="H2750">
        <f>IFERROR(IF(INDEX('CONTROLE PRODUÇÃO POR EMPRESAS'!$H$6:$J$5000,MATCH($A2750,'CONTROLE PRODUÇÃO POR EMPRESAS'!$A$6:$A$5000,0),1)="","",IFERROR(1*INDEX('CONTROLE PRODUÇÃO POR EMPRESAS'!$H$6:$J$5000,MATCH($A2750,'CONTROLE PRODUÇÃO POR EMPRESAS'!$A$6:$A$5000,0),1),"")),"")</f>
        <v/>
      </c>
      <c r="I2750">
        <f>IF(OR(NOT(ISNUMBER(G2750)),NOT(ISNUMBER(H2750))),"",H2750-G2750)</f>
        <v/>
      </c>
      <c r="J2750">
        <f>IF(OR(NOT(ISNUMBER(G2750)),NOT(ISNUMBER(H2750)),G2750=0),"",I2750/G2750)</f>
        <v/>
      </c>
      <c r="K2750">
        <f>IF(OR(NOT(ISNUMBER(G2750)),NOT(ISNUMBER(H2750)),G2750=0),"",H2750/G2750)</f>
        <v/>
      </c>
      <c r="L2750">
        <f>IF(NOT(ISNUMBER(G2750)),"SEM META",IF(G2750=0,"SEM META",IF(NOT(ISNUMBER(H2750)),"SEM APONTAMENTO",IF(H2750&gt;=G2750,"VERDE",IF(H2750&gt;=G2750*0.9,"AMARELO","VERMELHO")))))</f>
        <v/>
      </c>
    </row>
    <row r="2751">
      <c r="A2751" s="321" t="n">
        <v>46425</v>
      </c>
      <c r="B2751" t="inlineStr">
        <is>
          <t>GERAL</t>
        </is>
      </c>
      <c r="C2751" t="inlineStr">
        <is>
          <t>GLOBO AÇOS</t>
        </is>
      </c>
      <c r="D2751" t="inlineStr">
        <is>
          <t>TELHAR</t>
        </is>
      </c>
      <c r="F2751">
        <f>IFERROR(INDEX('BASE METAS DIÁRIAS'!$AA$2:$AC$358,MATCH($A2751,'BASE METAS DIÁRIAS'!$A$2:$A$358,0),2),"")</f>
        <v/>
      </c>
      <c r="G2751">
        <f>IFERROR(IF(WEEKDAY($A2751,2)&lt;=INDEX('BASE METAS DIÁRIAS'!$X$2:$Z$358,MATCH($A2751,'BASE METAS DIÁRIAS'!$A$2:$A$358,0),2),INDEX('BASE METAS DIÁRIAS'!$U$2:$W$358,MATCH($A2751,'BASE METAS DIÁRIAS'!$A$2:$A$358,0),2),""),"")</f>
        <v/>
      </c>
      <c r="H2751">
        <f>IFERROR(IF(INDEX('CONTROLE PRODUÇÃO POR EMPRESAS'!$H$6:$J$5000,MATCH($A2751,'CONTROLE PRODUÇÃO POR EMPRESAS'!$A$6:$A$5000,0),2)="","",IFERROR(1*INDEX('CONTROLE PRODUÇÃO POR EMPRESAS'!$H$6:$J$5000,MATCH($A2751,'CONTROLE PRODUÇÃO POR EMPRESAS'!$A$6:$A$5000,0),2),"")),"")</f>
        <v/>
      </c>
      <c r="I2751">
        <f>IF(OR(NOT(ISNUMBER(G2751)),NOT(ISNUMBER(H2751))),"",H2751-G2751)</f>
        <v/>
      </c>
      <c r="J2751">
        <f>IF(OR(NOT(ISNUMBER(G2751)),NOT(ISNUMBER(H2751)),G2751=0),"",I2751/G2751)</f>
        <v/>
      </c>
      <c r="K2751">
        <f>IF(OR(NOT(ISNUMBER(G2751)),NOT(ISNUMBER(H2751)),G2751=0),"",H2751/G2751)</f>
        <v/>
      </c>
      <c r="L2751">
        <f>IF(NOT(ISNUMBER(G2751)),"SEM META",IF(G2751=0,"SEM META",IF(NOT(ISNUMBER(H2751)),"SEM APONTAMENTO",IF(H2751&gt;=G2751,"VERDE",IF(H2751&gt;=G2751*0.9,"AMARELO","VERMELHO")))))</f>
        <v/>
      </c>
    </row>
    <row r="2752">
      <c r="A2752" s="321" t="n">
        <v>46425</v>
      </c>
      <c r="B2752" t="inlineStr">
        <is>
          <t>GERAL</t>
        </is>
      </c>
      <c r="C2752" t="inlineStr">
        <is>
          <t>GLOBO AÇOS</t>
        </is>
      </c>
      <c r="D2752" t="inlineStr">
        <is>
          <t>FECHAMENTO</t>
        </is>
      </c>
      <c r="F2752">
        <f>IFERROR(INDEX('BASE METAS DIÁRIAS'!$AA$2:$AC$358,MATCH($A2752,'BASE METAS DIÁRIAS'!$A$2:$A$358,0),3),"")</f>
        <v/>
      </c>
      <c r="G2752">
        <f>IFERROR(IF(WEEKDAY($A2752,2)&lt;=INDEX('BASE METAS DIÁRIAS'!$X$2:$Z$358,MATCH($A2752,'BASE METAS DIÁRIAS'!$A$2:$A$358,0),3),INDEX('BASE METAS DIÁRIAS'!$U$2:$W$358,MATCH($A2752,'BASE METAS DIÁRIAS'!$A$2:$A$358,0),3),""),"")</f>
        <v/>
      </c>
      <c r="H2752">
        <f>IFERROR(IF(INDEX('CONTROLE PRODUÇÃO POR EMPRESAS'!$H$6:$J$5000,MATCH($A2752,'CONTROLE PRODUÇÃO POR EMPRESAS'!$A$6:$A$5000,0),3)="","",IFERROR(1*INDEX('CONTROLE PRODUÇÃO POR EMPRESAS'!$H$6:$J$5000,MATCH($A2752,'CONTROLE PRODUÇÃO POR EMPRESAS'!$A$6:$A$5000,0),3),"")),"")</f>
        <v/>
      </c>
      <c r="I2752">
        <f>IF(OR(NOT(ISNUMBER(G2752)),NOT(ISNUMBER(H2752))),"",H2752-G2752)</f>
        <v/>
      </c>
      <c r="J2752">
        <f>IF(OR(NOT(ISNUMBER(G2752)),NOT(ISNUMBER(H2752)),G2752=0),"",I2752/G2752)</f>
        <v/>
      </c>
      <c r="K2752">
        <f>IF(OR(NOT(ISNUMBER(G2752)),NOT(ISNUMBER(H2752)),G2752=0),"",H2752/G2752)</f>
        <v/>
      </c>
      <c r="L2752">
        <f>IF(NOT(ISNUMBER(G2752)),"SEM META",IF(G2752=0,"SEM META",IF(NOT(ISNUMBER(H2752)),"SEM APONTAMENTO",IF(H2752&gt;=G2752,"VERDE",IF(H2752&gt;=G2752*0.9,"AMARELO","VERMELHO")))))</f>
        <v/>
      </c>
    </row>
    <row r="2753">
      <c r="A2753" s="321" t="n">
        <v>46426</v>
      </c>
      <c r="B2753" t="inlineStr">
        <is>
          <t>GERAL</t>
        </is>
      </c>
      <c r="C2753" t="inlineStr">
        <is>
          <t>GLOBO AÇOS</t>
        </is>
      </c>
      <c r="D2753" t="inlineStr">
        <is>
          <t>PERFILAÇÃO</t>
        </is>
      </c>
      <c r="F2753">
        <f>IFERROR(INDEX('BASE METAS DIÁRIAS'!$AA$2:$AC$358,MATCH($A2753,'BASE METAS DIÁRIAS'!$A$2:$A$358,0),1),"")</f>
        <v/>
      </c>
      <c r="G2753">
        <f>IFERROR(IF(WEEKDAY($A2753,2)&lt;=INDEX('BASE METAS DIÁRIAS'!$X$2:$Z$358,MATCH($A2753,'BASE METAS DIÁRIAS'!$A$2:$A$358,0),1),INDEX('BASE METAS DIÁRIAS'!$U$2:$W$358,MATCH($A2753,'BASE METAS DIÁRIAS'!$A$2:$A$358,0),1),""),"")</f>
        <v/>
      </c>
      <c r="H2753">
        <f>IFERROR(IF(INDEX('CONTROLE PRODUÇÃO POR EMPRESAS'!$H$6:$J$5000,MATCH($A2753,'CONTROLE PRODUÇÃO POR EMPRESAS'!$A$6:$A$5000,0),1)="","",IFERROR(1*INDEX('CONTROLE PRODUÇÃO POR EMPRESAS'!$H$6:$J$5000,MATCH($A2753,'CONTROLE PRODUÇÃO POR EMPRESAS'!$A$6:$A$5000,0),1),"")),"")</f>
        <v/>
      </c>
      <c r="I2753">
        <f>IF(OR(NOT(ISNUMBER(G2753)),NOT(ISNUMBER(H2753))),"",H2753-G2753)</f>
        <v/>
      </c>
      <c r="J2753">
        <f>IF(OR(NOT(ISNUMBER(G2753)),NOT(ISNUMBER(H2753)),G2753=0),"",I2753/G2753)</f>
        <v/>
      </c>
      <c r="K2753">
        <f>IF(OR(NOT(ISNUMBER(G2753)),NOT(ISNUMBER(H2753)),G2753=0),"",H2753/G2753)</f>
        <v/>
      </c>
      <c r="L2753">
        <f>IF(NOT(ISNUMBER(G2753)),"SEM META",IF(G2753=0,"SEM META",IF(NOT(ISNUMBER(H2753)),"SEM APONTAMENTO",IF(H2753&gt;=G2753,"VERDE",IF(H2753&gt;=G2753*0.9,"AMARELO","VERMELHO")))))</f>
        <v/>
      </c>
    </row>
    <row r="2754">
      <c r="A2754" s="321" t="n">
        <v>46426</v>
      </c>
      <c r="B2754" t="inlineStr">
        <is>
          <t>GERAL</t>
        </is>
      </c>
      <c r="C2754" t="inlineStr">
        <is>
          <t>GLOBO AÇOS</t>
        </is>
      </c>
      <c r="D2754" t="inlineStr">
        <is>
          <t>TELHAR</t>
        </is>
      </c>
      <c r="F2754">
        <f>IFERROR(INDEX('BASE METAS DIÁRIAS'!$AA$2:$AC$358,MATCH($A2754,'BASE METAS DIÁRIAS'!$A$2:$A$358,0),2),"")</f>
        <v/>
      </c>
      <c r="G2754">
        <f>IFERROR(IF(WEEKDAY($A2754,2)&lt;=INDEX('BASE METAS DIÁRIAS'!$X$2:$Z$358,MATCH($A2754,'BASE METAS DIÁRIAS'!$A$2:$A$358,0),2),INDEX('BASE METAS DIÁRIAS'!$U$2:$W$358,MATCH($A2754,'BASE METAS DIÁRIAS'!$A$2:$A$358,0),2),""),"")</f>
        <v/>
      </c>
      <c r="H2754">
        <f>IFERROR(IF(INDEX('CONTROLE PRODUÇÃO POR EMPRESAS'!$H$6:$J$5000,MATCH($A2754,'CONTROLE PRODUÇÃO POR EMPRESAS'!$A$6:$A$5000,0),2)="","",IFERROR(1*INDEX('CONTROLE PRODUÇÃO POR EMPRESAS'!$H$6:$J$5000,MATCH($A2754,'CONTROLE PRODUÇÃO POR EMPRESAS'!$A$6:$A$5000,0),2),"")),"")</f>
        <v/>
      </c>
      <c r="I2754">
        <f>IF(OR(NOT(ISNUMBER(G2754)),NOT(ISNUMBER(H2754))),"",H2754-G2754)</f>
        <v/>
      </c>
      <c r="J2754">
        <f>IF(OR(NOT(ISNUMBER(G2754)),NOT(ISNUMBER(H2754)),G2754=0),"",I2754/G2754)</f>
        <v/>
      </c>
      <c r="K2754">
        <f>IF(OR(NOT(ISNUMBER(G2754)),NOT(ISNUMBER(H2754)),G2754=0),"",H2754/G2754)</f>
        <v/>
      </c>
      <c r="L2754">
        <f>IF(NOT(ISNUMBER(G2754)),"SEM META",IF(G2754=0,"SEM META",IF(NOT(ISNUMBER(H2754)),"SEM APONTAMENTO",IF(H2754&gt;=G2754,"VERDE",IF(H2754&gt;=G2754*0.9,"AMARELO","VERMELHO")))))</f>
        <v/>
      </c>
    </row>
    <row r="2755">
      <c r="A2755" s="321" t="n">
        <v>46426</v>
      </c>
      <c r="B2755" t="inlineStr">
        <is>
          <t>GERAL</t>
        </is>
      </c>
      <c r="C2755" t="inlineStr">
        <is>
          <t>GLOBO AÇOS</t>
        </is>
      </c>
      <c r="D2755" t="inlineStr">
        <is>
          <t>FECHAMENTO</t>
        </is>
      </c>
      <c r="F2755">
        <f>IFERROR(INDEX('BASE METAS DIÁRIAS'!$AA$2:$AC$358,MATCH($A2755,'BASE METAS DIÁRIAS'!$A$2:$A$358,0),3),"")</f>
        <v/>
      </c>
      <c r="G2755">
        <f>IFERROR(IF(WEEKDAY($A2755,2)&lt;=INDEX('BASE METAS DIÁRIAS'!$X$2:$Z$358,MATCH($A2755,'BASE METAS DIÁRIAS'!$A$2:$A$358,0),3),INDEX('BASE METAS DIÁRIAS'!$U$2:$W$358,MATCH($A2755,'BASE METAS DIÁRIAS'!$A$2:$A$358,0),3),""),"")</f>
        <v/>
      </c>
      <c r="H2755">
        <f>IFERROR(IF(INDEX('CONTROLE PRODUÇÃO POR EMPRESAS'!$H$6:$J$5000,MATCH($A2755,'CONTROLE PRODUÇÃO POR EMPRESAS'!$A$6:$A$5000,0),3)="","",IFERROR(1*INDEX('CONTROLE PRODUÇÃO POR EMPRESAS'!$H$6:$J$5000,MATCH($A2755,'CONTROLE PRODUÇÃO POR EMPRESAS'!$A$6:$A$5000,0),3),"")),"")</f>
        <v/>
      </c>
      <c r="I2755">
        <f>IF(OR(NOT(ISNUMBER(G2755)),NOT(ISNUMBER(H2755))),"",H2755-G2755)</f>
        <v/>
      </c>
      <c r="J2755">
        <f>IF(OR(NOT(ISNUMBER(G2755)),NOT(ISNUMBER(H2755)),G2755=0),"",I2755/G2755)</f>
        <v/>
      </c>
      <c r="K2755">
        <f>IF(OR(NOT(ISNUMBER(G2755)),NOT(ISNUMBER(H2755)),G2755=0),"",H2755/G2755)</f>
        <v/>
      </c>
      <c r="L2755">
        <f>IF(NOT(ISNUMBER(G2755)),"SEM META",IF(G2755=0,"SEM META",IF(NOT(ISNUMBER(H2755)),"SEM APONTAMENTO",IF(H2755&gt;=G2755,"VERDE",IF(H2755&gt;=G2755*0.9,"AMARELO","VERMELHO")))))</f>
        <v/>
      </c>
    </row>
    <row r="2756">
      <c r="A2756" s="321" t="n">
        <v>46427</v>
      </c>
      <c r="B2756" t="inlineStr">
        <is>
          <t>GERAL</t>
        </is>
      </c>
      <c r="C2756" t="inlineStr">
        <is>
          <t>GLOBO AÇOS</t>
        </is>
      </c>
      <c r="D2756" t="inlineStr">
        <is>
          <t>PERFILAÇÃO</t>
        </is>
      </c>
      <c r="F2756">
        <f>IFERROR(INDEX('BASE METAS DIÁRIAS'!$AA$2:$AC$358,MATCH($A2756,'BASE METAS DIÁRIAS'!$A$2:$A$358,0),1),"")</f>
        <v/>
      </c>
      <c r="G2756">
        <f>IFERROR(IF(WEEKDAY($A2756,2)&lt;=INDEX('BASE METAS DIÁRIAS'!$X$2:$Z$358,MATCH($A2756,'BASE METAS DIÁRIAS'!$A$2:$A$358,0),1),INDEX('BASE METAS DIÁRIAS'!$U$2:$W$358,MATCH($A2756,'BASE METAS DIÁRIAS'!$A$2:$A$358,0),1),""),"")</f>
        <v/>
      </c>
      <c r="H2756">
        <f>IFERROR(IF(INDEX('CONTROLE PRODUÇÃO POR EMPRESAS'!$H$6:$J$5000,MATCH($A2756,'CONTROLE PRODUÇÃO POR EMPRESAS'!$A$6:$A$5000,0),1)="","",IFERROR(1*INDEX('CONTROLE PRODUÇÃO POR EMPRESAS'!$H$6:$J$5000,MATCH($A2756,'CONTROLE PRODUÇÃO POR EMPRESAS'!$A$6:$A$5000,0),1),"")),"")</f>
        <v/>
      </c>
      <c r="I2756">
        <f>IF(OR(NOT(ISNUMBER(G2756)),NOT(ISNUMBER(H2756))),"",H2756-G2756)</f>
        <v/>
      </c>
      <c r="J2756">
        <f>IF(OR(NOT(ISNUMBER(G2756)),NOT(ISNUMBER(H2756)),G2756=0),"",I2756/G2756)</f>
        <v/>
      </c>
      <c r="K2756">
        <f>IF(OR(NOT(ISNUMBER(G2756)),NOT(ISNUMBER(H2756)),G2756=0),"",H2756/G2756)</f>
        <v/>
      </c>
      <c r="L2756">
        <f>IF(NOT(ISNUMBER(G2756)),"SEM META",IF(G2756=0,"SEM META",IF(NOT(ISNUMBER(H2756)),"SEM APONTAMENTO",IF(H2756&gt;=G2756,"VERDE",IF(H2756&gt;=G2756*0.9,"AMARELO","VERMELHO")))))</f>
        <v/>
      </c>
    </row>
    <row r="2757">
      <c r="A2757" s="321" t="n">
        <v>46427</v>
      </c>
      <c r="B2757" t="inlineStr">
        <is>
          <t>GERAL</t>
        </is>
      </c>
      <c r="C2757" t="inlineStr">
        <is>
          <t>GLOBO AÇOS</t>
        </is>
      </c>
      <c r="D2757" t="inlineStr">
        <is>
          <t>TELHAR</t>
        </is>
      </c>
      <c r="F2757">
        <f>IFERROR(INDEX('BASE METAS DIÁRIAS'!$AA$2:$AC$358,MATCH($A2757,'BASE METAS DIÁRIAS'!$A$2:$A$358,0),2),"")</f>
        <v/>
      </c>
      <c r="G2757">
        <f>IFERROR(IF(WEEKDAY($A2757,2)&lt;=INDEX('BASE METAS DIÁRIAS'!$X$2:$Z$358,MATCH($A2757,'BASE METAS DIÁRIAS'!$A$2:$A$358,0),2),INDEX('BASE METAS DIÁRIAS'!$U$2:$W$358,MATCH($A2757,'BASE METAS DIÁRIAS'!$A$2:$A$358,0),2),""),"")</f>
        <v/>
      </c>
      <c r="H2757">
        <f>IFERROR(IF(INDEX('CONTROLE PRODUÇÃO POR EMPRESAS'!$H$6:$J$5000,MATCH($A2757,'CONTROLE PRODUÇÃO POR EMPRESAS'!$A$6:$A$5000,0),2)="","",IFERROR(1*INDEX('CONTROLE PRODUÇÃO POR EMPRESAS'!$H$6:$J$5000,MATCH($A2757,'CONTROLE PRODUÇÃO POR EMPRESAS'!$A$6:$A$5000,0),2),"")),"")</f>
        <v/>
      </c>
      <c r="I2757">
        <f>IF(OR(NOT(ISNUMBER(G2757)),NOT(ISNUMBER(H2757))),"",H2757-G2757)</f>
        <v/>
      </c>
      <c r="J2757">
        <f>IF(OR(NOT(ISNUMBER(G2757)),NOT(ISNUMBER(H2757)),G2757=0),"",I2757/G2757)</f>
        <v/>
      </c>
      <c r="K2757">
        <f>IF(OR(NOT(ISNUMBER(G2757)),NOT(ISNUMBER(H2757)),G2757=0),"",H2757/G2757)</f>
        <v/>
      </c>
      <c r="L2757">
        <f>IF(NOT(ISNUMBER(G2757)),"SEM META",IF(G2757=0,"SEM META",IF(NOT(ISNUMBER(H2757)),"SEM APONTAMENTO",IF(H2757&gt;=G2757,"VERDE",IF(H2757&gt;=G2757*0.9,"AMARELO","VERMELHO")))))</f>
        <v/>
      </c>
    </row>
    <row r="2758">
      <c r="A2758" s="321" t="n">
        <v>46427</v>
      </c>
      <c r="B2758" t="inlineStr">
        <is>
          <t>GERAL</t>
        </is>
      </c>
      <c r="C2758" t="inlineStr">
        <is>
          <t>GLOBO AÇOS</t>
        </is>
      </c>
      <c r="D2758" t="inlineStr">
        <is>
          <t>FECHAMENTO</t>
        </is>
      </c>
      <c r="F2758">
        <f>IFERROR(INDEX('BASE METAS DIÁRIAS'!$AA$2:$AC$358,MATCH($A2758,'BASE METAS DIÁRIAS'!$A$2:$A$358,0),3),"")</f>
        <v/>
      </c>
      <c r="G2758">
        <f>IFERROR(IF(WEEKDAY($A2758,2)&lt;=INDEX('BASE METAS DIÁRIAS'!$X$2:$Z$358,MATCH($A2758,'BASE METAS DIÁRIAS'!$A$2:$A$358,0),3),INDEX('BASE METAS DIÁRIAS'!$U$2:$W$358,MATCH($A2758,'BASE METAS DIÁRIAS'!$A$2:$A$358,0),3),""),"")</f>
        <v/>
      </c>
      <c r="H2758">
        <f>IFERROR(IF(INDEX('CONTROLE PRODUÇÃO POR EMPRESAS'!$H$6:$J$5000,MATCH($A2758,'CONTROLE PRODUÇÃO POR EMPRESAS'!$A$6:$A$5000,0),3)="","",IFERROR(1*INDEX('CONTROLE PRODUÇÃO POR EMPRESAS'!$H$6:$J$5000,MATCH($A2758,'CONTROLE PRODUÇÃO POR EMPRESAS'!$A$6:$A$5000,0),3),"")),"")</f>
        <v/>
      </c>
      <c r="I2758">
        <f>IF(OR(NOT(ISNUMBER(G2758)),NOT(ISNUMBER(H2758))),"",H2758-G2758)</f>
        <v/>
      </c>
      <c r="J2758">
        <f>IF(OR(NOT(ISNUMBER(G2758)),NOT(ISNUMBER(H2758)),G2758=0),"",I2758/G2758)</f>
        <v/>
      </c>
      <c r="K2758">
        <f>IF(OR(NOT(ISNUMBER(G2758)),NOT(ISNUMBER(H2758)),G2758=0),"",H2758/G2758)</f>
        <v/>
      </c>
      <c r="L2758">
        <f>IF(NOT(ISNUMBER(G2758)),"SEM META",IF(G2758=0,"SEM META",IF(NOT(ISNUMBER(H2758)),"SEM APONTAMENTO",IF(H2758&gt;=G2758,"VERDE",IF(H2758&gt;=G2758*0.9,"AMARELO","VERMELHO")))))</f>
        <v/>
      </c>
    </row>
    <row r="2759">
      <c r="A2759" s="321" t="n">
        <v>46428</v>
      </c>
      <c r="B2759" t="inlineStr">
        <is>
          <t>GERAL</t>
        </is>
      </c>
      <c r="C2759" t="inlineStr">
        <is>
          <t>GLOBO AÇOS</t>
        </is>
      </c>
      <c r="D2759" t="inlineStr">
        <is>
          <t>PERFILAÇÃO</t>
        </is>
      </c>
      <c r="F2759">
        <f>IFERROR(INDEX('BASE METAS DIÁRIAS'!$AA$2:$AC$358,MATCH($A2759,'BASE METAS DIÁRIAS'!$A$2:$A$358,0),1),"")</f>
        <v/>
      </c>
      <c r="G2759">
        <f>IFERROR(IF(WEEKDAY($A2759,2)&lt;=INDEX('BASE METAS DIÁRIAS'!$X$2:$Z$358,MATCH($A2759,'BASE METAS DIÁRIAS'!$A$2:$A$358,0),1),INDEX('BASE METAS DIÁRIAS'!$U$2:$W$358,MATCH($A2759,'BASE METAS DIÁRIAS'!$A$2:$A$358,0),1),""),"")</f>
        <v/>
      </c>
      <c r="H2759">
        <f>IFERROR(IF(INDEX('CONTROLE PRODUÇÃO POR EMPRESAS'!$H$6:$J$5000,MATCH($A2759,'CONTROLE PRODUÇÃO POR EMPRESAS'!$A$6:$A$5000,0),1)="","",IFERROR(1*INDEX('CONTROLE PRODUÇÃO POR EMPRESAS'!$H$6:$J$5000,MATCH($A2759,'CONTROLE PRODUÇÃO POR EMPRESAS'!$A$6:$A$5000,0),1),"")),"")</f>
        <v/>
      </c>
      <c r="I2759">
        <f>IF(OR(NOT(ISNUMBER(G2759)),NOT(ISNUMBER(H2759))),"",H2759-G2759)</f>
        <v/>
      </c>
      <c r="J2759">
        <f>IF(OR(NOT(ISNUMBER(G2759)),NOT(ISNUMBER(H2759)),G2759=0),"",I2759/G2759)</f>
        <v/>
      </c>
      <c r="K2759">
        <f>IF(OR(NOT(ISNUMBER(G2759)),NOT(ISNUMBER(H2759)),G2759=0),"",H2759/G2759)</f>
        <v/>
      </c>
      <c r="L2759">
        <f>IF(NOT(ISNUMBER(G2759)),"SEM META",IF(G2759=0,"SEM META",IF(NOT(ISNUMBER(H2759)),"SEM APONTAMENTO",IF(H2759&gt;=G2759,"VERDE",IF(H2759&gt;=G2759*0.9,"AMARELO","VERMELHO")))))</f>
        <v/>
      </c>
    </row>
    <row r="2760">
      <c r="A2760" s="321" t="n">
        <v>46428</v>
      </c>
      <c r="B2760" t="inlineStr">
        <is>
          <t>GERAL</t>
        </is>
      </c>
      <c r="C2760" t="inlineStr">
        <is>
          <t>GLOBO AÇOS</t>
        </is>
      </c>
      <c r="D2760" t="inlineStr">
        <is>
          <t>TELHAR</t>
        </is>
      </c>
      <c r="F2760">
        <f>IFERROR(INDEX('BASE METAS DIÁRIAS'!$AA$2:$AC$358,MATCH($A2760,'BASE METAS DIÁRIAS'!$A$2:$A$358,0),2),"")</f>
        <v/>
      </c>
      <c r="G2760">
        <f>IFERROR(IF(WEEKDAY($A2760,2)&lt;=INDEX('BASE METAS DIÁRIAS'!$X$2:$Z$358,MATCH($A2760,'BASE METAS DIÁRIAS'!$A$2:$A$358,0),2),INDEX('BASE METAS DIÁRIAS'!$U$2:$W$358,MATCH($A2760,'BASE METAS DIÁRIAS'!$A$2:$A$358,0),2),""),"")</f>
        <v/>
      </c>
      <c r="H2760">
        <f>IFERROR(IF(INDEX('CONTROLE PRODUÇÃO POR EMPRESAS'!$H$6:$J$5000,MATCH($A2760,'CONTROLE PRODUÇÃO POR EMPRESAS'!$A$6:$A$5000,0),2)="","",IFERROR(1*INDEX('CONTROLE PRODUÇÃO POR EMPRESAS'!$H$6:$J$5000,MATCH($A2760,'CONTROLE PRODUÇÃO POR EMPRESAS'!$A$6:$A$5000,0),2),"")),"")</f>
        <v/>
      </c>
      <c r="I2760">
        <f>IF(OR(NOT(ISNUMBER(G2760)),NOT(ISNUMBER(H2760))),"",H2760-G2760)</f>
        <v/>
      </c>
      <c r="J2760">
        <f>IF(OR(NOT(ISNUMBER(G2760)),NOT(ISNUMBER(H2760)),G2760=0),"",I2760/G2760)</f>
        <v/>
      </c>
      <c r="K2760">
        <f>IF(OR(NOT(ISNUMBER(G2760)),NOT(ISNUMBER(H2760)),G2760=0),"",H2760/G2760)</f>
        <v/>
      </c>
      <c r="L2760">
        <f>IF(NOT(ISNUMBER(G2760)),"SEM META",IF(G2760=0,"SEM META",IF(NOT(ISNUMBER(H2760)),"SEM APONTAMENTO",IF(H2760&gt;=G2760,"VERDE",IF(H2760&gt;=G2760*0.9,"AMARELO","VERMELHO")))))</f>
        <v/>
      </c>
    </row>
    <row r="2761">
      <c r="A2761" s="321" t="n">
        <v>46428</v>
      </c>
      <c r="B2761" t="inlineStr">
        <is>
          <t>GERAL</t>
        </is>
      </c>
      <c r="C2761" t="inlineStr">
        <is>
          <t>GLOBO AÇOS</t>
        </is>
      </c>
      <c r="D2761" t="inlineStr">
        <is>
          <t>FECHAMENTO</t>
        </is>
      </c>
      <c r="F2761">
        <f>IFERROR(INDEX('BASE METAS DIÁRIAS'!$AA$2:$AC$358,MATCH($A2761,'BASE METAS DIÁRIAS'!$A$2:$A$358,0),3),"")</f>
        <v/>
      </c>
      <c r="G2761">
        <f>IFERROR(IF(WEEKDAY($A2761,2)&lt;=INDEX('BASE METAS DIÁRIAS'!$X$2:$Z$358,MATCH($A2761,'BASE METAS DIÁRIAS'!$A$2:$A$358,0),3),INDEX('BASE METAS DIÁRIAS'!$U$2:$W$358,MATCH($A2761,'BASE METAS DIÁRIAS'!$A$2:$A$358,0),3),""),"")</f>
        <v/>
      </c>
      <c r="H2761">
        <f>IFERROR(IF(INDEX('CONTROLE PRODUÇÃO POR EMPRESAS'!$H$6:$J$5000,MATCH($A2761,'CONTROLE PRODUÇÃO POR EMPRESAS'!$A$6:$A$5000,0),3)="","",IFERROR(1*INDEX('CONTROLE PRODUÇÃO POR EMPRESAS'!$H$6:$J$5000,MATCH($A2761,'CONTROLE PRODUÇÃO POR EMPRESAS'!$A$6:$A$5000,0),3),"")),"")</f>
        <v/>
      </c>
      <c r="I2761">
        <f>IF(OR(NOT(ISNUMBER(G2761)),NOT(ISNUMBER(H2761))),"",H2761-G2761)</f>
        <v/>
      </c>
      <c r="J2761">
        <f>IF(OR(NOT(ISNUMBER(G2761)),NOT(ISNUMBER(H2761)),G2761=0),"",I2761/G2761)</f>
        <v/>
      </c>
      <c r="K2761">
        <f>IF(OR(NOT(ISNUMBER(G2761)),NOT(ISNUMBER(H2761)),G2761=0),"",H2761/G2761)</f>
        <v/>
      </c>
      <c r="L2761">
        <f>IF(NOT(ISNUMBER(G2761)),"SEM META",IF(G2761=0,"SEM META",IF(NOT(ISNUMBER(H2761)),"SEM APONTAMENTO",IF(H2761&gt;=G2761,"VERDE",IF(H2761&gt;=G2761*0.9,"AMARELO","VERMELHO")))))</f>
        <v/>
      </c>
    </row>
    <row r="2762">
      <c r="A2762" s="321" t="n">
        <v>46429</v>
      </c>
      <c r="B2762" t="inlineStr">
        <is>
          <t>GERAL</t>
        </is>
      </c>
      <c r="C2762" t="inlineStr">
        <is>
          <t>GLOBO AÇOS</t>
        </is>
      </c>
      <c r="D2762" t="inlineStr">
        <is>
          <t>PERFILAÇÃO</t>
        </is>
      </c>
      <c r="F2762">
        <f>IFERROR(INDEX('BASE METAS DIÁRIAS'!$AA$2:$AC$358,MATCH($A2762,'BASE METAS DIÁRIAS'!$A$2:$A$358,0),1),"")</f>
        <v/>
      </c>
      <c r="G2762">
        <f>IFERROR(IF(WEEKDAY($A2762,2)&lt;=INDEX('BASE METAS DIÁRIAS'!$X$2:$Z$358,MATCH($A2762,'BASE METAS DIÁRIAS'!$A$2:$A$358,0),1),INDEX('BASE METAS DIÁRIAS'!$U$2:$W$358,MATCH($A2762,'BASE METAS DIÁRIAS'!$A$2:$A$358,0),1),""),"")</f>
        <v/>
      </c>
      <c r="H2762">
        <f>IFERROR(IF(INDEX('CONTROLE PRODUÇÃO POR EMPRESAS'!$H$6:$J$5000,MATCH($A2762,'CONTROLE PRODUÇÃO POR EMPRESAS'!$A$6:$A$5000,0),1)="","",IFERROR(1*INDEX('CONTROLE PRODUÇÃO POR EMPRESAS'!$H$6:$J$5000,MATCH($A2762,'CONTROLE PRODUÇÃO POR EMPRESAS'!$A$6:$A$5000,0),1),"")),"")</f>
        <v/>
      </c>
      <c r="I2762">
        <f>IF(OR(NOT(ISNUMBER(G2762)),NOT(ISNUMBER(H2762))),"",H2762-G2762)</f>
        <v/>
      </c>
      <c r="J2762">
        <f>IF(OR(NOT(ISNUMBER(G2762)),NOT(ISNUMBER(H2762)),G2762=0),"",I2762/G2762)</f>
        <v/>
      </c>
      <c r="K2762">
        <f>IF(OR(NOT(ISNUMBER(G2762)),NOT(ISNUMBER(H2762)),G2762=0),"",H2762/G2762)</f>
        <v/>
      </c>
      <c r="L2762">
        <f>IF(NOT(ISNUMBER(G2762)),"SEM META",IF(G2762=0,"SEM META",IF(NOT(ISNUMBER(H2762)),"SEM APONTAMENTO",IF(H2762&gt;=G2762,"VERDE",IF(H2762&gt;=G2762*0.9,"AMARELO","VERMELHO")))))</f>
        <v/>
      </c>
    </row>
    <row r="2763">
      <c r="A2763" s="321" t="n">
        <v>46429</v>
      </c>
      <c r="B2763" t="inlineStr">
        <is>
          <t>GERAL</t>
        </is>
      </c>
      <c r="C2763" t="inlineStr">
        <is>
          <t>GLOBO AÇOS</t>
        </is>
      </c>
      <c r="D2763" t="inlineStr">
        <is>
          <t>TELHAR</t>
        </is>
      </c>
      <c r="F2763">
        <f>IFERROR(INDEX('BASE METAS DIÁRIAS'!$AA$2:$AC$358,MATCH($A2763,'BASE METAS DIÁRIAS'!$A$2:$A$358,0),2),"")</f>
        <v/>
      </c>
      <c r="G2763">
        <f>IFERROR(IF(WEEKDAY($A2763,2)&lt;=INDEX('BASE METAS DIÁRIAS'!$X$2:$Z$358,MATCH($A2763,'BASE METAS DIÁRIAS'!$A$2:$A$358,0),2),INDEX('BASE METAS DIÁRIAS'!$U$2:$W$358,MATCH($A2763,'BASE METAS DIÁRIAS'!$A$2:$A$358,0),2),""),"")</f>
        <v/>
      </c>
      <c r="H2763">
        <f>IFERROR(IF(INDEX('CONTROLE PRODUÇÃO POR EMPRESAS'!$H$6:$J$5000,MATCH($A2763,'CONTROLE PRODUÇÃO POR EMPRESAS'!$A$6:$A$5000,0),2)="","",IFERROR(1*INDEX('CONTROLE PRODUÇÃO POR EMPRESAS'!$H$6:$J$5000,MATCH($A2763,'CONTROLE PRODUÇÃO POR EMPRESAS'!$A$6:$A$5000,0),2),"")),"")</f>
        <v/>
      </c>
      <c r="I2763">
        <f>IF(OR(NOT(ISNUMBER(G2763)),NOT(ISNUMBER(H2763))),"",H2763-G2763)</f>
        <v/>
      </c>
      <c r="J2763">
        <f>IF(OR(NOT(ISNUMBER(G2763)),NOT(ISNUMBER(H2763)),G2763=0),"",I2763/G2763)</f>
        <v/>
      </c>
      <c r="K2763">
        <f>IF(OR(NOT(ISNUMBER(G2763)),NOT(ISNUMBER(H2763)),G2763=0),"",H2763/G2763)</f>
        <v/>
      </c>
      <c r="L2763">
        <f>IF(NOT(ISNUMBER(G2763)),"SEM META",IF(G2763=0,"SEM META",IF(NOT(ISNUMBER(H2763)),"SEM APONTAMENTO",IF(H2763&gt;=G2763,"VERDE",IF(H2763&gt;=G2763*0.9,"AMARELO","VERMELHO")))))</f>
        <v/>
      </c>
    </row>
    <row r="2764">
      <c r="A2764" s="321" t="n">
        <v>46429</v>
      </c>
      <c r="B2764" t="inlineStr">
        <is>
          <t>GERAL</t>
        </is>
      </c>
      <c r="C2764" t="inlineStr">
        <is>
          <t>GLOBO AÇOS</t>
        </is>
      </c>
      <c r="D2764" t="inlineStr">
        <is>
          <t>FECHAMENTO</t>
        </is>
      </c>
      <c r="F2764">
        <f>IFERROR(INDEX('BASE METAS DIÁRIAS'!$AA$2:$AC$358,MATCH($A2764,'BASE METAS DIÁRIAS'!$A$2:$A$358,0),3),"")</f>
        <v/>
      </c>
      <c r="G2764">
        <f>IFERROR(IF(WEEKDAY($A2764,2)&lt;=INDEX('BASE METAS DIÁRIAS'!$X$2:$Z$358,MATCH($A2764,'BASE METAS DIÁRIAS'!$A$2:$A$358,0),3),INDEX('BASE METAS DIÁRIAS'!$U$2:$W$358,MATCH($A2764,'BASE METAS DIÁRIAS'!$A$2:$A$358,0),3),""),"")</f>
        <v/>
      </c>
      <c r="H2764">
        <f>IFERROR(IF(INDEX('CONTROLE PRODUÇÃO POR EMPRESAS'!$H$6:$J$5000,MATCH($A2764,'CONTROLE PRODUÇÃO POR EMPRESAS'!$A$6:$A$5000,0),3)="","",IFERROR(1*INDEX('CONTROLE PRODUÇÃO POR EMPRESAS'!$H$6:$J$5000,MATCH($A2764,'CONTROLE PRODUÇÃO POR EMPRESAS'!$A$6:$A$5000,0),3),"")),"")</f>
        <v/>
      </c>
      <c r="I2764">
        <f>IF(OR(NOT(ISNUMBER(G2764)),NOT(ISNUMBER(H2764))),"",H2764-G2764)</f>
        <v/>
      </c>
      <c r="J2764">
        <f>IF(OR(NOT(ISNUMBER(G2764)),NOT(ISNUMBER(H2764)),G2764=0),"",I2764/G2764)</f>
        <v/>
      </c>
      <c r="K2764">
        <f>IF(OR(NOT(ISNUMBER(G2764)),NOT(ISNUMBER(H2764)),G2764=0),"",H2764/G2764)</f>
        <v/>
      </c>
      <c r="L2764">
        <f>IF(NOT(ISNUMBER(G2764)),"SEM META",IF(G2764=0,"SEM META",IF(NOT(ISNUMBER(H2764)),"SEM APONTAMENTO",IF(H2764&gt;=G2764,"VERDE",IF(H2764&gt;=G2764*0.9,"AMARELO","VERMELHO")))))</f>
        <v/>
      </c>
    </row>
    <row r="2765">
      <c r="A2765" s="321" t="n">
        <v>46430</v>
      </c>
      <c r="B2765" t="inlineStr">
        <is>
          <t>GERAL</t>
        </is>
      </c>
      <c r="C2765" t="inlineStr">
        <is>
          <t>GLOBO AÇOS</t>
        </is>
      </c>
      <c r="D2765" t="inlineStr">
        <is>
          <t>PERFILAÇÃO</t>
        </is>
      </c>
      <c r="F2765">
        <f>IFERROR(INDEX('BASE METAS DIÁRIAS'!$AA$2:$AC$358,MATCH($A2765,'BASE METAS DIÁRIAS'!$A$2:$A$358,0),1),"")</f>
        <v/>
      </c>
      <c r="G2765">
        <f>IFERROR(IF(WEEKDAY($A2765,2)&lt;=INDEX('BASE METAS DIÁRIAS'!$X$2:$Z$358,MATCH($A2765,'BASE METAS DIÁRIAS'!$A$2:$A$358,0),1),INDEX('BASE METAS DIÁRIAS'!$U$2:$W$358,MATCH($A2765,'BASE METAS DIÁRIAS'!$A$2:$A$358,0),1),""),"")</f>
        <v/>
      </c>
      <c r="H2765">
        <f>IFERROR(IF(INDEX('CONTROLE PRODUÇÃO POR EMPRESAS'!$H$6:$J$5000,MATCH($A2765,'CONTROLE PRODUÇÃO POR EMPRESAS'!$A$6:$A$5000,0),1)="","",IFERROR(1*INDEX('CONTROLE PRODUÇÃO POR EMPRESAS'!$H$6:$J$5000,MATCH($A2765,'CONTROLE PRODUÇÃO POR EMPRESAS'!$A$6:$A$5000,0),1),"")),"")</f>
        <v/>
      </c>
      <c r="I2765">
        <f>IF(OR(NOT(ISNUMBER(G2765)),NOT(ISNUMBER(H2765))),"",H2765-G2765)</f>
        <v/>
      </c>
      <c r="J2765">
        <f>IF(OR(NOT(ISNUMBER(G2765)),NOT(ISNUMBER(H2765)),G2765=0),"",I2765/G2765)</f>
        <v/>
      </c>
      <c r="K2765">
        <f>IF(OR(NOT(ISNUMBER(G2765)),NOT(ISNUMBER(H2765)),G2765=0),"",H2765/G2765)</f>
        <v/>
      </c>
      <c r="L2765">
        <f>IF(NOT(ISNUMBER(G2765)),"SEM META",IF(G2765=0,"SEM META",IF(NOT(ISNUMBER(H2765)),"SEM APONTAMENTO",IF(H2765&gt;=G2765,"VERDE",IF(H2765&gt;=G2765*0.9,"AMARELO","VERMELHO")))))</f>
        <v/>
      </c>
    </row>
    <row r="2766">
      <c r="A2766" s="321" t="n">
        <v>46430</v>
      </c>
      <c r="B2766" t="inlineStr">
        <is>
          <t>GERAL</t>
        </is>
      </c>
      <c r="C2766" t="inlineStr">
        <is>
          <t>GLOBO AÇOS</t>
        </is>
      </c>
      <c r="D2766" t="inlineStr">
        <is>
          <t>TELHAR</t>
        </is>
      </c>
      <c r="F2766">
        <f>IFERROR(INDEX('BASE METAS DIÁRIAS'!$AA$2:$AC$358,MATCH($A2766,'BASE METAS DIÁRIAS'!$A$2:$A$358,0),2),"")</f>
        <v/>
      </c>
      <c r="G2766">
        <f>IFERROR(IF(WEEKDAY($A2766,2)&lt;=INDEX('BASE METAS DIÁRIAS'!$X$2:$Z$358,MATCH($A2766,'BASE METAS DIÁRIAS'!$A$2:$A$358,0),2),INDEX('BASE METAS DIÁRIAS'!$U$2:$W$358,MATCH($A2766,'BASE METAS DIÁRIAS'!$A$2:$A$358,0),2),""),"")</f>
        <v/>
      </c>
      <c r="H2766">
        <f>IFERROR(IF(INDEX('CONTROLE PRODUÇÃO POR EMPRESAS'!$H$6:$J$5000,MATCH($A2766,'CONTROLE PRODUÇÃO POR EMPRESAS'!$A$6:$A$5000,0),2)="","",IFERROR(1*INDEX('CONTROLE PRODUÇÃO POR EMPRESAS'!$H$6:$J$5000,MATCH($A2766,'CONTROLE PRODUÇÃO POR EMPRESAS'!$A$6:$A$5000,0),2),"")),"")</f>
        <v/>
      </c>
      <c r="I2766">
        <f>IF(OR(NOT(ISNUMBER(G2766)),NOT(ISNUMBER(H2766))),"",H2766-G2766)</f>
        <v/>
      </c>
      <c r="J2766">
        <f>IF(OR(NOT(ISNUMBER(G2766)),NOT(ISNUMBER(H2766)),G2766=0),"",I2766/G2766)</f>
        <v/>
      </c>
      <c r="K2766">
        <f>IF(OR(NOT(ISNUMBER(G2766)),NOT(ISNUMBER(H2766)),G2766=0),"",H2766/G2766)</f>
        <v/>
      </c>
      <c r="L2766">
        <f>IF(NOT(ISNUMBER(G2766)),"SEM META",IF(G2766=0,"SEM META",IF(NOT(ISNUMBER(H2766)),"SEM APONTAMENTO",IF(H2766&gt;=G2766,"VERDE",IF(H2766&gt;=G2766*0.9,"AMARELO","VERMELHO")))))</f>
        <v/>
      </c>
    </row>
    <row r="2767">
      <c r="A2767" s="321" t="n">
        <v>46430</v>
      </c>
      <c r="B2767" t="inlineStr">
        <is>
          <t>GERAL</t>
        </is>
      </c>
      <c r="C2767" t="inlineStr">
        <is>
          <t>GLOBO AÇOS</t>
        </is>
      </c>
      <c r="D2767" t="inlineStr">
        <is>
          <t>FECHAMENTO</t>
        </is>
      </c>
      <c r="F2767">
        <f>IFERROR(INDEX('BASE METAS DIÁRIAS'!$AA$2:$AC$358,MATCH($A2767,'BASE METAS DIÁRIAS'!$A$2:$A$358,0),3),"")</f>
        <v/>
      </c>
      <c r="G2767">
        <f>IFERROR(IF(WEEKDAY($A2767,2)&lt;=INDEX('BASE METAS DIÁRIAS'!$X$2:$Z$358,MATCH($A2767,'BASE METAS DIÁRIAS'!$A$2:$A$358,0),3),INDEX('BASE METAS DIÁRIAS'!$U$2:$W$358,MATCH($A2767,'BASE METAS DIÁRIAS'!$A$2:$A$358,0),3),""),"")</f>
        <v/>
      </c>
      <c r="H2767">
        <f>IFERROR(IF(INDEX('CONTROLE PRODUÇÃO POR EMPRESAS'!$H$6:$J$5000,MATCH($A2767,'CONTROLE PRODUÇÃO POR EMPRESAS'!$A$6:$A$5000,0),3)="","",IFERROR(1*INDEX('CONTROLE PRODUÇÃO POR EMPRESAS'!$H$6:$J$5000,MATCH($A2767,'CONTROLE PRODUÇÃO POR EMPRESAS'!$A$6:$A$5000,0),3),"")),"")</f>
        <v/>
      </c>
      <c r="I2767">
        <f>IF(OR(NOT(ISNUMBER(G2767)),NOT(ISNUMBER(H2767))),"",H2767-G2767)</f>
        <v/>
      </c>
      <c r="J2767">
        <f>IF(OR(NOT(ISNUMBER(G2767)),NOT(ISNUMBER(H2767)),G2767=0),"",I2767/G2767)</f>
        <v/>
      </c>
      <c r="K2767">
        <f>IF(OR(NOT(ISNUMBER(G2767)),NOT(ISNUMBER(H2767)),G2767=0),"",H2767/G2767)</f>
        <v/>
      </c>
      <c r="L2767">
        <f>IF(NOT(ISNUMBER(G2767)),"SEM META",IF(G2767=0,"SEM META",IF(NOT(ISNUMBER(H2767)),"SEM APONTAMENTO",IF(H2767&gt;=G2767,"VERDE",IF(H2767&gt;=G2767*0.9,"AMARELO","VERMELHO")))))</f>
        <v/>
      </c>
    </row>
    <row r="2768">
      <c r="A2768" s="321" t="n">
        <v>46431</v>
      </c>
      <c r="B2768" t="inlineStr">
        <is>
          <t>GERAL</t>
        </is>
      </c>
      <c r="C2768" t="inlineStr">
        <is>
          <t>GLOBO AÇOS</t>
        </is>
      </c>
      <c r="D2768" t="inlineStr">
        <is>
          <t>PERFILAÇÃO</t>
        </is>
      </c>
      <c r="F2768">
        <f>IFERROR(INDEX('BASE METAS DIÁRIAS'!$AA$2:$AC$358,MATCH($A2768,'BASE METAS DIÁRIAS'!$A$2:$A$358,0),1),"")</f>
        <v/>
      </c>
      <c r="G2768">
        <f>IFERROR(IF(WEEKDAY($A2768,2)&lt;=INDEX('BASE METAS DIÁRIAS'!$X$2:$Z$358,MATCH($A2768,'BASE METAS DIÁRIAS'!$A$2:$A$358,0),1),INDEX('BASE METAS DIÁRIAS'!$U$2:$W$358,MATCH($A2768,'BASE METAS DIÁRIAS'!$A$2:$A$358,0),1),""),"")</f>
        <v/>
      </c>
      <c r="H2768">
        <f>IFERROR(IF(INDEX('CONTROLE PRODUÇÃO POR EMPRESAS'!$H$6:$J$5000,MATCH($A2768,'CONTROLE PRODUÇÃO POR EMPRESAS'!$A$6:$A$5000,0),1)="","",IFERROR(1*INDEX('CONTROLE PRODUÇÃO POR EMPRESAS'!$H$6:$J$5000,MATCH($A2768,'CONTROLE PRODUÇÃO POR EMPRESAS'!$A$6:$A$5000,0),1),"")),"")</f>
        <v/>
      </c>
      <c r="I2768">
        <f>IF(OR(NOT(ISNUMBER(G2768)),NOT(ISNUMBER(H2768))),"",H2768-G2768)</f>
        <v/>
      </c>
      <c r="J2768">
        <f>IF(OR(NOT(ISNUMBER(G2768)),NOT(ISNUMBER(H2768)),G2768=0),"",I2768/G2768)</f>
        <v/>
      </c>
      <c r="K2768">
        <f>IF(OR(NOT(ISNUMBER(G2768)),NOT(ISNUMBER(H2768)),G2768=0),"",H2768/G2768)</f>
        <v/>
      </c>
      <c r="L2768">
        <f>IF(NOT(ISNUMBER(G2768)),"SEM META",IF(G2768=0,"SEM META",IF(NOT(ISNUMBER(H2768)),"SEM APONTAMENTO",IF(H2768&gt;=G2768,"VERDE",IF(H2768&gt;=G2768*0.9,"AMARELO","VERMELHO")))))</f>
        <v/>
      </c>
    </row>
    <row r="2769">
      <c r="A2769" s="321" t="n">
        <v>46431</v>
      </c>
      <c r="B2769" t="inlineStr">
        <is>
          <t>GERAL</t>
        </is>
      </c>
      <c r="C2769" t="inlineStr">
        <is>
          <t>GLOBO AÇOS</t>
        </is>
      </c>
      <c r="D2769" t="inlineStr">
        <is>
          <t>TELHAR</t>
        </is>
      </c>
      <c r="F2769">
        <f>IFERROR(INDEX('BASE METAS DIÁRIAS'!$AA$2:$AC$358,MATCH($A2769,'BASE METAS DIÁRIAS'!$A$2:$A$358,0),2),"")</f>
        <v/>
      </c>
      <c r="G2769">
        <f>IFERROR(IF(WEEKDAY($A2769,2)&lt;=INDEX('BASE METAS DIÁRIAS'!$X$2:$Z$358,MATCH($A2769,'BASE METAS DIÁRIAS'!$A$2:$A$358,0),2),INDEX('BASE METAS DIÁRIAS'!$U$2:$W$358,MATCH($A2769,'BASE METAS DIÁRIAS'!$A$2:$A$358,0),2),""),"")</f>
        <v/>
      </c>
      <c r="H2769">
        <f>IFERROR(IF(INDEX('CONTROLE PRODUÇÃO POR EMPRESAS'!$H$6:$J$5000,MATCH($A2769,'CONTROLE PRODUÇÃO POR EMPRESAS'!$A$6:$A$5000,0),2)="","",IFERROR(1*INDEX('CONTROLE PRODUÇÃO POR EMPRESAS'!$H$6:$J$5000,MATCH($A2769,'CONTROLE PRODUÇÃO POR EMPRESAS'!$A$6:$A$5000,0),2),"")),"")</f>
        <v/>
      </c>
      <c r="I2769">
        <f>IF(OR(NOT(ISNUMBER(G2769)),NOT(ISNUMBER(H2769))),"",H2769-G2769)</f>
        <v/>
      </c>
      <c r="J2769">
        <f>IF(OR(NOT(ISNUMBER(G2769)),NOT(ISNUMBER(H2769)),G2769=0),"",I2769/G2769)</f>
        <v/>
      </c>
      <c r="K2769">
        <f>IF(OR(NOT(ISNUMBER(G2769)),NOT(ISNUMBER(H2769)),G2769=0),"",H2769/G2769)</f>
        <v/>
      </c>
      <c r="L2769">
        <f>IF(NOT(ISNUMBER(G2769)),"SEM META",IF(G2769=0,"SEM META",IF(NOT(ISNUMBER(H2769)),"SEM APONTAMENTO",IF(H2769&gt;=G2769,"VERDE",IF(H2769&gt;=G2769*0.9,"AMARELO","VERMELHO")))))</f>
        <v/>
      </c>
    </row>
    <row r="2770">
      <c r="A2770" s="321" t="n">
        <v>46431</v>
      </c>
      <c r="B2770" t="inlineStr">
        <is>
          <t>GERAL</t>
        </is>
      </c>
      <c r="C2770" t="inlineStr">
        <is>
          <t>GLOBO AÇOS</t>
        </is>
      </c>
      <c r="D2770" t="inlineStr">
        <is>
          <t>FECHAMENTO</t>
        </is>
      </c>
      <c r="F2770">
        <f>IFERROR(INDEX('BASE METAS DIÁRIAS'!$AA$2:$AC$358,MATCH($A2770,'BASE METAS DIÁRIAS'!$A$2:$A$358,0),3),"")</f>
        <v/>
      </c>
      <c r="G2770">
        <f>IFERROR(IF(WEEKDAY($A2770,2)&lt;=INDEX('BASE METAS DIÁRIAS'!$X$2:$Z$358,MATCH($A2770,'BASE METAS DIÁRIAS'!$A$2:$A$358,0),3),INDEX('BASE METAS DIÁRIAS'!$U$2:$W$358,MATCH($A2770,'BASE METAS DIÁRIAS'!$A$2:$A$358,0),3),""),"")</f>
        <v/>
      </c>
      <c r="H2770">
        <f>IFERROR(IF(INDEX('CONTROLE PRODUÇÃO POR EMPRESAS'!$H$6:$J$5000,MATCH($A2770,'CONTROLE PRODUÇÃO POR EMPRESAS'!$A$6:$A$5000,0),3)="","",IFERROR(1*INDEX('CONTROLE PRODUÇÃO POR EMPRESAS'!$H$6:$J$5000,MATCH($A2770,'CONTROLE PRODUÇÃO POR EMPRESAS'!$A$6:$A$5000,0),3),"")),"")</f>
        <v/>
      </c>
      <c r="I2770">
        <f>IF(OR(NOT(ISNUMBER(G2770)),NOT(ISNUMBER(H2770))),"",H2770-G2770)</f>
        <v/>
      </c>
      <c r="J2770">
        <f>IF(OR(NOT(ISNUMBER(G2770)),NOT(ISNUMBER(H2770)),G2770=0),"",I2770/G2770)</f>
        <v/>
      </c>
      <c r="K2770">
        <f>IF(OR(NOT(ISNUMBER(G2770)),NOT(ISNUMBER(H2770)),G2770=0),"",H2770/G2770)</f>
        <v/>
      </c>
      <c r="L2770">
        <f>IF(NOT(ISNUMBER(G2770)),"SEM META",IF(G2770=0,"SEM META",IF(NOT(ISNUMBER(H2770)),"SEM APONTAMENTO",IF(H2770&gt;=G2770,"VERDE",IF(H2770&gt;=G2770*0.9,"AMARELO","VERMELHO")))))</f>
        <v/>
      </c>
    </row>
    <row r="2771">
      <c r="A2771" s="321" t="n">
        <v>46432</v>
      </c>
      <c r="B2771" t="inlineStr">
        <is>
          <t>GERAL</t>
        </is>
      </c>
      <c r="C2771" t="inlineStr">
        <is>
          <t>GLOBO AÇOS</t>
        </is>
      </c>
      <c r="D2771" t="inlineStr">
        <is>
          <t>PERFILAÇÃO</t>
        </is>
      </c>
      <c r="F2771">
        <f>IFERROR(INDEX('BASE METAS DIÁRIAS'!$AA$2:$AC$358,MATCH($A2771,'BASE METAS DIÁRIAS'!$A$2:$A$358,0),1),"")</f>
        <v/>
      </c>
      <c r="G2771">
        <f>IFERROR(IF(WEEKDAY($A2771,2)&lt;=INDEX('BASE METAS DIÁRIAS'!$X$2:$Z$358,MATCH($A2771,'BASE METAS DIÁRIAS'!$A$2:$A$358,0),1),INDEX('BASE METAS DIÁRIAS'!$U$2:$W$358,MATCH($A2771,'BASE METAS DIÁRIAS'!$A$2:$A$358,0),1),""),"")</f>
        <v/>
      </c>
      <c r="H2771">
        <f>IFERROR(IF(INDEX('CONTROLE PRODUÇÃO POR EMPRESAS'!$H$6:$J$5000,MATCH($A2771,'CONTROLE PRODUÇÃO POR EMPRESAS'!$A$6:$A$5000,0),1)="","",IFERROR(1*INDEX('CONTROLE PRODUÇÃO POR EMPRESAS'!$H$6:$J$5000,MATCH($A2771,'CONTROLE PRODUÇÃO POR EMPRESAS'!$A$6:$A$5000,0),1),"")),"")</f>
        <v/>
      </c>
      <c r="I2771">
        <f>IF(OR(NOT(ISNUMBER(G2771)),NOT(ISNUMBER(H2771))),"",H2771-G2771)</f>
        <v/>
      </c>
      <c r="J2771">
        <f>IF(OR(NOT(ISNUMBER(G2771)),NOT(ISNUMBER(H2771)),G2771=0),"",I2771/G2771)</f>
        <v/>
      </c>
      <c r="K2771">
        <f>IF(OR(NOT(ISNUMBER(G2771)),NOT(ISNUMBER(H2771)),G2771=0),"",H2771/G2771)</f>
        <v/>
      </c>
      <c r="L2771">
        <f>IF(NOT(ISNUMBER(G2771)),"SEM META",IF(G2771=0,"SEM META",IF(NOT(ISNUMBER(H2771)),"SEM APONTAMENTO",IF(H2771&gt;=G2771,"VERDE",IF(H2771&gt;=G2771*0.9,"AMARELO","VERMELHO")))))</f>
        <v/>
      </c>
    </row>
    <row r="2772">
      <c r="A2772" s="321" t="n">
        <v>46432</v>
      </c>
      <c r="B2772" t="inlineStr">
        <is>
          <t>GERAL</t>
        </is>
      </c>
      <c r="C2772" t="inlineStr">
        <is>
          <t>GLOBO AÇOS</t>
        </is>
      </c>
      <c r="D2772" t="inlineStr">
        <is>
          <t>TELHAR</t>
        </is>
      </c>
      <c r="F2772">
        <f>IFERROR(INDEX('BASE METAS DIÁRIAS'!$AA$2:$AC$358,MATCH($A2772,'BASE METAS DIÁRIAS'!$A$2:$A$358,0),2),"")</f>
        <v/>
      </c>
      <c r="G2772">
        <f>IFERROR(IF(WEEKDAY($A2772,2)&lt;=INDEX('BASE METAS DIÁRIAS'!$X$2:$Z$358,MATCH($A2772,'BASE METAS DIÁRIAS'!$A$2:$A$358,0),2),INDEX('BASE METAS DIÁRIAS'!$U$2:$W$358,MATCH($A2772,'BASE METAS DIÁRIAS'!$A$2:$A$358,0),2),""),"")</f>
        <v/>
      </c>
      <c r="H2772">
        <f>IFERROR(IF(INDEX('CONTROLE PRODUÇÃO POR EMPRESAS'!$H$6:$J$5000,MATCH($A2772,'CONTROLE PRODUÇÃO POR EMPRESAS'!$A$6:$A$5000,0),2)="","",IFERROR(1*INDEX('CONTROLE PRODUÇÃO POR EMPRESAS'!$H$6:$J$5000,MATCH($A2772,'CONTROLE PRODUÇÃO POR EMPRESAS'!$A$6:$A$5000,0),2),"")),"")</f>
        <v/>
      </c>
      <c r="I2772">
        <f>IF(OR(NOT(ISNUMBER(G2772)),NOT(ISNUMBER(H2772))),"",H2772-G2772)</f>
        <v/>
      </c>
      <c r="J2772">
        <f>IF(OR(NOT(ISNUMBER(G2772)),NOT(ISNUMBER(H2772)),G2772=0),"",I2772/G2772)</f>
        <v/>
      </c>
      <c r="K2772">
        <f>IF(OR(NOT(ISNUMBER(G2772)),NOT(ISNUMBER(H2772)),G2772=0),"",H2772/G2772)</f>
        <v/>
      </c>
      <c r="L2772">
        <f>IF(NOT(ISNUMBER(G2772)),"SEM META",IF(G2772=0,"SEM META",IF(NOT(ISNUMBER(H2772)),"SEM APONTAMENTO",IF(H2772&gt;=G2772,"VERDE",IF(H2772&gt;=G2772*0.9,"AMARELO","VERMELHO")))))</f>
        <v/>
      </c>
    </row>
    <row r="2773">
      <c r="A2773" s="321" t="n">
        <v>46432</v>
      </c>
      <c r="B2773" t="inlineStr">
        <is>
          <t>GERAL</t>
        </is>
      </c>
      <c r="C2773" t="inlineStr">
        <is>
          <t>GLOBO AÇOS</t>
        </is>
      </c>
      <c r="D2773" t="inlineStr">
        <is>
          <t>FECHAMENTO</t>
        </is>
      </c>
      <c r="F2773">
        <f>IFERROR(INDEX('BASE METAS DIÁRIAS'!$AA$2:$AC$358,MATCH($A2773,'BASE METAS DIÁRIAS'!$A$2:$A$358,0),3),"")</f>
        <v/>
      </c>
      <c r="G2773">
        <f>IFERROR(IF(WEEKDAY($A2773,2)&lt;=INDEX('BASE METAS DIÁRIAS'!$X$2:$Z$358,MATCH($A2773,'BASE METAS DIÁRIAS'!$A$2:$A$358,0),3),INDEX('BASE METAS DIÁRIAS'!$U$2:$W$358,MATCH($A2773,'BASE METAS DIÁRIAS'!$A$2:$A$358,0),3),""),"")</f>
        <v/>
      </c>
      <c r="H2773">
        <f>IFERROR(IF(INDEX('CONTROLE PRODUÇÃO POR EMPRESAS'!$H$6:$J$5000,MATCH($A2773,'CONTROLE PRODUÇÃO POR EMPRESAS'!$A$6:$A$5000,0),3)="","",IFERROR(1*INDEX('CONTROLE PRODUÇÃO POR EMPRESAS'!$H$6:$J$5000,MATCH($A2773,'CONTROLE PRODUÇÃO POR EMPRESAS'!$A$6:$A$5000,0),3),"")),"")</f>
        <v/>
      </c>
      <c r="I2773">
        <f>IF(OR(NOT(ISNUMBER(G2773)),NOT(ISNUMBER(H2773))),"",H2773-G2773)</f>
        <v/>
      </c>
      <c r="J2773">
        <f>IF(OR(NOT(ISNUMBER(G2773)),NOT(ISNUMBER(H2773)),G2773=0),"",I2773/G2773)</f>
        <v/>
      </c>
      <c r="K2773">
        <f>IF(OR(NOT(ISNUMBER(G2773)),NOT(ISNUMBER(H2773)),G2773=0),"",H2773/G2773)</f>
        <v/>
      </c>
      <c r="L2773">
        <f>IF(NOT(ISNUMBER(G2773)),"SEM META",IF(G2773=0,"SEM META",IF(NOT(ISNUMBER(H2773)),"SEM APONTAMENTO",IF(H2773&gt;=G2773,"VERDE",IF(H2773&gt;=G2773*0.9,"AMARELO","VERMELHO")))))</f>
        <v/>
      </c>
    </row>
    <row r="2774">
      <c r="A2774" s="321" t="n">
        <v>46433</v>
      </c>
      <c r="B2774" t="inlineStr">
        <is>
          <t>GERAL</t>
        </is>
      </c>
      <c r="C2774" t="inlineStr">
        <is>
          <t>GLOBO AÇOS</t>
        </is>
      </c>
      <c r="D2774" t="inlineStr">
        <is>
          <t>PERFILAÇÃO</t>
        </is>
      </c>
      <c r="F2774">
        <f>IFERROR(INDEX('BASE METAS DIÁRIAS'!$AA$2:$AC$358,MATCH($A2774,'BASE METAS DIÁRIAS'!$A$2:$A$358,0),1),"")</f>
        <v/>
      </c>
      <c r="G2774">
        <f>IFERROR(IF(WEEKDAY($A2774,2)&lt;=INDEX('BASE METAS DIÁRIAS'!$X$2:$Z$358,MATCH($A2774,'BASE METAS DIÁRIAS'!$A$2:$A$358,0),1),INDEX('BASE METAS DIÁRIAS'!$U$2:$W$358,MATCH($A2774,'BASE METAS DIÁRIAS'!$A$2:$A$358,0),1),""),"")</f>
        <v/>
      </c>
      <c r="H2774">
        <f>IFERROR(IF(INDEX('CONTROLE PRODUÇÃO POR EMPRESAS'!$H$6:$J$5000,MATCH($A2774,'CONTROLE PRODUÇÃO POR EMPRESAS'!$A$6:$A$5000,0),1)="","",IFERROR(1*INDEX('CONTROLE PRODUÇÃO POR EMPRESAS'!$H$6:$J$5000,MATCH($A2774,'CONTROLE PRODUÇÃO POR EMPRESAS'!$A$6:$A$5000,0),1),"")),"")</f>
        <v/>
      </c>
      <c r="I2774">
        <f>IF(OR(NOT(ISNUMBER(G2774)),NOT(ISNUMBER(H2774))),"",H2774-G2774)</f>
        <v/>
      </c>
      <c r="J2774">
        <f>IF(OR(NOT(ISNUMBER(G2774)),NOT(ISNUMBER(H2774)),G2774=0),"",I2774/G2774)</f>
        <v/>
      </c>
      <c r="K2774">
        <f>IF(OR(NOT(ISNUMBER(G2774)),NOT(ISNUMBER(H2774)),G2774=0),"",H2774/G2774)</f>
        <v/>
      </c>
      <c r="L2774">
        <f>IF(NOT(ISNUMBER(G2774)),"SEM META",IF(G2774=0,"SEM META",IF(NOT(ISNUMBER(H2774)),"SEM APONTAMENTO",IF(H2774&gt;=G2774,"VERDE",IF(H2774&gt;=G2774*0.9,"AMARELO","VERMELHO")))))</f>
        <v/>
      </c>
    </row>
    <row r="2775">
      <c r="A2775" s="321" t="n">
        <v>46433</v>
      </c>
      <c r="B2775" t="inlineStr">
        <is>
          <t>GERAL</t>
        </is>
      </c>
      <c r="C2775" t="inlineStr">
        <is>
          <t>GLOBO AÇOS</t>
        </is>
      </c>
      <c r="D2775" t="inlineStr">
        <is>
          <t>TELHAR</t>
        </is>
      </c>
      <c r="F2775">
        <f>IFERROR(INDEX('BASE METAS DIÁRIAS'!$AA$2:$AC$358,MATCH($A2775,'BASE METAS DIÁRIAS'!$A$2:$A$358,0),2),"")</f>
        <v/>
      </c>
      <c r="G2775">
        <f>IFERROR(IF(WEEKDAY($A2775,2)&lt;=INDEX('BASE METAS DIÁRIAS'!$X$2:$Z$358,MATCH($A2775,'BASE METAS DIÁRIAS'!$A$2:$A$358,0),2),INDEX('BASE METAS DIÁRIAS'!$U$2:$W$358,MATCH($A2775,'BASE METAS DIÁRIAS'!$A$2:$A$358,0),2),""),"")</f>
        <v/>
      </c>
      <c r="H2775">
        <f>IFERROR(IF(INDEX('CONTROLE PRODUÇÃO POR EMPRESAS'!$H$6:$J$5000,MATCH($A2775,'CONTROLE PRODUÇÃO POR EMPRESAS'!$A$6:$A$5000,0),2)="","",IFERROR(1*INDEX('CONTROLE PRODUÇÃO POR EMPRESAS'!$H$6:$J$5000,MATCH($A2775,'CONTROLE PRODUÇÃO POR EMPRESAS'!$A$6:$A$5000,0),2),"")),"")</f>
        <v/>
      </c>
      <c r="I2775">
        <f>IF(OR(NOT(ISNUMBER(G2775)),NOT(ISNUMBER(H2775))),"",H2775-G2775)</f>
        <v/>
      </c>
      <c r="J2775">
        <f>IF(OR(NOT(ISNUMBER(G2775)),NOT(ISNUMBER(H2775)),G2775=0),"",I2775/G2775)</f>
        <v/>
      </c>
      <c r="K2775">
        <f>IF(OR(NOT(ISNUMBER(G2775)),NOT(ISNUMBER(H2775)),G2775=0),"",H2775/G2775)</f>
        <v/>
      </c>
      <c r="L2775">
        <f>IF(NOT(ISNUMBER(G2775)),"SEM META",IF(G2775=0,"SEM META",IF(NOT(ISNUMBER(H2775)),"SEM APONTAMENTO",IF(H2775&gt;=G2775,"VERDE",IF(H2775&gt;=G2775*0.9,"AMARELO","VERMELHO")))))</f>
        <v/>
      </c>
    </row>
    <row r="2776">
      <c r="A2776" s="321" t="n">
        <v>46433</v>
      </c>
      <c r="B2776" t="inlineStr">
        <is>
          <t>GERAL</t>
        </is>
      </c>
      <c r="C2776" t="inlineStr">
        <is>
          <t>GLOBO AÇOS</t>
        </is>
      </c>
      <c r="D2776" t="inlineStr">
        <is>
          <t>FECHAMENTO</t>
        </is>
      </c>
      <c r="F2776">
        <f>IFERROR(INDEX('BASE METAS DIÁRIAS'!$AA$2:$AC$358,MATCH($A2776,'BASE METAS DIÁRIAS'!$A$2:$A$358,0),3),"")</f>
        <v/>
      </c>
      <c r="G2776">
        <f>IFERROR(IF(WEEKDAY($A2776,2)&lt;=INDEX('BASE METAS DIÁRIAS'!$X$2:$Z$358,MATCH($A2776,'BASE METAS DIÁRIAS'!$A$2:$A$358,0),3),INDEX('BASE METAS DIÁRIAS'!$U$2:$W$358,MATCH($A2776,'BASE METAS DIÁRIAS'!$A$2:$A$358,0),3),""),"")</f>
        <v/>
      </c>
      <c r="H2776">
        <f>IFERROR(IF(INDEX('CONTROLE PRODUÇÃO POR EMPRESAS'!$H$6:$J$5000,MATCH($A2776,'CONTROLE PRODUÇÃO POR EMPRESAS'!$A$6:$A$5000,0),3)="","",IFERROR(1*INDEX('CONTROLE PRODUÇÃO POR EMPRESAS'!$H$6:$J$5000,MATCH($A2776,'CONTROLE PRODUÇÃO POR EMPRESAS'!$A$6:$A$5000,0),3),"")),"")</f>
        <v/>
      </c>
      <c r="I2776">
        <f>IF(OR(NOT(ISNUMBER(G2776)),NOT(ISNUMBER(H2776))),"",H2776-G2776)</f>
        <v/>
      </c>
      <c r="J2776">
        <f>IF(OR(NOT(ISNUMBER(G2776)),NOT(ISNUMBER(H2776)),G2776=0),"",I2776/G2776)</f>
        <v/>
      </c>
      <c r="K2776">
        <f>IF(OR(NOT(ISNUMBER(G2776)),NOT(ISNUMBER(H2776)),G2776=0),"",H2776/G2776)</f>
        <v/>
      </c>
      <c r="L2776">
        <f>IF(NOT(ISNUMBER(G2776)),"SEM META",IF(G2776=0,"SEM META",IF(NOT(ISNUMBER(H2776)),"SEM APONTAMENTO",IF(H2776&gt;=G2776,"VERDE",IF(H2776&gt;=G2776*0.9,"AMARELO","VERMELHO")))))</f>
        <v/>
      </c>
    </row>
    <row r="2777">
      <c r="A2777" s="321" t="n">
        <v>46434</v>
      </c>
      <c r="B2777" t="inlineStr">
        <is>
          <t>GERAL</t>
        </is>
      </c>
      <c r="C2777" t="inlineStr">
        <is>
          <t>GLOBO AÇOS</t>
        </is>
      </c>
      <c r="D2777" t="inlineStr">
        <is>
          <t>PERFILAÇÃO</t>
        </is>
      </c>
      <c r="F2777">
        <f>IFERROR(INDEX('BASE METAS DIÁRIAS'!$AA$2:$AC$358,MATCH($A2777,'BASE METAS DIÁRIAS'!$A$2:$A$358,0),1),"")</f>
        <v/>
      </c>
      <c r="G2777">
        <f>IFERROR(IF(WEEKDAY($A2777,2)&lt;=INDEX('BASE METAS DIÁRIAS'!$X$2:$Z$358,MATCH($A2777,'BASE METAS DIÁRIAS'!$A$2:$A$358,0),1),INDEX('BASE METAS DIÁRIAS'!$U$2:$W$358,MATCH($A2777,'BASE METAS DIÁRIAS'!$A$2:$A$358,0),1),""),"")</f>
        <v/>
      </c>
      <c r="H2777">
        <f>IFERROR(IF(INDEX('CONTROLE PRODUÇÃO POR EMPRESAS'!$H$6:$J$5000,MATCH($A2777,'CONTROLE PRODUÇÃO POR EMPRESAS'!$A$6:$A$5000,0),1)="","",IFERROR(1*INDEX('CONTROLE PRODUÇÃO POR EMPRESAS'!$H$6:$J$5000,MATCH($A2777,'CONTROLE PRODUÇÃO POR EMPRESAS'!$A$6:$A$5000,0),1),"")),"")</f>
        <v/>
      </c>
      <c r="I2777">
        <f>IF(OR(NOT(ISNUMBER(G2777)),NOT(ISNUMBER(H2777))),"",H2777-G2777)</f>
        <v/>
      </c>
      <c r="J2777">
        <f>IF(OR(NOT(ISNUMBER(G2777)),NOT(ISNUMBER(H2777)),G2777=0),"",I2777/G2777)</f>
        <v/>
      </c>
      <c r="K2777">
        <f>IF(OR(NOT(ISNUMBER(G2777)),NOT(ISNUMBER(H2777)),G2777=0),"",H2777/G2777)</f>
        <v/>
      </c>
      <c r="L2777">
        <f>IF(NOT(ISNUMBER(G2777)),"SEM META",IF(G2777=0,"SEM META",IF(NOT(ISNUMBER(H2777)),"SEM APONTAMENTO",IF(H2777&gt;=G2777,"VERDE",IF(H2777&gt;=G2777*0.9,"AMARELO","VERMELHO")))))</f>
        <v/>
      </c>
    </row>
    <row r="2778">
      <c r="A2778" s="321" t="n">
        <v>46434</v>
      </c>
      <c r="B2778" t="inlineStr">
        <is>
          <t>GERAL</t>
        </is>
      </c>
      <c r="C2778" t="inlineStr">
        <is>
          <t>GLOBO AÇOS</t>
        </is>
      </c>
      <c r="D2778" t="inlineStr">
        <is>
          <t>TELHAR</t>
        </is>
      </c>
      <c r="F2778">
        <f>IFERROR(INDEX('BASE METAS DIÁRIAS'!$AA$2:$AC$358,MATCH($A2778,'BASE METAS DIÁRIAS'!$A$2:$A$358,0),2),"")</f>
        <v/>
      </c>
      <c r="G2778">
        <f>IFERROR(IF(WEEKDAY($A2778,2)&lt;=INDEX('BASE METAS DIÁRIAS'!$X$2:$Z$358,MATCH($A2778,'BASE METAS DIÁRIAS'!$A$2:$A$358,0),2),INDEX('BASE METAS DIÁRIAS'!$U$2:$W$358,MATCH($A2778,'BASE METAS DIÁRIAS'!$A$2:$A$358,0),2),""),"")</f>
        <v/>
      </c>
      <c r="H2778">
        <f>IFERROR(IF(INDEX('CONTROLE PRODUÇÃO POR EMPRESAS'!$H$6:$J$5000,MATCH($A2778,'CONTROLE PRODUÇÃO POR EMPRESAS'!$A$6:$A$5000,0),2)="","",IFERROR(1*INDEX('CONTROLE PRODUÇÃO POR EMPRESAS'!$H$6:$J$5000,MATCH($A2778,'CONTROLE PRODUÇÃO POR EMPRESAS'!$A$6:$A$5000,0),2),"")),"")</f>
        <v/>
      </c>
      <c r="I2778">
        <f>IF(OR(NOT(ISNUMBER(G2778)),NOT(ISNUMBER(H2778))),"",H2778-G2778)</f>
        <v/>
      </c>
      <c r="J2778">
        <f>IF(OR(NOT(ISNUMBER(G2778)),NOT(ISNUMBER(H2778)),G2778=0),"",I2778/G2778)</f>
        <v/>
      </c>
      <c r="K2778">
        <f>IF(OR(NOT(ISNUMBER(G2778)),NOT(ISNUMBER(H2778)),G2778=0),"",H2778/G2778)</f>
        <v/>
      </c>
      <c r="L2778">
        <f>IF(NOT(ISNUMBER(G2778)),"SEM META",IF(G2778=0,"SEM META",IF(NOT(ISNUMBER(H2778)),"SEM APONTAMENTO",IF(H2778&gt;=G2778,"VERDE",IF(H2778&gt;=G2778*0.9,"AMARELO","VERMELHO")))))</f>
        <v/>
      </c>
    </row>
    <row r="2779">
      <c r="A2779" s="321" t="n">
        <v>46434</v>
      </c>
      <c r="B2779" t="inlineStr">
        <is>
          <t>GERAL</t>
        </is>
      </c>
      <c r="C2779" t="inlineStr">
        <is>
          <t>GLOBO AÇOS</t>
        </is>
      </c>
      <c r="D2779" t="inlineStr">
        <is>
          <t>FECHAMENTO</t>
        </is>
      </c>
      <c r="F2779">
        <f>IFERROR(INDEX('BASE METAS DIÁRIAS'!$AA$2:$AC$358,MATCH($A2779,'BASE METAS DIÁRIAS'!$A$2:$A$358,0),3),"")</f>
        <v/>
      </c>
      <c r="G2779">
        <f>IFERROR(IF(WEEKDAY($A2779,2)&lt;=INDEX('BASE METAS DIÁRIAS'!$X$2:$Z$358,MATCH($A2779,'BASE METAS DIÁRIAS'!$A$2:$A$358,0),3),INDEX('BASE METAS DIÁRIAS'!$U$2:$W$358,MATCH($A2779,'BASE METAS DIÁRIAS'!$A$2:$A$358,0),3),""),"")</f>
        <v/>
      </c>
      <c r="H2779">
        <f>IFERROR(IF(INDEX('CONTROLE PRODUÇÃO POR EMPRESAS'!$H$6:$J$5000,MATCH($A2779,'CONTROLE PRODUÇÃO POR EMPRESAS'!$A$6:$A$5000,0),3)="","",IFERROR(1*INDEX('CONTROLE PRODUÇÃO POR EMPRESAS'!$H$6:$J$5000,MATCH($A2779,'CONTROLE PRODUÇÃO POR EMPRESAS'!$A$6:$A$5000,0),3),"")),"")</f>
        <v/>
      </c>
      <c r="I2779">
        <f>IF(OR(NOT(ISNUMBER(G2779)),NOT(ISNUMBER(H2779))),"",H2779-G2779)</f>
        <v/>
      </c>
      <c r="J2779">
        <f>IF(OR(NOT(ISNUMBER(G2779)),NOT(ISNUMBER(H2779)),G2779=0),"",I2779/G2779)</f>
        <v/>
      </c>
      <c r="K2779">
        <f>IF(OR(NOT(ISNUMBER(G2779)),NOT(ISNUMBER(H2779)),G2779=0),"",H2779/G2779)</f>
        <v/>
      </c>
      <c r="L2779">
        <f>IF(NOT(ISNUMBER(G2779)),"SEM META",IF(G2779=0,"SEM META",IF(NOT(ISNUMBER(H2779)),"SEM APONTAMENTO",IF(H2779&gt;=G2779,"VERDE",IF(H2779&gt;=G2779*0.9,"AMARELO","VERMELHO")))))</f>
        <v/>
      </c>
    </row>
    <row r="2780">
      <c r="A2780" s="321" t="n">
        <v>46435</v>
      </c>
      <c r="B2780" t="inlineStr">
        <is>
          <t>GERAL</t>
        </is>
      </c>
      <c r="C2780" t="inlineStr">
        <is>
          <t>GLOBO AÇOS</t>
        </is>
      </c>
      <c r="D2780" t="inlineStr">
        <is>
          <t>PERFILAÇÃO</t>
        </is>
      </c>
      <c r="F2780">
        <f>IFERROR(INDEX('BASE METAS DIÁRIAS'!$AA$2:$AC$358,MATCH($A2780,'BASE METAS DIÁRIAS'!$A$2:$A$358,0),1),"")</f>
        <v/>
      </c>
      <c r="G2780">
        <f>IFERROR(IF(WEEKDAY($A2780,2)&lt;=INDEX('BASE METAS DIÁRIAS'!$X$2:$Z$358,MATCH($A2780,'BASE METAS DIÁRIAS'!$A$2:$A$358,0),1),INDEX('BASE METAS DIÁRIAS'!$U$2:$W$358,MATCH($A2780,'BASE METAS DIÁRIAS'!$A$2:$A$358,0),1),""),"")</f>
        <v/>
      </c>
      <c r="H2780">
        <f>IFERROR(IF(INDEX('CONTROLE PRODUÇÃO POR EMPRESAS'!$H$6:$J$5000,MATCH($A2780,'CONTROLE PRODUÇÃO POR EMPRESAS'!$A$6:$A$5000,0),1)="","",IFERROR(1*INDEX('CONTROLE PRODUÇÃO POR EMPRESAS'!$H$6:$J$5000,MATCH($A2780,'CONTROLE PRODUÇÃO POR EMPRESAS'!$A$6:$A$5000,0),1),"")),"")</f>
        <v/>
      </c>
      <c r="I2780">
        <f>IF(OR(NOT(ISNUMBER(G2780)),NOT(ISNUMBER(H2780))),"",H2780-G2780)</f>
        <v/>
      </c>
      <c r="J2780">
        <f>IF(OR(NOT(ISNUMBER(G2780)),NOT(ISNUMBER(H2780)),G2780=0),"",I2780/G2780)</f>
        <v/>
      </c>
      <c r="K2780">
        <f>IF(OR(NOT(ISNUMBER(G2780)),NOT(ISNUMBER(H2780)),G2780=0),"",H2780/G2780)</f>
        <v/>
      </c>
      <c r="L2780">
        <f>IF(NOT(ISNUMBER(G2780)),"SEM META",IF(G2780=0,"SEM META",IF(NOT(ISNUMBER(H2780)),"SEM APONTAMENTO",IF(H2780&gt;=G2780,"VERDE",IF(H2780&gt;=G2780*0.9,"AMARELO","VERMELHO")))))</f>
        <v/>
      </c>
    </row>
    <row r="2781">
      <c r="A2781" s="321" t="n">
        <v>46435</v>
      </c>
      <c r="B2781" t="inlineStr">
        <is>
          <t>GERAL</t>
        </is>
      </c>
      <c r="C2781" t="inlineStr">
        <is>
          <t>GLOBO AÇOS</t>
        </is>
      </c>
      <c r="D2781" t="inlineStr">
        <is>
          <t>TELHAR</t>
        </is>
      </c>
      <c r="F2781">
        <f>IFERROR(INDEX('BASE METAS DIÁRIAS'!$AA$2:$AC$358,MATCH($A2781,'BASE METAS DIÁRIAS'!$A$2:$A$358,0),2),"")</f>
        <v/>
      </c>
      <c r="G2781">
        <f>IFERROR(IF(WEEKDAY($A2781,2)&lt;=INDEX('BASE METAS DIÁRIAS'!$X$2:$Z$358,MATCH($A2781,'BASE METAS DIÁRIAS'!$A$2:$A$358,0),2),INDEX('BASE METAS DIÁRIAS'!$U$2:$W$358,MATCH($A2781,'BASE METAS DIÁRIAS'!$A$2:$A$358,0),2),""),"")</f>
        <v/>
      </c>
      <c r="H2781">
        <f>IFERROR(IF(INDEX('CONTROLE PRODUÇÃO POR EMPRESAS'!$H$6:$J$5000,MATCH($A2781,'CONTROLE PRODUÇÃO POR EMPRESAS'!$A$6:$A$5000,0),2)="","",IFERROR(1*INDEX('CONTROLE PRODUÇÃO POR EMPRESAS'!$H$6:$J$5000,MATCH($A2781,'CONTROLE PRODUÇÃO POR EMPRESAS'!$A$6:$A$5000,0),2),"")),"")</f>
        <v/>
      </c>
      <c r="I2781">
        <f>IF(OR(NOT(ISNUMBER(G2781)),NOT(ISNUMBER(H2781))),"",H2781-G2781)</f>
        <v/>
      </c>
      <c r="J2781">
        <f>IF(OR(NOT(ISNUMBER(G2781)),NOT(ISNUMBER(H2781)),G2781=0),"",I2781/G2781)</f>
        <v/>
      </c>
      <c r="K2781">
        <f>IF(OR(NOT(ISNUMBER(G2781)),NOT(ISNUMBER(H2781)),G2781=0),"",H2781/G2781)</f>
        <v/>
      </c>
      <c r="L2781">
        <f>IF(NOT(ISNUMBER(G2781)),"SEM META",IF(G2781=0,"SEM META",IF(NOT(ISNUMBER(H2781)),"SEM APONTAMENTO",IF(H2781&gt;=G2781,"VERDE",IF(H2781&gt;=G2781*0.9,"AMARELO","VERMELHO")))))</f>
        <v/>
      </c>
    </row>
    <row r="2782">
      <c r="A2782" s="321" t="n">
        <v>46435</v>
      </c>
      <c r="B2782" t="inlineStr">
        <is>
          <t>GERAL</t>
        </is>
      </c>
      <c r="C2782" t="inlineStr">
        <is>
          <t>GLOBO AÇOS</t>
        </is>
      </c>
      <c r="D2782" t="inlineStr">
        <is>
          <t>FECHAMENTO</t>
        </is>
      </c>
      <c r="F2782">
        <f>IFERROR(INDEX('BASE METAS DIÁRIAS'!$AA$2:$AC$358,MATCH($A2782,'BASE METAS DIÁRIAS'!$A$2:$A$358,0),3),"")</f>
        <v/>
      </c>
      <c r="G2782">
        <f>IFERROR(IF(WEEKDAY($A2782,2)&lt;=INDEX('BASE METAS DIÁRIAS'!$X$2:$Z$358,MATCH($A2782,'BASE METAS DIÁRIAS'!$A$2:$A$358,0),3),INDEX('BASE METAS DIÁRIAS'!$U$2:$W$358,MATCH($A2782,'BASE METAS DIÁRIAS'!$A$2:$A$358,0),3),""),"")</f>
        <v/>
      </c>
      <c r="H2782">
        <f>IFERROR(IF(INDEX('CONTROLE PRODUÇÃO POR EMPRESAS'!$H$6:$J$5000,MATCH($A2782,'CONTROLE PRODUÇÃO POR EMPRESAS'!$A$6:$A$5000,0),3)="","",IFERROR(1*INDEX('CONTROLE PRODUÇÃO POR EMPRESAS'!$H$6:$J$5000,MATCH($A2782,'CONTROLE PRODUÇÃO POR EMPRESAS'!$A$6:$A$5000,0),3),"")),"")</f>
        <v/>
      </c>
      <c r="I2782">
        <f>IF(OR(NOT(ISNUMBER(G2782)),NOT(ISNUMBER(H2782))),"",H2782-G2782)</f>
        <v/>
      </c>
      <c r="J2782">
        <f>IF(OR(NOT(ISNUMBER(G2782)),NOT(ISNUMBER(H2782)),G2782=0),"",I2782/G2782)</f>
        <v/>
      </c>
      <c r="K2782">
        <f>IF(OR(NOT(ISNUMBER(G2782)),NOT(ISNUMBER(H2782)),G2782=0),"",H2782/G2782)</f>
        <v/>
      </c>
      <c r="L2782">
        <f>IF(NOT(ISNUMBER(G2782)),"SEM META",IF(G2782=0,"SEM META",IF(NOT(ISNUMBER(H2782)),"SEM APONTAMENTO",IF(H2782&gt;=G2782,"VERDE",IF(H2782&gt;=G2782*0.9,"AMARELO","VERMELHO")))))</f>
        <v/>
      </c>
    </row>
    <row r="2783">
      <c r="A2783" s="321" t="n">
        <v>46436</v>
      </c>
      <c r="B2783" t="inlineStr">
        <is>
          <t>GERAL</t>
        </is>
      </c>
      <c r="C2783" t="inlineStr">
        <is>
          <t>GLOBO AÇOS</t>
        </is>
      </c>
      <c r="D2783" t="inlineStr">
        <is>
          <t>PERFILAÇÃO</t>
        </is>
      </c>
      <c r="F2783">
        <f>IFERROR(INDEX('BASE METAS DIÁRIAS'!$AA$2:$AC$358,MATCH($A2783,'BASE METAS DIÁRIAS'!$A$2:$A$358,0),1),"")</f>
        <v/>
      </c>
      <c r="G2783">
        <f>IFERROR(IF(WEEKDAY($A2783,2)&lt;=INDEX('BASE METAS DIÁRIAS'!$X$2:$Z$358,MATCH($A2783,'BASE METAS DIÁRIAS'!$A$2:$A$358,0),1),INDEX('BASE METAS DIÁRIAS'!$U$2:$W$358,MATCH($A2783,'BASE METAS DIÁRIAS'!$A$2:$A$358,0),1),""),"")</f>
        <v/>
      </c>
      <c r="H2783">
        <f>IFERROR(IF(INDEX('CONTROLE PRODUÇÃO POR EMPRESAS'!$H$6:$J$5000,MATCH($A2783,'CONTROLE PRODUÇÃO POR EMPRESAS'!$A$6:$A$5000,0),1)="","",IFERROR(1*INDEX('CONTROLE PRODUÇÃO POR EMPRESAS'!$H$6:$J$5000,MATCH($A2783,'CONTROLE PRODUÇÃO POR EMPRESAS'!$A$6:$A$5000,0),1),"")),"")</f>
        <v/>
      </c>
      <c r="I2783">
        <f>IF(OR(NOT(ISNUMBER(G2783)),NOT(ISNUMBER(H2783))),"",H2783-G2783)</f>
        <v/>
      </c>
      <c r="J2783">
        <f>IF(OR(NOT(ISNUMBER(G2783)),NOT(ISNUMBER(H2783)),G2783=0),"",I2783/G2783)</f>
        <v/>
      </c>
      <c r="K2783">
        <f>IF(OR(NOT(ISNUMBER(G2783)),NOT(ISNUMBER(H2783)),G2783=0),"",H2783/G2783)</f>
        <v/>
      </c>
      <c r="L2783">
        <f>IF(NOT(ISNUMBER(G2783)),"SEM META",IF(G2783=0,"SEM META",IF(NOT(ISNUMBER(H2783)),"SEM APONTAMENTO",IF(H2783&gt;=G2783,"VERDE",IF(H2783&gt;=G2783*0.9,"AMARELO","VERMELHO")))))</f>
        <v/>
      </c>
    </row>
    <row r="2784">
      <c r="A2784" s="321" t="n">
        <v>46436</v>
      </c>
      <c r="B2784" t="inlineStr">
        <is>
          <t>GERAL</t>
        </is>
      </c>
      <c r="C2784" t="inlineStr">
        <is>
          <t>GLOBO AÇOS</t>
        </is>
      </c>
      <c r="D2784" t="inlineStr">
        <is>
          <t>TELHAR</t>
        </is>
      </c>
      <c r="F2784">
        <f>IFERROR(INDEX('BASE METAS DIÁRIAS'!$AA$2:$AC$358,MATCH($A2784,'BASE METAS DIÁRIAS'!$A$2:$A$358,0),2),"")</f>
        <v/>
      </c>
      <c r="G2784">
        <f>IFERROR(IF(WEEKDAY($A2784,2)&lt;=INDEX('BASE METAS DIÁRIAS'!$X$2:$Z$358,MATCH($A2784,'BASE METAS DIÁRIAS'!$A$2:$A$358,0),2),INDEX('BASE METAS DIÁRIAS'!$U$2:$W$358,MATCH($A2784,'BASE METAS DIÁRIAS'!$A$2:$A$358,0),2),""),"")</f>
        <v/>
      </c>
      <c r="H2784">
        <f>IFERROR(IF(INDEX('CONTROLE PRODUÇÃO POR EMPRESAS'!$H$6:$J$5000,MATCH($A2784,'CONTROLE PRODUÇÃO POR EMPRESAS'!$A$6:$A$5000,0),2)="","",IFERROR(1*INDEX('CONTROLE PRODUÇÃO POR EMPRESAS'!$H$6:$J$5000,MATCH($A2784,'CONTROLE PRODUÇÃO POR EMPRESAS'!$A$6:$A$5000,0),2),"")),"")</f>
        <v/>
      </c>
      <c r="I2784">
        <f>IF(OR(NOT(ISNUMBER(G2784)),NOT(ISNUMBER(H2784))),"",H2784-G2784)</f>
        <v/>
      </c>
      <c r="J2784">
        <f>IF(OR(NOT(ISNUMBER(G2784)),NOT(ISNUMBER(H2784)),G2784=0),"",I2784/G2784)</f>
        <v/>
      </c>
      <c r="K2784">
        <f>IF(OR(NOT(ISNUMBER(G2784)),NOT(ISNUMBER(H2784)),G2784=0),"",H2784/G2784)</f>
        <v/>
      </c>
      <c r="L2784">
        <f>IF(NOT(ISNUMBER(G2784)),"SEM META",IF(G2784=0,"SEM META",IF(NOT(ISNUMBER(H2784)),"SEM APONTAMENTO",IF(H2784&gt;=G2784,"VERDE",IF(H2784&gt;=G2784*0.9,"AMARELO","VERMELHO")))))</f>
        <v/>
      </c>
    </row>
    <row r="2785">
      <c r="A2785" s="321" t="n">
        <v>46436</v>
      </c>
      <c r="B2785" t="inlineStr">
        <is>
          <t>GERAL</t>
        </is>
      </c>
      <c r="C2785" t="inlineStr">
        <is>
          <t>GLOBO AÇOS</t>
        </is>
      </c>
      <c r="D2785" t="inlineStr">
        <is>
          <t>FECHAMENTO</t>
        </is>
      </c>
      <c r="F2785">
        <f>IFERROR(INDEX('BASE METAS DIÁRIAS'!$AA$2:$AC$358,MATCH($A2785,'BASE METAS DIÁRIAS'!$A$2:$A$358,0),3),"")</f>
        <v/>
      </c>
      <c r="G2785">
        <f>IFERROR(IF(WEEKDAY($A2785,2)&lt;=INDEX('BASE METAS DIÁRIAS'!$X$2:$Z$358,MATCH($A2785,'BASE METAS DIÁRIAS'!$A$2:$A$358,0),3),INDEX('BASE METAS DIÁRIAS'!$U$2:$W$358,MATCH($A2785,'BASE METAS DIÁRIAS'!$A$2:$A$358,0),3),""),"")</f>
        <v/>
      </c>
      <c r="H2785">
        <f>IFERROR(IF(INDEX('CONTROLE PRODUÇÃO POR EMPRESAS'!$H$6:$J$5000,MATCH($A2785,'CONTROLE PRODUÇÃO POR EMPRESAS'!$A$6:$A$5000,0),3)="","",IFERROR(1*INDEX('CONTROLE PRODUÇÃO POR EMPRESAS'!$H$6:$J$5000,MATCH($A2785,'CONTROLE PRODUÇÃO POR EMPRESAS'!$A$6:$A$5000,0),3),"")),"")</f>
        <v/>
      </c>
      <c r="I2785">
        <f>IF(OR(NOT(ISNUMBER(G2785)),NOT(ISNUMBER(H2785))),"",H2785-G2785)</f>
        <v/>
      </c>
      <c r="J2785">
        <f>IF(OR(NOT(ISNUMBER(G2785)),NOT(ISNUMBER(H2785)),G2785=0),"",I2785/G2785)</f>
        <v/>
      </c>
      <c r="K2785">
        <f>IF(OR(NOT(ISNUMBER(G2785)),NOT(ISNUMBER(H2785)),G2785=0),"",H2785/G2785)</f>
        <v/>
      </c>
      <c r="L2785">
        <f>IF(NOT(ISNUMBER(G2785)),"SEM META",IF(G2785=0,"SEM META",IF(NOT(ISNUMBER(H2785)),"SEM APONTAMENTO",IF(H2785&gt;=G2785,"VERDE",IF(H2785&gt;=G2785*0.9,"AMARELO","VERMELHO")))))</f>
        <v/>
      </c>
    </row>
    <row r="2786">
      <c r="A2786" s="321" t="n">
        <v>46437</v>
      </c>
      <c r="B2786" t="inlineStr">
        <is>
          <t>GERAL</t>
        </is>
      </c>
      <c r="C2786" t="inlineStr">
        <is>
          <t>GLOBO AÇOS</t>
        </is>
      </c>
      <c r="D2786" t="inlineStr">
        <is>
          <t>PERFILAÇÃO</t>
        </is>
      </c>
      <c r="F2786">
        <f>IFERROR(INDEX('BASE METAS DIÁRIAS'!$AA$2:$AC$358,MATCH($A2786,'BASE METAS DIÁRIAS'!$A$2:$A$358,0),1),"")</f>
        <v/>
      </c>
      <c r="G2786">
        <f>IFERROR(IF(WEEKDAY($A2786,2)&lt;=INDEX('BASE METAS DIÁRIAS'!$X$2:$Z$358,MATCH($A2786,'BASE METAS DIÁRIAS'!$A$2:$A$358,0),1),INDEX('BASE METAS DIÁRIAS'!$U$2:$W$358,MATCH($A2786,'BASE METAS DIÁRIAS'!$A$2:$A$358,0),1),""),"")</f>
        <v/>
      </c>
      <c r="H2786">
        <f>IFERROR(IF(INDEX('CONTROLE PRODUÇÃO POR EMPRESAS'!$H$6:$J$5000,MATCH($A2786,'CONTROLE PRODUÇÃO POR EMPRESAS'!$A$6:$A$5000,0),1)="","",IFERROR(1*INDEX('CONTROLE PRODUÇÃO POR EMPRESAS'!$H$6:$J$5000,MATCH($A2786,'CONTROLE PRODUÇÃO POR EMPRESAS'!$A$6:$A$5000,0),1),"")),"")</f>
        <v/>
      </c>
      <c r="I2786">
        <f>IF(OR(NOT(ISNUMBER(G2786)),NOT(ISNUMBER(H2786))),"",H2786-G2786)</f>
        <v/>
      </c>
      <c r="J2786">
        <f>IF(OR(NOT(ISNUMBER(G2786)),NOT(ISNUMBER(H2786)),G2786=0),"",I2786/G2786)</f>
        <v/>
      </c>
      <c r="K2786">
        <f>IF(OR(NOT(ISNUMBER(G2786)),NOT(ISNUMBER(H2786)),G2786=0),"",H2786/G2786)</f>
        <v/>
      </c>
      <c r="L2786">
        <f>IF(NOT(ISNUMBER(G2786)),"SEM META",IF(G2786=0,"SEM META",IF(NOT(ISNUMBER(H2786)),"SEM APONTAMENTO",IF(H2786&gt;=G2786,"VERDE",IF(H2786&gt;=G2786*0.9,"AMARELO","VERMELHO")))))</f>
        <v/>
      </c>
    </row>
    <row r="2787">
      <c r="A2787" s="321" t="n">
        <v>46437</v>
      </c>
      <c r="B2787" t="inlineStr">
        <is>
          <t>GERAL</t>
        </is>
      </c>
      <c r="C2787" t="inlineStr">
        <is>
          <t>GLOBO AÇOS</t>
        </is>
      </c>
      <c r="D2787" t="inlineStr">
        <is>
          <t>TELHAR</t>
        </is>
      </c>
      <c r="F2787">
        <f>IFERROR(INDEX('BASE METAS DIÁRIAS'!$AA$2:$AC$358,MATCH($A2787,'BASE METAS DIÁRIAS'!$A$2:$A$358,0),2),"")</f>
        <v/>
      </c>
      <c r="G2787">
        <f>IFERROR(IF(WEEKDAY($A2787,2)&lt;=INDEX('BASE METAS DIÁRIAS'!$X$2:$Z$358,MATCH($A2787,'BASE METAS DIÁRIAS'!$A$2:$A$358,0),2),INDEX('BASE METAS DIÁRIAS'!$U$2:$W$358,MATCH($A2787,'BASE METAS DIÁRIAS'!$A$2:$A$358,0),2),""),"")</f>
        <v/>
      </c>
      <c r="H2787">
        <f>IFERROR(IF(INDEX('CONTROLE PRODUÇÃO POR EMPRESAS'!$H$6:$J$5000,MATCH($A2787,'CONTROLE PRODUÇÃO POR EMPRESAS'!$A$6:$A$5000,0),2)="","",IFERROR(1*INDEX('CONTROLE PRODUÇÃO POR EMPRESAS'!$H$6:$J$5000,MATCH($A2787,'CONTROLE PRODUÇÃO POR EMPRESAS'!$A$6:$A$5000,0),2),"")),"")</f>
        <v/>
      </c>
      <c r="I2787">
        <f>IF(OR(NOT(ISNUMBER(G2787)),NOT(ISNUMBER(H2787))),"",H2787-G2787)</f>
        <v/>
      </c>
      <c r="J2787">
        <f>IF(OR(NOT(ISNUMBER(G2787)),NOT(ISNUMBER(H2787)),G2787=0),"",I2787/G2787)</f>
        <v/>
      </c>
      <c r="K2787">
        <f>IF(OR(NOT(ISNUMBER(G2787)),NOT(ISNUMBER(H2787)),G2787=0),"",H2787/G2787)</f>
        <v/>
      </c>
      <c r="L2787">
        <f>IF(NOT(ISNUMBER(G2787)),"SEM META",IF(G2787=0,"SEM META",IF(NOT(ISNUMBER(H2787)),"SEM APONTAMENTO",IF(H2787&gt;=G2787,"VERDE",IF(H2787&gt;=G2787*0.9,"AMARELO","VERMELHO")))))</f>
        <v/>
      </c>
    </row>
    <row r="2788">
      <c r="A2788" s="321" t="n">
        <v>46437</v>
      </c>
      <c r="B2788" t="inlineStr">
        <is>
          <t>GERAL</t>
        </is>
      </c>
      <c r="C2788" t="inlineStr">
        <is>
          <t>GLOBO AÇOS</t>
        </is>
      </c>
      <c r="D2788" t="inlineStr">
        <is>
          <t>FECHAMENTO</t>
        </is>
      </c>
      <c r="F2788">
        <f>IFERROR(INDEX('BASE METAS DIÁRIAS'!$AA$2:$AC$358,MATCH($A2788,'BASE METAS DIÁRIAS'!$A$2:$A$358,0),3),"")</f>
        <v/>
      </c>
      <c r="G2788">
        <f>IFERROR(IF(WEEKDAY($A2788,2)&lt;=INDEX('BASE METAS DIÁRIAS'!$X$2:$Z$358,MATCH($A2788,'BASE METAS DIÁRIAS'!$A$2:$A$358,0),3),INDEX('BASE METAS DIÁRIAS'!$U$2:$W$358,MATCH($A2788,'BASE METAS DIÁRIAS'!$A$2:$A$358,0),3),""),"")</f>
        <v/>
      </c>
      <c r="H2788">
        <f>IFERROR(IF(INDEX('CONTROLE PRODUÇÃO POR EMPRESAS'!$H$6:$J$5000,MATCH($A2788,'CONTROLE PRODUÇÃO POR EMPRESAS'!$A$6:$A$5000,0),3)="","",IFERROR(1*INDEX('CONTROLE PRODUÇÃO POR EMPRESAS'!$H$6:$J$5000,MATCH($A2788,'CONTROLE PRODUÇÃO POR EMPRESAS'!$A$6:$A$5000,0),3),"")),"")</f>
        <v/>
      </c>
      <c r="I2788">
        <f>IF(OR(NOT(ISNUMBER(G2788)),NOT(ISNUMBER(H2788))),"",H2788-G2788)</f>
        <v/>
      </c>
      <c r="J2788">
        <f>IF(OR(NOT(ISNUMBER(G2788)),NOT(ISNUMBER(H2788)),G2788=0),"",I2788/G2788)</f>
        <v/>
      </c>
      <c r="K2788">
        <f>IF(OR(NOT(ISNUMBER(G2788)),NOT(ISNUMBER(H2788)),G2788=0),"",H2788/G2788)</f>
        <v/>
      </c>
      <c r="L2788">
        <f>IF(NOT(ISNUMBER(G2788)),"SEM META",IF(G2788=0,"SEM META",IF(NOT(ISNUMBER(H2788)),"SEM APONTAMENTO",IF(H2788&gt;=G2788,"VERDE",IF(H2788&gt;=G2788*0.9,"AMARELO","VERMELHO")))))</f>
        <v/>
      </c>
    </row>
    <row r="2789">
      <c r="A2789" s="321" t="n">
        <v>46438</v>
      </c>
      <c r="B2789" t="inlineStr">
        <is>
          <t>GERAL</t>
        </is>
      </c>
      <c r="C2789" t="inlineStr">
        <is>
          <t>GLOBO AÇOS</t>
        </is>
      </c>
      <c r="D2789" t="inlineStr">
        <is>
          <t>PERFILAÇÃO</t>
        </is>
      </c>
      <c r="F2789">
        <f>IFERROR(INDEX('BASE METAS DIÁRIAS'!$AA$2:$AC$358,MATCH($A2789,'BASE METAS DIÁRIAS'!$A$2:$A$358,0),1),"")</f>
        <v/>
      </c>
      <c r="G2789">
        <f>IFERROR(IF(WEEKDAY($A2789,2)&lt;=INDEX('BASE METAS DIÁRIAS'!$X$2:$Z$358,MATCH($A2789,'BASE METAS DIÁRIAS'!$A$2:$A$358,0),1),INDEX('BASE METAS DIÁRIAS'!$U$2:$W$358,MATCH($A2789,'BASE METAS DIÁRIAS'!$A$2:$A$358,0),1),""),"")</f>
        <v/>
      </c>
      <c r="H2789">
        <f>IFERROR(IF(INDEX('CONTROLE PRODUÇÃO POR EMPRESAS'!$H$6:$J$5000,MATCH($A2789,'CONTROLE PRODUÇÃO POR EMPRESAS'!$A$6:$A$5000,0),1)="","",IFERROR(1*INDEX('CONTROLE PRODUÇÃO POR EMPRESAS'!$H$6:$J$5000,MATCH($A2789,'CONTROLE PRODUÇÃO POR EMPRESAS'!$A$6:$A$5000,0),1),"")),"")</f>
        <v/>
      </c>
      <c r="I2789">
        <f>IF(OR(NOT(ISNUMBER(G2789)),NOT(ISNUMBER(H2789))),"",H2789-G2789)</f>
        <v/>
      </c>
      <c r="J2789">
        <f>IF(OR(NOT(ISNUMBER(G2789)),NOT(ISNUMBER(H2789)),G2789=0),"",I2789/G2789)</f>
        <v/>
      </c>
      <c r="K2789">
        <f>IF(OR(NOT(ISNUMBER(G2789)),NOT(ISNUMBER(H2789)),G2789=0),"",H2789/G2789)</f>
        <v/>
      </c>
      <c r="L2789">
        <f>IF(NOT(ISNUMBER(G2789)),"SEM META",IF(G2789=0,"SEM META",IF(NOT(ISNUMBER(H2789)),"SEM APONTAMENTO",IF(H2789&gt;=G2789,"VERDE",IF(H2789&gt;=G2789*0.9,"AMARELO","VERMELHO")))))</f>
        <v/>
      </c>
    </row>
    <row r="2790">
      <c r="A2790" s="321" t="n">
        <v>46438</v>
      </c>
      <c r="B2790" t="inlineStr">
        <is>
          <t>GERAL</t>
        </is>
      </c>
      <c r="C2790" t="inlineStr">
        <is>
          <t>GLOBO AÇOS</t>
        </is>
      </c>
      <c r="D2790" t="inlineStr">
        <is>
          <t>TELHAR</t>
        </is>
      </c>
      <c r="F2790">
        <f>IFERROR(INDEX('BASE METAS DIÁRIAS'!$AA$2:$AC$358,MATCH($A2790,'BASE METAS DIÁRIAS'!$A$2:$A$358,0),2),"")</f>
        <v/>
      </c>
      <c r="G2790">
        <f>IFERROR(IF(WEEKDAY($A2790,2)&lt;=INDEX('BASE METAS DIÁRIAS'!$X$2:$Z$358,MATCH($A2790,'BASE METAS DIÁRIAS'!$A$2:$A$358,0),2),INDEX('BASE METAS DIÁRIAS'!$U$2:$W$358,MATCH($A2790,'BASE METAS DIÁRIAS'!$A$2:$A$358,0),2),""),"")</f>
        <v/>
      </c>
      <c r="H2790">
        <f>IFERROR(IF(INDEX('CONTROLE PRODUÇÃO POR EMPRESAS'!$H$6:$J$5000,MATCH($A2790,'CONTROLE PRODUÇÃO POR EMPRESAS'!$A$6:$A$5000,0),2)="","",IFERROR(1*INDEX('CONTROLE PRODUÇÃO POR EMPRESAS'!$H$6:$J$5000,MATCH($A2790,'CONTROLE PRODUÇÃO POR EMPRESAS'!$A$6:$A$5000,0),2),"")),"")</f>
        <v/>
      </c>
      <c r="I2790">
        <f>IF(OR(NOT(ISNUMBER(G2790)),NOT(ISNUMBER(H2790))),"",H2790-G2790)</f>
        <v/>
      </c>
      <c r="J2790">
        <f>IF(OR(NOT(ISNUMBER(G2790)),NOT(ISNUMBER(H2790)),G2790=0),"",I2790/G2790)</f>
        <v/>
      </c>
      <c r="K2790">
        <f>IF(OR(NOT(ISNUMBER(G2790)),NOT(ISNUMBER(H2790)),G2790=0),"",H2790/G2790)</f>
        <v/>
      </c>
      <c r="L2790">
        <f>IF(NOT(ISNUMBER(G2790)),"SEM META",IF(G2790=0,"SEM META",IF(NOT(ISNUMBER(H2790)),"SEM APONTAMENTO",IF(H2790&gt;=G2790,"VERDE",IF(H2790&gt;=G2790*0.9,"AMARELO","VERMELHO")))))</f>
        <v/>
      </c>
    </row>
    <row r="2791">
      <c r="A2791" s="321" t="n">
        <v>46438</v>
      </c>
      <c r="B2791" t="inlineStr">
        <is>
          <t>GERAL</t>
        </is>
      </c>
      <c r="C2791" t="inlineStr">
        <is>
          <t>GLOBO AÇOS</t>
        </is>
      </c>
      <c r="D2791" t="inlineStr">
        <is>
          <t>FECHAMENTO</t>
        </is>
      </c>
      <c r="F2791">
        <f>IFERROR(INDEX('BASE METAS DIÁRIAS'!$AA$2:$AC$358,MATCH($A2791,'BASE METAS DIÁRIAS'!$A$2:$A$358,0),3),"")</f>
        <v/>
      </c>
      <c r="G2791">
        <f>IFERROR(IF(WEEKDAY($A2791,2)&lt;=INDEX('BASE METAS DIÁRIAS'!$X$2:$Z$358,MATCH($A2791,'BASE METAS DIÁRIAS'!$A$2:$A$358,0),3),INDEX('BASE METAS DIÁRIAS'!$U$2:$W$358,MATCH($A2791,'BASE METAS DIÁRIAS'!$A$2:$A$358,0),3),""),"")</f>
        <v/>
      </c>
      <c r="H2791">
        <f>IFERROR(IF(INDEX('CONTROLE PRODUÇÃO POR EMPRESAS'!$H$6:$J$5000,MATCH($A2791,'CONTROLE PRODUÇÃO POR EMPRESAS'!$A$6:$A$5000,0),3)="","",IFERROR(1*INDEX('CONTROLE PRODUÇÃO POR EMPRESAS'!$H$6:$J$5000,MATCH($A2791,'CONTROLE PRODUÇÃO POR EMPRESAS'!$A$6:$A$5000,0),3),"")),"")</f>
        <v/>
      </c>
      <c r="I2791">
        <f>IF(OR(NOT(ISNUMBER(G2791)),NOT(ISNUMBER(H2791))),"",H2791-G2791)</f>
        <v/>
      </c>
      <c r="J2791">
        <f>IF(OR(NOT(ISNUMBER(G2791)),NOT(ISNUMBER(H2791)),G2791=0),"",I2791/G2791)</f>
        <v/>
      </c>
      <c r="K2791">
        <f>IF(OR(NOT(ISNUMBER(G2791)),NOT(ISNUMBER(H2791)),G2791=0),"",H2791/G2791)</f>
        <v/>
      </c>
      <c r="L2791">
        <f>IF(NOT(ISNUMBER(G2791)),"SEM META",IF(G2791=0,"SEM META",IF(NOT(ISNUMBER(H2791)),"SEM APONTAMENTO",IF(H2791&gt;=G2791,"VERDE",IF(H2791&gt;=G2791*0.9,"AMARELO","VERMELHO")))))</f>
        <v/>
      </c>
    </row>
    <row r="2792">
      <c r="A2792" s="321" t="n">
        <v>46439</v>
      </c>
      <c r="B2792" t="inlineStr">
        <is>
          <t>GERAL</t>
        </is>
      </c>
      <c r="C2792" t="inlineStr">
        <is>
          <t>GLOBO AÇOS</t>
        </is>
      </c>
      <c r="D2792" t="inlineStr">
        <is>
          <t>PERFILAÇÃO</t>
        </is>
      </c>
      <c r="F2792">
        <f>IFERROR(INDEX('BASE METAS DIÁRIAS'!$AA$2:$AC$358,MATCH($A2792,'BASE METAS DIÁRIAS'!$A$2:$A$358,0),1),"")</f>
        <v/>
      </c>
      <c r="G2792">
        <f>IFERROR(IF(WEEKDAY($A2792,2)&lt;=INDEX('BASE METAS DIÁRIAS'!$X$2:$Z$358,MATCH($A2792,'BASE METAS DIÁRIAS'!$A$2:$A$358,0),1),INDEX('BASE METAS DIÁRIAS'!$U$2:$W$358,MATCH($A2792,'BASE METAS DIÁRIAS'!$A$2:$A$358,0),1),""),"")</f>
        <v/>
      </c>
      <c r="H2792">
        <f>IFERROR(IF(INDEX('CONTROLE PRODUÇÃO POR EMPRESAS'!$H$6:$J$5000,MATCH($A2792,'CONTROLE PRODUÇÃO POR EMPRESAS'!$A$6:$A$5000,0),1)="","",IFERROR(1*INDEX('CONTROLE PRODUÇÃO POR EMPRESAS'!$H$6:$J$5000,MATCH($A2792,'CONTROLE PRODUÇÃO POR EMPRESAS'!$A$6:$A$5000,0),1),"")),"")</f>
        <v/>
      </c>
      <c r="I2792">
        <f>IF(OR(NOT(ISNUMBER(G2792)),NOT(ISNUMBER(H2792))),"",H2792-G2792)</f>
        <v/>
      </c>
      <c r="J2792">
        <f>IF(OR(NOT(ISNUMBER(G2792)),NOT(ISNUMBER(H2792)),G2792=0),"",I2792/G2792)</f>
        <v/>
      </c>
      <c r="K2792">
        <f>IF(OR(NOT(ISNUMBER(G2792)),NOT(ISNUMBER(H2792)),G2792=0),"",H2792/G2792)</f>
        <v/>
      </c>
      <c r="L2792">
        <f>IF(NOT(ISNUMBER(G2792)),"SEM META",IF(G2792=0,"SEM META",IF(NOT(ISNUMBER(H2792)),"SEM APONTAMENTO",IF(H2792&gt;=G2792,"VERDE",IF(H2792&gt;=G2792*0.9,"AMARELO","VERMELHO")))))</f>
        <v/>
      </c>
    </row>
    <row r="2793">
      <c r="A2793" s="321" t="n">
        <v>46439</v>
      </c>
      <c r="B2793" t="inlineStr">
        <is>
          <t>GERAL</t>
        </is>
      </c>
      <c r="C2793" t="inlineStr">
        <is>
          <t>GLOBO AÇOS</t>
        </is>
      </c>
      <c r="D2793" t="inlineStr">
        <is>
          <t>TELHAR</t>
        </is>
      </c>
      <c r="F2793">
        <f>IFERROR(INDEX('BASE METAS DIÁRIAS'!$AA$2:$AC$358,MATCH($A2793,'BASE METAS DIÁRIAS'!$A$2:$A$358,0),2),"")</f>
        <v/>
      </c>
      <c r="G2793">
        <f>IFERROR(IF(WEEKDAY($A2793,2)&lt;=INDEX('BASE METAS DIÁRIAS'!$X$2:$Z$358,MATCH($A2793,'BASE METAS DIÁRIAS'!$A$2:$A$358,0),2),INDEX('BASE METAS DIÁRIAS'!$U$2:$W$358,MATCH($A2793,'BASE METAS DIÁRIAS'!$A$2:$A$358,0),2),""),"")</f>
        <v/>
      </c>
      <c r="H2793">
        <f>IFERROR(IF(INDEX('CONTROLE PRODUÇÃO POR EMPRESAS'!$H$6:$J$5000,MATCH($A2793,'CONTROLE PRODUÇÃO POR EMPRESAS'!$A$6:$A$5000,0),2)="","",IFERROR(1*INDEX('CONTROLE PRODUÇÃO POR EMPRESAS'!$H$6:$J$5000,MATCH($A2793,'CONTROLE PRODUÇÃO POR EMPRESAS'!$A$6:$A$5000,0),2),"")),"")</f>
        <v/>
      </c>
      <c r="I2793">
        <f>IF(OR(NOT(ISNUMBER(G2793)),NOT(ISNUMBER(H2793))),"",H2793-G2793)</f>
        <v/>
      </c>
      <c r="J2793">
        <f>IF(OR(NOT(ISNUMBER(G2793)),NOT(ISNUMBER(H2793)),G2793=0),"",I2793/G2793)</f>
        <v/>
      </c>
      <c r="K2793">
        <f>IF(OR(NOT(ISNUMBER(G2793)),NOT(ISNUMBER(H2793)),G2793=0),"",H2793/G2793)</f>
        <v/>
      </c>
      <c r="L2793">
        <f>IF(NOT(ISNUMBER(G2793)),"SEM META",IF(G2793=0,"SEM META",IF(NOT(ISNUMBER(H2793)),"SEM APONTAMENTO",IF(H2793&gt;=G2793,"VERDE",IF(H2793&gt;=G2793*0.9,"AMARELO","VERMELHO")))))</f>
        <v/>
      </c>
    </row>
    <row r="2794">
      <c r="A2794" s="321" t="n">
        <v>46439</v>
      </c>
      <c r="B2794" t="inlineStr">
        <is>
          <t>GERAL</t>
        </is>
      </c>
      <c r="C2794" t="inlineStr">
        <is>
          <t>GLOBO AÇOS</t>
        </is>
      </c>
      <c r="D2794" t="inlineStr">
        <is>
          <t>FECHAMENTO</t>
        </is>
      </c>
      <c r="F2794">
        <f>IFERROR(INDEX('BASE METAS DIÁRIAS'!$AA$2:$AC$358,MATCH($A2794,'BASE METAS DIÁRIAS'!$A$2:$A$358,0),3),"")</f>
        <v/>
      </c>
      <c r="G2794">
        <f>IFERROR(IF(WEEKDAY($A2794,2)&lt;=INDEX('BASE METAS DIÁRIAS'!$X$2:$Z$358,MATCH($A2794,'BASE METAS DIÁRIAS'!$A$2:$A$358,0),3),INDEX('BASE METAS DIÁRIAS'!$U$2:$W$358,MATCH($A2794,'BASE METAS DIÁRIAS'!$A$2:$A$358,0),3),""),"")</f>
        <v/>
      </c>
      <c r="H2794">
        <f>IFERROR(IF(INDEX('CONTROLE PRODUÇÃO POR EMPRESAS'!$H$6:$J$5000,MATCH($A2794,'CONTROLE PRODUÇÃO POR EMPRESAS'!$A$6:$A$5000,0),3)="","",IFERROR(1*INDEX('CONTROLE PRODUÇÃO POR EMPRESAS'!$H$6:$J$5000,MATCH($A2794,'CONTROLE PRODUÇÃO POR EMPRESAS'!$A$6:$A$5000,0),3),"")),"")</f>
        <v/>
      </c>
      <c r="I2794">
        <f>IF(OR(NOT(ISNUMBER(G2794)),NOT(ISNUMBER(H2794))),"",H2794-G2794)</f>
        <v/>
      </c>
      <c r="J2794">
        <f>IF(OR(NOT(ISNUMBER(G2794)),NOT(ISNUMBER(H2794)),G2794=0),"",I2794/G2794)</f>
        <v/>
      </c>
      <c r="K2794">
        <f>IF(OR(NOT(ISNUMBER(G2794)),NOT(ISNUMBER(H2794)),G2794=0),"",H2794/G2794)</f>
        <v/>
      </c>
      <c r="L2794">
        <f>IF(NOT(ISNUMBER(G2794)),"SEM META",IF(G2794=0,"SEM META",IF(NOT(ISNUMBER(H2794)),"SEM APONTAMENTO",IF(H2794&gt;=G2794,"VERDE",IF(H2794&gt;=G2794*0.9,"AMARELO","VERMELHO")))))</f>
        <v/>
      </c>
    </row>
    <row r="2795">
      <c r="A2795" s="321" t="n">
        <v>46440</v>
      </c>
      <c r="B2795" t="inlineStr">
        <is>
          <t>GERAL</t>
        </is>
      </c>
      <c r="C2795" t="inlineStr">
        <is>
          <t>GLOBO AÇOS</t>
        </is>
      </c>
      <c r="D2795" t="inlineStr">
        <is>
          <t>PERFILAÇÃO</t>
        </is>
      </c>
      <c r="F2795">
        <f>IFERROR(INDEX('BASE METAS DIÁRIAS'!$AA$2:$AC$358,MATCH($A2795,'BASE METAS DIÁRIAS'!$A$2:$A$358,0),1),"")</f>
        <v/>
      </c>
      <c r="G2795">
        <f>IFERROR(IF(WEEKDAY($A2795,2)&lt;=INDEX('BASE METAS DIÁRIAS'!$X$2:$Z$358,MATCH($A2795,'BASE METAS DIÁRIAS'!$A$2:$A$358,0),1),INDEX('BASE METAS DIÁRIAS'!$U$2:$W$358,MATCH($A2795,'BASE METAS DIÁRIAS'!$A$2:$A$358,0),1),""),"")</f>
        <v/>
      </c>
      <c r="H2795">
        <f>IFERROR(IF(INDEX('CONTROLE PRODUÇÃO POR EMPRESAS'!$H$6:$J$5000,MATCH($A2795,'CONTROLE PRODUÇÃO POR EMPRESAS'!$A$6:$A$5000,0),1)="","",IFERROR(1*INDEX('CONTROLE PRODUÇÃO POR EMPRESAS'!$H$6:$J$5000,MATCH($A2795,'CONTROLE PRODUÇÃO POR EMPRESAS'!$A$6:$A$5000,0),1),"")),"")</f>
        <v/>
      </c>
      <c r="I2795">
        <f>IF(OR(NOT(ISNUMBER(G2795)),NOT(ISNUMBER(H2795))),"",H2795-G2795)</f>
        <v/>
      </c>
      <c r="J2795">
        <f>IF(OR(NOT(ISNUMBER(G2795)),NOT(ISNUMBER(H2795)),G2795=0),"",I2795/G2795)</f>
        <v/>
      </c>
      <c r="K2795">
        <f>IF(OR(NOT(ISNUMBER(G2795)),NOT(ISNUMBER(H2795)),G2795=0),"",H2795/G2795)</f>
        <v/>
      </c>
      <c r="L2795">
        <f>IF(NOT(ISNUMBER(G2795)),"SEM META",IF(G2795=0,"SEM META",IF(NOT(ISNUMBER(H2795)),"SEM APONTAMENTO",IF(H2795&gt;=G2795,"VERDE",IF(H2795&gt;=G2795*0.9,"AMARELO","VERMELHO")))))</f>
        <v/>
      </c>
    </row>
    <row r="2796">
      <c r="A2796" s="321" t="n">
        <v>46440</v>
      </c>
      <c r="B2796" t="inlineStr">
        <is>
          <t>GERAL</t>
        </is>
      </c>
      <c r="C2796" t="inlineStr">
        <is>
          <t>GLOBO AÇOS</t>
        </is>
      </c>
      <c r="D2796" t="inlineStr">
        <is>
          <t>TELHAR</t>
        </is>
      </c>
      <c r="F2796">
        <f>IFERROR(INDEX('BASE METAS DIÁRIAS'!$AA$2:$AC$358,MATCH($A2796,'BASE METAS DIÁRIAS'!$A$2:$A$358,0),2),"")</f>
        <v/>
      </c>
      <c r="G2796">
        <f>IFERROR(IF(WEEKDAY($A2796,2)&lt;=INDEX('BASE METAS DIÁRIAS'!$X$2:$Z$358,MATCH($A2796,'BASE METAS DIÁRIAS'!$A$2:$A$358,0),2),INDEX('BASE METAS DIÁRIAS'!$U$2:$W$358,MATCH($A2796,'BASE METAS DIÁRIAS'!$A$2:$A$358,0),2),""),"")</f>
        <v/>
      </c>
      <c r="H2796">
        <f>IFERROR(IF(INDEX('CONTROLE PRODUÇÃO POR EMPRESAS'!$H$6:$J$5000,MATCH($A2796,'CONTROLE PRODUÇÃO POR EMPRESAS'!$A$6:$A$5000,0),2)="","",IFERROR(1*INDEX('CONTROLE PRODUÇÃO POR EMPRESAS'!$H$6:$J$5000,MATCH($A2796,'CONTROLE PRODUÇÃO POR EMPRESAS'!$A$6:$A$5000,0),2),"")),"")</f>
        <v/>
      </c>
      <c r="I2796">
        <f>IF(OR(NOT(ISNUMBER(G2796)),NOT(ISNUMBER(H2796))),"",H2796-G2796)</f>
        <v/>
      </c>
      <c r="J2796">
        <f>IF(OR(NOT(ISNUMBER(G2796)),NOT(ISNUMBER(H2796)),G2796=0),"",I2796/G2796)</f>
        <v/>
      </c>
      <c r="K2796">
        <f>IF(OR(NOT(ISNUMBER(G2796)),NOT(ISNUMBER(H2796)),G2796=0),"",H2796/G2796)</f>
        <v/>
      </c>
      <c r="L2796">
        <f>IF(NOT(ISNUMBER(G2796)),"SEM META",IF(G2796=0,"SEM META",IF(NOT(ISNUMBER(H2796)),"SEM APONTAMENTO",IF(H2796&gt;=G2796,"VERDE",IF(H2796&gt;=G2796*0.9,"AMARELO","VERMELHO")))))</f>
        <v/>
      </c>
    </row>
    <row r="2797">
      <c r="A2797" s="321" t="n">
        <v>46440</v>
      </c>
      <c r="B2797" t="inlineStr">
        <is>
          <t>GERAL</t>
        </is>
      </c>
      <c r="C2797" t="inlineStr">
        <is>
          <t>GLOBO AÇOS</t>
        </is>
      </c>
      <c r="D2797" t="inlineStr">
        <is>
          <t>FECHAMENTO</t>
        </is>
      </c>
      <c r="F2797">
        <f>IFERROR(INDEX('BASE METAS DIÁRIAS'!$AA$2:$AC$358,MATCH($A2797,'BASE METAS DIÁRIAS'!$A$2:$A$358,0),3),"")</f>
        <v/>
      </c>
      <c r="G2797">
        <f>IFERROR(IF(WEEKDAY($A2797,2)&lt;=INDEX('BASE METAS DIÁRIAS'!$X$2:$Z$358,MATCH($A2797,'BASE METAS DIÁRIAS'!$A$2:$A$358,0),3),INDEX('BASE METAS DIÁRIAS'!$U$2:$W$358,MATCH($A2797,'BASE METAS DIÁRIAS'!$A$2:$A$358,0),3),""),"")</f>
        <v/>
      </c>
      <c r="H2797">
        <f>IFERROR(IF(INDEX('CONTROLE PRODUÇÃO POR EMPRESAS'!$H$6:$J$5000,MATCH($A2797,'CONTROLE PRODUÇÃO POR EMPRESAS'!$A$6:$A$5000,0),3)="","",IFERROR(1*INDEX('CONTROLE PRODUÇÃO POR EMPRESAS'!$H$6:$J$5000,MATCH($A2797,'CONTROLE PRODUÇÃO POR EMPRESAS'!$A$6:$A$5000,0),3),"")),"")</f>
        <v/>
      </c>
      <c r="I2797">
        <f>IF(OR(NOT(ISNUMBER(G2797)),NOT(ISNUMBER(H2797))),"",H2797-G2797)</f>
        <v/>
      </c>
      <c r="J2797">
        <f>IF(OR(NOT(ISNUMBER(G2797)),NOT(ISNUMBER(H2797)),G2797=0),"",I2797/G2797)</f>
        <v/>
      </c>
      <c r="K2797">
        <f>IF(OR(NOT(ISNUMBER(G2797)),NOT(ISNUMBER(H2797)),G2797=0),"",H2797/G2797)</f>
        <v/>
      </c>
      <c r="L2797">
        <f>IF(NOT(ISNUMBER(G2797)),"SEM META",IF(G2797=0,"SEM META",IF(NOT(ISNUMBER(H2797)),"SEM APONTAMENTO",IF(H2797&gt;=G2797,"VERDE",IF(H2797&gt;=G2797*0.9,"AMARELO","VERMELHO")))))</f>
        <v/>
      </c>
    </row>
    <row r="2798">
      <c r="A2798" s="321" t="n">
        <v>46441</v>
      </c>
      <c r="B2798" t="inlineStr">
        <is>
          <t>GERAL</t>
        </is>
      </c>
      <c r="C2798" t="inlineStr">
        <is>
          <t>GLOBO AÇOS</t>
        </is>
      </c>
      <c r="D2798" t="inlineStr">
        <is>
          <t>PERFILAÇÃO</t>
        </is>
      </c>
      <c r="F2798">
        <f>IFERROR(INDEX('BASE METAS DIÁRIAS'!$AA$2:$AC$358,MATCH($A2798,'BASE METAS DIÁRIAS'!$A$2:$A$358,0),1),"")</f>
        <v/>
      </c>
      <c r="G2798">
        <f>IFERROR(IF(WEEKDAY($A2798,2)&lt;=INDEX('BASE METAS DIÁRIAS'!$X$2:$Z$358,MATCH($A2798,'BASE METAS DIÁRIAS'!$A$2:$A$358,0),1),INDEX('BASE METAS DIÁRIAS'!$U$2:$W$358,MATCH($A2798,'BASE METAS DIÁRIAS'!$A$2:$A$358,0),1),""),"")</f>
        <v/>
      </c>
      <c r="H2798">
        <f>IFERROR(IF(INDEX('CONTROLE PRODUÇÃO POR EMPRESAS'!$H$6:$J$5000,MATCH($A2798,'CONTROLE PRODUÇÃO POR EMPRESAS'!$A$6:$A$5000,0),1)="","",IFERROR(1*INDEX('CONTROLE PRODUÇÃO POR EMPRESAS'!$H$6:$J$5000,MATCH($A2798,'CONTROLE PRODUÇÃO POR EMPRESAS'!$A$6:$A$5000,0),1),"")),"")</f>
        <v/>
      </c>
      <c r="I2798">
        <f>IF(OR(NOT(ISNUMBER(G2798)),NOT(ISNUMBER(H2798))),"",H2798-G2798)</f>
        <v/>
      </c>
      <c r="J2798">
        <f>IF(OR(NOT(ISNUMBER(G2798)),NOT(ISNUMBER(H2798)),G2798=0),"",I2798/G2798)</f>
        <v/>
      </c>
      <c r="K2798">
        <f>IF(OR(NOT(ISNUMBER(G2798)),NOT(ISNUMBER(H2798)),G2798=0),"",H2798/G2798)</f>
        <v/>
      </c>
      <c r="L2798">
        <f>IF(NOT(ISNUMBER(G2798)),"SEM META",IF(G2798=0,"SEM META",IF(NOT(ISNUMBER(H2798)),"SEM APONTAMENTO",IF(H2798&gt;=G2798,"VERDE",IF(H2798&gt;=G2798*0.9,"AMARELO","VERMELHO")))))</f>
        <v/>
      </c>
    </row>
    <row r="2799">
      <c r="A2799" s="321" t="n">
        <v>46441</v>
      </c>
      <c r="B2799" t="inlineStr">
        <is>
          <t>GERAL</t>
        </is>
      </c>
      <c r="C2799" t="inlineStr">
        <is>
          <t>GLOBO AÇOS</t>
        </is>
      </c>
      <c r="D2799" t="inlineStr">
        <is>
          <t>TELHAR</t>
        </is>
      </c>
      <c r="F2799">
        <f>IFERROR(INDEX('BASE METAS DIÁRIAS'!$AA$2:$AC$358,MATCH($A2799,'BASE METAS DIÁRIAS'!$A$2:$A$358,0),2),"")</f>
        <v/>
      </c>
      <c r="G2799">
        <f>IFERROR(IF(WEEKDAY($A2799,2)&lt;=INDEX('BASE METAS DIÁRIAS'!$X$2:$Z$358,MATCH($A2799,'BASE METAS DIÁRIAS'!$A$2:$A$358,0),2),INDEX('BASE METAS DIÁRIAS'!$U$2:$W$358,MATCH($A2799,'BASE METAS DIÁRIAS'!$A$2:$A$358,0),2),""),"")</f>
        <v/>
      </c>
      <c r="H2799">
        <f>IFERROR(IF(INDEX('CONTROLE PRODUÇÃO POR EMPRESAS'!$H$6:$J$5000,MATCH($A2799,'CONTROLE PRODUÇÃO POR EMPRESAS'!$A$6:$A$5000,0),2)="","",IFERROR(1*INDEX('CONTROLE PRODUÇÃO POR EMPRESAS'!$H$6:$J$5000,MATCH($A2799,'CONTROLE PRODUÇÃO POR EMPRESAS'!$A$6:$A$5000,0),2),"")),"")</f>
        <v/>
      </c>
      <c r="I2799">
        <f>IF(OR(NOT(ISNUMBER(G2799)),NOT(ISNUMBER(H2799))),"",H2799-G2799)</f>
        <v/>
      </c>
      <c r="J2799">
        <f>IF(OR(NOT(ISNUMBER(G2799)),NOT(ISNUMBER(H2799)),G2799=0),"",I2799/G2799)</f>
        <v/>
      </c>
      <c r="K2799">
        <f>IF(OR(NOT(ISNUMBER(G2799)),NOT(ISNUMBER(H2799)),G2799=0),"",H2799/G2799)</f>
        <v/>
      </c>
      <c r="L2799">
        <f>IF(NOT(ISNUMBER(G2799)),"SEM META",IF(G2799=0,"SEM META",IF(NOT(ISNUMBER(H2799)),"SEM APONTAMENTO",IF(H2799&gt;=G2799,"VERDE",IF(H2799&gt;=G2799*0.9,"AMARELO","VERMELHO")))))</f>
        <v/>
      </c>
    </row>
    <row r="2800">
      <c r="A2800" s="321" t="n">
        <v>46441</v>
      </c>
      <c r="B2800" t="inlineStr">
        <is>
          <t>GERAL</t>
        </is>
      </c>
      <c r="C2800" t="inlineStr">
        <is>
          <t>GLOBO AÇOS</t>
        </is>
      </c>
      <c r="D2800" t="inlineStr">
        <is>
          <t>FECHAMENTO</t>
        </is>
      </c>
      <c r="F2800">
        <f>IFERROR(INDEX('BASE METAS DIÁRIAS'!$AA$2:$AC$358,MATCH($A2800,'BASE METAS DIÁRIAS'!$A$2:$A$358,0),3),"")</f>
        <v/>
      </c>
      <c r="G2800">
        <f>IFERROR(IF(WEEKDAY($A2800,2)&lt;=INDEX('BASE METAS DIÁRIAS'!$X$2:$Z$358,MATCH($A2800,'BASE METAS DIÁRIAS'!$A$2:$A$358,0),3),INDEX('BASE METAS DIÁRIAS'!$U$2:$W$358,MATCH($A2800,'BASE METAS DIÁRIAS'!$A$2:$A$358,0),3),""),"")</f>
        <v/>
      </c>
      <c r="H2800">
        <f>IFERROR(IF(INDEX('CONTROLE PRODUÇÃO POR EMPRESAS'!$H$6:$J$5000,MATCH($A2800,'CONTROLE PRODUÇÃO POR EMPRESAS'!$A$6:$A$5000,0),3)="","",IFERROR(1*INDEX('CONTROLE PRODUÇÃO POR EMPRESAS'!$H$6:$J$5000,MATCH($A2800,'CONTROLE PRODUÇÃO POR EMPRESAS'!$A$6:$A$5000,0),3),"")),"")</f>
        <v/>
      </c>
      <c r="I2800">
        <f>IF(OR(NOT(ISNUMBER(G2800)),NOT(ISNUMBER(H2800))),"",H2800-G2800)</f>
        <v/>
      </c>
      <c r="J2800">
        <f>IF(OR(NOT(ISNUMBER(G2800)),NOT(ISNUMBER(H2800)),G2800=0),"",I2800/G2800)</f>
        <v/>
      </c>
      <c r="K2800">
        <f>IF(OR(NOT(ISNUMBER(G2800)),NOT(ISNUMBER(H2800)),G2800=0),"",H2800/G2800)</f>
        <v/>
      </c>
      <c r="L2800">
        <f>IF(NOT(ISNUMBER(G2800)),"SEM META",IF(G2800=0,"SEM META",IF(NOT(ISNUMBER(H2800)),"SEM APONTAMENTO",IF(H2800&gt;=G2800,"VERDE",IF(H2800&gt;=G2800*0.9,"AMARELO","VERMELHO")))))</f>
        <v/>
      </c>
    </row>
    <row r="2801">
      <c r="A2801" s="321" t="n">
        <v>46442</v>
      </c>
      <c r="B2801" t="inlineStr">
        <is>
          <t>GERAL</t>
        </is>
      </c>
      <c r="C2801" t="inlineStr">
        <is>
          <t>GLOBO AÇOS</t>
        </is>
      </c>
      <c r="D2801" t="inlineStr">
        <is>
          <t>PERFILAÇÃO</t>
        </is>
      </c>
      <c r="F2801">
        <f>IFERROR(INDEX('BASE METAS DIÁRIAS'!$AA$2:$AC$358,MATCH($A2801,'BASE METAS DIÁRIAS'!$A$2:$A$358,0),1),"")</f>
        <v/>
      </c>
      <c r="G2801">
        <f>IFERROR(IF(WEEKDAY($A2801,2)&lt;=INDEX('BASE METAS DIÁRIAS'!$X$2:$Z$358,MATCH($A2801,'BASE METAS DIÁRIAS'!$A$2:$A$358,0),1),INDEX('BASE METAS DIÁRIAS'!$U$2:$W$358,MATCH($A2801,'BASE METAS DIÁRIAS'!$A$2:$A$358,0),1),""),"")</f>
        <v/>
      </c>
      <c r="H2801">
        <f>IFERROR(IF(INDEX('CONTROLE PRODUÇÃO POR EMPRESAS'!$H$6:$J$5000,MATCH($A2801,'CONTROLE PRODUÇÃO POR EMPRESAS'!$A$6:$A$5000,0),1)="","",IFERROR(1*INDEX('CONTROLE PRODUÇÃO POR EMPRESAS'!$H$6:$J$5000,MATCH($A2801,'CONTROLE PRODUÇÃO POR EMPRESAS'!$A$6:$A$5000,0),1),"")),"")</f>
        <v/>
      </c>
      <c r="I2801">
        <f>IF(OR(NOT(ISNUMBER(G2801)),NOT(ISNUMBER(H2801))),"",H2801-G2801)</f>
        <v/>
      </c>
      <c r="J2801">
        <f>IF(OR(NOT(ISNUMBER(G2801)),NOT(ISNUMBER(H2801)),G2801=0),"",I2801/G2801)</f>
        <v/>
      </c>
      <c r="K2801">
        <f>IF(OR(NOT(ISNUMBER(G2801)),NOT(ISNUMBER(H2801)),G2801=0),"",H2801/G2801)</f>
        <v/>
      </c>
      <c r="L2801">
        <f>IF(NOT(ISNUMBER(G2801)),"SEM META",IF(G2801=0,"SEM META",IF(NOT(ISNUMBER(H2801)),"SEM APONTAMENTO",IF(H2801&gt;=G2801,"VERDE",IF(H2801&gt;=G2801*0.9,"AMARELO","VERMELHO")))))</f>
        <v/>
      </c>
    </row>
    <row r="2802">
      <c r="A2802" s="321" t="n">
        <v>46442</v>
      </c>
      <c r="B2802" t="inlineStr">
        <is>
          <t>GERAL</t>
        </is>
      </c>
      <c r="C2802" t="inlineStr">
        <is>
          <t>GLOBO AÇOS</t>
        </is>
      </c>
      <c r="D2802" t="inlineStr">
        <is>
          <t>TELHAR</t>
        </is>
      </c>
      <c r="F2802">
        <f>IFERROR(INDEX('BASE METAS DIÁRIAS'!$AA$2:$AC$358,MATCH($A2802,'BASE METAS DIÁRIAS'!$A$2:$A$358,0),2),"")</f>
        <v/>
      </c>
      <c r="G2802">
        <f>IFERROR(IF(WEEKDAY($A2802,2)&lt;=INDEX('BASE METAS DIÁRIAS'!$X$2:$Z$358,MATCH($A2802,'BASE METAS DIÁRIAS'!$A$2:$A$358,0),2),INDEX('BASE METAS DIÁRIAS'!$U$2:$W$358,MATCH($A2802,'BASE METAS DIÁRIAS'!$A$2:$A$358,0),2),""),"")</f>
        <v/>
      </c>
      <c r="H2802">
        <f>IFERROR(IF(INDEX('CONTROLE PRODUÇÃO POR EMPRESAS'!$H$6:$J$5000,MATCH($A2802,'CONTROLE PRODUÇÃO POR EMPRESAS'!$A$6:$A$5000,0),2)="","",IFERROR(1*INDEX('CONTROLE PRODUÇÃO POR EMPRESAS'!$H$6:$J$5000,MATCH($A2802,'CONTROLE PRODUÇÃO POR EMPRESAS'!$A$6:$A$5000,0),2),"")),"")</f>
        <v/>
      </c>
      <c r="I2802">
        <f>IF(OR(NOT(ISNUMBER(G2802)),NOT(ISNUMBER(H2802))),"",H2802-G2802)</f>
        <v/>
      </c>
      <c r="J2802">
        <f>IF(OR(NOT(ISNUMBER(G2802)),NOT(ISNUMBER(H2802)),G2802=0),"",I2802/G2802)</f>
        <v/>
      </c>
      <c r="K2802">
        <f>IF(OR(NOT(ISNUMBER(G2802)),NOT(ISNUMBER(H2802)),G2802=0),"",H2802/G2802)</f>
        <v/>
      </c>
      <c r="L2802">
        <f>IF(NOT(ISNUMBER(G2802)),"SEM META",IF(G2802=0,"SEM META",IF(NOT(ISNUMBER(H2802)),"SEM APONTAMENTO",IF(H2802&gt;=G2802,"VERDE",IF(H2802&gt;=G2802*0.9,"AMARELO","VERMELHO")))))</f>
        <v/>
      </c>
    </row>
    <row r="2803">
      <c r="A2803" s="321" t="n">
        <v>46442</v>
      </c>
      <c r="B2803" t="inlineStr">
        <is>
          <t>GERAL</t>
        </is>
      </c>
      <c r="C2803" t="inlineStr">
        <is>
          <t>GLOBO AÇOS</t>
        </is>
      </c>
      <c r="D2803" t="inlineStr">
        <is>
          <t>FECHAMENTO</t>
        </is>
      </c>
      <c r="F2803">
        <f>IFERROR(INDEX('BASE METAS DIÁRIAS'!$AA$2:$AC$358,MATCH($A2803,'BASE METAS DIÁRIAS'!$A$2:$A$358,0),3),"")</f>
        <v/>
      </c>
      <c r="G2803">
        <f>IFERROR(IF(WEEKDAY($A2803,2)&lt;=INDEX('BASE METAS DIÁRIAS'!$X$2:$Z$358,MATCH($A2803,'BASE METAS DIÁRIAS'!$A$2:$A$358,0),3),INDEX('BASE METAS DIÁRIAS'!$U$2:$W$358,MATCH($A2803,'BASE METAS DIÁRIAS'!$A$2:$A$358,0),3),""),"")</f>
        <v/>
      </c>
      <c r="H2803">
        <f>IFERROR(IF(INDEX('CONTROLE PRODUÇÃO POR EMPRESAS'!$H$6:$J$5000,MATCH($A2803,'CONTROLE PRODUÇÃO POR EMPRESAS'!$A$6:$A$5000,0),3)="","",IFERROR(1*INDEX('CONTROLE PRODUÇÃO POR EMPRESAS'!$H$6:$J$5000,MATCH($A2803,'CONTROLE PRODUÇÃO POR EMPRESAS'!$A$6:$A$5000,0),3),"")),"")</f>
        <v/>
      </c>
      <c r="I2803">
        <f>IF(OR(NOT(ISNUMBER(G2803)),NOT(ISNUMBER(H2803))),"",H2803-G2803)</f>
        <v/>
      </c>
      <c r="J2803">
        <f>IF(OR(NOT(ISNUMBER(G2803)),NOT(ISNUMBER(H2803)),G2803=0),"",I2803/G2803)</f>
        <v/>
      </c>
      <c r="K2803">
        <f>IF(OR(NOT(ISNUMBER(G2803)),NOT(ISNUMBER(H2803)),G2803=0),"",H2803/G2803)</f>
        <v/>
      </c>
      <c r="L2803">
        <f>IF(NOT(ISNUMBER(G2803)),"SEM META",IF(G2803=0,"SEM META",IF(NOT(ISNUMBER(H2803)),"SEM APONTAMENTO",IF(H2803&gt;=G2803,"VERDE",IF(H2803&gt;=G2803*0.9,"AMARELO","VERMELHO")))))</f>
        <v/>
      </c>
    </row>
    <row r="2804">
      <c r="A2804" s="321" t="n">
        <v>46443</v>
      </c>
      <c r="B2804" t="inlineStr">
        <is>
          <t>GERAL</t>
        </is>
      </c>
      <c r="C2804" t="inlineStr">
        <is>
          <t>GLOBO AÇOS</t>
        </is>
      </c>
      <c r="D2804" t="inlineStr">
        <is>
          <t>PERFILAÇÃO</t>
        </is>
      </c>
      <c r="F2804">
        <f>IFERROR(INDEX('BASE METAS DIÁRIAS'!$AA$2:$AC$358,MATCH($A2804,'BASE METAS DIÁRIAS'!$A$2:$A$358,0),1),"")</f>
        <v/>
      </c>
      <c r="G2804">
        <f>IFERROR(IF(WEEKDAY($A2804,2)&lt;=INDEX('BASE METAS DIÁRIAS'!$X$2:$Z$358,MATCH($A2804,'BASE METAS DIÁRIAS'!$A$2:$A$358,0),1),INDEX('BASE METAS DIÁRIAS'!$U$2:$W$358,MATCH($A2804,'BASE METAS DIÁRIAS'!$A$2:$A$358,0),1),""),"")</f>
        <v/>
      </c>
      <c r="H2804">
        <f>IFERROR(IF(INDEX('CONTROLE PRODUÇÃO POR EMPRESAS'!$H$6:$J$5000,MATCH($A2804,'CONTROLE PRODUÇÃO POR EMPRESAS'!$A$6:$A$5000,0),1)="","",IFERROR(1*INDEX('CONTROLE PRODUÇÃO POR EMPRESAS'!$H$6:$J$5000,MATCH($A2804,'CONTROLE PRODUÇÃO POR EMPRESAS'!$A$6:$A$5000,0),1),"")),"")</f>
        <v/>
      </c>
      <c r="I2804">
        <f>IF(OR(NOT(ISNUMBER(G2804)),NOT(ISNUMBER(H2804))),"",H2804-G2804)</f>
        <v/>
      </c>
      <c r="J2804">
        <f>IF(OR(NOT(ISNUMBER(G2804)),NOT(ISNUMBER(H2804)),G2804=0),"",I2804/G2804)</f>
        <v/>
      </c>
      <c r="K2804">
        <f>IF(OR(NOT(ISNUMBER(G2804)),NOT(ISNUMBER(H2804)),G2804=0),"",H2804/G2804)</f>
        <v/>
      </c>
      <c r="L2804">
        <f>IF(NOT(ISNUMBER(G2804)),"SEM META",IF(G2804=0,"SEM META",IF(NOT(ISNUMBER(H2804)),"SEM APONTAMENTO",IF(H2804&gt;=G2804,"VERDE",IF(H2804&gt;=G2804*0.9,"AMARELO","VERMELHO")))))</f>
        <v/>
      </c>
    </row>
    <row r="2805">
      <c r="A2805" s="321" t="n">
        <v>46443</v>
      </c>
      <c r="B2805" t="inlineStr">
        <is>
          <t>GERAL</t>
        </is>
      </c>
      <c r="C2805" t="inlineStr">
        <is>
          <t>GLOBO AÇOS</t>
        </is>
      </c>
      <c r="D2805" t="inlineStr">
        <is>
          <t>TELHAR</t>
        </is>
      </c>
      <c r="F2805">
        <f>IFERROR(INDEX('BASE METAS DIÁRIAS'!$AA$2:$AC$358,MATCH($A2805,'BASE METAS DIÁRIAS'!$A$2:$A$358,0),2),"")</f>
        <v/>
      </c>
      <c r="G2805">
        <f>IFERROR(IF(WEEKDAY($A2805,2)&lt;=INDEX('BASE METAS DIÁRIAS'!$X$2:$Z$358,MATCH($A2805,'BASE METAS DIÁRIAS'!$A$2:$A$358,0),2),INDEX('BASE METAS DIÁRIAS'!$U$2:$W$358,MATCH($A2805,'BASE METAS DIÁRIAS'!$A$2:$A$358,0),2),""),"")</f>
        <v/>
      </c>
      <c r="H2805">
        <f>IFERROR(IF(INDEX('CONTROLE PRODUÇÃO POR EMPRESAS'!$H$6:$J$5000,MATCH($A2805,'CONTROLE PRODUÇÃO POR EMPRESAS'!$A$6:$A$5000,0),2)="","",IFERROR(1*INDEX('CONTROLE PRODUÇÃO POR EMPRESAS'!$H$6:$J$5000,MATCH($A2805,'CONTROLE PRODUÇÃO POR EMPRESAS'!$A$6:$A$5000,0),2),"")),"")</f>
        <v/>
      </c>
      <c r="I2805">
        <f>IF(OR(NOT(ISNUMBER(G2805)),NOT(ISNUMBER(H2805))),"",H2805-G2805)</f>
        <v/>
      </c>
      <c r="J2805">
        <f>IF(OR(NOT(ISNUMBER(G2805)),NOT(ISNUMBER(H2805)),G2805=0),"",I2805/G2805)</f>
        <v/>
      </c>
      <c r="K2805">
        <f>IF(OR(NOT(ISNUMBER(G2805)),NOT(ISNUMBER(H2805)),G2805=0),"",H2805/G2805)</f>
        <v/>
      </c>
      <c r="L2805">
        <f>IF(NOT(ISNUMBER(G2805)),"SEM META",IF(G2805=0,"SEM META",IF(NOT(ISNUMBER(H2805)),"SEM APONTAMENTO",IF(H2805&gt;=G2805,"VERDE",IF(H2805&gt;=G2805*0.9,"AMARELO","VERMELHO")))))</f>
        <v/>
      </c>
    </row>
    <row r="2806">
      <c r="A2806" s="321" t="n">
        <v>46443</v>
      </c>
      <c r="B2806" t="inlineStr">
        <is>
          <t>GERAL</t>
        </is>
      </c>
      <c r="C2806" t="inlineStr">
        <is>
          <t>GLOBO AÇOS</t>
        </is>
      </c>
      <c r="D2806" t="inlineStr">
        <is>
          <t>FECHAMENTO</t>
        </is>
      </c>
      <c r="F2806">
        <f>IFERROR(INDEX('BASE METAS DIÁRIAS'!$AA$2:$AC$358,MATCH($A2806,'BASE METAS DIÁRIAS'!$A$2:$A$358,0),3),"")</f>
        <v/>
      </c>
      <c r="G2806">
        <f>IFERROR(IF(WEEKDAY($A2806,2)&lt;=INDEX('BASE METAS DIÁRIAS'!$X$2:$Z$358,MATCH($A2806,'BASE METAS DIÁRIAS'!$A$2:$A$358,0),3),INDEX('BASE METAS DIÁRIAS'!$U$2:$W$358,MATCH($A2806,'BASE METAS DIÁRIAS'!$A$2:$A$358,0),3),""),"")</f>
        <v/>
      </c>
      <c r="H2806">
        <f>IFERROR(IF(INDEX('CONTROLE PRODUÇÃO POR EMPRESAS'!$H$6:$J$5000,MATCH($A2806,'CONTROLE PRODUÇÃO POR EMPRESAS'!$A$6:$A$5000,0),3)="","",IFERROR(1*INDEX('CONTROLE PRODUÇÃO POR EMPRESAS'!$H$6:$J$5000,MATCH($A2806,'CONTROLE PRODUÇÃO POR EMPRESAS'!$A$6:$A$5000,0),3),"")),"")</f>
        <v/>
      </c>
      <c r="I2806">
        <f>IF(OR(NOT(ISNUMBER(G2806)),NOT(ISNUMBER(H2806))),"",H2806-G2806)</f>
        <v/>
      </c>
      <c r="J2806">
        <f>IF(OR(NOT(ISNUMBER(G2806)),NOT(ISNUMBER(H2806)),G2806=0),"",I2806/G2806)</f>
        <v/>
      </c>
      <c r="K2806">
        <f>IF(OR(NOT(ISNUMBER(G2806)),NOT(ISNUMBER(H2806)),G2806=0),"",H2806/G2806)</f>
        <v/>
      </c>
      <c r="L2806">
        <f>IF(NOT(ISNUMBER(G2806)),"SEM META",IF(G2806=0,"SEM META",IF(NOT(ISNUMBER(H2806)),"SEM APONTAMENTO",IF(H2806&gt;=G2806,"VERDE",IF(H2806&gt;=G2806*0.9,"AMARELO","VERMELHO")))))</f>
        <v/>
      </c>
    </row>
    <row r="2807">
      <c r="A2807" s="321" t="n">
        <v>46444</v>
      </c>
      <c r="B2807" t="inlineStr">
        <is>
          <t>GERAL</t>
        </is>
      </c>
      <c r="C2807" t="inlineStr">
        <is>
          <t>GLOBO AÇOS</t>
        </is>
      </c>
      <c r="D2807" t="inlineStr">
        <is>
          <t>PERFILAÇÃO</t>
        </is>
      </c>
      <c r="F2807">
        <f>IFERROR(INDEX('BASE METAS DIÁRIAS'!$AA$2:$AC$358,MATCH($A2807,'BASE METAS DIÁRIAS'!$A$2:$A$358,0),1),"")</f>
        <v/>
      </c>
      <c r="G2807">
        <f>IFERROR(IF(WEEKDAY($A2807,2)&lt;=INDEX('BASE METAS DIÁRIAS'!$X$2:$Z$358,MATCH($A2807,'BASE METAS DIÁRIAS'!$A$2:$A$358,0),1),INDEX('BASE METAS DIÁRIAS'!$U$2:$W$358,MATCH($A2807,'BASE METAS DIÁRIAS'!$A$2:$A$358,0),1),""),"")</f>
        <v/>
      </c>
      <c r="H2807">
        <f>IFERROR(IF(INDEX('CONTROLE PRODUÇÃO POR EMPRESAS'!$H$6:$J$5000,MATCH($A2807,'CONTROLE PRODUÇÃO POR EMPRESAS'!$A$6:$A$5000,0),1)="","",IFERROR(1*INDEX('CONTROLE PRODUÇÃO POR EMPRESAS'!$H$6:$J$5000,MATCH($A2807,'CONTROLE PRODUÇÃO POR EMPRESAS'!$A$6:$A$5000,0),1),"")),"")</f>
        <v/>
      </c>
      <c r="I2807">
        <f>IF(OR(NOT(ISNUMBER(G2807)),NOT(ISNUMBER(H2807))),"",H2807-G2807)</f>
        <v/>
      </c>
      <c r="J2807">
        <f>IF(OR(NOT(ISNUMBER(G2807)),NOT(ISNUMBER(H2807)),G2807=0),"",I2807/G2807)</f>
        <v/>
      </c>
      <c r="K2807">
        <f>IF(OR(NOT(ISNUMBER(G2807)),NOT(ISNUMBER(H2807)),G2807=0),"",H2807/G2807)</f>
        <v/>
      </c>
      <c r="L2807">
        <f>IF(NOT(ISNUMBER(G2807)),"SEM META",IF(G2807=0,"SEM META",IF(NOT(ISNUMBER(H2807)),"SEM APONTAMENTO",IF(H2807&gt;=G2807,"VERDE",IF(H2807&gt;=G2807*0.9,"AMARELO","VERMELHO")))))</f>
        <v/>
      </c>
    </row>
    <row r="2808">
      <c r="A2808" s="321" t="n">
        <v>46444</v>
      </c>
      <c r="B2808" t="inlineStr">
        <is>
          <t>GERAL</t>
        </is>
      </c>
      <c r="C2808" t="inlineStr">
        <is>
          <t>GLOBO AÇOS</t>
        </is>
      </c>
      <c r="D2808" t="inlineStr">
        <is>
          <t>TELHAR</t>
        </is>
      </c>
      <c r="F2808">
        <f>IFERROR(INDEX('BASE METAS DIÁRIAS'!$AA$2:$AC$358,MATCH($A2808,'BASE METAS DIÁRIAS'!$A$2:$A$358,0),2),"")</f>
        <v/>
      </c>
      <c r="G2808">
        <f>IFERROR(IF(WEEKDAY($A2808,2)&lt;=INDEX('BASE METAS DIÁRIAS'!$X$2:$Z$358,MATCH($A2808,'BASE METAS DIÁRIAS'!$A$2:$A$358,0),2),INDEX('BASE METAS DIÁRIAS'!$U$2:$W$358,MATCH($A2808,'BASE METAS DIÁRIAS'!$A$2:$A$358,0),2),""),"")</f>
        <v/>
      </c>
      <c r="H2808">
        <f>IFERROR(IF(INDEX('CONTROLE PRODUÇÃO POR EMPRESAS'!$H$6:$J$5000,MATCH($A2808,'CONTROLE PRODUÇÃO POR EMPRESAS'!$A$6:$A$5000,0),2)="","",IFERROR(1*INDEX('CONTROLE PRODUÇÃO POR EMPRESAS'!$H$6:$J$5000,MATCH($A2808,'CONTROLE PRODUÇÃO POR EMPRESAS'!$A$6:$A$5000,0),2),"")),"")</f>
        <v/>
      </c>
      <c r="I2808">
        <f>IF(OR(NOT(ISNUMBER(G2808)),NOT(ISNUMBER(H2808))),"",H2808-G2808)</f>
        <v/>
      </c>
      <c r="J2808">
        <f>IF(OR(NOT(ISNUMBER(G2808)),NOT(ISNUMBER(H2808)),G2808=0),"",I2808/G2808)</f>
        <v/>
      </c>
      <c r="K2808">
        <f>IF(OR(NOT(ISNUMBER(G2808)),NOT(ISNUMBER(H2808)),G2808=0),"",H2808/G2808)</f>
        <v/>
      </c>
      <c r="L2808">
        <f>IF(NOT(ISNUMBER(G2808)),"SEM META",IF(G2808=0,"SEM META",IF(NOT(ISNUMBER(H2808)),"SEM APONTAMENTO",IF(H2808&gt;=G2808,"VERDE",IF(H2808&gt;=G2808*0.9,"AMARELO","VERMELHO")))))</f>
        <v/>
      </c>
    </row>
    <row r="2809">
      <c r="A2809" s="321" t="n">
        <v>46444</v>
      </c>
      <c r="B2809" t="inlineStr">
        <is>
          <t>GERAL</t>
        </is>
      </c>
      <c r="C2809" t="inlineStr">
        <is>
          <t>GLOBO AÇOS</t>
        </is>
      </c>
      <c r="D2809" t="inlineStr">
        <is>
          <t>FECHAMENTO</t>
        </is>
      </c>
      <c r="F2809">
        <f>IFERROR(INDEX('BASE METAS DIÁRIAS'!$AA$2:$AC$358,MATCH($A2809,'BASE METAS DIÁRIAS'!$A$2:$A$358,0),3),"")</f>
        <v/>
      </c>
      <c r="G2809">
        <f>IFERROR(IF(WEEKDAY($A2809,2)&lt;=INDEX('BASE METAS DIÁRIAS'!$X$2:$Z$358,MATCH($A2809,'BASE METAS DIÁRIAS'!$A$2:$A$358,0),3),INDEX('BASE METAS DIÁRIAS'!$U$2:$W$358,MATCH($A2809,'BASE METAS DIÁRIAS'!$A$2:$A$358,0),3),""),"")</f>
        <v/>
      </c>
      <c r="H2809">
        <f>IFERROR(IF(INDEX('CONTROLE PRODUÇÃO POR EMPRESAS'!$H$6:$J$5000,MATCH($A2809,'CONTROLE PRODUÇÃO POR EMPRESAS'!$A$6:$A$5000,0),3)="","",IFERROR(1*INDEX('CONTROLE PRODUÇÃO POR EMPRESAS'!$H$6:$J$5000,MATCH($A2809,'CONTROLE PRODUÇÃO POR EMPRESAS'!$A$6:$A$5000,0),3),"")),"")</f>
        <v/>
      </c>
      <c r="I2809">
        <f>IF(OR(NOT(ISNUMBER(G2809)),NOT(ISNUMBER(H2809))),"",H2809-G2809)</f>
        <v/>
      </c>
      <c r="J2809">
        <f>IF(OR(NOT(ISNUMBER(G2809)),NOT(ISNUMBER(H2809)),G2809=0),"",I2809/G2809)</f>
        <v/>
      </c>
      <c r="K2809">
        <f>IF(OR(NOT(ISNUMBER(G2809)),NOT(ISNUMBER(H2809)),G2809=0),"",H2809/G2809)</f>
        <v/>
      </c>
      <c r="L2809">
        <f>IF(NOT(ISNUMBER(G2809)),"SEM META",IF(G2809=0,"SEM META",IF(NOT(ISNUMBER(H2809)),"SEM APONTAMENTO",IF(H2809&gt;=G2809,"VERDE",IF(H2809&gt;=G2809*0.9,"AMARELO","VERMELHO")))))</f>
        <v/>
      </c>
    </row>
    <row r="2810">
      <c r="A2810" s="321" t="n">
        <v>46445</v>
      </c>
      <c r="B2810" t="inlineStr">
        <is>
          <t>GERAL</t>
        </is>
      </c>
      <c r="C2810" t="inlineStr">
        <is>
          <t>GLOBO AÇOS</t>
        </is>
      </c>
      <c r="D2810" t="inlineStr">
        <is>
          <t>PERFILAÇÃO</t>
        </is>
      </c>
      <c r="F2810">
        <f>IFERROR(INDEX('BASE METAS DIÁRIAS'!$AA$2:$AC$358,MATCH($A2810,'BASE METAS DIÁRIAS'!$A$2:$A$358,0),1),"")</f>
        <v/>
      </c>
      <c r="G2810">
        <f>IFERROR(IF(WEEKDAY($A2810,2)&lt;=INDEX('BASE METAS DIÁRIAS'!$X$2:$Z$358,MATCH($A2810,'BASE METAS DIÁRIAS'!$A$2:$A$358,0),1),INDEX('BASE METAS DIÁRIAS'!$U$2:$W$358,MATCH($A2810,'BASE METAS DIÁRIAS'!$A$2:$A$358,0),1),""),"")</f>
        <v/>
      </c>
      <c r="H2810">
        <f>IFERROR(IF(INDEX('CONTROLE PRODUÇÃO POR EMPRESAS'!$H$6:$J$5000,MATCH($A2810,'CONTROLE PRODUÇÃO POR EMPRESAS'!$A$6:$A$5000,0),1)="","",IFERROR(1*INDEX('CONTROLE PRODUÇÃO POR EMPRESAS'!$H$6:$J$5000,MATCH($A2810,'CONTROLE PRODUÇÃO POR EMPRESAS'!$A$6:$A$5000,0),1),"")),"")</f>
        <v/>
      </c>
      <c r="I2810">
        <f>IF(OR(NOT(ISNUMBER(G2810)),NOT(ISNUMBER(H2810))),"",H2810-G2810)</f>
        <v/>
      </c>
      <c r="J2810">
        <f>IF(OR(NOT(ISNUMBER(G2810)),NOT(ISNUMBER(H2810)),G2810=0),"",I2810/G2810)</f>
        <v/>
      </c>
      <c r="K2810">
        <f>IF(OR(NOT(ISNUMBER(G2810)),NOT(ISNUMBER(H2810)),G2810=0),"",H2810/G2810)</f>
        <v/>
      </c>
      <c r="L2810">
        <f>IF(NOT(ISNUMBER(G2810)),"SEM META",IF(G2810=0,"SEM META",IF(NOT(ISNUMBER(H2810)),"SEM APONTAMENTO",IF(H2810&gt;=G2810,"VERDE",IF(H2810&gt;=G2810*0.9,"AMARELO","VERMELHO")))))</f>
        <v/>
      </c>
    </row>
    <row r="2811">
      <c r="A2811" s="321" t="n">
        <v>46445</v>
      </c>
      <c r="B2811" t="inlineStr">
        <is>
          <t>GERAL</t>
        </is>
      </c>
      <c r="C2811" t="inlineStr">
        <is>
          <t>GLOBO AÇOS</t>
        </is>
      </c>
      <c r="D2811" t="inlineStr">
        <is>
          <t>TELHAR</t>
        </is>
      </c>
      <c r="F2811">
        <f>IFERROR(INDEX('BASE METAS DIÁRIAS'!$AA$2:$AC$358,MATCH($A2811,'BASE METAS DIÁRIAS'!$A$2:$A$358,0),2),"")</f>
        <v/>
      </c>
      <c r="G2811">
        <f>IFERROR(IF(WEEKDAY($A2811,2)&lt;=INDEX('BASE METAS DIÁRIAS'!$X$2:$Z$358,MATCH($A2811,'BASE METAS DIÁRIAS'!$A$2:$A$358,0),2),INDEX('BASE METAS DIÁRIAS'!$U$2:$W$358,MATCH($A2811,'BASE METAS DIÁRIAS'!$A$2:$A$358,0),2),""),"")</f>
        <v/>
      </c>
      <c r="H2811">
        <f>IFERROR(IF(INDEX('CONTROLE PRODUÇÃO POR EMPRESAS'!$H$6:$J$5000,MATCH($A2811,'CONTROLE PRODUÇÃO POR EMPRESAS'!$A$6:$A$5000,0),2)="","",IFERROR(1*INDEX('CONTROLE PRODUÇÃO POR EMPRESAS'!$H$6:$J$5000,MATCH($A2811,'CONTROLE PRODUÇÃO POR EMPRESAS'!$A$6:$A$5000,0),2),"")),"")</f>
        <v/>
      </c>
      <c r="I2811">
        <f>IF(OR(NOT(ISNUMBER(G2811)),NOT(ISNUMBER(H2811))),"",H2811-G2811)</f>
        <v/>
      </c>
      <c r="J2811">
        <f>IF(OR(NOT(ISNUMBER(G2811)),NOT(ISNUMBER(H2811)),G2811=0),"",I2811/G2811)</f>
        <v/>
      </c>
      <c r="K2811">
        <f>IF(OR(NOT(ISNUMBER(G2811)),NOT(ISNUMBER(H2811)),G2811=0),"",H2811/G2811)</f>
        <v/>
      </c>
      <c r="L2811">
        <f>IF(NOT(ISNUMBER(G2811)),"SEM META",IF(G2811=0,"SEM META",IF(NOT(ISNUMBER(H2811)),"SEM APONTAMENTO",IF(H2811&gt;=G2811,"VERDE",IF(H2811&gt;=G2811*0.9,"AMARELO","VERMELHO")))))</f>
        <v/>
      </c>
    </row>
    <row r="2812">
      <c r="A2812" s="321" t="n">
        <v>46445</v>
      </c>
      <c r="B2812" t="inlineStr">
        <is>
          <t>GERAL</t>
        </is>
      </c>
      <c r="C2812" t="inlineStr">
        <is>
          <t>GLOBO AÇOS</t>
        </is>
      </c>
      <c r="D2812" t="inlineStr">
        <is>
          <t>FECHAMENTO</t>
        </is>
      </c>
      <c r="F2812">
        <f>IFERROR(INDEX('BASE METAS DIÁRIAS'!$AA$2:$AC$358,MATCH($A2812,'BASE METAS DIÁRIAS'!$A$2:$A$358,0),3),"")</f>
        <v/>
      </c>
      <c r="G2812">
        <f>IFERROR(IF(WEEKDAY($A2812,2)&lt;=INDEX('BASE METAS DIÁRIAS'!$X$2:$Z$358,MATCH($A2812,'BASE METAS DIÁRIAS'!$A$2:$A$358,0),3),INDEX('BASE METAS DIÁRIAS'!$U$2:$W$358,MATCH($A2812,'BASE METAS DIÁRIAS'!$A$2:$A$358,0),3),""),"")</f>
        <v/>
      </c>
      <c r="H2812">
        <f>IFERROR(IF(INDEX('CONTROLE PRODUÇÃO POR EMPRESAS'!$H$6:$J$5000,MATCH($A2812,'CONTROLE PRODUÇÃO POR EMPRESAS'!$A$6:$A$5000,0),3)="","",IFERROR(1*INDEX('CONTROLE PRODUÇÃO POR EMPRESAS'!$H$6:$J$5000,MATCH($A2812,'CONTROLE PRODUÇÃO POR EMPRESAS'!$A$6:$A$5000,0),3),"")),"")</f>
        <v/>
      </c>
      <c r="I2812">
        <f>IF(OR(NOT(ISNUMBER(G2812)),NOT(ISNUMBER(H2812))),"",H2812-G2812)</f>
        <v/>
      </c>
      <c r="J2812">
        <f>IF(OR(NOT(ISNUMBER(G2812)),NOT(ISNUMBER(H2812)),G2812=0),"",I2812/G2812)</f>
        <v/>
      </c>
      <c r="K2812">
        <f>IF(OR(NOT(ISNUMBER(G2812)),NOT(ISNUMBER(H2812)),G2812=0),"",H2812/G2812)</f>
        <v/>
      </c>
      <c r="L2812">
        <f>IF(NOT(ISNUMBER(G2812)),"SEM META",IF(G2812=0,"SEM META",IF(NOT(ISNUMBER(H2812)),"SEM APONTAMENTO",IF(H2812&gt;=G2812,"VERDE",IF(H2812&gt;=G2812*0.9,"AMARELO","VERMELHO")))))</f>
        <v/>
      </c>
    </row>
    <row r="2813">
      <c r="A2813" s="321" t="n">
        <v>46446</v>
      </c>
      <c r="B2813" t="inlineStr">
        <is>
          <t>GERAL</t>
        </is>
      </c>
      <c r="C2813" t="inlineStr">
        <is>
          <t>GLOBO AÇOS</t>
        </is>
      </c>
      <c r="D2813" t="inlineStr">
        <is>
          <t>PERFILAÇÃO</t>
        </is>
      </c>
      <c r="F2813">
        <f>IFERROR(INDEX('BASE METAS DIÁRIAS'!$AA$2:$AC$358,MATCH($A2813,'BASE METAS DIÁRIAS'!$A$2:$A$358,0),1),"")</f>
        <v/>
      </c>
      <c r="G2813">
        <f>IFERROR(IF(WEEKDAY($A2813,2)&lt;=INDEX('BASE METAS DIÁRIAS'!$X$2:$Z$358,MATCH($A2813,'BASE METAS DIÁRIAS'!$A$2:$A$358,0),1),INDEX('BASE METAS DIÁRIAS'!$U$2:$W$358,MATCH($A2813,'BASE METAS DIÁRIAS'!$A$2:$A$358,0),1),""),"")</f>
        <v/>
      </c>
      <c r="H2813">
        <f>IFERROR(IF(INDEX('CONTROLE PRODUÇÃO POR EMPRESAS'!$H$6:$J$5000,MATCH($A2813,'CONTROLE PRODUÇÃO POR EMPRESAS'!$A$6:$A$5000,0),1)="","",IFERROR(1*INDEX('CONTROLE PRODUÇÃO POR EMPRESAS'!$H$6:$J$5000,MATCH($A2813,'CONTROLE PRODUÇÃO POR EMPRESAS'!$A$6:$A$5000,0),1),"")),"")</f>
        <v/>
      </c>
      <c r="I2813">
        <f>IF(OR(NOT(ISNUMBER(G2813)),NOT(ISNUMBER(H2813))),"",H2813-G2813)</f>
        <v/>
      </c>
      <c r="J2813">
        <f>IF(OR(NOT(ISNUMBER(G2813)),NOT(ISNUMBER(H2813)),G2813=0),"",I2813/G2813)</f>
        <v/>
      </c>
      <c r="K2813">
        <f>IF(OR(NOT(ISNUMBER(G2813)),NOT(ISNUMBER(H2813)),G2813=0),"",H2813/G2813)</f>
        <v/>
      </c>
      <c r="L2813">
        <f>IF(NOT(ISNUMBER(G2813)),"SEM META",IF(G2813=0,"SEM META",IF(NOT(ISNUMBER(H2813)),"SEM APONTAMENTO",IF(H2813&gt;=G2813,"VERDE",IF(H2813&gt;=G2813*0.9,"AMARELO","VERMELHO")))))</f>
        <v/>
      </c>
    </row>
    <row r="2814">
      <c r="A2814" s="321" t="n">
        <v>46446</v>
      </c>
      <c r="B2814" t="inlineStr">
        <is>
          <t>GERAL</t>
        </is>
      </c>
      <c r="C2814" t="inlineStr">
        <is>
          <t>GLOBO AÇOS</t>
        </is>
      </c>
      <c r="D2814" t="inlineStr">
        <is>
          <t>TELHAR</t>
        </is>
      </c>
      <c r="F2814">
        <f>IFERROR(INDEX('BASE METAS DIÁRIAS'!$AA$2:$AC$358,MATCH($A2814,'BASE METAS DIÁRIAS'!$A$2:$A$358,0),2),"")</f>
        <v/>
      </c>
      <c r="G2814">
        <f>IFERROR(IF(WEEKDAY($A2814,2)&lt;=INDEX('BASE METAS DIÁRIAS'!$X$2:$Z$358,MATCH($A2814,'BASE METAS DIÁRIAS'!$A$2:$A$358,0),2),INDEX('BASE METAS DIÁRIAS'!$U$2:$W$358,MATCH($A2814,'BASE METAS DIÁRIAS'!$A$2:$A$358,0),2),""),"")</f>
        <v/>
      </c>
      <c r="H2814">
        <f>IFERROR(IF(INDEX('CONTROLE PRODUÇÃO POR EMPRESAS'!$H$6:$J$5000,MATCH($A2814,'CONTROLE PRODUÇÃO POR EMPRESAS'!$A$6:$A$5000,0),2)="","",IFERROR(1*INDEX('CONTROLE PRODUÇÃO POR EMPRESAS'!$H$6:$J$5000,MATCH($A2814,'CONTROLE PRODUÇÃO POR EMPRESAS'!$A$6:$A$5000,0),2),"")),"")</f>
        <v/>
      </c>
      <c r="I2814">
        <f>IF(OR(NOT(ISNUMBER(G2814)),NOT(ISNUMBER(H2814))),"",H2814-G2814)</f>
        <v/>
      </c>
      <c r="J2814">
        <f>IF(OR(NOT(ISNUMBER(G2814)),NOT(ISNUMBER(H2814)),G2814=0),"",I2814/G2814)</f>
        <v/>
      </c>
      <c r="K2814">
        <f>IF(OR(NOT(ISNUMBER(G2814)),NOT(ISNUMBER(H2814)),G2814=0),"",H2814/G2814)</f>
        <v/>
      </c>
      <c r="L2814">
        <f>IF(NOT(ISNUMBER(G2814)),"SEM META",IF(G2814=0,"SEM META",IF(NOT(ISNUMBER(H2814)),"SEM APONTAMENTO",IF(H2814&gt;=G2814,"VERDE",IF(H2814&gt;=G2814*0.9,"AMARELO","VERMELHO")))))</f>
        <v/>
      </c>
    </row>
    <row r="2815">
      <c r="A2815" s="321" t="n">
        <v>46446</v>
      </c>
      <c r="B2815" t="inlineStr">
        <is>
          <t>GERAL</t>
        </is>
      </c>
      <c r="C2815" t="inlineStr">
        <is>
          <t>GLOBO AÇOS</t>
        </is>
      </c>
      <c r="D2815" t="inlineStr">
        <is>
          <t>FECHAMENTO</t>
        </is>
      </c>
      <c r="F2815">
        <f>IFERROR(INDEX('BASE METAS DIÁRIAS'!$AA$2:$AC$358,MATCH($A2815,'BASE METAS DIÁRIAS'!$A$2:$A$358,0),3),"")</f>
        <v/>
      </c>
      <c r="G2815">
        <f>IFERROR(IF(WEEKDAY($A2815,2)&lt;=INDEX('BASE METAS DIÁRIAS'!$X$2:$Z$358,MATCH($A2815,'BASE METAS DIÁRIAS'!$A$2:$A$358,0),3),INDEX('BASE METAS DIÁRIAS'!$U$2:$W$358,MATCH($A2815,'BASE METAS DIÁRIAS'!$A$2:$A$358,0),3),""),"")</f>
        <v/>
      </c>
      <c r="H2815">
        <f>IFERROR(IF(INDEX('CONTROLE PRODUÇÃO POR EMPRESAS'!$H$6:$J$5000,MATCH($A2815,'CONTROLE PRODUÇÃO POR EMPRESAS'!$A$6:$A$5000,0),3)="","",IFERROR(1*INDEX('CONTROLE PRODUÇÃO POR EMPRESAS'!$H$6:$J$5000,MATCH($A2815,'CONTROLE PRODUÇÃO POR EMPRESAS'!$A$6:$A$5000,0),3),"")),"")</f>
        <v/>
      </c>
      <c r="I2815">
        <f>IF(OR(NOT(ISNUMBER(G2815)),NOT(ISNUMBER(H2815))),"",H2815-G2815)</f>
        <v/>
      </c>
      <c r="J2815">
        <f>IF(OR(NOT(ISNUMBER(G2815)),NOT(ISNUMBER(H2815)),G2815=0),"",I2815/G2815)</f>
        <v/>
      </c>
      <c r="K2815">
        <f>IF(OR(NOT(ISNUMBER(G2815)),NOT(ISNUMBER(H2815)),G2815=0),"",H2815/G2815)</f>
        <v/>
      </c>
      <c r="L2815">
        <f>IF(NOT(ISNUMBER(G2815)),"SEM META",IF(G2815=0,"SEM META",IF(NOT(ISNUMBER(H2815)),"SEM APONTAMENTO",IF(H2815&gt;=G2815,"VERDE",IF(H2815&gt;=G2815*0.9,"AMARELO","VERMELHO")))))</f>
        <v/>
      </c>
    </row>
    <row r="2816">
      <c r="A2816" s="321" t="n">
        <v>46447</v>
      </c>
      <c r="B2816" t="inlineStr">
        <is>
          <t>GERAL</t>
        </is>
      </c>
      <c r="C2816" t="inlineStr">
        <is>
          <t>GLOBO AÇOS</t>
        </is>
      </c>
      <c r="D2816" t="inlineStr">
        <is>
          <t>PERFILAÇÃO</t>
        </is>
      </c>
      <c r="F2816">
        <f>IFERROR(INDEX('BASE METAS DIÁRIAS'!$AA$2:$AC$358,MATCH($A2816,'BASE METAS DIÁRIAS'!$A$2:$A$358,0),1),"")</f>
        <v/>
      </c>
      <c r="G2816">
        <f>IFERROR(IF(WEEKDAY($A2816,2)&lt;=INDEX('BASE METAS DIÁRIAS'!$X$2:$Z$358,MATCH($A2816,'BASE METAS DIÁRIAS'!$A$2:$A$358,0),1),INDEX('BASE METAS DIÁRIAS'!$U$2:$W$358,MATCH($A2816,'BASE METAS DIÁRIAS'!$A$2:$A$358,0),1),""),"")</f>
        <v/>
      </c>
      <c r="H2816">
        <f>IFERROR(IF(INDEX('CONTROLE PRODUÇÃO POR EMPRESAS'!$H$6:$J$5000,MATCH($A2816,'CONTROLE PRODUÇÃO POR EMPRESAS'!$A$6:$A$5000,0),1)="","",IFERROR(1*INDEX('CONTROLE PRODUÇÃO POR EMPRESAS'!$H$6:$J$5000,MATCH($A2816,'CONTROLE PRODUÇÃO POR EMPRESAS'!$A$6:$A$5000,0),1),"")),"")</f>
        <v/>
      </c>
      <c r="I2816">
        <f>IF(OR(NOT(ISNUMBER(G2816)),NOT(ISNUMBER(H2816))),"",H2816-G2816)</f>
        <v/>
      </c>
      <c r="J2816">
        <f>IF(OR(NOT(ISNUMBER(G2816)),NOT(ISNUMBER(H2816)),G2816=0),"",I2816/G2816)</f>
        <v/>
      </c>
      <c r="K2816">
        <f>IF(OR(NOT(ISNUMBER(G2816)),NOT(ISNUMBER(H2816)),G2816=0),"",H2816/G2816)</f>
        <v/>
      </c>
      <c r="L2816">
        <f>IF(NOT(ISNUMBER(G2816)),"SEM META",IF(G2816=0,"SEM META",IF(NOT(ISNUMBER(H2816)),"SEM APONTAMENTO",IF(H2816&gt;=G2816,"VERDE",IF(H2816&gt;=G2816*0.9,"AMARELO","VERMELHO")))))</f>
        <v/>
      </c>
    </row>
    <row r="2817">
      <c r="A2817" s="321" t="n">
        <v>46447</v>
      </c>
      <c r="B2817" t="inlineStr">
        <is>
          <t>GERAL</t>
        </is>
      </c>
      <c r="C2817" t="inlineStr">
        <is>
          <t>GLOBO AÇOS</t>
        </is>
      </c>
      <c r="D2817" t="inlineStr">
        <is>
          <t>TELHAR</t>
        </is>
      </c>
      <c r="F2817">
        <f>IFERROR(INDEX('BASE METAS DIÁRIAS'!$AA$2:$AC$358,MATCH($A2817,'BASE METAS DIÁRIAS'!$A$2:$A$358,0),2),"")</f>
        <v/>
      </c>
      <c r="G2817">
        <f>IFERROR(IF(WEEKDAY($A2817,2)&lt;=INDEX('BASE METAS DIÁRIAS'!$X$2:$Z$358,MATCH($A2817,'BASE METAS DIÁRIAS'!$A$2:$A$358,0),2),INDEX('BASE METAS DIÁRIAS'!$U$2:$W$358,MATCH($A2817,'BASE METAS DIÁRIAS'!$A$2:$A$358,0),2),""),"")</f>
        <v/>
      </c>
      <c r="H2817">
        <f>IFERROR(IF(INDEX('CONTROLE PRODUÇÃO POR EMPRESAS'!$H$6:$J$5000,MATCH($A2817,'CONTROLE PRODUÇÃO POR EMPRESAS'!$A$6:$A$5000,0),2)="","",IFERROR(1*INDEX('CONTROLE PRODUÇÃO POR EMPRESAS'!$H$6:$J$5000,MATCH($A2817,'CONTROLE PRODUÇÃO POR EMPRESAS'!$A$6:$A$5000,0),2),"")),"")</f>
        <v/>
      </c>
      <c r="I2817">
        <f>IF(OR(NOT(ISNUMBER(G2817)),NOT(ISNUMBER(H2817))),"",H2817-G2817)</f>
        <v/>
      </c>
      <c r="J2817">
        <f>IF(OR(NOT(ISNUMBER(G2817)),NOT(ISNUMBER(H2817)),G2817=0),"",I2817/G2817)</f>
        <v/>
      </c>
      <c r="K2817">
        <f>IF(OR(NOT(ISNUMBER(G2817)),NOT(ISNUMBER(H2817)),G2817=0),"",H2817/G2817)</f>
        <v/>
      </c>
      <c r="L2817">
        <f>IF(NOT(ISNUMBER(G2817)),"SEM META",IF(G2817=0,"SEM META",IF(NOT(ISNUMBER(H2817)),"SEM APONTAMENTO",IF(H2817&gt;=G2817,"VERDE",IF(H2817&gt;=G2817*0.9,"AMARELO","VERMELHO")))))</f>
        <v/>
      </c>
    </row>
    <row r="2818">
      <c r="A2818" s="321" t="n">
        <v>46447</v>
      </c>
      <c r="B2818" t="inlineStr">
        <is>
          <t>GERAL</t>
        </is>
      </c>
      <c r="C2818" t="inlineStr">
        <is>
          <t>GLOBO AÇOS</t>
        </is>
      </c>
      <c r="D2818" t="inlineStr">
        <is>
          <t>FECHAMENTO</t>
        </is>
      </c>
      <c r="F2818">
        <f>IFERROR(INDEX('BASE METAS DIÁRIAS'!$AA$2:$AC$358,MATCH($A2818,'BASE METAS DIÁRIAS'!$A$2:$A$358,0),3),"")</f>
        <v/>
      </c>
      <c r="G2818">
        <f>IFERROR(IF(WEEKDAY($A2818,2)&lt;=INDEX('BASE METAS DIÁRIAS'!$X$2:$Z$358,MATCH($A2818,'BASE METAS DIÁRIAS'!$A$2:$A$358,0),3),INDEX('BASE METAS DIÁRIAS'!$U$2:$W$358,MATCH($A2818,'BASE METAS DIÁRIAS'!$A$2:$A$358,0),3),""),"")</f>
        <v/>
      </c>
      <c r="H2818">
        <f>IFERROR(IF(INDEX('CONTROLE PRODUÇÃO POR EMPRESAS'!$H$6:$J$5000,MATCH($A2818,'CONTROLE PRODUÇÃO POR EMPRESAS'!$A$6:$A$5000,0),3)="","",IFERROR(1*INDEX('CONTROLE PRODUÇÃO POR EMPRESAS'!$H$6:$J$5000,MATCH($A2818,'CONTROLE PRODUÇÃO POR EMPRESAS'!$A$6:$A$5000,0),3),"")),"")</f>
        <v/>
      </c>
      <c r="I2818">
        <f>IF(OR(NOT(ISNUMBER(G2818)),NOT(ISNUMBER(H2818))),"",H2818-G2818)</f>
        <v/>
      </c>
      <c r="J2818">
        <f>IF(OR(NOT(ISNUMBER(G2818)),NOT(ISNUMBER(H2818)),G2818=0),"",I2818/G2818)</f>
        <v/>
      </c>
      <c r="K2818">
        <f>IF(OR(NOT(ISNUMBER(G2818)),NOT(ISNUMBER(H2818)),G2818=0),"",H2818/G2818)</f>
        <v/>
      </c>
      <c r="L2818">
        <f>IF(NOT(ISNUMBER(G2818)),"SEM META",IF(G2818=0,"SEM META",IF(NOT(ISNUMBER(H2818)),"SEM APONTAMENTO",IF(H2818&gt;=G2818,"VERDE",IF(H2818&gt;=G2818*0.9,"AMARELO","VERMELHO")))))</f>
        <v/>
      </c>
    </row>
    <row r="2819">
      <c r="A2819" s="321" t="n">
        <v>46448</v>
      </c>
      <c r="B2819" t="inlineStr">
        <is>
          <t>GERAL</t>
        </is>
      </c>
      <c r="C2819" t="inlineStr">
        <is>
          <t>GLOBO AÇOS</t>
        </is>
      </c>
      <c r="D2819" t="inlineStr">
        <is>
          <t>PERFILAÇÃO</t>
        </is>
      </c>
      <c r="F2819">
        <f>IFERROR(INDEX('BASE METAS DIÁRIAS'!$AA$2:$AC$358,MATCH($A2819,'BASE METAS DIÁRIAS'!$A$2:$A$358,0),1),"")</f>
        <v/>
      </c>
      <c r="G2819">
        <f>IFERROR(IF(WEEKDAY($A2819,2)&lt;=INDEX('BASE METAS DIÁRIAS'!$X$2:$Z$358,MATCH($A2819,'BASE METAS DIÁRIAS'!$A$2:$A$358,0),1),INDEX('BASE METAS DIÁRIAS'!$U$2:$W$358,MATCH($A2819,'BASE METAS DIÁRIAS'!$A$2:$A$358,0),1),""),"")</f>
        <v/>
      </c>
      <c r="H2819">
        <f>IFERROR(IF(INDEX('CONTROLE PRODUÇÃO POR EMPRESAS'!$H$6:$J$5000,MATCH($A2819,'CONTROLE PRODUÇÃO POR EMPRESAS'!$A$6:$A$5000,0),1)="","",IFERROR(1*INDEX('CONTROLE PRODUÇÃO POR EMPRESAS'!$H$6:$J$5000,MATCH($A2819,'CONTROLE PRODUÇÃO POR EMPRESAS'!$A$6:$A$5000,0),1),"")),"")</f>
        <v/>
      </c>
      <c r="I2819">
        <f>IF(OR(NOT(ISNUMBER(G2819)),NOT(ISNUMBER(H2819))),"",H2819-G2819)</f>
        <v/>
      </c>
      <c r="J2819">
        <f>IF(OR(NOT(ISNUMBER(G2819)),NOT(ISNUMBER(H2819)),G2819=0),"",I2819/G2819)</f>
        <v/>
      </c>
      <c r="K2819">
        <f>IF(OR(NOT(ISNUMBER(G2819)),NOT(ISNUMBER(H2819)),G2819=0),"",H2819/G2819)</f>
        <v/>
      </c>
      <c r="L2819">
        <f>IF(NOT(ISNUMBER(G2819)),"SEM META",IF(G2819=0,"SEM META",IF(NOT(ISNUMBER(H2819)),"SEM APONTAMENTO",IF(H2819&gt;=G2819,"VERDE",IF(H2819&gt;=G2819*0.9,"AMARELO","VERMELHO")))))</f>
        <v/>
      </c>
    </row>
    <row r="2820">
      <c r="A2820" s="321" t="n">
        <v>46448</v>
      </c>
      <c r="B2820" t="inlineStr">
        <is>
          <t>GERAL</t>
        </is>
      </c>
      <c r="C2820" t="inlineStr">
        <is>
          <t>GLOBO AÇOS</t>
        </is>
      </c>
      <c r="D2820" t="inlineStr">
        <is>
          <t>TELHAR</t>
        </is>
      </c>
      <c r="F2820">
        <f>IFERROR(INDEX('BASE METAS DIÁRIAS'!$AA$2:$AC$358,MATCH($A2820,'BASE METAS DIÁRIAS'!$A$2:$A$358,0),2),"")</f>
        <v/>
      </c>
      <c r="G2820">
        <f>IFERROR(IF(WEEKDAY($A2820,2)&lt;=INDEX('BASE METAS DIÁRIAS'!$X$2:$Z$358,MATCH($A2820,'BASE METAS DIÁRIAS'!$A$2:$A$358,0),2),INDEX('BASE METAS DIÁRIAS'!$U$2:$W$358,MATCH($A2820,'BASE METAS DIÁRIAS'!$A$2:$A$358,0),2),""),"")</f>
        <v/>
      </c>
      <c r="H2820">
        <f>IFERROR(IF(INDEX('CONTROLE PRODUÇÃO POR EMPRESAS'!$H$6:$J$5000,MATCH($A2820,'CONTROLE PRODUÇÃO POR EMPRESAS'!$A$6:$A$5000,0),2)="","",IFERROR(1*INDEX('CONTROLE PRODUÇÃO POR EMPRESAS'!$H$6:$J$5000,MATCH($A2820,'CONTROLE PRODUÇÃO POR EMPRESAS'!$A$6:$A$5000,0),2),"")),"")</f>
        <v/>
      </c>
      <c r="I2820">
        <f>IF(OR(NOT(ISNUMBER(G2820)),NOT(ISNUMBER(H2820))),"",H2820-G2820)</f>
        <v/>
      </c>
      <c r="J2820">
        <f>IF(OR(NOT(ISNUMBER(G2820)),NOT(ISNUMBER(H2820)),G2820=0),"",I2820/G2820)</f>
        <v/>
      </c>
      <c r="K2820">
        <f>IF(OR(NOT(ISNUMBER(G2820)),NOT(ISNUMBER(H2820)),G2820=0),"",H2820/G2820)</f>
        <v/>
      </c>
      <c r="L2820">
        <f>IF(NOT(ISNUMBER(G2820)),"SEM META",IF(G2820=0,"SEM META",IF(NOT(ISNUMBER(H2820)),"SEM APONTAMENTO",IF(H2820&gt;=G2820,"VERDE",IF(H2820&gt;=G2820*0.9,"AMARELO","VERMELHO")))))</f>
        <v/>
      </c>
    </row>
    <row r="2821">
      <c r="A2821" s="321" t="n">
        <v>46448</v>
      </c>
      <c r="B2821" t="inlineStr">
        <is>
          <t>GERAL</t>
        </is>
      </c>
      <c r="C2821" t="inlineStr">
        <is>
          <t>GLOBO AÇOS</t>
        </is>
      </c>
      <c r="D2821" t="inlineStr">
        <is>
          <t>FECHAMENTO</t>
        </is>
      </c>
      <c r="F2821">
        <f>IFERROR(INDEX('BASE METAS DIÁRIAS'!$AA$2:$AC$358,MATCH($A2821,'BASE METAS DIÁRIAS'!$A$2:$A$358,0),3),"")</f>
        <v/>
      </c>
      <c r="G2821">
        <f>IFERROR(IF(WEEKDAY($A2821,2)&lt;=INDEX('BASE METAS DIÁRIAS'!$X$2:$Z$358,MATCH($A2821,'BASE METAS DIÁRIAS'!$A$2:$A$358,0),3),INDEX('BASE METAS DIÁRIAS'!$U$2:$W$358,MATCH($A2821,'BASE METAS DIÁRIAS'!$A$2:$A$358,0),3),""),"")</f>
        <v/>
      </c>
      <c r="H2821">
        <f>IFERROR(IF(INDEX('CONTROLE PRODUÇÃO POR EMPRESAS'!$H$6:$J$5000,MATCH($A2821,'CONTROLE PRODUÇÃO POR EMPRESAS'!$A$6:$A$5000,0),3)="","",IFERROR(1*INDEX('CONTROLE PRODUÇÃO POR EMPRESAS'!$H$6:$J$5000,MATCH($A2821,'CONTROLE PRODUÇÃO POR EMPRESAS'!$A$6:$A$5000,0),3),"")),"")</f>
        <v/>
      </c>
      <c r="I2821">
        <f>IF(OR(NOT(ISNUMBER(G2821)),NOT(ISNUMBER(H2821))),"",H2821-G2821)</f>
        <v/>
      </c>
      <c r="J2821">
        <f>IF(OR(NOT(ISNUMBER(G2821)),NOT(ISNUMBER(H2821)),G2821=0),"",I2821/G2821)</f>
        <v/>
      </c>
      <c r="K2821">
        <f>IF(OR(NOT(ISNUMBER(G2821)),NOT(ISNUMBER(H2821)),G2821=0),"",H2821/G2821)</f>
        <v/>
      </c>
      <c r="L2821">
        <f>IF(NOT(ISNUMBER(G2821)),"SEM META",IF(G2821=0,"SEM META",IF(NOT(ISNUMBER(H2821)),"SEM APONTAMENTO",IF(H2821&gt;=G2821,"VERDE",IF(H2821&gt;=G2821*0.9,"AMARELO","VERMELHO")))))</f>
        <v/>
      </c>
    </row>
    <row r="2822">
      <c r="A2822" s="321" t="n">
        <v>46449</v>
      </c>
      <c r="B2822" t="inlineStr">
        <is>
          <t>GERAL</t>
        </is>
      </c>
      <c r="C2822" t="inlineStr">
        <is>
          <t>GLOBO AÇOS</t>
        </is>
      </c>
      <c r="D2822" t="inlineStr">
        <is>
          <t>PERFILAÇÃO</t>
        </is>
      </c>
      <c r="F2822">
        <f>IFERROR(INDEX('BASE METAS DIÁRIAS'!$AA$2:$AC$358,MATCH($A2822,'BASE METAS DIÁRIAS'!$A$2:$A$358,0),1),"")</f>
        <v/>
      </c>
      <c r="G2822">
        <f>IFERROR(IF(WEEKDAY($A2822,2)&lt;=INDEX('BASE METAS DIÁRIAS'!$X$2:$Z$358,MATCH($A2822,'BASE METAS DIÁRIAS'!$A$2:$A$358,0),1),INDEX('BASE METAS DIÁRIAS'!$U$2:$W$358,MATCH($A2822,'BASE METAS DIÁRIAS'!$A$2:$A$358,0),1),""),"")</f>
        <v/>
      </c>
      <c r="H2822">
        <f>IFERROR(IF(INDEX('CONTROLE PRODUÇÃO POR EMPRESAS'!$H$6:$J$5000,MATCH($A2822,'CONTROLE PRODUÇÃO POR EMPRESAS'!$A$6:$A$5000,0),1)="","",IFERROR(1*INDEX('CONTROLE PRODUÇÃO POR EMPRESAS'!$H$6:$J$5000,MATCH($A2822,'CONTROLE PRODUÇÃO POR EMPRESAS'!$A$6:$A$5000,0),1),"")),"")</f>
        <v/>
      </c>
      <c r="I2822">
        <f>IF(OR(NOT(ISNUMBER(G2822)),NOT(ISNUMBER(H2822))),"",H2822-G2822)</f>
        <v/>
      </c>
      <c r="J2822">
        <f>IF(OR(NOT(ISNUMBER(G2822)),NOT(ISNUMBER(H2822)),G2822=0),"",I2822/G2822)</f>
        <v/>
      </c>
      <c r="K2822">
        <f>IF(OR(NOT(ISNUMBER(G2822)),NOT(ISNUMBER(H2822)),G2822=0),"",H2822/G2822)</f>
        <v/>
      </c>
      <c r="L2822">
        <f>IF(NOT(ISNUMBER(G2822)),"SEM META",IF(G2822=0,"SEM META",IF(NOT(ISNUMBER(H2822)),"SEM APONTAMENTO",IF(H2822&gt;=G2822,"VERDE",IF(H2822&gt;=G2822*0.9,"AMARELO","VERMELHO")))))</f>
        <v/>
      </c>
    </row>
    <row r="2823">
      <c r="A2823" s="321" t="n">
        <v>46449</v>
      </c>
      <c r="B2823" t="inlineStr">
        <is>
          <t>GERAL</t>
        </is>
      </c>
      <c r="C2823" t="inlineStr">
        <is>
          <t>GLOBO AÇOS</t>
        </is>
      </c>
      <c r="D2823" t="inlineStr">
        <is>
          <t>TELHAR</t>
        </is>
      </c>
      <c r="F2823">
        <f>IFERROR(INDEX('BASE METAS DIÁRIAS'!$AA$2:$AC$358,MATCH($A2823,'BASE METAS DIÁRIAS'!$A$2:$A$358,0),2),"")</f>
        <v/>
      </c>
      <c r="G2823">
        <f>IFERROR(IF(WEEKDAY($A2823,2)&lt;=INDEX('BASE METAS DIÁRIAS'!$X$2:$Z$358,MATCH($A2823,'BASE METAS DIÁRIAS'!$A$2:$A$358,0),2),INDEX('BASE METAS DIÁRIAS'!$U$2:$W$358,MATCH($A2823,'BASE METAS DIÁRIAS'!$A$2:$A$358,0),2),""),"")</f>
        <v/>
      </c>
      <c r="H2823">
        <f>IFERROR(IF(INDEX('CONTROLE PRODUÇÃO POR EMPRESAS'!$H$6:$J$5000,MATCH($A2823,'CONTROLE PRODUÇÃO POR EMPRESAS'!$A$6:$A$5000,0),2)="","",IFERROR(1*INDEX('CONTROLE PRODUÇÃO POR EMPRESAS'!$H$6:$J$5000,MATCH($A2823,'CONTROLE PRODUÇÃO POR EMPRESAS'!$A$6:$A$5000,0),2),"")),"")</f>
        <v/>
      </c>
      <c r="I2823">
        <f>IF(OR(NOT(ISNUMBER(G2823)),NOT(ISNUMBER(H2823))),"",H2823-G2823)</f>
        <v/>
      </c>
      <c r="J2823">
        <f>IF(OR(NOT(ISNUMBER(G2823)),NOT(ISNUMBER(H2823)),G2823=0),"",I2823/G2823)</f>
        <v/>
      </c>
      <c r="K2823">
        <f>IF(OR(NOT(ISNUMBER(G2823)),NOT(ISNUMBER(H2823)),G2823=0),"",H2823/G2823)</f>
        <v/>
      </c>
      <c r="L2823">
        <f>IF(NOT(ISNUMBER(G2823)),"SEM META",IF(G2823=0,"SEM META",IF(NOT(ISNUMBER(H2823)),"SEM APONTAMENTO",IF(H2823&gt;=G2823,"VERDE",IF(H2823&gt;=G2823*0.9,"AMARELO","VERMELHO")))))</f>
        <v/>
      </c>
    </row>
    <row r="2824">
      <c r="A2824" s="321" t="n">
        <v>46449</v>
      </c>
      <c r="B2824" t="inlineStr">
        <is>
          <t>GERAL</t>
        </is>
      </c>
      <c r="C2824" t="inlineStr">
        <is>
          <t>GLOBO AÇOS</t>
        </is>
      </c>
      <c r="D2824" t="inlineStr">
        <is>
          <t>FECHAMENTO</t>
        </is>
      </c>
      <c r="F2824">
        <f>IFERROR(INDEX('BASE METAS DIÁRIAS'!$AA$2:$AC$358,MATCH($A2824,'BASE METAS DIÁRIAS'!$A$2:$A$358,0),3),"")</f>
        <v/>
      </c>
      <c r="G2824">
        <f>IFERROR(IF(WEEKDAY($A2824,2)&lt;=INDEX('BASE METAS DIÁRIAS'!$X$2:$Z$358,MATCH($A2824,'BASE METAS DIÁRIAS'!$A$2:$A$358,0),3),INDEX('BASE METAS DIÁRIAS'!$U$2:$W$358,MATCH($A2824,'BASE METAS DIÁRIAS'!$A$2:$A$358,0),3),""),"")</f>
        <v/>
      </c>
      <c r="H2824">
        <f>IFERROR(IF(INDEX('CONTROLE PRODUÇÃO POR EMPRESAS'!$H$6:$J$5000,MATCH($A2824,'CONTROLE PRODUÇÃO POR EMPRESAS'!$A$6:$A$5000,0),3)="","",IFERROR(1*INDEX('CONTROLE PRODUÇÃO POR EMPRESAS'!$H$6:$J$5000,MATCH($A2824,'CONTROLE PRODUÇÃO POR EMPRESAS'!$A$6:$A$5000,0),3),"")),"")</f>
        <v/>
      </c>
      <c r="I2824">
        <f>IF(OR(NOT(ISNUMBER(G2824)),NOT(ISNUMBER(H2824))),"",H2824-G2824)</f>
        <v/>
      </c>
      <c r="J2824">
        <f>IF(OR(NOT(ISNUMBER(G2824)),NOT(ISNUMBER(H2824)),G2824=0),"",I2824/G2824)</f>
        <v/>
      </c>
      <c r="K2824">
        <f>IF(OR(NOT(ISNUMBER(G2824)),NOT(ISNUMBER(H2824)),G2824=0),"",H2824/G2824)</f>
        <v/>
      </c>
      <c r="L2824">
        <f>IF(NOT(ISNUMBER(G2824)),"SEM META",IF(G2824=0,"SEM META",IF(NOT(ISNUMBER(H2824)),"SEM APONTAMENTO",IF(H2824&gt;=G2824,"VERDE",IF(H2824&gt;=G2824*0.9,"AMARELO","VERMELHO")))))</f>
        <v/>
      </c>
    </row>
    <row r="2825">
      <c r="A2825" s="321" t="n">
        <v>46450</v>
      </c>
      <c r="B2825" t="inlineStr">
        <is>
          <t>GERAL</t>
        </is>
      </c>
      <c r="C2825" t="inlineStr">
        <is>
          <t>GLOBO AÇOS</t>
        </is>
      </c>
      <c r="D2825" t="inlineStr">
        <is>
          <t>PERFILAÇÃO</t>
        </is>
      </c>
      <c r="F2825">
        <f>IFERROR(INDEX('BASE METAS DIÁRIAS'!$AA$2:$AC$358,MATCH($A2825,'BASE METAS DIÁRIAS'!$A$2:$A$358,0),1),"")</f>
        <v/>
      </c>
      <c r="G2825">
        <f>IFERROR(IF(WEEKDAY($A2825,2)&lt;=INDEX('BASE METAS DIÁRIAS'!$X$2:$Z$358,MATCH($A2825,'BASE METAS DIÁRIAS'!$A$2:$A$358,0),1),INDEX('BASE METAS DIÁRIAS'!$U$2:$W$358,MATCH($A2825,'BASE METAS DIÁRIAS'!$A$2:$A$358,0),1),""),"")</f>
        <v/>
      </c>
      <c r="H2825">
        <f>IFERROR(IF(INDEX('CONTROLE PRODUÇÃO POR EMPRESAS'!$H$6:$J$5000,MATCH($A2825,'CONTROLE PRODUÇÃO POR EMPRESAS'!$A$6:$A$5000,0),1)="","",IFERROR(1*INDEX('CONTROLE PRODUÇÃO POR EMPRESAS'!$H$6:$J$5000,MATCH($A2825,'CONTROLE PRODUÇÃO POR EMPRESAS'!$A$6:$A$5000,0),1),"")),"")</f>
        <v/>
      </c>
      <c r="I2825">
        <f>IF(OR(NOT(ISNUMBER(G2825)),NOT(ISNUMBER(H2825))),"",H2825-G2825)</f>
        <v/>
      </c>
      <c r="J2825">
        <f>IF(OR(NOT(ISNUMBER(G2825)),NOT(ISNUMBER(H2825)),G2825=0),"",I2825/G2825)</f>
        <v/>
      </c>
      <c r="K2825">
        <f>IF(OR(NOT(ISNUMBER(G2825)),NOT(ISNUMBER(H2825)),G2825=0),"",H2825/G2825)</f>
        <v/>
      </c>
      <c r="L2825">
        <f>IF(NOT(ISNUMBER(G2825)),"SEM META",IF(G2825=0,"SEM META",IF(NOT(ISNUMBER(H2825)),"SEM APONTAMENTO",IF(H2825&gt;=G2825,"VERDE",IF(H2825&gt;=G2825*0.9,"AMARELO","VERMELHO")))))</f>
        <v/>
      </c>
    </row>
    <row r="2826">
      <c r="A2826" s="321" t="n">
        <v>46450</v>
      </c>
      <c r="B2826" t="inlineStr">
        <is>
          <t>GERAL</t>
        </is>
      </c>
      <c r="C2826" t="inlineStr">
        <is>
          <t>GLOBO AÇOS</t>
        </is>
      </c>
      <c r="D2826" t="inlineStr">
        <is>
          <t>TELHAR</t>
        </is>
      </c>
      <c r="F2826">
        <f>IFERROR(INDEX('BASE METAS DIÁRIAS'!$AA$2:$AC$358,MATCH($A2826,'BASE METAS DIÁRIAS'!$A$2:$A$358,0),2),"")</f>
        <v/>
      </c>
      <c r="G2826">
        <f>IFERROR(IF(WEEKDAY($A2826,2)&lt;=INDEX('BASE METAS DIÁRIAS'!$X$2:$Z$358,MATCH($A2826,'BASE METAS DIÁRIAS'!$A$2:$A$358,0),2),INDEX('BASE METAS DIÁRIAS'!$U$2:$W$358,MATCH($A2826,'BASE METAS DIÁRIAS'!$A$2:$A$358,0),2),""),"")</f>
        <v/>
      </c>
      <c r="H2826">
        <f>IFERROR(IF(INDEX('CONTROLE PRODUÇÃO POR EMPRESAS'!$H$6:$J$5000,MATCH($A2826,'CONTROLE PRODUÇÃO POR EMPRESAS'!$A$6:$A$5000,0),2)="","",IFERROR(1*INDEX('CONTROLE PRODUÇÃO POR EMPRESAS'!$H$6:$J$5000,MATCH($A2826,'CONTROLE PRODUÇÃO POR EMPRESAS'!$A$6:$A$5000,0),2),"")),"")</f>
        <v/>
      </c>
      <c r="I2826">
        <f>IF(OR(NOT(ISNUMBER(G2826)),NOT(ISNUMBER(H2826))),"",H2826-G2826)</f>
        <v/>
      </c>
      <c r="J2826">
        <f>IF(OR(NOT(ISNUMBER(G2826)),NOT(ISNUMBER(H2826)),G2826=0),"",I2826/G2826)</f>
        <v/>
      </c>
      <c r="K2826">
        <f>IF(OR(NOT(ISNUMBER(G2826)),NOT(ISNUMBER(H2826)),G2826=0),"",H2826/G2826)</f>
        <v/>
      </c>
      <c r="L2826">
        <f>IF(NOT(ISNUMBER(G2826)),"SEM META",IF(G2826=0,"SEM META",IF(NOT(ISNUMBER(H2826)),"SEM APONTAMENTO",IF(H2826&gt;=G2826,"VERDE",IF(H2826&gt;=G2826*0.9,"AMARELO","VERMELHO")))))</f>
        <v/>
      </c>
    </row>
    <row r="2827">
      <c r="A2827" s="321" t="n">
        <v>46450</v>
      </c>
      <c r="B2827" t="inlineStr">
        <is>
          <t>GERAL</t>
        </is>
      </c>
      <c r="C2827" t="inlineStr">
        <is>
          <t>GLOBO AÇOS</t>
        </is>
      </c>
      <c r="D2827" t="inlineStr">
        <is>
          <t>FECHAMENTO</t>
        </is>
      </c>
      <c r="F2827">
        <f>IFERROR(INDEX('BASE METAS DIÁRIAS'!$AA$2:$AC$358,MATCH($A2827,'BASE METAS DIÁRIAS'!$A$2:$A$358,0),3),"")</f>
        <v/>
      </c>
      <c r="G2827">
        <f>IFERROR(IF(WEEKDAY($A2827,2)&lt;=INDEX('BASE METAS DIÁRIAS'!$X$2:$Z$358,MATCH($A2827,'BASE METAS DIÁRIAS'!$A$2:$A$358,0),3),INDEX('BASE METAS DIÁRIAS'!$U$2:$W$358,MATCH($A2827,'BASE METAS DIÁRIAS'!$A$2:$A$358,0),3),""),"")</f>
        <v/>
      </c>
      <c r="H2827">
        <f>IFERROR(IF(INDEX('CONTROLE PRODUÇÃO POR EMPRESAS'!$H$6:$J$5000,MATCH($A2827,'CONTROLE PRODUÇÃO POR EMPRESAS'!$A$6:$A$5000,0),3)="","",IFERROR(1*INDEX('CONTROLE PRODUÇÃO POR EMPRESAS'!$H$6:$J$5000,MATCH($A2827,'CONTROLE PRODUÇÃO POR EMPRESAS'!$A$6:$A$5000,0),3),"")),"")</f>
        <v/>
      </c>
      <c r="I2827">
        <f>IF(OR(NOT(ISNUMBER(G2827)),NOT(ISNUMBER(H2827))),"",H2827-G2827)</f>
        <v/>
      </c>
      <c r="J2827">
        <f>IF(OR(NOT(ISNUMBER(G2827)),NOT(ISNUMBER(H2827)),G2827=0),"",I2827/G2827)</f>
        <v/>
      </c>
      <c r="K2827">
        <f>IF(OR(NOT(ISNUMBER(G2827)),NOT(ISNUMBER(H2827)),G2827=0),"",H2827/G2827)</f>
        <v/>
      </c>
      <c r="L2827">
        <f>IF(NOT(ISNUMBER(G2827)),"SEM META",IF(G2827=0,"SEM META",IF(NOT(ISNUMBER(H2827)),"SEM APONTAMENTO",IF(H2827&gt;=G2827,"VERDE",IF(H2827&gt;=G2827*0.9,"AMARELO","VERMELHO")))))</f>
        <v/>
      </c>
    </row>
    <row r="2828">
      <c r="A2828" s="321" t="n">
        <v>46451</v>
      </c>
      <c r="B2828" t="inlineStr">
        <is>
          <t>GERAL</t>
        </is>
      </c>
      <c r="C2828" t="inlineStr">
        <is>
          <t>GLOBO AÇOS</t>
        </is>
      </c>
      <c r="D2828" t="inlineStr">
        <is>
          <t>PERFILAÇÃO</t>
        </is>
      </c>
      <c r="F2828">
        <f>IFERROR(INDEX('BASE METAS DIÁRIAS'!$AA$2:$AC$358,MATCH($A2828,'BASE METAS DIÁRIAS'!$A$2:$A$358,0),1),"")</f>
        <v/>
      </c>
      <c r="G2828">
        <f>IFERROR(IF(WEEKDAY($A2828,2)&lt;=INDEX('BASE METAS DIÁRIAS'!$X$2:$Z$358,MATCH($A2828,'BASE METAS DIÁRIAS'!$A$2:$A$358,0),1),INDEX('BASE METAS DIÁRIAS'!$U$2:$W$358,MATCH($A2828,'BASE METAS DIÁRIAS'!$A$2:$A$358,0),1),""),"")</f>
        <v/>
      </c>
      <c r="H2828">
        <f>IFERROR(IF(INDEX('CONTROLE PRODUÇÃO POR EMPRESAS'!$H$6:$J$5000,MATCH($A2828,'CONTROLE PRODUÇÃO POR EMPRESAS'!$A$6:$A$5000,0),1)="","",IFERROR(1*INDEX('CONTROLE PRODUÇÃO POR EMPRESAS'!$H$6:$J$5000,MATCH($A2828,'CONTROLE PRODUÇÃO POR EMPRESAS'!$A$6:$A$5000,0),1),"")),"")</f>
        <v/>
      </c>
      <c r="I2828">
        <f>IF(OR(NOT(ISNUMBER(G2828)),NOT(ISNUMBER(H2828))),"",H2828-G2828)</f>
        <v/>
      </c>
      <c r="J2828">
        <f>IF(OR(NOT(ISNUMBER(G2828)),NOT(ISNUMBER(H2828)),G2828=0),"",I2828/G2828)</f>
        <v/>
      </c>
      <c r="K2828">
        <f>IF(OR(NOT(ISNUMBER(G2828)),NOT(ISNUMBER(H2828)),G2828=0),"",H2828/G2828)</f>
        <v/>
      </c>
      <c r="L2828">
        <f>IF(NOT(ISNUMBER(G2828)),"SEM META",IF(G2828=0,"SEM META",IF(NOT(ISNUMBER(H2828)),"SEM APONTAMENTO",IF(H2828&gt;=G2828,"VERDE",IF(H2828&gt;=G2828*0.9,"AMARELO","VERMELHO")))))</f>
        <v/>
      </c>
    </row>
    <row r="2829">
      <c r="A2829" s="321" t="n">
        <v>46451</v>
      </c>
      <c r="B2829" t="inlineStr">
        <is>
          <t>GERAL</t>
        </is>
      </c>
      <c r="C2829" t="inlineStr">
        <is>
          <t>GLOBO AÇOS</t>
        </is>
      </c>
      <c r="D2829" t="inlineStr">
        <is>
          <t>TELHAR</t>
        </is>
      </c>
      <c r="F2829">
        <f>IFERROR(INDEX('BASE METAS DIÁRIAS'!$AA$2:$AC$358,MATCH($A2829,'BASE METAS DIÁRIAS'!$A$2:$A$358,0),2),"")</f>
        <v/>
      </c>
      <c r="G2829">
        <f>IFERROR(IF(WEEKDAY($A2829,2)&lt;=INDEX('BASE METAS DIÁRIAS'!$X$2:$Z$358,MATCH($A2829,'BASE METAS DIÁRIAS'!$A$2:$A$358,0),2),INDEX('BASE METAS DIÁRIAS'!$U$2:$W$358,MATCH($A2829,'BASE METAS DIÁRIAS'!$A$2:$A$358,0),2),""),"")</f>
        <v/>
      </c>
      <c r="H2829">
        <f>IFERROR(IF(INDEX('CONTROLE PRODUÇÃO POR EMPRESAS'!$H$6:$J$5000,MATCH($A2829,'CONTROLE PRODUÇÃO POR EMPRESAS'!$A$6:$A$5000,0),2)="","",IFERROR(1*INDEX('CONTROLE PRODUÇÃO POR EMPRESAS'!$H$6:$J$5000,MATCH($A2829,'CONTROLE PRODUÇÃO POR EMPRESAS'!$A$6:$A$5000,0),2),"")),"")</f>
        <v/>
      </c>
      <c r="I2829">
        <f>IF(OR(NOT(ISNUMBER(G2829)),NOT(ISNUMBER(H2829))),"",H2829-G2829)</f>
        <v/>
      </c>
      <c r="J2829">
        <f>IF(OR(NOT(ISNUMBER(G2829)),NOT(ISNUMBER(H2829)),G2829=0),"",I2829/G2829)</f>
        <v/>
      </c>
      <c r="K2829">
        <f>IF(OR(NOT(ISNUMBER(G2829)),NOT(ISNUMBER(H2829)),G2829=0),"",H2829/G2829)</f>
        <v/>
      </c>
      <c r="L2829">
        <f>IF(NOT(ISNUMBER(G2829)),"SEM META",IF(G2829=0,"SEM META",IF(NOT(ISNUMBER(H2829)),"SEM APONTAMENTO",IF(H2829&gt;=G2829,"VERDE",IF(H2829&gt;=G2829*0.9,"AMARELO","VERMELHO")))))</f>
        <v/>
      </c>
    </row>
    <row r="2830">
      <c r="A2830" s="321" t="n">
        <v>46451</v>
      </c>
      <c r="B2830" t="inlineStr">
        <is>
          <t>GERAL</t>
        </is>
      </c>
      <c r="C2830" t="inlineStr">
        <is>
          <t>GLOBO AÇOS</t>
        </is>
      </c>
      <c r="D2830" t="inlineStr">
        <is>
          <t>FECHAMENTO</t>
        </is>
      </c>
      <c r="F2830">
        <f>IFERROR(INDEX('BASE METAS DIÁRIAS'!$AA$2:$AC$358,MATCH($A2830,'BASE METAS DIÁRIAS'!$A$2:$A$358,0),3),"")</f>
        <v/>
      </c>
      <c r="G2830">
        <f>IFERROR(IF(WEEKDAY($A2830,2)&lt;=INDEX('BASE METAS DIÁRIAS'!$X$2:$Z$358,MATCH($A2830,'BASE METAS DIÁRIAS'!$A$2:$A$358,0),3),INDEX('BASE METAS DIÁRIAS'!$U$2:$W$358,MATCH($A2830,'BASE METAS DIÁRIAS'!$A$2:$A$358,0),3),""),"")</f>
        <v/>
      </c>
      <c r="H2830">
        <f>IFERROR(IF(INDEX('CONTROLE PRODUÇÃO POR EMPRESAS'!$H$6:$J$5000,MATCH($A2830,'CONTROLE PRODUÇÃO POR EMPRESAS'!$A$6:$A$5000,0),3)="","",IFERROR(1*INDEX('CONTROLE PRODUÇÃO POR EMPRESAS'!$H$6:$J$5000,MATCH($A2830,'CONTROLE PRODUÇÃO POR EMPRESAS'!$A$6:$A$5000,0),3),"")),"")</f>
        <v/>
      </c>
      <c r="I2830">
        <f>IF(OR(NOT(ISNUMBER(G2830)),NOT(ISNUMBER(H2830))),"",H2830-G2830)</f>
        <v/>
      </c>
      <c r="J2830">
        <f>IF(OR(NOT(ISNUMBER(G2830)),NOT(ISNUMBER(H2830)),G2830=0),"",I2830/G2830)</f>
        <v/>
      </c>
      <c r="K2830">
        <f>IF(OR(NOT(ISNUMBER(G2830)),NOT(ISNUMBER(H2830)),G2830=0),"",H2830/G2830)</f>
        <v/>
      </c>
      <c r="L2830">
        <f>IF(NOT(ISNUMBER(G2830)),"SEM META",IF(G2830=0,"SEM META",IF(NOT(ISNUMBER(H2830)),"SEM APONTAMENTO",IF(H2830&gt;=G2830,"VERDE",IF(H2830&gt;=G2830*0.9,"AMARELO","VERMELHO")))))</f>
        <v/>
      </c>
    </row>
    <row r="2831">
      <c r="A2831" s="321" t="n">
        <v>46452</v>
      </c>
      <c r="B2831" t="inlineStr">
        <is>
          <t>GERAL</t>
        </is>
      </c>
      <c r="C2831" t="inlineStr">
        <is>
          <t>GLOBO AÇOS</t>
        </is>
      </c>
      <c r="D2831" t="inlineStr">
        <is>
          <t>PERFILAÇÃO</t>
        </is>
      </c>
      <c r="F2831">
        <f>IFERROR(INDEX('BASE METAS DIÁRIAS'!$AA$2:$AC$358,MATCH($A2831,'BASE METAS DIÁRIAS'!$A$2:$A$358,0),1),"")</f>
        <v/>
      </c>
      <c r="G2831">
        <f>IFERROR(IF(WEEKDAY($A2831,2)&lt;=INDEX('BASE METAS DIÁRIAS'!$X$2:$Z$358,MATCH($A2831,'BASE METAS DIÁRIAS'!$A$2:$A$358,0),1),INDEX('BASE METAS DIÁRIAS'!$U$2:$W$358,MATCH($A2831,'BASE METAS DIÁRIAS'!$A$2:$A$358,0),1),""),"")</f>
        <v/>
      </c>
      <c r="H2831">
        <f>IFERROR(IF(INDEX('CONTROLE PRODUÇÃO POR EMPRESAS'!$H$6:$J$5000,MATCH($A2831,'CONTROLE PRODUÇÃO POR EMPRESAS'!$A$6:$A$5000,0),1)="","",IFERROR(1*INDEX('CONTROLE PRODUÇÃO POR EMPRESAS'!$H$6:$J$5000,MATCH($A2831,'CONTROLE PRODUÇÃO POR EMPRESAS'!$A$6:$A$5000,0),1),"")),"")</f>
        <v/>
      </c>
      <c r="I2831">
        <f>IF(OR(NOT(ISNUMBER(G2831)),NOT(ISNUMBER(H2831))),"",H2831-G2831)</f>
        <v/>
      </c>
      <c r="J2831">
        <f>IF(OR(NOT(ISNUMBER(G2831)),NOT(ISNUMBER(H2831)),G2831=0),"",I2831/G2831)</f>
        <v/>
      </c>
      <c r="K2831">
        <f>IF(OR(NOT(ISNUMBER(G2831)),NOT(ISNUMBER(H2831)),G2831=0),"",H2831/G2831)</f>
        <v/>
      </c>
      <c r="L2831">
        <f>IF(NOT(ISNUMBER(G2831)),"SEM META",IF(G2831=0,"SEM META",IF(NOT(ISNUMBER(H2831)),"SEM APONTAMENTO",IF(H2831&gt;=G2831,"VERDE",IF(H2831&gt;=G2831*0.9,"AMARELO","VERMELHO")))))</f>
        <v/>
      </c>
    </row>
    <row r="2832">
      <c r="A2832" s="321" t="n">
        <v>46452</v>
      </c>
      <c r="B2832" t="inlineStr">
        <is>
          <t>GERAL</t>
        </is>
      </c>
      <c r="C2832" t="inlineStr">
        <is>
          <t>GLOBO AÇOS</t>
        </is>
      </c>
      <c r="D2832" t="inlineStr">
        <is>
          <t>TELHAR</t>
        </is>
      </c>
      <c r="F2832">
        <f>IFERROR(INDEX('BASE METAS DIÁRIAS'!$AA$2:$AC$358,MATCH($A2832,'BASE METAS DIÁRIAS'!$A$2:$A$358,0),2),"")</f>
        <v/>
      </c>
      <c r="G2832">
        <f>IFERROR(IF(WEEKDAY($A2832,2)&lt;=INDEX('BASE METAS DIÁRIAS'!$X$2:$Z$358,MATCH($A2832,'BASE METAS DIÁRIAS'!$A$2:$A$358,0),2),INDEX('BASE METAS DIÁRIAS'!$U$2:$W$358,MATCH($A2832,'BASE METAS DIÁRIAS'!$A$2:$A$358,0),2),""),"")</f>
        <v/>
      </c>
      <c r="H2832">
        <f>IFERROR(IF(INDEX('CONTROLE PRODUÇÃO POR EMPRESAS'!$H$6:$J$5000,MATCH($A2832,'CONTROLE PRODUÇÃO POR EMPRESAS'!$A$6:$A$5000,0),2)="","",IFERROR(1*INDEX('CONTROLE PRODUÇÃO POR EMPRESAS'!$H$6:$J$5000,MATCH($A2832,'CONTROLE PRODUÇÃO POR EMPRESAS'!$A$6:$A$5000,0),2),"")),"")</f>
        <v/>
      </c>
      <c r="I2832">
        <f>IF(OR(NOT(ISNUMBER(G2832)),NOT(ISNUMBER(H2832))),"",H2832-G2832)</f>
        <v/>
      </c>
      <c r="J2832">
        <f>IF(OR(NOT(ISNUMBER(G2832)),NOT(ISNUMBER(H2832)),G2832=0),"",I2832/G2832)</f>
        <v/>
      </c>
      <c r="K2832">
        <f>IF(OR(NOT(ISNUMBER(G2832)),NOT(ISNUMBER(H2832)),G2832=0),"",H2832/G2832)</f>
        <v/>
      </c>
      <c r="L2832">
        <f>IF(NOT(ISNUMBER(G2832)),"SEM META",IF(G2832=0,"SEM META",IF(NOT(ISNUMBER(H2832)),"SEM APONTAMENTO",IF(H2832&gt;=G2832,"VERDE",IF(H2832&gt;=G2832*0.9,"AMARELO","VERMELHO")))))</f>
        <v/>
      </c>
    </row>
    <row r="2833">
      <c r="A2833" s="321" t="n">
        <v>46452</v>
      </c>
      <c r="B2833" t="inlineStr">
        <is>
          <t>GERAL</t>
        </is>
      </c>
      <c r="C2833" t="inlineStr">
        <is>
          <t>GLOBO AÇOS</t>
        </is>
      </c>
      <c r="D2833" t="inlineStr">
        <is>
          <t>FECHAMENTO</t>
        </is>
      </c>
      <c r="F2833">
        <f>IFERROR(INDEX('BASE METAS DIÁRIAS'!$AA$2:$AC$358,MATCH($A2833,'BASE METAS DIÁRIAS'!$A$2:$A$358,0),3),"")</f>
        <v/>
      </c>
      <c r="G2833">
        <f>IFERROR(IF(WEEKDAY($A2833,2)&lt;=INDEX('BASE METAS DIÁRIAS'!$X$2:$Z$358,MATCH($A2833,'BASE METAS DIÁRIAS'!$A$2:$A$358,0),3),INDEX('BASE METAS DIÁRIAS'!$U$2:$W$358,MATCH($A2833,'BASE METAS DIÁRIAS'!$A$2:$A$358,0),3),""),"")</f>
        <v/>
      </c>
      <c r="H2833">
        <f>IFERROR(IF(INDEX('CONTROLE PRODUÇÃO POR EMPRESAS'!$H$6:$J$5000,MATCH($A2833,'CONTROLE PRODUÇÃO POR EMPRESAS'!$A$6:$A$5000,0),3)="","",IFERROR(1*INDEX('CONTROLE PRODUÇÃO POR EMPRESAS'!$H$6:$J$5000,MATCH($A2833,'CONTROLE PRODUÇÃO POR EMPRESAS'!$A$6:$A$5000,0),3),"")),"")</f>
        <v/>
      </c>
      <c r="I2833">
        <f>IF(OR(NOT(ISNUMBER(G2833)),NOT(ISNUMBER(H2833))),"",H2833-G2833)</f>
        <v/>
      </c>
      <c r="J2833">
        <f>IF(OR(NOT(ISNUMBER(G2833)),NOT(ISNUMBER(H2833)),G2833=0),"",I2833/G2833)</f>
        <v/>
      </c>
      <c r="K2833">
        <f>IF(OR(NOT(ISNUMBER(G2833)),NOT(ISNUMBER(H2833)),G2833=0),"",H2833/G2833)</f>
        <v/>
      </c>
      <c r="L2833">
        <f>IF(NOT(ISNUMBER(G2833)),"SEM META",IF(G2833=0,"SEM META",IF(NOT(ISNUMBER(H2833)),"SEM APONTAMENTO",IF(H2833&gt;=G2833,"VERDE",IF(H2833&gt;=G2833*0.9,"AMARELO","VERMELHO")))))</f>
        <v/>
      </c>
    </row>
    <row r="2834">
      <c r="A2834" s="321" t="n">
        <v>46453</v>
      </c>
      <c r="B2834" t="inlineStr">
        <is>
          <t>GERAL</t>
        </is>
      </c>
      <c r="C2834" t="inlineStr">
        <is>
          <t>GLOBO AÇOS</t>
        </is>
      </c>
      <c r="D2834" t="inlineStr">
        <is>
          <t>PERFILAÇÃO</t>
        </is>
      </c>
      <c r="F2834">
        <f>IFERROR(INDEX('BASE METAS DIÁRIAS'!$AA$2:$AC$358,MATCH($A2834,'BASE METAS DIÁRIAS'!$A$2:$A$358,0),1),"")</f>
        <v/>
      </c>
      <c r="G2834">
        <f>IFERROR(IF(WEEKDAY($A2834,2)&lt;=INDEX('BASE METAS DIÁRIAS'!$X$2:$Z$358,MATCH($A2834,'BASE METAS DIÁRIAS'!$A$2:$A$358,0),1),INDEX('BASE METAS DIÁRIAS'!$U$2:$W$358,MATCH($A2834,'BASE METAS DIÁRIAS'!$A$2:$A$358,0),1),""),"")</f>
        <v/>
      </c>
      <c r="H2834">
        <f>IFERROR(IF(INDEX('CONTROLE PRODUÇÃO POR EMPRESAS'!$H$6:$J$5000,MATCH($A2834,'CONTROLE PRODUÇÃO POR EMPRESAS'!$A$6:$A$5000,0),1)="","",IFERROR(1*INDEX('CONTROLE PRODUÇÃO POR EMPRESAS'!$H$6:$J$5000,MATCH($A2834,'CONTROLE PRODUÇÃO POR EMPRESAS'!$A$6:$A$5000,0),1),"")),"")</f>
        <v/>
      </c>
      <c r="I2834">
        <f>IF(OR(NOT(ISNUMBER(G2834)),NOT(ISNUMBER(H2834))),"",H2834-G2834)</f>
        <v/>
      </c>
      <c r="J2834">
        <f>IF(OR(NOT(ISNUMBER(G2834)),NOT(ISNUMBER(H2834)),G2834=0),"",I2834/G2834)</f>
        <v/>
      </c>
      <c r="K2834">
        <f>IF(OR(NOT(ISNUMBER(G2834)),NOT(ISNUMBER(H2834)),G2834=0),"",H2834/G2834)</f>
        <v/>
      </c>
      <c r="L2834">
        <f>IF(NOT(ISNUMBER(G2834)),"SEM META",IF(G2834=0,"SEM META",IF(NOT(ISNUMBER(H2834)),"SEM APONTAMENTO",IF(H2834&gt;=G2834,"VERDE",IF(H2834&gt;=G2834*0.9,"AMARELO","VERMELHO")))))</f>
        <v/>
      </c>
    </row>
    <row r="2835">
      <c r="A2835" s="321" t="n">
        <v>46453</v>
      </c>
      <c r="B2835" t="inlineStr">
        <is>
          <t>GERAL</t>
        </is>
      </c>
      <c r="C2835" t="inlineStr">
        <is>
          <t>GLOBO AÇOS</t>
        </is>
      </c>
      <c r="D2835" t="inlineStr">
        <is>
          <t>TELHAR</t>
        </is>
      </c>
      <c r="F2835">
        <f>IFERROR(INDEX('BASE METAS DIÁRIAS'!$AA$2:$AC$358,MATCH($A2835,'BASE METAS DIÁRIAS'!$A$2:$A$358,0),2),"")</f>
        <v/>
      </c>
      <c r="G2835">
        <f>IFERROR(IF(WEEKDAY($A2835,2)&lt;=INDEX('BASE METAS DIÁRIAS'!$X$2:$Z$358,MATCH($A2835,'BASE METAS DIÁRIAS'!$A$2:$A$358,0),2),INDEX('BASE METAS DIÁRIAS'!$U$2:$W$358,MATCH($A2835,'BASE METAS DIÁRIAS'!$A$2:$A$358,0),2),""),"")</f>
        <v/>
      </c>
      <c r="H2835">
        <f>IFERROR(IF(INDEX('CONTROLE PRODUÇÃO POR EMPRESAS'!$H$6:$J$5000,MATCH($A2835,'CONTROLE PRODUÇÃO POR EMPRESAS'!$A$6:$A$5000,0),2)="","",IFERROR(1*INDEX('CONTROLE PRODUÇÃO POR EMPRESAS'!$H$6:$J$5000,MATCH($A2835,'CONTROLE PRODUÇÃO POR EMPRESAS'!$A$6:$A$5000,0),2),"")),"")</f>
        <v/>
      </c>
      <c r="I2835">
        <f>IF(OR(NOT(ISNUMBER(G2835)),NOT(ISNUMBER(H2835))),"",H2835-G2835)</f>
        <v/>
      </c>
      <c r="J2835">
        <f>IF(OR(NOT(ISNUMBER(G2835)),NOT(ISNUMBER(H2835)),G2835=0),"",I2835/G2835)</f>
        <v/>
      </c>
      <c r="K2835">
        <f>IF(OR(NOT(ISNUMBER(G2835)),NOT(ISNUMBER(H2835)),G2835=0),"",H2835/G2835)</f>
        <v/>
      </c>
      <c r="L2835">
        <f>IF(NOT(ISNUMBER(G2835)),"SEM META",IF(G2835=0,"SEM META",IF(NOT(ISNUMBER(H2835)),"SEM APONTAMENTO",IF(H2835&gt;=G2835,"VERDE",IF(H2835&gt;=G2835*0.9,"AMARELO","VERMELHO")))))</f>
        <v/>
      </c>
    </row>
    <row r="2836">
      <c r="A2836" s="321" t="n">
        <v>46453</v>
      </c>
      <c r="B2836" t="inlineStr">
        <is>
          <t>GERAL</t>
        </is>
      </c>
      <c r="C2836" t="inlineStr">
        <is>
          <t>GLOBO AÇOS</t>
        </is>
      </c>
      <c r="D2836" t="inlineStr">
        <is>
          <t>FECHAMENTO</t>
        </is>
      </c>
      <c r="F2836">
        <f>IFERROR(INDEX('BASE METAS DIÁRIAS'!$AA$2:$AC$358,MATCH($A2836,'BASE METAS DIÁRIAS'!$A$2:$A$358,0),3),"")</f>
        <v/>
      </c>
      <c r="G2836">
        <f>IFERROR(IF(WEEKDAY($A2836,2)&lt;=INDEX('BASE METAS DIÁRIAS'!$X$2:$Z$358,MATCH($A2836,'BASE METAS DIÁRIAS'!$A$2:$A$358,0),3),INDEX('BASE METAS DIÁRIAS'!$U$2:$W$358,MATCH($A2836,'BASE METAS DIÁRIAS'!$A$2:$A$358,0),3),""),"")</f>
        <v/>
      </c>
      <c r="H2836">
        <f>IFERROR(IF(INDEX('CONTROLE PRODUÇÃO POR EMPRESAS'!$H$6:$J$5000,MATCH($A2836,'CONTROLE PRODUÇÃO POR EMPRESAS'!$A$6:$A$5000,0),3)="","",IFERROR(1*INDEX('CONTROLE PRODUÇÃO POR EMPRESAS'!$H$6:$J$5000,MATCH($A2836,'CONTROLE PRODUÇÃO POR EMPRESAS'!$A$6:$A$5000,0),3),"")),"")</f>
        <v/>
      </c>
      <c r="I2836">
        <f>IF(OR(NOT(ISNUMBER(G2836)),NOT(ISNUMBER(H2836))),"",H2836-G2836)</f>
        <v/>
      </c>
      <c r="J2836">
        <f>IF(OR(NOT(ISNUMBER(G2836)),NOT(ISNUMBER(H2836)),G2836=0),"",I2836/G2836)</f>
        <v/>
      </c>
      <c r="K2836">
        <f>IF(OR(NOT(ISNUMBER(G2836)),NOT(ISNUMBER(H2836)),G2836=0),"",H2836/G2836)</f>
        <v/>
      </c>
      <c r="L2836">
        <f>IF(NOT(ISNUMBER(G2836)),"SEM META",IF(G2836=0,"SEM META",IF(NOT(ISNUMBER(H2836)),"SEM APONTAMENTO",IF(H2836&gt;=G2836,"VERDE",IF(H2836&gt;=G2836*0.9,"AMARELO","VERMELHO")))))</f>
        <v/>
      </c>
    </row>
    <row r="2837">
      <c r="A2837" s="321" t="n">
        <v>46454</v>
      </c>
      <c r="B2837" t="inlineStr">
        <is>
          <t>GERAL</t>
        </is>
      </c>
      <c r="C2837" t="inlineStr">
        <is>
          <t>GLOBO AÇOS</t>
        </is>
      </c>
      <c r="D2837" t="inlineStr">
        <is>
          <t>PERFILAÇÃO</t>
        </is>
      </c>
      <c r="F2837">
        <f>IFERROR(INDEX('BASE METAS DIÁRIAS'!$AA$2:$AC$358,MATCH($A2837,'BASE METAS DIÁRIAS'!$A$2:$A$358,0),1),"")</f>
        <v/>
      </c>
      <c r="G2837">
        <f>IFERROR(IF(WEEKDAY($A2837,2)&lt;=INDEX('BASE METAS DIÁRIAS'!$X$2:$Z$358,MATCH($A2837,'BASE METAS DIÁRIAS'!$A$2:$A$358,0),1),INDEX('BASE METAS DIÁRIAS'!$U$2:$W$358,MATCH($A2837,'BASE METAS DIÁRIAS'!$A$2:$A$358,0),1),""),"")</f>
        <v/>
      </c>
      <c r="H2837">
        <f>IFERROR(IF(INDEX('CONTROLE PRODUÇÃO POR EMPRESAS'!$H$6:$J$5000,MATCH($A2837,'CONTROLE PRODUÇÃO POR EMPRESAS'!$A$6:$A$5000,0),1)="","",IFERROR(1*INDEX('CONTROLE PRODUÇÃO POR EMPRESAS'!$H$6:$J$5000,MATCH($A2837,'CONTROLE PRODUÇÃO POR EMPRESAS'!$A$6:$A$5000,0),1),"")),"")</f>
        <v/>
      </c>
      <c r="I2837">
        <f>IF(OR(NOT(ISNUMBER(G2837)),NOT(ISNUMBER(H2837))),"",H2837-G2837)</f>
        <v/>
      </c>
      <c r="J2837">
        <f>IF(OR(NOT(ISNUMBER(G2837)),NOT(ISNUMBER(H2837)),G2837=0),"",I2837/G2837)</f>
        <v/>
      </c>
      <c r="K2837">
        <f>IF(OR(NOT(ISNUMBER(G2837)),NOT(ISNUMBER(H2837)),G2837=0),"",H2837/G2837)</f>
        <v/>
      </c>
      <c r="L2837">
        <f>IF(NOT(ISNUMBER(G2837)),"SEM META",IF(G2837=0,"SEM META",IF(NOT(ISNUMBER(H2837)),"SEM APONTAMENTO",IF(H2837&gt;=G2837,"VERDE",IF(H2837&gt;=G2837*0.9,"AMARELO","VERMELHO")))))</f>
        <v/>
      </c>
    </row>
    <row r="2838">
      <c r="A2838" s="321" t="n">
        <v>46454</v>
      </c>
      <c r="B2838" t="inlineStr">
        <is>
          <t>GERAL</t>
        </is>
      </c>
      <c r="C2838" t="inlineStr">
        <is>
          <t>GLOBO AÇOS</t>
        </is>
      </c>
      <c r="D2838" t="inlineStr">
        <is>
          <t>TELHAR</t>
        </is>
      </c>
      <c r="F2838">
        <f>IFERROR(INDEX('BASE METAS DIÁRIAS'!$AA$2:$AC$358,MATCH($A2838,'BASE METAS DIÁRIAS'!$A$2:$A$358,0),2),"")</f>
        <v/>
      </c>
      <c r="G2838">
        <f>IFERROR(IF(WEEKDAY($A2838,2)&lt;=INDEX('BASE METAS DIÁRIAS'!$X$2:$Z$358,MATCH($A2838,'BASE METAS DIÁRIAS'!$A$2:$A$358,0),2),INDEX('BASE METAS DIÁRIAS'!$U$2:$W$358,MATCH($A2838,'BASE METAS DIÁRIAS'!$A$2:$A$358,0),2),""),"")</f>
        <v/>
      </c>
      <c r="H2838">
        <f>IFERROR(IF(INDEX('CONTROLE PRODUÇÃO POR EMPRESAS'!$H$6:$J$5000,MATCH($A2838,'CONTROLE PRODUÇÃO POR EMPRESAS'!$A$6:$A$5000,0),2)="","",IFERROR(1*INDEX('CONTROLE PRODUÇÃO POR EMPRESAS'!$H$6:$J$5000,MATCH($A2838,'CONTROLE PRODUÇÃO POR EMPRESAS'!$A$6:$A$5000,0),2),"")),"")</f>
        <v/>
      </c>
      <c r="I2838">
        <f>IF(OR(NOT(ISNUMBER(G2838)),NOT(ISNUMBER(H2838))),"",H2838-G2838)</f>
        <v/>
      </c>
      <c r="J2838">
        <f>IF(OR(NOT(ISNUMBER(G2838)),NOT(ISNUMBER(H2838)),G2838=0),"",I2838/G2838)</f>
        <v/>
      </c>
      <c r="K2838">
        <f>IF(OR(NOT(ISNUMBER(G2838)),NOT(ISNUMBER(H2838)),G2838=0),"",H2838/G2838)</f>
        <v/>
      </c>
      <c r="L2838">
        <f>IF(NOT(ISNUMBER(G2838)),"SEM META",IF(G2838=0,"SEM META",IF(NOT(ISNUMBER(H2838)),"SEM APONTAMENTO",IF(H2838&gt;=G2838,"VERDE",IF(H2838&gt;=G2838*0.9,"AMARELO","VERMELHO")))))</f>
        <v/>
      </c>
    </row>
    <row r="2839">
      <c r="A2839" s="321" t="n">
        <v>46454</v>
      </c>
      <c r="B2839" t="inlineStr">
        <is>
          <t>GERAL</t>
        </is>
      </c>
      <c r="C2839" t="inlineStr">
        <is>
          <t>GLOBO AÇOS</t>
        </is>
      </c>
      <c r="D2839" t="inlineStr">
        <is>
          <t>FECHAMENTO</t>
        </is>
      </c>
      <c r="F2839">
        <f>IFERROR(INDEX('BASE METAS DIÁRIAS'!$AA$2:$AC$358,MATCH($A2839,'BASE METAS DIÁRIAS'!$A$2:$A$358,0),3),"")</f>
        <v/>
      </c>
      <c r="G2839">
        <f>IFERROR(IF(WEEKDAY($A2839,2)&lt;=INDEX('BASE METAS DIÁRIAS'!$X$2:$Z$358,MATCH($A2839,'BASE METAS DIÁRIAS'!$A$2:$A$358,0),3),INDEX('BASE METAS DIÁRIAS'!$U$2:$W$358,MATCH($A2839,'BASE METAS DIÁRIAS'!$A$2:$A$358,0),3),""),"")</f>
        <v/>
      </c>
      <c r="H2839">
        <f>IFERROR(IF(INDEX('CONTROLE PRODUÇÃO POR EMPRESAS'!$H$6:$J$5000,MATCH($A2839,'CONTROLE PRODUÇÃO POR EMPRESAS'!$A$6:$A$5000,0),3)="","",IFERROR(1*INDEX('CONTROLE PRODUÇÃO POR EMPRESAS'!$H$6:$J$5000,MATCH($A2839,'CONTROLE PRODUÇÃO POR EMPRESAS'!$A$6:$A$5000,0),3),"")),"")</f>
        <v/>
      </c>
      <c r="I2839">
        <f>IF(OR(NOT(ISNUMBER(G2839)),NOT(ISNUMBER(H2839))),"",H2839-G2839)</f>
        <v/>
      </c>
      <c r="J2839">
        <f>IF(OR(NOT(ISNUMBER(G2839)),NOT(ISNUMBER(H2839)),G2839=0),"",I2839/G2839)</f>
        <v/>
      </c>
      <c r="K2839">
        <f>IF(OR(NOT(ISNUMBER(G2839)),NOT(ISNUMBER(H2839)),G2839=0),"",H2839/G2839)</f>
        <v/>
      </c>
      <c r="L2839">
        <f>IF(NOT(ISNUMBER(G2839)),"SEM META",IF(G2839=0,"SEM META",IF(NOT(ISNUMBER(H2839)),"SEM APONTAMENTO",IF(H2839&gt;=G2839,"VERDE",IF(H2839&gt;=G2839*0.9,"AMARELO","VERMELHO")))))</f>
        <v/>
      </c>
    </row>
    <row r="2840">
      <c r="A2840" s="321" t="n">
        <v>46455</v>
      </c>
      <c r="B2840" t="inlineStr">
        <is>
          <t>GERAL</t>
        </is>
      </c>
      <c r="C2840" t="inlineStr">
        <is>
          <t>GLOBO AÇOS</t>
        </is>
      </c>
      <c r="D2840" t="inlineStr">
        <is>
          <t>PERFILAÇÃO</t>
        </is>
      </c>
      <c r="F2840">
        <f>IFERROR(INDEX('BASE METAS DIÁRIAS'!$AA$2:$AC$358,MATCH($A2840,'BASE METAS DIÁRIAS'!$A$2:$A$358,0),1),"")</f>
        <v/>
      </c>
      <c r="G2840">
        <f>IFERROR(IF(WEEKDAY($A2840,2)&lt;=INDEX('BASE METAS DIÁRIAS'!$X$2:$Z$358,MATCH($A2840,'BASE METAS DIÁRIAS'!$A$2:$A$358,0),1),INDEX('BASE METAS DIÁRIAS'!$U$2:$W$358,MATCH($A2840,'BASE METAS DIÁRIAS'!$A$2:$A$358,0),1),""),"")</f>
        <v/>
      </c>
      <c r="H2840">
        <f>IFERROR(IF(INDEX('CONTROLE PRODUÇÃO POR EMPRESAS'!$H$6:$J$5000,MATCH($A2840,'CONTROLE PRODUÇÃO POR EMPRESAS'!$A$6:$A$5000,0),1)="","",IFERROR(1*INDEX('CONTROLE PRODUÇÃO POR EMPRESAS'!$H$6:$J$5000,MATCH($A2840,'CONTROLE PRODUÇÃO POR EMPRESAS'!$A$6:$A$5000,0),1),"")),"")</f>
        <v/>
      </c>
      <c r="I2840">
        <f>IF(OR(NOT(ISNUMBER(G2840)),NOT(ISNUMBER(H2840))),"",H2840-G2840)</f>
        <v/>
      </c>
      <c r="J2840">
        <f>IF(OR(NOT(ISNUMBER(G2840)),NOT(ISNUMBER(H2840)),G2840=0),"",I2840/G2840)</f>
        <v/>
      </c>
      <c r="K2840">
        <f>IF(OR(NOT(ISNUMBER(G2840)),NOT(ISNUMBER(H2840)),G2840=0),"",H2840/G2840)</f>
        <v/>
      </c>
      <c r="L2840">
        <f>IF(NOT(ISNUMBER(G2840)),"SEM META",IF(G2840=0,"SEM META",IF(NOT(ISNUMBER(H2840)),"SEM APONTAMENTO",IF(H2840&gt;=G2840,"VERDE",IF(H2840&gt;=G2840*0.9,"AMARELO","VERMELHO")))))</f>
        <v/>
      </c>
    </row>
    <row r="2841">
      <c r="A2841" s="321" t="n">
        <v>46455</v>
      </c>
      <c r="B2841" t="inlineStr">
        <is>
          <t>GERAL</t>
        </is>
      </c>
      <c r="C2841" t="inlineStr">
        <is>
          <t>GLOBO AÇOS</t>
        </is>
      </c>
      <c r="D2841" t="inlineStr">
        <is>
          <t>TELHAR</t>
        </is>
      </c>
      <c r="F2841">
        <f>IFERROR(INDEX('BASE METAS DIÁRIAS'!$AA$2:$AC$358,MATCH($A2841,'BASE METAS DIÁRIAS'!$A$2:$A$358,0),2),"")</f>
        <v/>
      </c>
      <c r="G2841">
        <f>IFERROR(IF(WEEKDAY($A2841,2)&lt;=INDEX('BASE METAS DIÁRIAS'!$X$2:$Z$358,MATCH($A2841,'BASE METAS DIÁRIAS'!$A$2:$A$358,0),2),INDEX('BASE METAS DIÁRIAS'!$U$2:$W$358,MATCH($A2841,'BASE METAS DIÁRIAS'!$A$2:$A$358,0),2),""),"")</f>
        <v/>
      </c>
      <c r="H2841">
        <f>IFERROR(IF(INDEX('CONTROLE PRODUÇÃO POR EMPRESAS'!$H$6:$J$5000,MATCH($A2841,'CONTROLE PRODUÇÃO POR EMPRESAS'!$A$6:$A$5000,0),2)="","",IFERROR(1*INDEX('CONTROLE PRODUÇÃO POR EMPRESAS'!$H$6:$J$5000,MATCH($A2841,'CONTROLE PRODUÇÃO POR EMPRESAS'!$A$6:$A$5000,0),2),"")),"")</f>
        <v/>
      </c>
      <c r="I2841">
        <f>IF(OR(NOT(ISNUMBER(G2841)),NOT(ISNUMBER(H2841))),"",H2841-G2841)</f>
        <v/>
      </c>
      <c r="J2841">
        <f>IF(OR(NOT(ISNUMBER(G2841)),NOT(ISNUMBER(H2841)),G2841=0),"",I2841/G2841)</f>
        <v/>
      </c>
      <c r="K2841">
        <f>IF(OR(NOT(ISNUMBER(G2841)),NOT(ISNUMBER(H2841)),G2841=0),"",H2841/G2841)</f>
        <v/>
      </c>
      <c r="L2841">
        <f>IF(NOT(ISNUMBER(G2841)),"SEM META",IF(G2841=0,"SEM META",IF(NOT(ISNUMBER(H2841)),"SEM APONTAMENTO",IF(H2841&gt;=G2841,"VERDE",IF(H2841&gt;=G2841*0.9,"AMARELO","VERMELHO")))))</f>
        <v/>
      </c>
    </row>
    <row r="2842">
      <c r="A2842" s="321" t="n">
        <v>46455</v>
      </c>
      <c r="B2842" t="inlineStr">
        <is>
          <t>GERAL</t>
        </is>
      </c>
      <c r="C2842" t="inlineStr">
        <is>
          <t>GLOBO AÇOS</t>
        </is>
      </c>
      <c r="D2842" t="inlineStr">
        <is>
          <t>FECHAMENTO</t>
        </is>
      </c>
      <c r="F2842">
        <f>IFERROR(INDEX('BASE METAS DIÁRIAS'!$AA$2:$AC$358,MATCH($A2842,'BASE METAS DIÁRIAS'!$A$2:$A$358,0),3),"")</f>
        <v/>
      </c>
      <c r="G2842">
        <f>IFERROR(IF(WEEKDAY($A2842,2)&lt;=INDEX('BASE METAS DIÁRIAS'!$X$2:$Z$358,MATCH($A2842,'BASE METAS DIÁRIAS'!$A$2:$A$358,0),3),INDEX('BASE METAS DIÁRIAS'!$U$2:$W$358,MATCH($A2842,'BASE METAS DIÁRIAS'!$A$2:$A$358,0),3),""),"")</f>
        <v/>
      </c>
      <c r="H2842">
        <f>IFERROR(IF(INDEX('CONTROLE PRODUÇÃO POR EMPRESAS'!$H$6:$J$5000,MATCH($A2842,'CONTROLE PRODUÇÃO POR EMPRESAS'!$A$6:$A$5000,0),3)="","",IFERROR(1*INDEX('CONTROLE PRODUÇÃO POR EMPRESAS'!$H$6:$J$5000,MATCH($A2842,'CONTROLE PRODUÇÃO POR EMPRESAS'!$A$6:$A$5000,0),3),"")),"")</f>
        <v/>
      </c>
      <c r="I2842">
        <f>IF(OR(NOT(ISNUMBER(G2842)),NOT(ISNUMBER(H2842))),"",H2842-G2842)</f>
        <v/>
      </c>
      <c r="J2842">
        <f>IF(OR(NOT(ISNUMBER(G2842)),NOT(ISNUMBER(H2842)),G2842=0),"",I2842/G2842)</f>
        <v/>
      </c>
      <c r="K2842">
        <f>IF(OR(NOT(ISNUMBER(G2842)),NOT(ISNUMBER(H2842)),G2842=0),"",H2842/G2842)</f>
        <v/>
      </c>
      <c r="L2842">
        <f>IF(NOT(ISNUMBER(G2842)),"SEM META",IF(G2842=0,"SEM META",IF(NOT(ISNUMBER(H2842)),"SEM APONTAMENTO",IF(H2842&gt;=G2842,"VERDE",IF(H2842&gt;=G2842*0.9,"AMARELO","VERMELHO")))))</f>
        <v/>
      </c>
    </row>
    <row r="2843">
      <c r="A2843" s="321" t="n">
        <v>46456</v>
      </c>
      <c r="B2843" t="inlineStr">
        <is>
          <t>GERAL</t>
        </is>
      </c>
      <c r="C2843" t="inlineStr">
        <is>
          <t>GLOBO AÇOS</t>
        </is>
      </c>
      <c r="D2843" t="inlineStr">
        <is>
          <t>PERFILAÇÃO</t>
        </is>
      </c>
      <c r="F2843">
        <f>IFERROR(INDEX('BASE METAS DIÁRIAS'!$AA$2:$AC$358,MATCH($A2843,'BASE METAS DIÁRIAS'!$A$2:$A$358,0),1),"")</f>
        <v/>
      </c>
      <c r="G2843">
        <f>IFERROR(IF(WEEKDAY($A2843,2)&lt;=INDEX('BASE METAS DIÁRIAS'!$X$2:$Z$358,MATCH($A2843,'BASE METAS DIÁRIAS'!$A$2:$A$358,0),1),INDEX('BASE METAS DIÁRIAS'!$U$2:$W$358,MATCH($A2843,'BASE METAS DIÁRIAS'!$A$2:$A$358,0),1),""),"")</f>
        <v/>
      </c>
      <c r="H2843">
        <f>IFERROR(IF(INDEX('CONTROLE PRODUÇÃO POR EMPRESAS'!$H$6:$J$5000,MATCH($A2843,'CONTROLE PRODUÇÃO POR EMPRESAS'!$A$6:$A$5000,0),1)="","",IFERROR(1*INDEX('CONTROLE PRODUÇÃO POR EMPRESAS'!$H$6:$J$5000,MATCH($A2843,'CONTROLE PRODUÇÃO POR EMPRESAS'!$A$6:$A$5000,0),1),"")),"")</f>
        <v/>
      </c>
      <c r="I2843">
        <f>IF(OR(NOT(ISNUMBER(G2843)),NOT(ISNUMBER(H2843))),"",H2843-G2843)</f>
        <v/>
      </c>
      <c r="J2843">
        <f>IF(OR(NOT(ISNUMBER(G2843)),NOT(ISNUMBER(H2843)),G2843=0),"",I2843/G2843)</f>
        <v/>
      </c>
      <c r="K2843">
        <f>IF(OR(NOT(ISNUMBER(G2843)),NOT(ISNUMBER(H2843)),G2843=0),"",H2843/G2843)</f>
        <v/>
      </c>
      <c r="L2843">
        <f>IF(NOT(ISNUMBER(G2843)),"SEM META",IF(G2843=0,"SEM META",IF(NOT(ISNUMBER(H2843)),"SEM APONTAMENTO",IF(H2843&gt;=G2843,"VERDE",IF(H2843&gt;=G2843*0.9,"AMARELO","VERMELHO")))))</f>
        <v/>
      </c>
    </row>
    <row r="2844">
      <c r="A2844" s="321" t="n">
        <v>46456</v>
      </c>
      <c r="B2844" t="inlineStr">
        <is>
          <t>GERAL</t>
        </is>
      </c>
      <c r="C2844" t="inlineStr">
        <is>
          <t>GLOBO AÇOS</t>
        </is>
      </c>
      <c r="D2844" t="inlineStr">
        <is>
          <t>TELHAR</t>
        </is>
      </c>
      <c r="F2844">
        <f>IFERROR(INDEX('BASE METAS DIÁRIAS'!$AA$2:$AC$358,MATCH($A2844,'BASE METAS DIÁRIAS'!$A$2:$A$358,0),2),"")</f>
        <v/>
      </c>
      <c r="G2844">
        <f>IFERROR(IF(WEEKDAY($A2844,2)&lt;=INDEX('BASE METAS DIÁRIAS'!$X$2:$Z$358,MATCH($A2844,'BASE METAS DIÁRIAS'!$A$2:$A$358,0),2),INDEX('BASE METAS DIÁRIAS'!$U$2:$W$358,MATCH($A2844,'BASE METAS DIÁRIAS'!$A$2:$A$358,0),2),""),"")</f>
        <v/>
      </c>
      <c r="H2844">
        <f>IFERROR(IF(INDEX('CONTROLE PRODUÇÃO POR EMPRESAS'!$H$6:$J$5000,MATCH($A2844,'CONTROLE PRODUÇÃO POR EMPRESAS'!$A$6:$A$5000,0),2)="","",IFERROR(1*INDEX('CONTROLE PRODUÇÃO POR EMPRESAS'!$H$6:$J$5000,MATCH($A2844,'CONTROLE PRODUÇÃO POR EMPRESAS'!$A$6:$A$5000,0),2),"")),"")</f>
        <v/>
      </c>
      <c r="I2844">
        <f>IF(OR(NOT(ISNUMBER(G2844)),NOT(ISNUMBER(H2844))),"",H2844-G2844)</f>
        <v/>
      </c>
      <c r="J2844">
        <f>IF(OR(NOT(ISNUMBER(G2844)),NOT(ISNUMBER(H2844)),G2844=0),"",I2844/G2844)</f>
        <v/>
      </c>
      <c r="K2844">
        <f>IF(OR(NOT(ISNUMBER(G2844)),NOT(ISNUMBER(H2844)),G2844=0),"",H2844/G2844)</f>
        <v/>
      </c>
      <c r="L2844">
        <f>IF(NOT(ISNUMBER(G2844)),"SEM META",IF(G2844=0,"SEM META",IF(NOT(ISNUMBER(H2844)),"SEM APONTAMENTO",IF(H2844&gt;=G2844,"VERDE",IF(H2844&gt;=G2844*0.9,"AMARELO","VERMELHO")))))</f>
        <v/>
      </c>
    </row>
    <row r="2845">
      <c r="A2845" s="321" t="n">
        <v>46456</v>
      </c>
      <c r="B2845" t="inlineStr">
        <is>
          <t>GERAL</t>
        </is>
      </c>
      <c r="C2845" t="inlineStr">
        <is>
          <t>GLOBO AÇOS</t>
        </is>
      </c>
      <c r="D2845" t="inlineStr">
        <is>
          <t>FECHAMENTO</t>
        </is>
      </c>
      <c r="F2845">
        <f>IFERROR(INDEX('BASE METAS DIÁRIAS'!$AA$2:$AC$358,MATCH($A2845,'BASE METAS DIÁRIAS'!$A$2:$A$358,0),3),"")</f>
        <v/>
      </c>
      <c r="G2845">
        <f>IFERROR(IF(WEEKDAY($A2845,2)&lt;=INDEX('BASE METAS DIÁRIAS'!$X$2:$Z$358,MATCH($A2845,'BASE METAS DIÁRIAS'!$A$2:$A$358,0),3),INDEX('BASE METAS DIÁRIAS'!$U$2:$W$358,MATCH($A2845,'BASE METAS DIÁRIAS'!$A$2:$A$358,0),3),""),"")</f>
        <v/>
      </c>
      <c r="H2845">
        <f>IFERROR(IF(INDEX('CONTROLE PRODUÇÃO POR EMPRESAS'!$H$6:$J$5000,MATCH($A2845,'CONTROLE PRODUÇÃO POR EMPRESAS'!$A$6:$A$5000,0),3)="","",IFERROR(1*INDEX('CONTROLE PRODUÇÃO POR EMPRESAS'!$H$6:$J$5000,MATCH($A2845,'CONTROLE PRODUÇÃO POR EMPRESAS'!$A$6:$A$5000,0),3),"")),"")</f>
        <v/>
      </c>
      <c r="I2845">
        <f>IF(OR(NOT(ISNUMBER(G2845)),NOT(ISNUMBER(H2845))),"",H2845-G2845)</f>
        <v/>
      </c>
      <c r="J2845">
        <f>IF(OR(NOT(ISNUMBER(G2845)),NOT(ISNUMBER(H2845)),G2845=0),"",I2845/G2845)</f>
        <v/>
      </c>
      <c r="K2845">
        <f>IF(OR(NOT(ISNUMBER(G2845)),NOT(ISNUMBER(H2845)),G2845=0),"",H2845/G2845)</f>
        <v/>
      </c>
      <c r="L2845">
        <f>IF(NOT(ISNUMBER(G2845)),"SEM META",IF(G2845=0,"SEM META",IF(NOT(ISNUMBER(H2845)),"SEM APONTAMENTO",IF(H2845&gt;=G2845,"VERDE",IF(H2845&gt;=G2845*0.9,"AMARELO","VERMELHO")))))</f>
        <v/>
      </c>
    </row>
    <row r="2846">
      <c r="A2846" s="321" t="n">
        <v>46457</v>
      </c>
      <c r="B2846" t="inlineStr">
        <is>
          <t>GERAL</t>
        </is>
      </c>
      <c r="C2846" t="inlineStr">
        <is>
          <t>GLOBO AÇOS</t>
        </is>
      </c>
      <c r="D2846" t="inlineStr">
        <is>
          <t>PERFILAÇÃO</t>
        </is>
      </c>
      <c r="F2846">
        <f>IFERROR(INDEX('BASE METAS DIÁRIAS'!$AA$2:$AC$358,MATCH($A2846,'BASE METAS DIÁRIAS'!$A$2:$A$358,0),1),"")</f>
        <v/>
      </c>
      <c r="G2846">
        <f>IFERROR(IF(WEEKDAY($A2846,2)&lt;=INDEX('BASE METAS DIÁRIAS'!$X$2:$Z$358,MATCH($A2846,'BASE METAS DIÁRIAS'!$A$2:$A$358,0),1),INDEX('BASE METAS DIÁRIAS'!$U$2:$W$358,MATCH($A2846,'BASE METAS DIÁRIAS'!$A$2:$A$358,0),1),""),"")</f>
        <v/>
      </c>
      <c r="H2846">
        <f>IFERROR(IF(INDEX('CONTROLE PRODUÇÃO POR EMPRESAS'!$H$6:$J$5000,MATCH($A2846,'CONTROLE PRODUÇÃO POR EMPRESAS'!$A$6:$A$5000,0),1)="","",IFERROR(1*INDEX('CONTROLE PRODUÇÃO POR EMPRESAS'!$H$6:$J$5000,MATCH($A2846,'CONTROLE PRODUÇÃO POR EMPRESAS'!$A$6:$A$5000,0),1),"")),"")</f>
        <v/>
      </c>
      <c r="I2846">
        <f>IF(OR(NOT(ISNUMBER(G2846)),NOT(ISNUMBER(H2846))),"",H2846-G2846)</f>
        <v/>
      </c>
      <c r="J2846">
        <f>IF(OR(NOT(ISNUMBER(G2846)),NOT(ISNUMBER(H2846)),G2846=0),"",I2846/G2846)</f>
        <v/>
      </c>
      <c r="K2846">
        <f>IF(OR(NOT(ISNUMBER(G2846)),NOT(ISNUMBER(H2846)),G2846=0),"",H2846/G2846)</f>
        <v/>
      </c>
      <c r="L2846">
        <f>IF(NOT(ISNUMBER(G2846)),"SEM META",IF(G2846=0,"SEM META",IF(NOT(ISNUMBER(H2846)),"SEM APONTAMENTO",IF(H2846&gt;=G2846,"VERDE",IF(H2846&gt;=G2846*0.9,"AMARELO","VERMELHO")))))</f>
        <v/>
      </c>
    </row>
    <row r="2847">
      <c r="A2847" s="321" t="n">
        <v>46457</v>
      </c>
      <c r="B2847" t="inlineStr">
        <is>
          <t>GERAL</t>
        </is>
      </c>
      <c r="C2847" t="inlineStr">
        <is>
          <t>GLOBO AÇOS</t>
        </is>
      </c>
      <c r="D2847" t="inlineStr">
        <is>
          <t>TELHAR</t>
        </is>
      </c>
      <c r="F2847">
        <f>IFERROR(INDEX('BASE METAS DIÁRIAS'!$AA$2:$AC$358,MATCH($A2847,'BASE METAS DIÁRIAS'!$A$2:$A$358,0),2),"")</f>
        <v/>
      </c>
      <c r="G2847">
        <f>IFERROR(IF(WEEKDAY($A2847,2)&lt;=INDEX('BASE METAS DIÁRIAS'!$X$2:$Z$358,MATCH($A2847,'BASE METAS DIÁRIAS'!$A$2:$A$358,0),2),INDEX('BASE METAS DIÁRIAS'!$U$2:$W$358,MATCH($A2847,'BASE METAS DIÁRIAS'!$A$2:$A$358,0),2),""),"")</f>
        <v/>
      </c>
      <c r="H2847">
        <f>IFERROR(IF(INDEX('CONTROLE PRODUÇÃO POR EMPRESAS'!$H$6:$J$5000,MATCH($A2847,'CONTROLE PRODUÇÃO POR EMPRESAS'!$A$6:$A$5000,0),2)="","",IFERROR(1*INDEX('CONTROLE PRODUÇÃO POR EMPRESAS'!$H$6:$J$5000,MATCH($A2847,'CONTROLE PRODUÇÃO POR EMPRESAS'!$A$6:$A$5000,0),2),"")),"")</f>
        <v/>
      </c>
      <c r="I2847">
        <f>IF(OR(NOT(ISNUMBER(G2847)),NOT(ISNUMBER(H2847))),"",H2847-G2847)</f>
        <v/>
      </c>
      <c r="J2847">
        <f>IF(OR(NOT(ISNUMBER(G2847)),NOT(ISNUMBER(H2847)),G2847=0),"",I2847/G2847)</f>
        <v/>
      </c>
      <c r="K2847">
        <f>IF(OR(NOT(ISNUMBER(G2847)),NOT(ISNUMBER(H2847)),G2847=0),"",H2847/G2847)</f>
        <v/>
      </c>
      <c r="L2847">
        <f>IF(NOT(ISNUMBER(G2847)),"SEM META",IF(G2847=0,"SEM META",IF(NOT(ISNUMBER(H2847)),"SEM APONTAMENTO",IF(H2847&gt;=G2847,"VERDE",IF(H2847&gt;=G2847*0.9,"AMARELO","VERMELHO")))))</f>
        <v/>
      </c>
    </row>
    <row r="2848">
      <c r="A2848" s="321" t="n">
        <v>46457</v>
      </c>
      <c r="B2848" t="inlineStr">
        <is>
          <t>GERAL</t>
        </is>
      </c>
      <c r="C2848" t="inlineStr">
        <is>
          <t>GLOBO AÇOS</t>
        </is>
      </c>
      <c r="D2848" t="inlineStr">
        <is>
          <t>FECHAMENTO</t>
        </is>
      </c>
      <c r="F2848">
        <f>IFERROR(INDEX('BASE METAS DIÁRIAS'!$AA$2:$AC$358,MATCH($A2848,'BASE METAS DIÁRIAS'!$A$2:$A$358,0),3),"")</f>
        <v/>
      </c>
      <c r="G2848">
        <f>IFERROR(IF(WEEKDAY($A2848,2)&lt;=INDEX('BASE METAS DIÁRIAS'!$X$2:$Z$358,MATCH($A2848,'BASE METAS DIÁRIAS'!$A$2:$A$358,0),3),INDEX('BASE METAS DIÁRIAS'!$U$2:$W$358,MATCH($A2848,'BASE METAS DIÁRIAS'!$A$2:$A$358,0),3),""),"")</f>
        <v/>
      </c>
      <c r="H2848">
        <f>IFERROR(IF(INDEX('CONTROLE PRODUÇÃO POR EMPRESAS'!$H$6:$J$5000,MATCH($A2848,'CONTROLE PRODUÇÃO POR EMPRESAS'!$A$6:$A$5000,0),3)="","",IFERROR(1*INDEX('CONTROLE PRODUÇÃO POR EMPRESAS'!$H$6:$J$5000,MATCH($A2848,'CONTROLE PRODUÇÃO POR EMPRESAS'!$A$6:$A$5000,0),3),"")),"")</f>
        <v/>
      </c>
      <c r="I2848">
        <f>IF(OR(NOT(ISNUMBER(G2848)),NOT(ISNUMBER(H2848))),"",H2848-G2848)</f>
        <v/>
      </c>
      <c r="J2848">
        <f>IF(OR(NOT(ISNUMBER(G2848)),NOT(ISNUMBER(H2848)),G2848=0),"",I2848/G2848)</f>
        <v/>
      </c>
      <c r="K2848">
        <f>IF(OR(NOT(ISNUMBER(G2848)),NOT(ISNUMBER(H2848)),G2848=0),"",H2848/G2848)</f>
        <v/>
      </c>
      <c r="L2848">
        <f>IF(NOT(ISNUMBER(G2848)),"SEM META",IF(G2848=0,"SEM META",IF(NOT(ISNUMBER(H2848)),"SEM APONTAMENTO",IF(H2848&gt;=G2848,"VERDE",IF(H2848&gt;=G2848*0.9,"AMARELO","VERMELHO")))))</f>
        <v/>
      </c>
    </row>
    <row r="2849">
      <c r="A2849" s="321" t="n">
        <v>46458</v>
      </c>
      <c r="B2849" t="inlineStr">
        <is>
          <t>GERAL</t>
        </is>
      </c>
      <c r="C2849" t="inlineStr">
        <is>
          <t>GLOBO AÇOS</t>
        </is>
      </c>
      <c r="D2849" t="inlineStr">
        <is>
          <t>PERFILAÇÃO</t>
        </is>
      </c>
      <c r="F2849">
        <f>IFERROR(INDEX('BASE METAS DIÁRIAS'!$AA$2:$AC$358,MATCH($A2849,'BASE METAS DIÁRIAS'!$A$2:$A$358,0),1),"")</f>
        <v/>
      </c>
      <c r="G2849">
        <f>IFERROR(IF(WEEKDAY($A2849,2)&lt;=INDEX('BASE METAS DIÁRIAS'!$X$2:$Z$358,MATCH($A2849,'BASE METAS DIÁRIAS'!$A$2:$A$358,0),1),INDEX('BASE METAS DIÁRIAS'!$U$2:$W$358,MATCH($A2849,'BASE METAS DIÁRIAS'!$A$2:$A$358,0),1),""),"")</f>
        <v/>
      </c>
      <c r="H2849">
        <f>IFERROR(IF(INDEX('CONTROLE PRODUÇÃO POR EMPRESAS'!$H$6:$J$5000,MATCH($A2849,'CONTROLE PRODUÇÃO POR EMPRESAS'!$A$6:$A$5000,0),1)="","",IFERROR(1*INDEX('CONTROLE PRODUÇÃO POR EMPRESAS'!$H$6:$J$5000,MATCH($A2849,'CONTROLE PRODUÇÃO POR EMPRESAS'!$A$6:$A$5000,0),1),"")),"")</f>
        <v/>
      </c>
      <c r="I2849">
        <f>IF(OR(NOT(ISNUMBER(G2849)),NOT(ISNUMBER(H2849))),"",H2849-G2849)</f>
        <v/>
      </c>
      <c r="J2849">
        <f>IF(OR(NOT(ISNUMBER(G2849)),NOT(ISNUMBER(H2849)),G2849=0),"",I2849/G2849)</f>
        <v/>
      </c>
      <c r="K2849">
        <f>IF(OR(NOT(ISNUMBER(G2849)),NOT(ISNUMBER(H2849)),G2849=0),"",H2849/G2849)</f>
        <v/>
      </c>
      <c r="L2849">
        <f>IF(NOT(ISNUMBER(G2849)),"SEM META",IF(G2849=0,"SEM META",IF(NOT(ISNUMBER(H2849)),"SEM APONTAMENTO",IF(H2849&gt;=G2849,"VERDE",IF(H2849&gt;=G2849*0.9,"AMARELO","VERMELHO")))))</f>
        <v/>
      </c>
    </row>
    <row r="2850">
      <c r="A2850" s="321" t="n">
        <v>46458</v>
      </c>
      <c r="B2850" t="inlineStr">
        <is>
          <t>GERAL</t>
        </is>
      </c>
      <c r="C2850" t="inlineStr">
        <is>
          <t>GLOBO AÇOS</t>
        </is>
      </c>
      <c r="D2850" t="inlineStr">
        <is>
          <t>TELHAR</t>
        </is>
      </c>
      <c r="F2850">
        <f>IFERROR(INDEX('BASE METAS DIÁRIAS'!$AA$2:$AC$358,MATCH($A2850,'BASE METAS DIÁRIAS'!$A$2:$A$358,0),2),"")</f>
        <v/>
      </c>
      <c r="G2850">
        <f>IFERROR(IF(WEEKDAY($A2850,2)&lt;=INDEX('BASE METAS DIÁRIAS'!$X$2:$Z$358,MATCH($A2850,'BASE METAS DIÁRIAS'!$A$2:$A$358,0),2),INDEX('BASE METAS DIÁRIAS'!$U$2:$W$358,MATCH($A2850,'BASE METAS DIÁRIAS'!$A$2:$A$358,0),2),""),"")</f>
        <v/>
      </c>
      <c r="H2850">
        <f>IFERROR(IF(INDEX('CONTROLE PRODUÇÃO POR EMPRESAS'!$H$6:$J$5000,MATCH($A2850,'CONTROLE PRODUÇÃO POR EMPRESAS'!$A$6:$A$5000,0),2)="","",IFERROR(1*INDEX('CONTROLE PRODUÇÃO POR EMPRESAS'!$H$6:$J$5000,MATCH($A2850,'CONTROLE PRODUÇÃO POR EMPRESAS'!$A$6:$A$5000,0),2),"")),"")</f>
        <v/>
      </c>
      <c r="I2850">
        <f>IF(OR(NOT(ISNUMBER(G2850)),NOT(ISNUMBER(H2850))),"",H2850-G2850)</f>
        <v/>
      </c>
      <c r="J2850">
        <f>IF(OR(NOT(ISNUMBER(G2850)),NOT(ISNUMBER(H2850)),G2850=0),"",I2850/G2850)</f>
        <v/>
      </c>
      <c r="K2850">
        <f>IF(OR(NOT(ISNUMBER(G2850)),NOT(ISNUMBER(H2850)),G2850=0),"",H2850/G2850)</f>
        <v/>
      </c>
      <c r="L2850">
        <f>IF(NOT(ISNUMBER(G2850)),"SEM META",IF(G2850=0,"SEM META",IF(NOT(ISNUMBER(H2850)),"SEM APONTAMENTO",IF(H2850&gt;=G2850,"VERDE",IF(H2850&gt;=G2850*0.9,"AMARELO","VERMELHO")))))</f>
        <v/>
      </c>
    </row>
    <row r="2851">
      <c r="A2851" s="321" t="n">
        <v>46458</v>
      </c>
      <c r="B2851" t="inlineStr">
        <is>
          <t>GERAL</t>
        </is>
      </c>
      <c r="C2851" t="inlineStr">
        <is>
          <t>GLOBO AÇOS</t>
        </is>
      </c>
      <c r="D2851" t="inlineStr">
        <is>
          <t>FECHAMENTO</t>
        </is>
      </c>
      <c r="F2851">
        <f>IFERROR(INDEX('BASE METAS DIÁRIAS'!$AA$2:$AC$358,MATCH($A2851,'BASE METAS DIÁRIAS'!$A$2:$A$358,0),3),"")</f>
        <v/>
      </c>
      <c r="G2851">
        <f>IFERROR(IF(WEEKDAY($A2851,2)&lt;=INDEX('BASE METAS DIÁRIAS'!$X$2:$Z$358,MATCH($A2851,'BASE METAS DIÁRIAS'!$A$2:$A$358,0),3),INDEX('BASE METAS DIÁRIAS'!$U$2:$W$358,MATCH($A2851,'BASE METAS DIÁRIAS'!$A$2:$A$358,0),3),""),"")</f>
        <v/>
      </c>
      <c r="H2851">
        <f>IFERROR(IF(INDEX('CONTROLE PRODUÇÃO POR EMPRESAS'!$H$6:$J$5000,MATCH($A2851,'CONTROLE PRODUÇÃO POR EMPRESAS'!$A$6:$A$5000,0),3)="","",IFERROR(1*INDEX('CONTROLE PRODUÇÃO POR EMPRESAS'!$H$6:$J$5000,MATCH($A2851,'CONTROLE PRODUÇÃO POR EMPRESAS'!$A$6:$A$5000,0),3),"")),"")</f>
        <v/>
      </c>
      <c r="I2851">
        <f>IF(OR(NOT(ISNUMBER(G2851)),NOT(ISNUMBER(H2851))),"",H2851-G2851)</f>
        <v/>
      </c>
      <c r="J2851">
        <f>IF(OR(NOT(ISNUMBER(G2851)),NOT(ISNUMBER(H2851)),G2851=0),"",I2851/G2851)</f>
        <v/>
      </c>
      <c r="K2851">
        <f>IF(OR(NOT(ISNUMBER(G2851)),NOT(ISNUMBER(H2851)),G2851=0),"",H2851/G2851)</f>
        <v/>
      </c>
      <c r="L2851">
        <f>IF(NOT(ISNUMBER(G2851)),"SEM META",IF(G2851=0,"SEM META",IF(NOT(ISNUMBER(H2851)),"SEM APONTAMENTO",IF(H2851&gt;=G2851,"VERDE",IF(H2851&gt;=G2851*0.9,"AMARELO","VERMELHO")))))</f>
        <v/>
      </c>
    </row>
    <row r="2852">
      <c r="A2852" s="321" t="n">
        <v>46459</v>
      </c>
      <c r="B2852" t="inlineStr">
        <is>
          <t>GERAL</t>
        </is>
      </c>
      <c r="C2852" t="inlineStr">
        <is>
          <t>GLOBO AÇOS</t>
        </is>
      </c>
      <c r="D2852" t="inlineStr">
        <is>
          <t>PERFILAÇÃO</t>
        </is>
      </c>
      <c r="F2852">
        <f>IFERROR(INDEX('BASE METAS DIÁRIAS'!$AA$2:$AC$358,MATCH($A2852,'BASE METAS DIÁRIAS'!$A$2:$A$358,0),1),"")</f>
        <v/>
      </c>
      <c r="G2852">
        <f>IFERROR(IF(WEEKDAY($A2852,2)&lt;=INDEX('BASE METAS DIÁRIAS'!$X$2:$Z$358,MATCH($A2852,'BASE METAS DIÁRIAS'!$A$2:$A$358,0),1),INDEX('BASE METAS DIÁRIAS'!$U$2:$W$358,MATCH($A2852,'BASE METAS DIÁRIAS'!$A$2:$A$358,0),1),""),"")</f>
        <v/>
      </c>
      <c r="H2852">
        <f>IFERROR(IF(INDEX('CONTROLE PRODUÇÃO POR EMPRESAS'!$H$6:$J$5000,MATCH($A2852,'CONTROLE PRODUÇÃO POR EMPRESAS'!$A$6:$A$5000,0),1)="","",IFERROR(1*INDEX('CONTROLE PRODUÇÃO POR EMPRESAS'!$H$6:$J$5000,MATCH($A2852,'CONTROLE PRODUÇÃO POR EMPRESAS'!$A$6:$A$5000,0),1),"")),"")</f>
        <v/>
      </c>
      <c r="I2852">
        <f>IF(OR(NOT(ISNUMBER(G2852)),NOT(ISNUMBER(H2852))),"",H2852-G2852)</f>
        <v/>
      </c>
      <c r="J2852">
        <f>IF(OR(NOT(ISNUMBER(G2852)),NOT(ISNUMBER(H2852)),G2852=0),"",I2852/G2852)</f>
        <v/>
      </c>
      <c r="K2852">
        <f>IF(OR(NOT(ISNUMBER(G2852)),NOT(ISNUMBER(H2852)),G2852=0),"",H2852/G2852)</f>
        <v/>
      </c>
      <c r="L2852">
        <f>IF(NOT(ISNUMBER(G2852)),"SEM META",IF(G2852=0,"SEM META",IF(NOT(ISNUMBER(H2852)),"SEM APONTAMENTO",IF(H2852&gt;=G2852,"VERDE",IF(H2852&gt;=G2852*0.9,"AMARELO","VERMELHO")))))</f>
        <v/>
      </c>
    </row>
    <row r="2853">
      <c r="A2853" s="321" t="n">
        <v>46459</v>
      </c>
      <c r="B2853" t="inlineStr">
        <is>
          <t>GERAL</t>
        </is>
      </c>
      <c r="C2853" t="inlineStr">
        <is>
          <t>GLOBO AÇOS</t>
        </is>
      </c>
      <c r="D2853" t="inlineStr">
        <is>
          <t>TELHAR</t>
        </is>
      </c>
      <c r="F2853">
        <f>IFERROR(INDEX('BASE METAS DIÁRIAS'!$AA$2:$AC$358,MATCH($A2853,'BASE METAS DIÁRIAS'!$A$2:$A$358,0),2),"")</f>
        <v/>
      </c>
      <c r="G2853">
        <f>IFERROR(IF(WEEKDAY($A2853,2)&lt;=INDEX('BASE METAS DIÁRIAS'!$X$2:$Z$358,MATCH($A2853,'BASE METAS DIÁRIAS'!$A$2:$A$358,0),2),INDEX('BASE METAS DIÁRIAS'!$U$2:$W$358,MATCH($A2853,'BASE METAS DIÁRIAS'!$A$2:$A$358,0),2),""),"")</f>
        <v/>
      </c>
      <c r="H2853">
        <f>IFERROR(IF(INDEX('CONTROLE PRODUÇÃO POR EMPRESAS'!$H$6:$J$5000,MATCH($A2853,'CONTROLE PRODUÇÃO POR EMPRESAS'!$A$6:$A$5000,0),2)="","",IFERROR(1*INDEX('CONTROLE PRODUÇÃO POR EMPRESAS'!$H$6:$J$5000,MATCH($A2853,'CONTROLE PRODUÇÃO POR EMPRESAS'!$A$6:$A$5000,0),2),"")),"")</f>
        <v/>
      </c>
      <c r="I2853">
        <f>IF(OR(NOT(ISNUMBER(G2853)),NOT(ISNUMBER(H2853))),"",H2853-G2853)</f>
        <v/>
      </c>
      <c r="J2853">
        <f>IF(OR(NOT(ISNUMBER(G2853)),NOT(ISNUMBER(H2853)),G2853=0),"",I2853/G2853)</f>
        <v/>
      </c>
      <c r="K2853">
        <f>IF(OR(NOT(ISNUMBER(G2853)),NOT(ISNUMBER(H2853)),G2853=0),"",H2853/G2853)</f>
        <v/>
      </c>
      <c r="L2853">
        <f>IF(NOT(ISNUMBER(G2853)),"SEM META",IF(G2853=0,"SEM META",IF(NOT(ISNUMBER(H2853)),"SEM APONTAMENTO",IF(H2853&gt;=G2853,"VERDE",IF(H2853&gt;=G2853*0.9,"AMARELO","VERMELHO")))))</f>
        <v/>
      </c>
    </row>
    <row r="2854">
      <c r="A2854" s="321" t="n">
        <v>46459</v>
      </c>
      <c r="B2854" t="inlineStr">
        <is>
          <t>GERAL</t>
        </is>
      </c>
      <c r="C2854" t="inlineStr">
        <is>
          <t>GLOBO AÇOS</t>
        </is>
      </c>
      <c r="D2854" t="inlineStr">
        <is>
          <t>FECHAMENTO</t>
        </is>
      </c>
      <c r="F2854">
        <f>IFERROR(INDEX('BASE METAS DIÁRIAS'!$AA$2:$AC$358,MATCH($A2854,'BASE METAS DIÁRIAS'!$A$2:$A$358,0),3),"")</f>
        <v/>
      </c>
      <c r="G2854">
        <f>IFERROR(IF(WEEKDAY($A2854,2)&lt;=INDEX('BASE METAS DIÁRIAS'!$X$2:$Z$358,MATCH($A2854,'BASE METAS DIÁRIAS'!$A$2:$A$358,0),3),INDEX('BASE METAS DIÁRIAS'!$U$2:$W$358,MATCH($A2854,'BASE METAS DIÁRIAS'!$A$2:$A$358,0),3),""),"")</f>
        <v/>
      </c>
      <c r="H2854">
        <f>IFERROR(IF(INDEX('CONTROLE PRODUÇÃO POR EMPRESAS'!$H$6:$J$5000,MATCH($A2854,'CONTROLE PRODUÇÃO POR EMPRESAS'!$A$6:$A$5000,0),3)="","",IFERROR(1*INDEX('CONTROLE PRODUÇÃO POR EMPRESAS'!$H$6:$J$5000,MATCH($A2854,'CONTROLE PRODUÇÃO POR EMPRESAS'!$A$6:$A$5000,0),3),"")),"")</f>
        <v/>
      </c>
      <c r="I2854">
        <f>IF(OR(NOT(ISNUMBER(G2854)),NOT(ISNUMBER(H2854))),"",H2854-G2854)</f>
        <v/>
      </c>
      <c r="J2854">
        <f>IF(OR(NOT(ISNUMBER(G2854)),NOT(ISNUMBER(H2854)),G2854=0),"",I2854/G2854)</f>
        <v/>
      </c>
      <c r="K2854">
        <f>IF(OR(NOT(ISNUMBER(G2854)),NOT(ISNUMBER(H2854)),G2854=0),"",H2854/G2854)</f>
        <v/>
      </c>
      <c r="L2854">
        <f>IF(NOT(ISNUMBER(G2854)),"SEM META",IF(G2854=0,"SEM META",IF(NOT(ISNUMBER(H2854)),"SEM APONTAMENTO",IF(H2854&gt;=G2854,"VERDE",IF(H2854&gt;=G2854*0.9,"AMARELO","VERMELHO")))))</f>
        <v/>
      </c>
    </row>
    <row r="2855">
      <c r="A2855" s="321" t="n">
        <v>46460</v>
      </c>
      <c r="B2855" t="inlineStr">
        <is>
          <t>GERAL</t>
        </is>
      </c>
      <c r="C2855" t="inlineStr">
        <is>
          <t>GLOBO AÇOS</t>
        </is>
      </c>
      <c r="D2855" t="inlineStr">
        <is>
          <t>PERFILAÇÃO</t>
        </is>
      </c>
      <c r="F2855">
        <f>IFERROR(INDEX('BASE METAS DIÁRIAS'!$AA$2:$AC$358,MATCH($A2855,'BASE METAS DIÁRIAS'!$A$2:$A$358,0),1),"")</f>
        <v/>
      </c>
      <c r="G2855">
        <f>IFERROR(IF(WEEKDAY($A2855,2)&lt;=INDEX('BASE METAS DIÁRIAS'!$X$2:$Z$358,MATCH($A2855,'BASE METAS DIÁRIAS'!$A$2:$A$358,0),1),INDEX('BASE METAS DIÁRIAS'!$U$2:$W$358,MATCH($A2855,'BASE METAS DIÁRIAS'!$A$2:$A$358,0),1),""),"")</f>
        <v/>
      </c>
      <c r="H2855">
        <f>IFERROR(IF(INDEX('CONTROLE PRODUÇÃO POR EMPRESAS'!$H$6:$J$5000,MATCH($A2855,'CONTROLE PRODUÇÃO POR EMPRESAS'!$A$6:$A$5000,0),1)="","",IFERROR(1*INDEX('CONTROLE PRODUÇÃO POR EMPRESAS'!$H$6:$J$5000,MATCH($A2855,'CONTROLE PRODUÇÃO POR EMPRESAS'!$A$6:$A$5000,0),1),"")),"")</f>
        <v/>
      </c>
      <c r="I2855">
        <f>IF(OR(NOT(ISNUMBER(G2855)),NOT(ISNUMBER(H2855))),"",H2855-G2855)</f>
        <v/>
      </c>
      <c r="J2855">
        <f>IF(OR(NOT(ISNUMBER(G2855)),NOT(ISNUMBER(H2855)),G2855=0),"",I2855/G2855)</f>
        <v/>
      </c>
      <c r="K2855">
        <f>IF(OR(NOT(ISNUMBER(G2855)),NOT(ISNUMBER(H2855)),G2855=0),"",H2855/G2855)</f>
        <v/>
      </c>
      <c r="L2855">
        <f>IF(NOT(ISNUMBER(G2855)),"SEM META",IF(G2855=0,"SEM META",IF(NOT(ISNUMBER(H2855)),"SEM APONTAMENTO",IF(H2855&gt;=G2855,"VERDE",IF(H2855&gt;=G2855*0.9,"AMARELO","VERMELHO")))))</f>
        <v/>
      </c>
    </row>
    <row r="2856">
      <c r="A2856" s="321" t="n">
        <v>46460</v>
      </c>
      <c r="B2856" t="inlineStr">
        <is>
          <t>GERAL</t>
        </is>
      </c>
      <c r="C2856" t="inlineStr">
        <is>
          <t>GLOBO AÇOS</t>
        </is>
      </c>
      <c r="D2856" t="inlineStr">
        <is>
          <t>TELHAR</t>
        </is>
      </c>
      <c r="F2856">
        <f>IFERROR(INDEX('BASE METAS DIÁRIAS'!$AA$2:$AC$358,MATCH($A2856,'BASE METAS DIÁRIAS'!$A$2:$A$358,0),2),"")</f>
        <v/>
      </c>
      <c r="G2856">
        <f>IFERROR(IF(WEEKDAY($A2856,2)&lt;=INDEX('BASE METAS DIÁRIAS'!$X$2:$Z$358,MATCH($A2856,'BASE METAS DIÁRIAS'!$A$2:$A$358,0),2),INDEX('BASE METAS DIÁRIAS'!$U$2:$W$358,MATCH($A2856,'BASE METAS DIÁRIAS'!$A$2:$A$358,0),2),""),"")</f>
        <v/>
      </c>
      <c r="H2856">
        <f>IFERROR(IF(INDEX('CONTROLE PRODUÇÃO POR EMPRESAS'!$H$6:$J$5000,MATCH($A2856,'CONTROLE PRODUÇÃO POR EMPRESAS'!$A$6:$A$5000,0),2)="","",IFERROR(1*INDEX('CONTROLE PRODUÇÃO POR EMPRESAS'!$H$6:$J$5000,MATCH($A2856,'CONTROLE PRODUÇÃO POR EMPRESAS'!$A$6:$A$5000,0),2),"")),"")</f>
        <v/>
      </c>
      <c r="I2856">
        <f>IF(OR(NOT(ISNUMBER(G2856)),NOT(ISNUMBER(H2856))),"",H2856-G2856)</f>
        <v/>
      </c>
      <c r="J2856">
        <f>IF(OR(NOT(ISNUMBER(G2856)),NOT(ISNUMBER(H2856)),G2856=0),"",I2856/G2856)</f>
        <v/>
      </c>
      <c r="K2856">
        <f>IF(OR(NOT(ISNUMBER(G2856)),NOT(ISNUMBER(H2856)),G2856=0),"",H2856/G2856)</f>
        <v/>
      </c>
      <c r="L2856">
        <f>IF(NOT(ISNUMBER(G2856)),"SEM META",IF(G2856=0,"SEM META",IF(NOT(ISNUMBER(H2856)),"SEM APONTAMENTO",IF(H2856&gt;=G2856,"VERDE",IF(H2856&gt;=G2856*0.9,"AMARELO","VERMELHO")))))</f>
        <v/>
      </c>
    </row>
    <row r="2857">
      <c r="A2857" s="321" t="n">
        <v>46460</v>
      </c>
      <c r="B2857" t="inlineStr">
        <is>
          <t>GERAL</t>
        </is>
      </c>
      <c r="C2857" t="inlineStr">
        <is>
          <t>GLOBO AÇOS</t>
        </is>
      </c>
      <c r="D2857" t="inlineStr">
        <is>
          <t>FECHAMENTO</t>
        </is>
      </c>
      <c r="F2857">
        <f>IFERROR(INDEX('BASE METAS DIÁRIAS'!$AA$2:$AC$358,MATCH($A2857,'BASE METAS DIÁRIAS'!$A$2:$A$358,0),3),"")</f>
        <v/>
      </c>
      <c r="G2857">
        <f>IFERROR(IF(WEEKDAY($A2857,2)&lt;=INDEX('BASE METAS DIÁRIAS'!$X$2:$Z$358,MATCH($A2857,'BASE METAS DIÁRIAS'!$A$2:$A$358,0),3),INDEX('BASE METAS DIÁRIAS'!$U$2:$W$358,MATCH($A2857,'BASE METAS DIÁRIAS'!$A$2:$A$358,0),3),""),"")</f>
        <v/>
      </c>
      <c r="H2857">
        <f>IFERROR(IF(INDEX('CONTROLE PRODUÇÃO POR EMPRESAS'!$H$6:$J$5000,MATCH($A2857,'CONTROLE PRODUÇÃO POR EMPRESAS'!$A$6:$A$5000,0),3)="","",IFERROR(1*INDEX('CONTROLE PRODUÇÃO POR EMPRESAS'!$H$6:$J$5000,MATCH($A2857,'CONTROLE PRODUÇÃO POR EMPRESAS'!$A$6:$A$5000,0),3),"")),"")</f>
        <v/>
      </c>
      <c r="I2857">
        <f>IF(OR(NOT(ISNUMBER(G2857)),NOT(ISNUMBER(H2857))),"",H2857-G2857)</f>
        <v/>
      </c>
      <c r="J2857">
        <f>IF(OR(NOT(ISNUMBER(G2857)),NOT(ISNUMBER(H2857)),G2857=0),"",I2857/G2857)</f>
        <v/>
      </c>
      <c r="K2857">
        <f>IF(OR(NOT(ISNUMBER(G2857)),NOT(ISNUMBER(H2857)),G2857=0),"",H2857/G2857)</f>
        <v/>
      </c>
      <c r="L2857">
        <f>IF(NOT(ISNUMBER(G2857)),"SEM META",IF(G2857=0,"SEM META",IF(NOT(ISNUMBER(H2857)),"SEM APONTAMENTO",IF(H2857&gt;=G2857,"VERDE",IF(H2857&gt;=G2857*0.9,"AMARELO","VERMELHO")))))</f>
        <v/>
      </c>
    </row>
    <row r="2858">
      <c r="A2858" s="321" t="n">
        <v>46461</v>
      </c>
      <c r="B2858" t="inlineStr">
        <is>
          <t>GERAL</t>
        </is>
      </c>
      <c r="C2858" t="inlineStr">
        <is>
          <t>GLOBO AÇOS</t>
        </is>
      </c>
      <c r="D2858" t="inlineStr">
        <is>
          <t>PERFILAÇÃO</t>
        </is>
      </c>
      <c r="F2858">
        <f>IFERROR(INDEX('BASE METAS DIÁRIAS'!$AA$2:$AC$358,MATCH($A2858,'BASE METAS DIÁRIAS'!$A$2:$A$358,0),1),"")</f>
        <v/>
      </c>
      <c r="G2858">
        <f>IFERROR(IF(WEEKDAY($A2858,2)&lt;=INDEX('BASE METAS DIÁRIAS'!$X$2:$Z$358,MATCH($A2858,'BASE METAS DIÁRIAS'!$A$2:$A$358,0),1),INDEX('BASE METAS DIÁRIAS'!$U$2:$W$358,MATCH($A2858,'BASE METAS DIÁRIAS'!$A$2:$A$358,0),1),""),"")</f>
        <v/>
      </c>
      <c r="H2858">
        <f>IFERROR(IF(INDEX('CONTROLE PRODUÇÃO POR EMPRESAS'!$H$6:$J$5000,MATCH($A2858,'CONTROLE PRODUÇÃO POR EMPRESAS'!$A$6:$A$5000,0),1)="","",IFERROR(1*INDEX('CONTROLE PRODUÇÃO POR EMPRESAS'!$H$6:$J$5000,MATCH($A2858,'CONTROLE PRODUÇÃO POR EMPRESAS'!$A$6:$A$5000,0),1),"")),"")</f>
        <v/>
      </c>
      <c r="I2858">
        <f>IF(OR(NOT(ISNUMBER(G2858)),NOT(ISNUMBER(H2858))),"",H2858-G2858)</f>
        <v/>
      </c>
      <c r="J2858">
        <f>IF(OR(NOT(ISNUMBER(G2858)),NOT(ISNUMBER(H2858)),G2858=0),"",I2858/G2858)</f>
        <v/>
      </c>
      <c r="K2858">
        <f>IF(OR(NOT(ISNUMBER(G2858)),NOT(ISNUMBER(H2858)),G2858=0),"",H2858/G2858)</f>
        <v/>
      </c>
      <c r="L2858">
        <f>IF(NOT(ISNUMBER(G2858)),"SEM META",IF(G2858=0,"SEM META",IF(NOT(ISNUMBER(H2858)),"SEM APONTAMENTO",IF(H2858&gt;=G2858,"VERDE",IF(H2858&gt;=G2858*0.9,"AMARELO","VERMELHO")))))</f>
        <v/>
      </c>
    </row>
    <row r="2859">
      <c r="A2859" s="321" t="n">
        <v>46461</v>
      </c>
      <c r="B2859" t="inlineStr">
        <is>
          <t>GERAL</t>
        </is>
      </c>
      <c r="C2859" t="inlineStr">
        <is>
          <t>GLOBO AÇOS</t>
        </is>
      </c>
      <c r="D2859" t="inlineStr">
        <is>
          <t>TELHAR</t>
        </is>
      </c>
      <c r="F2859">
        <f>IFERROR(INDEX('BASE METAS DIÁRIAS'!$AA$2:$AC$358,MATCH($A2859,'BASE METAS DIÁRIAS'!$A$2:$A$358,0),2),"")</f>
        <v/>
      </c>
      <c r="G2859">
        <f>IFERROR(IF(WEEKDAY($A2859,2)&lt;=INDEX('BASE METAS DIÁRIAS'!$X$2:$Z$358,MATCH($A2859,'BASE METAS DIÁRIAS'!$A$2:$A$358,0),2),INDEX('BASE METAS DIÁRIAS'!$U$2:$W$358,MATCH($A2859,'BASE METAS DIÁRIAS'!$A$2:$A$358,0),2),""),"")</f>
        <v/>
      </c>
      <c r="H2859">
        <f>IFERROR(IF(INDEX('CONTROLE PRODUÇÃO POR EMPRESAS'!$H$6:$J$5000,MATCH($A2859,'CONTROLE PRODUÇÃO POR EMPRESAS'!$A$6:$A$5000,0),2)="","",IFERROR(1*INDEX('CONTROLE PRODUÇÃO POR EMPRESAS'!$H$6:$J$5000,MATCH($A2859,'CONTROLE PRODUÇÃO POR EMPRESAS'!$A$6:$A$5000,0),2),"")),"")</f>
        <v/>
      </c>
      <c r="I2859">
        <f>IF(OR(NOT(ISNUMBER(G2859)),NOT(ISNUMBER(H2859))),"",H2859-G2859)</f>
        <v/>
      </c>
      <c r="J2859">
        <f>IF(OR(NOT(ISNUMBER(G2859)),NOT(ISNUMBER(H2859)),G2859=0),"",I2859/G2859)</f>
        <v/>
      </c>
      <c r="K2859">
        <f>IF(OR(NOT(ISNUMBER(G2859)),NOT(ISNUMBER(H2859)),G2859=0),"",H2859/G2859)</f>
        <v/>
      </c>
      <c r="L2859">
        <f>IF(NOT(ISNUMBER(G2859)),"SEM META",IF(G2859=0,"SEM META",IF(NOT(ISNUMBER(H2859)),"SEM APONTAMENTO",IF(H2859&gt;=G2859,"VERDE",IF(H2859&gt;=G2859*0.9,"AMARELO","VERMELHO")))))</f>
        <v/>
      </c>
    </row>
    <row r="2860">
      <c r="A2860" s="321" t="n">
        <v>46461</v>
      </c>
      <c r="B2860" t="inlineStr">
        <is>
          <t>GERAL</t>
        </is>
      </c>
      <c r="C2860" t="inlineStr">
        <is>
          <t>GLOBO AÇOS</t>
        </is>
      </c>
      <c r="D2860" t="inlineStr">
        <is>
          <t>FECHAMENTO</t>
        </is>
      </c>
      <c r="F2860">
        <f>IFERROR(INDEX('BASE METAS DIÁRIAS'!$AA$2:$AC$358,MATCH($A2860,'BASE METAS DIÁRIAS'!$A$2:$A$358,0),3),"")</f>
        <v/>
      </c>
      <c r="G2860">
        <f>IFERROR(IF(WEEKDAY($A2860,2)&lt;=INDEX('BASE METAS DIÁRIAS'!$X$2:$Z$358,MATCH($A2860,'BASE METAS DIÁRIAS'!$A$2:$A$358,0),3),INDEX('BASE METAS DIÁRIAS'!$U$2:$W$358,MATCH($A2860,'BASE METAS DIÁRIAS'!$A$2:$A$358,0),3),""),"")</f>
        <v/>
      </c>
      <c r="H2860">
        <f>IFERROR(IF(INDEX('CONTROLE PRODUÇÃO POR EMPRESAS'!$H$6:$J$5000,MATCH($A2860,'CONTROLE PRODUÇÃO POR EMPRESAS'!$A$6:$A$5000,0),3)="","",IFERROR(1*INDEX('CONTROLE PRODUÇÃO POR EMPRESAS'!$H$6:$J$5000,MATCH($A2860,'CONTROLE PRODUÇÃO POR EMPRESAS'!$A$6:$A$5000,0),3),"")),"")</f>
        <v/>
      </c>
      <c r="I2860">
        <f>IF(OR(NOT(ISNUMBER(G2860)),NOT(ISNUMBER(H2860))),"",H2860-G2860)</f>
        <v/>
      </c>
      <c r="J2860">
        <f>IF(OR(NOT(ISNUMBER(G2860)),NOT(ISNUMBER(H2860)),G2860=0),"",I2860/G2860)</f>
        <v/>
      </c>
      <c r="K2860">
        <f>IF(OR(NOT(ISNUMBER(G2860)),NOT(ISNUMBER(H2860)),G2860=0),"",H2860/G2860)</f>
        <v/>
      </c>
      <c r="L2860">
        <f>IF(NOT(ISNUMBER(G2860)),"SEM META",IF(G2860=0,"SEM META",IF(NOT(ISNUMBER(H2860)),"SEM APONTAMENTO",IF(H2860&gt;=G2860,"VERDE",IF(H2860&gt;=G2860*0.9,"AMARELO","VERMELHO")))))</f>
        <v/>
      </c>
    </row>
    <row r="2861">
      <c r="A2861" s="321" t="n">
        <v>46462</v>
      </c>
      <c r="B2861" t="inlineStr">
        <is>
          <t>GERAL</t>
        </is>
      </c>
      <c r="C2861" t="inlineStr">
        <is>
          <t>GLOBO AÇOS</t>
        </is>
      </c>
      <c r="D2861" t="inlineStr">
        <is>
          <t>PERFILAÇÃO</t>
        </is>
      </c>
      <c r="F2861">
        <f>IFERROR(INDEX('BASE METAS DIÁRIAS'!$AA$2:$AC$358,MATCH($A2861,'BASE METAS DIÁRIAS'!$A$2:$A$358,0),1),"")</f>
        <v/>
      </c>
      <c r="G2861">
        <f>IFERROR(IF(WEEKDAY($A2861,2)&lt;=INDEX('BASE METAS DIÁRIAS'!$X$2:$Z$358,MATCH($A2861,'BASE METAS DIÁRIAS'!$A$2:$A$358,0),1),INDEX('BASE METAS DIÁRIAS'!$U$2:$W$358,MATCH($A2861,'BASE METAS DIÁRIAS'!$A$2:$A$358,0),1),""),"")</f>
        <v/>
      </c>
      <c r="H2861">
        <f>IFERROR(IF(INDEX('CONTROLE PRODUÇÃO POR EMPRESAS'!$H$6:$J$5000,MATCH($A2861,'CONTROLE PRODUÇÃO POR EMPRESAS'!$A$6:$A$5000,0),1)="","",IFERROR(1*INDEX('CONTROLE PRODUÇÃO POR EMPRESAS'!$H$6:$J$5000,MATCH($A2861,'CONTROLE PRODUÇÃO POR EMPRESAS'!$A$6:$A$5000,0),1),"")),"")</f>
        <v/>
      </c>
      <c r="I2861">
        <f>IF(OR(NOT(ISNUMBER(G2861)),NOT(ISNUMBER(H2861))),"",H2861-G2861)</f>
        <v/>
      </c>
      <c r="J2861">
        <f>IF(OR(NOT(ISNUMBER(G2861)),NOT(ISNUMBER(H2861)),G2861=0),"",I2861/G2861)</f>
        <v/>
      </c>
      <c r="K2861">
        <f>IF(OR(NOT(ISNUMBER(G2861)),NOT(ISNUMBER(H2861)),G2861=0),"",H2861/G2861)</f>
        <v/>
      </c>
      <c r="L2861">
        <f>IF(NOT(ISNUMBER(G2861)),"SEM META",IF(G2861=0,"SEM META",IF(NOT(ISNUMBER(H2861)),"SEM APONTAMENTO",IF(H2861&gt;=G2861,"VERDE",IF(H2861&gt;=G2861*0.9,"AMARELO","VERMELHO")))))</f>
        <v/>
      </c>
    </row>
    <row r="2862">
      <c r="A2862" s="321" t="n">
        <v>46462</v>
      </c>
      <c r="B2862" t="inlineStr">
        <is>
          <t>GERAL</t>
        </is>
      </c>
      <c r="C2862" t="inlineStr">
        <is>
          <t>GLOBO AÇOS</t>
        </is>
      </c>
      <c r="D2862" t="inlineStr">
        <is>
          <t>TELHAR</t>
        </is>
      </c>
      <c r="F2862">
        <f>IFERROR(INDEX('BASE METAS DIÁRIAS'!$AA$2:$AC$358,MATCH($A2862,'BASE METAS DIÁRIAS'!$A$2:$A$358,0),2),"")</f>
        <v/>
      </c>
      <c r="G2862">
        <f>IFERROR(IF(WEEKDAY($A2862,2)&lt;=INDEX('BASE METAS DIÁRIAS'!$X$2:$Z$358,MATCH($A2862,'BASE METAS DIÁRIAS'!$A$2:$A$358,0),2),INDEX('BASE METAS DIÁRIAS'!$U$2:$W$358,MATCH($A2862,'BASE METAS DIÁRIAS'!$A$2:$A$358,0),2),""),"")</f>
        <v/>
      </c>
      <c r="H2862">
        <f>IFERROR(IF(INDEX('CONTROLE PRODUÇÃO POR EMPRESAS'!$H$6:$J$5000,MATCH($A2862,'CONTROLE PRODUÇÃO POR EMPRESAS'!$A$6:$A$5000,0),2)="","",IFERROR(1*INDEX('CONTROLE PRODUÇÃO POR EMPRESAS'!$H$6:$J$5000,MATCH($A2862,'CONTROLE PRODUÇÃO POR EMPRESAS'!$A$6:$A$5000,0),2),"")),"")</f>
        <v/>
      </c>
      <c r="I2862">
        <f>IF(OR(NOT(ISNUMBER(G2862)),NOT(ISNUMBER(H2862))),"",H2862-G2862)</f>
        <v/>
      </c>
      <c r="J2862">
        <f>IF(OR(NOT(ISNUMBER(G2862)),NOT(ISNUMBER(H2862)),G2862=0),"",I2862/G2862)</f>
        <v/>
      </c>
      <c r="K2862">
        <f>IF(OR(NOT(ISNUMBER(G2862)),NOT(ISNUMBER(H2862)),G2862=0),"",H2862/G2862)</f>
        <v/>
      </c>
      <c r="L2862">
        <f>IF(NOT(ISNUMBER(G2862)),"SEM META",IF(G2862=0,"SEM META",IF(NOT(ISNUMBER(H2862)),"SEM APONTAMENTO",IF(H2862&gt;=G2862,"VERDE",IF(H2862&gt;=G2862*0.9,"AMARELO","VERMELHO")))))</f>
        <v/>
      </c>
    </row>
    <row r="2863">
      <c r="A2863" s="321" t="n">
        <v>46462</v>
      </c>
      <c r="B2863" t="inlineStr">
        <is>
          <t>GERAL</t>
        </is>
      </c>
      <c r="C2863" t="inlineStr">
        <is>
          <t>GLOBO AÇOS</t>
        </is>
      </c>
      <c r="D2863" t="inlineStr">
        <is>
          <t>FECHAMENTO</t>
        </is>
      </c>
      <c r="F2863">
        <f>IFERROR(INDEX('BASE METAS DIÁRIAS'!$AA$2:$AC$358,MATCH($A2863,'BASE METAS DIÁRIAS'!$A$2:$A$358,0),3),"")</f>
        <v/>
      </c>
      <c r="G2863">
        <f>IFERROR(IF(WEEKDAY($A2863,2)&lt;=INDEX('BASE METAS DIÁRIAS'!$X$2:$Z$358,MATCH($A2863,'BASE METAS DIÁRIAS'!$A$2:$A$358,0),3),INDEX('BASE METAS DIÁRIAS'!$U$2:$W$358,MATCH($A2863,'BASE METAS DIÁRIAS'!$A$2:$A$358,0),3),""),"")</f>
        <v/>
      </c>
      <c r="H2863">
        <f>IFERROR(IF(INDEX('CONTROLE PRODUÇÃO POR EMPRESAS'!$H$6:$J$5000,MATCH($A2863,'CONTROLE PRODUÇÃO POR EMPRESAS'!$A$6:$A$5000,0),3)="","",IFERROR(1*INDEX('CONTROLE PRODUÇÃO POR EMPRESAS'!$H$6:$J$5000,MATCH($A2863,'CONTROLE PRODUÇÃO POR EMPRESAS'!$A$6:$A$5000,0),3),"")),"")</f>
        <v/>
      </c>
      <c r="I2863">
        <f>IF(OR(NOT(ISNUMBER(G2863)),NOT(ISNUMBER(H2863))),"",H2863-G2863)</f>
        <v/>
      </c>
      <c r="J2863">
        <f>IF(OR(NOT(ISNUMBER(G2863)),NOT(ISNUMBER(H2863)),G2863=0),"",I2863/G2863)</f>
        <v/>
      </c>
      <c r="K2863">
        <f>IF(OR(NOT(ISNUMBER(G2863)),NOT(ISNUMBER(H2863)),G2863=0),"",H2863/G2863)</f>
        <v/>
      </c>
      <c r="L2863">
        <f>IF(NOT(ISNUMBER(G2863)),"SEM META",IF(G2863=0,"SEM META",IF(NOT(ISNUMBER(H2863)),"SEM APONTAMENTO",IF(H2863&gt;=G2863,"VERDE",IF(H2863&gt;=G2863*0.9,"AMARELO","VERMELHO")))))</f>
        <v/>
      </c>
    </row>
    <row r="2864">
      <c r="A2864" s="321" t="n">
        <v>46463</v>
      </c>
      <c r="B2864" t="inlineStr">
        <is>
          <t>GERAL</t>
        </is>
      </c>
      <c r="C2864" t="inlineStr">
        <is>
          <t>GLOBO AÇOS</t>
        </is>
      </c>
      <c r="D2864" t="inlineStr">
        <is>
          <t>PERFILAÇÃO</t>
        </is>
      </c>
      <c r="F2864">
        <f>IFERROR(INDEX('BASE METAS DIÁRIAS'!$AA$2:$AC$358,MATCH($A2864,'BASE METAS DIÁRIAS'!$A$2:$A$358,0),1),"")</f>
        <v/>
      </c>
      <c r="G2864">
        <f>IFERROR(IF(WEEKDAY($A2864,2)&lt;=INDEX('BASE METAS DIÁRIAS'!$X$2:$Z$358,MATCH($A2864,'BASE METAS DIÁRIAS'!$A$2:$A$358,0),1),INDEX('BASE METAS DIÁRIAS'!$U$2:$W$358,MATCH($A2864,'BASE METAS DIÁRIAS'!$A$2:$A$358,0),1),""),"")</f>
        <v/>
      </c>
      <c r="H2864">
        <f>IFERROR(IF(INDEX('CONTROLE PRODUÇÃO POR EMPRESAS'!$H$6:$J$5000,MATCH($A2864,'CONTROLE PRODUÇÃO POR EMPRESAS'!$A$6:$A$5000,0),1)="","",IFERROR(1*INDEX('CONTROLE PRODUÇÃO POR EMPRESAS'!$H$6:$J$5000,MATCH($A2864,'CONTROLE PRODUÇÃO POR EMPRESAS'!$A$6:$A$5000,0),1),"")),"")</f>
        <v/>
      </c>
      <c r="I2864">
        <f>IF(OR(NOT(ISNUMBER(G2864)),NOT(ISNUMBER(H2864))),"",H2864-G2864)</f>
        <v/>
      </c>
      <c r="J2864">
        <f>IF(OR(NOT(ISNUMBER(G2864)),NOT(ISNUMBER(H2864)),G2864=0),"",I2864/G2864)</f>
        <v/>
      </c>
      <c r="K2864">
        <f>IF(OR(NOT(ISNUMBER(G2864)),NOT(ISNUMBER(H2864)),G2864=0),"",H2864/G2864)</f>
        <v/>
      </c>
      <c r="L2864">
        <f>IF(NOT(ISNUMBER(G2864)),"SEM META",IF(G2864=0,"SEM META",IF(NOT(ISNUMBER(H2864)),"SEM APONTAMENTO",IF(H2864&gt;=G2864,"VERDE",IF(H2864&gt;=G2864*0.9,"AMARELO","VERMELHO")))))</f>
        <v/>
      </c>
    </row>
    <row r="2865">
      <c r="A2865" s="321" t="n">
        <v>46463</v>
      </c>
      <c r="B2865" t="inlineStr">
        <is>
          <t>GERAL</t>
        </is>
      </c>
      <c r="C2865" t="inlineStr">
        <is>
          <t>GLOBO AÇOS</t>
        </is>
      </c>
      <c r="D2865" t="inlineStr">
        <is>
          <t>TELHAR</t>
        </is>
      </c>
      <c r="F2865">
        <f>IFERROR(INDEX('BASE METAS DIÁRIAS'!$AA$2:$AC$358,MATCH($A2865,'BASE METAS DIÁRIAS'!$A$2:$A$358,0),2),"")</f>
        <v/>
      </c>
      <c r="G2865">
        <f>IFERROR(IF(WEEKDAY($A2865,2)&lt;=INDEX('BASE METAS DIÁRIAS'!$X$2:$Z$358,MATCH($A2865,'BASE METAS DIÁRIAS'!$A$2:$A$358,0),2),INDEX('BASE METAS DIÁRIAS'!$U$2:$W$358,MATCH($A2865,'BASE METAS DIÁRIAS'!$A$2:$A$358,0),2),""),"")</f>
        <v/>
      </c>
      <c r="H2865">
        <f>IFERROR(IF(INDEX('CONTROLE PRODUÇÃO POR EMPRESAS'!$H$6:$J$5000,MATCH($A2865,'CONTROLE PRODUÇÃO POR EMPRESAS'!$A$6:$A$5000,0),2)="","",IFERROR(1*INDEX('CONTROLE PRODUÇÃO POR EMPRESAS'!$H$6:$J$5000,MATCH($A2865,'CONTROLE PRODUÇÃO POR EMPRESAS'!$A$6:$A$5000,0),2),"")),"")</f>
        <v/>
      </c>
      <c r="I2865">
        <f>IF(OR(NOT(ISNUMBER(G2865)),NOT(ISNUMBER(H2865))),"",H2865-G2865)</f>
        <v/>
      </c>
      <c r="J2865">
        <f>IF(OR(NOT(ISNUMBER(G2865)),NOT(ISNUMBER(H2865)),G2865=0),"",I2865/G2865)</f>
        <v/>
      </c>
      <c r="K2865">
        <f>IF(OR(NOT(ISNUMBER(G2865)),NOT(ISNUMBER(H2865)),G2865=0),"",H2865/G2865)</f>
        <v/>
      </c>
      <c r="L2865">
        <f>IF(NOT(ISNUMBER(G2865)),"SEM META",IF(G2865=0,"SEM META",IF(NOT(ISNUMBER(H2865)),"SEM APONTAMENTO",IF(H2865&gt;=G2865,"VERDE",IF(H2865&gt;=G2865*0.9,"AMARELO","VERMELHO")))))</f>
        <v/>
      </c>
    </row>
    <row r="2866">
      <c r="A2866" s="321" t="n">
        <v>46463</v>
      </c>
      <c r="B2866" t="inlineStr">
        <is>
          <t>GERAL</t>
        </is>
      </c>
      <c r="C2866" t="inlineStr">
        <is>
          <t>GLOBO AÇOS</t>
        </is>
      </c>
      <c r="D2866" t="inlineStr">
        <is>
          <t>FECHAMENTO</t>
        </is>
      </c>
      <c r="F2866">
        <f>IFERROR(INDEX('BASE METAS DIÁRIAS'!$AA$2:$AC$358,MATCH($A2866,'BASE METAS DIÁRIAS'!$A$2:$A$358,0),3),"")</f>
        <v/>
      </c>
      <c r="G2866">
        <f>IFERROR(IF(WEEKDAY($A2866,2)&lt;=INDEX('BASE METAS DIÁRIAS'!$X$2:$Z$358,MATCH($A2866,'BASE METAS DIÁRIAS'!$A$2:$A$358,0),3),INDEX('BASE METAS DIÁRIAS'!$U$2:$W$358,MATCH($A2866,'BASE METAS DIÁRIAS'!$A$2:$A$358,0),3),""),"")</f>
        <v/>
      </c>
      <c r="H2866">
        <f>IFERROR(IF(INDEX('CONTROLE PRODUÇÃO POR EMPRESAS'!$H$6:$J$5000,MATCH($A2866,'CONTROLE PRODUÇÃO POR EMPRESAS'!$A$6:$A$5000,0),3)="","",IFERROR(1*INDEX('CONTROLE PRODUÇÃO POR EMPRESAS'!$H$6:$J$5000,MATCH($A2866,'CONTROLE PRODUÇÃO POR EMPRESAS'!$A$6:$A$5000,0),3),"")),"")</f>
        <v/>
      </c>
      <c r="I2866">
        <f>IF(OR(NOT(ISNUMBER(G2866)),NOT(ISNUMBER(H2866))),"",H2866-G2866)</f>
        <v/>
      </c>
      <c r="J2866">
        <f>IF(OR(NOT(ISNUMBER(G2866)),NOT(ISNUMBER(H2866)),G2866=0),"",I2866/G2866)</f>
        <v/>
      </c>
      <c r="K2866">
        <f>IF(OR(NOT(ISNUMBER(G2866)),NOT(ISNUMBER(H2866)),G2866=0),"",H2866/G2866)</f>
        <v/>
      </c>
      <c r="L2866">
        <f>IF(NOT(ISNUMBER(G2866)),"SEM META",IF(G2866=0,"SEM META",IF(NOT(ISNUMBER(H2866)),"SEM APONTAMENTO",IF(H2866&gt;=G2866,"VERDE",IF(H2866&gt;=G2866*0.9,"AMARELO","VERMELHO")))))</f>
        <v/>
      </c>
    </row>
    <row r="2867">
      <c r="A2867" s="321" t="n">
        <v>46464</v>
      </c>
      <c r="B2867" t="inlineStr">
        <is>
          <t>GERAL</t>
        </is>
      </c>
      <c r="C2867" t="inlineStr">
        <is>
          <t>GLOBO AÇOS</t>
        </is>
      </c>
      <c r="D2867" t="inlineStr">
        <is>
          <t>PERFILAÇÃO</t>
        </is>
      </c>
      <c r="F2867">
        <f>IFERROR(INDEX('BASE METAS DIÁRIAS'!$AA$2:$AC$358,MATCH($A2867,'BASE METAS DIÁRIAS'!$A$2:$A$358,0),1),"")</f>
        <v/>
      </c>
      <c r="G2867">
        <f>IFERROR(IF(WEEKDAY($A2867,2)&lt;=INDEX('BASE METAS DIÁRIAS'!$X$2:$Z$358,MATCH($A2867,'BASE METAS DIÁRIAS'!$A$2:$A$358,0),1),INDEX('BASE METAS DIÁRIAS'!$U$2:$W$358,MATCH($A2867,'BASE METAS DIÁRIAS'!$A$2:$A$358,0),1),""),"")</f>
        <v/>
      </c>
      <c r="H2867">
        <f>IFERROR(IF(INDEX('CONTROLE PRODUÇÃO POR EMPRESAS'!$H$6:$J$5000,MATCH($A2867,'CONTROLE PRODUÇÃO POR EMPRESAS'!$A$6:$A$5000,0),1)="","",IFERROR(1*INDEX('CONTROLE PRODUÇÃO POR EMPRESAS'!$H$6:$J$5000,MATCH($A2867,'CONTROLE PRODUÇÃO POR EMPRESAS'!$A$6:$A$5000,0),1),"")),"")</f>
        <v/>
      </c>
      <c r="I2867">
        <f>IF(OR(NOT(ISNUMBER(G2867)),NOT(ISNUMBER(H2867))),"",H2867-G2867)</f>
        <v/>
      </c>
      <c r="J2867">
        <f>IF(OR(NOT(ISNUMBER(G2867)),NOT(ISNUMBER(H2867)),G2867=0),"",I2867/G2867)</f>
        <v/>
      </c>
      <c r="K2867">
        <f>IF(OR(NOT(ISNUMBER(G2867)),NOT(ISNUMBER(H2867)),G2867=0),"",H2867/G2867)</f>
        <v/>
      </c>
      <c r="L2867">
        <f>IF(NOT(ISNUMBER(G2867)),"SEM META",IF(G2867=0,"SEM META",IF(NOT(ISNUMBER(H2867)),"SEM APONTAMENTO",IF(H2867&gt;=G2867,"VERDE",IF(H2867&gt;=G2867*0.9,"AMARELO","VERMELHO")))))</f>
        <v/>
      </c>
    </row>
    <row r="2868">
      <c r="A2868" s="321" t="n">
        <v>46464</v>
      </c>
      <c r="B2868" t="inlineStr">
        <is>
          <t>GERAL</t>
        </is>
      </c>
      <c r="C2868" t="inlineStr">
        <is>
          <t>GLOBO AÇOS</t>
        </is>
      </c>
      <c r="D2868" t="inlineStr">
        <is>
          <t>TELHAR</t>
        </is>
      </c>
      <c r="F2868">
        <f>IFERROR(INDEX('BASE METAS DIÁRIAS'!$AA$2:$AC$358,MATCH($A2868,'BASE METAS DIÁRIAS'!$A$2:$A$358,0),2),"")</f>
        <v/>
      </c>
      <c r="G2868">
        <f>IFERROR(IF(WEEKDAY($A2868,2)&lt;=INDEX('BASE METAS DIÁRIAS'!$X$2:$Z$358,MATCH($A2868,'BASE METAS DIÁRIAS'!$A$2:$A$358,0),2),INDEX('BASE METAS DIÁRIAS'!$U$2:$W$358,MATCH($A2868,'BASE METAS DIÁRIAS'!$A$2:$A$358,0),2),""),"")</f>
        <v/>
      </c>
      <c r="H2868">
        <f>IFERROR(IF(INDEX('CONTROLE PRODUÇÃO POR EMPRESAS'!$H$6:$J$5000,MATCH($A2868,'CONTROLE PRODUÇÃO POR EMPRESAS'!$A$6:$A$5000,0),2)="","",IFERROR(1*INDEX('CONTROLE PRODUÇÃO POR EMPRESAS'!$H$6:$J$5000,MATCH($A2868,'CONTROLE PRODUÇÃO POR EMPRESAS'!$A$6:$A$5000,0),2),"")),"")</f>
        <v/>
      </c>
      <c r="I2868">
        <f>IF(OR(NOT(ISNUMBER(G2868)),NOT(ISNUMBER(H2868))),"",H2868-G2868)</f>
        <v/>
      </c>
      <c r="J2868">
        <f>IF(OR(NOT(ISNUMBER(G2868)),NOT(ISNUMBER(H2868)),G2868=0),"",I2868/G2868)</f>
        <v/>
      </c>
      <c r="K2868">
        <f>IF(OR(NOT(ISNUMBER(G2868)),NOT(ISNUMBER(H2868)),G2868=0),"",H2868/G2868)</f>
        <v/>
      </c>
      <c r="L2868">
        <f>IF(NOT(ISNUMBER(G2868)),"SEM META",IF(G2868=0,"SEM META",IF(NOT(ISNUMBER(H2868)),"SEM APONTAMENTO",IF(H2868&gt;=G2868,"VERDE",IF(H2868&gt;=G2868*0.9,"AMARELO","VERMELHO")))))</f>
        <v/>
      </c>
    </row>
    <row r="2869">
      <c r="A2869" s="321" t="n">
        <v>46464</v>
      </c>
      <c r="B2869" t="inlineStr">
        <is>
          <t>GERAL</t>
        </is>
      </c>
      <c r="C2869" t="inlineStr">
        <is>
          <t>GLOBO AÇOS</t>
        </is>
      </c>
      <c r="D2869" t="inlineStr">
        <is>
          <t>FECHAMENTO</t>
        </is>
      </c>
      <c r="F2869">
        <f>IFERROR(INDEX('BASE METAS DIÁRIAS'!$AA$2:$AC$358,MATCH($A2869,'BASE METAS DIÁRIAS'!$A$2:$A$358,0),3),"")</f>
        <v/>
      </c>
      <c r="G2869">
        <f>IFERROR(IF(WEEKDAY($A2869,2)&lt;=INDEX('BASE METAS DIÁRIAS'!$X$2:$Z$358,MATCH($A2869,'BASE METAS DIÁRIAS'!$A$2:$A$358,0),3),INDEX('BASE METAS DIÁRIAS'!$U$2:$W$358,MATCH($A2869,'BASE METAS DIÁRIAS'!$A$2:$A$358,0),3),""),"")</f>
        <v/>
      </c>
      <c r="H2869">
        <f>IFERROR(IF(INDEX('CONTROLE PRODUÇÃO POR EMPRESAS'!$H$6:$J$5000,MATCH($A2869,'CONTROLE PRODUÇÃO POR EMPRESAS'!$A$6:$A$5000,0),3)="","",IFERROR(1*INDEX('CONTROLE PRODUÇÃO POR EMPRESAS'!$H$6:$J$5000,MATCH($A2869,'CONTROLE PRODUÇÃO POR EMPRESAS'!$A$6:$A$5000,0),3),"")),"")</f>
        <v/>
      </c>
      <c r="I2869">
        <f>IF(OR(NOT(ISNUMBER(G2869)),NOT(ISNUMBER(H2869))),"",H2869-G2869)</f>
        <v/>
      </c>
      <c r="J2869">
        <f>IF(OR(NOT(ISNUMBER(G2869)),NOT(ISNUMBER(H2869)),G2869=0),"",I2869/G2869)</f>
        <v/>
      </c>
      <c r="K2869">
        <f>IF(OR(NOT(ISNUMBER(G2869)),NOT(ISNUMBER(H2869)),G2869=0),"",H2869/G2869)</f>
        <v/>
      </c>
      <c r="L2869">
        <f>IF(NOT(ISNUMBER(G2869)),"SEM META",IF(G2869=0,"SEM META",IF(NOT(ISNUMBER(H2869)),"SEM APONTAMENTO",IF(H2869&gt;=G2869,"VERDE",IF(H2869&gt;=G2869*0.9,"AMARELO","VERMELHO")))))</f>
        <v/>
      </c>
    </row>
    <row r="2870">
      <c r="A2870" s="321" t="n">
        <v>46465</v>
      </c>
      <c r="B2870" t="inlineStr">
        <is>
          <t>GERAL</t>
        </is>
      </c>
      <c r="C2870" t="inlineStr">
        <is>
          <t>GLOBO AÇOS</t>
        </is>
      </c>
      <c r="D2870" t="inlineStr">
        <is>
          <t>PERFILAÇÃO</t>
        </is>
      </c>
      <c r="F2870">
        <f>IFERROR(INDEX('BASE METAS DIÁRIAS'!$AA$2:$AC$358,MATCH($A2870,'BASE METAS DIÁRIAS'!$A$2:$A$358,0),1),"")</f>
        <v/>
      </c>
      <c r="G2870">
        <f>IFERROR(IF(WEEKDAY($A2870,2)&lt;=INDEX('BASE METAS DIÁRIAS'!$X$2:$Z$358,MATCH($A2870,'BASE METAS DIÁRIAS'!$A$2:$A$358,0),1),INDEX('BASE METAS DIÁRIAS'!$U$2:$W$358,MATCH($A2870,'BASE METAS DIÁRIAS'!$A$2:$A$358,0),1),""),"")</f>
        <v/>
      </c>
      <c r="H2870">
        <f>IFERROR(IF(INDEX('CONTROLE PRODUÇÃO POR EMPRESAS'!$H$6:$J$5000,MATCH($A2870,'CONTROLE PRODUÇÃO POR EMPRESAS'!$A$6:$A$5000,0),1)="","",IFERROR(1*INDEX('CONTROLE PRODUÇÃO POR EMPRESAS'!$H$6:$J$5000,MATCH($A2870,'CONTROLE PRODUÇÃO POR EMPRESAS'!$A$6:$A$5000,0),1),"")),"")</f>
        <v/>
      </c>
      <c r="I2870">
        <f>IF(OR(NOT(ISNUMBER(G2870)),NOT(ISNUMBER(H2870))),"",H2870-G2870)</f>
        <v/>
      </c>
      <c r="J2870">
        <f>IF(OR(NOT(ISNUMBER(G2870)),NOT(ISNUMBER(H2870)),G2870=0),"",I2870/G2870)</f>
        <v/>
      </c>
      <c r="K2870">
        <f>IF(OR(NOT(ISNUMBER(G2870)),NOT(ISNUMBER(H2870)),G2870=0),"",H2870/G2870)</f>
        <v/>
      </c>
      <c r="L2870">
        <f>IF(NOT(ISNUMBER(G2870)),"SEM META",IF(G2870=0,"SEM META",IF(NOT(ISNUMBER(H2870)),"SEM APONTAMENTO",IF(H2870&gt;=G2870,"VERDE",IF(H2870&gt;=G2870*0.9,"AMARELO","VERMELHO")))))</f>
        <v/>
      </c>
    </row>
    <row r="2871">
      <c r="A2871" s="321" t="n">
        <v>46465</v>
      </c>
      <c r="B2871" t="inlineStr">
        <is>
          <t>GERAL</t>
        </is>
      </c>
      <c r="C2871" t="inlineStr">
        <is>
          <t>GLOBO AÇOS</t>
        </is>
      </c>
      <c r="D2871" t="inlineStr">
        <is>
          <t>TELHAR</t>
        </is>
      </c>
      <c r="F2871">
        <f>IFERROR(INDEX('BASE METAS DIÁRIAS'!$AA$2:$AC$358,MATCH($A2871,'BASE METAS DIÁRIAS'!$A$2:$A$358,0),2),"")</f>
        <v/>
      </c>
      <c r="G2871">
        <f>IFERROR(IF(WEEKDAY($A2871,2)&lt;=INDEX('BASE METAS DIÁRIAS'!$X$2:$Z$358,MATCH($A2871,'BASE METAS DIÁRIAS'!$A$2:$A$358,0),2),INDEX('BASE METAS DIÁRIAS'!$U$2:$W$358,MATCH($A2871,'BASE METAS DIÁRIAS'!$A$2:$A$358,0),2),""),"")</f>
        <v/>
      </c>
      <c r="H2871">
        <f>IFERROR(IF(INDEX('CONTROLE PRODUÇÃO POR EMPRESAS'!$H$6:$J$5000,MATCH($A2871,'CONTROLE PRODUÇÃO POR EMPRESAS'!$A$6:$A$5000,0),2)="","",IFERROR(1*INDEX('CONTROLE PRODUÇÃO POR EMPRESAS'!$H$6:$J$5000,MATCH($A2871,'CONTROLE PRODUÇÃO POR EMPRESAS'!$A$6:$A$5000,0),2),"")),"")</f>
        <v/>
      </c>
      <c r="I2871">
        <f>IF(OR(NOT(ISNUMBER(G2871)),NOT(ISNUMBER(H2871))),"",H2871-G2871)</f>
        <v/>
      </c>
      <c r="J2871">
        <f>IF(OR(NOT(ISNUMBER(G2871)),NOT(ISNUMBER(H2871)),G2871=0),"",I2871/G2871)</f>
        <v/>
      </c>
      <c r="K2871">
        <f>IF(OR(NOT(ISNUMBER(G2871)),NOT(ISNUMBER(H2871)),G2871=0),"",H2871/G2871)</f>
        <v/>
      </c>
      <c r="L2871">
        <f>IF(NOT(ISNUMBER(G2871)),"SEM META",IF(G2871=0,"SEM META",IF(NOT(ISNUMBER(H2871)),"SEM APONTAMENTO",IF(H2871&gt;=G2871,"VERDE",IF(H2871&gt;=G2871*0.9,"AMARELO","VERMELHO")))))</f>
        <v/>
      </c>
    </row>
    <row r="2872">
      <c r="A2872" s="321" t="n">
        <v>46465</v>
      </c>
      <c r="B2872" t="inlineStr">
        <is>
          <t>GERAL</t>
        </is>
      </c>
      <c r="C2872" t="inlineStr">
        <is>
          <t>GLOBO AÇOS</t>
        </is>
      </c>
      <c r="D2872" t="inlineStr">
        <is>
          <t>FECHAMENTO</t>
        </is>
      </c>
      <c r="F2872">
        <f>IFERROR(INDEX('BASE METAS DIÁRIAS'!$AA$2:$AC$358,MATCH($A2872,'BASE METAS DIÁRIAS'!$A$2:$A$358,0),3),"")</f>
        <v/>
      </c>
      <c r="G2872">
        <f>IFERROR(IF(WEEKDAY($A2872,2)&lt;=INDEX('BASE METAS DIÁRIAS'!$X$2:$Z$358,MATCH($A2872,'BASE METAS DIÁRIAS'!$A$2:$A$358,0),3),INDEX('BASE METAS DIÁRIAS'!$U$2:$W$358,MATCH($A2872,'BASE METAS DIÁRIAS'!$A$2:$A$358,0),3),""),"")</f>
        <v/>
      </c>
      <c r="H2872">
        <f>IFERROR(IF(INDEX('CONTROLE PRODUÇÃO POR EMPRESAS'!$H$6:$J$5000,MATCH($A2872,'CONTROLE PRODUÇÃO POR EMPRESAS'!$A$6:$A$5000,0),3)="","",IFERROR(1*INDEX('CONTROLE PRODUÇÃO POR EMPRESAS'!$H$6:$J$5000,MATCH($A2872,'CONTROLE PRODUÇÃO POR EMPRESAS'!$A$6:$A$5000,0),3),"")),"")</f>
        <v/>
      </c>
      <c r="I2872">
        <f>IF(OR(NOT(ISNUMBER(G2872)),NOT(ISNUMBER(H2872))),"",H2872-G2872)</f>
        <v/>
      </c>
      <c r="J2872">
        <f>IF(OR(NOT(ISNUMBER(G2872)),NOT(ISNUMBER(H2872)),G2872=0),"",I2872/G2872)</f>
        <v/>
      </c>
      <c r="K2872">
        <f>IF(OR(NOT(ISNUMBER(G2872)),NOT(ISNUMBER(H2872)),G2872=0),"",H2872/G2872)</f>
        <v/>
      </c>
      <c r="L2872">
        <f>IF(NOT(ISNUMBER(G2872)),"SEM META",IF(G2872=0,"SEM META",IF(NOT(ISNUMBER(H2872)),"SEM APONTAMENTO",IF(H2872&gt;=G2872,"VERDE",IF(H2872&gt;=G2872*0.9,"AMARELO","VERMELHO")))))</f>
        <v/>
      </c>
    </row>
    <row r="2873">
      <c r="A2873" s="321" t="n">
        <v>46466</v>
      </c>
      <c r="B2873" t="inlineStr">
        <is>
          <t>GERAL</t>
        </is>
      </c>
      <c r="C2873" t="inlineStr">
        <is>
          <t>GLOBO AÇOS</t>
        </is>
      </c>
      <c r="D2873" t="inlineStr">
        <is>
          <t>PERFILAÇÃO</t>
        </is>
      </c>
      <c r="F2873">
        <f>IFERROR(INDEX('BASE METAS DIÁRIAS'!$AA$2:$AC$358,MATCH($A2873,'BASE METAS DIÁRIAS'!$A$2:$A$358,0),1),"")</f>
        <v/>
      </c>
      <c r="G2873">
        <f>IFERROR(IF(WEEKDAY($A2873,2)&lt;=INDEX('BASE METAS DIÁRIAS'!$X$2:$Z$358,MATCH($A2873,'BASE METAS DIÁRIAS'!$A$2:$A$358,0),1),INDEX('BASE METAS DIÁRIAS'!$U$2:$W$358,MATCH($A2873,'BASE METAS DIÁRIAS'!$A$2:$A$358,0),1),""),"")</f>
        <v/>
      </c>
      <c r="H2873">
        <f>IFERROR(IF(INDEX('CONTROLE PRODUÇÃO POR EMPRESAS'!$H$6:$J$5000,MATCH($A2873,'CONTROLE PRODUÇÃO POR EMPRESAS'!$A$6:$A$5000,0),1)="","",IFERROR(1*INDEX('CONTROLE PRODUÇÃO POR EMPRESAS'!$H$6:$J$5000,MATCH($A2873,'CONTROLE PRODUÇÃO POR EMPRESAS'!$A$6:$A$5000,0),1),"")),"")</f>
        <v/>
      </c>
      <c r="I2873">
        <f>IF(OR(NOT(ISNUMBER(G2873)),NOT(ISNUMBER(H2873))),"",H2873-G2873)</f>
        <v/>
      </c>
      <c r="J2873">
        <f>IF(OR(NOT(ISNUMBER(G2873)),NOT(ISNUMBER(H2873)),G2873=0),"",I2873/G2873)</f>
        <v/>
      </c>
      <c r="K2873">
        <f>IF(OR(NOT(ISNUMBER(G2873)),NOT(ISNUMBER(H2873)),G2873=0),"",H2873/G2873)</f>
        <v/>
      </c>
      <c r="L2873">
        <f>IF(NOT(ISNUMBER(G2873)),"SEM META",IF(G2873=0,"SEM META",IF(NOT(ISNUMBER(H2873)),"SEM APONTAMENTO",IF(H2873&gt;=G2873,"VERDE",IF(H2873&gt;=G2873*0.9,"AMARELO","VERMELHO")))))</f>
        <v/>
      </c>
    </row>
    <row r="2874">
      <c r="A2874" s="321" t="n">
        <v>46466</v>
      </c>
      <c r="B2874" t="inlineStr">
        <is>
          <t>GERAL</t>
        </is>
      </c>
      <c r="C2874" t="inlineStr">
        <is>
          <t>GLOBO AÇOS</t>
        </is>
      </c>
      <c r="D2874" t="inlineStr">
        <is>
          <t>TELHAR</t>
        </is>
      </c>
      <c r="F2874">
        <f>IFERROR(INDEX('BASE METAS DIÁRIAS'!$AA$2:$AC$358,MATCH($A2874,'BASE METAS DIÁRIAS'!$A$2:$A$358,0),2),"")</f>
        <v/>
      </c>
      <c r="G2874">
        <f>IFERROR(IF(WEEKDAY($A2874,2)&lt;=INDEX('BASE METAS DIÁRIAS'!$X$2:$Z$358,MATCH($A2874,'BASE METAS DIÁRIAS'!$A$2:$A$358,0),2),INDEX('BASE METAS DIÁRIAS'!$U$2:$W$358,MATCH($A2874,'BASE METAS DIÁRIAS'!$A$2:$A$358,0),2),""),"")</f>
        <v/>
      </c>
      <c r="H2874">
        <f>IFERROR(IF(INDEX('CONTROLE PRODUÇÃO POR EMPRESAS'!$H$6:$J$5000,MATCH($A2874,'CONTROLE PRODUÇÃO POR EMPRESAS'!$A$6:$A$5000,0),2)="","",IFERROR(1*INDEX('CONTROLE PRODUÇÃO POR EMPRESAS'!$H$6:$J$5000,MATCH($A2874,'CONTROLE PRODUÇÃO POR EMPRESAS'!$A$6:$A$5000,0),2),"")),"")</f>
        <v/>
      </c>
      <c r="I2874">
        <f>IF(OR(NOT(ISNUMBER(G2874)),NOT(ISNUMBER(H2874))),"",H2874-G2874)</f>
        <v/>
      </c>
      <c r="J2874">
        <f>IF(OR(NOT(ISNUMBER(G2874)),NOT(ISNUMBER(H2874)),G2874=0),"",I2874/G2874)</f>
        <v/>
      </c>
      <c r="K2874">
        <f>IF(OR(NOT(ISNUMBER(G2874)),NOT(ISNUMBER(H2874)),G2874=0),"",H2874/G2874)</f>
        <v/>
      </c>
      <c r="L2874">
        <f>IF(NOT(ISNUMBER(G2874)),"SEM META",IF(G2874=0,"SEM META",IF(NOT(ISNUMBER(H2874)),"SEM APONTAMENTO",IF(H2874&gt;=G2874,"VERDE",IF(H2874&gt;=G2874*0.9,"AMARELO","VERMELHO")))))</f>
        <v/>
      </c>
    </row>
    <row r="2875">
      <c r="A2875" s="321" t="n">
        <v>46466</v>
      </c>
      <c r="B2875" t="inlineStr">
        <is>
          <t>GERAL</t>
        </is>
      </c>
      <c r="C2875" t="inlineStr">
        <is>
          <t>GLOBO AÇOS</t>
        </is>
      </c>
      <c r="D2875" t="inlineStr">
        <is>
          <t>FECHAMENTO</t>
        </is>
      </c>
      <c r="F2875">
        <f>IFERROR(INDEX('BASE METAS DIÁRIAS'!$AA$2:$AC$358,MATCH($A2875,'BASE METAS DIÁRIAS'!$A$2:$A$358,0),3),"")</f>
        <v/>
      </c>
      <c r="G2875">
        <f>IFERROR(IF(WEEKDAY($A2875,2)&lt;=INDEX('BASE METAS DIÁRIAS'!$X$2:$Z$358,MATCH($A2875,'BASE METAS DIÁRIAS'!$A$2:$A$358,0),3),INDEX('BASE METAS DIÁRIAS'!$U$2:$W$358,MATCH($A2875,'BASE METAS DIÁRIAS'!$A$2:$A$358,0),3),""),"")</f>
        <v/>
      </c>
      <c r="H2875">
        <f>IFERROR(IF(INDEX('CONTROLE PRODUÇÃO POR EMPRESAS'!$H$6:$J$5000,MATCH($A2875,'CONTROLE PRODUÇÃO POR EMPRESAS'!$A$6:$A$5000,0),3)="","",IFERROR(1*INDEX('CONTROLE PRODUÇÃO POR EMPRESAS'!$H$6:$J$5000,MATCH($A2875,'CONTROLE PRODUÇÃO POR EMPRESAS'!$A$6:$A$5000,0),3),"")),"")</f>
        <v/>
      </c>
      <c r="I2875">
        <f>IF(OR(NOT(ISNUMBER(G2875)),NOT(ISNUMBER(H2875))),"",H2875-G2875)</f>
        <v/>
      </c>
      <c r="J2875">
        <f>IF(OR(NOT(ISNUMBER(G2875)),NOT(ISNUMBER(H2875)),G2875=0),"",I2875/G2875)</f>
        <v/>
      </c>
      <c r="K2875">
        <f>IF(OR(NOT(ISNUMBER(G2875)),NOT(ISNUMBER(H2875)),G2875=0),"",H2875/G2875)</f>
        <v/>
      </c>
      <c r="L2875">
        <f>IF(NOT(ISNUMBER(G2875)),"SEM META",IF(G2875=0,"SEM META",IF(NOT(ISNUMBER(H2875)),"SEM APONTAMENTO",IF(H2875&gt;=G2875,"VERDE",IF(H2875&gt;=G2875*0.9,"AMARELO","VERMELHO")))))</f>
        <v/>
      </c>
    </row>
    <row r="2876">
      <c r="A2876" s="321" t="n">
        <v>46467</v>
      </c>
      <c r="B2876" t="inlineStr">
        <is>
          <t>GERAL</t>
        </is>
      </c>
      <c r="C2876" t="inlineStr">
        <is>
          <t>GLOBO AÇOS</t>
        </is>
      </c>
      <c r="D2876" t="inlineStr">
        <is>
          <t>PERFILAÇÃO</t>
        </is>
      </c>
      <c r="F2876">
        <f>IFERROR(INDEX('BASE METAS DIÁRIAS'!$AA$2:$AC$358,MATCH($A2876,'BASE METAS DIÁRIAS'!$A$2:$A$358,0),1),"")</f>
        <v/>
      </c>
      <c r="G2876">
        <f>IFERROR(IF(WEEKDAY($A2876,2)&lt;=INDEX('BASE METAS DIÁRIAS'!$X$2:$Z$358,MATCH($A2876,'BASE METAS DIÁRIAS'!$A$2:$A$358,0),1),INDEX('BASE METAS DIÁRIAS'!$U$2:$W$358,MATCH($A2876,'BASE METAS DIÁRIAS'!$A$2:$A$358,0),1),""),"")</f>
        <v/>
      </c>
      <c r="H2876">
        <f>IFERROR(IF(INDEX('CONTROLE PRODUÇÃO POR EMPRESAS'!$H$6:$J$5000,MATCH($A2876,'CONTROLE PRODUÇÃO POR EMPRESAS'!$A$6:$A$5000,0),1)="","",IFERROR(1*INDEX('CONTROLE PRODUÇÃO POR EMPRESAS'!$H$6:$J$5000,MATCH($A2876,'CONTROLE PRODUÇÃO POR EMPRESAS'!$A$6:$A$5000,0),1),"")),"")</f>
        <v/>
      </c>
      <c r="I2876">
        <f>IF(OR(NOT(ISNUMBER(G2876)),NOT(ISNUMBER(H2876))),"",H2876-G2876)</f>
        <v/>
      </c>
      <c r="J2876">
        <f>IF(OR(NOT(ISNUMBER(G2876)),NOT(ISNUMBER(H2876)),G2876=0),"",I2876/G2876)</f>
        <v/>
      </c>
      <c r="K2876">
        <f>IF(OR(NOT(ISNUMBER(G2876)),NOT(ISNUMBER(H2876)),G2876=0),"",H2876/G2876)</f>
        <v/>
      </c>
      <c r="L2876">
        <f>IF(NOT(ISNUMBER(G2876)),"SEM META",IF(G2876=0,"SEM META",IF(NOT(ISNUMBER(H2876)),"SEM APONTAMENTO",IF(H2876&gt;=G2876,"VERDE",IF(H2876&gt;=G2876*0.9,"AMARELO","VERMELHO")))))</f>
        <v/>
      </c>
    </row>
    <row r="2877">
      <c r="A2877" s="321" t="n">
        <v>46467</v>
      </c>
      <c r="B2877" t="inlineStr">
        <is>
          <t>GERAL</t>
        </is>
      </c>
      <c r="C2877" t="inlineStr">
        <is>
          <t>GLOBO AÇOS</t>
        </is>
      </c>
      <c r="D2877" t="inlineStr">
        <is>
          <t>TELHAR</t>
        </is>
      </c>
      <c r="F2877">
        <f>IFERROR(INDEX('BASE METAS DIÁRIAS'!$AA$2:$AC$358,MATCH($A2877,'BASE METAS DIÁRIAS'!$A$2:$A$358,0),2),"")</f>
        <v/>
      </c>
      <c r="G2877">
        <f>IFERROR(IF(WEEKDAY($A2877,2)&lt;=INDEX('BASE METAS DIÁRIAS'!$X$2:$Z$358,MATCH($A2877,'BASE METAS DIÁRIAS'!$A$2:$A$358,0),2),INDEX('BASE METAS DIÁRIAS'!$U$2:$W$358,MATCH($A2877,'BASE METAS DIÁRIAS'!$A$2:$A$358,0),2),""),"")</f>
        <v/>
      </c>
      <c r="H2877">
        <f>IFERROR(IF(INDEX('CONTROLE PRODUÇÃO POR EMPRESAS'!$H$6:$J$5000,MATCH($A2877,'CONTROLE PRODUÇÃO POR EMPRESAS'!$A$6:$A$5000,0),2)="","",IFERROR(1*INDEX('CONTROLE PRODUÇÃO POR EMPRESAS'!$H$6:$J$5000,MATCH($A2877,'CONTROLE PRODUÇÃO POR EMPRESAS'!$A$6:$A$5000,0),2),"")),"")</f>
        <v/>
      </c>
      <c r="I2877">
        <f>IF(OR(NOT(ISNUMBER(G2877)),NOT(ISNUMBER(H2877))),"",H2877-G2877)</f>
        <v/>
      </c>
      <c r="J2877">
        <f>IF(OR(NOT(ISNUMBER(G2877)),NOT(ISNUMBER(H2877)),G2877=0),"",I2877/G2877)</f>
        <v/>
      </c>
      <c r="K2877">
        <f>IF(OR(NOT(ISNUMBER(G2877)),NOT(ISNUMBER(H2877)),G2877=0),"",H2877/G2877)</f>
        <v/>
      </c>
      <c r="L2877">
        <f>IF(NOT(ISNUMBER(G2877)),"SEM META",IF(G2877=0,"SEM META",IF(NOT(ISNUMBER(H2877)),"SEM APONTAMENTO",IF(H2877&gt;=G2877,"VERDE",IF(H2877&gt;=G2877*0.9,"AMARELO","VERMELHO")))))</f>
        <v/>
      </c>
    </row>
    <row r="2878">
      <c r="A2878" s="321" t="n">
        <v>46467</v>
      </c>
      <c r="B2878" t="inlineStr">
        <is>
          <t>GERAL</t>
        </is>
      </c>
      <c r="C2878" t="inlineStr">
        <is>
          <t>GLOBO AÇOS</t>
        </is>
      </c>
      <c r="D2878" t="inlineStr">
        <is>
          <t>FECHAMENTO</t>
        </is>
      </c>
      <c r="F2878">
        <f>IFERROR(INDEX('BASE METAS DIÁRIAS'!$AA$2:$AC$358,MATCH($A2878,'BASE METAS DIÁRIAS'!$A$2:$A$358,0),3),"")</f>
        <v/>
      </c>
      <c r="G2878">
        <f>IFERROR(IF(WEEKDAY($A2878,2)&lt;=INDEX('BASE METAS DIÁRIAS'!$X$2:$Z$358,MATCH($A2878,'BASE METAS DIÁRIAS'!$A$2:$A$358,0),3),INDEX('BASE METAS DIÁRIAS'!$U$2:$W$358,MATCH($A2878,'BASE METAS DIÁRIAS'!$A$2:$A$358,0),3),""),"")</f>
        <v/>
      </c>
      <c r="H2878">
        <f>IFERROR(IF(INDEX('CONTROLE PRODUÇÃO POR EMPRESAS'!$H$6:$J$5000,MATCH($A2878,'CONTROLE PRODUÇÃO POR EMPRESAS'!$A$6:$A$5000,0),3)="","",IFERROR(1*INDEX('CONTROLE PRODUÇÃO POR EMPRESAS'!$H$6:$J$5000,MATCH($A2878,'CONTROLE PRODUÇÃO POR EMPRESAS'!$A$6:$A$5000,0),3),"")),"")</f>
        <v/>
      </c>
      <c r="I2878">
        <f>IF(OR(NOT(ISNUMBER(G2878)),NOT(ISNUMBER(H2878))),"",H2878-G2878)</f>
        <v/>
      </c>
      <c r="J2878">
        <f>IF(OR(NOT(ISNUMBER(G2878)),NOT(ISNUMBER(H2878)),G2878=0),"",I2878/G2878)</f>
        <v/>
      </c>
      <c r="K2878">
        <f>IF(OR(NOT(ISNUMBER(G2878)),NOT(ISNUMBER(H2878)),G2878=0),"",H2878/G2878)</f>
        <v/>
      </c>
      <c r="L2878">
        <f>IF(NOT(ISNUMBER(G2878)),"SEM META",IF(G2878=0,"SEM META",IF(NOT(ISNUMBER(H2878)),"SEM APONTAMENTO",IF(H2878&gt;=G2878,"VERDE",IF(H2878&gt;=G2878*0.9,"AMARELO","VERMELHO")))))</f>
        <v/>
      </c>
    </row>
    <row r="2879">
      <c r="A2879" s="321" t="n">
        <v>46468</v>
      </c>
      <c r="B2879" t="inlineStr">
        <is>
          <t>GERAL</t>
        </is>
      </c>
      <c r="C2879" t="inlineStr">
        <is>
          <t>GLOBO AÇOS</t>
        </is>
      </c>
      <c r="D2879" t="inlineStr">
        <is>
          <t>PERFILAÇÃO</t>
        </is>
      </c>
      <c r="F2879">
        <f>IFERROR(INDEX('BASE METAS DIÁRIAS'!$AA$2:$AC$358,MATCH($A2879,'BASE METAS DIÁRIAS'!$A$2:$A$358,0),1),"")</f>
        <v/>
      </c>
      <c r="G2879">
        <f>IFERROR(IF(WEEKDAY($A2879,2)&lt;=INDEX('BASE METAS DIÁRIAS'!$X$2:$Z$358,MATCH($A2879,'BASE METAS DIÁRIAS'!$A$2:$A$358,0),1),INDEX('BASE METAS DIÁRIAS'!$U$2:$W$358,MATCH($A2879,'BASE METAS DIÁRIAS'!$A$2:$A$358,0),1),""),"")</f>
        <v/>
      </c>
      <c r="H2879">
        <f>IFERROR(IF(INDEX('CONTROLE PRODUÇÃO POR EMPRESAS'!$H$6:$J$5000,MATCH($A2879,'CONTROLE PRODUÇÃO POR EMPRESAS'!$A$6:$A$5000,0),1)="","",IFERROR(1*INDEX('CONTROLE PRODUÇÃO POR EMPRESAS'!$H$6:$J$5000,MATCH($A2879,'CONTROLE PRODUÇÃO POR EMPRESAS'!$A$6:$A$5000,0),1),"")),"")</f>
        <v/>
      </c>
      <c r="I2879">
        <f>IF(OR(NOT(ISNUMBER(G2879)),NOT(ISNUMBER(H2879))),"",H2879-G2879)</f>
        <v/>
      </c>
      <c r="J2879">
        <f>IF(OR(NOT(ISNUMBER(G2879)),NOT(ISNUMBER(H2879)),G2879=0),"",I2879/G2879)</f>
        <v/>
      </c>
      <c r="K2879">
        <f>IF(OR(NOT(ISNUMBER(G2879)),NOT(ISNUMBER(H2879)),G2879=0),"",H2879/G2879)</f>
        <v/>
      </c>
      <c r="L2879">
        <f>IF(NOT(ISNUMBER(G2879)),"SEM META",IF(G2879=0,"SEM META",IF(NOT(ISNUMBER(H2879)),"SEM APONTAMENTO",IF(H2879&gt;=G2879,"VERDE",IF(H2879&gt;=G2879*0.9,"AMARELO","VERMELHO")))))</f>
        <v/>
      </c>
    </row>
    <row r="2880">
      <c r="A2880" s="321" t="n">
        <v>46468</v>
      </c>
      <c r="B2880" t="inlineStr">
        <is>
          <t>GERAL</t>
        </is>
      </c>
      <c r="C2880" t="inlineStr">
        <is>
          <t>GLOBO AÇOS</t>
        </is>
      </c>
      <c r="D2880" t="inlineStr">
        <is>
          <t>TELHAR</t>
        </is>
      </c>
      <c r="F2880">
        <f>IFERROR(INDEX('BASE METAS DIÁRIAS'!$AA$2:$AC$358,MATCH($A2880,'BASE METAS DIÁRIAS'!$A$2:$A$358,0),2),"")</f>
        <v/>
      </c>
      <c r="G2880">
        <f>IFERROR(IF(WEEKDAY($A2880,2)&lt;=INDEX('BASE METAS DIÁRIAS'!$X$2:$Z$358,MATCH($A2880,'BASE METAS DIÁRIAS'!$A$2:$A$358,0),2),INDEX('BASE METAS DIÁRIAS'!$U$2:$W$358,MATCH($A2880,'BASE METAS DIÁRIAS'!$A$2:$A$358,0),2),""),"")</f>
        <v/>
      </c>
      <c r="H2880">
        <f>IFERROR(IF(INDEX('CONTROLE PRODUÇÃO POR EMPRESAS'!$H$6:$J$5000,MATCH($A2880,'CONTROLE PRODUÇÃO POR EMPRESAS'!$A$6:$A$5000,0),2)="","",IFERROR(1*INDEX('CONTROLE PRODUÇÃO POR EMPRESAS'!$H$6:$J$5000,MATCH($A2880,'CONTROLE PRODUÇÃO POR EMPRESAS'!$A$6:$A$5000,0),2),"")),"")</f>
        <v/>
      </c>
      <c r="I2880">
        <f>IF(OR(NOT(ISNUMBER(G2880)),NOT(ISNUMBER(H2880))),"",H2880-G2880)</f>
        <v/>
      </c>
      <c r="J2880">
        <f>IF(OR(NOT(ISNUMBER(G2880)),NOT(ISNUMBER(H2880)),G2880=0),"",I2880/G2880)</f>
        <v/>
      </c>
      <c r="K2880">
        <f>IF(OR(NOT(ISNUMBER(G2880)),NOT(ISNUMBER(H2880)),G2880=0),"",H2880/G2880)</f>
        <v/>
      </c>
      <c r="L2880">
        <f>IF(NOT(ISNUMBER(G2880)),"SEM META",IF(G2880=0,"SEM META",IF(NOT(ISNUMBER(H2880)),"SEM APONTAMENTO",IF(H2880&gt;=G2880,"VERDE",IF(H2880&gt;=G2880*0.9,"AMARELO","VERMELHO")))))</f>
        <v/>
      </c>
    </row>
    <row r="2881">
      <c r="A2881" s="321" t="n">
        <v>46468</v>
      </c>
      <c r="B2881" t="inlineStr">
        <is>
          <t>GERAL</t>
        </is>
      </c>
      <c r="C2881" t="inlineStr">
        <is>
          <t>GLOBO AÇOS</t>
        </is>
      </c>
      <c r="D2881" t="inlineStr">
        <is>
          <t>FECHAMENTO</t>
        </is>
      </c>
      <c r="F2881">
        <f>IFERROR(INDEX('BASE METAS DIÁRIAS'!$AA$2:$AC$358,MATCH($A2881,'BASE METAS DIÁRIAS'!$A$2:$A$358,0),3),"")</f>
        <v/>
      </c>
      <c r="G2881">
        <f>IFERROR(IF(WEEKDAY($A2881,2)&lt;=INDEX('BASE METAS DIÁRIAS'!$X$2:$Z$358,MATCH($A2881,'BASE METAS DIÁRIAS'!$A$2:$A$358,0),3),INDEX('BASE METAS DIÁRIAS'!$U$2:$W$358,MATCH($A2881,'BASE METAS DIÁRIAS'!$A$2:$A$358,0),3),""),"")</f>
        <v/>
      </c>
      <c r="H2881">
        <f>IFERROR(IF(INDEX('CONTROLE PRODUÇÃO POR EMPRESAS'!$H$6:$J$5000,MATCH($A2881,'CONTROLE PRODUÇÃO POR EMPRESAS'!$A$6:$A$5000,0),3)="","",IFERROR(1*INDEX('CONTROLE PRODUÇÃO POR EMPRESAS'!$H$6:$J$5000,MATCH($A2881,'CONTROLE PRODUÇÃO POR EMPRESAS'!$A$6:$A$5000,0),3),"")),"")</f>
        <v/>
      </c>
      <c r="I2881">
        <f>IF(OR(NOT(ISNUMBER(G2881)),NOT(ISNUMBER(H2881))),"",H2881-G2881)</f>
        <v/>
      </c>
      <c r="J2881">
        <f>IF(OR(NOT(ISNUMBER(G2881)),NOT(ISNUMBER(H2881)),G2881=0),"",I2881/G2881)</f>
        <v/>
      </c>
      <c r="K2881">
        <f>IF(OR(NOT(ISNUMBER(G2881)),NOT(ISNUMBER(H2881)),G2881=0),"",H2881/G2881)</f>
        <v/>
      </c>
      <c r="L2881">
        <f>IF(NOT(ISNUMBER(G2881)),"SEM META",IF(G2881=0,"SEM META",IF(NOT(ISNUMBER(H2881)),"SEM APONTAMENTO",IF(H2881&gt;=G2881,"VERDE",IF(H2881&gt;=G2881*0.9,"AMARELO","VERMELHO")))))</f>
        <v/>
      </c>
    </row>
    <row r="2882">
      <c r="A2882" s="321" t="n">
        <v>46469</v>
      </c>
      <c r="B2882" t="inlineStr">
        <is>
          <t>GERAL</t>
        </is>
      </c>
      <c r="C2882" t="inlineStr">
        <is>
          <t>GLOBO AÇOS</t>
        </is>
      </c>
      <c r="D2882" t="inlineStr">
        <is>
          <t>PERFILAÇÃO</t>
        </is>
      </c>
      <c r="F2882">
        <f>IFERROR(INDEX('BASE METAS DIÁRIAS'!$AA$2:$AC$358,MATCH($A2882,'BASE METAS DIÁRIAS'!$A$2:$A$358,0),1),"")</f>
        <v/>
      </c>
      <c r="G2882">
        <f>IFERROR(IF(WEEKDAY($A2882,2)&lt;=INDEX('BASE METAS DIÁRIAS'!$X$2:$Z$358,MATCH($A2882,'BASE METAS DIÁRIAS'!$A$2:$A$358,0),1),INDEX('BASE METAS DIÁRIAS'!$U$2:$W$358,MATCH($A2882,'BASE METAS DIÁRIAS'!$A$2:$A$358,0),1),""),"")</f>
        <v/>
      </c>
      <c r="H2882">
        <f>IFERROR(IF(INDEX('CONTROLE PRODUÇÃO POR EMPRESAS'!$H$6:$J$5000,MATCH($A2882,'CONTROLE PRODUÇÃO POR EMPRESAS'!$A$6:$A$5000,0),1)="","",IFERROR(1*INDEX('CONTROLE PRODUÇÃO POR EMPRESAS'!$H$6:$J$5000,MATCH($A2882,'CONTROLE PRODUÇÃO POR EMPRESAS'!$A$6:$A$5000,0),1),"")),"")</f>
        <v/>
      </c>
      <c r="I2882">
        <f>IF(OR(NOT(ISNUMBER(G2882)),NOT(ISNUMBER(H2882))),"",H2882-G2882)</f>
        <v/>
      </c>
      <c r="J2882">
        <f>IF(OR(NOT(ISNUMBER(G2882)),NOT(ISNUMBER(H2882)),G2882=0),"",I2882/G2882)</f>
        <v/>
      </c>
      <c r="K2882">
        <f>IF(OR(NOT(ISNUMBER(G2882)),NOT(ISNUMBER(H2882)),G2882=0),"",H2882/G2882)</f>
        <v/>
      </c>
      <c r="L2882">
        <f>IF(NOT(ISNUMBER(G2882)),"SEM META",IF(G2882=0,"SEM META",IF(NOT(ISNUMBER(H2882)),"SEM APONTAMENTO",IF(H2882&gt;=G2882,"VERDE",IF(H2882&gt;=G2882*0.9,"AMARELO","VERMELHO")))))</f>
        <v/>
      </c>
    </row>
    <row r="2883">
      <c r="A2883" s="321" t="n">
        <v>46469</v>
      </c>
      <c r="B2883" t="inlineStr">
        <is>
          <t>GERAL</t>
        </is>
      </c>
      <c r="C2883" t="inlineStr">
        <is>
          <t>GLOBO AÇOS</t>
        </is>
      </c>
      <c r="D2883" t="inlineStr">
        <is>
          <t>TELHAR</t>
        </is>
      </c>
      <c r="F2883">
        <f>IFERROR(INDEX('BASE METAS DIÁRIAS'!$AA$2:$AC$358,MATCH($A2883,'BASE METAS DIÁRIAS'!$A$2:$A$358,0),2),"")</f>
        <v/>
      </c>
      <c r="G2883">
        <f>IFERROR(IF(WEEKDAY($A2883,2)&lt;=INDEX('BASE METAS DIÁRIAS'!$X$2:$Z$358,MATCH($A2883,'BASE METAS DIÁRIAS'!$A$2:$A$358,0),2),INDEX('BASE METAS DIÁRIAS'!$U$2:$W$358,MATCH($A2883,'BASE METAS DIÁRIAS'!$A$2:$A$358,0),2),""),"")</f>
        <v/>
      </c>
      <c r="H2883">
        <f>IFERROR(IF(INDEX('CONTROLE PRODUÇÃO POR EMPRESAS'!$H$6:$J$5000,MATCH($A2883,'CONTROLE PRODUÇÃO POR EMPRESAS'!$A$6:$A$5000,0),2)="","",IFERROR(1*INDEX('CONTROLE PRODUÇÃO POR EMPRESAS'!$H$6:$J$5000,MATCH($A2883,'CONTROLE PRODUÇÃO POR EMPRESAS'!$A$6:$A$5000,0),2),"")),"")</f>
        <v/>
      </c>
      <c r="I2883">
        <f>IF(OR(NOT(ISNUMBER(G2883)),NOT(ISNUMBER(H2883))),"",H2883-G2883)</f>
        <v/>
      </c>
      <c r="J2883">
        <f>IF(OR(NOT(ISNUMBER(G2883)),NOT(ISNUMBER(H2883)),G2883=0),"",I2883/G2883)</f>
        <v/>
      </c>
      <c r="K2883">
        <f>IF(OR(NOT(ISNUMBER(G2883)),NOT(ISNUMBER(H2883)),G2883=0),"",H2883/G2883)</f>
        <v/>
      </c>
      <c r="L2883">
        <f>IF(NOT(ISNUMBER(G2883)),"SEM META",IF(G2883=0,"SEM META",IF(NOT(ISNUMBER(H2883)),"SEM APONTAMENTO",IF(H2883&gt;=G2883,"VERDE",IF(H2883&gt;=G2883*0.9,"AMARELO","VERMELHO")))))</f>
        <v/>
      </c>
    </row>
    <row r="2884">
      <c r="A2884" s="321" t="n">
        <v>46469</v>
      </c>
      <c r="B2884" t="inlineStr">
        <is>
          <t>GERAL</t>
        </is>
      </c>
      <c r="C2884" t="inlineStr">
        <is>
          <t>GLOBO AÇOS</t>
        </is>
      </c>
      <c r="D2884" t="inlineStr">
        <is>
          <t>FECHAMENTO</t>
        </is>
      </c>
      <c r="F2884">
        <f>IFERROR(INDEX('BASE METAS DIÁRIAS'!$AA$2:$AC$358,MATCH($A2884,'BASE METAS DIÁRIAS'!$A$2:$A$358,0),3),"")</f>
        <v/>
      </c>
      <c r="G2884">
        <f>IFERROR(IF(WEEKDAY($A2884,2)&lt;=INDEX('BASE METAS DIÁRIAS'!$X$2:$Z$358,MATCH($A2884,'BASE METAS DIÁRIAS'!$A$2:$A$358,0),3),INDEX('BASE METAS DIÁRIAS'!$U$2:$W$358,MATCH($A2884,'BASE METAS DIÁRIAS'!$A$2:$A$358,0),3),""),"")</f>
        <v/>
      </c>
      <c r="H2884">
        <f>IFERROR(IF(INDEX('CONTROLE PRODUÇÃO POR EMPRESAS'!$H$6:$J$5000,MATCH($A2884,'CONTROLE PRODUÇÃO POR EMPRESAS'!$A$6:$A$5000,0),3)="","",IFERROR(1*INDEX('CONTROLE PRODUÇÃO POR EMPRESAS'!$H$6:$J$5000,MATCH($A2884,'CONTROLE PRODUÇÃO POR EMPRESAS'!$A$6:$A$5000,0),3),"")),"")</f>
        <v/>
      </c>
      <c r="I2884">
        <f>IF(OR(NOT(ISNUMBER(G2884)),NOT(ISNUMBER(H2884))),"",H2884-G2884)</f>
        <v/>
      </c>
      <c r="J2884">
        <f>IF(OR(NOT(ISNUMBER(G2884)),NOT(ISNUMBER(H2884)),G2884=0),"",I2884/G2884)</f>
        <v/>
      </c>
      <c r="K2884">
        <f>IF(OR(NOT(ISNUMBER(G2884)),NOT(ISNUMBER(H2884)),G2884=0),"",H2884/G2884)</f>
        <v/>
      </c>
      <c r="L2884">
        <f>IF(NOT(ISNUMBER(G2884)),"SEM META",IF(G2884=0,"SEM META",IF(NOT(ISNUMBER(H2884)),"SEM APONTAMENTO",IF(H2884&gt;=G2884,"VERDE",IF(H2884&gt;=G2884*0.9,"AMARELO","VERMELHO")))))</f>
        <v/>
      </c>
    </row>
    <row r="2885">
      <c r="A2885" s="321" t="n">
        <v>46470</v>
      </c>
      <c r="B2885" t="inlineStr">
        <is>
          <t>GERAL</t>
        </is>
      </c>
      <c r="C2885" t="inlineStr">
        <is>
          <t>GLOBO AÇOS</t>
        </is>
      </c>
      <c r="D2885" t="inlineStr">
        <is>
          <t>PERFILAÇÃO</t>
        </is>
      </c>
      <c r="F2885">
        <f>IFERROR(INDEX('BASE METAS DIÁRIAS'!$AA$2:$AC$358,MATCH($A2885,'BASE METAS DIÁRIAS'!$A$2:$A$358,0),1),"")</f>
        <v/>
      </c>
      <c r="G2885">
        <f>IFERROR(IF(WEEKDAY($A2885,2)&lt;=INDEX('BASE METAS DIÁRIAS'!$X$2:$Z$358,MATCH($A2885,'BASE METAS DIÁRIAS'!$A$2:$A$358,0),1),INDEX('BASE METAS DIÁRIAS'!$U$2:$W$358,MATCH($A2885,'BASE METAS DIÁRIAS'!$A$2:$A$358,0),1),""),"")</f>
        <v/>
      </c>
      <c r="H2885">
        <f>IFERROR(IF(INDEX('CONTROLE PRODUÇÃO POR EMPRESAS'!$H$6:$J$5000,MATCH($A2885,'CONTROLE PRODUÇÃO POR EMPRESAS'!$A$6:$A$5000,0),1)="","",IFERROR(1*INDEX('CONTROLE PRODUÇÃO POR EMPRESAS'!$H$6:$J$5000,MATCH($A2885,'CONTROLE PRODUÇÃO POR EMPRESAS'!$A$6:$A$5000,0),1),"")),"")</f>
        <v/>
      </c>
      <c r="I2885">
        <f>IF(OR(NOT(ISNUMBER(G2885)),NOT(ISNUMBER(H2885))),"",H2885-G2885)</f>
        <v/>
      </c>
      <c r="J2885">
        <f>IF(OR(NOT(ISNUMBER(G2885)),NOT(ISNUMBER(H2885)),G2885=0),"",I2885/G2885)</f>
        <v/>
      </c>
      <c r="K2885">
        <f>IF(OR(NOT(ISNUMBER(G2885)),NOT(ISNUMBER(H2885)),G2885=0),"",H2885/G2885)</f>
        <v/>
      </c>
      <c r="L2885">
        <f>IF(NOT(ISNUMBER(G2885)),"SEM META",IF(G2885=0,"SEM META",IF(NOT(ISNUMBER(H2885)),"SEM APONTAMENTO",IF(H2885&gt;=G2885,"VERDE",IF(H2885&gt;=G2885*0.9,"AMARELO","VERMELHO")))))</f>
        <v/>
      </c>
    </row>
    <row r="2886">
      <c r="A2886" s="321" t="n">
        <v>46470</v>
      </c>
      <c r="B2886" t="inlineStr">
        <is>
          <t>GERAL</t>
        </is>
      </c>
      <c r="C2886" t="inlineStr">
        <is>
          <t>GLOBO AÇOS</t>
        </is>
      </c>
      <c r="D2886" t="inlineStr">
        <is>
          <t>TELHAR</t>
        </is>
      </c>
      <c r="F2886">
        <f>IFERROR(INDEX('BASE METAS DIÁRIAS'!$AA$2:$AC$358,MATCH($A2886,'BASE METAS DIÁRIAS'!$A$2:$A$358,0),2),"")</f>
        <v/>
      </c>
      <c r="G2886">
        <f>IFERROR(IF(WEEKDAY($A2886,2)&lt;=INDEX('BASE METAS DIÁRIAS'!$X$2:$Z$358,MATCH($A2886,'BASE METAS DIÁRIAS'!$A$2:$A$358,0),2),INDEX('BASE METAS DIÁRIAS'!$U$2:$W$358,MATCH($A2886,'BASE METAS DIÁRIAS'!$A$2:$A$358,0),2),""),"")</f>
        <v/>
      </c>
      <c r="H2886">
        <f>IFERROR(IF(INDEX('CONTROLE PRODUÇÃO POR EMPRESAS'!$H$6:$J$5000,MATCH($A2886,'CONTROLE PRODUÇÃO POR EMPRESAS'!$A$6:$A$5000,0),2)="","",IFERROR(1*INDEX('CONTROLE PRODUÇÃO POR EMPRESAS'!$H$6:$J$5000,MATCH($A2886,'CONTROLE PRODUÇÃO POR EMPRESAS'!$A$6:$A$5000,0),2),"")),"")</f>
        <v/>
      </c>
      <c r="I2886">
        <f>IF(OR(NOT(ISNUMBER(G2886)),NOT(ISNUMBER(H2886))),"",H2886-G2886)</f>
        <v/>
      </c>
      <c r="J2886">
        <f>IF(OR(NOT(ISNUMBER(G2886)),NOT(ISNUMBER(H2886)),G2886=0),"",I2886/G2886)</f>
        <v/>
      </c>
      <c r="K2886">
        <f>IF(OR(NOT(ISNUMBER(G2886)),NOT(ISNUMBER(H2886)),G2886=0),"",H2886/G2886)</f>
        <v/>
      </c>
      <c r="L2886">
        <f>IF(NOT(ISNUMBER(G2886)),"SEM META",IF(G2886=0,"SEM META",IF(NOT(ISNUMBER(H2886)),"SEM APONTAMENTO",IF(H2886&gt;=G2886,"VERDE",IF(H2886&gt;=G2886*0.9,"AMARELO","VERMELHO")))))</f>
        <v/>
      </c>
    </row>
    <row r="2887">
      <c r="A2887" s="321" t="n">
        <v>46470</v>
      </c>
      <c r="B2887" t="inlineStr">
        <is>
          <t>GERAL</t>
        </is>
      </c>
      <c r="C2887" t="inlineStr">
        <is>
          <t>GLOBO AÇOS</t>
        </is>
      </c>
      <c r="D2887" t="inlineStr">
        <is>
          <t>FECHAMENTO</t>
        </is>
      </c>
      <c r="F2887">
        <f>IFERROR(INDEX('BASE METAS DIÁRIAS'!$AA$2:$AC$358,MATCH($A2887,'BASE METAS DIÁRIAS'!$A$2:$A$358,0),3),"")</f>
        <v/>
      </c>
      <c r="G2887">
        <f>IFERROR(IF(WEEKDAY($A2887,2)&lt;=INDEX('BASE METAS DIÁRIAS'!$X$2:$Z$358,MATCH($A2887,'BASE METAS DIÁRIAS'!$A$2:$A$358,0),3),INDEX('BASE METAS DIÁRIAS'!$U$2:$W$358,MATCH($A2887,'BASE METAS DIÁRIAS'!$A$2:$A$358,0),3),""),"")</f>
        <v/>
      </c>
      <c r="H2887">
        <f>IFERROR(IF(INDEX('CONTROLE PRODUÇÃO POR EMPRESAS'!$H$6:$J$5000,MATCH($A2887,'CONTROLE PRODUÇÃO POR EMPRESAS'!$A$6:$A$5000,0),3)="","",IFERROR(1*INDEX('CONTROLE PRODUÇÃO POR EMPRESAS'!$H$6:$J$5000,MATCH($A2887,'CONTROLE PRODUÇÃO POR EMPRESAS'!$A$6:$A$5000,0),3),"")),"")</f>
        <v/>
      </c>
      <c r="I2887">
        <f>IF(OR(NOT(ISNUMBER(G2887)),NOT(ISNUMBER(H2887))),"",H2887-G2887)</f>
        <v/>
      </c>
      <c r="J2887">
        <f>IF(OR(NOT(ISNUMBER(G2887)),NOT(ISNUMBER(H2887)),G2887=0),"",I2887/G2887)</f>
        <v/>
      </c>
      <c r="K2887">
        <f>IF(OR(NOT(ISNUMBER(G2887)),NOT(ISNUMBER(H2887)),G2887=0),"",H2887/G2887)</f>
        <v/>
      </c>
      <c r="L2887">
        <f>IF(NOT(ISNUMBER(G2887)),"SEM META",IF(G2887=0,"SEM META",IF(NOT(ISNUMBER(H2887)),"SEM APONTAMENTO",IF(H2887&gt;=G2887,"VERDE",IF(H2887&gt;=G2887*0.9,"AMARELO","VERMELHO")))))</f>
        <v/>
      </c>
    </row>
    <row r="2888">
      <c r="A2888" s="321" t="n">
        <v>46471</v>
      </c>
      <c r="B2888" t="inlineStr">
        <is>
          <t>GERAL</t>
        </is>
      </c>
      <c r="C2888" t="inlineStr">
        <is>
          <t>GLOBO AÇOS</t>
        </is>
      </c>
      <c r="D2888" t="inlineStr">
        <is>
          <t>PERFILAÇÃO</t>
        </is>
      </c>
      <c r="F2888">
        <f>IFERROR(INDEX('BASE METAS DIÁRIAS'!$AA$2:$AC$358,MATCH($A2888,'BASE METAS DIÁRIAS'!$A$2:$A$358,0),1),"")</f>
        <v/>
      </c>
      <c r="G2888">
        <f>IFERROR(IF(WEEKDAY($A2888,2)&lt;=INDEX('BASE METAS DIÁRIAS'!$X$2:$Z$358,MATCH($A2888,'BASE METAS DIÁRIAS'!$A$2:$A$358,0),1),INDEX('BASE METAS DIÁRIAS'!$U$2:$W$358,MATCH($A2888,'BASE METAS DIÁRIAS'!$A$2:$A$358,0),1),""),"")</f>
        <v/>
      </c>
      <c r="H2888">
        <f>IFERROR(IF(INDEX('CONTROLE PRODUÇÃO POR EMPRESAS'!$H$6:$J$5000,MATCH($A2888,'CONTROLE PRODUÇÃO POR EMPRESAS'!$A$6:$A$5000,0),1)="","",IFERROR(1*INDEX('CONTROLE PRODUÇÃO POR EMPRESAS'!$H$6:$J$5000,MATCH($A2888,'CONTROLE PRODUÇÃO POR EMPRESAS'!$A$6:$A$5000,0),1),"")),"")</f>
        <v/>
      </c>
      <c r="I2888">
        <f>IF(OR(NOT(ISNUMBER(G2888)),NOT(ISNUMBER(H2888))),"",H2888-G2888)</f>
        <v/>
      </c>
      <c r="J2888">
        <f>IF(OR(NOT(ISNUMBER(G2888)),NOT(ISNUMBER(H2888)),G2888=0),"",I2888/G2888)</f>
        <v/>
      </c>
      <c r="K2888">
        <f>IF(OR(NOT(ISNUMBER(G2888)),NOT(ISNUMBER(H2888)),G2888=0),"",H2888/G2888)</f>
        <v/>
      </c>
      <c r="L2888">
        <f>IF(NOT(ISNUMBER(G2888)),"SEM META",IF(G2888=0,"SEM META",IF(NOT(ISNUMBER(H2888)),"SEM APONTAMENTO",IF(H2888&gt;=G2888,"VERDE",IF(H2888&gt;=G2888*0.9,"AMARELO","VERMELHO")))))</f>
        <v/>
      </c>
    </row>
    <row r="2889">
      <c r="A2889" s="321" t="n">
        <v>46471</v>
      </c>
      <c r="B2889" t="inlineStr">
        <is>
          <t>GERAL</t>
        </is>
      </c>
      <c r="C2889" t="inlineStr">
        <is>
          <t>GLOBO AÇOS</t>
        </is>
      </c>
      <c r="D2889" t="inlineStr">
        <is>
          <t>TELHAR</t>
        </is>
      </c>
      <c r="F2889">
        <f>IFERROR(INDEX('BASE METAS DIÁRIAS'!$AA$2:$AC$358,MATCH($A2889,'BASE METAS DIÁRIAS'!$A$2:$A$358,0),2),"")</f>
        <v/>
      </c>
      <c r="G2889">
        <f>IFERROR(IF(WEEKDAY($A2889,2)&lt;=INDEX('BASE METAS DIÁRIAS'!$X$2:$Z$358,MATCH($A2889,'BASE METAS DIÁRIAS'!$A$2:$A$358,0),2),INDEX('BASE METAS DIÁRIAS'!$U$2:$W$358,MATCH($A2889,'BASE METAS DIÁRIAS'!$A$2:$A$358,0),2),""),"")</f>
        <v/>
      </c>
      <c r="H2889">
        <f>IFERROR(IF(INDEX('CONTROLE PRODUÇÃO POR EMPRESAS'!$H$6:$J$5000,MATCH($A2889,'CONTROLE PRODUÇÃO POR EMPRESAS'!$A$6:$A$5000,0),2)="","",IFERROR(1*INDEX('CONTROLE PRODUÇÃO POR EMPRESAS'!$H$6:$J$5000,MATCH($A2889,'CONTROLE PRODUÇÃO POR EMPRESAS'!$A$6:$A$5000,0),2),"")),"")</f>
        <v/>
      </c>
      <c r="I2889">
        <f>IF(OR(NOT(ISNUMBER(G2889)),NOT(ISNUMBER(H2889))),"",H2889-G2889)</f>
        <v/>
      </c>
      <c r="J2889">
        <f>IF(OR(NOT(ISNUMBER(G2889)),NOT(ISNUMBER(H2889)),G2889=0),"",I2889/G2889)</f>
        <v/>
      </c>
      <c r="K2889">
        <f>IF(OR(NOT(ISNUMBER(G2889)),NOT(ISNUMBER(H2889)),G2889=0),"",H2889/G2889)</f>
        <v/>
      </c>
      <c r="L2889">
        <f>IF(NOT(ISNUMBER(G2889)),"SEM META",IF(G2889=0,"SEM META",IF(NOT(ISNUMBER(H2889)),"SEM APONTAMENTO",IF(H2889&gt;=G2889,"VERDE",IF(H2889&gt;=G2889*0.9,"AMARELO","VERMELHO")))))</f>
        <v/>
      </c>
    </row>
    <row r="2890">
      <c r="A2890" s="321" t="n">
        <v>46471</v>
      </c>
      <c r="B2890" t="inlineStr">
        <is>
          <t>GERAL</t>
        </is>
      </c>
      <c r="C2890" t="inlineStr">
        <is>
          <t>GLOBO AÇOS</t>
        </is>
      </c>
      <c r="D2890" t="inlineStr">
        <is>
          <t>FECHAMENTO</t>
        </is>
      </c>
      <c r="F2890">
        <f>IFERROR(INDEX('BASE METAS DIÁRIAS'!$AA$2:$AC$358,MATCH($A2890,'BASE METAS DIÁRIAS'!$A$2:$A$358,0),3),"")</f>
        <v/>
      </c>
      <c r="G2890">
        <f>IFERROR(IF(WEEKDAY($A2890,2)&lt;=INDEX('BASE METAS DIÁRIAS'!$X$2:$Z$358,MATCH($A2890,'BASE METAS DIÁRIAS'!$A$2:$A$358,0),3),INDEX('BASE METAS DIÁRIAS'!$U$2:$W$358,MATCH($A2890,'BASE METAS DIÁRIAS'!$A$2:$A$358,0),3),""),"")</f>
        <v/>
      </c>
      <c r="H2890">
        <f>IFERROR(IF(INDEX('CONTROLE PRODUÇÃO POR EMPRESAS'!$H$6:$J$5000,MATCH($A2890,'CONTROLE PRODUÇÃO POR EMPRESAS'!$A$6:$A$5000,0),3)="","",IFERROR(1*INDEX('CONTROLE PRODUÇÃO POR EMPRESAS'!$H$6:$J$5000,MATCH($A2890,'CONTROLE PRODUÇÃO POR EMPRESAS'!$A$6:$A$5000,0),3),"")),"")</f>
        <v/>
      </c>
      <c r="I2890">
        <f>IF(OR(NOT(ISNUMBER(G2890)),NOT(ISNUMBER(H2890))),"",H2890-G2890)</f>
        <v/>
      </c>
      <c r="J2890">
        <f>IF(OR(NOT(ISNUMBER(G2890)),NOT(ISNUMBER(H2890)),G2890=0),"",I2890/G2890)</f>
        <v/>
      </c>
      <c r="K2890">
        <f>IF(OR(NOT(ISNUMBER(G2890)),NOT(ISNUMBER(H2890)),G2890=0),"",H2890/G2890)</f>
        <v/>
      </c>
      <c r="L2890">
        <f>IF(NOT(ISNUMBER(G2890)),"SEM META",IF(G2890=0,"SEM META",IF(NOT(ISNUMBER(H2890)),"SEM APONTAMENTO",IF(H2890&gt;=G2890,"VERDE",IF(H2890&gt;=G2890*0.9,"AMARELO","VERMELHO")))))</f>
        <v/>
      </c>
    </row>
    <row r="2891">
      <c r="A2891" s="321" t="n">
        <v>46472</v>
      </c>
      <c r="B2891" t="inlineStr">
        <is>
          <t>GERAL</t>
        </is>
      </c>
      <c r="C2891" t="inlineStr">
        <is>
          <t>GLOBO AÇOS</t>
        </is>
      </c>
      <c r="D2891" t="inlineStr">
        <is>
          <t>PERFILAÇÃO</t>
        </is>
      </c>
      <c r="F2891">
        <f>IFERROR(INDEX('BASE METAS DIÁRIAS'!$AA$2:$AC$358,MATCH($A2891,'BASE METAS DIÁRIAS'!$A$2:$A$358,0),1),"")</f>
        <v/>
      </c>
      <c r="G2891">
        <f>IFERROR(IF(WEEKDAY($A2891,2)&lt;=INDEX('BASE METAS DIÁRIAS'!$X$2:$Z$358,MATCH($A2891,'BASE METAS DIÁRIAS'!$A$2:$A$358,0),1),INDEX('BASE METAS DIÁRIAS'!$U$2:$W$358,MATCH($A2891,'BASE METAS DIÁRIAS'!$A$2:$A$358,0),1),""),"")</f>
        <v/>
      </c>
      <c r="H2891">
        <f>IFERROR(IF(INDEX('CONTROLE PRODUÇÃO POR EMPRESAS'!$H$6:$J$5000,MATCH($A2891,'CONTROLE PRODUÇÃO POR EMPRESAS'!$A$6:$A$5000,0),1)="","",IFERROR(1*INDEX('CONTROLE PRODUÇÃO POR EMPRESAS'!$H$6:$J$5000,MATCH($A2891,'CONTROLE PRODUÇÃO POR EMPRESAS'!$A$6:$A$5000,0),1),"")),"")</f>
        <v/>
      </c>
      <c r="I2891">
        <f>IF(OR(NOT(ISNUMBER(G2891)),NOT(ISNUMBER(H2891))),"",H2891-G2891)</f>
        <v/>
      </c>
      <c r="J2891">
        <f>IF(OR(NOT(ISNUMBER(G2891)),NOT(ISNUMBER(H2891)),G2891=0),"",I2891/G2891)</f>
        <v/>
      </c>
      <c r="K2891">
        <f>IF(OR(NOT(ISNUMBER(G2891)),NOT(ISNUMBER(H2891)),G2891=0),"",H2891/G2891)</f>
        <v/>
      </c>
      <c r="L2891">
        <f>IF(NOT(ISNUMBER(G2891)),"SEM META",IF(G2891=0,"SEM META",IF(NOT(ISNUMBER(H2891)),"SEM APONTAMENTO",IF(H2891&gt;=G2891,"VERDE",IF(H2891&gt;=G2891*0.9,"AMARELO","VERMELHO")))))</f>
        <v/>
      </c>
    </row>
    <row r="2892">
      <c r="A2892" s="321" t="n">
        <v>46472</v>
      </c>
      <c r="B2892" t="inlineStr">
        <is>
          <t>GERAL</t>
        </is>
      </c>
      <c r="C2892" t="inlineStr">
        <is>
          <t>GLOBO AÇOS</t>
        </is>
      </c>
      <c r="D2892" t="inlineStr">
        <is>
          <t>TELHAR</t>
        </is>
      </c>
      <c r="F2892">
        <f>IFERROR(INDEX('BASE METAS DIÁRIAS'!$AA$2:$AC$358,MATCH($A2892,'BASE METAS DIÁRIAS'!$A$2:$A$358,0),2),"")</f>
        <v/>
      </c>
      <c r="G2892">
        <f>IFERROR(IF(WEEKDAY($A2892,2)&lt;=INDEX('BASE METAS DIÁRIAS'!$X$2:$Z$358,MATCH($A2892,'BASE METAS DIÁRIAS'!$A$2:$A$358,0),2),INDEX('BASE METAS DIÁRIAS'!$U$2:$W$358,MATCH($A2892,'BASE METAS DIÁRIAS'!$A$2:$A$358,0),2),""),"")</f>
        <v/>
      </c>
      <c r="H2892">
        <f>IFERROR(IF(INDEX('CONTROLE PRODUÇÃO POR EMPRESAS'!$H$6:$J$5000,MATCH($A2892,'CONTROLE PRODUÇÃO POR EMPRESAS'!$A$6:$A$5000,0),2)="","",IFERROR(1*INDEX('CONTROLE PRODUÇÃO POR EMPRESAS'!$H$6:$J$5000,MATCH($A2892,'CONTROLE PRODUÇÃO POR EMPRESAS'!$A$6:$A$5000,0),2),"")),"")</f>
        <v/>
      </c>
      <c r="I2892">
        <f>IF(OR(NOT(ISNUMBER(G2892)),NOT(ISNUMBER(H2892))),"",H2892-G2892)</f>
        <v/>
      </c>
      <c r="J2892">
        <f>IF(OR(NOT(ISNUMBER(G2892)),NOT(ISNUMBER(H2892)),G2892=0),"",I2892/G2892)</f>
        <v/>
      </c>
      <c r="K2892">
        <f>IF(OR(NOT(ISNUMBER(G2892)),NOT(ISNUMBER(H2892)),G2892=0),"",H2892/G2892)</f>
        <v/>
      </c>
      <c r="L2892">
        <f>IF(NOT(ISNUMBER(G2892)),"SEM META",IF(G2892=0,"SEM META",IF(NOT(ISNUMBER(H2892)),"SEM APONTAMENTO",IF(H2892&gt;=G2892,"VERDE",IF(H2892&gt;=G2892*0.9,"AMARELO","VERMELHO")))))</f>
        <v/>
      </c>
    </row>
    <row r="2893">
      <c r="A2893" s="321" t="n">
        <v>46472</v>
      </c>
      <c r="B2893" t="inlineStr">
        <is>
          <t>GERAL</t>
        </is>
      </c>
      <c r="C2893" t="inlineStr">
        <is>
          <t>GLOBO AÇOS</t>
        </is>
      </c>
      <c r="D2893" t="inlineStr">
        <is>
          <t>FECHAMENTO</t>
        </is>
      </c>
      <c r="F2893">
        <f>IFERROR(INDEX('BASE METAS DIÁRIAS'!$AA$2:$AC$358,MATCH($A2893,'BASE METAS DIÁRIAS'!$A$2:$A$358,0),3),"")</f>
        <v/>
      </c>
      <c r="G2893">
        <f>IFERROR(IF(WEEKDAY($A2893,2)&lt;=INDEX('BASE METAS DIÁRIAS'!$X$2:$Z$358,MATCH($A2893,'BASE METAS DIÁRIAS'!$A$2:$A$358,0),3),INDEX('BASE METAS DIÁRIAS'!$U$2:$W$358,MATCH($A2893,'BASE METAS DIÁRIAS'!$A$2:$A$358,0),3),""),"")</f>
        <v/>
      </c>
      <c r="H2893">
        <f>IFERROR(IF(INDEX('CONTROLE PRODUÇÃO POR EMPRESAS'!$H$6:$J$5000,MATCH($A2893,'CONTROLE PRODUÇÃO POR EMPRESAS'!$A$6:$A$5000,0),3)="","",IFERROR(1*INDEX('CONTROLE PRODUÇÃO POR EMPRESAS'!$H$6:$J$5000,MATCH($A2893,'CONTROLE PRODUÇÃO POR EMPRESAS'!$A$6:$A$5000,0),3),"")),"")</f>
        <v/>
      </c>
      <c r="I2893">
        <f>IF(OR(NOT(ISNUMBER(G2893)),NOT(ISNUMBER(H2893))),"",H2893-G2893)</f>
        <v/>
      </c>
      <c r="J2893">
        <f>IF(OR(NOT(ISNUMBER(G2893)),NOT(ISNUMBER(H2893)),G2893=0),"",I2893/G2893)</f>
        <v/>
      </c>
      <c r="K2893">
        <f>IF(OR(NOT(ISNUMBER(G2893)),NOT(ISNUMBER(H2893)),G2893=0),"",H2893/G2893)</f>
        <v/>
      </c>
      <c r="L2893">
        <f>IF(NOT(ISNUMBER(G2893)),"SEM META",IF(G2893=0,"SEM META",IF(NOT(ISNUMBER(H2893)),"SEM APONTAMENTO",IF(H2893&gt;=G2893,"VERDE",IF(H2893&gt;=G2893*0.9,"AMARELO","VERMELHO")))))</f>
        <v/>
      </c>
    </row>
    <row r="2894">
      <c r="A2894" s="321" t="n">
        <v>46473</v>
      </c>
      <c r="B2894" t="inlineStr">
        <is>
          <t>GERAL</t>
        </is>
      </c>
      <c r="C2894" t="inlineStr">
        <is>
          <t>GLOBO AÇOS</t>
        </is>
      </c>
      <c r="D2894" t="inlineStr">
        <is>
          <t>PERFILAÇÃO</t>
        </is>
      </c>
      <c r="F2894">
        <f>IFERROR(INDEX('BASE METAS DIÁRIAS'!$AA$2:$AC$358,MATCH($A2894,'BASE METAS DIÁRIAS'!$A$2:$A$358,0),1),"")</f>
        <v/>
      </c>
      <c r="G2894">
        <f>IFERROR(IF(WEEKDAY($A2894,2)&lt;=INDEX('BASE METAS DIÁRIAS'!$X$2:$Z$358,MATCH($A2894,'BASE METAS DIÁRIAS'!$A$2:$A$358,0),1),INDEX('BASE METAS DIÁRIAS'!$U$2:$W$358,MATCH($A2894,'BASE METAS DIÁRIAS'!$A$2:$A$358,0),1),""),"")</f>
        <v/>
      </c>
      <c r="H2894">
        <f>IFERROR(IF(INDEX('CONTROLE PRODUÇÃO POR EMPRESAS'!$H$6:$J$5000,MATCH($A2894,'CONTROLE PRODUÇÃO POR EMPRESAS'!$A$6:$A$5000,0),1)="","",IFERROR(1*INDEX('CONTROLE PRODUÇÃO POR EMPRESAS'!$H$6:$J$5000,MATCH($A2894,'CONTROLE PRODUÇÃO POR EMPRESAS'!$A$6:$A$5000,0),1),"")),"")</f>
        <v/>
      </c>
      <c r="I2894">
        <f>IF(OR(NOT(ISNUMBER(G2894)),NOT(ISNUMBER(H2894))),"",H2894-G2894)</f>
        <v/>
      </c>
      <c r="J2894">
        <f>IF(OR(NOT(ISNUMBER(G2894)),NOT(ISNUMBER(H2894)),G2894=0),"",I2894/G2894)</f>
        <v/>
      </c>
      <c r="K2894">
        <f>IF(OR(NOT(ISNUMBER(G2894)),NOT(ISNUMBER(H2894)),G2894=0),"",H2894/G2894)</f>
        <v/>
      </c>
      <c r="L2894">
        <f>IF(NOT(ISNUMBER(G2894)),"SEM META",IF(G2894=0,"SEM META",IF(NOT(ISNUMBER(H2894)),"SEM APONTAMENTO",IF(H2894&gt;=G2894,"VERDE",IF(H2894&gt;=G2894*0.9,"AMARELO","VERMELHO")))))</f>
        <v/>
      </c>
    </row>
    <row r="2895">
      <c r="A2895" s="321" t="n">
        <v>46473</v>
      </c>
      <c r="B2895" t="inlineStr">
        <is>
          <t>GERAL</t>
        </is>
      </c>
      <c r="C2895" t="inlineStr">
        <is>
          <t>GLOBO AÇOS</t>
        </is>
      </c>
      <c r="D2895" t="inlineStr">
        <is>
          <t>TELHAR</t>
        </is>
      </c>
      <c r="F2895">
        <f>IFERROR(INDEX('BASE METAS DIÁRIAS'!$AA$2:$AC$358,MATCH($A2895,'BASE METAS DIÁRIAS'!$A$2:$A$358,0),2),"")</f>
        <v/>
      </c>
      <c r="G2895">
        <f>IFERROR(IF(WEEKDAY($A2895,2)&lt;=INDEX('BASE METAS DIÁRIAS'!$X$2:$Z$358,MATCH($A2895,'BASE METAS DIÁRIAS'!$A$2:$A$358,0),2),INDEX('BASE METAS DIÁRIAS'!$U$2:$W$358,MATCH($A2895,'BASE METAS DIÁRIAS'!$A$2:$A$358,0),2),""),"")</f>
        <v/>
      </c>
      <c r="H2895">
        <f>IFERROR(IF(INDEX('CONTROLE PRODUÇÃO POR EMPRESAS'!$H$6:$J$5000,MATCH($A2895,'CONTROLE PRODUÇÃO POR EMPRESAS'!$A$6:$A$5000,0),2)="","",IFERROR(1*INDEX('CONTROLE PRODUÇÃO POR EMPRESAS'!$H$6:$J$5000,MATCH($A2895,'CONTROLE PRODUÇÃO POR EMPRESAS'!$A$6:$A$5000,0),2),"")),"")</f>
        <v/>
      </c>
      <c r="I2895">
        <f>IF(OR(NOT(ISNUMBER(G2895)),NOT(ISNUMBER(H2895))),"",H2895-G2895)</f>
        <v/>
      </c>
      <c r="J2895">
        <f>IF(OR(NOT(ISNUMBER(G2895)),NOT(ISNUMBER(H2895)),G2895=0),"",I2895/G2895)</f>
        <v/>
      </c>
      <c r="K2895">
        <f>IF(OR(NOT(ISNUMBER(G2895)),NOT(ISNUMBER(H2895)),G2895=0),"",H2895/G2895)</f>
        <v/>
      </c>
      <c r="L2895">
        <f>IF(NOT(ISNUMBER(G2895)),"SEM META",IF(G2895=0,"SEM META",IF(NOT(ISNUMBER(H2895)),"SEM APONTAMENTO",IF(H2895&gt;=G2895,"VERDE",IF(H2895&gt;=G2895*0.9,"AMARELO","VERMELHO")))))</f>
        <v/>
      </c>
    </row>
    <row r="2896">
      <c r="A2896" s="321" t="n">
        <v>46473</v>
      </c>
      <c r="B2896" t="inlineStr">
        <is>
          <t>GERAL</t>
        </is>
      </c>
      <c r="C2896" t="inlineStr">
        <is>
          <t>GLOBO AÇOS</t>
        </is>
      </c>
      <c r="D2896" t="inlineStr">
        <is>
          <t>FECHAMENTO</t>
        </is>
      </c>
      <c r="F2896">
        <f>IFERROR(INDEX('BASE METAS DIÁRIAS'!$AA$2:$AC$358,MATCH($A2896,'BASE METAS DIÁRIAS'!$A$2:$A$358,0),3),"")</f>
        <v/>
      </c>
      <c r="G2896">
        <f>IFERROR(IF(WEEKDAY($A2896,2)&lt;=INDEX('BASE METAS DIÁRIAS'!$X$2:$Z$358,MATCH($A2896,'BASE METAS DIÁRIAS'!$A$2:$A$358,0),3),INDEX('BASE METAS DIÁRIAS'!$U$2:$W$358,MATCH($A2896,'BASE METAS DIÁRIAS'!$A$2:$A$358,0),3),""),"")</f>
        <v/>
      </c>
      <c r="H2896">
        <f>IFERROR(IF(INDEX('CONTROLE PRODUÇÃO POR EMPRESAS'!$H$6:$J$5000,MATCH($A2896,'CONTROLE PRODUÇÃO POR EMPRESAS'!$A$6:$A$5000,0),3)="","",IFERROR(1*INDEX('CONTROLE PRODUÇÃO POR EMPRESAS'!$H$6:$J$5000,MATCH($A2896,'CONTROLE PRODUÇÃO POR EMPRESAS'!$A$6:$A$5000,0),3),"")),"")</f>
        <v/>
      </c>
      <c r="I2896">
        <f>IF(OR(NOT(ISNUMBER(G2896)),NOT(ISNUMBER(H2896))),"",H2896-G2896)</f>
        <v/>
      </c>
      <c r="J2896">
        <f>IF(OR(NOT(ISNUMBER(G2896)),NOT(ISNUMBER(H2896)),G2896=0),"",I2896/G2896)</f>
        <v/>
      </c>
      <c r="K2896">
        <f>IF(OR(NOT(ISNUMBER(G2896)),NOT(ISNUMBER(H2896)),G2896=0),"",H2896/G2896)</f>
        <v/>
      </c>
      <c r="L2896">
        <f>IF(NOT(ISNUMBER(G2896)),"SEM META",IF(G2896=0,"SEM META",IF(NOT(ISNUMBER(H2896)),"SEM APONTAMENTO",IF(H2896&gt;=G2896,"VERDE",IF(H2896&gt;=G2896*0.9,"AMARELO","VERMELHO")))))</f>
        <v/>
      </c>
    </row>
    <row r="2897">
      <c r="A2897" s="321" t="n">
        <v>46474</v>
      </c>
      <c r="B2897" t="inlineStr">
        <is>
          <t>GERAL</t>
        </is>
      </c>
      <c r="C2897" t="inlineStr">
        <is>
          <t>GLOBO AÇOS</t>
        </is>
      </c>
      <c r="D2897" t="inlineStr">
        <is>
          <t>PERFILAÇÃO</t>
        </is>
      </c>
      <c r="F2897">
        <f>IFERROR(INDEX('BASE METAS DIÁRIAS'!$AA$2:$AC$358,MATCH($A2897,'BASE METAS DIÁRIAS'!$A$2:$A$358,0),1),"")</f>
        <v/>
      </c>
      <c r="G2897">
        <f>IFERROR(IF(WEEKDAY($A2897,2)&lt;=INDEX('BASE METAS DIÁRIAS'!$X$2:$Z$358,MATCH($A2897,'BASE METAS DIÁRIAS'!$A$2:$A$358,0),1),INDEX('BASE METAS DIÁRIAS'!$U$2:$W$358,MATCH($A2897,'BASE METAS DIÁRIAS'!$A$2:$A$358,0),1),""),"")</f>
        <v/>
      </c>
      <c r="H2897">
        <f>IFERROR(IF(INDEX('CONTROLE PRODUÇÃO POR EMPRESAS'!$H$6:$J$5000,MATCH($A2897,'CONTROLE PRODUÇÃO POR EMPRESAS'!$A$6:$A$5000,0),1)="","",IFERROR(1*INDEX('CONTROLE PRODUÇÃO POR EMPRESAS'!$H$6:$J$5000,MATCH($A2897,'CONTROLE PRODUÇÃO POR EMPRESAS'!$A$6:$A$5000,0),1),"")),"")</f>
        <v/>
      </c>
      <c r="I2897">
        <f>IF(OR(NOT(ISNUMBER(G2897)),NOT(ISNUMBER(H2897))),"",H2897-G2897)</f>
        <v/>
      </c>
      <c r="J2897">
        <f>IF(OR(NOT(ISNUMBER(G2897)),NOT(ISNUMBER(H2897)),G2897=0),"",I2897/G2897)</f>
        <v/>
      </c>
      <c r="K2897">
        <f>IF(OR(NOT(ISNUMBER(G2897)),NOT(ISNUMBER(H2897)),G2897=0),"",H2897/G2897)</f>
        <v/>
      </c>
      <c r="L2897">
        <f>IF(NOT(ISNUMBER(G2897)),"SEM META",IF(G2897=0,"SEM META",IF(NOT(ISNUMBER(H2897)),"SEM APONTAMENTO",IF(H2897&gt;=G2897,"VERDE",IF(H2897&gt;=G2897*0.9,"AMARELO","VERMELHO")))))</f>
        <v/>
      </c>
    </row>
    <row r="2898">
      <c r="A2898" s="321" t="n">
        <v>46474</v>
      </c>
      <c r="B2898" t="inlineStr">
        <is>
          <t>GERAL</t>
        </is>
      </c>
      <c r="C2898" t="inlineStr">
        <is>
          <t>GLOBO AÇOS</t>
        </is>
      </c>
      <c r="D2898" t="inlineStr">
        <is>
          <t>TELHAR</t>
        </is>
      </c>
      <c r="F2898">
        <f>IFERROR(INDEX('BASE METAS DIÁRIAS'!$AA$2:$AC$358,MATCH($A2898,'BASE METAS DIÁRIAS'!$A$2:$A$358,0),2),"")</f>
        <v/>
      </c>
      <c r="G2898">
        <f>IFERROR(IF(WEEKDAY($A2898,2)&lt;=INDEX('BASE METAS DIÁRIAS'!$X$2:$Z$358,MATCH($A2898,'BASE METAS DIÁRIAS'!$A$2:$A$358,0),2),INDEX('BASE METAS DIÁRIAS'!$U$2:$W$358,MATCH($A2898,'BASE METAS DIÁRIAS'!$A$2:$A$358,0),2),""),"")</f>
        <v/>
      </c>
      <c r="H2898">
        <f>IFERROR(IF(INDEX('CONTROLE PRODUÇÃO POR EMPRESAS'!$H$6:$J$5000,MATCH($A2898,'CONTROLE PRODUÇÃO POR EMPRESAS'!$A$6:$A$5000,0),2)="","",IFERROR(1*INDEX('CONTROLE PRODUÇÃO POR EMPRESAS'!$H$6:$J$5000,MATCH($A2898,'CONTROLE PRODUÇÃO POR EMPRESAS'!$A$6:$A$5000,0),2),"")),"")</f>
        <v/>
      </c>
      <c r="I2898">
        <f>IF(OR(NOT(ISNUMBER(G2898)),NOT(ISNUMBER(H2898))),"",H2898-G2898)</f>
        <v/>
      </c>
      <c r="J2898">
        <f>IF(OR(NOT(ISNUMBER(G2898)),NOT(ISNUMBER(H2898)),G2898=0),"",I2898/G2898)</f>
        <v/>
      </c>
      <c r="K2898">
        <f>IF(OR(NOT(ISNUMBER(G2898)),NOT(ISNUMBER(H2898)),G2898=0),"",H2898/G2898)</f>
        <v/>
      </c>
      <c r="L2898">
        <f>IF(NOT(ISNUMBER(G2898)),"SEM META",IF(G2898=0,"SEM META",IF(NOT(ISNUMBER(H2898)),"SEM APONTAMENTO",IF(H2898&gt;=G2898,"VERDE",IF(H2898&gt;=G2898*0.9,"AMARELO","VERMELHO")))))</f>
        <v/>
      </c>
    </row>
    <row r="2899">
      <c r="A2899" s="321" t="n">
        <v>46474</v>
      </c>
      <c r="B2899" t="inlineStr">
        <is>
          <t>GERAL</t>
        </is>
      </c>
      <c r="C2899" t="inlineStr">
        <is>
          <t>GLOBO AÇOS</t>
        </is>
      </c>
      <c r="D2899" t="inlineStr">
        <is>
          <t>FECHAMENTO</t>
        </is>
      </c>
      <c r="F2899">
        <f>IFERROR(INDEX('BASE METAS DIÁRIAS'!$AA$2:$AC$358,MATCH($A2899,'BASE METAS DIÁRIAS'!$A$2:$A$358,0),3),"")</f>
        <v/>
      </c>
      <c r="G2899">
        <f>IFERROR(IF(WEEKDAY($A2899,2)&lt;=INDEX('BASE METAS DIÁRIAS'!$X$2:$Z$358,MATCH($A2899,'BASE METAS DIÁRIAS'!$A$2:$A$358,0),3),INDEX('BASE METAS DIÁRIAS'!$U$2:$W$358,MATCH($A2899,'BASE METAS DIÁRIAS'!$A$2:$A$358,0),3),""),"")</f>
        <v/>
      </c>
      <c r="H2899">
        <f>IFERROR(IF(INDEX('CONTROLE PRODUÇÃO POR EMPRESAS'!$H$6:$J$5000,MATCH($A2899,'CONTROLE PRODUÇÃO POR EMPRESAS'!$A$6:$A$5000,0),3)="","",IFERROR(1*INDEX('CONTROLE PRODUÇÃO POR EMPRESAS'!$H$6:$J$5000,MATCH($A2899,'CONTROLE PRODUÇÃO POR EMPRESAS'!$A$6:$A$5000,0),3),"")),"")</f>
        <v/>
      </c>
      <c r="I2899">
        <f>IF(OR(NOT(ISNUMBER(G2899)),NOT(ISNUMBER(H2899))),"",H2899-G2899)</f>
        <v/>
      </c>
      <c r="J2899">
        <f>IF(OR(NOT(ISNUMBER(G2899)),NOT(ISNUMBER(H2899)),G2899=0),"",I2899/G2899)</f>
        <v/>
      </c>
      <c r="K2899">
        <f>IF(OR(NOT(ISNUMBER(G2899)),NOT(ISNUMBER(H2899)),G2899=0),"",H2899/G2899)</f>
        <v/>
      </c>
      <c r="L2899">
        <f>IF(NOT(ISNUMBER(G2899)),"SEM META",IF(G2899=0,"SEM META",IF(NOT(ISNUMBER(H2899)),"SEM APONTAMENTO",IF(H2899&gt;=G2899,"VERDE",IF(H2899&gt;=G2899*0.9,"AMARELO","VERMELHO")))))</f>
        <v/>
      </c>
    </row>
    <row r="2900">
      <c r="A2900" s="321" t="n">
        <v>46475</v>
      </c>
      <c r="B2900" t="inlineStr">
        <is>
          <t>GERAL</t>
        </is>
      </c>
      <c r="C2900" t="inlineStr">
        <is>
          <t>GLOBO AÇOS</t>
        </is>
      </c>
      <c r="D2900" t="inlineStr">
        <is>
          <t>PERFILAÇÃO</t>
        </is>
      </c>
      <c r="F2900">
        <f>IFERROR(INDEX('BASE METAS DIÁRIAS'!$AA$2:$AC$358,MATCH($A2900,'BASE METAS DIÁRIAS'!$A$2:$A$358,0),1),"")</f>
        <v/>
      </c>
      <c r="G2900">
        <f>IFERROR(IF(WEEKDAY($A2900,2)&lt;=INDEX('BASE METAS DIÁRIAS'!$X$2:$Z$358,MATCH($A2900,'BASE METAS DIÁRIAS'!$A$2:$A$358,0),1),INDEX('BASE METAS DIÁRIAS'!$U$2:$W$358,MATCH($A2900,'BASE METAS DIÁRIAS'!$A$2:$A$358,0),1),""),"")</f>
        <v/>
      </c>
      <c r="H2900">
        <f>IFERROR(IF(INDEX('CONTROLE PRODUÇÃO POR EMPRESAS'!$H$6:$J$5000,MATCH($A2900,'CONTROLE PRODUÇÃO POR EMPRESAS'!$A$6:$A$5000,0),1)="","",IFERROR(1*INDEX('CONTROLE PRODUÇÃO POR EMPRESAS'!$H$6:$J$5000,MATCH($A2900,'CONTROLE PRODUÇÃO POR EMPRESAS'!$A$6:$A$5000,0),1),"")),"")</f>
        <v/>
      </c>
      <c r="I2900">
        <f>IF(OR(NOT(ISNUMBER(G2900)),NOT(ISNUMBER(H2900))),"",H2900-G2900)</f>
        <v/>
      </c>
      <c r="J2900">
        <f>IF(OR(NOT(ISNUMBER(G2900)),NOT(ISNUMBER(H2900)),G2900=0),"",I2900/G2900)</f>
        <v/>
      </c>
      <c r="K2900">
        <f>IF(OR(NOT(ISNUMBER(G2900)),NOT(ISNUMBER(H2900)),G2900=0),"",H2900/G2900)</f>
        <v/>
      </c>
      <c r="L2900">
        <f>IF(NOT(ISNUMBER(G2900)),"SEM META",IF(G2900=0,"SEM META",IF(NOT(ISNUMBER(H2900)),"SEM APONTAMENTO",IF(H2900&gt;=G2900,"VERDE",IF(H2900&gt;=G2900*0.9,"AMARELO","VERMELHO")))))</f>
        <v/>
      </c>
    </row>
    <row r="2901">
      <c r="A2901" s="321" t="n">
        <v>46475</v>
      </c>
      <c r="B2901" t="inlineStr">
        <is>
          <t>GERAL</t>
        </is>
      </c>
      <c r="C2901" t="inlineStr">
        <is>
          <t>GLOBO AÇOS</t>
        </is>
      </c>
      <c r="D2901" t="inlineStr">
        <is>
          <t>TELHAR</t>
        </is>
      </c>
      <c r="F2901">
        <f>IFERROR(INDEX('BASE METAS DIÁRIAS'!$AA$2:$AC$358,MATCH($A2901,'BASE METAS DIÁRIAS'!$A$2:$A$358,0),2),"")</f>
        <v/>
      </c>
      <c r="G2901">
        <f>IFERROR(IF(WEEKDAY($A2901,2)&lt;=INDEX('BASE METAS DIÁRIAS'!$X$2:$Z$358,MATCH($A2901,'BASE METAS DIÁRIAS'!$A$2:$A$358,0),2),INDEX('BASE METAS DIÁRIAS'!$U$2:$W$358,MATCH($A2901,'BASE METAS DIÁRIAS'!$A$2:$A$358,0),2),""),"")</f>
        <v/>
      </c>
      <c r="H2901">
        <f>IFERROR(IF(INDEX('CONTROLE PRODUÇÃO POR EMPRESAS'!$H$6:$J$5000,MATCH($A2901,'CONTROLE PRODUÇÃO POR EMPRESAS'!$A$6:$A$5000,0),2)="","",IFERROR(1*INDEX('CONTROLE PRODUÇÃO POR EMPRESAS'!$H$6:$J$5000,MATCH($A2901,'CONTROLE PRODUÇÃO POR EMPRESAS'!$A$6:$A$5000,0),2),"")),"")</f>
        <v/>
      </c>
      <c r="I2901">
        <f>IF(OR(NOT(ISNUMBER(G2901)),NOT(ISNUMBER(H2901))),"",H2901-G2901)</f>
        <v/>
      </c>
      <c r="J2901">
        <f>IF(OR(NOT(ISNUMBER(G2901)),NOT(ISNUMBER(H2901)),G2901=0),"",I2901/G2901)</f>
        <v/>
      </c>
      <c r="K2901">
        <f>IF(OR(NOT(ISNUMBER(G2901)),NOT(ISNUMBER(H2901)),G2901=0),"",H2901/G2901)</f>
        <v/>
      </c>
      <c r="L2901">
        <f>IF(NOT(ISNUMBER(G2901)),"SEM META",IF(G2901=0,"SEM META",IF(NOT(ISNUMBER(H2901)),"SEM APONTAMENTO",IF(H2901&gt;=G2901,"VERDE",IF(H2901&gt;=G2901*0.9,"AMARELO","VERMELHO")))))</f>
        <v/>
      </c>
    </row>
    <row r="2902">
      <c r="A2902" s="321" t="n">
        <v>46475</v>
      </c>
      <c r="B2902" t="inlineStr">
        <is>
          <t>GERAL</t>
        </is>
      </c>
      <c r="C2902" t="inlineStr">
        <is>
          <t>GLOBO AÇOS</t>
        </is>
      </c>
      <c r="D2902" t="inlineStr">
        <is>
          <t>FECHAMENTO</t>
        </is>
      </c>
      <c r="F2902">
        <f>IFERROR(INDEX('BASE METAS DIÁRIAS'!$AA$2:$AC$358,MATCH($A2902,'BASE METAS DIÁRIAS'!$A$2:$A$358,0),3),"")</f>
        <v/>
      </c>
      <c r="G2902">
        <f>IFERROR(IF(WEEKDAY($A2902,2)&lt;=INDEX('BASE METAS DIÁRIAS'!$X$2:$Z$358,MATCH($A2902,'BASE METAS DIÁRIAS'!$A$2:$A$358,0),3),INDEX('BASE METAS DIÁRIAS'!$U$2:$W$358,MATCH($A2902,'BASE METAS DIÁRIAS'!$A$2:$A$358,0),3),""),"")</f>
        <v/>
      </c>
      <c r="H2902">
        <f>IFERROR(IF(INDEX('CONTROLE PRODUÇÃO POR EMPRESAS'!$H$6:$J$5000,MATCH($A2902,'CONTROLE PRODUÇÃO POR EMPRESAS'!$A$6:$A$5000,0),3)="","",IFERROR(1*INDEX('CONTROLE PRODUÇÃO POR EMPRESAS'!$H$6:$J$5000,MATCH($A2902,'CONTROLE PRODUÇÃO POR EMPRESAS'!$A$6:$A$5000,0),3),"")),"")</f>
        <v/>
      </c>
      <c r="I2902">
        <f>IF(OR(NOT(ISNUMBER(G2902)),NOT(ISNUMBER(H2902))),"",H2902-G2902)</f>
        <v/>
      </c>
      <c r="J2902">
        <f>IF(OR(NOT(ISNUMBER(G2902)),NOT(ISNUMBER(H2902)),G2902=0),"",I2902/G2902)</f>
        <v/>
      </c>
      <c r="K2902">
        <f>IF(OR(NOT(ISNUMBER(G2902)),NOT(ISNUMBER(H2902)),G2902=0),"",H2902/G2902)</f>
        <v/>
      </c>
      <c r="L2902">
        <f>IF(NOT(ISNUMBER(G2902)),"SEM META",IF(G2902=0,"SEM META",IF(NOT(ISNUMBER(H2902)),"SEM APONTAMENTO",IF(H2902&gt;=G2902,"VERDE",IF(H2902&gt;=G2902*0.9,"AMARELO","VERMELHO")))))</f>
        <v/>
      </c>
    </row>
    <row r="2903">
      <c r="A2903" s="321" t="n">
        <v>46476</v>
      </c>
      <c r="B2903" t="inlineStr">
        <is>
          <t>GERAL</t>
        </is>
      </c>
      <c r="C2903" t="inlineStr">
        <is>
          <t>GLOBO AÇOS</t>
        </is>
      </c>
      <c r="D2903" t="inlineStr">
        <is>
          <t>PERFILAÇÃO</t>
        </is>
      </c>
      <c r="F2903">
        <f>IFERROR(INDEX('BASE METAS DIÁRIAS'!$AA$2:$AC$358,MATCH($A2903,'BASE METAS DIÁRIAS'!$A$2:$A$358,0),1),"")</f>
        <v/>
      </c>
      <c r="G2903">
        <f>IFERROR(IF(WEEKDAY($A2903,2)&lt;=INDEX('BASE METAS DIÁRIAS'!$X$2:$Z$358,MATCH($A2903,'BASE METAS DIÁRIAS'!$A$2:$A$358,0),1),INDEX('BASE METAS DIÁRIAS'!$U$2:$W$358,MATCH($A2903,'BASE METAS DIÁRIAS'!$A$2:$A$358,0),1),""),"")</f>
        <v/>
      </c>
      <c r="H2903">
        <f>IFERROR(IF(INDEX('CONTROLE PRODUÇÃO POR EMPRESAS'!$H$6:$J$5000,MATCH($A2903,'CONTROLE PRODUÇÃO POR EMPRESAS'!$A$6:$A$5000,0),1)="","",IFERROR(1*INDEX('CONTROLE PRODUÇÃO POR EMPRESAS'!$H$6:$J$5000,MATCH($A2903,'CONTROLE PRODUÇÃO POR EMPRESAS'!$A$6:$A$5000,0),1),"")),"")</f>
        <v/>
      </c>
      <c r="I2903">
        <f>IF(OR(NOT(ISNUMBER(G2903)),NOT(ISNUMBER(H2903))),"",H2903-G2903)</f>
        <v/>
      </c>
      <c r="J2903">
        <f>IF(OR(NOT(ISNUMBER(G2903)),NOT(ISNUMBER(H2903)),G2903=0),"",I2903/G2903)</f>
        <v/>
      </c>
      <c r="K2903">
        <f>IF(OR(NOT(ISNUMBER(G2903)),NOT(ISNUMBER(H2903)),G2903=0),"",H2903/G2903)</f>
        <v/>
      </c>
      <c r="L2903">
        <f>IF(NOT(ISNUMBER(G2903)),"SEM META",IF(G2903=0,"SEM META",IF(NOT(ISNUMBER(H2903)),"SEM APONTAMENTO",IF(H2903&gt;=G2903,"VERDE",IF(H2903&gt;=G2903*0.9,"AMARELO","VERMELHO")))))</f>
        <v/>
      </c>
    </row>
    <row r="2904">
      <c r="A2904" s="321" t="n">
        <v>46476</v>
      </c>
      <c r="B2904" t="inlineStr">
        <is>
          <t>GERAL</t>
        </is>
      </c>
      <c r="C2904" t="inlineStr">
        <is>
          <t>GLOBO AÇOS</t>
        </is>
      </c>
      <c r="D2904" t="inlineStr">
        <is>
          <t>TELHAR</t>
        </is>
      </c>
      <c r="F2904">
        <f>IFERROR(INDEX('BASE METAS DIÁRIAS'!$AA$2:$AC$358,MATCH($A2904,'BASE METAS DIÁRIAS'!$A$2:$A$358,0),2),"")</f>
        <v/>
      </c>
      <c r="G2904">
        <f>IFERROR(IF(WEEKDAY($A2904,2)&lt;=INDEX('BASE METAS DIÁRIAS'!$X$2:$Z$358,MATCH($A2904,'BASE METAS DIÁRIAS'!$A$2:$A$358,0),2),INDEX('BASE METAS DIÁRIAS'!$U$2:$W$358,MATCH($A2904,'BASE METAS DIÁRIAS'!$A$2:$A$358,0),2),""),"")</f>
        <v/>
      </c>
      <c r="H2904">
        <f>IFERROR(IF(INDEX('CONTROLE PRODUÇÃO POR EMPRESAS'!$H$6:$J$5000,MATCH($A2904,'CONTROLE PRODUÇÃO POR EMPRESAS'!$A$6:$A$5000,0),2)="","",IFERROR(1*INDEX('CONTROLE PRODUÇÃO POR EMPRESAS'!$H$6:$J$5000,MATCH($A2904,'CONTROLE PRODUÇÃO POR EMPRESAS'!$A$6:$A$5000,0),2),"")),"")</f>
        <v/>
      </c>
      <c r="I2904">
        <f>IF(OR(NOT(ISNUMBER(G2904)),NOT(ISNUMBER(H2904))),"",H2904-G2904)</f>
        <v/>
      </c>
      <c r="J2904">
        <f>IF(OR(NOT(ISNUMBER(G2904)),NOT(ISNUMBER(H2904)),G2904=0),"",I2904/G2904)</f>
        <v/>
      </c>
      <c r="K2904">
        <f>IF(OR(NOT(ISNUMBER(G2904)),NOT(ISNUMBER(H2904)),G2904=0),"",H2904/G2904)</f>
        <v/>
      </c>
      <c r="L2904">
        <f>IF(NOT(ISNUMBER(G2904)),"SEM META",IF(G2904=0,"SEM META",IF(NOT(ISNUMBER(H2904)),"SEM APONTAMENTO",IF(H2904&gt;=G2904,"VERDE",IF(H2904&gt;=G2904*0.9,"AMARELO","VERMELHO")))))</f>
        <v/>
      </c>
    </row>
    <row r="2905">
      <c r="A2905" s="321" t="n">
        <v>46476</v>
      </c>
      <c r="B2905" t="inlineStr">
        <is>
          <t>GERAL</t>
        </is>
      </c>
      <c r="C2905" t="inlineStr">
        <is>
          <t>GLOBO AÇOS</t>
        </is>
      </c>
      <c r="D2905" t="inlineStr">
        <is>
          <t>FECHAMENTO</t>
        </is>
      </c>
      <c r="F2905">
        <f>IFERROR(INDEX('BASE METAS DIÁRIAS'!$AA$2:$AC$358,MATCH($A2905,'BASE METAS DIÁRIAS'!$A$2:$A$358,0),3),"")</f>
        <v/>
      </c>
      <c r="G2905">
        <f>IFERROR(IF(WEEKDAY($A2905,2)&lt;=INDEX('BASE METAS DIÁRIAS'!$X$2:$Z$358,MATCH($A2905,'BASE METAS DIÁRIAS'!$A$2:$A$358,0),3),INDEX('BASE METAS DIÁRIAS'!$U$2:$W$358,MATCH($A2905,'BASE METAS DIÁRIAS'!$A$2:$A$358,0),3),""),"")</f>
        <v/>
      </c>
      <c r="H2905">
        <f>IFERROR(IF(INDEX('CONTROLE PRODUÇÃO POR EMPRESAS'!$H$6:$J$5000,MATCH($A2905,'CONTROLE PRODUÇÃO POR EMPRESAS'!$A$6:$A$5000,0),3)="","",IFERROR(1*INDEX('CONTROLE PRODUÇÃO POR EMPRESAS'!$H$6:$J$5000,MATCH($A2905,'CONTROLE PRODUÇÃO POR EMPRESAS'!$A$6:$A$5000,0),3),"")),"")</f>
        <v/>
      </c>
      <c r="I2905">
        <f>IF(OR(NOT(ISNUMBER(G2905)),NOT(ISNUMBER(H2905))),"",H2905-G2905)</f>
        <v/>
      </c>
      <c r="J2905">
        <f>IF(OR(NOT(ISNUMBER(G2905)),NOT(ISNUMBER(H2905)),G2905=0),"",I2905/G2905)</f>
        <v/>
      </c>
      <c r="K2905">
        <f>IF(OR(NOT(ISNUMBER(G2905)),NOT(ISNUMBER(H2905)),G2905=0),"",H2905/G2905)</f>
        <v/>
      </c>
      <c r="L2905">
        <f>IF(NOT(ISNUMBER(G2905)),"SEM META",IF(G2905=0,"SEM META",IF(NOT(ISNUMBER(H2905)),"SEM APONTAMENTO",IF(H2905&gt;=G2905,"VERDE",IF(H2905&gt;=G2905*0.9,"AMARELO","VERMELHO")))))</f>
        <v/>
      </c>
    </row>
    <row r="2906">
      <c r="A2906" s="321" t="n">
        <v>46477</v>
      </c>
      <c r="B2906" t="inlineStr">
        <is>
          <t>GERAL</t>
        </is>
      </c>
      <c r="C2906" t="inlineStr">
        <is>
          <t>GLOBO AÇOS</t>
        </is>
      </c>
      <c r="D2906" t="inlineStr">
        <is>
          <t>PERFILAÇÃO</t>
        </is>
      </c>
      <c r="F2906">
        <f>IFERROR(INDEX('BASE METAS DIÁRIAS'!$AA$2:$AC$358,MATCH($A2906,'BASE METAS DIÁRIAS'!$A$2:$A$358,0),1),"")</f>
        <v/>
      </c>
      <c r="G2906">
        <f>IFERROR(IF(WEEKDAY($A2906,2)&lt;=INDEX('BASE METAS DIÁRIAS'!$X$2:$Z$358,MATCH($A2906,'BASE METAS DIÁRIAS'!$A$2:$A$358,0),1),INDEX('BASE METAS DIÁRIAS'!$U$2:$W$358,MATCH($A2906,'BASE METAS DIÁRIAS'!$A$2:$A$358,0),1),""),"")</f>
        <v/>
      </c>
      <c r="H2906">
        <f>IFERROR(IF(INDEX('CONTROLE PRODUÇÃO POR EMPRESAS'!$H$6:$J$5000,MATCH($A2906,'CONTROLE PRODUÇÃO POR EMPRESAS'!$A$6:$A$5000,0),1)="","",IFERROR(1*INDEX('CONTROLE PRODUÇÃO POR EMPRESAS'!$H$6:$J$5000,MATCH($A2906,'CONTROLE PRODUÇÃO POR EMPRESAS'!$A$6:$A$5000,0),1),"")),"")</f>
        <v/>
      </c>
      <c r="I2906">
        <f>IF(OR(NOT(ISNUMBER(G2906)),NOT(ISNUMBER(H2906))),"",H2906-G2906)</f>
        <v/>
      </c>
      <c r="J2906">
        <f>IF(OR(NOT(ISNUMBER(G2906)),NOT(ISNUMBER(H2906)),G2906=0),"",I2906/G2906)</f>
        <v/>
      </c>
      <c r="K2906">
        <f>IF(OR(NOT(ISNUMBER(G2906)),NOT(ISNUMBER(H2906)),G2906=0),"",H2906/G2906)</f>
        <v/>
      </c>
      <c r="L2906">
        <f>IF(NOT(ISNUMBER(G2906)),"SEM META",IF(G2906=0,"SEM META",IF(NOT(ISNUMBER(H2906)),"SEM APONTAMENTO",IF(H2906&gt;=G2906,"VERDE",IF(H2906&gt;=G2906*0.9,"AMARELO","VERMELHO")))))</f>
        <v/>
      </c>
    </row>
    <row r="2907">
      <c r="A2907" s="321" t="n">
        <v>46477</v>
      </c>
      <c r="B2907" t="inlineStr">
        <is>
          <t>GERAL</t>
        </is>
      </c>
      <c r="C2907" t="inlineStr">
        <is>
          <t>GLOBO AÇOS</t>
        </is>
      </c>
      <c r="D2907" t="inlineStr">
        <is>
          <t>TELHAR</t>
        </is>
      </c>
      <c r="F2907">
        <f>IFERROR(INDEX('BASE METAS DIÁRIAS'!$AA$2:$AC$358,MATCH($A2907,'BASE METAS DIÁRIAS'!$A$2:$A$358,0),2),"")</f>
        <v/>
      </c>
      <c r="G2907">
        <f>IFERROR(IF(WEEKDAY($A2907,2)&lt;=INDEX('BASE METAS DIÁRIAS'!$X$2:$Z$358,MATCH($A2907,'BASE METAS DIÁRIAS'!$A$2:$A$358,0),2),INDEX('BASE METAS DIÁRIAS'!$U$2:$W$358,MATCH($A2907,'BASE METAS DIÁRIAS'!$A$2:$A$358,0),2),""),"")</f>
        <v/>
      </c>
      <c r="H2907">
        <f>IFERROR(IF(INDEX('CONTROLE PRODUÇÃO POR EMPRESAS'!$H$6:$J$5000,MATCH($A2907,'CONTROLE PRODUÇÃO POR EMPRESAS'!$A$6:$A$5000,0),2)="","",IFERROR(1*INDEX('CONTROLE PRODUÇÃO POR EMPRESAS'!$H$6:$J$5000,MATCH($A2907,'CONTROLE PRODUÇÃO POR EMPRESAS'!$A$6:$A$5000,0),2),"")),"")</f>
        <v/>
      </c>
      <c r="I2907">
        <f>IF(OR(NOT(ISNUMBER(G2907)),NOT(ISNUMBER(H2907))),"",H2907-G2907)</f>
        <v/>
      </c>
      <c r="J2907">
        <f>IF(OR(NOT(ISNUMBER(G2907)),NOT(ISNUMBER(H2907)),G2907=0),"",I2907/G2907)</f>
        <v/>
      </c>
      <c r="K2907">
        <f>IF(OR(NOT(ISNUMBER(G2907)),NOT(ISNUMBER(H2907)),G2907=0),"",H2907/G2907)</f>
        <v/>
      </c>
      <c r="L2907">
        <f>IF(NOT(ISNUMBER(G2907)),"SEM META",IF(G2907=0,"SEM META",IF(NOT(ISNUMBER(H2907)),"SEM APONTAMENTO",IF(H2907&gt;=G2907,"VERDE",IF(H2907&gt;=G2907*0.9,"AMARELO","VERMELHO")))))</f>
        <v/>
      </c>
    </row>
    <row r="2908">
      <c r="A2908" s="321" t="n">
        <v>46477</v>
      </c>
      <c r="B2908" t="inlineStr">
        <is>
          <t>GERAL</t>
        </is>
      </c>
      <c r="C2908" t="inlineStr">
        <is>
          <t>GLOBO AÇOS</t>
        </is>
      </c>
      <c r="D2908" t="inlineStr">
        <is>
          <t>FECHAMENTO</t>
        </is>
      </c>
      <c r="F2908">
        <f>IFERROR(INDEX('BASE METAS DIÁRIAS'!$AA$2:$AC$358,MATCH($A2908,'BASE METAS DIÁRIAS'!$A$2:$A$358,0),3),"")</f>
        <v/>
      </c>
      <c r="G2908">
        <f>IFERROR(IF(WEEKDAY($A2908,2)&lt;=INDEX('BASE METAS DIÁRIAS'!$X$2:$Z$358,MATCH($A2908,'BASE METAS DIÁRIAS'!$A$2:$A$358,0),3),INDEX('BASE METAS DIÁRIAS'!$U$2:$W$358,MATCH($A2908,'BASE METAS DIÁRIAS'!$A$2:$A$358,0),3),""),"")</f>
        <v/>
      </c>
      <c r="H2908">
        <f>IFERROR(IF(INDEX('CONTROLE PRODUÇÃO POR EMPRESAS'!$H$6:$J$5000,MATCH($A2908,'CONTROLE PRODUÇÃO POR EMPRESAS'!$A$6:$A$5000,0),3)="","",IFERROR(1*INDEX('CONTROLE PRODUÇÃO POR EMPRESAS'!$H$6:$J$5000,MATCH($A2908,'CONTROLE PRODUÇÃO POR EMPRESAS'!$A$6:$A$5000,0),3),"")),"")</f>
        <v/>
      </c>
      <c r="I2908">
        <f>IF(OR(NOT(ISNUMBER(G2908)),NOT(ISNUMBER(H2908))),"",H2908-G2908)</f>
        <v/>
      </c>
      <c r="J2908">
        <f>IF(OR(NOT(ISNUMBER(G2908)),NOT(ISNUMBER(H2908)),G2908=0),"",I2908/G2908)</f>
        <v/>
      </c>
      <c r="K2908">
        <f>IF(OR(NOT(ISNUMBER(G2908)),NOT(ISNUMBER(H2908)),G2908=0),"",H2908/G2908)</f>
        <v/>
      </c>
      <c r="L2908">
        <f>IF(NOT(ISNUMBER(G2908)),"SEM META",IF(G2908=0,"SEM META",IF(NOT(ISNUMBER(H2908)),"SEM APONTAMENTO",IF(H2908&gt;=G2908,"VERDE",IF(H2908&gt;=G2908*0.9,"AMARELO","VERMELHO")))))</f>
        <v/>
      </c>
    </row>
    <row r="2909">
      <c r="A2909" s="321" t="n">
        <v>46478</v>
      </c>
      <c r="B2909" t="inlineStr">
        <is>
          <t>GERAL</t>
        </is>
      </c>
      <c r="C2909" t="inlineStr">
        <is>
          <t>GLOBO AÇOS</t>
        </is>
      </c>
      <c r="D2909" t="inlineStr">
        <is>
          <t>PERFILAÇÃO</t>
        </is>
      </c>
      <c r="F2909">
        <f>IFERROR(INDEX('BASE METAS DIÁRIAS'!$AA$2:$AC$358,MATCH($A2909,'BASE METAS DIÁRIAS'!$A$2:$A$358,0),1),"")</f>
        <v/>
      </c>
      <c r="G2909">
        <f>IFERROR(IF(WEEKDAY($A2909,2)&lt;=INDEX('BASE METAS DIÁRIAS'!$X$2:$Z$358,MATCH($A2909,'BASE METAS DIÁRIAS'!$A$2:$A$358,0),1),INDEX('BASE METAS DIÁRIAS'!$U$2:$W$358,MATCH($A2909,'BASE METAS DIÁRIAS'!$A$2:$A$358,0),1),""),"")</f>
        <v/>
      </c>
      <c r="H2909">
        <f>IFERROR(IF(INDEX('CONTROLE PRODUÇÃO POR EMPRESAS'!$H$6:$J$5000,MATCH($A2909,'CONTROLE PRODUÇÃO POR EMPRESAS'!$A$6:$A$5000,0),1)="","",IFERROR(1*INDEX('CONTROLE PRODUÇÃO POR EMPRESAS'!$H$6:$J$5000,MATCH($A2909,'CONTROLE PRODUÇÃO POR EMPRESAS'!$A$6:$A$5000,0),1),"")),"")</f>
        <v/>
      </c>
      <c r="I2909">
        <f>IF(OR(NOT(ISNUMBER(G2909)),NOT(ISNUMBER(H2909))),"",H2909-G2909)</f>
        <v/>
      </c>
      <c r="J2909">
        <f>IF(OR(NOT(ISNUMBER(G2909)),NOT(ISNUMBER(H2909)),G2909=0),"",I2909/G2909)</f>
        <v/>
      </c>
      <c r="K2909">
        <f>IF(OR(NOT(ISNUMBER(G2909)),NOT(ISNUMBER(H2909)),G2909=0),"",H2909/G2909)</f>
        <v/>
      </c>
      <c r="L2909">
        <f>IF(NOT(ISNUMBER(G2909)),"SEM META",IF(G2909=0,"SEM META",IF(NOT(ISNUMBER(H2909)),"SEM APONTAMENTO",IF(H2909&gt;=G2909,"VERDE",IF(H2909&gt;=G2909*0.9,"AMARELO","VERMELHO")))))</f>
        <v/>
      </c>
    </row>
    <row r="2910">
      <c r="A2910" s="321" t="n">
        <v>46478</v>
      </c>
      <c r="B2910" t="inlineStr">
        <is>
          <t>GERAL</t>
        </is>
      </c>
      <c r="C2910" t="inlineStr">
        <is>
          <t>GLOBO AÇOS</t>
        </is>
      </c>
      <c r="D2910" t="inlineStr">
        <is>
          <t>TELHAR</t>
        </is>
      </c>
      <c r="F2910">
        <f>IFERROR(INDEX('BASE METAS DIÁRIAS'!$AA$2:$AC$358,MATCH($A2910,'BASE METAS DIÁRIAS'!$A$2:$A$358,0),2),"")</f>
        <v/>
      </c>
      <c r="G2910">
        <f>IFERROR(IF(WEEKDAY($A2910,2)&lt;=INDEX('BASE METAS DIÁRIAS'!$X$2:$Z$358,MATCH($A2910,'BASE METAS DIÁRIAS'!$A$2:$A$358,0),2),INDEX('BASE METAS DIÁRIAS'!$U$2:$W$358,MATCH($A2910,'BASE METAS DIÁRIAS'!$A$2:$A$358,0),2),""),"")</f>
        <v/>
      </c>
      <c r="H2910">
        <f>IFERROR(IF(INDEX('CONTROLE PRODUÇÃO POR EMPRESAS'!$H$6:$J$5000,MATCH($A2910,'CONTROLE PRODUÇÃO POR EMPRESAS'!$A$6:$A$5000,0),2)="","",IFERROR(1*INDEX('CONTROLE PRODUÇÃO POR EMPRESAS'!$H$6:$J$5000,MATCH($A2910,'CONTROLE PRODUÇÃO POR EMPRESAS'!$A$6:$A$5000,0),2),"")),"")</f>
        <v/>
      </c>
      <c r="I2910">
        <f>IF(OR(NOT(ISNUMBER(G2910)),NOT(ISNUMBER(H2910))),"",H2910-G2910)</f>
        <v/>
      </c>
      <c r="J2910">
        <f>IF(OR(NOT(ISNUMBER(G2910)),NOT(ISNUMBER(H2910)),G2910=0),"",I2910/G2910)</f>
        <v/>
      </c>
      <c r="K2910">
        <f>IF(OR(NOT(ISNUMBER(G2910)),NOT(ISNUMBER(H2910)),G2910=0),"",H2910/G2910)</f>
        <v/>
      </c>
      <c r="L2910">
        <f>IF(NOT(ISNUMBER(G2910)),"SEM META",IF(G2910=0,"SEM META",IF(NOT(ISNUMBER(H2910)),"SEM APONTAMENTO",IF(H2910&gt;=G2910,"VERDE",IF(H2910&gt;=G2910*0.9,"AMARELO","VERMELHO")))))</f>
        <v/>
      </c>
    </row>
    <row r="2911">
      <c r="A2911" s="321" t="n">
        <v>46478</v>
      </c>
      <c r="B2911" t="inlineStr">
        <is>
          <t>GERAL</t>
        </is>
      </c>
      <c r="C2911" t="inlineStr">
        <is>
          <t>GLOBO AÇOS</t>
        </is>
      </c>
      <c r="D2911" t="inlineStr">
        <is>
          <t>FECHAMENTO</t>
        </is>
      </c>
      <c r="F2911">
        <f>IFERROR(INDEX('BASE METAS DIÁRIAS'!$AA$2:$AC$358,MATCH($A2911,'BASE METAS DIÁRIAS'!$A$2:$A$358,0),3),"")</f>
        <v/>
      </c>
      <c r="G2911">
        <f>IFERROR(IF(WEEKDAY($A2911,2)&lt;=INDEX('BASE METAS DIÁRIAS'!$X$2:$Z$358,MATCH($A2911,'BASE METAS DIÁRIAS'!$A$2:$A$358,0),3),INDEX('BASE METAS DIÁRIAS'!$U$2:$W$358,MATCH($A2911,'BASE METAS DIÁRIAS'!$A$2:$A$358,0),3),""),"")</f>
        <v/>
      </c>
      <c r="H2911">
        <f>IFERROR(IF(INDEX('CONTROLE PRODUÇÃO POR EMPRESAS'!$H$6:$J$5000,MATCH($A2911,'CONTROLE PRODUÇÃO POR EMPRESAS'!$A$6:$A$5000,0),3)="","",IFERROR(1*INDEX('CONTROLE PRODUÇÃO POR EMPRESAS'!$H$6:$J$5000,MATCH($A2911,'CONTROLE PRODUÇÃO POR EMPRESAS'!$A$6:$A$5000,0),3),"")),"")</f>
        <v/>
      </c>
      <c r="I2911">
        <f>IF(OR(NOT(ISNUMBER(G2911)),NOT(ISNUMBER(H2911))),"",H2911-G2911)</f>
        <v/>
      </c>
      <c r="J2911">
        <f>IF(OR(NOT(ISNUMBER(G2911)),NOT(ISNUMBER(H2911)),G2911=0),"",I2911/G2911)</f>
        <v/>
      </c>
      <c r="K2911">
        <f>IF(OR(NOT(ISNUMBER(G2911)),NOT(ISNUMBER(H2911)),G2911=0),"",H2911/G2911)</f>
        <v/>
      </c>
      <c r="L2911">
        <f>IF(NOT(ISNUMBER(G2911)),"SEM META",IF(G2911=0,"SEM META",IF(NOT(ISNUMBER(H2911)),"SEM APONTAMENTO",IF(H2911&gt;=G2911,"VERDE",IF(H2911&gt;=G2911*0.9,"AMARELO","VERMELHO")))))</f>
        <v/>
      </c>
    </row>
    <row r="2912">
      <c r="A2912" s="321" t="n">
        <v>46479</v>
      </c>
      <c r="B2912" t="inlineStr">
        <is>
          <t>GERAL</t>
        </is>
      </c>
      <c r="C2912" t="inlineStr">
        <is>
          <t>GLOBO AÇOS</t>
        </is>
      </c>
      <c r="D2912" t="inlineStr">
        <is>
          <t>PERFILAÇÃO</t>
        </is>
      </c>
      <c r="F2912">
        <f>IFERROR(INDEX('BASE METAS DIÁRIAS'!$AA$2:$AC$358,MATCH($A2912,'BASE METAS DIÁRIAS'!$A$2:$A$358,0),1),"")</f>
        <v/>
      </c>
      <c r="G2912">
        <f>IFERROR(IF(WEEKDAY($A2912,2)&lt;=INDEX('BASE METAS DIÁRIAS'!$X$2:$Z$358,MATCH($A2912,'BASE METAS DIÁRIAS'!$A$2:$A$358,0),1),INDEX('BASE METAS DIÁRIAS'!$U$2:$W$358,MATCH($A2912,'BASE METAS DIÁRIAS'!$A$2:$A$358,0),1),""),"")</f>
        <v/>
      </c>
      <c r="H2912">
        <f>IFERROR(IF(INDEX('CONTROLE PRODUÇÃO POR EMPRESAS'!$H$6:$J$5000,MATCH($A2912,'CONTROLE PRODUÇÃO POR EMPRESAS'!$A$6:$A$5000,0),1)="","",IFERROR(1*INDEX('CONTROLE PRODUÇÃO POR EMPRESAS'!$H$6:$J$5000,MATCH($A2912,'CONTROLE PRODUÇÃO POR EMPRESAS'!$A$6:$A$5000,0),1),"")),"")</f>
        <v/>
      </c>
      <c r="I2912">
        <f>IF(OR(NOT(ISNUMBER(G2912)),NOT(ISNUMBER(H2912))),"",H2912-G2912)</f>
        <v/>
      </c>
      <c r="J2912">
        <f>IF(OR(NOT(ISNUMBER(G2912)),NOT(ISNUMBER(H2912)),G2912=0),"",I2912/G2912)</f>
        <v/>
      </c>
      <c r="K2912">
        <f>IF(OR(NOT(ISNUMBER(G2912)),NOT(ISNUMBER(H2912)),G2912=0),"",H2912/G2912)</f>
        <v/>
      </c>
      <c r="L2912">
        <f>IF(NOT(ISNUMBER(G2912)),"SEM META",IF(G2912=0,"SEM META",IF(NOT(ISNUMBER(H2912)),"SEM APONTAMENTO",IF(H2912&gt;=G2912,"VERDE",IF(H2912&gt;=G2912*0.9,"AMARELO","VERMELHO")))))</f>
        <v/>
      </c>
    </row>
    <row r="2913">
      <c r="A2913" s="321" t="n">
        <v>46479</v>
      </c>
      <c r="B2913" t="inlineStr">
        <is>
          <t>GERAL</t>
        </is>
      </c>
      <c r="C2913" t="inlineStr">
        <is>
          <t>GLOBO AÇOS</t>
        </is>
      </c>
      <c r="D2913" t="inlineStr">
        <is>
          <t>TELHAR</t>
        </is>
      </c>
      <c r="F2913">
        <f>IFERROR(INDEX('BASE METAS DIÁRIAS'!$AA$2:$AC$358,MATCH($A2913,'BASE METAS DIÁRIAS'!$A$2:$A$358,0),2),"")</f>
        <v/>
      </c>
      <c r="G2913">
        <f>IFERROR(IF(WEEKDAY($A2913,2)&lt;=INDEX('BASE METAS DIÁRIAS'!$X$2:$Z$358,MATCH($A2913,'BASE METAS DIÁRIAS'!$A$2:$A$358,0),2),INDEX('BASE METAS DIÁRIAS'!$U$2:$W$358,MATCH($A2913,'BASE METAS DIÁRIAS'!$A$2:$A$358,0),2),""),"")</f>
        <v/>
      </c>
      <c r="H2913">
        <f>IFERROR(IF(INDEX('CONTROLE PRODUÇÃO POR EMPRESAS'!$H$6:$J$5000,MATCH($A2913,'CONTROLE PRODUÇÃO POR EMPRESAS'!$A$6:$A$5000,0),2)="","",IFERROR(1*INDEX('CONTROLE PRODUÇÃO POR EMPRESAS'!$H$6:$J$5000,MATCH($A2913,'CONTROLE PRODUÇÃO POR EMPRESAS'!$A$6:$A$5000,0),2),"")),"")</f>
        <v/>
      </c>
      <c r="I2913">
        <f>IF(OR(NOT(ISNUMBER(G2913)),NOT(ISNUMBER(H2913))),"",H2913-G2913)</f>
        <v/>
      </c>
      <c r="J2913">
        <f>IF(OR(NOT(ISNUMBER(G2913)),NOT(ISNUMBER(H2913)),G2913=0),"",I2913/G2913)</f>
        <v/>
      </c>
      <c r="K2913">
        <f>IF(OR(NOT(ISNUMBER(G2913)),NOT(ISNUMBER(H2913)),G2913=0),"",H2913/G2913)</f>
        <v/>
      </c>
      <c r="L2913">
        <f>IF(NOT(ISNUMBER(G2913)),"SEM META",IF(G2913=0,"SEM META",IF(NOT(ISNUMBER(H2913)),"SEM APONTAMENTO",IF(H2913&gt;=G2913,"VERDE",IF(H2913&gt;=G2913*0.9,"AMARELO","VERMELHO")))))</f>
        <v/>
      </c>
    </row>
    <row r="2914">
      <c r="A2914" s="321" t="n">
        <v>46479</v>
      </c>
      <c r="B2914" t="inlineStr">
        <is>
          <t>GERAL</t>
        </is>
      </c>
      <c r="C2914" t="inlineStr">
        <is>
          <t>GLOBO AÇOS</t>
        </is>
      </c>
      <c r="D2914" t="inlineStr">
        <is>
          <t>FECHAMENTO</t>
        </is>
      </c>
      <c r="F2914">
        <f>IFERROR(INDEX('BASE METAS DIÁRIAS'!$AA$2:$AC$358,MATCH($A2914,'BASE METAS DIÁRIAS'!$A$2:$A$358,0),3),"")</f>
        <v/>
      </c>
      <c r="G2914">
        <f>IFERROR(IF(WEEKDAY($A2914,2)&lt;=INDEX('BASE METAS DIÁRIAS'!$X$2:$Z$358,MATCH($A2914,'BASE METAS DIÁRIAS'!$A$2:$A$358,0),3),INDEX('BASE METAS DIÁRIAS'!$U$2:$W$358,MATCH($A2914,'BASE METAS DIÁRIAS'!$A$2:$A$358,0),3),""),"")</f>
        <v/>
      </c>
      <c r="H2914">
        <f>IFERROR(IF(INDEX('CONTROLE PRODUÇÃO POR EMPRESAS'!$H$6:$J$5000,MATCH($A2914,'CONTROLE PRODUÇÃO POR EMPRESAS'!$A$6:$A$5000,0),3)="","",IFERROR(1*INDEX('CONTROLE PRODUÇÃO POR EMPRESAS'!$H$6:$J$5000,MATCH($A2914,'CONTROLE PRODUÇÃO POR EMPRESAS'!$A$6:$A$5000,0),3),"")),"")</f>
        <v/>
      </c>
      <c r="I2914">
        <f>IF(OR(NOT(ISNUMBER(G2914)),NOT(ISNUMBER(H2914))),"",H2914-G2914)</f>
        <v/>
      </c>
      <c r="J2914">
        <f>IF(OR(NOT(ISNUMBER(G2914)),NOT(ISNUMBER(H2914)),G2914=0),"",I2914/G2914)</f>
        <v/>
      </c>
      <c r="K2914">
        <f>IF(OR(NOT(ISNUMBER(G2914)),NOT(ISNUMBER(H2914)),G2914=0),"",H2914/G2914)</f>
        <v/>
      </c>
      <c r="L2914">
        <f>IF(NOT(ISNUMBER(G2914)),"SEM META",IF(G2914=0,"SEM META",IF(NOT(ISNUMBER(H2914)),"SEM APONTAMENTO",IF(H2914&gt;=G2914,"VERDE",IF(H2914&gt;=G2914*0.9,"AMARELO","VERMELHO")))))</f>
        <v/>
      </c>
    </row>
    <row r="2915">
      <c r="A2915" s="321" t="n">
        <v>46480</v>
      </c>
      <c r="B2915" t="inlineStr">
        <is>
          <t>GERAL</t>
        </is>
      </c>
      <c r="C2915" t="inlineStr">
        <is>
          <t>GLOBO AÇOS</t>
        </is>
      </c>
      <c r="D2915" t="inlineStr">
        <is>
          <t>PERFILAÇÃO</t>
        </is>
      </c>
      <c r="F2915">
        <f>IFERROR(INDEX('BASE METAS DIÁRIAS'!$AA$2:$AC$358,MATCH($A2915,'BASE METAS DIÁRIAS'!$A$2:$A$358,0),1),"")</f>
        <v/>
      </c>
      <c r="G2915">
        <f>IFERROR(IF(WEEKDAY($A2915,2)&lt;=INDEX('BASE METAS DIÁRIAS'!$X$2:$Z$358,MATCH($A2915,'BASE METAS DIÁRIAS'!$A$2:$A$358,0),1),INDEX('BASE METAS DIÁRIAS'!$U$2:$W$358,MATCH($A2915,'BASE METAS DIÁRIAS'!$A$2:$A$358,0),1),""),"")</f>
        <v/>
      </c>
      <c r="H2915">
        <f>IFERROR(IF(INDEX('CONTROLE PRODUÇÃO POR EMPRESAS'!$H$6:$J$5000,MATCH($A2915,'CONTROLE PRODUÇÃO POR EMPRESAS'!$A$6:$A$5000,0),1)="","",IFERROR(1*INDEX('CONTROLE PRODUÇÃO POR EMPRESAS'!$H$6:$J$5000,MATCH($A2915,'CONTROLE PRODUÇÃO POR EMPRESAS'!$A$6:$A$5000,0),1),"")),"")</f>
        <v/>
      </c>
      <c r="I2915">
        <f>IF(OR(NOT(ISNUMBER(G2915)),NOT(ISNUMBER(H2915))),"",H2915-G2915)</f>
        <v/>
      </c>
      <c r="J2915">
        <f>IF(OR(NOT(ISNUMBER(G2915)),NOT(ISNUMBER(H2915)),G2915=0),"",I2915/G2915)</f>
        <v/>
      </c>
      <c r="K2915">
        <f>IF(OR(NOT(ISNUMBER(G2915)),NOT(ISNUMBER(H2915)),G2915=0),"",H2915/G2915)</f>
        <v/>
      </c>
      <c r="L2915">
        <f>IF(NOT(ISNUMBER(G2915)),"SEM META",IF(G2915=0,"SEM META",IF(NOT(ISNUMBER(H2915)),"SEM APONTAMENTO",IF(H2915&gt;=G2915,"VERDE",IF(H2915&gt;=G2915*0.9,"AMARELO","VERMELHO")))))</f>
        <v/>
      </c>
    </row>
    <row r="2916">
      <c r="A2916" s="321" t="n">
        <v>46480</v>
      </c>
      <c r="B2916" t="inlineStr">
        <is>
          <t>GERAL</t>
        </is>
      </c>
      <c r="C2916" t="inlineStr">
        <is>
          <t>GLOBO AÇOS</t>
        </is>
      </c>
      <c r="D2916" t="inlineStr">
        <is>
          <t>TELHAR</t>
        </is>
      </c>
      <c r="F2916">
        <f>IFERROR(INDEX('BASE METAS DIÁRIAS'!$AA$2:$AC$358,MATCH($A2916,'BASE METAS DIÁRIAS'!$A$2:$A$358,0),2),"")</f>
        <v/>
      </c>
      <c r="G2916">
        <f>IFERROR(IF(WEEKDAY($A2916,2)&lt;=INDEX('BASE METAS DIÁRIAS'!$X$2:$Z$358,MATCH($A2916,'BASE METAS DIÁRIAS'!$A$2:$A$358,0),2),INDEX('BASE METAS DIÁRIAS'!$U$2:$W$358,MATCH($A2916,'BASE METAS DIÁRIAS'!$A$2:$A$358,0),2),""),"")</f>
        <v/>
      </c>
      <c r="H2916">
        <f>IFERROR(IF(INDEX('CONTROLE PRODUÇÃO POR EMPRESAS'!$H$6:$J$5000,MATCH($A2916,'CONTROLE PRODUÇÃO POR EMPRESAS'!$A$6:$A$5000,0),2)="","",IFERROR(1*INDEX('CONTROLE PRODUÇÃO POR EMPRESAS'!$H$6:$J$5000,MATCH($A2916,'CONTROLE PRODUÇÃO POR EMPRESAS'!$A$6:$A$5000,0),2),"")),"")</f>
        <v/>
      </c>
      <c r="I2916">
        <f>IF(OR(NOT(ISNUMBER(G2916)),NOT(ISNUMBER(H2916))),"",H2916-G2916)</f>
        <v/>
      </c>
      <c r="J2916">
        <f>IF(OR(NOT(ISNUMBER(G2916)),NOT(ISNUMBER(H2916)),G2916=0),"",I2916/G2916)</f>
        <v/>
      </c>
      <c r="K2916">
        <f>IF(OR(NOT(ISNUMBER(G2916)),NOT(ISNUMBER(H2916)),G2916=0),"",H2916/G2916)</f>
        <v/>
      </c>
      <c r="L2916">
        <f>IF(NOT(ISNUMBER(G2916)),"SEM META",IF(G2916=0,"SEM META",IF(NOT(ISNUMBER(H2916)),"SEM APONTAMENTO",IF(H2916&gt;=G2916,"VERDE",IF(H2916&gt;=G2916*0.9,"AMARELO","VERMELHO")))))</f>
        <v/>
      </c>
    </row>
    <row r="2917">
      <c r="A2917" s="321" t="n">
        <v>46480</v>
      </c>
      <c r="B2917" t="inlineStr">
        <is>
          <t>GERAL</t>
        </is>
      </c>
      <c r="C2917" t="inlineStr">
        <is>
          <t>GLOBO AÇOS</t>
        </is>
      </c>
      <c r="D2917" t="inlineStr">
        <is>
          <t>FECHAMENTO</t>
        </is>
      </c>
      <c r="F2917">
        <f>IFERROR(INDEX('BASE METAS DIÁRIAS'!$AA$2:$AC$358,MATCH($A2917,'BASE METAS DIÁRIAS'!$A$2:$A$358,0),3),"")</f>
        <v/>
      </c>
      <c r="G2917">
        <f>IFERROR(IF(WEEKDAY($A2917,2)&lt;=INDEX('BASE METAS DIÁRIAS'!$X$2:$Z$358,MATCH($A2917,'BASE METAS DIÁRIAS'!$A$2:$A$358,0),3),INDEX('BASE METAS DIÁRIAS'!$U$2:$W$358,MATCH($A2917,'BASE METAS DIÁRIAS'!$A$2:$A$358,0),3),""),"")</f>
        <v/>
      </c>
      <c r="H2917">
        <f>IFERROR(IF(INDEX('CONTROLE PRODUÇÃO POR EMPRESAS'!$H$6:$J$5000,MATCH($A2917,'CONTROLE PRODUÇÃO POR EMPRESAS'!$A$6:$A$5000,0),3)="","",IFERROR(1*INDEX('CONTROLE PRODUÇÃO POR EMPRESAS'!$H$6:$J$5000,MATCH($A2917,'CONTROLE PRODUÇÃO POR EMPRESAS'!$A$6:$A$5000,0),3),"")),"")</f>
        <v/>
      </c>
      <c r="I2917">
        <f>IF(OR(NOT(ISNUMBER(G2917)),NOT(ISNUMBER(H2917))),"",H2917-G2917)</f>
        <v/>
      </c>
      <c r="J2917">
        <f>IF(OR(NOT(ISNUMBER(G2917)),NOT(ISNUMBER(H2917)),G2917=0),"",I2917/G2917)</f>
        <v/>
      </c>
      <c r="K2917">
        <f>IF(OR(NOT(ISNUMBER(G2917)),NOT(ISNUMBER(H2917)),G2917=0),"",H2917/G2917)</f>
        <v/>
      </c>
      <c r="L2917">
        <f>IF(NOT(ISNUMBER(G2917)),"SEM META",IF(G2917=0,"SEM META",IF(NOT(ISNUMBER(H2917)),"SEM APONTAMENTO",IF(H2917&gt;=G2917,"VERDE",IF(H2917&gt;=G2917*0.9,"AMARELO","VERMELHO")))))</f>
        <v/>
      </c>
    </row>
    <row r="2918">
      <c r="A2918" s="321" t="n">
        <v>46481</v>
      </c>
      <c r="B2918" t="inlineStr">
        <is>
          <t>GERAL</t>
        </is>
      </c>
      <c r="C2918" t="inlineStr">
        <is>
          <t>GLOBO AÇOS</t>
        </is>
      </c>
      <c r="D2918" t="inlineStr">
        <is>
          <t>PERFILAÇÃO</t>
        </is>
      </c>
      <c r="F2918">
        <f>IFERROR(INDEX('BASE METAS DIÁRIAS'!$AA$2:$AC$358,MATCH($A2918,'BASE METAS DIÁRIAS'!$A$2:$A$358,0),1),"")</f>
        <v/>
      </c>
      <c r="G2918">
        <f>IFERROR(IF(WEEKDAY($A2918,2)&lt;=INDEX('BASE METAS DIÁRIAS'!$X$2:$Z$358,MATCH($A2918,'BASE METAS DIÁRIAS'!$A$2:$A$358,0),1),INDEX('BASE METAS DIÁRIAS'!$U$2:$W$358,MATCH($A2918,'BASE METAS DIÁRIAS'!$A$2:$A$358,0),1),""),"")</f>
        <v/>
      </c>
      <c r="H2918">
        <f>IFERROR(IF(INDEX('CONTROLE PRODUÇÃO POR EMPRESAS'!$H$6:$J$5000,MATCH($A2918,'CONTROLE PRODUÇÃO POR EMPRESAS'!$A$6:$A$5000,0),1)="","",IFERROR(1*INDEX('CONTROLE PRODUÇÃO POR EMPRESAS'!$H$6:$J$5000,MATCH($A2918,'CONTROLE PRODUÇÃO POR EMPRESAS'!$A$6:$A$5000,0),1),"")),"")</f>
        <v/>
      </c>
      <c r="I2918">
        <f>IF(OR(NOT(ISNUMBER(G2918)),NOT(ISNUMBER(H2918))),"",H2918-G2918)</f>
        <v/>
      </c>
      <c r="J2918">
        <f>IF(OR(NOT(ISNUMBER(G2918)),NOT(ISNUMBER(H2918)),G2918=0),"",I2918/G2918)</f>
        <v/>
      </c>
      <c r="K2918">
        <f>IF(OR(NOT(ISNUMBER(G2918)),NOT(ISNUMBER(H2918)),G2918=0),"",H2918/G2918)</f>
        <v/>
      </c>
      <c r="L2918">
        <f>IF(NOT(ISNUMBER(G2918)),"SEM META",IF(G2918=0,"SEM META",IF(NOT(ISNUMBER(H2918)),"SEM APONTAMENTO",IF(H2918&gt;=G2918,"VERDE",IF(H2918&gt;=G2918*0.9,"AMARELO","VERMELHO")))))</f>
        <v/>
      </c>
    </row>
    <row r="2919">
      <c r="A2919" s="321" t="n">
        <v>46481</v>
      </c>
      <c r="B2919" t="inlineStr">
        <is>
          <t>GERAL</t>
        </is>
      </c>
      <c r="C2919" t="inlineStr">
        <is>
          <t>GLOBO AÇOS</t>
        </is>
      </c>
      <c r="D2919" t="inlineStr">
        <is>
          <t>TELHAR</t>
        </is>
      </c>
      <c r="F2919">
        <f>IFERROR(INDEX('BASE METAS DIÁRIAS'!$AA$2:$AC$358,MATCH($A2919,'BASE METAS DIÁRIAS'!$A$2:$A$358,0),2),"")</f>
        <v/>
      </c>
      <c r="G2919">
        <f>IFERROR(IF(WEEKDAY($A2919,2)&lt;=INDEX('BASE METAS DIÁRIAS'!$X$2:$Z$358,MATCH($A2919,'BASE METAS DIÁRIAS'!$A$2:$A$358,0),2),INDEX('BASE METAS DIÁRIAS'!$U$2:$W$358,MATCH($A2919,'BASE METAS DIÁRIAS'!$A$2:$A$358,0),2),""),"")</f>
        <v/>
      </c>
      <c r="H2919">
        <f>IFERROR(IF(INDEX('CONTROLE PRODUÇÃO POR EMPRESAS'!$H$6:$J$5000,MATCH($A2919,'CONTROLE PRODUÇÃO POR EMPRESAS'!$A$6:$A$5000,0),2)="","",IFERROR(1*INDEX('CONTROLE PRODUÇÃO POR EMPRESAS'!$H$6:$J$5000,MATCH($A2919,'CONTROLE PRODUÇÃO POR EMPRESAS'!$A$6:$A$5000,0),2),"")),"")</f>
        <v/>
      </c>
      <c r="I2919">
        <f>IF(OR(NOT(ISNUMBER(G2919)),NOT(ISNUMBER(H2919))),"",H2919-G2919)</f>
        <v/>
      </c>
      <c r="J2919">
        <f>IF(OR(NOT(ISNUMBER(G2919)),NOT(ISNUMBER(H2919)),G2919=0),"",I2919/G2919)</f>
        <v/>
      </c>
      <c r="K2919">
        <f>IF(OR(NOT(ISNUMBER(G2919)),NOT(ISNUMBER(H2919)),G2919=0),"",H2919/G2919)</f>
        <v/>
      </c>
      <c r="L2919">
        <f>IF(NOT(ISNUMBER(G2919)),"SEM META",IF(G2919=0,"SEM META",IF(NOT(ISNUMBER(H2919)),"SEM APONTAMENTO",IF(H2919&gt;=G2919,"VERDE",IF(H2919&gt;=G2919*0.9,"AMARELO","VERMELHO")))))</f>
        <v/>
      </c>
    </row>
    <row r="2920">
      <c r="A2920" s="321" t="n">
        <v>46481</v>
      </c>
      <c r="B2920" t="inlineStr">
        <is>
          <t>GERAL</t>
        </is>
      </c>
      <c r="C2920" t="inlineStr">
        <is>
          <t>GLOBO AÇOS</t>
        </is>
      </c>
      <c r="D2920" t="inlineStr">
        <is>
          <t>FECHAMENTO</t>
        </is>
      </c>
      <c r="F2920">
        <f>IFERROR(INDEX('BASE METAS DIÁRIAS'!$AA$2:$AC$358,MATCH($A2920,'BASE METAS DIÁRIAS'!$A$2:$A$358,0),3),"")</f>
        <v/>
      </c>
      <c r="G2920">
        <f>IFERROR(IF(WEEKDAY($A2920,2)&lt;=INDEX('BASE METAS DIÁRIAS'!$X$2:$Z$358,MATCH($A2920,'BASE METAS DIÁRIAS'!$A$2:$A$358,0),3),INDEX('BASE METAS DIÁRIAS'!$U$2:$W$358,MATCH($A2920,'BASE METAS DIÁRIAS'!$A$2:$A$358,0),3),""),"")</f>
        <v/>
      </c>
      <c r="H2920">
        <f>IFERROR(IF(INDEX('CONTROLE PRODUÇÃO POR EMPRESAS'!$H$6:$J$5000,MATCH($A2920,'CONTROLE PRODUÇÃO POR EMPRESAS'!$A$6:$A$5000,0),3)="","",IFERROR(1*INDEX('CONTROLE PRODUÇÃO POR EMPRESAS'!$H$6:$J$5000,MATCH($A2920,'CONTROLE PRODUÇÃO POR EMPRESAS'!$A$6:$A$5000,0),3),"")),"")</f>
        <v/>
      </c>
      <c r="I2920">
        <f>IF(OR(NOT(ISNUMBER(G2920)),NOT(ISNUMBER(H2920))),"",H2920-G2920)</f>
        <v/>
      </c>
      <c r="J2920">
        <f>IF(OR(NOT(ISNUMBER(G2920)),NOT(ISNUMBER(H2920)),G2920=0),"",I2920/G2920)</f>
        <v/>
      </c>
      <c r="K2920">
        <f>IF(OR(NOT(ISNUMBER(G2920)),NOT(ISNUMBER(H2920)),G2920=0),"",H2920/G2920)</f>
        <v/>
      </c>
      <c r="L2920">
        <f>IF(NOT(ISNUMBER(G2920)),"SEM META",IF(G2920=0,"SEM META",IF(NOT(ISNUMBER(H2920)),"SEM APONTAMENTO",IF(H2920&gt;=G2920,"VERDE",IF(H2920&gt;=G2920*0.9,"AMARELO","VERMELHO")))))</f>
        <v/>
      </c>
    </row>
    <row r="2921">
      <c r="A2921" s="321" t="n">
        <v>46482</v>
      </c>
      <c r="B2921" t="inlineStr">
        <is>
          <t>GERAL</t>
        </is>
      </c>
      <c r="C2921" t="inlineStr">
        <is>
          <t>GLOBO AÇOS</t>
        </is>
      </c>
      <c r="D2921" t="inlineStr">
        <is>
          <t>PERFILAÇÃO</t>
        </is>
      </c>
      <c r="F2921">
        <f>IFERROR(INDEX('BASE METAS DIÁRIAS'!$AA$2:$AC$358,MATCH($A2921,'BASE METAS DIÁRIAS'!$A$2:$A$358,0),1),"")</f>
        <v/>
      </c>
      <c r="G2921">
        <f>IFERROR(IF(WEEKDAY($A2921,2)&lt;=INDEX('BASE METAS DIÁRIAS'!$X$2:$Z$358,MATCH($A2921,'BASE METAS DIÁRIAS'!$A$2:$A$358,0),1),INDEX('BASE METAS DIÁRIAS'!$U$2:$W$358,MATCH($A2921,'BASE METAS DIÁRIAS'!$A$2:$A$358,0),1),""),"")</f>
        <v/>
      </c>
      <c r="H2921">
        <f>IFERROR(IF(INDEX('CONTROLE PRODUÇÃO POR EMPRESAS'!$H$6:$J$5000,MATCH($A2921,'CONTROLE PRODUÇÃO POR EMPRESAS'!$A$6:$A$5000,0),1)="","",IFERROR(1*INDEX('CONTROLE PRODUÇÃO POR EMPRESAS'!$H$6:$J$5000,MATCH($A2921,'CONTROLE PRODUÇÃO POR EMPRESAS'!$A$6:$A$5000,0),1),"")),"")</f>
        <v/>
      </c>
      <c r="I2921">
        <f>IF(OR(NOT(ISNUMBER(G2921)),NOT(ISNUMBER(H2921))),"",H2921-G2921)</f>
        <v/>
      </c>
      <c r="J2921">
        <f>IF(OR(NOT(ISNUMBER(G2921)),NOT(ISNUMBER(H2921)),G2921=0),"",I2921/G2921)</f>
        <v/>
      </c>
      <c r="K2921">
        <f>IF(OR(NOT(ISNUMBER(G2921)),NOT(ISNUMBER(H2921)),G2921=0),"",H2921/G2921)</f>
        <v/>
      </c>
      <c r="L2921">
        <f>IF(NOT(ISNUMBER(G2921)),"SEM META",IF(G2921=0,"SEM META",IF(NOT(ISNUMBER(H2921)),"SEM APONTAMENTO",IF(H2921&gt;=G2921,"VERDE",IF(H2921&gt;=G2921*0.9,"AMARELO","VERMELHO")))))</f>
        <v/>
      </c>
    </row>
    <row r="2922">
      <c r="A2922" s="321" t="n">
        <v>46482</v>
      </c>
      <c r="B2922" t="inlineStr">
        <is>
          <t>GERAL</t>
        </is>
      </c>
      <c r="C2922" t="inlineStr">
        <is>
          <t>GLOBO AÇOS</t>
        </is>
      </c>
      <c r="D2922" t="inlineStr">
        <is>
          <t>TELHAR</t>
        </is>
      </c>
      <c r="F2922">
        <f>IFERROR(INDEX('BASE METAS DIÁRIAS'!$AA$2:$AC$358,MATCH($A2922,'BASE METAS DIÁRIAS'!$A$2:$A$358,0),2),"")</f>
        <v/>
      </c>
      <c r="G2922">
        <f>IFERROR(IF(WEEKDAY($A2922,2)&lt;=INDEX('BASE METAS DIÁRIAS'!$X$2:$Z$358,MATCH($A2922,'BASE METAS DIÁRIAS'!$A$2:$A$358,0),2),INDEX('BASE METAS DIÁRIAS'!$U$2:$W$358,MATCH($A2922,'BASE METAS DIÁRIAS'!$A$2:$A$358,0),2),""),"")</f>
        <v/>
      </c>
      <c r="H2922">
        <f>IFERROR(IF(INDEX('CONTROLE PRODUÇÃO POR EMPRESAS'!$H$6:$J$5000,MATCH($A2922,'CONTROLE PRODUÇÃO POR EMPRESAS'!$A$6:$A$5000,0),2)="","",IFERROR(1*INDEX('CONTROLE PRODUÇÃO POR EMPRESAS'!$H$6:$J$5000,MATCH($A2922,'CONTROLE PRODUÇÃO POR EMPRESAS'!$A$6:$A$5000,0),2),"")),"")</f>
        <v/>
      </c>
      <c r="I2922">
        <f>IF(OR(NOT(ISNUMBER(G2922)),NOT(ISNUMBER(H2922))),"",H2922-G2922)</f>
        <v/>
      </c>
      <c r="J2922">
        <f>IF(OR(NOT(ISNUMBER(G2922)),NOT(ISNUMBER(H2922)),G2922=0),"",I2922/G2922)</f>
        <v/>
      </c>
      <c r="K2922">
        <f>IF(OR(NOT(ISNUMBER(G2922)),NOT(ISNUMBER(H2922)),G2922=0),"",H2922/G2922)</f>
        <v/>
      </c>
      <c r="L2922">
        <f>IF(NOT(ISNUMBER(G2922)),"SEM META",IF(G2922=0,"SEM META",IF(NOT(ISNUMBER(H2922)),"SEM APONTAMENTO",IF(H2922&gt;=G2922,"VERDE",IF(H2922&gt;=G2922*0.9,"AMARELO","VERMELHO")))))</f>
        <v/>
      </c>
    </row>
    <row r="2923">
      <c r="A2923" s="321" t="n">
        <v>46482</v>
      </c>
      <c r="B2923" t="inlineStr">
        <is>
          <t>GERAL</t>
        </is>
      </c>
      <c r="C2923" t="inlineStr">
        <is>
          <t>GLOBO AÇOS</t>
        </is>
      </c>
      <c r="D2923" t="inlineStr">
        <is>
          <t>FECHAMENTO</t>
        </is>
      </c>
      <c r="F2923">
        <f>IFERROR(INDEX('BASE METAS DIÁRIAS'!$AA$2:$AC$358,MATCH($A2923,'BASE METAS DIÁRIAS'!$A$2:$A$358,0),3),"")</f>
        <v/>
      </c>
      <c r="G2923">
        <f>IFERROR(IF(WEEKDAY($A2923,2)&lt;=INDEX('BASE METAS DIÁRIAS'!$X$2:$Z$358,MATCH($A2923,'BASE METAS DIÁRIAS'!$A$2:$A$358,0),3),INDEX('BASE METAS DIÁRIAS'!$U$2:$W$358,MATCH($A2923,'BASE METAS DIÁRIAS'!$A$2:$A$358,0),3),""),"")</f>
        <v/>
      </c>
      <c r="H2923">
        <f>IFERROR(IF(INDEX('CONTROLE PRODUÇÃO POR EMPRESAS'!$H$6:$J$5000,MATCH($A2923,'CONTROLE PRODUÇÃO POR EMPRESAS'!$A$6:$A$5000,0),3)="","",IFERROR(1*INDEX('CONTROLE PRODUÇÃO POR EMPRESAS'!$H$6:$J$5000,MATCH($A2923,'CONTROLE PRODUÇÃO POR EMPRESAS'!$A$6:$A$5000,0),3),"")),"")</f>
        <v/>
      </c>
      <c r="I2923">
        <f>IF(OR(NOT(ISNUMBER(G2923)),NOT(ISNUMBER(H2923))),"",H2923-G2923)</f>
        <v/>
      </c>
      <c r="J2923">
        <f>IF(OR(NOT(ISNUMBER(G2923)),NOT(ISNUMBER(H2923)),G2923=0),"",I2923/G2923)</f>
        <v/>
      </c>
      <c r="K2923">
        <f>IF(OR(NOT(ISNUMBER(G2923)),NOT(ISNUMBER(H2923)),G2923=0),"",H2923/G2923)</f>
        <v/>
      </c>
      <c r="L2923">
        <f>IF(NOT(ISNUMBER(G2923)),"SEM META",IF(G2923=0,"SEM META",IF(NOT(ISNUMBER(H2923)),"SEM APONTAMENTO",IF(H2923&gt;=G2923,"VERDE",IF(H2923&gt;=G2923*0.9,"AMARELO","VERMELHO")))))</f>
        <v/>
      </c>
    </row>
    <row r="2924">
      <c r="A2924" s="321" t="n">
        <v>46483</v>
      </c>
      <c r="B2924" t="inlineStr">
        <is>
          <t>GERAL</t>
        </is>
      </c>
      <c r="C2924" t="inlineStr">
        <is>
          <t>GLOBO AÇOS</t>
        </is>
      </c>
      <c r="D2924" t="inlineStr">
        <is>
          <t>PERFILAÇÃO</t>
        </is>
      </c>
      <c r="F2924">
        <f>IFERROR(INDEX('BASE METAS DIÁRIAS'!$AA$2:$AC$358,MATCH($A2924,'BASE METAS DIÁRIAS'!$A$2:$A$358,0),1),"")</f>
        <v/>
      </c>
      <c r="G2924">
        <f>IFERROR(IF(WEEKDAY($A2924,2)&lt;=INDEX('BASE METAS DIÁRIAS'!$X$2:$Z$358,MATCH($A2924,'BASE METAS DIÁRIAS'!$A$2:$A$358,0),1),INDEX('BASE METAS DIÁRIAS'!$U$2:$W$358,MATCH($A2924,'BASE METAS DIÁRIAS'!$A$2:$A$358,0),1),""),"")</f>
        <v/>
      </c>
      <c r="H2924">
        <f>IFERROR(IF(INDEX('CONTROLE PRODUÇÃO POR EMPRESAS'!$H$6:$J$5000,MATCH($A2924,'CONTROLE PRODUÇÃO POR EMPRESAS'!$A$6:$A$5000,0),1)="","",IFERROR(1*INDEX('CONTROLE PRODUÇÃO POR EMPRESAS'!$H$6:$J$5000,MATCH($A2924,'CONTROLE PRODUÇÃO POR EMPRESAS'!$A$6:$A$5000,0),1),"")),"")</f>
        <v/>
      </c>
      <c r="I2924">
        <f>IF(OR(NOT(ISNUMBER(G2924)),NOT(ISNUMBER(H2924))),"",H2924-G2924)</f>
        <v/>
      </c>
      <c r="J2924">
        <f>IF(OR(NOT(ISNUMBER(G2924)),NOT(ISNUMBER(H2924)),G2924=0),"",I2924/G2924)</f>
        <v/>
      </c>
      <c r="K2924">
        <f>IF(OR(NOT(ISNUMBER(G2924)),NOT(ISNUMBER(H2924)),G2924=0),"",H2924/G2924)</f>
        <v/>
      </c>
      <c r="L2924">
        <f>IF(NOT(ISNUMBER(G2924)),"SEM META",IF(G2924=0,"SEM META",IF(NOT(ISNUMBER(H2924)),"SEM APONTAMENTO",IF(H2924&gt;=G2924,"VERDE",IF(H2924&gt;=G2924*0.9,"AMARELO","VERMELHO")))))</f>
        <v/>
      </c>
    </row>
    <row r="2925">
      <c r="A2925" s="321" t="n">
        <v>46483</v>
      </c>
      <c r="B2925" t="inlineStr">
        <is>
          <t>GERAL</t>
        </is>
      </c>
      <c r="C2925" t="inlineStr">
        <is>
          <t>GLOBO AÇOS</t>
        </is>
      </c>
      <c r="D2925" t="inlineStr">
        <is>
          <t>TELHAR</t>
        </is>
      </c>
      <c r="F2925">
        <f>IFERROR(INDEX('BASE METAS DIÁRIAS'!$AA$2:$AC$358,MATCH($A2925,'BASE METAS DIÁRIAS'!$A$2:$A$358,0),2),"")</f>
        <v/>
      </c>
      <c r="G2925">
        <f>IFERROR(IF(WEEKDAY($A2925,2)&lt;=INDEX('BASE METAS DIÁRIAS'!$X$2:$Z$358,MATCH($A2925,'BASE METAS DIÁRIAS'!$A$2:$A$358,0),2),INDEX('BASE METAS DIÁRIAS'!$U$2:$W$358,MATCH($A2925,'BASE METAS DIÁRIAS'!$A$2:$A$358,0),2),""),"")</f>
        <v/>
      </c>
      <c r="H2925">
        <f>IFERROR(IF(INDEX('CONTROLE PRODUÇÃO POR EMPRESAS'!$H$6:$J$5000,MATCH($A2925,'CONTROLE PRODUÇÃO POR EMPRESAS'!$A$6:$A$5000,0),2)="","",IFERROR(1*INDEX('CONTROLE PRODUÇÃO POR EMPRESAS'!$H$6:$J$5000,MATCH($A2925,'CONTROLE PRODUÇÃO POR EMPRESAS'!$A$6:$A$5000,0),2),"")),"")</f>
        <v/>
      </c>
      <c r="I2925">
        <f>IF(OR(NOT(ISNUMBER(G2925)),NOT(ISNUMBER(H2925))),"",H2925-G2925)</f>
        <v/>
      </c>
      <c r="J2925">
        <f>IF(OR(NOT(ISNUMBER(G2925)),NOT(ISNUMBER(H2925)),G2925=0),"",I2925/G2925)</f>
        <v/>
      </c>
      <c r="K2925">
        <f>IF(OR(NOT(ISNUMBER(G2925)),NOT(ISNUMBER(H2925)),G2925=0),"",H2925/G2925)</f>
        <v/>
      </c>
      <c r="L2925">
        <f>IF(NOT(ISNUMBER(G2925)),"SEM META",IF(G2925=0,"SEM META",IF(NOT(ISNUMBER(H2925)),"SEM APONTAMENTO",IF(H2925&gt;=G2925,"VERDE",IF(H2925&gt;=G2925*0.9,"AMARELO","VERMELHO")))))</f>
        <v/>
      </c>
    </row>
    <row r="2926">
      <c r="A2926" s="321" t="n">
        <v>46483</v>
      </c>
      <c r="B2926" t="inlineStr">
        <is>
          <t>GERAL</t>
        </is>
      </c>
      <c r="C2926" t="inlineStr">
        <is>
          <t>GLOBO AÇOS</t>
        </is>
      </c>
      <c r="D2926" t="inlineStr">
        <is>
          <t>FECHAMENTO</t>
        </is>
      </c>
      <c r="F2926">
        <f>IFERROR(INDEX('BASE METAS DIÁRIAS'!$AA$2:$AC$358,MATCH($A2926,'BASE METAS DIÁRIAS'!$A$2:$A$358,0),3),"")</f>
        <v/>
      </c>
      <c r="G2926">
        <f>IFERROR(IF(WEEKDAY($A2926,2)&lt;=INDEX('BASE METAS DIÁRIAS'!$X$2:$Z$358,MATCH($A2926,'BASE METAS DIÁRIAS'!$A$2:$A$358,0),3),INDEX('BASE METAS DIÁRIAS'!$U$2:$W$358,MATCH($A2926,'BASE METAS DIÁRIAS'!$A$2:$A$358,0),3),""),"")</f>
        <v/>
      </c>
      <c r="H2926">
        <f>IFERROR(IF(INDEX('CONTROLE PRODUÇÃO POR EMPRESAS'!$H$6:$J$5000,MATCH($A2926,'CONTROLE PRODUÇÃO POR EMPRESAS'!$A$6:$A$5000,0),3)="","",IFERROR(1*INDEX('CONTROLE PRODUÇÃO POR EMPRESAS'!$H$6:$J$5000,MATCH($A2926,'CONTROLE PRODUÇÃO POR EMPRESAS'!$A$6:$A$5000,0),3),"")),"")</f>
        <v/>
      </c>
      <c r="I2926">
        <f>IF(OR(NOT(ISNUMBER(G2926)),NOT(ISNUMBER(H2926))),"",H2926-G2926)</f>
        <v/>
      </c>
      <c r="J2926">
        <f>IF(OR(NOT(ISNUMBER(G2926)),NOT(ISNUMBER(H2926)),G2926=0),"",I2926/G2926)</f>
        <v/>
      </c>
      <c r="K2926">
        <f>IF(OR(NOT(ISNUMBER(G2926)),NOT(ISNUMBER(H2926)),G2926=0),"",H2926/G2926)</f>
        <v/>
      </c>
      <c r="L2926">
        <f>IF(NOT(ISNUMBER(G2926)),"SEM META",IF(G2926=0,"SEM META",IF(NOT(ISNUMBER(H2926)),"SEM APONTAMENTO",IF(H2926&gt;=G2926,"VERDE",IF(H2926&gt;=G2926*0.9,"AMARELO","VERMELHO")))))</f>
        <v/>
      </c>
    </row>
    <row r="2927">
      <c r="A2927" s="321" t="n">
        <v>46484</v>
      </c>
      <c r="B2927" t="inlineStr">
        <is>
          <t>GERAL</t>
        </is>
      </c>
      <c r="C2927" t="inlineStr">
        <is>
          <t>GLOBO AÇOS</t>
        </is>
      </c>
      <c r="D2927" t="inlineStr">
        <is>
          <t>PERFILAÇÃO</t>
        </is>
      </c>
      <c r="F2927">
        <f>IFERROR(INDEX('BASE METAS DIÁRIAS'!$AA$2:$AC$358,MATCH($A2927,'BASE METAS DIÁRIAS'!$A$2:$A$358,0),1),"")</f>
        <v/>
      </c>
      <c r="G2927">
        <f>IFERROR(IF(WEEKDAY($A2927,2)&lt;=INDEX('BASE METAS DIÁRIAS'!$X$2:$Z$358,MATCH($A2927,'BASE METAS DIÁRIAS'!$A$2:$A$358,0),1),INDEX('BASE METAS DIÁRIAS'!$U$2:$W$358,MATCH($A2927,'BASE METAS DIÁRIAS'!$A$2:$A$358,0),1),""),"")</f>
        <v/>
      </c>
      <c r="H2927">
        <f>IFERROR(IF(INDEX('CONTROLE PRODUÇÃO POR EMPRESAS'!$H$6:$J$5000,MATCH($A2927,'CONTROLE PRODUÇÃO POR EMPRESAS'!$A$6:$A$5000,0),1)="","",IFERROR(1*INDEX('CONTROLE PRODUÇÃO POR EMPRESAS'!$H$6:$J$5000,MATCH($A2927,'CONTROLE PRODUÇÃO POR EMPRESAS'!$A$6:$A$5000,0),1),"")),"")</f>
        <v/>
      </c>
      <c r="I2927">
        <f>IF(OR(NOT(ISNUMBER(G2927)),NOT(ISNUMBER(H2927))),"",H2927-G2927)</f>
        <v/>
      </c>
      <c r="J2927">
        <f>IF(OR(NOT(ISNUMBER(G2927)),NOT(ISNUMBER(H2927)),G2927=0),"",I2927/G2927)</f>
        <v/>
      </c>
      <c r="K2927">
        <f>IF(OR(NOT(ISNUMBER(G2927)),NOT(ISNUMBER(H2927)),G2927=0),"",H2927/G2927)</f>
        <v/>
      </c>
      <c r="L2927">
        <f>IF(NOT(ISNUMBER(G2927)),"SEM META",IF(G2927=0,"SEM META",IF(NOT(ISNUMBER(H2927)),"SEM APONTAMENTO",IF(H2927&gt;=G2927,"VERDE",IF(H2927&gt;=G2927*0.9,"AMARELO","VERMELHO")))))</f>
        <v/>
      </c>
    </row>
    <row r="2928">
      <c r="A2928" s="321" t="n">
        <v>46484</v>
      </c>
      <c r="B2928" t="inlineStr">
        <is>
          <t>GERAL</t>
        </is>
      </c>
      <c r="C2928" t="inlineStr">
        <is>
          <t>GLOBO AÇOS</t>
        </is>
      </c>
      <c r="D2928" t="inlineStr">
        <is>
          <t>TELHAR</t>
        </is>
      </c>
      <c r="F2928">
        <f>IFERROR(INDEX('BASE METAS DIÁRIAS'!$AA$2:$AC$358,MATCH($A2928,'BASE METAS DIÁRIAS'!$A$2:$A$358,0),2),"")</f>
        <v/>
      </c>
      <c r="G2928">
        <f>IFERROR(IF(WEEKDAY($A2928,2)&lt;=INDEX('BASE METAS DIÁRIAS'!$X$2:$Z$358,MATCH($A2928,'BASE METAS DIÁRIAS'!$A$2:$A$358,0),2),INDEX('BASE METAS DIÁRIAS'!$U$2:$W$358,MATCH($A2928,'BASE METAS DIÁRIAS'!$A$2:$A$358,0),2),""),"")</f>
        <v/>
      </c>
      <c r="H2928">
        <f>IFERROR(IF(INDEX('CONTROLE PRODUÇÃO POR EMPRESAS'!$H$6:$J$5000,MATCH($A2928,'CONTROLE PRODUÇÃO POR EMPRESAS'!$A$6:$A$5000,0),2)="","",IFERROR(1*INDEX('CONTROLE PRODUÇÃO POR EMPRESAS'!$H$6:$J$5000,MATCH($A2928,'CONTROLE PRODUÇÃO POR EMPRESAS'!$A$6:$A$5000,0),2),"")),"")</f>
        <v/>
      </c>
      <c r="I2928">
        <f>IF(OR(NOT(ISNUMBER(G2928)),NOT(ISNUMBER(H2928))),"",H2928-G2928)</f>
        <v/>
      </c>
      <c r="J2928">
        <f>IF(OR(NOT(ISNUMBER(G2928)),NOT(ISNUMBER(H2928)),G2928=0),"",I2928/G2928)</f>
        <v/>
      </c>
      <c r="K2928">
        <f>IF(OR(NOT(ISNUMBER(G2928)),NOT(ISNUMBER(H2928)),G2928=0),"",H2928/G2928)</f>
        <v/>
      </c>
      <c r="L2928">
        <f>IF(NOT(ISNUMBER(G2928)),"SEM META",IF(G2928=0,"SEM META",IF(NOT(ISNUMBER(H2928)),"SEM APONTAMENTO",IF(H2928&gt;=G2928,"VERDE",IF(H2928&gt;=G2928*0.9,"AMARELO","VERMELHO")))))</f>
        <v/>
      </c>
    </row>
    <row r="2929">
      <c r="A2929" s="321" t="n">
        <v>46484</v>
      </c>
      <c r="B2929" t="inlineStr">
        <is>
          <t>GERAL</t>
        </is>
      </c>
      <c r="C2929" t="inlineStr">
        <is>
          <t>GLOBO AÇOS</t>
        </is>
      </c>
      <c r="D2929" t="inlineStr">
        <is>
          <t>FECHAMENTO</t>
        </is>
      </c>
      <c r="F2929">
        <f>IFERROR(INDEX('BASE METAS DIÁRIAS'!$AA$2:$AC$358,MATCH($A2929,'BASE METAS DIÁRIAS'!$A$2:$A$358,0),3),"")</f>
        <v/>
      </c>
      <c r="G2929">
        <f>IFERROR(IF(WEEKDAY($A2929,2)&lt;=INDEX('BASE METAS DIÁRIAS'!$X$2:$Z$358,MATCH($A2929,'BASE METAS DIÁRIAS'!$A$2:$A$358,0),3),INDEX('BASE METAS DIÁRIAS'!$U$2:$W$358,MATCH($A2929,'BASE METAS DIÁRIAS'!$A$2:$A$358,0),3),""),"")</f>
        <v/>
      </c>
      <c r="H2929">
        <f>IFERROR(IF(INDEX('CONTROLE PRODUÇÃO POR EMPRESAS'!$H$6:$J$5000,MATCH($A2929,'CONTROLE PRODUÇÃO POR EMPRESAS'!$A$6:$A$5000,0),3)="","",IFERROR(1*INDEX('CONTROLE PRODUÇÃO POR EMPRESAS'!$H$6:$J$5000,MATCH($A2929,'CONTROLE PRODUÇÃO POR EMPRESAS'!$A$6:$A$5000,0),3),"")),"")</f>
        <v/>
      </c>
      <c r="I2929">
        <f>IF(OR(NOT(ISNUMBER(G2929)),NOT(ISNUMBER(H2929))),"",H2929-G2929)</f>
        <v/>
      </c>
      <c r="J2929">
        <f>IF(OR(NOT(ISNUMBER(G2929)),NOT(ISNUMBER(H2929)),G2929=0),"",I2929/G2929)</f>
        <v/>
      </c>
      <c r="K2929">
        <f>IF(OR(NOT(ISNUMBER(G2929)),NOT(ISNUMBER(H2929)),G2929=0),"",H2929/G2929)</f>
        <v/>
      </c>
      <c r="L2929">
        <f>IF(NOT(ISNUMBER(G2929)),"SEM META",IF(G2929=0,"SEM META",IF(NOT(ISNUMBER(H2929)),"SEM APONTAMENTO",IF(H2929&gt;=G2929,"VERDE",IF(H2929&gt;=G2929*0.9,"AMARELO","VERMELHO")))))</f>
        <v/>
      </c>
    </row>
    <row r="2930">
      <c r="A2930" s="321" t="n">
        <v>46485</v>
      </c>
      <c r="B2930" t="inlineStr">
        <is>
          <t>GERAL</t>
        </is>
      </c>
      <c r="C2930" t="inlineStr">
        <is>
          <t>GLOBO AÇOS</t>
        </is>
      </c>
      <c r="D2930" t="inlineStr">
        <is>
          <t>PERFILAÇÃO</t>
        </is>
      </c>
      <c r="F2930">
        <f>IFERROR(INDEX('BASE METAS DIÁRIAS'!$AA$2:$AC$358,MATCH($A2930,'BASE METAS DIÁRIAS'!$A$2:$A$358,0),1),"")</f>
        <v/>
      </c>
      <c r="G2930">
        <f>IFERROR(IF(WEEKDAY($A2930,2)&lt;=INDEX('BASE METAS DIÁRIAS'!$X$2:$Z$358,MATCH($A2930,'BASE METAS DIÁRIAS'!$A$2:$A$358,0),1),INDEX('BASE METAS DIÁRIAS'!$U$2:$W$358,MATCH($A2930,'BASE METAS DIÁRIAS'!$A$2:$A$358,0),1),""),"")</f>
        <v/>
      </c>
      <c r="H2930">
        <f>IFERROR(IF(INDEX('CONTROLE PRODUÇÃO POR EMPRESAS'!$H$6:$J$5000,MATCH($A2930,'CONTROLE PRODUÇÃO POR EMPRESAS'!$A$6:$A$5000,0),1)="","",IFERROR(1*INDEX('CONTROLE PRODUÇÃO POR EMPRESAS'!$H$6:$J$5000,MATCH($A2930,'CONTROLE PRODUÇÃO POR EMPRESAS'!$A$6:$A$5000,0),1),"")),"")</f>
        <v/>
      </c>
      <c r="I2930">
        <f>IF(OR(NOT(ISNUMBER(G2930)),NOT(ISNUMBER(H2930))),"",H2930-G2930)</f>
        <v/>
      </c>
      <c r="J2930">
        <f>IF(OR(NOT(ISNUMBER(G2930)),NOT(ISNUMBER(H2930)),G2930=0),"",I2930/G2930)</f>
        <v/>
      </c>
      <c r="K2930">
        <f>IF(OR(NOT(ISNUMBER(G2930)),NOT(ISNUMBER(H2930)),G2930=0),"",H2930/G2930)</f>
        <v/>
      </c>
      <c r="L2930">
        <f>IF(NOT(ISNUMBER(G2930)),"SEM META",IF(G2930=0,"SEM META",IF(NOT(ISNUMBER(H2930)),"SEM APONTAMENTO",IF(H2930&gt;=G2930,"VERDE",IF(H2930&gt;=G2930*0.9,"AMARELO","VERMELHO")))))</f>
        <v/>
      </c>
    </row>
    <row r="2931">
      <c r="A2931" s="321" t="n">
        <v>46485</v>
      </c>
      <c r="B2931" t="inlineStr">
        <is>
          <t>GERAL</t>
        </is>
      </c>
      <c r="C2931" t="inlineStr">
        <is>
          <t>GLOBO AÇOS</t>
        </is>
      </c>
      <c r="D2931" t="inlineStr">
        <is>
          <t>TELHAR</t>
        </is>
      </c>
      <c r="F2931">
        <f>IFERROR(INDEX('BASE METAS DIÁRIAS'!$AA$2:$AC$358,MATCH($A2931,'BASE METAS DIÁRIAS'!$A$2:$A$358,0),2),"")</f>
        <v/>
      </c>
      <c r="G2931">
        <f>IFERROR(IF(WEEKDAY($A2931,2)&lt;=INDEX('BASE METAS DIÁRIAS'!$X$2:$Z$358,MATCH($A2931,'BASE METAS DIÁRIAS'!$A$2:$A$358,0),2),INDEX('BASE METAS DIÁRIAS'!$U$2:$W$358,MATCH($A2931,'BASE METAS DIÁRIAS'!$A$2:$A$358,0),2),""),"")</f>
        <v/>
      </c>
      <c r="H2931">
        <f>IFERROR(IF(INDEX('CONTROLE PRODUÇÃO POR EMPRESAS'!$H$6:$J$5000,MATCH($A2931,'CONTROLE PRODUÇÃO POR EMPRESAS'!$A$6:$A$5000,0),2)="","",IFERROR(1*INDEX('CONTROLE PRODUÇÃO POR EMPRESAS'!$H$6:$J$5000,MATCH($A2931,'CONTROLE PRODUÇÃO POR EMPRESAS'!$A$6:$A$5000,0),2),"")),"")</f>
        <v/>
      </c>
      <c r="I2931">
        <f>IF(OR(NOT(ISNUMBER(G2931)),NOT(ISNUMBER(H2931))),"",H2931-G2931)</f>
        <v/>
      </c>
      <c r="J2931">
        <f>IF(OR(NOT(ISNUMBER(G2931)),NOT(ISNUMBER(H2931)),G2931=0),"",I2931/G2931)</f>
        <v/>
      </c>
      <c r="K2931">
        <f>IF(OR(NOT(ISNUMBER(G2931)),NOT(ISNUMBER(H2931)),G2931=0),"",H2931/G2931)</f>
        <v/>
      </c>
      <c r="L2931">
        <f>IF(NOT(ISNUMBER(G2931)),"SEM META",IF(G2931=0,"SEM META",IF(NOT(ISNUMBER(H2931)),"SEM APONTAMENTO",IF(H2931&gt;=G2931,"VERDE",IF(H2931&gt;=G2931*0.9,"AMARELO","VERMELHO")))))</f>
        <v/>
      </c>
    </row>
    <row r="2932">
      <c r="A2932" s="321" t="n">
        <v>46485</v>
      </c>
      <c r="B2932" t="inlineStr">
        <is>
          <t>GERAL</t>
        </is>
      </c>
      <c r="C2932" t="inlineStr">
        <is>
          <t>GLOBO AÇOS</t>
        </is>
      </c>
      <c r="D2932" t="inlineStr">
        <is>
          <t>FECHAMENTO</t>
        </is>
      </c>
      <c r="F2932">
        <f>IFERROR(INDEX('BASE METAS DIÁRIAS'!$AA$2:$AC$358,MATCH($A2932,'BASE METAS DIÁRIAS'!$A$2:$A$358,0),3),"")</f>
        <v/>
      </c>
      <c r="G2932">
        <f>IFERROR(IF(WEEKDAY($A2932,2)&lt;=INDEX('BASE METAS DIÁRIAS'!$X$2:$Z$358,MATCH($A2932,'BASE METAS DIÁRIAS'!$A$2:$A$358,0),3),INDEX('BASE METAS DIÁRIAS'!$U$2:$W$358,MATCH($A2932,'BASE METAS DIÁRIAS'!$A$2:$A$358,0),3),""),"")</f>
        <v/>
      </c>
      <c r="H2932">
        <f>IFERROR(IF(INDEX('CONTROLE PRODUÇÃO POR EMPRESAS'!$H$6:$J$5000,MATCH($A2932,'CONTROLE PRODUÇÃO POR EMPRESAS'!$A$6:$A$5000,0),3)="","",IFERROR(1*INDEX('CONTROLE PRODUÇÃO POR EMPRESAS'!$H$6:$J$5000,MATCH($A2932,'CONTROLE PRODUÇÃO POR EMPRESAS'!$A$6:$A$5000,0),3),"")),"")</f>
        <v/>
      </c>
      <c r="I2932">
        <f>IF(OR(NOT(ISNUMBER(G2932)),NOT(ISNUMBER(H2932))),"",H2932-G2932)</f>
        <v/>
      </c>
      <c r="J2932">
        <f>IF(OR(NOT(ISNUMBER(G2932)),NOT(ISNUMBER(H2932)),G2932=0),"",I2932/G2932)</f>
        <v/>
      </c>
      <c r="K2932">
        <f>IF(OR(NOT(ISNUMBER(G2932)),NOT(ISNUMBER(H2932)),G2932=0),"",H2932/G2932)</f>
        <v/>
      </c>
      <c r="L2932">
        <f>IF(NOT(ISNUMBER(G2932)),"SEM META",IF(G2932=0,"SEM META",IF(NOT(ISNUMBER(H2932)),"SEM APONTAMENTO",IF(H2932&gt;=G2932,"VERDE",IF(H2932&gt;=G2932*0.9,"AMARELO","VERMELHO")))))</f>
        <v/>
      </c>
    </row>
    <row r="2933">
      <c r="A2933" s="321" t="n">
        <v>46486</v>
      </c>
      <c r="B2933" t="inlineStr">
        <is>
          <t>GERAL</t>
        </is>
      </c>
      <c r="C2933" t="inlineStr">
        <is>
          <t>GLOBO AÇOS</t>
        </is>
      </c>
      <c r="D2933" t="inlineStr">
        <is>
          <t>PERFILAÇÃO</t>
        </is>
      </c>
      <c r="F2933">
        <f>IFERROR(INDEX('BASE METAS DIÁRIAS'!$AA$2:$AC$358,MATCH($A2933,'BASE METAS DIÁRIAS'!$A$2:$A$358,0),1),"")</f>
        <v/>
      </c>
      <c r="G2933">
        <f>IFERROR(IF(WEEKDAY($A2933,2)&lt;=INDEX('BASE METAS DIÁRIAS'!$X$2:$Z$358,MATCH($A2933,'BASE METAS DIÁRIAS'!$A$2:$A$358,0),1),INDEX('BASE METAS DIÁRIAS'!$U$2:$W$358,MATCH($A2933,'BASE METAS DIÁRIAS'!$A$2:$A$358,0),1),""),"")</f>
        <v/>
      </c>
      <c r="H2933">
        <f>IFERROR(IF(INDEX('CONTROLE PRODUÇÃO POR EMPRESAS'!$H$6:$J$5000,MATCH($A2933,'CONTROLE PRODUÇÃO POR EMPRESAS'!$A$6:$A$5000,0),1)="","",IFERROR(1*INDEX('CONTROLE PRODUÇÃO POR EMPRESAS'!$H$6:$J$5000,MATCH($A2933,'CONTROLE PRODUÇÃO POR EMPRESAS'!$A$6:$A$5000,0),1),"")),"")</f>
        <v/>
      </c>
      <c r="I2933">
        <f>IF(OR(NOT(ISNUMBER(G2933)),NOT(ISNUMBER(H2933))),"",H2933-G2933)</f>
        <v/>
      </c>
      <c r="J2933">
        <f>IF(OR(NOT(ISNUMBER(G2933)),NOT(ISNUMBER(H2933)),G2933=0),"",I2933/G2933)</f>
        <v/>
      </c>
      <c r="K2933">
        <f>IF(OR(NOT(ISNUMBER(G2933)),NOT(ISNUMBER(H2933)),G2933=0),"",H2933/G2933)</f>
        <v/>
      </c>
      <c r="L2933">
        <f>IF(NOT(ISNUMBER(G2933)),"SEM META",IF(G2933=0,"SEM META",IF(NOT(ISNUMBER(H2933)),"SEM APONTAMENTO",IF(H2933&gt;=G2933,"VERDE",IF(H2933&gt;=G2933*0.9,"AMARELO","VERMELHO")))))</f>
        <v/>
      </c>
    </row>
    <row r="2934">
      <c r="A2934" s="321" t="n">
        <v>46486</v>
      </c>
      <c r="B2934" t="inlineStr">
        <is>
          <t>GERAL</t>
        </is>
      </c>
      <c r="C2934" t="inlineStr">
        <is>
          <t>GLOBO AÇOS</t>
        </is>
      </c>
      <c r="D2934" t="inlineStr">
        <is>
          <t>TELHAR</t>
        </is>
      </c>
      <c r="F2934">
        <f>IFERROR(INDEX('BASE METAS DIÁRIAS'!$AA$2:$AC$358,MATCH($A2934,'BASE METAS DIÁRIAS'!$A$2:$A$358,0),2),"")</f>
        <v/>
      </c>
      <c r="G2934">
        <f>IFERROR(IF(WEEKDAY($A2934,2)&lt;=INDEX('BASE METAS DIÁRIAS'!$X$2:$Z$358,MATCH($A2934,'BASE METAS DIÁRIAS'!$A$2:$A$358,0),2),INDEX('BASE METAS DIÁRIAS'!$U$2:$W$358,MATCH($A2934,'BASE METAS DIÁRIAS'!$A$2:$A$358,0),2),""),"")</f>
        <v/>
      </c>
      <c r="H2934">
        <f>IFERROR(IF(INDEX('CONTROLE PRODUÇÃO POR EMPRESAS'!$H$6:$J$5000,MATCH($A2934,'CONTROLE PRODUÇÃO POR EMPRESAS'!$A$6:$A$5000,0),2)="","",IFERROR(1*INDEX('CONTROLE PRODUÇÃO POR EMPRESAS'!$H$6:$J$5000,MATCH($A2934,'CONTROLE PRODUÇÃO POR EMPRESAS'!$A$6:$A$5000,0),2),"")),"")</f>
        <v/>
      </c>
      <c r="I2934">
        <f>IF(OR(NOT(ISNUMBER(G2934)),NOT(ISNUMBER(H2934))),"",H2934-G2934)</f>
        <v/>
      </c>
      <c r="J2934">
        <f>IF(OR(NOT(ISNUMBER(G2934)),NOT(ISNUMBER(H2934)),G2934=0),"",I2934/G2934)</f>
        <v/>
      </c>
      <c r="K2934">
        <f>IF(OR(NOT(ISNUMBER(G2934)),NOT(ISNUMBER(H2934)),G2934=0),"",H2934/G2934)</f>
        <v/>
      </c>
      <c r="L2934">
        <f>IF(NOT(ISNUMBER(G2934)),"SEM META",IF(G2934=0,"SEM META",IF(NOT(ISNUMBER(H2934)),"SEM APONTAMENTO",IF(H2934&gt;=G2934,"VERDE",IF(H2934&gt;=G2934*0.9,"AMARELO","VERMELHO")))))</f>
        <v/>
      </c>
    </row>
    <row r="2935">
      <c r="A2935" s="321" t="n">
        <v>46486</v>
      </c>
      <c r="B2935" t="inlineStr">
        <is>
          <t>GERAL</t>
        </is>
      </c>
      <c r="C2935" t="inlineStr">
        <is>
          <t>GLOBO AÇOS</t>
        </is>
      </c>
      <c r="D2935" t="inlineStr">
        <is>
          <t>FECHAMENTO</t>
        </is>
      </c>
      <c r="F2935">
        <f>IFERROR(INDEX('BASE METAS DIÁRIAS'!$AA$2:$AC$358,MATCH($A2935,'BASE METAS DIÁRIAS'!$A$2:$A$358,0),3),"")</f>
        <v/>
      </c>
      <c r="G2935">
        <f>IFERROR(IF(WEEKDAY($A2935,2)&lt;=INDEX('BASE METAS DIÁRIAS'!$X$2:$Z$358,MATCH($A2935,'BASE METAS DIÁRIAS'!$A$2:$A$358,0),3),INDEX('BASE METAS DIÁRIAS'!$U$2:$W$358,MATCH($A2935,'BASE METAS DIÁRIAS'!$A$2:$A$358,0),3),""),"")</f>
        <v/>
      </c>
      <c r="H2935">
        <f>IFERROR(IF(INDEX('CONTROLE PRODUÇÃO POR EMPRESAS'!$H$6:$J$5000,MATCH($A2935,'CONTROLE PRODUÇÃO POR EMPRESAS'!$A$6:$A$5000,0),3)="","",IFERROR(1*INDEX('CONTROLE PRODUÇÃO POR EMPRESAS'!$H$6:$J$5000,MATCH($A2935,'CONTROLE PRODUÇÃO POR EMPRESAS'!$A$6:$A$5000,0),3),"")),"")</f>
        <v/>
      </c>
      <c r="I2935">
        <f>IF(OR(NOT(ISNUMBER(G2935)),NOT(ISNUMBER(H2935))),"",H2935-G2935)</f>
        <v/>
      </c>
      <c r="J2935">
        <f>IF(OR(NOT(ISNUMBER(G2935)),NOT(ISNUMBER(H2935)),G2935=0),"",I2935/G2935)</f>
        <v/>
      </c>
      <c r="K2935">
        <f>IF(OR(NOT(ISNUMBER(G2935)),NOT(ISNUMBER(H2935)),G2935=0),"",H2935/G2935)</f>
        <v/>
      </c>
      <c r="L2935">
        <f>IF(NOT(ISNUMBER(G2935)),"SEM META",IF(G2935=0,"SEM META",IF(NOT(ISNUMBER(H2935)),"SEM APONTAMENTO",IF(H2935&gt;=G2935,"VERDE",IF(H2935&gt;=G2935*0.9,"AMARELO","VERMELHO")))))</f>
        <v/>
      </c>
    </row>
    <row r="2936">
      <c r="A2936" s="321" t="n">
        <v>46487</v>
      </c>
      <c r="B2936" t="inlineStr">
        <is>
          <t>GERAL</t>
        </is>
      </c>
      <c r="C2936" t="inlineStr">
        <is>
          <t>GLOBO AÇOS</t>
        </is>
      </c>
      <c r="D2936" t="inlineStr">
        <is>
          <t>PERFILAÇÃO</t>
        </is>
      </c>
      <c r="F2936">
        <f>IFERROR(INDEX('BASE METAS DIÁRIAS'!$AA$2:$AC$358,MATCH($A2936,'BASE METAS DIÁRIAS'!$A$2:$A$358,0),1),"")</f>
        <v/>
      </c>
      <c r="G2936">
        <f>IFERROR(IF(WEEKDAY($A2936,2)&lt;=INDEX('BASE METAS DIÁRIAS'!$X$2:$Z$358,MATCH($A2936,'BASE METAS DIÁRIAS'!$A$2:$A$358,0),1),INDEX('BASE METAS DIÁRIAS'!$U$2:$W$358,MATCH($A2936,'BASE METAS DIÁRIAS'!$A$2:$A$358,0),1),""),"")</f>
        <v/>
      </c>
      <c r="H2936">
        <f>IFERROR(IF(INDEX('CONTROLE PRODUÇÃO POR EMPRESAS'!$H$6:$J$5000,MATCH($A2936,'CONTROLE PRODUÇÃO POR EMPRESAS'!$A$6:$A$5000,0),1)="","",IFERROR(1*INDEX('CONTROLE PRODUÇÃO POR EMPRESAS'!$H$6:$J$5000,MATCH($A2936,'CONTROLE PRODUÇÃO POR EMPRESAS'!$A$6:$A$5000,0),1),"")),"")</f>
        <v/>
      </c>
      <c r="I2936">
        <f>IF(OR(NOT(ISNUMBER(G2936)),NOT(ISNUMBER(H2936))),"",H2936-G2936)</f>
        <v/>
      </c>
      <c r="J2936">
        <f>IF(OR(NOT(ISNUMBER(G2936)),NOT(ISNUMBER(H2936)),G2936=0),"",I2936/G2936)</f>
        <v/>
      </c>
      <c r="K2936">
        <f>IF(OR(NOT(ISNUMBER(G2936)),NOT(ISNUMBER(H2936)),G2936=0),"",H2936/G2936)</f>
        <v/>
      </c>
      <c r="L2936">
        <f>IF(NOT(ISNUMBER(G2936)),"SEM META",IF(G2936=0,"SEM META",IF(NOT(ISNUMBER(H2936)),"SEM APONTAMENTO",IF(H2936&gt;=G2936,"VERDE",IF(H2936&gt;=G2936*0.9,"AMARELO","VERMELHO")))))</f>
        <v/>
      </c>
    </row>
    <row r="2937">
      <c r="A2937" s="321" t="n">
        <v>46487</v>
      </c>
      <c r="B2937" t="inlineStr">
        <is>
          <t>GERAL</t>
        </is>
      </c>
      <c r="C2937" t="inlineStr">
        <is>
          <t>GLOBO AÇOS</t>
        </is>
      </c>
      <c r="D2937" t="inlineStr">
        <is>
          <t>TELHAR</t>
        </is>
      </c>
      <c r="F2937">
        <f>IFERROR(INDEX('BASE METAS DIÁRIAS'!$AA$2:$AC$358,MATCH($A2937,'BASE METAS DIÁRIAS'!$A$2:$A$358,0),2),"")</f>
        <v/>
      </c>
      <c r="G2937">
        <f>IFERROR(IF(WEEKDAY($A2937,2)&lt;=INDEX('BASE METAS DIÁRIAS'!$X$2:$Z$358,MATCH($A2937,'BASE METAS DIÁRIAS'!$A$2:$A$358,0),2),INDEX('BASE METAS DIÁRIAS'!$U$2:$W$358,MATCH($A2937,'BASE METAS DIÁRIAS'!$A$2:$A$358,0),2),""),"")</f>
        <v/>
      </c>
      <c r="H2937">
        <f>IFERROR(IF(INDEX('CONTROLE PRODUÇÃO POR EMPRESAS'!$H$6:$J$5000,MATCH($A2937,'CONTROLE PRODUÇÃO POR EMPRESAS'!$A$6:$A$5000,0),2)="","",IFERROR(1*INDEX('CONTROLE PRODUÇÃO POR EMPRESAS'!$H$6:$J$5000,MATCH($A2937,'CONTROLE PRODUÇÃO POR EMPRESAS'!$A$6:$A$5000,0),2),"")),"")</f>
        <v/>
      </c>
      <c r="I2937">
        <f>IF(OR(NOT(ISNUMBER(G2937)),NOT(ISNUMBER(H2937))),"",H2937-G2937)</f>
        <v/>
      </c>
      <c r="J2937">
        <f>IF(OR(NOT(ISNUMBER(G2937)),NOT(ISNUMBER(H2937)),G2937=0),"",I2937/G2937)</f>
        <v/>
      </c>
      <c r="K2937">
        <f>IF(OR(NOT(ISNUMBER(G2937)),NOT(ISNUMBER(H2937)),G2937=0),"",H2937/G2937)</f>
        <v/>
      </c>
      <c r="L2937">
        <f>IF(NOT(ISNUMBER(G2937)),"SEM META",IF(G2937=0,"SEM META",IF(NOT(ISNUMBER(H2937)),"SEM APONTAMENTO",IF(H2937&gt;=G2937,"VERDE",IF(H2937&gt;=G2937*0.9,"AMARELO","VERMELHO")))))</f>
        <v/>
      </c>
    </row>
    <row r="2938">
      <c r="A2938" s="321" t="n">
        <v>46487</v>
      </c>
      <c r="B2938" t="inlineStr">
        <is>
          <t>GERAL</t>
        </is>
      </c>
      <c r="C2938" t="inlineStr">
        <is>
          <t>GLOBO AÇOS</t>
        </is>
      </c>
      <c r="D2938" t="inlineStr">
        <is>
          <t>FECHAMENTO</t>
        </is>
      </c>
      <c r="F2938">
        <f>IFERROR(INDEX('BASE METAS DIÁRIAS'!$AA$2:$AC$358,MATCH($A2938,'BASE METAS DIÁRIAS'!$A$2:$A$358,0),3),"")</f>
        <v/>
      </c>
      <c r="G2938">
        <f>IFERROR(IF(WEEKDAY($A2938,2)&lt;=INDEX('BASE METAS DIÁRIAS'!$X$2:$Z$358,MATCH($A2938,'BASE METAS DIÁRIAS'!$A$2:$A$358,0),3),INDEX('BASE METAS DIÁRIAS'!$U$2:$W$358,MATCH($A2938,'BASE METAS DIÁRIAS'!$A$2:$A$358,0),3),""),"")</f>
        <v/>
      </c>
      <c r="H2938">
        <f>IFERROR(IF(INDEX('CONTROLE PRODUÇÃO POR EMPRESAS'!$H$6:$J$5000,MATCH($A2938,'CONTROLE PRODUÇÃO POR EMPRESAS'!$A$6:$A$5000,0),3)="","",IFERROR(1*INDEX('CONTROLE PRODUÇÃO POR EMPRESAS'!$H$6:$J$5000,MATCH($A2938,'CONTROLE PRODUÇÃO POR EMPRESAS'!$A$6:$A$5000,0),3),"")),"")</f>
        <v/>
      </c>
      <c r="I2938">
        <f>IF(OR(NOT(ISNUMBER(G2938)),NOT(ISNUMBER(H2938))),"",H2938-G2938)</f>
        <v/>
      </c>
      <c r="J2938">
        <f>IF(OR(NOT(ISNUMBER(G2938)),NOT(ISNUMBER(H2938)),G2938=0),"",I2938/G2938)</f>
        <v/>
      </c>
      <c r="K2938">
        <f>IF(OR(NOT(ISNUMBER(G2938)),NOT(ISNUMBER(H2938)),G2938=0),"",H2938/G2938)</f>
        <v/>
      </c>
      <c r="L2938">
        <f>IF(NOT(ISNUMBER(G2938)),"SEM META",IF(G2938=0,"SEM META",IF(NOT(ISNUMBER(H2938)),"SEM APONTAMENTO",IF(H2938&gt;=G2938,"VERDE",IF(H2938&gt;=G2938*0.9,"AMARELO","VERMELHO")))))</f>
        <v/>
      </c>
    </row>
    <row r="2939">
      <c r="A2939" s="321" t="n">
        <v>46488</v>
      </c>
      <c r="B2939" t="inlineStr">
        <is>
          <t>GERAL</t>
        </is>
      </c>
      <c r="C2939" t="inlineStr">
        <is>
          <t>GLOBO AÇOS</t>
        </is>
      </c>
      <c r="D2939" t="inlineStr">
        <is>
          <t>PERFILAÇÃO</t>
        </is>
      </c>
      <c r="F2939">
        <f>IFERROR(INDEX('BASE METAS DIÁRIAS'!$AA$2:$AC$358,MATCH($A2939,'BASE METAS DIÁRIAS'!$A$2:$A$358,0),1),"")</f>
        <v/>
      </c>
      <c r="G2939">
        <f>IFERROR(IF(WEEKDAY($A2939,2)&lt;=INDEX('BASE METAS DIÁRIAS'!$X$2:$Z$358,MATCH($A2939,'BASE METAS DIÁRIAS'!$A$2:$A$358,0),1),INDEX('BASE METAS DIÁRIAS'!$U$2:$W$358,MATCH($A2939,'BASE METAS DIÁRIAS'!$A$2:$A$358,0),1),""),"")</f>
        <v/>
      </c>
      <c r="H2939">
        <f>IFERROR(IF(INDEX('CONTROLE PRODUÇÃO POR EMPRESAS'!$H$6:$J$5000,MATCH($A2939,'CONTROLE PRODUÇÃO POR EMPRESAS'!$A$6:$A$5000,0),1)="","",IFERROR(1*INDEX('CONTROLE PRODUÇÃO POR EMPRESAS'!$H$6:$J$5000,MATCH($A2939,'CONTROLE PRODUÇÃO POR EMPRESAS'!$A$6:$A$5000,0),1),"")),"")</f>
        <v/>
      </c>
      <c r="I2939">
        <f>IF(OR(NOT(ISNUMBER(G2939)),NOT(ISNUMBER(H2939))),"",H2939-G2939)</f>
        <v/>
      </c>
      <c r="J2939">
        <f>IF(OR(NOT(ISNUMBER(G2939)),NOT(ISNUMBER(H2939)),G2939=0),"",I2939/G2939)</f>
        <v/>
      </c>
      <c r="K2939">
        <f>IF(OR(NOT(ISNUMBER(G2939)),NOT(ISNUMBER(H2939)),G2939=0),"",H2939/G2939)</f>
        <v/>
      </c>
      <c r="L2939">
        <f>IF(NOT(ISNUMBER(G2939)),"SEM META",IF(G2939=0,"SEM META",IF(NOT(ISNUMBER(H2939)),"SEM APONTAMENTO",IF(H2939&gt;=G2939,"VERDE",IF(H2939&gt;=G2939*0.9,"AMARELO","VERMELHO")))))</f>
        <v/>
      </c>
    </row>
    <row r="2940">
      <c r="A2940" s="321" t="n">
        <v>46488</v>
      </c>
      <c r="B2940" t="inlineStr">
        <is>
          <t>GERAL</t>
        </is>
      </c>
      <c r="C2940" t="inlineStr">
        <is>
          <t>GLOBO AÇOS</t>
        </is>
      </c>
      <c r="D2940" t="inlineStr">
        <is>
          <t>TELHAR</t>
        </is>
      </c>
      <c r="F2940">
        <f>IFERROR(INDEX('BASE METAS DIÁRIAS'!$AA$2:$AC$358,MATCH($A2940,'BASE METAS DIÁRIAS'!$A$2:$A$358,0),2),"")</f>
        <v/>
      </c>
      <c r="G2940">
        <f>IFERROR(IF(WEEKDAY($A2940,2)&lt;=INDEX('BASE METAS DIÁRIAS'!$X$2:$Z$358,MATCH($A2940,'BASE METAS DIÁRIAS'!$A$2:$A$358,0),2),INDEX('BASE METAS DIÁRIAS'!$U$2:$W$358,MATCH($A2940,'BASE METAS DIÁRIAS'!$A$2:$A$358,0),2),""),"")</f>
        <v/>
      </c>
      <c r="H2940">
        <f>IFERROR(IF(INDEX('CONTROLE PRODUÇÃO POR EMPRESAS'!$H$6:$J$5000,MATCH($A2940,'CONTROLE PRODUÇÃO POR EMPRESAS'!$A$6:$A$5000,0),2)="","",IFERROR(1*INDEX('CONTROLE PRODUÇÃO POR EMPRESAS'!$H$6:$J$5000,MATCH($A2940,'CONTROLE PRODUÇÃO POR EMPRESAS'!$A$6:$A$5000,0),2),"")),"")</f>
        <v/>
      </c>
      <c r="I2940">
        <f>IF(OR(NOT(ISNUMBER(G2940)),NOT(ISNUMBER(H2940))),"",H2940-G2940)</f>
        <v/>
      </c>
      <c r="J2940">
        <f>IF(OR(NOT(ISNUMBER(G2940)),NOT(ISNUMBER(H2940)),G2940=0),"",I2940/G2940)</f>
        <v/>
      </c>
      <c r="K2940">
        <f>IF(OR(NOT(ISNUMBER(G2940)),NOT(ISNUMBER(H2940)),G2940=0),"",H2940/G2940)</f>
        <v/>
      </c>
      <c r="L2940">
        <f>IF(NOT(ISNUMBER(G2940)),"SEM META",IF(G2940=0,"SEM META",IF(NOT(ISNUMBER(H2940)),"SEM APONTAMENTO",IF(H2940&gt;=G2940,"VERDE",IF(H2940&gt;=G2940*0.9,"AMARELO","VERMELHO")))))</f>
        <v/>
      </c>
    </row>
    <row r="2941">
      <c r="A2941" s="321" t="n">
        <v>46488</v>
      </c>
      <c r="B2941" t="inlineStr">
        <is>
          <t>GERAL</t>
        </is>
      </c>
      <c r="C2941" t="inlineStr">
        <is>
          <t>GLOBO AÇOS</t>
        </is>
      </c>
      <c r="D2941" t="inlineStr">
        <is>
          <t>FECHAMENTO</t>
        </is>
      </c>
      <c r="F2941">
        <f>IFERROR(INDEX('BASE METAS DIÁRIAS'!$AA$2:$AC$358,MATCH($A2941,'BASE METAS DIÁRIAS'!$A$2:$A$358,0),3),"")</f>
        <v/>
      </c>
      <c r="G2941">
        <f>IFERROR(IF(WEEKDAY($A2941,2)&lt;=INDEX('BASE METAS DIÁRIAS'!$X$2:$Z$358,MATCH($A2941,'BASE METAS DIÁRIAS'!$A$2:$A$358,0),3),INDEX('BASE METAS DIÁRIAS'!$U$2:$W$358,MATCH($A2941,'BASE METAS DIÁRIAS'!$A$2:$A$358,0),3),""),"")</f>
        <v/>
      </c>
      <c r="H2941">
        <f>IFERROR(IF(INDEX('CONTROLE PRODUÇÃO POR EMPRESAS'!$H$6:$J$5000,MATCH($A2941,'CONTROLE PRODUÇÃO POR EMPRESAS'!$A$6:$A$5000,0),3)="","",IFERROR(1*INDEX('CONTROLE PRODUÇÃO POR EMPRESAS'!$H$6:$J$5000,MATCH($A2941,'CONTROLE PRODUÇÃO POR EMPRESAS'!$A$6:$A$5000,0),3),"")),"")</f>
        <v/>
      </c>
      <c r="I2941">
        <f>IF(OR(NOT(ISNUMBER(G2941)),NOT(ISNUMBER(H2941))),"",H2941-G2941)</f>
        <v/>
      </c>
      <c r="J2941">
        <f>IF(OR(NOT(ISNUMBER(G2941)),NOT(ISNUMBER(H2941)),G2941=0),"",I2941/G2941)</f>
        <v/>
      </c>
      <c r="K2941">
        <f>IF(OR(NOT(ISNUMBER(G2941)),NOT(ISNUMBER(H2941)),G2941=0),"",H2941/G2941)</f>
        <v/>
      </c>
      <c r="L2941">
        <f>IF(NOT(ISNUMBER(G2941)),"SEM META",IF(G2941=0,"SEM META",IF(NOT(ISNUMBER(H2941)),"SEM APONTAMENTO",IF(H2941&gt;=G2941,"VERDE",IF(H2941&gt;=G2941*0.9,"AMARELO","VERMELHO")))))</f>
        <v/>
      </c>
    </row>
    <row r="2942">
      <c r="A2942" s="321" t="n">
        <v>46489</v>
      </c>
      <c r="B2942" t="inlineStr">
        <is>
          <t>GERAL</t>
        </is>
      </c>
      <c r="C2942" t="inlineStr">
        <is>
          <t>GLOBO AÇOS</t>
        </is>
      </c>
      <c r="D2942" t="inlineStr">
        <is>
          <t>PERFILAÇÃO</t>
        </is>
      </c>
      <c r="F2942">
        <f>IFERROR(INDEX('BASE METAS DIÁRIAS'!$AA$2:$AC$358,MATCH($A2942,'BASE METAS DIÁRIAS'!$A$2:$A$358,0),1),"")</f>
        <v/>
      </c>
      <c r="G2942">
        <f>IFERROR(IF(WEEKDAY($A2942,2)&lt;=INDEX('BASE METAS DIÁRIAS'!$X$2:$Z$358,MATCH($A2942,'BASE METAS DIÁRIAS'!$A$2:$A$358,0),1),INDEX('BASE METAS DIÁRIAS'!$U$2:$W$358,MATCH($A2942,'BASE METAS DIÁRIAS'!$A$2:$A$358,0),1),""),"")</f>
        <v/>
      </c>
      <c r="H2942">
        <f>IFERROR(IF(INDEX('CONTROLE PRODUÇÃO POR EMPRESAS'!$H$6:$J$5000,MATCH($A2942,'CONTROLE PRODUÇÃO POR EMPRESAS'!$A$6:$A$5000,0),1)="","",IFERROR(1*INDEX('CONTROLE PRODUÇÃO POR EMPRESAS'!$H$6:$J$5000,MATCH($A2942,'CONTROLE PRODUÇÃO POR EMPRESAS'!$A$6:$A$5000,0),1),"")),"")</f>
        <v/>
      </c>
      <c r="I2942">
        <f>IF(OR(NOT(ISNUMBER(G2942)),NOT(ISNUMBER(H2942))),"",H2942-G2942)</f>
        <v/>
      </c>
      <c r="J2942">
        <f>IF(OR(NOT(ISNUMBER(G2942)),NOT(ISNUMBER(H2942)),G2942=0),"",I2942/G2942)</f>
        <v/>
      </c>
      <c r="K2942">
        <f>IF(OR(NOT(ISNUMBER(G2942)),NOT(ISNUMBER(H2942)),G2942=0),"",H2942/G2942)</f>
        <v/>
      </c>
      <c r="L2942">
        <f>IF(NOT(ISNUMBER(G2942)),"SEM META",IF(G2942=0,"SEM META",IF(NOT(ISNUMBER(H2942)),"SEM APONTAMENTO",IF(H2942&gt;=G2942,"VERDE",IF(H2942&gt;=G2942*0.9,"AMARELO","VERMELHO")))))</f>
        <v/>
      </c>
    </row>
    <row r="2943">
      <c r="A2943" s="321" t="n">
        <v>46489</v>
      </c>
      <c r="B2943" t="inlineStr">
        <is>
          <t>GERAL</t>
        </is>
      </c>
      <c r="C2943" t="inlineStr">
        <is>
          <t>GLOBO AÇOS</t>
        </is>
      </c>
      <c r="D2943" t="inlineStr">
        <is>
          <t>TELHAR</t>
        </is>
      </c>
      <c r="F2943">
        <f>IFERROR(INDEX('BASE METAS DIÁRIAS'!$AA$2:$AC$358,MATCH($A2943,'BASE METAS DIÁRIAS'!$A$2:$A$358,0),2),"")</f>
        <v/>
      </c>
      <c r="G2943">
        <f>IFERROR(IF(WEEKDAY($A2943,2)&lt;=INDEX('BASE METAS DIÁRIAS'!$X$2:$Z$358,MATCH($A2943,'BASE METAS DIÁRIAS'!$A$2:$A$358,0),2),INDEX('BASE METAS DIÁRIAS'!$U$2:$W$358,MATCH($A2943,'BASE METAS DIÁRIAS'!$A$2:$A$358,0),2),""),"")</f>
        <v/>
      </c>
      <c r="H2943">
        <f>IFERROR(IF(INDEX('CONTROLE PRODUÇÃO POR EMPRESAS'!$H$6:$J$5000,MATCH($A2943,'CONTROLE PRODUÇÃO POR EMPRESAS'!$A$6:$A$5000,0),2)="","",IFERROR(1*INDEX('CONTROLE PRODUÇÃO POR EMPRESAS'!$H$6:$J$5000,MATCH($A2943,'CONTROLE PRODUÇÃO POR EMPRESAS'!$A$6:$A$5000,0),2),"")),"")</f>
        <v/>
      </c>
      <c r="I2943">
        <f>IF(OR(NOT(ISNUMBER(G2943)),NOT(ISNUMBER(H2943))),"",H2943-G2943)</f>
        <v/>
      </c>
      <c r="J2943">
        <f>IF(OR(NOT(ISNUMBER(G2943)),NOT(ISNUMBER(H2943)),G2943=0),"",I2943/G2943)</f>
        <v/>
      </c>
      <c r="K2943">
        <f>IF(OR(NOT(ISNUMBER(G2943)),NOT(ISNUMBER(H2943)),G2943=0),"",H2943/G2943)</f>
        <v/>
      </c>
      <c r="L2943">
        <f>IF(NOT(ISNUMBER(G2943)),"SEM META",IF(G2943=0,"SEM META",IF(NOT(ISNUMBER(H2943)),"SEM APONTAMENTO",IF(H2943&gt;=G2943,"VERDE",IF(H2943&gt;=G2943*0.9,"AMARELO","VERMELHO")))))</f>
        <v/>
      </c>
    </row>
    <row r="2944">
      <c r="A2944" s="321" t="n">
        <v>46489</v>
      </c>
      <c r="B2944" t="inlineStr">
        <is>
          <t>GERAL</t>
        </is>
      </c>
      <c r="C2944" t="inlineStr">
        <is>
          <t>GLOBO AÇOS</t>
        </is>
      </c>
      <c r="D2944" t="inlineStr">
        <is>
          <t>FECHAMENTO</t>
        </is>
      </c>
      <c r="F2944">
        <f>IFERROR(INDEX('BASE METAS DIÁRIAS'!$AA$2:$AC$358,MATCH($A2944,'BASE METAS DIÁRIAS'!$A$2:$A$358,0),3),"")</f>
        <v/>
      </c>
      <c r="G2944">
        <f>IFERROR(IF(WEEKDAY($A2944,2)&lt;=INDEX('BASE METAS DIÁRIAS'!$X$2:$Z$358,MATCH($A2944,'BASE METAS DIÁRIAS'!$A$2:$A$358,0),3),INDEX('BASE METAS DIÁRIAS'!$U$2:$W$358,MATCH($A2944,'BASE METAS DIÁRIAS'!$A$2:$A$358,0),3),""),"")</f>
        <v/>
      </c>
      <c r="H2944">
        <f>IFERROR(IF(INDEX('CONTROLE PRODUÇÃO POR EMPRESAS'!$H$6:$J$5000,MATCH($A2944,'CONTROLE PRODUÇÃO POR EMPRESAS'!$A$6:$A$5000,0),3)="","",IFERROR(1*INDEX('CONTROLE PRODUÇÃO POR EMPRESAS'!$H$6:$J$5000,MATCH($A2944,'CONTROLE PRODUÇÃO POR EMPRESAS'!$A$6:$A$5000,0),3),"")),"")</f>
        <v/>
      </c>
      <c r="I2944">
        <f>IF(OR(NOT(ISNUMBER(G2944)),NOT(ISNUMBER(H2944))),"",H2944-G2944)</f>
        <v/>
      </c>
      <c r="J2944">
        <f>IF(OR(NOT(ISNUMBER(G2944)),NOT(ISNUMBER(H2944)),G2944=0),"",I2944/G2944)</f>
        <v/>
      </c>
      <c r="K2944">
        <f>IF(OR(NOT(ISNUMBER(G2944)),NOT(ISNUMBER(H2944)),G2944=0),"",H2944/G2944)</f>
        <v/>
      </c>
      <c r="L2944">
        <f>IF(NOT(ISNUMBER(G2944)),"SEM META",IF(G2944=0,"SEM META",IF(NOT(ISNUMBER(H2944)),"SEM APONTAMENTO",IF(H2944&gt;=G2944,"VERDE",IF(H2944&gt;=G2944*0.9,"AMARELO","VERMELHO")))))</f>
        <v/>
      </c>
    </row>
    <row r="2945">
      <c r="A2945" s="321" t="n">
        <v>46490</v>
      </c>
      <c r="B2945" t="inlineStr">
        <is>
          <t>GERAL</t>
        </is>
      </c>
      <c r="C2945" t="inlineStr">
        <is>
          <t>GLOBO AÇOS</t>
        </is>
      </c>
      <c r="D2945" t="inlineStr">
        <is>
          <t>PERFILAÇÃO</t>
        </is>
      </c>
      <c r="F2945">
        <f>IFERROR(INDEX('BASE METAS DIÁRIAS'!$AA$2:$AC$358,MATCH($A2945,'BASE METAS DIÁRIAS'!$A$2:$A$358,0),1),"")</f>
        <v/>
      </c>
      <c r="G2945">
        <f>IFERROR(IF(WEEKDAY($A2945,2)&lt;=INDEX('BASE METAS DIÁRIAS'!$X$2:$Z$358,MATCH($A2945,'BASE METAS DIÁRIAS'!$A$2:$A$358,0),1),INDEX('BASE METAS DIÁRIAS'!$U$2:$W$358,MATCH($A2945,'BASE METAS DIÁRIAS'!$A$2:$A$358,0),1),""),"")</f>
        <v/>
      </c>
      <c r="H2945">
        <f>IFERROR(IF(INDEX('CONTROLE PRODUÇÃO POR EMPRESAS'!$H$6:$J$5000,MATCH($A2945,'CONTROLE PRODUÇÃO POR EMPRESAS'!$A$6:$A$5000,0),1)="","",IFERROR(1*INDEX('CONTROLE PRODUÇÃO POR EMPRESAS'!$H$6:$J$5000,MATCH($A2945,'CONTROLE PRODUÇÃO POR EMPRESAS'!$A$6:$A$5000,0),1),"")),"")</f>
        <v/>
      </c>
      <c r="I2945">
        <f>IF(OR(NOT(ISNUMBER(G2945)),NOT(ISNUMBER(H2945))),"",H2945-G2945)</f>
        <v/>
      </c>
      <c r="J2945">
        <f>IF(OR(NOT(ISNUMBER(G2945)),NOT(ISNUMBER(H2945)),G2945=0),"",I2945/G2945)</f>
        <v/>
      </c>
      <c r="K2945">
        <f>IF(OR(NOT(ISNUMBER(G2945)),NOT(ISNUMBER(H2945)),G2945=0),"",H2945/G2945)</f>
        <v/>
      </c>
      <c r="L2945">
        <f>IF(NOT(ISNUMBER(G2945)),"SEM META",IF(G2945=0,"SEM META",IF(NOT(ISNUMBER(H2945)),"SEM APONTAMENTO",IF(H2945&gt;=G2945,"VERDE",IF(H2945&gt;=G2945*0.9,"AMARELO","VERMELHO")))))</f>
        <v/>
      </c>
    </row>
    <row r="2946">
      <c r="A2946" s="321" t="n">
        <v>46490</v>
      </c>
      <c r="B2946" t="inlineStr">
        <is>
          <t>GERAL</t>
        </is>
      </c>
      <c r="C2946" t="inlineStr">
        <is>
          <t>GLOBO AÇOS</t>
        </is>
      </c>
      <c r="D2946" t="inlineStr">
        <is>
          <t>TELHAR</t>
        </is>
      </c>
      <c r="F2946">
        <f>IFERROR(INDEX('BASE METAS DIÁRIAS'!$AA$2:$AC$358,MATCH($A2946,'BASE METAS DIÁRIAS'!$A$2:$A$358,0),2),"")</f>
        <v/>
      </c>
      <c r="G2946">
        <f>IFERROR(IF(WEEKDAY($A2946,2)&lt;=INDEX('BASE METAS DIÁRIAS'!$X$2:$Z$358,MATCH($A2946,'BASE METAS DIÁRIAS'!$A$2:$A$358,0),2),INDEX('BASE METAS DIÁRIAS'!$U$2:$W$358,MATCH($A2946,'BASE METAS DIÁRIAS'!$A$2:$A$358,0),2),""),"")</f>
        <v/>
      </c>
      <c r="H2946">
        <f>IFERROR(IF(INDEX('CONTROLE PRODUÇÃO POR EMPRESAS'!$H$6:$J$5000,MATCH($A2946,'CONTROLE PRODUÇÃO POR EMPRESAS'!$A$6:$A$5000,0),2)="","",IFERROR(1*INDEX('CONTROLE PRODUÇÃO POR EMPRESAS'!$H$6:$J$5000,MATCH($A2946,'CONTROLE PRODUÇÃO POR EMPRESAS'!$A$6:$A$5000,0),2),"")),"")</f>
        <v/>
      </c>
      <c r="I2946">
        <f>IF(OR(NOT(ISNUMBER(G2946)),NOT(ISNUMBER(H2946))),"",H2946-G2946)</f>
        <v/>
      </c>
      <c r="J2946">
        <f>IF(OR(NOT(ISNUMBER(G2946)),NOT(ISNUMBER(H2946)),G2946=0),"",I2946/G2946)</f>
        <v/>
      </c>
      <c r="K2946">
        <f>IF(OR(NOT(ISNUMBER(G2946)),NOT(ISNUMBER(H2946)),G2946=0),"",H2946/G2946)</f>
        <v/>
      </c>
      <c r="L2946">
        <f>IF(NOT(ISNUMBER(G2946)),"SEM META",IF(G2946=0,"SEM META",IF(NOT(ISNUMBER(H2946)),"SEM APONTAMENTO",IF(H2946&gt;=G2946,"VERDE",IF(H2946&gt;=G2946*0.9,"AMARELO","VERMELHO")))))</f>
        <v/>
      </c>
    </row>
    <row r="2947">
      <c r="A2947" s="321" t="n">
        <v>46490</v>
      </c>
      <c r="B2947" t="inlineStr">
        <is>
          <t>GERAL</t>
        </is>
      </c>
      <c r="C2947" t="inlineStr">
        <is>
          <t>GLOBO AÇOS</t>
        </is>
      </c>
      <c r="D2947" t="inlineStr">
        <is>
          <t>FECHAMENTO</t>
        </is>
      </c>
      <c r="F2947">
        <f>IFERROR(INDEX('BASE METAS DIÁRIAS'!$AA$2:$AC$358,MATCH($A2947,'BASE METAS DIÁRIAS'!$A$2:$A$358,0),3),"")</f>
        <v/>
      </c>
      <c r="G2947">
        <f>IFERROR(IF(WEEKDAY($A2947,2)&lt;=INDEX('BASE METAS DIÁRIAS'!$X$2:$Z$358,MATCH($A2947,'BASE METAS DIÁRIAS'!$A$2:$A$358,0),3),INDEX('BASE METAS DIÁRIAS'!$U$2:$W$358,MATCH($A2947,'BASE METAS DIÁRIAS'!$A$2:$A$358,0),3),""),"")</f>
        <v/>
      </c>
      <c r="H2947">
        <f>IFERROR(IF(INDEX('CONTROLE PRODUÇÃO POR EMPRESAS'!$H$6:$J$5000,MATCH($A2947,'CONTROLE PRODUÇÃO POR EMPRESAS'!$A$6:$A$5000,0),3)="","",IFERROR(1*INDEX('CONTROLE PRODUÇÃO POR EMPRESAS'!$H$6:$J$5000,MATCH($A2947,'CONTROLE PRODUÇÃO POR EMPRESAS'!$A$6:$A$5000,0),3),"")),"")</f>
        <v/>
      </c>
      <c r="I2947">
        <f>IF(OR(NOT(ISNUMBER(G2947)),NOT(ISNUMBER(H2947))),"",H2947-G2947)</f>
        <v/>
      </c>
      <c r="J2947">
        <f>IF(OR(NOT(ISNUMBER(G2947)),NOT(ISNUMBER(H2947)),G2947=0),"",I2947/G2947)</f>
        <v/>
      </c>
      <c r="K2947">
        <f>IF(OR(NOT(ISNUMBER(G2947)),NOT(ISNUMBER(H2947)),G2947=0),"",H2947/G2947)</f>
        <v/>
      </c>
      <c r="L2947">
        <f>IF(NOT(ISNUMBER(G2947)),"SEM META",IF(G2947=0,"SEM META",IF(NOT(ISNUMBER(H2947)),"SEM APONTAMENTO",IF(H2947&gt;=G2947,"VERDE",IF(H2947&gt;=G2947*0.9,"AMARELO","VERMELHO")))))</f>
        <v/>
      </c>
    </row>
    <row r="2948">
      <c r="A2948" s="321" t="n">
        <v>46491</v>
      </c>
      <c r="B2948" t="inlineStr">
        <is>
          <t>GERAL</t>
        </is>
      </c>
      <c r="C2948" t="inlineStr">
        <is>
          <t>GLOBO AÇOS</t>
        </is>
      </c>
      <c r="D2948" t="inlineStr">
        <is>
          <t>PERFILAÇÃO</t>
        </is>
      </c>
      <c r="F2948">
        <f>IFERROR(INDEX('BASE METAS DIÁRIAS'!$AA$2:$AC$358,MATCH($A2948,'BASE METAS DIÁRIAS'!$A$2:$A$358,0),1),"")</f>
        <v/>
      </c>
      <c r="G2948">
        <f>IFERROR(IF(WEEKDAY($A2948,2)&lt;=INDEX('BASE METAS DIÁRIAS'!$X$2:$Z$358,MATCH($A2948,'BASE METAS DIÁRIAS'!$A$2:$A$358,0),1),INDEX('BASE METAS DIÁRIAS'!$U$2:$W$358,MATCH($A2948,'BASE METAS DIÁRIAS'!$A$2:$A$358,0),1),""),"")</f>
        <v/>
      </c>
      <c r="H2948">
        <f>IFERROR(IF(INDEX('CONTROLE PRODUÇÃO POR EMPRESAS'!$H$6:$J$5000,MATCH($A2948,'CONTROLE PRODUÇÃO POR EMPRESAS'!$A$6:$A$5000,0),1)="","",IFERROR(1*INDEX('CONTROLE PRODUÇÃO POR EMPRESAS'!$H$6:$J$5000,MATCH($A2948,'CONTROLE PRODUÇÃO POR EMPRESAS'!$A$6:$A$5000,0),1),"")),"")</f>
        <v/>
      </c>
      <c r="I2948">
        <f>IF(OR(NOT(ISNUMBER(G2948)),NOT(ISNUMBER(H2948))),"",H2948-G2948)</f>
        <v/>
      </c>
      <c r="J2948">
        <f>IF(OR(NOT(ISNUMBER(G2948)),NOT(ISNUMBER(H2948)),G2948=0),"",I2948/G2948)</f>
        <v/>
      </c>
      <c r="K2948">
        <f>IF(OR(NOT(ISNUMBER(G2948)),NOT(ISNUMBER(H2948)),G2948=0),"",H2948/G2948)</f>
        <v/>
      </c>
      <c r="L2948">
        <f>IF(NOT(ISNUMBER(G2948)),"SEM META",IF(G2948=0,"SEM META",IF(NOT(ISNUMBER(H2948)),"SEM APONTAMENTO",IF(H2948&gt;=G2948,"VERDE",IF(H2948&gt;=G2948*0.9,"AMARELO","VERMELHO")))))</f>
        <v/>
      </c>
    </row>
    <row r="2949">
      <c r="A2949" s="321" t="n">
        <v>46491</v>
      </c>
      <c r="B2949" t="inlineStr">
        <is>
          <t>GERAL</t>
        </is>
      </c>
      <c r="C2949" t="inlineStr">
        <is>
          <t>GLOBO AÇOS</t>
        </is>
      </c>
      <c r="D2949" t="inlineStr">
        <is>
          <t>TELHAR</t>
        </is>
      </c>
      <c r="F2949">
        <f>IFERROR(INDEX('BASE METAS DIÁRIAS'!$AA$2:$AC$358,MATCH($A2949,'BASE METAS DIÁRIAS'!$A$2:$A$358,0),2),"")</f>
        <v/>
      </c>
      <c r="G2949">
        <f>IFERROR(IF(WEEKDAY($A2949,2)&lt;=INDEX('BASE METAS DIÁRIAS'!$X$2:$Z$358,MATCH($A2949,'BASE METAS DIÁRIAS'!$A$2:$A$358,0),2),INDEX('BASE METAS DIÁRIAS'!$U$2:$W$358,MATCH($A2949,'BASE METAS DIÁRIAS'!$A$2:$A$358,0),2),""),"")</f>
        <v/>
      </c>
      <c r="H2949">
        <f>IFERROR(IF(INDEX('CONTROLE PRODUÇÃO POR EMPRESAS'!$H$6:$J$5000,MATCH($A2949,'CONTROLE PRODUÇÃO POR EMPRESAS'!$A$6:$A$5000,0),2)="","",IFERROR(1*INDEX('CONTROLE PRODUÇÃO POR EMPRESAS'!$H$6:$J$5000,MATCH($A2949,'CONTROLE PRODUÇÃO POR EMPRESAS'!$A$6:$A$5000,0),2),"")),"")</f>
        <v/>
      </c>
      <c r="I2949">
        <f>IF(OR(NOT(ISNUMBER(G2949)),NOT(ISNUMBER(H2949))),"",H2949-G2949)</f>
        <v/>
      </c>
      <c r="J2949">
        <f>IF(OR(NOT(ISNUMBER(G2949)),NOT(ISNUMBER(H2949)),G2949=0),"",I2949/G2949)</f>
        <v/>
      </c>
      <c r="K2949">
        <f>IF(OR(NOT(ISNUMBER(G2949)),NOT(ISNUMBER(H2949)),G2949=0),"",H2949/G2949)</f>
        <v/>
      </c>
      <c r="L2949">
        <f>IF(NOT(ISNUMBER(G2949)),"SEM META",IF(G2949=0,"SEM META",IF(NOT(ISNUMBER(H2949)),"SEM APONTAMENTO",IF(H2949&gt;=G2949,"VERDE",IF(H2949&gt;=G2949*0.9,"AMARELO","VERMELHO")))))</f>
        <v/>
      </c>
    </row>
    <row r="2950">
      <c r="A2950" s="321" t="n">
        <v>46491</v>
      </c>
      <c r="B2950" t="inlineStr">
        <is>
          <t>GERAL</t>
        </is>
      </c>
      <c r="C2950" t="inlineStr">
        <is>
          <t>GLOBO AÇOS</t>
        </is>
      </c>
      <c r="D2950" t="inlineStr">
        <is>
          <t>FECHAMENTO</t>
        </is>
      </c>
      <c r="F2950">
        <f>IFERROR(INDEX('BASE METAS DIÁRIAS'!$AA$2:$AC$358,MATCH($A2950,'BASE METAS DIÁRIAS'!$A$2:$A$358,0),3),"")</f>
        <v/>
      </c>
      <c r="G2950">
        <f>IFERROR(IF(WEEKDAY($A2950,2)&lt;=INDEX('BASE METAS DIÁRIAS'!$X$2:$Z$358,MATCH($A2950,'BASE METAS DIÁRIAS'!$A$2:$A$358,0),3),INDEX('BASE METAS DIÁRIAS'!$U$2:$W$358,MATCH($A2950,'BASE METAS DIÁRIAS'!$A$2:$A$358,0),3),""),"")</f>
        <v/>
      </c>
      <c r="H2950">
        <f>IFERROR(IF(INDEX('CONTROLE PRODUÇÃO POR EMPRESAS'!$H$6:$J$5000,MATCH($A2950,'CONTROLE PRODUÇÃO POR EMPRESAS'!$A$6:$A$5000,0),3)="","",IFERROR(1*INDEX('CONTROLE PRODUÇÃO POR EMPRESAS'!$H$6:$J$5000,MATCH($A2950,'CONTROLE PRODUÇÃO POR EMPRESAS'!$A$6:$A$5000,0),3),"")),"")</f>
        <v/>
      </c>
      <c r="I2950">
        <f>IF(OR(NOT(ISNUMBER(G2950)),NOT(ISNUMBER(H2950))),"",H2950-G2950)</f>
        <v/>
      </c>
      <c r="J2950">
        <f>IF(OR(NOT(ISNUMBER(G2950)),NOT(ISNUMBER(H2950)),G2950=0),"",I2950/G2950)</f>
        <v/>
      </c>
      <c r="K2950">
        <f>IF(OR(NOT(ISNUMBER(G2950)),NOT(ISNUMBER(H2950)),G2950=0),"",H2950/G2950)</f>
        <v/>
      </c>
      <c r="L2950">
        <f>IF(NOT(ISNUMBER(G2950)),"SEM META",IF(G2950=0,"SEM META",IF(NOT(ISNUMBER(H2950)),"SEM APONTAMENTO",IF(H2950&gt;=G2950,"VERDE",IF(H2950&gt;=G2950*0.9,"AMARELO","VERMELHO")))))</f>
        <v/>
      </c>
    </row>
    <row r="2951">
      <c r="A2951" s="321" t="n">
        <v>46492</v>
      </c>
      <c r="B2951" t="inlineStr">
        <is>
          <t>GERAL</t>
        </is>
      </c>
      <c r="C2951" t="inlineStr">
        <is>
          <t>GLOBO AÇOS</t>
        </is>
      </c>
      <c r="D2951" t="inlineStr">
        <is>
          <t>PERFILAÇÃO</t>
        </is>
      </c>
      <c r="F2951">
        <f>IFERROR(INDEX('BASE METAS DIÁRIAS'!$AA$2:$AC$358,MATCH($A2951,'BASE METAS DIÁRIAS'!$A$2:$A$358,0),1),"")</f>
        <v/>
      </c>
      <c r="G2951">
        <f>IFERROR(IF(WEEKDAY($A2951,2)&lt;=INDEX('BASE METAS DIÁRIAS'!$X$2:$Z$358,MATCH($A2951,'BASE METAS DIÁRIAS'!$A$2:$A$358,0),1),INDEX('BASE METAS DIÁRIAS'!$U$2:$W$358,MATCH($A2951,'BASE METAS DIÁRIAS'!$A$2:$A$358,0),1),""),"")</f>
        <v/>
      </c>
      <c r="H2951">
        <f>IFERROR(IF(INDEX('CONTROLE PRODUÇÃO POR EMPRESAS'!$H$6:$J$5000,MATCH($A2951,'CONTROLE PRODUÇÃO POR EMPRESAS'!$A$6:$A$5000,0),1)="","",IFERROR(1*INDEX('CONTROLE PRODUÇÃO POR EMPRESAS'!$H$6:$J$5000,MATCH($A2951,'CONTROLE PRODUÇÃO POR EMPRESAS'!$A$6:$A$5000,0),1),"")),"")</f>
        <v/>
      </c>
      <c r="I2951">
        <f>IF(OR(NOT(ISNUMBER(G2951)),NOT(ISNUMBER(H2951))),"",H2951-G2951)</f>
        <v/>
      </c>
      <c r="J2951">
        <f>IF(OR(NOT(ISNUMBER(G2951)),NOT(ISNUMBER(H2951)),G2951=0),"",I2951/G2951)</f>
        <v/>
      </c>
      <c r="K2951">
        <f>IF(OR(NOT(ISNUMBER(G2951)),NOT(ISNUMBER(H2951)),G2951=0),"",H2951/G2951)</f>
        <v/>
      </c>
      <c r="L2951">
        <f>IF(NOT(ISNUMBER(G2951)),"SEM META",IF(G2951=0,"SEM META",IF(NOT(ISNUMBER(H2951)),"SEM APONTAMENTO",IF(H2951&gt;=G2951,"VERDE",IF(H2951&gt;=G2951*0.9,"AMARELO","VERMELHO")))))</f>
        <v/>
      </c>
    </row>
    <row r="2952">
      <c r="A2952" s="321" t="n">
        <v>46492</v>
      </c>
      <c r="B2952" t="inlineStr">
        <is>
          <t>GERAL</t>
        </is>
      </c>
      <c r="C2952" t="inlineStr">
        <is>
          <t>GLOBO AÇOS</t>
        </is>
      </c>
      <c r="D2952" t="inlineStr">
        <is>
          <t>TELHAR</t>
        </is>
      </c>
      <c r="F2952">
        <f>IFERROR(INDEX('BASE METAS DIÁRIAS'!$AA$2:$AC$358,MATCH($A2952,'BASE METAS DIÁRIAS'!$A$2:$A$358,0),2),"")</f>
        <v/>
      </c>
      <c r="G2952">
        <f>IFERROR(IF(WEEKDAY($A2952,2)&lt;=INDEX('BASE METAS DIÁRIAS'!$X$2:$Z$358,MATCH($A2952,'BASE METAS DIÁRIAS'!$A$2:$A$358,0),2),INDEX('BASE METAS DIÁRIAS'!$U$2:$W$358,MATCH($A2952,'BASE METAS DIÁRIAS'!$A$2:$A$358,0),2),""),"")</f>
        <v/>
      </c>
      <c r="H2952">
        <f>IFERROR(IF(INDEX('CONTROLE PRODUÇÃO POR EMPRESAS'!$H$6:$J$5000,MATCH($A2952,'CONTROLE PRODUÇÃO POR EMPRESAS'!$A$6:$A$5000,0),2)="","",IFERROR(1*INDEX('CONTROLE PRODUÇÃO POR EMPRESAS'!$H$6:$J$5000,MATCH($A2952,'CONTROLE PRODUÇÃO POR EMPRESAS'!$A$6:$A$5000,0),2),"")),"")</f>
        <v/>
      </c>
      <c r="I2952">
        <f>IF(OR(NOT(ISNUMBER(G2952)),NOT(ISNUMBER(H2952))),"",H2952-G2952)</f>
        <v/>
      </c>
      <c r="J2952">
        <f>IF(OR(NOT(ISNUMBER(G2952)),NOT(ISNUMBER(H2952)),G2952=0),"",I2952/G2952)</f>
        <v/>
      </c>
      <c r="K2952">
        <f>IF(OR(NOT(ISNUMBER(G2952)),NOT(ISNUMBER(H2952)),G2952=0),"",H2952/G2952)</f>
        <v/>
      </c>
      <c r="L2952">
        <f>IF(NOT(ISNUMBER(G2952)),"SEM META",IF(G2952=0,"SEM META",IF(NOT(ISNUMBER(H2952)),"SEM APONTAMENTO",IF(H2952&gt;=G2952,"VERDE",IF(H2952&gt;=G2952*0.9,"AMARELO","VERMELHO")))))</f>
        <v/>
      </c>
    </row>
    <row r="2953">
      <c r="A2953" s="321" t="n">
        <v>46492</v>
      </c>
      <c r="B2953" t="inlineStr">
        <is>
          <t>GERAL</t>
        </is>
      </c>
      <c r="C2953" t="inlineStr">
        <is>
          <t>GLOBO AÇOS</t>
        </is>
      </c>
      <c r="D2953" t="inlineStr">
        <is>
          <t>FECHAMENTO</t>
        </is>
      </c>
      <c r="F2953">
        <f>IFERROR(INDEX('BASE METAS DIÁRIAS'!$AA$2:$AC$358,MATCH($A2953,'BASE METAS DIÁRIAS'!$A$2:$A$358,0),3),"")</f>
        <v/>
      </c>
      <c r="G2953">
        <f>IFERROR(IF(WEEKDAY($A2953,2)&lt;=INDEX('BASE METAS DIÁRIAS'!$X$2:$Z$358,MATCH($A2953,'BASE METAS DIÁRIAS'!$A$2:$A$358,0),3),INDEX('BASE METAS DIÁRIAS'!$U$2:$W$358,MATCH($A2953,'BASE METAS DIÁRIAS'!$A$2:$A$358,0),3),""),"")</f>
        <v/>
      </c>
      <c r="H2953">
        <f>IFERROR(IF(INDEX('CONTROLE PRODUÇÃO POR EMPRESAS'!$H$6:$J$5000,MATCH($A2953,'CONTROLE PRODUÇÃO POR EMPRESAS'!$A$6:$A$5000,0),3)="","",IFERROR(1*INDEX('CONTROLE PRODUÇÃO POR EMPRESAS'!$H$6:$J$5000,MATCH($A2953,'CONTROLE PRODUÇÃO POR EMPRESAS'!$A$6:$A$5000,0),3),"")),"")</f>
        <v/>
      </c>
      <c r="I2953">
        <f>IF(OR(NOT(ISNUMBER(G2953)),NOT(ISNUMBER(H2953))),"",H2953-G2953)</f>
        <v/>
      </c>
      <c r="J2953">
        <f>IF(OR(NOT(ISNUMBER(G2953)),NOT(ISNUMBER(H2953)),G2953=0),"",I2953/G2953)</f>
        <v/>
      </c>
      <c r="K2953">
        <f>IF(OR(NOT(ISNUMBER(G2953)),NOT(ISNUMBER(H2953)),G2953=0),"",H2953/G2953)</f>
        <v/>
      </c>
      <c r="L2953">
        <f>IF(NOT(ISNUMBER(G2953)),"SEM META",IF(G2953=0,"SEM META",IF(NOT(ISNUMBER(H2953)),"SEM APONTAMENTO",IF(H2953&gt;=G2953,"VERDE",IF(H2953&gt;=G2953*0.9,"AMARELO","VERMELHO")))))</f>
        <v/>
      </c>
    </row>
    <row r="2954">
      <c r="A2954" s="321" t="n">
        <v>46493</v>
      </c>
      <c r="B2954" t="inlineStr">
        <is>
          <t>GERAL</t>
        </is>
      </c>
      <c r="C2954" t="inlineStr">
        <is>
          <t>GLOBO AÇOS</t>
        </is>
      </c>
      <c r="D2954" t="inlineStr">
        <is>
          <t>PERFILAÇÃO</t>
        </is>
      </c>
      <c r="F2954">
        <f>IFERROR(INDEX('BASE METAS DIÁRIAS'!$AA$2:$AC$358,MATCH($A2954,'BASE METAS DIÁRIAS'!$A$2:$A$358,0),1),"")</f>
        <v/>
      </c>
      <c r="G2954">
        <f>IFERROR(IF(WEEKDAY($A2954,2)&lt;=INDEX('BASE METAS DIÁRIAS'!$X$2:$Z$358,MATCH($A2954,'BASE METAS DIÁRIAS'!$A$2:$A$358,0),1),INDEX('BASE METAS DIÁRIAS'!$U$2:$W$358,MATCH($A2954,'BASE METAS DIÁRIAS'!$A$2:$A$358,0),1),""),"")</f>
        <v/>
      </c>
      <c r="H2954">
        <f>IFERROR(IF(INDEX('CONTROLE PRODUÇÃO POR EMPRESAS'!$H$6:$J$5000,MATCH($A2954,'CONTROLE PRODUÇÃO POR EMPRESAS'!$A$6:$A$5000,0),1)="","",IFERROR(1*INDEX('CONTROLE PRODUÇÃO POR EMPRESAS'!$H$6:$J$5000,MATCH($A2954,'CONTROLE PRODUÇÃO POR EMPRESAS'!$A$6:$A$5000,0),1),"")),"")</f>
        <v/>
      </c>
      <c r="I2954">
        <f>IF(OR(NOT(ISNUMBER(G2954)),NOT(ISNUMBER(H2954))),"",H2954-G2954)</f>
        <v/>
      </c>
      <c r="J2954">
        <f>IF(OR(NOT(ISNUMBER(G2954)),NOT(ISNUMBER(H2954)),G2954=0),"",I2954/G2954)</f>
        <v/>
      </c>
      <c r="K2954">
        <f>IF(OR(NOT(ISNUMBER(G2954)),NOT(ISNUMBER(H2954)),G2954=0),"",H2954/G2954)</f>
        <v/>
      </c>
      <c r="L2954">
        <f>IF(NOT(ISNUMBER(G2954)),"SEM META",IF(G2954=0,"SEM META",IF(NOT(ISNUMBER(H2954)),"SEM APONTAMENTO",IF(H2954&gt;=G2954,"VERDE",IF(H2954&gt;=G2954*0.9,"AMARELO","VERMELHO")))))</f>
        <v/>
      </c>
    </row>
    <row r="2955">
      <c r="A2955" s="321" t="n">
        <v>46493</v>
      </c>
      <c r="B2955" t="inlineStr">
        <is>
          <t>GERAL</t>
        </is>
      </c>
      <c r="C2955" t="inlineStr">
        <is>
          <t>GLOBO AÇOS</t>
        </is>
      </c>
      <c r="D2955" t="inlineStr">
        <is>
          <t>TELHAR</t>
        </is>
      </c>
      <c r="F2955">
        <f>IFERROR(INDEX('BASE METAS DIÁRIAS'!$AA$2:$AC$358,MATCH($A2955,'BASE METAS DIÁRIAS'!$A$2:$A$358,0),2),"")</f>
        <v/>
      </c>
      <c r="G2955">
        <f>IFERROR(IF(WEEKDAY($A2955,2)&lt;=INDEX('BASE METAS DIÁRIAS'!$X$2:$Z$358,MATCH($A2955,'BASE METAS DIÁRIAS'!$A$2:$A$358,0),2),INDEX('BASE METAS DIÁRIAS'!$U$2:$W$358,MATCH($A2955,'BASE METAS DIÁRIAS'!$A$2:$A$358,0),2),""),"")</f>
        <v/>
      </c>
      <c r="H2955">
        <f>IFERROR(IF(INDEX('CONTROLE PRODUÇÃO POR EMPRESAS'!$H$6:$J$5000,MATCH($A2955,'CONTROLE PRODUÇÃO POR EMPRESAS'!$A$6:$A$5000,0),2)="","",IFERROR(1*INDEX('CONTROLE PRODUÇÃO POR EMPRESAS'!$H$6:$J$5000,MATCH($A2955,'CONTROLE PRODUÇÃO POR EMPRESAS'!$A$6:$A$5000,0),2),"")),"")</f>
        <v/>
      </c>
      <c r="I2955">
        <f>IF(OR(NOT(ISNUMBER(G2955)),NOT(ISNUMBER(H2955))),"",H2955-G2955)</f>
        <v/>
      </c>
      <c r="J2955">
        <f>IF(OR(NOT(ISNUMBER(G2955)),NOT(ISNUMBER(H2955)),G2955=0),"",I2955/G2955)</f>
        <v/>
      </c>
      <c r="K2955">
        <f>IF(OR(NOT(ISNUMBER(G2955)),NOT(ISNUMBER(H2955)),G2955=0),"",H2955/G2955)</f>
        <v/>
      </c>
      <c r="L2955">
        <f>IF(NOT(ISNUMBER(G2955)),"SEM META",IF(G2955=0,"SEM META",IF(NOT(ISNUMBER(H2955)),"SEM APONTAMENTO",IF(H2955&gt;=G2955,"VERDE",IF(H2955&gt;=G2955*0.9,"AMARELO","VERMELHO")))))</f>
        <v/>
      </c>
    </row>
    <row r="2956">
      <c r="A2956" s="321" t="n">
        <v>46493</v>
      </c>
      <c r="B2956" t="inlineStr">
        <is>
          <t>GERAL</t>
        </is>
      </c>
      <c r="C2956" t="inlineStr">
        <is>
          <t>GLOBO AÇOS</t>
        </is>
      </c>
      <c r="D2956" t="inlineStr">
        <is>
          <t>FECHAMENTO</t>
        </is>
      </c>
      <c r="F2956">
        <f>IFERROR(INDEX('BASE METAS DIÁRIAS'!$AA$2:$AC$358,MATCH($A2956,'BASE METAS DIÁRIAS'!$A$2:$A$358,0),3),"")</f>
        <v/>
      </c>
      <c r="G2956">
        <f>IFERROR(IF(WEEKDAY($A2956,2)&lt;=INDEX('BASE METAS DIÁRIAS'!$X$2:$Z$358,MATCH($A2956,'BASE METAS DIÁRIAS'!$A$2:$A$358,0),3),INDEX('BASE METAS DIÁRIAS'!$U$2:$W$358,MATCH($A2956,'BASE METAS DIÁRIAS'!$A$2:$A$358,0),3),""),"")</f>
        <v/>
      </c>
      <c r="H2956">
        <f>IFERROR(IF(INDEX('CONTROLE PRODUÇÃO POR EMPRESAS'!$H$6:$J$5000,MATCH($A2956,'CONTROLE PRODUÇÃO POR EMPRESAS'!$A$6:$A$5000,0),3)="","",IFERROR(1*INDEX('CONTROLE PRODUÇÃO POR EMPRESAS'!$H$6:$J$5000,MATCH($A2956,'CONTROLE PRODUÇÃO POR EMPRESAS'!$A$6:$A$5000,0),3),"")),"")</f>
        <v/>
      </c>
      <c r="I2956">
        <f>IF(OR(NOT(ISNUMBER(G2956)),NOT(ISNUMBER(H2956))),"",H2956-G2956)</f>
        <v/>
      </c>
      <c r="J2956">
        <f>IF(OR(NOT(ISNUMBER(G2956)),NOT(ISNUMBER(H2956)),G2956=0),"",I2956/G2956)</f>
        <v/>
      </c>
      <c r="K2956">
        <f>IF(OR(NOT(ISNUMBER(G2956)),NOT(ISNUMBER(H2956)),G2956=0),"",H2956/G2956)</f>
        <v/>
      </c>
      <c r="L2956">
        <f>IF(NOT(ISNUMBER(G2956)),"SEM META",IF(G2956=0,"SEM META",IF(NOT(ISNUMBER(H2956)),"SEM APONTAMENTO",IF(H2956&gt;=G2956,"VERDE",IF(H2956&gt;=G2956*0.9,"AMARELO","VERMELHO")))))</f>
        <v/>
      </c>
    </row>
    <row r="2957">
      <c r="A2957" s="321" t="n">
        <v>46494</v>
      </c>
      <c r="B2957" t="inlineStr">
        <is>
          <t>GERAL</t>
        </is>
      </c>
      <c r="C2957" t="inlineStr">
        <is>
          <t>GLOBO AÇOS</t>
        </is>
      </c>
      <c r="D2957" t="inlineStr">
        <is>
          <t>PERFILAÇÃO</t>
        </is>
      </c>
      <c r="F2957">
        <f>IFERROR(INDEX('BASE METAS DIÁRIAS'!$AA$2:$AC$358,MATCH($A2957,'BASE METAS DIÁRIAS'!$A$2:$A$358,0),1),"")</f>
        <v/>
      </c>
      <c r="G2957">
        <f>IFERROR(IF(WEEKDAY($A2957,2)&lt;=INDEX('BASE METAS DIÁRIAS'!$X$2:$Z$358,MATCH($A2957,'BASE METAS DIÁRIAS'!$A$2:$A$358,0),1),INDEX('BASE METAS DIÁRIAS'!$U$2:$W$358,MATCH($A2957,'BASE METAS DIÁRIAS'!$A$2:$A$358,0),1),""),"")</f>
        <v/>
      </c>
      <c r="H2957">
        <f>IFERROR(IF(INDEX('CONTROLE PRODUÇÃO POR EMPRESAS'!$H$6:$J$5000,MATCH($A2957,'CONTROLE PRODUÇÃO POR EMPRESAS'!$A$6:$A$5000,0),1)="","",IFERROR(1*INDEX('CONTROLE PRODUÇÃO POR EMPRESAS'!$H$6:$J$5000,MATCH($A2957,'CONTROLE PRODUÇÃO POR EMPRESAS'!$A$6:$A$5000,0),1),"")),"")</f>
        <v/>
      </c>
      <c r="I2957">
        <f>IF(OR(NOT(ISNUMBER(G2957)),NOT(ISNUMBER(H2957))),"",H2957-G2957)</f>
        <v/>
      </c>
      <c r="J2957">
        <f>IF(OR(NOT(ISNUMBER(G2957)),NOT(ISNUMBER(H2957)),G2957=0),"",I2957/G2957)</f>
        <v/>
      </c>
      <c r="K2957">
        <f>IF(OR(NOT(ISNUMBER(G2957)),NOT(ISNUMBER(H2957)),G2957=0),"",H2957/G2957)</f>
        <v/>
      </c>
      <c r="L2957">
        <f>IF(NOT(ISNUMBER(G2957)),"SEM META",IF(G2957=0,"SEM META",IF(NOT(ISNUMBER(H2957)),"SEM APONTAMENTO",IF(H2957&gt;=G2957,"VERDE",IF(H2957&gt;=G2957*0.9,"AMARELO","VERMELHO")))))</f>
        <v/>
      </c>
    </row>
    <row r="2958">
      <c r="A2958" s="321" t="n">
        <v>46494</v>
      </c>
      <c r="B2958" t="inlineStr">
        <is>
          <t>GERAL</t>
        </is>
      </c>
      <c r="C2958" t="inlineStr">
        <is>
          <t>GLOBO AÇOS</t>
        </is>
      </c>
      <c r="D2958" t="inlineStr">
        <is>
          <t>TELHAR</t>
        </is>
      </c>
      <c r="F2958">
        <f>IFERROR(INDEX('BASE METAS DIÁRIAS'!$AA$2:$AC$358,MATCH($A2958,'BASE METAS DIÁRIAS'!$A$2:$A$358,0),2),"")</f>
        <v/>
      </c>
      <c r="G2958">
        <f>IFERROR(IF(WEEKDAY($A2958,2)&lt;=INDEX('BASE METAS DIÁRIAS'!$X$2:$Z$358,MATCH($A2958,'BASE METAS DIÁRIAS'!$A$2:$A$358,0),2),INDEX('BASE METAS DIÁRIAS'!$U$2:$W$358,MATCH($A2958,'BASE METAS DIÁRIAS'!$A$2:$A$358,0),2),""),"")</f>
        <v/>
      </c>
      <c r="H2958">
        <f>IFERROR(IF(INDEX('CONTROLE PRODUÇÃO POR EMPRESAS'!$H$6:$J$5000,MATCH($A2958,'CONTROLE PRODUÇÃO POR EMPRESAS'!$A$6:$A$5000,0),2)="","",IFERROR(1*INDEX('CONTROLE PRODUÇÃO POR EMPRESAS'!$H$6:$J$5000,MATCH($A2958,'CONTROLE PRODUÇÃO POR EMPRESAS'!$A$6:$A$5000,0),2),"")),"")</f>
        <v/>
      </c>
      <c r="I2958">
        <f>IF(OR(NOT(ISNUMBER(G2958)),NOT(ISNUMBER(H2958))),"",H2958-G2958)</f>
        <v/>
      </c>
      <c r="J2958">
        <f>IF(OR(NOT(ISNUMBER(G2958)),NOT(ISNUMBER(H2958)),G2958=0),"",I2958/G2958)</f>
        <v/>
      </c>
      <c r="K2958">
        <f>IF(OR(NOT(ISNUMBER(G2958)),NOT(ISNUMBER(H2958)),G2958=0),"",H2958/G2958)</f>
        <v/>
      </c>
      <c r="L2958">
        <f>IF(NOT(ISNUMBER(G2958)),"SEM META",IF(G2958=0,"SEM META",IF(NOT(ISNUMBER(H2958)),"SEM APONTAMENTO",IF(H2958&gt;=G2958,"VERDE",IF(H2958&gt;=G2958*0.9,"AMARELO","VERMELHO")))))</f>
        <v/>
      </c>
    </row>
    <row r="2959">
      <c r="A2959" s="321" t="n">
        <v>46494</v>
      </c>
      <c r="B2959" t="inlineStr">
        <is>
          <t>GERAL</t>
        </is>
      </c>
      <c r="C2959" t="inlineStr">
        <is>
          <t>GLOBO AÇOS</t>
        </is>
      </c>
      <c r="D2959" t="inlineStr">
        <is>
          <t>FECHAMENTO</t>
        </is>
      </c>
      <c r="F2959">
        <f>IFERROR(INDEX('BASE METAS DIÁRIAS'!$AA$2:$AC$358,MATCH($A2959,'BASE METAS DIÁRIAS'!$A$2:$A$358,0),3),"")</f>
        <v/>
      </c>
      <c r="G2959">
        <f>IFERROR(IF(WEEKDAY($A2959,2)&lt;=INDEX('BASE METAS DIÁRIAS'!$X$2:$Z$358,MATCH($A2959,'BASE METAS DIÁRIAS'!$A$2:$A$358,0),3),INDEX('BASE METAS DIÁRIAS'!$U$2:$W$358,MATCH($A2959,'BASE METAS DIÁRIAS'!$A$2:$A$358,0),3),""),"")</f>
        <v/>
      </c>
      <c r="H2959">
        <f>IFERROR(IF(INDEX('CONTROLE PRODUÇÃO POR EMPRESAS'!$H$6:$J$5000,MATCH($A2959,'CONTROLE PRODUÇÃO POR EMPRESAS'!$A$6:$A$5000,0),3)="","",IFERROR(1*INDEX('CONTROLE PRODUÇÃO POR EMPRESAS'!$H$6:$J$5000,MATCH($A2959,'CONTROLE PRODUÇÃO POR EMPRESAS'!$A$6:$A$5000,0),3),"")),"")</f>
        <v/>
      </c>
      <c r="I2959">
        <f>IF(OR(NOT(ISNUMBER(G2959)),NOT(ISNUMBER(H2959))),"",H2959-G2959)</f>
        <v/>
      </c>
      <c r="J2959">
        <f>IF(OR(NOT(ISNUMBER(G2959)),NOT(ISNUMBER(H2959)),G2959=0),"",I2959/G2959)</f>
        <v/>
      </c>
      <c r="K2959">
        <f>IF(OR(NOT(ISNUMBER(G2959)),NOT(ISNUMBER(H2959)),G2959=0),"",H2959/G2959)</f>
        <v/>
      </c>
      <c r="L2959">
        <f>IF(NOT(ISNUMBER(G2959)),"SEM META",IF(G2959=0,"SEM META",IF(NOT(ISNUMBER(H2959)),"SEM APONTAMENTO",IF(H2959&gt;=G2959,"VERDE",IF(H2959&gt;=G2959*0.9,"AMARELO","VERMELHO")))))</f>
        <v/>
      </c>
    </row>
    <row r="2960">
      <c r="A2960" s="321" t="n">
        <v>46495</v>
      </c>
      <c r="B2960" t="inlineStr">
        <is>
          <t>GERAL</t>
        </is>
      </c>
      <c r="C2960" t="inlineStr">
        <is>
          <t>GLOBO AÇOS</t>
        </is>
      </c>
      <c r="D2960" t="inlineStr">
        <is>
          <t>PERFILAÇÃO</t>
        </is>
      </c>
      <c r="F2960">
        <f>IFERROR(INDEX('BASE METAS DIÁRIAS'!$AA$2:$AC$358,MATCH($A2960,'BASE METAS DIÁRIAS'!$A$2:$A$358,0),1),"")</f>
        <v/>
      </c>
      <c r="G2960">
        <f>IFERROR(IF(WEEKDAY($A2960,2)&lt;=INDEX('BASE METAS DIÁRIAS'!$X$2:$Z$358,MATCH($A2960,'BASE METAS DIÁRIAS'!$A$2:$A$358,0),1),INDEX('BASE METAS DIÁRIAS'!$U$2:$W$358,MATCH($A2960,'BASE METAS DIÁRIAS'!$A$2:$A$358,0),1),""),"")</f>
        <v/>
      </c>
      <c r="H2960">
        <f>IFERROR(IF(INDEX('CONTROLE PRODUÇÃO POR EMPRESAS'!$H$6:$J$5000,MATCH($A2960,'CONTROLE PRODUÇÃO POR EMPRESAS'!$A$6:$A$5000,0),1)="","",IFERROR(1*INDEX('CONTROLE PRODUÇÃO POR EMPRESAS'!$H$6:$J$5000,MATCH($A2960,'CONTROLE PRODUÇÃO POR EMPRESAS'!$A$6:$A$5000,0),1),"")),"")</f>
        <v/>
      </c>
      <c r="I2960">
        <f>IF(OR(NOT(ISNUMBER(G2960)),NOT(ISNUMBER(H2960))),"",H2960-G2960)</f>
        <v/>
      </c>
      <c r="J2960">
        <f>IF(OR(NOT(ISNUMBER(G2960)),NOT(ISNUMBER(H2960)),G2960=0),"",I2960/G2960)</f>
        <v/>
      </c>
      <c r="K2960">
        <f>IF(OR(NOT(ISNUMBER(G2960)),NOT(ISNUMBER(H2960)),G2960=0),"",H2960/G2960)</f>
        <v/>
      </c>
      <c r="L2960">
        <f>IF(NOT(ISNUMBER(G2960)),"SEM META",IF(G2960=0,"SEM META",IF(NOT(ISNUMBER(H2960)),"SEM APONTAMENTO",IF(H2960&gt;=G2960,"VERDE",IF(H2960&gt;=G2960*0.9,"AMARELO","VERMELHO")))))</f>
        <v/>
      </c>
    </row>
    <row r="2961">
      <c r="A2961" s="321" t="n">
        <v>46495</v>
      </c>
      <c r="B2961" t="inlineStr">
        <is>
          <t>GERAL</t>
        </is>
      </c>
      <c r="C2961" t="inlineStr">
        <is>
          <t>GLOBO AÇOS</t>
        </is>
      </c>
      <c r="D2961" t="inlineStr">
        <is>
          <t>TELHAR</t>
        </is>
      </c>
      <c r="F2961">
        <f>IFERROR(INDEX('BASE METAS DIÁRIAS'!$AA$2:$AC$358,MATCH($A2961,'BASE METAS DIÁRIAS'!$A$2:$A$358,0),2),"")</f>
        <v/>
      </c>
      <c r="G2961">
        <f>IFERROR(IF(WEEKDAY($A2961,2)&lt;=INDEX('BASE METAS DIÁRIAS'!$X$2:$Z$358,MATCH($A2961,'BASE METAS DIÁRIAS'!$A$2:$A$358,0),2),INDEX('BASE METAS DIÁRIAS'!$U$2:$W$358,MATCH($A2961,'BASE METAS DIÁRIAS'!$A$2:$A$358,0),2),""),"")</f>
        <v/>
      </c>
      <c r="H2961">
        <f>IFERROR(IF(INDEX('CONTROLE PRODUÇÃO POR EMPRESAS'!$H$6:$J$5000,MATCH($A2961,'CONTROLE PRODUÇÃO POR EMPRESAS'!$A$6:$A$5000,0),2)="","",IFERROR(1*INDEX('CONTROLE PRODUÇÃO POR EMPRESAS'!$H$6:$J$5000,MATCH($A2961,'CONTROLE PRODUÇÃO POR EMPRESAS'!$A$6:$A$5000,0),2),"")),"")</f>
        <v/>
      </c>
      <c r="I2961">
        <f>IF(OR(NOT(ISNUMBER(G2961)),NOT(ISNUMBER(H2961))),"",H2961-G2961)</f>
        <v/>
      </c>
      <c r="J2961">
        <f>IF(OR(NOT(ISNUMBER(G2961)),NOT(ISNUMBER(H2961)),G2961=0),"",I2961/G2961)</f>
        <v/>
      </c>
      <c r="K2961">
        <f>IF(OR(NOT(ISNUMBER(G2961)),NOT(ISNUMBER(H2961)),G2961=0),"",H2961/G2961)</f>
        <v/>
      </c>
      <c r="L2961">
        <f>IF(NOT(ISNUMBER(G2961)),"SEM META",IF(G2961=0,"SEM META",IF(NOT(ISNUMBER(H2961)),"SEM APONTAMENTO",IF(H2961&gt;=G2961,"VERDE",IF(H2961&gt;=G2961*0.9,"AMARELO","VERMELHO")))))</f>
        <v/>
      </c>
    </row>
    <row r="2962">
      <c r="A2962" s="321" t="n">
        <v>46495</v>
      </c>
      <c r="B2962" t="inlineStr">
        <is>
          <t>GERAL</t>
        </is>
      </c>
      <c r="C2962" t="inlineStr">
        <is>
          <t>GLOBO AÇOS</t>
        </is>
      </c>
      <c r="D2962" t="inlineStr">
        <is>
          <t>FECHAMENTO</t>
        </is>
      </c>
      <c r="F2962">
        <f>IFERROR(INDEX('BASE METAS DIÁRIAS'!$AA$2:$AC$358,MATCH($A2962,'BASE METAS DIÁRIAS'!$A$2:$A$358,0),3),"")</f>
        <v/>
      </c>
      <c r="G2962">
        <f>IFERROR(IF(WEEKDAY($A2962,2)&lt;=INDEX('BASE METAS DIÁRIAS'!$X$2:$Z$358,MATCH($A2962,'BASE METAS DIÁRIAS'!$A$2:$A$358,0),3),INDEX('BASE METAS DIÁRIAS'!$U$2:$W$358,MATCH($A2962,'BASE METAS DIÁRIAS'!$A$2:$A$358,0),3),""),"")</f>
        <v/>
      </c>
      <c r="H2962">
        <f>IFERROR(IF(INDEX('CONTROLE PRODUÇÃO POR EMPRESAS'!$H$6:$J$5000,MATCH($A2962,'CONTROLE PRODUÇÃO POR EMPRESAS'!$A$6:$A$5000,0),3)="","",IFERROR(1*INDEX('CONTROLE PRODUÇÃO POR EMPRESAS'!$H$6:$J$5000,MATCH($A2962,'CONTROLE PRODUÇÃO POR EMPRESAS'!$A$6:$A$5000,0),3),"")),"")</f>
        <v/>
      </c>
      <c r="I2962">
        <f>IF(OR(NOT(ISNUMBER(G2962)),NOT(ISNUMBER(H2962))),"",H2962-G2962)</f>
        <v/>
      </c>
      <c r="J2962">
        <f>IF(OR(NOT(ISNUMBER(G2962)),NOT(ISNUMBER(H2962)),G2962=0),"",I2962/G2962)</f>
        <v/>
      </c>
      <c r="K2962">
        <f>IF(OR(NOT(ISNUMBER(G2962)),NOT(ISNUMBER(H2962)),G2962=0),"",H2962/G2962)</f>
        <v/>
      </c>
      <c r="L2962">
        <f>IF(NOT(ISNUMBER(G2962)),"SEM META",IF(G2962=0,"SEM META",IF(NOT(ISNUMBER(H2962)),"SEM APONTAMENTO",IF(H2962&gt;=G2962,"VERDE",IF(H2962&gt;=G2962*0.9,"AMARELO","VERMELHO")))))</f>
        <v/>
      </c>
    </row>
    <row r="2963">
      <c r="A2963" s="321" t="n">
        <v>46496</v>
      </c>
      <c r="B2963" t="inlineStr">
        <is>
          <t>GERAL</t>
        </is>
      </c>
      <c r="C2963" t="inlineStr">
        <is>
          <t>GLOBO AÇOS</t>
        </is>
      </c>
      <c r="D2963" t="inlineStr">
        <is>
          <t>PERFILAÇÃO</t>
        </is>
      </c>
      <c r="F2963">
        <f>IFERROR(INDEX('BASE METAS DIÁRIAS'!$AA$2:$AC$358,MATCH($A2963,'BASE METAS DIÁRIAS'!$A$2:$A$358,0),1),"")</f>
        <v/>
      </c>
      <c r="G2963">
        <f>IFERROR(IF(WEEKDAY($A2963,2)&lt;=INDEX('BASE METAS DIÁRIAS'!$X$2:$Z$358,MATCH($A2963,'BASE METAS DIÁRIAS'!$A$2:$A$358,0),1),INDEX('BASE METAS DIÁRIAS'!$U$2:$W$358,MATCH($A2963,'BASE METAS DIÁRIAS'!$A$2:$A$358,0),1),""),"")</f>
        <v/>
      </c>
      <c r="H2963">
        <f>IFERROR(IF(INDEX('CONTROLE PRODUÇÃO POR EMPRESAS'!$H$6:$J$5000,MATCH($A2963,'CONTROLE PRODUÇÃO POR EMPRESAS'!$A$6:$A$5000,0),1)="","",IFERROR(1*INDEX('CONTROLE PRODUÇÃO POR EMPRESAS'!$H$6:$J$5000,MATCH($A2963,'CONTROLE PRODUÇÃO POR EMPRESAS'!$A$6:$A$5000,0),1),"")),"")</f>
        <v/>
      </c>
      <c r="I2963">
        <f>IF(OR(NOT(ISNUMBER(G2963)),NOT(ISNUMBER(H2963))),"",H2963-G2963)</f>
        <v/>
      </c>
      <c r="J2963">
        <f>IF(OR(NOT(ISNUMBER(G2963)),NOT(ISNUMBER(H2963)),G2963=0),"",I2963/G2963)</f>
        <v/>
      </c>
      <c r="K2963">
        <f>IF(OR(NOT(ISNUMBER(G2963)),NOT(ISNUMBER(H2963)),G2963=0),"",H2963/G2963)</f>
        <v/>
      </c>
      <c r="L2963">
        <f>IF(NOT(ISNUMBER(G2963)),"SEM META",IF(G2963=0,"SEM META",IF(NOT(ISNUMBER(H2963)),"SEM APONTAMENTO",IF(H2963&gt;=G2963,"VERDE",IF(H2963&gt;=G2963*0.9,"AMARELO","VERMELHO")))))</f>
        <v/>
      </c>
    </row>
    <row r="2964">
      <c r="A2964" s="321" t="n">
        <v>46496</v>
      </c>
      <c r="B2964" t="inlineStr">
        <is>
          <t>GERAL</t>
        </is>
      </c>
      <c r="C2964" t="inlineStr">
        <is>
          <t>GLOBO AÇOS</t>
        </is>
      </c>
      <c r="D2964" t="inlineStr">
        <is>
          <t>TELHAR</t>
        </is>
      </c>
      <c r="F2964">
        <f>IFERROR(INDEX('BASE METAS DIÁRIAS'!$AA$2:$AC$358,MATCH($A2964,'BASE METAS DIÁRIAS'!$A$2:$A$358,0),2),"")</f>
        <v/>
      </c>
      <c r="G2964">
        <f>IFERROR(IF(WEEKDAY($A2964,2)&lt;=INDEX('BASE METAS DIÁRIAS'!$X$2:$Z$358,MATCH($A2964,'BASE METAS DIÁRIAS'!$A$2:$A$358,0),2),INDEX('BASE METAS DIÁRIAS'!$U$2:$W$358,MATCH($A2964,'BASE METAS DIÁRIAS'!$A$2:$A$358,0),2),""),"")</f>
        <v/>
      </c>
      <c r="H2964">
        <f>IFERROR(IF(INDEX('CONTROLE PRODUÇÃO POR EMPRESAS'!$H$6:$J$5000,MATCH($A2964,'CONTROLE PRODUÇÃO POR EMPRESAS'!$A$6:$A$5000,0),2)="","",IFERROR(1*INDEX('CONTROLE PRODUÇÃO POR EMPRESAS'!$H$6:$J$5000,MATCH($A2964,'CONTROLE PRODUÇÃO POR EMPRESAS'!$A$6:$A$5000,0),2),"")),"")</f>
        <v/>
      </c>
      <c r="I2964">
        <f>IF(OR(NOT(ISNUMBER(G2964)),NOT(ISNUMBER(H2964))),"",H2964-G2964)</f>
        <v/>
      </c>
      <c r="J2964">
        <f>IF(OR(NOT(ISNUMBER(G2964)),NOT(ISNUMBER(H2964)),G2964=0),"",I2964/G2964)</f>
        <v/>
      </c>
      <c r="K2964">
        <f>IF(OR(NOT(ISNUMBER(G2964)),NOT(ISNUMBER(H2964)),G2964=0),"",H2964/G2964)</f>
        <v/>
      </c>
      <c r="L2964">
        <f>IF(NOT(ISNUMBER(G2964)),"SEM META",IF(G2964=0,"SEM META",IF(NOT(ISNUMBER(H2964)),"SEM APONTAMENTO",IF(H2964&gt;=G2964,"VERDE",IF(H2964&gt;=G2964*0.9,"AMARELO","VERMELHO")))))</f>
        <v/>
      </c>
    </row>
    <row r="2965">
      <c r="A2965" s="321" t="n">
        <v>46496</v>
      </c>
      <c r="B2965" t="inlineStr">
        <is>
          <t>GERAL</t>
        </is>
      </c>
      <c r="C2965" t="inlineStr">
        <is>
          <t>GLOBO AÇOS</t>
        </is>
      </c>
      <c r="D2965" t="inlineStr">
        <is>
          <t>FECHAMENTO</t>
        </is>
      </c>
      <c r="F2965">
        <f>IFERROR(INDEX('BASE METAS DIÁRIAS'!$AA$2:$AC$358,MATCH($A2965,'BASE METAS DIÁRIAS'!$A$2:$A$358,0),3),"")</f>
        <v/>
      </c>
      <c r="G2965">
        <f>IFERROR(IF(WEEKDAY($A2965,2)&lt;=INDEX('BASE METAS DIÁRIAS'!$X$2:$Z$358,MATCH($A2965,'BASE METAS DIÁRIAS'!$A$2:$A$358,0),3),INDEX('BASE METAS DIÁRIAS'!$U$2:$W$358,MATCH($A2965,'BASE METAS DIÁRIAS'!$A$2:$A$358,0),3),""),"")</f>
        <v/>
      </c>
      <c r="H2965">
        <f>IFERROR(IF(INDEX('CONTROLE PRODUÇÃO POR EMPRESAS'!$H$6:$J$5000,MATCH($A2965,'CONTROLE PRODUÇÃO POR EMPRESAS'!$A$6:$A$5000,0),3)="","",IFERROR(1*INDEX('CONTROLE PRODUÇÃO POR EMPRESAS'!$H$6:$J$5000,MATCH($A2965,'CONTROLE PRODUÇÃO POR EMPRESAS'!$A$6:$A$5000,0),3),"")),"")</f>
        <v/>
      </c>
      <c r="I2965">
        <f>IF(OR(NOT(ISNUMBER(G2965)),NOT(ISNUMBER(H2965))),"",H2965-G2965)</f>
        <v/>
      </c>
      <c r="J2965">
        <f>IF(OR(NOT(ISNUMBER(G2965)),NOT(ISNUMBER(H2965)),G2965=0),"",I2965/G2965)</f>
        <v/>
      </c>
      <c r="K2965">
        <f>IF(OR(NOT(ISNUMBER(G2965)),NOT(ISNUMBER(H2965)),G2965=0),"",H2965/G2965)</f>
        <v/>
      </c>
      <c r="L2965">
        <f>IF(NOT(ISNUMBER(G2965)),"SEM META",IF(G2965=0,"SEM META",IF(NOT(ISNUMBER(H2965)),"SEM APONTAMENTO",IF(H2965&gt;=G2965,"VERDE",IF(H2965&gt;=G2965*0.9,"AMARELO","VERMELHO")))))</f>
        <v/>
      </c>
    </row>
    <row r="2966">
      <c r="A2966" s="321" t="n">
        <v>46497</v>
      </c>
      <c r="B2966" t="inlineStr">
        <is>
          <t>GERAL</t>
        </is>
      </c>
      <c r="C2966" t="inlineStr">
        <is>
          <t>GLOBO AÇOS</t>
        </is>
      </c>
      <c r="D2966" t="inlineStr">
        <is>
          <t>PERFILAÇÃO</t>
        </is>
      </c>
      <c r="F2966">
        <f>IFERROR(INDEX('BASE METAS DIÁRIAS'!$AA$2:$AC$358,MATCH($A2966,'BASE METAS DIÁRIAS'!$A$2:$A$358,0),1),"")</f>
        <v/>
      </c>
      <c r="G2966">
        <f>IFERROR(IF(WEEKDAY($A2966,2)&lt;=INDEX('BASE METAS DIÁRIAS'!$X$2:$Z$358,MATCH($A2966,'BASE METAS DIÁRIAS'!$A$2:$A$358,0),1),INDEX('BASE METAS DIÁRIAS'!$U$2:$W$358,MATCH($A2966,'BASE METAS DIÁRIAS'!$A$2:$A$358,0),1),""),"")</f>
        <v/>
      </c>
      <c r="H2966">
        <f>IFERROR(IF(INDEX('CONTROLE PRODUÇÃO POR EMPRESAS'!$H$6:$J$5000,MATCH($A2966,'CONTROLE PRODUÇÃO POR EMPRESAS'!$A$6:$A$5000,0),1)="","",IFERROR(1*INDEX('CONTROLE PRODUÇÃO POR EMPRESAS'!$H$6:$J$5000,MATCH($A2966,'CONTROLE PRODUÇÃO POR EMPRESAS'!$A$6:$A$5000,0),1),"")),"")</f>
        <v/>
      </c>
      <c r="I2966">
        <f>IF(OR(NOT(ISNUMBER(G2966)),NOT(ISNUMBER(H2966))),"",H2966-G2966)</f>
        <v/>
      </c>
      <c r="J2966">
        <f>IF(OR(NOT(ISNUMBER(G2966)),NOT(ISNUMBER(H2966)),G2966=0),"",I2966/G2966)</f>
        <v/>
      </c>
      <c r="K2966">
        <f>IF(OR(NOT(ISNUMBER(G2966)),NOT(ISNUMBER(H2966)),G2966=0),"",H2966/G2966)</f>
        <v/>
      </c>
      <c r="L2966">
        <f>IF(NOT(ISNUMBER(G2966)),"SEM META",IF(G2966=0,"SEM META",IF(NOT(ISNUMBER(H2966)),"SEM APONTAMENTO",IF(H2966&gt;=G2966,"VERDE",IF(H2966&gt;=G2966*0.9,"AMARELO","VERMELHO")))))</f>
        <v/>
      </c>
    </row>
    <row r="2967">
      <c r="A2967" s="321" t="n">
        <v>46497</v>
      </c>
      <c r="B2967" t="inlineStr">
        <is>
          <t>GERAL</t>
        </is>
      </c>
      <c r="C2967" t="inlineStr">
        <is>
          <t>GLOBO AÇOS</t>
        </is>
      </c>
      <c r="D2967" t="inlineStr">
        <is>
          <t>TELHAR</t>
        </is>
      </c>
      <c r="F2967">
        <f>IFERROR(INDEX('BASE METAS DIÁRIAS'!$AA$2:$AC$358,MATCH($A2967,'BASE METAS DIÁRIAS'!$A$2:$A$358,0),2),"")</f>
        <v/>
      </c>
      <c r="G2967">
        <f>IFERROR(IF(WEEKDAY($A2967,2)&lt;=INDEX('BASE METAS DIÁRIAS'!$X$2:$Z$358,MATCH($A2967,'BASE METAS DIÁRIAS'!$A$2:$A$358,0),2),INDEX('BASE METAS DIÁRIAS'!$U$2:$W$358,MATCH($A2967,'BASE METAS DIÁRIAS'!$A$2:$A$358,0),2),""),"")</f>
        <v/>
      </c>
      <c r="H2967">
        <f>IFERROR(IF(INDEX('CONTROLE PRODUÇÃO POR EMPRESAS'!$H$6:$J$5000,MATCH($A2967,'CONTROLE PRODUÇÃO POR EMPRESAS'!$A$6:$A$5000,0),2)="","",IFERROR(1*INDEX('CONTROLE PRODUÇÃO POR EMPRESAS'!$H$6:$J$5000,MATCH($A2967,'CONTROLE PRODUÇÃO POR EMPRESAS'!$A$6:$A$5000,0),2),"")),"")</f>
        <v/>
      </c>
      <c r="I2967">
        <f>IF(OR(NOT(ISNUMBER(G2967)),NOT(ISNUMBER(H2967))),"",H2967-G2967)</f>
        <v/>
      </c>
      <c r="J2967">
        <f>IF(OR(NOT(ISNUMBER(G2967)),NOT(ISNUMBER(H2967)),G2967=0),"",I2967/G2967)</f>
        <v/>
      </c>
      <c r="K2967">
        <f>IF(OR(NOT(ISNUMBER(G2967)),NOT(ISNUMBER(H2967)),G2967=0),"",H2967/G2967)</f>
        <v/>
      </c>
      <c r="L2967">
        <f>IF(NOT(ISNUMBER(G2967)),"SEM META",IF(G2967=0,"SEM META",IF(NOT(ISNUMBER(H2967)),"SEM APONTAMENTO",IF(H2967&gt;=G2967,"VERDE",IF(H2967&gt;=G2967*0.9,"AMARELO","VERMELHO")))))</f>
        <v/>
      </c>
    </row>
    <row r="2968">
      <c r="A2968" s="321" t="n">
        <v>46497</v>
      </c>
      <c r="B2968" t="inlineStr">
        <is>
          <t>GERAL</t>
        </is>
      </c>
      <c r="C2968" t="inlineStr">
        <is>
          <t>GLOBO AÇOS</t>
        </is>
      </c>
      <c r="D2968" t="inlineStr">
        <is>
          <t>FECHAMENTO</t>
        </is>
      </c>
      <c r="F2968">
        <f>IFERROR(INDEX('BASE METAS DIÁRIAS'!$AA$2:$AC$358,MATCH($A2968,'BASE METAS DIÁRIAS'!$A$2:$A$358,0),3),"")</f>
        <v/>
      </c>
      <c r="G2968">
        <f>IFERROR(IF(WEEKDAY($A2968,2)&lt;=INDEX('BASE METAS DIÁRIAS'!$X$2:$Z$358,MATCH($A2968,'BASE METAS DIÁRIAS'!$A$2:$A$358,0),3),INDEX('BASE METAS DIÁRIAS'!$U$2:$W$358,MATCH($A2968,'BASE METAS DIÁRIAS'!$A$2:$A$358,0),3),""),"")</f>
        <v/>
      </c>
      <c r="H2968">
        <f>IFERROR(IF(INDEX('CONTROLE PRODUÇÃO POR EMPRESAS'!$H$6:$J$5000,MATCH($A2968,'CONTROLE PRODUÇÃO POR EMPRESAS'!$A$6:$A$5000,0),3)="","",IFERROR(1*INDEX('CONTROLE PRODUÇÃO POR EMPRESAS'!$H$6:$J$5000,MATCH($A2968,'CONTROLE PRODUÇÃO POR EMPRESAS'!$A$6:$A$5000,0),3),"")),"")</f>
        <v/>
      </c>
      <c r="I2968">
        <f>IF(OR(NOT(ISNUMBER(G2968)),NOT(ISNUMBER(H2968))),"",H2968-G2968)</f>
        <v/>
      </c>
      <c r="J2968">
        <f>IF(OR(NOT(ISNUMBER(G2968)),NOT(ISNUMBER(H2968)),G2968=0),"",I2968/G2968)</f>
        <v/>
      </c>
      <c r="K2968">
        <f>IF(OR(NOT(ISNUMBER(G2968)),NOT(ISNUMBER(H2968)),G2968=0),"",H2968/G2968)</f>
        <v/>
      </c>
      <c r="L2968">
        <f>IF(NOT(ISNUMBER(G2968)),"SEM META",IF(G2968=0,"SEM META",IF(NOT(ISNUMBER(H2968)),"SEM APONTAMENTO",IF(H2968&gt;=G2968,"VERDE",IF(H2968&gt;=G2968*0.9,"AMARELO","VERMELHO")))))</f>
        <v/>
      </c>
    </row>
    <row r="2969">
      <c r="A2969" s="321" t="n">
        <v>46498</v>
      </c>
      <c r="B2969" t="inlineStr">
        <is>
          <t>GERAL</t>
        </is>
      </c>
      <c r="C2969" t="inlineStr">
        <is>
          <t>GLOBO AÇOS</t>
        </is>
      </c>
      <c r="D2969" t="inlineStr">
        <is>
          <t>PERFILAÇÃO</t>
        </is>
      </c>
      <c r="F2969">
        <f>IFERROR(INDEX('BASE METAS DIÁRIAS'!$AA$2:$AC$358,MATCH($A2969,'BASE METAS DIÁRIAS'!$A$2:$A$358,0),1),"")</f>
        <v/>
      </c>
      <c r="G2969">
        <f>IFERROR(IF(WEEKDAY($A2969,2)&lt;=INDEX('BASE METAS DIÁRIAS'!$X$2:$Z$358,MATCH($A2969,'BASE METAS DIÁRIAS'!$A$2:$A$358,0),1),INDEX('BASE METAS DIÁRIAS'!$U$2:$W$358,MATCH($A2969,'BASE METAS DIÁRIAS'!$A$2:$A$358,0),1),""),"")</f>
        <v/>
      </c>
      <c r="H2969">
        <f>IFERROR(IF(INDEX('CONTROLE PRODUÇÃO POR EMPRESAS'!$H$6:$J$5000,MATCH($A2969,'CONTROLE PRODUÇÃO POR EMPRESAS'!$A$6:$A$5000,0),1)="","",IFERROR(1*INDEX('CONTROLE PRODUÇÃO POR EMPRESAS'!$H$6:$J$5000,MATCH($A2969,'CONTROLE PRODUÇÃO POR EMPRESAS'!$A$6:$A$5000,0),1),"")),"")</f>
        <v/>
      </c>
      <c r="I2969">
        <f>IF(OR(NOT(ISNUMBER(G2969)),NOT(ISNUMBER(H2969))),"",H2969-G2969)</f>
        <v/>
      </c>
      <c r="J2969">
        <f>IF(OR(NOT(ISNUMBER(G2969)),NOT(ISNUMBER(H2969)),G2969=0),"",I2969/G2969)</f>
        <v/>
      </c>
      <c r="K2969">
        <f>IF(OR(NOT(ISNUMBER(G2969)),NOT(ISNUMBER(H2969)),G2969=0),"",H2969/G2969)</f>
        <v/>
      </c>
      <c r="L2969">
        <f>IF(NOT(ISNUMBER(G2969)),"SEM META",IF(G2969=0,"SEM META",IF(NOT(ISNUMBER(H2969)),"SEM APONTAMENTO",IF(H2969&gt;=G2969,"VERDE",IF(H2969&gt;=G2969*0.9,"AMARELO","VERMELHO")))))</f>
        <v/>
      </c>
    </row>
    <row r="2970">
      <c r="A2970" s="321" t="n">
        <v>46498</v>
      </c>
      <c r="B2970" t="inlineStr">
        <is>
          <t>GERAL</t>
        </is>
      </c>
      <c r="C2970" t="inlineStr">
        <is>
          <t>GLOBO AÇOS</t>
        </is>
      </c>
      <c r="D2970" t="inlineStr">
        <is>
          <t>TELHAR</t>
        </is>
      </c>
      <c r="F2970">
        <f>IFERROR(INDEX('BASE METAS DIÁRIAS'!$AA$2:$AC$358,MATCH($A2970,'BASE METAS DIÁRIAS'!$A$2:$A$358,0),2),"")</f>
        <v/>
      </c>
      <c r="G2970">
        <f>IFERROR(IF(WEEKDAY($A2970,2)&lt;=INDEX('BASE METAS DIÁRIAS'!$X$2:$Z$358,MATCH($A2970,'BASE METAS DIÁRIAS'!$A$2:$A$358,0),2),INDEX('BASE METAS DIÁRIAS'!$U$2:$W$358,MATCH($A2970,'BASE METAS DIÁRIAS'!$A$2:$A$358,0),2),""),"")</f>
        <v/>
      </c>
      <c r="H2970">
        <f>IFERROR(IF(INDEX('CONTROLE PRODUÇÃO POR EMPRESAS'!$H$6:$J$5000,MATCH($A2970,'CONTROLE PRODUÇÃO POR EMPRESAS'!$A$6:$A$5000,0),2)="","",IFERROR(1*INDEX('CONTROLE PRODUÇÃO POR EMPRESAS'!$H$6:$J$5000,MATCH($A2970,'CONTROLE PRODUÇÃO POR EMPRESAS'!$A$6:$A$5000,0),2),"")),"")</f>
        <v/>
      </c>
      <c r="I2970">
        <f>IF(OR(NOT(ISNUMBER(G2970)),NOT(ISNUMBER(H2970))),"",H2970-G2970)</f>
        <v/>
      </c>
      <c r="J2970">
        <f>IF(OR(NOT(ISNUMBER(G2970)),NOT(ISNUMBER(H2970)),G2970=0),"",I2970/G2970)</f>
        <v/>
      </c>
      <c r="K2970">
        <f>IF(OR(NOT(ISNUMBER(G2970)),NOT(ISNUMBER(H2970)),G2970=0),"",H2970/G2970)</f>
        <v/>
      </c>
      <c r="L2970">
        <f>IF(NOT(ISNUMBER(G2970)),"SEM META",IF(G2970=0,"SEM META",IF(NOT(ISNUMBER(H2970)),"SEM APONTAMENTO",IF(H2970&gt;=G2970,"VERDE",IF(H2970&gt;=G2970*0.9,"AMARELO","VERMELHO")))))</f>
        <v/>
      </c>
    </row>
    <row r="2971">
      <c r="A2971" s="321" t="n">
        <v>46498</v>
      </c>
      <c r="B2971" t="inlineStr">
        <is>
          <t>GERAL</t>
        </is>
      </c>
      <c r="C2971" t="inlineStr">
        <is>
          <t>GLOBO AÇOS</t>
        </is>
      </c>
      <c r="D2971" t="inlineStr">
        <is>
          <t>FECHAMENTO</t>
        </is>
      </c>
      <c r="F2971">
        <f>IFERROR(INDEX('BASE METAS DIÁRIAS'!$AA$2:$AC$358,MATCH($A2971,'BASE METAS DIÁRIAS'!$A$2:$A$358,0),3),"")</f>
        <v/>
      </c>
      <c r="G2971">
        <f>IFERROR(IF(WEEKDAY($A2971,2)&lt;=INDEX('BASE METAS DIÁRIAS'!$X$2:$Z$358,MATCH($A2971,'BASE METAS DIÁRIAS'!$A$2:$A$358,0),3),INDEX('BASE METAS DIÁRIAS'!$U$2:$W$358,MATCH($A2971,'BASE METAS DIÁRIAS'!$A$2:$A$358,0),3),""),"")</f>
        <v/>
      </c>
      <c r="H2971">
        <f>IFERROR(IF(INDEX('CONTROLE PRODUÇÃO POR EMPRESAS'!$H$6:$J$5000,MATCH($A2971,'CONTROLE PRODUÇÃO POR EMPRESAS'!$A$6:$A$5000,0),3)="","",IFERROR(1*INDEX('CONTROLE PRODUÇÃO POR EMPRESAS'!$H$6:$J$5000,MATCH($A2971,'CONTROLE PRODUÇÃO POR EMPRESAS'!$A$6:$A$5000,0),3),"")),"")</f>
        <v/>
      </c>
      <c r="I2971">
        <f>IF(OR(NOT(ISNUMBER(G2971)),NOT(ISNUMBER(H2971))),"",H2971-G2971)</f>
        <v/>
      </c>
      <c r="J2971">
        <f>IF(OR(NOT(ISNUMBER(G2971)),NOT(ISNUMBER(H2971)),G2971=0),"",I2971/G2971)</f>
        <v/>
      </c>
      <c r="K2971">
        <f>IF(OR(NOT(ISNUMBER(G2971)),NOT(ISNUMBER(H2971)),G2971=0),"",H2971/G2971)</f>
        <v/>
      </c>
      <c r="L2971">
        <f>IF(NOT(ISNUMBER(G2971)),"SEM META",IF(G2971=0,"SEM META",IF(NOT(ISNUMBER(H2971)),"SEM APONTAMENTO",IF(H2971&gt;=G2971,"VERDE",IF(H2971&gt;=G2971*0.9,"AMARELO","VERMELHO")))))</f>
        <v/>
      </c>
    </row>
    <row r="2972">
      <c r="A2972" s="321" t="n">
        <v>46499</v>
      </c>
      <c r="B2972" t="inlineStr">
        <is>
          <t>GERAL</t>
        </is>
      </c>
      <c r="C2972" t="inlineStr">
        <is>
          <t>GLOBO AÇOS</t>
        </is>
      </c>
      <c r="D2972" t="inlineStr">
        <is>
          <t>PERFILAÇÃO</t>
        </is>
      </c>
      <c r="F2972">
        <f>IFERROR(INDEX('BASE METAS DIÁRIAS'!$AA$2:$AC$358,MATCH($A2972,'BASE METAS DIÁRIAS'!$A$2:$A$358,0),1),"")</f>
        <v/>
      </c>
      <c r="G2972">
        <f>IFERROR(IF(WEEKDAY($A2972,2)&lt;=INDEX('BASE METAS DIÁRIAS'!$X$2:$Z$358,MATCH($A2972,'BASE METAS DIÁRIAS'!$A$2:$A$358,0),1),INDEX('BASE METAS DIÁRIAS'!$U$2:$W$358,MATCH($A2972,'BASE METAS DIÁRIAS'!$A$2:$A$358,0),1),""),"")</f>
        <v/>
      </c>
      <c r="H2972">
        <f>IFERROR(IF(INDEX('CONTROLE PRODUÇÃO POR EMPRESAS'!$H$6:$J$5000,MATCH($A2972,'CONTROLE PRODUÇÃO POR EMPRESAS'!$A$6:$A$5000,0),1)="","",IFERROR(1*INDEX('CONTROLE PRODUÇÃO POR EMPRESAS'!$H$6:$J$5000,MATCH($A2972,'CONTROLE PRODUÇÃO POR EMPRESAS'!$A$6:$A$5000,0),1),"")),"")</f>
        <v/>
      </c>
      <c r="I2972">
        <f>IF(OR(NOT(ISNUMBER(G2972)),NOT(ISNUMBER(H2972))),"",H2972-G2972)</f>
        <v/>
      </c>
      <c r="J2972">
        <f>IF(OR(NOT(ISNUMBER(G2972)),NOT(ISNUMBER(H2972)),G2972=0),"",I2972/G2972)</f>
        <v/>
      </c>
      <c r="K2972">
        <f>IF(OR(NOT(ISNUMBER(G2972)),NOT(ISNUMBER(H2972)),G2972=0),"",H2972/G2972)</f>
        <v/>
      </c>
      <c r="L2972">
        <f>IF(NOT(ISNUMBER(G2972)),"SEM META",IF(G2972=0,"SEM META",IF(NOT(ISNUMBER(H2972)),"SEM APONTAMENTO",IF(H2972&gt;=G2972,"VERDE",IF(H2972&gt;=G2972*0.9,"AMARELO","VERMELHO")))))</f>
        <v/>
      </c>
    </row>
    <row r="2973">
      <c r="A2973" s="321" t="n">
        <v>46499</v>
      </c>
      <c r="B2973" t="inlineStr">
        <is>
          <t>GERAL</t>
        </is>
      </c>
      <c r="C2973" t="inlineStr">
        <is>
          <t>GLOBO AÇOS</t>
        </is>
      </c>
      <c r="D2973" t="inlineStr">
        <is>
          <t>TELHAR</t>
        </is>
      </c>
      <c r="F2973">
        <f>IFERROR(INDEX('BASE METAS DIÁRIAS'!$AA$2:$AC$358,MATCH($A2973,'BASE METAS DIÁRIAS'!$A$2:$A$358,0),2),"")</f>
        <v/>
      </c>
      <c r="G2973">
        <f>IFERROR(IF(WEEKDAY($A2973,2)&lt;=INDEX('BASE METAS DIÁRIAS'!$X$2:$Z$358,MATCH($A2973,'BASE METAS DIÁRIAS'!$A$2:$A$358,0),2),INDEX('BASE METAS DIÁRIAS'!$U$2:$W$358,MATCH($A2973,'BASE METAS DIÁRIAS'!$A$2:$A$358,0),2),""),"")</f>
        <v/>
      </c>
      <c r="H2973">
        <f>IFERROR(IF(INDEX('CONTROLE PRODUÇÃO POR EMPRESAS'!$H$6:$J$5000,MATCH($A2973,'CONTROLE PRODUÇÃO POR EMPRESAS'!$A$6:$A$5000,0),2)="","",IFERROR(1*INDEX('CONTROLE PRODUÇÃO POR EMPRESAS'!$H$6:$J$5000,MATCH($A2973,'CONTROLE PRODUÇÃO POR EMPRESAS'!$A$6:$A$5000,0),2),"")),"")</f>
        <v/>
      </c>
      <c r="I2973">
        <f>IF(OR(NOT(ISNUMBER(G2973)),NOT(ISNUMBER(H2973))),"",H2973-G2973)</f>
        <v/>
      </c>
      <c r="J2973">
        <f>IF(OR(NOT(ISNUMBER(G2973)),NOT(ISNUMBER(H2973)),G2973=0),"",I2973/G2973)</f>
        <v/>
      </c>
      <c r="K2973">
        <f>IF(OR(NOT(ISNUMBER(G2973)),NOT(ISNUMBER(H2973)),G2973=0),"",H2973/G2973)</f>
        <v/>
      </c>
      <c r="L2973">
        <f>IF(NOT(ISNUMBER(G2973)),"SEM META",IF(G2973=0,"SEM META",IF(NOT(ISNUMBER(H2973)),"SEM APONTAMENTO",IF(H2973&gt;=G2973,"VERDE",IF(H2973&gt;=G2973*0.9,"AMARELO","VERMELHO")))))</f>
        <v/>
      </c>
    </row>
    <row r="2974">
      <c r="A2974" s="321" t="n">
        <v>46499</v>
      </c>
      <c r="B2974" t="inlineStr">
        <is>
          <t>GERAL</t>
        </is>
      </c>
      <c r="C2974" t="inlineStr">
        <is>
          <t>GLOBO AÇOS</t>
        </is>
      </c>
      <c r="D2974" t="inlineStr">
        <is>
          <t>FECHAMENTO</t>
        </is>
      </c>
      <c r="F2974">
        <f>IFERROR(INDEX('BASE METAS DIÁRIAS'!$AA$2:$AC$358,MATCH($A2974,'BASE METAS DIÁRIAS'!$A$2:$A$358,0),3),"")</f>
        <v/>
      </c>
      <c r="G2974">
        <f>IFERROR(IF(WEEKDAY($A2974,2)&lt;=INDEX('BASE METAS DIÁRIAS'!$X$2:$Z$358,MATCH($A2974,'BASE METAS DIÁRIAS'!$A$2:$A$358,0),3),INDEX('BASE METAS DIÁRIAS'!$U$2:$W$358,MATCH($A2974,'BASE METAS DIÁRIAS'!$A$2:$A$358,0),3),""),"")</f>
        <v/>
      </c>
      <c r="H2974">
        <f>IFERROR(IF(INDEX('CONTROLE PRODUÇÃO POR EMPRESAS'!$H$6:$J$5000,MATCH($A2974,'CONTROLE PRODUÇÃO POR EMPRESAS'!$A$6:$A$5000,0),3)="","",IFERROR(1*INDEX('CONTROLE PRODUÇÃO POR EMPRESAS'!$H$6:$J$5000,MATCH($A2974,'CONTROLE PRODUÇÃO POR EMPRESAS'!$A$6:$A$5000,0),3),"")),"")</f>
        <v/>
      </c>
      <c r="I2974">
        <f>IF(OR(NOT(ISNUMBER(G2974)),NOT(ISNUMBER(H2974))),"",H2974-G2974)</f>
        <v/>
      </c>
      <c r="J2974">
        <f>IF(OR(NOT(ISNUMBER(G2974)),NOT(ISNUMBER(H2974)),G2974=0),"",I2974/G2974)</f>
        <v/>
      </c>
      <c r="K2974">
        <f>IF(OR(NOT(ISNUMBER(G2974)),NOT(ISNUMBER(H2974)),G2974=0),"",H2974/G2974)</f>
        <v/>
      </c>
      <c r="L2974">
        <f>IF(NOT(ISNUMBER(G2974)),"SEM META",IF(G2974=0,"SEM META",IF(NOT(ISNUMBER(H2974)),"SEM APONTAMENTO",IF(H2974&gt;=G2974,"VERDE",IF(H2974&gt;=G2974*0.9,"AMARELO","VERMELHO")))))</f>
        <v/>
      </c>
    </row>
    <row r="2975">
      <c r="A2975" s="321" t="n">
        <v>46500</v>
      </c>
      <c r="B2975" t="inlineStr">
        <is>
          <t>GERAL</t>
        </is>
      </c>
      <c r="C2975" t="inlineStr">
        <is>
          <t>GLOBO AÇOS</t>
        </is>
      </c>
      <c r="D2975" t="inlineStr">
        <is>
          <t>PERFILAÇÃO</t>
        </is>
      </c>
      <c r="F2975">
        <f>IFERROR(INDEX('BASE METAS DIÁRIAS'!$AA$2:$AC$358,MATCH($A2975,'BASE METAS DIÁRIAS'!$A$2:$A$358,0),1),"")</f>
        <v/>
      </c>
      <c r="G2975">
        <f>IFERROR(IF(WEEKDAY($A2975,2)&lt;=INDEX('BASE METAS DIÁRIAS'!$X$2:$Z$358,MATCH($A2975,'BASE METAS DIÁRIAS'!$A$2:$A$358,0),1),INDEX('BASE METAS DIÁRIAS'!$U$2:$W$358,MATCH($A2975,'BASE METAS DIÁRIAS'!$A$2:$A$358,0),1),""),"")</f>
        <v/>
      </c>
      <c r="H2975">
        <f>IFERROR(IF(INDEX('CONTROLE PRODUÇÃO POR EMPRESAS'!$H$6:$J$5000,MATCH($A2975,'CONTROLE PRODUÇÃO POR EMPRESAS'!$A$6:$A$5000,0),1)="","",IFERROR(1*INDEX('CONTROLE PRODUÇÃO POR EMPRESAS'!$H$6:$J$5000,MATCH($A2975,'CONTROLE PRODUÇÃO POR EMPRESAS'!$A$6:$A$5000,0),1),"")),"")</f>
        <v/>
      </c>
      <c r="I2975">
        <f>IF(OR(NOT(ISNUMBER(G2975)),NOT(ISNUMBER(H2975))),"",H2975-G2975)</f>
        <v/>
      </c>
      <c r="J2975">
        <f>IF(OR(NOT(ISNUMBER(G2975)),NOT(ISNUMBER(H2975)),G2975=0),"",I2975/G2975)</f>
        <v/>
      </c>
      <c r="K2975">
        <f>IF(OR(NOT(ISNUMBER(G2975)),NOT(ISNUMBER(H2975)),G2975=0),"",H2975/G2975)</f>
        <v/>
      </c>
      <c r="L2975">
        <f>IF(NOT(ISNUMBER(G2975)),"SEM META",IF(G2975=0,"SEM META",IF(NOT(ISNUMBER(H2975)),"SEM APONTAMENTO",IF(H2975&gt;=G2975,"VERDE",IF(H2975&gt;=G2975*0.9,"AMARELO","VERMELHO")))))</f>
        <v/>
      </c>
    </row>
    <row r="2976">
      <c r="A2976" s="321" t="n">
        <v>46500</v>
      </c>
      <c r="B2976" t="inlineStr">
        <is>
          <t>GERAL</t>
        </is>
      </c>
      <c r="C2976" t="inlineStr">
        <is>
          <t>GLOBO AÇOS</t>
        </is>
      </c>
      <c r="D2976" t="inlineStr">
        <is>
          <t>TELHAR</t>
        </is>
      </c>
      <c r="F2976">
        <f>IFERROR(INDEX('BASE METAS DIÁRIAS'!$AA$2:$AC$358,MATCH($A2976,'BASE METAS DIÁRIAS'!$A$2:$A$358,0),2),"")</f>
        <v/>
      </c>
      <c r="G2976">
        <f>IFERROR(IF(WEEKDAY($A2976,2)&lt;=INDEX('BASE METAS DIÁRIAS'!$X$2:$Z$358,MATCH($A2976,'BASE METAS DIÁRIAS'!$A$2:$A$358,0),2),INDEX('BASE METAS DIÁRIAS'!$U$2:$W$358,MATCH($A2976,'BASE METAS DIÁRIAS'!$A$2:$A$358,0),2),""),"")</f>
        <v/>
      </c>
      <c r="H2976">
        <f>IFERROR(IF(INDEX('CONTROLE PRODUÇÃO POR EMPRESAS'!$H$6:$J$5000,MATCH($A2976,'CONTROLE PRODUÇÃO POR EMPRESAS'!$A$6:$A$5000,0),2)="","",IFERROR(1*INDEX('CONTROLE PRODUÇÃO POR EMPRESAS'!$H$6:$J$5000,MATCH($A2976,'CONTROLE PRODUÇÃO POR EMPRESAS'!$A$6:$A$5000,0),2),"")),"")</f>
        <v/>
      </c>
      <c r="I2976">
        <f>IF(OR(NOT(ISNUMBER(G2976)),NOT(ISNUMBER(H2976))),"",H2976-G2976)</f>
        <v/>
      </c>
      <c r="J2976">
        <f>IF(OR(NOT(ISNUMBER(G2976)),NOT(ISNUMBER(H2976)),G2976=0),"",I2976/G2976)</f>
        <v/>
      </c>
      <c r="K2976">
        <f>IF(OR(NOT(ISNUMBER(G2976)),NOT(ISNUMBER(H2976)),G2976=0),"",H2976/G2976)</f>
        <v/>
      </c>
      <c r="L2976">
        <f>IF(NOT(ISNUMBER(G2976)),"SEM META",IF(G2976=0,"SEM META",IF(NOT(ISNUMBER(H2976)),"SEM APONTAMENTO",IF(H2976&gt;=G2976,"VERDE",IF(H2976&gt;=G2976*0.9,"AMARELO","VERMELHO")))))</f>
        <v/>
      </c>
    </row>
    <row r="2977">
      <c r="A2977" s="321" t="n">
        <v>46500</v>
      </c>
      <c r="B2977" t="inlineStr">
        <is>
          <t>GERAL</t>
        </is>
      </c>
      <c r="C2977" t="inlineStr">
        <is>
          <t>GLOBO AÇOS</t>
        </is>
      </c>
      <c r="D2977" t="inlineStr">
        <is>
          <t>FECHAMENTO</t>
        </is>
      </c>
      <c r="F2977">
        <f>IFERROR(INDEX('BASE METAS DIÁRIAS'!$AA$2:$AC$358,MATCH($A2977,'BASE METAS DIÁRIAS'!$A$2:$A$358,0),3),"")</f>
        <v/>
      </c>
      <c r="G2977">
        <f>IFERROR(IF(WEEKDAY($A2977,2)&lt;=INDEX('BASE METAS DIÁRIAS'!$X$2:$Z$358,MATCH($A2977,'BASE METAS DIÁRIAS'!$A$2:$A$358,0),3),INDEX('BASE METAS DIÁRIAS'!$U$2:$W$358,MATCH($A2977,'BASE METAS DIÁRIAS'!$A$2:$A$358,0),3),""),"")</f>
        <v/>
      </c>
      <c r="H2977">
        <f>IFERROR(IF(INDEX('CONTROLE PRODUÇÃO POR EMPRESAS'!$H$6:$J$5000,MATCH($A2977,'CONTROLE PRODUÇÃO POR EMPRESAS'!$A$6:$A$5000,0),3)="","",IFERROR(1*INDEX('CONTROLE PRODUÇÃO POR EMPRESAS'!$H$6:$J$5000,MATCH($A2977,'CONTROLE PRODUÇÃO POR EMPRESAS'!$A$6:$A$5000,0),3),"")),"")</f>
        <v/>
      </c>
      <c r="I2977">
        <f>IF(OR(NOT(ISNUMBER(G2977)),NOT(ISNUMBER(H2977))),"",H2977-G2977)</f>
        <v/>
      </c>
      <c r="J2977">
        <f>IF(OR(NOT(ISNUMBER(G2977)),NOT(ISNUMBER(H2977)),G2977=0),"",I2977/G2977)</f>
        <v/>
      </c>
      <c r="K2977">
        <f>IF(OR(NOT(ISNUMBER(G2977)),NOT(ISNUMBER(H2977)),G2977=0),"",H2977/G2977)</f>
        <v/>
      </c>
      <c r="L2977">
        <f>IF(NOT(ISNUMBER(G2977)),"SEM META",IF(G2977=0,"SEM META",IF(NOT(ISNUMBER(H2977)),"SEM APONTAMENTO",IF(H2977&gt;=G2977,"VERDE",IF(H2977&gt;=G2977*0.9,"AMARELO","VERMELHO")))))</f>
        <v/>
      </c>
    </row>
    <row r="2978">
      <c r="A2978" s="321" t="n">
        <v>46501</v>
      </c>
      <c r="B2978" t="inlineStr">
        <is>
          <t>GERAL</t>
        </is>
      </c>
      <c r="C2978" t="inlineStr">
        <is>
          <t>GLOBO AÇOS</t>
        </is>
      </c>
      <c r="D2978" t="inlineStr">
        <is>
          <t>PERFILAÇÃO</t>
        </is>
      </c>
      <c r="F2978">
        <f>IFERROR(INDEX('BASE METAS DIÁRIAS'!$AA$2:$AC$358,MATCH($A2978,'BASE METAS DIÁRIAS'!$A$2:$A$358,0),1),"")</f>
        <v/>
      </c>
      <c r="G2978">
        <f>IFERROR(IF(WEEKDAY($A2978,2)&lt;=INDEX('BASE METAS DIÁRIAS'!$X$2:$Z$358,MATCH($A2978,'BASE METAS DIÁRIAS'!$A$2:$A$358,0),1),INDEX('BASE METAS DIÁRIAS'!$U$2:$W$358,MATCH($A2978,'BASE METAS DIÁRIAS'!$A$2:$A$358,0),1),""),"")</f>
        <v/>
      </c>
      <c r="H2978">
        <f>IFERROR(IF(INDEX('CONTROLE PRODUÇÃO POR EMPRESAS'!$H$6:$J$5000,MATCH($A2978,'CONTROLE PRODUÇÃO POR EMPRESAS'!$A$6:$A$5000,0),1)="","",IFERROR(1*INDEX('CONTROLE PRODUÇÃO POR EMPRESAS'!$H$6:$J$5000,MATCH($A2978,'CONTROLE PRODUÇÃO POR EMPRESAS'!$A$6:$A$5000,0),1),"")),"")</f>
        <v/>
      </c>
      <c r="I2978">
        <f>IF(OR(NOT(ISNUMBER(G2978)),NOT(ISNUMBER(H2978))),"",H2978-G2978)</f>
        <v/>
      </c>
      <c r="J2978">
        <f>IF(OR(NOT(ISNUMBER(G2978)),NOT(ISNUMBER(H2978)),G2978=0),"",I2978/G2978)</f>
        <v/>
      </c>
      <c r="K2978">
        <f>IF(OR(NOT(ISNUMBER(G2978)),NOT(ISNUMBER(H2978)),G2978=0),"",H2978/G2978)</f>
        <v/>
      </c>
      <c r="L2978">
        <f>IF(NOT(ISNUMBER(G2978)),"SEM META",IF(G2978=0,"SEM META",IF(NOT(ISNUMBER(H2978)),"SEM APONTAMENTO",IF(H2978&gt;=G2978,"VERDE",IF(H2978&gt;=G2978*0.9,"AMARELO","VERMELHO")))))</f>
        <v/>
      </c>
    </row>
    <row r="2979">
      <c r="A2979" s="321" t="n">
        <v>46501</v>
      </c>
      <c r="B2979" t="inlineStr">
        <is>
          <t>GERAL</t>
        </is>
      </c>
      <c r="C2979" t="inlineStr">
        <is>
          <t>GLOBO AÇOS</t>
        </is>
      </c>
      <c r="D2979" t="inlineStr">
        <is>
          <t>TELHAR</t>
        </is>
      </c>
      <c r="F2979">
        <f>IFERROR(INDEX('BASE METAS DIÁRIAS'!$AA$2:$AC$358,MATCH($A2979,'BASE METAS DIÁRIAS'!$A$2:$A$358,0),2),"")</f>
        <v/>
      </c>
      <c r="G2979">
        <f>IFERROR(IF(WEEKDAY($A2979,2)&lt;=INDEX('BASE METAS DIÁRIAS'!$X$2:$Z$358,MATCH($A2979,'BASE METAS DIÁRIAS'!$A$2:$A$358,0),2),INDEX('BASE METAS DIÁRIAS'!$U$2:$W$358,MATCH($A2979,'BASE METAS DIÁRIAS'!$A$2:$A$358,0),2),""),"")</f>
        <v/>
      </c>
      <c r="H2979">
        <f>IFERROR(IF(INDEX('CONTROLE PRODUÇÃO POR EMPRESAS'!$H$6:$J$5000,MATCH($A2979,'CONTROLE PRODUÇÃO POR EMPRESAS'!$A$6:$A$5000,0),2)="","",IFERROR(1*INDEX('CONTROLE PRODUÇÃO POR EMPRESAS'!$H$6:$J$5000,MATCH($A2979,'CONTROLE PRODUÇÃO POR EMPRESAS'!$A$6:$A$5000,0),2),"")),"")</f>
        <v/>
      </c>
      <c r="I2979">
        <f>IF(OR(NOT(ISNUMBER(G2979)),NOT(ISNUMBER(H2979))),"",H2979-G2979)</f>
        <v/>
      </c>
      <c r="J2979">
        <f>IF(OR(NOT(ISNUMBER(G2979)),NOT(ISNUMBER(H2979)),G2979=0),"",I2979/G2979)</f>
        <v/>
      </c>
      <c r="K2979">
        <f>IF(OR(NOT(ISNUMBER(G2979)),NOT(ISNUMBER(H2979)),G2979=0),"",H2979/G2979)</f>
        <v/>
      </c>
      <c r="L2979">
        <f>IF(NOT(ISNUMBER(G2979)),"SEM META",IF(G2979=0,"SEM META",IF(NOT(ISNUMBER(H2979)),"SEM APONTAMENTO",IF(H2979&gt;=G2979,"VERDE",IF(H2979&gt;=G2979*0.9,"AMARELO","VERMELHO")))))</f>
        <v/>
      </c>
    </row>
    <row r="2980">
      <c r="A2980" s="321" t="n">
        <v>46501</v>
      </c>
      <c r="B2980" t="inlineStr">
        <is>
          <t>GERAL</t>
        </is>
      </c>
      <c r="C2980" t="inlineStr">
        <is>
          <t>GLOBO AÇOS</t>
        </is>
      </c>
      <c r="D2980" t="inlineStr">
        <is>
          <t>FECHAMENTO</t>
        </is>
      </c>
      <c r="F2980">
        <f>IFERROR(INDEX('BASE METAS DIÁRIAS'!$AA$2:$AC$358,MATCH($A2980,'BASE METAS DIÁRIAS'!$A$2:$A$358,0),3),"")</f>
        <v/>
      </c>
      <c r="G2980">
        <f>IFERROR(IF(WEEKDAY($A2980,2)&lt;=INDEX('BASE METAS DIÁRIAS'!$X$2:$Z$358,MATCH($A2980,'BASE METAS DIÁRIAS'!$A$2:$A$358,0),3),INDEX('BASE METAS DIÁRIAS'!$U$2:$W$358,MATCH($A2980,'BASE METAS DIÁRIAS'!$A$2:$A$358,0),3),""),"")</f>
        <v/>
      </c>
      <c r="H2980">
        <f>IFERROR(IF(INDEX('CONTROLE PRODUÇÃO POR EMPRESAS'!$H$6:$J$5000,MATCH($A2980,'CONTROLE PRODUÇÃO POR EMPRESAS'!$A$6:$A$5000,0),3)="","",IFERROR(1*INDEX('CONTROLE PRODUÇÃO POR EMPRESAS'!$H$6:$J$5000,MATCH($A2980,'CONTROLE PRODUÇÃO POR EMPRESAS'!$A$6:$A$5000,0),3),"")),"")</f>
        <v/>
      </c>
      <c r="I2980">
        <f>IF(OR(NOT(ISNUMBER(G2980)),NOT(ISNUMBER(H2980))),"",H2980-G2980)</f>
        <v/>
      </c>
      <c r="J2980">
        <f>IF(OR(NOT(ISNUMBER(G2980)),NOT(ISNUMBER(H2980)),G2980=0),"",I2980/G2980)</f>
        <v/>
      </c>
      <c r="K2980">
        <f>IF(OR(NOT(ISNUMBER(G2980)),NOT(ISNUMBER(H2980)),G2980=0),"",H2980/G2980)</f>
        <v/>
      </c>
      <c r="L2980">
        <f>IF(NOT(ISNUMBER(G2980)),"SEM META",IF(G2980=0,"SEM META",IF(NOT(ISNUMBER(H2980)),"SEM APONTAMENTO",IF(H2980&gt;=G2980,"VERDE",IF(H2980&gt;=G2980*0.9,"AMARELO","VERMELHO")))))</f>
        <v/>
      </c>
    </row>
    <row r="2981">
      <c r="A2981" s="321" t="n">
        <v>46502</v>
      </c>
      <c r="B2981" t="inlineStr">
        <is>
          <t>GERAL</t>
        </is>
      </c>
      <c r="C2981" t="inlineStr">
        <is>
          <t>GLOBO AÇOS</t>
        </is>
      </c>
      <c r="D2981" t="inlineStr">
        <is>
          <t>PERFILAÇÃO</t>
        </is>
      </c>
      <c r="F2981">
        <f>IFERROR(INDEX('BASE METAS DIÁRIAS'!$AA$2:$AC$358,MATCH($A2981,'BASE METAS DIÁRIAS'!$A$2:$A$358,0),1),"")</f>
        <v/>
      </c>
      <c r="G2981">
        <f>IFERROR(IF(WEEKDAY($A2981,2)&lt;=INDEX('BASE METAS DIÁRIAS'!$X$2:$Z$358,MATCH($A2981,'BASE METAS DIÁRIAS'!$A$2:$A$358,0),1),INDEX('BASE METAS DIÁRIAS'!$U$2:$W$358,MATCH($A2981,'BASE METAS DIÁRIAS'!$A$2:$A$358,0),1),""),"")</f>
        <v/>
      </c>
      <c r="H2981">
        <f>IFERROR(IF(INDEX('CONTROLE PRODUÇÃO POR EMPRESAS'!$H$6:$J$5000,MATCH($A2981,'CONTROLE PRODUÇÃO POR EMPRESAS'!$A$6:$A$5000,0),1)="","",IFERROR(1*INDEX('CONTROLE PRODUÇÃO POR EMPRESAS'!$H$6:$J$5000,MATCH($A2981,'CONTROLE PRODUÇÃO POR EMPRESAS'!$A$6:$A$5000,0),1),"")),"")</f>
        <v/>
      </c>
      <c r="I2981">
        <f>IF(OR(NOT(ISNUMBER(G2981)),NOT(ISNUMBER(H2981))),"",H2981-G2981)</f>
        <v/>
      </c>
      <c r="J2981">
        <f>IF(OR(NOT(ISNUMBER(G2981)),NOT(ISNUMBER(H2981)),G2981=0),"",I2981/G2981)</f>
        <v/>
      </c>
      <c r="K2981">
        <f>IF(OR(NOT(ISNUMBER(G2981)),NOT(ISNUMBER(H2981)),G2981=0),"",H2981/G2981)</f>
        <v/>
      </c>
      <c r="L2981">
        <f>IF(NOT(ISNUMBER(G2981)),"SEM META",IF(G2981=0,"SEM META",IF(NOT(ISNUMBER(H2981)),"SEM APONTAMENTO",IF(H2981&gt;=G2981,"VERDE",IF(H2981&gt;=G2981*0.9,"AMARELO","VERMELHO")))))</f>
        <v/>
      </c>
    </row>
    <row r="2982">
      <c r="A2982" s="321" t="n">
        <v>46502</v>
      </c>
      <c r="B2982" t="inlineStr">
        <is>
          <t>GERAL</t>
        </is>
      </c>
      <c r="C2982" t="inlineStr">
        <is>
          <t>GLOBO AÇOS</t>
        </is>
      </c>
      <c r="D2982" t="inlineStr">
        <is>
          <t>TELHAR</t>
        </is>
      </c>
      <c r="F2982">
        <f>IFERROR(INDEX('BASE METAS DIÁRIAS'!$AA$2:$AC$358,MATCH($A2982,'BASE METAS DIÁRIAS'!$A$2:$A$358,0),2),"")</f>
        <v/>
      </c>
      <c r="G2982">
        <f>IFERROR(IF(WEEKDAY($A2982,2)&lt;=INDEX('BASE METAS DIÁRIAS'!$X$2:$Z$358,MATCH($A2982,'BASE METAS DIÁRIAS'!$A$2:$A$358,0),2),INDEX('BASE METAS DIÁRIAS'!$U$2:$W$358,MATCH($A2982,'BASE METAS DIÁRIAS'!$A$2:$A$358,0),2),""),"")</f>
        <v/>
      </c>
      <c r="H2982">
        <f>IFERROR(IF(INDEX('CONTROLE PRODUÇÃO POR EMPRESAS'!$H$6:$J$5000,MATCH($A2982,'CONTROLE PRODUÇÃO POR EMPRESAS'!$A$6:$A$5000,0),2)="","",IFERROR(1*INDEX('CONTROLE PRODUÇÃO POR EMPRESAS'!$H$6:$J$5000,MATCH($A2982,'CONTROLE PRODUÇÃO POR EMPRESAS'!$A$6:$A$5000,0),2),"")),"")</f>
        <v/>
      </c>
      <c r="I2982">
        <f>IF(OR(NOT(ISNUMBER(G2982)),NOT(ISNUMBER(H2982))),"",H2982-G2982)</f>
        <v/>
      </c>
      <c r="J2982">
        <f>IF(OR(NOT(ISNUMBER(G2982)),NOT(ISNUMBER(H2982)),G2982=0),"",I2982/G2982)</f>
        <v/>
      </c>
      <c r="K2982">
        <f>IF(OR(NOT(ISNUMBER(G2982)),NOT(ISNUMBER(H2982)),G2982=0),"",H2982/G2982)</f>
        <v/>
      </c>
      <c r="L2982">
        <f>IF(NOT(ISNUMBER(G2982)),"SEM META",IF(G2982=0,"SEM META",IF(NOT(ISNUMBER(H2982)),"SEM APONTAMENTO",IF(H2982&gt;=G2982,"VERDE",IF(H2982&gt;=G2982*0.9,"AMARELO","VERMELHO")))))</f>
        <v/>
      </c>
    </row>
    <row r="2983">
      <c r="A2983" s="321" t="n">
        <v>46502</v>
      </c>
      <c r="B2983" t="inlineStr">
        <is>
          <t>GERAL</t>
        </is>
      </c>
      <c r="C2983" t="inlineStr">
        <is>
          <t>GLOBO AÇOS</t>
        </is>
      </c>
      <c r="D2983" t="inlineStr">
        <is>
          <t>FECHAMENTO</t>
        </is>
      </c>
      <c r="F2983">
        <f>IFERROR(INDEX('BASE METAS DIÁRIAS'!$AA$2:$AC$358,MATCH($A2983,'BASE METAS DIÁRIAS'!$A$2:$A$358,0),3),"")</f>
        <v/>
      </c>
      <c r="G2983">
        <f>IFERROR(IF(WEEKDAY($A2983,2)&lt;=INDEX('BASE METAS DIÁRIAS'!$X$2:$Z$358,MATCH($A2983,'BASE METAS DIÁRIAS'!$A$2:$A$358,0),3),INDEX('BASE METAS DIÁRIAS'!$U$2:$W$358,MATCH($A2983,'BASE METAS DIÁRIAS'!$A$2:$A$358,0),3),""),"")</f>
        <v/>
      </c>
      <c r="H2983">
        <f>IFERROR(IF(INDEX('CONTROLE PRODUÇÃO POR EMPRESAS'!$H$6:$J$5000,MATCH($A2983,'CONTROLE PRODUÇÃO POR EMPRESAS'!$A$6:$A$5000,0),3)="","",IFERROR(1*INDEX('CONTROLE PRODUÇÃO POR EMPRESAS'!$H$6:$J$5000,MATCH($A2983,'CONTROLE PRODUÇÃO POR EMPRESAS'!$A$6:$A$5000,0),3),"")),"")</f>
        <v/>
      </c>
      <c r="I2983">
        <f>IF(OR(NOT(ISNUMBER(G2983)),NOT(ISNUMBER(H2983))),"",H2983-G2983)</f>
        <v/>
      </c>
      <c r="J2983">
        <f>IF(OR(NOT(ISNUMBER(G2983)),NOT(ISNUMBER(H2983)),G2983=0),"",I2983/G2983)</f>
        <v/>
      </c>
      <c r="K2983">
        <f>IF(OR(NOT(ISNUMBER(G2983)),NOT(ISNUMBER(H2983)),G2983=0),"",H2983/G2983)</f>
        <v/>
      </c>
      <c r="L2983">
        <f>IF(NOT(ISNUMBER(G2983)),"SEM META",IF(G2983=0,"SEM META",IF(NOT(ISNUMBER(H2983)),"SEM APONTAMENTO",IF(H2983&gt;=G2983,"VERDE",IF(H2983&gt;=G2983*0.9,"AMARELO","VERMELHO")))))</f>
        <v/>
      </c>
    </row>
    <row r="2984">
      <c r="A2984" s="321" t="n">
        <v>46503</v>
      </c>
      <c r="B2984" t="inlineStr">
        <is>
          <t>GERAL</t>
        </is>
      </c>
      <c r="C2984" t="inlineStr">
        <is>
          <t>GLOBO AÇOS</t>
        </is>
      </c>
      <c r="D2984" t="inlineStr">
        <is>
          <t>PERFILAÇÃO</t>
        </is>
      </c>
      <c r="F2984">
        <f>IFERROR(INDEX('BASE METAS DIÁRIAS'!$AA$2:$AC$358,MATCH($A2984,'BASE METAS DIÁRIAS'!$A$2:$A$358,0),1),"")</f>
        <v/>
      </c>
      <c r="G2984">
        <f>IFERROR(IF(WEEKDAY($A2984,2)&lt;=INDEX('BASE METAS DIÁRIAS'!$X$2:$Z$358,MATCH($A2984,'BASE METAS DIÁRIAS'!$A$2:$A$358,0),1),INDEX('BASE METAS DIÁRIAS'!$U$2:$W$358,MATCH($A2984,'BASE METAS DIÁRIAS'!$A$2:$A$358,0),1),""),"")</f>
        <v/>
      </c>
      <c r="H2984">
        <f>IFERROR(IF(INDEX('CONTROLE PRODUÇÃO POR EMPRESAS'!$H$6:$J$5000,MATCH($A2984,'CONTROLE PRODUÇÃO POR EMPRESAS'!$A$6:$A$5000,0),1)="","",IFERROR(1*INDEX('CONTROLE PRODUÇÃO POR EMPRESAS'!$H$6:$J$5000,MATCH($A2984,'CONTROLE PRODUÇÃO POR EMPRESAS'!$A$6:$A$5000,0),1),"")),"")</f>
        <v/>
      </c>
      <c r="I2984">
        <f>IF(OR(NOT(ISNUMBER(G2984)),NOT(ISNUMBER(H2984))),"",H2984-G2984)</f>
        <v/>
      </c>
      <c r="J2984">
        <f>IF(OR(NOT(ISNUMBER(G2984)),NOT(ISNUMBER(H2984)),G2984=0),"",I2984/G2984)</f>
        <v/>
      </c>
      <c r="K2984">
        <f>IF(OR(NOT(ISNUMBER(G2984)),NOT(ISNUMBER(H2984)),G2984=0),"",H2984/G2984)</f>
        <v/>
      </c>
      <c r="L2984">
        <f>IF(NOT(ISNUMBER(G2984)),"SEM META",IF(G2984=0,"SEM META",IF(NOT(ISNUMBER(H2984)),"SEM APONTAMENTO",IF(H2984&gt;=G2984,"VERDE",IF(H2984&gt;=G2984*0.9,"AMARELO","VERMELHO")))))</f>
        <v/>
      </c>
    </row>
    <row r="2985">
      <c r="A2985" s="321" t="n">
        <v>46503</v>
      </c>
      <c r="B2985" t="inlineStr">
        <is>
          <t>GERAL</t>
        </is>
      </c>
      <c r="C2985" t="inlineStr">
        <is>
          <t>GLOBO AÇOS</t>
        </is>
      </c>
      <c r="D2985" t="inlineStr">
        <is>
          <t>TELHAR</t>
        </is>
      </c>
      <c r="F2985">
        <f>IFERROR(INDEX('BASE METAS DIÁRIAS'!$AA$2:$AC$358,MATCH($A2985,'BASE METAS DIÁRIAS'!$A$2:$A$358,0),2),"")</f>
        <v/>
      </c>
      <c r="G2985">
        <f>IFERROR(IF(WEEKDAY($A2985,2)&lt;=INDEX('BASE METAS DIÁRIAS'!$X$2:$Z$358,MATCH($A2985,'BASE METAS DIÁRIAS'!$A$2:$A$358,0),2),INDEX('BASE METAS DIÁRIAS'!$U$2:$W$358,MATCH($A2985,'BASE METAS DIÁRIAS'!$A$2:$A$358,0),2),""),"")</f>
        <v/>
      </c>
      <c r="H2985">
        <f>IFERROR(IF(INDEX('CONTROLE PRODUÇÃO POR EMPRESAS'!$H$6:$J$5000,MATCH($A2985,'CONTROLE PRODUÇÃO POR EMPRESAS'!$A$6:$A$5000,0),2)="","",IFERROR(1*INDEX('CONTROLE PRODUÇÃO POR EMPRESAS'!$H$6:$J$5000,MATCH($A2985,'CONTROLE PRODUÇÃO POR EMPRESAS'!$A$6:$A$5000,0),2),"")),"")</f>
        <v/>
      </c>
      <c r="I2985">
        <f>IF(OR(NOT(ISNUMBER(G2985)),NOT(ISNUMBER(H2985))),"",H2985-G2985)</f>
        <v/>
      </c>
      <c r="J2985">
        <f>IF(OR(NOT(ISNUMBER(G2985)),NOT(ISNUMBER(H2985)),G2985=0),"",I2985/G2985)</f>
        <v/>
      </c>
      <c r="K2985">
        <f>IF(OR(NOT(ISNUMBER(G2985)),NOT(ISNUMBER(H2985)),G2985=0),"",H2985/G2985)</f>
        <v/>
      </c>
      <c r="L2985">
        <f>IF(NOT(ISNUMBER(G2985)),"SEM META",IF(G2985=0,"SEM META",IF(NOT(ISNUMBER(H2985)),"SEM APONTAMENTO",IF(H2985&gt;=G2985,"VERDE",IF(H2985&gt;=G2985*0.9,"AMARELO","VERMELHO")))))</f>
        <v/>
      </c>
    </row>
    <row r="2986">
      <c r="A2986" s="321" t="n">
        <v>46503</v>
      </c>
      <c r="B2986" t="inlineStr">
        <is>
          <t>GERAL</t>
        </is>
      </c>
      <c r="C2986" t="inlineStr">
        <is>
          <t>GLOBO AÇOS</t>
        </is>
      </c>
      <c r="D2986" t="inlineStr">
        <is>
          <t>FECHAMENTO</t>
        </is>
      </c>
      <c r="F2986">
        <f>IFERROR(INDEX('BASE METAS DIÁRIAS'!$AA$2:$AC$358,MATCH($A2986,'BASE METAS DIÁRIAS'!$A$2:$A$358,0),3),"")</f>
        <v/>
      </c>
      <c r="G2986">
        <f>IFERROR(IF(WEEKDAY($A2986,2)&lt;=INDEX('BASE METAS DIÁRIAS'!$X$2:$Z$358,MATCH($A2986,'BASE METAS DIÁRIAS'!$A$2:$A$358,0),3),INDEX('BASE METAS DIÁRIAS'!$U$2:$W$358,MATCH($A2986,'BASE METAS DIÁRIAS'!$A$2:$A$358,0),3),""),"")</f>
        <v/>
      </c>
      <c r="H2986">
        <f>IFERROR(IF(INDEX('CONTROLE PRODUÇÃO POR EMPRESAS'!$H$6:$J$5000,MATCH($A2986,'CONTROLE PRODUÇÃO POR EMPRESAS'!$A$6:$A$5000,0),3)="","",IFERROR(1*INDEX('CONTROLE PRODUÇÃO POR EMPRESAS'!$H$6:$J$5000,MATCH($A2986,'CONTROLE PRODUÇÃO POR EMPRESAS'!$A$6:$A$5000,0),3),"")),"")</f>
        <v/>
      </c>
      <c r="I2986">
        <f>IF(OR(NOT(ISNUMBER(G2986)),NOT(ISNUMBER(H2986))),"",H2986-G2986)</f>
        <v/>
      </c>
      <c r="J2986">
        <f>IF(OR(NOT(ISNUMBER(G2986)),NOT(ISNUMBER(H2986)),G2986=0),"",I2986/G2986)</f>
        <v/>
      </c>
      <c r="K2986">
        <f>IF(OR(NOT(ISNUMBER(G2986)),NOT(ISNUMBER(H2986)),G2986=0),"",H2986/G2986)</f>
        <v/>
      </c>
      <c r="L2986">
        <f>IF(NOT(ISNUMBER(G2986)),"SEM META",IF(G2986=0,"SEM META",IF(NOT(ISNUMBER(H2986)),"SEM APONTAMENTO",IF(H2986&gt;=G2986,"VERDE",IF(H2986&gt;=G2986*0.9,"AMARELO","VERMELHO")))))</f>
        <v/>
      </c>
    </row>
    <row r="2987">
      <c r="A2987" s="321" t="n">
        <v>46504</v>
      </c>
      <c r="B2987" t="inlineStr">
        <is>
          <t>GERAL</t>
        </is>
      </c>
      <c r="C2987" t="inlineStr">
        <is>
          <t>GLOBO AÇOS</t>
        </is>
      </c>
      <c r="D2987" t="inlineStr">
        <is>
          <t>PERFILAÇÃO</t>
        </is>
      </c>
      <c r="F2987">
        <f>IFERROR(INDEX('BASE METAS DIÁRIAS'!$AA$2:$AC$358,MATCH($A2987,'BASE METAS DIÁRIAS'!$A$2:$A$358,0),1),"")</f>
        <v/>
      </c>
      <c r="G2987">
        <f>IFERROR(IF(WEEKDAY($A2987,2)&lt;=INDEX('BASE METAS DIÁRIAS'!$X$2:$Z$358,MATCH($A2987,'BASE METAS DIÁRIAS'!$A$2:$A$358,0),1),INDEX('BASE METAS DIÁRIAS'!$U$2:$W$358,MATCH($A2987,'BASE METAS DIÁRIAS'!$A$2:$A$358,0),1),""),"")</f>
        <v/>
      </c>
      <c r="H2987">
        <f>IFERROR(IF(INDEX('CONTROLE PRODUÇÃO POR EMPRESAS'!$H$6:$J$5000,MATCH($A2987,'CONTROLE PRODUÇÃO POR EMPRESAS'!$A$6:$A$5000,0),1)="","",IFERROR(1*INDEX('CONTROLE PRODUÇÃO POR EMPRESAS'!$H$6:$J$5000,MATCH($A2987,'CONTROLE PRODUÇÃO POR EMPRESAS'!$A$6:$A$5000,0),1),"")),"")</f>
        <v/>
      </c>
      <c r="I2987">
        <f>IF(OR(NOT(ISNUMBER(G2987)),NOT(ISNUMBER(H2987))),"",H2987-G2987)</f>
        <v/>
      </c>
      <c r="J2987">
        <f>IF(OR(NOT(ISNUMBER(G2987)),NOT(ISNUMBER(H2987)),G2987=0),"",I2987/G2987)</f>
        <v/>
      </c>
      <c r="K2987">
        <f>IF(OR(NOT(ISNUMBER(G2987)),NOT(ISNUMBER(H2987)),G2987=0),"",H2987/G2987)</f>
        <v/>
      </c>
      <c r="L2987">
        <f>IF(NOT(ISNUMBER(G2987)),"SEM META",IF(G2987=0,"SEM META",IF(NOT(ISNUMBER(H2987)),"SEM APONTAMENTO",IF(H2987&gt;=G2987,"VERDE",IF(H2987&gt;=G2987*0.9,"AMARELO","VERMELHO")))))</f>
        <v/>
      </c>
    </row>
    <row r="2988">
      <c r="A2988" s="321" t="n">
        <v>46504</v>
      </c>
      <c r="B2988" t="inlineStr">
        <is>
          <t>GERAL</t>
        </is>
      </c>
      <c r="C2988" t="inlineStr">
        <is>
          <t>GLOBO AÇOS</t>
        </is>
      </c>
      <c r="D2988" t="inlineStr">
        <is>
          <t>TELHAR</t>
        </is>
      </c>
      <c r="F2988">
        <f>IFERROR(INDEX('BASE METAS DIÁRIAS'!$AA$2:$AC$358,MATCH($A2988,'BASE METAS DIÁRIAS'!$A$2:$A$358,0),2),"")</f>
        <v/>
      </c>
      <c r="G2988">
        <f>IFERROR(IF(WEEKDAY($A2988,2)&lt;=INDEX('BASE METAS DIÁRIAS'!$X$2:$Z$358,MATCH($A2988,'BASE METAS DIÁRIAS'!$A$2:$A$358,0),2),INDEX('BASE METAS DIÁRIAS'!$U$2:$W$358,MATCH($A2988,'BASE METAS DIÁRIAS'!$A$2:$A$358,0),2),""),"")</f>
        <v/>
      </c>
      <c r="H2988">
        <f>IFERROR(IF(INDEX('CONTROLE PRODUÇÃO POR EMPRESAS'!$H$6:$J$5000,MATCH($A2988,'CONTROLE PRODUÇÃO POR EMPRESAS'!$A$6:$A$5000,0),2)="","",IFERROR(1*INDEX('CONTROLE PRODUÇÃO POR EMPRESAS'!$H$6:$J$5000,MATCH($A2988,'CONTROLE PRODUÇÃO POR EMPRESAS'!$A$6:$A$5000,0),2),"")),"")</f>
        <v/>
      </c>
      <c r="I2988">
        <f>IF(OR(NOT(ISNUMBER(G2988)),NOT(ISNUMBER(H2988))),"",H2988-G2988)</f>
        <v/>
      </c>
      <c r="J2988">
        <f>IF(OR(NOT(ISNUMBER(G2988)),NOT(ISNUMBER(H2988)),G2988=0),"",I2988/G2988)</f>
        <v/>
      </c>
      <c r="K2988">
        <f>IF(OR(NOT(ISNUMBER(G2988)),NOT(ISNUMBER(H2988)),G2988=0),"",H2988/G2988)</f>
        <v/>
      </c>
      <c r="L2988">
        <f>IF(NOT(ISNUMBER(G2988)),"SEM META",IF(G2988=0,"SEM META",IF(NOT(ISNUMBER(H2988)),"SEM APONTAMENTO",IF(H2988&gt;=G2988,"VERDE",IF(H2988&gt;=G2988*0.9,"AMARELO","VERMELHO")))))</f>
        <v/>
      </c>
    </row>
    <row r="2989">
      <c r="A2989" s="321" t="n">
        <v>46504</v>
      </c>
      <c r="B2989" t="inlineStr">
        <is>
          <t>GERAL</t>
        </is>
      </c>
      <c r="C2989" t="inlineStr">
        <is>
          <t>GLOBO AÇOS</t>
        </is>
      </c>
      <c r="D2989" t="inlineStr">
        <is>
          <t>FECHAMENTO</t>
        </is>
      </c>
      <c r="F2989">
        <f>IFERROR(INDEX('BASE METAS DIÁRIAS'!$AA$2:$AC$358,MATCH($A2989,'BASE METAS DIÁRIAS'!$A$2:$A$358,0),3),"")</f>
        <v/>
      </c>
      <c r="G2989">
        <f>IFERROR(IF(WEEKDAY($A2989,2)&lt;=INDEX('BASE METAS DIÁRIAS'!$X$2:$Z$358,MATCH($A2989,'BASE METAS DIÁRIAS'!$A$2:$A$358,0),3),INDEX('BASE METAS DIÁRIAS'!$U$2:$W$358,MATCH($A2989,'BASE METAS DIÁRIAS'!$A$2:$A$358,0),3),""),"")</f>
        <v/>
      </c>
      <c r="H2989">
        <f>IFERROR(IF(INDEX('CONTROLE PRODUÇÃO POR EMPRESAS'!$H$6:$J$5000,MATCH($A2989,'CONTROLE PRODUÇÃO POR EMPRESAS'!$A$6:$A$5000,0),3)="","",IFERROR(1*INDEX('CONTROLE PRODUÇÃO POR EMPRESAS'!$H$6:$J$5000,MATCH($A2989,'CONTROLE PRODUÇÃO POR EMPRESAS'!$A$6:$A$5000,0),3),"")),"")</f>
        <v/>
      </c>
      <c r="I2989">
        <f>IF(OR(NOT(ISNUMBER(G2989)),NOT(ISNUMBER(H2989))),"",H2989-G2989)</f>
        <v/>
      </c>
      <c r="J2989">
        <f>IF(OR(NOT(ISNUMBER(G2989)),NOT(ISNUMBER(H2989)),G2989=0),"",I2989/G2989)</f>
        <v/>
      </c>
      <c r="K2989">
        <f>IF(OR(NOT(ISNUMBER(G2989)),NOT(ISNUMBER(H2989)),G2989=0),"",H2989/G2989)</f>
        <v/>
      </c>
      <c r="L2989">
        <f>IF(NOT(ISNUMBER(G2989)),"SEM META",IF(G2989=0,"SEM META",IF(NOT(ISNUMBER(H2989)),"SEM APONTAMENTO",IF(H2989&gt;=G2989,"VERDE",IF(H2989&gt;=G2989*0.9,"AMARELO","VERMELHO")))))</f>
        <v/>
      </c>
    </row>
    <row r="2990">
      <c r="A2990" s="321" t="n">
        <v>46505</v>
      </c>
      <c r="B2990" t="inlineStr">
        <is>
          <t>GERAL</t>
        </is>
      </c>
      <c r="C2990" t="inlineStr">
        <is>
          <t>GLOBO AÇOS</t>
        </is>
      </c>
      <c r="D2990" t="inlineStr">
        <is>
          <t>PERFILAÇÃO</t>
        </is>
      </c>
      <c r="F2990">
        <f>IFERROR(INDEX('BASE METAS DIÁRIAS'!$AA$2:$AC$358,MATCH($A2990,'BASE METAS DIÁRIAS'!$A$2:$A$358,0),1),"")</f>
        <v/>
      </c>
      <c r="G2990">
        <f>IFERROR(IF(WEEKDAY($A2990,2)&lt;=INDEX('BASE METAS DIÁRIAS'!$X$2:$Z$358,MATCH($A2990,'BASE METAS DIÁRIAS'!$A$2:$A$358,0),1),INDEX('BASE METAS DIÁRIAS'!$U$2:$W$358,MATCH($A2990,'BASE METAS DIÁRIAS'!$A$2:$A$358,0),1),""),"")</f>
        <v/>
      </c>
      <c r="H2990">
        <f>IFERROR(IF(INDEX('CONTROLE PRODUÇÃO POR EMPRESAS'!$H$6:$J$5000,MATCH($A2990,'CONTROLE PRODUÇÃO POR EMPRESAS'!$A$6:$A$5000,0),1)="","",IFERROR(1*INDEX('CONTROLE PRODUÇÃO POR EMPRESAS'!$H$6:$J$5000,MATCH($A2990,'CONTROLE PRODUÇÃO POR EMPRESAS'!$A$6:$A$5000,0),1),"")),"")</f>
        <v/>
      </c>
      <c r="I2990">
        <f>IF(OR(NOT(ISNUMBER(G2990)),NOT(ISNUMBER(H2990))),"",H2990-G2990)</f>
        <v/>
      </c>
      <c r="J2990">
        <f>IF(OR(NOT(ISNUMBER(G2990)),NOT(ISNUMBER(H2990)),G2990=0),"",I2990/G2990)</f>
        <v/>
      </c>
      <c r="K2990">
        <f>IF(OR(NOT(ISNUMBER(G2990)),NOT(ISNUMBER(H2990)),G2990=0),"",H2990/G2990)</f>
        <v/>
      </c>
      <c r="L2990">
        <f>IF(NOT(ISNUMBER(G2990)),"SEM META",IF(G2990=0,"SEM META",IF(NOT(ISNUMBER(H2990)),"SEM APONTAMENTO",IF(H2990&gt;=G2990,"VERDE",IF(H2990&gt;=G2990*0.9,"AMARELO","VERMELHO")))))</f>
        <v/>
      </c>
    </row>
    <row r="2991">
      <c r="A2991" s="321" t="n">
        <v>46505</v>
      </c>
      <c r="B2991" t="inlineStr">
        <is>
          <t>GERAL</t>
        </is>
      </c>
      <c r="C2991" t="inlineStr">
        <is>
          <t>GLOBO AÇOS</t>
        </is>
      </c>
      <c r="D2991" t="inlineStr">
        <is>
          <t>TELHAR</t>
        </is>
      </c>
      <c r="F2991">
        <f>IFERROR(INDEX('BASE METAS DIÁRIAS'!$AA$2:$AC$358,MATCH($A2991,'BASE METAS DIÁRIAS'!$A$2:$A$358,0),2),"")</f>
        <v/>
      </c>
      <c r="G2991">
        <f>IFERROR(IF(WEEKDAY($A2991,2)&lt;=INDEX('BASE METAS DIÁRIAS'!$X$2:$Z$358,MATCH($A2991,'BASE METAS DIÁRIAS'!$A$2:$A$358,0),2),INDEX('BASE METAS DIÁRIAS'!$U$2:$W$358,MATCH($A2991,'BASE METAS DIÁRIAS'!$A$2:$A$358,0),2),""),"")</f>
        <v/>
      </c>
      <c r="H2991">
        <f>IFERROR(IF(INDEX('CONTROLE PRODUÇÃO POR EMPRESAS'!$H$6:$J$5000,MATCH($A2991,'CONTROLE PRODUÇÃO POR EMPRESAS'!$A$6:$A$5000,0),2)="","",IFERROR(1*INDEX('CONTROLE PRODUÇÃO POR EMPRESAS'!$H$6:$J$5000,MATCH($A2991,'CONTROLE PRODUÇÃO POR EMPRESAS'!$A$6:$A$5000,0),2),"")),"")</f>
        <v/>
      </c>
      <c r="I2991">
        <f>IF(OR(NOT(ISNUMBER(G2991)),NOT(ISNUMBER(H2991))),"",H2991-G2991)</f>
        <v/>
      </c>
      <c r="J2991">
        <f>IF(OR(NOT(ISNUMBER(G2991)),NOT(ISNUMBER(H2991)),G2991=0),"",I2991/G2991)</f>
        <v/>
      </c>
      <c r="K2991">
        <f>IF(OR(NOT(ISNUMBER(G2991)),NOT(ISNUMBER(H2991)),G2991=0),"",H2991/G2991)</f>
        <v/>
      </c>
      <c r="L2991">
        <f>IF(NOT(ISNUMBER(G2991)),"SEM META",IF(G2991=0,"SEM META",IF(NOT(ISNUMBER(H2991)),"SEM APONTAMENTO",IF(H2991&gt;=G2991,"VERDE",IF(H2991&gt;=G2991*0.9,"AMARELO","VERMELHO")))))</f>
        <v/>
      </c>
    </row>
    <row r="2992">
      <c r="A2992" s="321" t="n">
        <v>46505</v>
      </c>
      <c r="B2992" t="inlineStr">
        <is>
          <t>GERAL</t>
        </is>
      </c>
      <c r="C2992" t="inlineStr">
        <is>
          <t>GLOBO AÇOS</t>
        </is>
      </c>
      <c r="D2992" t="inlineStr">
        <is>
          <t>FECHAMENTO</t>
        </is>
      </c>
      <c r="F2992">
        <f>IFERROR(INDEX('BASE METAS DIÁRIAS'!$AA$2:$AC$358,MATCH($A2992,'BASE METAS DIÁRIAS'!$A$2:$A$358,0),3),"")</f>
        <v/>
      </c>
      <c r="G2992">
        <f>IFERROR(IF(WEEKDAY($A2992,2)&lt;=INDEX('BASE METAS DIÁRIAS'!$X$2:$Z$358,MATCH($A2992,'BASE METAS DIÁRIAS'!$A$2:$A$358,0),3),INDEX('BASE METAS DIÁRIAS'!$U$2:$W$358,MATCH($A2992,'BASE METAS DIÁRIAS'!$A$2:$A$358,0),3),""),"")</f>
        <v/>
      </c>
      <c r="H2992">
        <f>IFERROR(IF(INDEX('CONTROLE PRODUÇÃO POR EMPRESAS'!$H$6:$J$5000,MATCH($A2992,'CONTROLE PRODUÇÃO POR EMPRESAS'!$A$6:$A$5000,0),3)="","",IFERROR(1*INDEX('CONTROLE PRODUÇÃO POR EMPRESAS'!$H$6:$J$5000,MATCH($A2992,'CONTROLE PRODUÇÃO POR EMPRESAS'!$A$6:$A$5000,0),3),"")),"")</f>
        <v/>
      </c>
      <c r="I2992">
        <f>IF(OR(NOT(ISNUMBER(G2992)),NOT(ISNUMBER(H2992))),"",H2992-G2992)</f>
        <v/>
      </c>
      <c r="J2992">
        <f>IF(OR(NOT(ISNUMBER(G2992)),NOT(ISNUMBER(H2992)),G2992=0),"",I2992/G2992)</f>
        <v/>
      </c>
      <c r="K2992">
        <f>IF(OR(NOT(ISNUMBER(G2992)),NOT(ISNUMBER(H2992)),G2992=0),"",H2992/G2992)</f>
        <v/>
      </c>
      <c r="L2992">
        <f>IF(NOT(ISNUMBER(G2992)),"SEM META",IF(G2992=0,"SEM META",IF(NOT(ISNUMBER(H2992)),"SEM APONTAMENTO",IF(H2992&gt;=G2992,"VERDE",IF(H2992&gt;=G2992*0.9,"AMARELO","VERMELHO")))))</f>
        <v/>
      </c>
    </row>
    <row r="2993">
      <c r="A2993" s="321" t="n">
        <v>46506</v>
      </c>
      <c r="B2993" t="inlineStr">
        <is>
          <t>GERAL</t>
        </is>
      </c>
      <c r="C2993" t="inlineStr">
        <is>
          <t>GLOBO AÇOS</t>
        </is>
      </c>
      <c r="D2993" t="inlineStr">
        <is>
          <t>PERFILAÇÃO</t>
        </is>
      </c>
      <c r="F2993">
        <f>IFERROR(INDEX('BASE METAS DIÁRIAS'!$AA$2:$AC$358,MATCH($A2993,'BASE METAS DIÁRIAS'!$A$2:$A$358,0),1),"")</f>
        <v/>
      </c>
      <c r="G2993">
        <f>IFERROR(IF(WEEKDAY($A2993,2)&lt;=INDEX('BASE METAS DIÁRIAS'!$X$2:$Z$358,MATCH($A2993,'BASE METAS DIÁRIAS'!$A$2:$A$358,0),1),INDEX('BASE METAS DIÁRIAS'!$U$2:$W$358,MATCH($A2993,'BASE METAS DIÁRIAS'!$A$2:$A$358,0),1),""),"")</f>
        <v/>
      </c>
      <c r="H2993">
        <f>IFERROR(IF(INDEX('CONTROLE PRODUÇÃO POR EMPRESAS'!$H$6:$J$5000,MATCH($A2993,'CONTROLE PRODUÇÃO POR EMPRESAS'!$A$6:$A$5000,0),1)="","",IFERROR(1*INDEX('CONTROLE PRODUÇÃO POR EMPRESAS'!$H$6:$J$5000,MATCH($A2993,'CONTROLE PRODUÇÃO POR EMPRESAS'!$A$6:$A$5000,0),1),"")),"")</f>
        <v/>
      </c>
      <c r="I2993">
        <f>IF(OR(NOT(ISNUMBER(G2993)),NOT(ISNUMBER(H2993))),"",H2993-G2993)</f>
        <v/>
      </c>
      <c r="J2993">
        <f>IF(OR(NOT(ISNUMBER(G2993)),NOT(ISNUMBER(H2993)),G2993=0),"",I2993/G2993)</f>
        <v/>
      </c>
      <c r="K2993">
        <f>IF(OR(NOT(ISNUMBER(G2993)),NOT(ISNUMBER(H2993)),G2993=0),"",H2993/G2993)</f>
        <v/>
      </c>
      <c r="L2993">
        <f>IF(NOT(ISNUMBER(G2993)),"SEM META",IF(G2993=0,"SEM META",IF(NOT(ISNUMBER(H2993)),"SEM APONTAMENTO",IF(H2993&gt;=G2993,"VERDE",IF(H2993&gt;=G2993*0.9,"AMARELO","VERMELHO")))))</f>
        <v/>
      </c>
    </row>
    <row r="2994">
      <c r="A2994" s="321" t="n">
        <v>46506</v>
      </c>
      <c r="B2994" t="inlineStr">
        <is>
          <t>GERAL</t>
        </is>
      </c>
      <c r="C2994" t="inlineStr">
        <is>
          <t>GLOBO AÇOS</t>
        </is>
      </c>
      <c r="D2994" t="inlineStr">
        <is>
          <t>TELHAR</t>
        </is>
      </c>
      <c r="F2994">
        <f>IFERROR(INDEX('BASE METAS DIÁRIAS'!$AA$2:$AC$358,MATCH($A2994,'BASE METAS DIÁRIAS'!$A$2:$A$358,0),2),"")</f>
        <v/>
      </c>
      <c r="G2994">
        <f>IFERROR(IF(WEEKDAY($A2994,2)&lt;=INDEX('BASE METAS DIÁRIAS'!$X$2:$Z$358,MATCH($A2994,'BASE METAS DIÁRIAS'!$A$2:$A$358,0),2),INDEX('BASE METAS DIÁRIAS'!$U$2:$W$358,MATCH($A2994,'BASE METAS DIÁRIAS'!$A$2:$A$358,0),2),""),"")</f>
        <v/>
      </c>
      <c r="H2994">
        <f>IFERROR(IF(INDEX('CONTROLE PRODUÇÃO POR EMPRESAS'!$H$6:$J$5000,MATCH($A2994,'CONTROLE PRODUÇÃO POR EMPRESAS'!$A$6:$A$5000,0),2)="","",IFERROR(1*INDEX('CONTROLE PRODUÇÃO POR EMPRESAS'!$H$6:$J$5000,MATCH($A2994,'CONTROLE PRODUÇÃO POR EMPRESAS'!$A$6:$A$5000,0),2),"")),"")</f>
        <v/>
      </c>
      <c r="I2994">
        <f>IF(OR(NOT(ISNUMBER(G2994)),NOT(ISNUMBER(H2994))),"",H2994-G2994)</f>
        <v/>
      </c>
      <c r="J2994">
        <f>IF(OR(NOT(ISNUMBER(G2994)),NOT(ISNUMBER(H2994)),G2994=0),"",I2994/G2994)</f>
        <v/>
      </c>
      <c r="K2994">
        <f>IF(OR(NOT(ISNUMBER(G2994)),NOT(ISNUMBER(H2994)),G2994=0),"",H2994/G2994)</f>
        <v/>
      </c>
      <c r="L2994">
        <f>IF(NOT(ISNUMBER(G2994)),"SEM META",IF(G2994=0,"SEM META",IF(NOT(ISNUMBER(H2994)),"SEM APONTAMENTO",IF(H2994&gt;=G2994,"VERDE",IF(H2994&gt;=G2994*0.9,"AMARELO","VERMELHO")))))</f>
        <v/>
      </c>
    </row>
    <row r="2995">
      <c r="A2995" s="321" t="n">
        <v>46506</v>
      </c>
      <c r="B2995" t="inlineStr">
        <is>
          <t>GERAL</t>
        </is>
      </c>
      <c r="C2995" t="inlineStr">
        <is>
          <t>GLOBO AÇOS</t>
        </is>
      </c>
      <c r="D2995" t="inlineStr">
        <is>
          <t>FECHAMENTO</t>
        </is>
      </c>
      <c r="F2995">
        <f>IFERROR(INDEX('BASE METAS DIÁRIAS'!$AA$2:$AC$358,MATCH($A2995,'BASE METAS DIÁRIAS'!$A$2:$A$358,0),3),"")</f>
        <v/>
      </c>
      <c r="G2995">
        <f>IFERROR(IF(WEEKDAY($A2995,2)&lt;=INDEX('BASE METAS DIÁRIAS'!$X$2:$Z$358,MATCH($A2995,'BASE METAS DIÁRIAS'!$A$2:$A$358,0),3),INDEX('BASE METAS DIÁRIAS'!$U$2:$W$358,MATCH($A2995,'BASE METAS DIÁRIAS'!$A$2:$A$358,0),3),""),"")</f>
        <v/>
      </c>
      <c r="H2995">
        <f>IFERROR(IF(INDEX('CONTROLE PRODUÇÃO POR EMPRESAS'!$H$6:$J$5000,MATCH($A2995,'CONTROLE PRODUÇÃO POR EMPRESAS'!$A$6:$A$5000,0),3)="","",IFERROR(1*INDEX('CONTROLE PRODUÇÃO POR EMPRESAS'!$H$6:$J$5000,MATCH($A2995,'CONTROLE PRODUÇÃO POR EMPRESAS'!$A$6:$A$5000,0),3),"")),"")</f>
        <v/>
      </c>
      <c r="I2995">
        <f>IF(OR(NOT(ISNUMBER(G2995)),NOT(ISNUMBER(H2995))),"",H2995-G2995)</f>
        <v/>
      </c>
      <c r="J2995">
        <f>IF(OR(NOT(ISNUMBER(G2995)),NOT(ISNUMBER(H2995)),G2995=0),"",I2995/G2995)</f>
        <v/>
      </c>
      <c r="K2995">
        <f>IF(OR(NOT(ISNUMBER(G2995)),NOT(ISNUMBER(H2995)),G2995=0),"",H2995/G2995)</f>
        <v/>
      </c>
      <c r="L2995">
        <f>IF(NOT(ISNUMBER(G2995)),"SEM META",IF(G2995=0,"SEM META",IF(NOT(ISNUMBER(H2995)),"SEM APONTAMENTO",IF(H2995&gt;=G2995,"VERDE",IF(H2995&gt;=G2995*0.9,"AMARELO","VERMELHO")))))</f>
        <v/>
      </c>
    </row>
    <row r="2996">
      <c r="A2996" s="321" t="n">
        <v>46507</v>
      </c>
      <c r="B2996" t="inlineStr">
        <is>
          <t>GERAL</t>
        </is>
      </c>
      <c r="C2996" t="inlineStr">
        <is>
          <t>GLOBO AÇOS</t>
        </is>
      </c>
      <c r="D2996" t="inlineStr">
        <is>
          <t>PERFILAÇÃO</t>
        </is>
      </c>
      <c r="F2996">
        <f>IFERROR(INDEX('BASE METAS DIÁRIAS'!$AA$2:$AC$358,MATCH($A2996,'BASE METAS DIÁRIAS'!$A$2:$A$358,0),1),"")</f>
        <v/>
      </c>
      <c r="G2996">
        <f>IFERROR(IF(WEEKDAY($A2996,2)&lt;=INDEX('BASE METAS DIÁRIAS'!$X$2:$Z$358,MATCH($A2996,'BASE METAS DIÁRIAS'!$A$2:$A$358,0),1),INDEX('BASE METAS DIÁRIAS'!$U$2:$W$358,MATCH($A2996,'BASE METAS DIÁRIAS'!$A$2:$A$358,0),1),""),"")</f>
        <v/>
      </c>
      <c r="H2996">
        <f>IFERROR(IF(INDEX('CONTROLE PRODUÇÃO POR EMPRESAS'!$H$6:$J$5000,MATCH($A2996,'CONTROLE PRODUÇÃO POR EMPRESAS'!$A$6:$A$5000,0),1)="","",IFERROR(1*INDEX('CONTROLE PRODUÇÃO POR EMPRESAS'!$H$6:$J$5000,MATCH($A2996,'CONTROLE PRODUÇÃO POR EMPRESAS'!$A$6:$A$5000,0),1),"")),"")</f>
        <v/>
      </c>
      <c r="I2996">
        <f>IF(OR(NOT(ISNUMBER(G2996)),NOT(ISNUMBER(H2996))),"",H2996-G2996)</f>
        <v/>
      </c>
      <c r="J2996">
        <f>IF(OR(NOT(ISNUMBER(G2996)),NOT(ISNUMBER(H2996)),G2996=0),"",I2996/G2996)</f>
        <v/>
      </c>
      <c r="K2996">
        <f>IF(OR(NOT(ISNUMBER(G2996)),NOT(ISNUMBER(H2996)),G2996=0),"",H2996/G2996)</f>
        <v/>
      </c>
      <c r="L2996">
        <f>IF(NOT(ISNUMBER(G2996)),"SEM META",IF(G2996=0,"SEM META",IF(NOT(ISNUMBER(H2996)),"SEM APONTAMENTO",IF(H2996&gt;=G2996,"VERDE",IF(H2996&gt;=G2996*0.9,"AMARELO","VERMELHO")))))</f>
        <v/>
      </c>
    </row>
    <row r="2997">
      <c r="A2997" s="321" t="n">
        <v>46507</v>
      </c>
      <c r="B2997" t="inlineStr">
        <is>
          <t>GERAL</t>
        </is>
      </c>
      <c r="C2997" t="inlineStr">
        <is>
          <t>GLOBO AÇOS</t>
        </is>
      </c>
      <c r="D2997" t="inlineStr">
        <is>
          <t>TELHAR</t>
        </is>
      </c>
      <c r="F2997">
        <f>IFERROR(INDEX('BASE METAS DIÁRIAS'!$AA$2:$AC$358,MATCH($A2997,'BASE METAS DIÁRIAS'!$A$2:$A$358,0),2),"")</f>
        <v/>
      </c>
      <c r="G2997">
        <f>IFERROR(IF(WEEKDAY($A2997,2)&lt;=INDEX('BASE METAS DIÁRIAS'!$X$2:$Z$358,MATCH($A2997,'BASE METAS DIÁRIAS'!$A$2:$A$358,0),2),INDEX('BASE METAS DIÁRIAS'!$U$2:$W$358,MATCH($A2997,'BASE METAS DIÁRIAS'!$A$2:$A$358,0),2),""),"")</f>
        <v/>
      </c>
      <c r="H2997">
        <f>IFERROR(IF(INDEX('CONTROLE PRODUÇÃO POR EMPRESAS'!$H$6:$J$5000,MATCH($A2997,'CONTROLE PRODUÇÃO POR EMPRESAS'!$A$6:$A$5000,0),2)="","",IFERROR(1*INDEX('CONTROLE PRODUÇÃO POR EMPRESAS'!$H$6:$J$5000,MATCH($A2997,'CONTROLE PRODUÇÃO POR EMPRESAS'!$A$6:$A$5000,0),2),"")),"")</f>
        <v/>
      </c>
      <c r="I2997">
        <f>IF(OR(NOT(ISNUMBER(G2997)),NOT(ISNUMBER(H2997))),"",H2997-G2997)</f>
        <v/>
      </c>
      <c r="J2997">
        <f>IF(OR(NOT(ISNUMBER(G2997)),NOT(ISNUMBER(H2997)),G2997=0),"",I2997/G2997)</f>
        <v/>
      </c>
      <c r="K2997">
        <f>IF(OR(NOT(ISNUMBER(G2997)),NOT(ISNUMBER(H2997)),G2997=0),"",H2997/G2997)</f>
        <v/>
      </c>
      <c r="L2997">
        <f>IF(NOT(ISNUMBER(G2997)),"SEM META",IF(G2997=0,"SEM META",IF(NOT(ISNUMBER(H2997)),"SEM APONTAMENTO",IF(H2997&gt;=G2997,"VERDE",IF(H2997&gt;=G2997*0.9,"AMARELO","VERMELHO")))))</f>
        <v/>
      </c>
    </row>
    <row r="2998">
      <c r="A2998" s="321" t="n">
        <v>46507</v>
      </c>
      <c r="B2998" t="inlineStr">
        <is>
          <t>GERAL</t>
        </is>
      </c>
      <c r="C2998" t="inlineStr">
        <is>
          <t>GLOBO AÇOS</t>
        </is>
      </c>
      <c r="D2998" t="inlineStr">
        <is>
          <t>FECHAMENTO</t>
        </is>
      </c>
      <c r="F2998">
        <f>IFERROR(INDEX('BASE METAS DIÁRIAS'!$AA$2:$AC$358,MATCH($A2998,'BASE METAS DIÁRIAS'!$A$2:$A$358,0),3),"")</f>
        <v/>
      </c>
      <c r="G2998">
        <f>IFERROR(IF(WEEKDAY($A2998,2)&lt;=INDEX('BASE METAS DIÁRIAS'!$X$2:$Z$358,MATCH($A2998,'BASE METAS DIÁRIAS'!$A$2:$A$358,0),3),INDEX('BASE METAS DIÁRIAS'!$U$2:$W$358,MATCH($A2998,'BASE METAS DIÁRIAS'!$A$2:$A$358,0),3),""),"")</f>
        <v/>
      </c>
      <c r="H2998">
        <f>IFERROR(IF(INDEX('CONTROLE PRODUÇÃO POR EMPRESAS'!$H$6:$J$5000,MATCH($A2998,'CONTROLE PRODUÇÃO POR EMPRESAS'!$A$6:$A$5000,0),3)="","",IFERROR(1*INDEX('CONTROLE PRODUÇÃO POR EMPRESAS'!$H$6:$J$5000,MATCH($A2998,'CONTROLE PRODUÇÃO POR EMPRESAS'!$A$6:$A$5000,0),3),"")),"")</f>
        <v/>
      </c>
      <c r="I2998">
        <f>IF(OR(NOT(ISNUMBER(G2998)),NOT(ISNUMBER(H2998))),"",H2998-G2998)</f>
        <v/>
      </c>
      <c r="J2998">
        <f>IF(OR(NOT(ISNUMBER(G2998)),NOT(ISNUMBER(H2998)),G2998=0),"",I2998/G2998)</f>
        <v/>
      </c>
      <c r="K2998">
        <f>IF(OR(NOT(ISNUMBER(G2998)),NOT(ISNUMBER(H2998)),G2998=0),"",H2998/G2998)</f>
        <v/>
      </c>
      <c r="L2998">
        <f>IF(NOT(ISNUMBER(G2998)),"SEM META",IF(G2998=0,"SEM META",IF(NOT(ISNUMBER(H2998)),"SEM APONTAMENTO",IF(H2998&gt;=G2998,"VERDE",IF(H2998&gt;=G2998*0.9,"AMARELO","VERMELHO")))))</f>
        <v/>
      </c>
    </row>
    <row r="2999">
      <c r="A2999" s="321" t="n">
        <v>46508</v>
      </c>
      <c r="B2999" t="inlineStr">
        <is>
          <t>GERAL</t>
        </is>
      </c>
      <c r="C2999" t="inlineStr">
        <is>
          <t>GLOBO AÇOS</t>
        </is>
      </c>
      <c r="D2999" t="inlineStr">
        <is>
          <t>PERFILAÇÃO</t>
        </is>
      </c>
      <c r="F2999">
        <f>IFERROR(INDEX('BASE METAS DIÁRIAS'!$AA$2:$AC$358,MATCH($A2999,'BASE METAS DIÁRIAS'!$A$2:$A$358,0),1),"")</f>
        <v/>
      </c>
      <c r="G2999">
        <f>IFERROR(IF(WEEKDAY($A2999,2)&lt;=INDEX('BASE METAS DIÁRIAS'!$X$2:$Z$358,MATCH($A2999,'BASE METAS DIÁRIAS'!$A$2:$A$358,0),1),INDEX('BASE METAS DIÁRIAS'!$U$2:$W$358,MATCH($A2999,'BASE METAS DIÁRIAS'!$A$2:$A$358,0),1),""),"")</f>
        <v/>
      </c>
      <c r="H2999">
        <f>IFERROR(IF(INDEX('CONTROLE PRODUÇÃO POR EMPRESAS'!$H$6:$J$5000,MATCH($A2999,'CONTROLE PRODUÇÃO POR EMPRESAS'!$A$6:$A$5000,0),1)="","",IFERROR(1*INDEX('CONTROLE PRODUÇÃO POR EMPRESAS'!$H$6:$J$5000,MATCH($A2999,'CONTROLE PRODUÇÃO POR EMPRESAS'!$A$6:$A$5000,0),1),"")),"")</f>
        <v/>
      </c>
      <c r="I2999">
        <f>IF(OR(NOT(ISNUMBER(G2999)),NOT(ISNUMBER(H2999))),"",H2999-G2999)</f>
        <v/>
      </c>
      <c r="J2999">
        <f>IF(OR(NOT(ISNUMBER(G2999)),NOT(ISNUMBER(H2999)),G2999=0),"",I2999/G2999)</f>
        <v/>
      </c>
      <c r="K2999">
        <f>IF(OR(NOT(ISNUMBER(G2999)),NOT(ISNUMBER(H2999)),G2999=0),"",H2999/G2999)</f>
        <v/>
      </c>
      <c r="L2999">
        <f>IF(NOT(ISNUMBER(G2999)),"SEM META",IF(G2999=0,"SEM META",IF(NOT(ISNUMBER(H2999)),"SEM APONTAMENTO",IF(H2999&gt;=G2999,"VERDE",IF(H2999&gt;=G2999*0.9,"AMARELO","VERMELHO")))))</f>
        <v/>
      </c>
    </row>
    <row r="3000">
      <c r="A3000" s="321" t="n">
        <v>46508</v>
      </c>
      <c r="B3000" t="inlineStr">
        <is>
          <t>GERAL</t>
        </is>
      </c>
      <c r="C3000" t="inlineStr">
        <is>
          <t>GLOBO AÇOS</t>
        </is>
      </c>
      <c r="D3000" t="inlineStr">
        <is>
          <t>TELHAR</t>
        </is>
      </c>
      <c r="F3000">
        <f>IFERROR(INDEX('BASE METAS DIÁRIAS'!$AA$2:$AC$358,MATCH($A3000,'BASE METAS DIÁRIAS'!$A$2:$A$358,0),2),"")</f>
        <v/>
      </c>
      <c r="G3000">
        <f>IFERROR(IF(WEEKDAY($A3000,2)&lt;=INDEX('BASE METAS DIÁRIAS'!$X$2:$Z$358,MATCH($A3000,'BASE METAS DIÁRIAS'!$A$2:$A$358,0),2),INDEX('BASE METAS DIÁRIAS'!$U$2:$W$358,MATCH($A3000,'BASE METAS DIÁRIAS'!$A$2:$A$358,0),2),""),"")</f>
        <v/>
      </c>
      <c r="H3000">
        <f>IFERROR(IF(INDEX('CONTROLE PRODUÇÃO POR EMPRESAS'!$H$6:$J$5000,MATCH($A3000,'CONTROLE PRODUÇÃO POR EMPRESAS'!$A$6:$A$5000,0),2)="","",IFERROR(1*INDEX('CONTROLE PRODUÇÃO POR EMPRESAS'!$H$6:$J$5000,MATCH($A3000,'CONTROLE PRODUÇÃO POR EMPRESAS'!$A$6:$A$5000,0),2),"")),"")</f>
        <v/>
      </c>
      <c r="I3000">
        <f>IF(OR(NOT(ISNUMBER(G3000)),NOT(ISNUMBER(H3000))),"",H3000-G3000)</f>
        <v/>
      </c>
      <c r="J3000">
        <f>IF(OR(NOT(ISNUMBER(G3000)),NOT(ISNUMBER(H3000)),G3000=0),"",I3000/G3000)</f>
        <v/>
      </c>
      <c r="K3000">
        <f>IF(OR(NOT(ISNUMBER(G3000)),NOT(ISNUMBER(H3000)),G3000=0),"",H3000/G3000)</f>
        <v/>
      </c>
      <c r="L3000">
        <f>IF(NOT(ISNUMBER(G3000)),"SEM META",IF(G3000=0,"SEM META",IF(NOT(ISNUMBER(H3000)),"SEM APONTAMENTO",IF(H3000&gt;=G3000,"VERDE",IF(H3000&gt;=G3000*0.9,"AMARELO","VERMELHO")))))</f>
        <v/>
      </c>
    </row>
    <row r="3001">
      <c r="A3001" s="321" t="n">
        <v>46508</v>
      </c>
      <c r="B3001" t="inlineStr">
        <is>
          <t>GERAL</t>
        </is>
      </c>
      <c r="C3001" t="inlineStr">
        <is>
          <t>GLOBO AÇOS</t>
        </is>
      </c>
      <c r="D3001" t="inlineStr">
        <is>
          <t>FECHAMENTO</t>
        </is>
      </c>
      <c r="F3001">
        <f>IFERROR(INDEX('BASE METAS DIÁRIAS'!$AA$2:$AC$358,MATCH($A3001,'BASE METAS DIÁRIAS'!$A$2:$A$358,0),3),"")</f>
        <v/>
      </c>
      <c r="G3001">
        <f>IFERROR(IF(WEEKDAY($A3001,2)&lt;=INDEX('BASE METAS DIÁRIAS'!$X$2:$Z$358,MATCH($A3001,'BASE METAS DIÁRIAS'!$A$2:$A$358,0),3),INDEX('BASE METAS DIÁRIAS'!$U$2:$W$358,MATCH($A3001,'BASE METAS DIÁRIAS'!$A$2:$A$358,0),3),""),"")</f>
        <v/>
      </c>
      <c r="H3001">
        <f>IFERROR(IF(INDEX('CONTROLE PRODUÇÃO POR EMPRESAS'!$H$6:$J$5000,MATCH($A3001,'CONTROLE PRODUÇÃO POR EMPRESAS'!$A$6:$A$5000,0),3)="","",IFERROR(1*INDEX('CONTROLE PRODUÇÃO POR EMPRESAS'!$H$6:$J$5000,MATCH($A3001,'CONTROLE PRODUÇÃO POR EMPRESAS'!$A$6:$A$5000,0),3),"")),"")</f>
        <v/>
      </c>
      <c r="I3001">
        <f>IF(OR(NOT(ISNUMBER(G3001)),NOT(ISNUMBER(H3001))),"",H3001-G3001)</f>
        <v/>
      </c>
      <c r="J3001">
        <f>IF(OR(NOT(ISNUMBER(G3001)),NOT(ISNUMBER(H3001)),G3001=0),"",I3001/G3001)</f>
        <v/>
      </c>
      <c r="K3001">
        <f>IF(OR(NOT(ISNUMBER(G3001)),NOT(ISNUMBER(H3001)),G3001=0),"",H3001/G3001)</f>
        <v/>
      </c>
      <c r="L3001">
        <f>IF(NOT(ISNUMBER(G3001)),"SEM META",IF(G3001=0,"SEM META",IF(NOT(ISNUMBER(H3001)),"SEM APONTAMENTO",IF(H3001&gt;=G3001,"VERDE",IF(H3001&gt;=G3001*0.9,"AMARELO","VERMELHO")))))</f>
        <v/>
      </c>
    </row>
    <row r="3002">
      <c r="A3002" s="321" t="n">
        <v>46509</v>
      </c>
      <c r="B3002" t="inlineStr">
        <is>
          <t>GERAL</t>
        </is>
      </c>
      <c r="C3002" t="inlineStr">
        <is>
          <t>GLOBO AÇOS</t>
        </is>
      </c>
      <c r="D3002" t="inlineStr">
        <is>
          <t>PERFILAÇÃO</t>
        </is>
      </c>
      <c r="F3002">
        <f>IFERROR(INDEX('BASE METAS DIÁRIAS'!$AA$2:$AC$358,MATCH($A3002,'BASE METAS DIÁRIAS'!$A$2:$A$358,0),1),"")</f>
        <v/>
      </c>
      <c r="G3002">
        <f>IFERROR(IF(WEEKDAY($A3002,2)&lt;=INDEX('BASE METAS DIÁRIAS'!$X$2:$Z$358,MATCH($A3002,'BASE METAS DIÁRIAS'!$A$2:$A$358,0),1),INDEX('BASE METAS DIÁRIAS'!$U$2:$W$358,MATCH($A3002,'BASE METAS DIÁRIAS'!$A$2:$A$358,0),1),""),"")</f>
        <v/>
      </c>
      <c r="H3002">
        <f>IFERROR(IF(INDEX('CONTROLE PRODUÇÃO POR EMPRESAS'!$H$6:$J$5000,MATCH($A3002,'CONTROLE PRODUÇÃO POR EMPRESAS'!$A$6:$A$5000,0),1)="","",IFERROR(1*INDEX('CONTROLE PRODUÇÃO POR EMPRESAS'!$H$6:$J$5000,MATCH($A3002,'CONTROLE PRODUÇÃO POR EMPRESAS'!$A$6:$A$5000,0),1),"")),"")</f>
        <v/>
      </c>
      <c r="I3002">
        <f>IF(OR(NOT(ISNUMBER(G3002)),NOT(ISNUMBER(H3002))),"",H3002-G3002)</f>
        <v/>
      </c>
      <c r="J3002">
        <f>IF(OR(NOT(ISNUMBER(G3002)),NOT(ISNUMBER(H3002)),G3002=0),"",I3002/G3002)</f>
        <v/>
      </c>
      <c r="K3002">
        <f>IF(OR(NOT(ISNUMBER(G3002)),NOT(ISNUMBER(H3002)),G3002=0),"",H3002/G3002)</f>
        <v/>
      </c>
      <c r="L3002">
        <f>IF(NOT(ISNUMBER(G3002)),"SEM META",IF(G3002=0,"SEM META",IF(NOT(ISNUMBER(H3002)),"SEM APONTAMENTO",IF(H3002&gt;=G3002,"VERDE",IF(H3002&gt;=G3002*0.9,"AMARELO","VERMELHO")))))</f>
        <v/>
      </c>
    </row>
    <row r="3003">
      <c r="A3003" s="321" t="n">
        <v>46509</v>
      </c>
      <c r="B3003" t="inlineStr">
        <is>
          <t>GERAL</t>
        </is>
      </c>
      <c r="C3003" t="inlineStr">
        <is>
          <t>GLOBO AÇOS</t>
        </is>
      </c>
      <c r="D3003" t="inlineStr">
        <is>
          <t>TELHAR</t>
        </is>
      </c>
      <c r="F3003">
        <f>IFERROR(INDEX('BASE METAS DIÁRIAS'!$AA$2:$AC$358,MATCH($A3003,'BASE METAS DIÁRIAS'!$A$2:$A$358,0),2),"")</f>
        <v/>
      </c>
      <c r="G3003">
        <f>IFERROR(IF(WEEKDAY($A3003,2)&lt;=INDEX('BASE METAS DIÁRIAS'!$X$2:$Z$358,MATCH($A3003,'BASE METAS DIÁRIAS'!$A$2:$A$358,0),2),INDEX('BASE METAS DIÁRIAS'!$U$2:$W$358,MATCH($A3003,'BASE METAS DIÁRIAS'!$A$2:$A$358,0),2),""),"")</f>
        <v/>
      </c>
      <c r="H3003">
        <f>IFERROR(IF(INDEX('CONTROLE PRODUÇÃO POR EMPRESAS'!$H$6:$J$5000,MATCH($A3003,'CONTROLE PRODUÇÃO POR EMPRESAS'!$A$6:$A$5000,0),2)="","",IFERROR(1*INDEX('CONTROLE PRODUÇÃO POR EMPRESAS'!$H$6:$J$5000,MATCH($A3003,'CONTROLE PRODUÇÃO POR EMPRESAS'!$A$6:$A$5000,0),2),"")),"")</f>
        <v/>
      </c>
      <c r="I3003">
        <f>IF(OR(NOT(ISNUMBER(G3003)),NOT(ISNUMBER(H3003))),"",H3003-G3003)</f>
        <v/>
      </c>
      <c r="J3003">
        <f>IF(OR(NOT(ISNUMBER(G3003)),NOT(ISNUMBER(H3003)),G3003=0),"",I3003/G3003)</f>
        <v/>
      </c>
      <c r="K3003">
        <f>IF(OR(NOT(ISNUMBER(G3003)),NOT(ISNUMBER(H3003)),G3003=0),"",H3003/G3003)</f>
        <v/>
      </c>
      <c r="L3003">
        <f>IF(NOT(ISNUMBER(G3003)),"SEM META",IF(G3003=0,"SEM META",IF(NOT(ISNUMBER(H3003)),"SEM APONTAMENTO",IF(H3003&gt;=G3003,"VERDE",IF(H3003&gt;=G3003*0.9,"AMARELO","VERMELHO")))))</f>
        <v/>
      </c>
    </row>
    <row r="3004">
      <c r="A3004" s="321" t="n">
        <v>46509</v>
      </c>
      <c r="B3004" t="inlineStr">
        <is>
          <t>GERAL</t>
        </is>
      </c>
      <c r="C3004" t="inlineStr">
        <is>
          <t>GLOBO AÇOS</t>
        </is>
      </c>
      <c r="D3004" t="inlineStr">
        <is>
          <t>FECHAMENTO</t>
        </is>
      </c>
      <c r="F3004">
        <f>IFERROR(INDEX('BASE METAS DIÁRIAS'!$AA$2:$AC$358,MATCH($A3004,'BASE METAS DIÁRIAS'!$A$2:$A$358,0),3),"")</f>
        <v/>
      </c>
      <c r="G3004">
        <f>IFERROR(IF(WEEKDAY($A3004,2)&lt;=INDEX('BASE METAS DIÁRIAS'!$X$2:$Z$358,MATCH($A3004,'BASE METAS DIÁRIAS'!$A$2:$A$358,0),3),INDEX('BASE METAS DIÁRIAS'!$U$2:$W$358,MATCH($A3004,'BASE METAS DIÁRIAS'!$A$2:$A$358,0),3),""),"")</f>
        <v/>
      </c>
      <c r="H3004">
        <f>IFERROR(IF(INDEX('CONTROLE PRODUÇÃO POR EMPRESAS'!$H$6:$J$5000,MATCH($A3004,'CONTROLE PRODUÇÃO POR EMPRESAS'!$A$6:$A$5000,0),3)="","",IFERROR(1*INDEX('CONTROLE PRODUÇÃO POR EMPRESAS'!$H$6:$J$5000,MATCH($A3004,'CONTROLE PRODUÇÃO POR EMPRESAS'!$A$6:$A$5000,0),3),"")),"")</f>
        <v/>
      </c>
      <c r="I3004">
        <f>IF(OR(NOT(ISNUMBER(G3004)),NOT(ISNUMBER(H3004))),"",H3004-G3004)</f>
        <v/>
      </c>
      <c r="J3004">
        <f>IF(OR(NOT(ISNUMBER(G3004)),NOT(ISNUMBER(H3004)),G3004=0),"",I3004/G3004)</f>
        <v/>
      </c>
      <c r="K3004">
        <f>IF(OR(NOT(ISNUMBER(G3004)),NOT(ISNUMBER(H3004)),G3004=0),"",H3004/G3004)</f>
        <v/>
      </c>
      <c r="L3004">
        <f>IF(NOT(ISNUMBER(G3004)),"SEM META",IF(G3004=0,"SEM META",IF(NOT(ISNUMBER(H3004)),"SEM APONTAMENTO",IF(H3004&gt;=G3004,"VERDE",IF(H3004&gt;=G3004*0.9,"AMARELO","VERMELHO")))))</f>
        <v/>
      </c>
    </row>
    <row r="3005">
      <c r="A3005" s="321" t="n">
        <v>46510</v>
      </c>
      <c r="B3005" t="inlineStr">
        <is>
          <t>GERAL</t>
        </is>
      </c>
      <c r="C3005" t="inlineStr">
        <is>
          <t>GLOBO AÇOS</t>
        </is>
      </c>
      <c r="D3005" t="inlineStr">
        <is>
          <t>PERFILAÇÃO</t>
        </is>
      </c>
      <c r="F3005">
        <f>IFERROR(INDEX('BASE METAS DIÁRIAS'!$AA$2:$AC$358,MATCH($A3005,'BASE METAS DIÁRIAS'!$A$2:$A$358,0),1),"")</f>
        <v/>
      </c>
      <c r="G3005">
        <f>IFERROR(IF(WEEKDAY($A3005,2)&lt;=INDEX('BASE METAS DIÁRIAS'!$X$2:$Z$358,MATCH($A3005,'BASE METAS DIÁRIAS'!$A$2:$A$358,0),1),INDEX('BASE METAS DIÁRIAS'!$U$2:$W$358,MATCH($A3005,'BASE METAS DIÁRIAS'!$A$2:$A$358,0),1),""),"")</f>
        <v/>
      </c>
      <c r="H3005">
        <f>IFERROR(IF(INDEX('CONTROLE PRODUÇÃO POR EMPRESAS'!$H$6:$J$5000,MATCH($A3005,'CONTROLE PRODUÇÃO POR EMPRESAS'!$A$6:$A$5000,0),1)="","",IFERROR(1*INDEX('CONTROLE PRODUÇÃO POR EMPRESAS'!$H$6:$J$5000,MATCH($A3005,'CONTROLE PRODUÇÃO POR EMPRESAS'!$A$6:$A$5000,0),1),"")),"")</f>
        <v/>
      </c>
      <c r="I3005">
        <f>IF(OR(NOT(ISNUMBER(G3005)),NOT(ISNUMBER(H3005))),"",H3005-G3005)</f>
        <v/>
      </c>
      <c r="J3005">
        <f>IF(OR(NOT(ISNUMBER(G3005)),NOT(ISNUMBER(H3005)),G3005=0),"",I3005/G3005)</f>
        <v/>
      </c>
      <c r="K3005">
        <f>IF(OR(NOT(ISNUMBER(G3005)),NOT(ISNUMBER(H3005)),G3005=0),"",H3005/G3005)</f>
        <v/>
      </c>
      <c r="L3005">
        <f>IF(NOT(ISNUMBER(G3005)),"SEM META",IF(G3005=0,"SEM META",IF(NOT(ISNUMBER(H3005)),"SEM APONTAMENTO",IF(H3005&gt;=G3005,"VERDE",IF(H3005&gt;=G3005*0.9,"AMARELO","VERMELHO")))))</f>
        <v/>
      </c>
    </row>
    <row r="3006">
      <c r="A3006" s="321" t="n">
        <v>46510</v>
      </c>
      <c r="B3006" t="inlineStr">
        <is>
          <t>GERAL</t>
        </is>
      </c>
      <c r="C3006" t="inlineStr">
        <is>
          <t>GLOBO AÇOS</t>
        </is>
      </c>
      <c r="D3006" t="inlineStr">
        <is>
          <t>TELHAR</t>
        </is>
      </c>
      <c r="F3006">
        <f>IFERROR(INDEX('BASE METAS DIÁRIAS'!$AA$2:$AC$358,MATCH($A3006,'BASE METAS DIÁRIAS'!$A$2:$A$358,0),2),"")</f>
        <v/>
      </c>
      <c r="G3006">
        <f>IFERROR(IF(WEEKDAY($A3006,2)&lt;=INDEX('BASE METAS DIÁRIAS'!$X$2:$Z$358,MATCH($A3006,'BASE METAS DIÁRIAS'!$A$2:$A$358,0),2),INDEX('BASE METAS DIÁRIAS'!$U$2:$W$358,MATCH($A3006,'BASE METAS DIÁRIAS'!$A$2:$A$358,0),2),""),"")</f>
        <v/>
      </c>
      <c r="H3006">
        <f>IFERROR(IF(INDEX('CONTROLE PRODUÇÃO POR EMPRESAS'!$H$6:$J$5000,MATCH($A3006,'CONTROLE PRODUÇÃO POR EMPRESAS'!$A$6:$A$5000,0),2)="","",IFERROR(1*INDEX('CONTROLE PRODUÇÃO POR EMPRESAS'!$H$6:$J$5000,MATCH($A3006,'CONTROLE PRODUÇÃO POR EMPRESAS'!$A$6:$A$5000,0),2),"")),"")</f>
        <v/>
      </c>
      <c r="I3006">
        <f>IF(OR(NOT(ISNUMBER(G3006)),NOT(ISNUMBER(H3006))),"",H3006-G3006)</f>
        <v/>
      </c>
      <c r="J3006">
        <f>IF(OR(NOT(ISNUMBER(G3006)),NOT(ISNUMBER(H3006)),G3006=0),"",I3006/G3006)</f>
        <v/>
      </c>
      <c r="K3006">
        <f>IF(OR(NOT(ISNUMBER(G3006)),NOT(ISNUMBER(H3006)),G3006=0),"",H3006/G3006)</f>
        <v/>
      </c>
      <c r="L3006">
        <f>IF(NOT(ISNUMBER(G3006)),"SEM META",IF(G3006=0,"SEM META",IF(NOT(ISNUMBER(H3006)),"SEM APONTAMENTO",IF(H3006&gt;=G3006,"VERDE",IF(H3006&gt;=G3006*0.9,"AMARELO","VERMELHO")))))</f>
        <v/>
      </c>
    </row>
    <row r="3007">
      <c r="A3007" s="321" t="n">
        <v>46510</v>
      </c>
      <c r="B3007" t="inlineStr">
        <is>
          <t>GERAL</t>
        </is>
      </c>
      <c r="C3007" t="inlineStr">
        <is>
          <t>GLOBO AÇOS</t>
        </is>
      </c>
      <c r="D3007" t="inlineStr">
        <is>
          <t>FECHAMENTO</t>
        </is>
      </c>
      <c r="F3007">
        <f>IFERROR(INDEX('BASE METAS DIÁRIAS'!$AA$2:$AC$358,MATCH($A3007,'BASE METAS DIÁRIAS'!$A$2:$A$358,0),3),"")</f>
        <v/>
      </c>
      <c r="G3007">
        <f>IFERROR(IF(WEEKDAY($A3007,2)&lt;=INDEX('BASE METAS DIÁRIAS'!$X$2:$Z$358,MATCH($A3007,'BASE METAS DIÁRIAS'!$A$2:$A$358,0),3),INDEX('BASE METAS DIÁRIAS'!$U$2:$W$358,MATCH($A3007,'BASE METAS DIÁRIAS'!$A$2:$A$358,0),3),""),"")</f>
        <v/>
      </c>
      <c r="H3007">
        <f>IFERROR(IF(INDEX('CONTROLE PRODUÇÃO POR EMPRESAS'!$H$6:$J$5000,MATCH($A3007,'CONTROLE PRODUÇÃO POR EMPRESAS'!$A$6:$A$5000,0),3)="","",IFERROR(1*INDEX('CONTROLE PRODUÇÃO POR EMPRESAS'!$H$6:$J$5000,MATCH($A3007,'CONTROLE PRODUÇÃO POR EMPRESAS'!$A$6:$A$5000,0),3),"")),"")</f>
        <v/>
      </c>
      <c r="I3007">
        <f>IF(OR(NOT(ISNUMBER(G3007)),NOT(ISNUMBER(H3007))),"",H3007-G3007)</f>
        <v/>
      </c>
      <c r="J3007">
        <f>IF(OR(NOT(ISNUMBER(G3007)),NOT(ISNUMBER(H3007)),G3007=0),"",I3007/G3007)</f>
        <v/>
      </c>
      <c r="K3007">
        <f>IF(OR(NOT(ISNUMBER(G3007)),NOT(ISNUMBER(H3007)),G3007=0),"",H3007/G3007)</f>
        <v/>
      </c>
      <c r="L3007">
        <f>IF(NOT(ISNUMBER(G3007)),"SEM META",IF(G3007=0,"SEM META",IF(NOT(ISNUMBER(H3007)),"SEM APONTAMENTO",IF(H3007&gt;=G3007,"VERDE",IF(H3007&gt;=G3007*0.9,"AMARELO","VERMELHO")))))</f>
        <v/>
      </c>
    </row>
    <row r="3008">
      <c r="A3008" s="321" t="n">
        <v>46511</v>
      </c>
      <c r="B3008" t="inlineStr">
        <is>
          <t>GERAL</t>
        </is>
      </c>
      <c r="C3008" t="inlineStr">
        <is>
          <t>GLOBO AÇOS</t>
        </is>
      </c>
      <c r="D3008" t="inlineStr">
        <is>
          <t>PERFILAÇÃO</t>
        </is>
      </c>
      <c r="F3008">
        <f>IFERROR(INDEX('BASE METAS DIÁRIAS'!$AA$2:$AC$358,MATCH($A3008,'BASE METAS DIÁRIAS'!$A$2:$A$358,0),1),"")</f>
        <v/>
      </c>
      <c r="G3008">
        <f>IFERROR(IF(WEEKDAY($A3008,2)&lt;=INDEX('BASE METAS DIÁRIAS'!$X$2:$Z$358,MATCH($A3008,'BASE METAS DIÁRIAS'!$A$2:$A$358,0),1),INDEX('BASE METAS DIÁRIAS'!$U$2:$W$358,MATCH($A3008,'BASE METAS DIÁRIAS'!$A$2:$A$358,0),1),""),"")</f>
        <v/>
      </c>
      <c r="H3008">
        <f>IFERROR(IF(INDEX('CONTROLE PRODUÇÃO POR EMPRESAS'!$H$6:$J$5000,MATCH($A3008,'CONTROLE PRODUÇÃO POR EMPRESAS'!$A$6:$A$5000,0),1)="","",IFERROR(1*INDEX('CONTROLE PRODUÇÃO POR EMPRESAS'!$H$6:$J$5000,MATCH($A3008,'CONTROLE PRODUÇÃO POR EMPRESAS'!$A$6:$A$5000,0),1),"")),"")</f>
        <v/>
      </c>
      <c r="I3008">
        <f>IF(OR(NOT(ISNUMBER(G3008)),NOT(ISNUMBER(H3008))),"",H3008-G3008)</f>
        <v/>
      </c>
      <c r="J3008">
        <f>IF(OR(NOT(ISNUMBER(G3008)),NOT(ISNUMBER(H3008)),G3008=0),"",I3008/G3008)</f>
        <v/>
      </c>
      <c r="K3008">
        <f>IF(OR(NOT(ISNUMBER(G3008)),NOT(ISNUMBER(H3008)),G3008=0),"",H3008/G3008)</f>
        <v/>
      </c>
      <c r="L3008">
        <f>IF(NOT(ISNUMBER(G3008)),"SEM META",IF(G3008=0,"SEM META",IF(NOT(ISNUMBER(H3008)),"SEM APONTAMENTO",IF(H3008&gt;=G3008,"VERDE",IF(H3008&gt;=G3008*0.9,"AMARELO","VERMELHO")))))</f>
        <v/>
      </c>
    </row>
    <row r="3009">
      <c r="A3009" s="321" t="n">
        <v>46511</v>
      </c>
      <c r="B3009" t="inlineStr">
        <is>
          <t>GERAL</t>
        </is>
      </c>
      <c r="C3009" t="inlineStr">
        <is>
          <t>GLOBO AÇOS</t>
        </is>
      </c>
      <c r="D3009" t="inlineStr">
        <is>
          <t>TELHAR</t>
        </is>
      </c>
      <c r="F3009">
        <f>IFERROR(INDEX('BASE METAS DIÁRIAS'!$AA$2:$AC$358,MATCH($A3009,'BASE METAS DIÁRIAS'!$A$2:$A$358,0),2),"")</f>
        <v/>
      </c>
      <c r="G3009">
        <f>IFERROR(IF(WEEKDAY($A3009,2)&lt;=INDEX('BASE METAS DIÁRIAS'!$X$2:$Z$358,MATCH($A3009,'BASE METAS DIÁRIAS'!$A$2:$A$358,0),2),INDEX('BASE METAS DIÁRIAS'!$U$2:$W$358,MATCH($A3009,'BASE METAS DIÁRIAS'!$A$2:$A$358,0),2),""),"")</f>
        <v/>
      </c>
      <c r="H3009">
        <f>IFERROR(IF(INDEX('CONTROLE PRODUÇÃO POR EMPRESAS'!$H$6:$J$5000,MATCH($A3009,'CONTROLE PRODUÇÃO POR EMPRESAS'!$A$6:$A$5000,0),2)="","",IFERROR(1*INDEX('CONTROLE PRODUÇÃO POR EMPRESAS'!$H$6:$J$5000,MATCH($A3009,'CONTROLE PRODUÇÃO POR EMPRESAS'!$A$6:$A$5000,0),2),"")),"")</f>
        <v/>
      </c>
      <c r="I3009">
        <f>IF(OR(NOT(ISNUMBER(G3009)),NOT(ISNUMBER(H3009))),"",H3009-G3009)</f>
        <v/>
      </c>
      <c r="J3009">
        <f>IF(OR(NOT(ISNUMBER(G3009)),NOT(ISNUMBER(H3009)),G3009=0),"",I3009/G3009)</f>
        <v/>
      </c>
      <c r="K3009">
        <f>IF(OR(NOT(ISNUMBER(G3009)),NOT(ISNUMBER(H3009)),G3009=0),"",H3009/G3009)</f>
        <v/>
      </c>
      <c r="L3009">
        <f>IF(NOT(ISNUMBER(G3009)),"SEM META",IF(G3009=0,"SEM META",IF(NOT(ISNUMBER(H3009)),"SEM APONTAMENTO",IF(H3009&gt;=G3009,"VERDE",IF(H3009&gt;=G3009*0.9,"AMARELO","VERMELHO")))))</f>
        <v/>
      </c>
    </row>
    <row r="3010">
      <c r="A3010" s="321" t="n">
        <v>46511</v>
      </c>
      <c r="B3010" t="inlineStr">
        <is>
          <t>GERAL</t>
        </is>
      </c>
      <c r="C3010" t="inlineStr">
        <is>
          <t>GLOBO AÇOS</t>
        </is>
      </c>
      <c r="D3010" t="inlineStr">
        <is>
          <t>FECHAMENTO</t>
        </is>
      </c>
      <c r="F3010">
        <f>IFERROR(INDEX('BASE METAS DIÁRIAS'!$AA$2:$AC$358,MATCH($A3010,'BASE METAS DIÁRIAS'!$A$2:$A$358,0),3),"")</f>
        <v/>
      </c>
      <c r="G3010">
        <f>IFERROR(IF(WEEKDAY($A3010,2)&lt;=INDEX('BASE METAS DIÁRIAS'!$X$2:$Z$358,MATCH($A3010,'BASE METAS DIÁRIAS'!$A$2:$A$358,0),3),INDEX('BASE METAS DIÁRIAS'!$U$2:$W$358,MATCH($A3010,'BASE METAS DIÁRIAS'!$A$2:$A$358,0),3),""),"")</f>
        <v/>
      </c>
      <c r="H3010">
        <f>IFERROR(IF(INDEX('CONTROLE PRODUÇÃO POR EMPRESAS'!$H$6:$J$5000,MATCH($A3010,'CONTROLE PRODUÇÃO POR EMPRESAS'!$A$6:$A$5000,0),3)="","",IFERROR(1*INDEX('CONTROLE PRODUÇÃO POR EMPRESAS'!$H$6:$J$5000,MATCH($A3010,'CONTROLE PRODUÇÃO POR EMPRESAS'!$A$6:$A$5000,0),3),"")),"")</f>
        <v/>
      </c>
      <c r="I3010">
        <f>IF(OR(NOT(ISNUMBER(G3010)),NOT(ISNUMBER(H3010))),"",H3010-G3010)</f>
        <v/>
      </c>
      <c r="J3010">
        <f>IF(OR(NOT(ISNUMBER(G3010)),NOT(ISNUMBER(H3010)),G3010=0),"",I3010/G3010)</f>
        <v/>
      </c>
      <c r="K3010">
        <f>IF(OR(NOT(ISNUMBER(G3010)),NOT(ISNUMBER(H3010)),G3010=0),"",H3010/G3010)</f>
        <v/>
      </c>
      <c r="L3010">
        <f>IF(NOT(ISNUMBER(G3010)),"SEM META",IF(G3010=0,"SEM META",IF(NOT(ISNUMBER(H3010)),"SEM APONTAMENTO",IF(H3010&gt;=G3010,"VERDE",IF(H3010&gt;=G3010*0.9,"AMARELO","VERMELHO")))))</f>
        <v/>
      </c>
    </row>
    <row r="3011">
      <c r="A3011" s="321" t="n">
        <v>46512</v>
      </c>
      <c r="B3011" t="inlineStr">
        <is>
          <t>GERAL</t>
        </is>
      </c>
      <c r="C3011" t="inlineStr">
        <is>
          <t>GLOBO AÇOS</t>
        </is>
      </c>
      <c r="D3011" t="inlineStr">
        <is>
          <t>PERFILAÇÃO</t>
        </is>
      </c>
      <c r="F3011">
        <f>IFERROR(INDEX('BASE METAS DIÁRIAS'!$AA$2:$AC$358,MATCH($A3011,'BASE METAS DIÁRIAS'!$A$2:$A$358,0),1),"")</f>
        <v/>
      </c>
      <c r="G3011">
        <f>IFERROR(IF(WEEKDAY($A3011,2)&lt;=INDEX('BASE METAS DIÁRIAS'!$X$2:$Z$358,MATCH($A3011,'BASE METAS DIÁRIAS'!$A$2:$A$358,0),1),INDEX('BASE METAS DIÁRIAS'!$U$2:$W$358,MATCH($A3011,'BASE METAS DIÁRIAS'!$A$2:$A$358,0),1),""),"")</f>
        <v/>
      </c>
      <c r="H3011">
        <f>IFERROR(IF(INDEX('CONTROLE PRODUÇÃO POR EMPRESAS'!$H$6:$J$5000,MATCH($A3011,'CONTROLE PRODUÇÃO POR EMPRESAS'!$A$6:$A$5000,0),1)="","",IFERROR(1*INDEX('CONTROLE PRODUÇÃO POR EMPRESAS'!$H$6:$J$5000,MATCH($A3011,'CONTROLE PRODUÇÃO POR EMPRESAS'!$A$6:$A$5000,0),1),"")),"")</f>
        <v/>
      </c>
      <c r="I3011">
        <f>IF(OR(NOT(ISNUMBER(G3011)),NOT(ISNUMBER(H3011))),"",H3011-G3011)</f>
        <v/>
      </c>
      <c r="J3011">
        <f>IF(OR(NOT(ISNUMBER(G3011)),NOT(ISNUMBER(H3011)),G3011=0),"",I3011/G3011)</f>
        <v/>
      </c>
      <c r="K3011">
        <f>IF(OR(NOT(ISNUMBER(G3011)),NOT(ISNUMBER(H3011)),G3011=0),"",H3011/G3011)</f>
        <v/>
      </c>
      <c r="L3011">
        <f>IF(NOT(ISNUMBER(G3011)),"SEM META",IF(G3011=0,"SEM META",IF(NOT(ISNUMBER(H3011)),"SEM APONTAMENTO",IF(H3011&gt;=G3011,"VERDE",IF(H3011&gt;=G3011*0.9,"AMARELO","VERMELHO")))))</f>
        <v/>
      </c>
    </row>
    <row r="3012">
      <c r="A3012" s="321" t="n">
        <v>46512</v>
      </c>
      <c r="B3012" t="inlineStr">
        <is>
          <t>GERAL</t>
        </is>
      </c>
      <c r="C3012" t="inlineStr">
        <is>
          <t>GLOBO AÇOS</t>
        </is>
      </c>
      <c r="D3012" t="inlineStr">
        <is>
          <t>TELHAR</t>
        </is>
      </c>
      <c r="F3012">
        <f>IFERROR(INDEX('BASE METAS DIÁRIAS'!$AA$2:$AC$358,MATCH($A3012,'BASE METAS DIÁRIAS'!$A$2:$A$358,0),2),"")</f>
        <v/>
      </c>
      <c r="G3012">
        <f>IFERROR(IF(WEEKDAY($A3012,2)&lt;=INDEX('BASE METAS DIÁRIAS'!$X$2:$Z$358,MATCH($A3012,'BASE METAS DIÁRIAS'!$A$2:$A$358,0),2),INDEX('BASE METAS DIÁRIAS'!$U$2:$W$358,MATCH($A3012,'BASE METAS DIÁRIAS'!$A$2:$A$358,0),2),""),"")</f>
        <v/>
      </c>
      <c r="H3012">
        <f>IFERROR(IF(INDEX('CONTROLE PRODUÇÃO POR EMPRESAS'!$H$6:$J$5000,MATCH($A3012,'CONTROLE PRODUÇÃO POR EMPRESAS'!$A$6:$A$5000,0),2)="","",IFERROR(1*INDEX('CONTROLE PRODUÇÃO POR EMPRESAS'!$H$6:$J$5000,MATCH($A3012,'CONTROLE PRODUÇÃO POR EMPRESAS'!$A$6:$A$5000,0),2),"")),"")</f>
        <v/>
      </c>
      <c r="I3012">
        <f>IF(OR(NOT(ISNUMBER(G3012)),NOT(ISNUMBER(H3012))),"",H3012-G3012)</f>
        <v/>
      </c>
      <c r="J3012">
        <f>IF(OR(NOT(ISNUMBER(G3012)),NOT(ISNUMBER(H3012)),G3012=0),"",I3012/G3012)</f>
        <v/>
      </c>
      <c r="K3012">
        <f>IF(OR(NOT(ISNUMBER(G3012)),NOT(ISNUMBER(H3012)),G3012=0),"",H3012/G3012)</f>
        <v/>
      </c>
      <c r="L3012">
        <f>IF(NOT(ISNUMBER(G3012)),"SEM META",IF(G3012=0,"SEM META",IF(NOT(ISNUMBER(H3012)),"SEM APONTAMENTO",IF(H3012&gt;=G3012,"VERDE",IF(H3012&gt;=G3012*0.9,"AMARELO","VERMELHO")))))</f>
        <v/>
      </c>
    </row>
    <row r="3013">
      <c r="A3013" s="321" t="n">
        <v>46512</v>
      </c>
      <c r="B3013" t="inlineStr">
        <is>
          <t>GERAL</t>
        </is>
      </c>
      <c r="C3013" t="inlineStr">
        <is>
          <t>GLOBO AÇOS</t>
        </is>
      </c>
      <c r="D3013" t="inlineStr">
        <is>
          <t>FECHAMENTO</t>
        </is>
      </c>
      <c r="F3013">
        <f>IFERROR(INDEX('BASE METAS DIÁRIAS'!$AA$2:$AC$358,MATCH($A3013,'BASE METAS DIÁRIAS'!$A$2:$A$358,0),3),"")</f>
        <v/>
      </c>
      <c r="G3013">
        <f>IFERROR(IF(WEEKDAY($A3013,2)&lt;=INDEX('BASE METAS DIÁRIAS'!$X$2:$Z$358,MATCH($A3013,'BASE METAS DIÁRIAS'!$A$2:$A$358,0),3),INDEX('BASE METAS DIÁRIAS'!$U$2:$W$358,MATCH($A3013,'BASE METAS DIÁRIAS'!$A$2:$A$358,0),3),""),"")</f>
        <v/>
      </c>
      <c r="H3013">
        <f>IFERROR(IF(INDEX('CONTROLE PRODUÇÃO POR EMPRESAS'!$H$6:$J$5000,MATCH($A3013,'CONTROLE PRODUÇÃO POR EMPRESAS'!$A$6:$A$5000,0),3)="","",IFERROR(1*INDEX('CONTROLE PRODUÇÃO POR EMPRESAS'!$H$6:$J$5000,MATCH($A3013,'CONTROLE PRODUÇÃO POR EMPRESAS'!$A$6:$A$5000,0),3),"")),"")</f>
        <v/>
      </c>
      <c r="I3013">
        <f>IF(OR(NOT(ISNUMBER(G3013)),NOT(ISNUMBER(H3013))),"",H3013-G3013)</f>
        <v/>
      </c>
      <c r="J3013">
        <f>IF(OR(NOT(ISNUMBER(G3013)),NOT(ISNUMBER(H3013)),G3013=0),"",I3013/G3013)</f>
        <v/>
      </c>
      <c r="K3013">
        <f>IF(OR(NOT(ISNUMBER(G3013)),NOT(ISNUMBER(H3013)),G3013=0),"",H3013/G3013)</f>
        <v/>
      </c>
      <c r="L3013">
        <f>IF(NOT(ISNUMBER(G3013)),"SEM META",IF(G3013=0,"SEM META",IF(NOT(ISNUMBER(H3013)),"SEM APONTAMENTO",IF(H3013&gt;=G3013,"VERDE",IF(H3013&gt;=G3013*0.9,"AMARELO","VERMELHO")))))</f>
        <v/>
      </c>
    </row>
    <row r="3014">
      <c r="A3014" s="321" t="n">
        <v>46513</v>
      </c>
      <c r="B3014" t="inlineStr">
        <is>
          <t>GERAL</t>
        </is>
      </c>
      <c r="C3014" t="inlineStr">
        <is>
          <t>GLOBO AÇOS</t>
        </is>
      </c>
      <c r="D3014" t="inlineStr">
        <is>
          <t>PERFILAÇÃO</t>
        </is>
      </c>
      <c r="F3014">
        <f>IFERROR(INDEX('BASE METAS DIÁRIAS'!$AA$2:$AC$358,MATCH($A3014,'BASE METAS DIÁRIAS'!$A$2:$A$358,0),1),"")</f>
        <v/>
      </c>
      <c r="G3014">
        <f>IFERROR(IF(WEEKDAY($A3014,2)&lt;=INDEX('BASE METAS DIÁRIAS'!$X$2:$Z$358,MATCH($A3014,'BASE METAS DIÁRIAS'!$A$2:$A$358,0),1),INDEX('BASE METAS DIÁRIAS'!$U$2:$W$358,MATCH($A3014,'BASE METAS DIÁRIAS'!$A$2:$A$358,0),1),""),"")</f>
        <v/>
      </c>
      <c r="H3014">
        <f>IFERROR(IF(INDEX('CONTROLE PRODUÇÃO POR EMPRESAS'!$H$6:$J$5000,MATCH($A3014,'CONTROLE PRODUÇÃO POR EMPRESAS'!$A$6:$A$5000,0),1)="","",IFERROR(1*INDEX('CONTROLE PRODUÇÃO POR EMPRESAS'!$H$6:$J$5000,MATCH($A3014,'CONTROLE PRODUÇÃO POR EMPRESAS'!$A$6:$A$5000,0),1),"")),"")</f>
        <v/>
      </c>
      <c r="I3014">
        <f>IF(OR(NOT(ISNUMBER(G3014)),NOT(ISNUMBER(H3014))),"",H3014-G3014)</f>
        <v/>
      </c>
      <c r="J3014">
        <f>IF(OR(NOT(ISNUMBER(G3014)),NOT(ISNUMBER(H3014)),G3014=0),"",I3014/G3014)</f>
        <v/>
      </c>
      <c r="K3014">
        <f>IF(OR(NOT(ISNUMBER(G3014)),NOT(ISNUMBER(H3014)),G3014=0),"",H3014/G3014)</f>
        <v/>
      </c>
      <c r="L3014">
        <f>IF(NOT(ISNUMBER(G3014)),"SEM META",IF(G3014=0,"SEM META",IF(NOT(ISNUMBER(H3014)),"SEM APONTAMENTO",IF(H3014&gt;=G3014,"VERDE",IF(H3014&gt;=G3014*0.9,"AMARELO","VERMELHO")))))</f>
        <v/>
      </c>
    </row>
    <row r="3015">
      <c r="A3015" s="321" t="n">
        <v>46513</v>
      </c>
      <c r="B3015" t="inlineStr">
        <is>
          <t>GERAL</t>
        </is>
      </c>
      <c r="C3015" t="inlineStr">
        <is>
          <t>GLOBO AÇOS</t>
        </is>
      </c>
      <c r="D3015" t="inlineStr">
        <is>
          <t>TELHAR</t>
        </is>
      </c>
      <c r="F3015">
        <f>IFERROR(INDEX('BASE METAS DIÁRIAS'!$AA$2:$AC$358,MATCH($A3015,'BASE METAS DIÁRIAS'!$A$2:$A$358,0),2),"")</f>
        <v/>
      </c>
      <c r="G3015">
        <f>IFERROR(IF(WEEKDAY($A3015,2)&lt;=INDEX('BASE METAS DIÁRIAS'!$X$2:$Z$358,MATCH($A3015,'BASE METAS DIÁRIAS'!$A$2:$A$358,0),2),INDEX('BASE METAS DIÁRIAS'!$U$2:$W$358,MATCH($A3015,'BASE METAS DIÁRIAS'!$A$2:$A$358,0),2),""),"")</f>
        <v/>
      </c>
      <c r="H3015">
        <f>IFERROR(IF(INDEX('CONTROLE PRODUÇÃO POR EMPRESAS'!$H$6:$J$5000,MATCH($A3015,'CONTROLE PRODUÇÃO POR EMPRESAS'!$A$6:$A$5000,0),2)="","",IFERROR(1*INDEX('CONTROLE PRODUÇÃO POR EMPRESAS'!$H$6:$J$5000,MATCH($A3015,'CONTROLE PRODUÇÃO POR EMPRESAS'!$A$6:$A$5000,0),2),"")),"")</f>
        <v/>
      </c>
      <c r="I3015">
        <f>IF(OR(NOT(ISNUMBER(G3015)),NOT(ISNUMBER(H3015))),"",H3015-G3015)</f>
        <v/>
      </c>
      <c r="J3015">
        <f>IF(OR(NOT(ISNUMBER(G3015)),NOT(ISNUMBER(H3015)),G3015=0),"",I3015/G3015)</f>
        <v/>
      </c>
      <c r="K3015">
        <f>IF(OR(NOT(ISNUMBER(G3015)),NOT(ISNUMBER(H3015)),G3015=0),"",H3015/G3015)</f>
        <v/>
      </c>
      <c r="L3015">
        <f>IF(NOT(ISNUMBER(G3015)),"SEM META",IF(G3015=0,"SEM META",IF(NOT(ISNUMBER(H3015)),"SEM APONTAMENTO",IF(H3015&gt;=G3015,"VERDE",IF(H3015&gt;=G3015*0.9,"AMARELO","VERMELHO")))))</f>
        <v/>
      </c>
    </row>
    <row r="3016">
      <c r="A3016" s="321" t="n">
        <v>46513</v>
      </c>
      <c r="B3016" t="inlineStr">
        <is>
          <t>GERAL</t>
        </is>
      </c>
      <c r="C3016" t="inlineStr">
        <is>
          <t>GLOBO AÇOS</t>
        </is>
      </c>
      <c r="D3016" t="inlineStr">
        <is>
          <t>FECHAMENTO</t>
        </is>
      </c>
      <c r="F3016">
        <f>IFERROR(INDEX('BASE METAS DIÁRIAS'!$AA$2:$AC$358,MATCH($A3016,'BASE METAS DIÁRIAS'!$A$2:$A$358,0),3),"")</f>
        <v/>
      </c>
      <c r="G3016">
        <f>IFERROR(IF(WEEKDAY($A3016,2)&lt;=INDEX('BASE METAS DIÁRIAS'!$X$2:$Z$358,MATCH($A3016,'BASE METAS DIÁRIAS'!$A$2:$A$358,0),3),INDEX('BASE METAS DIÁRIAS'!$U$2:$W$358,MATCH($A3016,'BASE METAS DIÁRIAS'!$A$2:$A$358,0),3),""),"")</f>
        <v/>
      </c>
      <c r="H3016">
        <f>IFERROR(IF(INDEX('CONTROLE PRODUÇÃO POR EMPRESAS'!$H$6:$J$5000,MATCH($A3016,'CONTROLE PRODUÇÃO POR EMPRESAS'!$A$6:$A$5000,0),3)="","",IFERROR(1*INDEX('CONTROLE PRODUÇÃO POR EMPRESAS'!$H$6:$J$5000,MATCH($A3016,'CONTROLE PRODUÇÃO POR EMPRESAS'!$A$6:$A$5000,0),3),"")),"")</f>
        <v/>
      </c>
      <c r="I3016">
        <f>IF(OR(NOT(ISNUMBER(G3016)),NOT(ISNUMBER(H3016))),"",H3016-G3016)</f>
        <v/>
      </c>
      <c r="J3016">
        <f>IF(OR(NOT(ISNUMBER(G3016)),NOT(ISNUMBER(H3016)),G3016=0),"",I3016/G3016)</f>
        <v/>
      </c>
      <c r="K3016">
        <f>IF(OR(NOT(ISNUMBER(G3016)),NOT(ISNUMBER(H3016)),G3016=0),"",H3016/G3016)</f>
        <v/>
      </c>
      <c r="L3016">
        <f>IF(NOT(ISNUMBER(G3016)),"SEM META",IF(G3016=0,"SEM META",IF(NOT(ISNUMBER(H3016)),"SEM APONTAMENTO",IF(H3016&gt;=G3016,"VERDE",IF(H3016&gt;=G3016*0.9,"AMARELO","VERMELHO")))))</f>
        <v/>
      </c>
    </row>
    <row r="3017">
      <c r="A3017" s="321" t="n">
        <v>46514</v>
      </c>
      <c r="B3017" t="inlineStr">
        <is>
          <t>GERAL</t>
        </is>
      </c>
      <c r="C3017" t="inlineStr">
        <is>
          <t>GLOBO AÇOS</t>
        </is>
      </c>
      <c r="D3017" t="inlineStr">
        <is>
          <t>PERFILAÇÃO</t>
        </is>
      </c>
      <c r="F3017">
        <f>IFERROR(INDEX('BASE METAS DIÁRIAS'!$AA$2:$AC$358,MATCH($A3017,'BASE METAS DIÁRIAS'!$A$2:$A$358,0),1),"")</f>
        <v/>
      </c>
      <c r="G3017">
        <f>IFERROR(IF(WEEKDAY($A3017,2)&lt;=INDEX('BASE METAS DIÁRIAS'!$X$2:$Z$358,MATCH($A3017,'BASE METAS DIÁRIAS'!$A$2:$A$358,0),1),INDEX('BASE METAS DIÁRIAS'!$U$2:$W$358,MATCH($A3017,'BASE METAS DIÁRIAS'!$A$2:$A$358,0),1),""),"")</f>
        <v/>
      </c>
      <c r="H3017">
        <f>IFERROR(IF(INDEX('CONTROLE PRODUÇÃO POR EMPRESAS'!$H$6:$J$5000,MATCH($A3017,'CONTROLE PRODUÇÃO POR EMPRESAS'!$A$6:$A$5000,0),1)="","",IFERROR(1*INDEX('CONTROLE PRODUÇÃO POR EMPRESAS'!$H$6:$J$5000,MATCH($A3017,'CONTROLE PRODUÇÃO POR EMPRESAS'!$A$6:$A$5000,0),1),"")),"")</f>
        <v/>
      </c>
      <c r="I3017">
        <f>IF(OR(NOT(ISNUMBER(G3017)),NOT(ISNUMBER(H3017))),"",H3017-G3017)</f>
        <v/>
      </c>
      <c r="J3017">
        <f>IF(OR(NOT(ISNUMBER(G3017)),NOT(ISNUMBER(H3017)),G3017=0),"",I3017/G3017)</f>
        <v/>
      </c>
      <c r="K3017">
        <f>IF(OR(NOT(ISNUMBER(G3017)),NOT(ISNUMBER(H3017)),G3017=0),"",H3017/G3017)</f>
        <v/>
      </c>
      <c r="L3017">
        <f>IF(NOT(ISNUMBER(G3017)),"SEM META",IF(G3017=0,"SEM META",IF(NOT(ISNUMBER(H3017)),"SEM APONTAMENTO",IF(H3017&gt;=G3017,"VERDE",IF(H3017&gt;=G3017*0.9,"AMARELO","VERMELHO")))))</f>
        <v/>
      </c>
    </row>
    <row r="3018">
      <c r="A3018" s="321" t="n">
        <v>46514</v>
      </c>
      <c r="B3018" t="inlineStr">
        <is>
          <t>GERAL</t>
        </is>
      </c>
      <c r="C3018" t="inlineStr">
        <is>
          <t>GLOBO AÇOS</t>
        </is>
      </c>
      <c r="D3018" t="inlineStr">
        <is>
          <t>TELHAR</t>
        </is>
      </c>
      <c r="F3018">
        <f>IFERROR(INDEX('BASE METAS DIÁRIAS'!$AA$2:$AC$358,MATCH($A3018,'BASE METAS DIÁRIAS'!$A$2:$A$358,0),2),"")</f>
        <v/>
      </c>
      <c r="G3018">
        <f>IFERROR(IF(WEEKDAY($A3018,2)&lt;=INDEX('BASE METAS DIÁRIAS'!$X$2:$Z$358,MATCH($A3018,'BASE METAS DIÁRIAS'!$A$2:$A$358,0),2),INDEX('BASE METAS DIÁRIAS'!$U$2:$W$358,MATCH($A3018,'BASE METAS DIÁRIAS'!$A$2:$A$358,0),2),""),"")</f>
        <v/>
      </c>
      <c r="H3018">
        <f>IFERROR(IF(INDEX('CONTROLE PRODUÇÃO POR EMPRESAS'!$H$6:$J$5000,MATCH($A3018,'CONTROLE PRODUÇÃO POR EMPRESAS'!$A$6:$A$5000,0),2)="","",IFERROR(1*INDEX('CONTROLE PRODUÇÃO POR EMPRESAS'!$H$6:$J$5000,MATCH($A3018,'CONTROLE PRODUÇÃO POR EMPRESAS'!$A$6:$A$5000,0),2),"")),"")</f>
        <v/>
      </c>
      <c r="I3018">
        <f>IF(OR(NOT(ISNUMBER(G3018)),NOT(ISNUMBER(H3018))),"",H3018-G3018)</f>
        <v/>
      </c>
      <c r="J3018">
        <f>IF(OR(NOT(ISNUMBER(G3018)),NOT(ISNUMBER(H3018)),G3018=0),"",I3018/G3018)</f>
        <v/>
      </c>
      <c r="K3018">
        <f>IF(OR(NOT(ISNUMBER(G3018)),NOT(ISNUMBER(H3018)),G3018=0),"",H3018/G3018)</f>
        <v/>
      </c>
      <c r="L3018">
        <f>IF(NOT(ISNUMBER(G3018)),"SEM META",IF(G3018=0,"SEM META",IF(NOT(ISNUMBER(H3018)),"SEM APONTAMENTO",IF(H3018&gt;=G3018,"VERDE",IF(H3018&gt;=G3018*0.9,"AMARELO","VERMELHO")))))</f>
        <v/>
      </c>
    </row>
    <row r="3019">
      <c r="A3019" s="321" t="n">
        <v>46514</v>
      </c>
      <c r="B3019" t="inlineStr">
        <is>
          <t>GERAL</t>
        </is>
      </c>
      <c r="C3019" t="inlineStr">
        <is>
          <t>GLOBO AÇOS</t>
        </is>
      </c>
      <c r="D3019" t="inlineStr">
        <is>
          <t>FECHAMENTO</t>
        </is>
      </c>
      <c r="F3019">
        <f>IFERROR(INDEX('BASE METAS DIÁRIAS'!$AA$2:$AC$358,MATCH($A3019,'BASE METAS DIÁRIAS'!$A$2:$A$358,0),3),"")</f>
        <v/>
      </c>
      <c r="G3019">
        <f>IFERROR(IF(WEEKDAY($A3019,2)&lt;=INDEX('BASE METAS DIÁRIAS'!$X$2:$Z$358,MATCH($A3019,'BASE METAS DIÁRIAS'!$A$2:$A$358,0),3),INDEX('BASE METAS DIÁRIAS'!$U$2:$W$358,MATCH($A3019,'BASE METAS DIÁRIAS'!$A$2:$A$358,0),3),""),"")</f>
        <v/>
      </c>
      <c r="H3019">
        <f>IFERROR(IF(INDEX('CONTROLE PRODUÇÃO POR EMPRESAS'!$H$6:$J$5000,MATCH($A3019,'CONTROLE PRODUÇÃO POR EMPRESAS'!$A$6:$A$5000,0),3)="","",IFERROR(1*INDEX('CONTROLE PRODUÇÃO POR EMPRESAS'!$H$6:$J$5000,MATCH($A3019,'CONTROLE PRODUÇÃO POR EMPRESAS'!$A$6:$A$5000,0),3),"")),"")</f>
        <v/>
      </c>
      <c r="I3019">
        <f>IF(OR(NOT(ISNUMBER(G3019)),NOT(ISNUMBER(H3019))),"",H3019-G3019)</f>
        <v/>
      </c>
      <c r="J3019">
        <f>IF(OR(NOT(ISNUMBER(G3019)),NOT(ISNUMBER(H3019)),G3019=0),"",I3019/G3019)</f>
        <v/>
      </c>
      <c r="K3019">
        <f>IF(OR(NOT(ISNUMBER(G3019)),NOT(ISNUMBER(H3019)),G3019=0),"",H3019/G3019)</f>
        <v/>
      </c>
      <c r="L3019">
        <f>IF(NOT(ISNUMBER(G3019)),"SEM META",IF(G3019=0,"SEM META",IF(NOT(ISNUMBER(H3019)),"SEM APONTAMENTO",IF(H3019&gt;=G3019,"VERDE",IF(H3019&gt;=G3019*0.9,"AMARELO","VERMELHO")))))</f>
        <v/>
      </c>
    </row>
    <row r="3020">
      <c r="A3020" s="321" t="n">
        <v>46515</v>
      </c>
      <c r="B3020" t="inlineStr">
        <is>
          <t>GERAL</t>
        </is>
      </c>
      <c r="C3020" t="inlineStr">
        <is>
          <t>GLOBO AÇOS</t>
        </is>
      </c>
      <c r="D3020" t="inlineStr">
        <is>
          <t>PERFILAÇÃO</t>
        </is>
      </c>
      <c r="F3020">
        <f>IFERROR(INDEX('BASE METAS DIÁRIAS'!$AA$2:$AC$358,MATCH($A3020,'BASE METAS DIÁRIAS'!$A$2:$A$358,0),1),"")</f>
        <v/>
      </c>
      <c r="G3020">
        <f>IFERROR(IF(WEEKDAY($A3020,2)&lt;=INDEX('BASE METAS DIÁRIAS'!$X$2:$Z$358,MATCH($A3020,'BASE METAS DIÁRIAS'!$A$2:$A$358,0),1),INDEX('BASE METAS DIÁRIAS'!$U$2:$W$358,MATCH($A3020,'BASE METAS DIÁRIAS'!$A$2:$A$358,0),1),""),"")</f>
        <v/>
      </c>
      <c r="H3020">
        <f>IFERROR(IF(INDEX('CONTROLE PRODUÇÃO POR EMPRESAS'!$H$6:$J$5000,MATCH($A3020,'CONTROLE PRODUÇÃO POR EMPRESAS'!$A$6:$A$5000,0),1)="","",IFERROR(1*INDEX('CONTROLE PRODUÇÃO POR EMPRESAS'!$H$6:$J$5000,MATCH($A3020,'CONTROLE PRODUÇÃO POR EMPRESAS'!$A$6:$A$5000,0),1),"")),"")</f>
        <v/>
      </c>
      <c r="I3020">
        <f>IF(OR(NOT(ISNUMBER(G3020)),NOT(ISNUMBER(H3020))),"",H3020-G3020)</f>
        <v/>
      </c>
      <c r="J3020">
        <f>IF(OR(NOT(ISNUMBER(G3020)),NOT(ISNUMBER(H3020)),G3020=0),"",I3020/G3020)</f>
        <v/>
      </c>
      <c r="K3020">
        <f>IF(OR(NOT(ISNUMBER(G3020)),NOT(ISNUMBER(H3020)),G3020=0),"",H3020/G3020)</f>
        <v/>
      </c>
      <c r="L3020">
        <f>IF(NOT(ISNUMBER(G3020)),"SEM META",IF(G3020=0,"SEM META",IF(NOT(ISNUMBER(H3020)),"SEM APONTAMENTO",IF(H3020&gt;=G3020,"VERDE",IF(H3020&gt;=G3020*0.9,"AMARELO","VERMELHO")))))</f>
        <v/>
      </c>
    </row>
    <row r="3021">
      <c r="A3021" s="321" t="n">
        <v>46515</v>
      </c>
      <c r="B3021" t="inlineStr">
        <is>
          <t>GERAL</t>
        </is>
      </c>
      <c r="C3021" t="inlineStr">
        <is>
          <t>GLOBO AÇOS</t>
        </is>
      </c>
      <c r="D3021" t="inlineStr">
        <is>
          <t>TELHAR</t>
        </is>
      </c>
      <c r="F3021">
        <f>IFERROR(INDEX('BASE METAS DIÁRIAS'!$AA$2:$AC$358,MATCH($A3021,'BASE METAS DIÁRIAS'!$A$2:$A$358,0),2),"")</f>
        <v/>
      </c>
      <c r="G3021">
        <f>IFERROR(IF(WEEKDAY($A3021,2)&lt;=INDEX('BASE METAS DIÁRIAS'!$X$2:$Z$358,MATCH($A3021,'BASE METAS DIÁRIAS'!$A$2:$A$358,0),2),INDEX('BASE METAS DIÁRIAS'!$U$2:$W$358,MATCH($A3021,'BASE METAS DIÁRIAS'!$A$2:$A$358,0),2),""),"")</f>
        <v/>
      </c>
      <c r="H3021">
        <f>IFERROR(IF(INDEX('CONTROLE PRODUÇÃO POR EMPRESAS'!$H$6:$J$5000,MATCH($A3021,'CONTROLE PRODUÇÃO POR EMPRESAS'!$A$6:$A$5000,0),2)="","",IFERROR(1*INDEX('CONTROLE PRODUÇÃO POR EMPRESAS'!$H$6:$J$5000,MATCH($A3021,'CONTROLE PRODUÇÃO POR EMPRESAS'!$A$6:$A$5000,0),2),"")),"")</f>
        <v/>
      </c>
      <c r="I3021">
        <f>IF(OR(NOT(ISNUMBER(G3021)),NOT(ISNUMBER(H3021))),"",H3021-G3021)</f>
        <v/>
      </c>
      <c r="J3021">
        <f>IF(OR(NOT(ISNUMBER(G3021)),NOT(ISNUMBER(H3021)),G3021=0),"",I3021/G3021)</f>
        <v/>
      </c>
      <c r="K3021">
        <f>IF(OR(NOT(ISNUMBER(G3021)),NOT(ISNUMBER(H3021)),G3021=0),"",H3021/G3021)</f>
        <v/>
      </c>
      <c r="L3021">
        <f>IF(NOT(ISNUMBER(G3021)),"SEM META",IF(G3021=0,"SEM META",IF(NOT(ISNUMBER(H3021)),"SEM APONTAMENTO",IF(H3021&gt;=G3021,"VERDE",IF(H3021&gt;=G3021*0.9,"AMARELO","VERMELHO")))))</f>
        <v/>
      </c>
    </row>
    <row r="3022">
      <c r="A3022" s="321" t="n">
        <v>46515</v>
      </c>
      <c r="B3022" t="inlineStr">
        <is>
          <t>GERAL</t>
        </is>
      </c>
      <c r="C3022" t="inlineStr">
        <is>
          <t>GLOBO AÇOS</t>
        </is>
      </c>
      <c r="D3022" t="inlineStr">
        <is>
          <t>FECHAMENTO</t>
        </is>
      </c>
      <c r="F3022">
        <f>IFERROR(INDEX('BASE METAS DIÁRIAS'!$AA$2:$AC$358,MATCH($A3022,'BASE METAS DIÁRIAS'!$A$2:$A$358,0),3),"")</f>
        <v/>
      </c>
      <c r="G3022">
        <f>IFERROR(IF(WEEKDAY($A3022,2)&lt;=INDEX('BASE METAS DIÁRIAS'!$X$2:$Z$358,MATCH($A3022,'BASE METAS DIÁRIAS'!$A$2:$A$358,0),3),INDEX('BASE METAS DIÁRIAS'!$U$2:$W$358,MATCH($A3022,'BASE METAS DIÁRIAS'!$A$2:$A$358,0),3),""),"")</f>
        <v/>
      </c>
      <c r="H3022">
        <f>IFERROR(IF(INDEX('CONTROLE PRODUÇÃO POR EMPRESAS'!$H$6:$J$5000,MATCH($A3022,'CONTROLE PRODUÇÃO POR EMPRESAS'!$A$6:$A$5000,0),3)="","",IFERROR(1*INDEX('CONTROLE PRODUÇÃO POR EMPRESAS'!$H$6:$J$5000,MATCH($A3022,'CONTROLE PRODUÇÃO POR EMPRESAS'!$A$6:$A$5000,0),3),"")),"")</f>
        <v/>
      </c>
      <c r="I3022">
        <f>IF(OR(NOT(ISNUMBER(G3022)),NOT(ISNUMBER(H3022))),"",H3022-G3022)</f>
        <v/>
      </c>
      <c r="J3022">
        <f>IF(OR(NOT(ISNUMBER(G3022)),NOT(ISNUMBER(H3022)),G3022=0),"",I3022/G3022)</f>
        <v/>
      </c>
      <c r="K3022">
        <f>IF(OR(NOT(ISNUMBER(G3022)),NOT(ISNUMBER(H3022)),G3022=0),"",H3022/G3022)</f>
        <v/>
      </c>
      <c r="L3022">
        <f>IF(NOT(ISNUMBER(G3022)),"SEM META",IF(G3022=0,"SEM META",IF(NOT(ISNUMBER(H3022)),"SEM APONTAMENTO",IF(H3022&gt;=G3022,"VERDE",IF(H3022&gt;=G3022*0.9,"AMARELO","VERMELHO")))))</f>
        <v/>
      </c>
    </row>
    <row r="3023">
      <c r="A3023" s="321" t="n">
        <v>46516</v>
      </c>
      <c r="B3023" t="inlineStr">
        <is>
          <t>GERAL</t>
        </is>
      </c>
      <c r="C3023" t="inlineStr">
        <is>
          <t>GLOBO AÇOS</t>
        </is>
      </c>
      <c r="D3023" t="inlineStr">
        <is>
          <t>PERFILAÇÃO</t>
        </is>
      </c>
      <c r="F3023">
        <f>IFERROR(INDEX('BASE METAS DIÁRIAS'!$AA$2:$AC$358,MATCH($A3023,'BASE METAS DIÁRIAS'!$A$2:$A$358,0),1),"")</f>
        <v/>
      </c>
      <c r="G3023">
        <f>IFERROR(IF(WEEKDAY($A3023,2)&lt;=INDEX('BASE METAS DIÁRIAS'!$X$2:$Z$358,MATCH($A3023,'BASE METAS DIÁRIAS'!$A$2:$A$358,0),1),INDEX('BASE METAS DIÁRIAS'!$U$2:$W$358,MATCH($A3023,'BASE METAS DIÁRIAS'!$A$2:$A$358,0),1),""),"")</f>
        <v/>
      </c>
      <c r="H3023">
        <f>IFERROR(IF(INDEX('CONTROLE PRODUÇÃO POR EMPRESAS'!$H$6:$J$5000,MATCH($A3023,'CONTROLE PRODUÇÃO POR EMPRESAS'!$A$6:$A$5000,0),1)="","",IFERROR(1*INDEX('CONTROLE PRODUÇÃO POR EMPRESAS'!$H$6:$J$5000,MATCH($A3023,'CONTROLE PRODUÇÃO POR EMPRESAS'!$A$6:$A$5000,0),1),"")),"")</f>
        <v/>
      </c>
      <c r="I3023">
        <f>IF(OR(NOT(ISNUMBER(G3023)),NOT(ISNUMBER(H3023))),"",H3023-G3023)</f>
        <v/>
      </c>
      <c r="J3023">
        <f>IF(OR(NOT(ISNUMBER(G3023)),NOT(ISNUMBER(H3023)),G3023=0),"",I3023/G3023)</f>
        <v/>
      </c>
      <c r="K3023">
        <f>IF(OR(NOT(ISNUMBER(G3023)),NOT(ISNUMBER(H3023)),G3023=0),"",H3023/G3023)</f>
        <v/>
      </c>
      <c r="L3023">
        <f>IF(NOT(ISNUMBER(G3023)),"SEM META",IF(G3023=0,"SEM META",IF(NOT(ISNUMBER(H3023)),"SEM APONTAMENTO",IF(H3023&gt;=G3023,"VERDE",IF(H3023&gt;=G3023*0.9,"AMARELO","VERMELHO")))))</f>
        <v/>
      </c>
    </row>
    <row r="3024">
      <c r="A3024" s="321" t="n">
        <v>46516</v>
      </c>
      <c r="B3024" t="inlineStr">
        <is>
          <t>GERAL</t>
        </is>
      </c>
      <c r="C3024" t="inlineStr">
        <is>
          <t>GLOBO AÇOS</t>
        </is>
      </c>
      <c r="D3024" t="inlineStr">
        <is>
          <t>TELHAR</t>
        </is>
      </c>
      <c r="F3024">
        <f>IFERROR(INDEX('BASE METAS DIÁRIAS'!$AA$2:$AC$358,MATCH($A3024,'BASE METAS DIÁRIAS'!$A$2:$A$358,0),2),"")</f>
        <v/>
      </c>
      <c r="G3024">
        <f>IFERROR(IF(WEEKDAY($A3024,2)&lt;=INDEX('BASE METAS DIÁRIAS'!$X$2:$Z$358,MATCH($A3024,'BASE METAS DIÁRIAS'!$A$2:$A$358,0),2),INDEX('BASE METAS DIÁRIAS'!$U$2:$W$358,MATCH($A3024,'BASE METAS DIÁRIAS'!$A$2:$A$358,0),2),""),"")</f>
        <v/>
      </c>
      <c r="H3024">
        <f>IFERROR(IF(INDEX('CONTROLE PRODUÇÃO POR EMPRESAS'!$H$6:$J$5000,MATCH($A3024,'CONTROLE PRODUÇÃO POR EMPRESAS'!$A$6:$A$5000,0),2)="","",IFERROR(1*INDEX('CONTROLE PRODUÇÃO POR EMPRESAS'!$H$6:$J$5000,MATCH($A3024,'CONTROLE PRODUÇÃO POR EMPRESAS'!$A$6:$A$5000,0),2),"")),"")</f>
        <v/>
      </c>
      <c r="I3024">
        <f>IF(OR(NOT(ISNUMBER(G3024)),NOT(ISNUMBER(H3024))),"",H3024-G3024)</f>
        <v/>
      </c>
      <c r="J3024">
        <f>IF(OR(NOT(ISNUMBER(G3024)),NOT(ISNUMBER(H3024)),G3024=0),"",I3024/G3024)</f>
        <v/>
      </c>
      <c r="K3024">
        <f>IF(OR(NOT(ISNUMBER(G3024)),NOT(ISNUMBER(H3024)),G3024=0),"",H3024/G3024)</f>
        <v/>
      </c>
      <c r="L3024">
        <f>IF(NOT(ISNUMBER(G3024)),"SEM META",IF(G3024=0,"SEM META",IF(NOT(ISNUMBER(H3024)),"SEM APONTAMENTO",IF(H3024&gt;=G3024,"VERDE",IF(H3024&gt;=G3024*0.9,"AMARELO","VERMELHO")))))</f>
        <v/>
      </c>
    </row>
    <row r="3025">
      <c r="A3025" s="321" t="n">
        <v>46516</v>
      </c>
      <c r="B3025" t="inlineStr">
        <is>
          <t>GERAL</t>
        </is>
      </c>
      <c r="C3025" t="inlineStr">
        <is>
          <t>GLOBO AÇOS</t>
        </is>
      </c>
      <c r="D3025" t="inlineStr">
        <is>
          <t>FECHAMENTO</t>
        </is>
      </c>
      <c r="F3025">
        <f>IFERROR(INDEX('BASE METAS DIÁRIAS'!$AA$2:$AC$358,MATCH($A3025,'BASE METAS DIÁRIAS'!$A$2:$A$358,0),3),"")</f>
        <v/>
      </c>
      <c r="G3025">
        <f>IFERROR(IF(WEEKDAY($A3025,2)&lt;=INDEX('BASE METAS DIÁRIAS'!$X$2:$Z$358,MATCH($A3025,'BASE METAS DIÁRIAS'!$A$2:$A$358,0),3),INDEX('BASE METAS DIÁRIAS'!$U$2:$W$358,MATCH($A3025,'BASE METAS DIÁRIAS'!$A$2:$A$358,0),3),""),"")</f>
        <v/>
      </c>
      <c r="H3025">
        <f>IFERROR(IF(INDEX('CONTROLE PRODUÇÃO POR EMPRESAS'!$H$6:$J$5000,MATCH($A3025,'CONTROLE PRODUÇÃO POR EMPRESAS'!$A$6:$A$5000,0),3)="","",IFERROR(1*INDEX('CONTROLE PRODUÇÃO POR EMPRESAS'!$H$6:$J$5000,MATCH($A3025,'CONTROLE PRODUÇÃO POR EMPRESAS'!$A$6:$A$5000,0),3),"")),"")</f>
        <v/>
      </c>
      <c r="I3025">
        <f>IF(OR(NOT(ISNUMBER(G3025)),NOT(ISNUMBER(H3025))),"",H3025-G3025)</f>
        <v/>
      </c>
      <c r="J3025">
        <f>IF(OR(NOT(ISNUMBER(G3025)),NOT(ISNUMBER(H3025)),G3025=0),"",I3025/G3025)</f>
        <v/>
      </c>
      <c r="K3025">
        <f>IF(OR(NOT(ISNUMBER(G3025)),NOT(ISNUMBER(H3025)),G3025=0),"",H3025/G3025)</f>
        <v/>
      </c>
      <c r="L3025">
        <f>IF(NOT(ISNUMBER(G3025)),"SEM META",IF(G3025=0,"SEM META",IF(NOT(ISNUMBER(H3025)),"SEM APONTAMENTO",IF(H3025&gt;=G3025,"VERDE",IF(H3025&gt;=G3025*0.9,"AMARELO","VERMELHO")))))</f>
        <v/>
      </c>
    </row>
    <row r="3026">
      <c r="A3026" s="321" t="n">
        <v>46517</v>
      </c>
      <c r="B3026" t="inlineStr">
        <is>
          <t>GERAL</t>
        </is>
      </c>
      <c r="C3026" t="inlineStr">
        <is>
          <t>GLOBO AÇOS</t>
        </is>
      </c>
      <c r="D3026" t="inlineStr">
        <is>
          <t>PERFILAÇÃO</t>
        </is>
      </c>
      <c r="F3026">
        <f>IFERROR(INDEX('BASE METAS DIÁRIAS'!$AA$2:$AC$358,MATCH($A3026,'BASE METAS DIÁRIAS'!$A$2:$A$358,0),1),"")</f>
        <v/>
      </c>
      <c r="G3026">
        <f>IFERROR(IF(WEEKDAY($A3026,2)&lt;=INDEX('BASE METAS DIÁRIAS'!$X$2:$Z$358,MATCH($A3026,'BASE METAS DIÁRIAS'!$A$2:$A$358,0),1),INDEX('BASE METAS DIÁRIAS'!$U$2:$W$358,MATCH($A3026,'BASE METAS DIÁRIAS'!$A$2:$A$358,0),1),""),"")</f>
        <v/>
      </c>
      <c r="H3026">
        <f>IFERROR(IF(INDEX('CONTROLE PRODUÇÃO POR EMPRESAS'!$H$6:$J$5000,MATCH($A3026,'CONTROLE PRODUÇÃO POR EMPRESAS'!$A$6:$A$5000,0),1)="","",IFERROR(1*INDEX('CONTROLE PRODUÇÃO POR EMPRESAS'!$H$6:$J$5000,MATCH($A3026,'CONTROLE PRODUÇÃO POR EMPRESAS'!$A$6:$A$5000,0),1),"")),"")</f>
        <v/>
      </c>
      <c r="I3026">
        <f>IF(OR(NOT(ISNUMBER(G3026)),NOT(ISNUMBER(H3026))),"",H3026-G3026)</f>
        <v/>
      </c>
      <c r="J3026">
        <f>IF(OR(NOT(ISNUMBER(G3026)),NOT(ISNUMBER(H3026)),G3026=0),"",I3026/G3026)</f>
        <v/>
      </c>
      <c r="K3026">
        <f>IF(OR(NOT(ISNUMBER(G3026)),NOT(ISNUMBER(H3026)),G3026=0),"",H3026/G3026)</f>
        <v/>
      </c>
      <c r="L3026">
        <f>IF(NOT(ISNUMBER(G3026)),"SEM META",IF(G3026=0,"SEM META",IF(NOT(ISNUMBER(H3026)),"SEM APONTAMENTO",IF(H3026&gt;=G3026,"VERDE",IF(H3026&gt;=G3026*0.9,"AMARELO","VERMELHO")))))</f>
        <v/>
      </c>
    </row>
    <row r="3027">
      <c r="A3027" s="321" t="n">
        <v>46517</v>
      </c>
      <c r="B3027" t="inlineStr">
        <is>
          <t>GERAL</t>
        </is>
      </c>
      <c r="C3027" t="inlineStr">
        <is>
          <t>GLOBO AÇOS</t>
        </is>
      </c>
      <c r="D3027" t="inlineStr">
        <is>
          <t>TELHAR</t>
        </is>
      </c>
      <c r="F3027">
        <f>IFERROR(INDEX('BASE METAS DIÁRIAS'!$AA$2:$AC$358,MATCH($A3027,'BASE METAS DIÁRIAS'!$A$2:$A$358,0),2),"")</f>
        <v/>
      </c>
      <c r="G3027">
        <f>IFERROR(IF(WEEKDAY($A3027,2)&lt;=INDEX('BASE METAS DIÁRIAS'!$X$2:$Z$358,MATCH($A3027,'BASE METAS DIÁRIAS'!$A$2:$A$358,0),2),INDEX('BASE METAS DIÁRIAS'!$U$2:$W$358,MATCH($A3027,'BASE METAS DIÁRIAS'!$A$2:$A$358,0),2),""),"")</f>
        <v/>
      </c>
      <c r="H3027">
        <f>IFERROR(IF(INDEX('CONTROLE PRODUÇÃO POR EMPRESAS'!$H$6:$J$5000,MATCH($A3027,'CONTROLE PRODUÇÃO POR EMPRESAS'!$A$6:$A$5000,0),2)="","",IFERROR(1*INDEX('CONTROLE PRODUÇÃO POR EMPRESAS'!$H$6:$J$5000,MATCH($A3027,'CONTROLE PRODUÇÃO POR EMPRESAS'!$A$6:$A$5000,0),2),"")),"")</f>
        <v/>
      </c>
      <c r="I3027">
        <f>IF(OR(NOT(ISNUMBER(G3027)),NOT(ISNUMBER(H3027))),"",H3027-G3027)</f>
        <v/>
      </c>
      <c r="J3027">
        <f>IF(OR(NOT(ISNUMBER(G3027)),NOT(ISNUMBER(H3027)),G3027=0),"",I3027/G3027)</f>
        <v/>
      </c>
      <c r="K3027">
        <f>IF(OR(NOT(ISNUMBER(G3027)),NOT(ISNUMBER(H3027)),G3027=0),"",H3027/G3027)</f>
        <v/>
      </c>
      <c r="L3027">
        <f>IF(NOT(ISNUMBER(G3027)),"SEM META",IF(G3027=0,"SEM META",IF(NOT(ISNUMBER(H3027)),"SEM APONTAMENTO",IF(H3027&gt;=G3027,"VERDE",IF(H3027&gt;=G3027*0.9,"AMARELO","VERMELHO")))))</f>
        <v/>
      </c>
    </row>
    <row r="3028">
      <c r="A3028" s="321" t="n">
        <v>46517</v>
      </c>
      <c r="B3028" t="inlineStr">
        <is>
          <t>GERAL</t>
        </is>
      </c>
      <c r="C3028" t="inlineStr">
        <is>
          <t>GLOBO AÇOS</t>
        </is>
      </c>
      <c r="D3028" t="inlineStr">
        <is>
          <t>FECHAMENTO</t>
        </is>
      </c>
      <c r="F3028">
        <f>IFERROR(INDEX('BASE METAS DIÁRIAS'!$AA$2:$AC$358,MATCH($A3028,'BASE METAS DIÁRIAS'!$A$2:$A$358,0),3),"")</f>
        <v/>
      </c>
      <c r="G3028">
        <f>IFERROR(IF(WEEKDAY($A3028,2)&lt;=INDEX('BASE METAS DIÁRIAS'!$X$2:$Z$358,MATCH($A3028,'BASE METAS DIÁRIAS'!$A$2:$A$358,0),3),INDEX('BASE METAS DIÁRIAS'!$U$2:$W$358,MATCH($A3028,'BASE METAS DIÁRIAS'!$A$2:$A$358,0),3),""),"")</f>
        <v/>
      </c>
      <c r="H3028">
        <f>IFERROR(IF(INDEX('CONTROLE PRODUÇÃO POR EMPRESAS'!$H$6:$J$5000,MATCH($A3028,'CONTROLE PRODUÇÃO POR EMPRESAS'!$A$6:$A$5000,0),3)="","",IFERROR(1*INDEX('CONTROLE PRODUÇÃO POR EMPRESAS'!$H$6:$J$5000,MATCH($A3028,'CONTROLE PRODUÇÃO POR EMPRESAS'!$A$6:$A$5000,0),3),"")),"")</f>
        <v/>
      </c>
      <c r="I3028">
        <f>IF(OR(NOT(ISNUMBER(G3028)),NOT(ISNUMBER(H3028))),"",H3028-G3028)</f>
        <v/>
      </c>
      <c r="J3028">
        <f>IF(OR(NOT(ISNUMBER(G3028)),NOT(ISNUMBER(H3028)),G3028=0),"",I3028/G3028)</f>
        <v/>
      </c>
      <c r="K3028">
        <f>IF(OR(NOT(ISNUMBER(G3028)),NOT(ISNUMBER(H3028)),G3028=0),"",H3028/G3028)</f>
        <v/>
      </c>
      <c r="L3028">
        <f>IF(NOT(ISNUMBER(G3028)),"SEM META",IF(G3028=0,"SEM META",IF(NOT(ISNUMBER(H3028)),"SEM APONTAMENTO",IF(H3028&gt;=G3028,"VERDE",IF(H3028&gt;=G3028*0.9,"AMARELO","VERMELHO")))))</f>
        <v/>
      </c>
    </row>
    <row r="3029">
      <c r="A3029" s="321" t="n">
        <v>46518</v>
      </c>
      <c r="B3029" t="inlineStr">
        <is>
          <t>GERAL</t>
        </is>
      </c>
      <c r="C3029" t="inlineStr">
        <is>
          <t>GLOBO AÇOS</t>
        </is>
      </c>
      <c r="D3029" t="inlineStr">
        <is>
          <t>PERFILAÇÃO</t>
        </is>
      </c>
      <c r="F3029">
        <f>IFERROR(INDEX('BASE METAS DIÁRIAS'!$AA$2:$AC$358,MATCH($A3029,'BASE METAS DIÁRIAS'!$A$2:$A$358,0),1),"")</f>
        <v/>
      </c>
      <c r="G3029">
        <f>IFERROR(IF(WEEKDAY($A3029,2)&lt;=INDEX('BASE METAS DIÁRIAS'!$X$2:$Z$358,MATCH($A3029,'BASE METAS DIÁRIAS'!$A$2:$A$358,0),1),INDEX('BASE METAS DIÁRIAS'!$U$2:$W$358,MATCH($A3029,'BASE METAS DIÁRIAS'!$A$2:$A$358,0),1),""),"")</f>
        <v/>
      </c>
      <c r="H3029">
        <f>IFERROR(IF(INDEX('CONTROLE PRODUÇÃO POR EMPRESAS'!$H$6:$J$5000,MATCH($A3029,'CONTROLE PRODUÇÃO POR EMPRESAS'!$A$6:$A$5000,0),1)="","",IFERROR(1*INDEX('CONTROLE PRODUÇÃO POR EMPRESAS'!$H$6:$J$5000,MATCH($A3029,'CONTROLE PRODUÇÃO POR EMPRESAS'!$A$6:$A$5000,0),1),"")),"")</f>
        <v/>
      </c>
      <c r="I3029">
        <f>IF(OR(NOT(ISNUMBER(G3029)),NOT(ISNUMBER(H3029))),"",H3029-G3029)</f>
        <v/>
      </c>
      <c r="J3029">
        <f>IF(OR(NOT(ISNUMBER(G3029)),NOT(ISNUMBER(H3029)),G3029=0),"",I3029/G3029)</f>
        <v/>
      </c>
      <c r="K3029">
        <f>IF(OR(NOT(ISNUMBER(G3029)),NOT(ISNUMBER(H3029)),G3029=0),"",H3029/G3029)</f>
        <v/>
      </c>
      <c r="L3029">
        <f>IF(NOT(ISNUMBER(G3029)),"SEM META",IF(G3029=0,"SEM META",IF(NOT(ISNUMBER(H3029)),"SEM APONTAMENTO",IF(H3029&gt;=G3029,"VERDE",IF(H3029&gt;=G3029*0.9,"AMARELO","VERMELHO")))))</f>
        <v/>
      </c>
    </row>
    <row r="3030">
      <c r="A3030" s="321" t="n">
        <v>46518</v>
      </c>
      <c r="B3030" t="inlineStr">
        <is>
          <t>GERAL</t>
        </is>
      </c>
      <c r="C3030" t="inlineStr">
        <is>
          <t>GLOBO AÇOS</t>
        </is>
      </c>
      <c r="D3030" t="inlineStr">
        <is>
          <t>TELHAR</t>
        </is>
      </c>
      <c r="F3030">
        <f>IFERROR(INDEX('BASE METAS DIÁRIAS'!$AA$2:$AC$358,MATCH($A3030,'BASE METAS DIÁRIAS'!$A$2:$A$358,0),2),"")</f>
        <v/>
      </c>
      <c r="G3030">
        <f>IFERROR(IF(WEEKDAY($A3030,2)&lt;=INDEX('BASE METAS DIÁRIAS'!$X$2:$Z$358,MATCH($A3030,'BASE METAS DIÁRIAS'!$A$2:$A$358,0),2),INDEX('BASE METAS DIÁRIAS'!$U$2:$W$358,MATCH($A3030,'BASE METAS DIÁRIAS'!$A$2:$A$358,0),2),""),"")</f>
        <v/>
      </c>
      <c r="H3030">
        <f>IFERROR(IF(INDEX('CONTROLE PRODUÇÃO POR EMPRESAS'!$H$6:$J$5000,MATCH($A3030,'CONTROLE PRODUÇÃO POR EMPRESAS'!$A$6:$A$5000,0),2)="","",IFERROR(1*INDEX('CONTROLE PRODUÇÃO POR EMPRESAS'!$H$6:$J$5000,MATCH($A3030,'CONTROLE PRODUÇÃO POR EMPRESAS'!$A$6:$A$5000,0),2),"")),"")</f>
        <v/>
      </c>
      <c r="I3030">
        <f>IF(OR(NOT(ISNUMBER(G3030)),NOT(ISNUMBER(H3030))),"",H3030-G3030)</f>
        <v/>
      </c>
      <c r="J3030">
        <f>IF(OR(NOT(ISNUMBER(G3030)),NOT(ISNUMBER(H3030)),G3030=0),"",I3030/G3030)</f>
        <v/>
      </c>
      <c r="K3030">
        <f>IF(OR(NOT(ISNUMBER(G3030)),NOT(ISNUMBER(H3030)),G3030=0),"",H3030/G3030)</f>
        <v/>
      </c>
      <c r="L3030">
        <f>IF(NOT(ISNUMBER(G3030)),"SEM META",IF(G3030=0,"SEM META",IF(NOT(ISNUMBER(H3030)),"SEM APONTAMENTO",IF(H3030&gt;=G3030,"VERDE",IF(H3030&gt;=G3030*0.9,"AMARELO","VERMELHO")))))</f>
        <v/>
      </c>
    </row>
    <row r="3031">
      <c r="A3031" s="321" t="n">
        <v>46518</v>
      </c>
      <c r="B3031" t="inlineStr">
        <is>
          <t>GERAL</t>
        </is>
      </c>
      <c r="C3031" t="inlineStr">
        <is>
          <t>GLOBO AÇOS</t>
        </is>
      </c>
      <c r="D3031" t="inlineStr">
        <is>
          <t>FECHAMENTO</t>
        </is>
      </c>
      <c r="F3031">
        <f>IFERROR(INDEX('BASE METAS DIÁRIAS'!$AA$2:$AC$358,MATCH($A3031,'BASE METAS DIÁRIAS'!$A$2:$A$358,0),3),"")</f>
        <v/>
      </c>
      <c r="G3031">
        <f>IFERROR(IF(WEEKDAY($A3031,2)&lt;=INDEX('BASE METAS DIÁRIAS'!$X$2:$Z$358,MATCH($A3031,'BASE METAS DIÁRIAS'!$A$2:$A$358,0),3),INDEX('BASE METAS DIÁRIAS'!$U$2:$W$358,MATCH($A3031,'BASE METAS DIÁRIAS'!$A$2:$A$358,0),3),""),"")</f>
        <v/>
      </c>
      <c r="H3031">
        <f>IFERROR(IF(INDEX('CONTROLE PRODUÇÃO POR EMPRESAS'!$H$6:$J$5000,MATCH($A3031,'CONTROLE PRODUÇÃO POR EMPRESAS'!$A$6:$A$5000,0),3)="","",IFERROR(1*INDEX('CONTROLE PRODUÇÃO POR EMPRESAS'!$H$6:$J$5000,MATCH($A3031,'CONTROLE PRODUÇÃO POR EMPRESAS'!$A$6:$A$5000,0),3),"")),"")</f>
        <v/>
      </c>
      <c r="I3031">
        <f>IF(OR(NOT(ISNUMBER(G3031)),NOT(ISNUMBER(H3031))),"",H3031-G3031)</f>
        <v/>
      </c>
      <c r="J3031">
        <f>IF(OR(NOT(ISNUMBER(G3031)),NOT(ISNUMBER(H3031)),G3031=0),"",I3031/G3031)</f>
        <v/>
      </c>
      <c r="K3031">
        <f>IF(OR(NOT(ISNUMBER(G3031)),NOT(ISNUMBER(H3031)),G3031=0),"",H3031/G3031)</f>
        <v/>
      </c>
      <c r="L3031">
        <f>IF(NOT(ISNUMBER(G3031)),"SEM META",IF(G3031=0,"SEM META",IF(NOT(ISNUMBER(H3031)),"SEM APONTAMENTO",IF(H3031&gt;=G3031,"VERDE",IF(H3031&gt;=G3031*0.9,"AMARELO","VERMELHO")))))</f>
        <v/>
      </c>
    </row>
    <row r="3032">
      <c r="A3032" s="321" t="n">
        <v>46519</v>
      </c>
      <c r="B3032" t="inlineStr">
        <is>
          <t>GERAL</t>
        </is>
      </c>
      <c r="C3032" t="inlineStr">
        <is>
          <t>GLOBO AÇOS</t>
        </is>
      </c>
      <c r="D3032" t="inlineStr">
        <is>
          <t>PERFILAÇÃO</t>
        </is>
      </c>
      <c r="F3032">
        <f>IFERROR(INDEX('BASE METAS DIÁRIAS'!$AA$2:$AC$358,MATCH($A3032,'BASE METAS DIÁRIAS'!$A$2:$A$358,0),1),"")</f>
        <v/>
      </c>
      <c r="G3032">
        <f>IFERROR(IF(WEEKDAY($A3032,2)&lt;=INDEX('BASE METAS DIÁRIAS'!$X$2:$Z$358,MATCH($A3032,'BASE METAS DIÁRIAS'!$A$2:$A$358,0),1),INDEX('BASE METAS DIÁRIAS'!$U$2:$W$358,MATCH($A3032,'BASE METAS DIÁRIAS'!$A$2:$A$358,0),1),""),"")</f>
        <v/>
      </c>
      <c r="H3032">
        <f>IFERROR(IF(INDEX('CONTROLE PRODUÇÃO POR EMPRESAS'!$H$6:$J$5000,MATCH($A3032,'CONTROLE PRODUÇÃO POR EMPRESAS'!$A$6:$A$5000,0),1)="","",IFERROR(1*INDEX('CONTROLE PRODUÇÃO POR EMPRESAS'!$H$6:$J$5000,MATCH($A3032,'CONTROLE PRODUÇÃO POR EMPRESAS'!$A$6:$A$5000,0),1),"")),"")</f>
        <v/>
      </c>
      <c r="I3032">
        <f>IF(OR(NOT(ISNUMBER(G3032)),NOT(ISNUMBER(H3032))),"",H3032-G3032)</f>
        <v/>
      </c>
      <c r="J3032">
        <f>IF(OR(NOT(ISNUMBER(G3032)),NOT(ISNUMBER(H3032)),G3032=0),"",I3032/G3032)</f>
        <v/>
      </c>
      <c r="K3032">
        <f>IF(OR(NOT(ISNUMBER(G3032)),NOT(ISNUMBER(H3032)),G3032=0),"",H3032/G3032)</f>
        <v/>
      </c>
      <c r="L3032">
        <f>IF(NOT(ISNUMBER(G3032)),"SEM META",IF(G3032=0,"SEM META",IF(NOT(ISNUMBER(H3032)),"SEM APONTAMENTO",IF(H3032&gt;=G3032,"VERDE",IF(H3032&gt;=G3032*0.9,"AMARELO","VERMELHO")))))</f>
        <v/>
      </c>
    </row>
    <row r="3033">
      <c r="A3033" s="321" t="n">
        <v>46519</v>
      </c>
      <c r="B3033" t="inlineStr">
        <is>
          <t>GERAL</t>
        </is>
      </c>
      <c r="C3033" t="inlineStr">
        <is>
          <t>GLOBO AÇOS</t>
        </is>
      </c>
      <c r="D3033" t="inlineStr">
        <is>
          <t>TELHAR</t>
        </is>
      </c>
      <c r="F3033">
        <f>IFERROR(INDEX('BASE METAS DIÁRIAS'!$AA$2:$AC$358,MATCH($A3033,'BASE METAS DIÁRIAS'!$A$2:$A$358,0),2),"")</f>
        <v/>
      </c>
      <c r="G3033">
        <f>IFERROR(IF(WEEKDAY($A3033,2)&lt;=INDEX('BASE METAS DIÁRIAS'!$X$2:$Z$358,MATCH($A3033,'BASE METAS DIÁRIAS'!$A$2:$A$358,0),2),INDEX('BASE METAS DIÁRIAS'!$U$2:$W$358,MATCH($A3033,'BASE METAS DIÁRIAS'!$A$2:$A$358,0),2),""),"")</f>
        <v/>
      </c>
      <c r="H3033">
        <f>IFERROR(IF(INDEX('CONTROLE PRODUÇÃO POR EMPRESAS'!$H$6:$J$5000,MATCH($A3033,'CONTROLE PRODUÇÃO POR EMPRESAS'!$A$6:$A$5000,0),2)="","",IFERROR(1*INDEX('CONTROLE PRODUÇÃO POR EMPRESAS'!$H$6:$J$5000,MATCH($A3033,'CONTROLE PRODUÇÃO POR EMPRESAS'!$A$6:$A$5000,0),2),"")),"")</f>
        <v/>
      </c>
      <c r="I3033">
        <f>IF(OR(NOT(ISNUMBER(G3033)),NOT(ISNUMBER(H3033))),"",H3033-G3033)</f>
        <v/>
      </c>
      <c r="J3033">
        <f>IF(OR(NOT(ISNUMBER(G3033)),NOT(ISNUMBER(H3033)),G3033=0),"",I3033/G3033)</f>
        <v/>
      </c>
      <c r="K3033">
        <f>IF(OR(NOT(ISNUMBER(G3033)),NOT(ISNUMBER(H3033)),G3033=0),"",H3033/G3033)</f>
        <v/>
      </c>
      <c r="L3033">
        <f>IF(NOT(ISNUMBER(G3033)),"SEM META",IF(G3033=0,"SEM META",IF(NOT(ISNUMBER(H3033)),"SEM APONTAMENTO",IF(H3033&gt;=G3033,"VERDE",IF(H3033&gt;=G3033*0.9,"AMARELO","VERMELHO")))))</f>
        <v/>
      </c>
    </row>
    <row r="3034">
      <c r="A3034" s="321" t="n">
        <v>46519</v>
      </c>
      <c r="B3034" t="inlineStr">
        <is>
          <t>GERAL</t>
        </is>
      </c>
      <c r="C3034" t="inlineStr">
        <is>
          <t>GLOBO AÇOS</t>
        </is>
      </c>
      <c r="D3034" t="inlineStr">
        <is>
          <t>FECHAMENTO</t>
        </is>
      </c>
      <c r="F3034">
        <f>IFERROR(INDEX('BASE METAS DIÁRIAS'!$AA$2:$AC$358,MATCH($A3034,'BASE METAS DIÁRIAS'!$A$2:$A$358,0),3),"")</f>
        <v/>
      </c>
      <c r="G3034">
        <f>IFERROR(IF(WEEKDAY($A3034,2)&lt;=INDEX('BASE METAS DIÁRIAS'!$X$2:$Z$358,MATCH($A3034,'BASE METAS DIÁRIAS'!$A$2:$A$358,0),3),INDEX('BASE METAS DIÁRIAS'!$U$2:$W$358,MATCH($A3034,'BASE METAS DIÁRIAS'!$A$2:$A$358,0),3),""),"")</f>
        <v/>
      </c>
      <c r="H3034">
        <f>IFERROR(IF(INDEX('CONTROLE PRODUÇÃO POR EMPRESAS'!$H$6:$J$5000,MATCH($A3034,'CONTROLE PRODUÇÃO POR EMPRESAS'!$A$6:$A$5000,0),3)="","",IFERROR(1*INDEX('CONTROLE PRODUÇÃO POR EMPRESAS'!$H$6:$J$5000,MATCH($A3034,'CONTROLE PRODUÇÃO POR EMPRESAS'!$A$6:$A$5000,0),3),"")),"")</f>
        <v/>
      </c>
      <c r="I3034">
        <f>IF(OR(NOT(ISNUMBER(G3034)),NOT(ISNUMBER(H3034))),"",H3034-G3034)</f>
        <v/>
      </c>
      <c r="J3034">
        <f>IF(OR(NOT(ISNUMBER(G3034)),NOT(ISNUMBER(H3034)),G3034=0),"",I3034/G3034)</f>
        <v/>
      </c>
      <c r="K3034">
        <f>IF(OR(NOT(ISNUMBER(G3034)),NOT(ISNUMBER(H3034)),G3034=0),"",H3034/G3034)</f>
        <v/>
      </c>
      <c r="L3034">
        <f>IF(NOT(ISNUMBER(G3034)),"SEM META",IF(G3034=0,"SEM META",IF(NOT(ISNUMBER(H3034)),"SEM APONTAMENTO",IF(H3034&gt;=G3034,"VERDE",IF(H3034&gt;=G3034*0.9,"AMARELO","VERMELHO")))))</f>
        <v/>
      </c>
    </row>
    <row r="3035">
      <c r="A3035" s="321" t="n">
        <v>46520</v>
      </c>
      <c r="B3035" t="inlineStr">
        <is>
          <t>GERAL</t>
        </is>
      </c>
      <c r="C3035" t="inlineStr">
        <is>
          <t>GLOBO AÇOS</t>
        </is>
      </c>
      <c r="D3035" t="inlineStr">
        <is>
          <t>PERFILAÇÃO</t>
        </is>
      </c>
      <c r="F3035">
        <f>IFERROR(INDEX('BASE METAS DIÁRIAS'!$AA$2:$AC$358,MATCH($A3035,'BASE METAS DIÁRIAS'!$A$2:$A$358,0),1),"")</f>
        <v/>
      </c>
      <c r="G3035">
        <f>IFERROR(IF(WEEKDAY($A3035,2)&lt;=INDEX('BASE METAS DIÁRIAS'!$X$2:$Z$358,MATCH($A3035,'BASE METAS DIÁRIAS'!$A$2:$A$358,0),1),INDEX('BASE METAS DIÁRIAS'!$U$2:$W$358,MATCH($A3035,'BASE METAS DIÁRIAS'!$A$2:$A$358,0),1),""),"")</f>
        <v/>
      </c>
      <c r="H3035">
        <f>IFERROR(IF(INDEX('CONTROLE PRODUÇÃO POR EMPRESAS'!$H$6:$J$5000,MATCH($A3035,'CONTROLE PRODUÇÃO POR EMPRESAS'!$A$6:$A$5000,0),1)="","",IFERROR(1*INDEX('CONTROLE PRODUÇÃO POR EMPRESAS'!$H$6:$J$5000,MATCH($A3035,'CONTROLE PRODUÇÃO POR EMPRESAS'!$A$6:$A$5000,0),1),"")),"")</f>
        <v/>
      </c>
      <c r="I3035">
        <f>IF(OR(NOT(ISNUMBER(G3035)),NOT(ISNUMBER(H3035))),"",H3035-G3035)</f>
        <v/>
      </c>
      <c r="J3035">
        <f>IF(OR(NOT(ISNUMBER(G3035)),NOT(ISNUMBER(H3035)),G3035=0),"",I3035/G3035)</f>
        <v/>
      </c>
      <c r="K3035">
        <f>IF(OR(NOT(ISNUMBER(G3035)),NOT(ISNUMBER(H3035)),G3035=0),"",H3035/G3035)</f>
        <v/>
      </c>
      <c r="L3035">
        <f>IF(NOT(ISNUMBER(G3035)),"SEM META",IF(G3035=0,"SEM META",IF(NOT(ISNUMBER(H3035)),"SEM APONTAMENTO",IF(H3035&gt;=G3035,"VERDE",IF(H3035&gt;=G3035*0.9,"AMARELO","VERMELHO")))))</f>
        <v/>
      </c>
    </row>
    <row r="3036">
      <c r="A3036" s="321" t="n">
        <v>46520</v>
      </c>
      <c r="B3036" t="inlineStr">
        <is>
          <t>GERAL</t>
        </is>
      </c>
      <c r="C3036" t="inlineStr">
        <is>
          <t>GLOBO AÇOS</t>
        </is>
      </c>
      <c r="D3036" t="inlineStr">
        <is>
          <t>TELHAR</t>
        </is>
      </c>
      <c r="F3036">
        <f>IFERROR(INDEX('BASE METAS DIÁRIAS'!$AA$2:$AC$358,MATCH($A3036,'BASE METAS DIÁRIAS'!$A$2:$A$358,0),2),"")</f>
        <v/>
      </c>
      <c r="G3036">
        <f>IFERROR(IF(WEEKDAY($A3036,2)&lt;=INDEX('BASE METAS DIÁRIAS'!$X$2:$Z$358,MATCH($A3036,'BASE METAS DIÁRIAS'!$A$2:$A$358,0),2),INDEX('BASE METAS DIÁRIAS'!$U$2:$W$358,MATCH($A3036,'BASE METAS DIÁRIAS'!$A$2:$A$358,0),2),""),"")</f>
        <v/>
      </c>
      <c r="H3036">
        <f>IFERROR(IF(INDEX('CONTROLE PRODUÇÃO POR EMPRESAS'!$H$6:$J$5000,MATCH($A3036,'CONTROLE PRODUÇÃO POR EMPRESAS'!$A$6:$A$5000,0),2)="","",IFERROR(1*INDEX('CONTROLE PRODUÇÃO POR EMPRESAS'!$H$6:$J$5000,MATCH($A3036,'CONTROLE PRODUÇÃO POR EMPRESAS'!$A$6:$A$5000,0),2),"")),"")</f>
        <v/>
      </c>
      <c r="I3036">
        <f>IF(OR(NOT(ISNUMBER(G3036)),NOT(ISNUMBER(H3036))),"",H3036-G3036)</f>
        <v/>
      </c>
      <c r="J3036">
        <f>IF(OR(NOT(ISNUMBER(G3036)),NOT(ISNUMBER(H3036)),G3036=0),"",I3036/G3036)</f>
        <v/>
      </c>
      <c r="K3036">
        <f>IF(OR(NOT(ISNUMBER(G3036)),NOT(ISNUMBER(H3036)),G3036=0),"",H3036/G3036)</f>
        <v/>
      </c>
      <c r="L3036">
        <f>IF(NOT(ISNUMBER(G3036)),"SEM META",IF(G3036=0,"SEM META",IF(NOT(ISNUMBER(H3036)),"SEM APONTAMENTO",IF(H3036&gt;=G3036,"VERDE",IF(H3036&gt;=G3036*0.9,"AMARELO","VERMELHO")))))</f>
        <v/>
      </c>
    </row>
    <row r="3037">
      <c r="A3037" s="321" t="n">
        <v>46520</v>
      </c>
      <c r="B3037" t="inlineStr">
        <is>
          <t>GERAL</t>
        </is>
      </c>
      <c r="C3037" t="inlineStr">
        <is>
          <t>GLOBO AÇOS</t>
        </is>
      </c>
      <c r="D3037" t="inlineStr">
        <is>
          <t>FECHAMENTO</t>
        </is>
      </c>
      <c r="F3037">
        <f>IFERROR(INDEX('BASE METAS DIÁRIAS'!$AA$2:$AC$358,MATCH($A3037,'BASE METAS DIÁRIAS'!$A$2:$A$358,0),3),"")</f>
        <v/>
      </c>
      <c r="G3037">
        <f>IFERROR(IF(WEEKDAY($A3037,2)&lt;=INDEX('BASE METAS DIÁRIAS'!$X$2:$Z$358,MATCH($A3037,'BASE METAS DIÁRIAS'!$A$2:$A$358,0),3),INDEX('BASE METAS DIÁRIAS'!$U$2:$W$358,MATCH($A3037,'BASE METAS DIÁRIAS'!$A$2:$A$358,0),3),""),"")</f>
        <v/>
      </c>
      <c r="H3037">
        <f>IFERROR(IF(INDEX('CONTROLE PRODUÇÃO POR EMPRESAS'!$H$6:$J$5000,MATCH($A3037,'CONTROLE PRODUÇÃO POR EMPRESAS'!$A$6:$A$5000,0),3)="","",IFERROR(1*INDEX('CONTROLE PRODUÇÃO POR EMPRESAS'!$H$6:$J$5000,MATCH($A3037,'CONTROLE PRODUÇÃO POR EMPRESAS'!$A$6:$A$5000,0),3),"")),"")</f>
        <v/>
      </c>
      <c r="I3037">
        <f>IF(OR(NOT(ISNUMBER(G3037)),NOT(ISNUMBER(H3037))),"",H3037-G3037)</f>
        <v/>
      </c>
      <c r="J3037">
        <f>IF(OR(NOT(ISNUMBER(G3037)),NOT(ISNUMBER(H3037)),G3037=0),"",I3037/G3037)</f>
        <v/>
      </c>
      <c r="K3037">
        <f>IF(OR(NOT(ISNUMBER(G3037)),NOT(ISNUMBER(H3037)),G3037=0),"",H3037/G3037)</f>
        <v/>
      </c>
      <c r="L3037">
        <f>IF(NOT(ISNUMBER(G3037)),"SEM META",IF(G3037=0,"SEM META",IF(NOT(ISNUMBER(H3037)),"SEM APONTAMENTO",IF(H3037&gt;=G3037,"VERDE",IF(H3037&gt;=G3037*0.9,"AMARELO","VERMELHO")))))</f>
        <v/>
      </c>
    </row>
    <row r="3038">
      <c r="A3038" s="321" t="n">
        <v>46521</v>
      </c>
      <c r="B3038" t="inlineStr">
        <is>
          <t>GERAL</t>
        </is>
      </c>
      <c r="C3038" t="inlineStr">
        <is>
          <t>GLOBO AÇOS</t>
        </is>
      </c>
      <c r="D3038" t="inlineStr">
        <is>
          <t>PERFILAÇÃO</t>
        </is>
      </c>
      <c r="F3038">
        <f>IFERROR(INDEX('BASE METAS DIÁRIAS'!$AA$2:$AC$358,MATCH($A3038,'BASE METAS DIÁRIAS'!$A$2:$A$358,0),1),"")</f>
        <v/>
      </c>
      <c r="G3038">
        <f>IFERROR(IF(WEEKDAY($A3038,2)&lt;=INDEX('BASE METAS DIÁRIAS'!$X$2:$Z$358,MATCH($A3038,'BASE METAS DIÁRIAS'!$A$2:$A$358,0),1),INDEX('BASE METAS DIÁRIAS'!$U$2:$W$358,MATCH($A3038,'BASE METAS DIÁRIAS'!$A$2:$A$358,0),1),""),"")</f>
        <v/>
      </c>
      <c r="H3038">
        <f>IFERROR(IF(INDEX('CONTROLE PRODUÇÃO POR EMPRESAS'!$H$6:$J$5000,MATCH($A3038,'CONTROLE PRODUÇÃO POR EMPRESAS'!$A$6:$A$5000,0),1)="","",IFERROR(1*INDEX('CONTROLE PRODUÇÃO POR EMPRESAS'!$H$6:$J$5000,MATCH($A3038,'CONTROLE PRODUÇÃO POR EMPRESAS'!$A$6:$A$5000,0),1),"")),"")</f>
        <v/>
      </c>
      <c r="I3038">
        <f>IF(OR(NOT(ISNUMBER(G3038)),NOT(ISNUMBER(H3038))),"",H3038-G3038)</f>
        <v/>
      </c>
      <c r="J3038">
        <f>IF(OR(NOT(ISNUMBER(G3038)),NOT(ISNUMBER(H3038)),G3038=0),"",I3038/G3038)</f>
        <v/>
      </c>
      <c r="K3038">
        <f>IF(OR(NOT(ISNUMBER(G3038)),NOT(ISNUMBER(H3038)),G3038=0),"",H3038/G3038)</f>
        <v/>
      </c>
      <c r="L3038">
        <f>IF(NOT(ISNUMBER(G3038)),"SEM META",IF(G3038=0,"SEM META",IF(NOT(ISNUMBER(H3038)),"SEM APONTAMENTO",IF(H3038&gt;=G3038,"VERDE",IF(H3038&gt;=G3038*0.9,"AMARELO","VERMELHO")))))</f>
        <v/>
      </c>
    </row>
    <row r="3039">
      <c r="A3039" s="321" t="n">
        <v>46521</v>
      </c>
      <c r="B3039" t="inlineStr">
        <is>
          <t>GERAL</t>
        </is>
      </c>
      <c r="C3039" t="inlineStr">
        <is>
          <t>GLOBO AÇOS</t>
        </is>
      </c>
      <c r="D3039" t="inlineStr">
        <is>
          <t>TELHAR</t>
        </is>
      </c>
      <c r="F3039">
        <f>IFERROR(INDEX('BASE METAS DIÁRIAS'!$AA$2:$AC$358,MATCH($A3039,'BASE METAS DIÁRIAS'!$A$2:$A$358,0),2),"")</f>
        <v/>
      </c>
      <c r="G3039">
        <f>IFERROR(IF(WEEKDAY($A3039,2)&lt;=INDEX('BASE METAS DIÁRIAS'!$X$2:$Z$358,MATCH($A3039,'BASE METAS DIÁRIAS'!$A$2:$A$358,0),2),INDEX('BASE METAS DIÁRIAS'!$U$2:$W$358,MATCH($A3039,'BASE METAS DIÁRIAS'!$A$2:$A$358,0),2),""),"")</f>
        <v/>
      </c>
      <c r="H3039">
        <f>IFERROR(IF(INDEX('CONTROLE PRODUÇÃO POR EMPRESAS'!$H$6:$J$5000,MATCH($A3039,'CONTROLE PRODUÇÃO POR EMPRESAS'!$A$6:$A$5000,0),2)="","",IFERROR(1*INDEX('CONTROLE PRODUÇÃO POR EMPRESAS'!$H$6:$J$5000,MATCH($A3039,'CONTROLE PRODUÇÃO POR EMPRESAS'!$A$6:$A$5000,0),2),"")),"")</f>
        <v/>
      </c>
      <c r="I3039">
        <f>IF(OR(NOT(ISNUMBER(G3039)),NOT(ISNUMBER(H3039))),"",H3039-G3039)</f>
        <v/>
      </c>
      <c r="J3039">
        <f>IF(OR(NOT(ISNUMBER(G3039)),NOT(ISNUMBER(H3039)),G3039=0),"",I3039/G3039)</f>
        <v/>
      </c>
      <c r="K3039">
        <f>IF(OR(NOT(ISNUMBER(G3039)),NOT(ISNUMBER(H3039)),G3039=0),"",H3039/G3039)</f>
        <v/>
      </c>
      <c r="L3039">
        <f>IF(NOT(ISNUMBER(G3039)),"SEM META",IF(G3039=0,"SEM META",IF(NOT(ISNUMBER(H3039)),"SEM APONTAMENTO",IF(H3039&gt;=G3039,"VERDE",IF(H3039&gt;=G3039*0.9,"AMARELO","VERMELHO")))))</f>
        <v/>
      </c>
    </row>
    <row r="3040">
      <c r="A3040" s="321" t="n">
        <v>46521</v>
      </c>
      <c r="B3040" t="inlineStr">
        <is>
          <t>GERAL</t>
        </is>
      </c>
      <c r="C3040" t="inlineStr">
        <is>
          <t>GLOBO AÇOS</t>
        </is>
      </c>
      <c r="D3040" t="inlineStr">
        <is>
          <t>FECHAMENTO</t>
        </is>
      </c>
      <c r="F3040">
        <f>IFERROR(INDEX('BASE METAS DIÁRIAS'!$AA$2:$AC$358,MATCH($A3040,'BASE METAS DIÁRIAS'!$A$2:$A$358,0),3),"")</f>
        <v/>
      </c>
      <c r="G3040">
        <f>IFERROR(IF(WEEKDAY($A3040,2)&lt;=INDEX('BASE METAS DIÁRIAS'!$X$2:$Z$358,MATCH($A3040,'BASE METAS DIÁRIAS'!$A$2:$A$358,0),3),INDEX('BASE METAS DIÁRIAS'!$U$2:$W$358,MATCH($A3040,'BASE METAS DIÁRIAS'!$A$2:$A$358,0),3),""),"")</f>
        <v/>
      </c>
      <c r="H3040">
        <f>IFERROR(IF(INDEX('CONTROLE PRODUÇÃO POR EMPRESAS'!$H$6:$J$5000,MATCH($A3040,'CONTROLE PRODUÇÃO POR EMPRESAS'!$A$6:$A$5000,0),3)="","",IFERROR(1*INDEX('CONTROLE PRODUÇÃO POR EMPRESAS'!$H$6:$J$5000,MATCH($A3040,'CONTROLE PRODUÇÃO POR EMPRESAS'!$A$6:$A$5000,0),3),"")),"")</f>
        <v/>
      </c>
      <c r="I3040">
        <f>IF(OR(NOT(ISNUMBER(G3040)),NOT(ISNUMBER(H3040))),"",H3040-G3040)</f>
        <v/>
      </c>
      <c r="J3040">
        <f>IF(OR(NOT(ISNUMBER(G3040)),NOT(ISNUMBER(H3040)),G3040=0),"",I3040/G3040)</f>
        <v/>
      </c>
      <c r="K3040">
        <f>IF(OR(NOT(ISNUMBER(G3040)),NOT(ISNUMBER(H3040)),G3040=0),"",H3040/G3040)</f>
        <v/>
      </c>
      <c r="L3040">
        <f>IF(NOT(ISNUMBER(G3040)),"SEM META",IF(G3040=0,"SEM META",IF(NOT(ISNUMBER(H3040)),"SEM APONTAMENTO",IF(H3040&gt;=G3040,"VERDE",IF(H3040&gt;=G3040*0.9,"AMARELO","VERMELHO")))))</f>
        <v/>
      </c>
    </row>
    <row r="3041">
      <c r="A3041" s="321" t="n">
        <v>46522</v>
      </c>
      <c r="B3041" t="inlineStr">
        <is>
          <t>GERAL</t>
        </is>
      </c>
      <c r="C3041" t="inlineStr">
        <is>
          <t>GLOBO AÇOS</t>
        </is>
      </c>
      <c r="D3041" t="inlineStr">
        <is>
          <t>PERFILAÇÃO</t>
        </is>
      </c>
      <c r="F3041">
        <f>IFERROR(INDEX('BASE METAS DIÁRIAS'!$AA$2:$AC$358,MATCH($A3041,'BASE METAS DIÁRIAS'!$A$2:$A$358,0),1),"")</f>
        <v/>
      </c>
      <c r="G3041">
        <f>IFERROR(IF(WEEKDAY($A3041,2)&lt;=INDEX('BASE METAS DIÁRIAS'!$X$2:$Z$358,MATCH($A3041,'BASE METAS DIÁRIAS'!$A$2:$A$358,0),1),INDEX('BASE METAS DIÁRIAS'!$U$2:$W$358,MATCH($A3041,'BASE METAS DIÁRIAS'!$A$2:$A$358,0),1),""),"")</f>
        <v/>
      </c>
      <c r="H3041">
        <f>IFERROR(IF(INDEX('CONTROLE PRODUÇÃO POR EMPRESAS'!$H$6:$J$5000,MATCH($A3041,'CONTROLE PRODUÇÃO POR EMPRESAS'!$A$6:$A$5000,0),1)="","",IFERROR(1*INDEX('CONTROLE PRODUÇÃO POR EMPRESAS'!$H$6:$J$5000,MATCH($A3041,'CONTROLE PRODUÇÃO POR EMPRESAS'!$A$6:$A$5000,0),1),"")),"")</f>
        <v/>
      </c>
      <c r="I3041">
        <f>IF(OR(NOT(ISNUMBER(G3041)),NOT(ISNUMBER(H3041))),"",H3041-G3041)</f>
        <v/>
      </c>
      <c r="J3041">
        <f>IF(OR(NOT(ISNUMBER(G3041)),NOT(ISNUMBER(H3041)),G3041=0),"",I3041/G3041)</f>
        <v/>
      </c>
      <c r="K3041">
        <f>IF(OR(NOT(ISNUMBER(G3041)),NOT(ISNUMBER(H3041)),G3041=0),"",H3041/G3041)</f>
        <v/>
      </c>
      <c r="L3041">
        <f>IF(NOT(ISNUMBER(G3041)),"SEM META",IF(G3041=0,"SEM META",IF(NOT(ISNUMBER(H3041)),"SEM APONTAMENTO",IF(H3041&gt;=G3041,"VERDE",IF(H3041&gt;=G3041*0.9,"AMARELO","VERMELHO")))))</f>
        <v/>
      </c>
    </row>
    <row r="3042">
      <c r="A3042" s="321" t="n">
        <v>46522</v>
      </c>
      <c r="B3042" t="inlineStr">
        <is>
          <t>GERAL</t>
        </is>
      </c>
      <c r="C3042" t="inlineStr">
        <is>
          <t>GLOBO AÇOS</t>
        </is>
      </c>
      <c r="D3042" t="inlineStr">
        <is>
          <t>TELHAR</t>
        </is>
      </c>
      <c r="F3042">
        <f>IFERROR(INDEX('BASE METAS DIÁRIAS'!$AA$2:$AC$358,MATCH($A3042,'BASE METAS DIÁRIAS'!$A$2:$A$358,0),2),"")</f>
        <v/>
      </c>
      <c r="G3042">
        <f>IFERROR(IF(WEEKDAY($A3042,2)&lt;=INDEX('BASE METAS DIÁRIAS'!$X$2:$Z$358,MATCH($A3042,'BASE METAS DIÁRIAS'!$A$2:$A$358,0),2),INDEX('BASE METAS DIÁRIAS'!$U$2:$W$358,MATCH($A3042,'BASE METAS DIÁRIAS'!$A$2:$A$358,0),2),""),"")</f>
        <v/>
      </c>
      <c r="H3042">
        <f>IFERROR(IF(INDEX('CONTROLE PRODUÇÃO POR EMPRESAS'!$H$6:$J$5000,MATCH($A3042,'CONTROLE PRODUÇÃO POR EMPRESAS'!$A$6:$A$5000,0),2)="","",IFERROR(1*INDEX('CONTROLE PRODUÇÃO POR EMPRESAS'!$H$6:$J$5000,MATCH($A3042,'CONTROLE PRODUÇÃO POR EMPRESAS'!$A$6:$A$5000,0),2),"")),"")</f>
        <v/>
      </c>
      <c r="I3042">
        <f>IF(OR(NOT(ISNUMBER(G3042)),NOT(ISNUMBER(H3042))),"",H3042-G3042)</f>
        <v/>
      </c>
      <c r="J3042">
        <f>IF(OR(NOT(ISNUMBER(G3042)),NOT(ISNUMBER(H3042)),G3042=0),"",I3042/G3042)</f>
        <v/>
      </c>
      <c r="K3042">
        <f>IF(OR(NOT(ISNUMBER(G3042)),NOT(ISNUMBER(H3042)),G3042=0),"",H3042/G3042)</f>
        <v/>
      </c>
      <c r="L3042">
        <f>IF(NOT(ISNUMBER(G3042)),"SEM META",IF(G3042=0,"SEM META",IF(NOT(ISNUMBER(H3042)),"SEM APONTAMENTO",IF(H3042&gt;=G3042,"VERDE",IF(H3042&gt;=G3042*0.9,"AMARELO","VERMELHO")))))</f>
        <v/>
      </c>
    </row>
    <row r="3043">
      <c r="A3043" s="321" t="n">
        <v>46522</v>
      </c>
      <c r="B3043" t="inlineStr">
        <is>
          <t>GERAL</t>
        </is>
      </c>
      <c r="C3043" t="inlineStr">
        <is>
          <t>GLOBO AÇOS</t>
        </is>
      </c>
      <c r="D3043" t="inlineStr">
        <is>
          <t>FECHAMENTO</t>
        </is>
      </c>
      <c r="F3043">
        <f>IFERROR(INDEX('BASE METAS DIÁRIAS'!$AA$2:$AC$358,MATCH($A3043,'BASE METAS DIÁRIAS'!$A$2:$A$358,0),3),"")</f>
        <v/>
      </c>
      <c r="G3043">
        <f>IFERROR(IF(WEEKDAY($A3043,2)&lt;=INDEX('BASE METAS DIÁRIAS'!$X$2:$Z$358,MATCH($A3043,'BASE METAS DIÁRIAS'!$A$2:$A$358,0),3),INDEX('BASE METAS DIÁRIAS'!$U$2:$W$358,MATCH($A3043,'BASE METAS DIÁRIAS'!$A$2:$A$358,0),3),""),"")</f>
        <v/>
      </c>
      <c r="H3043">
        <f>IFERROR(IF(INDEX('CONTROLE PRODUÇÃO POR EMPRESAS'!$H$6:$J$5000,MATCH($A3043,'CONTROLE PRODUÇÃO POR EMPRESAS'!$A$6:$A$5000,0),3)="","",IFERROR(1*INDEX('CONTROLE PRODUÇÃO POR EMPRESAS'!$H$6:$J$5000,MATCH($A3043,'CONTROLE PRODUÇÃO POR EMPRESAS'!$A$6:$A$5000,0),3),"")),"")</f>
        <v/>
      </c>
      <c r="I3043">
        <f>IF(OR(NOT(ISNUMBER(G3043)),NOT(ISNUMBER(H3043))),"",H3043-G3043)</f>
        <v/>
      </c>
      <c r="J3043">
        <f>IF(OR(NOT(ISNUMBER(G3043)),NOT(ISNUMBER(H3043)),G3043=0),"",I3043/G3043)</f>
        <v/>
      </c>
      <c r="K3043">
        <f>IF(OR(NOT(ISNUMBER(G3043)),NOT(ISNUMBER(H3043)),G3043=0),"",H3043/G3043)</f>
        <v/>
      </c>
      <c r="L3043">
        <f>IF(NOT(ISNUMBER(G3043)),"SEM META",IF(G3043=0,"SEM META",IF(NOT(ISNUMBER(H3043)),"SEM APONTAMENTO",IF(H3043&gt;=G3043,"VERDE",IF(H3043&gt;=G3043*0.9,"AMARELO","VERMELHO")))))</f>
        <v/>
      </c>
    </row>
    <row r="3044">
      <c r="A3044" s="321" t="n">
        <v>46523</v>
      </c>
      <c r="B3044" t="inlineStr">
        <is>
          <t>GERAL</t>
        </is>
      </c>
      <c r="C3044" t="inlineStr">
        <is>
          <t>GLOBO AÇOS</t>
        </is>
      </c>
      <c r="D3044" t="inlineStr">
        <is>
          <t>PERFILAÇÃO</t>
        </is>
      </c>
      <c r="F3044">
        <f>IFERROR(INDEX('BASE METAS DIÁRIAS'!$AA$2:$AC$358,MATCH($A3044,'BASE METAS DIÁRIAS'!$A$2:$A$358,0),1),"")</f>
        <v/>
      </c>
      <c r="G3044">
        <f>IFERROR(IF(WEEKDAY($A3044,2)&lt;=INDEX('BASE METAS DIÁRIAS'!$X$2:$Z$358,MATCH($A3044,'BASE METAS DIÁRIAS'!$A$2:$A$358,0),1),INDEX('BASE METAS DIÁRIAS'!$U$2:$W$358,MATCH($A3044,'BASE METAS DIÁRIAS'!$A$2:$A$358,0),1),""),"")</f>
        <v/>
      </c>
      <c r="H3044">
        <f>IFERROR(IF(INDEX('CONTROLE PRODUÇÃO POR EMPRESAS'!$H$6:$J$5000,MATCH($A3044,'CONTROLE PRODUÇÃO POR EMPRESAS'!$A$6:$A$5000,0),1)="","",IFERROR(1*INDEX('CONTROLE PRODUÇÃO POR EMPRESAS'!$H$6:$J$5000,MATCH($A3044,'CONTROLE PRODUÇÃO POR EMPRESAS'!$A$6:$A$5000,0),1),"")),"")</f>
        <v/>
      </c>
      <c r="I3044">
        <f>IF(OR(NOT(ISNUMBER(G3044)),NOT(ISNUMBER(H3044))),"",H3044-G3044)</f>
        <v/>
      </c>
      <c r="J3044">
        <f>IF(OR(NOT(ISNUMBER(G3044)),NOT(ISNUMBER(H3044)),G3044=0),"",I3044/G3044)</f>
        <v/>
      </c>
      <c r="K3044">
        <f>IF(OR(NOT(ISNUMBER(G3044)),NOT(ISNUMBER(H3044)),G3044=0),"",H3044/G3044)</f>
        <v/>
      </c>
      <c r="L3044">
        <f>IF(NOT(ISNUMBER(G3044)),"SEM META",IF(G3044=0,"SEM META",IF(NOT(ISNUMBER(H3044)),"SEM APONTAMENTO",IF(H3044&gt;=G3044,"VERDE",IF(H3044&gt;=G3044*0.9,"AMARELO","VERMELHO")))))</f>
        <v/>
      </c>
    </row>
    <row r="3045">
      <c r="A3045" s="321" t="n">
        <v>46523</v>
      </c>
      <c r="B3045" t="inlineStr">
        <is>
          <t>GERAL</t>
        </is>
      </c>
      <c r="C3045" t="inlineStr">
        <is>
          <t>GLOBO AÇOS</t>
        </is>
      </c>
      <c r="D3045" t="inlineStr">
        <is>
          <t>TELHAR</t>
        </is>
      </c>
      <c r="F3045">
        <f>IFERROR(INDEX('BASE METAS DIÁRIAS'!$AA$2:$AC$358,MATCH($A3045,'BASE METAS DIÁRIAS'!$A$2:$A$358,0),2),"")</f>
        <v/>
      </c>
      <c r="G3045">
        <f>IFERROR(IF(WEEKDAY($A3045,2)&lt;=INDEX('BASE METAS DIÁRIAS'!$X$2:$Z$358,MATCH($A3045,'BASE METAS DIÁRIAS'!$A$2:$A$358,0),2),INDEX('BASE METAS DIÁRIAS'!$U$2:$W$358,MATCH($A3045,'BASE METAS DIÁRIAS'!$A$2:$A$358,0),2),""),"")</f>
        <v/>
      </c>
      <c r="H3045">
        <f>IFERROR(IF(INDEX('CONTROLE PRODUÇÃO POR EMPRESAS'!$H$6:$J$5000,MATCH($A3045,'CONTROLE PRODUÇÃO POR EMPRESAS'!$A$6:$A$5000,0),2)="","",IFERROR(1*INDEX('CONTROLE PRODUÇÃO POR EMPRESAS'!$H$6:$J$5000,MATCH($A3045,'CONTROLE PRODUÇÃO POR EMPRESAS'!$A$6:$A$5000,0),2),"")),"")</f>
        <v/>
      </c>
      <c r="I3045">
        <f>IF(OR(NOT(ISNUMBER(G3045)),NOT(ISNUMBER(H3045))),"",H3045-G3045)</f>
        <v/>
      </c>
      <c r="J3045">
        <f>IF(OR(NOT(ISNUMBER(G3045)),NOT(ISNUMBER(H3045)),G3045=0),"",I3045/G3045)</f>
        <v/>
      </c>
      <c r="K3045">
        <f>IF(OR(NOT(ISNUMBER(G3045)),NOT(ISNUMBER(H3045)),G3045=0),"",H3045/G3045)</f>
        <v/>
      </c>
      <c r="L3045">
        <f>IF(NOT(ISNUMBER(G3045)),"SEM META",IF(G3045=0,"SEM META",IF(NOT(ISNUMBER(H3045)),"SEM APONTAMENTO",IF(H3045&gt;=G3045,"VERDE",IF(H3045&gt;=G3045*0.9,"AMARELO","VERMELHO")))))</f>
        <v/>
      </c>
    </row>
    <row r="3046">
      <c r="A3046" s="321" t="n">
        <v>46523</v>
      </c>
      <c r="B3046" t="inlineStr">
        <is>
          <t>GERAL</t>
        </is>
      </c>
      <c r="C3046" t="inlineStr">
        <is>
          <t>GLOBO AÇOS</t>
        </is>
      </c>
      <c r="D3046" t="inlineStr">
        <is>
          <t>FECHAMENTO</t>
        </is>
      </c>
      <c r="F3046">
        <f>IFERROR(INDEX('BASE METAS DIÁRIAS'!$AA$2:$AC$358,MATCH($A3046,'BASE METAS DIÁRIAS'!$A$2:$A$358,0),3),"")</f>
        <v/>
      </c>
      <c r="G3046">
        <f>IFERROR(IF(WEEKDAY($A3046,2)&lt;=INDEX('BASE METAS DIÁRIAS'!$X$2:$Z$358,MATCH($A3046,'BASE METAS DIÁRIAS'!$A$2:$A$358,0),3),INDEX('BASE METAS DIÁRIAS'!$U$2:$W$358,MATCH($A3046,'BASE METAS DIÁRIAS'!$A$2:$A$358,0),3),""),"")</f>
        <v/>
      </c>
      <c r="H3046">
        <f>IFERROR(IF(INDEX('CONTROLE PRODUÇÃO POR EMPRESAS'!$H$6:$J$5000,MATCH($A3046,'CONTROLE PRODUÇÃO POR EMPRESAS'!$A$6:$A$5000,0),3)="","",IFERROR(1*INDEX('CONTROLE PRODUÇÃO POR EMPRESAS'!$H$6:$J$5000,MATCH($A3046,'CONTROLE PRODUÇÃO POR EMPRESAS'!$A$6:$A$5000,0),3),"")),"")</f>
        <v/>
      </c>
      <c r="I3046">
        <f>IF(OR(NOT(ISNUMBER(G3046)),NOT(ISNUMBER(H3046))),"",H3046-G3046)</f>
        <v/>
      </c>
      <c r="J3046">
        <f>IF(OR(NOT(ISNUMBER(G3046)),NOT(ISNUMBER(H3046)),G3046=0),"",I3046/G3046)</f>
        <v/>
      </c>
      <c r="K3046">
        <f>IF(OR(NOT(ISNUMBER(G3046)),NOT(ISNUMBER(H3046)),G3046=0),"",H3046/G3046)</f>
        <v/>
      </c>
      <c r="L3046">
        <f>IF(NOT(ISNUMBER(G3046)),"SEM META",IF(G3046=0,"SEM META",IF(NOT(ISNUMBER(H3046)),"SEM APONTAMENTO",IF(H3046&gt;=G3046,"VERDE",IF(H3046&gt;=G3046*0.9,"AMARELO","VERMELHO")))))</f>
        <v/>
      </c>
    </row>
    <row r="3047">
      <c r="A3047" s="321" t="n">
        <v>46524</v>
      </c>
      <c r="B3047" t="inlineStr">
        <is>
          <t>GERAL</t>
        </is>
      </c>
      <c r="C3047" t="inlineStr">
        <is>
          <t>GLOBO AÇOS</t>
        </is>
      </c>
      <c r="D3047" t="inlineStr">
        <is>
          <t>PERFILAÇÃO</t>
        </is>
      </c>
      <c r="F3047">
        <f>IFERROR(INDEX('BASE METAS DIÁRIAS'!$AA$2:$AC$358,MATCH($A3047,'BASE METAS DIÁRIAS'!$A$2:$A$358,0),1),"")</f>
        <v/>
      </c>
      <c r="G3047">
        <f>IFERROR(IF(WEEKDAY($A3047,2)&lt;=INDEX('BASE METAS DIÁRIAS'!$X$2:$Z$358,MATCH($A3047,'BASE METAS DIÁRIAS'!$A$2:$A$358,0),1),INDEX('BASE METAS DIÁRIAS'!$U$2:$W$358,MATCH($A3047,'BASE METAS DIÁRIAS'!$A$2:$A$358,0),1),""),"")</f>
        <v/>
      </c>
      <c r="H3047">
        <f>IFERROR(IF(INDEX('CONTROLE PRODUÇÃO POR EMPRESAS'!$H$6:$J$5000,MATCH($A3047,'CONTROLE PRODUÇÃO POR EMPRESAS'!$A$6:$A$5000,0),1)="","",IFERROR(1*INDEX('CONTROLE PRODUÇÃO POR EMPRESAS'!$H$6:$J$5000,MATCH($A3047,'CONTROLE PRODUÇÃO POR EMPRESAS'!$A$6:$A$5000,0),1),"")),"")</f>
        <v/>
      </c>
      <c r="I3047">
        <f>IF(OR(NOT(ISNUMBER(G3047)),NOT(ISNUMBER(H3047))),"",H3047-G3047)</f>
        <v/>
      </c>
      <c r="J3047">
        <f>IF(OR(NOT(ISNUMBER(G3047)),NOT(ISNUMBER(H3047)),G3047=0),"",I3047/G3047)</f>
        <v/>
      </c>
      <c r="K3047">
        <f>IF(OR(NOT(ISNUMBER(G3047)),NOT(ISNUMBER(H3047)),G3047=0),"",H3047/G3047)</f>
        <v/>
      </c>
      <c r="L3047">
        <f>IF(NOT(ISNUMBER(G3047)),"SEM META",IF(G3047=0,"SEM META",IF(NOT(ISNUMBER(H3047)),"SEM APONTAMENTO",IF(H3047&gt;=G3047,"VERDE",IF(H3047&gt;=G3047*0.9,"AMARELO","VERMELHO")))))</f>
        <v/>
      </c>
    </row>
    <row r="3048">
      <c r="A3048" s="321" t="n">
        <v>46524</v>
      </c>
      <c r="B3048" t="inlineStr">
        <is>
          <t>GERAL</t>
        </is>
      </c>
      <c r="C3048" t="inlineStr">
        <is>
          <t>GLOBO AÇOS</t>
        </is>
      </c>
      <c r="D3048" t="inlineStr">
        <is>
          <t>TELHAR</t>
        </is>
      </c>
      <c r="F3048">
        <f>IFERROR(INDEX('BASE METAS DIÁRIAS'!$AA$2:$AC$358,MATCH($A3048,'BASE METAS DIÁRIAS'!$A$2:$A$358,0),2),"")</f>
        <v/>
      </c>
      <c r="G3048">
        <f>IFERROR(IF(WEEKDAY($A3048,2)&lt;=INDEX('BASE METAS DIÁRIAS'!$X$2:$Z$358,MATCH($A3048,'BASE METAS DIÁRIAS'!$A$2:$A$358,0),2),INDEX('BASE METAS DIÁRIAS'!$U$2:$W$358,MATCH($A3048,'BASE METAS DIÁRIAS'!$A$2:$A$358,0),2),""),"")</f>
        <v/>
      </c>
      <c r="H3048">
        <f>IFERROR(IF(INDEX('CONTROLE PRODUÇÃO POR EMPRESAS'!$H$6:$J$5000,MATCH($A3048,'CONTROLE PRODUÇÃO POR EMPRESAS'!$A$6:$A$5000,0),2)="","",IFERROR(1*INDEX('CONTROLE PRODUÇÃO POR EMPRESAS'!$H$6:$J$5000,MATCH($A3048,'CONTROLE PRODUÇÃO POR EMPRESAS'!$A$6:$A$5000,0),2),"")),"")</f>
        <v/>
      </c>
      <c r="I3048">
        <f>IF(OR(NOT(ISNUMBER(G3048)),NOT(ISNUMBER(H3048))),"",H3048-G3048)</f>
        <v/>
      </c>
      <c r="J3048">
        <f>IF(OR(NOT(ISNUMBER(G3048)),NOT(ISNUMBER(H3048)),G3048=0),"",I3048/G3048)</f>
        <v/>
      </c>
      <c r="K3048">
        <f>IF(OR(NOT(ISNUMBER(G3048)),NOT(ISNUMBER(H3048)),G3048=0),"",H3048/G3048)</f>
        <v/>
      </c>
      <c r="L3048">
        <f>IF(NOT(ISNUMBER(G3048)),"SEM META",IF(G3048=0,"SEM META",IF(NOT(ISNUMBER(H3048)),"SEM APONTAMENTO",IF(H3048&gt;=G3048,"VERDE",IF(H3048&gt;=G3048*0.9,"AMARELO","VERMELHO")))))</f>
        <v/>
      </c>
    </row>
    <row r="3049">
      <c r="A3049" s="321" t="n">
        <v>46524</v>
      </c>
      <c r="B3049" t="inlineStr">
        <is>
          <t>GERAL</t>
        </is>
      </c>
      <c r="C3049" t="inlineStr">
        <is>
          <t>GLOBO AÇOS</t>
        </is>
      </c>
      <c r="D3049" t="inlineStr">
        <is>
          <t>FECHAMENTO</t>
        </is>
      </c>
      <c r="F3049">
        <f>IFERROR(INDEX('BASE METAS DIÁRIAS'!$AA$2:$AC$358,MATCH($A3049,'BASE METAS DIÁRIAS'!$A$2:$A$358,0),3),"")</f>
        <v/>
      </c>
      <c r="G3049">
        <f>IFERROR(IF(WEEKDAY($A3049,2)&lt;=INDEX('BASE METAS DIÁRIAS'!$X$2:$Z$358,MATCH($A3049,'BASE METAS DIÁRIAS'!$A$2:$A$358,0),3),INDEX('BASE METAS DIÁRIAS'!$U$2:$W$358,MATCH($A3049,'BASE METAS DIÁRIAS'!$A$2:$A$358,0),3),""),"")</f>
        <v/>
      </c>
      <c r="H3049">
        <f>IFERROR(IF(INDEX('CONTROLE PRODUÇÃO POR EMPRESAS'!$H$6:$J$5000,MATCH($A3049,'CONTROLE PRODUÇÃO POR EMPRESAS'!$A$6:$A$5000,0),3)="","",IFERROR(1*INDEX('CONTROLE PRODUÇÃO POR EMPRESAS'!$H$6:$J$5000,MATCH($A3049,'CONTROLE PRODUÇÃO POR EMPRESAS'!$A$6:$A$5000,0),3),"")),"")</f>
        <v/>
      </c>
      <c r="I3049">
        <f>IF(OR(NOT(ISNUMBER(G3049)),NOT(ISNUMBER(H3049))),"",H3049-G3049)</f>
        <v/>
      </c>
      <c r="J3049">
        <f>IF(OR(NOT(ISNUMBER(G3049)),NOT(ISNUMBER(H3049)),G3049=0),"",I3049/G3049)</f>
        <v/>
      </c>
      <c r="K3049">
        <f>IF(OR(NOT(ISNUMBER(G3049)),NOT(ISNUMBER(H3049)),G3049=0),"",H3049/G3049)</f>
        <v/>
      </c>
      <c r="L3049">
        <f>IF(NOT(ISNUMBER(G3049)),"SEM META",IF(G3049=0,"SEM META",IF(NOT(ISNUMBER(H3049)),"SEM APONTAMENTO",IF(H3049&gt;=G3049,"VERDE",IF(H3049&gt;=G3049*0.9,"AMARELO","VERMELHO")))))</f>
        <v/>
      </c>
    </row>
    <row r="3050">
      <c r="A3050" s="321" t="n">
        <v>46525</v>
      </c>
      <c r="B3050" t="inlineStr">
        <is>
          <t>GERAL</t>
        </is>
      </c>
      <c r="C3050" t="inlineStr">
        <is>
          <t>GLOBO AÇOS</t>
        </is>
      </c>
      <c r="D3050" t="inlineStr">
        <is>
          <t>PERFILAÇÃO</t>
        </is>
      </c>
      <c r="F3050">
        <f>IFERROR(INDEX('BASE METAS DIÁRIAS'!$AA$2:$AC$358,MATCH($A3050,'BASE METAS DIÁRIAS'!$A$2:$A$358,0),1),"")</f>
        <v/>
      </c>
      <c r="G3050">
        <f>IFERROR(IF(WEEKDAY($A3050,2)&lt;=INDEX('BASE METAS DIÁRIAS'!$X$2:$Z$358,MATCH($A3050,'BASE METAS DIÁRIAS'!$A$2:$A$358,0),1),INDEX('BASE METAS DIÁRIAS'!$U$2:$W$358,MATCH($A3050,'BASE METAS DIÁRIAS'!$A$2:$A$358,0),1),""),"")</f>
        <v/>
      </c>
      <c r="H3050">
        <f>IFERROR(IF(INDEX('CONTROLE PRODUÇÃO POR EMPRESAS'!$H$6:$J$5000,MATCH($A3050,'CONTROLE PRODUÇÃO POR EMPRESAS'!$A$6:$A$5000,0),1)="","",IFERROR(1*INDEX('CONTROLE PRODUÇÃO POR EMPRESAS'!$H$6:$J$5000,MATCH($A3050,'CONTROLE PRODUÇÃO POR EMPRESAS'!$A$6:$A$5000,0),1),"")),"")</f>
        <v/>
      </c>
      <c r="I3050">
        <f>IF(OR(NOT(ISNUMBER(G3050)),NOT(ISNUMBER(H3050))),"",H3050-G3050)</f>
        <v/>
      </c>
      <c r="J3050">
        <f>IF(OR(NOT(ISNUMBER(G3050)),NOT(ISNUMBER(H3050)),G3050=0),"",I3050/G3050)</f>
        <v/>
      </c>
      <c r="K3050">
        <f>IF(OR(NOT(ISNUMBER(G3050)),NOT(ISNUMBER(H3050)),G3050=0),"",H3050/G3050)</f>
        <v/>
      </c>
      <c r="L3050">
        <f>IF(NOT(ISNUMBER(G3050)),"SEM META",IF(G3050=0,"SEM META",IF(NOT(ISNUMBER(H3050)),"SEM APONTAMENTO",IF(H3050&gt;=G3050,"VERDE",IF(H3050&gt;=G3050*0.9,"AMARELO","VERMELHO")))))</f>
        <v/>
      </c>
    </row>
    <row r="3051">
      <c r="A3051" s="321" t="n">
        <v>46525</v>
      </c>
      <c r="B3051" t="inlineStr">
        <is>
          <t>GERAL</t>
        </is>
      </c>
      <c r="C3051" t="inlineStr">
        <is>
          <t>GLOBO AÇOS</t>
        </is>
      </c>
      <c r="D3051" t="inlineStr">
        <is>
          <t>TELHAR</t>
        </is>
      </c>
      <c r="F3051">
        <f>IFERROR(INDEX('BASE METAS DIÁRIAS'!$AA$2:$AC$358,MATCH($A3051,'BASE METAS DIÁRIAS'!$A$2:$A$358,0),2),"")</f>
        <v/>
      </c>
      <c r="G3051">
        <f>IFERROR(IF(WEEKDAY($A3051,2)&lt;=INDEX('BASE METAS DIÁRIAS'!$X$2:$Z$358,MATCH($A3051,'BASE METAS DIÁRIAS'!$A$2:$A$358,0),2),INDEX('BASE METAS DIÁRIAS'!$U$2:$W$358,MATCH($A3051,'BASE METAS DIÁRIAS'!$A$2:$A$358,0),2),""),"")</f>
        <v/>
      </c>
      <c r="H3051">
        <f>IFERROR(IF(INDEX('CONTROLE PRODUÇÃO POR EMPRESAS'!$H$6:$J$5000,MATCH($A3051,'CONTROLE PRODUÇÃO POR EMPRESAS'!$A$6:$A$5000,0),2)="","",IFERROR(1*INDEX('CONTROLE PRODUÇÃO POR EMPRESAS'!$H$6:$J$5000,MATCH($A3051,'CONTROLE PRODUÇÃO POR EMPRESAS'!$A$6:$A$5000,0),2),"")),"")</f>
        <v/>
      </c>
      <c r="I3051">
        <f>IF(OR(NOT(ISNUMBER(G3051)),NOT(ISNUMBER(H3051))),"",H3051-G3051)</f>
        <v/>
      </c>
      <c r="J3051">
        <f>IF(OR(NOT(ISNUMBER(G3051)),NOT(ISNUMBER(H3051)),G3051=0),"",I3051/G3051)</f>
        <v/>
      </c>
      <c r="K3051">
        <f>IF(OR(NOT(ISNUMBER(G3051)),NOT(ISNUMBER(H3051)),G3051=0),"",H3051/G3051)</f>
        <v/>
      </c>
      <c r="L3051">
        <f>IF(NOT(ISNUMBER(G3051)),"SEM META",IF(G3051=0,"SEM META",IF(NOT(ISNUMBER(H3051)),"SEM APONTAMENTO",IF(H3051&gt;=G3051,"VERDE",IF(H3051&gt;=G3051*0.9,"AMARELO","VERMELHO")))))</f>
        <v/>
      </c>
    </row>
    <row r="3052">
      <c r="A3052" s="321" t="n">
        <v>46525</v>
      </c>
      <c r="B3052" t="inlineStr">
        <is>
          <t>GERAL</t>
        </is>
      </c>
      <c r="C3052" t="inlineStr">
        <is>
          <t>GLOBO AÇOS</t>
        </is>
      </c>
      <c r="D3052" t="inlineStr">
        <is>
          <t>FECHAMENTO</t>
        </is>
      </c>
      <c r="F3052">
        <f>IFERROR(INDEX('BASE METAS DIÁRIAS'!$AA$2:$AC$358,MATCH($A3052,'BASE METAS DIÁRIAS'!$A$2:$A$358,0),3),"")</f>
        <v/>
      </c>
      <c r="G3052">
        <f>IFERROR(IF(WEEKDAY($A3052,2)&lt;=INDEX('BASE METAS DIÁRIAS'!$X$2:$Z$358,MATCH($A3052,'BASE METAS DIÁRIAS'!$A$2:$A$358,0),3),INDEX('BASE METAS DIÁRIAS'!$U$2:$W$358,MATCH($A3052,'BASE METAS DIÁRIAS'!$A$2:$A$358,0),3),""),"")</f>
        <v/>
      </c>
      <c r="H3052">
        <f>IFERROR(IF(INDEX('CONTROLE PRODUÇÃO POR EMPRESAS'!$H$6:$J$5000,MATCH($A3052,'CONTROLE PRODUÇÃO POR EMPRESAS'!$A$6:$A$5000,0),3)="","",IFERROR(1*INDEX('CONTROLE PRODUÇÃO POR EMPRESAS'!$H$6:$J$5000,MATCH($A3052,'CONTROLE PRODUÇÃO POR EMPRESAS'!$A$6:$A$5000,0),3),"")),"")</f>
        <v/>
      </c>
      <c r="I3052">
        <f>IF(OR(NOT(ISNUMBER(G3052)),NOT(ISNUMBER(H3052))),"",H3052-G3052)</f>
        <v/>
      </c>
      <c r="J3052">
        <f>IF(OR(NOT(ISNUMBER(G3052)),NOT(ISNUMBER(H3052)),G3052=0),"",I3052/G3052)</f>
        <v/>
      </c>
      <c r="K3052">
        <f>IF(OR(NOT(ISNUMBER(G3052)),NOT(ISNUMBER(H3052)),G3052=0),"",H3052/G3052)</f>
        <v/>
      </c>
      <c r="L3052">
        <f>IF(NOT(ISNUMBER(G3052)),"SEM META",IF(G3052=0,"SEM META",IF(NOT(ISNUMBER(H3052)),"SEM APONTAMENTO",IF(H3052&gt;=G3052,"VERDE",IF(H3052&gt;=G3052*0.9,"AMARELO","VERMELHO")))))</f>
        <v/>
      </c>
    </row>
    <row r="3053">
      <c r="A3053" s="321" t="n">
        <v>46526</v>
      </c>
      <c r="B3053" t="inlineStr">
        <is>
          <t>GERAL</t>
        </is>
      </c>
      <c r="C3053" t="inlineStr">
        <is>
          <t>GLOBO AÇOS</t>
        </is>
      </c>
      <c r="D3053" t="inlineStr">
        <is>
          <t>PERFILAÇÃO</t>
        </is>
      </c>
      <c r="F3053">
        <f>IFERROR(INDEX('BASE METAS DIÁRIAS'!$AA$2:$AC$358,MATCH($A3053,'BASE METAS DIÁRIAS'!$A$2:$A$358,0),1),"")</f>
        <v/>
      </c>
      <c r="G3053">
        <f>IFERROR(IF(WEEKDAY($A3053,2)&lt;=INDEX('BASE METAS DIÁRIAS'!$X$2:$Z$358,MATCH($A3053,'BASE METAS DIÁRIAS'!$A$2:$A$358,0),1),INDEX('BASE METAS DIÁRIAS'!$U$2:$W$358,MATCH($A3053,'BASE METAS DIÁRIAS'!$A$2:$A$358,0),1),""),"")</f>
        <v/>
      </c>
      <c r="H3053">
        <f>IFERROR(IF(INDEX('CONTROLE PRODUÇÃO POR EMPRESAS'!$H$6:$J$5000,MATCH($A3053,'CONTROLE PRODUÇÃO POR EMPRESAS'!$A$6:$A$5000,0),1)="","",IFERROR(1*INDEX('CONTROLE PRODUÇÃO POR EMPRESAS'!$H$6:$J$5000,MATCH($A3053,'CONTROLE PRODUÇÃO POR EMPRESAS'!$A$6:$A$5000,0),1),"")),"")</f>
        <v/>
      </c>
      <c r="I3053">
        <f>IF(OR(NOT(ISNUMBER(G3053)),NOT(ISNUMBER(H3053))),"",H3053-G3053)</f>
        <v/>
      </c>
      <c r="J3053">
        <f>IF(OR(NOT(ISNUMBER(G3053)),NOT(ISNUMBER(H3053)),G3053=0),"",I3053/G3053)</f>
        <v/>
      </c>
      <c r="K3053">
        <f>IF(OR(NOT(ISNUMBER(G3053)),NOT(ISNUMBER(H3053)),G3053=0),"",H3053/G3053)</f>
        <v/>
      </c>
      <c r="L3053">
        <f>IF(NOT(ISNUMBER(G3053)),"SEM META",IF(G3053=0,"SEM META",IF(NOT(ISNUMBER(H3053)),"SEM APONTAMENTO",IF(H3053&gt;=G3053,"VERDE",IF(H3053&gt;=G3053*0.9,"AMARELO","VERMELHO")))))</f>
        <v/>
      </c>
    </row>
    <row r="3054">
      <c r="A3054" s="321" t="n">
        <v>46526</v>
      </c>
      <c r="B3054" t="inlineStr">
        <is>
          <t>GERAL</t>
        </is>
      </c>
      <c r="C3054" t="inlineStr">
        <is>
          <t>GLOBO AÇOS</t>
        </is>
      </c>
      <c r="D3054" t="inlineStr">
        <is>
          <t>TELHAR</t>
        </is>
      </c>
      <c r="F3054">
        <f>IFERROR(INDEX('BASE METAS DIÁRIAS'!$AA$2:$AC$358,MATCH($A3054,'BASE METAS DIÁRIAS'!$A$2:$A$358,0),2),"")</f>
        <v/>
      </c>
      <c r="G3054">
        <f>IFERROR(IF(WEEKDAY($A3054,2)&lt;=INDEX('BASE METAS DIÁRIAS'!$X$2:$Z$358,MATCH($A3054,'BASE METAS DIÁRIAS'!$A$2:$A$358,0),2),INDEX('BASE METAS DIÁRIAS'!$U$2:$W$358,MATCH($A3054,'BASE METAS DIÁRIAS'!$A$2:$A$358,0),2),""),"")</f>
        <v/>
      </c>
      <c r="H3054">
        <f>IFERROR(IF(INDEX('CONTROLE PRODUÇÃO POR EMPRESAS'!$H$6:$J$5000,MATCH($A3054,'CONTROLE PRODUÇÃO POR EMPRESAS'!$A$6:$A$5000,0),2)="","",IFERROR(1*INDEX('CONTROLE PRODUÇÃO POR EMPRESAS'!$H$6:$J$5000,MATCH($A3054,'CONTROLE PRODUÇÃO POR EMPRESAS'!$A$6:$A$5000,0),2),"")),"")</f>
        <v/>
      </c>
      <c r="I3054">
        <f>IF(OR(NOT(ISNUMBER(G3054)),NOT(ISNUMBER(H3054))),"",H3054-G3054)</f>
        <v/>
      </c>
      <c r="J3054">
        <f>IF(OR(NOT(ISNUMBER(G3054)),NOT(ISNUMBER(H3054)),G3054=0),"",I3054/G3054)</f>
        <v/>
      </c>
      <c r="K3054">
        <f>IF(OR(NOT(ISNUMBER(G3054)),NOT(ISNUMBER(H3054)),G3054=0),"",H3054/G3054)</f>
        <v/>
      </c>
      <c r="L3054">
        <f>IF(NOT(ISNUMBER(G3054)),"SEM META",IF(G3054=0,"SEM META",IF(NOT(ISNUMBER(H3054)),"SEM APONTAMENTO",IF(H3054&gt;=G3054,"VERDE",IF(H3054&gt;=G3054*0.9,"AMARELO","VERMELHO")))))</f>
        <v/>
      </c>
    </row>
    <row r="3055">
      <c r="A3055" s="321" t="n">
        <v>46526</v>
      </c>
      <c r="B3055" t="inlineStr">
        <is>
          <t>GERAL</t>
        </is>
      </c>
      <c r="C3055" t="inlineStr">
        <is>
          <t>GLOBO AÇOS</t>
        </is>
      </c>
      <c r="D3055" t="inlineStr">
        <is>
          <t>FECHAMENTO</t>
        </is>
      </c>
      <c r="F3055">
        <f>IFERROR(INDEX('BASE METAS DIÁRIAS'!$AA$2:$AC$358,MATCH($A3055,'BASE METAS DIÁRIAS'!$A$2:$A$358,0),3),"")</f>
        <v/>
      </c>
      <c r="G3055">
        <f>IFERROR(IF(WEEKDAY($A3055,2)&lt;=INDEX('BASE METAS DIÁRIAS'!$X$2:$Z$358,MATCH($A3055,'BASE METAS DIÁRIAS'!$A$2:$A$358,0),3),INDEX('BASE METAS DIÁRIAS'!$U$2:$W$358,MATCH($A3055,'BASE METAS DIÁRIAS'!$A$2:$A$358,0),3),""),"")</f>
        <v/>
      </c>
      <c r="H3055">
        <f>IFERROR(IF(INDEX('CONTROLE PRODUÇÃO POR EMPRESAS'!$H$6:$J$5000,MATCH($A3055,'CONTROLE PRODUÇÃO POR EMPRESAS'!$A$6:$A$5000,0),3)="","",IFERROR(1*INDEX('CONTROLE PRODUÇÃO POR EMPRESAS'!$H$6:$J$5000,MATCH($A3055,'CONTROLE PRODUÇÃO POR EMPRESAS'!$A$6:$A$5000,0),3),"")),"")</f>
        <v/>
      </c>
      <c r="I3055">
        <f>IF(OR(NOT(ISNUMBER(G3055)),NOT(ISNUMBER(H3055))),"",H3055-G3055)</f>
        <v/>
      </c>
      <c r="J3055">
        <f>IF(OR(NOT(ISNUMBER(G3055)),NOT(ISNUMBER(H3055)),G3055=0),"",I3055/G3055)</f>
        <v/>
      </c>
      <c r="K3055">
        <f>IF(OR(NOT(ISNUMBER(G3055)),NOT(ISNUMBER(H3055)),G3055=0),"",H3055/G3055)</f>
        <v/>
      </c>
      <c r="L3055">
        <f>IF(NOT(ISNUMBER(G3055)),"SEM META",IF(G3055=0,"SEM META",IF(NOT(ISNUMBER(H3055)),"SEM APONTAMENTO",IF(H3055&gt;=G3055,"VERDE",IF(H3055&gt;=G3055*0.9,"AMARELO","VERMELHO")))))</f>
        <v/>
      </c>
    </row>
    <row r="3056">
      <c r="A3056" s="321" t="n">
        <v>46527</v>
      </c>
      <c r="B3056" t="inlineStr">
        <is>
          <t>GERAL</t>
        </is>
      </c>
      <c r="C3056" t="inlineStr">
        <is>
          <t>GLOBO AÇOS</t>
        </is>
      </c>
      <c r="D3056" t="inlineStr">
        <is>
          <t>PERFILAÇÃO</t>
        </is>
      </c>
      <c r="F3056">
        <f>IFERROR(INDEX('BASE METAS DIÁRIAS'!$AA$2:$AC$358,MATCH($A3056,'BASE METAS DIÁRIAS'!$A$2:$A$358,0),1),"")</f>
        <v/>
      </c>
      <c r="G3056">
        <f>IFERROR(IF(WEEKDAY($A3056,2)&lt;=INDEX('BASE METAS DIÁRIAS'!$X$2:$Z$358,MATCH($A3056,'BASE METAS DIÁRIAS'!$A$2:$A$358,0),1),INDEX('BASE METAS DIÁRIAS'!$U$2:$W$358,MATCH($A3056,'BASE METAS DIÁRIAS'!$A$2:$A$358,0),1),""),"")</f>
        <v/>
      </c>
      <c r="H3056">
        <f>IFERROR(IF(INDEX('CONTROLE PRODUÇÃO POR EMPRESAS'!$H$6:$J$5000,MATCH($A3056,'CONTROLE PRODUÇÃO POR EMPRESAS'!$A$6:$A$5000,0),1)="","",IFERROR(1*INDEX('CONTROLE PRODUÇÃO POR EMPRESAS'!$H$6:$J$5000,MATCH($A3056,'CONTROLE PRODUÇÃO POR EMPRESAS'!$A$6:$A$5000,0),1),"")),"")</f>
        <v/>
      </c>
      <c r="I3056">
        <f>IF(OR(NOT(ISNUMBER(G3056)),NOT(ISNUMBER(H3056))),"",H3056-G3056)</f>
        <v/>
      </c>
      <c r="J3056">
        <f>IF(OR(NOT(ISNUMBER(G3056)),NOT(ISNUMBER(H3056)),G3056=0),"",I3056/G3056)</f>
        <v/>
      </c>
      <c r="K3056">
        <f>IF(OR(NOT(ISNUMBER(G3056)),NOT(ISNUMBER(H3056)),G3056=0),"",H3056/G3056)</f>
        <v/>
      </c>
      <c r="L3056">
        <f>IF(NOT(ISNUMBER(G3056)),"SEM META",IF(G3056=0,"SEM META",IF(NOT(ISNUMBER(H3056)),"SEM APONTAMENTO",IF(H3056&gt;=G3056,"VERDE",IF(H3056&gt;=G3056*0.9,"AMARELO","VERMELHO")))))</f>
        <v/>
      </c>
    </row>
    <row r="3057">
      <c r="A3057" s="321" t="n">
        <v>46527</v>
      </c>
      <c r="B3057" t="inlineStr">
        <is>
          <t>GERAL</t>
        </is>
      </c>
      <c r="C3057" t="inlineStr">
        <is>
          <t>GLOBO AÇOS</t>
        </is>
      </c>
      <c r="D3057" t="inlineStr">
        <is>
          <t>TELHAR</t>
        </is>
      </c>
      <c r="F3057">
        <f>IFERROR(INDEX('BASE METAS DIÁRIAS'!$AA$2:$AC$358,MATCH($A3057,'BASE METAS DIÁRIAS'!$A$2:$A$358,0),2),"")</f>
        <v/>
      </c>
      <c r="G3057">
        <f>IFERROR(IF(WEEKDAY($A3057,2)&lt;=INDEX('BASE METAS DIÁRIAS'!$X$2:$Z$358,MATCH($A3057,'BASE METAS DIÁRIAS'!$A$2:$A$358,0),2),INDEX('BASE METAS DIÁRIAS'!$U$2:$W$358,MATCH($A3057,'BASE METAS DIÁRIAS'!$A$2:$A$358,0),2),""),"")</f>
        <v/>
      </c>
      <c r="H3057">
        <f>IFERROR(IF(INDEX('CONTROLE PRODUÇÃO POR EMPRESAS'!$H$6:$J$5000,MATCH($A3057,'CONTROLE PRODUÇÃO POR EMPRESAS'!$A$6:$A$5000,0),2)="","",IFERROR(1*INDEX('CONTROLE PRODUÇÃO POR EMPRESAS'!$H$6:$J$5000,MATCH($A3057,'CONTROLE PRODUÇÃO POR EMPRESAS'!$A$6:$A$5000,0),2),"")),"")</f>
        <v/>
      </c>
      <c r="I3057">
        <f>IF(OR(NOT(ISNUMBER(G3057)),NOT(ISNUMBER(H3057))),"",H3057-G3057)</f>
        <v/>
      </c>
      <c r="J3057">
        <f>IF(OR(NOT(ISNUMBER(G3057)),NOT(ISNUMBER(H3057)),G3057=0),"",I3057/G3057)</f>
        <v/>
      </c>
      <c r="K3057">
        <f>IF(OR(NOT(ISNUMBER(G3057)),NOT(ISNUMBER(H3057)),G3057=0),"",H3057/G3057)</f>
        <v/>
      </c>
      <c r="L3057">
        <f>IF(NOT(ISNUMBER(G3057)),"SEM META",IF(G3057=0,"SEM META",IF(NOT(ISNUMBER(H3057)),"SEM APONTAMENTO",IF(H3057&gt;=G3057,"VERDE",IF(H3057&gt;=G3057*0.9,"AMARELO","VERMELHO")))))</f>
        <v/>
      </c>
    </row>
    <row r="3058">
      <c r="A3058" s="321" t="n">
        <v>46527</v>
      </c>
      <c r="B3058" t="inlineStr">
        <is>
          <t>GERAL</t>
        </is>
      </c>
      <c r="C3058" t="inlineStr">
        <is>
          <t>GLOBO AÇOS</t>
        </is>
      </c>
      <c r="D3058" t="inlineStr">
        <is>
          <t>FECHAMENTO</t>
        </is>
      </c>
      <c r="F3058">
        <f>IFERROR(INDEX('BASE METAS DIÁRIAS'!$AA$2:$AC$358,MATCH($A3058,'BASE METAS DIÁRIAS'!$A$2:$A$358,0),3),"")</f>
        <v/>
      </c>
      <c r="G3058">
        <f>IFERROR(IF(WEEKDAY($A3058,2)&lt;=INDEX('BASE METAS DIÁRIAS'!$X$2:$Z$358,MATCH($A3058,'BASE METAS DIÁRIAS'!$A$2:$A$358,0),3),INDEX('BASE METAS DIÁRIAS'!$U$2:$W$358,MATCH($A3058,'BASE METAS DIÁRIAS'!$A$2:$A$358,0),3),""),"")</f>
        <v/>
      </c>
      <c r="H3058">
        <f>IFERROR(IF(INDEX('CONTROLE PRODUÇÃO POR EMPRESAS'!$H$6:$J$5000,MATCH($A3058,'CONTROLE PRODUÇÃO POR EMPRESAS'!$A$6:$A$5000,0),3)="","",IFERROR(1*INDEX('CONTROLE PRODUÇÃO POR EMPRESAS'!$H$6:$J$5000,MATCH($A3058,'CONTROLE PRODUÇÃO POR EMPRESAS'!$A$6:$A$5000,0),3),"")),"")</f>
        <v/>
      </c>
      <c r="I3058">
        <f>IF(OR(NOT(ISNUMBER(G3058)),NOT(ISNUMBER(H3058))),"",H3058-G3058)</f>
        <v/>
      </c>
      <c r="J3058">
        <f>IF(OR(NOT(ISNUMBER(G3058)),NOT(ISNUMBER(H3058)),G3058=0),"",I3058/G3058)</f>
        <v/>
      </c>
      <c r="K3058">
        <f>IF(OR(NOT(ISNUMBER(G3058)),NOT(ISNUMBER(H3058)),G3058=0),"",H3058/G3058)</f>
        <v/>
      </c>
      <c r="L3058">
        <f>IF(NOT(ISNUMBER(G3058)),"SEM META",IF(G3058=0,"SEM META",IF(NOT(ISNUMBER(H3058)),"SEM APONTAMENTO",IF(H3058&gt;=G3058,"VERDE",IF(H3058&gt;=G3058*0.9,"AMARELO","VERMELHO")))))</f>
        <v/>
      </c>
    </row>
    <row r="3059">
      <c r="A3059" s="321" t="n">
        <v>46528</v>
      </c>
      <c r="B3059" t="inlineStr">
        <is>
          <t>GERAL</t>
        </is>
      </c>
      <c r="C3059" t="inlineStr">
        <is>
          <t>GLOBO AÇOS</t>
        </is>
      </c>
      <c r="D3059" t="inlineStr">
        <is>
          <t>PERFILAÇÃO</t>
        </is>
      </c>
      <c r="F3059">
        <f>IFERROR(INDEX('BASE METAS DIÁRIAS'!$AA$2:$AC$358,MATCH($A3059,'BASE METAS DIÁRIAS'!$A$2:$A$358,0),1),"")</f>
        <v/>
      </c>
      <c r="G3059">
        <f>IFERROR(IF(WEEKDAY($A3059,2)&lt;=INDEX('BASE METAS DIÁRIAS'!$X$2:$Z$358,MATCH($A3059,'BASE METAS DIÁRIAS'!$A$2:$A$358,0),1),INDEX('BASE METAS DIÁRIAS'!$U$2:$W$358,MATCH($A3059,'BASE METAS DIÁRIAS'!$A$2:$A$358,0),1),""),"")</f>
        <v/>
      </c>
      <c r="H3059">
        <f>IFERROR(IF(INDEX('CONTROLE PRODUÇÃO POR EMPRESAS'!$H$6:$J$5000,MATCH($A3059,'CONTROLE PRODUÇÃO POR EMPRESAS'!$A$6:$A$5000,0),1)="","",IFERROR(1*INDEX('CONTROLE PRODUÇÃO POR EMPRESAS'!$H$6:$J$5000,MATCH($A3059,'CONTROLE PRODUÇÃO POR EMPRESAS'!$A$6:$A$5000,0),1),"")),"")</f>
        <v/>
      </c>
      <c r="I3059">
        <f>IF(OR(NOT(ISNUMBER(G3059)),NOT(ISNUMBER(H3059))),"",H3059-G3059)</f>
        <v/>
      </c>
      <c r="J3059">
        <f>IF(OR(NOT(ISNUMBER(G3059)),NOT(ISNUMBER(H3059)),G3059=0),"",I3059/G3059)</f>
        <v/>
      </c>
      <c r="K3059">
        <f>IF(OR(NOT(ISNUMBER(G3059)),NOT(ISNUMBER(H3059)),G3059=0),"",H3059/G3059)</f>
        <v/>
      </c>
      <c r="L3059">
        <f>IF(NOT(ISNUMBER(G3059)),"SEM META",IF(G3059=0,"SEM META",IF(NOT(ISNUMBER(H3059)),"SEM APONTAMENTO",IF(H3059&gt;=G3059,"VERDE",IF(H3059&gt;=G3059*0.9,"AMARELO","VERMELHO")))))</f>
        <v/>
      </c>
    </row>
    <row r="3060">
      <c r="A3060" s="321" t="n">
        <v>46528</v>
      </c>
      <c r="B3060" t="inlineStr">
        <is>
          <t>GERAL</t>
        </is>
      </c>
      <c r="C3060" t="inlineStr">
        <is>
          <t>GLOBO AÇOS</t>
        </is>
      </c>
      <c r="D3060" t="inlineStr">
        <is>
          <t>TELHAR</t>
        </is>
      </c>
      <c r="F3060">
        <f>IFERROR(INDEX('BASE METAS DIÁRIAS'!$AA$2:$AC$358,MATCH($A3060,'BASE METAS DIÁRIAS'!$A$2:$A$358,0),2),"")</f>
        <v/>
      </c>
      <c r="G3060">
        <f>IFERROR(IF(WEEKDAY($A3060,2)&lt;=INDEX('BASE METAS DIÁRIAS'!$X$2:$Z$358,MATCH($A3060,'BASE METAS DIÁRIAS'!$A$2:$A$358,0),2),INDEX('BASE METAS DIÁRIAS'!$U$2:$W$358,MATCH($A3060,'BASE METAS DIÁRIAS'!$A$2:$A$358,0),2),""),"")</f>
        <v/>
      </c>
      <c r="H3060">
        <f>IFERROR(IF(INDEX('CONTROLE PRODUÇÃO POR EMPRESAS'!$H$6:$J$5000,MATCH($A3060,'CONTROLE PRODUÇÃO POR EMPRESAS'!$A$6:$A$5000,0),2)="","",IFERROR(1*INDEX('CONTROLE PRODUÇÃO POR EMPRESAS'!$H$6:$J$5000,MATCH($A3060,'CONTROLE PRODUÇÃO POR EMPRESAS'!$A$6:$A$5000,0),2),"")),"")</f>
        <v/>
      </c>
      <c r="I3060">
        <f>IF(OR(NOT(ISNUMBER(G3060)),NOT(ISNUMBER(H3060))),"",H3060-G3060)</f>
        <v/>
      </c>
      <c r="J3060">
        <f>IF(OR(NOT(ISNUMBER(G3060)),NOT(ISNUMBER(H3060)),G3060=0),"",I3060/G3060)</f>
        <v/>
      </c>
      <c r="K3060">
        <f>IF(OR(NOT(ISNUMBER(G3060)),NOT(ISNUMBER(H3060)),G3060=0),"",H3060/G3060)</f>
        <v/>
      </c>
      <c r="L3060">
        <f>IF(NOT(ISNUMBER(G3060)),"SEM META",IF(G3060=0,"SEM META",IF(NOT(ISNUMBER(H3060)),"SEM APONTAMENTO",IF(H3060&gt;=G3060,"VERDE",IF(H3060&gt;=G3060*0.9,"AMARELO","VERMELHO")))))</f>
        <v/>
      </c>
    </row>
    <row r="3061">
      <c r="A3061" s="321" t="n">
        <v>46528</v>
      </c>
      <c r="B3061" t="inlineStr">
        <is>
          <t>GERAL</t>
        </is>
      </c>
      <c r="C3061" t="inlineStr">
        <is>
          <t>GLOBO AÇOS</t>
        </is>
      </c>
      <c r="D3061" t="inlineStr">
        <is>
          <t>FECHAMENTO</t>
        </is>
      </c>
      <c r="F3061">
        <f>IFERROR(INDEX('BASE METAS DIÁRIAS'!$AA$2:$AC$358,MATCH($A3061,'BASE METAS DIÁRIAS'!$A$2:$A$358,0),3),"")</f>
        <v/>
      </c>
      <c r="G3061">
        <f>IFERROR(IF(WEEKDAY($A3061,2)&lt;=INDEX('BASE METAS DIÁRIAS'!$X$2:$Z$358,MATCH($A3061,'BASE METAS DIÁRIAS'!$A$2:$A$358,0),3),INDEX('BASE METAS DIÁRIAS'!$U$2:$W$358,MATCH($A3061,'BASE METAS DIÁRIAS'!$A$2:$A$358,0),3),""),"")</f>
        <v/>
      </c>
      <c r="H3061">
        <f>IFERROR(IF(INDEX('CONTROLE PRODUÇÃO POR EMPRESAS'!$H$6:$J$5000,MATCH($A3061,'CONTROLE PRODUÇÃO POR EMPRESAS'!$A$6:$A$5000,0),3)="","",IFERROR(1*INDEX('CONTROLE PRODUÇÃO POR EMPRESAS'!$H$6:$J$5000,MATCH($A3061,'CONTROLE PRODUÇÃO POR EMPRESAS'!$A$6:$A$5000,0),3),"")),"")</f>
        <v/>
      </c>
      <c r="I3061">
        <f>IF(OR(NOT(ISNUMBER(G3061)),NOT(ISNUMBER(H3061))),"",H3061-G3061)</f>
        <v/>
      </c>
      <c r="J3061">
        <f>IF(OR(NOT(ISNUMBER(G3061)),NOT(ISNUMBER(H3061)),G3061=0),"",I3061/G3061)</f>
        <v/>
      </c>
      <c r="K3061">
        <f>IF(OR(NOT(ISNUMBER(G3061)),NOT(ISNUMBER(H3061)),G3061=0),"",H3061/G3061)</f>
        <v/>
      </c>
      <c r="L3061">
        <f>IF(NOT(ISNUMBER(G3061)),"SEM META",IF(G3061=0,"SEM META",IF(NOT(ISNUMBER(H3061)),"SEM APONTAMENTO",IF(H3061&gt;=G3061,"VERDE",IF(H3061&gt;=G3061*0.9,"AMARELO","VERMELHO")))))</f>
        <v/>
      </c>
    </row>
    <row r="3062">
      <c r="A3062" s="321" t="n">
        <v>46529</v>
      </c>
      <c r="B3062" t="inlineStr">
        <is>
          <t>GERAL</t>
        </is>
      </c>
      <c r="C3062" t="inlineStr">
        <is>
          <t>GLOBO AÇOS</t>
        </is>
      </c>
      <c r="D3062" t="inlineStr">
        <is>
          <t>PERFILAÇÃO</t>
        </is>
      </c>
      <c r="F3062">
        <f>IFERROR(INDEX('BASE METAS DIÁRIAS'!$AA$2:$AC$358,MATCH($A3062,'BASE METAS DIÁRIAS'!$A$2:$A$358,0),1),"")</f>
        <v/>
      </c>
      <c r="G3062">
        <f>IFERROR(IF(WEEKDAY($A3062,2)&lt;=INDEX('BASE METAS DIÁRIAS'!$X$2:$Z$358,MATCH($A3062,'BASE METAS DIÁRIAS'!$A$2:$A$358,0),1),INDEX('BASE METAS DIÁRIAS'!$U$2:$W$358,MATCH($A3062,'BASE METAS DIÁRIAS'!$A$2:$A$358,0),1),""),"")</f>
        <v/>
      </c>
      <c r="H3062">
        <f>IFERROR(IF(INDEX('CONTROLE PRODUÇÃO POR EMPRESAS'!$H$6:$J$5000,MATCH($A3062,'CONTROLE PRODUÇÃO POR EMPRESAS'!$A$6:$A$5000,0),1)="","",IFERROR(1*INDEX('CONTROLE PRODUÇÃO POR EMPRESAS'!$H$6:$J$5000,MATCH($A3062,'CONTROLE PRODUÇÃO POR EMPRESAS'!$A$6:$A$5000,0),1),"")),"")</f>
        <v/>
      </c>
      <c r="I3062">
        <f>IF(OR(NOT(ISNUMBER(G3062)),NOT(ISNUMBER(H3062))),"",H3062-G3062)</f>
        <v/>
      </c>
      <c r="J3062">
        <f>IF(OR(NOT(ISNUMBER(G3062)),NOT(ISNUMBER(H3062)),G3062=0),"",I3062/G3062)</f>
        <v/>
      </c>
      <c r="K3062">
        <f>IF(OR(NOT(ISNUMBER(G3062)),NOT(ISNUMBER(H3062)),G3062=0),"",H3062/G3062)</f>
        <v/>
      </c>
      <c r="L3062">
        <f>IF(NOT(ISNUMBER(G3062)),"SEM META",IF(G3062=0,"SEM META",IF(NOT(ISNUMBER(H3062)),"SEM APONTAMENTO",IF(H3062&gt;=G3062,"VERDE",IF(H3062&gt;=G3062*0.9,"AMARELO","VERMELHO")))))</f>
        <v/>
      </c>
    </row>
    <row r="3063">
      <c r="A3063" s="321" t="n">
        <v>46529</v>
      </c>
      <c r="B3063" t="inlineStr">
        <is>
          <t>GERAL</t>
        </is>
      </c>
      <c r="C3063" t="inlineStr">
        <is>
          <t>GLOBO AÇOS</t>
        </is>
      </c>
      <c r="D3063" t="inlineStr">
        <is>
          <t>TELHAR</t>
        </is>
      </c>
      <c r="F3063">
        <f>IFERROR(INDEX('BASE METAS DIÁRIAS'!$AA$2:$AC$358,MATCH($A3063,'BASE METAS DIÁRIAS'!$A$2:$A$358,0),2),"")</f>
        <v/>
      </c>
      <c r="G3063">
        <f>IFERROR(IF(WEEKDAY($A3063,2)&lt;=INDEX('BASE METAS DIÁRIAS'!$X$2:$Z$358,MATCH($A3063,'BASE METAS DIÁRIAS'!$A$2:$A$358,0),2),INDEX('BASE METAS DIÁRIAS'!$U$2:$W$358,MATCH($A3063,'BASE METAS DIÁRIAS'!$A$2:$A$358,0),2),""),"")</f>
        <v/>
      </c>
      <c r="H3063">
        <f>IFERROR(IF(INDEX('CONTROLE PRODUÇÃO POR EMPRESAS'!$H$6:$J$5000,MATCH($A3063,'CONTROLE PRODUÇÃO POR EMPRESAS'!$A$6:$A$5000,0),2)="","",IFERROR(1*INDEX('CONTROLE PRODUÇÃO POR EMPRESAS'!$H$6:$J$5000,MATCH($A3063,'CONTROLE PRODUÇÃO POR EMPRESAS'!$A$6:$A$5000,0),2),"")),"")</f>
        <v/>
      </c>
      <c r="I3063">
        <f>IF(OR(NOT(ISNUMBER(G3063)),NOT(ISNUMBER(H3063))),"",H3063-G3063)</f>
        <v/>
      </c>
      <c r="J3063">
        <f>IF(OR(NOT(ISNUMBER(G3063)),NOT(ISNUMBER(H3063)),G3063=0),"",I3063/G3063)</f>
        <v/>
      </c>
      <c r="K3063">
        <f>IF(OR(NOT(ISNUMBER(G3063)),NOT(ISNUMBER(H3063)),G3063=0),"",H3063/G3063)</f>
        <v/>
      </c>
      <c r="L3063">
        <f>IF(NOT(ISNUMBER(G3063)),"SEM META",IF(G3063=0,"SEM META",IF(NOT(ISNUMBER(H3063)),"SEM APONTAMENTO",IF(H3063&gt;=G3063,"VERDE",IF(H3063&gt;=G3063*0.9,"AMARELO","VERMELHO")))))</f>
        <v/>
      </c>
    </row>
    <row r="3064">
      <c r="A3064" s="321" t="n">
        <v>46529</v>
      </c>
      <c r="B3064" t="inlineStr">
        <is>
          <t>GERAL</t>
        </is>
      </c>
      <c r="C3064" t="inlineStr">
        <is>
          <t>GLOBO AÇOS</t>
        </is>
      </c>
      <c r="D3064" t="inlineStr">
        <is>
          <t>FECHAMENTO</t>
        </is>
      </c>
      <c r="F3064">
        <f>IFERROR(INDEX('BASE METAS DIÁRIAS'!$AA$2:$AC$358,MATCH($A3064,'BASE METAS DIÁRIAS'!$A$2:$A$358,0),3),"")</f>
        <v/>
      </c>
      <c r="G3064">
        <f>IFERROR(IF(WEEKDAY($A3064,2)&lt;=INDEX('BASE METAS DIÁRIAS'!$X$2:$Z$358,MATCH($A3064,'BASE METAS DIÁRIAS'!$A$2:$A$358,0),3),INDEX('BASE METAS DIÁRIAS'!$U$2:$W$358,MATCH($A3064,'BASE METAS DIÁRIAS'!$A$2:$A$358,0),3),""),"")</f>
        <v/>
      </c>
      <c r="H3064">
        <f>IFERROR(IF(INDEX('CONTROLE PRODUÇÃO POR EMPRESAS'!$H$6:$J$5000,MATCH($A3064,'CONTROLE PRODUÇÃO POR EMPRESAS'!$A$6:$A$5000,0),3)="","",IFERROR(1*INDEX('CONTROLE PRODUÇÃO POR EMPRESAS'!$H$6:$J$5000,MATCH($A3064,'CONTROLE PRODUÇÃO POR EMPRESAS'!$A$6:$A$5000,0),3),"")),"")</f>
        <v/>
      </c>
      <c r="I3064">
        <f>IF(OR(NOT(ISNUMBER(G3064)),NOT(ISNUMBER(H3064))),"",H3064-G3064)</f>
        <v/>
      </c>
      <c r="J3064">
        <f>IF(OR(NOT(ISNUMBER(G3064)),NOT(ISNUMBER(H3064)),G3064=0),"",I3064/G3064)</f>
        <v/>
      </c>
      <c r="K3064">
        <f>IF(OR(NOT(ISNUMBER(G3064)),NOT(ISNUMBER(H3064)),G3064=0),"",H3064/G3064)</f>
        <v/>
      </c>
      <c r="L3064">
        <f>IF(NOT(ISNUMBER(G3064)),"SEM META",IF(G3064=0,"SEM META",IF(NOT(ISNUMBER(H3064)),"SEM APONTAMENTO",IF(H3064&gt;=G3064,"VERDE",IF(H3064&gt;=G3064*0.9,"AMARELO","VERMELHO")))))</f>
        <v/>
      </c>
    </row>
    <row r="3065">
      <c r="A3065" s="321" t="n">
        <v>46530</v>
      </c>
      <c r="B3065" t="inlineStr">
        <is>
          <t>GERAL</t>
        </is>
      </c>
      <c r="C3065" t="inlineStr">
        <is>
          <t>GLOBO AÇOS</t>
        </is>
      </c>
      <c r="D3065" t="inlineStr">
        <is>
          <t>PERFILAÇÃO</t>
        </is>
      </c>
      <c r="F3065">
        <f>IFERROR(INDEX('BASE METAS DIÁRIAS'!$AA$2:$AC$358,MATCH($A3065,'BASE METAS DIÁRIAS'!$A$2:$A$358,0),1),"")</f>
        <v/>
      </c>
      <c r="G3065">
        <f>IFERROR(IF(WEEKDAY($A3065,2)&lt;=INDEX('BASE METAS DIÁRIAS'!$X$2:$Z$358,MATCH($A3065,'BASE METAS DIÁRIAS'!$A$2:$A$358,0),1),INDEX('BASE METAS DIÁRIAS'!$U$2:$W$358,MATCH($A3065,'BASE METAS DIÁRIAS'!$A$2:$A$358,0),1),""),"")</f>
        <v/>
      </c>
      <c r="H3065">
        <f>IFERROR(IF(INDEX('CONTROLE PRODUÇÃO POR EMPRESAS'!$H$6:$J$5000,MATCH($A3065,'CONTROLE PRODUÇÃO POR EMPRESAS'!$A$6:$A$5000,0),1)="","",IFERROR(1*INDEX('CONTROLE PRODUÇÃO POR EMPRESAS'!$H$6:$J$5000,MATCH($A3065,'CONTROLE PRODUÇÃO POR EMPRESAS'!$A$6:$A$5000,0),1),"")),"")</f>
        <v/>
      </c>
      <c r="I3065">
        <f>IF(OR(NOT(ISNUMBER(G3065)),NOT(ISNUMBER(H3065))),"",H3065-G3065)</f>
        <v/>
      </c>
      <c r="J3065">
        <f>IF(OR(NOT(ISNUMBER(G3065)),NOT(ISNUMBER(H3065)),G3065=0),"",I3065/G3065)</f>
        <v/>
      </c>
      <c r="K3065">
        <f>IF(OR(NOT(ISNUMBER(G3065)),NOT(ISNUMBER(H3065)),G3065=0),"",H3065/G3065)</f>
        <v/>
      </c>
      <c r="L3065">
        <f>IF(NOT(ISNUMBER(G3065)),"SEM META",IF(G3065=0,"SEM META",IF(NOT(ISNUMBER(H3065)),"SEM APONTAMENTO",IF(H3065&gt;=G3065,"VERDE",IF(H3065&gt;=G3065*0.9,"AMARELO","VERMELHO")))))</f>
        <v/>
      </c>
    </row>
    <row r="3066">
      <c r="A3066" s="321" t="n">
        <v>46530</v>
      </c>
      <c r="B3066" t="inlineStr">
        <is>
          <t>GERAL</t>
        </is>
      </c>
      <c r="C3066" t="inlineStr">
        <is>
          <t>GLOBO AÇOS</t>
        </is>
      </c>
      <c r="D3066" t="inlineStr">
        <is>
          <t>TELHAR</t>
        </is>
      </c>
      <c r="F3066">
        <f>IFERROR(INDEX('BASE METAS DIÁRIAS'!$AA$2:$AC$358,MATCH($A3066,'BASE METAS DIÁRIAS'!$A$2:$A$358,0),2),"")</f>
        <v/>
      </c>
      <c r="G3066">
        <f>IFERROR(IF(WEEKDAY($A3066,2)&lt;=INDEX('BASE METAS DIÁRIAS'!$X$2:$Z$358,MATCH($A3066,'BASE METAS DIÁRIAS'!$A$2:$A$358,0),2),INDEX('BASE METAS DIÁRIAS'!$U$2:$W$358,MATCH($A3066,'BASE METAS DIÁRIAS'!$A$2:$A$358,0),2),""),"")</f>
        <v/>
      </c>
      <c r="H3066">
        <f>IFERROR(IF(INDEX('CONTROLE PRODUÇÃO POR EMPRESAS'!$H$6:$J$5000,MATCH($A3066,'CONTROLE PRODUÇÃO POR EMPRESAS'!$A$6:$A$5000,0),2)="","",IFERROR(1*INDEX('CONTROLE PRODUÇÃO POR EMPRESAS'!$H$6:$J$5000,MATCH($A3066,'CONTROLE PRODUÇÃO POR EMPRESAS'!$A$6:$A$5000,0),2),"")),"")</f>
        <v/>
      </c>
      <c r="I3066">
        <f>IF(OR(NOT(ISNUMBER(G3066)),NOT(ISNUMBER(H3066))),"",H3066-G3066)</f>
        <v/>
      </c>
      <c r="J3066">
        <f>IF(OR(NOT(ISNUMBER(G3066)),NOT(ISNUMBER(H3066)),G3066=0),"",I3066/G3066)</f>
        <v/>
      </c>
      <c r="K3066">
        <f>IF(OR(NOT(ISNUMBER(G3066)),NOT(ISNUMBER(H3066)),G3066=0),"",H3066/G3066)</f>
        <v/>
      </c>
      <c r="L3066">
        <f>IF(NOT(ISNUMBER(G3066)),"SEM META",IF(G3066=0,"SEM META",IF(NOT(ISNUMBER(H3066)),"SEM APONTAMENTO",IF(H3066&gt;=G3066,"VERDE",IF(H3066&gt;=G3066*0.9,"AMARELO","VERMELHO")))))</f>
        <v/>
      </c>
    </row>
    <row r="3067">
      <c r="A3067" s="321" t="n">
        <v>46530</v>
      </c>
      <c r="B3067" t="inlineStr">
        <is>
          <t>GERAL</t>
        </is>
      </c>
      <c r="C3067" t="inlineStr">
        <is>
          <t>GLOBO AÇOS</t>
        </is>
      </c>
      <c r="D3067" t="inlineStr">
        <is>
          <t>FECHAMENTO</t>
        </is>
      </c>
      <c r="F3067">
        <f>IFERROR(INDEX('BASE METAS DIÁRIAS'!$AA$2:$AC$358,MATCH($A3067,'BASE METAS DIÁRIAS'!$A$2:$A$358,0),3),"")</f>
        <v/>
      </c>
      <c r="G3067">
        <f>IFERROR(IF(WEEKDAY($A3067,2)&lt;=INDEX('BASE METAS DIÁRIAS'!$X$2:$Z$358,MATCH($A3067,'BASE METAS DIÁRIAS'!$A$2:$A$358,0),3),INDEX('BASE METAS DIÁRIAS'!$U$2:$W$358,MATCH($A3067,'BASE METAS DIÁRIAS'!$A$2:$A$358,0),3),""),"")</f>
        <v/>
      </c>
      <c r="H3067">
        <f>IFERROR(IF(INDEX('CONTROLE PRODUÇÃO POR EMPRESAS'!$H$6:$J$5000,MATCH($A3067,'CONTROLE PRODUÇÃO POR EMPRESAS'!$A$6:$A$5000,0),3)="","",IFERROR(1*INDEX('CONTROLE PRODUÇÃO POR EMPRESAS'!$H$6:$J$5000,MATCH($A3067,'CONTROLE PRODUÇÃO POR EMPRESAS'!$A$6:$A$5000,0),3),"")),"")</f>
        <v/>
      </c>
      <c r="I3067">
        <f>IF(OR(NOT(ISNUMBER(G3067)),NOT(ISNUMBER(H3067))),"",H3067-G3067)</f>
        <v/>
      </c>
      <c r="J3067">
        <f>IF(OR(NOT(ISNUMBER(G3067)),NOT(ISNUMBER(H3067)),G3067=0),"",I3067/G3067)</f>
        <v/>
      </c>
      <c r="K3067">
        <f>IF(OR(NOT(ISNUMBER(G3067)),NOT(ISNUMBER(H3067)),G3067=0),"",H3067/G3067)</f>
        <v/>
      </c>
      <c r="L3067">
        <f>IF(NOT(ISNUMBER(G3067)),"SEM META",IF(G3067=0,"SEM META",IF(NOT(ISNUMBER(H3067)),"SEM APONTAMENTO",IF(H3067&gt;=G3067,"VERDE",IF(H3067&gt;=G3067*0.9,"AMARELO","VERMELHO")))))</f>
        <v/>
      </c>
    </row>
    <row r="3068">
      <c r="A3068" s="321" t="n">
        <v>46531</v>
      </c>
      <c r="B3068" t="inlineStr">
        <is>
          <t>GERAL</t>
        </is>
      </c>
      <c r="C3068" t="inlineStr">
        <is>
          <t>GLOBO AÇOS</t>
        </is>
      </c>
      <c r="D3068" t="inlineStr">
        <is>
          <t>PERFILAÇÃO</t>
        </is>
      </c>
      <c r="F3068">
        <f>IFERROR(INDEX('BASE METAS DIÁRIAS'!$AA$2:$AC$358,MATCH($A3068,'BASE METAS DIÁRIAS'!$A$2:$A$358,0),1),"")</f>
        <v/>
      </c>
      <c r="G3068">
        <f>IFERROR(IF(WEEKDAY($A3068,2)&lt;=INDEX('BASE METAS DIÁRIAS'!$X$2:$Z$358,MATCH($A3068,'BASE METAS DIÁRIAS'!$A$2:$A$358,0),1),INDEX('BASE METAS DIÁRIAS'!$U$2:$W$358,MATCH($A3068,'BASE METAS DIÁRIAS'!$A$2:$A$358,0),1),""),"")</f>
        <v/>
      </c>
      <c r="H3068">
        <f>IFERROR(IF(INDEX('CONTROLE PRODUÇÃO POR EMPRESAS'!$H$6:$J$5000,MATCH($A3068,'CONTROLE PRODUÇÃO POR EMPRESAS'!$A$6:$A$5000,0),1)="","",IFERROR(1*INDEX('CONTROLE PRODUÇÃO POR EMPRESAS'!$H$6:$J$5000,MATCH($A3068,'CONTROLE PRODUÇÃO POR EMPRESAS'!$A$6:$A$5000,0),1),"")),"")</f>
        <v/>
      </c>
      <c r="I3068">
        <f>IF(OR(NOT(ISNUMBER(G3068)),NOT(ISNUMBER(H3068))),"",H3068-G3068)</f>
        <v/>
      </c>
      <c r="J3068">
        <f>IF(OR(NOT(ISNUMBER(G3068)),NOT(ISNUMBER(H3068)),G3068=0),"",I3068/G3068)</f>
        <v/>
      </c>
      <c r="K3068">
        <f>IF(OR(NOT(ISNUMBER(G3068)),NOT(ISNUMBER(H3068)),G3068=0),"",H3068/G3068)</f>
        <v/>
      </c>
      <c r="L3068">
        <f>IF(NOT(ISNUMBER(G3068)),"SEM META",IF(G3068=0,"SEM META",IF(NOT(ISNUMBER(H3068)),"SEM APONTAMENTO",IF(H3068&gt;=G3068,"VERDE",IF(H3068&gt;=G3068*0.9,"AMARELO","VERMELHO")))))</f>
        <v/>
      </c>
    </row>
    <row r="3069">
      <c r="A3069" s="321" t="n">
        <v>46531</v>
      </c>
      <c r="B3069" t="inlineStr">
        <is>
          <t>GERAL</t>
        </is>
      </c>
      <c r="C3069" t="inlineStr">
        <is>
          <t>GLOBO AÇOS</t>
        </is>
      </c>
      <c r="D3069" t="inlineStr">
        <is>
          <t>TELHAR</t>
        </is>
      </c>
      <c r="F3069">
        <f>IFERROR(INDEX('BASE METAS DIÁRIAS'!$AA$2:$AC$358,MATCH($A3069,'BASE METAS DIÁRIAS'!$A$2:$A$358,0),2),"")</f>
        <v/>
      </c>
      <c r="G3069">
        <f>IFERROR(IF(WEEKDAY($A3069,2)&lt;=INDEX('BASE METAS DIÁRIAS'!$X$2:$Z$358,MATCH($A3069,'BASE METAS DIÁRIAS'!$A$2:$A$358,0),2),INDEX('BASE METAS DIÁRIAS'!$U$2:$W$358,MATCH($A3069,'BASE METAS DIÁRIAS'!$A$2:$A$358,0),2),""),"")</f>
        <v/>
      </c>
      <c r="H3069">
        <f>IFERROR(IF(INDEX('CONTROLE PRODUÇÃO POR EMPRESAS'!$H$6:$J$5000,MATCH($A3069,'CONTROLE PRODUÇÃO POR EMPRESAS'!$A$6:$A$5000,0),2)="","",IFERROR(1*INDEX('CONTROLE PRODUÇÃO POR EMPRESAS'!$H$6:$J$5000,MATCH($A3069,'CONTROLE PRODUÇÃO POR EMPRESAS'!$A$6:$A$5000,0),2),"")),"")</f>
        <v/>
      </c>
      <c r="I3069">
        <f>IF(OR(NOT(ISNUMBER(G3069)),NOT(ISNUMBER(H3069))),"",H3069-G3069)</f>
        <v/>
      </c>
      <c r="J3069">
        <f>IF(OR(NOT(ISNUMBER(G3069)),NOT(ISNUMBER(H3069)),G3069=0),"",I3069/G3069)</f>
        <v/>
      </c>
      <c r="K3069">
        <f>IF(OR(NOT(ISNUMBER(G3069)),NOT(ISNUMBER(H3069)),G3069=0),"",H3069/G3069)</f>
        <v/>
      </c>
      <c r="L3069">
        <f>IF(NOT(ISNUMBER(G3069)),"SEM META",IF(G3069=0,"SEM META",IF(NOT(ISNUMBER(H3069)),"SEM APONTAMENTO",IF(H3069&gt;=G3069,"VERDE",IF(H3069&gt;=G3069*0.9,"AMARELO","VERMELHO")))))</f>
        <v/>
      </c>
    </row>
    <row r="3070">
      <c r="A3070" s="321" t="n">
        <v>46531</v>
      </c>
      <c r="B3070" t="inlineStr">
        <is>
          <t>GERAL</t>
        </is>
      </c>
      <c r="C3070" t="inlineStr">
        <is>
          <t>GLOBO AÇOS</t>
        </is>
      </c>
      <c r="D3070" t="inlineStr">
        <is>
          <t>FECHAMENTO</t>
        </is>
      </c>
      <c r="F3070">
        <f>IFERROR(INDEX('BASE METAS DIÁRIAS'!$AA$2:$AC$358,MATCH($A3070,'BASE METAS DIÁRIAS'!$A$2:$A$358,0),3),"")</f>
        <v/>
      </c>
      <c r="G3070">
        <f>IFERROR(IF(WEEKDAY($A3070,2)&lt;=INDEX('BASE METAS DIÁRIAS'!$X$2:$Z$358,MATCH($A3070,'BASE METAS DIÁRIAS'!$A$2:$A$358,0),3),INDEX('BASE METAS DIÁRIAS'!$U$2:$W$358,MATCH($A3070,'BASE METAS DIÁRIAS'!$A$2:$A$358,0),3),""),"")</f>
        <v/>
      </c>
      <c r="H3070">
        <f>IFERROR(IF(INDEX('CONTROLE PRODUÇÃO POR EMPRESAS'!$H$6:$J$5000,MATCH($A3070,'CONTROLE PRODUÇÃO POR EMPRESAS'!$A$6:$A$5000,0),3)="","",IFERROR(1*INDEX('CONTROLE PRODUÇÃO POR EMPRESAS'!$H$6:$J$5000,MATCH($A3070,'CONTROLE PRODUÇÃO POR EMPRESAS'!$A$6:$A$5000,0),3),"")),"")</f>
        <v/>
      </c>
      <c r="I3070">
        <f>IF(OR(NOT(ISNUMBER(G3070)),NOT(ISNUMBER(H3070))),"",H3070-G3070)</f>
        <v/>
      </c>
      <c r="J3070">
        <f>IF(OR(NOT(ISNUMBER(G3070)),NOT(ISNUMBER(H3070)),G3070=0),"",I3070/G3070)</f>
        <v/>
      </c>
      <c r="K3070">
        <f>IF(OR(NOT(ISNUMBER(G3070)),NOT(ISNUMBER(H3070)),G3070=0),"",H3070/G3070)</f>
        <v/>
      </c>
      <c r="L3070">
        <f>IF(NOT(ISNUMBER(G3070)),"SEM META",IF(G3070=0,"SEM META",IF(NOT(ISNUMBER(H3070)),"SEM APONTAMENTO",IF(H3070&gt;=G3070,"VERDE",IF(H3070&gt;=G3070*0.9,"AMARELO","VERMELHO")))))</f>
        <v/>
      </c>
    </row>
    <row r="3071">
      <c r="A3071" s="321" t="n">
        <v>46532</v>
      </c>
      <c r="B3071" t="inlineStr">
        <is>
          <t>GERAL</t>
        </is>
      </c>
      <c r="C3071" t="inlineStr">
        <is>
          <t>GLOBO AÇOS</t>
        </is>
      </c>
      <c r="D3071" t="inlineStr">
        <is>
          <t>PERFILAÇÃO</t>
        </is>
      </c>
      <c r="F3071">
        <f>IFERROR(INDEX('BASE METAS DIÁRIAS'!$AA$2:$AC$358,MATCH($A3071,'BASE METAS DIÁRIAS'!$A$2:$A$358,0),1),"")</f>
        <v/>
      </c>
      <c r="G3071">
        <f>IFERROR(IF(WEEKDAY($A3071,2)&lt;=INDEX('BASE METAS DIÁRIAS'!$X$2:$Z$358,MATCH($A3071,'BASE METAS DIÁRIAS'!$A$2:$A$358,0),1),INDEX('BASE METAS DIÁRIAS'!$U$2:$W$358,MATCH($A3071,'BASE METAS DIÁRIAS'!$A$2:$A$358,0),1),""),"")</f>
        <v/>
      </c>
      <c r="H3071">
        <f>IFERROR(IF(INDEX('CONTROLE PRODUÇÃO POR EMPRESAS'!$H$6:$J$5000,MATCH($A3071,'CONTROLE PRODUÇÃO POR EMPRESAS'!$A$6:$A$5000,0),1)="","",IFERROR(1*INDEX('CONTROLE PRODUÇÃO POR EMPRESAS'!$H$6:$J$5000,MATCH($A3071,'CONTROLE PRODUÇÃO POR EMPRESAS'!$A$6:$A$5000,0),1),"")),"")</f>
        <v/>
      </c>
      <c r="I3071">
        <f>IF(OR(NOT(ISNUMBER(G3071)),NOT(ISNUMBER(H3071))),"",H3071-G3071)</f>
        <v/>
      </c>
      <c r="J3071">
        <f>IF(OR(NOT(ISNUMBER(G3071)),NOT(ISNUMBER(H3071)),G3071=0),"",I3071/G3071)</f>
        <v/>
      </c>
      <c r="K3071">
        <f>IF(OR(NOT(ISNUMBER(G3071)),NOT(ISNUMBER(H3071)),G3071=0),"",H3071/G3071)</f>
        <v/>
      </c>
      <c r="L3071">
        <f>IF(NOT(ISNUMBER(G3071)),"SEM META",IF(G3071=0,"SEM META",IF(NOT(ISNUMBER(H3071)),"SEM APONTAMENTO",IF(H3071&gt;=G3071,"VERDE",IF(H3071&gt;=G3071*0.9,"AMARELO","VERMELHO")))))</f>
        <v/>
      </c>
    </row>
    <row r="3072">
      <c r="A3072" s="321" t="n">
        <v>46532</v>
      </c>
      <c r="B3072" t="inlineStr">
        <is>
          <t>GERAL</t>
        </is>
      </c>
      <c r="C3072" t="inlineStr">
        <is>
          <t>GLOBO AÇOS</t>
        </is>
      </c>
      <c r="D3072" t="inlineStr">
        <is>
          <t>TELHAR</t>
        </is>
      </c>
      <c r="F3072">
        <f>IFERROR(INDEX('BASE METAS DIÁRIAS'!$AA$2:$AC$358,MATCH($A3072,'BASE METAS DIÁRIAS'!$A$2:$A$358,0),2),"")</f>
        <v/>
      </c>
      <c r="G3072">
        <f>IFERROR(IF(WEEKDAY($A3072,2)&lt;=INDEX('BASE METAS DIÁRIAS'!$X$2:$Z$358,MATCH($A3072,'BASE METAS DIÁRIAS'!$A$2:$A$358,0),2),INDEX('BASE METAS DIÁRIAS'!$U$2:$W$358,MATCH($A3072,'BASE METAS DIÁRIAS'!$A$2:$A$358,0),2),""),"")</f>
        <v/>
      </c>
      <c r="H3072">
        <f>IFERROR(IF(INDEX('CONTROLE PRODUÇÃO POR EMPRESAS'!$H$6:$J$5000,MATCH($A3072,'CONTROLE PRODUÇÃO POR EMPRESAS'!$A$6:$A$5000,0),2)="","",IFERROR(1*INDEX('CONTROLE PRODUÇÃO POR EMPRESAS'!$H$6:$J$5000,MATCH($A3072,'CONTROLE PRODUÇÃO POR EMPRESAS'!$A$6:$A$5000,0),2),"")),"")</f>
        <v/>
      </c>
      <c r="I3072">
        <f>IF(OR(NOT(ISNUMBER(G3072)),NOT(ISNUMBER(H3072))),"",H3072-G3072)</f>
        <v/>
      </c>
      <c r="J3072">
        <f>IF(OR(NOT(ISNUMBER(G3072)),NOT(ISNUMBER(H3072)),G3072=0),"",I3072/G3072)</f>
        <v/>
      </c>
      <c r="K3072">
        <f>IF(OR(NOT(ISNUMBER(G3072)),NOT(ISNUMBER(H3072)),G3072=0),"",H3072/G3072)</f>
        <v/>
      </c>
      <c r="L3072">
        <f>IF(NOT(ISNUMBER(G3072)),"SEM META",IF(G3072=0,"SEM META",IF(NOT(ISNUMBER(H3072)),"SEM APONTAMENTO",IF(H3072&gt;=G3072,"VERDE",IF(H3072&gt;=G3072*0.9,"AMARELO","VERMELHO")))))</f>
        <v/>
      </c>
    </row>
    <row r="3073">
      <c r="A3073" s="321" t="n">
        <v>46532</v>
      </c>
      <c r="B3073" t="inlineStr">
        <is>
          <t>GERAL</t>
        </is>
      </c>
      <c r="C3073" t="inlineStr">
        <is>
          <t>GLOBO AÇOS</t>
        </is>
      </c>
      <c r="D3073" t="inlineStr">
        <is>
          <t>FECHAMENTO</t>
        </is>
      </c>
      <c r="F3073">
        <f>IFERROR(INDEX('BASE METAS DIÁRIAS'!$AA$2:$AC$358,MATCH($A3073,'BASE METAS DIÁRIAS'!$A$2:$A$358,0),3),"")</f>
        <v/>
      </c>
      <c r="G3073">
        <f>IFERROR(IF(WEEKDAY($A3073,2)&lt;=INDEX('BASE METAS DIÁRIAS'!$X$2:$Z$358,MATCH($A3073,'BASE METAS DIÁRIAS'!$A$2:$A$358,0),3),INDEX('BASE METAS DIÁRIAS'!$U$2:$W$358,MATCH($A3073,'BASE METAS DIÁRIAS'!$A$2:$A$358,0),3),""),"")</f>
        <v/>
      </c>
      <c r="H3073">
        <f>IFERROR(IF(INDEX('CONTROLE PRODUÇÃO POR EMPRESAS'!$H$6:$J$5000,MATCH($A3073,'CONTROLE PRODUÇÃO POR EMPRESAS'!$A$6:$A$5000,0),3)="","",IFERROR(1*INDEX('CONTROLE PRODUÇÃO POR EMPRESAS'!$H$6:$J$5000,MATCH($A3073,'CONTROLE PRODUÇÃO POR EMPRESAS'!$A$6:$A$5000,0),3),"")),"")</f>
        <v/>
      </c>
      <c r="I3073">
        <f>IF(OR(NOT(ISNUMBER(G3073)),NOT(ISNUMBER(H3073))),"",H3073-G3073)</f>
        <v/>
      </c>
      <c r="J3073">
        <f>IF(OR(NOT(ISNUMBER(G3073)),NOT(ISNUMBER(H3073)),G3073=0),"",I3073/G3073)</f>
        <v/>
      </c>
      <c r="K3073">
        <f>IF(OR(NOT(ISNUMBER(G3073)),NOT(ISNUMBER(H3073)),G3073=0),"",H3073/G3073)</f>
        <v/>
      </c>
      <c r="L3073">
        <f>IF(NOT(ISNUMBER(G3073)),"SEM META",IF(G3073=0,"SEM META",IF(NOT(ISNUMBER(H3073)),"SEM APONTAMENTO",IF(H3073&gt;=G3073,"VERDE",IF(H3073&gt;=G3073*0.9,"AMARELO","VERMELHO")))))</f>
        <v/>
      </c>
    </row>
    <row r="3074">
      <c r="A3074" s="321" t="n">
        <v>46533</v>
      </c>
      <c r="B3074" t="inlineStr">
        <is>
          <t>GERAL</t>
        </is>
      </c>
      <c r="C3074" t="inlineStr">
        <is>
          <t>GLOBO AÇOS</t>
        </is>
      </c>
      <c r="D3074" t="inlineStr">
        <is>
          <t>PERFILAÇÃO</t>
        </is>
      </c>
      <c r="F3074">
        <f>IFERROR(INDEX('BASE METAS DIÁRIAS'!$AA$2:$AC$358,MATCH($A3074,'BASE METAS DIÁRIAS'!$A$2:$A$358,0),1),"")</f>
        <v/>
      </c>
      <c r="G3074">
        <f>IFERROR(IF(WEEKDAY($A3074,2)&lt;=INDEX('BASE METAS DIÁRIAS'!$X$2:$Z$358,MATCH($A3074,'BASE METAS DIÁRIAS'!$A$2:$A$358,0),1),INDEX('BASE METAS DIÁRIAS'!$U$2:$W$358,MATCH($A3074,'BASE METAS DIÁRIAS'!$A$2:$A$358,0),1),""),"")</f>
        <v/>
      </c>
      <c r="H3074">
        <f>IFERROR(IF(INDEX('CONTROLE PRODUÇÃO POR EMPRESAS'!$H$6:$J$5000,MATCH($A3074,'CONTROLE PRODUÇÃO POR EMPRESAS'!$A$6:$A$5000,0),1)="","",IFERROR(1*INDEX('CONTROLE PRODUÇÃO POR EMPRESAS'!$H$6:$J$5000,MATCH($A3074,'CONTROLE PRODUÇÃO POR EMPRESAS'!$A$6:$A$5000,0),1),"")),"")</f>
        <v/>
      </c>
      <c r="I3074">
        <f>IF(OR(NOT(ISNUMBER(G3074)),NOT(ISNUMBER(H3074))),"",H3074-G3074)</f>
        <v/>
      </c>
      <c r="J3074">
        <f>IF(OR(NOT(ISNUMBER(G3074)),NOT(ISNUMBER(H3074)),G3074=0),"",I3074/G3074)</f>
        <v/>
      </c>
      <c r="K3074">
        <f>IF(OR(NOT(ISNUMBER(G3074)),NOT(ISNUMBER(H3074)),G3074=0),"",H3074/G3074)</f>
        <v/>
      </c>
      <c r="L3074">
        <f>IF(NOT(ISNUMBER(G3074)),"SEM META",IF(G3074=0,"SEM META",IF(NOT(ISNUMBER(H3074)),"SEM APONTAMENTO",IF(H3074&gt;=G3074,"VERDE",IF(H3074&gt;=G3074*0.9,"AMARELO","VERMELHO")))))</f>
        <v/>
      </c>
    </row>
    <row r="3075">
      <c r="A3075" s="321" t="n">
        <v>46533</v>
      </c>
      <c r="B3075" t="inlineStr">
        <is>
          <t>GERAL</t>
        </is>
      </c>
      <c r="C3075" t="inlineStr">
        <is>
          <t>GLOBO AÇOS</t>
        </is>
      </c>
      <c r="D3075" t="inlineStr">
        <is>
          <t>TELHAR</t>
        </is>
      </c>
      <c r="F3075">
        <f>IFERROR(INDEX('BASE METAS DIÁRIAS'!$AA$2:$AC$358,MATCH($A3075,'BASE METAS DIÁRIAS'!$A$2:$A$358,0),2),"")</f>
        <v/>
      </c>
      <c r="G3075">
        <f>IFERROR(IF(WEEKDAY($A3075,2)&lt;=INDEX('BASE METAS DIÁRIAS'!$X$2:$Z$358,MATCH($A3075,'BASE METAS DIÁRIAS'!$A$2:$A$358,0),2),INDEX('BASE METAS DIÁRIAS'!$U$2:$W$358,MATCH($A3075,'BASE METAS DIÁRIAS'!$A$2:$A$358,0),2),""),"")</f>
        <v/>
      </c>
      <c r="H3075">
        <f>IFERROR(IF(INDEX('CONTROLE PRODUÇÃO POR EMPRESAS'!$H$6:$J$5000,MATCH($A3075,'CONTROLE PRODUÇÃO POR EMPRESAS'!$A$6:$A$5000,0),2)="","",IFERROR(1*INDEX('CONTROLE PRODUÇÃO POR EMPRESAS'!$H$6:$J$5000,MATCH($A3075,'CONTROLE PRODUÇÃO POR EMPRESAS'!$A$6:$A$5000,0),2),"")),"")</f>
        <v/>
      </c>
      <c r="I3075">
        <f>IF(OR(NOT(ISNUMBER(G3075)),NOT(ISNUMBER(H3075))),"",H3075-G3075)</f>
        <v/>
      </c>
      <c r="J3075">
        <f>IF(OR(NOT(ISNUMBER(G3075)),NOT(ISNUMBER(H3075)),G3075=0),"",I3075/G3075)</f>
        <v/>
      </c>
      <c r="K3075">
        <f>IF(OR(NOT(ISNUMBER(G3075)),NOT(ISNUMBER(H3075)),G3075=0),"",H3075/G3075)</f>
        <v/>
      </c>
      <c r="L3075">
        <f>IF(NOT(ISNUMBER(G3075)),"SEM META",IF(G3075=0,"SEM META",IF(NOT(ISNUMBER(H3075)),"SEM APONTAMENTO",IF(H3075&gt;=G3075,"VERDE",IF(H3075&gt;=G3075*0.9,"AMARELO","VERMELHO")))))</f>
        <v/>
      </c>
    </row>
    <row r="3076">
      <c r="A3076" s="321" t="n">
        <v>46533</v>
      </c>
      <c r="B3076" t="inlineStr">
        <is>
          <t>GERAL</t>
        </is>
      </c>
      <c r="C3076" t="inlineStr">
        <is>
          <t>GLOBO AÇOS</t>
        </is>
      </c>
      <c r="D3076" t="inlineStr">
        <is>
          <t>FECHAMENTO</t>
        </is>
      </c>
      <c r="F3076">
        <f>IFERROR(INDEX('BASE METAS DIÁRIAS'!$AA$2:$AC$358,MATCH($A3076,'BASE METAS DIÁRIAS'!$A$2:$A$358,0),3),"")</f>
        <v/>
      </c>
      <c r="G3076">
        <f>IFERROR(IF(WEEKDAY($A3076,2)&lt;=INDEX('BASE METAS DIÁRIAS'!$X$2:$Z$358,MATCH($A3076,'BASE METAS DIÁRIAS'!$A$2:$A$358,0),3),INDEX('BASE METAS DIÁRIAS'!$U$2:$W$358,MATCH($A3076,'BASE METAS DIÁRIAS'!$A$2:$A$358,0),3),""),"")</f>
        <v/>
      </c>
      <c r="H3076">
        <f>IFERROR(IF(INDEX('CONTROLE PRODUÇÃO POR EMPRESAS'!$H$6:$J$5000,MATCH($A3076,'CONTROLE PRODUÇÃO POR EMPRESAS'!$A$6:$A$5000,0),3)="","",IFERROR(1*INDEX('CONTROLE PRODUÇÃO POR EMPRESAS'!$H$6:$J$5000,MATCH($A3076,'CONTROLE PRODUÇÃO POR EMPRESAS'!$A$6:$A$5000,0),3),"")),"")</f>
        <v/>
      </c>
      <c r="I3076">
        <f>IF(OR(NOT(ISNUMBER(G3076)),NOT(ISNUMBER(H3076))),"",H3076-G3076)</f>
        <v/>
      </c>
      <c r="J3076">
        <f>IF(OR(NOT(ISNUMBER(G3076)),NOT(ISNUMBER(H3076)),G3076=0),"",I3076/G3076)</f>
        <v/>
      </c>
      <c r="K3076">
        <f>IF(OR(NOT(ISNUMBER(G3076)),NOT(ISNUMBER(H3076)),G3076=0),"",H3076/G3076)</f>
        <v/>
      </c>
      <c r="L3076">
        <f>IF(NOT(ISNUMBER(G3076)),"SEM META",IF(G3076=0,"SEM META",IF(NOT(ISNUMBER(H3076)),"SEM APONTAMENTO",IF(H3076&gt;=G3076,"VERDE",IF(H3076&gt;=G3076*0.9,"AMARELO","VERMELHO")))))</f>
        <v/>
      </c>
    </row>
    <row r="3077">
      <c r="A3077" s="321" t="n">
        <v>46534</v>
      </c>
      <c r="B3077" t="inlineStr">
        <is>
          <t>GERAL</t>
        </is>
      </c>
      <c r="C3077" t="inlineStr">
        <is>
          <t>GLOBO AÇOS</t>
        </is>
      </c>
      <c r="D3077" t="inlineStr">
        <is>
          <t>PERFILAÇÃO</t>
        </is>
      </c>
      <c r="F3077">
        <f>IFERROR(INDEX('BASE METAS DIÁRIAS'!$AA$2:$AC$358,MATCH($A3077,'BASE METAS DIÁRIAS'!$A$2:$A$358,0),1),"")</f>
        <v/>
      </c>
      <c r="G3077">
        <f>IFERROR(IF(WEEKDAY($A3077,2)&lt;=INDEX('BASE METAS DIÁRIAS'!$X$2:$Z$358,MATCH($A3077,'BASE METAS DIÁRIAS'!$A$2:$A$358,0),1),INDEX('BASE METAS DIÁRIAS'!$U$2:$W$358,MATCH($A3077,'BASE METAS DIÁRIAS'!$A$2:$A$358,0),1),""),"")</f>
        <v/>
      </c>
      <c r="H3077">
        <f>IFERROR(IF(INDEX('CONTROLE PRODUÇÃO POR EMPRESAS'!$H$6:$J$5000,MATCH($A3077,'CONTROLE PRODUÇÃO POR EMPRESAS'!$A$6:$A$5000,0),1)="","",IFERROR(1*INDEX('CONTROLE PRODUÇÃO POR EMPRESAS'!$H$6:$J$5000,MATCH($A3077,'CONTROLE PRODUÇÃO POR EMPRESAS'!$A$6:$A$5000,0),1),"")),"")</f>
        <v/>
      </c>
      <c r="I3077">
        <f>IF(OR(NOT(ISNUMBER(G3077)),NOT(ISNUMBER(H3077))),"",H3077-G3077)</f>
        <v/>
      </c>
      <c r="J3077">
        <f>IF(OR(NOT(ISNUMBER(G3077)),NOT(ISNUMBER(H3077)),G3077=0),"",I3077/G3077)</f>
        <v/>
      </c>
      <c r="K3077">
        <f>IF(OR(NOT(ISNUMBER(G3077)),NOT(ISNUMBER(H3077)),G3077=0),"",H3077/G3077)</f>
        <v/>
      </c>
      <c r="L3077">
        <f>IF(NOT(ISNUMBER(G3077)),"SEM META",IF(G3077=0,"SEM META",IF(NOT(ISNUMBER(H3077)),"SEM APONTAMENTO",IF(H3077&gt;=G3077,"VERDE",IF(H3077&gt;=G3077*0.9,"AMARELO","VERMELHO")))))</f>
        <v/>
      </c>
    </row>
    <row r="3078">
      <c r="A3078" s="321" t="n">
        <v>46534</v>
      </c>
      <c r="B3078" t="inlineStr">
        <is>
          <t>GERAL</t>
        </is>
      </c>
      <c r="C3078" t="inlineStr">
        <is>
          <t>GLOBO AÇOS</t>
        </is>
      </c>
      <c r="D3078" t="inlineStr">
        <is>
          <t>TELHAR</t>
        </is>
      </c>
      <c r="F3078">
        <f>IFERROR(INDEX('BASE METAS DIÁRIAS'!$AA$2:$AC$358,MATCH($A3078,'BASE METAS DIÁRIAS'!$A$2:$A$358,0),2),"")</f>
        <v/>
      </c>
      <c r="G3078">
        <f>IFERROR(IF(WEEKDAY($A3078,2)&lt;=INDEX('BASE METAS DIÁRIAS'!$X$2:$Z$358,MATCH($A3078,'BASE METAS DIÁRIAS'!$A$2:$A$358,0),2),INDEX('BASE METAS DIÁRIAS'!$U$2:$W$358,MATCH($A3078,'BASE METAS DIÁRIAS'!$A$2:$A$358,0),2),""),"")</f>
        <v/>
      </c>
      <c r="H3078">
        <f>IFERROR(IF(INDEX('CONTROLE PRODUÇÃO POR EMPRESAS'!$H$6:$J$5000,MATCH($A3078,'CONTROLE PRODUÇÃO POR EMPRESAS'!$A$6:$A$5000,0),2)="","",IFERROR(1*INDEX('CONTROLE PRODUÇÃO POR EMPRESAS'!$H$6:$J$5000,MATCH($A3078,'CONTROLE PRODUÇÃO POR EMPRESAS'!$A$6:$A$5000,0),2),"")),"")</f>
        <v/>
      </c>
      <c r="I3078">
        <f>IF(OR(NOT(ISNUMBER(G3078)),NOT(ISNUMBER(H3078))),"",H3078-G3078)</f>
        <v/>
      </c>
      <c r="J3078">
        <f>IF(OR(NOT(ISNUMBER(G3078)),NOT(ISNUMBER(H3078)),G3078=0),"",I3078/G3078)</f>
        <v/>
      </c>
      <c r="K3078">
        <f>IF(OR(NOT(ISNUMBER(G3078)),NOT(ISNUMBER(H3078)),G3078=0),"",H3078/G3078)</f>
        <v/>
      </c>
      <c r="L3078">
        <f>IF(NOT(ISNUMBER(G3078)),"SEM META",IF(G3078=0,"SEM META",IF(NOT(ISNUMBER(H3078)),"SEM APONTAMENTO",IF(H3078&gt;=G3078,"VERDE",IF(H3078&gt;=G3078*0.9,"AMARELO","VERMELHO")))))</f>
        <v/>
      </c>
    </row>
    <row r="3079">
      <c r="A3079" s="321" t="n">
        <v>46534</v>
      </c>
      <c r="B3079" t="inlineStr">
        <is>
          <t>GERAL</t>
        </is>
      </c>
      <c r="C3079" t="inlineStr">
        <is>
          <t>GLOBO AÇOS</t>
        </is>
      </c>
      <c r="D3079" t="inlineStr">
        <is>
          <t>FECHAMENTO</t>
        </is>
      </c>
      <c r="F3079">
        <f>IFERROR(INDEX('BASE METAS DIÁRIAS'!$AA$2:$AC$358,MATCH($A3079,'BASE METAS DIÁRIAS'!$A$2:$A$358,0),3),"")</f>
        <v/>
      </c>
      <c r="G3079">
        <f>IFERROR(IF(WEEKDAY($A3079,2)&lt;=INDEX('BASE METAS DIÁRIAS'!$X$2:$Z$358,MATCH($A3079,'BASE METAS DIÁRIAS'!$A$2:$A$358,0),3),INDEX('BASE METAS DIÁRIAS'!$U$2:$W$358,MATCH($A3079,'BASE METAS DIÁRIAS'!$A$2:$A$358,0),3),""),"")</f>
        <v/>
      </c>
      <c r="H3079">
        <f>IFERROR(IF(INDEX('CONTROLE PRODUÇÃO POR EMPRESAS'!$H$6:$J$5000,MATCH($A3079,'CONTROLE PRODUÇÃO POR EMPRESAS'!$A$6:$A$5000,0),3)="","",IFERROR(1*INDEX('CONTROLE PRODUÇÃO POR EMPRESAS'!$H$6:$J$5000,MATCH($A3079,'CONTROLE PRODUÇÃO POR EMPRESAS'!$A$6:$A$5000,0),3),"")),"")</f>
        <v/>
      </c>
      <c r="I3079">
        <f>IF(OR(NOT(ISNUMBER(G3079)),NOT(ISNUMBER(H3079))),"",H3079-G3079)</f>
        <v/>
      </c>
      <c r="J3079">
        <f>IF(OR(NOT(ISNUMBER(G3079)),NOT(ISNUMBER(H3079)),G3079=0),"",I3079/G3079)</f>
        <v/>
      </c>
      <c r="K3079">
        <f>IF(OR(NOT(ISNUMBER(G3079)),NOT(ISNUMBER(H3079)),G3079=0),"",H3079/G3079)</f>
        <v/>
      </c>
      <c r="L3079">
        <f>IF(NOT(ISNUMBER(G3079)),"SEM META",IF(G3079=0,"SEM META",IF(NOT(ISNUMBER(H3079)),"SEM APONTAMENTO",IF(H3079&gt;=G3079,"VERDE",IF(H3079&gt;=G3079*0.9,"AMARELO","VERMELHO")))))</f>
        <v/>
      </c>
    </row>
    <row r="3080">
      <c r="A3080" s="321" t="n">
        <v>46535</v>
      </c>
      <c r="B3080" t="inlineStr">
        <is>
          <t>GERAL</t>
        </is>
      </c>
      <c r="C3080" t="inlineStr">
        <is>
          <t>GLOBO AÇOS</t>
        </is>
      </c>
      <c r="D3080" t="inlineStr">
        <is>
          <t>PERFILAÇÃO</t>
        </is>
      </c>
      <c r="F3080">
        <f>IFERROR(INDEX('BASE METAS DIÁRIAS'!$AA$2:$AC$358,MATCH($A3080,'BASE METAS DIÁRIAS'!$A$2:$A$358,0),1),"")</f>
        <v/>
      </c>
      <c r="G3080">
        <f>IFERROR(IF(WEEKDAY($A3080,2)&lt;=INDEX('BASE METAS DIÁRIAS'!$X$2:$Z$358,MATCH($A3080,'BASE METAS DIÁRIAS'!$A$2:$A$358,0),1),INDEX('BASE METAS DIÁRIAS'!$U$2:$W$358,MATCH($A3080,'BASE METAS DIÁRIAS'!$A$2:$A$358,0),1),""),"")</f>
        <v/>
      </c>
      <c r="H3080">
        <f>IFERROR(IF(INDEX('CONTROLE PRODUÇÃO POR EMPRESAS'!$H$6:$J$5000,MATCH($A3080,'CONTROLE PRODUÇÃO POR EMPRESAS'!$A$6:$A$5000,0),1)="","",IFERROR(1*INDEX('CONTROLE PRODUÇÃO POR EMPRESAS'!$H$6:$J$5000,MATCH($A3080,'CONTROLE PRODUÇÃO POR EMPRESAS'!$A$6:$A$5000,0),1),"")),"")</f>
        <v/>
      </c>
      <c r="I3080">
        <f>IF(OR(NOT(ISNUMBER(G3080)),NOT(ISNUMBER(H3080))),"",H3080-G3080)</f>
        <v/>
      </c>
      <c r="J3080">
        <f>IF(OR(NOT(ISNUMBER(G3080)),NOT(ISNUMBER(H3080)),G3080=0),"",I3080/G3080)</f>
        <v/>
      </c>
      <c r="K3080">
        <f>IF(OR(NOT(ISNUMBER(G3080)),NOT(ISNUMBER(H3080)),G3080=0),"",H3080/G3080)</f>
        <v/>
      </c>
      <c r="L3080">
        <f>IF(NOT(ISNUMBER(G3080)),"SEM META",IF(G3080=0,"SEM META",IF(NOT(ISNUMBER(H3080)),"SEM APONTAMENTO",IF(H3080&gt;=G3080,"VERDE",IF(H3080&gt;=G3080*0.9,"AMARELO","VERMELHO")))))</f>
        <v/>
      </c>
    </row>
    <row r="3081">
      <c r="A3081" s="321" t="n">
        <v>46535</v>
      </c>
      <c r="B3081" t="inlineStr">
        <is>
          <t>GERAL</t>
        </is>
      </c>
      <c r="C3081" t="inlineStr">
        <is>
          <t>GLOBO AÇOS</t>
        </is>
      </c>
      <c r="D3081" t="inlineStr">
        <is>
          <t>TELHAR</t>
        </is>
      </c>
      <c r="F3081">
        <f>IFERROR(INDEX('BASE METAS DIÁRIAS'!$AA$2:$AC$358,MATCH($A3081,'BASE METAS DIÁRIAS'!$A$2:$A$358,0),2),"")</f>
        <v/>
      </c>
      <c r="G3081">
        <f>IFERROR(IF(WEEKDAY($A3081,2)&lt;=INDEX('BASE METAS DIÁRIAS'!$X$2:$Z$358,MATCH($A3081,'BASE METAS DIÁRIAS'!$A$2:$A$358,0),2),INDEX('BASE METAS DIÁRIAS'!$U$2:$W$358,MATCH($A3081,'BASE METAS DIÁRIAS'!$A$2:$A$358,0),2),""),"")</f>
        <v/>
      </c>
      <c r="H3081">
        <f>IFERROR(IF(INDEX('CONTROLE PRODUÇÃO POR EMPRESAS'!$H$6:$J$5000,MATCH($A3081,'CONTROLE PRODUÇÃO POR EMPRESAS'!$A$6:$A$5000,0),2)="","",IFERROR(1*INDEX('CONTROLE PRODUÇÃO POR EMPRESAS'!$H$6:$J$5000,MATCH($A3081,'CONTROLE PRODUÇÃO POR EMPRESAS'!$A$6:$A$5000,0),2),"")),"")</f>
        <v/>
      </c>
      <c r="I3081">
        <f>IF(OR(NOT(ISNUMBER(G3081)),NOT(ISNUMBER(H3081))),"",H3081-G3081)</f>
        <v/>
      </c>
      <c r="J3081">
        <f>IF(OR(NOT(ISNUMBER(G3081)),NOT(ISNUMBER(H3081)),G3081=0),"",I3081/G3081)</f>
        <v/>
      </c>
      <c r="K3081">
        <f>IF(OR(NOT(ISNUMBER(G3081)),NOT(ISNUMBER(H3081)),G3081=0),"",H3081/G3081)</f>
        <v/>
      </c>
      <c r="L3081">
        <f>IF(NOT(ISNUMBER(G3081)),"SEM META",IF(G3081=0,"SEM META",IF(NOT(ISNUMBER(H3081)),"SEM APONTAMENTO",IF(H3081&gt;=G3081,"VERDE",IF(H3081&gt;=G3081*0.9,"AMARELO","VERMELHO")))))</f>
        <v/>
      </c>
    </row>
    <row r="3082">
      <c r="A3082" s="321" t="n">
        <v>46535</v>
      </c>
      <c r="B3082" t="inlineStr">
        <is>
          <t>GERAL</t>
        </is>
      </c>
      <c r="C3082" t="inlineStr">
        <is>
          <t>GLOBO AÇOS</t>
        </is>
      </c>
      <c r="D3082" t="inlineStr">
        <is>
          <t>FECHAMENTO</t>
        </is>
      </c>
      <c r="F3082">
        <f>IFERROR(INDEX('BASE METAS DIÁRIAS'!$AA$2:$AC$358,MATCH($A3082,'BASE METAS DIÁRIAS'!$A$2:$A$358,0),3),"")</f>
        <v/>
      </c>
      <c r="G3082">
        <f>IFERROR(IF(WEEKDAY($A3082,2)&lt;=INDEX('BASE METAS DIÁRIAS'!$X$2:$Z$358,MATCH($A3082,'BASE METAS DIÁRIAS'!$A$2:$A$358,0),3),INDEX('BASE METAS DIÁRIAS'!$U$2:$W$358,MATCH($A3082,'BASE METAS DIÁRIAS'!$A$2:$A$358,0),3),""),"")</f>
        <v/>
      </c>
      <c r="H3082">
        <f>IFERROR(IF(INDEX('CONTROLE PRODUÇÃO POR EMPRESAS'!$H$6:$J$5000,MATCH($A3082,'CONTROLE PRODUÇÃO POR EMPRESAS'!$A$6:$A$5000,0),3)="","",IFERROR(1*INDEX('CONTROLE PRODUÇÃO POR EMPRESAS'!$H$6:$J$5000,MATCH($A3082,'CONTROLE PRODUÇÃO POR EMPRESAS'!$A$6:$A$5000,0),3),"")),"")</f>
        <v/>
      </c>
      <c r="I3082">
        <f>IF(OR(NOT(ISNUMBER(G3082)),NOT(ISNUMBER(H3082))),"",H3082-G3082)</f>
        <v/>
      </c>
      <c r="J3082">
        <f>IF(OR(NOT(ISNUMBER(G3082)),NOT(ISNUMBER(H3082)),G3082=0),"",I3082/G3082)</f>
        <v/>
      </c>
      <c r="K3082">
        <f>IF(OR(NOT(ISNUMBER(G3082)),NOT(ISNUMBER(H3082)),G3082=0),"",H3082/G3082)</f>
        <v/>
      </c>
      <c r="L3082">
        <f>IF(NOT(ISNUMBER(G3082)),"SEM META",IF(G3082=0,"SEM META",IF(NOT(ISNUMBER(H3082)),"SEM APONTAMENTO",IF(H3082&gt;=G3082,"VERDE",IF(H3082&gt;=G3082*0.9,"AMARELO","VERMELHO")))))</f>
        <v/>
      </c>
    </row>
    <row r="3083">
      <c r="A3083" s="321" t="n">
        <v>46536</v>
      </c>
      <c r="B3083" t="inlineStr">
        <is>
          <t>GERAL</t>
        </is>
      </c>
      <c r="C3083" t="inlineStr">
        <is>
          <t>GLOBO AÇOS</t>
        </is>
      </c>
      <c r="D3083" t="inlineStr">
        <is>
          <t>PERFILAÇÃO</t>
        </is>
      </c>
      <c r="F3083">
        <f>IFERROR(INDEX('BASE METAS DIÁRIAS'!$AA$2:$AC$358,MATCH($A3083,'BASE METAS DIÁRIAS'!$A$2:$A$358,0),1),"")</f>
        <v/>
      </c>
      <c r="G3083">
        <f>IFERROR(IF(WEEKDAY($A3083,2)&lt;=INDEX('BASE METAS DIÁRIAS'!$X$2:$Z$358,MATCH($A3083,'BASE METAS DIÁRIAS'!$A$2:$A$358,0),1),INDEX('BASE METAS DIÁRIAS'!$U$2:$W$358,MATCH($A3083,'BASE METAS DIÁRIAS'!$A$2:$A$358,0),1),""),"")</f>
        <v/>
      </c>
      <c r="H3083">
        <f>IFERROR(IF(INDEX('CONTROLE PRODUÇÃO POR EMPRESAS'!$H$6:$J$5000,MATCH($A3083,'CONTROLE PRODUÇÃO POR EMPRESAS'!$A$6:$A$5000,0),1)="","",IFERROR(1*INDEX('CONTROLE PRODUÇÃO POR EMPRESAS'!$H$6:$J$5000,MATCH($A3083,'CONTROLE PRODUÇÃO POR EMPRESAS'!$A$6:$A$5000,0),1),"")),"")</f>
        <v/>
      </c>
      <c r="I3083">
        <f>IF(OR(NOT(ISNUMBER(G3083)),NOT(ISNUMBER(H3083))),"",H3083-G3083)</f>
        <v/>
      </c>
      <c r="J3083">
        <f>IF(OR(NOT(ISNUMBER(G3083)),NOT(ISNUMBER(H3083)),G3083=0),"",I3083/G3083)</f>
        <v/>
      </c>
      <c r="K3083">
        <f>IF(OR(NOT(ISNUMBER(G3083)),NOT(ISNUMBER(H3083)),G3083=0),"",H3083/G3083)</f>
        <v/>
      </c>
      <c r="L3083">
        <f>IF(NOT(ISNUMBER(G3083)),"SEM META",IF(G3083=0,"SEM META",IF(NOT(ISNUMBER(H3083)),"SEM APONTAMENTO",IF(H3083&gt;=G3083,"VERDE",IF(H3083&gt;=G3083*0.9,"AMARELO","VERMELHO")))))</f>
        <v/>
      </c>
    </row>
    <row r="3084">
      <c r="A3084" s="321" t="n">
        <v>46536</v>
      </c>
      <c r="B3084" t="inlineStr">
        <is>
          <t>GERAL</t>
        </is>
      </c>
      <c r="C3084" t="inlineStr">
        <is>
          <t>GLOBO AÇOS</t>
        </is>
      </c>
      <c r="D3084" t="inlineStr">
        <is>
          <t>TELHAR</t>
        </is>
      </c>
      <c r="F3084">
        <f>IFERROR(INDEX('BASE METAS DIÁRIAS'!$AA$2:$AC$358,MATCH($A3084,'BASE METAS DIÁRIAS'!$A$2:$A$358,0),2),"")</f>
        <v/>
      </c>
      <c r="G3084">
        <f>IFERROR(IF(WEEKDAY($A3084,2)&lt;=INDEX('BASE METAS DIÁRIAS'!$X$2:$Z$358,MATCH($A3084,'BASE METAS DIÁRIAS'!$A$2:$A$358,0),2),INDEX('BASE METAS DIÁRIAS'!$U$2:$W$358,MATCH($A3084,'BASE METAS DIÁRIAS'!$A$2:$A$358,0),2),""),"")</f>
        <v/>
      </c>
      <c r="H3084">
        <f>IFERROR(IF(INDEX('CONTROLE PRODUÇÃO POR EMPRESAS'!$H$6:$J$5000,MATCH($A3084,'CONTROLE PRODUÇÃO POR EMPRESAS'!$A$6:$A$5000,0),2)="","",IFERROR(1*INDEX('CONTROLE PRODUÇÃO POR EMPRESAS'!$H$6:$J$5000,MATCH($A3084,'CONTROLE PRODUÇÃO POR EMPRESAS'!$A$6:$A$5000,0),2),"")),"")</f>
        <v/>
      </c>
      <c r="I3084">
        <f>IF(OR(NOT(ISNUMBER(G3084)),NOT(ISNUMBER(H3084))),"",H3084-G3084)</f>
        <v/>
      </c>
      <c r="J3084">
        <f>IF(OR(NOT(ISNUMBER(G3084)),NOT(ISNUMBER(H3084)),G3084=0),"",I3084/G3084)</f>
        <v/>
      </c>
      <c r="K3084">
        <f>IF(OR(NOT(ISNUMBER(G3084)),NOT(ISNUMBER(H3084)),G3084=0),"",H3084/G3084)</f>
        <v/>
      </c>
      <c r="L3084">
        <f>IF(NOT(ISNUMBER(G3084)),"SEM META",IF(G3084=0,"SEM META",IF(NOT(ISNUMBER(H3084)),"SEM APONTAMENTO",IF(H3084&gt;=G3084,"VERDE",IF(H3084&gt;=G3084*0.9,"AMARELO","VERMELHO")))))</f>
        <v/>
      </c>
    </row>
    <row r="3085">
      <c r="A3085" s="321" t="n">
        <v>46536</v>
      </c>
      <c r="B3085" t="inlineStr">
        <is>
          <t>GERAL</t>
        </is>
      </c>
      <c r="C3085" t="inlineStr">
        <is>
          <t>GLOBO AÇOS</t>
        </is>
      </c>
      <c r="D3085" t="inlineStr">
        <is>
          <t>FECHAMENTO</t>
        </is>
      </c>
      <c r="F3085">
        <f>IFERROR(INDEX('BASE METAS DIÁRIAS'!$AA$2:$AC$358,MATCH($A3085,'BASE METAS DIÁRIAS'!$A$2:$A$358,0),3),"")</f>
        <v/>
      </c>
      <c r="G3085">
        <f>IFERROR(IF(WEEKDAY($A3085,2)&lt;=INDEX('BASE METAS DIÁRIAS'!$X$2:$Z$358,MATCH($A3085,'BASE METAS DIÁRIAS'!$A$2:$A$358,0),3),INDEX('BASE METAS DIÁRIAS'!$U$2:$W$358,MATCH($A3085,'BASE METAS DIÁRIAS'!$A$2:$A$358,0),3),""),"")</f>
        <v/>
      </c>
      <c r="H3085">
        <f>IFERROR(IF(INDEX('CONTROLE PRODUÇÃO POR EMPRESAS'!$H$6:$J$5000,MATCH($A3085,'CONTROLE PRODUÇÃO POR EMPRESAS'!$A$6:$A$5000,0),3)="","",IFERROR(1*INDEX('CONTROLE PRODUÇÃO POR EMPRESAS'!$H$6:$J$5000,MATCH($A3085,'CONTROLE PRODUÇÃO POR EMPRESAS'!$A$6:$A$5000,0),3),"")),"")</f>
        <v/>
      </c>
      <c r="I3085">
        <f>IF(OR(NOT(ISNUMBER(G3085)),NOT(ISNUMBER(H3085))),"",H3085-G3085)</f>
        <v/>
      </c>
      <c r="J3085">
        <f>IF(OR(NOT(ISNUMBER(G3085)),NOT(ISNUMBER(H3085)),G3085=0),"",I3085/G3085)</f>
        <v/>
      </c>
      <c r="K3085">
        <f>IF(OR(NOT(ISNUMBER(G3085)),NOT(ISNUMBER(H3085)),G3085=0),"",H3085/G3085)</f>
        <v/>
      </c>
      <c r="L3085">
        <f>IF(NOT(ISNUMBER(G3085)),"SEM META",IF(G3085=0,"SEM META",IF(NOT(ISNUMBER(H3085)),"SEM APONTAMENTO",IF(H3085&gt;=G3085,"VERDE",IF(H3085&gt;=G3085*0.9,"AMARELO","VERMELHO")))))</f>
        <v/>
      </c>
    </row>
    <row r="3086">
      <c r="A3086" s="321" t="n">
        <v>46537</v>
      </c>
      <c r="B3086" t="inlineStr">
        <is>
          <t>GERAL</t>
        </is>
      </c>
      <c r="C3086" t="inlineStr">
        <is>
          <t>GLOBO AÇOS</t>
        </is>
      </c>
      <c r="D3086" t="inlineStr">
        <is>
          <t>PERFILAÇÃO</t>
        </is>
      </c>
      <c r="F3086">
        <f>IFERROR(INDEX('BASE METAS DIÁRIAS'!$AA$2:$AC$358,MATCH($A3086,'BASE METAS DIÁRIAS'!$A$2:$A$358,0),1),"")</f>
        <v/>
      </c>
      <c r="G3086">
        <f>IFERROR(IF(WEEKDAY($A3086,2)&lt;=INDEX('BASE METAS DIÁRIAS'!$X$2:$Z$358,MATCH($A3086,'BASE METAS DIÁRIAS'!$A$2:$A$358,0),1),INDEX('BASE METAS DIÁRIAS'!$U$2:$W$358,MATCH($A3086,'BASE METAS DIÁRIAS'!$A$2:$A$358,0),1),""),"")</f>
        <v/>
      </c>
      <c r="H3086">
        <f>IFERROR(IF(INDEX('CONTROLE PRODUÇÃO POR EMPRESAS'!$H$6:$J$5000,MATCH($A3086,'CONTROLE PRODUÇÃO POR EMPRESAS'!$A$6:$A$5000,0),1)="","",IFERROR(1*INDEX('CONTROLE PRODUÇÃO POR EMPRESAS'!$H$6:$J$5000,MATCH($A3086,'CONTROLE PRODUÇÃO POR EMPRESAS'!$A$6:$A$5000,0),1),"")),"")</f>
        <v/>
      </c>
      <c r="I3086">
        <f>IF(OR(NOT(ISNUMBER(G3086)),NOT(ISNUMBER(H3086))),"",H3086-G3086)</f>
        <v/>
      </c>
      <c r="J3086">
        <f>IF(OR(NOT(ISNUMBER(G3086)),NOT(ISNUMBER(H3086)),G3086=0),"",I3086/G3086)</f>
        <v/>
      </c>
      <c r="K3086">
        <f>IF(OR(NOT(ISNUMBER(G3086)),NOT(ISNUMBER(H3086)),G3086=0),"",H3086/G3086)</f>
        <v/>
      </c>
      <c r="L3086">
        <f>IF(NOT(ISNUMBER(G3086)),"SEM META",IF(G3086=0,"SEM META",IF(NOT(ISNUMBER(H3086)),"SEM APONTAMENTO",IF(H3086&gt;=G3086,"VERDE",IF(H3086&gt;=G3086*0.9,"AMARELO","VERMELHO")))))</f>
        <v/>
      </c>
    </row>
    <row r="3087">
      <c r="A3087" s="321" t="n">
        <v>46537</v>
      </c>
      <c r="B3087" t="inlineStr">
        <is>
          <t>GERAL</t>
        </is>
      </c>
      <c r="C3087" t="inlineStr">
        <is>
          <t>GLOBO AÇOS</t>
        </is>
      </c>
      <c r="D3087" t="inlineStr">
        <is>
          <t>TELHAR</t>
        </is>
      </c>
      <c r="F3087">
        <f>IFERROR(INDEX('BASE METAS DIÁRIAS'!$AA$2:$AC$358,MATCH($A3087,'BASE METAS DIÁRIAS'!$A$2:$A$358,0),2),"")</f>
        <v/>
      </c>
      <c r="G3087">
        <f>IFERROR(IF(WEEKDAY($A3087,2)&lt;=INDEX('BASE METAS DIÁRIAS'!$X$2:$Z$358,MATCH($A3087,'BASE METAS DIÁRIAS'!$A$2:$A$358,0),2),INDEX('BASE METAS DIÁRIAS'!$U$2:$W$358,MATCH($A3087,'BASE METAS DIÁRIAS'!$A$2:$A$358,0),2),""),"")</f>
        <v/>
      </c>
      <c r="H3087">
        <f>IFERROR(IF(INDEX('CONTROLE PRODUÇÃO POR EMPRESAS'!$H$6:$J$5000,MATCH($A3087,'CONTROLE PRODUÇÃO POR EMPRESAS'!$A$6:$A$5000,0),2)="","",IFERROR(1*INDEX('CONTROLE PRODUÇÃO POR EMPRESAS'!$H$6:$J$5000,MATCH($A3087,'CONTROLE PRODUÇÃO POR EMPRESAS'!$A$6:$A$5000,0),2),"")),"")</f>
        <v/>
      </c>
      <c r="I3087">
        <f>IF(OR(NOT(ISNUMBER(G3087)),NOT(ISNUMBER(H3087))),"",H3087-G3087)</f>
        <v/>
      </c>
      <c r="J3087">
        <f>IF(OR(NOT(ISNUMBER(G3087)),NOT(ISNUMBER(H3087)),G3087=0),"",I3087/G3087)</f>
        <v/>
      </c>
      <c r="K3087">
        <f>IF(OR(NOT(ISNUMBER(G3087)),NOT(ISNUMBER(H3087)),G3087=0),"",H3087/G3087)</f>
        <v/>
      </c>
      <c r="L3087">
        <f>IF(NOT(ISNUMBER(G3087)),"SEM META",IF(G3087=0,"SEM META",IF(NOT(ISNUMBER(H3087)),"SEM APONTAMENTO",IF(H3087&gt;=G3087,"VERDE",IF(H3087&gt;=G3087*0.9,"AMARELO","VERMELHO")))))</f>
        <v/>
      </c>
    </row>
    <row r="3088">
      <c r="A3088" s="321" t="n">
        <v>46537</v>
      </c>
      <c r="B3088" t="inlineStr">
        <is>
          <t>GERAL</t>
        </is>
      </c>
      <c r="C3088" t="inlineStr">
        <is>
          <t>GLOBO AÇOS</t>
        </is>
      </c>
      <c r="D3088" t="inlineStr">
        <is>
          <t>FECHAMENTO</t>
        </is>
      </c>
      <c r="F3088">
        <f>IFERROR(INDEX('BASE METAS DIÁRIAS'!$AA$2:$AC$358,MATCH($A3088,'BASE METAS DIÁRIAS'!$A$2:$A$358,0),3),"")</f>
        <v/>
      </c>
      <c r="G3088">
        <f>IFERROR(IF(WEEKDAY($A3088,2)&lt;=INDEX('BASE METAS DIÁRIAS'!$X$2:$Z$358,MATCH($A3088,'BASE METAS DIÁRIAS'!$A$2:$A$358,0),3),INDEX('BASE METAS DIÁRIAS'!$U$2:$W$358,MATCH($A3088,'BASE METAS DIÁRIAS'!$A$2:$A$358,0),3),""),"")</f>
        <v/>
      </c>
      <c r="H3088">
        <f>IFERROR(IF(INDEX('CONTROLE PRODUÇÃO POR EMPRESAS'!$H$6:$J$5000,MATCH($A3088,'CONTROLE PRODUÇÃO POR EMPRESAS'!$A$6:$A$5000,0),3)="","",IFERROR(1*INDEX('CONTROLE PRODUÇÃO POR EMPRESAS'!$H$6:$J$5000,MATCH($A3088,'CONTROLE PRODUÇÃO POR EMPRESAS'!$A$6:$A$5000,0),3),"")),"")</f>
        <v/>
      </c>
      <c r="I3088">
        <f>IF(OR(NOT(ISNUMBER(G3088)),NOT(ISNUMBER(H3088))),"",H3088-G3088)</f>
        <v/>
      </c>
      <c r="J3088">
        <f>IF(OR(NOT(ISNUMBER(G3088)),NOT(ISNUMBER(H3088)),G3088=0),"",I3088/G3088)</f>
        <v/>
      </c>
      <c r="K3088">
        <f>IF(OR(NOT(ISNUMBER(G3088)),NOT(ISNUMBER(H3088)),G3088=0),"",H3088/G3088)</f>
        <v/>
      </c>
      <c r="L3088">
        <f>IF(NOT(ISNUMBER(G3088)),"SEM META",IF(G3088=0,"SEM META",IF(NOT(ISNUMBER(H3088)),"SEM APONTAMENTO",IF(H3088&gt;=G3088,"VERDE",IF(H3088&gt;=G3088*0.9,"AMARELO","VERMELHO")))))</f>
        <v/>
      </c>
    </row>
    <row r="3089">
      <c r="A3089" s="321" t="n">
        <v>46538</v>
      </c>
      <c r="B3089" t="inlineStr">
        <is>
          <t>GERAL</t>
        </is>
      </c>
      <c r="C3089" t="inlineStr">
        <is>
          <t>GLOBO AÇOS</t>
        </is>
      </c>
      <c r="D3089" t="inlineStr">
        <is>
          <t>PERFILAÇÃO</t>
        </is>
      </c>
      <c r="F3089">
        <f>IFERROR(INDEX('BASE METAS DIÁRIAS'!$AA$2:$AC$358,MATCH($A3089,'BASE METAS DIÁRIAS'!$A$2:$A$358,0),1),"")</f>
        <v/>
      </c>
      <c r="G3089">
        <f>IFERROR(IF(WEEKDAY($A3089,2)&lt;=INDEX('BASE METAS DIÁRIAS'!$X$2:$Z$358,MATCH($A3089,'BASE METAS DIÁRIAS'!$A$2:$A$358,0),1),INDEX('BASE METAS DIÁRIAS'!$U$2:$W$358,MATCH($A3089,'BASE METAS DIÁRIAS'!$A$2:$A$358,0),1),""),"")</f>
        <v/>
      </c>
      <c r="H3089">
        <f>IFERROR(IF(INDEX('CONTROLE PRODUÇÃO POR EMPRESAS'!$H$6:$J$5000,MATCH($A3089,'CONTROLE PRODUÇÃO POR EMPRESAS'!$A$6:$A$5000,0),1)="","",IFERROR(1*INDEX('CONTROLE PRODUÇÃO POR EMPRESAS'!$H$6:$J$5000,MATCH($A3089,'CONTROLE PRODUÇÃO POR EMPRESAS'!$A$6:$A$5000,0),1),"")),"")</f>
        <v/>
      </c>
      <c r="I3089">
        <f>IF(OR(NOT(ISNUMBER(G3089)),NOT(ISNUMBER(H3089))),"",H3089-G3089)</f>
        <v/>
      </c>
      <c r="J3089">
        <f>IF(OR(NOT(ISNUMBER(G3089)),NOT(ISNUMBER(H3089)),G3089=0),"",I3089/G3089)</f>
        <v/>
      </c>
      <c r="K3089">
        <f>IF(OR(NOT(ISNUMBER(G3089)),NOT(ISNUMBER(H3089)),G3089=0),"",H3089/G3089)</f>
        <v/>
      </c>
      <c r="L3089">
        <f>IF(NOT(ISNUMBER(G3089)),"SEM META",IF(G3089=0,"SEM META",IF(NOT(ISNUMBER(H3089)),"SEM APONTAMENTO",IF(H3089&gt;=G3089,"VERDE",IF(H3089&gt;=G3089*0.9,"AMARELO","VERMELHO")))))</f>
        <v/>
      </c>
    </row>
    <row r="3090">
      <c r="A3090" s="321" t="n">
        <v>46538</v>
      </c>
      <c r="B3090" t="inlineStr">
        <is>
          <t>GERAL</t>
        </is>
      </c>
      <c r="C3090" t="inlineStr">
        <is>
          <t>GLOBO AÇOS</t>
        </is>
      </c>
      <c r="D3090" t="inlineStr">
        <is>
          <t>TELHAR</t>
        </is>
      </c>
      <c r="F3090">
        <f>IFERROR(INDEX('BASE METAS DIÁRIAS'!$AA$2:$AC$358,MATCH($A3090,'BASE METAS DIÁRIAS'!$A$2:$A$358,0),2),"")</f>
        <v/>
      </c>
      <c r="G3090">
        <f>IFERROR(IF(WEEKDAY($A3090,2)&lt;=INDEX('BASE METAS DIÁRIAS'!$X$2:$Z$358,MATCH($A3090,'BASE METAS DIÁRIAS'!$A$2:$A$358,0),2),INDEX('BASE METAS DIÁRIAS'!$U$2:$W$358,MATCH($A3090,'BASE METAS DIÁRIAS'!$A$2:$A$358,0),2),""),"")</f>
        <v/>
      </c>
      <c r="H3090">
        <f>IFERROR(IF(INDEX('CONTROLE PRODUÇÃO POR EMPRESAS'!$H$6:$J$5000,MATCH($A3090,'CONTROLE PRODUÇÃO POR EMPRESAS'!$A$6:$A$5000,0),2)="","",IFERROR(1*INDEX('CONTROLE PRODUÇÃO POR EMPRESAS'!$H$6:$J$5000,MATCH($A3090,'CONTROLE PRODUÇÃO POR EMPRESAS'!$A$6:$A$5000,0),2),"")),"")</f>
        <v/>
      </c>
      <c r="I3090">
        <f>IF(OR(NOT(ISNUMBER(G3090)),NOT(ISNUMBER(H3090))),"",H3090-G3090)</f>
        <v/>
      </c>
      <c r="J3090">
        <f>IF(OR(NOT(ISNUMBER(G3090)),NOT(ISNUMBER(H3090)),G3090=0),"",I3090/G3090)</f>
        <v/>
      </c>
      <c r="K3090">
        <f>IF(OR(NOT(ISNUMBER(G3090)),NOT(ISNUMBER(H3090)),G3090=0),"",H3090/G3090)</f>
        <v/>
      </c>
      <c r="L3090">
        <f>IF(NOT(ISNUMBER(G3090)),"SEM META",IF(G3090=0,"SEM META",IF(NOT(ISNUMBER(H3090)),"SEM APONTAMENTO",IF(H3090&gt;=G3090,"VERDE",IF(H3090&gt;=G3090*0.9,"AMARELO","VERMELHO")))))</f>
        <v/>
      </c>
    </row>
    <row r="3091">
      <c r="A3091" s="321" t="n">
        <v>46538</v>
      </c>
      <c r="B3091" t="inlineStr">
        <is>
          <t>GERAL</t>
        </is>
      </c>
      <c r="C3091" t="inlineStr">
        <is>
          <t>GLOBO AÇOS</t>
        </is>
      </c>
      <c r="D3091" t="inlineStr">
        <is>
          <t>FECHAMENTO</t>
        </is>
      </c>
      <c r="F3091">
        <f>IFERROR(INDEX('BASE METAS DIÁRIAS'!$AA$2:$AC$358,MATCH($A3091,'BASE METAS DIÁRIAS'!$A$2:$A$358,0),3),"")</f>
        <v/>
      </c>
      <c r="G3091">
        <f>IFERROR(IF(WEEKDAY($A3091,2)&lt;=INDEX('BASE METAS DIÁRIAS'!$X$2:$Z$358,MATCH($A3091,'BASE METAS DIÁRIAS'!$A$2:$A$358,0),3),INDEX('BASE METAS DIÁRIAS'!$U$2:$W$358,MATCH($A3091,'BASE METAS DIÁRIAS'!$A$2:$A$358,0),3),""),"")</f>
        <v/>
      </c>
      <c r="H3091">
        <f>IFERROR(IF(INDEX('CONTROLE PRODUÇÃO POR EMPRESAS'!$H$6:$J$5000,MATCH($A3091,'CONTROLE PRODUÇÃO POR EMPRESAS'!$A$6:$A$5000,0),3)="","",IFERROR(1*INDEX('CONTROLE PRODUÇÃO POR EMPRESAS'!$H$6:$J$5000,MATCH($A3091,'CONTROLE PRODUÇÃO POR EMPRESAS'!$A$6:$A$5000,0),3),"")),"")</f>
        <v/>
      </c>
      <c r="I3091">
        <f>IF(OR(NOT(ISNUMBER(G3091)),NOT(ISNUMBER(H3091))),"",H3091-G3091)</f>
        <v/>
      </c>
      <c r="J3091">
        <f>IF(OR(NOT(ISNUMBER(G3091)),NOT(ISNUMBER(H3091)),G3091=0),"",I3091/G3091)</f>
        <v/>
      </c>
      <c r="K3091">
        <f>IF(OR(NOT(ISNUMBER(G3091)),NOT(ISNUMBER(H3091)),G3091=0),"",H3091/G3091)</f>
        <v/>
      </c>
      <c r="L3091">
        <f>IF(NOT(ISNUMBER(G3091)),"SEM META",IF(G3091=0,"SEM META",IF(NOT(ISNUMBER(H3091)),"SEM APONTAMENTO",IF(H3091&gt;=G3091,"VERDE",IF(H3091&gt;=G3091*0.9,"AMARELO","VERMELHO")))))</f>
        <v/>
      </c>
    </row>
    <row r="3092">
      <c r="A3092" s="321" t="n">
        <v>46539</v>
      </c>
      <c r="B3092" t="inlineStr">
        <is>
          <t>GERAL</t>
        </is>
      </c>
      <c r="C3092" t="inlineStr">
        <is>
          <t>GLOBO AÇOS</t>
        </is>
      </c>
      <c r="D3092" t="inlineStr">
        <is>
          <t>PERFILAÇÃO</t>
        </is>
      </c>
      <c r="F3092">
        <f>IFERROR(INDEX('BASE METAS DIÁRIAS'!$AA$2:$AC$358,MATCH($A3092,'BASE METAS DIÁRIAS'!$A$2:$A$358,0),1),"")</f>
        <v/>
      </c>
      <c r="G3092">
        <f>IFERROR(IF(WEEKDAY($A3092,2)&lt;=INDEX('BASE METAS DIÁRIAS'!$X$2:$Z$358,MATCH($A3092,'BASE METAS DIÁRIAS'!$A$2:$A$358,0),1),INDEX('BASE METAS DIÁRIAS'!$U$2:$W$358,MATCH($A3092,'BASE METAS DIÁRIAS'!$A$2:$A$358,0),1),""),"")</f>
        <v/>
      </c>
      <c r="H3092">
        <f>IFERROR(IF(INDEX('CONTROLE PRODUÇÃO POR EMPRESAS'!$H$6:$J$5000,MATCH($A3092,'CONTROLE PRODUÇÃO POR EMPRESAS'!$A$6:$A$5000,0),1)="","",IFERROR(1*INDEX('CONTROLE PRODUÇÃO POR EMPRESAS'!$H$6:$J$5000,MATCH($A3092,'CONTROLE PRODUÇÃO POR EMPRESAS'!$A$6:$A$5000,0),1),"")),"")</f>
        <v/>
      </c>
      <c r="I3092">
        <f>IF(OR(NOT(ISNUMBER(G3092)),NOT(ISNUMBER(H3092))),"",H3092-G3092)</f>
        <v/>
      </c>
      <c r="J3092">
        <f>IF(OR(NOT(ISNUMBER(G3092)),NOT(ISNUMBER(H3092)),G3092=0),"",I3092/G3092)</f>
        <v/>
      </c>
      <c r="K3092">
        <f>IF(OR(NOT(ISNUMBER(G3092)),NOT(ISNUMBER(H3092)),G3092=0),"",H3092/G3092)</f>
        <v/>
      </c>
      <c r="L3092">
        <f>IF(NOT(ISNUMBER(G3092)),"SEM META",IF(G3092=0,"SEM META",IF(NOT(ISNUMBER(H3092)),"SEM APONTAMENTO",IF(H3092&gt;=G3092,"VERDE",IF(H3092&gt;=G3092*0.9,"AMARELO","VERMELHO")))))</f>
        <v/>
      </c>
    </row>
    <row r="3093">
      <c r="A3093" s="321" t="n">
        <v>46539</v>
      </c>
      <c r="B3093" t="inlineStr">
        <is>
          <t>GERAL</t>
        </is>
      </c>
      <c r="C3093" t="inlineStr">
        <is>
          <t>GLOBO AÇOS</t>
        </is>
      </c>
      <c r="D3093" t="inlineStr">
        <is>
          <t>TELHAR</t>
        </is>
      </c>
      <c r="F3093">
        <f>IFERROR(INDEX('BASE METAS DIÁRIAS'!$AA$2:$AC$358,MATCH($A3093,'BASE METAS DIÁRIAS'!$A$2:$A$358,0),2),"")</f>
        <v/>
      </c>
      <c r="G3093">
        <f>IFERROR(IF(WEEKDAY($A3093,2)&lt;=INDEX('BASE METAS DIÁRIAS'!$X$2:$Z$358,MATCH($A3093,'BASE METAS DIÁRIAS'!$A$2:$A$358,0),2),INDEX('BASE METAS DIÁRIAS'!$U$2:$W$358,MATCH($A3093,'BASE METAS DIÁRIAS'!$A$2:$A$358,0),2),""),"")</f>
        <v/>
      </c>
      <c r="H3093">
        <f>IFERROR(IF(INDEX('CONTROLE PRODUÇÃO POR EMPRESAS'!$H$6:$J$5000,MATCH($A3093,'CONTROLE PRODUÇÃO POR EMPRESAS'!$A$6:$A$5000,0),2)="","",IFERROR(1*INDEX('CONTROLE PRODUÇÃO POR EMPRESAS'!$H$6:$J$5000,MATCH($A3093,'CONTROLE PRODUÇÃO POR EMPRESAS'!$A$6:$A$5000,0),2),"")),"")</f>
        <v/>
      </c>
      <c r="I3093">
        <f>IF(OR(NOT(ISNUMBER(G3093)),NOT(ISNUMBER(H3093))),"",H3093-G3093)</f>
        <v/>
      </c>
      <c r="J3093">
        <f>IF(OR(NOT(ISNUMBER(G3093)),NOT(ISNUMBER(H3093)),G3093=0),"",I3093/G3093)</f>
        <v/>
      </c>
      <c r="K3093">
        <f>IF(OR(NOT(ISNUMBER(G3093)),NOT(ISNUMBER(H3093)),G3093=0),"",H3093/G3093)</f>
        <v/>
      </c>
      <c r="L3093">
        <f>IF(NOT(ISNUMBER(G3093)),"SEM META",IF(G3093=0,"SEM META",IF(NOT(ISNUMBER(H3093)),"SEM APONTAMENTO",IF(H3093&gt;=G3093,"VERDE",IF(H3093&gt;=G3093*0.9,"AMARELO","VERMELHO")))))</f>
        <v/>
      </c>
    </row>
    <row r="3094">
      <c r="A3094" s="321" t="n">
        <v>46539</v>
      </c>
      <c r="B3094" t="inlineStr">
        <is>
          <t>GERAL</t>
        </is>
      </c>
      <c r="C3094" t="inlineStr">
        <is>
          <t>GLOBO AÇOS</t>
        </is>
      </c>
      <c r="D3094" t="inlineStr">
        <is>
          <t>FECHAMENTO</t>
        </is>
      </c>
      <c r="F3094">
        <f>IFERROR(INDEX('BASE METAS DIÁRIAS'!$AA$2:$AC$358,MATCH($A3094,'BASE METAS DIÁRIAS'!$A$2:$A$358,0),3),"")</f>
        <v/>
      </c>
      <c r="G3094">
        <f>IFERROR(IF(WEEKDAY($A3094,2)&lt;=INDEX('BASE METAS DIÁRIAS'!$X$2:$Z$358,MATCH($A3094,'BASE METAS DIÁRIAS'!$A$2:$A$358,0),3),INDEX('BASE METAS DIÁRIAS'!$U$2:$W$358,MATCH($A3094,'BASE METAS DIÁRIAS'!$A$2:$A$358,0),3),""),"")</f>
        <v/>
      </c>
      <c r="H3094">
        <f>IFERROR(IF(INDEX('CONTROLE PRODUÇÃO POR EMPRESAS'!$H$6:$J$5000,MATCH($A3094,'CONTROLE PRODUÇÃO POR EMPRESAS'!$A$6:$A$5000,0),3)="","",IFERROR(1*INDEX('CONTROLE PRODUÇÃO POR EMPRESAS'!$H$6:$J$5000,MATCH($A3094,'CONTROLE PRODUÇÃO POR EMPRESAS'!$A$6:$A$5000,0),3),"")),"")</f>
        <v/>
      </c>
      <c r="I3094">
        <f>IF(OR(NOT(ISNUMBER(G3094)),NOT(ISNUMBER(H3094))),"",H3094-G3094)</f>
        <v/>
      </c>
      <c r="J3094">
        <f>IF(OR(NOT(ISNUMBER(G3094)),NOT(ISNUMBER(H3094)),G3094=0),"",I3094/G3094)</f>
        <v/>
      </c>
      <c r="K3094">
        <f>IF(OR(NOT(ISNUMBER(G3094)),NOT(ISNUMBER(H3094)),G3094=0),"",H3094/G3094)</f>
        <v/>
      </c>
      <c r="L3094">
        <f>IF(NOT(ISNUMBER(G3094)),"SEM META",IF(G3094=0,"SEM META",IF(NOT(ISNUMBER(H3094)),"SEM APONTAMENTO",IF(H3094&gt;=G3094,"VERDE",IF(H3094&gt;=G3094*0.9,"AMARELO","VERMELHO")))))</f>
        <v/>
      </c>
    </row>
    <row r="3095">
      <c r="A3095" s="321" t="n">
        <v>46540</v>
      </c>
      <c r="B3095" t="inlineStr">
        <is>
          <t>GERAL</t>
        </is>
      </c>
      <c r="C3095" t="inlineStr">
        <is>
          <t>GLOBO AÇOS</t>
        </is>
      </c>
      <c r="D3095" t="inlineStr">
        <is>
          <t>PERFILAÇÃO</t>
        </is>
      </c>
      <c r="F3095">
        <f>IFERROR(INDEX('BASE METAS DIÁRIAS'!$AA$2:$AC$358,MATCH($A3095,'BASE METAS DIÁRIAS'!$A$2:$A$358,0),1),"")</f>
        <v/>
      </c>
      <c r="G3095">
        <f>IFERROR(IF(WEEKDAY($A3095,2)&lt;=INDEX('BASE METAS DIÁRIAS'!$X$2:$Z$358,MATCH($A3095,'BASE METAS DIÁRIAS'!$A$2:$A$358,0),1),INDEX('BASE METAS DIÁRIAS'!$U$2:$W$358,MATCH($A3095,'BASE METAS DIÁRIAS'!$A$2:$A$358,0),1),""),"")</f>
        <v/>
      </c>
      <c r="H3095">
        <f>IFERROR(IF(INDEX('CONTROLE PRODUÇÃO POR EMPRESAS'!$H$6:$J$5000,MATCH($A3095,'CONTROLE PRODUÇÃO POR EMPRESAS'!$A$6:$A$5000,0),1)="","",IFERROR(1*INDEX('CONTROLE PRODUÇÃO POR EMPRESAS'!$H$6:$J$5000,MATCH($A3095,'CONTROLE PRODUÇÃO POR EMPRESAS'!$A$6:$A$5000,0),1),"")),"")</f>
        <v/>
      </c>
      <c r="I3095">
        <f>IF(OR(NOT(ISNUMBER(G3095)),NOT(ISNUMBER(H3095))),"",H3095-G3095)</f>
        <v/>
      </c>
      <c r="J3095">
        <f>IF(OR(NOT(ISNUMBER(G3095)),NOT(ISNUMBER(H3095)),G3095=0),"",I3095/G3095)</f>
        <v/>
      </c>
      <c r="K3095">
        <f>IF(OR(NOT(ISNUMBER(G3095)),NOT(ISNUMBER(H3095)),G3095=0),"",H3095/G3095)</f>
        <v/>
      </c>
      <c r="L3095">
        <f>IF(NOT(ISNUMBER(G3095)),"SEM META",IF(G3095=0,"SEM META",IF(NOT(ISNUMBER(H3095)),"SEM APONTAMENTO",IF(H3095&gt;=G3095,"VERDE",IF(H3095&gt;=G3095*0.9,"AMARELO","VERMELHO")))))</f>
        <v/>
      </c>
    </row>
    <row r="3096">
      <c r="A3096" s="321" t="n">
        <v>46540</v>
      </c>
      <c r="B3096" t="inlineStr">
        <is>
          <t>GERAL</t>
        </is>
      </c>
      <c r="C3096" t="inlineStr">
        <is>
          <t>GLOBO AÇOS</t>
        </is>
      </c>
      <c r="D3096" t="inlineStr">
        <is>
          <t>TELHAR</t>
        </is>
      </c>
      <c r="F3096">
        <f>IFERROR(INDEX('BASE METAS DIÁRIAS'!$AA$2:$AC$358,MATCH($A3096,'BASE METAS DIÁRIAS'!$A$2:$A$358,0),2),"")</f>
        <v/>
      </c>
      <c r="G3096">
        <f>IFERROR(IF(WEEKDAY($A3096,2)&lt;=INDEX('BASE METAS DIÁRIAS'!$X$2:$Z$358,MATCH($A3096,'BASE METAS DIÁRIAS'!$A$2:$A$358,0),2),INDEX('BASE METAS DIÁRIAS'!$U$2:$W$358,MATCH($A3096,'BASE METAS DIÁRIAS'!$A$2:$A$358,0),2),""),"")</f>
        <v/>
      </c>
      <c r="H3096">
        <f>IFERROR(IF(INDEX('CONTROLE PRODUÇÃO POR EMPRESAS'!$H$6:$J$5000,MATCH($A3096,'CONTROLE PRODUÇÃO POR EMPRESAS'!$A$6:$A$5000,0),2)="","",IFERROR(1*INDEX('CONTROLE PRODUÇÃO POR EMPRESAS'!$H$6:$J$5000,MATCH($A3096,'CONTROLE PRODUÇÃO POR EMPRESAS'!$A$6:$A$5000,0),2),"")),"")</f>
        <v/>
      </c>
      <c r="I3096">
        <f>IF(OR(NOT(ISNUMBER(G3096)),NOT(ISNUMBER(H3096))),"",H3096-G3096)</f>
        <v/>
      </c>
      <c r="J3096">
        <f>IF(OR(NOT(ISNUMBER(G3096)),NOT(ISNUMBER(H3096)),G3096=0),"",I3096/G3096)</f>
        <v/>
      </c>
      <c r="K3096">
        <f>IF(OR(NOT(ISNUMBER(G3096)),NOT(ISNUMBER(H3096)),G3096=0),"",H3096/G3096)</f>
        <v/>
      </c>
      <c r="L3096">
        <f>IF(NOT(ISNUMBER(G3096)),"SEM META",IF(G3096=0,"SEM META",IF(NOT(ISNUMBER(H3096)),"SEM APONTAMENTO",IF(H3096&gt;=G3096,"VERDE",IF(H3096&gt;=G3096*0.9,"AMARELO","VERMELHO")))))</f>
        <v/>
      </c>
    </row>
    <row r="3097">
      <c r="A3097" s="321" t="n">
        <v>46540</v>
      </c>
      <c r="B3097" t="inlineStr">
        <is>
          <t>GERAL</t>
        </is>
      </c>
      <c r="C3097" t="inlineStr">
        <is>
          <t>GLOBO AÇOS</t>
        </is>
      </c>
      <c r="D3097" t="inlineStr">
        <is>
          <t>FECHAMENTO</t>
        </is>
      </c>
      <c r="F3097">
        <f>IFERROR(INDEX('BASE METAS DIÁRIAS'!$AA$2:$AC$358,MATCH($A3097,'BASE METAS DIÁRIAS'!$A$2:$A$358,0),3),"")</f>
        <v/>
      </c>
      <c r="G3097">
        <f>IFERROR(IF(WEEKDAY($A3097,2)&lt;=INDEX('BASE METAS DIÁRIAS'!$X$2:$Z$358,MATCH($A3097,'BASE METAS DIÁRIAS'!$A$2:$A$358,0),3),INDEX('BASE METAS DIÁRIAS'!$U$2:$W$358,MATCH($A3097,'BASE METAS DIÁRIAS'!$A$2:$A$358,0),3),""),"")</f>
        <v/>
      </c>
      <c r="H3097">
        <f>IFERROR(IF(INDEX('CONTROLE PRODUÇÃO POR EMPRESAS'!$H$6:$J$5000,MATCH($A3097,'CONTROLE PRODUÇÃO POR EMPRESAS'!$A$6:$A$5000,0),3)="","",IFERROR(1*INDEX('CONTROLE PRODUÇÃO POR EMPRESAS'!$H$6:$J$5000,MATCH($A3097,'CONTROLE PRODUÇÃO POR EMPRESAS'!$A$6:$A$5000,0),3),"")),"")</f>
        <v/>
      </c>
      <c r="I3097">
        <f>IF(OR(NOT(ISNUMBER(G3097)),NOT(ISNUMBER(H3097))),"",H3097-G3097)</f>
        <v/>
      </c>
      <c r="J3097">
        <f>IF(OR(NOT(ISNUMBER(G3097)),NOT(ISNUMBER(H3097)),G3097=0),"",I3097/G3097)</f>
        <v/>
      </c>
      <c r="K3097">
        <f>IF(OR(NOT(ISNUMBER(G3097)),NOT(ISNUMBER(H3097)),G3097=0),"",H3097/G3097)</f>
        <v/>
      </c>
      <c r="L3097">
        <f>IF(NOT(ISNUMBER(G3097)),"SEM META",IF(G3097=0,"SEM META",IF(NOT(ISNUMBER(H3097)),"SEM APONTAMENTO",IF(H3097&gt;=G3097,"VERDE",IF(H3097&gt;=G3097*0.9,"AMARELO","VERMELHO")))))</f>
        <v/>
      </c>
    </row>
    <row r="3098">
      <c r="A3098" s="321" t="n">
        <v>46541</v>
      </c>
      <c r="B3098" t="inlineStr">
        <is>
          <t>GERAL</t>
        </is>
      </c>
      <c r="C3098" t="inlineStr">
        <is>
          <t>GLOBO AÇOS</t>
        </is>
      </c>
      <c r="D3098" t="inlineStr">
        <is>
          <t>PERFILAÇÃO</t>
        </is>
      </c>
      <c r="F3098">
        <f>IFERROR(INDEX('BASE METAS DIÁRIAS'!$AA$2:$AC$358,MATCH($A3098,'BASE METAS DIÁRIAS'!$A$2:$A$358,0),1),"")</f>
        <v/>
      </c>
      <c r="G3098">
        <f>IFERROR(IF(WEEKDAY($A3098,2)&lt;=INDEX('BASE METAS DIÁRIAS'!$X$2:$Z$358,MATCH($A3098,'BASE METAS DIÁRIAS'!$A$2:$A$358,0),1),INDEX('BASE METAS DIÁRIAS'!$U$2:$W$358,MATCH($A3098,'BASE METAS DIÁRIAS'!$A$2:$A$358,0),1),""),"")</f>
        <v/>
      </c>
      <c r="H3098">
        <f>IFERROR(IF(INDEX('CONTROLE PRODUÇÃO POR EMPRESAS'!$H$6:$J$5000,MATCH($A3098,'CONTROLE PRODUÇÃO POR EMPRESAS'!$A$6:$A$5000,0),1)="","",IFERROR(1*INDEX('CONTROLE PRODUÇÃO POR EMPRESAS'!$H$6:$J$5000,MATCH($A3098,'CONTROLE PRODUÇÃO POR EMPRESAS'!$A$6:$A$5000,0),1),"")),"")</f>
        <v/>
      </c>
      <c r="I3098">
        <f>IF(OR(NOT(ISNUMBER(G3098)),NOT(ISNUMBER(H3098))),"",H3098-G3098)</f>
        <v/>
      </c>
      <c r="J3098">
        <f>IF(OR(NOT(ISNUMBER(G3098)),NOT(ISNUMBER(H3098)),G3098=0),"",I3098/G3098)</f>
        <v/>
      </c>
      <c r="K3098">
        <f>IF(OR(NOT(ISNUMBER(G3098)),NOT(ISNUMBER(H3098)),G3098=0),"",H3098/G3098)</f>
        <v/>
      </c>
      <c r="L3098">
        <f>IF(NOT(ISNUMBER(G3098)),"SEM META",IF(G3098=0,"SEM META",IF(NOT(ISNUMBER(H3098)),"SEM APONTAMENTO",IF(H3098&gt;=G3098,"VERDE",IF(H3098&gt;=G3098*0.9,"AMARELO","VERMELHO")))))</f>
        <v/>
      </c>
    </row>
    <row r="3099">
      <c r="A3099" s="321" t="n">
        <v>46541</v>
      </c>
      <c r="B3099" t="inlineStr">
        <is>
          <t>GERAL</t>
        </is>
      </c>
      <c r="C3099" t="inlineStr">
        <is>
          <t>GLOBO AÇOS</t>
        </is>
      </c>
      <c r="D3099" t="inlineStr">
        <is>
          <t>TELHAR</t>
        </is>
      </c>
      <c r="F3099">
        <f>IFERROR(INDEX('BASE METAS DIÁRIAS'!$AA$2:$AC$358,MATCH($A3099,'BASE METAS DIÁRIAS'!$A$2:$A$358,0),2),"")</f>
        <v/>
      </c>
      <c r="G3099">
        <f>IFERROR(IF(WEEKDAY($A3099,2)&lt;=INDEX('BASE METAS DIÁRIAS'!$X$2:$Z$358,MATCH($A3099,'BASE METAS DIÁRIAS'!$A$2:$A$358,0),2),INDEX('BASE METAS DIÁRIAS'!$U$2:$W$358,MATCH($A3099,'BASE METAS DIÁRIAS'!$A$2:$A$358,0),2),""),"")</f>
        <v/>
      </c>
      <c r="H3099">
        <f>IFERROR(IF(INDEX('CONTROLE PRODUÇÃO POR EMPRESAS'!$H$6:$J$5000,MATCH($A3099,'CONTROLE PRODUÇÃO POR EMPRESAS'!$A$6:$A$5000,0),2)="","",IFERROR(1*INDEX('CONTROLE PRODUÇÃO POR EMPRESAS'!$H$6:$J$5000,MATCH($A3099,'CONTROLE PRODUÇÃO POR EMPRESAS'!$A$6:$A$5000,0),2),"")),"")</f>
        <v/>
      </c>
      <c r="I3099">
        <f>IF(OR(NOT(ISNUMBER(G3099)),NOT(ISNUMBER(H3099))),"",H3099-G3099)</f>
        <v/>
      </c>
      <c r="J3099">
        <f>IF(OR(NOT(ISNUMBER(G3099)),NOT(ISNUMBER(H3099)),G3099=0),"",I3099/G3099)</f>
        <v/>
      </c>
      <c r="K3099">
        <f>IF(OR(NOT(ISNUMBER(G3099)),NOT(ISNUMBER(H3099)),G3099=0),"",H3099/G3099)</f>
        <v/>
      </c>
      <c r="L3099">
        <f>IF(NOT(ISNUMBER(G3099)),"SEM META",IF(G3099=0,"SEM META",IF(NOT(ISNUMBER(H3099)),"SEM APONTAMENTO",IF(H3099&gt;=G3099,"VERDE",IF(H3099&gt;=G3099*0.9,"AMARELO","VERMELHO")))))</f>
        <v/>
      </c>
    </row>
    <row r="3100">
      <c r="A3100" s="321" t="n">
        <v>46541</v>
      </c>
      <c r="B3100" t="inlineStr">
        <is>
          <t>GERAL</t>
        </is>
      </c>
      <c r="C3100" t="inlineStr">
        <is>
          <t>GLOBO AÇOS</t>
        </is>
      </c>
      <c r="D3100" t="inlineStr">
        <is>
          <t>FECHAMENTO</t>
        </is>
      </c>
      <c r="F3100">
        <f>IFERROR(INDEX('BASE METAS DIÁRIAS'!$AA$2:$AC$358,MATCH($A3100,'BASE METAS DIÁRIAS'!$A$2:$A$358,0),3),"")</f>
        <v/>
      </c>
      <c r="G3100">
        <f>IFERROR(IF(WEEKDAY($A3100,2)&lt;=INDEX('BASE METAS DIÁRIAS'!$X$2:$Z$358,MATCH($A3100,'BASE METAS DIÁRIAS'!$A$2:$A$358,0),3),INDEX('BASE METAS DIÁRIAS'!$U$2:$W$358,MATCH($A3100,'BASE METAS DIÁRIAS'!$A$2:$A$358,0),3),""),"")</f>
        <v/>
      </c>
      <c r="H3100">
        <f>IFERROR(IF(INDEX('CONTROLE PRODUÇÃO POR EMPRESAS'!$H$6:$J$5000,MATCH($A3100,'CONTROLE PRODUÇÃO POR EMPRESAS'!$A$6:$A$5000,0),3)="","",IFERROR(1*INDEX('CONTROLE PRODUÇÃO POR EMPRESAS'!$H$6:$J$5000,MATCH($A3100,'CONTROLE PRODUÇÃO POR EMPRESAS'!$A$6:$A$5000,0),3),"")),"")</f>
        <v/>
      </c>
      <c r="I3100">
        <f>IF(OR(NOT(ISNUMBER(G3100)),NOT(ISNUMBER(H3100))),"",H3100-G3100)</f>
        <v/>
      </c>
      <c r="J3100">
        <f>IF(OR(NOT(ISNUMBER(G3100)),NOT(ISNUMBER(H3100)),G3100=0),"",I3100/G3100)</f>
        <v/>
      </c>
      <c r="K3100">
        <f>IF(OR(NOT(ISNUMBER(G3100)),NOT(ISNUMBER(H3100)),G3100=0),"",H3100/G3100)</f>
        <v/>
      </c>
      <c r="L3100">
        <f>IF(NOT(ISNUMBER(G3100)),"SEM META",IF(G3100=0,"SEM META",IF(NOT(ISNUMBER(H3100)),"SEM APONTAMENTO",IF(H3100&gt;=G3100,"VERDE",IF(H3100&gt;=G3100*0.9,"AMARELO","VERMELHO")))))</f>
        <v/>
      </c>
    </row>
    <row r="3101">
      <c r="A3101" s="321" t="n">
        <v>46542</v>
      </c>
      <c r="B3101" t="inlineStr">
        <is>
          <t>GERAL</t>
        </is>
      </c>
      <c r="C3101" t="inlineStr">
        <is>
          <t>GLOBO AÇOS</t>
        </is>
      </c>
      <c r="D3101" t="inlineStr">
        <is>
          <t>PERFILAÇÃO</t>
        </is>
      </c>
      <c r="F3101">
        <f>IFERROR(INDEX('BASE METAS DIÁRIAS'!$AA$2:$AC$358,MATCH($A3101,'BASE METAS DIÁRIAS'!$A$2:$A$358,0),1),"")</f>
        <v/>
      </c>
      <c r="G3101">
        <f>IFERROR(IF(WEEKDAY($A3101,2)&lt;=INDEX('BASE METAS DIÁRIAS'!$X$2:$Z$358,MATCH($A3101,'BASE METAS DIÁRIAS'!$A$2:$A$358,0),1),INDEX('BASE METAS DIÁRIAS'!$U$2:$W$358,MATCH($A3101,'BASE METAS DIÁRIAS'!$A$2:$A$358,0),1),""),"")</f>
        <v/>
      </c>
      <c r="H3101">
        <f>IFERROR(IF(INDEX('CONTROLE PRODUÇÃO POR EMPRESAS'!$H$6:$J$5000,MATCH($A3101,'CONTROLE PRODUÇÃO POR EMPRESAS'!$A$6:$A$5000,0),1)="","",IFERROR(1*INDEX('CONTROLE PRODUÇÃO POR EMPRESAS'!$H$6:$J$5000,MATCH($A3101,'CONTROLE PRODUÇÃO POR EMPRESAS'!$A$6:$A$5000,0),1),"")),"")</f>
        <v/>
      </c>
      <c r="I3101">
        <f>IF(OR(NOT(ISNUMBER(G3101)),NOT(ISNUMBER(H3101))),"",H3101-G3101)</f>
        <v/>
      </c>
      <c r="J3101">
        <f>IF(OR(NOT(ISNUMBER(G3101)),NOT(ISNUMBER(H3101)),G3101=0),"",I3101/G3101)</f>
        <v/>
      </c>
      <c r="K3101">
        <f>IF(OR(NOT(ISNUMBER(G3101)),NOT(ISNUMBER(H3101)),G3101=0),"",H3101/G3101)</f>
        <v/>
      </c>
      <c r="L3101">
        <f>IF(NOT(ISNUMBER(G3101)),"SEM META",IF(G3101=0,"SEM META",IF(NOT(ISNUMBER(H3101)),"SEM APONTAMENTO",IF(H3101&gt;=G3101,"VERDE",IF(H3101&gt;=G3101*0.9,"AMARELO","VERMELHO")))))</f>
        <v/>
      </c>
    </row>
    <row r="3102">
      <c r="A3102" s="321" t="n">
        <v>46542</v>
      </c>
      <c r="B3102" t="inlineStr">
        <is>
          <t>GERAL</t>
        </is>
      </c>
      <c r="C3102" t="inlineStr">
        <is>
          <t>GLOBO AÇOS</t>
        </is>
      </c>
      <c r="D3102" t="inlineStr">
        <is>
          <t>TELHAR</t>
        </is>
      </c>
      <c r="F3102">
        <f>IFERROR(INDEX('BASE METAS DIÁRIAS'!$AA$2:$AC$358,MATCH($A3102,'BASE METAS DIÁRIAS'!$A$2:$A$358,0),2),"")</f>
        <v/>
      </c>
      <c r="G3102">
        <f>IFERROR(IF(WEEKDAY($A3102,2)&lt;=INDEX('BASE METAS DIÁRIAS'!$X$2:$Z$358,MATCH($A3102,'BASE METAS DIÁRIAS'!$A$2:$A$358,0),2),INDEX('BASE METAS DIÁRIAS'!$U$2:$W$358,MATCH($A3102,'BASE METAS DIÁRIAS'!$A$2:$A$358,0),2),""),"")</f>
        <v/>
      </c>
      <c r="H3102">
        <f>IFERROR(IF(INDEX('CONTROLE PRODUÇÃO POR EMPRESAS'!$H$6:$J$5000,MATCH($A3102,'CONTROLE PRODUÇÃO POR EMPRESAS'!$A$6:$A$5000,0),2)="","",IFERROR(1*INDEX('CONTROLE PRODUÇÃO POR EMPRESAS'!$H$6:$J$5000,MATCH($A3102,'CONTROLE PRODUÇÃO POR EMPRESAS'!$A$6:$A$5000,0),2),"")),"")</f>
        <v/>
      </c>
      <c r="I3102">
        <f>IF(OR(NOT(ISNUMBER(G3102)),NOT(ISNUMBER(H3102))),"",H3102-G3102)</f>
        <v/>
      </c>
      <c r="J3102">
        <f>IF(OR(NOT(ISNUMBER(G3102)),NOT(ISNUMBER(H3102)),G3102=0),"",I3102/G3102)</f>
        <v/>
      </c>
      <c r="K3102">
        <f>IF(OR(NOT(ISNUMBER(G3102)),NOT(ISNUMBER(H3102)),G3102=0),"",H3102/G3102)</f>
        <v/>
      </c>
      <c r="L3102">
        <f>IF(NOT(ISNUMBER(G3102)),"SEM META",IF(G3102=0,"SEM META",IF(NOT(ISNUMBER(H3102)),"SEM APONTAMENTO",IF(H3102&gt;=G3102,"VERDE",IF(H3102&gt;=G3102*0.9,"AMARELO","VERMELHO")))))</f>
        <v/>
      </c>
    </row>
    <row r="3103">
      <c r="A3103" s="321" t="n">
        <v>46542</v>
      </c>
      <c r="B3103" t="inlineStr">
        <is>
          <t>GERAL</t>
        </is>
      </c>
      <c r="C3103" t="inlineStr">
        <is>
          <t>GLOBO AÇOS</t>
        </is>
      </c>
      <c r="D3103" t="inlineStr">
        <is>
          <t>FECHAMENTO</t>
        </is>
      </c>
      <c r="F3103">
        <f>IFERROR(INDEX('BASE METAS DIÁRIAS'!$AA$2:$AC$358,MATCH($A3103,'BASE METAS DIÁRIAS'!$A$2:$A$358,0),3),"")</f>
        <v/>
      </c>
      <c r="G3103">
        <f>IFERROR(IF(WEEKDAY($A3103,2)&lt;=INDEX('BASE METAS DIÁRIAS'!$X$2:$Z$358,MATCH($A3103,'BASE METAS DIÁRIAS'!$A$2:$A$358,0),3),INDEX('BASE METAS DIÁRIAS'!$U$2:$W$358,MATCH($A3103,'BASE METAS DIÁRIAS'!$A$2:$A$358,0),3),""),"")</f>
        <v/>
      </c>
      <c r="H3103">
        <f>IFERROR(IF(INDEX('CONTROLE PRODUÇÃO POR EMPRESAS'!$H$6:$J$5000,MATCH($A3103,'CONTROLE PRODUÇÃO POR EMPRESAS'!$A$6:$A$5000,0),3)="","",IFERROR(1*INDEX('CONTROLE PRODUÇÃO POR EMPRESAS'!$H$6:$J$5000,MATCH($A3103,'CONTROLE PRODUÇÃO POR EMPRESAS'!$A$6:$A$5000,0),3),"")),"")</f>
        <v/>
      </c>
      <c r="I3103">
        <f>IF(OR(NOT(ISNUMBER(G3103)),NOT(ISNUMBER(H3103))),"",H3103-G3103)</f>
        <v/>
      </c>
      <c r="J3103">
        <f>IF(OR(NOT(ISNUMBER(G3103)),NOT(ISNUMBER(H3103)),G3103=0),"",I3103/G3103)</f>
        <v/>
      </c>
      <c r="K3103">
        <f>IF(OR(NOT(ISNUMBER(G3103)),NOT(ISNUMBER(H3103)),G3103=0),"",H3103/G3103)</f>
        <v/>
      </c>
      <c r="L3103">
        <f>IF(NOT(ISNUMBER(G3103)),"SEM META",IF(G3103=0,"SEM META",IF(NOT(ISNUMBER(H3103)),"SEM APONTAMENTO",IF(H3103&gt;=G3103,"VERDE",IF(H3103&gt;=G3103*0.9,"AMARELO","VERMELHO")))))</f>
        <v/>
      </c>
    </row>
    <row r="3104">
      <c r="A3104" s="321" t="n">
        <v>46543</v>
      </c>
      <c r="B3104" t="inlineStr">
        <is>
          <t>GERAL</t>
        </is>
      </c>
      <c r="C3104" t="inlineStr">
        <is>
          <t>GLOBO AÇOS</t>
        </is>
      </c>
      <c r="D3104" t="inlineStr">
        <is>
          <t>PERFILAÇÃO</t>
        </is>
      </c>
      <c r="F3104">
        <f>IFERROR(INDEX('BASE METAS DIÁRIAS'!$AA$2:$AC$358,MATCH($A3104,'BASE METAS DIÁRIAS'!$A$2:$A$358,0),1),"")</f>
        <v/>
      </c>
      <c r="G3104">
        <f>IFERROR(IF(WEEKDAY($A3104,2)&lt;=INDEX('BASE METAS DIÁRIAS'!$X$2:$Z$358,MATCH($A3104,'BASE METAS DIÁRIAS'!$A$2:$A$358,0),1),INDEX('BASE METAS DIÁRIAS'!$U$2:$W$358,MATCH($A3104,'BASE METAS DIÁRIAS'!$A$2:$A$358,0),1),""),"")</f>
        <v/>
      </c>
      <c r="H3104">
        <f>IFERROR(IF(INDEX('CONTROLE PRODUÇÃO POR EMPRESAS'!$H$6:$J$5000,MATCH($A3104,'CONTROLE PRODUÇÃO POR EMPRESAS'!$A$6:$A$5000,0),1)="","",IFERROR(1*INDEX('CONTROLE PRODUÇÃO POR EMPRESAS'!$H$6:$J$5000,MATCH($A3104,'CONTROLE PRODUÇÃO POR EMPRESAS'!$A$6:$A$5000,0),1),"")),"")</f>
        <v/>
      </c>
      <c r="I3104">
        <f>IF(OR(NOT(ISNUMBER(G3104)),NOT(ISNUMBER(H3104))),"",H3104-G3104)</f>
        <v/>
      </c>
      <c r="J3104">
        <f>IF(OR(NOT(ISNUMBER(G3104)),NOT(ISNUMBER(H3104)),G3104=0),"",I3104/G3104)</f>
        <v/>
      </c>
      <c r="K3104">
        <f>IF(OR(NOT(ISNUMBER(G3104)),NOT(ISNUMBER(H3104)),G3104=0),"",H3104/G3104)</f>
        <v/>
      </c>
      <c r="L3104">
        <f>IF(NOT(ISNUMBER(G3104)),"SEM META",IF(G3104=0,"SEM META",IF(NOT(ISNUMBER(H3104)),"SEM APONTAMENTO",IF(H3104&gt;=G3104,"VERDE",IF(H3104&gt;=G3104*0.9,"AMARELO","VERMELHO")))))</f>
        <v/>
      </c>
    </row>
    <row r="3105">
      <c r="A3105" s="321" t="n">
        <v>46543</v>
      </c>
      <c r="B3105" t="inlineStr">
        <is>
          <t>GERAL</t>
        </is>
      </c>
      <c r="C3105" t="inlineStr">
        <is>
          <t>GLOBO AÇOS</t>
        </is>
      </c>
      <c r="D3105" t="inlineStr">
        <is>
          <t>TELHAR</t>
        </is>
      </c>
      <c r="F3105">
        <f>IFERROR(INDEX('BASE METAS DIÁRIAS'!$AA$2:$AC$358,MATCH($A3105,'BASE METAS DIÁRIAS'!$A$2:$A$358,0),2),"")</f>
        <v/>
      </c>
      <c r="G3105">
        <f>IFERROR(IF(WEEKDAY($A3105,2)&lt;=INDEX('BASE METAS DIÁRIAS'!$X$2:$Z$358,MATCH($A3105,'BASE METAS DIÁRIAS'!$A$2:$A$358,0),2),INDEX('BASE METAS DIÁRIAS'!$U$2:$W$358,MATCH($A3105,'BASE METAS DIÁRIAS'!$A$2:$A$358,0),2),""),"")</f>
        <v/>
      </c>
      <c r="H3105">
        <f>IFERROR(IF(INDEX('CONTROLE PRODUÇÃO POR EMPRESAS'!$H$6:$J$5000,MATCH($A3105,'CONTROLE PRODUÇÃO POR EMPRESAS'!$A$6:$A$5000,0),2)="","",IFERROR(1*INDEX('CONTROLE PRODUÇÃO POR EMPRESAS'!$H$6:$J$5000,MATCH($A3105,'CONTROLE PRODUÇÃO POR EMPRESAS'!$A$6:$A$5000,0),2),"")),"")</f>
        <v/>
      </c>
      <c r="I3105">
        <f>IF(OR(NOT(ISNUMBER(G3105)),NOT(ISNUMBER(H3105))),"",H3105-G3105)</f>
        <v/>
      </c>
      <c r="J3105">
        <f>IF(OR(NOT(ISNUMBER(G3105)),NOT(ISNUMBER(H3105)),G3105=0),"",I3105/G3105)</f>
        <v/>
      </c>
      <c r="K3105">
        <f>IF(OR(NOT(ISNUMBER(G3105)),NOT(ISNUMBER(H3105)),G3105=0),"",H3105/G3105)</f>
        <v/>
      </c>
      <c r="L3105">
        <f>IF(NOT(ISNUMBER(G3105)),"SEM META",IF(G3105=0,"SEM META",IF(NOT(ISNUMBER(H3105)),"SEM APONTAMENTO",IF(H3105&gt;=G3105,"VERDE",IF(H3105&gt;=G3105*0.9,"AMARELO","VERMELHO")))))</f>
        <v/>
      </c>
    </row>
    <row r="3106">
      <c r="A3106" s="321" t="n">
        <v>46543</v>
      </c>
      <c r="B3106" t="inlineStr">
        <is>
          <t>GERAL</t>
        </is>
      </c>
      <c r="C3106" t="inlineStr">
        <is>
          <t>GLOBO AÇOS</t>
        </is>
      </c>
      <c r="D3106" t="inlineStr">
        <is>
          <t>FECHAMENTO</t>
        </is>
      </c>
      <c r="F3106">
        <f>IFERROR(INDEX('BASE METAS DIÁRIAS'!$AA$2:$AC$358,MATCH($A3106,'BASE METAS DIÁRIAS'!$A$2:$A$358,0),3),"")</f>
        <v/>
      </c>
      <c r="G3106">
        <f>IFERROR(IF(WEEKDAY($A3106,2)&lt;=INDEX('BASE METAS DIÁRIAS'!$X$2:$Z$358,MATCH($A3106,'BASE METAS DIÁRIAS'!$A$2:$A$358,0),3),INDEX('BASE METAS DIÁRIAS'!$U$2:$W$358,MATCH($A3106,'BASE METAS DIÁRIAS'!$A$2:$A$358,0),3),""),"")</f>
        <v/>
      </c>
      <c r="H3106">
        <f>IFERROR(IF(INDEX('CONTROLE PRODUÇÃO POR EMPRESAS'!$H$6:$J$5000,MATCH($A3106,'CONTROLE PRODUÇÃO POR EMPRESAS'!$A$6:$A$5000,0),3)="","",IFERROR(1*INDEX('CONTROLE PRODUÇÃO POR EMPRESAS'!$H$6:$J$5000,MATCH($A3106,'CONTROLE PRODUÇÃO POR EMPRESAS'!$A$6:$A$5000,0),3),"")),"")</f>
        <v/>
      </c>
      <c r="I3106">
        <f>IF(OR(NOT(ISNUMBER(G3106)),NOT(ISNUMBER(H3106))),"",H3106-G3106)</f>
        <v/>
      </c>
      <c r="J3106">
        <f>IF(OR(NOT(ISNUMBER(G3106)),NOT(ISNUMBER(H3106)),G3106=0),"",I3106/G3106)</f>
        <v/>
      </c>
      <c r="K3106">
        <f>IF(OR(NOT(ISNUMBER(G3106)),NOT(ISNUMBER(H3106)),G3106=0),"",H3106/G3106)</f>
        <v/>
      </c>
      <c r="L3106">
        <f>IF(NOT(ISNUMBER(G3106)),"SEM META",IF(G3106=0,"SEM META",IF(NOT(ISNUMBER(H3106)),"SEM APONTAMENTO",IF(H3106&gt;=G3106,"VERDE",IF(H3106&gt;=G3106*0.9,"AMARELO","VERMELHO")))))</f>
        <v/>
      </c>
    </row>
    <row r="3107">
      <c r="A3107" s="321" t="n">
        <v>46544</v>
      </c>
      <c r="B3107" t="inlineStr">
        <is>
          <t>GERAL</t>
        </is>
      </c>
      <c r="C3107" t="inlineStr">
        <is>
          <t>GLOBO AÇOS</t>
        </is>
      </c>
      <c r="D3107" t="inlineStr">
        <is>
          <t>PERFILAÇÃO</t>
        </is>
      </c>
      <c r="F3107">
        <f>IFERROR(INDEX('BASE METAS DIÁRIAS'!$AA$2:$AC$358,MATCH($A3107,'BASE METAS DIÁRIAS'!$A$2:$A$358,0),1),"")</f>
        <v/>
      </c>
      <c r="G3107">
        <f>IFERROR(IF(WEEKDAY($A3107,2)&lt;=INDEX('BASE METAS DIÁRIAS'!$X$2:$Z$358,MATCH($A3107,'BASE METAS DIÁRIAS'!$A$2:$A$358,0),1),INDEX('BASE METAS DIÁRIAS'!$U$2:$W$358,MATCH($A3107,'BASE METAS DIÁRIAS'!$A$2:$A$358,0),1),""),"")</f>
        <v/>
      </c>
      <c r="H3107">
        <f>IFERROR(IF(INDEX('CONTROLE PRODUÇÃO POR EMPRESAS'!$H$6:$J$5000,MATCH($A3107,'CONTROLE PRODUÇÃO POR EMPRESAS'!$A$6:$A$5000,0),1)="","",IFERROR(1*INDEX('CONTROLE PRODUÇÃO POR EMPRESAS'!$H$6:$J$5000,MATCH($A3107,'CONTROLE PRODUÇÃO POR EMPRESAS'!$A$6:$A$5000,0),1),"")),"")</f>
        <v/>
      </c>
      <c r="I3107">
        <f>IF(OR(NOT(ISNUMBER(G3107)),NOT(ISNUMBER(H3107))),"",H3107-G3107)</f>
        <v/>
      </c>
      <c r="J3107">
        <f>IF(OR(NOT(ISNUMBER(G3107)),NOT(ISNUMBER(H3107)),G3107=0),"",I3107/G3107)</f>
        <v/>
      </c>
      <c r="K3107">
        <f>IF(OR(NOT(ISNUMBER(G3107)),NOT(ISNUMBER(H3107)),G3107=0),"",H3107/G3107)</f>
        <v/>
      </c>
      <c r="L3107">
        <f>IF(NOT(ISNUMBER(G3107)),"SEM META",IF(G3107=0,"SEM META",IF(NOT(ISNUMBER(H3107)),"SEM APONTAMENTO",IF(H3107&gt;=G3107,"VERDE",IF(H3107&gt;=G3107*0.9,"AMARELO","VERMELHO")))))</f>
        <v/>
      </c>
    </row>
    <row r="3108">
      <c r="A3108" s="321" t="n">
        <v>46544</v>
      </c>
      <c r="B3108" t="inlineStr">
        <is>
          <t>GERAL</t>
        </is>
      </c>
      <c r="C3108" t="inlineStr">
        <is>
          <t>GLOBO AÇOS</t>
        </is>
      </c>
      <c r="D3108" t="inlineStr">
        <is>
          <t>TELHAR</t>
        </is>
      </c>
      <c r="F3108">
        <f>IFERROR(INDEX('BASE METAS DIÁRIAS'!$AA$2:$AC$358,MATCH($A3108,'BASE METAS DIÁRIAS'!$A$2:$A$358,0),2),"")</f>
        <v/>
      </c>
      <c r="G3108">
        <f>IFERROR(IF(WEEKDAY($A3108,2)&lt;=INDEX('BASE METAS DIÁRIAS'!$X$2:$Z$358,MATCH($A3108,'BASE METAS DIÁRIAS'!$A$2:$A$358,0),2),INDEX('BASE METAS DIÁRIAS'!$U$2:$W$358,MATCH($A3108,'BASE METAS DIÁRIAS'!$A$2:$A$358,0),2),""),"")</f>
        <v/>
      </c>
      <c r="H3108">
        <f>IFERROR(IF(INDEX('CONTROLE PRODUÇÃO POR EMPRESAS'!$H$6:$J$5000,MATCH($A3108,'CONTROLE PRODUÇÃO POR EMPRESAS'!$A$6:$A$5000,0),2)="","",IFERROR(1*INDEX('CONTROLE PRODUÇÃO POR EMPRESAS'!$H$6:$J$5000,MATCH($A3108,'CONTROLE PRODUÇÃO POR EMPRESAS'!$A$6:$A$5000,0),2),"")),"")</f>
        <v/>
      </c>
      <c r="I3108">
        <f>IF(OR(NOT(ISNUMBER(G3108)),NOT(ISNUMBER(H3108))),"",H3108-G3108)</f>
        <v/>
      </c>
      <c r="J3108">
        <f>IF(OR(NOT(ISNUMBER(G3108)),NOT(ISNUMBER(H3108)),G3108=0),"",I3108/G3108)</f>
        <v/>
      </c>
      <c r="K3108">
        <f>IF(OR(NOT(ISNUMBER(G3108)),NOT(ISNUMBER(H3108)),G3108=0),"",H3108/G3108)</f>
        <v/>
      </c>
      <c r="L3108">
        <f>IF(NOT(ISNUMBER(G3108)),"SEM META",IF(G3108=0,"SEM META",IF(NOT(ISNUMBER(H3108)),"SEM APONTAMENTO",IF(H3108&gt;=G3108,"VERDE",IF(H3108&gt;=G3108*0.9,"AMARELO","VERMELHO")))))</f>
        <v/>
      </c>
    </row>
    <row r="3109">
      <c r="A3109" s="321" t="n">
        <v>46544</v>
      </c>
      <c r="B3109" t="inlineStr">
        <is>
          <t>GERAL</t>
        </is>
      </c>
      <c r="C3109" t="inlineStr">
        <is>
          <t>GLOBO AÇOS</t>
        </is>
      </c>
      <c r="D3109" t="inlineStr">
        <is>
          <t>FECHAMENTO</t>
        </is>
      </c>
      <c r="F3109">
        <f>IFERROR(INDEX('BASE METAS DIÁRIAS'!$AA$2:$AC$358,MATCH($A3109,'BASE METAS DIÁRIAS'!$A$2:$A$358,0),3),"")</f>
        <v/>
      </c>
      <c r="G3109">
        <f>IFERROR(IF(WEEKDAY($A3109,2)&lt;=INDEX('BASE METAS DIÁRIAS'!$X$2:$Z$358,MATCH($A3109,'BASE METAS DIÁRIAS'!$A$2:$A$358,0),3),INDEX('BASE METAS DIÁRIAS'!$U$2:$W$358,MATCH($A3109,'BASE METAS DIÁRIAS'!$A$2:$A$358,0),3),""),"")</f>
        <v/>
      </c>
      <c r="H3109">
        <f>IFERROR(IF(INDEX('CONTROLE PRODUÇÃO POR EMPRESAS'!$H$6:$J$5000,MATCH($A3109,'CONTROLE PRODUÇÃO POR EMPRESAS'!$A$6:$A$5000,0),3)="","",IFERROR(1*INDEX('CONTROLE PRODUÇÃO POR EMPRESAS'!$H$6:$J$5000,MATCH($A3109,'CONTROLE PRODUÇÃO POR EMPRESAS'!$A$6:$A$5000,0),3),"")),"")</f>
        <v/>
      </c>
      <c r="I3109">
        <f>IF(OR(NOT(ISNUMBER(G3109)),NOT(ISNUMBER(H3109))),"",H3109-G3109)</f>
        <v/>
      </c>
      <c r="J3109">
        <f>IF(OR(NOT(ISNUMBER(G3109)),NOT(ISNUMBER(H3109)),G3109=0),"",I3109/G3109)</f>
        <v/>
      </c>
      <c r="K3109">
        <f>IF(OR(NOT(ISNUMBER(G3109)),NOT(ISNUMBER(H3109)),G3109=0),"",H3109/G3109)</f>
        <v/>
      </c>
      <c r="L3109">
        <f>IF(NOT(ISNUMBER(G3109)),"SEM META",IF(G3109=0,"SEM META",IF(NOT(ISNUMBER(H3109)),"SEM APONTAMENTO",IF(H3109&gt;=G3109,"VERDE",IF(H3109&gt;=G3109*0.9,"AMARELO","VERMELHO")))))</f>
        <v/>
      </c>
    </row>
    <row r="3110">
      <c r="A3110" s="321" t="n">
        <v>46545</v>
      </c>
      <c r="B3110" t="inlineStr">
        <is>
          <t>GERAL</t>
        </is>
      </c>
      <c r="C3110" t="inlineStr">
        <is>
          <t>GLOBO AÇOS</t>
        </is>
      </c>
      <c r="D3110" t="inlineStr">
        <is>
          <t>PERFILAÇÃO</t>
        </is>
      </c>
      <c r="F3110">
        <f>IFERROR(INDEX('BASE METAS DIÁRIAS'!$AA$2:$AC$358,MATCH($A3110,'BASE METAS DIÁRIAS'!$A$2:$A$358,0),1),"")</f>
        <v/>
      </c>
      <c r="G3110">
        <f>IFERROR(IF(WEEKDAY($A3110,2)&lt;=INDEX('BASE METAS DIÁRIAS'!$X$2:$Z$358,MATCH($A3110,'BASE METAS DIÁRIAS'!$A$2:$A$358,0),1),INDEX('BASE METAS DIÁRIAS'!$U$2:$W$358,MATCH($A3110,'BASE METAS DIÁRIAS'!$A$2:$A$358,0),1),""),"")</f>
        <v/>
      </c>
      <c r="H3110">
        <f>IFERROR(IF(INDEX('CONTROLE PRODUÇÃO POR EMPRESAS'!$H$6:$J$5000,MATCH($A3110,'CONTROLE PRODUÇÃO POR EMPRESAS'!$A$6:$A$5000,0),1)="","",IFERROR(1*INDEX('CONTROLE PRODUÇÃO POR EMPRESAS'!$H$6:$J$5000,MATCH($A3110,'CONTROLE PRODUÇÃO POR EMPRESAS'!$A$6:$A$5000,0),1),"")),"")</f>
        <v/>
      </c>
      <c r="I3110">
        <f>IF(OR(NOT(ISNUMBER(G3110)),NOT(ISNUMBER(H3110))),"",H3110-G3110)</f>
        <v/>
      </c>
      <c r="J3110">
        <f>IF(OR(NOT(ISNUMBER(G3110)),NOT(ISNUMBER(H3110)),G3110=0),"",I3110/G3110)</f>
        <v/>
      </c>
      <c r="K3110">
        <f>IF(OR(NOT(ISNUMBER(G3110)),NOT(ISNUMBER(H3110)),G3110=0),"",H3110/G3110)</f>
        <v/>
      </c>
      <c r="L3110">
        <f>IF(NOT(ISNUMBER(G3110)),"SEM META",IF(G3110=0,"SEM META",IF(NOT(ISNUMBER(H3110)),"SEM APONTAMENTO",IF(H3110&gt;=G3110,"VERDE",IF(H3110&gt;=G3110*0.9,"AMARELO","VERMELHO")))))</f>
        <v/>
      </c>
    </row>
    <row r="3111">
      <c r="A3111" s="321" t="n">
        <v>46545</v>
      </c>
      <c r="B3111" t="inlineStr">
        <is>
          <t>GERAL</t>
        </is>
      </c>
      <c r="C3111" t="inlineStr">
        <is>
          <t>GLOBO AÇOS</t>
        </is>
      </c>
      <c r="D3111" t="inlineStr">
        <is>
          <t>TELHAR</t>
        </is>
      </c>
      <c r="F3111">
        <f>IFERROR(INDEX('BASE METAS DIÁRIAS'!$AA$2:$AC$358,MATCH($A3111,'BASE METAS DIÁRIAS'!$A$2:$A$358,0),2),"")</f>
        <v/>
      </c>
      <c r="G3111">
        <f>IFERROR(IF(WEEKDAY($A3111,2)&lt;=INDEX('BASE METAS DIÁRIAS'!$X$2:$Z$358,MATCH($A3111,'BASE METAS DIÁRIAS'!$A$2:$A$358,0),2),INDEX('BASE METAS DIÁRIAS'!$U$2:$W$358,MATCH($A3111,'BASE METAS DIÁRIAS'!$A$2:$A$358,0),2),""),"")</f>
        <v/>
      </c>
      <c r="H3111">
        <f>IFERROR(IF(INDEX('CONTROLE PRODUÇÃO POR EMPRESAS'!$H$6:$J$5000,MATCH($A3111,'CONTROLE PRODUÇÃO POR EMPRESAS'!$A$6:$A$5000,0),2)="","",IFERROR(1*INDEX('CONTROLE PRODUÇÃO POR EMPRESAS'!$H$6:$J$5000,MATCH($A3111,'CONTROLE PRODUÇÃO POR EMPRESAS'!$A$6:$A$5000,0),2),"")),"")</f>
        <v/>
      </c>
      <c r="I3111">
        <f>IF(OR(NOT(ISNUMBER(G3111)),NOT(ISNUMBER(H3111))),"",H3111-G3111)</f>
        <v/>
      </c>
      <c r="J3111">
        <f>IF(OR(NOT(ISNUMBER(G3111)),NOT(ISNUMBER(H3111)),G3111=0),"",I3111/G3111)</f>
        <v/>
      </c>
      <c r="K3111">
        <f>IF(OR(NOT(ISNUMBER(G3111)),NOT(ISNUMBER(H3111)),G3111=0),"",H3111/G3111)</f>
        <v/>
      </c>
      <c r="L3111">
        <f>IF(NOT(ISNUMBER(G3111)),"SEM META",IF(G3111=0,"SEM META",IF(NOT(ISNUMBER(H3111)),"SEM APONTAMENTO",IF(H3111&gt;=G3111,"VERDE",IF(H3111&gt;=G3111*0.9,"AMARELO","VERMELHO")))))</f>
        <v/>
      </c>
    </row>
    <row r="3112">
      <c r="A3112" s="321" t="n">
        <v>46545</v>
      </c>
      <c r="B3112" t="inlineStr">
        <is>
          <t>GERAL</t>
        </is>
      </c>
      <c r="C3112" t="inlineStr">
        <is>
          <t>GLOBO AÇOS</t>
        </is>
      </c>
      <c r="D3112" t="inlineStr">
        <is>
          <t>FECHAMENTO</t>
        </is>
      </c>
      <c r="F3112">
        <f>IFERROR(INDEX('BASE METAS DIÁRIAS'!$AA$2:$AC$358,MATCH($A3112,'BASE METAS DIÁRIAS'!$A$2:$A$358,0),3),"")</f>
        <v/>
      </c>
      <c r="G3112">
        <f>IFERROR(IF(WEEKDAY($A3112,2)&lt;=INDEX('BASE METAS DIÁRIAS'!$X$2:$Z$358,MATCH($A3112,'BASE METAS DIÁRIAS'!$A$2:$A$358,0),3),INDEX('BASE METAS DIÁRIAS'!$U$2:$W$358,MATCH($A3112,'BASE METAS DIÁRIAS'!$A$2:$A$358,0),3),""),"")</f>
        <v/>
      </c>
      <c r="H3112">
        <f>IFERROR(IF(INDEX('CONTROLE PRODUÇÃO POR EMPRESAS'!$H$6:$J$5000,MATCH($A3112,'CONTROLE PRODUÇÃO POR EMPRESAS'!$A$6:$A$5000,0),3)="","",IFERROR(1*INDEX('CONTROLE PRODUÇÃO POR EMPRESAS'!$H$6:$J$5000,MATCH($A3112,'CONTROLE PRODUÇÃO POR EMPRESAS'!$A$6:$A$5000,0),3),"")),"")</f>
        <v/>
      </c>
      <c r="I3112">
        <f>IF(OR(NOT(ISNUMBER(G3112)),NOT(ISNUMBER(H3112))),"",H3112-G3112)</f>
        <v/>
      </c>
      <c r="J3112">
        <f>IF(OR(NOT(ISNUMBER(G3112)),NOT(ISNUMBER(H3112)),G3112=0),"",I3112/G3112)</f>
        <v/>
      </c>
      <c r="K3112">
        <f>IF(OR(NOT(ISNUMBER(G3112)),NOT(ISNUMBER(H3112)),G3112=0),"",H3112/G3112)</f>
        <v/>
      </c>
      <c r="L3112">
        <f>IF(NOT(ISNUMBER(G3112)),"SEM META",IF(G3112=0,"SEM META",IF(NOT(ISNUMBER(H3112)),"SEM APONTAMENTO",IF(H3112&gt;=G3112,"VERDE",IF(H3112&gt;=G3112*0.9,"AMARELO","VERMELHO")))))</f>
        <v/>
      </c>
    </row>
    <row r="3113">
      <c r="A3113" s="321" t="n">
        <v>46546</v>
      </c>
      <c r="B3113" t="inlineStr">
        <is>
          <t>GERAL</t>
        </is>
      </c>
      <c r="C3113" t="inlineStr">
        <is>
          <t>GLOBO AÇOS</t>
        </is>
      </c>
      <c r="D3113" t="inlineStr">
        <is>
          <t>PERFILAÇÃO</t>
        </is>
      </c>
      <c r="F3113">
        <f>IFERROR(INDEX('BASE METAS DIÁRIAS'!$AA$2:$AC$358,MATCH($A3113,'BASE METAS DIÁRIAS'!$A$2:$A$358,0),1),"")</f>
        <v/>
      </c>
      <c r="G3113">
        <f>IFERROR(IF(WEEKDAY($A3113,2)&lt;=INDEX('BASE METAS DIÁRIAS'!$X$2:$Z$358,MATCH($A3113,'BASE METAS DIÁRIAS'!$A$2:$A$358,0),1),INDEX('BASE METAS DIÁRIAS'!$U$2:$W$358,MATCH($A3113,'BASE METAS DIÁRIAS'!$A$2:$A$358,0),1),""),"")</f>
        <v/>
      </c>
      <c r="H3113">
        <f>IFERROR(IF(INDEX('CONTROLE PRODUÇÃO POR EMPRESAS'!$H$6:$J$5000,MATCH($A3113,'CONTROLE PRODUÇÃO POR EMPRESAS'!$A$6:$A$5000,0),1)="","",IFERROR(1*INDEX('CONTROLE PRODUÇÃO POR EMPRESAS'!$H$6:$J$5000,MATCH($A3113,'CONTROLE PRODUÇÃO POR EMPRESAS'!$A$6:$A$5000,0),1),"")),"")</f>
        <v/>
      </c>
      <c r="I3113">
        <f>IF(OR(NOT(ISNUMBER(G3113)),NOT(ISNUMBER(H3113))),"",H3113-G3113)</f>
        <v/>
      </c>
      <c r="J3113">
        <f>IF(OR(NOT(ISNUMBER(G3113)),NOT(ISNUMBER(H3113)),G3113=0),"",I3113/G3113)</f>
        <v/>
      </c>
      <c r="K3113">
        <f>IF(OR(NOT(ISNUMBER(G3113)),NOT(ISNUMBER(H3113)),G3113=0),"",H3113/G3113)</f>
        <v/>
      </c>
      <c r="L3113">
        <f>IF(NOT(ISNUMBER(G3113)),"SEM META",IF(G3113=0,"SEM META",IF(NOT(ISNUMBER(H3113)),"SEM APONTAMENTO",IF(H3113&gt;=G3113,"VERDE",IF(H3113&gt;=G3113*0.9,"AMARELO","VERMELHO")))))</f>
        <v/>
      </c>
    </row>
    <row r="3114">
      <c r="A3114" s="321" t="n">
        <v>46546</v>
      </c>
      <c r="B3114" t="inlineStr">
        <is>
          <t>GERAL</t>
        </is>
      </c>
      <c r="C3114" t="inlineStr">
        <is>
          <t>GLOBO AÇOS</t>
        </is>
      </c>
      <c r="D3114" t="inlineStr">
        <is>
          <t>TELHAR</t>
        </is>
      </c>
      <c r="F3114">
        <f>IFERROR(INDEX('BASE METAS DIÁRIAS'!$AA$2:$AC$358,MATCH($A3114,'BASE METAS DIÁRIAS'!$A$2:$A$358,0),2),"")</f>
        <v/>
      </c>
      <c r="G3114">
        <f>IFERROR(IF(WEEKDAY($A3114,2)&lt;=INDEX('BASE METAS DIÁRIAS'!$X$2:$Z$358,MATCH($A3114,'BASE METAS DIÁRIAS'!$A$2:$A$358,0),2),INDEX('BASE METAS DIÁRIAS'!$U$2:$W$358,MATCH($A3114,'BASE METAS DIÁRIAS'!$A$2:$A$358,0),2),""),"")</f>
        <v/>
      </c>
      <c r="H3114">
        <f>IFERROR(IF(INDEX('CONTROLE PRODUÇÃO POR EMPRESAS'!$H$6:$J$5000,MATCH($A3114,'CONTROLE PRODUÇÃO POR EMPRESAS'!$A$6:$A$5000,0),2)="","",IFERROR(1*INDEX('CONTROLE PRODUÇÃO POR EMPRESAS'!$H$6:$J$5000,MATCH($A3114,'CONTROLE PRODUÇÃO POR EMPRESAS'!$A$6:$A$5000,0),2),"")),"")</f>
        <v/>
      </c>
      <c r="I3114">
        <f>IF(OR(NOT(ISNUMBER(G3114)),NOT(ISNUMBER(H3114))),"",H3114-G3114)</f>
        <v/>
      </c>
      <c r="J3114">
        <f>IF(OR(NOT(ISNUMBER(G3114)),NOT(ISNUMBER(H3114)),G3114=0),"",I3114/G3114)</f>
        <v/>
      </c>
      <c r="K3114">
        <f>IF(OR(NOT(ISNUMBER(G3114)),NOT(ISNUMBER(H3114)),G3114=0),"",H3114/G3114)</f>
        <v/>
      </c>
      <c r="L3114">
        <f>IF(NOT(ISNUMBER(G3114)),"SEM META",IF(G3114=0,"SEM META",IF(NOT(ISNUMBER(H3114)),"SEM APONTAMENTO",IF(H3114&gt;=G3114,"VERDE",IF(H3114&gt;=G3114*0.9,"AMARELO","VERMELHO")))))</f>
        <v/>
      </c>
    </row>
    <row r="3115">
      <c r="A3115" s="321" t="n">
        <v>46546</v>
      </c>
      <c r="B3115" t="inlineStr">
        <is>
          <t>GERAL</t>
        </is>
      </c>
      <c r="C3115" t="inlineStr">
        <is>
          <t>GLOBO AÇOS</t>
        </is>
      </c>
      <c r="D3115" t="inlineStr">
        <is>
          <t>FECHAMENTO</t>
        </is>
      </c>
      <c r="F3115">
        <f>IFERROR(INDEX('BASE METAS DIÁRIAS'!$AA$2:$AC$358,MATCH($A3115,'BASE METAS DIÁRIAS'!$A$2:$A$358,0),3),"")</f>
        <v/>
      </c>
      <c r="G3115">
        <f>IFERROR(IF(WEEKDAY($A3115,2)&lt;=INDEX('BASE METAS DIÁRIAS'!$X$2:$Z$358,MATCH($A3115,'BASE METAS DIÁRIAS'!$A$2:$A$358,0),3),INDEX('BASE METAS DIÁRIAS'!$U$2:$W$358,MATCH($A3115,'BASE METAS DIÁRIAS'!$A$2:$A$358,0),3),""),"")</f>
        <v/>
      </c>
      <c r="H3115">
        <f>IFERROR(IF(INDEX('CONTROLE PRODUÇÃO POR EMPRESAS'!$H$6:$J$5000,MATCH($A3115,'CONTROLE PRODUÇÃO POR EMPRESAS'!$A$6:$A$5000,0),3)="","",IFERROR(1*INDEX('CONTROLE PRODUÇÃO POR EMPRESAS'!$H$6:$J$5000,MATCH($A3115,'CONTROLE PRODUÇÃO POR EMPRESAS'!$A$6:$A$5000,0),3),"")),"")</f>
        <v/>
      </c>
      <c r="I3115">
        <f>IF(OR(NOT(ISNUMBER(G3115)),NOT(ISNUMBER(H3115))),"",H3115-G3115)</f>
        <v/>
      </c>
      <c r="J3115">
        <f>IF(OR(NOT(ISNUMBER(G3115)),NOT(ISNUMBER(H3115)),G3115=0),"",I3115/G3115)</f>
        <v/>
      </c>
      <c r="K3115">
        <f>IF(OR(NOT(ISNUMBER(G3115)),NOT(ISNUMBER(H3115)),G3115=0),"",H3115/G3115)</f>
        <v/>
      </c>
      <c r="L3115">
        <f>IF(NOT(ISNUMBER(G3115)),"SEM META",IF(G3115=0,"SEM META",IF(NOT(ISNUMBER(H3115)),"SEM APONTAMENTO",IF(H3115&gt;=G3115,"VERDE",IF(H3115&gt;=G3115*0.9,"AMARELO","VERMELHO")))))</f>
        <v/>
      </c>
    </row>
    <row r="3116">
      <c r="A3116" s="321" t="n">
        <v>46547</v>
      </c>
      <c r="B3116" t="inlineStr">
        <is>
          <t>GERAL</t>
        </is>
      </c>
      <c r="C3116" t="inlineStr">
        <is>
          <t>GLOBO AÇOS</t>
        </is>
      </c>
      <c r="D3116" t="inlineStr">
        <is>
          <t>PERFILAÇÃO</t>
        </is>
      </c>
      <c r="F3116">
        <f>IFERROR(INDEX('BASE METAS DIÁRIAS'!$AA$2:$AC$358,MATCH($A3116,'BASE METAS DIÁRIAS'!$A$2:$A$358,0),1),"")</f>
        <v/>
      </c>
      <c r="G3116">
        <f>IFERROR(IF(WEEKDAY($A3116,2)&lt;=INDEX('BASE METAS DIÁRIAS'!$X$2:$Z$358,MATCH($A3116,'BASE METAS DIÁRIAS'!$A$2:$A$358,0),1),INDEX('BASE METAS DIÁRIAS'!$U$2:$W$358,MATCH($A3116,'BASE METAS DIÁRIAS'!$A$2:$A$358,0),1),""),"")</f>
        <v/>
      </c>
      <c r="H3116">
        <f>IFERROR(IF(INDEX('CONTROLE PRODUÇÃO POR EMPRESAS'!$H$6:$J$5000,MATCH($A3116,'CONTROLE PRODUÇÃO POR EMPRESAS'!$A$6:$A$5000,0),1)="","",IFERROR(1*INDEX('CONTROLE PRODUÇÃO POR EMPRESAS'!$H$6:$J$5000,MATCH($A3116,'CONTROLE PRODUÇÃO POR EMPRESAS'!$A$6:$A$5000,0),1),"")),"")</f>
        <v/>
      </c>
      <c r="I3116">
        <f>IF(OR(NOT(ISNUMBER(G3116)),NOT(ISNUMBER(H3116))),"",H3116-G3116)</f>
        <v/>
      </c>
      <c r="J3116">
        <f>IF(OR(NOT(ISNUMBER(G3116)),NOT(ISNUMBER(H3116)),G3116=0),"",I3116/G3116)</f>
        <v/>
      </c>
      <c r="K3116">
        <f>IF(OR(NOT(ISNUMBER(G3116)),NOT(ISNUMBER(H3116)),G3116=0),"",H3116/G3116)</f>
        <v/>
      </c>
      <c r="L3116">
        <f>IF(NOT(ISNUMBER(G3116)),"SEM META",IF(G3116=0,"SEM META",IF(NOT(ISNUMBER(H3116)),"SEM APONTAMENTO",IF(H3116&gt;=G3116,"VERDE",IF(H3116&gt;=G3116*0.9,"AMARELO","VERMELHO")))))</f>
        <v/>
      </c>
    </row>
    <row r="3117">
      <c r="A3117" s="321" t="n">
        <v>46547</v>
      </c>
      <c r="B3117" t="inlineStr">
        <is>
          <t>GERAL</t>
        </is>
      </c>
      <c r="C3117" t="inlineStr">
        <is>
          <t>GLOBO AÇOS</t>
        </is>
      </c>
      <c r="D3117" t="inlineStr">
        <is>
          <t>TELHAR</t>
        </is>
      </c>
      <c r="F3117">
        <f>IFERROR(INDEX('BASE METAS DIÁRIAS'!$AA$2:$AC$358,MATCH($A3117,'BASE METAS DIÁRIAS'!$A$2:$A$358,0),2),"")</f>
        <v/>
      </c>
      <c r="G3117">
        <f>IFERROR(IF(WEEKDAY($A3117,2)&lt;=INDEX('BASE METAS DIÁRIAS'!$X$2:$Z$358,MATCH($A3117,'BASE METAS DIÁRIAS'!$A$2:$A$358,0),2),INDEX('BASE METAS DIÁRIAS'!$U$2:$W$358,MATCH($A3117,'BASE METAS DIÁRIAS'!$A$2:$A$358,0),2),""),"")</f>
        <v/>
      </c>
      <c r="H3117">
        <f>IFERROR(IF(INDEX('CONTROLE PRODUÇÃO POR EMPRESAS'!$H$6:$J$5000,MATCH($A3117,'CONTROLE PRODUÇÃO POR EMPRESAS'!$A$6:$A$5000,0),2)="","",IFERROR(1*INDEX('CONTROLE PRODUÇÃO POR EMPRESAS'!$H$6:$J$5000,MATCH($A3117,'CONTROLE PRODUÇÃO POR EMPRESAS'!$A$6:$A$5000,0),2),"")),"")</f>
        <v/>
      </c>
      <c r="I3117">
        <f>IF(OR(NOT(ISNUMBER(G3117)),NOT(ISNUMBER(H3117))),"",H3117-G3117)</f>
        <v/>
      </c>
      <c r="J3117">
        <f>IF(OR(NOT(ISNUMBER(G3117)),NOT(ISNUMBER(H3117)),G3117=0),"",I3117/G3117)</f>
        <v/>
      </c>
      <c r="K3117">
        <f>IF(OR(NOT(ISNUMBER(G3117)),NOT(ISNUMBER(H3117)),G3117=0),"",H3117/G3117)</f>
        <v/>
      </c>
      <c r="L3117">
        <f>IF(NOT(ISNUMBER(G3117)),"SEM META",IF(G3117=0,"SEM META",IF(NOT(ISNUMBER(H3117)),"SEM APONTAMENTO",IF(H3117&gt;=G3117,"VERDE",IF(H3117&gt;=G3117*0.9,"AMARELO","VERMELHO")))))</f>
        <v/>
      </c>
    </row>
    <row r="3118">
      <c r="A3118" s="321" t="n">
        <v>46547</v>
      </c>
      <c r="B3118" t="inlineStr">
        <is>
          <t>GERAL</t>
        </is>
      </c>
      <c r="C3118" t="inlineStr">
        <is>
          <t>GLOBO AÇOS</t>
        </is>
      </c>
      <c r="D3118" t="inlineStr">
        <is>
          <t>FECHAMENTO</t>
        </is>
      </c>
      <c r="F3118">
        <f>IFERROR(INDEX('BASE METAS DIÁRIAS'!$AA$2:$AC$358,MATCH($A3118,'BASE METAS DIÁRIAS'!$A$2:$A$358,0),3),"")</f>
        <v/>
      </c>
      <c r="G3118">
        <f>IFERROR(IF(WEEKDAY($A3118,2)&lt;=INDEX('BASE METAS DIÁRIAS'!$X$2:$Z$358,MATCH($A3118,'BASE METAS DIÁRIAS'!$A$2:$A$358,0),3),INDEX('BASE METAS DIÁRIAS'!$U$2:$W$358,MATCH($A3118,'BASE METAS DIÁRIAS'!$A$2:$A$358,0),3),""),"")</f>
        <v/>
      </c>
      <c r="H3118">
        <f>IFERROR(IF(INDEX('CONTROLE PRODUÇÃO POR EMPRESAS'!$H$6:$J$5000,MATCH($A3118,'CONTROLE PRODUÇÃO POR EMPRESAS'!$A$6:$A$5000,0),3)="","",IFERROR(1*INDEX('CONTROLE PRODUÇÃO POR EMPRESAS'!$H$6:$J$5000,MATCH($A3118,'CONTROLE PRODUÇÃO POR EMPRESAS'!$A$6:$A$5000,0),3),"")),"")</f>
        <v/>
      </c>
      <c r="I3118">
        <f>IF(OR(NOT(ISNUMBER(G3118)),NOT(ISNUMBER(H3118))),"",H3118-G3118)</f>
        <v/>
      </c>
      <c r="J3118">
        <f>IF(OR(NOT(ISNUMBER(G3118)),NOT(ISNUMBER(H3118)),G3118=0),"",I3118/G3118)</f>
        <v/>
      </c>
      <c r="K3118">
        <f>IF(OR(NOT(ISNUMBER(G3118)),NOT(ISNUMBER(H3118)),G3118=0),"",H3118/G3118)</f>
        <v/>
      </c>
      <c r="L3118">
        <f>IF(NOT(ISNUMBER(G3118)),"SEM META",IF(G3118=0,"SEM META",IF(NOT(ISNUMBER(H3118)),"SEM APONTAMENTO",IF(H3118&gt;=G3118,"VERDE",IF(H3118&gt;=G3118*0.9,"AMARELO","VERMELHO")))))</f>
        <v/>
      </c>
    </row>
    <row r="3119">
      <c r="A3119" s="321" t="n">
        <v>46548</v>
      </c>
      <c r="B3119" t="inlineStr">
        <is>
          <t>GERAL</t>
        </is>
      </c>
      <c r="C3119" t="inlineStr">
        <is>
          <t>GLOBO AÇOS</t>
        </is>
      </c>
      <c r="D3119" t="inlineStr">
        <is>
          <t>PERFILAÇÃO</t>
        </is>
      </c>
      <c r="F3119">
        <f>IFERROR(INDEX('BASE METAS DIÁRIAS'!$AA$2:$AC$358,MATCH($A3119,'BASE METAS DIÁRIAS'!$A$2:$A$358,0),1),"")</f>
        <v/>
      </c>
      <c r="G3119">
        <f>IFERROR(IF(WEEKDAY($A3119,2)&lt;=INDEX('BASE METAS DIÁRIAS'!$X$2:$Z$358,MATCH($A3119,'BASE METAS DIÁRIAS'!$A$2:$A$358,0),1),INDEX('BASE METAS DIÁRIAS'!$U$2:$W$358,MATCH($A3119,'BASE METAS DIÁRIAS'!$A$2:$A$358,0),1),""),"")</f>
        <v/>
      </c>
      <c r="H3119">
        <f>IFERROR(IF(INDEX('CONTROLE PRODUÇÃO POR EMPRESAS'!$H$6:$J$5000,MATCH($A3119,'CONTROLE PRODUÇÃO POR EMPRESAS'!$A$6:$A$5000,0),1)="","",IFERROR(1*INDEX('CONTROLE PRODUÇÃO POR EMPRESAS'!$H$6:$J$5000,MATCH($A3119,'CONTROLE PRODUÇÃO POR EMPRESAS'!$A$6:$A$5000,0),1),"")),"")</f>
        <v/>
      </c>
      <c r="I3119">
        <f>IF(OR(NOT(ISNUMBER(G3119)),NOT(ISNUMBER(H3119))),"",H3119-G3119)</f>
        <v/>
      </c>
      <c r="J3119">
        <f>IF(OR(NOT(ISNUMBER(G3119)),NOT(ISNUMBER(H3119)),G3119=0),"",I3119/G3119)</f>
        <v/>
      </c>
      <c r="K3119">
        <f>IF(OR(NOT(ISNUMBER(G3119)),NOT(ISNUMBER(H3119)),G3119=0),"",H3119/G3119)</f>
        <v/>
      </c>
      <c r="L3119">
        <f>IF(NOT(ISNUMBER(G3119)),"SEM META",IF(G3119=0,"SEM META",IF(NOT(ISNUMBER(H3119)),"SEM APONTAMENTO",IF(H3119&gt;=G3119,"VERDE",IF(H3119&gt;=G3119*0.9,"AMARELO","VERMELHO")))))</f>
        <v/>
      </c>
    </row>
    <row r="3120">
      <c r="A3120" s="321" t="n">
        <v>46548</v>
      </c>
      <c r="B3120" t="inlineStr">
        <is>
          <t>GERAL</t>
        </is>
      </c>
      <c r="C3120" t="inlineStr">
        <is>
          <t>GLOBO AÇOS</t>
        </is>
      </c>
      <c r="D3120" t="inlineStr">
        <is>
          <t>TELHAR</t>
        </is>
      </c>
      <c r="F3120">
        <f>IFERROR(INDEX('BASE METAS DIÁRIAS'!$AA$2:$AC$358,MATCH($A3120,'BASE METAS DIÁRIAS'!$A$2:$A$358,0),2),"")</f>
        <v/>
      </c>
      <c r="G3120">
        <f>IFERROR(IF(WEEKDAY($A3120,2)&lt;=INDEX('BASE METAS DIÁRIAS'!$X$2:$Z$358,MATCH($A3120,'BASE METAS DIÁRIAS'!$A$2:$A$358,0),2),INDEX('BASE METAS DIÁRIAS'!$U$2:$W$358,MATCH($A3120,'BASE METAS DIÁRIAS'!$A$2:$A$358,0),2),""),"")</f>
        <v/>
      </c>
      <c r="H3120">
        <f>IFERROR(IF(INDEX('CONTROLE PRODUÇÃO POR EMPRESAS'!$H$6:$J$5000,MATCH($A3120,'CONTROLE PRODUÇÃO POR EMPRESAS'!$A$6:$A$5000,0),2)="","",IFERROR(1*INDEX('CONTROLE PRODUÇÃO POR EMPRESAS'!$H$6:$J$5000,MATCH($A3120,'CONTROLE PRODUÇÃO POR EMPRESAS'!$A$6:$A$5000,0),2),"")),"")</f>
        <v/>
      </c>
      <c r="I3120">
        <f>IF(OR(NOT(ISNUMBER(G3120)),NOT(ISNUMBER(H3120))),"",H3120-G3120)</f>
        <v/>
      </c>
      <c r="J3120">
        <f>IF(OR(NOT(ISNUMBER(G3120)),NOT(ISNUMBER(H3120)),G3120=0),"",I3120/G3120)</f>
        <v/>
      </c>
      <c r="K3120">
        <f>IF(OR(NOT(ISNUMBER(G3120)),NOT(ISNUMBER(H3120)),G3120=0),"",H3120/G3120)</f>
        <v/>
      </c>
      <c r="L3120">
        <f>IF(NOT(ISNUMBER(G3120)),"SEM META",IF(G3120=0,"SEM META",IF(NOT(ISNUMBER(H3120)),"SEM APONTAMENTO",IF(H3120&gt;=G3120,"VERDE",IF(H3120&gt;=G3120*0.9,"AMARELO","VERMELHO")))))</f>
        <v/>
      </c>
    </row>
    <row r="3121">
      <c r="A3121" s="321" t="n">
        <v>46548</v>
      </c>
      <c r="B3121" t="inlineStr">
        <is>
          <t>GERAL</t>
        </is>
      </c>
      <c r="C3121" t="inlineStr">
        <is>
          <t>GLOBO AÇOS</t>
        </is>
      </c>
      <c r="D3121" t="inlineStr">
        <is>
          <t>FECHAMENTO</t>
        </is>
      </c>
      <c r="F3121">
        <f>IFERROR(INDEX('BASE METAS DIÁRIAS'!$AA$2:$AC$358,MATCH($A3121,'BASE METAS DIÁRIAS'!$A$2:$A$358,0),3),"")</f>
        <v/>
      </c>
      <c r="G3121">
        <f>IFERROR(IF(WEEKDAY($A3121,2)&lt;=INDEX('BASE METAS DIÁRIAS'!$X$2:$Z$358,MATCH($A3121,'BASE METAS DIÁRIAS'!$A$2:$A$358,0),3),INDEX('BASE METAS DIÁRIAS'!$U$2:$W$358,MATCH($A3121,'BASE METAS DIÁRIAS'!$A$2:$A$358,0),3),""),"")</f>
        <v/>
      </c>
      <c r="H3121">
        <f>IFERROR(IF(INDEX('CONTROLE PRODUÇÃO POR EMPRESAS'!$H$6:$J$5000,MATCH($A3121,'CONTROLE PRODUÇÃO POR EMPRESAS'!$A$6:$A$5000,0),3)="","",IFERROR(1*INDEX('CONTROLE PRODUÇÃO POR EMPRESAS'!$H$6:$J$5000,MATCH($A3121,'CONTROLE PRODUÇÃO POR EMPRESAS'!$A$6:$A$5000,0),3),"")),"")</f>
        <v/>
      </c>
      <c r="I3121">
        <f>IF(OR(NOT(ISNUMBER(G3121)),NOT(ISNUMBER(H3121))),"",H3121-G3121)</f>
        <v/>
      </c>
      <c r="J3121">
        <f>IF(OR(NOT(ISNUMBER(G3121)),NOT(ISNUMBER(H3121)),G3121=0),"",I3121/G3121)</f>
        <v/>
      </c>
      <c r="K3121">
        <f>IF(OR(NOT(ISNUMBER(G3121)),NOT(ISNUMBER(H3121)),G3121=0),"",H3121/G3121)</f>
        <v/>
      </c>
      <c r="L3121">
        <f>IF(NOT(ISNUMBER(G3121)),"SEM META",IF(G3121=0,"SEM META",IF(NOT(ISNUMBER(H3121)),"SEM APONTAMENTO",IF(H3121&gt;=G3121,"VERDE",IF(H3121&gt;=G3121*0.9,"AMARELO","VERMELHO")))))</f>
        <v/>
      </c>
    </row>
    <row r="3122">
      <c r="A3122" s="321" t="n">
        <v>46549</v>
      </c>
      <c r="B3122" t="inlineStr">
        <is>
          <t>GERAL</t>
        </is>
      </c>
      <c r="C3122" t="inlineStr">
        <is>
          <t>GLOBO AÇOS</t>
        </is>
      </c>
      <c r="D3122" t="inlineStr">
        <is>
          <t>PERFILAÇÃO</t>
        </is>
      </c>
      <c r="F3122">
        <f>IFERROR(INDEX('BASE METAS DIÁRIAS'!$AA$2:$AC$358,MATCH($A3122,'BASE METAS DIÁRIAS'!$A$2:$A$358,0),1),"")</f>
        <v/>
      </c>
      <c r="G3122">
        <f>IFERROR(IF(WEEKDAY($A3122,2)&lt;=INDEX('BASE METAS DIÁRIAS'!$X$2:$Z$358,MATCH($A3122,'BASE METAS DIÁRIAS'!$A$2:$A$358,0),1),INDEX('BASE METAS DIÁRIAS'!$U$2:$W$358,MATCH($A3122,'BASE METAS DIÁRIAS'!$A$2:$A$358,0),1),""),"")</f>
        <v/>
      </c>
      <c r="H3122">
        <f>IFERROR(IF(INDEX('CONTROLE PRODUÇÃO POR EMPRESAS'!$H$6:$J$5000,MATCH($A3122,'CONTROLE PRODUÇÃO POR EMPRESAS'!$A$6:$A$5000,0),1)="","",IFERROR(1*INDEX('CONTROLE PRODUÇÃO POR EMPRESAS'!$H$6:$J$5000,MATCH($A3122,'CONTROLE PRODUÇÃO POR EMPRESAS'!$A$6:$A$5000,0),1),"")),"")</f>
        <v/>
      </c>
      <c r="I3122">
        <f>IF(OR(NOT(ISNUMBER(G3122)),NOT(ISNUMBER(H3122))),"",H3122-G3122)</f>
        <v/>
      </c>
      <c r="J3122">
        <f>IF(OR(NOT(ISNUMBER(G3122)),NOT(ISNUMBER(H3122)),G3122=0),"",I3122/G3122)</f>
        <v/>
      </c>
      <c r="K3122">
        <f>IF(OR(NOT(ISNUMBER(G3122)),NOT(ISNUMBER(H3122)),G3122=0),"",H3122/G3122)</f>
        <v/>
      </c>
      <c r="L3122">
        <f>IF(NOT(ISNUMBER(G3122)),"SEM META",IF(G3122=0,"SEM META",IF(NOT(ISNUMBER(H3122)),"SEM APONTAMENTO",IF(H3122&gt;=G3122,"VERDE",IF(H3122&gt;=G3122*0.9,"AMARELO","VERMELHO")))))</f>
        <v/>
      </c>
    </row>
    <row r="3123">
      <c r="A3123" s="321" t="n">
        <v>46549</v>
      </c>
      <c r="B3123" t="inlineStr">
        <is>
          <t>GERAL</t>
        </is>
      </c>
      <c r="C3123" t="inlineStr">
        <is>
          <t>GLOBO AÇOS</t>
        </is>
      </c>
      <c r="D3123" t="inlineStr">
        <is>
          <t>TELHAR</t>
        </is>
      </c>
      <c r="F3123">
        <f>IFERROR(INDEX('BASE METAS DIÁRIAS'!$AA$2:$AC$358,MATCH($A3123,'BASE METAS DIÁRIAS'!$A$2:$A$358,0),2),"")</f>
        <v/>
      </c>
      <c r="G3123">
        <f>IFERROR(IF(WEEKDAY($A3123,2)&lt;=INDEX('BASE METAS DIÁRIAS'!$X$2:$Z$358,MATCH($A3123,'BASE METAS DIÁRIAS'!$A$2:$A$358,0),2),INDEX('BASE METAS DIÁRIAS'!$U$2:$W$358,MATCH($A3123,'BASE METAS DIÁRIAS'!$A$2:$A$358,0),2),""),"")</f>
        <v/>
      </c>
      <c r="H3123">
        <f>IFERROR(IF(INDEX('CONTROLE PRODUÇÃO POR EMPRESAS'!$H$6:$J$5000,MATCH($A3123,'CONTROLE PRODUÇÃO POR EMPRESAS'!$A$6:$A$5000,0),2)="","",IFERROR(1*INDEX('CONTROLE PRODUÇÃO POR EMPRESAS'!$H$6:$J$5000,MATCH($A3123,'CONTROLE PRODUÇÃO POR EMPRESAS'!$A$6:$A$5000,0),2),"")),"")</f>
        <v/>
      </c>
      <c r="I3123">
        <f>IF(OR(NOT(ISNUMBER(G3123)),NOT(ISNUMBER(H3123))),"",H3123-G3123)</f>
        <v/>
      </c>
      <c r="J3123">
        <f>IF(OR(NOT(ISNUMBER(G3123)),NOT(ISNUMBER(H3123)),G3123=0),"",I3123/G3123)</f>
        <v/>
      </c>
      <c r="K3123">
        <f>IF(OR(NOT(ISNUMBER(G3123)),NOT(ISNUMBER(H3123)),G3123=0),"",H3123/G3123)</f>
        <v/>
      </c>
      <c r="L3123">
        <f>IF(NOT(ISNUMBER(G3123)),"SEM META",IF(G3123=0,"SEM META",IF(NOT(ISNUMBER(H3123)),"SEM APONTAMENTO",IF(H3123&gt;=G3123,"VERDE",IF(H3123&gt;=G3123*0.9,"AMARELO","VERMELHO")))))</f>
        <v/>
      </c>
    </row>
    <row r="3124">
      <c r="A3124" s="321" t="n">
        <v>46549</v>
      </c>
      <c r="B3124" t="inlineStr">
        <is>
          <t>GERAL</t>
        </is>
      </c>
      <c r="C3124" t="inlineStr">
        <is>
          <t>GLOBO AÇOS</t>
        </is>
      </c>
      <c r="D3124" t="inlineStr">
        <is>
          <t>FECHAMENTO</t>
        </is>
      </c>
      <c r="F3124">
        <f>IFERROR(INDEX('BASE METAS DIÁRIAS'!$AA$2:$AC$358,MATCH($A3124,'BASE METAS DIÁRIAS'!$A$2:$A$358,0),3),"")</f>
        <v/>
      </c>
      <c r="G3124">
        <f>IFERROR(IF(WEEKDAY($A3124,2)&lt;=INDEX('BASE METAS DIÁRIAS'!$X$2:$Z$358,MATCH($A3124,'BASE METAS DIÁRIAS'!$A$2:$A$358,0),3),INDEX('BASE METAS DIÁRIAS'!$U$2:$W$358,MATCH($A3124,'BASE METAS DIÁRIAS'!$A$2:$A$358,0),3),""),"")</f>
        <v/>
      </c>
      <c r="H3124">
        <f>IFERROR(IF(INDEX('CONTROLE PRODUÇÃO POR EMPRESAS'!$H$6:$J$5000,MATCH($A3124,'CONTROLE PRODUÇÃO POR EMPRESAS'!$A$6:$A$5000,0),3)="","",IFERROR(1*INDEX('CONTROLE PRODUÇÃO POR EMPRESAS'!$H$6:$J$5000,MATCH($A3124,'CONTROLE PRODUÇÃO POR EMPRESAS'!$A$6:$A$5000,0),3),"")),"")</f>
        <v/>
      </c>
      <c r="I3124">
        <f>IF(OR(NOT(ISNUMBER(G3124)),NOT(ISNUMBER(H3124))),"",H3124-G3124)</f>
        <v/>
      </c>
      <c r="J3124">
        <f>IF(OR(NOT(ISNUMBER(G3124)),NOT(ISNUMBER(H3124)),G3124=0),"",I3124/G3124)</f>
        <v/>
      </c>
      <c r="K3124">
        <f>IF(OR(NOT(ISNUMBER(G3124)),NOT(ISNUMBER(H3124)),G3124=0),"",H3124/G3124)</f>
        <v/>
      </c>
      <c r="L3124">
        <f>IF(NOT(ISNUMBER(G3124)),"SEM META",IF(G3124=0,"SEM META",IF(NOT(ISNUMBER(H3124)),"SEM APONTAMENTO",IF(H3124&gt;=G3124,"VERDE",IF(H3124&gt;=G3124*0.9,"AMARELO","VERMELHO")))))</f>
        <v/>
      </c>
    </row>
    <row r="3125">
      <c r="A3125" s="321" t="n">
        <v>46550</v>
      </c>
      <c r="B3125" t="inlineStr">
        <is>
          <t>GERAL</t>
        </is>
      </c>
      <c r="C3125" t="inlineStr">
        <is>
          <t>GLOBO AÇOS</t>
        </is>
      </c>
      <c r="D3125" t="inlineStr">
        <is>
          <t>PERFILAÇÃO</t>
        </is>
      </c>
      <c r="F3125">
        <f>IFERROR(INDEX('BASE METAS DIÁRIAS'!$AA$2:$AC$358,MATCH($A3125,'BASE METAS DIÁRIAS'!$A$2:$A$358,0),1),"")</f>
        <v/>
      </c>
      <c r="G3125">
        <f>IFERROR(IF(WEEKDAY($A3125,2)&lt;=INDEX('BASE METAS DIÁRIAS'!$X$2:$Z$358,MATCH($A3125,'BASE METAS DIÁRIAS'!$A$2:$A$358,0),1),INDEX('BASE METAS DIÁRIAS'!$U$2:$W$358,MATCH($A3125,'BASE METAS DIÁRIAS'!$A$2:$A$358,0),1),""),"")</f>
        <v/>
      </c>
      <c r="H3125">
        <f>IFERROR(IF(INDEX('CONTROLE PRODUÇÃO POR EMPRESAS'!$H$6:$J$5000,MATCH($A3125,'CONTROLE PRODUÇÃO POR EMPRESAS'!$A$6:$A$5000,0),1)="","",IFERROR(1*INDEX('CONTROLE PRODUÇÃO POR EMPRESAS'!$H$6:$J$5000,MATCH($A3125,'CONTROLE PRODUÇÃO POR EMPRESAS'!$A$6:$A$5000,0),1),"")),"")</f>
        <v/>
      </c>
      <c r="I3125">
        <f>IF(OR(NOT(ISNUMBER(G3125)),NOT(ISNUMBER(H3125))),"",H3125-G3125)</f>
        <v/>
      </c>
      <c r="J3125">
        <f>IF(OR(NOT(ISNUMBER(G3125)),NOT(ISNUMBER(H3125)),G3125=0),"",I3125/G3125)</f>
        <v/>
      </c>
      <c r="K3125">
        <f>IF(OR(NOT(ISNUMBER(G3125)),NOT(ISNUMBER(H3125)),G3125=0),"",H3125/G3125)</f>
        <v/>
      </c>
      <c r="L3125">
        <f>IF(NOT(ISNUMBER(G3125)),"SEM META",IF(G3125=0,"SEM META",IF(NOT(ISNUMBER(H3125)),"SEM APONTAMENTO",IF(H3125&gt;=G3125,"VERDE",IF(H3125&gt;=G3125*0.9,"AMARELO","VERMELHO")))))</f>
        <v/>
      </c>
    </row>
    <row r="3126">
      <c r="A3126" s="321" t="n">
        <v>46550</v>
      </c>
      <c r="B3126" t="inlineStr">
        <is>
          <t>GERAL</t>
        </is>
      </c>
      <c r="C3126" t="inlineStr">
        <is>
          <t>GLOBO AÇOS</t>
        </is>
      </c>
      <c r="D3126" t="inlineStr">
        <is>
          <t>TELHAR</t>
        </is>
      </c>
      <c r="F3126">
        <f>IFERROR(INDEX('BASE METAS DIÁRIAS'!$AA$2:$AC$358,MATCH($A3126,'BASE METAS DIÁRIAS'!$A$2:$A$358,0),2),"")</f>
        <v/>
      </c>
      <c r="G3126">
        <f>IFERROR(IF(WEEKDAY($A3126,2)&lt;=INDEX('BASE METAS DIÁRIAS'!$X$2:$Z$358,MATCH($A3126,'BASE METAS DIÁRIAS'!$A$2:$A$358,0),2),INDEX('BASE METAS DIÁRIAS'!$U$2:$W$358,MATCH($A3126,'BASE METAS DIÁRIAS'!$A$2:$A$358,0),2),""),"")</f>
        <v/>
      </c>
      <c r="H3126">
        <f>IFERROR(IF(INDEX('CONTROLE PRODUÇÃO POR EMPRESAS'!$H$6:$J$5000,MATCH($A3126,'CONTROLE PRODUÇÃO POR EMPRESAS'!$A$6:$A$5000,0),2)="","",IFERROR(1*INDEX('CONTROLE PRODUÇÃO POR EMPRESAS'!$H$6:$J$5000,MATCH($A3126,'CONTROLE PRODUÇÃO POR EMPRESAS'!$A$6:$A$5000,0),2),"")),"")</f>
        <v/>
      </c>
      <c r="I3126">
        <f>IF(OR(NOT(ISNUMBER(G3126)),NOT(ISNUMBER(H3126))),"",H3126-G3126)</f>
        <v/>
      </c>
      <c r="J3126">
        <f>IF(OR(NOT(ISNUMBER(G3126)),NOT(ISNUMBER(H3126)),G3126=0),"",I3126/G3126)</f>
        <v/>
      </c>
      <c r="K3126">
        <f>IF(OR(NOT(ISNUMBER(G3126)),NOT(ISNUMBER(H3126)),G3126=0),"",H3126/G3126)</f>
        <v/>
      </c>
      <c r="L3126">
        <f>IF(NOT(ISNUMBER(G3126)),"SEM META",IF(G3126=0,"SEM META",IF(NOT(ISNUMBER(H3126)),"SEM APONTAMENTO",IF(H3126&gt;=G3126,"VERDE",IF(H3126&gt;=G3126*0.9,"AMARELO","VERMELHO")))))</f>
        <v/>
      </c>
    </row>
    <row r="3127">
      <c r="A3127" s="321" t="n">
        <v>46550</v>
      </c>
      <c r="B3127" t="inlineStr">
        <is>
          <t>GERAL</t>
        </is>
      </c>
      <c r="C3127" t="inlineStr">
        <is>
          <t>GLOBO AÇOS</t>
        </is>
      </c>
      <c r="D3127" t="inlineStr">
        <is>
          <t>FECHAMENTO</t>
        </is>
      </c>
      <c r="F3127">
        <f>IFERROR(INDEX('BASE METAS DIÁRIAS'!$AA$2:$AC$358,MATCH($A3127,'BASE METAS DIÁRIAS'!$A$2:$A$358,0),3),"")</f>
        <v/>
      </c>
      <c r="G3127">
        <f>IFERROR(IF(WEEKDAY($A3127,2)&lt;=INDEX('BASE METAS DIÁRIAS'!$X$2:$Z$358,MATCH($A3127,'BASE METAS DIÁRIAS'!$A$2:$A$358,0),3),INDEX('BASE METAS DIÁRIAS'!$U$2:$W$358,MATCH($A3127,'BASE METAS DIÁRIAS'!$A$2:$A$358,0),3),""),"")</f>
        <v/>
      </c>
      <c r="H3127">
        <f>IFERROR(IF(INDEX('CONTROLE PRODUÇÃO POR EMPRESAS'!$H$6:$J$5000,MATCH($A3127,'CONTROLE PRODUÇÃO POR EMPRESAS'!$A$6:$A$5000,0),3)="","",IFERROR(1*INDEX('CONTROLE PRODUÇÃO POR EMPRESAS'!$H$6:$J$5000,MATCH($A3127,'CONTROLE PRODUÇÃO POR EMPRESAS'!$A$6:$A$5000,0),3),"")),"")</f>
        <v/>
      </c>
      <c r="I3127">
        <f>IF(OR(NOT(ISNUMBER(G3127)),NOT(ISNUMBER(H3127))),"",H3127-G3127)</f>
        <v/>
      </c>
      <c r="J3127">
        <f>IF(OR(NOT(ISNUMBER(G3127)),NOT(ISNUMBER(H3127)),G3127=0),"",I3127/G3127)</f>
        <v/>
      </c>
      <c r="K3127">
        <f>IF(OR(NOT(ISNUMBER(G3127)),NOT(ISNUMBER(H3127)),G3127=0),"",H3127/G3127)</f>
        <v/>
      </c>
      <c r="L3127">
        <f>IF(NOT(ISNUMBER(G3127)),"SEM META",IF(G3127=0,"SEM META",IF(NOT(ISNUMBER(H3127)),"SEM APONTAMENTO",IF(H3127&gt;=G3127,"VERDE",IF(H3127&gt;=G3127*0.9,"AMARELO","VERMELHO")))))</f>
        <v/>
      </c>
    </row>
    <row r="3128">
      <c r="A3128" s="321" t="n">
        <v>46551</v>
      </c>
      <c r="B3128" t="inlineStr">
        <is>
          <t>GERAL</t>
        </is>
      </c>
      <c r="C3128" t="inlineStr">
        <is>
          <t>GLOBO AÇOS</t>
        </is>
      </c>
      <c r="D3128" t="inlineStr">
        <is>
          <t>PERFILAÇÃO</t>
        </is>
      </c>
      <c r="F3128">
        <f>IFERROR(INDEX('BASE METAS DIÁRIAS'!$AA$2:$AC$358,MATCH($A3128,'BASE METAS DIÁRIAS'!$A$2:$A$358,0),1),"")</f>
        <v/>
      </c>
      <c r="G3128">
        <f>IFERROR(IF(WEEKDAY($A3128,2)&lt;=INDEX('BASE METAS DIÁRIAS'!$X$2:$Z$358,MATCH($A3128,'BASE METAS DIÁRIAS'!$A$2:$A$358,0),1),INDEX('BASE METAS DIÁRIAS'!$U$2:$W$358,MATCH($A3128,'BASE METAS DIÁRIAS'!$A$2:$A$358,0),1),""),"")</f>
        <v/>
      </c>
      <c r="H3128">
        <f>IFERROR(IF(INDEX('CONTROLE PRODUÇÃO POR EMPRESAS'!$H$6:$J$5000,MATCH($A3128,'CONTROLE PRODUÇÃO POR EMPRESAS'!$A$6:$A$5000,0),1)="","",IFERROR(1*INDEX('CONTROLE PRODUÇÃO POR EMPRESAS'!$H$6:$J$5000,MATCH($A3128,'CONTROLE PRODUÇÃO POR EMPRESAS'!$A$6:$A$5000,0),1),"")),"")</f>
        <v/>
      </c>
      <c r="I3128">
        <f>IF(OR(NOT(ISNUMBER(G3128)),NOT(ISNUMBER(H3128))),"",H3128-G3128)</f>
        <v/>
      </c>
      <c r="J3128">
        <f>IF(OR(NOT(ISNUMBER(G3128)),NOT(ISNUMBER(H3128)),G3128=0),"",I3128/G3128)</f>
        <v/>
      </c>
      <c r="K3128">
        <f>IF(OR(NOT(ISNUMBER(G3128)),NOT(ISNUMBER(H3128)),G3128=0),"",H3128/G3128)</f>
        <v/>
      </c>
      <c r="L3128">
        <f>IF(NOT(ISNUMBER(G3128)),"SEM META",IF(G3128=0,"SEM META",IF(NOT(ISNUMBER(H3128)),"SEM APONTAMENTO",IF(H3128&gt;=G3128,"VERDE",IF(H3128&gt;=G3128*0.9,"AMARELO","VERMELHO")))))</f>
        <v/>
      </c>
    </row>
    <row r="3129">
      <c r="A3129" s="321" t="n">
        <v>46551</v>
      </c>
      <c r="B3129" t="inlineStr">
        <is>
          <t>GERAL</t>
        </is>
      </c>
      <c r="C3129" t="inlineStr">
        <is>
          <t>GLOBO AÇOS</t>
        </is>
      </c>
      <c r="D3129" t="inlineStr">
        <is>
          <t>TELHAR</t>
        </is>
      </c>
      <c r="F3129">
        <f>IFERROR(INDEX('BASE METAS DIÁRIAS'!$AA$2:$AC$358,MATCH($A3129,'BASE METAS DIÁRIAS'!$A$2:$A$358,0),2),"")</f>
        <v/>
      </c>
      <c r="G3129">
        <f>IFERROR(IF(WEEKDAY($A3129,2)&lt;=INDEX('BASE METAS DIÁRIAS'!$X$2:$Z$358,MATCH($A3129,'BASE METAS DIÁRIAS'!$A$2:$A$358,0),2),INDEX('BASE METAS DIÁRIAS'!$U$2:$W$358,MATCH($A3129,'BASE METAS DIÁRIAS'!$A$2:$A$358,0),2),""),"")</f>
        <v/>
      </c>
      <c r="H3129">
        <f>IFERROR(IF(INDEX('CONTROLE PRODUÇÃO POR EMPRESAS'!$H$6:$J$5000,MATCH($A3129,'CONTROLE PRODUÇÃO POR EMPRESAS'!$A$6:$A$5000,0),2)="","",IFERROR(1*INDEX('CONTROLE PRODUÇÃO POR EMPRESAS'!$H$6:$J$5000,MATCH($A3129,'CONTROLE PRODUÇÃO POR EMPRESAS'!$A$6:$A$5000,0),2),"")),"")</f>
        <v/>
      </c>
      <c r="I3129">
        <f>IF(OR(NOT(ISNUMBER(G3129)),NOT(ISNUMBER(H3129))),"",H3129-G3129)</f>
        <v/>
      </c>
      <c r="J3129">
        <f>IF(OR(NOT(ISNUMBER(G3129)),NOT(ISNUMBER(H3129)),G3129=0),"",I3129/G3129)</f>
        <v/>
      </c>
      <c r="K3129">
        <f>IF(OR(NOT(ISNUMBER(G3129)),NOT(ISNUMBER(H3129)),G3129=0),"",H3129/G3129)</f>
        <v/>
      </c>
      <c r="L3129">
        <f>IF(NOT(ISNUMBER(G3129)),"SEM META",IF(G3129=0,"SEM META",IF(NOT(ISNUMBER(H3129)),"SEM APONTAMENTO",IF(H3129&gt;=G3129,"VERDE",IF(H3129&gt;=G3129*0.9,"AMARELO","VERMELHO")))))</f>
        <v/>
      </c>
    </row>
    <row r="3130">
      <c r="A3130" s="321" t="n">
        <v>46551</v>
      </c>
      <c r="B3130" t="inlineStr">
        <is>
          <t>GERAL</t>
        </is>
      </c>
      <c r="C3130" t="inlineStr">
        <is>
          <t>GLOBO AÇOS</t>
        </is>
      </c>
      <c r="D3130" t="inlineStr">
        <is>
          <t>FECHAMENTO</t>
        </is>
      </c>
      <c r="F3130">
        <f>IFERROR(INDEX('BASE METAS DIÁRIAS'!$AA$2:$AC$358,MATCH($A3130,'BASE METAS DIÁRIAS'!$A$2:$A$358,0),3),"")</f>
        <v/>
      </c>
      <c r="G3130">
        <f>IFERROR(IF(WEEKDAY($A3130,2)&lt;=INDEX('BASE METAS DIÁRIAS'!$X$2:$Z$358,MATCH($A3130,'BASE METAS DIÁRIAS'!$A$2:$A$358,0),3),INDEX('BASE METAS DIÁRIAS'!$U$2:$W$358,MATCH($A3130,'BASE METAS DIÁRIAS'!$A$2:$A$358,0),3),""),"")</f>
        <v/>
      </c>
      <c r="H3130">
        <f>IFERROR(IF(INDEX('CONTROLE PRODUÇÃO POR EMPRESAS'!$H$6:$J$5000,MATCH($A3130,'CONTROLE PRODUÇÃO POR EMPRESAS'!$A$6:$A$5000,0),3)="","",IFERROR(1*INDEX('CONTROLE PRODUÇÃO POR EMPRESAS'!$H$6:$J$5000,MATCH($A3130,'CONTROLE PRODUÇÃO POR EMPRESAS'!$A$6:$A$5000,0),3),"")),"")</f>
        <v/>
      </c>
      <c r="I3130">
        <f>IF(OR(NOT(ISNUMBER(G3130)),NOT(ISNUMBER(H3130))),"",H3130-G3130)</f>
        <v/>
      </c>
      <c r="J3130">
        <f>IF(OR(NOT(ISNUMBER(G3130)),NOT(ISNUMBER(H3130)),G3130=0),"",I3130/G3130)</f>
        <v/>
      </c>
      <c r="K3130">
        <f>IF(OR(NOT(ISNUMBER(G3130)),NOT(ISNUMBER(H3130)),G3130=0),"",H3130/G3130)</f>
        <v/>
      </c>
      <c r="L3130">
        <f>IF(NOT(ISNUMBER(G3130)),"SEM META",IF(G3130=0,"SEM META",IF(NOT(ISNUMBER(H3130)),"SEM APONTAMENTO",IF(H3130&gt;=G3130,"VERDE",IF(H3130&gt;=G3130*0.9,"AMARELO","VERMELHO")))))</f>
        <v/>
      </c>
    </row>
    <row r="3131">
      <c r="A3131" s="321" t="n">
        <v>46552</v>
      </c>
      <c r="B3131" t="inlineStr">
        <is>
          <t>GERAL</t>
        </is>
      </c>
      <c r="C3131" t="inlineStr">
        <is>
          <t>GLOBO AÇOS</t>
        </is>
      </c>
      <c r="D3131" t="inlineStr">
        <is>
          <t>PERFILAÇÃO</t>
        </is>
      </c>
      <c r="F3131">
        <f>IFERROR(INDEX('BASE METAS DIÁRIAS'!$AA$2:$AC$358,MATCH($A3131,'BASE METAS DIÁRIAS'!$A$2:$A$358,0),1),"")</f>
        <v/>
      </c>
      <c r="G3131">
        <f>IFERROR(IF(WEEKDAY($A3131,2)&lt;=INDEX('BASE METAS DIÁRIAS'!$X$2:$Z$358,MATCH($A3131,'BASE METAS DIÁRIAS'!$A$2:$A$358,0),1),INDEX('BASE METAS DIÁRIAS'!$U$2:$W$358,MATCH($A3131,'BASE METAS DIÁRIAS'!$A$2:$A$358,0),1),""),"")</f>
        <v/>
      </c>
      <c r="H3131">
        <f>IFERROR(IF(INDEX('CONTROLE PRODUÇÃO POR EMPRESAS'!$H$6:$J$5000,MATCH($A3131,'CONTROLE PRODUÇÃO POR EMPRESAS'!$A$6:$A$5000,0),1)="","",IFERROR(1*INDEX('CONTROLE PRODUÇÃO POR EMPRESAS'!$H$6:$J$5000,MATCH($A3131,'CONTROLE PRODUÇÃO POR EMPRESAS'!$A$6:$A$5000,0),1),"")),"")</f>
        <v/>
      </c>
      <c r="I3131">
        <f>IF(OR(NOT(ISNUMBER(G3131)),NOT(ISNUMBER(H3131))),"",H3131-G3131)</f>
        <v/>
      </c>
      <c r="J3131">
        <f>IF(OR(NOT(ISNUMBER(G3131)),NOT(ISNUMBER(H3131)),G3131=0),"",I3131/G3131)</f>
        <v/>
      </c>
      <c r="K3131">
        <f>IF(OR(NOT(ISNUMBER(G3131)),NOT(ISNUMBER(H3131)),G3131=0),"",H3131/G3131)</f>
        <v/>
      </c>
      <c r="L3131">
        <f>IF(NOT(ISNUMBER(G3131)),"SEM META",IF(G3131=0,"SEM META",IF(NOT(ISNUMBER(H3131)),"SEM APONTAMENTO",IF(H3131&gt;=G3131,"VERDE",IF(H3131&gt;=G3131*0.9,"AMARELO","VERMELHO")))))</f>
        <v/>
      </c>
    </row>
    <row r="3132">
      <c r="A3132" s="321" t="n">
        <v>46552</v>
      </c>
      <c r="B3132" t="inlineStr">
        <is>
          <t>GERAL</t>
        </is>
      </c>
      <c r="C3132" t="inlineStr">
        <is>
          <t>GLOBO AÇOS</t>
        </is>
      </c>
      <c r="D3132" t="inlineStr">
        <is>
          <t>TELHAR</t>
        </is>
      </c>
      <c r="F3132">
        <f>IFERROR(INDEX('BASE METAS DIÁRIAS'!$AA$2:$AC$358,MATCH($A3132,'BASE METAS DIÁRIAS'!$A$2:$A$358,0),2),"")</f>
        <v/>
      </c>
      <c r="G3132">
        <f>IFERROR(IF(WEEKDAY($A3132,2)&lt;=INDEX('BASE METAS DIÁRIAS'!$X$2:$Z$358,MATCH($A3132,'BASE METAS DIÁRIAS'!$A$2:$A$358,0),2),INDEX('BASE METAS DIÁRIAS'!$U$2:$W$358,MATCH($A3132,'BASE METAS DIÁRIAS'!$A$2:$A$358,0),2),""),"")</f>
        <v/>
      </c>
      <c r="H3132">
        <f>IFERROR(IF(INDEX('CONTROLE PRODUÇÃO POR EMPRESAS'!$H$6:$J$5000,MATCH($A3132,'CONTROLE PRODUÇÃO POR EMPRESAS'!$A$6:$A$5000,0),2)="","",IFERROR(1*INDEX('CONTROLE PRODUÇÃO POR EMPRESAS'!$H$6:$J$5000,MATCH($A3132,'CONTROLE PRODUÇÃO POR EMPRESAS'!$A$6:$A$5000,0),2),"")),"")</f>
        <v/>
      </c>
      <c r="I3132">
        <f>IF(OR(NOT(ISNUMBER(G3132)),NOT(ISNUMBER(H3132))),"",H3132-G3132)</f>
        <v/>
      </c>
      <c r="J3132">
        <f>IF(OR(NOT(ISNUMBER(G3132)),NOT(ISNUMBER(H3132)),G3132=0),"",I3132/G3132)</f>
        <v/>
      </c>
      <c r="K3132">
        <f>IF(OR(NOT(ISNUMBER(G3132)),NOT(ISNUMBER(H3132)),G3132=0),"",H3132/G3132)</f>
        <v/>
      </c>
      <c r="L3132">
        <f>IF(NOT(ISNUMBER(G3132)),"SEM META",IF(G3132=0,"SEM META",IF(NOT(ISNUMBER(H3132)),"SEM APONTAMENTO",IF(H3132&gt;=G3132,"VERDE",IF(H3132&gt;=G3132*0.9,"AMARELO","VERMELHO")))))</f>
        <v/>
      </c>
    </row>
    <row r="3133">
      <c r="A3133" s="321" t="n">
        <v>46552</v>
      </c>
      <c r="B3133" t="inlineStr">
        <is>
          <t>GERAL</t>
        </is>
      </c>
      <c r="C3133" t="inlineStr">
        <is>
          <t>GLOBO AÇOS</t>
        </is>
      </c>
      <c r="D3133" t="inlineStr">
        <is>
          <t>FECHAMENTO</t>
        </is>
      </c>
      <c r="F3133">
        <f>IFERROR(INDEX('BASE METAS DIÁRIAS'!$AA$2:$AC$358,MATCH($A3133,'BASE METAS DIÁRIAS'!$A$2:$A$358,0),3),"")</f>
        <v/>
      </c>
      <c r="G3133">
        <f>IFERROR(IF(WEEKDAY($A3133,2)&lt;=INDEX('BASE METAS DIÁRIAS'!$X$2:$Z$358,MATCH($A3133,'BASE METAS DIÁRIAS'!$A$2:$A$358,0),3),INDEX('BASE METAS DIÁRIAS'!$U$2:$W$358,MATCH($A3133,'BASE METAS DIÁRIAS'!$A$2:$A$358,0),3),""),"")</f>
        <v/>
      </c>
      <c r="H3133">
        <f>IFERROR(IF(INDEX('CONTROLE PRODUÇÃO POR EMPRESAS'!$H$6:$J$5000,MATCH($A3133,'CONTROLE PRODUÇÃO POR EMPRESAS'!$A$6:$A$5000,0),3)="","",IFERROR(1*INDEX('CONTROLE PRODUÇÃO POR EMPRESAS'!$H$6:$J$5000,MATCH($A3133,'CONTROLE PRODUÇÃO POR EMPRESAS'!$A$6:$A$5000,0),3),"")),"")</f>
        <v/>
      </c>
      <c r="I3133">
        <f>IF(OR(NOT(ISNUMBER(G3133)),NOT(ISNUMBER(H3133))),"",H3133-G3133)</f>
        <v/>
      </c>
      <c r="J3133">
        <f>IF(OR(NOT(ISNUMBER(G3133)),NOT(ISNUMBER(H3133)),G3133=0),"",I3133/G3133)</f>
        <v/>
      </c>
      <c r="K3133">
        <f>IF(OR(NOT(ISNUMBER(G3133)),NOT(ISNUMBER(H3133)),G3133=0),"",H3133/G3133)</f>
        <v/>
      </c>
      <c r="L3133">
        <f>IF(NOT(ISNUMBER(G3133)),"SEM META",IF(G3133=0,"SEM META",IF(NOT(ISNUMBER(H3133)),"SEM APONTAMENTO",IF(H3133&gt;=G3133,"VERDE",IF(H3133&gt;=G3133*0.9,"AMARELO","VERMELHO")))))</f>
        <v/>
      </c>
    </row>
    <row r="3134">
      <c r="A3134" s="321" t="n">
        <v>46553</v>
      </c>
      <c r="B3134" t="inlineStr">
        <is>
          <t>GERAL</t>
        </is>
      </c>
      <c r="C3134" t="inlineStr">
        <is>
          <t>GLOBO AÇOS</t>
        </is>
      </c>
      <c r="D3134" t="inlineStr">
        <is>
          <t>PERFILAÇÃO</t>
        </is>
      </c>
      <c r="F3134">
        <f>IFERROR(INDEX('BASE METAS DIÁRIAS'!$AA$2:$AC$358,MATCH($A3134,'BASE METAS DIÁRIAS'!$A$2:$A$358,0),1),"")</f>
        <v/>
      </c>
      <c r="G3134">
        <f>IFERROR(IF(WEEKDAY($A3134,2)&lt;=INDEX('BASE METAS DIÁRIAS'!$X$2:$Z$358,MATCH($A3134,'BASE METAS DIÁRIAS'!$A$2:$A$358,0),1),INDEX('BASE METAS DIÁRIAS'!$U$2:$W$358,MATCH($A3134,'BASE METAS DIÁRIAS'!$A$2:$A$358,0),1),""),"")</f>
        <v/>
      </c>
      <c r="H3134">
        <f>IFERROR(IF(INDEX('CONTROLE PRODUÇÃO POR EMPRESAS'!$H$6:$J$5000,MATCH($A3134,'CONTROLE PRODUÇÃO POR EMPRESAS'!$A$6:$A$5000,0),1)="","",IFERROR(1*INDEX('CONTROLE PRODUÇÃO POR EMPRESAS'!$H$6:$J$5000,MATCH($A3134,'CONTROLE PRODUÇÃO POR EMPRESAS'!$A$6:$A$5000,0),1),"")),"")</f>
        <v/>
      </c>
      <c r="I3134">
        <f>IF(OR(NOT(ISNUMBER(G3134)),NOT(ISNUMBER(H3134))),"",H3134-G3134)</f>
        <v/>
      </c>
      <c r="J3134">
        <f>IF(OR(NOT(ISNUMBER(G3134)),NOT(ISNUMBER(H3134)),G3134=0),"",I3134/G3134)</f>
        <v/>
      </c>
      <c r="K3134">
        <f>IF(OR(NOT(ISNUMBER(G3134)),NOT(ISNUMBER(H3134)),G3134=0),"",H3134/G3134)</f>
        <v/>
      </c>
      <c r="L3134">
        <f>IF(NOT(ISNUMBER(G3134)),"SEM META",IF(G3134=0,"SEM META",IF(NOT(ISNUMBER(H3134)),"SEM APONTAMENTO",IF(H3134&gt;=G3134,"VERDE",IF(H3134&gt;=G3134*0.9,"AMARELO","VERMELHO")))))</f>
        <v/>
      </c>
    </row>
    <row r="3135">
      <c r="A3135" s="321" t="n">
        <v>46553</v>
      </c>
      <c r="B3135" t="inlineStr">
        <is>
          <t>GERAL</t>
        </is>
      </c>
      <c r="C3135" t="inlineStr">
        <is>
          <t>GLOBO AÇOS</t>
        </is>
      </c>
      <c r="D3135" t="inlineStr">
        <is>
          <t>TELHAR</t>
        </is>
      </c>
      <c r="F3135">
        <f>IFERROR(INDEX('BASE METAS DIÁRIAS'!$AA$2:$AC$358,MATCH($A3135,'BASE METAS DIÁRIAS'!$A$2:$A$358,0),2),"")</f>
        <v/>
      </c>
      <c r="G3135">
        <f>IFERROR(IF(WEEKDAY($A3135,2)&lt;=INDEX('BASE METAS DIÁRIAS'!$X$2:$Z$358,MATCH($A3135,'BASE METAS DIÁRIAS'!$A$2:$A$358,0),2),INDEX('BASE METAS DIÁRIAS'!$U$2:$W$358,MATCH($A3135,'BASE METAS DIÁRIAS'!$A$2:$A$358,0),2),""),"")</f>
        <v/>
      </c>
      <c r="H3135">
        <f>IFERROR(IF(INDEX('CONTROLE PRODUÇÃO POR EMPRESAS'!$H$6:$J$5000,MATCH($A3135,'CONTROLE PRODUÇÃO POR EMPRESAS'!$A$6:$A$5000,0),2)="","",IFERROR(1*INDEX('CONTROLE PRODUÇÃO POR EMPRESAS'!$H$6:$J$5000,MATCH($A3135,'CONTROLE PRODUÇÃO POR EMPRESAS'!$A$6:$A$5000,0),2),"")),"")</f>
        <v/>
      </c>
      <c r="I3135">
        <f>IF(OR(NOT(ISNUMBER(G3135)),NOT(ISNUMBER(H3135))),"",H3135-G3135)</f>
        <v/>
      </c>
      <c r="J3135">
        <f>IF(OR(NOT(ISNUMBER(G3135)),NOT(ISNUMBER(H3135)),G3135=0),"",I3135/G3135)</f>
        <v/>
      </c>
      <c r="K3135">
        <f>IF(OR(NOT(ISNUMBER(G3135)),NOT(ISNUMBER(H3135)),G3135=0),"",H3135/G3135)</f>
        <v/>
      </c>
      <c r="L3135">
        <f>IF(NOT(ISNUMBER(G3135)),"SEM META",IF(G3135=0,"SEM META",IF(NOT(ISNUMBER(H3135)),"SEM APONTAMENTO",IF(H3135&gt;=G3135,"VERDE",IF(H3135&gt;=G3135*0.9,"AMARELO","VERMELHO")))))</f>
        <v/>
      </c>
    </row>
    <row r="3136">
      <c r="A3136" s="321" t="n">
        <v>46553</v>
      </c>
      <c r="B3136" t="inlineStr">
        <is>
          <t>GERAL</t>
        </is>
      </c>
      <c r="C3136" t="inlineStr">
        <is>
          <t>GLOBO AÇOS</t>
        </is>
      </c>
      <c r="D3136" t="inlineStr">
        <is>
          <t>FECHAMENTO</t>
        </is>
      </c>
      <c r="F3136">
        <f>IFERROR(INDEX('BASE METAS DIÁRIAS'!$AA$2:$AC$358,MATCH($A3136,'BASE METAS DIÁRIAS'!$A$2:$A$358,0),3),"")</f>
        <v/>
      </c>
      <c r="G3136">
        <f>IFERROR(IF(WEEKDAY($A3136,2)&lt;=INDEX('BASE METAS DIÁRIAS'!$X$2:$Z$358,MATCH($A3136,'BASE METAS DIÁRIAS'!$A$2:$A$358,0),3),INDEX('BASE METAS DIÁRIAS'!$U$2:$W$358,MATCH($A3136,'BASE METAS DIÁRIAS'!$A$2:$A$358,0),3),""),"")</f>
        <v/>
      </c>
      <c r="H3136">
        <f>IFERROR(IF(INDEX('CONTROLE PRODUÇÃO POR EMPRESAS'!$H$6:$J$5000,MATCH($A3136,'CONTROLE PRODUÇÃO POR EMPRESAS'!$A$6:$A$5000,0),3)="","",IFERROR(1*INDEX('CONTROLE PRODUÇÃO POR EMPRESAS'!$H$6:$J$5000,MATCH($A3136,'CONTROLE PRODUÇÃO POR EMPRESAS'!$A$6:$A$5000,0),3),"")),"")</f>
        <v/>
      </c>
      <c r="I3136">
        <f>IF(OR(NOT(ISNUMBER(G3136)),NOT(ISNUMBER(H3136))),"",H3136-G3136)</f>
        <v/>
      </c>
      <c r="J3136">
        <f>IF(OR(NOT(ISNUMBER(G3136)),NOT(ISNUMBER(H3136)),G3136=0),"",I3136/G3136)</f>
        <v/>
      </c>
      <c r="K3136">
        <f>IF(OR(NOT(ISNUMBER(G3136)),NOT(ISNUMBER(H3136)),G3136=0),"",H3136/G3136)</f>
        <v/>
      </c>
      <c r="L3136">
        <f>IF(NOT(ISNUMBER(G3136)),"SEM META",IF(G3136=0,"SEM META",IF(NOT(ISNUMBER(H3136)),"SEM APONTAMENTO",IF(H3136&gt;=G3136,"VERDE",IF(H3136&gt;=G3136*0.9,"AMARELO","VERMELHO")))))</f>
        <v/>
      </c>
    </row>
    <row r="3137">
      <c r="A3137" s="321" t="n">
        <v>46554</v>
      </c>
      <c r="B3137" t="inlineStr">
        <is>
          <t>GERAL</t>
        </is>
      </c>
      <c r="C3137" t="inlineStr">
        <is>
          <t>GLOBO AÇOS</t>
        </is>
      </c>
      <c r="D3137" t="inlineStr">
        <is>
          <t>PERFILAÇÃO</t>
        </is>
      </c>
      <c r="F3137">
        <f>IFERROR(INDEX('BASE METAS DIÁRIAS'!$AA$2:$AC$358,MATCH($A3137,'BASE METAS DIÁRIAS'!$A$2:$A$358,0),1),"")</f>
        <v/>
      </c>
      <c r="G3137">
        <f>IFERROR(IF(WEEKDAY($A3137,2)&lt;=INDEX('BASE METAS DIÁRIAS'!$X$2:$Z$358,MATCH($A3137,'BASE METAS DIÁRIAS'!$A$2:$A$358,0),1),INDEX('BASE METAS DIÁRIAS'!$U$2:$W$358,MATCH($A3137,'BASE METAS DIÁRIAS'!$A$2:$A$358,0),1),""),"")</f>
        <v/>
      </c>
      <c r="H3137">
        <f>IFERROR(IF(INDEX('CONTROLE PRODUÇÃO POR EMPRESAS'!$H$6:$J$5000,MATCH($A3137,'CONTROLE PRODUÇÃO POR EMPRESAS'!$A$6:$A$5000,0),1)="","",IFERROR(1*INDEX('CONTROLE PRODUÇÃO POR EMPRESAS'!$H$6:$J$5000,MATCH($A3137,'CONTROLE PRODUÇÃO POR EMPRESAS'!$A$6:$A$5000,0),1),"")),"")</f>
        <v/>
      </c>
      <c r="I3137">
        <f>IF(OR(NOT(ISNUMBER(G3137)),NOT(ISNUMBER(H3137))),"",H3137-G3137)</f>
        <v/>
      </c>
      <c r="J3137">
        <f>IF(OR(NOT(ISNUMBER(G3137)),NOT(ISNUMBER(H3137)),G3137=0),"",I3137/G3137)</f>
        <v/>
      </c>
      <c r="K3137">
        <f>IF(OR(NOT(ISNUMBER(G3137)),NOT(ISNUMBER(H3137)),G3137=0),"",H3137/G3137)</f>
        <v/>
      </c>
      <c r="L3137">
        <f>IF(NOT(ISNUMBER(G3137)),"SEM META",IF(G3137=0,"SEM META",IF(NOT(ISNUMBER(H3137)),"SEM APONTAMENTO",IF(H3137&gt;=G3137,"VERDE",IF(H3137&gt;=G3137*0.9,"AMARELO","VERMELHO")))))</f>
        <v/>
      </c>
    </row>
    <row r="3138">
      <c r="A3138" s="321" t="n">
        <v>46554</v>
      </c>
      <c r="B3138" t="inlineStr">
        <is>
          <t>GERAL</t>
        </is>
      </c>
      <c r="C3138" t="inlineStr">
        <is>
          <t>GLOBO AÇOS</t>
        </is>
      </c>
      <c r="D3138" t="inlineStr">
        <is>
          <t>TELHAR</t>
        </is>
      </c>
      <c r="F3138">
        <f>IFERROR(INDEX('BASE METAS DIÁRIAS'!$AA$2:$AC$358,MATCH($A3138,'BASE METAS DIÁRIAS'!$A$2:$A$358,0),2),"")</f>
        <v/>
      </c>
      <c r="G3138">
        <f>IFERROR(IF(WEEKDAY($A3138,2)&lt;=INDEX('BASE METAS DIÁRIAS'!$X$2:$Z$358,MATCH($A3138,'BASE METAS DIÁRIAS'!$A$2:$A$358,0),2),INDEX('BASE METAS DIÁRIAS'!$U$2:$W$358,MATCH($A3138,'BASE METAS DIÁRIAS'!$A$2:$A$358,0),2),""),"")</f>
        <v/>
      </c>
      <c r="H3138">
        <f>IFERROR(IF(INDEX('CONTROLE PRODUÇÃO POR EMPRESAS'!$H$6:$J$5000,MATCH($A3138,'CONTROLE PRODUÇÃO POR EMPRESAS'!$A$6:$A$5000,0),2)="","",IFERROR(1*INDEX('CONTROLE PRODUÇÃO POR EMPRESAS'!$H$6:$J$5000,MATCH($A3138,'CONTROLE PRODUÇÃO POR EMPRESAS'!$A$6:$A$5000,0),2),"")),"")</f>
        <v/>
      </c>
      <c r="I3138">
        <f>IF(OR(NOT(ISNUMBER(G3138)),NOT(ISNUMBER(H3138))),"",H3138-G3138)</f>
        <v/>
      </c>
      <c r="J3138">
        <f>IF(OR(NOT(ISNUMBER(G3138)),NOT(ISNUMBER(H3138)),G3138=0),"",I3138/G3138)</f>
        <v/>
      </c>
      <c r="K3138">
        <f>IF(OR(NOT(ISNUMBER(G3138)),NOT(ISNUMBER(H3138)),G3138=0),"",H3138/G3138)</f>
        <v/>
      </c>
      <c r="L3138">
        <f>IF(NOT(ISNUMBER(G3138)),"SEM META",IF(G3138=0,"SEM META",IF(NOT(ISNUMBER(H3138)),"SEM APONTAMENTO",IF(H3138&gt;=G3138,"VERDE",IF(H3138&gt;=G3138*0.9,"AMARELO","VERMELHO")))))</f>
        <v/>
      </c>
    </row>
    <row r="3139">
      <c r="A3139" s="321" t="n">
        <v>46554</v>
      </c>
      <c r="B3139" t="inlineStr">
        <is>
          <t>GERAL</t>
        </is>
      </c>
      <c r="C3139" t="inlineStr">
        <is>
          <t>GLOBO AÇOS</t>
        </is>
      </c>
      <c r="D3139" t="inlineStr">
        <is>
          <t>FECHAMENTO</t>
        </is>
      </c>
      <c r="F3139">
        <f>IFERROR(INDEX('BASE METAS DIÁRIAS'!$AA$2:$AC$358,MATCH($A3139,'BASE METAS DIÁRIAS'!$A$2:$A$358,0),3),"")</f>
        <v/>
      </c>
      <c r="G3139">
        <f>IFERROR(IF(WEEKDAY($A3139,2)&lt;=INDEX('BASE METAS DIÁRIAS'!$X$2:$Z$358,MATCH($A3139,'BASE METAS DIÁRIAS'!$A$2:$A$358,0),3),INDEX('BASE METAS DIÁRIAS'!$U$2:$W$358,MATCH($A3139,'BASE METAS DIÁRIAS'!$A$2:$A$358,0),3),""),"")</f>
        <v/>
      </c>
      <c r="H3139">
        <f>IFERROR(IF(INDEX('CONTROLE PRODUÇÃO POR EMPRESAS'!$H$6:$J$5000,MATCH($A3139,'CONTROLE PRODUÇÃO POR EMPRESAS'!$A$6:$A$5000,0),3)="","",IFERROR(1*INDEX('CONTROLE PRODUÇÃO POR EMPRESAS'!$H$6:$J$5000,MATCH($A3139,'CONTROLE PRODUÇÃO POR EMPRESAS'!$A$6:$A$5000,0),3),"")),"")</f>
        <v/>
      </c>
      <c r="I3139">
        <f>IF(OR(NOT(ISNUMBER(G3139)),NOT(ISNUMBER(H3139))),"",H3139-G3139)</f>
        <v/>
      </c>
      <c r="J3139">
        <f>IF(OR(NOT(ISNUMBER(G3139)),NOT(ISNUMBER(H3139)),G3139=0),"",I3139/G3139)</f>
        <v/>
      </c>
      <c r="K3139">
        <f>IF(OR(NOT(ISNUMBER(G3139)),NOT(ISNUMBER(H3139)),G3139=0),"",H3139/G3139)</f>
        <v/>
      </c>
      <c r="L3139">
        <f>IF(NOT(ISNUMBER(G3139)),"SEM META",IF(G3139=0,"SEM META",IF(NOT(ISNUMBER(H3139)),"SEM APONTAMENTO",IF(H3139&gt;=G3139,"VERDE",IF(H3139&gt;=G3139*0.9,"AMARELO","VERMELHO")))))</f>
        <v/>
      </c>
    </row>
    <row r="3140">
      <c r="A3140" s="321" t="n">
        <v>46555</v>
      </c>
      <c r="B3140" t="inlineStr">
        <is>
          <t>GERAL</t>
        </is>
      </c>
      <c r="C3140" t="inlineStr">
        <is>
          <t>GLOBO AÇOS</t>
        </is>
      </c>
      <c r="D3140" t="inlineStr">
        <is>
          <t>PERFILAÇÃO</t>
        </is>
      </c>
      <c r="F3140">
        <f>IFERROR(INDEX('BASE METAS DIÁRIAS'!$AA$2:$AC$358,MATCH($A3140,'BASE METAS DIÁRIAS'!$A$2:$A$358,0),1),"")</f>
        <v/>
      </c>
      <c r="G3140">
        <f>IFERROR(IF(WEEKDAY($A3140,2)&lt;=INDEX('BASE METAS DIÁRIAS'!$X$2:$Z$358,MATCH($A3140,'BASE METAS DIÁRIAS'!$A$2:$A$358,0),1),INDEX('BASE METAS DIÁRIAS'!$U$2:$W$358,MATCH($A3140,'BASE METAS DIÁRIAS'!$A$2:$A$358,0),1),""),"")</f>
        <v/>
      </c>
      <c r="H3140">
        <f>IFERROR(IF(INDEX('CONTROLE PRODUÇÃO POR EMPRESAS'!$H$6:$J$5000,MATCH($A3140,'CONTROLE PRODUÇÃO POR EMPRESAS'!$A$6:$A$5000,0),1)="","",IFERROR(1*INDEX('CONTROLE PRODUÇÃO POR EMPRESAS'!$H$6:$J$5000,MATCH($A3140,'CONTROLE PRODUÇÃO POR EMPRESAS'!$A$6:$A$5000,0),1),"")),"")</f>
        <v/>
      </c>
      <c r="I3140">
        <f>IF(OR(NOT(ISNUMBER(G3140)),NOT(ISNUMBER(H3140))),"",H3140-G3140)</f>
        <v/>
      </c>
      <c r="J3140">
        <f>IF(OR(NOT(ISNUMBER(G3140)),NOT(ISNUMBER(H3140)),G3140=0),"",I3140/G3140)</f>
        <v/>
      </c>
      <c r="K3140">
        <f>IF(OR(NOT(ISNUMBER(G3140)),NOT(ISNUMBER(H3140)),G3140=0),"",H3140/G3140)</f>
        <v/>
      </c>
      <c r="L3140">
        <f>IF(NOT(ISNUMBER(G3140)),"SEM META",IF(G3140=0,"SEM META",IF(NOT(ISNUMBER(H3140)),"SEM APONTAMENTO",IF(H3140&gt;=G3140,"VERDE",IF(H3140&gt;=G3140*0.9,"AMARELO","VERMELHO")))))</f>
        <v/>
      </c>
    </row>
    <row r="3141">
      <c r="A3141" s="321" t="n">
        <v>46555</v>
      </c>
      <c r="B3141" t="inlineStr">
        <is>
          <t>GERAL</t>
        </is>
      </c>
      <c r="C3141" t="inlineStr">
        <is>
          <t>GLOBO AÇOS</t>
        </is>
      </c>
      <c r="D3141" t="inlineStr">
        <is>
          <t>TELHAR</t>
        </is>
      </c>
      <c r="F3141">
        <f>IFERROR(INDEX('BASE METAS DIÁRIAS'!$AA$2:$AC$358,MATCH($A3141,'BASE METAS DIÁRIAS'!$A$2:$A$358,0),2),"")</f>
        <v/>
      </c>
      <c r="G3141">
        <f>IFERROR(IF(WEEKDAY($A3141,2)&lt;=INDEX('BASE METAS DIÁRIAS'!$X$2:$Z$358,MATCH($A3141,'BASE METAS DIÁRIAS'!$A$2:$A$358,0),2),INDEX('BASE METAS DIÁRIAS'!$U$2:$W$358,MATCH($A3141,'BASE METAS DIÁRIAS'!$A$2:$A$358,0),2),""),"")</f>
        <v/>
      </c>
      <c r="H3141">
        <f>IFERROR(IF(INDEX('CONTROLE PRODUÇÃO POR EMPRESAS'!$H$6:$J$5000,MATCH($A3141,'CONTROLE PRODUÇÃO POR EMPRESAS'!$A$6:$A$5000,0),2)="","",IFERROR(1*INDEX('CONTROLE PRODUÇÃO POR EMPRESAS'!$H$6:$J$5000,MATCH($A3141,'CONTROLE PRODUÇÃO POR EMPRESAS'!$A$6:$A$5000,0),2),"")),"")</f>
        <v/>
      </c>
      <c r="I3141">
        <f>IF(OR(NOT(ISNUMBER(G3141)),NOT(ISNUMBER(H3141))),"",H3141-G3141)</f>
        <v/>
      </c>
      <c r="J3141">
        <f>IF(OR(NOT(ISNUMBER(G3141)),NOT(ISNUMBER(H3141)),G3141=0),"",I3141/G3141)</f>
        <v/>
      </c>
      <c r="K3141">
        <f>IF(OR(NOT(ISNUMBER(G3141)),NOT(ISNUMBER(H3141)),G3141=0),"",H3141/G3141)</f>
        <v/>
      </c>
      <c r="L3141">
        <f>IF(NOT(ISNUMBER(G3141)),"SEM META",IF(G3141=0,"SEM META",IF(NOT(ISNUMBER(H3141)),"SEM APONTAMENTO",IF(H3141&gt;=G3141,"VERDE",IF(H3141&gt;=G3141*0.9,"AMARELO","VERMELHO")))))</f>
        <v/>
      </c>
    </row>
    <row r="3142">
      <c r="A3142" s="321" t="n">
        <v>46555</v>
      </c>
      <c r="B3142" t="inlineStr">
        <is>
          <t>GERAL</t>
        </is>
      </c>
      <c r="C3142" t="inlineStr">
        <is>
          <t>GLOBO AÇOS</t>
        </is>
      </c>
      <c r="D3142" t="inlineStr">
        <is>
          <t>FECHAMENTO</t>
        </is>
      </c>
      <c r="F3142">
        <f>IFERROR(INDEX('BASE METAS DIÁRIAS'!$AA$2:$AC$358,MATCH($A3142,'BASE METAS DIÁRIAS'!$A$2:$A$358,0),3),"")</f>
        <v/>
      </c>
      <c r="G3142">
        <f>IFERROR(IF(WEEKDAY($A3142,2)&lt;=INDEX('BASE METAS DIÁRIAS'!$X$2:$Z$358,MATCH($A3142,'BASE METAS DIÁRIAS'!$A$2:$A$358,0),3),INDEX('BASE METAS DIÁRIAS'!$U$2:$W$358,MATCH($A3142,'BASE METAS DIÁRIAS'!$A$2:$A$358,0),3),""),"")</f>
        <v/>
      </c>
      <c r="H3142">
        <f>IFERROR(IF(INDEX('CONTROLE PRODUÇÃO POR EMPRESAS'!$H$6:$J$5000,MATCH($A3142,'CONTROLE PRODUÇÃO POR EMPRESAS'!$A$6:$A$5000,0),3)="","",IFERROR(1*INDEX('CONTROLE PRODUÇÃO POR EMPRESAS'!$H$6:$J$5000,MATCH($A3142,'CONTROLE PRODUÇÃO POR EMPRESAS'!$A$6:$A$5000,0),3),"")),"")</f>
        <v/>
      </c>
      <c r="I3142">
        <f>IF(OR(NOT(ISNUMBER(G3142)),NOT(ISNUMBER(H3142))),"",H3142-G3142)</f>
        <v/>
      </c>
      <c r="J3142">
        <f>IF(OR(NOT(ISNUMBER(G3142)),NOT(ISNUMBER(H3142)),G3142=0),"",I3142/G3142)</f>
        <v/>
      </c>
      <c r="K3142">
        <f>IF(OR(NOT(ISNUMBER(G3142)),NOT(ISNUMBER(H3142)),G3142=0),"",H3142/G3142)</f>
        <v/>
      </c>
      <c r="L3142">
        <f>IF(NOT(ISNUMBER(G3142)),"SEM META",IF(G3142=0,"SEM META",IF(NOT(ISNUMBER(H3142)),"SEM APONTAMENTO",IF(H3142&gt;=G3142,"VERDE",IF(H3142&gt;=G3142*0.9,"AMARELO","VERMELHO")))))</f>
        <v/>
      </c>
    </row>
    <row r="3143">
      <c r="A3143" s="321" t="n">
        <v>46556</v>
      </c>
      <c r="B3143" t="inlineStr">
        <is>
          <t>GERAL</t>
        </is>
      </c>
      <c r="C3143" t="inlineStr">
        <is>
          <t>GLOBO AÇOS</t>
        </is>
      </c>
      <c r="D3143" t="inlineStr">
        <is>
          <t>PERFILAÇÃO</t>
        </is>
      </c>
      <c r="F3143">
        <f>IFERROR(INDEX('BASE METAS DIÁRIAS'!$AA$2:$AC$358,MATCH($A3143,'BASE METAS DIÁRIAS'!$A$2:$A$358,0),1),"")</f>
        <v/>
      </c>
      <c r="G3143">
        <f>IFERROR(IF(WEEKDAY($A3143,2)&lt;=INDEX('BASE METAS DIÁRIAS'!$X$2:$Z$358,MATCH($A3143,'BASE METAS DIÁRIAS'!$A$2:$A$358,0),1),INDEX('BASE METAS DIÁRIAS'!$U$2:$W$358,MATCH($A3143,'BASE METAS DIÁRIAS'!$A$2:$A$358,0),1),""),"")</f>
        <v/>
      </c>
      <c r="H3143">
        <f>IFERROR(IF(INDEX('CONTROLE PRODUÇÃO POR EMPRESAS'!$H$6:$J$5000,MATCH($A3143,'CONTROLE PRODUÇÃO POR EMPRESAS'!$A$6:$A$5000,0),1)="","",IFERROR(1*INDEX('CONTROLE PRODUÇÃO POR EMPRESAS'!$H$6:$J$5000,MATCH($A3143,'CONTROLE PRODUÇÃO POR EMPRESAS'!$A$6:$A$5000,0),1),"")),"")</f>
        <v/>
      </c>
      <c r="I3143">
        <f>IF(OR(NOT(ISNUMBER(G3143)),NOT(ISNUMBER(H3143))),"",H3143-G3143)</f>
        <v/>
      </c>
      <c r="J3143">
        <f>IF(OR(NOT(ISNUMBER(G3143)),NOT(ISNUMBER(H3143)),G3143=0),"",I3143/G3143)</f>
        <v/>
      </c>
      <c r="K3143">
        <f>IF(OR(NOT(ISNUMBER(G3143)),NOT(ISNUMBER(H3143)),G3143=0),"",H3143/G3143)</f>
        <v/>
      </c>
      <c r="L3143">
        <f>IF(NOT(ISNUMBER(G3143)),"SEM META",IF(G3143=0,"SEM META",IF(NOT(ISNUMBER(H3143)),"SEM APONTAMENTO",IF(H3143&gt;=G3143,"VERDE",IF(H3143&gt;=G3143*0.9,"AMARELO","VERMELHO")))))</f>
        <v/>
      </c>
    </row>
    <row r="3144">
      <c r="A3144" s="321" t="n">
        <v>46556</v>
      </c>
      <c r="B3144" t="inlineStr">
        <is>
          <t>GERAL</t>
        </is>
      </c>
      <c r="C3144" t="inlineStr">
        <is>
          <t>GLOBO AÇOS</t>
        </is>
      </c>
      <c r="D3144" t="inlineStr">
        <is>
          <t>TELHAR</t>
        </is>
      </c>
      <c r="F3144">
        <f>IFERROR(INDEX('BASE METAS DIÁRIAS'!$AA$2:$AC$358,MATCH($A3144,'BASE METAS DIÁRIAS'!$A$2:$A$358,0),2),"")</f>
        <v/>
      </c>
      <c r="G3144">
        <f>IFERROR(IF(WEEKDAY($A3144,2)&lt;=INDEX('BASE METAS DIÁRIAS'!$X$2:$Z$358,MATCH($A3144,'BASE METAS DIÁRIAS'!$A$2:$A$358,0),2),INDEX('BASE METAS DIÁRIAS'!$U$2:$W$358,MATCH($A3144,'BASE METAS DIÁRIAS'!$A$2:$A$358,0),2),""),"")</f>
        <v/>
      </c>
      <c r="H3144">
        <f>IFERROR(IF(INDEX('CONTROLE PRODUÇÃO POR EMPRESAS'!$H$6:$J$5000,MATCH($A3144,'CONTROLE PRODUÇÃO POR EMPRESAS'!$A$6:$A$5000,0),2)="","",IFERROR(1*INDEX('CONTROLE PRODUÇÃO POR EMPRESAS'!$H$6:$J$5000,MATCH($A3144,'CONTROLE PRODUÇÃO POR EMPRESAS'!$A$6:$A$5000,0),2),"")),"")</f>
        <v/>
      </c>
      <c r="I3144">
        <f>IF(OR(NOT(ISNUMBER(G3144)),NOT(ISNUMBER(H3144))),"",H3144-G3144)</f>
        <v/>
      </c>
      <c r="J3144">
        <f>IF(OR(NOT(ISNUMBER(G3144)),NOT(ISNUMBER(H3144)),G3144=0),"",I3144/G3144)</f>
        <v/>
      </c>
      <c r="K3144">
        <f>IF(OR(NOT(ISNUMBER(G3144)),NOT(ISNUMBER(H3144)),G3144=0),"",H3144/G3144)</f>
        <v/>
      </c>
      <c r="L3144">
        <f>IF(NOT(ISNUMBER(G3144)),"SEM META",IF(G3144=0,"SEM META",IF(NOT(ISNUMBER(H3144)),"SEM APONTAMENTO",IF(H3144&gt;=G3144,"VERDE",IF(H3144&gt;=G3144*0.9,"AMARELO","VERMELHO")))))</f>
        <v/>
      </c>
    </row>
    <row r="3145">
      <c r="A3145" s="321" t="n">
        <v>46556</v>
      </c>
      <c r="B3145" t="inlineStr">
        <is>
          <t>GERAL</t>
        </is>
      </c>
      <c r="C3145" t="inlineStr">
        <is>
          <t>GLOBO AÇOS</t>
        </is>
      </c>
      <c r="D3145" t="inlineStr">
        <is>
          <t>FECHAMENTO</t>
        </is>
      </c>
      <c r="F3145">
        <f>IFERROR(INDEX('BASE METAS DIÁRIAS'!$AA$2:$AC$358,MATCH($A3145,'BASE METAS DIÁRIAS'!$A$2:$A$358,0),3),"")</f>
        <v/>
      </c>
      <c r="G3145">
        <f>IFERROR(IF(WEEKDAY($A3145,2)&lt;=INDEX('BASE METAS DIÁRIAS'!$X$2:$Z$358,MATCH($A3145,'BASE METAS DIÁRIAS'!$A$2:$A$358,0),3),INDEX('BASE METAS DIÁRIAS'!$U$2:$W$358,MATCH($A3145,'BASE METAS DIÁRIAS'!$A$2:$A$358,0),3),""),"")</f>
        <v/>
      </c>
      <c r="H3145">
        <f>IFERROR(IF(INDEX('CONTROLE PRODUÇÃO POR EMPRESAS'!$H$6:$J$5000,MATCH($A3145,'CONTROLE PRODUÇÃO POR EMPRESAS'!$A$6:$A$5000,0),3)="","",IFERROR(1*INDEX('CONTROLE PRODUÇÃO POR EMPRESAS'!$H$6:$J$5000,MATCH($A3145,'CONTROLE PRODUÇÃO POR EMPRESAS'!$A$6:$A$5000,0),3),"")),"")</f>
        <v/>
      </c>
      <c r="I3145">
        <f>IF(OR(NOT(ISNUMBER(G3145)),NOT(ISNUMBER(H3145))),"",H3145-G3145)</f>
        <v/>
      </c>
      <c r="J3145">
        <f>IF(OR(NOT(ISNUMBER(G3145)),NOT(ISNUMBER(H3145)),G3145=0),"",I3145/G3145)</f>
        <v/>
      </c>
      <c r="K3145">
        <f>IF(OR(NOT(ISNUMBER(G3145)),NOT(ISNUMBER(H3145)),G3145=0),"",H3145/G3145)</f>
        <v/>
      </c>
      <c r="L3145">
        <f>IF(NOT(ISNUMBER(G3145)),"SEM META",IF(G3145=0,"SEM META",IF(NOT(ISNUMBER(H3145)),"SEM APONTAMENTO",IF(H3145&gt;=G3145,"VERDE",IF(H3145&gt;=G3145*0.9,"AMARELO","VERMELHO")))))</f>
        <v/>
      </c>
    </row>
    <row r="3146">
      <c r="A3146" s="321" t="n">
        <v>46557</v>
      </c>
      <c r="B3146" t="inlineStr">
        <is>
          <t>GERAL</t>
        </is>
      </c>
      <c r="C3146" t="inlineStr">
        <is>
          <t>GLOBO AÇOS</t>
        </is>
      </c>
      <c r="D3146" t="inlineStr">
        <is>
          <t>PERFILAÇÃO</t>
        </is>
      </c>
      <c r="F3146">
        <f>IFERROR(INDEX('BASE METAS DIÁRIAS'!$AA$2:$AC$358,MATCH($A3146,'BASE METAS DIÁRIAS'!$A$2:$A$358,0),1),"")</f>
        <v/>
      </c>
      <c r="G3146">
        <f>IFERROR(IF(WEEKDAY($A3146,2)&lt;=INDEX('BASE METAS DIÁRIAS'!$X$2:$Z$358,MATCH($A3146,'BASE METAS DIÁRIAS'!$A$2:$A$358,0),1),INDEX('BASE METAS DIÁRIAS'!$U$2:$W$358,MATCH($A3146,'BASE METAS DIÁRIAS'!$A$2:$A$358,0),1),""),"")</f>
        <v/>
      </c>
      <c r="H3146">
        <f>IFERROR(IF(INDEX('CONTROLE PRODUÇÃO POR EMPRESAS'!$H$6:$J$5000,MATCH($A3146,'CONTROLE PRODUÇÃO POR EMPRESAS'!$A$6:$A$5000,0),1)="","",IFERROR(1*INDEX('CONTROLE PRODUÇÃO POR EMPRESAS'!$H$6:$J$5000,MATCH($A3146,'CONTROLE PRODUÇÃO POR EMPRESAS'!$A$6:$A$5000,0),1),"")),"")</f>
        <v/>
      </c>
      <c r="I3146">
        <f>IF(OR(NOT(ISNUMBER(G3146)),NOT(ISNUMBER(H3146))),"",H3146-G3146)</f>
        <v/>
      </c>
      <c r="J3146">
        <f>IF(OR(NOT(ISNUMBER(G3146)),NOT(ISNUMBER(H3146)),G3146=0),"",I3146/G3146)</f>
        <v/>
      </c>
      <c r="K3146">
        <f>IF(OR(NOT(ISNUMBER(G3146)),NOT(ISNUMBER(H3146)),G3146=0),"",H3146/G3146)</f>
        <v/>
      </c>
      <c r="L3146">
        <f>IF(NOT(ISNUMBER(G3146)),"SEM META",IF(G3146=0,"SEM META",IF(NOT(ISNUMBER(H3146)),"SEM APONTAMENTO",IF(H3146&gt;=G3146,"VERDE",IF(H3146&gt;=G3146*0.9,"AMARELO","VERMELHO")))))</f>
        <v/>
      </c>
    </row>
    <row r="3147">
      <c r="A3147" s="321" t="n">
        <v>46557</v>
      </c>
      <c r="B3147" t="inlineStr">
        <is>
          <t>GERAL</t>
        </is>
      </c>
      <c r="C3147" t="inlineStr">
        <is>
          <t>GLOBO AÇOS</t>
        </is>
      </c>
      <c r="D3147" t="inlineStr">
        <is>
          <t>TELHAR</t>
        </is>
      </c>
      <c r="F3147">
        <f>IFERROR(INDEX('BASE METAS DIÁRIAS'!$AA$2:$AC$358,MATCH($A3147,'BASE METAS DIÁRIAS'!$A$2:$A$358,0),2),"")</f>
        <v/>
      </c>
      <c r="G3147">
        <f>IFERROR(IF(WEEKDAY($A3147,2)&lt;=INDEX('BASE METAS DIÁRIAS'!$X$2:$Z$358,MATCH($A3147,'BASE METAS DIÁRIAS'!$A$2:$A$358,0),2),INDEX('BASE METAS DIÁRIAS'!$U$2:$W$358,MATCH($A3147,'BASE METAS DIÁRIAS'!$A$2:$A$358,0),2),""),"")</f>
        <v/>
      </c>
      <c r="H3147">
        <f>IFERROR(IF(INDEX('CONTROLE PRODUÇÃO POR EMPRESAS'!$H$6:$J$5000,MATCH($A3147,'CONTROLE PRODUÇÃO POR EMPRESAS'!$A$6:$A$5000,0),2)="","",IFERROR(1*INDEX('CONTROLE PRODUÇÃO POR EMPRESAS'!$H$6:$J$5000,MATCH($A3147,'CONTROLE PRODUÇÃO POR EMPRESAS'!$A$6:$A$5000,0),2),"")),"")</f>
        <v/>
      </c>
      <c r="I3147">
        <f>IF(OR(NOT(ISNUMBER(G3147)),NOT(ISNUMBER(H3147))),"",H3147-G3147)</f>
        <v/>
      </c>
      <c r="J3147">
        <f>IF(OR(NOT(ISNUMBER(G3147)),NOT(ISNUMBER(H3147)),G3147=0),"",I3147/G3147)</f>
        <v/>
      </c>
      <c r="K3147">
        <f>IF(OR(NOT(ISNUMBER(G3147)),NOT(ISNUMBER(H3147)),G3147=0),"",H3147/G3147)</f>
        <v/>
      </c>
      <c r="L3147">
        <f>IF(NOT(ISNUMBER(G3147)),"SEM META",IF(G3147=0,"SEM META",IF(NOT(ISNUMBER(H3147)),"SEM APONTAMENTO",IF(H3147&gt;=G3147,"VERDE",IF(H3147&gt;=G3147*0.9,"AMARELO","VERMELHO")))))</f>
        <v/>
      </c>
    </row>
    <row r="3148">
      <c r="A3148" s="321" t="n">
        <v>46557</v>
      </c>
      <c r="B3148" t="inlineStr">
        <is>
          <t>GERAL</t>
        </is>
      </c>
      <c r="C3148" t="inlineStr">
        <is>
          <t>GLOBO AÇOS</t>
        </is>
      </c>
      <c r="D3148" t="inlineStr">
        <is>
          <t>FECHAMENTO</t>
        </is>
      </c>
      <c r="F3148">
        <f>IFERROR(INDEX('BASE METAS DIÁRIAS'!$AA$2:$AC$358,MATCH($A3148,'BASE METAS DIÁRIAS'!$A$2:$A$358,0),3),"")</f>
        <v/>
      </c>
      <c r="G3148">
        <f>IFERROR(IF(WEEKDAY($A3148,2)&lt;=INDEX('BASE METAS DIÁRIAS'!$X$2:$Z$358,MATCH($A3148,'BASE METAS DIÁRIAS'!$A$2:$A$358,0),3),INDEX('BASE METAS DIÁRIAS'!$U$2:$W$358,MATCH($A3148,'BASE METAS DIÁRIAS'!$A$2:$A$358,0),3),""),"")</f>
        <v/>
      </c>
      <c r="H3148">
        <f>IFERROR(IF(INDEX('CONTROLE PRODUÇÃO POR EMPRESAS'!$H$6:$J$5000,MATCH($A3148,'CONTROLE PRODUÇÃO POR EMPRESAS'!$A$6:$A$5000,0),3)="","",IFERROR(1*INDEX('CONTROLE PRODUÇÃO POR EMPRESAS'!$H$6:$J$5000,MATCH($A3148,'CONTROLE PRODUÇÃO POR EMPRESAS'!$A$6:$A$5000,0),3),"")),"")</f>
        <v/>
      </c>
      <c r="I3148">
        <f>IF(OR(NOT(ISNUMBER(G3148)),NOT(ISNUMBER(H3148))),"",H3148-G3148)</f>
        <v/>
      </c>
      <c r="J3148">
        <f>IF(OR(NOT(ISNUMBER(G3148)),NOT(ISNUMBER(H3148)),G3148=0),"",I3148/G3148)</f>
        <v/>
      </c>
      <c r="K3148">
        <f>IF(OR(NOT(ISNUMBER(G3148)),NOT(ISNUMBER(H3148)),G3148=0),"",H3148/G3148)</f>
        <v/>
      </c>
      <c r="L3148">
        <f>IF(NOT(ISNUMBER(G3148)),"SEM META",IF(G3148=0,"SEM META",IF(NOT(ISNUMBER(H3148)),"SEM APONTAMENTO",IF(H3148&gt;=G3148,"VERDE",IF(H3148&gt;=G3148*0.9,"AMARELO","VERMELHO")))))</f>
        <v/>
      </c>
    </row>
    <row r="3149">
      <c r="A3149" s="321" t="n">
        <v>46558</v>
      </c>
      <c r="B3149" t="inlineStr">
        <is>
          <t>GERAL</t>
        </is>
      </c>
      <c r="C3149" t="inlineStr">
        <is>
          <t>GLOBO AÇOS</t>
        </is>
      </c>
      <c r="D3149" t="inlineStr">
        <is>
          <t>PERFILAÇÃO</t>
        </is>
      </c>
      <c r="F3149">
        <f>IFERROR(INDEX('BASE METAS DIÁRIAS'!$AA$2:$AC$358,MATCH($A3149,'BASE METAS DIÁRIAS'!$A$2:$A$358,0),1),"")</f>
        <v/>
      </c>
      <c r="G3149">
        <f>IFERROR(IF(WEEKDAY($A3149,2)&lt;=INDEX('BASE METAS DIÁRIAS'!$X$2:$Z$358,MATCH($A3149,'BASE METAS DIÁRIAS'!$A$2:$A$358,0),1),INDEX('BASE METAS DIÁRIAS'!$U$2:$W$358,MATCH($A3149,'BASE METAS DIÁRIAS'!$A$2:$A$358,0),1),""),"")</f>
        <v/>
      </c>
      <c r="H3149">
        <f>IFERROR(IF(INDEX('CONTROLE PRODUÇÃO POR EMPRESAS'!$H$6:$J$5000,MATCH($A3149,'CONTROLE PRODUÇÃO POR EMPRESAS'!$A$6:$A$5000,0),1)="","",IFERROR(1*INDEX('CONTROLE PRODUÇÃO POR EMPRESAS'!$H$6:$J$5000,MATCH($A3149,'CONTROLE PRODUÇÃO POR EMPRESAS'!$A$6:$A$5000,0),1),"")),"")</f>
        <v/>
      </c>
      <c r="I3149">
        <f>IF(OR(NOT(ISNUMBER(G3149)),NOT(ISNUMBER(H3149))),"",H3149-G3149)</f>
        <v/>
      </c>
      <c r="J3149">
        <f>IF(OR(NOT(ISNUMBER(G3149)),NOT(ISNUMBER(H3149)),G3149=0),"",I3149/G3149)</f>
        <v/>
      </c>
      <c r="K3149">
        <f>IF(OR(NOT(ISNUMBER(G3149)),NOT(ISNUMBER(H3149)),G3149=0),"",H3149/G3149)</f>
        <v/>
      </c>
      <c r="L3149">
        <f>IF(NOT(ISNUMBER(G3149)),"SEM META",IF(G3149=0,"SEM META",IF(NOT(ISNUMBER(H3149)),"SEM APONTAMENTO",IF(H3149&gt;=G3149,"VERDE",IF(H3149&gt;=G3149*0.9,"AMARELO","VERMELHO")))))</f>
        <v/>
      </c>
    </row>
    <row r="3150">
      <c r="A3150" s="321" t="n">
        <v>46558</v>
      </c>
      <c r="B3150" t="inlineStr">
        <is>
          <t>GERAL</t>
        </is>
      </c>
      <c r="C3150" t="inlineStr">
        <is>
          <t>GLOBO AÇOS</t>
        </is>
      </c>
      <c r="D3150" t="inlineStr">
        <is>
          <t>TELHAR</t>
        </is>
      </c>
      <c r="F3150">
        <f>IFERROR(INDEX('BASE METAS DIÁRIAS'!$AA$2:$AC$358,MATCH($A3150,'BASE METAS DIÁRIAS'!$A$2:$A$358,0),2),"")</f>
        <v/>
      </c>
      <c r="G3150">
        <f>IFERROR(IF(WEEKDAY($A3150,2)&lt;=INDEX('BASE METAS DIÁRIAS'!$X$2:$Z$358,MATCH($A3150,'BASE METAS DIÁRIAS'!$A$2:$A$358,0),2),INDEX('BASE METAS DIÁRIAS'!$U$2:$W$358,MATCH($A3150,'BASE METAS DIÁRIAS'!$A$2:$A$358,0),2),""),"")</f>
        <v/>
      </c>
      <c r="H3150">
        <f>IFERROR(IF(INDEX('CONTROLE PRODUÇÃO POR EMPRESAS'!$H$6:$J$5000,MATCH($A3150,'CONTROLE PRODUÇÃO POR EMPRESAS'!$A$6:$A$5000,0),2)="","",IFERROR(1*INDEX('CONTROLE PRODUÇÃO POR EMPRESAS'!$H$6:$J$5000,MATCH($A3150,'CONTROLE PRODUÇÃO POR EMPRESAS'!$A$6:$A$5000,0),2),"")),"")</f>
        <v/>
      </c>
      <c r="I3150">
        <f>IF(OR(NOT(ISNUMBER(G3150)),NOT(ISNUMBER(H3150))),"",H3150-G3150)</f>
        <v/>
      </c>
      <c r="J3150">
        <f>IF(OR(NOT(ISNUMBER(G3150)),NOT(ISNUMBER(H3150)),G3150=0),"",I3150/G3150)</f>
        <v/>
      </c>
      <c r="K3150">
        <f>IF(OR(NOT(ISNUMBER(G3150)),NOT(ISNUMBER(H3150)),G3150=0),"",H3150/G3150)</f>
        <v/>
      </c>
      <c r="L3150">
        <f>IF(NOT(ISNUMBER(G3150)),"SEM META",IF(G3150=0,"SEM META",IF(NOT(ISNUMBER(H3150)),"SEM APONTAMENTO",IF(H3150&gt;=G3150,"VERDE",IF(H3150&gt;=G3150*0.9,"AMARELO","VERMELHO")))))</f>
        <v/>
      </c>
    </row>
    <row r="3151">
      <c r="A3151" s="321" t="n">
        <v>46558</v>
      </c>
      <c r="B3151" t="inlineStr">
        <is>
          <t>GERAL</t>
        </is>
      </c>
      <c r="C3151" t="inlineStr">
        <is>
          <t>GLOBO AÇOS</t>
        </is>
      </c>
      <c r="D3151" t="inlineStr">
        <is>
          <t>FECHAMENTO</t>
        </is>
      </c>
      <c r="F3151">
        <f>IFERROR(INDEX('BASE METAS DIÁRIAS'!$AA$2:$AC$358,MATCH($A3151,'BASE METAS DIÁRIAS'!$A$2:$A$358,0),3),"")</f>
        <v/>
      </c>
      <c r="G3151">
        <f>IFERROR(IF(WEEKDAY($A3151,2)&lt;=INDEX('BASE METAS DIÁRIAS'!$X$2:$Z$358,MATCH($A3151,'BASE METAS DIÁRIAS'!$A$2:$A$358,0),3),INDEX('BASE METAS DIÁRIAS'!$U$2:$W$358,MATCH($A3151,'BASE METAS DIÁRIAS'!$A$2:$A$358,0),3),""),"")</f>
        <v/>
      </c>
      <c r="H3151">
        <f>IFERROR(IF(INDEX('CONTROLE PRODUÇÃO POR EMPRESAS'!$H$6:$J$5000,MATCH($A3151,'CONTROLE PRODUÇÃO POR EMPRESAS'!$A$6:$A$5000,0),3)="","",IFERROR(1*INDEX('CONTROLE PRODUÇÃO POR EMPRESAS'!$H$6:$J$5000,MATCH($A3151,'CONTROLE PRODUÇÃO POR EMPRESAS'!$A$6:$A$5000,0),3),"")),"")</f>
        <v/>
      </c>
      <c r="I3151">
        <f>IF(OR(NOT(ISNUMBER(G3151)),NOT(ISNUMBER(H3151))),"",H3151-G3151)</f>
        <v/>
      </c>
      <c r="J3151">
        <f>IF(OR(NOT(ISNUMBER(G3151)),NOT(ISNUMBER(H3151)),G3151=0),"",I3151/G3151)</f>
        <v/>
      </c>
      <c r="K3151">
        <f>IF(OR(NOT(ISNUMBER(G3151)),NOT(ISNUMBER(H3151)),G3151=0),"",H3151/G3151)</f>
        <v/>
      </c>
      <c r="L3151">
        <f>IF(NOT(ISNUMBER(G3151)),"SEM META",IF(G3151=0,"SEM META",IF(NOT(ISNUMBER(H3151)),"SEM APONTAMENTO",IF(H3151&gt;=G3151,"VERDE",IF(H3151&gt;=G3151*0.9,"AMARELO","VERMELHO")))))</f>
        <v/>
      </c>
    </row>
    <row r="3152">
      <c r="A3152" s="321" t="n">
        <v>46559</v>
      </c>
      <c r="B3152" t="inlineStr">
        <is>
          <t>GERAL</t>
        </is>
      </c>
      <c r="C3152" t="inlineStr">
        <is>
          <t>GLOBO AÇOS</t>
        </is>
      </c>
      <c r="D3152" t="inlineStr">
        <is>
          <t>PERFILAÇÃO</t>
        </is>
      </c>
      <c r="F3152">
        <f>IFERROR(INDEX('BASE METAS DIÁRIAS'!$AA$2:$AC$358,MATCH($A3152,'BASE METAS DIÁRIAS'!$A$2:$A$358,0),1),"")</f>
        <v/>
      </c>
      <c r="G3152">
        <f>IFERROR(IF(WEEKDAY($A3152,2)&lt;=INDEX('BASE METAS DIÁRIAS'!$X$2:$Z$358,MATCH($A3152,'BASE METAS DIÁRIAS'!$A$2:$A$358,0),1),INDEX('BASE METAS DIÁRIAS'!$U$2:$W$358,MATCH($A3152,'BASE METAS DIÁRIAS'!$A$2:$A$358,0),1),""),"")</f>
        <v/>
      </c>
      <c r="H3152">
        <f>IFERROR(IF(INDEX('CONTROLE PRODUÇÃO POR EMPRESAS'!$H$6:$J$5000,MATCH($A3152,'CONTROLE PRODUÇÃO POR EMPRESAS'!$A$6:$A$5000,0),1)="","",IFERROR(1*INDEX('CONTROLE PRODUÇÃO POR EMPRESAS'!$H$6:$J$5000,MATCH($A3152,'CONTROLE PRODUÇÃO POR EMPRESAS'!$A$6:$A$5000,0),1),"")),"")</f>
        <v/>
      </c>
      <c r="I3152">
        <f>IF(OR(NOT(ISNUMBER(G3152)),NOT(ISNUMBER(H3152))),"",H3152-G3152)</f>
        <v/>
      </c>
      <c r="J3152">
        <f>IF(OR(NOT(ISNUMBER(G3152)),NOT(ISNUMBER(H3152)),G3152=0),"",I3152/G3152)</f>
        <v/>
      </c>
      <c r="K3152">
        <f>IF(OR(NOT(ISNUMBER(G3152)),NOT(ISNUMBER(H3152)),G3152=0),"",H3152/G3152)</f>
        <v/>
      </c>
      <c r="L3152">
        <f>IF(NOT(ISNUMBER(G3152)),"SEM META",IF(G3152=0,"SEM META",IF(NOT(ISNUMBER(H3152)),"SEM APONTAMENTO",IF(H3152&gt;=G3152,"VERDE",IF(H3152&gt;=G3152*0.9,"AMARELO","VERMELHO")))))</f>
        <v/>
      </c>
    </row>
    <row r="3153">
      <c r="A3153" s="321" t="n">
        <v>46559</v>
      </c>
      <c r="B3153" t="inlineStr">
        <is>
          <t>GERAL</t>
        </is>
      </c>
      <c r="C3153" t="inlineStr">
        <is>
          <t>GLOBO AÇOS</t>
        </is>
      </c>
      <c r="D3153" t="inlineStr">
        <is>
          <t>TELHAR</t>
        </is>
      </c>
      <c r="F3153">
        <f>IFERROR(INDEX('BASE METAS DIÁRIAS'!$AA$2:$AC$358,MATCH($A3153,'BASE METAS DIÁRIAS'!$A$2:$A$358,0),2),"")</f>
        <v/>
      </c>
      <c r="G3153">
        <f>IFERROR(IF(WEEKDAY($A3153,2)&lt;=INDEX('BASE METAS DIÁRIAS'!$X$2:$Z$358,MATCH($A3153,'BASE METAS DIÁRIAS'!$A$2:$A$358,0),2),INDEX('BASE METAS DIÁRIAS'!$U$2:$W$358,MATCH($A3153,'BASE METAS DIÁRIAS'!$A$2:$A$358,0),2),""),"")</f>
        <v/>
      </c>
      <c r="H3153">
        <f>IFERROR(IF(INDEX('CONTROLE PRODUÇÃO POR EMPRESAS'!$H$6:$J$5000,MATCH($A3153,'CONTROLE PRODUÇÃO POR EMPRESAS'!$A$6:$A$5000,0),2)="","",IFERROR(1*INDEX('CONTROLE PRODUÇÃO POR EMPRESAS'!$H$6:$J$5000,MATCH($A3153,'CONTROLE PRODUÇÃO POR EMPRESAS'!$A$6:$A$5000,0),2),"")),"")</f>
        <v/>
      </c>
      <c r="I3153">
        <f>IF(OR(NOT(ISNUMBER(G3153)),NOT(ISNUMBER(H3153))),"",H3153-G3153)</f>
        <v/>
      </c>
      <c r="J3153">
        <f>IF(OR(NOT(ISNUMBER(G3153)),NOT(ISNUMBER(H3153)),G3153=0),"",I3153/G3153)</f>
        <v/>
      </c>
      <c r="K3153">
        <f>IF(OR(NOT(ISNUMBER(G3153)),NOT(ISNUMBER(H3153)),G3153=0),"",H3153/G3153)</f>
        <v/>
      </c>
      <c r="L3153">
        <f>IF(NOT(ISNUMBER(G3153)),"SEM META",IF(G3153=0,"SEM META",IF(NOT(ISNUMBER(H3153)),"SEM APONTAMENTO",IF(H3153&gt;=G3153,"VERDE",IF(H3153&gt;=G3153*0.9,"AMARELO","VERMELHO")))))</f>
        <v/>
      </c>
    </row>
    <row r="3154">
      <c r="A3154" s="321" t="n">
        <v>46559</v>
      </c>
      <c r="B3154" t="inlineStr">
        <is>
          <t>GERAL</t>
        </is>
      </c>
      <c r="C3154" t="inlineStr">
        <is>
          <t>GLOBO AÇOS</t>
        </is>
      </c>
      <c r="D3154" t="inlineStr">
        <is>
          <t>FECHAMENTO</t>
        </is>
      </c>
      <c r="F3154">
        <f>IFERROR(INDEX('BASE METAS DIÁRIAS'!$AA$2:$AC$358,MATCH($A3154,'BASE METAS DIÁRIAS'!$A$2:$A$358,0),3),"")</f>
        <v/>
      </c>
      <c r="G3154">
        <f>IFERROR(IF(WEEKDAY($A3154,2)&lt;=INDEX('BASE METAS DIÁRIAS'!$X$2:$Z$358,MATCH($A3154,'BASE METAS DIÁRIAS'!$A$2:$A$358,0),3),INDEX('BASE METAS DIÁRIAS'!$U$2:$W$358,MATCH($A3154,'BASE METAS DIÁRIAS'!$A$2:$A$358,0),3),""),"")</f>
        <v/>
      </c>
      <c r="H3154">
        <f>IFERROR(IF(INDEX('CONTROLE PRODUÇÃO POR EMPRESAS'!$H$6:$J$5000,MATCH($A3154,'CONTROLE PRODUÇÃO POR EMPRESAS'!$A$6:$A$5000,0),3)="","",IFERROR(1*INDEX('CONTROLE PRODUÇÃO POR EMPRESAS'!$H$6:$J$5000,MATCH($A3154,'CONTROLE PRODUÇÃO POR EMPRESAS'!$A$6:$A$5000,0),3),"")),"")</f>
        <v/>
      </c>
      <c r="I3154">
        <f>IF(OR(NOT(ISNUMBER(G3154)),NOT(ISNUMBER(H3154))),"",H3154-G3154)</f>
        <v/>
      </c>
      <c r="J3154">
        <f>IF(OR(NOT(ISNUMBER(G3154)),NOT(ISNUMBER(H3154)),G3154=0),"",I3154/G3154)</f>
        <v/>
      </c>
      <c r="K3154">
        <f>IF(OR(NOT(ISNUMBER(G3154)),NOT(ISNUMBER(H3154)),G3154=0),"",H3154/G3154)</f>
        <v/>
      </c>
      <c r="L3154">
        <f>IF(NOT(ISNUMBER(G3154)),"SEM META",IF(G3154=0,"SEM META",IF(NOT(ISNUMBER(H3154)),"SEM APONTAMENTO",IF(H3154&gt;=G3154,"VERDE",IF(H3154&gt;=G3154*0.9,"AMARELO","VERMELHO")))))</f>
        <v/>
      </c>
    </row>
    <row r="3155">
      <c r="A3155" s="321" t="n">
        <v>46560</v>
      </c>
      <c r="B3155" t="inlineStr">
        <is>
          <t>GERAL</t>
        </is>
      </c>
      <c r="C3155" t="inlineStr">
        <is>
          <t>GLOBO AÇOS</t>
        </is>
      </c>
      <c r="D3155" t="inlineStr">
        <is>
          <t>PERFILAÇÃO</t>
        </is>
      </c>
      <c r="F3155">
        <f>IFERROR(INDEX('BASE METAS DIÁRIAS'!$AA$2:$AC$358,MATCH($A3155,'BASE METAS DIÁRIAS'!$A$2:$A$358,0),1),"")</f>
        <v/>
      </c>
      <c r="G3155">
        <f>IFERROR(IF(WEEKDAY($A3155,2)&lt;=INDEX('BASE METAS DIÁRIAS'!$X$2:$Z$358,MATCH($A3155,'BASE METAS DIÁRIAS'!$A$2:$A$358,0),1),INDEX('BASE METAS DIÁRIAS'!$U$2:$W$358,MATCH($A3155,'BASE METAS DIÁRIAS'!$A$2:$A$358,0),1),""),"")</f>
        <v/>
      </c>
      <c r="H3155">
        <f>IFERROR(IF(INDEX('CONTROLE PRODUÇÃO POR EMPRESAS'!$H$6:$J$5000,MATCH($A3155,'CONTROLE PRODUÇÃO POR EMPRESAS'!$A$6:$A$5000,0),1)="","",IFERROR(1*INDEX('CONTROLE PRODUÇÃO POR EMPRESAS'!$H$6:$J$5000,MATCH($A3155,'CONTROLE PRODUÇÃO POR EMPRESAS'!$A$6:$A$5000,0),1),"")),"")</f>
        <v/>
      </c>
      <c r="I3155">
        <f>IF(OR(NOT(ISNUMBER(G3155)),NOT(ISNUMBER(H3155))),"",H3155-G3155)</f>
        <v/>
      </c>
      <c r="J3155">
        <f>IF(OR(NOT(ISNUMBER(G3155)),NOT(ISNUMBER(H3155)),G3155=0),"",I3155/G3155)</f>
        <v/>
      </c>
      <c r="K3155">
        <f>IF(OR(NOT(ISNUMBER(G3155)),NOT(ISNUMBER(H3155)),G3155=0),"",H3155/G3155)</f>
        <v/>
      </c>
      <c r="L3155">
        <f>IF(NOT(ISNUMBER(G3155)),"SEM META",IF(G3155=0,"SEM META",IF(NOT(ISNUMBER(H3155)),"SEM APONTAMENTO",IF(H3155&gt;=G3155,"VERDE",IF(H3155&gt;=G3155*0.9,"AMARELO","VERMELHO")))))</f>
        <v/>
      </c>
    </row>
    <row r="3156">
      <c r="A3156" s="321" t="n">
        <v>46560</v>
      </c>
      <c r="B3156" t="inlineStr">
        <is>
          <t>GERAL</t>
        </is>
      </c>
      <c r="C3156" t="inlineStr">
        <is>
          <t>GLOBO AÇOS</t>
        </is>
      </c>
      <c r="D3156" t="inlineStr">
        <is>
          <t>TELHAR</t>
        </is>
      </c>
      <c r="F3156">
        <f>IFERROR(INDEX('BASE METAS DIÁRIAS'!$AA$2:$AC$358,MATCH($A3156,'BASE METAS DIÁRIAS'!$A$2:$A$358,0),2),"")</f>
        <v/>
      </c>
      <c r="G3156">
        <f>IFERROR(IF(WEEKDAY($A3156,2)&lt;=INDEX('BASE METAS DIÁRIAS'!$X$2:$Z$358,MATCH($A3156,'BASE METAS DIÁRIAS'!$A$2:$A$358,0),2),INDEX('BASE METAS DIÁRIAS'!$U$2:$W$358,MATCH($A3156,'BASE METAS DIÁRIAS'!$A$2:$A$358,0),2),""),"")</f>
        <v/>
      </c>
      <c r="H3156">
        <f>IFERROR(IF(INDEX('CONTROLE PRODUÇÃO POR EMPRESAS'!$H$6:$J$5000,MATCH($A3156,'CONTROLE PRODUÇÃO POR EMPRESAS'!$A$6:$A$5000,0),2)="","",IFERROR(1*INDEX('CONTROLE PRODUÇÃO POR EMPRESAS'!$H$6:$J$5000,MATCH($A3156,'CONTROLE PRODUÇÃO POR EMPRESAS'!$A$6:$A$5000,0),2),"")),"")</f>
        <v/>
      </c>
      <c r="I3156">
        <f>IF(OR(NOT(ISNUMBER(G3156)),NOT(ISNUMBER(H3156))),"",H3156-G3156)</f>
        <v/>
      </c>
      <c r="J3156">
        <f>IF(OR(NOT(ISNUMBER(G3156)),NOT(ISNUMBER(H3156)),G3156=0),"",I3156/G3156)</f>
        <v/>
      </c>
      <c r="K3156">
        <f>IF(OR(NOT(ISNUMBER(G3156)),NOT(ISNUMBER(H3156)),G3156=0),"",H3156/G3156)</f>
        <v/>
      </c>
      <c r="L3156">
        <f>IF(NOT(ISNUMBER(G3156)),"SEM META",IF(G3156=0,"SEM META",IF(NOT(ISNUMBER(H3156)),"SEM APONTAMENTO",IF(H3156&gt;=G3156,"VERDE",IF(H3156&gt;=G3156*0.9,"AMARELO","VERMELHO")))))</f>
        <v/>
      </c>
    </row>
    <row r="3157">
      <c r="A3157" s="321" t="n">
        <v>46560</v>
      </c>
      <c r="B3157" t="inlineStr">
        <is>
          <t>GERAL</t>
        </is>
      </c>
      <c r="C3157" t="inlineStr">
        <is>
          <t>GLOBO AÇOS</t>
        </is>
      </c>
      <c r="D3157" t="inlineStr">
        <is>
          <t>FECHAMENTO</t>
        </is>
      </c>
      <c r="F3157">
        <f>IFERROR(INDEX('BASE METAS DIÁRIAS'!$AA$2:$AC$358,MATCH($A3157,'BASE METAS DIÁRIAS'!$A$2:$A$358,0),3),"")</f>
        <v/>
      </c>
      <c r="G3157">
        <f>IFERROR(IF(WEEKDAY($A3157,2)&lt;=INDEX('BASE METAS DIÁRIAS'!$X$2:$Z$358,MATCH($A3157,'BASE METAS DIÁRIAS'!$A$2:$A$358,0),3),INDEX('BASE METAS DIÁRIAS'!$U$2:$W$358,MATCH($A3157,'BASE METAS DIÁRIAS'!$A$2:$A$358,0),3),""),"")</f>
        <v/>
      </c>
      <c r="H3157">
        <f>IFERROR(IF(INDEX('CONTROLE PRODUÇÃO POR EMPRESAS'!$H$6:$J$5000,MATCH($A3157,'CONTROLE PRODUÇÃO POR EMPRESAS'!$A$6:$A$5000,0),3)="","",IFERROR(1*INDEX('CONTROLE PRODUÇÃO POR EMPRESAS'!$H$6:$J$5000,MATCH($A3157,'CONTROLE PRODUÇÃO POR EMPRESAS'!$A$6:$A$5000,0),3),"")),"")</f>
        <v/>
      </c>
      <c r="I3157">
        <f>IF(OR(NOT(ISNUMBER(G3157)),NOT(ISNUMBER(H3157))),"",H3157-G3157)</f>
        <v/>
      </c>
      <c r="J3157">
        <f>IF(OR(NOT(ISNUMBER(G3157)),NOT(ISNUMBER(H3157)),G3157=0),"",I3157/G3157)</f>
        <v/>
      </c>
      <c r="K3157">
        <f>IF(OR(NOT(ISNUMBER(G3157)),NOT(ISNUMBER(H3157)),G3157=0),"",H3157/G3157)</f>
        <v/>
      </c>
      <c r="L3157">
        <f>IF(NOT(ISNUMBER(G3157)),"SEM META",IF(G3157=0,"SEM META",IF(NOT(ISNUMBER(H3157)),"SEM APONTAMENTO",IF(H3157&gt;=G3157,"VERDE",IF(H3157&gt;=G3157*0.9,"AMARELO","VERMELHO")))))</f>
        <v/>
      </c>
    </row>
    <row r="3158">
      <c r="A3158" s="321" t="n">
        <v>46561</v>
      </c>
      <c r="B3158" t="inlineStr">
        <is>
          <t>GERAL</t>
        </is>
      </c>
      <c r="C3158" t="inlineStr">
        <is>
          <t>GLOBO AÇOS</t>
        </is>
      </c>
      <c r="D3158" t="inlineStr">
        <is>
          <t>PERFILAÇÃO</t>
        </is>
      </c>
      <c r="F3158">
        <f>IFERROR(INDEX('BASE METAS DIÁRIAS'!$AA$2:$AC$358,MATCH($A3158,'BASE METAS DIÁRIAS'!$A$2:$A$358,0),1),"")</f>
        <v/>
      </c>
      <c r="G3158">
        <f>IFERROR(IF(WEEKDAY($A3158,2)&lt;=INDEX('BASE METAS DIÁRIAS'!$X$2:$Z$358,MATCH($A3158,'BASE METAS DIÁRIAS'!$A$2:$A$358,0),1),INDEX('BASE METAS DIÁRIAS'!$U$2:$W$358,MATCH($A3158,'BASE METAS DIÁRIAS'!$A$2:$A$358,0),1),""),"")</f>
        <v/>
      </c>
      <c r="H3158">
        <f>IFERROR(IF(INDEX('CONTROLE PRODUÇÃO POR EMPRESAS'!$H$6:$J$5000,MATCH($A3158,'CONTROLE PRODUÇÃO POR EMPRESAS'!$A$6:$A$5000,0),1)="","",IFERROR(1*INDEX('CONTROLE PRODUÇÃO POR EMPRESAS'!$H$6:$J$5000,MATCH($A3158,'CONTROLE PRODUÇÃO POR EMPRESAS'!$A$6:$A$5000,0),1),"")),"")</f>
        <v/>
      </c>
      <c r="I3158">
        <f>IF(OR(NOT(ISNUMBER(G3158)),NOT(ISNUMBER(H3158))),"",H3158-G3158)</f>
        <v/>
      </c>
      <c r="J3158">
        <f>IF(OR(NOT(ISNUMBER(G3158)),NOT(ISNUMBER(H3158)),G3158=0),"",I3158/G3158)</f>
        <v/>
      </c>
      <c r="K3158">
        <f>IF(OR(NOT(ISNUMBER(G3158)),NOT(ISNUMBER(H3158)),G3158=0),"",H3158/G3158)</f>
        <v/>
      </c>
      <c r="L3158">
        <f>IF(NOT(ISNUMBER(G3158)),"SEM META",IF(G3158=0,"SEM META",IF(NOT(ISNUMBER(H3158)),"SEM APONTAMENTO",IF(H3158&gt;=G3158,"VERDE",IF(H3158&gt;=G3158*0.9,"AMARELO","VERMELHO")))))</f>
        <v/>
      </c>
    </row>
    <row r="3159">
      <c r="A3159" s="321" t="n">
        <v>46561</v>
      </c>
      <c r="B3159" t="inlineStr">
        <is>
          <t>GERAL</t>
        </is>
      </c>
      <c r="C3159" t="inlineStr">
        <is>
          <t>GLOBO AÇOS</t>
        </is>
      </c>
      <c r="D3159" t="inlineStr">
        <is>
          <t>TELHAR</t>
        </is>
      </c>
      <c r="F3159">
        <f>IFERROR(INDEX('BASE METAS DIÁRIAS'!$AA$2:$AC$358,MATCH($A3159,'BASE METAS DIÁRIAS'!$A$2:$A$358,0),2),"")</f>
        <v/>
      </c>
      <c r="G3159">
        <f>IFERROR(IF(WEEKDAY($A3159,2)&lt;=INDEX('BASE METAS DIÁRIAS'!$X$2:$Z$358,MATCH($A3159,'BASE METAS DIÁRIAS'!$A$2:$A$358,0),2),INDEX('BASE METAS DIÁRIAS'!$U$2:$W$358,MATCH($A3159,'BASE METAS DIÁRIAS'!$A$2:$A$358,0),2),""),"")</f>
        <v/>
      </c>
      <c r="H3159">
        <f>IFERROR(IF(INDEX('CONTROLE PRODUÇÃO POR EMPRESAS'!$H$6:$J$5000,MATCH($A3159,'CONTROLE PRODUÇÃO POR EMPRESAS'!$A$6:$A$5000,0),2)="","",IFERROR(1*INDEX('CONTROLE PRODUÇÃO POR EMPRESAS'!$H$6:$J$5000,MATCH($A3159,'CONTROLE PRODUÇÃO POR EMPRESAS'!$A$6:$A$5000,0),2),"")),"")</f>
        <v/>
      </c>
      <c r="I3159">
        <f>IF(OR(NOT(ISNUMBER(G3159)),NOT(ISNUMBER(H3159))),"",H3159-G3159)</f>
        <v/>
      </c>
      <c r="J3159">
        <f>IF(OR(NOT(ISNUMBER(G3159)),NOT(ISNUMBER(H3159)),G3159=0),"",I3159/G3159)</f>
        <v/>
      </c>
      <c r="K3159">
        <f>IF(OR(NOT(ISNUMBER(G3159)),NOT(ISNUMBER(H3159)),G3159=0),"",H3159/G3159)</f>
        <v/>
      </c>
      <c r="L3159">
        <f>IF(NOT(ISNUMBER(G3159)),"SEM META",IF(G3159=0,"SEM META",IF(NOT(ISNUMBER(H3159)),"SEM APONTAMENTO",IF(H3159&gt;=G3159,"VERDE",IF(H3159&gt;=G3159*0.9,"AMARELO","VERMELHO")))))</f>
        <v/>
      </c>
    </row>
    <row r="3160">
      <c r="A3160" s="321" t="n">
        <v>46561</v>
      </c>
      <c r="B3160" t="inlineStr">
        <is>
          <t>GERAL</t>
        </is>
      </c>
      <c r="C3160" t="inlineStr">
        <is>
          <t>GLOBO AÇOS</t>
        </is>
      </c>
      <c r="D3160" t="inlineStr">
        <is>
          <t>FECHAMENTO</t>
        </is>
      </c>
      <c r="F3160">
        <f>IFERROR(INDEX('BASE METAS DIÁRIAS'!$AA$2:$AC$358,MATCH($A3160,'BASE METAS DIÁRIAS'!$A$2:$A$358,0),3),"")</f>
        <v/>
      </c>
      <c r="G3160">
        <f>IFERROR(IF(WEEKDAY($A3160,2)&lt;=INDEX('BASE METAS DIÁRIAS'!$X$2:$Z$358,MATCH($A3160,'BASE METAS DIÁRIAS'!$A$2:$A$358,0),3),INDEX('BASE METAS DIÁRIAS'!$U$2:$W$358,MATCH($A3160,'BASE METAS DIÁRIAS'!$A$2:$A$358,0),3),""),"")</f>
        <v/>
      </c>
      <c r="H3160">
        <f>IFERROR(IF(INDEX('CONTROLE PRODUÇÃO POR EMPRESAS'!$H$6:$J$5000,MATCH($A3160,'CONTROLE PRODUÇÃO POR EMPRESAS'!$A$6:$A$5000,0),3)="","",IFERROR(1*INDEX('CONTROLE PRODUÇÃO POR EMPRESAS'!$H$6:$J$5000,MATCH($A3160,'CONTROLE PRODUÇÃO POR EMPRESAS'!$A$6:$A$5000,0),3),"")),"")</f>
        <v/>
      </c>
      <c r="I3160">
        <f>IF(OR(NOT(ISNUMBER(G3160)),NOT(ISNUMBER(H3160))),"",H3160-G3160)</f>
        <v/>
      </c>
      <c r="J3160">
        <f>IF(OR(NOT(ISNUMBER(G3160)),NOT(ISNUMBER(H3160)),G3160=0),"",I3160/G3160)</f>
        <v/>
      </c>
      <c r="K3160">
        <f>IF(OR(NOT(ISNUMBER(G3160)),NOT(ISNUMBER(H3160)),G3160=0),"",H3160/G3160)</f>
        <v/>
      </c>
      <c r="L3160">
        <f>IF(NOT(ISNUMBER(G3160)),"SEM META",IF(G3160=0,"SEM META",IF(NOT(ISNUMBER(H3160)),"SEM APONTAMENTO",IF(H3160&gt;=G3160,"VERDE",IF(H3160&gt;=G3160*0.9,"AMARELO","VERMELHO")))))</f>
        <v/>
      </c>
    </row>
    <row r="3161">
      <c r="A3161" s="321" t="n">
        <v>46562</v>
      </c>
      <c r="B3161" t="inlineStr">
        <is>
          <t>GERAL</t>
        </is>
      </c>
      <c r="C3161" t="inlineStr">
        <is>
          <t>GLOBO AÇOS</t>
        </is>
      </c>
      <c r="D3161" t="inlineStr">
        <is>
          <t>PERFILAÇÃO</t>
        </is>
      </c>
      <c r="F3161">
        <f>IFERROR(INDEX('BASE METAS DIÁRIAS'!$AA$2:$AC$358,MATCH($A3161,'BASE METAS DIÁRIAS'!$A$2:$A$358,0),1),"")</f>
        <v/>
      </c>
      <c r="G3161">
        <f>IFERROR(IF(WEEKDAY($A3161,2)&lt;=INDEX('BASE METAS DIÁRIAS'!$X$2:$Z$358,MATCH($A3161,'BASE METAS DIÁRIAS'!$A$2:$A$358,0),1),INDEX('BASE METAS DIÁRIAS'!$U$2:$W$358,MATCH($A3161,'BASE METAS DIÁRIAS'!$A$2:$A$358,0),1),""),"")</f>
        <v/>
      </c>
      <c r="H3161">
        <f>IFERROR(IF(INDEX('CONTROLE PRODUÇÃO POR EMPRESAS'!$H$6:$J$5000,MATCH($A3161,'CONTROLE PRODUÇÃO POR EMPRESAS'!$A$6:$A$5000,0),1)="","",IFERROR(1*INDEX('CONTROLE PRODUÇÃO POR EMPRESAS'!$H$6:$J$5000,MATCH($A3161,'CONTROLE PRODUÇÃO POR EMPRESAS'!$A$6:$A$5000,0),1),"")),"")</f>
        <v/>
      </c>
      <c r="I3161">
        <f>IF(OR(NOT(ISNUMBER(G3161)),NOT(ISNUMBER(H3161))),"",H3161-G3161)</f>
        <v/>
      </c>
      <c r="J3161">
        <f>IF(OR(NOT(ISNUMBER(G3161)),NOT(ISNUMBER(H3161)),G3161=0),"",I3161/G3161)</f>
        <v/>
      </c>
      <c r="K3161">
        <f>IF(OR(NOT(ISNUMBER(G3161)),NOT(ISNUMBER(H3161)),G3161=0),"",H3161/G3161)</f>
        <v/>
      </c>
      <c r="L3161">
        <f>IF(NOT(ISNUMBER(G3161)),"SEM META",IF(G3161=0,"SEM META",IF(NOT(ISNUMBER(H3161)),"SEM APONTAMENTO",IF(H3161&gt;=G3161,"VERDE",IF(H3161&gt;=G3161*0.9,"AMARELO","VERMELHO")))))</f>
        <v/>
      </c>
    </row>
    <row r="3162">
      <c r="A3162" s="321" t="n">
        <v>46562</v>
      </c>
      <c r="B3162" t="inlineStr">
        <is>
          <t>GERAL</t>
        </is>
      </c>
      <c r="C3162" t="inlineStr">
        <is>
          <t>GLOBO AÇOS</t>
        </is>
      </c>
      <c r="D3162" t="inlineStr">
        <is>
          <t>TELHAR</t>
        </is>
      </c>
      <c r="F3162">
        <f>IFERROR(INDEX('BASE METAS DIÁRIAS'!$AA$2:$AC$358,MATCH($A3162,'BASE METAS DIÁRIAS'!$A$2:$A$358,0),2),"")</f>
        <v/>
      </c>
      <c r="G3162">
        <f>IFERROR(IF(WEEKDAY($A3162,2)&lt;=INDEX('BASE METAS DIÁRIAS'!$X$2:$Z$358,MATCH($A3162,'BASE METAS DIÁRIAS'!$A$2:$A$358,0),2),INDEX('BASE METAS DIÁRIAS'!$U$2:$W$358,MATCH($A3162,'BASE METAS DIÁRIAS'!$A$2:$A$358,0),2),""),"")</f>
        <v/>
      </c>
      <c r="H3162">
        <f>IFERROR(IF(INDEX('CONTROLE PRODUÇÃO POR EMPRESAS'!$H$6:$J$5000,MATCH($A3162,'CONTROLE PRODUÇÃO POR EMPRESAS'!$A$6:$A$5000,0),2)="","",IFERROR(1*INDEX('CONTROLE PRODUÇÃO POR EMPRESAS'!$H$6:$J$5000,MATCH($A3162,'CONTROLE PRODUÇÃO POR EMPRESAS'!$A$6:$A$5000,0),2),"")),"")</f>
        <v/>
      </c>
      <c r="I3162">
        <f>IF(OR(NOT(ISNUMBER(G3162)),NOT(ISNUMBER(H3162))),"",H3162-G3162)</f>
        <v/>
      </c>
      <c r="J3162">
        <f>IF(OR(NOT(ISNUMBER(G3162)),NOT(ISNUMBER(H3162)),G3162=0),"",I3162/G3162)</f>
        <v/>
      </c>
      <c r="K3162">
        <f>IF(OR(NOT(ISNUMBER(G3162)),NOT(ISNUMBER(H3162)),G3162=0),"",H3162/G3162)</f>
        <v/>
      </c>
      <c r="L3162">
        <f>IF(NOT(ISNUMBER(G3162)),"SEM META",IF(G3162=0,"SEM META",IF(NOT(ISNUMBER(H3162)),"SEM APONTAMENTO",IF(H3162&gt;=G3162,"VERDE",IF(H3162&gt;=G3162*0.9,"AMARELO","VERMELHO")))))</f>
        <v/>
      </c>
    </row>
    <row r="3163">
      <c r="A3163" s="321" t="n">
        <v>46562</v>
      </c>
      <c r="B3163" t="inlineStr">
        <is>
          <t>GERAL</t>
        </is>
      </c>
      <c r="C3163" t="inlineStr">
        <is>
          <t>GLOBO AÇOS</t>
        </is>
      </c>
      <c r="D3163" t="inlineStr">
        <is>
          <t>FECHAMENTO</t>
        </is>
      </c>
      <c r="F3163">
        <f>IFERROR(INDEX('BASE METAS DIÁRIAS'!$AA$2:$AC$358,MATCH($A3163,'BASE METAS DIÁRIAS'!$A$2:$A$358,0),3),"")</f>
        <v/>
      </c>
      <c r="G3163">
        <f>IFERROR(IF(WEEKDAY($A3163,2)&lt;=INDEX('BASE METAS DIÁRIAS'!$X$2:$Z$358,MATCH($A3163,'BASE METAS DIÁRIAS'!$A$2:$A$358,0),3),INDEX('BASE METAS DIÁRIAS'!$U$2:$W$358,MATCH($A3163,'BASE METAS DIÁRIAS'!$A$2:$A$358,0),3),""),"")</f>
        <v/>
      </c>
      <c r="H3163">
        <f>IFERROR(IF(INDEX('CONTROLE PRODUÇÃO POR EMPRESAS'!$H$6:$J$5000,MATCH($A3163,'CONTROLE PRODUÇÃO POR EMPRESAS'!$A$6:$A$5000,0),3)="","",IFERROR(1*INDEX('CONTROLE PRODUÇÃO POR EMPRESAS'!$H$6:$J$5000,MATCH($A3163,'CONTROLE PRODUÇÃO POR EMPRESAS'!$A$6:$A$5000,0),3),"")),"")</f>
        <v/>
      </c>
      <c r="I3163">
        <f>IF(OR(NOT(ISNUMBER(G3163)),NOT(ISNUMBER(H3163))),"",H3163-G3163)</f>
        <v/>
      </c>
      <c r="J3163">
        <f>IF(OR(NOT(ISNUMBER(G3163)),NOT(ISNUMBER(H3163)),G3163=0),"",I3163/G3163)</f>
        <v/>
      </c>
      <c r="K3163">
        <f>IF(OR(NOT(ISNUMBER(G3163)),NOT(ISNUMBER(H3163)),G3163=0),"",H3163/G3163)</f>
        <v/>
      </c>
      <c r="L3163">
        <f>IF(NOT(ISNUMBER(G3163)),"SEM META",IF(G3163=0,"SEM META",IF(NOT(ISNUMBER(H3163)),"SEM APONTAMENTO",IF(H3163&gt;=G3163,"VERDE",IF(H3163&gt;=G3163*0.9,"AMARELO","VERMELHO")))))</f>
        <v/>
      </c>
    </row>
    <row r="3164">
      <c r="A3164" s="321" t="n">
        <v>46563</v>
      </c>
      <c r="B3164" t="inlineStr">
        <is>
          <t>GERAL</t>
        </is>
      </c>
      <c r="C3164" t="inlineStr">
        <is>
          <t>GLOBO AÇOS</t>
        </is>
      </c>
      <c r="D3164" t="inlineStr">
        <is>
          <t>PERFILAÇÃO</t>
        </is>
      </c>
      <c r="F3164">
        <f>IFERROR(INDEX('BASE METAS DIÁRIAS'!$AA$2:$AC$358,MATCH($A3164,'BASE METAS DIÁRIAS'!$A$2:$A$358,0),1),"")</f>
        <v/>
      </c>
      <c r="G3164">
        <f>IFERROR(IF(WEEKDAY($A3164,2)&lt;=INDEX('BASE METAS DIÁRIAS'!$X$2:$Z$358,MATCH($A3164,'BASE METAS DIÁRIAS'!$A$2:$A$358,0),1),INDEX('BASE METAS DIÁRIAS'!$U$2:$W$358,MATCH($A3164,'BASE METAS DIÁRIAS'!$A$2:$A$358,0),1),""),"")</f>
        <v/>
      </c>
      <c r="H3164">
        <f>IFERROR(IF(INDEX('CONTROLE PRODUÇÃO POR EMPRESAS'!$H$6:$J$5000,MATCH($A3164,'CONTROLE PRODUÇÃO POR EMPRESAS'!$A$6:$A$5000,0),1)="","",IFERROR(1*INDEX('CONTROLE PRODUÇÃO POR EMPRESAS'!$H$6:$J$5000,MATCH($A3164,'CONTROLE PRODUÇÃO POR EMPRESAS'!$A$6:$A$5000,0),1),"")),"")</f>
        <v/>
      </c>
      <c r="I3164">
        <f>IF(OR(NOT(ISNUMBER(G3164)),NOT(ISNUMBER(H3164))),"",H3164-G3164)</f>
        <v/>
      </c>
      <c r="J3164">
        <f>IF(OR(NOT(ISNUMBER(G3164)),NOT(ISNUMBER(H3164)),G3164=0),"",I3164/G3164)</f>
        <v/>
      </c>
      <c r="K3164">
        <f>IF(OR(NOT(ISNUMBER(G3164)),NOT(ISNUMBER(H3164)),G3164=0),"",H3164/G3164)</f>
        <v/>
      </c>
      <c r="L3164">
        <f>IF(NOT(ISNUMBER(G3164)),"SEM META",IF(G3164=0,"SEM META",IF(NOT(ISNUMBER(H3164)),"SEM APONTAMENTO",IF(H3164&gt;=G3164,"VERDE",IF(H3164&gt;=G3164*0.9,"AMARELO","VERMELHO")))))</f>
        <v/>
      </c>
    </row>
    <row r="3165">
      <c r="A3165" s="321" t="n">
        <v>46563</v>
      </c>
      <c r="B3165" t="inlineStr">
        <is>
          <t>GERAL</t>
        </is>
      </c>
      <c r="C3165" t="inlineStr">
        <is>
          <t>GLOBO AÇOS</t>
        </is>
      </c>
      <c r="D3165" t="inlineStr">
        <is>
          <t>TELHAR</t>
        </is>
      </c>
      <c r="F3165">
        <f>IFERROR(INDEX('BASE METAS DIÁRIAS'!$AA$2:$AC$358,MATCH($A3165,'BASE METAS DIÁRIAS'!$A$2:$A$358,0),2),"")</f>
        <v/>
      </c>
      <c r="G3165">
        <f>IFERROR(IF(WEEKDAY($A3165,2)&lt;=INDEX('BASE METAS DIÁRIAS'!$X$2:$Z$358,MATCH($A3165,'BASE METAS DIÁRIAS'!$A$2:$A$358,0),2),INDEX('BASE METAS DIÁRIAS'!$U$2:$W$358,MATCH($A3165,'BASE METAS DIÁRIAS'!$A$2:$A$358,0),2),""),"")</f>
        <v/>
      </c>
      <c r="H3165">
        <f>IFERROR(IF(INDEX('CONTROLE PRODUÇÃO POR EMPRESAS'!$H$6:$J$5000,MATCH($A3165,'CONTROLE PRODUÇÃO POR EMPRESAS'!$A$6:$A$5000,0),2)="","",IFERROR(1*INDEX('CONTROLE PRODUÇÃO POR EMPRESAS'!$H$6:$J$5000,MATCH($A3165,'CONTROLE PRODUÇÃO POR EMPRESAS'!$A$6:$A$5000,0),2),"")),"")</f>
        <v/>
      </c>
      <c r="I3165">
        <f>IF(OR(NOT(ISNUMBER(G3165)),NOT(ISNUMBER(H3165))),"",H3165-G3165)</f>
        <v/>
      </c>
      <c r="J3165">
        <f>IF(OR(NOT(ISNUMBER(G3165)),NOT(ISNUMBER(H3165)),G3165=0),"",I3165/G3165)</f>
        <v/>
      </c>
      <c r="K3165">
        <f>IF(OR(NOT(ISNUMBER(G3165)),NOT(ISNUMBER(H3165)),G3165=0),"",H3165/G3165)</f>
        <v/>
      </c>
      <c r="L3165">
        <f>IF(NOT(ISNUMBER(G3165)),"SEM META",IF(G3165=0,"SEM META",IF(NOT(ISNUMBER(H3165)),"SEM APONTAMENTO",IF(H3165&gt;=G3165,"VERDE",IF(H3165&gt;=G3165*0.9,"AMARELO","VERMELHO")))))</f>
        <v/>
      </c>
    </row>
    <row r="3166">
      <c r="A3166" s="321" t="n">
        <v>46563</v>
      </c>
      <c r="B3166" t="inlineStr">
        <is>
          <t>GERAL</t>
        </is>
      </c>
      <c r="C3166" t="inlineStr">
        <is>
          <t>GLOBO AÇOS</t>
        </is>
      </c>
      <c r="D3166" t="inlineStr">
        <is>
          <t>FECHAMENTO</t>
        </is>
      </c>
      <c r="F3166">
        <f>IFERROR(INDEX('BASE METAS DIÁRIAS'!$AA$2:$AC$358,MATCH($A3166,'BASE METAS DIÁRIAS'!$A$2:$A$358,0),3),"")</f>
        <v/>
      </c>
      <c r="G3166">
        <f>IFERROR(IF(WEEKDAY($A3166,2)&lt;=INDEX('BASE METAS DIÁRIAS'!$X$2:$Z$358,MATCH($A3166,'BASE METAS DIÁRIAS'!$A$2:$A$358,0),3),INDEX('BASE METAS DIÁRIAS'!$U$2:$W$358,MATCH($A3166,'BASE METAS DIÁRIAS'!$A$2:$A$358,0),3),""),"")</f>
        <v/>
      </c>
      <c r="H3166">
        <f>IFERROR(IF(INDEX('CONTROLE PRODUÇÃO POR EMPRESAS'!$H$6:$J$5000,MATCH($A3166,'CONTROLE PRODUÇÃO POR EMPRESAS'!$A$6:$A$5000,0),3)="","",IFERROR(1*INDEX('CONTROLE PRODUÇÃO POR EMPRESAS'!$H$6:$J$5000,MATCH($A3166,'CONTROLE PRODUÇÃO POR EMPRESAS'!$A$6:$A$5000,0),3),"")),"")</f>
        <v/>
      </c>
      <c r="I3166">
        <f>IF(OR(NOT(ISNUMBER(G3166)),NOT(ISNUMBER(H3166))),"",H3166-G3166)</f>
        <v/>
      </c>
      <c r="J3166">
        <f>IF(OR(NOT(ISNUMBER(G3166)),NOT(ISNUMBER(H3166)),G3166=0),"",I3166/G3166)</f>
        <v/>
      </c>
      <c r="K3166">
        <f>IF(OR(NOT(ISNUMBER(G3166)),NOT(ISNUMBER(H3166)),G3166=0),"",H3166/G3166)</f>
        <v/>
      </c>
      <c r="L3166">
        <f>IF(NOT(ISNUMBER(G3166)),"SEM META",IF(G3166=0,"SEM META",IF(NOT(ISNUMBER(H3166)),"SEM APONTAMENTO",IF(H3166&gt;=G3166,"VERDE",IF(H3166&gt;=G3166*0.9,"AMARELO","VERMELHO")))))</f>
        <v/>
      </c>
    </row>
    <row r="3167">
      <c r="A3167" s="321" t="n">
        <v>46564</v>
      </c>
      <c r="B3167" t="inlineStr">
        <is>
          <t>GERAL</t>
        </is>
      </c>
      <c r="C3167" t="inlineStr">
        <is>
          <t>GLOBO AÇOS</t>
        </is>
      </c>
      <c r="D3167" t="inlineStr">
        <is>
          <t>PERFILAÇÃO</t>
        </is>
      </c>
      <c r="F3167">
        <f>IFERROR(INDEX('BASE METAS DIÁRIAS'!$AA$2:$AC$358,MATCH($A3167,'BASE METAS DIÁRIAS'!$A$2:$A$358,0),1),"")</f>
        <v/>
      </c>
      <c r="G3167">
        <f>IFERROR(IF(WEEKDAY($A3167,2)&lt;=INDEX('BASE METAS DIÁRIAS'!$X$2:$Z$358,MATCH($A3167,'BASE METAS DIÁRIAS'!$A$2:$A$358,0),1),INDEX('BASE METAS DIÁRIAS'!$U$2:$W$358,MATCH($A3167,'BASE METAS DIÁRIAS'!$A$2:$A$358,0),1),""),"")</f>
        <v/>
      </c>
      <c r="H3167">
        <f>IFERROR(IF(INDEX('CONTROLE PRODUÇÃO POR EMPRESAS'!$H$6:$J$5000,MATCH($A3167,'CONTROLE PRODUÇÃO POR EMPRESAS'!$A$6:$A$5000,0),1)="","",IFERROR(1*INDEX('CONTROLE PRODUÇÃO POR EMPRESAS'!$H$6:$J$5000,MATCH($A3167,'CONTROLE PRODUÇÃO POR EMPRESAS'!$A$6:$A$5000,0),1),"")),"")</f>
        <v/>
      </c>
      <c r="I3167">
        <f>IF(OR(NOT(ISNUMBER(G3167)),NOT(ISNUMBER(H3167))),"",H3167-G3167)</f>
        <v/>
      </c>
      <c r="J3167">
        <f>IF(OR(NOT(ISNUMBER(G3167)),NOT(ISNUMBER(H3167)),G3167=0),"",I3167/G3167)</f>
        <v/>
      </c>
      <c r="K3167">
        <f>IF(OR(NOT(ISNUMBER(G3167)),NOT(ISNUMBER(H3167)),G3167=0),"",H3167/G3167)</f>
        <v/>
      </c>
      <c r="L3167">
        <f>IF(NOT(ISNUMBER(G3167)),"SEM META",IF(G3167=0,"SEM META",IF(NOT(ISNUMBER(H3167)),"SEM APONTAMENTO",IF(H3167&gt;=G3167,"VERDE",IF(H3167&gt;=G3167*0.9,"AMARELO","VERMELHO")))))</f>
        <v/>
      </c>
    </row>
    <row r="3168">
      <c r="A3168" s="321" t="n">
        <v>46564</v>
      </c>
      <c r="B3168" t="inlineStr">
        <is>
          <t>GERAL</t>
        </is>
      </c>
      <c r="C3168" t="inlineStr">
        <is>
          <t>GLOBO AÇOS</t>
        </is>
      </c>
      <c r="D3168" t="inlineStr">
        <is>
          <t>TELHAR</t>
        </is>
      </c>
      <c r="F3168">
        <f>IFERROR(INDEX('BASE METAS DIÁRIAS'!$AA$2:$AC$358,MATCH($A3168,'BASE METAS DIÁRIAS'!$A$2:$A$358,0),2),"")</f>
        <v/>
      </c>
      <c r="G3168">
        <f>IFERROR(IF(WEEKDAY($A3168,2)&lt;=INDEX('BASE METAS DIÁRIAS'!$X$2:$Z$358,MATCH($A3168,'BASE METAS DIÁRIAS'!$A$2:$A$358,0),2),INDEX('BASE METAS DIÁRIAS'!$U$2:$W$358,MATCH($A3168,'BASE METAS DIÁRIAS'!$A$2:$A$358,0),2),""),"")</f>
        <v/>
      </c>
      <c r="H3168">
        <f>IFERROR(IF(INDEX('CONTROLE PRODUÇÃO POR EMPRESAS'!$H$6:$J$5000,MATCH($A3168,'CONTROLE PRODUÇÃO POR EMPRESAS'!$A$6:$A$5000,0),2)="","",IFERROR(1*INDEX('CONTROLE PRODUÇÃO POR EMPRESAS'!$H$6:$J$5000,MATCH($A3168,'CONTROLE PRODUÇÃO POR EMPRESAS'!$A$6:$A$5000,0),2),"")),"")</f>
        <v/>
      </c>
      <c r="I3168">
        <f>IF(OR(NOT(ISNUMBER(G3168)),NOT(ISNUMBER(H3168))),"",H3168-G3168)</f>
        <v/>
      </c>
      <c r="J3168">
        <f>IF(OR(NOT(ISNUMBER(G3168)),NOT(ISNUMBER(H3168)),G3168=0),"",I3168/G3168)</f>
        <v/>
      </c>
      <c r="K3168">
        <f>IF(OR(NOT(ISNUMBER(G3168)),NOT(ISNUMBER(H3168)),G3168=0),"",H3168/G3168)</f>
        <v/>
      </c>
      <c r="L3168">
        <f>IF(NOT(ISNUMBER(G3168)),"SEM META",IF(G3168=0,"SEM META",IF(NOT(ISNUMBER(H3168)),"SEM APONTAMENTO",IF(H3168&gt;=G3168,"VERDE",IF(H3168&gt;=G3168*0.9,"AMARELO","VERMELHO")))))</f>
        <v/>
      </c>
    </row>
    <row r="3169">
      <c r="A3169" s="321" t="n">
        <v>46564</v>
      </c>
      <c r="B3169" t="inlineStr">
        <is>
          <t>GERAL</t>
        </is>
      </c>
      <c r="C3169" t="inlineStr">
        <is>
          <t>GLOBO AÇOS</t>
        </is>
      </c>
      <c r="D3169" t="inlineStr">
        <is>
          <t>FECHAMENTO</t>
        </is>
      </c>
      <c r="F3169">
        <f>IFERROR(INDEX('BASE METAS DIÁRIAS'!$AA$2:$AC$358,MATCH($A3169,'BASE METAS DIÁRIAS'!$A$2:$A$358,0),3),"")</f>
        <v/>
      </c>
      <c r="G3169">
        <f>IFERROR(IF(WEEKDAY($A3169,2)&lt;=INDEX('BASE METAS DIÁRIAS'!$X$2:$Z$358,MATCH($A3169,'BASE METAS DIÁRIAS'!$A$2:$A$358,0),3),INDEX('BASE METAS DIÁRIAS'!$U$2:$W$358,MATCH($A3169,'BASE METAS DIÁRIAS'!$A$2:$A$358,0),3),""),"")</f>
        <v/>
      </c>
      <c r="H3169">
        <f>IFERROR(IF(INDEX('CONTROLE PRODUÇÃO POR EMPRESAS'!$H$6:$J$5000,MATCH($A3169,'CONTROLE PRODUÇÃO POR EMPRESAS'!$A$6:$A$5000,0),3)="","",IFERROR(1*INDEX('CONTROLE PRODUÇÃO POR EMPRESAS'!$H$6:$J$5000,MATCH($A3169,'CONTROLE PRODUÇÃO POR EMPRESAS'!$A$6:$A$5000,0),3),"")),"")</f>
        <v/>
      </c>
      <c r="I3169">
        <f>IF(OR(NOT(ISNUMBER(G3169)),NOT(ISNUMBER(H3169))),"",H3169-G3169)</f>
        <v/>
      </c>
      <c r="J3169">
        <f>IF(OR(NOT(ISNUMBER(G3169)),NOT(ISNUMBER(H3169)),G3169=0),"",I3169/G3169)</f>
        <v/>
      </c>
      <c r="K3169">
        <f>IF(OR(NOT(ISNUMBER(G3169)),NOT(ISNUMBER(H3169)),G3169=0),"",H3169/G3169)</f>
        <v/>
      </c>
      <c r="L3169">
        <f>IF(NOT(ISNUMBER(G3169)),"SEM META",IF(G3169=0,"SEM META",IF(NOT(ISNUMBER(H3169)),"SEM APONTAMENTO",IF(H3169&gt;=G3169,"VERDE",IF(H3169&gt;=G3169*0.9,"AMARELO","VERMELHO")))))</f>
        <v/>
      </c>
    </row>
    <row r="3170">
      <c r="A3170" s="321" t="n">
        <v>46565</v>
      </c>
      <c r="B3170" t="inlineStr">
        <is>
          <t>GERAL</t>
        </is>
      </c>
      <c r="C3170" t="inlineStr">
        <is>
          <t>GLOBO AÇOS</t>
        </is>
      </c>
      <c r="D3170" t="inlineStr">
        <is>
          <t>PERFILAÇÃO</t>
        </is>
      </c>
      <c r="F3170">
        <f>IFERROR(INDEX('BASE METAS DIÁRIAS'!$AA$2:$AC$358,MATCH($A3170,'BASE METAS DIÁRIAS'!$A$2:$A$358,0),1),"")</f>
        <v/>
      </c>
      <c r="G3170">
        <f>IFERROR(IF(WEEKDAY($A3170,2)&lt;=INDEX('BASE METAS DIÁRIAS'!$X$2:$Z$358,MATCH($A3170,'BASE METAS DIÁRIAS'!$A$2:$A$358,0),1),INDEX('BASE METAS DIÁRIAS'!$U$2:$W$358,MATCH($A3170,'BASE METAS DIÁRIAS'!$A$2:$A$358,0),1),""),"")</f>
        <v/>
      </c>
      <c r="H3170">
        <f>IFERROR(IF(INDEX('CONTROLE PRODUÇÃO POR EMPRESAS'!$H$6:$J$5000,MATCH($A3170,'CONTROLE PRODUÇÃO POR EMPRESAS'!$A$6:$A$5000,0),1)="","",IFERROR(1*INDEX('CONTROLE PRODUÇÃO POR EMPRESAS'!$H$6:$J$5000,MATCH($A3170,'CONTROLE PRODUÇÃO POR EMPRESAS'!$A$6:$A$5000,0),1),"")),"")</f>
        <v/>
      </c>
      <c r="I3170">
        <f>IF(OR(NOT(ISNUMBER(G3170)),NOT(ISNUMBER(H3170))),"",H3170-G3170)</f>
        <v/>
      </c>
      <c r="J3170">
        <f>IF(OR(NOT(ISNUMBER(G3170)),NOT(ISNUMBER(H3170)),G3170=0),"",I3170/G3170)</f>
        <v/>
      </c>
      <c r="K3170">
        <f>IF(OR(NOT(ISNUMBER(G3170)),NOT(ISNUMBER(H3170)),G3170=0),"",H3170/G3170)</f>
        <v/>
      </c>
      <c r="L3170">
        <f>IF(NOT(ISNUMBER(G3170)),"SEM META",IF(G3170=0,"SEM META",IF(NOT(ISNUMBER(H3170)),"SEM APONTAMENTO",IF(H3170&gt;=G3170,"VERDE",IF(H3170&gt;=G3170*0.9,"AMARELO","VERMELHO")))))</f>
        <v/>
      </c>
    </row>
    <row r="3171">
      <c r="A3171" s="321" t="n">
        <v>46565</v>
      </c>
      <c r="B3171" t="inlineStr">
        <is>
          <t>GERAL</t>
        </is>
      </c>
      <c r="C3171" t="inlineStr">
        <is>
          <t>GLOBO AÇOS</t>
        </is>
      </c>
      <c r="D3171" t="inlineStr">
        <is>
          <t>TELHAR</t>
        </is>
      </c>
      <c r="F3171">
        <f>IFERROR(INDEX('BASE METAS DIÁRIAS'!$AA$2:$AC$358,MATCH($A3171,'BASE METAS DIÁRIAS'!$A$2:$A$358,0),2),"")</f>
        <v/>
      </c>
      <c r="G3171">
        <f>IFERROR(IF(WEEKDAY($A3171,2)&lt;=INDEX('BASE METAS DIÁRIAS'!$X$2:$Z$358,MATCH($A3171,'BASE METAS DIÁRIAS'!$A$2:$A$358,0),2),INDEX('BASE METAS DIÁRIAS'!$U$2:$W$358,MATCH($A3171,'BASE METAS DIÁRIAS'!$A$2:$A$358,0),2),""),"")</f>
        <v/>
      </c>
      <c r="H3171">
        <f>IFERROR(IF(INDEX('CONTROLE PRODUÇÃO POR EMPRESAS'!$H$6:$J$5000,MATCH($A3171,'CONTROLE PRODUÇÃO POR EMPRESAS'!$A$6:$A$5000,0),2)="","",IFERROR(1*INDEX('CONTROLE PRODUÇÃO POR EMPRESAS'!$H$6:$J$5000,MATCH($A3171,'CONTROLE PRODUÇÃO POR EMPRESAS'!$A$6:$A$5000,0),2),"")),"")</f>
        <v/>
      </c>
      <c r="I3171">
        <f>IF(OR(NOT(ISNUMBER(G3171)),NOT(ISNUMBER(H3171))),"",H3171-G3171)</f>
        <v/>
      </c>
      <c r="J3171">
        <f>IF(OR(NOT(ISNUMBER(G3171)),NOT(ISNUMBER(H3171)),G3171=0),"",I3171/G3171)</f>
        <v/>
      </c>
      <c r="K3171">
        <f>IF(OR(NOT(ISNUMBER(G3171)),NOT(ISNUMBER(H3171)),G3171=0),"",H3171/G3171)</f>
        <v/>
      </c>
      <c r="L3171">
        <f>IF(NOT(ISNUMBER(G3171)),"SEM META",IF(G3171=0,"SEM META",IF(NOT(ISNUMBER(H3171)),"SEM APONTAMENTO",IF(H3171&gt;=G3171,"VERDE",IF(H3171&gt;=G3171*0.9,"AMARELO","VERMELHO")))))</f>
        <v/>
      </c>
    </row>
    <row r="3172">
      <c r="A3172" s="321" t="n">
        <v>46565</v>
      </c>
      <c r="B3172" t="inlineStr">
        <is>
          <t>GERAL</t>
        </is>
      </c>
      <c r="C3172" t="inlineStr">
        <is>
          <t>GLOBO AÇOS</t>
        </is>
      </c>
      <c r="D3172" t="inlineStr">
        <is>
          <t>FECHAMENTO</t>
        </is>
      </c>
      <c r="F3172">
        <f>IFERROR(INDEX('BASE METAS DIÁRIAS'!$AA$2:$AC$358,MATCH($A3172,'BASE METAS DIÁRIAS'!$A$2:$A$358,0),3),"")</f>
        <v/>
      </c>
      <c r="G3172">
        <f>IFERROR(IF(WEEKDAY($A3172,2)&lt;=INDEX('BASE METAS DIÁRIAS'!$X$2:$Z$358,MATCH($A3172,'BASE METAS DIÁRIAS'!$A$2:$A$358,0),3),INDEX('BASE METAS DIÁRIAS'!$U$2:$W$358,MATCH($A3172,'BASE METAS DIÁRIAS'!$A$2:$A$358,0),3),""),"")</f>
        <v/>
      </c>
      <c r="H3172">
        <f>IFERROR(IF(INDEX('CONTROLE PRODUÇÃO POR EMPRESAS'!$H$6:$J$5000,MATCH($A3172,'CONTROLE PRODUÇÃO POR EMPRESAS'!$A$6:$A$5000,0),3)="","",IFERROR(1*INDEX('CONTROLE PRODUÇÃO POR EMPRESAS'!$H$6:$J$5000,MATCH($A3172,'CONTROLE PRODUÇÃO POR EMPRESAS'!$A$6:$A$5000,0),3),"")),"")</f>
        <v/>
      </c>
      <c r="I3172">
        <f>IF(OR(NOT(ISNUMBER(G3172)),NOT(ISNUMBER(H3172))),"",H3172-G3172)</f>
        <v/>
      </c>
      <c r="J3172">
        <f>IF(OR(NOT(ISNUMBER(G3172)),NOT(ISNUMBER(H3172)),G3172=0),"",I3172/G3172)</f>
        <v/>
      </c>
      <c r="K3172">
        <f>IF(OR(NOT(ISNUMBER(G3172)),NOT(ISNUMBER(H3172)),G3172=0),"",H3172/G3172)</f>
        <v/>
      </c>
      <c r="L3172">
        <f>IF(NOT(ISNUMBER(G3172)),"SEM META",IF(G3172=0,"SEM META",IF(NOT(ISNUMBER(H3172)),"SEM APONTAMENTO",IF(H3172&gt;=G3172,"VERDE",IF(H3172&gt;=G3172*0.9,"AMARELO","VERMELHO")))))</f>
        <v/>
      </c>
    </row>
    <row r="3173">
      <c r="A3173" s="321" t="n">
        <v>46566</v>
      </c>
      <c r="B3173" t="inlineStr">
        <is>
          <t>GERAL</t>
        </is>
      </c>
      <c r="C3173" t="inlineStr">
        <is>
          <t>GLOBO AÇOS</t>
        </is>
      </c>
      <c r="D3173" t="inlineStr">
        <is>
          <t>PERFILAÇÃO</t>
        </is>
      </c>
      <c r="F3173">
        <f>IFERROR(INDEX('BASE METAS DIÁRIAS'!$AA$2:$AC$358,MATCH($A3173,'BASE METAS DIÁRIAS'!$A$2:$A$358,0),1),"")</f>
        <v/>
      </c>
      <c r="G3173">
        <f>IFERROR(IF(WEEKDAY($A3173,2)&lt;=INDEX('BASE METAS DIÁRIAS'!$X$2:$Z$358,MATCH($A3173,'BASE METAS DIÁRIAS'!$A$2:$A$358,0),1),INDEX('BASE METAS DIÁRIAS'!$U$2:$W$358,MATCH($A3173,'BASE METAS DIÁRIAS'!$A$2:$A$358,0),1),""),"")</f>
        <v/>
      </c>
      <c r="H3173">
        <f>IFERROR(IF(INDEX('CONTROLE PRODUÇÃO POR EMPRESAS'!$H$6:$J$5000,MATCH($A3173,'CONTROLE PRODUÇÃO POR EMPRESAS'!$A$6:$A$5000,0),1)="","",IFERROR(1*INDEX('CONTROLE PRODUÇÃO POR EMPRESAS'!$H$6:$J$5000,MATCH($A3173,'CONTROLE PRODUÇÃO POR EMPRESAS'!$A$6:$A$5000,0),1),"")),"")</f>
        <v/>
      </c>
      <c r="I3173">
        <f>IF(OR(NOT(ISNUMBER(G3173)),NOT(ISNUMBER(H3173))),"",H3173-G3173)</f>
        <v/>
      </c>
      <c r="J3173">
        <f>IF(OR(NOT(ISNUMBER(G3173)),NOT(ISNUMBER(H3173)),G3173=0),"",I3173/G3173)</f>
        <v/>
      </c>
      <c r="K3173">
        <f>IF(OR(NOT(ISNUMBER(G3173)),NOT(ISNUMBER(H3173)),G3173=0),"",H3173/G3173)</f>
        <v/>
      </c>
      <c r="L3173">
        <f>IF(NOT(ISNUMBER(G3173)),"SEM META",IF(G3173=0,"SEM META",IF(NOT(ISNUMBER(H3173)),"SEM APONTAMENTO",IF(H3173&gt;=G3173,"VERDE",IF(H3173&gt;=G3173*0.9,"AMARELO","VERMELHO")))))</f>
        <v/>
      </c>
    </row>
    <row r="3174">
      <c r="A3174" s="321" t="n">
        <v>46566</v>
      </c>
      <c r="B3174" t="inlineStr">
        <is>
          <t>GERAL</t>
        </is>
      </c>
      <c r="C3174" t="inlineStr">
        <is>
          <t>GLOBO AÇOS</t>
        </is>
      </c>
      <c r="D3174" t="inlineStr">
        <is>
          <t>TELHAR</t>
        </is>
      </c>
      <c r="F3174">
        <f>IFERROR(INDEX('BASE METAS DIÁRIAS'!$AA$2:$AC$358,MATCH($A3174,'BASE METAS DIÁRIAS'!$A$2:$A$358,0),2),"")</f>
        <v/>
      </c>
      <c r="G3174">
        <f>IFERROR(IF(WEEKDAY($A3174,2)&lt;=INDEX('BASE METAS DIÁRIAS'!$X$2:$Z$358,MATCH($A3174,'BASE METAS DIÁRIAS'!$A$2:$A$358,0),2),INDEX('BASE METAS DIÁRIAS'!$U$2:$W$358,MATCH($A3174,'BASE METAS DIÁRIAS'!$A$2:$A$358,0),2),""),"")</f>
        <v/>
      </c>
      <c r="H3174">
        <f>IFERROR(IF(INDEX('CONTROLE PRODUÇÃO POR EMPRESAS'!$H$6:$J$5000,MATCH($A3174,'CONTROLE PRODUÇÃO POR EMPRESAS'!$A$6:$A$5000,0),2)="","",IFERROR(1*INDEX('CONTROLE PRODUÇÃO POR EMPRESAS'!$H$6:$J$5000,MATCH($A3174,'CONTROLE PRODUÇÃO POR EMPRESAS'!$A$6:$A$5000,0),2),"")),"")</f>
        <v/>
      </c>
      <c r="I3174">
        <f>IF(OR(NOT(ISNUMBER(G3174)),NOT(ISNUMBER(H3174))),"",H3174-G3174)</f>
        <v/>
      </c>
      <c r="J3174">
        <f>IF(OR(NOT(ISNUMBER(G3174)),NOT(ISNUMBER(H3174)),G3174=0),"",I3174/G3174)</f>
        <v/>
      </c>
      <c r="K3174">
        <f>IF(OR(NOT(ISNUMBER(G3174)),NOT(ISNUMBER(H3174)),G3174=0),"",H3174/G3174)</f>
        <v/>
      </c>
      <c r="L3174">
        <f>IF(NOT(ISNUMBER(G3174)),"SEM META",IF(G3174=0,"SEM META",IF(NOT(ISNUMBER(H3174)),"SEM APONTAMENTO",IF(H3174&gt;=G3174,"VERDE",IF(H3174&gt;=G3174*0.9,"AMARELO","VERMELHO")))))</f>
        <v/>
      </c>
    </row>
    <row r="3175">
      <c r="A3175" s="321" t="n">
        <v>46566</v>
      </c>
      <c r="B3175" t="inlineStr">
        <is>
          <t>GERAL</t>
        </is>
      </c>
      <c r="C3175" t="inlineStr">
        <is>
          <t>GLOBO AÇOS</t>
        </is>
      </c>
      <c r="D3175" t="inlineStr">
        <is>
          <t>FECHAMENTO</t>
        </is>
      </c>
      <c r="F3175">
        <f>IFERROR(INDEX('BASE METAS DIÁRIAS'!$AA$2:$AC$358,MATCH($A3175,'BASE METAS DIÁRIAS'!$A$2:$A$358,0),3),"")</f>
        <v/>
      </c>
      <c r="G3175">
        <f>IFERROR(IF(WEEKDAY($A3175,2)&lt;=INDEX('BASE METAS DIÁRIAS'!$X$2:$Z$358,MATCH($A3175,'BASE METAS DIÁRIAS'!$A$2:$A$358,0),3),INDEX('BASE METAS DIÁRIAS'!$U$2:$W$358,MATCH($A3175,'BASE METAS DIÁRIAS'!$A$2:$A$358,0),3),""),"")</f>
        <v/>
      </c>
      <c r="H3175">
        <f>IFERROR(IF(INDEX('CONTROLE PRODUÇÃO POR EMPRESAS'!$H$6:$J$5000,MATCH($A3175,'CONTROLE PRODUÇÃO POR EMPRESAS'!$A$6:$A$5000,0),3)="","",IFERROR(1*INDEX('CONTROLE PRODUÇÃO POR EMPRESAS'!$H$6:$J$5000,MATCH($A3175,'CONTROLE PRODUÇÃO POR EMPRESAS'!$A$6:$A$5000,0),3),"")),"")</f>
        <v/>
      </c>
      <c r="I3175">
        <f>IF(OR(NOT(ISNUMBER(G3175)),NOT(ISNUMBER(H3175))),"",H3175-G3175)</f>
        <v/>
      </c>
      <c r="J3175">
        <f>IF(OR(NOT(ISNUMBER(G3175)),NOT(ISNUMBER(H3175)),G3175=0),"",I3175/G3175)</f>
        <v/>
      </c>
      <c r="K3175">
        <f>IF(OR(NOT(ISNUMBER(G3175)),NOT(ISNUMBER(H3175)),G3175=0),"",H3175/G3175)</f>
        <v/>
      </c>
      <c r="L3175">
        <f>IF(NOT(ISNUMBER(G3175)),"SEM META",IF(G3175=0,"SEM META",IF(NOT(ISNUMBER(H3175)),"SEM APONTAMENTO",IF(H3175&gt;=G3175,"VERDE",IF(H3175&gt;=G3175*0.9,"AMARELO","VERMELHO")))))</f>
        <v/>
      </c>
    </row>
    <row r="3176">
      <c r="A3176" s="321" t="n">
        <v>46567</v>
      </c>
      <c r="B3176" t="inlineStr">
        <is>
          <t>GERAL</t>
        </is>
      </c>
      <c r="C3176" t="inlineStr">
        <is>
          <t>GLOBO AÇOS</t>
        </is>
      </c>
      <c r="D3176" t="inlineStr">
        <is>
          <t>PERFILAÇÃO</t>
        </is>
      </c>
      <c r="F3176">
        <f>IFERROR(INDEX('BASE METAS DIÁRIAS'!$AA$2:$AC$358,MATCH($A3176,'BASE METAS DIÁRIAS'!$A$2:$A$358,0),1),"")</f>
        <v/>
      </c>
      <c r="G3176">
        <f>IFERROR(IF(WEEKDAY($A3176,2)&lt;=INDEX('BASE METAS DIÁRIAS'!$X$2:$Z$358,MATCH($A3176,'BASE METAS DIÁRIAS'!$A$2:$A$358,0),1),INDEX('BASE METAS DIÁRIAS'!$U$2:$W$358,MATCH($A3176,'BASE METAS DIÁRIAS'!$A$2:$A$358,0),1),""),"")</f>
        <v/>
      </c>
      <c r="H3176">
        <f>IFERROR(IF(INDEX('CONTROLE PRODUÇÃO POR EMPRESAS'!$H$6:$J$5000,MATCH($A3176,'CONTROLE PRODUÇÃO POR EMPRESAS'!$A$6:$A$5000,0),1)="","",IFERROR(1*INDEX('CONTROLE PRODUÇÃO POR EMPRESAS'!$H$6:$J$5000,MATCH($A3176,'CONTROLE PRODUÇÃO POR EMPRESAS'!$A$6:$A$5000,0),1),"")),"")</f>
        <v/>
      </c>
      <c r="I3176">
        <f>IF(OR(NOT(ISNUMBER(G3176)),NOT(ISNUMBER(H3176))),"",H3176-G3176)</f>
        <v/>
      </c>
      <c r="J3176">
        <f>IF(OR(NOT(ISNUMBER(G3176)),NOT(ISNUMBER(H3176)),G3176=0),"",I3176/G3176)</f>
        <v/>
      </c>
      <c r="K3176">
        <f>IF(OR(NOT(ISNUMBER(G3176)),NOT(ISNUMBER(H3176)),G3176=0),"",H3176/G3176)</f>
        <v/>
      </c>
      <c r="L3176">
        <f>IF(NOT(ISNUMBER(G3176)),"SEM META",IF(G3176=0,"SEM META",IF(NOT(ISNUMBER(H3176)),"SEM APONTAMENTO",IF(H3176&gt;=G3176,"VERDE",IF(H3176&gt;=G3176*0.9,"AMARELO","VERMELHO")))))</f>
        <v/>
      </c>
    </row>
    <row r="3177">
      <c r="A3177" s="321" t="n">
        <v>46567</v>
      </c>
      <c r="B3177" t="inlineStr">
        <is>
          <t>GERAL</t>
        </is>
      </c>
      <c r="C3177" t="inlineStr">
        <is>
          <t>GLOBO AÇOS</t>
        </is>
      </c>
      <c r="D3177" t="inlineStr">
        <is>
          <t>TELHAR</t>
        </is>
      </c>
      <c r="F3177">
        <f>IFERROR(INDEX('BASE METAS DIÁRIAS'!$AA$2:$AC$358,MATCH($A3177,'BASE METAS DIÁRIAS'!$A$2:$A$358,0),2),"")</f>
        <v/>
      </c>
      <c r="G3177">
        <f>IFERROR(IF(WEEKDAY($A3177,2)&lt;=INDEX('BASE METAS DIÁRIAS'!$X$2:$Z$358,MATCH($A3177,'BASE METAS DIÁRIAS'!$A$2:$A$358,0),2),INDEX('BASE METAS DIÁRIAS'!$U$2:$W$358,MATCH($A3177,'BASE METAS DIÁRIAS'!$A$2:$A$358,0),2),""),"")</f>
        <v/>
      </c>
      <c r="H3177">
        <f>IFERROR(IF(INDEX('CONTROLE PRODUÇÃO POR EMPRESAS'!$H$6:$J$5000,MATCH($A3177,'CONTROLE PRODUÇÃO POR EMPRESAS'!$A$6:$A$5000,0),2)="","",IFERROR(1*INDEX('CONTROLE PRODUÇÃO POR EMPRESAS'!$H$6:$J$5000,MATCH($A3177,'CONTROLE PRODUÇÃO POR EMPRESAS'!$A$6:$A$5000,0),2),"")),"")</f>
        <v/>
      </c>
      <c r="I3177">
        <f>IF(OR(NOT(ISNUMBER(G3177)),NOT(ISNUMBER(H3177))),"",H3177-G3177)</f>
        <v/>
      </c>
      <c r="J3177">
        <f>IF(OR(NOT(ISNUMBER(G3177)),NOT(ISNUMBER(H3177)),G3177=0),"",I3177/G3177)</f>
        <v/>
      </c>
      <c r="K3177">
        <f>IF(OR(NOT(ISNUMBER(G3177)),NOT(ISNUMBER(H3177)),G3177=0),"",H3177/G3177)</f>
        <v/>
      </c>
      <c r="L3177">
        <f>IF(NOT(ISNUMBER(G3177)),"SEM META",IF(G3177=0,"SEM META",IF(NOT(ISNUMBER(H3177)),"SEM APONTAMENTO",IF(H3177&gt;=G3177,"VERDE",IF(H3177&gt;=G3177*0.9,"AMARELO","VERMELHO")))))</f>
        <v/>
      </c>
    </row>
    <row r="3178">
      <c r="A3178" s="321" t="n">
        <v>46567</v>
      </c>
      <c r="B3178" t="inlineStr">
        <is>
          <t>GERAL</t>
        </is>
      </c>
      <c r="C3178" t="inlineStr">
        <is>
          <t>GLOBO AÇOS</t>
        </is>
      </c>
      <c r="D3178" t="inlineStr">
        <is>
          <t>FECHAMENTO</t>
        </is>
      </c>
      <c r="F3178">
        <f>IFERROR(INDEX('BASE METAS DIÁRIAS'!$AA$2:$AC$358,MATCH($A3178,'BASE METAS DIÁRIAS'!$A$2:$A$358,0),3),"")</f>
        <v/>
      </c>
      <c r="G3178">
        <f>IFERROR(IF(WEEKDAY($A3178,2)&lt;=INDEX('BASE METAS DIÁRIAS'!$X$2:$Z$358,MATCH($A3178,'BASE METAS DIÁRIAS'!$A$2:$A$358,0),3),INDEX('BASE METAS DIÁRIAS'!$U$2:$W$358,MATCH($A3178,'BASE METAS DIÁRIAS'!$A$2:$A$358,0),3),""),"")</f>
        <v/>
      </c>
      <c r="H3178">
        <f>IFERROR(IF(INDEX('CONTROLE PRODUÇÃO POR EMPRESAS'!$H$6:$J$5000,MATCH($A3178,'CONTROLE PRODUÇÃO POR EMPRESAS'!$A$6:$A$5000,0),3)="","",IFERROR(1*INDEX('CONTROLE PRODUÇÃO POR EMPRESAS'!$H$6:$J$5000,MATCH($A3178,'CONTROLE PRODUÇÃO POR EMPRESAS'!$A$6:$A$5000,0),3),"")),"")</f>
        <v/>
      </c>
      <c r="I3178">
        <f>IF(OR(NOT(ISNUMBER(G3178)),NOT(ISNUMBER(H3178))),"",H3178-G3178)</f>
        <v/>
      </c>
      <c r="J3178">
        <f>IF(OR(NOT(ISNUMBER(G3178)),NOT(ISNUMBER(H3178)),G3178=0),"",I3178/G3178)</f>
        <v/>
      </c>
      <c r="K3178">
        <f>IF(OR(NOT(ISNUMBER(G3178)),NOT(ISNUMBER(H3178)),G3178=0),"",H3178/G3178)</f>
        <v/>
      </c>
      <c r="L3178">
        <f>IF(NOT(ISNUMBER(G3178)),"SEM META",IF(G3178=0,"SEM META",IF(NOT(ISNUMBER(H3178)),"SEM APONTAMENTO",IF(H3178&gt;=G3178,"VERDE",IF(H3178&gt;=G3178*0.9,"AMARELO","VERMELHO")))))</f>
        <v/>
      </c>
    </row>
    <row r="3179">
      <c r="A3179" s="321" t="n">
        <v>46568</v>
      </c>
      <c r="B3179" t="inlineStr">
        <is>
          <t>GERAL</t>
        </is>
      </c>
      <c r="C3179" t="inlineStr">
        <is>
          <t>GLOBO AÇOS</t>
        </is>
      </c>
      <c r="D3179" t="inlineStr">
        <is>
          <t>PERFILAÇÃO</t>
        </is>
      </c>
      <c r="F3179">
        <f>IFERROR(INDEX('BASE METAS DIÁRIAS'!$AA$2:$AC$358,MATCH($A3179,'BASE METAS DIÁRIAS'!$A$2:$A$358,0),1),"")</f>
        <v/>
      </c>
      <c r="G3179">
        <f>IFERROR(IF(WEEKDAY($A3179,2)&lt;=INDEX('BASE METAS DIÁRIAS'!$X$2:$Z$358,MATCH($A3179,'BASE METAS DIÁRIAS'!$A$2:$A$358,0),1),INDEX('BASE METAS DIÁRIAS'!$U$2:$W$358,MATCH($A3179,'BASE METAS DIÁRIAS'!$A$2:$A$358,0),1),""),"")</f>
        <v/>
      </c>
      <c r="H3179">
        <f>IFERROR(IF(INDEX('CONTROLE PRODUÇÃO POR EMPRESAS'!$H$6:$J$5000,MATCH($A3179,'CONTROLE PRODUÇÃO POR EMPRESAS'!$A$6:$A$5000,0),1)="","",IFERROR(1*INDEX('CONTROLE PRODUÇÃO POR EMPRESAS'!$H$6:$J$5000,MATCH($A3179,'CONTROLE PRODUÇÃO POR EMPRESAS'!$A$6:$A$5000,0),1),"")),"")</f>
        <v/>
      </c>
      <c r="I3179">
        <f>IF(OR(NOT(ISNUMBER(G3179)),NOT(ISNUMBER(H3179))),"",H3179-G3179)</f>
        <v/>
      </c>
      <c r="J3179">
        <f>IF(OR(NOT(ISNUMBER(G3179)),NOT(ISNUMBER(H3179)),G3179=0),"",I3179/G3179)</f>
        <v/>
      </c>
      <c r="K3179">
        <f>IF(OR(NOT(ISNUMBER(G3179)),NOT(ISNUMBER(H3179)),G3179=0),"",H3179/G3179)</f>
        <v/>
      </c>
      <c r="L3179">
        <f>IF(NOT(ISNUMBER(G3179)),"SEM META",IF(G3179=0,"SEM META",IF(NOT(ISNUMBER(H3179)),"SEM APONTAMENTO",IF(H3179&gt;=G3179,"VERDE",IF(H3179&gt;=G3179*0.9,"AMARELO","VERMELHO")))))</f>
        <v/>
      </c>
    </row>
    <row r="3180">
      <c r="A3180" s="321" t="n">
        <v>46568</v>
      </c>
      <c r="B3180" t="inlineStr">
        <is>
          <t>GERAL</t>
        </is>
      </c>
      <c r="C3180" t="inlineStr">
        <is>
          <t>GLOBO AÇOS</t>
        </is>
      </c>
      <c r="D3180" t="inlineStr">
        <is>
          <t>TELHAR</t>
        </is>
      </c>
      <c r="F3180">
        <f>IFERROR(INDEX('BASE METAS DIÁRIAS'!$AA$2:$AC$358,MATCH($A3180,'BASE METAS DIÁRIAS'!$A$2:$A$358,0),2),"")</f>
        <v/>
      </c>
      <c r="G3180">
        <f>IFERROR(IF(WEEKDAY($A3180,2)&lt;=INDEX('BASE METAS DIÁRIAS'!$X$2:$Z$358,MATCH($A3180,'BASE METAS DIÁRIAS'!$A$2:$A$358,0),2),INDEX('BASE METAS DIÁRIAS'!$U$2:$W$358,MATCH($A3180,'BASE METAS DIÁRIAS'!$A$2:$A$358,0),2),""),"")</f>
        <v/>
      </c>
      <c r="H3180">
        <f>IFERROR(IF(INDEX('CONTROLE PRODUÇÃO POR EMPRESAS'!$H$6:$J$5000,MATCH($A3180,'CONTROLE PRODUÇÃO POR EMPRESAS'!$A$6:$A$5000,0),2)="","",IFERROR(1*INDEX('CONTROLE PRODUÇÃO POR EMPRESAS'!$H$6:$J$5000,MATCH($A3180,'CONTROLE PRODUÇÃO POR EMPRESAS'!$A$6:$A$5000,0),2),"")),"")</f>
        <v/>
      </c>
      <c r="I3180">
        <f>IF(OR(NOT(ISNUMBER(G3180)),NOT(ISNUMBER(H3180))),"",H3180-G3180)</f>
        <v/>
      </c>
      <c r="J3180">
        <f>IF(OR(NOT(ISNUMBER(G3180)),NOT(ISNUMBER(H3180)),G3180=0),"",I3180/G3180)</f>
        <v/>
      </c>
      <c r="K3180">
        <f>IF(OR(NOT(ISNUMBER(G3180)),NOT(ISNUMBER(H3180)),G3180=0),"",H3180/G3180)</f>
        <v/>
      </c>
      <c r="L3180">
        <f>IF(NOT(ISNUMBER(G3180)),"SEM META",IF(G3180=0,"SEM META",IF(NOT(ISNUMBER(H3180)),"SEM APONTAMENTO",IF(H3180&gt;=G3180,"VERDE",IF(H3180&gt;=G3180*0.9,"AMARELO","VERMELHO")))))</f>
        <v/>
      </c>
    </row>
    <row r="3181">
      <c r="A3181" s="321" t="n">
        <v>46568</v>
      </c>
      <c r="B3181" t="inlineStr">
        <is>
          <t>GERAL</t>
        </is>
      </c>
      <c r="C3181" t="inlineStr">
        <is>
          <t>GLOBO AÇOS</t>
        </is>
      </c>
      <c r="D3181" t="inlineStr">
        <is>
          <t>FECHAMENTO</t>
        </is>
      </c>
      <c r="F3181">
        <f>IFERROR(INDEX('BASE METAS DIÁRIAS'!$AA$2:$AC$358,MATCH($A3181,'BASE METAS DIÁRIAS'!$A$2:$A$358,0),3),"")</f>
        <v/>
      </c>
      <c r="G3181">
        <f>IFERROR(IF(WEEKDAY($A3181,2)&lt;=INDEX('BASE METAS DIÁRIAS'!$X$2:$Z$358,MATCH($A3181,'BASE METAS DIÁRIAS'!$A$2:$A$358,0),3),INDEX('BASE METAS DIÁRIAS'!$U$2:$W$358,MATCH($A3181,'BASE METAS DIÁRIAS'!$A$2:$A$358,0),3),""),"")</f>
        <v/>
      </c>
      <c r="H3181">
        <f>IFERROR(IF(INDEX('CONTROLE PRODUÇÃO POR EMPRESAS'!$H$6:$J$5000,MATCH($A3181,'CONTROLE PRODUÇÃO POR EMPRESAS'!$A$6:$A$5000,0),3)="","",IFERROR(1*INDEX('CONTROLE PRODUÇÃO POR EMPRESAS'!$H$6:$J$5000,MATCH($A3181,'CONTROLE PRODUÇÃO POR EMPRESAS'!$A$6:$A$5000,0),3),"")),"")</f>
        <v/>
      </c>
      <c r="I3181">
        <f>IF(OR(NOT(ISNUMBER(G3181)),NOT(ISNUMBER(H3181))),"",H3181-G3181)</f>
        <v/>
      </c>
      <c r="J3181">
        <f>IF(OR(NOT(ISNUMBER(G3181)),NOT(ISNUMBER(H3181)),G3181=0),"",I3181/G3181)</f>
        <v/>
      </c>
      <c r="K3181">
        <f>IF(OR(NOT(ISNUMBER(G3181)),NOT(ISNUMBER(H3181)),G3181=0),"",H3181/G3181)</f>
        <v/>
      </c>
      <c r="L3181">
        <f>IF(NOT(ISNUMBER(G3181)),"SEM META",IF(G3181=0,"SEM META",IF(NOT(ISNUMBER(H3181)),"SEM APONTAMENTO",IF(H3181&gt;=G3181,"VERDE",IF(H3181&gt;=G3181*0.9,"AMARELO","VERMELHO")))))</f>
        <v/>
      </c>
    </row>
    <row r="3182">
      <c r="A3182" s="321" t="n">
        <v>46569</v>
      </c>
      <c r="B3182" t="inlineStr">
        <is>
          <t>GERAL</t>
        </is>
      </c>
      <c r="C3182" t="inlineStr">
        <is>
          <t>GLOBO AÇOS</t>
        </is>
      </c>
      <c r="D3182" t="inlineStr">
        <is>
          <t>PERFILAÇÃO</t>
        </is>
      </c>
      <c r="F3182">
        <f>IFERROR(INDEX('BASE METAS DIÁRIAS'!$AA$2:$AC$358,MATCH($A3182,'BASE METAS DIÁRIAS'!$A$2:$A$358,0),1),"")</f>
        <v/>
      </c>
      <c r="G3182">
        <f>IFERROR(IF(WEEKDAY($A3182,2)&lt;=INDEX('BASE METAS DIÁRIAS'!$X$2:$Z$358,MATCH($A3182,'BASE METAS DIÁRIAS'!$A$2:$A$358,0),1),INDEX('BASE METAS DIÁRIAS'!$U$2:$W$358,MATCH($A3182,'BASE METAS DIÁRIAS'!$A$2:$A$358,0),1),""),"")</f>
        <v/>
      </c>
      <c r="H3182">
        <f>IFERROR(IF(INDEX('CONTROLE PRODUÇÃO POR EMPRESAS'!$H$6:$J$5000,MATCH($A3182,'CONTROLE PRODUÇÃO POR EMPRESAS'!$A$6:$A$5000,0),1)="","",IFERROR(1*INDEX('CONTROLE PRODUÇÃO POR EMPRESAS'!$H$6:$J$5000,MATCH($A3182,'CONTROLE PRODUÇÃO POR EMPRESAS'!$A$6:$A$5000,0),1),"")),"")</f>
        <v/>
      </c>
      <c r="I3182">
        <f>IF(OR(NOT(ISNUMBER(G3182)),NOT(ISNUMBER(H3182))),"",H3182-G3182)</f>
        <v/>
      </c>
      <c r="J3182">
        <f>IF(OR(NOT(ISNUMBER(G3182)),NOT(ISNUMBER(H3182)),G3182=0),"",I3182/G3182)</f>
        <v/>
      </c>
      <c r="K3182">
        <f>IF(OR(NOT(ISNUMBER(G3182)),NOT(ISNUMBER(H3182)),G3182=0),"",H3182/G3182)</f>
        <v/>
      </c>
      <c r="L3182">
        <f>IF(NOT(ISNUMBER(G3182)),"SEM META",IF(G3182=0,"SEM META",IF(NOT(ISNUMBER(H3182)),"SEM APONTAMENTO",IF(H3182&gt;=G3182,"VERDE",IF(H3182&gt;=G3182*0.9,"AMARELO","VERMELHO")))))</f>
        <v/>
      </c>
    </row>
    <row r="3183">
      <c r="A3183" s="321" t="n">
        <v>46569</v>
      </c>
      <c r="B3183" t="inlineStr">
        <is>
          <t>GERAL</t>
        </is>
      </c>
      <c r="C3183" t="inlineStr">
        <is>
          <t>GLOBO AÇOS</t>
        </is>
      </c>
      <c r="D3183" t="inlineStr">
        <is>
          <t>TELHAR</t>
        </is>
      </c>
      <c r="F3183">
        <f>IFERROR(INDEX('BASE METAS DIÁRIAS'!$AA$2:$AC$358,MATCH($A3183,'BASE METAS DIÁRIAS'!$A$2:$A$358,0),2),"")</f>
        <v/>
      </c>
      <c r="G3183">
        <f>IFERROR(IF(WEEKDAY($A3183,2)&lt;=INDEX('BASE METAS DIÁRIAS'!$X$2:$Z$358,MATCH($A3183,'BASE METAS DIÁRIAS'!$A$2:$A$358,0),2),INDEX('BASE METAS DIÁRIAS'!$U$2:$W$358,MATCH($A3183,'BASE METAS DIÁRIAS'!$A$2:$A$358,0),2),""),"")</f>
        <v/>
      </c>
      <c r="H3183">
        <f>IFERROR(IF(INDEX('CONTROLE PRODUÇÃO POR EMPRESAS'!$H$6:$J$5000,MATCH($A3183,'CONTROLE PRODUÇÃO POR EMPRESAS'!$A$6:$A$5000,0),2)="","",IFERROR(1*INDEX('CONTROLE PRODUÇÃO POR EMPRESAS'!$H$6:$J$5000,MATCH($A3183,'CONTROLE PRODUÇÃO POR EMPRESAS'!$A$6:$A$5000,0),2),"")),"")</f>
        <v/>
      </c>
      <c r="I3183">
        <f>IF(OR(NOT(ISNUMBER(G3183)),NOT(ISNUMBER(H3183))),"",H3183-G3183)</f>
        <v/>
      </c>
      <c r="J3183">
        <f>IF(OR(NOT(ISNUMBER(G3183)),NOT(ISNUMBER(H3183)),G3183=0),"",I3183/G3183)</f>
        <v/>
      </c>
      <c r="K3183">
        <f>IF(OR(NOT(ISNUMBER(G3183)),NOT(ISNUMBER(H3183)),G3183=0),"",H3183/G3183)</f>
        <v/>
      </c>
      <c r="L3183">
        <f>IF(NOT(ISNUMBER(G3183)),"SEM META",IF(G3183=0,"SEM META",IF(NOT(ISNUMBER(H3183)),"SEM APONTAMENTO",IF(H3183&gt;=G3183,"VERDE",IF(H3183&gt;=G3183*0.9,"AMARELO","VERMELHO")))))</f>
        <v/>
      </c>
    </row>
    <row r="3184">
      <c r="A3184" s="321" t="n">
        <v>46569</v>
      </c>
      <c r="B3184" t="inlineStr">
        <is>
          <t>GERAL</t>
        </is>
      </c>
      <c r="C3184" t="inlineStr">
        <is>
          <t>GLOBO AÇOS</t>
        </is>
      </c>
      <c r="D3184" t="inlineStr">
        <is>
          <t>FECHAMENTO</t>
        </is>
      </c>
      <c r="F3184">
        <f>IFERROR(INDEX('BASE METAS DIÁRIAS'!$AA$2:$AC$358,MATCH($A3184,'BASE METAS DIÁRIAS'!$A$2:$A$358,0),3),"")</f>
        <v/>
      </c>
      <c r="G3184">
        <f>IFERROR(IF(WEEKDAY($A3184,2)&lt;=INDEX('BASE METAS DIÁRIAS'!$X$2:$Z$358,MATCH($A3184,'BASE METAS DIÁRIAS'!$A$2:$A$358,0),3),INDEX('BASE METAS DIÁRIAS'!$U$2:$W$358,MATCH($A3184,'BASE METAS DIÁRIAS'!$A$2:$A$358,0),3),""),"")</f>
        <v/>
      </c>
      <c r="H3184">
        <f>IFERROR(IF(INDEX('CONTROLE PRODUÇÃO POR EMPRESAS'!$H$6:$J$5000,MATCH($A3184,'CONTROLE PRODUÇÃO POR EMPRESAS'!$A$6:$A$5000,0),3)="","",IFERROR(1*INDEX('CONTROLE PRODUÇÃO POR EMPRESAS'!$H$6:$J$5000,MATCH($A3184,'CONTROLE PRODUÇÃO POR EMPRESAS'!$A$6:$A$5000,0),3),"")),"")</f>
        <v/>
      </c>
      <c r="I3184">
        <f>IF(OR(NOT(ISNUMBER(G3184)),NOT(ISNUMBER(H3184))),"",H3184-G3184)</f>
        <v/>
      </c>
      <c r="J3184">
        <f>IF(OR(NOT(ISNUMBER(G3184)),NOT(ISNUMBER(H3184)),G3184=0),"",I3184/G3184)</f>
        <v/>
      </c>
      <c r="K3184">
        <f>IF(OR(NOT(ISNUMBER(G3184)),NOT(ISNUMBER(H3184)),G3184=0),"",H3184/G3184)</f>
        <v/>
      </c>
      <c r="L3184">
        <f>IF(NOT(ISNUMBER(G3184)),"SEM META",IF(G3184=0,"SEM META",IF(NOT(ISNUMBER(H3184)),"SEM APONTAMENTO",IF(H3184&gt;=G3184,"VERDE",IF(H3184&gt;=G3184*0.9,"AMARELO","VERMELHO")))))</f>
        <v/>
      </c>
    </row>
    <row r="3185">
      <c r="A3185" s="321" t="n">
        <v>46570</v>
      </c>
      <c r="B3185" t="inlineStr">
        <is>
          <t>GERAL</t>
        </is>
      </c>
      <c r="C3185" t="inlineStr">
        <is>
          <t>GLOBO AÇOS</t>
        </is>
      </c>
      <c r="D3185" t="inlineStr">
        <is>
          <t>PERFILAÇÃO</t>
        </is>
      </c>
      <c r="F3185">
        <f>IFERROR(INDEX('BASE METAS DIÁRIAS'!$AA$2:$AC$358,MATCH($A3185,'BASE METAS DIÁRIAS'!$A$2:$A$358,0),1),"")</f>
        <v/>
      </c>
      <c r="G3185">
        <f>IFERROR(IF(WEEKDAY($A3185,2)&lt;=INDEX('BASE METAS DIÁRIAS'!$X$2:$Z$358,MATCH($A3185,'BASE METAS DIÁRIAS'!$A$2:$A$358,0),1),INDEX('BASE METAS DIÁRIAS'!$U$2:$W$358,MATCH($A3185,'BASE METAS DIÁRIAS'!$A$2:$A$358,0),1),""),"")</f>
        <v/>
      </c>
      <c r="H3185">
        <f>IFERROR(IF(INDEX('CONTROLE PRODUÇÃO POR EMPRESAS'!$H$6:$J$5000,MATCH($A3185,'CONTROLE PRODUÇÃO POR EMPRESAS'!$A$6:$A$5000,0),1)="","",IFERROR(1*INDEX('CONTROLE PRODUÇÃO POR EMPRESAS'!$H$6:$J$5000,MATCH($A3185,'CONTROLE PRODUÇÃO POR EMPRESAS'!$A$6:$A$5000,0),1),"")),"")</f>
        <v/>
      </c>
      <c r="I3185">
        <f>IF(OR(NOT(ISNUMBER(G3185)),NOT(ISNUMBER(H3185))),"",H3185-G3185)</f>
        <v/>
      </c>
      <c r="J3185">
        <f>IF(OR(NOT(ISNUMBER(G3185)),NOT(ISNUMBER(H3185)),G3185=0),"",I3185/G3185)</f>
        <v/>
      </c>
      <c r="K3185">
        <f>IF(OR(NOT(ISNUMBER(G3185)),NOT(ISNUMBER(H3185)),G3185=0),"",H3185/G3185)</f>
        <v/>
      </c>
      <c r="L3185">
        <f>IF(NOT(ISNUMBER(G3185)),"SEM META",IF(G3185=0,"SEM META",IF(NOT(ISNUMBER(H3185)),"SEM APONTAMENTO",IF(H3185&gt;=G3185,"VERDE",IF(H3185&gt;=G3185*0.9,"AMARELO","VERMELHO")))))</f>
        <v/>
      </c>
    </row>
    <row r="3186">
      <c r="A3186" s="321" t="n">
        <v>46570</v>
      </c>
      <c r="B3186" t="inlineStr">
        <is>
          <t>GERAL</t>
        </is>
      </c>
      <c r="C3186" t="inlineStr">
        <is>
          <t>GLOBO AÇOS</t>
        </is>
      </c>
      <c r="D3186" t="inlineStr">
        <is>
          <t>TELHAR</t>
        </is>
      </c>
      <c r="F3186">
        <f>IFERROR(INDEX('BASE METAS DIÁRIAS'!$AA$2:$AC$358,MATCH($A3186,'BASE METAS DIÁRIAS'!$A$2:$A$358,0),2),"")</f>
        <v/>
      </c>
      <c r="G3186">
        <f>IFERROR(IF(WEEKDAY($A3186,2)&lt;=INDEX('BASE METAS DIÁRIAS'!$X$2:$Z$358,MATCH($A3186,'BASE METAS DIÁRIAS'!$A$2:$A$358,0),2),INDEX('BASE METAS DIÁRIAS'!$U$2:$W$358,MATCH($A3186,'BASE METAS DIÁRIAS'!$A$2:$A$358,0),2),""),"")</f>
        <v/>
      </c>
      <c r="H3186">
        <f>IFERROR(IF(INDEX('CONTROLE PRODUÇÃO POR EMPRESAS'!$H$6:$J$5000,MATCH($A3186,'CONTROLE PRODUÇÃO POR EMPRESAS'!$A$6:$A$5000,0),2)="","",IFERROR(1*INDEX('CONTROLE PRODUÇÃO POR EMPRESAS'!$H$6:$J$5000,MATCH($A3186,'CONTROLE PRODUÇÃO POR EMPRESAS'!$A$6:$A$5000,0),2),"")),"")</f>
        <v/>
      </c>
      <c r="I3186">
        <f>IF(OR(NOT(ISNUMBER(G3186)),NOT(ISNUMBER(H3186))),"",H3186-G3186)</f>
        <v/>
      </c>
      <c r="J3186">
        <f>IF(OR(NOT(ISNUMBER(G3186)),NOT(ISNUMBER(H3186)),G3186=0),"",I3186/G3186)</f>
        <v/>
      </c>
      <c r="K3186">
        <f>IF(OR(NOT(ISNUMBER(G3186)),NOT(ISNUMBER(H3186)),G3186=0),"",H3186/G3186)</f>
        <v/>
      </c>
      <c r="L3186">
        <f>IF(NOT(ISNUMBER(G3186)),"SEM META",IF(G3186=0,"SEM META",IF(NOT(ISNUMBER(H3186)),"SEM APONTAMENTO",IF(H3186&gt;=G3186,"VERDE",IF(H3186&gt;=G3186*0.9,"AMARELO","VERMELHO")))))</f>
        <v/>
      </c>
    </row>
    <row r="3187">
      <c r="A3187" s="321" t="n">
        <v>46570</v>
      </c>
      <c r="B3187" t="inlineStr">
        <is>
          <t>GERAL</t>
        </is>
      </c>
      <c r="C3187" t="inlineStr">
        <is>
          <t>GLOBO AÇOS</t>
        </is>
      </c>
      <c r="D3187" t="inlineStr">
        <is>
          <t>FECHAMENTO</t>
        </is>
      </c>
      <c r="F3187">
        <f>IFERROR(INDEX('BASE METAS DIÁRIAS'!$AA$2:$AC$358,MATCH($A3187,'BASE METAS DIÁRIAS'!$A$2:$A$358,0),3),"")</f>
        <v/>
      </c>
      <c r="G3187">
        <f>IFERROR(IF(WEEKDAY($A3187,2)&lt;=INDEX('BASE METAS DIÁRIAS'!$X$2:$Z$358,MATCH($A3187,'BASE METAS DIÁRIAS'!$A$2:$A$358,0),3),INDEX('BASE METAS DIÁRIAS'!$U$2:$W$358,MATCH($A3187,'BASE METAS DIÁRIAS'!$A$2:$A$358,0),3),""),"")</f>
        <v/>
      </c>
      <c r="H3187">
        <f>IFERROR(IF(INDEX('CONTROLE PRODUÇÃO POR EMPRESAS'!$H$6:$J$5000,MATCH($A3187,'CONTROLE PRODUÇÃO POR EMPRESAS'!$A$6:$A$5000,0),3)="","",IFERROR(1*INDEX('CONTROLE PRODUÇÃO POR EMPRESAS'!$H$6:$J$5000,MATCH($A3187,'CONTROLE PRODUÇÃO POR EMPRESAS'!$A$6:$A$5000,0),3),"")),"")</f>
        <v/>
      </c>
      <c r="I3187">
        <f>IF(OR(NOT(ISNUMBER(G3187)),NOT(ISNUMBER(H3187))),"",H3187-G3187)</f>
        <v/>
      </c>
      <c r="J3187">
        <f>IF(OR(NOT(ISNUMBER(G3187)),NOT(ISNUMBER(H3187)),G3187=0),"",I3187/G3187)</f>
        <v/>
      </c>
      <c r="K3187">
        <f>IF(OR(NOT(ISNUMBER(G3187)),NOT(ISNUMBER(H3187)),G3187=0),"",H3187/G3187)</f>
        <v/>
      </c>
      <c r="L3187">
        <f>IF(NOT(ISNUMBER(G3187)),"SEM META",IF(G3187=0,"SEM META",IF(NOT(ISNUMBER(H3187)),"SEM APONTAMENTO",IF(H3187&gt;=G3187,"VERDE",IF(H3187&gt;=G3187*0.9,"AMARELO","VERMELHO")))))</f>
        <v/>
      </c>
    </row>
    <row r="3188">
      <c r="A3188" s="321" t="n">
        <v>46571</v>
      </c>
      <c r="B3188" t="inlineStr">
        <is>
          <t>GERAL</t>
        </is>
      </c>
      <c r="C3188" t="inlineStr">
        <is>
          <t>GLOBO AÇOS</t>
        </is>
      </c>
      <c r="D3188" t="inlineStr">
        <is>
          <t>PERFILAÇÃO</t>
        </is>
      </c>
      <c r="F3188">
        <f>IFERROR(INDEX('BASE METAS DIÁRIAS'!$AA$2:$AC$358,MATCH($A3188,'BASE METAS DIÁRIAS'!$A$2:$A$358,0),1),"")</f>
        <v/>
      </c>
      <c r="G3188">
        <f>IFERROR(IF(WEEKDAY($A3188,2)&lt;=INDEX('BASE METAS DIÁRIAS'!$X$2:$Z$358,MATCH($A3188,'BASE METAS DIÁRIAS'!$A$2:$A$358,0),1),INDEX('BASE METAS DIÁRIAS'!$U$2:$W$358,MATCH($A3188,'BASE METAS DIÁRIAS'!$A$2:$A$358,0),1),""),"")</f>
        <v/>
      </c>
      <c r="H3188">
        <f>IFERROR(IF(INDEX('CONTROLE PRODUÇÃO POR EMPRESAS'!$H$6:$J$5000,MATCH($A3188,'CONTROLE PRODUÇÃO POR EMPRESAS'!$A$6:$A$5000,0),1)="","",IFERROR(1*INDEX('CONTROLE PRODUÇÃO POR EMPRESAS'!$H$6:$J$5000,MATCH($A3188,'CONTROLE PRODUÇÃO POR EMPRESAS'!$A$6:$A$5000,0),1),"")),"")</f>
        <v/>
      </c>
      <c r="I3188">
        <f>IF(OR(NOT(ISNUMBER(G3188)),NOT(ISNUMBER(H3188))),"",H3188-G3188)</f>
        <v/>
      </c>
      <c r="J3188">
        <f>IF(OR(NOT(ISNUMBER(G3188)),NOT(ISNUMBER(H3188)),G3188=0),"",I3188/G3188)</f>
        <v/>
      </c>
      <c r="K3188">
        <f>IF(OR(NOT(ISNUMBER(G3188)),NOT(ISNUMBER(H3188)),G3188=0),"",H3188/G3188)</f>
        <v/>
      </c>
      <c r="L3188">
        <f>IF(NOT(ISNUMBER(G3188)),"SEM META",IF(G3188=0,"SEM META",IF(NOT(ISNUMBER(H3188)),"SEM APONTAMENTO",IF(H3188&gt;=G3188,"VERDE",IF(H3188&gt;=G3188*0.9,"AMARELO","VERMELHO")))))</f>
        <v/>
      </c>
    </row>
    <row r="3189">
      <c r="A3189" s="321" t="n">
        <v>46571</v>
      </c>
      <c r="B3189" t="inlineStr">
        <is>
          <t>GERAL</t>
        </is>
      </c>
      <c r="C3189" t="inlineStr">
        <is>
          <t>GLOBO AÇOS</t>
        </is>
      </c>
      <c r="D3189" t="inlineStr">
        <is>
          <t>TELHAR</t>
        </is>
      </c>
      <c r="F3189">
        <f>IFERROR(INDEX('BASE METAS DIÁRIAS'!$AA$2:$AC$358,MATCH($A3189,'BASE METAS DIÁRIAS'!$A$2:$A$358,0),2),"")</f>
        <v/>
      </c>
      <c r="G3189">
        <f>IFERROR(IF(WEEKDAY($A3189,2)&lt;=INDEX('BASE METAS DIÁRIAS'!$X$2:$Z$358,MATCH($A3189,'BASE METAS DIÁRIAS'!$A$2:$A$358,0),2),INDEX('BASE METAS DIÁRIAS'!$U$2:$W$358,MATCH($A3189,'BASE METAS DIÁRIAS'!$A$2:$A$358,0),2),""),"")</f>
        <v/>
      </c>
      <c r="H3189">
        <f>IFERROR(IF(INDEX('CONTROLE PRODUÇÃO POR EMPRESAS'!$H$6:$J$5000,MATCH($A3189,'CONTROLE PRODUÇÃO POR EMPRESAS'!$A$6:$A$5000,0),2)="","",IFERROR(1*INDEX('CONTROLE PRODUÇÃO POR EMPRESAS'!$H$6:$J$5000,MATCH($A3189,'CONTROLE PRODUÇÃO POR EMPRESAS'!$A$6:$A$5000,0),2),"")),"")</f>
        <v/>
      </c>
      <c r="I3189">
        <f>IF(OR(NOT(ISNUMBER(G3189)),NOT(ISNUMBER(H3189))),"",H3189-G3189)</f>
        <v/>
      </c>
      <c r="J3189">
        <f>IF(OR(NOT(ISNUMBER(G3189)),NOT(ISNUMBER(H3189)),G3189=0),"",I3189/G3189)</f>
        <v/>
      </c>
      <c r="K3189">
        <f>IF(OR(NOT(ISNUMBER(G3189)),NOT(ISNUMBER(H3189)),G3189=0),"",H3189/G3189)</f>
        <v/>
      </c>
      <c r="L3189">
        <f>IF(NOT(ISNUMBER(G3189)),"SEM META",IF(G3189=0,"SEM META",IF(NOT(ISNUMBER(H3189)),"SEM APONTAMENTO",IF(H3189&gt;=G3189,"VERDE",IF(H3189&gt;=G3189*0.9,"AMARELO","VERMELHO")))))</f>
        <v/>
      </c>
    </row>
    <row r="3190">
      <c r="A3190" s="321" t="n">
        <v>46571</v>
      </c>
      <c r="B3190" t="inlineStr">
        <is>
          <t>GERAL</t>
        </is>
      </c>
      <c r="C3190" t="inlineStr">
        <is>
          <t>GLOBO AÇOS</t>
        </is>
      </c>
      <c r="D3190" t="inlineStr">
        <is>
          <t>FECHAMENTO</t>
        </is>
      </c>
      <c r="F3190">
        <f>IFERROR(INDEX('BASE METAS DIÁRIAS'!$AA$2:$AC$358,MATCH($A3190,'BASE METAS DIÁRIAS'!$A$2:$A$358,0),3),"")</f>
        <v/>
      </c>
      <c r="G3190">
        <f>IFERROR(IF(WEEKDAY($A3190,2)&lt;=INDEX('BASE METAS DIÁRIAS'!$X$2:$Z$358,MATCH($A3190,'BASE METAS DIÁRIAS'!$A$2:$A$358,0),3),INDEX('BASE METAS DIÁRIAS'!$U$2:$W$358,MATCH($A3190,'BASE METAS DIÁRIAS'!$A$2:$A$358,0),3),""),"")</f>
        <v/>
      </c>
      <c r="H3190">
        <f>IFERROR(IF(INDEX('CONTROLE PRODUÇÃO POR EMPRESAS'!$H$6:$J$5000,MATCH($A3190,'CONTROLE PRODUÇÃO POR EMPRESAS'!$A$6:$A$5000,0),3)="","",IFERROR(1*INDEX('CONTROLE PRODUÇÃO POR EMPRESAS'!$H$6:$J$5000,MATCH($A3190,'CONTROLE PRODUÇÃO POR EMPRESAS'!$A$6:$A$5000,0),3),"")),"")</f>
        <v/>
      </c>
      <c r="I3190">
        <f>IF(OR(NOT(ISNUMBER(G3190)),NOT(ISNUMBER(H3190))),"",H3190-G3190)</f>
        <v/>
      </c>
      <c r="J3190">
        <f>IF(OR(NOT(ISNUMBER(G3190)),NOT(ISNUMBER(H3190)),G3190=0),"",I3190/G3190)</f>
        <v/>
      </c>
      <c r="K3190">
        <f>IF(OR(NOT(ISNUMBER(G3190)),NOT(ISNUMBER(H3190)),G3190=0),"",H3190/G3190)</f>
        <v/>
      </c>
      <c r="L3190">
        <f>IF(NOT(ISNUMBER(G3190)),"SEM META",IF(G3190=0,"SEM META",IF(NOT(ISNUMBER(H3190)),"SEM APONTAMENTO",IF(H3190&gt;=G3190,"VERDE",IF(H3190&gt;=G3190*0.9,"AMARELO","VERMELHO")))))</f>
        <v/>
      </c>
    </row>
    <row r="3191">
      <c r="A3191" s="321" t="n">
        <v>46572</v>
      </c>
      <c r="B3191" t="inlineStr">
        <is>
          <t>GERAL</t>
        </is>
      </c>
      <c r="C3191" t="inlineStr">
        <is>
          <t>GLOBO AÇOS</t>
        </is>
      </c>
      <c r="D3191" t="inlineStr">
        <is>
          <t>PERFILAÇÃO</t>
        </is>
      </c>
      <c r="F3191">
        <f>IFERROR(INDEX('BASE METAS DIÁRIAS'!$AA$2:$AC$358,MATCH($A3191,'BASE METAS DIÁRIAS'!$A$2:$A$358,0),1),"")</f>
        <v/>
      </c>
      <c r="G3191">
        <f>IFERROR(IF(WEEKDAY($A3191,2)&lt;=INDEX('BASE METAS DIÁRIAS'!$X$2:$Z$358,MATCH($A3191,'BASE METAS DIÁRIAS'!$A$2:$A$358,0),1),INDEX('BASE METAS DIÁRIAS'!$U$2:$W$358,MATCH($A3191,'BASE METAS DIÁRIAS'!$A$2:$A$358,0),1),""),"")</f>
        <v/>
      </c>
      <c r="H3191">
        <f>IFERROR(IF(INDEX('CONTROLE PRODUÇÃO POR EMPRESAS'!$H$6:$J$5000,MATCH($A3191,'CONTROLE PRODUÇÃO POR EMPRESAS'!$A$6:$A$5000,0),1)="","",IFERROR(1*INDEX('CONTROLE PRODUÇÃO POR EMPRESAS'!$H$6:$J$5000,MATCH($A3191,'CONTROLE PRODUÇÃO POR EMPRESAS'!$A$6:$A$5000,0),1),"")),"")</f>
        <v/>
      </c>
      <c r="I3191">
        <f>IF(OR(NOT(ISNUMBER(G3191)),NOT(ISNUMBER(H3191))),"",H3191-G3191)</f>
        <v/>
      </c>
      <c r="J3191">
        <f>IF(OR(NOT(ISNUMBER(G3191)),NOT(ISNUMBER(H3191)),G3191=0),"",I3191/G3191)</f>
        <v/>
      </c>
      <c r="K3191">
        <f>IF(OR(NOT(ISNUMBER(G3191)),NOT(ISNUMBER(H3191)),G3191=0),"",H3191/G3191)</f>
        <v/>
      </c>
      <c r="L3191">
        <f>IF(NOT(ISNUMBER(G3191)),"SEM META",IF(G3191=0,"SEM META",IF(NOT(ISNUMBER(H3191)),"SEM APONTAMENTO",IF(H3191&gt;=G3191,"VERDE",IF(H3191&gt;=G3191*0.9,"AMARELO","VERMELHO")))))</f>
        <v/>
      </c>
    </row>
    <row r="3192">
      <c r="A3192" s="321" t="n">
        <v>46572</v>
      </c>
      <c r="B3192" t="inlineStr">
        <is>
          <t>GERAL</t>
        </is>
      </c>
      <c r="C3192" t="inlineStr">
        <is>
          <t>GLOBO AÇOS</t>
        </is>
      </c>
      <c r="D3192" t="inlineStr">
        <is>
          <t>TELHAR</t>
        </is>
      </c>
      <c r="F3192">
        <f>IFERROR(INDEX('BASE METAS DIÁRIAS'!$AA$2:$AC$358,MATCH($A3192,'BASE METAS DIÁRIAS'!$A$2:$A$358,0),2),"")</f>
        <v/>
      </c>
      <c r="G3192">
        <f>IFERROR(IF(WEEKDAY($A3192,2)&lt;=INDEX('BASE METAS DIÁRIAS'!$X$2:$Z$358,MATCH($A3192,'BASE METAS DIÁRIAS'!$A$2:$A$358,0),2),INDEX('BASE METAS DIÁRIAS'!$U$2:$W$358,MATCH($A3192,'BASE METAS DIÁRIAS'!$A$2:$A$358,0),2),""),"")</f>
        <v/>
      </c>
      <c r="H3192">
        <f>IFERROR(IF(INDEX('CONTROLE PRODUÇÃO POR EMPRESAS'!$H$6:$J$5000,MATCH($A3192,'CONTROLE PRODUÇÃO POR EMPRESAS'!$A$6:$A$5000,0),2)="","",IFERROR(1*INDEX('CONTROLE PRODUÇÃO POR EMPRESAS'!$H$6:$J$5000,MATCH($A3192,'CONTROLE PRODUÇÃO POR EMPRESAS'!$A$6:$A$5000,0),2),"")),"")</f>
        <v/>
      </c>
      <c r="I3192">
        <f>IF(OR(NOT(ISNUMBER(G3192)),NOT(ISNUMBER(H3192))),"",H3192-G3192)</f>
        <v/>
      </c>
      <c r="J3192">
        <f>IF(OR(NOT(ISNUMBER(G3192)),NOT(ISNUMBER(H3192)),G3192=0),"",I3192/G3192)</f>
        <v/>
      </c>
      <c r="K3192">
        <f>IF(OR(NOT(ISNUMBER(G3192)),NOT(ISNUMBER(H3192)),G3192=0),"",H3192/G3192)</f>
        <v/>
      </c>
      <c r="L3192">
        <f>IF(NOT(ISNUMBER(G3192)),"SEM META",IF(G3192=0,"SEM META",IF(NOT(ISNUMBER(H3192)),"SEM APONTAMENTO",IF(H3192&gt;=G3192,"VERDE",IF(H3192&gt;=G3192*0.9,"AMARELO","VERMELHO")))))</f>
        <v/>
      </c>
    </row>
    <row r="3193">
      <c r="A3193" s="321" t="n">
        <v>46572</v>
      </c>
      <c r="B3193" t="inlineStr">
        <is>
          <t>GERAL</t>
        </is>
      </c>
      <c r="C3193" t="inlineStr">
        <is>
          <t>GLOBO AÇOS</t>
        </is>
      </c>
      <c r="D3193" t="inlineStr">
        <is>
          <t>FECHAMENTO</t>
        </is>
      </c>
      <c r="F3193">
        <f>IFERROR(INDEX('BASE METAS DIÁRIAS'!$AA$2:$AC$358,MATCH($A3193,'BASE METAS DIÁRIAS'!$A$2:$A$358,0),3),"")</f>
        <v/>
      </c>
      <c r="G3193">
        <f>IFERROR(IF(WEEKDAY($A3193,2)&lt;=INDEX('BASE METAS DIÁRIAS'!$X$2:$Z$358,MATCH($A3193,'BASE METAS DIÁRIAS'!$A$2:$A$358,0),3),INDEX('BASE METAS DIÁRIAS'!$U$2:$W$358,MATCH($A3193,'BASE METAS DIÁRIAS'!$A$2:$A$358,0),3),""),"")</f>
        <v/>
      </c>
      <c r="H3193">
        <f>IFERROR(IF(INDEX('CONTROLE PRODUÇÃO POR EMPRESAS'!$H$6:$J$5000,MATCH($A3193,'CONTROLE PRODUÇÃO POR EMPRESAS'!$A$6:$A$5000,0),3)="","",IFERROR(1*INDEX('CONTROLE PRODUÇÃO POR EMPRESAS'!$H$6:$J$5000,MATCH($A3193,'CONTROLE PRODUÇÃO POR EMPRESAS'!$A$6:$A$5000,0),3),"")),"")</f>
        <v/>
      </c>
      <c r="I3193">
        <f>IF(OR(NOT(ISNUMBER(G3193)),NOT(ISNUMBER(H3193))),"",H3193-G3193)</f>
        <v/>
      </c>
      <c r="J3193">
        <f>IF(OR(NOT(ISNUMBER(G3193)),NOT(ISNUMBER(H3193)),G3193=0),"",I3193/G3193)</f>
        <v/>
      </c>
      <c r="K3193">
        <f>IF(OR(NOT(ISNUMBER(G3193)),NOT(ISNUMBER(H3193)),G3193=0),"",H3193/G3193)</f>
        <v/>
      </c>
      <c r="L3193">
        <f>IF(NOT(ISNUMBER(G3193)),"SEM META",IF(G3193=0,"SEM META",IF(NOT(ISNUMBER(H3193)),"SEM APONTAMENTO",IF(H3193&gt;=G3193,"VERDE",IF(H3193&gt;=G3193*0.9,"AMARELO","VERMELHO")))))</f>
        <v/>
      </c>
    </row>
    <row r="3194">
      <c r="A3194" s="321" t="n">
        <v>46573</v>
      </c>
      <c r="B3194" t="inlineStr">
        <is>
          <t>GERAL</t>
        </is>
      </c>
      <c r="C3194" t="inlineStr">
        <is>
          <t>GLOBO AÇOS</t>
        </is>
      </c>
      <c r="D3194" t="inlineStr">
        <is>
          <t>PERFILAÇÃO</t>
        </is>
      </c>
      <c r="F3194">
        <f>IFERROR(INDEX('BASE METAS DIÁRIAS'!$AA$2:$AC$358,MATCH($A3194,'BASE METAS DIÁRIAS'!$A$2:$A$358,0),1),"")</f>
        <v/>
      </c>
      <c r="G3194">
        <f>IFERROR(IF(WEEKDAY($A3194,2)&lt;=INDEX('BASE METAS DIÁRIAS'!$X$2:$Z$358,MATCH($A3194,'BASE METAS DIÁRIAS'!$A$2:$A$358,0),1),INDEX('BASE METAS DIÁRIAS'!$U$2:$W$358,MATCH($A3194,'BASE METAS DIÁRIAS'!$A$2:$A$358,0),1),""),"")</f>
        <v/>
      </c>
      <c r="H3194">
        <f>IFERROR(IF(INDEX('CONTROLE PRODUÇÃO POR EMPRESAS'!$H$6:$J$5000,MATCH($A3194,'CONTROLE PRODUÇÃO POR EMPRESAS'!$A$6:$A$5000,0),1)="","",IFERROR(1*INDEX('CONTROLE PRODUÇÃO POR EMPRESAS'!$H$6:$J$5000,MATCH($A3194,'CONTROLE PRODUÇÃO POR EMPRESAS'!$A$6:$A$5000,0),1),"")),"")</f>
        <v/>
      </c>
      <c r="I3194">
        <f>IF(OR(NOT(ISNUMBER(G3194)),NOT(ISNUMBER(H3194))),"",H3194-G3194)</f>
        <v/>
      </c>
      <c r="J3194">
        <f>IF(OR(NOT(ISNUMBER(G3194)),NOT(ISNUMBER(H3194)),G3194=0),"",I3194/G3194)</f>
        <v/>
      </c>
      <c r="K3194">
        <f>IF(OR(NOT(ISNUMBER(G3194)),NOT(ISNUMBER(H3194)),G3194=0),"",H3194/G3194)</f>
        <v/>
      </c>
      <c r="L3194">
        <f>IF(NOT(ISNUMBER(G3194)),"SEM META",IF(G3194=0,"SEM META",IF(NOT(ISNUMBER(H3194)),"SEM APONTAMENTO",IF(H3194&gt;=G3194,"VERDE",IF(H3194&gt;=G3194*0.9,"AMARELO","VERMELHO")))))</f>
        <v/>
      </c>
    </row>
    <row r="3195">
      <c r="A3195" s="321" t="n">
        <v>46573</v>
      </c>
      <c r="B3195" t="inlineStr">
        <is>
          <t>GERAL</t>
        </is>
      </c>
      <c r="C3195" t="inlineStr">
        <is>
          <t>GLOBO AÇOS</t>
        </is>
      </c>
      <c r="D3195" t="inlineStr">
        <is>
          <t>TELHAR</t>
        </is>
      </c>
      <c r="F3195">
        <f>IFERROR(INDEX('BASE METAS DIÁRIAS'!$AA$2:$AC$358,MATCH($A3195,'BASE METAS DIÁRIAS'!$A$2:$A$358,0),2),"")</f>
        <v/>
      </c>
      <c r="G3195">
        <f>IFERROR(IF(WEEKDAY($A3195,2)&lt;=INDEX('BASE METAS DIÁRIAS'!$X$2:$Z$358,MATCH($A3195,'BASE METAS DIÁRIAS'!$A$2:$A$358,0),2),INDEX('BASE METAS DIÁRIAS'!$U$2:$W$358,MATCH($A3195,'BASE METAS DIÁRIAS'!$A$2:$A$358,0),2),""),"")</f>
        <v/>
      </c>
      <c r="H3195">
        <f>IFERROR(IF(INDEX('CONTROLE PRODUÇÃO POR EMPRESAS'!$H$6:$J$5000,MATCH($A3195,'CONTROLE PRODUÇÃO POR EMPRESAS'!$A$6:$A$5000,0),2)="","",IFERROR(1*INDEX('CONTROLE PRODUÇÃO POR EMPRESAS'!$H$6:$J$5000,MATCH($A3195,'CONTROLE PRODUÇÃO POR EMPRESAS'!$A$6:$A$5000,0),2),"")),"")</f>
        <v/>
      </c>
      <c r="I3195">
        <f>IF(OR(NOT(ISNUMBER(G3195)),NOT(ISNUMBER(H3195))),"",H3195-G3195)</f>
        <v/>
      </c>
      <c r="J3195">
        <f>IF(OR(NOT(ISNUMBER(G3195)),NOT(ISNUMBER(H3195)),G3195=0),"",I3195/G3195)</f>
        <v/>
      </c>
      <c r="K3195">
        <f>IF(OR(NOT(ISNUMBER(G3195)),NOT(ISNUMBER(H3195)),G3195=0),"",H3195/G3195)</f>
        <v/>
      </c>
      <c r="L3195">
        <f>IF(NOT(ISNUMBER(G3195)),"SEM META",IF(G3195=0,"SEM META",IF(NOT(ISNUMBER(H3195)),"SEM APONTAMENTO",IF(H3195&gt;=G3195,"VERDE",IF(H3195&gt;=G3195*0.9,"AMARELO","VERMELHO")))))</f>
        <v/>
      </c>
    </row>
    <row r="3196">
      <c r="A3196" s="321" t="n">
        <v>46573</v>
      </c>
      <c r="B3196" t="inlineStr">
        <is>
          <t>GERAL</t>
        </is>
      </c>
      <c r="C3196" t="inlineStr">
        <is>
          <t>GLOBO AÇOS</t>
        </is>
      </c>
      <c r="D3196" t="inlineStr">
        <is>
          <t>FECHAMENTO</t>
        </is>
      </c>
      <c r="F3196">
        <f>IFERROR(INDEX('BASE METAS DIÁRIAS'!$AA$2:$AC$358,MATCH($A3196,'BASE METAS DIÁRIAS'!$A$2:$A$358,0),3),"")</f>
        <v/>
      </c>
      <c r="G3196">
        <f>IFERROR(IF(WEEKDAY($A3196,2)&lt;=INDEX('BASE METAS DIÁRIAS'!$X$2:$Z$358,MATCH($A3196,'BASE METAS DIÁRIAS'!$A$2:$A$358,0),3),INDEX('BASE METAS DIÁRIAS'!$U$2:$W$358,MATCH($A3196,'BASE METAS DIÁRIAS'!$A$2:$A$358,0),3),""),"")</f>
        <v/>
      </c>
      <c r="H3196">
        <f>IFERROR(IF(INDEX('CONTROLE PRODUÇÃO POR EMPRESAS'!$H$6:$J$5000,MATCH($A3196,'CONTROLE PRODUÇÃO POR EMPRESAS'!$A$6:$A$5000,0),3)="","",IFERROR(1*INDEX('CONTROLE PRODUÇÃO POR EMPRESAS'!$H$6:$J$5000,MATCH($A3196,'CONTROLE PRODUÇÃO POR EMPRESAS'!$A$6:$A$5000,0),3),"")),"")</f>
        <v/>
      </c>
      <c r="I3196">
        <f>IF(OR(NOT(ISNUMBER(G3196)),NOT(ISNUMBER(H3196))),"",H3196-G3196)</f>
        <v/>
      </c>
      <c r="J3196">
        <f>IF(OR(NOT(ISNUMBER(G3196)),NOT(ISNUMBER(H3196)),G3196=0),"",I3196/G3196)</f>
        <v/>
      </c>
      <c r="K3196">
        <f>IF(OR(NOT(ISNUMBER(G3196)),NOT(ISNUMBER(H3196)),G3196=0),"",H3196/G3196)</f>
        <v/>
      </c>
      <c r="L3196">
        <f>IF(NOT(ISNUMBER(G3196)),"SEM META",IF(G3196=0,"SEM META",IF(NOT(ISNUMBER(H3196)),"SEM APONTAMENTO",IF(H3196&gt;=G3196,"VERDE",IF(H3196&gt;=G3196*0.9,"AMARELO","VERMELHO")))))</f>
        <v/>
      </c>
    </row>
    <row r="3197">
      <c r="A3197" s="321" t="n">
        <v>46574</v>
      </c>
      <c r="B3197" t="inlineStr">
        <is>
          <t>GERAL</t>
        </is>
      </c>
      <c r="C3197" t="inlineStr">
        <is>
          <t>GLOBO AÇOS</t>
        </is>
      </c>
      <c r="D3197" t="inlineStr">
        <is>
          <t>PERFILAÇÃO</t>
        </is>
      </c>
      <c r="F3197">
        <f>IFERROR(INDEX('BASE METAS DIÁRIAS'!$AA$2:$AC$358,MATCH($A3197,'BASE METAS DIÁRIAS'!$A$2:$A$358,0),1),"")</f>
        <v/>
      </c>
      <c r="G3197">
        <f>IFERROR(IF(WEEKDAY($A3197,2)&lt;=INDEX('BASE METAS DIÁRIAS'!$X$2:$Z$358,MATCH($A3197,'BASE METAS DIÁRIAS'!$A$2:$A$358,0),1),INDEX('BASE METAS DIÁRIAS'!$U$2:$W$358,MATCH($A3197,'BASE METAS DIÁRIAS'!$A$2:$A$358,0),1),""),"")</f>
        <v/>
      </c>
      <c r="H3197">
        <f>IFERROR(IF(INDEX('CONTROLE PRODUÇÃO POR EMPRESAS'!$H$6:$J$5000,MATCH($A3197,'CONTROLE PRODUÇÃO POR EMPRESAS'!$A$6:$A$5000,0),1)="","",IFERROR(1*INDEX('CONTROLE PRODUÇÃO POR EMPRESAS'!$H$6:$J$5000,MATCH($A3197,'CONTROLE PRODUÇÃO POR EMPRESAS'!$A$6:$A$5000,0),1),"")),"")</f>
        <v/>
      </c>
      <c r="I3197">
        <f>IF(OR(NOT(ISNUMBER(G3197)),NOT(ISNUMBER(H3197))),"",H3197-G3197)</f>
        <v/>
      </c>
      <c r="J3197">
        <f>IF(OR(NOT(ISNUMBER(G3197)),NOT(ISNUMBER(H3197)),G3197=0),"",I3197/G3197)</f>
        <v/>
      </c>
      <c r="K3197">
        <f>IF(OR(NOT(ISNUMBER(G3197)),NOT(ISNUMBER(H3197)),G3197=0),"",H3197/G3197)</f>
        <v/>
      </c>
      <c r="L3197">
        <f>IF(NOT(ISNUMBER(G3197)),"SEM META",IF(G3197=0,"SEM META",IF(NOT(ISNUMBER(H3197)),"SEM APONTAMENTO",IF(H3197&gt;=G3197,"VERDE",IF(H3197&gt;=G3197*0.9,"AMARELO","VERMELHO")))))</f>
        <v/>
      </c>
    </row>
    <row r="3198">
      <c r="A3198" s="321" t="n">
        <v>46574</v>
      </c>
      <c r="B3198" t="inlineStr">
        <is>
          <t>GERAL</t>
        </is>
      </c>
      <c r="C3198" t="inlineStr">
        <is>
          <t>GLOBO AÇOS</t>
        </is>
      </c>
      <c r="D3198" t="inlineStr">
        <is>
          <t>TELHAR</t>
        </is>
      </c>
      <c r="F3198">
        <f>IFERROR(INDEX('BASE METAS DIÁRIAS'!$AA$2:$AC$358,MATCH($A3198,'BASE METAS DIÁRIAS'!$A$2:$A$358,0),2),"")</f>
        <v/>
      </c>
      <c r="G3198">
        <f>IFERROR(IF(WEEKDAY($A3198,2)&lt;=INDEX('BASE METAS DIÁRIAS'!$X$2:$Z$358,MATCH($A3198,'BASE METAS DIÁRIAS'!$A$2:$A$358,0),2),INDEX('BASE METAS DIÁRIAS'!$U$2:$W$358,MATCH($A3198,'BASE METAS DIÁRIAS'!$A$2:$A$358,0),2),""),"")</f>
        <v/>
      </c>
      <c r="H3198">
        <f>IFERROR(IF(INDEX('CONTROLE PRODUÇÃO POR EMPRESAS'!$H$6:$J$5000,MATCH($A3198,'CONTROLE PRODUÇÃO POR EMPRESAS'!$A$6:$A$5000,0),2)="","",IFERROR(1*INDEX('CONTROLE PRODUÇÃO POR EMPRESAS'!$H$6:$J$5000,MATCH($A3198,'CONTROLE PRODUÇÃO POR EMPRESAS'!$A$6:$A$5000,0),2),"")),"")</f>
        <v/>
      </c>
      <c r="I3198">
        <f>IF(OR(NOT(ISNUMBER(G3198)),NOT(ISNUMBER(H3198))),"",H3198-G3198)</f>
        <v/>
      </c>
      <c r="J3198">
        <f>IF(OR(NOT(ISNUMBER(G3198)),NOT(ISNUMBER(H3198)),G3198=0),"",I3198/G3198)</f>
        <v/>
      </c>
      <c r="K3198">
        <f>IF(OR(NOT(ISNUMBER(G3198)),NOT(ISNUMBER(H3198)),G3198=0),"",H3198/G3198)</f>
        <v/>
      </c>
      <c r="L3198">
        <f>IF(NOT(ISNUMBER(G3198)),"SEM META",IF(G3198=0,"SEM META",IF(NOT(ISNUMBER(H3198)),"SEM APONTAMENTO",IF(H3198&gt;=G3198,"VERDE",IF(H3198&gt;=G3198*0.9,"AMARELO","VERMELHO")))))</f>
        <v/>
      </c>
    </row>
    <row r="3199">
      <c r="A3199" s="321" t="n">
        <v>46574</v>
      </c>
      <c r="B3199" t="inlineStr">
        <is>
          <t>GERAL</t>
        </is>
      </c>
      <c r="C3199" t="inlineStr">
        <is>
          <t>GLOBO AÇOS</t>
        </is>
      </c>
      <c r="D3199" t="inlineStr">
        <is>
          <t>FECHAMENTO</t>
        </is>
      </c>
      <c r="F3199">
        <f>IFERROR(INDEX('BASE METAS DIÁRIAS'!$AA$2:$AC$358,MATCH($A3199,'BASE METAS DIÁRIAS'!$A$2:$A$358,0),3),"")</f>
        <v/>
      </c>
      <c r="G3199">
        <f>IFERROR(IF(WEEKDAY($A3199,2)&lt;=INDEX('BASE METAS DIÁRIAS'!$X$2:$Z$358,MATCH($A3199,'BASE METAS DIÁRIAS'!$A$2:$A$358,0),3),INDEX('BASE METAS DIÁRIAS'!$U$2:$W$358,MATCH($A3199,'BASE METAS DIÁRIAS'!$A$2:$A$358,0),3),""),"")</f>
        <v/>
      </c>
      <c r="H3199">
        <f>IFERROR(IF(INDEX('CONTROLE PRODUÇÃO POR EMPRESAS'!$H$6:$J$5000,MATCH($A3199,'CONTROLE PRODUÇÃO POR EMPRESAS'!$A$6:$A$5000,0),3)="","",IFERROR(1*INDEX('CONTROLE PRODUÇÃO POR EMPRESAS'!$H$6:$J$5000,MATCH($A3199,'CONTROLE PRODUÇÃO POR EMPRESAS'!$A$6:$A$5000,0),3),"")),"")</f>
        <v/>
      </c>
      <c r="I3199">
        <f>IF(OR(NOT(ISNUMBER(G3199)),NOT(ISNUMBER(H3199))),"",H3199-G3199)</f>
        <v/>
      </c>
      <c r="J3199">
        <f>IF(OR(NOT(ISNUMBER(G3199)),NOT(ISNUMBER(H3199)),G3199=0),"",I3199/G3199)</f>
        <v/>
      </c>
      <c r="K3199">
        <f>IF(OR(NOT(ISNUMBER(G3199)),NOT(ISNUMBER(H3199)),G3199=0),"",H3199/G3199)</f>
        <v/>
      </c>
      <c r="L3199">
        <f>IF(NOT(ISNUMBER(G3199)),"SEM META",IF(G3199=0,"SEM META",IF(NOT(ISNUMBER(H3199)),"SEM APONTAMENTO",IF(H3199&gt;=G3199,"VERDE",IF(H3199&gt;=G3199*0.9,"AMARELO","VERMELHO")))))</f>
        <v/>
      </c>
    </row>
    <row r="3200">
      <c r="A3200" s="321" t="n">
        <v>46575</v>
      </c>
      <c r="B3200" t="inlineStr">
        <is>
          <t>GERAL</t>
        </is>
      </c>
      <c r="C3200" t="inlineStr">
        <is>
          <t>GLOBO AÇOS</t>
        </is>
      </c>
      <c r="D3200" t="inlineStr">
        <is>
          <t>PERFILAÇÃO</t>
        </is>
      </c>
      <c r="F3200">
        <f>IFERROR(INDEX('BASE METAS DIÁRIAS'!$AA$2:$AC$358,MATCH($A3200,'BASE METAS DIÁRIAS'!$A$2:$A$358,0),1),"")</f>
        <v/>
      </c>
      <c r="G3200">
        <f>IFERROR(IF(WEEKDAY($A3200,2)&lt;=INDEX('BASE METAS DIÁRIAS'!$X$2:$Z$358,MATCH($A3200,'BASE METAS DIÁRIAS'!$A$2:$A$358,0),1),INDEX('BASE METAS DIÁRIAS'!$U$2:$W$358,MATCH($A3200,'BASE METAS DIÁRIAS'!$A$2:$A$358,0),1),""),"")</f>
        <v/>
      </c>
      <c r="H3200">
        <f>IFERROR(IF(INDEX('CONTROLE PRODUÇÃO POR EMPRESAS'!$H$6:$J$5000,MATCH($A3200,'CONTROLE PRODUÇÃO POR EMPRESAS'!$A$6:$A$5000,0),1)="","",IFERROR(1*INDEX('CONTROLE PRODUÇÃO POR EMPRESAS'!$H$6:$J$5000,MATCH($A3200,'CONTROLE PRODUÇÃO POR EMPRESAS'!$A$6:$A$5000,0),1),"")),"")</f>
        <v/>
      </c>
      <c r="I3200">
        <f>IF(OR(NOT(ISNUMBER(G3200)),NOT(ISNUMBER(H3200))),"",H3200-G3200)</f>
        <v/>
      </c>
      <c r="J3200">
        <f>IF(OR(NOT(ISNUMBER(G3200)),NOT(ISNUMBER(H3200)),G3200=0),"",I3200/G3200)</f>
        <v/>
      </c>
      <c r="K3200">
        <f>IF(OR(NOT(ISNUMBER(G3200)),NOT(ISNUMBER(H3200)),G3200=0),"",H3200/G3200)</f>
        <v/>
      </c>
      <c r="L3200">
        <f>IF(NOT(ISNUMBER(G3200)),"SEM META",IF(G3200=0,"SEM META",IF(NOT(ISNUMBER(H3200)),"SEM APONTAMENTO",IF(H3200&gt;=G3200,"VERDE",IF(H3200&gt;=G3200*0.9,"AMARELO","VERMELHO")))))</f>
        <v/>
      </c>
    </row>
    <row r="3201">
      <c r="A3201" s="321" t="n">
        <v>46575</v>
      </c>
      <c r="B3201" t="inlineStr">
        <is>
          <t>GERAL</t>
        </is>
      </c>
      <c r="C3201" t="inlineStr">
        <is>
          <t>GLOBO AÇOS</t>
        </is>
      </c>
      <c r="D3201" t="inlineStr">
        <is>
          <t>TELHAR</t>
        </is>
      </c>
      <c r="F3201">
        <f>IFERROR(INDEX('BASE METAS DIÁRIAS'!$AA$2:$AC$358,MATCH($A3201,'BASE METAS DIÁRIAS'!$A$2:$A$358,0),2),"")</f>
        <v/>
      </c>
      <c r="G3201">
        <f>IFERROR(IF(WEEKDAY($A3201,2)&lt;=INDEX('BASE METAS DIÁRIAS'!$X$2:$Z$358,MATCH($A3201,'BASE METAS DIÁRIAS'!$A$2:$A$358,0),2),INDEX('BASE METAS DIÁRIAS'!$U$2:$W$358,MATCH($A3201,'BASE METAS DIÁRIAS'!$A$2:$A$358,0),2),""),"")</f>
        <v/>
      </c>
      <c r="H3201">
        <f>IFERROR(IF(INDEX('CONTROLE PRODUÇÃO POR EMPRESAS'!$H$6:$J$5000,MATCH($A3201,'CONTROLE PRODUÇÃO POR EMPRESAS'!$A$6:$A$5000,0),2)="","",IFERROR(1*INDEX('CONTROLE PRODUÇÃO POR EMPRESAS'!$H$6:$J$5000,MATCH($A3201,'CONTROLE PRODUÇÃO POR EMPRESAS'!$A$6:$A$5000,0),2),"")),"")</f>
        <v/>
      </c>
      <c r="I3201">
        <f>IF(OR(NOT(ISNUMBER(G3201)),NOT(ISNUMBER(H3201))),"",H3201-G3201)</f>
        <v/>
      </c>
      <c r="J3201">
        <f>IF(OR(NOT(ISNUMBER(G3201)),NOT(ISNUMBER(H3201)),G3201=0),"",I3201/G3201)</f>
        <v/>
      </c>
      <c r="K3201">
        <f>IF(OR(NOT(ISNUMBER(G3201)),NOT(ISNUMBER(H3201)),G3201=0),"",H3201/G3201)</f>
        <v/>
      </c>
      <c r="L3201">
        <f>IF(NOT(ISNUMBER(G3201)),"SEM META",IF(G3201=0,"SEM META",IF(NOT(ISNUMBER(H3201)),"SEM APONTAMENTO",IF(H3201&gt;=G3201,"VERDE",IF(H3201&gt;=G3201*0.9,"AMARELO","VERMELHO")))))</f>
        <v/>
      </c>
    </row>
    <row r="3202">
      <c r="A3202" s="321" t="n">
        <v>46575</v>
      </c>
      <c r="B3202" t="inlineStr">
        <is>
          <t>GERAL</t>
        </is>
      </c>
      <c r="C3202" t="inlineStr">
        <is>
          <t>GLOBO AÇOS</t>
        </is>
      </c>
      <c r="D3202" t="inlineStr">
        <is>
          <t>FECHAMENTO</t>
        </is>
      </c>
      <c r="F3202">
        <f>IFERROR(INDEX('BASE METAS DIÁRIAS'!$AA$2:$AC$358,MATCH($A3202,'BASE METAS DIÁRIAS'!$A$2:$A$358,0),3),"")</f>
        <v/>
      </c>
      <c r="G3202">
        <f>IFERROR(IF(WEEKDAY($A3202,2)&lt;=INDEX('BASE METAS DIÁRIAS'!$X$2:$Z$358,MATCH($A3202,'BASE METAS DIÁRIAS'!$A$2:$A$358,0),3),INDEX('BASE METAS DIÁRIAS'!$U$2:$W$358,MATCH($A3202,'BASE METAS DIÁRIAS'!$A$2:$A$358,0),3),""),"")</f>
        <v/>
      </c>
      <c r="H3202">
        <f>IFERROR(IF(INDEX('CONTROLE PRODUÇÃO POR EMPRESAS'!$H$6:$J$5000,MATCH($A3202,'CONTROLE PRODUÇÃO POR EMPRESAS'!$A$6:$A$5000,0),3)="","",IFERROR(1*INDEX('CONTROLE PRODUÇÃO POR EMPRESAS'!$H$6:$J$5000,MATCH($A3202,'CONTROLE PRODUÇÃO POR EMPRESAS'!$A$6:$A$5000,0),3),"")),"")</f>
        <v/>
      </c>
      <c r="I3202">
        <f>IF(OR(NOT(ISNUMBER(G3202)),NOT(ISNUMBER(H3202))),"",H3202-G3202)</f>
        <v/>
      </c>
      <c r="J3202">
        <f>IF(OR(NOT(ISNUMBER(G3202)),NOT(ISNUMBER(H3202)),G3202=0),"",I3202/G3202)</f>
        <v/>
      </c>
      <c r="K3202">
        <f>IF(OR(NOT(ISNUMBER(G3202)),NOT(ISNUMBER(H3202)),G3202=0),"",H3202/G3202)</f>
        <v/>
      </c>
      <c r="L3202">
        <f>IF(NOT(ISNUMBER(G3202)),"SEM META",IF(G3202=0,"SEM META",IF(NOT(ISNUMBER(H3202)),"SEM APONTAMENTO",IF(H3202&gt;=G3202,"VERDE",IF(H3202&gt;=G3202*0.9,"AMARELO","VERMELHO")))))</f>
        <v/>
      </c>
    </row>
    <row r="3203">
      <c r="A3203" s="321" t="n">
        <v>46576</v>
      </c>
      <c r="B3203" t="inlineStr">
        <is>
          <t>GERAL</t>
        </is>
      </c>
      <c r="C3203" t="inlineStr">
        <is>
          <t>GLOBO AÇOS</t>
        </is>
      </c>
      <c r="D3203" t="inlineStr">
        <is>
          <t>PERFILAÇÃO</t>
        </is>
      </c>
      <c r="F3203">
        <f>IFERROR(INDEX('BASE METAS DIÁRIAS'!$AA$2:$AC$358,MATCH($A3203,'BASE METAS DIÁRIAS'!$A$2:$A$358,0),1),"")</f>
        <v/>
      </c>
      <c r="G3203">
        <f>IFERROR(IF(WEEKDAY($A3203,2)&lt;=INDEX('BASE METAS DIÁRIAS'!$X$2:$Z$358,MATCH($A3203,'BASE METAS DIÁRIAS'!$A$2:$A$358,0),1),INDEX('BASE METAS DIÁRIAS'!$U$2:$W$358,MATCH($A3203,'BASE METAS DIÁRIAS'!$A$2:$A$358,0),1),""),"")</f>
        <v/>
      </c>
      <c r="H3203">
        <f>IFERROR(IF(INDEX('CONTROLE PRODUÇÃO POR EMPRESAS'!$H$6:$J$5000,MATCH($A3203,'CONTROLE PRODUÇÃO POR EMPRESAS'!$A$6:$A$5000,0),1)="","",IFERROR(1*INDEX('CONTROLE PRODUÇÃO POR EMPRESAS'!$H$6:$J$5000,MATCH($A3203,'CONTROLE PRODUÇÃO POR EMPRESAS'!$A$6:$A$5000,0),1),"")),"")</f>
        <v/>
      </c>
      <c r="I3203">
        <f>IF(OR(NOT(ISNUMBER(G3203)),NOT(ISNUMBER(H3203))),"",H3203-G3203)</f>
        <v/>
      </c>
      <c r="J3203">
        <f>IF(OR(NOT(ISNUMBER(G3203)),NOT(ISNUMBER(H3203)),G3203=0),"",I3203/G3203)</f>
        <v/>
      </c>
      <c r="K3203">
        <f>IF(OR(NOT(ISNUMBER(G3203)),NOT(ISNUMBER(H3203)),G3203=0),"",H3203/G3203)</f>
        <v/>
      </c>
      <c r="L3203">
        <f>IF(NOT(ISNUMBER(G3203)),"SEM META",IF(G3203=0,"SEM META",IF(NOT(ISNUMBER(H3203)),"SEM APONTAMENTO",IF(H3203&gt;=G3203,"VERDE",IF(H3203&gt;=G3203*0.9,"AMARELO","VERMELHO")))))</f>
        <v/>
      </c>
    </row>
    <row r="3204">
      <c r="A3204" s="321" t="n">
        <v>46576</v>
      </c>
      <c r="B3204" t="inlineStr">
        <is>
          <t>GERAL</t>
        </is>
      </c>
      <c r="C3204" t="inlineStr">
        <is>
          <t>GLOBO AÇOS</t>
        </is>
      </c>
      <c r="D3204" t="inlineStr">
        <is>
          <t>TELHAR</t>
        </is>
      </c>
      <c r="F3204">
        <f>IFERROR(INDEX('BASE METAS DIÁRIAS'!$AA$2:$AC$358,MATCH($A3204,'BASE METAS DIÁRIAS'!$A$2:$A$358,0),2),"")</f>
        <v/>
      </c>
      <c r="G3204">
        <f>IFERROR(IF(WEEKDAY($A3204,2)&lt;=INDEX('BASE METAS DIÁRIAS'!$X$2:$Z$358,MATCH($A3204,'BASE METAS DIÁRIAS'!$A$2:$A$358,0),2),INDEX('BASE METAS DIÁRIAS'!$U$2:$W$358,MATCH($A3204,'BASE METAS DIÁRIAS'!$A$2:$A$358,0),2),""),"")</f>
        <v/>
      </c>
      <c r="H3204">
        <f>IFERROR(IF(INDEX('CONTROLE PRODUÇÃO POR EMPRESAS'!$H$6:$J$5000,MATCH($A3204,'CONTROLE PRODUÇÃO POR EMPRESAS'!$A$6:$A$5000,0),2)="","",IFERROR(1*INDEX('CONTROLE PRODUÇÃO POR EMPRESAS'!$H$6:$J$5000,MATCH($A3204,'CONTROLE PRODUÇÃO POR EMPRESAS'!$A$6:$A$5000,0),2),"")),"")</f>
        <v/>
      </c>
      <c r="I3204">
        <f>IF(OR(NOT(ISNUMBER(G3204)),NOT(ISNUMBER(H3204))),"",H3204-G3204)</f>
        <v/>
      </c>
      <c r="J3204">
        <f>IF(OR(NOT(ISNUMBER(G3204)),NOT(ISNUMBER(H3204)),G3204=0),"",I3204/G3204)</f>
        <v/>
      </c>
      <c r="K3204">
        <f>IF(OR(NOT(ISNUMBER(G3204)),NOT(ISNUMBER(H3204)),G3204=0),"",H3204/G3204)</f>
        <v/>
      </c>
      <c r="L3204">
        <f>IF(NOT(ISNUMBER(G3204)),"SEM META",IF(G3204=0,"SEM META",IF(NOT(ISNUMBER(H3204)),"SEM APONTAMENTO",IF(H3204&gt;=G3204,"VERDE",IF(H3204&gt;=G3204*0.9,"AMARELO","VERMELHO")))))</f>
        <v/>
      </c>
    </row>
    <row r="3205">
      <c r="A3205" s="321" t="n">
        <v>46576</v>
      </c>
      <c r="B3205" t="inlineStr">
        <is>
          <t>GERAL</t>
        </is>
      </c>
      <c r="C3205" t="inlineStr">
        <is>
          <t>GLOBO AÇOS</t>
        </is>
      </c>
      <c r="D3205" t="inlineStr">
        <is>
          <t>FECHAMENTO</t>
        </is>
      </c>
      <c r="F3205">
        <f>IFERROR(INDEX('BASE METAS DIÁRIAS'!$AA$2:$AC$358,MATCH($A3205,'BASE METAS DIÁRIAS'!$A$2:$A$358,0),3),"")</f>
        <v/>
      </c>
      <c r="G3205">
        <f>IFERROR(IF(WEEKDAY($A3205,2)&lt;=INDEX('BASE METAS DIÁRIAS'!$X$2:$Z$358,MATCH($A3205,'BASE METAS DIÁRIAS'!$A$2:$A$358,0),3),INDEX('BASE METAS DIÁRIAS'!$U$2:$W$358,MATCH($A3205,'BASE METAS DIÁRIAS'!$A$2:$A$358,0),3),""),"")</f>
        <v/>
      </c>
      <c r="H3205">
        <f>IFERROR(IF(INDEX('CONTROLE PRODUÇÃO POR EMPRESAS'!$H$6:$J$5000,MATCH($A3205,'CONTROLE PRODUÇÃO POR EMPRESAS'!$A$6:$A$5000,0),3)="","",IFERROR(1*INDEX('CONTROLE PRODUÇÃO POR EMPRESAS'!$H$6:$J$5000,MATCH($A3205,'CONTROLE PRODUÇÃO POR EMPRESAS'!$A$6:$A$5000,0),3),"")),"")</f>
        <v/>
      </c>
      <c r="I3205">
        <f>IF(OR(NOT(ISNUMBER(G3205)),NOT(ISNUMBER(H3205))),"",H3205-G3205)</f>
        <v/>
      </c>
      <c r="J3205">
        <f>IF(OR(NOT(ISNUMBER(G3205)),NOT(ISNUMBER(H3205)),G3205=0),"",I3205/G3205)</f>
        <v/>
      </c>
      <c r="K3205">
        <f>IF(OR(NOT(ISNUMBER(G3205)),NOT(ISNUMBER(H3205)),G3205=0),"",H3205/G3205)</f>
        <v/>
      </c>
      <c r="L3205">
        <f>IF(NOT(ISNUMBER(G3205)),"SEM META",IF(G3205=0,"SEM META",IF(NOT(ISNUMBER(H3205)),"SEM APONTAMENTO",IF(H3205&gt;=G3205,"VERDE",IF(H3205&gt;=G3205*0.9,"AMARELO","VERMELHO")))))</f>
        <v/>
      </c>
    </row>
    <row r="3206">
      <c r="A3206" s="321" t="n">
        <v>46577</v>
      </c>
      <c r="B3206" t="inlineStr">
        <is>
          <t>GERAL</t>
        </is>
      </c>
      <c r="C3206" t="inlineStr">
        <is>
          <t>GLOBO AÇOS</t>
        </is>
      </c>
      <c r="D3206" t="inlineStr">
        <is>
          <t>PERFILAÇÃO</t>
        </is>
      </c>
      <c r="F3206">
        <f>IFERROR(INDEX('BASE METAS DIÁRIAS'!$AA$2:$AC$358,MATCH($A3206,'BASE METAS DIÁRIAS'!$A$2:$A$358,0),1),"")</f>
        <v/>
      </c>
      <c r="G3206">
        <f>IFERROR(IF(WEEKDAY($A3206,2)&lt;=INDEX('BASE METAS DIÁRIAS'!$X$2:$Z$358,MATCH($A3206,'BASE METAS DIÁRIAS'!$A$2:$A$358,0),1),INDEX('BASE METAS DIÁRIAS'!$U$2:$W$358,MATCH($A3206,'BASE METAS DIÁRIAS'!$A$2:$A$358,0),1),""),"")</f>
        <v/>
      </c>
      <c r="H3206">
        <f>IFERROR(IF(INDEX('CONTROLE PRODUÇÃO POR EMPRESAS'!$H$6:$J$5000,MATCH($A3206,'CONTROLE PRODUÇÃO POR EMPRESAS'!$A$6:$A$5000,0),1)="","",IFERROR(1*INDEX('CONTROLE PRODUÇÃO POR EMPRESAS'!$H$6:$J$5000,MATCH($A3206,'CONTROLE PRODUÇÃO POR EMPRESAS'!$A$6:$A$5000,0),1),"")),"")</f>
        <v/>
      </c>
      <c r="I3206">
        <f>IF(OR(NOT(ISNUMBER(G3206)),NOT(ISNUMBER(H3206))),"",H3206-G3206)</f>
        <v/>
      </c>
      <c r="J3206">
        <f>IF(OR(NOT(ISNUMBER(G3206)),NOT(ISNUMBER(H3206)),G3206=0),"",I3206/G3206)</f>
        <v/>
      </c>
      <c r="K3206">
        <f>IF(OR(NOT(ISNUMBER(G3206)),NOT(ISNUMBER(H3206)),G3206=0),"",H3206/G3206)</f>
        <v/>
      </c>
      <c r="L3206">
        <f>IF(NOT(ISNUMBER(G3206)),"SEM META",IF(G3206=0,"SEM META",IF(NOT(ISNUMBER(H3206)),"SEM APONTAMENTO",IF(H3206&gt;=G3206,"VERDE",IF(H3206&gt;=G3206*0.9,"AMARELO","VERMELHO")))))</f>
        <v/>
      </c>
    </row>
    <row r="3207">
      <c r="A3207" s="321" t="n">
        <v>46577</v>
      </c>
      <c r="B3207" t="inlineStr">
        <is>
          <t>GERAL</t>
        </is>
      </c>
      <c r="C3207" t="inlineStr">
        <is>
          <t>GLOBO AÇOS</t>
        </is>
      </c>
      <c r="D3207" t="inlineStr">
        <is>
          <t>TELHAR</t>
        </is>
      </c>
      <c r="F3207">
        <f>IFERROR(INDEX('BASE METAS DIÁRIAS'!$AA$2:$AC$358,MATCH($A3207,'BASE METAS DIÁRIAS'!$A$2:$A$358,0),2),"")</f>
        <v/>
      </c>
      <c r="G3207">
        <f>IFERROR(IF(WEEKDAY($A3207,2)&lt;=INDEX('BASE METAS DIÁRIAS'!$X$2:$Z$358,MATCH($A3207,'BASE METAS DIÁRIAS'!$A$2:$A$358,0),2),INDEX('BASE METAS DIÁRIAS'!$U$2:$W$358,MATCH($A3207,'BASE METAS DIÁRIAS'!$A$2:$A$358,0),2),""),"")</f>
        <v/>
      </c>
      <c r="H3207">
        <f>IFERROR(IF(INDEX('CONTROLE PRODUÇÃO POR EMPRESAS'!$H$6:$J$5000,MATCH($A3207,'CONTROLE PRODUÇÃO POR EMPRESAS'!$A$6:$A$5000,0),2)="","",IFERROR(1*INDEX('CONTROLE PRODUÇÃO POR EMPRESAS'!$H$6:$J$5000,MATCH($A3207,'CONTROLE PRODUÇÃO POR EMPRESAS'!$A$6:$A$5000,0),2),"")),"")</f>
        <v/>
      </c>
      <c r="I3207">
        <f>IF(OR(NOT(ISNUMBER(G3207)),NOT(ISNUMBER(H3207))),"",H3207-G3207)</f>
        <v/>
      </c>
      <c r="J3207">
        <f>IF(OR(NOT(ISNUMBER(G3207)),NOT(ISNUMBER(H3207)),G3207=0),"",I3207/G3207)</f>
        <v/>
      </c>
      <c r="K3207">
        <f>IF(OR(NOT(ISNUMBER(G3207)),NOT(ISNUMBER(H3207)),G3207=0),"",H3207/G3207)</f>
        <v/>
      </c>
      <c r="L3207">
        <f>IF(NOT(ISNUMBER(G3207)),"SEM META",IF(G3207=0,"SEM META",IF(NOT(ISNUMBER(H3207)),"SEM APONTAMENTO",IF(H3207&gt;=G3207,"VERDE",IF(H3207&gt;=G3207*0.9,"AMARELO","VERMELHO")))))</f>
        <v/>
      </c>
    </row>
    <row r="3208">
      <c r="A3208" s="321" t="n">
        <v>46577</v>
      </c>
      <c r="B3208" t="inlineStr">
        <is>
          <t>GERAL</t>
        </is>
      </c>
      <c r="C3208" t="inlineStr">
        <is>
          <t>GLOBO AÇOS</t>
        </is>
      </c>
      <c r="D3208" t="inlineStr">
        <is>
          <t>FECHAMENTO</t>
        </is>
      </c>
      <c r="F3208">
        <f>IFERROR(INDEX('BASE METAS DIÁRIAS'!$AA$2:$AC$358,MATCH($A3208,'BASE METAS DIÁRIAS'!$A$2:$A$358,0),3),"")</f>
        <v/>
      </c>
      <c r="G3208">
        <f>IFERROR(IF(WEEKDAY($A3208,2)&lt;=INDEX('BASE METAS DIÁRIAS'!$X$2:$Z$358,MATCH($A3208,'BASE METAS DIÁRIAS'!$A$2:$A$358,0),3),INDEX('BASE METAS DIÁRIAS'!$U$2:$W$358,MATCH($A3208,'BASE METAS DIÁRIAS'!$A$2:$A$358,0),3),""),"")</f>
        <v/>
      </c>
      <c r="H3208">
        <f>IFERROR(IF(INDEX('CONTROLE PRODUÇÃO POR EMPRESAS'!$H$6:$J$5000,MATCH($A3208,'CONTROLE PRODUÇÃO POR EMPRESAS'!$A$6:$A$5000,0),3)="","",IFERROR(1*INDEX('CONTROLE PRODUÇÃO POR EMPRESAS'!$H$6:$J$5000,MATCH($A3208,'CONTROLE PRODUÇÃO POR EMPRESAS'!$A$6:$A$5000,0),3),"")),"")</f>
        <v/>
      </c>
      <c r="I3208">
        <f>IF(OR(NOT(ISNUMBER(G3208)),NOT(ISNUMBER(H3208))),"",H3208-G3208)</f>
        <v/>
      </c>
      <c r="J3208">
        <f>IF(OR(NOT(ISNUMBER(G3208)),NOT(ISNUMBER(H3208)),G3208=0),"",I3208/G3208)</f>
        <v/>
      </c>
      <c r="K3208">
        <f>IF(OR(NOT(ISNUMBER(G3208)),NOT(ISNUMBER(H3208)),G3208=0),"",H3208/G3208)</f>
        <v/>
      </c>
      <c r="L3208">
        <f>IF(NOT(ISNUMBER(G3208)),"SEM META",IF(G3208=0,"SEM META",IF(NOT(ISNUMBER(H3208)),"SEM APONTAMENTO",IF(H3208&gt;=G3208,"VERDE",IF(H3208&gt;=G3208*0.9,"AMARELO","VERMELHO")))))</f>
        <v/>
      </c>
    </row>
    <row r="3209">
      <c r="A3209" s="321" t="n">
        <v>46578</v>
      </c>
      <c r="B3209" t="inlineStr">
        <is>
          <t>GERAL</t>
        </is>
      </c>
      <c r="C3209" t="inlineStr">
        <is>
          <t>GLOBO AÇOS</t>
        </is>
      </c>
      <c r="D3209" t="inlineStr">
        <is>
          <t>PERFILAÇÃO</t>
        </is>
      </c>
      <c r="F3209">
        <f>IFERROR(INDEX('BASE METAS DIÁRIAS'!$AA$2:$AC$358,MATCH($A3209,'BASE METAS DIÁRIAS'!$A$2:$A$358,0),1),"")</f>
        <v/>
      </c>
      <c r="G3209">
        <f>IFERROR(IF(WEEKDAY($A3209,2)&lt;=INDEX('BASE METAS DIÁRIAS'!$X$2:$Z$358,MATCH($A3209,'BASE METAS DIÁRIAS'!$A$2:$A$358,0),1),INDEX('BASE METAS DIÁRIAS'!$U$2:$W$358,MATCH($A3209,'BASE METAS DIÁRIAS'!$A$2:$A$358,0),1),""),"")</f>
        <v/>
      </c>
      <c r="H3209">
        <f>IFERROR(IF(INDEX('CONTROLE PRODUÇÃO POR EMPRESAS'!$H$6:$J$5000,MATCH($A3209,'CONTROLE PRODUÇÃO POR EMPRESAS'!$A$6:$A$5000,0),1)="","",IFERROR(1*INDEX('CONTROLE PRODUÇÃO POR EMPRESAS'!$H$6:$J$5000,MATCH($A3209,'CONTROLE PRODUÇÃO POR EMPRESAS'!$A$6:$A$5000,0),1),"")),"")</f>
        <v/>
      </c>
      <c r="I3209">
        <f>IF(OR(NOT(ISNUMBER(G3209)),NOT(ISNUMBER(H3209))),"",H3209-G3209)</f>
        <v/>
      </c>
      <c r="J3209">
        <f>IF(OR(NOT(ISNUMBER(G3209)),NOT(ISNUMBER(H3209)),G3209=0),"",I3209/G3209)</f>
        <v/>
      </c>
      <c r="K3209">
        <f>IF(OR(NOT(ISNUMBER(G3209)),NOT(ISNUMBER(H3209)),G3209=0),"",H3209/G3209)</f>
        <v/>
      </c>
      <c r="L3209">
        <f>IF(NOT(ISNUMBER(G3209)),"SEM META",IF(G3209=0,"SEM META",IF(NOT(ISNUMBER(H3209)),"SEM APONTAMENTO",IF(H3209&gt;=G3209,"VERDE",IF(H3209&gt;=G3209*0.9,"AMARELO","VERMELHO")))))</f>
        <v/>
      </c>
    </row>
    <row r="3210">
      <c r="A3210" s="321" t="n">
        <v>46578</v>
      </c>
      <c r="B3210" t="inlineStr">
        <is>
          <t>GERAL</t>
        </is>
      </c>
      <c r="C3210" t="inlineStr">
        <is>
          <t>GLOBO AÇOS</t>
        </is>
      </c>
      <c r="D3210" t="inlineStr">
        <is>
          <t>TELHAR</t>
        </is>
      </c>
      <c r="F3210">
        <f>IFERROR(INDEX('BASE METAS DIÁRIAS'!$AA$2:$AC$358,MATCH($A3210,'BASE METAS DIÁRIAS'!$A$2:$A$358,0),2),"")</f>
        <v/>
      </c>
      <c r="G3210">
        <f>IFERROR(IF(WEEKDAY($A3210,2)&lt;=INDEX('BASE METAS DIÁRIAS'!$X$2:$Z$358,MATCH($A3210,'BASE METAS DIÁRIAS'!$A$2:$A$358,0),2),INDEX('BASE METAS DIÁRIAS'!$U$2:$W$358,MATCH($A3210,'BASE METAS DIÁRIAS'!$A$2:$A$358,0),2),""),"")</f>
        <v/>
      </c>
      <c r="H3210">
        <f>IFERROR(IF(INDEX('CONTROLE PRODUÇÃO POR EMPRESAS'!$H$6:$J$5000,MATCH($A3210,'CONTROLE PRODUÇÃO POR EMPRESAS'!$A$6:$A$5000,0),2)="","",IFERROR(1*INDEX('CONTROLE PRODUÇÃO POR EMPRESAS'!$H$6:$J$5000,MATCH($A3210,'CONTROLE PRODUÇÃO POR EMPRESAS'!$A$6:$A$5000,0),2),"")),"")</f>
        <v/>
      </c>
      <c r="I3210">
        <f>IF(OR(NOT(ISNUMBER(G3210)),NOT(ISNUMBER(H3210))),"",H3210-G3210)</f>
        <v/>
      </c>
      <c r="J3210">
        <f>IF(OR(NOT(ISNUMBER(G3210)),NOT(ISNUMBER(H3210)),G3210=0),"",I3210/G3210)</f>
        <v/>
      </c>
      <c r="K3210">
        <f>IF(OR(NOT(ISNUMBER(G3210)),NOT(ISNUMBER(H3210)),G3210=0),"",H3210/G3210)</f>
        <v/>
      </c>
      <c r="L3210">
        <f>IF(NOT(ISNUMBER(G3210)),"SEM META",IF(G3210=0,"SEM META",IF(NOT(ISNUMBER(H3210)),"SEM APONTAMENTO",IF(H3210&gt;=G3210,"VERDE",IF(H3210&gt;=G3210*0.9,"AMARELO","VERMELHO")))))</f>
        <v/>
      </c>
    </row>
    <row r="3211">
      <c r="A3211" s="321" t="n">
        <v>46578</v>
      </c>
      <c r="B3211" t="inlineStr">
        <is>
          <t>GERAL</t>
        </is>
      </c>
      <c r="C3211" t="inlineStr">
        <is>
          <t>GLOBO AÇOS</t>
        </is>
      </c>
      <c r="D3211" t="inlineStr">
        <is>
          <t>FECHAMENTO</t>
        </is>
      </c>
      <c r="F3211">
        <f>IFERROR(INDEX('BASE METAS DIÁRIAS'!$AA$2:$AC$358,MATCH($A3211,'BASE METAS DIÁRIAS'!$A$2:$A$358,0),3),"")</f>
        <v/>
      </c>
      <c r="G3211">
        <f>IFERROR(IF(WEEKDAY($A3211,2)&lt;=INDEX('BASE METAS DIÁRIAS'!$X$2:$Z$358,MATCH($A3211,'BASE METAS DIÁRIAS'!$A$2:$A$358,0),3),INDEX('BASE METAS DIÁRIAS'!$U$2:$W$358,MATCH($A3211,'BASE METAS DIÁRIAS'!$A$2:$A$358,0),3),""),"")</f>
        <v/>
      </c>
      <c r="H3211">
        <f>IFERROR(IF(INDEX('CONTROLE PRODUÇÃO POR EMPRESAS'!$H$6:$J$5000,MATCH($A3211,'CONTROLE PRODUÇÃO POR EMPRESAS'!$A$6:$A$5000,0),3)="","",IFERROR(1*INDEX('CONTROLE PRODUÇÃO POR EMPRESAS'!$H$6:$J$5000,MATCH($A3211,'CONTROLE PRODUÇÃO POR EMPRESAS'!$A$6:$A$5000,0),3),"")),"")</f>
        <v/>
      </c>
      <c r="I3211">
        <f>IF(OR(NOT(ISNUMBER(G3211)),NOT(ISNUMBER(H3211))),"",H3211-G3211)</f>
        <v/>
      </c>
      <c r="J3211">
        <f>IF(OR(NOT(ISNUMBER(G3211)),NOT(ISNUMBER(H3211)),G3211=0),"",I3211/G3211)</f>
        <v/>
      </c>
      <c r="K3211">
        <f>IF(OR(NOT(ISNUMBER(G3211)),NOT(ISNUMBER(H3211)),G3211=0),"",H3211/G3211)</f>
        <v/>
      </c>
      <c r="L3211">
        <f>IF(NOT(ISNUMBER(G3211)),"SEM META",IF(G3211=0,"SEM META",IF(NOT(ISNUMBER(H3211)),"SEM APONTAMENTO",IF(H3211&gt;=G3211,"VERDE",IF(H3211&gt;=G3211*0.9,"AMARELO","VERMELHO")))))</f>
        <v/>
      </c>
    </row>
    <row r="3212">
      <c r="A3212" s="321" t="n">
        <v>46579</v>
      </c>
      <c r="B3212" t="inlineStr">
        <is>
          <t>GERAL</t>
        </is>
      </c>
      <c r="C3212" t="inlineStr">
        <is>
          <t>GLOBO AÇOS</t>
        </is>
      </c>
      <c r="D3212" t="inlineStr">
        <is>
          <t>PERFILAÇÃO</t>
        </is>
      </c>
      <c r="F3212">
        <f>IFERROR(INDEX('BASE METAS DIÁRIAS'!$AA$2:$AC$358,MATCH($A3212,'BASE METAS DIÁRIAS'!$A$2:$A$358,0),1),"")</f>
        <v/>
      </c>
      <c r="G3212">
        <f>IFERROR(IF(WEEKDAY($A3212,2)&lt;=INDEX('BASE METAS DIÁRIAS'!$X$2:$Z$358,MATCH($A3212,'BASE METAS DIÁRIAS'!$A$2:$A$358,0),1),INDEX('BASE METAS DIÁRIAS'!$U$2:$W$358,MATCH($A3212,'BASE METAS DIÁRIAS'!$A$2:$A$358,0),1),""),"")</f>
        <v/>
      </c>
      <c r="H3212">
        <f>IFERROR(IF(INDEX('CONTROLE PRODUÇÃO POR EMPRESAS'!$H$6:$J$5000,MATCH($A3212,'CONTROLE PRODUÇÃO POR EMPRESAS'!$A$6:$A$5000,0),1)="","",IFERROR(1*INDEX('CONTROLE PRODUÇÃO POR EMPRESAS'!$H$6:$J$5000,MATCH($A3212,'CONTROLE PRODUÇÃO POR EMPRESAS'!$A$6:$A$5000,0),1),"")),"")</f>
        <v/>
      </c>
      <c r="I3212">
        <f>IF(OR(NOT(ISNUMBER(G3212)),NOT(ISNUMBER(H3212))),"",H3212-G3212)</f>
        <v/>
      </c>
      <c r="J3212">
        <f>IF(OR(NOT(ISNUMBER(G3212)),NOT(ISNUMBER(H3212)),G3212=0),"",I3212/G3212)</f>
        <v/>
      </c>
      <c r="K3212">
        <f>IF(OR(NOT(ISNUMBER(G3212)),NOT(ISNUMBER(H3212)),G3212=0),"",H3212/G3212)</f>
        <v/>
      </c>
      <c r="L3212">
        <f>IF(NOT(ISNUMBER(G3212)),"SEM META",IF(G3212=0,"SEM META",IF(NOT(ISNUMBER(H3212)),"SEM APONTAMENTO",IF(H3212&gt;=G3212,"VERDE",IF(H3212&gt;=G3212*0.9,"AMARELO","VERMELHO")))))</f>
        <v/>
      </c>
    </row>
    <row r="3213">
      <c r="A3213" s="321" t="n">
        <v>46579</v>
      </c>
      <c r="B3213" t="inlineStr">
        <is>
          <t>GERAL</t>
        </is>
      </c>
      <c r="C3213" t="inlineStr">
        <is>
          <t>GLOBO AÇOS</t>
        </is>
      </c>
      <c r="D3213" t="inlineStr">
        <is>
          <t>TELHAR</t>
        </is>
      </c>
      <c r="F3213">
        <f>IFERROR(INDEX('BASE METAS DIÁRIAS'!$AA$2:$AC$358,MATCH($A3213,'BASE METAS DIÁRIAS'!$A$2:$A$358,0),2),"")</f>
        <v/>
      </c>
      <c r="G3213">
        <f>IFERROR(IF(WEEKDAY($A3213,2)&lt;=INDEX('BASE METAS DIÁRIAS'!$X$2:$Z$358,MATCH($A3213,'BASE METAS DIÁRIAS'!$A$2:$A$358,0),2),INDEX('BASE METAS DIÁRIAS'!$U$2:$W$358,MATCH($A3213,'BASE METAS DIÁRIAS'!$A$2:$A$358,0),2),""),"")</f>
        <v/>
      </c>
      <c r="H3213">
        <f>IFERROR(IF(INDEX('CONTROLE PRODUÇÃO POR EMPRESAS'!$H$6:$J$5000,MATCH($A3213,'CONTROLE PRODUÇÃO POR EMPRESAS'!$A$6:$A$5000,0),2)="","",IFERROR(1*INDEX('CONTROLE PRODUÇÃO POR EMPRESAS'!$H$6:$J$5000,MATCH($A3213,'CONTROLE PRODUÇÃO POR EMPRESAS'!$A$6:$A$5000,0),2),"")),"")</f>
        <v/>
      </c>
      <c r="I3213">
        <f>IF(OR(NOT(ISNUMBER(G3213)),NOT(ISNUMBER(H3213))),"",H3213-G3213)</f>
        <v/>
      </c>
      <c r="J3213">
        <f>IF(OR(NOT(ISNUMBER(G3213)),NOT(ISNUMBER(H3213)),G3213=0),"",I3213/G3213)</f>
        <v/>
      </c>
      <c r="K3213">
        <f>IF(OR(NOT(ISNUMBER(G3213)),NOT(ISNUMBER(H3213)),G3213=0),"",H3213/G3213)</f>
        <v/>
      </c>
      <c r="L3213">
        <f>IF(NOT(ISNUMBER(G3213)),"SEM META",IF(G3213=0,"SEM META",IF(NOT(ISNUMBER(H3213)),"SEM APONTAMENTO",IF(H3213&gt;=G3213,"VERDE",IF(H3213&gt;=G3213*0.9,"AMARELO","VERMELHO")))))</f>
        <v/>
      </c>
    </row>
    <row r="3214">
      <c r="A3214" s="321" t="n">
        <v>46579</v>
      </c>
      <c r="B3214" t="inlineStr">
        <is>
          <t>GERAL</t>
        </is>
      </c>
      <c r="C3214" t="inlineStr">
        <is>
          <t>GLOBO AÇOS</t>
        </is>
      </c>
      <c r="D3214" t="inlineStr">
        <is>
          <t>FECHAMENTO</t>
        </is>
      </c>
      <c r="F3214">
        <f>IFERROR(INDEX('BASE METAS DIÁRIAS'!$AA$2:$AC$358,MATCH($A3214,'BASE METAS DIÁRIAS'!$A$2:$A$358,0),3),"")</f>
        <v/>
      </c>
      <c r="G3214">
        <f>IFERROR(IF(WEEKDAY($A3214,2)&lt;=INDEX('BASE METAS DIÁRIAS'!$X$2:$Z$358,MATCH($A3214,'BASE METAS DIÁRIAS'!$A$2:$A$358,0),3),INDEX('BASE METAS DIÁRIAS'!$U$2:$W$358,MATCH($A3214,'BASE METAS DIÁRIAS'!$A$2:$A$358,0),3),""),"")</f>
        <v/>
      </c>
      <c r="H3214">
        <f>IFERROR(IF(INDEX('CONTROLE PRODUÇÃO POR EMPRESAS'!$H$6:$J$5000,MATCH($A3214,'CONTROLE PRODUÇÃO POR EMPRESAS'!$A$6:$A$5000,0),3)="","",IFERROR(1*INDEX('CONTROLE PRODUÇÃO POR EMPRESAS'!$H$6:$J$5000,MATCH($A3214,'CONTROLE PRODUÇÃO POR EMPRESAS'!$A$6:$A$5000,0),3),"")),"")</f>
        <v/>
      </c>
      <c r="I3214">
        <f>IF(OR(NOT(ISNUMBER(G3214)),NOT(ISNUMBER(H3214))),"",H3214-G3214)</f>
        <v/>
      </c>
      <c r="J3214">
        <f>IF(OR(NOT(ISNUMBER(G3214)),NOT(ISNUMBER(H3214)),G3214=0),"",I3214/G3214)</f>
        <v/>
      </c>
      <c r="K3214">
        <f>IF(OR(NOT(ISNUMBER(G3214)),NOT(ISNUMBER(H3214)),G3214=0),"",H3214/G3214)</f>
        <v/>
      </c>
      <c r="L3214">
        <f>IF(NOT(ISNUMBER(G3214)),"SEM META",IF(G3214=0,"SEM META",IF(NOT(ISNUMBER(H3214)),"SEM APONTAMENTO",IF(H3214&gt;=G3214,"VERDE",IF(H3214&gt;=G3214*0.9,"AMARELO","VERMELHO")))))</f>
        <v/>
      </c>
    </row>
  </sheetData>
  <autoFilter ref="A1:R2143"/>
  <conditionalFormatting sqref="I2:I2143">
    <cfRule type="cellIs" priority="6" operator="lessThan" dxfId="5">
      <formula>0</formula>
    </cfRule>
    <cfRule type="cellIs" priority="7" operator="greaterThan" dxfId="31">
      <formula>0</formula>
    </cfRule>
  </conditionalFormatting>
  <conditionalFormatting sqref="L2:L2143">
    <cfRule type="expression" priority="2" dxfId="31">
      <formula>L2="VERDE"</formula>
    </cfRule>
    <cfRule type="expression" priority="3" dxfId="13">
      <formula>L2="AMARELO"</formula>
    </cfRule>
    <cfRule type="expression" priority="4" dxfId="5">
      <formula>L2="VERMELHO"</formula>
    </cfRule>
    <cfRule type="expression" priority="5" dxfId="28">
      <formula>OR(L2="SEM META",L2="SEM APONTAMENTO")</formula>
    </cfRule>
  </conditionalFormatting>
  <conditionalFormatting sqref="M2:N2143">
    <cfRule type="expression" priority="8" dxfId="5">
      <formula>AND($I2&lt;0,$M2="")</formula>
    </cfRule>
  </conditionalFormatting>
  <dataValidations count="1">
    <dataValidation sqref="B2:B2143" showDropDown="0" showInputMessage="0" showErrorMessage="0" allowBlank="0" type="list">
      <formula1>"GERAL,1º TURNO,2º TURNO,3º TURNO"</formula1>
      <formula2>0</formula2>
    </dataValidation>
  </dataValidations>
  <pageMargins left="0.7" right="0.7" top="0.75" bottom="0.75" header="0.511811023622047" footer="0.511811023622047"/>
  <pageSetup orientation="portrait" paperSize="9" horizontalDpi="300" verticalDpi="300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M20"/>
  <sheetViews>
    <sheetView zoomScaleNormal="100" workbookViewId="0">
      <selection activeCell="D5" sqref="D5"/>
    </sheetView>
  </sheetViews>
  <sheetFormatPr baseColWidth="8" defaultColWidth="8.5546875" defaultRowHeight="14.4"/>
  <cols>
    <col width="12" customWidth="1" min="1" max="1"/>
    <col width="22" customWidth="1" min="2" max="2"/>
    <col width="14" customWidth="1" min="3" max="4"/>
    <col width="16" customWidth="1" min="5" max="7"/>
    <col width="25" customWidth="1" min="8" max="9"/>
    <col width="30" customWidth="1" min="11" max="11"/>
    <col width="22" customWidth="1" min="12" max="12"/>
    <col width="24" customWidth="1" min="13" max="13"/>
  </cols>
  <sheetData>
    <row r="1" ht="18.75" customHeight="1">
      <c r="A1" s="241" t="inlineStr">
        <is>
          <t>PARÂMETROS DE METAS DE PRODUÇÃO</t>
        </is>
      </c>
      <c r="K1" s="89" t="inlineStr">
        <is>
          <t>LISTAS DE APOIO</t>
        </is>
      </c>
    </row>
    <row r="2" ht="14.25" customHeight="1">
      <c r="A2" s="242" t="inlineStr">
        <is>
          <t>Metas espelhadas da aba METAS EMPRESAS. Edite as metas somente na aba central; esta aba permanece como apoio técnico do KPI.</t>
        </is>
      </c>
    </row>
    <row r="4" ht="30" customHeight="1">
      <c r="A4" s="164" t="inlineStr">
        <is>
          <t>Empresa</t>
        </is>
      </c>
      <c r="B4" s="164" t="inlineStr">
        <is>
          <t>Processo/Item</t>
        </is>
      </c>
      <c r="C4" s="164" t="inlineStr">
        <is>
          <t>Meta Diária</t>
        </is>
      </c>
      <c r="D4" s="164" t="inlineStr">
        <is>
          <t>Dias Úteis/Semana</t>
        </is>
      </c>
      <c r="E4" s="164" t="inlineStr">
        <is>
          <t>Meta Semanal</t>
        </is>
      </c>
      <c r="F4" s="164" t="inlineStr">
        <is>
          <t>Fonte da Meta</t>
        </is>
      </c>
      <c r="G4" s="164" t="inlineStr">
        <is>
          <t>Status</t>
        </is>
      </c>
      <c r="H4" s="164" t="inlineStr">
        <is>
          <t>Observação</t>
        </is>
      </c>
      <c r="I4" s="73" t="n"/>
      <c r="K4" s="161" t="inlineStr">
        <is>
          <t>Categorias de Causa</t>
        </is>
      </c>
    </row>
    <row r="5">
      <c r="A5" t="inlineStr">
        <is>
          <t>EJ</t>
        </is>
      </c>
      <c r="B5" t="inlineStr">
        <is>
          <t>PREMONTAGEM</t>
        </is>
      </c>
      <c r="C5" s="165">
        <f>SUMIFS('METAS EMPRESAS'!$C$5:$C$13,'METAS EMPRESAS'!$A$5:$A$13,A5,'METAS EMPRESAS'!$B$5:$B$13,B5)</f>
        <v/>
      </c>
      <c r="D5" s="165">
        <f>SUMIFS('METAS EMPRESAS'!$D$5:$D$13,'METAS EMPRESAS'!$A$5:$A$13,A5,'METAS EMPRESAS'!$B$5:$B$13,B5)</f>
        <v/>
      </c>
      <c r="E5" s="165">
        <f>SUMIFS('METAS EMPRESAS'!$E$5:$E$13,'METAS EMPRESAS'!$A$5:$A$13,A5,'METAS EMPRESAS'!$B$5:$B$13,B5)</f>
        <v/>
      </c>
      <c r="F5" s="159" t="inlineStr">
        <is>
          <t>METAS EMPRESAS</t>
        </is>
      </c>
      <c r="G5" s="159" t="inlineStr">
        <is>
          <t>ATIVA</t>
        </is>
      </c>
      <c r="H5" t="inlineStr">
        <is>
          <t>Espelho automático; não editar</t>
        </is>
      </c>
      <c r="K5" t="inlineStr">
        <is>
          <t>Quebra de máquina/equipamento</t>
        </is>
      </c>
    </row>
    <row r="6">
      <c r="A6" t="inlineStr">
        <is>
          <t>EJ</t>
        </is>
      </c>
      <c r="B6" t="inlineStr">
        <is>
          <t>IÇAMENTO JOIST</t>
        </is>
      </c>
      <c r="C6" s="165">
        <f>SUMIFS('METAS EMPRESAS'!$C$5:$C$13,'METAS EMPRESAS'!$A$5:$A$13,A6,'METAS EMPRESAS'!$B$5:$B$13,B6)</f>
        <v/>
      </c>
      <c r="D6" s="165">
        <f>SUMIFS('METAS EMPRESAS'!$D$5:$D$13,'METAS EMPRESAS'!$A$5:$A$13,A6,'METAS EMPRESAS'!$B$5:$B$13,B6)</f>
        <v/>
      </c>
      <c r="E6" s="165">
        <f>SUMIFS('METAS EMPRESAS'!$E$5:$E$13,'METAS EMPRESAS'!$A$5:$A$13,A6,'METAS EMPRESAS'!$B$5:$B$13,B6)</f>
        <v/>
      </c>
      <c r="F6" s="159" t="inlineStr">
        <is>
          <t>METAS EMPRESAS</t>
        </is>
      </c>
      <c r="G6" s="159" t="inlineStr">
        <is>
          <t>ATIVA</t>
        </is>
      </c>
      <c r="H6" t="inlineStr">
        <is>
          <t>Espelho automático; não editar</t>
        </is>
      </c>
      <c r="K6" t="inlineStr">
        <is>
          <t>Falta de matéria-prima</t>
        </is>
      </c>
    </row>
    <row r="7">
      <c r="A7" t="inlineStr">
        <is>
          <t>EJ</t>
        </is>
      </c>
      <c r="B7" t="inlineStr">
        <is>
          <t>VIGAS</t>
        </is>
      </c>
      <c r="C7" s="165">
        <f>SUMIFS('METAS EMPRESAS'!$C$5:$C$13,'METAS EMPRESAS'!$A$5:$A$13,A7,'METAS EMPRESAS'!$B$5:$B$13,B7)</f>
        <v/>
      </c>
      <c r="D7" s="165">
        <f>SUMIFS('METAS EMPRESAS'!$D$5:$D$13,'METAS EMPRESAS'!$A$5:$A$13,A7,'METAS EMPRESAS'!$B$5:$B$13,B7)</f>
        <v/>
      </c>
      <c r="E7" s="165">
        <f>SUMIFS('METAS EMPRESAS'!$E$5:$E$13,'METAS EMPRESAS'!$A$5:$A$13,A7,'METAS EMPRESAS'!$B$5:$B$13,B7)</f>
        <v/>
      </c>
      <c r="F7" s="159" t="inlineStr">
        <is>
          <t>METAS EMPRESAS</t>
        </is>
      </c>
      <c r="G7" s="159" t="inlineStr">
        <is>
          <t>ATIVA</t>
        </is>
      </c>
      <c r="H7" t="inlineStr">
        <is>
          <t>Espelho automático; não editar</t>
        </is>
      </c>
      <c r="K7" t="inlineStr">
        <is>
          <t>Falta de mão de obra</t>
        </is>
      </c>
    </row>
    <row r="8">
      <c r="A8" t="inlineStr">
        <is>
          <t>CMM</t>
        </is>
      </c>
      <c r="B8" t="inlineStr">
        <is>
          <t>PREMONTAGEM</t>
        </is>
      </c>
      <c r="C8" s="165">
        <f>SUMIFS('METAS EMPRESAS'!$C$5:$C$13,'METAS EMPRESAS'!$A$5:$A$13,A8,'METAS EMPRESAS'!$B$5:$B$13,B8)</f>
        <v/>
      </c>
      <c r="D8" s="165">
        <f>SUMIFS('METAS EMPRESAS'!$D$5:$D$13,'METAS EMPRESAS'!$A$5:$A$13,A8,'METAS EMPRESAS'!$B$5:$B$13,B8)</f>
        <v/>
      </c>
      <c r="E8" s="165">
        <f>SUMIFS('METAS EMPRESAS'!$E$5:$E$13,'METAS EMPRESAS'!$A$5:$A$13,A8,'METAS EMPRESAS'!$B$5:$B$13,B8)</f>
        <v/>
      </c>
      <c r="F8" s="159" t="inlineStr">
        <is>
          <t>METAS EMPRESAS</t>
        </is>
      </c>
      <c r="G8" s="159" t="inlineStr">
        <is>
          <t>ATIVA</t>
        </is>
      </c>
      <c r="H8" t="inlineStr">
        <is>
          <t>Espelho automático; não editar</t>
        </is>
      </c>
      <c r="K8" t="inlineStr">
        <is>
          <t>Atraso/liberação de área</t>
        </is>
      </c>
    </row>
    <row r="9">
      <c r="A9" t="inlineStr">
        <is>
          <t>CMM</t>
        </is>
      </c>
      <c r="B9" t="inlineStr">
        <is>
          <t>IÇAMENTO JOIST</t>
        </is>
      </c>
      <c r="C9" s="165">
        <f>SUMIFS('METAS EMPRESAS'!$C$5:$C$13,'METAS EMPRESAS'!$A$5:$A$13,A9,'METAS EMPRESAS'!$B$5:$B$13,B9)</f>
        <v/>
      </c>
      <c r="D9" s="165">
        <f>SUMIFS('METAS EMPRESAS'!$D$5:$D$13,'METAS EMPRESAS'!$A$5:$A$13,A9,'METAS EMPRESAS'!$B$5:$B$13,B9)</f>
        <v/>
      </c>
      <c r="E9" s="165">
        <f>SUMIFS('METAS EMPRESAS'!$E$5:$E$13,'METAS EMPRESAS'!$A$5:$A$13,A9,'METAS EMPRESAS'!$B$5:$B$13,B9)</f>
        <v/>
      </c>
      <c r="F9" s="159" t="inlineStr">
        <is>
          <t>METAS EMPRESAS</t>
        </is>
      </c>
      <c r="G9" s="159" t="inlineStr">
        <is>
          <t>ATIVA</t>
        </is>
      </c>
      <c r="H9" t="inlineStr">
        <is>
          <t>Espelho automático; não editar</t>
        </is>
      </c>
      <c r="K9" t="inlineStr">
        <is>
          <t>Logística/movimentação</t>
        </is>
      </c>
    </row>
    <row r="10">
      <c r="A10" t="inlineStr">
        <is>
          <t>CMM</t>
        </is>
      </c>
      <c r="B10" t="inlineStr">
        <is>
          <t>VIGAS</t>
        </is>
      </c>
      <c r="C10" s="165">
        <f>SUMIFS('METAS EMPRESAS'!$C$5:$C$13,'METAS EMPRESAS'!$A$5:$A$13,A10,'METAS EMPRESAS'!$B$5:$B$13,B10)</f>
        <v/>
      </c>
      <c r="D10" s="165">
        <f>SUMIFS('METAS EMPRESAS'!$D$5:$D$13,'METAS EMPRESAS'!$A$5:$A$13,A10,'METAS EMPRESAS'!$B$5:$B$13,B10)</f>
        <v/>
      </c>
      <c r="E10" s="165">
        <f>SUMIFS('METAS EMPRESAS'!$E$5:$E$13,'METAS EMPRESAS'!$A$5:$A$13,A10,'METAS EMPRESAS'!$B$5:$B$13,B10)</f>
        <v/>
      </c>
      <c r="F10" s="159" t="inlineStr">
        <is>
          <t>METAS EMPRESAS</t>
        </is>
      </c>
      <c r="G10" s="159" t="inlineStr">
        <is>
          <t>ATIVA</t>
        </is>
      </c>
      <c r="H10" t="inlineStr">
        <is>
          <t>Espelho automático; não editar</t>
        </is>
      </c>
      <c r="K10" t="inlineStr">
        <is>
          <t>Qualidade/retrabalho</t>
        </is>
      </c>
    </row>
    <row r="11">
      <c r="A11" t="inlineStr">
        <is>
          <t>GLOBO AÇOS</t>
        </is>
      </c>
      <c r="B11" t="inlineStr">
        <is>
          <t>PERFILAÇÃO</t>
        </is>
      </c>
      <c r="C11">
        <f>SUMIFS('METAS EMPRESAS'!$C$5:$C$13,'METAS EMPRESAS'!$A$5:$A$13,A11,'METAS EMPRESAS'!$B$5:$B$13,B11)</f>
        <v/>
      </c>
      <c r="D11">
        <f>SUMIFS('METAS EMPRESAS'!$D$5:$D$13,'METAS EMPRESAS'!$A$5:$A$13,A11,'METAS EMPRESAS'!$B$5:$B$13,B11)</f>
        <v/>
      </c>
      <c r="E11">
        <f>SUMIFS('METAS EMPRESAS'!$E$5:$E$13,'METAS EMPRESAS'!$A$5:$A$13,A11,'METAS EMPRESAS'!$B$5:$B$13,B11)</f>
        <v/>
      </c>
      <c r="F11" t="inlineStr">
        <is>
          <t>METAS EMPRESAS</t>
        </is>
      </c>
      <c r="G11" t="inlineStr">
        <is>
          <t>ATIVA</t>
        </is>
      </c>
      <c r="K11" t="inlineStr">
        <is>
          <t>Segurança/PT</t>
        </is>
      </c>
    </row>
    <row r="12">
      <c r="A12" t="inlineStr">
        <is>
          <t>GLOBO AÇOS</t>
        </is>
      </c>
      <c r="B12" t="inlineStr">
        <is>
          <t>TELHAR</t>
        </is>
      </c>
      <c r="C12">
        <f>SUMIFS('METAS EMPRESAS'!$C$5:$C$13,'METAS EMPRESAS'!$A$5:$A$13,A12,'METAS EMPRESAS'!$B$5:$B$13,B12)</f>
        <v/>
      </c>
      <c r="D12">
        <f>SUMIFS('METAS EMPRESAS'!$D$5:$D$13,'METAS EMPRESAS'!$A$5:$A$13,A12,'METAS EMPRESAS'!$B$5:$B$13,B12)</f>
        <v/>
      </c>
      <c r="E12">
        <f>SUMIFS('METAS EMPRESAS'!$E$5:$E$13,'METAS EMPRESAS'!$A$5:$A$13,A12,'METAS EMPRESAS'!$B$5:$B$13,B12)</f>
        <v/>
      </c>
      <c r="F12" t="inlineStr">
        <is>
          <t>METAS EMPRESAS</t>
        </is>
      </c>
      <c r="G12" t="inlineStr">
        <is>
          <t>ATIVA</t>
        </is>
      </c>
      <c r="K12" t="inlineStr">
        <is>
          <t>Planejamento/sequenciamento</t>
        </is>
      </c>
    </row>
    <row r="13">
      <c r="A13" t="inlineStr">
        <is>
          <t>GLOBO AÇOS</t>
        </is>
      </c>
      <c r="B13" t="inlineStr">
        <is>
          <t>FECHAMENTO</t>
        </is>
      </c>
      <c r="C13">
        <f>SUMIFS('METAS EMPRESAS'!$C$5:$C$13,'METAS EMPRESAS'!$A$5:$A$13,A13,'METAS EMPRESAS'!$B$5:$B$13,B13)</f>
        <v/>
      </c>
      <c r="D13">
        <f>SUMIFS('METAS EMPRESAS'!$D$5:$D$13,'METAS EMPRESAS'!$A$5:$A$13,A13,'METAS EMPRESAS'!$B$5:$B$13,B13)</f>
        <v/>
      </c>
      <c r="E13">
        <f>SUMIFS('METAS EMPRESAS'!$E$5:$E$13,'METAS EMPRESAS'!$A$5:$A$13,A13,'METAS EMPRESAS'!$B$5:$B$13,B13)</f>
        <v/>
      </c>
      <c r="F13" t="inlineStr">
        <is>
          <t>METAS EMPRESAS</t>
        </is>
      </c>
      <c r="G13" t="inlineStr">
        <is>
          <t>ATIVA</t>
        </is>
      </c>
      <c r="K13" t="inlineStr">
        <is>
          <t>Clima</t>
        </is>
      </c>
    </row>
    <row r="14">
      <c r="K14" t="inlineStr">
        <is>
          <t>Outros</t>
        </is>
      </c>
    </row>
    <row r="16">
      <c r="K16" s="89" t="inlineStr">
        <is>
          <t>REGRA DO FAROL</t>
        </is>
      </c>
    </row>
    <row r="17">
      <c r="K17" s="152" t="inlineStr">
        <is>
          <t>Status</t>
        </is>
      </c>
      <c r="L17" s="152" t="inlineStr">
        <is>
          <t>Critério</t>
        </is>
      </c>
      <c r="M17" s="152" t="inlineStr">
        <is>
          <t>Ação</t>
        </is>
      </c>
    </row>
    <row r="18">
      <c r="K18" s="166" t="inlineStr">
        <is>
          <t>VERDE</t>
        </is>
      </c>
      <c r="L18" t="inlineStr">
        <is>
          <t>&gt;= 100% do previsto</t>
        </is>
      </c>
      <c r="M18" t="inlineStr">
        <is>
          <t>Manter padrão</t>
        </is>
      </c>
    </row>
    <row r="19">
      <c r="K19" s="167" t="inlineStr">
        <is>
          <t>AMARELO</t>
        </is>
      </c>
      <c r="L19" t="inlineStr">
        <is>
          <t>90% a 99,9%</t>
        </is>
      </c>
      <c r="M19" t="inlineStr">
        <is>
          <t>Atuar preventivamente</t>
        </is>
      </c>
    </row>
    <row r="20">
      <c r="K20" s="168" t="inlineStr">
        <is>
          <t>VERMELHO</t>
        </is>
      </c>
      <c r="L20" t="inlineStr">
        <is>
          <t>&lt; 90%</t>
        </is>
      </c>
      <c r="M20" t="inlineStr">
        <is>
          <t>Registrar causa e ação</t>
        </is>
      </c>
    </row>
  </sheetData>
  <mergeCells count="4">
    <mergeCell ref="A1:I1"/>
    <mergeCell ref="K16:M16"/>
    <mergeCell ref="A2:I2"/>
    <mergeCell ref="K1:M1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D25"/>
  <sheetViews>
    <sheetView topLeftCell="A6" zoomScaleNormal="100" workbookViewId="0">
      <selection activeCell="A1" sqref="A1"/>
    </sheetView>
  </sheetViews>
  <sheetFormatPr baseColWidth="8" defaultColWidth="8.5546875" defaultRowHeight="14.4"/>
  <cols>
    <col width="18" customWidth="1" min="1" max="1"/>
    <col width="62" customWidth="1" min="2" max="2"/>
    <col width="55" customWidth="1" min="3" max="3"/>
    <col width="42" customWidth="1" min="4" max="4"/>
  </cols>
  <sheetData>
    <row r="1" ht="18.75" customHeight="1">
      <c r="A1" s="243" t="inlineStr">
        <is>
          <t>GUIA RÁPIDO | FÓRMULAS, FAROL E CAUSA RAIZ</t>
        </is>
      </c>
    </row>
    <row r="2">
      <c r="A2" s="162" t="n"/>
      <c r="B2" s="162" t="n"/>
      <c r="C2" s="162" t="n"/>
      <c r="D2" s="162" t="n"/>
    </row>
    <row r="3">
      <c r="A3" s="169" t="inlineStr">
        <is>
          <t>Indicador</t>
        </is>
      </c>
      <c r="B3" s="169" t="inlineStr">
        <is>
          <t>Fórmula em Português (Excel PT-BR)</t>
        </is>
      </c>
      <c r="C3" s="169" t="inlineStr">
        <is>
          <t>Formula in English</t>
        </is>
      </c>
      <c r="D3" s="169" t="inlineStr">
        <is>
          <t>Uso</t>
        </is>
      </c>
    </row>
    <row r="4">
      <c r="A4" s="162" t="inlineStr">
        <is>
          <t>Desvio absoluto</t>
        </is>
      </c>
      <c r="B4" s="170" t="inlineStr">
        <is>
          <t>=SE(OU(G2="";H2="");"";H2-G2)</t>
        </is>
      </c>
      <c r="C4" s="170" t="inlineStr">
        <is>
          <t>=IF(OR(G2="",H2=""),"",H2-G2)</t>
        </is>
      </c>
      <c r="D4" s="162" t="inlineStr">
        <is>
          <t>Positivo = ganho; negativo = perda.</t>
        </is>
      </c>
    </row>
    <row r="5">
      <c r="A5" s="162" t="inlineStr">
        <is>
          <t>Desvio percentual</t>
        </is>
      </c>
      <c r="B5" s="170" t="inlineStr">
        <is>
          <t>=SEERRO((H2-G2)/G2;"")</t>
        </is>
      </c>
      <c r="C5" s="170" t="inlineStr">
        <is>
          <t>=IFERROR((H2-G2)/G2,"")</t>
        </is>
      </c>
      <c r="D5" s="162" t="inlineStr">
        <is>
          <t>Percentual do desvio sobre o previsto.</t>
        </is>
      </c>
    </row>
    <row r="6">
      <c r="A6" s="162" t="inlineStr">
        <is>
          <t>Atingimento</t>
        </is>
      </c>
      <c r="B6" s="170" t="inlineStr">
        <is>
          <t>=SEERRO(H2/G2;"")</t>
        </is>
      </c>
      <c r="C6" s="170" t="inlineStr">
        <is>
          <t>=IFERROR(H2/G2,"")</t>
        </is>
      </c>
      <c r="D6" s="162" t="inlineStr">
        <is>
          <t>100% ou mais = meta diária atingida.</t>
        </is>
      </c>
    </row>
    <row r="7">
      <c r="A7" s="162" t="inlineStr">
        <is>
          <t>Meta batida</t>
        </is>
      </c>
      <c r="B7" s="170" t="inlineStr">
        <is>
          <t>=SE(H2&gt;=G2;"META BATIDA";"ABAIXO DA META")</t>
        </is>
      </c>
      <c r="C7" s="170" t="inlineStr">
        <is>
          <t>=IF(H2&gt;=G2,"META BATIDA","ABAIXO DA META")</t>
        </is>
      </c>
      <c r="D7" s="162" t="inlineStr">
        <is>
          <t>Verificação simples.</t>
        </is>
      </c>
    </row>
    <row r="8" ht="36.75" customHeight="1">
      <c r="A8" s="162" t="inlineStr">
        <is>
          <t>Farol KPI</t>
        </is>
      </c>
      <c r="B8" s="170" t="inlineStr">
        <is>
          <t>=SE(H2="";"SEM APONTAMENTO";SE(H2&gt;=G2;"VERDE";SE(H2&gt;=G2*90%;"AMARELO";"VERMELHO")))</t>
        </is>
      </c>
      <c r="C8" s="170" t="inlineStr">
        <is>
          <t>=IF(H2="","SEM APONTAMENTO",IF(H2&gt;=G2,"VERDE",IF(H2&gt;=G2*90%,"AMARELO","VERMELHO")))</t>
        </is>
      </c>
      <c r="D8" s="162" t="inlineStr">
        <is>
          <t>Verde &gt;=100%; Amarelo &gt;=90%; Vermelho &lt;90%.</t>
        </is>
      </c>
    </row>
    <row r="9">
      <c r="A9" s="162" t="n"/>
      <c r="B9" s="162" t="n"/>
      <c r="C9" s="162" t="n"/>
      <c r="D9" s="162" t="n"/>
    </row>
    <row r="10" ht="14.25" customHeight="1">
      <c r="A10" s="244" t="inlineStr">
        <is>
          <t>COMO USAR A ANÁLISE DE CAUSA RAIZ</t>
        </is>
      </c>
    </row>
    <row r="11" ht="30" customHeight="1">
      <c r="A11" s="158" t="inlineStr">
        <is>
          <t>1</t>
        </is>
      </c>
      <c r="B11" s="162" t="inlineStr">
        <is>
          <t>Quando o Desvio Absoluto ficar negativo, selecione uma Categoria da Causa.</t>
        </is>
      </c>
      <c r="C11" s="162" t="inlineStr">
        <is>
          <t>Ex.: Quebra de máquina/equipamento</t>
        </is>
      </c>
      <c r="D11" s="162" t="inlineStr">
        <is>
          <t>O campo fica destacado se a causa estiver em branco.</t>
        </is>
      </c>
    </row>
    <row r="12">
      <c r="A12" s="158" t="inlineStr">
        <is>
          <t>2</t>
        </is>
      </c>
      <c r="B12" s="162" t="inlineStr">
        <is>
          <t>Em Causa Raiz / Detalhe, descreva o fato objetivo.</t>
        </is>
      </c>
      <c r="C12" s="162" t="inlineStr">
        <is>
          <t>Ex.: Falha no sensor do equipamento X</t>
        </is>
      </c>
      <c r="D12" s="162" t="inlineStr">
        <is>
          <t>Evite respostas genéricas.</t>
        </is>
      </c>
    </row>
    <row r="13" ht="30" customHeight="1">
      <c r="A13" s="158" t="inlineStr">
        <is>
          <t>3</t>
        </is>
      </c>
      <c r="B13" s="162" t="inlineStr">
        <is>
          <t>Registre a Ação Corretiva.</t>
        </is>
      </c>
      <c r="C13" s="162" t="inlineStr">
        <is>
          <t>Ex.: Troca do sensor + revisão preventiva</t>
        </is>
      </c>
      <c r="D13" s="162" t="inlineStr">
        <is>
          <t>Defina ação que elimine ou reduza recorrência.</t>
        </is>
      </c>
    </row>
    <row r="14">
      <c r="A14" s="158" t="inlineStr">
        <is>
          <t>4</t>
        </is>
      </c>
      <c r="B14" s="162" t="inlineStr">
        <is>
          <t>Defina Responsável e Prazo.</t>
        </is>
      </c>
      <c r="C14" s="162" t="inlineStr">
        <is>
          <t>Nome + data</t>
        </is>
      </c>
      <c r="D14" s="162" t="inlineStr">
        <is>
          <t>Transforma o desvio em plano de ação.</t>
        </is>
      </c>
    </row>
    <row r="15" ht="30" customHeight="1">
      <c r="A15" s="158" t="inlineStr">
        <is>
          <t>5</t>
        </is>
      </c>
      <c r="B15" s="162" t="inlineStr">
        <is>
          <t>Use 5 Porquês quando a causa não estiver clara.</t>
        </is>
      </c>
      <c r="C15" s="162" t="inlineStr">
        <is>
          <t>Pergunte por quê sucessivamente.</t>
        </is>
      </c>
      <c r="D15" s="162" t="inlineStr">
        <is>
          <t>Pare ao chegar a uma causa controlável pelo processo.</t>
        </is>
      </c>
    </row>
    <row r="16">
      <c r="A16" s="162" t="n"/>
      <c r="B16" s="162" t="n"/>
      <c r="C16" s="162" t="n"/>
      <c r="D16" s="162" t="n"/>
    </row>
    <row r="17" ht="14.25" customHeight="1">
      <c r="A17" s="244" t="inlineStr">
        <is>
          <t>VERSÃO SEM VBA</t>
        </is>
      </c>
    </row>
    <row r="18" ht="30" customHeight="1">
      <c r="A18" s="162" t="inlineStr">
        <is>
          <t>Passo 1</t>
        </is>
      </c>
      <c r="B18" s="162" t="inlineStr">
        <is>
          <t>Este arquivo já está em formato .xlsx e não contém macros nem código VBA.</t>
        </is>
      </c>
      <c r="C18" s="162" t="n"/>
      <c r="D18" s="162" t="n"/>
    </row>
    <row r="19" ht="30" customHeight="1">
      <c r="A19" s="162" t="inlineStr">
        <is>
          <t>Passo 2</t>
        </is>
      </c>
      <c r="B19" s="162" t="inlineStr">
        <is>
          <t>As atualizações são feitas pelas fórmulas e pelos campos de entrada da própria planilha.</t>
        </is>
      </c>
      <c r="C19" s="162" t="n"/>
      <c r="D19" s="162" t="n"/>
    </row>
    <row r="20" ht="30" customHeight="1">
      <c r="A20" s="162" t="inlineStr">
        <is>
          <t>Passo 3</t>
        </is>
      </c>
      <c r="B20" s="162" t="inlineStr">
        <is>
          <t>O Painel KPI recalcula a partir dos dados lançados nas abas de controle.</t>
        </is>
      </c>
      <c r="C20" s="162" t="n"/>
      <c r="D20" s="162" t="n"/>
    </row>
    <row r="21" ht="30" customHeight="1">
      <c r="A21" s="162" t="inlineStr">
        <is>
          <t>Passo 4</t>
        </is>
      </c>
      <c r="B21" s="162" t="inlineStr">
        <is>
          <t>Use os filtros do CONTROLE KPI para focar perdas e desvios que precisam de tratativa.</t>
        </is>
      </c>
      <c r="C21" s="162" t="n"/>
      <c r="D21" s="162" t="n"/>
    </row>
    <row r="22" ht="30" customHeight="1">
      <c r="A22" s="172" t="inlineStr">
        <is>
          <t>Metas centralizadas</t>
        </is>
      </c>
      <c r="B22" s="172" t="inlineStr">
        <is>
          <t>Edite Meta Diária e Dias Úteis na aba METAS EMPRESAS.</t>
        </is>
      </c>
      <c r="C22" s="172" t="inlineStr">
        <is>
          <t>As demais abas puxam automaticamente esses valores.</t>
        </is>
      </c>
      <c r="D22" s="172" t="inlineStr">
        <is>
          <t>Evite digitar metas diretamente em Controle/Plano/Consulta.</t>
        </is>
      </c>
    </row>
    <row r="23" ht="28.5" customHeight="1">
      <c r="A23" s="173" t="inlineStr">
        <is>
          <t>Metas semanais / GAP</t>
        </is>
      </c>
      <c r="B23" s="174" t="inlineStr">
        <is>
          <t>Na aba METAS EMPRESAS, altere apenas F/G no histórico semanal. O GAP negativo da semana anterior entra automaticamente como GAP Anterior.</t>
        </is>
      </c>
      <c r="C23" s="174" t="inlineStr">
        <is>
          <t>Data Corte = sábado após a semana operacional (seg-sex).</t>
        </is>
      </c>
      <c r="D23" s="174" t="inlineStr">
        <is>
          <t>CONTROLE KPI usa a Meta Ajustada/Dia automaticamente.</t>
        </is>
      </c>
    </row>
    <row r="24">
      <c r="A24" s="162" t="n"/>
      <c r="B24" s="162" t="n"/>
      <c r="C24" s="162" t="n"/>
      <c r="D24" s="162" t="n"/>
    </row>
    <row r="25">
      <c r="A25" s="162" t="n"/>
      <c r="B25" s="162" t="n"/>
      <c r="C25" s="162" t="n"/>
      <c r="D25" s="162" t="n"/>
    </row>
  </sheetData>
  <mergeCells count="3">
    <mergeCell ref="A1:D1"/>
    <mergeCell ref="A17:D17"/>
    <mergeCell ref="A10:D10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P475"/>
  <sheetViews>
    <sheetView zoomScaleNormal="100" workbookViewId="0">
      <pane ySplit="14" topLeftCell="A57" activePane="bottomLeft" state="frozen"/>
      <selection pane="bottomLeft" activeCell="H5" sqref="H5"/>
    </sheetView>
  </sheetViews>
  <sheetFormatPr baseColWidth="8" defaultColWidth="8.5546875" defaultRowHeight="14.4"/>
  <cols>
    <col width="16.88671875" customWidth="1" min="1" max="1"/>
    <col width="20" customWidth="1" min="2" max="2"/>
    <col width="13" customWidth="1" min="3" max="6"/>
    <col width="11" customWidth="1" min="7" max="7"/>
    <col width="15" customWidth="1" min="8" max="8"/>
    <col width="13" customWidth="1" min="9" max="9"/>
    <col width="17" customWidth="1" min="10" max="10"/>
    <col width="15" customWidth="1" min="11" max="12"/>
    <col width="13" customWidth="1" min="13" max="13"/>
    <col width="27" customWidth="1" min="14" max="14"/>
    <col width="14" customWidth="1" min="15" max="15"/>
    <col width="20" customWidth="1" min="16" max="16"/>
  </cols>
  <sheetData>
    <row r="1" ht="24" customHeight="1">
      <c r="A1" s="245" t="inlineStr">
        <is>
          <t>METAS EMPRESAS — META SEMANAL, DATA CORTE E RECUPERAÇÃO DE GAP</t>
        </is>
      </c>
      <c r="O1" s="175" t="n"/>
      <c r="P1" s="175" t="n"/>
    </row>
    <row r="2" ht="33.75" customHeight="1">
      <c r="A2" s="246" t="inlineStr">
        <is>
          <t>ALTERE SOMENTE as colunas F (Meta Base/Dia) e G (Dias Úteis) no histórico semanal. O déficit fechado na Data Corte entra automaticamente na semana seguinte.</t>
        </is>
      </c>
      <c r="O2" s="175" t="n"/>
      <c r="P2" s="175" t="n"/>
    </row>
    <row r="3" ht="33.75" customHeight="1">
      <c r="A3" s="176" t="inlineStr">
        <is>
          <t>DATA DE REFERÊNCIA</t>
        </is>
      </c>
      <c r="B3" s="322" t="n">
        <v>46280</v>
      </c>
      <c r="C3" s="247" t="inlineStr">
        <is>
          <t>Exemplo: semana 31/08–04/09 fecha em 05/09. Se houver déficit, ele aparece como GAP Anterior na semana 07/09–11/09. Ganho positivo não reduz a meta futura.</t>
        </is>
      </c>
      <c r="O3" s="175" t="n"/>
      <c r="P3" s="175" t="n"/>
    </row>
    <row r="4" ht="37.5" customHeight="1">
      <c r="A4" s="178" t="inlineStr">
        <is>
          <t>Empresa</t>
        </is>
      </c>
      <c r="B4" s="178" t="inlineStr">
        <is>
          <t>4</t>
        </is>
      </c>
      <c r="C4" s="178" t="inlineStr">
        <is>
          <t>Meta Vigente/Dia</t>
        </is>
      </c>
      <c r="D4" s="178" t="inlineStr">
        <is>
          <t>Dias Úteis</t>
        </is>
      </c>
      <c r="E4" s="178" t="inlineStr">
        <is>
          <t>Meta Vigente/Semana</t>
        </is>
      </c>
      <c r="F4" s="178" t="inlineStr">
        <is>
          <t>Meta Base/Dia</t>
        </is>
      </c>
      <c r="G4" s="178" t="inlineStr">
        <is>
          <t>GAP Anterior</t>
        </is>
      </c>
      <c r="H4" s="178" t="inlineStr">
        <is>
          <t>Realizado Semana</t>
        </is>
      </c>
      <c r="I4" s="178" t="inlineStr">
        <is>
          <t>GAP Semana</t>
        </is>
      </c>
      <c r="J4" s="178" t="inlineStr">
        <is>
          <t>Início Semana</t>
        </is>
      </c>
      <c r="K4" s="178" t="inlineStr">
        <is>
          <t>Fim Semana</t>
        </is>
      </c>
      <c r="L4" s="178" t="inlineStr">
        <is>
          <t>Data Corte</t>
        </is>
      </c>
      <c r="M4" s="178" t="inlineStr">
        <is>
          <t>Status</t>
        </is>
      </c>
      <c r="N4" s="178" t="inlineStr">
        <is>
          <t>Orientação</t>
        </is>
      </c>
      <c r="O4" s="175" t="n"/>
      <c r="P4" s="175" t="n"/>
    </row>
    <row r="5">
      <c r="A5" s="179" t="inlineStr">
        <is>
          <t>EJ</t>
        </is>
      </c>
      <c r="B5" s="179" t="inlineStr">
        <is>
          <t>PREMONTAGEM</t>
        </is>
      </c>
      <c r="C5" s="180">
        <f>IF(COUNTIFS($A$17:$A$600,$A5,$B$17:$B$600,$B5,$C$17:$C$600,$B$3-WEEKDAY($B$3,2)+1)=0,"",SUMIFS($F$17:$F$600,$A$17:$A$600,$A5,$B$17:$B$600,$B5,$C$17:$C$600,$B$3-WEEKDAY($B$3,2)+1))</f>
        <v/>
      </c>
      <c r="D5" s="180">
        <f>IF(COUNTIFS($A$17:$A$600,$A5,$B$17:$B$600,$B5,$C$17:$C$600,$B$3-WEEKDAY($B$3,2)+1)=0,"",SUMIFS($G$17:$G$600,$A$17:$A$600,$A5,$B$17:$B$600,$B5,$C$17:$C$600,$B$3-WEEKDAY($B$3,2)+1))</f>
        <v/>
      </c>
      <c r="E5" s="180">
        <f>IF(COUNTIFS($A$17:$A$600,$A5,$B$17:$B$600,$B5,$C$17:$C$600,$B$3-WEEKDAY($B$3,2)+1)=0,"",SUMIFS($J$17:$J$600,$A$17:$A$600,$A5,$B$17:$B$600,$B5,$C$17:$C$600,$B$3-WEEKDAY($B$3,2)+1))</f>
        <v/>
      </c>
      <c r="F5" s="180">
        <f>IF(COUNTIFS($A$17:$A$600,$A5,$B$17:$B$600,$B5,$C$17:$C$600,$B$3-WEEKDAY($B$3,2)+1)=0,"",SUMIFS($F$17:$F$600,$A$17:$A$600,$A5,$B$17:$B$600,$B5,$C$17:$C$600,$B$3-WEEKDAY($B$3,2)+1))</f>
        <v/>
      </c>
      <c r="G5" s="180">
        <f>IF(COUNTIFS($A$17:$A$600,$A5,$B$17:$B$600,$B5,$C$17:$C$600,$B$3-WEEKDAY($B$3,2)+1)=0,"",SUMIFS($I$17:$I$600,$A$17:$A$600,$A5,$B$17:$B$600,$B5,$C$17:$C$600,$B$3-WEEKDAY($B$3,2)+1))</f>
        <v/>
      </c>
      <c r="H5" s="181">
        <f>IF(COUNTIFS($A$17:$A$600,$A5,$B$17:$B$600,$B5,$C$17:$C$600,$B$3-WEEKDAY($B$3,2)+1)=0,"",SUMIFS($L$17:$L$600,$A$17:$A$600,$A5,$B$17:$B$600,$B5,$C$17:$C$600,$B$3-WEEKDAY($B$3,2)+1))</f>
        <v/>
      </c>
      <c r="I5" s="180">
        <f>IF(COUNTIFS($A$17:$A$600,$A5,$B$17:$B$600,$B5,$C$17:$C$600,$B$3-WEEKDAY($B$3,2)+1)=0,"",SUMIFS($M$17:$M$600,$A$17:$A$600,$A5,$B$17:$B$600,$B5,$C$17:$C$600,$B$3-WEEKDAY($B$3,2)+1))</f>
        <v/>
      </c>
      <c r="J5" s="323">
        <f>IF(COUNTIFS($A$17:$A$600,$A5,$B$17:$B$600,$B5,$C$17:$C$600,$B$3-WEEKDAY($B$3,2)+1)=0,"",SUMIFS($C$17:$C$600,$A$17:$A$600,$A5,$B$17:$B$600,$B5,$C$17:$C$600,$B$3-WEEKDAY($B$3,2)+1))</f>
        <v/>
      </c>
      <c r="K5" s="323">
        <f>IF(COUNTIFS($A$17:$A$600,$A5,$B$17:$B$600,$B5,$C$17:$C$600,$B$3-WEEKDAY($B$3,2)+1)=0,"",SUMIFS($D$17:$D$600,$A$17:$A$600,$A5,$B$17:$B$600,$B5,$C$17:$C$600,$B$3-WEEKDAY($B$3,2)+1))</f>
        <v/>
      </c>
      <c r="L5" s="323">
        <f>IF(COUNTIFS($A$17:$A$600,$A5,$B$17:$B$600,$B5,$C$17:$C$600,$B$3-WEEKDAY($B$3,2)+1)=0,"",SUMIFS($E$17:$E$600,$A$17:$A$600,$A5,$B$17:$B$600,$B5,$C$17:$C$600,$B$3-WEEKDAY($B$3,2)+1))</f>
        <v/>
      </c>
      <c r="M5" s="183">
        <f>IFERROR(LOOKUP(2,1/(($A$17:$A$600=$A5)*($B$17:$B$600=$B5)*($C$17:$C$600=$B$3-WEEKDAY($B$3,2)+1)),$N$17:$N$600),"")</f>
        <v/>
      </c>
      <c r="N5" s="183" t="inlineStr">
        <is>
          <t>AUTO — edite o histórico abaixo</t>
        </is>
      </c>
      <c r="O5" s="184" t="n"/>
      <c r="P5" s="175" t="n"/>
    </row>
    <row r="6">
      <c r="A6" s="179" t="inlineStr">
        <is>
          <t>EJ</t>
        </is>
      </c>
      <c r="B6" s="179" t="inlineStr">
        <is>
          <t>IÇAMENTO JOIST</t>
        </is>
      </c>
      <c r="C6" s="180">
        <f>IF(COUNTIFS($A$17:$A$600,$A6,$B$17:$B$600,$B6,$C$17:$C$600,$B$3-WEEKDAY($B$3,2)+1)=0,"",SUMIFS($F$17:$F$600,$A$17:$A$600,$A6,$B$17:$B$600,$B6,$C$17:$C$600,$B$3-WEEKDAY($B$3,2)+1))</f>
        <v/>
      </c>
      <c r="D6" s="180">
        <f>IF(COUNTIFS($A$17:$A$600,$A6,$B$17:$B$600,$B6,$C$17:$C$600,$B$3-WEEKDAY($B$3,2)+1)=0,"",SUMIFS($G$17:$G$600,$A$17:$A$600,$A6,$B$17:$B$600,$B6,$C$17:$C$600,$B$3-WEEKDAY($B$3,2)+1))</f>
        <v/>
      </c>
      <c r="E6" s="180">
        <f>IF(COUNTIFS($A$17:$A$600,$A6,$B$17:$B$600,$B6,$C$17:$C$600,$B$3-WEEKDAY($B$3,2)+1)=0,"",SUMIFS($J$17:$J$600,$A$17:$A$600,$A6,$B$17:$B$600,$B6,$C$17:$C$600,$B$3-WEEKDAY($B$3,2)+1))</f>
        <v/>
      </c>
      <c r="F6" s="180">
        <f>IF(COUNTIFS($A$17:$A$600,$A6,$B$17:$B$600,$B6,$C$17:$C$600,$B$3-WEEKDAY($B$3,2)+1)=0,"",SUMIFS($F$17:$F$600,$A$17:$A$600,$A6,$B$17:$B$600,$B6,$C$17:$C$600,$B$3-WEEKDAY($B$3,2)+1))</f>
        <v/>
      </c>
      <c r="G6" s="180">
        <f>IF(COUNTIFS($A$17:$A$600,$A6,$B$17:$B$600,$B6,$C$17:$C$600,$B$3-WEEKDAY($B$3,2)+1)=0,"",SUMIFS($I$17:$I$600,$A$17:$A$600,$A6,$B$17:$B$600,$B6,$C$17:$C$600,$B$3-WEEKDAY($B$3,2)+1))</f>
        <v/>
      </c>
      <c r="H6" s="181">
        <f>IF(COUNTIFS($A$17:$A$600,$A6,$B$17:$B$600,$B6,$C$17:$C$600,$B$3-WEEKDAY($B$3,2)+1)=0,"",SUMIFS($L$17:$L$600,$A$17:$A$600,$A6,$B$17:$B$600,$B6,$C$17:$C$600,$B$3-WEEKDAY($B$3,2)+1))</f>
        <v/>
      </c>
      <c r="I6" s="180">
        <f>IF(COUNTIFS($A$17:$A$600,$A6,$B$17:$B$600,$B6,$C$17:$C$600,$B$3-WEEKDAY($B$3,2)+1)=0,"",SUMIFS($M$17:$M$600,$A$17:$A$600,$A6,$B$17:$B$600,$B6,$C$17:$C$600,$B$3-WEEKDAY($B$3,2)+1))</f>
        <v/>
      </c>
      <c r="J6" s="323">
        <f>IF(COUNTIFS($A$17:$A$600,$A6,$B$17:$B$600,$B6,$C$17:$C$600,$B$3-WEEKDAY($B$3,2)+1)=0,"",SUMIFS($C$17:$C$600,$A$17:$A$600,$A6,$B$17:$B$600,$B6,$C$17:$C$600,$B$3-WEEKDAY($B$3,2)+1))</f>
        <v/>
      </c>
      <c r="K6" s="323">
        <f>IF(COUNTIFS($A$17:$A$600,$A6,$B$17:$B$600,$B6,$C$17:$C$600,$B$3-WEEKDAY($B$3,2)+1)=0,"",SUMIFS($D$17:$D$600,$A$17:$A$600,$A6,$B$17:$B$600,$B6,$C$17:$C$600,$B$3-WEEKDAY($B$3,2)+1))</f>
        <v/>
      </c>
      <c r="L6" s="323">
        <f>IF(COUNTIFS($A$17:$A$600,$A6,$B$17:$B$600,$B6,$C$17:$C$600,$B$3-WEEKDAY($B$3,2)+1)=0,"",SUMIFS($E$17:$E$600,$A$17:$A$600,$A6,$B$17:$B$600,$B6,$C$17:$C$600,$B$3-WEEKDAY($B$3,2)+1))</f>
        <v/>
      </c>
      <c r="M6" s="183">
        <f>IFERROR(LOOKUP(2,1/(($A$17:$A$600=$A6)*($B$17:$B$600=$B6)*($C$17:$C$600=$B$3-WEEKDAY($B$3,2)+1)),$N$17:$N$600),"")</f>
        <v/>
      </c>
      <c r="N6" s="183" t="inlineStr">
        <is>
          <t>AUTO — edite o histórico abaixo</t>
        </is>
      </c>
      <c r="O6" s="184" t="n"/>
      <c r="P6" s="175" t="n"/>
    </row>
    <row r="7">
      <c r="A7" s="179" t="inlineStr">
        <is>
          <t>EJ</t>
        </is>
      </c>
      <c r="B7" s="179" t="inlineStr">
        <is>
          <t>VIGAS</t>
        </is>
      </c>
      <c r="C7" s="180">
        <f>IF(COUNTIFS($A$17:$A$600,$A7,$B$17:$B$600,$B7,$C$17:$C$600,$B$3-WEEKDAY($B$3,2)+1)=0,"",SUMIFS($F$17:$F$600,$A$17:$A$600,$A7,$B$17:$B$600,$B7,$C$17:$C$600,$B$3-WEEKDAY($B$3,2)+1))</f>
        <v/>
      </c>
      <c r="D7" s="180">
        <f>IF(COUNTIFS($A$17:$A$600,$A7,$B$17:$B$600,$B7,$C$17:$C$600,$B$3-WEEKDAY($B$3,2)+1)=0,"",SUMIFS($G$17:$G$600,$A$17:$A$600,$A7,$B$17:$B$600,$B7,$C$17:$C$600,$B$3-WEEKDAY($B$3,2)+1))</f>
        <v/>
      </c>
      <c r="E7" s="180">
        <f>IF(COUNTIFS($A$17:$A$600,$A7,$B$17:$B$600,$B7,$C$17:$C$600,$B$3-WEEKDAY($B$3,2)+1)=0,"",SUMIFS($J$17:$J$600,$A$17:$A$600,$A7,$B$17:$B$600,$B7,$C$17:$C$600,$B$3-WEEKDAY($B$3,2)+1))</f>
        <v/>
      </c>
      <c r="F7" s="180">
        <f>IF(COUNTIFS($A$17:$A$600,$A7,$B$17:$B$600,$B7,$C$17:$C$600,$B$3-WEEKDAY($B$3,2)+1)=0,"",SUMIFS($F$17:$F$600,$A$17:$A$600,$A7,$B$17:$B$600,$B7,$C$17:$C$600,$B$3-WEEKDAY($B$3,2)+1))</f>
        <v/>
      </c>
      <c r="G7" s="180">
        <f>IF(COUNTIFS($A$17:$A$600,$A7,$B$17:$B$600,$B7,$C$17:$C$600,$B$3-WEEKDAY($B$3,2)+1)=0,"",SUMIFS($I$17:$I$600,$A$17:$A$600,$A7,$B$17:$B$600,$B7,$C$17:$C$600,$B$3-WEEKDAY($B$3,2)+1))</f>
        <v/>
      </c>
      <c r="H7" s="181">
        <f>IF(COUNTIFS($A$17:$A$600,$A7,$B$17:$B$600,$B7,$C$17:$C$600,$B$3-WEEKDAY($B$3,2)+1)=0,"",SUMIFS($L$17:$L$600,$A$17:$A$600,$A7,$B$17:$B$600,$B7,$C$17:$C$600,$B$3-WEEKDAY($B$3,2)+1))</f>
        <v/>
      </c>
      <c r="I7" s="180">
        <f>IF(COUNTIFS($A$17:$A$600,$A7,$B$17:$B$600,$B7,$C$17:$C$600,$B$3-WEEKDAY($B$3,2)+1)=0,"",SUMIFS($M$17:$M$600,$A$17:$A$600,$A7,$B$17:$B$600,$B7,$C$17:$C$600,$B$3-WEEKDAY($B$3,2)+1))</f>
        <v/>
      </c>
      <c r="J7" s="323">
        <f>IF(COUNTIFS($A$17:$A$600,$A7,$B$17:$B$600,$B7,$C$17:$C$600,$B$3-WEEKDAY($B$3,2)+1)=0,"",SUMIFS($C$17:$C$600,$A$17:$A$600,$A7,$B$17:$B$600,$B7,$C$17:$C$600,$B$3-WEEKDAY($B$3,2)+1))</f>
        <v/>
      </c>
      <c r="K7" s="323">
        <f>IF(COUNTIFS($A$17:$A$600,$A7,$B$17:$B$600,$B7,$C$17:$C$600,$B$3-WEEKDAY($B$3,2)+1)=0,"",SUMIFS($D$17:$D$600,$A$17:$A$600,$A7,$B$17:$B$600,$B7,$C$17:$C$600,$B$3-WEEKDAY($B$3,2)+1))</f>
        <v/>
      </c>
      <c r="L7" s="323">
        <f>IF(COUNTIFS($A$17:$A$600,$A7,$B$17:$B$600,$B7,$C$17:$C$600,$B$3-WEEKDAY($B$3,2)+1)=0,"",SUMIFS($E$17:$E$600,$A$17:$A$600,$A7,$B$17:$B$600,$B7,$C$17:$C$600,$B$3-WEEKDAY($B$3,2)+1))</f>
        <v/>
      </c>
      <c r="M7" s="183">
        <f>IFERROR(LOOKUP(2,1/(($A$17:$A$600=$A7)*($B$17:$B$600=$B7)*($C$17:$C$600=$B$3-WEEKDAY($B$3,2)+1)),$N$17:$N$600),"")</f>
        <v/>
      </c>
      <c r="N7" s="183" t="inlineStr">
        <is>
          <t>AUTO — edite o histórico abaixo</t>
        </is>
      </c>
      <c r="O7" s="184" t="n"/>
      <c r="P7" s="175" t="n"/>
    </row>
    <row r="8">
      <c r="A8" s="179" t="inlineStr">
        <is>
          <t>CMM</t>
        </is>
      </c>
      <c r="B8" s="179" t="inlineStr">
        <is>
          <t>PREMONTAGEM</t>
        </is>
      </c>
      <c r="C8" s="180">
        <f>IF(COUNTIFS($A$17:$A$600,$A8,$B$17:$B$600,$B8,$C$17:$C$600,$B$3-WEEKDAY($B$3,2)+1)=0,"",SUMIFS($F$17:$F$600,$A$17:$A$600,$A8,$B$17:$B$600,$B8,$C$17:$C$600,$B$3-WEEKDAY($B$3,2)+1))</f>
        <v/>
      </c>
      <c r="D8" s="180">
        <f>IF(COUNTIFS($A$17:$A$600,$A8,$B$17:$B$600,$B8,$C$17:$C$600,$B$3-WEEKDAY($B$3,2)+1)=0,"",SUMIFS($G$17:$G$600,$A$17:$A$600,$A8,$B$17:$B$600,$B8,$C$17:$C$600,$B$3-WEEKDAY($B$3,2)+1))</f>
        <v/>
      </c>
      <c r="E8" s="180">
        <f>IF(COUNTIFS($A$17:$A$600,$A8,$B$17:$B$600,$B8,$C$17:$C$600,$B$3-WEEKDAY($B$3,2)+1)=0,"",SUMIFS($J$17:$J$600,$A$17:$A$600,$A8,$B$17:$B$600,$B8,$C$17:$C$600,$B$3-WEEKDAY($B$3,2)+1))</f>
        <v/>
      </c>
      <c r="F8" s="180">
        <f>IF(COUNTIFS($A$17:$A$600,$A8,$B$17:$B$600,$B8,$C$17:$C$600,$B$3-WEEKDAY($B$3,2)+1)=0,"",SUMIFS($F$17:$F$600,$A$17:$A$600,$A8,$B$17:$B$600,$B8,$C$17:$C$600,$B$3-WEEKDAY($B$3,2)+1))</f>
        <v/>
      </c>
      <c r="G8" s="180">
        <f>IF(COUNTIFS($A$17:$A$600,$A8,$B$17:$B$600,$B8,$C$17:$C$600,$B$3-WEEKDAY($B$3,2)+1)=0,"",SUMIFS($I$17:$I$600,$A$17:$A$600,$A8,$B$17:$B$600,$B8,$C$17:$C$600,$B$3-WEEKDAY($B$3,2)+1))</f>
        <v/>
      </c>
      <c r="H8" s="181">
        <f>IF(COUNTIFS($A$17:$A$600,$A8,$B$17:$B$600,$B8,$C$17:$C$600,$B$3-WEEKDAY($B$3,2)+1)=0,"",SUMIFS($L$17:$L$600,$A$17:$A$600,$A8,$B$17:$B$600,$B8,$C$17:$C$600,$B$3-WEEKDAY($B$3,2)+1))</f>
        <v/>
      </c>
      <c r="I8" s="180">
        <f>IF(COUNTIFS($A$17:$A$600,$A8,$B$17:$B$600,$B8,$C$17:$C$600,$B$3-WEEKDAY($B$3,2)+1)=0,"",SUMIFS($M$17:$M$600,$A$17:$A$600,$A8,$B$17:$B$600,$B8,$C$17:$C$600,$B$3-WEEKDAY($B$3,2)+1))</f>
        <v/>
      </c>
      <c r="J8" s="323">
        <f>IF(COUNTIFS($A$17:$A$600,$A8,$B$17:$B$600,$B8,$C$17:$C$600,$B$3-WEEKDAY($B$3,2)+1)=0,"",SUMIFS($C$17:$C$600,$A$17:$A$600,$A8,$B$17:$B$600,$B8,$C$17:$C$600,$B$3-WEEKDAY($B$3,2)+1))</f>
        <v/>
      </c>
      <c r="K8" s="323">
        <f>IF(COUNTIFS($A$17:$A$600,$A8,$B$17:$B$600,$B8,$C$17:$C$600,$B$3-WEEKDAY($B$3,2)+1)=0,"",SUMIFS($D$17:$D$600,$A$17:$A$600,$A8,$B$17:$B$600,$B8,$C$17:$C$600,$B$3-WEEKDAY($B$3,2)+1))</f>
        <v/>
      </c>
      <c r="L8" s="323">
        <f>IF(COUNTIFS($A$17:$A$600,$A8,$B$17:$B$600,$B8,$C$17:$C$600,$B$3-WEEKDAY($B$3,2)+1)=0,"",SUMIFS($E$17:$E$600,$A$17:$A$600,$A8,$B$17:$B$600,$B8,$C$17:$C$600,$B$3-WEEKDAY($B$3,2)+1))</f>
        <v/>
      </c>
      <c r="M8" s="183">
        <f>IFERROR(LOOKUP(2,1/(($A$17:$A$600=$A8)*($B$17:$B$600=$B8)*($C$17:$C$600=$B$3-WEEKDAY($B$3,2)+1)),$N$17:$N$600),"")</f>
        <v/>
      </c>
      <c r="N8" s="183" t="inlineStr">
        <is>
          <t>AUTO — edite o histórico abaixo</t>
        </is>
      </c>
      <c r="O8" s="184" t="n"/>
      <c r="P8" s="175" t="n"/>
    </row>
    <row r="9">
      <c r="A9" s="179" t="inlineStr">
        <is>
          <t>CMM</t>
        </is>
      </c>
      <c r="B9" s="179" t="inlineStr">
        <is>
          <t>IÇAMENTO JOIST</t>
        </is>
      </c>
      <c r="C9" s="180">
        <f>IF(COUNTIFS($A$17:$A$600,$A9,$B$17:$B$600,$B9,$C$17:$C$600,$B$3-WEEKDAY($B$3,2)+1)=0,"",SUMIFS($F$17:$F$600,$A$17:$A$600,$A9,$B$17:$B$600,$B9,$C$17:$C$600,$B$3-WEEKDAY($B$3,2)+1))</f>
        <v/>
      </c>
      <c r="D9" s="180">
        <f>IF(COUNTIFS($A$17:$A$600,$A9,$B$17:$B$600,$B9,$C$17:$C$600,$B$3-WEEKDAY($B$3,2)+1)=0,"",SUMIFS($G$17:$G$600,$A$17:$A$600,$A9,$B$17:$B$600,$B9,$C$17:$C$600,$B$3-WEEKDAY($B$3,2)+1))</f>
        <v/>
      </c>
      <c r="E9" s="180">
        <f>IF(COUNTIFS($A$17:$A$600,$A9,$B$17:$B$600,$B9,$C$17:$C$600,$B$3-WEEKDAY($B$3,2)+1)=0,"",SUMIFS($J$17:$J$600,$A$17:$A$600,$A9,$B$17:$B$600,$B9,$C$17:$C$600,$B$3-WEEKDAY($B$3,2)+1))</f>
        <v/>
      </c>
      <c r="F9" s="180">
        <f>IF(COUNTIFS($A$17:$A$600,$A9,$B$17:$B$600,$B9,$C$17:$C$600,$B$3-WEEKDAY($B$3,2)+1)=0,"",SUMIFS($F$17:$F$600,$A$17:$A$600,$A9,$B$17:$B$600,$B9,$C$17:$C$600,$B$3-WEEKDAY($B$3,2)+1))</f>
        <v/>
      </c>
      <c r="G9" s="180">
        <f>IF(COUNTIFS($A$17:$A$600,$A9,$B$17:$B$600,$B9,$C$17:$C$600,$B$3-WEEKDAY($B$3,2)+1)=0,"",SUMIFS($I$17:$I$600,$A$17:$A$600,$A9,$B$17:$B$600,$B9,$C$17:$C$600,$B$3-WEEKDAY($B$3,2)+1))</f>
        <v/>
      </c>
      <c r="H9" s="181">
        <f>IF(COUNTIFS($A$17:$A$600,$A9,$B$17:$B$600,$B9,$C$17:$C$600,$B$3-WEEKDAY($B$3,2)+1)=0,"",SUMIFS($L$17:$L$600,$A$17:$A$600,$A9,$B$17:$B$600,$B9,$C$17:$C$600,$B$3-WEEKDAY($B$3,2)+1))</f>
        <v/>
      </c>
      <c r="I9" s="180">
        <f>IF(COUNTIFS($A$17:$A$600,$A9,$B$17:$B$600,$B9,$C$17:$C$600,$B$3-WEEKDAY($B$3,2)+1)=0,"",SUMIFS($M$17:$M$600,$A$17:$A$600,$A9,$B$17:$B$600,$B9,$C$17:$C$600,$B$3-WEEKDAY($B$3,2)+1))</f>
        <v/>
      </c>
      <c r="J9" s="323">
        <f>IF(COUNTIFS($A$17:$A$600,$A9,$B$17:$B$600,$B9,$C$17:$C$600,$B$3-WEEKDAY($B$3,2)+1)=0,"",SUMIFS($C$17:$C$600,$A$17:$A$600,$A9,$B$17:$B$600,$B9,$C$17:$C$600,$B$3-WEEKDAY($B$3,2)+1))</f>
        <v/>
      </c>
      <c r="K9" s="323">
        <f>IF(COUNTIFS($A$17:$A$600,$A9,$B$17:$B$600,$B9,$C$17:$C$600,$B$3-WEEKDAY($B$3,2)+1)=0,"",SUMIFS($D$17:$D$600,$A$17:$A$600,$A9,$B$17:$B$600,$B9,$C$17:$C$600,$B$3-WEEKDAY($B$3,2)+1))</f>
        <v/>
      </c>
      <c r="L9" s="323">
        <f>IF(COUNTIFS($A$17:$A$600,$A9,$B$17:$B$600,$B9,$C$17:$C$600,$B$3-WEEKDAY($B$3,2)+1)=0,"",SUMIFS($E$17:$E$600,$A$17:$A$600,$A9,$B$17:$B$600,$B9,$C$17:$C$600,$B$3-WEEKDAY($B$3,2)+1))</f>
        <v/>
      </c>
      <c r="M9" s="183">
        <f>IFERROR(LOOKUP(2,1/(($A$17:$A$600=$A9)*($B$17:$B$600=$B9)*($C$17:$C$600=$B$3-WEEKDAY($B$3,2)+1)),$N$17:$N$600),"")</f>
        <v/>
      </c>
      <c r="N9" s="183" t="inlineStr">
        <is>
          <t>AUTO — edite o histórico abaixo</t>
        </is>
      </c>
      <c r="O9" s="184" t="n"/>
      <c r="P9" s="175" t="n"/>
    </row>
    <row r="10">
      <c r="A10" s="179" t="inlineStr">
        <is>
          <t>CMM</t>
        </is>
      </c>
      <c r="B10" s="179" t="inlineStr">
        <is>
          <t>VIGAS</t>
        </is>
      </c>
      <c r="C10" s="180">
        <f>IF(COUNTIFS($A$17:$A$600,$A10,$B$17:$B$600,$B10,$C$17:$C$600,$B$3-WEEKDAY($B$3,2)+1)=0,"",SUMIFS($F$17:$F$600,$A$17:$A$600,$A10,$B$17:$B$600,$B10,$C$17:$C$600,$B$3-WEEKDAY($B$3,2)+1))</f>
        <v/>
      </c>
      <c r="D10" s="180">
        <f>IF(COUNTIFS($A$17:$A$600,$A10,$B$17:$B$600,$B10,$C$17:$C$600,$B$3-WEEKDAY($B$3,2)+1)=0,"",SUMIFS($G$17:$G$600,$A$17:$A$600,$A10,$B$17:$B$600,$B10,$C$17:$C$600,$B$3-WEEKDAY($B$3,2)+1))</f>
        <v/>
      </c>
      <c r="E10" s="180">
        <f>IF(COUNTIFS($A$17:$A$600,$A10,$B$17:$B$600,$B10,$C$17:$C$600,$B$3-WEEKDAY($B$3,2)+1)=0,"",SUMIFS($J$17:$J$600,$A$17:$A$600,$A10,$B$17:$B$600,$B10,$C$17:$C$600,$B$3-WEEKDAY($B$3,2)+1))</f>
        <v/>
      </c>
      <c r="F10" s="180">
        <f>IF(COUNTIFS($A$17:$A$600,$A10,$B$17:$B$600,$B10,$C$17:$C$600,$B$3-WEEKDAY($B$3,2)+1)=0,"",SUMIFS($F$17:$F$600,$A$17:$A$600,$A10,$B$17:$B$600,$B10,$C$17:$C$600,$B$3-WEEKDAY($B$3,2)+1))</f>
        <v/>
      </c>
      <c r="G10" s="180">
        <f>IF(COUNTIFS($A$17:$A$600,$A10,$B$17:$B$600,$B10,$C$17:$C$600,$B$3-WEEKDAY($B$3,2)+1)=0,"",SUMIFS($I$17:$I$600,$A$17:$A$600,$A10,$B$17:$B$600,$B10,$C$17:$C$600,$B$3-WEEKDAY($B$3,2)+1))</f>
        <v/>
      </c>
      <c r="H10" s="181">
        <f>IF(COUNTIFS($A$17:$A$600,$A10,$B$17:$B$600,$B10,$C$17:$C$600,$B$3-WEEKDAY($B$3,2)+1)=0,"",SUMIFS($L$17:$L$600,$A$17:$A$600,$A10,$B$17:$B$600,$B10,$C$17:$C$600,$B$3-WEEKDAY($B$3,2)+1))</f>
        <v/>
      </c>
      <c r="I10" s="180">
        <f>IF(COUNTIFS($A$17:$A$600,$A10,$B$17:$B$600,$B10,$C$17:$C$600,$B$3-WEEKDAY($B$3,2)+1)=0,"",SUMIFS($M$17:$M$600,$A$17:$A$600,$A10,$B$17:$B$600,$B10,$C$17:$C$600,$B$3-WEEKDAY($B$3,2)+1))</f>
        <v/>
      </c>
      <c r="J10" s="323">
        <f>IF(COUNTIFS($A$17:$A$600,$A10,$B$17:$B$600,$B10,$C$17:$C$600,$B$3-WEEKDAY($B$3,2)+1)=0,"",SUMIFS($C$17:$C$600,$A$17:$A$600,$A10,$B$17:$B$600,$B10,$C$17:$C$600,$B$3-WEEKDAY($B$3,2)+1))</f>
        <v/>
      </c>
      <c r="K10" s="323">
        <f>IF(COUNTIFS($A$17:$A$600,$A10,$B$17:$B$600,$B10,$C$17:$C$600,$B$3-WEEKDAY($B$3,2)+1)=0,"",SUMIFS($D$17:$D$600,$A$17:$A$600,$A10,$B$17:$B$600,$B10,$C$17:$C$600,$B$3-WEEKDAY($B$3,2)+1))</f>
        <v/>
      </c>
      <c r="L10" s="323">
        <f>IF(COUNTIFS($A$17:$A$600,$A10,$B$17:$B$600,$B10,$C$17:$C$600,$B$3-WEEKDAY($B$3,2)+1)=0,"",SUMIFS($E$17:$E$600,$A$17:$A$600,$A10,$B$17:$B$600,$B10,$C$17:$C$600,$B$3-WEEKDAY($B$3,2)+1))</f>
        <v/>
      </c>
      <c r="M10" s="183">
        <f>IFERROR(LOOKUP(2,1/(($A$17:$A$600=$A10)*($B$17:$B$600=$B10)*($C$17:$C$600=$B$3-WEEKDAY($B$3,2)+1)),$N$17:$N$600),"")</f>
        <v/>
      </c>
      <c r="N10" s="183" t="inlineStr">
        <is>
          <t>AUTO — edite o histórico abaixo</t>
        </is>
      </c>
      <c r="O10" s="184" t="n"/>
      <c r="P10" s="175" t="n"/>
    </row>
    <row r="11">
      <c r="A11" s="179" t="inlineStr">
        <is>
          <t>GLOBO AÇOS</t>
        </is>
      </c>
      <c r="B11" s="179" t="inlineStr">
        <is>
          <t>PERFILAÇÃO</t>
        </is>
      </c>
      <c r="C11" s="185">
        <f>IF(COUNTIFS($A$17:$A$600,$A11,$B$17:$B$600,$B11,$C$17:$C$600,$B$3-WEEKDAY($B$3,2)+1)=0,"",SUMIFS($F$17:$F$600,$A$17:$A$600,$A11,$B$17:$B$600,$B11,$C$17:$C$600,$B$3-WEEKDAY($B$3,2)+1))</f>
        <v/>
      </c>
      <c r="D11" s="185">
        <f>IF(COUNTIFS($A$17:$A$600,$A11,$B$17:$B$600,$B11,$C$17:$C$600,$B$3-WEEKDAY($B$3,2)+1)=0,"",SUMIFS($G$17:$G$600,$A$17:$A$600,$A11,$B$17:$B$600,$B11,$C$17:$C$600,$B$3-WEEKDAY($B$3,2)+1))</f>
        <v/>
      </c>
      <c r="E11" s="185">
        <f>IF(COUNTIFS($A$17:$A$600,$A11,$B$17:$B$600,$B11,$C$17:$C$600,$B$3-WEEKDAY($B$3,2)+1)=0,"",SUMIFS($J$17:$J$600,$A$17:$A$600,$A11,$B$17:$B$600,$B11,$C$17:$C$600,$B$3-WEEKDAY($B$3,2)+1))</f>
        <v/>
      </c>
      <c r="F11" s="185">
        <f>IF(COUNTIFS($A$17:$A$600,$A11,$B$17:$B$600,$B11,$C$17:$C$600,$B$3-WEEKDAY($B$3,2)+1)=0,"",SUMIFS($F$17:$F$600,$A$17:$A$600,$A11,$B$17:$B$600,$B11,$C$17:$C$600,$B$3-WEEKDAY($B$3,2)+1))</f>
        <v/>
      </c>
      <c r="G11" s="185">
        <f>IF(COUNTIFS($A$17:$A$600,$A11,$B$17:$B$600,$B11,$C$17:$C$600,$B$3-WEEKDAY($B$3,2)+1)=0,"",SUMIFS($I$17:$I$600,$A$17:$A$600,$A11,$B$17:$B$600,$B11,$C$17:$C$600,$B$3-WEEKDAY($B$3,2)+1))</f>
        <v/>
      </c>
      <c r="H11" s="186">
        <f>IF(COUNTIFS($A$17:$A$600,$A11,$B$17:$B$600,$B11,$C$17:$C$600,$B$3-WEEKDAY($B$3,2)+1)=0,"",SUMIFS($L$17:$L$600,$A$17:$A$600,$A11,$B$17:$B$600,$B11,$C$17:$C$600,$B$3-WEEKDAY($B$3,2)+1))</f>
        <v/>
      </c>
      <c r="I11" s="185">
        <f>IF(COUNTIFS($A$17:$A$600,$A11,$B$17:$B$600,$B11,$C$17:$C$600,$B$3-WEEKDAY($B$3,2)+1)=0,"",SUMIFS($M$17:$M$600,$A$17:$A$600,$A11,$B$17:$B$600,$B11,$C$17:$C$600,$B$3-WEEKDAY($B$3,2)+1))</f>
        <v/>
      </c>
      <c r="J11" s="179">
        <f>IF(COUNTIFS($A$17:$A$600,$A11,$B$17:$B$600,$B11,$C$17:$C$600,$B$3-WEEKDAY($B$3,2)+1)=0,"",SUMIFS($C$17:$C$600,$A$17:$A$600,$A11,$B$17:$B$600,$B11,$C$17:$C$600,$B$3-WEEKDAY($B$3,2)+1))</f>
        <v/>
      </c>
      <c r="K11" s="179">
        <f>IF(COUNTIFS($A$17:$A$600,$A11,$B$17:$B$600,$B11,$C$17:$C$600,$B$3-WEEKDAY($B$3,2)+1)=0,"",SUMIFS($D$17:$D$600,$A$17:$A$600,$A11,$B$17:$B$600,$B11,$C$17:$C$600,$B$3-WEEKDAY($B$3,2)+1))</f>
        <v/>
      </c>
      <c r="L11" s="323">
        <f>IF(COUNTIFS($A$17:$A$600,$A11,$B$17:$B$600,$B11,$C$17:$C$600,$B$3-WEEKDAY($B$3,2)+1)=0,"",SUMIFS($E$17:$E$600,$A$17:$A$600,$A11,$B$17:$B$600,$B11,$C$17:$C$600,$B$3-WEEKDAY($B$3,2)+1))</f>
        <v/>
      </c>
      <c r="M11" s="183">
        <f>IFERROR(LOOKUP(2,1/(($A$17:$A$600=$A11)*($B$17:$B$600=$B11)*($C$17:$C$600=$B$3-WEEKDAY($B$3,2)+1)),$N$17:$N$600),"")</f>
        <v/>
      </c>
      <c r="N11" s="183" t="inlineStr">
        <is>
          <t>AUTO — edite o histórico abaixo</t>
        </is>
      </c>
      <c r="O11" s="184" t="n"/>
      <c r="P11" s="175" t="n"/>
    </row>
    <row r="12">
      <c r="A12" s="179" t="inlineStr">
        <is>
          <t>GLOBO AÇOS</t>
        </is>
      </c>
      <c r="B12" s="179" t="inlineStr">
        <is>
          <t>TELHAR</t>
        </is>
      </c>
      <c r="C12" s="185">
        <f>IF(COUNTIFS($A$17:$A$600,$A12,$B$17:$B$600,$B12,$C$17:$C$600,$B$3-WEEKDAY($B$3,2)+1)=0,"",SUMIFS($F$17:$F$600,$A$17:$A$600,$A12,$B$17:$B$600,$B12,$C$17:$C$600,$B$3-WEEKDAY($B$3,2)+1))</f>
        <v/>
      </c>
      <c r="D12" s="185">
        <f>IF(COUNTIFS($A$17:$A$600,$A12,$B$17:$B$600,$B12,$C$17:$C$600,$B$3-WEEKDAY($B$3,2)+1)=0,"",SUMIFS($G$17:$G$600,$A$17:$A$600,$A12,$B$17:$B$600,$B12,$C$17:$C$600,$B$3-WEEKDAY($B$3,2)+1))</f>
        <v/>
      </c>
      <c r="E12" s="185">
        <f>IF(COUNTIFS($A$17:$A$600,$A12,$B$17:$B$600,$B12,$C$17:$C$600,$B$3-WEEKDAY($B$3,2)+1)=0,"",SUMIFS($J$17:$J$600,$A$17:$A$600,$A12,$B$17:$B$600,$B12,$C$17:$C$600,$B$3-WEEKDAY($B$3,2)+1))</f>
        <v/>
      </c>
      <c r="F12" s="185">
        <f>IF(COUNTIFS($A$17:$A$600,$A12,$B$17:$B$600,$B12,$C$17:$C$600,$B$3-WEEKDAY($B$3,2)+1)=0,"",SUMIFS($F$17:$F$600,$A$17:$A$600,$A12,$B$17:$B$600,$B12,$C$17:$C$600,$B$3-WEEKDAY($B$3,2)+1))</f>
        <v/>
      </c>
      <c r="G12" s="185">
        <f>IF(COUNTIFS($A$17:$A$600,$A12,$B$17:$B$600,$B12,$C$17:$C$600,$B$3-WEEKDAY($B$3,2)+1)=0,"",SUMIFS($I$17:$I$600,$A$17:$A$600,$A12,$B$17:$B$600,$B12,$C$17:$C$600,$B$3-WEEKDAY($B$3,2)+1))</f>
        <v/>
      </c>
      <c r="H12" s="186">
        <f>IF(COUNTIFS($A$17:$A$600,$A12,$B$17:$B$600,$B12,$C$17:$C$600,$B$3-WEEKDAY($B$3,2)+1)=0,"",SUMIFS($L$17:$L$600,$A$17:$A$600,$A12,$B$17:$B$600,$B12,$C$17:$C$600,$B$3-WEEKDAY($B$3,2)+1))</f>
        <v/>
      </c>
      <c r="I12" s="185">
        <f>IF(COUNTIFS($A$17:$A$600,$A12,$B$17:$B$600,$B12,$C$17:$C$600,$B$3-WEEKDAY($B$3,2)+1)=0,"",SUMIFS($M$17:$M$600,$A$17:$A$600,$A12,$B$17:$B$600,$B12,$C$17:$C$600,$B$3-WEEKDAY($B$3,2)+1))</f>
        <v/>
      </c>
      <c r="J12" s="179">
        <f>IF(COUNTIFS($A$17:$A$600,$A12,$B$17:$B$600,$B12,$C$17:$C$600,$B$3-WEEKDAY($B$3,2)+1)=0,"",SUMIFS($C$17:$C$600,$A$17:$A$600,$A12,$B$17:$B$600,$B12,$C$17:$C$600,$B$3-WEEKDAY($B$3,2)+1))</f>
        <v/>
      </c>
      <c r="K12" s="179">
        <f>IF(COUNTIFS($A$17:$A$600,$A12,$B$17:$B$600,$B12,$C$17:$C$600,$B$3-WEEKDAY($B$3,2)+1)=0,"",SUMIFS($D$17:$D$600,$A$17:$A$600,$A12,$B$17:$B$600,$B12,$C$17:$C$600,$B$3-WEEKDAY($B$3,2)+1))</f>
        <v/>
      </c>
      <c r="L12" s="179">
        <f>IF(COUNTIFS($A$17:$A$600,$A12,$B$17:$B$600,$B12,$C$17:$C$600,$B$3-WEEKDAY($B$3,2)+1)=0,"",SUMIFS($E$17:$E$600,$A$17:$A$600,$A12,$B$17:$B$600,$B12,$C$17:$C$600,$B$3-WEEKDAY($B$3,2)+1))</f>
        <v/>
      </c>
      <c r="M12" s="179">
        <f>IFERROR(LOOKUP(2,1/(($A$17:$A$600=$A12)*($B$17:$B$600=$B12)*($C$17:$C$600=$B$3-WEEKDAY($B$3,2)+1)),$N$17:$N$600),"")</f>
        <v/>
      </c>
      <c r="N12" s="179" t="inlineStr">
        <is>
          <t>AUTO — edite o histórico abaixo</t>
        </is>
      </c>
      <c r="O12" s="184" t="n"/>
      <c r="P12" s="175" t="n"/>
    </row>
    <row r="13">
      <c r="A13" s="179" t="inlineStr">
        <is>
          <t>GLOBO AÇOS</t>
        </is>
      </c>
      <c r="B13" s="179" t="inlineStr">
        <is>
          <t>FECHAMENTO</t>
        </is>
      </c>
      <c r="C13" s="185">
        <f>IF(COUNTIFS($A$17:$A$600,$A13,$B$17:$B$600,$B13,$C$17:$C$600,$B$3-WEEKDAY($B$3,2)+1)=0,"",SUMIFS($F$17:$F$600,$A$17:$A$600,$A13,$B$17:$B$600,$B13,$C$17:$C$600,$B$3-WEEKDAY($B$3,2)+1))</f>
        <v/>
      </c>
      <c r="D13" s="185">
        <f>IF(COUNTIFS($A$17:$A$600,$A13,$B$17:$B$600,$B13,$C$17:$C$600,$B$3-WEEKDAY($B$3,2)+1)=0,"",SUMIFS($G$17:$G$600,$A$17:$A$600,$A13,$B$17:$B$600,$B13,$C$17:$C$600,$B$3-WEEKDAY($B$3,2)+1))</f>
        <v/>
      </c>
      <c r="E13" s="185">
        <f>IF(COUNTIFS($A$17:$A$600,$A13,$B$17:$B$600,$B13,$C$17:$C$600,$B$3-WEEKDAY($B$3,2)+1)=0,"",SUMIFS($J$17:$J$600,$A$17:$A$600,$A13,$B$17:$B$600,$B13,$C$17:$C$600,$B$3-WEEKDAY($B$3,2)+1))</f>
        <v/>
      </c>
      <c r="F13" s="185">
        <f>IF(COUNTIFS($A$17:$A$600,$A13,$B$17:$B$600,$B13,$C$17:$C$600,$B$3-WEEKDAY($B$3,2)+1)=0,"",SUMIFS($F$17:$F$600,$A$17:$A$600,$A13,$B$17:$B$600,$B13,$C$17:$C$600,$B$3-WEEKDAY($B$3,2)+1))</f>
        <v/>
      </c>
      <c r="G13" s="185">
        <f>IF(COUNTIFS($A$17:$A$600,$A13,$B$17:$B$600,$B13,$C$17:$C$600,$B$3-WEEKDAY($B$3,2)+1)=0,"",SUMIFS($I$17:$I$600,$A$17:$A$600,$A13,$B$17:$B$600,$B13,$C$17:$C$600,$B$3-WEEKDAY($B$3,2)+1))</f>
        <v/>
      </c>
      <c r="H13" s="186">
        <f>IF(COUNTIFS($A$17:$A$600,$A13,$B$17:$B$600,$B13,$C$17:$C$600,$B$3-WEEKDAY($B$3,2)+1)=0,"",SUMIFS($L$17:$L$600,$A$17:$A$600,$A13,$B$17:$B$600,$B13,$C$17:$C$600,$B$3-WEEKDAY($B$3,2)+1))</f>
        <v/>
      </c>
      <c r="I13" s="185">
        <f>IF(COUNTIFS($A$17:$A$600,$A13,$B$17:$B$600,$B13,$C$17:$C$600,$B$3-WEEKDAY($B$3,2)+1)=0,"",SUMIFS($M$17:$M$600,$A$17:$A$600,$A13,$B$17:$B$600,$B13,$C$17:$C$600,$B$3-WEEKDAY($B$3,2)+1))</f>
        <v/>
      </c>
      <c r="J13" s="179">
        <f>IF(COUNTIFS($A$17:$A$600,$A13,$B$17:$B$600,$B13,$C$17:$C$600,$B$3-WEEKDAY($B$3,2)+1)=0,"",SUMIFS($C$17:$C$600,$A$17:$A$600,$A13,$B$17:$B$600,$B13,$C$17:$C$600,$B$3-WEEKDAY($B$3,2)+1))</f>
        <v/>
      </c>
      <c r="K13" s="179">
        <f>IF(COUNTIFS($A$17:$A$600,$A13,$B$17:$B$600,$B13,$C$17:$C$600,$B$3-WEEKDAY($B$3,2)+1)=0,"",SUMIFS($D$17:$D$600,$A$17:$A$600,$A13,$B$17:$B$600,$B13,$C$17:$C$600,$B$3-WEEKDAY($B$3,2)+1))</f>
        <v/>
      </c>
      <c r="L13" s="323">
        <f>IF(COUNTIFS($A$17:$A$600,$A13,$B$17:$B$600,$B13,$C$17:$C$600,$B$3-WEEKDAY($B$3,2)+1)=0,"",SUMIFS($E$17:$E$600,$A$17:$A$600,$A13,$B$17:$B$600,$B13,$C$17:$C$600,$B$3-WEEKDAY($B$3,2)+1))</f>
        <v/>
      </c>
      <c r="M13" s="183">
        <f>IFERROR(LOOKUP(2,1/(($A$17:$A$600=$A13)*($B$17:$B$600=$B13)*($C$17:$C$600=$B$3-WEEKDAY($B$3,2)+1)),$N$17:$N$600),"")</f>
        <v/>
      </c>
      <c r="N13" s="183" t="inlineStr">
        <is>
          <t>AUTO — edite o histórico abaixo</t>
        </is>
      </c>
      <c r="O13" s="184" t="n"/>
      <c r="P13" s="175" t="n"/>
    </row>
    <row r="14" ht="37.5" customHeight="1">
      <c r="A14" s="178" t="n"/>
      <c r="B14" s="178" t="inlineStr">
        <is>
          <t>Serviço</t>
        </is>
      </c>
      <c r="C14" s="178" t="inlineStr">
        <is>
          <t>Início Semana</t>
        </is>
      </c>
      <c r="D14" s="178" t="inlineStr">
        <is>
          <t>Fim Semana</t>
        </is>
      </c>
      <c r="E14" s="178" t="inlineStr">
        <is>
          <t>Data Corte</t>
        </is>
      </c>
      <c r="F14" s="178" t="inlineStr">
        <is>
          <t>Meta Base/Dia</t>
        </is>
      </c>
      <c r="G14" s="178" t="inlineStr">
        <is>
          <t>Dias Úteis</t>
        </is>
      </c>
      <c r="H14" s="178" t="inlineStr">
        <is>
          <t>Meta Base/Semana</t>
        </is>
      </c>
      <c r="I14" s="178" t="inlineStr">
        <is>
          <t>GAP Anterior</t>
        </is>
      </c>
      <c r="J14" s="178" t="inlineStr">
        <is>
          <t>Meta Ajustada/Semana</t>
        </is>
      </c>
      <c r="K14" s="178" t="inlineStr">
        <is>
          <t>Meta Ajustada/Dia</t>
        </is>
      </c>
      <c r="L14" s="324" t="inlineStr">
        <is>
          <t>Realizado Semana</t>
        </is>
      </c>
      <c r="M14" s="188" t="inlineStr">
        <is>
          <t>GAP Semana</t>
        </is>
      </c>
      <c r="N14" s="188" t="inlineStr">
        <is>
          <t>Status</t>
        </is>
      </c>
      <c r="O14" s="184" t="n"/>
      <c r="P14" s="175" t="n"/>
    </row>
    <row r="15" hidden="1">
      <c r="A15" s="248" t="inlineStr">
        <is>
          <t>HISTÓRICO SEMANAL — NOVA META POR SEMANA / EMPRESA / SERVIÇO</t>
        </is>
      </c>
      <c r="B15" s="325" t="n"/>
      <c r="C15" s="325" t="n"/>
      <c r="D15" s="325" t="n"/>
      <c r="E15" s="325" t="n"/>
      <c r="F15" s="325" t="n"/>
      <c r="G15" s="325" t="n"/>
      <c r="H15" s="325" t="n"/>
      <c r="I15" s="325" t="n"/>
      <c r="J15" s="325" t="n"/>
      <c r="K15" s="325" t="n"/>
      <c r="L15" s="325" t="n"/>
      <c r="M15" s="325" t="n"/>
      <c r="N15" s="326" t="n"/>
      <c r="O15" s="184" t="n"/>
      <c r="P15" s="175" t="n"/>
    </row>
    <row r="16" hidden="1">
      <c r="A16" s="189" t="inlineStr">
        <is>
          <t>Empresa</t>
        </is>
      </c>
      <c r="B16" s="189" t="inlineStr">
        <is>
          <t>Serviço</t>
        </is>
      </c>
      <c r="C16" s="327" t="inlineStr">
        <is>
          <t>Início Semana</t>
        </is>
      </c>
      <c r="D16" s="327" t="inlineStr">
        <is>
          <t>Fim Semana</t>
        </is>
      </c>
      <c r="E16" s="327" t="inlineStr">
        <is>
          <t>Data Corte</t>
        </is>
      </c>
      <c r="F16" s="191" t="inlineStr">
        <is>
          <t>Meta Base/Dia</t>
        </is>
      </c>
      <c r="G16" s="189" t="inlineStr">
        <is>
          <t>Dias Úteis</t>
        </is>
      </c>
      <c r="H16" s="191" t="inlineStr">
        <is>
          <t>Meta Base/Semana</t>
        </is>
      </c>
      <c r="I16" s="191" t="inlineStr">
        <is>
          <t>GAP Anterior</t>
        </is>
      </c>
      <c r="J16" s="191" t="inlineStr">
        <is>
          <t>Meta Ajustada/Semana</t>
        </is>
      </c>
      <c r="K16" s="191" t="inlineStr">
        <is>
          <t>Meta Ajustada/Dia</t>
        </is>
      </c>
      <c r="L16" s="191" t="inlineStr">
        <is>
          <t>Realizado Semana</t>
        </is>
      </c>
      <c r="M16" s="191" t="inlineStr">
        <is>
          <t>GAP Semana</t>
        </is>
      </c>
      <c r="N16" s="191" t="inlineStr">
        <is>
          <t>Status</t>
        </is>
      </c>
      <c r="O16" s="184" t="n"/>
      <c r="P16" s="175" t="n"/>
    </row>
    <row r="17" hidden="1">
      <c r="A17" s="179" t="inlineStr">
        <is>
          <t>EJ</t>
        </is>
      </c>
      <c r="B17" s="179" t="inlineStr">
        <is>
          <t>PREMONTAGEM</t>
        </is>
      </c>
      <c r="C17" s="192" t="n">
        <v>46223</v>
      </c>
      <c r="D17" s="192" t="n">
        <v>46227</v>
      </c>
      <c r="E17" s="192" t="n">
        <v>46228</v>
      </c>
      <c r="F17" s="193" t="n">
        <v>6</v>
      </c>
      <c r="G17" s="194" t="n">
        <v>5</v>
      </c>
      <c r="H17" s="183">
        <f>F17*G17</f>
        <v/>
      </c>
      <c r="I17" s="183" t="n">
        <v>0</v>
      </c>
      <c r="J17" s="183">
        <f>IFERROR(H17+I17,"")</f>
        <v/>
      </c>
      <c r="K17" s="183">
        <f>IFERROR(J17/G17,"")</f>
        <v/>
      </c>
      <c r="L17" s="183" t="n">
        <v>8</v>
      </c>
      <c r="M17" s="183">
        <f>IF($B$3&lt;$E17,"",$L17-$J17)</f>
        <v/>
      </c>
      <c r="N17" s="183">
        <f>IF($B$3&lt;$C17,"FUTURA",IF($B$3&lt;=$D17,"EM ANDAMENTO",IF($B$3&lt;$E17,"AGUARDANDO CORTE",IF($M17&gt;=0,"META ATINGIDA","GAP A RECUPERAR"))))</f>
        <v/>
      </c>
      <c r="O17" s="184" t="n"/>
      <c r="P17" s="175" t="n"/>
    </row>
    <row r="18" hidden="1">
      <c r="A18" s="179" t="inlineStr">
        <is>
          <t>EJ</t>
        </is>
      </c>
      <c r="B18" s="179" t="inlineStr">
        <is>
          <t>IÇAMENTO JOIST</t>
        </is>
      </c>
      <c r="C18" s="192" t="n">
        <v>46223</v>
      </c>
      <c r="D18" s="192" t="n">
        <v>46227</v>
      </c>
      <c r="E18" s="192" t="n">
        <v>46228</v>
      </c>
      <c r="F18" s="193" t="n">
        <v>5</v>
      </c>
      <c r="G18" s="194" t="n">
        <v>5</v>
      </c>
      <c r="H18" s="183">
        <f>F18*G18</f>
        <v/>
      </c>
      <c r="I18" s="183" t="n">
        <v>0</v>
      </c>
      <c r="J18" s="183">
        <f>IFERROR(H18+I18,"")</f>
        <v/>
      </c>
      <c r="K18" s="183">
        <f>IFERROR(J18/G18,"")</f>
        <v/>
      </c>
      <c r="L18" s="183" t="n">
        <v>1</v>
      </c>
      <c r="M18" s="183">
        <f>IF($B$3&lt;$E18,"",$L18-$J18)</f>
        <v/>
      </c>
      <c r="N18" s="183">
        <f>IF($B$3&lt;$C18,"FUTURA",IF($B$3&lt;=$D18,"EM ANDAMENTO",IF($B$3&lt;$E18,"AGUARDANDO CORTE",IF($M18&gt;=0,"META ATINGIDA","GAP A RECUPERAR"))))</f>
        <v/>
      </c>
      <c r="O18" s="184" t="n"/>
      <c r="P18" s="175" t="n"/>
    </row>
    <row r="19" hidden="1">
      <c r="A19" s="179" t="inlineStr">
        <is>
          <t>EJ</t>
        </is>
      </c>
      <c r="B19" s="179" t="inlineStr">
        <is>
          <t>VIGAS</t>
        </is>
      </c>
      <c r="C19" s="192" t="n">
        <v>46223</v>
      </c>
      <c r="D19" s="192" t="n">
        <v>46227</v>
      </c>
      <c r="E19" s="192" t="n">
        <v>46228</v>
      </c>
      <c r="F19" s="193" t="n">
        <v>2</v>
      </c>
      <c r="G19" s="194" t="n">
        <v>5</v>
      </c>
      <c r="H19" s="183">
        <f>F19*G19</f>
        <v/>
      </c>
      <c r="I19" s="183" t="n">
        <v>0</v>
      </c>
      <c r="J19" s="183">
        <f>IFERROR(H19+I19,"")</f>
        <v/>
      </c>
      <c r="K19" s="183">
        <f>IFERROR(J19/G19,"")</f>
        <v/>
      </c>
      <c r="L19" s="183" t="n">
        <v>4</v>
      </c>
      <c r="M19" s="183">
        <f>IF($B$3&lt;$E19,"",$L19-$J19)</f>
        <v/>
      </c>
      <c r="N19" s="183">
        <f>IF($B$3&lt;$C19,"FUTURA",IF($B$3&lt;=$D19,"EM ANDAMENTO",IF($B$3&lt;$E19,"AGUARDANDO CORTE",IF($M19&gt;=0,"META ATINGIDA","GAP A RECUPERAR"))))</f>
        <v/>
      </c>
      <c r="O19" s="184" t="n"/>
      <c r="P19" s="175" t="n"/>
    </row>
    <row r="20" hidden="1">
      <c r="A20" s="179" t="inlineStr">
        <is>
          <t>CMM</t>
        </is>
      </c>
      <c r="B20" s="179" t="inlineStr">
        <is>
          <t>PREMONTAGEM</t>
        </is>
      </c>
      <c r="C20" s="192" t="n">
        <v>46223</v>
      </c>
      <c r="D20" s="192" t="n">
        <v>46227</v>
      </c>
      <c r="E20" s="192" t="n">
        <v>46228</v>
      </c>
      <c r="F20" s="193" t="n">
        <v>6</v>
      </c>
      <c r="G20" s="194" t="n">
        <v>5</v>
      </c>
      <c r="H20" s="183">
        <f>F20*G20</f>
        <v/>
      </c>
      <c r="I20" s="183" t="n">
        <v>0</v>
      </c>
      <c r="J20" s="183">
        <f>IFERROR(H20+I20,"")</f>
        <v/>
      </c>
      <c r="K20" s="183">
        <f>IFERROR(J20/G20,"")</f>
        <v/>
      </c>
      <c r="L20" s="183" t="n">
        <v>0</v>
      </c>
      <c r="M20" s="183">
        <f>IF($B$3&lt;$E20,"",$L20-$J20)</f>
        <v/>
      </c>
      <c r="N20" s="183">
        <f>IF($B$3&lt;$C20,"FUTURA",IF($B$3&lt;=$D20,"EM ANDAMENTO",IF($B$3&lt;$E20,"AGUARDANDO CORTE",IF($M20&gt;=0,"META ATINGIDA","GAP A RECUPERAR"))))</f>
        <v/>
      </c>
      <c r="O20" s="184" t="n"/>
      <c r="P20" s="175" t="n"/>
    </row>
    <row r="21" hidden="1">
      <c r="A21" s="179" t="inlineStr">
        <is>
          <t>CMM</t>
        </is>
      </c>
      <c r="B21" s="179" t="inlineStr">
        <is>
          <t>IÇAMENTO JOIST</t>
        </is>
      </c>
      <c r="C21" s="192" t="n">
        <v>46223</v>
      </c>
      <c r="D21" s="192" t="n">
        <v>46227</v>
      </c>
      <c r="E21" s="192" t="n">
        <v>46228</v>
      </c>
      <c r="F21" s="193" t="n">
        <v>5</v>
      </c>
      <c r="G21" s="194" t="n">
        <v>5</v>
      </c>
      <c r="H21" s="183">
        <f>F21*G21</f>
        <v/>
      </c>
      <c r="I21" s="183" t="n">
        <v>0</v>
      </c>
      <c r="J21" s="183">
        <f>IFERROR(H21+I21,"")</f>
        <v/>
      </c>
      <c r="K21" s="183">
        <f>IFERROR(J21/G21,"")</f>
        <v/>
      </c>
      <c r="L21" s="183" t="n">
        <v>0</v>
      </c>
      <c r="M21" s="183">
        <f>IF($B$3&lt;$E21,"",$L21-$J21)</f>
        <v/>
      </c>
      <c r="N21" s="183">
        <f>IF($B$3&lt;$C21,"FUTURA",IF($B$3&lt;=$D21,"EM ANDAMENTO",IF($B$3&lt;$E21,"AGUARDANDO CORTE",IF($M21&gt;=0,"META ATINGIDA","GAP A RECUPERAR"))))</f>
        <v/>
      </c>
      <c r="O21" s="184" t="n"/>
      <c r="P21" s="175" t="n"/>
    </row>
    <row r="22" hidden="1">
      <c r="A22" s="179" t="inlineStr">
        <is>
          <t>CMM</t>
        </is>
      </c>
      <c r="B22" s="179" t="inlineStr">
        <is>
          <t>VIGAS</t>
        </is>
      </c>
      <c r="C22" s="192" t="n">
        <v>46223</v>
      </c>
      <c r="D22" s="192" t="n">
        <v>46227</v>
      </c>
      <c r="E22" s="192" t="n">
        <v>46228</v>
      </c>
      <c r="F22" s="193" t="n">
        <v>2</v>
      </c>
      <c r="G22" s="194" t="n">
        <v>5</v>
      </c>
      <c r="H22" s="183">
        <f>F22*G22</f>
        <v/>
      </c>
      <c r="I22" s="183" t="n">
        <v>0</v>
      </c>
      <c r="J22" s="183">
        <f>IFERROR(H22+I22,"")</f>
        <v/>
      </c>
      <c r="K22" s="183">
        <f>IFERROR(J22/G22,"")</f>
        <v/>
      </c>
      <c r="L22" s="183" t="n">
        <v>0</v>
      </c>
      <c r="M22" s="183">
        <f>IF($B$3&lt;$E22,"",$L22-$J22)</f>
        <v/>
      </c>
      <c r="N22" s="183">
        <f>IF($B$3&lt;$C22,"FUTURA",IF($B$3&lt;=$D22,"EM ANDAMENTO",IF($B$3&lt;$E22,"AGUARDANDO CORTE",IF($M22&gt;=0,"META ATINGIDA","GAP A RECUPERAR"))))</f>
        <v/>
      </c>
      <c r="O22" s="184" t="n"/>
      <c r="P22" s="175" t="n"/>
    </row>
    <row r="23" hidden="1">
      <c r="A23" s="179" t="inlineStr">
        <is>
          <t>GLOBO AÇOS</t>
        </is>
      </c>
      <c r="B23" s="179" t="inlineStr">
        <is>
          <t>PERFILAÇÃO</t>
        </is>
      </c>
      <c r="C23" s="192" t="n">
        <v>46223</v>
      </c>
      <c r="D23" s="192" t="n">
        <v>46227</v>
      </c>
      <c r="E23" s="192" t="n">
        <v>46228</v>
      </c>
      <c r="F23" s="193" t="n">
        <v>0</v>
      </c>
      <c r="G23" s="194" t="n">
        <v>5</v>
      </c>
      <c r="H23" s="183">
        <f>F23*G23</f>
        <v/>
      </c>
      <c r="I23" s="183" t="n">
        <v>0</v>
      </c>
      <c r="J23" s="183">
        <f>IFERROR(H23+I23,"")</f>
        <v/>
      </c>
      <c r="K23" s="183">
        <f>IFERROR(J23/G23,"")</f>
        <v/>
      </c>
      <c r="L23" s="183">
        <f>IFERROR(SUM(INDEX('CONTROLE PRODUÇÃO POR EMPRESAS'!$H$6:$H$5000,MATCH(C23,'CONTROLE PRODUÇÃO POR EMPRESAS'!$A$6:$A$5000,0)):INDEX('CONTROLE PRODUÇÃO POR EMPRESAS'!$H$6:$H$5000,MATCH(D23,'CONTROLE PRODUÇÃO POR EMPRESAS'!$A$6:$A$5000,0))),0)</f>
        <v/>
      </c>
      <c r="M23" s="183">
        <f>IF($B$3&lt;$E23,"",$L23-$J23)</f>
        <v/>
      </c>
      <c r="N23" s="183">
        <f>IF($B$3&lt;$C23,"FUTURA",IF($B$3&lt;=$D23,"EM ANDAMENTO",IF($B$3&lt;$E23,"AGUARDANDO CORTE",IF($M23&gt;=0,"META ATINGIDA","GAP A RECUPERAR"))))</f>
        <v/>
      </c>
      <c r="O23" s="184" t="n"/>
      <c r="P23" s="175" t="n"/>
    </row>
    <row r="24" hidden="1">
      <c r="A24" s="179" t="inlineStr">
        <is>
          <t>GLOBO AÇOS</t>
        </is>
      </c>
      <c r="B24" s="179" t="inlineStr">
        <is>
          <t>TELHAR</t>
        </is>
      </c>
      <c r="C24" s="192" t="n">
        <v>46223</v>
      </c>
      <c r="D24" s="192" t="n">
        <v>46227</v>
      </c>
      <c r="E24" s="192" t="n">
        <v>46228</v>
      </c>
      <c r="F24" s="193" t="n">
        <v>0</v>
      </c>
      <c r="G24" s="194" t="n">
        <v>5</v>
      </c>
      <c r="H24" s="183">
        <f>F24*G24</f>
        <v/>
      </c>
      <c r="I24" s="183" t="n">
        <v>0</v>
      </c>
      <c r="J24" s="183">
        <f>IFERROR(H24+I24,"")</f>
        <v/>
      </c>
      <c r="K24" s="183">
        <f>IFERROR(J24/G24,"")</f>
        <v/>
      </c>
      <c r="L24" s="183">
        <f>IFERROR(SUM(INDEX('CONTROLE PRODUÇÃO POR EMPRESAS'!$I$6:$I$5000,MATCH(C24,'CONTROLE PRODUÇÃO POR EMPRESAS'!$A$6:$A$5000,0)):INDEX('CONTROLE PRODUÇÃO POR EMPRESAS'!$I$6:$I$5000,MATCH(D24,'CONTROLE PRODUÇÃO POR EMPRESAS'!$A$6:$A$5000,0))),0)</f>
        <v/>
      </c>
      <c r="M24" s="183">
        <f>IF($B$3&lt;$E24,"",$L24-$J24)</f>
        <v/>
      </c>
      <c r="N24" s="183">
        <f>IF($B$3&lt;$C24,"FUTURA",IF($B$3&lt;=$D24,"EM ANDAMENTO",IF($B$3&lt;$E24,"AGUARDANDO CORTE",IF($M24&gt;=0,"META ATINGIDA","GAP A RECUPERAR"))))</f>
        <v/>
      </c>
      <c r="O24" s="184" t="n"/>
      <c r="P24" s="175" t="n"/>
    </row>
    <row r="25" hidden="1">
      <c r="A25" s="179" t="inlineStr">
        <is>
          <t>GLOBO AÇOS</t>
        </is>
      </c>
      <c r="B25" s="179" t="inlineStr">
        <is>
          <t>FECHAMENTO</t>
        </is>
      </c>
      <c r="C25" s="192" t="n">
        <v>46223</v>
      </c>
      <c r="D25" s="192" t="n">
        <v>46227</v>
      </c>
      <c r="E25" s="192" t="n">
        <v>46228</v>
      </c>
      <c r="F25" s="193" t="n">
        <v>0</v>
      </c>
      <c r="G25" s="194" t="n">
        <v>5</v>
      </c>
      <c r="H25" s="183">
        <f>F25*G25</f>
        <v/>
      </c>
      <c r="I25" s="183" t="n">
        <v>0</v>
      </c>
      <c r="J25" s="183">
        <f>IFERROR(H25+I25,"")</f>
        <v/>
      </c>
      <c r="K25" s="183">
        <f>IFERROR(J25/G25,"")</f>
        <v/>
      </c>
      <c r="L25" s="183">
        <f>IFERROR(SUM(INDEX('CONTROLE PRODUÇÃO POR EMPRESAS'!$J$6:$J$5000,MATCH(C25,'CONTROLE PRODUÇÃO POR EMPRESAS'!$A$6:$A$5000,0)):INDEX('CONTROLE PRODUÇÃO POR EMPRESAS'!$J$6:$J$5000,MATCH(D25,'CONTROLE PRODUÇÃO POR EMPRESAS'!$A$6:$A$5000,0))),0)</f>
        <v/>
      </c>
      <c r="M25" s="183">
        <f>IF($B$3&lt;$E25,"",$L25-$J25)</f>
        <v/>
      </c>
      <c r="N25" s="183">
        <f>IF($B$3&lt;$C25,"FUTURA",IF($B$3&lt;=$D25,"EM ANDAMENTO",IF($B$3&lt;$E25,"AGUARDANDO CORTE",IF($M25&gt;=0,"META ATINGIDA","GAP A RECUPERAR"))))</f>
        <v/>
      </c>
      <c r="O25" s="184" t="n"/>
      <c r="P25" s="175" t="n"/>
    </row>
    <row r="26" hidden="1">
      <c r="A26" s="179" t="inlineStr">
        <is>
          <t>EJ</t>
        </is>
      </c>
      <c r="B26" s="179" t="inlineStr">
        <is>
          <t>PREMONTAGEM</t>
        </is>
      </c>
      <c r="C26" s="192" t="n">
        <v>46230</v>
      </c>
      <c r="D26" s="192" t="n">
        <v>46234</v>
      </c>
      <c r="E26" s="192" t="n">
        <v>46235</v>
      </c>
      <c r="F26" s="193" t="n">
        <v>6</v>
      </c>
      <c r="G26" s="194" t="n">
        <v>5</v>
      </c>
      <c r="H26" s="183">
        <f>F26*G26</f>
        <v/>
      </c>
      <c r="I26" s="183" t="n">
        <v>0</v>
      </c>
      <c r="J26" s="183">
        <f>IFERROR(H26+I26,"")</f>
        <v/>
      </c>
      <c r="K26" s="183">
        <f>IFERROR(J26/G26,"")</f>
        <v/>
      </c>
      <c r="L26" s="183" t="n">
        <v>8</v>
      </c>
      <c r="M26" s="183">
        <f>IF($B$3&lt;$E26,"",$L26-$J26)</f>
        <v/>
      </c>
      <c r="N26" s="183">
        <f>IF($B$3&lt;$C26,"FUTURA",IF($B$3&lt;=$D26,"EM ANDAMENTO",IF($B$3&lt;$E26,"AGUARDANDO CORTE",IF($M26&gt;=0,"META ATINGIDA","GAP A RECUPERAR"))))</f>
        <v/>
      </c>
      <c r="O26" s="184" t="n"/>
      <c r="P26" s="175" t="n"/>
    </row>
    <row r="27" hidden="1">
      <c r="A27" s="179" t="inlineStr">
        <is>
          <t>EJ</t>
        </is>
      </c>
      <c r="B27" s="179" t="inlineStr">
        <is>
          <t>IÇAMENTO JOIST</t>
        </is>
      </c>
      <c r="C27" s="192" t="n">
        <v>46230</v>
      </c>
      <c r="D27" s="192" t="n">
        <v>46234</v>
      </c>
      <c r="E27" s="192" t="n">
        <v>46235</v>
      </c>
      <c r="F27" s="193" t="n">
        <v>5</v>
      </c>
      <c r="G27" s="194" t="n">
        <v>5</v>
      </c>
      <c r="H27" s="183">
        <f>F27*G27</f>
        <v/>
      </c>
      <c r="I27" s="183" t="n">
        <v>0</v>
      </c>
      <c r="J27" s="183">
        <f>IFERROR(H27+I27,"")</f>
        <v/>
      </c>
      <c r="K27" s="183">
        <f>IFERROR(J27/G27,"")</f>
        <v/>
      </c>
      <c r="L27" s="183" t="n">
        <v>12</v>
      </c>
      <c r="M27" s="183">
        <f>IF($B$3&lt;$E27,"",$L27-$J27)</f>
        <v/>
      </c>
      <c r="N27" s="183">
        <f>IF($B$3&lt;$C27,"FUTURA",IF($B$3&lt;=$D27,"EM ANDAMENTO",IF($B$3&lt;$E27,"AGUARDANDO CORTE",IF($M27&gt;=0,"META ATINGIDA","GAP A RECUPERAR"))))</f>
        <v/>
      </c>
      <c r="O27" s="184" t="n"/>
      <c r="P27" s="175" t="n"/>
    </row>
    <row r="28" hidden="1">
      <c r="A28" s="179" t="inlineStr">
        <is>
          <t>EJ</t>
        </is>
      </c>
      <c r="B28" s="179" t="inlineStr">
        <is>
          <t>VIGAS</t>
        </is>
      </c>
      <c r="C28" s="192" t="n">
        <v>46230</v>
      </c>
      <c r="D28" s="192" t="n">
        <v>46234</v>
      </c>
      <c r="E28" s="192" t="n">
        <v>46235</v>
      </c>
      <c r="F28" s="193" t="n">
        <v>2</v>
      </c>
      <c r="G28" s="194" t="n">
        <v>5</v>
      </c>
      <c r="H28" s="183">
        <f>F28*G28</f>
        <v/>
      </c>
      <c r="I28" s="183" t="n">
        <v>0</v>
      </c>
      <c r="J28" s="183">
        <f>IFERROR(H28+I28,"")</f>
        <v/>
      </c>
      <c r="K28" s="183">
        <f>IFERROR(J28/G28,"")</f>
        <v/>
      </c>
      <c r="L28" s="183" t="n">
        <v>6</v>
      </c>
      <c r="M28" s="183">
        <f>IF($B$3&lt;$E28,"",$L28-$J28)</f>
        <v/>
      </c>
      <c r="N28" s="183">
        <f>IF($B$3&lt;$C28,"FUTURA",IF($B$3&lt;=$D28,"EM ANDAMENTO",IF($B$3&lt;$E28,"AGUARDANDO CORTE",IF($M28&gt;=0,"META ATINGIDA","GAP A RECUPERAR"))))</f>
        <v/>
      </c>
      <c r="O28" s="184" t="n"/>
      <c r="P28" s="175" t="n"/>
    </row>
    <row r="29" hidden="1">
      <c r="A29" s="179" t="inlineStr">
        <is>
          <t>CMM</t>
        </is>
      </c>
      <c r="B29" s="179" t="inlineStr">
        <is>
          <t>PREMONTAGEM</t>
        </is>
      </c>
      <c r="C29" s="192" t="n">
        <v>46230</v>
      </c>
      <c r="D29" s="192" t="n">
        <v>46234</v>
      </c>
      <c r="E29" s="192" t="n">
        <v>46235</v>
      </c>
      <c r="F29" s="193" t="n">
        <v>6</v>
      </c>
      <c r="G29" s="194" t="n">
        <v>5</v>
      </c>
      <c r="H29" s="183">
        <f>F29*G29</f>
        <v/>
      </c>
      <c r="I29" s="183" t="n">
        <v>0</v>
      </c>
      <c r="J29" s="183">
        <f>IFERROR(H29+I29,"")</f>
        <v/>
      </c>
      <c r="K29" s="183">
        <f>IFERROR(J29/G29,"")</f>
        <v/>
      </c>
      <c r="L29" s="183" t="n">
        <v>0</v>
      </c>
      <c r="M29" s="183">
        <f>IF($B$3&lt;$E29,"",$L29-$J29)</f>
        <v/>
      </c>
      <c r="N29" s="183">
        <f>IF($B$3&lt;$C29,"FUTURA",IF($B$3&lt;=$D29,"EM ANDAMENTO",IF($B$3&lt;$E29,"AGUARDANDO CORTE",IF($M29&gt;=0,"META ATINGIDA","GAP A RECUPERAR"))))</f>
        <v/>
      </c>
      <c r="O29" s="184" t="n"/>
      <c r="P29" s="175" t="n"/>
    </row>
    <row r="30" hidden="1">
      <c r="A30" s="179" t="inlineStr">
        <is>
          <t>CMM</t>
        </is>
      </c>
      <c r="B30" s="179" t="inlineStr">
        <is>
          <t>IÇAMENTO JOIST</t>
        </is>
      </c>
      <c r="C30" s="192" t="n">
        <v>46230</v>
      </c>
      <c r="D30" s="192" t="n">
        <v>46234</v>
      </c>
      <c r="E30" s="192" t="n">
        <v>46235</v>
      </c>
      <c r="F30" s="193" t="n">
        <v>5</v>
      </c>
      <c r="G30" s="194" t="n">
        <v>5</v>
      </c>
      <c r="H30" s="183">
        <f>F30*G30</f>
        <v/>
      </c>
      <c r="I30" s="183" t="n">
        <v>0</v>
      </c>
      <c r="J30" s="183">
        <f>IFERROR(H30+I30,"")</f>
        <v/>
      </c>
      <c r="K30" s="183">
        <f>IFERROR(J30/G30,"")</f>
        <v/>
      </c>
      <c r="L30" s="183" t="n">
        <v>0</v>
      </c>
      <c r="M30" s="183">
        <f>IF($B$3&lt;$E30,"",$L30-$J30)</f>
        <v/>
      </c>
      <c r="N30" s="183">
        <f>IF($B$3&lt;$C30,"FUTURA",IF($B$3&lt;=$D30,"EM ANDAMENTO",IF($B$3&lt;$E30,"AGUARDANDO CORTE",IF($M30&gt;=0,"META ATINGIDA","GAP A RECUPERAR"))))</f>
        <v/>
      </c>
      <c r="O30" s="184" t="n"/>
      <c r="P30" s="175" t="n"/>
    </row>
    <row r="31" hidden="1">
      <c r="A31" s="179" t="inlineStr">
        <is>
          <t>CMM</t>
        </is>
      </c>
      <c r="B31" s="179" t="inlineStr">
        <is>
          <t>VIGAS</t>
        </is>
      </c>
      <c r="C31" s="192" t="n">
        <v>46230</v>
      </c>
      <c r="D31" s="192" t="n">
        <v>46234</v>
      </c>
      <c r="E31" s="192" t="n">
        <v>46235</v>
      </c>
      <c r="F31" s="193" t="n">
        <v>2</v>
      </c>
      <c r="G31" s="194" t="n">
        <v>5</v>
      </c>
      <c r="H31" s="183">
        <f>F31*G31</f>
        <v/>
      </c>
      <c r="I31" s="183" t="n">
        <v>0</v>
      </c>
      <c r="J31" s="183">
        <f>IFERROR(H31+I31,"")</f>
        <v/>
      </c>
      <c r="K31" s="183">
        <f>IFERROR(J31/G31,"")</f>
        <v/>
      </c>
      <c r="L31" s="183" t="n">
        <v>0</v>
      </c>
      <c r="M31" s="183">
        <f>IF($B$3&lt;$E31,"",$L31-$J31)</f>
        <v/>
      </c>
      <c r="N31" s="183">
        <f>IF($B$3&lt;$C31,"FUTURA",IF($B$3&lt;=$D31,"EM ANDAMENTO",IF($B$3&lt;$E31,"AGUARDANDO CORTE",IF($M31&gt;=0,"META ATINGIDA","GAP A RECUPERAR"))))</f>
        <v/>
      </c>
      <c r="O31" s="184" t="n"/>
      <c r="P31" s="175" t="n"/>
    </row>
    <row r="32" hidden="1">
      <c r="A32" s="179" t="inlineStr">
        <is>
          <t>GLOBO AÇOS</t>
        </is>
      </c>
      <c r="B32" s="179" t="inlineStr">
        <is>
          <t>PERFILAÇÃO</t>
        </is>
      </c>
      <c r="C32" s="192" t="n">
        <v>46230</v>
      </c>
      <c r="D32" s="192" t="n">
        <v>46234</v>
      </c>
      <c r="E32" s="192" t="n">
        <v>46235</v>
      </c>
      <c r="F32" s="193" t="n">
        <v>0</v>
      </c>
      <c r="G32" s="194" t="n">
        <v>5</v>
      </c>
      <c r="H32" s="183">
        <f>F32*G32</f>
        <v/>
      </c>
      <c r="I32" s="183" t="n">
        <v>0</v>
      </c>
      <c r="J32" s="183">
        <f>IFERROR(H32+I32,"")</f>
        <v/>
      </c>
      <c r="K32" s="183">
        <f>IFERROR(J32/G32,"")</f>
        <v/>
      </c>
      <c r="L32" s="183">
        <f>IFERROR(SUM(INDEX('CONTROLE PRODUÇÃO POR EMPRESAS'!$H$6:$H$5000,MATCH(C32,'CONTROLE PRODUÇÃO POR EMPRESAS'!$A$6:$A$5000,0)):INDEX('CONTROLE PRODUÇÃO POR EMPRESAS'!$H$6:$H$5000,MATCH(D32,'CONTROLE PRODUÇÃO POR EMPRESAS'!$A$6:$A$5000,0))),0)</f>
        <v/>
      </c>
      <c r="M32" s="183">
        <f>IF($B$3&lt;$E32,"",$L32-$J32)</f>
        <v/>
      </c>
      <c r="N32" s="183">
        <f>IF($B$3&lt;$C32,"FUTURA",IF($B$3&lt;=$D32,"EM ANDAMENTO",IF($B$3&lt;$E32,"AGUARDANDO CORTE",IF($M32&gt;=0,"META ATINGIDA","GAP A RECUPERAR"))))</f>
        <v/>
      </c>
      <c r="O32" s="184" t="n"/>
      <c r="P32" s="175" t="n"/>
    </row>
    <row r="33" hidden="1">
      <c r="A33" s="179" t="inlineStr">
        <is>
          <t>GLOBO AÇOS</t>
        </is>
      </c>
      <c r="B33" s="179" t="inlineStr">
        <is>
          <t>TELHAR</t>
        </is>
      </c>
      <c r="C33" s="192" t="n">
        <v>46230</v>
      </c>
      <c r="D33" s="192" t="n">
        <v>46234</v>
      </c>
      <c r="E33" s="192" t="n">
        <v>46235</v>
      </c>
      <c r="F33" s="193" t="n">
        <v>0</v>
      </c>
      <c r="G33" s="194" t="n">
        <v>5</v>
      </c>
      <c r="H33" s="183">
        <f>F33*G33</f>
        <v/>
      </c>
      <c r="I33" s="183" t="n">
        <v>0</v>
      </c>
      <c r="J33" s="183">
        <f>IFERROR(H33+I33,"")</f>
        <v/>
      </c>
      <c r="K33" s="183">
        <f>IFERROR(J33/G33,"")</f>
        <v/>
      </c>
      <c r="L33" s="183">
        <f>IFERROR(SUM(INDEX('CONTROLE PRODUÇÃO POR EMPRESAS'!$I$6:$I$5000,MATCH(C33,'CONTROLE PRODUÇÃO POR EMPRESAS'!$A$6:$A$5000,0)):INDEX('CONTROLE PRODUÇÃO POR EMPRESAS'!$I$6:$I$5000,MATCH(D33,'CONTROLE PRODUÇÃO POR EMPRESAS'!$A$6:$A$5000,0))),0)</f>
        <v/>
      </c>
      <c r="M33" s="183">
        <f>IF($B$3&lt;$E33,"",$L33-$J33)</f>
        <v/>
      </c>
      <c r="N33" s="183">
        <f>IF($B$3&lt;$C33,"FUTURA",IF($B$3&lt;=$D33,"EM ANDAMENTO",IF($B$3&lt;$E33,"AGUARDANDO CORTE",IF($M33&gt;=0,"META ATINGIDA","GAP A RECUPERAR"))))</f>
        <v/>
      </c>
      <c r="O33" s="184" t="n"/>
      <c r="P33" s="175" t="n"/>
    </row>
    <row r="34" hidden="1">
      <c r="A34" s="179" t="inlineStr">
        <is>
          <t>GLOBO AÇOS</t>
        </is>
      </c>
      <c r="B34" s="179" t="inlineStr">
        <is>
          <t>FECHAMENTO</t>
        </is>
      </c>
      <c r="C34" s="192" t="n">
        <v>46230</v>
      </c>
      <c r="D34" s="192" t="n">
        <v>46234</v>
      </c>
      <c r="E34" s="192" t="n">
        <v>46235</v>
      </c>
      <c r="F34" s="193" t="n">
        <v>0</v>
      </c>
      <c r="G34" s="194" t="n">
        <v>5</v>
      </c>
      <c r="H34" s="183">
        <f>F34*G34</f>
        <v/>
      </c>
      <c r="I34" s="183" t="n">
        <v>0</v>
      </c>
      <c r="J34" s="183">
        <f>IFERROR(H34+I34,"")</f>
        <v/>
      </c>
      <c r="K34" s="183">
        <f>IFERROR(J34/G34,"")</f>
        <v/>
      </c>
      <c r="L34" s="183">
        <f>IFERROR(SUM(INDEX('CONTROLE PRODUÇÃO POR EMPRESAS'!$J$6:$J$5000,MATCH(C34,'CONTROLE PRODUÇÃO POR EMPRESAS'!$A$6:$A$5000,0)):INDEX('CONTROLE PRODUÇÃO POR EMPRESAS'!$J$6:$J$5000,MATCH(D34,'CONTROLE PRODUÇÃO POR EMPRESAS'!$A$6:$A$5000,0))),0)</f>
        <v/>
      </c>
      <c r="M34" s="183">
        <f>IF($B$3&lt;$E34,"",$L34-$J34)</f>
        <v/>
      </c>
      <c r="N34" s="183">
        <f>IF($B$3&lt;$C34,"FUTURA",IF($B$3&lt;=$D34,"EM ANDAMENTO",IF($B$3&lt;$E34,"AGUARDANDO CORTE",IF($M34&gt;=0,"META ATINGIDA","GAP A RECUPERAR"))))</f>
        <v/>
      </c>
      <c r="O34" s="184" t="n"/>
      <c r="P34" s="175" t="n"/>
    </row>
    <row r="35" hidden="1">
      <c r="A35" s="179" t="inlineStr">
        <is>
          <t>EJ</t>
        </is>
      </c>
      <c r="B35" s="179" t="inlineStr">
        <is>
          <t>PREMONTAGEM</t>
        </is>
      </c>
      <c r="C35" s="192" t="n">
        <v>46237</v>
      </c>
      <c r="D35" s="192" t="n">
        <v>46241</v>
      </c>
      <c r="E35" s="192" t="n">
        <v>46242</v>
      </c>
      <c r="F35" s="193" t="n">
        <v>6</v>
      </c>
      <c r="G35" s="194" t="n">
        <v>5</v>
      </c>
      <c r="H35" s="183">
        <f>F35*G35</f>
        <v/>
      </c>
      <c r="I35" s="183" t="n">
        <v>0</v>
      </c>
      <c r="J35" s="183">
        <f>IFERROR(H35+I35,"")</f>
        <v/>
      </c>
      <c r="K35" s="183">
        <f>IFERROR(J35/G35,"")</f>
        <v/>
      </c>
      <c r="L35" s="183" t="n">
        <v>4</v>
      </c>
      <c r="M35" s="183">
        <f>IF($B$3&lt;$E35,"",$L35-$J35)</f>
        <v/>
      </c>
      <c r="N35" s="183">
        <f>IF($B$3&lt;$C35,"FUTURA",IF($B$3&lt;=$D35,"EM ANDAMENTO",IF($B$3&lt;$E35,"AGUARDANDO CORTE",IF($M35&gt;=0,"META ATINGIDA","GAP A RECUPERAR"))))</f>
        <v/>
      </c>
      <c r="O35" s="184" t="n"/>
      <c r="P35" s="175" t="n"/>
    </row>
    <row r="36" hidden="1">
      <c r="A36" s="179" t="inlineStr">
        <is>
          <t>EJ</t>
        </is>
      </c>
      <c r="B36" s="179" t="inlineStr">
        <is>
          <t>IÇAMENTO JOIST</t>
        </is>
      </c>
      <c r="C36" s="192" t="n">
        <v>46237</v>
      </c>
      <c r="D36" s="192" t="n">
        <v>46241</v>
      </c>
      <c r="E36" s="192" t="n">
        <v>46242</v>
      </c>
      <c r="F36" s="193" t="n">
        <v>5</v>
      </c>
      <c r="G36" s="194" t="n">
        <v>5</v>
      </c>
      <c r="H36" s="183">
        <f>F36*G36</f>
        <v/>
      </c>
      <c r="I36" s="183" t="n">
        <v>0</v>
      </c>
      <c r="J36" s="183">
        <f>IFERROR(H36+I36,"")</f>
        <v/>
      </c>
      <c r="K36" s="183">
        <f>IFERROR(J36/G36,"")</f>
        <v/>
      </c>
      <c r="L36" s="183" t="n">
        <v>12</v>
      </c>
      <c r="M36" s="183">
        <f>IF($B$3&lt;$E36,"",$L36-$J36)</f>
        <v/>
      </c>
      <c r="N36" s="183">
        <f>IF($B$3&lt;$C36,"FUTURA",IF($B$3&lt;=$D36,"EM ANDAMENTO",IF($B$3&lt;$E36,"AGUARDANDO CORTE",IF($M36&gt;=0,"META ATINGIDA","GAP A RECUPERAR"))))</f>
        <v/>
      </c>
      <c r="O36" s="184" t="n"/>
      <c r="P36" s="175" t="n"/>
    </row>
    <row r="37" hidden="1">
      <c r="A37" s="179" t="inlineStr">
        <is>
          <t>EJ</t>
        </is>
      </c>
      <c r="B37" s="179" t="inlineStr">
        <is>
          <t>VIGAS</t>
        </is>
      </c>
      <c r="C37" s="192" t="n">
        <v>46237</v>
      </c>
      <c r="D37" s="192" t="n">
        <v>46241</v>
      </c>
      <c r="E37" s="192" t="n">
        <v>46242</v>
      </c>
      <c r="F37" s="193" t="n">
        <v>2</v>
      </c>
      <c r="G37" s="194" t="n">
        <v>5</v>
      </c>
      <c r="H37" s="183">
        <f>F37*G37</f>
        <v/>
      </c>
      <c r="I37" s="183" t="n">
        <v>0</v>
      </c>
      <c r="J37" s="183">
        <f>IFERROR(H37+I37,"")</f>
        <v/>
      </c>
      <c r="K37" s="183">
        <f>IFERROR(J37/G37,"")</f>
        <v/>
      </c>
      <c r="L37" s="183" t="n">
        <v>6</v>
      </c>
      <c r="M37" s="183">
        <f>IF($B$3&lt;$E37,"",$L37-$J37)</f>
        <v/>
      </c>
      <c r="N37" s="183">
        <f>IF($B$3&lt;$C37,"FUTURA",IF($B$3&lt;=$D37,"EM ANDAMENTO",IF($B$3&lt;$E37,"AGUARDANDO CORTE",IF($M37&gt;=0,"META ATINGIDA","GAP A RECUPERAR"))))</f>
        <v/>
      </c>
      <c r="O37" s="184" t="n"/>
      <c r="P37" s="175" t="n"/>
    </row>
    <row r="38" hidden="1">
      <c r="A38" s="179" t="inlineStr">
        <is>
          <t>CMM</t>
        </is>
      </c>
      <c r="B38" s="179" t="inlineStr">
        <is>
          <t>PREMONTAGEM</t>
        </is>
      </c>
      <c r="C38" s="192" t="n">
        <v>46237</v>
      </c>
      <c r="D38" s="192" t="n">
        <v>46241</v>
      </c>
      <c r="E38" s="192" t="n">
        <v>46242</v>
      </c>
      <c r="F38" s="193" t="n">
        <v>6</v>
      </c>
      <c r="G38" s="194" t="n">
        <v>5</v>
      </c>
      <c r="H38" s="183">
        <f>F38*G38</f>
        <v/>
      </c>
      <c r="I38" s="183" t="n">
        <v>0</v>
      </c>
      <c r="J38" s="183">
        <f>IFERROR(H38+I38,"")</f>
        <v/>
      </c>
      <c r="K38" s="183">
        <f>IFERROR(J38/G38,"")</f>
        <v/>
      </c>
      <c r="L38" s="183" t="n">
        <v>18</v>
      </c>
      <c r="M38" s="183">
        <f>IF($B$3&lt;$E38,"",$L38-$J38)</f>
        <v/>
      </c>
      <c r="N38" s="183">
        <f>IF($B$3&lt;$C38,"FUTURA",IF($B$3&lt;=$D38,"EM ANDAMENTO",IF($B$3&lt;$E38,"AGUARDANDO CORTE",IF($M38&gt;=0,"META ATINGIDA","GAP A RECUPERAR"))))</f>
        <v/>
      </c>
      <c r="O38" s="184" t="n"/>
      <c r="P38" s="175" t="n"/>
    </row>
    <row r="39" hidden="1">
      <c r="A39" s="179" t="inlineStr">
        <is>
          <t>CMM</t>
        </is>
      </c>
      <c r="B39" s="179" t="inlineStr">
        <is>
          <t>IÇAMENTO JOIST</t>
        </is>
      </c>
      <c r="C39" s="192" t="n">
        <v>46237</v>
      </c>
      <c r="D39" s="192" t="n">
        <v>46241</v>
      </c>
      <c r="E39" s="192" t="n">
        <v>46242</v>
      </c>
      <c r="F39" s="193" t="n">
        <v>5</v>
      </c>
      <c r="G39" s="194" t="n">
        <v>5</v>
      </c>
      <c r="H39" s="183">
        <f>F39*G39</f>
        <v/>
      </c>
      <c r="I39" s="183" t="n">
        <v>0</v>
      </c>
      <c r="J39" s="183">
        <f>IFERROR(H39+I39,"")</f>
        <v/>
      </c>
      <c r="K39" s="183">
        <f>IFERROR(J39/G39,"")</f>
        <v/>
      </c>
      <c r="L39" s="183" t="n">
        <v>0</v>
      </c>
      <c r="M39" s="183">
        <f>IF($B$3&lt;$E39,"",$L39-$J39)</f>
        <v/>
      </c>
      <c r="N39" s="183">
        <f>IF($B$3&lt;$C39,"FUTURA",IF($B$3&lt;=$D39,"EM ANDAMENTO",IF($B$3&lt;$E39,"AGUARDANDO CORTE",IF($M39&gt;=0,"META ATINGIDA","GAP A RECUPERAR"))))</f>
        <v/>
      </c>
      <c r="O39" s="184" t="n"/>
      <c r="P39" s="175" t="n"/>
    </row>
    <row r="40" hidden="1">
      <c r="A40" s="179" t="inlineStr">
        <is>
          <t>CMM</t>
        </is>
      </c>
      <c r="B40" s="179" t="inlineStr">
        <is>
          <t>VIGAS</t>
        </is>
      </c>
      <c r="C40" s="192" t="n">
        <v>46237</v>
      </c>
      <c r="D40" s="192" t="n">
        <v>46241</v>
      </c>
      <c r="E40" s="192" t="n">
        <v>46242</v>
      </c>
      <c r="F40" s="193" t="n">
        <v>2</v>
      </c>
      <c r="G40" s="194" t="n">
        <v>5</v>
      </c>
      <c r="H40" s="183">
        <f>F40*G40</f>
        <v/>
      </c>
      <c r="I40" s="183" t="n">
        <v>0</v>
      </c>
      <c r="J40" s="183">
        <f>IFERROR(H40+I40,"")</f>
        <v/>
      </c>
      <c r="K40" s="183">
        <f>IFERROR(J40/G40,"")</f>
        <v/>
      </c>
      <c r="L40" s="183" t="n">
        <v>0</v>
      </c>
      <c r="M40" s="183">
        <f>IF($B$3&lt;$E40,"",$L40-$J40)</f>
        <v/>
      </c>
      <c r="N40" s="183">
        <f>IF($B$3&lt;$C40,"FUTURA",IF($B$3&lt;=$D40,"EM ANDAMENTO",IF($B$3&lt;$E40,"AGUARDANDO CORTE",IF($M40&gt;=0,"META ATINGIDA","GAP A RECUPERAR"))))</f>
        <v/>
      </c>
      <c r="O40" s="184" t="n"/>
      <c r="P40" s="175" t="n"/>
    </row>
    <row r="41" hidden="1">
      <c r="A41" s="179" t="inlineStr">
        <is>
          <t>GLOBO AÇOS</t>
        </is>
      </c>
      <c r="B41" s="179" t="inlineStr">
        <is>
          <t>PERFILAÇÃO</t>
        </is>
      </c>
      <c r="C41" s="192" t="n">
        <v>46237</v>
      </c>
      <c r="D41" s="192" t="n">
        <v>46241</v>
      </c>
      <c r="E41" s="192" t="n">
        <v>46242</v>
      </c>
      <c r="F41" s="193" t="n">
        <v>0</v>
      </c>
      <c r="G41" s="194" t="n">
        <v>5</v>
      </c>
      <c r="H41" s="183">
        <f>F41*G41</f>
        <v/>
      </c>
      <c r="I41" s="183" t="n">
        <v>0</v>
      </c>
      <c r="J41" s="183">
        <f>IFERROR(H41+I41,"")</f>
        <v/>
      </c>
      <c r="K41" s="183">
        <f>IFERROR(J41/G41,"")</f>
        <v/>
      </c>
      <c r="L41" s="183">
        <f>IFERROR(SUM(INDEX('CONTROLE PRODUÇÃO POR EMPRESAS'!$H$6:$H$5000,MATCH(C41,'CONTROLE PRODUÇÃO POR EMPRESAS'!$A$6:$A$5000,0)):INDEX('CONTROLE PRODUÇÃO POR EMPRESAS'!$H$6:$H$5000,MATCH(D41,'CONTROLE PRODUÇÃO POR EMPRESAS'!$A$6:$A$5000,0))),0)</f>
        <v/>
      </c>
      <c r="M41" s="183">
        <f>IF($B$3&lt;$E41,"",$L41-$J41)</f>
        <v/>
      </c>
      <c r="N41" s="183">
        <f>IF($B$3&lt;$C41,"FUTURA",IF($B$3&lt;=$D41,"EM ANDAMENTO",IF($B$3&lt;$E41,"AGUARDANDO CORTE",IF($M41&gt;=0,"META ATINGIDA","GAP A RECUPERAR"))))</f>
        <v/>
      </c>
      <c r="O41" s="184" t="n"/>
      <c r="P41" s="175" t="n"/>
    </row>
    <row r="42" hidden="1">
      <c r="A42" s="179" t="inlineStr">
        <is>
          <t>GLOBO AÇOS</t>
        </is>
      </c>
      <c r="B42" s="179" t="inlineStr">
        <is>
          <t>TELHAR</t>
        </is>
      </c>
      <c r="C42" s="192" t="n">
        <v>46237</v>
      </c>
      <c r="D42" s="192" t="n">
        <v>46241</v>
      </c>
      <c r="E42" s="192" t="n">
        <v>46242</v>
      </c>
      <c r="F42" s="193" t="n">
        <v>0</v>
      </c>
      <c r="G42" s="194" t="n">
        <v>5</v>
      </c>
      <c r="H42" s="183">
        <f>F42*G42</f>
        <v/>
      </c>
      <c r="I42" s="183" t="n">
        <v>0</v>
      </c>
      <c r="J42" s="183">
        <f>IFERROR(H42+I42,"")</f>
        <v/>
      </c>
      <c r="K42" s="183">
        <f>IFERROR(J42/G42,"")</f>
        <v/>
      </c>
      <c r="L42" s="183">
        <f>IFERROR(SUM(INDEX('CONTROLE PRODUÇÃO POR EMPRESAS'!$I$6:$I$5000,MATCH(C42,'CONTROLE PRODUÇÃO POR EMPRESAS'!$A$6:$A$5000,0)):INDEX('CONTROLE PRODUÇÃO POR EMPRESAS'!$I$6:$I$5000,MATCH(D42,'CONTROLE PRODUÇÃO POR EMPRESAS'!$A$6:$A$5000,0))),0)</f>
        <v/>
      </c>
      <c r="M42" s="183">
        <f>IF($B$3&lt;$E42,"",$L42-$J42)</f>
        <v/>
      </c>
      <c r="N42" s="183">
        <f>IF($B$3&lt;$C42,"FUTURA",IF($B$3&lt;=$D42,"EM ANDAMENTO",IF($B$3&lt;$E42,"AGUARDANDO CORTE",IF($M42&gt;=0,"META ATINGIDA","GAP A RECUPERAR"))))</f>
        <v/>
      </c>
      <c r="O42" s="184" t="n"/>
      <c r="P42" s="175" t="n"/>
    </row>
    <row r="43" hidden="1">
      <c r="A43" s="179" t="inlineStr">
        <is>
          <t>GLOBO AÇOS</t>
        </is>
      </c>
      <c r="B43" s="179" t="inlineStr">
        <is>
          <t>FECHAMENTO</t>
        </is>
      </c>
      <c r="C43" s="192" t="n">
        <v>46237</v>
      </c>
      <c r="D43" s="192" t="n">
        <v>46241</v>
      </c>
      <c r="E43" s="192" t="n">
        <v>46242</v>
      </c>
      <c r="F43" s="193" t="n">
        <v>0</v>
      </c>
      <c r="G43" s="194" t="n">
        <v>5</v>
      </c>
      <c r="H43" s="183">
        <f>F43*G43</f>
        <v/>
      </c>
      <c r="I43" s="183" t="n">
        <v>0</v>
      </c>
      <c r="J43" s="183">
        <f>IFERROR(H43+I43,"")</f>
        <v/>
      </c>
      <c r="K43" s="183">
        <f>IFERROR(J43/G43,"")</f>
        <v/>
      </c>
      <c r="L43" s="183">
        <f>IFERROR(SUM(INDEX('CONTROLE PRODUÇÃO POR EMPRESAS'!$J$6:$J$5000,MATCH(C43,'CONTROLE PRODUÇÃO POR EMPRESAS'!$A$6:$A$5000,0)):INDEX('CONTROLE PRODUÇÃO POR EMPRESAS'!$J$6:$J$5000,MATCH(D43,'CONTROLE PRODUÇÃO POR EMPRESAS'!$A$6:$A$5000,0))),0)</f>
        <v/>
      </c>
      <c r="M43" s="183">
        <f>IF($B$3&lt;$E43,"",$L43-$J43)</f>
        <v/>
      </c>
      <c r="N43" s="183">
        <f>IF($B$3&lt;$C43,"FUTURA",IF($B$3&lt;=$D43,"EM ANDAMENTO",IF($B$3&lt;$E43,"AGUARDANDO CORTE",IF($M43&gt;=0,"META ATINGIDA","GAP A RECUPERAR"))))</f>
        <v/>
      </c>
      <c r="O43" s="184" t="n"/>
      <c r="P43" s="175" t="n"/>
    </row>
    <row r="44" hidden="1">
      <c r="A44" s="179" t="inlineStr">
        <is>
          <t>EJ</t>
        </is>
      </c>
      <c r="B44" s="179" t="inlineStr">
        <is>
          <t>PREMONTAGEM</t>
        </is>
      </c>
      <c r="C44" s="192" t="n">
        <v>46244</v>
      </c>
      <c r="D44" s="192" t="n">
        <v>46248</v>
      </c>
      <c r="E44" s="192" t="n">
        <v>46249</v>
      </c>
      <c r="F44" s="193" t="n">
        <v>6</v>
      </c>
      <c r="G44" s="194" t="n">
        <v>5</v>
      </c>
      <c r="H44" s="183">
        <f>F44*G44</f>
        <v/>
      </c>
      <c r="I44" s="183" t="n">
        <v>0</v>
      </c>
      <c r="J44" s="183">
        <f>IFERROR(H44+I44,"")</f>
        <v/>
      </c>
      <c r="K44" s="183">
        <f>IFERROR(J44/G44,"")</f>
        <v/>
      </c>
      <c r="L44" s="183" t="n">
        <v>0</v>
      </c>
      <c r="M44" s="183">
        <f>IF($B$3&lt;$E44,"",$L44-$J44)</f>
        <v/>
      </c>
      <c r="N44" s="183">
        <f>IF($B$3&lt;$C44,"FUTURA",IF($B$3&lt;=$D44,"EM ANDAMENTO",IF($B$3&lt;$E44,"AGUARDANDO CORTE",IF($M44&gt;=0,"META ATINGIDA","GAP A RECUPERAR"))))</f>
        <v/>
      </c>
      <c r="O44" s="184" t="n"/>
      <c r="P44" s="175" t="n"/>
    </row>
    <row r="45" hidden="1">
      <c r="A45" s="179" t="inlineStr">
        <is>
          <t>EJ</t>
        </is>
      </c>
      <c r="B45" s="179" t="inlineStr">
        <is>
          <t>IÇAMENTO JOIST</t>
        </is>
      </c>
      <c r="C45" s="192" t="n">
        <v>46244</v>
      </c>
      <c r="D45" s="192" t="n">
        <v>46248</v>
      </c>
      <c r="E45" s="192" t="n">
        <v>46249</v>
      </c>
      <c r="F45" s="193" t="n">
        <v>5</v>
      </c>
      <c r="G45" s="194" t="n">
        <v>5</v>
      </c>
      <c r="H45" s="183">
        <f>F45*G45</f>
        <v/>
      </c>
      <c r="I45" s="183" t="n">
        <v>0</v>
      </c>
      <c r="J45" s="183">
        <f>IFERROR(H45+I45,"")</f>
        <v/>
      </c>
      <c r="K45" s="183">
        <f>IFERROR(J45/G45,"")</f>
        <v/>
      </c>
      <c r="L45" s="183" t="n">
        <v>32</v>
      </c>
      <c r="M45" s="183">
        <f>IF($B$3&lt;$E45,"",$L45-$J45)</f>
        <v/>
      </c>
      <c r="N45" s="183">
        <f>IF($B$3&lt;$C45,"FUTURA",IF($B$3&lt;=$D45,"EM ANDAMENTO",IF($B$3&lt;$E45,"AGUARDANDO CORTE",IF($M45&gt;=0,"META ATINGIDA","GAP A RECUPERAR"))))</f>
        <v/>
      </c>
      <c r="O45" s="184" t="n"/>
      <c r="P45" s="175" t="n"/>
    </row>
    <row r="46" hidden="1">
      <c r="A46" s="179" t="inlineStr">
        <is>
          <t>EJ</t>
        </is>
      </c>
      <c r="B46" s="179" t="inlineStr">
        <is>
          <t>VIGAS</t>
        </is>
      </c>
      <c r="C46" s="192" t="n">
        <v>46244</v>
      </c>
      <c r="D46" s="192" t="n">
        <v>46248</v>
      </c>
      <c r="E46" s="192" t="n">
        <v>46249</v>
      </c>
      <c r="F46" s="193" t="n">
        <v>2</v>
      </c>
      <c r="G46" s="194" t="n">
        <v>5</v>
      </c>
      <c r="H46" s="183">
        <f>F46*G46</f>
        <v/>
      </c>
      <c r="I46" s="183" t="n">
        <v>0</v>
      </c>
      <c r="J46" s="183">
        <f>IFERROR(H46+I46,"")</f>
        <v/>
      </c>
      <c r="K46" s="183">
        <f>IFERROR(J46/G46,"")</f>
        <v/>
      </c>
      <c r="L46" s="183" t="n">
        <v>14</v>
      </c>
      <c r="M46" s="183">
        <f>IF($B$3&lt;$E46,"",$L46-$J46)</f>
        <v/>
      </c>
      <c r="N46" s="183">
        <f>IF($B$3&lt;$C46,"FUTURA",IF($B$3&lt;=$D46,"EM ANDAMENTO",IF($B$3&lt;$E46,"AGUARDANDO CORTE",IF($M46&gt;=0,"META ATINGIDA","GAP A RECUPERAR"))))</f>
        <v/>
      </c>
      <c r="O46" s="184" t="n"/>
      <c r="P46" s="175" t="n"/>
    </row>
    <row r="47" hidden="1">
      <c r="A47" s="179" t="inlineStr">
        <is>
          <t>CMM</t>
        </is>
      </c>
      <c r="B47" s="179" t="inlineStr">
        <is>
          <t>PREMONTAGEM</t>
        </is>
      </c>
      <c r="C47" s="192" t="n">
        <v>46244</v>
      </c>
      <c r="D47" s="192" t="n">
        <v>46248</v>
      </c>
      <c r="E47" s="192" t="n">
        <v>46249</v>
      </c>
      <c r="F47" s="193" t="n">
        <v>6</v>
      </c>
      <c r="G47" s="194" t="n">
        <v>5</v>
      </c>
      <c r="H47" s="183">
        <f>F47*G47</f>
        <v/>
      </c>
      <c r="I47" s="183" t="n">
        <v>0</v>
      </c>
      <c r="J47" s="183">
        <f>IFERROR(H47+I47,"")</f>
        <v/>
      </c>
      <c r="K47" s="183">
        <f>IFERROR(J47/G47,"")</f>
        <v/>
      </c>
      <c r="L47" s="183" t="n">
        <v>26</v>
      </c>
      <c r="M47" s="183">
        <f>IF($B$3&lt;$E47,"",$L47-$J47)</f>
        <v/>
      </c>
      <c r="N47" s="183">
        <f>IF($B$3&lt;$C47,"FUTURA",IF($B$3&lt;=$D47,"EM ANDAMENTO",IF($B$3&lt;$E47,"AGUARDANDO CORTE",IF($M47&gt;=0,"META ATINGIDA","GAP A RECUPERAR"))))</f>
        <v/>
      </c>
      <c r="O47" s="184" t="n"/>
      <c r="P47" s="175" t="n"/>
    </row>
    <row r="48" hidden="1">
      <c r="A48" s="179" t="inlineStr">
        <is>
          <t>CMM</t>
        </is>
      </c>
      <c r="B48" s="179" t="inlineStr">
        <is>
          <t>IÇAMENTO JOIST</t>
        </is>
      </c>
      <c r="C48" s="192" t="n">
        <v>46244</v>
      </c>
      <c r="D48" s="192" t="n">
        <v>46248</v>
      </c>
      <c r="E48" s="192" t="n">
        <v>46249</v>
      </c>
      <c r="F48" s="193" t="n">
        <v>5</v>
      </c>
      <c r="G48" s="194" t="n">
        <v>5</v>
      </c>
      <c r="H48" s="183">
        <f>F48*G48</f>
        <v/>
      </c>
      <c r="I48" s="183" t="n">
        <v>0</v>
      </c>
      <c r="J48" s="183">
        <f>IFERROR(H48+I48,"")</f>
        <v/>
      </c>
      <c r="K48" s="183">
        <f>IFERROR(J48/G48,"")</f>
        <v/>
      </c>
      <c r="L48" s="183" t="n">
        <v>0</v>
      </c>
      <c r="M48" s="183">
        <f>IF($B$3&lt;$E48,"",$L48-$J48)</f>
        <v/>
      </c>
      <c r="N48" s="183">
        <f>IF($B$3&lt;$C48,"FUTURA",IF($B$3&lt;=$D48,"EM ANDAMENTO",IF($B$3&lt;$E48,"AGUARDANDO CORTE",IF($M48&gt;=0,"META ATINGIDA","GAP A RECUPERAR"))))</f>
        <v/>
      </c>
      <c r="O48" s="184" t="n"/>
      <c r="P48" s="175" t="n"/>
    </row>
    <row r="49" hidden="1">
      <c r="A49" s="179" t="inlineStr">
        <is>
          <t>CMM</t>
        </is>
      </c>
      <c r="B49" s="179" t="inlineStr">
        <is>
          <t>VIGAS</t>
        </is>
      </c>
      <c r="C49" s="192" t="n">
        <v>46244</v>
      </c>
      <c r="D49" s="192" t="n">
        <v>46248</v>
      </c>
      <c r="E49" s="192" t="n">
        <v>46249</v>
      </c>
      <c r="F49" s="193" t="n">
        <v>2</v>
      </c>
      <c r="G49" s="194" t="n">
        <v>5</v>
      </c>
      <c r="H49" s="183">
        <f>F49*G49</f>
        <v/>
      </c>
      <c r="I49" s="183" t="n">
        <v>0</v>
      </c>
      <c r="J49" s="183">
        <f>IFERROR(H49+I49,"")</f>
        <v/>
      </c>
      <c r="K49" s="183">
        <f>IFERROR(J49/G49,"")</f>
        <v/>
      </c>
      <c r="L49" s="183" t="n">
        <v>0</v>
      </c>
      <c r="M49" s="183">
        <f>IF($B$3&lt;$E49,"",$L49-$J49)</f>
        <v/>
      </c>
      <c r="N49" s="183">
        <f>IF($B$3&lt;$C49,"FUTURA",IF($B$3&lt;=$D49,"EM ANDAMENTO",IF($B$3&lt;$E49,"AGUARDANDO CORTE",IF($M49&gt;=0,"META ATINGIDA","GAP A RECUPERAR"))))</f>
        <v/>
      </c>
      <c r="O49" s="184" t="n"/>
      <c r="P49" s="175" t="n"/>
    </row>
    <row r="50" hidden="1">
      <c r="A50" s="179" t="inlineStr">
        <is>
          <t>GLOBO AÇOS</t>
        </is>
      </c>
      <c r="B50" s="179" t="inlineStr">
        <is>
          <t>PERFILAÇÃO</t>
        </is>
      </c>
      <c r="C50" s="192" t="n">
        <v>46244</v>
      </c>
      <c r="D50" s="192" t="n">
        <v>46248</v>
      </c>
      <c r="E50" s="192" t="n">
        <v>46249</v>
      </c>
      <c r="F50" s="193" t="n">
        <v>0</v>
      </c>
      <c r="G50" s="194" t="n">
        <v>5</v>
      </c>
      <c r="H50" s="183">
        <f>F50*G50</f>
        <v/>
      </c>
      <c r="I50" s="183" t="n">
        <v>0</v>
      </c>
      <c r="J50" s="183">
        <f>IFERROR(H50+I50,"")</f>
        <v/>
      </c>
      <c r="K50" s="183">
        <f>IFERROR(J50/G50,"")</f>
        <v/>
      </c>
      <c r="L50" s="183">
        <f>IFERROR(SUM(INDEX('CONTROLE PRODUÇÃO POR EMPRESAS'!$H$6:$H$5000,MATCH(C50,'CONTROLE PRODUÇÃO POR EMPRESAS'!$A$6:$A$5000,0)):INDEX('CONTROLE PRODUÇÃO POR EMPRESAS'!$H$6:$H$5000,MATCH(D50,'CONTROLE PRODUÇÃO POR EMPRESAS'!$A$6:$A$5000,0))),0)</f>
        <v/>
      </c>
      <c r="M50" s="183">
        <f>IF($B$3&lt;$E50,"",$L50-$J50)</f>
        <v/>
      </c>
      <c r="N50" s="183">
        <f>IF($B$3&lt;$C50,"FUTURA",IF($B$3&lt;=$D50,"EM ANDAMENTO",IF($B$3&lt;$E50,"AGUARDANDO CORTE",IF($M50&gt;=0,"META ATINGIDA","GAP A RECUPERAR"))))</f>
        <v/>
      </c>
      <c r="O50" s="184" t="n"/>
      <c r="P50" s="175" t="n"/>
    </row>
    <row r="51" hidden="1">
      <c r="A51" s="179" t="inlineStr">
        <is>
          <t>GLOBO AÇOS</t>
        </is>
      </c>
      <c r="B51" s="179" t="inlineStr">
        <is>
          <t>TELHAR</t>
        </is>
      </c>
      <c r="C51" s="192" t="n">
        <v>46244</v>
      </c>
      <c r="D51" s="192" t="n">
        <v>46248</v>
      </c>
      <c r="E51" s="192" t="n">
        <v>46249</v>
      </c>
      <c r="F51" s="193" t="n">
        <v>0</v>
      </c>
      <c r="G51" s="194" t="n">
        <v>5</v>
      </c>
      <c r="H51" s="183">
        <f>F51*G51</f>
        <v/>
      </c>
      <c r="I51" s="183" t="n">
        <v>0</v>
      </c>
      <c r="J51" s="183">
        <f>IFERROR(H51+I51,"")</f>
        <v/>
      </c>
      <c r="K51" s="183">
        <f>IFERROR(J51/G51,"")</f>
        <v/>
      </c>
      <c r="L51" s="183">
        <f>IFERROR(SUM(INDEX('CONTROLE PRODUÇÃO POR EMPRESAS'!$I$6:$I$5000,MATCH(C51,'CONTROLE PRODUÇÃO POR EMPRESAS'!$A$6:$A$5000,0)):INDEX('CONTROLE PRODUÇÃO POR EMPRESAS'!$I$6:$I$5000,MATCH(D51,'CONTROLE PRODUÇÃO POR EMPRESAS'!$A$6:$A$5000,0))),0)</f>
        <v/>
      </c>
      <c r="M51" s="183">
        <f>IF($B$3&lt;$E51,"",$L51-$J51)</f>
        <v/>
      </c>
      <c r="N51" s="183">
        <f>IF($B$3&lt;$C51,"FUTURA",IF($B$3&lt;=$D51,"EM ANDAMENTO",IF($B$3&lt;$E51,"AGUARDANDO CORTE",IF($M51&gt;=0,"META ATINGIDA","GAP A RECUPERAR"))))</f>
        <v/>
      </c>
      <c r="O51" s="184" t="n"/>
      <c r="P51" s="175" t="n"/>
    </row>
    <row r="52" hidden="1">
      <c r="A52" s="179" t="inlineStr">
        <is>
          <t>GLOBO AÇOS</t>
        </is>
      </c>
      <c r="B52" s="179" t="inlineStr">
        <is>
          <t>FECHAMENTO</t>
        </is>
      </c>
      <c r="C52" s="192" t="n">
        <v>46244</v>
      </c>
      <c r="D52" s="192" t="n">
        <v>46248</v>
      </c>
      <c r="E52" s="192" t="n">
        <v>46249</v>
      </c>
      <c r="F52" s="193" t="n">
        <v>0</v>
      </c>
      <c r="G52" s="194" t="n">
        <v>5</v>
      </c>
      <c r="H52" s="183">
        <f>F52*G52</f>
        <v/>
      </c>
      <c r="I52" s="183" t="n">
        <v>0</v>
      </c>
      <c r="J52" s="183">
        <f>IFERROR(H52+I52,"")</f>
        <v/>
      </c>
      <c r="K52" s="183">
        <f>IFERROR(J52/G52,"")</f>
        <v/>
      </c>
      <c r="L52" s="183">
        <f>IFERROR(SUM(INDEX('CONTROLE PRODUÇÃO POR EMPRESAS'!$J$6:$J$5000,MATCH(C52,'CONTROLE PRODUÇÃO POR EMPRESAS'!$A$6:$A$5000,0)):INDEX('CONTROLE PRODUÇÃO POR EMPRESAS'!$J$6:$J$5000,MATCH(D52,'CONTROLE PRODUÇÃO POR EMPRESAS'!$A$6:$A$5000,0))),0)</f>
        <v/>
      </c>
      <c r="M52" s="183">
        <f>IF($B$3&lt;$E52,"",$L52-$J52)</f>
        <v/>
      </c>
      <c r="N52" s="183">
        <f>IF($B$3&lt;$C52,"FUTURA",IF($B$3&lt;=$D52,"EM ANDAMENTO",IF($B$3&lt;$E52,"AGUARDANDO CORTE",IF($M52&gt;=0,"META ATINGIDA","GAP A RECUPERAR"))))</f>
        <v/>
      </c>
      <c r="O52" s="184" t="n"/>
      <c r="P52" s="175" t="n"/>
    </row>
    <row r="53" hidden="1">
      <c r="A53" s="179" t="inlineStr">
        <is>
          <t>EJ</t>
        </is>
      </c>
      <c r="B53" s="179" t="inlineStr">
        <is>
          <t>PREMONTAGEM</t>
        </is>
      </c>
      <c r="C53" s="192" t="n">
        <v>46251</v>
      </c>
      <c r="D53" s="192" t="n">
        <v>46255</v>
      </c>
      <c r="E53" s="192" t="n">
        <v>46256</v>
      </c>
      <c r="F53" s="193" t="n">
        <v>6</v>
      </c>
      <c r="G53" s="194" t="n">
        <v>5</v>
      </c>
      <c r="H53" s="183">
        <f>F53*G53</f>
        <v/>
      </c>
      <c r="I53" s="183" t="n">
        <v>0</v>
      </c>
      <c r="J53" s="183">
        <f>IFERROR(H53+I53,"")</f>
        <v/>
      </c>
      <c r="K53" s="183">
        <f>IFERROR(J53/G53,"")</f>
        <v/>
      </c>
      <c r="L53" s="183" t="n">
        <v>11</v>
      </c>
      <c r="M53" s="183">
        <f>IF($B$3&lt;$E53,"",$L53-$J53)</f>
        <v/>
      </c>
      <c r="N53" s="183">
        <f>IF($B$3&lt;$C53,"FUTURA",IF($B$3&lt;=$D53,"EM ANDAMENTO",IF($B$3&lt;$E53,"AGUARDANDO CORTE",IF($M53&gt;=0,"META ATINGIDA","GAP A RECUPERAR"))))</f>
        <v/>
      </c>
      <c r="O53" s="184" t="n"/>
      <c r="P53" s="175" t="n"/>
    </row>
    <row r="54" hidden="1">
      <c r="A54" s="179" t="inlineStr">
        <is>
          <t>EJ</t>
        </is>
      </c>
      <c r="B54" s="179" t="inlineStr">
        <is>
          <t>IÇAMENTO JOIST</t>
        </is>
      </c>
      <c r="C54" s="192" t="n">
        <v>46251</v>
      </c>
      <c r="D54" s="192" t="n">
        <v>46255</v>
      </c>
      <c r="E54" s="192" t="n">
        <v>46256</v>
      </c>
      <c r="F54" s="193" t="n">
        <v>5</v>
      </c>
      <c r="G54" s="194" t="n">
        <v>5</v>
      </c>
      <c r="H54" s="183">
        <f>F54*G54</f>
        <v/>
      </c>
      <c r="I54" s="183" t="n">
        <v>0</v>
      </c>
      <c r="J54" s="183">
        <f>IFERROR(H54+I54,"")</f>
        <v/>
      </c>
      <c r="K54" s="183">
        <f>IFERROR(J54/G54,"")</f>
        <v/>
      </c>
      <c r="L54" s="183" t="n">
        <v>0</v>
      </c>
      <c r="M54" s="183">
        <f>IF($B$3&lt;$E54,"",$L54-$J54)</f>
        <v/>
      </c>
      <c r="N54" s="183">
        <f>IF($B$3&lt;$C54,"FUTURA",IF($B$3&lt;=$D54,"EM ANDAMENTO",IF($B$3&lt;$E54,"AGUARDANDO CORTE",IF($M54&gt;=0,"META ATINGIDA","GAP A RECUPERAR"))))</f>
        <v/>
      </c>
      <c r="O54" s="184" t="n"/>
      <c r="P54" s="175" t="n"/>
    </row>
    <row r="55" hidden="1">
      <c r="A55" s="179" t="inlineStr">
        <is>
          <t>EJ</t>
        </is>
      </c>
      <c r="B55" s="179" t="inlineStr">
        <is>
          <t>VIGAS</t>
        </is>
      </c>
      <c r="C55" s="192" t="n">
        <v>46251</v>
      </c>
      <c r="D55" s="192" t="n">
        <v>46255</v>
      </c>
      <c r="E55" s="192" t="n">
        <v>46256</v>
      </c>
      <c r="F55" s="193" t="n">
        <v>2</v>
      </c>
      <c r="G55" s="194" t="n">
        <v>5</v>
      </c>
      <c r="H55" s="183">
        <f>F55*G55</f>
        <v/>
      </c>
      <c r="I55" s="183" t="n">
        <v>0</v>
      </c>
      <c r="J55" s="183">
        <f>IFERROR(H55+I55,"")</f>
        <v/>
      </c>
      <c r="K55" s="183">
        <f>IFERROR(J55/G55,"")</f>
        <v/>
      </c>
      <c r="L55" s="183" t="n">
        <v>0</v>
      </c>
      <c r="M55" s="183">
        <f>IF($B$3&lt;$E55,"",$L55-$J55)</f>
        <v/>
      </c>
      <c r="N55" s="183">
        <f>IF($B$3&lt;$C55,"FUTURA",IF($B$3&lt;=$D55,"EM ANDAMENTO",IF($B$3&lt;$E55,"AGUARDANDO CORTE",IF($M55&gt;=0,"META ATINGIDA","GAP A RECUPERAR"))))</f>
        <v/>
      </c>
      <c r="O55" s="184" t="n"/>
      <c r="P55" s="175" t="n"/>
    </row>
    <row r="56" hidden="1">
      <c r="A56" s="179" t="inlineStr">
        <is>
          <t>CMM</t>
        </is>
      </c>
      <c r="B56" s="179" t="inlineStr">
        <is>
          <t>PREMONTAGEM</t>
        </is>
      </c>
      <c r="C56" s="192" t="n">
        <v>46251</v>
      </c>
      <c r="D56" s="192" t="n">
        <v>46255</v>
      </c>
      <c r="E56" s="192" t="n">
        <v>46256</v>
      </c>
      <c r="F56" s="193" t="n">
        <v>6</v>
      </c>
      <c r="G56" s="194" t="n">
        <v>5</v>
      </c>
      <c r="H56" s="183">
        <f>F56*G56</f>
        <v/>
      </c>
      <c r="I56" s="183" t="n">
        <v>0</v>
      </c>
      <c r="J56" s="183">
        <f>IFERROR(H56+I56,"")</f>
        <v/>
      </c>
      <c r="K56" s="183">
        <f>IFERROR(J56/G56,"")</f>
        <v/>
      </c>
      <c r="L56" s="183" t="n">
        <v>21</v>
      </c>
      <c r="M56" s="183">
        <f>IF($B$3&lt;$E56,"",$L56-$J56)</f>
        <v/>
      </c>
      <c r="N56" s="183">
        <f>IF($B$3&lt;$C56,"FUTURA",IF($B$3&lt;=$D56,"EM ANDAMENTO",IF($B$3&lt;$E56,"AGUARDANDO CORTE",IF($M56&gt;=0,"META ATINGIDA","GAP A RECUPERAR"))))</f>
        <v/>
      </c>
      <c r="O56" s="184" t="n"/>
      <c r="P56" s="175" t="n"/>
    </row>
    <row r="57">
      <c r="A57" s="179" t="inlineStr">
        <is>
          <t>CMM</t>
        </is>
      </c>
      <c r="B57" s="179" t="inlineStr">
        <is>
          <t>IÇAMENTO JOIST</t>
        </is>
      </c>
      <c r="C57" s="192" t="n">
        <v>46251</v>
      </c>
      <c r="D57" s="192" t="n">
        <v>46255</v>
      </c>
      <c r="E57" s="192" t="n">
        <v>46256</v>
      </c>
      <c r="F57" s="193" t="n">
        <v>5</v>
      </c>
      <c r="G57" s="194" t="n">
        <v>5</v>
      </c>
      <c r="H57" s="183">
        <f>F57*G57</f>
        <v/>
      </c>
      <c r="I57" s="183" t="n">
        <v>0</v>
      </c>
      <c r="J57" s="183">
        <f>IFERROR(H57+I57,"")</f>
        <v/>
      </c>
      <c r="K57" s="183">
        <f>IFERROR(J57/G57,"")</f>
        <v/>
      </c>
      <c r="L57" s="183" t="n">
        <v>3</v>
      </c>
      <c r="M57" s="183">
        <f>IF($B$3&lt;$E57,"",$L57-$J57)</f>
        <v/>
      </c>
      <c r="N57" s="183">
        <f>IF($B$3&lt;$C57,"FUTURA",IF($B$3&lt;=$D57,"EM ANDAMENTO",IF($B$3&lt;$E57,"AGUARDANDO CORTE",IF($M57&gt;=0,"META ATINGIDA","GAP A RECUPERAR"))))</f>
        <v/>
      </c>
      <c r="O57" s="184" t="n"/>
      <c r="P57" s="175" t="n"/>
    </row>
    <row r="58">
      <c r="A58" s="179" t="inlineStr">
        <is>
          <t>CMM</t>
        </is>
      </c>
      <c r="B58" s="179" t="inlineStr">
        <is>
          <t>VIGAS</t>
        </is>
      </c>
      <c r="C58" s="192" t="n">
        <v>46251</v>
      </c>
      <c r="D58" s="192" t="n">
        <v>46255</v>
      </c>
      <c r="E58" s="192" t="n">
        <v>46256</v>
      </c>
      <c r="F58" s="193" t="n">
        <v>2</v>
      </c>
      <c r="G58" s="194" t="n">
        <v>5</v>
      </c>
      <c r="H58" s="183">
        <f>F58*G58</f>
        <v/>
      </c>
      <c r="I58" s="183" t="n">
        <v>0</v>
      </c>
      <c r="J58" s="183">
        <f>IFERROR(H58+I58,"")</f>
        <v/>
      </c>
      <c r="K58" s="183">
        <f>IFERROR(J58/G58,"")</f>
        <v/>
      </c>
      <c r="L58" s="183" t="n">
        <v>0</v>
      </c>
      <c r="M58" s="183">
        <f>IF($B$3&lt;$E58,"",$L58-$J58)</f>
        <v/>
      </c>
      <c r="N58" s="183">
        <f>IF($B$3&lt;$C58,"FUTURA",IF($B$3&lt;=$D58,"EM ANDAMENTO",IF($B$3&lt;$E58,"AGUARDANDO CORTE",IF($M58&gt;=0,"META ATINGIDA","GAP A RECUPERAR"))))</f>
        <v/>
      </c>
      <c r="O58" s="184" t="n"/>
      <c r="P58" s="175" t="n"/>
    </row>
    <row r="59">
      <c r="A59" s="179" t="inlineStr">
        <is>
          <t>GLOBO AÇOS</t>
        </is>
      </c>
      <c r="B59" s="179" t="inlineStr">
        <is>
          <t>PERFILAÇÃO</t>
        </is>
      </c>
      <c r="C59" s="192" t="n">
        <v>46251</v>
      </c>
      <c r="D59" s="192" t="n">
        <v>46255</v>
      </c>
      <c r="E59" s="192" t="n">
        <v>46256</v>
      </c>
      <c r="F59" s="193" t="n">
        <v>0</v>
      </c>
      <c r="G59" s="194" t="n">
        <v>5</v>
      </c>
      <c r="H59" s="183">
        <f>F59*G59</f>
        <v/>
      </c>
      <c r="I59" s="183" t="n">
        <v>0</v>
      </c>
      <c r="J59" s="183">
        <f>IFERROR(H59+I59,"")</f>
        <v/>
      </c>
      <c r="K59" s="183">
        <f>IFERROR(J59/G59,"")</f>
        <v/>
      </c>
      <c r="L59" s="183">
        <f>IFERROR(SUM(INDEX('CONTROLE PRODUÇÃO POR EMPRESAS'!$H$6:$H$5000,MATCH(C59,'CONTROLE PRODUÇÃO POR EMPRESAS'!$A$6:$A$5000,0)):INDEX('CONTROLE PRODUÇÃO POR EMPRESAS'!$H$6:$H$5000,MATCH(D59,'CONTROLE PRODUÇÃO POR EMPRESAS'!$A$6:$A$5000,0))),0)</f>
        <v/>
      </c>
      <c r="M59" s="183">
        <f>IF($B$3&lt;$E59,"",$L59-$J59)</f>
        <v/>
      </c>
      <c r="N59" s="183">
        <f>IF($B$3&lt;$C59,"FUTURA",IF($B$3&lt;=$D59,"EM ANDAMENTO",IF($B$3&lt;$E59,"AGUARDANDO CORTE",IF($M59&gt;=0,"META ATINGIDA","GAP A RECUPERAR"))))</f>
        <v/>
      </c>
      <c r="O59" s="184" t="n"/>
      <c r="P59" s="175" t="n"/>
    </row>
    <row r="60">
      <c r="A60" s="179" t="inlineStr">
        <is>
          <t>GLOBO AÇOS</t>
        </is>
      </c>
      <c r="B60" s="179" t="inlineStr">
        <is>
          <t>TELHAR</t>
        </is>
      </c>
      <c r="C60" s="192" t="n">
        <v>46251</v>
      </c>
      <c r="D60" s="192" t="n">
        <v>46255</v>
      </c>
      <c r="E60" s="192" t="n">
        <v>46256</v>
      </c>
      <c r="F60" s="193" t="n">
        <v>0</v>
      </c>
      <c r="G60" s="194" t="n">
        <v>5</v>
      </c>
      <c r="H60" s="183">
        <f>F60*G60</f>
        <v/>
      </c>
      <c r="I60" s="183" t="n">
        <v>0</v>
      </c>
      <c r="J60" s="183">
        <f>IFERROR(H60+I60,"")</f>
        <v/>
      </c>
      <c r="K60" s="183">
        <f>IFERROR(J60/G60,"")</f>
        <v/>
      </c>
      <c r="L60" s="183">
        <f>IFERROR(SUM(INDEX('CONTROLE PRODUÇÃO POR EMPRESAS'!$I$6:$I$5000,MATCH(C60,'CONTROLE PRODUÇÃO POR EMPRESAS'!$A$6:$A$5000,0)):INDEX('CONTROLE PRODUÇÃO POR EMPRESAS'!$I$6:$I$5000,MATCH(D60,'CONTROLE PRODUÇÃO POR EMPRESAS'!$A$6:$A$5000,0))),0)</f>
        <v/>
      </c>
      <c r="M60" s="183">
        <f>IF($B$3&lt;$E60,"",$L60-$J60)</f>
        <v/>
      </c>
      <c r="N60" s="183">
        <f>IF($B$3&lt;$C60,"FUTURA",IF($B$3&lt;=$D60,"EM ANDAMENTO",IF($B$3&lt;$E60,"AGUARDANDO CORTE",IF($M60&gt;=0,"META ATINGIDA","GAP A RECUPERAR"))))</f>
        <v/>
      </c>
      <c r="O60" s="184" t="n"/>
      <c r="P60" s="175" t="n"/>
    </row>
    <row r="61">
      <c r="A61" s="179" t="inlineStr">
        <is>
          <t>GLOBO AÇOS</t>
        </is>
      </c>
      <c r="B61" s="179" t="inlineStr">
        <is>
          <t>FECHAMENTO</t>
        </is>
      </c>
      <c r="C61" s="192" t="n">
        <v>46251</v>
      </c>
      <c r="D61" s="192" t="n">
        <v>46255</v>
      </c>
      <c r="E61" s="192" t="n">
        <v>46256</v>
      </c>
      <c r="F61" s="193" t="n">
        <v>0</v>
      </c>
      <c r="G61" s="194" t="n">
        <v>5</v>
      </c>
      <c r="H61" s="183">
        <f>F61*G61</f>
        <v/>
      </c>
      <c r="I61" s="183" t="n">
        <v>0</v>
      </c>
      <c r="J61" s="183">
        <f>IFERROR(H61+I61,"")</f>
        <v/>
      </c>
      <c r="K61" s="183">
        <f>IFERROR(J61/G61,"")</f>
        <v/>
      </c>
      <c r="L61" s="183">
        <f>IFERROR(SUM(INDEX('CONTROLE PRODUÇÃO POR EMPRESAS'!$J$6:$J$5000,MATCH(C61,'CONTROLE PRODUÇÃO POR EMPRESAS'!$A$6:$A$5000,0)):INDEX('CONTROLE PRODUÇÃO POR EMPRESAS'!$J$6:$J$5000,MATCH(D61,'CONTROLE PRODUÇÃO POR EMPRESAS'!$A$6:$A$5000,0))),0)</f>
        <v/>
      </c>
      <c r="M61" s="183">
        <f>IF($B$3&lt;$E61,"",$L61-$J61)</f>
        <v/>
      </c>
      <c r="N61" s="183">
        <f>IF($B$3&lt;$C61,"FUTURA",IF($B$3&lt;=$D61,"EM ANDAMENTO",IF($B$3&lt;$E61,"AGUARDANDO CORTE",IF($M61&gt;=0,"META ATINGIDA","GAP A RECUPERAR"))))</f>
        <v/>
      </c>
      <c r="O61" s="184" t="n"/>
      <c r="P61" s="175" t="n"/>
    </row>
    <row r="62">
      <c r="A62" s="179" t="inlineStr">
        <is>
          <t>EJ</t>
        </is>
      </c>
      <c r="B62" s="179" t="inlineStr">
        <is>
          <t>PREMONTAGEM</t>
        </is>
      </c>
      <c r="C62" s="192" t="n">
        <v>46258</v>
      </c>
      <c r="D62" s="192" t="n">
        <v>46262</v>
      </c>
      <c r="E62" s="192" t="n">
        <v>46263</v>
      </c>
      <c r="F62" s="193" t="n">
        <v>6</v>
      </c>
      <c r="G62" s="194" t="n">
        <v>5</v>
      </c>
      <c r="H62" s="183">
        <f>F62*G62</f>
        <v/>
      </c>
      <c r="I62" s="183" t="n">
        <v>0</v>
      </c>
      <c r="J62" s="183">
        <f>IFERROR(H62+I62,"")</f>
        <v/>
      </c>
      <c r="K62" s="183">
        <f>IFERROR(J62/G62,"")</f>
        <v/>
      </c>
      <c r="L62" s="183" t="n">
        <v>16</v>
      </c>
      <c r="M62" s="183">
        <f>IF($B$3&lt;$E62,"",$L62-$J62)</f>
        <v/>
      </c>
      <c r="N62" s="183">
        <f>IF($B$3&lt;$C62,"FUTURA",IF($B$3&lt;=$D62,"EM ANDAMENTO",IF($B$3&lt;$E62,"AGUARDANDO CORTE",IF($M62&gt;=0,"META ATINGIDA","GAP A RECUPERAR"))))</f>
        <v/>
      </c>
      <c r="O62" s="184" t="n"/>
      <c r="P62" s="175" t="n"/>
    </row>
    <row r="63">
      <c r="A63" s="179" t="inlineStr">
        <is>
          <t>EJ</t>
        </is>
      </c>
      <c r="B63" s="179" t="inlineStr">
        <is>
          <t>IÇAMENTO JOIST</t>
        </is>
      </c>
      <c r="C63" s="192" t="n">
        <v>46258</v>
      </c>
      <c r="D63" s="192" t="n">
        <v>46262</v>
      </c>
      <c r="E63" s="192" t="n">
        <v>46263</v>
      </c>
      <c r="F63" s="193" t="n">
        <v>5</v>
      </c>
      <c r="G63" s="194" t="n">
        <v>5</v>
      </c>
      <c r="H63" s="183">
        <f>F63*G63</f>
        <v/>
      </c>
      <c r="I63" s="183" t="n">
        <v>0</v>
      </c>
      <c r="J63" s="183">
        <f>IFERROR(H63+I63,"")</f>
        <v/>
      </c>
      <c r="K63" s="183">
        <f>IFERROR(J63/G63,"")</f>
        <v/>
      </c>
      <c r="L63" s="183" t="n">
        <v>19</v>
      </c>
      <c r="M63" s="183">
        <f>IF($B$3&lt;$E63,"",$L63-$J63)</f>
        <v/>
      </c>
      <c r="N63" s="183">
        <f>IF($B$3&lt;$C63,"FUTURA",IF($B$3&lt;=$D63,"EM ANDAMENTO",IF($B$3&lt;$E63,"AGUARDANDO CORTE",IF($M63&gt;=0,"META ATINGIDA","GAP A RECUPERAR"))))</f>
        <v/>
      </c>
      <c r="O63" s="184" t="n"/>
      <c r="P63" s="175" t="n"/>
    </row>
    <row r="64">
      <c r="A64" s="179" t="inlineStr">
        <is>
          <t>EJ</t>
        </is>
      </c>
      <c r="B64" s="179" t="inlineStr">
        <is>
          <t>VIGAS</t>
        </is>
      </c>
      <c r="C64" s="192" t="n">
        <v>46258</v>
      </c>
      <c r="D64" s="192" t="n">
        <v>46262</v>
      </c>
      <c r="E64" s="192" t="n">
        <v>46263</v>
      </c>
      <c r="F64" s="193" t="n">
        <v>2</v>
      </c>
      <c r="G64" s="194" t="n">
        <v>5</v>
      </c>
      <c r="H64" s="183">
        <f>F64*G64</f>
        <v/>
      </c>
      <c r="I64" s="183" t="n">
        <v>0</v>
      </c>
      <c r="J64" s="183">
        <f>IFERROR(H64+I64,"")</f>
        <v/>
      </c>
      <c r="K64" s="183">
        <f>IFERROR(J64/G64,"")</f>
        <v/>
      </c>
      <c r="L64" s="183" t="n">
        <v>7</v>
      </c>
      <c r="M64" s="183">
        <f>IF($B$3&lt;$E64,"",$L64-$J64)</f>
        <v/>
      </c>
      <c r="N64" s="183">
        <f>IF($B$3&lt;$C64,"FUTURA",IF($B$3&lt;=$D64,"EM ANDAMENTO",IF($B$3&lt;$E64,"AGUARDANDO CORTE",IF($M64&gt;=0,"META ATINGIDA","GAP A RECUPERAR"))))</f>
        <v/>
      </c>
      <c r="O64" s="184" t="n"/>
      <c r="P64" s="175" t="n"/>
    </row>
    <row r="65">
      <c r="A65" s="179" t="inlineStr">
        <is>
          <t>CMM</t>
        </is>
      </c>
      <c r="B65" s="179" t="inlineStr">
        <is>
          <t>PREMONTAGEM</t>
        </is>
      </c>
      <c r="C65" s="192" t="n">
        <v>46258</v>
      </c>
      <c r="D65" s="192" t="n">
        <v>46262</v>
      </c>
      <c r="E65" s="192" t="n">
        <v>46263</v>
      </c>
      <c r="F65" s="193" t="n">
        <v>6</v>
      </c>
      <c r="G65" s="194" t="n">
        <v>5</v>
      </c>
      <c r="H65" s="183">
        <f>F65*G65</f>
        <v/>
      </c>
      <c r="I65" s="183" t="n">
        <v>0</v>
      </c>
      <c r="J65" s="183">
        <f>IFERROR(H65+I65,"")</f>
        <v/>
      </c>
      <c r="K65" s="183">
        <f>IFERROR(J65/G65,"")</f>
        <v/>
      </c>
      <c r="L65" s="183" t="n">
        <v>22</v>
      </c>
      <c r="M65" s="183">
        <f>IF($B$3&lt;$E65,"",$L65-$J65)</f>
        <v/>
      </c>
      <c r="N65" s="183">
        <f>IF($B$3&lt;$C65,"FUTURA",IF($B$3&lt;=$D65,"EM ANDAMENTO",IF($B$3&lt;$E65,"AGUARDANDO CORTE",IF($M65&gt;=0,"META ATINGIDA","GAP A RECUPERAR"))))</f>
        <v/>
      </c>
      <c r="O65" s="184" t="n"/>
      <c r="P65" s="175" t="n"/>
    </row>
    <row r="66">
      <c r="A66" s="179" t="inlineStr">
        <is>
          <t>CMM</t>
        </is>
      </c>
      <c r="B66" s="179" t="inlineStr">
        <is>
          <t>IÇAMENTO JOIST</t>
        </is>
      </c>
      <c r="C66" s="192" t="n">
        <v>46258</v>
      </c>
      <c r="D66" s="192" t="n">
        <v>46262</v>
      </c>
      <c r="E66" s="192" t="n">
        <v>46263</v>
      </c>
      <c r="F66" s="193" t="n">
        <v>5</v>
      </c>
      <c r="G66" s="194" t="n">
        <v>5</v>
      </c>
      <c r="H66" s="183">
        <f>F66*G66</f>
        <v/>
      </c>
      <c r="I66" s="183" t="n">
        <v>0</v>
      </c>
      <c r="J66" s="183">
        <f>IFERROR(H66+I66,"")</f>
        <v/>
      </c>
      <c r="K66" s="183">
        <f>IFERROR(J66/G66,"")</f>
        <v/>
      </c>
      <c r="L66" s="183" t="n">
        <v>35</v>
      </c>
      <c r="M66" s="183">
        <f>IF($B$3&lt;$E66,"",$L66-$J66)</f>
        <v/>
      </c>
      <c r="N66" s="183">
        <f>IF($B$3&lt;$C66,"FUTURA",IF($B$3&lt;=$D66,"EM ANDAMENTO",IF($B$3&lt;$E66,"AGUARDANDO CORTE",IF($M66&gt;=0,"META ATINGIDA","GAP A RECUPERAR"))))</f>
        <v/>
      </c>
      <c r="O66" s="184" t="n"/>
      <c r="P66" s="175" t="n"/>
    </row>
    <row r="67">
      <c r="A67" s="179" t="inlineStr">
        <is>
          <t>CMM</t>
        </is>
      </c>
      <c r="B67" s="179" t="inlineStr">
        <is>
          <t>VIGAS</t>
        </is>
      </c>
      <c r="C67" s="192" t="n">
        <v>46258</v>
      </c>
      <c r="D67" s="192" t="n">
        <v>46262</v>
      </c>
      <c r="E67" s="192" t="n">
        <v>46263</v>
      </c>
      <c r="F67" s="193" t="n">
        <v>2</v>
      </c>
      <c r="G67" s="194" t="n">
        <v>5</v>
      </c>
      <c r="H67" s="183">
        <f>F67*G67</f>
        <v/>
      </c>
      <c r="I67" s="183" t="n">
        <v>0</v>
      </c>
      <c r="J67" s="183">
        <f>IFERROR(H67+I67,"")</f>
        <v/>
      </c>
      <c r="K67" s="183">
        <f>IFERROR(J67/G67,"")</f>
        <v/>
      </c>
      <c r="L67" s="183" t="n">
        <v>12</v>
      </c>
      <c r="M67" s="183">
        <f>IF($B$3&lt;$E67,"",$L67-$J67)</f>
        <v/>
      </c>
      <c r="N67" s="183">
        <f>IF($B$3&lt;$C67,"FUTURA",IF($B$3&lt;=$D67,"EM ANDAMENTO",IF($B$3&lt;$E67,"AGUARDANDO CORTE",IF($M67&gt;=0,"META ATINGIDA","GAP A RECUPERAR"))))</f>
        <v/>
      </c>
      <c r="O67" s="184" t="n"/>
      <c r="P67" s="175" t="n"/>
    </row>
    <row r="68">
      <c r="A68" s="179" t="inlineStr">
        <is>
          <t>GLOBO AÇOS</t>
        </is>
      </c>
      <c r="B68" s="179" t="inlineStr">
        <is>
          <t>PERFILAÇÃO</t>
        </is>
      </c>
      <c r="C68" s="192" t="n">
        <v>46258</v>
      </c>
      <c r="D68" s="192" t="n">
        <v>46262</v>
      </c>
      <c r="E68" s="192" t="n">
        <v>46263</v>
      </c>
      <c r="F68" s="193" t="n">
        <v>0</v>
      </c>
      <c r="G68" s="194" t="n">
        <v>5</v>
      </c>
      <c r="H68" s="183">
        <f>F68*G68</f>
        <v/>
      </c>
      <c r="I68" s="183" t="n">
        <v>0</v>
      </c>
      <c r="J68" s="183">
        <f>IFERROR(H68+I68,"")</f>
        <v/>
      </c>
      <c r="K68" s="183">
        <f>IFERROR(J68/G68,"")</f>
        <v/>
      </c>
      <c r="L68" s="183">
        <f>IFERROR(SUM(INDEX('CONTROLE PRODUÇÃO POR EMPRESAS'!$H$6:$H$5000,MATCH(C68,'CONTROLE PRODUÇÃO POR EMPRESAS'!$A$6:$A$5000,0)):INDEX('CONTROLE PRODUÇÃO POR EMPRESAS'!$H$6:$H$5000,MATCH(D68,'CONTROLE PRODUÇÃO POR EMPRESAS'!$A$6:$A$5000,0))),0)</f>
        <v/>
      </c>
      <c r="M68" s="183">
        <f>IF($B$3&lt;$E68,"",$L68-$J68)</f>
        <v/>
      </c>
      <c r="N68" s="183">
        <f>IF($B$3&lt;$C68,"FUTURA",IF($B$3&lt;=$D68,"EM ANDAMENTO",IF($B$3&lt;$E68,"AGUARDANDO CORTE",IF($M68&gt;=0,"META ATINGIDA","GAP A RECUPERAR"))))</f>
        <v/>
      </c>
      <c r="O68" s="184" t="n"/>
      <c r="P68" s="175" t="n"/>
    </row>
    <row r="69">
      <c r="A69" s="179" t="inlineStr">
        <is>
          <t>GLOBO AÇOS</t>
        </is>
      </c>
      <c r="B69" s="179" t="inlineStr">
        <is>
          <t>TELHAR</t>
        </is>
      </c>
      <c r="C69" s="192" t="n">
        <v>46258</v>
      </c>
      <c r="D69" s="192" t="n">
        <v>46262</v>
      </c>
      <c r="E69" s="192" t="n">
        <v>46263</v>
      </c>
      <c r="F69" s="193" t="n">
        <v>0</v>
      </c>
      <c r="G69" s="194" t="n">
        <v>5</v>
      </c>
      <c r="H69" s="183">
        <f>F69*G69</f>
        <v/>
      </c>
      <c r="I69" s="183" t="n">
        <v>0</v>
      </c>
      <c r="J69" s="183">
        <f>IFERROR(H69+I69,"")</f>
        <v/>
      </c>
      <c r="K69" s="183">
        <f>IFERROR(J69/G69,"")</f>
        <v/>
      </c>
      <c r="L69" s="183">
        <f>IFERROR(SUM(INDEX('CONTROLE PRODUÇÃO POR EMPRESAS'!$I$6:$I$5000,MATCH(C69,'CONTROLE PRODUÇÃO POR EMPRESAS'!$A$6:$A$5000,0)):INDEX('CONTROLE PRODUÇÃO POR EMPRESAS'!$I$6:$I$5000,MATCH(D69,'CONTROLE PRODUÇÃO POR EMPRESAS'!$A$6:$A$5000,0))),0)</f>
        <v/>
      </c>
      <c r="M69" s="183">
        <f>IF($B$3&lt;$E69,"",$L69-$J69)</f>
        <v/>
      </c>
      <c r="N69" s="183">
        <f>IF($B$3&lt;$C69,"FUTURA",IF($B$3&lt;=$D69,"EM ANDAMENTO",IF($B$3&lt;$E69,"AGUARDANDO CORTE",IF($M69&gt;=0,"META ATINGIDA","GAP A RECUPERAR"))))</f>
        <v/>
      </c>
      <c r="O69" s="184" t="n"/>
      <c r="P69" s="175" t="n"/>
    </row>
    <row r="70">
      <c r="A70" s="179" t="inlineStr">
        <is>
          <t>GLOBO AÇOS</t>
        </is>
      </c>
      <c r="B70" s="179" t="inlineStr">
        <is>
          <t>FECHAMENTO</t>
        </is>
      </c>
      <c r="C70" s="192" t="n">
        <v>46258</v>
      </c>
      <c r="D70" s="192" t="n">
        <v>46262</v>
      </c>
      <c r="E70" s="192" t="n">
        <v>46263</v>
      </c>
      <c r="F70" s="193" t="n">
        <v>0</v>
      </c>
      <c r="G70" s="194" t="n">
        <v>5</v>
      </c>
      <c r="H70" s="183">
        <f>F70*G70</f>
        <v/>
      </c>
      <c r="I70" s="183" t="n">
        <v>0</v>
      </c>
      <c r="J70" s="183">
        <f>IFERROR(H70+I70,"")</f>
        <v/>
      </c>
      <c r="K70" s="183">
        <f>IFERROR(J70/G70,"")</f>
        <v/>
      </c>
      <c r="L70" s="183">
        <f>IFERROR(SUM(INDEX('CONTROLE PRODUÇÃO POR EMPRESAS'!$J$6:$J$5000,MATCH(C70,'CONTROLE PRODUÇÃO POR EMPRESAS'!$A$6:$A$5000,0)):INDEX('CONTROLE PRODUÇÃO POR EMPRESAS'!$J$6:$J$5000,MATCH(D70,'CONTROLE PRODUÇÃO POR EMPRESAS'!$A$6:$A$5000,0))),0)</f>
        <v/>
      </c>
      <c r="M70" s="183">
        <f>IF($B$3&lt;$E70,"",$L70-$J70)</f>
        <v/>
      </c>
      <c r="N70" s="183">
        <f>IF($B$3&lt;$C70,"FUTURA",IF($B$3&lt;=$D70,"EM ANDAMENTO",IF($B$3&lt;$E70,"AGUARDANDO CORTE",IF($M70&gt;=0,"META ATINGIDA","GAP A RECUPERAR"))))</f>
        <v/>
      </c>
      <c r="O70" s="184" t="n"/>
      <c r="P70" s="175" t="n"/>
    </row>
    <row r="71">
      <c r="A71" s="179" t="inlineStr">
        <is>
          <t>EJ</t>
        </is>
      </c>
      <c r="B71" s="179" t="inlineStr">
        <is>
          <t>PREMONTAGEM</t>
        </is>
      </c>
      <c r="C71" s="192" t="n">
        <v>46265</v>
      </c>
      <c r="D71" s="192" t="n">
        <v>46269</v>
      </c>
      <c r="E71" s="192" t="n">
        <v>46270</v>
      </c>
      <c r="F71" s="193" t="n">
        <v>6</v>
      </c>
      <c r="G71" s="194" t="n">
        <v>5</v>
      </c>
      <c r="H71" s="183">
        <f>F71*G71</f>
        <v/>
      </c>
      <c r="I71" s="183" t="n">
        <v>0</v>
      </c>
      <c r="J71" s="183">
        <f>IFERROR(H71+I71,"")</f>
        <v/>
      </c>
      <c r="K71" s="183">
        <f>IFERROR(J71/G71,"")</f>
        <v/>
      </c>
      <c r="L71" s="183" t="n">
        <v>25</v>
      </c>
      <c r="M71" s="183">
        <f>IF($B$3&lt;$E71,"",$L71-$J71)</f>
        <v/>
      </c>
      <c r="N71" s="183">
        <f>IF($B$3&lt;$C71,"FUTURA",IF($B$3&lt;=$D71,"EM ANDAMENTO",IF($B$3&lt;$E71,"AGUARDANDO CORTE",IF($M71&gt;=0,"META ATINGIDA","GAP A RECUPERAR"))))</f>
        <v/>
      </c>
      <c r="O71" s="184" t="n"/>
      <c r="P71" s="175" t="n"/>
    </row>
    <row r="72">
      <c r="A72" s="179" t="inlineStr">
        <is>
          <t>EJ</t>
        </is>
      </c>
      <c r="B72" s="179" t="inlineStr">
        <is>
          <t>IÇAMENTO JOIST</t>
        </is>
      </c>
      <c r="C72" s="192" t="n">
        <v>46265</v>
      </c>
      <c r="D72" s="192" t="n">
        <v>46269</v>
      </c>
      <c r="E72" s="192" t="n">
        <v>46270</v>
      </c>
      <c r="F72" s="193" t="n">
        <v>5</v>
      </c>
      <c r="G72" s="194" t="n">
        <v>5</v>
      </c>
      <c r="H72" s="183">
        <f>F72*G72</f>
        <v/>
      </c>
      <c r="I72" s="183" t="n">
        <v>0</v>
      </c>
      <c r="J72" s="183">
        <f>IFERROR(H72+I72,"")</f>
        <v/>
      </c>
      <c r="K72" s="183">
        <f>IFERROR(J72/G72,"")</f>
        <v/>
      </c>
      <c r="L72" s="183" t="n">
        <v>32</v>
      </c>
      <c r="M72" s="183">
        <f>IF($B$3&lt;$E72,"",$L72-$J72)</f>
        <v/>
      </c>
      <c r="N72" s="183">
        <f>IF($B$3&lt;$C72,"FUTURA",IF($B$3&lt;=$D72,"EM ANDAMENTO",IF($B$3&lt;$E72,"AGUARDANDO CORTE",IF($M72&gt;=0,"META ATINGIDA","GAP A RECUPERAR"))))</f>
        <v/>
      </c>
      <c r="O72" s="184" t="n"/>
      <c r="P72" s="175" t="n"/>
    </row>
    <row r="73">
      <c r="A73" s="179" t="inlineStr">
        <is>
          <t>EJ</t>
        </is>
      </c>
      <c r="B73" s="179" t="inlineStr">
        <is>
          <t>VIGAS</t>
        </is>
      </c>
      <c r="C73" s="192" t="n">
        <v>46265</v>
      </c>
      <c r="D73" s="192" t="n">
        <v>46269</v>
      </c>
      <c r="E73" s="192" t="n">
        <v>46270</v>
      </c>
      <c r="F73" s="193" t="n">
        <v>2</v>
      </c>
      <c r="G73" s="194" t="n">
        <v>5</v>
      </c>
      <c r="H73" s="183">
        <f>F73*G73</f>
        <v/>
      </c>
      <c r="I73" s="183" t="n">
        <v>0</v>
      </c>
      <c r="J73" s="183">
        <f>IFERROR(H73+I73,"")</f>
        <v/>
      </c>
      <c r="K73" s="183">
        <f>IFERROR(J73/G73,"")</f>
        <v/>
      </c>
      <c r="L73" s="183" t="n">
        <v>2</v>
      </c>
      <c r="M73" s="183">
        <f>IF($B$3&lt;$E73,"",$L73-$J73)</f>
        <v/>
      </c>
      <c r="N73" s="183">
        <f>IF($B$3&lt;$C73,"FUTURA",IF($B$3&lt;=$D73,"EM ANDAMENTO",IF($B$3&lt;$E73,"AGUARDANDO CORTE",IF($M73&gt;=0,"META ATINGIDA","GAP A RECUPERAR"))))</f>
        <v/>
      </c>
      <c r="O73" s="184" t="n"/>
      <c r="P73" s="175" t="n"/>
    </row>
    <row r="74">
      <c r="A74" s="179" t="inlineStr">
        <is>
          <t>CMM</t>
        </is>
      </c>
      <c r="B74" s="179" t="inlineStr">
        <is>
          <t>PREMONTAGEM</t>
        </is>
      </c>
      <c r="C74" s="192" t="n">
        <v>46265</v>
      </c>
      <c r="D74" s="192" t="n">
        <v>46269</v>
      </c>
      <c r="E74" s="192" t="n">
        <v>46270</v>
      </c>
      <c r="F74" s="193" t="n">
        <v>6</v>
      </c>
      <c r="G74" s="194" t="n">
        <v>5</v>
      </c>
      <c r="H74" s="183">
        <f>F74*G74</f>
        <v/>
      </c>
      <c r="I74" s="183" t="n">
        <v>0</v>
      </c>
      <c r="J74" s="183">
        <f>IFERROR(H74+I74,"")</f>
        <v/>
      </c>
      <c r="K74" s="183">
        <f>IFERROR(J74/G74,"")</f>
        <v/>
      </c>
      <c r="L74" s="183" t="n">
        <v>28</v>
      </c>
      <c r="M74" s="183">
        <f>IF($B$3&lt;$E74,"",$L74-$J74)</f>
        <v/>
      </c>
      <c r="N74" s="183">
        <f>IF($B$3&lt;$C74,"FUTURA",IF($B$3&lt;=$D74,"EM ANDAMENTO",IF($B$3&lt;$E74,"AGUARDANDO CORTE",IF($M74&gt;=0,"META ATINGIDA","GAP A RECUPERAR"))))</f>
        <v/>
      </c>
      <c r="O74" s="184" t="n"/>
      <c r="P74" s="175" t="n"/>
    </row>
    <row r="75">
      <c r="A75" s="179" t="inlineStr">
        <is>
          <t>CMM</t>
        </is>
      </c>
      <c r="B75" s="179" t="inlineStr">
        <is>
          <t>IÇAMENTO JOIST</t>
        </is>
      </c>
      <c r="C75" s="192" t="n">
        <v>46265</v>
      </c>
      <c r="D75" s="192" t="n">
        <v>46269</v>
      </c>
      <c r="E75" s="192" t="n">
        <v>46270</v>
      </c>
      <c r="F75" s="193" t="n">
        <v>5</v>
      </c>
      <c r="G75" s="194" t="n">
        <v>5</v>
      </c>
      <c r="H75" s="183">
        <f>F75*G75</f>
        <v/>
      </c>
      <c r="I75" s="183" t="n">
        <v>0</v>
      </c>
      <c r="J75" s="183">
        <f>IFERROR(H75+I75,"")</f>
        <v/>
      </c>
      <c r="K75" s="183">
        <f>IFERROR(J75/G75,"")</f>
        <v/>
      </c>
      <c r="L75" s="183" t="n">
        <v>16</v>
      </c>
      <c r="M75" s="183">
        <f>IF($B$3&lt;$E75,"",$L75-$J75)</f>
        <v/>
      </c>
      <c r="N75" s="183">
        <f>IF($B$3&lt;$C75,"FUTURA",IF($B$3&lt;=$D75,"EM ANDAMENTO",IF($B$3&lt;$E75,"AGUARDANDO CORTE",IF($M75&gt;=0,"META ATINGIDA","GAP A RECUPERAR"))))</f>
        <v/>
      </c>
      <c r="O75" s="184" t="n"/>
      <c r="P75" s="175" t="n"/>
    </row>
    <row r="76">
      <c r="A76" s="179" t="inlineStr">
        <is>
          <t>CMM</t>
        </is>
      </c>
      <c r="B76" s="179" t="inlineStr">
        <is>
          <t>VIGAS</t>
        </is>
      </c>
      <c r="C76" s="192" t="n">
        <v>46265</v>
      </c>
      <c r="D76" s="192" t="n">
        <v>46269</v>
      </c>
      <c r="E76" s="192" t="n">
        <v>46270</v>
      </c>
      <c r="F76" s="193" t="n">
        <v>2</v>
      </c>
      <c r="G76" s="194" t="n">
        <v>5</v>
      </c>
      <c r="H76" s="183">
        <f>F76*G76</f>
        <v/>
      </c>
      <c r="I76" s="183" t="n">
        <v>0</v>
      </c>
      <c r="J76" s="183">
        <f>IFERROR(H76+I76,"")</f>
        <v/>
      </c>
      <c r="K76" s="183">
        <f>IFERROR(J76/G76,"")</f>
        <v/>
      </c>
      <c r="L76" s="183" t="n">
        <v>8</v>
      </c>
      <c r="M76" s="183">
        <f>IF($B$3&lt;$E76,"",$L76-$J76)</f>
        <v/>
      </c>
      <c r="N76" s="183">
        <f>IF($B$3&lt;$C76,"FUTURA",IF($B$3&lt;=$D76,"EM ANDAMENTO",IF($B$3&lt;$E76,"AGUARDANDO CORTE",IF($M76&gt;=0,"META ATINGIDA","GAP A RECUPERAR"))))</f>
        <v/>
      </c>
      <c r="O76" s="184" t="n"/>
      <c r="P76" s="175" t="n"/>
    </row>
    <row r="77">
      <c r="A77" s="179" t="inlineStr">
        <is>
          <t>GLOBO AÇOS</t>
        </is>
      </c>
      <c r="B77" s="179" t="inlineStr">
        <is>
          <t>PERFILAÇÃO</t>
        </is>
      </c>
      <c r="C77" s="192" t="n">
        <v>46265</v>
      </c>
      <c r="D77" s="192" t="n">
        <v>46269</v>
      </c>
      <c r="E77" s="192" t="n">
        <v>46270</v>
      </c>
      <c r="F77" s="193" t="n">
        <v>0</v>
      </c>
      <c r="G77" s="194" t="n">
        <v>5</v>
      </c>
      <c r="H77" s="183">
        <f>F77*G77</f>
        <v/>
      </c>
      <c r="I77" s="183" t="n">
        <v>0</v>
      </c>
      <c r="J77" s="183">
        <f>IFERROR(H77+I77,"")</f>
        <v/>
      </c>
      <c r="K77" s="183">
        <f>IFERROR(J77/G77,"")</f>
        <v/>
      </c>
      <c r="L77" s="183">
        <f>IFERROR(SUM(INDEX('CONTROLE PRODUÇÃO POR EMPRESAS'!$H$6:$H$5000,MATCH(C77,'CONTROLE PRODUÇÃO POR EMPRESAS'!$A$6:$A$5000,0)):INDEX('CONTROLE PRODUÇÃO POR EMPRESAS'!$H$6:$H$5000,MATCH(D77,'CONTROLE PRODUÇÃO POR EMPRESAS'!$A$6:$A$5000,0))),0)</f>
        <v/>
      </c>
      <c r="M77" s="183">
        <f>IF($B$3&lt;$E77,"",$L77-$J77)</f>
        <v/>
      </c>
      <c r="N77" s="183">
        <f>IF($B$3&lt;$C77,"FUTURA",IF($B$3&lt;=$D77,"EM ANDAMENTO",IF($B$3&lt;$E77,"AGUARDANDO CORTE",IF($M77&gt;=0,"META ATINGIDA","GAP A RECUPERAR"))))</f>
        <v/>
      </c>
      <c r="O77" s="184" t="n"/>
      <c r="P77" s="175" t="n"/>
    </row>
    <row r="78">
      <c r="A78" s="179" t="inlineStr">
        <is>
          <t>GLOBO AÇOS</t>
        </is>
      </c>
      <c r="B78" s="179" t="inlineStr">
        <is>
          <t>TELHAR</t>
        </is>
      </c>
      <c r="C78" s="192" t="n">
        <v>46265</v>
      </c>
      <c r="D78" s="192" t="n">
        <v>46269</v>
      </c>
      <c r="E78" s="192" t="n">
        <v>46270</v>
      </c>
      <c r="F78" s="193" t="n">
        <v>0</v>
      </c>
      <c r="G78" s="194" t="n">
        <v>5</v>
      </c>
      <c r="H78" s="183">
        <f>F78*G78</f>
        <v/>
      </c>
      <c r="I78" s="183" t="n">
        <v>0</v>
      </c>
      <c r="J78" s="183">
        <f>IFERROR(H78+I78,"")</f>
        <v/>
      </c>
      <c r="K78" s="183">
        <f>IFERROR(J78/G78,"")</f>
        <v/>
      </c>
      <c r="L78" s="183">
        <f>IFERROR(SUM(INDEX('CONTROLE PRODUÇÃO POR EMPRESAS'!$I$6:$I$5000,MATCH(C78,'CONTROLE PRODUÇÃO POR EMPRESAS'!$A$6:$A$5000,0)):INDEX('CONTROLE PRODUÇÃO POR EMPRESAS'!$I$6:$I$5000,MATCH(D78,'CONTROLE PRODUÇÃO POR EMPRESAS'!$A$6:$A$5000,0))),0)</f>
        <v/>
      </c>
      <c r="M78" s="183">
        <f>IF($B$3&lt;$E78,"",$L78-$J78)</f>
        <v/>
      </c>
      <c r="N78" s="183">
        <f>IF($B$3&lt;$C78,"FUTURA",IF($B$3&lt;=$D78,"EM ANDAMENTO",IF($B$3&lt;$E78,"AGUARDANDO CORTE",IF($M78&gt;=0,"META ATINGIDA","GAP A RECUPERAR"))))</f>
        <v/>
      </c>
      <c r="O78" s="184" t="n"/>
      <c r="P78" s="175" t="n"/>
    </row>
    <row r="79">
      <c r="A79" s="179" t="inlineStr">
        <is>
          <t>GLOBO AÇOS</t>
        </is>
      </c>
      <c r="B79" s="179" t="inlineStr">
        <is>
          <t>FECHAMENTO</t>
        </is>
      </c>
      <c r="C79" s="192" t="n">
        <v>46265</v>
      </c>
      <c r="D79" s="192" t="n">
        <v>46269</v>
      </c>
      <c r="E79" s="192" t="n">
        <v>46270</v>
      </c>
      <c r="F79" s="193" t="n">
        <v>0</v>
      </c>
      <c r="G79" s="194" t="n">
        <v>5</v>
      </c>
      <c r="H79" s="183">
        <f>F79*G79</f>
        <v/>
      </c>
      <c r="I79" s="183" t="n">
        <v>0</v>
      </c>
      <c r="J79" s="183">
        <f>IFERROR(H79+I79,"")</f>
        <v/>
      </c>
      <c r="K79" s="183">
        <f>IFERROR(J79/G79,"")</f>
        <v/>
      </c>
      <c r="L79" s="183">
        <f>IFERROR(SUM(INDEX('CONTROLE PRODUÇÃO POR EMPRESAS'!$J$6:$J$5000,MATCH(C79,'CONTROLE PRODUÇÃO POR EMPRESAS'!$A$6:$A$5000,0)):INDEX('CONTROLE PRODUÇÃO POR EMPRESAS'!$J$6:$J$5000,MATCH(D79,'CONTROLE PRODUÇÃO POR EMPRESAS'!$A$6:$A$5000,0))),0)</f>
        <v/>
      </c>
      <c r="M79" s="183">
        <f>IF($B$3&lt;$E79,"",$L79-$J79)</f>
        <v/>
      </c>
      <c r="N79" s="183">
        <f>IF($B$3&lt;$C79,"FUTURA",IF($B$3&lt;=$D79,"EM ANDAMENTO",IF($B$3&lt;$E79,"AGUARDANDO CORTE",IF($M79&gt;=0,"META ATINGIDA","GAP A RECUPERAR"))))</f>
        <v/>
      </c>
      <c r="O79" s="184" t="n"/>
      <c r="P79" s="175" t="n"/>
    </row>
    <row r="80">
      <c r="A80" s="179" t="inlineStr">
        <is>
          <t>EJ</t>
        </is>
      </c>
      <c r="B80" s="179" t="inlineStr">
        <is>
          <t>PREMONTAGEM</t>
        </is>
      </c>
      <c r="C80" s="192" t="n">
        <v>46272</v>
      </c>
      <c r="D80" s="192" t="n">
        <v>46277</v>
      </c>
      <c r="E80" s="192" t="n">
        <v>46277</v>
      </c>
      <c r="F80" s="193" t="n">
        <v>5</v>
      </c>
      <c r="G80" s="194" t="n">
        <v>4</v>
      </c>
      <c r="H80" s="183">
        <f>F80*G80</f>
        <v/>
      </c>
      <c r="I80" s="183" t="n">
        <v>0</v>
      </c>
      <c r="J80" s="183">
        <f>IFERROR(H80+I80,"")</f>
        <v/>
      </c>
      <c r="K80" s="183">
        <f>IFERROR(J80/G80,"")</f>
        <v/>
      </c>
      <c r="L80" s="183" t="n">
        <v>19</v>
      </c>
      <c r="M80" s="183">
        <f>IF($B$3&lt;$E80,"",$L80-$J80)</f>
        <v/>
      </c>
      <c r="N80" s="183">
        <f>IF($B$3&lt;$C80,"FUTURA",IF($B$3&lt;=$D80,"EM ANDAMENTO",IF($B$3&lt;$E80,"AGUARDANDO CORTE",IF($M80&gt;=0,"META ATINGIDA","GAP A RECUPERAR"))))</f>
        <v/>
      </c>
      <c r="O80" s="184" t="n"/>
      <c r="P80" s="175" t="n"/>
    </row>
    <row r="81">
      <c r="A81" s="179" t="inlineStr">
        <is>
          <t>EJ</t>
        </is>
      </c>
      <c r="B81" s="179" t="inlineStr">
        <is>
          <t>IÇAMENTO JOIST</t>
        </is>
      </c>
      <c r="C81" s="192" t="n">
        <v>46272</v>
      </c>
      <c r="D81" s="192" t="n">
        <v>46277</v>
      </c>
      <c r="E81" s="192" t="n">
        <v>46277</v>
      </c>
      <c r="F81" s="193" t="n">
        <v>5</v>
      </c>
      <c r="G81" s="194" t="n">
        <v>4</v>
      </c>
      <c r="H81" s="183">
        <f>F81*G81</f>
        <v/>
      </c>
      <c r="I81" s="183" t="n">
        <v>0</v>
      </c>
      <c r="J81" s="183">
        <f>IFERROR(H81+I81,"")</f>
        <v/>
      </c>
      <c r="K81" s="183">
        <f>IFERROR(J81/G81,"")</f>
        <v/>
      </c>
      <c r="L81" s="183" t="n">
        <v>0</v>
      </c>
      <c r="M81" s="183">
        <f>IF($B$3&lt;$E81,"",$L81-$J81)</f>
        <v/>
      </c>
      <c r="N81" s="183">
        <f>IF($B$3&lt;$C81,"FUTURA",IF($B$3&lt;=$D81,"EM ANDAMENTO",IF($B$3&lt;$E81,"AGUARDANDO CORTE",IF($M81&gt;=0,"META ATINGIDA","GAP A RECUPERAR"))))</f>
        <v/>
      </c>
      <c r="O81" s="184" t="n"/>
      <c r="P81" s="175" t="n"/>
    </row>
    <row r="82">
      <c r="A82" s="179" t="inlineStr">
        <is>
          <t>EJ</t>
        </is>
      </c>
      <c r="B82" s="179" t="inlineStr">
        <is>
          <t>VIGAS</t>
        </is>
      </c>
      <c r="C82" s="192" t="n">
        <v>46272</v>
      </c>
      <c r="D82" s="192" t="n">
        <v>46277</v>
      </c>
      <c r="E82" s="192" t="n">
        <v>46277</v>
      </c>
      <c r="F82" s="193" t="n">
        <v>1.51</v>
      </c>
      <c r="G82" s="194" t="n">
        <v>4</v>
      </c>
      <c r="H82" s="183">
        <f>F82*G82</f>
        <v/>
      </c>
      <c r="I82" s="183" t="n">
        <v>0</v>
      </c>
      <c r="J82" s="183">
        <f>IFERROR(H82+I82,"")</f>
        <v/>
      </c>
      <c r="K82" s="183">
        <f>IFERROR(J82/G82,"")</f>
        <v/>
      </c>
      <c r="L82" s="183" t="n">
        <v>2</v>
      </c>
      <c r="M82" s="183">
        <f>IF($B$3&lt;$E82,"",$L82-$J82)</f>
        <v/>
      </c>
      <c r="N82" s="183">
        <f>IF($B$3&lt;$C82,"FUTURA",IF($B$3&lt;=$D82,"EM ANDAMENTO",IF($B$3&lt;$E82,"AGUARDANDO CORTE",IF($M82&gt;=0,"META ATINGIDA","GAP A RECUPERAR"))))</f>
        <v/>
      </c>
      <c r="O82" s="184" t="n"/>
      <c r="P82" s="175" t="n"/>
    </row>
    <row r="83">
      <c r="A83" s="179" t="inlineStr">
        <is>
          <t>CMM</t>
        </is>
      </c>
      <c r="B83" s="179" t="inlineStr">
        <is>
          <t>PREMONTAGEM</t>
        </is>
      </c>
      <c r="C83" s="192" t="n">
        <v>46272</v>
      </c>
      <c r="D83" s="192" t="n">
        <v>46277</v>
      </c>
      <c r="E83" s="192" t="n">
        <v>46277</v>
      </c>
      <c r="F83" s="193" t="n">
        <v>5</v>
      </c>
      <c r="G83" s="194" t="n">
        <v>4</v>
      </c>
      <c r="H83" s="183">
        <f>F83*G83</f>
        <v/>
      </c>
      <c r="I83" s="183" t="n">
        <v>0</v>
      </c>
      <c r="J83" s="183">
        <f>IFERROR(H83+I83,"")</f>
        <v/>
      </c>
      <c r="K83" s="183">
        <f>IFERROR(J83/G83,"")</f>
        <v/>
      </c>
      <c r="L83" s="183" t="n">
        <v>19</v>
      </c>
      <c r="M83" s="183">
        <f>IF($B$3&lt;$E83,"",$L83-$J83)</f>
        <v/>
      </c>
      <c r="N83" s="183">
        <f>IF($B$3&lt;$C83,"FUTURA",IF($B$3&lt;=$D83,"EM ANDAMENTO",IF($B$3&lt;$E83,"AGUARDANDO CORTE",IF($M83&gt;=0,"META ATINGIDA","GAP A RECUPERAR"))))</f>
        <v/>
      </c>
      <c r="O83" s="184" t="n"/>
      <c r="P83" s="175" t="n"/>
    </row>
    <row r="84">
      <c r="A84" s="179" t="inlineStr">
        <is>
          <t>CMM</t>
        </is>
      </c>
      <c r="B84" s="179" t="inlineStr">
        <is>
          <t>IÇAMENTO JOIST</t>
        </is>
      </c>
      <c r="C84" s="192" t="n">
        <v>46272</v>
      </c>
      <c r="D84" s="192" t="n">
        <v>46277</v>
      </c>
      <c r="E84" s="192" t="n">
        <v>46277</v>
      </c>
      <c r="F84" s="193" t="n">
        <v>5</v>
      </c>
      <c r="G84" s="194" t="n">
        <v>4</v>
      </c>
      <c r="H84" s="183">
        <f>F84*G84</f>
        <v/>
      </c>
      <c r="I84" s="183" t="n">
        <v>0</v>
      </c>
      <c r="J84" s="183">
        <f>IFERROR(H84+I84,"")</f>
        <v/>
      </c>
      <c r="K84" s="183">
        <f>IFERROR(J84/G84,"")</f>
        <v/>
      </c>
      <c r="L84" s="183" t="n">
        <v>20</v>
      </c>
      <c r="M84" s="183">
        <f>IF($B$3&lt;$E84,"",$L84-$J84)</f>
        <v/>
      </c>
      <c r="N84" s="183">
        <f>IF($B$3&lt;$C84,"FUTURA",IF($B$3&lt;=$D84,"EM ANDAMENTO",IF($B$3&lt;$E84,"AGUARDANDO CORTE",IF($M84&gt;=0,"META ATINGIDA","GAP A RECUPERAR"))))</f>
        <v/>
      </c>
      <c r="O84" s="184" t="n"/>
      <c r="P84" s="175" t="n"/>
    </row>
    <row r="85">
      <c r="A85" s="179" t="inlineStr">
        <is>
          <t>CMM</t>
        </is>
      </c>
      <c r="B85" s="179" t="inlineStr">
        <is>
          <t>VIGAS</t>
        </is>
      </c>
      <c r="C85" s="192" t="n">
        <v>46272</v>
      </c>
      <c r="D85" s="192" t="n">
        <v>46277</v>
      </c>
      <c r="E85" s="192" t="n">
        <v>46277</v>
      </c>
      <c r="F85" s="193" t="n">
        <v>2</v>
      </c>
      <c r="G85" s="194" t="n">
        <v>4</v>
      </c>
      <c r="H85" s="183">
        <f>F85*G85</f>
        <v/>
      </c>
      <c r="I85" s="183" t="n">
        <v>0</v>
      </c>
      <c r="J85" s="183">
        <f>IFERROR(H85+I85,"")</f>
        <v/>
      </c>
      <c r="K85" s="183">
        <f>IFERROR(J85/G85,"")</f>
        <v/>
      </c>
      <c r="L85" s="183" t="n">
        <v>9</v>
      </c>
      <c r="M85" s="183">
        <f>IF($B$3&lt;$E85,"",$L85-$J85)</f>
        <v/>
      </c>
      <c r="N85" s="183">
        <f>IF($B$3&lt;$C85,"FUTURA",IF($B$3&lt;=$D85,"EM ANDAMENTO",IF($B$3&lt;$E85,"AGUARDANDO CORTE",IF($M85&gt;=0,"META ATINGIDA","GAP A RECUPERAR"))))</f>
        <v/>
      </c>
      <c r="O85" s="184" t="n"/>
      <c r="P85" s="175" t="n"/>
    </row>
    <row r="86">
      <c r="A86" s="179" t="inlineStr">
        <is>
          <t>GLOBO AÇOS</t>
        </is>
      </c>
      <c r="B86" s="179" t="inlineStr">
        <is>
          <t>PERFILAÇÃO</t>
        </is>
      </c>
      <c r="C86" s="192" t="n">
        <v>46272</v>
      </c>
      <c r="D86" s="192" t="n">
        <v>46277</v>
      </c>
      <c r="E86" s="192" t="n">
        <v>46277</v>
      </c>
      <c r="F86" s="193" t="n">
        <v>19</v>
      </c>
      <c r="G86" s="194" t="n">
        <v>5</v>
      </c>
      <c r="H86" s="183">
        <f>F86*G86</f>
        <v/>
      </c>
      <c r="I86" s="183" t="n">
        <v>0</v>
      </c>
      <c r="J86" s="183">
        <f>IFERROR(H86+I86,"")</f>
        <v/>
      </c>
      <c r="K86" s="183">
        <f>IFERROR(J86/G86,"")</f>
        <v/>
      </c>
      <c r="L86" s="183">
        <f>IFERROR(SUM(INDEX('CONTROLE PRODUÇÃO POR EMPRESAS'!$H$6:$H$5000,MATCH(C86,'CONTROLE PRODUÇÃO POR EMPRESAS'!$A$6:$A$5000,0)):INDEX('CONTROLE PRODUÇÃO POR EMPRESAS'!$H$6:$H$5000,MATCH(D86,'CONTROLE PRODUÇÃO POR EMPRESAS'!$A$6:$A$5000,0))),0)</f>
        <v/>
      </c>
      <c r="M86" s="183">
        <f>IF($B$3&lt;$E86,"",$L86-$J86)</f>
        <v/>
      </c>
      <c r="N86" s="183">
        <f>IF($B$3&lt;$C86,"FUTURA",IF($B$3&lt;=$D86,"EM ANDAMENTO",IF($B$3&lt;$E86,"AGUARDANDO CORTE",IF($M86&gt;=0,"META ATINGIDA","GAP A RECUPERAR"))))</f>
        <v/>
      </c>
      <c r="O86" s="184" t="n"/>
      <c r="P86" s="175" t="n"/>
    </row>
    <row r="87">
      <c r="A87" s="179" t="inlineStr">
        <is>
          <t>GLOBO AÇOS</t>
        </is>
      </c>
      <c r="B87" s="179" t="inlineStr">
        <is>
          <t>TELHAR</t>
        </is>
      </c>
      <c r="C87" s="192" t="n">
        <v>46272</v>
      </c>
      <c r="D87" s="192" t="n">
        <v>46277</v>
      </c>
      <c r="E87" s="192" t="n">
        <v>46277</v>
      </c>
      <c r="F87" s="193" t="n">
        <v>7</v>
      </c>
      <c r="G87" s="194" t="n">
        <v>5</v>
      </c>
      <c r="H87" s="183">
        <f>F87*G87</f>
        <v/>
      </c>
      <c r="I87" s="183" t="n">
        <v>0</v>
      </c>
      <c r="J87" s="183">
        <f>IFERROR(H87+I87,"")</f>
        <v/>
      </c>
      <c r="K87" s="183">
        <f>IFERROR(J87/G87,"")</f>
        <v/>
      </c>
      <c r="L87" s="183">
        <f>IFERROR(SUM(INDEX('CONTROLE PRODUÇÃO POR EMPRESAS'!$I$6:$I$5000,MATCH(C87,'CONTROLE PRODUÇÃO POR EMPRESAS'!$A$6:$A$5000,0)):INDEX('CONTROLE PRODUÇÃO POR EMPRESAS'!$I$6:$I$5000,MATCH(D87,'CONTROLE PRODUÇÃO POR EMPRESAS'!$A$6:$A$5000,0))),0)</f>
        <v/>
      </c>
      <c r="M87" s="183">
        <f>IF($B$3&lt;$E87,"",$L87-$J87)</f>
        <v/>
      </c>
      <c r="N87" s="183">
        <f>IF($B$3&lt;$C87,"FUTURA",IF($B$3&lt;=$D87,"EM ANDAMENTO",IF($B$3&lt;$E87,"AGUARDANDO CORTE",IF($M87&gt;=0,"META ATINGIDA","GAP A RECUPERAR"))))</f>
        <v/>
      </c>
      <c r="O87" s="184" t="n"/>
      <c r="P87" s="175" t="n"/>
    </row>
    <row r="88">
      <c r="A88" s="179" t="inlineStr">
        <is>
          <t>GLOBO AÇOS</t>
        </is>
      </c>
      <c r="B88" s="179" t="inlineStr">
        <is>
          <t>FECHAMENTO</t>
        </is>
      </c>
      <c r="C88" s="192" t="n">
        <v>46272</v>
      </c>
      <c r="D88" s="192" t="n">
        <v>46277</v>
      </c>
      <c r="E88" s="192" t="n">
        <v>46277</v>
      </c>
      <c r="F88" s="193" t="n">
        <v>0</v>
      </c>
      <c r="G88" s="194" t="n">
        <v>5</v>
      </c>
      <c r="H88" s="183">
        <f>F88*G88</f>
        <v/>
      </c>
      <c r="I88" s="183" t="n">
        <v>0</v>
      </c>
      <c r="J88" s="183">
        <f>IFERROR(H88+I88,"")</f>
        <v/>
      </c>
      <c r="K88" s="183">
        <f>IFERROR(J88/G88,"")</f>
        <v/>
      </c>
      <c r="L88" s="183">
        <f>IFERROR(SUM(INDEX('CONTROLE PRODUÇÃO POR EMPRESAS'!$J$6:$J$5000,MATCH(C88,'CONTROLE PRODUÇÃO POR EMPRESAS'!$A$6:$A$5000,0)):INDEX('CONTROLE PRODUÇÃO POR EMPRESAS'!$J$6:$J$5000,MATCH(D88,'CONTROLE PRODUÇÃO POR EMPRESAS'!$A$6:$A$5000,0))),0)</f>
        <v/>
      </c>
      <c r="M88" s="183">
        <f>IF($B$3&lt;$E88,"",$L88-$J88)</f>
        <v/>
      </c>
      <c r="N88" s="183">
        <f>IF($B$3&lt;$C88,"FUTURA",IF($B$3&lt;=$D88,"EM ANDAMENTO",IF($B$3&lt;$E88,"AGUARDANDO CORTE",IF($M88&gt;=0,"META ATINGIDA","GAP A RECUPERAR"))))</f>
        <v/>
      </c>
      <c r="O88" s="184" t="n"/>
      <c r="P88" s="175" t="n"/>
    </row>
    <row r="89">
      <c r="A89" s="179" t="inlineStr">
        <is>
          <t>EJ</t>
        </is>
      </c>
      <c r="B89" s="179" t="inlineStr">
        <is>
          <t>PREMONTAGEM</t>
        </is>
      </c>
      <c r="C89" s="192" t="n">
        <v>46279</v>
      </c>
      <c r="D89" s="192" t="n">
        <v>46284</v>
      </c>
      <c r="E89" s="192" t="n">
        <v>46284</v>
      </c>
      <c r="F89" s="193" t="n">
        <v>6</v>
      </c>
      <c r="G89" s="194" t="n">
        <v>5</v>
      </c>
      <c r="H89" s="183">
        <f>F89*G89</f>
        <v/>
      </c>
      <c r="I89" s="183" t="n">
        <v>0</v>
      </c>
      <c r="J89" s="183">
        <f>IFERROR(H89+I89,"")</f>
        <v/>
      </c>
      <c r="K89" s="183">
        <f>IFERROR(J89/G89,"")</f>
        <v/>
      </c>
      <c r="L89" s="183" t="n">
        <v>11</v>
      </c>
      <c r="M89" s="183">
        <f>IF($B$3&lt;$E89,"",$L89-$J89)</f>
        <v/>
      </c>
      <c r="N89" s="183">
        <f>IF($B$3&lt;$C89,"FUTURA",IF($B$3&lt;=$D89,"EM ANDAMENTO",IF($B$3&lt;$E89,"AGUARDANDO CORTE",IF($M89&gt;=0,"META ATINGIDA","GAP A RECUPERAR"))))</f>
        <v/>
      </c>
      <c r="O89" s="184" t="n"/>
      <c r="P89" s="175" t="n"/>
    </row>
    <row r="90">
      <c r="A90" s="179" t="inlineStr">
        <is>
          <t>EJ</t>
        </is>
      </c>
      <c r="B90" s="179" t="inlineStr">
        <is>
          <t>IÇAMENTO JOIST</t>
        </is>
      </c>
      <c r="C90" s="192" t="n">
        <v>46279</v>
      </c>
      <c r="D90" s="192" t="n">
        <v>46284</v>
      </c>
      <c r="E90" s="192" t="n">
        <v>46284</v>
      </c>
      <c r="F90" s="193" t="n">
        <v>5</v>
      </c>
      <c r="G90" s="194" t="n">
        <v>5</v>
      </c>
      <c r="H90" s="183">
        <f>F90*G90</f>
        <v/>
      </c>
      <c r="I90" s="183" t="n">
        <v>0</v>
      </c>
      <c r="J90" s="183">
        <f>IFERROR(H90+I90,"")</f>
        <v/>
      </c>
      <c r="K90" s="183">
        <f>IFERROR(J90/G90,"")</f>
        <v/>
      </c>
      <c r="L90" s="183" t="n">
        <v>8</v>
      </c>
      <c r="M90" s="183">
        <f>IF($B$3&lt;$E90,"",$L90-$J90)</f>
        <v/>
      </c>
      <c r="N90" s="183">
        <f>IF($B$3&lt;$C90,"FUTURA",IF($B$3&lt;=$D90,"EM ANDAMENTO",IF($B$3&lt;$E90,"AGUARDANDO CORTE",IF($M90&gt;=0,"META ATINGIDA","GAP A RECUPERAR"))))</f>
        <v/>
      </c>
      <c r="O90" s="184" t="n"/>
      <c r="P90" s="175" t="n"/>
    </row>
    <row r="91">
      <c r="A91" s="179" t="inlineStr">
        <is>
          <t>EJ</t>
        </is>
      </c>
      <c r="B91" s="179" t="inlineStr">
        <is>
          <t>VIGAS</t>
        </is>
      </c>
      <c r="C91" s="192" t="n">
        <v>46279</v>
      </c>
      <c r="D91" s="192" t="n">
        <v>46284</v>
      </c>
      <c r="E91" s="192" t="n">
        <v>46284</v>
      </c>
      <c r="F91" s="193" t="n">
        <v>2</v>
      </c>
      <c r="G91" s="194" t="n">
        <v>5</v>
      </c>
      <c r="H91" s="183">
        <f>F91*G91</f>
        <v/>
      </c>
      <c r="I91" s="183" t="n">
        <v>0</v>
      </c>
      <c r="J91" s="183">
        <f>IFERROR(H91+I91,"")</f>
        <v/>
      </c>
      <c r="K91" s="183">
        <f>IFERROR(J91/G91,"")</f>
        <v/>
      </c>
      <c r="L91" s="183" t="n">
        <v>4</v>
      </c>
      <c r="M91" s="183">
        <f>IF($B$3&lt;$E91,"",$L91-$J91)</f>
        <v/>
      </c>
      <c r="N91" s="183">
        <f>IF($B$3&lt;$C91,"FUTURA",IF($B$3&lt;=$D91,"EM ANDAMENTO",IF($B$3&lt;$E91,"AGUARDANDO CORTE",IF($M91&gt;=0,"META ATINGIDA","GAP A RECUPERAR"))))</f>
        <v/>
      </c>
      <c r="O91" s="184" t="n"/>
      <c r="P91" s="175" t="n"/>
    </row>
    <row r="92">
      <c r="A92" s="179" t="inlineStr">
        <is>
          <t>CMM</t>
        </is>
      </c>
      <c r="B92" s="179" t="inlineStr">
        <is>
          <t>PREMONTAGEM</t>
        </is>
      </c>
      <c r="C92" s="192" t="n">
        <v>46279</v>
      </c>
      <c r="D92" s="192" t="n">
        <v>46284</v>
      </c>
      <c r="E92" s="192" t="n">
        <v>46284</v>
      </c>
      <c r="F92" s="193" t="n">
        <v>6</v>
      </c>
      <c r="G92" s="194" t="n">
        <v>5</v>
      </c>
      <c r="H92" s="183">
        <f>F92*G92</f>
        <v/>
      </c>
      <c r="I92" s="183" t="n">
        <v>0</v>
      </c>
      <c r="J92" s="183">
        <f>IFERROR(H92+I92,"")</f>
        <v/>
      </c>
      <c r="K92" s="183">
        <f>IFERROR(J92/G92,"")</f>
        <v/>
      </c>
      <c r="L92" s="183" t="n">
        <v>18</v>
      </c>
      <c r="M92" s="183">
        <f>IF($B$3&lt;$E92,"",$L92-$J92)</f>
        <v/>
      </c>
      <c r="N92" s="183">
        <f>IF($B$3&lt;$C92,"FUTURA",IF($B$3&lt;=$D92,"EM ANDAMENTO",IF($B$3&lt;$E92,"AGUARDANDO CORTE",IF($M92&gt;=0,"META ATINGIDA","GAP A RECUPERAR"))))</f>
        <v/>
      </c>
      <c r="O92" s="184" t="n"/>
      <c r="P92" s="175" t="n"/>
    </row>
    <row r="93">
      <c r="A93" s="179" t="inlineStr">
        <is>
          <t>CMM</t>
        </is>
      </c>
      <c r="B93" s="179" t="inlineStr">
        <is>
          <t>IÇAMENTO JOIST</t>
        </is>
      </c>
      <c r="C93" s="192" t="n">
        <v>46279</v>
      </c>
      <c r="D93" s="192" t="n">
        <v>46284</v>
      </c>
      <c r="E93" s="192" t="n">
        <v>46284</v>
      </c>
      <c r="F93" s="193" t="n">
        <v>5</v>
      </c>
      <c r="G93" s="194" t="n">
        <v>5</v>
      </c>
      <c r="H93" s="183">
        <f>F93*G93</f>
        <v/>
      </c>
      <c r="I93" s="183" t="n">
        <v>0</v>
      </c>
      <c r="J93" s="183">
        <f>IFERROR(H93+I93,"")</f>
        <v/>
      </c>
      <c r="K93" s="183">
        <f>IFERROR(J93/G93,"")</f>
        <v/>
      </c>
      <c r="L93" s="183" t="n">
        <v>17</v>
      </c>
      <c r="M93" s="183">
        <f>IF($B$3&lt;$E93,"",$L93-$J93)</f>
        <v/>
      </c>
      <c r="N93" s="183">
        <f>IF($B$3&lt;$C93,"FUTURA",IF($B$3&lt;=$D93,"EM ANDAMENTO",IF($B$3&lt;$E93,"AGUARDANDO CORTE",IF($M93&gt;=0,"META ATINGIDA","GAP A RECUPERAR"))))</f>
        <v/>
      </c>
      <c r="O93" s="184" t="n"/>
      <c r="P93" s="175" t="n"/>
    </row>
    <row r="94">
      <c r="A94" s="179" t="inlineStr">
        <is>
          <t>CMM</t>
        </is>
      </c>
      <c r="B94" s="179" t="inlineStr">
        <is>
          <t>VIGAS</t>
        </is>
      </c>
      <c r="C94" s="192" t="n">
        <v>46279</v>
      </c>
      <c r="D94" s="192" t="n">
        <v>46284</v>
      </c>
      <c r="E94" s="192" t="n">
        <v>46284</v>
      </c>
      <c r="F94" s="193" t="n">
        <v>2</v>
      </c>
      <c r="G94" s="194" t="n">
        <v>5</v>
      </c>
      <c r="H94" s="183">
        <f>F94*G94</f>
        <v/>
      </c>
      <c r="I94" s="183" t="n">
        <v>0</v>
      </c>
      <c r="J94" s="183">
        <f>IFERROR(H94+I94,"")</f>
        <v/>
      </c>
      <c r="K94" s="183">
        <f>IFERROR(J94/G94,"")</f>
        <v/>
      </c>
      <c r="L94" s="183" t="n">
        <v>7</v>
      </c>
      <c r="M94" s="183">
        <f>IF($B$3&lt;$E94,"",$L94-$J94)</f>
        <v/>
      </c>
      <c r="N94" s="183">
        <f>IF($B$3&lt;$C94,"FUTURA",IF($B$3&lt;=$D94,"EM ANDAMENTO",IF($B$3&lt;$E94,"AGUARDANDO CORTE",IF($M94&gt;=0,"META ATINGIDA","GAP A RECUPERAR"))))</f>
        <v/>
      </c>
      <c r="O94" s="184" t="n"/>
      <c r="P94" s="175" t="n"/>
    </row>
    <row r="95">
      <c r="A95" s="179" t="inlineStr">
        <is>
          <t>GLOBO AÇOS</t>
        </is>
      </c>
      <c r="B95" s="179" t="inlineStr">
        <is>
          <t>PERFILAÇÃO</t>
        </is>
      </c>
      <c r="C95" s="192" t="n">
        <v>46279</v>
      </c>
      <c r="D95" s="192" t="n">
        <v>46284</v>
      </c>
      <c r="E95" s="192" t="n">
        <v>46284</v>
      </c>
      <c r="F95" s="193" t="n">
        <v>19</v>
      </c>
      <c r="G95" s="194" t="n">
        <v>5</v>
      </c>
      <c r="H95" s="183">
        <f>F95*G95</f>
        <v/>
      </c>
      <c r="I95" s="183" t="n">
        <v>0</v>
      </c>
      <c r="J95" s="183">
        <f>IFERROR(H95+I95,"")</f>
        <v/>
      </c>
      <c r="K95" s="183">
        <f>IFERROR(J95/G95,"")</f>
        <v/>
      </c>
      <c r="L95" s="183">
        <f>IFERROR(SUM(INDEX('CONTROLE PRODUÇÃO POR EMPRESAS'!$H$6:$H$5000,MATCH(C95,'CONTROLE PRODUÇÃO POR EMPRESAS'!$A$6:$A$5000,0)):INDEX('CONTROLE PRODUÇÃO POR EMPRESAS'!$H$6:$H$5000,MATCH(D95,'CONTROLE PRODUÇÃO POR EMPRESAS'!$A$6:$A$5000,0))),0)</f>
        <v/>
      </c>
      <c r="M95" s="183">
        <f>IF($B$3&lt;$E95,"",$L95-$J95)</f>
        <v/>
      </c>
      <c r="N95" s="183">
        <f>IF($B$3&lt;$C95,"FUTURA",IF($B$3&lt;=$D95,"EM ANDAMENTO",IF($B$3&lt;$E95,"AGUARDANDO CORTE",IF($M95&gt;=0,"META ATINGIDA","GAP A RECUPERAR"))))</f>
        <v/>
      </c>
      <c r="O95" s="184" t="n"/>
      <c r="P95" s="175" t="n"/>
    </row>
    <row r="96">
      <c r="A96" s="179" t="inlineStr">
        <is>
          <t>GLOBO AÇOS</t>
        </is>
      </c>
      <c r="B96" s="179" t="inlineStr">
        <is>
          <t>TELHAR</t>
        </is>
      </c>
      <c r="C96" s="192" t="n">
        <v>46279</v>
      </c>
      <c r="D96" s="192" t="n">
        <v>46284</v>
      </c>
      <c r="E96" s="192" t="n">
        <v>46284</v>
      </c>
      <c r="F96" s="193" t="n">
        <v>7</v>
      </c>
      <c r="G96" s="194" t="n">
        <v>5</v>
      </c>
      <c r="H96" s="183">
        <f>F96*G96</f>
        <v/>
      </c>
      <c r="I96" s="183" t="n">
        <v>0</v>
      </c>
      <c r="J96" s="183">
        <f>IFERROR(H96+I96,"")</f>
        <v/>
      </c>
      <c r="K96" s="183">
        <f>IFERROR(J96/G96,"")</f>
        <v/>
      </c>
      <c r="L96" s="183">
        <f>IFERROR(SUM(INDEX('CONTROLE PRODUÇÃO POR EMPRESAS'!$I$6:$I$5000,MATCH(C96,'CONTROLE PRODUÇÃO POR EMPRESAS'!$A$6:$A$5000,0)):INDEX('CONTROLE PRODUÇÃO POR EMPRESAS'!$I$6:$I$5000,MATCH(D96,'CONTROLE PRODUÇÃO POR EMPRESAS'!$A$6:$A$5000,0))),0)</f>
        <v/>
      </c>
      <c r="M96" s="183">
        <f>IF($B$3&lt;$E96,"",$L96-$J96)</f>
        <v/>
      </c>
      <c r="N96" s="183">
        <f>IF($B$3&lt;$C96,"FUTURA",IF($B$3&lt;=$D96,"EM ANDAMENTO",IF($B$3&lt;$E96,"AGUARDANDO CORTE",IF($M96&gt;=0,"META ATINGIDA","GAP A RECUPERAR"))))</f>
        <v/>
      </c>
      <c r="O96" s="184" t="n"/>
      <c r="P96" s="175" t="n"/>
    </row>
    <row r="97">
      <c r="A97" s="179" t="inlineStr">
        <is>
          <t>GLOBO AÇOS</t>
        </is>
      </c>
      <c r="B97" s="179" t="inlineStr">
        <is>
          <t>FECHAMENTO</t>
        </is>
      </c>
      <c r="C97" s="192" t="n">
        <v>46279</v>
      </c>
      <c r="D97" s="192" t="n">
        <v>46284</v>
      </c>
      <c r="E97" s="192" t="n">
        <v>46284</v>
      </c>
      <c r="F97" s="193" t="n">
        <v>0</v>
      </c>
      <c r="G97" s="194" t="n">
        <v>5</v>
      </c>
      <c r="H97" s="183">
        <f>F97*G97</f>
        <v/>
      </c>
      <c r="I97" s="183" t="n">
        <v>0</v>
      </c>
      <c r="J97" s="183">
        <f>IFERROR(H97+I97,"")</f>
        <v/>
      </c>
      <c r="K97" s="183">
        <f>IFERROR(J97/G97,"")</f>
        <v/>
      </c>
      <c r="L97" s="183">
        <f>IFERROR(SUM(INDEX('CONTROLE PRODUÇÃO POR EMPRESAS'!$J$6:$J$5000,MATCH(C97,'CONTROLE PRODUÇÃO POR EMPRESAS'!$A$6:$A$5000,0)):INDEX('CONTROLE PRODUÇÃO POR EMPRESAS'!$J$6:$J$5000,MATCH(D97,'CONTROLE PRODUÇÃO POR EMPRESAS'!$A$6:$A$5000,0))),0)</f>
        <v/>
      </c>
      <c r="M97" s="183">
        <f>IF($B$3&lt;$E97,"",$L97-$J97)</f>
        <v/>
      </c>
      <c r="N97" s="183">
        <f>IF($B$3&lt;$C97,"FUTURA",IF($B$3&lt;=$D97,"EM ANDAMENTO",IF($B$3&lt;$E97,"AGUARDANDO CORTE",IF($M97&gt;=0,"META ATINGIDA","GAP A RECUPERAR"))))</f>
        <v/>
      </c>
      <c r="O97" s="184" t="n"/>
      <c r="P97" s="175" t="n"/>
    </row>
    <row r="98">
      <c r="A98" s="179" t="inlineStr">
        <is>
          <t>EJ</t>
        </is>
      </c>
      <c r="B98" s="179" t="inlineStr">
        <is>
          <t>PREMONTAGEM</t>
        </is>
      </c>
      <c r="C98" s="192" t="n">
        <v>46286</v>
      </c>
      <c r="D98" s="192" t="n">
        <v>46290</v>
      </c>
      <c r="E98" s="192" t="n">
        <v>46291</v>
      </c>
      <c r="F98" s="193" t="n">
        <v>6</v>
      </c>
      <c r="G98" s="194" t="n">
        <v>5</v>
      </c>
      <c r="H98" s="183">
        <f>F98*G98</f>
        <v/>
      </c>
      <c r="I98" s="183" t="n">
        <v>0</v>
      </c>
      <c r="J98" s="183">
        <f>IFERROR(H98+I98,"")</f>
        <v/>
      </c>
      <c r="K98" s="183">
        <f>IFERROR(J98/G98,"")</f>
        <v/>
      </c>
      <c r="L98" s="183" t="n">
        <v>13</v>
      </c>
      <c r="M98" s="183">
        <f>IF($B$3&lt;$E98,"",$L98-$J98)</f>
        <v/>
      </c>
      <c r="N98" s="183">
        <f>IF($B$3&lt;$C98,"FUTURA",IF($B$3&lt;=$D98,"EM ANDAMENTO",IF($B$3&lt;$E98,"AGUARDANDO CORTE",IF($M98&gt;=0,"META ATINGIDA","GAP A RECUPERAR"))))</f>
        <v/>
      </c>
      <c r="O98" s="184" t="n"/>
      <c r="P98" s="175" t="n"/>
    </row>
    <row r="99">
      <c r="A99" s="179" t="inlineStr">
        <is>
          <t>EJ</t>
        </is>
      </c>
      <c r="B99" s="179" t="inlineStr">
        <is>
          <t>IÇAMENTO JOIST</t>
        </is>
      </c>
      <c r="C99" s="192" t="n">
        <v>46286</v>
      </c>
      <c r="D99" s="192" t="n">
        <v>46290</v>
      </c>
      <c r="E99" s="192" t="n">
        <v>46291</v>
      </c>
      <c r="F99" s="193" t="n">
        <v>5</v>
      </c>
      <c r="G99" s="194" t="n">
        <v>5</v>
      </c>
      <c r="H99" s="183">
        <f>F99*G99</f>
        <v/>
      </c>
      <c r="I99" s="183" t="n">
        <v>0</v>
      </c>
      <c r="J99" s="183">
        <f>IFERROR(H99+I99,"")</f>
        <v/>
      </c>
      <c r="K99" s="183">
        <f>IFERROR(J99/G99,"")</f>
        <v/>
      </c>
      <c r="L99" s="183" t="n">
        <v>20</v>
      </c>
      <c r="M99" s="183">
        <f>IF($B$3&lt;$E99,"",$L99-$J99)</f>
        <v/>
      </c>
      <c r="N99" s="183">
        <f>IF($B$3&lt;$C99,"FUTURA",IF($B$3&lt;=$D99,"EM ANDAMENTO",IF($B$3&lt;$E99,"AGUARDANDO CORTE",IF($M99&gt;=0,"META ATINGIDA","GAP A RECUPERAR"))))</f>
        <v/>
      </c>
      <c r="O99" s="184" t="n"/>
      <c r="P99" s="175" t="n"/>
    </row>
    <row r="100">
      <c r="A100" s="179" t="inlineStr">
        <is>
          <t>EJ</t>
        </is>
      </c>
      <c r="B100" s="179" t="inlineStr">
        <is>
          <t>VIGAS</t>
        </is>
      </c>
      <c r="C100" s="192" t="n">
        <v>46286</v>
      </c>
      <c r="D100" s="192" t="n">
        <v>46290</v>
      </c>
      <c r="E100" s="192" t="n">
        <v>46291</v>
      </c>
      <c r="F100" s="193" t="n">
        <v>2</v>
      </c>
      <c r="G100" s="194" t="n">
        <v>5</v>
      </c>
      <c r="H100" s="183">
        <f>F100*G100</f>
        <v/>
      </c>
      <c r="I100" s="183" t="n">
        <v>0</v>
      </c>
      <c r="J100" s="183">
        <f>IFERROR(H100+I100,"")</f>
        <v/>
      </c>
      <c r="K100" s="183">
        <f>IFERROR(J100/G100,"")</f>
        <v/>
      </c>
      <c r="L100" s="183" t="n">
        <v>7</v>
      </c>
      <c r="M100" s="183">
        <f>IF($B$3&lt;$E100,"",$L100-$J100)</f>
        <v/>
      </c>
      <c r="N100" s="183">
        <f>IF($B$3&lt;$C100,"FUTURA",IF($B$3&lt;=$D100,"EM ANDAMENTO",IF($B$3&lt;$E100,"AGUARDANDO CORTE",IF($M100&gt;=0,"META ATINGIDA","GAP A RECUPERAR"))))</f>
        <v/>
      </c>
      <c r="O100" s="184" t="n"/>
      <c r="P100" s="175" t="n"/>
    </row>
    <row r="101">
      <c r="A101" s="179" t="inlineStr">
        <is>
          <t>CMM</t>
        </is>
      </c>
      <c r="B101" s="179" t="inlineStr">
        <is>
          <t>PREMONTAGEM</t>
        </is>
      </c>
      <c r="C101" s="192" t="n">
        <v>46286</v>
      </c>
      <c r="D101" s="192" t="n">
        <v>46290</v>
      </c>
      <c r="E101" s="192" t="n">
        <v>46291</v>
      </c>
      <c r="F101" s="193" t="n">
        <v>6</v>
      </c>
      <c r="G101" s="194" t="n">
        <v>5</v>
      </c>
      <c r="H101" s="183">
        <f>F101*G101</f>
        <v/>
      </c>
      <c r="I101" s="183" t="n">
        <v>0</v>
      </c>
      <c r="J101" s="183">
        <f>IFERROR(H101+I101,"")</f>
        <v/>
      </c>
      <c r="K101" s="183">
        <f>IFERROR(J101/G101,"")</f>
        <v/>
      </c>
      <c r="L101" s="183" t="n">
        <v>14</v>
      </c>
      <c r="M101" s="183">
        <f>IF($B$3&lt;$E101,"",$L101-$J101)</f>
        <v/>
      </c>
      <c r="N101" s="183">
        <f>IF($B$3&lt;$C101,"FUTURA",IF($B$3&lt;=$D101,"EM ANDAMENTO",IF($B$3&lt;$E101,"AGUARDANDO CORTE",IF($M101&gt;=0,"META ATINGIDA","GAP A RECUPERAR"))))</f>
        <v/>
      </c>
      <c r="O101" s="184" t="n"/>
      <c r="P101" s="175" t="n"/>
    </row>
    <row r="102">
      <c r="A102" s="179" t="inlineStr">
        <is>
          <t>CMM</t>
        </is>
      </c>
      <c r="B102" s="179" t="inlineStr">
        <is>
          <t>IÇAMENTO JOIST</t>
        </is>
      </c>
      <c r="C102" s="192" t="n">
        <v>46286</v>
      </c>
      <c r="D102" s="192" t="n">
        <v>46290</v>
      </c>
      <c r="E102" s="192" t="n">
        <v>46291</v>
      </c>
      <c r="F102" s="193" t="n">
        <v>5</v>
      </c>
      <c r="G102" s="194" t="n">
        <v>5</v>
      </c>
      <c r="H102" s="183">
        <f>F102*G102</f>
        <v/>
      </c>
      <c r="I102" s="183" t="n">
        <v>0</v>
      </c>
      <c r="J102" s="183">
        <f>IFERROR(H102+I102,"")</f>
        <v/>
      </c>
      <c r="K102" s="183">
        <f>IFERROR(J102/G102,"")</f>
        <v/>
      </c>
      <c r="L102" s="183" t="n">
        <v>8</v>
      </c>
      <c r="M102" s="183">
        <f>IF($B$3&lt;$E102,"",$L102-$J102)</f>
        <v/>
      </c>
      <c r="N102" s="183">
        <f>IF($B$3&lt;$C102,"FUTURA",IF($B$3&lt;=$D102,"EM ANDAMENTO",IF($B$3&lt;$E102,"AGUARDANDO CORTE",IF($M102&gt;=0,"META ATINGIDA","GAP A RECUPERAR"))))</f>
        <v/>
      </c>
      <c r="O102" s="184" t="n"/>
      <c r="P102" s="175" t="n"/>
    </row>
    <row r="103">
      <c r="A103" s="179" t="inlineStr">
        <is>
          <t>CMM</t>
        </is>
      </c>
      <c r="B103" s="179" t="inlineStr">
        <is>
          <t>VIGAS</t>
        </is>
      </c>
      <c r="C103" s="192" t="n">
        <v>46286</v>
      </c>
      <c r="D103" s="192" t="n">
        <v>46290</v>
      </c>
      <c r="E103" s="192" t="n">
        <v>46291</v>
      </c>
      <c r="F103" s="193" t="n">
        <v>2</v>
      </c>
      <c r="G103" s="194" t="n">
        <v>5</v>
      </c>
      <c r="H103" s="183">
        <f>F103*G103</f>
        <v/>
      </c>
      <c r="I103" s="183" t="n">
        <v>0</v>
      </c>
      <c r="J103" s="183">
        <f>IFERROR(H103+I103,"")</f>
        <v/>
      </c>
      <c r="K103" s="183">
        <f>IFERROR(J103/G103,"")</f>
        <v/>
      </c>
      <c r="L103" s="183" t="n">
        <v>0</v>
      </c>
      <c r="M103" s="183">
        <f>IF($B$3&lt;$E103,"",$L103-$J103)</f>
        <v/>
      </c>
      <c r="N103" s="183">
        <f>IF($B$3&lt;$C103,"FUTURA",IF($B$3&lt;=$D103,"EM ANDAMENTO",IF($B$3&lt;$E103,"AGUARDANDO CORTE",IF($M103&gt;=0,"META ATINGIDA","GAP A RECUPERAR"))))</f>
        <v/>
      </c>
      <c r="O103" s="184" t="n"/>
      <c r="P103" s="175" t="n"/>
    </row>
    <row r="104">
      <c r="A104" s="179" t="inlineStr">
        <is>
          <t>GLOBO AÇOS</t>
        </is>
      </c>
      <c r="B104" s="179" t="inlineStr">
        <is>
          <t>PERFILAÇÃO</t>
        </is>
      </c>
      <c r="C104" s="192" t="n">
        <v>46286</v>
      </c>
      <c r="D104" s="192" t="n">
        <v>46290</v>
      </c>
      <c r="E104" s="192" t="n">
        <v>46291</v>
      </c>
      <c r="F104" s="193" t="n">
        <v>19</v>
      </c>
      <c r="G104" s="194" t="n">
        <v>5</v>
      </c>
      <c r="H104" s="183">
        <f>F104*G104</f>
        <v/>
      </c>
      <c r="I104" s="183" t="n">
        <v>0</v>
      </c>
      <c r="J104" s="183">
        <f>IFERROR(H104+I104,"")</f>
        <v/>
      </c>
      <c r="K104" s="183">
        <f>IFERROR(J104/G104,"")</f>
        <v/>
      </c>
      <c r="L104" s="183">
        <f>IFERROR(SUM(INDEX('CONTROLE PRODUÇÃO POR EMPRESAS'!$H$6:$H$5000,MATCH(C104,'CONTROLE PRODUÇÃO POR EMPRESAS'!$A$6:$A$5000,0)):INDEX('CONTROLE PRODUÇÃO POR EMPRESAS'!$H$6:$H$5000,MATCH(D104,'CONTROLE PRODUÇÃO POR EMPRESAS'!$A$6:$A$5000,0))),0)</f>
        <v/>
      </c>
      <c r="M104" s="183">
        <f>IF($B$3&lt;$E104,"",$L104-$J104)</f>
        <v/>
      </c>
      <c r="N104" s="183">
        <f>IF($B$3&lt;$C104,"FUTURA",IF($B$3&lt;=$D104,"EM ANDAMENTO",IF($B$3&lt;$E104,"AGUARDANDO CORTE",IF($M104&gt;=0,"META ATINGIDA","GAP A RECUPERAR"))))</f>
        <v/>
      </c>
      <c r="O104" s="184" t="n"/>
      <c r="P104" s="175" t="n"/>
    </row>
    <row r="105">
      <c r="A105" s="179" t="inlineStr">
        <is>
          <t>GLOBO AÇOS</t>
        </is>
      </c>
      <c r="B105" s="179" t="inlineStr">
        <is>
          <t>TELHAR</t>
        </is>
      </c>
      <c r="C105" s="192" t="n">
        <v>46286</v>
      </c>
      <c r="D105" s="192" t="n">
        <v>46290</v>
      </c>
      <c r="E105" s="192" t="n">
        <v>46291</v>
      </c>
      <c r="F105" s="193" t="n">
        <v>7</v>
      </c>
      <c r="G105" s="194" t="n">
        <v>5</v>
      </c>
      <c r="H105" s="183">
        <f>F105*G105</f>
        <v/>
      </c>
      <c r="I105" s="183" t="n">
        <v>0</v>
      </c>
      <c r="J105" s="183">
        <f>IFERROR(H105+I105,"")</f>
        <v/>
      </c>
      <c r="K105" s="183">
        <f>IFERROR(J105/G105,"")</f>
        <v/>
      </c>
      <c r="L105" s="183">
        <f>IFERROR(SUM(INDEX('CONTROLE PRODUÇÃO POR EMPRESAS'!$I$6:$I$5000,MATCH(C105,'CONTROLE PRODUÇÃO POR EMPRESAS'!$A$6:$A$5000,0)):INDEX('CONTROLE PRODUÇÃO POR EMPRESAS'!$I$6:$I$5000,MATCH(D105,'CONTROLE PRODUÇÃO POR EMPRESAS'!$A$6:$A$5000,0))),0)</f>
        <v/>
      </c>
      <c r="M105" s="183">
        <f>IF($B$3&lt;$E105,"",$L105-$J105)</f>
        <v/>
      </c>
      <c r="N105" s="183">
        <f>IF($B$3&lt;$C105,"FUTURA",IF($B$3&lt;=$D105,"EM ANDAMENTO",IF($B$3&lt;$E105,"AGUARDANDO CORTE",IF($M105&gt;=0,"META ATINGIDA","GAP A RECUPERAR"))))</f>
        <v/>
      </c>
      <c r="O105" s="184" t="n"/>
      <c r="P105" s="175" t="n"/>
    </row>
    <row r="106">
      <c r="A106" s="179" t="inlineStr">
        <is>
          <t>GLOBO AÇOS</t>
        </is>
      </c>
      <c r="B106" s="179" t="inlineStr">
        <is>
          <t>FECHAMENTO</t>
        </is>
      </c>
      <c r="C106" s="192" t="n">
        <v>46286</v>
      </c>
      <c r="D106" s="192" t="n">
        <v>46290</v>
      </c>
      <c r="E106" s="192" t="n">
        <v>46291</v>
      </c>
      <c r="F106" s="193" t="n">
        <v>0</v>
      </c>
      <c r="G106" s="194" t="n">
        <v>5</v>
      </c>
      <c r="H106" s="183">
        <f>F106*G106</f>
        <v/>
      </c>
      <c r="I106" s="183" t="n">
        <v>0</v>
      </c>
      <c r="J106" s="183">
        <f>IFERROR(H106+I106,"")</f>
        <v/>
      </c>
      <c r="K106" s="183">
        <f>IFERROR(J106/G106,"")</f>
        <v/>
      </c>
      <c r="L106" s="183">
        <f>IFERROR(SUM(INDEX('CONTROLE PRODUÇÃO POR EMPRESAS'!$J$6:$J$5000,MATCH(C106,'CONTROLE PRODUÇÃO POR EMPRESAS'!$A$6:$A$5000,0)):INDEX('CONTROLE PRODUÇÃO POR EMPRESAS'!$J$6:$J$5000,MATCH(D106,'CONTROLE PRODUÇÃO POR EMPRESAS'!$A$6:$A$5000,0))),0)</f>
        <v/>
      </c>
      <c r="M106" s="183">
        <f>IF($B$3&lt;$E106,"",$L106-$J106)</f>
        <v/>
      </c>
      <c r="N106" s="183">
        <f>IF($B$3&lt;$C106,"FUTURA",IF($B$3&lt;=$D106,"EM ANDAMENTO",IF($B$3&lt;$E106,"AGUARDANDO CORTE",IF($M106&gt;=0,"META ATINGIDA","GAP A RECUPERAR"))))</f>
        <v/>
      </c>
      <c r="O106" s="184" t="n"/>
      <c r="P106" s="175" t="n"/>
    </row>
    <row r="107">
      <c r="A107" s="179" t="inlineStr">
        <is>
          <t>EJ</t>
        </is>
      </c>
      <c r="B107" s="179" t="inlineStr">
        <is>
          <t>PREMONTAGEM</t>
        </is>
      </c>
      <c r="C107" s="192" t="n">
        <v>46293</v>
      </c>
      <c r="D107" s="192" t="n">
        <v>46297</v>
      </c>
      <c r="E107" s="192" t="n">
        <v>46298</v>
      </c>
      <c r="F107" s="193" t="n">
        <v>6</v>
      </c>
      <c r="G107" s="194" t="n">
        <v>5</v>
      </c>
      <c r="H107" s="183">
        <f>F107*G107</f>
        <v/>
      </c>
      <c r="I107" s="183" t="n">
        <v>0</v>
      </c>
      <c r="J107" s="183">
        <f>IFERROR(H107+I107,"")</f>
        <v/>
      </c>
      <c r="K107" s="183">
        <f>IFERROR(J107/G107,"")</f>
        <v/>
      </c>
      <c r="L107" s="183" t="n">
        <v>0</v>
      </c>
      <c r="M107" s="183">
        <f>IF($B$3&lt;$E107,"",$L107-$J107)</f>
        <v/>
      </c>
      <c r="N107" s="183">
        <f>IF($B$3&lt;$C107,"FUTURA",IF($B$3&lt;=$D107,"EM ANDAMENTO",IF($B$3&lt;$E107,"AGUARDANDO CORTE",IF($M107&gt;=0,"META ATINGIDA","GAP A RECUPERAR"))))</f>
        <v/>
      </c>
      <c r="O107" s="184" t="n"/>
      <c r="P107" s="175" t="n"/>
    </row>
    <row r="108">
      <c r="A108" s="179" t="inlineStr">
        <is>
          <t>EJ</t>
        </is>
      </c>
      <c r="B108" s="179" t="inlineStr">
        <is>
          <t>IÇAMENTO JOIST</t>
        </is>
      </c>
      <c r="C108" s="192" t="n">
        <v>46293</v>
      </c>
      <c r="D108" s="192" t="n">
        <v>46297</v>
      </c>
      <c r="E108" s="192" t="n">
        <v>46298</v>
      </c>
      <c r="F108" s="193" t="n">
        <v>5</v>
      </c>
      <c r="G108" s="194" t="n">
        <v>5</v>
      </c>
      <c r="H108" s="183">
        <f>F108*G108</f>
        <v/>
      </c>
      <c r="I108" s="183" t="n">
        <v>0</v>
      </c>
      <c r="J108" s="183">
        <f>IFERROR(H108+I108,"")</f>
        <v/>
      </c>
      <c r="K108" s="183">
        <f>IFERROR(J108/G108,"")</f>
        <v/>
      </c>
      <c r="L108" s="183" t="n">
        <v>0</v>
      </c>
      <c r="M108" s="183">
        <f>IF($B$3&lt;$E108,"",$L108-$J108)</f>
        <v/>
      </c>
      <c r="N108" s="183">
        <f>IF($B$3&lt;$C108,"FUTURA",IF($B$3&lt;=$D108,"EM ANDAMENTO",IF($B$3&lt;$E108,"AGUARDANDO CORTE",IF($M108&gt;=0,"META ATINGIDA","GAP A RECUPERAR"))))</f>
        <v/>
      </c>
      <c r="O108" s="184" t="n"/>
      <c r="P108" s="175" t="n"/>
    </row>
    <row r="109">
      <c r="A109" s="179" t="inlineStr">
        <is>
          <t>EJ</t>
        </is>
      </c>
      <c r="B109" s="179" t="inlineStr">
        <is>
          <t>VIGAS</t>
        </is>
      </c>
      <c r="C109" s="192" t="n">
        <v>46293</v>
      </c>
      <c r="D109" s="192" t="n">
        <v>46297</v>
      </c>
      <c r="E109" s="192" t="n">
        <v>46298</v>
      </c>
      <c r="F109" s="193" t="n">
        <v>2</v>
      </c>
      <c r="G109" s="194" t="n">
        <v>5</v>
      </c>
      <c r="H109" s="183">
        <f>F109*G109</f>
        <v/>
      </c>
      <c r="I109" s="183" t="n">
        <v>0</v>
      </c>
      <c r="J109" s="183">
        <f>IFERROR(H109+I109,"")</f>
        <v/>
      </c>
      <c r="K109" s="183">
        <f>IFERROR(J109/G109,"")</f>
        <v/>
      </c>
      <c r="L109" s="183" t="n">
        <v>0</v>
      </c>
      <c r="M109" s="183">
        <f>IF($B$3&lt;$E109,"",$L109-$J109)</f>
        <v/>
      </c>
      <c r="N109" s="183">
        <f>IF($B$3&lt;$C109,"FUTURA",IF($B$3&lt;=$D109,"EM ANDAMENTO",IF($B$3&lt;$E109,"AGUARDANDO CORTE",IF($M109&gt;=0,"META ATINGIDA","GAP A RECUPERAR"))))</f>
        <v/>
      </c>
      <c r="O109" s="184" t="n"/>
      <c r="P109" s="175" t="n"/>
    </row>
    <row r="110">
      <c r="A110" s="179" t="inlineStr">
        <is>
          <t>CMM</t>
        </is>
      </c>
      <c r="B110" s="179" t="inlineStr">
        <is>
          <t>PREMONTAGEM</t>
        </is>
      </c>
      <c r="C110" s="192" t="n">
        <v>46293</v>
      </c>
      <c r="D110" s="192" t="n">
        <v>46297</v>
      </c>
      <c r="E110" s="192" t="n">
        <v>46298</v>
      </c>
      <c r="F110" s="193" t="n">
        <v>6</v>
      </c>
      <c r="G110" s="194" t="n">
        <v>5</v>
      </c>
      <c r="H110" s="183">
        <f>F110*G110</f>
        <v/>
      </c>
      <c r="I110" s="183" t="n">
        <v>0</v>
      </c>
      <c r="J110" s="183">
        <f>IFERROR(H110+I110,"")</f>
        <v/>
      </c>
      <c r="K110" s="183">
        <f>IFERROR(J110/G110,"")</f>
        <v/>
      </c>
      <c r="L110" s="183" t="n">
        <v>0</v>
      </c>
      <c r="M110" s="183">
        <f>IF($B$3&lt;$E110,"",$L110-$J110)</f>
        <v/>
      </c>
      <c r="N110" s="183">
        <f>IF($B$3&lt;$C110,"FUTURA",IF($B$3&lt;=$D110,"EM ANDAMENTO",IF($B$3&lt;$E110,"AGUARDANDO CORTE",IF($M110&gt;=0,"META ATINGIDA","GAP A RECUPERAR"))))</f>
        <v/>
      </c>
      <c r="O110" s="184" t="n"/>
      <c r="P110" s="175" t="n"/>
    </row>
    <row r="111">
      <c r="A111" s="179" t="inlineStr">
        <is>
          <t>CMM</t>
        </is>
      </c>
      <c r="B111" s="179" t="inlineStr">
        <is>
          <t>IÇAMENTO JOIST</t>
        </is>
      </c>
      <c r="C111" s="192" t="n">
        <v>46293</v>
      </c>
      <c r="D111" s="192" t="n">
        <v>46297</v>
      </c>
      <c r="E111" s="192" t="n">
        <v>46298</v>
      </c>
      <c r="F111" s="193" t="n">
        <v>5</v>
      </c>
      <c r="G111" s="194" t="n">
        <v>5</v>
      </c>
      <c r="H111" s="183">
        <f>F111*G111</f>
        <v/>
      </c>
      <c r="I111" s="183" t="n">
        <v>0</v>
      </c>
      <c r="J111" s="183">
        <f>IFERROR(H111+I111,"")</f>
        <v/>
      </c>
      <c r="K111" s="183">
        <f>IFERROR(J111/G111,"")</f>
        <v/>
      </c>
      <c r="L111" s="183" t="n">
        <v>0</v>
      </c>
      <c r="M111" s="183">
        <f>IF($B$3&lt;$E111,"",$L111-$J111)</f>
        <v/>
      </c>
      <c r="N111" s="183">
        <f>IF($B$3&lt;$C111,"FUTURA",IF($B$3&lt;=$D111,"EM ANDAMENTO",IF($B$3&lt;$E111,"AGUARDANDO CORTE",IF($M111&gt;=0,"META ATINGIDA","GAP A RECUPERAR"))))</f>
        <v/>
      </c>
      <c r="O111" s="184" t="n"/>
      <c r="P111" s="175" t="n"/>
    </row>
    <row r="112">
      <c r="A112" s="179" t="inlineStr">
        <is>
          <t>CMM</t>
        </is>
      </c>
      <c r="B112" s="179" t="inlineStr">
        <is>
          <t>VIGAS</t>
        </is>
      </c>
      <c r="C112" s="192" t="n">
        <v>46293</v>
      </c>
      <c r="D112" s="192" t="n">
        <v>46297</v>
      </c>
      <c r="E112" s="192" t="n">
        <v>46298</v>
      </c>
      <c r="F112" s="193" t="n">
        <v>2</v>
      </c>
      <c r="G112" s="194" t="n">
        <v>5</v>
      </c>
      <c r="H112" s="183">
        <f>F112*G112</f>
        <v/>
      </c>
      <c r="I112" s="183" t="n">
        <v>0</v>
      </c>
      <c r="J112" s="183">
        <f>IFERROR(H112+I112,"")</f>
        <v/>
      </c>
      <c r="K112" s="183">
        <f>IFERROR(J112/G112,"")</f>
        <v/>
      </c>
      <c r="L112" s="183" t="n">
        <v>0</v>
      </c>
      <c r="M112" s="183">
        <f>IF($B$3&lt;$E112,"",$L112-$J112)</f>
        <v/>
      </c>
      <c r="N112" s="183">
        <f>IF($B$3&lt;$C112,"FUTURA",IF($B$3&lt;=$D112,"EM ANDAMENTO",IF($B$3&lt;$E112,"AGUARDANDO CORTE",IF($M112&gt;=0,"META ATINGIDA","GAP A RECUPERAR"))))</f>
        <v/>
      </c>
      <c r="O112" s="184" t="n"/>
      <c r="P112" s="175" t="n"/>
    </row>
    <row r="113">
      <c r="A113" s="179" t="inlineStr">
        <is>
          <t>GLOBO AÇOS</t>
        </is>
      </c>
      <c r="B113" s="179" t="inlineStr">
        <is>
          <t>PERFILAÇÃO</t>
        </is>
      </c>
      <c r="C113" s="192" t="n">
        <v>46293</v>
      </c>
      <c r="D113" s="192" t="n">
        <v>46297</v>
      </c>
      <c r="E113" s="192" t="n">
        <v>46298</v>
      </c>
      <c r="F113" s="193" t="n">
        <v>19</v>
      </c>
      <c r="G113" s="194" t="n">
        <v>5</v>
      </c>
      <c r="H113" s="183">
        <f>F113*G113</f>
        <v/>
      </c>
      <c r="I113" s="183" t="n">
        <v>0</v>
      </c>
      <c r="J113" s="183">
        <f>IFERROR(H113+I113,"")</f>
        <v/>
      </c>
      <c r="K113" s="183">
        <f>IFERROR(J113/G113,"")</f>
        <v/>
      </c>
      <c r="L113" s="183">
        <f>IFERROR(SUM(INDEX('CONTROLE PRODUÇÃO POR EMPRESAS'!$H$6:$H$5000,MATCH(C113,'CONTROLE PRODUÇÃO POR EMPRESAS'!$A$6:$A$5000,0)):INDEX('CONTROLE PRODUÇÃO POR EMPRESAS'!$H$6:$H$5000,MATCH(D113,'CONTROLE PRODUÇÃO POR EMPRESAS'!$A$6:$A$5000,0))),0)</f>
        <v/>
      </c>
      <c r="M113" s="183">
        <f>IF($B$3&lt;$E113,"",$L113-$J113)</f>
        <v/>
      </c>
      <c r="N113" s="183">
        <f>IF($B$3&lt;$C113,"FUTURA",IF($B$3&lt;=$D113,"EM ANDAMENTO",IF($B$3&lt;$E113,"AGUARDANDO CORTE",IF($M113&gt;=0,"META ATINGIDA","GAP A RECUPERAR"))))</f>
        <v/>
      </c>
      <c r="O113" s="184" t="n"/>
      <c r="P113" s="175" t="n"/>
    </row>
    <row r="114">
      <c r="A114" s="179" t="inlineStr">
        <is>
          <t>GLOBO AÇOS</t>
        </is>
      </c>
      <c r="B114" s="179" t="inlineStr">
        <is>
          <t>TELHAR</t>
        </is>
      </c>
      <c r="C114" s="192" t="n">
        <v>46293</v>
      </c>
      <c r="D114" s="192" t="n">
        <v>46297</v>
      </c>
      <c r="E114" s="192" t="n">
        <v>46298</v>
      </c>
      <c r="F114" s="193" t="n">
        <v>7</v>
      </c>
      <c r="G114" s="194" t="n">
        <v>5</v>
      </c>
      <c r="H114" s="183">
        <f>F114*G114</f>
        <v/>
      </c>
      <c r="I114" s="183" t="n">
        <v>0</v>
      </c>
      <c r="J114" s="183">
        <f>IFERROR(H114+I114,"")</f>
        <v/>
      </c>
      <c r="K114" s="183">
        <f>IFERROR(J114/G114,"")</f>
        <v/>
      </c>
      <c r="L114" s="183">
        <f>IFERROR(SUM(INDEX('CONTROLE PRODUÇÃO POR EMPRESAS'!$I$6:$I$5000,MATCH(C114,'CONTROLE PRODUÇÃO POR EMPRESAS'!$A$6:$A$5000,0)):INDEX('CONTROLE PRODUÇÃO POR EMPRESAS'!$I$6:$I$5000,MATCH(D114,'CONTROLE PRODUÇÃO POR EMPRESAS'!$A$6:$A$5000,0))),0)</f>
        <v/>
      </c>
      <c r="M114" s="183">
        <f>IF($B$3&lt;$E114,"",$L114-$J114)</f>
        <v/>
      </c>
      <c r="N114" s="183">
        <f>IF($B$3&lt;$C114,"FUTURA",IF($B$3&lt;=$D114,"EM ANDAMENTO",IF($B$3&lt;$E114,"AGUARDANDO CORTE",IF($M114&gt;=0,"META ATINGIDA","GAP A RECUPERAR"))))</f>
        <v/>
      </c>
      <c r="O114" s="184" t="n"/>
      <c r="P114" s="175" t="n"/>
    </row>
    <row r="115">
      <c r="A115" s="179" t="inlineStr">
        <is>
          <t>GLOBO AÇOS</t>
        </is>
      </c>
      <c r="B115" s="179" t="inlineStr">
        <is>
          <t>FECHAMENTO</t>
        </is>
      </c>
      <c r="C115" s="192" t="n">
        <v>46293</v>
      </c>
      <c r="D115" s="192" t="n">
        <v>46297</v>
      </c>
      <c r="E115" s="192" t="n">
        <v>46298</v>
      </c>
      <c r="F115" s="193" t="n">
        <v>0</v>
      </c>
      <c r="G115" s="194" t="n">
        <v>5</v>
      </c>
      <c r="H115" s="183">
        <f>F115*G115</f>
        <v/>
      </c>
      <c r="I115" s="183" t="n">
        <v>0</v>
      </c>
      <c r="J115" s="183">
        <f>IFERROR(H115+I115,"")</f>
        <v/>
      </c>
      <c r="K115" s="183">
        <f>IFERROR(J115/G115,"")</f>
        <v/>
      </c>
      <c r="L115" s="183">
        <f>IFERROR(SUM(INDEX('CONTROLE PRODUÇÃO POR EMPRESAS'!$J$6:$J$5000,MATCH(C115,'CONTROLE PRODUÇÃO POR EMPRESAS'!$A$6:$A$5000,0)):INDEX('CONTROLE PRODUÇÃO POR EMPRESAS'!$J$6:$J$5000,MATCH(D115,'CONTROLE PRODUÇÃO POR EMPRESAS'!$A$6:$A$5000,0))),0)</f>
        <v/>
      </c>
      <c r="M115" s="183">
        <f>IF($B$3&lt;$E115,"",$L115-$J115)</f>
        <v/>
      </c>
      <c r="N115" s="183">
        <f>IF($B$3&lt;$C115,"FUTURA",IF($B$3&lt;=$D115,"EM ANDAMENTO",IF($B$3&lt;$E115,"AGUARDANDO CORTE",IF($M115&gt;=0,"META ATINGIDA","GAP A RECUPERAR"))))</f>
        <v/>
      </c>
      <c r="O115" s="184" t="n"/>
      <c r="P115" s="175" t="n"/>
    </row>
    <row r="116">
      <c r="A116" s="179" t="inlineStr">
        <is>
          <t>EJ</t>
        </is>
      </c>
      <c r="B116" s="179" t="inlineStr">
        <is>
          <t>PREMONTAGEM</t>
        </is>
      </c>
      <c r="C116" s="192" t="n">
        <v>46300</v>
      </c>
      <c r="D116" s="192" t="n">
        <v>46304</v>
      </c>
      <c r="E116" s="192" t="n">
        <v>46305</v>
      </c>
      <c r="F116" s="193" t="n">
        <v>6</v>
      </c>
      <c r="G116" s="194" t="n">
        <v>5</v>
      </c>
      <c r="H116" s="183">
        <f>F116*G116</f>
        <v/>
      </c>
      <c r="I116" s="183" t="n">
        <v>0</v>
      </c>
      <c r="J116" s="183">
        <f>IFERROR(H116+I116,"")</f>
        <v/>
      </c>
      <c r="K116" s="183">
        <f>IFERROR(J116/G116,"")</f>
        <v/>
      </c>
      <c r="L116" s="183" t="n">
        <v>0</v>
      </c>
      <c r="M116" s="183">
        <f>IF($B$3&lt;$E116,"",$L116-$J116)</f>
        <v/>
      </c>
      <c r="N116" s="183">
        <f>IF($B$3&lt;$C116,"FUTURA",IF($B$3&lt;=$D116,"EM ANDAMENTO",IF($B$3&lt;$E116,"AGUARDANDO CORTE",IF($M116&gt;=0,"META ATINGIDA","GAP A RECUPERAR"))))</f>
        <v/>
      </c>
      <c r="O116" s="184" t="n"/>
      <c r="P116" s="175" t="n"/>
    </row>
    <row r="117">
      <c r="A117" s="179" t="inlineStr">
        <is>
          <t>EJ</t>
        </is>
      </c>
      <c r="B117" s="179" t="inlineStr">
        <is>
          <t>IÇAMENTO JOIST</t>
        </is>
      </c>
      <c r="C117" s="192" t="n">
        <v>46300</v>
      </c>
      <c r="D117" s="192" t="n">
        <v>46304</v>
      </c>
      <c r="E117" s="192" t="n">
        <v>46305</v>
      </c>
      <c r="F117" s="193" t="n">
        <v>5</v>
      </c>
      <c r="G117" s="194" t="n">
        <v>5</v>
      </c>
      <c r="H117" s="183">
        <f>F117*G117</f>
        <v/>
      </c>
      <c r="I117" s="183" t="n">
        <v>0</v>
      </c>
      <c r="J117" s="183">
        <f>IFERROR(H117+I117,"")</f>
        <v/>
      </c>
      <c r="K117" s="183">
        <f>IFERROR(J117/G117,"")</f>
        <v/>
      </c>
      <c r="L117" s="183" t="n">
        <v>0</v>
      </c>
      <c r="M117" s="183">
        <f>IF($B$3&lt;$E117,"",$L117-$J117)</f>
        <v/>
      </c>
      <c r="N117" s="183">
        <f>IF($B$3&lt;$C117,"FUTURA",IF($B$3&lt;=$D117,"EM ANDAMENTO",IF($B$3&lt;$E117,"AGUARDANDO CORTE",IF($M117&gt;=0,"META ATINGIDA","GAP A RECUPERAR"))))</f>
        <v/>
      </c>
      <c r="O117" s="184" t="n"/>
      <c r="P117" s="175" t="n"/>
    </row>
    <row r="118">
      <c r="A118" s="179" t="inlineStr">
        <is>
          <t>EJ</t>
        </is>
      </c>
      <c r="B118" s="179" t="inlineStr">
        <is>
          <t>VIGAS</t>
        </is>
      </c>
      <c r="C118" s="192" t="n">
        <v>46300</v>
      </c>
      <c r="D118" s="192" t="n">
        <v>46304</v>
      </c>
      <c r="E118" s="192" t="n">
        <v>46305</v>
      </c>
      <c r="F118" s="193" t="n">
        <v>2</v>
      </c>
      <c r="G118" s="194" t="n">
        <v>5</v>
      </c>
      <c r="H118" s="183">
        <f>F118*G118</f>
        <v/>
      </c>
      <c r="I118" s="183" t="n">
        <v>0</v>
      </c>
      <c r="J118" s="183">
        <f>IFERROR(H118+I118,"")</f>
        <v/>
      </c>
      <c r="K118" s="183">
        <f>IFERROR(J118/G118,"")</f>
        <v/>
      </c>
      <c r="L118" s="183" t="n">
        <v>0</v>
      </c>
      <c r="M118" s="183">
        <f>IF($B$3&lt;$E118,"",$L118-$J118)</f>
        <v/>
      </c>
      <c r="N118" s="183">
        <f>IF($B$3&lt;$C118,"FUTURA",IF($B$3&lt;=$D118,"EM ANDAMENTO",IF($B$3&lt;$E118,"AGUARDANDO CORTE",IF($M118&gt;=0,"META ATINGIDA","GAP A RECUPERAR"))))</f>
        <v/>
      </c>
      <c r="O118" s="184" t="n"/>
      <c r="P118" s="175" t="n"/>
    </row>
    <row r="119">
      <c r="A119" s="179" t="inlineStr">
        <is>
          <t>CMM</t>
        </is>
      </c>
      <c r="B119" s="179" t="inlineStr">
        <is>
          <t>PREMONTAGEM</t>
        </is>
      </c>
      <c r="C119" s="192" t="n">
        <v>46300</v>
      </c>
      <c r="D119" s="192" t="n">
        <v>46304</v>
      </c>
      <c r="E119" s="192" t="n">
        <v>46305</v>
      </c>
      <c r="F119" s="193" t="n">
        <v>6</v>
      </c>
      <c r="G119" s="194" t="n">
        <v>5</v>
      </c>
      <c r="H119" s="183">
        <f>F119*G119</f>
        <v/>
      </c>
      <c r="I119" s="183" t="n">
        <v>0</v>
      </c>
      <c r="J119" s="183">
        <f>IFERROR(H119+I119,"")</f>
        <v/>
      </c>
      <c r="K119" s="183">
        <f>IFERROR(J119/G119,"")</f>
        <v/>
      </c>
      <c r="L119" s="183" t="n">
        <v>0</v>
      </c>
      <c r="M119" s="183">
        <f>IF($B$3&lt;$E119,"",$L119-$J119)</f>
        <v/>
      </c>
      <c r="N119" s="183">
        <f>IF($B$3&lt;$C119,"FUTURA",IF($B$3&lt;=$D119,"EM ANDAMENTO",IF($B$3&lt;$E119,"AGUARDANDO CORTE",IF($M119&gt;=0,"META ATINGIDA","GAP A RECUPERAR"))))</f>
        <v/>
      </c>
      <c r="O119" s="184" t="n"/>
      <c r="P119" s="175" t="n"/>
    </row>
    <row r="120">
      <c r="A120" s="179" t="inlineStr">
        <is>
          <t>CMM</t>
        </is>
      </c>
      <c r="B120" s="179" t="inlineStr">
        <is>
          <t>IÇAMENTO JOIST</t>
        </is>
      </c>
      <c r="C120" s="192" t="n">
        <v>46300</v>
      </c>
      <c r="D120" s="192" t="n">
        <v>46304</v>
      </c>
      <c r="E120" s="192" t="n">
        <v>46305</v>
      </c>
      <c r="F120" s="193" t="n">
        <v>5</v>
      </c>
      <c r="G120" s="194" t="n">
        <v>5</v>
      </c>
      <c r="H120" s="183">
        <f>F120*G120</f>
        <v/>
      </c>
      <c r="I120" s="183" t="n">
        <v>0</v>
      </c>
      <c r="J120" s="183">
        <f>IFERROR(H120+I120,"")</f>
        <v/>
      </c>
      <c r="K120" s="183">
        <f>IFERROR(J120/G120,"")</f>
        <v/>
      </c>
      <c r="L120" s="183" t="n">
        <v>0</v>
      </c>
      <c r="M120" s="183">
        <f>IF($B$3&lt;$E120,"",$L120-$J120)</f>
        <v/>
      </c>
      <c r="N120" s="183">
        <f>IF($B$3&lt;$C120,"FUTURA",IF($B$3&lt;=$D120,"EM ANDAMENTO",IF($B$3&lt;$E120,"AGUARDANDO CORTE",IF($M120&gt;=0,"META ATINGIDA","GAP A RECUPERAR"))))</f>
        <v/>
      </c>
      <c r="O120" s="184" t="n"/>
      <c r="P120" s="175" t="n"/>
    </row>
    <row r="121">
      <c r="A121" s="179" t="inlineStr">
        <is>
          <t>CMM</t>
        </is>
      </c>
      <c r="B121" s="179" t="inlineStr">
        <is>
          <t>VIGAS</t>
        </is>
      </c>
      <c r="C121" s="192" t="n">
        <v>46300</v>
      </c>
      <c r="D121" s="192" t="n">
        <v>46304</v>
      </c>
      <c r="E121" s="192" t="n">
        <v>46305</v>
      </c>
      <c r="F121" s="193" t="n">
        <v>2</v>
      </c>
      <c r="G121" s="194" t="n">
        <v>5</v>
      </c>
      <c r="H121" s="183">
        <f>F121*G121</f>
        <v/>
      </c>
      <c r="I121" s="183" t="n">
        <v>0</v>
      </c>
      <c r="J121" s="183">
        <f>IFERROR(H121+I121,"")</f>
        <v/>
      </c>
      <c r="K121" s="183">
        <f>IFERROR(J121/G121,"")</f>
        <v/>
      </c>
      <c r="L121" s="183" t="n">
        <v>0</v>
      </c>
      <c r="M121" s="183">
        <f>IF($B$3&lt;$E121,"",$L121-$J121)</f>
        <v/>
      </c>
      <c r="N121" s="183">
        <f>IF($B$3&lt;$C121,"FUTURA",IF($B$3&lt;=$D121,"EM ANDAMENTO",IF($B$3&lt;$E121,"AGUARDANDO CORTE",IF($M121&gt;=0,"META ATINGIDA","GAP A RECUPERAR"))))</f>
        <v/>
      </c>
      <c r="O121" s="184" t="n"/>
      <c r="P121" s="175" t="n"/>
    </row>
    <row r="122">
      <c r="A122" s="179" t="inlineStr">
        <is>
          <t>GLOBO AÇOS</t>
        </is>
      </c>
      <c r="B122" s="179" t="inlineStr">
        <is>
          <t>PERFILAÇÃO</t>
        </is>
      </c>
      <c r="C122" s="192" t="n">
        <v>46300</v>
      </c>
      <c r="D122" s="192" t="n">
        <v>46304</v>
      </c>
      <c r="E122" s="192" t="n">
        <v>46305</v>
      </c>
      <c r="F122" s="193" t="n">
        <v>19</v>
      </c>
      <c r="G122" s="194" t="n">
        <v>5</v>
      </c>
      <c r="H122" s="183">
        <f>F122*G122</f>
        <v/>
      </c>
      <c r="I122" s="183" t="n">
        <v>0</v>
      </c>
      <c r="J122" s="183">
        <f>IFERROR(H122+I122,"")</f>
        <v/>
      </c>
      <c r="K122" s="183">
        <f>IFERROR(J122/G122,"")</f>
        <v/>
      </c>
      <c r="L122" s="183">
        <f>IFERROR(SUM(INDEX('CONTROLE PRODUÇÃO POR EMPRESAS'!$H$6:$H$5000,MATCH(C122,'CONTROLE PRODUÇÃO POR EMPRESAS'!$A$6:$A$5000,0)):INDEX('CONTROLE PRODUÇÃO POR EMPRESAS'!$H$6:$H$5000,MATCH(D122,'CONTROLE PRODUÇÃO POR EMPRESAS'!$A$6:$A$5000,0))),0)</f>
        <v/>
      </c>
      <c r="M122" s="183">
        <f>IF($B$3&lt;$E122,"",$L122-$J122)</f>
        <v/>
      </c>
      <c r="N122" s="183">
        <f>IF($B$3&lt;$C122,"FUTURA",IF($B$3&lt;=$D122,"EM ANDAMENTO",IF($B$3&lt;$E122,"AGUARDANDO CORTE",IF($M122&gt;=0,"META ATINGIDA","GAP A RECUPERAR"))))</f>
        <v/>
      </c>
      <c r="O122" s="184" t="n"/>
      <c r="P122" s="175" t="n"/>
    </row>
    <row r="123">
      <c r="A123" s="179" t="inlineStr">
        <is>
          <t>GLOBO AÇOS</t>
        </is>
      </c>
      <c r="B123" s="179" t="inlineStr">
        <is>
          <t>TELHAR</t>
        </is>
      </c>
      <c r="C123" s="192" t="n">
        <v>46300</v>
      </c>
      <c r="D123" s="192" t="n">
        <v>46304</v>
      </c>
      <c r="E123" s="192" t="n">
        <v>46305</v>
      </c>
      <c r="F123" s="193" t="n">
        <v>7</v>
      </c>
      <c r="G123" s="194" t="n">
        <v>5</v>
      </c>
      <c r="H123" s="183">
        <f>F123*G123</f>
        <v/>
      </c>
      <c r="I123" s="183" t="n">
        <v>0</v>
      </c>
      <c r="J123" s="183">
        <f>IFERROR(H123+I123,"")</f>
        <v/>
      </c>
      <c r="K123" s="183">
        <f>IFERROR(J123/G123,"")</f>
        <v/>
      </c>
      <c r="L123" s="183">
        <f>IFERROR(SUM(INDEX('CONTROLE PRODUÇÃO POR EMPRESAS'!$I$6:$I$5000,MATCH(C123,'CONTROLE PRODUÇÃO POR EMPRESAS'!$A$6:$A$5000,0)):INDEX('CONTROLE PRODUÇÃO POR EMPRESAS'!$I$6:$I$5000,MATCH(D123,'CONTROLE PRODUÇÃO POR EMPRESAS'!$A$6:$A$5000,0))),0)</f>
        <v/>
      </c>
      <c r="M123" s="183">
        <f>IF($B$3&lt;$E123,"",$L123-$J123)</f>
        <v/>
      </c>
      <c r="N123" s="183">
        <f>IF($B$3&lt;$C123,"FUTURA",IF($B$3&lt;=$D123,"EM ANDAMENTO",IF($B$3&lt;$E123,"AGUARDANDO CORTE",IF($M123&gt;=0,"META ATINGIDA","GAP A RECUPERAR"))))</f>
        <v/>
      </c>
      <c r="O123" s="184" t="n"/>
      <c r="P123" s="175" t="n"/>
    </row>
    <row r="124">
      <c r="A124" s="179" t="inlineStr">
        <is>
          <t>GLOBO AÇOS</t>
        </is>
      </c>
      <c r="B124" s="179" t="inlineStr">
        <is>
          <t>FECHAMENTO</t>
        </is>
      </c>
      <c r="C124" s="192" t="n">
        <v>46300</v>
      </c>
      <c r="D124" s="192" t="n">
        <v>46304</v>
      </c>
      <c r="E124" s="192" t="n">
        <v>46305</v>
      </c>
      <c r="F124" s="193" t="n">
        <v>0</v>
      </c>
      <c r="G124" s="194" t="n">
        <v>5</v>
      </c>
      <c r="H124" s="183">
        <f>F124*G124</f>
        <v/>
      </c>
      <c r="I124" s="183" t="n">
        <v>0</v>
      </c>
      <c r="J124" s="183">
        <f>IFERROR(H124+I124,"")</f>
        <v/>
      </c>
      <c r="K124" s="183">
        <f>IFERROR(J124/G124,"")</f>
        <v/>
      </c>
      <c r="L124" s="183">
        <f>IFERROR(SUM(INDEX('CONTROLE PRODUÇÃO POR EMPRESAS'!$J$6:$J$5000,MATCH(C124,'CONTROLE PRODUÇÃO POR EMPRESAS'!$A$6:$A$5000,0)):INDEX('CONTROLE PRODUÇÃO POR EMPRESAS'!$J$6:$J$5000,MATCH(D124,'CONTROLE PRODUÇÃO POR EMPRESAS'!$A$6:$A$5000,0))),0)</f>
        <v/>
      </c>
      <c r="M124" s="183">
        <f>IF($B$3&lt;$E124,"",$L124-$J124)</f>
        <v/>
      </c>
      <c r="N124" s="183">
        <f>IF($B$3&lt;$C124,"FUTURA",IF($B$3&lt;=$D124,"EM ANDAMENTO",IF($B$3&lt;$E124,"AGUARDANDO CORTE",IF($M124&gt;=0,"META ATINGIDA","GAP A RECUPERAR"))))</f>
        <v/>
      </c>
      <c r="O124" s="184" t="n"/>
      <c r="P124" s="175" t="n"/>
    </row>
    <row r="125">
      <c r="A125" s="179" t="inlineStr">
        <is>
          <t>EJ</t>
        </is>
      </c>
      <c r="B125" s="179" t="inlineStr">
        <is>
          <t>PREMONTAGEM</t>
        </is>
      </c>
      <c r="C125" s="192" t="n">
        <v>46307</v>
      </c>
      <c r="D125" s="192" t="n">
        <v>46311</v>
      </c>
      <c r="E125" s="192" t="n">
        <v>46312</v>
      </c>
      <c r="F125" s="193" t="n">
        <v>6</v>
      </c>
      <c r="G125" s="194" t="n">
        <v>5</v>
      </c>
      <c r="H125" s="183">
        <f>F125*G125</f>
        <v/>
      </c>
      <c r="I125" s="183" t="n">
        <v>0</v>
      </c>
      <c r="J125" s="183">
        <f>IFERROR(H125+I125,"")</f>
        <v/>
      </c>
      <c r="K125" s="183">
        <f>IFERROR(J125/G125,"")</f>
        <v/>
      </c>
      <c r="L125" s="183" t="n">
        <v>0</v>
      </c>
      <c r="M125" s="183">
        <f>IF($B$3&lt;$E125,"",$L125-$J125)</f>
        <v/>
      </c>
      <c r="N125" s="183">
        <f>IF($B$3&lt;$C125,"FUTURA",IF($B$3&lt;=$D125,"EM ANDAMENTO",IF($B$3&lt;$E125,"AGUARDANDO CORTE",IF($M125&gt;=0,"META ATINGIDA","GAP A RECUPERAR"))))</f>
        <v/>
      </c>
      <c r="O125" s="184" t="n"/>
      <c r="P125" s="175" t="n"/>
    </row>
    <row r="126">
      <c r="A126" s="179" t="inlineStr">
        <is>
          <t>EJ</t>
        </is>
      </c>
      <c r="B126" s="179" t="inlineStr">
        <is>
          <t>IÇAMENTO JOIST</t>
        </is>
      </c>
      <c r="C126" s="192" t="n">
        <v>46307</v>
      </c>
      <c r="D126" s="192" t="n">
        <v>46311</v>
      </c>
      <c r="E126" s="192" t="n">
        <v>46312</v>
      </c>
      <c r="F126" s="193" t="n">
        <v>5</v>
      </c>
      <c r="G126" s="194" t="n">
        <v>5</v>
      </c>
      <c r="H126" s="183">
        <f>F126*G126</f>
        <v/>
      </c>
      <c r="I126" s="183" t="n">
        <v>0</v>
      </c>
      <c r="J126" s="183">
        <f>IFERROR(H126+I126,"")</f>
        <v/>
      </c>
      <c r="K126" s="183">
        <f>IFERROR(J126/G126,"")</f>
        <v/>
      </c>
      <c r="L126" s="183" t="n">
        <v>0</v>
      </c>
      <c r="M126" s="183">
        <f>IF($B$3&lt;$E126,"",$L126-$J126)</f>
        <v/>
      </c>
      <c r="N126" s="183">
        <f>IF($B$3&lt;$C126,"FUTURA",IF($B$3&lt;=$D126,"EM ANDAMENTO",IF($B$3&lt;$E126,"AGUARDANDO CORTE",IF($M126&gt;=0,"META ATINGIDA","GAP A RECUPERAR"))))</f>
        <v/>
      </c>
      <c r="O126" s="184" t="n"/>
      <c r="P126" s="175" t="n"/>
    </row>
    <row r="127">
      <c r="A127" s="179" t="inlineStr">
        <is>
          <t>EJ</t>
        </is>
      </c>
      <c r="B127" s="179" t="inlineStr">
        <is>
          <t>VIGAS</t>
        </is>
      </c>
      <c r="C127" s="192" t="n">
        <v>46307</v>
      </c>
      <c r="D127" s="192" t="n">
        <v>46311</v>
      </c>
      <c r="E127" s="192" t="n">
        <v>46312</v>
      </c>
      <c r="F127" s="193" t="n">
        <v>2</v>
      </c>
      <c r="G127" s="194" t="n">
        <v>5</v>
      </c>
      <c r="H127" s="183">
        <f>F127*G127</f>
        <v/>
      </c>
      <c r="I127" s="183" t="n">
        <v>0</v>
      </c>
      <c r="J127" s="183">
        <f>IFERROR(H127+I127,"")</f>
        <v/>
      </c>
      <c r="K127" s="183">
        <f>IFERROR(J127/G127,"")</f>
        <v/>
      </c>
      <c r="L127" s="183" t="n">
        <v>0</v>
      </c>
      <c r="M127" s="183">
        <f>IF($B$3&lt;$E127,"",$L127-$J127)</f>
        <v/>
      </c>
      <c r="N127" s="183">
        <f>IF($B$3&lt;$C127,"FUTURA",IF($B$3&lt;=$D127,"EM ANDAMENTO",IF($B$3&lt;$E127,"AGUARDANDO CORTE",IF($M127&gt;=0,"META ATINGIDA","GAP A RECUPERAR"))))</f>
        <v/>
      </c>
      <c r="O127" s="184" t="n"/>
      <c r="P127" s="175" t="n"/>
    </row>
    <row r="128">
      <c r="A128" s="179" t="inlineStr">
        <is>
          <t>CMM</t>
        </is>
      </c>
      <c r="B128" s="179" t="inlineStr">
        <is>
          <t>PREMONTAGEM</t>
        </is>
      </c>
      <c r="C128" s="192" t="n">
        <v>46307</v>
      </c>
      <c r="D128" s="192" t="n">
        <v>46311</v>
      </c>
      <c r="E128" s="192" t="n">
        <v>46312</v>
      </c>
      <c r="F128" s="193" t="n">
        <v>6</v>
      </c>
      <c r="G128" s="194" t="n">
        <v>5</v>
      </c>
      <c r="H128" s="183">
        <f>F128*G128</f>
        <v/>
      </c>
      <c r="I128" s="183" t="n">
        <v>0</v>
      </c>
      <c r="J128" s="183">
        <f>IFERROR(H128+I128,"")</f>
        <v/>
      </c>
      <c r="K128" s="183">
        <f>IFERROR(J128/G128,"")</f>
        <v/>
      </c>
      <c r="L128" s="183" t="n">
        <v>0</v>
      </c>
      <c r="M128" s="183">
        <f>IF($B$3&lt;$E128,"",$L128-$J128)</f>
        <v/>
      </c>
      <c r="N128" s="183">
        <f>IF($B$3&lt;$C128,"FUTURA",IF($B$3&lt;=$D128,"EM ANDAMENTO",IF($B$3&lt;$E128,"AGUARDANDO CORTE",IF($M128&gt;=0,"META ATINGIDA","GAP A RECUPERAR"))))</f>
        <v/>
      </c>
      <c r="O128" s="184" t="n"/>
      <c r="P128" s="175" t="n"/>
    </row>
    <row r="129">
      <c r="A129" s="179" t="inlineStr">
        <is>
          <t>CMM</t>
        </is>
      </c>
      <c r="B129" s="179" t="inlineStr">
        <is>
          <t>IÇAMENTO JOIST</t>
        </is>
      </c>
      <c r="C129" s="192" t="n">
        <v>46307</v>
      </c>
      <c r="D129" s="192" t="n">
        <v>46311</v>
      </c>
      <c r="E129" s="192" t="n">
        <v>46312</v>
      </c>
      <c r="F129" s="193" t="n">
        <v>5</v>
      </c>
      <c r="G129" s="194" t="n">
        <v>5</v>
      </c>
      <c r="H129" s="183">
        <f>F129*G129</f>
        <v/>
      </c>
      <c r="I129" s="183" t="n">
        <v>0</v>
      </c>
      <c r="J129" s="183">
        <f>IFERROR(H129+I129,"")</f>
        <v/>
      </c>
      <c r="K129" s="183">
        <f>IFERROR(J129/G129,"")</f>
        <v/>
      </c>
      <c r="L129" s="183" t="n">
        <v>0</v>
      </c>
      <c r="M129" s="183">
        <f>IF($B$3&lt;$E129,"",$L129-$J129)</f>
        <v/>
      </c>
      <c r="N129" s="183">
        <f>IF($B$3&lt;$C129,"FUTURA",IF($B$3&lt;=$D129,"EM ANDAMENTO",IF($B$3&lt;$E129,"AGUARDANDO CORTE",IF($M129&gt;=0,"META ATINGIDA","GAP A RECUPERAR"))))</f>
        <v/>
      </c>
      <c r="O129" s="184" t="n"/>
      <c r="P129" s="175" t="n"/>
    </row>
    <row r="130">
      <c r="A130" s="179" t="inlineStr">
        <is>
          <t>CMM</t>
        </is>
      </c>
      <c r="B130" s="179" t="inlineStr">
        <is>
          <t>VIGAS</t>
        </is>
      </c>
      <c r="C130" s="192" t="n">
        <v>46307</v>
      </c>
      <c r="D130" s="192" t="n">
        <v>46311</v>
      </c>
      <c r="E130" s="192" t="n">
        <v>46312</v>
      </c>
      <c r="F130" s="193" t="n">
        <v>2</v>
      </c>
      <c r="G130" s="194" t="n">
        <v>5</v>
      </c>
      <c r="H130" s="183">
        <f>F130*G130</f>
        <v/>
      </c>
      <c r="I130" s="183" t="n">
        <v>0</v>
      </c>
      <c r="J130" s="183">
        <f>IFERROR(H130+I130,"")</f>
        <v/>
      </c>
      <c r="K130" s="183">
        <f>IFERROR(J130/G130,"")</f>
        <v/>
      </c>
      <c r="L130" s="183" t="n">
        <v>0</v>
      </c>
      <c r="M130" s="183">
        <f>IF($B$3&lt;$E130,"",$L130-$J130)</f>
        <v/>
      </c>
      <c r="N130" s="183">
        <f>IF($B$3&lt;$C130,"FUTURA",IF($B$3&lt;=$D130,"EM ANDAMENTO",IF($B$3&lt;$E130,"AGUARDANDO CORTE",IF($M130&gt;=0,"META ATINGIDA","GAP A RECUPERAR"))))</f>
        <v/>
      </c>
      <c r="O130" s="184" t="n"/>
      <c r="P130" s="175" t="n"/>
    </row>
    <row r="131">
      <c r="A131" s="179" t="inlineStr">
        <is>
          <t>GLOBO AÇOS</t>
        </is>
      </c>
      <c r="B131" s="179" t="inlineStr">
        <is>
          <t>PERFILAÇÃO</t>
        </is>
      </c>
      <c r="C131" s="192" t="n">
        <v>46307</v>
      </c>
      <c r="D131" s="192" t="n">
        <v>46311</v>
      </c>
      <c r="E131" s="192" t="n">
        <v>46312</v>
      </c>
      <c r="F131" s="193" t="n">
        <v>19</v>
      </c>
      <c r="G131" s="194" t="n">
        <v>5</v>
      </c>
      <c r="H131" s="183">
        <f>F131*G131</f>
        <v/>
      </c>
      <c r="I131" s="183" t="n">
        <v>0</v>
      </c>
      <c r="J131" s="183">
        <f>IFERROR(H131+I131,"")</f>
        <v/>
      </c>
      <c r="K131" s="183">
        <f>IFERROR(J131/G131,"")</f>
        <v/>
      </c>
      <c r="L131" s="183">
        <f>IFERROR(SUM(INDEX('CONTROLE PRODUÇÃO POR EMPRESAS'!$H$6:$H$5000,MATCH(C131,'CONTROLE PRODUÇÃO POR EMPRESAS'!$A$6:$A$5000,0)):INDEX('CONTROLE PRODUÇÃO POR EMPRESAS'!$H$6:$H$5000,MATCH(D131,'CONTROLE PRODUÇÃO POR EMPRESAS'!$A$6:$A$5000,0))),0)</f>
        <v/>
      </c>
      <c r="M131" s="183">
        <f>IF($B$3&lt;$E131,"",$L131-$J131)</f>
        <v/>
      </c>
      <c r="N131" s="183">
        <f>IF($B$3&lt;$C131,"FUTURA",IF($B$3&lt;=$D131,"EM ANDAMENTO",IF($B$3&lt;$E131,"AGUARDANDO CORTE",IF($M131&gt;=0,"META ATINGIDA","GAP A RECUPERAR"))))</f>
        <v/>
      </c>
      <c r="O131" s="184" t="n"/>
      <c r="P131" s="175" t="n"/>
    </row>
    <row r="132">
      <c r="A132" s="179" t="inlineStr">
        <is>
          <t>GLOBO AÇOS</t>
        </is>
      </c>
      <c r="B132" s="179" t="inlineStr">
        <is>
          <t>TELHAR</t>
        </is>
      </c>
      <c r="C132" s="192" t="n">
        <v>46307</v>
      </c>
      <c r="D132" s="192" t="n">
        <v>46311</v>
      </c>
      <c r="E132" s="192" t="n">
        <v>46312</v>
      </c>
      <c r="F132" s="193" t="n">
        <v>7</v>
      </c>
      <c r="G132" s="194" t="n">
        <v>5</v>
      </c>
      <c r="H132" s="183">
        <f>F132*G132</f>
        <v/>
      </c>
      <c r="I132" s="183" t="n">
        <v>0</v>
      </c>
      <c r="J132" s="183">
        <f>IFERROR(H132+I132,"")</f>
        <v/>
      </c>
      <c r="K132" s="183">
        <f>IFERROR(J132/G132,"")</f>
        <v/>
      </c>
      <c r="L132" s="183">
        <f>IFERROR(SUM(INDEX('CONTROLE PRODUÇÃO POR EMPRESAS'!$I$6:$I$5000,MATCH(C132,'CONTROLE PRODUÇÃO POR EMPRESAS'!$A$6:$A$5000,0)):INDEX('CONTROLE PRODUÇÃO POR EMPRESAS'!$I$6:$I$5000,MATCH(D132,'CONTROLE PRODUÇÃO POR EMPRESAS'!$A$6:$A$5000,0))),0)</f>
        <v/>
      </c>
      <c r="M132" s="183">
        <f>IF($B$3&lt;$E132,"",$L132-$J132)</f>
        <v/>
      </c>
      <c r="N132" s="183">
        <f>IF($B$3&lt;$C132,"FUTURA",IF($B$3&lt;=$D132,"EM ANDAMENTO",IF($B$3&lt;$E132,"AGUARDANDO CORTE",IF($M132&gt;=0,"META ATINGIDA","GAP A RECUPERAR"))))</f>
        <v/>
      </c>
      <c r="O132" s="184" t="n"/>
      <c r="P132" s="175" t="n"/>
    </row>
    <row r="133">
      <c r="A133" s="179" t="inlineStr">
        <is>
          <t>GLOBO AÇOS</t>
        </is>
      </c>
      <c r="B133" s="179" t="inlineStr">
        <is>
          <t>FECHAMENTO</t>
        </is>
      </c>
      <c r="C133" s="192" t="n">
        <v>46307</v>
      </c>
      <c r="D133" s="192" t="n">
        <v>46311</v>
      </c>
      <c r="E133" s="192" t="n">
        <v>46312</v>
      </c>
      <c r="F133" s="193" t="n">
        <v>0</v>
      </c>
      <c r="G133" s="194" t="n">
        <v>5</v>
      </c>
      <c r="H133" s="183">
        <f>F133*G133</f>
        <v/>
      </c>
      <c r="I133" s="183" t="n">
        <v>0</v>
      </c>
      <c r="J133" s="183">
        <f>IFERROR(H133+I133,"")</f>
        <v/>
      </c>
      <c r="K133" s="183">
        <f>IFERROR(J133/G133,"")</f>
        <v/>
      </c>
      <c r="L133" s="183">
        <f>IFERROR(SUM(INDEX('CONTROLE PRODUÇÃO POR EMPRESAS'!$J$6:$J$5000,MATCH(C133,'CONTROLE PRODUÇÃO POR EMPRESAS'!$A$6:$A$5000,0)):INDEX('CONTROLE PRODUÇÃO POR EMPRESAS'!$J$6:$J$5000,MATCH(D133,'CONTROLE PRODUÇÃO POR EMPRESAS'!$A$6:$A$5000,0))),0)</f>
        <v/>
      </c>
      <c r="M133" s="183">
        <f>IF($B$3&lt;$E133,"",$L133-$J133)</f>
        <v/>
      </c>
      <c r="N133" s="183">
        <f>IF($B$3&lt;$C133,"FUTURA",IF($B$3&lt;=$D133,"EM ANDAMENTO",IF($B$3&lt;$E133,"AGUARDANDO CORTE",IF($M133&gt;=0,"META ATINGIDA","GAP A RECUPERAR"))))</f>
        <v/>
      </c>
      <c r="O133" s="184" t="n"/>
      <c r="P133" s="175" t="n"/>
    </row>
    <row r="134">
      <c r="A134" s="179" t="inlineStr">
        <is>
          <t>EJ</t>
        </is>
      </c>
      <c r="B134" s="179" t="inlineStr">
        <is>
          <t>PREMONTAGEM</t>
        </is>
      </c>
      <c r="C134" s="192" t="n">
        <v>46314</v>
      </c>
      <c r="D134" s="192" t="n">
        <v>46318</v>
      </c>
      <c r="E134" s="192" t="n">
        <v>46319</v>
      </c>
      <c r="F134" s="193" t="n">
        <v>6</v>
      </c>
      <c r="G134" s="194" t="n">
        <v>5</v>
      </c>
      <c r="H134" s="183">
        <f>F134*G134</f>
        <v/>
      </c>
      <c r="I134" s="183" t="n">
        <v>0</v>
      </c>
      <c r="J134" s="183">
        <f>IFERROR(H134+I134,"")</f>
        <v/>
      </c>
      <c r="K134" s="183">
        <f>IFERROR(J134/G134,"")</f>
        <v/>
      </c>
      <c r="L134" s="183" t="n">
        <v>0</v>
      </c>
      <c r="M134" s="183">
        <f>IF($B$3&lt;$E134,"",$L134-$J134)</f>
        <v/>
      </c>
      <c r="N134" s="183">
        <f>IF($B$3&lt;$C134,"FUTURA",IF($B$3&lt;=$D134,"EM ANDAMENTO",IF($B$3&lt;$E134,"AGUARDANDO CORTE",IF($M134&gt;=0,"META ATINGIDA","GAP A RECUPERAR"))))</f>
        <v/>
      </c>
      <c r="O134" s="184" t="n"/>
      <c r="P134" s="175" t="n"/>
    </row>
    <row r="135">
      <c r="A135" s="179" t="inlineStr">
        <is>
          <t>EJ</t>
        </is>
      </c>
      <c r="B135" s="179" t="inlineStr">
        <is>
          <t>IÇAMENTO JOIST</t>
        </is>
      </c>
      <c r="C135" s="192" t="n">
        <v>46314</v>
      </c>
      <c r="D135" s="192" t="n">
        <v>46318</v>
      </c>
      <c r="E135" s="192" t="n">
        <v>46319</v>
      </c>
      <c r="F135" s="193" t="n">
        <v>5</v>
      </c>
      <c r="G135" s="194" t="n">
        <v>5</v>
      </c>
      <c r="H135" s="183">
        <f>F135*G135</f>
        <v/>
      </c>
      <c r="I135" s="183" t="n">
        <v>0</v>
      </c>
      <c r="J135" s="183">
        <f>IFERROR(H135+I135,"")</f>
        <v/>
      </c>
      <c r="K135" s="183">
        <f>IFERROR(J135/G135,"")</f>
        <v/>
      </c>
      <c r="L135" s="183" t="n">
        <v>0</v>
      </c>
      <c r="M135" s="183">
        <f>IF($B$3&lt;$E135,"",$L135-$J135)</f>
        <v/>
      </c>
      <c r="N135" s="183">
        <f>IF($B$3&lt;$C135,"FUTURA",IF($B$3&lt;=$D135,"EM ANDAMENTO",IF($B$3&lt;$E135,"AGUARDANDO CORTE",IF($M135&gt;=0,"META ATINGIDA","GAP A RECUPERAR"))))</f>
        <v/>
      </c>
      <c r="O135" s="184" t="n"/>
      <c r="P135" s="175" t="n"/>
    </row>
    <row r="136">
      <c r="A136" s="179" t="inlineStr">
        <is>
          <t>EJ</t>
        </is>
      </c>
      <c r="B136" s="179" t="inlineStr">
        <is>
          <t>VIGAS</t>
        </is>
      </c>
      <c r="C136" s="192" t="n">
        <v>46314</v>
      </c>
      <c r="D136" s="192" t="n">
        <v>46318</v>
      </c>
      <c r="E136" s="192" t="n">
        <v>46319</v>
      </c>
      <c r="F136" s="193" t="n">
        <v>2</v>
      </c>
      <c r="G136" s="194" t="n">
        <v>5</v>
      </c>
      <c r="H136" s="183">
        <f>F136*G136</f>
        <v/>
      </c>
      <c r="I136" s="183" t="n">
        <v>0</v>
      </c>
      <c r="J136" s="183">
        <f>IFERROR(H136+I136,"")</f>
        <v/>
      </c>
      <c r="K136" s="183">
        <f>IFERROR(J136/G136,"")</f>
        <v/>
      </c>
      <c r="L136" s="183" t="n">
        <v>0</v>
      </c>
      <c r="M136" s="183">
        <f>IF($B$3&lt;$E136,"",$L136-$J136)</f>
        <v/>
      </c>
      <c r="N136" s="183">
        <f>IF($B$3&lt;$C136,"FUTURA",IF($B$3&lt;=$D136,"EM ANDAMENTO",IF($B$3&lt;$E136,"AGUARDANDO CORTE",IF($M136&gt;=0,"META ATINGIDA","GAP A RECUPERAR"))))</f>
        <v/>
      </c>
      <c r="O136" s="184" t="n"/>
      <c r="P136" s="175" t="n"/>
    </row>
    <row r="137">
      <c r="A137" s="179" t="inlineStr">
        <is>
          <t>CMM</t>
        </is>
      </c>
      <c r="B137" s="179" t="inlineStr">
        <is>
          <t>PREMONTAGEM</t>
        </is>
      </c>
      <c r="C137" s="192" t="n">
        <v>46314</v>
      </c>
      <c r="D137" s="192" t="n">
        <v>46318</v>
      </c>
      <c r="E137" s="192" t="n">
        <v>46319</v>
      </c>
      <c r="F137" s="193" t="n">
        <v>6</v>
      </c>
      <c r="G137" s="194" t="n">
        <v>5</v>
      </c>
      <c r="H137" s="183">
        <f>F137*G137</f>
        <v/>
      </c>
      <c r="I137" s="183" t="n">
        <v>0</v>
      </c>
      <c r="J137" s="183">
        <f>IFERROR(H137+I137,"")</f>
        <v/>
      </c>
      <c r="K137" s="183">
        <f>IFERROR(J137/G137,"")</f>
        <v/>
      </c>
      <c r="L137" s="183" t="n">
        <v>0</v>
      </c>
      <c r="M137" s="183">
        <f>IF($B$3&lt;$E137,"",$L137-$J137)</f>
        <v/>
      </c>
      <c r="N137" s="183">
        <f>IF($B$3&lt;$C137,"FUTURA",IF($B$3&lt;=$D137,"EM ANDAMENTO",IF($B$3&lt;$E137,"AGUARDANDO CORTE",IF($M137&gt;=0,"META ATINGIDA","GAP A RECUPERAR"))))</f>
        <v/>
      </c>
      <c r="O137" s="184" t="n"/>
      <c r="P137" s="175" t="n"/>
    </row>
    <row r="138">
      <c r="A138" s="179" t="inlineStr">
        <is>
          <t>CMM</t>
        </is>
      </c>
      <c r="B138" s="179" t="inlineStr">
        <is>
          <t>IÇAMENTO JOIST</t>
        </is>
      </c>
      <c r="C138" s="192" t="n">
        <v>46314</v>
      </c>
      <c r="D138" s="192" t="n">
        <v>46318</v>
      </c>
      <c r="E138" s="192" t="n">
        <v>46319</v>
      </c>
      <c r="F138" s="193" t="n">
        <v>5</v>
      </c>
      <c r="G138" s="194" t="n">
        <v>5</v>
      </c>
      <c r="H138" s="183">
        <f>F138*G138</f>
        <v/>
      </c>
      <c r="I138" s="183" t="n">
        <v>0</v>
      </c>
      <c r="J138" s="183">
        <f>IFERROR(H138+I138,"")</f>
        <v/>
      </c>
      <c r="K138" s="183">
        <f>IFERROR(J138/G138,"")</f>
        <v/>
      </c>
      <c r="L138" s="183" t="n">
        <v>0</v>
      </c>
      <c r="M138" s="183">
        <f>IF($B$3&lt;$E138,"",$L138-$J138)</f>
        <v/>
      </c>
      <c r="N138" s="183">
        <f>IF($B$3&lt;$C138,"FUTURA",IF($B$3&lt;=$D138,"EM ANDAMENTO",IF($B$3&lt;$E138,"AGUARDANDO CORTE",IF($M138&gt;=0,"META ATINGIDA","GAP A RECUPERAR"))))</f>
        <v/>
      </c>
      <c r="O138" s="184" t="n"/>
      <c r="P138" s="175" t="n"/>
    </row>
    <row r="139">
      <c r="A139" s="179" t="inlineStr">
        <is>
          <t>CMM</t>
        </is>
      </c>
      <c r="B139" s="179" t="inlineStr">
        <is>
          <t>VIGAS</t>
        </is>
      </c>
      <c r="C139" s="192" t="n">
        <v>46314</v>
      </c>
      <c r="D139" s="192" t="n">
        <v>46318</v>
      </c>
      <c r="E139" s="192" t="n">
        <v>46319</v>
      </c>
      <c r="F139" s="193" t="n">
        <v>2</v>
      </c>
      <c r="G139" s="194" t="n">
        <v>5</v>
      </c>
      <c r="H139" s="183">
        <f>F139*G139</f>
        <v/>
      </c>
      <c r="I139" s="183" t="n">
        <v>0</v>
      </c>
      <c r="J139" s="183">
        <f>IFERROR(H139+I139,"")</f>
        <v/>
      </c>
      <c r="K139" s="183">
        <f>IFERROR(J139/G139,"")</f>
        <v/>
      </c>
      <c r="L139" s="183" t="n">
        <v>0</v>
      </c>
      <c r="M139" s="183">
        <f>IF($B$3&lt;$E139,"",$L139-$J139)</f>
        <v/>
      </c>
      <c r="N139" s="183">
        <f>IF($B$3&lt;$C139,"FUTURA",IF($B$3&lt;=$D139,"EM ANDAMENTO",IF($B$3&lt;$E139,"AGUARDANDO CORTE",IF($M139&gt;=0,"META ATINGIDA","GAP A RECUPERAR"))))</f>
        <v/>
      </c>
      <c r="O139" s="184" t="n"/>
      <c r="P139" s="175" t="n"/>
    </row>
    <row r="140">
      <c r="A140" s="179" t="inlineStr">
        <is>
          <t>GLOBO AÇOS</t>
        </is>
      </c>
      <c r="B140" s="179" t="inlineStr">
        <is>
          <t>PERFILAÇÃO</t>
        </is>
      </c>
      <c r="C140" s="192" t="n">
        <v>46314</v>
      </c>
      <c r="D140" s="192" t="n">
        <v>46318</v>
      </c>
      <c r="E140" s="192" t="n">
        <v>46319</v>
      </c>
      <c r="F140" s="193" t="n">
        <v>19</v>
      </c>
      <c r="G140" s="194" t="n">
        <v>5</v>
      </c>
      <c r="H140" s="183">
        <f>F140*G140</f>
        <v/>
      </c>
      <c r="I140" s="183" t="n">
        <v>0</v>
      </c>
      <c r="J140" s="183">
        <f>IFERROR(H140+I140,"")</f>
        <v/>
      </c>
      <c r="K140" s="183">
        <f>IFERROR(J140/G140,"")</f>
        <v/>
      </c>
      <c r="L140" s="183">
        <f>IFERROR(SUM(INDEX('CONTROLE PRODUÇÃO POR EMPRESAS'!$H$6:$H$5000,MATCH(C140,'CONTROLE PRODUÇÃO POR EMPRESAS'!$A$6:$A$5000,0)):INDEX('CONTROLE PRODUÇÃO POR EMPRESAS'!$H$6:$H$5000,MATCH(D140,'CONTROLE PRODUÇÃO POR EMPRESAS'!$A$6:$A$5000,0))),0)</f>
        <v/>
      </c>
      <c r="M140" s="183">
        <f>IF($B$3&lt;$E140,"",$L140-$J140)</f>
        <v/>
      </c>
      <c r="N140" s="183">
        <f>IF($B$3&lt;$C140,"FUTURA",IF($B$3&lt;=$D140,"EM ANDAMENTO",IF($B$3&lt;$E140,"AGUARDANDO CORTE",IF($M140&gt;=0,"META ATINGIDA","GAP A RECUPERAR"))))</f>
        <v/>
      </c>
      <c r="O140" s="184" t="n"/>
      <c r="P140" s="175" t="n"/>
    </row>
    <row r="141">
      <c r="A141" s="179" t="inlineStr">
        <is>
          <t>GLOBO AÇOS</t>
        </is>
      </c>
      <c r="B141" s="179" t="inlineStr">
        <is>
          <t>TELHAR</t>
        </is>
      </c>
      <c r="C141" s="192" t="n">
        <v>46314</v>
      </c>
      <c r="D141" s="192" t="n">
        <v>46318</v>
      </c>
      <c r="E141" s="192" t="n">
        <v>46319</v>
      </c>
      <c r="F141" s="193" t="n">
        <v>7</v>
      </c>
      <c r="G141" s="194" t="n">
        <v>5</v>
      </c>
      <c r="H141" s="183">
        <f>F141*G141</f>
        <v/>
      </c>
      <c r="I141" s="183" t="n">
        <v>0</v>
      </c>
      <c r="J141" s="183">
        <f>IFERROR(H141+I141,"")</f>
        <v/>
      </c>
      <c r="K141" s="183">
        <f>IFERROR(J141/G141,"")</f>
        <v/>
      </c>
      <c r="L141" s="183">
        <f>IFERROR(SUM(INDEX('CONTROLE PRODUÇÃO POR EMPRESAS'!$I$6:$I$5000,MATCH(C141,'CONTROLE PRODUÇÃO POR EMPRESAS'!$A$6:$A$5000,0)):INDEX('CONTROLE PRODUÇÃO POR EMPRESAS'!$I$6:$I$5000,MATCH(D141,'CONTROLE PRODUÇÃO POR EMPRESAS'!$A$6:$A$5000,0))),0)</f>
        <v/>
      </c>
      <c r="M141" s="183">
        <f>IF($B$3&lt;$E141,"",$L141-$J141)</f>
        <v/>
      </c>
      <c r="N141" s="183">
        <f>IF($B$3&lt;$C141,"FUTURA",IF($B$3&lt;=$D141,"EM ANDAMENTO",IF($B$3&lt;$E141,"AGUARDANDO CORTE",IF($M141&gt;=0,"META ATINGIDA","GAP A RECUPERAR"))))</f>
        <v/>
      </c>
      <c r="O141" s="184" t="n"/>
      <c r="P141" s="175" t="n"/>
    </row>
    <row r="142">
      <c r="A142" s="179" t="inlineStr">
        <is>
          <t>GLOBO AÇOS</t>
        </is>
      </c>
      <c r="B142" s="179" t="inlineStr">
        <is>
          <t>FECHAMENTO</t>
        </is>
      </c>
      <c r="C142" s="192" t="n">
        <v>46314</v>
      </c>
      <c r="D142" s="192" t="n">
        <v>46318</v>
      </c>
      <c r="E142" s="192" t="n">
        <v>46319</v>
      </c>
      <c r="F142" s="193" t="n">
        <v>0</v>
      </c>
      <c r="G142" s="194" t="n">
        <v>5</v>
      </c>
      <c r="H142" s="183">
        <f>F142*G142</f>
        <v/>
      </c>
      <c r="I142" s="183" t="n">
        <v>0</v>
      </c>
      <c r="J142" s="183">
        <f>IFERROR(H142+I142,"")</f>
        <v/>
      </c>
      <c r="K142" s="183">
        <f>IFERROR(J142/G142,"")</f>
        <v/>
      </c>
      <c r="L142" s="183">
        <f>IFERROR(SUM(INDEX('CONTROLE PRODUÇÃO POR EMPRESAS'!$J$6:$J$5000,MATCH(C142,'CONTROLE PRODUÇÃO POR EMPRESAS'!$A$6:$A$5000,0)):INDEX('CONTROLE PRODUÇÃO POR EMPRESAS'!$J$6:$J$5000,MATCH(D142,'CONTROLE PRODUÇÃO POR EMPRESAS'!$A$6:$A$5000,0))),0)</f>
        <v/>
      </c>
      <c r="M142" s="183">
        <f>IF($B$3&lt;$E142,"",$L142-$J142)</f>
        <v/>
      </c>
      <c r="N142" s="183">
        <f>IF($B$3&lt;$C142,"FUTURA",IF($B$3&lt;=$D142,"EM ANDAMENTO",IF($B$3&lt;$E142,"AGUARDANDO CORTE",IF($M142&gt;=0,"META ATINGIDA","GAP A RECUPERAR"))))</f>
        <v/>
      </c>
      <c r="O142" s="184" t="n"/>
      <c r="P142" s="175" t="n"/>
    </row>
    <row r="143">
      <c r="A143" s="179" t="inlineStr">
        <is>
          <t>EJ</t>
        </is>
      </c>
      <c r="B143" s="179" t="inlineStr">
        <is>
          <t>PREMONTAGEM</t>
        </is>
      </c>
      <c r="C143" s="192" t="n">
        <v>46321</v>
      </c>
      <c r="D143" s="192" t="n">
        <v>46325</v>
      </c>
      <c r="E143" s="192" t="n">
        <v>46326</v>
      </c>
      <c r="F143" s="193" t="n">
        <v>6</v>
      </c>
      <c r="G143" s="194" t="n">
        <v>5</v>
      </c>
      <c r="H143" s="183">
        <f>F143*G143</f>
        <v/>
      </c>
      <c r="I143" s="183" t="n">
        <v>0</v>
      </c>
      <c r="J143" s="183">
        <f>IFERROR(H143+I143,"")</f>
        <v/>
      </c>
      <c r="K143" s="183">
        <f>IFERROR(J143/G143,"")</f>
        <v/>
      </c>
      <c r="L143" s="183" t="n">
        <v>0</v>
      </c>
      <c r="M143" s="183">
        <f>IF($B$3&lt;$E143,"",$L143-$J143)</f>
        <v/>
      </c>
      <c r="N143" s="183">
        <f>IF($B$3&lt;$C143,"FUTURA",IF($B$3&lt;=$D143,"EM ANDAMENTO",IF($B$3&lt;$E143,"AGUARDANDO CORTE",IF($M143&gt;=0,"META ATINGIDA","GAP A RECUPERAR"))))</f>
        <v/>
      </c>
      <c r="O143" s="184" t="n"/>
      <c r="P143" s="175" t="n"/>
    </row>
    <row r="144">
      <c r="A144" s="179" t="inlineStr">
        <is>
          <t>EJ</t>
        </is>
      </c>
      <c r="B144" s="179" t="inlineStr">
        <is>
          <t>IÇAMENTO JOIST</t>
        </is>
      </c>
      <c r="C144" s="192" t="n">
        <v>46321</v>
      </c>
      <c r="D144" s="192" t="n">
        <v>46325</v>
      </c>
      <c r="E144" s="192" t="n">
        <v>46326</v>
      </c>
      <c r="F144" s="193" t="n">
        <v>5</v>
      </c>
      <c r="G144" s="194" t="n">
        <v>5</v>
      </c>
      <c r="H144" s="183">
        <f>F144*G144</f>
        <v/>
      </c>
      <c r="I144" s="183" t="n">
        <v>0</v>
      </c>
      <c r="J144" s="183">
        <f>IFERROR(H144+I144,"")</f>
        <v/>
      </c>
      <c r="K144" s="183">
        <f>IFERROR(J144/G144,"")</f>
        <v/>
      </c>
      <c r="L144" s="183" t="n">
        <v>0</v>
      </c>
      <c r="M144" s="183">
        <f>IF($B$3&lt;$E144,"",$L144-$J144)</f>
        <v/>
      </c>
      <c r="N144" s="183">
        <f>IF($B$3&lt;$C144,"FUTURA",IF($B$3&lt;=$D144,"EM ANDAMENTO",IF($B$3&lt;$E144,"AGUARDANDO CORTE",IF($M144&gt;=0,"META ATINGIDA","GAP A RECUPERAR"))))</f>
        <v/>
      </c>
      <c r="O144" s="184" t="n"/>
      <c r="P144" s="175" t="n"/>
    </row>
    <row r="145">
      <c r="A145" s="179" t="inlineStr">
        <is>
          <t>EJ</t>
        </is>
      </c>
      <c r="B145" s="179" t="inlineStr">
        <is>
          <t>VIGAS</t>
        </is>
      </c>
      <c r="C145" s="192" t="n">
        <v>46321</v>
      </c>
      <c r="D145" s="192" t="n">
        <v>46325</v>
      </c>
      <c r="E145" s="192" t="n">
        <v>46326</v>
      </c>
      <c r="F145" s="193" t="n">
        <v>2</v>
      </c>
      <c r="G145" s="194" t="n">
        <v>5</v>
      </c>
      <c r="H145" s="183">
        <f>F145*G145</f>
        <v/>
      </c>
      <c r="I145" s="183" t="n">
        <v>0</v>
      </c>
      <c r="J145" s="183">
        <f>IFERROR(H145+I145,"")</f>
        <v/>
      </c>
      <c r="K145" s="183">
        <f>IFERROR(J145/G145,"")</f>
        <v/>
      </c>
      <c r="L145" s="183" t="n">
        <v>0</v>
      </c>
      <c r="M145" s="183">
        <f>IF($B$3&lt;$E145,"",$L145-$J145)</f>
        <v/>
      </c>
      <c r="N145" s="183">
        <f>IF($B$3&lt;$C145,"FUTURA",IF($B$3&lt;=$D145,"EM ANDAMENTO",IF($B$3&lt;$E145,"AGUARDANDO CORTE",IF($M145&gt;=0,"META ATINGIDA","GAP A RECUPERAR"))))</f>
        <v/>
      </c>
      <c r="O145" s="184" t="n"/>
      <c r="P145" s="175" t="n"/>
    </row>
    <row r="146">
      <c r="A146" s="179" t="inlineStr">
        <is>
          <t>CMM</t>
        </is>
      </c>
      <c r="B146" s="179" t="inlineStr">
        <is>
          <t>PREMONTAGEM</t>
        </is>
      </c>
      <c r="C146" s="192" t="n">
        <v>46321</v>
      </c>
      <c r="D146" s="192" t="n">
        <v>46325</v>
      </c>
      <c r="E146" s="192" t="n">
        <v>46326</v>
      </c>
      <c r="F146" s="193" t="n">
        <v>6</v>
      </c>
      <c r="G146" s="194" t="n">
        <v>5</v>
      </c>
      <c r="H146" s="183">
        <f>F146*G146</f>
        <v/>
      </c>
      <c r="I146" s="183" t="n">
        <v>0</v>
      </c>
      <c r="J146" s="183">
        <f>IFERROR(H146+I146,"")</f>
        <v/>
      </c>
      <c r="K146" s="183">
        <f>IFERROR(J146/G146,"")</f>
        <v/>
      </c>
      <c r="L146" s="183" t="n">
        <v>0</v>
      </c>
      <c r="M146" s="183">
        <f>IF($B$3&lt;$E146,"",$L146-$J146)</f>
        <v/>
      </c>
      <c r="N146" s="183">
        <f>IF($B$3&lt;$C146,"FUTURA",IF($B$3&lt;=$D146,"EM ANDAMENTO",IF($B$3&lt;$E146,"AGUARDANDO CORTE",IF($M146&gt;=0,"META ATINGIDA","GAP A RECUPERAR"))))</f>
        <v/>
      </c>
      <c r="O146" s="184" t="n"/>
      <c r="P146" s="175" t="n"/>
    </row>
    <row r="147">
      <c r="A147" s="179" t="inlineStr">
        <is>
          <t>CMM</t>
        </is>
      </c>
      <c r="B147" s="179" t="inlineStr">
        <is>
          <t>IÇAMENTO JOIST</t>
        </is>
      </c>
      <c r="C147" s="192" t="n">
        <v>46321</v>
      </c>
      <c r="D147" s="192" t="n">
        <v>46325</v>
      </c>
      <c r="E147" s="192" t="n">
        <v>46326</v>
      </c>
      <c r="F147" s="193" t="n">
        <v>5</v>
      </c>
      <c r="G147" s="194" t="n">
        <v>5</v>
      </c>
      <c r="H147" s="183">
        <f>F147*G147</f>
        <v/>
      </c>
      <c r="I147" s="183" t="n">
        <v>0</v>
      </c>
      <c r="J147" s="183">
        <f>IFERROR(H147+I147,"")</f>
        <v/>
      </c>
      <c r="K147" s="183">
        <f>IFERROR(J147/G147,"")</f>
        <v/>
      </c>
      <c r="L147" s="183" t="n">
        <v>0</v>
      </c>
      <c r="M147" s="183">
        <f>IF($B$3&lt;$E147,"",$L147-$J147)</f>
        <v/>
      </c>
      <c r="N147" s="183">
        <f>IF($B$3&lt;$C147,"FUTURA",IF($B$3&lt;=$D147,"EM ANDAMENTO",IF($B$3&lt;$E147,"AGUARDANDO CORTE",IF($M147&gt;=0,"META ATINGIDA","GAP A RECUPERAR"))))</f>
        <v/>
      </c>
      <c r="O147" s="184" t="n"/>
      <c r="P147" s="175" t="n"/>
    </row>
    <row r="148">
      <c r="A148" s="179" t="inlineStr">
        <is>
          <t>CMM</t>
        </is>
      </c>
      <c r="B148" s="179" t="inlineStr">
        <is>
          <t>VIGAS</t>
        </is>
      </c>
      <c r="C148" s="192" t="n">
        <v>46321</v>
      </c>
      <c r="D148" s="192" t="n">
        <v>46325</v>
      </c>
      <c r="E148" s="192" t="n">
        <v>46326</v>
      </c>
      <c r="F148" s="193" t="n">
        <v>2</v>
      </c>
      <c r="G148" s="194" t="n">
        <v>5</v>
      </c>
      <c r="H148" s="183">
        <f>F148*G148</f>
        <v/>
      </c>
      <c r="I148" s="183" t="n">
        <v>0</v>
      </c>
      <c r="J148" s="183">
        <f>IFERROR(H148+I148,"")</f>
        <v/>
      </c>
      <c r="K148" s="183">
        <f>IFERROR(J148/G148,"")</f>
        <v/>
      </c>
      <c r="L148" s="183" t="n">
        <v>0</v>
      </c>
      <c r="M148" s="183">
        <f>IF($B$3&lt;$E148,"",$L148-$J148)</f>
        <v/>
      </c>
      <c r="N148" s="183">
        <f>IF($B$3&lt;$C148,"FUTURA",IF($B$3&lt;=$D148,"EM ANDAMENTO",IF($B$3&lt;$E148,"AGUARDANDO CORTE",IF($M148&gt;=0,"META ATINGIDA","GAP A RECUPERAR"))))</f>
        <v/>
      </c>
      <c r="O148" s="184" t="n"/>
      <c r="P148" s="175" t="n"/>
    </row>
    <row r="149">
      <c r="A149" s="179" t="inlineStr">
        <is>
          <t>GLOBO AÇOS</t>
        </is>
      </c>
      <c r="B149" s="179" t="inlineStr">
        <is>
          <t>PERFILAÇÃO</t>
        </is>
      </c>
      <c r="C149" s="192" t="n">
        <v>46321</v>
      </c>
      <c r="D149" s="192" t="n">
        <v>46325</v>
      </c>
      <c r="E149" s="192" t="n">
        <v>46326</v>
      </c>
      <c r="F149" s="193" t="n">
        <v>19</v>
      </c>
      <c r="G149" s="194" t="n">
        <v>5</v>
      </c>
      <c r="H149" s="183">
        <f>F149*G149</f>
        <v/>
      </c>
      <c r="I149" s="183" t="n">
        <v>0</v>
      </c>
      <c r="J149" s="183">
        <f>IFERROR(H149+I149,"")</f>
        <v/>
      </c>
      <c r="K149" s="183">
        <f>IFERROR(J149/G149,"")</f>
        <v/>
      </c>
      <c r="L149" s="183">
        <f>IFERROR(SUM(INDEX('CONTROLE PRODUÇÃO POR EMPRESAS'!$H$6:$H$5000,MATCH(C149,'CONTROLE PRODUÇÃO POR EMPRESAS'!$A$6:$A$5000,0)):INDEX('CONTROLE PRODUÇÃO POR EMPRESAS'!$H$6:$H$5000,MATCH(D149,'CONTROLE PRODUÇÃO POR EMPRESAS'!$A$6:$A$5000,0))),0)</f>
        <v/>
      </c>
      <c r="M149" s="183">
        <f>IF($B$3&lt;$E149,"",$L149-$J149)</f>
        <v/>
      </c>
      <c r="N149" s="183">
        <f>IF($B$3&lt;$C149,"FUTURA",IF($B$3&lt;=$D149,"EM ANDAMENTO",IF($B$3&lt;$E149,"AGUARDANDO CORTE",IF($M149&gt;=0,"META ATINGIDA","GAP A RECUPERAR"))))</f>
        <v/>
      </c>
      <c r="O149" s="184" t="n"/>
      <c r="P149" s="175" t="n"/>
    </row>
    <row r="150">
      <c r="A150" s="179" t="inlineStr">
        <is>
          <t>GLOBO AÇOS</t>
        </is>
      </c>
      <c r="B150" s="179" t="inlineStr">
        <is>
          <t>TELHAR</t>
        </is>
      </c>
      <c r="C150" s="192" t="n">
        <v>46321</v>
      </c>
      <c r="D150" s="192" t="n">
        <v>46325</v>
      </c>
      <c r="E150" s="192" t="n">
        <v>46326</v>
      </c>
      <c r="F150" s="193" t="n">
        <v>7</v>
      </c>
      <c r="G150" s="194" t="n">
        <v>5</v>
      </c>
      <c r="H150" s="183">
        <f>F150*G150</f>
        <v/>
      </c>
      <c r="I150" s="183" t="n">
        <v>0</v>
      </c>
      <c r="J150" s="183">
        <f>IFERROR(H150+I150,"")</f>
        <v/>
      </c>
      <c r="K150" s="183">
        <f>IFERROR(J150/G150,"")</f>
        <v/>
      </c>
      <c r="L150" s="183">
        <f>IFERROR(SUM(INDEX('CONTROLE PRODUÇÃO POR EMPRESAS'!$I$6:$I$5000,MATCH(C150,'CONTROLE PRODUÇÃO POR EMPRESAS'!$A$6:$A$5000,0)):INDEX('CONTROLE PRODUÇÃO POR EMPRESAS'!$I$6:$I$5000,MATCH(D150,'CONTROLE PRODUÇÃO POR EMPRESAS'!$A$6:$A$5000,0))),0)</f>
        <v/>
      </c>
      <c r="M150" s="183">
        <f>IF($B$3&lt;$E150,"",$L150-$J150)</f>
        <v/>
      </c>
      <c r="N150" s="183">
        <f>IF($B$3&lt;$C150,"FUTURA",IF($B$3&lt;=$D150,"EM ANDAMENTO",IF($B$3&lt;$E150,"AGUARDANDO CORTE",IF($M150&gt;=0,"META ATINGIDA","GAP A RECUPERAR"))))</f>
        <v/>
      </c>
      <c r="O150" s="184" t="n"/>
      <c r="P150" s="175" t="n"/>
    </row>
    <row r="151">
      <c r="A151" s="179" t="inlineStr">
        <is>
          <t>GLOBO AÇOS</t>
        </is>
      </c>
      <c r="B151" s="179" t="inlineStr">
        <is>
          <t>FECHAMENTO</t>
        </is>
      </c>
      <c r="C151" s="192" t="n">
        <v>46321</v>
      </c>
      <c r="D151" s="192" t="n">
        <v>46325</v>
      </c>
      <c r="E151" s="192" t="n">
        <v>46326</v>
      </c>
      <c r="F151" s="193" t="n">
        <v>0</v>
      </c>
      <c r="G151" s="194" t="n">
        <v>5</v>
      </c>
      <c r="H151" s="183">
        <f>F151*G151</f>
        <v/>
      </c>
      <c r="I151" s="183" t="n">
        <v>0</v>
      </c>
      <c r="J151" s="183">
        <f>IFERROR(H151+I151,"")</f>
        <v/>
      </c>
      <c r="K151" s="183">
        <f>IFERROR(J151/G151,"")</f>
        <v/>
      </c>
      <c r="L151" s="183">
        <f>IFERROR(SUM(INDEX('CONTROLE PRODUÇÃO POR EMPRESAS'!$J$6:$J$5000,MATCH(C151,'CONTROLE PRODUÇÃO POR EMPRESAS'!$A$6:$A$5000,0)):INDEX('CONTROLE PRODUÇÃO POR EMPRESAS'!$J$6:$J$5000,MATCH(D151,'CONTROLE PRODUÇÃO POR EMPRESAS'!$A$6:$A$5000,0))),0)</f>
        <v/>
      </c>
      <c r="M151" s="183">
        <f>IF($B$3&lt;$E151,"",$L151-$J151)</f>
        <v/>
      </c>
      <c r="N151" s="183">
        <f>IF($B$3&lt;$C151,"FUTURA",IF($B$3&lt;=$D151,"EM ANDAMENTO",IF($B$3&lt;$E151,"AGUARDANDO CORTE",IF($M151&gt;=0,"META ATINGIDA","GAP A RECUPERAR"))))</f>
        <v/>
      </c>
      <c r="O151" s="184" t="n"/>
      <c r="P151" s="175" t="n"/>
    </row>
    <row r="152">
      <c r="A152" s="179" t="inlineStr">
        <is>
          <t>EJ</t>
        </is>
      </c>
      <c r="B152" s="179" t="inlineStr">
        <is>
          <t>PREMONTAGEM</t>
        </is>
      </c>
      <c r="C152" s="192" t="n">
        <v>46328</v>
      </c>
      <c r="D152" s="192" t="n">
        <v>46332</v>
      </c>
      <c r="E152" s="192" t="n">
        <v>46333</v>
      </c>
      <c r="F152" s="193" t="n">
        <v>6</v>
      </c>
      <c r="G152" s="194" t="n">
        <v>5</v>
      </c>
      <c r="H152" s="183">
        <f>F152*G152</f>
        <v/>
      </c>
      <c r="I152" s="183" t="n">
        <v>0</v>
      </c>
      <c r="J152" s="183">
        <f>IFERROR(H152+I152,"")</f>
        <v/>
      </c>
      <c r="K152" s="183">
        <f>IFERROR(J152/G152,"")</f>
        <v/>
      </c>
      <c r="L152" s="183" t="n">
        <v>0</v>
      </c>
      <c r="M152" s="183">
        <f>IF($B$3&lt;$E152,"",$L152-$J152)</f>
        <v/>
      </c>
      <c r="N152" s="183">
        <f>IF($B$3&lt;$C152,"FUTURA",IF($B$3&lt;=$D152,"EM ANDAMENTO",IF($B$3&lt;$E152,"AGUARDANDO CORTE",IF($M152&gt;=0,"META ATINGIDA","GAP A RECUPERAR"))))</f>
        <v/>
      </c>
      <c r="O152" s="184" t="n"/>
      <c r="P152" s="175" t="n"/>
    </row>
    <row r="153">
      <c r="A153" s="179" t="inlineStr">
        <is>
          <t>EJ</t>
        </is>
      </c>
      <c r="B153" s="179" t="inlineStr">
        <is>
          <t>IÇAMENTO JOIST</t>
        </is>
      </c>
      <c r="C153" s="192" t="n">
        <v>46328</v>
      </c>
      <c r="D153" s="192" t="n">
        <v>46332</v>
      </c>
      <c r="E153" s="192" t="n">
        <v>46333</v>
      </c>
      <c r="F153" s="193" t="n">
        <v>5</v>
      </c>
      <c r="G153" s="194" t="n">
        <v>5</v>
      </c>
      <c r="H153" s="183">
        <f>F153*G153</f>
        <v/>
      </c>
      <c r="I153" s="183" t="n">
        <v>0</v>
      </c>
      <c r="J153" s="183">
        <f>IFERROR(H153+I153,"")</f>
        <v/>
      </c>
      <c r="K153" s="183">
        <f>IFERROR(J153/G153,"")</f>
        <v/>
      </c>
      <c r="L153" s="183" t="n">
        <v>0</v>
      </c>
      <c r="M153" s="183">
        <f>IF($B$3&lt;$E153,"",$L153-$J153)</f>
        <v/>
      </c>
      <c r="N153" s="183">
        <f>IF($B$3&lt;$C153,"FUTURA",IF($B$3&lt;=$D153,"EM ANDAMENTO",IF($B$3&lt;$E153,"AGUARDANDO CORTE",IF($M153&gt;=0,"META ATINGIDA","GAP A RECUPERAR"))))</f>
        <v/>
      </c>
      <c r="O153" s="184" t="n"/>
      <c r="P153" s="175" t="n"/>
    </row>
    <row r="154">
      <c r="A154" s="179" t="inlineStr">
        <is>
          <t>EJ</t>
        </is>
      </c>
      <c r="B154" s="179" t="inlineStr">
        <is>
          <t>VIGAS</t>
        </is>
      </c>
      <c r="C154" s="192" t="n">
        <v>46328</v>
      </c>
      <c r="D154" s="192" t="n">
        <v>46332</v>
      </c>
      <c r="E154" s="192" t="n">
        <v>46333</v>
      </c>
      <c r="F154" s="193" t="n">
        <v>2</v>
      </c>
      <c r="G154" s="194" t="n">
        <v>5</v>
      </c>
      <c r="H154" s="183">
        <f>F154*G154</f>
        <v/>
      </c>
      <c r="I154" s="183" t="n">
        <v>0</v>
      </c>
      <c r="J154" s="183">
        <f>IFERROR(H154+I154,"")</f>
        <v/>
      </c>
      <c r="K154" s="183">
        <f>IFERROR(J154/G154,"")</f>
        <v/>
      </c>
      <c r="L154" s="183" t="n">
        <v>0</v>
      </c>
      <c r="M154" s="183">
        <f>IF($B$3&lt;$E154,"",$L154-$J154)</f>
        <v/>
      </c>
      <c r="N154" s="183">
        <f>IF($B$3&lt;$C154,"FUTURA",IF($B$3&lt;=$D154,"EM ANDAMENTO",IF($B$3&lt;$E154,"AGUARDANDO CORTE",IF($M154&gt;=0,"META ATINGIDA","GAP A RECUPERAR"))))</f>
        <v/>
      </c>
      <c r="O154" s="184" t="n"/>
      <c r="P154" s="175" t="n"/>
    </row>
    <row r="155">
      <c r="A155" s="179" t="inlineStr">
        <is>
          <t>CMM</t>
        </is>
      </c>
      <c r="B155" s="179" t="inlineStr">
        <is>
          <t>PREMONTAGEM</t>
        </is>
      </c>
      <c r="C155" s="192" t="n">
        <v>46328</v>
      </c>
      <c r="D155" s="192" t="n">
        <v>46332</v>
      </c>
      <c r="E155" s="192" t="n">
        <v>46333</v>
      </c>
      <c r="F155" s="193" t="n">
        <v>6</v>
      </c>
      <c r="G155" s="194" t="n">
        <v>5</v>
      </c>
      <c r="H155" s="183">
        <f>F155*G155</f>
        <v/>
      </c>
      <c r="I155" s="183" t="n">
        <v>0</v>
      </c>
      <c r="J155" s="183">
        <f>IFERROR(H155+I155,"")</f>
        <v/>
      </c>
      <c r="K155" s="183">
        <f>IFERROR(J155/G155,"")</f>
        <v/>
      </c>
      <c r="L155" s="183" t="n">
        <v>0</v>
      </c>
      <c r="M155" s="183">
        <f>IF($B$3&lt;$E155,"",$L155-$J155)</f>
        <v/>
      </c>
      <c r="N155" s="183">
        <f>IF($B$3&lt;$C155,"FUTURA",IF($B$3&lt;=$D155,"EM ANDAMENTO",IF($B$3&lt;$E155,"AGUARDANDO CORTE",IF($M155&gt;=0,"META ATINGIDA","GAP A RECUPERAR"))))</f>
        <v/>
      </c>
      <c r="O155" s="184" t="n"/>
      <c r="P155" s="175" t="n"/>
    </row>
    <row r="156">
      <c r="A156" s="179" t="inlineStr">
        <is>
          <t>CMM</t>
        </is>
      </c>
      <c r="B156" s="179" t="inlineStr">
        <is>
          <t>IÇAMENTO JOIST</t>
        </is>
      </c>
      <c r="C156" s="192" t="n">
        <v>46328</v>
      </c>
      <c r="D156" s="192" t="n">
        <v>46332</v>
      </c>
      <c r="E156" s="192" t="n">
        <v>46333</v>
      </c>
      <c r="F156" s="193" t="n">
        <v>5</v>
      </c>
      <c r="G156" s="194" t="n">
        <v>5</v>
      </c>
      <c r="H156" s="183">
        <f>F156*G156</f>
        <v/>
      </c>
      <c r="I156" s="183" t="n">
        <v>0</v>
      </c>
      <c r="J156" s="183">
        <f>IFERROR(H156+I156,"")</f>
        <v/>
      </c>
      <c r="K156" s="183">
        <f>IFERROR(J156/G156,"")</f>
        <v/>
      </c>
      <c r="L156" s="183" t="n">
        <v>0</v>
      </c>
      <c r="M156" s="183">
        <f>IF($B$3&lt;$E156,"",$L156-$J156)</f>
        <v/>
      </c>
      <c r="N156" s="183">
        <f>IF($B$3&lt;$C156,"FUTURA",IF($B$3&lt;=$D156,"EM ANDAMENTO",IF($B$3&lt;$E156,"AGUARDANDO CORTE",IF($M156&gt;=0,"META ATINGIDA","GAP A RECUPERAR"))))</f>
        <v/>
      </c>
      <c r="O156" s="184" t="n"/>
      <c r="P156" s="175" t="n"/>
    </row>
    <row r="157">
      <c r="A157" s="179" t="inlineStr">
        <is>
          <t>CMM</t>
        </is>
      </c>
      <c r="B157" s="179" t="inlineStr">
        <is>
          <t>VIGAS</t>
        </is>
      </c>
      <c r="C157" s="192" t="n">
        <v>46328</v>
      </c>
      <c r="D157" s="192" t="n">
        <v>46332</v>
      </c>
      <c r="E157" s="192" t="n">
        <v>46333</v>
      </c>
      <c r="F157" s="193" t="n">
        <v>2</v>
      </c>
      <c r="G157" s="194" t="n">
        <v>5</v>
      </c>
      <c r="H157" s="183">
        <f>F157*G157</f>
        <v/>
      </c>
      <c r="I157" s="183" t="n">
        <v>0</v>
      </c>
      <c r="J157" s="183">
        <f>IFERROR(H157+I157,"")</f>
        <v/>
      </c>
      <c r="K157" s="183">
        <f>IFERROR(J157/G157,"")</f>
        <v/>
      </c>
      <c r="L157" s="183" t="n">
        <v>0</v>
      </c>
      <c r="M157" s="183">
        <f>IF($B$3&lt;$E157,"",$L157-$J157)</f>
        <v/>
      </c>
      <c r="N157" s="183">
        <f>IF($B$3&lt;$C157,"FUTURA",IF($B$3&lt;=$D157,"EM ANDAMENTO",IF($B$3&lt;$E157,"AGUARDANDO CORTE",IF($M157&gt;=0,"META ATINGIDA","GAP A RECUPERAR"))))</f>
        <v/>
      </c>
      <c r="O157" s="184" t="n"/>
      <c r="P157" s="175" t="n"/>
    </row>
    <row r="158">
      <c r="A158" s="179" t="inlineStr">
        <is>
          <t>GLOBO AÇOS</t>
        </is>
      </c>
      <c r="B158" s="179" t="inlineStr">
        <is>
          <t>PERFILAÇÃO</t>
        </is>
      </c>
      <c r="C158" s="192" t="n">
        <v>46328</v>
      </c>
      <c r="D158" s="192" t="n">
        <v>46332</v>
      </c>
      <c r="E158" s="192" t="n">
        <v>46333</v>
      </c>
      <c r="F158" s="193" t="n">
        <v>19</v>
      </c>
      <c r="G158" s="194" t="n">
        <v>5</v>
      </c>
      <c r="H158" s="183">
        <f>F158*G158</f>
        <v/>
      </c>
      <c r="I158" s="183" t="n">
        <v>0</v>
      </c>
      <c r="J158" s="183">
        <f>IFERROR(H158+I158,"")</f>
        <v/>
      </c>
      <c r="K158" s="183">
        <f>IFERROR(J158/G158,"")</f>
        <v/>
      </c>
      <c r="L158" s="183">
        <f>IFERROR(SUM(INDEX('CONTROLE PRODUÇÃO POR EMPRESAS'!$H$6:$H$5000,MATCH(C158,'CONTROLE PRODUÇÃO POR EMPRESAS'!$A$6:$A$5000,0)):INDEX('CONTROLE PRODUÇÃO POR EMPRESAS'!$H$6:$H$5000,MATCH(D158,'CONTROLE PRODUÇÃO POR EMPRESAS'!$A$6:$A$5000,0))),0)</f>
        <v/>
      </c>
      <c r="M158" s="183">
        <f>IF($B$3&lt;$E158,"",$L158-$J158)</f>
        <v/>
      </c>
      <c r="N158" s="183">
        <f>IF($B$3&lt;$C158,"FUTURA",IF($B$3&lt;=$D158,"EM ANDAMENTO",IF($B$3&lt;$E158,"AGUARDANDO CORTE",IF($M158&gt;=0,"META ATINGIDA","GAP A RECUPERAR"))))</f>
        <v/>
      </c>
      <c r="O158" s="184" t="n"/>
      <c r="P158" s="175" t="n"/>
    </row>
    <row r="159">
      <c r="A159" s="179" t="inlineStr">
        <is>
          <t>GLOBO AÇOS</t>
        </is>
      </c>
      <c r="B159" s="179" t="inlineStr">
        <is>
          <t>TELHAR</t>
        </is>
      </c>
      <c r="C159" s="192" t="n">
        <v>46328</v>
      </c>
      <c r="D159" s="192" t="n">
        <v>46332</v>
      </c>
      <c r="E159" s="192" t="n">
        <v>46333</v>
      </c>
      <c r="F159" s="193" t="n">
        <v>7</v>
      </c>
      <c r="G159" s="194" t="n">
        <v>5</v>
      </c>
      <c r="H159" s="183">
        <f>F159*G159</f>
        <v/>
      </c>
      <c r="I159" s="183" t="n">
        <v>0</v>
      </c>
      <c r="J159" s="183">
        <f>IFERROR(H159+I159,"")</f>
        <v/>
      </c>
      <c r="K159" s="183">
        <f>IFERROR(J159/G159,"")</f>
        <v/>
      </c>
      <c r="L159" s="183">
        <f>IFERROR(SUM(INDEX('CONTROLE PRODUÇÃO POR EMPRESAS'!$I$6:$I$5000,MATCH(C159,'CONTROLE PRODUÇÃO POR EMPRESAS'!$A$6:$A$5000,0)):INDEX('CONTROLE PRODUÇÃO POR EMPRESAS'!$I$6:$I$5000,MATCH(D159,'CONTROLE PRODUÇÃO POR EMPRESAS'!$A$6:$A$5000,0))),0)</f>
        <v/>
      </c>
      <c r="M159" s="183">
        <f>IF($B$3&lt;$E159,"",$L159-$J159)</f>
        <v/>
      </c>
      <c r="N159" s="183">
        <f>IF($B$3&lt;$C159,"FUTURA",IF($B$3&lt;=$D159,"EM ANDAMENTO",IF($B$3&lt;$E159,"AGUARDANDO CORTE",IF($M159&gt;=0,"META ATINGIDA","GAP A RECUPERAR"))))</f>
        <v/>
      </c>
      <c r="O159" s="184" t="n"/>
      <c r="P159" s="175" t="n"/>
    </row>
    <row r="160">
      <c r="A160" s="179" t="inlineStr">
        <is>
          <t>GLOBO AÇOS</t>
        </is>
      </c>
      <c r="B160" s="179" t="inlineStr">
        <is>
          <t>FECHAMENTO</t>
        </is>
      </c>
      <c r="C160" s="192" t="n">
        <v>46328</v>
      </c>
      <c r="D160" s="192" t="n">
        <v>46332</v>
      </c>
      <c r="E160" s="192" t="n">
        <v>46333</v>
      </c>
      <c r="F160" s="193" t="n">
        <v>0</v>
      </c>
      <c r="G160" s="194" t="n">
        <v>5</v>
      </c>
      <c r="H160" s="183">
        <f>F160*G160</f>
        <v/>
      </c>
      <c r="I160" s="183" t="n">
        <v>0</v>
      </c>
      <c r="J160" s="183">
        <f>IFERROR(H160+I160,"")</f>
        <v/>
      </c>
      <c r="K160" s="183">
        <f>IFERROR(J160/G160,"")</f>
        <v/>
      </c>
      <c r="L160" s="183">
        <f>IFERROR(SUM(INDEX('CONTROLE PRODUÇÃO POR EMPRESAS'!$J$6:$J$5000,MATCH(C160,'CONTROLE PRODUÇÃO POR EMPRESAS'!$A$6:$A$5000,0)):INDEX('CONTROLE PRODUÇÃO POR EMPRESAS'!$J$6:$J$5000,MATCH(D160,'CONTROLE PRODUÇÃO POR EMPRESAS'!$A$6:$A$5000,0))),0)</f>
        <v/>
      </c>
      <c r="M160" s="183">
        <f>IF($B$3&lt;$E160,"",$L160-$J160)</f>
        <v/>
      </c>
      <c r="N160" s="183">
        <f>IF($B$3&lt;$C160,"FUTURA",IF($B$3&lt;=$D160,"EM ANDAMENTO",IF($B$3&lt;$E160,"AGUARDANDO CORTE",IF($M160&gt;=0,"META ATINGIDA","GAP A RECUPERAR"))))</f>
        <v/>
      </c>
      <c r="O160" s="184" t="n"/>
      <c r="P160" s="175" t="n"/>
    </row>
    <row r="161">
      <c r="A161" s="179" t="inlineStr">
        <is>
          <t>EJ</t>
        </is>
      </c>
      <c r="B161" s="179" t="inlineStr">
        <is>
          <t>PREMONTAGEM</t>
        </is>
      </c>
      <c r="C161" s="192" t="n">
        <v>46335</v>
      </c>
      <c r="D161" s="192" t="n">
        <v>46339</v>
      </c>
      <c r="E161" s="192" t="n">
        <v>46340</v>
      </c>
      <c r="F161" s="193" t="n">
        <v>6</v>
      </c>
      <c r="G161" s="194" t="n">
        <v>5</v>
      </c>
      <c r="H161" s="183">
        <f>F161*G161</f>
        <v/>
      </c>
      <c r="I161" s="183" t="n">
        <v>0</v>
      </c>
      <c r="J161" s="183">
        <f>IFERROR(H161+I161,"")</f>
        <v/>
      </c>
      <c r="K161" s="183">
        <f>IFERROR(J161/G161,"")</f>
        <v/>
      </c>
      <c r="L161" s="183" t="n">
        <v>0</v>
      </c>
      <c r="M161" s="183">
        <f>IF($B$3&lt;$E161,"",$L161-$J161)</f>
        <v/>
      </c>
      <c r="N161" s="183">
        <f>IF($B$3&lt;$C161,"FUTURA",IF($B$3&lt;=$D161,"EM ANDAMENTO",IF($B$3&lt;$E161,"AGUARDANDO CORTE",IF($M161&gt;=0,"META ATINGIDA","GAP A RECUPERAR"))))</f>
        <v/>
      </c>
      <c r="O161" s="184" t="n"/>
      <c r="P161" s="175" t="n"/>
    </row>
    <row r="162">
      <c r="A162" s="179" t="inlineStr">
        <is>
          <t>EJ</t>
        </is>
      </c>
      <c r="B162" s="179" t="inlineStr">
        <is>
          <t>IÇAMENTO JOIST</t>
        </is>
      </c>
      <c r="C162" s="192" t="n">
        <v>46335</v>
      </c>
      <c r="D162" s="192" t="n">
        <v>46339</v>
      </c>
      <c r="E162" s="192" t="n">
        <v>46340</v>
      </c>
      <c r="F162" s="193" t="n">
        <v>5</v>
      </c>
      <c r="G162" s="194" t="n">
        <v>5</v>
      </c>
      <c r="H162" s="183">
        <f>F162*G162</f>
        <v/>
      </c>
      <c r="I162" s="183" t="n">
        <v>0</v>
      </c>
      <c r="J162" s="183">
        <f>IFERROR(H162+I162,"")</f>
        <v/>
      </c>
      <c r="K162" s="183">
        <f>IFERROR(J162/G162,"")</f>
        <v/>
      </c>
      <c r="L162" s="183" t="n">
        <v>0</v>
      </c>
      <c r="M162" s="183">
        <f>IF($B$3&lt;$E162,"",$L162-$J162)</f>
        <v/>
      </c>
      <c r="N162" s="183">
        <f>IF($B$3&lt;$C162,"FUTURA",IF($B$3&lt;=$D162,"EM ANDAMENTO",IF($B$3&lt;$E162,"AGUARDANDO CORTE",IF($M162&gt;=0,"META ATINGIDA","GAP A RECUPERAR"))))</f>
        <v/>
      </c>
      <c r="O162" s="184" t="n"/>
      <c r="P162" s="175" t="n"/>
    </row>
    <row r="163">
      <c r="A163" s="179" t="inlineStr">
        <is>
          <t>EJ</t>
        </is>
      </c>
      <c r="B163" s="179" t="inlineStr">
        <is>
          <t>VIGAS</t>
        </is>
      </c>
      <c r="C163" s="192" t="n">
        <v>46335</v>
      </c>
      <c r="D163" s="192" t="n">
        <v>46339</v>
      </c>
      <c r="E163" s="192" t="n">
        <v>46340</v>
      </c>
      <c r="F163" s="193" t="n">
        <v>2</v>
      </c>
      <c r="G163" s="194" t="n">
        <v>5</v>
      </c>
      <c r="H163" s="183">
        <f>F163*G163</f>
        <v/>
      </c>
      <c r="I163" s="183" t="n">
        <v>0</v>
      </c>
      <c r="J163" s="183">
        <f>IFERROR(H163+I163,"")</f>
        <v/>
      </c>
      <c r="K163" s="183">
        <f>IFERROR(J163/G163,"")</f>
        <v/>
      </c>
      <c r="L163" s="183" t="n">
        <v>0</v>
      </c>
      <c r="M163" s="183">
        <f>IF($B$3&lt;$E163,"",$L163-$J163)</f>
        <v/>
      </c>
      <c r="N163" s="183">
        <f>IF($B$3&lt;$C163,"FUTURA",IF($B$3&lt;=$D163,"EM ANDAMENTO",IF($B$3&lt;$E163,"AGUARDANDO CORTE",IF($M163&gt;=0,"META ATINGIDA","GAP A RECUPERAR"))))</f>
        <v/>
      </c>
      <c r="O163" s="184" t="n"/>
      <c r="P163" s="175" t="n"/>
    </row>
    <row r="164">
      <c r="A164" s="179" t="inlineStr">
        <is>
          <t>CMM</t>
        </is>
      </c>
      <c r="B164" s="179" t="inlineStr">
        <is>
          <t>PREMONTAGEM</t>
        </is>
      </c>
      <c r="C164" s="192" t="n">
        <v>46335</v>
      </c>
      <c r="D164" s="192" t="n">
        <v>46339</v>
      </c>
      <c r="E164" s="192" t="n">
        <v>46340</v>
      </c>
      <c r="F164" s="193" t="n">
        <v>6</v>
      </c>
      <c r="G164" s="194" t="n">
        <v>5</v>
      </c>
      <c r="H164" s="183">
        <f>F164*G164</f>
        <v/>
      </c>
      <c r="I164" s="183" t="n">
        <v>0</v>
      </c>
      <c r="J164" s="183">
        <f>IFERROR(H164+I164,"")</f>
        <v/>
      </c>
      <c r="K164" s="183">
        <f>IFERROR(J164/G164,"")</f>
        <v/>
      </c>
      <c r="L164" s="183" t="n">
        <v>0</v>
      </c>
      <c r="M164" s="183">
        <f>IF($B$3&lt;$E164,"",$L164-$J164)</f>
        <v/>
      </c>
      <c r="N164" s="183">
        <f>IF($B$3&lt;$C164,"FUTURA",IF($B$3&lt;=$D164,"EM ANDAMENTO",IF($B$3&lt;$E164,"AGUARDANDO CORTE",IF($M164&gt;=0,"META ATINGIDA","GAP A RECUPERAR"))))</f>
        <v/>
      </c>
      <c r="O164" s="184" t="n"/>
      <c r="P164" s="175" t="n"/>
    </row>
    <row r="165">
      <c r="A165" s="179" t="inlineStr">
        <is>
          <t>CMM</t>
        </is>
      </c>
      <c r="B165" s="179" t="inlineStr">
        <is>
          <t>IÇAMENTO JOIST</t>
        </is>
      </c>
      <c r="C165" s="192" t="n">
        <v>46335</v>
      </c>
      <c r="D165" s="192" t="n">
        <v>46339</v>
      </c>
      <c r="E165" s="192" t="n">
        <v>46340</v>
      </c>
      <c r="F165" s="193" t="n">
        <v>5</v>
      </c>
      <c r="G165" s="194" t="n">
        <v>5</v>
      </c>
      <c r="H165" s="183">
        <f>F165*G165</f>
        <v/>
      </c>
      <c r="I165" s="183" t="n">
        <v>0</v>
      </c>
      <c r="J165" s="183">
        <f>IFERROR(H165+I165,"")</f>
        <v/>
      </c>
      <c r="K165" s="183">
        <f>IFERROR(J165/G165,"")</f>
        <v/>
      </c>
      <c r="L165" s="183" t="n">
        <v>0</v>
      </c>
      <c r="M165" s="183">
        <f>IF($B$3&lt;$E165,"",$L165-$J165)</f>
        <v/>
      </c>
      <c r="N165" s="183">
        <f>IF($B$3&lt;$C165,"FUTURA",IF($B$3&lt;=$D165,"EM ANDAMENTO",IF($B$3&lt;$E165,"AGUARDANDO CORTE",IF($M165&gt;=0,"META ATINGIDA","GAP A RECUPERAR"))))</f>
        <v/>
      </c>
      <c r="O165" s="184" t="n"/>
      <c r="P165" s="175" t="n"/>
    </row>
    <row r="166">
      <c r="A166" s="179" t="inlineStr">
        <is>
          <t>CMM</t>
        </is>
      </c>
      <c r="B166" s="179" t="inlineStr">
        <is>
          <t>VIGAS</t>
        </is>
      </c>
      <c r="C166" s="192" t="n">
        <v>46335</v>
      </c>
      <c r="D166" s="192" t="n">
        <v>46339</v>
      </c>
      <c r="E166" s="192" t="n">
        <v>46340</v>
      </c>
      <c r="F166" s="193" t="n">
        <v>2</v>
      </c>
      <c r="G166" s="194" t="n">
        <v>5</v>
      </c>
      <c r="H166" s="183">
        <f>F166*G166</f>
        <v/>
      </c>
      <c r="I166" s="183" t="n">
        <v>0</v>
      </c>
      <c r="J166" s="183">
        <f>IFERROR(H166+I166,"")</f>
        <v/>
      </c>
      <c r="K166" s="183">
        <f>IFERROR(J166/G166,"")</f>
        <v/>
      </c>
      <c r="L166" s="183" t="n">
        <v>0</v>
      </c>
      <c r="M166" s="183">
        <f>IF($B$3&lt;$E166,"",$L166-$J166)</f>
        <v/>
      </c>
      <c r="N166" s="183">
        <f>IF($B$3&lt;$C166,"FUTURA",IF($B$3&lt;=$D166,"EM ANDAMENTO",IF($B$3&lt;$E166,"AGUARDANDO CORTE",IF($M166&gt;=0,"META ATINGIDA","GAP A RECUPERAR"))))</f>
        <v/>
      </c>
      <c r="O166" s="184" t="n"/>
      <c r="P166" s="175" t="n"/>
    </row>
    <row r="167">
      <c r="A167" s="179" t="inlineStr">
        <is>
          <t>GLOBO AÇOS</t>
        </is>
      </c>
      <c r="B167" s="179" t="inlineStr">
        <is>
          <t>PERFILAÇÃO</t>
        </is>
      </c>
      <c r="C167" s="192" t="n">
        <v>46335</v>
      </c>
      <c r="D167" s="192" t="n">
        <v>46339</v>
      </c>
      <c r="E167" s="192" t="n">
        <v>46340</v>
      </c>
      <c r="F167" s="193" t="n">
        <v>19</v>
      </c>
      <c r="G167" s="194" t="n">
        <v>5</v>
      </c>
      <c r="H167" s="183">
        <f>F167*G167</f>
        <v/>
      </c>
      <c r="I167" s="183" t="n">
        <v>0</v>
      </c>
      <c r="J167" s="183">
        <f>IFERROR(H167+I167,"")</f>
        <v/>
      </c>
      <c r="K167" s="183">
        <f>IFERROR(J167/G167,"")</f>
        <v/>
      </c>
      <c r="L167" s="183">
        <f>IFERROR(SUM(INDEX('CONTROLE PRODUÇÃO POR EMPRESAS'!$H$6:$H$5000,MATCH(C167,'CONTROLE PRODUÇÃO POR EMPRESAS'!$A$6:$A$5000,0)):INDEX('CONTROLE PRODUÇÃO POR EMPRESAS'!$H$6:$H$5000,MATCH(D167,'CONTROLE PRODUÇÃO POR EMPRESAS'!$A$6:$A$5000,0))),0)</f>
        <v/>
      </c>
      <c r="M167" s="183">
        <f>IF($B$3&lt;$E167,"",$L167-$J167)</f>
        <v/>
      </c>
      <c r="N167" s="183">
        <f>IF($B$3&lt;$C167,"FUTURA",IF($B$3&lt;=$D167,"EM ANDAMENTO",IF($B$3&lt;$E167,"AGUARDANDO CORTE",IF($M167&gt;=0,"META ATINGIDA","GAP A RECUPERAR"))))</f>
        <v/>
      </c>
      <c r="O167" s="184" t="n"/>
      <c r="P167" s="175" t="n"/>
    </row>
    <row r="168">
      <c r="A168" s="179" t="inlineStr">
        <is>
          <t>GLOBO AÇOS</t>
        </is>
      </c>
      <c r="B168" s="179" t="inlineStr">
        <is>
          <t>TELHAR</t>
        </is>
      </c>
      <c r="C168" s="192" t="n">
        <v>46335</v>
      </c>
      <c r="D168" s="192" t="n">
        <v>46339</v>
      </c>
      <c r="E168" s="192" t="n">
        <v>46340</v>
      </c>
      <c r="F168" s="193" t="n">
        <v>7</v>
      </c>
      <c r="G168" s="194" t="n">
        <v>5</v>
      </c>
      <c r="H168" s="183">
        <f>F168*G168</f>
        <v/>
      </c>
      <c r="I168" s="183" t="n">
        <v>0</v>
      </c>
      <c r="J168" s="183">
        <f>IFERROR(H168+I168,"")</f>
        <v/>
      </c>
      <c r="K168" s="183">
        <f>IFERROR(J168/G168,"")</f>
        <v/>
      </c>
      <c r="L168" s="183">
        <f>IFERROR(SUM(INDEX('CONTROLE PRODUÇÃO POR EMPRESAS'!$I$6:$I$5000,MATCH(C168,'CONTROLE PRODUÇÃO POR EMPRESAS'!$A$6:$A$5000,0)):INDEX('CONTROLE PRODUÇÃO POR EMPRESAS'!$I$6:$I$5000,MATCH(D168,'CONTROLE PRODUÇÃO POR EMPRESAS'!$A$6:$A$5000,0))),0)</f>
        <v/>
      </c>
      <c r="M168" s="183">
        <f>IF($B$3&lt;$E168,"",$L168-$J168)</f>
        <v/>
      </c>
      <c r="N168" s="183">
        <f>IF($B$3&lt;$C168,"FUTURA",IF($B$3&lt;=$D168,"EM ANDAMENTO",IF($B$3&lt;$E168,"AGUARDANDO CORTE",IF($M168&gt;=0,"META ATINGIDA","GAP A RECUPERAR"))))</f>
        <v/>
      </c>
      <c r="O168" s="184" t="n"/>
      <c r="P168" s="175" t="n"/>
    </row>
    <row r="169">
      <c r="A169" s="179" t="inlineStr">
        <is>
          <t>GLOBO AÇOS</t>
        </is>
      </c>
      <c r="B169" s="179" t="inlineStr">
        <is>
          <t>FECHAMENTO</t>
        </is>
      </c>
      <c r="C169" s="192" t="n">
        <v>46335</v>
      </c>
      <c r="D169" s="192" t="n">
        <v>46339</v>
      </c>
      <c r="E169" s="192" t="n">
        <v>46340</v>
      </c>
      <c r="F169" s="193" t="n">
        <v>36</v>
      </c>
      <c r="G169" s="194" t="n">
        <v>5</v>
      </c>
      <c r="H169" s="183">
        <f>F169*G169</f>
        <v/>
      </c>
      <c r="I169" s="183" t="n">
        <v>0</v>
      </c>
      <c r="J169" s="183">
        <f>IFERROR(H169+I169,"")</f>
        <v/>
      </c>
      <c r="K169" s="183">
        <f>IFERROR(J169/G169,"")</f>
        <v/>
      </c>
      <c r="L169" s="183">
        <f>IFERROR(SUM(INDEX('CONTROLE PRODUÇÃO POR EMPRESAS'!$J$6:$J$5000,MATCH(C169,'CONTROLE PRODUÇÃO POR EMPRESAS'!$A$6:$A$5000,0)):INDEX('CONTROLE PRODUÇÃO POR EMPRESAS'!$J$6:$J$5000,MATCH(D169,'CONTROLE PRODUÇÃO POR EMPRESAS'!$A$6:$A$5000,0))),0)</f>
        <v/>
      </c>
      <c r="M169" s="183">
        <f>IF($B$3&lt;$E169,"",$L169-$J169)</f>
        <v/>
      </c>
      <c r="N169" s="183">
        <f>IF($B$3&lt;$C169,"FUTURA",IF($B$3&lt;=$D169,"EM ANDAMENTO",IF($B$3&lt;$E169,"AGUARDANDO CORTE",IF($M169&gt;=0,"META ATINGIDA","GAP A RECUPERAR"))))</f>
        <v/>
      </c>
      <c r="O169" s="184" t="n"/>
      <c r="P169" s="175" t="n"/>
    </row>
    <row r="170">
      <c r="A170" s="179" t="inlineStr">
        <is>
          <t>EJ</t>
        </is>
      </c>
      <c r="B170" s="179" t="inlineStr">
        <is>
          <t>PREMONTAGEM</t>
        </is>
      </c>
      <c r="C170" s="192" t="n">
        <v>46342</v>
      </c>
      <c r="D170" s="192" t="n">
        <v>46346</v>
      </c>
      <c r="E170" s="192" t="n">
        <v>46347</v>
      </c>
      <c r="F170" s="193" t="n">
        <v>6</v>
      </c>
      <c r="G170" s="194" t="n">
        <v>5</v>
      </c>
      <c r="H170" s="183">
        <f>F170*G170</f>
        <v/>
      </c>
      <c r="I170" s="183" t="n">
        <v>0</v>
      </c>
      <c r="J170" s="183">
        <f>IFERROR(H170+I170,"")</f>
        <v/>
      </c>
      <c r="K170" s="183">
        <f>IFERROR(J170/G170,"")</f>
        <v/>
      </c>
      <c r="L170" s="183" t="n">
        <v>0</v>
      </c>
      <c r="M170" s="183">
        <f>IF($B$3&lt;$E170,"",$L170-$J170)</f>
        <v/>
      </c>
      <c r="N170" s="183">
        <f>IF($B$3&lt;$C170,"FUTURA",IF($B$3&lt;=$D170,"EM ANDAMENTO",IF($B$3&lt;$E170,"AGUARDANDO CORTE",IF($M170&gt;=0,"META ATINGIDA","GAP A RECUPERAR"))))</f>
        <v/>
      </c>
      <c r="O170" s="184" t="n"/>
      <c r="P170" s="175" t="n"/>
    </row>
    <row r="171">
      <c r="A171" s="179" t="inlineStr">
        <is>
          <t>EJ</t>
        </is>
      </c>
      <c r="B171" s="179" t="inlineStr">
        <is>
          <t>IÇAMENTO JOIST</t>
        </is>
      </c>
      <c r="C171" s="192" t="n">
        <v>46342</v>
      </c>
      <c r="D171" s="192" t="n">
        <v>46346</v>
      </c>
      <c r="E171" s="192" t="n">
        <v>46347</v>
      </c>
      <c r="F171" s="193" t="n">
        <v>5</v>
      </c>
      <c r="G171" s="194" t="n">
        <v>5</v>
      </c>
      <c r="H171" s="183">
        <f>F171*G171</f>
        <v/>
      </c>
      <c r="I171" s="183" t="n">
        <v>0</v>
      </c>
      <c r="J171" s="183">
        <f>IFERROR(H171+I171,"")</f>
        <v/>
      </c>
      <c r="K171" s="183">
        <f>IFERROR(J171/G171,"")</f>
        <v/>
      </c>
      <c r="L171" s="183" t="n">
        <v>0</v>
      </c>
      <c r="M171" s="183">
        <f>IF($B$3&lt;$E171,"",$L171-$J171)</f>
        <v/>
      </c>
      <c r="N171" s="183">
        <f>IF($B$3&lt;$C171,"FUTURA",IF($B$3&lt;=$D171,"EM ANDAMENTO",IF($B$3&lt;$E171,"AGUARDANDO CORTE",IF($M171&gt;=0,"META ATINGIDA","GAP A RECUPERAR"))))</f>
        <v/>
      </c>
      <c r="O171" s="184" t="n"/>
      <c r="P171" s="175" t="n"/>
    </row>
    <row r="172">
      <c r="A172" s="179" t="inlineStr">
        <is>
          <t>EJ</t>
        </is>
      </c>
      <c r="B172" s="179" t="inlineStr">
        <is>
          <t>VIGAS</t>
        </is>
      </c>
      <c r="C172" s="192" t="n">
        <v>46342</v>
      </c>
      <c r="D172" s="192" t="n">
        <v>46346</v>
      </c>
      <c r="E172" s="192" t="n">
        <v>46347</v>
      </c>
      <c r="F172" s="193" t="n">
        <v>2</v>
      </c>
      <c r="G172" s="194" t="n">
        <v>5</v>
      </c>
      <c r="H172" s="183">
        <f>F172*G172</f>
        <v/>
      </c>
      <c r="I172" s="183" t="n">
        <v>0</v>
      </c>
      <c r="J172" s="183">
        <f>IFERROR(H172+I172,"")</f>
        <v/>
      </c>
      <c r="K172" s="183">
        <f>IFERROR(J172/G172,"")</f>
        <v/>
      </c>
      <c r="L172" s="183" t="n">
        <v>0</v>
      </c>
      <c r="M172" s="183">
        <f>IF($B$3&lt;$E172,"",$L172-$J172)</f>
        <v/>
      </c>
      <c r="N172" s="183">
        <f>IF($B$3&lt;$C172,"FUTURA",IF($B$3&lt;=$D172,"EM ANDAMENTO",IF($B$3&lt;$E172,"AGUARDANDO CORTE",IF($M172&gt;=0,"META ATINGIDA","GAP A RECUPERAR"))))</f>
        <v/>
      </c>
      <c r="O172" s="184" t="n"/>
      <c r="P172" s="175" t="n"/>
    </row>
    <row r="173">
      <c r="A173" s="179" t="inlineStr">
        <is>
          <t>CMM</t>
        </is>
      </c>
      <c r="B173" s="179" t="inlineStr">
        <is>
          <t>PREMONTAGEM</t>
        </is>
      </c>
      <c r="C173" s="192" t="n">
        <v>46342</v>
      </c>
      <c r="D173" s="192" t="n">
        <v>46346</v>
      </c>
      <c r="E173" s="192" t="n">
        <v>46347</v>
      </c>
      <c r="F173" s="193" t="n">
        <v>6</v>
      </c>
      <c r="G173" s="194" t="n">
        <v>5</v>
      </c>
      <c r="H173" s="183">
        <f>F173*G173</f>
        <v/>
      </c>
      <c r="I173" s="183" t="n">
        <v>0</v>
      </c>
      <c r="J173" s="183">
        <f>IFERROR(H173+I173,"")</f>
        <v/>
      </c>
      <c r="K173" s="183">
        <f>IFERROR(J173/G173,"")</f>
        <v/>
      </c>
      <c r="L173" s="183" t="n">
        <v>0</v>
      </c>
      <c r="M173" s="183">
        <f>IF($B$3&lt;$E173,"",$L173-$J173)</f>
        <v/>
      </c>
      <c r="N173" s="183">
        <f>IF($B$3&lt;$C173,"FUTURA",IF($B$3&lt;=$D173,"EM ANDAMENTO",IF($B$3&lt;$E173,"AGUARDANDO CORTE",IF($M173&gt;=0,"META ATINGIDA","GAP A RECUPERAR"))))</f>
        <v/>
      </c>
      <c r="O173" s="184" t="n"/>
      <c r="P173" s="175" t="n"/>
    </row>
    <row r="174">
      <c r="A174" s="179" t="inlineStr">
        <is>
          <t>CMM</t>
        </is>
      </c>
      <c r="B174" s="179" t="inlineStr">
        <is>
          <t>IÇAMENTO JOIST</t>
        </is>
      </c>
      <c r="C174" s="192" t="n">
        <v>46342</v>
      </c>
      <c r="D174" s="192" t="n">
        <v>46346</v>
      </c>
      <c r="E174" s="192" t="n">
        <v>46347</v>
      </c>
      <c r="F174" s="193" t="n">
        <v>5</v>
      </c>
      <c r="G174" s="194" t="n">
        <v>5</v>
      </c>
      <c r="H174" s="183">
        <f>F174*G174</f>
        <v/>
      </c>
      <c r="I174" s="183" t="n">
        <v>0</v>
      </c>
      <c r="J174" s="183">
        <f>IFERROR(H174+I174,"")</f>
        <v/>
      </c>
      <c r="K174" s="183">
        <f>IFERROR(J174/G174,"")</f>
        <v/>
      </c>
      <c r="L174" s="183" t="n">
        <v>0</v>
      </c>
      <c r="M174" s="183">
        <f>IF($B$3&lt;$E174,"",$L174-$J174)</f>
        <v/>
      </c>
      <c r="N174" s="183">
        <f>IF($B$3&lt;$C174,"FUTURA",IF($B$3&lt;=$D174,"EM ANDAMENTO",IF($B$3&lt;$E174,"AGUARDANDO CORTE",IF($M174&gt;=0,"META ATINGIDA","GAP A RECUPERAR"))))</f>
        <v/>
      </c>
      <c r="O174" s="184" t="n"/>
      <c r="P174" s="175" t="n"/>
    </row>
    <row r="175">
      <c r="A175" s="179" t="inlineStr">
        <is>
          <t>CMM</t>
        </is>
      </c>
      <c r="B175" s="179" t="inlineStr">
        <is>
          <t>VIGAS</t>
        </is>
      </c>
      <c r="C175" s="192" t="n">
        <v>46342</v>
      </c>
      <c r="D175" s="192" t="n">
        <v>46346</v>
      </c>
      <c r="E175" s="192" t="n">
        <v>46347</v>
      </c>
      <c r="F175" s="193" t="n">
        <v>2</v>
      </c>
      <c r="G175" s="194" t="n">
        <v>5</v>
      </c>
      <c r="H175" s="183">
        <f>F175*G175</f>
        <v/>
      </c>
      <c r="I175" s="183" t="n">
        <v>0</v>
      </c>
      <c r="J175" s="183">
        <f>IFERROR(H175+I175,"")</f>
        <v/>
      </c>
      <c r="K175" s="183">
        <f>IFERROR(J175/G175,"")</f>
        <v/>
      </c>
      <c r="L175" s="183" t="n">
        <v>0</v>
      </c>
      <c r="M175" s="183">
        <f>IF($B$3&lt;$E175,"",$L175-$J175)</f>
        <v/>
      </c>
      <c r="N175" s="183">
        <f>IF($B$3&lt;$C175,"FUTURA",IF($B$3&lt;=$D175,"EM ANDAMENTO",IF($B$3&lt;$E175,"AGUARDANDO CORTE",IF($M175&gt;=0,"META ATINGIDA","GAP A RECUPERAR"))))</f>
        <v/>
      </c>
      <c r="O175" s="184" t="n"/>
      <c r="P175" s="175" t="n"/>
    </row>
    <row r="176">
      <c r="A176" s="179" t="inlineStr">
        <is>
          <t>GLOBO AÇOS</t>
        </is>
      </c>
      <c r="B176" s="179" t="inlineStr">
        <is>
          <t>PERFILAÇÃO</t>
        </is>
      </c>
      <c r="C176" s="192" t="n">
        <v>46342</v>
      </c>
      <c r="D176" s="192" t="n">
        <v>46346</v>
      </c>
      <c r="E176" s="192" t="n">
        <v>46347</v>
      </c>
      <c r="F176" s="193" t="n">
        <v>19</v>
      </c>
      <c r="G176" s="194" t="n">
        <v>5</v>
      </c>
      <c r="H176" s="183">
        <f>F176*G176</f>
        <v/>
      </c>
      <c r="I176" s="183" t="n">
        <v>0</v>
      </c>
      <c r="J176" s="183">
        <f>IFERROR(H176+I176,"")</f>
        <v/>
      </c>
      <c r="K176" s="183">
        <f>IFERROR(J176/G176,"")</f>
        <v/>
      </c>
      <c r="L176" s="183">
        <f>IFERROR(SUM(INDEX('CONTROLE PRODUÇÃO POR EMPRESAS'!$H$6:$H$5000,MATCH(C176,'CONTROLE PRODUÇÃO POR EMPRESAS'!$A$6:$A$5000,0)):INDEX('CONTROLE PRODUÇÃO POR EMPRESAS'!$H$6:$H$5000,MATCH(D176,'CONTROLE PRODUÇÃO POR EMPRESAS'!$A$6:$A$5000,0))),0)</f>
        <v/>
      </c>
      <c r="M176" s="183">
        <f>IF($B$3&lt;$E176,"",$L176-$J176)</f>
        <v/>
      </c>
      <c r="N176" s="183">
        <f>IF($B$3&lt;$C176,"FUTURA",IF($B$3&lt;=$D176,"EM ANDAMENTO",IF($B$3&lt;$E176,"AGUARDANDO CORTE",IF($M176&gt;=0,"META ATINGIDA","GAP A RECUPERAR"))))</f>
        <v/>
      </c>
      <c r="O176" s="184" t="n"/>
      <c r="P176" s="175" t="n"/>
    </row>
    <row r="177">
      <c r="A177" s="179" t="inlineStr">
        <is>
          <t>GLOBO AÇOS</t>
        </is>
      </c>
      <c r="B177" s="179" t="inlineStr">
        <is>
          <t>TELHAR</t>
        </is>
      </c>
      <c r="C177" s="192" t="n">
        <v>46342</v>
      </c>
      <c r="D177" s="192" t="n">
        <v>46346</v>
      </c>
      <c r="E177" s="192" t="n">
        <v>46347</v>
      </c>
      <c r="F177" s="193" t="n">
        <v>7</v>
      </c>
      <c r="G177" s="194" t="n">
        <v>5</v>
      </c>
      <c r="H177" s="183">
        <f>F177*G177</f>
        <v/>
      </c>
      <c r="I177" s="183" t="n">
        <v>0</v>
      </c>
      <c r="J177" s="183">
        <f>IFERROR(H177+I177,"")</f>
        <v/>
      </c>
      <c r="K177" s="183">
        <f>IFERROR(J177/G177,"")</f>
        <v/>
      </c>
      <c r="L177" s="183">
        <f>IFERROR(SUM(INDEX('CONTROLE PRODUÇÃO POR EMPRESAS'!$I$6:$I$5000,MATCH(C177,'CONTROLE PRODUÇÃO POR EMPRESAS'!$A$6:$A$5000,0)):INDEX('CONTROLE PRODUÇÃO POR EMPRESAS'!$I$6:$I$5000,MATCH(D177,'CONTROLE PRODUÇÃO POR EMPRESAS'!$A$6:$A$5000,0))),0)</f>
        <v/>
      </c>
      <c r="M177" s="183">
        <f>IF($B$3&lt;$E177,"",$L177-$J177)</f>
        <v/>
      </c>
      <c r="N177" s="183">
        <f>IF($B$3&lt;$C177,"FUTURA",IF($B$3&lt;=$D177,"EM ANDAMENTO",IF($B$3&lt;$E177,"AGUARDANDO CORTE",IF($M177&gt;=0,"META ATINGIDA","GAP A RECUPERAR"))))</f>
        <v/>
      </c>
      <c r="O177" s="184" t="n"/>
      <c r="P177" s="175" t="n"/>
    </row>
    <row r="178">
      <c r="A178" s="179" t="inlineStr">
        <is>
          <t>GLOBO AÇOS</t>
        </is>
      </c>
      <c r="B178" s="179" t="inlineStr">
        <is>
          <t>FECHAMENTO</t>
        </is>
      </c>
      <c r="C178" s="192" t="n">
        <v>46342</v>
      </c>
      <c r="D178" s="192" t="n">
        <v>46346</v>
      </c>
      <c r="E178" s="192" t="n">
        <v>46347</v>
      </c>
      <c r="F178" s="193" t="n">
        <v>36</v>
      </c>
      <c r="G178" s="194" t="n">
        <v>5</v>
      </c>
      <c r="H178" s="183">
        <f>F178*G178</f>
        <v/>
      </c>
      <c r="I178" s="183" t="n">
        <v>0</v>
      </c>
      <c r="J178" s="183">
        <f>IFERROR(H178+I178,"")</f>
        <v/>
      </c>
      <c r="K178" s="183">
        <f>IFERROR(J178/G178,"")</f>
        <v/>
      </c>
      <c r="L178" s="183">
        <f>IFERROR(SUM(INDEX('CONTROLE PRODUÇÃO POR EMPRESAS'!$J$6:$J$5000,MATCH(C178,'CONTROLE PRODUÇÃO POR EMPRESAS'!$A$6:$A$5000,0)):INDEX('CONTROLE PRODUÇÃO POR EMPRESAS'!$J$6:$J$5000,MATCH(D178,'CONTROLE PRODUÇÃO POR EMPRESAS'!$A$6:$A$5000,0))),0)</f>
        <v/>
      </c>
      <c r="M178" s="183">
        <f>IF($B$3&lt;$E178,"",$L178-$J178)</f>
        <v/>
      </c>
      <c r="N178" s="183">
        <f>IF($B$3&lt;$C178,"FUTURA",IF($B$3&lt;=$D178,"EM ANDAMENTO",IF($B$3&lt;$E178,"AGUARDANDO CORTE",IF($M178&gt;=0,"META ATINGIDA","GAP A RECUPERAR"))))</f>
        <v/>
      </c>
      <c r="O178" s="184" t="n"/>
      <c r="P178" s="175" t="n"/>
    </row>
    <row r="179">
      <c r="A179" s="179" t="inlineStr">
        <is>
          <t>EJ</t>
        </is>
      </c>
      <c r="B179" s="179" t="inlineStr">
        <is>
          <t>PREMONTAGEM</t>
        </is>
      </c>
      <c r="C179" s="192" t="n">
        <v>46349</v>
      </c>
      <c r="D179" s="192" t="n">
        <v>46353</v>
      </c>
      <c r="E179" s="192" t="n">
        <v>46354</v>
      </c>
      <c r="F179" s="193" t="n">
        <v>6</v>
      </c>
      <c r="G179" s="194" t="n">
        <v>5</v>
      </c>
      <c r="H179" s="183">
        <f>F179*G179</f>
        <v/>
      </c>
      <c r="I179" s="183" t="n">
        <v>0</v>
      </c>
      <c r="J179" s="183">
        <f>IFERROR(H179+I179,"")</f>
        <v/>
      </c>
      <c r="K179" s="183">
        <f>IFERROR(J179/G179,"")</f>
        <v/>
      </c>
      <c r="L179" s="183" t="n">
        <v>0</v>
      </c>
      <c r="M179" s="183">
        <f>IF($B$3&lt;$E179,"",$L179-$J179)</f>
        <v/>
      </c>
      <c r="N179" s="183">
        <f>IF($B$3&lt;$C179,"FUTURA",IF($B$3&lt;=$D179,"EM ANDAMENTO",IF($B$3&lt;$E179,"AGUARDANDO CORTE",IF($M179&gt;=0,"META ATINGIDA","GAP A RECUPERAR"))))</f>
        <v/>
      </c>
      <c r="O179" s="184" t="n"/>
      <c r="P179" s="175" t="n"/>
    </row>
    <row r="180">
      <c r="A180" s="179" t="inlineStr">
        <is>
          <t>EJ</t>
        </is>
      </c>
      <c r="B180" s="179" t="inlineStr">
        <is>
          <t>IÇAMENTO JOIST</t>
        </is>
      </c>
      <c r="C180" s="192" t="n">
        <v>46349</v>
      </c>
      <c r="D180" s="192" t="n">
        <v>46353</v>
      </c>
      <c r="E180" s="192" t="n">
        <v>46354</v>
      </c>
      <c r="F180" s="193" t="n">
        <v>5</v>
      </c>
      <c r="G180" s="194" t="n">
        <v>5</v>
      </c>
      <c r="H180" s="183">
        <f>F180*G180</f>
        <v/>
      </c>
      <c r="I180" s="183" t="n">
        <v>0</v>
      </c>
      <c r="J180" s="183">
        <f>IFERROR(H180+I180,"")</f>
        <v/>
      </c>
      <c r="K180" s="183">
        <f>IFERROR(J180/G180,"")</f>
        <v/>
      </c>
      <c r="L180" s="183" t="n">
        <v>0</v>
      </c>
      <c r="M180" s="183">
        <f>IF($B$3&lt;$E180,"",$L180-$J180)</f>
        <v/>
      </c>
      <c r="N180" s="183">
        <f>IF($B$3&lt;$C180,"FUTURA",IF($B$3&lt;=$D180,"EM ANDAMENTO",IF($B$3&lt;$E180,"AGUARDANDO CORTE",IF($M180&gt;=0,"META ATINGIDA","GAP A RECUPERAR"))))</f>
        <v/>
      </c>
      <c r="O180" s="184" t="n"/>
      <c r="P180" s="175" t="n"/>
    </row>
    <row r="181">
      <c r="A181" s="179" t="inlineStr">
        <is>
          <t>EJ</t>
        </is>
      </c>
      <c r="B181" s="179" t="inlineStr">
        <is>
          <t>VIGAS</t>
        </is>
      </c>
      <c r="C181" s="192" t="n">
        <v>46349</v>
      </c>
      <c r="D181" s="192" t="n">
        <v>46353</v>
      </c>
      <c r="E181" s="192" t="n">
        <v>46354</v>
      </c>
      <c r="F181" s="193" t="n">
        <v>2</v>
      </c>
      <c r="G181" s="194" t="n">
        <v>5</v>
      </c>
      <c r="H181" s="183">
        <f>F181*G181</f>
        <v/>
      </c>
      <c r="I181" s="183" t="n">
        <v>0</v>
      </c>
      <c r="J181" s="183">
        <f>IFERROR(H181+I181,"")</f>
        <v/>
      </c>
      <c r="K181" s="183">
        <f>IFERROR(J181/G181,"")</f>
        <v/>
      </c>
      <c r="L181" s="183" t="n">
        <v>0</v>
      </c>
      <c r="M181" s="183">
        <f>IF($B$3&lt;$E181,"",$L181-$J181)</f>
        <v/>
      </c>
      <c r="N181" s="183">
        <f>IF($B$3&lt;$C181,"FUTURA",IF($B$3&lt;=$D181,"EM ANDAMENTO",IF($B$3&lt;$E181,"AGUARDANDO CORTE",IF($M181&gt;=0,"META ATINGIDA","GAP A RECUPERAR"))))</f>
        <v/>
      </c>
      <c r="O181" s="184" t="n"/>
      <c r="P181" s="175" t="n"/>
    </row>
    <row r="182">
      <c r="A182" s="179" t="inlineStr">
        <is>
          <t>CMM</t>
        </is>
      </c>
      <c r="B182" s="179" t="inlineStr">
        <is>
          <t>PREMONTAGEM</t>
        </is>
      </c>
      <c r="C182" s="192" t="n">
        <v>46349</v>
      </c>
      <c r="D182" s="192" t="n">
        <v>46353</v>
      </c>
      <c r="E182" s="192" t="n">
        <v>46354</v>
      </c>
      <c r="F182" s="193" t="n">
        <v>6</v>
      </c>
      <c r="G182" s="194" t="n">
        <v>5</v>
      </c>
      <c r="H182" s="183">
        <f>F182*G182</f>
        <v/>
      </c>
      <c r="I182" s="183" t="n">
        <v>0</v>
      </c>
      <c r="J182" s="183">
        <f>IFERROR(H182+I182,"")</f>
        <v/>
      </c>
      <c r="K182" s="183">
        <f>IFERROR(J182/G182,"")</f>
        <v/>
      </c>
      <c r="L182" s="183" t="n">
        <v>0</v>
      </c>
      <c r="M182" s="183">
        <f>IF($B$3&lt;$E182,"",$L182-$J182)</f>
        <v/>
      </c>
      <c r="N182" s="183">
        <f>IF($B$3&lt;$C182,"FUTURA",IF($B$3&lt;=$D182,"EM ANDAMENTO",IF($B$3&lt;$E182,"AGUARDANDO CORTE",IF($M182&gt;=0,"META ATINGIDA","GAP A RECUPERAR"))))</f>
        <v/>
      </c>
      <c r="O182" s="184" t="n"/>
      <c r="P182" s="175" t="n"/>
    </row>
    <row r="183">
      <c r="A183" s="179" t="inlineStr">
        <is>
          <t>CMM</t>
        </is>
      </c>
      <c r="B183" s="179" t="inlineStr">
        <is>
          <t>IÇAMENTO JOIST</t>
        </is>
      </c>
      <c r="C183" s="192" t="n">
        <v>46349</v>
      </c>
      <c r="D183" s="192" t="n">
        <v>46353</v>
      </c>
      <c r="E183" s="192" t="n">
        <v>46354</v>
      </c>
      <c r="F183" s="193" t="n">
        <v>5</v>
      </c>
      <c r="G183" s="194" t="n">
        <v>5</v>
      </c>
      <c r="H183" s="183">
        <f>F183*G183</f>
        <v/>
      </c>
      <c r="I183" s="183" t="n">
        <v>0</v>
      </c>
      <c r="J183" s="183">
        <f>IFERROR(H183+I183,"")</f>
        <v/>
      </c>
      <c r="K183" s="183">
        <f>IFERROR(J183/G183,"")</f>
        <v/>
      </c>
      <c r="L183" s="183" t="n">
        <v>0</v>
      </c>
      <c r="M183" s="183">
        <f>IF($B$3&lt;$E183,"",$L183-$J183)</f>
        <v/>
      </c>
      <c r="N183" s="183">
        <f>IF($B$3&lt;$C183,"FUTURA",IF($B$3&lt;=$D183,"EM ANDAMENTO",IF($B$3&lt;$E183,"AGUARDANDO CORTE",IF($M183&gt;=0,"META ATINGIDA","GAP A RECUPERAR"))))</f>
        <v/>
      </c>
      <c r="O183" s="184" t="n"/>
      <c r="P183" s="175" t="n"/>
    </row>
    <row r="184">
      <c r="A184" s="179" t="inlineStr">
        <is>
          <t>CMM</t>
        </is>
      </c>
      <c r="B184" s="179" t="inlineStr">
        <is>
          <t>VIGAS</t>
        </is>
      </c>
      <c r="C184" s="192" t="n">
        <v>46349</v>
      </c>
      <c r="D184" s="192" t="n">
        <v>46353</v>
      </c>
      <c r="E184" s="192" t="n">
        <v>46354</v>
      </c>
      <c r="F184" s="193" t="n">
        <v>2</v>
      </c>
      <c r="G184" s="194" t="n">
        <v>5</v>
      </c>
      <c r="H184" s="183">
        <f>F184*G184</f>
        <v/>
      </c>
      <c r="I184" s="183" t="n">
        <v>0</v>
      </c>
      <c r="J184" s="183">
        <f>IFERROR(H184+I184,"")</f>
        <v/>
      </c>
      <c r="K184" s="183">
        <f>IFERROR(J184/G184,"")</f>
        <v/>
      </c>
      <c r="L184" s="183" t="n">
        <v>0</v>
      </c>
      <c r="M184" s="183">
        <f>IF($B$3&lt;$E184,"",$L184-$J184)</f>
        <v/>
      </c>
      <c r="N184" s="183">
        <f>IF($B$3&lt;$C184,"FUTURA",IF($B$3&lt;=$D184,"EM ANDAMENTO",IF($B$3&lt;$E184,"AGUARDANDO CORTE",IF($M184&gt;=0,"META ATINGIDA","GAP A RECUPERAR"))))</f>
        <v/>
      </c>
      <c r="O184" s="184" t="n"/>
      <c r="P184" s="175" t="n"/>
    </row>
    <row r="185">
      <c r="A185" s="179" t="inlineStr">
        <is>
          <t>GLOBO AÇOS</t>
        </is>
      </c>
      <c r="B185" s="179" t="inlineStr">
        <is>
          <t>PERFILAÇÃO</t>
        </is>
      </c>
      <c r="C185" s="192" t="n">
        <v>46349</v>
      </c>
      <c r="D185" s="192" t="n">
        <v>46353</v>
      </c>
      <c r="E185" s="192" t="n">
        <v>46354</v>
      </c>
      <c r="F185" s="193" t="n">
        <v>19</v>
      </c>
      <c r="G185" s="194" t="n">
        <v>5</v>
      </c>
      <c r="H185" s="183">
        <f>F185*G185</f>
        <v/>
      </c>
      <c r="I185" s="183" t="n">
        <v>0</v>
      </c>
      <c r="J185" s="183">
        <f>IFERROR(H185+I185,"")</f>
        <v/>
      </c>
      <c r="K185" s="183">
        <f>IFERROR(J185/G185,"")</f>
        <v/>
      </c>
      <c r="L185" s="183">
        <f>IFERROR(SUM(INDEX('CONTROLE PRODUÇÃO POR EMPRESAS'!$H$6:$H$5000,MATCH(C185,'CONTROLE PRODUÇÃO POR EMPRESAS'!$A$6:$A$5000,0)):INDEX('CONTROLE PRODUÇÃO POR EMPRESAS'!$H$6:$H$5000,MATCH(D185,'CONTROLE PRODUÇÃO POR EMPRESAS'!$A$6:$A$5000,0))),0)</f>
        <v/>
      </c>
      <c r="M185" s="183">
        <f>IF($B$3&lt;$E185,"",$L185-$J185)</f>
        <v/>
      </c>
      <c r="N185" s="183">
        <f>IF($B$3&lt;$C185,"FUTURA",IF($B$3&lt;=$D185,"EM ANDAMENTO",IF($B$3&lt;$E185,"AGUARDANDO CORTE",IF($M185&gt;=0,"META ATINGIDA","GAP A RECUPERAR"))))</f>
        <v/>
      </c>
      <c r="O185" s="184" t="n"/>
      <c r="P185" s="175" t="n"/>
    </row>
    <row r="186">
      <c r="A186" s="179" t="inlineStr">
        <is>
          <t>GLOBO AÇOS</t>
        </is>
      </c>
      <c r="B186" s="179" t="inlineStr">
        <is>
          <t>TELHAR</t>
        </is>
      </c>
      <c r="C186" s="192" t="n">
        <v>46349</v>
      </c>
      <c r="D186" s="192" t="n">
        <v>46353</v>
      </c>
      <c r="E186" s="192" t="n">
        <v>46354</v>
      </c>
      <c r="F186" s="193" t="n">
        <v>7</v>
      </c>
      <c r="G186" s="194" t="n">
        <v>5</v>
      </c>
      <c r="H186" s="183">
        <f>F186*G186</f>
        <v/>
      </c>
      <c r="I186" s="183" t="n">
        <v>0</v>
      </c>
      <c r="J186" s="183">
        <f>IFERROR(H186+I186,"")</f>
        <v/>
      </c>
      <c r="K186" s="183">
        <f>IFERROR(J186/G186,"")</f>
        <v/>
      </c>
      <c r="L186" s="183">
        <f>IFERROR(SUM(INDEX('CONTROLE PRODUÇÃO POR EMPRESAS'!$I$6:$I$5000,MATCH(C186,'CONTROLE PRODUÇÃO POR EMPRESAS'!$A$6:$A$5000,0)):INDEX('CONTROLE PRODUÇÃO POR EMPRESAS'!$I$6:$I$5000,MATCH(D186,'CONTROLE PRODUÇÃO POR EMPRESAS'!$A$6:$A$5000,0))),0)</f>
        <v/>
      </c>
      <c r="M186" s="183">
        <f>IF($B$3&lt;$E186,"",$L186-$J186)</f>
        <v/>
      </c>
      <c r="N186" s="183">
        <f>IF($B$3&lt;$C186,"FUTURA",IF($B$3&lt;=$D186,"EM ANDAMENTO",IF($B$3&lt;$E186,"AGUARDANDO CORTE",IF($M186&gt;=0,"META ATINGIDA","GAP A RECUPERAR"))))</f>
        <v/>
      </c>
      <c r="O186" s="184" t="n"/>
      <c r="P186" s="175" t="n"/>
    </row>
    <row r="187">
      <c r="A187" s="179" t="inlineStr">
        <is>
          <t>GLOBO AÇOS</t>
        </is>
      </c>
      <c r="B187" s="179" t="inlineStr">
        <is>
          <t>FECHAMENTO</t>
        </is>
      </c>
      <c r="C187" s="192" t="n">
        <v>46349</v>
      </c>
      <c r="D187" s="192" t="n">
        <v>46353</v>
      </c>
      <c r="E187" s="192" t="n">
        <v>46354</v>
      </c>
      <c r="F187" s="193" t="n">
        <v>36</v>
      </c>
      <c r="G187" s="194" t="n">
        <v>5</v>
      </c>
      <c r="H187" s="183">
        <f>F187*G187</f>
        <v/>
      </c>
      <c r="I187" s="183" t="n">
        <v>0</v>
      </c>
      <c r="J187" s="183">
        <f>IFERROR(H187+I187,"")</f>
        <v/>
      </c>
      <c r="K187" s="183">
        <f>IFERROR(J187/G187,"")</f>
        <v/>
      </c>
      <c r="L187" s="183">
        <f>IFERROR(SUM(INDEX('CONTROLE PRODUÇÃO POR EMPRESAS'!$J$6:$J$5000,MATCH(C187,'CONTROLE PRODUÇÃO POR EMPRESAS'!$A$6:$A$5000,0)):INDEX('CONTROLE PRODUÇÃO POR EMPRESAS'!$J$6:$J$5000,MATCH(D187,'CONTROLE PRODUÇÃO POR EMPRESAS'!$A$6:$A$5000,0))),0)</f>
        <v/>
      </c>
      <c r="M187" s="183">
        <f>IF($B$3&lt;$E187,"",$L187-$J187)</f>
        <v/>
      </c>
      <c r="N187" s="183">
        <f>IF($B$3&lt;$C187,"FUTURA",IF($B$3&lt;=$D187,"EM ANDAMENTO",IF($B$3&lt;$E187,"AGUARDANDO CORTE",IF($M187&gt;=0,"META ATINGIDA","GAP A RECUPERAR"))))</f>
        <v/>
      </c>
      <c r="O187" s="184" t="n"/>
      <c r="P187" s="175" t="n"/>
    </row>
    <row r="188">
      <c r="A188" s="179" t="inlineStr">
        <is>
          <t>EJ</t>
        </is>
      </c>
      <c r="B188" s="179" t="inlineStr">
        <is>
          <t>PREMONTAGEM</t>
        </is>
      </c>
      <c r="C188" s="192" t="n">
        <v>46356</v>
      </c>
      <c r="D188" s="192" t="n">
        <v>46360</v>
      </c>
      <c r="E188" s="192" t="n">
        <v>46361</v>
      </c>
      <c r="F188" s="193" t="n">
        <v>6</v>
      </c>
      <c r="G188" s="194" t="n">
        <v>5</v>
      </c>
      <c r="H188" s="183">
        <f>F188*G188</f>
        <v/>
      </c>
      <c r="I188" s="183" t="n">
        <v>0</v>
      </c>
      <c r="J188" s="183">
        <f>IFERROR(H188+I188,"")</f>
        <v/>
      </c>
      <c r="K188" s="183">
        <f>IFERROR(J188/G188,"")</f>
        <v/>
      </c>
      <c r="L188" s="183" t="n">
        <v>0</v>
      </c>
      <c r="M188" s="183">
        <f>IF($B$3&lt;$E188,"",$L188-$J188)</f>
        <v/>
      </c>
      <c r="N188" s="183">
        <f>IF($B$3&lt;$C188,"FUTURA",IF($B$3&lt;=$D188,"EM ANDAMENTO",IF($B$3&lt;$E188,"AGUARDANDO CORTE",IF($M188&gt;=0,"META ATINGIDA","GAP A RECUPERAR"))))</f>
        <v/>
      </c>
      <c r="O188" s="184" t="n"/>
      <c r="P188" s="175" t="n"/>
    </row>
    <row r="189">
      <c r="A189" s="179" t="inlineStr">
        <is>
          <t>EJ</t>
        </is>
      </c>
      <c r="B189" s="179" t="inlineStr">
        <is>
          <t>IÇAMENTO JOIST</t>
        </is>
      </c>
      <c r="C189" s="192" t="n">
        <v>46356</v>
      </c>
      <c r="D189" s="192" t="n">
        <v>46360</v>
      </c>
      <c r="E189" s="192" t="n">
        <v>46361</v>
      </c>
      <c r="F189" s="193" t="n">
        <v>5</v>
      </c>
      <c r="G189" s="194" t="n">
        <v>5</v>
      </c>
      <c r="H189" s="183">
        <f>F189*G189</f>
        <v/>
      </c>
      <c r="I189" s="183" t="n">
        <v>0</v>
      </c>
      <c r="J189" s="183">
        <f>IFERROR(H189+I189,"")</f>
        <v/>
      </c>
      <c r="K189" s="183">
        <f>IFERROR(J189/G189,"")</f>
        <v/>
      </c>
      <c r="L189" s="183" t="n">
        <v>0</v>
      </c>
      <c r="M189" s="183">
        <f>IF($B$3&lt;$E189,"",$L189-$J189)</f>
        <v/>
      </c>
      <c r="N189" s="183">
        <f>IF($B$3&lt;$C189,"FUTURA",IF($B$3&lt;=$D189,"EM ANDAMENTO",IF($B$3&lt;$E189,"AGUARDANDO CORTE",IF($M189&gt;=0,"META ATINGIDA","GAP A RECUPERAR"))))</f>
        <v/>
      </c>
      <c r="O189" s="184" t="n"/>
      <c r="P189" s="175" t="n"/>
    </row>
    <row r="190">
      <c r="A190" s="179" t="inlineStr">
        <is>
          <t>EJ</t>
        </is>
      </c>
      <c r="B190" s="179" t="inlineStr">
        <is>
          <t>VIGAS</t>
        </is>
      </c>
      <c r="C190" s="192" t="n">
        <v>46356</v>
      </c>
      <c r="D190" s="192" t="n">
        <v>46360</v>
      </c>
      <c r="E190" s="192" t="n">
        <v>46361</v>
      </c>
      <c r="F190" s="193" t="n">
        <v>2</v>
      </c>
      <c r="G190" s="194" t="n">
        <v>5</v>
      </c>
      <c r="H190" s="183">
        <f>F190*G190</f>
        <v/>
      </c>
      <c r="I190" s="183" t="n">
        <v>0</v>
      </c>
      <c r="J190" s="183">
        <f>IFERROR(H190+I190,"")</f>
        <v/>
      </c>
      <c r="K190" s="183">
        <f>IFERROR(J190/G190,"")</f>
        <v/>
      </c>
      <c r="L190" s="183" t="n">
        <v>0</v>
      </c>
      <c r="M190" s="183">
        <f>IF($B$3&lt;$E190,"",$L190-$J190)</f>
        <v/>
      </c>
      <c r="N190" s="183">
        <f>IF($B$3&lt;$C190,"FUTURA",IF($B$3&lt;=$D190,"EM ANDAMENTO",IF($B$3&lt;$E190,"AGUARDANDO CORTE",IF($M190&gt;=0,"META ATINGIDA","GAP A RECUPERAR"))))</f>
        <v/>
      </c>
      <c r="O190" s="184" t="n"/>
      <c r="P190" s="175" t="n"/>
    </row>
    <row r="191">
      <c r="A191" s="179" t="inlineStr">
        <is>
          <t>CMM</t>
        </is>
      </c>
      <c r="B191" s="179" t="inlineStr">
        <is>
          <t>PREMONTAGEM</t>
        </is>
      </c>
      <c r="C191" s="192" t="n">
        <v>46356</v>
      </c>
      <c r="D191" s="192" t="n">
        <v>46360</v>
      </c>
      <c r="E191" s="192" t="n">
        <v>46361</v>
      </c>
      <c r="F191" s="193" t="n">
        <v>6</v>
      </c>
      <c r="G191" s="194" t="n">
        <v>5</v>
      </c>
      <c r="H191" s="183">
        <f>F191*G191</f>
        <v/>
      </c>
      <c r="I191" s="183" t="n">
        <v>0</v>
      </c>
      <c r="J191" s="183">
        <f>IFERROR(H191+I191,"")</f>
        <v/>
      </c>
      <c r="K191" s="183">
        <f>IFERROR(J191/G191,"")</f>
        <v/>
      </c>
      <c r="L191" s="183" t="n">
        <v>0</v>
      </c>
      <c r="M191" s="183">
        <f>IF($B$3&lt;$E191,"",$L191-$J191)</f>
        <v/>
      </c>
      <c r="N191" s="183">
        <f>IF($B$3&lt;$C191,"FUTURA",IF($B$3&lt;=$D191,"EM ANDAMENTO",IF($B$3&lt;$E191,"AGUARDANDO CORTE",IF($M191&gt;=0,"META ATINGIDA","GAP A RECUPERAR"))))</f>
        <v/>
      </c>
      <c r="O191" s="184" t="n"/>
      <c r="P191" s="175" t="n"/>
    </row>
    <row r="192">
      <c r="A192" s="179" t="inlineStr">
        <is>
          <t>CMM</t>
        </is>
      </c>
      <c r="B192" s="179" t="inlineStr">
        <is>
          <t>IÇAMENTO JOIST</t>
        </is>
      </c>
      <c r="C192" s="192" t="n">
        <v>46356</v>
      </c>
      <c r="D192" s="192" t="n">
        <v>46360</v>
      </c>
      <c r="E192" s="192" t="n">
        <v>46361</v>
      </c>
      <c r="F192" s="193" t="n">
        <v>5</v>
      </c>
      <c r="G192" s="194" t="n">
        <v>5</v>
      </c>
      <c r="H192" s="183">
        <f>F192*G192</f>
        <v/>
      </c>
      <c r="I192" s="183" t="n">
        <v>0</v>
      </c>
      <c r="J192" s="183">
        <f>IFERROR(H192+I192,"")</f>
        <v/>
      </c>
      <c r="K192" s="183">
        <f>IFERROR(J192/G192,"")</f>
        <v/>
      </c>
      <c r="L192" s="183" t="n">
        <v>0</v>
      </c>
      <c r="M192" s="183">
        <f>IF($B$3&lt;$E192,"",$L192-$J192)</f>
        <v/>
      </c>
      <c r="N192" s="183">
        <f>IF($B$3&lt;$C192,"FUTURA",IF($B$3&lt;=$D192,"EM ANDAMENTO",IF($B$3&lt;$E192,"AGUARDANDO CORTE",IF($M192&gt;=0,"META ATINGIDA","GAP A RECUPERAR"))))</f>
        <v/>
      </c>
      <c r="O192" s="184" t="n"/>
      <c r="P192" s="175" t="n"/>
    </row>
    <row r="193">
      <c r="A193" s="179" t="inlineStr">
        <is>
          <t>CMM</t>
        </is>
      </c>
      <c r="B193" s="179" t="inlineStr">
        <is>
          <t>VIGAS</t>
        </is>
      </c>
      <c r="C193" s="192" t="n">
        <v>46356</v>
      </c>
      <c r="D193" s="192" t="n">
        <v>46360</v>
      </c>
      <c r="E193" s="192" t="n">
        <v>46361</v>
      </c>
      <c r="F193" s="193" t="n">
        <v>2</v>
      </c>
      <c r="G193" s="194" t="n">
        <v>5</v>
      </c>
      <c r="H193" s="183">
        <f>F193*G193</f>
        <v/>
      </c>
      <c r="I193" s="183" t="n">
        <v>0</v>
      </c>
      <c r="J193" s="183">
        <f>IFERROR(H193+I193,"")</f>
        <v/>
      </c>
      <c r="K193" s="183">
        <f>IFERROR(J193/G193,"")</f>
        <v/>
      </c>
      <c r="L193" s="183" t="n">
        <v>0</v>
      </c>
      <c r="M193" s="183">
        <f>IF($B$3&lt;$E193,"",$L193-$J193)</f>
        <v/>
      </c>
      <c r="N193" s="183">
        <f>IF($B$3&lt;$C193,"FUTURA",IF($B$3&lt;=$D193,"EM ANDAMENTO",IF($B$3&lt;$E193,"AGUARDANDO CORTE",IF($M193&gt;=0,"META ATINGIDA","GAP A RECUPERAR"))))</f>
        <v/>
      </c>
      <c r="O193" s="184" t="n"/>
      <c r="P193" s="175" t="n"/>
    </row>
    <row r="194">
      <c r="A194" s="179" t="inlineStr">
        <is>
          <t>GLOBO AÇOS</t>
        </is>
      </c>
      <c r="B194" s="179" t="inlineStr">
        <is>
          <t>PERFILAÇÃO</t>
        </is>
      </c>
      <c r="C194" s="192" t="n">
        <v>46356</v>
      </c>
      <c r="D194" s="192" t="n">
        <v>46360</v>
      </c>
      <c r="E194" s="192" t="n">
        <v>46361</v>
      </c>
      <c r="F194" s="193" t="n">
        <v>19</v>
      </c>
      <c r="G194" s="194" t="n">
        <v>5</v>
      </c>
      <c r="H194" s="183">
        <f>F194*G194</f>
        <v/>
      </c>
      <c r="I194" s="183" t="n">
        <v>0</v>
      </c>
      <c r="J194" s="183">
        <f>IFERROR(H194+I194,"")</f>
        <v/>
      </c>
      <c r="K194" s="183">
        <f>IFERROR(J194/G194,"")</f>
        <v/>
      </c>
      <c r="L194" s="183">
        <f>IFERROR(SUM(INDEX('CONTROLE PRODUÇÃO POR EMPRESAS'!$H$6:$H$5000,MATCH(C194,'CONTROLE PRODUÇÃO POR EMPRESAS'!$A$6:$A$5000,0)):INDEX('CONTROLE PRODUÇÃO POR EMPRESAS'!$H$6:$H$5000,MATCH(D194,'CONTROLE PRODUÇÃO POR EMPRESAS'!$A$6:$A$5000,0))),0)</f>
        <v/>
      </c>
      <c r="M194" s="183">
        <f>IF($B$3&lt;$E194,"",$L194-$J194)</f>
        <v/>
      </c>
      <c r="N194" s="183">
        <f>IF($B$3&lt;$C194,"FUTURA",IF($B$3&lt;=$D194,"EM ANDAMENTO",IF($B$3&lt;$E194,"AGUARDANDO CORTE",IF($M194&gt;=0,"META ATINGIDA","GAP A RECUPERAR"))))</f>
        <v/>
      </c>
      <c r="O194" s="184" t="n"/>
      <c r="P194" s="175" t="n"/>
    </row>
    <row r="195">
      <c r="A195" s="179" t="inlineStr">
        <is>
          <t>GLOBO AÇOS</t>
        </is>
      </c>
      <c r="B195" s="179" t="inlineStr">
        <is>
          <t>TELHAR</t>
        </is>
      </c>
      <c r="C195" s="192" t="n">
        <v>46356</v>
      </c>
      <c r="D195" s="192" t="n">
        <v>46360</v>
      </c>
      <c r="E195" s="192" t="n">
        <v>46361</v>
      </c>
      <c r="F195" s="193" t="n">
        <v>7</v>
      </c>
      <c r="G195" s="194" t="n">
        <v>5</v>
      </c>
      <c r="H195" s="183">
        <f>F195*G195</f>
        <v/>
      </c>
      <c r="I195" s="183" t="n">
        <v>0</v>
      </c>
      <c r="J195" s="183">
        <f>IFERROR(H195+I195,"")</f>
        <v/>
      </c>
      <c r="K195" s="183">
        <f>IFERROR(J195/G195,"")</f>
        <v/>
      </c>
      <c r="L195" s="183">
        <f>IFERROR(SUM(INDEX('CONTROLE PRODUÇÃO POR EMPRESAS'!$I$6:$I$5000,MATCH(C195,'CONTROLE PRODUÇÃO POR EMPRESAS'!$A$6:$A$5000,0)):INDEX('CONTROLE PRODUÇÃO POR EMPRESAS'!$I$6:$I$5000,MATCH(D195,'CONTROLE PRODUÇÃO POR EMPRESAS'!$A$6:$A$5000,0))),0)</f>
        <v/>
      </c>
      <c r="M195" s="183">
        <f>IF($B$3&lt;$E195,"",$L195-$J195)</f>
        <v/>
      </c>
      <c r="N195" s="183">
        <f>IF($B$3&lt;$C195,"FUTURA",IF($B$3&lt;=$D195,"EM ANDAMENTO",IF($B$3&lt;$E195,"AGUARDANDO CORTE",IF($M195&gt;=0,"META ATINGIDA","GAP A RECUPERAR"))))</f>
        <v/>
      </c>
      <c r="O195" s="184" t="n"/>
      <c r="P195" s="175" t="n"/>
    </row>
    <row r="196">
      <c r="A196" s="179" t="inlineStr">
        <is>
          <t>GLOBO AÇOS</t>
        </is>
      </c>
      <c r="B196" s="179" t="inlineStr">
        <is>
          <t>FECHAMENTO</t>
        </is>
      </c>
      <c r="C196" s="192" t="n">
        <v>46356</v>
      </c>
      <c r="D196" s="192" t="n">
        <v>46360</v>
      </c>
      <c r="E196" s="192" t="n">
        <v>46361</v>
      </c>
      <c r="F196" s="193" t="n">
        <v>36</v>
      </c>
      <c r="G196" s="194" t="n">
        <v>5</v>
      </c>
      <c r="H196" s="183">
        <f>F196*G196</f>
        <v/>
      </c>
      <c r="I196" s="183" t="n">
        <v>0</v>
      </c>
      <c r="J196" s="183">
        <f>IFERROR(H196+I196,"")</f>
        <v/>
      </c>
      <c r="K196" s="183">
        <f>IFERROR(J196/G196,"")</f>
        <v/>
      </c>
      <c r="L196" s="183">
        <f>IFERROR(SUM(INDEX('CONTROLE PRODUÇÃO POR EMPRESAS'!$J$6:$J$5000,MATCH(C196,'CONTROLE PRODUÇÃO POR EMPRESAS'!$A$6:$A$5000,0)):INDEX('CONTROLE PRODUÇÃO POR EMPRESAS'!$J$6:$J$5000,MATCH(D196,'CONTROLE PRODUÇÃO POR EMPRESAS'!$A$6:$A$5000,0))),0)</f>
        <v/>
      </c>
      <c r="M196" s="183">
        <f>IF($B$3&lt;$E196,"",$L196-$J196)</f>
        <v/>
      </c>
      <c r="N196" s="183">
        <f>IF($B$3&lt;$C196,"FUTURA",IF($B$3&lt;=$D196,"EM ANDAMENTO",IF($B$3&lt;$E196,"AGUARDANDO CORTE",IF($M196&gt;=0,"META ATINGIDA","GAP A RECUPERAR"))))</f>
        <v/>
      </c>
      <c r="O196" s="184" t="n"/>
      <c r="P196" s="175" t="n"/>
    </row>
    <row r="197">
      <c r="A197" s="179" t="inlineStr">
        <is>
          <t>EJ</t>
        </is>
      </c>
      <c r="B197" s="179" t="inlineStr">
        <is>
          <t>PREMONTAGEM</t>
        </is>
      </c>
      <c r="C197" s="192" t="n">
        <v>46363</v>
      </c>
      <c r="D197" s="192" t="n">
        <v>46367</v>
      </c>
      <c r="E197" s="192" t="n">
        <v>46368</v>
      </c>
      <c r="F197" s="193" t="n">
        <v>6</v>
      </c>
      <c r="G197" s="194" t="n">
        <v>5</v>
      </c>
      <c r="H197" s="183">
        <f>F197*G197</f>
        <v/>
      </c>
      <c r="I197" s="183" t="n">
        <v>0</v>
      </c>
      <c r="J197" s="183">
        <f>IFERROR(H197+I197,"")</f>
        <v/>
      </c>
      <c r="K197" s="183">
        <f>IFERROR(J197/G197,"")</f>
        <v/>
      </c>
      <c r="L197" s="183" t="n">
        <v>0</v>
      </c>
      <c r="M197" s="183">
        <f>IF($B$3&lt;$E197,"",$L197-$J197)</f>
        <v/>
      </c>
      <c r="N197" s="183">
        <f>IF($B$3&lt;$C197,"FUTURA",IF($B$3&lt;=$D197,"EM ANDAMENTO",IF($B$3&lt;$E197,"AGUARDANDO CORTE",IF($M197&gt;=0,"META ATINGIDA","GAP A RECUPERAR"))))</f>
        <v/>
      </c>
      <c r="O197" s="184" t="n"/>
      <c r="P197" s="175" t="n"/>
    </row>
    <row r="198">
      <c r="A198" s="179" t="inlineStr">
        <is>
          <t>EJ</t>
        </is>
      </c>
      <c r="B198" s="179" t="inlineStr">
        <is>
          <t>IÇAMENTO JOIST</t>
        </is>
      </c>
      <c r="C198" s="192" t="n">
        <v>46363</v>
      </c>
      <c r="D198" s="192" t="n">
        <v>46367</v>
      </c>
      <c r="E198" s="192" t="n">
        <v>46368</v>
      </c>
      <c r="F198" s="193" t="n">
        <v>5</v>
      </c>
      <c r="G198" s="194" t="n">
        <v>5</v>
      </c>
      <c r="H198" s="183">
        <f>F198*G198</f>
        <v/>
      </c>
      <c r="I198" s="183" t="n">
        <v>0</v>
      </c>
      <c r="J198" s="183">
        <f>IFERROR(H198+I198,"")</f>
        <v/>
      </c>
      <c r="K198" s="183">
        <f>IFERROR(J198/G198,"")</f>
        <v/>
      </c>
      <c r="L198" s="183" t="n">
        <v>0</v>
      </c>
      <c r="M198" s="183">
        <f>IF($B$3&lt;$E198,"",$L198-$J198)</f>
        <v/>
      </c>
      <c r="N198" s="183">
        <f>IF($B$3&lt;$C198,"FUTURA",IF($B$3&lt;=$D198,"EM ANDAMENTO",IF($B$3&lt;$E198,"AGUARDANDO CORTE",IF($M198&gt;=0,"META ATINGIDA","GAP A RECUPERAR"))))</f>
        <v/>
      </c>
      <c r="O198" s="184" t="n"/>
      <c r="P198" s="175" t="n"/>
    </row>
    <row r="199">
      <c r="A199" s="179" t="inlineStr">
        <is>
          <t>EJ</t>
        </is>
      </c>
      <c r="B199" s="179" t="inlineStr">
        <is>
          <t>VIGAS</t>
        </is>
      </c>
      <c r="C199" s="192" t="n">
        <v>46363</v>
      </c>
      <c r="D199" s="192" t="n">
        <v>46367</v>
      </c>
      <c r="E199" s="192" t="n">
        <v>46368</v>
      </c>
      <c r="F199" s="193" t="n">
        <v>2</v>
      </c>
      <c r="G199" s="194" t="n">
        <v>5</v>
      </c>
      <c r="H199" s="183">
        <f>F199*G199</f>
        <v/>
      </c>
      <c r="I199" s="183" t="n">
        <v>0</v>
      </c>
      <c r="J199" s="183">
        <f>IFERROR(H199+I199,"")</f>
        <v/>
      </c>
      <c r="K199" s="183">
        <f>IFERROR(J199/G199,"")</f>
        <v/>
      </c>
      <c r="L199" s="183" t="n">
        <v>0</v>
      </c>
      <c r="M199" s="183">
        <f>IF($B$3&lt;$E199,"",$L199-$J199)</f>
        <v/>
      </c>
      <c r="N199" s="183">
        <f>IF($B$3&lt;$C199,"FUTURA",IF($B$3&lt;=$D199,"EM ANDAMENTO",IF($B$3&lt;$E199,"AGUARDANDO CORTE",IF($M199&gt;=0,"META ATINGIDA","GAP A RECUPERAR"))))</f>
        <v/>
      </c>
      <c r="O199" s="184" t="n"/>
      <c r="P199" s="175" t="n"/>
    </row>
    <row r="200">
      <c r="A200" s="179" t="inlineStr">
        <is>
          <t>CMM</t>
        </is>
      </c>
      <c r="B200" s="179" t="inlineStr">
        <is>
          <t>PREMONTAGEM</t>
        </is>
      </c>
      <c r="C200" s="192" t="n">
        <v>46363</v>
      </c>
      <c r="D200" s="192" t="n">
        <v>46367</v>
      </c>
      <c r="E200" s="192" t="n">
        <v>46368</v>
      </c>
      <c r="F200" s="193" t="n">
        <v>6</v>
      </c>
      <c r="G200" s="194" t="n">
        <v>5</v>
      </c>
      <c r="H200" s="183">
        <f>F200*G200</f>
        <v/>
      </c>
      <c r="I200" s="183" t="n">
        <v>0</v>
      </c>
      <c r="J200" s="183">
        <f>IFERROR(H200+I200,"")</f>
        <v/>
      </c>
      <c r="K200" s="183">
        <f>IFERROR(J200/G200,"")</f>
        <v/>
      </c>
      <c r="L200" s="183" t="n">
        <v>0</v>
      </c>
      <c r="M200" s="183">
        <f>IF($B$3&lt;$E200,"",$L200-$J200)</f>
        <v/>
      </c>
      <c r="N200" s="183">
        <f>IF($B$3&lt;$C200,"FUTURA",IF($B$3&lt;=$D200,"EM ANDAMENTO",IF($B$3&lt;$E200,"AGUARDANDO CORTE",IF($M200&gt;=0,"META ATINGIDA","GAP A RECUPERAR"))))</f>
        <v/>
      </c>
      <c r="O200" s="184" t="n"/>
      <c r="P200" s="175" t="n"/>
    </row>
    <row r="201">
      <c r="A201" s="179" t="inlineStr">
        <is>
          <t>CMM</t>
        </is>
      </c>
      <c r="B201" s="179" t="inlineStr">
        <is>
          <t>IÇAMENTO JOIST</t>
        </is>
      </c>
      <c r="C201" s="192" t="n">
        <v>46363</v>
      </c>
      <c r="D201" s="192" t="n">
        <v>46367</v>
      </c>
      <c r="E201" s="192" t="n">
        <v>46368</v>
      </c>
      <c r="F201" s="193" t="n">
        <v>5</v>
      </c>
      <c r="G201" s="194" t="n">
        <v>5</v>
      </c>
      <c r="H201" s="183">
        <f>F201*G201</f>
        <v/>
      </c>
      <c r="I201" s="183" t="n">
        <v>0</v>
      </c>
      <c r="J201" s="183">
        <f>IFERROR(H201+I201,"")</f>
        <v/>
      </c>
      <c r="K201" s="183">
        <f>IFERROR(J201/G201,"")</f>
        <v/>
      </c>
      <c r="L201" s="183" t="n">
        <v>0</v>
      </c>
      <c r="M201" s="183">
        <f>IF($B$3&lt;$E201,"",$L201-$J201)</f>
        <v/>
      </c>
      <c r="N201" s="183">
        <f>IF($B$3&lt;$C201,"FUTURA",IF($B$3&lt;=$D201,"EM ANDAMENTO",IF($B$3&lt;$E201,"AGUARDANDO CORTE",IF($M201&gt;=0,"META ATINGIDA","GAP A RECUPERAR"))))</f>
        <v/>
      </c>
      <c r="O201" s="184" t="n"/>
      <c r="P201" s="175" t="n"/>
    </row>
    <row r="202">
      <c r="A202" s="179" t="inlineStr">
        <is>
          <t>CMM</t>
        </is>
      </c>
      <c r="B202" s="179" t="inlineStr">
        <is>
          <t>VIGAS</t>
        </is>
      </c>
      <c r="C202" s="192" t="n">
        <v>46363</v>
      </c>
      <c r="D202" s="192" t="n">
        <v>46367</v>
      </c>
      <c r="E202" s="192" t="n">
        <v>46368</v>
      </c>
      <c r="F202" s="193" t="n">
        <v>2</v>
      </c>
      <c r="G202" s="194" t="n">
        <v>5</v>
      </c>
      <c r="H202" s="183">
        <f>F202*G202</f>
        <v/>
      </c>
      <c r="I202" s="183" t="n">
        <v>0</v>
      </c>
      <c r="J202" s="183">
        <f>IFERROR(H202+I202,"")</f>
        <v/>
      </c>
      <c r="K202" s="183">
        <f>IFERROR(J202/G202,"")</f>
        <v/>
      </c>
      <c r="L202" s="183" t="n">
        <v>0</v>
      </c>
      <c r="M202" s="183">
        <f>IF($B$3&lt;$E202,"",$L202-$J202)</f>
        <v/>
      </c>
      <c r="N202" s="183">
        <f>IF($B$3&lt;$C202,"FUTURA",IF($B$3&lt;=$D202,"EM ANDAMENTO",IF($B$3&lt;$E202,"AGUARDANDO CORTE",IF($M202&gt;=0,"META ATINGIDA","GAP A RECUPERAR"))))</f>
        <v/>
      </c>
      <c r="O202" s="184" t="n"/>
      <c r="P202" s="175" t="n"/>
    </row>
    <row r="203">
      <c r="A203" s="179" t="inlineStr">
        <is>
          <t>GLOBO AÇOS</t>
        </is>
      </c>
      <c r="B203" s="179" t="inlineStr">
        <is>
          <t>PERFILAÇÃO</t>
        </is>
      </c>
      <c r="C203" s="192" t="n">
        <v>46363</v>
      </c>
      <c r="D203" s="192" t="n">
        <v>46367</v>
      </c>
      <c r="E203" s="192" t="n">
        <v>46368</v>
      </c>
      <c r="F203" s="193" t="n">
        <v>19</v>
      </c>
      <c r="G203" s="194" t="n">
        <v>5</v>
      </c>
      <c r="H203" s="183">
        <f>F203*G203</f>
        <v/>
      </c>
      <c r="I203" s="183" t="n">
        <v>0</v>
      </c>
      <c r="J203" s="183">
        <f>IFERROR(H203+I203,"")</f>
        <v/>
      </c>
      <c r="K203" s="183">
        <f>IFERROR(J203/G203,"")</f>
        <v/>
      </c>
      <c r="L203" s="183">
        <f>IFERROR(SUM(INDEX('CONTROLE PRODUÇÃO POR EMPRESAS'!$H$6:$H$5000,MATCH(C203,'CONTROLE PRODUÇÃO POR EMPRESAS'!$A$6:$A$5000,0)):INDEX('CONTROLE PRODUÇÃO POR EMPRESAS'!$H$6:$H$5000,MATCH(D203,'CONTROLE PRODUÇÃO POR EMPRESAS'!$A$6:$A$5000,0))),0)</f>
        <v/>
      </c>
      <c r="M203" s="183">
        <f>IF($B$3&lt;$E203,"",$L203-$J203)</f>
        <v/>
      </c>
      <c r="N203" s="183">
        <f>IF($B$3&lt;$C203,"FUTURA",IF($B$3&lt;=$D203,"EM ANDAMENTO",IF($B$3&lt;$E203,"AGUARDANDO CORTE",IF($M203&gt;=0,"META ATINGIDA","GAP A RECUPERAR"))))</f>
        <v/>
      </c>
      <c r="O203" s="184" t="n"/>
      <c r="P203" s="175" t="n"/>
    </row>
    <row r="204">
      <c r="A204" s="179" t="inlineStr">
        <is>
          <t>GLOBO AÇOS</t>
        </is>
      </c>
      <c r="B204" s="179" t="inlineStr">
        <is>
          <t>TELHAR</t>
        </is>
      </c>
      <c r="C204" s="192" t="n">
        <v>46363</v>
      </c>
      <c r="D204" s="192" t="n">
        <v>46367</v>
      </c>
      <c r="E204" s="192" t="n">
        <v>46368</v>
      </c>
      <c r="F204" s="193" t="n">
        <v>7</v>
      </c>
      <c r="G204" s="194" t="n">
        <v>5</v>
      </c>
      <c r="H204" s="183">
        <f>F204*G204</f>
        <v/>
      </c>
      <c r="I204" s="183" t="n">
        <v>0</v>
      </c>
      <c r="J204" s="183">
        <f>IFERROR(H204+I204,"")</f>
        <v/>
      </c>
      <c r="K204" s="183">
        <f>IFERROR(J204/G204,"")</f>
        <v/>
      </c>
      <c r="L204" s="183">
        <f>IFERROR(SUM(INDEX('CONTROLE PRODUÇÃO POR EMPRESAS'!$I$6:$I$5000,MATCH(C204,'CONTROLE PRODUÇÃO POR EMPRESAS'!$A$6:$A$5000,0)):INDEX('CONTROLE PRODUÇÃO POR EMPRESAS'!$I$6:$I$5000,MATCH(D204,'CONTROLE PRODUÇÃO POR EMPRESAS'!$A$6:$A$5000,0))),0)</f>
        <v/>
      </c>
      <c r="M204" s="183">
        <f>IF($B$3&lt;$E204,"",$L204-$J204)</f>
        <v/>
      </c>
      <c r="N204" s="183">
        <f>IF($B$3&lt;$C204,"FUTURA",IF($B$3&lt;=$D204,"EM ANDAMENTO",IF($B$3&lt;$E204,"AGUARDANDO CORTE",IF($M204&gt;=0,"META ATINGIDA","GAP A RECUPERAR"))))</f>
        <v/>
      </c>
      <c r="O204" s="184" t="n"/>
      <c r="P204" s="175" t="n"/>
    </row>
    <row r="205">
      <c r="A205" s="179" t="inlineStr">
        <is>
          <t>GLOBO AÇOS</t>
        </is>
      </c>
      <c r="B205" s="179" t="inlineStr">
        <is>
          <t>FECHAMENTO</t>
        </is>
      </c>
      <c r="C205" s="192" t="n">
        <v>46363</v>
      </c>
      <c r="D205" s="192" t="n">
        <v>46367</v>
      </c>
      <c r="E205" s="192" t="n">
        <v>46368</v>
      </c>
      <c r="F205" s="193" t="n">
        <v>36</v>
      </c>
      <c r="G205" s="194" t="n">
        <v>5</v>
      </c>
      <c r="H205" s="183">
        <f>F205*G205</f>
        <v/>
      </c>
      <c r="I205" s="183" t="n">
        <v>0</v>
      </c>
      <c r="J205" s="183">
        <f>IFERROR(H205+I205,"")</f>
        <v/>
      </c>
      <c r="K205" s="183">
        <f>IFERROR(J205/G205,"")</f>
        <v/>
      </c>
      <c r="L205" s="183">
        <f>IFERROR(SUM(INDEX('CONTROLE PRODUÇÃO POR EMPRESAS'!$J$6:$J$5000,MATCH(C205,'CONTROLE PRODUÇÃO POR EMPRESAS'!$A$6:$A$5000,0)):INDEX('CONTROLE PRODUÇÃO POR EMPRESAS'!$J$6:$J$5000,MATCH(D205,'CONTROLE PRODUÇÃO POR EMPRESAS'!$A$6:$A$5000,0))),0)</f>
        <v/>
      </c>
      <c r="M205" s="183">
        <f>IF($B$3&lt;$E205,"",$L205-$J205)</f>
        <v/>
      </c>
      <c r="N205" s="183">
        <f>IF($B$3&lt;$C205,"FUTURA",IF($B$3&lt;=$D205,"EM ANDAMENTO",IF($B$3&lt;$E205,"AGUARDANDO CORTE",IF($M205&gt;=0,"META ATINGIDA","GAP A RECUPERAR"))))</f>
        <v/>
      </c>
      <c r="O205" s="184" t="n"/>
      <c r="P205" s="175" t="n"/>
    </row>
    <row r="206">
      <c r="A206" s="179" t="inlineStr">
        <is>
          <t>EJ</t>
        </is>
      </c>
      <c r="B206" s="179" t="inlineStr">
        <is>
          <t>PREMONTAGEM</t>
        </is>
      </c>
      <c r="C206" s="192" t="n">
        <v>46370</v>
      </c>
      <c r="D206" s="192" t="n">
        <v>46374</v>
      </c>
      <c r="E206" s="192" t="n">
        <v>46375</v>
      </c>
      <c r="F206" s="193" t="n">
        <v>6</v>
      </c>
      <c r="G206" s="194" t="n">
        <v>5</v>
      </c>
      <c r="H206" s="183">
        <f>F206*G206</f>
        <v/>
      </c>
      <c r="I206" s="183" t="n">
        <v>0</v>
      </c>
      <c r="J206" s="183">
        <f>IFERROR(H206+I206,"")</f>
        <v/>
      </c>
      <c r="K206" s="183">
        <f>IFERROR(J206/G206,"")</f>
        <v/>
      </c>
      <c r="L206" s="183" t="n">
        <v>0</v>
      </c>
      <c r="M206" s="183">
        <f>IF($B$3&lt;$E206,"",$L206-$J206)</f>
        <v/>
      </c>
      <c r="N206" s="183">
        <f>IF($B$3&lt;$C206,"FUTURA",IF($B$3&lt;=$D206,"EM ANDAMENTO",IF($B$3&lt;$E206,"AGUARDANDO CORTE",IF($M206&gt;=0,"META ATINGIDA","GAP A RECUPERAR"))))</f>
        <v/>
      </c>
      <c r="O206" s="184" t="n"/>
      <c r="P206" s="175" t="n"/>
    </row>
    <row r="207">
      <c r="A207" s="179" t="inlineStr">
        <is>
          <t>EJ</t>
        </is>
      </c>
      <c r="B207" s="179" t="inlineStr">
        <is>
          <t>IÇAMENTO JOIST</t>
        </is>
      </c>
      <c r="C207" s="192" t="n">
        <v>46370</v>
      </c>
      <c r="D207" s="192" t="n">
        <v>46374</v>
      </c>
      <c r="E207" s="192" t="n">
        <v>46375</v>
      </c>
      <c r="F207" s="193" t="n">
        <v>5</v>
      </c>
      <c r="G207" s="194" t="n">
        <v>5</v>
      </c>
      <c r="H207" s="183">
        <f>F207*G207</f>
        <v/>
      </c>
      <c r="I207" s="183" t="n">
        <v>0</v>
      </c>
      <c r="J207" s="183">
        <f>IFERROR(H207+I207,"")</f>
        <v/>
      </c>
      <c r="K207" s="183">
        <f>IFERROR(J207/G207,"")</f>
        <v/>
      </c>
      <c r="L207" s="183" t="n">
        <v>0</v>
      </c>
      <c r="M207" s="183">
        <f>IF($B$3&lt;$E207,"",$L207-$J207)</f>
        <v/>
      </c>
      <c r="N207" s="183">
        <f>IF($B$3&lt;$C207,"FUTURA",IF($B$3&lt;=$D207,"EM ANDAMENTO",IF($B$3&lt;$E207,"AGUARDANDO CORTE",IF($M207&gt;=0,"META ATINGIDA","GAP A RECUPERAR"))))</f>
        <v/>
      </c>
      <c r="O207" s="184" t="n"/>
      <c r="P207" s="175" t="n"/>
    </row>
    <row r="208">
      <c r="A208" s="179" t="inlineStr">
        <is>
          <t>EJ</t>
        </is>
      </c>
      <c r="B208" s="179" t="inlineStr">
        <is>
          <t>VIGAS</t>
        </is>
      </c>
      <c r="C208" s="192" t="n">
        <v>46370</v>
      </c>
      <c r="D208" s="192" t="n">
        <v>46374</v>
      </c>
      <c r="E208" s="192" t="n">
        <v>46375</v>
      </c>
      <c r="F208" s="193" t="n">
        <v>2</v>
      </c>
      <c r="G208" s="194" t="n">
        <v>5</v>
      </c>
      <c r="H208" s="183">
        <f>F208*G208</f>
        <v/>
      </c>
      <c r="I208" s="183" t="n">
        <v>0</v>
      </c>
      <c r="J208" s="183">
        <f>IFERROR(H208+I208,"")</f>
        <v/>
      </c>
      <c r="K208" s="183">
        <f>IFERROR(J208/G208,"")</f>
        <v/>
      </c>
      <c r="L208" s="183" t="n">
        <v>0</v>
      </c>
      <c r="M208" s="183">
        <f>IF($B$3&lt;$E208,"",$L208-$J208)</f>
        <v/>
      </c>
      <c r="N208" s="183">
        <f>IF($B$3&lt;$C208,"FUTURA",IF($B$3&lt;=$D208,"EM ANDAMENTO",IF($B$3&lt;$E208,"AGUARDANDO CORTE",IF($M208&gt;=0,"META ATINGIDA","GAP A RECUPERAR"))))</f>
        <v/>
      </c>
      <c r="O208" s="184" t="n"/>
      <c r="P208" s="175" t="n"/>
    </row>
    <row r="209">
      <c r="A209" s="179" t="inlineStr">
        <is>
          <t>CMM</t>
        </is>
      </c>
      <c r="B209" s="179" t="inlineStr">
        <is>
          <t>PREMONTAGEM</t>
        </is>
      </c>
      <c r="C209" s="192" t="n">
        <v>46370</v>
      </c>
      <c r="D209" s="192" t="n">
        <v>46374</v>
      </c>
      <c r="E209" s="192" t="n">
        <v>46375</v>
      </c>
      <c r="F209" s="193" t="n">
        <v>6</v>
      </c>
      <c r="G209" s="194" t="n">
        <v>5</v>
      </c>
      <c r="H209" s="183">
        <f>F209*G209</f>
        <v/>
      </c>
      <c r="I209" s="183" t="n">
        <v>0</v>
      </c>
      <c r="J209" s="183">
        <f>IFERROR(H209+I209,"")</f>
        <v/>
      </c>
      <c r="K209" s="183">
        <f>IFERROR(J209/G209,"")</f>
        <v/>
      </c>
      <c r="L209" s="183" t="n">
        <v>0</v>
      </c>
      <c r="M209" s="183">
        <f>IF($B$3&lt;$E209,"",$L209-$J209)</f>
        <v/>
      </c>
      <c r="N209" s="183">
        <f>IF($B$3&lt;$C209,"FUTURA",IF($B$3&lt;=$D209,"EM ANDAMENTO",IF($B$3&lt;$E209,"AGUARDANDO CORTE",IF($M209&gt;=0,"META ATINGIDA","GAP A RECUPERAR"))))</f>
        <v/>
      </c>
      <c r="O209" s="184" t="n"/>
      <c r="P209" s="175" t="n"/>
    </row>
    <row r="210">
      <c r="A210" s="179" t="inlineStr">
        <is>
          <t>CMM</t>
        </is>
      </c>
      <c r="B210" s="179" t="inlineStr">
        <is>
          <t>IÇAMENTO JOIST</t>
        </is>
      </c>
      <c r="C210" s="192" t="n">
        <v>46370</v>
      </c>
      <c r="D210" s="192" t="n">
        <v>46374</v>
      </c>
      <c r="E210" s="192" t="n">
        <v>46375</v>
      </c>
      <c r="F210" s="193" t="n">
        <v>5</v>
      </c>
      <c r="G210" s="194" t="n">
        <v>5</v>
      </c>
      <c r="H210" s="183">
        <f>F210*G210</f>
        <v/>
      </c>
      <c r="I210" s="183" t="n">
        <v>0</v>
      </c>
      <c r="J210" s="183">
        <f>IFERROR(H210+I210,"")</f>
        <v/>
      </c>
      <c r="K210" s="183">
        <f>IFERROR(J210/G210,"")</f>
        <v/>
      </c>
      <c r="L210" s="183" t="n">
        <v>0</v>
      </c>
      <c r="M210" s="183">
        <f>IF($B$3&lt;$E210,"",$L210-$J210)</f>
        <v/>
      </c>
      <c r="N210" s="183">
        <f>IF($B$3&lt;$C210,"FUTURA",IF($B$3&lt;=$D210,"EM ANDAMENTO",IF($B$3&lt;$E210,"AGUARDANDO CORTE",IF($M210&gt;=0,"META ATINGIDA","GAP A RECUPERAR"))))</f>
        <v/>
      </c>
      <c r="O210" s="184" t="n"/>
      <c r="P210" s="175" t="n"/>
    </row>
    <row r="211">
      <c r="A211" s="179" t="inlineStr">
        <is>
          <t>CMM</t>
        </is>
      </c>
      <c r="B211" s="179" t="inlineStr">
        <is>
          <t>VIGAS</t>
        </is>
      </c>
      <c r="C211" s="192" t="n">
        <v>46370</v>
      </c>
      <c r="D211" s="192" t="n">
        <v>46374</v>
      </c>
      <c r="E211" s="192" t="n">
        <v>46375</v>
      </c>
      <c r="F211" s="193" t="n">
        <v>2</v>
      </c>
      <c r="G211" s="194" t="n">
        <v>5</v>
      </c>
      <c r="H211" s="183">
        <f>F211*G211</f>
        <v/>
      </c>
      <c r="I211" s="183" t="n">
        <v>0</v>
      </c>
      <c r="J211" s="183">
        <f>IFERROR(H211+I211,"")</f>
        <v/>
      </c>
      <c r="K211" s="183">
        <f>IFERROR(J211/G211,"")</f>
        <v/>
      </c>
      <c r="L211" s="183" t="n">
        <v>0</v>
      </c>
      <c r="M211" s="183">
        <f>IF($B$3&lt;$E211,"",$L211-$J211)</f>
        <v/>
      </c>
      <c r="N211" s="183">
        <f>IF($B$3&lt;$C211,"FUTURA",IF($B$3&lt;=$D211,"EM ANDAMENTO",IF($B$3&lt;$E211,"AGUARDANDO CORTE",IF($M211&gt;=0,"META ATINGIDA","GAP A RECUPERAR"))))</f>
        <v/>
      </c>
      <c r="O211" s="184" t="n"/>
      <c r="P211" s="175" t="n"/>
    </row>
    <row r="212">
      <c r="A212" s="179" t="inlineStr">
        <is>
          <t>GLOBO AÇOS</t>
        </is>
      </c>
      <c r="B212" s="179" t="inlineStr">
        <is>
          <t>PERFILAÇÃO</t>
        </is>
      </c>
      <c r="C212" s="192" t="n">
        <v>46370</v>
      </c>
      <c r="D212" s="192" t="n">
        <v>46374</v>
      </c>
      <c r="E212" s="192" t="n">
        <v>46375</v>
      </c>
      <c r="F212" s="193" t="n">
        <v>19</v>
      </c>
      <c r="G212" s="194" t="n">
        <v>5</v>
      </c>
      <c r="H212" s="183">
        <f>F212*G212</f>
        <v/>
      </c>
      <c r="I212" s="183" t="n">
        <v>0</v>
      </c>
      <c r="J212" s="183">
        <f>IFERROR(H212+I212,"")</f>
        <v/>
      </c>
      <c r="K212" s="183">
        <f>IFERROR(J212/G212,"")</f>
        <v/>
      </c>
      <c r="L212" s="183">
        <f>IFERROR(SUM(INDEX('CONTROLE PRODUÇÃO POR EMPRESAS'!$H$6:$H$5000,MATCH(C212,'CONTROLE PRODUÇÃO POR EMPRESAS'!$A$6:$A$5000,0)):INDEX('CONTROLE PRODUÇÃO POR EMPRESAS'!$H$6:$H$5000,MATCH(D212,'CONTROLE PRODUÇÃO POR EMPRESAS'!$A$6:$A$5000,0))),0)</f>
        <v/>
      </c>
      <c r="M212" s="183">
        <f>IF($B$3&lt;$E212,"",$L212-$J212)</f>
        <v/>
      </c>
      <c r="N212" s="183">
        <f>IF($B$3&lt;$C212,"FUTURA",IF($B$3&lt;=$D212,"EM ANDAMENTO",IF($B$3&lt;$E212,"AGUARDANDO CORTE",IF($M212&gt;=0,"META ATINGIDA","GAP A RECUPERAR"))))</f>
        <v/>
      </c>
      <c r="O212" s="184" t="n"/>
      <c r="P212" s="175" t="n"/>
    </row>
    <row r="213">
      <c r="A213" s="179" t="inlineStr">
        <is>
          <t>GLOBO AÇOS</t>
        </is>
      </c>
      <c r="B213" s="179" t="inlineStr">
        <is>
          <t>TELHAR</t>
        </is>
      </c>
      <c r="C213" s="192" t="n">
        <v>46370</v>
      </c>
      <c r="D213" s="192" t="n">
        <v>46374</v>
      </c>
      <c r="E213" s="192" t="n">
        <v>46375</v>
      </c>
      <c r="F213" s="193" t="n">
        <v>7</v>
      </c>
      <c r="G213" s="194" t="n">
        <v>5</v>
      </c>
      <c r="H213" s="183">
        <f>F213*G213</f>
        <v/>
      </c>
      <c r="I213" s="183" t="n">
        <v>0</v>
      </c>
      <c r="J213" s="183">
        <f>IFERROR(H213+I213,"")</f>
        <v/>
      </c>
      <c r="K213" s="183">
        <f>IFERROR(J213/G213,"")</f>
        <v/>
      </c>
      <c r="L213" s="183">
        <f>IFERROR(SUM(INDEX('CONTROLE PRODUÇÃO POR EMPRESAS'!$I$6:$I$5000,MATCH(C213,'CONTROLE PRODUÇÃO POR EMPRESAS'!$A$6:$A$5000,0)):INDEX('CONTROLE PRODUÇÃO POR EMPRESAS'!$I$6:$I$5000,MATCH(D213,'CONTROLE PRODUÇÃO POR EMPRESAS'!$A$6:$A$5000,0))),0)</f>
        <v/>
      </c>
      <c r="M213" s="183">
        <f>IF($B$3&lt;$E213,"",$L213-$J213)</f>
        <v/>
      </c>
      <c r="N213" s="183">
        <f>IF($B$3&lt;$C213,"FUTURA",IF($B$3&lt;=$D213,"EM ANDAMENTO",IF($B$3&lt;$E213,"AGUARDANDO CORTE",IF($M213&gt;=0,"META ATINGIDA","GAP A RECUPERAR"))))</f>
        <v/>
      </c>
      <c r="O213" s="184" t="n"/>
      <c r="P213" s="175" t="n"/>
    </row>
    <row r="214">
      <c r="A214" s="179" t="inlineStr">
        <is>
          <t>GLOBO AÇOS</t>
        </is>
      </c>
      <c r="B214" s="179" t="inlineStr">
        <is>
          <t>FECHAMENTO</t>
        </is>
      </c>
      <c r="C214" s="192" t="n">
        <v>46370</v>
      </c>
      <c r="D214" s="192" t="n">
        <v>46374</v>
      </c>
      <c r="E214" s="192" t="n">
        <v>46375</v>
      </c>
      <c r="F214" s="193" t="n">
        <v>36</v>
      </c>
      <c r="G214" s="194" t="n">
        <v>5</v>
      </c>
      <c r="H214" s="183">
        <f>F214*G214</f>
        <v/>
      </c>
      <c r="I214" s="183" t="n">
        <v>0</v>
      </c>
      <c r="J214" s="183">
        <f>IFERROR(H214+I214,"")</f>
        <v/>
      </c>
      <c r="K214" s="183">
        <f>IFERROR(J214/G214,"")</f>
        <v/>
      </c>
      <c r="L214" s="183">
        <f>IFERROR(SUM(INDEX('CONTROLE PRODUÇÃO POR EMPRESAS'!$J$6:$J$5000,MATCH(C214,'CONTROLE PRODUÇÃO POR EMPRESAS'!$A$6:$A$5000,0)):INDEX('CONTROLE PRODUÇÃO POR EMPRESAS'!$J$6:$J$5000,MATCH(D214,'CONTROLE PRODUÇÃO POR EMPRESAS'!$A$6:$A$5000,0))),0)</f>
        <v/>
      </c>
      <c r="M214" s="183">
        <f>IF($B$3&lt;$E214,"",$L214-$J214)</f>
        <v/>
      </c>
      <c r="N214" s="183">
        <f>IF($B$3&lt;$C214,"FUTURA",IF($B$3&lt;=$D214,"EM ANDAMENTO",IF($B$3&lt;$E214,"AGUARDANDO CORTE",IF($M214&gt;=0,"META ATINGIDA","GAP A RECUPERAR"))))</f>
        <v/>
      </c>
      <c r="O214" s="184" t="n"/>
      <c r="P214" s="175" t="n"/>
    </row>
    <row r="215">
      <c r="A215" s="179" t="inlineStr">
        <is>
          <t>EJ</t>
        </is>
      </c>
      <c r="B215" s="179" t="inlineStr">
        <is>
          <t>PREMONTAGEM</t>
        </is>
      </c>
      <c r="C215" s="192" t="n">
        <v>46377</v>
      </c>
      <c r="D215" s="192" t="n">
        <v>46381</v>
      </c>
      <c r="E215" s="192" t="n">
        <v>46382</v>
      </c>
      <c r="F215" s="193" t="n">
        <v>6</v>
      </c>
      <c r="G215" s="194" t="n">
        <v>5</v>
      </c>
      <c r="H215" s="183">
        <f>F215*G215</f>
        <v/>
      </c>
      <c r="I215" s="183" t="n">
        <v>0</v>
      </c>
      <c r="J215" s="183">
        <f>IFERROR(H215+I215,"")</f>
        <v/>
      </c>
      <c r="K215" s="183">
        <f>IFERROR(J215/G215,"")</f>
        <v/>
      </c>
      <c r="L215" s="183" t="n">
        <v>0</v>
      </c>
      <c r="M215" s="183">
        <f>IF($B$3&lt;$E215,"",$L215-$J215)</f>
        <v/>
      </c>
      <c r="N215" s="183">
        <f>IF($B$3&lt;$C215,"FUTURA",IF($B$3&lt;=$D215,"EM ANDAMENTO",IF($B$3&lt;$E215,"AGUARDANDO CORTE",IF($M215&gt;=0,"META ATINGIDA","GAP A RECUPERAR"))))</f>
        <v/>
      </c>
      <c r="O215" s="184" t="n"/>
      <c r="P215" s="175" t="n"/>
    </row>
    <row r="216">
      <c r="A216" s="179" t="inlineStr">
        <is>
          <t>EJ</t>
        </is>
      </c>
      <c r="B216" s="179" t="inlineStr">
        <is>
          <t>IÇAMENTO JOIST</t>
        </is>
      </c>
      <c r="C216" s="192" t="n">
        <v>46377</v>
      </c>
      <c r="D216" s="192" t="n">
        <v>46381</v>
      </c>
      <c r="E216" s="192" t="n">
        <v>46382</v>
      </c>
      <c r="F216" s="193" t="n">
        <v>5</v>
      </c>
      <c r="G216" s="194" t="n">
        <v>5</v>
      </c>
      <c r="H216" s="183">
        <f>F216*G216</f>
        <v/>
      </c>
      <c r="I216" s="183" t="n">
        <v>0</v>
      </c>
      <c r="J216" s="183">
        <f>IFERROR(H216+I216,"")</f>
        <v/>
      </c>
      <c r="K216" s="183">
        <f>IFERROR(J216/G216,"")</f>
        <v/>
      </c>
      <c r="L216" s="183" t="n">
        <v>0</v>
      </c>
      <c r="M216" s="183">
        <f>IF($B$3&lt;$E216,"",$L216-$J216)</f>
        <v/>
      </c>
      <c r="N216" s="183">
        <f>IF($B$3&lt;$C216,"FUTURA",IF($B$3&lt;=$D216,"EM ANDAMENTO",IF($B$3&lt;$E216,"AGUARDANDO CORTE",IF($M216&gt;=0,"META ATINGIDA","GAP A RECUPERAR"))))</f>
        <v/>
      </c>
      <c r="O216" s="184" t="n"/>
      <c r="P216" s="175" t="n"/>
    </row>
    <row r="217">
      <c r="A217" s="179" t="inlineStr">
        <is>
          <t>EJ</t>
        </is>
      </c>
      <c r="B217" s="179" t="inlineStr">
        <is>
          <t>VIGAS</t>
        </is>
      </c>
      <c r="C217" s="192" t="n">
        <v>46377</v>
      </c>
      <c r="D217" s="192" t="n">
        <v>46381</v>
      </c>
      <c r="E217" s="192" t="n">
        <v>46382</v>
      </c>
      <c r="F217" s="193" t="n">
        <v>2</v>
      </c>
      <c r="G217" s="194" t="n">
        <v>5</v>
      </c>
      <c r="H217" s="183">
        <f>F217*G217</f>
        <v/>
      </c>
      <c r="I217" s="183" t="n">
        <v>0</v>
      </c>
      <c r="J217" s="183">
        <f>IFERROR(H217+I217,"")</f>
        <v/>
      </c>
      <c r="K217" s="183">
        <f>IFERROR(J217/G217,"")</f>
        <v/>
      </c>
      <c r="L217" s="183" t="n">
        <v>0</v>
      </c>
      <c r="M217" s="183">
        <f>IF($B$3&lt;$E217,"",$L217-$J217)</f>
        <v/>
      </c>
      <c r="N217" s="183">
        <f>IF($B$3&lt;$C217,"FUTURA",IF($B$3&lt;=$D217,"EM ANDAMENTO",IF($B$3&lt;$E217,"AGUARDANDO CORTE",IF($M217&gt;=0,"META ATINGIDA","GAP A RECUPERAR"))))</f>
        <v/>
      </c>
      <c r="O217" s="184" t="n"/>
      <c r="P217" s="175" t="n"/>
    </row>
    <row r="218">
      <c r="A218" s="179" t="inlineStr">
        <is>
          <t>CMM</t>
        </is>
      </c>
      <c r="B218" s="179" t="inlineStr">
        <is>
          <t>PREMONTAGEM</t>
        </is>
      </c>
      <c r="C218" s="192" t="n">
        <v>46377</v>
      </c>
      <c r="D218" s="192" t="n">
        <v>46381</v>
      </c>
      <c r="E218" s="192" t="n">
        <v>46382</v>
      </c>
      <c r="F218" s="193" t="n">
        <v>6</v>
      </c>
      <c r="G218" s="194" t="n">
        <v>5</v>
      </c>
      <c r="H218" s="183">
        <f>F218*G218</f>
        <v/>
      </c>
      <c r="I218" s="183" t="n">
        <v>0</v>
      </c>
      <c r="J218" s="183">
        <f>IFERROR(H218+I218,"")</f>
        <v/>
      </c>
      <c r="K218" s="183">
        <f>IFERROR(J218/G218,"")</f>
        <v/>
      </c>
      <c r="L218" s="183" t="n">
        <v>0</v>
      </c>
      <c r="M218" s="183">
        <f>IF($B$3&lt;$E218,"",$L218-$J218)</f>
        <v/>
      </c>
      <c r="N218" s="183">
        <f>IF($B$3&lt;$C218,"FUTURA",IF($B$3&lt;=$D218,"EM ANDAMENTO",IF($B$3&lt;$E218,"AGUARDANDO CORTE",IF($M218&gt;=0,"META ATINGIDA","GAP A RECUPERAR"))))</f>
        <v/>
      </c>
      <c r="O218" s="184" t="n"/>
      <c r="P218" s="175" t="n"/>
    </row>
    <row r="219">
      <c r="A219" s="179" t="inlineStr">
        <is>
          <t>CMM</t>
        </is>
      </c>
      <c r="B219" s="179" t="inlineStr">
        <is>
          <t>IÇAMENTO JOIST</t>
        </is>
      </c>
      <c r="C219" s="192" t="n">
        <v>46377</v>
      </c>
      <c r="D219" s="192" t="n">
        <v>46381</v>
      </c>
      <c r="E219" s="192" t="n">
        <v>46382</v>
      </c>
      <c r="F219" s="193" t="n">
        <v>5</v>
      </c>
      <c r="G219" s="194" t="n">
        <v>5</v>
      </c>
      <c r="H219" s="183">
        <f>F219*G219</f>
        <v/>
      </c>
      <c r="I219" s="183" t="n">
        <v>0</v>
      </c>
      <c r="J219" s="183">
        <f>IFERROR(H219+I219,"")</f>
        <v/>
      </c>
      <c r="K219" s="183">
        <f>IFERROR(J219/G219,"")</f>
        <v/>
      </c>
      <c r="L219" s="183" t="n">
        <v>0</v>
      </c>
      <c r="M219" s="183">
        <f>IF($B$3&lt;$E219,"",$L219-$J219)</f>
        <v/>
      </c>
      <c r="N219" s="183">
        <f>IF($B$3&lt;$C219,"FUTURA",IF($B$3&lt;=$D219,"EM ANDAMENTO",IF($B$3&lt;$E219,"AGUARDANDO CORTE",IF($M219&gt;=0,"META ATINGIDA","GAP A RECUPERAR"))))</f>
        <v/>
      </c>
      <c r="O219" s="184" t="n"/>
      <c r="P219" s="175" t="n"/>
    </row>
    <row r="220">
      <c r="A220" s="179" t="inlineStr">
        <is>
          <t>CMM</t>
        </is>
      </c>
      <c r="B220" s="179" t="inlineStr">
        <is>
          <t>VIGAS</t>
        </is>
      </c>
      <c r="C220" s="192" t="n">
        <v>46377</v>
      </c>
      <c r="D220" s="192" t="n">
        <v>46381</v>
      </c>
      <c r="E220" s="192" t="n">
        <v>46382</v>
      </c>
      <c r="F220" s="193" t="n">
        <v>2</v>
      </c>
      <c r="G220" s="194" t="n">
        <v>5</v>
      </c>
      <c r="H220" s="183">
        <f>F220*G220</f>
        <v/>
      </c>
      <c r="I220" s="183" t="n">
        <v>0</v>
      </c>
      <c r="J220" s="183">
        <f>IFERROR(H220+I220,"")</f>
        <v/>
      </c>
      <c r="K220" s="183">
        <f>IFERROR(J220/G220,"")</f>
        <v/>
      </c>
      <c r="L220" s="183" t="n">
        <v>0</v>
      </c>
      <c r="M220" s="183">
        <f>IF($B$3&lt;$E220,"",$L220-$J220)</f>
        <v/>
      </c>
      <c r="N220" s="183">
        <f>IF($B$3&lt;$C220,"FUTURA",IF($B$3&lt;=$D220,"EM ANDAMENTO",IF($B$3&lt;$E220,"AGUARDANDO CORTE",IF($M220&gt;=0,"META ATINGIDA","GAP A RECUPERAR"))))</f>
        <v/>
      </c>
      <c r="O220" s="184" t="n"/>
      <c r="P220" s="175" t="n"/>
    </row>
    <row r="221">
      <c r="A221" s="179" t="inlineStr">
        <is>
          <t>GLOBO AÇOS</t>
        </is>
      </c>
      <c r="B221" s="179" t="inlineStr">
        <is>
          <t>PERFILAÇÃO</t>
        </is>
      </c>
      <c r="C221" s="192" t="n">
        <v>46377</v>
      </c>
      <c r="D221" s="192" t="n">
        <v>46381</v>
      </c>
      <c r="E221" s="192" t="n">
        <v>46382</v>
      </c>
      <c r="F221" s="193" t="n">
        <v>19</v>
      </c>
      <c r="G221" s="194" t="n">
        <v>5</v>
      </c>
      <c r="H221" s="183">
        <f>F221*G221</f>
        <v/>
      </c>
      <c r="I221" s="183" t="n">
        <v>0</v>
      </c>
      <c r="J221" s="183">
        <f>IFERROR(H221+I221,"")</f>
        <v/>
      </c>
      <c r="K221" s="183">
        <f>IFERROR(J221/G221,"")</f>
        <v/>
      </c>
      <c r="L221" s="183">
        <f>IFERROR(SUM(INDEX('CONTROLE PRODUÇÃO POR EMPRESAS'!$H$6:$H$5000,MATCH(C221,'CONTROLE PRODUÇÃO POR EMPRESAS'!$A$6:$A$5000,0)):INDEX('CONTROLE PRODUÇÃO POR EMPRESAS'!$H$6:$H$5000,MATCH(D221,'CONTROLE PRODUÇÃO POR EMPRESAS'!$A$6:$A$5000,0))),0)</f>
        <v/>
      </c>
      <c r="M221" s="183">
        <f>IF($B$3&lt;$E221,"",$L221-$J221)</f>
        <v/>
      </c>
      <c r="N221" s="183">
        <f>IF($B$3&lt;$C221,"FUTURA",IF($B$3&lt;=$D221,"EM ANDAMENTO",IF($B$3&lt;$E221,"AGUARDANDO CORTE",IF($M221&gt;=0,"META ATINGIDA","GAP A RECUPERAR"))))</f>
        <v/>
      </c>
      <c r="O221" s="184" t="n"/>
      <c r="P221" s="175" t="n"/>
    </row>
    <row r="222">
      <c r="A222" s="179" t="inlineStr">
        <is>
          <t>GLOBO AÇOS</t>
        </is>
      </c>
      <c r="B222" s="179" t="inlineStr">
        <is>
          <t>TELHAR</t>
        </is>
      </c>
      <c r="C222" s="192" t="n">
        <v>46377</v>
      </c>
      <c r="D222" s="192" t="n">
        <v>46381</v>
      </c>
      <c r="E222" s="192" t="n">
        <v>46382</v>
      </c>
      <c r="F222" s="193" t="n">
        <v>7</v>
      </c>
      <c r="G222" s="194" t="n">
        <v>5</v>
      </c>
      <c r="H222" s="183">
        <f>F222*G222</f>
        <v/>
      </c>
      <c r="I222" s="183" t="n">
        <v>0</v>
      </c>
      <c r="J222" s="183">
        <f>IFERROR(H222+I222,"")</f>
        <v/>
      </c>
      <c r="K222" s="183">
        <f>IFERROR(J222/G222,"")</f>
        <v/>
      </c>
      <c r="L222" s="183">
        <f>IFERROR(SUM(INDEX('CONTROLE PRODUÇÃO POR EMPRESAS'!$I$6:$I$5000,MATCH(C222,'CONTROLE PRODUÇÃO POR EMPRESAS'!$A$6:$A$5000,0)):INDEX('CONTROLE PRODUÇÃO POR EMPRESAS'!$I$6:$I$5000,MATCH(D222,'CONTROLE PRODUÇÃO POR EMPRESAS'!$A$6:$A$5000,0))),0)</f>
        <v/>
      </c>
      <c r="M222" s="183">
        <f>IF($B$3&lt;$E222,"",$L222-$J222)</f>
        <v/>
      </c>
      <c r="N222" s="183">
        <f>IF($B$3&lt;$C222,"FUTURA",IF($B$3&lt;=$D222,"EM ANDAMENTO",IF($B$3&lt;$E222,"AGUARDANDO CORTE",IF($M222&gt;=0,"META ATINGIDA","GAP A RECUPERAR"))))</f>
        <v/>
      </c>
      <c r="O222" s="184" t="n"/>
      <c r="P222" s="175" t="n"/>
    </row>
    <row r="223">
      <c r="A223" s="179" t="inlineStr">
        <is>
          <t>GLOBO AÇOS</t>
        </is>
      </c>
      <c r="B223" s="179" t="inlineStr">
        <is>
          <t>FECHAMENTO</t>
        </is>
      </c>
      <c r="C223" s="192" t="n">
        <v>46377</v>
      </c>
      <c r="D223" s="192" t="n">
        <v>46381</v>
      </c>
      <c r="E223" s="192" t="n">
        <v>46382</v>
      </c>
      <c r="F223" s="193" t="n">
        <v>36</v>
      </c>
      <c r="G223" s="194" t="n">
        <v>5</v>
      </c>
      <c r="H223" s="183">
        <f>F223*G223</f>
        <v/>
      </c>
      <c r="I223" s="183" t="n">
        <v>0</v>
      </c>
      <c r="J223" s="183">
        <f>IFERROR(H223+I223,"")</f>
        <v/>
      </c>
      <c r="K223" s="183">
        <f>IFERROR(J223/G223,"")</f>
        <v/>
      </c>
      <c r="L223" s="183">
        <f>IFERROR(SUM(INDEX('CONTROLE PRODUÇÃO POR EMPRESAS'!$J$6:$J$5000,MATCH(C223,'CONTROLE PRODUÇÃO POR EMPRESAS'!$A$6:$A$5000,0)):INDEX('CONTROLE PRODUÇÃO POR EMPRESAS'!$J$6:$J$5000,MATCH(D223,'CONTROLE PRODUÇÃO POR EMPRESAS'!$A$6:$A$5000,0))),0)</f>
        <v/>
      </c>
      <c r="M223" s="183">
        <f>IF($B$3&lt;$E223,"",$L223-$J223)</f>
        <v/>
      </c>
      <c r="N223" s="183">
        <f>IF($B$3&lt;$C223,"FUTURA",IF($B$3&lt;=$D223,"EM ANDAMENTO",IF($B$3&lt;$E223,"AGUARDANDO CORTE",IF($M223&gt;=0,"META ATINGIDA","GAP A RECUPERAR"))))</f>
        <v/>
      </c>
      <c r="O223" s="184" t="n"/>
      <c r="P223" s="175" t="n"/>
    </row>
    <row r="224">
      <c r="A224" s="179" t="inlineStr">
        <is>
          <t>EJ</t>
        </is>
      </c>
      <c r="B224" s="179" t="inlineStr">
        <is>
          <t>PREMONTAGEM</t>
        </is>
      </c>
      <c r="C224" s="192" t="n">
        <v>46384</v>
      </c>
      <c r="D224" s="192" t="n">
        <v>46388</v>
      </c>
      <c r="E224" s="192" t="n">
        <v>46389</v>
      </c>
      <c r="F224" s="193" t="n">
        <v>6</v>
      </c>
      <c r="G224" s="194" t="n">
        <v>5</v>
      </c>
      <c r="H224" s="183">
        <f>F224*G224</f>
        <v/>
      </c>
      <c r="I224" s="183" t="n">
        <v>0</v>
      </c>
      <c r="J224" s="183">
        <f>IFERROR(H224+I224,"")</f>
        <v/>
      </c>
      <c r="K224" s="183">
        <f>IFERROR(J224/G224,"")</f>
        <v/>
      </c>
      <c r="L224" s="183" t="n">
        <v>0</v>
      </c>
      <c r="M224" s="183">
        <f>IF($B$3&lt;$E224,"",$L224-$J224)</f>
        <v/>
      </c>
      <c r="N224" s="183">
        <f>IF($B$3&lt;$C224,"FUTURA",IF($B$3&lt;=$D224,"EM ANDAMENTO",IF($B$3&lt;$E224,"AGUARDANDO CORTE",IF($M224&gt;=0,"META ATINGIDA","GAP A RECUPERAR"))))</f>
        <v/>
      </c>
      <c r="O224" s="184" t="n"/>
      <c r="P224" s="175" t="n"/>
    </row>
    <row r="225">
      <c r="A225" s="179" t="inlineStr">
        <is>
          <t>EJ</t>
        </is>
      </c>
      <c r="B225" s="179" t="inlineStr">
        <is>
          <t>IÇAMENTO JOIST</t>
        </is>
      </c>
      <c r="C225" s="192" t="n">
        <v>46384</v>
      </c>
      <c r="D225" s="192" t="n">
        <v>46388</v>
      </c>
      <c r="E225" s="192" t="n">
        <v>46389</v>
      </c>
      <c r="F225" s="193" t="n">
        <v>5</v>
      </c>
      <c r="G225" s="194" t="n">
        <v>5</v>
      </c>
      <c r="H225" s="183">
        <f>F225*G225</f>
        <v/>
      </c>
      <c r="I225" s="183" t="n">
        <v>0</v>
      </c>
      <c r="J225" s="183">
        <f>IFERROR(H225+I225,"")</f>
        <v/>
      </c>
      <c r="K225" s="183">
        <f>IFERROR(J225/G225,"")</f>
        <v/>
      </c>
      <c r="L225" s="183" t="n">
        <v>0</v>
      </c>
      <c r="M225" s="183">
        <f>IF($B$3&lt;$E225,"",$L225-$J225)</f>
        <v/>
      </c>
      <c r="N225" s="183">
        <f>IF($B$3&lt;$C225,"FUTURA",IF($B$3&lt;=$D225,"EM ANDAMENTO",IF($B$3&lt;$E225,"AGUARDANDO CORTE",IF($M225&gt;=0,"META ATINGIDA","GAP A RECUPERAR"))))</f>
        <v/>
      </c>
      <c r="O225" s="184" t="n"/>
      <c r="P225" s="175" t="n"/>
    </row>
    <row r="226">
      <c r="A226" s="179" t="inlineStr">
        <is>
          <t>EJ</t>
        </is>
      </c>
      <c r="B226" s="179" t="inlineStr">
        <is>
          <t>VIGAS</t>
        </is>
      </c>
      <c r="C226" s="192" t="n">
        <v>46384</v>
      </c>
      <c r="D226" s="192" t="n">
        <v>46388</v>
      </c>
      <c r="E226" s="192" t="n">
        <v>46389</v>
      </c>
      <c r="F226" s="193" t="n">
        <v>2</v>
      </c>
      <c r="G226" s="194" t="n">
        <v>5</v>
      </c>
      <c r="H226" s="183">
        <f>F226*G226</f>
        <v/>
      </c>
      <c r="I226" s="183" t="n">
        <v>0</v>
      </c>
      <c r="J226" s="183">
        <f>IFERROR(H226+I226,"")</f>
        <v/>
      </c>
      <c r="K226" s="183">
        <f>IFERROR(J226/G226,"")</f>
        <v/>
      </c>
      <c r="L226" s="183" t="n">
        <v>0</v>
      </c>
      <c r="M226" s="183">
        <f>IF($B$3&lt;$E226,"",$L226-$J226)</f>
        <v/>
      </c>
      <c r="N226" s="183">
        <f>IF($B$3&lt;$C226,"FUTURA",IF($B$3&lt;=$D226,"EM ANDAMENTO",IF($B$3&lt;$E226,"AGUARDANDO CORTE",IF($M226&gt;=0,"META ATINGIDA","GAP A RECUPERAR"))))</f>
        <v/>
      </c>
      <c r="O226" s="184" t="n"/>
      <c r="P226" s="175" t="n"/>
    </row>
    <row r="227">
      <c r="A227" s="179" t="inlineStr">
        <is>
          <t>CMM</t>
        </is>
      </c>
      <c r="B227" s="179" t="inlineStr">
        <is>
          <t>PREMONTAGEM</t>
        </is>
      </c>
      <c r="C227" s="192" t="n">
        <v>46384</v>
      </c>
      <c r="D227" s="192" t="n">
        <v>46388</v>
      </c>
      <c r="E227" s="192" t="n">
        <v>46389</v>
      </c>
      <c r="F227" s="193" t="n">
        <v>6</v>
      </c>
      <c r="G227" s="194" t="n">
        <v>5</v>
      </c>
      <c r="H227" s="183">
        <f>F227*G227</f>
        <v/>
      </c>
      <c r="I227" s="183" t="n">
        <v>0</v>
      </c>
      <c r="J227" s="183">
        <f>IFERROR(H227+I227,"")</f>
        <v/>
      </c>
      <c r="K227" s="183">
        <f>IFERROR(J227/G227,"")</f>
        <v/>
      </c>
      <c r="L227" s="183" t="n">
        <v>0</v>
      </c>
      <c r="M227" s="183">
        <f>IF($B$3&lt;$E227,"",$L227-$J227)</f>
        <v/>
      </c>
      <c r="N227" s="183">
        <f>IF($B$3&lt;$C227,"FUTURA",IF($B$3&lt;=$D227,"EM ANDAMENTO",IF($B$3&lt;$E227,"AGUARDANDO CORTE",IF($M227&gt;=0,"META ATINGIDA","GAP A RECUPERAR"))))</f>
        <v/>
      </c>
      <c r="O227" s="184" t="n"/>
      <c r="P227" s="175" t="n"/>
    </row>
    <row r="228">
      <c r="A228" s="179" t="inlineStr">
        <is>
          <t>CMM</t>
        </is>
      </c>
      <c r="B228" s="179" t="inlineStr">
        <is>
          <t>IÇAMENTO JOIST</t>
        </is>
      </c>
      <c r="C228" s="192" t="n">
        <v>46384</v>
      </c>
      <c r="D228" s="192" t="n">
        <v>46388</v>
      </c>
      <c r="E228" s="192" t="n">
        <v>46389</v>
      </c>
      <c r="F228" s="193" t="n">
        <v>5</v>
      </c>
      <c r="G228" s="194" t="n">
        <v>5</v>
      </c>
      <c r="H228" s="183">
        <f>F228*G228</f>
        <v/>
      </c>
      <c r="I228" s="183" t="n">
        <v>0</v>
      </c>
      <c r="J228" s="183">
        <f>IFERROR(H228+I228,"")</f>
        <v/>
      </c>
      <c r="K228" s="183">
        <f>IFERROR(J228/G228,"")</f>
        <v/>
      </c>
      <c r="L228" s="183" t="n">
        <v>0</v>
      </c>
      <c r="M228" s="183">
        <f>IF($B$3&lt;$E228,"",$L228-$J228)</f>
        <v/>
      </c>
      <c r="N228" s="183">
        <f>IF($B$3&lt;$C228,"FUTURA",IF($B$3&lt;=$D228,"EM ANDAMENTO",IF($B$3&lt;$E228,"AGUARDANDO CORTE",IF($M228&gt;=0,"META ATINGIDA","GAP A RECUPERAR"))))</f>
        <v/>
      </c>
      <c r="O228" s="184" t="n"/>
      <c r="P228" s="175" t="n"/>
    </row>
    <row r="229">
      <c r="A229" s="179" t="inlineStr">
        <is>
          <t>CMM</t>
        </is>
      </c>
      <c r="B229" s="179" t="inlineStr">
        <is>
          <t>VIGAS</t>
        </is>
      </c>
      <c r="C229" s="192" t="n">
        <v>46384</v>
      </c>
      <c r="D229" s="192" t="n">
        <v>46388</v>
      </c>
      <c r="E229" s="192" t="n">
        <v>46389</v>
      </c>
      <c r="F229" s="193" t="n">
        <v>2</v>
      </c>
      <c r="G229" s="194" t="n">
        <v>5</v>
      </c>
      <c r="H229" s="183">
        <f>F229*G229</f>
        <v/>
      </c>
      <c r="I229" s="183" t="n">
        <v>0</v>
      </c>
      <c r="J229" s="183">
        <f>IFERROR(H229+I229,"")</f>
        <v/>
      </c>
      <c r="K229" s="183">
        <f>IFERROR(J229/G229,"")</f>
        <v/>
      </c>
      <c r="L229" s="183" t="n">
        <v>0</v>
      </c>
      <c r="M229" s="183">
        <f>IF($B$3&lt;$E229,"",$L229-$J229)</f>
        <v/>
      </c>
      <c r="N229" s="183">
        <f>IF($B$3&lt;$C229,"FUTURA",IF($B$3&lt;=$D229,"EM ANDAMENTO",IF($B$3&lt;$E229,"AGUARDANDO CORTE",IF($M229&gt;=0,"META ATINGIDA","GAP A RECUPERAR"))))</f>
        <v/>
      </c>
      <c r="O229" s="184" t="n"/>
      <c r="P229" s="175" t="n"/>
    </row>
    <row r="230">
      <c r="A230" s="179" t="inlineStr">
        <is>
          <t>GLOBO AÇOS</t>
        </is>
      </c>
      <c r="B230" s="179" t="inlineStr">
        <is>
          <t>PERFILAÇÃO</t>
        </is>
      </c>
      <c r="C230" s="192" t="n">
        <v>46384</v>
      </c>
      <c r="D230" s="192" t="n">
        <v>46388</v>
      </c>
      <c r="E230" s="192" t="n">
        <v>46389</v>
      </c>
      <c r="F230" s="193" t="n">
        <v>19</v>
      </c>
      <c r="G230" s="194" t="n">
        <v>5</v>
      </c>
      <c r="H230" s="183">
        <f>F230*G230</f>
        <v/>
      </c>
      <c r="I230" s="183" t="n">
        <v>0</v>
      </c>
      <c r="J230" s="183">
        <f>IFERROR(H230+I230,"")</f>
        <v/>
      </c>
      <c r="K230" s="183">
        <f>IFERROR(J230/G230,"")</f>
        <v/>
      </c>
      <c r="L230" s="183">
        <f>IFERROR(SUM(INDEX('CONTROLE PRODUÇÃO POR EMPRESAS'!$H$6:$H$5000,MATCH(C230,'CONTROLE PRODUÇÃO POR EMPRESAS'!$A$6:$A$5000,0)):INDEX('CONTROLE PRODUÇÃO POR EMPRESAS'!$H$6:$H$5000,MATCH(D230,'CONTROLE PRODUÇÃO POR EMPRESAS'!$A$6:$A$5000,0))),0)</f>
        <v/>
      </c>
      <c r="M230" s="183">
        <f>IF($B$3&lt;$E230,"",$L230-$J230)</f>
        <v/>
      </c>
      <c r="N230" s="183">
        <f>IF($B$3&lt;$C230,"FUTURA",IF($B$3&lt;=$D230,"EM ANDAMENTO",IF($B$3&lt;$E230,"AGUARDANDO CORTE",IF($M230&gt;=0,"META ATINGIDA","GAP A RECUPERAR"))))</f>
        <v/>
      </c>
      <c r="O230" s="184" t="n"/>
      <c r="P230" s="175" t="n"/>
    </row>
    <row r="231">
      <c r="A231" s="179" t="inlineStr">
        <is>
          <t>GLOBO AÇOS</t>
        </is>
      </c>
      <c r="B231" s="179" t="inlineStr">
        <is>
          <t>TELHAR</t>
        </is>
      </c>
      <c r="C231" s="192" t="n">
        <v>46384</v>
      </c>
      <c r="D231" s="192" t="n">
        <v>46388</v>
      </c>
      <c r="E231" s="192" t="n">
        <v>46389</v>
      </c>
      <c r="F231" s="193" t="n">
        <v>7</v>
      </c>
      <c r="G231" s="194" t="n">
        <v>5</v>
      </c>
      <c r="H231" s="183">
        <f>F231*G231</f>
        <v/>
      </c>
      <c r="I231" s="183" t="n">
        <v>0</v>
      </c>
      <c r="J231" s="183">
        <f>IFERROR(H231+I231,"")</f>
        <v/>
      </c>
      <c r="K231" s="183">
        <f>IFERROR(J231/G231,"")</f>
        <v/>
      </c>
      <c r="L231" s="183">
        <f>IFERROR(SUM(INDEX('CONTROLE PRODUÇÃO POR EMPRESAS'!$I$6:$I$5000,MATCH(C231,'CONTROLE PRODUÇÃO POR EMPRESAS'!$A$6:$A$5000,0)):INDEX('CONTROLE PRODUÇÃO POR EMPRESAS'!$I$6:$I$5000,MATCH(D231,'CONTROLE PRODUÇÃO POR EMPRESAS'!$A$6:$A$5000,0))),0)</f>
        <v/>
      </c>
      <c r="M231" s="183">
        <f>IF($B$3&lt;$E231,"",$L231-$J231)</f>
        <v/>
      </c>
      <c r="N231" s="183">
        <f>IF($B$3&lt;$C231,"FUTURA",IF($B$3&lt;=$D231,"EM ANDAMENTO",IF($B$3&lt;$E231,"AGUARDANDO CORTE",IF($M231&gt;=0,"META ATINGIDA","GAP A RECUPERAR"))))</f>
        <v/>
      </c>
      <c r="O231" s="184" t="n"/>
      <c r="P231" s="175" t="n"/>
    </row>
    <row r="232">
      <c r="A232" s="179" t="inlineStr">
        <is>
          <t>GLOBO AÇOS</t>
        </is>
      </c>
      <c r="B232" s="179" t="inlineStr">
        <is>
          <t>FECHAMENTO</t>
        </is>
      </c>
      <c r="C232" s="192" t="n">
        <v>46384</v>
      </c>
      <c r="D232" s="192" t="n">
        <v>46388</v>
      </c>
      <c r="E232" s="192" t="n">
        <v>46389</v>
      </c>
      <c r="F232" s="193" t="n">
        <v>36</v>
      </c>
      <c r="G232" s="194" t="n">
        <v>5</v>
      </c>
      <c r="H232" s="183">
        <f>F232*G232</f>
        <v/>
      </c>
      <c r="I232" s="183" t="n">
        <v>0</v>
      </c>
      <c r="J232" s="183">
        <f>IFERROR(H232+I232,"")</f>
        <v/>
      </c>
      <c r="K232" s="183">
        <f>IFERROR(J232/G232,"")</f>
        <v/>
      </c>
      <c r="L232" s="183">
        <f>IFERROR(SUM(INDEX('CONTROLE PRODUÇÃO POR EMPRESAS'!$J$6:$J$5000,MATCH(C232,'CONTROLE PRODUÇÃO POR EMPRESAS'!$A$6:$A$5000,0)):INDEX('CONTROLE PRODUÇÃO POR EMPRESAS'!$J$6:$J$5000,MATCH(D232,'CONTROLE PRODUÇÃO POR EMPRESAS'!$A$6:$A$5000,0))),0)</f>
        <v/>
      </c>
      <c r="M232" s="183">
        <f>IF($B$3&lt;$E232,"",$L232-$J232)</f>
        <v/>
      </c>
      <c r="N232" s="183">
        <f>IF($B$3&lt;$C232,"FUTURA",IF($B$3&lt;=$D232,"EM ANDAMENTO",IF($B$3&lt;$E232,"AGUARDANDO CORTE",IF($M232&gt;=0,"META ATINGIDA","GAP A RECUPERAR"))))</f>
        <v/>
      </c>
      <c r="O232" s="184" t="n"/>
      <c r="P232" s="175" t="n"/>
    </row>
    <row r="233">
      <c r="A233" s="179" t="inlineStr">
        <is>
          <t>EJ</t>
        </is>
      </c>
      <c r="B233" s="179" t="inlineStr">
        <is>
          <t>PREMONTAGEM</t>
        </is>
      </c>
      <c r="C233" s="192" t="n">
        <v>46391</v>
      </c>
      <c r="D233" s="192" t="n">
        <v>46395</v>
      </c>
      <c r="E233" s="192" t="n">
        <v>46396</v>
      </c>
      <c r="F233" s="193" t="n">
        <v>6</v>
      </c>
      <c r="G233" s="194" t="n">
        <v>5</v>
      </c>
      <c r="H233" s="183">
        <f>F233*G233</f>
        <v/>
      </c>
      <c r="I233" s="183" t="n">
        <v>0</v>
      </c>
      <c r="J233" s="183">
        <f>IFERROR(H233+I233,"")</f>
        <v/>
      </c>
      <c r="K233" s="183">
        <f>IFERROR(J233/G233,"")</f>
        <v/>
      </c>
      <c r="L233" s="183" t="n">
        <v>0</v>
      </c>
      <c r="M233" s="183">
        <f>IF($B$3&lt;$E233,"",$L233-$J233)</f>
        <v/>
      </c>
      <c r="N233" s="183">
        <f>IF($B$3&lt;$C233,"FUTURA",IF($B$3&lt;=$D233,"EM ANDAMENTO",IF($B$3&lt;$E233,"AGUARDANDO CORTE",IF($M233&gt;=0,"META ATINGIDA","GAP A RECUPERAR"))))</f>
        <v/>
      </c>
      <c r="O233" s="184" t="n"/>
      <c r="P233" s="175" t="n"/>
    </row>
    <row r="234">
      <c r="A234" s="179" t="inlineStr">
        <is>
          <t>EJ</t>
        </is>
      </c>
      <c r="B234" s="179" t="inlineStr">
        <is>
          <t>IÇAMENTO JOIST</t>
        </is>
      </c>
      <c r="C234" s="192" t="n">
        <v>46391</v>
      </c>
      <c r="D234" s="192" t="n">
        <v>46395</v>
      </c>
      <c r="E234" s="192" t="n">
        <v>46396</v>
      </c>
      <c r="F234" s="193" t="n">
        <v>5</v>
      </c>
      <c r="G234" s="194" t="n">
        <v>5</v>
      </c>
      <c r="H234" s="183">
        <f>F234*G234</f>
        <v/>
      </c>
      <c r="I234" s="183" t="n">
        <v>0</v>
      </c>
      <c r="J234" s="183">
        <f>IFERROR(H234+I234,"")</f>
        <v/>
      </c>
      <c r="K234" s="183">
        <f>IFERROR(J234/G234,"")</f>
        <v/>
      </c>
      <c r="L234" s="183" t="n">
        <v>0</v>
      </c>
      <c r="M234" s="183">
        <f>IF($B$3&lt;$E234,"",$L234-$J234)</f>
        <v/>
      </c>
      <c r="N234" s="183">
        <f>IF($B$3&lt;$C234,"FUTURA",IF($B$3&lt;=$D234,"EM ANDAMENTO",IF($B$3&lt;$E234,"AGUARDANDO CORTE",IF($M234&gt;=0,"META ATINGIDA","GAP A RECUPERAR"))))</f>
        <v/>
      </c>
      <c r="O234" s="184" t="n"/>
      <c r="P234" s="175" t="n"/>
    </row>
    <row r="235">
      <c r="A235" s="179" t="inlineStr">
        <is>
          <t>EJ</t>
        </is>
      </c>
      <c r="B235" s="179" t="inlineStr">
        <is>
          <t>VIGAS</t>
        </is>
      </c>
      <c r="C235" s="192" t="n">
        <v>46391</v>
      </c>
      <c r="D235" s="192" t="n">
        <v>46395</v>
      </c>
      <c r="E235" s="192" t="n">
        <v>46396</v>
      </c>
      <c r="F235" s="193" t="n">
        <v>2</v>
      </c>
      <c r="G235" s="194" t="n">
        <v>5</v>
      </c>
      <c r="H235" s="183">
        <f>F235*G235</f>
        <v/>
      </c>
      <c r="I235" s="183" t="n">
        <v>0</v>
      </c>
      <c r="J235" s="183">
        <f>IFERROR(H235+I235,"")</f>
        <v/>
      </c>
      <c r="K235" s="183">
        <f>IFERROR(J235/G235,"")</f>
        <v/>
      </c>
      <c r="L235" s="183" t="n">
        <v>0</v>
      </c>
      <c r="M235" s="183">
        <f>IF($B$3&lt;$E235,"",$L235-$J235)</f>
        <v/>
      </c>
      <c r="N235" s="183">
        <f>IF($B$3&lt;$C235,"FUTURA",IF($B$3&lt;=$D235,"EM ANDAMENTO",IF($B$3&lt;$E235,"AGUARDANDO CORTE",IF($M235&gt;=0,"META ATINGIDA","GAP A RECUPERAR"))))</f>
        <v/>
      </c>
      <c r="O235" s="184" t="n"/>
      <c r="P235" s="175" t="n"/>
    </row>
    <row r="236">
      <c r="A236" s="179" t="inlineStr">
        <is>
          <t>CMM</t>
        </is>
      </c>
      <c r="B236" s="179" t="inlineStr">
        <is>
          <t>PREMONTAGEM</t>
        </is>
      </c>
      <c r="C236" s="192" t="n">
        <v>46391</v>
      </c>
      <c r="D236" s="192" t="n">
        <v>46395</v>
      </c>
      <c r="E236" s="192" t="n">
        <v>46396</v>
      </c>
      <c r="F236" s="193" t="n">
        <v>6</v>
      </c>
      <c r="G236" s="194" t="n">
        <v>5</v>
      </c>
      <c r="H236" s="183">
        <f>F236*G236</f>
        <v/>
      </c>
      <c r="I236" s="183" t="n">
        <v>0</v>
      </c>
      <c r="J236" s="183">
        <f>IFERROR(H236+I236,"")</f>
        <v/>
      </c>
      <c r="K236" s="183">
        <f>IFERROR(J236/G236,"")</f>
        <v/>
      </c>
      <c r="L236" s="183" t="n">
        <v>0</v>
      </c>
      <c r="M236" s="183">
        <f>IF($B$3&lt;$E236,"",$L236-$J236)</f>
        <v/>
      </c>
      <c r="N236" s="183">
        <f>IF($B$3&lt;$C236,"FUTURA",IF($B$3&lt;=$D236,"EM ANDAMENTO",IF($B$3&lt;$E236,"AGUARDANDO CORTE",IF($M236&gt;=0,"META ATINGIDA","GAP A RECUPERAR"))))</f>
        <v/>
      </c>
      <c r="O236" s="184" t="n"/>
      <c r="P236" s="175" t="n"/>
    </row>
    <row r="237">
      <c r="A237" s="179" t="inlineStr">
        <is>
          <t>CMM</t>
        </is>
      </c>
      <c r="B237" s="179" t="inlineStr">
        <is>
          <t>IÇAMENTO JOIST</t>
        </is>
      </c>
      <c r="C237" s="192" t="n">
        <v>46391</v>
      </c>
      <c r="D237" s="192" t="n">
        <v>46395</v>
      </c>
      <c r="E237" s="192" t="n">
        <v>46396</v>
      </c>
      <c r="F237" s="193" t="n">
        <v>5</v>
      </c>
      <c r="G237" s="194" t="n">
        <v>5</v>
      </c>
      <c r="H237" s="183">
        <f>F237*G237</f>
        <v/>
      </c>
      <c r="I237" s="183" t="n">
        <v>0</v>
      </c>
      <c r="J237" s="183">
        <f>IFERROR(H237+I237,"")</f>
        <v/>
      </c>
      <c r="K237" s="183">
        <f>IFERROR(J237/G237,"")</f>
        <v/>
      </c>
      <c r="L237" s="183" t="n">
        <v>0</v>
      </c>
      <c r="M237" s="183">
        <f>IF($B$3&lt;$E237,"",$L237-$J237)</f>
        <v/>
      </c>
      <c r="N237" s="183">
        <f>IF($B$3&lt;$C237,"FUTURA",IF($B$3&lt;=$D237,"EM ANDAMENTO",IF($B$3&lt;$E237,"AGUARDANDO CORTE",IF($M237&gt;=0,"META ATINGIDA","GAP A RECUPERAR"))))</f>
        <v/>
      </c>
      <c r="O237" s="184" t="n"/>
      <c r="P237" s="175" t="n"/>
    </row>
    <row r="238">
      <c r="A238" s="179" t="inlineStr">
        <is>
          <t>CMM</t>
        </is>
      </c>
      <c r="B238" s="179" t="inlineStr">
        <is>
          <t>VIGAS</t>
        </is>
      </c>
      <c r="C238" s="192" t="n">
        <v>46391</v>
      </c>
      <c r="D238" s="192" t="n">
        <v>46395</v>
      </c>
      <c r="E238" s="192" t="n">
        <v>46396</v>
      </c>
      <c r="F238" s="193" t="n">
        <v>2</v>
      </c>
      <c r="G238" s="194" t="n">
        <v>5</v>
      </c>
      <c r="H238" s="183">
        <f>F238*G238</f>
        <v/>
      </c>
      <c r="I238" s="183" t="n">
        <v>0</v>
      </c>
      <c r="J238" s="183">
        <f>IFERROR(H238+I238,"")</f>
        <v/>
      </c>
      <c r="K238" s="183">
        <f>IFERROR(J238/G238,"")</f>
        <v/>
      </c>
      <c r="L238" s="183" t="n">
        <v>0</v>
      </c>
      <c r="M238" s="183">
        <f>IF($B$3&lt;$E238,"",$L238-$J238)</f>
        <v/>
      </c>
      <c r="N238" s="183">
        <f>IF($B$3&lt;$C238,"FUTURA",IF($B$3&lt;=$D238,"EM ANDAMENTO",IF($B$3&lt;$E238,"AGUARDANDO CORTE",IF($M238&gt;=0,"META ATINGIDA","GAP A RECUPERAR"))))</f>
        <v/>
      </c>
      <c r="O238" s="184" t="n"/>
      <c r="P238" s="175" t="n"/>
    </row>
    <row r="239">
      <c r="A239" s="179" t="inlineStr">
        <is>
          <t>GLOBO AÇOS</t>
        </is>
      </c>
      <c r="B239" s="179" t="inlineStr">
        <is>
          <t>PERFILAÇÃO</t>
        </is>
      </c>
      <c r="C239" s="192" t="n">
        <v>46391</v>
      </c>
      <c r="D239" s="192" t="n">
        <v>46395</v>
      </c>
      <c r="E239" s="192" t="n">
        <v>46396</v>
      </c>
      <c r="F239" s="193" t="n">
        <v>19</v>
      </c>
      <c r="G239" s="194" t="n">
        <v>5</v>
      </c>
      <c r="H239" s="183">
        <f>F239*G239</f>
        <v/>
      </c>
      <c r="I239" s="183" t="n">
        <v>0</v>
      </c>
      <c r="J239" s="183">
        <f>IFERROR(H239+I239,"")</f>
        <v/>
      </c>
      <c r="K239" s="183">
        <f>IFERROR(J239/G239,"")</f>
        <v/>
      </c>
      <c r="L239" s="183">
        <f>IFERROR(SUM(INDEX('CONTROLE PRODUÇÃO POR EMPRESAS'!$H$6:$H$5000,MATCH(C239,'CONTROLE PRODUÇÃO POR EMPRESAS'!$A$6:$A$5000,0)):INDEX('CONTROLE PRODUÇÃO POR EMPRESAS'!$H$6:$H$5000,MATCH(D239,'CONTROLE PRODUÇÃO POR EMPRESAS'!$A$6:$A$5000,0))),0)</f>
        <v/>
      </c>
      <c r="M239" s="183">
        <f>IF($B$3&lt;$E239,"",$L239-$J239)</f>
        <v/>
      </c>
      <c r="N239" s="183">
        <f>IF($B$3&lt;$C239,"FUTURA",IF($B$3&lt;=$D239,"EM ANDAMENTO",IF($B$3&lt;$E239,"AGUARDANDO CORTE",IF($M239&gt;=0,"META ATINGIDA","GAP A RECUPERAR"))))</f>
        <v/>
      </c>
      <c r="O239" s="184" t="n"/>
      <c r="P239" s="175" t="n"/>
    </row>
    <row r="240">
      <c r="A240" s="179" t="inlineStr">
        <is>
          <t>GLOBO AÇOS</t>
        </is>
      </c>
      <c r="B240" s="179" t="inlineStr">
        <is>
          <t>TELHAR</t>
        </is>
      </c>
      <c r="C240" s="192" t="n">
        <v>46391</v>
      </c>
      <c r="D240" s="192" t="n">
        <v>46395</v>
      </c>
      <c r="E240" s="192" t="n">
        <v>46396</v>
      </c>
      <c r="F240" s="193" t="n">
        <v>7</v>
      </c>
      <c r="G240" s="194" t="n">
        <v>5</v>
      </c>
      <c r="H240" s="183">
        <f>F240*G240</f>
        <v/>
      </c>
      <c r="I240" s="183" t="n">
        <v>0</v>
      </c>
      <c r="J240" s="183">
        <f>IFERROR(H240+I240,"")</f>
        <v/>
      </c>
      <c r="K240" s="183">
        <f>IFERROR(J240/G240,"")</f>
        <v/>
      </c>
      <c r="L240" s="183">
        <f>IFERROR(SUM(INDEX('CONTROLE PRODUÇÃO POR EMPRESAS'!$I$6:$I$5000,MATCH(C240,'CONTROLE PRODUÇÃO POR EMPRESAS'!$A$6:$A$5000,0)):INDEX('CONTROLE PRODUÇÃO POR EMPRESAS'!$I$6:$I$5000,MATCH(D240,'CONTROLE PRODUÇÃO POR EMPRESAS'!$A$6:$A$5000,0))),0)</f>
        <v/>
      </c>
      <c r="M240" s="183">
        <f>IF($B$3&lt;$E240,"",$L240-$J240)</f>
        <v/>
      </c>
      <c r="N240" s="183">
        <f>IF($B$3&lt;$C240,"FUTURA",IF($B$3&lt;=$D240,"EM ANDAMENTO",IF($B$3&lt;$E240,"AGUARDANDO CORTE",IF($M240&gt;=0,"META ATINGIDA","GAP A RECUPERAR"))))</f>
        <v/>
      </c>
      <c r="O240" s="184" t="n"/>
      <c r="P240" s="175" t="n"/>
    </row>
    <row r="241">
      <c r="A241" s="179" t="inlineStr">
        <is>
          <t>GLOBO AÇOS</t>
        </is>
      </c>
      <c r="B241" s="179" t="inlineStr">
        <is>
          <t>FECHAMENTO</t>
        </is>
      </c>
      <c r="C241" s="192" t="n">
        <v>46391</v>
      </c>
      <c r="D241" s="192" t="n">
        <v>46395</v>
      </c>
      <c r="E241" s="192" t="n">
        <v>46396</v>
      </c>
      <c r="F241" s="193" t="n">
        <v>36</v>
      </c>
      <c r="G241" s="194" t="n">
        <v>5</v>
      </c>
      <c r="H241" s="183">
        <f>F241*G241</f>
        <v/>
      </c>
      <c r="I241" s="183" t="n">
        <v>0</v>
      </c>
      <c r="J241" s="183">
        <f>IFERROR(H241+I241,"")</f>
        <v/>
      </c>
      <c r="K241" s="183">
        <f>IFERROR(J241/G241,"")</f>
        <v/>
      </c>
      <c r="L241" s="183">
        <f>IFERROR(SUM(INDEX('CONTROLE PRODUÇÃO POR EMPRESAS'!$J$6:$J$5000,MATCH(C241,'CONTROLE PRODUÇÃO POR EMPRESAS'!$A$6:$A$5000,0)):INDEX('CONTROLE PRODUÇÃO POR EMPRESAS'!$J$6:$J$5000,MATCH(D241,'CONTROLE PRODUÇÃO POR EMPRESAS'!$A$6:$A$5000,0))),0)</f>
        <v/>
      </c>
      <c r="M241" s="183">
        <f>IF($B$3&lt;$E241,"",$L241-$J241)</f>
        <v/>
      </c>
      <c r="N241" s="183">
        <f>IF($B$3&lt;$C241,"FUTURA",IF($B$3&lt;=$D241,"EM ANDAMENTO",IF($B$3&lt;$E241,"AGUARDANDO CORTE",IF($M241&gt;=0,"META ATINGIDA","GAP A RECUPERAR"))))</f>
        <v/>
      </c>
      <c r="O241" s="184" t="n"/>
      <c r="P241" s="175" t="n"/>
    </row>
    <row r="242">
      <c r="A242" s="179" t="inlineStr">
        <is>
          <t>EJ</t>
        </is>
      </c>
      <c r="B242" s="179" t="inlineStr">
        <is>
          <t>PREMONTAGEM</t>
        </is>
      </c>
      <c r="C242" s="192" t="n">
        <v>46398</v>
      </c>
      <c r="D242" s="192" t="n">
        <v>46402</v>
      </c>
      <c r="E242" s="192" t="n">
        <v>46403</v>
      </c>
      <c r="F242" s="193" t="n">
        <v>6</v>
      </c>
      <c r="G242" s="194" t="n">
        <v>5</v>
      </c>
      <c r="H242" s="183">
        <f>F242*G242</f>
        <v/>
      </c>
      <c r="I242" s="183" t="n">
        <v>0</v>
      </c>
      <c r="J242" s="183">
        <f>IFERROR(H242+I242,"")</f>
        <v/>
      </c>
      <c r="K242" s="183">
        <f>IFERROR(J242/G242,"")</f>
        <v/>
      </c>
      <c r="L242" s="183" t="n">
        <v>0</v>
      </c>
      <c r="M242" s="183">
        <f>IF($B$3&lt;$E242,"",$L242-$J242)</f>
        <v/>
      </c>
      <c r="N242" s="183">
        <f>IF($B$3&lt;$C242,"FUTURA",IF($B$3&lt;=$D242,"EM ANDAMENTO",IF($B$3&lt;$E242,"AGUARDANDO CORTE",IF($M242&gt;=0,"META ATINGIDA","GAP A RECUPERAR"))))</f>
        <v/>
      </c>
      <c r="O242" s="184" t="n"/>
      <c r="P242" s="175" t="n"/>
    </row>
    <row r="243">
      <c r="A243" s="179" t="inlineStr">
        <is>
          <t>EJ</t>
        </is>
      </c>
      <c r="B243" s="179" t="inlineStr">
        <is>
          <t>IÇAMENTO JOIST</t>
        </is>
      </c>
      <c r="C243" s="192" t="n">
        <v>46398</v>
      </c>
      <c r="D243" s="192" t="n">
        <v>46402</v>
      </c>
      <c r="E243" s="192" t="n">
        <v>46403</v>
      </c>
      <c r="F243" s="193" t="n">
        <v>5</v>
      </c>
      <c r="G243" s="194" t="n">
        <v>5</v>
      </c>
      <c r="H243" s="183">
        <f>F243*G243</f>
        <v/>
      </c>
      <c r="I243" s="183" t="n">
        <v>0</v>
      </c>
      <c r="J243" s="183">
        <f>IFERROR(H243+I243,"")</f>
        <v/>
      </c>
      <c r="K243" s="183">
        <f>IFERROR(J243/G243,"")</f>
        <v/>
      </c>
      <c r="L243" s="183" t="n">
        <v>0</v>
      </c>
      <c r="M243" s="183">
        <f>IF($B$3&lt;$E243,"",$L243-$J243)</f>
        <v/>
      </c>
      <c r="N243" s="183">
        <f>IF($B$3&lt;$C243,"FUTURA",IF($B$3&lt;=$D243,"EM ANDAMENTO",IF($B$3&lt;$E243,"AGUARDANDO CORTE",IF($M243&gt;=0,"META ATINGIDA","GAP A RECUPERAR"))))</f>
        <v/>
      </c>
      <c r="O243" s="184" t="n"/>
      <c r="P243" s="175" t="n"/>
    </row>
    <row r="244">
      <c r="A244" s="179" t="inlineStr">
        <is>
          <t>EJ</t>
        </is>
      </c>
      <c r="B244" s="179" t="inlineStr">
        <is>
          <t>VIGAS</t>
        </is>
      </c>
      <c r="C244" s="192" t="n">
        <v>46398</v>
      </c>
      <c r="D244" s="192" t="n">
        <v>46402</v>
      </c>
      <c r="E244" s="192" t="n">
        <v>46403</v>
      </c>
      <c r="F244" s="193" t="n">
        <v>2</v>
      </c>
      <c r="G244" s="194" t="n">
        <v>5</v>
      </c>
      <c r="H244" s="183">
        <f>F244*G244</f>
        <v/>
      </c>
      <c r="I244" s="183" t="n">
        <v>0</v>
      </c>
      <c r="J244" s="183">
        <f>IFERROR(H244+I244,"")</f>
        <v/>
      </c>
      <c r="K244" s="183">
        <f>IFERROR(J244/G244,"")</f>
        <v/>
      </c>
      <c r="L244" s="183" t="n">
        <v>0</v>
      </c>
      <c r="M244" s="183">
        <f>IF($B$3&lt;$E244,"",$L244-$J244)</f>
        <v/>
      </c>
      <c r="N244" s="183">
        <f>IF($B$3&lt;$C244,"FUTURA",IF($B$3&lt;=$D244,"EM ANDAMENTO",IF($B$3&lt;$E244,"AGUARDANDO CORTE",IF($M244&gt;=0,"META ATINGIDA","GAP A RECUPERAR"))))</f>
        <v/>
      </c>
      <c r="O244" s="184" t="n"/>
      <c r="P244" s="175" t="n"/>
    </row>
    <row r="245">
      <c r="A245" s="179" t="inlineStr">
        <is>
          <t>CMM</t>
        </is>
      </c>
      <c r="B245" s="179" t="inlineStr">
        <is>
          <t>PREMONTAGEM</t>
        </is>
      </c>
      <c r="C245" s="192" t="n">
        <v>46398</v>
      </c>
      <c r="D245" s="192" t="n">
        <v>46402</v>
      </c>
      <c r="E245" s="192" t="n">
        <v>46403</v>
      </c>
      <c r="F245" s="193" t="n">
        <v>6</v>
      </c>
      <c r="G245" s="194" t="n">
        <v>5</v>
      </c>
      <c r="H245" s="183">
        <f>F245*G245</f>
        <v/>
      </c>
      <c r="I245" s="183" t="n">
        <v>0</v>
      </c>
      <c r="J245" s="183">
        <f>IFERROR(H245+I245,"")</f>
        <v/>
      </c>
      <c r="K245" s="183">
        <f>IFERROR(J245/G245,"")</f>
        <v/>
      </c>
      <c r="L245" s="183" t="n">
        <v>0</v>
      </c>
      <c r="M245" s="183">
        <f>IF($B$3&lt;$E245,"",$L245-$J245)</f>
        <v/>
      </c>
      <c r="N245" s="183">
        <f>IF($B$3&lt;$C245,"FUTURA",IF($B$3&lt;=$D245,"EM ANDAMENTO",IF($B$3&lt;$E245,"AGUARDANDO CORTE",IF($M245&gt;=0,"META ATINGIDA","GAP A RECUPERAR"))))</f>
        <v/>
      </c>
      <c r="O245" s="184" t="n"/>
      <c r="P245" s="175" t="n"/>
    </row>
    <row r="246">
      <c r="A246" s="179" t="inlineStr">
        <is>
          <t>CMM</t>
        </is>
      </c>
      <c r="B246" s="179" t="inlineStr">
        <is>
          <t>IÇAMENTO JOIST</t>
        </is>
      </c>
      <c r="C246" s="192" t="n">
        <v>46398</v>
      </c>
      <c r="D246" s="192" t="n">
        <v>46402</v>
      </c>
      <c r="E246" s="192" t="n">
        <v>46403</v>
      </c>
      <c r="F246" s="193" t="n">
        <v>5</v>
      </c>
      <c r="G246" s="194" t="n">
        <v>5</v>
      </c>
      <c r="H246" s="183">
        <f>F246*G246</f>
        <v/>
      </c>
      <c r="I246" s="183" t="n">
        <v>0</v>
      </c>
      <c r="J246" s="183">
        <f>IFERROR(H246+I246,"")</f>
        <v/>
      </c>
      <c r="K246" s="183">
        <f>IFERROR(J246/G246,"")</f>
        <v/>
      </c>
      <c r="L246" s="183" t="n">
        <v>0</v>
      </c>
      <c r="M246" s="183">
        <f>IF($B$3&lt;$E246,"",$L246-$J246)</f>
        <v/>
      </c>
      <c r="N246" s="183">
        <f>IF($B$3&lt;$C246,"FUTURA",IF($B$3&lt;=$D246,"EM ANDAMENTO",IF($B$3&lt;$E246,"AGUARDANDO CORTE",IF($M246&gt;=0,"META ATINGIDA","GAP A RECUPERAR"))))</f>
        <v/>
      </c>
      <c r="O246" s="184" t="n"/>
      <c r="P246" s="175" t="n"/>
    </row>
    <row r="247">
      <c r="A247" s="179" t="inlineStr">
        <is>
          <t>CMM</t>
        </is>
      </c>
      <c r="B247" s="179" t="inlineStr">
        <is>
          <t>VIGAS</t>
        </is>
      </c>
      <c r="C247" s="192" t="n">
        <v>46398</v>
      </c>
      <c r="D247" s="192" t="n">
        <v>46402</v>
      </c>
      <c r="E247" s="192" t="n">
        <v>46403</v>
      </c>
      <c r="F247" s="193" t="n">
        <v>2</v>
      </c>
      <c r="G247" s="194" t="n">
        <v>5</v>
      </c>
      <c r="H247" s="183">
        <f>F247*G247</f>
        <v/>
      </c>
      <c r="I247" s="183" t="n">
        <v>0</v>
      </c>
      <c r="J247" s="183">
        <f>IFERROR(H247+I247,"")</f>
        <v/>
      </c>
      <c r="K247" s="183">
        <f>IFERROR(J247/G247,"")</f>
        <v/>
      </c>
      <c r="L247" s="183" t="n">
        <v>0</v>
      </c>
      <c r="M247" s="183">
        <f>IF($B$3&lt;$E247,"",$L247-$J247)</f>
        <v/>
      </c>
      <c r="N247" s="183">
        <f>IF($B$3&lt;$C247,"FUTURA",IF($B$3&lt;=$D247,"EM ANDAMENTO",IF($B$3&lt;$E247,"AGUARDANDO CORTE",IF($M247&gt;=0,"META ATINGIDA","GAP A RECUPERAR"))))</f>
        <v/>
      </c>
      <c r="O247" s="184" t="n"/>
      <c r="P247" s="175" t="n"/>
    </row>
    <row r="248">
      <c r="A248" s="179" t="inlineStr">
        <is>
          <t>GLOBO AÇOS</t>
        </is>
      </c>
      <c r="B248" s="179" t="inlineStr">
        <is>
          <t>PERFILAÇÃO</t>
        </is>
      </c>
      <c r="C248" s="192" t="n">
        <v>46398</v>
      </c>
      <c r="D248" s="192" t="n">
        <v>46402</v>
      </c>
      <c r="E248" s="192" t="n">
        <v>46403</v>
      </c>
      <c r="F248" s="193" t="n">
        <v>19</v>
      </c>
      <c r="G248" s="194" t="n">
        <v>5</v>
      </c>
      <c r="H248" s="183">
        <f>F248*G248</f>
        <v/>
      </c>
      <c r="I248" s="183" t="n">
        <v>0</v>
      </c>
      <c r="J248" s="183">
        <f>IFERROR(H248+I248,"")</f>
        <v/>
      </c>
      <c r="K248" s="183">
        <f>IFERROR(J248/G248,"")</f>
        <v/>
      </c>
      <c r="L248" s="183">
        <f>IFERROR(SUM(INDEX('CONTROLE PRODUÇÃO POR EMPRESAS'!$H$6:$H$5000,MATCH(C248,'CONTROLE PRODUÇÃO POR EMPRESAS'!$A$6:$A$5000,0)):INDEX('CONTROLE PRODUÇÃO POR EMPRESAS'!$H$6:$H$5000,MATCH(D248,'CONTROLE PRODUÇÃO POR EMPRESAS'!$A$6:$A$5000,0))),0)</f>
        <v/>
      </c>
      <c r="M248" s="183">
        <f>IF($B$3&lt;$E248,"",$L248-$J248)</f>
        <v/>
      </c>
      <c r="N248" s="183">
        <f>IF($B$3&lt;$C248,"FUTURA",IF($B$3&lt;=$D248,"EM ANDAMENTO",IF($B$3&lt;$E248,"AGUARDANDO CORTE",IF($M248&gt;=0,"META ATINGIDA","GAP A RECUPERAR"))))</f>
        <v/>
      </c>
      <c r="O248" s="184" t="n"/>
      <c r="P248" s="175" t="n"/>
    </row>
    <row r="249">
      <c r="A249" s="179" t="inlineStr">
        <is>
          <t>GLOBO AÇOS</t>
        </is>
      </c>
      <c r="B249" s="179" t="inlineStr">
        <is>
          <t>TELHAR</t>
        </is>
      </c>
      <c r="C249" s="192" t="n">
        <v>46398</v>
      </c>
      <c r="D249" s="192" t="n">
        <v>46402</v>
      </c>
      <c r="E249" s="192" t="n">
        <v>46403</v>
      </c>
      <c r="F249" s="193" t="n">
        <v>7</v>
      </c>
      <c r="G249" s="194" t="n">
        <v>5</v>
      </c>
      <c r="H249" s="183">
        <f>F249*G249</f>
        <v/>
      </c>
      <c r="I249" s="183" t="n">
        <v>0</v>
      </c>
      <c r="J249" s="183">
        <f>IFERROR(H249+I249,"")</f>
        <v/>
      </c>
      <c r="K249" s="183">
        <f>IFERROR(J249/G249,"")</f>
        <v/>
      </c>
      <c r="L249" s="183">
        <f>IFERROR(SUM(INDEX('CONTROLE PRODUÇÃO POR EMPRESAS'!$I$6:$I$5000,MATCH(C249,'CONTROLE PRODUÇÃO POR EMPRESAS'!$A$6:$A$5000,0)):INDEX('CONTROLE PRODUÇÃO POR EMPRESAS'!$I$6:$I$5000,MATCH(D249,'CONTROLE PRODUÇÃO POR EMPRESAS'!$A$6:$A$5000,0))),0)</f>
        <v/>
      </c>
      <c r="M249" s="183">
        <f>IF($B$3&lt;$E249,"",$L249-$J249)</f>
        <v/>
      </c>
      <c r="N249" s="183">
        <f>IF($B$3&lt;$C249,"FUTURA",IF($B$3&lt;=$D249,"EM ANDAMENTO",IF($B$3&lt;$E249,"AGUARDANDO CORTE",IF($M249&gt;=0,"META ATINGIDA","GAP A RECUPERAR"))))</f>
        <v/>
      </c>
      <c r="O249" s="184" t="n"/>
      <c r="P249" s="175" t="n"/>
    </row>
    <row r="250">
      <c r="A250" s="179" t="inlineStr">
        <is>
          <t>GLOBO AÇOS</t>
        </is>
      </c>
      <c r="B250" s="179" t="inlineStr">
        <is>
          <t>FECHAMENTO</t>
        </is>
      </c>
      <c r="C250" s="192" t="n">
        <v>46398</v>
      </c>
      <c r="D250" s="192" t="n">
        <v>46402</v>
      </c>
      <c r="E250" s="192" t="n">
        <v>46403</v>
      </c>
      <c r="F250" s="193" t="n">
        <v>36</v>
      </c>
      <c r="G250" s="194" t="n">
        <v>5</v>
      </c>
      <c r="H250" s="183">
        <f>F250*G250</f>
        <v/>
      </c>
      <c r="I250" s="183" t="n">
        <v>0</v>
      </c>
      <c r="J250" s="183">
        <f>IFERROR(H250+I250,"")</f>
        <v/>
      </c>
      <c r="K250" s="183">
        <f>IFERROR(J250/G250,"")</f>
        <v/>
      </c>
      <c r="L250" s="183">
        <f>IFERROR(SUM(INDEX('CONTROLE PRODUÇÃO POR EMPRESAS'!$J$6:$J$5000,MATCH(C250,'CONTROLE PRODUÇÃO POR EMPRESAS'!$A$6:$A$5000,0)):INDEX('CONTROLE PRODUÇÃO POR EMPRESAS'!$J$6:$J$5000,MATCH(D250,'CONTROLE PRODUÇÃO POR EMPRESAS'!$A$6:$A$5000,0))),0)</f>
        <v/>
      </c>
      <c r="M250" s="183">
        <f>IF($B$3&lt;$E250,"",$L250-$J250)</f>
        <v/>
      </c>
      <c r="N250" s="183">
        <f>IF($B$3&lt;$C250,"FUTURA",IF($B$3&lt;=$D250,"EM ANDAMENTO",IF($B$3&lt;$E250,"AGUARDANDO CORTE",IF($M250&gt;=0,"META ATINGIDA","GAP A RECUPERAR"))))</f>
        <v/>
      </c>
      <c r="O250" s="184" t="n"/>
      <c r="P250" s="175" t="n"/>
    </row>
    <row r="251">
      <c r="A251" s="179" t="inlineStr">
        <is>
          <t>EJ</t>
        </is>
      </c>
      <c r="B251" s="179" t="inlineStr">
        <is>
          <t>PREMONTAGEM</t>
        </is>
      </c>
      <c r="C251" s="192" t="n">
        <v>46405</v>
      </c>
      <c r="D251" s="192" t="n">
        <v>46409</v>
      </c>
      <c r="E251" s="192" t="n">
        <v>46410</v>
      </c>
      <c r="F251" s="193" t="n">
        <v>6</v>
      </c>
      <c r="G251" s="194" t="n">
        <v>5</v>
      </c>
      <c r="H251" s="183">
        <f>F251*G251</f>
        <v/>
      </c>
      <c r="I251" s="183" t="n">
        <v>0</v>
      </c>
      <c r="J251" s="183">
        <f>IFERROR(H251+I251,"")</f>
        <v/>
      </c>
      <c r="K251" s="183">
        <f>IFERROR(J251/G251,"")</f>
        <v/>
      </c>
      <c r="L251" s="183" t="n">
        <v>0</v>
      </c>
      <c r="M251" s="183">
        <f>IF($B$3&lt;$E251,"",$L251-$J251)</f>
        <v/>
      </c>
      <c r="N251" s="183">
        <f>IF($B$3&lt;$C251,"FUTURA",IF($B$3&lt;=$D251,"EM ANDAMENTO",IF($B$3&lt;$E251,"AGUARDANDO CORTE",IF($M251&gt;=0,"META ATINGIDA","GAP A RECUPERAR"))))</f>
        <v/>
      </c>
      <c r="O251" s="184" t="n"/>
      <c r="P251" s="175" t="n"/>
    </row>
    <row r="252">
      <c r="A252" s="179" t="inlineStr">
        <is>
          <t>EJ</t>
        </is>
      </c>
      <c r="B252" s="179" t="inlineStr">
        <is>
          <t>IÇAMENTO JOIST</t>
        </is>
      </c>
      <c r="C252" s="192" t="n">
        <v>46405</v>
      </c>
      <c r="D252" s="192" t="n">
        <v>46409</v>
      </c>
      <c r="E252" s="192" t="n">
        <v>46410</v>
      </c>
      <c r="F252" s="193" t="n">
        <v>5</v>
      </c>
      <c r="G252" s="194" t="n">
        <v>5</v>
      </c>
      <c r="H252" s="183">
        <f>F252*G252</f>
        <v/>
      </c>
      <c r="I252" s="183" t="n">
        <v>0</v>
      </c>
      <c r="J252" s="183">
        <f>IFERROR(H252+I252,"")</f>
        <v/>
      </c>
      <c r="K252" s="183">
        <f>IFERROR(J252/G252,"")</f>
        <v/>
      </c>
      <c r="L252" s="183" t="n">
        <v>0</v>
      </c>
      <c r="M252" s="183">
        <f>IF($B$3&lt;$E252,"",$L252-$J252)</f>
        <v/>
      </c>
      <c r="N252" s="183">
        <f>IF($B$3&lt;$C252,"FUTURA",IF($B$3&lt;=$D252,"EM ANDAMENTO",IF($B$3&lt;$E252,"AGUARDANDO CORTE",IF($M252&gt;=0,"META ATINGIDA","GAP A RECUPERAR"))))</f>
        <v/>
      </c>
      <c r="O252" s="184" t="n"/>
      <c r="P252" s="175" t="n"/>
    </row>
    <row r="253">
      <c r="A253" s="179" t="inlineStr">
        <is>
          <t>EJ</t>
        </is>
      </c>
      <c r="B253" s="179" t="inlineStr">
        <is>
          <t>VIGAS</t>
        </is>
      </c>
      <c r="C253" s="192" t="n">
        <v>46405</v>
      </c>
      <c r="D253" s="192" t="n">
        <v>46409</v>
      </c>
      <c r="E253" s="192" t="n">
        <v>46410</v>
      </c>
      <c r="F253" s="193" t="n">
        <v>2</v>
      </c>
      <c r="G253" s="194" t="n">
        <v>5</v>
      </c>
      <c r="H253" s="183">
        <f>F253*G253</f>
        <v/>
      </c>
      <c r="I253" s="183" t="n">
        <v>0</v>
      </c>
      <c r="J253" s="183">
        <f>IFERROR(H253+I253,"")</f>
        <v/>
      </c>
      <c r="K253" s="183">
        <f>IFERROR(J253/G253,"")</f>
        <v/>
      </c>
      <c r="L253" s="183" t="n">
        <v>0</v>
      </c>
      <c r="M253" s="183">
        <f>IF($B$3&lt;$E253,"",$L253-$J253)</f>
        <v/>
      </c>
      <c r="N253" s="183">
        <f>IF($B$3&lt;$C253,"FUTURA",IF($B$3&lt;=$D253,"EM ANDAMENTO",IF($B$3&lt;$E253,"AGUARDANDO CORTE",IF($M253&gt;=0,"META ATINGIDA","GAP A RECUPERAR"))))</f>
        <v/>
      </c>
      <c r="O253" s="184" t="n"/>
      <c r="P253" s="175" t="n"/>
    </row>
    <row r="254">
      <c r="A254" s="179" t="inlineStr">
        <is>
          <t>CMM</t>
        </is>
      </c>
      <c r="B254" s="179" t="inlineStr">
        <is>
          <t>PREMONTAGEM</t>
        </is>
      </c>
      <c r="C254" s="192" t="n">
        <v>46405</v>
      </c>
      <c r="D254" s="192" t="n">
        <v>46409</v>
      </c>
      <c r="E254" s="192" t="n">
        <v>46410</v>
      </c>
      <c r="F254" s="193" t="n">
        <v>6</v>
      </c>
      <c r="G254" s="194" t="n">
        <v>5</v>
      </c>
      <c r="H254" s="183">
        <f>F254*G254</f>
        <v/>
      </c>
      <c r="I254" s="183" t="n">
        <v>0</v>
      </c>
      <c r="J254" s="183">
        <f>IFERROR(H254+I254,"")</f>
        <v/>
      </c>
      <c r="K254" s="183">
        <f>IFERROR(J254/G254,"")</f>
        <v/>
      </c>
      <c r="L254" s="183" t="n">
        <v>0</v>
      </c>
      <c r="M254" s="183">
        <f>IF($B$3&lt;$E254,"",$L254-$J254)</f>
        <v/>
      </c>
      <c r="N254" s="183">
        <f>IF($B$3&lt;$C254,"FUTURA",IF($B$3&lt;=$D254,"EM ANDAMENTO",IF($B$3&lt;$E254,"AGUARDANDO CORTE",IF($M254&gt;=0,"META ATINGIDA","GAP A RECUPERAR"))))</f>
        <v/>
      </c>
      <c r="O254" s="184" t="n"/>
      <c r="P254" s="175" t="n"/>
    </row>
    <row r="255">
      <c r="A255" s="179" t="inlineStr">
        <is>
          <t>CMM</t>
        </is>
      </c>
      <c r="B255" s="179" t="inlineStr">
        <is>
          <t>IÇAMENTO JOIST</t>
        </is>
      </c>
      <c r="C255" s="192" t="n">
        <v>46405</v>
      </c>
      <c r="D255" s="192" t="n">
        <v>46409</v>
      </c>
      <c r="E255" s="192" t="n">
        <v>46410</v>
      </c>
      <c r="F255" s="193" t="n">
        <v>5</v>
      </c>
      <c r="G255" s="194" t="n">
        <v>5</v>
      </c>
      <c r="H255" s="183">
        <f>F255*G255</f>
        <v/>
      </c>
      <c r="I255" s="183" t="n">
        <v>0</v>
      </c>
      <c r="J255" s="183">
        <f>IFERROR(H255+I255,"")</f>
        <v/>
      </c>
      <c r="K255" s="183">
        <f>IFERROR(J255/G255,"")</f>
        <v/>
      </c>
      <c r="L255" s="183" t="n">
        <v>0</v>
      </c>
      <c r="M255" s="183">
        <f>IF($B$3&lt;$E255,"",$L255-$J255)</f>
        <v/>
      </c>
      <c r="N255" s="183">
        <f>IF($B$3&lt;$C255,"FUTURA",IF($B$3&lt;=$D255,"EM ANDAMENTO",IF($B$3&lt;$E255,"AGUARDANDO CORTE",IF($M255&gt;=0,"META ATINGIDA","GAP A RECUPERAR"))))</f>
        <v/>
      </c>
      <c r="O255" s="184" t="n"/>
      <c r="P255" s="175" t="n"/>
    </row>
    <row r="256">
      <c r="A256" s="179" t="inlineStr">
        <is>
          <t>CMM</t>
        </is>
      </c>
      <c r="B256" s="179" t="inlineStr">
        <is>
          <t>VIGAS</t>
        </is>
      </c>
      <c r="C256" s="192" t="n">
        <v>46405</v>
      </c>
      <c r="D256" s="192" t="n">
        <v>46409</v>
      </c>
      <c r="E256" s="192" t="n">
        <v>46410</v>
      </c>
      <c r="F256" s="193" t="n">
        <v>2</v>
      </c>
      <c r="G256" s="194" t="n">
        <v>5</v>
      </c>
      <c r="H256" s="183">
        <f>F256*G256</f>
        <v/>
      </c>
      <c r="I256" s="183" t="n">
        <v>0</v>
      </c>
      <c r="J256" s="183">
        <f>IFERROR(H256+I256,"")</f>
        <v/>
      </c>
      <c r="K256" s="183">
        <f>IFERROR(J256/G256,"")</f>
        <v/>
      </c>
      <c r="L256" s="183" t="n">
        <v>0</v>
      </c>
      <c r="M256" s="183">
        <f>IF($B$3&lt;$E256,"",$L256-$J256)</f>
        <v/>
      </c>
      <c r="N256" s="183">
        <f>IF($B$3&lt;$C256,"FUTURA",IF($B$3&lt;=$D256,"EM ANDAMENTO",IF($B$3&lt;$E256,"AGUARDANDO CORTE",IF($M256&gt;=0,"META ATINGIDA","GAP A RECUPERAR"))))</f>
        <v/>
      </c>
      <c r="O256" s="184" t="n"/>
      <c r="P256" s="175" t="n"/>
    </row>
    <row r="257">
      <c r="A257" s="179" t="inlineStr">
        <is>
          <t>GLOBO AÇOS</t>
        </is>
      </c>
      <c r="B257" s="179" t="inlineStr">
        <is>
          <t>PERFILAÇÃO</t>
        </is>
      </c>
      <c r="C257" s="192" t="n">
        <v>46405</v>
      </c>
      <c r="D257" s="192" t="n">
        <v>46409</v>
      </c>
      <c r="E257" s="192" t="n">
        <v>46410</v>
      </c>
      <c r="F257" s="193" t="n">
        <v>19</v>
      </c>
      <c r="G257" s="194" t="n">
        <v>5</v>
      </c>
      <c r="H257" s="183">
        <f>F257*G257</f>
        <v/>
      </c>
      <c r="I257" s="183" t="n">
        <v>0</v>
      </c>
      <c r="J257" s="183">
        <f>IFERROR(H257+I257,"")</f>
        <v/>
      </c>
      <c r="K257" s="183">
        <f>IFERROR(J257/G257,"")</f>
        <v/>
      </c>
      <c r="L257" s="183">
        <f>IFERROR(SUM(INDEX('CONTROLE PRODUÇÃO POR EMPRESAS'!$H$6:$H$5000,MATCH(C257,'CONTROLE PRODUÇÃO POR EMPRESAS'!$A$6:$A$5000,0)):INDEX('CONTROLE PRODUÇÃO POR EMPRESAS'!$H$6:$H$5000,MATCH(D257,'CONTROLE PRODUÇÃO POR EMPRESAS'!$A$6:$A$5000,0))),0)</f>
        <v/>
      </c>
      <c r="M257" s="183">
        <f>IF($B$3&lt;$E257,"",$L257-$J257)</f>
        <v/>
      </c>
      <c r="N257" s="183">
        <f>IF($B$3&lt;$C257,"FUTURA",IF($B$3&lt;=$D257,"EM ANDAMENTO",IF($B$3&lt;$E257,"AGUARDANDO CORTE",IF($M257&gt;=0,"META ATINGIDA","GAP A RECUPERAR"))))</f>
        <v/>
      </c>
      <c r="O257" s="184" t="n"/>
      <c r="P257" s="175" t="n"/>
    </row>
    <row r="258">
      <c r="A258" s="179" t="inlineStr">
        <is>
          <t>GLOBO AÇOS</t>
        </is>
      </c>
      <c r="B258" s="179" t="inlineStr">
        <is>
          <t>TELHAR</t>
        </is>
      </c>
      <c r="C258" s="192" t="n">
        <v>46405</v>
      </c>
      <c r="D258" s="192" t="n">
        <v>46409</v>
      </c>
      <c r="E258" s="192" t="n">
        <v>46410</v>
      </c>
      <c r="F258" s="193" t="n">
        <v>7</v>
      </c>
      <c r="G258" s="194" t="n">
        <v>5</v>
      </c>
      <c r="H258" s="183">
        <f>F258*G258</f>
        <v/>
      </c>
      <c r="I258" s="183" t="n">
        <v>0</v>
      </c>
      <c r="J258" s="183">
        <f>IFERROR(H258+I258,"")</f>
        <v/>
      </c>
      <c r="K258" s="183">
        <f>IFERROR(J258/G258,"")</f>
        <v/>
      </c>
      <c r="L258" s="183">
        <f>IFERROR(SUM(INDEX('CONTROLE PRODUÇÃO POR EMPRESAS'!$I$6:$I$5000,MATCH(C258,'CONTROLE PRODUÇÃO POR EMPRESAS'!$A$6:$A$5000,0)):INDEX('CONTROLE PRODUÇÃO POR EMPRESAS'!$I$6:$I$5000,MATCH(D258,'CONTROLE PRODUÇÃO POR EMPRESAS'!$A$6:$A$5000,0))),0)</f>
        <v/>
      </c>
      <c r="M258" s="183">
        <f>IF($B$3&lt;$E258,"",$L258-$J258)</f>
        <v/>
      </c>
      <c r="N258" s="183">
        <f>IF($B$3&lt;$C258,"FUTURA",IF($B$3&lt;=$D258,"EM ANDAMENTO",IF($B$3&lt;$E258,"AGUARDANDO CORTE",IF($M258&gt;=0,"META ATINGIDA","GAP A RECUPERAR"))))</f>
        <v/>
      </c>
      <c r="O258" s="184" t="n"/>
      <c r="P258" s="175" t="n"/>
    </row>
    <row r="259">
      <c r="A259" s="179" t="inlineStr">
        <is>
          <t>GLOBO AÇOS</t>
        </is>
      </c>
      <c r="B259" s="179" t="inlineStr">
        <is>
          <t>FECHAMENTO</t>
        </is>
      </c>
      <c r="C259" s="192" t="n">
        <v>46405</v>
      </c>
      <c r="D259" s="192" t="n">
        <v>46409</v>
      </c>
      <c r="E259" s="192" t="n">
        <v>46410</v>
      </c>
      <c r="F259" s="193" t="n">
        <v>36</v>
      </c>
      <c r="G259" s="194" t="n">
        <v>5</v>
      </c>
      <c r="H259" s="183">
        <f>F259*G259</f>
        <v/>
      </c>
      <c r="I259" s="183" t="n">
        <v>0</v>
      </c>
      <c r="J259" s="183">
        <f>IFERROR(H259+I259,"")</f>
        <v/>
      </c>
      <c r="K259" s="183">
        <f>IFERROR(J259/G259,"")</f>
        <v/>
      </c>
      <c r="L259" s="183">
        <f>IFERROR(SUM(INDEX('CONTROLE PRODUÇÃO POR EMPRESAS'!$J$6:$J$5000,MATCH(C259,'CONTROLE PRODUÇÃO POR EMPRESAS'!$A$6:$A$5000,0)):INDEX('CONTROLE PRODUÇÃO POR EMPRESAS'!$J$6:$J$5000,MATCH(D259,'CONTROLE PRODUÇÃO POR EMPRESAS'!$A$6:$A$5000,0))),0)</f>
        <v/>
      </c>
      <c r="M259" s="183">
        <f>IF($B$3&lt;$E259,"",$L259-$J259)</f>
        <v/>
      </c>
      <c r="N259" s="183">
        <f>IF($B$3&lt;$C259,"FUTURA",IF($B$3&lt;=$D259,"EM ANDAMENTO",IF($B$3&lt;$E259,"AGUARDANDO CORTE",IF($M259&gt;=0,"META ATINGIDA","GAP A RECUPERAR"))))</f>
        <v/>
      </c>
      <c r="O259" s="184" t="n"/>
      <c r="P259" s="175" t="n"/>
    </row>
    <row r="260">
      <c r="A260" s="179" t="inlineStr">
        <is>
          <t>EJ</t>
        </is>
      </c>
      <c r="B260" s="179" t="inlineStr">
        <is>
          <t>PREMONTAGEM</t>
        </is>
      </c>
      <c r="C260" s="192" t="n">
        <v>46412</v>
      </c>
      <c r="D260" s="192" t="n">
        <v>46416</v>
      </c>
      <c r="E260" s="192" t="n">
        <v>46417</v>
      </c>
      <c r="F260" s="193" t="n">
        <v>6</v>
      </c>
      <c r="G260" s="194" t="n">
        <v>5</v>
      </c>
      <c r="H260" s="183">
        <f>F260*G260</f>
        <v/>
      </c>
      <c r="I260" s="183" t="n">
        <v>0</v>
      </c>
      <c r="J260" s="183">
        <f>IFERROR(H260+I260,"")</f>
        <v/>
      </c>
      <c r="K260" s="183">
        <f>IFERROR(J260/G260,"")</f>
        <v/>
      </c>
      <c r="L260" s="183" t="n">
        <v>0</v>
      </c>
      <c r="M260" s="183">
        <f>IF($B$3&lt;$E260,"",$L260-$J260)</f>
        <v/>
      </c>
      <c r="N260" s="183">
        <f>IF($B$3&lt;$C260,"FUTURA",IF($B$3&lt;=$D260,"EM ANDAMENTO",IF($B$3&lt;$E260,"AGUARDANDO CORTE",IF($M260&gt;=0,"META ATINGIDA","GAP A RECUPERAR"))))</f>
        <v/>
      </c>
      <c r="O260" s="184" t="n"/>
      <c r="P260" s="175" t="n"/>
    </row>
    <row r="261">
      <c r="A261" s="179" t="inlineStr">
        <is>
          <t>EJ</t>
        </is>
      </c>
      <c r="B261" s="179" t="inlineStr">
        <is>
          <t>IÇAMENTO JOIST</t>
        </is>
      </c>
      <c r="C261" s="192" t="n">
        <v>46412</v>
      </c>
      <c r="D261" s="192" t="n">
        <v>46416</v>
      </c>
      <c r="E261" s="192" t="n">
        <v>46417</v>
      </c>
      <c r="F261" s="193" t="n">
        <v>5</v>
      </c>
      <c r="G261" s="194" t="n">
        <v>5</v>
      </c>
      <c r="H261" s="183">
        <f>F261*G261</f>
        <v/>
      </c>
      <c r="I261" s="183" t="n">
        <v>0</v>
      </c>
      <c r="J261" s="183">
        <f>IFERROR(H261+I261,"")</f>
        <v/>
      </c>
      <c r="K261" s="183">
        <f>IFERROR(J261/G261,"")</f>
        <v/>
      </c>
      <c r="L261" s="183" t="n">
        <v>0</v>
      </c>
      <c r="M261" s="183">
        <f>IF($B$3&lt;$E261,"",$L261-$J261)</f>
        <v/>
      </c>
      <c r="N261" s="183">
        <f>IF($B$3&lt;$C261,"FUTURA",IF($B$3&lt;=$D261,"EM ANDAMENTO",IF($B$3&lt;$E261,"AGUARDANDO CORTE",IF($M261&gt;=0,"META ATINGIDA","GAP A RECUPERAR"))))</f>
        <v/>
      </c>
      <c r="O261" s="184" t="n"/>
      <c r="P261" s="175" t="n"/>
    </row>
    <row r="262">
      <c r="A262" s="179" t="inlineStr">
        <is>
          <t>EJ</t>
        </is>
      </c>
      <c r="B262" s="179" t="inlineStr">
        <is>
          <t>VIGAS</t>
        </is>
      </c>
      <c r="C262" s="192" t="n">
        <v>46412</v>
      </c>
      <c r="D262" s="192" t="n">
        <v>46416</v>
      </c>
      <c r="E262" s="192" t="n">
        <v>46417</v>
      </c>
      <c r="F262" s="193" t="n">
        <v>2</v>
      </c>
      <c r="G262" s="194" t="n">
        <v>5</v>
      </c>
      <c r="H262" s="183">
        <f>F262*G262</f>
        <v/>
      </c>
      <c r="I262" s="183" t="n">
        <v>0</v>
      </c>
      <c r="J262" s="183">
        <f>IFERROR(H262+I262,"")</f>
        <v/>
      </c>
      <c r="K262" s="183">
        <f>IFERROR(J262/G262,"")</f>
        <v/>
      </c>
      <c r="L262" s="183" t="n">
        <v>0</v>
      </c>
      <c r="M262" s="183">
        <f>IF($B$3&lt;$E262,"",$L262-$J262)</f>
        <v/>
      </c>
      <c r="N262" s="183">
        <f>IF($B$3&lt;$C262,"FUTURA",IF($B$3&lt;=$D262,"EM ANDAMENTO",IF($B$3&lt;$E262,"AGUARDANDO CORTE",IF($M262&gt;=0,"META ATINGIDA","GAP A RECUPERAR"))))</f>
        <v/>
      </c>
      <c r="O262" s="184" t="n"/>
      <c r="P262" s="175" t="n"/>
    </row>
    <row r="263">
      <c r="A263" s="179" t="inlineStr">
        <is>
          <t>CMM</t>
        </is>
      </c>
      <c r="B263" s="179" t="inlineStr">
        <is>
          <t>PREMONTAGEM</t>
        </is>
      </c>
      <c r="C263" s="192" t="n">
        <v>46412</v>
      </c>
      <c r="D263" s="192" t="n">
        <v>46416</v>
      </c>
      <c r="E263" s="192" t="n">
        <v>46417</v>
      </c>
      <c r="F263" s="193" t="n">
        <v>6</v>
      </c>
      <c r="G263" s="194" t="n">
        <v>5</v>
      </c>
      <c r="H263" s="183">
        <f>F263*G263</f>
        <v/>
      </c>
      <c r="I263" s="183" t="n">
        <v>0</v>
      </c>
      <c r="J263" s="183">
        <f>IFERROR(H263+I263,"")</f>
        <v/>
      </c>
      <c r="K263" s="183">
        <f>IFERROR(J263/G263,"")</f>
        <v/>
      </c>
      <c r="L263" s="183" t="n">
        <v>0</v>
      </c>
      <c r="M263" s="183">
        <f>IF($B$3&lt;$E263,"",$L263-$J263)</f>
        <v/>
      </c>
      <c r="N263" s="183">
        <f>IF($B$3&lt;$C263,"FUTURA",IF($B$3&lt;=$D263,"EM ANDAMENTO",IF($B$3&lt;$E263,"AGUARDANDO CORTE",IF($M263&gt;=0,"META ATINGIDA","GAP A RECUPERAR"))))</f>
        <v/>
      </c>
      <c r="O263" s="184" t="n"/>
      <c r="P263" s="175" t="n"/>
    </row>
    <row r="264">
      <c r="A264" s="179" t="inlineStr">
        <is>
          <t>CMM</t>
        </is>
      </c>
      <c r="B264" s="179" t="inlineStr">
        <is>
          <t>IÇAMENTO JOIST</t>
        </is>
      </c>
      <c r="C264" s="192" t="n">
        <v>46412</v>
      </c>
      <c r="D264" s="192" t="n">
        <v>46416</v>
      </c>
      <c r="E264" s="192" t="n">
        <v>46417</v>
      </c>
      <c r="F264" s="193" t="n">
        <v>5</v>
      </c>
      <c r="G264" s="194" t="n">
        <v>5</v>
      </c>
      <c r="H264" s="183">
        <f>F264*G264</f>
        <v/>
      </c>
      <c r="I264" s="183" t="n">
        <v>0</v>
      </c>
      <c r="J264" s="183">
        <f>IFERROR(H264+I264,"")</f>
        <v/>
      </c>
      <c r="K264" s="183">
        <f>IFERROR(J264/G264,"")</f>
        <v/>
      </c>
      <c r="L264" s="183" t="n">
        <v>0</v>
      </c>
      <c r="M264" s="183">
        <f>IF($B$3&lt;$E264,"",$L264-$J264)</f>
        <v/>
      </c>
      <c r="N264" s="183">
        <f>IF($B$3&lt;$C264,"FUTURA",IF($B$3&lt;=$D264,"EM ANDAMENTO",IF($B$3&lt;$E264,"AGUARDANDO CORTE",IF($M264&gt;=0,"META ATINGIDA","GAP A RECUPERAR"))))</f>
        <v/>
      </c>
      <c r="O264" s="184" t="n"/>
      <c r="P264" s="175" t="n"/>
    </row>
    <row r="265">
      <c r="A265" s="179" t="inlineStr">
        <is>
          <t>CMM</t>
        </is>
      </c>
      <c r="B265" s="179" t="inlineStr">
        <is>
          <t>VIGAS</t>
        </is>
      </c>
      <c r="C265" s="192" t="n">
        <v>46412</v>
      </c>
      <c r="D265" s="192" t="n">
        <v>46416</v>
      </c>
      <c r="E265" s="192" t="n">
        <v>46417</v>
      </c>
      <c r="F265" s="193" t="n">
        <v>2</v>
      </c>
      <c r="G265" s="194" t="n">
        <v>5</v>
      </c>
      <c r="H265" s="183">
        <f>F265*G265</f>
        <v/>
      </c>
      <c r="I265" s="183" t="n">
        <v>0</v>
      </c>
      <c r="J265" s="183">
        <f>IFERROR(H265+I265,"")</f>
        <v/>
      </c>
      <c r="K265" s="183">
        <f>IFERROR(J265/G265,"")</f>
        <v/>
      </c>
      <c r="L265" s="183" t="n">
        <v>0</v>
      </c>
      <c r="M265" s="183">
        <f>IF($B$3&lt;$E265,"",$L265-$J265)</f>
        <v/>
      </c>
      <c r="N265" s="183">
        <f>IF($B$3&lt;$C265,"FUTURA",IF($B$3&lt;=$D265,"EM ANDAMENTO",IF($B$3&lt;$E265,"AGUARDANDO CORTE",IF($M265&gt;=0,"META ATINGIDA","GAP A RECUPERAR"))))</f>
        <v/>
      </c>
      <c r="O265" s="184" t="n"/>
      <c r="P265" s="175" t="n"/>
    </row>
    <row r="266">
      <c r="A266" s="179" t="inlineStr">
        <is>
          <t>GLOBO AÇOS</t>
        </is>
      </c>
      <c r="B266" s="179" t="inlineStr">
        <is>
          <t>PERFILAÇÃO</t>
        </is>
      </c>
      <c r="C266" s="192" t="n">
        <v>46412</v>
      </c>
      <c r="D266" s="192" t="n">
        <v>46416</v>
      </c>
      <c r="E266" s="192" t="n">
        <v>46417</v>
      </c>
      <c r="F266" s="193" t="n">
        <v>19</v>
      </c>
      <c r="G266" s="194" t="n">
        <v>5</v>
      </c>
      <c r="H266" s="183">
        <f>F266*G266</f>
        <v/>
      </c>
      <c r="I266" s="183" t="n">
        <v>0</v>
      </c>
      <c r="J266" s="183">
        <f>IFERROR(H266+I266,"")</f>
        <v/>
      </c>
      <c r="K266" s="183">
        <f>IFERROR(J266/G266,"")</f>
        <v/>
      </c>
      <c r="L266" s="183">
        <f>IFERROR(SUM(INDEX('CONTROLE PRODUÇÃO POR EMPRESAS'!$H$6:$H$5000,MATCH(C266,'CONTROLE PRODUÇÃO POR EMPRESAS'!$A$6:$A$5000,0)):INDEX('CONTROLE PRODUÇÃO POR EMPRESAS'!$H$6:$H$5000,MATCH(D266,'CONTROLE PRODUÇÃO POR EMPRESAS'!$A$6:$A$5000,0))),0)</f>
        <v/>
      </c>
      <c r="M266" s="183">
        <f>IF($B$3&lt;$E266,"",$L266-$J266)</f>
        <v/>
      </c>
      <c r="N266" s="183">
        <f>IF($B$3&lt;$C266,"FUTURA",IF($B$3&lt;=$D266,"EM ANDAMENTO",IF($B$3&lt;$E266,"AGUARDANDO CORTE",IF($M266&gt;=0,"META ATINGIDA","GAP A RECUPERAR"))))</f>
        <v/>
      </c>
      <c r="O266" s="184" t="n"/>
      <c r="P266" s="175" t="n"/>
    </row>
    <row r="267">
      <c r="A267" s="179" t="inlineStr">
        <is>
          <t>GLOBO AÇOS</t>
        </is>
      </c>
      <c r="B267" s="179" t="inlineStr">
        <is>
          <t>TELHAR</t>
        </is>
      </c>
      <c r="C267" s="192" t="n">
        <v>46412</v>
      </c>
      <c r="D267" s="192" t="n">
        <v>46416</v>
      </c>
      <c r="E267" s="192" t="n">
        <v>46417</v>
      </c>
      <c r="F267" s="193" t="n">
        <v>7</v>
      </c>
      <c r="G267" s="194" t="n">
        <v>5</v>
      </c>
      <c r="H267" s="183">
        <f>F267*G267</f>
        <v/>
      </c>
      <c r="I267" s="183" t="n">
        <v>0</v>
      </c>
      <c r="J267" s="183">
        <f>IFERROR(H267+I267,"")</f>
        <v/>
      </c>
      <c r="K267" s="183">
        <f>IFERROR(J267/G267,"")</f>
        <v/>
      </c>
      <c r="L267" s="183">
        <f>IFERROR(SUM(INDEX('CONTROLE PRODUÇÃO POR EMPRESAS'!$I$6:$I$5000,MATCH(C267,'CONTROLE PRODUÇÃO POR EMPRESAS'!$A$6:$A$5000,0)):INDEX('CONTROLE PRODUÇÃO POR EMPRESAS'!$I$6:$I$5000,MATCH(D267,'CONTROLE PRODUÇÃO POR EMPRESAS'!$A$6:$A$5000,0))),0)</f>
        <v/>
      </c>
      <c r="M267" s="183">
        <f>IF($B$3&lt;$E267,"",$L267-$J267)</f>
        <v/>
      </c>
      <c r="N267" s="183">
        <f>IF($B$3&lt;$C267,"FUTURA",IF($B$3&lt;=$D267,"EM ANDAMENTO",IF($B$3&lt;$E267,"AGUARDANDO CORTE",IF($M267&gt;=0,"META ATINGIDA","GAP A RECUPERAR"))))</f>
        <v/>
      </c>
      <c r="O267" s="184" t="n"/>
      <c r="P267" s="175" t="n"/>
    </row>
    <row r="268">
      <c r="A268" s="179" t="inlineStr">
        <is>
          <t>GLOBO AÇOS</t>
        </is>
      </c>
      <c r="B268" s="179" t="inlineStr">
        <is>
          <t>FECHAMENTO</t>
        </is>
      </c>
      <c r="C268" s="192" t="n">
        <v>46412</v>
      </c>
      <c r="D268" s="192" t="n">
        <v>46416</v>
      </c>
      <c r="E268" s="192" t="n">
        <v>46417</v>
      </c>
      <c r="F268" s="193" t="n">
        <v>36</v>
      </c>
      <c r="G268" s="194" t="n">
        <v>5</v>
      </c>
      <c r="H268" s="183">
        <f>F268*G268</f>
        <v/>
      </c>
      <c r="I268" s="183" t="n">
        <v>0</v>
      </c>
      <c r="J268" s="183">
        <f>IFERROR(H268+I268,"")</f>
        <v/>
      </c>
      <c r="K268" s="183">
        <f>IFERROR(J268/G268,"")</f>
        <v/>
      </c>
      <c r="L268" s="183">
        <f>IFERROR(SUM(INDEX('CONTROLE PRODUÇÃO POR EMPRESAS'!$J$6:$J$5000,MATCH(C268,'CONTROLE PRODUÇÃO POR EMPRESAS'!$A$6:$A$5000,0)):INDEX('CONTROLE PRODUÇÃO POR EMPRESAS'!$J$6:$J$5000,MATCH(D268,'CONTROLE PRODUÇÃO POR EMPRESAS'!$A$6:$A$5000,0))),0)</f>
        <v/>
      </c>
      <c r="M268" s="183">
        <f>IF($B$3&lt;$E268,"",$L268-$J268)</f>
        <v/>
      </c>
      <c r="N268" s="183">
        <f>IF($B$3&lt;$C268,"FUTURA",IF($B$3&lt;=$D268,"EM ANDAMENTO",IF($B$3&lt;$E268,"AGUARDANDO CORTE",IF($M268&gt;=0,"META ATINGIDA","GAP A RECUPERAR"))))</f>
        <v/>
      </c>
      <c r="O268" s="184" t="n"/>
      <c r="P268" s="175" t="n"/>
    </row>
    <row r="269">
      <c r="A269" s="179" t="inlineStr">
        <is>
          <t>EJ</t>
        </is>
      </c>
      <c r="B269" s="179" t="inlineStr">
        <is>
          <t>PREMONTAGEM</t>
        </is>
      </c>
      <c r="C269" s="192" t="n">
        <v>46419</v>
      </c>
      <c r="D269" s="192" t="n">
        <v>46423</v>
      </c>
      <c r="E269" s="192" t="n">
        <v>46424</v>
      </c>
      <c r="F269" s="193" t="n">
        <v>6</v>
      </c>
      <c r="G269" s="194" t="n">
        <v>5</v>
      </c>
      <c r="H269" s="183">
        <f>F269*G269</f>
        <v/>
      </c>
      <c r="I269" s="183" t="n">
        <v>0</v>
      </c>
      <c r="J269" s="183">
        <f>IFERROR(H269+I269,"")</f>
        <v/>
      </c>
      <c r="K269" s="183">
        <f>IFERROR(J269/G269,"")</f>
        <v/>
      </c>
      <c r="L269" s="183" t="n">
        <v>0</v>
      </c>
      <c r="M269" s="183">
        <f>IF($B$3&lt;$E269,"",$L269-$J269)</f>
        <v/>
      </c>
      <c r="N269" s="183">
        <f>IF($B$3&lt;$C269,"FUTURA",IF($B$3&lt;=$D269,"EM ANDAMENTO",IF($B$3&lt;$E269,"AGUARDANDO CORTE",IF($M269&gt;=0,"META ATINGIDA","GAP A RECUPERAR"))))</f>
        <v/>
      </c>
      <c r="O269" s="184" t="n"/>
      <c r="P269" s="175" t="n"/>
    </row>
    <row r="270">
      <c r="A270" s="179" t="inlineStr">
        <is>
          <t>EJ</t>
        </is>
      </c>
      <c r="B270" s="179" t="inlineStr">
        <is>
          <t>IÇAMENTO JOIST</t>
        </is>
      </c>
      <c r="C270" s="192" t="n">
        <v>46419</v>
      </c>
      <c r="D270" s="192" t="n">
        <v>46423</v>
      </c>
      <c r="E270" s="192" t="n">
        <v>46424</v>
      </c>
      <c r="F270" s="193" t="n">
        <v>5</v>
      </c>
      <c r="G270" s="194" t="n">
        <v>5</v>
      </c>
      <c r="H270" s="183">
        <f>F270*G270</f>
        <v/>
      </c>
      <c r="I270" s="183" t="n">
        <v>0</v>
      </c>
      <c r="J270" s="183">
        <f>IFERROR(H270+I270,"")</f>
        <v/>
      </c>
      <c r="K270" s="183">
        <f>IFERROR(J270/G270,"")</f>
        <v/>
      </c>
      <c r="L270" s="183" t="n">
        <v>0</v>
      </c>
      <c r="M270" s="183">
        <f>IF($B$3&lt;$E270,"",$L270-$J270)</f>
        <v/>
      </c>
      <c r="N270" s="183">
        <f>IF($B$3&lt;$C270,"FUTURA",IF($B$3&lt;=$D270,"EM ANDAMENTO",IF($B$3&lt;$E270,"AGUARDANDO CORTE",IF($M270&gt;=0,"META ATINGIDA","GAP A RECUPERAR"))))</f>
        <v/>
      </c>
      <c r="O270" s="184" t="n"/>
      <c r="P270" s="175" t="n"/>
    </row>
    <row r="271">
      <c r="A271" s="179" t="inlineStr">
        <is>
          <t>EJ</t>
        </is>
      </c>
      <c r="B271" s="179" t="inlineStr">
        <is>
          <t>VIGAS</t>
        </is>
      </c>
      <c r="C271" s="192" t="n">
        <v>46419</v>
      </c>
      <c r="D271" s="192" t="n">
        <v>46423</v>
      </c>
      <c r="E271" s="192" t="n">
        <v>46424</v>
      </c>
      <c r="F271" s="193" t="n">
        <v>2</v>
      </c>
      <c r="G271" s="194" t="n">
        <v>5</v>
      </c>
      <c r="H271" s="183">
        <f>F271*G271</f>
        <v/>
      </c>
      <c r="I271" s="183" t="n">
        <v>0</v>
      </c>
      <c r="J271" s="183">
        <f>IFERROR(H271+I271,"")</f>
        <v/>
      </c>
      <c r="K271" s="183">
        <f>IFERROR(J271/G271,"")</f>
        <v/>
      </c>
      <c r="L271" s="183" t="n">
        <v>0</v>
      </c>
      <c r="M271" s="183">
        <f>IF($B$3&lt;$E271,"",$L271-$J271)</f>
        <v/>
      </c>
      <c r="N271" s="183">
        <f>IF($B$3&lt;$C271,"FUTURA",IF($B$3&lt;=$D271,"EM ANDAMENTO",IF($B$3&lt;$E271,"AGUARDANDO CORTE",IF($M271&gt;=0,"META ATINGIDA","GAP A RECUPERAR"))))</f>
        <v/>
      </c>
      <c r="O271" s="184" t="n"/>
      <c r="P271" s="175" t="n"/>
    </row>
    <row r="272">
      <c r="A272" s="179" t="inlineStr">
        <is>
          <t>CMM</t>
        </is>
      </c>
      <c r="B272" s="179" t="inlineStr">
        <is>
          <t>PREMONTAGEM</t>
        </is>
      </c>
      <c r="C272" s="192" t="n">
        <v>46419</v>
      </c>
      <c r="D272" s="192" t="n">
        <v>46423</v>
      </c>
      <c r="E272" s="192" t="n">
        <v>46424</v>
      </c>
      <c r="F272" s="193" t="n">
        <v>6</v>
      </c>
      <c r="G272" s="194" t="n">
        <v>5</v>
      </c>
      <c r="H272" s="183">
        <f>F272*G272</f>
        <v/>
      </c>
      <c r="I272" s="183" t="n">
        <v>0</v>
      </c>
      <c r="J272" s="183">
        <f>IFERROR(H272+I272,"")</f>
        <v/>
      </c>
      <c r="K272" s="183">
        <f>IFERROR(J272/G272,"")</f>
        <v/>
      </c>
      <c r="L272" s="183" t="n">
        <v>0</v>
      </c>
      <c r="M272" s="183">
        <f>IF($B$3&lt;$E272,"",$L272-$J272)</f>
        <v/>
      </c>
      <c r="N272" s="183">
        <f>IF($B$3&lt;$C272,"FUTURA",IF($B$3&lt;=$D272,"EM ANDAMENTO",IF($B$3&lt;$E272,"AGUARDANDO CORTE",IF($M272&gt;=0,"META ATINGIDA","GAP A RECUPERAR"))))</f>
        <v/>
      </c>
      <c r="O272" s="184" t="n"/>
      <c r="P272" s="175" t="n"/>
    </row>
    <row r="273">
      <c r="A273" s="179" t="inlineStr">
        <is>
          <t>CMM</t>
        </is>
      </c>
      <c r="B273" s="179" t="inlineStr">
        <is>
          <t>IÇAMENTO JOIST</t>
        </is>
      </c>
      <c r="C273" s="192" t="n">
        <v>46419</v>
      </c>
      <c r="D273" s="192" t="n">
        <v>46423</v>
      </c>
      <c r="E273" s="192" t="n">
        <v>46424</v>
      </c>
      <c r="F273" s="193" t="n">
        <v>5</v>
      </c>
      <c r="G273" s="194" t="n">
        <v>5</v>
      </c>
      <c r="H273" s="183">
        <f>F273*G273</f>
        <v/>
      </c>
      <c r="I273" s="183" t="n">
        <v>0</v>
      </c>
      <c r="J273" s="183">
        <f>IFERROR(H273+I273,"")</f>
        <v/>
      </c>
      <c r="K273" s="183">
        <f>IFERROR(J273/G273,"")</f>
        <v/>
      </c>
      <c r="L273" s="183" t="n">
        <v>0</v>
      </c>
      <c r="M273" s="183">
        <f>IF($B$3&lt;$E273,"",$L273-$J273)</f>
        <v/>
      </c>
      <c r="N273" s="183">
        <f>IF($B$3&lt;$C273,"FUTURA",IF($B$3&lt;=$D273,"EM ANDAMENTO",IF($B$3&lt;$E273,"AGUARDANDO CORTE",IF($M273&gt;=0,"META ATINGIDA","GAP A RECUPERAR"))))</f>
        <v/>
      </c>
      <c r="O273" s="184" t="n"/>
      <c r="P273" s="175" t="n"/>
    </row>
    <row r="274">
      <c r="A274" s="179" t="inlineStr">
        <is>
          <t>CMM</t>
        </is>
      </c>
      <c r="B274" s="179" t="inlineStr">
        <is>
          <t>VIGAS</t>
        </is>
      </c>
      <c r="C274" s="192" t="n">
        <v>46419</v>
      </c>
      <c r="D274" s="192" t="n">
        <v>46423</v>
      </c>
      <c r="E274" s="192" t="n">
        <v>46424</v>
      </c>
      <c r="F274" s="193" t="n">
        <v>2</v>
      </c>
      <c r="G274" s="194" t="n">
        <v>5</v>
      </c>
      <c r="H274" s="183">
        <f>F274*G274</f>
        <v/>
      </c>
      <c r="I274" s="183" t="n">
        <v>0</v>
      </c>
      <c r="J274" s="183">
        <f>IFERROR(H274+I274,"")</f>
        <v/>
      </c>
      <c r="K274" s="183">
        <f>IFERROR(J274/G274,"")</f>
        <v/>
      </c>
      <c r="L274" s="183" t="n">
        <v>0</v>
      </c>
      <c r="M274" s="183">
        <f>IF($B$3&lt;$E274,"",$L274-$J274)</f>
        <v/>
      </c>
      <c r="N274" s="183">
        <f>IF($B$3&lt;$C274,"FUTURA",IF($B$3&lt;=$D274,"EM ANDAMENTO",IF($B$3&lt;$E274,"AGUARDANDO CORTE",IF($M274&gt;=0,"META ATINGIDA","GAP A RECUPERAR"))))</f>
        <v/>
      </c>
      <c r="O274" s="184" t="n"/>
      <c r="P274" s="175" t="n"/>
    </row>
    <row r="275">
      <c r="A275" s="179" t="inlineStr">
        <is>
          <t>GLOBO AÇOS</t>
        </is>
      </c>
      <c r="B275" s="179" t="inlineStr">
        <is>
          <t>PERFILAÇÃO</t>
        </is>
      </c>
      <c r="C275" s="192" t="n">
        <v>46419</v>
      </c>
      <c r="D275" s="192" t="n">
        <v>46423</v>
      </c>
      <c r="E275" s="192" t="n">
        <v>46424</v>
      </c>
      <c r="F275" s="193" t="n">
        <v>19</v>
      </c>
      <c r="G275" s="194" t="n">
        <v>5</v>
      </c>
      <c r="H275" s="183">
        <f>F275*G275</f>
        <v/>
      </c>
      <c r="I275" s="183" t="n">
        <v>0</v>
      </c>
      <c r="J275" s="183">
        <f>IFERROR(H275+I275,"")</f>
        <v/>
      </c>
      <c r="K275" s="183">
        <f>IFERROR(J275/G275,"")</f>
        <v/>
      </c>
      <c r="L275" s="183">
        <f>IFERROR(SUM(INDEX('CONTROLE PRODUÇÃO POR EMPRESAS'!$H$6:$H$5000,MATCH(C275,'CONTROLE PRODUÇÃO POR EMPRESAS'!$A$6:$A$5000,0)):INDEX('CONTROLE PRODUÇÃO POR EMPRESAS'!$H$6:$H$5000,MATCH(D275,'CONTROLE PRODUÇÃO POR EMPRESAS'!$A$6:$A$5000,0))),0)</f>
        <v/>
      </c>
      <c r="M275" s="183">
        <f>IF($B$3&lt;$E275,"",$L275-$J275)</f>
        <v/>
      </c>
      <c r="N275" s="183">
        <f>IF($B$3&lt;$C275,"FUTURA",IF($B$3&lt;=$D275,"EM ANDAMENTO",IF($B$3&lt;$E275,"AGUARDANDO CORTE",IF($M275&gt;=0,"META ATINGIDA","GAP A RECUPERAR"))))</f>
        <v/>
      </c>
      <c r="O275" s="184" t="n"/>
      <c r="P275" s="175" t="n"/>
    </row>
    <row r="276">
      <c r="A276" s="179" t="inlineStr">
        <is>
          <t>GLOBO AÇOS</t>
        </is>
      </c>
      <c r="B276" s="179" t="inlineStr">
        <is>
          <t>TELHAR</t>
        </is>
      </c>
      <c r="C276" s="192" t="n">
        <v>46419</v>
      </c>
      <c r="D276" s="192" t="n">
        <v>46423</v>
      </c>
      <c r="E276" s="192" t="n">
        <v>46424</v>
      </c>
      <c r="F276" s="193" t="n">
        <v>7</v>
      </c>
      <c r="G276" s="194" t="n">
        <v>5</v>
      </c>
      <c r="H276" s="183">
        <f>F276*G276</f>
        <v/>
      </c>
      <c r="I276" s="183" t="n">
        <v>0</v>
      </c>
      <c r="J276" s="183">
        <f>IFERROR(H276+I276,"")</f>
        <v/>
      </c>
      <c r="K276" s="183">
        <f>IFERROR(J276/G276,"")</f>
        <v/>
      </c>
      <c r="L276" s="183">
        <f>IFERROR(SUM(INDEX('CONTROLE PRODUÇÃO POR EMPRESAS'!$I$6:$I$5000,MATCH(C276,'CONTROLE PRODUÇÃO POR EMPRESAS'!$A$6:$A$5000,0)):INDEX('CONTROLE PRODUÇÃO POR EMPRESAS'!$I$6:$I$5000,MATCH(D276,'CONTROLE PRODUÇÃO POR EMPRESAS'!$A$6:$A$5000,0))),0)</f>
        <v/>
      </c>
      <c r="M276" s="183">
        <f>IF($B$3&lt;$E276,"",$L276-$J276)</f>
        <v/>
      </c>
      <c r="N276" s="183">
        <f>IF($B$3&lt;$C276,"FUTURA",IF($B$3&lt;=$D276,"EM ANDAMENTO",IF($B$3&lt;$E276,"AGUARDANDO CORTE",IF($M276&gt;=0,"META ATINGIDA","GAP A RECUPERAR"))))</f>
        <v/>
      </c>
      <c r="O276" s="184" t="n"/>
      <c r="P276" s="175" t="n"/>
    </row>
    <row r="277">
      <c r="A277" s="179" t="inlineStr">
        <is>
          <t>GLOBO AÇOS</t>
        </is>
      </c>
      <c r="B277" s="179" t="inlineStr">
        <is>
          <t>FECHAMENTO</t>
        </is>
      </c>
      <c r="C277" s="192" t="n">
        <v>46419</v>
      </c>
      <c r="D277" s="192" t="n">
        <v>46423</v>
      </c>
      <c r="E277" s="192" t="n">
        <v>46424</v>
      </c>
      <c r="F277" s="193" t="n">
        <v>36</v>
      </c>
      <c r="G277" s="194" t="n">
        <v>5</v>
      </c>
      <c r="H277" s="183">
        <f>F277*G277</f>
        <v/>
      </c>
      <c r="I277" s="183" t="n">
        <v>0</v>
      </c>
      <c r="J277" s="183">
        <f>IFERROR(H277+I277,"")</f>
        <v/>
      </c>
      <c r="K277" s="183">
        <f>IFERROR(J277/G277,"")</f>
        <v/>
      </c>
      <c r="L277" s="183">
        <f>IFERROR(SUM(INDEX('CONTROLE PRODUÇÃO POR EMPRESAS'!$J$6:$J$5000,MATCH(C277,'CONTROLE PRODUÇÃO POR EMPRESAS'!$A$6:$A$5000,0)):INDEX('CONTROLE PRODUÇÃO POR EMPRESAS'!$J$6:$J$5000,MATCH(D277,'CONTROLE PRODUÇÃO POR EMPRESAS'!$A$6:$A$5000,0))),0)</f>
        <v/>
      </c>
      <c r="M277" s="183">
        <f>IF($B$3&lt;$E277,"",$L277-$J277)</f>
        <v/>
      </c>
      <c r="N277" s="183">
        <f>IF($B$3&lt;$C277,"FUTURA",IF($B$3&lt;=$D277,"EM ANDAMENTO",IF($B$3&lt;$E277,"AGUARDANDO CORTE",IF($M277&gt;=0,"META ATINGIDA","GAP A RECUPERAR"))))</f>
        <v/>
      </c>
      <c r="O277" s="184" t="n"/>
      <c r="P277" s="175" t="n"/>
    </row>
    <row r="278">
      <c r="A278" s="179" t="inlineStr">
        <is>
          <t>EJ</t>
        </is>
      </c>
      <c r="B278" s="179" t="inlineStr">
        <is>
          <t>PREMONTAGEM</t>
        </is>
      </c>
      <c r="C278" s="192" t="n">
        <v>46426</v>
      </c>
      <c r="D278" s="192" t="n">
        <v>46430</v>
      </c>
      <c r="E278" s="192" t="n">
        <v>46431</v>
      </c>
      <c r="F278" s="193" t="n">
        <v>6</v>
      </c>
      <c r="G278" s="194" t="n">
        <v>5</v>
      </c>
      <c r="H278" s="183">
        <f>F278*G278</f>
        <v/>
      </c>
      <c r="I278" s="183" t="n">
        <v>0</v>
      </c>
      <c r="J278" s="183">
        <f>IFERROR(H278+I278,"")</f>
        <v/>
      </c>
      <c r="K278" s="183">
        <f>IFERROR(J278/G278,"")</f>
        <v/>
      </c>
      <c r="L278" s="183" t="n">
        <v>0</v>
      </c>
      <c r="M278" s="183">
        <f>IF($B$3&lt;$E278,"",$L278-$J278)</f>
        <v/>
      </c>
      <c r="N278" s="183">
        <f>IF($B$3&lt;$C278,"FUTURA",IF($B$3&lt;=$D278,"EM ANDAMENTO",IF($B$3&lt;$E278,"AGUARDANDO CORTE",IF($M278&gt;=0,"META ATINGIDA","GAP A RECUPERAR"))))</f>
        <v/>
      </c>
      <c r="O278" s="184" t="n"/>
      <c r="P278" s="175" t="n"/>
    </row>
    <row r="279">
      <c r="A279" s="179" t="inlineStr">
        <is>
          <t>EJ</t>
        </is>
      </c>
      <c r="B279" s="179" t="inlineStr">
        <is>
          <t>IÇAMENTO JOIST</t>
        </is>
      </c>
      <c r="C279" s="192" t="n">
        <v>46426</v>
      </c>
      <c r="D279" s="192" t="n">
        <v>46430</v>
      </c>
      <c r="E279" s="192" t="n">
        <v>46431</v>
      </c>
      <c r="F279" s="193" t="n">
        <v>5</v>
      </c>
      <c r="G279" s="194" t="n">
        <v>5</v>
      </c>
      <c r="H279" s="183">
        <f>F279*G279</f>
        <v/>
      </c>
      <c r="I279" s="183" t="n">
        <v>0</v>
      </c>
      <c r="J279" s="183">
        <f>IFERROR(H279+I279,"")</f>
        <v/>
      </c>
      <c r="K279" s="183">
        <f>IFERROR(J279/G279,"")</f>
        <v/>
      </c>
      <c r="L279" s="183" t="n">
        <v>0</v>
      </c>
      <c r="M279" s="183">
        <f>IF($B$3&lt;$E279,"",$L279-$J279)</f>
        <v/>
      </c>
      <c r="N279" s="183">
        <f>IF($B$3&lt;$C279,"FUTURA",IF($B$3&lt;=$D279,"EM ANDAMENTO",IF($B$3&lt;$E279,"AGUARDANDO CORTE",IF($M279&gt;=0,"META ATINGIDA","GAP A RECUPERAR"))))</f>
        <v/>
      </c>
      <c r="O279" s="184" t="n"/>
      <c r="P279" s="175" t="n"/>
    </row>
    <row r="280">
      <c r="A280" s="179" t="inlineStr">
        <is>
          <t>EJ</t>
        </is>
      </c>
      <c r="B280" s="179" t="inlineStr">
        <is>
          <t>VIGAS</t>
        </is>
      </c>
      <c r="C280" s="192" t="n">
        <v>46426</v>
      </c>
      <c r="D280" s="192" t="n">
        <v>46430</v>
      </c>
      <c r="E280" s="192" t="n">
        <v>46431</v>
      </c>
      <c r="F280" s="193" t="n">
        <v>2</v>
      </c>
      <c r="G280" s="194" t="n">
        <v>5</v>
      </c>
      <c r="H280" s="183">
        <f>F280*G280</f>
        <v/>
      </c>
      <c r="I280" s="183" t="n">
        <v>0</v>
      </c>
      <c r="J280" s="183">
        <f>IFERROR(H280+I280,"")</f>
        <v/>
      </c>
      <c r="K280" s="183">
        <f>IFERROR(J280/G280,"")</f>
        <v/>
      </c>
      <c r="L280" s="183" t="n">
        <v>0</v>
      </c>
      <c r="M280" s="183">
        <f>IF($B$3&lt;$E280,"",$L280-$J280)</f>
        <v/>
      </c>
      <c r="N280" s="183">
        <f>IF($B$3&lt;$C280,"FUTURA",IF($B$3&lt;=$D280,"EM ANDAMENTO",IF($B$3&lt;$E280,"AGUARDANDO CORTE",IF($M280&gt;=0,"META ATINGIDA","GAP A RECUPERAR"))))</f>
        <v/>
      </c>
      <c r="O280" s="184" t="n"/>
      <c r="P280" s="175" t="n"/>
    </row>
    <row r="281">
      <c r="A281" s="179" t="inlineStr">
        <is>
          <t>CMM</t>
        </is>
      </c>
      <c r="B281" s="179" t="inlineStr">
        <is>
          <t>PREMONTAGEM</t>
        </is>
      </c>
      <c r="C281" s="192" t="n">
        <v>46426</v>
      </c>
      <c r="D281" s="192" t="n">
        <v>46430</v>
      </c>
      <c r="E281" s="192" t="n">
        <v>46431</v>
      </c>
      <c r="F281" s="193" t="n">
        <v>6</v>
      </c>
      <c r="G281" s="194" t="n">
        <v>5</v>
      </c>
      <c r="H281" s="183">
        <f>F281*G281</f>
        <v/>
      </c>
      <c r="I281" s="183" t="n">
        <v>0</v>
      </c>
      <c r="J281" s="183">
        <f>IFERROR(H281+I281,"")</f>
        <v/>
      </c>
      <c r="K281" s="183">
        <f>IFERROR(J281/G281,"")</f>
        <v/>
      </c>
      <c r="L281" s="183" t="n">
        <v>0</v>
      </c>
      <c r="M281" s="183">
        <f>IF($B$3&lt;$E281,"",$L281-$J281)</f>
        <v/>
      </c>
      <c r="N281" s="183">
        <f>IF($B$3&lt;$C281,"FUTURA",IF($B$3&lt;=$D281,"EM ANDAMENTO",IF($B$3&lt;$E281,"AGUARDANDO CORTE",IF($M281&gt;=0,"META ATINGIDA","GAP A RECUPERAR"))))</f>
        <v/>
      </c>
      <c r="O281" s="184" t="n"/>
      <c r="P281" s="175" t="n"/>
    </row>
    <row r="282">
      <c r="A282" s="179" t="inlineStr">
        <is>
          <t>CMM</t>
        </is>
      </c>
      <c r="B282" s="179" t="inlineStr">
        <is>
          <t>IÇAMENTO JOIST</t>
        </is>
      </c>
      <c r="C282" s="192" t="n">
        <v>46426</v>
      </c>
      <c r="D282" s="192" t="n">
        <v>46430</v>
      </c>
      <c r="E282" s="192" t="n">
        <v>46431</v>
      </c>
      <c r="F282" s="193" t="n">
        <v>5</v>
      </c>
      <c r="G282" s="194" t="n">
        <v>5</v>
      </c>
      <c r="H282" s="183">
        <f>F282*G282</f>
        <v/>
      </c>
      <c r="I282" s="183" t="n">
        <v>0</v>
      </c>
      <c r="J282" s="183">
        <f>IFERROR(H282+I282,"")</f>
        <v/>
      </c>
      <c r="K282" s="183">
        <f>IFERROR(J282/G282,"")</f>
        <v/>
      </c>
      <c r="L282" s="183" t="n">
        <v>0</v>
      </c>
      <c r="M282" s="183">
        <f>IF($B$3&lt;$E282,"",$L282-$J282)</f>
        <v/>
      </c>
      <c r="N282" s="183">
        <f>IF($B$3&lt;$C282,"FUTURA",IF($B$3&lt;=$D282,"EM ANDAMENTO",IF($B$3&lt;$E282,"AGUARDANDO CORTE",IF($M282&gt;=0,"META ATINGIDA","GAP A RECUPERAR"))))</f>
        <v/>
      </c>
      <c r="O282" s="184" t="n"/>
      <c r="P282" s="175" t="n"/>
    </row>
    <row r="283">
      <c r="A283" s="179" t="inlineStr">
        <is>
          <t>CMM</t>
        </is>
      </c>
      <c r="B283" s="179" t="inlineStr">
        <is>
          <t>VIGAS</t>
        </is>
      </c>
      <c r="C283" s="192" t="n">
        <v>46426</v>
      </c>
      <c r="D283" s="192" t="n">
        <v>46430</v>
      </c>
      <c r="E283" s="192" t="n">
        <v>46431</v>
      </c>
      <c r="F283" s="193" t="n">
        <v>2</v>
      </c>
      <c r="G283" s="194" t="n">
        <v>5</v>
      </c>
      <c r="H283" s="183">
        <f>F283*G283</f>
        <v/>
      </c>
      <c r="I283" s="183" t="n">
        <v>0</v>
      </c>
      <c r="J283" s="183">
        <f>IFERROR(H283+I283,"")</f>
        <v/>
      </c>
      <c r="K283" s="183">
        <f>IFERROR(J283/G283,"")</f>
        <v/>
      </c>
      <c r="L283" s="183" t="n">
        <v>0</v>
      </c>
      <c r="M283" s="183">
        <f>IF($B$3&lt;$E283,"",$L283-$J283)</f>
        <v/>
      </c>
      <c r="N283" s="183">
        <f>IF($B$3&lt;$C283,"FUTURA",IF($B$3&lt;=$D283,"EM ANDAMENTO",IF($B$3&lt;$E283,"AGUARDANDO CORTE",IF($M283&gt;=0,"META ATINGIDA","GAP A RECUPERAR"))))</f>
        <v/>
      </c>
      <c r="O283" s="184" t="n"/>
      <c r="P283" s="175" t="n"/>
    </row>
    <row r="284">
      <c r="A284" s="179" t="inlineStr">
        <is>
          <t>GLOBO AÇOS</t>
        </is>
      </c>
      <c r="B284" s="179" t="inlineStr">
        <is>
          <t>PERFILAÇÃO</t>
        </is>
      </c>
      <c r="C284" s="192" t="n">
        <v>46426</v>
      </c>
      <c r="D284" s="192" t="n">
        <v>46430</v>
      </c>
      <c r="E284" s="192" t="n">
        <v>46431</v>
      </c>
      <c r="F284" s="193" t="n">
        <v>19</v>
      </c>
      <c r="G284" s="194" t="n">
        <v>5</v>
      </c>
      <c r="H284" s="183">
        <f>F284*G284</f>
        <v/>
      </c>
      <c r="I284" s="183" t="n">
        <v>0</v>
      </c>
      <c r="J284" s="183">
        <f>IFERROR(H284+I284,"")</f>
        <v/>
      </c>
      <c r="K284" s="183">
        <f>IFERROR(J284/G284,"")</f>
        <v/>
      </c>
      <c r="L284" s="183">
        <f>IFERROR(SUM(INDEX('CONTROLE PRODUÇÃO POR EMPRESAS'!$H$6:$H$5000,MATCH(C284,'CONTROLE PRODUÇÃO POR EMPRESAS'!$A$6:$A$5000,0)):INDEX('CONTROLE PRODUÇÃO POR EMPRESAS'!$H$6:$H$5000,MATCH(D284,'CONTROLE PRODUÇÃO POR EMPRESAS'!$A$6:$A$5000,0))),0)</f>
        <v/>
      </c>
      <c r="M284" s="183">
        <f>IF($B$3&lt;$E284,"",$L284-$J284)</f>
        <v/>
      </c>
      <c r="N284" s="183">
        <f>IF($B$3&lt;$C284,"FUTURA",IF($B$3&lt;=$D284,"EM ANDAMENTO",IF($B$3&lt;$E284,"AGUARDANDO CORTE",IF($M284&gt;=0,"META ATINGIDA","GAP A RECUPERAR"))))</f>
        <v/>
      </c>
      <c r="O284" s="184" t="n"/>
      <c r="P284" s="175" t="n"/>
    </row>
    <row r="285">
      <c r="A285" s="179" t="inlineStr">
        <is>
          <t>GLOBO AÇOS</t>
        </is>
      </c>
      <c r="B285" s="179" t="inlineStr">
        <is>
          <t>TELHAR</t>
        </is>
      </c>
      <c r="C285" s="192" t="n">
        <v>46426</v>
      </c>
      <c r="D285" s="192" t="n">
        <v>46430</v>
      </c>
      <c r="E285" s="192" t="n">
        <v>46431</v>
      </c>
      <c r="F285" s="193" t="n">
        <v>7</v>
      </c>
      <c r="G285" s="194" t="n">
        <v>5</v>
      </c>
      <c r="H285" s="183">
        <f>F285*G285</f>
        <v/>
      </c>
      <c r="I285" s="183" t="n">
        <v>0</v>
      </c>
      <c r="J285" s="183">
        <f>IFERROR(H285+I285,"")</f>
        <v/>
      </c>
      <c r="K285" s="183">
        <f>IFERROR(J285/G285,"")</f>
        <v/>
      </c>
      <c r="L285" s="183">
        <f>IFERROR(SUM(INDEX('CONTROLE PRODUÇÃO POR EMPRESAS'!$I$6:$I$5000,MATCH(C285,'CONTROLE PRODUÇÃO POR EMPRESAS'!$A$6:$A$5000,0)):INDEX('CONTROLE PRODUÇÃO POR EMPRESAS'!$I$6:$I$5000,MATCH(D285,'CONTROLE PRODUÇÃO POR EMPRESAS'!$A$6:$A$5000,0))),0)</f>
        <v/>
      </c>
      <c r="M285" s="183">
        <f>IF($B$3&lt;$E285,"",$L285-$J285)</f>
        <v/>
      </c>
      <c r="N285" s="183">
        <f>IF($B$3&lt;$C285,"FUTURA",IF($B$3&lt;=$D285,"EM ANDAMENTO",IF($B$3&lt;$E285,"AGUARDANDO CORTE",IF($M285&gt;=0,"META ATINGIDA","GAP A RECUPERAR"))))</f>
        <v/>
      </c>
      <c r="O285" s="184" t="n"/>
      <c r="P285" s="175" t="n"/>
    </row>
    <row r="286">
      <c r="A286" s="179" t="inlineStr">
        <is>
          <t>GLOBO AÇOS</t>
        </is>
      </c>
      <c r="B286" s="179" t="inlineStr">
        <is>
          <t>FECHAMENTO</t>
        </is>
      </c>
      <c r="C286" s="192" t="n">
        <v>46426</v>
      </c>
      <c r="D286" s="192" t="n">
        <v>46430</v>
      </c>
      <c r="E286" s="192" t="n">
        <v>46431</v>
      </c>
      <c r="F286" s="193" t="n">
        <v>36</v>
      </c>
      <c r="G286" s="194" t="n">
        <v>5</v>
      </c>
      <c r="H286" s="183">
        <f>F286*G286</f>
        <v/>
      </c>
      <c r="I286" s="183" t="n">
        <v>0</v>
      </c>
      <c r="J286" s="183">
        <f>IFERROR(H286+I286,"")</f>
        <v/>
      </c>
      <c r="K286" s="183">
        <f>IFERROR(J286/G286,"")</f>
        <v/>
      </c>
      <c r="L286" s="183">
        <f>IFERROR(SUM(INDEX('CONTROLE PRODUÇÃO POR EMPRESAS'!$J$6:$J$5000,MATCH(C286,'CONTROLE PRODUÇÃO POR EMPRESAS'!$A$6:$A$5000,0)):INDEX('CONTROLE PRODUÇÃO POR EMPRESAS'!$J$6:$J$5000,MATCH(D286,'CONTROLE PRODUÇÃO POR EMPRESAS'!$A$6:$A$5000,0))),0)</f>
        <v/>
      </c>
      <c r="M286" s="183">
        <f>IF($B$3&lt;$E286,"",$L286-$J286)</f>
        <v/>
      </c>
      <c r="N286" s="183">
        <f>IF($B$3&lt;$C286,"FUTURA",IF($B$3&lt;=$D286,"EM ANDAMENTO",IF($B$3&lt;$E286,"AGUARDANDO CORTE",IF($M286&gt;=0,"META ATINGIDA","GAP A RECUPERAR"))))</f>
        <v/>
      </c>
      <c r="O286" s="184" t="n"/>
      <c r="P286" s="175" t="n"/>
    </row>
    <row r="287">
      <c r="A287" s="179" t="inlineStr">
        <is>
          <t>EJ</t>
        </is>
      </c>
      <c r="B287" s="179" t="inlineStr">
        <is>
          <t>PREMONTAGEM</t>
        </is>
      </c>
      <c r="C287" s="192" t="n">
        <v>46433</v>
      </c>
      <c r="D287" s="192" t="n">
        <v>46437</v>
      </c>
      <c r="E287" s="192" t="n">
        <v>46438</v>
      </c>
      <c r="F287" s="193" t="n">
        <v>6</v>
      </c>
      <c r="G287" s="194" t="n">
        <v>5</v>
      </c>
      <c r="H287" s="183">
        <f>F287*G287</f>
        <v/>
      </c>
      <c r="I287" s="183" t="n">
        <v>0</v>
      </c>
      <c r="J287" s="183">
        <f>IFERROR(H287+I287,"")</f>
        <v/>
      </c>
      <c r="K287" s="183">
        <f>IFERROR(J287/G287,"")</f>
        <v/>
      </c>
      <c r="L287" s="183" t="n">
        <v>0</v>
      </c>
      <c r="M287" s="183">
        <f>IF($B$3&lt;$E287,"",$L287-$J287)</f>
        <v/>
      </c>
      <c r="N287" s="183">
        <f>IF($B$3&lt;$C287,"FUTURA",IF($B$3&lt;=$D287,"EM ANDAMENTO",IF($B$3&lt;$E287,"AGUARDANDO CORTE",IF($M287&gt;=0,"META ATINGIDA","GAP A RECUPERAR"))))</f>
        <v/>
      </c>
      <c r="O287" s="184" t="n"/>
      <c r="P287" s="175" t="n"/>
    </row>
    <row r="288">
      <c r="A288" s="179" t="inlineStr">
        <is>
          <t>EJ</t>
        </is>
      </c>
      <c r="B288" s="179" t="inlineStr">
        <is>
          <t>IÇAMENTO JOIST</t>
        </is>
      </c>
      <c r="C288" s="192" t="n">
        <v>46433</v>
      </c>
      <c r="D288" s="192" t="n">
        <v>46437</v>
      </c>
      <c r="E288" s="192" t="n">
        <v>46438</v>
      </c>
      <c r="F288" s="193" t="n">
        <v>5</v>
      </c>
      <c r="G288" s="194" t="n">
        <v>5</v>
      </c>
      <c r="H288" s="183">
        <f>F288*G288</f>
        <v/>
      </c>
      <c r="I288" s="183" t="n">
        <v>0</v>
      </c>
      <c r="J288" s="183">
        <f>IFERROR(H288+I288,"")</f>
        <v/>
      </c>
      <c r="K288" s="183">
        <f>IFERROR(J288/G288,"")</f>
        <v/>
      </c>
      <c r="L288" s="183" t="n">
        <v>0</v>
      </c>
      <c r="M288" s="183">
        <f>IF($B$3&lt;$E288,"",$L288-$J288)</f>
        <v/>
      </c>
      <c r="N288" s="183">
        <f>IF($B$3&lt;$C288,"FUTURA",IF($B$3&lt;=$D288,"EM ANDAMENTO",IF($B$3&lt;$E288,"AGUARDANDO CORTE",IF($M288&gt;=0,"META ATINGIDA","GAP A RECUPERAR"))))</f>
        <v/>
      </c>
      <c r="O288" s="184" t="n"/>
      <c r="P288" s="175" t="n"/>
    </row>
    <row r="289">
      <c r="A289" s="179" t="inlineStr">
        <is>
          <t>EJ</t>
        </is>
      </c>
      <c r="B289" s="179" t="inlineStr">
        <is>
          <t>VIGAS</t>
        </is>
      </c>
      <c r="C289" s="192" t="n">
        <v>46433</v>
      </c>
      <c r="D289" s="192" t="n">
        <v>46437</v>
      </c>
      <c r="E289" s="192" t="n">
        <v>46438</v>
      </c>
      <c r="F289" s="193" t="n">
        <v>2</v>
      </c>
      <c r="G289" s="194" t="n">
        <v>5</v>
      </c>
      <c r="H289" s="183">
        <f>F289*G289</f>
        <v/>
      </c>
      <c r="I289" s="183" t="n">
        <v>0</v>
      </c>
      <c r="J289" s="183">
        <f>IFERROR(H289+I289,"")</f>
        <v/>
      </c>
      <c r="K289" s="183">
        <f>IFERROR(J289/G289,"")</f>
        <v/>
      </c>
      <c r="L289" s="183" t="n">
        <v>0</v>
      </c>
      <c r="M289" s="183">
        <f>IF($B$3&lt;$E289,"",$L289-$J289)</f>
        <v/>
      </c>
      <c r="N289" s="183">
        <f>IF($B$3&lt;$C289,"FUTURA",IF($B$3&lt;=$D289,"EM ANDAMENTO",IF($B$3&lt;$E289,"AGUARDANDO CORTE",IF($M289&gt;=0,"META ATINGIDA","GAP A RECUPERAR"))))</f>
        <v/>
      </c>
      <c r="O289" s="184" t="n"/>
      <c r="P289" s="175" t="n"/>
    </row>
    <row r="290">
      <c r="A290" s="179" t="inlineStr">
        <is>
          <t>CMM</t>
        </is>
      </c>
      <c r="B290" s="179" t="inlineStr">
        <is>
          <t>PREMONTAGEM</t>
        </is>
      </c>
      <c r="C290" s="192" t="n">
        <v>46433</v>
      </c>
      <c r="D290" s="192" t="n">
        <v>46437</v>
      </c>
      <c r="E290" s="192" t="n">
        <v>46438</v>
      </c>
      <c r="F290" s="193" t="n">
        <v>6</v>
      </c>
      <c r="G290" s="194" t="n">
        <v>5</v>
      </c>
      <c r="H290" s="183">
        <f>F290*G290</f>
        <v/>
      </c>
      <c r="I290" s="183" t="n">
        <v>0</v>
      </c>
      <c r="J290" s="183">
        <f>IFERROR(H290+I290,"")</f>
        <v/>
      </c>
      <c r="K290" s="183">
        <f>IFERROR(J290/G290,"")</f>
        <v/>
      </c>
      <c r="L290" s="183" t="n">
        <v>0</v>
      </c>
      <c r="M290" s="183">
        <f>IF($B$3&lt;$E290,"",$L290-$J290)</f>
        <v/>
      </c>
      <c r="N290" s="183">
        <f>IF($B$3&lt;$C290,"FUTURA",IF($B$3&lt;=$D290,"EM ANDAMENTO",IF($B$3&lt;$E290,"AGUARDANDO CORTE",IF($M290&gt;=0,"META ATINGIDA","GAP A RECUPERAR"))))</f>
        <v/>
      </c>
      <c r="O290" s="184" t="n"/>
      <c r="P290" s="175" t="n"/>
    </row>
    <row r="291">
      <c r="A291" s="179" t="inlineStr">
        <is>
          <t>CMM</t>
        </is>
      </c>
      <c r="B291" s="179" t="inlineStr">
        <is>
          <t>IÇAMENTO JOIST</t>
        </is>
      </c>
      <c r="C291" s="192" t="n">
        <v>46433</v>
      </c>
      <c r="D291" s="192" t="n">
        <v>46437</v>
      </c>
      <c r="E291" s="192" t="n">
        <v>46438</v>
      </c>
      <c r="F291" s="193" t="n">
        <v>5</v>
      </c>
      <c r="G291" s="194" t="n">
        <v>5</v>
      </c>
      <c r="H291" s="183">
        <f>F291*G291</f>
        <v/>
      </c>
      <c r="I291" s="183" t="n">
        <v>0</v>
      </c>
      <c r="J291" s="183">
        <f>IFERROR(H291+I291,"")</f>
        <v/>
      </c>
      <c r="K291" s="183">
        <f>IFERROR(J291/G291,"")</f>
        <v/>
      </c>
      <c r="L291" s="183" t="n">
        <v>0</v>
      </c>
      <c r="M291" s="183">
        <f>IF($B$3&lt;$E291,"",$L291-$J291)</f>
        <v/>
      </c>
      <c r="N291" s="183">
        <f>IF($B$3&lt;$C291,"FUTURA",IF($B$3&lt;=$D291,"EM ANDAMENTO",IF($B$3&lt;$E291,"AGUARDANDO CORTE",IF($M291&gt;=0,"META ATINGIDA","GAP A RECUPERAR"))))</f>
        <v/>
      </c>
      <c r="O291" s="184" t="n"/>
      <c r="P291" s="175" t="n"/>
    </row>
    <row r="292">
      <c r="A292" s="179" t="inlineStr">
        <is>
          <t>CMM</t>
        </is>
      </c>
      <c r="B292" s="179" t="inlineStr">
        <is>
          <t>VIGAS</t>
        </is>
      </c>
      <c r="C292" s="192" t="n">
        <v>46433</v>
      </c>
      <c r="D292" s="192" t="n">
        <v>46437</v>
      </c>
      <c r="E292" s="192" t="n">
        <v>46438</v>
      </c>
      <c r="F292" s="193" t="n">
        <v>2</v>
      </c>
      <c r="G292" s="194" t="n">
        <v>5</v>
      </c>
      <c r="H292" s="183">
        <f>F292*G292</f>
        <v/>
      </c>
      <c r="I292" s="183" t="n">
        <v>0</v>
      </c>
      <c r="J292" s="183">
        <f>IFERROR(H292+I292,"")</f>
        <v/>
      </c>
      <c r="K292" s="183">
        <f>IFERROR(J292/G292,"")</f>
        <v/>
      </c>
      <c r="L292" s="183" t="n">
        <v>0</v>
      </c>
      <c r="M292" s="183">
        <f>IF($B$3&lt;$E292,"",$L292-$J292)</f>
        <v/>
      </c>
      <c r="N292" s="183">
        <f>IF($B$3&lt;$C292,"FUTURA",IF($B$3&lt;=$D292,"EM ANDAMENTO",IF($B$3&lt;$E292,"AGUARDANDO CORTE",IF($M292&gt;=0,"META ATINGIDA","GAP A RECUPERAR"))))</f>
        <v/>
      </c>
      <c r="O292" s="184" t="n"/>
      <c r="P292" s="175" t="n"/>
    </row>
    <row r="293">
      <c r="A293" s="179" t="inlineStr">
        <is>
          <t>GLOBO AÇOS</t>
        </is>
      </c>
      <c r="B293" s="179" t="inlineStr">
        <is>
          <t>PERFILAÇÃO</t>
        </is>
      </c>
      <c r="C293" s="192" t="n">
        <v>46433</v>
      </c>
      <c r="D293" s="192" t="n">
        <v>46437</v>
      </c>
      <c r="E293" s="192" t="n">
        <v>46438</v>
      </c>
      <c r="F293" s="193" t="n">
        <v>19</v>
      </c>
      <c r="G293" s="194" t="n">
        <v>5</v>
      </c>
      <c r="H293" s="183">
        <f>F293*G293</f>
        <v/>
      </c>
      <c r="I293" s="183" t="n">
        <v>0</v>
      </c>
      <c r="J293" s="183">
        <f>IFERROR(H293+I293,"")</f>
        <v/>
      </c>
      <c r="K293" s="183">
        <f>IFERROR(J293/G293,"")</f>
        <v/>
      </c>
      <c r="L293" s="183">
        <f>IFERROR(SUM(INDEX('CONTROLE PRODUÇÃO POR EMPRESAS'!$H$6:$H$5000,MATCH(C293,'CONTROLE PRODUÇÃO POR EMPRESAS'!$A$6:$A$5000,0)):INDEX('CONTROLE PRODUÇÃO POR EMPRESAS'!$H$6:$H$5000,MATCH(D293,'CONTROLE PRODUÇÃO POR EMPRESAS'!$A$6:$A$5000,0))),0)</f>
        <v/>
      </c>
      <c r="M293" s="183">
        <f>IF($B$3&lt;$E293,"",$L293-$J293)</f>
        <v/>
      </c>
      <c r="N293" s="183">
        <f>IF($B$3&lt;$C293,"FUTURA",IF($B$3&lt;=$D293,"EM ANDAMENTO",IF($B$3&lt;$E293,"AGUARDANDO CORTE",IF($M293&gt;=0,"META ATINGIDA","GAP A RECUPERAR"))))</f>
        <v/>
      </c>
      <c r="O293" s="184" t="n"/>
      <c r="P293" s="175" t="n"/>
    </row>
    <row r="294">
      <c r="A294" s="179" t="inlineStr">
        <is>
          <t>GLOBO AÇOS</t>
        </is>
      </c>
      <c r="B294" s="179" t="inlineStr">
        <is>
          <t>TELHAR</t>
        </is>
      </c>
      <c r="C294" s="192" t="n">
        <v>46433</v>
      </c>
      <c r="D294" s="192" t="n">
        <v>46437</v>
      </c>
      <c r="E294" s="192" t="n">
        <v>46438</v>
      </c>
      <c r="F294" s="193" t="n">
        <v>7</v>
      </c>
      <c r="G294" s="194" t="n">
        <v>5</v>
      </c>
      <c r="H294" s="183">
        <f>F294*G294</f>
        <v/>
      </c>
      <c r="I294" s="183" t="n">
        <v>0</v>
      </c>
      <c r="J294" s="183">
        <f>IFERROR(H294+I294,"")</f>
        <v/>
      </c>
      <c r="K294" s="183">
        <f>IFERROR(J294/G294,"")</f>
        <v/>
      </c>
      <c r="L294" s="183">
        <f>IFERROR(SUM(INDEX('CONTROLE PRODUÇÃO POR EMPRESAS'!$I$6:$I$5000,MATCH(C294,'CONTROLE PRODUÇÃO POR EMPRESAS'!$A$6:$A$5000,0)):INDEX('CONTROLE PRODUÇÃO POR EMPRESAS'!$I$6:$I$5000,MATCH(D294,'CONTROLE PRODUÇÃO POR EMPRESAS'!$A$6:$A$5000,0))),0)</f>
        <v/>
      </c>
      <c r="M294" s="183">
        <f>IF($B$3&lt;$E294,"",$L294-$J294)</f>
        <v/>
      </c>
      <c r="N294" s="183">
        <f>IF($B$3&lt;$C294,"FUTURA",IF($B$3&lt;=$D294,"EM ANDAMENTO",IF($B$3&lt;$E294,"AGUARDANDO CORTE",IF($M294&gt;=0,"META ATINGIDA","GAP A RECUPERAR"))))</f>
        <v/>
      </c>
      <c r="O294" s="184" t="n"/>
      <c r="P294" s="175" t="n"/>
    </row>
    <row r="295">
      <c r="A295" s="179" t="inlineStr">
        <is>
          <t>GLOBO AÇOS</t>
        </is>
      </c>
      <c r="B295" s="179" t="inlineStr">
        <is>
          <t>FECHAMENTO</t>
        </is>
      </c>
      <c r="C295" s="192" t="n">
        <v>46433</v>
      </c>
      <c r="D295" s="192" t="n">
        <v>46437</v>
      </c>
      <c r="E295" s="192" t="n">
        <v>46438</v>
      </c>
      <c r="F295" s="193" t="n">
        <v>36</v>
      </c>
      <c r="G295" s="194" t="n">
        <v>5</v>
      </c>
      <c r="H295" s="183">
        <f>F295*G295</f>
        <v/>
      </c>
      <c r="I295" s="183" t="n">
        <v>0</v>
      </c>
      <c r="J295" s="183">
        <f>IFERROR(H295+I295,"")</f>
        <v/>
      </c>
      <c r="K295" s="183">
        <f>IFERROR(J295/G295,"")</f>
        <v/>
      </c>
      <c r="L295" s="183">
        <f>IFERROR(SUM(INDEX('CONTROLE PRODUÇÃO POR EMPRESAS'!$J$6:$J$5000,MATCH(C295,'CONTROLE PRODUÇÃO POR EMPRESAS'!$A$6:$A$5000,0)):INDEX('CONTROLE PRODUÇÃO POR EMPRESAS'!$J$6:$J$5000,MATCH(D295,'CONTROLE PRODUÇÃO POR EMPRESAS'!$A$6:$A$5000,0))),0)</f>
        <v/>
      </c>
      <c r="M295" s="183">
        <f>IF($B$3&lt;$E295,"",$L295-$J295)</f>
        <v/>
      </c>
      <c r="N295" s="183">
        <f>IF($B$3&lt;$C295,"FUTURA",IF($B$3&lt;=$D295,"EM ANDAMENTO",IF($B$3&lt;$E295,"AGUARDANDO CORTE",IF($M295&gt;=0,"META ATINGIDA","GAP A RECUPERAR"))))</f>
        <v/>
      </c>
      <c r="O295" s="184" t="n"/>
      <c r="P295" s="175" t="n"/>
    </row>
    <row r="296">
      <c r="A296" s="179" t="inlineStr">
        <is>
          <t>EJ</t>
        </is>
      </c>
      <c r="B296" s="179" t="inlineStr">
        <is>
          <t>PREMONTAGEM</t>
        </is>
      </c>
      <c r="C296" s="192" t="n">
        <v>46440</v>
      </c>
      <c r="D296" s="192" t="n">
        <v>46444</v>
      </c>
      <c r="E296" s="192" t="n">
        <v>46445</v>
      </c>
      <c r="F296" s="193" t="n">
        <v>6</v>
      </c>
      <c r="G296" s="194" t="n">
        <v>5</v>
      </c>
      <c r="H296" s="183">
        <f>F296*G296</f>
        <v/>
      </c>
      <c r="I296" s="183" t="n">
        <v>0</v>
      </c>
      <c r="J296" s="183">
        <f>IFERROR(H296+I296,"")</f>
        <v/>
      </c>
      <c r="K296" s="183">
        <f>IFERROR(J296/G296,"")</f>
        <v/>
      </c>
      <c r="L296" s="183" t="n">
        <v>0</v>
      </c>
      <c r="M296" s="183">
        <f>IF($B$3&lt;$E296,"",$L296-$J296)</f>
        <v/>
      </c>
      <c r="N296" s="183">
        <f>IF($B$3&lt;$C296,"FUTURA",IF($B$3&lt;=$D296,"EM ANDAMENTO",IF($B$3&lt;$E296,"AGUARDANDO CORTE",IF($M296&gt;=0,"META ATINGIDA","GAP A RECUPERAR"))))</f>
        <v/>
      </c>
      <c r="O296" s="184" t="n"/>
      <c r="P296" s="175" t="n"/>
    </row>
    <row r="297">
      <c r="A297" s="179" t="inlineStr">
        <is>
          <t>EJ</t>
        </is>
      </c>
      <c r="B297" s="179" t="inlineStr">
        <is>
          <t>IÇAMENTO JOIST</t>
        </is>
      </c>
      <c r="C297" s="192" t="n">
        <v>46440</v>
      </c>
      <c r="D297" s="192" t="n">
        <v>46444</v>
      </c>
      <c r="E297" s="192" t="n">
        <v>46445</v>
      </c>
      <c r="F297" s="193" t="n">
        <v>5</v>
      </c>
      <c r="G297" s="194" t="n">
        <v>5</v>
      </c>
      <c r="H297" s="183">
        <f>F297*G297</f>
        <v/>
      </c>
      <c r="I297" s="183" t="n">
        <v>0</v>
      </c>
      <c r="J297" s="183">
        <f>IFERROR(H297+I297,"")</f>
        <v/>
      </c>
      <c r="K297" s="183">
        <f>IFERROR(J297/G297,"")</f>
        <v/>
      </c>
      <c r="L297" s="183" t="n">
        <v>0</v>
      </c>
      <c r="M297" s="183">
        <f>IF($B$3&lt;$E297,"",$L297-$J297)</f>
        <v/>
      </c>
      <c r="N297" s="183">
        <f>IF($B$3&lt;$C297,"FUTURA",IF($B$3&lt;=$D297,"EM ANDAMENTO",IF($B$3&lt;$E297,"AGUARDANDO CORTE",IF($M297&gt;=0,"META ATINGIDA","GAP A RECUPERAR"))))</f>
        <v/>
      </c>
      <c r="O297" s="184" t="n"/>
      <c r="P297" s="175" t="n"/>
    </row>
    <row r="298">
      <c r="A298" s="179" t="inlineStr">
        <is>
          <t>EJ</t>
        </is>
      </c>
      <c r="B298" s="179" t="inlineStr">
        <is>
          <t>VIGAS</t>
        </is>
      </c>
      <c r="C298" s="192" t="n">
        <v>46440</v>
      </c>
      <c r="D298" s="192" t="n">
        <v>46444</v>
      </c>
      <c r="E298" s="192" t="n">
        <v>46445</v>
      </c>
      <c r="F298" s="193" t="n">
        <v>2</v>
      </c>
      <c r="G298" s="194" t="n">
        <v>5</v>
      </c>
      <c r="H298" s="183">
        <f>F298*G298</f>
        <v/>
      </c>
      <c r="I298" s="183" t="n">
        <v>0</v>
      </c>
      <c r="J298" s="183">
        <f>IFERROR(H298+I298,"")</f>
        <v/>
      </c>
      <c r="K298" s="183">
        <f>IFERROR(J298/G298,"")</f>
        <v/>
      </c>
      <c r="L298" s="183" t="n">
        <v>0</v>
      </c>
      <c r="M298" s="183">
        <f>IF($B$3&lt;$E298,"",$L298-$J298)</f>
        <v/>
      </c>
      <c r="N298" s="183">
        <f>IF($B$3&lt;$C298,"FUTURA",IF($B$3&lt;=$D298,"EM ANDAMENTO",IF($B$3&lt;$E298,"AGUARDANDO CORTE",IF($M298&gt;=0,"META ATINGIDA","GAP A RECUPERAR"))))</f>
        <v/>
      </c>
      <c r="O298" s="184" t="n"/>
      <c r="P298" s="175" t="n"/>
    </row>
    <row r="299">
      <c r="A299" s="179" t="inlineStr">
        <is>
          <t>CMM</t>
        </is>
      </c>
      <c r="B299" s="179" t="inlineStr">
        <is>
          <t>PREMONTAGEM</t>
        </is>
      </c>
      <c r="C299" s="192" t="n">
        <v>46440</v>
      </c>
      <c r="D299" s="192" t="n">
        <v>46444</v>
      </c>
      <c r="E299" s="192" t="n">
        <v>46445</v>
      </c>
      <c r="F299" s="193" t="n">
        <v>6</v>
      </c>
      <c r="G299" s="194" t="n">
        <v>5</v>
      </c>
      <c r="H299" s="183">
        <f>F299*G299</f>
        <v/>
      </c>
      <c r="I299" s="183" t="n">
        <v>0</v>
      </c>
      <c r="J299" s="183">
        <f>IFERROR(H299+I299,"")</f>
        <v/>
      </c>
      <c r="K299" s="183">
        <f>IFERROR(J299/G299,"")</f>
        <v/>
      </c>
      <c r="L299" s="183" t="n">
        <v>0</v>
      </c>
      <c r="M299" s="183">
        <f>IF($B$3&lt;$E299,"",$L299-$J299)</f>
        <v/>
      </c>
      <c r="N299" s="183">
        <f>IF($B$3&lt;$C299,"FUTURA",IF($B$3&lt;=$D299,"EM ANDAMENTO",IF($B$3&lt;$E299,"AGUARDANDO CORTE",IF($M299&gt;=0,"META ATINGIDA","GAP A RECUPERAR"))))</f>
        <v/>
      </c>
      <c r="O299" s="184" t="n"/>
      <c r="P299" s="175" t="n"/>
    </row>
    <row r="300">
      <c r="A300" s="179" t="inlineStr">
        <is>
          <t>CMM</t>
        </is>
      </c>
      <c r="B300" s="179" t="inlineStr">
        <is>
          <t>IÇAMENTO JOIST</t>
        </is>
      </c>
      <c r="C300" s="192" t="n">
        <v>46440</v>
      </c>
      <c r="D300" s="192" t="n">
        <v>46444</v>
      </c>
      <c r="E300" s="192" t="n">
        <v>46445</v>
      </c>
      <c r="F300" s="193" t="n">
        <v>5</v>
      </c>
      <c r="G300" s="194" t="n">
        <v>5</v>
      </c>
      <c r="H300" s="183">
        <f>F300*G300</f>
        <v/>
      </c>
      <c r="I300" s="183" t="n">
        <v>0</v>
      </c>
      <c r="J300" s="183">
        <f>IFERROR(H300+I300,"")</f>
        <v/>
      </c>
      <c r="K300" s="183">
        <f>IFERROR(J300/G300,"")</f>
        <v/>
      </c>
      <c r="L300" s="183" t="n">
        <v>0</v>
      </c>
      <c r="M300" s="183">
        <f>IF($B$3&lt;$E300,"",$L300-$J300)</f>
        <v/>
      </c>
      <c r="N300" s="183">
        <f>IF($B$3&lt;$C300,"FUTURA",IF($B$3&lt;=$D300,"EM ANDAMENTO",IF($B$3&lt;$E300,"AGUARDANDO CORTE",IF($M300&gt;=0,"META ATINGIDA","GAP A RECUPERAR"))))</f>
        <v/>
      </c>
      <c r="O300" s="184" t="n"/>
      <c r="P300" s="175" t="n"/>
    </row>
    <row r="301">
      <c r="A301" s="179" t="inlineStr">
        <is>
          <t>CMM</t>
        </is>
      </c>
      <c r="B301" s="179" t="inlineStr">
        <is>
          <t>VIGAS</t>
        </is>
      </c>
      <c r="C301" s="192" t="n">
        <v>46440</v>
      </c>
      <c r="D301" s="192" t="n">
        <v>46444</v>
      </c>
      <c r="E301" s="192" t="n">
        <v>46445</v>
      </c>
      <c r="F301" s="193" t="n">
        <v>2</v>
      </c>
      <c r="G301" s="194" t="n">
        <v>5</v>
      </c>
      <c r="H301" s="183">
        <f>F301*G301</f>
        <v/>
      </c>
      <c r="I301" s="183" t="n">
        <v>0</v>
      </c>
      <c r="J301" s="183">
        <f>IFERROR(H301+I301,"")</f>
        <v/>
      </c>
      <c r="K301" s="183">
        <f>IFERROR(J301/G301,"")</f>
        <v/>
      </c>
      <c r="L301" s="183" t="n">
        <v>0</v>
      </c>
      <c r="M301" s="183">
        <f>IF($B$3&lt;$E301,"",$L301-$J301)</f>
        <v/>
      </c>
      <c r="N301" s="183">
        <f>IF($B$3&lt;$C301,"FUTURA",IF($B$3&lt;=$D301,"EM ANDAMENTO",IF($B$3&lt;$E301,"AGUARDANDO CORTE",IF($M301&gt;=0,"META ATINGIDA","GAP A RECUPERAR"))))</f>
        <v/>
      </c>
      <c r="O301" s="184" t="n"/>
      <c r="P301" s="175" t="n"/>
    </row>
    <row r="302">
      <c r="A302" s="179" t="inlineStr">
        <is>
          <t>GLOBO AÇOS</t>
        </is>
      </c>
      <c r="B302" s="179" t="inlineStr">
        <is>
          <t>PERFILAÇÃO</t>
        </is>
      </c>
      <c r="C302" s="192" t="n">
        <v>46440</v>
      </c>
      <c r="D302" s="192" t="n">
        <v>46444</v>
      </c>
      <c r="E302" s="192" t="n">
        <v>46445</v>
      </c>
      <c r="F302" s="193" t="n">
        <v>19</v>
      </c>
      <c r="G302" s="194" t="n">
        <v>5</v>
      </c>
      <c r="H302" s="183">
        <f>F302*G302</f>
        <v/>
      </c>
      <c r="I302" s="183" t="n">
        <v>0</v>
      </c>
      <c r="J302" s="183">
        <f>IFERROR(H302+I302,"")</f>
        <v/>
      </c>
      <c r="K302" s="183">
        <f>IFERROR(J302/G302,"")</f>
        <v/>
      </c>
      <c r="L302" s="183">
        <f>IFERROR(SUM(INDEX('CONTROLE PRODUÇÃO POR EMPRESAS'!$H$6:$H$5000,MATCH(C302,'CONTROLE PRODUÇÃO POR EMPRESAS'!$A$6:$A$5000,0)):INDEX('CONTROLE PRODUÇÃO POR EMPRESAS'!$H$6:$H$5000,MATCH(D302,'CONTROLE PRODUÇÃO POR EMPRESAS'!$A$6:$A$5000,0))),0)</f>
        <v/>
      </c>
      <c r="M302" s="183">
        <f>IF($B$3&lt;$E302,"",$L302-$J302)</f>
        <v/>
      </c>
      <c r="N302" s="183">
        <f>IF($B$3&lt;$C302,"FUTURA",IF($B$3&lt;=$D302,"EM ANDAMENTO",IF($B$3&lt;$E302,"AGUARDANDO CORTE",IF($M302&gt;=0,"META ATINGIDA","GAP A RECUPERAR"))))</f>
        <v/>
      </c>
      <c r="O302" s="184" t="n"/>
      <c r="P302" s="175" t="n"/>
    </row>
    <row r="303">
      <c r="A303" s="179" t="inlineStr">
        <is>
          <t>GLOBO AÇOS</t>
        </is>
      </c>
      <c r="B303" s="179" t="inlineStr">
        <is>
          <t>TELHAR</t>
        </is>
      </c>
      <c r="C303" s="192" t="n">
        <v>46440</v>
      </c>
      <c r="D303" s="192" t="n">
        <v>46444</v>
      </c>
      <c r="E303" s="192" t="n">
        <v>46445</v>
      </c>
      <c r="F303" s="193" t="n">
        <v>7</v>
      </c>
      <c r="G303" s="194" t="n">
        <v>5</v>
      </c>
      <c r="H303" s="183">
        <f>F303*G303</f>
        <v/>
      </c>
      <c r="I303" s="183" t="n">
        <v>0</v>
      </c>
      <c r="J303" s="183">
        <f>IFERROR(H303+I303,"")</f>
        <v/>
      </c>
      <c r="K303" s="183">
        <f>IFERROR(J303/G303,"")</f>
        <v/>
      </c>
      <c r="L303" s="183">
        <f>IFERROR(SUM(INDEX('CONTROLE PRODUÇÃO POR EMPRESAS'!$I$6:$I$5000,MATCH(C303,'CONTROLE PRODUÇÃO POR EMPRESAS'!$A$6:$A$5000,0)):INDEX('CONTROLE PRODUÇÃO POR EMPRESAS'!$I$6:$I$5000,MATCH(D303,'CONTROLE PRODUÇÃO POR EMPRESAS'!$A$6:$A$5000,0))),0)</f>
        <v/>
      </c>
      <c r="M303" s="183">
        <f>IF($B$3&lt;$E303,"",$L303-$J303)</f>
        <v/>
      </c>
      <c r="N303" s="183">
        <f>IF($B$3&lt;$C303,"FUTURA",IF($B$3&lt;=$D303,"EM ANDAMENTO",IF($B$3&lt;$E303,"AGUARDANDO CORTE",IF($M303&gt;=0,"META ATINGIDA","GAP A RECUPERAR"))))</f>
        <v/>
      </c>
      <c r="O303" s="184" t="n"/>
      <c r="P303" s="175" t="n"/>
    </row>
    <row r="304">
      <c r="A304" s="179" t="inlineStr">
        <is>
          <t>GLOBO AÇOS</t>
        </is>
      </c>
      <c r="B304" s="179" t="inlineStr">
        <is>
          <t>FECHAMENTO</t>
        </is>
      </c>
      <c r="C304" s="192" t="n">
        <v>46440</v>
      </c>
      <c r="D304" s="192" t="n">
        <v>46444</v>
      </c>
      <c r="E304" s="192" t="n">
        <v>46445</v>
      </c>
      <c r="F304" s="193" t="n">
        <v>36</v>
      </c>
      <c r="G304" s="194" t="n">
        <v>5</v>
      </c>
      <c r="H304" s="183">
        <f>F304*G304</f>
        <v/>
      </c>
      <c r="I304" s="183" t="n">
        <v>0</v>
      </c>
      <c r="J304" s="183">
        <f>IFERROR(H304+I304,"")</f>
        <v/>
      </c>
      <c r="K304" s="183">
        <f>IFERROR(J304/G304,"")</f>
        <v/>
      </c>
      <c r="L304" s="183">
        <f>IFERROR(SUM(INDEX('CONTROLE PRODUÇÃO POR EMPRESAS'!$J$6:$J$5000,MATCH(C304,'CONTROLE PRODUÇÃO POR EMPRESAS'!$A$6:$A$5000,0)):INDEX('CONTROLE PRODUÇÃO POR EMPRESAS'!$J$6:$J$5000,MATCH(D304,'CONTROLE PRODUÇÃO POR EMPRESAS'!$A$6:$A$5000,0))),0)</f>
        <v/>
      </c>
      <c r="M304" s="183">
        <f>IF($B$3&lt;$E304,"",$L304-$J304)</f>
        <v/>
      </c>
      <c r="N304" s="183">
        <f>IF($B$3&lt;$C304,"FUTURA",IF($B$3&lt;=$D304,"EM ANDAMENTO",IF($B$3&lt;$E304,"AGUARDANDO CORTE",IF($M304&gt;=0,"META ATINGIDA","GAP A RECUPERAR"))))</f>
        <v/>
      </c>
      <c r="O304" s="184" t="n"/>
      <c r="P304" s="175" t="n"/>
    </row>
    <row r="305">
      <c r="A305" s="179" t="inlineStr">
        <is>
          <t>EJ</t>
        </is>
      </c>
      <c r="B305" s="179" t="inlineStr">
        <is>
          <t>PREMONTAGEM</t>
        </is>
      </c>
      <c r="C305" s="192" t="n">
        <v>46447</v>
      </c>
      <c r="D305" s="192" t="n">
        <v>46451</v>
      </c>
      <c r="E305" s="192" t="n">
        <v>46452</v>
      </c>
      <c r="F305" s="193" t="n">
        <v>6</v>
      </c>
      <c r="G305" s="194" t="n">
        <v>5</v>
      </c>
      <c r="H305" s="183">
        <f>F305*G305</f>
        <v/>
      </c>
      <c r="I305" s="183" t="n">
        <v>0</v>
      </c>
      <c r="J305" s="183">
        <f>IFERROR(H305+I305,"")</f>
        <v/>
      </c>
      <c r="K305" s="183">
        <f>IFERROR(J305/G305,"")</f>
        <v/>
      </c>
      <c r="L305" s="183" t="n">
        <v>0</v>
      </c>
      <c r="M305" s="183">
        <f>IF($B$3&lt;$E305,"",$L305-$J305)</f>
        <v/>
      </c>
      <c r="N305" s="183">
        <f>IF($B$3&lt;$C305,"FUTURA",IF($B$3&lt;=$D305,"EM ANDAMENTO",IF($B$3&lt;$E305,"AGUARDANDO CORTE",IF($M305&gt;=0,"META ATINGIDA","GAP A RECUPERAR"))))</f>
        <v/>
      </c>
      <c r="O305" s="184" t="n"/>
      <c r="P305" s="175" t="n"/>
    </row>
    <row r="306">
      <c r="A306" s="179" t="inlineStr">
        <is>
          <t>EJ</t>
        </is>
      </c>
      <c r="B306" s="179" t="inlineStr">
        <is>
          <t>IÇAMENTO JOIST</t>
        </is>
      </c>
      <c r="C306" s="192" t="n">
        <v>46447</v>
      </c>
      <c r="D306" s="192" t="n">
        <v>46451</v>
      </c>
      <c r="E306" s="192" t="n">
        <v>46452</v>
      </c>
      <c r="F306" s="193" t="n">
        <v>5</v>
      </c>
      <c r="G306" s="194" t="n">
        <v>5</v>
      </c>
      <c r="H306" s="183">
        <f>F306*G306</f>
        <v/>
      </c>
      <c r="I306" s="183" t="n">
        <v>0</v>
      </c>
      <c r="J306" s="183">
        <f>IFERROR(H306+I306,"")</f>
        <v/>
      </c>
      <c r="K306" s="183">
        <f>IFERROR(J306/G306,"")</f>
        <v/>
      </c>
      <c r="L306" s="183" t="n">
        <v>0</v>
      </c>
      <c r="M306" s="183">
        <f>IF($B$3&lt;$E306,"",$L306-$J306)</f>
        <v/>
      </c>
      <c r="N306" s="183">
        <f>IF($B$3&lt;$C306,"FUTURA",IF($B$3&lt;=$D306,"EM ANDAMENTO",IF($B$3&lt;$E306,"AGUARDANDO CORTE",IF($M306&gt;=0,"META ATINGIDA","GAP A RECUPERAR"))))</f>
        <v/>
      </c>
      <c r="O306" s="184" t="n"/>
      <c r="P306" s="175" t="n"/>
    </row>
    <row r="307">
      <c r="A307" s="179" t="inlineStr">
        <is>
          <t>EJ</t>
        </is>
      </c>
      <c r="B307" s="179" t="inlineStr">
        <is>
          <t>VIGAS</t>
        </is>
      </c>
      <c r="C307" s="192" t="n">
        <v>46447</v>
      </c>
      <c r="D307" s="192" t="n">
        <v>46451</v>
      </c>
      <c r="E307" s="192" t="n">
        <v>46452</v>
      </c>
      <c r="F307" s="193" t="n">
        <v>2</v>
      </c>
      <c r="G307" s="194" t="n">
        <v>5</v>
      </c>
      <c r="H307" s="183">
        <f>F307*G307</f>
        <v/>
      </c>
      <c r="I307" s="183" t="n">
        <v>0</v>
      </c>
      <c r="J307" s="183">
        <f>IFERROR(H307+I307,"")</f>
        <v/>
      </c>
      <c r="K307" s="183">
        <f>IFERROR(J307/G307,"")</f>
        <v/>
      </c>
      <c r="L307" s="183" t="n">
        <v>0</v>
      </c>
      <c r="M307" s="183">
        <f>IF($B$3&lt;$E307,"",$L307-$J307)</f>
        <v/>
      </c>
      <c r="N307" s="183">
        <f>IF($B$3&lt;$C307,"FUTURA",IF($B$3&lt;=$D307,"EM ANDAMENTO",IF($B$3&lt;$E307,"AGUARDANDO CORTE",IF($M307&gt;=0,"META ATINGIDA","GAP A RECUPERAR"))))</f>
        <v/>
      </c>
      <c r="O307" s="184" t="n"/>
      <c r="P307" s="175" t="n"/>
    </row>
    <row r="308">
      <c r="A308" s="179" t="inlineStr">
        <is>
          <t>CMM</t>
        </is>
      </c>
      <c r="B308" s="179" t="inlineStr">
        <is>
          <t>PREMONTAGEM</t>
        </is>
      </c>
      <c r="C308" s="192" t="n">
        <v>46447</v>
      </c>
      <c r="D308" s="192" t="n">
        <v>46451</v>
      </c>
      <c r="E308" s="192" t="n">
        <v>46452</v>
      </c>
      <c r="F308" s="193" t="n">
        <v>6</v>
      </c>
      <c r="G308" s="194" t="n">
        <v>5</v>
      </c>
      <c r="H308" s="183">
        <f>F308*G308</f>
        <v/>
      </c>
      <c r="I308" s="183" t="n">
        <v>0</v>
      </c>
      <c r="J308" s="183">
        <f>IFERROR(H308+I308,"")</f>
        <v/>
      </c>
      <c r="K308" s="183">
        <f>IFERROR(J308/G308,"")</f>
        <v/>
      </c>
      <c r="L308" s="183" t="n">
        <v>0</v>
      </c>
      <c r="M308" s="183">
        <f>IF($B$3&lt;$E308,"",$L308-$J308)</f>
        <v/>
      </c>
      <c r="N308" s="183">
        <f>IF($B$3&lt;$C308,"FUTURA",IF($B$3&lt;=$D308,"EM ANDAMENTO",IF($B$3&lt;$E308,"AGUARDANDO CORTE",IF($M308&gt;=0,"META ATINGIDA","GAP A RECUPERAR"))))</f>
        <v/>
      </c>
      <c r="O308" s="184" t="n"/>
      <c r="P308" s="175" t="n"/>
    </row>
    <row r="309">
      <c r="A309" s="179" t="inlineStr">
        <is>
          <t>CMM</t>
        </is>
      </c>
      <c r="B309" s="179" t="inlineStr">
        <is>
          <t>IÇAMENTO JOIST</t>
        </is>
      </c>
      <c r="C309" s="192" t="n">
        <v>46447</v>
      </c>
      <c r="D309" s="192" t="n">
        <v>46451</v>
      </c>
      <c r="E309" s="192" t="n">
        <v>46452</v>
      </c>
      <c r="F309" s="193" t="n">
        <v>5</v>
      </c>
      <c r="G309" s="194" t="n">
        <v>5</v>
      </c>
      <c r="H309" s="183">
        <f>F309*G309</f>
        <v/>
      </c>
      <c r="I309" s="183" t="n">
        <v>0</v>
      </c>
      <c r="J309" s="183">
        <f>IFERROR(H309+I309,"")</f>
        <v/>
      </c>
      <c r="K309" s="183">
        <f>IFERROR(J309/G309,"")</f>
        <v/>
      </c>
      <c r="L309" s="183" t="n">
        <v>0</v>
      </c>
      <c r="M309" s="183">
        <f>IF($B$3&lt;$E309,"",$L309-$J309)</f>
        <v/>
      </c>
      <c r="N309" s="183">
        <f>IF($B$3&lt;$C309,"FUTURA",IF($B$3&lt;=$D309,"EM ANDAMENTO",IF($B$3&lt;$E309,"AGUARDANDO CORTE",IF($M309&gt;=0,"META ATINGIDA","GAP A RECUPERAR"))))</f>
        <v/>
      </c>
      <c r="O309" s="184" t="n"/>
      <c r="P309" s="175" t="n"/>
    </row>
    <row r="310">
      <c r="A310" s="179" t="inlineStr">
        <is>
          <t>CMM</t>
        </is>
      </c>
      <c r="B310" s="179" t="inlineStr">
        <is>
          <t>VIGAS</t>
        </is>
      </c>
      <c r="C310" s="192" t="n">
        <v>46447</v>
      </c>
      <c r="D310" s="192" t="n">
        <v>46451</v>
      </c>
      <c r="E310" s="192" t="n">
        <v>46452</v>
      </c>
      <c r="F310" s="193" t="n">
        <v>2</v>
      </c>
      <c r="G310" s="194" t="n">
        <v>5</v>
      </c>
      <c r="H310" s="183">
        <f>F310*G310</f>
        <v/>
      </c>
      <c r="I310" s="183" t="n">
        <v>0</v>
      </c>
      <c r="J310" s="183">
        <f>IFERROR(H310+I310,"")</f>
        <v/>
      </c>
      <c r="K310" s="183">
        <f>IFERROR(J310/G310,"")</f>
        <v/>
      </c>
      <c r="L310" s="183" t="n">
        <v>0</v>
      </c>
      <c r="M310" s="183">
        <f>IF($B$3&lt;$E310,"",$L310-$J310)</f>
        <v/>
      </c>
      <c r="N310" s="183">
        <f>IF($B$3&lt;$C310,"FUTURA",IF($B$3&lt;=$D310,"EM ANDAMENTO",IF($B$3&lt;$E310,"AGUARDANDO CORTE",IF($M310&gt;=0,"META ATINGIDA","GAP A RECUPERAR"))))</f>
        <v/>
      </c>
      <c r="O310" s="184" t="n"/>
      <c r="P310" s="175" t="n"/>
    </row>
    <row r="311">
      <c r="A311" s="179" t="inlineStr">
        <is>
          <t>GLOBO AÇOS</t>
        </is>
      </c>
      <c r="B311" s="179" t="inlineStr">
        <is>
          <t>PERFILAÇÃO</t>
        </is>
      </c>
      <c r="C311" s="192" t="n">
        <v>46447</v>
      </c>
      <c r="D311" s="192" t="n">
        <v>46451</v>
      </c>
      <c r="E311" s="192" t="n">
        <v>46452</v>
      </c>
      <c r="F311" s="193" t="n">
        <v>19</v>
      </c>
      <c r="G311" s="194" t="n">
        <v>5</v>
      </c>
      <c r="H311" s="183">
        <f>F311*G311</f>
        <v/>
      </c>
      <c r="I311" s="183" t="n">
        <v>0</v>
      </c>
      <c r="J311" s="183">
        <f>IFERROR(H311+I311,"")</f>
        <v/>
      </c>
      <c r="K311" s="183">
        <f>IFERROR(J311/G311,"")</f>
        <v/>
      </c>
      <c r="L311" s="183">
        <f>IFERROR(SUM(INDEX('CONTROLE PRODUÇÃO POR EMPRESAS'!$H$6:$H$5000,MATCH(C311,'CONTROLE PRODUÇÃO POR EMPRESAS'!$A$6:$A$5000,0)):INDEX('CONTROLE PRODUÇÃO POR EMPRESAS'!$H$6:$H$5000,MATCH(D311,'CONTROLE PRODUÇÃO POR EMPRESAS'!$A$6:$A$5000,0))),0)</f>
        <v/>
      </c>
      <c r="M311" s="183">
        <f>IF($B$3&lt;$E311,"",$L311-$J311)</f>
        <v/>
      </c>
      <c r="N311" s="179">
        <f>IF($B$3&lt;$C311,"FUTURA",IF($B$3&lt;=$D311,"EM ANDAMENTO",IF($B$3&lt;$E311,"AGUARDANDO CORTE",IF($M311&gt;=0,"META ATINGIDA","GAP A RECUPERAR"))))</f>
        <v/>
      </c>
      <c r="O311" s="175" t="n"/>
      <c r="P311" s="175" t="n"/>
    </row>
    <row r="312">
      <c r="A312" s="179" t="inlineStr">
        <is>
          <t>GLOBO AÇOS</t>
        </is>
      </c>
      <c r="B312" s="179" t="inlineStr">
        <is>
          <t>TELHAR</t>
        </is>
      </c>
      <c r="C312" s="192" t="n">
        <v>46447</v>
      </c>
      <c r="D312" s="192" t="n">
        <v>46451</v>
      </c>
      <c r="E312" s="192" t="n">
        <v>46452</v>
      </c>
      <c r="F312" s="193" t="n">
        <v>7</v>
      </c>
      <c r="G312" s="194" t="n">
        <v>5</v>
      </c>
      <c r="H312" s="183">
        <f>F312*G312</f>
        <v/>
      </c>
      <c r="I312" s="183" t="n">
        <v>0</v>
      </c>
      <c r="J312" s="183">
        <f>IFERROR(H312+I312,"")</f>
        <v/>
      </c>
      <c r="K312" s="183">
        <f>IFERROR(J312/G312,"")</f>
        <v/>
      </c>
      <c r="L312" s="183">
        <f>IFERROR(SUM(INDEX('CONTROLE PRODUÇÃO POR EMPRESAS'!$I$6:$I$5000,MATCH(C312,'CONTROLE PRODUÇÃO POR EMPRESAS'!$A$6:$A$5000,0)):INDEX('CONTROLE PRODUÇÃO POR EMPRESAS'!$I$6:$I$5000,MATCH(D312,'CONTROLE PRODUÇÃO POR EMPRESAS'!$A$6:$A$5000,0))),0)</f>
        <v/>
      </c>
      <c r="M312" s="183">
        <f>IF($B$3&lt;$E312,"",$L312-$J312)</f>
        <v/>
      </c>
      <c r="N312" s="179">
        <f>IF($B$3&lt;$C312,"FUTURA",IF($B$3&lt;=$D312,"EM ANDAMENTO",IF($B$3&lt;$E312,"AGUARDANDO CORTE",IF($M312&gt;=0,"META ATINGIDA","GAP A RECUPERAR"))))</f>
        <v/>
      </c>
      <c r="O312" s="175" t="n"/>
      <c r="P312" s="175" t="n"/>
    </row>
    <row r="313">
      <c r="A313" s="179" t="inlineStr">
        <is>
          <t>GLOBO AÇOS</t>
        </is>
      </c>
      <c r="B313" s="179" t="inlineStr">
        <is>
          <t>FECHAMENTO</t>
        </is>
      </c>
      <c r="C313" s="192" t="n">
        <v>46447</v>
      </c>
      <c r="D313" s="192" t="n">
        <v>46451</v>
      </c>
      <c r="E313" s="192" t="n">
        <v>46452</v>
      </c>
      <c r="F313" s="193" t="n">
        <v>36</v>
      </c>
      <c r="G313" s="194" t="n">
        <v>5</v>
      </c>
      <c r="H313" s="183">
        <f>F313*G313</f>
        <v/>
      </c>
      <c r="I313" s="183" t="n">
        <v>0</v>
      </c>
      <c r="J313" s="183">
        <f>IFERROR(H313+I313,"")</f>
        <v/>
      </c>
      <c r="K313" s="183">
        <f>IFERROR(J313/G313,"")</f>
        <v/>
      </c>
      <c r="L313" s="183">
        <f>IFERROR(SUM(INDEX('CONTROLE PRODUÇÃO POR EMPRESAS'!$J$6:$J$5000,MATCH(C313,'CONTROLE PRODUÇÃO POR EMPRESAS'!$A$6:$A$5000,0)):INDEX('CONTROLE PRODUÇÃO POR EMPRESAS'!$J$6:$J$5000,MATCH(D313,'CONTROLE PRODUÇÃO POR EMPRESAS'!$A$6:$A$5000,0))),0)</f>
        <v/>
      </c>
      <c r="M313" s="183">
        <f>IF($B$3&lt;$E313,"",$L313-$J313)</f>
        <v/>
      </c>
      <c r="N313" s="179">
        <f>IF($B$3&lt;$C313,"FUTURA",IF($B$3&lt;=$D313,"EM ANDAMENTO",IF($B$3&lt;$E313,"AGUARDANDO CORTE",IF($M313&gt;=0,"META ATINGIDA","GAP A RECUPERAR"))))</f>
        <v/>
      </c>
      <c r="O313" s="175" t="n"/>
      <c r="P313" s="175" t="n"/>
    </row>
    <row r="314">
      <c r="A314" s="179" t="inlineStr">
        <is>
          <t>EJ</t>
        </is>
      </c>
      <c r="B314" s="179" t="inlineStr">
        <is>
          <t>PREMONTAGEM</t>
        </is>
      </c>
      <c r="C314" s="192" t="n">
        <v>46454</v>
      </c>
      <c r="D314" s="192" t="n">
        <v>46458</v>
      </c>
      <c r="E314" s="192" t="n">
        <v>46459</v>
      </c>
      <c r="F314" s="193" t="n">
        <v>6</v>
      </c>
      <c r="G314" s="194" t="n">
        <v>5</v>
      </c>
      <c r="H314" s="183">
        <f>F314*G314</f>
        <v/>
      </c>
      <c r="I314" s="183" t="n">
        <v>0</v>
      </c>
      <c r="J314" s="183">
        <f>IFERROR(H314+I314,"")</f>
        <v/>
      </c>
      <c r="K314" s="183">
        <f>IFERROR(J314/G314,"")</f>
        <v/>
      </c>
      <c r="L314" s="183" t="n">
        <v>0</v>
      </c>
      <c r="M314" s="183">
        <f>IF($B$3&lt;$E314,"",$L314-$J314)</f>
        <v/>
      </c>
      <c r="N314" s="179">
        <f>IF($B$3&lt;$C314,"FUTURA",IF($B$3&lt;=$D314,"EM ANDAMENTO",IF($B$3&lt;$E314,"AGUARDANDO CORTE",IF($M314&gt;=0,"META ATINGIDA","GAP A RECUPERAR"))))</f>
        <v/>
      </c>
      <c r="O314" s="175" t="n"/>
      <c r="P314" s="175" t="n"/>
    </row>
    <row r="315">
      <c r="A315" s="179" t="inlineStr">
        <is>
          <t>EJ</t>
        </is>
      </c>
      <c r="B315" s="179" t="inlineStr">
        <is>
          <t>IÇAMENTO JOIST</t>
        </is>
      </c>
      <c r="C315" s="192" t="n">
        <v>46454</v>
      </c>
      <c r="D315" s="192" t="n">
        <v>46458</v>
      </c>
      <c r="E315" s="192" t="n">
        <v>46459</v>
      </c>
      <c r="F315" s="193" t="n">
        <v>5</v>
      </c>
      <c r="G315" s="194" t="n">
        <v>5</v>
      </c>
      <c r="H315" s="183">
        <f>F315*G315</f>
        <v/>
      </c>
      <c r="I315" s="183" t="n">
        <v>0</v>
      </c>
      <c r="J315" s="183">
        <f>IFERROR(H315+I315,"")</f>
        <v/>
      </c>
      <c r="K315" s="183">
        <f>IFERROR(J315/G315,"")</f>
        <v/>
      </c>
      <c r="L315" s="183" t="n">
        <v>0</v>
      </c>
      <c r="M315" s="183">
        <f>IF($B$3&lt;$E315,"",$L315-$J315)</f>
        <v/>
      </c>
      <c r="N315" s="179">
        <f>IF($B$3&lt;$C315,"FUTURA",IF($B$3&lt;=$D315,"EM ANDAMENTO",IF($B$3&lt;$E315,"AGUARDANDO CORTE",IF($M315&gt;=0,"META ATINGIDA","GAP A RECUPERAR"))))</f>
        <v/>
      </c>
      <c r="O315" s="175" t="n"/>
      <c r="P315" s="175" t="n"/>
    </row>
    <row r="316">
      <c r="A316" s="179" t="inlineStr">
        <is>
          <t>EJ</t>
        </is>
      </c>
      <c r="B316" s="179" t="inlineStr">
        <is>
          <t>VIGAS</t>
        </is>
      </c>
      <c r="C316" s="192" t="n">
        <v>46454</v>
      </c>
      <c r="D316" s="192" t="n">
        <v>46458</v>
      </c>
      <c r="E316" s="192" t="n">
        <v>46459</v>
      </c>
      <c r="F316" s="193" t="n">
        <v>2</v>
      </c>
      <c r="G316" s="194" t="n">
        <v>5</v>
      </c>
      <c r="H316" s="183">
        <f>F316*G316</f>
        <v/>
      </c>
      <c r="I316" s="183" t="n">
        <v>0</v>
      </c>
      <c r="J316" s="183">
        <f>IFERROR(H316+I316,"")</f>
        <v/>
      </c>
      <c r="K316" s="183">
        <f>IFERROR(J316/G316,"")</f>
        <v/>
      </c>
      <c r="L316" s="183" t="n">
        <v>0</v>
      </c>
      <c r="M316" s="183">
        <f>IF($B$3&lt;$E316,"",$L316-$J316)</f>
        <v/>
      </c>
      <c r="N316" s="179">
        <f>IF($B$3&lt;$C316,"FUTURA",IF($B$3&lt;=$D316,"EM ANDAMENTO",IF($B$3&lt;$E316,"AGUARDANDO CORTE",IF($M316&gt;=0,"META ATINGIDA","GAP A RECUPERAR"))))</f>
        <v/>
      </c>
      <c r="O316" s="175" t="n"/>
      <c r="P316" s="175" t="n"/>
    </row>
    <row r="317">
      <c r="A317" s="179" t="inlineStr">
        <is>
          <t>CMM</t>
        </is>
      </c>
      <c r="B317" s="179" t="inlineStr">
        <is>
          <t>PREMONTAGEM</t>
        </is>
      </c>
      <c r="C317" s="192" t="n">
        <v>46454</v>
      </c>
      <c r="D317" s="192" t="n">
        <v>46458</v>
      </c>
      <c r="E317" s="192" t="n">
        <v>46459</v>
      </c>
      <c r="F317" s="193" t="n">
        <v>6</v>
      </c>
      <c r="G317" s="194" t="n">
        <v>5</v>
      </c>
      <c r="H317" s="183">
        <f>F317*G317</f>
        <v/>
      </c>
      <c r="I317" s="183" t="n">
        <v>0</v>
      </c>
      <c r="J317" s="183">
        <f>IFERROR(H317+I317,"")</f>
        <v/>
      </c>
      <c r="K317" s="183">
        <f>IFERROR(J317/G317,"")</f>
        <v/>
      </c>
      <c r="L317" s="183" t="n">
        <v>0</v>
      </c>
      <c r="M317" s="183">
        <f>IF($B$3&lt;$E317,"",$L317-$J317)</f>
        <v/>
      </c>
      <c r="N317" s="179">
        <f>IF($B$3&lt;$C317,"FUTURA",IF($B$3&lt;=$D317,"EM ANDAMENTO",IF($B$3&lt;$E317,"AGUARDANDO CORTE",IF($M317&gt;=0,"META ATINGIDA","GAP A RECUPERAR"))))</f>
        <v/>
      </c>
      <c r="O317" s="175" t="n"/>
      <c r="P317" s="175" t="n"/>
    </row>
    <row r="318">
      <c r="A318" s="179" t="inlineStr">
        <is>
          <t>CMM</t>
        </is>
      </c>
      <c r="B318" s="179" t="inlineStr">
        <is>
          <t>IÇAMENTO JOIST</t>
        </is>
      </c>
      <c r="C318" s="192" t="n">
        <v>46454</v>
      </c>
      <c r="D318" s="192" t="n">
        <v>46458</v>
      </c>
      <c r="E318" s="192" t="n">
        <v>46459</v>
      </c>
      <c r="F318" s="193" t="n">
        <v>5</v>
      </c>
      <c r="G318" s="194" t="n">
        <v>5</v>
      </c>
      <c r="H318" s="183">
        <f>F318*G318</f>
        <v/>
      </c>
      <c r="I318" s="183" t="n">
        <v>0</v>
      </c>
      <c r="J318" s="183">
        <f>IFERROR(H318+I318,"")</f>
        <v/>
      </c>
      <c r="K318" s="183">
        <f>IFERROR(J318/G318,"")</f>
        <v/>
      </c>
      <c r="L318" s="183" t="n">
        <v>0</v>
      </c>
      <c r="M318" s="183">
        <f>IF($B$3&lt;$E318,"",$L318-$J318)</f>
        <v/>
      </c>
      <c r="N318" s="179">
        <f>IF($B$3&lt;$C318,"FUTURA",IF($B$3&lt;=$D318,"EM ANDAMENTO",IF($B$3&lt;$E318,"AGUARDANDO CORTE",IF($M318&gt;=0,"META ATINGIDA","GAP A RECUPERAR"))))</f>
        <v/>
      </c>
      <c r="O318" s="175" t="n"/>
      <c r="P318" s="175" t="n"/>
    </row>
    <row r="319">
      <c r="A319" s="179" t="inlineStr">
        <is>
          <t>CMM</t>
        </is>
      </c>
      <c r="B319" s="179" t="inlineStr">
        <is>
          <t>VIGAS</t>
        </is>
      </c>
      <c r="C319" s="192" t="n">
        <v>46454</v>
      </c>
      <c r="D319" s="192" t="n">
        <v>46458</v>
      </c>
      <c r="E319" s="192" t="n">
        <v>46459</v>
      </c>
      <c r="F319" s="193" t="n">
        <v>2</v>
      </c>
      <c r="G319" s="194" t="n">
        <v>5</v>
      </c>
      <c r="H319" s="183">
        <f>F319*G319</f>
        <v/>
      </c>
      <c r="I319" s="183" t="n">
        <v>0</v>
      </c>
      <c r="J319" s="183">
        <f>IFERROR(H319+I319,"")</f>
        <v/>
      </c>
      <c r="K319" s="183">
        <f>IFERROR(J319/G319,"")</f>
        <v/>
      </c>
      <c r="L319" s="183" t="n">
        <v>0</v>
      </c>
      <c r="M319" s="183">
        <f>IF($B$3&lt;$E319,"",$L319-$J319)</f>
        <v/>
      </c>
      <c r="N319" s="179">
        <f>IF($B$3&lt;$C319,"FUTURA",IF($B$3&lt;=$D319,"EM ANDAMENTO",IF($B$3&lt;$E319,"AGUARDANDO CORTE",IF($M319&gt;=0,"META ATINGIDA","GAP A RECUPERAR"))))</f>
        <v/>
      </c>
      <c r="O319" s="175" t="n"/>
      <c r="P319" s="175" t="n"/>
    </row>
    <row r="320">
      <c r="A320" s="179" t="inlineStr">
        <is>
          <t>GLOBO AÇOS</t>
        </is>
      </c>
      <c r="B320" s="179" t="inlineStr">
        <is>
          <t>PERFILAÇÃO</t>
        </is>
      </c>
      <c r="C320" s="192" t="n">
        <v>46454</v>
      </c>
      <c r="D320" s="192" t="n">
        <v>46458</v>
      </c>
      <c r="E320" s="192" t="n">
        <v>46459</v>
      </c>
      <c r="F320" s="193" t="n">
        <v>19</v>
      </c>
      <c r="G320" s="194" t="n">
        <v>5</v>
      </c>
      <c r="H320" s="183">
        <f>F320*G320</f>
        <v/>
      </c>
      <c r="I320" s="183" t="n">
        <v>0</v>
      </c>
      <c r="J320" s="183">
        <f>IFERROR(H320+I320,"")</f>
        <v/>
      </c>
      <c r="K320" s="183">
        <f>IFERROR(J320/G320,"")</f>
        <v/>
      </c>
      <c r="L320" s="183">
        <f>IFERROR(SUM(INDEX('CONTROLE PRODUÇÃO POR EMPRESAS'!$H$6:$H$5000,MATCH(C320,'CONTROLE PRODUÇÃO POR EMPRESAS'!$A$6:$A$5000,0)):INDEX('CONTROLE PRODUÇÃO POR EMPRESAS'!$H$6:$H$5000,MATCH(D320,'CONTROLE PRODUÇÃO POR EMPRESAS'!$A$6:$A$5000,0))),0)</f>
        <v/>
      </c>
      <c r="M320" s="183">
        <f>IF($B$3&lt;$E320,"",$L320-$J320)</f>
        <v/>
      </c>
      <c r="N320" s="179">
        <f>IF($B$3&lt;$C320,"FUTURA",IF($B$3&lt;=$D320,"EM ANDAMENTO",IF($B$3&lt;$E320,"AGUARDANDO CORTE",IF($M320&gt;=0,"META ATINGIDA","GAP A RECUPERAR"))))</f>
        <v/>
      </c>
      <c r="O320" s="175" t="n"/>
      <c r="P320" s="175" t="n"/>
    </row>
    <row r="321">
      <c r="A321" s="175" t="inlineStr">
        <is>
          <t>GLOBO AÇOS</t>
        </is>
      </c>
      <c r="B321" s="175" t="inlineStr">
        <is>
          <t>TELHAR</t>
        </is>
      </c>
      <c r="C321" s="195" t="n">
        <v>46454</v>
      </c>
      <c r="D321" s="195" t="n">
        <v>46458</v>
      </c>
      <c r="E321" s="195" t="n">
        <v>46459</v>
      </c>
      <c r="F321" s="196" t="n">
        <v>7</v>
      </c>
      <c r="G321" s="196" t="n">
        <v>5</v>
      </c>
      <c r="H321" s="175">
        <f>F321*G321</f>
        <v/>
      </c>
      <c r="I321" s="175" t="n">
        <v>0</v>
      </c>
      <c r="J321" s="175">
        <f>IFERROR(H321+I321,"")</f>
        <v/>
      </c>
      <c r="K321" s="175">
        <f>IFERROR(J321/G321,"")</f>
        <v/>
      </c>
      <c r="L321" s="175">
        <f>IFERROR(SUM(INDEX('CONTROLE PRODUÇÃO POR EMPRESAS'!$I$6:$I$5000,MATCH(C321,'CONTROLE PRODUÇÃO POR EMPRESAS'!$A$6:$A$5000,0)):INDEX('CONTROLE PRODUÇÃO POR EMPRESAS'!$I$6:$I$5000,MATCH(D321,'CONTROLE PRODUÇÃO POR EMPRESAS'!$A$6:$A$5000,0))),0)</f>
        <v/>
      </c>
      <c r="M321" s="175">
        <f>IF($B$3&lt;$E321,"",$L321-$J321)</f>
        <v/>
      </c>
      <c r="N321" s="175">
        <f>IF($B$3&lt;$C321,"FUTURA",IF($B$3&lt;=$D321,"EM ANDAMENTO",IF($B$3&lt;$E321,"AGUARDANDO CORTE",IF($M321&gt;=0,"META ATINGIDA","GAP A RECUPERAR"))))</f>
        <v/>
      </c>
      <c r="O321" s="175" t="n"/>
      <c r="P321" s="175" t="n"/>
    </row>
    <row r="322">
      <c r="A322" s="175" t="inlineStr">
        <is>
          <t>GLOBO AÇOS</t>
        </is>
      </c>
      <c r="B322" s="175" t="inlineStr">
        <is>
          <t>FECHAMENTO</t>
        </is>
      </c>
      <c r="C322" s="195" t="n">
        <v>46454</v>
      </c>
      <c r="D322" s="195" t="n">
        <v>46458</v>
      </c>
      <c r="E322" s="195" t="n">
        <v>46459</v>
      </c>
      <c r="F322" s="196" t="n">
        <v>36</v>
      </c>
      <c r="G322" s="196" t="n">
        <v>5</v>
      </c>
      <c r="H322" s="175">
        <f>F322*G322</f>
        <v/>
      </c>
      <c r="I322" s="175" t="n">
        <v>0</v>
      </c>
      <c r="J322" s="175">
        <f>IFERROR(H322+I322,"")</f>
        <v/>
      </c>
      <c r="K322" s="175">
        <f>IFERROR(J322/G322,"")</f>
        <v/>
      </c>
      <c r="L322" s="175">
        <f>IFERROR(SUM(INDEX('CONTROLE PRODUÇÃO POR EMPRESAS'!$J$6:$J$5000,MATCH(C322,'CONTROLE PRODUÇÃO POR EMPRESAS'!$A$6:$A$5000,0)):INDEX('CONTROLE PRODUÇÃO POR EMPRESAS'!$J$6:$J$5000,MATCH(D322,'CONTROLE PRODUÇÃO POR EMPRESAS'!$A$6:$A$5000,0))),0)</f>
        <v/>
      </c>
      <c r="M322" s="175">
        <f>IF($B$3&lt;$E322,"",$L322-$J322)</f>
        <v/>
      </c>
      <c r="N322" s="175">
        <f>IF($B$3&lt;$C322,"FUTURA",IF($B$3&lt;=$D322,"EM ANDAMENTO",IF($B$3&lt;$E322,"AGUARDANDO CORTE",IF($M322&gt;=0,"META ATINGIDA","GAP A RECUPERAR"))))</f>
        <v/>
      </c>
      <c r="O322" s="175" t="n"/>
      <c r="P322" s="175" t="n"/>
    </row>
    <row r="323">
      <c r="A323" s="175" t="inlineStr">
        <is>
          <t>EJ</t>
        </is>
      </c>
      <c r="B323" s="175" t="inlineStr">
        <is>
          <t>PREMONTAGEM</t>
        </is>
      </c>
      <c r="C323" s="195" t="n">
        <v>46461</v>
      </c>
      <c r="D323" s="195" t="n">
        <v>46465</v>
      </c>
      <c r="E323" s="195" t="n">
        <v>46466</v>
      </c>
      <c r="F323" s="196" t="n">
        <v>6</v>
      </c>
      <c r="G323" s="196" t="n">
        <v>5</v>
      </c>
      <c r="H323" s="175">
        <f>F323*G323</f>
        <v/>
      </c>
      <c r="I323" s="175" t="n">
        <v>0</v>
      </c>
      <c r="J323" s="175">
        <f>IFERROR(H323+I323,"")</f>
        <v/>
      </c>
      <c r="K323" s="175">
        <f>IFERROR(J323/G323,"")</f>
        <v/>
      </c>
      <c r="L323" s="175" t="n">
        <v>0</v>
      </c>
      <c r="M323" s="175">
        <f>IF($B$3&lt;$E323,"",$L323-$J323)</f>
        <v/>
      </c>
      <c r="N323" s="175">
        <f>IF($B$3&lt;$C323,"FUTURA",IF($B$3&lt;=$D323,"EM ANDAMENTO",IF($B$3&lt;$E323,"AGUARDANDO CORTE",IF($M323&gt;=0,"META ATINGIDA","GAP A RECUPERAR"))))</f>
        <v/>
      </c>
      <c r="O323" s="175" t="n"/>
      <c r="P323" s="175" t="n"/>
    </row>
    <row r="324">
      <c r="A324" s="175" t="inlineStr">
        <is>
          <t>EJ</t>
        </is>
      </c>
      <c r="B324" s="175" t="inlineStr">
        <is>
          <t>IÇAMENTO JOIST</t>
        </is>
      </c>
      <c r="C324" s="195" t="n">
        <v>46461</v>
      </c>
      <c r="D324" s="195" t="n">
        <v>46465</v>
      </c>
      <c r="E324" s="195" t="n">
        <v>46466</v>
      </c>
      <c r="F324" s="196" t="n">
        <v>5</v>
      </c>
      <c r="G324" s="196" t="n">
        <v>5</v>
      </c>
      <c r="H324" s="175">
        <f>F324*G324</f>
        <v/>
      </c>
      <c r="I324" s="175" t="n">
        <v>0</v>
      </c>
      <c r="J324" s="175">
        <f>IFERROR(H324+I324,"")</f>
        <v/>
      </c>
      <c r="K324" s="175">
        <f>IFERROR(J324/G324,"")</f>
        <v/>
      </c>
      <c r="L324" s="175" t="n">
        <v>0</v>
      </c>
      <c r="M324" s="175">
        <f>IF($B$3&lt;$E324,"",$L324-$J324)</f>
        <v/>
      </c>
      <c r="N324" s="175">
        <f>IF($B$3&lt;$C324,"FUTURA",IF($B$3&lt;=$D324,"EM ANDAMENTO",IF($B$3&lt;$E324,"AGUARDANDO CORTE",IF($M324&gt;=0,"META ATINGIDA","GAP A RECUPERAR"))))</f>
        <v/>
      </c>
      <c r="O324" s="175" t="n"/>
      <c r="P324" s="175" t="n"/>
    </row>
    <row r="325">
      <c r="A325" s="175" t="inlineStr">
        <is>
          <t>EJ</t>
        </is>
      </c>
      <c r="B325" s="175" t="inlineStr">
        <is>
          <t>VIGAS</t>
        </is>
      </c>
      <c r="C325" s="195" t="n">
        <v>46461</v>
      </c>
      <c r="D325" s="195" t="n">
        <v>46465</v>
      </c>
      <c r="E325" s="195" t="n">
        <v>46466</v>
      </c>
      <c r="F325" s="196" t="n">
        <v>2</v>
      </c>
      <c r="G325" s="196" t="n">
        <v>5</v>
      </c>
      <c r="H325" s="175">
        <f>F325*G325</f>
        <v/>
      </c>
      <c r="I325" s="175" t="n">
        <v>0</v>
      </c>
      <c r="J325" s="175">
        <f>IFERROR(H325+I325,"")</f>
        <v/>
      </c>
      <c r="K325" s="175">
        <f>IFERROR(J325/G325,"")</f>
        <v/>
      </c>
      <c r="L325" s="175" t="n">
        <v>0</v>
      </c>
      <c r="M325" s="175">
        <f>IF($B$3&lt;$E325,"",$L325-$J325)</f>
        <v/>
      </c>
      <c r="N325" s="175">
        <f>IF($B$3&lt;$C325,"FUTURA",IF($B$3&lt;=$D325,"EM ANDAMENTO",IF($B$3&lt;$E325,"AGUARDANDO CORTE",IF($M325&gt;=0,"META ATINGIDA","GAP A RECUPERAR"))))</f>
        <v/>
      </c>
      <c r="O325" s="175" t="n"/>
      <c r="P325" s="175" t="n"/>
    </row>
    <row r="326">
      <c r="A326" s="175" t="inlineStr">
        <is>
          <t>CMM</t>
        </is>
      </c>
      <c r="B326" s="175" t="inlineStr">
        <is>
          <t>PREMONTAGEM</t>
        </is>
      </c>
      <c r="C326" s="195" t="n">
        <v>46461</v>
      </c>
      <c r="D326" s="195" t="n">
        <v>46465</v>
      </c>
      <c r="E326" s="195" t="n">
        <v>46466</v>
      </c>
      <c r="F326" s="196" t="n">
        <v>6</v>
      </c>
      <c r="G326" s="196" t="n">
        <v>5</v>
      </c>
      <c r="H326" s="175">
        <f>F326*G326</f>
        <v/>
      </c>
      <c r="I326" s="175" t="n">
        <v>0</v>
      </c>
      <c r="J326" s="175">
        <f>IFERROR(H326+I326,"")</f>
        <v/>
      </c>
      <c r="K326" s="175">
        <f>IFERROR(J326/G326,"")</f>
        <v/>
      </c>
      <c r="L326" s="175" t="n">
        <v>0</v>
      </c>
      <c r="M326" s="175">
        <f>IF($B$3&lt;$E326,"",$L326-$J326)</f>
        <v/>
      </c>
      <c r="N326" s="175">
        <f>IF($B$3&lt;$C326,"FUTURA",IF($B$3&lt;=$D326,"EM ANDAMENTO",IF($B$3&lt;$E326,"AGUARDANDO CORTE",IF($M326&gt;=0,"META ATINGIDA","GAP A RECUPERAR"))))</f>
        <v/>
      </c>
      <c r="O326" s="175" t="n"/>
      <c r="P326" s="175" t="n"/>
    </row>
    <row r="327">
      <c r="A327" s="175" t="inlineStr">
        <is>
          <t>CMM</t>
        </is>
      </c>
      <c r="B327" s="175" t="inlineStr">
        <is>
          <t>IÇAMENTO JOIST</t>
        </is>
      </c>
      <c r="C327" s="195" t="n">
        <v>46461</v>
      </c>
      <c r="D327" s="195" t="n">
        <v>46465</v>
      </c>
      <c r="E327" s="195" t="n">
        <v>46466</v>
      </c>
      <c r="F327" s="196" t="n">
        <v>5</v>
      </c>
      <c r="G327" s="196" t="n">
        <v>5</v>
      </c>
      <c r="H327" s="175">
        <f>F327*G327</f>
        <v/>
      </c>
      <c r="I327" s="175" t="n">
        <v>0</v>
      </c>
      <c r="J327" s="175">
        <f>IFERROR(H327+I327,"")</f>
        <v/>
      </c>
      <c r="K327" s="175">
        <f>IFERROR(J327/G327,"")</f>
        <v/>
      </c>
      <c r="L327" s="175" t="n">
        <v>0</v>
      </c>
      <c r="M327" s="175">
        <f>IF($B$3&lt;$E327,"",$L327-$J327)</f>
        <v/>
      </c>
      <c r="N327" s="175">
        <f>IF($B$3&lt;$C327,"FUTURA",IF($B$3&lt;=$D327,"EM ANDAMENTO",IF($B$3&lt;$E327,"AGUARDANDO CORTE",IF($M327&gt;=0,"META ATINGIDA","GAP A RECUPERAR"))))</f>
        <v/>
      </c>
      <c r="O327" s="175" t="n"/>
      <c r="P327" s="175" t="n"/>
    </row>
    <row r="328">
      <c r="A328" s="175" t="inlineStr">
        <is>
          <t>CMM</t>
        </is>
      </c>
      <c r="B328" s="175" t="inlineStr">
        <is>
          <t>VIGAS</t>
        </is>
      </c>
      <c r="C328" s="195" t="n">
        <v>46461</v>
      </c>
      <c r="D328" s="195" t="n">
        <v>46465</v>
      </c>
      <c r="E328" s="195" t="n">
        <v>46466</v>
      </c>
      <c r="F328" s="196" t="n">
        <v>2</v>
      </c>
      <c r="G328" s="196" t="n">
        <v>5</v>
      </c>
      <c r="H328" s="175">
        <f>F328*G328</f>
        <v/>
      </c>
      <c r="I328" s="175" t="n">
        <v>0</v>
      </c>
      <c r="J328" s="175">
        <f>IFERROR(H328+I328,"")</f>
        <v/>
      </c>
      <c r="K328" s="175">
        <f>IFERROR(J328/G328,"")</f>
        <v/>
      </c>
      <c r="L328" s="175" t="n">
        <v>0</v>
      </c>
      <c r="M328" s="175">
        <f>IF($B$3&lt;$E328,"",$L328-$J328)</f>
        <v/>
      </c>
      <c r="N328" s="175">
        <f>IF($B$3&lt;$C328,"FUTURA",IF($B$3&lt;=$D328,"EM ANDAMENTO",IF($B$3&lt;$E328,"AGUARDANDO CORTE",IF($M328&gt;=0,"META ATINGIDA","GAP A RECUPERAR"))))</f>
        <v/>
      </c>
      <c r="O328" s="175" t="n"/>
      <c r="P328" s="175" t="n"/>
    </row>
    <row r="329">
      <c r="A329" s="175" t="inlineStr">
        <is>
          <t>GLOBO AÇOS</t>
        </is>
      </c>
      <c r="B329" s="175" t="inlineStr">
        <is>
          <t>PERFILAÇÃO</t>
        </is>
      </c>
      <c r="C329" s="195" t="n">
        <v>46461</v>
      </c>
      <c r="D329" s="195" t="n">
        <v>46465</v>
      </c>
      <c r="E329" s="195" t="n">
        <v>46466</v>
      </c>
      <c r="F329" s="196" t="n">
        <v>19</v>
      </c>
      <c r="G329" s="196" t="n">
        <v>5</v>
      </c>
      <c r="H329" s="175">
        <f>F329*G329</f>
        <v/>
      </c>
      <c r="I329" s="175" t="n">
        <v>0</v>
      </c>
      <c r="J329" s="175">
        <f>IFERROR(H329+I329,"")</f>
        <v/>
      </c>
      <c r="K329" s="175">
        <f>IFERROR(J329/G329,"")</f>
        <v/>
      </c>
      <c r="L329" s="175">
        <f>IFERROR(SUM(INDEX('CONTROLE PRODUÇÃO POR EMPRESAS'!$H$6:$H$5000,MATCH(C329,'CONTROLE PRODUÇÃO POR EMPRESAS'!$A$6:$A$5000,0)):INDEX('CONTROLE PRODUÇÃO POR EMPRESAS'!$H$6:$H$5000,MATCH(D329,'CONTROLE PRODUÇÃO POR EMPRESAS'!$A$6:$A$5000,0))),0)</f>
        <v/>
      </c>
      <c r="M329" s="175">
        <f>IF($B$3&lt;$E329,"",$L329-$J329)</f>
        <v/>
      </c>
      <c r="N329" s="175">
        <f>IF($B$3&lt;$C329,"FUTURA",IF($B$3&lt;=$D329,"EM ANDAMENTO",IF($B$3&lt;$E329,"AGUARDANDO CORTE",IF($M329&gt;=0,"META ATINGIDA","GAP A RECUPERAR"))))</f>
        <v/>
      </c>
      <c r="O329" s="175" t="n"/>
      <c r="P329" s="175" t="n"/>
    </row>
    <row r="330">
      <c r="A330" s="175" t="inlineStr">
        <is>
          <t>GLOBO AÇOS</t>
        </is>
      </c>
      <c r="B330" s="175" t="inlineStr">
        <is>
          <t>TELHAR</t>
        </is>
      </c>
      <c r="C330" s="195" t="n">
        <v>46461</v>
      </c>
      <c r="D330" s="195" t="n">
        <v>46465</v>
      </c>
      <c r="E330" s="195" t="n">
        <v>46466</v>
      </c>
      <c r="F330" s="196" t="n">
        <v>7</v>
      </c>
      <c r="G330" s="196" t="n">
        <v>5</v>
      </c>
      <c r="H330" s="175">
        <f>F330*G330</f>
        <v/>
      </c>
      <c r="I330" s="175" t="n">
        <v>0</v>
      </c>
      <c r="J330" s="175">
        <f>IFERROR(H330+I330,"")</f>
        <v/>
      </c>
      <c r="K330" s="175">
        <f>IFERROR(J330/G330,"")</f>
        <v/>
      </c>
      <c r="L330" s="175">
        <f>IFERROR(SUM(INDEX('CONTROLE PRODUÇÃO POR EMPRESAS'!$I$6:$I$5000,MATCH(C330,'CONTROLE PRODUÇÃO POR EMPRESAS'!$A$6:$A$5000,0)):INDEX('CONTROLE PRODUÇÃO POR EMPRESAS'!$I$6:$I$5000,MATCH(D330,'CONTROLE PRODUÇÃO POR EMPRESAS'!$A$6:$A$5000,0))),0)</f>
        <v/>
      </c>
      <c r="M330" s="175">
        <f>IF($B$3&lt;$E330,"",$L330-$J330)</f>
        <v/>
      </c>
      <c r="N330" s="175">
        <f>IF($B$3&lt;$C330,"FUTURA",IF($B$3&lt;=$D330,"EM ANDAMENTO",IF($B$3&lt;$E330,"AGUARDANDO CORTE",IF($M330&gt;=0,"META ATINGIDA","GAP A RECUPERAR"))))</f>
        <v/>
      </c>
      <c r="O330" s="175" t="n"/>
      <c r="P330" s="175" t="n"/>
    </row>
    <row r="331">
      <c r="A331" s="175" t="inlineStr">
        <is>
          <t>GLOBO AÇOS</t>
        </is>
      </c>
      <c r="B331" s="175" t="inlineStr">
        <is>
          <t>FECHAMENTO</t>
        </is>
      </c>
      <c r="C331" s="195" t="n">
        <v>46461</v>
      </c>
      <c r="D331" s="195" t="n">
        <v>46465</v>
      </c>
      <c r="E331" s="195" t="n">
        <v>46466</v>
      </c>
      <c r="F331" s="196" t="n">
        <v>36</v>
      </c>
      <c r="G331" s="196" t="n">
        <v>5</v>
      </c>
      <c r="H331" s="175">
        <f>F331*G331</f>
        <v/>
      </c>
      <c r="I331" s="175" t="n">
        <v>0</v>
      </c>
      <c r="J331" s="175">
        <f>IFERROR(H331+I331,"")</f>
        <v/>
      </c>
      <c r="K331" s="175">
        <f>IFERROR(J331/G331,"")</f>
        <v/>
      </c>
      <c r="L331" s="175">
        <f>IFERROR(SUM(INDEX('CONTROLE PRODUÇÃO POR EMPRESAS'!$J$6:$J$5000,MATCH(C331,'CONTROLE PRODUÇÃO POR EMPRESAS'!$A$6:$A$5000,0)):INDEX('CONTROLE PRODUÇÃO POR EMPRESAS'!$J$6:$J$5000,MATCH(D331,'CONTROLE PRODUÇÃO POR EMPRESAS'!$A$6:$A$5000,0))),0)</f>
        <v/>
      </c>
      <c r="M331" s="175">
        <f>IF($B$3&lt;$E331,"",$L331-$J331)</f>
        <v/>
      </c>
      <c r="N331" s="175">
        <f>IF($B$3&lt;$C331,"FUTURA",IF($B$3&lt;=$D331,"EM ANDAMENTO",IF($B$3&lt;$E331,"AGUARDANDO CORTE",IF($M331&gt;=0,"META ATINGIDA","GAP A RECUPERAR"))))</f>
        <v/>
      </c>
      <c r="O331" s="175" t="n"/>
      <c r="P331" s="175" t="n"/>
    </row>
    <row r="332">
      <c r="A332" s="175" t="inlineStr">
        <is>
          <t>EJ</t>
        </is>
      </c>
      <c r="B332" s="175" t="inlineStr">
        <is>
          <t>PREMONTAGEM</t>
        </is>
      </c>
      <c r="C332" s="195" t="n">
        <v>46468</v>
      </c>
      <c r="D332" s="195" t="n">
        <v>46472</v>
      </c>
      <c r="E332" s="195" t="n">
        <v>46473</v>
      </c>
      <c r="F332" s="196" t="n">
        <v>6</v>
      </c>
      <c r="G332" s="196" t="n">
        <v>5</v>
      </c>
      <c r="H332" s="175">
        <f>F332*G332</f>
        <v/>
      </c>
      <c r="I332" s="175" t="n">
        <v>0</v>
      </c>
      <c r="J332" s="175">
        <f>IFERROR(H332+I332,"")</f>
        <v/>
      </c>
      <c r="K332" s="175">
        <f>IFERROR(J332/G332,"")</f>
        <v/>
      </c>
      <c r="L332" s="175" t="n">
        <v>0</v>
      </c>
      <c r="M332" s="175">
        <f>IF($B$3&lt;$E332,"",$L332-$J332)</f>
        <v/>
      </c>
      <c r="N332" s="175">
        <f>IF($B$3&lt;$C332,"FUTURA",IF($B$3&lt;=$D332,"EM ANDAMENTO",IF($B$3&lt;$E332,"AGUARDANDO CORTE",IF($M332&gt;=0,"META ATINGIDA","GAP A RECUPERAR"))))</f>
        <v/>
      </c>
      <c r="O332" s="175" t="n"/>
      <c r="P332" s="175" t="n"/>
    </row>
    <row r="333">
      <c r="A333" s="175" t="inlineStr">
        <is>
          <t>EJ</t>
        </is>
      </c>
      <c r="B333" s="175" t="inlineStr">
        <is>
          <t>IÇAMENTO JOIST</t>
        </is>
      </c>
      <c r="C333" s="195" t="n">
        <v>46468</v>
      </c>
      <c r="D333" s="195" t="n">
        <v>46472</v>
      </c>
      <c r="E333" s="195" t="n">
        <v>46473</v>
      </c>
      <c r="F333" s="196" t="n">
        <v>5</v>
      </c>
      <c r="G333" s="196" t="n">
        <v>5</v>
      </c>
      <c r="H333" s="175">
        <f>F333*G333</f>
        <v/>
      </c>
      <c r="I333" s="175" t="n">
        <v>0</v>
      </c>
      <c r="J333" s="175">
        <f>IFERROR(H333+I333,"")</f>
        <v/>
      </c>
      <c r="K333" s="175">
        <f>IFERROR(J333/G333,"")</f>
        <v/>
      </c>
      <c r="L333" s="175" t="n">
        <v>0</v>
      </c>
      <c r="M333" s="175">
        <f>IF($B$3&lt;$E333,"",$L333-$J333)</f>
        <v/>
      </c>
      <c r="N333" s="175">
        <f>IF($B$3&lt;$C333,"FUTURA",IF($B$3&lt;=$D333,"EM ANDAMENTO",IF($B$3&lt;$E333,"AGUARDANDO CORTE",IF($M333&gt;=0,"META ATINGIDA","GAP A RECUPERAR"))))</f>
        <v/>
      </c>
      <c r="O333" s="175" t="n"/>
      <c r="P333" s="175" t="n"/>
    </row>
    <row r="334">
      <c r="A334" s="175" t="inlineStr">
        <is>
          <t>EJ</t>
        </is>
      </c>
      <c r="B334" s="175" t="inlineStr">
        <is>
          <t>VIGAS</t>
        </is>
      </c>
      <c r="C334" s="195" t="n">
        <v>46468</v>
      </c>
      <c r="D334" s="195" t="n">
        <v>46472</v>
      </c>
      <c r="E334" s="195" t="n">
        <v>46473</v>
      </c>
      <c r="F334" s="196" t="n">
        <v>2</v>
      </c>
      <c r="G334" s="196" t="n">
        <v>5</v>
      </c>
      <c r="H334" s="175">
        <f>F334*G334</f>
        <v/>
      </c>
      <c r="I334" s="175" t="n">
        <v>0</v>
      </c>
      <c r="J334" s="175">
        <f>IFERROR(H334+I334,"")</f>
        <v/>
      </c>
      <c r="K334" s="175">
        <f>IFERROR(J334/G334,"")</f>
        <v/>
      </c>
      <c r="L334" s="175" t="n">
        <v>0</v>
      </c>
      <c r="M334" s="175">
        <f>IF($B$3&lt;$E334,"",$L334-$J334)</f>
        <v/>
      </c>
      <c r="N334" s="175">
        <f>IF($B$3&lt;$C334,"FUTURA",IF($B$3&lt;=$D334,"EM ANDAMENTO",IF($B$3&lt;$E334,"AGUARDANDO CORTE",IF($M334&gt;=0,"META ATINGIDA","GAP A RECUPERAR"))))</f>
        <v/>
      </c>
      <c r="O334" s="175" t="n"/>
      <c r="P334" s="175" t="n"/>
    </row>
    <row r="335">
      <c r="A335" s="175" t="inlineStr">
        <is>
          <t>CMM</t>
        </is>
      </c>
      <c r="B335" s="175" t="inlineStr">
        <is>
          <t>PREMONTAGEM</t>
        </is>
      </c>
      <c r="C335" s="195" t="n">
        <v>46468</v>
      </c>
      <c r="D335" s="195" t="n">
        <v>46472</v>
      </c>
      <c r="E335" s="195" t="n">
        <v>46473</v>
      </c>
      <c r="F335" s="196" t="n">
        <v>6</v>
      </c>
      <c r="G335" s="196" t="n">
        <v>5</v>
      </c>
      <c r="H335" s="175">
        <f>F335*G335</f>
        <v/>
      </c>
      <c r="I335" s="175" t="n">
        <v>0</v>
      </c>
      <c r="J335" s="175">
        <f>IFERROR(H335+I335,"")</f>
        <v/>
      </c>
      <c r="K335" s="175">
        <f>IFERROR(J335/G335,"")</f>
        <v/>
      </c>
      <c r="L335" s="175" t="n">
        <v>0</v>
      </c>
      <c r="M335" s="175">
        <f>IF($B$3&lt;$E335,"",$L335-$J335)</f>
        <v/>
      </c>
      <c r="N335" s="175">
        <f>IF($B$3&lt;$C335,"FUTURA",IF($B$3&lt;=$D335,"EM ANDAMENTO",IF($B$3&lt;$E335,"AGUARDANDO CORTE",IF($M335&gt;=0,"META ATINGIDA","GAP A RECUPERAR"))))</f>
        <v/>
      </c>
      <c r="O335" s="175" t="n"/>
      <c r="P335" s="175" t="n"/>
    </row>
    <row r="336">
      <c r="A336" s="175" t="inlineStr">
        <is>
          <t>CMM</t>
        </is>
      </c>
      <c r="B336" s="175" t="inlineStr">
        <is>
          <t>IÇAMENTO JOIST</t>
        </is>
      </c>
      <c r="C336" s="195" t="n">
        <v>46468</v>
      </c>
      <c r="D336" s="195" t="n">
        <v>46472</v>
      </c>
      <c r="E336" s="195" t="n">
        <v>46473</v>
      </c>
      <c r="F336" s="196" t="n">
        <v>5</v>
      </c>
      <c r="G336" s="196" t="n">
        <v>5</v>
      </c>
      <c r="H336" s="175">
        <f>F336*G336</f>
        <v/>
      </c>
      <c r="I336" s="175" t="n">
        <v>0</v>
      </c>
      <c r="J336" s="175">
        <f>IFERROR(H336+I336,"")</f>
        <v/>
      </c>
      <c r="K336" s="175">
        <f>IFERROR(J336/G336,"")</f>
        <v/>
      </c>
      <c r="L336" s="175" t="n">
        <v>0</v>
      </c>
      <c r="M336" s="175">
        <f>IF($B$3&lt;$E336,"",$L336-$J336)</f>
        <v/>
      </c>
      <c r="N336" s="175">
        <f>IF($B$3&lt;$C336,"FUTURA",IF($B$3&lt;=$D336,"EM ANDAMENTO",IF($B$3&lt;$E336,"AGUARDANDO CORTE",IF($M336&gt;=0,"META ATINGIDA","GAP A RECUPERAR"))))</f>
        <v/>
      </c>
      <c r="O336" s="175" t="n"/>
      <c r="P336" s="175" t="n"/>
    </row>
    <row r="337">
      <c r="A337" s="175" t="inlineStr">
        <is>
          <t>CMM</t>
        </is>
      </c>
      <c r="B337" s="175" t="inlineStr">
        <is>
          <t>VIGAS</t>
        </is>
      </c>
      <c r="C337" s="195" t="n">
        <v>46468</v>
      </c>
      <c r="D337" s="195" t="n">
        <v>46472</v>
      </c>
      <c r="E337" s="195" t="n">
        <v>46473</v>
      </c>
      <c r="F337" s="196" t="n">
        <v>2</v>
      </c>
      <c r="G337" s="196" t="n">
        <v>5</v>
      </c>
      <c r="H337" s="175">
        <f>F337*G337</f>
        <v/>
      </c>
      <c r="I337" s="175" t="n">
        <v>0</v>
      </c>
      <c r="J337" s="175">
        <f>IFERROR(H337+I337,"")</f>
        <v/>
      </c>
      <c r="K337" s="175">
        <f>IFERROR(J337/G337,"")</f>
        <v/>
      </c>
      <c r="L337" s="175" t="n">
        <v>0</v>
      </c>
      <c r="M337" s="175">
        <f>IF($B$3&lt;$E337,"",$L337-$J337)</f>
        <v/>
      </c>
      <c r="N337" s="175">
        <f>IF($B$3&lt;$C337,"FUTURA",IF($B$3&lt;=$D337,"EM ANDAMENTO",IF($B$3&lt;$E337,"AGUARDANDO CORTE",IF($M337&gt;=0,"META ATINGIDA","GAP A RECUPERAR"))))</f>
        <v/>
      </c>
      <c r="O337" s="175" t="n"/>
      <c r="P337" s="175" t="n"/>
    </row>
    <row r="338">
      <c r="A338" s="175" t="inlineStr">
        <is>
          <t>GLOBO AÇOS</t>
        </is>
      </c>
      <c r="B338" s="175" t="inlineStr">
        <is>
          <t>PERFILAÇÃO</t>
        </is>
      </c>
      <c r="C338" s="195" t="n">
        <v>46468</v>
      </c>
      <c r="D338" s="195" t="n">
        <v>46472</v>
      </c>
      <c r="E338" s="195" t="n">
        <v>46473</v>
      </c>
      <c r="F338" s="196" t="n">
        <v>19</v>
      </c>
      <c r="G338" s="196" t="n">
        <v>5</v>
      </c>
      <c r="H338" s="175">
        <f>F338*G338</f>
        <v/>
      </c>
      <c r="I338" s="175" t="n">
        <v>0</v>
      </c>
      <c r="J338" s="175">
        <f>IFERROR(H338+I338,"")</f>
        <v/>
      </c>
      <c r="K338" s="175">
        <f>IFERROR(J338/G338,"")</f>
        <v/>
      </c>
      <c r="L338" s="175">
        <f>IFERROR(SUM(INDEX('CONTROLE PRODUÇÃO POR EMPRESAS'!$H$6:$H$5000,MATCH(C338,'CONTROLE PRODUÇÃO POR EMPRESAS'!$A$6:$A$5000,0)):INDEX('CONTROLE PRODUÇÃO POR EMPRESAS'!$H$6:$H$5000,MATCH(D338,'CONTROLE PRODUÇÃO POR EMPRESAS'!$A$6:$A$5000,0))),0)</f>
        <v/>
      </c>
      <c r="M338" s="175">
        <f>IF($B$3&lt;$E338,"",$L338-$J338)</f>
        <v/>
      </c>
      <c r="N338" s="175">
        <f>IF($B$3&lt;$C338,"FUTURA",IF($B$3&lt;=$D338,"EM ANDAMENTO",IF($B$3&lt;$E338,"AGUARDANDO CORTE",IF($M338&gt;=0,"META ATINGIDA","GAP A RECUPERAR"))))</f>
        <v/>
      </c>
      <c r="O338" s="175" t="n"/>
      <c r="P338" s="175" t="n"/>
    </row>
    <row r="339">
      <c r="A339" s="175" t="inlineStr">
        <is>
          <t>GLOBO AÇOS</t>
        </is>
      </c>
      <c r="B339" s="175" t="inlineStr">
        <is>
          <t>TELHAR</t>
        </is>
      </c>
      <c r="C339" s="195" t="n">
        <v>46468</v>
      </c>
      <c r="D339" s="195" t="n">
        <v>46472</v>
      </c>
      <c r="E339" s="195" t="n">
        <v>46473</v>
      </c>
      <c r="F339" s="196" t="n">
        <v>7</v>
      </c>
      <c r="G339" s="196" t="n">
        <v>5</v>
      </c>
      <c r="H339" s="175">
        <f>F339*G339</f>
        <v/>
      </c>
      <c r="I339" s="175" t="n">
        <v>0</v>
      </c>
      <c r="J339" s="175">
        <f>IFERROR(H339+I339,"")</f>
        <v/>
      </c>
      <c r="K339" s="175">
        <f>IFERROR(J339/G339,"")</f>
        <v/>
      </c>
      <c r="L339" s="175">
        <f>IFERROR(SUM(INDEX('CONTROLE PRODUÇÃO POR EMPRESAS'!$I$6:$I$5000,MATCH(C339,'CONTROLE PRODUÇÃO POR EMPRESAS'!$A$6:$A$5000,0)):INDEX('CONTROLE PRODUÇÃO POR EMPRESAS'!$I$6:$I$5000,MATCH(D339,'CONTROLE PRODUÇÃO POR EMPRESAS'!$A$6:$A$5000,0))),0)</f>
        <v/>
      </c>
      <c r="M339" s="175">
        <f>IF($B$3&lt;$E339,"",$L339-$J339)</f>
        <v/>
      </c>
      <c r="N339" s="175">
        <f>IF($B$3&lt;$C339,"FUTURA",IF($B$3&lt;=$D339,"EM ANDAMENTO",IF($B$3&lt;$E339,"AGUARDANDO CORTE",IF($M339&gt;=0,"META ATINGIDA","GAP A RECUPERAR"))))</f>
        <v/>
      </c>
      <c r="O339" s="175" t="n"/>
      <c r="P339" s="175" t="n"/>
    </row>
    <row r="340">
      <c r="A340" s="175" t="inlineStr">
        <is>
          <t>GLOBO AÇOS</t>
        </is>
      </c>
      <c r="B340" s="175" t="inlineStr">
        <is>
          <t>FECHAMENTO</t>
        </is>
      </c>
      <c r="C340" s="195" t="n">
        <v>46468</v>
      </c>
      <c r="D340" s="195" t="n">
        <v>46472</v>
      </c>
      <c r="E340" s="195" t="n">
        <v>46473</v>
      </c>
      <c r="F340" s="196" t="n">
        <v>36</v>
      </c>
      <c r="G340" s="196" t="n">
        <v>5</v>
      </c>
      <c r="H340" s="175">
        <f>F340*G340</f>
        <v/>
      </c>
      <c r="I340" s="175" t="n">
        <v>0</v>
      </c>
      <c r="J340" s="175">
        <f>IFERROR(H340+I340,"")</f>
        <v/>
      </c>
      <c r="K340" s="175">
        <f>IFERROR(J340/G340,"")</f>
        <v/>
      </c>
      <c r="L340" s="175">
        <f>IFERROR(SUM(INDEX('CONTROLE PRODUÇÃO POR EMPRESAS'!$J$6:$J$5000,MATCH(C340,'CONTROLE PRODUÇÃO POR EMPRESAS'!$A$6:$A$5000,0)):INDEX('CONTROLE PRODUÇÃO POR EMPRESAS'!$J$6:$J$5000,MATCH(D340,'CONTROLE PRODUÇÃO POR EMPRESAS'!$A$6:$A$5000,0))),0)</f>
        <v/>
      </c>
      <c r="M340" s="175">
        <f>IF($B$3&lt;$E340,"",$L340-$J340)</f>
        <v/>
      </c>
      <c r="N340" s="175">
        <f>IF($B$3&lt;$C340,"FUTURA",IF($B$3&lt;=$D340,"EM ANDAMENTO",IF($B$3&lt;$E340,"AGUARDANDO CORTE",IF($M340&gt;=0,"META ATINGIDA","GAP A RECUPERAR"))))</f>
        <v/>
      </c>
      <c r="O340" s="175" t="n"/>
      <c r="P340" s="175" t="n"/>
    </row>
    <row r="341">
      <c r="A341" t="inlineStr">
        <is>
          <t>EJ</t>
        </is>
      </c>
      <c r="B341" t="inlineStr">
        <is>
          <t>PREMONTAGEM</t>
        </is>
      </c>
      <c r="C341" s="197" t="n">
        <v>46475</v>
      </c>
      <c r="D341" s="197" t="n">
        <v>46479</v>
      </c>
      <c r="E341" s="197" t="n">
        <v>46480</v>
      </c>
      <c r="F341" s="198" t="n">
        <v>6</v>
      </c>
      <c r="G341" s="198" t="n">
        <v>5</v>
      </c>
      <c r="H341">
        <f>F341*G341</f>
        <v/>
      </c>
      <c r="I341" t="n">
        <v>0</v>
      </c>
      <c r="J341">
        <f>IFERROR(H341+I341,"")</f>
        <v/>
      </c>
      <c r="K341">
        <f>IFERROR(J341/G341,"")</f>
        <v/>
      </c>
      <c r="L341" t="n">
        <v>0</v>
      </c>
      <c r="M341">
        <f>IF($B$3&lt;$E341,"",$L341-$J341)</f>
        <v/>
      </c>
      <c r="N341">
        <f>IF($B$3&lt;$C341,"FUTURA",IF($B$3&lt;=$D341,"EM ANDAMENTO",IF($B$3&lt;$E341,"AGUARDANDO CORTE",IF($M341&gt;=0,"META ATINGIDA","GAP A RECUPERAR"))))</f>
        <v/>
      </c>
    </row>
    <row r="342">
      <c r="A342" t="inlineStr">
        <is>
          <t>EJ</t>
        </is>
      </c>
      <c r="B342" t="inlineStr">
        <is>
          <t>IÇAMENTO JOIST</t>
        </is>
      </c>
      <c r="C342" s="197" t="n">
        <v>46475</v>
      </c>
      <c r="D342" s="197" t="n">
        <v>46479</v>
      </c>
      <c r="E342" s="197" t="n">
        <v>46480</v>
      </c>
      <c r="F342" s="198" t="n">
        <v>5</v>
      </c>
      <c r="G342" s="198" t="n">
        <v>5</v>
      </c>
      <c r="H342">
        <f>F342*G342</f>
        <v/>
      </c>
      <c r="I342" t="n">
        <v>0</v>
      </c>
      <c r="J342">
        <f>IFERROR(H342+I342,"")</f>
        <v/>
      </c>
      <c r="K342">
        <f>IFERROR(J342/G342,"")</f>
        <v/>
      </c>
      <c r="L342" t="n">
        <v>0</v>
      </c>
      <c r="M342">
        <f>IF($B$3&lt;$E342,"",$L342-$J342)</f>
        <v/>
      </c>
      <c r="N342">
        <f>IF($B$3&lt;$C342,"FUTURA",IF($B$3&lt;=$D342,"EM ANDAMENTO",IF($B$3&lt;$E342,"AGUARDANDO CORTE",IF($M342&gt;=0,"META ATINGIDA","GAP A RECUPERAR"))))</f>
        <v/>
      </c>
    </row>
    <row r="343">
      <c r="A343" t="inlineStr">
        <is>
          <t>EJ</t>
        </is>
      </c>
      <c r="B343" t="inlineStr">
        <is>
          <t>VIGAS</t>
        </is>
      </c>
      <c r="C343" s="197" t="n">
        <v>46475</v>
      </c>
      <c r="D343" s="197" t="n">
        <v>46479</v>
      </c>
      <c r="E343" s="197" t="n">
        <v>46480</v>
      </c>
      <c r="F343" s="198" t="n">
        <v>2</v>
      </c>
      <c r="G343" s="198" t="n">
        <v>5</v>
      </c>
      <c r="H343">
        <f>F343*G343</f>
        <v/>
      </c>
      <c r="I343" t="n">
        <v>0</v>
      </c>
      <c r="J343">
        <f>IFERROR(H343+I343,"")</f>
        <v/>
      </c>
      <c r="K343">
        <f>IFERROR(J343/G343,"")</f>
        <v/>
      </c>
      <c r="L343" t="n">
        <v>0</v>
      </c>
      <c r="M343">
        <f>IF($B$3&lt;$E343,"",$L343-$J343)</f>
        <v/>
      </c>
      <c r="N343">
        <f>IF($B$3&lt;$C343,"FUTURA",IF($B$3&lt;=$D343,"EM ANDAMENTO",IF($B$3&lt;$E343,"AGUARDANDO CORTE",IF($M343&gt;=0,"META ATINGIDA","GAP A RECUPERAR"))))</f>
        <v/>
      </c>
    </row>
    <row r="344">
      <c r="A344" t="inlineStr">
        <is>
          <t>CMM</t>
        </is>
      </c>
      <c r="B344" t="inlineStr">
        <is>
          <t>PREMONTAGEM</t>
        </is>
      </c>
      <c r="C344" s="197" t="n">
        <v>46475</v>
      </c>
      <c r="D344" s="197" t="n">
        <v>46479</v>
      </c>
      <c r="E344" s="197" t="n">
        <v>46480</v>
      </c>
      <c r="F344" s="198" t="n">
        <v>6</v>
      </c>
      <c r="G344" s="198" t="n">
        <v>5</v>
      </c>
      <c r="H344">
        <f>F344*G344</f>
        <v/>
      </c>
      <c r="I344" t="n">
        <v>0</v>
      </c>
      <c r="J344">
        <f>IFERROR(H344+I344,"")</f>
        <v/>
      </c>
      <c r="K344">
        <f>IFERROR(J344/G344,"")</f>
        <v/>
      </c>
      <c r="L344" t="n">
        <v>0</v>
      </c>
      <c r="M344">
        <f>IF($B$3&lt;$E344,"",$L344-$J344)</f>
        <v/>
      </c>
      <c r="N344">
        <f>IF($B$3&lt;$C344,"FUTURA",IF($B$3&lt;=$D344,"EM ANDAMENTO",IF($B$3&lt;$E344,"AGUARDANDO CORTE",IF($M344&gt;=0,"META ATINGIDA","GAP A RECUPERAR"))))</f>
        <v/>
      </c>
    </row>
    <row r="345">
      <c r="A345" t="inlineStr">
        <is>
          <t>CMM</t>
        </is>
      </c>
      <c r="B345" t="inlineStr">
        <is>
          <t>IÇAMENTO JOIST</t>
        </is>
      </c>
      <c r="C345" s="197" t="n">
        <v>46475</v>
      </c>
      <c r="D345" s="197" t="n">
        <v>46479</v>
      </c>
      <c r="E345" s="197" t="n">
        <v>46480</v>
      </c>
      <c r="F345" s="198" t="n">
        <v>5</v>
      </c>
      <c r="G345" s="198" t="n">
        <v>5</v>
      </c>
      <c r="H345">
        <f>F345*G345</f>
        <v/>
      </c>
      <c r="I345" t="n">
        <v>0</v>
      </c>
      <c r="J345">
        <f>IFERROR(H345+I345,"")</f>
        <v/>
      </c>
      <c r="K345">
        <f>IFERROR(J345/G345,"")</f>
        <v/>
      </c>
      <c r="L345" t="n">
        <v>0</v>
      </c>
      <c r="M345">
        <f>IF($B$3&lt;$E345,"",$L345-$J345)</f>
        <v/>
      </c>
      <c r="N345">
        <f>IF($B$3&lt;$C345,"FUTURA",IF($B$3&lt;=$D345,"EM ANDAMENTO",IF($B$3&lt;$E345,"AGUARDANDO CORTE",IF($M345&gt;=0,"META ATINGIDA","GAP A RECUPERAR"))))</f>
        <v/>
      </c>
    </row>
    <row r="346">
      <c r="A346" t="inlineStr">
        <is>
          <t>CMM</t>
        </is>
      </c>
      <c r="B346" t="inlineStr">
        <is>
          <t>VIGAS</t>
        </is>
      </c>
      <c r="C346" s="197" t="n">
        <v>46475</v>
      </c>
      <c r="D346" s="197" t="n">
        <v>46479</v>
      </c>
      <c r="E346" s="197" t="n">
        <v>46480</v>
      </c>
      <c r="F346" s="198" t="n">
        <v>2</v>
      </c>
      <c r="G346" s="198" t="n">
        <v>5</v>
      </c>
      <c r="H346">
        <f>F346*G346</f>
        <v/>
      </c>
      <c r="I346" t="n">
        <v>0</v>
      </c>
      <c r="J346">
        <f>IFERROR(H346+I346,"")</f>
        <v/>
      </c>
      <c r="K346">
        <f>IFERROR(J346/G346,"")</f>
        <v/>
      </c>
      <c r="L346" t="n">
        <v>0</v>
      </c>
      <c r="M346">
        <f>IF($B$3&lt;$E346,"",$L346-$J346)</f>
        <v/>
      </c>
      <c r="N346">
        <f>IF($B$3&lt;$C346,"FUTURA",IF($B$3&lt;=$D346,"EM ANDAMENTO",IF($B$3&lt;$E346,"AGUARDANDO CORTE",IF($M346&gt;=0,"META ATINGIDA","GAP A RECUPERAR"))))</f>
        <v/>
      </c>
    </row>
    <row r="347">
      <c r="A347" t="inlineStr">
        <is>
          <t>GLOBO AÇOS</t>
        </is>
      </c>
      <c r="B347" t="inlineStr">
        <is>
          <t>PERFILAÇÃO</t>
        </is>
      </c>
      <c r="C347" s="197" t="n">
        <v>46475</v>
      </c>
      <c r="D347" s="197" t="n">
        <v>46479</v>
      </c>
      <c r="E347" s="197" t="n">
        <v>46480</v>
      </c>
      <c r="F347" s="198" t="n">
        <v>19</v>
      </c>
      <c r="G347" s="198" t="n">
        <v>5</v>
      </c>
      <c r="H347">
        <f>F347*G347</f>
        <v/>
      </c>
      <c r="I347" t="n">
        <v>0</v>
      </c>
      <c r="J347">
        <f>IFERROR(H347+I347,"")</f>
        <v/>
      </c>
      <c r="K347">
        <f>IFERROR(J347/G347,"")</f>
        <v/>
      </c>
      <c r="L347">
        <f>IFERROR(SUM(INDEX('CONTROLE PRODUÇÃO POR EMPRESAS'!$H$6:$H$5000,MATCH(C347,'CONTROLE PRODUÇÃO POR EMPRESAS'!$A$6:$A$5000,0)):INDEX('CONTROLE PRODUÇÃO POR EMPRESAS'!$H$6:$H$5000,MATCH(D347,'CONTROLE PRODUÇÃO POR EMPRESAS'!$A$6:$A$5000,0))),0)</f>
        <v/>
      </c>
      <c r="M347">
        <f>IF($B$3&lt;$E347,"",$L347-$J347)</f>
        <v/>
      </c>
      <c r="N347">
        <f>IF($B$3&lt;$C347,"FUTURA",IF($B$3&lt;=$D347,"EM ANDAMENTO",IF($B$3&lt;$E347,"AGUARDANDO CORTE",IF($M347&gt;=0,"META ATINGIDA","GAP A RECUPERAR"))))</f>
        <v/>
      </c>
    </row>
    <row r="348">
      <c r="A348" t="inlineStr">
        <is>
          <t>GLOBO AÇOS</t>
        </is>
      </c>
      <c r="B348" t="inlineStr">
        <is>
          <t>TELHAR</t>
        </is>
      </c>
      <c r="C348" s="197" t="n">
        <v>46475</v>
      </c>
      <c r="D348" s="197" t="n">
        <v>46479</v>
      </c>
      <c r="E348" s="197" t="n">
        <v>46480</v>
      </c>
      <c r="F348" s="198" t="n">
        <v>7</v>
      </c>
      <c r="G348" s="198" t="n">
        <v>5</v>
      </c>
      <c r="H348">
        <f>F348*G348</f>
        <v/>
      </c>
      <c r="I348" t="n">
        <v>0</v>
      </c>
      <c r="J348">
        <f>IFERROR(H348+I348,"")</f>
        <v/>
      </c>
      <c r="K348">
        <f>IFERROR(J348/G348,"")</f>
        <v/>
      </c>
      <c r="L348">
        <f>IFERROR(SUM(INDEX('CONTROLE PRODUÇÃO POR EMPRESAS'!$I$6:$I$5000,MATCH(C348,'CONTROLE PRODUÇÃO POR EMPRESAS'!$A$6:$A$5000,0)):INDEX('CONTROLE PRODUÇÃO POR EMPRESAS'!$I$6:$I$5000,MATCH(D348,'CONTROLE PRODUÇÃO POR EMPRESAS'!$A$6:$A$5000,0))),0)</f>
        <v/>
      </c>
      <c r="M348">
        <f>IF($B$3&lt;$E348,"",$L348-$J348)</f>
        <v/>
      </c>
      <c r="N348">
        <f>IF($B$3&lt;$C348,"FUTURA",IF($B$3&lt;=$D348,"EM ANDAMENTO",IF($B$3&lt;$E348,"AGUARDANDO CORTE",IF($M348&gt;=0,"META ATINGIDA","GAP A RECUPERAR"))))</f>
        <v/>
      </c>
    </row>
    <row r="349">
      <c r="A349" t="inlineStr">
        <is>
          <t>GLOBO AÇOS</t>
        </is>
      </c>
      <c r="B349" t="inlineStr">
        <is>
          <t>FECHAMENTO</t>
        </is>
      </c>
      <c r="C349" s="197" t="n">
        <v>46475</v>
      </c>
      <c r="D349" s="197" t="n">
        <v>46479</v>
      </c>
      <c r="E349" s="197" t="n">
        <v>46480</v>
      </c>
      <c r="F349" s="198" t="n">
        <v>36</v>
      </c>
      <c r="G349" s="198" t="n">
        <v>5</v>
      </c>
      <c r="H349">
        <f>F349*G349</f>
        <v/>
      </c>
      <c r="I349" t="n">
        <v>0</v>
      </c>
      <c r="J349">
        <f>IFERROR(H349+I349,"")</f>
        <v/>
      </c>
      <c r="K349">
        <f>IFERROR(J349/G349,"")</f>
        <v/>
      </c>
      <c r="L349">
        <f>IFERROR(SUM(INDEX('CONTROLE PRODUÇÃO POR EMPRESAS'!$J$6:$J$5000,MATCH(C349,'CONTROLE PRODUÇÃO POR EMPRESAS'!$A$6:$A$5000,0)):INDEX('CONTROLE PRODUÇÃO POR EMPRESAS'!$J$6:$J$5000,MATCH(D349,'CONTROLE PRODUÇÃO POR EMPRESAS'!$A$6:$A$5000,0))),0)</f>
        <v/>
      </c>
      <c r="M349">
        <f>IF($B$3&lt;$E349,"",$L349-$J349)</f>
        <v/>
      </c>
      <c r="N349">
        <f>IF($B$3&lt;$C349,"FUTURA",IF($B$3&lt;=$D349,"EM ANDAMENTO",IF($B$3&lt;$E349,"AGUARDANDO CORTE",IF($M349&gt;=0,"META ATINGIDA","GAP A RECUPERAR"))))</f>
        <v/>
      </c>
    </row>
    <row r="350">
      <c r="A350" t="inlineStr">
        <is>
          <t>EJ</t>
        </is>
      </c>
      <c r="B350" t="inlineStr">
        <is>
          <t>PREMONTAGEM</t>
        </is>
      </c>
      <c r="C350" s="197" t="n">
        <v>46482</v>
      </c>
      <c r="D350" s="197" t="n">
        <v>46486</v>
      </c>
      <c r="E350" s="197" t="n">
        <v>46487</v>
      </c>
      <c r="F350" s="198" t="n">
        <v>6</v>
      </c>
      <c r="G350" s="198" t="n">
        <v>5</v>
      </c>
      <c r="H350">
        <f>F350*G350</f>
        <v/>
      </c>
      <c r="I350" t="n">
        <v>0</v>
      </c>
      <c r="J350">
        <f>IFERROR(H350+I350,"")</f>
        <v/>
      </c>
      <c r="K350">
        <f>IFERROR(J350/G350,"")</f>
        <v/>
      </c>
      <c r="L350" t="n">
        <v>0</v>
      </c>
      <c r="M350">
        <f>IF($B$3&lt;$E350,"",$L350-$J350)</f>
        <v/>
      </c>
      <c r="N350">
        <f>IF($B$3&lt;$C350,"FUTURA",IF($B$3&lt;=$D350,"EM ANDAMENTO",IF($B$3&lt;$E350,"AGUARDANDO CORTE",IF($M350&gt;=0,"META ATINGIDA","GAP A RECUPERAR"))))</f>
        <v/>
      </c>
    </row>
    <row r="351">
      <c r="A351" t="inlineStr">
        <is>
          <t>EJ</t>
        </is>
      </c>
      <c r="B351" t="inlineStr">
        <is>
          <t>IÇAMENTO JOIST</t>
        </is>
      </c>
      <c r="C351" s="197" t="n">
        <v>46482</v>
      </c>
      <c r="D351" s="197" t="n">
        <v>46486</v>
      </c>
      <c r="E351" s="197" t="n">
        <v>46487</v>
      </c>
      <c r="F351" s="198" t="n">
        <v>5</v>
      </c>
      <c r="G351" s="198" t="n">
        <v>5</v>
      </c>
      <c r="H351">
        <f>F351*G351</f>
        <v/>
      </c>
      <c r="I351" t="n">
        <v>0</v>
      </c>
      <c r="J351">
        <f>IFERROR(H351+I351,"")</f>
        <v/>
      </c>
      <c r="K351">
        <f>IFERROR(J351/G351,"")</f>
        <v/>
      </c>
      <c r="L351" t="n">
        <v>0</v>
      </c>
      <c r="M351">
        <f>IF($B$3&lt;$E351,"",$L351-$J351)</f>
        <v/>
      </c>
      <c r="N351">
        <f>IF($B$3&lt;$C351,"FUTURA",IF($B$3&lt;=$D351,"EM ANDAMENTO",IF($B$3&lt;$E351,"AGUARDANDO CORTE",IF($M351&gt;=0,"META ATINGIDA","GAP A RECUPERAR"))))</f>
        <v/>
      </c>
    </row>
    <row r="352">
      <c r="A352" t="inlineStr">
        <is>
          <t>EJ</t>
        </is>
      </c>
      <c r="B352" t="inlineStr">
        <is>
          <t>VIGAS</t>
        </is>
      </c>
      <c r="C352" s="197" t="n">
        <v>46482</v>
      </c>
      <c r="D352" s="197" t="n">
        <v>46486</v>
      </c>
      <c r="E352" s="197" t="n">
        <v>46487</v>
      </c>
      <c r="F352" s="198" t="n">
        <v>2</v>
      </c>
      <c r="G352" s="198" t="n">
        <v>5</v>
      </c>
      <c r="H352">
        <f>F352*G352</f>
        <v/>
      </c>
      <c r="I352" t="n">
        <v>0</v>
      </c>
      <c r="J352">
        <f>IFERROR(H352+I352,"")</f>
        <v/>
      </c>
      <c r="K352">
        <f>IFERROR(J352/G352,"")</f>
        <v/>
      </c>
      <c r="L352" t="n">
        <v>0</v>
      </c>
      <c r="M352">
        <f>IF($B$3&lt;$E352,"",$L352-$J352)</f>
        <v/>
      </c>
      <c r="N352">
        <f>IF($B$3&lt;$C352,"FUTURA",IF($B$3&lt;=$D352,"EM ANDAMENTO",IF($B$3&lt;$E352,"AGUARDANDO CORTE",IF($M352&gt;=0,"META ATINGIDA","GAP A RECUPERAR"))))</f>
        <v/>
      </c>
    </row>
    <row r="353">
      <c r="A353" t="inlineStr">
        <is>
          <t>CMM</t>
        </is>
      </c>
      <c r="B353" t="inlineStr">
        <is>
          <t>PREMONTAGEM</t>
        </is>
      </c>
      <c r="C353" s="197" t="n">
        <v>46482</v>
      </c>
      <c r="D353" s="197" t="n">
        <v>46486</v>
      </c>
      <c r="E353" s="197" t="n">
        <v>46487</v>
      </c>
      <c r="F353" s="198" t="n">
        <v>6</v>
      </c>
      <c r="G353" s="198" t="n">
        <v>5</v>
      </c>
      <c r="H353">
        <f>F353*G353</f>
        <v/>
      </c>
      <c r="I353" t="n">
        <v>0</v>
      </c>
      <c r="J353">
        <f>IFERROR(H353+I353,"")</f>
        <v/>
      </c>
      <c r="K353">
        <f>IFERROR(J353/G353,"")</f>
        <v/>
      </c>
      <c r="L353" t="n">
        <v>0</v>
      </c>
      <c r="M353">
        <f>IF($B$3&lt;$E353,"",$L353-$J353)</f>
        <v/>
      </c>
      <c r="N353">
        <f>IF($B$3&lt;$C353,"FUTURA",IF($B$3&lt;=$D353,"EM ANDAMENTO",IF($B$3&lt;$E353,"AGUARDANDO CORTE",IF($M353&gt;=0,"META ATINGIDA","GAP A RECUPERAR"))))</f>
        <v/>
      </c>
    </row>
    <row r="354">
      <c r="A354" t="inlineStr">
        <is>
          <t>CMM</t>
        </is>
      </c>
      <c r="B354" t="inlineStr">
        <is>
          <t>IÇAMENTO JOIST</t>
        </is>
      </c>
      <c r="C354" s="197" t="n">
        <v>46482</v>
      </c>
      <c r="D354" s="197" t="n">
        <v>46486</v>
      </c>
      <c r="E354" s="197" t="n">
        <v>46487</v>
      </c>
      <c r="F354" s="198" t="n">
        <v>5</v>
      </c>
      <c r="G354" s="198" t="n">
        <v>5</v>
      </c>
      <c r="H354">
        <f>F354*G354</f>
        <v/>
      </c>
      <c r="I354" t="n">
        <v>0</v>
      </c>
      <c r="J354">
        <f>IFERROR(H354+I354,"")</f>
        <v/>
      </c>
      <c r="K354">
        <f>IFERROR(J354/G354,"")</f>
        <v/>
      </c>
      <c r="L354" t="n">
        <v>0</v>
      </c>
      <c r="M354">
        <f>IF($B$3&lt;$E354,"",$L354-$J354)</f>
        <v/>
      </c>
      <c r="N354">
        <f>IF($B$3&lt;$C354,"FUTURA",IF($B$3&lt;=$D354,"EM ANDAMENTO",IF($B$3&lt;$E354,"AGUARDANDO CORTE",IF($M354&gt;=0,"META ATINGIDA","GAP A RECUPERAR"))))</f>
        <v/>
      </c>
    </row>
    <row r="355">
      <c r="A355" t="inlineStr">
        <is>
          <t>CMM</t>
        </is>
      </c>
      <c r="B355" t="inlineStr">
        <is>
          <t>VIGAS</t>
        </is>
      </c>
      <c r="C355" s="197" t="n">
        <v>46482</v>
      </c>
      <c r="D355" s="197" t="n">
        <v>46486</v>
      </c>
      <c r="E355" s="197" t="n">
        <v>46487</v>
      </c>
      <c r="F355" s="198" t="n">
        <v>2</v>
      </c>
      <c r="G355" s="198" t="n">
        <v>5</v>
      </c>
      <c r="H355">
        <f>F355*G355</f>
        <v/>
      </c>
      <c r="I355" t="n">
        <v>0</v>
      </c>
      <c r="J355">
        <f>IFERROR(H355+I355,"")</f>
        <v/>
      </c>
      <c r="K355">
        <f>IFERROR(J355/G355,"")</f>
        <v/>
      </c>
      <c r="L355" t="n">
        <v>0</v>
      </c>
      <c r="M355">
        <f>IF($B$3&lt;$E355,"",$L355-$J355)</f>
        <v/>
      </c>
      <c r="N355">
        <f>IF($B$3&lt;$C355,"FUTURA",IF($B$3&lt;=$D355,"EM ANDAMENTO",IF($B$3&lt;$E355,"AGUARDANDO CORTE",IF($M355&gt;=0,"META ATINGIDA","GAP A RECUPERAR"))))</f>
        <v/>
      </c>
    </row>
    <row r="356">
      <c r="A356" t="inlineStr">
        <is>
          <t>GLOBO AÇOS</t>
        </is>
      </c>
      <c r="B356" t="inlineStr">
        <is>
          <t>PERFILAÇÃO</t>
        </is>
      </c>
      <c r="C356" s="197" t="n">
        <v>46482</v>
      </c>
      <c r="D356" s="197" t="n">
        <v>46486</v>
      </c>
      <c r="E356" s="197" t="n">
        <v>46487</v>
      </c>
      <c r="F356" s="198" t="n">
        <v>19</v>
      </c>
      <c r="G356" s="198" t="n">
        <v>5</v>
      </c>
      <c r="H356">
        <f>F356*G356</f>
        <v/>
      </c>
      <c r="I356" t="n">
        <v>0</v>
      </c>
      <c r="J356">
        <f>IFERROR(H356+I356,"")</f>
        <v/>
      </c>
      <c r="K356">
        <f>IFERROR(J356/G356,"")</f>
        <v/>
      </c>
      <c r="L356">
        <f>IFERROR(SUM(INDEX('CONTROLE PRODUÇÃO POR EMPRESAS'!$H$6:$H$5000,MATCH(C356,'CONTROLE PRODUÇÃO POR EMPRESAS'!$A$6:$A$5000,0)):INDEX('CONTROLE PRODUÇÃO POR EMPRESAS'!$H$6:$H$5000,MATCH(D356,'CONTROLE PRODUÇÃO POR EMPRESAS'!$A$6:$A$5000,0))),0)</f>
        <v/>
      </c>
      <c r="M356">
        <f>IF($B$3&lt;$E356,"",$L356-$J356)</f>
        <v/>
      </c>
      <c r="N356">
        <f>IF($B$3&lt;$C356,"FUTURA",IF($B$3&lt;=$D356,"EM ANDAMENTO",IF($B$3&lt;$E356,"AGUARDANDO CORTE",IF($M356&gt;=0,"META ATINGIDA","GAP A RECUPERAR"))))</f>
        <v/>
      </c>
    </row>
    <row r="357">
      <c r="A357" t="inlineStr">
        <is>
          <t>GLOBO AÇOS</t>
        </is>
      </c>
      <c r="B357" t="inlineStr">
        <is>
          <t>TELHAR</t>
        </is>
      </c>
      <c r="C357" s="197" t="n">
        <v>46482</v>
      </c>
      <c r="D357" s="197" t="n">
        <v>46486</v>
      </c>
      <c r="E357" s="197" t="n">
        <v>46487</v>
      </c>
      <c r="F357" s="198" t="n">
        <v>7</v>
      </c>
      <c r="G357" s="198" t="n">
        <v>5</v>
      </c>
      <c r="H357">
        <f>F357*G357</f>
        <v/>
      </c>
      <c r="I357" t="n">
        <v>0</v>
      </c>
      <c r="J357">
        <f>IFERROR(H357+I357,"")</f>
        <v/>
      </c>
      <c r="K357">
        <f>IFERROR(J357/G357,"")</f>
        <v/>
      </c>
      <c r="L357">
        <f>IFERROR(SUM(INDEX('CONTROLE PRODUÇÃO POR EMPRESAS'!$I$6:$I$5000,MATCH(C357,'CONTROLE PRODUÇÃO POR EMPRESAS'!$A$6:$A$5000,0)):INDEX('CONTROLE PRODUÇÃO POR EMPRESAS'!$I$6:$I$5000,MATCH(D357,'CONTROLE PRODUÇÃO POR EMPRESAS'!$A$6:$A$5000,0))),0)</f>
        <v/>
      </c>
      <c r="M357">
        <f>IF($B$3&lt;$E357,"",$L357-$J357)</f>
        <v/>
      </c>
      <c r="N357">
        <f>IF($B$3&lt;$C357,"FUTURA",IF($B$3&lt;=$D357,"EM ANDAMENTO",IF($B$3&lt;$E357,"AGUARDANDO CORTE",IF($M357&gt;=0,"META ATINGIDA","GAP A RECUPERAR"))))</f>
        <v/>
      </c>
    </row>
    <row r="358">
      <c r="A358" t="inlineStr">
        <is>
          <t>GLOBO AÇOS</t>
        </is>
      </c>
      <c r="B358" t="inlineStr">
        <is>
          <t>FECHAMENTO</t>
        </is>
      </c>
      <c r="C358" s="197" t="n">
        <v>46482</v>
      </c>
      <c r="D358" s="197" t="n">
        <v>46486</v>
      </c>
      <c r="E358" s="197" t="n">
        <v>46487</v>
      </c>
      <c r="F358" s="198" t="n">
        <v>36</v>
      </c>
      <c r="G358" s="198" t="n">
        <v>5</v>
      </c>
      <c r="H358">
        <f>F358*G358</f>
        <v/>
      </c>
      <c r="I358" t="n">
        <v>0</v>
      </c>
      <c r="J358">
        <f>IFERROR(H358+I358,"")</f>
        <v/>
      </c>
      <c r="K358">
        <f>IFERROR(J358/G358,"")</f>
        <v/>
      </c>
      <c r="L358">
        <f>IFERROR(SUM(INDEX('CONTROLE PRODUÇÃO POR EMPRESAS'!$J$6:$J$5000,MATCH(C358,'CONTROLE PRODUÇÃO POR EMPRESAS'!$A$6:$A$5000,0)):INDEX('CONTROLE PRODUÇÃO POR EMPRESAS'!$J$6:$J$5000,MATCH(D358,'CONTROLE PRODUÇÃO POR EMPRESAS'!$A$6:$A$5000,0))),0)</f>
        <v/>
      </c>
      <c r="M358">
        <f>IF($B$3&lt;$E358,"",$L358-$J358)</f>
        <v/>
      </c>
      <c r="N358">
        <f>IF($B$3&lt;$C358,"FUTURA",IF($B$3&lt;=$D358,"EM ANDAMENTO",IF($B$3&lt;$E358,"AGUARDANDO CORTE",IF($M358&gt;=0,"META ATINGIDA","GAP A RECUPERAR"))))</f>
        <v/>
      </c>
    </row>
    <row r="359">
      <c r="A359" t="inlineStr">
        <is>
          <t>EJ</t>
        </is>
      </c>
      <c r="B359" t="inlineStr">
        <is>
          <t>PREMONTAGEM</t>
        </is>
      </c>
      <c r="C359" s="197" t="n">
        <v>46489</v>
      </c>
      <c r="D359" s="197" t="n">
        <v>46493</v>
      </c>
      <c r="E359" s="197" t="n">
        <v>46494</v>
      </c>
      <c r="F359" s="198" t="n">
        <v>6</v>
      </c>
      <c r="G359" s="198" t="n">
        <v>5</v>
      </c>
      <c r="H359">
        <f>F359*G359</f>
        <v/>
      </c>
      <c r="I359" t="n">
        <v>0</v>
      </c>
      <c r="J359">
        <f>IFERROR(H359+I359,"")</f>
        <v/>
      </c>
      <c r="K359">
        <f>IFERROR(J359/G359,"")</f>
        <v/>
      </c>
      <c r="L359" t="n">
        <v>0</v>
      </c>
      <c r="M359">
        <f>IF($B$3&lt;$E359,"",$L359-$J359)</f>
        <v/>
      </c>
      <c r="N359">
        <f>IF($B$3&lt;$C359,"FUTURA",IF($B$3&lt;=$D359,"EM ANDAMENTO",IF($B$3&lt;$E359,"AGUARDANDO CORTE",IF($M359&gt;=0,"META ATINGIDA","GAP A RECUPERAR"))))</f>
        <v/>
      </c>
    </row>
    <row r="360">
      <c r="A360" t="inlineStr">
        <is>
          <t>EJ</t>
        </is>
      </c>
      <c r="B360" t="inlineStr">
        <is>
          <t>IÇAMENTO JOIST</t>
        </is>
      </c>
      <c r="C360" s="197" t="n">
        <v>46489</v>
      </c>
      <c r="D360" s="197" t="n">
        <v>46493</v>
      </c>
      <c r="E360" s="197" t="n">
        <v>46494</v>
      </c>
      <c r="F360" s="198" t="n">
        <v>5</v>
      </c>
      <c r="G360" s="198" t="n">
        <v>5</v>
      </c>
      <c r="H360">
        <f>F360*G360</f>
        <v/>
      </c>
      <c r="I360" t="n">
        <v>0</v>
      </c>
      <c r="J360">
        <f>IFERROR(H360+I360,"")</f>
        <v/>
      </c>
      <c r="K360">
        <f>IFERROR(J360/G360,"")</f>
        <v/>
      </c>
      <c r="L360" t="n">
        <v>0</v>
      </c>
      <c r="M360">
        <f>IF($B$3&lt;$E360,"",$L360-$J360)</f>
        <v/>
      </c>
      <c r="N360">
        <f>IF($B$3&lt;$C360,"FUTURA",IF($B$3&lt;=$D360,"EM ANDAMENTO",IF($B$3&lt;$E360,"AGUARDANDO CORTE",IF($M360&gt;=0,"META ATINGIDA","GAP A RECUPERAR"))))</f>
        <v/>
      </c>
    </row>
    <row r="361">
      <c r="A361" t="inlineStr">
        <is>
          <t>EJ</t>
        </is>
      </c>
      <c r="B361" t="inlineStr">
        <is>
          <t>VIGAS</t>
        </is>
      </c>
      <c r="C361" s="197" t="n">
        <v>46489</v>
      </c>
      <c r="D361" s="197" t="n">
        <v>46493</v>
      </c>
      <c r="E361" s="197" t="n">
        <v>46494</v>
      </c>
      <c r="F361" s="198" t="n">
        <v>2</v>
      </c>
      <c r="G361" s="198" t="n">
        <v>5</v>
      </c>
      <c r="H361">
        <f>F361*G361</f>
        <v/>
      </c>
      <c r="I361" t="n">
        <v>0</v>
      </c>
      <c r="J361">
        <f>IFERROR(H361+I361,"")</f>
        <v/>
      </c>
      <c r="K361">
        <f>IFERROR(J361/G361,"")</f>
        <v/>
      </c>
      <c r="L361" t="n">
        <v>0</v>
      </c>
      <c r="M361">
        <f>IF($B$3&lt;$E361,"",$L361-$J361)</f>
        <v/>
      </c>
      <c r="N361">
        <f>IF($B$3&lt;$C361,"FUTURA",IF($B$3&lt;=$D361,"EM ANDAMENTO",IF($B$3&lt;$E361,"AGUARDANDO CORTE",IF($M361&gt;=0,"META ATINGIDA","GAP A RECUPERAR"))))</f>
        <v/>
      </c>
    </row>
    <row r="362">
      <c r="A362" t="inlineStr">
        <is>
          <t>CMM</t>
        </is>
      </c>
      <c r="B362" t="inlineStr">
        <is>
          <t>PREMONTAGEM</t>
        </is>
      </c>
      <c r="C362" s="197" t="n">
        <v>46489</v>
      </c>
      <c r="D362" s="197" t="n">
        <v>46493</v>
      </c>
      <c r="E362" s="197" t="n">
        <v>46494</v>
      </c>
      <c r="F362" s="198" t="n">
        <v>6</v>
      </c>
      <c r="G362" s="198" t="n">
        <v>5</v>
      </c>
      <c r="H362">
        <f>F362*G362</f>
        <v/>
      </c>
      <c r="I362" t="n">
        <v>0</v>
      </c>
      <c r="J362">
        <f>IFERROR(H362+I362,"")</f>
        <v/>
      </c>
      <c r="K362">
        <f>IFERROR(J362/G362,"")</f>
        <v/>
      </c>
      <c r="L362" t="n">
        <v>0</v>
      </c>
      <c r="M362">
        <f>IF($B$3&lt;$E362,"",$L362-$J362)</f>
        <v/>
      </c>
      <c r="N362">
        <f>IF($B$3&lt;$C362,"FUTURA",IF($B$3&lt;=$D362,"EM ANDAMENTO",IF($B$3&lt;$E362,"AGUARDANDO CORTE",IF($M362&gt;=0,"META ATINGIDA","GAP A RECUPERAR"))))</f>
        <v/>
      </c>
    </row>
    <row r="363">
      <c r="A363" t="inlineStr">
        <is>
          <t>CMM</t>
        </is>
      </c>
      <c r="B363" t="inlineStr">
        <is>
          <t>IÇAMENTO JOIST</t>
        </is>
      </c>
      <c r="C363" s="197" t="n">
        <v>46489</v>
      </c>
      <c r="D363" s="197" t="n">
        <v>46493</v>
      </c>
      <c r="E363" s="197" t="n">
        <v>46494</v>
      </c>
      <c r="F363" s="198" t="n">
        <v>5</v>
      </c>
      <c r="G363" s="198" t="n">
        <v>5</v>
      </c>
      <c r="H363">
        <f>F363*G363</f>
        <v/>
      </c>
      <c r="I363" t="n">
        <v>0</v>
      </c>
      <c r="J363">
        <f>IFERROR(H363+I363,"")</f>
        <v/>
      </c>
      <c r="K363">
        <f>IFERROR(J363/G363,"")</f>
        <v/>
      </c>
      <c r="L363" t="n">
        <v>0</v>
      </c>
      <c r="M363">
        <f>IF($B$3&lt;$E363,"",$L363-$J363)</f>
        <v/>
      </c>
      <c r="N363">
        <f>IF($B$3&lt;$C363,"FUTURA",IF($B$3&lt;=$D363,"EM ANDAMENTO",IF($B$3&lt;$E363,"AGUARDANDO CORTE",IF($M363&gt;=0,"META ATINGIDA","GAP A RECUPERAR"))))</f>
        <v/>
      </c>
    </row>
    <row r="364">
      <c r="A364" t="inlineStr">
        <is>
          <t>CMM</t>
        </is>
      </c>
      <c r="B364" t="inlineStr">
        <is>
          <t>VIGAS</t>
        </is>
      </c>
      <c r="C364" s="197" t="n">
        <v>46489</v>
      </c>
      <c r="D364" s="197" t="n">
        <v>46493</v>
      </c>
      <c r="E364" s="197" t="n">
        <v>46494</v>
      </c>
      <c r="F364" s="198" t="n">
        <v>2</v>
      </c>
      <c r="G364" s="198" t="n">
        <v>5</v>
      </c>
      <c r="H364">
        <f>F364*G364</f>
        <v/>
      </c>
      <c r="I364" t="n">
        <v>0</v>
      </c>
      <c r="J364">
        <f>IFERROR(H364+I364,"")</f>
        <v/>
      </c>
      <c r="K364">
        <f>IFERROR(J364/G364,"")</f>
        <v/>
      </c>
      <c r="L364" t="n">
        <v>0</v>
      </c>
      <c r="M364">
        <f>IF($B$3&lt;$E364,"",$L364-$J364)</f>
        <v/>
      </c>
      <c r="N364">
        <f>IF($B$3&lt;$C364,"FUTURA",IF($B$3&lt;=$D364,"EM ANDAMENTO",IF($B$3&lt;$E364,"AGUARDANDO CORTE",IF($M364&gt;=0,"META ATINGIDA","GAP A RECUPERAR"))))</f>
        <v/>
      </c>
    </row>
    <row r="365">
      <c r="A365" t="inlineStr">
        <is>
          <t>GLOBO AÇOS</t>
        </is>
      </c>
      <c r="B365" t="inlineStr">
        <is>
          <t>PERFILAÇÃO</t>
        </is>
      </c>
      <c r="C365" s="197" t="n">
        <v>46489</v>
      </c>
      <c r="D365" s="197" t="n">
        <v>46493</v>
      </c>
      <c r="E365" s="197" t="n">
        <v>46494</v>
      </c>
      <c r="F365" s="198" t="n">
        <v>19</v>
      </c>
      <c r="G365" s="198" t="n">
        <v>5</v>
      </c>
      <c r="H365">
        <f>F365*G365</f>
        <v/>
      </c>
      <c r="I365" t="n">
        <v>0</v>
      </c>
      <c r="J365">
        <f>IFERROR(H365+I365,"")</f>
        <v/>
      </c>
      <c r="K365">
        <f>IFERROR(J365/G365,"")</f>
        <v/>
      </c>
      <c r="L365">
        <f>IFERROR(SUM(INDEX('CONTROLE PRODUÇÃO POR EMPRESAS'!$H$6:$H$5000,MATCH(C365,'CONTROLE PRODUÇÃO POR EMPRESAS'!$A$6:$A$5000,0)):INDEX('CONTROLE PRODUÇÃO POR EMPRESAS'!$H$6:$H$5000,MATCH(D365,'CONTROLE PRODUÇÃO POR EMPRESAS'!$A$6:$A$5000,0))),0)</f>
        <v/>
      </c>
      <c r="M365">
        <f>IF($B$3&lt;$E365,"",$L365-$J365)</f>
        <v/>
      </c>
      <c r="N365">
        <f>IF($B$3&lt;$C365,"FUTURA",IF($B$3&lt;=$D365,"EM ANDAMENTO",IF($B$3&lt;$E365,"AGUARDANDO CORTE",IF($M365&gt;=0,"META ATINGIDA","GAP A RECUPERAR"))))</f>
        <v/>
      </c>
    </row>
    <row r="366">
      <c r="A366" t="inlineStr">
        <is>
          <t>GLOBO AÇOS</t>
        </is>
      </c>
      <c r="B366" t="inlineStr">
        <is>
          <t>TELHAR</t>
        </is>
      </c>
      <c r="C366" s="197" t="n">
        <v>46489</v>
      </c>
      <c r="D366" s="197" t="n">
        <v>46493</v>
      </c>
      <c r="E366" s="197" t="n">
        <v>46494</v>
      </c>
      <c r="F366" s="198" t="n">
        <v>7</v>
      </c>
      <c r="G366" s="198" t="n">
        <v>5</v>
      </c>
      <c r="H366">
        <f>F366*G366</f>
        <v/>
      </c>
      <c r="I366" t="n">
        <v>0</v>
      </c>
      <c r="J366">
        <f>IFERROR(H366+I366,"")</f>
        <v/>
      </c>
      <c r="K366">
        <f>IFERROR(J366/G366,"")</f>
        <v/>
      </c>
      <c r="L366">
        <f>IFERROR(SUM(INDEX('CONTROLE PRODUÇÃO POR EMPRESAS'!$I$6:$I$5000,MATCH(C366,'CONTROLE PRODUÇÃO POR EMPRESAS'!$A$6:$A$5000,0)):INDEX('CONTROLE PRODUÇÃO POR EMPRESAS'!$I$6:$I$5000,MATCH(D366,'CONTROLE PRODUÇÃO POR EMPRESAS'!$A$6:$A$5000,0))),0)</f>
        <v/>
      </c>
      <c r="M366">
        <f>IF($B$3&lt;$E366,"",$L366-$J366)</f>
        <v/>
      </c>
      <c r="N366">
        <f>IF($B$3&lt;$C366,"FUTURA",IF($B$3&lt;=$D366,"EM ANDAMENTO",IF($B$3&lt;$E366,"AGUARDANDO CORTE",IF($M366&gt;=0,"META ATINGIDA","GAP A RECUPERAR"))))</f>
        <v/>
      </c>
    </row>
    <row r="367">
      <c r="A367" t="inlineStr">
        <is>
          <t>GLOBO AÇOS</t>
        </is>
      </c>
      <c r="B367" t="inlineStr">
        <is>
          <t>FECHAMENTO</t>
        </is>
      </c>
      <c r="C367" s="197" t="n">
        <v>46489</v>
      </c>
      <c r="D367" s="197" t="n">
        <v>46493</v>
      </c>
      <c r="E367" s="197" t="n">
        <v>46494</v>
      </c>
      <c r="F367" s="198" t="n">
        <v>36</v>
      </c>
      <c r="G367" s="198" t="n">
        <v>5</v>
      </c>
      <c r="H367">
        <f>F367*G367</f>
        <v/>
      </c>
      <c r="I367" t="n">
        <v>0</v>
      </c>
      <c r="J367">
        <f>IFERROR(H367+I367,"")</f>
        <v/>
      </c>
      <c r="K367">
        <f>IFERROR(J367/G367,"")</f>
        <v/>
      </c>
      <c r="L367">
        <f>IFERROR(SUM(INDEX('CONTROLE PRODUÇÃO POR EMPRESAS'!$J$6:$J$5000,MATCH(C367,'CONTROLE PRODUÇÃO POR EMPRESAS'!$A$6:$A$5000,0)):INDEX('CONTROLE PRODUÇÃO POR EMPRESAS'!$J$6:$J$5000,MATCH(D367,'CONTROLE PRODUÇÃO POR EMPRESAS'!$A$6:$A$5000,0))),0)</f>
        <v/>
      </c>
      <c r="M367">
        <f>IF($B$3&lt;$E367,"",$L367-$J367)</f>
        <v/>
      </c>
      <c r="N367">
        <f>IF($B$3&lt;$C367,"FUTURA",IF($B$3&lt;=$D367,"EM ANDAMENTO",IF($B$3&lt;$E367,"AGUARDANDO CORTE",IF($M367&gt;=0,"META ATINGIDA","GAP A RECUPERAR"))))</f>
        <v/>
      </c>
    </row>
    <row r="368">
      <c r="A368" t="inlineStr">
        <is>
          <t>EJ</t>
        </is>
      </c>
      <c r="B368" t="inlineStr">
        <is>
          <t>PREMONTAGEM</t>
        </is>
      </c>
      <c r="C368" s="197" t="n">
        <v>46496</v>
      </c>
      <c r="D368" s="197" t="n">
        <v>46500</v>
      </c>
      <c r="E368" s="197" t="n">
        <v>46501</v>
      </c>
      <c r="F368" s="198" t="n">
        <v>6</v>
      </c>
      <c r="G368" s="198" t="n">
        <v>5</v>
      </c>
      <c r="H368">
        <f>F368*G368</f>
        <v/>
      </c>
      <c r="I368" t="n">
        <v>0</v>
      </c>
      <c r="J368">
        <f>IFERROR(H368+I368,"")</f>
        <v/>
      </c>
      <c r="K368">
        <f>IFERROR(J368/G368,"")</f>
        <v/>
      </c>
      <c r="L368" t="n">
        <v>0</v>
      </c>
      <c r="M368">
        <f>IF($B$3&lt;$E368,"",$L368-$J368)</f>
        <v/>
      </c>
      <c r="N368">
        <f>IF($B$3&lt;$C368,"FUTURA",IF($B$3&lt;=$D368,"EM ANDAMENTO",IF($B$3&lt;$E368,"AGUARDANDO CORTE",IF($M368&gt;=0,"META ATINGIDA","GAP A RECUPERAR"))))</f>
        <v/>
      </c>
    </row>
    <row r="369">
      <c r="A369" t="inlineStr">
        <is>
          <t>EJ</t>
        </is>
      </c>
      <c r="B369" t="inlineStr">
        <is>
          <t>IÇAMENTO JOIST</t>
        </is>
      </c>
      <c r="C369" s="197" t="n">
        <v>46496</v>
      </c>
      <c r="D369" s="197" t="n">
        <v>46500</v>
      </c>
      <c r="E369" s="197" t="n">
        <v>46501</v>
      </c>
      <c r="F369" s="198" t="n">
        <v>5</v>
      </c>
      <c r="G369" s="198" t="n">
        <v>5</v>
      </c>
      <c r="H369">
        <f>F369*G369</f>
        <v/>
      </c>
      <c r="I369" t="n">
        <v>0</v>
      </c>
      <c r="J369">
        <f>IFERROR(H369+I369,"")</f>
        <v/>
      </c>
      <c r="K369">
        <f>IFERROR(J369/G369,"")</f>
        <v/>
      </c>
      <c r="L369" t="n">
        <v>0</v>
      </c>
      <c r="M369">
        <f>IF($B$3&lt;$E369,"",$L369-$J369)</f>
        <v/>
      </c>
      <c r="N369">
        <f>IF($B$3&lt;$C369,"FUTURA",IF($B$3&lt;=$D369,"EM ANDAMENTO",IF($B$3&lt;$E369,"AGUARDANDO CORTE",IF($M369&gt;=0,"META ATINGIDA","GAP A RECUPERAR"))))</f>
        <v/>
      </c>
    </row>
    <row r="370">
      <c r="A370" t="inlineStr">
        <is>
          <t>EJ</t>
        </is>
      </c>
      <c r="B370" t="inlineStr">
        <is>
          <t>VIGAS</t>
        </is>
      </c>
      <c r="C370" s="197" t="n">
        <v>46496</v>
      </c>
      <c r="D370" s="197" t="n">
        <v>46500</v>
      </c>
      <c r="E370" s="197" t="n">
        <v>46501</v>
      </c>
      <c r="F370" s="198" t="n">
        <v>2</v>
      </c>
      <c r="G370" s="198" t="n">
        <v>5</v>
      </c>
      <c r="H370">
        <f>F370*G370</f>
        <v/>
      </c>
      <c r="I370" t="n">
        <v>0</v>
      </c>
      <c r="J370">
        <f>IFERROR(H370+I370,"")</f>
        <v/>
      </c>
      <c r="K370">
        <f>IFERROR(J370/G370,"")</f>
        <v/>
      </c>
      <c r="L370" t="n">
        <v>0</v>
      </c>
      <c r="M370">
        <f>IF($B$3&lt;$E370,"",$L370-$J370)</f>
        <v/>
      </c>
      <c r="N370">
        <f>IF($B$3&lt;$C370,"FUTURA",IF($B$3&lt;=$D370,"EM ANDAMENTO",IF($B$3&lt;$E370,"AGUARDANDO CORTE",IF($M370&gt;=0,"META ATINGIDA","GAP A RECUPERAR"))))</f>
        <v/>
      </c>
    </row>
    <row r="371">
      <c r="A371" t="inlineStr">
        <is>
          <t>CMM</t>
        </is>
      </c>
      <c r="B371" t="inlineStr">
        <is>
          <t>PREMONTAGEM</t>
        </is>
      </c>
      <c r="C371" s="197" t="n">
        <v>46496</v>
      </c>
      <c r="D371" s="197" t="n">
        <v>46500</v>
      </c>
      <c r="E371" s="197" t="n">
        <v>46501</v>
      </c>
      <c r="F371" s="198" t="n">
        <v>6</v>
      </c>
      <c r="G371" s="198" t="n">
        <v>5</v>
      </c>
      <c r="H371">
        <f>F371*G371</f>
        <v/>
      </c>
      <c r="I371" t="n">
        <v>0</v>
      </c>
      <c r="J371">
        <f>IFERROR(H371+I371,"")</f>
        <v/>
      </c>
      <c r="K371">
        <f>IFERROR(J371/G371,"")</f>
        <v/>
      </c>
      <c r="L371" t="n">
        <v>0</v>
      </c>
      <c r="M371">
        <f>IF($B$3&lt;$E371,"",$L371-$J371)</f>
        <v/>
      </c>
      <c r="N371">
        <f>IF($B$3&lt;$C371,"FUTURA",IF($B$3&lt;=$D371,"EM ANDAMENTO",IF($B$3&lt;$E371,"AGUARDANDO CORTE",IF($M371&gt;=0,"META ATINGIDA","GAP A RECUPERAR"))))</f>
        <v/>
      </c>
    </row>
    <row r="372">
      <c r="A372" t="inlineStr">
        <is>
          <t>CMM</t>
        </is>
      </c>
      <c r="B372" t="inlineStr">
        <is>
          <t>IÇAMENTO JOIST</t>
        </is>
      </c>
      <c r="C372" s="197" t="n">
        <v>46496</v>
      </c>
      <c r="D372" s="197" t="n">
        <v>46500</v>
      </c>
      <c r="E372" s="197" t="n">
        <v>46501</v>
      </c>
      <c r="F372" s="198" t="n">
        <v>5</v>
      </c>
      <c r="G372" s="198" t="n">
        <v>5</v>
      </c>
      <c r="H372">
        <f>F372*G372</f>
        <v/>
      </c>
      <c r="I372" t="n">
        <v>0</v>
      </c>
      <c r="J372">
        <f>IFERROR(H372+I372,"")</f>
        <v/>
      </c>
      <c r="K372">
        <f>IFERROR(J372/G372,"")</f>
        <v/>
      </c>
      <c r="L372" t="n">
        <v>0</v>
      </c>
      <c r="M372">
        <f>IF($B$3&lt;$E372,"",$L372-$J372)</f>
        <v/>
      </c>
      <c r="N372">
        <f>IF($B$3&lt;$C372,"FUTURA",IF($B$3&lt;=$D372,"EM ANDAMENTO",IF($B$3&lt;$E372,"AGUARDANDO CORTE",IF($M372&gt;=0,"META ATINGIDA","GAP A RECUPERAR"))))</f>
        <v/>
      </c>
    </row>
    <row r="373">
      <c r="A373" t="inlineStr">
        <is>
          <t>CMM</t>
        </is>
      </c>
      <c r="B373" t="inlineStr">
        <is>
          <t>VIGAS</t>
        </is>
      </c>
      <c r="C373" s="197" t="n">
        <v>46496</v>
      </c>
      <c r="D373" s="197" t="n">
        <v>46500</v>
      </c>
      <c r="E373" s="197" t="n">
        <v>46501</v>
      </c>
      <c r="F373" s="198" t="n">
        <v>2</v>
      </c>
      <c r="G373" s="198" t="n">
        <v>5</v>
      </c>
      <c r="H373">
        <f>F373*G373</f>
        <v/>
      </c>
      <c r="I373" t="n">
        <v>0</v>
      </c>
      <c r="J373">
        <f>IFERROR(H373+I373,"")</f>
        <v/>
      </c>
      <c r="K373">
        <f>IFERROR(J373/G373,"")</f>
        <v/>
      </c>
      <c r="L373" t="n">
        <v>0</v>
      </c>
      <c r="M373">
        <f>IF($B$3&lt;$E373,"",$L373-$J373)</f>
        <v/>
      </c>
      <c r="N373">
        <f>IF($B$3&lt;$C373,"FUTURA",IF($B$3&lt;=$D373,"EM ANDAMENTO",IF($B$3&lt;$E373,"AGUARDANDO CORTE",IF($M373&gt;=0,"META ATINGIDA","GAP A RECUPERAR"))))</f>
        <v/>
      </c>
    </row>
    <row r="374">
      <c r="A374" t="inlineStr">
        <is>
          <t>GLOBO AÇOS</t>
        </is>
      </c>
      <c r="B374" t="inlineStr">
        <is>
          <t>PERFILAÇÃO</t>
        </is>
      </c>
      <c r="C374" s="197" t="n">
        <v>46496</v>
      </c>
      <c r="D374" s="197" t="n">
        <v>46500</v>
      </c>
      <c r="E374" s="197" t="n">
        <v>46501</v>
      </c>
      <c r="F374" s="198" t="n">
        <v>19</v>
      </c>
      <c r="G374" s="198" t="n">
        <v>5</v>
      </c>
      <c r="H374">
        <f>F374*G374</f>
        <v/>
      </c>
      <c r="I374" t="n">
        <v>0</v>
      </c>
      <c r="J374">
        <f>IFERROR(H374+I374,"")</f>
        <v/>
      </c>
      <c r="K374">
        <f>IFERROR(J374/G374,"")</f>
        <v/>
      </c>
      <c r="L374">
        <f>IFERROR(SUM(INDEX('CONTROLE PRODUÇÃO POR EMPRESAS'!$H$6:$H$5000,MATCH(C374,'CONTROLE PRODUÇÃO POR EMPRESAS'!$A$6:$A$5000,0)):INDEX('CONTROLE PRODUÇÃO POR EMPRESAS'!$H$6:$H$5000,MATCH(D374,'CONTROLE PRODUÇÃO POR EMPRESAS'!$A$6:$A$5000,0))),0)</f>
        <v/>
      </c>
      <c r="M374">
        <f>IF($B$3&lt;$E374,"",$L374-$J374)</f>
        <v/>
      </c>
      <c r="N374">
        <f>IF($B$3&lt;$C374,"FUTURA",IF($B$3&lt;=$D374,"EM ANDAMENTO",IF($B$3&lt;$E374,"AGUARDANDO CORTE",IF($M374&gt;=0,"META ATINGIDA","GAP A RECUPERAR"))))</f>
        <v/>
      </c>
    </row>
    <row r="375">
      <c r="A375" t="inlineStr">
        <is>
          <t>GLOBO AÇOS</t>
        </is>
      </c>
      <c r="B375" t="inlineStr">
        <is>
          <t>TELHAR</t>
        </is>
      </c>
      <c r="C375" s="197" t="n">
        <v>46496</v>
      </c>
      <c r="D375" s="197" t="n">
        <v>46500</v>
      </c>
      <c r="E375" s="197" t="n">
        <v>46501</v>
      </c>
      <c r="F375" s="198" t="n">
        <v>7</v>
      </c>
      <c r="G375" s="198" t="n">
        <v>5</v>
      </c>
      <c r="H375">
        <f>F375*G375</f>
        <v/>
      </c>
      <c r="I375" t="n">
        <v>0</v>
      </c>
      <c r="J375">
        <f>IFERROR(H375+I375,"")</f>
        <v/>
      </c>
      <c r="K375">
        <f>IFERROR(J375/G375,"")</f>
        <v/>
      </c>
      <c r="L375">
        <f>IFERROR(SUM(INDEX('CONTROLE PRODUÇÃO POR EMPRESAS'!$I$6:$I$5000,MATCH(C375,'CONTROLE PRODUÇÃO POR EMPRESAS'!$A$6:$A$5000,0)):INDEX('CONTROLE PRODUÇÃO POR EMPRESAS'!$I$6:$I$5000,MATCH(D375,'CONTROLE PRODUÇÃO POR EMPRESAS'!$A$6:$A$5000,0))),0)</f>
        <v/>
      </c>
      <c r="M375">
        <f>IF($B$3&lt;$E375,"",$L375-$J375)</f>
        <v/>
      </c>
      <c r="N375">
        <f>IF($B$3&lt;$C375,"FUTURA",IF($B$3&lt;=$D375,"EM ANDAMENTO",IF($B$3&lt;$E375,"AGUARDANDO CORTE",IF($M375&gt;=0,"META ATINGIDA","GAP A RECUPERAR"))))</f>
        <v/>
      </c>
    </row>
    <row r="376">
      <c r="A376" t="inlineStr">
        <is>
          <t>GLOBO AÇOS</t>
        </is>
      </c>
      <c r="B376" t="inlineStr">
        <is>
          <t>FECHAMENTO</t>
        </is>
      </c>
      <c r="C376" s="197" t="n">
        <v>46496</v>
      </c>
      <c r="D376" s="197" t="n">
        <v>46500</v>
      </c>
      <c r="E376" s="197" t="n">
        <v>46501</v>
      </c>
      <c r="F376" s="198" t="n">
        <v>36</v>
      </c>
      <c r="G376" s="198" t="n">
        <v>5</v>
      </c>
      <c r="H376">
        <f>F376*G376</f>
        <v/>
      </c>
      <c r="I376" t="n">
        <v>0</v>
      </c>
      <c r="J376">
        <f>IFERROR(H376+I376,"")</f>
        <v/>
      </c>
      <c r="K376">
        <f>IFERROR(J376/G376,"")</f>
        <v/>
      </c>
      <c r="L376">
        <f>IFERROR(SUM(INDEX('CONTROLE PRODUÇÃO POR EMPRESAS'!$J$6:$J$5000,MATCH(C376,'CONTROLE PRODUÇÃO POR EMPRESAS'!$A$6:$A$5000,0)):INDEX('CONTROLE PRODUÇÃO POR EMPRESAS'!$J$6:$J$5000,MATCH(D376,'CONTROLE PRODUÇÃO POR EMPRESAS'!$A$6:$A$5000,0))),0)</f>
        <v/>
      </c>
      <c r="M376">
        <f>IF($B$3&lt;$E376,"",$L376-$J376)</f>
        <v/>
      </c>
      <c r="N376">
        <f>IF($B$3&lt;$C376,"FUTURA",IF($B$3&lt;=$D376,"EM ANDAMENTO",IF($B$3&lt;$E376,"AGUARDANDO CORTE",IF($M376&gt;=0,"META ATINGIDA","GAP A RECUPERAR"))))</f>
        <v/>
      </c>
    </row>
    <row r="377">
      <c r="A377" t="inlineStr">
        <is>
          <t>EJ</t>
        </is>
      </c>
      <c r="B377" t="inlineStr">
        <is>
          <t>PREMONTAGEM</t>
        </is>
      </c>
      <c r="C377" s="197" t="n">
        <v>46503</v>
      </c>
      <c r="D377" s="197" t="n">
        <v>46507</v>
      </c>
      <c r="E377" s="197" t="n">
        <v>46508</v>
      </c>
      <c r="F377" s="198" t="n">
        <v>6</v>
      </c>
      <c r="G377" s="198" t="n">
        <v>5</v>
      </c>
      <c r="H377">
        <f>F377*G377</f>
        <v/>
      </c>
      <c r="I377" t="n">
        <v>0</v>
      </c>
      <c r="J377">
        <f>IFERROR(H377+I377,"")</f>
        <v/>
      </c>
      <c r="K377">
        <f>IFERROR(J377/G377,"")</f>
        <v/>
      </c>
      <c r="L377" t="n">
        <v>0</v>
      </c>
      <c r="M377">
        <f>IF($B$3&lt;$E377,"",$L377-$J377)</f>
        <v/>
      </c>
      <c r="N377">
        <f>IF($B$3&lt;$C377,"FUTURA",IF($B$3&lt;=$D377,"EM ANDAMENTO",IF($B$3&lt;$E377,"AGUARDANDO CORTE",IF($M377&gt;=0,"META ATINGIDA","GAP A RECUPERAR"))))</f>
        <v/>
      </c>
    </row>
    <row r="378">
      <c r="A378" t="inlineStr">
        <is>
          <t>EJ</t>
        </is>
      </c>
      <c r="B378" t="inlineStr">
        <is>
          <t>IÇAMENTO JOIST</t>
        </is>
      </c>
      <c r="C378" s="197" t="n">
        <v>46503</v>
      </c>
      <c r="D378" s="197" t="n">
        <v>46507</v>
      </c>
      <c r="E378" s="197" t="n">
        <v>46508</v>
      </c>
      <c r="F378" s="198" t="n">
        <v>5</v>
      </c>
      <c r="G378" s="198" t="n">
        <v>5</v>
      </c>
      <c r="H378">
        <f>F378*G378</f>
        <v/>
      </c>
      <c r="I378" t="n">
        <v>0</v>
      </c>
      <c r="J378">
        <f>IFERROR(H378+I378,"")</f>
        <v/>
      </c>
      <c r="K378">
        <f>IFERROR(J378/G378,"")</f>
        <v/>
      </c>
      <c r="L378" t="n">
        <v>0</v>
      </c>
      <c r="M378">
        <f>IF($B$3&lt;$E378,"",$L378-$J378)</f>
        <v/>
      </c>
      <c r="N378">
        <f>IF($B$3&lt;$C378,"FUTURA",IF($B$3&lt;=$D378,"EM ANDAMENTO",IF($B$3&lt;$E378,"AGUARDANDO CORTE",IF($M378&gt;=0,"META ATINGIDA","GAP A RECUPERAR"))))</f>
        <v/>
      </c>
    </row>
    <row r="379">
      <c r="A379" t="inlineStr">
        <is>
          <t>EJ</t>
        </is>
      </c>
      <c r="B379" t="inlineStr">
        <is>
          <t>VIGAS</t>
        </is>
      </c>
      <c r="C379" s="197" t="n">
        <v>46503</v>
      </c>
      <c r="D379" s="197" t="n">
        <v>46507</v>
      </c>
      <c r="E379" s="197" t="n">
        <v>46508</v>
      </c>
      <c r="F379" s="198" t="n">
        <v>2</v>
      </c>
      <c r="G379" s="198" t="n">
        <v>5</v>
      </c>
      <c r="H379">
        <f>F379*G379</f>
        <v/>
      </c>
      <c r="I379" t="n">
        <v>0</v>
      </c>
      <c r="J379">
        <f>IFERROR(H379+I379,"")</f>
        <v/>
      </c>
      <c r="K379">
        <f>IFERROR(J379/G379,"")</f>
        <v/>
      </c>
      <c r="L379" t="n">
        <v>0</v>
      </c>
      <c r="M379">
        <f>IF($B$3&lt;$E379,"",$L379-$J379)</f>
        <v/>
      </c>
      <c r="N379">
        <f>IF($B$3&lt;$C379,"FUTURA",IF($B$3&lt;=$D379,"EM ANDAMENTO",IF($B$3&lt;$E379,"AGUARDANDO CORTE",IF($M379&gt;=0,"META ATINGIDA","GAP A RECUPERAR"))))</f>
        <v/>
      </c>
    </row>
    <row r="380">
      <c r="A380" t="inlineStr">
        <is>
          <t>CMM</t>
        </is>
      </c>
      <c r="B380" t="inlineStr">
        <is>
          <t>PREMONTAGEM</t>
        </is>
      </c>
      <c r="C380" s="197" t="n">
        <v>46503</v>
      </c>
      <c r="D380" s="197" t="n">
        <v>46507</v>
      </c>
      <c r="E380" s="197" t="n">
        <v>46508</v>
      </c>
      <c r="F380" s="198" t="n">
        <v>6</v>
      </c>
      <c r="G380" s="198" t="n">
        <v>5</v>
      </c>
      <c r="H380">
        <f>F380*G380</f>
        <v/>
      </c>
      <c r="I380" t="n">
        <v>0</v>
      </c>
      <c r="J380">
        <f>IFERROR(H380+I380,"")</f>
        <v/>
      </c>
      <c r="K380">
        <f>IFERROR(J380/G380,"")</f>
        <v/>
      </c>
      <c r="L380" t="n">
        <v>0</v>
      </c>
      <c r="M380">
        <f>IF($B$3&lt;$E380,"",$L380-$J380)</f>
        <v/>
      </c>
      <c r="N380">
        <f>IF($B$3&lt;$C380,"FUTURA",IF($B$3&lt;=$D380,"EM ANDAMENTO",IF($B$3&lt;$E380,"AGUARDANDO CORTE",IF($M380&gt;=0,"META ATINGIDA","GAP A RECUPERAR"))))</f>
        <v/>
      </c>
    </row>
    <row r="381">
      <c r="A381" t="inlineStr">
        <is>
          <t>CMM</t>
        </is>
      </c>
      <c r="B381" t="inlineStr">
        <is>
          <t>IÇAMENTO JOIST</t>
        </is>
      </c>
      <c r="C381" s="197" t="n">
        <v>46503</v>
      </c>
      <c r="D381" s="197" t="n">
        <v>46507</v>
      </c>
      <c r="E381" s="197" t="n">
        <v>46508</v>
      </c>
      <c r="F381" s="198" t="n">
        <v>5</v>
      </c>
      <c r="G381" s="198" t="n">
        <v>5</v>
      </c>
      <c r="H381">
        <f>F381*G381</f>
        <v/>
      </c>
      <c r="I381" t="n">
        <v>0</v>
      </c>
      <c r="J381">
        <f>IFERROR(H381+I381,"")</f>
        <v/>
      </c>
      <c r="K381">
        <f>IFERROR(J381/G381,"")</f>
        <v/>
      </c>
      <c r="L381" t="n">
        <v>0</v>
      </c>
      <c r="M381">
        <f>IF($B$3&lt;$E381,"",$L381-$J381)</f>
        <v/>
      </c>
      <c r="N381">
        <f>IF($B$3&lt;$C381,"FUTURA",IF($B$3&lt;=$D381,"EM ANDAMENTO",IF($B$3&lt;$E381,"AGUARDANDO CORTE",IF($M381&gt;=0,"META ATINGIDA","GAP A RECUPERAR"))))</f>
        <v/>
      </c>
    </row>
    <row r="382">
      <c r="A382" t="inlineStr">
        <is>
          <t>CMM</t>
        </is>
      </c>
      <c r="B382" t="inlineStr">
        <is>
          <t>VIGAS</t>
        </is>
      </c>
      <c r="C382" s="197" t="n">
        <v>46503</v>
      </c>
      <c r="D382" s="197" t="n">
        <v>46507</v>
      </c>
      <c r="E382" s="197" t="n">
        <v>46508</v>
      </c>
      <c r="F382" s="198" t="n">
        <v>2</v>
      </c>
      <c r="G382" s="198" t="n">
        <v>5</v>
      </c>
      <c r="H382">
        <f>F382*G382</f>
        <v/>
      </c>
      <c r="I382" t="n">
        <v>0</v>
      </c>
      <c r="J382">
        <f>IFERROR(H382+I382,"")</f>
        <v/>
      </c>
      <c r="K382">
        <f>IFERROR(J382/G382,"")</f>
        <v/>
      </c>
      <c r="L382" t="n">
        <v>0</v>
      </c>
      <c r="M382">
        <f>IF($B$3&lt;$E382,"",$L382-$J382)</f>
        <v/>
      </c>
      <c r="N382">
        <f>IF($B$3&lt;$C382,"FUTURA",IF($B$3&lt;=$D382,"EM ANDAMENTO",IF($B$3&lt;$E382,"AGUARDANDO CORTE",IF($M382&gt;=0,"META ATINGIDA","GAP A RECUPERAR"))))</f>
        <v/>
      </c>
    </row>
    <row r="383">
      <c r="A383" t="inlineStr">
        <is>
          <t>GLOBO AÇOS</t>
        </is>
      </c>
      <c r="B383" t="inlineStr">
        <is>
          <t>PERFILAÇÃO</t>
        </is>
      </c>
      <c r="C383" s="197" t="n">
        <v>46503</v>
      </c>
      <c r="D383" s="197" t="n">
        <v>46507</v>
      </c>
      <c r="E383" s="197" t="n">
        <v>46508</v>
      </c>
      <c r="F383" s="198" t="n">
        <v>19</v>
      </c>
      <c r="G383" s="198" t="n">
        <v>5</v>
      </c>
      <c r="H383">
        <f>F383*G383</f>
        <v/>
      </c>
      <c r="I383" t="n">
        <v>0</v>
      </c>
      <c r="J383">
        <f>IFERROR(H383+I383,"")</f>
        <v/>
      </c>
      <c r="K383">
        <f>IFERROR(J383/G383,"")</f>
        <v/>
      </c>
      <c r="L383">
        <f>IFERROR(SUM(INDEX('CONTROLE PRODUÇÃO POR EMPRESAS'!$H$6:$H$5000,MATCH(C383,'CONTROLE PRODUÇÃO POR EMPRESAS'!$A$6:$A$5000,0)):INDEX('CONTROLE PRODUÇÃO POR EMPRESAS'!$H$6:$H$5000,MATCH(D383,'CONTROLE PRODUÇÃO POR EMPRESAS'!$A$6:$A$5000,0))),0)</f>
        <v/>
      </c>
      <c r="M383">
        <f>IF($B$3&lt;$E383,"",$L383-$J383)</f>
        <v/>
      </c>
      <c r="N383">
        <f>IF($B$3&lt;$C383,"FUTURA",IF($B$3&lt;=$D383,"EM ANDAMENTO",IF($B$3&lt;$E383,"AGUARDANDO CORTE",IF($M383&gt;=0,"META ATINGIDA","GAP A RECUPERAR"))))</f>
        <v/>
      </c>
    </row>
    <row r="384">
      <c r="A384" t="inlineStr">
        <is>
          <t>GLOBO AÇOS</t>
        </is>
      </c>
      <c r="B384" t="inlineStr">
        <is>
          <t>TELHAR</t>
        </is>
      </c>
      <c r="C384" s="197" t="n">
        <v>46503</v>
      </c>
      <c r="D384" s="197" t="n">
        <v>46507</v>
      </c>
      <c r="E384" s="197" t="n">
        <v>46508</v>
      </c>
      <c r="F384" s="198" t="n">
        <v>7</v>
      </c>
      <c r="G384" s="198" t="n">
        <v>5</v>
      </c>
      <c r="H384">
        <f>F384*G384</f>
        <v/>
      </c>
      <c r="I384" t="n">
        <v>0</v>
      </c>
      <c r="J384">
        <f>IFERROR(H384+I384,"")</f>
        <v/>
      </c>
      <c r="K384">
        <f>IFERROR(J384/G384,"")</f>
        <v/>
      </c>
      <c r="L384">
        <f>IFERROR(SUM(INDEX('CONTROLE PRODUÇÃO POR EMPRESAS'!$I$6:$I$5000,MATCH(C384,'CONTROLE PRODUÇÃO POR EMPRESAS'!$A$6:$A$5000,0)):INDEX('CONTROLE PRODUÇÃO POR EMPRESAS'!$I$6:$I$5000,MATCH(D384,'CONTROLE PRODUÇÃO POR EMPRESAS'!$A$6:$A$5000,0))),0)</f>
        <v/>
      </c>
      <c r="M384">
        <f>IF($B$3&lt;$E384,"",$L384-$J384)</f>
        <v/>
      </c>
      <c r="N384">
        <f>IF($B$3&lt;$C384,"FUTURA",IF($B$3&lt;=$D384,"EM ANDAMENTO",IF($B$3&lt;$E384,"AGUARDANDO CORTE",IF($M384&gt;=0,"META ATINGIDA","GAP A RECUPERAR"))))</f>
        <v/>
      </c>
    </row>
    <row r="385">
      <c r="A385" t="inlineStr">
        <is>
          <t>GLOBO AÇOS</t>
        </is>
      </c>
      <c r="B385" t="inlineStr">
        <is>
          <t>FECHAMENTO</t>
        </is>
      </c>
      <c r="C385" s="197" t="n">
        <v>46503</v>
      </c>
      <c r="D385" s="197" t="n">
        <v>46507</v>
      </c>
      <c r="E385" s="197" t="n">
        <v>46508</v>
      </c>
      <c r="F385" s="198" t="n">
        <v>36</v>
      </c>
      <c r="G385" s="198" t="n">
        <v>5</v>
      </c>
      <c r="H385">
        <f>F385*G385</f>
        <v/>
      </c>
      <c r="I385" t="n">
        <v>0</v>
      </c>
      <c r="J385">
        <f>IFERROR(H385+I385,"")</f>
        <v/>
      </c>
      <c r="K385">
        <f>IFERROR(J385/G385,"")</f>
        <v/>
      </c>
      <c r="L385">
        <f>IFERROR(SUM(INDEX('CONTROLE PRODUÇÃO POR EMPRESAS'!$J$6:$J$5000,MATCH(C385,'CONTROLE PRODUÇÃO POR EMPRESAS'!$A$6:$A$5000,0)):INDEX('CONTROLE PRODUÇÃO POR EMPRESAS'!$J$6:$J$5000,MATCH(D385,'CONTROLE PRODUÇÃO POR EMPRESAS'!$A$6:$A$5000,0))),0)</f>
        <v/>
      </c>
      <c r="M385">
        <f>IF($B$3&lt;$E385,"",$L385-$J385)</f>
        <v/>
      </c>
      <c r="N385">
        <f>IF($B$3&lt;$C385,"FUTURA",IF($B$3&lt;=$D385,"EM ANDAMENTO",IF($B$3&lt;$E385,"AGUARDANDO CORTE",IF($M385&gt;=0,"META ATINGIDA","GAP A RECUPERAR"))))</f>
        <v/>
      </c>
    </row>
    <row r="386">
      <c r="A386" t="inlineStr">
        <is>
          <t>EJ</t>
        </is>
      </c>
      <c r="B386" t="inlineStr">
        <is>
          <t>PREMONTAGEM</t>
        </is>
      </c>
      <c r="C386" s="197" t="n">
        <v>46510</v>
      </c>
      <c r="D386" s="197" t="n">
        <v>46514</v>
      </c>
      <c r="E386" s="197" t="n">
        <v>46515</v>
      </c>
      <c r="F386" s="198" t="n">
        <v>6</v>
      </c>
      <c r="G386" s="198" t="n">
        <v>5</v>
      </c>
      <c r="H386">
        <f>F386*G386</f>
        <v/>
      </c>
      <c r="I386" t="n">
        <v>0</v>
      </c>
      <c r="J386">
        <f>IFERROR(H386+I386,"")</f>
        <v/>
      </c>
      <c r="K386">
        <f>IFERROR(J386/G386,"")</f>
        <v/>
      </c>
      <c r="L386" t="n">
        <v>0</v>
      </c>
      <c r="M386">
        <f>IF($B$3&lt;$E386,"",$L386-$J386)</f>
        <v/>
      </c>
      <c r="N386">
        <f>IF($B$3&lt;$C386,"FUTURA",IF($B$3&lt;=$D386,"EM ANDAMENTO",IF($B$3&lt;$E386,"AGUARDANDO CORTE",IF($M386&gt;=0,"META ATINGIDA","GAP A RECUPERAR"))))</f>
        <v/>
      </c>
    </row>
    <row r="387">
      <c r="A387" t="inlineStr">
        <is>
          <t>EJ</t>
        </is>
      </c>
      <c r="B387" t="inlineStr">
        <is>
          <t>IÇAMENTO JOIST</t>
        </is>
      </c>
      <c r="C387" s="197" t="n">
        <v>46510</v>
      </c>
      <c r="D387" s="197" t="n">
        <v>46514</v>
      </c>
      <c r="E387" s="197" t="n">
        <v>46515</v>
      </c>
      <c r="F387" s="198" t="n">
        <v>5</v>
      </c>
      <c r="G387" s="198" t="n">
        <v>5</v>
      </c>
      <c r="H387">
        <f>F387*G387</f>
        <v/>
      </c>
      <c r="I387" t="n">
        <v>0</v>
      </c>
      <c r="J387">
        <f>IFERROR(H387+I387,"")</f>
        <v/>
      </c>
      <c r="K387">
        <f>IFERROR(J387/G387,"")</f>
        <v/>
      </c>
      <c r="L387" t="n">
        <v>0</v>
      </c>
      <c r="M387">
        <f>IF($B$3&lt;$E387,"",$L387-$J387)</f>
        <v/>
      </c>
      <c r="N387">
        <f>IF($B$3&lt;$C387,"FUTURA",IF($B$3&lt;=$D387,"EM ANDAMENTO",IF($B$3&lt;$E387,"AGUARDANDO CORTE",IF($M387&gt;=0,"META ATINGIDA","GAP A RECUPERAR"))))</f>
        <v/>
      </c>
    </row>
    <row r="388">
      <c r="A388" t="inlineStr">
        <is>
          <t>EJ</t>
        </is>
      </c>
      <c r="B388" t="inlineStr">
        <is>
          <t>VIGAS</t>
        </is>
      </c>
      <c r="C388" s="197" t="n">
        <v>46510</v>
      </c>
      <c r="D388" s="197" t="n">
        <v>46514</v>
      </c>
      <c r="E388" s="197" t="n">
        <v>46515</v>
      </c>
      <c r="F388" s="198" t="n">
        <v>2</v>
      </c>
      <c r="G388" s="198" t="n">
        <v>5</v>
      </c>
      <c r="H388">
        <f>F388*G388</f>
        <v/>
      </c>
      <c r="I388" t="n">
        <v>0</v>
      </c>
      <c r="J388">
        <f>IFERROR(H388+I388,"")</f>
        <v/>
      </c>
      <c r="K388">
        <f>IFERROR(J388/G388,"")</f>
        <v/>
      </c>
      <c r="L388" t="n">
        <v>0</v>
      </c>
      <c r="M388">
        <f>IF($B$3&lt;$E388,"",$L388-$J388)</f>
        <v/>
      </c>
      <c r="N388">
        <f>IF($B$3&lt;$C388,"FUTURA",IF($B$3&lt;=$D388,"EM ANDAMENTO",IF($B$3&lt;$E388,"AGUARDANDO CORTE",IF($M388&gt;=0,"META ATINGIDA","GAP A RECUPERAR"))))</f>
        <v/>
      </c>
    </row>
    <row r="389">
      <c r="A389" t="inlineStr">
        <is>
          <t>CMM</t>
        </is>
      </c>
      <c r="B389" t="inlineStr">
        <is>
          <t>PREMONTAGEM</t>
        </is>
      </c>
      <c r="C389" s="197" t="n">
        <v>46510</v>
      </c>
      <c r="D389" s="197" t="n">
        <v>46514</v>
      </c>
      <c r="E389" s="197" t="n">
        <v>46515</v>
      </c>
      <c r="F389" s="198" t="n">
        <v>6</v>
      </c>
      <c r="G389" s="198" t="n">
        <v>5</v>
      </c>
      <c r="H389">
        <f>F389*G389</f>
        <v/>
      </c>
      <c r="I389" t="n">
        <v>0</v>
      </c>
      <c r="J389">
        <f>IFERROR(H389+I389,"")</f>
        <v/>
      </c>
      <c r="K389">
        <f>IFERROR(J389/G389,"")</f>
        <v/>
      </c>
      <c r="L389" t="n">
        <v>0</v>
      </c>
      <c r="M389">
        <f>IF($B$3&lt;$E389,"",$L389-$J389)</f>
        <v/>
      </c>
      <c r="N389">
        <f>IF($B$3&lt;$C389,"FUTURA",IF($B$3&lt;=$D389,"EM ANDAMENTO",IF($B$3&lt;$E389,"AGUARDANDO CORTE",IF($M389&gt;=0,"META ATINGIDA","GAP A RECUPERAR"))))</f>
        <v/>
      </c>
    </row>
    <row r="390">
      <c r="A390" t="inlineStr">
        <is>
          <t>CMM</t>
        </is>
      </c>
      <c r="B390" t="inlineStr">
        <is>
          <t>IÇAMENTO JOIST</t>
        </is>
      </c>
      <c r="C390" s="197" t="n">
        <v>46510</v>
      </c>
      <c r="D390" s="197" t="n">
        <v>46514</v>
      </c>
      <c r="E390" s="197" t="n">
        <v>46515</v>
      </c>
      <c r="F390" s="198" t="n">
        <v>5</v>
      </c>
      <c r="G390" s="198" t="n">
        <v>5</v>
      </c>
      <c r="H390">
        <f>F390*G390</f>
        <v/>
      </c>
      <c r="I390" t="n">
        <v>0</v>
      </c>
      <c r="J390">
        <f>IFERROR(H390+I390,"")</f>
        <v/>
      </c>
      <c r="K390">
        <f>IFERROR(J390/G390,"")</f>
        <v/>
      </c>
      <c r="L390" t="n">
        <v>0</v>
      </c>
      <c r="M390">
        <f>IF($B$3&lt;$E390,"",$L390-$J390)</f>
        <v/>
      </c>
      <c r="N390">
        <f>IF($B$3&lt;$C390,"FUTURA",IF($B$3&lt;=$D390,"EM ANDAMENTO",IF($B$3&lt;$E390,"AGUARDANDO CORTE",IF($M390&gt;=0,"META ATINGIDA","GAP A RECUPERAR"))))</f>
        <v/>
      </c>
    </row>
    <row r="391">
      <c r="A391" t="inlineStr">
        <is>
          <t>CMM</t>
        </is>
      </c>
      <c r="B391" t="inlineStr">
        <is>
          <t>VIGAS</t>
        </is>
      </c>
      <c r="C391" s="197" t="n">
        <v>46510</v>
      </c>
      <c r="D391" s="197" t="n">
        <v>46514</v>
      </c>
      <c r="E391" s="197" t="n">
        <v>46515</v>
      </c>
      <c r="F391" s="198" t="n">
        <v>2</v>
      </c>
      <c r="G391" s="198" t="n">
        <v>5</v>
      </c>
      <c r="H391">
        <f>F391*G391</f>
        <v/>
      </c>
      <c r="I391" t="n">
        <v>0</v>
      </c>
      <c r="J391">
        <f>IFERROR(H391+I391,"")</f>
        <v/>
      </c>
      <c r="K391">
        <f>IFERROR(J391/G391,"")</f>
        <v/>
      </c>
      <c r="L391" t="n">
        <v>0</v>
      </c>
      <c r="M391">
        <f>IF($B$3&lt;$E391,"",$L391-$J391)</f>
        <v/>
      </c>
      <c r="N391">
        <f>IF($B$3&lt;$C391,"FUTURA",IF($B$3&lt;=$D391,"EM ANDAMENTO",IF($B$3&lt;$E391,"AGUARDANDO CORTE",IF($M391&gt;=0,"META ATINGIDA","GAP A RECUPERAR"))))</f>
        <v/>
      </c>
    </row>
    <row r="392">
      <c r="A392" t="inlineStr">
        <is>
          <t>GLOBO AÇOS</t>
        </is>
      </c>
      <c r="B392" t="inlineStr">
        <is>
          <t>PERFILAÇÃO</t>
        </is>
      </c>
      <c r="C392" s="197" t="n">
        <v>46510</v>
      </c>
      <c r="D392" s="197" t="n">
        <v>46514</v>
      </c>
      <c r="E392" s="197" t="n">
        <v>46515</v>
      </c>
      <c r="F392" s="198" t="n">
        <v>19</v>
      </c>
      <c r="G392" s="198" t="n">
        <v>5</v>
      </c>
      <c r="H392">
        <f>F392*G392</f>
        <v/>
      </c>
      <c r="I392" t="n">
        <v>0</v>
      </c>
      <c r="J392">
        <f>IFERROR(H392+I392,"")</f>
        <v/>
      </c>
      <c r="K392">
        <f>IFERROR(J392/G392,"")</f>
        <v/>
      </c>
      <c r="L392">
        <f>IFERROR(SUM(INDEX('CONTROLE PRODUÇÃO POR EMPRESAS'!$H$6:$H$5000,MATCH(C392,'CONTROLE PRODUÇÃO POR EMPRESAS'!$A$6:$A$5000,0)):INDEX('CONTROLE PRODUÇÃO POR EMPRESAS'!$H$6:$H$5000,MATCH(D392,'CONTROLE PRODUÇÃO POR EMPRESAS'!$A$6:$A$5000,0))),0)</f>
        <v/>
      </c>
      <c r="M392">
        <f>IF($B$3&lt;$E392,"",$L392-$J392)</f>
        <v/>
      </c>
      <c r="N392">
        <f>IF($B$3&lt;$C392,"FUTURA",IF($B$3&lt;=$D392,"EM ANDAMENTO",IF($B$3&lt;$E392,"AGUARDANDO CORTE",IF($M392&gt;=0,"META ATINGIDA","GAP A RECUPERAR"))))</f>
        <v/>
      </c>
    </row>
    <row r="393">
      <c r="A393" t="inlineStr">
        <is>
          <t>GLOBO AÇOS</t>
        </is>
      </c>
      <c r="B393" t="inlineStr">
        <is>
          <t>TELHAR</t>
        </is>
      </c>
      <c r="C393" s="197" t="n">
        <v>46510</v>
      </c>
      <c r="D393" s="197" t="n">
        <v>46514</v>
      </c>
      <c r="E393" s="197" t="n">
        <v>46515</v>
      </c>
      <c r="F393" s="198" t="n">
        <v>7</v>
      </c>
      <c r="G393" s="198" t="n">
        <v>5</v>
      </c>
      <c r="H393">
        <f>F393*G393</f>
        <v/>
      </c>
      <c r="I393" t="n">
        <v>0</v>
      </c>
      <c r="J393">
        <f>IFERROR(H393+I393,"")</f>
        <v/>
      </c>
      <c r="K393">
        <f>IFERROR(J393/G393,"")</f>
        <v/>
      </c>
      <c r="L393">
        <f>IFERROR(SUM(INDEX('CONTROLE PRODUÇÃO POR EMPRESAS'!$I$6:$I$5000,MATCH(C393,'CONTROLE PRODUÇÃO POR EMPRESAS'!$A$6:$A$5000,0)):INDEX('CONTROLE PRODUÇÃO POR EMPRESAS'!$I$6:$I$5000,MATCH(D393,'CONTROLE PRODUÇÃO POR EMPRESAS'!$A$6:$A$5000,0))),0)</f>
        <v/>
      </c>
      <c r="M393">
        <f>IF($B$3&lt;$E393,"",$L393-$J393)</f>
        <v/>
      </c>
      <c r="N393">
        <f>IF($B$3&lt;$C393,"FUTURA",IF($B$3&lt;=$D393,"EM ANDAMENTO",IF($B$3&lt;$E393,"AGUARDANDO CORTE",IF($M393&gt;=0,"META ATINGIDA","GAP A RECUPERAR"))))</f>
        <v/>
      </c>
    </row>
    <row r="394">
      <c r="A394" t="inlineStr">
        <is>
          <t>GLOBO AÇOS</t>
        </is>
      </c>
      <c r="B394" t="inlineStr">
        <is>
          <t>FECHAMENTO</t>
        </is>
      </c>
      <c r="C394" s="197" t="n">
        <v>46510</v>
      </c>
      <c r="D394" s="197" t="n">
        <v>46514</v>
      </c>
      <c r="E394" s="197" t="n">
        <v>46515</v>
      </c>
      <c r="F394" s="198" t="n">
        <v>36</v>
      </c>
      <c r="G394" s="198" t="n">
        <v>5</v>
      </c>
      <c r="H394">
        <f>F394*G394</f>
        <v/>
      </c>
      <c r="I394" t="n">
        <v>0</v>
      </c>
      <c r="J394">
        <f>IFERROR(H394+I394,"")</f>
        <v/>
      </c>
      <c r="K394">
        <f>IFERROR(J394/G394,"")</f>
        <v/>
      </c>
      <c r="L394">
        <f>IFERROR(SUM(INDEX('CONTROLE PRODUÇÃO POR EMPRESAS'!$J$6:$J$5000,MATCH(C394,'CONTROLE PRODUÇÃO POR EMPRESAS'!$A$6:$A$5000,0)):INDEX('CONTROLE PRODUÇÃO POR EMPRESAS'!$J$6:$J$5000,MATCH(D394,'CONTROLE PRODUÇÃO POR EMPRESAS'!$A$6:$A$5000,0))),0)</f>
        <v/>
      </c>
      <c r="M394">
        <f>IF($B$3&lt;$E394,"",$L394-$J394)</f>
        <v/>
      </c>
      <c r="N394">
        <f>IF($B$3&lt;$C394,"FUTURA",IF($B$3&lt;=$D394,"EM ANDAMENTO",IF($B$3&lt;$E394,"AGUARDANDO CORTE",IF($M394&gt;=0,"META ATINGIDA","GAP A RECUPERAR"))))</f>
        <v/>
      </c>
    </row>
    <row r="395">
      <c r="A395" t="inlineStr">
        <is>
          <t>EJ</t>
        </is>
      </c>
      <c r="B395" t="inlineStr">
        <is>
          <t>PREMONTAGEM</t>
        </is>
      </c>
      <c r="C395" s="197" t="n">
        <v>46517</v>
      </c>
      <c r="D395" s="197" t="n">
        <v>46521</v>
      </c>
      <c r="E395" s="197" t="n">
        <v>46522</v>
      </c>
      <c r="F395" s="198" t="n">
        <v>6</v>
      </c>
      <c r="G395" s="198" t="n">
        <v>5</v>
      </c>
      <c r="H395">
        <f>F395*G395</f>
        <v/>
      </c>
      <c r="I395" t="n">
        <v>0</v>
      </c>
      <c r="J395">
        <f>IFERROR(H395+I395,"")</f>
        <v/>
      </c>
      <c r="K395">
        <f>IFERROR(J395/G395,"")</f>
        <v/>
      </c>
      <c r="L395" t="n">
        <v>0</v>
      </c>
      <c r="M395">
        <f>IF($B$3&lt;$E395,"",$L395-$J395)</f>
        <v/>
      </c>
      <c r="N395">
        <f>IF($B$3&lt;$C395,"FUTURA",IF($B$3&lt;=$D395,"EM ANDAMENTO",IF($B$3&lt;$E395,"AGUARDANDO CORTE",IF($M395&gt;=0,"META ATINGIDA","GAP A RECUPERAR"))))</f>
        <v/>
      </c>
    </row>
    <row r="396">
      <c r="A396" t="inlineStr">
        <is>
          <t>EJ</t>
        </is>
      </c>
      <c r="B396" t="inlineStr">
        <is>
          <t>IÇAMENTO JOIST</t>
        </is>
      </c>
      <c r="C396" s="197" t="n">
        <v>46517</v>
      </c>
      <c r="D396" s="197" t="n">
        <v>46521</v>
      </c>
      <c r="E396" s="197" t="n">
        <v>46522</v>
      </c>
      <c r="F396" s="198" t="n">
        <v>5</v>
      </c>
      <c r="G396" s="198" t="n">
        <v>5</v>
      </c>
      <c r="H396">
        <f>F396*G396</f>
        <v/>
      </c>
      <c r="I396" t="n">
        <v>0</v>
      </c>
      <c r="J396">
        <f>IFERROR(H396+I396,"")</f>
        <v/>
      </c>
      <c r="K396">
        <f>IFERROR(J396/G396,"")</f>
        <v/>
      </c>
      <c r="L396" t="n">
        <v>0</v>
      </c>
      <c r="M396">
        <f>IF($B$3&lt;$E396,"",$L396-$J396)</f>
        <v/>
      </c>
      <c r="N396">
        <f>IF($B$3&lt;$C396,"FUTURA",IF($B$3&lt;=$D396,"EM ANDAMENTO",IF($B$3&lt;$E396,"AGUARDANDO CORTE",IF($M396&gt;=0,"META ATINGIDA","GAP A RECUPERAR"))))</f>
        <v/>
      </c>
    </row>
    <row r="397">
      <c r="A397" t="inlineStr">
        <is>
          <t>EJ</t>
        </is>
      </c>
      <c r="B397" t="inlineStr">
        <is>
          <t>VIGAS</t>
        </is>
      </c>
      <c r="C397" s="197" t="n">
        <v>46517</v>
      </c>
      <c r="D397" s="197" t="n">
        <v>46521</v>
      </c>
      <c r="E397" s="197" t="n">
        <v>46522</v>
      </c>
      <c r="F397" s="198" t="n">
        <v>2</v>
      </c>
      <c r="G397" s="198" t="n">
        <v>5</v>
      </c>
      <c r="H397">
        <f>F397*G397</f>
        <v/>
      </c>
      <c r="I397" t="n">
        <v>0</v>
      </c>
      <c r="J397">
        <f>IFERROR(H397+I397,"")</f>
        <v/>
      </c>
      <c r="K397">
        <f>IFERROR(J397/G397,"")</f>
        <v/>
      </c>
      <c r="L397" t="n">
        <v>0</v>
      </c>
      <c r="M397">
        <f>IF($B$3&lt;$E397,"",$L397-$J397)</f>
        <v/>
      </c>
      <c r="N397">
        <f>IF($B$3&lt;$C397,"FUTURA",IF($B$3&lt;=$D397,"EM ANDAMENTO",IF($B$3&lt;$E397,"AGUARDANDO CORTE",IF($M397&gt;=0,"META ATINGIDA","GAP A RECUPERAR"))))</f>
        <v/>
      </c>
    </row>
    <row r="398">
      <c r="A398" t="inlineStr">
        <is>
          <t>CMM</t>
        </is>
      </c>
      <c r="B398" t="inlineStr">
        <is>
          <t>PREMONTAGEM</t>
        </is>
      </c>
      <c r="C398" s="197" t="n">
        <v>46517</v>
      </c>
      <c r="D398" s="197" t="n">
        <v>46521</v>
      </c>
      <c r="E398" s="197" t="n">
        <v>46522</v>
      </c>
      <c r="F398" s="198" t="n">
        <v>6</v>
      </c>
      <c r="G398" s="198" t="n">
        <v>5</v>
      </c>
      <c r="H398">
        <f>F398*G398</f>
        <v/>
      </c>
      <c r="I398" t="n">
        <v>0</v>
      </c>
      <c r="J398">
        <f>IFERROR(H398+I398,"")</f>
        <v/>
      </c>
      <c r="K398">
        <f>IFERROR(J398/G398,"")</f>
        <v/>
      </c>
      <c r="L398" t="n">
        <v>0</v>
      </c>
      <c r="M398">
        <f>IF($B$3&lt;$E398,"",$L398-$J398)</f>
        <v/>
      </c>
      <c r="N398">
        <f>IF($B$3&lt;$C398,"FUTURA",IF($B$3&lt;=$D398,"EM ANDAMENTO",IF($B$3&lt;$E398,"AGUARDANDO CORTE",IF($M398&gt;=0,"META ATINGIDA","GAP A RECUPERAR"))))</f>
        <v/>
      </c>
    </row>
    <row r="399">
      <c r="A399" t="inlineStr">
        <is>
          <t>CMM</t>
        </is>
      </c>
      <c r="B399" t="inlineStr">
        <is>
          <t>IÇAMENTO JOIST</t>
        </is>
      </c>
      <c r="C399" s="197" t="n">
        <v>46517</v>
      </c>
      <c r="D399" s="197" t="n">
        <v>46521</v>
      </c>
      <c r="E399" s="197" t="n">
        <v>46522</v>
      </c>
      <c r="F399" s="198" t="n">
        <v>5</v>
      </c>
      <c r="G399" s="198" t="n">
        <v>5</v>
      </c>
      <c r="H399">
        <f>F399*G399</f>
        <v/>
      </c>
      <c r="I399" t="n">
        <v>0</v>
      </c>
      <c r="J399">
        <f>IFERROR(H399+I399,"")</f>
        <v/>
      </c>
      <c r="K399">
        <f>IFERROR(J399/G399,"")</f>
        <v/>
      </c>
      <c r="L399" t="n">
        <v>0</v>
      </c>
      <c r="M399">
        <f>IF($B$3&lt;$E399,"",$L399-$J399)</f>
        <v/>
      </c>
      <c r="N399">
        <f>IF($B$3&lt;$C399,"FUTURA",IF($B$3&lt;=$D399,"EM ANDAMENTO",IF($B$3&lt;$E399,"AGUARDANDO CORTE",IF($M399&gt;=0,"META ATINGIDA","GAP A RECUPERAR"))))</f>
        <v/>
      </c>
    </row>
    <row r="400">
      <c r="A400" t="inlineStr">
        <is>
          <t>CMM</t>
        </is>
      </c>
      <c r="B400" t="inlineStr">
        <is>
          <t>VIGAS</t>
        </is>
      </c>
      <c r="C400" s="197" t="n">
        <v>46517</v>
      </c>
      <c r="D400" s="197" t="n">
        <v>46521</v>
      </c>
      <c r="E400" s="197" t="n">
        <v>46522</v>
      </c>
      <c r="F400" s="198" t="n">
        <v>2</v>
      </c>
      <c r="G400" s="198" t="n">
        <v>5</v>
      </c>
      <c r="H400">
        <f>F400*G400</f>
        <v/>
      </c>
      <c r="I400" t="n">
        <v>0</v>
      </c>
      <c r="J400">
        <f>IFERROR(H400+I400,"")</f>
        <v/>
      </c>
      <c r="K400">
        <f>IFERROR(J400/G400,"")</f>
        <v/>
      </c>
      <c r="L400" t="n">
        <v>0</v>
      </c>
      <c r="M400">
        <f>IF($B$3&lt;$E400,"",$L400-$J400)</f>
        <v/>
      </c>
      <c r="N400">
        <f>IF($B$3&lt;$C400,"FUTURA",IF($B$3&lt;=$D400,"EM ANDAMENTO",IF($B$3&lt;$E400,"AGUARDANDO CORTE",IF($M400&gt;=0,"META ATINGIDA","GAP A RECUPERAR"))))</f>
        <v/>
      </c>
    </row>
    <row r="401">
      <c r="A401" t="inlineStr">
        <is>
          <t>GLOBO AÇOS</t>
        </is>
      </c>
      <c r="B401" t="inlineStr">
        <is>
          <t>PERFILAÇÃO</t>
        </is>
      </c>
      <c r="C401" s="197" t="n">
        <v>46517</v>
      </c>
      <c r="D401" s="197" t="n">
        <v>46521</v>
      </c>
      <c r="E401" s="197" t="n">
        <v>46522</v>
      </c>
      <c r="F401" s="198" t="n">
        <v>19</v>
      </c>
      <c r="G401" s="198" t="n">
        <v>5</v>
      </c>
      <c r="H401">
        <f>F401*G401</f>
        <v/>
      </c>
      <c r="I401" t="n">
        <v>0</v>
      </c>
      <c r="J401">
        <f>IFERROR(H401+I401,"")</f>
        <v/>
      </c>
      <c r="K401">
        <f>IFERROR(J401/G401,"")</f>
        <v/>
      </c>
      <c r="L401">
        <f>IFERROR(SUM(INDEX('CONTROLE PRODUÇÃO POR EMPRESAS'!$H$6:$H$5000,MATCH(C401,'CONTROLE PRODUÇÃO POR EMPRESAS'!$A$6:$A$5000,0)):INDEX('CONTROLE PRODUÇÃO POR EMPRESAS'!$H$6:$H$5000,MATCH(D401,'CONTROLE PRODUÇÃO POR EMPRESAS'!$A$6:$A$5000,0))),0)</f>
        <v/>
      </c>
      <c r="M401">
        <f>IF($B$3&lt;$E401,"",$L401-$J401)</f>
        <v/>
      </c>
      <c r="N401">
        <f>IF($B$3&lt;$C401,"FUTURA",IF($B$3&lt;=$D401,"EM ANDAMENTO",IF($B$3&lt;$E401,"AGUARDANDO CORTE",IF($M401&gt;=0,"META ATINGIDA","GAP A RECUPERAR"))))</f>
        <v/>
      </c>
    </row>
    <row r="402">
      <c r="A402" t="inlineStr">
        <is>
          <t>GLOBO AÇOS</t>
        </is>
      </c>
      <c r="B402" t="inlineStr">
        <is>
          <t>TELHAR</t>
        </is>
      </c>
      <c r="C402" s="197" t="n">
        <v>46517</v>
      </c>
      <c r="D402" s="197" t="n">
        <v>46521</v>
      </c>
      <c r="E402" s="197" t="n">
        <v>46522</v>
      </c>
      <c r="F402" s="198" t="n">
        <v>7</v>
      </c>
      <c r="G402" s="198" t="n">
        <v>5</v>
      </c>
      <c r="H402">
        <f>F402*G402</f>
        <v/>
      </c>
      <c r="I402" t="n">
        <v>0</v>
      </c>
      <c r="J402">
        <f>IFERROR(H402+I402,"")</f>
        <v/>
      </c>
      <c r="K402">
        <f>IFERROR(J402/G402,"")</f>
        <v/>
      </c>
      <c r="L402">
        <f>IFERROR(SUM(INDEX('CONTROLE PRODUÇÃO POR EMPRESAS'!$I$6:$I$5000,MATCH(C402,'CONTROLE PRODUÇÃO POR EMPRESAS'!$A$6:$A$5000,0)):INDEX('CONTROLE PRODUÇÃO POR EMPRESAS'!$I$6:$I$5000,MATCH(D402,'CONTROLE PRODUÇÃO POR EMPRESAS'!$A$6:$A$5000,0))),0)</f>
        <v/>
      </c>
      <c r="M402">
        <f>IF($B$3&lt;$E402,"",$L402-$J402)</f>
        <v/>
      </c>
      <c r="N402">
        <f>IF($B$3&lt;$C402,"FUTURA",IF($B$3&lt;=$D402,"EM ANDAMENTO",IF($B$3&lt;$E402,"AGUARDANDO CORTE",IF($M402&gt;=0,"META ATINGIDA","GAP A RECUPERAR"))))</f>
        <v/>
      </c>
    </row>
    <row r="403">
      <c r="A403" t="inlineStr">
        <is>
          <t>GLOBO AÇOS</t>
        </is>
      </c>
      <c r="B403" t="inlineStr">
        <is>
          <t>FECHAMENTO</t>
        </is>
      </c>
      <c r="C403" s="197" t="n">
        <v>46517</v>
      </c>
      <c r="D403" s="197" t="n">
        <v>46521</v>
      </c>
      <c r="E403" s="197" t="n">
        <v>46522</v>
      </c>
      <c r="F403" s="198" t="n">
        <v>36</v>
      </c>
      <c r="G403" s="198" t="n">
        <v>5</v>
      </c>
      <c r="H403">
        <f>F403*G403</f>
        <v/>
      </c>
      <c r="I403" t="n">
        <v>0</v>
      </c>
      <c r="J403">
        <f>IFERROR(H403+I403,"")</f>
        <v/>
      </c>
      <c r="K403">
        <f>IFERROR(J403/G403,"")</f>
        <v/>
      </c>
      <c r="L403">
        <f>IFERROR(SUM(INDEX('CONTROLE PRODUÇÃO POR EMPRESAS'!$J$6:$J$5000,MATCH(C403,'CONTROLE PRODUÇÃO POR EMPRESAS'!$A$6:$A$5000,0)):INDEX('CONTROLE PRODUÇÃO POR EMPRESAS'!$J$6:$J$5000,MATCH(D403,'CONTROLE PRODUÇÃO POR EMPRESAS'!$A$6:$A$5000,0))),0)</f>
        <v/>
      </c>
      <c r="M403">
        <f>IF($B$3&lt;$E403,"",$L403-$J403)</f>
        <v/>
      </c>
      <c r="N403">
        <f>IF($B$3&lt;$C403,"FUTURA",IF($B$3&lt;=$D403,"EM ANDAMENTO",IF($B$3&lt;$E403,"AGUARDANDO CORTE",IF($M403&gt;=0,"META ATINGIDA","GAP A RECUPERAR"))))</f>
        <v/>
      </c>
    </row>
    <row r="404">
      <c r="A404" t="inlineStr">
        <is>
          <t>EJ</t>
        </is>
      </c>
      <c r="B404" t="inlineStr">
        <is>
          <t>PREMONTAGEM</t>
        </is>
      </c>
      <c r="C404" s="197" t="n">
        <v>46524</v>
      </c>
      <c r="D404" s="197" t="n">
        <v>46528</v>
      </c>
      <c r="E404" s="197" t="n">
        <v>46529</v>
      </c>
      <c r="F404" s="198" t="n">
        <v>6</v>
      </c>
      <c r="G404" s="198" t="n">
        <v>5</v>
      </c>
      <c r="H404">
        <f>F404*G404</f>
        <v/>
      </c>
      <c r="I404" t="n">
        <v>0</v>
      </c>
      <c r="J404">
        <f>IFERROR(H404+I404,"")</f>
        <v/>
      </c>
      <c r="K404">
        <f>IFERROR(J404/G404,"")</f>
        <v/>
      </c>
      <c r="L404" t="n">
        <v>0</v>
      </c>
      <c r="M404">
        <f>IF($B$3&lt;$E404,"",$L404-$J404)</f>
        <v/>
      </c>
      <c r="N404">
        <f>IF($B$3&lt;$C404,"FUTURA",IF($B$3&lt;=$D404,"EM ANDAMENTO",IF($B$3&lt;$E404,"AGUARDANDO CORTE",IF($M404&gt;=0,"META ATINGIDA","GAP A RECUPERAR"))))</f>
        <v/>
      </c>
    </row>
    <row r="405">
      <c r="A405" t="inlineStr">
        <is>
          <t>EJ</t>
        </is>
      </c>
      <c r="B405" t="inlineStr">
        <is>
          <t>IÇAMENTO JOIST</t>
        </is>
      </c>
      <c r="C405" s="197" t="n">
        <v>46524</v>
      </c>
      <c r="D405" s="197" t="n">
        <v>46528</v>
      </c>
      <c r="E405" s="197" t="n">
        <v>46529</v>
      </c>
      <c r="F405" s="198" t="n">
        <v>5</v>
      </c>
      <c r="G405" s="198" t="n">
        <v>5</v>
      </c>
      <c r="H405">
        <f>F405*G405</f>
        <v/>
      </c>
      <c r="I405" t="n">
        <v>0</v>
      </c>
      <c r="J405">
        <f>IFERROR(H405+I405,"")</f>
        <v/>
      </c>
      <c r="K405">
        <f>IFERROR(J405/G405,"")</f>
        <v/>
      </c>
      <c r="L405" t="n">
        <v>0</v>
      </c>
      <c r="M405">
        <f>IF($B$3&lt;$E405,"",$L405-$J405)</f>
        <v/>
      </c>
      <c r="N405">
        <f>IF($B$3&lt;$C405,"FUTURA",IF($B$3&lt;=$D405,"EM ANDAMENTO",IF($B$3&lt;$E405,"AGUARDANDO CORTE",IF($M405&gt;=0,"META ATINGIDA","GAP A RECUPERAR"))))</f>
        <v/>
      </c>
    </row>
    <row r="406">
      <c r="A406" t="inlineStr">
        <is>
          <t>EJ</t>
        </is>
      </c>
      <c r="B406" t="inlineStr">
        <is>
          <t>VIGAS</t>
        </is>
      </c>
      <c r="C406" s="197" t="n">
        <v>46524</v>
      </c>
      <c r="D406" s="197" t="n">
        <v>46528</v>
      </c>
      <c r="E406" s="197" t="n">
        <v>46529</v>
      </c>
      <c r="F406" s="198" t="n">
        <v>2</v>
      </c>
      <c r="G406" s="198" t="n">
        <v>5</v>
      </c>
      <c r="H406">
        <f>F406*G406</f>
        <v/>
      </c>
      <c r="I406" t="n">
        <v>0</v>
      </c>
      <c r="J406">
        <f>IFERROR(H406+I406,"")</f>
        <v/>
      </c>
      <c r="K406">
        <f>IFERROR(J406/G406,"")</f>
        <v/>
      </c>
      <c r="L406" t="n">
        <v>0</v>
      </c>
      <c r="M406">
        <f>IF($B$3&lt;$E406,"",$L406-$J406)</f>
        <v/>
      </c>
      <c r="N406">
        <f>IF($B$3&lt;$C406,"FUTURA",IF($B$3&lt;=$D406,"EM ANDAMENTO",IF($B$3&lt;$E406,"AGUARDANDO CORTE",IF($M406&gt;=0,"META ATINGIDA","GAP A RECUPERAR"))))</f>
        <v/>
      </c>
    </row>
    <row r="407">
      <c r="A407" t="inlineStr">
        <is>
          <t>CMM</t>
        </is>
      </c>
      <c r="B407" t="inlineStr">
        <is>
          <t>PREMONTAGEM</t>
        </is>
      </c>
      <c r="C407" s="197" t="n">
        <v>46524</v>
      </c>
      <c r="D407" s="197" t="n">
        <v>46528</v>
      </c>
      <c r="E407" s="197" t="n">
        <v>46529</v>
      </c>
      <c r="F407" s="198" t="n">
        <v>6</v>
      </c>
      <c r="G407" s="198" t="n">
        <v>5</v>
      </c>
      <c r="H407">
        <f>F407*G407</f>
        <v/>
      </c>
      <c r="I407" t="n">
        <v>0</v>
      </c>
      <c r="J407">
        <f>IFERROR(H407+I407,"")</f>
        <v/>
      </c>
      <c r="K407">
        <f>IFERROR(J407/G407,"")</f>
        <v/>
      </c>
      <c r="L407" t="n">
        <v>0</v>
      </c>
      <c r="M407">
        <f>IF($B$3&lt;$E407,"",$L407-$J407)</f>
        <v/>
      </c>
      <c r="N407">
        <f>IF($B$3&lt;$C407,"FUTURA",IF($B$3&lt;=$D407,"EM ANDAMENTO",IF($B$3&lt;$E407,"AGUARDANDO CORTE",IF($M407&gt;=0,"META ATINGIDA","GAP A RECUPERAR"))))</f>
        <v/>
      </c>
    </row>
    <row r="408">
      <c r="A408" t="inlineStr">
        <is>
          <t>CMM</t>
        </is>
      </c>
      <c r="B408" t="inlineStr">
        <is>
          <t>IÇAMENTO JOIST</t>
        </is>
      </c>
      <c r="C408" s="197" t="n">
        <v>46524</v>
      </c>
      <c r="D408" s="197" t="n">
        <v>46528</v>
      </c>
      <c r="E408" s="197" t="n">
        <v>46529</v>
      </c>
      <c r="F408" s="198" t="n">
        <v>5</v>
      </c>
      <c r="G408" s="198" t="n">
        <v>5</v>
      </c>
      <c r="H408">
        <f>F408*G408</f>
        <v/>
      </c>
      <c r="I408" t="n">
        <v>0</v>
      </c>
      <c r="J408">
        <f>IFERROR(H408+I408,"")</f>
        <v/>
      </c>
      <c r="K408">
        <f>IFERROR(J408/G408,"")</f>
        <v/>
      </c>
      <c r="L408" t="n">
        <v>0</v>
      </c>
      <c r="M408">
        <f>IF($B$3&lt;$E408,"",$L408-$J408)</f>
        <v/>
      </c>
      <c r="N408">
        <f>IF($B$3&lt;$C408,"FUTURA",IF($B$3&lt;=$D408,"EM ANDAMENTO",IF($B$3&lt;$E408,"AGUARDANDO CORTE",IF($M408&gt;=0,"META ATINGIDA","GAP A RECUPERAR"))))</f>
        <v/>
      </c>
    </row>
    <row r="409">
      <c r="A409" t="inlineStr">
        <is>
          <t>CMM</t>
        </is>
      </c>
      <c r="B409" t="inlineStr">
        <is>
          <t>VIGAS</t>
        </is>
      </c>
      <c r="C409" s="197" t="n">
        <v>46524</v>
      </c>
      <c r="D409" s="197" t="n">
        <v>46528</v>
      </c>
      <c r="E409" s="197" t="n">
        <v>46529</v>
      </c>
      <c r="F409" s="198" t="n">
        <v>2</v>
      </c>
      <c r="G409" s="198" t="n">
        <v>5</v>
      </c>
      <c r="H409">
        <f>F409*G409</f>
        <v/>
      </c>
      <c r="I409" t="n">
        <v>0</v>
      </c>
      <c r="J409">
        <f>IFERROR(H409+I409,"")</f>
        <v/>
      </c>
      <c r="K409">
        <f>IFERROR(J409/G409,"")</f>
        <v/>
      </c>
      <c r="L409" t="n">
        <v>0</v>
      </c>
      <c r="M409">
        <f>IF($B$3&lt;$E409,"",$L409-$J409)</f>
        <v/>
      </c>
      <c r="N409">
        <f>IF($B$3&lt;$C409,"FUTURA",IF($B$3&lt;=$D409,"EM ANDAMENTO",IF($B$3&lt;$E409,"AGUARDANDO CORTE",IF($M409&gt;=0,"META ATINGIDA","GAP A RECUPERAR"))))</f>
        <v/>
      </c>
    </row>
    <row r="410">
      <c r="A410" t="inlineStr">
        <is>
          <t>GLOBO AÇOS</t>
        </is>
      </c>
      <c r="B410" t="inlineStr">
        <is>
          <t>PERFILAÇÃO</t>
        </is>
      </c>
      <c r="C410" s="197" t="n">
        <v>46524</v>
      </c>
      <c r="D410" s="197" t="n">
        <v>46528</v>
      </c>
      <c r="E410" s="197" t="n">
        <v>46529</v>
      </c>
      <c r="F410" s="198" t="n">
        <v>19</v>
      </c>
      <c r="G410" s="198" t="n">
        <v>5</v>
      </c>
      <c r="H410">
        <f>F410*G410</f>
        <v/>
      </c>
      <c r="I410" t="n">
        <v>0</v>
      </c>
      <c r="J410">
        <f>IFERROR(H410+I410,"")</f>
        <v/>
      </c>
      <c r="K410">
        <f>IFERROR(J410/G410,"")</f>
        <v/>
      </c>
      <c r="L410">
        <f>IFERROR(SUM(INDEX('CONTROLE PRODUÇÃO POR EMPRESAS'!$H$6:$H$5000,MATCH(C410,'CONTROLE PRODUÇÃO POR EMPRESAS'!$A$6:$A$5000,0)):INDEX('CONTROLE PRODUÇÃO POR EMPRESAS'!$H$6:$H$5000,MATCH(D410,'CONTROLE PRODUÇÃO POR EMPRESAS'!$A$6:$A$5000,0))),0)</f>
        <v/>
      </c>
      <c r="M410">
        <f>IF($B$3&lt;$E410,"",$L410-$J410)</f>
        <v/>
      </c>
      <c r="N410">
        <f>IF($B$3&lt;$C410,"FUTURA",IF($B$3&lt;=$D410,"EM ANDAMENTO",IF($B$3&lt;$E410,"AGUARDANDO CORTE",IF($M410&gt;=0,"META ATINGIDA","GAP A RECUPERAR"))))</f>
        <v/>
      </c>
    </row>
    <row r="411">
      <c r="A411" t="inlineStr">
        <is>
          <t>GLOBO AÇOS</t>
        </is>
      </c>
      <c r="B411" t="inlineStr">
        <is>
          <t>TELHAR</t>
        </is>
      </c>
      <c r="C411" s="197" t="n">
        <v>46524</v>
      </c>
      <c r="D411" s="197" t="n">
        <v>46528</v>
      </c>
      <c r="E411" s="197" t="n">
        <v>46529</v>
      </c>
      <c r="F411" s="198" t="n">
        <v>7</v>
      </c>
      <c r="G411" s="198" t="n">
        <v>5</v>
      </c>
      <c r="H411">
        <f>F411*G411</f>
        <v/>
      </c>
      <c r="I411" t="n">
        <v>0</v>
      </c>
      <c r="J411">
        <f>IFERROR(H411+I411,"")</f>
        <v/>
      </c>
      <c r="K411">
        <f>IFERROR(J411/G411,"")</f>
        <v/>
      </c>
      <c r="L411">
        <f>IFERROR(SUM(INDEX('CONTROLE PRODUÇÃO POR EMPRESAS'!$I$6:$I$5000,MATCH(C411,'CONTROLE PRODUÇÃO POR EMPRESAS'!$A$6:$A$5000,0)):INDEX('CONTROLE PRODUÇÃO POR EMPRESAS'!$I$6:$I$5000,MATCH(D411,'CONTROLE PRODUÇÃO POR EMPRESAS'!$A$6:$A$5000,0))),0)</f>
        <v/>
      </c>
      <c r="M411">
        <f>IF($B$3&lt;$E411,"",$L411-$J411)</f>
        <v/>
      </c>
      <c r="N411">
        <f>IF($B$3&lt;$C411,"FUTURA",IF($B$3&lt;=$D411,"EM ANDAMENTO",IF($B$3&lt;$E411,"AGUARDANDO CORTE",IF($M411&gt;=0,"META ATINGIDA","GAP A RECUPERAR"))))</f>
        <v/>
      </c>
    </row>
    <row r="412">
      <c r="A412" t="inlineStr">
        <is>
          <t>GLOBO AÇOS</t>
        </is>
      </c>
      <c r="B412" t="inlineStr">
        <is>
          <t>FECHAMENTO</t>
        </is>
      </c>
      <c r="C412" s="197" t="n">
        <v>46524</v>
      </c>
      <c r="D412" s="197" t="n">
        <v>46528</v>
      </c>
      <c r="E412" s="197" t="n">
        <v>46529</v>
      </c>
      <c r="F412" s="198" t="n">
        <v>36</v>
      </c>
      <c r="G412" s="198" t="n">
        <v>5</v>
      </c>
      <c r="H412">
        <f>F412*G412</f>
        <v/>
      </c>
      <c r="I412" t="n">
        <v>0</v>
      </c>
      <c r="J412">
        <f>IFERROR(H412+I412,"")</f>
        <v/>
      </c>
      <c r="K412">
        <f>IFERROR(J412/G412,"")</f>
        <v/>
      </c>
      <c r="L412">
        <f>IFERROR(SUM(INDEX('CONTROLE PRODUÇÃO POR EMPRESAS'!$J$6:$J$5000,MATCH(C412,'CONTROLE PRODUÇÃO POR EMPRESAS'!$A$6:$A$5000,0)):INDEX('CONTROLE PRODUÇÃO POR EMPRESAS'!$J$6:$J$5000,MATCH(D412,'CONTROLE PRODUÇÃO POR EMPRESAS'!$A$6:$A$5000,0))),0)</f>
        <v/>
      </c>
      <c r="M412">
        <f>IF($B$3&lt;$E412,"",$L412-$J412)</f>
        <v/>
      </c>
      <c r="N412">
        <f>IF($B$3&lt;$C412,"FUTURA",IF($B$3&lt;=$D412,"EM ANDAMENTO",IF($B$3&lt;$E412,"AGUARDANDO CORTE",IF($M412&gt;=0,"META ATINGIDA","GAP A RECUPERAR"))))</f>
        <v/>
      </c>
    </row>
    <row r="413">
      <c r="A413" t="inlineStr">
        <is>
          <t>EJ</t>
        </is>
      </c>
      <c r="B413" t="inlineStr">
        <is>
          <t>PREMONTAGEM</t>
        </is>
      </c>
      <c r="C413" s="197" t="n">
        <v>46531</v>
      </c>
      <c r="D413" s="197" t="n">
        <v>46535</v>
      </c>
      <c r="E413" s="197" t="n">
        <v>46536</v>
      </c>
      <c r="F413" s="198" t="n">
        <v>6</v>
      </c>
      <c r="G413" s="198" t="n">
        <v>5</v>
      </c>
      <c r="H413">
        <f>F413*G413</f>
        <v/>
      </c>
      <c r="I413" t="n">
        <v>0</v>
      </c>
      <c r="J413">
        <f>IFERROR(H413+I413,"")</f>
        <v/>
      </c>
      <c r="K413">
        <f>IFERROR(J413/G413,"")</f>
        <v/>
      </c>
      <c r="L413" t="n">
        <v>0</v>
      </c>
      <c r="M413">
        <f>IF($B$3&lt;$E413,"",$L413-$J413)</f>
        <v/>
      </c>
      <c r="N413">
        <f>IF($B$3&lt;$C413,"FUTURA",IF($B$3&lt;=$D413,"EM ANDAMENTO",IF($B$3&lt;$E413,"AGUARDANDO CORTE",IF($M413&gt;=0,"META ATINGIDA","GAP A RECUPERAR"))))</f>
        <v/>
      </c>
    </row>
    <row r="414">
      <c r="A414" t="inlineStr">
        <is>
          <t>EJ</t>
        </is>
      </c>
      <c r="B414" t="inlineStr">
        <is>
          <t>IÇAMENTO JOIST</t>
        </is>
      </c>
      <c r="C414" s="197" t="n">
        <v>46531</v>
      </c>
      <c r="D414" s="197" t="n">
        <v>46535</v>
      </c>
      <c r="E414" s="197" t="n">
        <v>46536</v>
      </c>
      <c r="F414" s="198" t="n">
        <v>5</v>
      </c>
      <c r="G414" s="198" t="n">
        <v>5</v>
      </c>
      <c r="H414">
        <f>F414*G414</f>
        <v/>
      </c>
      <c r="I414" t="n">
        <v>0</v>
      </c>
      <c r="J414">
        <f>IFERROR(H414+I414,"")</f>
        <v/>
      </c>
      <c r="K414">
        <f>IFERROR(J414/G414,"")</f>
        <v/>
      </c>
      <c r="L414" t="n">
        <v>0</v>
      </c>
      <c r="M414">
        <f>IF($B$3&lt;$E414,"",$L414-$J414)</f>
        <v/>
      </c>
      <c r="N414">
        <f>IF($B$3&lt;$C414,"FUTURA",IF($B$3&lt;=$D414,"EM ANDAMENTO",IF($B$3&lt;$E414,"AGUARDANDO CORTE",IF($M414&gt;=0,"META ATINGIDA","GAP A RECUPERAR"))))</f>
        <v/>
      </c>
    </row>
    <row r="415">
      <c r="A415" t="inlineStr">
        <is>
          <t>EJ</t>
        </is>
      </c>
      <c r="B415" t="inlineStr">
        <is>
          <t>VIGAS</t>
        </is>
      </c>
      <c r="C415" s="197" t="n">
        <v>46531</v>
      </c>
      <c r="D415" s="197" t="n">
        <v>46535</v>
      </c>
      <c r="E415" s="197" t="n">
        <v>46536</v>
      </c>
      <c r="F415" s="198" t="n">
        <v>2</v>
      </c>
      <c r="G415" s="198" t="n">
        <v>5</v>
      </c>
      <c r="H415">
        <f>F415*G415</f>
        <v/>
      </c>
      <c r="I415" t="n">
        <v>0</v>
      </c>
      <c r="J415">
        <f>IFERROR(H415+I415,"")</f>
        <v/>
      </c>
      <c r="K415">
        <f>IFERROR(J415/G415,"")</f>
        <v/>
      </c>
      <c r="L415" t="n">
        <v>0</v>
      </c>
      <c r="M415">
        <f>IF($B$3&lt;$E415,"",$L415-$J415)</f>
        <v/>
      </c>
      <c r="N415">
        <f>IF($B$3&lt;$C415,"FUTURA",IF($B$3&lt;=$D415,"EM ANDAMENTO",IF($B$3&lt;$E415,"AGUARDANDO CORTE",IF($M415&gt;=0,"META ATINGIDA","GAP A RECUPERAR"))))</f>
        <v/>
      </c>
    </row>
    <row r="416">
      <c r="A416" t="inlineStr">
        <is>
          <t>CMM</t>
        </is>
      </c>
      <c r="B416" t="inlineStr">
        <is>
          <t>PREMONTAGEM</t>
        </is>
      </c>
      <c r="C416" s="197" t="n">
        <v>46531</v>
      </c>
      <c r="D416" s="197" t="n">
        <v>46535</v>
      </c>
      <c r="E416" s="197" t="n">
        <v>46536</v>
      </c>
      <c r="F416" s="198" t="n">
        <v>6</v>
      </c>
      <c r="G416" s="198" t="n">
        <v>5</v>
      </c>
      <c r="H416">
        <f>F416*G416</f>
        <v/>
      </c>
      <c r="I416" t="n">
        <v>0</v>
      </c>
      <c r="J416">
        <f>IFERROR(H416+I416,"")</f>
        <v/>
      </c>
      <c r="K416">
        <f>IFERROR(J416/G416,"")</f>
        <v/>
      </c>
      <c r="L416" t="n">
        <v>0</v>
      </c>
      <c r="M416">
        <f>IF($B$3&lt;$E416,"",$L416-$J416)</f>
        <v/>
      </c>
      <c r="N416">
        <f>IF($B$3&lt;$C416,"FUTURA",IF($B$3&lt;=$D416,"EM ANDAMENTO",IF($B$3&lt;$E416,"AGUARDANDO CORTE",IF($M416&gt;=0,"META ATINGIDA","GAP A RECUPERAR"))))</f>
        <v/>
      </c>
    </row>
    <row r="417">
      <c r="A417" t="inlineStr">
        <is>
          <t>CMM</t>
        </is>
      </c>
      <c r="B417" t="inlineStr">
        <is>
          <t>IÇAMENTO JOIST</t>
        </is>
      </c>
      <c r="C417" s="197" t="n">
        <v>46531</v>
      </c>
      <c r="D417" s="197" t="n">
        <v>46535</v>
      </c>
      <c r="E417" s="197" t="n">
        <v>46536</v>
      </c>
      <c r="F417" s="198" t="n">
        <v>5</v>
      </c>
      <c r="G417" s="198" t="n">
        <v>5</v>
      </c>
      <c r="H417">
        <f>F417*G417</f>
        <v/>
      </c>
      <c r="I417" t="n">
        <v>0</v>
      </c>
      <c r="J417">
        <f>IFERROR(H417+I417,"")</f>
        <v/>
      </c>
      <c r="K417">
        <f>IFERROR(J417/G417,"")</f>
        <v/>
      </c>
      <c r="L417" t="n">
        <v>0</v>
      </c>
      <c r="M417">
        <f>IF($B$3&lt;$E417,"",$L417-$J417)</f>
        <v/>
      </c>
      <c r="N417">
        <f>IF($B$3&lt;$C417,"FUTURA",IF($B$3&lt;=$D417,"EM ANDAMENTO",IF($B$3&lt;$E417,"AGUARDANDO CORTE",IF($M417&gt;=0,"META ATINGIDA","GAP A RECUPERAR"))))</f>
        <v/>
      </c>
    </row>
    <row r="418">
      <c r="A418" t="inlineStr">
        <is>
          <t>CMM</t>
        </is>
      </c>
      <c r="B418" t="inlineStr">
        <is>
          <t>VIGAS</t>
        </is>
      </c>
      <c r="C418" s="197" t="n">
        <v>46531</v>
      </c>
      <c r="D418" s="197" t="n">
        <v>46535</v>
      </c>
      <c r="E418" s="197" t="n">
        <v>46536</v>
      </c>
      <c r="F418" s="198" t="n">
        <v>2</v>
      </c>
      <c r="G418" s="198" t="n">
        <v>5</v>
      </c>
      <c r="H418">
        <f>F418*G418</f>
        <v/>
      </c>
      <c r="I418" t="n">
        <v>0</v>
      </c>
      <c r="J418">
        <f>IFERROR(H418+I418,"")</f>
        <v/>
      </c>
      <c r="K418">
        <f>IFERROR(J418/G418,"")</f>
        <v/>
      </c>
      <c r="L418" t="n">
        <v>0</v>
      </c>
      <c r="M418">
        <f>IF($B$3&lt;$E418,"",$L418-$J418)</f>
        <v/>
      </c>
      <c r="N418">
        <f>IF($B$3&lt;$C418,"FUTURA",IF($B$3&lt;=$D418,"EM ANDAMENTO",IF($B$3&lt;$E418,"AGUARDANDO CORTE",IF($M418&gt;=0,"META ATINGIDA","GAP A RECUPERAR"))))</f>
        <v/>
      </c>
    </row>
    <row r="419">
      <c r="A419" t="inlineStr">
        <is>
          <t>GLOBO AÇOS</t>
        </is>
      </c>
      <c r="B419" t="inlineStr">
        <is>
          <t>PERFILAÇÃO</t>
        </is>
      </c>
      <c r="C419" s="197" t="n">
        <v>46531</v>
      </c>
      <c r="D419" s="197" t="n">
        <v>46535</v>
      </c>
      <c r="E419" s="197" t="n">
        <v>46536</v>
      </c>
      <c r="F419" s="198" t="n">
        <v>19</v>
      </c>
      <c r="G419" s="198" t="n">
        <v>5</v>
      </c>
      <c r="H419">
        <f>F419*G419</f>
        <v/>
      </c>
      <c r="I419" t="n">
        <v>0</v>
      </c>
      <c r="J419">
        <f>IFERROR(H419+I419,"")</f>
        <v/>
      </c>
      <c r="K419">
        <f>IFERROR(J419/G419,"")</f>
        <v/>
      </c>
      <c r="L419">
        <f>IFERROR(SUM(INDEX('CONTROLE PRODUÇÃO POR EMPRESAS'!$H$6:$H$5000,MATCH(C419,'CONTROLE PRODUÇÃO POR EMPRESAS'!$A$6:$A$5000,0)):INDEX('CONTROLE PRODUÇÃO POR EMPRESAS'!$H$6:$H$5000,MATCH(D419,'CONTROLE PRODUÇÃO POR EMPRESAS'!$A$6:$A$5000,0))),0)</f>
        <v/>
      </c>
      <c r="M419">
        <f>IF($B$3&lt;$E419,"",$L419-$J419)</f>
        <v/>
      </c>
      <c r="N419">
        <f>IF($B$3&lt;$C419,"FUTURA",IF($B$3&lt;=$D419,"EM ANDAMENTO",IF($B$3&lt;$E419,"AGUARDANDO CORTE",IF($M419&gt;=0,"META ATINGIDA","GAP A RECUPERAR"))))</f>
        <v/>
      </c>
    </row>
    <row r="420">
      <c r="A420" t="inlineStr">
        <is>
          <t>GLOBO AÇOS</t>
        </is>
      </c>
      <c r="B420" t="inlineStr">
        <is>
          <t>TELHAR</t>
        </is>
      </c>
      <c r="C420" s="197" t="n">
        <v>46531</v>
      </c>
      <c r="D420" s="197" t="n">
        <v>46535</v>
      </c>
      <c r="E420" s="197" t="n">
        <v>46536</v>
      </c>
      <c r="F420" s="198" t="n">
        <v>7</v>
      </c>
      <c r="G420" s="198" t="n">
        <v>5</v>
      </c>
      <c r="H420">
        <f>F420*G420</f>
        <v/>
      </c>
      <c r="I420" t="n">
        <v>0</v>
      </c>
      <c r="J420">
        <f>IFERROR(H420+I420,"")</f>
        <v/>
      </c>
      <c r="K420">
        <f>IFERROR(J420/G420,"")</f>
        <v/>
      </c>
      <c r="L420">
        <f>IFERROR(SUM(INDEX('CONTROLE PRODUÇÃO POR EMPRESAS'!$I$6:$I$5000,MATCH(C420,'CONTROLE PRODUÇÃO POR EMPRESAS'!$A$6:$A$5000,0)):INDEX('CONTROLE PRODUÇÃO POR EMPRESAS'!$I$6:$I$5000,MATCH(D420,'CONTROLE PRODUÇÃO POR EMPRESAS'!$A$6:$A$5000,0))),0)</f>
        <v/>
      </c>
      <c r="M420">
        <f>IF($B$3&lt;$E420,"",$L420-$J420)</f>
        <v/>
      </c>
      <c r="N420">
        <f>IF($B$3&lt;$C420,"FUTURA",IF($B$3&lt;=$D420,"EM ANDAMENTO",IF($B$3&lt;$E420,"AGUARDANDO CORTE",IF($M420&gt;=0,"META ATINGIDA","GAP A RECUPERAR"))))</f>
        <v/>
      </c>
    </row>
    <row r="421">
      <c r="A421" t="inlineStr">
        <is>
          <t>GLOBO AÇOS</t>
        </is>
      </c>
      <c r="B421" t="inlineStr">
        <is>
          <t>FECHAMENTO</t>
        </is>
      </c>
      <c r="C421" s="197" t="n">
        <v>46531</v>
      </c>
      <c r="D421" s="197" t="n">
        <v>46535</v>
      </c>
      <c r="E421" s="197" t="n">
        <v>46536</v>
      </c>
      <c r="F421" s="198" t="n">
        <v>36</v>
      </c>
      <c r="G421" s="198" t="n">
        <v>5</v>
      </c>
      <c r="H421">
        <f>F421*G421</f>
        <v/>
      </c>
      <c r="I421" t="n">
        <v>0</v>
      </c>
      <c r="J421">
        <f>IFERROR(H421+I421,"")</f>
        <v/>
      </c>
      <c r="K421">
        <f>IFERROR(J421/G421,"")</f>
        <v/>
      </c>
      <c r="L421">
        <f>IFERROR(SUM(INDEX('CONTROLE PRODUÇÃO POR EMPRESAS'!$J$6:$J$5000,MATCH(C421,'CONTROLE PRODUÇÃO POR EMPRESAS'!$A$6:$A$5000,0)):INDEX('CONTROLE PRODUÇÃO POR EMPRESAS'!$J$6:$J$5000,MATCH(D421,'CONTROLE PRODUÇÃO POR EMPRESAS'!$A$6:$A$5000,0))),0)</f>
        <v/>
      </c>
      <c r="M421">
        <f>IF($B$3&lt;$E421,"",$L421-$J421)</f>
        <v/>
      </c>
      <c r="N421">
        <f>IF($B$3&lt;$C421,"FUTURA",IF($B$3&lt;=$D421,"EM ANDAMENTO",IF($B$3&lt;$E421,"AGUARDANDO CORTE",IF($M421&gt;=0,"META ATINGIDA","GAP A RECUPERAR"))))</f>
        <v/>
      </c>
    </row>
    <row r="422">
      <c r="A422" t="inlineStr">
        <is>
          <t>EJ</t>
        </is>
      </c>
      <c r="B422" t="inlineStr">
        <is>
          <t>PREMONTAGEM</t>
        </is>
      </c>
      <c r="C422" s="197" t="n">
        <v>46538</v>
      </c>
      <c r="D422" s="197" t="n">
        <v>46542</v>
      </c>
      <c r="E422" s="197" t="n">
        <v>46543</v>
      </c>
      <c r="F422" s="198" t="n">
        <v>6</v>
      </c>
      <c r="G422" s="198" t="n">
        <v>5</v>
      </c>
      <c r="H422">
        <f>F422*G422</f>
        <v/>
      </c>
      <c r="I422" t="n">
        <v>0</v>
      </c>
      <c r="J422">
        <f>IFERROR(H422+I422,"")</f>
        <v/>
      </c>
      <c r="K422">
        <f>IFERROR(J422/G422,"")</f>
        <v/>
      </c>
      <c r="L422" t="n">
        <v>0</v>
      </c>
      <c r="M422">
        <f>IF($B$3&lt;$E422,"",$L422-$J422)</f>
        <v/>
      </c>
      <c r="N422">
        <f>IF($B$3&lt;$C422,"FUTURA",IF($B$3&lt;=$D422,"EM ANDAMENTO",IF($B$3&lt;$E422,"AGUARDANDO CORTE",IF($M422&gt;=0,"META ATINGIDA","GAP A RECUPERAR"))))</f>
        <v/>
      </c>
    </row>
    <row r="423">
      <c r="A423" t="inlineStr">
        <is>
          <t>EJ</t>
        </is>
      </c>
      <c r="B423" t="inlineStr">
        <is>
          <t>IÇAMENTO JOIST</t>
        </is>
      </c>
      <c r="C423" s="197" t="n">
        <v>46538</v>
      </c>
      <c r="D423" s="197" t="n">
        <v>46542</v>
      </c>
      <c r="E423" s="197" t="n">
        <v>46543</v>
      </c>
      <c r="F423" s="198" t="n">
        <v>5</v>
      </c>
      <c r="G423" s="198" t="n">
        <v>5</v>
      </c>
      <c r="H423">
        <f>F423*G423</f>
        <v/>
      </c>
      <c r="I423" t="n">
        <v>0</v>
      </c>
      <c r="J423">
        <f>IFERROR(H423+I423,"")</f>
        <v/>
      </c>
      <c r="K423">
        <f>IFERROR(J423/G423,"")</f>
        <v/>
      </c>
      <c r="L423" t="n">
        <v>0</v>
      </c>
      <c r="M423">
        <f>IF($B$3&lt;$E423,"",$L423-$J423)</f>
        <v/>
      </c>
      <c r="N423">
        <f>IF($B$3&lt;$C423,"FUTURA",IF($B$3&lt;=$D423,"EM ANDAMENTO",IF($B$3&lt;$E423,"AGUARDANDO CORTE",IF($M423&gt;=0,"META ATINGIDA","GAP A RECUPERAR"))))</f>
        <v/>
      </c>
    </row>
    <row r="424">
      <c r="A424" t="inlineStr">
        <is>
          <t>EJ</t>
        </is>
      </c>
      <c r="B424" t="inlineStr">
        <is>
          <t>VIGAS</t>
        </is>
      </c>
      <c r="C424" s="197" t="n">
        <v>46538</v>
      </c>
      <c r="D424" s="197" t="n">
        <v>46542</v>
      </c>
      <c r="E424" s="197" t="n">
        <v>46543</v>
      </c>
      <c r="F424" s="198" t="n">
        <v>2</v>
      </c>
      <c r="G424" s="198" t="n">
        <v>5</v>
      </c>
      <c r="H424">
        <f>F424*G424</f>
        <v/>
      </c>
      <c r="I424" t="n">
        <v>0</v>
      </c>
      <c r="J424">
        <f>IFERROR(H424+I424,"")</f>
        <v/>
      </c>
      <c r="K424">
        <f>IFERROR(J424/G424,"")</f>
        <v/>
      </c>
      <c r="L424" t="n">
        <v>0</v>
      </c>
      <c r="M424">
        <f>IF($B$3&lt;$E424,"",$L424-$J424)</f>
        <v/>
      </c>
      <c r="N424">
        <f>IF($B$3&lt;$C424,"FUTURA",IF($B$3&lt;=$D424,"EM ANDAMENTO",IF($B$3&lt;$E424,"AGUARDANDO CORTE",IF($M424&gt;=0,"META ATINGIDA","GAP A RECUPERAR"))))</f>
        <v/>
      </c>
    </row>
    <row r="425">
      <c r="A425" t="inlineStr">
        <is>
          <t>CMM</t>
        </is>
      </c>
      <c r="B425" t="inlineStr">
        <is>
          <t>PREMONTAGEM</t>
        </is>
      </c>
      <c r="C425" s="197" t="n">
        <v>46538</v>
      </c>
      <c r="D425" s="197" t="n">
        <v>46542</v>
      </c>
      <c r="E425" s="197" t="n">
        <v>46543</v>
      </c>
      <c r="F425" s="198" t="n">
        <v>6</v>
      </c>
      <c r="G425" s="198" t="n">
        <v>5</v>
      </c>
      <c r="H425">
        <f>F425*G425</f>
        <v/>
      </c>
      <c r="I425" t="n">
        <v>0</v>
      </c>
      <c r="J425">
        <f>IFERROR(H425+I425,"")</f>
        <v/>
      </c>
      <c r="K425">
        <f>IFERROR(J425/G425,"")</f>
        <v/>
      </c>
      <c r="L425" t="n">
        <v>0</v>
      </c>
      <c r="M425">
        <f>IF($B$3&lt;$E425,"",$L425-$J425)</f>
        <v/>
      </c>
      <c r="N425">
        <f>IF($B$3&lt;$C425,"FUTURA",IF($B$3&lt;=$D425,"EM ANDAMENTO",IF($B$3&lt;$E425,"AGUARDANDO CORTE",IF($M425&gt;=0,"META ATINGIDA","GAP A RECUPERAR"))))</f>
        <v/>
      </c>
    </row>
    <row r="426">
      <c r="A426" t="inlineStr">
        <is>
          <t>CMM</t>
        </is>
      </c>
      <c r="B426" t="inlineStr">
        <is>
          <t>IÇAMENTO JOIST</t>
        </is>
      </c>
      <c r="C426" s="197" t="n">
        <v>46538</v>
      </c>
      <c r="D426" s="197" t="n">
        <v>46542</v>
      </c>
      <c r="E426" s="197" t="n">
        <v>46543</v>
      </c>
      <c r="F426" s="198" t="n">
        <v>5</v>
      </c>
      <c r="G426" s="198" t="n">
        <v>5</v>
      </c>
      <c r="H426">
        <f>F426*G426</f>
        <v/>
      </c>
      <c r="I426" t="n">
        <v>0</v>
      </c>
      <c r="J426">
        <f>IFERROR(H426+I426,"")</f>
        <v/>
      </c>
      <c r="K426">
        <f>IFERROR(J426/G426,"")</f>
        <v/>
      </c>
      <c r="L426" t="n">
        <v>0</v>
      </c>
      <c r="M426">
        <f>IF($B$3&lt;$E426,"",$L426-$J426)</f>
        <v/>
      </c>
      <c r="N426">
        <f>IF($B$3&lt;$C426,"FUTURA",IF($B$3&lt;=$D426,"EM ANDAMENTO",IF($B$3&lt;$E426,"AGUARDANDO CORTE",IF($M426&gt;=0,"META ATINGIDA","GAP A RECUPERAR"))))</f>
        <v/>
      </c>
    </row>
    <row r="427">
      <c r="A427" t="inlineStr">
        <is>
          <t>CMM</t>
        </is>
      </c>
      <c r="B427" t="inlineStr">
        <is>
          <t>VIGAS</t>
        </is>
      </c>
      <c r="C427" s="197" t="n">
        <v>46538</v>
      </c>
      <c r="D427" s="197" t="n">
        <v>46542</v>
      </c>
      <c r="E427" s="197" t="n">
        <v>46543</v>
      </c>
      <c r="F427" s="198" t="n">
        <v>2</v>
      </c>
      <c r="G427" s="198" t="n">
        <v>5</v>
      </c>
      <c r="H427">
        <f>F427*G427</f>
        <v/>
      </c>
      <c r="I427" t="n">
        <v>0</v>
      </c>
      <c r="J427">
        <f>IFERROR(H427+I427,"")</f>
        <v/>
      </c>
      <c r="K427">
        <f>IFERROR(J427/G427,"")</f>
        <v/>
      </c>
      <c r="L427" t="n">
        <v>0</v>
      </c>
      <c r="M427">
        <f>IF($B$3&lt;$E427,"",$L427-$J427)</f>
        <v/>
      </c>
      <c r="N427">
        <f>IF($B$3&lt;$C427,"FUTURA",IF($B$3&lt;=$D427,"EM ANDAMENTO",IF($B$3&lt;$E427,"AGUARDANDO CORTE",IF($M427&gt;=0,"META ATINGIDA","GAP A RECUPERAR"))))</f>
        <v/>
      </c>
    </row>
    <row r="428">
      <c r="A428" t="inlineStr">
        <is>
          <t>GLOBO AÇOS</t>
        </is>
      </c>
      <c r="B428" t="inlineStr">
        <is>
          <t>PERFILAÇÃO</t>
        </is>
      </c>
      <c r="C428" s="197" t="n">
        <v>46538</v>
      </c>
      <c r="D428" s="197" t="n">
        <v>46542</v>
      </c>
      <c r="E428" s="197" t="n">
        <v>46543</v>
      </c>
      <c r="F428" s="198" t="n">
        <v>19</v>
      </c>
      <c r="G428" s="198" t="n">
        <v>5</v>
      </c>
      <c r="H428">
        <f>F428*G428</f>
        <v/>
      </c>
      <c r="I428" t="n">
        <v>0</v>
      </c>
      <c r="J428">
        <f>IFERROR(H428+I428,"")</f>
        <v/>
      </c>
      <c r="K428">
        <f>IFERROR(J428/G428,"")</f>
        <v/>
      </c>
      <c r="L428">
        <f>IFERROR(SUM(INDEX('CONTROLE PRODUÇÃO POR EMPRESAS'!$H$6:$H$5000,MATCH(C428,'CONTROLE PRODUÇÃO POR EMPRESAS'!$A$6:$A$5000,0)):INDEX('CONTROLE PRODUÇÃO POR EMPRESAS'!$H$6:$H$5000,MATCH(D428,'CONTROLE PRODUÇÃO POR EMPRESAS'!$A$6:$A$5000,0))),0)</f>
        <v/>
      </c>
      <c r="M428">
        <f>IF($B$3&lt;$E428,"",$L428-$J428)</f>
        <v/>
      </c>
      <c r="N428">
        <f>IF($B$3&lt;$C428,"FUTURA",IF($B$3&lt;=$D428,"EM ANDAMENTO",IF($B$3&lt;$E428,"AGUARDANDO CORTE",IF($M428&gt;=0,"META ATINGIDA","GAP A RECUPERAR"))))</f>
        <v/>
      </c>
    </row>
    <row r="429">
      <c r="A429" t="inlineStr">
        <is>
          <t>GLOBO AÇOS</t>
        </is>
      </c>
      <c r="B429" t="inlineStr">
        <is>
          <t>TELHAR</t>
        </is>
      </c>
      <c r="C429" s="197" t="n">
        <v>46538</v>
      </c>
      <c r="D429" s="197" t="n">
        <v>46542</v>
      </c>
      <c r="E429" s="197" t="n">
        <v>46543</v>
      </c>
      <c r="F429" s="198" t="n">
        <v>7</v>
      </c>
      <c r="G429" s="198" t="n">
        <v>5</v>
      </c>
      <c r="H429">
        <f>F429*G429</f>
        <v/>
      </c>
      <c r="I429" t="n">
        <v>0</v>
      </c>
      <c r="J429">
        <f>IFERROR(H429+I429,"")</f>
        <v/>
      </c>
      <c r="K429">
        <f>IFERROR(J429/G429,"")</f>
        <v/>
      </c>
      <c r="L429">
        <f>IFERROR(SUM(INDEX('CONTROLE PRODUÇÃO POR EMPRESAS'!$I$6:$I$5000,MATCH(C429,'CONTROLE PRODUÇÃO POR EMPRESAS'!$A$6:$A$5000,0)):INDEX('CONTROLE PRODUÇÃO POR EMPRESAS'!$I$6:$I$5000,MATCH(D429,'CONTROLE PRODUÇÃO POR EMPRESAS'!$A$6:$A$5000,0))),0)</f>
        <v/>
      </c>
      <c r="M429">
        <f>IF($B$3&lt;$E429,"",$L429-$J429)</f>
        <v/>
      </c>
      <c r="N429">
        <f>IF($B$3&lt;$C429,"FUTURA",IF($B$3&lt;=$D429,"EM ANDAMENTO",IF($B$3&lt;$E429,"AGUARDANDO CORTE",IF($M429&gt;=0,"META ATINGIDA","GAP A RECUPERAR"))))</f>
        <v/>
      </c>
    </row>
    <row r="430">
      <c r="A430" t="inlineStr">
        <is>
          <t>GLOBO AÇOS</t>
        </is>
      </c>
      <c r="B430" t="inlineStr">
        <is>
          <t>FECHAMENTO</t>
        </is>
      </c>
      <c r="C430" s="197" t="n">
        <v>46538</v>
      </c>
      <c r="D430" s="197" t="n">
        <v>46542</v>
      </c>
      <c r="E430" s="197" t="n">
        <v>46543</v>
      </c>
      <c r="F430" s="198" t="n">
        <v>36</v>
      </c>
      <c r="G430" s="198" t="n">
        <v>5</v>
      </c>
      <c r="H430">
        <f>F430*G430</f>
        <v/>
      </c>
      <c r="I430" t="n">
        <v>0</v>
      </c>
      <c r="J430">
        <f>IFERROR(H430+I430,"")</f>
        <v/>
      </c>
      <c r="K430">
        <f>IFERROR(J430/G430,"")</f>
        <v/>
      </c>
      <c r="L430">
        <f>IFERROR(SUM(INDEX('CONTROLE PRODUÇÃO POR EMPRESAS'!$J$6:$J$5000,MATCH(C430,'CONTROLE PRODUÇÃO POR EMPRESAS'!$A$6:$A$5000,0)):INDEX('CONTROLE PRODUÇÃO POR EMPRESAS'!$J$6:$J$5000,MATCH(D430,'CONTROLE PRODUÇÃO POR EMPRESAS'!$A$6:$A$5000,0))),0)</f>
        <v/>
      </c>
      <c r="M430">
        <f>IF($B$3&lt;$E430,"",$L430-$J430)</f>
        <v/>
      </c>
      <c r="N430">
        <f>IF($B$3&lt;$C430,"FUTURA",IF($B$3&lt;=$D430,"EM ANDAMENTO",IF($B$3&lt;$E430,"AGUARDANDO CORTE",IF($M430&gt;=0,"META ATINGIDA","GAP A RECUPERAR"))))</f>
        <v/>
      </c>
    </row>
    <row r="431">
      <c r="A431" t="inlineStr">
        <is>
          <t>EJ</t>
        </is>
      </c>
      <c r="B431" t="inlineStr">
        <is>
          <t>PREMONTAGEM</t>
        </is>
      </c>
      <c r="C431" s="197" t="n">
        <v>46545</v>
      </c>
      <c r="D431" s="197" t="n">
        <v>46549</v>
      </c>
      <c r="E431" s="197" t="n">
        <v>46550</v>
      </c>
      <c r="F431" s="198" t="n">
        <v>6</v>
      </c>
      <c r="G431" s="198" t="n">
        <v>5</v>
      </c>
      <c r="H431">
        <f>F431*G431</f>
        <v/>
      </c>
      <c r="I431" t="n">
        <v>0</v>
      </c>
      <c r="J431">
        <f>IFERROR(H431+I431,"")</f>
        <v/>
      </c>
      <c r="K431">
        <f>IFERROR(J431/G431,"")</f>
        <v/>
      </c>
      <c r="L431" t="n">
        <v>0</v>
      </c>
      <c r="M431">
        <f>IF($B$3&lt;$E431,"",$L431-$J431)</f>
        <v/>
      </c>
      <c r="N431">
        <f>IF($B$3&lt;$C431,"FUTURA",IF($B$3&lt;=$D431,"EM ANDAMENTO",IF($B$3&lt;$E431,"AGUARDANDO CORTE",IF($M431&gt;=0,"META ATINGIDA","GAP A RECUPERAR"))))</f>
        <v/>
      </c>
    </row>
    <row r="432">
      <c r="A432" t="inlineStr">
        <is>
          <t>EJ</t>
        </is>
      </c>
      <c r="B432" t="inlineStr">
        <is>
          <t>IÇAMENTO JOIST</t>
        </is>
      </c>
      <c r="C432" s="197" t="n">
        <v>46545</v>
      </c>
      <c r="D432" s="197" t="n">
        <v>46549</v>
      </c>
      <c r="E432" s="197" t="n">
        <v>46550</v>
      </c>
      <c r="F432" s="198" t="n">
        <v>5</v>
      </c>
      <c r="G432" s="198" t="n">
        <v>5</v>
      </c>
      <c r="H432">
        <f>F432*G432</f>
        <v/>
      </c>
      <c r="I432" t="n">
        <v>0</v>
      </c>
      <c r="J432">
        <f>IFERROR(H432+I432,"")</f>
        <v/>
      </c>
      <c r="K432">
        <f>IFERROR(J432/G432,"")</f>
        <v/>
      </c>
      <c r="L432" t="n">
        <v>0</v>
      </c>
      <c r="M432">
        <f>IF($B$3&lt;$E432,"",$L432-$J432)</f>
        <v/>
      </c>
      <c r="N432">
        <f>IF($B$3&lt;$C432,"FUTURA",IF($B$3&lt;=$D432,"EM ANDAMENTO",IF($B$3&lt;$E432,"AGUARDANDO CORTE",IF($M432&gt;=0,"META ATINGIDA","GAP A RECUPERAR"))))</f>
        <v/>
      </c>
    </row>
    <row r="433">
      <c r="A433" t="inlineStr">
        <is>
          <t>EJ</t>
        </is>
      </c>
      <c r="B433" t="inlineStr">
        <is>
          <t>VIGAS</t>
        </is>
      </c>
      <c r="C433" s="197" t="n">
        <v>46545</v>
      </c>
      <c r="D433" s="197" t="n">
        <v>46549</v>
      </c>
      <c r="E433" s="197" t="n">
        <v>46550</v>
      </c>
      <c r="F433" s="198" t="n">
        <v>2</v>
      </c>
      <c r="G433" s="198" t="n">
        <v>5</v>
      </c>
      <c r="H433">
        <f>F433*G433</f>
        <v/>
      </c>
      <c r="I433" t="n">
        <v>0</v>
      </c>
      <c r="J433">
        <f>IFERROR(H433+I433,"")</f>
        <v/>
      </c>
      <c r="K433">
        <f>IFERROR(J433/G433,"")</f>
        <v/>
      </c>
      <c r="L433" t="n">
        <v>0</v>
      </c>
      <c r="M433">
        <f>IF($B$3&lt;$E433,"",$L433-$J433)</f>
        <v/>
      </c>
      <c r="N433">
        <f>IF($B$3&lt;$C433,"FUTURA",IF($B$3&lt;=$D433,"EM ANDAMENTO",IF($B$3&lt;$E433,"AGUARDANDO CORTE",IF($M433&gt;=0,"META ATINGIDA","GAP A RECUPERAR"))))</f>
        <v/>
      </c>
    </row>
    <row r="434">
      <c r="A434" t="inlineStr">
        <is>
          <t>CMM</t>
        </is>
      </c>
      <c r="B434" t="inlineStr">
        <is>
          <t>PREMONTAGEM</t>
        </is>
      </c>
      <c r="C434" s="197" t="n">
        <v>46545</v>
      </c>
      <c r="D434" s="197" t="n">
        <v>46549</v>
      </c>
      <c r="E434" s="197" t="n">
        <v>46550</v>
      </c>
      <c r="F434" s="198" t="n">
        <v>6</v>
      </c>
      <c r="G434" s="198" t="n">
        <v>5</v>
      </c>
      <c r="H434">
        <f>F434*G434</f>
        <v/>
      </c>
      <c r="I434" t="n">
        <v>0</v>
      </c>
      <c r="J434">
        <f>IFERROR(H434+I434,"")</f>
        <v/>
      </c>
      <c r="K434">
        <f>IFERROR(J434/G434,"")</f>
        <v/>
      </c>
      <c r="L434" t="n">
        <v>0</v>
      </c>
      <c r="M434">
        <f>IF($B$3&lt;$E434,"",$L434-$J434)</f>
        <v/>
      </c>
      <c r="N434">
        <f>IF($B$3&lt;$C434,"FUTURA",IF($B$3&lt;=$D434,"EM ANDAMENTO",IF($B$3&lt;$E434,"AGUARDANDO CORTE",IF($M434&gt;=0,"META ATINGIDA","GAP A RECUPERAR"))))</f>
        <v/>
      </c>
    </row>
    <row r="435">
      <c r="A435" t="inlineStr">
        <is>
          <t>CMM</t>
        </is>
      </c>
      <c r="B435" t="inlineStr">
        <is>
          <t>IÇAMENTO JOIST</t>
        </is>
      </c>
      <c r="C435" s="197" t="n">
        <v>46545</v>
      </c>
      <c r="D435" s="197" t="n">
        <v>46549</v>
      </c>
      <c r="E435" s="197" t="n">
        <v>46550</v>
      </c>
      <c r="F435" s="198" t="n">
        <v>5</v>
      </c>
      <c r="G435" s="198" t="n">
        <v>5</v>
      </c>
      <c r="H435">
        <f>F435*G435</f>
        <v/>
      </c>
      <c r="I435" t="n">
        <v>0</v>
      </c>
      <c r="J435">
        <f>IFERROR(H435+I435,"")</f>
        <v/>
      </c>
      <c r="K435">
        <f>IFERROR(J435/G435,"")</f>
        <v/>
      </c>
      <c r="L435" t="n">
        <v>0</v>
      </c>
      <c r="M435">
        <f>IF($B$3&lt;$E435,"",$L435-$J435)</f>
        <v/>
      </c>
      <c r="N435">
        <f>IF($B$3&lt;$C435,"FUTURA",IF($B$3&lt;=$D435,"EM ANDAMENTO",IF($B$3&lt;$E435,"AGUARDANDO CORTE",IF($M435&gt;=0,"META ATINGIDA","GAP A RECUPERAR"))))</f>
        <v/>
      </c>
    </row>
    <row r="436">
      <c r="A436" t="inlineStr">
        <is>
          <t>CMM</t>
        </is>
      </c>
      <c r="B436" t="inlineStr">
        <is>
          <t>VIGAS</t>
        </is>
      </c>
      <c r="C436" s="197" t="n">
        <v>46545</v>
      </c>
      <c r="D436" s="197" t="n">
        <v>46549</v>
      </c>
      <c r="E436" s="197" t="n">
        <v>46550</v>
      </c>
      <c r="F436" s="198" t="n">
        <v>2</v>
      </c>
      <c r="G436" s="198" t="n">
        <v>5</v>
      </c>
      <c r="H436">
        <f>F436*G436</f>
        <v/>
      </c>
      <c r="I436" t="n">
        <v>0</v>
      </c>
      <c r="J436">
        <f>IFERROR(H436+I436,"")</f>
        <v/>
      </c>
      <c r="K436">
        <f>IFERROR(J436/G436,"")</f>
        <v/>
      </c>
      <c r="L436" t="n">
        <v>0</v>
      </c>
      <c r="M436">
        <f>IF($B$3&lt;$E436,"",$L436-$J436)</f>
        <v/>
      </c>
      <c r="N436">
        <f>IF($B$3&lt;$C436,"FUTURA",IF($B$3&lt;=$D436,"EM ANDAMENTO",IF($B$3&lt;$E436,"AGUARDANDO CORTE",IF($M436&gt;=0,"META ATINGIDA","GAP A RECUPERAR"))))</f>
        <v/>
      </c>
    </row>
    <row r="437">
      <c r="A437" t="inlineStr">
        <is>
          <t>GLOBO AÇOS</t>
        </is>
      </c>
      <c r="B437" t="inlineStr">
        <is>
          <t>PERFILAÇÃO</t>
        </is>
      </c>
      <c r="C437" s="197" t="n">
        <v>46545</v>
      </c>
      <c r="D437" s="197" t="n">
        <v>46549</v>
      </c>
      <c r="E437" s="197" t="n">
        <v>46550</v>
      </c>
      <c r="F437" s="198" t="n">
        <v>19</v>
      </c>
      <c r="G437" s="198" t="n">
        <v>5</v>
      </c>
      <c r="H437">
        <f>F437*G437</f>
        <v/>
      </c>
      <c r="I437" t="n">
        <v>0</v>
      </c>
      <c r="J437">
        <f>IFERROR(H437+I437,"")</f>
        <v/>
      </c>
      <c r="K437">
        <f>IFERROR(J437/G437,"")</f>
        <v/>
      </c>
      <c r="L437">
        <f>IFERROR(SUM(INDEX('CONTROLE PRODUÇÃO POR EMPRESAS'!$H$6:$H$5000,MATCH(C437,'CONTROLE PRODUÇÃO POR EMPRESAS'!$A$6:$A$5000,0)):INDEX('CONTROLE PRODUÇÃO POR EMPRESAS'!$H$6:$H$5000,MATCH(D437,'CONTROLE PRODUÇÃO POR EMPRESAS'!$A$6:$A$5000,0))),0)</f>
        <v/>
      </c>
      <c r="M437">
        <f>IF($B$3&lt;$E437,"",$L437-$J437)</f>
        <v/>
      </c>
      <c r="N437">
        <f>IF($B$3&lt;$C437,"FUTURA",IF($B$3&lt;=$D437,"EM ANDAMENTO",IF($B$3&lt;$E437,"AGUARDANDO CORTE",IF($M437&gt;=0,"META ATINGIDA","GAP A RECUPERAR"))))</f>
        <v/>
      </c>
    </row>
    <row r="438">
      <c r="A438" t="inlineStr">
        <is>
          <t>GLOBO AÇOS</t>
        </is>
      </c>
      <c r="B438" t="inlineStr">
        <is>
          <t>TELHAR</t>
        </is>
      </c>
      <c r="C438" s="197" t="n">
        <v>46545</v>
      </c>
      <c r="D438" s="197" t="n">
        <v>46549</v>
      </c>
      <c r="E438" s="197" t="n">
        <v>46550</v>
      </c>
      <c r="F438" s="198" t="n">
        <v>7</v>
      </c>
      <c r="G438" s="198" t="n">
        <v>5</v>
      </c>
      <c r="H438">
        <f>F438*G438</f>
        <v/>
      </c>
      <c r="I438" t="n">
        <v>0</v>
      </c>
      <c r="J438">
        <f>IFERROR(H438+I438,"")</f>
        <v/>
      </c>
      <c r="K438">
        <f>IFERROR(J438/G438,"")</f>
        <v/>
      </c>
      <c r="L438">
        <f>IFERROR(SUM(INDEX('CONTROLE PRODUÇÃO POR EMPRESAS'!$I$6:$I$5000,MATCH(C438,'CONTROLE PRODUÇÃO POR EMPRESAS'!$A$6:$A$5000,0)):INDEX('CONTROLE PRODUÇÃO POR EMPRESAS'!$I$6:$I$5000,MATCH(D438,'CONTROLE PRODUÇÃO POR EMPRESAS'!$A$6:$A$5000,0))),0)</f>
        <v/>
      </c>
      <c r="M438">
        <f>IF($B$3&lt;$E438,"",$L438-$J438)</f>
        <v/>
      </c>
      <c r="N438">
        <f>IF($B$3&lt;$C438,"FUTURA",IF($B$3&lt;=$D438,"EM ANDAMENTO",IF($B$3&lt;$E438,"AGUARDANDO CORTE",IF($M438&gt;=0,"META ATINGIDA","GAP A RECUPERAR"))))</f>
        <v/>
      </c>
    </row>
    <row r="439">
      <c r="A439" t="inlineStr">
        <is>
          <t>GLOBO AÇOS</t>
        </is>
      </c>
      <c r="B439" t="inlineStr">
        <is>
          <t>FECHAMENTO</t>
        </is>
      </c>
      <c r="C439" s="197" t="n">
        <v>46545</v>
      </c>
      <c r="D439" s="197" t="n">
        <v>46549</v>
      </c>
      <c r="E439" s="197" t="n">
        <v>46550</v>
      </c>
      <c r="F439" s="198" t="n">
        <v>36</v>
      </c>
      <c r="G439" s="198" t="n">
        <v>5</v>
      </c>
      <c r="H439">
        <f>F439*G439</f>
        <v/>
      </c>
      <c r="I439" t="n">
        <v>0</v>
      </c>
      <c r="J439">
        <f>IFERROR(H439+I439,"")</f>
        <v/>
      </c>
      <c r="K439">
        <f>IFERROR(J439/G439,"")</f>
        <v/>
      </c>
      <c r="L439">
        <f>IFERROR(SUM(INDEX('CONTROLE PRODUÇÃO POR EMPRESAS'!$J$6:$J$5000,MATCH(C439,'CONTROLE PRODUÇÃO POR EMPRESAS'!$A$6:$A$5000,0)):INDEX('CONTROLE PRODUÇÃO POR EMPRESAS'!$J$6:$J$5000,MATCH(D439,'CONTROLE PRODUÇÃO POR EMPRESAS'!$A$6:$A$5000,0))),0)</f>
        <v/>
      </c>
      <c r="M439">
        <f>IF($B$3&lt;$E439,"",$L439-$J439)</f>
        <v/>
      </c>
      <c r="N439">
        <f>IF($B$3&lt;$C439,"FUTURA",IF($B$3&lt;=$D439,"EM ANDAMENTO",IF($B$3&lt;$E439,"AGUARDANDO CORTE",IF($M439&gt;=0,"META ATINGIDA","GAP A RECUPERAR"))))</f>
        <v/>
      </c>
    </row>
    <row r="440">
      <c r="A440" t="inlineStr">
        <is>
          <t>EJ</t>
        </is>
      </c>
      <c r="B440" t="inlineStr">
        <is>
          <t>PREMONTAGEM</t>
        </is>
      </c>
      <c r="C440" s="197" t="n">
        <v>46552</v>
      </c>
      <c r="D440" s="197" t="n">
        <v>46556</v>
      </c>
      <c r="E440" s="197" t="n">
        <v>46557</v>
      </c>
      <c r="F440" s="198" t="n">
        <v>6</v>
      </c>
      <c r="G440" s="198" t="n">
        <v>5</v>
      </c>
      <c r="H440">
        <f>F440*G440</f>
        <v/>
      </c>
      <c r="I440" t="n">
        <v>0</v>
      </c>
      <c r="J440">
        <f>IFERROR(H440+I440,"")</f>
        <v/>
      </c>
      <c r="K440">
        <f>IFERROR(J440/G440,"")</f>
        <v/>
      </c>
      <c r="L440" t="n">
        <v>0</v>
      </c>
      <c r="M440">
        <f>IF($B$3&lt;$E440,"",$L440-$J440)</f>
        <v/>
      </c>
      <c r="N440">
        <f>IF($B$3&lt;$C440,"FUTURA",IF($B$3&lt;=$D440,"EM ANDAMENTO",IF($B$3&lt;$E440,"AGUARDANDO CORTE",IF($M440&gt;=0,"META ATINGIDA","GAP A RECUPERAR"))))</f>
        <v/>
      </c>
    </row>
    <row r="441">
      <c r="A441" t="inlineStr">
        <is>
          <t>EJ</t>
        </is>
      </c>
      <c r="B441" t="inlineStr">
        <is>
          <t>IÇAMENTO JOIST</t>
        </is>
      </c>
      <c r="C441" s="197" t="n">
        <v>46552</v>
      </c>
      <c r="D441" s="197" t="n">
        <v>46556</v>
      </c>
      <c r="E441" s="197" t="n">
        <v>46557</v>
      </c>
      <c r="F441" s="198" t="n">
        <v>5</v>
      </c>
      <c r="G441" s="198" t="n">
        <v>5</v>
      </c>
      <c r="H441">
        <f>F441*G441</f>
        <v/>
      </c>
      <c r="I441" t="n">
        <v>0</v>
      </c>
      <c r="J441">
        <f>IFERROR(H441+I441,"")</f>
        <v/>
      </c>
      <c r="K441">
        <f>IFERROR(J441/G441,"")</f>
        <v/>
      </c>
      <c r="L441" t="n">
        <v>0</v>
      </c>
      <c r="M441">
        <f>IF($B$3&lt;$E441,"",$L441-$J441)</f>
        <v/>
      </c>
      <c r="N441">
        <f>IF($B$3&lt;$C441,"FUTURA",IF($B$3&lt;=$D441,"EM ANDAMENTO",IF($B$3&lt;$E441,"AGUARDANDO CORTE",IF($M441&gt;=0,"META ATINGIDA","GAP A RECUPERAR"))))</f>
        <v/>
      </c>
    </row>
    <row r="442">
      <c r="A442" t="inlineStr">
        <is>
          <t>EJ</t>
        </is>
      </c>
      <c r="B442" t="inlineStr">
        <is>
          <t>VIGAS</t>
        </is>
      </c>
      <c r="C442" s="197" t="n">
        <v>46552</v>
      </c>
      <c r="D442" s="197" t="n">
        <v>46556</v>
      </c>
      <c r="E442" s="197" t="n">
        <v>46557</v>
      </c>
      <c r="F442" s="198" t="n">
        <v>2</v>
      </c>
      <c r="G442" s="198" t="n">
        <v>5</v>
      </c>
      <c r="H442">
        <f>F442*G442</f>
        <v/>
      </c>
      <c r="I442" t="n">
        <v>0</v>
      </c>
      <c r="J442">
        <f>IFERROR(H442+I442,"")</f>
        <v/>
      </c>
      <c r="K442">
        <f>IFERROR(J442/G442,"")</f>
        <v/>
      </c>
      <c r="L442" t="n">
        <v>0</v>
      </c>
      <c r="M442">
        <f>IF($B$3&lt;$E442,"",$L442-$J442)</f>
        <v/>
      </c>
      <c r="N442">
        <f>IF($B$3&lt;$C442,"FUTURA",IF($B$3&lt;=$D442,"EM ANDAMENTO",IF($B$3&lt;$E442,"AGUARDANDO CORTE",IF($M442&gt;=0,"META ATINGIDA","GAP A RECUPERAR"))))</f>
        <v/>
      </c>
    </row>
    <row r="443">
      <c r="A443" t="inlineStr">
        <is>
          <t>CMM</t>
        </is>
      </c>
      <c r="B443" t="inlineStr">
        <is>
          <t>PREMONTAGEM</t>
        </is>
      </c>
      <c r="C443" s="197" t="n">
        <v>46552</v>
      </c>
      <c r="D443" s="197" t="n">
        <v>46556</v>
      </c>
      <c r="E443" s="197" t="n">
        <v>46557</v>
      </c>
      <c r="F443" s="198" t="n">
        <v>6</v>
      </c>
      <c r="G443" s="198" t="n">
        <v>5</v>
      </c>
      <c r="H443">
        <f>F443*G443</f>
        <v/>
      </c>
      <c r="I443" t="n">
        <v>0</v>
      </c>
      <c r="J443">
        <f>IFERROR(H443+I443,"")</f>
        <v/>
      </c>
      <c r="K443">
        <f>IFERROR(J443/G443,"")</f>
        <v/>
      </c>
      <c r="L443" t="n">
        <v>0</v>
      </c>
      <c r="M443">
        <f>IF($B$3&lt;$E443,"",$L443-$J443)</f>
        <v/>
      </c>
      <c r="N443">
        <f>IF($B$3&lt;$C443,"FUTURA",IF($B$3&lt;=$D443,"EM ANDAMENTO",IF($B$3&lt;$E443,"AGUARDANDO CORTE",IF($M443&gt;=0,"META ATINGIDA","GAP A RECUPERAR"))))</f>
        <v/>
      </c>
    </row>
    <row r="444">
      <c r="A444" t="inlineStr">
        <is>
          <t>CMM</t>
        </is>
      </c>
      <c r="B444" t="inlineStr">
        <is>
          <t>IÇAMENTO JOIST</t>
        </is>
      </c>
      <c r="C444" s="197" t="n">
        <v>46552</v>
      </c>
      <c r="D444" s="197" t="n">
        <v>46556</v>
      </c>
      <c r="E444" s="197" t="n">
        <v>46557</v>
      </c>
      <c r="F444" s="198" t="n">
        <v>5</v>
      </c>
      <c r="G444" s="198" t="n">
        <v>5</v>
      </c>
      <c r="H444">
        <f>F444*G444</f>
        <v/>
      </c>
      <c r="I444" t="n">
        <v>0</v>
      </c>
      <c r="J444">
        <f>IFERROR(H444+I444,"")</f>
        <v/>
      </c>
      <c r="K444">
        <f>IFERROR(J444/G444,"")</f>
        <v/>
      </c>
      <c r="L444" t="n">
        <v>0</v>
      </c>
      <c r="M444">
        <f>IF($B$3&lt;$E444,"",$L444-$J444)</f>
        <v/>
      </c>
      <c r="N444">
        <f>IF($B$3&lt;$C444,"FUTURA",IF($B$3&lt;=$D444,"EM ANDAMENTO",IF($B$3&lt;$E444,"AGUARDANDO CORTE",IF($M444&gt;=0,"META ATINGIDA","GAP A RECUPERAR"))))</f>
        <v/>
      </c>
    </row>
    <row r="445">
      <c r="A445" t="inlineStr">
        <is>
          <t>CMM</t>
        </is>
      </c>
      <c r="B445" t="inlineStr">
        <is>
          <t>VIGAS</t>
        </is>
      </c>
      <c r="C445" s="197" t="n">
        <v>46552</v>
      </c>
      <c r="D445" s="197" t="n">
        <v>46556</v>
      </c>
      <c r="E445" s="197" t="n">
        <v>46557</v>
      </c>
      <c r="F445" s="198" t="n">
        <v>2</v>
      </c>
      <c r="G445" s="198" t="n">
        <v>5</v>
      </c>
      <c r="H445">
        <f>F445*G445</f>
        <v/>
      </c>
      <c r="I445" t="n">
        <v>0</v>
      </c>
      <c r="J445">
        <f>IFERROR(H445+I445,"")</f>
        <v/>
      </c>
      <c r="K445">
        <f>IFERROR(J445/G445,"")</f>
        <v/>
      </c>
      <c r="L445" t="n">
        <v>0</v>
      </c>
      <c r="M445">
        <f>IF($B$3&lt;$E445,"",$L445-$J445)</f>
        <v/>
      </c>
      <c r="N445">
        <f>IF($B$3&lt;$C445,"FUTURA",IF($B$3&lt;=$D445,"EM ANDAMENTO",IF($B$3&lt;$E445,"AGUARDANDO CORTE",IF($M445&gt;=0,"META ATINGIDA","GAP A RECUPERAR"))))</f>
        <v/>
      </c>
    </row>
    <row r="446">
      <c r="A446" t="inlineStr">
        <is>
          <t>GLOBO AÇOS</t>
        </is>
      </c>
      <c r="B446" t="inlineStr">
        <is>
          <t>PERFILAÇÃO</t>
        </is>
      </c>
      <c r="C446" s="197" t="n">
        <v>46552</v>
      </c>
      <c r="D446" s="197" t="n">
        <v>46556</v>
      </c>
      <c r="E446" s="197" t="n">
        <v>46557</v>
      </c>
      <c r="F446" s="198" t="n">
        <v>19</v>
      </c>
      <c r="G446" s="198" t="n">
        <v>5</v>
      </c>
      <c r="H446">
        <f>F446*G446</f>
        <v/>
      </c>
      <c r="I446" t="n">
        <v>0</v>
      </c>
      <c r="J446">
        <f>IFERROR(H446+I446,"")</f>
        <v/>
      </c>
      <c r="K446">
        <f>IFERROR(J446/G446,"")</f>
        <v/>
      </c>
      <c r="L446">
        <f>IFERROR(SUM(INDEX('CONTROLE PRODUÇÃO POR EMPRESAS'!$H$6:$H$5000,MATCH(C446,'CONTROLE PRODUÇÃO POR EMPRESAS'!$A$6:$A$5000,0)):INDEX('CONTROLE PRODUÇÃO POR EMPRESAS'!$H$6:$H$5000,MATCH(D446,'CONTROLE PRODUÇÃO POR EMPRESAS'!$A$6:$A$5000,0))),0)</f>
        <v/>
      </c>
      <c r="M446">
        <f>IF($B$3&lt;$E446,"",$L446-$J446)</f>
        <v/>
      </c>
      <c r="N446">
        <f>IF($B$3&lt;$C446,"FUTURA",IF($B$3&lt;=$D446,"EM ANDAMENTO",IF($B$3&lt;$E446,"AGUARDANDO CORTE",IF($M446&gt;=0,"META ATINGIDA","GAP A RECUPERAR"))))</f>
        <v/>
      </c>
    </row>
    <row r="447">
      <c r="A447" t="inlineStr">
        <is>
          <t>GLOBO AÇOS</t>
        </is>
      </c>
      <c r="B447" t="inlineStr">
        <is>
          <t>TELHAR</t>
        </is>
      </c>
      <c r="C447" s="197" t="n">
        <v>46552</v>
      </c>
      <c r="D447" s="197" t="n">
        <v>46556</v>
      </c>
      <c r="E447" s="197" t="n">
        <v>46557</v>
      </c>
      <c r="F447" s="198" t="n">
        <v>7</v>
      </c>
      <c r="G447" s="198" t="n">
        <v>5</v>
      </c>
      <c r="H447">
        <f>F447*G447</f>
        <v/>
      </c>
      <c r="I447" t="n">
        <v>0</v>
      </c>
      <c r="J447">
        <f>IFERROR(H447+I447,"")</f>
        <v/>
      </c>
      <c r="K447">
        <f>IFERROR(J447/G447,"")</f>
        <v/>
      </c>
      <c r="L447">
        <f>IFERROR(SUM(INDEX('CONTROLE PRODUÇÃO POR EMPRESAS'!$I$6:$I$5000,MATCH(C447,'CONTROLE PRODUÇÃO POR EMPRESAS'!$A$6:$A$5000,0)):INDEX('CONTROLE PRODUÇÃO POR EMPRESAS'!$I$6:$I$5000,MATCH(D447,'CONTROLE PRODUÇÃO POR EMPRESAS'!$A$6:$A$5000,0))),0)</f>
        <v/>
      </c>
      <c r="M447">
        <f>IF($B$3&lt;$E447,"",$L447-$J447)</f>
        <v/>
      </c>
      <c r="N447">
        <f>IF($B$3&lt;$C447,"FUTURA",IF($B$3&lt;=$D447,"EM ANDAMENTO",IF($B$3&lt;$E447,"AGUARDANDO CORTE",IF($M447&gt;=0,"META ATINGIDA","GAP A RECUPERAR"))))</f>
        <v/>
      </c>
    </row>
    <row r="448">
      <c r="A448" t="inlineStr">
        <is>
          <t>GLOBO AÇOS</t>
        </is>
      </c>
      <c r="B448" t="inlineStr">
        <is>
          <t>FECHAMENTO</t>
        </is>
      </c>
      <c r="C448" s="197" t="n">
        <v>46552</v>
      </c>
      <c r="D448" s="197" t="n">
        <v>46556</v>
      </c>
      <c r="E448" s="197" t="n">
        <v>46557</v>
      </c>
      <c r="F448" s="198" t="n">
        <v>36</v>
      </c>
      <c r="G448" s="198" t="n">
        <v>5</v>
      </c>
      <c r="H448">
        <f>F448*G448</f>
        <v/>
      </c>
      <c r="I448" t="n">
        <v>0</v>
      </c>
      <c r="J448">
        <f>IFERROR(H448+I448,"")</f>
        <v/>
      </c>
      <c r="K448">
        <f>IFERROR(J448/G448,"")</f>
        <v/>
      </c>
      <c r="L448">
        <f>IFERROR(SUM(INDEX('CONTROLE PRODUÇÃO POR EMPRESAS'!$J$6:$J$5000,MATCH(C448,'CONTROLE PRODUÇÃO POR EMPRESAS'!$A$6:$A$5000,0)):INDEX('CONTROLE PRODUÇÃO POR EMPRESAS'!$J$6:$J$5000,MATCH(D448,'CONTROLE PRODUÇÃO POR EMPRESAS'!$A$6:$A$5000,0))),0)</f>
        <v/>
      </c>
      <c r="M448">
        <f>IF($B$3&lt;$E448,"",$L448-$J448)</f>
        <v/>
      </c>
      <c r="N448">
        <f>IF($B$3&lt;$C448,"FUTURA",IF($B$3&lt;=$D448,"EM ANDAMENTO",IF($B$3&lt;$E448,"AGUARDANDO CORTE",IF($M448&gt;=0,"META ATINGIDA","GAP A RECUPERAR"))))</f>
        <v/>
      </c>
    </row>
    <row r="449">
      <c r="A449" t="inlineStr">
        <is>
          <t>EJ</t>
        </is>
      </c>
      <c r="B449" t="inlineStr">
        <is>
          <t>PREMONTAGEM</t>
        </is>
      </c>
      <c r="C449" s="197" t="n">
        <v>46559</v>
      </c>
      <c r="D449" s="197" t="n">
        <v>46563</v>
      </c>
      <c r="E449" s="197" t="n">
        <v>46564</v>
      </c>
      <c r="F449" s="198" t="n">
        <v>6</v>
      </c>
      <c r="G449" s="198" t="n">
        <v>5</v>
      </c>
      <c r="H449">
        <f>F449*G449</f>
        <v/>
      </c>
      <c r="I449" t="n">
        <v>0</v>
      </c>
      <c r="J449">
        <f>IFERROR(H449+I449,"")</f>
        <v/>
      </c>
      <c r="K449">
        <f>IFERROR(J449/G449,"")</f>
        <v/>
      </c>
      <c r="L449" t="n">
        <v>0</v>
      </c>
      <c r="M449">
        <f>IF($B$3&lt;$E449,"",$L449-$J449)</f>
        <v/>
      </c>
      <c r="N449">
        <f>IF($B$3&lt;$C449,"FUTURA",IF($B$3&lt;=$D449,"EM ANDAMENTO",IF($B$3&lt;$E449,"AGUARDANDO CORTE",IF($M449&gt;=0,"META ATINGIDA","GAP A RECUPERAR"))))</f>
        <v/>
      </c>
    </row>
    <row r="450">
      <c r="A450" t="inlineStr">
        <is>
          <t>EJ</t>
        </is>
      </c>
      <c r="B450" t="inlineStr">
        <is>
          <t>IÇAMENTO JOIST</t>
        </is>
      </c>
      <c r="C450" s="197" t="n">
        <v>46559</v>
      </c>
      <c r="D450" s="197" t="n">
        <v>46563</v>
      </c>
      <c r="E450" s="197" t="n">
        <v>46564</v>
      </c>
      <c r="F450" s="198" t="n">
        <v>5</v>
      </c>
      <c r="G450" s="198" t="n">
        <v>5</v>
      </c>
      <c r="H450">
        <f>F450*G450</f>
        <v/>
      </c>
      <c r="I450" t="n">
        <v>0</v>
      </c>
      <c r="J450">
        <f>IFERROR(H450+I450,"")</f>
        <v/>
      </c>
      <c r="K450">
        <f>IFERROR(J450/G450,"")</f>
        <v/>
      </c>
      <c r="L450" t="n">
        <v>0</v>
      </c>
      <c r="M450">
        <f>IF($B$3&lt;$E450,"",$L450-$J450)</f>
        <v/>
      </c>
      <c r="N450">
        <f>IF($B$3&lt;$C450,"FUTURA",IF($B$3&lt;=$D450,"EM ANDAMENTO",IF($B$3&lt;$E450,"AGUARDANDO CORTE",IF($M450&gt;=0,"META ATINGIDA","GAP A RECUPERAR"))))</f>
        <v/>
      </c>
    </row>
    <row r="451">
      <c r="A451" t="inlineStr">
        <is>
          <t>EJ</t>
        </is>
      </c>
      <c r="B451" t="inlineStr">
        <is>
          <t>VIGAS</t>
        </is>
      </c>
      <c r="C451" s="197" t="n">
        <v>46559</v>
      </c>
      <c r="D451" s="197" t="n">
        <v>46563</v>
      </c>
      <c r="E451" s="197" t="n">
        <v>46564</v>
      </c>
      <c r="F451" s="198" t="n">
        <v>2</v>
      </c>
      <c r="G451" s="198" t="n">
        <v>5</v>
      </c>
      <c r="H451">
        <f>F451*G451</f>
        <v/>
      </c>
      <c r="I451" t="n">
        <v>0</v>
      </c>
      <c r="J451">
        <f>IFERROR(H451+I451,"")</f>
        <v/>
      </c>
      <c r="K451">
        <f>IFERROR(J451/G451,"")</f>
        <v/>
      </c>
      <c r="L451" t="n">
        <v>0</v>
      </c>
      <c r="M451">
        <f>IF($B$3&lt;$E451,"",$L451-$J451)</f>
        <v/>
      </c>
      <c r="N451">
        <f>IF($B$3&lt;$C451,"FUTURA",IF($B$3&lt;=$D451,"EM ANDAMENTO",IF($B$3&lt;$E451,"AGUARDANDO CORTE",IF($M451&gt;=0,"META ATINGIDA","GAP A RECUPERAR"))))</f>
        <v/>
      </c>
    </row>
    <row r="452">
      <c r="A452" t="inlineStr">
        <is>
          <t>CMM</t>
        </is>
      </c>
      <c r="B452" t="inlineStr">
        <is>
          <t>PREMONTAGEM</t>
        </is>
      </c>
      <c r="C452" s="197" t="n">
        <v>46559</v>
      </c>
      <c r="D452" s="197" t="n">
        <v>46563</v>
      </c>
      <c r="E452" s="197" t="n">
        <v>46564</v>
      </c>
      <c r="F452" s="198" t="n">
        <v>6</v>
      </c>
      <c r="G452" s="198" t="n">
        <v>5</v>
      </c>
      <c r="H452">
        <f>F452*G452</f>
        <v/>
      </c>
      <c r="I452" t="n">
        <v>0</v>
      </c>
      <c r="J452">
        <f>IFERROR(H452+I452,"")</f>
        <v/>
      </c>
      <c r="K452">
        <f>IFERROR(J452/G452,"")</f>
        <v/>
      </c>
      <c r="L452" t="n">
        <v>0</v>
      </c>
      <c r="M452">
        <f>IF($B$3&lt;$E452,"",$L452-$J452)</f>
        <v/>
      </c>
      <c r="N452">
        <f>IF($B$3&lt;$C452,"FUTURA",IF($B$3&lt;=$D452,"EM ANDAMENTO",IF($B$3&lt;$E452,"AGUARDANDO CORTE",IF($M452&gt;=0,"META ATINGIDA","GAP A RECUPERAR"))))</f>
        <v/>
      </c>
    </row>
    <row r="453">
      <c r="A453" t="inlineStr">
        <is>
          <t>CMM</t>
        </is>
      </c>
      <c r="B453" t="inlineStr">
        <is>
          <t>IÇAMENTO JOIST</t>
        </is>
      </c>
      <c r="C453" s="197" t="n">
        <v>46559</v>
      </c>
      <c r="D453" s="197" t="n">
        <v>46563</v>
      </c>
      <c r="E453" s="197" t="n">
        <v>46564</v>
      </c>
      <c r="F453" s="198" t="n">
        <v>5</v>
      </c>
      <c r="G453" s="198" t="n">
        <v>5</v>
      </c>
      <c r="H453">
        <f>F453*G453</f>
        <v/>
      </c>
      <c r="I453" t="n">
        <v>0</v>
      </c>
      <c r="J453">
        <f>IFERROR(H453+I453,"")</f>
        <v/>
      </c>
      <c r="K453">
        <f>IFERROR(J453/G453,"")</f>
        <v/>
      </c>
      <c r="L453" t="n">
        <v>0</v>
      </c>
      <c r="M453">
        <f>IF($B$3&lt;$E453,"",$L453-$J453)</f>
        <v/>
      </c>
      <c r="N453">
        <f>IF($B$3&lt;$C453,"FUTURA",IF($B$3&lt;=$D453,"EM ANDAMENTO",IF($B$3&lt;$E453,"AGUARDANDO CORTE",IF($M453&gt;=0,"META ATINGIDA","GAP A RECUPERAR"))))</f>
        <v/>
      </c>
    </row>
    <row r="454">
      <c r="A454" t="inlineStr">
        <is>
          <t>CMM</t>
        </is>
      </c>
      <c r="B454" t="inlineStr">
        <is>
          <t>VIGAS</t>
        </is>
      </c>
      <c r="C454" s="197" t="n">
        <v>46559</v>
      </c>
      <c r="D454" s="197" t="n">
        <v>46563</v>
      </c>
      <c r="E454" s="197" t="n">
        <v>46564</v>
      </c>
      <c r="F454" s="198" t="n">
        <v>2</v>
      </c>
      <c r="G454" s="198" t="n">
        <v>5</v>
      </c>
      <c r="H454">
        <f>F454*G454</f>
        <v/>
      </c>
      <c r="I454" t="n">
        <v>0</v>
      </c>
      <c r="J454">
        <f>IFERROR(H454+I454,"")</f>
        <v/>
      </c>
      <c r="K454">
        <f>IFERROR(J454/G454,"")</f>
        <v/>
      </c>
      <c r="L454" t="n">
        <v>0</v>
      </c>
      <c r="M454">
        <f>IF($B$3&lt;$E454,"",$L454-$J454)</f>
        <v/>
      </c>
      <c r="N454">
        <f>IF($B$3&lt;$C454,"FUTURA",IF($B$3&lt;=$D454,"EM ANDAMENTO",IF($B$3&lt;$E454,"AGUARDANDO CORTE",IF($M454&gt;=0,"META ATINGIDA","GAP A RECUPERAR"))))</f>
        <v/>
      </c>
    </row>
    <row r="455">
      <c r="A455" t="inlineStr">
        <is>
          <t>GLOBO AÇOS</t>
        </is>
      </c>
      <c r="B455" t="inlineStr">
        <is>
          <t>PERFILAÇÃO</t>
        </is>
      </c>
      <c r="C455" s="197" t="n">
        <v>46559</v>
      </c>
      <c r="D455" s="197" t="n">
        <v>46563</v>
      </c>
      <c r="E455" s="197" t="n">
        <v>46564</v>
      </c>
      <c r="F455" s="198" t="n">
        <v>19</v>
      </c>
      <c r="G455" s="198" t="n">
        <v>5</v>
      </c>
      <c r="H455">
        <f>F455*G455</f>
        <v/>
      </c>
      <c r="I455" t="n">
        <v>0</v>
      </c>
      <c r="J455">
        <f>IFERROR(H455+I455,"")</f>
        <v/>
      </c>
      <c r="K455">
        <f>IFERROR(J455/G455,"")</f>
        <v/>
      </c>
      <c r="L455">
        <f>IFERROR(SUM(INDEX('CONTROLE PRODUÇÃO POR EMPRESAS'!$H$6:$H$5000,MATCH(C455,'CONTROLE PRODUÇÃO POR EMPRESAS'!$A$6:$A$5000,0)):INDEX('CONTROLE PRODUÇÃO POR EMPRESAS'!$H$6:$H$5000,MATCH(D455,'CONTROLE PRODUÇÃO POR EMPRESAS'!$A$6:$A$5000,0))),0)</f>
        <v/>
      </c>
      <c r="M455">
        <f>IF($B$3&lt;$E455,"",$L455-$J455)</f>
        <v/>
      </c>
      <c r="N455">
        <f>IF($B$3&lt;$C455,"FUTURA",IF($B$3&lt;=$D455,"EM ANDAMENTO",IF($B$3&lt;$E455,"AGUARDANDO CORTE",IF($M455&gt;=0,"META ATINGIDA","GAP A RECUPERAR"))))</f>
        <v/>
      </c>
    </row>
    <row r="456">
      <c r="A456" t="inlineStr">
        <is>
          <t>GLOBO AÇOS</t>
        </is>
      </c>
      <c r="B456" t="inlineStr">
        <is>
          <t>TELHAR</t>
        </is>
      </c>
      <c r="C456" s="197" t="n">
        <v>46559</v>
      </c>
      <c r="D456" s="197" t="n">
        <v>46563</v>
      </c>
      <c r="E456" s="197" t="n">
        <v>46564</v>
      </c>
      <c r="F456" s="198" t="n">
        <v>7</v>
      </c>
      <c r="G456" s="198" t="n">
        <v>5</v>
      </c>
      <c r="H456">
        <f>F456*G456</f>
        <v/>
      </c>
      <c r="I456" t="n">
        <v>0</v>
      </c>
      <c r="J456">
        <f>IFERROR(H456+I456,"")</f>
        <v/>
      </c>
      <c r="K456">
        <f>IFERROR(J456/G456,"")</f>
        <v/>
      </c>
      <c r="L456">
        <f>IFERROR(SUM(INDEX('CONTROLE PRODUÇÃO POR EMPRESAS'!$I$6:$I$5000,MATCH(C456,'CONTROLE PRODUÇÃO POR EMPRESAS'!$A$6:$A$5000,0)):INDEX('CONTROLE PRODUÇÃO POR EMPRESAS'!$I$6:$I$5000,MATCH(D456,'CONTROLE PRODUÇÃO POR EMPRESAS'!$A$6:$A$5000,0))),0)</f>
        <v/>
      </c>
      <c r="M456">
        <f>IF($B$3&lt;$E456,"",$L456-$J456)</f>
        <v/>
      </c>
      <c r="N456">
        <f>IF($B$3&lt;$C456,"FUTURA",IF($B$3&lt;=$D456,"EM ANDAMENTO",IF($B$3&lt;$E456,"AGUARDANDO CORTE",IF($M456&gt;=0,"META ATINGIDA","GAP A RECUPERAR"))))</f>
        <v/>
      </c>
    </row>
    <row r="457">
      <c r="A457" t="inlineStr">
        <is>
          <t>GLOBO AÇOS</t>
        </is>
      </c>
      <c r="B457" t="inlineStr">
        <is>
          <t>FECHAMENTO</t>
        </is>
      </c>
      <c r="C457" s="197" t="n">
        <v>46559</v>
      </c>
      <c r="D457" s="197" t="n">
        <v>46563</v>
      </c>
      <c r="E457" s="197" t="n">
        <v>46564</v>
      </c>
      <c r="F457" s="198" t="n">
        <v>36</v>
      </c>
      <c r="G457" s="198" t="n">
        <v>5</v>
      </c>
      <c r="H457">
        <f>F457*G457</f>
        <v/>
      </c>
      <c r="I457" t="n">
        <v>0</v>
      </c>
      <c r="J457">
        <f>IFERROR(H457+I457,"")</f>
        <v/>
      </c>
      <c r="K457">
        <f>IFERROR(J457/G457,"")</f>
        <v/>
      </c>
      <c r="L457">
        <f>IFERROR(SUM(INDEX('CONTROLE PRODUÇÃO POR EMPRESAS'!$J$6:$J$5000,MATCH(C457,'CONTROLE PRODUÇÃO POR EMPRESAS'!$A$6:$A$5000,0)):INDEX('CONTROLE PRODUÇÃO POR EMPRESAS'!$J$6:$J$5000,MATCH(D457,'CONTROLE PRODUÇÃO POR EMPRESAS'!$A$6:$A$5000,0))),0)</f>
        <v/>
      </c>
      <c r="M457">
        <f>IF($B$3&lt;$E457,"",$L457-$J457)</f>
        <v/>
      </c>
      <c r="N457">
        <f>IF($B$3&lt;$C457,"FUTURA",IF($B$3&lt;=$D457,"EM ANDAMENTO",IF($B$3&lt;$E457,"AGUARDANDO CORTE",IF($M457&gt;=0,"META ATINGIDA","GAP A RECUPERAR"))))</f>
        <v/>
      </c>
    </row>
    <row r="458">
      <c r="A458" t="inlineStr">
        <is>
          <t>EJ</t>
        </is>
      </c>
      <c r="B458" t="inlineStr">
        <is>
          <t>PREMONTAGEM</t>
        </is>
      </c>
      <c r="C458" s="197" t="n">
        <v>46566</v>
      </c>
      <c r="D458" s="197" t="n">
        <v>46570</v>
      </c>
      <c r="E458" s="197" t="n">
        <v>46571</v>
      </c>
      <c r="F458" s="198" t="n">
        <v>6</v>
      </c>
      <c r="G458" s="198" t="n">
        <v>5</v>
      </c>
      <c r="H458">
        <f>F458*G458</f>
        <v/>
      </c>
      <c r="I458" t="n">
        <v>0</v>
      </c>
      <c r="J458">
        <f>IFERROR(H458+I458,"")</f>
        <v/>
      </c>
      <c r="K458">
        <f>IFERROR(J458/G458,"")</f>
        <v/>
      </c>
      <c r="L458" t="n">
        <v>0</v>
      </c>
      <c r="M458">
        <f>IF($B$3&lt;$E458,"",$L458-$J458)</f>
        <v/>
      </c>
      <c r="N458">
        <f>IF($B$3&lt;$C458,"FUTURA",IF($B$3&lt;=$D458,"EM ANDAMENTO",IF($B$3&lt;$E458,"AGUARDANDO CORTE",IF($M458&gt;=0,"META ATINGIDA","GAP A RECUPERAR"))))</f>
        <v/>
      </c>
    </row>
    <row r="459">
      <c r="A459" t="inlineStr">
        <is>
          <t>EJ</t>
        </is>
      </c>
      <c r="B459" t="inlineStr">
        <is>
          <t>IÇAMENTO JOIST</t>
        </is>
      </c>
      <c r="C459" s="197" t="n">
        <v>46566</v>
      </c>
      <c r="D459" s="197" t="n">
        <v>46570</v>
      </c>
      <c r="E459" s="197" t="n">
        <v>46571</v>
      </c>
      <c r="F459" s="198" t="n">
        <v>5</v>
      </c>
      <c r="G459" s="198" t="n">
        <v>5</v>
      </c>
      <c r="H459">
        <f>F459*G459</f>
        <v/>
      </c>
      <c r="I459" t="n">
        <v>0</v>
      </c>
      <c r="J459">
        <f>IFERROR(H459+I459,"")</f>
        <v/>
      </c>
      <c r="K459">
        <f>IFERROR(J459/G459,"")</f>
        <v/>
      </c>
      <c r="L459" t="n">
        <v>0</v>
      </c>
      <c r="M459">
        <f>IF($B$3&lt;$E459,"",$L459-$J459)</f>
        <v/>
      </c>
      <c r="N459">
        <f>IF($B$3&lt;$C459,"FUTURA",IF($B$3&lt;=$D459,"EM ANDAMENTO",IF($B$3&lt;$E459,"AGUARDANDO CORTE",IF($M459&gt;=0,"META ATINGIDA","GAP A RECUPERAR"))))</f>
        <v/>
      </c>
    </row>
    <row r="460">
      <c r="A460" t="inlineStr">
        <is>
          <t>EJ</t>
        </is>
      </c>
      <c r="B460" t="inlineStr">
        <is>
          <t>VIGAS</t>
        </is>
      </c>
      <c r="C460" s="197" t="n">
        <v>46566</v>
      </c>
      <c r="D460" s="197" t="n">
        <v>46570</v>
      </c>
      <c r="E460" s="197" t="n">
        <v>46571</v>
      </c>
      <c r="F460" s="198" t="n">
        <v>2</v>
      </c>
      <c r="G460" s="198" t="n">
        <v>5</v>
      </c>
      <c r="H460">
        <f>F460*G460</f>
        <v/>
      </c>
      <c r="I460" t="n">
        <v>0</v>
      </c>
      <c r="J460">
        <f>IFERROR(H460+I460,"")</f>
        <v/>
      </c>
      <c r="K460">
        <f>IFERROR(J460/G460,"")</f>
        <v/>
      </c>
      <c r="L460" t="n">
        <v>0</v>
      </c>
      <c r="M460">
        <f>IF($B$3&lt;$E460,"",$L460-$J460)</f>
        <v/>
      </c>
      <c r="N460">
        <f>IF($B$3&lt;$C460,"FUTURA",IF($B$3&lt;=$D460,"EM ANDAMENTO",IF($B$3&lt;$E460,"AGUARDANDO CORTE",IF($M460&gt;=0,"META ATINGIDA","GAP A RECUPERAR"))))</f>
        <v/>
      </c>
    </row>
    <row r="461">
      <c r="A461" t="inlineStr">
        <is>
          <t>CMM</t>
        </is>
      </c>
      <c r="B461" t="inlineStr">
        <is>
          <t>PREMONTAGEM</t>
        </is>
      </c>
      <c r="C461" s="197" t="n">
        <v>46566</v>
      </c>
      <c r="D461" s="197" t="n">
        <v>46570</v>
      </c>
      <c r="E461" s="197" t="n">
        <v>46571</v>
      </c>
      <c r="F461" s="198" t="n">
        <v>6</v>
      </c>
      <c r="G461" s="198" t="n">
        <v>5</v>
      </c>
      <c r="H461">
        <f>F461*G461</f>
        <v/>
      </c>
      <c r="I461" t="n">
        <v>0</v>
      </c>
      <c r="J461">
        <f>IFERROR(H461+I461,"")</f>
        <v/>
      </c>
      <c r="K461">
        <f>IFERROR(J461/G461,"")</f>
        <v/>
      </c>
      <c r="L461" t="n">
        <v>0</v>
      </c>
      <c r="M461">
        <f>IF($B$3&lt;$E461,"",$L461-$J461)</f>
        <v/>
      </c>
      <c r="N461">
        <f>IF($B$3&lt;$C461,"FUTURA",IF($B$3&lt;=$D461,"EM ANDAMENTO",IF($B$3&lt;$E461,"AGUARDANDO CORTE",IF($M461&gt;=0,"META ATINGIDA","GAP A RECUPERAR"))))</f>
        <v/>
      </c>
    </row>
    <row r="462">
      <c r="A462" t="inlineStr">
        <is>
          <t>CMM</t>
        </is>
      </c>
      <c r="B462" t="inlineStr">
        <is>
          <t>IÇAMENTO JOIST</t>
        </is>
      </c>
      <c r="C462" s="197" t="n">
        <v>46566</v>
      </c>
      <c r="D462" s="197" t="n">
        <v>46570</v>
      </c>
      <c r="E462" s="197" t="n">
        <v>46571</v>
      </c>
      <c r="F462" s="198" t="n">
        <v>5</v>
      </c>
      <c r="G462" s="198" t="n">
        <v>5</v>
      </c>
      <c r="H462">
        <f>F462*G462</f>
        <v/>
      </c>
      <c r="I462" t="n">
        <v>0</v>
      </c>
      <c r="J462">
        <f>IFERROR(H462+I462,"")</f>
        <v/>
      </c>
      <c r="K462">
        <f>IFERROR(J462/G462,"")</f>
        <v/>
      </c>
      <c r="L462" t="n">
        <v>0</v>
      </c>
      <c r="M462">
        <f>IF($B$3&lt;$E462,"",$L462-$J462)</f>
        <v/>
      </c>
      <c r="N462">
        <f>IF($B$3&lt;$C462,"FUTURA",IF($B$3&lt;=$D462,"EM ANDAMENTO",IF($B$3&lt;$E462,"AGUARDANDO CORTE",IF($M462&gt;=0,"META ATINGIDA","GAP A RECUPERAR"))))</f>
        <v/>
      </c>
    </row>
    <row r="463">
      <c r="A463" t="inlineStr">
        <is>
          <t>CMM</t>
        </is>
      </c>
      <c r="B463" t="inlineStr">
        <is>
          <t>VIGAS</t>
        </is>
      </c>
      <c r="C463" s="197" t="n">
        <v>46566</v>
      </c>
      <c r="D463" s="197" t="n">
        <v>46570</v>
      </c>
      <c r="E463" s="197" t="n">
        <v>46571</v>
      </c>
      <c r="F463" s="198" t="n">
        <v>2</v>
      </c>
      <c r="G463" s="198" t="n">
        <v>5</v>
      </c>
      <c r="H463">
        <f>F463*G463</f>
        <v/>
      </c>
      <c r="I463" t="n">
        <v>0</v>
      </c>
      <c r="J463">
        <f>IFERROR(H463+I463,"")</f>
        <v/>
      </c>
      <c r="K463">
        <f>IFERROR(J463/G463,"")</f>
        <v/>
      </c>
      <c r="L463" t="n">
        <v>0</v>
      </c>
      <c r="M463">
        <f>IF($B$3&lt;$E463,"",$L463-$J463)</f>
        <v/>
      </c>
      <c r="N463">
        <f>IF($B$3&lt;$C463,"FUTURA",IF($B$3&lt;=$D463,"EM ANDAMENTO",IF($B$3&lt;$E463,"AGUARDANDO CORTE",IF($M463&gt;=0,"META ATINGIDA","GAP A RECUPERAR"))))</f>
        <v/>
      </c>
    </row>
    <row r="464">
      <c r="A464" t="inlineStr">
        <is>
          <t>GLOBO AÇOS</t>
        </is>
      </c>
      <c r="B464" t="inlineStr">
        <is>
          <t>PERFILAÇÃO</t>
        </is>
      </c>
      <c r="C464" s="197" t="n">
        <v>46566</v>
      </c>
      <c r="D464" s="197" t="n">
        <v>46570</v>
      </c>
      <c r="E464" s="197" t="n">
        <v>46571</v>
      </c>
      <c r="F464" s="198" t="n">
        <v>19</v>
      </c>
      <c r="G464" s="198" t="n">
        <v>5</v>
      </c>
      <c r="H464">
        <f>F464*G464</f>
        <v/>
      </c>
      <c r="I464" t="n">
        <v>0</v>
      </c>
      <c r="J464">
        <f>IFERROR(H464+I464,"")</f>
        <v/>
      </c>
      <c r="K464">
        <f>IFERROR(J464/G464,"")</f>
        <v/>
      </c>
      <c r="L464">
        <f>IFERROR(SUM(INDEX('CONTROLE PRODUÇÃO POR EMPRESAS'!$H$6:$H$5000,MATCH(C464,'CONTROLE PRODUÇÃO POR EMPRESAS'!$A$6:$A$5000,0)):INDEX('CONTROLE PRODUÇÃO POR EMPRESAS'!$H$6:$H$5000,MATCH(D464,'CONTROLE PRODUÇÃO POR EMPRESAS'!$A$6:$A$5000,0))),0)</f>
        <v/>
      </c>
      <c r="M464">
        <f>IF($B$3&lt;$E464,"",$L464-$J464)</f>
        <v/>
      </c>
      <c r="N464">
        <f>IF($B$3&lt;$C464,"FUTURA",IF($B$3&lt;=$D464,"EM ANDAMENTO",IF($B$3&lt;$E464,"AGUARDANDO CORTE",IF($M464&gt;=0,"META ATINGIDA","GAP A RECUPERAR"))))</f>
        <v/>
      </c>
    </row>
    <row r="465">
      <c r="A465" t="inlineStr">
        <is>
          <t>GLOBO AÇOS</t>
        </is>
      </c>
      <c r="B465" t="inlineStr">
        <is>
          <t>TELHAR</t>
        </is>
      </c>
      <c r="C465" s="197" t="n">
        <v>46566</v>
      </c>
      <c r="D465" s="197" t="n">
        <v>46570</v>
      </c>
      <c r="E465" s="197" t="n">
        <v>46571</v>
      </c>
      <c r="F465" s="198" t="n">
        <v>7</v>
      </c>
      <c r="G465" s="198" t="n">
        <v>5</v>
      </c>
      <c r="H465">
        <f>F465*G465</f>
        <v/>
      </c>
      <c r="I465" t="n">
        <v>0</v>
      </c>
      <c r="J465">
        <f>IFERROR(H465+I465,"")</f>
        <v/>
      </c>
      <c r="K465">
        <f>IFERROR(J465/G465,"")</f>
        <v/>
      </c>
      <c r="L465">
        <f>IFERROR(SUM(INDEX('CONTROLE PRODUÇÃO POR EMPRESAS'!$I$6:$I$5000,MATCH(C465,'CONTROLE PRODUÇÃO POR EMPRESAS'!$A$6:$A$5000,0)):INDEX('CONTROLE PRODUÇÃO POR EMPRESAS'!$I$6:$I$5000,MATCH(D465,'CONTROLE PRODUÇÃO POR EMPRESAS'!$A$6:$A$5000,0))),0)</f>
        <v/>
      </c>
      <c r="M465">
        <f>IF($B$3&lt;$E465,"",$L465-$J465)</f>
        <v/>
      </c>
      <c r="N465">
        <f>IF($B$3&lt;$C465,"FUTURA",IF($B$3&lt;=$D465,"EM ANDAMENTO",IF($B$3&lt;$E465,"AGUARDANDO CORTE",IF($M465&gt;=0,"META ATINGIDA","GAP A RECUPERAR"))))</f>
        <v/>
      </c>
    </row>
    <row r="466">
      <c r="A466" t="inlineStr">
        <is>
          <t>GLOBO AÇOS</t>
        </is>
      </c>
      <c r="B466" t="inlineStr">
        <is>
          <t>FECHAMENTO</t>
        </is>
      </c>
      <c r="C466" s="197" t="n">
        <v>46566</v>
      </c>
      <c r="D466" s="197" t="n">
        <v>46570</v>
      </c>
      <c r="E466" s="197" t="n">
        <v>46571</v>
      </c>
      <c r="F466" s="198" t="n">
        <v>36</v>
      </c>
      <c r="G466" s="198" t="n">
        <v>5</v>
      </c>
      <c r="H466">
        <f>F466*G466</f>
        <v/>
      </c>
      <c r="I466" t="n">
        <v>0</v>
      </c>
      <c r="J466">
        <f>IFERROR(H466+I466,"")</f>
        <v/>
      </c>
      <c r="K466">
        <f>IFERROR(J466/G466,"")</f>
        <v/>
      </c>
      <c r="L466">
        <f>IFERROR(SUM(INDEX('CONTROLE PRODUÇÃO POR EMPRESAS'!$J$6:$J$5000,MATCH(C466,'CONTROLE PRODUÇÃO POR EMPRESAS'!$A$6:$A$5000,0)):INDEX('CONTROLE PRODUÇÃO POR EMPRESAS'!$J$6:$J$5000,MATCH(D466,'CONTROLE PRODUÇÃO POR EMPRESAS'!$A$6:$A$5000,0))),0)</f>
        <v/>
      </c>
      <c r="M466">
        <f>IF($B$3&lt;$E466,"",$L466-$J466)</f>
        <v/>
      </c>
      <c r="N466">
        <f>IF($B$3&lt;$C466,"FUTURA",IF($B$3&lt;=$D466,"EM ANDAMENTO",IF($B$3&lt;$E466,"AGUARDANDO CORTE",IF($M466&gt;=0,"META ATINGIDA","GAP A RECUPERAR"))))</f>
        <v/>
      </c>
    </row>
    <row r="467">
      <c r="A467" t="inlineStr">
        <is>
          <t>EJ</t>
        </is>
      </c>
      <c r="B467" t="inlineStr">
        <is>
          <t>PREMONTAGEM</t>
        </is>
      </c>
      <c r="C467" s="197" t="n">
        <v>46573</v>
      </c>
      <c r="D467" s="197" t="n">
        <v>46577</v>
      </c>
      <c r="E467" s="197" t="n">
        <v>46578</v>
      </c>
      <c r="F467" s="198" t="n">
        <v>6</v>
      </c>
      <c r="G467" s="198" t="n">
        <v>5</v>
      </c>
      <c r="H467">
        <f>F467*G467</f>
        <v/>
      </c>
      <c r="I467" t="n">
        <v>0</v>
      </c>
      <c r="J467">
        <f>IFERROR(H467+I467,"")</f>
        <v/>
      </c>
      <c r="K467">
        <f>IFERROR(J467/G467,"")</f>
        <v/>
      </c>
      <c r="L467" t="n">
        <v>0</v>
      </c>
      <c r="M467">
        <f>IF($B$3&lt;$E467,"",$L467-$J467)</f>
        <v/>
      </c>
      <c r="N467">
        <f>IF($B$3&lt;$C467,"FUTURA",IF($B$3&lt;=$D467,"EM ANDAMENTO",IF($B$3&lt;$E467,"AGUARDANDO CORTE",IF($M467&gt;=0,"META ATINGIDA","GAP A RECUPERAR"))))</f>
        <v/>
      </c>
    </row>
    <row r="468">
      <c r="A468" t="inlineStr">
        <is>
          <t>EJ</t>
        </is>
      </c>
      <c r="B468" t="inlineStr">
        <is>
          <t>IÇAMENTO JOIST</t>
        </is>
      </c>
      <c r="C468" s="197" t="n">
        <v>46573</v>
      </c>
      <c r="D468" s="197" t="n">
        <v>46577</v>
      </c>
      <c r="E468" s="197" t="n">
        <v>46578</v>
      </c>
      <c r="F468" s="198" t="n">
        <v>5</v>
      </c>
      <c r="G468" s="198" t="n">
        <v>5</v>
      </c>
      <c r="H468">
        <f>F468*G468</f>
        <v/>
      </c>
      <c r="I468" t="n">
        <v>0</v>
      </c>
      <c r="J468">
        <f>IFERROR(H468+I468,"")</f>
        <v/>
      </c>
      <c r="K468">
        <f>IFERROR(J468/G468,"")</f>
        <v/>
      </c>
      <c r="L468" t="n">
        <v>0</v>
      </c>
      <c r="M468">
        <f>IF($B$3&lt;$E468,"",$L468-$J468)</f>
        <v/>
      </c>
      <c r="N468">
        <f>IF($B$3&lt;$C468,"FUTURA",IF($B$3&lt;=$D468,"EM ANDAMENTO",IF($B$3&lt;$E468,"AGUARDANDO CORTE",IF($M468&gt;=0,"META ATINGIDA","GAP A RECUPERAR"))))</f>
        <v/>
      </c>
    </row>
    <row r="469">
      <c r="A469" t="inlineStr">
        <is>
          <t>EJ</t>
        </is>
      </c>
      <c r="B469" t="inlineStr">
        <is>
          <t>VIGAS</t>
        </is>
      </c>
      <c r="C469" s="197" t="n">
        <v>46573</v>
      </c>
      <c r="D469" s="197" t="n">
        <v>46577</v>
      </c>
      <c r="E469" s="197" t="n">
        <v>46578</v>
      </c>
      <c r="F469" s="198" t="n">
        <v>2</v>
      </c>
      <c r="G469" s="198" t="n">
        <v>5</v>
      </c>
      <c r="H469">
        <f>F469*G469</f>
        <v/>
      </c>
      <c r="I469" t="n">
        <v>0</v>
      </c>
      <c r="J469">
        <f>IFERROR(H469+I469,"")</f>
        <v/>
      </c>
      <c r="K469">
        <f>IFERROR(J469/G469,"")</f>
        <v/>
      </c>
      <c r="L469" t="n">
        <v>0</v>
      </c>
      <c r="M469">
        <f>IF($B$3&lt;$E469,"",$L469-$J469)</f>
        <v/>
      </c>
      <c r="N469">
        <f>IF($B$3&lt;$C469,"FUTURA",IF($B$3&lt;=$D469,"EM ANDAMENTO",IF($B$3&lt;$E469,"AGUARDANDO CORTE",IF($M469&gt;=0,"META ATINGIDA","GAP A RECUPERAR"))))</f>
        <v/>
      </c>
    </row>
    <row r="470">
      <c r="A470" t="inlineStr">
        <is>
          <t>CMM</t>
        </is>
      </c>
      <c r="B470" t="inlineStr">
        <is>
          <t>PREMONTAGEM</t>
        </is>
      </c>
      <c r="C470" s="197" t="n">
        <v>46573</v>
      </c>
      <c r="D470" s="197" t="n">
        <v>46577</v>
      </c>
      <c r="E470" s="197" t="n">
        <v>46578</v>
      </c>
      <c r="F470" s="198" t="n">
        <v>6</v>
      </c>
      <c r="G470" s="198" t="n">
        <v>5</v>
      </c>
      <c r="H470">
        <f>F470*G470</f>
        <v/>
      </c>
      <c r="I470" t="n">
        <v>0</v>
      </c>
      <c r="J470">
        <f>IFERROR(H470+I470,"")</f>
        <v/>
      </c>
      <c r="K470">
        <f>IFERROR(J470/G470,"")</f>
        <v/>
      </c>
      <c r="L470" t="n">
        <v>0</v>
      </c>
      <c r="M470">
        <f>IF($B$3&lt;$E470,"",$L470-$J470)</f>
        <v/>
      </c>
      <c r="N470">
        <f>IF($B$3&lt;$C470,"FUTURA",IF($B$3&lt;=$D470,"EM ANDAMENTO",IF($B$3&lt;$E470,"AGUARDANDO CORTE",IF($M470&gt;=0,"META ATINGIDA","GAP A RECUPERAR"))))</f>
        <v/>
      </c>
    </row>
    <row r="471">
      <c r="A471" t="inlineStr">
        <is>
          <t>CMM</t>
        </is>
      </c>
      <c r="B471" t="inlineStr">
        <is>
          <t>IÇAMENTO JOIST</t>
        </is>
      </c>
      <c r="C471" s="197" t="n">
        <v>46573</v>
      </c>
      <c r="D471" s="197" t="n">
        <v>46577</v>
      </c>
      <c r="E471" s="197" t="n">
        <v>46578</v>
      </c>
      <c r="F471" s="198" t="n">
        <v>5</v>
      </c>
      <c r="G471" s="198" t="n">
        <v>5</v>
      </c>
      <c r="H471">
        <f>F471*G471</f>
        <v/>
      </c>
      <c r="I471" t="n">
        <v>0</v>
      </c>
      <c r="J471">
        <f>IFERROR(H471+I471,"")</f>
        <v/>
      </c>
      <c r="K471">
        <f>IFERROR(J471/G471,"")</f>
        <v/>
      </c>
      <c r="L471" t="n">
        <v>0</v>
      </c>
      <c r="M471">
        <f>IF($B$3&lt;$E471,"",$L471-$J471)</f>
        <v/>
      </c>
      <c r="N471">
        <f>IF($B$3&lt;$C471,"FUTURA",IF($B$3&lt;=$D471,"EM ANDAMENTO",IF($B$3&lt;$E471,"AGUARDANDO CORTE",IF($M471&gt;=0,"META ATINGIDA","GAP A RECUPERAR"))))</f>
        <v/>
      </c>
    </row>
    <row r="472">
      <c r="A472" t="inlineStr">
        <is>
          <t>CMM</t>
        </is>
      </c>
      <c r="B472" t="inlineStr">
        <is>
          <t>VIGAS</t>
        </is>
      </c>
      <c r="C472" s="197" t="n">
        <v>46573</v>
      </c>
      <c r="D472" s="197" t="n">
        <v>46577</v>
      </c>
      <c r="E472" s="197" t="n">
        <v>46578</v>
      </c>
      <c r="F472" s="198" t="n">
        <v>2</v>
      </c>
      <c r="G472" s="198" t="n">
        <v>5</v>
      </c>
      <c r="H472">
        <f>F472*G472</f>
        <v/>
      </c>
      <c r="I472" t="n">
        <v>0</v>
      </c>
      <c r="J472">
        <f>IFERROR(H472+I472,"")</f>
        <v/>
      </c>
      <c r="K472">
        <f>IFERROR(J472/G472,"")</f>
        <v/>
      </c>
      <c r="L472" t="n">
        <v>0</v>
      </c>
      <c r="M472">
        <f>IF($B$3&lt;$E472,"",$L472-$J472)</f>
        <v/>
      </c>
      <c r="N472">
        <f>IF($B$3&lt;$C472,"FUTURA",IF($B$3&lt;=$D472,"EM ANDAMENTO",IF($B$3&lt;$E472,"AGUARDANDO CORTE",IF($M472&gt;=0,"META ATINGIDA","GAP A RECUPERAR"))))</f>
        <v/>
      </c>
    </row>
    <row r="473">
      <c r="A473" t="inlineStr">
        <is>
          <t>GLOBO AÇOS</t>
        </is>
      </c>
      <c r="B473" t="inlineStr">
        <is>
          <t>PERFILAÇÃO</t>
        </is>
      </c>
      <c r="C473" s="197" t="n">
        <v>46573</v>
      </c>
      <c r="D473" s="197" t="n">
        <v>46577</v>
      </c>
      <c r="E473" s="197" t="n">
        <v>46578</v>
      </c>
      <c r="F473" s="198" t="n">
        <v>19</v>
      </c>
      <c r="G473" s="198" t="n">
        <v>5</v>
      </c>
      <c r="H473">
        <f>F473*G473</f>
        <v/>
      </c>
      <c r="I473" t="n">
        <v>0</v>
      </c>
      <c r="J473">
        <f>IFERROR(H473+I473,"")</f>
        <v/>
      </c>
      <c r="K473">
        <f>IFERROR(J473/G473,"")</f>
        <v/>
      </c>
      <c r="L473">
        <f>IFERROR(SUM(INDEX('CONTROLE PRODUÇÃO POR EMPRESAS'!$H$6:$H$5000,MATCH(C473,'CONTROLE PRODUÇÃO POR EMPRESAS'!$A$6:$A$5000,0)):INDEX('CONTROLE PRODUÇÃO POR EMPRESAS'!$H$6:$H$5000,MATCH(D473,'CONTROLE PRODUÇÃO POR EMPRESAS'!$A$6:$A$5000,0))),0)</f>
        <v/>
      </c>
      <c r="M473">
        <f>IF($B$3&lt;$E473,"",$L473-$J473)</f>
        <v/>
      </c>
      <c r="N473">
        <f>IF($B$3&lt;$C473,"FUTURA",IF($B$3&lt;=$D473,"EM ANDAMENTO",IF($B$3&lt;$E473,"AGUARDANDO CORTE",IF($M473&gt;=0,"META ATINGIDA","GAP A RECUPERAR"))))</f>
        <v/>
      </c>
    </row>
    <row r="474">
      <c r="A474" t="inlineStr">
        <is>
          <t>GLOBO AÇOS</t>
        </is>
      </c>
      <c r="B474" t="inlineStr">
        <is>
          <t>TELHAR</t>
        </is>
      </c>
      <c r="C474" s="197" t="n">
        <v>46573</v>
      </c>
      <c r="D474" s="197" t="n">
        <v>46577</v>
      </c>
      <c r="E474" s="197" t="n">
        <v>46578</v>
      </c>
      <c r="F474" s="198" t="n">
        <v>7</v>
      </c>
      <c r="G474" s="198" t="n">
        <v>5</v>
      </c>
      <c r="H474">
        <f>F474*G474</f>
        <v/>
      </c>
      <c r="I474" t="n">
        <v>0</v>
      </c>
      <c r="J474">
        <f>IFERROR(H474+I474,"")</f>
        <v/>
      </c>
      <c r="K474">
        <f>IFERROR(J474/G474,"")</f>
        <v/>
      </c>
      <c r="L474">
        <f>IFERROR(SUM(INDEX('CONTROLE PRODUÇÃO POR EMPRESAS'!$I$6:$I$5000,MATCH(C474,'CONTROLE PRODUÇÃO POR EMPRESAS'!$A$6:$A$5000,0)):INDEX('CONTROLE PRODUÇÃO POR EMPRESAS'!$I$6:$I$5000,MATCH(D474,'CONTROLE PRODUÇÃO POR EMPRESAS'!$A$6:$A$5000,0))),0)</f>
        <v/>
      </c>
      <c r="M474">
        <f>IF($B$3&lt;$E474,"",$L474-$J474)</f>
        <v/>
      </c>
      <c r="N474">
        <f>IF($B$3&lt;$C474,"FUTURA",IF($B$3&lt;=$D474,"EM ANDAMENTO",IF($B$3&lt;$E474,"AGUARDANDO CORTE",IF($M474&gt;=0,"META ATINGIDA","GAP A RECUPERAR"))))</f>
        <v/>
      </c>
    </row>
    <row r="475">
      <c r="A475" t="inlineStr">
        <is>
          <t>GLOBO AÇOS</t>
        </is>
      </c>
      <c r="B475" t="inlineStr">
        <is>
          <t>FECHAMENTO</t>
        </is>
      </c>
      <c r="C475" s="197" t="n">
        <v>46573</v>
      </c>
      <c r="D475" s="197" t="n">
        <v>46577</v>
      </c>
      <c r="E475" s="197" t="n">
        <v>46578</v>
      </c>
      <c r="F475" s="198" t="n">
        <v>36</v>
      </c>
      <c r="G475" s="198" t="n">
        <v>5</v>
      </c>
      <c r="H475">
        <f>F475*G475</f>
        <v/>
      </c>
      <c r="I475" t="n">
        <v>0</v>
      </c>
      <c r="J475">
        <f>IFERROR(H475+I475,"")</f>
        <v/>
      </c>
      <c r="K475">
        <f>IFERROR(J475/G475,"")</f>
        <v/>
      </c>
      <c r="L475">
        <f>IFERROR(SUM(INDEX('CONTROLE PRODUÇÃO POR EMPRESAS'!$J$6:$J$5000,MATCH(C475,'CONTROLE PRODUÇÃO POR EMPRESAS'!$A$6:$A$5000,0)):INDEX('CONTROLE PRODUÇÃO POR EMPRESAS'!$J$6:$J$5000,MATCH(D475,'CONTROLE PRODUÇÃO POR EMPRESAS'!$A$6:$A$5000,0))),0)</f>
        <v/>
      </c>
      <c r="M475">
        <f>IF($B$3&lt;$E475,"",$L475-$J475)</f>
        <v/>
      </c>
      <c r="N475">
        <f>IF($B$3&lt;$C475,"FUTURA",IF($B$3&lt;=$D475,"EM ANDAMENTO",IF($B$3&lt;$E475,"AGUARDANDO CORTE",IF($M475&gt;=0,"META ATINGIDA","GAP A RECUPERAR"))))</f>
        <v/>
      </c>
    </row>
  </sheetData>
  <autoFilter ref="A16:N600"/>
  <mergeCells count="4">
    <mergeCell ref="C3:N3"/>
    <mergeCell ref="A1:N1"/>
    <mergeCell ref="A2:N2"/>
    <mergeCell ref="A15:N15"/>
  </mergeCells>
  <conditionalFormatting sqref="M15:M320">
    <cfRule type="cellIs" priority="2" operator="lessThan" dxfId="24">
      <formula>0</formula>
    </cfRule>
    <cfRule type="cellIs" priority="3" operator="greaterThanOrEqual" dxfId="23">
      <formula>0</formula>
    </cfRule>
  </conditionalFormatting>
  <conditionalFormatting sqref="N15:N320">
    <cfRule type="expression" priority="4" dxfId="24">
      <formula>$N15="GAP A RECUPERAR"</formula>
    </cfRule>
    <cfRule type="expression" priority="5" dxfId="23">
      <formula>$N15="META ATINGIDA"</formula>
    </cfRule>
  </conditionalFormatting>
  <pageMargins left="0.7" right="0.7" top="0.75" bottom="0.75" header="0.511811023622047" footer="0.511811023622047"/>
  <pageSetup orientation="portrait" paperSize="9" horizontalDpi="300" verticalDpi="300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AC358"/>
  <sheetViews>
    <sheetView topLeftCell="A346" zoomScaleNormal="100" workbookViewId="0">
      <pane ySplit="1" topLeftCell="A347" activePane="bottomLeft" state="frozen"/>
      <selection activeCell="A346" sqref="A346"/>
      <selection pane="bottomLeft" activeCell="E167" sqref="E167"/>
    </sheetView>
  </sheetViews>
  <sheetFormatPr baseColWidth="8" defaultColWidth="8.5546875" defaultRowHeight="14.4"/>
  <cols>
    <col width="13" customWidth="1" min="1" max="1"/>
    <col width="11" customWidth="1" min="2" max="7"/>
    <col width="10" customWidth="1" min="8" max="13"/>
    <col width="12" customWidth="1" min="14" max="19"/>
    <col width="9" customWidth="1" min="20" max="20"/>
  </cols>
  <sheetData>
    <row r="1" ht="30" customHeight="1">
      <c r="A1" s="244" t="inlineStr">
        <is>
          <t>Data</t>
        </is>
      </c>
      <c r="B1" s="244" t="inlineStr">
        <is>
          <t>EJ PRE</t>
        </is>
      </c>
      <c r="C1" s="244" t="inlineStr">
        <is>
          <t>EJ JOIST</t>
        </is>
      </c>
      <c r="D1" s="244" t="inlineStr">
        <is>
          <t>EJ VIGAS</t>
        </is>
      </c>
      <c r="E1" s="244" t="inlineStr">
        <is>
          <t>CMM PRE</t>
        </is>
      </c>
      <c r="F1" s="244" t="inlineStr">
        <is>
          <t>CMM JOIST</t>
        </is>
      </c>
      <c r="G1" s="244" t="inlineStr">
        <is>
          <t>CMM VIGAS</t>
        </is>
      </c>
      <c r="H1" s="244" t="inlineStr">
        <is>
          <t>DU EJ PRE</t>
        </is>
      </c>
      <c r="I1" s="244" t="inlineStr">
        <is>
          <t>DU EJ JOIST</t>
        </is>
      </c>
      <c r="J1" s="244" t="inlineStr">
        <is>
          <t>DU EJ VIGAS</t>
        </is>
      </c>
      <c r="K1" s="244" t="inlineStr">
        <is>
          <t>DU CMM PRE</t>
        </is>
      </c>
      <c r="L1" s="244" t="inlineStr">
        <is>
          <t>DU CMM JOIST</t>
        </is>
      </c>
      <c r="M1" s="244" t="inlineStr">
        <is>
          <t>DU CMM VIGAS</t>
        </is>
      </c>
      <c r="N1" s="244" t="inlineStr">
        <is>
          <t>SEM EJ PRE</t>
        </is>
      </c>
      <c r="O1" s="244" t="inlineStr">
        <is>
          <t>SEM EJ JOIST</t>
        </is>
      </c>
      <c r="P1" s="244" t="inlineStr">
        <is>
          <t>SEM EJ VIGAS</t>
        </is>
      </c>
      <c r="Q1" s="244" t="inlineStr">
        <is>
          <t>SEM CMM PRE</t>
        </is>
      </c>
      <c r="R1" s="244" t="inlineStr">
        <is>
          <t>SEM CMM JOIST</t>
        </is>
      </c>
      <c r="S1" s="244" t="inlineStr">
        <is>
          <t>SEM CMM VIGAS</t>
        </is>
      </c>
      <c r="T1" s="244" t="inlineStr">
        <is>
          <t>Dia Útil</t>
        </is>
      </c>
      <c r="U1" t="inlineStr">
        <is>
          <t>GA PERF</t>
        </is>
      </c>
      <c r="V1" t="inlineStr">
        <is>
          <t>GA TELHAR</t>
        </is>
      </c>
      <c r="W1" t="inlineStr">
        <is>
          <t>GA FECH</t>
        </is>
      </c>
      <c r="X1" t="inlineStr">
        <is>
          <t>DU GA PERF</t>
        </is>
      </c>
      <c r="Y1" t="inlineStr">
        <is>
          <t>DU GA TELHAR</t>
        </is>
      </c>
      <c r="Z1" t="inlineStr">
        <is>
          <t>DU GA FECH</t>
        </is>
      </c>
      <c r="AA1" t="inlineStr">
        <is>
          <t>SEM GA PERF</t>
        </is>
      </c>
      <c r="AB1" t="inlineStr">
        <is>
          <t>SEM GA TELHAR</t>
        </is>
      </c>
      <c r="AC1" t="inlineStr">
        <is>
          <t>SEM GA FECH</t>
        </is>
      </c>
    </row>
    <row r="2">
      <c r="A2" s="317" t="n">
        <v>46223</v>
      </c>
      <c r="B2" s="159">
        <f>SUMIFS('METAS EMPRESAS'!$K$15:$K$320,'METAS EMPRESAS'!$A$15:$A$320,"EJ",'METAS EMPRESAS'!$B$15:$B$320,"PREMONTAGEM",'METAS EMPRESAS'!$C$15:$C$320,$A2-WEEKDAY($A2,2)+1)</f>
        <v/>
      </c>
      <c r="C2" s="159">
        <f>SUMIFS('METAS EMPRESAS'!$K$15:$K$320,'METAS EMPRESAS'!$A$15:$A$320,"EJ",'METAS EMPRESAS'!$B$15:$B$320,"IÇAMENTO JOIST",'METAS EMPRESAS'!$C$15:$C$320,$A2-WEEKDAY($A2,2)+1)</f>
        <v/>
      </c>
      <c r="D2" s="159">
        <f>SUMIFS('METAS EMPRESAS'!$K$15:$K$320,'METAS EMPRESAS'!$A$15:$A$320,"EJ",'METAS EMPRESAS'!$B$15:$B$320,"VIGAS",'METAS EMPRESAS'!$C$15:$C$320,$A2-WEEKDAY($A2,2)+1)</f>
        <v/>
      </c>
      <c r="E2" s="159">
        <f>SUMIFS('METAS EMPRESAS'!$K$15:$K$320,'METAS EMPRESAS'!$A$15:$A$320,"CMM",'METAS EMPRESAS'!$B$15:$B$320,"PREMONTAGEM",'METAS EMPRESAS'!$C$15:$C$320,$A2-WEEKDAY($A2,2)+1)</f>
        <v/>
      </c>
      <c r="F2" s="159">
        <f>SUMIFS('METAS EMPRESAS'!$K$15:$K$320,'METAS EMPRESAS'!$A$15:$A$320,"CMM",'METAS EMPRESAS'!$B$15:$B$320,"IÇAMENTO JOIST",'METAS EMPRESAS'!$C$15:$C$320,$A2-WEEKDAY($A2,2)+1)</f>
        <v/>
      </c>
      <c r="G2" s="159">
        <f>SUMIFS('METAS EMPRESAS'!$K$15:$K$320,'METAS EMPRESAS'!$A$15:$A$320,"CMM",'METAS EMPRESAS'!$B$15:$B$320,"VIGAS",'METAS EMPRESAS'!$C$15:$C$320,$A2-WEEKDAY($A2,2)+1)</f>
        <v/>
      </c>
      <c r="H2" s="159">
        <f>SUMIFS('METAS EMPRESAS'!$G$15:$G$320,'METAS EMPRESAS'!$A$15:$A$320,"EJ",'METAS EMPRESAS'!$B$15:$B$320,"PREMONTAGEM",'METAS EMPRESAS'!$C$15:$C$320,$A2-WEEKDAY($A2,2)+1)</f>
        <v/>
      </c>
      <c r="I2" s="159">
        <f>SUMIFS('METAS EMPRESAS'!$G$15:$G$320,'METAS EMPRESAS'!$A$15:$A$320,"EJ",'METAS EMPRESAS'!$B$15:$B$320,"IÇAMENTO JOIST",'METAS EMPRESAS'!$C$15:$C$320,$A2-WEEKDAY($A2,2)+1)</f>
        <v/>
      </c>
      <c r="J2" s="159">
        <f>SUMIFS('METAS EMPRESAS'!$G$15:$G$320,'METAS EMPRESAS'!$A$15:$A$320,"EJ",'METAS EMPRESAS'!$B$15:$B$320,"VIGAS",'METAS EMPRESAS'!$C$15:$C$320,$A2-WEEKDAY($A2,2)+1)</f>
        <v/>
      </c>
      <c r="K2" s="159">
        <f>SUMIFS('METAS EMPRESAS'!$G$15:$G$320,'METAS EMPRESAS'!$A$15:$A$320,"CMM",'METAS EMPRESAS'!$B$15:$B$320,"PREMONTAGEM",'METAS EMPRESAS'!$C$15:$C$320,$A2-WEEKDAY($A2,2)+1)</f>
        <v/>
      </c>
      <c r="L2" s="159">
        <f>SUMIFS('METAS EMPRESAS'!$G$15:$G$320,'METAS EMPRESAS'!$A$15:$A$320,"CMM",'METAS EMPRESAS'!$B$15:$B$320,"IÇAMENTO JOIST",'METAS EMPRESAS'!$C$15:$C$320,$A2-WEEKDAY($A2,2)+1)</f>
        <v/>
      </c>
      <c r="M2" s="159">
        <f>SUMIFS('METAS EMPRESAS'!$G$15:$G$320,'METAS EMPRESAS'!$A$15:$A$320,"CMM",'METAS EMPRESAS'!$B$15:$B$320,"VIGAS",'METAS EMPRESAS'!$C$15:$C$320,$A2-WEEKDAY($A2,2)+1)</f>
        <v/>
      </c>
      <c r="N2" s="159">
        <f>SUMIFS('METAS EMPRESAS'!$J$15:$J$320,'METAS EMPRESAS'!$A$15:$A$320,"EJ",'METAS EMPRESAS'!$B$15:$B$320,"PREMONTAGEM",'METAS EMPRESAS'!$C$15:$C$320,$A2-WEEKDAY($A2,2)+1)</f>
        <v/>
      </c>
      <c r="O2" s="159">
        <f>SUMIFS('METAS EMPRESAS'!$J$15:$J$320,'METAS EMPRESAS'!$A$15:$A$320,"EJ",'METAS EMPRESAS'!$B$15:$B$320,"IÇAMENTO JOIST",'METAS EMPRESAS'!$C$15:$C$320,$A2-WEEKDAY($A2,2)+1)</f>
        <v/>
      </c>
      <c r="P2" s="159">
        <f>SUMIFS('METAS EMPRESAS'!$J$15:$J$320,'METAS EMPRESAS'!$A$15:$A$320,"EJ",'METAS EMPRESAS'!$B$15:$B$320,"VIGAS",'METAS EMPRESAS'!$C$15:$C$320,$A2-WEEKDAY($A2,2)+1)</f>
        <v/>
      </c>
      <c r="Q2" s="159">
        <f>SUMIFS('METAS EMPRESAS'!$J$15:$J$320,'METAS EMPRESAS'!$A$15:$A$320,"CMM",'METAS EMPRESAS'!$B$15:$B$320,"PREMONTAGEM",'METAS EMPRESAS'!$C$15:$C$320,$A2-WEEKDAY($A2,2)+1)</f>
        <v/>
      </c>
      <c r="R2" s="159">
        <f>SUMIFS('METAS EMPRESAS'!$J$15:$J$320,'METAS EMPRESAS'!$A$15:$A$320,"CMM",'METAS EMPRESAS'!$B$15:$B$320,"IÇAMENTO JOIST",'METAS EMPRESAS'!$C$15:$C$320,$A2-WEEKDAY($A2,2)+1)</f>
        <v/>
      </c>
      <c r="S2" s="159">
        <f>SUMIFS('METAS EMPRESAS'!$J$15:$J$320,'METAS EMPRESAS'!$A$15:$A$320,"CMM",'METAS EMPRESAS'!$B$15:$B$320,"VIGAS",'METAS EMPRESAS'!$C$15:$C$320,$A2-WEEKDAY($A2,2)+1)</f>
        <v/>
      </c>
      <c r="T2">
        <f>--(WEEKDAY(A2,2)&lt;=5)</f>
        <v/>
      </c>
      <c r="U2" t="n">
        <v>19</v>
      </c>
      <c r="V2" t="n">
        <v>7</v>
      </c>
      <c r="W2" t="n">
        <v>0</v>
      </c>
      <c r="X2" t="n">
        <v>5</v>
      </c>
      <c r="Y2" t="n">
        <v>5</v>
      </c>
      <c r="Z2" t="n">
        <v>5</v>
      </c>
      <c r="AA2" t="n">
        <v>95</v>
      </c>
      <c r="AB2" t="n">
        <v>35</v>
      </c>
      <c r="AC2" t="n">
        <v>0</v>
      </c>
    </row>
    <row r="3">
      <c r="A3" s="317" t="n">
        <v>46224</v>
      </c>
      <c r="B3" s="159">
        <f>SUMIFS('METAS EMPRESAS'!$K$15:$K$320,'METAS EMPRESAS'!$A$15:$A$320,"EJ",'METAS EMPRESAS'!$B$15:$B$320,"PREMONTAGEM",'METAS EMPRESAS'!$C$15:$C$320,$A3-WEEKDAY($A3,2)+1)</f>
        <v/>
      </c>
      <c r="C3" s="159">
        <f>SUMIFS('METAS EMPRESAS'!$K$15:$K$320,'METAS EMPRESAS'!$A$15:$A$320,"EJ",'METAS EMPRESAS'!$B$15:$B$320,"IÇAMENTO JOIST",'METAS EMPRESAS'!$C$15:$C$320,$A3-WEEKDAY($A3,2)+1)</f>
        <v/>
      </c>
      <c r="D3" s="159">
        <f>SUMIFS('METAS EMPRESAS'!$K$15:$K$320,'METAS EMPRESAS'!$A$15:$A$320,"EJ",'METAS EMPRESAS'!$B$15:$B$320,"VIGAS",'METAS EMPRESAS'!$C$15:$C$320,$A3-WEEKDAY($A3,2)+1)</f>
        <v/>
      </c>
      <c r="E3" s="159">
        <f>SUMIFS('METAS EMPRESAS'!$K$15:$K$320,'METAS EMPRESAS'!$A$15:$A$320,"CMM",'METAS EMPRESAS'!$B$15:$B$320,"PREMONTAGEM",'METAS EMPRESAS'!$C$15:$C$320,$A3-WEEKDAY($A3,2)+1)</f>
        <v/>
      </c>
      <c r="F3" s="159">
        <f>SUMIFS('METAS EMPRESAS'!$K$15:$K$320,'METAS EMPRESAS'!$A$15:$A$320,"CMM",'METAS EMPRESAS'!$B$15:$B$320,"IÇAMENTO JOIST",'METAS EMPRESAS'!$C$15:$C$320,$A3-WEEKDAY($A3,2)+1)</f>
        <v/>
      </c>
      <c r="G3" s="159">
        <f>SUMIFS('METAS EMPRESAS'!$K$15:$K$320,'METAS EMPRESAS'!$A$15:$A$320,"CMM",'METAS EMPRESAS'!$B$15:$B$320,"VIGAS",'METAS EMPRESAS'!$C$15:$C$320,$A3-WEEKDAY($A3,2)+1)</f>
        <v/>
      </c>
      <c r="H3" s="159">
        <f>SUMIFS('METAS EMPRESAS'!$G$15:$G$320,'METAS EMPRESAS'!$A$15:$A$320,"EJ",'METAS EMPRESAS'!$B$15:$B$320,"PREMONTAGEM",'METAS EMPRESAS'!$C$15:$C$320,$A3-WEEKDAY($A3,2)+1)</f>
        <v/>
      </c>
      <c r="I3" s="159">
        <f>SUMIFS('METAS EMPRESAS'!$G$15:$G$320,'METAS EMPRESAS'!$A$15:$A$320,"EJ",'METAS EMPRESAS'!$B$15:$B$320,"IÇAMENTO JOIST",'METAS EMPRESAS'!$C$15:$C$320,$A3-WEEKDAY($A3,2)+1)</f>
        <v/>
      </c>
      <c r="J3" s="159">
        <f>SUMIFS('METAS EMPRESAS'!$G$15:$G$320,'METAS EMPRESAS'!$A$15:$A$320,"EJ",'METAS EMPRESAS'!$B$15:$B$320,"VIGAS",'METAS EMPRESAS'!$C$15:$C$320,$A3-WEEKDAY($A3,2)+1)</f>
        <v/>
      </c>
      <c r="K3" s="159">
        <f>SUMIFS('METAS EMPRESAS'!$G$15:$G$320,'METAS EMPRESAS'!$A$15:$A$320,"CMM",'METAS EMPRESAS'!$B$15:$B$320,"PREMONTAGEM",'METAS EMPRESAS'!$C$15:$C$320,$A3-WEEKDAY($A3,2)+1)</f>
        <v/>
      </c>
      <c r="L3" s="159">
        <f>SUMIFS('METAS EMPRESAS'!$G$15:$G$320,'METAS EMPRESAS'!$A$15:$A$320,"CMM",'METAS EMPRESAS'!$B$15:$B$320,"IÇAMENTO JOIST",'METAS EMPRESAS'!$C$15:$C$320,$A3-WEEKDAY($A3,2)+1)</f>
        <v/>
      </c>
      <c r="M3" s="159">
        <f>SUMIFS('METAS EMPRESAS'!$G$15:$G$320,'METAS EMPRESAS'!$A$15:$A$320,"CMM",'METAS EMPRESAS'!$B$15:$B$320,"VIGAS",'METAS EMPRESAS'!$C$15:$C$320,$A3-WEEKDAY($A3,2)+1)</f>
        <v/>
      </c>
      <c r="N3" s="159">
        <f>SUMIFS('METAS EMPRESAS'!$J$15:$J$320,'METAS EMPRESAS'!$A$15:$A$320,"EJ",'METAS EMPRESAS'!$B$15:$B$320,"PREMONTAGEM",'METAS EMPRESAS'!$C$15:$C$320,$A3-WEEKDAY($A3,2)+1)</f>
        <v/>
      </c>
      <c r="O3" s="159">
        <f>SUMIFS('METAS EMPRESAS'!$J$15:$J$320,'METAS EMPRESAS'!$A$15:$A$320,"EJ",'METAS EMPRESAS'!$B$15:$B$320,"IÇAMENTO JOIST",'METAS EMPRESAS'!$C$15:$C$320,$A3-WEEKDAY($A3,2)+1)</f>
        <v/>
      </c>
      <c r="P3" s="159">
        <f>SUMIFS('METAS EMPRESAS'!$J$15:$J$320,'METAS EMPRESAS'!$A$15:$A$320,"EJ",'METAS EMPRESAS'!$B$15:$B$320,"VIGAS",'METAS EMPRESAS'!$C$15:$C$320,$A3-WEEKDAY($A3,2)+1)</f>
        <v/>
      </c>
      <c r="Q3" s="159">
        <f>SUMIFS('METAS EMPRESAS'!$J$15:$J$320,'METAS EMPRESAS'!$A$15:$A$320,"CMM",'METAS EMPRESAS'!$B$15:$B$320,"PREMONTAGEM",'METAS EMPRESAS'!$C$15:$C$320,$A3-WEEKDAY($A3,2)+1)</f>
        <v/>
      </c>
      <c r="R3" s="159">
        <f>SUMIFS('METAS EMPRESAS'!$J$15:$J$320,'METAS EMPRESAS'!$A$15:$A$320,"CMM",'METAS EMPRESAS'!$B$15:$B$320,"IÇAMENTO JOIST",'METAS EMPRESAS'!$C$15:$C$320,$A3-WEEKDAY($A3,2)+1)</f>
        <v/>
      </c>
      <c r="S3" s="159">
        <f>SUMIFS('METAS EMPRESAS'!$J$15:$J$320,'METAS EMPRESAS'!$A$15:$A$320,"CMM",'METAS EMPRESAS'!$B$15:$B$320,"VIGAS",'METAS EMPRESAS'!$C$15:$C$320,$A3-WEEKDAY($A3,2)+1)</f>
        <v/>
      </c>
      <c r="T3">
        <f>--(WEEKDAY(A3,2)&lt;=5)</f>
        <v/>
      </c>
      <c r="U3" t="n">
        <v>19</v>
      </c>
      <c r="V3" t="n">
        <v>7</v>
      </c>
      <c r="W3" t="n">
        <v>0</v>
      </c>
      <c r="X3" t="n">
        <v>5</v>
      </c>
      <c r="Y3" t="n">
        <v>5</v>
      </c>
      <c r="Z3" t="n">
        <v>5</v>
      </c>
      <c r="AA3" t="n">
        <v>95</v>
      </c>
      <c r="AB3" t="n">
        <v>35</v>
      </c>
      <c r="AC3" t="n">
        <v>0</v>
      </c>
    </row>
    <row r="4">
      <c r="A4" s="317" t="n">
        <v>46225</v>
      </c>
      <c r="B4" s="159">
        <f>SUMIFS('METAS EMPRESAS'!$K$15:$K$320,'METAS EMPRESAS'!$A$15:$A$320,"EJ",'METAS EMPRESAS'!$B$15:$B$320,"PREMONTAGEM",'METAS EMPRESAS'!$C$15:$C$320,$A4-WEEKDAY($A4,2)+1)</f>
        <v/>
      </c>
      <c r="C4" s="159">
        <f>SUMIFS('METAS EMPRESAS'!$K$15:$K$320,'METAS EMPRESAS'!$A$15:$A$320,"EJ",'METAS EMPRESAS'!$B$15:$B$320,"IÇAMENTO JOIST",'METAS EMPRESAS'!$C$15:$C$320,$A4-WEEKDAY($A4,2)+1)</f>
        <v/>
      </c>
      <c r="D4" s="159">
        <f>SUMIFS('METAS EMPRESAS'!$K$15:$K$320,'METAS EMPRESAS'!$A$15:$A$320,"EJ",'METAS EMPRESAS'!$B$15:$B$320,"VIGAS",'METAS EMPRESAS'!$C$15:$C$320,$A4-WEEKDAY($A4,2)+1)</f>
        <v/>
      </c>
      <c r="E4" s="159">
        <f>SUMIFS('METAS EMPRESAS'!$K$15:$K$320,'METAS EMPRESAS'!$A$15:$A$320,"CMM",'METAS EMPRESAS'!$B$15:$B$320,"PREMONTAGEM",'METAS EMPRESAS'!$C$15:$C$320,$A4-WEEKDAY($A4,2)+1)</f>
        <v/>
      </c>
      <c r="F4" s="159">
        <f>SUMIFS('METAS EMPRESAS'!$K$15:$K$320,'METAS EMPRESAS'!$A$15:$A$320,"CMM",'METAS EMPRESAS'!$B$15:$B$320,"IÇAMENTO JOIST",'METAS EMPRESAS'!$C$15:$C$320,$A4-WEEKDAY($A4,2)+1)</f>
        <v/>
      </c>
      <c r="G4" s="159">
        <f>SUMIFS('METAS EMPRESAS'!$K$15:$K$320,'METAS EMPRESAS'!$A$15:$A$320,"CMM",'METAS EMPRESAS'!$B$15:$B$320,"VIGAS",'METAS EMPRESAS'!$C$15:$C$320,$A4-WEEKDAY($A4,2)+1)</f>
        <v/>
      </c>
      <c r="H4" s="159">
        <f>SUMIFS('METAS EMPRESAS'!$G$15:$G$320,'METAS EMPRESAS'!$A$15:$A$320,"EJ",'METAS EMPRESAS'!$B$15:$B$320,"PREMONTAGEM",'METAS EMPRESAS'!$C$15:$C$320,$A4-WEEKDAY($A4,2)+1)</f>
        <v/>
      </c>
      <c r="I4" s="159">
        <f>SUMIFS('METAS EMPRESAS'!$G$15:$G$320,'METAS EMPRESAS'!$A$15:$A$320,"EJ",'METAS EMPRESAS'!$B$15:$B$320,"IÇAMENTO JOIST",'METAS EMPRESAS'!$C$15:$C$320,$A4-WEEKDAY($A4,2)+1)</f>
        <v/>
      </c>
      <c r="J4" s="159">
        <f>SUMIFS('METAS EMPRESAS'!$G$15:$G$320,'METAS EMPRESAS'!$A$15:$A$320,"EJ",'METAS EMPRESAS'!$B$15:$B$320,"VIGAS",'METAS EMPRESAS'!$C$15:$C$320,$A4-WEEKDAY($A4,2)+1)</f>
        <v/>
      </c>
      <c r="K4" s="159">
        <f>SUMIFS('METAS EMPRESAS'!$G$15:$G$320,'METAS EMPRESAS'!$A$15:$A$320,"CMM",'METAS EMPRESAS'!$B$15:$B$320,"PREMONTAGEM",'METAS EMPRESAS'!$C$15:$C$320,$A4-WEEKDAY($A4,2)+1)</f>
        <v/>
      </c>
      <c r="L4" s="159">
        <f>SUMIFS('METAS EMPRESAS'!$G$15:$G$320,'METAS EMPRESAS'!$A$15:$A$320,"CMM",'METAS EMPRESAS'!$B$15:$B$320,"IÇAMENTO JOIST",'METAS EMPRESAS'!$C$15:$C$320,$A4-WEEKDAY($A4,2)+1)</f>
        <v/>
      </c>
      <c r="M4" s="159">
        <f>SUMIFS('METAS EMPRESAS'!$G$15:$G$320,'METAS EMPRESAS'!$A$15:$A$320,"CMM",'METAS EMPRESAS'!$B$15:$B$320,"VIGAS",'METAS EMPRESAS'!$C$15:$C$320,$A4-WEEKDAY($A4,2)+1)</f>
        <v/>
      </c>
      <c r="N4" s="159">
        <f>SUMIFS('METAS EMPRESAS'!$J$15:$J$320,'METAS EMPRESAS'!$A$15:$A$320,"EJ",'METAS EMPRESAS'!$B$15:$B$320,"PREMONTAGEM",'METAS EMPRESAS'!$C$15:$C$320,$A4-WEEKDAY($A4,2)+1)</f>
        <v/>
      </c>
      <c r="O4" s="159">
        <f>SUMIFS('METAS EMPRESAS'!$J$15:$J$320,'METAS EMPRESAS'!$A$15:$A$320,"EJ",'METAS EMPRESAS'!$B$15:$B$320,"IÇAMENTO JOIST",'METAS EMPRESAS'!$C$15:$C$320,$A4-WEEKDAY($A4,2)+1)</f>
        <v/>
      </c>
      <c r="P4" s="159">
        <f>SUMIFS('METAS EMPRESAS'!$J$15:$J$320,'METAS EMPRESAS'!$A$15:$A$320,"EJ",'METAS EMPRESAS'!$B$15:$B$320,"VIGAS",'METAS EMPRESAS'!$C$15:$C$320,$A4-WEEKDAY($A4,2)+1)</f>
        <v/>
      </c>
      <c r="Q4" s="159">
        <f>SUMIFS('METAS EMPRESAS'!$J$15:$J$320,'METAS EMPRESAS'!$A$15:$A$320,"CMM",'METAS EMPRESAS'!$B$15:$B$320,"PREMONTAGEM",'METAS EMPRESAS'!$C$15:$C$320,$A4-WEEKDAY($A4,2)+1)</f>
        <v/>
      </c>
      <c r="R4" s="159">
        <f>SUMIFS('METAS EMPRESAS'!$J$15:$J$320,'METAS EMPRESAS'!$A$15:$A$320,"CMM",'METAS EMPRESAS'!$B$15:$B$320,"IÇAMENTO JOIST",'METAS EMPRESAS'!$C$15:$C$320,$A4-WEEKDAY($A4,2)+1)</f>
        <v/>
      </c>
      <c r="S4" s="159">
        <f>SUMIFS('METAS EMPRESAS'!$J$15:$J$320,'METAS EMPRESAS'!$A$15:$A$320,"CMM",'METAS EMPRESAS'!$B$15:$B$320,"VIGAS",'METAS EMPRESAS'!$C$15:$C$320,$A4-WEEKDAY($A4,2)+1)</f>
        <v/>
      </c>
      <c r="T4">
        <f>--(WEEKDAY(A4,2)&lt;=5)</f>
        <v/>
      </c>
      <c r="U4" t="n">
        <v>19</v>
      </c>
      <c r="V4" t="n">
        <v>7</v>
      </c>
      <c r="W4" t="n">
        <v>0</v>
      </c>
      <c r="X4" t="n">
        <v>5</v>
      </c>
      <c r="Y4" t="n">
        <v>5</v>
      </c>
      <c r="Z4" t="n">
        <v>5</v>
      </c>
      <c r="AA4" t="n">
        <v>95</v>
      </c>
      <c r="AB4" t="n">
        <v>35</v>
      </c>
      <c r="AC4" t="n">
        <v>0</v>
      </c>
    </row>
    <row r="5">
      <c r="A5" s="317" t="n">
        <v>46226</v>
      </c>
      <c r="B5" s="159">
        <f>SUMIFS('METAS EMPRESAS'!$K$15:$K$320,'METAS EMPRESAS'!$A$15:$A$320,"EJ",'METAS EMPRESAS'!$B$15:$B$320,"PREMONTAGEM",'METAS EMPRESAS'!$C$15:$C$320,$A5-WEEKDAY($A5,2)+1)</f>
        <v/>
      </c>
      <c r="C5" s="159">
        <f>SUMIFS('METAS EMPRESAS'!$K$15:$K$320,'METAS EMPRESAS'!$A$15:$A$320,"EJ",'METAS EMPRESAS'!$B$15:$B$320,"IÇAMENTO JOIST",'METAS EMPRESAS'!$C$15:$C$320,$A5-WEEKDAY($A5,2)+1)</f>
        <v/>
      </c>
      <c r="D5" s="159">
        <f>SUMIFS('METAS EMPRESAS'!$K$15:$K$320,'METAS EMPRESAS'!$A$15:$A$320,"EJ",'METAS EMPRESAS'!$B$15:$B$320,"VIGAS",'METAS EMPRESAS'!$C$15:$C$320,$A5-WEEKDAY($A5,2)+1)</f>
        <v/>
      </c>
      <c r="E5" s="159">
        <f>SUMIFS('METAS EMPRESAS'!$K$15:$K$320,'METAS EMPRESAS'!$A$15:$A$320,"CMM",'METAS EMPRESAS'!$B$15:$B$320,"PREMONTAGEM",'METAS EMPRESAS'!$C$15:$C$320,$A5-WEEKDAY($A5,2)+1)</f>
        <v/>
      </c>
      <c r="F5" s="159">
        <f>SUMIFS('METAS EMPRESAS'!$K$15:$K$320,'METAS EMPRESAS'!$A$15:$A$320,"CMM",'METAS EMPRESAS'!$B$15:$B$320,"IÇAMENTO JOIST",'METAS EMPRESAS'!$C$15:$C$320,$A5-WEEKDAY($A5,2)+1)</f>
        <v/>
      </c>
      <c r="G5" s="159">
        <f>SUMIFS('METAS EMPRESAS'!$K$15:$K$320,'METAS EMPRESAS'!$A$15:$A$320,"CMM",'METAS EMPRESAS'!$B$15:$B$320,"VIGAS",'METAS EMPRESAS'!$C$15:$C$320,$A5-WEEKDAY($A5,2)+1)</f>
        <v/>
      </c>
      <c r="H5" s="159">
        <f>SUMIFS('METAS EMPRESAS'!$G$15:$G$320,'METAS EMPRESAS'!$A$15:$A$320,"EJ",'METAS EMPRESAS'!$B$15:$B$320,"PREMONTAGEM",'METAS EMPRESAS'!$C$15:$C$320,$A5-WEEKDAY($A5,2)+1)</f>
        <v/>
      </c>
      <c r="I5" s="159">
        <f>SUMIFS('METAS EMPRESAS'!$G$15:$G$320,'METAS EMPRESAS'!$A$15:$A$320,"EJ",'METAS EMPRESAS'!$B$15:$B$320,"IÇAMENTO JOIST",'METAS EMPRESAS'!$C$15:$C$320,$A5-WEEKDAY($A5,2)+1)</f>
        <v/>
      </c>
      <c r="J5" s="159">
        <f>SUMIFS('METAS EMPRESAS'!$G$15:$G$320,'METAS EMPRESAS'!$A$15:$A$320,"EJ",'METAS EMPRESAS'!$B$15:$B$320,"VIGAS",'METAS EMPRESAS'!$C$15:$C$320,$A5-WEEKDAY($A5,2)+1)</f>
        <v/>
      </c>
      <c r="K5" s="159">
        <f>SUMIFS('METAS EMPRESAS'!$G$15:$G$320,'METAS EMPRESAS'!$A$15:$A$320,"CMM",'METAS EMPRESAS'!$B$15:$B$320,"PREMONTAGEM",'METAS EMPRESAS'!$C$15:$C$320,$A5-WEEKDAY($A5,2)+1)</f>
        <v/>
      </c>
      <c r="L5" s="159">
        <f>SUMIFS('METAS EMPRESAS'!$G$15:$G$320,'METAS EMPRESAS'!$A$15:$A$320,"CMM",'METAS EMPRESAS'!$B$15:$B$320,"IÇAMENTO JOIST",'METAS EMPRESAS'!$C$15:$C$320,$A5-WEEKDAY($A5,2)+1)</f>
        <v/>
      </c>
      <c r="M5" s="159">
        <f>SUMIFS('METAS EMPRESAS'!$G$15:$G$320,'METAS EMPRESAS'!$A$15:$A$320,"CMM",'METAS EMPRESAS'!$B$15:$B$320,"VIGAS",'METAS EMPRESAS'!$C$15:$C$320,$A5-WEEKDAY($A5,2)+1)</f>
        <v/>
      </c>
      <c r="N5" s="159">
        <f>SUMIFS('METAS EMPRESAS'!$J$15:$J$320,'METAS EMPRESAS'!$A$15:$A$320,"EJ",'METAS EMPRESAS'!$B$15:$B$320,"PREMONTAGEM",'METAS EMPRESAS'!$C$15:$C$320,$A5-WEEKDAY($A5,2)+1)</f>
        <v/>
      </c>
      <c r="O5" s="159">
        <f>SUMIFS('METAS EMPRESAS'!$J$15:$J$320,'METAS EMPRESAS'!$A$15:$A$320,"EJ",'METAS EMPRESAS'!$B$15:$B$320,"IÇAMENTO JOIST",'METAS EMPRESAS'!$C$15:$C$320,$A5-WEEKDAY($A5,2)+1)</f>
        <v/>
      </c>
      <c r="P5" s="159">
        <f>SUMIFS('METAS EMPRESAS'!$J$15:$J$320,'METAS EMPRESAS'!$A$15:$A$320,"EJ",'METAS EMPRESAS'!$B$15:$B$320,"VIGAS",'METAS EMPRESAS'!$C$15:$C$320,$A5-WEEKDAY($A5,2)+1)</f>
        <v/>
      </c>
      <c r="Q5" s="159">
        <f>SUMIFS('METAS EMPRESAS'!$J$15:$J$320,'METAS EMPRESAS'!$A$15:$A$320,"CMM",'METAS EMPRESAS'!$B$15:$B$320,"PREMONTAGEM",'METAS EMPRESAS'!$C$15:$C$320,$A5-WEEKDAY($A5,2)+1)</f>
        <v/>
      </c>
      <c r="R5" s="159">
        <f>SUMIFS('METAS EMPRESAS'!$J$15:$J$320,'METAS EMPRESAS'!$A$15:$A$320,"CMM",'METAS EMPRESAS'!$B$15:$B$320,"IÇAMENTO JOIST",'METAS EMPRESAS'!$C$15:$C$320,$A5-WEEKDAY($A5,2)+1)</f>
        <v/>
      </c>
      <c r="S5" s="159">
        <f>SUMIFS('METAS EMPRESAS'!$J$15:$J$320,'METAS EMPRESAS'!$A$15:$A$320,"CMM",'METAS EMPRESAS'!$B$15:$B$320,"VIGAS",'METAS EMPRESAS'!$C$15:$C$320,$A5-WEEKDAY($A5,2)+1)</f>
        <v/>
      </c>
      <c r="T5">
        <f>--(WEEKDAY(A5,2)&lt;=5)</f>
        <v/>
      </c>
      <c r="U5" t="n">
        <v>19</v>
      </c>
      <c r="V5" t="n">
        <v>7</v>
      </c>
      <c r="W5" t="n">
        <v>0</v>
      </c>
      <c r="X5" t="n">
        <v>5</v>
      </c>
      <c r="Y5" t="n">
        <v>5</v>
      </c>
      <c r="Z5" t="n">
        <v>5</v>
      </c>
      <c r="AA5" t="n">
        <v>95</v>
      </c>
      <c r="AB5" t="n">
        <v>35</v>
      </c>
      <c r="AC5" t="n">
        <v>0</v>
      </c>
    </row>
    <row r="6">
      <c r="A6" s="317" t="n">
        <v>46227</v>
      </c>
      <c r="B6" s="159">
        <f>SUMIFS('METAS EMPRESAS'!$K$15:$K$320,'METAS EMPRESAS'!$A$15:$A$320,"EJ",'METAS EMPRESAS'!$B$15:$B$320,"PREMONTAGEM",'METAS EMPRESAS'!$C$15:$C$320,$A6-WEEKDAY($A6,2)+1)</f>
        <v/>
      </c>
      <c r="C6" s="159">
        <f>SUMIFS('METAS EMPRESAS'!$K$15:$K$320,'METAS EMPRESAS'!$A$15:$A$320,"EJ",'METAS EMPRESAS'!$B$15:$B$320,"IÇAMENTO JOIST",'METAS EMPRESAS'!$C$15:$C$320,$A6-WEEKDAY($A6,2)+1)</f>
        <v/>
      </c>
      <c r="D6" s="159">
        <f>SUMIFS('METAS EMPRESAS'!$K$15:$K$320,'METAS EMPRESAS'!$A$15:$A$320,"EJ",'METAS EMPRESAS'!$B$15:$B$320,"VIGAS",'METAS EMPRESAS'!$C$15:$C$320,$A6-WEEKDAY($A6,2)+1)</f>
        <v/>
      </c>
      <c r="E6" s="159">
        <f>SUMIFS('METAS EMPRESAS'!$K$15:$K$320,'METAS EMPRESAS'!$A$15:$A$320,"CMM",'METAS EMPRESAS'!$B$15:$B$320,"PREMONTAGEM",'METAS EMPRESAS'!$C$15:$C$320,$A6-WEEKDAY($A6,2)+1)</f>
        <v/>
      </c>
      <c r="F6" s="159">
        <f>SUMIFS('METAS EMPRESAS'!$K$15:$K$320,'METAS EMPRESAS'!$A$15:$A$320,"CMM",'METAS EMPRESAS'!$B$15:$B$320,"IÇAMENTO JOIST",'METAS EMPRESAS'!$C$15:$C$320,$A6-WEEKDAY($A6,2)+1)</f>
        <v/>
      </c>
      <c r="G6" s="159">
        <f>SUMIFS('METAS EMPRESAS'!$K$15:$K$320,'METAS EMPRESAS'!$A$15:$A$320,"CMM",'METAS EMPRESAS'!$B$15:$B$320,"VIGAS",'METAS EMPRESAS'!$C$15:$C$320,$A6-WEEKDAY($A6,2)+1)</f>
        <v/>
      </c>
      <c r="H6" s="159">
        <f>SUMIFS('METAS EMPRESAS'!$G$15:$G$320,'METAS EMPRESAS'!$A$15:$A$320,"EJ",'METAS EMPRESAS'!$B$15:$B$320,"PREMONTAGEM",'METAS EMPRESAS'!$C$15:$C$320,$A6-WEEKDAY($A6,2)+1)</f>
        <v/>
      </c>
      <c r="I6" s="159">
        <f>SUMIFS('METAS EMPRESAS'!$G$15:$G$320,'METAS EMPRESAS'!$A$15:$A$320,"EJ",'METAS EMPRESAS'!$B$15:$B$320,"IÇAMENTO JOIST",'METAS EMPRESAS'!$C$15:$C$320,$A6-WEEKDAY($A6,2)+1)</f>
        <v/>
      </c>
      <c r="J6" s="159">
        <f>SUMIFS('METAS EMPRESAS'!$G$15:$G$320,'METAS EMPRESAS'!$A$15:$A$320,"EJ",'METAS EMPRESAS'!$B$15:$B$320,"VIGAS",'METAS EMPRESAS'!$C$15:$C$320,$A6-WEEKDAY($A6,2)+1)</f>
        <v/>
      </c>
      <c r="K6" s="159">
        <f>SUMIFS('METAS EMPRESAS'!$G$15:$G$320,'METAS EMPRESAS'!$A$15:$A$320,"CMM",'METAS EMPRESAS'!$B$15:$B$320,"PREMONTAGEM",'METAS EMPRESAS'!$C$15:$C$320,$A6-WEEKDAY($A6,2)+1)</f>
        <v/>
      </c>
      <c r="L6" s="159">
        <f>SUMIFS('METAS EMPRESAS'!$G$15:$G$320,'METAS EMPRESAS'!$A$15:$A$320,"CMM",'METAS EMPRESAS'!$B$15:$B$320,"IÇAMENTO JOIST",'METAS EMPRESAS'!$C$15:$C$320,$A6-WEEKDAY($A6,2)+1)</f>
        <v/>
      </c>
      <c r="M6" s="159">
        <f>SUMIFS('METAS EMPRESAS'!$G$15:$G$320,'METAS EMPRESAS'!$A$15:$A$320,"CMM",'METAS EMPRESAS'!$B$15:$B$320,"VIGAS",'METAS EMPRESAS'!$C$15:$C$320,$A6-WEEKDAY($A6,2)+1)</f>
        <v/>
      </c>
      <c r="N6" s="159">
        <f>SUMIFS('METAS EMPRESAS'!$J$15:$J$320,'METAS EMPRESAS'!$A$15:$A$320,"EJ",'METAS EMPRESAS'!$B$15:$B$320,"PREMONTAGEM",'METAS EMPRESAS'!$C$15:$C$320,$A6-WEEKDAY($A6,2)+1)</f>
        <v/>
      </c>
      <c r="O6" s="159">
        <f>SUMIFS('METAS EMPRESAS'!$J$15:$J$320,'METAS EMPRESAS'!$A$15:$A$320,"EJ",'METAS EMPRESAS'!$B$15:$B$320,"IÇAMENTO JOIST",'METAS EMPRESAS'!$C$15:$C$320,$A6-WEEKDAY($A6,2)+1)</f>
        <v/>
      </c>
      <c r="P6" s="159">
        <f>SUMIFS('METAS EMPRESAS'!$J$15:$J$320,'METAS EMPRESAS'!$A$15:$A$320,"EJ",'METAS EMPRESAS'!$B$15:$B$320,"VIGAS",'METAS EMPRESAS'!$C$15:$C$320,$A6-WEEKDAY($A6,2)+1)</f>
        <v/>
      </c>
      <c r="Q6" s="159">
        <f>SUMIFS('METAS EMPRESAS'!$J$15:$J$320,'METAS EMPRESAS'!$A$15:$A$320,"CMM",'METAS EMPRESAS'!$B$15:$B$320,"PREMONTAGEM",'METAS EMPRESAS'!$C$15:$C$320,$A6-WEEKDAY($A6,2)+1)</f>
        <v/>
      </c>
      <c r="R6" s="159">
        <f>SUMIFS('METAS EMPRESAS'!$J$15:$J$320,'METAS EMPRESAS'!$A$15:$A$320,"CMM",'METAS EMPRESAS'!$B$15:$B$320,"IÇAMENTO JOIST",'METAS EMPRESAS'!$C$15:$C$320,$A6-WEEKDAY($A6,2)+1)</f>
        <v/>
      </c>
      <c r="S6" s="159">
        <f>SUMIFS('METAS EMPRESAS'!$J$15:$J$320,'METAS EMPRESAS'!$A$15:$A$320,"CMM",'METAS EMPRESAS'!$B$15:$B$320,"VIGAS",'METAS EMPRESAS'!$C$15:$C$320,$A6-WEEKDAY($A6,2)+1)</f>
        <v/>
      </c>
      <c r="T6">
        <f>--(WEEKDAY(A6,2)&lt;=5)</f>
        <v/>
      </c>
      <c r="U6" t="n">
        <v>19</v>
      </c>
      <c r="V6" t="n">
        <v>7</v>
      </c>
      <c r="W6" t="n">
        <v>0</v>
      </c>
      <c r="X6" t="n">
        <v>5</v>
      </c>
      <c r="Y6" t="n">
        <v>5</v>
      </c>
      <c r="Z6" t="n">
        <v>5</v>
      </c>
      <c r="AA6" t="n">
        <v>95</v>
      </c>
      <c r="AB6" t="n">
        <v>35</v>
      </c>
      <c r="AC6" t="n">
        <v>0</v>
      </c>
    </row>
    <row r="7">
      <c r="A7" s="317" t="n">
        <v>46228</v>
      </c>
      <c r="B7" s="159">
        <f>SUMIFS('METAS EMPRESAS'!$K$15:$K$320,'METAS EMPRESAS'!$A$15:$A$320,"EJ",'METAS EMPRESAS'!$B$15:$B$320,"PREMONTAGEM",'METAS EMPRESAS'!$C$15:$C$320,$A7-WEEKDAY($A7,2)+1)</f>
        <v/>
      </c>
      <c r="C7" s="159">
        <f>SUMIFS('METAS EMPRESAS'!$K$15:$K$320,'METAS EMPRESAS'!$A$15:$A$320,"EJ",'METAS EMPRESAS'!$B$15:$B$320,"IÇAMENTO JOIST",'METAS EMPRESAS'!$C$15:$C$320,$A7-WEEKDAY($A7,2)+1)</f>
        <v/>
      </c>
      <c r="D7" s="159">
        <f>SUMIFS('METAS EMPRESAS'!$K$15:$K$320,'METAS EMPRESAS'!$A$15:$A$320,"EJ",'METAS EMPRESAS'!$B$15:$B$320,"VIGAS",'METAS EMPRESAS'!$C$15:$C$320,$A7-WEEKDAY($A7,2)+1)</f>
        <v/>
      </c>
      <c r="E7" s="159">
        <f>SUMIFS('METAS EMPRESAS'!$K$15:$K$320,'METAS EMPRESAS'!$A$15:$A$320,"CMM",'METAS EMPRESAS'!$B$15:$B$320,"PREMONTAGEM",'METAS EMPRESAS'!$C$15:$C$320,$A7-WEEKDAY($A7,2)+1)</f>
        <v/>
      </c>
      <c r="F7" s="159">
        <f>SUMIFS('METAS EMPRESAS'!$K$15:$K$320,'METAS EMPRESAS'!$A$15:$A$320,"CMM",'METAS EMPRESAS'!$B$15:$B$320,"IÇAMENTO JOIST",'METAS EMPRESAS'!$C$15:$C$320,$A7-WEEKDAY($A7,2)+1)</f>
        <v/>
      </c>
      <c r="G7" s="159">
        <f>SUMIFS('METAS EMPRESAS'!$K$15:$K$320,'METAS EMPRESAS'!$A$15:$A$320,"CMM",'METAS EMPRESAS'!$B$15:$B$320,"VIGAS",'METAS EMPRESAS'!$C$15:$C$320,$A7-WEEKDAY($A7,2)+1)</f>
        <v/>
      </c>
      <c r="H7" s="159">
        <f>SUMIFS('METAS EMPRESAS'!$G$15:$G$320,'METAS EMPRESAS'!$A$15:$A$320,"EJ",'METAS EMPRESAS'!$B$15:$B$320,"PREMONTAGEM",'METAS EMPRESAS'!$C$15:$C$320,$A7-WEEKDAY($A7,2)+1)</f>
        <v/>
      </c>
      <c r="I7" s="159">
        <f>SUMIFS('METAS EMPRESAS'!$G$15:$G$320,'METAS EMPRESAS'!$A$15:$A$320,"EJ",'METAS EMPRESAS'!$B$15:$B$320,"IÇAMENTO JOIST",'METAS EMPRESAS'!$C$15:$C$320,$A7-WEEKDAY($A7,2)+1)</f>
        <v/>
      </c>
      <c r="J7" s="159">
        <f>SUMIFS('METAS EMPRESAS'!$G$15:$G$320,'METAS EMPRESAS'!$A$15:$A$320,"EJ",'METAS EMPRESAS'!$B$15:$B$320,"VIGAS",'METAS EMPRESAS'!$C$15:$C$320,$A7-WEEKDAY($A7,2)+1)</f>
        <v/>
      </c>
      <c r="K7" s="159">
        <f>SUMIFS('METAS EMPRESAS'!$G$15:$G$320,'METAS EMPRESAS'!$A$15:$A$320,"CMM",'METAS EMPRESAS'!$B$15:$B$320,"PREMONTAGEM",'METAS EMPRESAS'!$C$15:$C$320,$A7-WEEKDAY($A7,2)+1)</f>
        <v/>
      </c>
      <c r="L7" s="159">
        <f>SUMIFS('METAS EMPRESAS'!$G$15:$G$320,'METAS EMPRESAS'!$A$15:$A$320,"CMM",'METAS EMPRESAS'!$B$15:$B$320,"IÇAMENTO JOIST",'METAS EMPRESAS'!$C$15:$C$320,$A7-WEEKDAY($A7,2)+1)</f>
        <v/>
      </c>
      <c r="M7" s="159">
        <f>SUMIFS('METAS EMPRESAS'!$G$15:$G$320,'METAS EMPRESAS'!$A$15:$A$320,"CMM",'METAS EMPRESAS'!$B$15:$B$320,"VIGAS",'METAS EMPRESAS'!$C$15:$C$320,$A7-WEEKDAY($A7,2)+1)</f>
        <v/>
      </c>
      <c r="N7" s="159">
        <f>SUMIFS('METAS EMPRESAS'!$J$15:$J$320,'METAS EMPRESAS'!$A$15:$A$320,"EJ",'METAS EMPRESAS'!$B$15:$B$320,"PREMONTAGEM",'METAS EMPRESAS'!$C$15:$C$320,$A7-WEEKDAY($A7,2)+1)</f>
        <v/>
      </c>
      <c r="O7" s="159">
        <f>SUMIFS('METAS EMPRESAS'!$J$15:$J$320,'METAS EMPRESAS'!$A$15:$A$320,"EJ",'METAS EMPRESAS'!$B$15:$B$320,"IÇAMENTO JOIST",'METAS EMPRESAS'!$C$15:$C$320,$A7-WEEKDAY($A7,2)+1)</f>
        <v/>
      </c>
      <c r="P7" s="159">
        <f>SUMIFS('METAS EMPRESAS'!$J$15:$J$320,'METAS EMPRESAS'!$A$15:$A$320,"EJ",'METAS EMPRESAS'!$B$15:$B$320,"VIGAS",'METAS EMPRESAS'!$C$15:$C$320,$A7-WEEKDAY($A7,2)+1)</f>
        <v/>
      </c>
      <c r="Q7" s="159">
        <f>SUMIFS('METAS EMPRESAS'!$J$15:$J$320,'METAS EMPRESAS'!$A$15:$A$320,"CMM",'METAS EMPRESAS'!$B$15:$B$320,"PREMONTAGEM",'METAS EMPRESAS'!$C$15:$C$320,$A7-WEEKDAY($A7,2)+1)</f>
        <v/>
      </c>
      <c r="R7" s="159">
        <f>SUMIFS('METAS EMPRESAS'!$J$15:$J$320,'METAS EMPRESAS'!$A$15:$A$320,"CMM",'METAS EMPRESAS'!$B$15:$B$320,"IÇAMENTO JOIST",'METAS EMPRESAS'!$C$15:$C$320,$A7-WEEKDAY($A7,2)+1)</f>
        <v/>
      </c>
      <c r="S7" s="159">
        <f>SUMIFS('METAS EMPRESAS'!$J$15:$J$320,'METAS EMPRESAS'!$A$15:$A$320,"CMM",'METAS EMPRESAS'!$B$15:$B$320,"VIGAS",'METAS EMPRESAS'!$C$15:$C$320,$A7-WEEKDAY($A7,2)+1)</f>
        <v/>
      </c>
      <c r="T7">
        <f>--(WEEKDAY(A7,2)&lt;=5)</f>
        <v/>
      </c>
      <c r="U7" t="n">
        <v>19</v>
      </c>
      <c r="V7" t="n">
        <v>7</v>
      </c>
      <c r="W7" t="n">
        <v>0</v>
      </c>
      <c r="X7" t="n">
        <v>5</v>
      </c>
      <c r="Y7" t="n">
        <v>5</v>
      </c>
      <c r="Z7" t="n">
        <v>5</v>
      </c>
      <c r="AA7" t="n">
        <v>95</v>
      </c>
      <c r="AB7" t="n">
        <v>35</v>
      </c>
      <c r="AC7" t="n">
        <v>0</v>
      </c>
    </row>
    <row r="8">
      <c r="A8" s="317" t="n">
        <v>46229</v>
      </c>
      <c r="B8" s="159">
        <f>SUMIFS('METAS EMPRESAS'!$K$15:$K$320,'METAS EMPRESAS'!$A$15:$A$320,"EJ",'METAS EMPRESAS'!$B$15:$B$320,"PREMONTAGEM",'METAS EMPRESAS'!$C$15:$C$320,$A8-WEEKDAY($A8,2)+1)</f>
        <v/>
      </c>
      <c r="C8" s="159">
        <f>SUMIFS('METAS EMPRESAS'!$K$15:$K$320,'METAS EMPRESAS'!$A$15:$A$320,"EJ",'METAS EMPRESAS'!$B$15:$B$320,"IÇAMENTO JOIST",'METAS EMPRESAS'!$C$15:$C$320,$A8-WEEKDAY($A8,2)+1)</f>
        <v/>
      </c>
      <c r="D8" s="159">
        <f>SUMIFS('METAS EMPRESAS'!$K$15:$K$320,'METAS EMPRESAS'!$A$15:$A$320,"EJ",'METAS EMPRESAS'!$B$15:$B$320,"VIGAS",'METAS EMPRESAS'!$C$15:$C$320,$A8-WEEKDAY($A8,2)+1)</f>
        <v/>
      </c>
      <c r="E8" s="159">
        <f>SUMIFS('METAS EMPRESAS'!$K$15:$K$320,'METAS EMPRESAS'!$A$15:$A$320,"CMM",'METAS EMPRESAS'!$B$15:$B$320,"PREMONTAGEM",'METAS EMPRESAS'!$C$15:$C$320,$A8-WEEKDAY($A8,2)+1)</f>
        <v/>
      </c>
      <c r="F8" s="159">
        <f>SUMIFS('METAS EMPRESAS'!$K$15:$K$320,'METAS EMPRESAS'!$A$15:$A$320,"CMM",'METAS EMPRESAS'!$B$15:$B$320,"IÇAMENTO JOIST",'METAS EMPRESAS'!$C$15:$C$320,$A8-WEEKDAY($A8,2)+1)</f>
        <v/>
      </c>
      <c r="G8" s="159">
        <f>SUMIFS('METAS EMPRESAS'!$K$15:$K$320,'METAS EMPRESAS'!$A$15:$A$320,"CMM",'METAS EMPRESAS'!$B$15:$B$320,"VIGAS",'METAS EMPRESAS'!$C$15:$C$320,$A8-WEEKDAY($A8,2)+1)</f>
        <v/>
      </c>
      <c r="H8" s="159">
        <f>SUMIFS('METAS EMPRESAS'!$G$15:$G$320,'METAS EMPRESAS'!$A$15:$A$320,"EJ",'METAS EMPRESAS'!$B$15:$B$320,"PREMONTAGEM",'METAS EMPRESAS'!$C$15:$C$320,$A8-WEEKDAY($A8,2)+1)</f>
        <v/>
      </c>
      <c r="I8" s="159">
        <f>SUMIFS('METAS EMPRESAS'!$G$15:$G$320,'METAS EMPRESAS'!$A$15:$A$320,"EJ",'METAS EMPRESAS'!$B$15:$B$320,"IÇAMENTO JOIST",'METAS EMPRESAS'!$C$15:$C$320,$A8-WEEKDAY($A8,2)+1)</f>
        <v/>
      </c>
      <c r="J8" s="159">
        <f>SUMIFS('METAS EMPRESAS'!$G$15:$G$320,'METAS EMPRESAS'!$A$15:$A$320,"EJ",'METAS EMPRESAS'!$B$15:$B$320,"VIGAS",'METAS EMPRESAS'!$C$15:$C$320,$A8-WEEKDAY($A8,2)+1)</f>
        <v/>
      </c>
      <c r="K8" s="159">
        <f>SUMIFS('METAS EMPRESAS'!$G$15:$G$320,'METAS EMPRESAS'!$A$15:$A$320,"CMM",'METAS EMPRESAS'!$B$15:$B$320,"PREMONTAGEM",'METAS EMPRESAS'!$C$15:$C$320,$A8-WEEKDAY($A8,2)+1)</f>
        <v/>
      </c>
      <c r="L8" s="159">
        <f>SUMIFS('METAS EMPRESAS'!$G$15:$G$320,'METAS EMPRESAS'!$A$15:$A$320,"CMM",'METAS EMPRESAS'!$B$15:$B$320,"IÇAMENTO JOIST",'METAS EMPRESAS'!$C$15:$C$320,$A8-WEEKDAY($A8,2)+1)</f>
        <v/>
      </c>
      <c r="M8" s="159">
        <f>SUMIFS('METAS EMPRESAS'!$G$15:$G$320,'METAS EMPRESAS'!$A$15:$A$320,"CMM",'METAS EMPRESAS'!$B$15:$B$320,"VIGAS",'METAS EMPRESAS'!$C$15:$C$320,$A8-WEEKDAY($A8,2)+1)</f>
        <v/>
      </c>
      <c r="N8" s="159">
        <f>SUMIFS('METAS EMPRESAS'!$J$15:$J$320,'METAS EMPRESAS'!$A$15:$A$320,"EJ",'METAS EMPRESAS'!$B$15:$B$320,"PREMONTAGEM",'METAS EMPRESAS'!$C$15:$C$320,$A8-WEEKDAY($A8,2)+1)</f>
        <v/>
      </c>
      <c r="O8" s="159">
        <f>SUMIFS('METAS EMPRESAS'!$J$15:$J$320,'METAS EMPRESAS'!$A$15:$A$320,"EJ",'METAS EMPRESAS'!$B$15:$B$320,"IÇAMENTO JOIST",'METAS EMPRESAS'!$C$15:$C$320,$A8-WEEKDAY($A8,2)+1)</f>
        <v/>
      </c>
      <c r="P8" s="159">
        <f>SUMIFS('METAS EMPRESAS'!$J$15:$J$320,'METAS EMPRESAS'!$A$15:$A$320,"EJ",'METAS EMPRESAS'!$B$15:$B$320,"VIGAS",'METAS EMPRESAS'!$C$15:$C$320,$A8-WEEKDAY($A8,2)+1)</f>
        <v/>
      </c>
      <c r="Q8" s="159">
        <f>SUMIFS('METAS EMPRESAS'!$J$15:$J$320,'METAS EMPRESAS'!$A$15:$A$320,"CMM",'METAS EMPRESAS'!$B$15:$B$320,"PREMONTAGEM",'METAS EMPRESAS'!$C$15:$C$320,$A8-WEEKDAY($A8,2)+1)</f>
        <v/>
      </c>
      <c r="R8" s="159">
        <f>SUMIFS('METAS EMPRESAS'!$J$15:$J$320,'METAS EMPRESAS'!$A$15:$A$320,"CMM",'METAS EMPRESAS'!$B$15:$B$320,"IÇAMENTO JOIST",'METAS EMPRESAS'!$C$15:$C$320,$A8-WEEKDAY($A8,2)+1)</f>
        <v/>
      </c>
      <c r="S8" s="159">
        <f>SUMIFS('METAS EMPRESAS'!$J$15:$J$320,'METAS EMPRESAS'!$A$15:$A$320,"CMM",'METAS EMPRESAS'!$B$15:$B$320,"VIGAS",'METAS EMPRESAS'!$C$15:$C$320,$A8-WEEKDAY($A8,2)+1)</f>
        <v/>
      </c>
      <c r="T8">
        <f>--(WEEKDAY(A8,2)&lt;=5)</f>
        <v/>
      </c>
      <c r="U8" t="n">
        <v>19</v>
      </c>
      <c r="V8" t="n">
        <v>7</v>
      </c>
      <c r="W8" t="n">
        <v>0</v>
      </c>
      <c r="X8" t="n">
        <v>5</v>
      </c>
      <c r="Y8" t="n">
        <v>5</v>
      </c>
      <c r="Z8" t="n">
        <v>5</v>
      </c>
      <c r="AA8" t="n">
        <v>95</v>
      </c>
      <c r="AB8" t="n">
        <v>35</v>
      </c>
      <c r="AC8" t="n">
        <v>0</v>
      </c>
    </row>
    <row r="9">
      <c r="A9" s="317" t="n">
        <v>46230</v>
      </c>
      <c r="B9" s="159">
        <f>SUMIFS('METAS EMPRESAS'!$K$15:$K$320,'METAS EMPRESAS'!$A$15:$A$320,"EJ",'METAS EMPRESAS'!$B$15:$B$320,"PREMONTAGEM",'METAS EMPRESAS'!$C$15:$C$320,$A9-WEEKDAY($A9,2)+1)</f>
        <v/>
      </c>
      <c r="C9" s="159">
        <f>SUMIFS('METAS EMPRESAS'!$K$15:$K$320,'METAS EMPRESAS'!$A$15:$A$320,"EJ",'METAS EMPRESAS'!$B$15:$B$320,"IÇAMENTO JOIST",'METAS EMPRESAS'!$C$15:$C$320,$A9-WEEKDAY($A9,2)+1)</f>
        <v/>
      </c>
      <c r="D9" s="159">
        <f>SUMIFS('METAS EMPRESAS'!$K$15:$K$320,'METAS EMPRESAS'!$A$15:$A$320,"EJ",'METAS EMPRESAS'!$B$15:$B$320,"VIGAS",'METAS EMPRESAS'!$C$15:$C$320,$A9-WEEKDAY($A9,2)+1)</f>
        <v/>
      </c>
      <c r="E9" s="159">
        <f>SUMIFS('METAS EMPRESAS'!$K$15:$K$320,'METAS EMPRESAS'!$A$15:$A$320,"CMM",'METAS EMPRESAS'!$B$15:$B$320,"PREMONTAGEM",'METAS EMPRESAS'!$C$15:$C$320,$A9-WEEKDAY($A9,2)+1)</f>
        <v/>
      </c>
      <c r="F9" s="159">
        <f>SUMIFS('METAS EMPRESAS'!$K$15:$K$320,'METAS EMPRESAS'!$A$15:$A$320,"CMM",'METAS EMPRESAS'!$B$15:$B$320,"IÇAMENTO JOIST",'METAS EMPRESAS'!$C$15:$C$320,$A9-WEEKDAY($A9,2)+1)</f>
        <v/>
      </c>
      <c r="G9" s="159">
        <f>SUMIFS('METAS EMPRESAS'!$K$15:$K$320,'METAS EMPRESAS'!$A$15:$A$320,"CMM",'METAS EMPRESAS'!$B$15:$B$320,"VIGAS",'METAS EMPRESAS'!$C$15:$C$320,$A9-WEEKDAY($A9,2)+1)</f>
        <v/>
      </c>
      <c r="H9" s="159">
        <f>SUMIFS('METAS EMPRESAS'!$G$15:$G$320,'METAS EMPRESAS'!$A$15:$A$320,"EJ",'METAS EMPRESAS'!$B$15:$B$320,"PREMONTAGEM",'METAS EMPRESAS'!$C$15:$C$320,$A9-WEEKDAY($A9,2)+1)</f>
        <v/>
      </c>
      <c r="I9" s="159">
        <f>SUMIFS('METAS EMPRESAS'!$G$15:$G$320,'METAS EMPRESAS'!$A$15:$A$320,"EJ",'METAS EMPRESAS'!$B$15:$B$320,"IÇAMENTO JOIST",'METAS EMPRESAS'!$C$15:$C$320,$A9-WEEKDAY($A9,2)+1)</f>
        <v/>
      </c>
      <c r="J9" s="159">
        <f>SUMIFS('METAS EMPRESAS'!$G$15:$G$320,'METAS EMPRESAS'!$A$15:$A$320,"EJ",'METAS EMPRESAS'!$B$15:$B$320,"VIGAS",'METAS EMPRESAS'!$C$15:$C$320,$A9-WEEKDAY($A9,2)+1)</f>
        <v/>
      </c>
      <c r="K9" s="159">
        <f>SUMIFS('METAS EMPRESAS'!$G$15:$G$320,'METAS EMPRESAS'!$A$15:$A$320,"CMM",'METAS EMPRESAS'!$B$15:$B$320,"PREMONTAGEM",'METAS EMPRESAS'!$C$15:$C$320,$A9-WEEKDAY($A9,2)+1)</f>
        <v/>
      </c>
      <c r="L9" s="159">
        <f>SUMIFS('METAS EMPRESAS'!$G$15:$G$320,'METAS EMPRESAS'!$A$15:$A$320,"CMM",'METAS EMPRESAS'!$B$15:$B$320,"IÇAMENTO JOIST",'METAS EMPRESAS'!$C$15:$C$320,$A9-WEEKDAY($A9,2)+1)</f>
        <v/>
      </c>
      <c r="M9" s="159">
        <f>SUMIFS('METAS EMPRESAS'!$G$15:$G$320,'METAS EMPRESAS'!$A$15:$A$320,"CMM",'METAS EMPRESAS'!$B$15:$B$320,"VIGAS",'METAS EMPRESAS'!$C$15:$C$320,$A9-WEEKDAY($A9,2)+1)</f>
        <v/>
      </c>
      <c r="N9" s="159">
        <f>SUMIFS('METAS EMPRESAS'!$J$15:$J$320,'METAS EMPRESAS'!$A$15:$A$320,"EJ",'METAS EMPRESAS'!$B$15:$B$320,"PREMONTAGEM",'METAS EMPRESAS'!$C$15:$C$320,$A9-WEEKDAY($A9,2)+1)</f>
        <v/>
      </c>
      <c r="O9" s="159">
        <f>SUMIFS('METAS EMPRESAS'!$J$15:$J$320,'METAS EMPRESAS'!$A$15:$A$320,"EJ",'METAS EMPRESAS'!$B$15:$B$320,"IÇAMENTO JOIST",'METAS EMPRESAS'!$C$15:$C$320,$A9-WEEKDAY($A9,2)+1)</f>
        <v/>
      </c>
      <c r="P9" s="159">
        <f>SUMIFS('METAS EMPRESAS'!$J$15:$J$320,'METAS EMPRESAS'!$A$15:$A$320,"EJ",'METAS EMPRESAS'!$B$15:$B$320,"VIGAS",'METAS EMPRESAS'!$C$15:$C$320,$A9-WEEKDAY($A9,2)+1)</f>
        <v/>
      </c>
      <c r="Q9" s="159">
        <f>SUMIFS('METAS EMPRESAS'!$J$15:$J$320,'METAS EMPRESAS'!$A$15:$A$320,"CMM",'METAS EMPRESAS'!$B$15:$B$320,"PREMONTAGEM",'METAS EMPRESAS'!$C$15:$C$320,$A9-WEEKDAY($A9,2)+1)</f>
        <v/>
      </c>
      <c r="R9" s="159">
        <f>SUMIFS('METAS EMPRESAS'!$J$15:$J$320,'METAS EMPRESAS'!$A$15:$A$320,"CMM",'METAS EMPRESAS'!$B$15:$B$320,"IÇAMENTO JOIST",'METAS EMPRESAS'!$C$15:$C$320,$A9-WEEKDAY($A9,2)+1)</f>
        <v/>
      </c>
      <c r="S9" s="159">
        <f>SUMIFS('METAS EMPRESAS'!$J$15:$J$320,'METAS EMPRESAS'!$A$15:$A$320,"CMM",'METAS EMPRESAS'!$B$15:$B$320,"VIGAS",'METAS EMPRESAS'!$C$15:$C$320,$A9-WEEKDAY($A9,2)+1)</f>
        <v/>
      </c>
      <c r="T9">
        <f>--(WEEKDAY(A9,2)&lt;=5)</f>
        <v/>
      </c>
      <c r="U9" t="n">
        <v>19</v>
      </c>
      <c r="V9" t="n">
        <v>7</v>
      </c>
      <c r="W9" t="n">
        <v>0</v>
      </c>
      <c r="X9" t="n">
        <v>5</v>
      </c>
      <c r="Y9" t="n">
        <v>5</v>
      </c>
      <c r="Z9" t="n">
        <v>5</v>
      </c>
      <c r="AA9" t="n">
        <v>95</v>
      </c>
      <c r="AB9" t="n">
        <v>35</v>
      </c>
      <c r="AC9" t="n">
        <v>0</v>
      </c>
    </row>
    <row r="10">
      <c r="A10" s="317" t="n">
        <v>46231</v>
      </c>
      <c r="B10" s="159">
        <f>SUMIFS('METAS EMPRESAS'!$K$15:$K$320,'METAS EMPRESAS'!$A$15:$A$320,"EJ",'METAS EMPRESAS'!$B$15:$B$320,"PREMONTAGEM",'METAS EMPRESAS'!$C$15:$C$320,$A10-WEEKDAY($A10,2)+1)</f>
        <v/>
      </c>
      <c r="C10" s="159">
        <f>SUMIFS('METAS EMPRESAS'!$K$15:$K$320,'METAS EMPRESAS'!$A$15:$A$320,"EJ",'METAS EMPRESAS'!$B$15:$B$320,"IÇAMENTO JOIST",'METAS EMPRESAS'!$C$15:$C$320,$A10-WEEKDAY($A10,2)+1)</f>
        <v/>
      </c>
      <c r="D10" s="159">
        <f>SUMIFS('METAS EMPRESAS'!$K$15:$K$320,'METAS EMPRESAS'!$A$15:$A$320,"EJ",'METAS EMPRESAS'!$B$15:$B$320,"VIGAS",'METAS EMPRESAS'!$C$15:$C$320,$A10-WEEKDAY($A10,2)+1)</f>
        <v/>
      </c>
      <c r="E10" s="159">
        <f>SUMIFS('METAS EMPRESAS'!$K$15:$K$320,'METAS EMPRESAS'!$A$15:$A$320,"CMM",'METAS EMPRESAS'!$B$15:$B$320,"PREMONTAGEM",'METAS EMPRESAS'!$C$15:$C$320,$A10-WEEKDAY($A10,2)+1)</f>
        <v/>
      </c>
      <c r="F10" s="159">
        <f>SUMIFS('METAS EMPRESAS'!$K$15:$K$320,'METAS EMPRESAS'!$A$15:$A$320,"CMM",'METAS EMPRESAS'!$B$15:$B$320,"IÇAMENTO JOIST",'METAS EMPRESAS'!$C$15:$C$320,$A10-WEEKDAY($A10,2)+1)</f>
        <v/>
      </c>
      <c r="G10" s="159">
        <f>SUMIFS('METAS EMPRESAS'!$K$15:$K$320,'METAS EMPRESAS'!$A$15:$A$320,"CMM",'METAS EMPRESAS'!$B$15:$B$320,"VIGAS",'METAS EMPRESAS'!$C$15:$C$320,$A10-WEEKDAY($A10,2)+1)</f>
        <v/>
      </c>
      <c r="H10" s="159">
        <f>SUMIFS('METAS EMPRESAS'!$G$15:$G$320,'METAS EMPRESAS'!$A$15:$A$320,"EJ",'METAS EMPRESAS'!$B$15:$B$320,"PREMONTAGEM",'METAS EMPRESAS'!$C$15:$C$320,$A10-WEEKDAY($A10,2)+1)</f>
        <v/>
      </c>
      <c r="I10" s="159">
        <f>SUMIFS('METAS EMPRESAS'!$G$15:$G$320,'METAS EMPRESAS'!$A$15:$A$320,"EJ",'METAS EMPRESAS'!$B$15:$B$320,"IÇAMENTO JOIST",'METAS EMPRESAS'!$C$15:$C$320,$A10-WEEKDAY($A10,2)+1)</f>
        <v/>
      </c>
      <c r="J10" s="159">
        <f>SUMIFS('METAS EMPRESAS'!$G$15:$G$320,'METAS EMPRESAS'!$A$15:$A$320,"EJ",'METAS EMPRESAS'!$B$15:$B$320,"VIGAS",'METAS EMPRESAS'!$C$15:$C$320,$A10-WEEKDAY($A10,2)+1)</f>
        <v/>
      </c>
      <c r="K10" s="159">
        <f>SUMIFS('METAS EMPRESAS'!$G$15:$G$320,'METAS EMPRESAS'!$A$15:$A$320,"CMM",'METAS EMPRESAS'!$B$15:$B$320,"PREMONTAGEM",'METAS EMPRESAS'!$C$15:$C$320,$A10-WEEKDAY($A10,2)+1)</f>
        <v/>
      </c>
      <c r="L10" s="159">
        <f>SUMIFS('METAS EMPRESAS'!$G$15:$G$320,'METAS EMPRESAS'!$A$15:$A$320,"CMM",'METAS EMPRESAS'!$B$15:$B$320,"IÇAMENTO JOIST",'METAS EMPRESAS'!$C$15:$C$320,$A10-WEEKDAY($A10,2)+1)</f>
        <v/>
      </c>
      <c r="M10" s="159">
        <f>SUMIFS('METAS EMPRESAS'!$G$15:$G$320,'METAS EMPRESAS'!$A$15:$A$320,"CMM",'METAS EMPRESAS'!$B$15:$B$320,"VIGAS",'METAS EMPRESAS'!$C$15:$C$320,$A10-WEEKDAY($A10,2)+1)</f>
        <v/>
      </c>
      <c r="N10" s="159">
        <f>SUMIFS('METAS EMPRESAS'!$J$15:$J$320,'METAS EMPRESAS'!$A$15:$A$320,"EJ",'METAS EMPRESAS'!$B$15:$B$320,"PREMONTAGEM",'METAS EMPRESAS'!$C$15:$C$320,$A10-WEEKDAY($A10,2)+1)</f>
        <v/>
      </c>
      <c r="O10" s="159">
        <f>SUMIFS('METAS EMPRESAS'!$J$15:$J$320,'METAS EMPRESAS'!$A$15:$A$320,"EJ",'METAS EMPRESAS'!$B$15:$B$320,"IÇAMENTO JOIST",'METAS EMPRESAS'!$C$15:$C$320,$A10-WEEKDAY($A10,2)+1)</f>
        <v/>
      </c>
      <c r="P10" s="159">
        <f>SUMIFS('METAS EMPRESAS'!$J$15:$J$320,'METAS EMPRESAS'!$A$15:$A$320,"EJ",'METAS EMPRESAS'!$B$15:$B$320,"VIGAS",'METAS EMPRESAS'!$C$15:$C$320,$A10-WEEKDAY($A10,2)+1)</f>
        <v/>
      </c>
      <c r="Q10" s="159">
        <f>SUMIFS('METAS EMPRESAS'!$J$15:$J$320,'METAS EMPRESAS'!$A$15:$A$320,"CMM",'METAS EMPRESAS'!$B$15:$B$320,"PREMONTAGEM",'METAS EMPRESAS'!$C$15:$C$320,$A10-WEEKDAY($A10,2)+1)</f>
        <v/>
      </c>
      <c r="R10" s="159">
        <f>SUMIFS('METAS EMPRESAS'!$J$15:$J$320,'METAS EMPRESAS'!$A$15:$A$320,"CMM",'METAS EMPRESAS'!$B$15:$B$320,"IÇAMENTO JOIST",'METAS EMPRESAS'!$C$15:$C$320,$A10-WEEKDAY($A10,2)+1)</f>
        <v/>
      </c>
      <c r="S10" s="159">
        <f>SUMIFS('METAS EMPRESAS'!$J$15:$J$320,'METAS EMPRESAS'!$A$15:$A$320,"CMM",'METAS EMPRESAS'!$B$15:$B$320,"VIGAS",'METAS EMPRESAS'!$C$15:$C$320,$A10-WEEKDAY($A10,2)+1)</f>
        <v/>
      </c>
      <c r="T10">
        <f>--(WEEKDAY(A10,2)&lt;=5)</f>
        <v/>
      </c>
      <c r="U10" t="n">
        <v>19</v>
      </c>
      <c r="V10" t="n">
        <v>7</v>
      </c>
      <c r="W10" t="n">
        <v>0</v>
      </c>
      <c r="X10" t="n">
        <v>5</v>
      </c>
      <c r="Y10" t="n">
        <v>5</v>
      </c>
      <c r="Z10" t="n">
        <v>5</v>
      </c>
      <c r="AA10" t="n">
        <v>95</v>
      </c>
      <c r="AB10" t="n">
        <v>35</v>
      </c>
      <c r="AC10" t="n">
        <v>0</v>
      </c>
    </row>
    <row r="11">
      <c r="A11" s="317" t="n">
        <v>46232</v>
      </c>
      <c r="B11" s="159">
        <f>SUMIFS('METAS EMPRESAS'!$K$15:$K$320,'METAS EMPRESAS'!$A$15:$A$320,"EJ",'METAS EMPRESAS'!$B$15:$B$320,"PREMONTAGEM",'METAS EMPRESAS'!$C$15:$C$320,$A11-WEEKDAY($A11,2)+1)</f>
        <v/>
      </c>
      <c r="C11" s="159">
        <f>SUMIFS('METAS EMPRESAS'!$K$15:$K$320,'METAS EMPRESAS'!$A$15:$A$320,"EJ",'METAS EMPRESAS'!$B$15:$B$320,"IÇAMENTO JOIST",'METAS EMPRESAS'!$C$15:$C$320,$A11-WEEKDAY($A11,2)+1)</f>
        <v/>
      </c>
      <c r="D11" s="159">
        <f>SUMIFS('METAS EMPRESAS'!$K$15:$K$320,'METAS EMPRESAS'!$A$15:$A$320,"EJ",'METAS EMPRESAS'!$B$15:$B$320,"VIGAS",'METAS EMPRESAS'!$C$15:$C$320,$A11-WEEKDAY($A11,2)+1)</f>
        <v/>
      </c>
      <c r="E11" s="159">
        <f>SUMIFS('METAS EMPRESAS'!$K$15:$K$320,'METAS EMPRESAS'!$A$15:$A$320,"CMM",'METAS EMPRESAS'!$B$15:$B$320,"PREMONTAGEM",'METAS EMPRESAS'!$C$15:$C$320,$A11-WEEKDAY($A11,2)+1)</f>
        <v/>
      </c>
      <c r="F11" s="159">
        <f>SUMIFS('METAS EMPRESAS'!$K$15:$K$320,'METAS EMPRESAS'!$A$15:$A$320,"CMM",'METAS EMPRESAS'!$B$15:$B$320,"IÇAMENTO JOIST",'METAS EMPRESAS'!$C$15:$C$320,$A11-WEEKDAY($A11,2)+1)</f>
        <v/>
      </c>
      <c r="G11" s="159">
        <f>SUMIFS('METAS EMPRESAS'!$K$15:$K$320,'METAS EMPRESAS'!$A$15:$A$320,"CMM",'METAS EMPRESAS'!$B$15:$B$320,"VIGAS",'METAS EMPRESAS'!$C$15:$C$320,$A11-WEEKDAY($A11,2)+1)</f>
        <v/>
      </c>
      <c r="H11" s="159">
        <f>SUMIFS('METAS EMPRESAS'!$G$15:$G$320,'METAS EMPRESAS'!$A$15:$A$320,"EJ",'METAS EMPRESAS'!$B$15:$B$320,"PREMONTAGEM",'METAS EMPRESAS'!$C$15:$C$320,$A11-WEEKDAY($A11,2)+1)</f>
        <v/>
      </c>
      <c r="I11" s="159">
        <f>SUMIFS('METAS EMPRESAS'!$G$15:$G$320,'METAS EMPRESAS'!$A$15:$A$320,"EJ",'METAS EMPRESAS'!$B$15:$B$320,"IÇAMENTO JOIST",'METAS EMPRESAS'!$C$15:$C$320,$A11-WEEKDAY($A11,2)+1)</f>
        <v/>
      </c>
      <c r="J11" s="159">
        <f>SUMIFS('METAS EMPRESAS'!$G$15:$G$320,'METAS EMPRESAS'!$A$15:$A$320,"EJ",'METAS EMPRESAS'!$B$15:$B$320,"VIGAS",'METAS EMPRESAS'!$C$15:$C$320,$A11-WEEKDAY($A11,2)+1)</f>
        <v/>
      </c>
      <c r="K11" s="159">
        <f>SUMIFS('METAS EMPRESAS'!$G$15:$G$320,'METAS EMPRESAS'!$A$15:$A$320,"CMM",'METAS EMPRESAS'!$B$15:$B$320,"PREMONTAGEM",'METAS EMPRESAS'!$C$15:$C$320,$A11-WEEKDAY($A11,2)+1)</f>
        <v/>
      </c>
      <c r="L11" s="159">
        <f>SUMIFS('METAS EMPRESAS'!$G$15:$G$320,'METAS EMPRESAS'!$A$15:$A$320,"CMM",'METAS EMPRESAS'!$B$15:$B$320,"IÇAMENTO JOIST",'METAS EMPRESAS'!$C$15:$C$320,$A11-WEEKDAY($A11,2)+1)</f>
        <v/>
      </c>
      <c r="M11" s="159">
        <f>SUMIFS('METAS EMPRESAS'!$G$15:$G$320,'METAS EMPRESAS'!$A$15:$A$320,"CMM",'METAS EMPRESAS'!$B$15:$B$320,"VIGAS",'METAS EMPRESAS'!$C$15:$C$320,$A11-WEEKDAY($A11,2)+1)</f>
        <v/>
      </c>
      <c r="N11" s="159">
        <f>SUMIFS('METAS EMPRESAS'!$J$15:$J$320,'METAS EMPRESAS'!$A$15:$A$320,"EJ",'METAS EMPRESAS'!$B$15:$B$320,"PREMONTAGEM",'METAS EMPRESAS'!$C$15:$C$320,$A11-WEEKDAY($A11,2)+1)</f>
        <v/>
      </c>
      <c r="O11" s="159">
        <f>SUMIFS('METAS EMPRESAS'!$J$15:$J$320,'METAS EMPRESAS'!$A$15:$A$320,"EJ",'METAS EMPRESAS'!$B$15:$B$320,"IÇAMENTO JOIST",'METAS EMPRESAS'!$C$15:$C$320,$A11-WEEKDAY($A11,2)+1)</f>
        <v/>
      </c>
      <c r="P11" s="159">
        <f>SUMIFS('METAS EMPRESAS'!$J$15:$J$320,'METAS EMPRESAS'!$A$15:$A$320,"EJ",'METAS EMPRESAS'!$B$15:$B$320,"VIGAS",'METAS EMPRESAS'!$C$15:$C$320,$A11-WEEKDAY($A11,2)+1)</f>
        <v/>
      </c>
      <c r="Q11" s="159">
        <f>SUMIFS('METAS EMPRESAS'!$J$15:$J$320,'METAS EMPRESAS'!$A$15:$A$320,"CMM",'METAS EMPRESAS'!$B$15:$B$320,"PREMONTAGEM",'METAS EMPRESAS'!$C$15:$C$320,$A11-WEEKDAY($A11,2)+1)</f>
        <v/>
      </c>
      <c r="R11" s="159">
        <f>SUMIFS('METAS EMPRESAS'!$J$15:$J$320,'METAS EMPRESAS'!$A$15:$A$320,"CMM",'METAS EMPRESAS'!$B$15:$B$320,"IÇAMENTO JOIST",'METAS EMPRESAS'!$C$15:$C$320,$A11-WEEKDAY($A11,2)+1)</f>
        <v/>
      </c>
      <c r="S11" s="159">
        <f>SUMIFS('METAS EMPRESAS'!$J$15:$J$320,'METAS EMPRESAS'!$A$15:$A$320,"CMM",'METAS EMPRESAS'!$B$15:$B$320,"VIGAS",'METAS EMPRESAS'!$C$15:$C$320,$A11-WEEKDAY($A11,2)+1)</f>
        <v/>
      </c>
      <c r="T11">
        <f>--(WEEKDAY(A11,2)&lt;=5)</f>
        <v/>
      </c>
      <c r="U11" t="n">
        <v>19</v>
      </c>
      <c r="V11" t="n">
        <v>7</v>
      </c>
      <c r="W11" t="n">
        <v>0</v>
      </c>
      <c r="X11" t="n">
        <v>5</v>
      </c>
      <c r="Y11" t="n">
        <v>5</v>
      </c>
      <c r="Z11" t="n">
        <v>5</v>
      </c>
      <c r="AA11" t="n">
        <v>95</v>
      </c>
      <c r="AB11" t="n">
        <v>35</v>
      </c>
      <c r="AC11" t="n">
        <v>0</v>
      </c>
    </row>
    <row r="12">
      <c r="A12" s="317" t="n">
        <v>46233</v>
      </c>
      <c r="B12" s="159">
        <f>SUMIFS('METAS EMPRESAS'!$K$15:$K$320,'METAS EMPRESAS'!$A$15:$A$320,"EJ",'METAS EMPRESAS'!$B$15:$B$320,"PREMONTAGEM",'METAS EMPRESAS'!$C$15:$C$320,$A12-WEEKDAY($A12,2)+1)</f>
        <v/>
      </c>
      <c r="C12" s="159">
        <f>SUMIFS('METAS EMPRESAS'!$K$15:$K$320,'METAS EMPRESAS'!$A$15:$A$320,"EJ",'METAS EMPRESAS'!$B$15:$B$320,"IÇAMENTO JOIST",'METAS EMPRESAS'!$C$15:$C$320,$A12-WEEKDAY($A12,2)+1)</f>
        <v/>
      </c>
      <c r="D12" s="159">
        <f>SUMIFS('METAS EMPRESAS'!$K$15:$K$320,'METAS EMPRESAS'!$A$15:$A$320,"EJ",'METAS EMPRESAS'!$B$15:$B$320,"VIGAS",'METAS EMPRESAS'!$C$15:$C$320,$A12-WEEKDAY($A12,2)+1)</f>
        <v/>
      </c>
      <c r="E12" s="159">
        <f>SUMIFS('METAS EMPRESAS'!$K$15:$K$320,'METAS EMPRESAS'!$A$15:$A$320,"CMM",'METAS EMPRESAS'!$B$15:$B$320,"PREMONTAGEM",'METAS EMPRESAS'!$C$15:$C$320,$A12-WEEKDAY($A12,2)+1)</f>
        <v/>
      </c>
      <c r="F12" s="159">
        <f>SUMIFS('METAS EMPRESAS'!$K$15:$K$320,'METAS EMPRESAS'!$A$15:$A$320,"CMM",'METAS EMPRESAS'!$B$15:$B$320,"IÇAMENTO JOIST",'METAS EMPRESAS'!$C$15:$C$320,$A12-WEEKDAY($A12,2)+1)</f>
        <v/>
      </c>
      <c r="G12" s="159">
        <f>SUMIFS('METAS EMPRESAS'!$K$15:$K$320,'METAS EMPRESAS'!$A$15:$A$320,"CMM",'METAS EMPRESAS'!$B$15:$B$320,"VIGAS",'METAS EMPRESAS'!$C$15:$C$320,$A12-WEEKDAY($A12,2)+1)</f>
        <v/>
      </c>
      <c r="H12" s="159">
        <f>SUMIFS('METAS EMPRESAS'!$G$15:$G$320,'METAS EMPRESAS'!$A$15:$A$320,"EJ",'METAS EMPRESAS'!$B$15:$B$320,"PREMONTAGEM",'METAS EMPRESAS'!$C$15:$C$320,$A12-WEEKDAY($A12,2)+1)</f>
        <v/>
      </c>
      <c r="I12" s="159">
        <f>SUMIFS('METAS EMPRESAS'!$G$15:$G$320,'METAS EMPRESAS'!$A$15:$A$320,"EJ",'METAS EMPRESAS'!$B$15:$B$320,"IÇAMENTO JOIST",'METAS EMPRESAS'!$C$15:$C$320,$A12-WEEKDAY($A12,2)+1)</f>
        <v/>
      </c>
      <c r="J12" s="159">
        <f>SUMIFS('METAS EMPRESAS'!$G$15:$G$320,'METAS EMPRESAS'!$A$15:$A$320,"EJ",'METAS EMPRESAS'!$B$15:$B$320,"VIGAS",'METAS EMPRESAS'!$C$15:$C$320,$A12-WEEKDAY($A12,2)+1)</f>
        <v/>
      </c>
      <c r="K12" s="159">
        <f>SUMIFS('METAS EMPRESAS'!$G$15:$G$320,'METAS EMPRESAS'!$A$15:$A$320,"CMM",'METAS EMPRESAS'!$B$15:$B$320,"PREMONTAGEM",'METAS EMPRESAS'!$C$15:$C$320,$A12-WEEKDAY($A12,2)+1)</f>
        <v/>
      </c>
      <c r="L12" s="159">
        <f>SUMIFS('METAS EMPRESAS'!$G$15:$G$320,'METAS EMPRESAS'!$A$15:$A$320,"CMM",'METAS EMPRESAS'!$B$15:$B$320,"IÇAMENTO JOIST",'METAS EMPRESAS'!$C$15:$C$320,$A12-WEEKDAY($A12,2)+1)</f>
        <v/>
      </c>
      <c r="M12" s="159">
        <f>SUMIFS('METAS EMPRESAS'!$G$15:$G$320,'METAS EMPRESAS'!$A$15:$A$320,"CMM",'METAS EMPRESAS'!$B$15:$B$320,"VIGAS",'METAS EMPRESAS'!$C$15:$C$320,$A12-WEEKDAY($A12,2)+1)</f>
        <v/>
      </c>
      <c r="N12" s="159">
        <f>SUMIFS('METAS EMPRESAS'!$J$15:$J$320,'METAS EMPRESAS'!$A$15:$A$320,"EJ",'METAS EMPRESAS'!$B$15:$B$320,"PREMONTAGEM",'METAS EMPRESAS'!$C$15:$C$320,$A12-WEEKDAY($A12,2)+1)</f>
        <v/>
      </c>
      <c r="O12" s="159">
        <f>SUMIFS('METAS EMPRESAS'!$J$15:$J$320,'METAS EMPRESAS'!$A$15:$A$320,"EJ",'METAS EMPRESAS'!$B$15:$B$320,"IÇAMENTO JOIST",'METAS EMPRESAS'!$C$15:$C$320,$A12-WEEKDAY($A12,2)+1)</f>
        <v/>
      </c>
      <c r="P12" s="159">
        <f>SUMIFS('METAS EMPRESAS'!$J$15:$J$320,'METAS EMPRESAS'!$A$15:$A$320,"EJ",'METAS EMPRESAS'!$B$15:$B$320,"VIGAS",'METAS EMPRESAS'!$C$15:$C$320,$A12-WEEKDAY($A12,2)+1)</f>
        <v/>
      </c>
      <c r="Q12" s="159">
        <f>SUMIFS('METAS EMPRESAS'!$J$15:$J$320,'METAS EMPRESAS'!$A$15:$A$320,"CMM",'METAS EMPRESAS'!$B$15:$B$320,"PREMONTAGEM",'METAS EMPRESAS'!$C$15:$C$320,$A12-WEEKDAY($A12,2)+1)</f>
        <v/>
      </c>
      <c r="R12" s="159">
        <f>SUMIFS('METAS EMPRESAS'!$J$15:$J$320,'METAS EMPRESAS'!$A$15:$A$320,"CMM",'METAS EMPRESAS'!$B$15:$B$320,"IÇAMENTO JOIST",'METAS EMPRESAS'!$C$15:$C$320,$A12-WEEKDAY($A12,2)+1)</f>
        <v/>
      </c>
      <c r="S12" s="159">
        <f>SUMIFS('METAS EMPRESAS'!$J$15:$J$320,'METAS EMPRESAS'!$A$15:$A$320,"CMM",'METAS EMPRESAS'!$B$15:$B$320,"VIGAS",'METAS EMPRESAS'!$C$15:$C$320,$A12-WEEKDAY($A12,2)+1)</f>
        <v/>
      </c>
      <c r="T12">
        <f>--(WEEKDAY(A12,2)&lt;=5)</f>
        <v/>
      </c>
      <c r="U12" t="n">
        <v>19</v>
      </c>
      <c r="V12" t="n">
        <v>7</v>
      </c>
      <c r="W12" t="n">
        <v>0</v>
      </c>
      <c r="X12" t="n">
        <v>5</v>
      </c>
      <c r="Y12" t="n">
        <v>5</v>
      </c>
      <c r="Z12" t="n">
        <v>5</v>
      </c>
      <c r="AA12" t="n">
        <v>95</v>
      </c>
      <c r="AB12" t="n">
        <v>35</v>
      </c>
      <c r="AC12" t="n">
        <v>0</v>
      </c>
    </row>
    <row r="13">
      <c r="A13" s="317" t="n">
        <v>46234</v>
      </c>
      <c r="B13" s="159">
        <f>SUMIFS('METAS EMPRESAS'!$K$15:$K$320,'METAS EMPRESAS'!$A$15:$A$320,"EJ",'METAS EMPRESAS'!$B$15:$B$320,"PREMONTAGEM",'METAS EMPRESAS'!$C$15:$C$320,$A13-WEEKDAY($A13,2)+1)</f>
        <v/>
      </c>
      <c r="C13" s="159">
        <f>SUMIFS('METAS EMPRESAS'!$K$15:$K$320,'METAS EMPRESAS'!$A$15:$A$320,"EJ",'METAS EMPRESAS'!$B$15:$B$320,"IÇAMENTO JOIST",'METAS EMPRESAS'!$C$15:$C$320,$A13-WEEKDAY($A13,2)+1)</f>
        <v/>
      </c>
      <c r="D13" s="159">
        <f>SUMIFS('METAS EMPRESAS'!$K$15:$K$320,'METAS EMPRESAS'!$A$15:$A$320,"EJ",'METAS EMPRESAS'!$B$15:$B$320,"VIGAS",'METAS EMPRESAS'!$C$15:$C$320,$A13-WEEKDAY($A13,2)+1)</f>
        <v/>
      </c>
      <c r="E13" s="159">
        <f>SUMIFS('METAS EMPRESAS'!$K$15:$K$320,'METAS EMPRESAS'!$A$15:$A$320,"CMM",'METAS EMPRESAS'!$B$15:$B$320,"PREMONTAGEM",'METAS EMPRESAS'!$C$15:$C$320,$A13-WEEKDAY($A13,2)+1)</f>
        <v/>
      </c>
      <c r="F13" s="159">
        <f>SUMIFS('METAS EMPRESAS'!$K$15:$K$320,'METAS EMPRESAS'!$A$15:$A$320,"CMM",'METAS EMPRESAS'!$B$15:$B$320,"IÇAMENTO JOIST",'METAS EMPRESAS'!$C$15:$C$320,$A13-WEEKDAY($A13,2)+1)</f>
        <v/>
      </c>
      <c r="G13" s="159">
        <f>SUMIFS('METAS EMPRESAS'!$K$15:$K$320,'METAS EMPRESAS'!$A$15:$A$320,"CMM",'METAS EMPRESAS'!$B$15:$B$320,"VIGAS",'METAS EMPRESAS'!$C$15:$C$320,$A13-WEEKDAY($A13,2)+1)</f>
        <v/>
      </c>
      <c r="H13" s="159">
        <f>SUMIFS('METAS EMPRESAS'!$G$15:$G$320,'METAS EMPRESAS'!$A$15:$A$320,"EJ",'METAS EMPRESAS'!$B$15:$B$320,"PREMONTAGEM",'METAS EMPRESAS'!$C$15:$C$320,$A13-WEEKDAY($A13,2)+1)</f>
        <v/>
      </c>
      <c r="I13" s="159">
        <f>SUMIFS('METAS EMPRESAS'!$G$15:$G$320,'METAS EMPRESAS'!$A$15:$A$320,"EJ",'METAS EMPRESAS'!$B$15:$B$320,"IÇAMENTO JOIST",'METAS EMPRESAS'!$C$15:$C$320,$A13-WEEKDAY($A13,2)+1)</f>
        <v/>
      </c>
      <c r="J13" s="159">
        <f>SUMIFS('METAS EMPRESAS'!$G$15:$G$320,'METAS EMPRESAS'!$A$15:$A$320,"EJ",'METAS EMPRESAS'!$B$15:$B$320,"VIGAS",'METAS EMPRESAS'!$C$15:$C$320,$A13-WEEKDAY($A13,2)+1)</f>
        <v/>
      </c>
      <c r="K13" s="159">
        <f>SUMIFS('METAS EMPRESAS'!$G$15:$G$320,'METAS EMPRESAS'!$A$15:$A$320,"CMM",'METAS EMPRESAS'!$B$15:$B$320,"PREMONTAGEM",'METAS EMPRESAS'!$C$15:$C$320,$A13-WEEKDAY($A13,2)+1)</f>
        <v/>
      </c>
      <c r="L13" s="159">
        <f>SUMIFS('METAS EMPRESAS'!$G$15:$G$320,'METAS EMPRESAS'!$A$15:$A$320,"CMM",'METAS EMPRESAS'!$B$15:$B$320,"IÇAMENTO JOIST",'METAS EMPRESAS'!$C$15:$C$320,$A13-WEEKDAY($A13,2)+1)</f>
        <v/>
      </c>
      <c r="M13" s="159">
        <f>SUMIFS('METAS EMPRESAS'!$G$15:$G$320,'METAS EMPRESAS'!$A$15:$A$320,"CMM",'METAS EMPRESAS'!$B$15:$B$320,"VIGAS",'METAS EMPRESAS'!$C$15:$C$320,$A13-WEEKDAY($A13,2)+1)</f>
        <v/>
      </c>
      <c r="N13" s="159">
        <f>SUMIFS('METAS EMPRESAS'!$J$15:$J$320,'METAS EMPRESAS'!$A$15:$A$320,"EJ",'METAS EMPRESAS'!$B$15:$B$320,"PREMONTAGEM",'METAS EMPRESAS'!$C$15:$C$320,$A13-WEEKDAY($A13,2)+1)</f>
        <v/>
      </c>
      <c r="O13" s="159">
        <f>SUMIFS('METAS EMPRESAS'!$J$15:$J$320,'METAS EMPRESAS'!$A$15:$A$320,"EJ",'METAS EMPRESAS'!$B$15:$B$320,"IÇAMENTO JOIST",'METAS EMPRESAS'!$C$15:$C$320,$A13-WEEKDAY($A13,2)+1)</f>
        <v/>
      </c>
      <c r="P13" s="159">
        <f>SUMIFS('METAS EMPRESAS'!$J$15:$J$320,'METAS EMPRESAS'!$A$15:$A$320,"EJ",'METAS EMPRESAS'!$B$15:$B$320,"VIGAS",'METAS EMPRESAS'!$C$15:$C$320,$A13-WEEKDAY($A13,2)+1)</f>
        <v/>
      </c>
      <c r="Q13" s="159">
        <f>SUMIFS('METAS EMPRESAS'!$J$15:$J$320,'METAS EMPRESAS'!$A$15:$A$320,"CMM",'METAS EMPRESAS'!$B$15:$B$320,"PREMONTAGEM",'METAS EMPRESAS'!$C$15:$C$320,$A13-WEEKDAY($A13,2)+1)</f>
        <v/>
      </c>
      <c r="R13" s="159">
        <f>SUMIFS('METAS EMPRESAS'!$J$15:$J$320,'METAS EMPRESAS'!$A$15:$A$320,"CMM",'METAS EMPRESAS'!$B$15:$B$320,"IÇAMENTO JOIST",'METAS EMPRESAS'!$C$15:$C$320,$A13-WEEKDAY($A13,2)+1)</f>
        <v/>
      </c>
      <c r="S13" s="159">
        <f>SUMIFS('METAS EMPRESAS'!$J$15:$J$320,'METAS EMPRESAS'!$A$15:$A$320,"CMM",'METAS EMPRESAS'!$B$15:$B$320,"VIGAS",'METAS EMPRESAS'!$C$15:$C$320,$A13-WEEKDAY($A13,2)+1)</f>
        <v/>
      </c>
      <c r="T13">
        <f>--(WEEKDAY(A13,2)&lt;=5)</f>
        <v/>
      </c>
      <c r="U13" t="n">
        <v>19</v>
      </c>
      <c r="V13" t="n">
        <v>7</v>
      </c>
      <c r="W13" t="n">
        <v>0</v>
      </c>
      <c r="X13" t="n">
        <v>5</v>
      </c>
      <c r="Y13" t="n">
        <v>5</v>
      </c>
      <c r="Z13" t="n">
        <v>5</v>
      </c>
      <c r="AA13" t="n">
        <v>95</v>
      </c>
      <c r="AB13" t="n">
        <v>35</v>
      </c>
      <c r="AC13" t="n">
        <v>0</v>
      </c>
    </row>
    <row r="14">
      <c r="A14" s="317" t="n">
        <v>46235</v>
      </c>
      <c r="B14" s="159">
        <f>SUMIFS('METAS EMPRESAS'!$K$15:$K$320,'METAS EMPRESAS'!$A$15:$A$320,"EJ",'METAS EMPRESAS'!$B$15:$B$320,"PREMONTAGEM",'METAS EMPRESAS'!$C$15:$C$320,$A14-WEEKDAY($A14,2)+1)</f>
        <v/>
      </c>
      <c r="C14" s="159">
        <f>SUMIFS('METAS EMPRESAS'!$K$15:$K$320,'METAS EMPRESAS'!$A$15:$A$320,"EJ",'METAS EMPRESAS'!$B$15:$B$320,"IÇAMENTO JOIST",'METAS EMPRESAS'!$C$15:$C$320,$A14-WEEKDAY($A14,2)+1)</f>
        <v/>
      </c>
      <c r="D14" s="159">
        <f>SUMIFS('METAS EMPRESAS'!$K$15:$K$320,'METAS EMPRESAS'!$A$15:$A$320,"EJ",'METAS EMPRESAS'!$B$15:$B$320,"VIGAS",'METAS EMPRESAS'!$C$15:$C$320,$A14-WEEKDAY($A14,2)+1)</f>
        <v/>
      </c>
      <c r="E14" s="159">
        <f>SUMIFS('METAS EMPRESAS'!$K$15:$K$320,'METAS EMPRESAS'!$A$15:$A$320,"CMM",'METAS EMPRESAS'!$B$15:$B$320,"PREMONTAGEM",'METAS EMPRESAS'!$C$15:$C$320,$A14-WEEKDAY($A14,2)+1)</f>
        <v/>
      </c>
      <c r="F14" s="159">
        <f>SUMIFS('METAS EMPRESAS'!$K$15:$K$320,'METAS EMPRESAS'!$A$15:$A$320,"CMM",'METAS EMPRESAS'!$B$15:$B$320,"IÇAMENTO JOIST",'METAS EMPRESAS'!$C$15:$C$320,$A14-WEEKDAY($A14,2)+1)</f>
        <v/>
      </c>
      <c r="G14" s="159">
        <f>SUMIFS('METAS EMPRESAS'!$K$15:$K$320,'METAS EMPRESAS'!$A$15:$A$320,"CMM",'METAS EMPRESAS'!$B$15:$B$320,"VIGAS",'METAS EMPRESAS'!$C$15:$C$320,$A14-WEEKDAY($A14,2)+1)</f>
        <v/>
      </c>
      <c r="H14" s="159">
        <f>SUMIFS('METAS EMPRESAS'!$G$15:$G$320,'METAS EMPRESAS'!$A$15:$A$320,"EJ",'METAS EMPRESAS'!$B$15:$B$320,"PREMONTAGEM",'METAS EMPRESAS'!$C$15:$C$320,$A14-WEEKDAY($A14,2)+1)</f>
        <v/>
      </c>
      <c r="I14" s="159">
        <f>SUMIFS('METAS EMPRESAS'!$G$15:$G$320,'METAS EMPRESAS'!$A$15:$A$320,"EJ",'METAS EMPRESAS'!$B$15:$B$320,"IÇAMENTO JOIST",'METAS EMPRESAS'!$C$15:$C$320,$A14-WEEKDAY($A14,2)+1)</f>
        <v/>
      </c>
      <c r="J14" s="159">
        <f>SUMIFS('METAS EMPRESAS'!$G$15:$G$320,'METAS EMPRESAS'!$A$15:$A$320,"EJ",'METAS EMPRESAS'!$B$15:$B$320,"VIGAS",'METAS EMPRESAS'!$C$15:$C$320,$A14-WEEKDAY($A14,2)+1)</f>
        <v/>
      </c>
      <c r="K14" s="159">
        <f>SUMIFS('METAS EMPRESAS'!$G$15:$G$320,'METAS EMPRESAS'!$A$15:$A$320,"CMM",'METAS EMPRESAS'!$B$15:$B$320,"PREMONTAGEM",'METAS EMPRESAS'!$C$15:$C$320,$A14-WEEKDAY($A14,2)+1)</f>
        <v/>
      </c>
      <c r="L14" s="159">
        <f>SUMIFS('METAS EMPRESAS'!$G$15:$G$320,'METAS EMPRESAS'!$A$15:$A$320,"CMM",'METAS EMPRESAS'!$B$15:$B$320,"IÇAMENTO JOIST",'METAS EMPRESAS'!$C$15:$C$320,$A14-WEEKDAY($A14,2)+1)</f>
        <v/>
      </c>
      <c r="M14" s="159">
        <f>SUMIFS('METAS EMPRESAS'!$G$15:$G$320,'METAS EMPRESAS'!$A$15:$A$320,"CMM",'METAS EMPRESAS'!$B$15:$B$320,"VIGAS",'METAS EMPRESAS'!$C$15:$C$320,$A14-WEEKDAY($A14,2)+1)</f>
        <v/>
      </c>
      <c r="N14" s="159">
        <f>SUMIFS('METAS EMPRESAS'!$J$15:$J$320,'METAS EMPRESAS'!$A$15:$A$320,"EJ",'METAS EMPRESAS'!$B$15:$B$320,"PREMONTAGEM",'METAS EMPRESAS'!$C$15:$C$320,$A14-WEEKDAY($A14,2)+1)</f>
        <v/>
      </c>
      <c r="O14" s="159">
        <f>SUMIFS('METAS EMPRESAS'!$J$15:$J$320,'METAS EMPRESAS'!$A$15:$A$320,"EJ",'METAS EMPRESAS'!$B$15:$B$320,"IÇAMENTO JOIST",'METAS EMPRESAS'!$C$15:$C$320,$A14-WEEKDAY($A14,2)+1)</f>
        <v/>
      </c>
      <c r="P14" s="159">
        <f>SUMIFS('METAS EMPRESAS'!$J$15:$J$320,'METAS EMPRESAS'!$A$15:$A$320,"EJ",'METAS EMPRESAS'!$B$15:$B$320,"VIGAS",'METAS EMPRESAS'!$C$15:$C$320,$A14-WEEKDAY($A14,2)+1)</f>
        <v/>
      </c>
      <c r="Q14" s="159">
        <f>SUMIFS('METAS EMPRESAS'!$J$15:$J$320,'METAS EMPRESAS'!$A$15:$A$320,"CMM",'METAS EMPRESAS'!$B$15:$B$320,"PREMONTAGEM",'METAS EMPRESAS'!$C$15:$C$320,$A14-WEEKDAY($A14,2)+1)</f>
        <v/>
      </c>
      <c r="R14" s="159">
        <f>SUMIFS('METAS EMPRESAS'!$J$15:$J$320,'METAS EMPRESAS'!$A$15:$A$320,"CMM",'METAS EMPRESAS'!$B$15:$B$320,"IÇAMENTO JOIST",'METAS EMPRESAS'!$C$15:$C$320,$A14-WEEKDAY($A14,2)+1)</f>
        <v/>
      </c>
      <c r="S14" s="159">
        <f>SUMIFS('METAS EMPRESAS'!$J$15:$J$320,'METAS EMPRESAS'!$A$15:$A$320,"CMM",'METAS EMPRESAS'!$B$15:$B$320,"VIGAS",'METAS EMPRESAS'!$C$15:$C$320,$A14-WEEKDAY($A14,2)+1)</f>
        <v/>
      </c>
      <c r="T14">
        <f>--(WEEKDAY(A14,2)&lt;=5)</f>
        <v/>
      </c>
      <c r="U14" t="n">
        <v>19</v>
      </c>
      <c r="V14" t="n">
        <v>7</v>
      </c>
      <c r="W14" t="n">
        <v>0</v>
      </c>
      <c r="X14" t="n">
        <v>5</v>
      </c>
      <c r="Y14" t="n">
        <v>5</v>
      </c>
      <c r="Z14" t="n">
        <v>5</v>
      </c>
      <c r="AA14" t="n">
        <v>95</v>
      </c>
      <c r="AB14" t="n">
        <v>35</v>
      </c>
      <c r="AC14" t="n">
        <v>0</v>
      </c>
    </row>
    <row r="15">
      <c r="A15" s="317" t="n">
        <v>46236</v>
      </c>
      <c r="B15" s="159">
        <f>SUMIFS('METAS EMPRESAS'!$K$15:$K$320,'METAS EMPRESAS'!$A$15:$A$320,"EJ",'METAS EMPRESAS'!$B$15:$B$320,"PREMONTAGEM",'METAS EMPRESAS'!$C$15:$C$320,$A15-WEEKDAY($A15,2)+1)</f>
        <v/>
      </c>
      <c r="C15" s="159">
        <f>SUMIFS('METAS EMPRESAS'!$K$15:$K$320,'METAS EMPRESAS'!$A$15:$A$320,"EJ",'METAS EMPRESAS'!$B$15:$B$320,"IÇAMENTO JOIST",'METAS EMPRESAS'!$C$15:$C$320,$A15-WEEKDAY($A15,2)+1)</f>
        <v/>
      </c>
      <c r="D15" s="159">
        <f>SUMIFS('METAS EMPRESAS'!$K$15:$K$320,'METAS EMPRESAS'!$A$15:$A$320,"EJ",'METAS EMPRESAS'!$B$15:$B$320,"VIGAS",'METAS EMPRESAS'!$C$15:$C$320,$A15-WEEKDAY($A15,2)+1)</f>
        <v/>
      </c>
      <c r="E15" s="159">
        <f>SUMIFS('METAS EMPRESAS'!$K$15:$K$320,'METAS EMPRESAS'!$A$15:$A$320,"CMM",'METAS EMPRESAS'!$B$15:$B$320,"PREMONTAGEM",'METAS EMPRESAS'!$C$15:$C$320,$A15-WEEKDAY($A15,2)+1)</f>
        <v/>
      </c>
      <c r="F15" s="159">
        <f>SUMIFS('METAS EMPRESAS'!$K$15:$K$320,'METAS EMPRESAS'!$A$15:$A$320,"CMM",'METAS EMPRESAS'!$B$15:$B$320,"IÇAMENTO JOIST",'METAS EMPRESAS'!$C$15:$C$320,$A15-WEEKDAY($A15,2)+1)</f>
        <v/>
      </c>
      <c r="G15" s="159">
        <f>SUMIFS('METAS EMPRESAS'!$K$15:$K$320,'METAS EMPRESAS'!$A$15:$A$320,"CMM",'METAS EMPRESAS'!$B$15:$B$320,"VIGAS",'METAS EMPRESAS'!$C$15:$C$320,$A15-WEEKDAY($A15,2)+1)</f>
        <v/>
      </c>
      <c r="H15" s="159">
        <f>SUMIFS('METAS EMPRESAS'!$G$15:$G$320,'METAS EMPRESAS'!$A$15:$A$320,"EJ",'METAS EMPRESAS'!$B$15:$B$320,"PREMONTAGEM",'METAS EMPRESAS'!$C$15:$C$320,$A15-WEEKDAY($A15,2)+1)</f>
        <v/>
      </c>
      <c r="I15" s="159">
        <f>SUMIFS('METAS EMPRESAS'!$G$15:$G$320,'METAS EMPRESAS'!$A$15:$A$320,"EJ",'METAS EMPRESAS'!$B$15:$B$320,"IÇAMENTO JOIST",'METAS EMPRESAS'!$C$15:$C$320,$A15-WEEKDAY($A15,2)+1)</f>
        <v/>
      </c>
      <c r="J15" s="159">
        <f>SUMIFS('METAS EMPRESAS'!$G$15:$G$320,'METAS EMPRESAS'!$A$15:$A$320,"EJ",'METAS EMPRESAS'!$B$15:$B$320,"VIGAS",'METAS EMPRESAS'!$C$15:$C$320,$A15-WEEKDAY($A15,2)+1)</f>
        <v/>
      </c>
      <c r="K15" s="159">
        <f>SUMIFS('METAS EMPRESAS'!$G$15:$G$320,'METAS EMPRESAS'!$A$15:$A$320,"CMM",'METAS EMPRESAS'!$B$15:$B$320,"PREMONTAGEM",'METAS EMPRESAS'!$C$15:$C$320,$A15-WEEKDAY($A15,2)+1)</f>
        <v/>
      </c>
      <c r="L15" s="159">
        <f>SUMIFS('METAS EMPRESAS'!$G$15:$G$320,'METAS EMPRESAS'!$A$15:$A$320,"CMM",'METAS EMPRESAS'!$B$15:$B$320,"IÇAMENTO JOIST",'METAS EMPRESAS'!$C$15:$C$320,$A15-WEEKDAY($A15,2)+1)</f>
        <v/>
      </c>
      <c r="M15" s="159">
        <f>SUMIFS('METAS EMPRESAS'!$G$15:$G$320,'METAS EMPRESAS'!$A$15:$A$320,"CMM",'METAS EMPRESAS'!$B$15:$B$320,"VIGAS",'METAS EMPRESAS'!$C$15:$C$320,$A15-WEEKDAY($A15,2)+1)</f>
        <v/>
      </c>
      <c r="N15" s="159">
        <f>SUMIFS('METAS EMPRESAS'!$J$15:$J$320,'METAS EMPRESAS'!$A$15:$A$320,"EJ",'METAS EMPRESAS'!$B$15:$B$320,"PREMONTAGEM",'METAS EMPRESAS'!$C$15:$C$320,$A15-WEEKDAY($A15,2)+1)</f>
        <v/>
      </c>
      <c r="O15" s="159">
        <f>SUMIFS('METAS EMPRESAS'!$J$15:$J$320,'METAS EMPRESAS'!$A$15:$A$320,"EJ",'METAS EMPRESAS'!$B$15:$B$320,"IÇAMENTO JOIST",'METAS EMPRESAS'!$C$15:$C$320,$A15-WEEKDAY($A15,2)+1)</f>
        <v/>
      </c>
      <c r="P15" s="159">
        <f>SUMIFS('METAS EMPRESAS'!$J$15:$J$320,'METAS EMPRESAS'!$A$15:$A$320,"EJ",'METAS EMPRESAS'!$B$15:$B$320,"VIGAS",'METAS EMPRESAS'!$C$15:$C$320,$A15-WEEKDAY($A15,2)+1)</f>
        <v/>
      </c>
      <c r="Q15" s="159">
        <f>SUMIFS('METAS EMPRESAS'!$J$15:$J$320,'METAS EMPRESAS'!$A$15:$A$320,"CMM",'METAS EMPRESAS'!$B$15:$B$320,"PREMONTAGEM",'METAS EMPRESAS'!$C$15:$C$320,$A15-WEEKDAY($A15,2)+1)</f>
        <v/>
      </c>
      <c r="R15" s="159">
        <f>SUMIFS('METAS EMPRESAS'!$J$15:$J$320,'METAS EMPRESAS'!$A$15:$A$320,"CMM",'METAS EMPRESAS'!$B$15:$B$320,"IÇAMENTO JOIST",'METAS EMPRESAS'!$C$15:$C$320,$A15-WEEKDAY($A15,2)+1)</f>
        <v/>
      </c>
      <c r="S15" s="159">
        <f>SUMIFS('METAS EMPRESAS'!$J$15:$J$320,'METAS EMPRESAS'!$A$15:$A$320,"CMM",'METAS EMPRESAS'!$B$15:$B$320,"VIGAS",'METAS EMPRESAS'!$C$15:$C$320,$A15-WEEKDAY($A15,2)+1)</f>
        <v/>
      </c>
      <c r="T15">
        <f>--(WEEKDAY(A15,2)&lt;=5)</f>
        <v/>
      </c>
      <c r="U15" t="n">
        <v>19</v>
      </c>
      <c r="V15" t="n">
        <v>7</v>
      </c>
      <c r="W15" t="n">
        <v>0</v>
      </c>
      <c r="X15" t="n">
        <v>5</v>
      </c>
      <c r="Y15" t="n">
        <v>5</v>
      </c>
      <c r="Z15" t="n">
        <v>5</v>
      </c>
      <c r="AA15" t="n">
        <v>95</v>
      </c>
      <c r="AB15" t="n">
        <v>35</v>
      </c>
      <c r="AC15" t="n">
        <v>0</v>
      </c>
    </row>
    <row r="16">
      <c r="A16" s="317" t="n">
        <v>46237</v>
      </c>
      <c r="B16" s="159">
        <f>SUMIFS('METAS EMPRESAS'!$K$15:$K$320,'METAS EMPRESAS'!$A$15:$A$320,"EJ",'METAS EMPRESAS'!$B$15:$B$320,"PREMONTAGEM",'METAS EMPRESAS'!$C$15:$C$320,$A16-WEEKDAY($A16,2)+1)</f>
        <v/>
      </c>
      <c r="C16" s="159">
        <f>SUMIFS('METAS EMPRESAS'!$K$15:$K$320,'METAS EMPRESAS'!$A$15:$A$320,"EJ",'METAS EMPRESAS'!$B$15:$B$320,"IÇAMENTO JOIST",'METAS EMPRESAS'!$C$15:$C$320,$A16-WEEKDAY($A16,2)+1)</f>
        <v/>
      </c>
      <c r="D16" s="159">
        <f>SUMIFS('METAS EMPRESAS'!$K$15:$K$320,'METAS EMPRESAS'!$A$15:$A$320,"EJ",'METAS EMPRESAS'!$B$15:$B$320,"VIGAS",'METAS EMPRESAS'!$C$15:$C$320,$A16-WEEKDAY($A16,2)+1)</f>
        <v/>
      </c>
      <c r="E16" s="159">
        <f>SUMIFS('METAS EMPRESAS'!$K$15:$K$320,'METAS EMPRESAS'!$A$15:$A$320,"CMM",'METAS EMPRESAS'!$B$15:$B$320,"PREMONTAGEM",'METAS EMPRESAS'!$C$15:$C$320,$A16-WEEKDAY($A16,2)+1)</f>
        <v/>
      </c>
      <c r="F16" s="159">
        <f>SUMIFS('METAS EMPRESAS'!$K$15:$K$320,'METAS EMPRESAS'!$A$15:$A$320,"CMM",'METAS EMPRESAS'!$B$15:$B$320,"IÇAMENTO JOIST",'METAS EMPRESAS'!$C$15:$C$320,$A16-WEEKDAY($A16,2)+1)</f>
        <v/>
      </c>
      <c r="G16" s="159">
        <f>SUMIFS('METAS EMPRESAS'!$K$15:$K$320,'METAS EMPRESAS'!$A$15:$A$320,"CMM",'METAS EMPRESAS'!$B$15:$B$320,"VIGAS",'METAS EMPRESAS'!$C$15:$C$320,$A16-WEEKDAY($A16,2)+1)</f>
        <v/>
      </c>
      <c r="H16" s="159">
        <f>SUMIFS('METAS EMPRESAS'!$G$15:$G$320,'METAS EMPRESAS'!$A$15:$A$320,"EJ",'METAS EMPRESAS'!$B$15:$B$320,"PREMONTAGEM",'METAS EMPRESAS'!$C$15:$C$320,$A16-WEEKDAY($A16,2)+1)</f>
        <v/>
      </c>
      <c r="I16" s="159">
        <f>SUMIFS('METAS EMPRESAS'!$G$15:$G$320,'METAS EMPRESAS'!$A$15:$A$320,"EJ",'METAS EMPRESAS'!$B$15:$B$320,"IÇAMENTO JOIST",'METAS EMPRESAS'!$C$15:$C$320,$A16-WEEKDAY($A16,2)+1)</f>
        <v/>
      </c>
      <c r="J16" s="159">
        <f>SUMIFS('METAS EMPRESAS'!$G$15:$G$320,'METAS EMPRESAS'!$A$15:$A$320,"EJ",'METAS EMPRESAS'!$B$15:$B$320,"VIGAS",'METAS EMPRESAS'!$C$15:$C$320,$A16-WEEKDAY($A16,2)+1)</f>
        <v/>
      </c>
      <c r="K16" s="159">
        <f>SUMIFS('METAS EMPRESAS'!$G$15:$G$320,'METAS EMPRESAS'!$A$15:$A$320,"CMM",'METAS EMPRESAS'!$B$15:$B$320,"PREMONTAGEM",'METAS EMPRESAS'!$C$15:$C$320,$A16-WEEKDAY($A16,2)+1)</f>
        <v/>
      </c>
      <c r="L16" s="159">
        <f>SUMIFS('METAS EMPRESAS'!$G$15:$G$320,'METAS EMPRESAS'!$A$15:$A$320,"CMM",'METAS EMPRESAS'!$B$15:$B$320,"IÇAMENTO JOIST",'METAS EMPRESAS'!$C$15:$C$320,$A16-WEEKDAY($A16,2)+1)</f>
        <v/>
      </c>
      <c r="M16" s="159">
        <f>SUMIFS('METAS EMPRESAS'!$G$15:$G$320,'METAS EMPRESAS'!$A$15:$A$320,"CMM",'METAS EMPRESAS'!$B$15:$B$320,"VIGAS",'METAS EMPRESAS'!$C$15:$C$320,$A16-WEEKDAY($A16,2)+1)</f>
        <v/>
      </c>
      <c r="N16" s="159">
        <f>SUMIFS('METAS EMPRESAS'!$J$15:$J$320,'METAS EMPRESAS'!$A$15:$A$320,"EJ",'METAS EMPRESAS'!$B$15:$B$320,"PREMONTAGEM",'METAS EMPRESAS'!$C$15:$C$320,$A16-WEEKDAY($A16,2)+1)</f>
        <v/>
      </c>
      <c r="O16" s="159">
        <f>SUMIFS('METAS EMPRESAS'!$J$15:$J$320,'METAS EMPRESAS'!$A$15:$A$320,"EJ",'METAS EMPRESAS'!$B$15:$B$320,"IÇAMENTO JOIST",'METAS EMPRESAS'!$C$15:$C$320,$A16-WEEKDAY($A16,2)+1)</f>
        <v/>
      </c>
      <c r="P16" s="159">
        <f>SUMIFS('METAS EMPRESAS'!$J$15:$J$320,'METAS EMPRESAS'!$A$15:$A$320,"EJ",'METAS EMPRESAS'!$B$15:$B$320,"VIGAS",'METAS EMPRESAS'!$C$15:$C$320,$A16-WEEKDAY($A16,2)+1)</f>
        <v/>
      </c>
      <c r="Q16" s="159">
        <f>SUMIFS('METAS EMPRESAS'!$J$15:$J$320,'METAS EMPRESAS'!$A$15:$A$320,"CMM",'METAS EMPRESAS'!$B$15:$B$320,"PREMONTAGEM",'METAS EMPRESAS'!$C$15:$C$320,$A16-WEEKDAY($A16,2)+1)</f>
        <v/>
      </c>
      <c r="R16" s="159">
        <f>SUMIFS('METAS EMPRESAS'!$J$15:$J$320,'METAS EMPRESAS'!$A$15:$A$320,"CMM",'METAS EMPRESAS'!$B$15:$B$320,"IÇAMENTO JOIST",'METAS EMPRESAS'!$C$15:$C$320,$A16-WEEKDAY($A16,2)+1)</f>
        <v/>
      </c>
      <c r="S16" s="159">
        <f>SUMIFS('METAS EMPRESAS'!$J$15:$J$320,'METAS EMPRESAS'!$A$15:$A$320,"CMM",'METAS EMPRESAS'!$B$15:$B$320,"VIGAS",'METAS EMPRESAS'!$C$15:$C$320,$A16-WEEKDAY($A16,2)+1)</f>
        <v/>
      </c>
      <c r="T16">
        <f>--(WEEKDAY(A16,2)&lt;=5)</f>
        <v/>
      </c>
      <c r="U16" t="n">
        <v>19</v>
      </c>
      <c r="V16" t="n">
        <v>7</v>
      </c>
      <c r="W16" t="n">
        <v>0</v>
      </c>
      <c r="X16" t="n">
        <v>5</v>
      </c>
      <c r="Y16" t="n">
        <v>5</v>
      </c>
      <c r="Z16" t="n">
        <v>5</v>
      </c>
      <c r="AA16" t="n">
        <v>95</v>
      </c>
      <c r="AB16" t="n">
        <v>35</v>
      </c>
      <c r="AC16" t="n">
        <v>0</v>
      </c>
    </row>
    <row r="17">
      <c r="A17" s="317" t="n">
        <v>46238</v>
      </c>
      <c r="B17" s="159">
        <f>SUMIFS('METAS EMPRESAS'!$K$15:$K$320,'METAS EMPRESAS'!$A$15:$A$320,"EJ",'METAS EMPRESAS'!$B$15:$B$320,"PREMONTAGEM",'METAS EMPRESAS'!$C$15:$C$320,$A17-WEEKDAY($A17,2)+1)</f>
        <v/>
      </c>
      <c r="C17" s="159">
        <f>SUMIFS('METAS EMPRESAS'!$K$15:$K$320,'METAS EMPRESAS'!$A$15:$A$320,"EJ",'METAS EMPRESAS'!$B$15:$B$320,"IÇAMENTO JOIST",'METAS EMPRESAS'!$C$15:$C$320,$A17-WEEKDAY($A17,2)+1)</f>
        <v/>
      </c>
      <c r="D17" s="159">
        <f>SUMIFS('METAS EMPRESAS'!$K$15:$K$320,'METAS EMPRESAS'!$A$15:$A$320,"EJ",'METAS EMPRESAS'!$B$15:$B$320,"VIGAS",'METAS EMPRESAS'!$C$15:$C$320,$A17-WEEKDAY($A17,2)+1)</f>
        <v/>
      </c>
      <c r="E17" s="159">
        <f>SUMIFS('METAS EMPRESAS'!$K$15:$K$320,'METAS EMPRESAS'!$A$15:$A$320,"CMM",'METAS EMPRESAS'!$B$15:$B$320,"PREMONTAGEM",'METAS EMPRESAS'!$C$15:$C$320,$A17-WEEKDAY($A17,2)+1)</f>
        <v/>
      </c>
      <c r="F17" s="159">
        <f>SUMIFS('METAS EMPRESAS'!$K$15:$K$320,'METAS EMPRESAS'!$A$15:$A$320,"CMM",'METAS EMPRESAS'!$B$15:$B$320,"IÇAMENTO JOIST",'METAS EMPRESAS'!$C$15:$C$320,$A17-WEEKDAY($A17,2)+1)</f>
        <v/>
      </c>
      <c r="G17" s="159">
        <f>SUMIFS('METAS EMPRESAS'!$K$15:$K$320,'METAS EMPRESAS'!$A$15:$A$320,"CMM",'METAS EMPRESAS'!$B$15:$B$320,"VIGAS",'METAS EMPRESAS'!$C$15:$C$320,$A17-WEEKDAY($A17,2)+1)</f>
        <v/>
      </c>
      <c r="H17" s="159">
        <f>SUMIFS('METAS EMPRESAS'!$G$15:$G$320,'METAS EMPRESAS'!$A$15:$A$320,"EJ",'METAS EMPRESAS'!$B$15:$B$320,"PREMONTAGEM",'METAS EMPRESAS'!$C$15:$C$320,$A17-WEEKDAY($A17,2)+1)</f>
        <v/>
      </c>
      <c r="I17" s="159">
        <f>SUMIFS('METAS EMPRESAS'!$G$15:$G$320,'METAS EMPRESAS'!$A$15:$A$320,"EJ",'METAS EMPRESAS'!$B$15:$B$320,"IÇAMENTO JOIST",'METAS EMPRESAS'!$C$15:$C$320,$A17-WEEKDAY($A17,2)+1)</f>
        <v/>
      </c>
      <c r="J17" s="159">
        <f>SUMIFS('METAS EMPRESAS'!$G$15:$G$320,'METAS EMPRESAS'!$A$15:$A$320,"EJ",'METAS EMPRESAS'!$B$15:$B$320,"VIGAS",'METAS EMPRESAS'!$C$15:$C$320,$A17-WEEKDAY($A17,2)+1)</f>
        <v/>
      </c>
      <c r="K17" s="159">
        <f>SUMIFS('METAS EMPRESAS'!$G$15:$G$320,'METAS EMPRESAS'!$A$15:$A$320,"CMM",'METAS EMPRESAS'!$B$15:$B$320,"PREMONTAGEM",'METAS EMPRESAS'!$C$15:$C$320,$A17-WEEKDAY($A17,2)+1)</f>
        <v/>
      </c>
      <c r="L17" s="159">
        <f>SUMIFS('METAS EMPRESAS'!$G$15:$G$320,'METAS EMPRESAS'!$A$15:$A$320,"CMM",'METAS EMPRESAS'!$B$15:$B$320,"IÇAMENTO JOIST",'METAS EMPRESAS'!$C$15:$C$320,$A17-WEEKDAY($A17,2)+1)</f>
        <v/>
      </c>
      <c r="M17" s="159">
        <f>SUMIFS('METAS EMPRESAS'!$G$15:$G$320,'METAS EMPRESAS'!$A$15:$A$320,"CMM",'METAS EMPRESAS'!$B$15:$B$320,"VIGAS",'METAS EMPRESAS'!$C$15:$C$320,$A17-WEEKDAY($A17,2)+1)</f>
        <v/>
      </c>
      <c r="N17" s="159">
        <f>SUMIFS('METAS EMPRESAS'!$J$15:$J$320,'METAS EMPRESAS'!$A$15:$A$320,"EJ",'METAS EMPRESAS'!$B$15:$B$320,"PREMONTAGEM",'METAS EMPRESAS'!$C$15:$C$320,$A17-WEEKDAY($A17,2)+1)</f>
        <v/>
      </c>
      <c r="O17" s="159">
        <f>SUMIFS('METAS EMPRESAS'!$J$15:$J$320,'METAS EMPRESAS'!$A$15:$A$320,"EJ",'METAS EMPRESAS'!$B$15:$B$320,"IÇAMENTO JOIST",'METAS EMPRESAS'!$C$15:$C$320,$A17-WEEKDAY($A17,2)+1)</f>
        <v/>
      </c>
      <c r="P17" s="159">
        <f>SUMIFS('METAS EMPRESAS'!$J$15:$J$320,'METAS EMPRESAS'!$A$15:$A$320,"EJ",'METAS EMPRESAS'!$B$15:$B$320,"VIGAS",'METAS EMPRESAS'!$C$15:$C$320,$A17-WEEKDAY($A17,2)+1)</f>
        <v/>
      </c>
      <c r="Q17" s="159">
        <f>SUMIFS('METAS EMPRESAS'!$J$15:$J$320,'METAS EMPRESAS'!$A$15:$A$320,"CMM",'METAS EMPRESAS'!$B$15:$B$320,"PREMONTAGEM",'METAS EMPRESAS'!$C$15:$C$320,$A17-WEEKDAY($A17,2)+1)</f>
        <v/>
      </c>
      <c r="R17" s="159">
        <f>SUMIFS('METAS EMPRESAS'!$J$15:$J$320,'METAS EMPRESAS'!$A$15:$A$320,"CMM",'METAS EMPRESAS'!$B$15:$B$320,"IÇAMENTO JOIST",'METAS EMPRESAS'!$C$15:$C$320,$A17-WEEKDAY($A17,2)+1)</f>
        <v/>
      </c>
      <c r="S17" s="159">
        <f>SUMIFS('METAS EMPRESAS'!$J$15:$J$320,'METAS EMPRESAS'!$A$15:$A$320,"CMM",'METAS EMPRESAS'!$B$15:$B$320,"VIGAS",'METAS EMPRESAS'!$C$15:$C$320,$A17-WEEKDAY($A17,2)+1)</f>
        <v/>
      </c>
      <c r="T17">
        <f>--(WEEKDAY(A17,2)&lt;=5)</f>
        <v/>
      </c>
      <c r="U17" t="n">
        <v>19</v>
      </c>
      <c r="V17" t="n">
        <v>7</v>
      </c>
      <c r="W17" t="n">
        <v>0</v>
      </c>
      <c r="X17" t="n">
        <v>5</v>
      </c>
      <c r="Y17" t="n">
        <v>5</v>
      </c>
      <c r="Z17" t="n">
        <v>5</v>
      </c>
      <c r="AA17" t="n">
        <v>95</v>
      </c>
      <c r="AB17" t="n">
        <v>35</v>
      </c>
      <c r="AC17" t="n">
        <v>0</v>
      </c>
    </row>
    <row r="18">
      <c r="A18" s="317" t="n">
        <v>46239</v>
      </c>
      <c r="B18" s="159">
        <f>SUMIFS('METAS EMPRESAS'!$K$15:$K$320,'METAS EMPRESAS'!$A$15:$A$320,"EJ",'METAS EMPRESAS'!$B$15:$B$320,"PREMONTAGEM",'METAS EMPRESAS'!$C$15:$C$320,$A18-WEEKDAY($A18,2)+1)</f>
        <v/>
      </c>
      <c r="C18" s="159">
        <f>SUMIFS('METAS EMPRESAS'!$K$15:$K$320,'METAS EMPRESAS'!$A$15:$A$320,"EJ",'METAS EMPRESAS'!$B$15:$B$320,"IÇAMENTO JOIST",'METAS EMPRESAS'!$C$15:$C$320,$A18-WEEKDAY($A18,2)+1)</f>
        <v/>
      </c>
      <c r="D18" s="159">
        <f>SUMIFS('METAS EMPRESAS'!$K$15:$K$320,'METAS EMPRESAS'!$A$15:$A$320,"EJ",'METAS EMPRESAS'!$B$15:$B$320,"VIGAS",'METAS EMPRESAS'!$C$15:$C$320,$A18-WEEKDAY($A18,2)+1)</f>
        <v/>
      </c>
      <c r="E18" s="159">
        <f>SUMIFS('METAS EMPRESAS'!$K$15:$K$320,'METAS EMPRESAS'!$A$15:$A$320,"CMM",'METAS EMPRESAS'!$B$15:$B$320,"PREMONTAGEM",'METAS EMPRESAS'!$C$15:$C$320,$A18-WEEKDAY($A18,2)+1)</f>
        <v/>
      </c>
      <c r="F18" s="159">
        <f>SUMIFS('METAS EMPRESAS'!$K$15:$K$320,'METAS EMPRESAS'!$A$15:$A$320,"CMM",'METAS EMPRESAS'!$B$15:$B$320,"IÇAMENTO JOIST",'METAS EMPRESAS'!$C$15:$C$320,$A18-WEEKDAY($A18,2)+1)</f>
        <v/>
      </c>
      <c r="G18" s="159">
        <f>SUMIFS('METAS EMPRESAS'!$K$15:$K$320,'METAS EMPRESAS'!$A$15:$A$320,"CMM",'METAS EMPRESAS'!$B$15:$B$320,"VIGAS",'METAS EMPRESAS'!$C$15:$C$320,$A18-WEEKDAY($A18,2)+1)</f>
        <v/>
      </c>
      <c r="H18" s="159">
        <f>SUMIFS('METAS EMPRESAS'!$G$15:$G$320,'METAS EMPRESAS'!$A$15:$A$320,"EJ",'METAS EMPRESAS'!$B$15:$B$320,"PREMONTAGEM",'METAS EMPRESAS'!$C$15:$C$320,$A18-WEEKDAY($A18,2)+1)</f>
        <v/>
      </c>
      <c r="I18" s="159">
        <f>SUMIFS('METAS EMPRESAS'!$G$15:$G$320,'METAS EMPRESAS'!$A$15:$A$320,"EJ",'METAS EMPRESAS'!$B$15:$B$320,"IÇAMENTO JOIST",'METAS EMPRESAS'!$C$15:$C$320,$A18-WEEKDAY($A18,2)+1)</f>
        <v/>
      </c>
      <c r="J18" s="159">
        <f>SUMIFS('METAS EMPRESAS'!$G$15:$G$320,'METAS EMPRESAS'!$A$15:$A$320,"EJ",'METAS EMPRESAS'!$B$15:$B$320,"VIGAS",'METAS EMPRESAS'!$C$15:$C$320,$A18-WEEKDAY($A18,2)+1)</f>
        <v/>
      </c>
      <c r="K18" s="159">
        <f>SUMIFS('METAS EMPRESAS'!$G$15:$G$320,'METAS EMPRESAS'!$A$15:$A$320,"CMM",'METAS EMPRESAS'!$B$15:$B$320,"PREMONTAGEM",'METAS EMPRESAS'!$C$15:$C$320,$A18-WEEKDAY($A18,2)+1)</f>
        <v/>
      </c>
      <c r="L18" s="159">
        <f>SUMIFS('METAS EMPRESAS'!$G$15:$G$320,'METAS EMPRESAS'!$A$15:$A$320,"CMM",'METAS EMPRESAS'!$B$15:$B$320,"IÇAMENTO JOIST",'METAS EMPRESAS'!$C$15:$C$320,$A18-WEEKDAY($A18,2)+1)</f>
        <v/>
      </c>
      <c r="M18" s="159">
        <f>SUMIFS('METAS EMPRESAS'!$G$15:$G$320,'METAS EMPRESAS'!$A$15:$A$320,"CMM",'METAS EMPRESAS'!$B$15:$B$320,"VIGAS",'METAS EMPRESAS'!$C$15:$C$320,$A18-WEEKDAY($A18,2)+1)</f>
        <v/>
      </c>
      <c r="N18" s="159">
        <f>SUMIFS('METAS EMPRESAS'!$J$15:$J$320,'METAS EMPRESAS'!$A$15:$A$320,"EJ",'METAS EMPRESAS'!$B$15:$B$320,"PREMONTAGEM",'METAS EMPRESAS'!$C$15:$C$320,$A18-WEEKDAY($A18,2)+1)</f>
        <v/>
      </c>
      <c r="O18" s="159">
        <f>SUMIFS('METAS EMPRESAS'!$J$15:$J$320,'METAS EMPRESAS'!$A$15:$A$320,"EJ",'METAS EMPRESAS'!$B$15:$B$320,"IÇAMENTO JOIST",'METAS EMPRESAS'!$C$15:$C$320,$A18-WEEKDAY($A18,2)+1)</f>
        <v/>
      </c>
      <c r="P18" s="159">
        <f>SUMIFS('METAS EMPRESAS'!$J$15:$J$320,'METAS EMPRESAS'!$A$15:$A$320,"EJ",'METAS EMPRESAS'!$B$15:$B$320,"VIGAS",'METAS EMPRESAS'!$C$15:$C$320,$A18-WEEKDAY($A18,2)+1)</f>
        <v/>
      </c>
      <c r="Q18" s="159">
        <f>SUMIFS('METAS EMPRESAS'!$J$15:$J$320,'METAS EMPRESAS'!$A$15:$A$320,"CMM",'METAS EMPRESAS'!$B$15:$B$320,"PREMONTAGEM",'METAS EMPRESAS'!$C$15:$C$320,$A18-WEEKDAY($A18,2)+1)</f>
        <v/>
      </c>
      <c r="R18" s="159">
        <f>SUMIFS('METAS EMPRESAS'!$J$15:$J$320,'METAS EMPRESAS'!$A$15:$A$320,"CMM",'METAS EMPRESAS'!$B$15:$B$320,"IÇAMENTO JOIST",'METAS EMPRESAS'!$C$15:$C$320,$A18-WEEKDAY($A18,2)+1)</f>
        <v/>
      </c>
      <c r="S18" s="159">
        <f>SUMIFS('METAS EMPRESAS'!$J$15:$J$320,'METAS EMPRESAS'!$A$15:$A$320,"CMM",'METAS EMPRESAS'!$B$15:$B$320,"VIGAS",'METAS EMPRESAS'!$C$15:$C$320,$A18-WEEKDAY($A18,2)+1)</f>
        <v/>
      </c>
      <c r="T18">
        <f>--(WEEKDAY(A18,2)&lt;=5)</f>
        <v/>
      </c>
      <c r="U18" t="n">
        <v>19</v>
      </c>
      <c r="V18" t="n">
        <v>7</v>
      </c>
      <c r="W18" t="n">
        <v>0</v>
      </c>
      <c r="X18" t="n">
        <v>5</v>
      </c>
      <c r="Y18" t="n">
        <v>5</v>
      </c>
      <c r="Z18" t="n">
        <v>5</v>
      </c>
      <c r="AA18" t="n">
        <v>95</v>
      </c>
      <c r="AB18" t="n">
        <v>35</v>
      </c>
      <c r="AC18" t="n">
        <v>0</v>
      </c>
    </row>
    <row r="19">
      <c r="A19" s="317" t="n">
        <v>46240</v>
      </c>
      <c r="B19" s="159">
        <f>SUMIFS('METAS EMPRESAS'!$K$15:$K$320,'METAS EMPRESAS'!$A$15:$A$320,"EJ",'METAS EMPRESAS'!$B$15:$B$320,"PREMONTAGEM",'METAS EMPRESAS'!$C$15:$C$320,$A19-WEEKDAY($A19,2)+1)</f>
        <v/>
      </c>
      <c r="C19" s="159">
        <f>SUMIFS('METAS EMPRESAS'!$K$15:$K$320,'METAS EMPRESAS'!$A$15:$A$320,"EJ",'METAS EMPRESAS'!$B$15:$B$320,"IÇAMENTO JOIST",'METAS EMPRESAS'!$C$15:$C$320,$A19-WEEKDAY($A19,2)+1)</f>
        <v/>
      </c>
      <c r="D19" s="159">
        <f>SUMIFS('METAS EMPRESAS'!$K$15:$K$320,'METAS EMPRESAS'!$A$15:$A$320,"EJ",'METAS EMPRESAS'!$B$15:$B$320,"VIGAS",'METAS EMPRESAS'!$C$15:$C$320,$A19-WEEKDAY($A19,2)+1)</f>
        <v/>
      </c>
      <c r="E19" s="159">
        <f>SUMIFS('METAS EMPRESAS'!$K$15:$K$320,'METAS EMPRESAS'!$A$15:$A$320,"CMM",'METAS EMPRESAS'!$B$15:$B$320,"PREMONTAGEM",'METAS EMPRESAS'!$C$15:$C$320,$A19-WEEKDAY($A19,2)+1)</f>
        <v/>
      </c>
      <c r="F19" s="159">
        <f>SUMIFS('METAS EMPRESAS'!$K$15:$K$320,'METAS EMPRESAS'!$A$15:$A$320,"CMM",'METAS EMPRESAS'!$B$15:$B$320,"IÇAMENTO JOIST",'METAS EMPRESAS'!$C$15:$C$320,$A19-WEEKDAY($A19,2)+1)</f>
        <v/>
      </c>
      <c r="G19" s="159">
        <f>SUMIFS('METAS EMPRESAS'!$K$15:$K$320,'METAS EMPRESAS'!$A$15:$A$320,"CMM",'METAS EMPRESAS'!$B$15:$B$320,"VIGAS",'METAS EMPRESAS'!$C$15:$C$320,$A19-WEEKDAY($A19,2)+1)</f>
        <v/>
      </c>
      <c r="H19" s="159">
        <f>SUMIFS('METAS EMPRESAS'!$G$15:$G$320,'METAS EMPRESAS'!$A$15:$A$320,"EJ",'METAS EMPRESAS'!$B$15:$B$320,"PREMONTAGEM",'METAS EMPRESAS'!$C$15:$C$320,$A19-WEEKDAY($A19,2)+1)</f>
        <v/>
      </c>
      <c r="I19" s="159">
        <f>SUMIFS('METAS EMPRESAS'!$G$15:$G$320,'METAS EMPRESAS'!$A$15:$A$320,"EJ",'METAS EMPRESAS'!$B$15:$B$320,"IÇAMENTO JOIST",'METAS EMPRESAS'!$C$15:$C$320,$A19-WEEKDAY($A19,2)+1)</f>
        <v/>
      </c>
      <c r="J19" s="159">
        <f>SUMIFS('METAS EMPRESAS'!$G$15:$G$320,'METAS EMPRESAS'!$A$15:$A$320,"EJ",'METAS EMPRESAS'!$B$15:$B$320,"VIGAS",'METAS EMPRESAS'!$C$15:$C$320,$A19-WEEKDAY($A19,2)+1)</f>
        <v/>
      </c>
      <c r="K19" s="159">
        <f>SUMIFS('METAS EMPRESAS'!$G$15:$G$320,'METAS EMPRESAS'!$A$15:$A$320,"CMM",'METAS EMPRESAS'!$B$15:$B$320,"PREMONTAGEM",'METAS EMPRESAS'!$C$15:$C$320,$A19-WEEKDAY($A19,2)+1)</f>
        <v/>
      </c>
      <c r="L19" s="159">
        <f>SUMIFS('METAS EMPRESAS'!$G$15:$G$320,'METAS EMPRESAS'!$A$15:$A$320,"CMM",'METAS EMPRESAS'!$B$15:$B$320,"IÇAMENTO JOIST",'METAS EMPRESAS'!$C$15:$C$320,$A19-WEEKDAY($A19,2)+1)</f>
        <v/>
      </c>
      <c r="M19" s="159">
        <f>SUMIFS('METAS EMPRESAS'!$G$15:$G$320,'METAS EMPRESAS'!$A$15:$A$320,"CMM",'METAS EMPRESAS'!$B$15:$B$320,"VIGAS",'METAS EMPRESAS'!$C$15:$C$320,$A19-WEEKDAY($A19,2)+1)</f>
        <v/>
      </c>
      <c r="N19" s="159">
        <f>SUMIFS('METAS EMPRESAS'!$J$15:$J$320,'METAS EMPRESAS'!$A$15:$A$320,"EJ",'METAS EMPRESAS'!$B$15:$B$320,"PREMONTAGEM",'METAS EMPRESAS'!$C$15:$C$320,$A19-WEEKDAY($A19,2)+1)</f>
        <v/>
      </c>
      <c r="O19" s="159">
        <f>SUMIFS('METAS EMPRESAS'!$J$15:$J$320,'METAS EMPRESAS'!$A$15:$A$320,"EJ",'METAS EMPRESAS'!$B$15:$B$320,"IÇAMENTO JOIST",'METAS EMPRESAS'!$C$15:$C$320,$A19-WEEKDAY($A19,2)+1)</f>
        <v/>
      </c>
      <c r="P19" s="159">
        <f>SUMIFS('METAS EMPRESAS'!$J$15:$J$320,'METAS EMPRESAS'!$A$15:$A$320,"EJ",'METAS EMPRESAS'!$B$15:$B$320,"VIGAS",'METAS EMPRESAS'!$C$15:$C$320,$A19-WEEKDAY($A19,2)+1)</f>
        <v/>
      </c>
      <c r="Q19" s="159">
        <f>SUMIFS('METAS EMPRESAS'!$J$15:$J$320,'METAS EMPRESAS'!$A$15:$A$320,"CMM",'METAS EMPRESAS'!$B$15:$B$320,"PREMONTAGEM",'METAS EMPRESAS'!$C$15:$C$320,$A19-WEEKDAY($A19,2)+1)</f>
        <v/>
      </c>
      <c r="R19" s="159">
        <f>SUMIFS('METAS EMPRESAS'!$J$15:$J$320,'METAS EMPRESAS'!$A$15:$A$320,"CMM",'METAS EMPRESAS'!$B$15:$B$320,"IÇAMENTO JOIST",'METAS EMPRESAS'!$C$15:$C$320,$A19-WEEKDAY($A19,2)+1)</f>
        <v/>
      </c>
      <c r="S19" s="159">
        <f>SUMIFS('METAS EMPRESAS'!$J$15:$J$320,'METAS EMPRESAS'!$A$15:$A$320,"CMM",'METAS EMPRESAS'!$B$15:$B$320,"VIGAS",'METAS EMPRESAS'!$C$15:$C$320,$A19-WEEKDAY($A19,2)+1)</f>
        <v/>
      </c>
      <c r="T19">
        <f>--(WEEKDAY(A19,2)&lt;=5)</f>
        <v/>
      </c>
      <c r="U19" t="n">
        <v>19</v>
      </c>
      <c r="V19" t="n">
        <v>7</v>
      </c>
      <c r="W19" t="n">
        <v>0</v>
      </c>
      <c r="X19" t="n">
        <v>5</v>
      </c>
      <c r="Y19" t="n">
        <v>5</v>
      </c>
      <c r="Z19" t="n">
        <v>5</v>
      </c>
      <c r="AA19" t="n">
        <v>95</v>
      </c>
      <c r="AB19" t="n">
        <v>35</v>
      </c>
      <c r="AC19" t="n">
        <v>0</v>
      </c>
    </row>
    <row r="20">
      <c r="A20" s="317" t="n">
        <v>46241</v>
      </c>
      <c r="B20" s="159">
        <f>SUMIFS('METAS EMPRESAS'!$K$15:$K$320,'METAS EMPRESAS'!$A$15:$A$320,"EJ",'METAS EMPRESAS'!$B$15:$B$320,"PREMONTAGEM",'METAS EMPRESAS'!$C$15:$C$320,$A20-WEEKDAY($A20,2)+1)</f>
        <v/>
      </c>
      <c r="C20" s="159">
        <f>SUMIFS('METAS EMPRESAS'!$K$15:$K$320,'METAS EMPRESAS'!$A$15:$A$320,"EJ",'METAS EMPRESAS'!$B$15:$B$320,"IÇAMENTO JOIST",'METAS EMPRESAS'!$C$15:$C$320,$A20-WEEKDAY($A20,2)+1)</f>
        <v/>
      </c>
      <c r="D20" s="159">
        <f>SUMIFS('METAS EMPRESAS'!$K$15:$K$320,'METAS EMPRESAS'!$A$15:$A$320,"EJ",'METAS EMPRESAS'!$B$15:$B$320,"VIGAS",'METAS EMPRESAS'!$C$15:$C$320,$A20-WEEKDAY($A20,2)+1)</f>
        <v/>
      </c>
      <c r="E20" s="159">
        <f>SUMIFS('METAS EMPRESAS'!$K$15:$K$320,'METAS EMPRESAS'!$A$15:$A$320,"CMM",'METAS EMPRESAS'!$B$15:$B$320,"PREMONTAGEM",'METAS EMPRESAS'!$C$15:$C$320,$A20-WEEKDAY($A20,2)+1)</f>
        <v/>
      </c>
      <c r="F20" s="159">
        <f>SUMIFS('METAS EMPRESAS'!$K$15:$K$320,'METAS EMPRESAS'!$A$15:$A$320,"CMM",'METAS EMPRESAS'!$B$15:$B$320,"IÇAMENTO JOIST",'METAS EMPRESAS'!$C$15:$C$320,$A20-WEEKDAY($A20,2)+1)</f>
        <v/>
      </c>
      <c r="G20" s="159">
        <f>SUMIFS('METAS EMPRESAS'!$K$15:$K$320,'METAS EMPRESAS'!$A$15:$A$320,"CMM",'METAS EMPRESAS'!$B$15:$B$320,"VIGAS",'METAS EMPRESAS'!$C$15:$C$320,$A20-WEEKDAY($A20,2)+1)</f>
        <v/>
      </c>
      <c r="H20" s="159">
        <f>SUMIFS('METAS EMPRESAS'!$G$15:$G$320,'METAS EMPRESAS'!$A$15:$A$320,"EJ",'METAS EMPRESAS'!$B$15:$B$320,"PREMONTAGEM",'METAS EMPRESAS'!$C$15:$C$320,$A20-WEEKDAY($A20,2)+1)</f>
        <v/>
      </c>
      <c r="I20" s="159">
        <f>SUMIFS('METAS EMPRESAS'!$G$15:$G$320,'METAS EMPRESAS'!$A$15:$A$320,"EJ",'METAS EMPRESAS'!$B$15:$B$320,"IÇAMENTO JOIST",'METAS EMPRESAS'!$C$15:$C$320,$A20-WEEKDAY($A20,2)+1)</f>
        <v/>
      </c>
      <c r="J20" s="159">
        <f>SUMIFS('METAS EMPRESAS'!$G$15:$G$320,'METAS EMPRESAS'!$A$15:$A$320,"EJ",'METAS EMPRESAS'!$B$15:$B$320,"VIGAS",'METAS EMPRESAS'!$C$15:$C$320,$A20-WEEKDAY($A20,2)+1)</f>
        <v/>
      </c>
      <c r="K20" s="159">
        <f>SUMIFS('METAS EMPRESAS'!$G$15:$G$320,'METAS EMPRESAS'!$A$15:$A$320,"CMM",'METAS EMPRESAS'!$B$15:$B$320,"PREMONTAGEM",'METAS EMPRESAS'!$C$15:$C$320,$A20-WEEKDAY($A20,2)+1)</f>
        <v/>
      </c>
      <c r="L20" s="159">
        <f>SUMIFS('METAS EMPRESAS'!$G$15:$G$320,'METAS EMPRESAS'!$A$15:$A$320,"CMM",'METAS EMPRESAS'!$B$15:$B$320,"IÇAMENTO JOIST",'METAS EMPRESAS'!$C$15:$C$320,$A20-WEEKDAY($A20,2)+1)</f>
        <v/>
      </c>
      <c r="M20" s="159">
        <f>SUMIFS('METAS EMPRESAS'!$G$15:$G$320,'METAS EMPRESAS'!$A$15:$A$320,"CMM",'METAS EMPRESAS'!$B$15:$B$320,"VIGAS",'METAS EMPRESAS'!$C$15:$C$320,$A20-WEEKDAY($A20,2)+1)</f>
        <v/>
      </c>
      <c r="N20" s="159">
        <f>SUMIFS('METAS EMPRESAS'!$J$15:$J$320,'METAS EMPRESAS'!$A$15:$A$320,"EJ",'METAS EMPRESAS'!$B$15:$B$320,"PREMONTAGEM",'METAS EMPRESAS'!$C$15:$C$320,$A20-WEEKDAY($A20,2)+1)</f>
        <v/>
      </c>
      <c r="O20" s="159">
        <f>SUMIFS('METAS EMPRESAS'!$J$15:$J$320,'METAS EMPRESAS'!$A$15:$A$320,"EJ",'METAS EMPRESAS'!$B$15:$B$320,"IÇAMENTO JOIST",'METAS EMPRESAS'!$C$15:$C$320,$A20-WEEKDAY($A20,2)+1)</f>
        <v/>
      </c>
      <c r="P20" s="159">
        <f>SUMIFS('METAS EMPRESAS'!$J$15:$J$320,'METAS EMPRESAS'!$A$15:$A$320,"EJ",'METAS EMPRESAS'!$B$15:$B$320,"VIGAS",'METAS EMPRESAS'!$C$15:$C$320,$A20-WEEKDAY($A20,2)+1)</f>
        <v/>
      </c>
      <c r="Q20" s="159">
        <f>SUMIFS('METAS EMPRESAS'!$J$15:$J$320,'METAS EMPRESAS'!$A$15:$A$320,"CMM",'METAS EMPRESAS'!$B$15:$B$320,"PREMONTAGEM",'METAS EMPRESAS'!$C$15:$C$320,$A20-WEEKDAY($A20,2)+1)</f>
        <v/>
      </c>
      <c r="R20" s="159">
        <f>SUMIFS('METAS EMPRESAS'!$J$15:$J$320,'METAS EMPRESAS'!$A$15:$A$320,"CMM",'METAS EMPRESAS'!$B$15:$B$320,"IÇAMENTO JOIST",'METAS EMPRESAS'!$C$15:$C$320,$A20-WEEKDAY($A20,2)+1)</f>
        <v/>
      </c>
      <c r="S20" s="159">
        <f>SUMIFS('METAS EMPRESAS'!$J$15:$J$320,'METAS EMPRESAS'!$A$15:$A$320,"CMM",'METAS EMPRESAS'!$B$15:$B$320,"VIGAS",'METAS EMPRESAS'!$C$15:$C$320,$A20-WEEKDAY($A20,2)+1)</f>
        <v/>
      </c>
      <c r="T20">
        <f>--(WEEKDAY(A20,2)&lt;=5)</f>
        <v/>
      </c>
      <c r="U20" t="n">
        <v>19</v>
      </c>
      <c r="V20" t="n">
        <v>7</v>
      </c>
      <c r="W20" t="n">
        <v>0</v>
      </c>
      <c r="X20" t="n">
        <v>5</v>
      </c>
      <c r="Y20" t="n">
        <v>5</v>
      </c>
      <c r="Z20" t="n">
        <v>5</v>
      </c>
      <c r="AA20" t="n">
        <v>95</v>
      </c>
      <c r="AB20" t="n">
        <v>35</v>
      </c>
      <c r="AC20" t="n">
        <v>0</v>
      </c>
    </row>
    <row r="21">
      <c r="A21" s="317" t="n">
        <v>46242</v>
      </c>
      <c r="B21" s="159">
        <f>SUMIFS('METAS EMPRESAS'!$K$15:$K$320,'METAS EMPRESAS'!$A$15:$A$320,"EJ",'METAS EMPRESAS'!$B$15:$B$320,"PREMONTAGEM",'METAS EMPRESAS'!$C$15:$C$320,$A21-WEEKDAY($A21,2)+1)</f>
        <v/>
      </c>
      <c r="C21" s="159">
        <f>SUMIFS('METAS EMPRESAS'!$K$15:$K$320,'METAS EMPRESAS'!$A$15:$A$320,"EJ",'METAS EMPRESAS'!$B$15:$B$320,"IÇAMENTO JOIST",'METAS EMPRESAS'!$C$15:$C$320,$A21-WEEKDAY($A21,2)+1)</f>
        <v/>
      </c>
      <c r="D21" s="159">
        <f>SUMIFS('METAS EMPRESAS'!$K$15:$K$320,'METAS EMPRESAS'!$A$15:$A$320,"EJ",'METAS EMPRESAS'!$B$15:$B$320,"VIGAS",'METAS EMPRESAS'!$C$15:$C$320,$A21-WEEKDAY($A21,2)+1)</f>
        <v/>
      </c>
      <c r="E21" s="159">
        <f>SUMIFS('METAS EMPRESAS'!$K$15:$K$320,'METAS EMPRESAS'!$A$15:$A$320,"CMM",'METAS EMPRESAS'!$B$15:$B$320,"PREMONTAGEM",'METAS EMPRESAS'!$C$15:$C$320,$A21-WEEKDAY($A21,2)+1)</f>
        <v/>
      </c>
      <c r="F21" s="159">
        <f>SUMIFS('METAS EMPRESAS'!$K$15:$K$320,'METAS EMPRESAS'!$A$15:$A$320,"CMM",'METAS EMPRESAS'!$B$15:$B$320,"IÇAMENTO JOIST",'METAS EMPRESAS'!$C$15:$C$320,$A21-WEEKDAY($A21,2)+1)</f>
        <v/>
      </c>
      <c r="G21" s="159">
        <f>SUMIFS('METAS EMPRESAS'!$K$15:$K$320,'METAS EMPRESAS'!$A$15:$A$320,"CMM",'METAS EMPRESAS'!$B$15:$B$320,"VIGAS",'METAS EMPRESAS'!$C$15:$C$320,$A21-WEEKDAY($A21,2)+1)</f>
        <v/>
      </c>
      <c r="H21" s="159">
        <f>SUMIFS('METAS EMPRESAS'!$G$15:$G$320,'METAS EMPRESAS'!$A$15:$A$320,"EJ",'METAS EMPRESAS'!$B$15:$B$320,"PREMONTAGEM",'METAS EMPRESAS'!$C$15:$C$320,$A21-WEEKDAY($A21,2)+1)</f>
        <v/>
      </c>
      <c r="I21" s="159">
        <f>SUMIFS('METAS EMPRESAS'!$G$15:$G$320,'METAS EMPRESAS'!$A$15:$A$320,"EJ",'METAS EMPRESAS'!$B$15:$B$320,"IÇAMENTO JOIST",'METAS EMPRESAS'!$C$15:$C$320,$A21-WEEKDAY($A21,2)+1)</f>
        <v/>
      </c>
      <c r="J21" s="159">
        <f>SUMIFS('METAS EMPRESAS'!$G$15:$G$320,'METAS EMPRESAS'!$A$15:$A$320,"EJ",'METAS EMPRESAS'!$B$15:$B$320,"VIGAS",'METAS EMPRESAS'!$C$15:$C$320,$A21-WEEKDAY($A21,2)+1)</f>
        <v/>
      </c>
      <c r="K21" s="159">
        <f>SUMIFS('METAS EMPRESAS'!$G$15:$G$320,'METAS EMPRESAS'!$A$15:$A$320,"CMM",'METAS EMPRESAS'!$B$15:$B$320,"PREMONTAGEM",'METAS EMPRESAS'!$C$15:$C$320,$A21-WEEKDAY($A21,2)+1)</f>
        <v/>
      </c>
      <c r="L21" s="159">
        <f>SUMIFS('METAS EMPRESAS'!$G$15:$G$320,'METAS EMPRESAS'!$A$15:$A$320,"CMM",'METAS EMPRESAS'!$B$15:$B$320,"IÇAMENTO JOIST",'METAS EMPRESAS'!$C$15:$C$320,$A21-WEEKDAY($A21,2)+1)</f>
        <v/>
      </c>
      <c r="M21" s="159">
        <f>SUMIFS('METAS EMPRESAS'!$G$15:$G$320,'METAS EMPRESAS'!$A$15:$A$320,"CMM",'METAS EMPRESAS'!$B$15:$B$320,"VIGAS",'METAS EMPRESAS'!$C$15:$C$320,$A21-WEEKDAY($A21,2)+1)</f>
        <v/>
      </c>
      <c r="N21" s="159">
        <f>SUMIFS('METAS EMPRESAS'!$J$15:$J$320,'METAS EMPRESAS'!$A$15:$A$320,"EJ",'METAS EMPRESAS'!$B$15:$B$320,"PREMONTAGEM",'METAS EMPRESAS'!$C$15:$C$320,$A21-WEEKDAY($A21,2)+1)</f>
        <v/>
      </c>
      <c r="O21" s="159">
        <f>SUMIFS('METAS EMPRESAS'!$J$15:$J$320,'METAS EMPRESAS'!$A$15:$A$320,"EJ",'METAS EMPRESAS'!$B$15:$B$320,"IÇAMENTO JOIST",'METAS EMPRESAS'!$C$15:$C$320,$A21-WEEKDAY($A21,2)+1)</f>
        <v/>
      </c>
      <c r="P21" s="159">
        <f>SUMIFS('METAS EMPRESAS'!$J$15:$J$320,'METAS EMPRESAS'!$A$15:$A$320,"EJ",'METAS EMPRESAS'!$B$15:$B$320,"VIGAS",'METAS EMPRESAS'!$C$15:$C$320,$A21-WEEKDAY($A21,2)+1)</f>
        <v/>
      </c>
      <c r="Q21" s="159">
        <f>SUMIFS('METAS EMPRESAS'!$J$15:$J$320,'METAS EMPRESAS'!$A$15:$A$320,"CMM",'METAS EMPRESAS'!$B$15:$B$320,"PREMONTAGEM",'METAS EMPRESAS'!$C$15:$C$320,$A21-WEEKDAY($A21,2)+1)</f>
        <v/>
      </c>
      <c r="R21" s="159">
        <f>SUMIFS('METAS EMPRESAS'!$J$15:$J$320,'METAS EMPRESAS'!$A$15:$A$320,"CMM",'METAS EMPRESAS'!$B$15:$B$320,"IÇAMENTO JOIST",'METAS EMPRESAS'!$C$15:$C$320,$A21-WEEKDAY($A21,2)+1)</f>
        <v/>
      </c>
      <c r="S21" s="159">
        <f>SUMIFS('METAS EMPRESAS'!$J$15:$J$320,'METAS EMPRESAS'!$A$15:$A$320,"CMM",'METAS EMPRESAS'!$B$15:$B$320,"VIGAS",'METAS EMPRESAS'!$C$15:$C$320,$A21-WEEKDAY($A21,2)+1)</f>
        <v/>
      </c>
      <c r="T21">
        <f>--(WEEKDAY(A21,2)&lt;=5)</f>
        <v/>
      </c>
      <c r="U21" t="n">
        <v>19</v>
      </c>
      <c r="V21" t="n">
        <v>7</v>
      </c>
      <c r="W21" t="n">
        <v>0</v>
      </c>
      <c r="X21" t="n">
        <v>5</v>
      </c>
      <c r="Y21" t="n">
        <v>5</v>
      </c>
      <c r="Z21" t="n">
        <v>5</v>
      </c>
      <c r="AA21" t="n">
        <v>95</v>
      </c>
      <c r="AB21" t="n">
        <v>35</v>
      </c>
      <c r="AC21" t="n">
        <v>0</v>
      </c>
    </row>
    <row r="22">
      <c r="A22" s="317" t="n">
        <v>46243</v>
      </c>
      <c r="B22" s="159">
        <f>SUMIFS('METAS EMPRESAS'!$K$15:$K$320,'METAS EMPRESAS'!$A$15:$A$320,"EJ",'METAS EMPRESAS'!$B$15:$B$320,"PREMONTAGEM",'METAS EMPRESAS'!$C$15:$C$320,$A22-WEEKDAY($A22,2)+1)</f>
        <v/>
      </c>
      <c r="C22" s="159">
        <f>SUMIFS('METAS EMPRESAS'!$K$15:$K$320,'METAS EMPRESAS'!$A$15:$A$320,"EJ",'METAS EMPRESAS'!$B$15:$B$320,"IÇAMENTO JOIST",'METAS EMPRESAS'!$C$15:$C$320,$A22-WEEKDAY($A22,2)+1)</f>
        <v/>
      </c>
      <c r="D22" s="159">
        <f>SUMIFS('METAS EMPRESAS'!$K$15:$K$320,'METAS EMPRESAS'!$A$15:$A$320,"EJ",'METAS EMPRESAS'!$B$15:$B$320,"VIGAS",'METAS EMPRESAS'!$C$15:$C$320,$A22-WEEKDAY($A22,2)+1)</f>
        <v/>
      </c>
      <c r="E22" s="159">
        <f>SUMIFS('METAS EMPRESAS'!$K$15:$K$320,'METAS EMPRESAS'!$A$15:$A$320,"CMM",'METAS EMPRESAS'!$B$15:$B$320,"PREMONTAGEM",'METAS EMPRESAS'!$C$15:$C$320,$A22-WEEKDAY($A22,2)+1)</f>
        <v/>
      </c>
      <c r="F22" s="159">
        <f>SUMIFS('METAS EMPRESAS'!$K$15:$K$320,'METAS EMPRESAS'!$A$15:$A$320,"CMM",'METAS EMPRESAS'!$B$15:$B$320,"IÇAMENTO JOIST",'METAS EMPRESAS'!$C$15:$C$320,$A22-WEEKDAY($A22,2)+1)</f>
        <v/>
      </c>
      <c r="G22" s="159">
        <f>SUMIFS('METAS EMPRESAS'!$K$15:$K$320,'METAS EMPRESAS'!$A$15:$A$320,"CMM",'METAS EMPRESAS'!$B$15:$B$320,"VIGAS",'METAS EMPRESAS'!$C$15:$C$320,$A22-WEEKDAY($A22,2)+1)</f>
        <v/>
      </c>
      <c r="H22" s="159">
        <f>SUMIFS('METAS EMPRESAS'!$G$15:$G$320,'METAS EMPRESAS'!$A$15:$A$320,"EJ",'METAS EMPRESAS'!$B$15:$B$320,"PREMONTAGEM",'METAS EMPRESAS'!$C$15:$C$320,$A22-WEEKDAY($A22,2)+1)</f>
        <v/>
      </c>
      <c r="I22" s="159">
        <f>SUMIFS('METAS EMPRESAS'!$G$15:$G$320,'METAS EMPRESAS'!$A$15:$A$320,"EJ",'METAS EMPRESAS'!$B$15:$B$320,"IÇAMENTO JOIST",'METAS EMPRESAS'!$C$15:$C$320,$A22-WEEKDAY($A22,2)+1)</f>
        <v/>
      </c>
      <c r="J22" s="159">
        <f>SUMIFS('METAS EMPRESAS'!$G$15:$G$320,'METAS EMPRESAS'!$A$15:$A$320,"EJ",'METAS EMPRESAS'!$B$15:$B$320,"VIGAS",'METAS EMPRESAS'!$C$15:$C$320,$A22-WEEKDAY($A22,2)+1)</f>
        <v/>
      </c>
      <c r="K22" s="159">
        <f>SUMIFS('METAS EMPRESAS'!$G$15:$G$320,'METAS EMPRESAS'!$A$15:$A$320,"CMM",'METAS EMPRESAS'!$B$15:$B$320,"PREMONTAGEM",'METAS EMPRESAS'!$C$15:$C$320,$A22-WEEKDAY($A22,2)+1)</f>
        <v/>
      </c>
      <c r="L22" s="159">
        <f>SUMIFS('METAS EMPRESAS'!$G$15:$G$320,'METAS EMPRESAS'!$A$15:$A$320,"CMM",'METAS EMPRESAS'!$B$15:$B$320,"IÇAMENTO JOIST",'METAS EMPRESAS'!$C$15:$C$320,$A22-WEEKDAY($A22,2)+1)</f>
        <v/>
      </c>
      <c r="M22" s="159">
        <f>SUMIFS('METAS EMPRESAS'!$G$15:$G$320,'METAS EMPRESAS'!$A$15:$A$320,"CMM",'METAS EMPRESAS'!$B$15:$B$320,"VIGAS",'METAS EMPRESAS'!$C$15:$C$320,$A22-WEEKDAY($A22,2)+1)</f>
        <v/>
      </c>
      <c r="N22" s="159">
        <f>SUMIFS('METAS EMPRESAS'!$J$15:$J$320,'METAS EMPRESAS'!$A$15:$A$320,"EJ",'METAS EMPRESAS'!$B$15:$B$320,"PREMONTAGEM",'METAS EMPRESAS'!$C$15:$C$320,$A22-WEEKDAY($A22,2)+1)</f>
        <v/>
      </c>
      <c r="O22" s="159">
        <f>SUMIFS('METAS EMPRESAS'!$J$15:$J$320,'METAS EMPRESAS'!$A$15:$A$320,"EJ",'METAS EMPRESAS'!$B$15:$B$320,"IÇAMENTO JOIST",'METAS EMPRESAS'!$C$15:$C$320,$A22-WEEKDAY($A22,2)+1)</f>
        <v/>
      </c>
      <c r="P22" s="159">
        <f>SUMIFS('METAS EMPRESAS'!$J$15:$J$320,'METAS EMPRESAS'!$A$15:$A$320,"EJ",'METAS EMPRESAS'!$B$15:$B$320,"VIGAS",'METAS EMPRESAS'!$C$15:$C$320,$A22-WEEKDAY($A22,2)+1)</f>
        <v/>
      </c>
      <c r="Q22" s="159">
        <f>SUMIFS('METAS EMPRESAS'!$J$15:$J$320,'METAS EMPRESAS'!$A$15:$A$320,"CMM",'METAS EMPRESAS'!$B$15:$B$320,"PREMONTAGEM",'METAS EMPRESAS'!$C$15:$C$320,$A22-WEEKDAY($A22,2)+1)</f>
        <v/>
      </c>
      <c r="R22" s="159">
        <f>SUMIFS('METAS EMPRESAS'!$J$15:$J$320,'METAS EMPRESAS'!$A$15:$A$320,"CMM",'METAS EMPRESAS'!$B$15:$B$320,"IÇAMENTO JOIST",'METAS EMPRESAS'!$C$15:$C$320,$A22-WEEKDAY($A22,2)+1)</f>
        <v/>
      </c>
      <c r="S22" s="159">
        <f>SUMIFS('METAS EMPRESAS'!$J$15:$J$320,'METAS EMPRESAS'!$A$15:$A$320,"CMM",'METAS EMPRESAS'!$B$15:$B$320,"VIGAS",'METAS EMPRESAS'!$C$15:$C$320,$A22-WEEKDAY($A22,2)+1)</f>
        <v/>
      </c>
      <c r="T22">
        <f>--(WEEKDAY(A22,2)&lt;=5)</f>
        <v/>
      </c>
      <c r="U22" t="n">
        <v>19</v>
      </c>
      <c r="V22" t="n">
        <v>7</v>
      </c>
      <c r="W22" t="n">
        <v>0</v>
      </c>
      <c r="X22" t="n">
        <v>5</v>
      </c>
      <c r="Y22" t="n">
        <v>5</v>
      </c>
      <c r="Z22" t="n">
        <v>5</v>
      </c>
      <c r="AA22" t="n">
        <v>95</v>
      </c>
      <c r="AB22" t="n">
        <v>35</v>
      </c>
      <c r="AC22" t="n">
        <v>0</v>
      </c>
    </row>
    <row r="23">
      <c r="A23" s="317" t="n">
        <v>46244</v>
      </c>
      <c r="B23" s="159">
        <f>SUMIFS('METAS EMPRESAS'!$K$15:$K$320,'METAS EMPRESAS'!$A$15:$A$320,"EJ",'METAS EMPRESAS'!$B$15:$B$320,"PREMONTAGEM",'METAS EMPRESAS'!$C$15:$C$320,$A23-WEEKDAY($A23,2)+1)</f>
        <v/>
      </c>
      <c r="C23" s="159">
        <f>SUMIFS('METAS EMPRESAS'!$K$15:$K$320,'METAS EMPRESAS'!$A$15:$A$320,"EJ",'METAS EMPRESAS'!$B$15:$B$320,"IÇAMENTO JOIST",'METAS EMPRESAS'!$C$15:$C$320,$A23-WEEKDAY($A23,2)+1)</f>
        <v/>
      </c>
      <c r="D23" s="159">
        <f>SUMIFS('METAS EMPRESAS'!$K$15:$K$320,'METAS EMPRESAS'!$A$15:$A$320,"EJ",'METAS EMPRESAS'!$B$15:$B$320,"VIGAS",'METAS EMPRESAS'!$C$15:$C$320,$A23-WEEKDAY($A23,2)+1)</f>
        <v/>
      </c>
      <c r="E23" s="159">
        <f>SUMIFS('METAS EMPRESAS'!$K$15:$K$320,'METAS EMPRESAS'!$A$15:$A$320,"CMM",'METAS EMPRESAS'!$B$15:$B$320,"PREMONTAGEM",'METAS EMPRESAS'!$C$15:$C$320,$A23-WEEKDAY($A23,2)+1)</f>
        <v/>
      </c>
      <c r="F23" s="159">
        <f>SUMIFS('METAS EMPRESAS'!$K$15:$K$320,'METAS EMPRESAS'!$A$15:$A$320,"CMM",'METAS EMPRESAS'!$B$15:$B$320,"IÇAMENTO JOIST",'METAS EMPRESAS'!$C$15:$C$320,$A23-WEEKDAY($A23,2)+1)</f>
        <v/>
      </c>
      <c r="G23" s="159">
        <f>SUMIFS('METAS EMPRESAS'!$K$15:$K$320,'METAS EMPRESAS'!$A$15:$A$320,"CMM",'METAS EMPRESAS'!$B$15:$B$320,"VIGAS",'METAS EMPRESAS'!$C$15:$C$320,$A23-WEEKDAY($A23,2)+1)</f>
        <v/>
      </c>
      <c r="H23" s="159">
        <f>SUMIFS('METAS EMPRESAS'!$G$15:$G$320,'METAS EMPRESAS'!$A$15:$A$320,"EJ",'METAS EMPRESAS'!$B$15:$B$320,"PREMONTAGEM",'METAS EMPRESAS'!$C$15:$C$320,$A23-WEEKDAY($A23,2)+1)</f>
        <v/>
      </c>
      <c r="I23" s="159">
        <f>SUMIFS('METAS EMPRESAS'!$G$15:$G$320,'METAS EMPRESAS'!$A$15:$A$320,"EJ",'METAS EMPRESAS'!$B$15:$B$320,"IÇAMENTO JOIST",'METAS EMPRESAS'!$C$15:$C$320,$A23-WEEKDAY($A23,2)+1)</f>
        <v/>
      </c>
      <c r="J23" s="159">
        <f>SUMIFS('METAS EMPRESAS'!$G$15:$G$320,'METAS EMPRESAS'!$A$15:$A$320,"EJ",'METAS EMPRESAS'!$B$15:$B$320,"VIGAS",'METAS EMPRESAS'!$C$15:$C$320,$A23-WEEKDAY($A23,2)+1)</f>
        <v/>
      </c>
      <c r="K23" s="159">
        <f>SUMIFS('METAS EMPRESAS'!$G$15:$G$320,'METAS EMPRESAS'!$A$15:$A$320,"CMM",'METAS EMPRESAS'!$B$15:$B$320,"PREMONTAGEM",'METAS EMPRESAS'!$C$15:$C$320,$A23-WEEKDAY($A23,2)+1)</f>
        <v/>
      </c>
      <c r="L23" s="159">
        <f>SUMIFS('METAS EMPRESAS'!$G$15:$G$320,'METAS EMPRESAS'!$A$15:$A$320,"CMM",'METAS EMPRESAS'!$B$15:$B$320,"IÇAMENTO JOIST",'METAS EMPRESAS'!$C$15:$C$320,$A23-WEEKDAY($A23,2)+1)</f>
        <v/>
      </c>
      <c r="M23" s="159">
        <f>SUMIFS('METAS EMPRESAS'!$G$15:$G$320,'METAS EMPRESAS'!$A$15:$A$320,"CMM",'METAS EMPRESAS'!$B$15:$B$320,"VIGAS",'METAS EMPRESAS'!$C$15:$C$320,$A23-WEEKDAY($A23,2)+1)</f>
        <v/>
      </c>
      <c r="N23" s="159">
        <f>SUMIFS('METAS EMPRESAS'!$J$15:$J$320,'METAS EMPRESAS'!$A$15:$A$320,"EJ",'METAS EMPRESAS'!$B$15:$B$320,"PREMONTAGEM",'METAS EMPRESAS'!$C$15:$C$320,$A23-WEEKDAY($A23,2)+1)</f>
        <v/>
      </c>
      <c r="O23" s="159">
        <f>SUMIFS('METAS EMPRESAS'!$J$15:$J$320,'METAS EMPRESAS'!$A$15:$A$320,"EJ",'METAS EMPRESAS'!$B$15:$B$320,"IÇAMENTO JOIST",'METAS EMPRESAS'!$C$15:$C$320,$A23-WEEKDAY($A23,2)+1)</f>
        <v/>
      </c>
      <c r="P23" s="159">
        <f>SUMIFS('METAS EMPRESAS'!$J$15:$J$320,'METAS EMPRESAS'!$A$15:$A$320,"EJ",'METAS EMPRESAS'!$B$15:$B$320,"VIGAS",'METAS EMPRESAS'!$C$15:$C$320,$A23-WEEKDAY($A23,2)+1)</f>
        <v/>
      </c>
      <c r="Q23" s="159">
        <f>SUMIFS('METAS EMPRESAS'!$J$15:$J$320,'METAS EMPRESAS'!$A$15:$A$320,"CMM",'METAS EMPRESAS'!$B$15:$B$320,"PREMONTAGEM",'METAS EMPRESAS'!$C$15:$C$320,$A23-WEEKDAY($A23,2)+1)</f>
        <v/>
      </c>
      <c r="R23" s="159">
        <f>SUMIFS('METAS EMPRESAS'!$J$15:$J$320,'METAS EMPRESAS'!$A$15:$A$320,"CMM",'METAS EMPRESAS'!$B$15:$B$320,"IÇAMENTO JOIST",'METAS EMPRESAS'!$C$15:$C$320,$A23-WEEKDAY($A23,2)+1)</f>
        <v/>
      </c>
      <c r="S23" s="159">
        <f>SUMIFS('METAS EMPRESAS'!$J$15:$J$320,'METAS EMPRESAS'!$A$15:$A$320,"CMM",'METAS EMPRESAS'!$B$15:$B$320,"VIGAS",'METAS EMPRESAS'!$C$15:$C$320,$A23-WEEKDAY($A23,2)+1)</f>
        <v/>
      </c>
      <c r="T23">
        <f>--(WEEKDAY(A23,2)&lt;=5)</f>
        <v/>
      </c>
      <c r="U23" t="n">
        <v>19</v>
      </c>
      <c r="V23" t="n">
        <v>7</v>
      </c>
      <c r="W23" t="n">
        <v>0</v>
      </c>
      <c r="X23" t="n">
        <v>5</v>
      </c>
      <c r="Y23" t="n">
        <v>5</v>
      </c>
      <c r="Z23" t="n">
        <v>5</v>
      </c>
      <c r="AA23" t="n">
        <v>95</v>
      </c>
      <c r="AB23" t="n">
        <v>35</v>
      </c>
      <c r="AC23" t="n">
        <v>0</v>
      </c>
    </row>
    <row r="24">
      <c r="A24" s="317" t="n">
        <v>46245</v>
      </c>
      <c r="B24" s="159">
        <f>SUMIFS('METAS EMPRESAS'!$K$15:$K$320,'METAS EMPRESAS'!$A$15:$A$320,"EJ",'METAS EMPRESAS'!$B$15:$B$320,"PREMONTAGEM",'METAS EMPRESAS'!$C$15:$C$320,$A24-WEEKDAY($A24,2)+1)</f>
        <v/>
      </c>
      <c r="C24" s="159">
        <f>SUMIFS('METAS EMPRESAS'!$K$15:$K$320,'METAS EMPRESAS'!$A$15:$A$320,"EJ",'METAS EMPRESAS'!$B$15:$B$320,"IÇAMENTO JOIST",'METAS EMPRESAS'!$C$15:$C$320,$A24-WEEKDAY($A24,2)+1)</f>
        <v/>
      </c>
      <c r="D24" s="159">
        <f>SUMIFS('METAS EMPRESAS'!$K$15:$K$320,'METAS EMPRESAS'!$A$15:$A$320,"EJ",'METAS EMPRESAS'!$B$15:$B$320,"VIGAS",'METAS EMPRESAS'!$C$15:$C$320,$A24-WEEKDAY($A24,2)+1)</f>
        <v/>
      </c>
      <c r="E24" s="159">
        <f>SUMIFS('METAS EMPRESAS'!$K$15:$K$320,'METAS EMPRESAS'!$A$15:$A$320,"CMM",'METAS EMPRESAS'!$B$15:$B$320,"PREMONTAGEM",'METAS EMPRESAS'!$C$15:$C$320,$A24-WEEKDAY($A24,2)+1)</f>
        <v/>
      </c>
      <c r="F24" s="159">
        <f>SUMIFS('METAS EMPRESAS'!$K$15:$K$320,'METAS EMPRESAS'!$A$15:$A$320,"CMM",'METAS EMPRESAS'!$B$15:$B$320,"IÇAMENTO JOIST",'METAS EMPRESAS'!$C$15:$C$320,$A24-WEEKDAY($A24,2)+1)</f>
        <v/>
      </c>
      <c r="G24" s="159">
        <f>SUMIFS('METAS EMPRESAS'!$K$15:$K$320,'METAS EMPRESAS'!$A$15:$A$320,"CMM",'METAS EMPRESAS'!$B$15:$B$320,"VIGAS",'METAS EMPRESAS'!$C$15:$C$320,$A24-WEEKDAY($A24,2)+1)</f>
        <v/>
      </c>
      <c r="H24" s="159">
        <f>SUMIFS('METAS EMPRESAS'!$G$15:$G$320,'METAS EMPRESAS'!$A$15:$A$320,"EJ",'METAS EMPRESAS'!$B$15:$B$320,"PREMONTAGEM",'METAS EMPRESAS'!$C$15:$C$320,$A24-WEEKDAY($A24,2)+1)</f>
        <v/>
      </c>
      <c r="I24" s="159">
        <f>SUMIFS('METAS EMPRESAS'!$G$15:$G$320,'METAS EMPRESAS'!$A$15:$A$320,"EJ",'METAS EMPRESAS'!$B$15:$B$320,"IÇAMENTO JOIST",'METAS EMPRESAS'!$C$15:$C$320,$A24-WEEKDAY($A24,2)+1)</f>
        <v/>
      </c>
      <c r="J24" s="159">
        <f>SUMIFS('METAS EMPRESAS'!$G$15:$G$320,'METAS EMPRESAS'!$A$15:$A$320,"EJ",'METAS EMPRESAS'!$B$15:$B$320,"VIGAS",'METAS EMPRESAS'!$C$15:$C$320,$A24-WEEKDAY($A24,2)+1)</f>
        <v/>
      </c>
      <c r="K24" s="159">
        <f>SUMIFS('METAS EMPRESAS'!$G$15:$G$320,'METAS EMPRESAS'!$A$15:$A$320,"CMM",'METAS EMPRESAS'!$B$15:$B$320,"PREMONTAGEM",'METAS EMPRESAS'!$C$15:$C$320,$A24-WEEKDAY($A24,2)+1)</f>
        <v/>
      </c>
      <c r="L24" s="159">
        <f>SUMIFS('METAS EMPRESAS'!$G$15:$G$320,'METAS EMPRESAS'!$A$15:$A$320,"CMM",'METAS EMPRESAS'!$B$15:$B$320,"IÇAMENTO JOIST",'METAS EMPRESAS'!$C$15:$C$320,$A24-WEEKDAY($A24,2)+1)</f>
        <v/>
      </c>
      <c r="M24" s="159">
        <f>SUMIFS('METAS EMPRESAS'!$G$15:$G$320,'METAS EMPRESAS'!$A$15:$A$320,"CMM",'METAS EMPRESAS'!$B$15:$B$320,"VIGAS",'METAS EMPRESAS'!$C$15:$C$320,$A24-WEEKDAY($A24,2)+1)</f>
        <v/>
      </c>
      <c r="N24" s="159">
        <f>SUMIFS('METAS EMPRESAS'!$J$15:$J$320,'METAS EMPRESAS'!$A$15:$A$320,"EJ",'METAS EMPRESAS'!$B$15:$B$320,"PREMONTAGEM",'METAS EMPRESAS'!$C$15:$C$320,$A24-WEEKDAY($A24,2)+1)</f>
        <v/>
      </c>
      <c r="O24" s="159">
        <f>SUMIFS('METAS EMPRESAS'!$J$15:$J$320,'METAS EMPRESAS'!$A$15:$A$320,"EJ",'METAS EMPRESAS'!$B$15:$B$320,"IÇAMENTO JOIST",'METAS EMPRESAS'!$C$15:$C$320,$A24-WEEKDAY($A24,2)+1)</f>
        <v/>
      </c>
      <c r="P24" s="159">
        <f>SUMIFS('METAS EMPRESAS'!$J$15:$J$320,'METAS EMPRESAS'!$A$15:$A$320,"EJ",'METAS EMPRESAS'!$B$15:$B$320,"VIGAS",'METAS EMPRESAS'!$C$15:$C$320,$A24-WEEKDAY($A24,2)+1)</f>
        <v/>
      </c>
      <c r="Q24" s="159">
        <f>SUMIFS('METAS EMPRESAS'!$J$15:$J$320,'METAS EMPRESAS'!$A$15:$A$320,"CMM",'METAS EMPRESAS'!$B$15:$B$320,"PREMONTAGEM",'METAS EMPRESAS'!$C$15:$C$320,$A24-WEEKDAY($A24,2)+1)</f>
        <v/>
      </c>
      <c r="R24" s="159">
        <f>SUMIFS('METAS EMPRESAS'!$J$15:$J$320,'METAS EMPRESAS'!$A$15:$A$320,"CMM",'METAS EMPRESAS'!$B$15:$B$320,"IÇAMENTO JOIST",'METAS EMPRESAS'!$C$15:$C$320,$A24-WEEKDAY($A24,2)+1)</f>
        <v/>
      </c>
      <c r="S24" s="159">
        <f>SUMIFS('METAS EMPRESAS'!$J$15:$J$320,'METAS EMPRESAS'!$A$15:$A$320,"CMM",'METAS EMPRESAS'!$B$15:$B$320,"VIGAS",'METAS EMPRESAS'!$C$15:$C$320,$A24-WEEKDAY($A24,2)+1)</f>
        <v/>
      </c>
      <c r="T24">
        <f>--(WEEKDAY(A24,2)&lt;=5)</f>
        <v/>
      </c>
      <c r="U24" t="n">
        <v>19</v>
      </c>
      <c r="V24" t="n">
        <v>7</v>
      </c>
      <c r="W24" t="n">
        <v>0</v>
      </c>
      <c r="X24" t="n">
        <v>5</v>
      </c>
      <c r="Y24" t="n">
        <v>5</v>
      </c>
      <c r="Z24" t="n">
        <v>5</v>
      </c>
      <c r="AA24" t="n">
        <v>95</v>
      </c>
      <c r="AB24" t="n">
        <v>35</v>
      </c>
      <c r="AC24" t="n">
        <v>0</v>
      </c>
    </row>
    <row r="25">
      <c r="A25" s="317" t="n">
        <v>46246</v>
      </c>
      <c r="B25" s="159">
        <f>SUMIFS('METAS EMPRESAS'!$K$15:$K$320,'METAS EMPRESAS'!$A$15:$A$320,"EJ",'METAS EMPRESAS'!$B$15:$B$320,"PREMONTAGEM",'METAS EMPRESAS'!$C$15:$C$320,$A25-WEEKDAY($A25,2)+1)</f>
        <v/>
      </c>
      <c r="C25" s="159">
        <f>SUMIFS('METAS EMPRESAS'!$K$15:$K$320,'METAS EMPRESAS'!$A$15:$A$320,"EJ",'METAS EMPRESAS'!$B$15:$B$320,"IÇAMENTO JOIST",'METAS EMPRESAS'!$C$15:$C$320,$A25-WEEKDAY($A25,2)+1)</f>
        <v/>
      </c>
      <c r="D25" s="159">
        <f>SUMIFS('METAS EMPRESAS'!$K$15:$K$320,'METAS EMPRESAS'!$A$15:$A$320,"EJ",'METAS EMPRESAS'!$B$15:$B$320,"VIGAS",'METAS EMPRESAS'!$C$15:$C$320,$A25-WEEKDAY($A25,2)+1)</f>
        <v/>
      </c>
      <c r="E25" s="159">
        <f>SUMIFS('METAS EMPRESAS'!$K$15:$K$320,'METAS EMPRESAS'!$A$15:$A$320,"CMM",'METAS EMPRESAS'!$B$15:$B$320,"PREMONTAGEM",'METAS EMPRESAS'!$C$15:$C$320,$A25-WEEKDAY($A25,2)+1)</f>
        <v/>
      </c>
      <c r="F25" s="159">
        <f>SUMIFS('METAS EMPRESAS'!$K$15:$K$320,'METAS EMPRESAS'!$A$15:$A$320,"CMM",'METAS EMPRESAS'!$B$15:$B$320,"IÇAMENTO JOIST",'METAS EMPRESAS'!$C$15:$C$320,$A25-WEEKDAY($A25,2)+1)</f>
        <v/>
      </c>
      <c r="G25" s="159">
        <f>SUMIFS('METAS EMPRESAS'!$K$15:$K$320,'METAS EMPRESAS'!$A$15:$A$320,"CMM",'METAS EMPRESAS'!$B$15:$B$320,"VIGAS",'METAS EMPRESAS'!$C$15:$C$320,$A25-WEEKDAY($A25,2)+1)</f>
        <v/>
      </c>
      <c r="H25" s="159">
        <f>SUMIFS('METAS EMPRESAS'!$G$15:$G$320,'METAS EMPRESAS'!$A$15:$A$320,"EJ",'METAS EMPRESAS'!$B$15:$B$320,"PREMONTAGEM",'METAS EMPRESAS'!$C$15:$C$320,$A25-WEEKDAY($A25,2)+1)</f>
        <v/>
      </c>
      <c r="I25" s="159">
        <f>SUMIFS('METAS EMPRESAS'!$G$15:$G$320,'METAS EMPRESAS'!$A$15:$A$320,"EJ",'METAS EMPRESAS'!$B$15:$B$320,"IÇAMENTO JOIST",'METAS EMPRESAS'!$C$15:$C$320,$A25-WEEKDAY($A25,2)+1)</f>
        <v/>
      </c>
      <c r="J25" s="159">
        <f>SUMIFS('METAS EMPRESAS'!$G$15:$G$320,'METAS EMPRESAS'!$A$15:$A$320,"EJ",'METAS EMPRESAS'!$B$15:$B$320,"VIGAS",'METAS EMPRESAS'!$C$15:$C$320,$A25-WEEKDAY($A25,2)+1)</f>
        <v/>
      </c>
      <c r="K25" s="159">
        <f>SUMIFS('METAS EMPRESAS'!$G$15:$G$320,'METAS EMPRESAS'!$A$15:$A$320,"CMM",'METAS EMPRESAS'!$B$15:$B$320,"PREMONTAGEM",'METAS EMPRESAS'!$C$15:$C$320,$A25-WEEKDAY($A25,2)+1)</f>
        <v/>
      </c>
      <c r="L25" s="159">
        <f>SUMIFS('METAS EMPRESAS'!$G$15:$G$320,'METAS EMPRESAS'!$A$15:$A$320,"CMM",'METAS EMPRESAS'!$B$15:$B$320,"IÇAMENTO JOIST",'METAS EMPRESAS'!$C$15:$C$320,$A25-WEEKDAY($A25,2)+1)</f>
        <v/>
      </c>
      <c r="M25" s="159">
        <f>SUMIFS('METAS EMPRESAS'!$G$15:$G$320,'METAS EMPRESAS'!$A$15:$A$320,"CMM",'METAS EMPRESAS'!$B$15:$B$320,"VIGAS",'METAS EMPRESAS'!$C$15:$C$320,$A25-WEEKDAY($A25,2)+1)</f>
        <v/>
      </c>
      <c r="N25" s="159">
        <f>SUMIFS('METAS EMPRESAS'!$J$15:$J$320,'METAS EMPRESAS'!$A$15:$A$320,"EJ",'METAS EMPRESAS'!$B$15:$B$320,"PREMONTAGEM",'METAS EMPRESAS'!$C$15:$C$320,$A25-WEEKDAY($A25,2)+1)</f>
        <v/>
      </c>
      <c r="O25" s="159">
        <f>SUMIFS('METAS EMPRESAS'!$J$15:$J$320,'METAS EMPRESAS'!$A$15:$A$320,"EJ",'METAS EMPRESAS'!$B$15:$B$320,"IÇAMENTO JOIST",'METAS EMPRESAS'!$C$15:$C$320,$A25-WEEKDAY($A25,2)+1)</f>
        <v/>
      </c>
      <c r="P25" s="159">
        <f>SUMIFS('METAS EMPRESAS'!$J$15:$J$320,'METAS EMPRESAS'!$A$15:$A$320,"EJ",'METAS EMPRESAS'!$B$15:$B$320,"VIGAS",'METAS EMPRESAS'!$C$15:$C$320,$A25-WEEKDAY($A25,2)+1)</f>
        <v/>
      </c>
      <c r="Q25" s="159">
        <f>SUMIFS('METAS EMPRESAS'!$J$15:$J$320,'METAS EMPRESAS'!$A$15:$A$320,"CMM",'METAS EMPRESAS'!$B$15:$B$320,"PREMONTAGEM",'METAS EMPRESAS'!$C$15:$C$320,$A25-WEEKDAY($A25,2)+1)</f>
        <v/>
      </c>
      <c r="R25" s="159">
        <f>SUMIFS('METAS EMPRESAS'!$J$15:$J$320,'METAS EMPRESAS'!$A$15:$A$320,"CMM",'METAS EMPRESAS'!$B$15:$B$320,"IÇAMENTO JOIST",'METAS EMPRESAS'!$C$15:$C$320,$A25-WEEKDAY($A25,2)+1)</f>
        <v/>
      </c>
      <c r="S25" s="159">
        <f>SUMIFS('METAS EMPRESAS'!$J$15:$J$320,'METAS EMPRESAS'!$A$15:$A$320,"CMM",'METAS EMPRESAS'!$B$15:$B$320,"VIGAS",'METAS EMPRESAS'!$C$15:$C$320,$A25-WEEKDAY($A25,2)+1)</f>
        <v/>
      </c>
      <c r="T25">
        <f>--(WEEKDAY(A25,2)&lt;=5)</f>
        <v/>
      </c>
      <c r="U25" t="n">
        <v>19</v>
      </c>
      <c r="V25" t="n">
        <v>7</v>
      </c>
      <c r="W25" t="n">
        <v>0</v>
      </c>
      <c r="X25" t="n">
        <v>5</v>
      </c>
      <c r="Y25" t="n">
        <v>5</v>
      </c>
      <c r="Z25" t="n">
        <v>5</v>
      </c>
      <c r="AA25" t="n">
        <v>95</v>
      </c>
      <c r="AB25" t="n">
        <v>35</v>
      </c>
      <c r="AC25" t="n">
        <v>0</v>
      </c>
    </row>
    <row r="26">
      <c r="A26" s="317" t="n">
        <v>46247</v>
      </c>
      <c r="B26" s="159">
        <f>SUMIFS('METAS EMPRESAS'!$K$15:$K$320,'METAS EMPRESAS'!$A$15:$A$320,"EJ",'METAS EMPRESAS'!$B$15:$B$320,"PREMONTAGEM",'METAS EMPRESAS'!$C$15:$C$320,$A26-WEEKDAY($A26,2)+1)</f>
        <v/>
      </c>
      <c r="C26" s="159">
        <f>SUMIFS('METAS EMPRESAS'!$K$15:$K$320,'METAS EMPRESAS'!$A$15:$A$320,"EJ",'METAS EMPRESAS'!$B$15:$B$320,"IÇAMENTO JOIST",'METAS EMPRESAS'!$C$15:$C$320,$A26-WEEKDAY($A26,2)+1)</f>
        <v/>
      </c>
      <c r="D26" s="159">
        <f>SUMIFS('METAS EMPRESAS'!$K$15:$K$320,'METAS EMPRESAS'!$A$15:$A$320,"EJ",'METAS EMPRESAS'!$B$15:$B$320,"VIGAS",'METAS EMPRESAS'!$C$15:$C$320,$A26-WEEKDAY($A26,2)+1)</f>
        <v/>
      </c>
      <c r="E26" s="159">
        <f>SUMIFS('METAS EMPRESAS'!$K$15:$K$320,'METAS EMPRESAS'!$A$15:$A$320,"CMM",'METAS EMPRESAS'!$B$15:$B$320,"PREMONTAGEM",'METAS EMPRESAS'!$C$15:$C$320,$A26-WEEKDAY($A26,2)+1)</f>
        <v/>
      </c>
      <c r="F26" s="159">
        <f>SUMIFS('METAS EMPRESAS'!$K$15:$K$320,'METAS EMPRESAS'!$A$15:$A$320,"CMM",'METAS EMPRESAS'!$B$15:$B$320,"IÇAMENTO JOIST",'METAS EMPRESAS'!$C$15:$C$320,$A26-WEEKDAY($A26,2)+1)</f>
        <v/>
      </c>
      <c r="G26" s="159">
        <f>SUMIFS('METAS EMPRESAS'!$K$15:$K$320,'METAS EMPRESAS'!$A$15:$A$320,"CMM",'METAS EMPRESAS'!$B$15:$B$320,"VIGAS",'METAS EMPRESAS'!$C$15:$C$320,$A26-WEEKDAY($A26,2)+1)</f>
        <v/>
      </c>
      <c r="H26" s="159">
        <f>SUMIFS('METAS EMPRESAS'!$G$15:$G$320,'METAS EMPRESAS'!$A$15:$A$320,"EJ",'METAS EMPRESAS'!$B$15:$B$320,"PREMONTAGEM",'METAS EMPRESAS'!$C$15:$C$320,$A26-WEEKDAY($A26,2)+1)</f>
        <v/>
      </c>
      <c r="I26" s="159">
        <f>SUMIFS('METAS EMPRESAS'!$G$15:$G$320,'METAS EMPRESAS'!$A$15:$A$320,"EJ",'METAS EMPRESAS'!$B$15:$B$320,"IÇAMENTO JOIST",'METAS EMPRESAS'!$C$15:$C$320,$A26-WEEKDAY($A26,2)+1)</f>
        <v/>
      </c>
      <c r="J26" s="159">
        <f>SUMIFS('METAS EMPRESAS'!$G$15:$G$320,'METAS EMPRESAS'!$A$15:$A$320,"EJ",'METAS EMPRESAS'!$B$15:$B$320,"VIGAS",'METAS EMPRESAS'!$C$15:$C$320,$A26-WEEKDAY($A26,2)+1)</f>
        <v/>
      </c>
      <c r="K26" s="159">
        <f>SUMIFS('METAS EMPRESAS'!$G$15:$G$320,'METAS EMPRESAS'!$A$15:$A$320,"CMM",'METAS EMPRESAS'!$B$15:$B$320,"PREMONTAGEM",'METAS EMPRESAS'!$C$15:$C$320,$A26-WEEKDAY($A26,2)+1)</f>
        <v/>
      </c>
      <c r="L26" s="159">
        <f>SUMIFS('METAS EMPRESAS'!$G$15:$G$320,'METAS EMPRESAS'!$A$15:$A$320,"CMM",'METAS EMPRESAS'!$B$15:$B$320,"IÇAMENTO JOIST",'METAS EMPRESAS'!$C$15:$C$320,$A26-WEEKDAY($A26,2)+1)</f>
        <v/>
      </c>
      <c r="M26" s="159">
        <f>SUMIFS('METAS EMPRESAS'!$G$15:$G$320,'METAS EMPRESAS'!$A$15:$A$320,"CMM",'METAS EMPRESAS'!$B$15:$B$320,"VIGAS",'METAS EMPRESAS'!$C$15:$C$320,$A26-WEEKDAY($A26,2)+1)</f>
        <v/>
      </c>
      <c r="N26" s="159">
        <f>SUMIFS('METAS EMPRESAS'!$J$15:$J$320,'METAS EMPRESAS'!$A$15:$A$320,"EJ",'METAS EMPRESAS'!$B$15:$B$320,"PREMONTAGEM",'METAS EMPRESAS'!$C$15:$C$320,$A26-WEEKDAY($A26,2)+1)</f>
        <v/>
      </c>
      <c r="O26" s="159">
        <f>SUMIFS('METAS EMPRESAS'!$J$15:$J$320,'METAS EMPRESAS'!$A$15:$A$320,"EJ",'METAS EMPRESAS'!$B$15:$B$320,"IÇAMENTO JOIST",'METAS EMPRESAS'!$C$15:$C$320,$A26-WEEKDAY($A26,2)+1)</f>
        <v/>
      </c>
      <c r="P26" s="159">
        <f>SUMIFS('METAS EMPRESAS'!$J$15:$J$320,'METAS EMPRESAS'!$A$15:$A$320,"EJ",'METAS EMPRESAS'!$B$15:$B$320,"VIGAS",'METAS EMPRESAS'!$C$15:$C$320,$A26-WEEKDAY($A26,2)+1)</f>
        <v/>
      </c>
      <c r="Q26" s="159">
        <f>SUMIFS('METAS EMPRESAS'!$J$15:$J$320,'METAS EMPRESAS'!$A$15:$A$320,"CMM",'METAS EMPRESAS'!$B$15:$B$320,"PREMONTAGEM",'METAS EMPRESAS'!$C$15:$C$320,$A26-WEEKDAY($A26,2)+1)</f>
        <v/>
      </c>
      <c r="R26" s="159">
        <f>SUMIFS('METAS EMPRESAS'!$J$15:$J$320,'METAS EMPRESAS'!$A$15:$A$320,"CMM",'METAS EMPRESAS'!$B$15:$B$320,"IÇAMENTO JOIST",'METAS EMPRESAS'!$C$15:$C$320,$A26-WEEKDAY($A26,2)+1)</f>
        <v/>
      </c>
      <c r="S26" s="159">
        <f>SUMIFS('METAS EMPRESAS'!$J$15:$J$320,'METAS EMPRESAS'!$A$15:$A$320,"CMM",'METAS EMPRESAS'!$B$15:$B$320,"VIGAS",'METAS EMPRESAS'!$C$15:$C$320,$A26-WEEKDAY($A26,2)+1)</f>
        <v/>
      </c>
      <c r="T26">
        <f>--(WEEKDAY(A26,2)&lt;=5)</f>
        <v/>
      </c>
      <c r="U26" t="n">
        <v>19</v>
      </c>
      <c r="V26" t="n">
        <v>7</v>
      </c>
      <c r="W26" t="n">
        <v>0</v>
      </c>
      <c r="X26" t="n">
        <v>5</v>
      </c>
      <c r="Y26" t="n">
        <v>5</v>
      </c>
      <c r="Z26" t="n">
        <v>5</v>
      </c>
      <c r="AA26" t="n">
        <v>95</v>
      </c>
      <c r="AB26" t="n">
        <v>35</v>
      </c>
      <c r="AC26" t="n">
        <v>0</v>
      </c>
    </row>
    <row r="27">
      <c r="A27" s="317" t="n">
        <v>46248</v>
      </c>
      <c r="B27" s="159">
        <f>SUMIFS('METAS EMPRESAS'!$K$15:$K$320,'METAS EMPRESAS'!$A$15:$A$320,"EJ",'METAS EMPRESAS'!$B$15:$B$320,"PREMONTAGEM",'METAS EMPRESAS'!$C$15:$C$320,$A27-WEEKDAY($A27,2)+1)</f>
        <v/>
      </c>
      <c r="C27" s="159">
        <f>SUMIFS('METAS EMPRESAS'!$K$15:$K$320,'METAS EMPRESAS'!$A$15:$A$320,"EJ",'METAS EMPRESAS'!$B$15:$B$320,"IÇAMENTO JOIST",'METAS EMPRESAS'!$C$15:$C$320,$A27-WEEKDAY($A27,2)+1)</f>
        <v/>
      </c>
      <c r="D27" s="159">
        <f>SUMIFS('METAS EMPRESAS'!$K$15:$K$320,'METAS EMPRESAS'!$A$15:$A$320,"EJ",'METAS EMPRESAS'!$B$15:$B$320,"VIGAS",'METAS EMPRESAS'!$C$15:$C$320,$A27-WEEKDAY($A27,2)+1)</f>
        <v/>
      </c>
      <c r="E27" s="159">
        <f>SUMIFS('METAS EMPRESAS'!$K$15:$K$320,'METAS EMPRESAS'!$A$15:$A$320,"CMM",'METAS EMPRESAS'!$B$15:$B$320,"PREMONTAGEM",'METAS EMPRESAS'!$C$15:$C$320,$A27-WEEKDAY($A27,2)+1)</f>
        <v/>
      </c>
      <c r="F27" s="159">
        <f>SUMIFS('METAS EMPRESAS'!$K$15:$K$320,'METAS EMPRESAS'!$A$15:$A$320,"CMM",'METAS EMPRESAS'!$B$15:$B$320,"IÇAMENTO JOIST",'METAS EMPRESAS'!$C$15:$C$320,$A27-WEEKDAY($A27,2)+1)</f>
        <v/>
      </c>
      <c r="G27" s="159">
        <f>SUMIFS('METAS EMPRESAS'!$K$15:$K$320,'METAS EMPRESAS'!$A$15:$A$320,"CMM",'METAS EMPRESAS'!$B$15:$B$320,"VIGAS",'METAS EMPRESAS'!$C$15:$C$320,$A27-WEEKDAY($A27,2)+1)</f>
        <v/>
      </c>
      <c r="H27" s="159">
        <f>SUMIFS('METAS EMPRESAS'!$G$15:$G$320,'METAS EMPRESAS'!$A$15:$A$320,"EJ",'METAS EMPRESAS'!$B$15:$B$320,"PREMONTAGEM",'METAS EMPRESAS'!$C$15:$C$320,$A27-WEEKDAY($A27,2)+1)</f>
        <v/>
      </c>
      <c r="I27" s="159">
        <f>SUMIFS('METAS EMPRESAS'!$G$15:$G$320,'METAS EMPRESAS'!$A$15:$A$320,"EJ",'METAS EMPRESAS'!$B$15:$B$320,"IÇAMENTO JOIST",'METAS EMPRESAS'!$C$15:$C$320,$A27-WEEKDAY($A27,2)+1)</f>
        <v/>
      </c>
      <c r="J27" s="159">
        <f>SUMIFS('METAS EMPRESAS'!$G$15:$G$320,'METAS EMPRESAS'!$A$15:$A$320,"EJ",'METAS EMPRESAS'!$B$15:$B$320,"VIGAS",'METAS EMPRESAS'!$C$15:$C$320,$A27-WEEKDAY($A27,2)+1)</f>
        <v/>
      </c>
      <c r="K27" s="159">
        <f>SUMIFS('METAS EMPRESAS'!$G$15:$G$320,'METAS EMPRESAS'!$A$15:$A$320,"CMM",'METAS EMPRESAS'!$B$15:$B$320,"PREMONTAGEM",'METAS EMPRESAS'!$C$15:$C$320,$A27-WEEKDAY($A27,2)+1)</f>
        <v/>
      </c>
      <c r="L27" s="159">
        <f>SUMIFS('METAS EMPRESAS'!$G$15:$G$320,'METAS EMPRESAS'!$A$15:$A$320,"CMM",'METAS EMPRESAS'!$B$15:$B$320,"IÇAMENTO JOIST",'METAS EMPRESAS'!$C$15:$C$320,$A27-WEEKDAY($A27,2)+1)</f>
        <v/>
      </c>
      <c r="M27" s="159">
        <f>SUMIFS('METAS EMPRESAS'!$G$15:$G$320,'METAS EMPRESAS'!$A$15:$A$320,"CMM",'METAS EMPRESAS'!$B$15:$B$320,"VIGAS",'METAS EMPRESAS'!$C$15:$C$320,$A27-WEEKDAY($A27,2)+1)</f>
        <v/>
      </c>
      <c r="N27" s="159">
        <f>SUMIFS('METAS EMPRESAS'!$J$15:$J$320,'METAS EMPRESAS'!$A$15:$A$320,"EJ",'METAS EMPRESAS'!$B$15:$B$320,"PREMONTAGEM",'METAS EMPRESAS'!$C$15:$C$320,$A27-WEEKDAY($A27,2)+1)</f>
        <v/>
      </c>
      <c r="O27" s="159">
        <f>SUMIFS('METAS EMPRESAS'!$J$15:$J$320,'METAS EMPRESAS'!$A$15:$A$320,"EJ",'METAS EMPRESAS'!$B$15:$B$320,"IÇAMENTO JOIST",'METAS EMPRESAS'!$C$15:$C$320,$A27-WEEKDAY($A27,2)+1)</f>
        <v/>
      </c>
      <c r="P27" s="159">
        <f>SUMIFS('METAS EMPRESAS'!$J$15:$J$320,'METAS EMPRESAS'!$A$15:$A$320,"EJ",'METAS EMPRESAS'!$B$15:$B$320,"VIGAS",'METAS EMPRESAS'!$C$15:$C$320,$A27-WEEKDAY($A27,2)+1)</f>
        <v/>
      </c>
      <c r="Q27" s="159">
        <f>SUMIFS('METAS EMPRESAS'!$J$15:$J$320,'METAS EMPRESAS'!$A$15:$A$320,"CMM",'METAS EMPRESAS'!$B$15:$B$320,"PREMONTAGEM",'METAS EMPRESAS'!$C$15:$C$320,$A27-WEEKDAY($A27,2)+1)</f>
        <v/>
      </c>
      <c r="R27" s="159">
        <f>SUMIFS('METAS EMPRESAS'!$J$15:$J$320,'METAS EMPRESAS'!$A$15:$A$320,"CMM",'METAS EMPRESAS'!$B$15:$B$320,"IÇAMENTO JOIST",'METAS EMPRESAS'!$C$15:$C$320,$A27-WEEKDAY($A27,2)+1)</f>
        <v/>
      </c>
      <c r="S27" s="159">
        <f>SUMIFS('METAS EMPRESAS'!$J$15:$J$320,'METAS EMPRESAS'!$A$15:$A$320,"CMM",'METAS EMPRESAS'!$B$15:$B$320,"VIGAS",'METAS EMPRESAS'!$C$15:$C$320,$A27-WEEKDAY($A27,2)+1)</f>
        <v/>
      </c>
      <c r="T27">
        <f>--(WEEKDAY(A27,2)&lt;=5)</f>
        <v/>
      </c>
      <c r="U27" t="n">
        <v>19</v>
      </c>
      <c r="V27" t="n">
        <v>7</v>
      </c>
      <c r="W27" t="n">
        <v>0</v>
      </c>
      <c r="X27" t="n">
        <v>5</v>
      </c>
      <c r="Y27" t="n">
        <v>5</v>
      </c>
      <c r="Z27" t="n">
        <v>5</v>
      </c>
      <c r="AA27" t="n">
        <v>95</v>
      </c>
      <c r="AB27" t="n">
        <v>35</v>
      </c>
      <c r="AC27" t="n">
        <v>0</v>
      </c>
    </row>
    <row r="28">
      <c r="A28" s="317" t="n">
        <v>46249</v>
      </c>
      <c r="B28" s="159">
        <f>SUMIFS('METAS EMPRESAS'!$K$15:$K$320,'METAS EMPRESAS'!$A$15:$A$320,"EJ",'METAS EMPRESAS'!$B$15:$B$320,"PREMONTAGEM",'METAS EMPRESAS'!$C$15:$C$320,$A28-WEEKDAY($A28,2)+1)</f>
        <v/>
      </c>
      <c r="C28" s="159">
        <f>SUMIFS('METAS EMPRESAS'!$K$15:$K$320,'METAS EMPRESAS'!$A$15:$A$320,"EJ",'METAS EMPRESAS'!$B$15:$B$320,"IÇAMENTO JOIST",'METAS EMPRESAS'!$C$15:$C$320,$A28-WEEKDAY($A28,2)+1)</f>
        <v/>
      </c>
      <c r="D28" s="159">
        <f>SUMIFS('METAS EMPRESAS'!$K$15:$K$320,'METAS EMPRESAS'!$A$15:$A$320,"EJ",'METAS EMPRESAS'!$B$15:$B$320,"VIGAS",'METAS EMPRESAS'!$C$15:$C$320,$A28-WEEKDAY($A28,2)+1)</f>
        <v/>
      </c>
      <c r="E28" s="159">
        <f>SUMIFS('METAS EMPRESAS'!$K$15:$K$320,'METAS EMPRESAS'!$A$15:$A$320,"CMM",'METAS EMPRESAS'!$B$15:$B$320,"PREMONTAGEM",'METAS EMPRESAS'!$C$15:$C$320,$A28-WEEKDAY($A28,2)+1)</f>
        <v/>
      </c>
      <c r="F28" s="159">
        <f>SUMIFS('METAS EMPRESAS'!$K$15:$K$320,'METAS EMPRESAS'!$A$15:$A$320,"CMM",'METAS EMPRESAS'!$B$15:$B$320,"IÇAMENTO JOIST",'METAS EMPRESAS'!$C$15:$C$320,$A28-WEEKDAY($A28,2)+1)</f>
        <v/>
      </c>
      <c r="G28" s="159">
        <f>SUMIFS('METAS EMPRESAS'!$K$15:$K$320,'METAS EMPRESAS'!$A$15:$A$320,"CMM",'METAS EMPRESAS'!$B$15:$B$320,"VIGAS",'METAS EMPRESAS'!$C$15:$C$320,$A28-WEEKDAY($A28,2)+1)</f>
        <v/>
      </c>
      <c r="H28" s="159">
        <f>SUMIFS('METAS EMPRESAS'!$G$15:$G$320,'METAS EMPRESAS'!$A$15:$A$320,"EJ",'METAS EMPRESAS'!$B$15:$B$320,"PREMONTAGEM",'METAS EMPRESAS'!$C$15:$C$320,$A28-WEEKDAY($A28,2)+1)</f>
        <v/>
      </c>
      <c r="I28" s="159">
        <f>SUMIFS('METAS EMPRESAS'!$G$15:$G$320,'METAS EMPRESAS'!$A$15:$A$320,"EJ",'METAS EMPRESAS'!$B$15:$B$320,"IÇAMENTO JOIST",'METAS EMPRESAS'!$C$15:$C$320,$A28-WEEKDAY($A28,2)+1)</f>
        <v/>
      </c>
      <c r="J28" s="159">
        <f>SUMIFS('METAS EMPRESAS'!$G$15:$G$320,'METAS EMPRESAS'!$A$15:$A$320,"EJ",'METAS EMPRESAS'!$B$15:$B$320,"VIGAS",'METAS EMPRESAS'!$C$15:$C$320,$A28-WEEKDAY($A28,2)+1)</f>
        <v/>
      </c>
      <c r="K28" s="159">
        <f>SUMIFS('METAS EMPRESAS'!$G$15:$G$320,'METAS EMPRESAS'!$A$15:$A$320,"CMM",'METAS EMPRESAS'!$B$15:$B$320,"PREMONTAGEM",'METAS EMPRESAS'!$C$15:$C$320,$A28-WEEKDAY($A28,2)+1)</f>
        <v/>
      </c>
      <c r="L28" s="159">
        <f>SUMIFS('METAS EMPRESAS'!$G$15:$G$320,'METAS EMPRESAS'!$A$15:$A$320,"CMM",'METAS EMPRESAS'!$B$15:$B$320,"IÇAMENTO JOIST",'METAS EMPRESAS'!$C$15:$C$320,$A28-WEEKDAY($A28,2)+1)</f>
        <v/>
      </c>
      <c r="M28" s="159">
        <f>SUMIFS('METAS EMPRESAS'!$G$15:$G$320,'METAS EMPRESAS'!$A$15:$A$320,"CMM",'METAS EMPRESAS'!$B$15:$B$320,"VIGAS",'METAS EMPRESAS'!$C$15:$C$320,$A28-WEEKDAY($A28,2)+1)</f>
        <v/>
      </c>
      <c r="N28" s="159">
        <f>SUMIFS('METAS EMPRESAS'!$J$15:$J$320,'METAS EMPRESAS'!$A$15:$A$320,"EJ",'METAS EMPRESAS'!$B$15:$B$320,"PREMONTAGEM",'METAS EMPRESAS'!$C$15:$C$320,$A28-WEEKDAY($A28,2)+1)</f>
        <v/>
      </c>
      <c r="O28" s="159">
        <f>SUMIFS('METAS EMPRESAS'!$J$15:$J$320,'METAS EMPRESAS'!$A$15:$A$320,"EJ",'METAS EMPRESAS'!$B$15:$B$320,"IÇAMENTO JOIST",'METAS EMPRESAS'!$C$15:$C$320,$A28-WEEKDAY($A28,2)+1)</f>
        <v/>
      </c>
      <c r="P28" s="159">
        <f>SUMIFS('METAS EMPRESAS'!$J$15:$J$320,'METAS EMPRESAS'!$A$15:$A$320,"EJ",'METAS EMPRESAS'!$B$15:$B$320,"VIGAS",'METAS EMPRESAS'!$C$15:$C$320,$A28-WEEKDAY($A28,2)+1)</f>
        <v/>
      </c>
      <c r="Q28" s="159">
        <f>SUMIFS('METAS EMPRESAS'!$J$15:$J$320,'METAS EMPRESAS'!$A$15:$A$320,"CMM",'METAS EMPRESAS'!$B$15:$B$320,"PREMONTAGEM",'METAS EMPRESAS'!$C$15:$C$320,$A28-WEEKDAY($A28,2)+1)</f>
        <v/>
      </c>
      <c r="R28" s="159">
        <f>SUMIFS('METAS EMPRESAS'!$J$15:$J$320,'METAS EMPRESAS'!$A$15:$A$320,"CMM",'METAS EMPRESAS'!$B$15:$B$320,"IÇAMENTO JOIST",'METAS EMPRESAS'!$C$15:$C$320,$A28-WEEKDAY($A28,2)+1)</f>
        <v/>
      </c>
      <c r="S28" s="159">
        <f>SUMIFS('METAS EMPRESAS'!$J$15:$J$320,'METAS EMPRESAS'!$A$15:$A$320,"CMM",'METAS EMPRESAS'!$B$15:$B$320,"VIGAS",'METAS EMPRESAS'!$C$15:$C$320,$A28-WEEKDAY($A28,2)+1)</f>
        <v/>
      </c>
      <c r="T28">
        <f>--(WEEKDAY(A28,2)&lt;=5)</f>
        <v/>
      </c>
      <c r="U28" t="n">
        <v>19</v>
      </c>
      <c r="V28" t="n">
        <v>7</v>
      </c>
      <c r="W28" t="n">
        <v>0</v>
      </c>
      <c r="X28" t="n">
        <v>5</v>
      </c>
      <c r="Y28" t="n">
        <v>5</v>
      </c>
      <c r="Z28" t="n">
        <v>5</v>
      </c>
      <c r="AA28" t="n">
        <v>95</v>
      </c>
      <c r="AB28" t="n">
        <v>35</v>
      </c>
      <c r="AC28" t="n">
        <v>0</v>
      </c>
    </row>
    <row r="29">
      <c r="A29" s="317" t="n">
        <v>46250</v>
      </c>
      <c r="B29" s="159">
        <f>SUMIFS('METAS EMPRESAS'!$K$15:$K$320,'METAS EMPRESAS'!$A$15:$A$320,"EJ",'METAS EMPRESAS'!$B$15:$B$320,"PREMONTAGEM",'METAS EMPRESAS'!$C$15:$C$320,$A29-WEEKDAY($A29,2)+1)</f>
        <v/>
      </c>
      <c r="C29" s="159">
        <f>SUMIFS('METAS EMPRESAS'!$K$15:$K$320,'METAS EMPRESAS'!$A$15:$A$320,"EJ",'METAS EMPRESAS'!$B$15:$B$320,"IÇAMENTO JOIST",'METAS EMPRESAS'!$C$15:$C$320,$A29-WEEKDAY($A29,2)+1)</f>
        <v/>
      </c>
      <c r="D29" s="159">
        <f>SUMIFS('METAS EMPRESAS'!$K$15:$K$320,'METAS EMPRESAS'!$A$15:$A$320,"EJ",'METAS EMPRESAS'!$B$15:$B$320,"VIGAS",'METAS EMPRESAS'!$C$15:$C$320,$A29-WEEKDAY($A29,2)+1)</f>
        <v/>
      </c>
      <c r="E29" s="159">
        <f>SUMIFS('METAS EMPRESAS'!$K$15:$K$320,'METAS EMPRESAS'!$A$15:$A$320,"CMM",'METAS EMPRESAS'!$B$15:$B$320,"PREMONTAGEM",'METAS EMPRESAS'!$C$15:$C$320,$A29-WEEKDAY($A29,2)+1)</f>
        <v/>
      </c>
      <c r="F29" s="159">
        <f>SUMIFS('METAS EMPRESAS'!$K$15:$K$320,'METAS EMPRESAS'!$A$15:$A$320,"CMM",'METAS EMPRESAS'!$B$15:$B$320,"IÇAMENTO JOIST",'METAS EMPRESAS'!$C$15:$C$320,$A29-WEEKDAY($A29,2)+1)</f>
        <v/>
      </c>
      <c r="G29" s="159">
        <f>SUMIFS('METAS EMPRESAS'!$K$15:$K$320,'METAS EMPRESAS'!$A$15:$A$320,"CMM",'METAS EMPRESAS'!$B$15:$B$320,"VIGAS",'METAS EMPRESAS'!$C$15:$C$320,$A29-WEEKDAY($A29,2)+1)</f>
        <v/>
      </c>
      <c r="H29" s="159">
        <f>SUMIFS('METAS EMPRESAS'!$G$15:$G$320,'METAS EMPRESAS'!$A$15:$A$320,"EJ",'METAS EMPRESAS'!$B$15:$B$320,"PREMONTAGEM",'METAS EMPRESAS'!$C$15:$C$320,$A29-WEEKDAY($A29,2)+1)</f>
        <v/>
      </c>
      <c r="I29" s="159">
        <f>SUMIFS('METAS EMPRESAS'!$G$15:$G$320,'METAS EMPRESAS'!$A$15:$A$320,"EJ",'METAS EMPRESAS'!$B$15:$B$320,"IÇAMENTO JOIST",'METAS EMPRESAS'!$C$15:$C$320,$A29-WEEKDAY($A29,2)+1)</f>
        <v/>
      </c>
      <c r="J29" s="159">
        <f>SUMIFS('METAS EMPRESAS'!$G$15:$G$320,'METAS EMPRESAS'!$A$15:$A$320,"EJ",'METAS EMPRESAS'!$B$15:$B$320,"VIGAS",'METAS EMPRESAS'!$C$15:$C$320,$A29-WEEKDAY($A29,2)+1)</f>
        <v/>
      </c>
      <c r="K29" s="159">
        <f>SUMIFS('METAS EMPRESAS'!$G$15:$G$320,'METAS EMPRESAS'!$A$15:$A$320,"CMM",'METAS EMPRESAS'!$B$15:$B$320,"PREMONTAGEM",'METAS EMPRESAS'!$C$15:$C$320,$A29-WEEKDAY($A29,2)+1)</f>
        <v/>
      </c>
      <c r="L29" s="159">
        <f>SUMIFS('METAS EMPRESAS'!$G$15:$G$320,'METAS EMPRESAS'!$A$15:$A$320,"CMM",'METAS EMPRESAS'!$B$15:$B$320,"IÇAMENTO JOIST",'METAS EMPRESAS'!$C$15:$C$320,$A29-WEEKDAY($A29,2)+1)</f>
        <v/>
      </c>
      <c r="M29" s="159">
        <f>SUMIFS('METAS EMPRESAS'!$G$15:$G$320,'METAS EMPRESAS'!$A$15:$A$320,"CMM",'METAS EMPRESAS'!$B$15:$B$320,"VIGAS",'METAS EMPRESAS'!$C$15:$C$320,$A29-WEEKDAY($A29,2)+1)</f>
        <v/>
      </c>
      <c r="N29" s="159">
        <f>SUMIFS('METAS EMPRESAS'!$J$15:$J$320,'METAS EMPRESAS'!$A$15:$A$320,"EJ",'METAS EMPRESAS'!$B$15:$B$320,"PREMONTAGEM",'METAS EMPRESAS'!$C$15:$C$320,$A29-WEEKDAY($A29,2)+1)</f>
        <v/>
      </c>
      <c r="O29" s="159">
        <f>SUMIFS('METAS EMPRESAS'!$J$15:$J$320,'METAS EMPRESAS'!$A$15:$A$320,"EJ",'METAS EMPRESAS'!$B$15:$B$320,"IÇAMENTO JOIST",'METAS EMPRESAS'!$C$15:$C$320,$A29-WEEKDAY($A29,2)+1)</f>
        <v/>
      </c>
      <c r="P29" s="159">
        <f>SUMIFS('METAS EMPRESAS'!$J$15:$J$320,'METAS EMPRESAS'!$A$15:$A$320,"EJ",'METAS EMPRESAS'!$B$15:$B$320,"VIGAS",'METAS EMPRESAS'!$C$15:$C$320,$A29-WEEKDAY($A29,2)+1)</f>
        <v/>
      </c>
      <c r="Q29" s="159">
        <f>SUMIFS('METAS EMPRESAS'!$J$15:$J$320,'METAS EMPRESAS'!$A$15:$A$320,"CMM",'METAS EMPRESAS'!$B$15:$B$320,"PREMONTAGEM",'METAS EMPRESAS'!$C$15:$C$320,$A29-WEEKDAY($A29,2)+1)</f>
        <v/>
      </c>
      <c r="R29" s="159">
        <f>SUMIFS('METAS EMPRESAS'!$J$15:$J$320,'METAS EMPRESAS'!$A$15:$A$320,"CMM",'METAS EMPRESAS'!$B$15:$B$320,"IÇAMENTO JOIST",'METAS EMPRESAS'!$C$15:$C$320,$A29-WEEKDAY($A29,2)+1)</f>
        <v/>
      </c>
      <c r="S29" s="159">
        <f>SUMIFS('METAS EMPRESAS'!$J$15:$J$320,'METAS EMPRESAS'!$A$15:$A$320,"CMM",'METAS EMPRESAS'!$B$15:$B$320,"VIGAS",'METAS EMPRESAS'!$C$15:$C$320,$A29-WEEKDAY($A29,2)+1)</f>
        <v/>
      </c>
      <c r="T29">
        <f>--(WEEKDAY(A29,2)&lt;=5)</f>
        <v/>
      </c>
      <c r="U29" t="n">
        <v>19</v>
      </c>
      <c r="V29" t="n">
        <v>7</v>
      </c>
      <c r="W29" t="n">
        <v>0</v>
      </c>
      <c r="X29" t="n">
        <v>5</v>
      </c>
      <c r="Y29" t="n">
        <v>5</v>
      </c>
      <c r="Z29" t="n">
        <v>5</v>
      </c>
      <c r="AA29" t="n">
        <v>95</v>
      </c>
      <c r="AB29" t="n">
        <v>35</v>
      </c>
      <c r="AC29" t="n">
        <v>0</v>
      </c>
    </row>
    <row r="30">
      <c r="A30" s="317" t="n">
        <v>46251</v>
      </c>
      <c r="B30" s="159">
        <f>SUMIFS('METAS EMPRESAS'!$K$15:$K$320,'METAS EMPRESAS'!$A$15:$A$320,"EJ",'METAS EMPRESAS'!$B$15:$B$320,"PREMONTAGEM",'METAS EMPRESAS'!$C$15:$C$320,$A30-WEEKDAY($A30,2)+1)</f>
        <v/>
      </c>
      <c r="C30" s="159">
        <f>SUMIFS('METAS EMPRESAS'!$K$15:$K$320,'METAS EMPRESAS'!$A$15:$A$320,"EJ",'METAS EMPRESAS'!$B$15:$B$320,"IÇAMENTO JOIST",'METAS EMPRESAS'!$C$15:$C$320,$A30-WEEKDAY($A30,2)+1)</f>
        <v/>
      </c>
      <c r="D30" s="159">
        <f>SUMIFS('METAS EMPRESAS'!$K$15:$K$320,'METAS EMPRESAS'!$A$15:$A$320,"EJ",'METAS EMPRESAS'!$B$15:$B$320,"VIGAS",'METAS EMPRESAS'!$C$15:$C$320,$A30-WEEKDAY($A30,2)+1)</f>
        <v/>
      </c>
      <c r="E30" s="159">
        <f>SUMIFS('METAS EMPRESAS'!$K$15:$K$320,'METAS EMPRESAS'!$A$15:$A$320,"CMM",'METAS EMPRESAS'!$B$15:$B$320,"PREMONTAGEM",'METAS EMPRESAS'!$C$15:$C$320,$A30-WEEKDAY($A30,2)+1)</f>
        <v/>
      </c>
      <c r="F30" s="159">
        <f>SUMIFS('METAS EMPRESAS'!$K$15:$K$320,'METAS EMPRESAS'!$A$15:$A$320,"CMM",'METAS EMPRESAS'!$B$15:$B$320,"IÇAMENTO JOIST",'METAS EMPRESAS'!$C$15:$C$320,$A30-WEEKDAY($A30,2)+1)</f>
        <v/>
      </c>
      <c r="G30" s="159">
        <f>SUMIFS('METAS EMPRESAS'!$K$15:$K$320,'METAS EMPRESAS'!$A$15:$A$320,"CMM",'METAS EMPRESAS'!$B$15:$B$320,"VIGAS",'METAS EMPRESAS'!$C$15:$C$320,$A30-WEEKDAY($A30,2)+1)</f>
        <v/>
      </c>
      <c r="H30" s="159">
        <f>SUMIFS('METAS EMPRESAS'!$G$15:$G$320,'METAS EMPRESAS'!$A$15:$A$320,"EJ",'METAS EMPRESAS'!$B$15:$B$320,"PREMONTAGEM",'METAS EMPRESAS'!$C$15:$C$320,$A30-WEEKDAY($A30,2)+1)</f>
        <v/>
      </c>
      <c r="I30" s="159">
        <f>SUMIFS('METAS EMPRESAS'!$G$15:$G$320,'METAS EMPRESAS'!$A$15:$A$320,"EJ",'METAS EMPRESAS'!$B$15:$B$320,"IÇAMENTO JOIST",'METAS EMPRESAS'!$C$15:$C$320,$A30-WEEKDAY($A30,2)+1)</f>
        <v/>
      </c>
      <c r="J30" s="159">
        <f>SUMIFS('METAS EMPRESAS'!$G$15:$G$320,'METAS EMPRESAS'!$A$15:$A$320,"EJ",'METAS EMPRESAS'!$B$15:$B$320,"VIGAS",'METAS EMPRESAS'!$C$15:$C$320,$A30-WEEKDAY($A30,2)+1)</f>
        <v/>
      </c>
      <c r="K30" s="159">
        <f>SUMIFS('METAS EMPRESAS'!$G$15:$G$320,'METAS EMPRESAS'!$A$15:$A$320,"CMM",'METAS EMPRESAS'!$B$15:$B$320,"PREMONTAGEM",'METAS EMPRESAS'!$C$15:$C$320,$A30-WEEKDAY($A30,2)+1)</f>
        <v/>
      </c>
      <c r="L30" s="159">
        <f>SUMIFS('METAS EMPRESAS'!$G$15:$G$320,'METAS EMPRESAS'!$A$15:$A$320,"CMM",'METAS EMPRESAS'!$B$15:$B$320,"IÇAMENTO JOIST",'METAS EMPRESAS'!$C$15:$C$320,$A30-WEEKDAY($A30,2)+1)</f>
        <v/>
      </c>
      <c r="M30" s="159">
        <f>SUMIFS('METAS EMPRESAS'!$G$15:$G$320,'METAS EMPRESAS'!$A$15:$A$320,"CMM",'METAS EMPRESAS'!$B$15:$B$320,"VIGAS",'METAS EMPRESAS'!$C$15:$C$320,$A30-WEEKDAY($A30,2)+1)</f>
        <v/>
      </c>
      <c r="N30" s="159">
        <f>SUMIFS('METAS EMPRESAS'!$J$15:$J$320,'METAS EMPRESAS'!$A$15:$A$320,"EJ",'METAS EMPRESAS'!$B$15:$B$320,"PREMONTAGEM",'METAS EMPRESAS'!$C$15:$C$320,$A30-WEEKDAY($A30,2)+1)</f>
        <v/>
      </c>
      <c r="O30" s="159">
        <f>SUMIFS('METAS EMPRESAS'!$J$15:$J$320,'METAS EMPRESAS'!$A$15:$A$320,"EJ",'METAS EMPRESAS'!$B$15:$B$320,"IÇAMENTO JOIST",'METAS EMPRESAS'!$C$15:$C$320,$A30-WEEKDAY($A30,2)+1)</f>
        <v/>
      </c>
      <c r="P30" s="159">
        <f>SUMIFS('METAS EMPRESAS'!$J$15:$J$320,'METAS EMPRESAS'!$A$15:$A$320,"EJ",'METAS EMPRESAS'!$B$15:$B$320,"VIGAS",'METAS EMPRESAS'!$C$15:$C$320,$A30-WEEKDAY($A30,2)+1)</f>
        <v/>
      </c>
      <c r="Q30" s="159">
        <f>SUMIFS('METAS EMPRESAS'!$J$15:$J$320,'METAS EMPRESAS'!$A$15:$A$320,"CMM",'METAS EMPRESAS'!$B$15:$B$320,"PREMONTAGEM",'METAS EMPRESAS'!$C$15:$C$320,$A30-WEEKDAY($A30,2)+1)</f>
        <v/>
      </c>
      <c r="R30" s="159">
        <f>SUMIFS('METAS EMPRESAS'!$J$15:$J$320,'METAS EMPRESAS'!$A$15:$A$320,"CMM",'METAS EMPRESAS'!$B$15:$B$320,"IÇAMENTO JOIST",'METAS EMPRESAS'!$C$15:$C$320,$A30-WEEKDAY($A30,2)+1)</f>
        <v/>
      </c>
      <c r="S30" s="159">
        <f>SUMIFS('METAS EMPRESAS'!$J$15:$J$320,'METAS EMPRESAS'!$A$15:$A$320,"CMM",'METAS EMPRESAS'!$B$15:$B$320,"VIGAS",'METAS EMPRESAS'!$C$15:$C$320,$A30-WEEKDAY($A30,2)+1)</f>
        <v/>
      </c>
      <c r="T30">
        <f>--(WEEKDAY(A30,2)&lt;=5)</f>
        <v/>
      </c>
      <c r="U30" t="n">
        <v>19</v>
      </c>
      <c r="V30" t="n">
        <v>7</v>
      </c>
      <c r="W30" t="n">
        <v>0</v>
      </c>
      <c r="X30" t="n">
        <v>5</v>
      </c>
      <c r="Y30" t="n">
        <v>5</v>
      </c>
      <c r="Z30" t="n">
        <v>5</v>
      </c>
      <c r="AA30" t="n">
        <v>95</v>
      </c>
      <c r="AB30" t="n">
        <v>35</v>
      </c>
      <c r="AC30" t="n">
        <v>0</v>
      </c>
    </row>
    <row r="31">
      <c r="A31" s="317" t="n">
        <v>46252</v>
      </c>
      <c r="B31" s="159">
        <f>SUMIFS('METAS EMPRESAS'!$K$15:$K$320,'METAS EMPRESAS'!$A$15:$A$320,"EJ",'METAS EMPRESAS'!$B$15:$B$320,"PREMONTAGEM",'METAS EMPRESAS'!$C$15:$C$320,$A31-WEEKDAY($A31,2)+1)</f>
        <v/>
      </c>
      <c r="C31" s="159">
        <f>SUMIFS('METAS EMPRESAS'!$K$15:$K$320,'METAS EMPRESAS'!$A$15:$A$320,"EJ",'METAS EMPRESAS'!$B$15:$B$320,"IÇAMENTO JOIST",'METAS EMPRESAS'!$C$15:$C$320,$A31-WEEKDAY($A31,2)+1)</f>
        <v/>
      </c>
      <c r="D31" s="159">
        <f>SUMIFS('METAS EMPRESAS'!$K$15:$K$320,'METAS EMPRESAS'!$A$15:$A$320,"EJ",'METAS EMPRESAS'!$B$15:$B$320,"VIGAS",'METAS EMPRESAS'!$C$15:$C$320,$A31-WEEKDAY($A31,2)+1)</f>
        <v/>
      </c>
      <c r="E31" s="159">
        <f>SUMIFS('METAS EMPRESAS'!$K$15:$K$320,'METAS EMPRESAS'!$A$15:$A$320,"CMM",'METAS EMPRESAS'!$B$15:$B$320,"PREMONTAGEM",'METAS EMPRESAS'!$C$15:$C$320,$A31-WEEKDAY($A31,2)+1)</f>
        <v/>
      </c>
      <c r="F31" s="159">
        <f>SUMIFS('METAS EMPRESAS'!$K$15:$K$320,'METAS EMPRESAS'!$A$15:$A$320,"CMM",'METAS EMPRESAS'!$B$15:$B$320,"IÇAMENTO JOIST",'METAS EMPRESAS'!$C$15:$C$320,$A31-WEEKDAY($A31,2)+1)</f>
        <v/>
      </c>
      <c r="G31" s="159">
        <f>SUMIFS('METAS EMPRESAS'!$K$15:$K$320,'METAS EMPRESAS'!$A$15:$A$320,"CMM",'METAS EMPRESAS'!$B$15:$B$320,"VIGAS",'METAS EMPRESAS'!$C$15:$C$320,$A31-WEEKDAY($A31,2)+1)</f>
        <v/>
      </c>
      <c r="H31" s="159">
        <f>SUMIFS('METAS EMPRESAS'!$G$15:$G$320,'METAS EMPRESAS'!$A$15:$A$320,"EJ",'METAS EMPRESAS'!$B$15:$B$320,"PREMONTAGEM",'METAS EMPRESAS'!$C$15:$C$320,$A31-WEEKDAY($A31,2)+1)</f>
        <v/>
      </c>
      <c r="I31" s="159">
        <f>SUMIFS('METAS EMPRESAS'!$G$15:$G$320,'METAS EMPRESAS'!$A$15:$A$320,"EJ",'METAS EMPRESAS'!$B$15:$B$320,"IÇAMENTO JOIST",'METAS EMPRESAS'!$C$15:$C$320,$A31-WEEKDAY($A31,2)+1)</f>
        <v/>
      </c>
      <c r="J31" s="159">
        <f>SUMIFS('METAS EMPRESAS'!$G$15:$G$320,'METAS EMPRESAS'!$A$15:$A$320,"EJ",'METAS EMPRESAS'!$B$15:$B$320,"VIGAS",'METAS EMPRESAS'!$C$15:$C$320,$A31-WEEKDAY($A31,2)+1)</f>
        <v/>
      </c>
      <c r="K31" s="159">
        <f>SUMIFS('METAS EMPRESAS'!$G$15:$G$320,'METAS EMPRESAS'!$A$15:$A$320,"CMM",'METAS EMPRESAS'!$B$15:$B$320,"PREMONTAGEM",'METAS EMPRESAS'!$C$15:$C$320,$A31-WEEKDAY($A31,2)+1)</f>
        <v/>
      </c>
      <c r="L31" s="159">
        <f>SUMIFS('METAS EMPRESAS'!$G$15:$G$320,'METAS EMPRESAS'!$A$15:$A$320,"CMM",'METAS EMPRESAS'!$B$15:$B$320,"IÇAMENTO JOIST",'METAS EMPRESAS'!$C$15:$C$320,$A31-WEEKDAY($A31,2)+1)</f>
        <v/>
      </c>
      <c r="M31" s="159">
        <f>SUMIFS('METAS EMPRESAS'!$G$15:$G$320,'METAS EMPRESAS'!$A$15:$A$320,"CMM",'METAS EMPRESAS'!$B$15:$B$320,"VIGAS",'METAS EMPRESAS'!$C$15:$C$320,$A31-WEEKDAY($A31,2)+1)</f>
        <v/>
      </c>
      <c r="N31" s="159">
        <f>SUMIFS('METAS EMPRESAS'!$J$15:$J$320,'METAS EMPRESAS'!$A$15:$A$320,"EJ",'METAS EMPRESAS'!$B$15:$B$320,"PREMONTAGEM",'METAS EMPRESAS'!$C$15:$C$320,$A31-WEEKDAY($A31,2)+1)</f>
        <v/>
      </c>
      <c r="O31" s="159">
        <f>SUMIFS('METAS EMPRESAS'!$J$15:$J$320,'METAS EMPRESAS'!$A$15:$A$320,"EJ",'METAS EMPRESAS'!$B$15:$B$320,"IÇAMENTO JOIST",'METAS EMPRESAS'!$C$15:$C$320,$A31-WEEKDAY($A31,2)+1)</f>
        <v/>
      </c>
      <c r="P31" s="159">
        <f>SUMIFS('METAS EMPRESAS'!$J$15:$J$320,'METAS EMPRESAS'!$A$15:$A$320,"EJ",'METAS EMPRESAS'!$B$15:$B$320,"VIGAS",'METAS EMPRESAS'!$C$15:$C$320,$A31-WEEKDAY($A31,2)+1)</f>
        <v/>
      </c>
      <c r="Q31" s="159">
        <f>SUMIFS('METAS EMPRESAS'!$J$15:$J$320,'METAS EMPRESAS'!$A$15:$A$320,"CMM",'METAS EMPRESAS'!$B$15:$B$320,"PREMONTAGEM",'METAS EMPRESAS'!$C$15:$C$320,$A31-WEEKDAY($A31,2)+1)</f>
        <v/>
      </c>
      <c r="R31" s="159">
        <f>SUMIFS('METAS EMPRESAS'!$J$15:$J$320,'METAS EMPRESAS'!$A$15:$A$320,"CMM",'METAS EMPRESAS'!$B$15:$B$320,"IÇAMENTO JOIST",'METAS EMPRESAS'!$C$15:$C$320,$A31-WEEKDAY($A31,2)+1)</f>
        <v/>
      </c>
      <c r="S31" s="159">
        <f>SUMIFS('METAS EMPRESAS'!$J$15:$J$320,'METAS EMPRESAS'!$A$15:$A$320,"CMM",'METAS EMPRESAS'!$B$15:$B$320,"VIGAS",'METAS EMPRESAS'!$C$15:$C$320,$A31-WEEKDAY($A31,2)+1)</f>
        <v/>
      </c>
      <c r="T31">
        <f>--(WEEKDAY(A31,2)&lt;=5)</f>
        <v/>
      </c>
      <c r="U31" t="n">
        <v>19</v>
      </c>
      <c r="V31" t="n">
        <v>7</v>
      </c>
      <c r="W31" t="n">
        <v>0</v>
      </c>
      <c r="X31" t="n">
        <v>5</v>
      </c>
      <c r="Y31" t="n">
        <v>5</v>
      </c>
      <c r="Z31" t="n">
        <v>5</v>
      </c>
      <c r="AA31" t="n">
        <v>95</v>
      </c>
      <c r="AB31" t="n">
        <v>35</v>
      </c>
      <c r="AC31" t="n">
        <v>0</v>
      </c>
    </row>
    <row r="32">
      <c r="A32" s="317" t="n">
        <v>46253</v>
      </c>
      <c r="B32" s="159">
        <f>SUMIFS('METAS EMPRESAS'!$K$15:$K$320,'METAS EMPRESAS'!$A$15:$A$320,"EJ",'METAS EMPRESAS'!$B$15:$B$320,"PREMONTAGEM",'METAS EMPRESAS'!$C$15:$C$320,$A32-WEEKDAY($A32,2)+1)</f>
        <v/>
      </c>
      <c r="C32" s="159">
        <f>SUMIFS('METAS EMPRESAS'!$K$15:$K$320,'METAS EMPRESAS'!$A$15:$A$320,"EJ",'METAS EMPRESAS'!$B$15:$B$320,"IÇAMENTO JOIST",'METAS EMPRESAS'!$C$15:$C$320,$A32-WEEKDAY($A32,2)+1)</f>
        <v/>
      </c>
      <c r="D32" s="159">
        <f>SUMIFS('METAS EMPRESAS'!$K$15:$K$320,'METAS EMPRESAS'!$A$15:$A$320,"EJ",'METAS EMPRESAS'!$B$15:$B$320,"VIGAS",'METAS EMPRESAS'!$C$15:$C$320,$A32-WEEKDAY($A32,2)+1)</f>
        <v/>
      </c>
      <c r="E32" s="159">
        <f>SUMIFS('METAS EMPRESAS'!$K$15:$K$320,'METAS EMPRESAS'!$A$15:$A$320,"CMM",'METAS EMPRESAS'!$B$15:$B$320,"PREMONTAGEM",'METAS EMPRESAS'!$C$15:$C$320,$A32-WEEKDAY($A32,2)+1)</f>
        <v/>
      </c>
      <c r="F32" s="159">
        <f>SUMIFS('METAS EMPRESAS'!$K$15:$K$320,'METAS EMPRESAS'!$A$15:$A$320,"CMM",'METAS EMPRESAS'!$B$15:$B$320,"IÇAMENTO JOIST",'METAS EMPRESAS'!$C$15:$C$320,$A32-WEEKDAY($A32,2)+1)</f>
        <v/>
      </c>
      <c r="G32" s="159">
        <f>SUMIFS('METAS EMPRESAS'!$K$15:$K$320,'METAS EMPRESAS'!$A$15:$A$320,"CMM",'METAS EMPRESAS'!$B$15:$B$320,"VIGAS",'METAS EMPRESAS'!$C$15:$C$320,$A32-WEEKDAY($A32,2)+1)</f>
        <v/>
      </c>
      <c r="H32" s="159">
        <f>SUMIFS('METAS EMPRESAS'!$G$15:$G$320,'METAS EMPRESAS'!$A$15:$A$320,"EJ",'METAS EMPRESAS'!$B$15:$B$320,"PREMONTAGEM",'METAS EMPRESAS'!$C$15:$C$320,$A32-WEEKDAY($A32,2)+1)</f>
        <v/>
      </c>
      <c r="I32" s="159">
        <f>SUMIFS('METAS EMPRESAS'!$G$15:$G$320,'METAS EMPRESAS'!$A$15:$A$320,"EJ",'METAS EMPRESAS'!$B$15:$B$320,"IÇAMENTO JOIST",'METAS EMPRESAS'!$C$15:$C$320,$A32-WEEKDAY($A32,2)+1)</f>
        <v/>
      </c>
      <c r="J32" s="159">
        <f>SUMIFS('METAS EMPRESAS'!$G$15:$G$320,'METAS EMPRESAS'!$A$15:$A$320,"EJ",'METAS EMPRESAS'!$B$15:$B$320,"VIGAS",'METAS EMPRESAS'!$C$15:$C$320,$A32-WEEKDAY($A32,2)+1)</f>
        <v/>
      </c>
      <c r="K32" s="159">
        <f>SUMIFS('METAS EMPRESAS'!$G$15:$G$320,'METAS EMPRESAS'!$A$15:$A$320,"CMM",'METAS EMPRESAS'!$B$15:$B$320,"PREMONTAGEM",'METAS EMPRESAS'!$C$15:$C$320,$A32-WEEKDAY($A32,2)+1)</f>
        <v/>
      </c>
      <c r="L32" s="159">
        <f>SUMIFS('METAS EMPRESAS'!$G$15:$G$320,'METAS EMPRESAS'!$A$15:$A$320,"CMM",'METAS EMPRESAS'!$B$15:$B$320,"IÇAMENTO JOIST",'METAS EMPRESAS'!$C$15:$C$320,$A32-WEEKDAY($A32,2)+1)</f>
        <v/>
      </c>
      <c r="M32" s="159">
        <f>SUMIFS('METAS EMPRESAS'!$G$15:$G$320,'METAS EMPRESAS'!$A$15:$A$320,"CMM",'METAS EMPRESAS'!$B$15:$B$320,"VIGAS",'METAS EMPRESAS'!$C$15:$C$320,$A32-WEEKDAY($A32,2)+1)</f>
        <v/>
      </c>
      <c r="N32" s="159">
        <f>SUMIFS('METAS EMPRESAS'!$J$15:$J$320,'METAS EMPRESAS'!$A$15:$A$320,"EJ",'METAS EMPRESAS'!$B$15:$B$320,"PREMONTAGEM",'METAS EMPRESAS'!$C$15:$C$320,$A32-WEEKDAY($A32,2)+1)</f>
        <v/>
      </c>
      <c r="O32" s="159">
        <f>SUMIFS('METAS EMPRESAS'!$J$15:$J$320,'METAS EMPRESAS'!$A$15:$A$320,"EJ",'METAS EMPRESAS'!$B$15:$B$320,"IÇAMENTO JOIST",'METAS EMPRESAS'!$C$15:$C$320,$A32-WEEKDAY($A32,2)+1)</f>
        <v/>
      </c>
      <c r="P32" s="159">
        <f>SUMIFS('METAS EMPRESAS'!$J$15:$J$320,'METAS EMPRESAS'!$A$15:$A$320,"EJ",'METAS EMPRESAS'!$B$15:$B$320,"VIGAS",'METAS EMPRESAS'!$C$15:$C$320,$A32-WEEKDAY($A32,2)+1)</f>
        <v/>
      </c>
      <c r="Q32" s="159">
        <f>SUMIFS('METAS EMPRESAS'!$J$15:$J$320,'METAS EMPRESAS'!$A$15:$A$320,"CMM",'METAS EMPRESAS'!$B$15:$B$320,"PREMONTAGEM",'METAS EMPRESAS'!$C$15:$C$320,$A32-WEEKDAY($A32,2)+1)</f>
        <v/>
      </c>
      <c r="R32" s="159">
        <f>SUMIFS('METAS EMPRESAS'!$J$15:$J$320,'METAS EMPRESAS'!$A$15:$A$320,"CMM",'METAS EMPRESAS'!$B$15:$B$320,"IÇAMENTO JOIST",'METAS EMPRESAS'!$C$15:$C$320,$A32-WEEKDAY($A32,2)+1)</f>
        <v/>
      </c>
      <c r="S32" s="159">
        <f>SUMIFS('METAS EMPRESAS'!$J$15:$J$320,'METAS EMPRESAS'!$A$15:$A$320,"CMM",'METAS EMPRESAS'!$B$15:$B$320,"VIGAS",'METAS EMPRESAS'!$C$15:$C$320,$A32-WEEKDAY($A32,2)+1)</f>
        <v/>
      </c>
      <c r="T32">
        <f>--(WEEKDAY(A32,2)&lt;=5)</f>
        <v/>
      </c>
      <c r="U32" t="n">
        <v>19</v>
      </c>
      <c r="V32" t="n">
        <v>7</v>
      </c>
      <c r="W32" t="n">
        <v>0</v>
      </c>
      <c r="X32" t="n">
        <v>5</v>
      </c>
      <c r="Y32" t="n">
        <v>5</v>
      </c>
      <c r="Z32" t="n">
        <v>5</v>
      </c>
      <c r="AA32" t="n">
        <v>95</v>
      </c>
      <c r="AB32" t="n">
        <v>35</v>
      </c>
      <c r="AC32" t="n">
        <v>0</v>
      </c>
    </row>
    <row r="33">
      <c r="A33" s="317" t="n">
        <v>46254</v>
      </c>
      <c r="B33" s="159">
        <f>SUMIFS('METAS EMPRESAS'!$K$15:$K$320,'METAS EMPRESAS'!$A$15:$A$320,"EJ",'METAS EMPRESAS'!$B$15:$B$320,"PREMONTAGEM",'METAS EMPRESAS'!$C$15:$C$320,$A33-WEEKDAY($A33,2)+1)</f>
        <v/>
      </c>
      <c r="C33" s="159">
        <f>SUMIFS('METAS EMPRESAS'!$K$15:$K$320,'METAS EMPRESAS'!$A$15:$A$320,"EJ",'METAS EMPRESAS'!$B$15:$B$320,"IÇAMENTO JOIST",'METAS EMPRESAS'!$C$15:$C$320,$A33-WEEKDAY($A33,2)+1)</f>
        <v/>
      </c>
      <c r="D33" s="159">
        <f>SUMIFS('METAS EMPRESAS'!$K$15:$K$320,'METAS EMPRESAS'!$A$15:$A$320,"EJ",'METAS EMPRESAS'!$B$15:$B$320,"VIGAS",'METAS EMPRESAS'!$C$15:$C$320,$A33-WEEKDAY($A33,2)+1)</f>
        <v/>
      </c>
      <c r="E33" s="159">
        <f>SUMIFS('METAS EMPRESAS'!$K$15:$K$320,'METAS EMPRESAS'!$A$15:$A$320,"CMM",'METAS EMPRESAS'!$B$15:$B$320,"PREMONTAGEM",'METAS EMPRESAS'!$C$15:$C$320,$A33-WEEKDAY($A33,2)+1)</f>
        <v/>
      </c>
      <c r="F33" s="159">
        <f>SUMIFS('METAS EMPRESAS'!$K$15:$K$320,'METAS EMPRESAS'!$A$15:$A$320,"CMM",'METAS EMPRESAS'!$B$15:$B$320,"IÇAMENTO JOIST",'METAS EMPRESAS'!$C$15:$C$320,$A33-WEEKDAY($A33,2)+1)</f>
        <v/>
      </c>
      <c r="G33" s="159">
        <f>SUMIFS('METAS EMPRESAS'!$K$15:$K$320,'METAS EMPRESAS'!$A$15:$A$320,"CMM",'METAS EMPRESAS'!$B$15:$B$320,"VIGAS",'METAS EMPRESAS'!$C$15:$C$320,$A33-WEEKDAY($A33,2)+1)</f>
        <v/>
      </c>
      <c r="H33" s="159">
        <f>SUMIFS('METAS EMPRESAS'!$G$15:$G$320,'METAS EMPRESAS'!$A$15:$A$320,"EJ",'METAS EMPRESAS'!$B$15:$B$320,"PREMONTAGEM",'METAS EMPRESAS'!$C$15:$C$320,$A33-WEEKDAY($A33,2)+1)</f>
        <v/>
      </c>
      <c r="I33" s="159">
        <f>SUMIFS('METAS EMPRESAS'!$G$15:$G$320,'METAS EMPRESAS'!$A$15:$A$320,"EJ",'METAS EMPRESAS'!$B$15:$B$320,"IÇAMENTO JOIST",'METAS EMPRESAS'!$C$15:$C$320,$A33-WEEKDAY($A33,2)+1)</f>
        <v/>
      </c>
      <c r="J33" s="159">
        <f>SUMIFS('METAS EMPRESAS'!$G$15:$G$320,'METAS EMPRESAS'!$A$15:$A$320,"EJ",'METAS EMPRESAS'!$B$15:$B$320,"VIGAS",'METAS EMPRESAS'!$C$15:$C$320,$A33-WEEKDAY($A33,2)+1)</f>
        <v/>
      </c>
      <c r="K33" s="159">
        <f>SUMIFS('METAS EMPRESAS'!$G$15:$G$320,'METAS EMPRESAS'!$A$15:$A$320,"CMM",'METAS EMPRESAS'!$B$15:$B$320,"PREMONTAGEM",'METAS EMPRESAS'!$C$15:$C$320,$A33-WEEKDAY($A33,2)+1)</f>
        <v/>
      </c>
      <c r="L33" s="159">
        <f>SUMIFS('METAS EMPRESAS'!$G$15:$G$320,'METAS EMPRESAS'!$A$15:$A$320,"CMM",'METAS EMPRESAS'!$B$15:$B$320,"IÇAMENTO JOIST",'METAS EMPRESAS'!$C$15:$C$320,$A33-WEEKDAY($A33,2)+1)</f>
        <v/>
      </c>
      <c r="M33" s="159">
        <f>SUMIFS('METAS EMPRESAS'!$G$15:$G$320,'METAS EMPRESAS'!$A$15:$A$320,"CMM",'METAS EMPRESAS'!$B$15:$B$320,"VIGAS",'METAS EMPRESAS'!$C$15:$C$320,$A33-WEEKDAY($A33,2)+1)</f>
        <v/>
      </c>
      <c r="N33" s="159">
        <f>SUMIFS('METAS EMPRESAS'!$J$15:$J$320,'METAS EMPRESAS'!$A$15:$A$320,"EJ",'METAS EMPRESAS'!$B$15:$B$320,"PREMONTAGEM",'METAS EMPRESAS'!$C$15:$C$320,$A33-WEEKDAY($A33,2)+1)</f>
        <v/>
      </c>
      <c r="O33" s="159">
        <f>SUMIFS('METAS EMPRESAS'!$J$15:$J$320,'METAS EMPRESAS'!$A$15:$A$320,"EJ",'METAS EMPRESAS'!$B$15:$B$320,"IÇAMENTO JOIST",'METAS EMPRESAS'!$C$15:$C$320,$A33-WEEKDAY($A33,2)+1)</f>
        <v/>
      </c>
      <c r="P33" s="159">
        <f>SUMIFS('METAS EMPRESAS'!$J$15:$J$320,'METAS EMPRESAS'!$A$15:$A$320,"EJ",'METAS EMPRESAS'!$B$15:$B$320,"VIGAS",'METAS EMPRESAS'!$C$15:$C$320,$A33-WEEKDAY($A33,2)+1)</f>
        <v/>
      </c>
      <c r="Q33" s="159">
        <f>SUMIFS('METAS EMPRESAS'!$J$15:$J$320,'METAS EMPRESAS'!$A$15:$A$320,"CMM",'METAS EMPRESAS'!$B$15:$B$320,"PREMONTAGEM",'METAS EMPRESAS'!$C$15:$C$320,$A33-WEEKDAY($A33,2)+1)</f>
        <v/>
      </c>
      <c r="R33" s="159">
        <f>SUMIFS('METAS EMPRESAS'!$J$15:$J$320,'METAS EMPRESAS'!$A$15:$A$320,"CMM",'METAS EMPRESAS'!$B$15:$B$320,"IÇAMENTO JOIST",'METAS EMPRESAS'!$C$15:$C$320,$A33-WEEKDAY($A33,2)+1)</f>
        <v/>
      </c>
      <c r="S33" s="159">
        <f>SUMIFS('METAS EMPRESAS'!$J$15:$J$320,'METAS EMPRESAS'!$A$15:$A$320,"CMM",'METAS EMPRESAS'!$B$15:$B$320,"VIGAS",'METAS EMPRESAS'!$C$15:$C$320,$A33-WEEKDAY($A33,2)+1)</f>
        <v/>
      </c>
      <c r="T33">
        <f>--(WEEKDAY(A33,2)&lt;=5)</f>
        <v/>
      </c>
      <c r="U33" t="n">
        <v>19</v>
      </c>
      <c r="V33" t="n">
        <v>7</v>
      </c>
      <c r="W33" t="n">
        <v>0</v>
      </c>
      <c r="X33" t="n">
        <v>5</v>
      </c>
      <c r="Y33" t="n">
        <v>5</v>
      </c>
      <c r="Z33" t="n">
        <v>5</v>
      </c>
      <c r="AA33" t="n">
        <v>95</v>
      </c>
      <c r="AB33" t="n">
        <v>35</v>
      </c>
      <c r="AC33" t="n">
        <v>0</v>
      </c>
    </row>
    <row r="34">
      <c r="A34" s="317" t="n">
        <v>46255</v>
      </c>
      <c r="B34" s="159">
        <f>SUMIFS('METAS EMPRESAS'!$K$15:$K$320,'METAS EMPRESAS'!$A$15:$A$320,"EJ",'METAS EMPRESAS'!$B$15:$B$320,"PREMONTAGEM",'METAS EMPRESAS'!$C$15:$C$320,$A34-WEEKDAY($A34,2)+1)</f>
        <v/>
      </c>
      <c r="C34" s="159">
        <f>SUMIFS('METAS EMPRESAS'!$K$15:$K$320,'METAS EMPRESAS'!$A$15:$A$320,"EJ",'METAS EMPRESAS'!$B$15:$B$320,"IÇAMENTO JOIST",'METAS EMPRESAS'!$C$15:$C$320,$A34-WEEKDAY($A34,2)+1)</f>
        <v/>
      </c>
      <c r="D34" s="159">
        <f>SUMIFS('METAS EMPRESAS'!$K$15:$K$320,'METAS EMPRESAS'!$A$15:$A$320,"EJ",'METAS EMPRESAS'!$B$15:$B$320,"VIGAS",'METAS EMPRESAS'!$C$15:$C$320,$A34-WEEKDAY($A34,2)+1)</f>
        <v/>
      </c>
      <c r="E34" s="159">
        <f>SUMIFS('METAS EMPRESAS'!$K$15:$K$320,'METAS EMPRESAS'!$A$15:$A$320,"CMM",'METAS EMPRESAS'!$B$15:$B$320,"PREMONTAGEM",'METAS EMPRESAS'!$C$15:$C$320,$A34-WEEKDAY($A34,2)+1)</f>
        <v/>
      </c>
      <c r="F34" s="159">
        <f>SUMIFS('METAS EMPRESAS'!$K$15:$K$320,'METAS EMPRESAS'!$A$15:$A$320,"CMM",'METAS EMPRESAS'!$B$15:$B$320,"IÇAMENTO JOIST",'METAS EMPRESAS'!$C$15:$C$320,$A34-WEEKDAY($A34,2)+1)</f>
        <v/>
      </c>
      <c r="G34" s="159">
        <f>SUMIFS('METAS EMPRESAS'!$K$15:$K$320,'METAS EMPRESAS'!$A$15:$A$320,"CMM",'METAS EMPRESAS'!$B$15:$B$320,"VIGAS",'METAS EMPRESAS'!$C$15:$C$320,$A34-WEEKDAY($A34,2)+1)</f>
        <v/>
      </c>
      <c r="H34" s="159">
        <f>SUMIFS('METAS EMPRESAS'!$G$15:$G$320,'METAS EMPRESAS'!$A$15:$A$320,"EJ",'METAS EMPRESAS'!$B$15:$B$320,"PREMONTAGEM",'METAS EMPRESAS'!$C$15:$C$320,$A34-WEEKDAY($A34,2)+1)</f>
        <v/>
      </c>
      <c r="I34" s="159">
        <f>SUMIFS('METAS EMPRESAS'!$G$15:$G$320,'METAS EMPRESAS'!$A$15:$A$320,"EJ",'METAS EMPRESAS'!$B$15:$B$320,"IÇAMENTO JOIST",'METAS EMPRESAS'!$C$15:$C$320,$A34-WEEKDAY($A34,2)+1)</f>
        <v/>
      </c>
      <c r="J34" s="159">
        <f>SUMIFS('METAS EMPRESAS'!$G$15:$G$320,'METAS EMPRESAS'!$A$15:$A$320,"EJ",'METAS EMPRESAS'!$B$15:$B$320,"VIGAS",'METAS EMPRESAS'!$C$15:$C$320,$A34-WEEKDAY($A34,2)+1)</f>
        <v/>
      </c>
      <c r="K34" s="159">
        <f>SUMIFS('METAS EMPRESAS'!$G$15:$G$320,'METAS EMPRESAS'!$A$15:$A$320,"CMM",'METAS EMPRESAS'!$B$15:$B$320,"PREMONTAGEM",'METAS EMPRESAS'!$C$15:$C$320,$A34-WEEKDAY($A34,2)+1)</f>
        <v/>
      </c>
      <c r="L34" s="159">
        <f>SUMIFS('METAS EMPRESAS'!$G$15:$G$320,'METAS EMPRESAS'!$A$15:$A$320,"CMM",'METAS EMPRESAS'!$B$15:$B$320,"IÇAMENTO JOIST",'METAS EMPRESAS'!$C$15:$C$320,$A34-WEEKDAY($A34,2)+1)</f>
        <v/>
      </c>
      <c r="M34" s="159">
        <f>SUMIFS('METAS EMPRESAS'!$G$15:$G$320,'METAS EMPRESAS'!$A$15:$A$320,"CMM",'METAS EMPRESAS'!$B$15:$B$320,"VIGAS",'METAS EMPRESAS'!$C$15:$C$320,$A34-WEEKDAY($A34,2)+1)</f>
        <v/>
      </c>
      <c r="N34" s="159">
        <f>SUMIFS('METAS EMPRESAS'!$J$15:$J$320,'METAS EMPRESAS'!$A$15:$A$320,"EJ",'METAS EMPRESAS'!$B$15:$B$320,"PREMONTAGEM",'METAS EMPRESAS'!$C$15:$C$320,$A34-WEEKDAY($A34,2)+1)</f>
        <v/>
      </c>
      <c r="O34" s="159">
        <f>SUMIFS('METAS EMPRESAS'!$J$15:$J$320,'METAS EMPRESAS'!$A$15:$A$320,"EJ",'METAS EMPRESAS'!$B$15:$B$320,"IÇAMENTO JOIST",'METAS EMPRESAS'!$C$15:$C$320,$A34-WEEKDAY($A34,2)+1)</f>
        <v/>
      </c>
      <c r="P34" s="159">
        <f>SUMIFS('METAS EMPRESAS'!$J$15:$J$320,'METAS EMPRESAS'!$A$15:$A$320,"EJ",'METAS EMPRESAS'!$B$15:$B$320,"VIGAS",'METAS EMPRESAS'!$C$15:$C$320,$A34-WEEKDAY($A34,2)+1)</f>
        <v/>
      </c>
      <c r="Q34" s="159">
        <f>SUMIFS('METAS EMPRESAS'!$J$15:$J$320,'METAS EMPRESAS'!$A$15:$A$320,"CMM",'METAS EMPRESAS'!$B$15:$B$320,"PREMONTAGEM",'METAS EMPRESAS'!$C$15:$C$320,$A34-WEEKDAY($A34,2)+1)</f>
        <v/>
      </c>
      <c r="R34" s="159">
        <f>SUMIFS('METAS EMPRESAS'!$J$15:$J$320,'METAS EMPRESAS'!$A$15:$A$320,"CMM",'METAS EMPRESAS'!$B$15:$B$320,"IÇAMENTO JOIST",'METAS EMPRESAS'!$C$15:$C$320,$A34-WEEKDAY($A34,2)+1)</f>
        <v/>
      </c>
      <c r="S34" s="159">
        <f>SUMIFS('METAS EMPRESAS'!$J$15:$J$320,'METAS EMPRESAS'!$A$15:$A$320,"CMM",'METAS EMPRESAS'!$B$15:$B$320,"VIGAS",'METAS EMPRESAS'!$C$15:$C$320,$A34-WEEKDAY($A34,2)+1)</f>
        <v/>
      </c>
      <c r="T34">
        <f>--(WEEKDAY(A34,2)&lt;=5)</f>
        <v/>
      </c>
      <c r="U34" t="n">
        <v>19</v>
      </c>
      <c r="V34" t="n">
        <v>7</v>
      </c>
      <c r="W34" t="n">
        <v>0</v>
      </c>
      <c r="X34" t="n">
        <v>5</v>
      </c>
      <c r="Y34" t="n">
        <v>5</v>
      </c>
      <c r="Z34" t="n">
        <v>5</v>
      </c>
      <c r="AA34" t="n">
        <v>95</v>
      </c>
      <c r="AB34" t="n">
        <v>35</v>
      </c>
      <c r="AC34" t="n">
        <v>0</v>
      </c>
    </row>
    <row r="35">
      <c r="A35" s="317" t="n">
        <v>46256</v>
      </c>
      <c r="B35" s="159">
        <f>SUMIFS('METAS EMPRESAS'!$K$15:$K$320,'METAS EMPRESAS'!$A$15:$A$320,"EJ",'METAS EMPRESAS'!$B$15:$B$320,"PREMONTAGEM",'METAS EMPRESAS'!$C$15:$C$320,$A35-WEEKDAY($A35,2)+1)</f>
        <v/>
      </c>
      <c r="C35" s="159">
        <f>SUMIFS('METAS EMPRESAS'!$K$15:$K$320,'METAS EMPRESAS'!$A$15:$A$320,"EJ",'METAS EMPRESAS'!$B$15:$B$320,"IÇAMENTO JOIST",'METAS EMPRESAS'!$C$15:$C$320,$A35-WEEKDAY($A35,2)+1)</f>
        <v/>
      </c>
      <c r="D35" s="159">
        <f>SUMIFS('METAS EMPRESAS'!$K$15:$K$320,'METAS EMPRESAS'!$A$15:$A$320,"EJ",'METAS EMPRESAS'!$B$15:$B$320,"VIGAS",'METAS EMPRESAS'!$C$15:$C$320,$A35-WEEKDAY($A35,2)+1)</f>
        <v/>
      </c>
      <c r="E35" s="159">
        <f>SUMIFS('METAS EMPRESAS'!$K$15:$K$320,'METAS EMPRESAS'!$A$15:$A$320,"CMM",'METAS EMPRESAS'!$B$15:$B$320,"PREMONTAGEM",'METAS EMPRESAS'!$C$15:$C$320,$A35-WEEKDAY($A35,2)+1)</f>
        <v/>
      </c>
      <c r="F35" s="159">
        <f>SUMIFS('METAS EMPRESAS'!$K$15:$K$320,'METAS EMPRESAS'!$A$15:$A$320,"CMM",'METAS EMPRESAS'!$B$15:$B$320,"IÇAMENTO JOIST",'METAS EMPRESAS'!$C$15:$C$320,$A35-WEEKDAY($A35,2)+1)</f>
        <v/>
      </c>
      <c r="G35" s="159">
        <f>SUMIFS('METAS EMPRESAS'!$K$15:$K$320,'METAS EMPRESAS'!$A$15:$A$320,"CMM",'METAS EMPRESAS'!$B$15:$B$320,"VIGAS",'METAS EMPRESAS'!$C$15:$C$320,$A35-WEEKDAY($A35,2)+1)</f>
        <v/>
      </c>
      <c r="H35" s="159">
        <f>SUMIFS('METAS EMPRESAS'!$G$15:$G$320,'METAS EMPRESAS'!$A$15:$A$320,"EJ",'METAS EMPRESAS'!$B$15:$B$320,"PREMONTAGEM",'METAS EMPRESAS'!$C$15:$C$320,$A35-WEEKDAY($A35,2)+1)</f>
        <v/>
      </c>
      <c r="I35" s="159">
        <f>SUMIFS('METAS EMPRESAS'!$G$15:$G$320,'METAS EMPRESAS'!$A$15:$A$320,"EJ",'METAS EMPRESAS'!$B$15:$B$320,"IÇAMENTO JOIST",'METAS EMPRESAS'!$C$15:$C$320,$A35-WEEKDAY($A35,2)+1)</f>
        <v/>
      </c>
      <c r="J35" s="159">
        <f>SUMIFS('METAS EMPRESAS'!$G$15:$G$320,'METAS EMPRESAS'!$A$15:$A$320,"EJ",'METAS EMPRESAS'!$B$15:$B$320,"VIGAS",'METAS EMPRESAS'!$C$15:$C$320,$A35-WEEKDAY($A35,2)+1)</f>
        <v/>
      </c>
      <c r="K35" s="159">
        <f>SUMIFS('METAS EMPRESAS'!$G$15:$G$320,'METAS EMPRESAS'!$A$15:$A$320,"CMM",'METAS EMPRESAS'!$B$15:$B$320,"PREMONTAGEM",'METAS EMPRESAS'!$C$15:$C$320,$A35-WEEKDAY($A35,2)+1)</f>
        <v/>
      </c>
      <c r="L35" s="159">
        <f>SUMIFS('METAS EMPRESAS'!$G$15:$G$320,'METAS EMPRESAS'!$A$15:$A$320,"CMM",'METAS EMPRESAS'!$B$15:$B$320,"IÇAMENTO JOIST",'METAS EMPRESAS'!$C$15:$C$320,$A35-WEEKDAY($A35,2)+1)</f>
        <v/>
      </c>
      <c r="M35" s="159">
        <f>SUMIFS('METAS EMPRESAS'!$G$15:$G$320,'METAS EMPRESAS'!$A$15:$A$320,"CMM",'METAS EMPRESAS'!$B$15:$B$320,"VIGAS",'METAS EMPRESAS'!$C$15:$C$320,$A35-WEEKDAY($A35,2)+1)</f>
        <v/>
      </c>
      <c r="N35" s="159">
        <f>SUMIFS('METAS EMPRESAS'!$J$15:$J$320,'METAS EMPRESAS'!$A$15:$A$320,"EJ",'METAS EMPRESAS'!$B$15:$B$320,"PREMONTAGEM",'METAS EMPRESAS'!$C$15:$C$320,$A35-WEEKDAY($A35,2)+1)</f>
        <v/>
      </c>
      <c r="O35" s="159">
        <f>SUMIFS('METAS EMPRESAS'!$J$15:$J$320,'METAS EMPRESAS'!$A$15:$A$320,"EJ",'METAS EMPRESAS'!$B$15:$B$320,"IÇAMENTO JOIST",'METAS EMPRESAS'!$C$15:$C$320,$A35-WEEKDAY($A35,2)+1)</f>
        <v/>
      </c>
      <c r="P35" s="159">
        <f>SUMIFS('METAS EMPRESAS'!$J$15:$J$320,'METAS EMPRESAS'!$A$15:$A$320,"EJ",'METAS EMPRESAS'!$B$15:$B$320,"VIGAS",'METAS EMPRESAS'!$C$15:$C$320,$A35-WEEKDAY($A35,2)+1)</f>
        <v/>
      </c>
      <c r="Q35" s="159">
        <f>SUMIFS('METAS EMPRESAS'!$J$15:$J$320,'METAS EMPRESAS'!$A$15:$A$320,"CMM",'METAS EMPRESAS'!$B$15:$B$320,"PREMONTAGEM",'METAS EMPRESAS'!$C$15:$C$320,$A35-WEEKDAY($A35,2)+1)</f>
        <v/>
      </c>
      <c r="R35" s="159">
        <f>SUMIFS('METAS EMPRESAS'!$J$15:$J$320,'METAS EMPRESAS'!$A$15:$A$320,"CMM",'METAS EMPRESAS'!$B$15:$B$320,"IÇAMENTO JOIST",'METAS EMPRESAS'!$C$15:$C$320,$A35-WEEKDAY($A35,2)+1)</f>
        <v/>
      </c>
      <c r="S35" s="159">
        <f>SUMIFS('METAS EMPRESAS'!$J$15:$J$320,'METAS EMPRESAS'!$A$15:$A$320,"CMM",'METAS EMPRESAS'!$B$15:$B$320,"VIGAS",'METAS EMPRESAS'!$C$15:$C$320,$A35-WEEKDAY($A35,2)+1)</f>
        <v/>
      </c>
      <c r="T35">
        <f>--(WEEKDAY(A35,2)&lt;=5)</f>
        <v/>
      </c>
      <c r="U35" t="n">
        <v>19</v>
      </c>
      <c r="V35" t="n">
        <v>7</v>
      </c>
      <c r="W35" t="n">
        <v>0</v>
      </c>
      <c r="X35" t="n">
        <v>5</v>
      </c>
      <c r="Y35" t="n">
        <v>5</v>
      </c>
      <c r="Z35" t="n">
        <v>5</v>
      </c>
      <c r="AA35" t="n">
        <v>95</v>
      </c>
      <c r="AB35" t="n">
        <v>35</v>
      </c>
      <c r="AC35" t="n">
        <v>0</v>
      </c>
    </row>
    <row r="36">
      <c r="A36" s="317" t="n">
        <v>46257</v>
      </c>
      <c r="B36" s="159">
        <f>SUMIFS('METAS EMPRESAS'!$K$15:$K$320,'METAS EMPRESAS'!$A$15:$A$320,"EJ",'METAS EMPRESAS'!$B$15:$B$320,"PREMONTAGEM",'METAS EMPRESAS'!$C$15:$C$320,$A36-WEEKDAY($A36,2)+1)</f>
        <v/>
      </c>
      <c r="C36" s="159">
        <f>SUMIFS('METAS EMPRESAS'!$K$15:$K$320,'METAS EMPRESAS'!$A$15:$A$320,"EJ",'METAS EMPRESAS'!$B$15:$B$320,"IÇAMENTO JOIST",'METAS EMPRESAS'!$C$15:$C$320,$A36-WEEKDAY($A36,2)+1)</f>
        <v/>
      </c>
      <c r="D36" s="159">
        <f>SUMIFS('METAS EMPRESAS'!$K$15:$K$320,'METAS EMPRESAS'!$A$15:$A$320,"EJ",'METAS EMPRESAS'!$B$15:$B$320,"VIGAS",'METAS EMPRESAS'!$C$15:$C$320,$A36-WEEKDAY($A36,2)+1)</f>
        <v/>
      </c>
      <c r="E36" s="159">
        <f>SUMIFS('METAS EMPRESAS'!$K$15:$K$320,'METAS EMPRESAS'!$A$15:$A$320,"CMM",'METAS EMPRESAS'!$B$15:$B$320,"PREMONTAGEM",'METAS EMPRESAS'!$C$15:$C$320,$A36-WEEKDAY($A36,2)+1)</f>
        <v/>
      </c>
      <c r="F36" s="159">
        <f>SUMIFS('METAS EMPRESAS'!$K$15:$K$320,'METAS EMPRESAS'!$A$15:$A$320,"CMM",'METAS EMPRESAS'!$B$15:$B$320,"IÇAMENTO JOIST",'METAS EMPRESAS'!$C$15:$C$320,$A36-WEEKDAY($A36,2)+1)</f>
        <v/>
      </c>
      <c r="G36" s="159">
        <f>SUMIFS('METAS EMPRESAS'!$K$15:$K$320,'METAS EMPRESAS'!$A$15:$A$320,"CMM",'METAS EMPRESAS'!$B$15:$B$320,"VIGAS",'METAS EMPRESAS'!$C$15:$C$320,$A36-WEEKDAY($A36,2)+1)</f>
        <v/>
      </c>
      <c r="H36" s="159">
        <f>SUMIFS('METAS EMPRESAS'!$G$15:$G$320,'METAS EMPRESAS'!$A$15:$A$320,"EJ",'METAS EMPRESAS'!$B$15:$B$320,"PREMONTAGEM",'METAS EMPRESAS'!$C$15:$C$320,$A36-WEEKDAY($A36,2)+1)</f>
        <v/>
      </c>
      <c r="I36" s="159">
        <f>SUMIFS('METAS EMPRESAS'!$G$15:$G$320,'METAS EMPRESAS'!$A$15:$A$320,"EJ",'METAS EMPRESAS'!$B$15:$B$320,"IÇAMENTO JOIST",'METAS EMPRESAS'!$C$15:$C$320,$A36-WEEKDAY($A36,2)+1)</f>
        <v/>
      </c>
      <c r="J36" s="159">
        <f>SUMIFS('METAS EMPRESAS'!$G$15:$G$320,'METAS EMPRESAS'!$A$15:$A$320,"EJ",'METAS EMPRESAS'!$B$15:$B$320,"VIGAS",'METAS EMPRESAS'!$C$15:$C$320,$A36-WEEKDAY($A36,2)+1)</f>
        <v/>
      </c>
      <c r="K36" s="159">
        <f>SUMIFS('METAS EMPRESAS'!$G$15:$G$320,'METAS EMPRESAS'!$A$15:$A$320,"CMM",'METAS EMPRESAS'!$B$15:$B$320,"PREMONTAGEM",'METAS EMPRESAS'!$C$15:$C$320,$A36-WEEKDAY($A36,2)+1)</f>
        <v/>
      </c>
      <c r="L36" s="159">
        <f>SUMIFS('METAS EMPRESAS'!$G$15:$G$320,'METAS EMPRESAS'!$A$15:$A$320,"CMM",'METAS EMPRESAS'!$B$15:$B$320,"IÇAMENTO JOIST",'METAS EMPRESAS'!$C$15:$C$320,$A36-WEEKDAY($A36,2)+1)</f>
        <v/>
      </c>
      <c r="M36" s="159">
        <f>SUMIFS('METAS EMPRESAS'!$G$15:$G$320,'METAS EMPRESAS'!$A$15:$A$320,"CMM",'METAS EMPRESAS'!$B$15:$B$320,"VIGAS",'METAS EMPRESAS'!$C$15:$C$320,$A36-WEEKDAY($A36,2)+1)</f>
        <v/>
      </c>
      <c r="N36" s="159">
        <f>SUMIFS('METAS EMPRESAS'!$J$15:$J$320,'METAS EMPRESAS'!$A$15:$A$320,"EJ",'METAS EMPRESAS'!$B$15:$B$320,"PREMONTAGEM",'METAS EMPRESAS'!$C$15:$C$320,$A36-WEEKDAY($A36,2)+1)</f>
        <v/>
      </c>
      <c r="O36" s="159">
        <f>SUMIFS('METAS EMPRESAS'!$J$15:$J$320,'METAS EMPRESAS'!$A$15:$A$320,"EJ",'METAS EMPRESAS'!$B$15:$B$320,"IÇAMENTO JOIST",'METAS EMPRESAS'!$C$15:$C$320,$A36-WEEKDAY($A36,2)+1)</f>
        <v/>
      </c>
      <c r="P36" s="159">
        <f>SUMIFS('METAS EMPRESAS'!$J$15:$J$320,'METAS EMPRESAS'!$A$15:$A$320,"EJ",'METAS EMPRESAS'!$B$15:$B$320,"VIGAS",'METAS EMPRESAS'!$C$15:$C$320,$A36-WEEKDAY($A36,2)+1)</f>
        <v/>
      </c>
      <c r="Q36" s="159">
        <f>SUMIFS('METAS EMPRESAS'!$J$15:$J$320,'METAS EMPRESAS'!$A$15:$A$320,"CMM",'METAS EMPRESAS'!$B$15:$B$320,"PREMONTAGEM",'METAS EMPRESAS'!$C$15:$C$320,$A36-WEEKDAY($A36,2)+1)</f>
        <v/>
      </c>
      <c r="R36" s="159">
        <f>SUMIFS('METAS EMPRESAS'!$J$15:$J$320,'METAS EMPRESAS'!$A$15:$A$320,"CMM",'METAS EMPRESAS'!$B$15:$B$320,"IÇAMENTO JOIST",'METAS EMPRESAS'!$C$15:$C$320,$A36-WEEKDAY($A36,2)+1)</f>
        <v/>
      </c>
      <c r="S36" s="159">
        <f>SUMIFS('METAS EMPRESAS'!$J$15:$J$320,'METAS EMPRESAS'!$A$15:$A$320,"CMM",'METAS EMPRESAS'!$B$15:$B$320,"VIGAS",'METAS EMPRESAS'!$C$15:$C$320,$A36-WEEKDAY($A36,2)+1)</f>
        <v/>
      </c>
      <c r="T36">
        <f>--(WEEKDAY(A36,2)&lt;=5)</f>
        <v/>
      </c>
      <c r="U36" t="n">
        <v>19</v>
      </c>
      <c r="V36" t="n">
        <v>7</v>
      </c>
      <c r="W36" t="n">
        <v>0</v>
      </c>
      <c r="X36" t="n">
        <v>5</v>
      </c>
      <c r="Y36" t="n">
        <v>5</v>
      </c>
      <c r="Z36" t="n">
        <v>5</v>
      </c>
      <c r="AA36" t="n">
        <v>95</v>
      </c>
      <c r="AB36" t="n">
        <v>35</v>
      </c>
      <c r="AC36" t="n">
        <v>0</v>
      </c>
    </row>
    <row r="37">
      <c r="A37" s="317" t="n">
        <v>46258</v>
      </c>
      <c r="B37" s="159">
        <f>SUMIFS('METAS EMPRESAS'!$K$15:$K$320,'METAS EMPRESAS'!$A$15:$A$320,"EJ",'METAS EMPRESAS'!$B$15:$B$320,"PREMONTAGEM",'METAS EMPRESAS'!$C$15:$C$320,$A37-WEEKDAY($A37,2)+1)</f>
        <v/>
      </c>
      <c r="C37" s="159">
        <f>SUMIFS('METAS EMPRESAS'!$K$15:$K$320,'METAS EMPRESAS'!$A$15:$A$320,"EJ",'METAS EMPRESAS'!$B$15:$B$320,"IÇAMENTO JOIST",'METAS EMPRESAS'!$C$15:$C$320,$A37-WEEKDAY($A37,2)+1)</f>
        <v/>
      </c>
      <c r="D37" s="159">
        <f>SUMIFS('METAS EMPRESAS'!$K$15:$K$320,'METAS EMPRESAS'!$A$15:$A$320,"EJ",'METAS EMPRESAS'!$B$15:$B$320,"VIGAS",'METAS EMPRESAS'!$C$15:$C$320,$A37-WEEKDAY($A37,2)+1)</f>
        <v/>
      </c>
      <c r="E37" s="159">
        <f>SUMIFS('METAS EMPRESAS'!$K$15:$K$320,'METAS EMPRESAS'!$A$15:$A$320,"CMM",'METAS EMPRESAS'!$B$15:$B$320,"PREMONTAGEM",'METAS EMPRESAS'!$C$15:$C$320,$A37-WEEKDAY($A37,2)+1)</f>
        <v/>
      </c>
      <c r="F37" s="159">
        <f>SUMIFS('METAS EMPRESAS'!$K$15:$K$320,'METAS EMPRESAS'!$A$15:$A$320,"CMM",'METAS EMPRESAS'!$B$15:$B$320,"IÇAMENTO JOIST",'METAS EMPRESAS'!$C$15:$C$320,$A37-WEEKDAY($A37,2)+1)</f>
        <v/>
      </c>
      <c r="G37" s="159">
        <f>SUMIFS('METAS EMPRESAS'!$K$15:$K$320,'METAS EMPRESAS'!$A$15:$A$320,"CMM",'METAS EMPRESAS'!$B$15:$B$320,"VIGAS",'METAS EMPRESAS'!$C$15:$C$320,$A37-WEEKDAY($A37,2)+1)</f>
        <v/>
      </c>
      <c r="H37" s="159">
        <f>SUMIFS('METAS EMPRESAS'!$G$15:$G$320,'METAS EMPRESAS'!$A$15:$A$320,"EJ",'METAS EMPRESAS'!$B$15:$B$320,"PREMONTAGEM",'METAS EMPRESAS'!$C$15:$C$320,$A37-WEEKDAY($A37,2)+1)</f>
        <v/>
      </c>
      <c r="I37" s="159">
        <f>SUMIFS('METAS EMPRESAS'!$G$15:$G$320,'METAS EMPRESAS'!$A$15:$A$320,"EJ",'METAS EMPRESAS'!$B$15:$B$320,"IÇAMENTO JOIST",'METAS EMPRESAS'!$C$15:$C$320,$A37-WEEKDAY($A37,2)+1)</f>
        <v/>
      </c>
      <c r="J37" s="159">
        <f>SUMIFS('METAS EMPRESAS'!$G$15:$G$320,'METAS EMPRESAS'!$A$15:$A$320,"EJ",'METAS EMPRESAS'!$B$15:$B$320,"VIGAS",'METAS EMPRESAS'!$C$15:$C$320,$A37-WEEKDAY($A37,2)+1)</f>
        <v/>
      </c>
      <c r="K37" s="159">
        <f>SUMIFS('METAS EMPRESAS'!$G$15:$G$320,'METAS EMPRESAS'!$A$15:$A$320,"CMM",'METAS EMPRESAS'!$B$15:$B$320,"PREMONTAGEM",'METAS EMPRESAS'!$C$15:$C$320,$A37-WEEKDAY($A37,2)+1)</f>
        <v/>
      </c>
      <c r="L37" s="159">
        <f>SUMIFS('METAS EMPRESAS'!$G$15:$G$320,'METAS EMPRESAS'!$A$15:$A$320,"CMM",'METAS EMPRESAS'!$B$15:$B$320,"IÇAMENTO JOIST",'METAS EMPRESAS'!$C$15:$C$320,$A37-WEEKDAY($A37,2)+1)</f>
        <v/>
      </c>
      <c r="M37" s="159">
        <f>SUMIFS('METAS EMPRESAS'!$G$15:$G$320,'METAS EMPRESAS'!$A$15:$A$320,"CMM",'METAS EMPRESAS'!$B$15:$B$320,"VIGAS",'METAS EMPRESAS'!$C$15:$C$320,$A37-WEEKDAY($A37,2)+1)</f>
        <v/>
      </c>
      <c r="N37" s="159">
        <f>SUMIFS('METAS EMPRESAS'!$J$15:$J$320,'METAS EMPRESAS'!$A$15:$A$320,"EJ",'METAS EMPRESAS'!$B$15:$B$320,"PREMONTAGEM",'METAS EMPRESAS'!$C$15:$C$320,$A37-WEEKDAY($A37,2)+1)</f>
        <v/>
      </c>
      <c r="O37" s="159">
        <f>SUMIFS('METAS EMPRESAS'!$J$15:$J$320,'METAS EMPRESAS'!$A$15:$A$320,"EJ",'METAS EMPRESAS'!$B$15:$B$320,"IÇAMENTO JOIST",'METAS EMPRESAS'!$C$15:$C$320,$A37-WEEKDAY($A37,2)+1)</f>
        <v/>
      </c>
      <c r="P37" s="159">
        <f>SUMIFS('METAS EMPRESAS'!$J$15:$J$320,'METAS EMPRESAS'!$A$15:$A$320,"EJ",'METAS EMPRESAS'!$B$15:$B$320,"VIGAS",'METAS EMPRESAS'!$C$15:$C$320,$A37-WEEKDAY($A37,2)+1)</f>
        <v/>
      </c>
      <c r="Q37" s="159">
        <f>SUMIFS('METAS EMPRESAS'!$J$15:$J$320,'METAS EMPRESAS'!$A$15:$A$320,"CMM",'METAS EMPRESAS'!$B$15:$B$320,"PREMONTAGEM",'METAS EMPRESAS'!$C$15:$C$320,$A37-WEEKDAY($A37,2)+1)</f>
        <v/>
      </c>
      <c r="R37" s="159">
        <f>SUMIFS('METAS EMPRESAS'!$J$15:$J$320,'METAS EMPRESAS'!$A$15:$A$320,"CMM",'METAS EMPRESAS'!$B$15:$B$320,"IÇAMENTO JOIST",'METAS EMPRESAS'!$C$15:$C$320,$A37-WEEKDAY($A37,2)+1)</f>
        <v/>
      </c>
      <c r="S37" s="159">
        <f>SUMIFS('METAS EMPRESAS'!$J$15:$J$320,'METAS EMPRESAS'!$A$15:$A$320,"CMM",'METAS EMPRESAS'!$B$15:$B$320,"VIGAS",'METAS EMPRESAS'!$C$15:$C$320,$A37-WEEKDAY($A37,2)+1)</f>
        <v/>
      </c>
      <c r="T37">
        <f>--(WEEKDAY(A37,2)&lt;=5)</f>
        <v/>
      </c>
      <c r="U37" t="n">
        <v>19</v>
      </c>
      <c r="V37" t="n">
        <v>7</v>
      </c>
      <c r="W37" t="n">
        <v>0</v>
      </c>
      <c r="X37" t="n">
        <v>5</v>
      </c>
      <c r="Y37" t="n">
        <v>5</v>
      </c>
      <c r="Z37" t="n">
        <v>5</v>
      </c>
      <c r="AA37" t="n">
        <v>95</v>
      </c>
      <c r="AB37" t="n">
        <v>35</v>
      </c>
      <c r="AC37" t="n">
        <v>0</v>
      </c>
    </row>
    <row r="38">
      <c r="A38" s="317" t="n">
        <v>46259</v>
      </c>
      <c r="B38" s="159">
        <f>SUMIFS('METAS EMPRESAS'!$K$15:$K$320,'METAS EMPRESAS'!$A$15:$A$320,"EJ",'METAS EMPRESAS'!$B$15:$B$320,"PREMONTAGEM",'METAS EMPRESAS'!$C$15:$C$320,$A38-WEEKDAY($A38,2)+1)</f>
        <v/>
      </c>
      <c r="C38" s="159">
        <f>SUMIFS('METAS EMPRESAS'!$K$15:$K$320,'METAS EMPRESAS'!$A$15:$A$320,"EJ",'METAS EMPRESAS'!$B$15:$B$320,"IÇAMENTO JOIST",'METAS EMPRESAS'!$C$15:$C$320,$A38-WEEKDAY($A38,2)+1)</f>
        <v/>
      </c>
      <c r="D38" s="159">
        <f>SUMIFS('METAS EMPRESAS'!$K$15:$K$320,'METAS EMPRESAS'!$A$15:$A$320,"EJ",'METAS EMPRESAS'!$B$15:$B$320,"VIGAS",'METAS EMPRESAS'!$C$15:$C$320,$A38-WEEKDAY($A38,2)+1)</f>
        <v/>
      </c>
      <c r="E38" s="159">
        <f>SUMIFS('METAS EMPRESAS'!$K$15:$K$320,'METAS EMPRESAS'!$A$15:$A$320,"CMM",'METAS EMPRESAS'!$B$15:$B$320,"PREMONTAGEM",'METAS EMPRESAS'!$C$15:$C$320,$A38-WEEKDAY($A38,2)+1)</f>
        <v/>
      </c>
      <c r="F38" s="159">
        <f>SUMIFS('METAS EMPRESAS'!$K$15:$K$320,'METAS EMPRESAS'!$A$15:$A$320,"CMM",'METAS EMPRESAS'!$B$15:$B$320,"IÇAMENTO JOIST",'METAS EMPRESAS'!$C$15:$C$320,$A38-WEEKDAY($A38,2)+1)</f>
        <v/>
      </c>
      <c r="G38" s="159">
        <f>SUMIFS('METAS EMPRESAS'!$K$15:$K$320,'METAS EMPRESAS'!$A$15:$A$320,"CMM",'METAS EMPRESAS'!$B$15:$B$320,"VIGAS",'METAS EMPRESAS'!$C$15:$C$320,$A38-WEEKDAY($A38,2)+1)</f>
        <v/>
      </c>
      <c r="H38" s="159">
        <f>SUMIFS('METAS EMPRESAS'!$G$15:$G$320,'METAS EMPRESAS'!$A$15:$A$320,"EJ",'METAS EMPRESAS'!$B$15:$B$320,"PREMONTAGEM",'METAS EMPRESAS'!$C$15:$C$320,$A38-WEEKDAY($A38,2)+1)</f>
        <v/>
      </c>
      <c r="I38" s="159">
        <f>SUMIFS('METAS EMPRESAS'!$G$15:$G$320,'METAS EMPRESAS'!$A$15:$A$320,"EJ",'METAS EMPRESAS'!$B$15:$B$320,"IÇAMENTO JOIST",'METAS EMPRESAS'!$C$15:$C$320,$A38-WEEKDAY($A38,2)+1)</f>
        <v/>
      </c>
      <c r="J38" s="159">
        <f>SUMIFS('METAS EMPRESAS'!$G$15:$G$320,'METAS EMPRESAS'!$A$15:$A$320,"EJ",'METAS EMPRESAS'!$B$15:$B$320,"VIGAS",'METAS EMPRESAS'!$C$15:$C$320,$A38-WEEKDAY($A38,2)+1)</f>
        <v/>
      </c>
      <c r="K38" s="159">
        <f>SUMIFS('METAS EMPRESAS'!$G$15:$G$320,'METAS EMPRESAS'!$A$15:$A$320,"CMM",'METAS EMPRESAS'!$B$15:$B$320,"PREMONTAGEM",'METAS EMPRESAS'!$C$15:$C$320,$A38-WEEKDAY($A38,2)+1)</f>
        <v/>
      </c>
      <c r="L38" s="159">
        <f>SUMIFS('METAS EMPRESAS'!$G$15:$G$320,'METAS EMPRESAS'!$A$15:$A$320,"CMM",'METAS EMPRESAS'!$B$15:$B$320,"IÇAMENTO JOIST",'METAS EMPRESAS'!$C$15:$C$320,$A38-WEEKDAY($A38,2)+1)</f>
        <v/>
      </c>
      <c r="M38" s="159">
        <f>SUMIFS('METAS EMPRESAS'!$G$15:$G$320,'METAS EMPRESAS'!$A$15:$A$320,"CMM",'METAS EMPRESAS'!$B$15:$B$320,"VIGAS",'METAS EMPRESAS'!$C$15:$C$320,$A38-WEEKDAY($A38,2)+1)</f>
        <v/>
      </c>
      <c r="N38" s="159">
        <f>SUMIFS('METAS EMPRESAS'!$J$15:$J$320,'METAS EMPRESAS'!$A$15:$A$320,"EJ",'METAS EMPRESAS'!$B$15:$B$320,"PREMONTAGEM",'METAS EMPRESAS'!$C$15:$C$320,$A38-WEEKDAY($A38,2)+1)</f>
        <v/>
      </c>
      <c r="O38" s="159">
        <f>SUMIFS('METAS EMPRESAS'!$J$15:$J$320,'METAS EMPRESAS'!$A$15:$A$320,"EJ",'METAS EMPRESAS'!$B$15:$B$320,"IÇAMENTO JOIST",'METAS EMPRESAS'!$C$15:$C$320,$A38-WEEKDAY($A38,2)+1)</f>
        <v/>
      </c>
      <c r="P38" s="159">
        <f>SUMIFS('METAS EMPRESAS'!$J$15:$J$320,'METAS EMPRESAS'!$A$15:$A$320,"EJ",'METAS EMPRESAS'!$B$15:$B$320,"VIGAS",'METAS EMPRESAS'!$C$15:$C$320,$A38-WEEKDAY($A38,2)+1)</f>
        <v/>
      </c>
      <c r="Q38" s="159">
        <f>SUMIFS('METAS EMPRESAS'!$J$15:$J$320,'METAS EMPRESAS'!$A$15:$A$320,"CMM",'METAS EMPRESAS'!$B$15:$B$320,"PREMONTAGEM",'METAS EMPRESAS'!$C$15:$C$320,$A38-WEEKDAY($A38,2)+1)</f>
        <v/>
      </c>
      <c r="R38" s="159">
        <f>SUMIFS('METAS EMPRESAS'!$J$15:$J$320,'METAS EMPRESAS'!$A$15:$A$320,"CMM",'METAS EMPRESAS'!$B$15:$B$320,"IÇAMENTO JOIST",'METAS EMPRESAS'!$C$15:$C$320,$A38-WEEKDAY($A38,2)+1)</f>
        <v/>
      </c>
      <c r="S38" s="159">
        <f>SUMIFS('METAS EMPRESAS'!$J$15:$J$320,'METAS EMPRESAS'!$A$15:$A$320,"CMM",'METAS EMPRESAS'!$B$15:$B$320,"VIGAS",'METAS EMPRESAS'!$C$15:$C$320,$A38-WEEKDAY($A38,2)+1)</f>
        <v/>
      </c>
      <c r="T38">
        <f>--(WEEKDAY(A38,2)&lt;=5)</f>
        <v/>
      </c>
      <c r="U38" t="n">
        <v>19</v>
      </c>
      <c r="V38" t="n">
        <v>7</v>
      </c>
      <c r="W38" t="n">
        <v>0</v>
      </c>
      <c r="X38" t="n">
        <v>5</v>
      </c>
      <c r="Y38" t="n">
        <v>5</v>
      </c>
      <c r="Z38" t="n">
        <v>5</v>
      </c>
      <c r="AA38" t="n">
        <v>95</v>
      </c>
      <c r="AB38" t="n">
        <v>35</v>
      </c>
      <c r="AC38" t="n">
        <v>0</v>
      </c>
    </row>
    <row r="39">
      <c r="A39" s="317" t="n">
        <v>46260</v>
      </c>
      <c r="B39" s="159">
        <f>SUMIFS('METAS EMPRESAS'!$K$15:$K$320,'METAS EMPRESAS'!$A$15:$A$320,"EJ",'METAS EMPRESAS'!$B$15:$B$320,"PREMONTAGEM",'METAS EMPRESAS'!$C$15:$C$320,$A39-WEEKDAY($A39,2)+1)</f>
        <v/>
      </c>
      <c r="C39" s="159">
        <f>SUMIFS('METAS EMPRESAS'!$K$15:$K$320,'METAS EMPRESAS'!$A$15:$A$320,"EJ",'METAS EMPRESAS'!$B$15:$B$320,"IÇAMENTO JOIST",'METAS EMPRESAS'!$C$15:$C$320,$A39-WEEKDAY($A39,2)+1)</f>
        <v/>
      </c>
      <c r="D39" s="159">
        <f>SUMIFS('METAS EMPRESAS'!$K$15:$K$320,'METAS EMPRESAS'!$A$15:$A$320,"EJ",'METAS EMPRESAS'!$B$15:$B$320,"VIGAS",'METAS EMPRESAS'!$C$15:$C$320,$A39-WEEKDAY($A39,2)+1)</f>
        <v/>
      </c>
      <c r="E39" s="159">
        <f>SUMIFS('METAS EMPRESAS'!$K$15:$K$320,'METAS EMPRESAS'!$A$15:$A$320,"CMM",'METAS EMPRESAS'!$B$15:$B$320,"PREMONTAGEM",'METAS EMPRESAS'!$C$15:$C$320,$A39-WEEKDAY($A39,2)+1)</f>
        <v/>
      </c>
      <c r="F39" s="159">
        <f>SUMIFS('METAS EMPRESAS'!$K$15:$K$320,'METAS EMPRESAS'!$A$15:$A$320,"CMM",'METAS EMPRESAS'!$B$15:$B$320,"IÇAMENTO JOIST",'METAS EMPRESAS'!$C$15:$C$320,$A39-WEEKDAY($A39,2)+1)</f>
        <v/>
      </c>
      <c r="G39" s="159">
        <f>SUMIFS('METAS EMPRESAS'!$K$15:$K$320,'METAS EMPRESAS'!$A$15:$A$320,"CMM",'METAS EMPRESAS'!$B$15:$B$320,"VIGAS",'METAS EMPRESAS'!$C$15:$C$320,$A39-WEEKDAY($A39,2)+1)</f>
        <v/>
      </c>
      <c r="H39" s="159">
        <f>SUMIFS('METAS EMPRESAS'!$G$15:$G$320,'METAS EMPRESAS'!$A$15:$A$320,"EJ",'METAS EMPRESAS'!$B$15:$B$320,"PREMONTAGEM",'METAS EMPRESAS'!$C$15:$C$320,$A39-WEEKDAY($A39,2)+1)</f>
        <v/>
      </c>
      <c r="I39" s="159">
        <f>SUMIFS('METAS EMPRESAS'!$G$15:$G$320,'METAS EMPRESAS'!$A$15:$A$320,"EJ",'METAS EMPRESAS'!$B$15:$B$320,"IÇAMENTO JOIST",'METAS EMPRESAS'!$C$15:$C$320,$A39-WEEKDAY($A39,2)+1)</f>
        <v/>
      </c>
      <c r="J39" s="159">
        <f>SUMIFS('METAS EMPRESAS'!$G$15:$G$320,'METAS EMPRESAS'!$A$15:$A$320,"EJ",'METAS EMPRESAS'!$B$15:$B$320,"VIGAS",'METAS EMPRESAS'!$C$15:$C$320,$A39-WEEKDAY($A39,2)+1)</f>
        <v/>
      </c>
      <c r="K39" s="159">
        <f>SUMIFS('METAS EMPRESAS'!$G$15:$G$320,'METAS EMPRESAS'!$A$15:$A$320,"CMM",'METAS EMPRESAS'!$B$15:$B$320,"PREMONTAGEM",'METAS EMPRESAS'!$C$15:$C$320,$A39-WEEKDAY($A39,2)+1)</f>
        <v/>
      </c>
      <c r="L39" s="159">
        <f>SUMIFS('METAS EMPRESAS'!$G$15:$G$320,'METAS EMPRESAS'!$A$15:$A$320,"CMM",'METAS EMPRESAS'!$B$15:$B$320,"IÇAMENTO JOIST",'METAS EMPRESAS'!$C$15:$C$320,$A39-WEEKDAY($A39,2)+1)</f>
        <v/>
      </c>
      <c r="M39" s="159">
        <f>SUMIFS('METAS EMPRESAS'!$G$15:$G$320,'METAS EMPRESAS'!$A$15:$A$320,"CMM",'METAS EMPRESAS'!$B$15:$B$320,"VIGAS",'METAS EMPRESAS'!$C$15:$C$320,$A39-WEEKDAY($A39,2)+1)</f>
        <v/>
      </c>
      <c r="N39" s="159">
        <f>SUMIFS('METAS EMPRESAS'!$J$15:$J$320,'METAS EMPRESAS'!$A$15:$A$320,"EJ",'METAS EMPRESAS'!$B$15:$B$320,"PREMONTAGEM",'METAS EMPRESAS'!$C$15:$C$320,$A39-WEEKDAY($A39,2)+1)</f>
        <v/>
      </c>
      <c r="O39" s="159">
        <f>SUMIFS('METAS EMPRESAS'!$J$15:$J$320,'METAS EMPRESAS'!$A$15:$A$320,"EJ",'METAS EMPRESAS'!$B$15:$B$320,"IÇAMENTO JOIST",'METAS EMPRESAS'!$C$15:$C$320,$A39-WEEKDAY($A39,2)+1)</f>
        <v/>
      </c>
      <c r="P39" s="159">
        <f>SUMIFS('METAS EMPRESAS'!$J$15:$J$320,'METAS EMPRESAS'!$A$15:$A$320,"EJ",'METAS EMPRESAS'!$B$15:$B$320,"VIGAS",'METAS EMPRESAS'!$C$15:$C$320,$A39-WEEKDAY($A39,2)+1)</f>
        <v/>
      </c>
      <c r="Q39" s="159">
        <f>SUMIFS('METAS EMPRESAS'!$J$15:$J$320,'METAS EMPRESAS'!$A$15:$A$320,"CMM",'METAS EMPRESAS'!$B$15:$B$320,"PREMONTAGEM",'METAS EMPRESAS'!$C$15:$C$320,$A39-WEEKDAY($A39,2)+1)</f>
        <v/>
      </c>
      <c r="R39" s="159">
        <f>SUMIFS('METAS EMPRESAS'!$J$15:$J$320,'METAS EMPRESAS'!$A$15:$A$320,"CMM",'METAS EMPRESAS'!$B$15:$B$320,"IÇAMENTO JOIST",'METAS EMPRESAS'!$C$15:$C$320,$A39-WEEKDAY($A39,2)+1)</f>
        <v/>
      </c>
      <c r="S39" s="159">
        <f>SUMIFS('METAS EMPRESAS'!$J$15:$J$320,'METAS EMPRESAS'!$A$15:$A$320,"CMM",'METAS EMPRESAS'!$B$15:$B$320,"VIGAS",'METAS EMPRESAS'!$C$15:$C$320,$A39-WEEKDAY($A39,2)+1)</f>
        <v/>
      </c>
      <c r="T39">
        <f>--(WEEKDAY(A39,2)&lt;=5)</f>
        <v/>
      </c>
      <c r="U39" t="n">
        <v>19</v>
      </c>
      <c r="V39" t="n">
        <v>7</v>
      </c>
      <c r="W39" t="n">
        <v>0</v>
      </c>
      <c r="X39" t="n">
        <v>5</v>
      </c>
      <c r="Y39" t="n">
        <v>5</v>
      </c>
      <c r="Z39" t="n">
        <v>5</v>
      </c>
      <c r="AA39" t="n">
        <v>95</v>
      </c>
      <c r="AB39" t="n">
        <v>35</v>
      </c>
      <c r="AC39" t="n">
        <v>0</v>
      </c>
    </row>
    <row r="40">
      <c r="A40" s="317" t="n">
        <v>46261</v>
      </c>
      <c r="B40" s="159">
        <f>SUMIFS('METAS EMPRESAS'!$K$15:$K$320,'METAS EMPRESAS'!$A$15:$A$320,"EJ",'METAS EMPRESAS'!$B$15:$B$320,"PREMONTAGEM",'METAS EMPRESAS'!$C$15:$C$320,$A40-WEEKDAY($A40,2)+1)</f>
        <v/>
      </c>
      <c r="C40" s="159">
        <f>SUMIFS('METAS EMPRESAS'!$K$15:$K$320,'METAS EMPRESAS'!$A$15:$A$320,"EJ",'METAS EMPRESAS'!$B$15:$B$320,"IÇAMENTO JOIST",'METAS EMPRESAS'!$C$15:$C$320,$A40-WEEKDAY($A40,2)+1)</f>
        <v/>
      </c>
      <c r="D40" s="159">
        <f>SUMIFS('METAS EMPRESAS'!$K$15:$K$320,'METAS EMPRESAS'!$A$15:$A$320,"EJ",'METAS EMPRESAS'!$B$15:$B$320,"VIGAS",'METAS EMPRESAS'!$C$15:$C$320,$A40-WEEKDAY($A40,2)+1)</f>
        <v/>
      </c>
      <c r="E40" s="159">
        <f>SUMIFS('METAS EMPRESAS'!$K$15:$K$320,'METAS EMPRESAS'!$A$15:$A$320,"CMM",'METAS EMPRESAS'!$B$15:$B$320,"PREMONTAGEM",'METAS EMPRESAS'!$C$15:$C$320,$A40-WEEKDAY($A40,2)+1)</f>
        <v/>
      </c>
      <c r="F40" s="159">
        <f>SUMIFS('METAS EMPRESAS'!$K$15:$K$320,'METAS EMPRESAS'!$A$15:$A$320,"CMM",'METAS EMPRESAS'!$B$15:$B$320,"IÇAMENTO JOIST",'METAS EMPRESAS'!$C$15:$C$320,$A40-WEEKDAY($A40,2)+1)</f>
        <v/>
      </c>
      <c r="G40" s="159">
        <f>SUMIFS('METAS EMPRESAS'!$K$15:$K$320,'METAS EMPRESAS'!$A$15:$A$320,"CMM",'METAS EMPRESAS'!$B$15:$B$320,"VIGAS",'METAS EMPRESAS'!$C$15:$C$320,$A40-WEEKDAY($A40,2)+1)</f>
        <v/>
      </c>
      <c r="H40" s="159">
        <f>SUMIFS('METAS EMPRESAS'!$G$15:$G$320,'METAS EMPRESAS'!$A$15:$A$320,"EJ",'METAS EMPRESAS'!$B$15:$B$320,"PREMONTAGEM",'METAS EMPRESAS'!$C$15:$C$320,$A40-WEEKDAY($A40,2)+1)</f>
        <v/>
      </c>
      <c r="I40" s="159">
        <f>SUMIFS('METAS EMPRESAS'!$G$15:$G$320,'METAS EMPRESAS'!$A$15:$A$320,"EJ",'METAS EMPRESAS'!$B$15:$B$320,"IÇAMENTO JOIST",'METAS EMPRESAS'!$C$15:$C$320,$A40-WEEKDAY($A40,2)+1)</f>
        <v/>
      </c>
      <c r="J40" s="159">
        <f>SUMIFS('METAS EMPRESAS'!$G$15:$G$320,'METAS EMPRESAS'!$A$15:$A$320,"EJ",'METAS EMPRESAS'!$B$15:$B$320,"VIGAS",'METAS EMPRESAS'!$C$15:$C$320,$A40-WEEKDAY($A40,2)+1)</f>
        <v/>
      </c>
      <c r="K40" s="159">
        <f>SUMIFS('METAS EMPRESAS'!$G$15:$G$320,'METAS EMPRESAS'!$A$15:$A$320,"CMM",'METAS EMPRESAS'!$B$15:$B$320,"PREMONTAGEM",'METAS EMPRESAS'!$C$15:$C$320,$A40-WEEKDAY($A40,2)+1)</f>
        <v/>
      </c>
      <c r="L40" s="159">
        <f>SUMIFS('METAS EMPRESAS'!$G$15:$G$320,'METAS EMPRESAS'!$A$15:$A$320,"CMM",'METAS EMPRESAS'!$B$15:$B$320,"IÇAMENTO JOIST",'METAS EMPRESAS'!$C$15:$C$320,$A40-WEEKDAY($A40,2)+1)</f>
        <v/>
      </c>
      <c r="M40" s="159">
        <f>SUMIFS('METAS EMPRESAS'!$G$15:$G$320,'METAS EMPRESAS'!$A$15:$A$320,"CMM",'METAS EMPRESAS'!$B$15:$B$320,"VIGAS",'METAS EMPRESAS'!$C$15:$C$320,$A40-WEEKDAY($A40,2)+1)</f>
        <v/>
      </c>
      <c r="N40" s="159">
        <f>SUMIFS('METAS EMPRESAS'!$J$15:$J$320,'METAS EMPRESAS'!$A$15:$A$320,"EJ",'METAS EMPRESAS'!$B$15:$B$320,"PREMONTAGEM",'METAS EMPRESAS'!$C$15:$C$320,$A40-WEEKDAY($A40,2)+1)</f>
        <v/>
      </c>
      <c r="O40" s="159">
        <f>SUMIFS('METAS EMPRESAS'!$J$15:$J$320,'METAS EMPRESAS'!$A$15:$A$320,"EJ",'METAS EMPRESAS'!$B$15:$B$320,"IÇAMENTO JOIST",'METAS EMPRESAS'!$C$15:$C$320,$A40-WEEKDAY($A40,2)+1)</f>
        <v/>
      </c>
      <c r="P40" s="159">
        <f>SUMIFS('METAS EMPRESAS'!$J$15:$J$320,'METAS EMPRESAS'!$A$15:$A$320,"EJ",'METAS EMPRESAS'!$B$15:$B$320,"VIGAS",'METAS EMPRESAS'!$C$15:$C$320,$A40-WEEKDAY($A40,2)+1)</f>
        <v/>
      </c>
      <c r="Q40" s="159">
        <f>SUMIFS('METAS EMPRESAS'!$J$15:$J$320,'METAS EMPRESAS'!$A$15:$A$320,"CMM",'METAS EMPRESAS'!$B$15:$B$320,"PREMONTAGEM",'METAS EMPRESAS'!$C$15:$C$320,$A40-WEEKDAY($A40,2)+1)</f>
        <v/>
      </c>
      <c r="R40" s="159">
        <f>SUMIFS('METAS EMPRESAS'!$J$15:$J$320,'METAS EMPRESAS'!$A$15:$A$320,"CMM",'METAS EMPRESAS'!$B$15:$B$320,"IÇAMENTO JOIST",'METAS EMPRESAS'!$C$15:$C$320,$A40-WEEKDAY($A40,2)+1)</f>
        <v/>
      </c>
      <c r="S40" s="159">
        <f>SUMIFS('METAS EMPRESAS'!$J$15:$J$320,'METAS EMPRESAS'!$A$15:$A$320,"CMM",'METAS EMPRESAS'!$B$15:$B$320,"VIGAS",'METAS EMPRESAS'!$C$15:$C$320,$A40-WEEKDAY($A40,2)+1)</f>
        <v/>
      </c>
      <c r="T40">
        <f>--(WEEKDAY(A40,2)&lt;=5)</f>
        <v/>
      </c>
      <c r="U40" t="n">
        <v>19</v>
      </c>
      <c r="V40" t="n">
        <v>7</v>
      </c>
      <c r="W40" t="n">
        <v>0</v>
      </c>
      <c r="X40" t="n">
        <v>5</v>
      </c>
      <c r="Y40" t="n">
        <v>5</v>
      </c>
      <c r="Z40" t="n">
        <v>5</v>
      </c>
      <c r="AA40" t="n">
        <v>95</v>
      </c>
      <c r="AB40" t="n">
        <v>35</v>
      </c>
      <c r="AC40" t="n">
        <v>0</v>
      </c>
    </row>
    <row r="41">
      <c r="A41" s="317" t="n">
        <v>46262</v>
      </c>
      <c r="B41" s="159">
        <f>SUMIFS('METAS EMPRESAS'!$K$15:$K$320,'METAS EMPRESAS'!$A$15:$A$320,"EJ",'METAS EMPRESAS'!$B$15:$B$320,"PREMONTAGEM",'METAS EMPRESAS'!$C$15:$C$320,$A41-WEEKDAY($A41,2)+1)</f>
        <v/>
      </c>
      <c r="C41" s="159">
        <f>SUMIFS('METAS EMPRESAS'!$K$15:$K$320,'METAS EMPRESAS'!$A$15:$A$320,"EJ",'METAS EMPRESAS'!$B$15:$B$320,"IÇAMENTO JOIST",'METAS EMPRESAS'!$C$15:$C$320,$A41-WEEKDAY($A41,2)+1)</f>
        <v/>
      </c>
      <c r="D41" s="159">
        <f>SUMIFS('METAS EMPRESAS'!$K$15:$K$320,'METAS EMPRESAS'!$A$15:$A$320,"EJ",'METAS EMPRESAS'!$B$15:$B$320,"VIGAS",'METAS EMPRESAS'!$C$15:$C$320,$A41-WEEKDAY($A41,2)+1)</f>
        <v/>
      </c>
      <c r="E41" s="159">
        <f>SUMIFS('METAS EMPRESAS'!$K$15:$K$320,'METAS EMPRESAS'!$A$15:$A$320,"CMM",'METAS EMPRESAS'!$B$15:$B$320,"PREMONTAGEM",'METAS EMPRESAS'!$C$15:$C$320,$A41-WEEKDAY($A41,2)+1)</f>
        <v/>
      </c>
      <c r="F41" s="159">
        <f>SUMIFS('METAS EMPRESAS'!$K$15:$K$320,'METAS EMPRESAS'!$A$15:$A$320,"CMM",'METAS EMPRESAS'!$B$15:$B$320,"IÇAMENTO JOIST",'METAS EMPRESAS'!$C$15:$C$320,$A41-WEEKDAY($A41,2)+1)</f>
        <v/>
      </c>
      <c r="G41" s="159">
        <f>SUMIFS('METAS EMPRESAS'!$K$15:$K$320,'METAS EMPRESAS'!$A$15:$A$320,"CMM",'METAS EMPRESAS'!$B$15:$B$320,"VIGAS",'METAS EMPRESAS'!$C$15:$C$320,$A41-WEEKDAY($A41,2)+1)</f>
        <v/>
      </c>
      <c r="H41" s="159">
        <f>SUMIFS('METAS EMPRESAS'!$G$15:$G$320,'METAS EMPRESAS'!$A$15:$A$320,"EJ",'METAS EMPRESAS'!$B$15:$B$320,"PREMONTAGEM",'METAS EMPRESAS'!$C$15:$C$320,$A41-WEEKDAY($A41,2)+1)</f>
        <v/>
      </c>
      <c r="I41" s="159">
        <f>SUMIFS('METAS EMPRESAS'!$G$15:$G$320,'METAS EMPRESAS'!$A$15:$A$320,"EJ",'METAS EMPRESAS'!$B$15:$B$320,"IÇAMENTO JOIST",'METAS EMPRESAS'!$C$15:$C$320,$A41-WEEKDAY($A41,2)+1)</f>
        <v/>
      </c>
      <c r="J41" s="159">
        <f>SUMIFS('METAS EMPRESAS'!$G$15:$G$320,'METAS EMPRESAS'!$A$15:$A$320,"EJ",'METAS EMPRESAS'!$B$15:$B$320,"VIGAS",'METAS EMPRESAS'!$C$15:$C$320,$A41-WEEKDAY($A41,2)+1)</f>
        <v/>
      </c>
      <c r="K41" s="159">
        <f>SUMIFS('METAS EMPRESAS'!$G$15:$G$320,'METAS EMPRESAS'!$A$15:$A$320,"CMM",'METAS EMPRESAS'!$B$15:$B$320,"PREMONTAGEM",'METAS EMPRESAS'!$C$15:$C$320,$A41-WEEKDAY($A41,2)+1)</f>
        <v/>
      </c>
      <c r="L41" s="159">
        <f>SUMIFS('METAS EMPRESAS'!$G$15:$G$320,'METAS EMPRESAS'!$A$15:$A$320,"CMM",'METAS EMPRESAS'!$B$15:$B$320,"IÇAMENTO JOIST",'METAS EMPRESAS'!$C$15:$C$320,$A41-WEEKDAY($A41,2)+1)</f>
        <v/>
      </c>
      <c r="M41" s="159">
        <f>SUMIFS('METAS EMPRESAS'!$G$15:$G$320,'METAS EMPRESAS'!$A$15:$A$320,"CMM",'METAS EMPRESAS'!$B$15:$B$320,"VIGAS",'METAS EMPRESAS'!$C$15:$C$320,$A41-WEEKDAY($A41,2)+1)</f>
        <v/>
      </c>
      <c r="N41" s="159">
        <f>SUMIFS('METAS EMPRESAS'!$J$15:$J$320,'METAS EMPRESAS'!$A$15:$A$320,"EJ",'METAS EMPRESAS'!$B$15:$B$320,"PREMONTAGEM",'METAS EMPRESAS'!$C$15:$C$320,$A41-WEEKDAY($A41,2)+1)</f>
        <v/>
      </c>
      <c r="O41" s="159">
        <f>SUMIFS('METAS EMPRESAS'!$J$15:$J$320,'METAS EMPRESAS'!$A$15:$A$320,"EJ",'METAS EMPRESAS'!$B$15:$B$320,"IÇAMENTO JOIST",'METAS EMPRESAS'!$C$15:$C$320,$A41-WEEKDAY($A41,2)+1)</f>
        <v/>
      </c>
      <c r="P41" s="159">
        <f>SUMIFS('METAS EMPRESAS'!$J$15:$J$320,'METAS EMPRESAS'!$A$15:$A$320,"EJ",'METAS EMPRESAS'!$B$15:$B$320,"VIGAS",'METAS EMPRESAS'!$C$15:$C$320,$A41-WEEKDAY($A41,2)+1)</f>
        <v/>
      </c>
      <c r="Q41" s="159">
        <f>SUMIFS('METAS EMPRESAS'!$J$15:$J$320,'METAS EMPRESAS'!$A$15:$A$320,"CMM",'METAS EMPRESAS'!$B$15:$B$320,"PREMONTAGEM",'METAS EMPRESAS'!$C$15:$C$320,$A41-WEEKDAY($A41,2)+1)</f>
        <v/>
      </c>
      <c r="R41" s="159">
        <f>SUMIFS('METAS EMPRESAS'!$J$15:$J$320,'METAS EMPRESAS'!$A$15:$A$320,"CMM",'METAS EMPRESAS'!$B$15:$B$320,"IÇAMENTO JOIST",'METAS EMPRESAS'!$C$15:$C$320,$A41-WEEKDAY($A41,2)+1)</f>
        <v/>
      </c>
      <c r="S41" s="159">
        <f>SUMIFS('METAS EMPRESAS'!$J$15:$J$320,'METAS EMPRESAS'!$A$15:$A$320,"CMM",'METAS EMPRESAS'!$B$15:$B$320,"VIGAS",'METAS EMPRESAS'!$C$15:$C$320,$A41-WEEKDAY($A41,2)+1)</f>
        <v/>
      </c>
      <c r="T41">
        <f>--(WEEKDAY(A41,2)&lt;=5)</f>
        <v/>
      </c>
      <c r="U41" t="n">
        <v>19</v>
      </c>
      <c r="V41" t="n">
        <v>7</v>
      </c>
      <c r="W41" t="n">
        <v>0</v>
      </c>
      <c r="X41" t="n">
        <v>5</v>
      </c>
      <c r="Y41" t="n">
        <v>5</v>
      </c>
      <c r="Z41" t="n">
        <v>5</v>
      </c>
      <c r="AA41" t="n">
        <v>95</v>
      </c>
      <c r="AB41" t="n">
        <v>35</v>
      </c>
      <c r="AC41" t="n">
        <v>0</v>
      </c>
    </row>
    <row r="42">
      <c r="A42" s="317" t="n">
        <v>46263</v>
      </c>
      <c r="B42" s="159">
        <f>SUMIFS('METAS EMPRESAS'!$K$15:$K$320,'METAS EMPRESAS'!$A$15:$A$320,"EJ",'METAS EMPRESAS'!$B$15:$B$320,"PREMONTAGEM",'METAS EMPRESAS'!$C$15:$C$320,$A42-WEEKDAY($A42,2)+1)</f>
        <v/>
      </c>
      <c r="C42" s="159">
        <f>SUMIFS('METAS EMPRESAS'!$K$15:$K$320,'METAS EMPRESAS'!$A$15:$A$320,"EJ",'METAS EMPRESAS'!$B$15:$B$320,"IÇAMENTO JOIST",'METAS EMPRESAS'!$C$15:$C$320,$A42-WEEKDAY($A42,2)+1)</f>
        <v/>
      </c>
      <c r="D42" s="159">
        <f>SUMIFS('METAS EMPRESAS'!$K$15:$K$320,'METAS EMPRESAS'!$A$15:$A$320,"EJ",'METAS EMPRESAS'!$B$15:$B$320,"VIGAS",'METAS EMPRESAS'!$C$15:$C$320,$A42-WEEKDAY($A42,2)+1)</f>
        <v/>
      </c>
      <c r="E42" s="159">
        <f>SUMIFS('METAS EMPRESAS'!$K$15:$K$320,'METAS EMPRESAS'!$A$15:$A$320,"CMM",'METAS EMPRESAS'!$B$15:$B$320,"PREMONTAGEM",'METAS EMPRESAS'!$C$15:$C$320,$A42-WEEKDAY($A42,2)+1)</f>
        <v/>
      </c>
      <c r="F42" s="159">
        <f>SUMIFS('METAS EMPRESAS'!$K$15:$K$320,'METAS EMPRESAS'!$A$15:$A$320,"CMM",'METAS EMPRESAS'!$B$15:$B$320,"IÇAMENTO JOIST",'METAS EMPRESAS'!$C$15:$C$320,$A42-WEEKDAY($A42,2)+1)</f>
        <v/>
      </c>
      <c r="G42" s="159">
        <f>SUMIFS('METAS EMPRESAS'!$K$15:$K$320,'METAS EMPRESAS'!$A$15:$A$320,"CMM",'METAS EMPRESAS'!$B$15:$B$320,"VIGAS",'METAS EMPRESAS'!$C$15:$C$320,$A42-WEEKDAY($A42,2)+1)</f>
        <v/>
      </c>
      <c r="H42" s="159">
        <f>SUMIFS('METAS EMPRESAS'!$G$15:$G$320,'METAS EMPRESAS'!$A$15:$A$320,"EJ",'METAS EMPRESAS'!$B$15:$B$320,"PREMONTAGEM",'METAS EMPRESAS'!$C$15:$C$320,$A42-WEEKDAY($A42,2)+1)</f>
        <v/>
      </c>
      <c r="I42" s="159">
        <f>SUMIFS('METAS EMPRESAS'!$G$15:$G$320,'METAS EMPRESAS'!$A$15:$A$320,"EJ",'METAS EMPRESAS'!$B$15:$B$320,"IÇAMENTO JOIST",'METAS EMPRESAS'!$C$15:$C$320,$A42-WEEKDAY($A42,2)+1)</f>
        <v/>
      </c>
      <c r="J42" s="159">
        <f>SUMIFS('METAS EMPRESAS'!$G$15:$G$320,'METAS EMPRESAS'!$A$15:$A$320,"EJ",'METAS EMPRESAS'!$B$15:$B$320,"VIGAS",'METAS EMPRESAS'!$C$15:$C$320,$A42-WEEKDAY($A42,2)+1)</f>
        <v/>
      </c>
      <c r="K42" s="159">
        <f>SUMIFS('METAS EMPRESAS'!$G$15:$G$320,'METAS EMPRESAS'!$A$15:$A$320,"CMM",'METAS EMPRESAS'!$B$15:$B$320,"PREMONTAGEM",'METAS EMPRESAS'!$C$15:$C$320,$A42-WEEKDAY($A42,2)+1)</f>
        <v/>
      </c>
      <c r="L42" s="159">
        <f>SUMIFS('METAS EMPRESAS'!$G$15:$G$320,'METAS EMPRESAS'!$A$15:$A$320,"CMM",'METAS EMPRESAS'!$B$15:$B$320,"IÇAMENTO JOIST",'METAS EMPRESAS'!$C$15:$C$320,$A42-WEEKDAY($A42,2)+1)</f>
        <v/>
      </c>
      <c r="M42" s="159">
        <f>SUMIFS('METAS EMPRESAS'!$G$15:$G$320,'METAS EMPRESAS'!$A$15:$A$320,"CMM",'METAS EMPRESAS'!$B$15:$B$320,"VIGAS",'METAS EMPRESAS'!$C$15:$C$320,$A42-WEEKDAY($A42,2)+1)</f>
        <v/>
      </c>
      <c r="N42" s="159">
        <f>SUMIFS('METAS EMPRESAS'!$J$15:$J$320,'METAS EMPRESAS'!$A$15:$A$320,"EJ",'METAS EMPRESAS'!$B$15:$B$320,"PREMONTAGEM",'METAS EMPRESAS'!$C$15:$C$320,$A42-WEEKDAY($A42,2)+1)</f>
        <v/>
      </c>
      <c r="O42" s="159">
        <f>SUMIFS('METAS EMPRESAS'!$J$15:$J$320,'METAS EMPRESAS'!$A$15:$A$320,"EJ",'METAS EMPRESAS'!$B$15:$B$320,"IÇAMENTO JOIST",'METAS EMPRESAS'!$C$15:$C$320,$A42-WEEKDAY($A42,2)+1)</f>
        <v/>
      </c>
      <c r="P42" s="159">
        <f>SUMIFS('METAS EMPRESAS'!$J$15:$J$320,'METAS EMPRESAS'!$A$15:$A$320,"EJ",'METAS EMPRESAS'!$B$15:$B$320,"VIGAS",'METAS EMPRESAS'!$C$15:$C$320,$A42-WEEKDAY($A42,2)+1)</f>
        <v/>
      </c>
      <c r="Q42" s="159">
        <f>SUMIFS('METAS EMPRESAS'!$J$15:$J$320,'METAS EMPRESAS'!$A$15:$A$320,"CMM",'METAS EMPRESAS'!$B$15:$B$320,"PREMONTAGEM",'METAS EMPRESAS'!$C$15:$C$320,$A42-WEEKDAY($A42,2)+1)</f>
        <v/>
      </c>
      <c r="R42" s="159">
        <f>SUMIFS('METAS EMPRESAS'!$J$15:$J$320,'METAS EMPRESAS'!$A$15:$A$320,"CMM",'METAS EMPRESAS'!$B$15:$B$320,"IÇAMENTO JOIST",'METAS EMPRESAS'!$C$15:$C$320,$A42-WEEKDAY($A42,2)+1)</f>
        <v/>
      </c>
      <c r="S42" s="159">
        <f>SUMIFS('METAS EMPRESAS'!$J$15:$J$320,'METAS EMPRESAS'!$A$15:$A$320,"CMM",'METAS EMPRESAS'!$B$15:$B$320,"VIGAS",'METAS EMPRESAS'!$C$15:$C$320,$A42-WEEKDAY($A42,2)+1)</f>
        <v/>
      </c>
      <c r="T42">
        <f>--(WEEKDAY(A42,2)&lt;=5)</f>
        <v/>
      </c>
      <c r="U42" t="n">
        <v>19</v>
      </c>
      <c r="V42" t="n">
        <v>7</v>
      </c>
      <c r="W42" t="n">
        <v>0</v>
      </c>
      <c r="X42" t="n">
        <v>5</v>
      </c>
      <c r="Y42" t="n">
        <v>5</v>
      </c>
      <c r="Z42" t="n">
        <v>5</v>
      </c>
      <c r="AA42" t="n">
        <v>95</v>
      </c>
      <c r="AB42" t="n">
        <v>35</v>
      </c>
      <c r="AC42" t="n">
        <v>0</v>
      </c>
    </row>
    <row r="43">
      <c r="A43" s="317" t="n">
        <v>46264</v>
      </c>
      <c r="B43" s="159">
        <f>SUMIFS('METAS EMPRESAS'!$K$15:$K$320,'METAS EMPRESAS'!$A$15:$A$320,"EJ",'METAS EMPRESAS'!$B$15:$B$320,"PREMONTAGEM",'METAS EMPRESAS'!$C$15:$C$320,$A43-WEEKDAY($A43,2)+1)</f>
        <v/>
      </c>
      <c r="C43" s="159">
        <f>SUMIFS('METAS EMPRESAS'!$K$15:$K$320,'METAS EMPRESAS'!$A$15:$A$320,"EJ",'METAS EMPRESAS'!$B$15:$B$320,"IÇAMENTO JOIST",'METAS EMPRESAS'!$C$15:$C$320,$A43-WEEKDAY($A43,2)+1)</f>
        <v/>
      </c>
      <c r="D43" s="159">
        <f>SUMIFS('METAS EMPRESAS'!$K$15:$K$320,'METAS EMPRESAS'!$A$15:$A$320,"EJ",'METAS EMPRESAS'!$B$15:$B$320,"VIGAS",'METAS EMPRESAS'!$C$15:$C$320,$A43-WEEKDAY($A43,2)+1)</f>
        <v/>
      </c>
      <c r="E43" s="159">
        <f>SUMIFS('METAS EMPRESAS'!$K$15:$K$320,'METAS EMPRESAS'!$A$15:$A$320,"CMM",'METAS EMPRESAS'!$B$15:$B$320,"PREMONTAGEM",'METAS EMPRESAS'!$C$15:$C$320,$A43-WEEKDAY($A43,2)+1)</f>
        <v/>
      </c>
      <c r="F43" s="159">
        <f>SUMIFS('METAS EMPRESAS'!$K$15:$K$320,'METAS EMPRESAS'!$A$15:$A$320,"CMM",'METAS EMPRESAS'!$B$15:$B$320,"IÇAMENTO JOIST",'METAS EMPRESAS'!$C$15:$C$320,$A43-WEEKDAY($A43,2)+1)</f>
        <v/>
      </c>
      <c r="G43" s="159">
        <f>SUMIFS('METAS EMPRESAS'!$K$15:$K$320,'METAS EMPRESAS'!$A$15:$A$320,"CMM",'METAS EMPRESAS'!$B$15:$B$320,"VIGAS",'METAS EMPRESAS'!$C$15:$C$320,$A43-WEEKDAY($A43,2)+1)</f>
        <v/>
      </c>
      <c r="H43" s="159">
        <f>SUMIFS('METAS EMPRESAS'!$G$15:$G$320,'METAS EMPRESAS'!$A$15:$A$320,"EJ",'METAS EMPRESAS'!$B$15:$B$320,"PREMONTAGEM",'METAS EMPRESAS'!$C$15:$C$320,$A43-WEEKDAY($A43,2)+1)</f>
        <v/>
      </c>
      <c r="I43" s="159">
        <f>SUMIFS('METAS EMPRESAS'!$G$15:$G$320,'METAS EMPRESAS'!$A$15:$A$320,"EJ",'METAS EMPRESAS'!$B$15:$B$320,"IÇAMENTO JOIST",'METAS EMPRESAS'!$C$15:$C$320,$A43-WEEKDAY($A43,2)+1)</f>
        <v/>
      </c>
      <c r="J43" s="159">
        <f>SUMIFS('METAS EMPRESAS'!$G$15:$G$320,'METAS EMPRESAS'!$A$15:$A$320,"EJ",'METAS EMPRESAS'!$B$15:$B$320,"VIGAS",'METAS EMPRESAS'!$C$15:$C$320,$A43-WEEKDAY($A43,2)+1)</f>
        <v/>
      </c>
      <c r="K43" s="159">
        <f>SUMIFS('METAS EMPRESAS'!$G$15:$G$320,'METAS EMPRESAS'!$A$15:$A$320,"CMM",'METAS EMPRESAS'!$B$15:$B$320,"PREMONTAGEM",'METAS EMPRESAS'!$C$15:$C$320,$A43-WEEKDAY($A43,2)+1)</f>
        <v/>
      </c>
      <c r="L43" s="159">
        <f>SUMIFS('METAS EMPRESAS'!$G$15:$G$320,'METAS EMPRESAS'!$A$15:$A$320,"CMM",'METAS EMPRESAS'!$B$15:$B$320,"IÇAMENTO JOIST",'METAS EMPRESAS'!$C$15:$C$320,$A43-WEEKDAY($A43,2)+1)</f>
        <v/>
      </c>
      <c r="M43" s="159">
        <f>SUMIFS('METAS EMPRESAS'!$G$15:$G$320,'METAS EMPRESAS'!$A$15:$A$320,"CMM",'METAS EMPRESAS'!$B$15:$B$320,"VIGAS",'METAS EMPRESAS'!$C$15:$C$320,$A43-WEEKDAY($A43,2)+1)</f>
        <v/>
      </c>
      <c r="N43" s="159">
        <f>SUMIFS('METAS EMPRESAS'!$J$15:$J$320,'METAS EMPRESAS'!$A$15:$A$320,"EJ",'METAS EMPRESAS'!$B$15:$B$320,"PREMONTAGEM",'METAS EMPRESAS'!$C$15:$C$320,$A43-WEEKDAY($A43,2)+1)</f>
        <v/>
      </c>
      <c r="O43" s="159">
        <f>SUMIFS('METAS EMPRESAS'!$J$15:$J$320,'METAS EMPRESAS'!$A$15:$A$320,"EJ",'METAS EMPRESAS'!$B$15:$B$320,"IÇAMENTO JOIST",'METAS EMPRESAS'!$C$15:$C$320,$A43-WEEKDAY($A43,2)+1)</f>
        <v/>
      </c>
      <c r="P43" s="159">
        <f>SUMIFS('METAS EMPRESAS'!$J$15:$J$320,'METAS EMPRESAS'!$A$15:$A$320,"EJ",'METAS EMPRESAS'!$B$15:$B$320,"VIGAS",'METAS EMPRESAS'!$C$15:$C$320,$A43-WEEKDAY($A43,2)+1)</f>
        <v/>
      </c>
      <c r="Q43" s="159">
        <f>SUMIFS('METAS EMPRESAS'!$J$15:$J$320,'METAS EMPRESAS'!$A$15:$A$320,"CMM",'METAS EMPRESAS'!$B$15:$B$320,"PREMONTAGEM",'METAS EMPRESAS'!$C$15:$C$320,$A43-WEEKDAY($A43,2)+1)</f>
        <v/>
      </c>
      <c r="R43" s="159">
        <f>SUMIFS('METAS EMPRESAS'!$J$15:$J$320,'METAS EMPRESAS'!$A$15:$A$320,"CMM",'METAS EMPRESAS'!$B$15:$B$320,"IÇAMENTO JOIST",'METAS EMPRESAS'!$C$15:$C$320,$A43-WEEKDAY($A43,2)+1)</f>
        <v/>
      </c>
      <c r="S43" s="159">
        <f>SUMIFS('METAS EMPRESAS'!$J$15:$J$320,'METAS EMPRESAS'!$A$15:$A$320,"CMM",'METAS EMPRESAS'!$B$15:$B$320,"VIGAS",'METAS EMPRESAS'!$C$15:$C$320,$A43-WEEKDAY($A43,2)+1)</f>
        <v/>
      </c>
      <c r="T43">
        <f>--(WEEKDAY(A43,2)&lt;=5)</f>
        <v/>
      </c>
      <c r="U43" t="n">
        <v>19</v>
      </c>
      <c r="V43" t="n">
        <v>7</v>
      </c>
      <c r="W43" t="n">
        <v>0</v>
      </c>
      <c r="X43" t="n">
        <v>5</v>
      </c>
      <c r="Y43" t="n">
        <v>5</v>
      </c>
      <c r="Z43" t="n">
        <v>5</v>
      </c>
      <c r="AA43" t="n">
        <v>95</v>
      </c>
      <c r="AB43" t="n">
        <v>35</v>
      </c>
      <c r="AC43" t="n">
        <v>0</v>
      </c>
    </row>
    <row r="44">
      <c r="A44" s="317" t="n">
        <v>46265</v>
      </c>
      <c r="B44" s="159">
        <f>SUMIFS('METAS EMPRESAS'!$K$15:$K$320,'METAS EMPRESAS'!$A$15:$A$320,"EJ",'METAS EMPRESAS'!$B$15:$B$320,"PREMONTAGEM",'METAS EMPRESAS'!$C$15:$C$320,$A44-WEEKDAY($A44,2)+1)</f>
        <v/>
      </c>
      <c r="C44" s="159">
        <f>SUMIFS('METAS EMPRESAS'!$K$15:$K$320,'METAS EMPRESAS'!$A$15:$A$320,"EJ",'METAS EMPRESAS'!$B$15:$B$320,"IÇAMENTO JOIST",'METAS EMPRESAS'!$C$15:$C$320,$A44-WEEKDAY($A44,2)+1)</f>
        <v/>
      </c>
      <c r="D44" s="159">
        <f>SUMIFS('METAS EMPRESAS'!$K$15:$K$320,'METAS EMPRESAS'!$A$15:$A$320,"EJ",'METAS EMPRESAS'!$B$15:$B$320,"VIGAS",'METAS EMPRESAS'!$C$15:$C$320,$A44-WEEKDAY($A44,2)+1)</f>
        <v/>
      </c>
      <c r="E44" s="159">
        <f>SUMIFS('METAS EMPRESAS'!$K$15:$K$320,'METAS EMPRESAS'!$A$15:$A$320,"CMM",'METAS EMPRESAS'!$B$15:$B$320,"PREMONTAGEM",'METAS EMPRESAS'!$C$15:$C$320,$A44-WEEKDAY($A44,2)+1)</f>
        <v/>
      </c>
      <c r="F44" s="159">
        <f>SUMIFS('METAS EMPRESAS'!$K$15:$K$320,'METAS EMPRESAS'!$A$15:$A$320,"CMM",'METAS EMPRESAS'!$B$15:$B$320,"IÇAMENTO JOIST",'METAS EMPRESAS'!$C$15:$C$320,$A44-WEEKDAY($A44,2)+1)</f>
        <v/>
      </c>
      <c r="G44" s="159">
        <f>SUMIFS('METAS EMPRESAS'!$K$15:$K$320,'METAS EMPRESAS'!$A$15:$A$320,"CMM",'METAS EMPRESAS'!$B$15:$B$320,"VIGAS",'METAS EMPRESAS'!$C$15:$C$320,$A44-WEEKDAY($A44,2)+1)</f>
        <v/>
      </c>
      <c r="H44" s="159">
        <f>SUMIFS('METAS EMPRESAS'!$G$15:$G$320,'METAS EMPRESAS'!$A$15:$A$320,"EJ",'METAS EMPRESAS'!$B$15:$B$320,"PREMONTAGEM",'METAS EMPRESAS'!$C$15:$C$320,$A44-WEEKDAY($A44,2)+1)</f>
        <v/>
      </c>
      <c r="I44" s="159">
        <f>SUMIFS('METAS EMPRESAS'!$G$15:$G$320,'METAS EMPRESAS'!$A$15:$A$320,"EJ",'METAS EMPRESAS'!$B$15:$B$320,"IÇAMENTO JOIST",'METAS EMPRESAS'!$C$15:$C$320,$A44-WEEKDAY($A44,2)+1)</f>
        <v/>
      </c>
      <c r="J44" s="159">
        <f>SUMIFS('METAS EMPRESAS'!$G$15:$G$320,'METAS EMPRESAS'!$A$15:$A$320,"EJ",'METAS EMPRESAS'!$B$15:$B$320,"VIGAS",'METAS EMPRESAS'!$C$15:$C$320,$A44-WEEKDAY($A44,2)+1)</f>
        <v/>
      </c>
      <c r="K44" s="159">
        <f>SUMIFS('METAS EMPRESAS'!$G$15:$G$320,'METAS EMPRESAS'!$A$15:$A$320,"CMM",'METAS EMPRESAS'!$B$15:$B$320,"PREMONTAGEM",'METAS EMPRESAS'!$C$15:$C$320,$A44-WEEKDAY($A44,2)+1)</f>
        <v/>
      </c>
      <c r="L44" s="159">
        <f>SUMIFS('METAS EMPRESAS'!$G$15:$G$320,'METAS EMPRESAS'!$A$15:$A$320,"CMM",'METAS EMPRESAS'!$B$15:$B$320,"IÇAMENTO JOIST",'METAS EMPRESAS'!$C$15:$C$320,$A44-WEEKDAY($A44,2)+1)</f>
        <v/>
      </c>
      <c r="M44" s="159">
        <f>SUMIFS('METAS EMPRESAS'!$G$15:$G$320,'METAS EMPRESAS'!$A$15:$A$320,"CMM",'METAS EMPRESAS'!$B$15:$B$320,"VIGAS",'METAS EMPRESAS'!$C$15:$C$320,$A44-WEEKDAY($A44,2)+1)</f>
        <v/>
      </c>
      <c r="N44" s="159">
        <f>SUMIFS('METAS EMPRESAS'!$J$15:$J$320,'METAS EMPRESAS'!$A$15:$A$320,"EJ",'METAS EMPRESAS'!$B$15:$B$320,"PREMONTAGEM",'METAS EMPRESAS'!$C$15:$C$320,$A44-WEEKDAY($A44,2)+1)</f>
        <v/>
      </c>
      <c r="O44" s="159">
        <f>SUMIFS('METAS EMPRESAS'!$J$15:$J$320,'METAS EMPRESAS'!$A$15:$A$320,"EJ",'METAS EMPRESAS'!$B$15:$B$320,"IÇAMENTO JOIST",'METAS EMPRESAS'!$C$15:$C$320,$A44-WEEKDAY($A44,2)+1)</f>
        <v/>
      </c>
      <c r="P44" s="159">
        <f>SUMIFS('METAS EMPRESAS'!$J$15:$J$320,'METAS EMPRESAS'!$A$15:$A$320,"EJ",'METAS EMPRESAS'!$B$15:$B$320,"VIGAS",'METAS EMPRESAS'!$C$15:$C$320,$A44-WEEKDAY($A44,2)+1)</f>
        <v/>
      </c>
      <c r="Q44" s="159">
        <f>SUMIFS('METAS EMPRESAS'!$J$15:$J$320,'METAS EMPRESAS'!$A$15:$A$320,"CMM",'METAS EMPRESAS'!$B$15:$B$320,"PREMONTAGEM",'METAS EMPRESAS'!$C$15:$C$320,$A44-WEEKDAY($A44,2)+1)</f>
        <v/>
      </c>
      <c r="R44" s="159">
        <f>SUMIFS('METAS EMPRESAS'!$J$15:$J$320,'METAS EMPRESAS'!$A$15:$A$320,"CMM",'METAS EMPRESAS'!$B$15:$B$320,"IÇAMENTO JOIST",'METAS EMPRESAS'!$C$15:$C$320,$A44-WEEKDAY($A44,2)+1)</f>
        <v/>
      </c>
      <c r="S44" s="159">
        <f>SUMIFS('METAS EMPRESAS'!$J$15:$J$320,'METAS EMPRESAS'!$A$15:$A$320,"CMM",'METAS EMPRESAS'!$B$15:$B$320,"VIGAS",'METAS EMPRESAS'!$C$15:$C$320,$A44-WEEKDAY($A44,2)+1)</f>
        <v/>
      </c>
      <c r="T44">
        <f>--(WEEKDAY(A44,2)&lt;=5)</f>
        <v/>
      </c>
      <c r="U44" t="n">
        <v>19</v>
      </c>
      <c r="V44" t="n">
        <v>7</v>
      </c>
      <c r="W44" t="n">
        <v>0</v>
      </c>
      <c r="X44" t="n">
        <v>5</v>
      </c>
      <c r="Y44" t="n">
        <v>5</v>
      </c>
      <c r="Z44" t="n">
        <v>5</v>
      </c>
      <c r="AA44" t="n">
        <v>95</v>
      </c>
      <c r="AB44" t="n">
        <v>35</v>
      </c>
      <c r="AC44" t="n">
        <v>0</v>
      </c>
    </row>
    <row r="45">
      <c r="A45" s="317" t="n">
        <v>46266</v>
      </c>
      <c r="B45" s="159">
        <f>SUMIFS('METAS EMPRESAS'!$K$15:$K$320,'METAS EMPRESAS'!$A$15:$A$320,"EJ",'METAS EMPRESAS'!$B$15:$B$320,"PREMONTAGEM",'METAS EMPRESAS'!$C$15:$C$320,$A45-WEEKDAY($A45,2)+1)</f>
        <v/>
      </c>
      <c r="C45" s="159">
        <f>SUMIFS('METAS EMPRESAS'!$K$15:$K$320,'METAS EMPRESAS'!$A$15:$A$320,"EJ",'METAS EMPRESAS'!$B$15:$B$320,"IÇAMENTO JOIST",'METAS EMPRESAS'!$C$15:$C$320,$A45-WEEKDAY($A45,2)+1)</f>
        <v/>
      </c>
      <c r="D45" s="159">
        <f>SUMIFS('METAS EMPRESAS'!$K$15:$K$320,'METAS EMPRESAS'!$A$15:$A$320,"EJ",'METAS EMPRESAS'!$B$15:$B$320,"VIGAS",'METAS EMPRESAS'!$C$15:$C$320,$A45-WEEKDAY($A45,2)+1)</f>
        <v/>
      </c>
      <c r="E45" s="159">
        <f>SUMIFS('METAS EMPRESAS'!$K$15:$K$320,'METAS EMPRESAS'!$A$15:$A$320,"CMM",'METAS EMPRESAS'!$B$15:$B$320,"PREMONTAGEM",'METAS EMPRESAS'!$C$15:$C$320,$A45-WEEKDAY($A45,2)+1)</f>
        <v/>
      </c>
      <c r="F45" s="159">
        <f>SUMIFS('METAS EMPRESAS'!$K$15:$K$320,'METAS EMPRESAS'!$A$15:$A$320,"CMM",'METAS EMPRESAS'!$B$15:$B$320,"IÇAMENTO JOIST",'METAS EMPRESAS'!$C$15:$C$320,$A45-WEEKDAY($A45,2)+1)</f>
        <v/>
      </c>
      <c r="G45" s="159">
        <f>SUMIFS('METAS EMPRESAS'!$K$15:$K$320,'METAS EMPRESAS'!$A$15:$A$320,"CMM",'METAS EMPRESAS'!$B$15:$B$320,"VIGAS",'METAS EMPRESAS'!$C$15:$C$320,$A45-WEEKDAY($A45,2)+1)</f>
        <v/>
      </c>
      <c r="H45" s="159">
        <f>SUMIFS('METAS EMPRESAS'!$G$15:$G$320,'METAS EMPRESAS'!$A$15:$A$320,"EJ",'METAS EMPRESAS'!$B$15:$B$320,"PREMONTAGEM",'METAS EMPRESAS'!$C$15:$C$320,$A45-WEEKDAY($A45,2)+1)</f>
        <v/>
      </c>
      <c r="I45" s="159">
        <f>SUMIFS('METAS EMPRESAS'!$G$15:$G$320,'METAS EMPRESAS'!$A$15:$A$320,"EJ",'METAS EMPRESAS'!$B$15:$B$320,"IÇAMENTO JOIST",'METAS EMPRESAS'!$C$15:$C$320,$A45-WEEKDAY($A45,2)+1)</f>
        <v/>
      </c>
      <c r="J45" s="159">
        <f>SUMIFS('METAS EMPRESAS'!$G$15:$G$320,'METAS EMPRESAS'!$A$15:$A$320,"EJ",'METAS EMPRESAS'!$B$15:$B$320,"VIGAS",'METAS EMPRESAS'!$C$15:$C$320,$A45-WEEKDAY($A45,2)+1)</f>
        <v/>
      </c>
      <c r="K45" s="159">
        <f>SUMIFS('METAS EMPRESAS'!$G$15:$G$320,'METAS EMPRESAS'!$A$15:$A$320,"CMM",'METAS EMPRESAS'!$B$15:$B$320,"PREMONTAGEM",'METAS EMPRESAS'!$C$15:$C$320,$A45-WEEKDAY($A45,2)+1)</f>
        <v/>
      </c>
      <c r="L45" s="159">
        <f>SUMIFS('METAS EMPRESAS'!$G$15:$G$320,'METAS EMPRESAS'!$A$15:$A$320,"CMM",'METAS EMPRESAS'!$B$15:$B$320,"IÇAMENTO JOIST",'METAS EMPRESAS'!$C$15:$C$320,$A45-WEEKDAY($A45,2)+1)</f>
        <v/>
      </c>
      <c r="M45" s="159">
        <f>SUMIFS('METAS EMPRESAS'!$G$15:$G$320,'METAS EMPRESAS'!$A$15:$A$320,"CMM",'METAS EMPRESAS'!$B$15:$B$320,"VIGAS",'METAS EMPRESAS'!$C$15:$C$320,$A45-WEEKDAY($A45,2)+1)</f>
        <v/>
      </c>
      <c r="N45" s="159">
        <f>SUMIFS('METAS EMPRESAS'!$J$15:$J$320,'METAS EMPRESAS'!$A$15:$A$320,"EJ",'METAS EMPRESAS'!$B$15:$B$320,"PREMONTAGEM",'METAS EMPRESAS'!$C$15:$C$320,$A45-WEEKDAY($A45,2)+1)</f>
        <v/>
      </c>
      <c r="O45" s="159">
        <f>SUMIFS('METAS EMPRESAS'!$J$15:$J$320,'METAS EMPRESAS'!$A$15:$A$320,"EJ",'METAS EMPRESAS'!$B$15:$B$320,"IÇAMENTO JOIST",'METAS EMPRESAS'!$C$15:$C$320,$A45-WEEKDAY($A45,2)+1)</f>
        <v/>
      </c>
      <c r="P45" s="159">
        <f>SUMIFS('METAS EMPRESAS'!$J$15:$J$320,'METAS EMPRESAS'!$A$15:$A$320,"EJ",'METAS EMPRESAS'!$B$15:$B$320,"VIGAS",'METAS EMPRESAS'!$C$15:$C$320,$A45-WEEKDAY($A45,2)+1)</f>
        <v/>
      </c>
      <c r="Q45" s="159">
        <f>SUMIFS('METAS EMPRESAS'!$J$15:$J$320,'METAS EMPRESAS'!$A$15:$A$320,"CMM",'METAS EMPRESAS'!$B$15:$B$320,"PREMONTAGEM",'METAS EMPRESAS'!$C$15:$C$320,$A45-WEEKDAY($A45,2)+1)</f>
        <v/>
      </c>
      <c r="R45" s="159">
        <f>SUMIFS('METAS EMPRESAS'!$J$15:$J$320,'METAS EMPRESAS'!$A$15:$A$320,"CMM",'METAS EMPRESAS'!$B$15:$B$320,"IÇAMENTO JOIST",'METAS EMPRESAS'!$C$15:$C$320,$A45-WEEKDAY($A45,2)+1)</f>
        <v/>
      </c>
      <c r="S45" s="159">
        <f>SUMIFS('METAS EMPRESAS'!$J$15:$J$320,'METAS EMPRESAS'!$A$15:$A$320,"CMM",'METAS EMPRESAS'!$B$15:$B$320,"VIGAS",'METAS EMPRESAS'!$C$15:$C$320,$A45-WEEKDAY($A45,2)+1)</f>
        <v/>
      </c>
      <c r="T45">
        <f>--(WEEKDAY(A45,2)&lt;=5)</f>
        <v/>
      </c>
      <c r="U45" t="n">
        <v>19</v>
      </c>
      <c r="V45" t="n">
        <v>7</v>
      </c>
      <c r="W45" t="n">
        <v>0</v>
      </c>
      <c r="X45" t="n">
        <v>5</v>
      </c>
      <c r="Y45" t="n">
        <v>5</v>
      </c>
      <c r="Z45" t="n">
        <v>5</v>
      </c>
      <c r="AA45" t="n">
        <v>95</v>
      </c>
      <c r="AB45" t="n">
        <v>35</v>
      </c>
      <c r="AC45" t="n">
        <v>0</v>
      </c>
    </row>
    <row r="46">
      <c r="A46" s="317" t="n">
        <v>46267</v>
      </c>
      <c r="B46" s="159">
        <f>SUMIFS('METAS EMPRESAS'!$K$15:$K$320,'METAS EMPRESAS'!$A$15:$A$320,"EJ",'METAS EMPRESAS'!$B$15:$B$320,"PREMONTAGEM",'METAS EMPRESAS'!$C$15:$C$320,$A46-WEEKDAY($A46,2)+1)</f>
        <v/>
      </c>
      <c r="C46" s="159">
        <f>SUMIFS('METAS EMPRESAS'!$K$15:$K$320,'METAS EMPRESAS'!$A$15:$A$320,"EJ",'METAS EMPRESAS'!$B$15:$B$320,"IÇAMENTO JOIST",'METAS EMPRESAS'!$C$15:$C$320,$A46-WEEKDAY($A46,2)+1)</f>
        <v/>
      </c>
      <c r="D46" s="159">
        <f>SUMIFS('METAS EMPRESAS'!$K$15:$K$320,'METAS EMPRESAS'!$A$15:$A$320,"EJ",'METAS EMPRESAS'!$B$15:$B$320,"VIGAS",'METAS EMPRESAS'!$C$15:$C$320,$A46-WEEKDAY($A46,2)+1)</f>
        <v/>
      </c>
      <c r="E46" s="159">
        <f>SUMIFS('METAS EMPRESAS'!$K$15:$K$320,'METAS EMPRESAS'!$A$15:$A$320,"CMM",'METAS EMPRESAS'!$B$15:$B$320,"PREMONTAGEM",'METAS EMPRESAS'!$C$15:$C$320,$A46-WEEKDAY($A46,2)+1)</f>
        <v/>
      </c>
      <c r="F46" s="159">
        <f>SUMIFS('METAS EMPRESAS'!$K$15:$K$320,'METAS EMPRESAS'!$A$15:$A$320,"CMM",'METAS EMPRESAS'!$B$15:$B$320,"IÇAMENTO JOIST",'METAS EMPRESAS'!$C$15:$C$320,$A46-WEEKDAY($A46,2)+1)</f>
        <v/>
      </c>
      <c r="G46" s="159">
        <f>SUMIFS('METAS EMPRESAS'!$K$15:$K$320,'METAS EMPRESAS'!$A$15:$A$320,"CMM",'METAS EMPRESAS'!$B$15:$B$320,"VIGAS",'METAS EMPRESAS'!$C$15:$C$320,$A46-WEEKDAY($A46,2)+1)</f>
        <v/>
      </c>
      <c r="H46" s="159">
        <f>SUMIFS('METAS EMPRESAS'!$G$15:$G$320,'METAS EMPRESAS'!$A$15:$A$320,"EJ",'METAS EMPRESAS'!$B$15:$B$320,"PREMONTAGEM",'METAS EMPRESAS'!$C$15:$C$320,$A46-WEEKDAY($A46,2)+1)</f>
        <v/>
      </c>
      <c r="I46" s="159">
        <f>SUMIFS('METAS EMPRESAS'!$G$15:$G$320,'METAS EMPRESAS'!$A$15:$A$320,"EJ",'METAS EMPRESAS'!$B$15:$B$320,"IÇAMENTO JOIST",'METAS EMPRESAS'!$C$15:$C$320,$A46-WEEKDAY($A46,2)+1)</f>
        <v/>
      </c>
      <c r="J46" s="159">
        <f>SUMIFS('METAS EMPRESAS'!$G$15:$G$320,'METAS EMPRESAS'!$A$15:$A$320,"EJ",'METAS EMPRESAS'!$B$15:$B$320,"VIGAS",'METAS EMPRESAS'!$C$15:$C$320,$A46-WEEKDAY($A46,2)+1)</f>
        <v/>
      </c>
      <c r="K46" s="159">
        <f>SUMIFS('METAS EMPRESAS'!$G$15:$G$320,'METAS EMPRESAS'!$A$15:$A$320,"CMM",'METAS EMPRESAS'!$B$15:$B$320,"PREMONTAGEM",'METAS EMPRESAS'!$C$15:$C$320,$A46-WEEKDAY($A46,2)+1)</f>
        <v/>
      </c>
      <c r="L46" s="159">
        <f>SUMIFS('METAS EMPRESAS'!$G$15:$G$320,'METAS EMPRESAS'!$A$15:$A$320,"CMM",'METAS EMPRESAS'!$B$15:$B$320,"IÇAMENTO JOIST",'METAS EMPRESAS'!$C$15:$C$320,$A46-WEEKDAY($A46,2)+1)</f>
        <v/>
      </c>
      <c r="M46" s="159">
        <f>SUMIFS('METAS EMPRESAS'!$G$15:$G$320,'METAS EMPRESAS'!$A$15:$A$320,"CMM",'METAS EMPRESAS'!$B$15:$B$320,"VIGAS",'METAS EMPRESAS'!$C$15:$C$320,$A46-WEEKDAY($A46,2)+1)</f>
        <v/>
      </c>
      <c r="N46" s="159">
        <f>SUMIFS('METAS EMPRESAS'!$J$15:$J$320,'METAS EMPRESAS'!$A$15:$A$320,"EJ",'METAS EMPRESAS'!$B$15:$B$320,"PREMONTAGEM",'METAS EMPRESAS'!$C$15:$C$320,$A46-WEEKDAY($A46,2)+1)</f>
        <v/>
      </c>
      <c r="O46" s="159">
        <f>SUMIFS('METAS EMPRESAS'!$J$15:$J$320,'METAS EMPRESAS'!$A$15:$A$320,"EJ",'METAS EMPRESAS'!$B$15:$B$320,"IÇAMENTO JOIST",'METAS EMPRESAS'!$C$15:$C$320,$A46-WEEKDAY($A46,2)+1)</f>
        <v/>
      </c>
      <c r="P46" s="159">
        <f>SUMIFS('METAS EMPRESAS'!$J$15:$J$320,'METAS EMPRESAS'!$A$15:$A$320,"EJ",'METAS EMPRESAS'!$B$15:$B$320,"VIGAS",'METAS EMPRESAS'!$C$15:$C$320,$A46-WEEKDAY($A46,2)+1)</f>
        <v/>
      </c>
      <c r="Q46" s="159">
        <f>SUMIFS('METAS EMPRESAS'!$J$15:$J$320,'METAS EMPRESAS'!$A$15:$A$320,"CMM",'METAS EMPRESAS'!$B$15:$B$320,"PREMONTAGEM",'METAS EMPRESAS'!$C$15:$C$320,$A46-WEEKDAY($A46,2)+1)</f>
        <v/>
      </c>
      <c r="R46" s="159">
        <f>SUMIFS('METAS EMPRESAS'!$J$15:$J$320,'METAS EMPRESAS'!$A$15:$A$320,"CMM",'METAS EMPRESAS'!$B$15:$B$320,"IÇAMENTO JOIST",'METAS EMPRESAS'!$C$15:$C$320,$A46-WEEKDAY($A46,2)+1)</f>
        <v/>
      </c>
      <c r="S46" s="159">
        <f>SUMIFS('METAS EMPRESAS'!$J$15:$J$320,'METAS EMPRESAS'!$A$15:$A$320,"CMM",'METAS EMPRESAS'!$B$15:$B$320,"VIGAS",'METAS EMPRESAS'!$C$15:$C$320,$A46-WEEKDAY($A46,2)+1)</f>
        <v/>
      </c>
      <c r="T46">
        <f>--(WEEKDAY(A46,2)&lt;=5)</f>
        <v/>
      </c>
      <c r="U46" t="n">
        <v>19</v>
      </c>
      <c r="V46" t="n">
        <v>7</v>
      </c>
      <c r="W46" t="n">
        <v>0</v>
      </c>
      <c r="X46" t="n">
        <v>5</v>
      </c>
      <c r="Y46" t="n">
        <v>5</v>
      </c>
      <c r="Z46" t="n">
        <v>5</v>
      </c>
      <c r="AA46" t="n">
        <v>95</v>
      </c>
      <c r="AB46" t="n">
        <v>35</v>
      </c>
      <c r="AC46" t="n">
        <v>0</v>
      </c>
    </row>
    <row r="47">
      <c r="A47" s="317" t="n">
        <v>46268</v>
      </c>
      <c r="B47" s="159">
        <f>SUMIFS('METAS EMPRESAS'!$K$15:$K$320,'METAS EMPRESAS'!$A$15:$A$320,"EJ",'METAS EMPRESAS'!$B$15:$B$320,"PREMONTAGEM",'METAS EMPRESAS'!$C$15:$C$320,$A47-WEEKDAY($A47,2)+1)</f>
        <v/>
      </c>
      <c r="C47" s="159">
        <f>SUMIFS('METAS EMPRESAS'!$K$15:$K$320,'METAS EMPRESAS'!$A$15:$A$320,"EJ",'METAS EMPRESAS'!$B$15:$B$320,"IÇAMENTO JOIST",'METAS EMPRESAS'!$C$15:$C$320,$A47-WEEKDAY($A47,2)+1)</f>
        <v/>
      </c>
      <c r="D47" s="159">
        <f>SUMIFS('METAS EMPRESAS'!$K$15:$K$320,'METAS EMPRESAS'!$A$15:$A$320,"EJ",'METAS EMPRESAS'!$B$15:$B$320,"VIGAS",'METAS EMPRESAS'!$C$15:$C$320,$A47-WEEKDAY($A47,2)+1)</f>
        <v/>
      </c>
      <c r="E47" s="159">
        <f>SUMIFS('METAS EMPRESAS'!$K$15:$K$320,'METAS EMPRESAS'!$A$15:$A$320,"CMM",'METAS EMPRESAS'!$B$15:$B$320,"PREMONTAGEM",'METAS EMPRESAS'!$C$15:$C$320,$A47-WEEKDAY($A47,2)+1)</f>
        <v/>
      </c>
      <c r="F47" s="159">
        <f>SUMIFS('METAS EMPRESAS'!$K$15:$K$320,'METAS EMPRESAS'!$A$15:$A$320,"CMM",'METAS EMPRESAS'!$B$15:$B$320,"IÇAMENTO JOIST",'METAS EMPRESAS'!$C$15:$C$320,$A47-WEEKDAY($A47,2)+1)</f>
        <v/>
      </c>
      <c r="G47" s="159">
        <f>SUMIFS('METAS EMPRESAS'!$K$15:$K$320,'METAS EMPRESAS'!$A$15:$A$320,"CMM",'METAS EMPRESAS'!$B$15:$B$320,"VIGAS",'METAS EMPRESAS'!$C$15:$C$320,$A47-WEEKDAY($A47,2)+1)</f>
        <v/>
      </c>
      <c r="H47" s="159">
        <f>SUMIFS('METAS EMPRESAS'!$G$15:$G$320,'METAS EMPRESAS'!$A$15:$A$320,"EJ",'METAS EMPRESAS'!$B$15:$B$320,"PREMONTAGEM",'METAS EMPRESAS'!$C$15:$C$320,$A47-WEEKDAY($A47,2)+1)</f>
        <v/>
      </c>
      <c r="I47" s="159">
        <f>SUMIFS('METAS EMPRESAS'!$G$15:$G$320,'METAS EMPRESAS'!$A$15:$A$320,"EJ",'METAS EMPRESAS'!$B$15:$B$320,"IÇAMENTO JOIST",'METAS EMPRESAS'!$C$15:$C$320,$A47-WEEKDAY($A47,2)+1)</f>
        <v/>
      </c>
      <c r="J47" s="159">
        <f>SUMIFS('METAS EMPRESAS'!$G$15:$G$320,'METAS EMPRESAS'!$A$15:$A$320,"EJ",'METAS EMPRESAS'!$B$15:$B$320,"VIGAS",'METAS EMPRESAS'!$C$15:$C$320,$A47-WEEKDAY($A47,2)+1)</f>
        <v/>
      </c>
      <c r="K47" s="159">
        <f>SUMIFS('METAS EMPRESAS'!$G$15:$G$320,'METAS EMPRESAS'!$A$15:$A$320,"CMM",'METAS EMPRESAS'!$B$15:$B$320,"PREMONTAGEM",'METAS EMPRESAS'!$C$15:$C$320,$A47-WEEKDAY($A47,2)+1)</f>
        <v/>
      </c>
      <c r="L47" s="159">
        <f>SUMIFS('METAS EMPRESAS'!$G$15:$G$320,'METAS EMPRESAS'!$A$15:$A$320,"CMM",'METAS EMPRESAS'!$B$15:$B$320,"IÇAMENTO JOIST",'METAS EMPRESAS'!$C$15:$C$320,$A47-WEEKDAY($A47,2)+1)</f>
        <v/>
      </c>
      <c r="M47" s="159">
        <f>SUMIFS('METAS EMPRESAS'!$G$15:$G$320,'METAS EMPRESAS'!$A$15:$A$320,"CMM",'METAS EMPRESAS'!$B$15:$B$320,"VIGAS",'METAS EMPRESAS'!$C$15:$C$320,$A47-WEEKDAY($A47,2)+1)</f>
        <v/>
      </c>
      <c r="N47" s="159">
        <f>SUMIFS('METAS EMPRESAS'!$J$15:$J$320,'METAS EMPRESAS'!$A$15:$A$320,"EJ",'METAS EMPRESAS'!$B$15:$B$320,"PREMONTAGEM",'METAS EMPRESAS'!$C$15:$C$320,$A47-WEEKDAY($A47,2)+1)</f>
        <v/>
      </c>
      <c r="O47" s="159">
        <f>SUMIFS('METAS EMPRESAS'!$J$15:$J$320,'METAS EMPRESAS'!$A$15:$A$320,"EJ",'METAS EMPRESAS'!$B$15:$B$320,"IÇAMENTO JOIST",'METAS EMPRESAS'!$C$15:$C$320,$A47-WEEKDAY($A47,2)+1)</f>
        <v/>
      </c>
      <c r="P47" s="159">
        <f>SUMIFS('METAS EMPRESAS'!$J$15:$J$320,'METAS EMPRESAS'!$A$15:$A$320,"EJ",'METAS EMPRESAS'!$B$15:$B$320,"VIGAS",'METAS EMPRESAS'!$C$15:$C$320,$A47-WEEKDAY($A47,2)+1)</f>
        <v/>
      </c>
      <c r="Q47" s="159">
        <f>SUMIFS('METAS EMPRESAS'!$J$15:$J$320,'METAS EMPRESAS'!$A$15:$A$320,"CMM",'METAS EMPRESAS'!$B$15:$B$320,"PREMONTAGEM",'METAS EMPRESAS'!$C$15:$C$320,$A47-WEEKDAY($A47,2)+1)</f>
        <v/>
      </c>
      <c r="R47" s="159">
        <f>SUMIFS('METAS EMPRESAS'!$J$15:$J$320,'METAS EMPRESAS'!$A$15:$A$320,"CMM",'METAS EMPRESAS'!$B$15:$B$320,"IÇAMENTO JOIST",'METAS EMPRESAS'!$C$15:$C$320,$A47-WEEKDAY($A47,2)+1)</f>
        <v/>
      </c>
      <c r="S47" s="159">
        <f>SUMIFS('METAS EMPRESAS'!$J$15:$J$320,'METAS EMPRESAS'!$A$15:$A$320,"CMM",'METAS EMPRESAS'!$B$15:$B$320,"VIGAS",'METAS EMPRESAS'!$C$15:$C$320,$A47-WEEKDAY($A47,2)+1)</f>
        <v/>
      </c>
      <c r="T47">
        <f>--(WEEKDAY(A47,2)&lt;=5)</f>
        <v/>
      </c>
      <c r="U47" t="n">
        <v>19</v>
      </c>
      <c r="V47" t="n">
        <v>7</v>
      </c>
      <c r="W47" t="n">
        <v>0</v>
      </c>
      <c r="X47" t="n">
        <v>5</v>
      </c>
      <c r="Y47" t="n">
        <v>5</v>
      </c>
      <c r="Z47" t="n">
        <v>5</v>
      </c>
      <c r="AA47" t="n">
        <v>95</v>
      </c>
      <c r="AB47" t="n">
        <v>35</v>
      </c>
      <c r="AC47" t="n">
        <v>0</v>
      </c>
    </row>
    <row r="48">
      <c r="A48" s="317" t="n">
        <v>46269</v>
      </c>
      <c r="B48" s="159">
        <f>SUMIFS('METAS EMPRESAS'!$K$15:$K$320,'METAS EMPRESAS'!$A$15:$A$320,"EJ",'METAS EMPRESAS'!$B$15:$B$320,"PREMONTAGEM",'METAS EMPRESAS'!$C$15:$C$320,$A48-WEEKDAY($A48,2)+1)</f>
        <v/>
      </c>
      <c r="C48" s="159">
        <f>SUMIFS('METAS EMPRESAS'!$K$15:$K$320,'METAS EMPRESAS'!$A$15:$A$320,"EJ",'METAS EMPRESAS'!$B$15:$B$320,"IÇAMENTO JOIST",'METAS EMPRESAS'!$C$15:$C$320,$A48-WEEKDAY($A48,2)+1)</f>
        <v/>
      </c>
      <c r="D48" s="159">
        <f>SUMIFS('METAS EMPRESAS'!$K$15:$K$320,'METAS EMPRESAS'!$A$15:$A$320,"EJ",'METAS EMPRESAS'!$B$15:$B$320,"VIGAS",'METAS EMPRESAS'!$C$15:$C$320,$A48-WEEKDAY($A48,2)+1)</f>
        <v/>
      </c>
      <c r="E48" s="159">
        <f>SUMIFS('METAS EMPRESAS'!$K$15:$K$320,'METAS EMPRESAS'!$A$15:$A$320,"CMM",'METAS EMPRESAS'!$B$15:$B$320,"PREMONTAGEM",'METAS EMPRESAS'!$C$15:$C$320,$A48-WEEKDAY($A48,2)+1)</f>
        <v/>
      </c>
      <c r="F48" s="159">
        <f>SUMIFS('METAS EMPRESAS'!$K$15:$K$320,'METAS EMPRESAS'!$A$15:$A$320,"CMM",'METAS EMPRESAS'!$B$15:$B$320,"IÇAMENTO JOIST",'METAS EMPRESAS'!$C$15:$C$320,$A48-WEEKDAY($A48,2)+1)</f>
        <v/>
      </c>
      <c r="G48" s="159">
        <f>SUMIFS('METAS EMPRESAS'!$K$15:$K$320,'METAS EMPRESAS'!$A$15:$A$320,"CMM",'METAS EMPRESAS'!$B$15:$B$320,"VIGAS",'METAS EMPRESAS'!$C$15:$C$320,$A48-WEEKDAY($A48,2)+1)</f>
        <v/>
      </c>
      <c r="H48" s="159">
        <f>SUMIFS('METAS EMPRESAS'!$G$15:$G$320,'METAS EMPRESAS'!$A$15:$A$320,"EJ",'METAS EMPRESAS'!$B$15:$B$320,"PREMONTAGEM",'METAS EMPRESAS'!$C$15:$C$320,$A48-WEEKDAY($A48,2)+1)</f>
        <v/>
      </c>
      <c r="I48" s="159">
        <f>SUMIFS('METAS EMPRESAS'!$G$15:$G$320,'METAS EMPRESAS'!$A$15:$A$320,"EJ",'METAS EMPRESAS'!$B$15:$B$320,"IÇAMENTO JOIST",'METAS EMPRESAS'!$C$15:$C$320,$A48-WEEKDAY($A48,2)+1)</f>
        <v/>
      </c>
      <c r="J48" s="159">
        <f>SUMIFS('METAS EMPRESAS'!$G$15:$G$320,'METAS EMPRESAS'!$A$15:$A$320,"EJ",'METAS EMPRESAS'!$B$15:$B$320,"VIGAS",'METAS EMPRESAS'!$C$15:$C$320,$A48-WEEKDAY($A48,2)+1)</f>
        <v/>
      </c>
      <c r="K48" s="159">
        <f>SUMIFS('METAS EMPRESAS'!$G$15:$G$320,'METAS EMPRESAS'!$A$15:$A$320,"CMM",'METAS EMPRESAS'!$B$15:$B$320,"PREMONTAGEM",'METAS EMPRESAS'!$C$15:$C$320,$A48-WEEKDAY($A48,2)+1)</f>
        <v/>
      </c>
      <c r="L48" s="159">
        <f>SUMIFS('METAS EMPRESAS'!$G$15:$G$320,'METAS EMPRESAS'!$A$15:$A$320,"CMM",'METAS EMPRESAS'!$B$15:$B$320,"IÇAMENTO JOIST",'METAS EMPRESAS'!$C$15:$C$320,$A48-WEEKDAY($A48,2)+1)</f>
        <v/>
      </c>
      <c r="M48" s="159">
        <f>SUMIFS('METAS EMPRESAS'!$G$15:$G$320,'METAS EMPRESAS'!$A$15:$A$320,"CMM",'METAS EMPRESAS'!$B$15:$B$320,"VIGAS",'METAS EMPRESAS'!$C$15:$C$320,$A48-WEEKDAY($A48,2)+1)</f>
        <v/>
      </c>
      <c r="N48" s="159">
        <f>SUMIFS('METAS EMPRESAS'!$J$15:$J$320,'METAS EMPRESAS'!$A$15:$A$320,"EJ",'METAS EMPRESAS'!$B$15:$B$320,"PREMONTAGEM",'METAS EMPRESAS'!$C$15:$C$320,$A48-WEEKDAY($A48,2)+1)</f>
        <v/>
      </c>
      <c r="O48" s="159">
        <f>SUMIFS('METAS EMPRESAS'!$J$15:$J$320,'METAS EMPRESAS'!$A$15:$A$320,"EJ",'METAS EMPRESAS'!$B$15:$B$320,"IÇAMENTO JOIST",'METAS EMPRESAS'!$C$15:$C$320,$A48-WEEKDAY($A48,2)+1)</f>
        <v/>
      </c>
      <c r="P48" s="159">
        <f>SUMIFS('METAS EMPRESAS'!$J$15:$J$320,'METAS EMPRESAS'!$A$15:$A$320,"EJ",'METAS EMPRESAS'!$B$15:$B$320,"VIGAS",'METAS EMPRESAS'!$C$15:$C$320,$A48-WEEKDAY($A48,2)+1)</f>
        <v/>
      </c>
      <c r="Q48" s="159">
        <f>SUMIFS('METAS EMPRESAS'!$J$15:$J$320,'METAS EMPRESAS'!$A$15:$A$320,"CMM",'METAS EMPRESAS'!$B$15:$B$320,"PREMONTAGEM",'METAS EMPRESAS'!$C$15:$C$320,$A48-WEEKDAY($A48,2)+1)</f>
        <v/>
      </c>
      <c r="R48" s="159">
        <f>SUMIFS('METAS EMPRESAS'!$J$15:$J$320,'METAS EMPRESAS'!$A$15:$A$320,"CMM",'METAS EMPRESAS'!$B$15:$B$320,"IÇAMENTO JOIST",'METAS EMPRESAS'!$C$15:$C$320,$A48-WEEKDAY($A48,2)+1)</f>
        <v/>
      </c>
      <c r="S48" s="159">
        <f>SUMIFS('METAS EMPRESAS'!$J$15:$J$320,'METAS EMPRESAS'!$A$15:$A$320,"CMM",'METAS EMPRESAS'!$B$15:$B$320,"VIGAS",'METAS EMPRESAS'!$C$15:$C$320,$A48-WEEKDAY($A48,2)+1)</f>
        <v/>
      </c>
      <c r="T48">
        <f>--(WEEKDAY(A48,2)&lt;=5)</f>
        <v/>
      </c>
      <c r="U48" t="n">
        <v>19</v>
      </c>
      <c r="V48" t="n">
        <v>7</v>
      </c>
      <c r="W48" t="n">
        <v>0</v>
      </c>
      <c r="X48" t="n">
        <v>5</v>
      </c>
      <c r="Y48" t="n">
        <v>5</v>
      </c>
      <c r="Z48" t="n">
        <v>5</v>
      </c>
      <c r="AA48" t="n">
        <v>95</v>
      </c>
      <c r="AB48" t="n">
        <v>35</v>
      </c>
      <c r="AC48" t="n">
        <v>0</v>
      </c>
    </row>
    <row r="49">
      <c r="A49" s="317" t="n">
        <v>46270</v>
      </c>
      <c r="B49" s="159">
        <f>SUMIFS('METAS EMPRESAS'!$K$15:$K$320,'METAS EMPRESAS'!$A$15:$A$320,"EJ",'METAS EMPRESAS'!$B$15:$B$320,"PREMONTAGEM",'METAS EMPRESAS'!$C$15:$C$320,$A49-WEEKDAY($A49,2)+1)</f>
        <v/>
      </c>
      <c r="C49" s="159">
        <f>SUMIFS('METAS EMPRESAS'!$K$15:$K$320,'METAS EMPRESAS'!$A$15:$A$320,"EJ",'METAS EMPRESAS'!$B$15:$B$320,"IÇAMENTO JOIST",'METAS EMPRESAS'!$C$15:$C$320,$A49-WEEKDAY($A49,2)+1)</f>
        <v/>
      </c>
      <c r="D49" s="159">
        <f>SUMIFS('METAS EMPRESAS'!$K$15:$K$320,'METAS EMPRESAS'!$A$15:$A$320,"EJ",'METAS EMPRESAS'!$B$15:$B$320,"VIGAS",'METAS EMPRESAS'!$C$15:$C$320,$A49-WEEKDAY($A49,2)+1)</f>
        <v/>
      </c>
      <c r="E49" s="159">
        <f>SUMIFS('METAS EMPRESAS'!$K$15:$K$320,'METAS EMPRESAS'!$A$15:$A$320,"CMM",'METAS EMPRESAS'!$B$15:$B$320,"PREMONTAGEM",'METAS EMPRESAS'!$C$15:$C$320,$A49-WEEKDAY($A49,2)+1)</f>
        <v/>
      </c>
      <c r="F49" s="159">
        <f>SUMIFS('METAS EMPRESAS'!$K$15:$K$320,'METAS EMPRESAS'!$A$15:$A$320,"CMM",'METAS EMPRESAS'!$B$15:$B$320,"IÇAMENTO JOIST",'METAS EMPRESAS'!$C$15:$C$320,$A49-WEEKDAY($A49,2)+1)</f>
        <v/>
      </c>
      <c r="G49" s="159">
        <f>SUMIFS('METAS EMPRESAS'!$K$15:$K$320,'METAS EMPRESAS'!$A$15:$A$320,"CMM",'METAS EMPRESAS'!$B$15:$B$320,"VIGAS",'METAS EMPRESAS'!$C$15:$C$320,$A49-WEEKDAY($A49,2)+1)</f>
        <v/>
      </c>
      <c r="H49" s="159">
        <f>SUMIFS('METAS EMPRESAS'!$G$15:$G$320,'METAS EMPRESAS'!$A$15:$A$320,"EJ",'METAS EMPRESAS'!$B$15:$B$320,"PREMONTAGEM",'METAS EMPRESAS'!$C$15:$C$320,$A49-WEEKDAY($A49,2)+1)</f>
        <v/>
      </c>
      <c r="I49" s="159">
        <f>SUMIFS('METAS EMPRESAS'!$G$15:$G$320,'METAS EMPRESAS'!$A$15:$A$320,"EJ",'METAS EMPRESAS'!$B$15:$B$320,"IÇAMENTO JOIST",'METAS EMPRESAS'!$C$15:$C$320,$A49-WEEKDAY($A49,2)+1)</f>
        <v/>
      </c>
      <c r="J49" s="159">
        <f>SUMIFS('METAS EMPRESAS'!$G$15:$G$320,'METAS EMPRESAS'!$A$15:$A$320,"EJ",'METAS EMPRESAS'!$B$15:$B$320,"VIGAS",'METAS EMPRESAS'!$C$15:$C$320,$A49-WEEKDAY($A49,2)+1)</f>
        <v/>
      </c>
      <c r="K49" s="159">
        <f>SUMIFS('METAS EMPRESAS'!$G$15:$G$320,'METAS EMPRESAS'!$A$15:$A$320,"CMM",'METAS EMPRESAS'!$B$15:$B$320,"PREMONTAGEM",'METAS EMPRESAS'!$C$15:$C$320,$A49-WEEKDAY($A49,2)+1)</f>
        <v/>
      </c>
      <c r="L49" s="159">
        <f>SUMIFS('METAS EMPRESAS'!$G$15:$G$320,'METAS EMPRESAS'!$A$15:$A$320,"CMM",'METAS EMPRESAS'!$B$15:$B$320,"IÇAMENTO JOIST",'METAS EMPRESAS'!$C$15:$C$320,$A49-WEEKDAY($A49,2)+1)</f>
        <v/>
      </c>
      <c r="M49" s="159">
        <f>SUMIFS('METAS EMPRESAS'!$G$15:$G$320,'METAS EMPRESAS'!$A$15:$A$320,"CMM",'METAS EMPRESAS'!$B$15:$B$320,"VIGAS",'METAS EMPRESAS'!$C$15:$C$320,$A49-WEEKDAY($A49,2)+1)</f>
        <v/>
      </c>
      <c r="N49" s="159">
        <f>SUMIFS('METAS EMPRESAS'!$J$15:$J$320,'METAS EMPRESAS'!$A$15:$A$320,"EJ",'METAS EMPRESAS'!$B$15:$B$320,"PREMONTAGEM",'METAS EMPRESAS'!$C$15:$C$320,$A49-WEEKDAY($A49,2)+1)</f>
        <v/>
      </c>
      <c r="O49" s="159">
        <f>SUMIFS('METAS EMPRESAS'!$J$15:$J$320,'METAS EMPRESAS'!$A$15:$A$320,"EJ",'METAS EMPRESAS'!$B$15:$B$320,"IÇAMENTO JOIST",'METAS EMPRESAS'!$C$15:$C$320,$A49-WEEKDAY($A49,2)+1)</f>
        <v/>
      </c>
      <c r="P49" s="159">
        <f>SUMIFS('METAS EMPRESAS'!$J$15:$J$320,'METAS EMPRESAS'!$A$15:$A$320,"EJ",'METAS EMPRESAS'!$B$15:$B$320,"VIGAS",'METAS EMPRESAS'!$C$15:$C$320,$A49-WEEKDAY($A49,2)+1)</f>
        <v/>
      </c>
      <c r="Q49" s="159">
        <f>SUMIFS('METAS EMPRESAS'!$J$15:$J$320,'METAS EMPRESAS'!$A$15:$A$320,"CMM",'METAS EMPRESAS'!$B$15:$B$320,"PREMONTAGEM",'METAS EMPRESAS'!$C$15:$C$320,$A49-WEEKDAY($A49,2)+1)</f>
        <v/>
      </c>
      <c r="R49" s="159">
        <f>SUMIFS('METAS EMPRESAS'!$J$15:$J$320,'METAS EMPRESAS'!$A$15:$A$320,"CMM",'METAS EMPRESAS'!$B$15:$B$320,"IÇAMENTO JOIST",'METAS EMPRESAS'!$C$15:$C$320,$A49-WEEKDAY($A49,2)+1)</f>
        <v/>
      </c>
      <c r="S49" s="159">
        <f>SUMIFS('METAS EMPRESAS'!$J$15:$J$320,'METAS EMPRESAS'!$A$15:$A$320,"CMM",'METAS EMPRESAS'!$B$15:$B$320,"VIGAS",'METAS EMPRESAS'!$C$15:$C$320,$A49-WEEKDAY($A49,2)+1)</f>
        <v/>
      </c>
      <c r="T49">
        <f>--(WEEKDAY(A49,2)&lt;=5)</f>
        <v/>
      </c>
      <c r="U49" t="n">
        <v>19</v>
      </c>
      <c r="V49" t="n">
        <v>7</v>
      </c>
      <c r="W49" t="n">
        <v>0</v>
      </c>
      <c r="X49" t="n">
        <v>5</v>
      </c>
      <c r="Y49" t="n">
        <v>5</v>
      </c>
      <c r="Z49" t="n">
        <v>5</v>
      </c>
      <c r="AA49" t="n">
        <v>95</v>
      </c>
      <c r="AB49" t="n">
        <v>35</v>
      </c>
      <c r="AC49" t="n">
        <v>0</v>
      </c>
    </row>
    <row r="50">
      <c r="A50" s="317" t="n">
        <v>46271</v>
      </c>
      <c r="B50" s="159">
        <f>SUMIFS('METAS EMPRESAS'!$K$15:$K$320,'METAS EMPRESAS'!$A$15:$A$320,"EJ",'METAS EMPRESAS'!$B$15:$B$320,"PREMONTAGEM",'METAS EMPRESAS'!$C$15:$C$320,$A50-WEEKDAY($A50,2)+1)</f>
        <v/>
      </c>
      <c r="C50" s="159">
        <f>SUMIFS('METAS EMPRESAS'!$K$15:$K$320,'METAS EMPRESAS'!$A$15:$A$320,"EJ",'METAS EMPRESAS'!$B$15:$B$320,"IÇAMENTO JOIST",'METAS EMPRESAS'!$C$15:$C$320,$A50-WEEKDAY($A50,2)+1)</f>
        <v/>
      </c>
      <c r="D50" s="159">
        <f>SUMIFS('METAS EMPRESAS'!$K$15:$K$320,'METAS EMPRESAS'!$A$15:$A$320,"EJ",'METAS EMPRESAS'!$B$15:$B$320,"VIGAS",'METAS EMPRESAS'!$C$15:$C$320,$A50-WEEKDAY($A50,2)+1)</f>
        <v/>
      </c>
      <c r="E50" s="159">
        <f>SUMIFS('METAS EMPRESAS'!$K$15:$K$320,'METAS EMPRESAS'!$A$15:$A$320,"CMM",'METAS EMPRESAS'!$B$15:$B$320,"PREMONTAGEM",'METAS EMPRESAS'!$C$15:$C$320,$A50-WEEKDAY($A50,2)+1)</f>
        <v/>
      </c>
      <c r="F50" s="159">
        <f>SUMIFS('METAS EMPRESAS'!$K$15:$K$320,'METAS EMPRESAS'!$A$15:$A$320,"CMM",'METAS EMPRESAS'!$B$15:$B$320,"IÇAMENTO JOIST",'METAS EMPRESAS'!$C$15:$C$320,$A50-WEEKDAY($A50,2)+1)</f>
        <v/>
      </c>
      <c r="G50" s="159">
        <f>SUMIFS('METAS EMPRESAS'!$K$15:$K$320,'METAS EMPRESAS'!$A$15:$A$320,"CMM",'METAS EMPRESAS'!$B$15:$B$320,"VIGAS",'METAS EMPRESAS'!$C$15:$C$320,$A50-WEEKDAY($A50,2)+1)</f>
        <v/>
      </c>
      <c r="H50" s="159">
        <f>SUMIFS('METAS EMPRESAS'!$G$15:$G$320,'METAS EMPRESAS'!$A$15:$A$320,"EJ",'METAS EMPRESAS'!$B$15:$B$320,"PREMONTAGEM",'METAS EMPRESAS'!$C$15:$C$320,$A50-WEEKDAY($A50,2)+1)</f>
        <v/>
      </c>
      <c r="I50" s="159">
        <f>SUMIFS('METAS EMPRESAS'!$G$15:$G$320,'METAS EMPRESAS'!$A$15:$A$320,"EJ",'METAS EMPRESAS'!$B$15:$B$320,"IÇAMENTO JOIST",'METAS EMPRESAS'!$C$15:$C$320,$A50-WEEKDAY($A50,2)+1)</f>
        <v/>
      </c>
      <c r="J50" s="159">
        <f>SUMIFS('METAS EMPRESAS'!$G$15:$G$320,'METAS EMPRESAS'!$A$15:$A$320,"EJ",'METAS EMPRESAS'!$B$15:$B$320,"VIGAS",'METAS EMPRESAS'!$C$15:$C$320,$A50-WEEKDAY($A50,2)+1)</f>
        <v/>
      </c>
      <c r="K50" s="159">
        <f>SUMIFS('METAS EMPRESAS'!$G$15:$G$320,'METAS EMPRESAS'!$A$15:$A$320,"CMM",'METAS EMPRESAS'!$B$15:$B$320,"PREMONTAGEM",'METAS EMPRESAS'!$C$15:$C$320,$A50-WEEKDAY($A50,2)+1)</f>
        <v/>
      </c>
      <c r="L50" s="159">
        <f>SUMIFS('METAS EMPRESAS'!$G$15:$G$320,'METAS EMPRESAS'!$A$15:$A$320,"CMM",'METAS EMPRESAS'!$B$15:$B$320,"IÇAMENTO JOIST",'METAS EMPRESAS'!$C$15:$C$320,$A50-WEEKDAY($A50,2)+1)</f>
        <v/>
      </c>
      <c r="M50" s="159">
        <f>SUMIFS('METAS EMPRESAS'!$G$15:$G$320,'METAS EMPRESAS'!$A$15:$A$320,"CMM",'METAS EMPRESAS'!$B$15:$B$320,"VIGAS",'METAS EMPRESAS'!$C$15:$C$320,$A50-WEEKDAY($A50,2)+1)</f>
        <v/>
      </c>
      <c r="N50" s="159">
        <f>SUMIFS('METAS EMPRESAS'!$J$15:$J$320,'METAS EMPRESAS'!$A$15:$A$320,"EJ",'METAS EMPRESAS'!$B$15:$B$320,"PREMONTAGEM",'METAS EMPRESAS'!$C$15:$C$320,$A50-WEEKDAY($A50,2)+1)</f>
        <v/>
      </c>
      <c r="O50" s="159">
        <f>SUMIFS('METAS EMPRESAS'!$J$15:$J$320,'METAS EMPRESAS'!$A$15:$A$320,"EJ",'METAS EMPRESAS'!$B$15:$B$320,"IÇAMENTO JOIST",'METAS EMPRESAS'!$C$15:$C$320,$A50-WEEKDAY($A50,2)+1)</f>
        <v/>
      </c>
      <c r="P50" s="159">
        <f>SUMIFS('METAS EMPRESAS'!$J$15:$J$320,'METAS EMPRESAS'!$A$15:$A$320,"EJ",'METAS EMPRESAS'!$B$15:$B$320,"VIGAS",'METAS EMPRESAS'!$C$15:$C$320,$A50-WEEKDAY($A50,2)+1)</f>
        <v/>
      </c>
      <c r="Q50" s="159">
        <f>SUMIFS('METAS EMPRESAS'!$J$15:$J$320,'METAS EMPRESAS'!$A$15:$A$320,"CMM",'METAS EMPRESAS'!$B$15:$B$320,"PREMONTAGEM",'METAS EMPRESAS'!$C$15:$C$320,$A50-WEEKDAY($A50,2)+1)</f>
        <v/>
      </c>
      <c r="R50" s="159">
        <f>SUMIFS('METAS EMPRESAS'!$J$15:$J$320,'METAS EMPRESAS'!$A$15:$A$320,"CMM",'METAS EMPRESAS'!$B$15:$B$320,"IÇAMENTO JOIST",'METAS EMPRESAS'!$C$15:$C$320,$A50-WEEKDAY($A50,2)+1)</f>
        <v/>
      </c>
      <c r="S50" s="159">
        <f>SUMIFS('METAS EMPRESAS'!$J$15:$J$320,'METAS EMPRESAS'!$A$15:$A$320,"CMM",'METAS EMPRESAS'!$B$15:$B$320,"VIGAS",'METAS EMPRESAS'!$C$15:$C$320,$A50-WEEKDAY($A50,2)+1)</f>
        <v/>
      </c>
      <c r="T50">
        <f>--(WEEKDAY(A50,2)&lt;=5)</f>
        <v/>
      </c>
      <c r="U50" t="n">
        <v>19</v>
      </c>
      <c r="V50" t="n">
        <v>7</v>
      </c>
      <c r="W50" t="n">
        <v>0</v>
      </c>
      <c r="X50" t="n">
        <v>5</v>
      </c>
      <c r="Y50" t="n">
        <v>5</v>
      </c>
      <c r="Z50" t="n">
        <v>5</v>
      </c>
      <c r="AA50" t="n">
        <v>95</v>
      </c>
      <c r="AB50" t="n">
        <v>35</v>
      </c>
      <c r="AC50" t="n">
        <v>0</v>
      </c>
    </row>
    <row r="51">
      <c r="A51" s="317" t="n">
        <v>46272</v>
      </c>
      <c r="B51" s="159">
        <f>SUMIFS('METAS EMPRESAS'!$K$15:$K$320,'METAS EMPRESAS'!$A$15:$A$320,"EJ",'METAS EMPRESAS'!$B$15:$B$320,"PREMONTAGEM",'METAS EMPRESAS'!$C$15:$C$320,$A51-WEEKDAY($A51,2)+1)</f>
        <v/>
      </c>
      <c r="C51" s="159">
        <f>SUMIFS('METAS EMPRESAS'!$K$15:$K$320,'METAS EMPRESAS'!$A$15:$A$320,"EJ",'METAS EMPRESAS'!$B$15:$B$320,"IÇAMENTO JOIST",'METAS EMPRESAS'!$C$15:$C$320,$A51-WEEKDAY($A51,2)+1)</f>
        <v/>
      </c>
      <c r="D51" s="159">
        <f>SUMIFS('METAS EMPRESAS'!$K$15:$K$320,'METAS EMPRESAS'!$A$15:$A$320,"EJ",'METAS EMPRESAS'!$B$15:$B$320,"VIGAS",'METAS EMPRESAS'!$C$15:$C$320,$A51-WEEKDAY($A51,2)+1)</f>
        <v/>
      </c>
      <c r="E51" s="159">
        <f>SUMIFS('METAS EMPRESAS'!$K$15:$K$320,'METAS EMPRESAS'!$A$15:$A$320,"CMM",'METAS EMPRESAS'!$B$15:$B$320,"PREMONTAGEM",'METAS EMPRESAS'!$C$15:$C$320,$A51-WEEKDAY($A51,2)+1)</f>
        <v/>
      </c>
      <c r="F51" s="159">
        <f>SUMIFS('METAS EMPRESAS'!$K$15:$K$320,'METAS EMPRESAS'!$A$15:$A$320,"CMM",'METAS EMPRESAS'!$B$15:$B$320,"IÇAMENTO JOIST",'METAS EMPRESAS'!$C$15:$C$320,$A51-WEEKDAY($A51,2)+1)</f>
        <v/>
      </c>
      <c r="G51" s="159">
        <f>SUMIFS('METAS EMPRESAS'!$K$15:$K$320,'METAS EMPRESAS'!$A$15:$A$320,"CMM",'METAS EMPRESAS'!$B$15:$B$320,"VIGAS",'METAS EMPRESAS'!$C$15:$C$320,$A51-WEEKDAY($A51,2)+1)</f>
        <v/>
      </c>
      <c r="H51" s="159">
        <f>SUMIFS('METAS EMPRESAS'!$G$15:$G$320,'METAS EMPRESAS'!$A$15:$A$320,"EJ",'METAS EMPRESAS'!$B$15:$B$320,"PREMONTAGEM",'METAS EMPRESAS'!$C$15:$C$320,$A51-WEEKDAY($A51,2)+1)</f>
        <v/>
      </c>
      <c r="I51" s="159">
        <f>SUMIFS('METAS EMPRESAS'!$G$15:$G$320,'METAS EMPRESAS'!$A$15:$A$320,"EJ",'METAS EMPRESAS'!$B$15:$B$320,"IÇAMENTO JOIST",'METAS EMPRESAS'!$C$15:$C$320,$A51-WEEKDAY($A51,2)+1)</f>
        <v/>
      </c>
      <c r="J51" s="159">
        <f>SUMIFS('METAS EMPRESAS'!$G$15:$G$320,'METAS EMPRESAS'!$A$15:$A$320,"EJ",'METAS EMPRESAS'!$B$15:$B$320,"VIGAS",'METAS EMPRESAS'!$C$15:$C$320,$A51-WEEKDAY($A51,2)+1)</f>
        <v/>
      </c>
      <c r="K51" s="159">
        <f>SUMIFS('METAS EMPRESAS'!$G$15:$G$320,'METAS EMPRESAS'!$A$15:$A$320,"CMM",'METAS EMPRESAS'!$B$15:$B$320,"PREMONTAGEM",'METAS EMPRESAS'!$C$15:$C$320,$A51-WEEKDAY($A51,2)+1)</f>
        <v/>
      </c>
      <c r="L51" s="159">
        <f>SUMIFS('METAS EMPRESAS'!$G$15:$G$320,'METAS EMPRESAS'!$A$15:$A$320,"CMM",'METAS EMPRESAS'!$B$15:$B$320,"IÇAMENTO JOIST",'METAS EMPRESAS'!$C$15:$C$320,$A51-WEEKDAY($A51,2)+1)</f>
        <v/>
      </c>
      <c r="M51" s="159">
        <f>SUMIFS('METAS EMPRESAS'!$G$15:$G$320,'METAS EMPRESAS'!$A$15:$A$320,"CMM",'METAS EMPRESAS'!$B$15:$B$320,"VIGAS",'METAS EMPRESAS'!$C$15:$C$320,$A51-WEEKDAY($A51,2)+1)</f>
        <v/>
      </c>
      <c r="N51" s="159">
        <f>SUMIFS('METAS EMPRESAS'!$J$15:$J$320,'METAS EMPRESAS'!$A$15:$A$320,"EJ",'METAS EMPRESAS'!$B$15:$B$320,"PREMONTAGEM",'METAS EMPRESAS'!$C$15:$C$320,$A51-WEEKDAY($A51,2)+1)</f>
        <v/>
      </c>
      <c r="O51" s="159">
        <f>SUMIFS('METAS EMPRESAS'!$J$15:$J$320,'METAS EMPRESAS'!$A$15:$A$320,"EJ",'METAS EMPRESAS'!$B$15:$B$320,"IÇAMENTO JOIST",'METAS EMPRESAS'!$C$15:$C$320,$A51-WEEKDAY($A51,2)+1)</f>
        <v/>
      </c>
      <c r="P51" s="159">
        <f>SUMIFS('METAS EMPRESAS'!$J$15:$J$320,'METAS EMPRESAS'!$A$15:$A$320,"EJ",'METAS EMPRESAS'!$B$15:$B$320,"VIGAS",'METAS EMPRESAS'!$C$15:$C$320,$A51-WEEKDAY($A51,2)+1)</f>
        <v/>
      </c>
      <c r="Q51" s="159">
        <f>SUMIFS('METAS EMPRESAS'!$J$15:$J$320,'METAS EMPRESAS'!$A$15:$A$320,"CMM",'METAS EMPRESAS'!$B$15:$B$320,"PREMONTAGEM",'METAS EMPRESAS'!$C$15:$C$320,$A51-WEEKDAY($A51,2)+1)</f>
        <v/>
      </c>
      <c r="R51" s="159">
        <f>SUMIFS('METAS EMPRESAS'!$J$15:$J$320,'METAS EMPRESAS'!$A$15:$A$320,"CMM",'METAS EMPRESAS'!$B$15:$B$320,"IÇAMENTO JOIST",'METAS EMPRESAS'!$C$15:$C$320,$A51-WEEKDAY($A51,2)+1)</f>
        <v/>
      </c>
      <c r="S51" s="159">
        <f>SUMIFS('METAS EMPRESAS'!$J$15:$J$320,'METAS EMPRESAS'!$A$15:$A$320,"CMM",'METAS EMPRESAS'!$B$15:$B$320,"VIGAS",'METAS EMPRESAS'!$C$15:$C$320,$A51-WEEKDAY($A51,2)+1)</f>
        <v/>
      </c>
      <c r="T51">
        <f>--(WEEKDAY(A51,2)&lt;=5)</f>
        <v/>
      </c>
      <c r="U51" t="n">
        <v>19</v>
      </c>
      <c r="V51" t="n">
        <v>7</v>
      </c>
      <c r="W51" t="n">
        <v>0</v>
      </c>
      <c r="X51" t="n">
        <v>5</v>
      </c>
      <c r="Y51" t="n">
        <v>5</v>
      </c>
      <c r="Z51" t="n">
        <v>5</v>
      </c>
      <c r="AA51" t="n">
        <v>95</v>
      </c>
      <c r="AB51" t="n">
        <v>35</v>
      </c>
      <c r="AC51" t="n">
        <v>0</v>
      </c>
    </row>
    <row r="52">
      <c r="A52" s="317" t="n">
        <v>46273</v>
      </c>
      <c r="B52" s="159">
        <f>SUMIFS('METAS EMPRESAS'!$K$15:$K$320,'METAS EMPRESAS'!$A$15:$A$320,"EJ",'METAS EMPRESAS'!$B$15:$B$320,"PREMONTAGEM",'METAS EMPRESAS'!$C$15:$C$320,$A52-WEEKDAY($A52,2)+1)</f>
        <v/>
      </c>
      <c r="C52" s="159">
        <f>SUMIFS('METAS EMPRESAS'!$K$15:$K$320,'METAS EMPRESAS'!$A$15:$A$320,"EJ",'METAS EMPRESAS'!$B$15:$B$320,"IÇAMENTO JOIST",'METAS EMPRESAS'!$C$15:$C$320,$A52-WEEKDAY($A52,2)+1)</f>
        <v/>
      </c>
      <c r="D52" s="159">
        <f>SUMIFS('METAS EMPRESAS'!$K$15:$K$320,'METAS EMPRESAS'!$A$15:$A$320,"EJ",'METAS EMPRESAS'!$B$15:$B$320,"VIGAS",'METAS EMPRESAS'!$C$15:$C$320,$A52-WEEKDAY($A52,2)+1)</f>
        <v/>
      </c>
      <c r="E52" s="159">
        <f>SUMIFS('METAS EMPRESAS'!$K$15:$K$320,'METAS EMPRESAS'!$A$15:$A$320,"CMM",'METAS EMPRESAS'!$B$15:$B$320,"PREMONTAGEM",'METAS EMPRESAS'!$C$15:$C$320,$A52-WEEKDAY($A52,2)+1)</f>
        <v/>
      </c>
      <c r="F52" s="159">
        <f>SUMIFS('METAS EMPRESAS'!$K$15:$K$320,'METAS EMPRESAS'!$A$15:$A$320,"CMM",'METAS EMPRESAS'!$B$15:$B$320,"IÇAMENTO JOIST",'METAS EMPRESAS'!$C$15:$C$320,$A52-WEEKDAY($A52,2)+1)</f>
        <v/>
      </c>
      <c r="G52" s="159">
        <f>SUMIFS('METAS EMPRESAS'!$K$15:$K$320,'METAS EMPRESAS'!$A$15:$A$320,"CMM",'METAS EMPRESAS'!$B$15:$B$320,"VIGAS",'METAS EMPRESAS'!$C$15:$C$320,$A52-WEEKDAY($A52,2)+1)</f>
        <v/>
      </c>
      <c r="H52" s="159">
        <f>SUMIFS('METAS EMPRESAS'!$G$15:$G$320,'METAS EMPRESAS'!$A$15:$A$320,"EJ",'METAS EMPRESAS'!$B$15:$B$320,"PREMONTAGEM",'METAS EMPRESAS'!$C$15:$C$320,$A52-WEEKDAY($A52,2)+1)</f>
        <v/>
      </c>
      <c r="I52" s="159">
        <f>SUMIFS('METAS EMPRESAS'!$G$15:$G$320,'METAS EMPRESAS'!$A$15:$A$320,"EJ",'METAS EMPRESAS'!$B$15:$B$320,"IÇAMENTO JOIST",'METAS EMPRESAS'!$C$15:$C$320,$A52-WEEKDAY($A52,2)+1)</f>
        <v/>
      </c>
      <c r="J52" s="159">
        <f>SUMIFS('METAS EMPRESAS'!$G$15:$G$320,'METAS EMPRESAS'!$A$15:$A$320,"EJ",'METAS EMPRESAS'!$B$15:$B$320,"VIGAS",'METAS EMPRESAS'!$C$15:$C$320,$A52-WEEKDAY($A52,2)+1)</f>
        <v/>
      </c>
      <c r="K52" s="159">
        <f>SUMIFS('METAS EMPRESAS'!$G$15:$G$320,'METAS EMPRESAS'!$A$15:$A$320,"CMM",'METAS EMPRESAS'!$B$15:$B$320,"PREMONTAGEM",'METAS EMPRESAS'!$C$15:$C$320,$A52-WEEKDAY($A52,2)+1)</f>
        <v/>
      </c>
      <c r="L52" s="159">
        <f>SUMIFS('METAS EMPRESAS'!$G$15:$G$320,'METAS EMPRESAS'!$A$15:$A$320,"CMM",'METAS EMPRESAS'!$B$15:$B$320,"IÇAMENTO JOIST",'METAS EMPRESAS'!$C$15:$C$320,$A52-WEEKDAY($A52,2)+1)</f>
        <v/>
      </c>
      <c r="M52" s="159">
        <f>SUMIFS('METAS EMPRESAS'!$G$15:$G$320,'METAS EMPRESAS'!$A$15:$A$320,"CMM",'METAS EMPRESAS'!$B$15:$B$320,"VIGAS",'METAS EMPRESAS'!$C$15:$C$320,$A52-WEEKDAY($A52,2)+1)</f>
        <v/>
      </c>
      <c r="N52" s="159">
        <f>SUMIFS('METAS EMPRESAS'!$J$15:$J$320,'METAS EMPRESAS'!$A$15:$A$320,"EJ",'METAS EMPRESAS'!$B$15:$B$320,"PREMONTAGEM",'METAS EMPRESAS'!$C$15:$C$320,$A52-WEEKDAY($A52,2)+1)</f>
        <v/>
      </c>
      <c r="O52" s="159">
        <f>SUMIFS('METAS EMPRESAS'!$J$15:$J$320,'METAS EMPRESAS'!$A$15:$A$320,"EJ",'METAS EMPRESAS'!$B$15:$B$320,"IÇAMENTO JOIST",'METAS EMPRESAS'!$C$15:$C$320,$A52-WEEKDAY($A52,2)+1)</f>
        <v/>
      </c>
      <c r="P52" s="159">
        <f>SUMIFS('METAS EMPRESAS'!$J$15:$J$320,'METAS EMPRESAS'!$A$15:$A$320,"EJ",'METAS EMPRESAS'!$B$15:$B$320,"VIGAS",'METAS EMPRESAS'!$C$15:$C$320,$A52-WEEKDAY($A52,2)+1)</f>
        <v/>
      </c>
      <c r="Q52" s="159">
        <f>SUMIFS('METAS EMPRESAS'!$J$15:$J$320,'METAS EMPRESAS'!$A$15:$A$320,"CMM",'METAS EMPRESAS'!$B$15:$B$320,"PREMONTAGEM",'METAS EMPRESAS'!$C$15:$C$320,$A52-WEEKDAY($A52,2)+1)</f>
        <v/>
      </c>
      <c r="R52" s="159">
        <f>SUMIFS('METAS EMPRESAS'!$J$15:$J$320,'METAS EMPRESAS'!$A$15:$A$320,"CMM",'METAS EMPRESAS'!$B$15:$B$320,"IÇAMENTO JOIST",'METAS EMPRESAS'!$C$15:$C$320,$A52-WEEKDAY($A52,2)+1)</f>
        <v/>
      </c>
      <c r="S52" s="159">
        <f>SUMIFS('METAS EMPRESAS'!$J$15:$J$320,'METAS EMPRESAS'!$A$15:$A$320,"CMM",'METAS EMPRESAS'!$B$15:$B$320,"VIGAS",'METAS EMPRESAS'!$C$15:$C$320,$A52-WEEKDAY($A52,2)+1)</f>
        <v/>
      </c>
      <c r="T52">
        <f>--(WEEKDAY(A52,2)&lt;=5)</f>
        <v/>
      </c>
      <c r="U52" t="n">
        <v>19</v>
      </c>
      <c r="V52" t="n">
        <v>7</v>
      </c>
      <c r="W52" t="n">
        <v>0</v>
      </c>
      <c r="X52" t="n">
        <v>5</v>
      </c>
      <c r="Y52" t="n">
        <v>5</v>
      </c>
      <c r="Z52" t="n">
        <v>5</v>
      </c>
      <c r="AA52" t="n">
        <v>95</v>
      </c>
      <c r="AB52" t="n">
        <v>35</v>
      </c>
      <c r="AC52" t="n">
        <v>0</v>
      </c>
    </row>
    <row r="53">
      <c r="A53" s="317" t="n">
        <v>46274</v>
      </c>
      <c r="B53" s="159">
        <f>SUMIFS('METAS EMPRESAS'!$K$15:$K$320,'METAS EMPRESAS'!$A$15:$A$320,"EJ",'METAS EMPRESAS'!$B$15:$B$320,"PREMONTAGEM",'METAS EMPRESAS'!$C$15:$C$320,$A53-WEEKDAY($A53,2)+1)</f>
        <v/>
      </c>
      <c r="C53" s="159">
        <f>SUMIFS('METAS EMPRESAS'!$K$15:$K$320,'METAS EMPRESAS'!$A$15:$A$320,"EJ",'METAS EMPRESAS'!$B$15:$B$320,"IÇAMENTO JOIST",'METAS EMPRESAS'!$C$15:$C$320,$A53-WEEKDAY($A53,2)+1)</f>
        <v/>
      </c>
      <c r="D53" s="159">
        <f>SUMIFS('METAS EMPRESAS'!$K$15:$K$320,'METAS EMPRESAS'!$A$15:$A$320,"EJ",'METAS EMPRESAS'!$B$15:$B$320,"VIGAS",'METAS EMPRESAS'!$C$15:$C$320,$A53-WEEKDAY($A53,2)+1)</f>
        <v/>
      </c>
      <c r="E53" s="159">
        <f>SUMIFS('METAS EMPRESAS'!$K$15:$K$320,'METAS EMPRESAS'!$A$15:$A$320,"CMM",'METAS EMPRESAS'!$B$15:$B$320,"PREMONTAGEM",'METAS EMPRESAS'!$C$15:$C$320,$A53-WEEKDAY($A53,2)+1)</f>
        <v/>
      </c>
      <c r="F53" s="159">
        <f>SUMIFS('METAS EMPRESAS'!$K$15:$K$320,'METAS EMPRESAS'!$A$15:$A$320,"CMM",'METAS EMPRESAS'!$B$15:$B$320,"IÇAMENTO JOIST",'METAS EMPRESAS'!$C$15:$C$320,$A53-WEEKDAY($A53,2)+1)</f>
        <v/>
      </c>
      <c r="G53" s="159">
        <f>SUMIFS('METAS EMPRESAS'!$K$15:$K$320,'METAS EMPRESAS'!$A$15:$A$320,"CMM",'METAS EMPRESAS'!$B$15:$B$320,"VIGAS",'METAS EMPRESAS'!$C$15:$C$320,$A53-WEEKDAY($A53,2)+1)</f>
        <v/>
      </c>
      <c r="H53" s="159">
        <f>SUMIFS('METAS EMPRESAS'!$G$15:$G$320,'METAS EMPRESAS'!$A$15:$A$320,"EJ",'METAS EMPRESAS'!$B$15:$B$320,"PREMONTAGEM",'METAS EMPRESAS'!$C$15:$C$320,$A53-WEEKDAY($A53,2)+1)</f>
        <v/>
      </c>
      <c r="I53" s="159">
        <f>SUMIFS('METAS EMPRESAS'!$G$15:$G$320,'METAS EMPRESAS'!$A$15:$A$320,"EJ",'METAS EMPRESAS'!$B$15:$B$320,"IÇAMENTO JOIST",'METAS EMPRESAS'!$C$15:$C$320,$A53-WEEKDAY($A53,2)+1)</f>
        <v/>
      </c>
      <c r="J53" s="159">
        <f>SUMIFS('METAS EMPRESAS'!$G$15:$G$320,'METAS EMPRESAS'!$A$15:$A$320,"EJ",'METAS EMPRESAS'!$B$15:$B$320,"VIGAS",'METAS EMPRESAS'!$C$15:$C$320,$A53-WEEKDAY($A53,2)+1)</f>
        <v/>
      </c>
      <c r="K53" s="159">
        <f>SUMIFS('METAS EMPRESAS'!$G$15:$G$320,'METAS EMPRESAS'!$A$15:$A$320,"CMM",'METAS EMPRESAS'!$B$15:$B$320,"PREMONTAGEM",'METAS EMPRESAS'!$C$15:$C$320,$A53-WEEKDAY($A53,2)+1)</f>
        <v/>
      </c>
      <c r="L53" s="159">
        <f>SUMIFS('METAS EMPRESAS'!$G$15:$G$320,'METAS EMPRESAS'!$A$15:$A$320,"CMM",'METAS EMPRESAS'!$B$15:$B$320,"IÇAMENTO JOIST",'METAS EMPRESAS'!$C$15:$C$320,$A53-WEEKDAY($A53,2)+1)</f>
        <v/>
      </c>
      <c r="M53" s="159">
        <f>SUMIFS('METAS EMPRESAS'!$G$15:$G$320,'METAS EMPRESAS'!$A$15:$A$320,"CMM",'METAS EMPRESAS'!$B$15:$B$320,"VIGAS",'METAS EMPRESAS'!$C$15:$C$320,$A53-WEEKDAY($A53,2)+1)</f>
        <v/>
      </c>
      <c r="N53" s="159">
        <f>SUMIFS('METAS EMPRESAS'!$J$15:$J$320,'METAS EMPRESAS'!$A$15:$A$320,"EJ",'METAS EMPRESAS'!$B$15:$B$320,"PREMONTAGEM",'METAS EMPRESAS'!$C$15:$C$320,$A53-WEEKDAY($A53,2)+1)</f>
        <v/>
      </c>
      <c r="O53" s="159">
        <f>SUMIFS('METAS EMPRESAS'!$J$15:$J$320,'METAS EMPRESAS'!$A$15:$A$320,"EJ",'METAS EMPRESAS'!$B$15:$B$320,"IÇAMENTO JOIST",'METAS EMPRESAS'!$C$15:$C$320,$A53-WEEKDAY($A53,2)+1)</f>
        <v/>
      </c>
      <c r="P53" s="159">
        <f>SUMIFS('METAS EMPRESAS'!$J$15:$J$320,'METAS EMPRESAS'!$A$15:$A$320,"EJ",'METAS EMPRESAS'!$B$15:$B$320,"VIGAS",'METAS EMPRESAS'!$C$15:$C$320,$A53-WEEKDAY($A53,2)+1)</f>
        <v/>
      </c>
      <c r="Q53" s="159">
        <f>SUMIFS('METAS EMPRESAS'!$J$15:$J$320,'METAS EMPRESAS'!$A$15:$A$320,"CMM",'METAS EMPRESAS'!$B$15:$B$320,"PREMONTAGEM",'METAS EMPRESAS'!$C$15:$C$320,$A53-WEEKDAY($A53,2)+1)</f>
        <v/>
      </c>
      <c r="R53" s="159">
        <f>SUMIFS('METAS EMPRESAS'!$J$15:$J$320,'METAS EMPRESAS'!$A$15:$A$320,"CMM",'METAS EMPRESAS'!$B$15:$B$320,"IÇAMENTO JOIST",'METAS EMPRESAS'!$C$15:$C$320,$A53-WEEKDAY($A53,2)+1)</f>
        <v/>
      </c>
      <c r="S53" s="159">
        <f>SUMIFS('METAS EMPRESAS'!$J$15:$J$320,'METAS EMPRESAS'!$A$15:$A$320,"CMM",'METAS EMPRESAS'!$B$15:$B$320,"VIGAS",'METAS EMPRESAS'!$C$15:$C$320,$A53-WEEKDAY($A53,2)+1)</f>
        <v/>
      </c>
      <c r="T53">
        <f>--(WEEKDAY(A53,2)&lt;=5)</f>
        <v/>
      </c>
      <c r="U53" t="n">
        <v>19</v>
      </c>
      <c r="V53" t="n">
        <v>7</v>
      </c>
      <c r="W53" t="n">
        <v>0</v>
      </c>
      <c r="X53" t="n">
        <v>5</v>
      </c>
      <c r="Y53" t="n">
        <v>5</v>
      </c>
      <c r="Z53" t="n">
        <v>5</v>
      </c>
      <c r="AA53" t="n">
        <v>95</v>
      </c>
      <c r="AB53" t="n">
        <v>35</v>
      </c>
      <c r="AC53" t="n">
        <v>0</v>
      </c>
    </row>
    <row r="54">
      <c r="A54" s="317" t="n">
        <v>46275</v>
      </c>
      <c r="B54" s="159">
        <f>SUMIFS('METAS EMPRESAS'!$K$15:$K$320,'METAS EMPRESAS'!$A$15:$A$320,"EJ",'METAS EMPRESAS'!$B$15:$B$320,"PREMONTAGEM",'METAS EMPRESAS'!$C$15:$C$320,$A54-WEEKDAY($A54,2)+1)</f>
        <v/>
      </c>
      <c r="C54" s="159">
        <f>SUMIFS('METAS EMPRESAS'!$K$15:$K$320,'METAS EMPRESAS'!$A$15:$A$320,"EJ",'METAS EMPRESAS'!$B$15:$B$320,"IÇAMENTO JOIST",'METAS EMPRESAS'!$C$15:$C$320,$A54-WEEKDAY($A54,2)+1)</f>
        <v/>
      </c>
      <c r="D54" s="159">
        <f>SUMIFS('METAS EMPRESAS'!$K$15:$K$320,'METAS EMPRESAS'!$A$15:$A$320,"EJ",'METAS EMPRESAS'!$B$15:$B$320,"VIGAS",'METAS EMPRESAS'!$C$15:$C$320,$A54-WEEKDAY($A54,2)+1)</f>
        <v/>
      </c>
      <c r="E54" s="159">
        <f>SUMIFS('METAS EMPRESAS'!$K$15:$K$320,'METAS EMPRESAS'!$A$15:$A$320,"CMM",'METAS EMPRESAS'!$B$15:$B$320,"PREMONTAGEM",'METAS EMPRESAS'!$C$15:$C$320,$A54-WEEKDAY($A54,2)+1)</f>
        <v/>
      </c>
      <c r="F54" s="159">
        <f>SUMIFS('METAS EMPRESAS'!$K$15:$K$320,'METAS EMPRESAS'!$A$15:$A$320,"CMM",'METAS EMPRESAS'!$B$15:$B$320,"IÇAMENTO JOIST",'METAS EMPRESAS'!$C$15:$C$320,$A54-WEEKDAY($A54,2)+1)</f>
        <v/>
      </c>
      <c r="G54" s="159">
        <f>SUMIFS('METAS EMPRESAS'!$K$15:$K$320,'METAS EMPRESAS'!$A$15:$A$320,"CMM",'METAS EMPRESAS'!$B$15:$B$320,"VIGAS",'METAS EMPRESAS'!$C$15:$C$320,$A54-WEEKDAY($A54,2)+1)</f>
        <v/>
      </c>
      <c r="H54" s="159">
        <f>SUMIFS('METAS EMPRESAS'!$G$15:$G$320,'METAS EMPRESAS'!$A$15:$A$320,"EJ",'METAS EMPRESAS'!$B$15:$B$320,"PREMONTAGEM",'METAS EMPRESAS'!$C$15:$C$320,$A54-WEEKDAY($A54,2)+1)</f>
        <v/>
      </c>
      <c r="I54" s="159">
        <f>SUMIFS('METAS EMPRESAS'!$G$15:$G$320,'METAS EMPRESAS'!$A$15:$A$320,"EJ",'METAS EMPRESAS'!$B$15:$B$320,"IÇAMENTO JOIST",'METAS EMPRESAS'!$C$15:$C$320,$A54-WEEKDAY($A54,2)+1)</f>
        <v/>
      </c>
      <c r="J54" s="159">
        <f>SUMIFS('METAS EMPRESAS'!$G$15:$G$320,'METAS EMPRESAS'!$A$15:$A$320,"EJ",'METAS EMPRESAS'!$B$15:$B$320,"VIGAS",'METAS EMPRESAS'!$C$15:$C$320,$A54-WEEKDAY($A54,2)+1)</f>
        <v/>
      </c>
      <c r="K54" s="159">
        <f>SUMIFS('METAS EMPRESAS'!$G$15:$G$320,'METAS EMPRESAS'!$A$15:$A$320,"CMM",'METAS EMPRESAS'!$B$15:$B$320,"PREMONTAGEM",'METAS EMPRESAS'!$C$15:$C$320,$A54-WEEKDAY($A54,2)+1)</f>
        <v/>
      </c>
      <c r="L54" s="159">
        <f>SUMIFS('METAS EMPRESAS'!$G$15:$G$320,'METAS EMPRESAS'!$A$15:$A$320,"CMM",'METAS EMPRESAS'!$B$15:$B$320,"IÇAMENTO JOIST",'METAS EMPRESAS'!$C$15:$C$320,$A54-WEEKDAY($A54,2)+1)</f>
        <v/>
      </c>
      <c r="M54" s="159">
        <f>SUMIFS('METAS EMPRESAS'!$G$15:$G$320,'METAS EMPRESAS'!$A$15:$A$320,"CMM",'METAS EMPRESAS'!$B$15:$B$320,"VIGAS",'METAS EMPRESAS'!$C$15:$C$320,$A54-WEEKDAY($A54,2)+1)</f>
        <v/>
      </c>
      <c r="N54" s="159">
        <f>SUMIFS('METAS EMPRESAS'!$J$15:$J$320,'METAS EMPRESAS'!$A$15:$A$320,"EJ",'METAS EMPRESAS'!$B$15:$B$320,"PREMONTAGEM",'METAS EMPRESAS'!$C$15:$C$320,$A54-WEEKDAY($A54,2)+1)</f>
        <v/>
      </c>
      <c r="O54" s="159">
        <f>SUMIFS('METAS EMPRESAS'!$J$15:$J$320,'METAS EMPRESAS'!$A$15:$A$320,"EJ",'METAS EMPRESAS'!$B$15:$B$320,"IÇAMENTO JOIST",'METAS EMPRESAS'!$C$15:$C$320,$A54-WEEKDAY($A54,2)+1)</f>
        <v/>
      </c>
      <c r="P54" s="159">
        <f>SUMIFS('METAS EMPRESAS'!$J$15:$J$320,'METAS EMPRESAS'!$A$15:$A$320,"EJ",'METAS EMPRESAS'!$B$15:$B$320,"VIGAS",'METAS EMPRESAS'!$C$15:$C$320,$A54-WEEKDAY($A54,2)+1)</f>
        <v/>
      </c>
      <c r="Q54" s="159">
        <f>SUMIFS('METAS EMPRESAS'!$J$15:$J$320,'METAS EMPRESAS'!$A$15:$A$320,"CMM",'METAS EMPRESAS'!$B$15:$B$320,"PREMONTAGEM",'METAS EMPRESAS'!$C$15:$C$320,$A54-WEEKDAY($A54,2)+1)</f>
        <v/>
      </c>
      <c r="R54" s="159">
        <f>SUMIFS('METAS EMPRESAS'!$J$15:$J$320,'METAS EMPRESAS'!$A$15:$A$320,"CMM",'METAS EMPRESAS'!$B$15:$B$320,"IÇAMENTO JOIST",'METAS EMPRESAS'!$C$15:$C$320,$A54-WEEKDAY($A54,2)+1)</f>
        <v/>
      </c>
      <c r="S54" s="159">
        <f>SUMIFS('METAS EMPRESAS'!$J$15:$J$320,'METAS EMPRESAS'!$A$15:$A$320,"CMM",'METAS EMPRESAS'!$B$15:$B$320,"VIGAS",'METAS EMPRESAS'!$C$15:$C$320,$A54-WEEKDAY($A54,2)+1)</f>
        <v/>
      </c>
      <c r="T54">
        <f>--(WEEKDAY(A54,2)&lt;=5)</f>
        <v/>
      </c>
      <c r="U54" t="n">
        <v>19</v>
      </c>
      <c r="V54" t="n">
        <v>7</v>
      </c>
      <c r="W54" t="n">
        <v>0</v>
      </c>
      <c r="X54" t="n">
        <v>5</v>
      </c>
      <c r="Y54" t="n">
        <v>5</v>
      </c>
      <c r="Z54" t="n">
        <v>5</v>
      </c>
      <c r="AA54" t="n">
        <v>95</v>
      </c>
      <c r="AB54" t="n">
        <v>35</v>
      </c>
      <c r="AC54" t="n">
        <v>0</v>
      </c>
    </row>
    <row r="55">
      <c r="A55" s="317" t="n">
        <v>46276</v>
      </c>
      <c r="B55" s="159">
        <f>SUMIFS('METAS EMPRESAS'!$K$15:$K$320,'METAS EMPRESAS'!$A$15:$A$320,"EJ",'METAS EMPRESAS'!$B$15:$B$320,"PREMONTAGEM",'METAS EMPRESAS'!$C$15:$C$320,$A55-WEEKDAY($A55,2)+1)</f>
        <v/>
      </c>
      <c r="C55" s="159">
        <f>SUMIFS('METAS EMPRESAS'!$K$15:$K$320,'METAS EMPRESAS'!$A$15:$A$320,"EJ",'METAS EMPRESAS'!$B$15:$B$320,"IÇAMENTO JOIST",'METAS EMPRESAS'!$C$15:$C$320,$A55-WEEKDAY($A55,2)+1)</f>
        <v/>
      </c>
      <c r="D55" s="159">
        <f>SUMIFS('METAS EMPRESAS'!$K$15:$K$320,'METAS EMPRESAS'!$A$15:$A$320,"EJ",'METAS EMPRESAS'!$B$15:$B$320,"VIGAS",'METAS EMPRESAS'!$C$15:$C$320,$A55-WEEKDAY($A55,2)+1)</f>
        <v/>
      </c>
      <c r="E55" s="159">
        <f>SUMIFS('METAS EMPRESAS'!$K$15:$K$320,'METAS EMPRESAS'!$A$15:$A$320,"CMM",'METAS EMPRESAS'!$B$15:$B$320,"PREMONTAGEM",'METAS EMPRESAS'!$C$15:$C$320,$A55-WEEKDAY($A55,2)+1)</f>
        <v/>
      </c>
      <c r="F55" s="159">
        <f>SUMIFS('METAS EMPRESAS'!$K$15:$K$320,'METAS EMPRESAS'!$A$15:$A$320,"CMM",'METAS EMPRESAS'!$B$15:$B$320,"IÇAMENTO JOIST",'METAS EMPRESAS'!$C$15:$C$320,$A55-WEEKDAY($A55,2)+1)</f>
        <v/>
      </c>
      <c r="G55" s="159">
        <f>SUMIFS('METAS EMPRESAS'!$K$15:$K$320,'METAS EMPRESAS'!$A$15:$A$320,"CMM",'METAS EMPRESAS'!$B$15:$B$320,"VIGAS",'METAS EMPRESAS'!$C$15:$C$320,$A55-WEEKDAY($A55,2)+1)</f>
        <v/>
      </c>
      <c r="H55" s="159">
        <f>SUMIFS('METAS EMPRESAS'!$G$15:$G$320,'METAS EMPRESAS'!$A$15:$A$320,"EJ",'METAS EMPRESAS'!$B$15:$B$320,"PREMONTAGEM",'METAS EMPRESAS'!$C$15:$C$320,$A55-WEEKDAY($A55,2)+1)</f>
        <v/>
      </c>
      <c r="I55" s="159">
        <f>SUMIFS('METAS EMPRESAS'!$G$15:$G$320,'METAS EMPRESAS'!$A$15:$A$320,"EJ",'METAS EMPRESAS'!$B$15:$B$320,"IÇAMENTO JOIST",'METAS EMPRESAS'!$C$15:$C$320,$A55-WEEKDAY($A55,2)+1)</f>
        <v/>
      </c>
      <c r="J55" s="159">
        <f>SUMIFS('METAS EMPRESAS'!$G$15:$G$320,'METAS EMPRESAS'!$A$15:$A$320,"EJ",'METAS EMPRESAS'!$B$15:$B$320,"VIGAS",'METAS EMPRESAS'!$C$15:$C$320,$A55-WEEKDAY($A55,2)+1)</f>
        <v/>
      </c>
      <c r="K55" s="159">
        <f>SUMIFS('METAS EMPRESAS'!$G$15:$G$320,'METAS EMPRESAS'!$A$15:$A$320,"CMM",'METAS EMPRESAS'!$B$15:$B$320,"PREMONTAGEM",'METAS EMPRESAS'!$C$15:$C$320,$A55-WEEKDAY($A55,2)+1)</f>
        <v/>
      </c>
      <c r="L55" s="159">
        <f>SUMIFS('METAS EMPRESAS'!$G$15:$G$320,'METAS EMPRESAS'!$A$15:$A$320,"CMM",'METAS EMPRESAS'!$B$15:$B$320,"IÇAMENTO JOIST",'METAS EMPRESAS'!$C$15:$C$320,$A55-WEEKDAY($A55,2)+1)</f>
        <v/>
      </c>
      <c r="M55" s="159">
        <f>SUMIFS('METAS EMPRESAS'!$G$15:$G$320,'METAS EMPRESAS'!$A$15:$A$320,"CMM",'METAS EMPRESAS'!$B$15:$B$320,"VIGAS",'METAS EMPRESAS'!$C$15:$C$320,$A55-WEEKDAY($A55,2)+1)</f>
        <v/>
      </c>
      <c r="N55" s="159">
        <f>SUMIFS('METAS EMPRESAS'!$J$15:$J$320,'METAS EMPRESAS'!$A$15:$A$320,"EJ",'METAS EMPRESAS'!$B$15:$B$320,"PREMONTAGEM",'METAS EMPRESAS'!$C$15:$C$320,$A55-WEEKDAY($A55,2)+1)</f>
        <v/>
      </c>
      <c r="O55" s="159">
        <f>SUMIFS('METAS EMPRESAS'!$J$15:$J$320,'METAS EMPRESAS'!$A$15:$A$320,"EJ",'METAS EMPRESAS'!$B$15:$B$320,"IÇAMENTO JOIST",'METAS EMPRESAS'!$C$15:$C$320,$A55-WEEKDAY($A55,2)+1)</f>
        <v/>
      </c>
      <c r="P55" s="159">
        <f>SUMIFS('METAS EMPRESAS'!$J$15:$J$320,'METAS EMPRESAS'!$A$15:$A$320,"EJ",'METAS EMPRESAS'!$B$15:$B$320,"VIGAS",'METAS EMPRESAS'!$C$15:$C$320,$A55-WEEKDAY($A55,2)+1)</f>
        <v/>
      </c>
      <c r="Q55" s="159">
        <f>SUMIFS('METAS EMPRESAS'!$J$15:$J$320,'METAS EMPRESAS'!$A$15:$A$320,"CMM",'METAS EMPRESAS'!$B$15:$B$320,"PREMONTAGEM",'METAS EMPRESAS'!$C$15:$C$320,$A55-WEEKDAY($A55,2)+1)</f>
        <v/>
      </c>
      <c r="R55" s="159">
        <f>SUMIFS('METAS EMPRESAS'!$J$15:$J$320,'METAS EMPRESAS'!$A$15:$A$320,"CMM",'METAS EMPRESAS'!$B$15:$B$320,"IÇAMENTO JOIST",'METAS EMPRESAS'!$C$15:$C$320,$A55-WEEKDAY($A55,2)+1)</f>
        <v/>
      </c>
      <c r="S55" s="159">
        <f>SUMIFS('METAS EMPRESAS'!$J$15:$J$320,'METAS EMPRESAS'!$A$15:$A$320,"CMM",'METAS EMPRESAS'!$B$15:$B$320,"VIGAS",'METAS EMPRESAS'!$C$15:$C$320,$A55-WEEKDAY($A55,2)+1)</f>
        <v/>
      </c>
      <c r="T55">
        <f>--(WEEKDAY(A55,2)&lt;=5)</f>
        <v/>
      </c>
      <c r="U55" t="n">
        <v>19</v>
      </c>
      <c r="V55" t="n">
        <v>7</v>
      </c>
      <c r="W55" t="n">
        <v>0</v>
      </c>
      <c r="X55" t="n">
        <v>5</v>
      </c>
      <c r="Y55" t="n">
        <v>5</v>
      </c>
      <c r="Z55" t="n">
        <v>5</v>
      </c>
      <c r="AA55" t="n">
        <v>95</v>
      </c>
      <c r="AB55" t="n">
        <v>35</v>
      </c>
      <c r="AC55" t="n">
        <v>0</v>
      </c>
    </row>
    <row r="56">
      <c r="A56" s="317" t="n">
        <v>46277</v>
      </c>
      <c r="B56" s="159">
        <f>SUMIFS('METAS EMPRESAS'!$K$15:$K$320,'METAS EMPRESAS'!$A$15:$A$320,"EJ",'METAS EMPRESAS'!$B$15:$B$320,"PREMONTAGEM",'METAS EMPRESAS'!$C$15:$C$320,$A56-WEEKDAY($A56,2)+1)</f>
        <v/>
      </c>
      <c r="C56" s="159">
        <f>SUMIFS('METAS EMPRESAS'!$K$15:$K$320,'METAS EMPRESAS'!$A$15:$A$320,"EJ",'METAS EMPRESAS'!$B$15:$B$320,"IÇAMENTO JOIST",'METAS EMPRESAS'!$C$15:$C$320,$A56-WEEKDAY($A56,2)+1)</f>
        <v/>
      </c>
      <c r="D56" s="159">
        <f>SUMIFS('METAS EMPRESAS'!$K$15:$K$320,'METAS EMPRESAS'!$A$15:$A$320,"EJ",'METAS EMPRESAS'!$B$15:$B$320,"VIGAS",'METAS EMPRESAS'!$C$15:$C$320,$A56-WEEKDAY($A56,2)+1)</f>
        <v/>
      </c>
      <c r="E56" s="159">
        <f>SUMIFS('METAS EMPRESAS'!$K$15:$K$320,'METAS EMPRESAS'!$A$15:$A$320,"CMM",'METAS EMPRESAS'!$B$15:$B$320,"PREMONTAGEM",'METAS EMPRESAS'!$C$15:$C$320,$A56-WEEKDAY($A56,2)+1)</f>
        <v/>
      </c>
      <c r="F56" s="159">
        <f>SUMIFS('METAS EMPRESAS'!$K$15:$K$320,'METAS EMPRESAS'!$A$15:$A$320,"CMM",'METAS EMPRESAS'!$B$15:$B$320,"IÇAMENTO JOIST",'METAS EMPRESAS'!$C$15:$C$320,$A56-WEEKDAY($A56,2)+1)</f>
        <v/>
      </c>
      <c r="G56" s="159">
        <f>SUMIFS('METAS EMPRESAS'!$K$15:$K$320,'METAS EMPRESAS'!$A$15:$A$320,"CMM",'METAS EMPRESAS'!$B$15:$B$320,"VIGAS",'METAS EMPRESAS'!$C$15:$C$320,$A56-WEEKDAY($A56,2)+1)</f>
        <v/>
      </c>
      <c r="H56" s="159">
        <f>SUMIFS('METAS EMPRESAS'!$G$15:$G$320,'METAS EMPRESAS'!$A$15:$A$320,"EJ",'METAS EMPRESAS'!$B$15:$B$320,"PREMONTAGEM",'METAS EMPRESAS'!$C$15:$C$320,$A56-WEEKDAY($A56,2)+1)</f>
        <v/>
      </c>
      <c r="I56" s="159">
        <f>SUMIFS('METAS EMPRESAS'!$G$15:$G$320,'METAS EMPRESAS'!$A$15:$A$320,"EJ",'METAS EMPRESAS'!$B$15:$B$320,"IÇAMENTO JOIST",'METAS EMPRESAS'!$C$15:$C$320,$A56-WEEKDAY($A56,2)+1)</f>
        <v/>
      </c>
      <c r="J56" s="159">
        <f>SUMIFS('METAS EMPRESAS'!$G$15:$G$320,'METAS EMPRESAS'!$A$15:$A$320,"EJ",'METAS EMPRESAS'!$B$15:$B$320,"VIGAS",'METAS EMPRESAS'!$C$15:$C$320,$A56-WEEKDAY($A56,2)+1)</f>
        <v/>
      </c>
      <c r="K56" s="159">
        <f>SUMIFS('METAS EMPRESAS'!$G$15:$G$320,'METAS EMPRESAS'!$A$15:$A$320,"CMM",'METAS EMPRESAS'!$B$15:$B$320,"PREMONTAGEM",'METAS EMPRESAS'!$C$15:$C$320,$A56-WEEKDAY($A56,2)+1)</f>
        <v/>
      </c>
      <c r="L56" s="159">
        <f>SUMIFS('METAS EMPRESAS'!$G$15:$G$320,'METAS EMPRESAS'!$A$15:$A$320,"CMM",'METAS EMPRESAS'!$B$15:$B$320,"IÇAMENTO JOIST",'METAS EMPRESAS'!$C$15:$C$320,$A56-WEEKDAY($A56,2)+1)</f>
        <v/>
      </c>
      <c r="M56" s="159">
        <f>SUMIFS('METAS EMPRESAS'!$G$15:$G$320,'METAS EMPRESAS'!$A$15:$A$320,"CMM",'METAS EMPRESAS'!$B$15:$B$320,"VIGAS",'METAS EMPRESAS'!$C$15:$C$320,$A56-WEEKDAY($A56,2)+1)</f>
        <v/>
      </c>
      <c r="N56" s="159">
        <f>SUMIFS('METAS EMPRESAS'!$J$15:$J$320,'METAS EMPRESAS'!$A$15:$A$320,"EJ",'METAS EMPRESAS'!$B$15:$B$320,"PREMONTAGEM",'METAS EMPRESAS'!$C$15:$C$320,$A56-WEEKDAY($A56,2)+1)</f>
        <v/>
      </c>
      <c r="O56" s="159">
        <f>SUMIFS('METAS EMPRESAS'!$J$15:$J$320,'METAS EMPRESAS'!$A$15:$A$320,"EJ",'METAS EMPRESAS'!$B$15:$B$320,"IÇAMENTO JOIST",'METAS EMPRESAS'!$C$15:$C$320,$A56-WEEKDAY($A56,2)+1)</f>
        <v/>
      </c>
      <c r="P56" s="159">
        <f>SUMIFS('METAS EMPRESAS'!$J$15:$J$320,'METAS EMPRESAS'!$A$15:$A$320,"EJ",'METAS EMPRESAS'!$B$15:$B$320,"VIGAS",'METAS EMPRESAS'!$C$15:$C$320,$A56-WEEKDAY($A56,2)+1)</f>
        <v/>
      </c>
      <c r="Q56" s="159">
        <f>SUMIFS('METAS EMPRESAS'!$J$15:$J$320,'METAS EMPRESAS'!$A$15:$A$320,"CMM",'METAS EMPRESAS'!$B$15:$B$320,"PREMONTAGEM",'METAS EMPRESAS'!$C$15:$C$320,$A56-WEEKDAY($A56,2)+1)</f>
        <v/>
      </c>
      <c r="R56" s="159">
        <f>SUMIFS('METAS EMPRESAS'!$J$15:$J$320,'METAS EMPRESAS'!$A$15:$A$320,"CMM",'METAS EMPRESAS'!$B$15:$B$320,"IÇAMENTO JOIST",'METAS EMPRESAS'!$C$15:$C$320,$A56-WEEKDAY($A56,2)+1)</f>
        <v/>
      </c>
      <c r="S56" s="159">
        <f>SUMIFS('METAS EMPRESAS'!$J$15:$J$320,'METAS EMPRESAS'!$A$15:$A$320,"CMM",'METAS EMPRESAS'!$B$15:$B$320,"VIGAS",'METAS EMPRESAS'!$C$15:$C$320,$A56-WEEKDAY($A56,2)+1)</f>
        <v/>
      </c>
      <c r="T56">
        <f>--(WEEKDAY(A56,2)&lt;=5)</f>
        <v/>
      </c>
      <c r="U56" t="n">
        <v>19</v>
      </c>
      <c r="V56" t="n">
        <v>7</v>
      </c>
      <c r="W56" t="n">
        <v>0</v>
      </c>
      <c r="X56" t="n">
        <v>5</v>
      </c>
      <c r="Y56" t="n">
        <v>5</v>
      </c>
      <c r="Z56" t="n">
        <v>5</v>
      </c>
      <c r="AA56" t="n">
        <v>95</v>
      </c>
      <c r="AB56" t="n">
        <v>35</v>
      </c>
      <c r="AC56" t="n">
        <v>0</v>
      </c>
    </row>
    <row r="57">
      <c r="A57" s="317" t="n">
        <v>46278</v>
      </c>
      <c r="B57" s="159">
        <f>SUMIFS('METAS EMPRESAS'!$K$15:$K$320,'METAS EMPRESAS'!$A$15:$A$320,"EJ",'METAS EMPRESAS'!$B$15:$B$320,"PREMONTAGEM",'METAS EMPRESAS'!$C$15:$C$320,$A57-WEEKDAY($A57,2)+1)</f>
        <v/>
      </c>
      <c r="C57" s="159">
        <f>SUMIFS('METAS EMPRESAS'!$K$15:$K$320,'METAS EMPRESAS'!$A$15:$A$320,"EJ",'METAS EMPRESAS'!$B$15:$B$320,"IÇAMENTO JOIST",'METAS EMPRESAS'!$C$15:$C$320,$A57-WEEKDAY($A57,2)+1)</f>
        <v/>
      </c>
      <c r="D57" s="159">
        <f>SUMIFS('METAS EMPRESAS'!$K$15:$K$320,'METAS EMPRESAS'!$A$15:$A$320,"EJ",'METAS EMPRESAS'!$B$15:$B$320,"VIGAS",'METAS EMPRESAS'!$C$15:$C$320,$A57-WEEKDAY($A57,2)+1)</f>
        <v/>
      </c>
      <c r="E57" s="159">
        <f>SUMIFS('METAS EMPRESAS'!$K$15:$K$320,'METAS EMPRESAS'!$A$15:$A$320,"CMM",'METAS EMPRESAS'!$B$15:$B$320,"PREMONTAGEM",'METAS EMPRESAS'!$C$15:$C$320,$A57-WEEKDAY($A57,2)+1)</f>
        <v/>
      </c>
      <c r="F57" s="159">
        <f>SUMIFS('METAS EMPRESAS'!$K$15:$K$320,'METAS EMPRESAS'!$A$15:$A$320,"CMM",'METAS EMPRESAS'!$B$15:$B$320,"IÇAMENTO JOIST",'METAS EMPRESAS'!$C$15:$C$320,$A57-WEEKDAY($A57,2)+1)</f>
        <v/>
      </c>
      <c r="G57" s="159">
        <f>SUMIFS('METAS EMPRESAS'!$K$15:$K$320,'METAS EMPRESAS'!$A$15:$A$320,"CMM",'METAS EMPRESAS'!$B$15:$B$320,"VIGAS",'METAS EMPRESAS'!$C$15:$C$320,$A57-WEEKDAY($A57,2)+1)</f>
        <v/>
      </c>
      <c r="H57" s="159">
        <f>SUMIFS('METAS EMPRESAS'!$G$15:$G$320,'METAS EMPRESAS'!$A$15:$A$320,"EJ",'METAS EMPRESAS'!$B$15:$B$320,"PREMONTAGEM",'METAS EMPRESAS'!$C$15:$C$320,$A57-WEEKDAY($A57,2)+1)</f>
        <v/>
      </c>
      <c r="I57" s="159">
        <f>SUMIFS('METAS EMPRESAS'!$G$15:$G$320,'METAS EMPRESAS'!$A$15:$A$320,"EJ",'METAS EMPRESAS'!$B$15:$B$320,"IÇAMENTO JOIST",'METAS EMPRESAS'!$C$15:$C$320,$A57-WEEKDAY($A57,2)+1)</f>
        <v/>
      </c>
      <c r="J57" s="159">
        <f>SUMIFS('METAS EMPRESAS'!$G$15:$G$320,'METAS EMPRESAS'!$A$15:$A$320,"EJ",'METAS EMPRESAS'!$B$15:$B$320,"VIGAS",'METAS EMPRESAS'!$C$15:$C$320,$A57-WEEKDAY($A57,2)+1)</f>
        <v/>
      </c>
      <c r="K57" s="159">
        <f>SUMIFS('METAS EMPRESAS'!$G$15:$G$320,'METAS EMPRESAS'!$A$15:$A$320,"CMM",'METAS EMPRESAS'!$B$15:$B$320,"PREMONTAGEM",'METAS EMPRESAS'!$C$15:$C$320,$A57-WEEKDAY($A57,2)+1)</f>
        <v/>
      </c>
      <c r="L57" s="159">
        <f>SUMIFS('METAS EMPRESAS'!$G$15:$G$320,'METAS EMPRESAS'!$A$15:$A$320,"CMM",'METAS EMPRESAS'!$B$15:$B$320,"IÇAMENTO JOIST",'METAS EMPRESAS'!$C$15:$C$320,$A57-WEEKDAY($A57,2)+1)</f>
        <v/>
      </c>
      <c r="M57" s="159">
        <f>SUMIFS('METAS EMPRESAS'!$G$15:$G$320,'METAS EMPRESAS'!$A$15:$A$320,"CMM",'METAS EMPRESAS'!$B$15:$B$320,"VIGAS",'METAS EMPRESAS'!$C$15:$C$320,$A57-WEEKDAY($A57,2)+1)</f>
        <v/>
      </c>
      <c r="N57" s="159">
        <f>SUMIFS('METAS EMPRESAS'!$J$15:$J$320,'METAS EMPRESAS'!$A$15:$A$320,"EJ",'METAS EMPRESAS'!$B$15:$B$320,"PREMONTAGEM",'METAS EMPRESAS'!$C$15:$C$320,$A57-WEEKDAY($A57,2)+1)</f>
        <v/>
      </c>
      <c r="O57" s="159">
        <f>SUMIFS('METAS EMPRESAS'!$J$15:$J$320,'METAS EMPRESAS'!$A$15:$A$320,"EJ",'METAS EMPRESAS'!$B$15:$B$320,"IÇAMENTO JOIST",'METAS EMPRESAS'!$C$15:$C$320,$A57-WEEKDAY($A57,2)+1)</f>
        <v/>
      </c>
      <c r="P57" s="159">
        <f>SUMIFS('METAS EMPRESAS'!$J$15:$J$320,'METAS EMPRESAS'!$A$15:$A$320,"EJ",'METAS EMPRESAS'!$B$15:$B$320,"VIGAS",'METAS EMPRESAS'!$C$15:$C$320,$A57-WEEKDAY($A57,2)+1)</f>
        <v/>
      </c>
      <c r="Q57" s="159">
        <f>SUMIFS('METAS EMPRESAS'!$J$15:$J$320,'METAS EMPRESAS'!$A$15:$A$320,"CMM",'METAS EMPRESAS'!$B$15:$B$320,"PREMONTAGEM",'METAS EMPRESAS'!$C$15:$C$320,$A57-WEEKDAY($A57,2)+1)</f>
        <v/>
      </c>
      <c r="R57" s="159">
        <f>SUMIFS('METAS EMPRESAS'!$J$15:$J$320,'METAS EMPRESAS'!$A$15:$A$320,"CMM",'METAS EMPRESAS'!$B$15:$B$320,"IÇAMENTO JOIST",'METAS EMPRESAS'!$C$15:$C$320,$A57-WEEKDAY($A57,2)+1)</f>
        <v/>
      </c>
      <c r="S57" s="159">
        <f>SUMIFS('METAS EMPRESAS'!$J$15:$J$320,'METAS EMPRESAS'!$A$15:$A$320,"CMM",'METAS EMPRESAS'!$B$15:$B$320,"VIGAS",'METAS EMPRESAS'!$C$15:$C$320,$A57-WEEKDAY($A57,2)+1)</f>
        <v/>
      </c>
      <c r="T57">
        <f>--(WEEKDAY(A57,2)&lt;=5)</f>
        <v/>
      </c>
      <c r="U57" t="n">
        <v>19</v>
      </c>
      <c r="V57" t="n">
        <v>7</v>
      </c>
      <c r="W57" t="n">
        <v>0</v>
      </c>
      <c r="X57" t="n">
        <v>5</v>
      </c>
      <c r="Y57" t="n">
        <v>5</v>
      </c>
      <c r="Z57" t="n">
        <v>5</v>
      </c>
      <c r="AA57" t="n">
        <v>95</v>
      </c>
      <c r="AB57" t="n">
        <v>35</v>
      </c>
      <c r="AC57" t="n">
        <v>0</v>
      </c>
    </row>
    <row r="58">
      <c r="A58" s="317" t="n">
        <v>46279</v>
      </c>
      <c r="B58" s="159">
        <f>SUMIFS('METAS EMPRESAS'!$K$15:$K$320,'METAS EMPRESAS'!$A$15:$A$320,"EJ",'METAS EMPRESAS'!$B$15:$B$320,"PREMONTAGEM",'METAS EMPRESAS'!$C$15:$C$320,$A58-WEEKDAY($A58,2)+1)</f>
        <v/>
      </c>
      <c r="C58" s="159">
        <f>SUMIFS('METAS EMPRESAS'!$K$15:$K$320,'METAS EMPRESAS'!$A$15:$A$320,"EJ",'METAS EMPRESAS'!$B$15:$B$320,"IÇAMENTO JOIST",'METAS EMPRESAS'!$C$15:$C$320,$A58-WEEKDAY($A58,2)+1)</f>
        <v/>
      </c>
      <c r="D58" s="159">
        <f>SUMIFS('METAS EMPRESAS'!$K$15:$K$320,'METAS EMPRESAS'!$A$15:$A$320,"EJ",'METAS EMPRESAS'!$B$15:$B$320,"VIGAS",'METAS EMPRESAS'!$C$15:$C$320,$A58-WEEKDAY($A58,2)+1)</f>
        <v/>
      </c>
      <c r="E58" s="159">
        <f>SUMIFS('METAS EMPRESAS'!$K$15:$K$320,'METAS EMPRESAS'!$A$15:$A$320,"CMM",'METAS EMPRESAS'!$B$15:$B$320,"PREMONTAGEM",'METAS EMPRESAS'!$C$15:$C$320,$A58-WEEKDAY($A58,2)+1)</f>
        <v/>
      </c>
      <c r="F58" s="159">
        <f>SUMIFS('METAS EMPRESAS'!$K$15:$K$320,'METAS EMPRESAS'!$A$15:$A$320,"CMM",'METAS EMPRESAS'!$B$15:$B$320,"IÇAMENTO JOIST",'METAS EMPRESAS'!$C$15:$C$320,$A58-WEEKDAY($A58,2)+1)</f>
        <v/>
      </c>
      <c r="G58" s="159">
        <f>SUMIFS('METAS EMPRESAS'!$K$15:$K$320,'METAS EMPRESAS'!$A$15:$A$320,"CMM",'METAS EMPRESAS'!$B$15:$B$320,"VIGAS",'METAS EMPRESAS'!$C$15:$C$320,$A58-WEEKDAY($A58,2)+1)</f>
        <v/>
      </c>
      <c r="H58" s="159">
        <f>SUMIFS('METAS EMPRESAS'!$G$15:$G$320,'METAS EMPRESAS'!$A$15:$A$320,"EJ",'METAS EMPRESAS'!$B$15:$B$320,"PREMONTAGEM",'METAS EMPRESAS'!$C$15:$C$320,$A58-WEEKDAY($A58,2)+1)</f>
        <v/>
      </c>
      <c r="I58" s="159">
        <f>SUMIFS('METAS EMPRESAS'!$G$15:$G$320,'METAS EMPRESAS'!$A$15:$A$320,"EJ",'METAS EMPRESAS'!$B$15:$B$320,"IÇAMENTO JOIST",'METAS EMPRESAS'!$C$15:$C$320,$A58-WEEKDAY($A58,2)+1)</f>
        <v/>
      </c>
      <c r="J58" s="159">
        <f>SUMIFS('METAS EMPRESAS'!$G$15:$G$320,'METAS EMPRESAS'!$A$15:$A$320,"EJ",'METAS EMPRESAS'!$B$15:$B$320,"VIGAS",'METAS EMPRESAS'!$C$15:$C$320,$A58-WEEKDAY($A58,2)+1)</f>
        <v/>
      </c>
      <c r="K58" s="159">
        <f>SUMIFS('METAS EMPRESAS'!$G$15:$G$320,'METAS EMPRESAS'!$A$15:$A$320,"CMM",'METAS EMPRESAS'!$B$15:$B$320,"PREMONTAGEM",'METAS EMPRESAS'!$C$15:$C$320,$A58-WEEKDAY($A58,2)+1)</f>
        <v/>
      </c>
      <c r="L58" s="159">
        <f>SUMIFS('METAS EMPRESAS'!$G$15:$G$320,'METAS EMPRESAS'!$A$15:$A$320,"CMM",'METAS EMPRESAS'!$B$15:$B$320,"IÇAMENTO JOIST",'METAS EMPRESAS'!$C$15:$C$320,$A58-WEEKDAY($A58,2)+1)</f>
        <v/>
      </c>
      <c r="M58" s="159">
        <f>SUMIFS('METAS EMPRESAS'!$G$15:$G$320,'METAS EMPRESAS'!$A$15:$A$320,"CMM",'METAS EMPRESAS'!$B$15:$B$320,"VIGAS",'METAS EMPRESAS'!$C$15:$C$320,$A58-WEEKDAY($A58,2)+1)</f>
        <v/>
      </c>
      <c r="N58" s="159">
        <f>SUMIFS('METAS EMPRESAS'!$J$15:$J$320,'METAS EMPRESAS'!$A$15:$A$320,"EJ",'METAS EMPRESAS'!$B$15:$B$320,"PREMONTAGEM",'METAS EMPRESAS'!$C$15:$C$320,$A58-WEEKDAY($A58,2)+1)</f>
        <v/>
      </c>
      <c r="O58" s="159">
        <f>SUMIFS('METAS EMPRESAS'!$J$15:$J$320,'METAS EMPRESAS'!$A$15:$A$320,"EJ",'METAS EMPRESAS'!$B$15:$B$320,"IÇAMENTO JOIST",'METAS EMPRESAS'!$C$15:$C$320,$A58-WEEKDAY($A58,2)+1)</f>
        <v/>
      </c>
      <c r="P58" s="159">
        <f>SUMIFS('METAS EMPRESAS'!$J$15:$J$320,'METAS EMPRESAS'!$A$15:$A$320,"EJ",'METAS EMPRESAS'!$B$15:$B$320,"VIGAS",'METAS EMPRESAS'!$C$15:$C$320,$A58-WEEKDAY($A58,2)+1)</f>
        <v/>
      </c>
      <c r="Q58" s="159">
        <f>SUMIFS('METAS EMPRESAS'!$J$15:$J$320,'METAS EMPRESAS'!$A$15:$A$320,"CMM",'METAS EMPRESAS'!$B$15:$B$320,"PREMONTAGEM",'METAS EMPRESAS'!$C$15:$C$320,$A58-WEEKDAY($A58,2)+1)</f>
        <v/>
      </c>
      <c r="R58" s="159">
        <f>SUMIFS('METAS EMPRESAS'!$J$15:$J$320,'METAS EMPRESAS'!$A$15:$A$320,"CMM",'METAS EMPRESAS'!$B$15:$B$320,"IÇAMENTO JOIST",'METAS EMPRESAS'!$C$15:$C$320,$A58-WEEKDAY($A58,2)+1)</f>
        <v/>
      </c>
      <c r="S58" s="159">
        <f>SUMIFS('METAS EMPRESAS'!$J$15:$J$320,'METAS EMPRESAS'!$A$15:$A$320,"CMM",'METAS EMPRESAS'!$B$15:$B$320,"VIGAS",'METAS EMPRESAS'!$C$15:$C$320,$A58-WEEKDAY($A58,2)+1)</f>
        <v/>
      </c>
      <c r="T58">
        <f>--(WEEKDAY(A58,2)&lt;=5)</f>
        <v/>
      </c>
      <c r="U58" t="n">
        <v>19</v>
      </c>
      <c r="V58" t="n">
        <v>7</v>
      </c>
      <c r="W58" t="n">
        <v>0</v>
      </c>
      <c r="X58" t="n">
        <v>5</v>
      </c>
      <c r="Y58" t="n">
        <v>5</v>
      </c>
      <c r="Z58" t="n">
        <v>5</v>
      </c>
      <c r="AA58" t="n">
        <v>95</v>
      </c>
      <c r="AB58" t="n">
        <v>35</v>
      </c>
      <c r="AC58" t="n">
        <v>0</v>
      </c>
    </row>
    <row r="59">
      <c r="A59" s="317" t="n">
        <v>46280</v>
      </c>
      <c r="B59" s="159">
        <f>SUMIFS('METAS EMPRESAS'!$K$15:$K$320,'METAS EMPRESAS'!$A$15:$A$320,"EJ",'METAS EMPRESAS'!$B$15:$B$320,"PREMONTAGEM",'METAS EMPRESAS'!$C$15:$C$320,$A59-WEEKDAY($A59,2)+1)</f>
        <v/>
      </c>
      <c r="C59" s="159">
        <f>SUMIFS('METAS EMPRESAS'!$K$15:$K$320,'METAS EMPRESAS'!$A$15:$A$320,"EJ",'METAS EMPRESAS'!$B$15:$B$320,"IÇAMENTO JOIST",'METAS EMPRESAS'!$C$15:$C$320,$A59-WEEKDAY($A59,2)+1)</f>
        <v/>
      </c>
      <c r="D59" s="159">
        <f>SUMIFS('METAS EMPRESAS'!$K$15:$K$320,'METAS EMPRESAS'!$A$15:$A$320,"EJ",'METAS EMPRESAS'!$B$15:$B$320,"VIGAS",'METAS EMPRESAS'!$C$15:$C$320,$A59-WEEKDAY($A59,2)+1)</f>
        <v/>
      </c>
      <c r="E59" s="159">
        <f>SUMIFS('METAS EMPRESAS'!$K$15:$K$320,'METAS EMPRESAS'!$A$15:$A$320,"CMM",'METAS EMPRESAS'!$B$15:$B$320,"PREMONTAGEM",'METAS EMPRESAS'!$C$15:$C$320,$A59-WEEKDAY($A59,2)+1)</f>
        <v/>
      </c>
      <c r="F59" s="159">
        <f>SUMIFS('METAS EMPRESAS'!$K$15:$K$320,'METAS EMPRESAS'!$A$15:$A$320,"CMM",'METAS EMPRESAS'!$B$15:$B$320,"IÇAMENTO JOIST",'METAS EMPRESAS'!$C$15:$C$320,$A59-WEEKDAY($A59,2)+1)</f>
        <v/>
      </c>
      <c r="G59" s="159">
        <f>SUMIFS('METAS EMPRESAS'!$K$15:$K$320,'METAS EMPRESAS'!$A$15:$A$320,"CMM",'METAS EMPRESAS'!$B$15:$B$320,"VIGAS",'METAS EMPRESAS'!$C$15:$C$320,$A59-WEEKDAY($A59,2)+1)</f>
        <v/>
      </c>
      <c r="H59" s="159">
        <f>SUMIFS('METAS EMPRESAS'!$G$15:$G$320,'METAS EMPRESAS'!$A$15:$A$320,"EJ",'METAS EMPRESAS'!$B$15:$B$320,"PREMONTAGEM",'METAS EMPRESAS'!$C$15:$C$320,$A59-WEEKDAY($A59,2)+1)</f>
        <v/>
      </c>
      <c r="I59" s="159">
        <f>SUMIFS('METAS EMPRESAS'!$G$15:$G$320,'METAS EMPRESAS'!$A$15:$A$320,"EJ",'METAS EMPRESAS'!$B$15:$B$320,"IÇAMENTO JOIST",'METAS EMPRESAS'!$C$15:$C$320,$A59-WEEKDAY($A59,2)+1)</f>
        <v/>
      </c>
      <c r="J59" s="159">
        <f>SUMIFS('METAS EMPRESAS'!$G$15:$G$320,'METAS EMPRESAS'!$A$15:$A$320,"EJ",'METAS EMPRESAS'!$B$15:$B$320,"VIGAS",'METAS EMPRESAS'!$C$15:$C$320,$A59-WEEKDAY($A59,2)+1)</f>
        <v/>
      </c>
      <c r="K59" s="159">
        <f>SUMIFS('METAS EMPRESAS'!$G$15:$G$320,'METAS EMPRESAS'!$A$15:$A$320,"CMM",'METAS EMPRESAS'!$B$15:$B$320,"PREMONTAGEM",'METAS EMPRESAS'!$C$15:$C$320,$A59-WEEKDAY($A59,2)+1)</f>
        <v/>
      </c>
      <c r="L59" s="159">
        <f>SUMIFS('METAS EMPRESAS'!$G$15:$G$320,'METAS EMPRESAS'!$A$15:$A$320,"CMM",'METAS EMPRESAS'!$B$15:$B$320,"IÇAMENTO JOIST",'METAS EMPRESAS'!$C$15:$C$320,$A59-WEEKDAY($A59,2)+1)</f>
        <v/>
      </c>
      <c r="M59" s="159">
        <f>SUMIFS('METAS EMPRESAS'!$G$15:$G$320,'METAS EMPRESAS'!$A$15:$A$320,"CMM",'METAS EMPRESAS'!$B$15:$B$320,"VIGAS",'METAS EMPRESAS'!$C$15:$C$320,$A59-WEEKDAY($A59,2)+1)</f>
        <v/>
      </c>
      <c r="N59" s="159">
        <f>SUMIFS('METAS EMPRESAS'!$J$15:$J$320,'METAS EMPRESAS'!$A$15:$A$320,"EJ",'METAS EMPRESAS'!$B$15:$B$320,"PREMONTAGEM",'METAS EMPRESAS'!$C$15:$C$320,$A59-WEEKDAY($A59,2)+1)</f>
        <v/>
      </c>
      <c r="O59" s="159">
        <f>SUMIFS('METAS EMPRESAS'!$J$15:$J$320,'METAS EMPRESAS'!$A$15:$A$320,"EJ",'METAS EMPRESAS'!$B$15:$B$320,"IÇAMENTO JOIST",'METAS EMPRESAS'!$C$15:$C$320,$A59-WEEKDAY($A59,2)+1)</f>
        <v/>
      </c>
      <c r="P59" s="159">
        <f>SUMIFS('METAS EMPRESAS'!$J$15:$J$320,'METAS EMPRESAS'!$A$15:$A$320,"EJ",'METAS EMPRESAS'!$B$15:$B$320,"VIGAS",'METAS EMPRESAS'!$C$15:$C$320,$A59-WEEKDAY($A59,2)+1)</f>
        <v/>
      </c>
      <c r="Q59" s="159">
        <f>SUMIFS('METAS EMPRESAS'!$J$15:$J$320,'METAS EMPRESAS'!$A$15:$A$320,"CMM",'METAS EMPRESAS'!$B$15:$B$320,"PREMONTAGEM",'METAS EMPRESAS'!$C$15:$C$320,$A59-WEEKDAY($A59,2)+1)</f>
        <v/>
      </c>
      <c r="R59" s="159">
        <f>SUMIFS('METAS EMPRESAS'!$J$15:$J$320,'METAS EMPRESAS'!$A$15:$A$320,"CMM",'METAS EMPRESAS'!$B$15:$B$320,"IÇAMENTO JOIST",'METAS EMPRESAS'!$C$15:$C$320,$A59-WEEKDAY($A59,2)+1)</f>
        <v/>
      </c>
      <c r="S59" s="159">
        <f>SUMIFS('METAS EMPRESAS'!$J$15:$J$320,'METAS EMPRESAS'!$A$15:$A$320,"CMM",'METAS EMPRESAS'!$B$15:$B$320,"VIGAS",'METAS EMPRESAS'!$C$15:$C$320,$A59-WEEKDAY($A59,2)+1)</f>
        <v/>
      </c>
      <c r="T59">
        <f>--(WEEKDAY(A59,2)&lt;=5)</f>
        <v/>
      </c>
      <c r="U59" t="n">
        <v>19</v>
      </c>
      <c r="V59" t="n">
        <v>7</v>
      </c>
      <c r="W59" t="n">
        <v>0</v>
      </c>
      <c r="X59" t="n">
        <v>5</v>
      </c>
      <c r="Y59" t="n">
        <v>5</v>
      </c>
      <c r="Z59" t="n">
        <v>5</v>
      </c>
      <c r="AA59" t="n">
        <v>95</v>
      </c>
      <c r="AB59" t="n">
        <v>35</v>
      </c>
      <c r="AC59" t="n">
        <v>0</v>
      </c>
    </row>
    <row r="60">
      <c r="A60" s="317" t="n">
        <v>46281</v>
      </c>
      <c r="B60" s="159">
        <f>SUMIFS('METAS EMPRESAS'!$K$15:$K$320,'METAS EMPRESAS'!$A$15:$A$320,"EJ",'METAS EMPRESAS'!$B$15:$B$320,"PREMONTAGEM",'METAS EMPRESAS'!$C$15:$C$320,$A60-WEEKDAY($A60,2)+1)</f>
        <v/>
      </c>
      <c r="C60" s="159">
        <f>SUMIFS('METAS EMPRESAS'!$K$15:$K$320,'METAS EMPRESAS'!$A$15:$A$320,"EJ",'METAS EMPRESAS'!$B$15:$B$320,"IÇAMENTO JOIST",'METAS EMPRESAS'!$C$15:$C$320,$A60-WEEKDAY($A60,2)+1)</f>
        <v/>
      </c>
      <c r="D60" s="159">
        <f>SUMIFS('METAS EMPRESAS'!$K$15:$K$320,'METAS EMPRESAS'!$A$15:$A$320,"EJ",'METAS EMPRESAS'!$B$15:$B$320,"VIGAS",'METAS EMPRESAS'!$C$15:$C$320,$A60-WEEKDAY($A60,2)+1)</f>
        <v/>
      </c>
      <c r="E60" s="159">
        <f>SUMIFS('METAS EMPRESAS'!$K$15:$K$320,'METAS EMPRESAS'!$A$15:$A$320,"CMM",'METAS EMPRESAS'!$B$15:$B$320,"PREMONTAGEM",'METAS EMPRESAS'!$C$15:$C$320,$A60-WEEKDAY($A60,2)+1)</f>
        <v/>
      </c>
      <c r="F60" s="159">
        <f>SUMIFS('METAS EMPRESAS'!$K$15:$K$320,'METAS EMPRESAS'!$A$15:$A$320,"CMM",'METAS EMPRESAS'!$B$15:$B$320,"IÇAMENTO JOIST",'METAS EMPRESAS'!$C$15:$C$320,$A60-WEEKDAY($A60,2)+1)</f>
        <v/>
      </c>
      <c r="G60" s="159">
        <f>SUMIFS('METAS EMPRESAS'!$K$15:$K$320,'METAS EMPRESAS'!$A$15:$A$320,"CMM",'METAS EMPRESAS'!$B$15:$B$320,"VIGAS",'METAS EMPRESAS'!$C$15:$C$320,$A60-WEEKDAY($A60,2)+1)</f>
        <v/>
      </c>
      <c r="H60" s="159">
        <f>SUMIFS('METAS EMPRESAS'!$G$15:$G$320,'METAS EMPRESAS'!$A$15:$A$320,"EJ",'METAS EMPRESAS'!$B$15:$B$320,"PREMONTAGEM",'METAS EMPRESAS'!$C$15:$C$320,$A60-WEEKDAY($A60,2)+1)</f>
        <v/>
      </c>
      <c r="I60" s="159">
        <f>SUMIFS('METAS EMPRESAS'!$G$15:$G$320,'METAS EMPRESAS'!$A$15:$A$320,"EJ",'METAS EMPRESAS'!$B$15:$B$320,"IÇAMENTO JOIST",'METAS EMPRESAS'!$C$15:$C$320,$A60-WEEKDAY($A60,2)+1)</f>
        <v/>
      </c>
      <c r="J60" s="159">
        <f>SUMIFS('METAS EMPRESAS'!$G$15:$G$320,'METAS EMPRESAS'!$A$15:$A$320,"EJ",'METAS EMPRESAS'!$B$15:$B$320,"VIGAS",'METAS EMPRESAS'!$C$15:$C$320,$A60-WEEKDAY($A60,2)+1)</f>
        <v/>
      </c>
      <c r="K60" s="159">
        <f>SUMIFS('METAS EMPRESAS'!$G$15:$G$320,'METAS EMPRESAS'!$A$15:$A$320,"CMM",'METAS EMPRESAS'!$B$15:$B$320,"PREMONTAGEM",'METAS EMPRESAS'!$C$15:$C$320,$A60-WEEKDAY($A60,2)+1)</f>
        <v/>
      </c>
      <c r="L60" s="159">
        <f>SUMIFS('METAS EMPRESAS'!$G$15:$G$320,'METAS EMPRESAS'!$A$15:$A$320,"CMM",'METAS EMPRESAS'!$B$15:$B$320,"IÇAMENTO JOIST",'METAS EMPRESAS'!$C$15:$C$320,$A60-WEEKDAY($A60,2)+1)</f>
        <v/>
      </c>
      <c r="M60" s="159">
        <f>SUMIFS('METAS EMPRESAS'!$G$15:$G$320,'METAS EMPRESAS'!$A$15:$A$320,"CMM",'METAS EMPRESAS'!$B$15:$B$320,"VIGAS",'METAS EMPRESAS'!$C$15:$C$320,$A60-WEEKDAY($A60,2)+1)</f>
        <v/>
      </c>
      <c r="N60" s="159">
        <f>SUMIFS('METAS EMPRESAS'!$J$15:$J$320,'METAS EMPRESAS'!$A$15:$A$320,"EJ",'METAS EMPRESAS'!$B$15:$B$320,"PREMONTAGEM",'METAS EMPRESAS'!$C$15:$C$320,$A60-WEEKDAY($A60,2)+1)</f>
        <v/>
      </c>
      <c r="O60" s="159">
        <f>SUMIFS('METAS EMPRESAS'!$J$15:$J$320,'METAS EMPRESAS'!$A$15:$A$320,"EJ",'METAS EMPRESAS'!$B$15:$B$320,"IÇAMENTO JOIST",'METAS EMPRESAS'!$C$15:$C$320,$A60-WEEKDAY($A60,2)+1)</f>
        <v/>
      </c>
      <c r="P60" s="159">
        <f>SUMIFS('METAS EMPRESAS'!$J$15:$J$320,'METAS EMPRESAS'!$A$15:$A$320,"EJ",'METAS EMPRESAS'!$B$15:$B$320,"VIGAS",'METAS EMPRESAS'!$C$15:$C$320,$A60-WEEKDAY($A60,2)+1)</f>
        <v/>
      </c>
      <c r="Q60" s="159">
        <f>SUMIFS('METAS EMPRESAS'!$J$15:$J$320,'METAS EMPRESAS'!$A$15:$A$320,"CMM",'METAS EMPRESAS'!$B$15:$B$320,"PREMONTAGEM",'METAS EMPRESAS'!$C$15:$C$320,$A60-WEEKDAY($A60,2)+1)</f>
        <v/>
      </c>
      <c r="R60" s="159">
        <f>SUMIFS('METAS EMPRESAS'!$J$15:$J$320,'METAS EMPRESAS'!$A$15:$A$320,"CMM",'METAS EMPRESAS'!$B$15:$B$320,"IÇAMENTO JOIST",'METAS EMPRESAS'!$C$15:$C$320,$A60-WEEKDAY($A60,2)+1)</f>
        <v/>
      </c>
      <c r="S60" s="159">
        <f>SUMIFS('METAS EMPRESAS'!$J$15:$J$320,'METAS EMPRESAS'!$A$15:$A$320,"CMM",'METAS EMPRESAS'!$B$15:$B$320,"VIGAS",'METAS EMPRESAS'!$C$15:$C$320,$A60-WEEKDAY($A60,2)+1)</f>
        <v/>
      </c>
      <c r="T60">
        <f>--(WEEKDAY(A60,2)&lt;=5)</f>
        <v/>
      </c>
      <c r="U60" t="n">
        <v>19</v>
      </c>
      <c r="V60" t="n">
        <v>7</v>
      </c>
      <c r="W60" t="n">
        <v>0</v>
      </c>
      <c r="X60" t="n">
        <v>5</v>
      </c>
      <c r="Y60" t="n">
        <v>5</v>
      </c>
      <c r="Z60" t="n">
        <v>5</v>
      </c>
      <c r="AA60" t="n">
        <v>95</v>
      </c>
      <c r="AB60" t="n">
        <v>35</v>
      </c>
      <c r="AC60" t="n">
        <v>0</v>
      </c>
    </row>
    <row r="61">
      <c r="A61" s="317" t="n">
        <v>46282</v>
      </c>
      <c r="B61" s="159">
        <f>SUMIFS('METAS EMPRESAS'!$K$15:$K$320,'METAS EMPRESAS'!$A$15:$A$320,"EJ",'METAS EMPRESAS'!$B$15:$B$320,"PREMONTAGEM",'METAS EMPRESAS'!$C$15:$C$320,$A61-WEEKDAY($A61,2)+1)</f>
        <v/>
      </c>
      <c r="C61" s="159">
        <f>SUMIFS('METAS EMPRESAS'!$K$15:$K$320,'METAS EMPRESAS'!$A$15:$A$320,"EJ",'METAS EMPRESAS'!$B$15:$B$320,"IÇAMENTO JOIST",'METAS EMPRESAS'!$C$15:$C$320,$A61-WEEKDAY($A61,2)+1)</f>
        <v/>
      </c>
      <c r="D61" s="159">
        <f>SUMIFS('METAS EMPRESAS'!$K$15:$K$320,'METAS EMPRESAS'!$A$15:$A$320,"EJ",'METAS EMPRESAS'!$B$15:$B$320,"VIGAS",'METAS EMPRESAS'!$C$15:$C$320,$A61-WEEKDAY($A61,2)+1)</f>
        <v/>
      </c>
      <c r="E61" s="159">
        <f>SUMIFS('METAS EMPRESAS'!$K$15:$K$320,'METAS EMPRESAS'!$A$15:$A$320,"CMM",'METAS EMPRESAS'!$B$15:$B$320,"PREMONTAGEM",'METAS EMPRESAS'!$C$15:$C$320,$A61-WEEKDAY($A61,2)+1)</f>
        <v/>
      </c>
      <c r="F61" s="159">
        <f>SUMIFS('METAS EMPRESAS'!$K$15:$K$320,'METAS EMPRESAS'!$A$15:$A$320,"CMM",'METAS EMPRESAS'!$B$15:$B$320,"IÇAMENTO JOIST",'METAS EMPRESAS'!$C$15:$C$320,$A61-WEEKDAY($A61,2)+1)</f>
        <v/>
      </c>
      <c r="G61" s="159">
        <f>SUMIFS('METAS EMPRESAS'!$K$15:$K$320,'METAS EMPRESAS'!$A$15:$A$320,"CMM",'METAS EMPRESAS'!$B$15:$B$320,"VIGAS",'METAS EMPRESAS'!$C$15:$C$320,$A61-WEEKDAY($A61,2)+1)</f>
        <v/>
      </c>
      <c r="H61" s="159">
        <f>SUMIFS('METAS EMPRESAS'!$G$15:$G$320,'METAS EMPRESAS'!$A$15:$A$320,"EJ",'METAS EMPRESAS'!$B$15:$B$320,"PREMONTAGEM",'METAS EMPRESAS'!$C$15:$C$320,$A61-WEEKDAY($A61,2)+1)</f>
        <v/>
      </c>
      <c r="I61" s="159">
        <f>SUMIFS('METAS EMPRESAS'!$G$15:$G$320,'METAS EMPRESAS'!$A$15:$A$320,"EJ",'METAS EMPRESAS'!$B$15:$B$320,"IÇAMENTO JOIST",'METAS EMPRESAS'!$C$15:$C$320,$A61-WEEKDAY($A61,2)+1)</f>
        <v/>
      </c>
      <c r="J61" s="159">
        <f>SUMIFS('METAS EMPRESAS'!$G$15:$G$320,'METAS EMPRESAS'!$A$15:$A$320,"EJ",'METAS EMPRESAS'!$B$15:$B$320,"VIGAS",'METAS EMPRESAS'!$C$15:$C$320,$A61-WEEKDAY($A61,2)+1)</f>
        <v/>
      </c>
      <c r="K61" s="159">
        <f>SUMIFS('METAS EMPRESAS'!$G$15:$G$320,'METAS EMPRESAS'!$A$15:$A$320,"CMM",'METAS EMPRESAS'!$B$15:$B$320,"PREMONTAGEM",'METAS EMPRESAS'!$C$15:$C$320,$A61-WEEKDAY($A61,2)+1)</f>
        <v/>
      </c>
      <c r="L61" s="159">
        <f>SUMIFS('METAS EMPRESAS'!$G$15:$G$320,'METAS EMPRESAS'!$A$15:$A$320,"CMM",'METAS EMPRESAS'!$B$15:$B$320,"IÇAMENTO JOIST",'METAS EMPRESAS'!$C$15:$C$320,$A61-WEEKDAY($A61,2)+1)</f>
        <v/>
      </c>
      <c r="M61" s="159">
        <f>SUMIFS('METAS EMPRESAS'!$G$15:$G$320,'METAS EMPRESAS'!$A$15:$A$320,"CMM",'METAS EMPRESAS'!$B$15:$B$320,"VIGAS",'METAS EMPRESAS'!$C$15:$C$320,$A61-WEEKDAY($A61,2)+1)</f>
        <v/>
      </c>
      <c r="N61" s="159">
        <f>SUMIFS('METAS EMPRESAS'!$J$15:$J$320,'METAS EMPRESAS'!$A$15:$A$320,"EJ",'METAS EMPRESAS'!$B$15:$B$320,"PREMONTAGEM",'METAS EMPRESAS'!$C$15:$C$320,$A61-WEEKDAY($A61,2)+1)</f>
        <v/>
      </c>
      <c r="O61" s="159">
        <f>SUMIFS('METAS EMPRESAS'!$J$15:$J$320,'METAS EMPRESAS'!$A$15:$A$320,"EJ",'METAS EMPRESAS'!$B$15:$B$320,"IÇAMENTO JOIST",'METAS EMPRESAS'!$C$15:$C$320,$A61-WEEKDAY($A61,2)+1)</f>
        <v/>
      </c>
      <c r="P61" s="159">
        <f>SUMIFS('METAS EMPRESAS'!$J$15:$J$320,'METAS EMPRESAS'!$A$15:$A$320,"EJ",'METAS EMPRESAS'!$B$15:$B$320,"VIGAS",'METAS EMPRESAS'!$C$15:$C$320,$A61-WEEKDAY($A61,2)+1)</f>
        <v/>
      </c>
      <c r="Q61" s="159">
        <f>SUMIFS('METAS EMPRESAS'!$J$15:$J$320,'METAS EMPRESAS'!$A$15:$A$320,"CMM",'METAS EMPRESAS'!$B$15:$B$320,"PREMONTAGEM",'METAS EMPRESAS'!$C$15:$C$320,$A61-WEEKDAY($A61,2)+1)</f>
        <v/>
      </c>
      <c r="R61" s="159">
        <f>SUMIFS('METAS EMPRESAS'!$J$15:$J$320,'METAS EMPRESAS'!$A$15:$A$320,"CMM",'METAS EMPRESAS'!$B$15:$B$320,"IÇAMENTO JOIST",'METAS EMPRESAS'!$C$15:$C$320,$A61-WEEKDAY($A61,2)+1)</f>
        <v/>
      </c>
      <c r="S61" s="159">
        <f>SUMIFS('METAS EMPRESAS'!$J$15:$J$320,'METAS EMPRESAS'!$A$15:$A$320,"CMM",'METAS EMPRESAS'!$B$15:$B$320,"VIGAS",'METAS EMPRESAS'!$C$15:$C$320,$A61-WEEKDAY($A61,2)+1)</f>
        <v/>
      </c>
      <c r="T61">
        <f>--(WEEKDAY(A61,2)&lt;=5)</f>
        <v/>
      </c>
      <c r="U61" t="n">
        <v>19</v>
      </c>
      <c r="V61" t="n">
        <v>7</v>
      </c>
      <c r="W61" t="n">
        <v>0</v>
      </c>
      <c r="X61" t="n">
        <v>5</v>
      </c>
      <c r="Y61" t="n">
        <v>5</v>
      </c>
      <c r="Z61" t="n">
        <v>5</v>
      </c>
      <c r="AA61" t="n">
        <v>95</v>
      </c>
      <c r="AB61" t="n">
        <v>35</v>
      </c>
      <c r="AC61" t="n">
        <v>0</v>
      </c>
    </row>
    <row r="62">
      <c r="A62" s="317" t="n">
        <v>46283</v>
      </c>
      <c r="B62" s="159">
        <f>SUMIFS('METAS EMPRESAS'!$K$15:$K$320,'METAS EMPRESAS'!$A$15:$A$320,"EJ",'METAS EMPRESAS'!$B$15:$B$320,"PREMONTAGEM",'METAS EMPRESAS'!$C$15:$C$320,$A62-WEEKDAY($A62,2)+1)</f>
        <v/>
      </c>
      <c r="C62" s="159">
        <f>SUMIFS('METAS EMPRESAS'!$K$15:$K$320,'METAS EMPRESAS'!$A$15:$A$320,"EJ",'METAS EMPRESAS'!$B$15:$B$320,"IÇAMENTO JOIST",'METAS EMPRESAS'!$C$15:$C$320,$A62-WEEKDAY($A62,2)+1)</f>
        <v/>
      </c>
      <c r="D62" s="159">
        <f>SUMIFS('METAS EMPRESAS'!$K$15:$K$320,'METAS EMPRESAS'!$A$15:$A$320,"EJ",'METAS EMPRESAS'!$B$15:$B$320,"VIGAS",'METAS EMPRESAS'!$C$15:$C$320,$A62-WEEKDAY($A62,2)+1)</f>
        <v/>
      </c>
      <c r="E62" s="159">
        <f>SUMIFS('METAS EMPRESAS'!$K$15:$K$320,'METAS EMPRESAS'!$A$15:$A$320,"CMM",'METAS EMPRESAS'!$B$15:$B$320,"PREMONTAGEM",'METAS EMPRESAS'!$C$15:$C$320,$A62-WEEKDAY($A62,2)+1)</f>
        <v/>
      </c>
      <c r="F62" s="159">
        <f>SUMIFS('METAS EMPRESAS'!$K$15:$K$320,'METAS EMPRESAS'!$A$15:$A$320,"CMM",'METAS EMPRESAS'!$B$15:$B$320,"IÇAMENTO JOIST",'METAS EMPRESAS'!$C$15:$C$320,$A62-WEEKDAY($A62,2)+1)</f>
        <v/>
      </c>
      <c r="G62" s="159">
        <f>SUMIFS('METAS EMPRESAS'!$K$15:$K$320,'METAS EMPRESAS'!$A$15:$A$320,"CMM",'METAS EMPRESAS'!$B$15:$B$320,"VIGAS",'METAS EMPRESAS'!$C$15:$C$320,$A62-WEEKDAY($A62,2)+1)</f>
        <v/>
      </c>
      <c r="H62" s="159">
        <f>SUMIFS('METAS EMPRESAS'!$G$15:$G$320,'METAS EMPRESAS'!$A$15:$A$320,"EJ",'METAS EMPRESAS'!$B$15:$B$320,"PREMONTAGEM",'METAS EMPRESAS'!$C$15:$C$320,$A62-WEEKDAY($A62,2)+1)</f>
        <v/>
      </c>
      <c r="I62" s="159">
        <f>SUMIFS('METAS EMPRESAS'!$G$15:$G$320,'METAS EMPRESAS'!$A$15:$A$320,"EJ",'METAS EMPRESAS'!$B$15:$B$320,"IÇAMENTO JOIST",'METAS EMPRESAS'!$C$15:$C$320,$A62-WEEKDAY($A62,2)+1)</f>
        <v/>
      </c>
      <c r="J62" s="159">
        <f>SUMIFS('METAS EMPRESAS'!$G$15:$G$320,'METAS EMPRESAS'!$A$15:$A$320,"EJ",'METAS EMPRESAS'!$B$15:$B$320,"VIGAS",'METAS EMPRESAS'!$C$15:$C$320,$A62-WEEKDAY($A62,2)+1)</f>
        <v/>
      </c>
      <c r="K62" s="159">
        <f>SUMIFS('METAS EMPRESAS'!$G$15:$G$320,'METAS EMPRESAS'!$A$15:$A$320,"CMM",'METAS EMPRESAS'!$B$15:$B$320,"PREMONTAGEM",'METAS EMPRESAS'!$C$15:$C$320,$A62-WEEKDAY($A62,2)+1)</f>
        <v/>
      </c>
      <c r="L62" s="159">
        <f>SUMIFS('METAS EMPRESAS'!$G$15:$G$320,'METAS EMPRESAS'!$A$15:$A$320,"CMM",'METAS EMPRESAS'!$B$15:$B$320,"IÇAMENTO JOIST",'METAS EMPRESAS'!$C$15:$C$320,$A62-WEEKDAY($A62,2)+1)</f>
        <v/>
      </c>
      <c r="M62" s="159">
        <f>SUMIFS('METAS EMPRESAS'!$G$15:$G$320,'METAS EMPRESAS'!$A$15:$A$320,"CMM",'METAS EMPRESAS'!$B$15:$B$320,"VIGAS",'METAS EMPRESAS'!$C$15:$C$320,$A62-WEEKDAY($A62,2)+1)</f>
        <v/>
      </c>
      <c r="N62" s="159">
        <f>SUMIFS('METAS EMPRESAS'!$J$15:$J$320,'METAS EMPRESAS'!$A$15:$A$320,"EJ",'METAS EMPRESAS'!$B$15:$B$320,"PREMONTAGEM",'METAS EMPRESAS'!$C$15:$C$320,$A62-WEEKDAY($A62,2)+1)</f>
        <v/>
      </c>
      <c r="O62" s="159">
        <f>SUMIFS('METAS EMPRESAS'!$J$15:$J$320,'METAS EMPRESAS'!$A$15:$A$320,"EJ",'METAS EMPRESAS'!$B$15:$B$320,"IÇAMENTO JOIST",'METAS EMPRESAS'!$C$15:$C$320,$A62-WEEKDAY($A62,2)+1)</f>
        <v/>
      </c>
      <c r="P62" s="159">
        <f>SUMIFS('METAS EMPRESAS'!$J$15:$J$320,'METAS EMPRESAS'!$A$15:$A$320,"EJ",'METAS EMPRESAS'!$B$15:$B$320,"VIGAS",'METAS EMPRESAS'!$C$15:$C$320,$A62-WEEKDAY($A62,2)+1)</f>
        <v/>
      </c>
      <c r="Q62" s="159">
        <f>SUMIFS('METAS EMPRESAS'!$J$15:$J$320,'METAS EMPRESAS'!$A$15:$A$320,"CMM",'METAS EMPRESAS'!$B$15:$B$320,"PREMONTAGEM",'METAS EMPRESAS'!$C$15:$C$320,$A62-WEEKDAY($A62,2)+1)</f>
        <v/>
      </c>
      <c r="R62" s="159">
        <f>SUMIFS('METAS EMPRESAS'!$J$15:$J$320,'METAS EMPRESAS'!$A$15:$A$320,"CMM",'METAS EMPRESAS'!$B$15:$B$320,"IÇAMENTO JOIST",'METAS EMPRESAS'!$C$15:$C$320,$A62-WEEKDAY($A62,2)+1)</f>
        <v/>
      </c>
      <c r="S62" s="159">
        <f>SUMIFS('METAS EMPRESAS'!$J$15:$J$320,'METAS EMPRESAS'!$A$15:$A$320,"CMM",'METAS EMPRESAS'!$B$15:$B$320,"VIGAS",'METAS EMPRESAS'!$C$15:$C$320,$A62-WEEKDAY($A62,2)+1)</f>
        <v/>
      </c>
      <c r="T62">
        <f>--(WEEKDAY(A62,2)&lt;=5)</f>
        <v/>
      </c>
      <c r="U62" t="n">
        <v>19</v>
      </c>
      <c r="V62" t="n">
        <v>7</v>
      </c>
      <c r="W62" t="n">
        <v>0</v>
      </c>
      <c r="X62" t="n">
        <v>5</v>
      </c>
      <c r="Y62" t="n">
        <v>5</v>
      </c>
      <c r="Z62" t="n">
        <v>5</v>
      </c>
      <c r="AA62" t="n">
        <v>95</v>
      </c>
      <c r="AB62" t="n">
        <v>35</v>
      </c>
      <c r="AC62" t="n">
        <v>0</v>
      </c>
    </row>
    <row r="63">
      <c r="A63" s="317" t="n">
        <v>46284</v>
      </c>
      <c r="B63" s="159">
        <f>SUMIFS('METAS EMPRESAS'!$K$15:$K$320,'METAS EMPRESAS'!$A$15:$A$320,"EJ",'METAS EMPRESAS'!$B$15:$B$320,"PREMONTAGEM",'METAS EMPRESAS'!$C$15:$C$320,$A63-WEEKDAY($A63,2)+1)</f>
        <v/>
      </c>
      <c r="C63" s="159">
        <f>SUMIFS('METAS EMPRESAS'!$K$15:$K$320,'METAS EMPRESAS'!$A$15:$A$320,"EJ",'METAS EMPRESAS'!$B$15:$B$320,"IÇAMENTO JOIST",'METAS EMPRESAS'!$C$15:$C$320,$A63-WEEKDAY($A63,2)+1)</f>
        <v/>
      </c>
      <c r="D63" s="159">
        <f>SUMIFS('METAS EMPRESAS'!$K$15:$K$320,'METAS EMPRESAS'!$A$15:$A$320,"EJ",'METAS EMPRESAS'!$B$15:$B$320,"VIGAS",'METAS EMPRESAS'!$C$15:$C$320,$A63-WEEKDAY($A63,2)+1)</f>
        <v/>
      </c>
      <c r="E63" s="159">
        <f>SUMIFS('METAS EMPRESAS'!$K$15:$K$320,'METAS EMPRESAS'!$A$15:$A$320,"CMM",'METAS EMPRESAS'!$B$15:$B$320,"PREMONTAGEM",'METAS EMPRESAS'!$C$15:$C$320,$A63-WEEKDAY($A63,2)+1)</f>
        <v/>
      </c>
      <c r="F63" s="159">
        <f>SUMIFS('METAS EMPRESAS'!$K$15:$K$320,'METAS EMPRESAS'!$A$15:$A$320,"CMM",'METAS EMPRESAS'!$B$15:$B$320,"IÇAMENTO JOIST",'METAS EMPRESAS'!$C$15:$C$320,$A63-WEEKDAY($A63,2)+1)</f>
        <v/>
      </c>
      <c r="G63" s="159">
        <f>SUMIFS('METAS EMPRESAS'!$K$15:$K$320,'METAS EMPRESAS'!$A$15:$A$320,"CMM",'METAS EMPRESAS'!$B$15:$B$320,"VIGAS",'METAS EMPRESAS'!$C$15:$C$320,$A63-WEEKDAY($A63,2)+1)</f>
        <v/>
      </c>
      <c r="H63" s="159">
        <f>SUMIFS('METAS EMPRESAS'!$G$15:$G$320,'METAS EMPRESAS'!$A$15:$A$320,"EJ",'METAS EMPRESAS'!$B$15:$B$320,"PREMONTAGEM",'METAS EMPRESAS'!$C$15:$C$320,$A63-WEEKDAY($A63,2)+1)</f>
        <v/>
      </c>
      <c r="I63" s="159">
        <f>SUMIFS('METAS EMPRESAS'!$G$15:$G$320,'METAS EMPRESAS'!$A$15:$A$320,"EJ",'METAS EMPRESAS'!$B$15:$B$320,"IÇAMENTO JOIST",'METAS EMPRESAS'!$C$15:$C$320,$A63-WEEKDAY($A63,2)+1)</f>
        <v/>
      </c>
      <c r="J63" s="159">
        <f>SUMIFS('METAS EMPRESAS'!$G$15:$G$320,'METAS EMPRESAS'!$A$15:$A$320,"EJ",'METAS EMPRESAS'!$B$15:$B$320,"VIGAS",'METAS EMPRESAS'!$C$15:$C$320,$A63-WEEKDAY($A63,2)+1)</f>
        <v/>
      </c>
      <c r="K63" s="159">
        <f>SUMIFS('METAS EMPRESAS'!$G$15:$G$320,'METAS EMPRESAS'!$A$15:$A$320,"CMM",'METAS EMPRESAS'!$B$15:$B$320,"PREMONTAGEM",'METAS EMPRESAS'!$C$15:$C$320,$A63-WEEKDAY($A63,2)+1)</f>
        <v/>
      </c>
      <c r="L63" s="159">
        <f>SUMIFS('METAS EMPRESAS'!$G$15:$G$320,'METAS EMPRESAS'!$A$15:$A$320,"CMM",'METAS EMPRESAS'!$B$15:$B$320,"IÇAMENTO JOIST",'METAS EMPRESAS'!$C$15:$C$320,$A63-WEEKDAY($A63,2)+1)</f>
        <v/>
      </c>
      <c r="M63" s="159">
        <f>SUMIFS('METAS EMPRESAS'!$G$15:$G$320,'METAS EMPRESAS'!$A$15:$A$320,"CMM",'METAS EMPRESAS'!$B$15:$B$320,"VIGAS",'METAS EMPRESAS'!$C$15:$C$320,$A63-WEEKDAY($A63,2)+1)</f>
        <v/>
      </c>
      <c r="N63" s="159">
        <f>SUMIFS('METAS EMPRESAS'!$J$15:$J$320,'METAS EMPRESAS'!$A$15:$A$320,"EJ",'METAS EMPRESAS'!$B$15:$B$320,"PREMONTAGEM",'METAS EMPRESAS'!$C$15:$C$320,$A63-WEEKDAY($A63,2)+1)</f>
        <v/>
      </c>
      <c r="O63" s="159">
        <f>SUMIFS('METAS EMPRESAS'!$J$15:$J$320,'METAS EMPRESAS'!$A$15:$A$320,"EJ",'METAS EMPRESAS'!$B$15:$B$320,"IÇAMENTO JOIST",'METAS EMPRESAS'!$C$15:$C$320,$A63-WEEKDAY($A63,2)+1)</f>
        <v/>
      </c>
      <c r="P63" s="159">
        <f>SUMIFS('METAS EMPRESAS'!$J$15:$J$320,'METAS EMPRESAS'!$A$15:$A$320,"EJ",'METAS EMPRESAS'!$B$15:$B$320,"VIGAS",'METAS EMPRESAS'!$C$15:$C$320,$A63-WEEKDAY($A63,2)+1)</f>
        <v/>
      </c>
      <c r="Q63" s="159">
        <f>SUMIFS('METAS EMPRESAS'!$J$15:$J$320,'METAS EMPRESAS'!$A$15:$A$320,"CMM",'METAS EMPRESAS'!$B$15:$B$320,"PREMONTAGEM",'METAS EMPRESAS'!$C$15:$C$320,$A63-WEEKDAY($A63,2)+1)</f>
        <v/>
      </c>
      <c r="R63" s="159">
        <f>SUMIFS('METAS EMPRESAS'!$J$15:$J$320,'METAS EMPRESAS'!$A$15:$A$320,"CMM",'METAS EMPRESAS'!$B$15:$B$320,"IÇAMENTO JOIST",'METAS EMPRESAS'!$C$15:$C$320,$A63-WEEKDAY($A63,2)+1)</f>
        <v/>
      </c>
      <c r="S63" s="159">
        <f>SUMIFS('METAS EMPRESAS'!$J$15:$J$320,'METAS EMPRESAS'!$A$15:$A$320,"CMM",'METAS EMPRESAS'!$B$15:$B$320,"VIGAS",'METAS EMPRESAS'!$C$15:$C$320,$A63-WEEKDAY($A63,2)+1)</f>
        <v/>
      </c>
      <c r="T63">
        <f>--(WEEKDAY(A63,2)&lt;=5)</f>
        <v/>
      </c>
      <c r="U63" t="n">
        <v>19</v>
      </c>
      <c r="V63" t="n">
        <v>7</v>
      </c>
      <c r="W63" t="n">
        <v>0</v>
      </c>
      <c r="X63" t="n">
        <v>5</v>
      </c>
      <c r="Y63" t="n">
        <v>5</v>
      </c>
      <c r="Z63" t="n">
        <v>5</v>
      </c>
      <c r="AA63" t="n">
        <v>95</v>
      </c>
      <c r="AB63" t="n">
        <v>35</v>
      </c>
      <c r="AC63" t="n">
        <v>0</v>
      </c>
    </row>
    <row r="64">
      <c r="A64" s="317" t="n">
        <v>46285</v>
      </c>
      <c r="B64" s="159">
        <f>SUMIFS('METAS EMPRESAS'!$K$15:$K$320,'METAS EMPRESAS'!$A$15:$A$320,"EJ",'METAS EMPRESAS'!$B$15:$B$320,"PREMONTAGEM",'METAS EMPRESAS'!$C$15:$C$320,$A64-WEEKDAY($A64,2)+1)</f>
        <v/>
      </c>
      <c r="C64" s="159">
        <f>SUMIFS('METAS EMPRESAS'!$K$15:$K$320,'METAS EMPRESAS'!$A$15:$A$320,"EJ",'METAS EMPRESAS'!$B$15:$B$320,"IÇAMENTO JOIST",'METAS EMPRESAS'!$C$15:$C$320,$A64-WEEKDAY($A64,2)+1)</f>
        <v/>
      </c>
      <c r="D64" s="159">
        <f>SUMIFS('METAS EMPRESAS'!$K$15:$K$320,'METAS EMPRESAS'!$A$15:$A$320,"EJ",'METAS EMPRESAS'!$B$15:$B$320,"VIGAS",'METAS EMPRESAS'!$C$15:$C$320,$A64-WEEKDAY($A64,2)+1)</f>
        <v/>
      </c>
      <c r="E64" s="159">
        <f>SUMIFS('METAS EMPRESAS'!$K$15:$K$320,'METAS EMPRESAS'!$A$15:$A$320,"CMM",'METAS EMPRESAS'!$B$15:$B$320,"PREMONTAGEM",'METAS EMPRESAS'!$C$15:$C$320,$A64-WEEKDAY($A64,2)+1)</f>
        <v/>
      </c>
      <c r="F64" s="159">
        <f>SUMIFS('METAS EMPRESAS'!$K$15:$K$320,'METAS EMPRESAS'!$A$15:$A$320,"CMM",'METAS EMPRESAS'!$B$15:$B$320,"IÇAMENTO JOIST",'METAS EMPRESAS'!$C$15:$C$320,$A64-WEEKDAY($A64,2)+1)</f>
        <v/>
      </c>
      <c r="G64" s="159">
        <f>SUMIFS('METAS EMPRESAS'!$K$15:$K$320,'METAS EMPRESAS'!$A$15:$A$320,"CMM",'METAS EMPRESAS'!$B$15:$B$320,"VIGAS",'METAS EMPRESAS'!$C$15:$C$320,$A64-WEEKDAY($A64,2)+1)</f>
        <v/>
      </c>
      <c r="H64" s="159">
        <f>SUMIFS('METAS EMPRESAS'!$G$15:$G$320,'METAS EMPRESAS'!$A$15:$A$320,"EJ",'METAS EMPRESAS'!$B$15:$B$320,"PREMONTAGEM",'METAS EMPRESAS'!$C$15:$C$320,$A64-WEEKDAY($A64,2)+1)</f>
        <v/>
      </c>
      <c r="I64" s="159">
        <f>SUMIFS('METAS EMPRESAS'!$G$15:$G$320,'METAS EMPRESAS'!$A$15:$A$320,"EJ",'METAS EMPRESAS'!$B$15:$B$320,"IÇAMENTO JOIST",'METAS EMPRESAS'!$C$15:$C$320,$A64-WEEKDAY($A64,2)+1)</f>
        <v/>
      </c>
      <c r="J64" s="159">
        <f>SUMIFS('METAS EMPRESAS'!$G$15:$G$320,'METAS EMPRESAS'!$A$15:$A$320,"EJ",'METAS EMPRESAS'!$B$15:$B$320,"VIGAS",'METAS EMPRESAS'!$C$15:$C$320,$A64-WEEKDAY($A64,2)+1)</f>
        <v/>
      </c>
      <c r="K64" s="159">
        <f>SUMIFS('METAS EMPRESAS'!$G$15:$G$320,'METAS EMPRESAS'!$A$15:$A$320,"CMM",'METAS EMPRESAS'!$B$15:$B$320,"PREMONTAGEM",'METAS EMPRESAS'!$C$15:$C$320,$A64-WEEKDAY($A64,2)+1)</f>
        <v/>
      </c>
      <c r="L64" s="159">
        <f>SUMIFS('METAS EMPRESAS'!$G$15:$G$320,'METAS EMPRESAS'!$A$15:$A$320,"CMM",'METAS EMPRESAS'!$B$15:$B$320,"IÇAMENTO JOIST",'METAS EMPRESAS'!$C$15:$C$320,$A64-WEEKDAY($A64,2)+1)</f>
        <v/>
      </c>
      <c r="M64" s="159">
        <f>SUMIFS('METAS EMPRESAS'!$G$15:$G$320,'METAS EMPRESAS'!$A$15:$A$320,"CMM",'METAS EMPRESAS'!$B$15:$B$320,"VIGAS",'METAS EMPRESAS'!$C$15:$C$320,$A64-WEEKDAY($A64,2)+1)</f>
        <v/>
      </c>
      <c r="N64" s="159">
        <f>SUMIFS('METAS EMPRESAS'!$J$15:$J$320,'METAS EMPRESAS'!$A$15:$A$320,"EJ",'METAS EMPRESAS'!$B$15:$B$320,"PREMONTAGEM",'METAS EMPRESAS'!$C$15:$C$320,$A64-WEEKDAY($A64,2)+1)</f>
        <v/>
      </c>
      <c r="O64" s="159">
        <f>SUMIFS('METAS EMPRESAS'!$J$15:$J$320,'METAS EMPRESAS'!$A$15:$A$320,"EJ",'METAS EMPRESAS'!$B$15:$B$320,"IÇAMENTO JOIST",'METAS EMPRESAS'!$C$15:$C$320,$A64-WEEKDAY($A64,2)+1)</f>
        <v/>
      </c>
      <c r="P64" s="159">
        <f>SUMIFS('METAS EMPRESAS'!$J$15:$J$320,'METAS EMPRESAS'!$A$15:$A$320,"EJ",'METAS EMPRESAS'!$B$15:$B$320,"VIGAS",'METAS EMPRESAS'!$C$15:$C$320,$A64-WEEKDAY($A64,2)+1)</f>
        <v/>
      </c>
      <c r="Q64" s="159">
        <f>SUMIFS('METAS EMPRESAS'!$J$15:$J$320,'METAS EMPRESAS'!$A$15:$A$320,"CMM",'METAS EMPRESAS'!$B$15:$B$320,"PREMONTAGEM",'METAS EMPRESAS'!$C$15:$C$320,$A64-WEEKDAY($A64,2)+1)</f>
        <v/>
      </c>
      <c r="R64" s="159">
        <f>SUMIFS('METAS EMPRESAS'!$J$15:$J$320,'METAS EMPRESAS'!$A$15:$A$320,"CMM",'METAS EMPRESAS'!$B$15:$B$320,"IÇAMENTO JOIST",'METAS EMPRESAS'!$C$15:$C$320,$A64-WEEKDAY($A64,2)+1)</f>
        <v/>
      </c>
      <c r="S64" s="159">
        <f>SUMIFS('METAS EMPRESAS'!$J$15:$J$320,'METAS EMPRESAS'!$A$15:$A$320,"CMM",'METAS EMPRESAS'!$B$15:$B$320,"VIGAS",'METAS EMPRESAS'!$C$15:$C$320,$A64-WEEKDAY($A64,2)+1)</f>
        <v/>
      </c>
      <c r="T64">
        <f>--(WEEKDAY(A64,2)&lt;=5)</f>
        <v/>
      </c>
      <c r="U64" t="n">
        <v>19</v>
      </c>
      <c r="V64" t="n">
        <v>7</v>
      </c>
      <c r="W64" t="n">
        <v>0</v>
      </c>
      <c r="X64" t="n">
        <v>5</v>
      </c>
      <c r="Y64" t="n">
        <v>5</v>
      </c>
      <c r="Z64" t="n">
        <v>5</v>
      </c>
      <c r="AA64" t="n">
        <v>95</v>
      </c>
      <c r="AB64" t="n">
        <v>35</v>
      </c>
      <c r="AC64" t="n">
        <v>0</v>
      </c>
    </row>
    <row r="65">
      <c r="A65" s="317" t="n">
        <v>46286</v>
      </c>
      <c r="B65" s="159">
        <f>SUMIFS('METAS EMPRESAS'!$K$15:$K$320,'METAS EMPRESAS'!$A$15:$A$320,"EJ",'METAS EMPRESAS'!$B$15:$B$320,"PREMONTAGEM",'METAS EMPRESAS'!$C$15:$C$320,$A65-WEEKDAY($A65,2)+1)</f>
        <v/>
      </c>
      <c r="C65" s="159">
        <f>SUMIFS('METAS EMPRESAS'!$K$15:$K$320,'METAS EMPRESAS'!$A$15:$A$320,"EJ",'METAS EMPRESAS'!$B$15:$B$320,"IÇAMENTO JOIST",'METAS EMPRESAS'!$C$15:$C$320,$A65-WEEKDAY($A65,2)+1)</f>
        <v/>
      </c>
      <c r="D65" s="159">
        <f>SUMIFS('METAS EMPRESAS'!$K$15:$K$320,'METAS EMPRESAS'!$A$15:$A$320,"EJ",'METAS EMPRESAS'!$B$15:$B$320,"VIGAS",'METAS EMPRESAS'!$C$15:$C$320,$A65-WEEKDAY($A65,2)+1)</f>
        <v/>
      </c>
      <c r="E65" s="159">
        <f>SUMIFS('METAS EMPRESAS'!$K$15:$K$320,'METAS EMPRESAS'!$A$15:$A$320,"CMM",'METAS EMPRESAS'!$B$15:$B$320,"PREMONTAGEM",'METAS EMPRESAS'!$C$15:$C$320,$A65-WEEKDAY($A65,2)+1)</f>
        <v/>
      </c>
      <c r="F65" s="159">
        <f>SUMIFS('METAS EMPRESAS'!$K$15:$K$320,'METAS EMPRESAS'!$A$15:$A$320,"CMM",'METAS EMPRESAS'!$B$15:$B$320,"IÇAMENTO JOIST",'METAS EMPRESAS'!$C$15:$C$320,$A65-WEEKDAY($A65,2)+1)</f>
        <v/>
      </c>
      <c r="G65" s="159">
        <f>SUMIFS('METAS EMPRESAS'!$K$15:$K$320,'METAS EMPRESAS'!$A$15:$A$320,"CMM",'METAS EMPRESAS'!$B$15:$B$320,"VIGAS",'METAS EMPRESAS'!$C$15:$C$320,$A65-WEEKDAY($A65,2)+1)</f>
        <v/>
      </c>
      <c r="H65" s="159">
        <f>SUMIFS('METAS EMPRESAS'!$G$15:$G$320,'METAS EMPRESAS'!$A$15:$A$320,"EJ",'METAS EMPRESAS'!$B$15:$B$320,"PREMONTAGEM",'METAS EMPRESAS'!$C$15:$C$320,$A65-WEEKDAY($A65,2)+1)</f>
        <v/>
      </c>
      <c r="I65" s="159">
        <f>SUMIFS('METAS EMPRESAS'!$G$15:$G$320,'METAS EMPRESAS'!$A$15:$A$320,"EJ",'METAS EMPRESAS'!$B$15:$B$320,"IÇAMENTO JOIST",'METAS EMPRESAS'!$C$15:$C$320,$A65-WEEKDAY($A65,2)+1)</f>
        <v/>
      </c>
      <c r="J65" s="159">
        <f>SUMIFS('METAS EMPRESAS'!$G$15:$G$320,'METAS EMPRESAS'!$A$15:$A$320,"EJ",'METAS EMPRESAS'!$B$15:$B$320,"VIGAS",'METAS EMPRESAS'!$C$15:$C$320,$A65-WEEKDAY($A65,2)+1)</f>
        <v/>
      </c>
      <c r="K65" s="159">
        <f>SUMIFS('METAS EMPRESAS'!$G$15:$G$320,'METAS EMPRESAS'!$A$15:$A$320,"CMM",'METAS EMPRESAS'!$B$15:$B$320,"PREMONTAGEM",'METAS EMPRESAS'!$C$15:$C$320,$A65-WEEKDAY($A65,2)+1)</f>
        <v/>
      </c>
      <c r="L65" s="159">
        <f>SUMIFS('METAS EMPRESAS'!$G$15:$G$320,'METAS EMPRESAS'!$A$15:$A$320,"CMM",'METAS EMPRESAS'!$B$15:$B$320,"IÇAMENTO JOIST",'METAS EMPRESAS'!$C$15:$C$320,$A65-WEEKDAY($A65,2)+1)</f>
        <v/>
      </c>
      <c r="M65" s="159">
        <f>SUMIFS('METAS EMPRESAS'!$G$15:$G$320,'METAS EMPRESAS'!$A$15:$A$320,"CMM",'METAS EMPRESAS'!$B$15:$B$320,"VIGAS",'METAS EMPRESAS'!$C$15:$C$320,$A65-WEEKDAY($A65,2)+1)</f>
        <v/>
      </c>
      <c r="N65" s="159">
        <f>SUMIFS('METAS EMPRESAS'!$J$15:$J$320,'METAS EMPRESAS'!$A$15:$A$320,"EJ",'METAS EMPRESAS'!$B$15:$B$320,"PREMONTAGEM",'METAS EMPRESAS'!$C$15:$C$320,$A65-WEEKDAY($A65,2)+1)</f>
        <v/>
      </c>
      <c r="O65" s="159">
        <f>SUMIFS('METAS EMPRESAS'!$J$15:$J$320,'METAS EMPRESAS'!$A$15:$A$320,"EJ",'METAS EMPRESAS'!$B$15:$B$320,"IÇAMENTO JOIST",'METAS EMPRESAS'!$C$15:$C$320,$A65-WEEKDAY($A65,2)+1)</f>
        <v/>
      </c>
      <c r="P65" s="159">
        <f>SUMIFS('METAS EMPRESAS'!$J$15:$J$320,'METAS EMPRESAS'!$A$15:$A$320,"EJ",'METAS EMPRESAS'!$B$15:$B$320,"VIGAS",'METAS EMPRESAS'!$C$15:$C$320,$A65-WEEKDAY($A65,2)+1)</f>
        <v/>
      </c>
      <c r="Q65" s="159">
        <f>SUMIFS('METAS EMPRESAS'!$J$15:$J$320,'METAS EMPRESAS'!$A$15:$A$320,"CMM",'METAS EMPRESAS'!$B$15:$B$320,"PREMONTAGEM",'METAS EMPRESAS'!$C$15:$C$320,$A65-WEEKDAY($A65,2)+1)</f>
        <v/>
      </c>
      <c r="R65" s="159">
        <f>SUMIFS('METAS EMPRESAS'!$J$15:$J$320,'METAS EMPRESAS'!$A$15:$A$320,"CMM",'METAS EMPRESAS'!$B$15:$B$320,"IÇAMENTO JOIST",'METAS EMPRESAS'!$C$15:$C$320,$A65-WEEKDAY($A65,2)+1)</f>
        <v/>
      </c>
      <c r="S65" s="159">
        <f>SUMIFS('METAS EMPRESAS'!$J$15:$J$320,'METAS EMPRESAS'!$A$15:$A$320,"CMM",'METAS EMPRESAS'!$B$15:$B$320,"VIGAS",'METAS EMPRESAS'!$C$15:$C$320,$A65-WEEKDAY($A65,2)+1)</f>
        <v/>
      </c>
      <c r="T65">
        <f>--(WEEKDAY(A65,2)&lt;=5)</f>
        <v/>
      </c>
      <c r="U65" t="n">
        <v>19</v>
      </c>
      <c r="V65" t="n">
        <v>7</v>
      </c>
      <c r="W65" t="n">
        <v>0</v>
      </c>
      <c r="X65" t="n">
        <v>5</v>
      </c>
      <c r="Y65" t="n">
        <v>5</v>
      </c>
      <c r="Z65" t="n">
        <v>5</v>
      </c>
      <c r="AA65" t="n">
        <v>95</v>
      </c>
      <c r="AB65" t="n">
        <v>35</v>
      </c>
      <c r="AC65" t="n">
        <v>0</v>
      </c>
    </row>
    <row r="66">
      <c r="A66" s="317" t="n">
        <v>46287</v>
      </c>
      <c r="B66" s="159">
        <f>SUMIFS('METAS EMPRESAS'!$K$15:$K$320,'METAS EMPRESAS'!$A$15:$A$320,"EJ",'METAS EMPRESAS'!$B$15:$B$320,"PREMONTAGEM",'METAS EMPRESAS'!$C$15:$C$320,$A66-WEEKDAY($A66,2)+1)</f>
        <v/>
      </c>
      <c r="C66" s="159">
        <f>SUMIFS('METAS EMPRESAS'!$K$15:$K$320,'METAS EMPRESAS'!$A$15:$A$320,"EJ",'METAS EMPRESAS'!$B$15:$B$320,"IÇAMENTO JOIST",'METAS EMPRESAS'!$C$15:$C$320,$A66-WEEKDAY($A66,2)+1)</f>
        <v/>
      </c>
      <c r="D66" s="159">
        <f>SUMIFS('METAS EMPRESAS'!$K$15:$K$320,'METAS EMPRESAS'!$A$15:$A$320,"EJ",'METAS EMPRESAS'!$B$15:$B$320,"VIGAS",'METAS EMPRESAS'!$C$15:$C$320,$A66-WEEKDAY($A66,2)+1)</f>
        <v/>
      </c>
      <c r="E66" s="159">
        <f>SUMIFS('METAS EMPRESAS'!$K$15:$K$320,'METAS EMPRESAS'!$A$15:$A$320,"CMM",'METAS EMPRESAS'!$B$15:$B$320,"PREMONTAGEM",'METAS EMPRESAS'!$C$15:$C$320,$A66-WEEKDAY($A66,2)+1)</f>
        <v/>
      </c>
      <c r="F66" s="159">
        <f>SUMIFS('METAS EMPRESAS'!$K$15:$K$320,'METAS EMPRESAS'!$A$15:$A$320,"CMM",'METAS EMPRESAS'!$B$15:$B$320,"IÇAMENTO JOIST",'METAS EMPRESAS'!$C$15:$C$320,$A66-WEEKDAY($A66,2)+1)</f>
        <v/>
      </c>
      <c r="G66" s="159">
        <f>SUMIFS('METAS EMPRESAS'!$K$15:$K$320,'METAS EMPRESAS'!$A$15:$A$320,"CMM",'METAS EMPRESAS'!$B$15:$B$320,"VIGAS",'METAS EMPRESAS'!$C$15:$C$320,$A66-WEEKDAY($A66,2)+1)</f>
        <v/>
      </c>
      <c r="H66" s="159">
        <f>SUMIFS('METAS EMPRESAS'!$G$15:$G$320,'METAS EMPRESAS'!$A$15:$A$320,"EJ",'METAS EMPRESAS'!$B$15:$B$320,"PREMONTAGEM",'METAS EMPRESAS'!$C$15:$C$320,$A66-WEEKDAY($A66,2)+1)</f>
        <v/>
      </c>
      <c r="I66" s="159">
        <f>SUMIFS('METAS EMPRESAS'!$G$15:$G$320,'METAS EMPRESAS'!$A$15:$A$320,"EJ",'METAS EMPRESAS'!$B$15:$B$320,"IÇAMENTO JOIST",'METAS EMPRESAS'!$C$15:$C$320,$A66-WEEKDAY($A66,2)+1)</f>
        <v/>
      </c>
      <c r="J66" s="159">
        <f>SUMIFS('METAS EMPRESAS'!$G$15:$G$320,'METAS EMPRESAS'!$A$15:$A$320,"EJ",'METAS EMPRESAS'!$B$15:$B$320,"VIGAS",'METAS EMPRESAS'!$C$15:$C$320,$A66-WEEKDAY($A66,2)+1)</f>
        <v/>
      </c>
      <c r="K66" s="159">
        <f>SUMIFS('METAS EMPRESAS'!$G$15:$G$320,'METAS EMPRESAS'!$A$15:$A$320,"CMM",'METAS EMPRESAS'!$B$15:$B$320,"PREMONTAGEM",'METAS EMPRESAS'!$C$15:$C$320,$A66-WEEKDAY($A66,2)+1)</f>
        <v/>
      </c>
      <c r="L66" s="159">
        <f>SUMIFS('METAS EMPRESAS'!$G$15:$G$320,'METAS EMPRESAS'!$A$15:$A$320,"CMM",'METAS EMPRESAS'!$B$15:$B$320,"IÇAMENTO JOIST",'METAS EMPRESAS'!$C$15:$C$320,$A66-WEEKDAY($A66,2)+1)</f>
        <v/>
      </c>
      <c r="M66" s="159">
        <f>SUMIFS('METAS EMPRESAS'!$G$15:$G$320,'METAS EMPRESAS'!$A$15:$A$320,"CMM",'METAS EMPRESAS'!$B$15:$B$320,"VIGAS",'METAS EMPRESAS'!$C$15:$C$320,$A66-WEEKDAY($A66,2)+1)</f>
        <v/>
      </c>
      <c r="N66" s="159">
        <f>SUMIFS('METAS EMPRESAS'!$J$15:$J$320,'METAS EMPRESAS'!$A$15:$A$320,"EJ",'METAS EMPRESAS'!$B$15:$B$320,"PREMONTAGEM",'METAS EMPRESAS'!$C$15:$C$320,$A66-WEEKDAY($A66,2)+1)</f>
        <v/>
      </c>
      <c r="O66" s="159">
        <f>SUMIFS('METAS EMPRESAS'!$J$15:$J$320,'METAS EMPRESAS'!$A$15:$A$320,"EJ",'METAS EMPRESAS'!$B$15:$B$320,"IÇAMENTO JOIST",'METAS EMPRESAS'!$C$15:$C$320,$A66-WEEKDAY($A66,2)+1)</f>
        <v/>
      </c>
      <c r="P66" s="159">
        <f>SUMIFS('METAS EMPRESAS'!$J$15:$J$320,'METAS EMPRESAS'!$A$15:$A$320,"EJ",'METAS EMPRESAS'!$B$15:$B$320,"VIGAS",'METAS EMPRESAS'!$C$15:$C$320,$A66-WEEKDAY($A66,2)+1)</f>
        <v/>
      </c>
      <c r="Q66" s="159">
        <f>SUMIFS('METAS EMPRESAS'!$J$15:$J$320,'METAS EMPRESAS'!$A$15:$A$320,"CMM",'METAS EMPRESAS'!$B$15:$B$320,"PREMONTAGEM",'METAS EMPRESAS'!$C$15:$C$320,$A66-WEEKDAY($A66,2)+1)</f>
        <v/>
      </c>
      <c r="R66" s="159">
        <f>SUMIFS('METAS EMPRESAS'!$J$15:$J$320,'METAS EMPRESAS'!$A$15:$A$320,"CMM",'METAS EMPRESAS'!$B$15:$B$320,"IÇAMENTO JOIST",'METAS EMPRESAS'!$C$15:$C$320,$A66-WEEKDAY($A66,2)+1)</f>
        <v/>
      </c>
      <c r="S66" s="159">
        <f>SUMIFS('METAS EMPRESAS'!$J$15:$J$320,'METAS EMPRESAS'!$A$15:$A$320,"CMM",'METAS EMPRESAS'!$B$15:$B$320,"VIGAS",'METAS EMPRESAS'!$C$15:$C$320,$A66-WEEKDAY($A66,2)+1)</f>
        <v/>
      </c>
      <c r="T66">
        <f>--(WEEKDAY(A66,2)&lt;=5)</f>
        <v/>
      </c>
      <c r="U66" t="n">
        <v>19</v>
      </c>
      <c r="V66" t="n">
        <v>7</v>
      </c>
      <c r="W66" t="n">
        <v>0</v>
      </c>
      <c r="X66" t="n">
        <v>5</v>
      </c>
      <c r="Y66" t="n">
        <v>5</v>
      </c>
      <c r="Z66" t="n">
        <v>5</v>
      </c>
      <c r="AA66" t="n">
        <v>95</v>
      </c>
      <c r="AB66" t="n">
        <v>35</v>
      </c>
      <c r="AC66" t="n">
        <v>0</v>
      </c>
    </row>
    <row r="67">
      <c r="A67" s="317" t="n">
        <v>46288</v>
      </c>
      <c r="B67" s="159">
        <f>SUMIFS('METAS EMPRESAS'!$K$15:$K$320,'METAS EMPRESAS'!$A$15:$A$320,"EJ",'METAS EMPRESAS'!$B$15:$B$320,"PREMONTAGEM",'METAS EMPRESAS'!$C$15:$C$320,$A67-WEEKDAY($A67,2)+1)</f>
        <v/>
      </c>
      <c r="C67" s="159">
        <f>SUMIFS('METAS EMPRESAS'!$K$15:$K$320,'METAS EMPRESAS'!$A$15:$A$320,"EJ",'METAS EMPRESAS'!$B$15:$B$320,"IÇAMENTO JOIST",'METAS EMPRESAS'!$C$15:$C$320,$A67-WEEKDAY($A67,2)+1)</f>
        <v/>
      </c>
      <c r="D67" s="159">
        <f>SUMIFS('METAS EMPRESAS'!$K$15:$K$320,'METAS EMPRESAS'!$A$15:$A$320,"EJ",'METAS EMPRESAS'!$B$15:$B$320,"VIGAS",'METAS EMPRESAS'!$C$15:$C$320,$A67-WEEKDAY($A67,2)+1)</f>
        <v/>
      </c>
      <c r="E67" s="159">
        <f>SUMIFS('METAS EMPRESAS'!$K$15:$K$320,'METAS EMPRESAS'!$A$15:$A$320,"CMM",'METAS EMPRESAS'!$B$15:$B$320,"PREMONTAGEM",'METAS EMPRESAS'!$C$15:$C$320,$A67-WEEKDAY($A67,2)+1)</f>
        <v/>
      </c>
      <c r="F67" s="159">
        <f>SUMIFS('METAS EMPRESAS'!$K$15:$K$320,'METAS EMPRESAS'!$A$15:$A$320,"CMM",'METAS EMPRESAS'!$B$15:$B$320,"IÇAMENTO JOIST",'METAS EMPRESAS'!$C$15:$C$320,$A67-WEEKDAY($A67,2)+1)</f>
        <v/>
      </c>
      <c r="G67" s="159">
        <f>SUMIFS('METAS EMPRESAS'!$K$15:$K$320,'METAS EMPRESAS'!$A$15:$A$320,"CMM",'METAS EMPRESAS'!$B$15:$B$320,"VIGAS",'METAS EMPRESAS'!$C$15:$C$320,$A67-WEEKDAY($A67,2)+1)</f>
        <v/>
      </c>
      <c r="H67" s="159">
        <f>SUMIFS('METAS EMPRESAS'!$G$15:$G$320,'METAS EMPRESAS'!$A$15:$A$320,"EJ",'METAS EMPRESAS'!$B$15:$B$320,"PREMONTAGEM",'METAS EMPRESAS'!$C$15:$C$320,$A67-WEEKDAY($A67,2)+1)</f>
        <v/>
      </c>
      <c r="I67" s="159">
        <f>SUMIFS('METAS EMPRESAS'!$G$15:$G$320,'METAS EMPRESAS'!$A$15:$A$320,"EJ",'METAS EMPRESAS'!$B$15:$B$320,"IÇAMENTO JOIST",'METAS EMPRESAS'!$C$15:$C$320,$A67-WEEKDAY($A67,2)+1)</f>
        <v/>
      </c>
      <c r="J67" s="159">
        <f>SUMIFS('METAS EMPRESAS'!$G$15:$G$320,'METAS EMPRESAS'!$A$15:$A$320,"EJ",'METAS EMPRESAS'!$B$15:$B$320,"VIGAS",'METAS EMPRESAS'!$C$15:$C$320,$A67-WEEKDAY($A67,2)+1)</f>
        <v/>
      </c>
      <c r="K67" s="159">
        <f>SUMIFS('METAS EMPRESAS'!$G$15:$G$320,'METAS EMPRESAS'!$A$15:$A$320,"CMM",'METAS EMPRESAS'!$B$15:$B$320,"PREMONTAGEM",'METAS EMPRESAS'!$C$15:$C$320,$A67-WEEKDAY($A67,2)+1)</f>
        <v/>
      </c>
      <c r="L67" s="159">
        <f>SUMIFS('METAS EMPRESAS'!$G$15:$G$320,'METAS EMPRESAS'!$A$15:$A$320,"CMM",'METAS EMPRESAS'!$B$15:$B$320,"IÇAMENTO JOIST",'METAS EMPRESAS'!$C$15:$C$320,$A67-WEEKDAY($A67,2)+1)</f>
        <v/>
      </c>
      <c r="M67" s="159">
        <f>SUMIFS('METAS EMPRESAS'!$G$15:$G$320,'METAS EMPRESAS'!$A$15:$A$320,"CMM",'METAS EMPRESAS'!$B$15:$B$320,"VIGAS",'METAS EMPRESAS'!$C$15:$C$320,$A67-WEEKDAY($A67,2)+1)</f>
        <v/>
      </c>
      <c r="N67" s="159">
        <f>SUMIFS('METAS EMPRESAS'!$J$15:$J$320,'METAS EMPRESAS'!$A$15:$A$320,"EJ",'METAS EMPRESAS'!$B$15:$B$320,"PREMONTAGEM",'METAS EMPRESAS'!$C$15:$C$320,$A67-WEEKDAY($A67,2)+1)</f>
        <v/>
      </c>
      <c r="O67" s="159">
        <f>SUMIFS('METAS EMPRESAS'!$J$15:$J$320,'METAS EMPRESAS'!$A$15:$A$320,"EJ",'METAS EMPRESAS'!$B$15:$B$320,"IÇAMENTO JOIST",'METAS EMPRESAS'!$C$15:$C$320,$A67-WEEKDAY($A67,2)+1)</f>
        <v/>
      </c>
      <c r="P67" s="159">
        <f>SUMIFS('METAS EMPRESAS'!$J$15:$J$320,'METAS EMPRESAS'!$A$15:$A$320,"EJ",'METAS EMPRESAS'!$B$15:$B$320,"VIGAS",'METAS EMPRESAS'!$C$15:$C$320,$A67-WEEKDAY($A67,2)+1)</f>
        <v/>
      </c>
      <c r="Q67" s="159">
        <f>SUMIFS('METAS EMPRESAS'!$J$15:$J$320,'METAS EMPRESAS'!$A$15:$A$320,"CMM",'METAS EMPRESAS'!$B$15:$B$320,"PREMONTAGEM",'METAS EMPRESAS'!$C$15:$C$320,$A67-WEEKDAY($A67,2)+1)</f>
        <v/>
      </c>
      <c r="R67" s="159">
        <f>SUMIFS('METAS EMPRESAS'!$J$15:$J$320,'METAS EMPRESAS'!$A$15:$A$320,"CMM",'METAS EMPRESAS'!$B$15:$B$320,"IÇAMENTO JOIST",'METAS EMPRESAS'!$C$15:$C$320,$A67-WEEKDAY($A67,2)+1)</f>
        <v/>
      </c>
      <c r="S67" s="159">
        <f>SUMIFS('METAS EMPRESAS'!$J$15:$J$320,'METAS EMPRESAS'!$A$15:$A$320,"CMM",'METAS EMPRESAS'!$B$15:$B$320,"VIGAS",'METAS EMPRESAS'!$C$15:$C$320,$A67-WEEKDAY($A67,2)+1)</f>
        <v/>
      </c>
      <c r="T67">
        <f>--(WEEKDAY(A67,2)&lt;=5)</f>
        <v/>
      </c>
      <c r="U67" t="n">
        <v>19</v>
      </c>
      <c r="V67" t="n">
        <v>7</v>
      </c>
      <c r="W67" t="n">
        <v>0</v>
      </c>
      <c r="X67" t="n">
        <v>5</v>
      </c>
      <c r="Y67" t="n">
        <v>5</v>
      </c>
      <c r="Z67" t="n">
        <v>5</v>
      </c>
      <c r="AA67" t="n">
        <v>95</v>
      </c>
      <c r="AB67" t="n">
        <v>35</v>
      </c>
      <c r="AC67" t="n">
        <v>0</v>
      </c>
    </row>
    <row r="68">
      <c r="A68" s="317" t="n">
        <v>46289</v>
      </c>
      <c r="B68" s="159">
        <f>SUMIFS('METAS EMPRESAS'!$K$15:$K$320,'METAS EMPRESAS'!$A$15:$A$320,"EJ",'METAS EMPRESAS'!$B$15:$B$320,"PREMONTAGEM",'METAS EMPRESAS'!$C$15:$C$320,$A68-WEEKDAY($A68,2)+1)</f>
        <v/>
      </c>
      <c r="C68" s="159">
        <f>SUMIFS('METAS EMPRESAS'!$K$15:$K$320,'METAS EMPRESAS'!$A$15:$A$320,"EJ",'METAS EMPRESAS'!$B$15:$B$320,"IÇAMENTO JOIST",'METAS EMPRESAS'!$C$15:$C$320,$A68-WEEKDAY($A68,2)+1)</f>
        <v/>
      </c>
      <c r="D68" s="159">
        <f>SUMIFS('METAS EMPRESAS'!$K$15:$K$320,'METAS EMPRESAS'!$A$15:$A$320,"EJ",'METAS EMPRESAS'!$B$15:$B$320,"VIGAS",'METAS EMPRESAS'!$C$15:$C$320,$A68-WEEKDAY($A68,2)+1)</f>
        <v/>
      </c>
      <c r="E68" s="159">
        <f>SUMIFS('METAS EMPRESAS'!$K$15:$K$320,'METAS EMPRESAS'!$A$15:$A$320,"CMM",'METAS EMPRESAS'!$B$15:$B$320,"PREMONTAGEM",'METAS EMPRESAS'!$C$15:$C$320,$A68-WEEKDAY($A68,2)+1)</f>
        <v/>
      </c>
      <c r="F68" s="159">
        <f>SUMIFS('METAS EMPRESAS'!$K$15:$K$320,'METAS EMPRESAS'!$A$15:$A$320,"CMM",'METAS EMPRESAS'!$B$15:$B$320,"IÇAMENTO JOIST",'METAS EMPRESAS'!$C$15:$C$320,$A68-WEEKDAY($A68,2)+1)</f>
        <v/>
      </c>
      <c r="G68" s="159">
        <f>SUMIFS('METAS EMPRESAS'!$K$15:$K$320,'METAS EMPRESAS'!$A$15:$A$320,"CMM",'METAS EMPRESAS'!$B$15:$B$320,"VIGAS",'METAS EMPRESAS'!$C$15:$C$320,$A68-WEEKDAY($A68,2)+1)</f>
        <v/>
      </c>
      <c r="H68" s="159">
        <f>SUMIFS('METAS EMPRESAS'!$G$15:$G$320,'METAS EMPRESAS'!$A$15:$A$320,"EJ",'METAS EMPRESAS'!$B$15:$B$320,"PREMONTAGEM",'METAS EMPRESAS'!$C$15:$C$320,$A68-WEEKDAY($A68,2)+1)</f>
        <v/>
      </c>
      <c r="I68" s="159">
        <f>SUMIFS('METAS EMPRESAS'!$G$15:$G$320,'METAS EMPRESAS'!$A$15:$A$320,"EJ",'METAS EMPRESAS'!$B$15:$B$320,"IÇAMENTO JOIST",'METAS EMPRESAS'!$C$15:$C$320,$A68-WEEKDAY($A68,2)+1)</f>
        <v/>
      </c>
      <c r="J68" s="159">
        <f>SUMIFS('METAS EMPRESAS'!$G$15:$G$320,'METAS EMPRESAS'!$A$15:$A$320,"EJ",'METAS EMPRESAS'!$B$15:$B$320,"VIGAS",'METAS EMPRESAS'!$C$15:$C$320,$A68-WEEKDAY($A68,2)+1)</f>
        <v/>
      </c>
      <c r="K68" s="159">
        <f>SUMIFS('METAS EMPRESAS'!$G$15:$G$320,'METAS EMPRESAS'!$A$15:$A$320,"CMM",'METAS EMPRESAS'!$B$15:$B$320,"PREMONTAGEM",'METAS EMPRESAS'!$C$15:$C$320,$A68-WEEKDAY($A68,2)+1)</f>
        <v/>
      </c>
      <c r="L68" s="159">
        <f>SUMIFS('METAS EMPRESAS'!$G$15:$G$320,'METAS EMPRESAS'!$A$15:$A$320,"CMM",'METAS EMPRESAS'!$B$15:$B$320,"IÇAMENTO JOIST",'METAS EMPRESAS'!$C$15:$C$320,$A68-WEEKDAY($A68,2)+1)</f>
        <v/>
      </c>
      <c r="M68" s="159">
        <f>SUMIFS('METAS EMPRESAS'!$G$15:$G$320,'METAS EMPRESAS'!$A$15:$A$320,"CMM",'METAS EMPRESAS'!$B$15:$B$320,"VIGAS",'METAS EMPRESAS'!$C$15:$C$320,$A68-WEEKDAY($A68,2)+1)</f>
        <v/>
      </c>
      <c r="N68" s="159">
        <f>SUMIFS('METAS EMPRESAS'!$J$15:$J$320,'METAS EMPRESAS'!$A$15:$A$320,"EJ",'METAS EMPRESAS'!$B$15:$B$320,"PREMONTAGEM",'METAS EMPRESAS'!$C$15:$C$320,$A68-WEEKDAY($A68,2)+1)</f>
        <v/>
      </c>
      <c r="O68" s="159">
        <f>SUMIFS('METAS EMPRESAS'!$J$15:$J$320,'METAS EMPRESAS'!$A$15:$A$320,"EJ",'METAS EMPRESAS'!$B$15:$B$320,"IÇAMENTO JOIST",'METAS EMPRESAS'!$C$15:$C$320,$A68-WEEKDAY($A68,2)+1)</f>
        <v/>
      </c>
      <c r="P68" s="159">
        <f>SUMIFS('METAS EMPRESAS'!$J$15:$J$320,'METAS EMPRESAS'!$A$15:$A$320,"EJ",'METAS EMPRESAS'!$B$15:$B$320,"VIGAS",'METAS EMPRESAS'!$C$15:$C$320,$A68-WEEKDAY($A68,2)+1)</f>
        <v/>
      </c>
      <c r="Q68" s="159">
        <f>SUMIFS('METAS EMPRESAS'!$J$15:$J$320,'METAS EMPRESAS'!$A$15:$A$320,"CMM",'METAS EMPRESAS'!$B$15:$B$320,"PREMONTAGEM",'METAS EMPRESAS'!$C$15:$C$320,$A68-WEEKDAY($A68,2)+1)</f>
        <v/>
      </c>
      <c r="R68" s="159">
        <f>SUMIFS('METAS EMPRESAS'!$J$15:$J$320,'METAS EMPRESAS'!$A$15:$A$320,"CMM",'METAS EMPRESAS'!$B$15:$B$320,"IÇAMENTO JOIST",'METAS EMPRESAS'!$C$15:$C$320,$A68-WEEKDAY($A68,2)+1)</f>
        <v/>
      </c>
      <c r="S68" s="159">
        <f>SUMIFS('METAS EMPRESAS'!$J$15:$J$320,'METAS EMPRESAS'!$A$15:$A$320,"CMM",'METAS EMPRESAS'!$B$15:$B$320,"VIGAS",'METAS EMPRESAS'!$C$15:$C$320,$A68-WEEKDAY($A68,2)+1)</f>
        <v/>
      </c>
      <c r="T68">
        <f>--(WEEKDAY(A68,2)&lt;=5)</f>
        <v/>
      </c>
      <c r="U68" t="n">
        <v>19</v>
      </c>
      <c r="V68" t="n">
        <v>7</v>
      </c>
      <c r="W68" t="n">
        <v>0</v>
      </c>
      <c r="X68" t="n">
        <v>5</v>
      </c>
      <c r="Y68" t="n">
        <v>5</v>
      </c>
      <c r="Z68" t="n">
        <v>5</v>
      </c>
      <c r="AA68" t="n">
        <v>95</v>
      </c>
      <c r="AB68" t="n">
        <v>35</v>
      </c>
      <c r="AC68" t="n">
        <v>0</v>
      </c>
    </row>
    <row r="69">
      <c r="A69" s="317" t="n">
        <v>46290</v>
      </c>
      <c r="B69" s="159">
        <f>SUMIFS('METAS EMPRESAS'!$K$15:$K$320,'METAS EMPRESAS'!$A$15:$A$320,"EJ",'METAS EMPRESAS'!$B$15:$B$320,"PREMONTAGEM",'METAS EMPRESAS'!$C$15:$C$320,$A69-WEEKDAY($A69,2)+1)</f>
        <v/>
      </c>
      <c r="C69" s="159">
        <f>SUMIFS('METAS EMPRESAS'!$K$15:$K$320,'METAS EMPRESAS'!$A$15:$A$320,"EJ",'METAS EMPRESAS'!$B$15:$B$320,"IÇAMENTO JOIST",'METAS EMPRESAS'!$C$15:$C$320,$A69-WEEKDAY($A69,2)+1)</f>
        <v/>
      </c>
      <c r="D69" s="159">
        <f>SUMIFS('METAS EMPRESAS'!$K$15:$K$320,'METAS EMPRESAS'!$A$15:$A$320,"EJ",'METAS EMPRESAS'!$B$15:$B$320,"VIGAS",'METAS EMPRESAS'!$C$15:$C$320,$A69-WEEKDAY($A69,2)+1)</f>
        <v/>
      </c>
      <c r="E69" s="159">
        <f>SUMIFS('METAS EMPRESAS'!$K$15:$K$320,'METAS EMPRESAS'!$A$15:$A$320,"CMM",'METAS EMPRESAS'!$B$15:$B$320,"PREMONTAGEM",'METAS EMPRESAS'!$C$15:$C$320,$A69-WEEKDAY($A69,2)+1)</f>
        <v/>
      </c>
      <c r="F69" s="159">
        <f>SUMIFS('METAS EMPRESAS'!$K$15:$K$320,'METAS EMPRESAS'!$A$15:$A$320,"CMM",'METAS EMPRESAS'!$B$15:$B$320,"IÇAMENTO JOIST",'METAS EMPRESAS'!$C$15:$C$320,$A69-WEEKDAY($A69,2)+1)</f>
        <v/>
      </c>
      <c r="G69" s="159">
        <f>SUMIFS('METAS EMPRESAS'!$K$15:$K$320,'METAS EMPRESAS'!$A$15:$A$320,"CMM",'METAS EMPRESAS'!$B$15:$B$320,"VIGAS",'METAS EMPRESAS'!$C$15:$C$320,$A69-WEEKDAY($A69,2)+1)</f>
        <v/>
      </c>
      <c r="H69" s="159">
        <f>SUMIFS('METAS EMPRESAS'!$G$15:$G$320,'METAS EMPRESAS'!$A$15:$A$320,"EJ",'METAS EMPRESAS'!$B$15:$B$320,"PREMONTAGEM",'METAS EMPRESAS'!$C$15:$C$320,$A69-WEEKDAY($A69,2)+1)</f>
        <v/>
      </c>
      <c r="I69" s="159">
        <f>SUMIFS('METAS EMPRESAS'!$G$15:$G$320,'METAS EMPRESAS'!$A$15:$A$320,"EJ",'METAS EMPRESAS'!$B$15:$B$320,"IÇAMENTO JOIST",'METAS EMPRESAS'!$C$15:$C$320,$A69-WEEKDAY($A69,2)+1)</f>
        <v/>
      </c>
      <c r="J69" s="159">
        <f>SUMIFS('METAS EMPRESAS'!$G$15:$G$320,'METAS EMPRESAS'!$A$15:$A$320,"EJ",'METAS EMPRESAS'!$B$15:$B$320,"VIGAS",'METAS EMPRESAS'!$C$15:$C$320,$A69-WEEKDAY($A69,2)+1)</f>
        <v/>
      </c>
      <c r="K69" s="159">
        <f>SUMIFS('METAS EMPRESAS'!$G$15:$G$320,'METAS EMPRESAS'!$A$15:$A$320,"CMM",'METAS EMPRESAS'!$B$15:$B$320,"PREMONTAGEM",'METAS EMPRESAS'!$C$15:$C$320,$A69-WEEKDAY($A69,2)+1)</f>
        <v/>
      </c>
      <c r="L69" s="159">
        <f>SUMIFS('METAS EMPRESAS'!$G$15:$G$320,'METAS EMPRESAS'!$A$15:$A$320,"CMM",'METAS EMPRESAS'!$B$15:$B$320,"IÇAMENTO JOIST",'METAS EMPRESAS'!$C$15:$C$320,$A69-WEEKDAY($A69,2)+1)</f>
        <v/>
      </c>
      <c r="M69" s="159">
        <f>SUMIFS('METAS EMPRESAS'!$G$15:$G$320,'METAS EMPRESAS'!$A$15:$A$320,"CMM",'METAS EMPRESAS'!$B$15:$B$320,"VIGAS",'METAS EMPRESAS'!$C$15:$C$320,$A69-WEEKDAY($A69,2)+1)</f>
        <v/>
      </c>
      <c r="N69" s="159">
        <f>SUMIFS('METAS EMPRESAS'!$J$15:$J$320,'METAS EMPRESAS'!$A$15:$A$320,"EJ",'METAS EMPRESAS'!$B$15:$B$320,"PREMONTAGEM",'METAS EMPRESAS'!$C$15:$C$320,$A69-WEEKDAY($A69,2)+1)</f>
        <v/>
      </c>
      <c r="O69" s="159">
        <f>SUMIFS('METAS EMPRESAS'!$J$15:$J$320,'METAS EMPRESAS'!$A$15:$A$320,"EJ",'METAS EMPRESAS'!$B$15:$B$320,"IÇAMENTO JOIST",'METAS EMPRESAS'!$C$15:$C$320,$A69-WEEKDAY($A69,2)+1)</f>
        <v/>
      </c>
      <c r="P69" s="159">
        <f>SUMIFS('METAS EMPRESAS'!$J$15:$J$320,'METAS EMPRESAS'!$A$15:$A$320,"EJ",'METAS EMPRESAS'!$B$15:$B$320,"VIGAS",'METAS EMPRESAS'!$C$15:$C$320,$A69-WEEKDAY($A69,2)+1)</f>
        <v/>
      </c>
      <c r="Q69" s="159">
        <f>SUMIFS('METAS EMPRESAS'!$J$15:$J$320,'METAS EMPRESAS'!$A$15:$A$320,"CMM",'METAS EMPRESAS'!$B$15:$B$320,"PREMONTAGEM",'METAS EMPRESAS'!$C$15:$C$320,$A69-WEEKDAY($A69,2)+1)</f>
        <v/>
      </c>
      <c r="R69" s="159">
        <f>SUMIFS('METAS EMPRESAS'!$J$15:$J$320,'METAS EMPRESAS'!$A$15:$A$320,"CMM",'METAS EMPRESAS'!$B$15:$B$320,"IÇAMENTO JOIST",'METAS EMPRESAS'!$C$15:$C$320,$A69-WEEKDAY($A69,2)+1)</f>
        <v/>
      </c>
      <c r="S69" s="159">
        <f>SUMIFS('METAS EMPRESAS'!$J$15:$J$320,'METAS EMPRESAS'!$A$15:$A$320,"CMM",'METAS EMPRESAS'!$B$15:$B$320,"VIGAS",'METAS EMPRESAS'!$C$15:$C$320,$A69-WEEKDAY($A69,2)+1)</f>
        <v/>
      </c>
      <c r="T69">
        <f>--(WEEKDAY(A69,2)&lt;=5)</f>
        <v/>
      </c>
      <c r="U69" t="n">
        <v>19</v>
      </c>
      <c r="V69" t="n">
        <v>7</v>
      </c>
      <c r="W69" t="n">
        <v>0</v>
      </c>
      <c r="X69" t="n">
        <v>5</v>
      </c>
      <c r="Y69" t="n">
        <v>5</v>
      </c>
      <c r="Z69" t="n">
        <v>5</v>
      </c>
      <c r="AA69" t="n">
        <v>95</v>
      </c>
      <c r="AB69" t="n">
        <v>35</v>
      </c>
      <c r="AC69" t="n">
        <v>0</v>
      </c>
    </row>
    <row r="70">
      <c r="A70" s="317" t="n">
        <v>46291</v>
      </c>
      <c r="B70" s="159">
        <f>SUMIFS('METAS EMPRESAS'!$K$15:$K$320,'METAS EMPRESAS'!$A$15:$A$320,"EJ",'METAS EMPRESAS'!$B$15:$B$320,"PREMONTAGEM",'METAS EMPRESAS'!$C$15:$C$320,$A70-WEEKDAY($A70,2)+1)</f>
        <v/>
      </c>
      <c r="C70" s="159">
        <f>SUMIFS('METAS EMPRESAS'!$K$15:$K$320,'METAS EMPRESAS'!$A$15:$A$320,"EJ",'METAS EMPRESAS'!$B$15:$B$320,"IÇAMENTO JOIST",'METAS EMPRESAS'!$C$15:$C$320,$A70-WEEKDAY($A70,2)+1)</f>
        <v/>
      </c>
      <c r="D70" s="159">
        <f>SUMIFS('METAS EMPRESAS'!$K$15:$K$320,'METAS EMPRESAS'!$A$15:$A$320,"EJ",'METAS EMPRESAS'!$B$15:$B$320,"VIGAS",'METAS EMPRESAS'!$C$15:$C$320,$A70-WEEKDAY($A70,2)+1)</f>
        <v/>
      </c>
      <c r="E70" s="159">
        <f>SUMIFS('METAS EMPRESAS'!$K$15:$K$320,'METAS EMPRESAS'!$A$15:$A$320,"CMM",'METAS EMPRESAS'!$B$15:$B$320,"PREMONTAGEM",'METAS EMPRESAS'!$C$15:$C$320,$A70-WEEKDAY($A70,2)+1)</f>
        <v/>
      </c>
      <c r="F70" s="159">
        <f>SUMIFS('METAS EMPRESAS'!$K$15:$K$320,'METAS EMPRESAS'!$A$15:$A$320,"CMM",'METAS EMPRESAS'!$B$15:$B$320,"IÇAMENTO JOIST",'METAS EMPRESAS'!$C$15:$C$320,$A70-WEEKDAY($A70,2)+1)</f>
        <v/>
      </c>
      <c r="G70" s="159">
        <f>SUMIFS('METAS EMPRESAS'!$K$15:$K$320,'METAS EMPRESAS'!$A$15:$A$320,"CMM",'METAS EMPRESAS'!$B$15:$B$320,"VIGAS",'METAS EMPRESAS'!$C$15:$C$320,$A70-WEEKDAY($A70,2)+1)</f>
        <v/>
      </c>
      <c r="H70" s="159">
        <f>SUMIFS('METAS EMPRESAS'!$G$15:$G$320,'METAS EMPRESAS'!$A$15:$A$320,"EJ",'METAS EMPRESAS'!$B$15:$B$320,"PREMONTAGEM",'METAS EMPRESAS'!$C$15:$C$320,$A70-WEEKDAY($A70,2)+1)</f>
        <v/>
      </c>
      <c r="I70" s="159">
        <f>SUMIFS('METAS EMPRESAS'!$G$15:$G$320,'METAS EMPRESAS'!$A$15:$A$320,"EJ",'METAS EMPRESAS'!$B$15:$B$320,"IÇAMENTO JOIST",'METAS EMPRESAS'!$C$15:$C$320,$A70-WEEKDAY($A70,2)+1)</f>
        <v/>
      </c>
      <c r="J70" s="159">
        <f>SUMIFS('METAS EMPRESAS'!$G$15:$G$320,'METAS EMPRESAS'!$A$15:$A$320,"EJ",'METAS EMPRESAS'!$B$15:$B$320,"VIGAS",'METAS EMPRESAS'!$C$15:$C$320,$A70-WEEKDAY($A70,2)+1)</f>
        <v/>
      </c>
      <c r="K70" s="159">
        <f>SUMIFS('METAS EMPRESAS'!$G$15:$G$320,'METAS EMPRESAS'!$A$15:$A$320,"CMM",'METAS EMPRESAS'!$B$15:$B$320,"PREMONTAGEM",'METAS EMPRESAS'!$C$15:$C$320,$A70-WEEKDAY($A70,2)+1)</f>
        <v/>
      </c>
      <c r="L70" s="159">
        <f>SUMIFS('METAS EMPRESAS'!$G$15:$G$320,'METAS EMPRESAS'!$A$15:$A$320,"CMM",'METAS EMPRESAS'!$B$15:$B$320,"IÇAMENTO JOIST",'METAS EMPRESAS'!$C$15:$C$320,$A70-WEEKDAY($A70,2)+1)</f>
        <v/>
      </c>
      <c r="M70" s="159">
        <f>SUMIFS('METAS EMPRESAS'!$G$15:$G$320,'METAS EMPRESAS'!$A$15:$A$320,"CMM",'METAS EMPRESAS'!$B$15:$B$320,"VIGAS",'METAS EMPRESAS'!$C$15:$C$320,$A70-WEEKDAY($A70,2)+1)</f>
        <v/>
      </c>
      <c r="N70" s="159">
        <f>SUMIFS('METAS EMPRESAS'!$J$15:$J$320,'METAS EMPRESAS'!$A$15:$A$320,"EJ",'METAS EMPRESAS'!$B$15:$B$320,"PREMONTAGEM",'METAS EMPRESAS'!$C$15:$C$320,$A70-WEEKDAY($A70,2)+1)</f>
        <v/>
      </c>
      <c r="O70" s="159">
        <f>SUMIFS('METAS EMPRESAS'!$J$15:$J$320,'METAS EMPRESAS'!$A$15:$A$320,"EJ",'METAS EMPRESAS'!$B$15:$B$320,"IÇAMENTO JOIST",'METAS EMPRESAS'!$C$15:$C$320,$A70-WEEKDAY($A70,2)+1)</f>
        <v/>
      </c>
      <c r="P70" s="159">
        <f>SUMIFS('METAS EMPRESAS'!$J$15:$J$320,'METAS EMPRESAS'!$A$15:$A$320,"EJ",'METAS EMPRESAS'!$B$15:$B$320,"VIGAS",'METAS EMPRESAS'!$C$15:$C$320,$A70-WEEKDAY($A70,2)+1)</f>
        <v/>
      </c>
      <c r="Q70" s="159">
        <f>SUMIFS('METAS EMPRESAS'!$J$15:$J$320,'METAS EMPRESAS'!$A$15:$A$320,"CMM",'METAS EMPRESAS'!$B$15:$B$320,"PREMONTAGEM",'METAS EMPRESAS'!$C$15:$C$320,$A70-WEEKDAY($A70,2)+1)</f>
        <v/>
      </c>
      <c r="R70" s="159">
        <f>SUMIFS('METAS EMPRESAS'!$J$15:$J$320,'METAS EMPRESAS'!$A$15:$A$320,"CMM",'METAS EMPRESAS'!$B$15:$B$320,"IÇAMENTO JOIST",'METAS EMPRESAS'!$C$15:$C$320,$A70-WEEKDAY($A70,2)+1)</f>
        <v/>
      </c>
      <c r="S70" s="159">
        <f>SUMIFS('METAS EMPRESAS'!$J$15:$J$320,'METAS EMPRESAS'!$A$15:$A$320,"CMM",'METAS EMPRESAS'!$B$15:$B$320,"VIGAS",'METAS EMPRESAS'!$C$15:$C$320,$A70-WEEKDAY($A70,2)+1)</f>
        <v/>
      </c>
      <c r="T70">
        <f>--(WEEKDAY(A70,2)&lt;=5)</f>
        <v/>
      </c>
      <c r="U70" t="n">
        <v>19</v>
      </c>
      <c r="V70" t="n">
        <v>7</v>
      </c>
      <c r="W70" t="n">
        <v>0</v>
      </c>
      <c r="X70" t="n">
        <v>5</v>
      </c>
      <c r="Y70" t="n">
        <v>5</v>
      </c>
      <c r="Z70" t="n">
        <v>5</v>
      </c>
      <c r="AA70" t="n">
        <v>95</v>
      </c>
      <c r="AB70" t="n">
        <v>35</v>
      </c>
      <c r="AC70" t="n">
        <v>0</v>
      </c>
    </row>
    <row r="71">
      <c r="A71" s="317" t="n">
        <v>46292</v>
      </c>
      <c r="B71" s="159">
        <f>SUMIFS('METAS EMPRESAS'!$K$15:$K$320,'METAS EMPRESAS'!$A$15:$A$320,"EJ",'METAS EMPRESAS'!$B$15:$B$320,"PREMONTAGEM",'METAS EMPRESAS'!$C$15:$C$320,$A71-WEEKDAY($A71,2)+1)</f>
        <v/>
      </c>
      <c r="C71" s="159">
        <f>SUMIFS('METAS EMPRESAS'!$K$15:$K$320,'METAS EMPRESAS'!$A$15:$A$320,"EJ",'METAS EMPRESAS'!$B$15:$B$320,"IÇAMENTO JOIST",'METAS EMPRESAS'!$C$15:$C$320,$A71-WEEKDAY($A71,2)+1)</f>
        <v/>
      </c>
      <c r="D71" s="159">
        <f>SUMIFS('METAS EMPRESAS'!$K$15:$K$320,'METAS EMPRESAS'!$A$15:$A$320,"EJ",'METAS EMPRESAS'!$B$15:$B$320,"VIGAS",'METAS EMPRESAS'!$C$15:$C$320,$A71-WEEKDAY($A71,2)+1)</f>
        <v/>
      </c>
      <c r="E71" s="159">
        <f>SUMIFS('METAS EMPRESAS'!$K$15:$K$320,'METAS EMPRESAS'!$A$15:$A$320,"CMM",'METAS EMPRESAS'!$B$15:$B$320,"PREMONTAGEM",'METAS EMPRESAS'!$C$15:$C$320,$A71-WEEKDAY($A71,2)+1)</f>
        <v/>
      </c>
      <c r="F71" s="159">
        <f>SUMIFS('METAS EMPRESAS'!$K$15:$K$320,'METAS EMPRESAS'!$A$15:$A$320,"CMM",'METAS EMPRESAS'!$B$15:$B$320,"IÇAMENTO JOIST",'METAS EMPRESAS'!$C$15:$C$320,$A71-WEEKDAY($A71,2)+1)</f>
        <v/>
      </c>
      <c r="G71" s="159">
        <f>SUMIFS('METAS EMPRESAS'!$K$15:$K$320,'METAS EMPRESAS'!$A$15:$A$320,"CMM",'METAS EMPRESAS'!$B$15:$B$320,"VIGAS",'METAS EMPRESAS'!$C$15:$C$320,$A71-WEEKDAY($A71,2)+1)</f>
        <v/>
      </c>
      <c r="H71" s="159">
        <f>SUMIFS('METAS EMPRESAS'!$G$15:$G$320,'METAS EMPRESAS'!$A$15:$A$320,"EJ",'METAS EMPRESAS'!$B$15:$B$320,"PREMONTAGEM",'METAS EMPRESAS'!$C$15:$C$320,$A71-WEEKDAY($A71,2)+1)</f>
        <v/>
      </c>
      <c r="I71" s="159">
        <f>SUMIFS('METAS EMPRESAS'!$G$15:$G$320,'METAS EMPRESAS'!$A$15:$A$320,"EJ",'METAS EMPRESAS'!$B$15:$B$320,"IÇAMENTO JOIST",'METAS EMPRESAS'!$C$15:$C$320,$A71-WEEKDAY($A71,2)+1)</f>
        <v/>
      </c>
      <c r="J71" s="159">
        <f>SUMIFS('METAS EMPRESAS'!$G$15:$G$320,'METAS EMPRESAS'!$A$15:$A$320,"EJ",'METAS EMPRESAS'!$B$15:$B$320,"VIGAS",'METAS EMPRESAS'!$C$15:$C$320,$A71-WEEKDAY($A71,2)+1)</f>
        <v/>
      </c>
      <c r="K71" s="159">
        <f>SUMIFS('METAS EMPRESAS'!$G$15:$G$320,'METAS EMPRESAS'!$A$15:$A$320,"CMM",'METAS EMPRESAS'!$B$15:$B$320,"PREMONTAGEM",'METAS EMPRESAS'!$C$15:$C$320,$A71-WEEKDAY($A71,2)+1)</f>
        <v/>
      </c>
      <c r="L71" s="159">
        <f>SUMIFS('METAS EMPRESAS'!$G$15:$G$320,'METAS EMPRESAS'!$A$15:$A$320,"CMM",'METAS EMPRESAS'!$B$15:$B$320,"IÇAMENTO JOIST",'METAS EMPRESAS'!$C$15:$C$320,$A71-WEEKDAY($A71,2)+1)</f>
        <v/>
      </c>
      <c r="M71" s="159">
        <f>SUMIFS('METAS EMPRESAS'!$G$15:$G$320,'METAS EMPRESAS'!$A$15:$A$320,"CMM",'METAS EMPRESAS'!$B$15:$B$320,"VIGAS",'METAS EMPRESAS'!$C$15:$C$320,$A71-WEEKDAY($A71,2)+1)</f>
        <v/>
      </c>
      <c r="N71" s="159">
        <f>SUMIFS('METAS EMPRESAS'!$J$15:$J$320,'METAS EMPRESAS'!$A$15:$A$320,"EJ",'METAS EMPRESAS'!$B$15:$B$320,"PREMONTAGEM",'METAS EMPRESAS'!$C$15:$C$320,$A71-WEEKDAY($A71,2)+1)</f>
        <v/>
      </c>
      <c r="O71" s="159">
        <f>SUMIFS('METAS EMPRESAS'!$J$15:$J$320,'METAS EMPRESAS'!$A$15:$A$320,"EJ",'METAS EMPRESAS'!$B$15:$B$320,"IÇAMENTO JOIST",'METAS EMPRESAS'!$C$15:$C$320,$A71-WEEKDAY($A71,2)+1)</f>
        <v/>
      </c>
      <c r="P71" s="159">
        <f>SUMIFS('METAS EMPRESAS'!$J$15:$J$320,'METAS EMPRESAS'!$A$15:$A$320,"EJ",'METAS EMPRESAS'!$B$15:$B$320,"VIGAS",'METAS EMPRESAS'!$C$15:$C$320,$A71-WEEKDAY($A71,2)+1)</f>
        <v/>
      </c>
      <c r="Q71" s="159">
        <f>SUMIFS('METAS EMPRESAS'!$J$15:$J$320,'METAS EMPRESAS'!$A$15:$A$320,"CMM",'METAS EMPRESAS'!$B$15:$B$320,"PREMONTAGEM",'METAS EMPRESAS'!$C$15:$C$320,$A71-WEEKDAY($A71,2)+1)</f>
        <v/>
      </c>
      <c r="R71" s="159">
        <f>SUMIFS('METAS EMPRESAS'!$J$15:$J$320,'METAS EMPRESAS'!$A$15:$A$320,"CMM",'METAS EMPRESAS'!$B$15:$B$320,"IÇAMENTO JOIST",'METAS EMPRESAS'!$C$15:$C$320,$A71-WEEKDAY($A71,2)+1)</f>
        <v/>
      </c>
      <c r="S71" s="159">
        <f>SUMIFS('METAS EMPRESAS'!$J$15:$J$320,'METAS EMPRESAS'!$A$15:$A$320,"CMM",'METAS EMPRESAS'!$B$15:$B$320,"VIGAS",'METAS EMPRESAS'!$C$15:$C$320,$A71-WEEKDAY($A71,2)+1)</f>
        <v/>
      </c>
      <c r="T71">
        <f>--(WEEKDAY(A71,2)&lt;=5)</f>
        <v/>
      </c>
      <c r="U71" t="n">
        <v>19</v>
      </c>
      <c r="V71" t="n">
        <v>7</v>
      </c>
      <c r="W71" t="n">
        <v>0</v>
      </c>
      <c r="X71" t="n">
        <v>5</v>
      </c>
      <c r="Y71" t="n">
        <v>5</v>
      </c>
      <c r="Z71" t="n">
        <v>5</v>
      </c>
      <c r="AA71" t="n">
        <v>95</v>
      </c>
      <c r="AB71" t="n">
        <v>35</v>
      </c>
      <c r="AC71" t="n">
        <v>0</v>
      </c>
    </row>
    <row r="72">
      <c r="A72" s="317" t="n">
        <v>46293</v>
      </c>
      <c r="B72" s="159">
        <f>SUMIFS('METAS EMPRESAS'!$K$15:$K$320,'METAS EMPRESAS'!$A$15:$A$320,"EJ",'METAS EMPRESAS'!$B$15:$B$320,"PREMONTAGEM",'METAS EMPRESAS'!$C$15:$C$320,$A72-WEEKDAY($A72,2)+1)</f>
        <v/>
      </c>
      <c r="C72" s="159">
        <f>SUMIFS('METAS EMPRESAS'!$K$15:$K$320,'METAS EMPRESAS'!$A$15:$A$320,"EJ",'METAS EMPRESAS'!$B$15:$B$320,"IÇAMENTO JOIST",'METAS EMPRESAS'!$C$15:$C$320,$A72-WEEKDAY($A72,2)+1)</f>
        <v/>
      </c>
      <c r="D72" s="159">
        <f>SUMIFS('METAS EMPRESAS'!$K$15:$K$320,'METAS EMPRESAS'!$A$15:$A$320,"EJ",'METAS EMPRESAS'!$B$15:$B$320,"VIGAS",'METAS EMPRESAS'!$C$15:$C$320,$A72-WEEKDAY($A72,2)+1)</f>
        <v/>
      </c>
      <c r="E72" s="159">
        <f>SUMIFS('METAS EMPRESAS'!$K$15:$K$320,'METAS EMPRESAS'!$A$15:$A$320,"CMM",'METAS EMPRESAS'!$B$15:$B$320,"PREMONTAGEM",'METAS EMPRESAS'!$C$15:$C$320,$A72-WEEKDAY($A72,2)+1)</f>
        <v/>
      </c>
      <c r="F72" s="159">
        <f>SUMIFS('METAS EMPRESAS'!$K$15:$K$320,'METAS EMPRESAS'!$A$15:$A$320,"CMM",'METAS EMPRESAS'!$B$15:$B$320,"IÇAMENTO JOIST",'METAS EMPRESAS'!$C$15:$C$320,$A72-WEEKDAY($A72,2)+1)</f>
        <v/>
      </c>
      <c r="G72" s="159">
        <f>SUMIFS('METAS EMPRESAS'!$K$15:$K$320,'METAS EMPRESAS'!$A$15:$A$320,"CMM",'METAS EMPRESAS'!$B$15:$B$320,"VIGAS",'METAS EMPRESAS'!$C$15:$C$320,$A72-WEEKDAY($A72,2)+1)</f>
        <v/>
      </c>
      <c r="H72" s="159">
        <f>SUMIFS('METAS EMPRESAS'!$G$15:$G$320,'METAS EMPRESAS'!$A$15:$A$320,"EJ",'METAS EMPRESAS'!$B$15:$B$320,"PREMONTAGEM",'METAS EMPRESAS'!$C$15:$C$320,$A72-WEEKDAY($A72,2)+1)</f>
        <v/>
      </c>
      <c r="I72" s="159">
        <f>SUMIFS('METAS EMPRESAS'!$G$15:$G$320,'METAS EMPRESAS'!$A$15:$A$320,"EJ",'METAS EMPRESAS'!$B$15:$B$320,"IÇAMENTO JOIST",'METAS EMPRESAS'!$C$15:$C$320,$A72-WEEKDAY($A72,2)+1)</f>
        <v/>
      </c>
      <c r="J72" s="159">
        <f>SUMIFS('METAS EMPRESAS'!$G$15:$G$320,'METAS EMPRESAS'!$A$15:$A$320,"EJ",'METAS EMPRESAS'!$B$15:$B$320,"VIGAS",'METAS EMPRESAS'!$C$15:$C$320,$A72-WEEKDAY($A72,2)+1)</f>
        <v/>
      </c>
      <c r="K72" s="159">
        <f>SUMIFS('METAS EMPRESAS'!$G$15:$G$320,'METAS EMPRESAS'!$A$15:$A$320,"CMM",'METAS EMPRESAS'!$B$15:$B$320,"PREMONTAGEM",'METAS EMPRESAS'!$C$15:$C$320,$A72-WEEKDAY($A72,2)+1)</f>
        <v/>
      </c>
      <c r="L72" s="159">
        <f>SUMIFS('METAS EMPRESAS'!$G$15:$G$320,'METAS EMPRESAS'!$A$15:$A$320,"CMM",'METAS EMPRESAS'!$B$15:$B$320,"IÇAMENTO JOIST",'METAS EMPRESAS'!$C$15:$C$320,$A72-WEEKDAY($A72,2)+1)</f>
        <v/>
      </c>
      <c r="M72" s="159">
        <f>SUMIFS('METAS EMPRESAS'!$G$15:$G$320,'METAS EMPRESAS'!$A$15:$A$320,"CMM",'METAS EMPRESAS'!$B$15:$B$320,"VIGAS",'METAS EMPRESAS'!$C$15:$C$320,$A72-WEEKDAY($A72,2)+1)</f>
        <v/>
      </c>
      <c r="N72" s="159">
        <f>SUMIFS('METAS EMPRESAS'!$J$15:$J$320,'METAS EMPRESAS'!$A$15:$A$320,"EJ",'METAS EMPRESAS'!$B$15:$B$320,"PREMONTAGEM",'METAS EMPRESAS'!$C$15:$C$320,$A72-WEEKDAY($A72,2)+1)</f>
        <v/>
      </c>
      <c r="O72" s="159">
        <f>SUMIFS('METAS EMPRESAS'!$J$15:$J$320,'METAS EMPRESAS'!$A$15:$A$320,"EJ",'METAS EMPRESAS'!$B$15:$B$320,"IÇAMENTO JOIST",'METAS EMPRESAS'!$C$15:$C$320,$A72-WEEKDAY($A72,2)+1)</f>
        <v/>
      </c>
      <c r="P72" s="159">
        <f>SUMIFS('METAS EMPRESAS'!$J$15:$J$320,'METAS EMPRESAS'!$A$15:$A$320,"EJ",'METAS EMPRESAS'!$B$15:$B$320,"VIGAS",'METAS EMPRESAS'!$C$15:$C$320,$A72-WEEKDAY($A72,2)+1)</f>
        <v/>
      </c>
      <c r="Q72" s="159">
        <f>SUMIFS('METAS EMPRESAS'!$J$15:$J$320,'METAS EMPRESAS'!$A$15:$A$320,"CMM",'METAS EMPRESAS'!$B$15:$B$320,"PREMONTAGEM",'METAS EMPRESAS'!$C$15:$C$320,$A72-WEEKDAY($A72,2)+1)</f>
        <v/>
      </c>
      <c r="R72" s="159">
        <f>SUMIFS('METAS EMPRESAS'!$J$15:$J$320,'METAS EMPRESAS'!$A$15:$A$320,"CMM",'METAS EMPRESAS'!$B$15:$B$320,"IÇAMENTO JOIST",'METAS EMPRESAS'!$C$15:$C$320,$A72-WEEKDAY($A72,2)+1)</f>
        <v/>
      </c>
      <c r="S72" s="159">
        <f>SUMIFS('METAS EMPRESAS'!$J$15:$J$320,'METAS EMPRESAS'!$A$15:$A$320,"CMM",'METAS EMPRESAS'!$B$15:$B$320,"VIGAS",'METAS EMPRESAS'!$C$15:$C$320,$A72-WEEKDAY($A72,2)+1)</f>
        <v/>
      </c>
      <c r="T72">
        <f>--(WEEKDAY(A72,2)&lt;=5)</f>
        <v/>
      </c>
      <c r="U72" t="n">
        <v>19</v>
      </c>
      <c r="V72" t="n">
        <v>7</v>
      </c>
      <c r="W72" t="n">
        <v>0</v>
      </c>
      <c r="X72" t="n">
        <v>5</v>
      </c>
      <c r="Y72" t="n">
        <v>5</v>
      </c>
      <c r="Z72" t="n">
        <v>5</v>
      </c>
      <c r="AA72" t="n">
        <v>95</v>
      </c>
      <c r="AB72" t="n">
        <v>35</v>
      </c>
      <c r="AC72" t="n">
        <v>0</v>
      </c>
    </row>
    <row r="73">
      <c r="A73" s="317" t="n">
        <v>46294</v>
      </c>
      <c r="B73" s="159">
        <f>SUMIFS('METAS EMPRESAS'!$K$15:$K$320,'METAS EMPRESAS'!$A$15:$A$320,"EJ",'METAS EMPRESAS'!$B$15:$B$320,"PREMONTAGEM",'METAS EMPRESAS'!$C$15:$C$320,$A73-WEEKDAY($A73,2)+1)</f>
        <v/>
      </c>
      <c r="C73" s="159">
        <f>SUMIFS('METAS EMPRESAS'!$K$15:$K$320,'METAS EMPRESAS'!$A$15:$A$320,"EJ",'METAS EMPRESAS'!$B$15:$B$320,"IÇAMENTO JOIST",'METAS EMPRESAS'!$C$15:$C$320,$A73-WEEKDAY($A73,2)+1)</f>
        <v/>
      </c>
      <c r="D73" s="159">
        <f>SUMIFS('METAS EMPRESAS'!$K$15:$K$320,'METAS EMPRESAS'!$A$15:$A$320,"EJ",'METAS EMPRESAS'!$B$15:$B$320,"VIGAS",'METAS EMPRESAS'!$C$15:$C$320,$A73-WEEKDAY($A73,2)+1)</f>
        <v/>
      </c>
      <c r="E73" s="159">
        <f>SUMIFS('METAS EMPRESAS'!$K$15:$K$320,'METAS EMPRESAS'!$A$15:$A$320,"CMM",'METAS EMPRESAS'!$B$15:$B$320,"PREMONTAGEM",'METAS EMPRESAS'!$C$15:$C$320,$A73-WEEKDAY($A73,2)+1)</f>
        <v/>
      </c>
      <c r="F73" s="159">
        <f>SUMIFS('METAS EMPRESAS'!$K$15:$K$320,'METAS EMPRESAS'!$A$15:$A$320,"CMM",'METAS EMPRESAS'!$B$15:$B$320,"IÇAMENTO JOIST",'METAS EMPRESAS'!$C$15:$C$320,$A73-WEEKDAY($A73,2)+1)</f>
        <v/>
      </c>
      <c r="G73" s="159">
        <f>SUMIFS('METAS EMPRESAS'!$K$15:$K$320,'METAS EMPRESAS'!$A$15:$A$320,"CMM",'METAS EMPRESAS'!$B$15:$B$320,"VIGAS",'METAS EMPRESAS'!$C$15:$C$320,$A73-WEEKDAY($A73,2)+1)</f>
        <v/>
      </c>
      <c r="H73" s="159">
        <f>SUMIFS('METAS EMPRESAS'!$G$15:$G$320,'METAS EMPRESAS'!$A$15:$A$320,"EJ",'METAS EMPRESAS'!$B$15:$B$320,"PREMONTAGEM",'METAS EMPRESAS'!$C$15:$C$320,$A73-WEEKDAY($A73,2)+1)</f>
        <v/>
      </c>
      <c r="I73" s="159">
        <f>SUMIFS('METAS EMPRESAS'!$G$15:$G$320,'METAS EMPRESAS'!$A$15:$A$320,"EJ",'METAS EMPRESAS'!$B$15:$B$320,"IÇAMENTO JOIST",'METAS EMPRESAS'!$C$15:$C$320,$A73-WEEKDAY($A73,2)+1)</f>
        <v/>
      </c>
      <c r="J73" s="159">
        <f>SUMIFS('METAS EMPRESAS'!$G$15:$G$320,'METAS EMPRESAS'!$A$15:$A$320,"EJ",'METAS EMPRESAS'!$B$15:$B$320,"VIGAS",'METAS EMPRESAS'!$C$15:$C$320,$A73-WEEKDAY($A73,2)+1)</f>
        <v/>
      </c>
      <c r="K73" s="159">
        <f>SUMIFS('METAS EMPRESAS'!$G$15:$G$320,'METAS EMPRESAS'!$A$15:$A$320,"CMM",'METAS EMPRESAS'!$B$15:$B$320,"PREMONTAGEM",'METAS EMPRESAS'!$C$15:$C$320,$A73-WEEKDAY($A73,2)+1)</f>
        <v/>
      </c>
      <c r="L73" s="159">
        <f>SUMIFS('METAS EMPRESAS'!$G$15:$G$320,'METAS EMPRESAS'!$A$15:$A$320,"CMM",'METAS EMPRESAS'!$B$15:$B$320,"IÇAMENTO JOIST",'METAS EMPRESAS'!$C$15:$C$320,$A73-WEEKDAY($A73,2)+1)</f>
        <v/>
      </c>
      <c r="M73" s="159">
        <f>SUMIFS('METAS EMPRESAS'!$G$15:$G$320,'METAS EMPRESAS'!$A$15:$A$320,"CMM",'METAS EMPRESAS'!$B$15:$B$320,"VIGAS",'METAS EMPRESAS'!$C$15:$C$320,$A73-WEEKDAY($A73,2)+1)</f>
        <v/>
      </c>
      <c r="N73" s="159">
        <f>SUMIFS('METAS EMPRESAS'!$J$15:$J$320,'METAS EMPRESAS'!$A$15:$A$320,"EJ",'METAS EMPRESAS'!$B$15:$B$320,"PREMONTAGEM",'METAS EMPRESAS'!$C$15:$C$320,$A73-WEEKDAY($A73,2)+1)</f>
        <v/>
      </c>
      <c r="O73" s="159">
        <f>SUMIFS('METAS EMPRESAS'!$J$15:$J$320,'METAS EMPRESAS'!$A$15:$A$320,"EJ",'METAS EMPRESAS'!$B$15:$B$320,"IÇAMENTO JOIST",'METAS EMPRESAS'!$C$15:$C$320,$A73-WEEKDAY($A73,2)+1)</f>
        <v/>
      </c>
      <c r="P73" s="159">
        <f>SUMIFS('METAS EMPRESAS'!$J$15:$J$320,'METAS EMPRESAS'!$A$15:$A$320,"EJ",'METAS EMPRESAS'!$B$15:$B$320,"VIGAS",'METAS EMPRESAS'!$C$15:$C$320,$A73-WEEKDAY($A73,2)+1)</f>
        <v/>
      </c>
      <c r="Q73" s="159">
        <f>SUMIFS('METAS EMPRESAS'!$J$15:$J$320,'METAS EMPRESAS'!$A$15:$A$320,"CMM",'METAS EMPRESAS'!$B$15:$B$320,"PREMONTAGEM",'METAS EMPRESAS'!$C$15:$C$320,$A73-WEEKDAY($A73,2)+1)</f>
        <v/>
      </c>
      <c r="R73" s="159">
        <f>SUMIFS('METAS EMPRESAS'!$J$15:$J$320,'METAS EMPRESAS'!$A$15:$A$320,"CMM",'METAS EMPRESAS'!$B$15:$B$320,"IÇAMENTO JOIST",'METAS EMPRESAS'!$C$15:$C$320,$A73-WEEKDAY($A73,2)+1)</f>
        <v/>
      </c>
      <c r="S73" s="159">
        <f>SUMIFS('METAS EMPRESAS'!$J$15:$J$320,'METAS EMPRESAS'!$A$15:$A$320,"CMM",'METAS EMPRESAS'!$B$15:$B$320,"VIGAS",'METAS EMPRESAS'!$C$15:$C$320,$A73-WEEKDAY($A73,2)+1)</f>
        <v/>
      </c>
      <c r="T73">
        <f>--(WEEKDAY(A73,2)&lt;=5)</f>
        <v/>
      </c>
      <c r="U73" t="n">
        <v>19</v>
      </c>
      <c r="V73" t="n">
        <v>7</v>
      </c>
      <c r="W73" t="n">
        <v>0</v>
      </c>
      <c r="X73" t="n">
        <v>5</v>
      </c>
      <c r="Y73" t="n">
        <v>5</v>
      </c>
      <c r="Z73" t="n">
        <v>5</v>
      </c>
      <c r="AA73" t="n">
        <v>95</v>
      </c>
      <c r="AB73" t="n">
        <v>35</v>
      </c>
      <c r="AC73" t="n">
        <v>0</v>
      </c>
    </row>
    <row r="74">
      <c r="A74" s="317" t="n">
        <v>46295</v>
      </c>
      <c r="B74" s="159">
        <f>SUMIFS('METAS EMPRESAS'!$K$15:$K$320,'METAS EMPRESAS'!$A$15:$A$320,"EJ",'METAS EMPRESAS'!$B$15:$B$320,"PREMONTAGEM",'METAS EMPRESAS'!$C$15:$C$320,$A74-WEEKDAY($A74,2)+1)</f>
        <v/>
      </c>
      <c r="C74" s="159">
        <f>SUMIFS('METAS EMPRESAS'!$K$15:$K$320,'METAS EMPRESAS'!$A$15:$A$320,"EJ",'METAS EMPRESAS'!$B$15:$B$320,"IÇAMENTO JOIST",'METAS EMPRESAS'!$C$15:$C$320,$A74-WEEKDAY($A74,2)+1)</f>
        <v/>
      </c>
      <c r="D74" s="159">
        <f>SUMIFS('METAS EMPRESAS'!$K$15:$K$320,'METAS EMPRESAS'!$A$15:$A$320,"EJ",'METAS EMPRESAS'!$B$15:$B$320,"VIGAS",'METAS EMPRESAS'!$C$15:$C$320,$A74-WEEKDAY($A74,2)+1)</f>
        <v/>
      </c>
      <c r="E74" s="159">
        <f>SUMIFS('METAS EMPRESAS'!$K$15:$K$320,'METAS EMPRESAS'!$A$15:$A$320,"CMM",'METAS EMPRESAS'!$B$15:$B$320,"PREMONTAGEM",'METAS EMPRESAS'!$C$15:$C$320,$A74-WEEKDAY($A74,2)+1)</f>
        <v/>
      </c>
      <c r="F74" s="159">
        <f>SUMIFS('METAS EMPRESAS'!$K$15:$K$320,'METAS EMPRESAS'!$A$15:$A$320,"CMM",'METAS EMPRESAS'!$B$15:$B$320,"IÇAMENTO JOIST",'METAS EMPRESAS'!$C$15:$C$320,$A74-WEEKDAY($A74,2)+1)</f>
        <v/>
      </c>
      <c r="G74" s="159">
        <f>SUMIFS('METAS EMPRESAS'!$K$15:$K$320,'METAS EMPRESAS'!$A$15:$A$320,"CMM",'METAS EMPRESAS'!$B$15:$B$320,"VIGAS",'METAS EMPRESAS'!$C$15:$C$320,$A74-WEEKDAY($A74,2)+1)</f>
        <v/>
      </c>
      <c r="H74" s="159">
        <f>SUMIFS('METAS EMPRESAS'!$G$15:$G$320,'METAS EMPRESAS'!$A$15:$A$320,"EJ",'METAS EMPRESAS'!$B$15:$B$320,"PREMONTAGEM",'METAS EMPRESAS'!$C$15:$C$320,$A74-WEEKDAY($A74,2)+1)</f>
        <v/>
      </c>
      <c r="I74" s="159">
        <f>SUMIFS('METAS EMPRESAS'!$G$15:$G$320,'METAS EMPRESAS'!$A$15:$A$320,"EJ",'METAS EMPRESAS'!$B$15:$B$320,"IÇAMENTO JOIST",'METAS EMPRESAS'!$C$15:$C$320,$A74-WEEKDAY($A74,2)+1)</f>
        <v/>
      </c>
      <c r="J74" s="159">
        <f>SUMIFS('METAS EMPRESAS'!$G$15:$G$320,'METAS EMPRESAS'!$A$15:$A$320,"EJ",'METAS EMPRESAS'!$B$15:$B$320,"VIGAS",'METAS EMPRESAS'!$C$15:$C$320,$A74-WEEKDAY($A74,2)+1)</f>
        <v/>
      </c>
      <c r="K74" s="159">
        <f>SUMIFS('METAS EMPRESAS'!$G$15:$G$320,'METAS EMPRESAS'!$A$15:$A$320,"CMM",'METAS EMPRESAS'!$B$15:$B$320,"PREMONTAGEM",'METAS EMPRESAS'!$C$15:$C$320,$A74-WEEKDAY($A74,2)+1)</f>
        <v/>
      </c>
      <c r="L74" s="159">
        <f>SUMIFS('METAS EMPRESAS'!$G$15:$G$320,'METAS EMPRESAS'!$A$15:$A$320,"CMM",'METAS EMPRESAS'!$B$15:$B$320,"IÇAMENTO JOIST",'METAS EMPRESAS'!$C$15:$C$320,$A74-WEEKDAY($A74,2)+1)</f>
        <v/>
      </c>
      <c r="M74" s="159">
        <f>SUMIFS('METAS EMPRESAS'!$G$15:$G$320,'METAS EMPRESAS'!$A$15:$A$320,"CMM",'METAS EMPRESAS'!$B$15:$B$320,"VIGAS",'METAS EMPRESAS'!$C$15:$C$320,$A74-WEEKDAY($A74,2)+1)</f>
        <v/>
      </c>
      <c r="N74" s="159">
        <f>SUMIFS('METAS EMPRESAS'!$J$15:$J$320,'METAS EMPRESAS'!$A$15:$A$320,"EJ",'METAS EMPRESAS'!$B$15:$B$320,"PREMONTAGEM",'METAS EMPRESAS'!$C$15:$C$320,$A74-WEEKDAY($A74,2)+1)</f>
        <v/>
      </c>
      <c r="O74" s="159">
        <f>SUMIFS('METAS EMPRESAS'!$J$15:$J$320,'METAS EMPRESAS'!$A$15:$A$320,"EJ",'METAS EMPRESAS'!$B$15:$B$320,"IÇAMENTO JOIST",'METAS EMPRESAS'!$C$15:$C$320,$A74-WEEKDAY($A74,2)+1)</f>
        <v/>
      </c>
      <c r="P74" s="159">
        <f>SUMIFS('METAS EMPRESAS'!$J$15:$J$320,'METAS EMPRESAS'!$A$15:$A$320,"EJ",'METAS EMPRESAS'!$B$15:$B$320,"VIGAS",'METAS EMPRESAS'!$C$15:$C$320,$A74-WEEKDAY($A74,2)+1)</f>
        <v/>
      </c>
      <c r="Q74" s="159">
        <f>SUMIFS('METAS EMPRESAS'!$J$15:$J$320,'METAS EMPRESAS'!$A$15:$A$320,"CMM",'METAS EMPRESAS'!$B$15:$B$320,"PREMONTAGEM",'METAS EMPRESAS'!$C$15:$C$320,$A74-WEEKDAY($A74,2)+1)</f>
        <v/>
      </c>
      <c r="R74" s="159">
        <f>SUMIFS('METAS EMPRESAS'!$J$15:$J$320,'METAS EMPRESAS'!$A$15:$A$320,"CMM",'METAS EMPRESAS'!$B$15:$B$320,"IÇAMENTO JOIST",'METAS EMPRESAS'!$C$15:$C$320,$A74-WEEKDAY($A74,2)+1)</f>
        <v/>
      </c>
      <c r="S74" s="159">
        <f>SUMIFS('METAS EMPRESAS'!$J$15:$J$320,'METAS EMPRESAS'!$A$15:$A$320,"CMM",'METAS EMPRESAS'!$B$15:$B$320,"VIGAS",'METAS EMPRESAS'!$C$15:$C$320,$A74-WEEKDAY($A74,2)+1)</f>
        <v/>
      </c>
      <c r="T74">
        <f>--(WEEKDAY(A74,2)&lt;=5)</f>
        <v/>
      </c>
      <c r="U74" t="n">
        <v>19</v>
      </c>
      <c r="V74" t="n">
        <v>7</v>
      </c>
      <c r="W74" t="n">
        <v>0</v>
      </c>
      <c r="X74" t="n">
        <v>5</v>
      </c>
      <c r="Y74" t="n">
        <v>5</v>
      </c>
      <c r="Z74" t="n">
        <v>5</v>
      </c>
      <c r="AA74" t="n">
        <v>95</v>
      </c>
      <c r="AB74" t="n">
        <v>35</v>
      </c>
      <c r="AC74" t="n">
        <v>0</v>
      </c>
    </row>
    <row r="75">
      <c r="A75" s="317" t="n">
        <v>46296</v>
      </c>
      <c r="B75" s="159">
        <f>SUMIFS('METAS EMPRESAS'!$K$15:$K$320,'METAS EMPRESAS'!$A$15:$A$320,"EJ",'METAS EMPRESAS'!$B$15:$B$320,"PREMONTAGEM",'METAS EMPRESAS'!$C$15:$C$320,$A75-WEEKDAY($A75,2)+1)</f>
        <v/>
      </c>
      <c r="C75" s="159">
        <f>SUMIFS('METAS EMPRESAS'!$K$15:$K$320,'METAS EMPRESAS'!$A$15:$A$320,"EJ",'METAS EMPRESAS'!$B$15:$B$320,"IÇAMENTO JOIST",'METAS EMPRESAS'!$C$15:$C$320,$A75-WEEKDAY($A75,2)+1)</f>
        <v/>
      </c>
      <c r="D75" s="159">
        <f>SUMIFS('METAS EMPRESAS'!$K$15:$K$320,'METAS EMPRESAS'!$A$15:$A$320,"EJ",'METAS EMPRESAS'!$B$15:$B$320,"VIGAS",'METAS EMPRESAS'!$C$15:$C$320,$A75-WEEKDAY($A75,2)+1)</f>
        <v/>
      </c>
      <c r="E75" s="159">
        <f>SUMIFS('METAS EMPRESAS'!$K$15:$K$320,'METAS EMPRESAS'!$A$15:$A$320,"CMM",'METAS EMPRESAS'!$B$15:$B$320,"PREMONTAGEM",'METAS EMPRESAS'!$C$15:$C$320,$A75-WEEKDAY($A75,2)+1)</f>
        <v/>
      </c>
      <c r="F75" s="159">
        <f>SUMIFS('METAS EMPRESAS'!$K$15:$K$320,'METAS EMPRESAS'!$A$15:$A$320,"CMM",'METAS EMPRESAS'!$B$15:$B$320,"IÇAMENTO JOIST",'METAS EMPRESAS'!$C$15:$C$320,$A75-WEEKDAY($A75,2)+1)</f>
        <v/>
      </c>
      <c r="G75" s="159">
        <f>SUMIFS('METAS EMPRESAS'!$K$15:$K$320,'METAS EMPRESAS'!$A$15:$A$320,"CMM",'METAS EMPRESAS'!$B$15:$B$320,"VIGAS",'METAS EMPRESAS'!$C$15:$C$320,$A75-WEEKDAY($A75,2)+1)</f>
        <v/>
      </c>
      <c r="H75" s="159">
        <f>SUMIFS('METAS EMPRESAS'!$G$15:$G$320,'METAS EMPRESAS'!$A$15:$A$320,"EJ",'METAS EMPRESAS'!$B$15:$B$320,"PREMONTAGEM",'METAS EMPRESAS'!$C$15:$C$320,$A75-WEEKDAY($A75,2)+1)</f>
        <v/>
      </c>
      <c r="I75" s="159">
        <f>SUMIFS('METAS EMPRESAS'!$G$15:$G$320,'METAS EMPRESAS'!$A$15:$A$320,"EJ",'METAS EMPRESAS'!$B$15:$B$320,"IÇAMENTO JOIST",'METAS EMPRESAS'!$C$15:$C$320,$A75-WEEKDAY($A75,2)+1)</f>
        <v/>
      </c>
      <c r="J75" s="159">
        <f>SUMIFS('METAS EMPRESAS'!$G$15:$G$320,'METAS EMPRESAS'!$A$15:$A$320,"EJ",'METAS EMPRESAS'!$B$15:$B$320,"VIGAS",'METAS EMPRESAS'!$C$15:$C$320,$A75-WEEKDAY($A75,2)+1)</f>
        <v/>
      </c>
      <c r="K75" s="159">
        <f>SUMIFS('METAS EMPRESAS'!$G$15:$G$320,'METAS EMPRESAS'!$A$15:$A$320,"CMM",'METAS EMPRESAS'!$B$15:$B$320,"PREMONTAGEM",'METAS EMPRESAS'!$C$15:$C$320,$A75-WEEKDAY($A75,2)+1)</f>
        <v/>
      </c>
      <c r="L75" s="159">
        <f>SUMIFS('METAS EMPRESAS'!$G$15:$G$320,'METAS EMPRESAS'!$A$15:$A$320,"CMM",'METAS EMPRESAS'!$B$15:$B$320,"IÇAMENTO JOIST",'METAS EMPRESAS'!$C$15:$C$320,$A75-WEEKDAY($A75,2)+1)</f>
        <v/>
      </c>
      <c r="M75" s="159">
        <f>SUMIFS('METAS EMPRESAS'!$G$15:$G$320,'METAS EMPRESAS'!$A$15:$A$320,"CMM",'METAS EMPRESAS'!$B$15:$B$320,"VIGAS",'METAS EMPRESAS'!$C$15:$C$320,$A75-WEEKDAY($A75,2)+1)</f>
        <v/>
      </c>
      <c r="N75" s="159">
        <f>SUMIFS('METAS EMPRESAS'!$J$15:$J$320,'METAS EMPRESAS'!$A$15:$A$320,"EJ",'METAS EMPRESAS'!$B$15:$B$320,"PREMONTAGEM",'METAS EMPRESAS'!$C$15:$C$320,$A75-WEEKDAY($A75,2)+1)</f>
        <v/>
      </c>
      <c r="O75" s="159">
        <f>SUMIFS('METAS EMPRESAS'!$J$15:$J$320,'METAS EMPRESAS'!$A$15:$A$320,"EJ",'METAS EMPRESAS'!$B$15:$B$320,"IÇAMENTO JOIST",'METAS EMPRESAS'!$C$15:$C$320,$A75-WEEKDAY($A75,2)+1)</f>
        <v/>
      </c>
      <c r="P75" s="159">
        <f>SUMIFS('METAS EMPRESAS'!$J$15:$J$320,'METAS EMPRESAS'!$A$15:$A$320,"EJ",'METAS EMPRESAS'!$B$15:$B$320,"VIGAS",'METAS EMPRESAS'!$C$15:$C$320,$A75-WEEKDAY($A75,2)+1)</f>
        <v/>
      </c>
      <c r="Q75" s="159">
        <f>SUMIFS('METAS EMPRESAS'!$J$15:$J$320,'METAS EMPRESAS'!$A$15:$A$320,"CMM",'METAS EMPRESAS'!$B$15:$B$320,"PREMONTAGEM",'METAS EMPRESAS'!$C$15:$C$320,$A75-WEEKDAY($A75,2)+1)</f>
        <v/>
      </c>
      <c r="R75" s="159">
        <f>SUMIFS('METAS EMPRESAS'!$J$15:$J$320,'METAS EMPRESAS'!$A$15:$A$320,"CMM",'METAS EMPRESAS'!$B$15:$B$320,"IÇAMENTO JOIST",'METAS EMPRESAS'!$C$15:$C$320,$A75-WEEKDAY($A75,2)+1)</f>
        <v/>
      </c>
      <c r="S75" s="159">
        <f>SUMIFS('METAS EMPRESAS'!$J$15:$J$320,'METAS EMPRESAS'!$A$15:$A$320,"CMM",'METAS EMPRESAS'!$B$15:$B$320,"VIGAS",'METAS EMPRESAS'!$C$15:$C$320,$A75-WEEKDAY($A75,2)+1)</f>
        <v/>
      </c>
      <c r="T75">
        <f>--(WEEKDAY(A75,2)&lt;=5)</f>
        <v/>
      </c>
      <c r="U75" t="n">
        <v>19</v>
      </c>
      <c r="V75" t="n">
        <v>7</v>
      </c>
      <c r="W75" t="n">
        <v>0</v>
      </c>
      <c r="X75" t="n">
        <v>5</v>
      </c>
      <c r="Y75" t="n">
        <v>5</v>
      </c>
      <c r="Z75" t="n">
        <v>5</v>
      </c>
      <c r="AA75" t="n">
        <v>95</v>
      </c>
      <c r="AB75" t="n">
        <v>35</v>
      </c>
      <c r="AC75" t="n">
        <v>0</v>
      </c>
    </row>
    <row r="76">
      <c r="A76" s="317" t="n">
        <v>46297</v>
      </c>
      <c r="B76" s="159">
        <f>SUMIFS('METAS EMPRESAS'!$K$15:$K$320,'METAS EMPRESAS'!$A$15:$A$320,"EJ",'METAS EMPRESAS'!$B$15:$B$320,"PREMONTAGEM",'METAS EMPRESAS'!$C$15:$C$320,$A76-WEEKDAY($A76,2)+1)</f>
        <v/>
      </c>
      <c r="C76" s="159">
        <f>SUMIFS('METAS EMPRESAS'!$K$15:$K$320,'METAS EMPRESAS'!$A$15:$A$320,"EJ",'METAS EMPRESAS'!$B$15:$B$320,"IÇAMENTO JOIST",'METAS EMPRESAS'!$C$15:$C$320,$A76-WEEKDAY($A76,2)+1)</f>
        <v/>
      </c>
      <c r="D76" s="159">
        <f>SUMIFS('METAS EMPRESAS'!$K$15:$K$320,'METAS EMPRESAS'!$A$15:$A$320,"EJ",'METAS EMPRESAS'!$B$15:$B$320,"VIGAS",'METAS EMPRESAS'!$C$15:$C$320,$A76-WEEKDAY($A76,2)+1)</f>
        <v/>
      </c>
      <c r="E76" s="159">
        <f>SUMIFS('METAS EMPRESAS'!$K$15:$K$320,'METAS EMPRESAS'!$A$15:$A$320,"CMM",'METAS EMPRESAS'!$B$15:$B$320,"PREMONTAGEM",'METAS EMPRESAS'!$C$15:$C$320,$A76-WEEKDAY($A76,2)+1)</f>
        <v/>
      </c>
      <c r="F76" s="159">
        <f>SUMIFS('METAS EMPRESAS'!$K$15:$K$320,'METAS EMPRESAS'!$A$15:$A$320,"CMM",'METAS EMPRESAS'!$B$15:$B$320,"IÇAMENTO JOIST",'METAS EMPRESAS'!$C$15:$C$320,$A76-WEEKDAY($A76,2)+1)</f>
        <v/>
      </c>
      <c r="G76" s="159">
        <f>SUMIFS('METAS EMPRESAS'!$K$15:$K$320,'METAS EMPRESAS'!$A$15:$A$320,"CMM",'METAS EMPRESAS'!$B$15:$B$320,"VIGAS",'METAS EMPRESAS'!$C$15:$C$320,$A76-WEEKDAY($A76,2)+1)</f>
        <v/>
      </c>
      <c r="H76" s="159">
        <f>SUMIFS('METAS EMPRESAS'!$G$15:$G$320,'METAS EMPRESAS'!$A$15:$A$320,"EJ",'METAS EMPRESAS'!$B$15:$B$320,"PREMONTAGEM",'METAS EMPRESAS'!$C$15:$C$320,$A76-WEEKDAY($A76,2)+1)</f>
        <v/>
      </c>
      <c r="I76" s="159">
        <f>SUMIFS('METAS EMPRESAS'!$G$15:$G$320,'METAS EMPRESAS'!$A$15:$A$320,"EJ",'METAS EMPRESAS'!$B$15:$B$320,"IÇAMENTO JOIST",'METAS EMPRESAS'!$C$15:$C$320,$A76-WEEKDAY($A76,2)+1)</f>
        <v/>
      </c>
      <c r="J76" s="159">
        <f>SUMIFS('METAS EMPRESAS'!$G$15:$G$320,'METAS EMPRESAS'!$A$15:$A$320,"EJ",'METAS EMPRESAS'!$B$15:$B$320,"VIGAS",'METAS EMPRESAS'!$C$15:$C$320,$A76-WEEKDAY($A76,2)+1)</f>
        <v/>
      </c>
      <c r="K76" s="159">
        <f>SUMIFS('METAS EMPRESAS'!$G$15:$G$320,'METAS EMPRESAS'!$A$15:$A$320,"CMM",'METAS EMPRESAS'!$B$15:$B$320,"PREMONTAGEM",'METAS EMPRESAS'!$C$15:$C$320,$A76-WEEKDAY($A76,2)+1)</f>
        <v/>
      </c>
      <c r="L76" s="159">
        <f>SUMIFS('METAS EMPRESAS'!$G$15:$G$320,'METAS EMPRESAS'!$A$15:$A$320,"CMM",'METAS EMPRESAS'!$B$15:$B$320,"IÇAMENTO JOIST",'METAS EMPRESAS'!$C$15:$C$320,$A76-WEEKDAY($A76,2)+1)</f>
        <v/>
      </c>
      <c r="M76" s="159">
        <f>SUMIFS('METAS EMPRESAS'!$G$15:$G$320,'METAS EMPRESAS'!$A$15:$A$320,"CMM",'METAS EMPRESAS'!$B$15:$B$320,"VIGAS",'METAS EMPRESAS'!$C$15:$C$320,$A76-WEEKDAY($A76,2)+1)</f>
        <v/>
      </c>
      <c r="N76" s="159">
        <f>SUMIFS('METAS EMPRESAS'!$J$15:$J$320,'METAS EMPRESAS'!$A$15:$A$320,"EJ",'METAS EMPRESAS'!$B$15:$B$320,"PREMONTAGEM",'METAS EMPRESAS'!$C$15:$C$320,$A76-WEEKDAY($A76,2)+1)</f>
        <v/>
      </c>
      <c r="O76" s="159">
        <f>SUMIFS('METAS EMPRESAS'!$J$15:$J$320,'METAS EMPRESAS'!$A$15:$A$320,"EJ",'METAS EMPRESAS'!$B$15:$B$320,"IÇAMENTO JOIST",'METAS EMPRESAS'!$C$15:$C$320,$A76-WEEKDAY($A76,2)+1)</f>
        <v/>
      </c>
      <c r="P76" s="159">
        <f>SUMIFS('METAS EMPRESAS'!$J$15:$J$320,'METAS EMPRESAS'!$A$15:$A$320,"EJ",'METAS EMPRESAS'!$B$15:$B$320,"VIGAS",'METAS EMPRESAS'!$C$15:$C$320,$A76-WEEKDAY($A76,2)+1)</f>
        <v/>
      </c>
      <c r="Q76" s="159">
        <f>SUMIFS('METAS EMPRESAS'!$J$15:$J$320,'METAS EMPRESAS'!$A$15:$A$320,"CMM",'METAS EMPRESAS'!$B$15:$B$320,"PREMONTAGEM",'METAS EMPRESAS'!$C$15:$C$320,$A76-WEEKDAY($A76,2)+1)</f>
        <v/>
      </c>
      <c r="R76" s="159">
        <f>SUMIFS('METAS EMPRESAS'!$J$15:$J$320,'METAS EMPRESAS'!$A$15:$A$320,"CMM",'METAS EMPRESAS'!$B$15:$B$320,"IÇAMENTO JOIST",'METAS EMPRESAS'!$C$15:$C$320,$A76-WEEKDAY($A76,2)+1)</f>
        <v/>
      </c>
      <c r="S76" s="159">
        <f>SUMIFS('METAS EMPRESAS'!$J$15:$J$320,'METAS EMPRESAS'!$A$15:$A$320,"CMM",'METAS EMPRESAS'!$B$15:$B$320,"VIGAS",'METAS EMPRESAS'!$C$15:$C$320,$A76-WEEKDAY($A76,2)+1)</f>
        <v/>
      </c>
      <c r="T76">
        <f>--(WEEKDAY(A76,2)&lt;=5)</f>
        <v/>
      </c>
      <c r="U76" t="n">
        <v>19</v>
      </c>
      <c r="V76" t="n">
        <v>7</v>
      </c>
      <c r="W76" t="n">
        <v>0</v>
      </c>
      <c r="X76" t="n">
        <v>5</v>
      </c>
      <c r="Y76" t="n">
        <v>5</v>
      </c>
      <c r="Z76" t="n">
        <v>5</v>
      </c>
      <c r="AA76" t="n">
        <v>95</v>
      </c>
      <c r="AB76" t="n">
        <v>35</v>
      </c>
      <c r="AC76" t="n">
        <v>0</v>
      </c>
    </row>
    <row r="77">
      <c r="A77" s="317" t="n">
        <v>46298</v>
      </c>
      <c r="B77" s="159">
        <f>SUMIFS('METAS EMPRESAS'!$K$15:$K$320,'METAS EMPRESAS'!$A$15:$A$320,"EJ",'METAS EMPRESAS'!$B$15:$B$320,"PREMONTAGEM",'METAS EMPRESAS'!$C$15:$C$320,$A77-WEEKDAY($A77,2)+1)</f>
        <v/>
      </c>
      <c r="C77" s="159">
        <f>SUMIFS('METAS EMPRESAS'!$K$15:$K$320,'METAS EMPRESAS'!$A$15:$A$320,"EJ",'METAS EMPRESAS'!$B$15:$B$320,"IÇAMENTO JOIST",'METAS EMPRESAS'!$C$15:$C$320,$A77-WEEKDAY($A77,2)+1)</f>
        <v/>
      </c>
      <c r="D77" s="159">
        <f>SUMIFS('METAS EMPRESAS'!$K$15:$K$320,'METAS EMPRESAS'!$A$15:$A$320,"EJ",'METAS EMPRESAS'!$B$15:$B$320,"VIGAS",'METAS EMPRESAS'!$C$15:$C$320,$A77-WEEKDAY($A77,2)+1)</f>
        <v/>
      </c>
      <c r="E77" s="159">
        <f>SUMIFS('METAS EMPRESAS'!$K$15:$K$320,'METAS EMPRESAS'!$A$15:$A$320,"CMM",'METAS EMPRESAS'!$B$15:$B$320,"PREMONTAGEM",'METAS EMPRESAS'!$C$15:$C$320,$A77-WEEKDAY($A77,2)+1)</f>
        <v/>
      </c>
      <c r="F77" s="159">
        <f>SUMIFS('METAS EMPRESAS'!$K$15:$K$320,'METAS EMPRESAS'!$A$15:$A$320,"CMM",'METAS EMPRESAS'!$B$15:$B$320,"IÇAMENTO JOIST",'METAS EMPRESAS'!$C$15:$C$320,$A77-WEEKDAY($A77,2)+1)</f>
        <v/>
      </c>
      <c r="G77" s="159">
        <f>SUMIFS('METAS EMPRESAS'!$K$15:$K$320,'METAS EMPRESAS'!$A$15:$A$320,"CMM",'METAS EMPRESAS'!$B$15:$B$320,"VIGAS",'METAS EMPRESAS'!$C$15:$C$320,$A77-WEEKDAY($A77,2)+1)</f>
        <v/>
      </c>
      <c r="H77" s="159">
        <f>SUMIFS('METAS EMPRESAS'!$G$15:$G$320,'METAS EMPRESAS'!$A$15:$A$320,"EJ",'METAS EMPRESAS'!$B$15:$B$320,"PREMONTAGEM",'METAS EMPRESAS'!$C$15:$C$320,$A77-WEEKDAY($A77,2)+1)</f>
        <v/>
      </c>
      <c r="I77" s="159">
        <f>SUMIFS('METAS EMPRESAS'!$G$15:$G$320,'METAS EMPRESAS'!$A$15:$A$320,"EJ",'METAS EMPRESAS'!$B$15:$B$320,"IÇAMENTO JOIST",'METAS EMPRESAS'!$C$15:$C$320,$A77-WEEKDAY($A77,2)+1)</f>
        <v/>
      </c>
      <c r="J77" s="159">
        <f>SUMIFS('METAS EMPRESAS'!$G$15:$G$320,'METAS EMPRESAS'!$A$15:$A$320,"EJ",'METAS EMPRESAS'!$B$15:$B$320,"VIGAS",'METAS EMPRESAS'!$C$15:$C$320,$A77-WEEKDAY($A77,2)+1)</f>
        <v/>
      </c>
      <c r="K77" s="159">
        <f>SUMIFS('METAS EMPRESAS'!$G$15:$G$320,'METAS EMPRESAS'!$A$15:$A$320,"CMM",'METAS EMPRESAS'!$B$15:$B$320,"PREMONTAGEM",'METAS EMPRESAS'!$C$15:$C$320,$A77-WEEKDAY($A77,2)+1)</f>
        <v/>
      </c>
      <c r="L77" s="159">
        <f>SUMIFS('METAS EMPRESAS'!$G$15:$G$320,'METAS EMPRESAS'!$A$15:$A$320,"CMM",'METAS EMPRESAS'!$B$15:$B$320,"IÇAMENTO JOIST",'METAS EMPRESAS'!$C$15:$C$320,$A77-WEEKDAY($A77,2)+1)</f>
        <v/>
      </c>
      <c r="M77" s="159">
        <f>SUMIFS('METAS EMPRESAS'!$G$15:$G$320,'METAS EMPRESAS'!$A$15:$A$320,"CMM",'METAS EMPRESAS'!$B$15:$B$320,"VIGAS",'METAS EMPRESAS'!$C$15:$C$320,$A77-WEEKDAY($A77,2)+1)</f>
        <v/>
      </c>
      <c r="N77" s="159">
        <f>SUMIFS('METAS EMPRESAS'!$J$15:$J$320,'METAS EMPRESAS'!$A$15:$A$320,"EJ",'METAS EMPRESAS'!$B$15:$B$320,"PREMONTAGEM",'METAS EMPRESAS'!$C$15:$C$320,$A77-WEEKDAY($A77,2)+1)</f>
        <v/>
      </c>
      <c r="O77" s="159">
        <f>SUMIFS('METAS EMPRESAS'!$J$15:$J$320,'METAS EMPRESAS'!$A$15:$A$320,"EJ",'METAS EMPRESAS'!$B$15:$B$320,"IÇAMENTO JOIST",'METAS EMPRESAS'!$C$15:$C$320,$A77-WEEKDAY($A77,2)+1)</f>
        <v/>
      </c>
      <c r="P77" s="159">
        <f>SUMIFS('METAS EMPRESAS'!$J$15:$J$320,'METAS EMPRESAS'!$A$15:$A$320,"EJ",'METAS EMPRESAS'!$B$15:$B$320,"VIGAS",'METAS EMPRESAS'!$C$15:$C$320,$A77-WEEKDAY($A77,2)+1)</f>
        <v/>
      </c>
      <c r="Q77" s="159">
        <f>SUMIFS('METAS EMPRESAS'!$J$15:$J$320,'METAS EMPRESAS'!$A$15:$A$320,"CMM",'METAS EMPRESAS'!$B$15:$B$320,"PREMONTAGEM",'METAS EMPRESAS'!$C$15:$C$320,$A77-WEEKDAY($A77,2)+1)</f>
        <v/>
      </c>
      <c r="R77" s="159">
        <f>SUMIFS('METAS EMPRESAS'!$J$15:$J$320,'METAS EMPRESAS'!$A$15:$A$320,"CMM",'METAS EMPRESAS'!$B$15:$B$320,"IÇAMENTO JOIST",'METAS EMPRESAS'!$C$15:$C$320,$A77-WEEKDAY($A77,2)+1)</f>
        <v/>
      </c>
      <c r="S77" s="159">
        <f>SUMIFS('METAS EMPRESAS'!$J$15:$J$320,'METAS EMPRESAS'!$A$15:$A$320,"CMM",'METAS EMPRESAS'!$B$15:$B$320,"VIGAS",'METAS EMPRESAS'!$C$15:$C$320,$A77-WEEKDAY($A77,2)+1)</f>
        <v/>
      </c>
      <c r="T77">
        <f>--(WEEKDAY(A77,2)&lt;=5)</f>
        <v/>
      </c>
      <c r="U77" t="n">
        <v>19</v>
      </c>
      <c r="V77" t="n">
        <v>7</v>
      </c>
      <c r="W77" t="n">
        <v>0</v>
      </c>
      <c r="X77" t="n">
        <v>5</v>
      </c>
      <c r="Y77" t="n">
        <v>5</v>
      </c>
      <c r="Z77" t="n">
        <v>5</v>
      </c>
      <c r="AA77" t="n">
        <v>95</v>
      </c>
      <c r="AB77" t="n">
        <v>35</v>
      </c>
      <c r="AC77" t="n">
        <v>0</v>
      </c>
    </row>
    <row r="78">
      <c r="A78" s="317" t="n">
        <v>46299</v>
      </c>
      <c r="B78" s="159">
        <f>SUMIFS('METAS EMPRESAS'!$K$15:$K$320,'METAS EMPRESAS'!$A$15:$A$320,"EJ",'METAS EMPRESAS'!$B$15:$B$320,"PREMONTAGEM",'METAS EMPRESAS'!$C$15:$C$320,$A78-WEEKDAY($A78,2)+1)</f>
        <v/>
      </c>
      <c r="C78" s="159">
        <f>SUMIFS('METAS EMPRESAS'!$K$15:$K$320,'METAS EMPRESAS'!$A$15:$A$320,"EJ",'METAS EMPRESAS'!$B$15:$B$320,"IÇAMENTO JOIST",'METAS EMPRESAS'!$C$15:$C$320,$A78-WEEKDAY($A78,2)+1)</f>
        <v/>
      </c>
      <c r="D78" s="159">
        <f>SUMIFS('METAS EMPRESAS'!$K$15:$K$320,'METAS EMPRESAS'!$A$15:$A$320,"EJ",'METAS EMPRESAS'!$B$15:$B$320,"VIGAS",'METAS EMPRESAS'!$C$15:$C$320,$A78-WEEKDAY($A78,2)+1)</f>
        <v/>
      </c>
      <c r="E78" s="159">
        <f>SUMIFS('METAS EMPRESAS'!$K$15:$K$320,'METAS EMPRESAS'!$A$15:$A$320,"CMM",'METAS EMPRESAS'!$B$15:$B$320,"PREMONTAGEM",'METAS EMPRESAS'!$C$15:$C$320,$A78-WEEKDAY($A78,2)+1)</f>
        <v/>
      </c>
      <c r="F78" s="159">
        <f>SUMIFS('METAS EMPRESAS'!$K$15:$K$320,'METAS EMPRESAS'!$A$15:$A$320,"CMM",'METAS EMPRESAS'!$B$15:$B$320,"IÇAMENTO JOIST",'METAS EMPRESAS'!$C$15:$C$320,$A78-WEEKDAY($A78,2)+1)</f>
        <v/>
      </c>
      <c r="G78" s="159">
        <f>SUMIFS('METAS EMPRESAS'!$K$15:$K$320,'METAS EMPRESAS'!$A$15:$A$320,"CMM",'METAS EMPRESAS'!$B$15:$B$320,"VIGAS",'METAS EMPRESAS'!$C$15:$C$320,$A78-WEEKDAY($A78,2)+1)</f>
        <v/>
      </c>
      <c r="H78" s="159">
        <f>SUMIFS('METAS EMPRESAS'!$G$15:$G$320,'METAS EMPRESAS'!$A$15:$A$320,"EJ",'METAS EMPRESAS'!$B$15:$B$320,"PREMONTAGEM",'METAS EMPRESAS'!$C$15:$C$320,$A78-WEEKDAY($A78,2)+1)</f>
        <v/>
      </c>
      <c r="I78" s="159">
        <f>SUMIFS('METAS EMPRESAS'!$G$15:$G$320,'METAS EMPRESAS'!$A$15:$A$320,"EJ",'METAS EMPRESAS'!$B$15:$B$320,"IÇAMENTO JOIST",'METAS EMPRESAS'!$C$15:$C$320,$A78-WEEKDAY($A78,2)+1)</f>
        <v/>
      </c>
      <c r="J78" s="159">
        <f>SUMIFS('METAS EMPRESAS'!$G$15:$G$320,'METAS EMPRESAS'!$A$15:$A$320,"EJ",'METAS EMPRESAS'!$B$15:$B$320,"VIGAS",'METAS EMPRESAS'!$C$15:$C$320,$A78-WEEKDAY($A78,2)+1)</f>
        <v/>
      </c>
      <c r="K78" s="159">
        <f>SUMIFS('METAS EMPRESAS'!$G$15:$G$320,'METAS EMPRESAS'!$A$15:$A$320,"CMM",'METAS EMPRESAS'!$B$15:$B$320,"PREMONTAGEM",'METAS EMPRESAS'!$C$15:$C$320,$A78-WEEKDAY($A78,2)+1)</f>
        <v/>
      </c>
      <c r="L78" s="159">
        <f>SUMIFS('METAS EMPRESAS'!$G$15:$G$320,'METAS EMPRESAS'!$A$15:$A$320,"CMM",'METAS EMPRESAS'!$B$15:$B$320,"IÇAMENTO JOIST",'METAS EMPRESAS'!$C$15:$C$320,$A78-WEEKDAY($A78,2)+1)</f>
        <v/>
      </c>
      <c r="M78" s="159">
        <f>SUMIFS('METAS EMPRESAS'!$G$15:$G$320,'METAS EMPRESAS'!$A$15:$A$320,"CMM",'METAS EMPRESAS'!$B$15:$B$320,"VIGAS",'METAS EMPRESAS'!$C$15:$C$320,$A78-WEEKDAY($A78,2)+1)</f>
        <v/>
      </c>
      <c r="N78" s="159">
        <f>SUMIFS('METAS EMPRESAS'!$J$15:$J$320,'METAS EMPRESAS'!$A$15:$A$320,"EJ",'METAS EMPRESAS'!$B$15:$B$320,"PREMONTAGEM",'METAS EMPRESAS'!$C$15:$C$320,$A78-WEEKDAY($A78,2)+1)</f>
        <v/>
      </c>
      <c r="O78" s="159">
        <f>SUMIFS('METAS EMPRESAS'!$J$15:$J$320,'METAS EMPRESAS'!$A$15:$A$320,"EJ",'METAS EMPRESAS'!$B$15:$B$320,"IÇAMENTO JOIST",'METAS EMPRESAS'!$C$15:$C$320,$A78-WEEKDAY($A78,2)+1)</f>
        <v/>
      </c>
      <c r="P78" s="159">
        <f>SUMIFS('METAS EMPRESAS'!$J$15:$J$320,'METAS EMPRESAS'!$A$15:$A$320,"EJ",'METAS EMPRESAS'!$B$15:$B$320,"VIGAS",'METAS EMPRESAS'!$C$15:$C$320,$A78-WEEKDAY($A78,2)+1)</f>
        <v/>
      </c>
      <c r="Q78" s="159">
        <f>SUMIFS('METAS EMPRESAS'!$J$15:$J$320,'METAS EMPRESAS'!$A$15:$A$320,"CMM",'METAS EMPRESAS'!$B$15:$B$320,"PREMONTAGEM",'METAS EMPRESAS'!$C$15:$C$320,$A78-WEEKDAY($A78,2)+1)</f>
        <v/>
      </c>
      <c r="R78" s="159">
        <f>SUMIFS('METAS EMPRESAS'!$J$15:$J$320,'METAS EMPRESAS'!$A$15:$A$320,"CMM",'METAS EMPRESAS'!$B$15:$B$320,"IÇAMENTO JOIST",'METAS EMPRESAS'!$C$15:$C$320,$A78-WEEKDAY($A78,2)+1)</f>
        <v/>
      </c>
      <c r="S78" s="159">
        <f>SUMIFS('METAS EMPRESAS'!$J$15:$J$320,'METAS EMPRESAS'!$A$15:$A$320,"CMM",'METAS EMPRESAS'!$B$15:$B$320,"VIGAS",'METAS EMPRESAS'!$C$15:$C$320,$A78-WEEKDAY($A78,2)+1)</f>
        <v/>
      </c>
      <c r="T78">
        <f>--(WEEKDAY(A78,2)&lt;=5)</f>
        <v/>
      </c>
      <c r="U78" t="n">
        <v>19</v>
      </c>
      <c r="V78" t="n">
        <v>7</v>
      </c>
      <c r="W78" t="n">
        <v>0</v>
      </c>
      <c r="X78" t="n">
        <v>5</v>
      </c>
      <c r="Y78" t="n">
        <v>5</v>
      </c>
      <c r="Z78" t="n">
        <v>5</v>
      </c>
      <c r="AA78" t="n">
        <v>95</v>
      </c>
      <c r="AB78" t="n">
        <v>35</v>
      </c>
      <c r="AC78" t="n">
        <v>0</v>
      </c>
    </row>
    <row r="79">
      <c r="A79" s="317" t="n">
        <v>46300</v>
      </c>
      <c r="B79" s="159">
        <f>SUMIFS('METAS EMPRESAS'!$K$15:$K$320,'METAS EMPRESAS'!$A$15:$A$320,"EJ",'METAS EMPRESAS'!$B$15:$B$320,"PREMONTAGEM",'METAS EMPRESAS'!$C$15:$C$320,$A79-WEEKDAY($A79,2)+1)</f>
        <v/>
      </c>
      <c r="C79" s="159">
        <f>SUMIFS('METAS EMPRESAS'!$K$15:$K$320,'METAS EMPRESAS'!$A$15:$A$320,"EJ",'METAS EMPRESAS'!$B$15:$B$320,"IÇAMENTO JOIST",'METAS EMPRESAS'!$C$15:$C$320,$A79-WEEKDAY($A79,2)+1)</f>
        <v/>
      </c>
      <c r="D79" s="159">
        <f>SUMIFS('METAS EMPRESAS'!$K$15:$K$320,'METAS EMPRESAS'!$A$15:$A$320,"EJ",'METAS EMPRESAS'!$B$15:$B$320,"VIGAS",'METAS EMPRESAS'!$C$15:$C$320,$A79-WEEKDAY($A79,2)+1)</f>
        <v/>
      </c>
      <c r="E79" s="159">
        <f>SUMIFS('METAS EMPRESAS'!$K$15:$K$320,'METAS EMPRESAS'!$A$15:$A$320,"CMM",'METAS EMPRESAS'!$B$15:$B$320,"PREMONTAGEM",'METAS EMPRESAS'!$C$15:$C$320,$A79-WEEKDAY($A79,2)+1)</f>
        <v/>
      </c>
      <c r="F79" s="159">
        <f>SUMIFS('METAS EMPRESAS'!$K$15:$K$320,'METAS EMPRESAS'!$A$15:$A$320,"CMM",'METAS EMPRESAS'!$B$15:$B$320,"IÇAMENTO JOIST",'METAS EMPRESAS'!$C$15:$C$320,$A79-WEEKDAY($A79,2)+1)</f>
        <v/>
      </c>
      <c r="G79" s="159">
        <f>SUMIFS('METAS EMPRESAS'!$K$15:$K$320,'METAS EMPRESAS'!$A$15:$A$320,"CMM",'METAS EMPRESAS'!$B$15:$B$320,"VIGAS",'METAS EMPRESAS'!$C$15:$C$320,$A79-WEEKDAY($A79,2)+1)</f>
        <v/>
      </c>
      <c r="H79" s="159">
        <f>SUMIFS('METAS EMPRESAS'!$G$15:$G$320,'METAS EMPRESAS'!$A$15:$A$320,"EJ",'METAS EMPRESAS'!$B$15:$B$320,"PREMONTAGEM",'METAS EMPRESAS'!$C$15:$C$320,$A79-WEEKDAY($A79,2)+1)</f>
        <v/>
      </c>
      <c r="I79" s="159">
        <f>SUMIFS('METAS EMPRESAS'!$G$15:$G$320,'METAS EMPRESAS'!$A$15:$A$320,"EJ",'METAS EMPRESAS'!$B$15:$B$320,"IÇAMENTO JOIST",'METAS EMPRESAS'!$C$15:$C$320,$A79-WEEKDAY($A79,2)+1)</f>
        <v/>
      </c>
      <c r="J79" s="159">
        <f>SUMIFS('METAS EMPRESAS'!$G$15:$G$320,'METAS EMPRESAS'!$A$15:$A$320,"EJ",'METAS EMPRESAS'!$B$15:$B$320,"VIGAS",'METAS EMPRESAS'!$C$15:$C$320,$A79-WEEKDAY($A79,2)+1)</f>
        <v/>
      </c>
      <c r="K79" s="159">
        <f>SUMIFS('METAS EMPRESAS'!$G$15:$G$320,'METAS EMPRESAS'!$A$15:$A$320,"CMM",'METAS EMPRESAS'!$B$15:$B$320,"PREMONTAGEM",'METAS EMPRESAS'!$C$15:$C$320,$A79-WEEKDAY($A79,2)+1)</f>
        <v/>
      </c>
      <c r="L79" s="159">
        <f>SUMIFS('METAS EMPRESAS'!$G$15:$G$320,'METAS EMPRESAS'!$A$15:$A$320,"CMM",'METAS EMPRESAS'!$B$15:$B$320,"IÇAMENTO JOIST",'METAS EMPRESAS'!$C$15:$C$320,$A79-WEEKDAY($A79,2)+1)</f>
        <v/>
      </c>
      <c r="M79" s="159">
        <f>SUMIFS('METAS EMPRESAS'!$G$15:$G$320,'METAS EMPRESAS'!$A$15:$A$320,"CMM",'METAS EMPRESAS'!$B$15:$B$320,"VIGAS",'METAS EMPRESAS'!$C$15:$C$320,$A79-WEEKDAY($A79,2)+1)</f>
        <v/>
      </c>
      <c r="N79" s="159">
        <f>SUMIFS('METAS EMPRESAS'!$J$15:$J$320,'METAS EMPRESAS'!$A$15:$A$320,"EJ",'METAS EMPRESAS'!$B$15:$B$320,"PREMONTAGEM",'METAS EMPRESAS'!$C$15:$C$320,$A79-WEEKDAY($A79,2)+1)</f>
        <v/>
      </c>
      <c r="O79" s="159">
        <f>SUMIFS('METAS EMPRESAS'!$J$15:$J$320,'METAS EMPRESAS'!$A$15:$A$320,"EJ",'METAS EMPRESAS'!$B$15:$B$320,"IÇAMENTO JOIST",'METAS EMPRESAS'!$C$15:$C$320,$A79-WEEKDAY($A79,2)+1)</f>
        <v/>
      </c>
      <c r="P79" s="159">
        <f>SUMIFS('METAS EMPRESAS'!$J$15:$J$320,'METAS EMPRESAS'!$A$15:$A$320,"EJ",'METAS EMPRESAS'!$B$15:$B$320,"VIGAS",'METAS EMPRESAS'!$C$15:$C$320,$A79-WEEKDAY($A79,2)+1)</f>
        <v/>
      </c>
      <c r="Q79" s="159">
        <f>SUMIFS('METAS EMPRESAS'!$J$15:$J$320,'METAS EMPRESAS'!$A$15:$A$320,"CMM",'METAS EMPRESAS'!$B$15:$B$320,"PREMONTAGEM",'METAS EMPRESAS'!$C$15:$C$320,$A79-WEEKDAY($A79,2)+1)</f>
        <v/>
      </c>
      <c r="R79" s="159">
        <f>SUMIFS('METAS EMPRESAS'!$J$15:$J$320,'METAS EMPRESAS'!$A$15:$A$320,"CMM",'METAS EMPRESAS'!$B$15:$B$320,"IÇAMENTO JOIST",'METAS EMPRESAS'!$C$15:$C$320,$A79-WEEKDAY($A79,2)+1)</f>
        <v/>
      </c>
      <c r="S79" s="159">
        <f>SUMIFS('METAS EMPRESAS'!$J$15:$J$320,'METAS EMPRESAS'!$A$15:$A$320,"CMM",'METAS EMPRESAS'!$B$15:$B$320,"VIGAS",'METAS EMPRESAS'!$C$15:$C$320,$A79-WEEKDAY($A79,2)+1)</f>
        <v/>
      </c>
      <c r="T79">
        <f>--(WEEKDAY(A79,2)&lt;=5)</f>
        <v/>
      </c>
      <c r="U79" t="n">
        <v>19</v>
      </c>
      <c r="V79" t="n">
        <v>7</v>
      </c>
      <c r="W79" t="n">
        <v>0</v>
      </c>
      <c r="X79" t="n">
        <v>5</v>
      </c>
      <c r="Y79" t="n">
        <v>5</v>
      </c>
      <c r="Z79" t="n">
        <v>5</v>
      </c>
      <c r="AA79" t="n">
        <v>95</v>
      </c>
      <c r="AB79" t="n">
        <v>35</v>
      </c>
      <c r="AC79" t="n">
        <v>0</v>
      </c>
    </row>
    <row r="80">
      <c r="A80" s="317" t="n">
        <v>46301</v>
      </c>
      <c r="B80" s="159">
        <f>SUMIFS('METAS EMPRESAS'!$K$15:$K$320,'METAS EMPRESAS'!$A$15:$A$320,"EJ",'METAS EMPRESAS'!$B$15:$B$320,"PREMONTAGEM",'METAS EMPRESAS'!$C$15:$C$320,$A80-WEEKDAY($A80,2)+1)</f>
        <v/>
      </c>
      <c r="C80" s="159">
        <f>SUMIFS('METAS EMPRESAS'!$K$15:$K$320,'METAS EMPRESAS'!$A$15:$A$320,"EJ",'METAS EMPRESAS'!$B$15:$B$320,"IÇAMENTO JOIST",'METAS EMPRESAS'!$C$15:$C$320,$A80-WEEKDAY($A80,2)+1)</f>
        <v/>
      </c>
      <c r="D80" s="159">
        <f>SUMIFS('METAS EMPRESAS'!$K$15:$K$320,'METAS EMPRESAS'!$A$15:$A$320,"EJ",'METAS EMPRESAS'!$B$15:$B$320,"VIGAS",'METAS EMPRESAS'!$C$15:$C$320,$A80-WEEKDAY($A80,2)+1)</f>
        <v/>
      </c>
      <c r="E80" s="159">
        <f>SUMIFS('METAS EMPRESAS'!$K$15:$K$320,'METAS EMPRESAS'!$A$15:$A$320,"CMM",'METAS EMPRESAS'!$B$15:$B$320,"PREMONTAGEM",'METAS EMPRESAS'!$C$15:$C$320,$A80-WEEKDAY($A80,2)+1)</f>
        <v/>
      </c>
      <c r="F80" s="159">
        <f>SUMIFS('METAS EMPRESAS'!$K$15:$K$320,'METAS EMPRESAS'!$A$15:$A$320,"CMM",'METAS EMPRESAS'!$B$15:$B$320,"IÇAMENTO JOIST",'METAS EMPRESAS'!$C$15:$C$320,$A80-WEEKDAY($A80,2)+1)</f>
        <v/>
      </c>
      <c r="G80" s="159">
        <f>SUMIFS('METAS EMPRESAS'!$K$15:$K$320,'METAS EMPRESAS'!$A$15:$A$320,"CMM",'METAS EMPRESAS'!$B$15:$B$320,"VIGAS",'METAS EMPRESAS'!$C$15:$C$320,$A80-WEEKDAY($A80,2)+1)</f>
        <v/>
      </c>
      <c r="H80" s="159">
        <f>SUMIFS('METAS EMPRESAS'!$G$15:$G$320,'METAS EMPRESAS'!$A$15:$A$320,"EJ",'METAS EMPRESAS'!$B$15:$B$320,"PREMONTAGEM",'METAS EMPRESAS'!$C$15:$C$320,$A80-WEEKDAY($A80,2)+1)</f>
        <v/>
      </c>
      <c r="I80" s="159">
        <f>SUMIFS('METAS EMPRESAS'!$G$15:$G$320,'METAS EMPRESAS'!$A$15:$A$320,"EJ",'METAS EMPRESAS'!$B$15:$B$320,"IÇAMENTO JOIST",'METAS EMPRESAS'!$C$15:$C$320,$A80-WEEKDAY($A80,2)+1)</f>
        <v/>
      </c>
      <c r="J80" s="159">
        <f>SUMIFS('METAS EMPRESAS'!$G$15:$G$320,'METAS EMPRESAS'!$A$15:$A$320,"EJ",'METAS EMPRESAS'!$B$15:$B$320,"VIGAS",'METAS EMPRESAS'!$C$15:$C$320,$A80-WEEKDAY($A80,2)+1)</f>
        <v/>
      </c>
      <c r="K80" s="159">
        <f>SUMIFS('METAS EMPRESAS'!$G$15:$G$320,'METAS EMPRESAS'!$A$15:$A$320,"CMM",'METAS EMPRESAS'!$B$15:$B$320,"PREMONTAGEM",'METAS EMPRESAS'!$C$15:$C$320,$A80-WEEKDAY($A80,2)+1)</f>
        <v/>
      </c>
      <c r="L80" s="159">
        <f>SUMIFS('METAS EMPRESAS'!$G$15:$G$320,'METAS EMPRESAS'!$A$15:$A$320,"CMM",'METAS EMPRESAS'!$B$15:$B$320,"IÇAMENTO JOIST",'METAS EMPRESAS'!$C$15:$C$320,$A80-WEEKDAY($A80,2)+1)</f>
        <v/>
      </c>
      <c r="M80" s="159">
        <f>SUMIFS('METAS EMPRESAS'!$G$15:$G$320,'METAS EMPRESAS'!$A$15:$A$320,"CMM",'METAS EMPRESAS'!$B$15:$B$320,"VIGAS",'METAS EMPRESAS'!$C$15:$C$320,$A80-WEEKDAY($A80,2)+1)</f>
        <v/>
      </c>
      <c r="N80" s="159">
        <f>SUMIFS('METAS EMPRESAS'!$J$15:$J$320,'METAS EMPRESAS'!$A$15:$A$320,"EJ",'METAS EMPRESAS'!$B$15:$B$320,"PREMONTAGEM",'METAS EMPRESAS'!$C$15:$C$320,$A80-WEEKDAY($A80,2)+1)</f>
        <v/>
      </c>
      <c r="O80" s="159">
        <f>SUMIFS('METAS EMPRESAS'!$J$15:$J$320,'METAS EMPRESAS'!$A$15:$A$320,"EJ",'METAS EMPRESAS'!$B$15:$B$320,"IÇAMENTO JOIST",'METAS EMPRESAS'!$C$15:$C$320,$A80-WEEKDAY($A80,2)+1)</f>
        <v/>
      </c>
      <c r="P80" s="159">
        <f>SUMIFS('METAS EMPRESAS'!$J$15:$J$320,'METAS EMPRESAS'!$A$15:$A$320,"EJ",'METAS EMPRESAS'!$B$15:$B$320,"VIGAS",'METAS EMPRESAS'!$C$15:$C$320,$A80-WEEKDAY($A80,2)+1)</f>
        <v/>
      </c>
      <c r="Q80" s="159">
        <f>SUMIFS('METAS EMPRESAS'!$J$15:$J$320,'METAS EMPRESAS'!$A$15:$A$320,"CMM",'METAS EMPRESAS'!$B$15:$B$320,"PREMONTAGEM",'METAS EMPRESAS'!$C$15:$C$320,$A80-WEEKDAY($A80,2)+1)</f>
        <v/>
      </c>
      <c r="R80" s="159">
        <f>SUMIFS('METAS EMPRESAS'!$J$15:$J$320,'METAS EMPRESAS'!$A$15:$A$320,"CMM",'METAS EMPRESAS'!$B$15:$B$320,"IÇAMENTO JOIST",'METAS EMPRESAS'!$C$15:$C$320,$A80-WEEKDAY($A80,2)+1)</f>
        <v/>
      </c>
      <c r="S80" s="159">
        <f>SUMIFS('METAS EMPRESAS'!$J$15:$J$320,'METAS EMPRESAS'!$A$15:$A$320,"CMM",'METAS EMPRESAS'!$B$15:$B$320,"VIGAS",'METAS EMPRESAS'!$C$15:$C$320,$A80-WEEKDAY($A80,2)+1)</f>
        <v/>
      </c>
      <c r="T80">
        <f>--(WEEKDAY(A80,2)&lt;=5)</f>
        <v/>
      </c>
      <c r="U80" t="n">
        <v>19</v>
      </c>
      <c r="V80" t="n">
        <v>7</v>
      </c>
      <c r="W80" t="n">
        <v>0</v>
      </c>
      <c r="X80" t="n">
        <v>5</v>
      </c>
      <c r="Y80" t="n">
        <v>5</v>
      </c>
      <c r="Z80" t="n">
        <v>5</v>
      </c>
      <c r="AA80" t="n">
        <v>95</v>
      </c>
      <c r="AB80" t="n">
        <v>35</v>
      </c>
      <c r="AC80" t="n">
        <v>0</v>
      </c>
    </row>
    <row r="81">
      <c r="A81" s="317" t="n">
        <v>46302</v>
      </c>
      <c r="B81" s="159">
        <f>SUMIFS('METAS EMPRESAS'!$K$15:$K$320,'METAS EMPRESAS'!$A$15:$A$320,"EJ",'METAS EMPRESAS'!$B$15:$B$320,"PREMONTAGEM",'METAS EMPRESAS'!$C$15:$C$320,$A81-WEEKDAY($A81,2)+1)</f>
        <v/>
      </c>
      <c r="C81" s="159">
        <f>SUMIFS('METAS EMPRESAS'!$K$15:$K$320,'METAS EMPRESAS'!$A$15:$A$320,"EJ",'METAS EMPRESAS'!$B$15:$B$320,"IÇAMENTO JOIST",'METAS EMPRESAS'!$C$15:$C$320,$A81-WEEKDAY($A81,2)+1)</f>
        <v/>
      </c>
      <c r="D81" s="159">
        <f>SUMIFS('METAS EMPRESAS'!$K$15:$K$320,'METAS EMPRESAS'!$A$15:$A$320,"EJ",'METAS EMPRESAS'!$B$15:$B$320,"VIGAS",'METAS EMPRESAS'!$C$15:$C$320,$A81-WEEKDAY($A81,2)+1)</f>
        <v/>
      </c>
      <c r="E81" s="159">
        <f>SUMIFS('METAS EMPRESAS'!$K$15:$K$320,'METAS EMPRESAS'!$A$15:$A$320,"CMM",'METAS EMPRESAS'!$B$15:$B$320,"PREMONTAGEM",'METAS EMPRESAS'!$C$15:$C$320,$A81-WEEKDAY($A81,2)+1)</f>
        <v/>
      </c>
      <c r="F81" s="159">
        <f>SUMIFS('METAS EMPRESAS'!$K$15:$K$320,'METAS EMPRESAS'!$A$15:$A$320,"CMM",'METAS EMPRESAS'!$B$15:$B$320,"IÇAMENTO JOIST",'METAS EMPRESAS'!$C$15:$C$320,$A81-WEEKDAY($A81,2)+1)</f>
        <v/>
      </c>
      <c r="G81" s="159">
        <f>SUMIFS('METAS EMPRESAS'!$K$15:$K$320,'METAS EMPRESAS'!$A$15:$A$320,"CMM",'METAS EMPRESAS'!$B$15:$B$320,"VIGAS",'METAS EMPRESAS'!$C$15:$C$320,$A81-WEEKDAY($A81,2)+1)</f>
        <v/>
      </c>
      <c r="H81" s="159">
        <f>SUMIFS('METAS EMPRESAS'!$G$15:$G$320,'METAS EMPRESAS'!$A$15:$A$320,"EJ",'METAS EMPRESAS'!$B$15:$B$320,"PREMONTAGEM",'METAS EMPRESAS'!$C$15:$C$320,$A81-WEEKDAY($A81,2)+1)</f>
        <v/>
      </c>
      <c r="I81" s="159">
        <f>SUMIFS('METAS EMPRESAS'!$G$15:$G$320,'METAS EMPRESAS'!$A$15:$A$320,"EJ",'METAS EMPRESAS'!$B$15:$B$320,"IÇAMENTO JOIST",'METAS EMPRESAS'!$C$15:$C$320,$A81-WEEKDAY($A81,2)+1)</f>
        <v/>
      </c>
      <c r="J81" s="159">
        <f>SUMIFS('METAS EMPRESAS'!$G$15:$G$320,'METAS EMPRESAS'!$A$15:$A$320,"EJ",'METAS EMPRESAS'!$B$15:$B$320,"VIGAS",'METAS EMPRESAS'!$C$15:$C$320,$A81-WEEKDAY($A81,2)+1)</f>
        <v/>
      </c>
      <c r="K81" s="159">
        <f>SUMIFS('METAS EMPRESAS'!$G$15:$G$320,'METAS EMPRESAS'!$A$15:$A$320,"CMM",'METAS EMPRESAS'!$B$15:$B$320,"PREMONTAGEM",'METAS EMPRESAS'!$C$15:$C$320,$A81-WEEKDAY($A81,2)+1)</f>
        <v/>
      </c>
      <c r="L81" s="159">
        <f>SUMIFS('METAS EMPRESAS'!$G$15:$G$320,'METAS EMPRESAS'!$A$15:$A$320,"CMM",'METAS EMPRESAS'!$B$15:$B$320,"IÇAMENTO JOIST",'METAS EMPRESAS'!$C$15:$C$320,$A81-WEEKDAY($A81,2)+1)</f>
        <v/>
      </c>
      <c r="M81" s="159">
        <f>SUMIFS('METAS EMPRESAS'!$G$15:$G$320,'METAS EMPRESAS'!$A$15:$A$320,"CMM",'METAS EMPRESAS'!$B$15:$B$320,"VIGAS",'METAS EMPRESAS'!$C$15:$C$320,$A81-WEEKDAY($A81,2)+1)</f>
        <v/>
      </c>
      <c r="N81" s="159">
        <f>SUMIFS('METAS EMPRESAS'!$J$15:$J$320,'METAS EMPRESAS'!$A$15:$A$320,"EJ",'METAS EMPRESAS'!$B$15:$B$320,"PREMONTAGEM",'METAS EMPRESAS'!$C$15:$C$320,$A81-WEEKDAY($A81,2)+1)</f>
        <v/>
      </c>
      <c r="O81" s="159">
        <f>SUMIFS('METAS EMPRESAS'!$J$15:$J$320,'METAS EMPRESAS'!$A$15:$A$320,"EJ",'METAS EMPRESAS'!$B$15:$B$320,"IÇAMENTO JOIST",'METAS EMPRESAS'!$C$15:$C$320,$A81-WEEKDAY($A81,2)+1)</f>
        <v/>
      </c>
      <c r="P81" s="159">
        <f>SUMIFS('METAS EMPRESAS'!$J$15:$J$320,'METAS EMPRESAS'!$A$15:$A$320,"EJ",'METAS EMPRESAS'!$B$15:$B$320,"VIGAS",'METAS EMPRESAS'!$C$15:$C$320,$A81-WEEKDAY($A81,2)+1)</f>
        <v/>
      </c>
      <c r="Q81" s="159">
        <f>SUMIFS('METAS EMPRESAS'!$J$15:$J$320,'METAS EMPRESAS'!$A$15:$A$320,"CMM",'METAS EMPRESAS'!$B$15:$B$320,"PREMONTAGEM",'METAS EMPRESAS'!$C$15:$C$320,$A81-WEEKDAY($A81,2)+1)</f>
        <v/>
      </c>
      <c r="R81" s="159">
        <f>SUMIFS('METAS EMPRESAS'!$J$15:$J$320,'METAS EMPRESAS'!$A$15:$A$320,"CMM",'METAS EMPRESAS'!$B$15:$B$320,"IÇAMENTO JOIST",'METAS EMPRESAS'!$C$15:$C$320,$A81-WEEKDAY($A81,2)+1)</f>
        <v/>
      </c>
      <c r="S81" s="159">
        <f>SUMIFS('METAS EMPRESAS'!$J$15:$J$320,'METAS EMPRESAS'!$A$15:$A$320,"CMM",'METAS EMPRESAS'!$B$15:$B$320,"VIGAS",'METAS EMPRESAS'!$C$15:$C$320,$A81-WEEKDAY($A81,2)+1)</f>
        <v/>
      </c>
      <c r="T81">
        <f>--(WEEKDAY(A81,2)&lt;=5)</f>
        <v/>
      </c>
      <c r="U81" t="n">
        <v>19</v>
      </c>
      <c r="V81" t="n">
        <v>7</v>
      </c>
      <c r="W81" t="n">
        <v>0</v>
      </c>
      <c r="X81" t="n">
        <v>5</v>
      </c>
      <c r="Y81" t="n">
        <v>5</v>
      </c>
      <c r="Z81" t="n">
        <v>5</v>
      </c>
      <c r="AA81" t="n">
        <v>95</v>
      </c>
      <c r="AB81" t="n">
        <v>35</v>
      </c>
      <c r="AC81" t="n">
        <v>0</v>
      </c>
    </row>
    <row r="82">
      <c r="A82" s="317" t="n">
        <v>46303</v>
      </c>
      <c r="B82" s="159">
        <f>SUMIFS('METAS EMPRESAS'!$K$15:$K$320,'METAS EMPRESAS'!$A$15:$A$320,"EJ",'METAS EMPRESAS'!$B$15:$B$320,"PREMONTAGEM",'METAS EMPRESAS'!$C$15:$C$320,$A82-WEEKDAY($A82,2)+1)</f>
        <v/>
      </c>
      <c r="C82" s="159">
        <f>SUMIFS('METAS EMPRESAS'!$K$15:$K$320,'METAS EMPRESAS'!$A$15:$A$320,"EJ",'METAS EMPRESAS'!$B$15:$B$320,"IÇAMENTO JOIST",'METAS EMPRESAS'!$C$15:$C$320,$A82-WEEKDAY($A82,2)+1)</f>
        <v/>
      </c>
      <c r="D82" s="159">
        <f>SUMIFS('METAS EMPRESAS'!$K$15:$K$320,'METAS EMPRESAS'!$A$15:$A$320,"EJ",'METAS EMPRESAS'!$B$15:$B$320,"VIGAS",'METAS EMPRESAS'!$C$15:$C$320,$A82-WEEKDAY($A82,2)+1)</f>
        <v/>
      </c>
      <c r="E82" s="159">
        <f>SUMIFS('METAS EMPRESAS'!$K$15:$K$320,'METAS EMPRESAS'!$A$15:$A$320,"CMM",'METAS EMPRESAS'!$B$15:$B$320,"PREMONTAGEM",'METAS EMPRESAS'!$C$15:$C$320,$A82-WEEKDAY($A82,2)+1)</f>
        <v/>
      </c>
      <c r="F82" s="159">
        <f>SUMIFS('METAS EMPRESAS'!$K$15:$K$320,'METAS EMPRESAS'!$A$15:$A$320,"CMM",'METAS EMPRESAS'!$B$15:$B$320,"IÇAMENTO JOIST",'METAS EMPRESAS'!$C$15:$C$320,$A82-WEEKDAY($A82,2)+1)</f>
        <v/>
      </c>
      <c r="G82" s="159">
        <f>SUMIFS('METAS EMPRESAS'!$K$15:$K$320,'METAS EMPRESAS'!$A$15:$A$320,"CMM",'METAS EMPRESAS'!$B$15:$B$320,"VIGAS",'METAS EMPRESAS'!$C$15:$C$320,$A82-WEEKDAY($A82,2)+1)</f>
        <v/>
      </c>
      <c r="H82" s="159">
        <f>SUMIFS('METAS EMPRESAS'!$G$15:$G$320,'METAS EMPRESAS'!$A$15:$A$320,"EJ",'METAS EMPRESAS'!$B$15:$B$320,"PREMONTAGEM",'METAS EMPRESAS'!$C$15:$C$320,$A82-WEEKDAY($A82,2)+1)</f>
        <v/>
      </c>
      <c r="I82" s="159">
        <f>SUMIFS('METAS EMPRESAS'!$G$15:$G$320,'METAS EMPRESAS'!$A$15:$A$320,"EJ",'METAS EMPRESAS'!$B$15:$B$320,"IÇAMENTO JOIST",'METAS EMPRESAS'!$C$15:$C$320,$A82-WEEKDAY($A82,2)+1)</f>
        <v/>
      </c>
      <c r="J82" s="159">
        <f>SUMIFS('METAS EMPRESAS'!$G$15:$G$320,'METAS EMPRESAS'!$A$15:$A$320,"EJ",'METAS EMPRESAS'!$B$15:$B$320,"VIGAS",'METAS EMPRESAS'!$C$15:$C$320,$A82-WEEKDAY($A82,2)+1)</f>
        <v/>
      </c>
      <c r="K82" s="159">
        <f>SUMIFS('METAS EMPRESAS'!$G$15:$G$320,'METAS EMPRESAS'!$A$15:$A$320,"CMM",'METAS EMPRESAS'!$B$15:$B$320,"PREMONTAGEM",'METAS EMPRESAS'!$C$15:$C$320,$A82-WEEKDAY($A82,2)+1)</f>
        <v/>
      </c>
      <c r="L82" s="159">
        <f>SUMIFS('METAS EMPRESAS'!$G$15:$G$320,'METAS EMPRESAS'!$A$15:$A$320,"CMM",'METAS EMPRESAS'!$B$15:$B$320,"IÇAMENTO JOIST",'METAS EMPRESAS'!$C$15:$C$320,$A82-WEEKDAY($A82,2)+1)</f>
        <v/>
      </c>
      <c r="M82" s="159">
        <f>SUMIFS('METAS EMPRESAS'!$G$15:$G$320,'METAS EMPRESAS'!$A$15:$A$320,"CMM",'METAS EMPRESAS'!$B$15:$B$320,"VIGAS",'METAS EMPRESAS'!$C$15:$C$320,$A82-WEEKDAY($A82,2)+1)</f>
        <v/>
      </c>
      <c r="N82" s="159">
        <f>SUMIFS('METAS EMPRESAS'!$J$15:$J$320,'METAS EMPRESAS'!$A$15:$A$320,"EJ",'METAS EMPRESAS'!$B$15:$B$320,"PREMONTAGEM",'METAS EMPRESAS'!$C$15:$C$320,$A82-WEEKDAY($A82,2)+1)</f>
        <v/>
      </c>
      <c r="O82" s="159">
        <f>SUMIFS('METAS EMPRESAS'!$J$15:$J$320,'METAS EMPRESAS'!$A$15:$A$320,"EJ",'METAS EMPRESAS'!$B$15:$B$320,"IÇAMENTO JOIST",'METAS EMPRESAS'!$C$15:$C$320,$A82-WEEKDAY($A82,2)+1)</f>
        <v/>
      </c>
      <c r="P82" s="159">
        <f>SUMIFS('METAS EMPRESAS'!$J$15:$J$320,'METAS EMPRESAS'!$A$15:$A$320,"EJ",'METAS EMPRESAS'!$B$15:$B$320,"VIGAS",'METAS EMPRESAS'!$C$15:$C$320,$A82-WEEKDAY($A82,2)+1)</f>
        <v/>
      </c>
      <c r="Q82" s="159">
        <f>SUMIFS('METAS EMPRESAS'!$J$15:$J$320,'METAS EMPRESAS'!$A$15:$A$320,"CMM",'METAS EMPRESAS'!$B$15:$B$320,"PREMONTAGEM",'METAS EMPRESAS'!$C$15:$C$320,$A82-WEEKDAY($A82,2)+1)</f>
        <v/>
      </c>
      <c r="R82" s="159">
        <f>SUMIFS('METAS EMPRESAS'!$J$15:$J$320,'METAS EMPRESAS'!$A$15:$A$320,"CMM",'METAS EMPRESAS'!$B$15:$B$320,"IÇAMENTO JOIST",'METAS EMPRESAS'!$C$15:$C$320,$A82-WEEKDAY($A82,2)+1)</f>
        <v/>
      </c>
      <c r="S82" s="159">
        <f>SUMIFS('METAS EMPRESAS'!$J$15:$J$320,'METAS EMPRESAS'!$A$15:$A$320,"CMM",'METAS EMPRESAS'!$B$15:$B$320,"VIGAS",'METAS EMPRESAS'!$C$15:$C$320,$A82-WEEKDAY($A82,2)+1)</f>
        <v/>
      </c>
      <c r="T82">
        <f>--(WEEKDAY(A82,2)&lt;=5)</f>
        <v/>
      </c>
      <c r="U82" t="n">
        <v>19</v>
      </c>
      <c r="V82" t="n">
        <v>7</v>
      </c>
      <c r="W82" t="n">
        <v>0</v>
      </c>
      <c r="X82" t="n">
        <v>5</v>
      </c>
      <c r="Y82" t="n">
        <v>5</v>
      </c>
      <c r="Z82" t="n">
        <v>5</v>
      </c>
      <c r="AA82" t="n">
        <v>95</v>
      </c>
      <c r="AB82" t="n">
        <v>35</v>
      </c>
      <c r="AC82" t="n">
        <v>0</v>
      </c>
    </row>
    <row r="83">
      <c r="A83" s="317" t="n">
        <v>46304</v>
      </c>
      <c r="B83" s="159">
        <f>SUMIFS('METAS EMPRESAS'!$K$15:$K$320,'METAS EMPRESAS'!$A$15:$A$320,"EJ",'METAS EMPRESAS'!$B$15:$B$320,"PREMONTAGEM",'METAS EMPRESAS'!$C$15:$C$320,$A83-WEEKDAY($A83,2)+1)</f>
        <v/>
      </c>
      <c r="C83" s="159">
        <f>SUMIFS('METAS EMPRESAS'!$K$15:$K$320,'METAS EMPRESAS'!$A$15:$A$320,"EJ",'METAS EMPRESAS'!$B$15:$B$320,"IÇAMENTO JOIST",'METAS EMPRESAS'!$C$15:$C$320,$A83-WEEKDAY($A83,2)+1)</f>
        <v/>
      </c>
      <c r="D83" s="159">
        <f>SUMIFS('METAS EMPRESAS'!$K$15:$K$320,'METAS EMPRESAS'!$A$15:$A$320,"EJ",'METAS EMPRESAS'!$B$15:$B$320,"VIGAS",'METAS EMPRESAS'!$C$15:$C$320,$A83-WEEKDAY($A83,2)+1)</f>
        <v/>
      </c>
      <c r="E83" s="159">
        <f>SUMIFS('METAS EMPRESAS'!$K$15:$K$320,'METAS EMPRESAS'!$A$15:$A$320,"CMM",'METAS EMPRESAS'!$B$15:$B$320,"PREMONTAGEM",'METAS EMPRESAS'!$C$15:$C$320,$A83-WEEKDAY($A83,2)+1)</f>
        <v/>
      </c>
      <c r="F83" s="159">
        <f>SUMIFS('METAS EMPRESAS'!$K$15:$K$320,'METAS EMPRESAS'!$A$15:$A$320,"CMM",'METAS EMPRESAS'!$B$15:$B$320,"IÇAMENTO JOIST",'METAS EMPRESAS'!$C$15:$C$320,$A83-WEEKDAY($A83,2)+1)</f>
        <v/>
      </c>
      <c r="G83" s="159">
        <f>SUMIFS('METAS EMPRESAS'!$K$15:$K$320,'METAS EMPRESAS'!$A$15:$A$320,"CMM",'METAS EMPRESAS'!$B$15:$B$320,"VIGAS",'METAS EMPRESAS'!$C$15:$C$320,$A83-WEEKDAY($A83,2)+1)</f>
        <v/>
      </c>
      <c r="H83" s="159">
        <f>SUMIFS('METAS EMPRESAS'!$G$15:$G$320,'METAS EMPRESAS'!$A$15:$A$320,"EJ",'METAS EMPRESAS'!$B$15:$B$320,"PREMONTAGEM",'METAS EMPRESAS'!$C$15:$C$320,$A83-WEEKDAY($A83,2)+1)</f>
        <v/>
      </c>
      <c r="I83" s="159">
        <f>SUMIFS('METAS EMPRESAS'!$G$15:$G$320,'METAS EMPRESAS'!$A$15:$A$320,"EJ",'METAS EMPRESAS'!$B$15:$B$320,"IÇAMENTO JOIST",'METAS EMPRESAS'!$C$15:$C$320,$A83-WEEKDAY($A83,2)+1)</f>
        <v/>
      </c>
      <c r="J83" s="159">
        <f>SUMIFS('METAS EMPRESAS'!$G$15:$G$320,'METAS EMPRESAS'!$A$15:$A$320,"EJ",'METAS EMPRESAS'!$B$15:$B$320,"VIGAS",'METAS EMPRESAS'!$C$15:$C$320,$A83-WEEKDAY($A83,2)+1)</f>
        <v/>
      </c>
      <c r="K83" s="159">
        <f>SUMIFS('METAS EMPRESAS'!$G$15:$G$320,'METAS EMPRESAS'!$A$15:$A$320,"CMM",'METAS EMPRESAS'!$B$15:$B$320,"PREMONTAGEM",'METAS EMPRESAS'!$C$15:$C$320,$A83-WEEKDAY($A83,2)+1)</f>
        <v/>
      </c>
      <c r="L83" s="159">
        <f>SUMIFS('METAS EMPRESAS'!$G$15:$G$320,'METAS EMPRESAS'!$A$15:$A$320,"CMM",'METAS EMPRESAS'!$B$15:$B$320,"IÇAMENTO JOIST",'METAS EMPRESAS'!$C$15:$C$320,$A83-WEEKDAY($A83,2)+1)</f>
        <v/>
      </c>
      <c r="M83" s="159">
        <f>SUMIFS('METAS EMPRESAS'!$G$15:$G$320,'METAS EMPRESAS'!$A$15:$A$320,"CMM",'METAS EMPRESAS'!$B$15:$B$320,"VIGAS",'METAS EMPRESAS'!$C$15:$C$320,$A83-WEEKDAY($A83,2)+1)</f>
        <v/>
      </c>
      <c r="N83" s="159">
        <f>SUMIFS('METAS EMPRESAS'!$J$15:$J$320,'METAS EMPRESAS'!$A$15:$A$320,"EJ",'METAS EMPRESAS'!$B$15:$B$320,"PREMONTAGEM",'METAS EMPRESAS'!$C$15:$C$320,$A83-WEEKDAY($A83,2)+1)</f>
        <v/>
      </c>
      <c r="O83" s="159">
        <f>SUMIFS('METAS EMPRESAS'!$J$15:$J$320,'METAS EMPRESAS'!$A$15:$A$320,"EJ",'METAS EMPRESAS'!$B$15:$B$320,"IÇAMENTO JOIST",'METAS EMPRESAS'!$C$15:$C$320,$A83-WEEKDAY($A83,2)+1)</f>
        <v/>
      </c>
      <c r="P83" s="159">
        <f>SUMIFS('METAS EMPRESAS'!$J$15:$J$320,'METAS EMPRESAS'!$A$15:$A$320,"EJ",'METAS EMPRESAS'!$B$15:$B$320,"VIGAS",'METAS EMPRESAS'!$C$15:$C$320,$A83-WEEKDAY($A83,2)+1)</f>
        <v/>
      </c>
      <c r="Q83" s="159">
        <f>SUMIFS('METAS EMPRESAS'!$J$15:$J$320,'METAS EMPRESAS'!$A$15:$A$320,"CMM",'METAS EMPRESAS'!$B$15:$B$320,"PREMONTAGEM",'METAS EMPRESAS'!$C$15:$C$320,$A83-WEEKDAY($A83,2)+1)</f>
        <v/>
      </c>
      <c r="R83" s="159">
        <f>SUMIFS('METAS EMPRESAS'!$J$15:$J$320,'METAS EMPRESAS'!$A$15:$A$320,"CMM",'METAS EMPRESAS'!$B$15:$B$320,"IÇAMENTO JOIST",'METAS EMPRESAS'!$C$15:$C$320,$A83-WEEKDAY($A83,2)+1)</f>
        <v/>
      </c>
      <c r="S83" s="159">
        <f>SUMIFS('METAS EMPRESAS'!$J$15:$J$320,'METAS EMPRESAS'!$A$15:$A$320,"CMM",'METAS EMPRESAS'!$B$15:$B$320,"VIGAS",'METAS EMPRESAS'!$C$15:$C$320,$A83-WEEKDAY($A83,2)+1)</f>
        <v/>
      </c>
      <c r="T83">
        <f>--(WEEKDAY(A83,2)&lt;=5)</f>
        <v/>
      </c>
      <c r="U83" t="n">
        <v>19</v>
      </c>
      <c r="V83" t="n">
        <v>7</v>
      </c>
      <c r="W83" t="n">
        <v>0</v>
      </c>
      <c r="X83" t="n">
        <v>5</v>
      </c>
      <c r="Y83" t="n">
        <v>5</v>
      </c>
      <c r="Z83" t="n">
        <v>5</v>
      </c>
      <c r="AA83" t="n">
        <v>95</v>
      </c>
      <c r="AB83" t="n">
        <v>35</v>
      </c>
      <c r="AC83" t="n">
        <v>0</v>
      </c>
    </row>
    <row r="84">
      <c r="A84" s="317" t="n">
        <v>46305</v>
      </c>
      <c r="B84" s="159">
        <f>SUMIFS('METAS EMPRESAS'!$K$15:$K$320,'METAS EMPRESAS'!$A$15:$A$320,"EJ",'METAS EMPRESAS'!$B$15:$B$320,"PREMONTAGEM",'METAS EMPRESAS'!$C$15:$C$320,$A84-WEEKDAY($A84,2)+1)</f>
        <v/>
      </c>
      <c r="C84" s="159">
        <f>SUMIFS('METAS EMPRESAS'!$K$15:$K$320,'METAS EMPRESAS'!$A$15:$A$320,"EJ",'METAS EMPRESAS'!$B$15:$B$320,"IÇAMENTO JOIST",'METAS EMPRESAS'!$C$15:$C$320,$A84-WEEKDAY($A84,2)+1)</f>
        <v/>
      </c>
      <c r="D84" s="159">
        <f>SUMIFS('METAS EMPRESAS'!$K$15:$K$320,'METAS EMPRESAS'!$A$15:$A$320,"EJ",'METAS EMPRESAS'!$B$15:$B$320,"VIGAS",'METAS EMPRESAS'!$C$15:$C$320,$A84-WEEKDAY($A84,2)+1)</f>
        <v/>
      </c>
      <c r="E84" s="159">
        <f>SUMIFS('METAS EMPRESAS'!$K$15:$K$320,'METAS EMPRESAS'!$A$15:$A$320,"CMM",'METAS EMPRESAS'!$B$15:$B$320,"PREMONTAGEM",'METAS EMPRESAS'!$C$15:$C$320,$A84-WEEKDAY($A84,2)+1)</f>
        <v/>
      </c>
      <c r="F84" s="159">
        <f>SUMIFS('METAS EMPRESAS'!$K$15:$K$320,'METAS EMPRESAS'!$A$15:$A$320,"CMM",'METAS EMPRESAS'!$B$15:$B$320,"IÇAMENTO JOIST",'METAS EMPRESAS'!$C$15:$C$320,$A84-WEEKDAY($A84,2)+1)</f>
        <v/>
      </c>
      <c r="G84" s="159">
        <f>SUMIFS('METAS EMPRESAS'!$K$15:$K$320,'METAS EMPRESAS'!$A$15:$A$320,"CMM",'METAS EMPRESAS'!$B$15:$B$320,"VIGAS",'METAS EMPRESAS'!$C$15:$C$320,$A84-WEEKDAY($A84,2)+1)</f>
        <v/>
      </c>
      <c r="H84" s="159">
        <f>SUMIFS('METAS EMPRESAS'!$G$15:$G$320,'METAS EMPRESAS'!$A$15:$A$320,"EJ",'METAS EMPRESAS'!$B$15:$B$320,"PREMONTAGEM",'METAS EMPRESAS'!$C$15:$C$320,$A84-WEEKDAY($A84,2)+1)</f>
        <v/>
      </c>
      <c r="I84" s="159">
        <f>SUMIFS('METAS EMPRESAS'!$G$15:$G$320,'METAS EMPRESAS'!$A$15:$A$320,"EJ",'METAS EMPRESAS'!$B$15:$B$320,"IÇAMENTO JOIST",'METAS EMPRESAS'!$C$15:$C$320,$A84-WEEKDAY($A84,2)+1)</f>
        <v/>
      </c>
      <c r="J84" s="159">
        <f>SUMIFS('METAS EMPRESAS'!$G$15:$G$320,'METAS EMPRESAS'!$A$15:$A$320,"EJ",'METAS EMPRESAS'!$B$15:$B$320,"VIGAS",'METAS EMPRESAS'!$C$15:$C$320,$A84-WEEKDAY($A84,2)+1)</f>
        <v/>
      </c>
      <c r="K84" s="159">
        <f>SUMIFS('METAS EMPRESAS'!$G$15:$G$320,'METAS EMPRESAS'!$A$15:$A$320,"CMM",'METAS EMPRESAS'!$B$15:$B$320,"PREMONTAGEM",'METAS EMPRESAS'!$C$15:$C$320,$A84-WEEKDAY($A84,2)+1)</f>
        <v/>
      </c>
      <c r="L84" s="159">
        <f>SUMIFS('METAS EMPRESAS'!$G$15:$G$320,'METAS EMPRESAS'!$A$15:$A$320,"CMM",'METAS EMPRESAS'!$B$15:$B$320,"IÇAMENTO JOIST",'METAS EMPRESAS'!$C$15:$C$320,$A84-WEEKDAY($A84,2)+1)</f>
        <v/>
      </c>
      <c r="M84" s="159">
        <f>SUMIFS('METAS EMPRESAS'!$G$15:$G$320,'METAS EMPRESAS'!$A$15:$A$320,"CMM",'METAS EMPRESAS'!$B$15:$B$320,"VIGAS",'METAS EMPRESAS'!$C$15:$C$320,$A84-WEEKDAY($A84,2)+1)</f>
        <v/>
      </c>
      <c r="N84" s="159">
        <f>SUMIFS('METAS EMPRESAS'!$J$15:$J$320,'METAS EMPRESAS'!$A$15:$A$320,"EJ",'METAS EMPRESAS'!$B$15:$B$320,"PREMONTAGEM",'METAS EMPRESAS'!$C$15:$C$320,$A84-WEEKDAY($A84,2)+1)</f>
        <v/>
      </c>
      <c r="O84" s="159">
        <f>SUMIFS('METAS EMPRESAS'!$J$15:$J$320,'METAS EMPRESAS'!$A$15:$A$320,"EJ",'METAS EMPRESAS'!$B$15:$B$320,"IÇAMENTO JOIST",'METAS EMPRESAS'!$C$15:$C$320,$A84-WEEKDAY($A84,2)+1)</f>
        <v/>
      </c>
      <c r="P84" s="159">
        <f>SUMIFS('METAS EMPRESAS'!$J$15:$J$320,'METAS EMPRESAS'!$A$15:$A$320,"EJ",'METAS EMPRESAS'!$B$15:$B$320,"VIGAS",'METAS EMPRESAS'!$C$15:$C$320,$A84-WEEKDAY($A84,2)+1)</f>
        <v/>
      </c>
      <c r="Q84" s="159">
        <f>SUMIFS('METAS EMPRESAS'!$J$15:$J$320,'METAS EMPRESAS'!$A$15:$A$320,"CMM",'METAS EMPRESAS'!$B$15:$B$320,"PREMONTAGEM",'METAS EMPRESAS'!$C$15:$C$320,$A84-WEEKDAY($A84,2)+1)</f>
        <v/>
      </c>
      <c r="R84" s="159">
        <f>SUMIFS('METAS EMPRESAS'!$J$15:$J$320,'METAS EMPRESAS'!$A$15:$A$320,"CMM",'METAS EMPRESAS'!$B$15:$B$320,"IÇAMENTO JOIST",'METAS EMPRESAS'!$C$15:$C$320,$A84-WEEKDAY($A84,2)+1)</f>
        <v/>
      </c>
      <c r="S84" s="159">
        <f>SUMIFS('METAS EMPRESAS'!$J$15:$J$320,'METAS EMPRESAS'!$A$15:$A$320,"CMM",'METAS EMPRESAS'!$B$15:$B$320,"VIGAS",'METAS EMPRESAS'!$C$15:$C$320,$A84-WEEKDAY($A84,2)+1)</f>
        <v/>
      </c>
      <c r="T84">
        <f>--(WEEKDAY(A84,2)&lt;=5)</f>
        <v/>
      </c>
      <c r="U84" t="n">
        <v>19</v>
      </c>
      <c r="V84" t="n">
        <v>7</v>
      </c>
      <c r="W84" t="n">
        <v>0</v>
      </c>
      <c r="X84" t="n">
        <v>5</v>
      </c>
      <c r="Y84" t="n">
        <v>5</v>
      </c>
      <c r="Z84" t="n">
        <v>5</v>
      </c>
      <c r="AA84" t="n">
        <v>95</v>
      </c>
      <c r="AB84" t="n">
        <v>35</v>
      </c>
      <c r="AC84" t="n">
        <v>0</v>
      </c>
    </row>
    <row r="85">
      <c r="A85" s="317" t="n">
        <v>46306</v>
      </c>
      <c r="B85" s="159">
        <f>SUMIFS('METAS EMPRESAS'!$K$15:$K$320,'METAS EMPRESAS'!$A$15:$A$320,"EJ",'METAS EMPRESAS'!$B$15:$B$320,"PREMONTAGEM",'METAS EMPRESAS'!$C$15:$C$320,$A85-WEEKDAY($A85,2)+1)</f>
        <v/>
      </c>
      <c r="C85" s="159">
        <f>SUMIFS('METAS EMPRESAS'!$K$15:$K$320,'METAS EMPRESAS'!$A$15:$A$320,"EJ",'METAS EMPRESAS'!$B$15:$B$320,"IÇAMENTO JOIST",'METAS EMPRESAS'!$C$15:$C$320,$A85-WEEKDAY($A85,2)+1)</f>
        <v/>
      </c>
      <c r="D85" s="159">
        <f>SUMIFS('METAS EMPRESAS'!$K$15:$K$320,'METAS EMPRESAS'!$A$15:$A$320,"EJ",'METAS EMPRESAS'!$B$15:$B$320,"VIGAS",'METAS EMPRESAS'!$C$15:$C$320,$A85-WEEKDAY($A85,2)+1)</f>
        <v/>
      </c>
      <c r="E85" s="159">
        <f>SUMIFS('METAS EMPRESAS'!$K$15:$K$320,'METAS EMPRESAS'!$A$15:$A$320,"CMM",'METAS EMPRESAS'!$B$15:$B$320,"PREMONTAGEM",'METAS EMPRESAS'!$C$15:$C$320,$A85-WEEKDAY($A85,2)+1)</f>
        <v/>
      </c>
      <c r="F85" s="159">
        <f>SUMIFS('METAS EMPRESAS'!$K$15:$K$320,'METAS EMPRESAS'!$A$15:$A$320,"CMM",'METAS EMPRESAS'!$B$15:$B$320,"IÇAMENTO JOIST",'METAS EMPRESAS'!$C$15:$C$320,$A85-WEEKDAY($A85,2)+1)</f>
        <v/>
      </c>
      <c r="G85" s="159">
        <f>SUMIFS('METAS EMPRESAS'!$K$15:$K$320,'METAS EMPRESAS'!$A$15:$A$320,"CMM",'METAS EMPRESAS'!$B$15:$B$320,"VIGAS",'METAS EMPRESAS'!$C$15:$C$320,$A85-WEEKDAY($A85,2)+1)</f>
        <v/>
      </c>
      <c r="H85" s="159">
        <f>SUMIFS('METAS EMPRESAS'!$G$15:$G$320,'METAS EMPRESAS'!$A$15:$A$320,"EJ",'METAS EMPRESAS'!$B$15:$B$320,"PREMONTAGEM",'METAS EMPRESAS'!$C$15:$C$320,$A85-WEEKDAY($A85,2)+1)</f>
        <v/>
      </c>
      <c r="I85" s="159">
        <f>SUMIFS('METAS EMPRESAS'!$G$15:$G$320,'METAS EMPRESAS'!$A$15:$A$320,"EJ",'METAS EMPRESAS'!$B$15:$B$320,"IÇAMENTO JOIST",'METAS EMPRESAS'!$C$15:$C$320,$A85-WEEKDAY($A85,2)+1)</f>
        <v/>
      </c>
      <c r="J85" s="159">
        <f>SUMIFS('METAS EMPRESAS'!$G$15:$G$320,'METAS EMPRESAS'!$A$15:$A$320,"EJ",'METAS EMPRESAS'!$B$15:$B$320,"VIGAS",'METAS EMPRESAS'!$C$15:$C$320,$A85-WEEKDAY($A85,2)+1)</f>
        <v/>
      </c>
      <c r="K85" s="159">
        <f>SUMIFS('METAS EMPRESAS'!$G$15:$G$320,'METAS EMPRESAS'!$A$15:$A$320,"CMM",'METAS EMPRESAS'!$B$15:$B$320,"PREMONTAGEM",'METAS EMPRESAS'!$C$15:$C$320,$A85-WEEKDAY($A85,2)+1)</f>
        <v/>
      </c>
      <c r="L85" s="159">
        <f>SUMIFS('METAS EMPRESAS'!$G$15:$G$320,'METAS EMPRESAS'!$A$15:$A$320,"CMM",'METAS EMPRESAS'!$B$15:$B$320,"IÇAMENTO JOIST",'METAS EMPRESAS'!$C$15:$C$320,$A85-WEEKDAY($A85,2)+1)</f>
        <v/>
      </c>
      <c r="M85" s="159">
        <f>SUMIFS('METAS EMPRESAS'!$G$15:$G$320,'METAS EMPRESAS'!$A$15:$A$320,"CMM",'METAS EMPRESAS'!$B$15:$B$320,"VIGAS",'METAS EMPRESAS'!$C$15:$C$320,$A85-WEEKDAY($A85,2)+1)</f>
        <v/>
      </c>
      <c r="N85" s="159">
        <f>SUMIFS('METAS EMPRESAS'!$J$15:$J$320,'METAS EMPRESAS'!$A$15:$A$320,"EJ",'METAS EMPRESAS'!$B$15:$B$320,"PREMONTAGEM",'METAS EMPRESAS'!$C$15:$C$320,$A85-WEEKDAY($A85,2)+1)</f>
        <v/>
      </c>
      <c r="O85" s="159">
        <f>SUMIFS('METAS EMPRESAS'!$J$15:$J$320,'METAS EMPRESAS'!$A$15:$A$320,"EJ",'METAS EMPRESAS'!$B$15:$B$320,"IÇAMENTO JOIST",'METAS EMPRESAS'!$C$15:$C$320,$A85-WEEKDAY($A85,2)+1)</f>
        <v/>
      </c>
      <c r="P85" s="159">
        <f>SUMIFS('METAS EMPRESAS'!$J$15:$J$320,'METAS EMPRESAS'!$A$15:$A$320,"EJ",'METAS EMPRESAS'!$B$15:$B$320,"VIGAS",'METAS EMPRESAS'!$C$15:$C$320,$A85-WEEKDAY($A85,2)+1)</f>
        <v/>
      </c>
      <c r="Q85" s="159">
        <f>SUMIFS('METAS EMPRESAS'!$J$15:$J$320,'METAS EMPRESAS'!$A$15:$A$320,"CMM",'METAS EMPRESAS'!$B$15:$B$320,"PREMONTAGEM",'METAS EMPRESAS'!$C$15:$C$320,$A85-WEEKDAY($A85,2)+1)</f>
        <v/>
      </c>
      <c r="R85" s="159">
        <f>SUMIFS('METAS EMPRESAS'!$J$15:$J$320,'METAS EMPRESAS'!$A$15:$A$320,"CMM",'METAS EMPRESAS'!$B$15:$B$320,"IÇAMENTO JOIST",'METAS EMPRESAS'!$C$15:$C$320,$A85-WEEKDAY($A85,2)+1)</f>
        <v/>
      </c>
      <c r="S85" s="159">
        <f>SUMIFS('METAS EMPRESAS'!$J$15:$J$320,'METAS EMPRESAS'!$A$15:$A$320,"CMM",'METAS EMPRESAS'!$B$15:$B$320,"VIGAS",'METAS EMPRESAS'!$C$15:$C$320,$A85-WEEKDAY($A85,2)+1)</f>
        <v/>
      </c>
      <c r="T85">
        <f>--(WEEKDAY(A85,2)&lt;=5)</f>
        <v/>
      </c>
      <c r="U85" t="n">
        <v>19</v>
      </c>
      <c r="V85" t="n">
        <v>7</v>
      </c>
      <c r="W85" t="n">
        <v>0</v>
      </c>
      <c r="X85" t="n">
        <v>5</v>
      </c>
      <c r="Y85" t="n">
        <v>5</v>
      </c>
      <c r="Z85" t="n">
        <v>5</v>
      </c>
      <c r="AA85" t="n">
        <v>95</v>
      </c>
      <c r="AB85" t="n">
        <v>35</v>
      </c>
      <c r="AC85" t="n">
        <v>0</v>
      </c>
    </row>
    <row r="86">
      <c r="A86" s="317" t="n">
        <v>46307</v>
      </c>
      <c r="B86" s="159">
        <f>SUMIFS('METAS EMPRESAS'!$K$15:$K$320,'METAS EMPRESAS'!$A$15:$A$320,"EJ",'METAS EMPRESAS'!$B$15:$B$320,"PREMONTAGEM",'METAS EMPRESAS'!$C$15:$C$320,$A86-WEEKDAY($A86,2)+1)</f>
        <v/>
      </c>
      <c r="C86" s="159">
        <f>SUMIFS('METAS EMPRESAS'!$K$15:$K$320,'METAS EMPRESAS'!$A$15:$A$320,"EJ",'METAS EMPRESAS'!$B$15:$B$320,"IÇAMENTO JOIST",'METAS EMPRESAS'!$C$15:$C$320,$A86-WEEKDAY($A86,2)+1)</f>
        <v/>
      </c>
      <c r="D86" s="159">
        <f>SUMIFS('METAS EMPRESAS'!$K$15:$K$320,'METAS EMPRESAS'!$A$15:$A$320,"EJ",'METAS EMPRESAS'!$B$15:$B$320,"VIGAS",'METAS EMPRESAS'!$C$15:$C$320,$A86-WEEKDAY($A86,2)+1)</f>
        <v/>
      </c>
      <c r="E86" s="159">
        <f>SUMIFS('METAS EMPRESAS'!$K$15:$K$320,'METAS EMPRESAS'!$A$15:$A$320,"CMM",'METAS EMPRESAS'!$B$15:$B$320,"PREMONTAGEM",'METAS EMPRESAS'!$C$15:$C$320,$A86-WEEKDAY($A86,2)+1)</f>
        <v/>
      </c>
      <c r="F86" s="159">
        <f>SUMIFS('METAS EMPRESAS'!$K$15:$K$320,'METAS EMPRESAS'!$A$15:$A$320,"CMM",'METAS EMPRESAS'!$B$15:$B$320,"IÇAMENTO JOIST",'METAS EMPRESAS'!$C$15:$C$320,$A86-WEEKDAY($A86,2)+1)</f>
        <v/>
      </c>
      <c r="G86" s="159">
        <f>SUMIFS('METAS EMPRESAS'!$K$15:$K$320,'METAS EMPRESAS'!$A$15:$A$320,"CMM",'METAS EMPRESAS'!$B$15:$B$320,"VIGAS",'METAS EMPRESAS'!$C$15:$C$320,$A86-WEEKDAY($A86,2)+1)</f>
        <v/>
      </c>
      <c r="H86" s="159">
        <f>SUMIFS('METAS EMPRESAS'!$G$15:$G$320,'METAS EMPRESAS'!$A$15:$A$320,"EJ",'METAS EMPRESAS'!$B$15:$B$320,"PREMONTAGEM",'METAS EMPRESAS'!$C$15:$C$320,$A86-WEEKDAY($A86,2)+1)</f>
        <v/>
      </c>
      <c r="I86" s="159">
        <f>SUMIFS('METAS EMPRESAS'!$G$15:$G$320,'METAS EMPRESAS'!$A$15:$A$320,"EJ",'METAS EMPRESAS'!$B$15:$B$320,"IÇAMENTO JOIST",'METAS EMPRESAS'!$C$15:$C$320,$A86-WEEKDAY($A86,2)+1)</f>
        <v/>
      </c>
      <c r="J86" s="159">
        <f>SUMIFS('METAS EMPRESAS'!$G$15:$G$320,'METAS EMPRESAS'!$A$15:$A$320,"EJ",'METAS EMPRESAS'!$B$15:$B$320,"VIGAS",'METAS EMPRESAS'!$C$15:$C$320,$A86-WEEKDAY($A86,2)+1)</f>
        <v/>
      </c>
      <c r="K86" s="159">
        <f>SUMIFS('METAS EMPRESAS'!$G$15:$G$320,'METAS EMPRESAS'!$A$15:$A$320,"CMM",'METAS EMPRESAS'!$B$15:$B$320,"PREMONTAGEM",'METAS EMPRESAS'!$C$15:$C$320,$A86-WEEKDAY($A86,2)+1)</f>
        <v/>
      </c>
      <c r="L86" s="159">
        <f>SUMIFS('METAS EMPRESAS'!$G$15:$G$320,'METAS EMPRESAS'!$A$15:$A$320,"CMM",'METAS EMPRESAS'!$B$15:$B$320,"IÇAMENTO JOIST",'METAS EMPRESAS'!$C$15:$C$320,$A86-WEEKDAY($A86,2)+1)</f>
        <v/>
      </c>
      <c r="M86" s="159">
        <f>SUMIFS('METAS EMPRESAS'!$G$15:$G$320,'METAS EMPRESAS'!$A$15:$A$320,"CMM",'METAS EMPRESAS'!$B$15:$B$320,"VIGAS",'METAS EMPRESAS'!$C$15:$C$320,$A86-WEEKDAY($A86,2)+1)</f>
        <v/>
      </c>
      <c r="N86" s="159">
        <f>SUMIFS('METAS EMPRESAS'!$J$15:$J$320,'METAS EMPRESAS'!$A$15:$A$320,"EJ",'METAS EMPRESAS'!$B$15:$B$320,"PREMONTAGEM",'METAS EMPRESAS'!$C$15:$C$320,$A86-WEEKDAY($A86,2)+1)</f>
        <v/>
      </c>
      <c r="O86" s="159">
        <f>SUMIFS('METAS EMPRESAS'!$J$15:$J$320,'METAS EMPRESAS'!$A$15:$A$320,"EJ",'METAS EMPRESAS'!$B$15:$B$320,"IÇAMENTO JOIST",'METAS EMPRESAS'!$C$15:$C$320,$A86-WEEKDAY($A86,2)+1)</f>
        <v/>
      </c>
      <c r="P86" s="159">
        <f>SUMIFS('METAS EMPRESAS'!$J$15:$J$320,'METAS EMPRESAS'!$A$15:$A$320,"EJ",'METAS EMPRESAS'!$B$15:$B$320,"VIGAS",'METAS EMPRESAS'!$C$15:$C$320,$A86-WEEKDAY($A86,2)+1)</f>
        <v/>
      </c>
      <c r="Q86" s="159">
        <f>SUMIFS('METAS EMPRESAS'!$J$15:$J$320,'METAS EMPRESAS'!$A$15:$A$320,"CMM",'METAS EMPRESAS'!$B$15:$B$320,"PREMONTAGEM",'METAS EMPRESAS'!$C$15:$C$320,$A86-WEEKDAY($A86,2)+1)</f>
        <v/>
      </c>
      <c r="R86" s="159">
        <f>SUMIFS('METAS EMPRESAS'!$J$15:$J$320,'METAS EMPRESAS'!$A$15:$A$320,"CMM",'METAS EMPRESAS'!$B$15:$B$320,"IÇAMENTO JOIST",'METAS EMPRESAS'!$C$15:$C$320,$A86-WEEKDAY($A86,2)+1)</f>
        <v/>
      </c>
      <c r="S86" s="159">
        <f>SUMIFS('METAS EMPRESAS'!$J$15:$J$320,'METAS EMPRESAS'!$A$15:$A$320,"CMM",'METAS EMPRESAS'!$B$15:$B$320,"VIGAS",'METAS EMPRESAS'!$C$15:$C$320,$A86-WEEKDAY($A86,2)+1)</f>
        <v/>
      </c>
      <c r="T86">
        <f>--(WEEKDAY(A86,2)&lt;=5)</f>
        <v/>
      </c>
      <c r="U86" t="n">
        <v>19</v>
      </c>
      <c r="V86" t="n">
        <v>7</v>
      </c>
      <c r="W86" t="n">
        <v>0</v>
      </c>
      <c r="X86" t="n">
        <v>5</v>
      </c>
      <c r="Y86" t="n">
        <v>5</v>
      </c>
      <c r="Z86" t="n">
        <v>5</v>
      </c>
      <c r="AA86" t="n">
        <v>95</v>
      </c>
      <c r="AB86" t="n">
        <v>35</v>
      </c>
      <c r="AC86" t="n">
        <v>0</v>
      </c>
    </row>
    <row r="87">
      <c r="A87" s="317" t="n">
        <v>46308</v>
      </c>
      <c r="B87" s="159">
        <f>SUMIFS('METAS EMPRESAS'!$K$15:$K$320,'METAS EMPRESAS'!$A$15:$A$320,"EJ",'METAS EMPRESAS'!$B$15:$B$320,"PREMONTAGEM",'METAS EMPRESAS'!$C$15:$C$320,$A87-WEEKDAY($A87,2)+1)</f>
        <v/>
      </c>
      <c r="C87" s="159">
        <f>SUMIFS('METAS EMPRESAS'!$K$15:$K$320,'METAS EMPRESAS'!$A$15:$A$320,"EJ",'METAS EMPRESAS'!$B$15:$B$320,"IÇAMENTO JOIST",'METAS EMPRESAS'!$C$15:$C$320,$A87-WEEKDAY($A87,2)+1)</f>
        <v/>
      </c>
      <c r="D87" s="159">
        <f>SUMIFS('METAS EMPRESAS'!$K$15:$K$320,'METAS EMPRESAS'!$A$15:$A$320,"EJ",'METAS EMPRESAS'!$B$15:$B$320,"VIGAS",'METAS EMPRESAS'!$C$15:$C$320,$A87-WEEKDAY($A87,2)+1)</f>
        <v/>
      </c>
      <c r="E87" s="159">
        <f>SUMIFS('METAS EMPRESAS'!$K$15:$K$320,'METAS EMPRESAS'!$A$15:$A$320,"CMM",'METAS EMPRESAS'!$B$15:$B$320,"PREMONTAGEM",'METAS EMPRESAS'!$C$15:$C$320,$A87-WEEKDAY($A87,2)+1)</f>
        <v/>
      </c>
      <c r="F87" s="159">
        <f>SUMIFS('METAS EMPRESAS'!$K$15:$K$320,'METAS EMPRESAS'!$A$15:$A$320,"CMM",'METAS EMPRESAS'!$B$15:$B$320,"IÇAMENTO JOIST",'METAS EMPRESAS'!$C$15:$C$320,$A87-WEEKDAY($A87,2)+1)</f>
        <v/>
      </c>
      <c r="G87" s="159">
        <f>SUMIFS('METAS EMPRESAS'!$K$15:$K$320,'METAS EMPRESAS'!$A$15:$A$320,"CMM",'METAS EMPRESAS'!$B$15:$B$320,"VIGAS",'METAS EMPRESAS'!$C$15:$C$320,$A87-WEEKDAY($A87,2)+1)</f>
        <v/>
      </c>
      <c r="H87" s="159">
        <f>SUMIFS('METAS EMPRESAS'!$G$15:$G$320,'METAS EMPRESAS'!$A$15:$A$320,"EJ",'METAS EMPRESAS'!$B$15:$B$320,"PREMONTAGEM",'METAS EMPRESAS'!$C$15:$C$320,$A87-WEEKDAY($A87,2)+1)</f>
        <v/>
      </c>
      <c r="I87" s="159">
        <f>SUMIFS('METAS EMPRESAS'!$G$15:$G$320,'METAS EMPRESAS'!$A$15:$A$320,"EJ",'METAS EMPRESAS'!$B$15:$B$320,"IÇAMENTO JOIST",'METAS EMPRESAS'!$C$15:$C$320,$A87-WEEKDAY($A87,2)+1)</f>
        <v/>
      </c>
      <c r="J87" s="159">
        <f>SUMIFS('METAS EMPRESAS'!$G$15:$G$320,'METAS EMPRESAS'!$A$15:$A$320,"EJ",'METAS EMPRESAS'!$B$15:$B$320,"VIGAS",'METAS EMPRESAS'!$C$15:$C$320,$A87-WEEKDAY($A87,2)+1)</f>
        <v/>
      </c>
      <c r="K87" s="159">
        <f>SUMIFS('METAS EMPRESAS'!$G$15:$G$320,'METAS EMPRESAS'!$A$15:$A$320,"CMM",'METAS EMPRESAS'!$B$15:$B$320,"PREMONTAGEM",'METAS EMPRESAS'!$C$15:$C$320,$A87-WEEKDAY($A87,2)+1)</f>
        <v/>
      </c>
      <c r="L87" s="159">
        <f>SUMIFS('METAS EMPRESAS'!$G$15:$G$320,'METAS EMPRESAS'!$A$15:$A$320,"CMM",'METAS EMPRESAS'!$B$15:$B$320,"IÇAMENTO JOIST",'METAS EMPRESAS'!$C$15:$C$320,$A87-WEEKDAY($A87,2)+1)</f>
        <v/>
      </c>
      <c r="M87" s="159">
        <f>SUMIFS('METAS EMPRESAS'!$G$15:$G$320,'METAS EMPRESAS'!$A$15:$A$320,"CMM",'METAS EMPRESAS'!$B$15:$B$320,"VIGAS",'METAS EMPRESAS'!$C$15:$C$320,$A87-WEEKDAY($A87,2)+1)</f>
        <v/>
      </c>
      <c r="N87" s="159">
        <f>SUMIFS('METAS EMPRESAS'!$J$15:$J$320,'METAS EMPRESAS'!$A$15:$A$320,"EJ",'METAS EMPRESAS'!$B$15:$B$320,"PREMONTAGEM",'METAS EMPRESAS'!$C$15:$C$320,$A87-WEEKDAY($A87,2)+1)</f>
        <v/>
      </c>
      <c r="O87" s="159">
        <f>SUMIFS('METAS EMPRESAS'!$J$15:$J$320,'METAS EMPRESAS'!$A$15:$A$320,"EJ",'METAS EMPRESAS'!$B$15:$B$320,"IÇAMENTO JOIST",'METAS EMPRESAS'!$C$15:$C$320,$A87-WEEKDAY($A87,2)+1)</f>
        <v/>
      </c>
      <c r="P87" s="159">
        <f>SUMIFS('METAS EMPRESAS'!$J$15:$J$320,'METAS EMPRESAS'!$A$15:$A$320,"EJ",'METAS EMPRESAS'!$B$15:$B$320,"VIGAS",'METAS EMPRESAS'!$C$15:$C$320,$A87-WEEKDAY($A87,2)+1)</f>
        <v/>
      </c>
      <c r="Q87" s="159">
        <f>SUMIFS('METAS EMPRESAS'!$J$15:$J$320,'METAS EMPRESAS'!$A$15:$A$320,"CMM",'METAS EMPRESAS'!$B$15:$B$320,"PREMONTAGEM",'METAS EMPRESAS'!$C$15:$C$320,$A87-WEEKDAY($A87,2)+1)</f>
        <v/>
      </c>
      <c r="R87" s="159">
        <f>SUMIFS('METAS EMPRESAS'!$J$15:$J$320,'METAS EMPRESAS'!$A$15:$A$320,"CMM",'METAS EMPRESAS'!$B$15:$B$320,"IÇAMENTO JOIST",'METAS EMPRESAS'!$C$15:$C$320,$A87-WEEKDAY($A87,2)+1)</f>
        <v/>
      </c>
      <c r="S87" s="159">
        <f>SUMIFS('METAS EMPRESAS'!$J$15:$J$320,'METAS EMPRESAS'!$A$15:$A$320,"CMM",'METAS EMPRESAS'!$B$15:$B$320,"VIGAS",'METAS EMPRESAS'!$C$15:$C$320,$A87-WEEKDAY($A87,2)+1)</f>
        <v/>
      </c>
      <c r="T87">
        <f>--(WEEKDAY(A87,2)&lt;=5)</f>
        <v/>
      </c>
      <c r="U87" t="n">
        <v>19</v>
      </c>
      <c r="V87" t="n">
        <v>7</v>
      </c>
      <c r="W87" t="n">
        <v>0</v>
      </c>
      <c r="X87" t="n">
        <v>5</v>
      </c>
      <c r="Y87" t="n">
        <v>5</v>
      </c>
      <c r="Z87" t="n">
        <v>5</v>
      </c>
      <c r="AA87" t="n">
        <v>95</v>
      </c>
      <c r="AB87" t="n">
        <v>35</v>
      </c>
      <c r="AC87" t="n">
        <v>0</v>
      </c>
    </row>
    <row r="88">
      <c r="A88" s="317" t="n">
        <v>46309</v>
      </c>
      <c r="B88" s="159">
        <f>SUMIFS('METAS EMPRESAS'!$K$15:$K$320,'METAS EMPRESAS'!$A$15:$A$320,"EJ",'METAS EMPRESAS'!$B$15:$B$320,"PREMONTAGEM",'METAS EMPRESAS'!$C$15:$C$320,$A88-WEEKDAY($A88,2)+1)</f>
        <v/>
      </c>
      <c r="C88" s="159">
        <f>SUMIFS('METAS EMPRESAS'!$K$15:$K$320,'METAS EMPRESAS'!$A$15:$A$320,"EJ",'METAS EMPRESAS'!$B$15:$B$320,"IÇAMENTO JOIST",'METAS EMPRESAS'!$C$15:$C$320,$A88-WEEKDAY($A88,2)+1)</f>
        <v/>
      </c>
      <c r="D88" s="159">
        <f>SUMIFS('METAS EMPRESAS'!$K$15:$K$320,'METAS EMPRESAS'!$A$15:$A$320,"EJ",'METAS EMPRESAS'!$B$15:$B$320,"VIGAS",'METAS EMPRESAS'!$C$15:$C$320,$A88-WEEKDAY($A88,2)+1)</f>
        <v/>
      </c>
      <c r="E88" s="159">
        <f>SUMIFS('METAS EMPRESAS'!$K$15:$K$320,'METAS EMPRESAS'!$A$15:$A$320,"CMM",'METAS EMPRESAS'!$B$15:$B$320,"PREMONTAGEM",'METAS EMPRESAS'!$C$15:$C$320,$A88-WEEKDAY($A88,2)+1)</f>
        <v/>
      </c>
      <c r="F88" s="159">
        <f>SUMIFS('METAS EMPRESAS'!$K$15:$K$320,'METAS EMPRESAS'!$A$15:$A$320,"CMM",'METAS EMPRESAS'!$B$15:$B$320,"IÇAMENTO JOIST",'METAS EMPRESAS'!$C$15:$C$320,$A88-WEEKDAY($A88,2)+1)</f>
        <v/>
      </c>
      <c r="G88" s="159">
        <f>SUMIFS('METAS EMPRESAS'!$K$15:$K$320,'METAS EMPRESAS'!$A$15:$A$320,"CMM",'METAS EMPRESAS'!$B$15:$B$320,"VIGAS",'METAS EMPRESAS'!$C$15:$C$320,$A88-WEEKDAY($A88,2)+1)</f>
        <v/>
      </c>
      <c r="H88" s="159">
        <f>SUMIFS('METAS EMPRESAS'!$G$15:$G$320,'METAS EMPRESAS'!$A$15:$A$320,"EJ",'METAS EMPRESAS'!$B$15:$B$320,"PREMONTAGEM",'METAS EMPRESAS'!$C$15:$C$320,$A88-WEEKDAY($A88,2)+1)</f>
        <v/>
      </c>
      <c r="I88" s="159">
        <f>SUMIFS('METAS EMPRESAS'!$G$15:$G$320,'METAS EMPRESAS'!$A$15:$A$320,"EJ",'METAS EMPRESAS'!$B$15:$B$320,"IÇAMENTO JOIST",'METAS EMPRESAS'!$C$15:$C$320,$A88-WEEKDAY($A88,2)+1)</f>
        <v/>
      </c>
      <c r="J88" s="159">
        <f>SUMIFS('METAS EMPRESAS'!$G$15:$G$320,'METAS EMPRESAS'!$A$15:$A$320,"EJ",'METAS EMPRESAS'!$B$15:$B$320,"VIGAS",'METAS EMPRESAS'!$C$15:$C$320,$A88-WEEKDAY($A88,2)+1)</f>
        <v/>
      </c>
      <c r="K88" s="159">
        <f>SUMIFS('METAS EMPRESAS'!$G$15:$G$320,'METAS EMPRESAS'!$A$15:$A$320,"CMM",'METAS EMPRESAS'!$B$15:$B$320,"PREMONTAGEM",'METAS EMPRESAS'!$C$15:$C$320,$A88-WEEKDAY($A88,2)+1)</f>
        <v/>
      </c>
      <c r="L88" s="159">
        <f>SUMIFS('METAS EMPRESAS'!$G$15:$G$320,'METAS EMPRESAS'!$A$15:$A$320,"CMM",'METAS EMPRESAS'!$B$15:$B$320,"IÇAMENTO JOIST",'METAS EMPRESAS'!$C$15:$C$320,$A88-WEEKDAY($A88,2)+1)</f>
        <v/>
      </c>
      <c r="M88" s="159">
        <f>SUMIFS('METAS EMPRESAS'!$G$15:$G$320,'METAS EMPRESAS'!$A$15:$A$320,"CMM",'METAS EMPRESAS'!$B$15:$B$320,"VIGAS",'METAS EMPRESAS'!$C$15:$C$320,$A88-WEEKDAY($A88,2)+1)</f>
        <v/>
      </c>
      <c r="N88" s="159">
        <f>SUMIFS('METAS EMPRESAS'!$J$15:$J$320,'METAS EMPRESAS'!$A$15:$A$320,"EJ",'METAS EMPRESAS'!$B$15:$B$320,"PREMONTAGEM",'METAS EMPRESAS'!$C$15:$C$320,$A88-WEEKDAY($A88,2)+1)</f>
        <v/>
      </c>
      <c r="O88" s="159">
        <f>SUMIFS('METAS EMPRESAS'!$J$15:$J$320,'METAS EMPRESAS'!$A$15:$A$320,"EJ",'METAS EMPRESAS'!$B$15:$B$320,"IÇAMENTO JOIST",'METAS EMPRESAS'!$C$15:$C$320,$A88-WEEKDAY($A88,2)+1)</f>
        <v/>
      </c>
      <c r="P88" s="159">
        <f>SUMIFS('METAS EMPRESAS'!$J$15:$J$320,'METAS EMPRESAS'!$A$15:$A$320,"EJ",'METAS EMPRESAS'!$B$15:$B$320,"VIGAS",'METAS EMPRESAS'!$C$15:$C$320,$A88-WEEKDAY($A88,2)+1)</f>
        <v/>
      </c>
      <c r="Q88" s="159">
        <f>SUMIFS('METAS EMPRESAS'!$J$15:$J$320,'METAS EMPRESAS'!$A$15:$A$320,"CMM",'METAS EMPRESAS'!$B$15:$B$320,"PREMONTAGEM",'METAS EMPRESAS'!$C$15:$C$320,$A88-WEEKDAY($A88,2)+1)</f>
        <v/>
      </c>
      <c r="R88" s="159">
        <f>SUMIFS('METAS EMPRESAS'!$J$15:$J$320,'METAS EMPRESAS'!$A$15:$A$320,"CMM",'METAS EMPRESAS'!$B$15:$B$320,"IÇAMENTO JOIST",'METAS EMPRESAS'!$C$15:$C$320,$A88-WEEKDAY($A88,2)+1)</f>
        <v/>
      </c>
      <c r="S88" s="159">
        <f>SUMIFS('METAS EMPRESAS'!$J$15:$J$320,'METAS EMPRESAS'!$A$15:$A$320,"CMM",'METAS EMPRESAS'!$B$15:$B$320,"VIGAS",'METAS EMPRESAS'!$C$15:$C$320,$A88-WEEKDAY($A88,2)+1)</f>
        <v/>
      </c>
      <c r="T88">
        <f>--(WEEKDAY(A88,2)&lt;=5)</f>
        <v/>
      </c>
      <c r="U88" t="n">
        <v>19</v>
      </c>
      <c r="V88" t="n">
        <v>7</v>
      </c>
      <c r="W88" t="n">
        <v>0</v>
      </c>
      <c r="X88" t="n">
        <v>5</v>
      </c>
      <c r="Y88" t="n">
        <v>5</v>
      </c>
      <c r="Z88" t="n">
        <v>5</v>
      </c>
      <c r="AA88" t="n">
        <v>95</v>
      </c>
      <c r="AB88" t="n">
        <v>35</v>
      </c>
      <c r="AC88" t="n">
        <v>0</v>
      </c>
    </row>
    <row r="89">
      <c r="A89" s="317" t="n">
        <v>46310</v>
      </c>
      <c r="B89" s="159">
        <f>SUMIFS('METAS EMPRESAS'!$K$15:$K$320,'METAS EMPRESAS'!$A$15:$A$320,"EJ",'METAS EMPRESAS'!$B$15:$B$320,"PREMONTAGEM",'METAS EMPRESAS'!$C$15:$C$320,$A89-WEEKDAY($A89,2)+1)</f>
        <v/>
      </c>
      <c r="C89" s="159">
        <f>SUMIFS('METAS EMPRESAS'!$K$15:$K$320,'METAS EMPRESAS'!$A$15:$A$320,"EJ",'METAS EMPRESAS'!$B$15:$B$320,"IÇAMENTO JOIST",'METAS EMPRESAS'!$C$15:$C$320,$A89-WEEKDAY($A89,2)+1)</f>
        <v/>
      </c>
      <c r="D89" s="159">
        <f>SUMIFS('METAS EMPRESAS'!$K$15:$K$320,'METAS EMPRESAS'!$A$15:$A$320,"EJ",'METAS EMPRESAS'!$B$15:$B$320,"VIGAS",'METAS EMPRESAS'!$C$15:$C$320,$A89-WEEKDAY($A89,2)+1)</f>
        <v/>
      </c>
      <c r="E89" s="159">
        <f>SUMIFS('METAS EMPRESAS'!$K$15:$K$320,'METAS EMPRESAS'!$A$15:$A$320,"CMM",'METAS EMPRESAS'!$B$15:$B$320,"PREMONTAGEM",'METAS EMPRESAS'!$C$15:$C$320,$A89-WEEKDAY($A89,2)+1)</f>
        <v/>
      </c>
      <c r="F89" s="159">
        <f>SUMIFS('METAS EMPRESAS'!$K$15:$K$320,'METAS EMPRESAS'!$A$15:$A$320,"CMM",'METAS EMPRESAS'!$B$15:$B$320,"IÇAMENTO JOIST",'METAS EMPRESAS'!$C$15:$C$320,$A89-WEEKDAY($A89,2)+1)</f>
        <v/>
      </c>
      <c r="G89" s="159">
        <f>SUMIFS('METAS EMPRESAS'!$K$15:$K$320,'METAS EMPRESAS'!$A$15:$A$320,"CMM",'METAS EMPRESAS'!$B$15:$B$320,"VIGAS",'METAS EMPRESAS'!$C$15:$C$320,$A89-WEEKDAY($A89,2)+1)</f>
        <v/>
      </c>
      <c r="H89" s="159">
        <f>SUMIFS('METAS EMPRESAS'!$G$15:$G$320,'METAS EMPRESAS'!$A$15:$A$320,"EJ",'METAS EMPRESAS'!$B$15:$B$320,"PREMONTAGEM",'METAS EMPRESAS'!$C$15:$C$320,$A89-WEEKDAY($A89,2)+1)</f>
        <v/>
      </c>
      <c r="I89" s="159">
        <f>SUMIFS('METAS EMPRESAS'!$G$15:$G$320,'METAS EMPRESAS'!$A$15:$A$320,"EJ",'METAS EMPRESAS'!$B$15:$B$320,"IÇAMENTO JOIST",'METAS EMPRESAS'!$C$15:$C$320,$A89-WEEKDAY($A89,2)+1)</f>
        <v/>
      </c>
      <c r="J89" s="159">
        <f>SUMIFS('METAS EMPRESAS'!$G$15:$G$320,'METAS EMPRESAS'!$A$15:$A$320,"EJ",'METAS EMPRESAS'!$B$15:$B$320,"VIGAS",'METAS EMPRESAS'!$C$15:$C$320,$A89-WEEKDAY($A89,2)+1)</f>
        <v/>
      </c>
      <c r="K89" s="159">
        <f>SUMIFS('METAS EMPRESAS'!$G$15:$G$320,'METAS EMPRESAS'!$A$15:$A$320,"CMM",'METAS EMPRESAS'!$B$15:$B$320,"PREMONTAGEM",'METAS EMPRESAS'!$C$15:$C$320,$A89-WEEKDAY($A89,2)+1)</f>
        <v/>
      </c>
      <c r="L89" s="159">
        <f>SUMIFS('METAS EMPRESAS'!$G$15:$G$320,'METAS EMPRESAS'!$A$15:$A$320,"CMM",'METAS EMPRESAS'!$B$15:$B$320,"IÇAMENTO JOIST",'METAS EMPRESAS'!$C$15:$C$320,$A89-WEEKDAY($A89,2)+1)</f>
        <v/>
      </c>
      <c r="M89" s="159">
        <f>SUMIFS('METAS EMPRESAS'!$G$15:$G$320,'METAS EMPRESAS'!$A$15:$A$320,"CMM",'METAS EMPRESAS'!$B$15:$B$320,"VIGAS",'METAS EMPRESAS'!$C$15:$C$320,$A89-WEEKDAY($A89,2)+1)</f>
        <v/>
      </c>
      <c r="N89" s="159">
        <f>SUMIFS('METAS EMPRESAS'!$J$15:$J$320,'METAS EMPRESAS'!$A$15:$A$320,"EJ",'METAS EMPRESAS'!$B$15:$B$320,"PREMONTAGEM",'METAS EMPRESAS'!$C$15:$C$320,$A89-WEEKDAY($A89,2)+1)</f>
        <v/>
      </c>
      <c r="O89" s="159">
        <f>SUMIFS('METAS EMPRESAS'!$J$15:$J$320,'METAS EMPRESAS'!$A$15:$A$320,"EJ",'METAS EMPRESAS'!$B$15:$B$320,"IÇAMENTO JOIST",'METAS EMPRESAS'!$C$15:$C$320,$A89-WEEKDAY($A89,2)+1)</f>
        <v/>
      </c>
      <c r="P89" s="159">
        <f>SUMIFS('METAS EMPRESAS'!$J$15:$J$320,'METAS EMPRESAS'!$A$15:$A$320,"EJ",'METAS EMPRESAS'!$B$15:$B$320,"VIGAS",'METAS EMPRESAS'!$C$15:$C$320,$A89-WEEKDAY($A89,2)+1)</f>
        <v/>
      </c>
      <c r="Q89" s="159">
        <f>SUMIFS('METAS EMPRESAS'!$J$15:$J$320,'METAS EMPRESAS'!$A$15:$A$320,"CMM",'METAS EMPRESAS'!$B$15:$B$320,"PREMONTAGEM",'METAS EMPRESAS'!$C$15:$C$320,$A89-WEEKDAY($A89,2)+1)</f>
        <v/>
      </c>
      <c r="R89" s="159">
        <f>SUMIFS('METAS EMPRESAS'!$J$15:$J$320,'METAS EMPRESAS'!$A$15:$A$320,"CMM",'METAS EMPRESAS'!$B$15:$B$320,"IÇAMENTO JOIST",'METAS EMPRESAS'!$C$15:$C$320,$A89-WEEKDAY($A89,2)+1)</f>
        <v/>
      </c>
      <c r="S89" s="159">
        <f>SUMIFS('METAS EMPRESAS'!$J$15:$J$320,'METAS EMPRESAS'!$A$15:$A$320,"CMM",'METAS EMPRESAS'!$B$15:$B$320,"VIGAS",'METAS EMPRESAS'!$C$15:$C$320,$A89-WEEKDAY($A89,2)+1)</f>
        <v/>
      </c>
      <c r="T89">
        <f>--(WEEKDAY(A89,2)&lt;=5)</f>
        <v/>
      </c>
      <c r="U89" t="n">
        <v>19</v>
      </c>
      <c r="V89" t="n">
        <v>7</v>
      </c>
      <c r="W89" t="n">
        <v>0</v>
      </c>
      <c r="X89" t="n">
        <v>5</v>
      </c>
      <c r="Y89" t="n">
        <v>5</v>
      </c>
      <c r="Z89" t="n">
        <v>5</v>
      </c>
      <c r="AA89" t="n">
        <v>95</v>
      </c>
      <c r="AB89" t="n">
        <v>35</v>
      </c>
      <c r="AC89" t="n">
        <v>0</v>
      </c>
    </row>
    <row r="90">
      <c r="A90" s="317" t="n">
        <v>46311</v>
      </c>
      <c r="B90" s="159">
        <f>SUMIFS('METAS EMPRESAS'!$K$15:$K$320,'METAS EMPRESAS'!$A$15:$A$320,"EJ",'METAS EMPRESAS'!$B$15:$B$320,"PREMONTAGEM",'METAS EMPRESAS'!$C$15:$C$320,$A90-WEEKDAY($A90,2)+1)</f>
        <v/>
      </c>
      <c r="C90" s="159">
        <f>SUMIFS('METAS EMPRESAS'!$K$15:$K$320,'METAS EMPRESAS'!$A$15:$A$320,"EJ",'METAS EMPRESAS'!$B$15:$B$320,"IÇAMENTO JOIST",'METAS EMPRESAS'!$C$15:$C$320,$A90-WEEKDAY($A90,2)+1)</f>
        <v/>
      </c>
      <c r="D90" s="159">
        <f>SUMIFS('METAS EMPRESAS'!$K$15:$K$320,'METAS EMPRESAS'!$A$15:$A$320,"EJ",'METAS EMPRESAS'!$B$15:$B$320,"VIGAS",'METAS EMPRESAS'!$C$15:$C$320,$A90-WEEKDAY($A90,2)+1)</f>
        <v/>
      </c>
      <c r="E90" s="159">
        <f>SUMIFS('METAS EMPRESAS'!$K$15:$K$320,'METAS EMPRESAS'!$A$15:$A$320,"CMM",'METAS EMPRESAS'!$B$15:$B$320,"PREMONTAGEM",'METAS EMPRESAS'!$C$15:$C$320,$A90-WEEKDAY($A90,2)+1)</f>
        <v/>
      </c>
      <c r="F90" s="159">
        <f>SUMIFS('METAS EMPRESAS'!$K$15:$K$320,'METAS EMPRESAS'!$A$15:$A$320,"CMM",'METAS EMPRESAS'!$B$15:$B$320,"IÇAMENTO JOIST",'METAS EMPRESAS'!$C$15:$C$320,$A90-WEEKDAY($A90,2)+1)</f>
        <v/>
      </c>
      <c r="G90" s="159">
        <f>SUMIFS('METAS EMPRESAS'!$K$15:$K$320,'METAS EMPRESAS'!$A$15:$A$320,"CMM",'METAS EMPRESAS'!$B$15:$B$320,"VIGAS",'METAS EMPRESAS'!$C$15:$C$320,$A90-WEEKDAY($A90,2)+1)</f>
        <v/>
      </c>
      <c r="H90" s="159">
        <f>SUMIFS('METAS EMPRESAS'!$G$15:$G$320,'METAS EMPRESAS'!$A$15:$A$320,"EJ",'METAS EMPRESAS'!$B$15:$B$320,"PREMONTAGEM",'METAS EMPRESAS'!$C$15:$C$320,$A90-WEEKDAY($A90,2)+1)</f>
        <v/>
      </c>
      <c r="I90" s="159">
        <f>SUMIFS('METAS EMPRESAS'!$G$15:$G$320,'METAS EMPRESAS'!$A$15:$A$320,"EJ",'METAS EMPRESAS'!$B$15:$B$320,"IÇAMENTO JOIST",'METAS EMPRESAS'!$C$15:$C$320,$A90-WEEKDAY($A90,2)+1)</f>
        <v/>
      </c>
      <c r="J90" s="159">
        <f>SUMIFS('METAS EMPRESAS'!$G$15:$G$320,'METAS EMPRESAS'!$A$15:$A$320,"EJ",'METAS EMPRESAS'!$B$15:$B$320,"VIGAS",'METAS EMPRESAS'!$C$15:$C$320,$A90-WEEKDAY($A90,2)+1)</f>
        <v/>
      </c>
      <c r="K90" s="159">
        <f>SUMIFS('METAS EMPRESAS'!$G$15:$G$320,'METAS EMPRESAS'!$A$15:$A$320,"CMM",'METAS EMPRESAS'!$B$15:$B$320,"PREMONTAGEM",'METAS EMPRESAS'!$C$15:$C$320,$A90-WEEKDAY($A90,2)+1)</f>
        <v/>
      </c>
      <c r="L90" s="159">
        <f>SUMIFS('METAS EMPRESAS'!$G$15:$G$320,'METAS EMPRESAS'!$A$15:$A$320,"CMM",'METAS EMPRESAS'!$B$15:$B$320,"IÇAMENTO JOIST",'METAS EMPRESAS'!$C$15:$C$320,$A90-WEEKDAY($A90,2)+1)</f>
        <v/>
      </c>
      <c r="M90" s="159">
        <f>SUMIFS('METAS EMPRESAS'!$G$15:$G$320,'METAS EMPRESAS'!$A$15:$A$320,"CMM",'METAS EMPRESAS'!$B$15:$B$320,"VIGAS",'METAS EMPRESAS'!$C$15:$C$320,$A90-WEEKDAY($A90,2)+1)</f>
        <v/>
      </c>
      <c r="N90" s="159">
        <f>SUMIFS('METAS EMPRESAS'!$J$15:$J$320,'METAS EMPRESAS'!$A$15:$A$320,"EJ",'METAS EMPRESAS'!$B$15:$B$320,"PREMONTAGEM",'METAS EMPRESAS'!$C$15:$C$320,$A90-WEEKDAY($A90,2)+1)</f>
        <v/>
      </c>
      <c r="O90" s="159">
        <f>SUMIFS('METAS EMPRESAS'!$J$15:$J$320,'METAS EMPRESAS'!$A$15:$A$320,"EJ",'METAS EMPRESAS'!$B$15:$B$320,"IÇAMENTO JOIST",'METAS EMPRESAS'!$C$15:$C$320,$A90-WEEKDAY($A90,2)+1)</f>
        <v/>
      </c>
      <c r="P90" s="159">
        <f>SUMIFS('METAS EMPRESAS'!$J$15:$J$320,'METAS EMPRESAS'!$A$15:$A$320,"EJ",'METAS EMPRESAS'!$B$15:$B$320,"VIGAS",'METAS EMPRESAS'!$C$15:$C$320,$A90-WEEKDAY($A90,2)+1)</f>
        <v/>
      </c>
      <c r="Q90" s="159">
        <f>SUMIFS('METAS EMPRESAS'!$J$15:$J$320,'METAS EMPRESAS'!$A$15:$A$320,"CMM",'METAS EMPRESAS'!$B$15:$B$320,"PREMONTAGEM",'METAS EMPRESAS'!$C$15:$C$320,$A90-WEEKDAY($A90,2)+1)</f>
        <v/>
      </c>
      <c r="R90" s="159">
        <f>SUMIFS('METAS EMPRESAS'!$J$15:$J$320,'METAS EMPRESAS'!$A$15:$A$320,"CMM",'METAS EMPRESAS'!$B$15:$B$320,"IÇAMENTO JOIST",'METAS EMPRESAS'!$C$15:$C$320,$A90-WEEKDAY($A90,2)+1)</f>
        <v/>
      </c>
      <c r="S90" s="159">
        <f>SUMIFS('METAS EMPRESAS'!$J$15:$J$320,'METAS EMPRESAS'!$A$15:$A$320,"CMM",'METAS EMPRESAS'!$B$15:$B$320,"VIGAS",'METAS EMPRESAS'!$C$15:$C$320,$A90-WEEKDAY($A90,2)+1)</f>
        <v/>
      </c>
      <c r="T90">
        <f>--(WEEKDAY(A90,2)&lt;=5)</f>
        <v/>
      </c>
      <c r="U90" t="n">
        <v>19</v>
      </c>
      <c r="V90" t="n">
        <v>7</v>
      </c>
      <c r="W90" t="n">
        <v>0</v>
      </c>
      <c r="X90" t="n">
        <v>5</v>
      </c>
      <c r="Y90" t="n">
        <v>5</v>
      </c>
      <c r="Z90" t="n">
        <v>5</v>
      </c>
      <c r="AA90" t="n">
        <v>95</v>
      </c>
      <c r="AB90" t="n">
        <v>35</v>
      </c>
      <c r="AC90" t="n">
        <v>0</v>
      </c>
    </row>
    <row r="91">
      <c r="A91" s="317" t="n">
        <v>46312</v>
      </c>
      <c r="B91" s="159">
        <f>SUMIFS('METAS EMPRESAS'!$K$15:$K$320,'METAS EMPRESAS'!$A$15:$A$320,"EJ",'METAS EMPRESAS'!$B$15:$B$320,"PREMONTAGEM",'METAS EMPRESAS'!$C$15:$C$320,$A91-WEEKDAY($A91,2)+1)</f>
        <v/>
      </c>
      <c r="C91" s="159">
        <f>SUMIFS('METAS EMPRESAS'!$K$15:$K$320,'METAS EMPRESAS'!$A$15:$A$320,"EJ",'METAS EMPRESAS'!$B$15:$B$320,"IÇAMENTO JOIST",'METAS EMPRESAS'!$C$15:$C$320,$A91-WEEKDAY($A91,2)+1)</f>
        <v/>
      </c>
      <c r="D91" s="159">
        <f>SUMIFS('METAS EMPRESAS'!$K$15:$K$320,'METAS EMPRESAS'!$A$15:$A$320,"EJ",'METAS EMPRESAS'!$B$15:$B$320,"VIGAS",'METAS EMPRESAS'!$C$15:$C$320,$A91-WEEKDAY($A91,2)+1)</f>
        <v/>
      </c>
      <c r="E91" s="159">
        <f>SUMIFS('METAS EMPRESAS'!$K$15:$K$320,'METAS EMPRESAS'!$A$15:$A$320,"CMM",'METAS EMPRESAS'!$B$15:$B$320,"PREMONTAGEM",'METAS EMPRESAS'!$C$15:$C$320,$A91-WEEKDAY($A91,2)+1)</f>
        <v/>
      </c>
      <c r="F91" s="159">
        <f>SUMIFS('METAS EMPRESAS'!$K$15:$K$320,'METAS EMPRESAS'!$A$15:$A$320,"CMM",'METAS EMPRESAS'!$B$15:$B$320,"IÇAMENTO JOIST",'METAS EMPRESAS'!$C$15:$C$320,$A91-WEEKDAY($A91,2)+1)</f>
        <v/>
      </c>
      <c r="G91" s="159">
        <f>SUMIFS('METAS EMPRESAS'!$K$15:$K$320,'METAS EMPRESAS'!$A$15:$A$320,"CMM",'METAS EMPRESAS'!$B$15:$B$320,"VIGAS",'METAS EMPRESAS'!$C$15:$C$320,$A91-WEEKDAY($A91,2)+1)</f>
        <v/>
      </c>
      <c r="H91" s="159">
        <f>SUMIFS('METAS EMPRESAS'!$G$15:$G$320,'METAS EMPRESAS'!$A$15:$A$320,"EJ",'METAS EMPRESAS'!$B$15:$B$320,"PREMONTAGEM",'METAS EMPRESAS'!$C$15:$C$320,$A91-WEEKDAY($A91,2)+1)</f>
        <v/>
      </c>
      <c r="I91" s="159">
        <f>SUMIFS('METAS EMPRESAS'!$G$15:$G$320,'METAS EMPRESAS'!$A$15:$A$320,"EJ",'METAS EMPRESAS'!$B$15:$B$320,"IÇAMENTO JOIST",'METAS EMPRESAS'!$C$15:$C$320,$A91-WEEKDAY($A91,2)+1)</f>
        <v/>
      </c>
      <c r="J91" s="159">
        <f>SUMIFS('METAS EMPRESAS'!$G$15:$G$320,'METAS EMPRESAS'!$A$15:$A$320,"EJ",'METAS EMPRESAS'!$B$15:$B$320,"VIGAS",'METAS EMPRESAS'!$C$15:$C$320,$A91-WEEKDAY($A91,2)+1)</f>
        <v/>
      </c>
      <c r="K91" s="159">
        <f>SUMIFS('METAS EMPRESAS'!$G$15:$G$320,'METAS EMPRESAS'!$A$15:$A$320,"CMM",'METAS EMPRESAS'!$B$15:$B$320,"PREMONTAGEM",'METAS EMPRESAS'!$C$15:$C$320,$A91-WEEKDAY($A91,2)+1)</f>
        <v/>
      </c>
      <c r="L91" s="159">
        <f>SUMIFS('METAS EMPRESAS'!$G$15:$G$320,'METAS EMPRESAS'!$A$15:$A$320,"CMM",'METAS EMPRESAS'!$B$15:$B$320,"IÇAMENTO JOIST",'METAS EMPRESAS'!$C$15:$C$320,$A91-WEEKDAY($A91,2)+1)</f>
        <v/>
      </c>
      <c r="M91" s="159">
        <f>SUMIFS('METAS EMPRESAS'!$G$15:$G$320,'METAS EMPRESAS'!$A$15:$A$320,"CMM",'METAS EMPRESAS'!$B$15:$B$320,"VIGAS",'METAS EMPRESAS'!$C$15:$C$320,$A91-WEEKDAY($A91,2)+1)</f>
        <v/>
      </c>
      <c r="N91" s="159">
        <f>SUMIFS('METAS EMPRESAS'!$J$15:$J$320,'METAS EMPRESAS'!$A$15:$A$320,"EJ",'METAS EMPRESAS'!$B$15:$B$320,"PREMONTAGEM",'METAS EMPRESAS'!$C$15:$C$320,$A91-WEEKDAY($A91,2)+1)</f>
        <v/>
      </c>
      <c r="O91" s="159">
        <f>SUMIFS('METAS EMPRESAS'!$J$15:$J$320,'METAS EMPRESAS'!$A$15:$A$320,"EJ",'METAS EMPRESAS'!$B$15:$B$320,"IÇAMENTO JOIST",'METAS EMPRESAS'!$C$15:$C$320,$A91-WEEKDAY($A91,2)+1)</f>
        <v/>
      </c>
      <c r="P91" s="159">
        <f>SUMIFS('METAS EMPRESAS'!$J$15:$J$320,'METAS EMPRESAS'!$A$15:$A$320,"EJ",'METAS EMPRESAS'!$B$15:$B$320,"VIGAS",'METAS EMPRESAS'!$C$15:$C$320,$A91-WEEKDAY($A91,2)+1)</f>
        <v/>
      </c>
      <c r="Q91" s="159">
        <f>SUMIFS('METAS EMPRESAS'!$J$15:$J$320,'METAS EMPRESAS'!$A$15:$A$320,"CMM",'METAS EMPRESAS'!$B$15:$B$320,"PREMONTAGEM",'METAS EMPRESAS'!$C$15:$C$320,$A91-WEEKDAY($A91,2)+1)</f>
        <v/>
      </c>
      <c r="R91" s="159">
        <f>SUMIFS('METAS EMPRESAS'!$J$15:$J$320,'METAS EMPRESAS'!$A$15:$A$320,"CMM",'METAS EMPRESAS'!$B$15:$B$320,"IÇAMENTO JOIST",'METAS EMPRESAS'!$C$15:$C$320,$A91-WEEKDAY($A91,2)+1)</f>
        <v/>
      </c>
      <c r="S91" s="159">
        <f>SUMIFS('METAS EMPRESAS'!$J$15:$J$320,'METAS EMPRESAS'!$A$15:$A$320,"CMM",'METAS EMPRESAS'!$B$15:$B$320,"VIGAS",'METAS EMPRESAS'!$C$15:$C$320,$A91-WEEKDAY($A91,2)+1)</f>
        <v/>
      </c>
      <c r="T91">
        <f>--(WEEKDAY(A91,2)&lt;=5)</f>
        <v/>
      </c>
      <c r="U91" t="n">
        <v>19</v>
      </c>
      <c r="V91" t="n">
        <v>7</v>
      </c>
      <c r="W91" t="n">
        <v>0</v>
      </c>
      <c r="X91" t="n">
        <v>5</v>
      </c>
      <c r="Y91" t="n">
        <v>5</v>
      </c>
      <c r="Z91" t="n">
        <v>5</v>
      </c>
      <c r="AA91" t="n">
        <v>95</v>
      </c>
      <c r="AB91" t="n">
        <v>35</v>
      </c>
      <c r="AC91" t="n">
        <v>0</v>
      </c>
    </row>
    <row r="92">
      <c r="A92" s="317" t="n">
        <v>46313</v>
      </c>
      <c r="B92" s="159">
        <f>SUMIFS('METAS EMPRESAS'!$K$15:$K$320,'METAS EMPRESAS'!$A$15:$A$320,"EJ",'METAS EMPRESAS'!$B$15:$B$320,"PREMONTAGEM",'METAS EMPRESAS'!$C$15:$C$320,$A92-WEEKDAY($A92,2)+1)</f>
        <v/>
      </c>
      <c r="C92" s="159">
        <f>SUMIFS('METAS EMPRESAS'!$K$15:$K$320,'METAS EMPRESAS'!$A$15:$A$320,"EJ",'METAS EMPRESAS'!$B$15:$B$320,"IÇAMENTO JOIST",'METAS EMPRESAS'!$C$15:$C$320,$A92-WEEKDAY($A92,2)+1)</f>
        <v/>
      </c>
      <c r="D92" s="159">
        <f>SUMIFS('METAS EMPRESAS'!$K$15:$K$320,'METAS EMPRESAS'!$A$15:$A$320,"EJ",'METAS EMPRESAS'!$B$15:$B$320,"VIGAS",'METAS EMPRESAS'!$C$15:$C$320,$A92-WEEKDAY($A92,2)+1)</f>
        <v/>
      </c>
      <c r="E92" s="159">
        <f>SUMIFS('METAS EMPRESAS'!$K$15:$K$320,'METAS EMPRESAS'!$A$15:$A$320,"CMM",'METAS EMPRESAS'!$B$15:$B$320,"PREMONTAGEM",'METAS EMPRESAS'!$C$15:$C$320,$A92-WEEKDAY($A92,2)+1)</f>
        <v/>
      </c>
      <c r="F92" s="159">
        <f>SUMIFS('METAS EMPRESAS'!$K$15:$K$320,'METAS EMPRESAS'!$A$15:$A$320,"CMM",'METAS EMPRESAS'!$B$15:$B$320,"IÇAMENTO JOIST",'METAS EMPRESAS'!$C$15:$C$320,$A92-WEEKDAY($A92,2)+1)</f>
        <v/>
      </c>
      <c r="G92" s="159">
        <f>SUMIFS('METAS EMPRESAS'!$K$15:$K$320,'METAS EMPRESAS'!$A$15:$A$320,"CMM",'METAS EMPRESAS'!$B$15:$B$320,"VIGAS",'METAS EMPRESAS'!$C$15:$C$320,$A92-WEEKDAY($A92,2)+1)</f>
        <v/>
      </c>
      <c r="H92" s="159">
        <f>SUMIFS('METAS EMPRESAS'!$G$15:$G$320,'METAS EMPRESAS'!$A$15:$A$320,"EJ",'METAS EMPRESAS'!$B$15:$B$320,"PREMONTAGEM",'METAS EMPRESAS'!$C$15:$C$320,$A92-WEEKDAY($A92,2)+1)</f>
        <v/>
      </c>
      <c r="I92" s="159">
        <f>SUMIFS('METAS EMPRESAS'!$G$15:$G$320,'METAS EMPRESAS'!$A$15:$A$320,"EJ",'METAS EMPRESAS'!$B$15:$B$320,"IÇAMENTO JOIST",'METAS EMPRESAS'!$C$15:$C$320,$A92-WEEKDAY($A92,2)+1)</f>
        <v/>
      </c>
      <c r="J92" s="159">
        <f>SUMIFS('METAS EMPRESAS'!$G$15:$G$320,'METAS EMPRESAS'!$A$15:$A$320,"EJ",'METAS EMPRESAS'!$B$15:$B$320,"VIGAS",'METAS EMPRESAS'!$C$15:$C$320,$A92-WEEKDAY($A92,2)+1)</f>
        <v/>
      </c>
      <c r="K92" s="159">
        <f>SUMIFS('METAS EMPRESAS'!$G$15:$G$320,'METAS EMPRESAS'!$A$15:$A$320,"CMM",'METAS EMPRESAS'!$B$15:$B$320,"PREMONTAGEM",'METAS EMPRESAS'!$C$15:$C$320,$A92-WEEKDAY($A92,2)+1)</f>
        <v/>
      </c>
      <c r="L92" s="159">
        <f>SUMIFS('METAS EMPRESAS'!$G$15:$G$320,'METAS EMPRESAS'!$A$15:$A$320,"CMM",'METAS EMPRESAS'!$B$15:$B$320,"IÇAMENTO JOIST",'METAS EMPRESAS'!$C$15:$C$320,$A92-WEEKDAY($A92,2)+1)</f>
        <v/>
      </c>
      <c r="M92" s="159">
        <f>SUMIFS('METAS EMPRESAS'!$G$15:$G$320,'METAS EMPRESAS'!$A$15:$A$320,"CMM",'METAS EMPRESAS'!$B$15:$B$320,"VIGAS",'METAS EMPRESAS'!$C$15:$C$320,$A92-WEEKDAY($A92,2)+1)</f>
        <v/>
      </c>
      <c r="N92" s="159">
        <f>SUMIFS('METAS EMPRESAS'!$J$15:$J$320,'METAS EMPRESAS'!$A$15:$A$320,"EJ",'METAS EMPRESAS'!$B$15:$B$320,"PREMONTAGEM",'METAS EMPRESAS'!$C$15:$C$320,$A92-WEEKDAY($A92,2)+1)</f>
        <v/>
      </c>
      <c r="O92" s="159">
        <f>SUMIFS('METAS EMPRESAS'!$J$15:$J$320,'METAS EMPRESAS'!$A$15:$A$320,"EJ",'METAS EMPRESAS'!$B$15:$B$320,"IÇAMENTO JOIST",'METAS EMPRESAS'!$C$15:$C$320,$A92-WEEKDAY($A92,2)+1)</f>
        <v/>
      </c>
      <c r="P92" s="159">
        <f>SUMIFS('METAS EMPRESAS'!$J$15:$J$320,'METAS EMPRESAS'!$A$15:$A$320,"EJ",'METAS EMPRESAS'!$B$15:$B$320,"VIGAS",'METAS EMPRESAS'!$C$15:$C$320,$A92-WEEKDAY($A92,2)+1)</f>
        <v/>
      </c>
      <c r="Q92" s="159">
        <f>SUMIFS('METAS EMPRESAS'!$J$15:$J$320,'METAS EMPRESAS'!$A$15:$A$320,"CMM",'METAS EMPRESAS'!$B$15:$B$320,"PREMONTAGEM",'METAS EMPRESAS'!$C$15:$C$320,$A92-WEEKDAY($A92,2)+1)</f>
        <v/>
      </c>
      <c r="R92" s="159">
        <f>SUMIFS('METAS EMPRESAS'!$J$15:$J$320,'METAS EMPRESAS'!$A$15:$A$320,"CMM",'METAS EMPRESAS'!$B$15:$B$320,"IÇAMENTO JOIST",'METAS EMPRESAS'!$C$15:$C$320,$A92-WEEKDAY($A92,2)+1)</f>
        <v/>
      </c>
      <c r="S92" s="159">
        <f>SUMIFS('METAS EMPRESAS'!$J$15:$J$320,'METAS EMPRESAS'!$A$15:$A$320,"CMM",'METAS EMPRESAS'!$B$15:$B$320,"VIGAS",'METAS EMPRESAS'!$C$15:$C$320,$A92-WEEKDAY($A92,2)+1)</f>
        <v/>
      </c>
      <c r="T92">
        <f>--(WEEKDAY(A92,2)&lt;=5)</f>
        <v/>
      </c>
      <c r="U92" t="n">
        <v>19</v>
      </c>
      <c r="V92" t="n">
        <v>7</v>
      </c>
      <c r="W92" t="n">
        <v>0</v>
      </c>
      <c r="X92" t="n">
        <v>5</v>
      </c>
      <c r="Y92" t="n">
        <v>5</v>
      </c>
      <c r="Z92" t="n">
        <v>5</v>
      </c>
      <c r="AA92" t="n">
        <v>95</v>
      </c>
      <c r="AB92" t="n">
        <v>35</v>
      </c>
      <c r="AC92" t="n">
        <v>0</v>
      </c>
    </row>
    <row r="93">
      <c r="A93" s="317" t="n">
        <v>46314</v>
      </c>
      <c r="B93" s="159">
        <f>SUMIFS('METAS EMPRESAS'!$K$15:$K$320,'METAS EMPRESAS'!$A$15:$A$320,"EJ",'METAS EMPRESAS'!$B$15:$B$320,"PREMONTAGEM",'METAS EMPRESAS'!$C$15:$C$320,$A93-WEEKDAY($A93,2)+1)</f>
        <v/>
      </c>
      <c r="C93" s="159">
        <f>SUMIFS('METAS EMPRESAS'!$K$15:$K$320,'METAS EMPRESAS'!$A$15:$A$320,"EJ",'METAS EMPRESAS'!$B$15:$B$320,"IÇAMENTO JOIST",'METAS EMPRESAS'!$C$15:$C$320,$A93-WEEKDAY($A93,2)+1)</f>
        <v/>
      </c>
      <c r="D93" s="159">
        <f>SUMIFS('METAS EMPRESAS'!$K$15:$K$320,'METAS EMPRESAS'!$A$15:$A$320,"EJ",'METAS EMPRESAS'!$B$15:$B$320,"VIGAS",'METAS EMPRESAS'!$C$15:$C$320,$A93-WEEKDAY($A93,2)+1)</f>
        <v/>
      </c>
      <c r="E93" s="159">
        <f>SUMIFS('METAS EMPRESAS'!$K$15:$K$320,'METAS EMPRESAS'!$A$15:$A$320,"CMM",'METAS EMPRESAS'!$B$15:$B$320,"PREMONTAGEM",'METAS EMPRESAS'!$C$15:$C$320,$A93-WEEKDAY($A93,2)+1)</f>
        <v/>
      </c>
      <c r="F93" s="159">
        <f>SUMIFS('METAS EMPRESAS'!$K$15:$K$320,'METAS EMPRESAS'!$A$15:$A$320,"CMM",'METAS EMPRESAS'!$B$15:$B$320,"IÇAMENTO JOIST",'METAS EMPRESAS'!$C$15:$C$320,$A93-WEEKDAY($A93,2)+1)</f>
        <v/>
      </c>
      <c r="G93" s="159">
        <f>SUMIFS('METAS EMPRESAS'!$K$15:$K$320,'METAS EMPRESAS'!$A$15:$A$320,"CMM",'METAS EMPRESAS'!$B$15:$B$320,"VIGAS",'METAS EMPRESAS'!$C$15:$C$320,$A93-WEEKDAY($A93,2)+1)</f>
        <v/>
      </c>
      <c r="H93" s="159">
        <f>SUMIFS('METAS EMPRESAS'!$G$15:$G$320,'METAS EMPRESAS'!$A$15:$A$320,"EJ",'METAS EMPRESAS'!$B$15:$B$320,"PREMONTAGEM",'METAS EMPRESAS'!$C$15:$C$320,$A93-WEEKDAY($A93,2)+1)</f>
        <v/>
      </c>
      <c r="I93" s="159">
        <f>SUMIFS('METAS EMPRESAS'!$G$15:$G$320,'METAS EMPRESAS'!$A$15:$A$320,"EJ",'METAS EMPRESAS'!$B$15:$B$320,"IÇAMENTO JOIST",'METAS EMPRESAS'!$C$15:$C$320,$A93-WEEKDAY($A93,2)+1)</f>
        <v/>
      </c>
      <c r="J93" s="159">
        <f>SUMIFS('METAS EMPRESAS'!$G$15:$G$320,'METAS EMPRESAS'!$A$15:$A$320,"EJ",'METAS EMPRESAS'!$B$15:$B$320,"VIGAS",'METAS EMPRESAS'!$C$15:$C$320,$A93-WEEKDAY($A93,2)+1)</f>
        <v/>
      </c>
      <c r="K93" s="159">
        <f>SUMIFS('METAS EMPRESAS'!$G$15:$G$320,'METAS EMPRESAS'!$A$15:$A$320,"CMM",'METAS EMPRESAS'!$B$15:$B$320,"PREMONTAGEM",'METAS EMPRESAS'!$C$15:$C$320,$A93-WEEKDAY($A93,2)+1)</f>
        <v/>
      </c>
      <c r="L93" s="159">
        <f>SUMIFS('METAS EMPRESAS'!$G$15:$G$320,'METAS EMPRESAS'!$A$15:$A$320,"CMM",'METAS EMPRESAS'!$B$15:$B$320,"IÇAMENTO JOIST",'METAS EMPRESAS'!$C$15:$C$320,$A93-WEEKDAY($A93,2)+1)</f>
        <v/>
      </c>
      <c r="M93" s="159">
        <f>SUMIFS('METAS EMPRESAS'!$G$15:$G$320,'METAS EMPRESAS'!$A$15:$A$320,"CMM",'METAS EMPRESAS'!$B$15:$B$320,"VIGAS",'METAS EMPRESAS'!$C$15:$C$320,$A93-WEEKDAY($A93,2)+1)</f>
        <v/>
      </c>
      <c r="N93" s="159">
        <f>SUMIFS('METAS EMPRESAS'!$J$15:$J$320,'METAS EMPRESAS'!$A$15:$A$320,"EJ",'METAS EMPRESAS'!$B$15:$B$320,"PREMONTAGEM",'METAS EMPRESAS'!$C$15:$C$320,$A93-WEEKDAY($A93,2)+1)</f>
        <v/>
      </c>
      <c r="O93" s="159">
        <f>SUMIFS('METAS EMPRESAS'!$J$15:$J$320,'METAS EMPRESAS'!$A$15:$A$320,"EJ",'METAS EMPRESAS'!$B$15:$B$320,"IÇAMENTO JOIST",'METAS EMPRESAS'!$C$15:$C$320,$A93-WEEKDAY($A93,2)+1)</f>
        <v/>
      </c>
      <c r="P93" s="159">
        <f>SUMIFS('METAS EMPRESAS'!$J$15:$J$320,'METAS EMPRESAS'!$A$15:$A$320,"EJ",'METAS EMPRESAS'!$B$15:$B$320,"VIGAS",'METAS EMPRESAS'!$C$15:$C$320,$A93-WEEKDAY($A93,2)+1)</f>
        <v/>
      </c>
      <c r="Q93" s="159">
        <f>SUMIFS('METAS EMPRESAS'!$J$15:$J$320,'METAS EMPRESAS'!$A$15:$A$320,"CMM",'METAS EMPRESAS'!$B$15:$B$320,"PREMONTAGEM",'METAS EMPRESAS'!$C$15:$C$320,$A93-WEEKDAY($A93,2)+1)</f>
        <v/>
      </c>
      <c r="R93" s="159">
        <f>SUMIFS('METAS EMPRESAS'!$J$15:$J$320,'METAS EMPRESAS'!$A$15:$A$320,"CMM",'METAS EMPRESAS'!$B$15:$B$320,"IÇAMENTO JOIST",'METAS EMPRESAS'!$C$15:$C$320,$A93-WEEKDAY($A93,2)+1)</f>
        <v/>
      </c>
      <c r="S93" s="159">
        <f>SUMIFS('METAS EMPRESAS'!$J$15:$J$320,'METAS EMPRESAS'!$A$15:$A$320,"CMM",'METAS EMPRESAS'!$B$15:$B$320,"VIGAS",'METAS EMPRESAS'!$C$15:$C$320,$A93-WEEKDAY($A93,2)+1)</f>
        <v/>
      </c>
      <c r="T93">
        <f>--(WEEKDAY(A93,2)&lt;=5)</f>
        <v/>
      </c>
      <c r="U93" t="n">
        <v>19</v>
      </c>
      <c r="V93" t="n">
        <v>7</v>
      </c>
      <c r="W93" t="n">
        <v>0</v>
      </c>
      <c r="X93" t="n">
        <v>5</v>
      </c>
      <c r="Y93" t="n">
        <v>5</v>
      </c>
      <c r="Z93" t="n">
        <v>5</v>
      </c>
      <c r="AA93" t="n">
        <v>95</v>
      </c>
      <c r="AB93" t="n">
        <v>35</v>
      </c>
      <c r="AC93" t="n">
        <v>0</v>
      </c>
    </row>
    <row r="94">
      <c r="A94" s="317" t="n">
        <v>46315</v>
      </c>
      <c r="B94" s="159">
        <f>SUMIFS('METAS EMPRESAS'!$K$15:$K$320,'METAS EMPRESAS'!$A$15:$A$320,"EJ",'METAS EMPRESAS'!$B$15:$B$320,"PREMONTAGEM",'METAS EMPRESAS'!$C$15:$C$320,$A94-WEEKDAY($A94,2)+1)</f>
        <v/>
      </c>
      <c r="C94" s="159">
        <f>SUMIFS('METAS EMPRESAS'!$K$15:$K$320,'METAS EMPRESAS'!$A$15:$A$320,"EJ",'METAS EMPRESAS'!$B$15:$B$320,"IÇAMENTO JOIST",'METAS EMPRESAS'!$C$15:$C$320,$A94-WEEKDAY($A94,2)+1)</f>
        <v/>
      </c>
      <c r="D94" s="159">
        <f>SUMIFS('METAS EMPRESAS'!$K$15:$K$320,'METAS EMPRESAS'!$A$15:$A$320,"EJ",'METAS EMPRESAS'!$B$15:$B$320,"VIGAS",'METAS EMPRESAS'!$C$15:$C$320,$A94-WEEKDAY($A94,2)+1)</f>
        <v/>
      </c>
      <c r="E94" s="159">
        <f>SUMIFS('METAS EMPRESAS'!$K$15:$K$320,'METAS EMPRESAS'!$A$15:$A$320,"CMM",'METAS EMPRESAS'!$B$15:$B$320,"PREMONTAGEM",'METAS EMPRESAS'!$C$15:$C$320,$A94-WEEKDAY($A94,2)+1)</f>
        <v/>
      </c>
      <c r="F94" s="159">
        <f>SUMIFS('METAS EMPRESAS'!$K$15:$K$320,'METAS EMPRESAS'!$A$15:$A$320,"CMM",'METAS EMPRESAS'!$B$15:$B$320,"IÇAMENTO JOIST",'METAS EMPRESAS'!$C$15:$C$320,$A94-WEEKDAY($A94,2)+1)</f>
        <v/>
      </c>
      <c r="G94" s="159">
        <f>SUMIFS('METAS EMPRESAS'!$K$15:$K$320,'METAS EMPRESAS'!$A$15:$A$320,"CMM",'METAS EMPRESAS'!$B$15:$B$320,"VIGAS",'METAS EMPRESAS'!$C$15:$C$320,$A94-WEEKDAY($A94,2)+1)</f>
        <v/>
      </c>
      <c r="H94" s="159">
        <f>SUMIFS('METAS EMPRESAS'!$G$15:$G$320,'METAS EMPRESAS'!$A$15:$A$320,"EJ",'METAS EMPRESAS'!$B$15:$B$320,"PREMONTAGEM",'METAS EMPRESAS'!$C$15:$C$320,$A94-WEEKDAY($A94,2)+1)</f>
        <v/>
      </c>
      <c r="I94" s="159">
        <f>SUMIFS('METAS EMPRESAS'!$G$15:$G$320,'METAS EMPRESAS'!$A$15:$A$320,"EJ",'METAS EMPRESAS'!$B$15:$B$320,"IÇAMENTO JOIST",'METAS EMPRESAS'!$C$15:$C$320,$A94-WEEKDAY($A94,2)+1)</f>
        <v/>
      </c>
      <c r="J94" s="159">
        <f>SUMIFS('METAS EMPRESAS'!$G$15:$G$320,'METAS EMPRESAS'!$A$15:$A$320,"EJ",'METAS EMPRESAS'!$B$15:$B$320,"VIGAS",'METAS EMPRESAS'!$C$15:$C$320,$A94-WEEKDAY($A94,2)+1)</f>
        <v/>
      </c>
      <c r="K94" s="159">
        <f>SUMIFS('METAS EMPRESAS'!$G$15:$G$320,'METAS EMPRESAS'!$A$15:$A$320,"CMM",'METAS EMPRESAS'!$B$15:$B$320,"PREMONTAGEM",'METAS EMPRESAS'!$C$15:$C$320,$A94-WEEKDAY($A94,2)+1)</f>
        <v/>
      </c>
      <c r="L94" s="159">
        <f>SUMIFS('METAS EMPRESAS'!$G$15:$G$320,'METAS EMPRESAS'!$A$15:$A$320,"CMM",'METAS EMPRESAS'!$B$15:$B$320,"IÇAMENTO JOIST",'METAS EMPRESAS'!$C$15:$C$320,$A94-WEEKDAY($A94,2)+1)</f>
        <v/>
      </c>
      <c r="M94" s="159">
        <f>SUMIFS('METAS EMPRESAS'!$G$15:$G$320,'METAS EMPRESAS'!$A$15:$A$320,"CMM",'METAS EMPRESAS'!$B$15:$B$320,"VIGAS",'METAS EMPRESAS'!$C$15:$C$320,$A94-WEEKDAY($A94,2)+1)</f>
        <v/>
      </c>
      <c r="N94" s="159">
        <f>SUMIFS('METAS EMPRESAS'!$J$15:$J$320,'METAS EMPRESAS'!$A$15:$A$320,"EJ",'METAS EMPRESAS'!$B$15:$B$320,"PREMONTAGEM",'METAS EMPRESAS'!$C$15:$C$320,$A94-WEEKDAY($A94,2)+1)</f>
        <v/>
      </c>
      <c r="O94" s="159">
        <f>SUMIFS('METAS EMPRESAS'!$J$15:$J$320,'METAS EMPRESAS'!$A$15:$A$320,"EJ",'METAS EMPRESAS'!$B$15:$B$320,"IÇAMENTO JOIST",'METAS EMPRESAS'!$C$15:$C$320,$A94-WEEKDAY($A94,2)+1)</f>
        <v/>
      </c>
      <c r="P94" s="159">
        <f>SUMIFS('METAS EMPRESAS'!$J$15:$J$320,'METAS EMPRESAS'!$A$15:$A$320,"EJ",'METAS EMPRESAS'!$B$15:$B$320,"VIGAS",'METAS EMPRESAS'!$C$15:$C$320,$A94-WEEKDAY($A94,2)+1)</f>
        <v/>
      </c>
      <c r="Q94" s="159">
        <f>SUMIFS('METAS EMPRESAS'!$J$15:$J$320,'METAS EMPRESAS'!$A$15:$A$320,"CMM",'METAS EMPRESAS'!$B$15:$B$320,"PREMONTAGEM",'METAS EMPRESAS'!$C$15:$C$320,$A94-WEEKDAY($A94,2)+1)</f>
        <v/>
      </c>
      <c r="R94" s="159">
        <f>SUMIFS('METAS EMPRESAS'!$J$15:$J$320,'METAS EMPRESAS'!$A$15:$A$320,"CMM",'METAS EMPRESAS'!$B$15:$B$320,"IÇAMENTO JOIST",'METAS EMPRESAS'!$C$15:$C$320,$A94-WEEKDAY($A94,2)+1)</f>
        <v/>
      </c>
      <c r="S94" s="159">
        <f>SUMIFS('METAS EMPRESAS'!$J$15:$J$320,'METAS EMPRESAS'!$A$15:$A$320,"CMM",'METAS EMPRESAS'!$B$15:$B$320,"VIGAS",'METAS EMPRESAS'!$C$15:$C$320,$A94-WEEKDAY($A94,2)+1)</f>
        <v/>
      </c>
      <c r="T94">
        <f>--(WEEKDAY(A94,2)&lt;=5)</f>
        <v/>
      </c>
      <c r="U94" t="n">
        <v>19</v>
      </c>
      <c r="V94" t="n">
        <v>7</v>
      </c>
      <c r="W94" t="n">
        <v>0</v>
      </c>
      <c r="X94" t="n">
        <v>5</v>
      </c>
      <c r="Y94" t="n">
        <v>5</v>
      </c>
      <c r="Z94" t="n">
        <v>5</v>
      </c>
      <c r="AA94" t="n">
        <v>95</v>
      </c>
      <c r="AB94" t="n">
        <v>35</v>
      </c>
      <c r="AC94" t="n">
        <v>0</v>
      </c>
    </row>
    <row r="95">
      <c r="A95" s="317" t="n">
        <v>46316</v>
      </c>
      <c r="B95" s="159">
        <f>SUMIFS('METAS EMPRESAS'!$K$15:$K$320,'METAS EMPRESAS'!$A$15:$A$320,"EJ",'METAS EMPRESAS'!$B$15:$B$320,"PREMONTAGEM",'METAS EMPRESAS'!$C$15:$C$320,$A95-WEEKDAY($A95,2)+1)</f>
        <v/>
      </c>
      <c r="C95" s="159">
        <f>SUMIFS('METAS EMPRESAS'!$K$15:$K$320,'METAS EMPRESAS'!$A$15:$A$320,"EJ",'METAS EMPRESAS'!$B$15:$B$320,"IÇAMENTO JOIST",'METAS EMPRESAS'!$C$15:$C$320,$A95-WEEKDAY($A95,2)+1)</f>
        <v/>
      </c>
      <c r="D95" s="159">
        <f>SUMIFS('METAS EMPRESAS'!$K$15:$K$320,'METAS EMPRESAS'!$A$15:$A$320,"EJ",'METAS EMPRESAS'!$B$15:$B$320,"VIGAS",'METAS EMPRESAS'!$C$15:$C$320,$A95-WEEKDAY($A95,2)+1)</f>
        <v/>
      </c>
      <c r="E95" s="159">
        <f>SUMIFS('METAS EMPRESAS'!$K$15:$K$320,'METAS EMPRESAS'!$A$15:$A$320,"CMM",'METAS EMPRESAS'!$B$15:$B$320,"PREMONTAGEM",'METAS EMPRESAS'!$C$15:$C$320,$A95-WEEKDAY($A95,2)+1)</f>
        <v/>
      </c>
      <c r="F95" s="159">
        <f>SUMIFS('METAS EMPRESAS'!$K$15:$K$320,'METAS EMPRESAS'!$A$15:$A$320,"CMM",'METAS EMPRESAS'!$B$15:$B$320,"IÇAMENTO JOIST",'METAS EMPRESAS'!$C$15:$C$320,$A95-WEEKDAY($A95,2)+1)</f>
        <v/>
      </c>
      <c r="G95" s="159">
        <f>SUMIFS('METAS EMPRESAS'!$K$15:$K$320,'METAS EMPRESAS'!$A$15:$A$320,"CMM",'METAS EMPRESAS'!$B$15:$B$320,"VIGAS",'METAS EMPRESAS'!$C$15:$C$320,$A95-WEEKDAY($A95,2)+1)</f>
        <v/>
      </c>
      <c r="H95" s="159">
        <f>SUMIFS('METAS EMPRESAS'!$G$15:$G$320,'METAS EMPRESAS'!$A$15:$A$320,"EJ",'METAS EMPRESAS'!$B$15:$B$320,"PREMONTAGEM",'METAS EMPRESAS'!$C$15:$C$320,$A95-WEEKDAY($A95,2)+1)</f>
        <v/>
      </c>
      <c r="I95" s="159">
        <f>SUMIFS('METAS EMPRESAS'!$G$15:$G$320,'METAS EMPRESAS'!$A$15:$A$320,"EJ",'METAS EMPRESAS'!$B$15:$B$320,"IÇAMENTO JOIST",'METAS EMPRESAS'!$C$15:$C$320,$A95-WEEKDAY($A95,2)+1)</f>
        <v/>
      </c>
      <c r="J95" s="159">
        <f>SUMIFS('METAS EMPRESAS'!$G$15:$G$320,'METAS EMPRESAS'!$A$15:$A$320,"EJ",'METAS EMPRESAS'!$B$15:$B$320,"VIGAS",'METAS EMPRESAS'!$C$15:$C$320,$A95-WEEKDAY($A95,2)+1)</f>
        <v/>
      </c>
      <c r="K95" s="159">
        <f>SUMIFS('METAS EMPRESAS'!$G$15:$G$320,'METAS EMPRESAS'!$A$15:$A$320,"CMM",'METAS EMPRESAS'!$B$15:$B$320,"PREMONTAGEM",'METAS EMPRESAS'!$C$15:$C$320,$A95-WEEKDAY($A95,2)+1)</f>
        <v/>
      </c>
      <c r="L95" s="159">
        <f>SUMIFS('METAS EMPRESAS'!$G$15:$G$320,'METAS EMPRESAS'!$A$15:$A$320,"CMM",'METAS EMPRESAS'!$B$15:$B$320,"IÇAMENTO JOIST",'METAS EMPRESAS'!$C$15:$C$320,$A95-WEEKDAY($A95,2)+1)</f>
        <v/>
      </c>
      <c r="M95" s="159">
        <f>SUMIFS('METAS EMPRESAS'!$G$15:$G$320,'METAS EMPRESAS'!$A$15:$A$320,"CMM",'METAS EMPRESAS'!$B$15:$B$320,"VIGAS",'METAS EMPRESAS'!$C$15:$C$320,$A95-WEEKDAY($A95,2)+1)</f>
        <v/>
      </c>
      <c r="N95" s="159">
        <f>SUMIFS('METAS EMPRESAS'!$J$15:$J$320,'METAS EMPRESAS'!$A$15:$A$320,"EJ",'METAS EMPRESAS'!$B$15:$B$320,"PREMONTAGEM",'METAS EMPRESAS'!$C$15:$C$320,$A95-WEEKDAY($A95,2)+1)</f>
        <v/>
      </c>
      <c r="O95" s="159">
        <f>SUMIFS('METAS EMPRESAS'!$J$15:$J$320,'METAS EMPRESAS'!$A$15:$A$320,"EJ",'METAS EMPRESAS'!$B$15:$B$320,"IÇAMENTO JOIST",'METAS EMPRESAS'!$C$15:$C$320,$A95-WEEKDAY($A95,2)+1)</f>
        <v/>
      </c>
      <c r="P95" s="159">
        <f>SUMIFS('METAS EMPRESAS'!$J$15:$J$320,'METAS EMPRESAS'!$A$15:$A$320,"EJ",'METAS EMPRESAS'!$B$15:$B$320,"VIGAS",'METAS EMPRESAS'!$C$15:$C$320,$A95-WEEKDAY($A95,2)+1)</f>
        <v/>
      </c>
      <c r="Q95" s="159">
        <f>SUMIFS('METAS EMPRESAS'!$J$15:$J$320,'METAS EMPRESAS'!$A$15:$A$320,"CMM",'METAS EMPRESAS'!$B$15:$B$320,"PREMONTAGEM",'METAS EMPRESAS'!$C$15:$C$320,$A95-WEEKDAY($A95,2)+1)</f>
        <v/>
      </c>
      <c r="R95" s="159">
        <f>SUMIFS('METAS EMPRESAS'!$J$15:$J$320,'METAS EMPRESAS'!$A$15:$A$320,"CMM",'METAS EMPRESAS'!$B$15:$B$320,"IÇAMENTO JOIST",'METAS EMPRESAS'!$C$15:$C$320,$A95-WEEKDAY($A95,2)+1)</f>
        <v/>
      </c>
      <c r="S95" s="159">
        <f>SUMIFS('METAS EMPRESAS'!$J$15:$J$320,'METAS EMPRESAS'!$A$15:$A$320,"CMM",'METAS EMPRESAS'!$B$15:$B$320,"VIGAS",'METAS EMPRESAS'!$C$15:$C$320,$A95-WEEKDAY($A95,2)+1)</f>
        <v/>
      </c>
      <c r="T95">
        <f>--(WEEKDAY(A95,2)&lt;=5)</f>
        <v/>
      </c>
      <c r="U95" t="n">
        <v>19</v>
      </c>
      <c r="V95" t="n">
        <v>7</v>
      </c>
      <c r="W95" t="n">
        <v>0</v>
      </c>
      <c r="X95" t="n">
        <v>5</v>
      </c>
      <c r="Y95" t="n">
        <v>5</v>
      </c>
      <c r="Z95" t="n">
        <v>5</v>
      </c>
      <c r="AA95" t="n">
        <v>95</v>
      </c>
      <c r="AB95" t="n">
        <v>35</v>
      </c>
      <c r="AC95" t="n">
        <v>0</v>
      </c>
    </row>
    <row r="96">
      <c r="A96" s="317" t="n">
        <v>46317</v>
      </c>
      <c r="B96" s="159">
        <f>SUMIFS('METAS EMPRESAS'!$K$15:$K$320,'METAS EMPRESAS'!$A$15:$A$320,"EJ",'METAS EMPRESAS'!$B$15:$B$320,"PREMONTAGEM",'METAS EMPRESAS'!$C$15:$C$320,$A96-WEEKDAY($A96,2)+1)</f>
        <v/>
      </c>
      <c r="C96" s="159">
        <f>SUMIFS('METAS EMPRESAS'!$K$15:$K$320,'METAS EMPRESAS'!$A$15:$A$320,"EJ",'METAS EMPRESAS'!$B$15:$B$320,"IÇAMENTO JOIST",'METAS EMPRESAS'!$C$15:$C$320,$A96-WEEKDAY($A96,2)+1)</f>
        <v/>
      </c>
      <c r="D96" s="159">
        <f>SUMIFS('METAS EMPRESAS'!$K$15:$K$320,'METAS EMPRESAS'!$A$15:$A$320,"EJ",'METAS EMPRESAS'!$B$15:$B$320,"VIGAS",'METAS EMPRESAS'!$C$15:$C$320,$A96-WEEKDAY($A96,2)+1)</f>
        <v/>
      </c>
      <c r="E96" s="159">
        <f>SUMIFS('METAS EMPRESAS'!$K$15:$K$320,'METAS EMPRESAS'!$A$15:$A$320,"CMM",'METAS EMPRESAS'!$B$15:$B$320,"PREMONTAGEM",'METAS EMPRESAS'!$C$15:$C$320,$A96-WEEKDAY($A96,2)+1)</f>
        <v/>
      </c>
      <c r="F96" s="159">
        <f>SUMIFS('METAS EMPRESAS'!$K$15:$K$320,'METAS EMPRESAS'!$A$15:$A$320,"CMM",'METAS EMPRESAS'!$B$15:$B$320,"IÇAMENTO JOIST",'METAS EMPRESAS'!$C$15:$C$320,$A96-WEEKDAY($A96,2)+1)</f>
        <v/>
      </c>
      <c r="G96" s="159">
        <f>SUMIFS('METAS EMPRESAS'!$K$15:$K$320,'METAS EMPRESAS'!$A$15:$A$320,"CMM",'METAS EMPRESAS'!$B$15:$B$320,"VIGAS",'METAS EMPRESAS'!$C$15:$C$320,$A96-WEEKDAY($A96,2)+1)</f>
        <v/>
      </c>
      <c r="H96" s="159">
        <f>SUMIFS('METAS EMPRESAS'!$G$15:$G$320,'METAS EMPRESAS'!$A$15:$A$320,"EJ",'METAS EMPRESAS'!$B$15:$B$320,"PREMONTAGEM",'METAS EMPRESAS'!$C$15:$C$320,$A96-WEEKDAY($A96,2)+1)</f>
        <v/>
      </c>
      <c r="I96" s="159">
        <f>SUMIFS('METAS EMPRESAS'!$G$15:$G$320,'METAS EMPRESAS'!$A$15:$A$320,"EJ",'METAS EMPRESAS'!$B$15:$B$320,"IÇAMENTO JOIST",'METAS EMPRESAS'!$C$15:$C$320,$A96-WEEKDAY($A96,2)+1)</f>
        <v/>
      </c>
      <c r="J96" s="159">
        <f>SUMIFS('METAS EMPRESAS'!$G$15:$G$320,'METAS EMPRESAS'!$A$15:$A$320,"EJ",'METAS EMPRESAS'!$B$15:$B$320,"VIGAS",'METAS EMPRESAS'!$C$15:$C$320,$A96-WEEKDAY($A96,2)+1)</f>
        <v/>
      </c>
      <c r="K96" s="159">
        <f>SUMIFS('METAS EMPRESAS'!$G$15:$G$320,'METAS EMPRESAS'!$A$15:$A$320,"CMM",'METAS EMPRESAS'!$B$15:$B$320,"PREMONTAGEM",'METAS EMPRESAS'!$C$15:$C$320,$A96-WEEKDAY($A96,2)+1)</f>
        <v/>
      </c>
      <c r="L96" s="159">
        <f>SUMIFS('METAS EMPRESAS'!$G$15:$G$320,'METAS EMPRESAS'!$A$15:$A$320,"CMM",'METAS EMPRESAS'!$B$15:$B$320,"IÇAMENTO JOIST",'METAS EMPRESAS'!$C$15:$C$320,$A96-WEEKDAY($A96,2)+1)</f>
        <v/>
      </c>
      <c r="M96" s="159">
        <f>SUMIFS('METAS EMPRESAS'!$G$15:$G$320,'METAS EMPRESAS'!$A$15:$A$320,"CMM",'METAS EMPRESAS'!$B$15:$B$320,"VIGAS",'METAS EMPRESAS'!$C$15:$C$320,$A96-WEEKDAY($A96,2)+1)</f>
        <v/>
      </c>
      <c r="N96" s="159">
        <f>SUMIFS('METAS EMPRESAS'!$J$15:$J$320,'METAS EMPRESAS'!$A$15:$A$320,"EJ",'METAS EMPRESAS'!$B$15:$B$320,"PREMONTAGEM",'METAS EMPRESAS'!$C$15:$C$320,$A96-WEEKDAY($A96,2)+1)</f>
        <v/>
      </c>
      <c r="O96" s="159">
        <f>SUMIFS('METAS EMPRESAS'!$J$15:$J$320,'METAS EMPRESAS'!$A$15:$A$320,"EJ",'METAS EMPRESAS'!$B$15:$B$320,"IÇAMENTO JOIST",'METAS EMPRESAS'!$C$15:$C$320,$A96-WEEKDAY($A96,2)+1)</f>
        <v/>
      </c>
      <c r="P96" s="159">
        <f>SUMIFS('METAS EMPRESAS'!$J$15:$J$320,'METAS EMPRESAS'!$A$15:$A$320,"EJ",'METAS EMPRESAS'!$B$15:$B$320,"VIGAS",'METAS EMPRESAS'!$C$15:$C$320,$A96-WEEKDAY($A96,2)+1)</f>
        <v/>
      </c>
      <c r="Q96" s="159">
        <f>SUMIFS('METAS EMPRESAS'!$J$15:$J$320,'METAS EMPRESAS'!$A$15:$A$320,"CMM",'METAS EMPRESAS'!$B$15:$B$320,"PREMONTAGEM",'METAS EMPRESAS'!$C$15:$C$320,$A96-WEEKDAY($A96,2)+1)</f>
        <v/>
      </c>
      <c r="R96" s="159">
        <f>SUMIFS('METAS EMPRESAS'!$J$15:$J$320,'METAS EMPRESAS'!$A$15:$A$320,"CMM",'METAS EMPRESAS'!$B$15:$B$320,"IÇAMENTO JOIST",'METAS EMPRESAS'!$C$15:$C$320,$A96-WEEKDAY($A96,2)+1)</f>
        <v/>
      </c>
      <c r="S96" s="159">
        <f>SUMIFS('METAS EMPRESAS'!$J$15:$J$320,'METAS EMPRESAS'!$A$15:$A$320,"CMM",'METAS EMPRESAS'!$B$15:$B$320,"VIGAS",'METAS EMPRESAS'!$C$15:$C$320,$A96-WEEKDAY($A96,2)+1)</f>
        <v/>
      </c>
      <c r="T96">
        <f>--(WEEKDAY(A96,2)&lt;=5)</f>
        <v/>
      </c>
      <c r="U96" t="n">
        <v>19</v>
      </c>
      <c r="V96" t="n">
        <v>7</v>
      </c>
      <c r="W96" t="n">
        <v>0</v>
      </c>
      <c r="X96" t="n">
        <v>5</v>
      </c>
      <c r="Y96" t="n">
        <v>5</v>
      </c>
      <c r="Z96" t="n">
        <v>5</v>
      </c>
      <c r="AA96" t="n">
        <v>95</v>
      </c>
      <c r="AB96" t="n">
        <v>35</v>
      </c>
      <c r="AC96" t="n">
        <v>0</v>
      </c>
    </row>
    <row r="97">
      <c r="A97" s="317" t="n">
        <v>46318</v>
      </c>
      <c r="B97" s="159">
        <f>SUMIFS('METAS EMPRESAS'!$K$15:$K$320,'METAS EMPRESAS'!$A$15:$A$320,"EJ",'METAS EMPRESAS'!$B$15:$B$320,"PREMONTAGEM",'METAS EMPRESAS'!$C$15:$C$320,$A97-WEEKDAY($A97,2)+1)</f>
        <v/>
      </c>
      <c r="C97" s="159">
        <f>SUMIFS('METAS EMPRESAS'!$K$15:$K$320,'METAS EMPRESAS'!$A$15:$A$320,"EJ",'METAS EMPRESAS'!$B$15:$B$320,"IÇAMENTO JOIST",'METAS EMPRESAS'!$C$15:$C$320,$A97-WEEKDAY($A97,2)+1)</f>
        <v/>
      </c>
      <c r="D97" s="159">
        <f>SUMIFS('METAS EMPRESAS'!$K$15:$K$320,'METAS EMPRESAS'!$A$15:$A$320,"EJ",'METAS EMPRESAS'!$B$15:$B$320,"VIGAS",'METAS EMPRESAS'!$C$15:$C$320,$A97-WEEKDAY($A97,2)+1)</f>
        <v/>
      </c>
      <c r="E97" s="159">
        <f>SUMIFS('METAS EMPRESAS'!$K$15:$K$320,'METAS EMPRESAS'!$A$15:$A$320,"CMM",'METAS EMPRESAS'!$B$15:$B$320,"PREMONTAGEM",'METAS EMPRESAS'!$C$15:$C$320,$A97-WEEKDAY($A97,2)+1)</f>
        <v/>
      </c>
      <c r="F97" s="159">
        <f>SUMIFS('METAS EMPRESAS'!$K$15:$K$320,'METAS EMPRESAS'!$A$15:$A$320,"CMM",'METAS EMPRESAS'!$B$15:$B$320,"IÇAMENTO JOIST",'METAS EMPRESAS'!$C$15:$C$320,$A97-WEEKDAY($A97,2)+1)</f>
        <v/>
      </c>
      <c r="G97" s="159">
        <f>SUMIFS('METAS EMPRESAS'!$K$15:$K$320,'METAS EMPRESAS'!$A$15:$A$320,"CMM",'METAS EMPRESAS'!$B$15:$B$320,"VIGAS",'METAS EMPRESAS'!$C$15:$C$320,$A97-WEEKDAY($A97,2)+1)</f>
        <v/>
      </c>
      <c r="H97" s="159">
        <f>SUMIFS('METAS EMPRESAS'!$G$15:$G$320,'METAS EMPRESAS'!$A$15:$A$320,"EJ",'METAS EMPRESAS'!$B$15:$B$320,"PREMONTAGEM",'METAS EMPRESAS'!$C$15:$C$320,$A97-WEEKDAY($A97,2)+1)</f>
        <v/>
      </c>
      <c r="I97" s="159">
        <f>SUMIFS('METAS EMPRESAS'!$G$15:$G$320,'METAS EMPRESAS'!$A$15:$A$320,"EJ",'METAS EMPRESAS'!$B$15:$B$320,"IÇAMENTO JOIST",'METAS EMPRESAS'!$C$15:$C$320,$A97-WEEKDAY($A97,2)+1)</f>
        <v/>
      </c>
      <c r="J97" s="159">
        <f>SUMIFS('METAS EMPRESAS'!$G$15:$G$320,'METAS EMPRESAS'!$A$15:$A$320,"EJ",'METAS EMPRESAS'!$B$15:$B$320,"VIGAS",'METAS EMPRESAS'!$C$15:$C$320,$A97-WEEKDAY($A97,2)+1)</f>
        <v/>
      </c>
      <c r="K97" s="159">
        <f>SUMIFS('METAS EMPRESAS'!$G$15:$G$320,'METAS EMPRESAS'!$A$15:$A$320,"CMM",'METAS EMPRESAS'!$B$15:$B$320,"PREMONTAGEM",'METAS EMPRESAS'!$C$15:$C$320,$A97-WEEKDAY($A97,2)+1)</f>
        <v/>
      </c>
      <c r="L97" s="159">
        <f>SUMIFS('METAS EMPRESAS'!$G$15:$G$320,'METAS EMPRESAS'!$A$15:$A$320,"CMM",'METAS EMPRESAS'!$B$15:$B$320,"IÇAMENTO JOIST",'METAS EMPRESAS'!$C$15:$C$320,$A97-WEEKDAY($A97,2)+1)</f>
        <v/>
      </c>
      <c r="M97" s="159">
        <f>SUMIFS('METAS EMPRESAS'!$G$15:$G$320,'METAS EMPRESAS'!$A$15:$A$320,"CMM",'METAS EMPRESAS'!$B$15:$B$320,"VIGAS",'METAS EMPRESAS'!$C$15:$C$320,$A97-WEEKDAY($A97,2)+1)</f>
        <v/>
      </c>
      <c r="N97" s="159">
        <f>SUMIFS('METAS EMPRESAS'!$J$15:$J$320,'METAS EMPRESAS'!$A$15:$A$320,"EJ",'METAS EMPRESAS'!$B$15:$B$320,"PREMONTAGEM",'METAS EMPRESAS'!$C$15:$C$320,$A97-WEEKDAY($A97,2)+1)</f>
        <v/>
      </c>
      <c r="O97" s="159">
        <f>SUMIFS('METAS EMPRESAS'!$J$15:$J$320,'METAS EMPRESAS'!$A$15:$A$320,"EJ",'METAS EMPRESAS'!$B$15:$B$320,"IÇAMENTO JOIST",'METAS EMPRESAS'!$C$15:$C$320,$A97-WEEKDAY($A97,2)+1)</f>
        <v/>
      </c>
      <c r="P97" s="159">
        <f>SUMIFS('METAS EMPRESAS'!$J$15:$J$320,'METAS EMPRESAS'!$A$15:$A$320,"EJ",'METAS EMPRESAS'!$B$15:$B$320,"VIGAS",'METAS EMPRESAS'!$C$15:$C$320,$A97-WEEKDAY($A97,2)+1)</f>
        <v/>
      </c>
      <c r="Q97" s="159">
        <f>SUMIFS('METAS EMPRESAS'!$J$15:$J$320,'METAS EMPRESAS'!$A$15:$A$320,"CMM",'METAS EMPRESAS'!$B$15:$B$320,"PREMONTAGEM",'METAS EMPRESAS'!$C$15:$C$320,$A97-WEEKDAY($A97,2)+1)</f>
        <v/>
      </c>
      <c r="R97" s="159">
        <f>SUMIFS('METAS EMPRESAS'!$J$15:$J$320,'METAS EMPRESAS'!$A$15:$A$320,"CMM",'METAS EMPRESAS'!$B$15:$B$320,"IÇAMENTO JOIST",'METAS EMPRESAS'!$C$15:$C$320,$A97-WEEKDAY($A97,2)+1)</f>
        <v/>
      </c>
      <c r="S97" s="159">
        <f>SUMIFS('METAS EMPRESAS'!$J$15:$J$320,'METAS EMPRESAS'!$A$15:$A$320,"CMM",'METAS EMPRESAS'!$B$15:$B$320,"VIGAS",'METAS EMPRESAS'!$C$15:$C$320,$A97-WEEKDAY($A97,2)+1)</f>
        <v/>
      </c>
      <c r="T97">
        <f>--(WEEKDAY(A97,2)&lt;=5)</f>
        <v/>
      </c>
      <c r="U97" t="n">
        <v>19</v>
      </c>
      <c r="V97" t="n">
        <v>7</v>
      </c>
      <c r="W97" t="n">
        <v>0</v>
      </c>
      <c r="X97" t="n">
        <v>5</v>
      </c>
      <c r="Y97" t="n">
        <v>5</v>
      </c>
      <c r="Z97" t="n">
        <v>5</v>
      </c>
      <c r="AA97" t="n">
        <v>95</v>
      </c>
      <c r="AB97" t="n">
        <v>35</v>
      </c>
      <c r="AC97" t="n">
        <v>0</v>
      </c>
    </row>
    <row r="98">
      <c r="A98" s="317" t="n">
        <v>46319</v>
      </c>
      <c r="B98" s="159">
        <f>SUMIFS('METAS EMPRESAS'!$K$15:$K$320,'METAS EMPRESAS'!$A$15:$A$320,"EJ",'METAS EMPRESAS'!$B$15:$B$320,"PREMONTAGEM",'METAS EMPRESAS'!$C$15:$C$320,$A98-WEEKDAY($A98,2)+1)</f>
        <v/>
      </c>
      <c r="C98" s="159">
        <f>SUMIFS('METAS EMPRESAS'!$K$15:$K$320,'METAS EMPRESAS'!$A$15:$A$320,"EJ",'METAS EMPRESAS'!$B$15:$B$320,"IÇAMENTO JOIST",'METAS EMPRESAS'!$C$15:$C$320,$A98-WEEKDAY($A98,2)+1)</f>
        <v/>
      </c>
      <c r="D98" s="159">
        <f>SUMIFS('METAS EMPRESAS'!$K$15:$K$320,'METAS EMPRESAS'!$A$15:$A$320,"EJ",'METAS EMPRESAS'!$B$15:$B$320,"VIGAS",'METAS EMPRESAS'!$C$15:$C$320,$A98-WEEKDAY($A98,2)+1)</f>
        <v/>
      </c>
      <c r="E98" s="159">
        <f>SUMIFS('METAS EMPRESAS'!$K$15:$K$320,'METAS EMPRESAS'!$A$15:$A$320,"CMM",'METAS EMPRESAS'!$B$15:$B$320,"PREMONTAGEM",'METAS EMPRESAS'!$C$15:$C$320,$A98-WEEKDAY($A98,2)+1)</f>
        <v/>
      </c>
      <c r="F98" s="159">
        <f>SUMIFS('METAS EMPRESAS'!$K$15:$K$320,'METAS EMPRESAS'!$A$15:$A$320,"CMM",'METAS EMPRESAS'!$B$15:$B$320,"IÇAMENTO JOIST",'METAS EMPRESAS'!$C$15:$C$320,$A98-WEEKDAY($A98,2)+1)</f>
        <v/>
      </c>
      <c r="G98" s="159">
        <f>SUMIFS('METAS EMPRESAS'!$K$15:$K$320,'METAS EMPRESAS'!$A$15:$A$320,"CMM",'METAS EMPRESAS'!$B$15:$B$320,"VIGAS",'METAS EMPRESAS'!$C$15:$C$320,$A98-WEEKDAY($A98,2)+1)</f>
        <v/>
      </c>
      <c r="H98" s="159">
        <f>SUMIFS('METAS EMPRESAS'!$G$15:$G$320,'METAS EMPRESAS'!$A$15:$A$320,"EJ",'METAS EMPRESAS'!$B$15:$B$320,"PREMONTAGEM",'METAS EMPRESAS'!$C$15:$C$320,$A98-WEEKDAY($A98,2)+1)</f>
        <v/>
      </c>
      <c r="I98" s="159">
        <f>SUMIFS('METAS EMPRESAS'!$G$15:$G$320,'METAS EMPRESAS'!$A$15:$A$320,"EJ",'METAS EMPRESAS'!$B$15:$B$320,"IÇAMENTO JOIST",'METAS EMPRESAS'!$C$15:$C$320,$A98-WEEKDAY($A98,2)+1)</f>
        <v/>
      </c>
      <c r="J98" s="159">
        <f>SUMIFS('METAS EMPRESAS'!$G$15:$G$320,'METAS EMPRESAS'!$A$15:$A$320,"EJ",'METAS EMPRESAS'!$B$15:$B$320,"VIGAS",'METAS EMPRESAS'!$C$15:$C$320,$A98-WEEKDAY($A98,2)+1)</f>
        <v/>
      </c>
      <c r="K98" s="159">
        <f>SUMIFS('METAS EMPRESAS'!$G$15:$G$320,'METAS EMPRESAS'!$A$15:$A$320,"CMM",'METAS EMPRESAS'!$B$15:$B$320,"PREMONTAGEM",'METAS EMPRESAS'!$C$15:$C$320,$A98-WEEKDAY($A98,2)+1)</f>
        <v/>
      </c>
      <c r="L98" s="159">
        <f>SUMIFS('METAS EMPRESAS'!$G$15:$G$320,'METAS EMPRESAS'!$A$15:$A$320,"CMM",'METAS EMPRESAS'!$B$15:$B$320,"IÇAMENTO JOIST",'METAS EMPRESAS'!$C$15:$C$320,$A98-WEEKDAY($A98,2)+1)</f>
        <v/>
      </c>
      <c r="M98" s="159">
        <f>SUMIFS('METAS EMPRESAS'!$G$15:$G$320,'METAS EMPRESAS'!$A$15:$A$320,"CMM",'METAS EMPRESAS'!$B$15:$B$320,"VIGAS",'METAS EMPRESAS'!$C$15:$C$320,$A98-WEEKDAY($A98,2)+1)</f>
        <v/>
      </c>
      <c r="N98" s="159">
        <f>SUMIFS('METAS EMPRESAS'!$J$15:$J$320,'METAS EMPRESAS'!$A$15:$A$320,"EJ",'METAS EMPRESAS'!$B$15:$B$320,"PREMONTAGEM",'METAS EMPRESAS'!$C$15:$C$320,$A98-WEEKDAY($A98,2)+1)</f>
        <v/>
      </c>
      <c r="O98" s="159">
        <f>SUMIFS('METAS EMPRESAS'!$J$15:$J$320,'METAS EMPRESAS'!$A$15:$A$320,"EJ",'METAS EMPRESAS'!$B$15:$B$320,"IÇAMENTO JOIST",'METAS EMPRESAS'!$C$15:$C$320,$A98-WEEKDAY($A98,2)+1)</f>
        <v/>
      </c>
      <c r="P98" s="159">
        <f>SUMIFS('METAS EMPRESAS'!$J$15:$J$320,'METAS EMPRESAS'!$A$15:$A$320,"EJ",'METAS EMPRESAS'!$B$15:$B$320,"VIGAS",'METAS EMPRESAS'!$C$15:$C$320,$A98-WEEKDAY($A98,2)+1)</f>
        <v/>
      </c>
      <c r="Q98" s="159">
        <f>SUMIFS('METAS EMPRESAS'!$J$15:$J$320,'METAS EMPRESAS'!$A$15:$A$320,"CMM",'METAS EMPRESAS'!$B$15:$B$320,"PREMONTAGEM",'METAS EMPRESAS'!$C$15:$C$320,$A98-WEEKDAY($A98,2)+1)</f>
        <v/>
      </c>
      <c r="R98" s="159">
        <f>SUMIFS('METAS EMPRESAS'!$J$15:$J$320,'METAS EMPRESAS'!$A$15:$A$320,"CMM",'METAS EMPRESAS'!$B$15:$B$320,"IÇAMENTO JOIST",'METAS EMPRESAS'!$C$15:$C$320,$A98-WEEKDAY($A98,2)+1)</f>
        <v/>
      </c>
      <c r="S98" s="159">
        <f>SUMIFS('METAS EMPRESAS'!$J$15:$J$320,'METAS EMPRESAS'!$A$15:$A$320,"CMM",'METAS EMPRESAS'!$B$15:$B$320,"VIGAS",'METAS EMPRESAS'!$C$15:$C$320,$A98-WEEKDAY($A98,2)+1)</f>
        <v/>
      </c>
      <c r="T98">
        <f>--(WEEKDAY(A98,2)&lt;=5)</f>
        <v/>
      </c>
      <c r="U98" t="n">
        <v>19</v>
      </c>
      <c r="V98" t="n">
        <v>7</v>
      </c>
      <c r="W98" t="n">
        <v>0</v>
      </c>
      <c r="X98" t="n">
        <v>5</v>
      </c>
      <c r="Y98" t="n">
        <v>5</v>
      </c>
      <c r="Z98" t="n">
        <v>5</v>
      </c>
      <c r="AA98" t="n">
        <v>95</v>
      </c>
      <c r="AB98" t="n">
        <v>35</v>
      </c>
      <c r="AC98" t="n">
        <v>0</v>
      </c>
    </row>
    <row r="99">
      <c r="A99" s="317" t="n">
        <v>46320</v>
      </c>
      <c r="B99" s="159">
        <f>SUMIFS('METAS EMPRESAS'!$K$15:$K$320,'METAS EMPRESAS'!$A$15:$A$320,"EJ",'METAS EMPRESAS'!$B$15:$B$320,"PREMONTAGEM",'METAS EMPRESAS'!$C$15:$C$320,$A99-WEEKDAY($A99,2)+1)</f>
        <v/>
      </c>
      <c r="C99" s="159">
        <f>SUMIFS('METAS EMPRESAS'!$K$15:$K$320,'METAS EMPRESAS'!$A$15:$A$320,"EJ",'METAS EMPRESAS'!$B$15:$B$320,"IÇAMENTO JOIST",'METAS EMPRESAS'!$C$15:$C$320,$A99-WEEKDAY($A99,2)+1)</f>
        <v/>
      </c>
      <c r="D99" s="159">
        <f>SUMIFS('METAS EMPRESAS'!$K$15:$K$320,'METAS EMPRESAS'!$A$15:$A$320,"EJ",'METAS EMPRESAS'!$B$15:$B$320,"VIGAS",'METAS EMPRESAS'!$C$15:$C$320,$A99-WEEKDAY($A99,2)+1)</f>
        <v/>
      </c>
      <c r="E99" s="159">
        <f>SUMIFS('METAS EMPRESAS'!$K$15:$K$320,'METAS EMPRESAS'!$A$15:$A$320,"CMM",'METAS EMPRESAS'!$B$15:$B$320,"PREMONTAGEM",'METAS EMPRESAS'!$C$15:$C$320,$A99-WEEKDAY($A99,2)+1)</f>
        <v/>
      </c>
      <c r="F99" s="159">
        <f>SUMIFS('METAS EMPRESAS'!$K$15:$K$320,'METAS EMPRESAS'!$A$15:$A$320,"CMM",'METAS EMPRESAS'!$B$15:$B$320,"IÇAMENTO JOIST",'METAS EMPRESAS'!$C$15:$C$320,$A99-WEEKDAY($A99,2)+1)</f>
        <v/>
      </c>
      <c r="G99" s="159">
        <f>SUMIFS('METAS EMPRESAS'!$K$15:$K$320,'METAS EMPRESAS'!$A$15:$A$320,"CMM",'METAS EMPRESAS'!$B$15:$B$320,"VIGAS",'METAS EMPRESAS'!$C$15:$C$320,$A99-WEEKDAY($A99,2)+1)</f>
        <v/>
      </c>
      <c r="H99" s="159">
        <f>SUMIFS('METAS EMPRESAS'!$G$15:$G$320,'METAS EMPRESAS'!$A$15:$A$320,"EJ",'METAS EMPRESAS'!$B$15:$B$320,"PREMONTAGEM",'METAS EMPRESAS'!$C$15:$C$320,$A99-WEEKDAY($A99,2)+1)</f>
        <v/>
      </c>
      <c r="I99" s="159">
        <f>SUMIFS('METAS EMPRESAS'!$G$15:$G$320,'METAS EMPRESAS'!$A$15:$A$320,"EJ",'METAS EMPRESAS'!$B$15:$B$320,"IÇAMENTO JOIST",'METAS EMPRESAS'!$C$15:$C$320,$A99-WEEKDAY($A99,2)+1)</f>
        <v/>
      </c>
      <c r="J99" s="159">
        <f>SUMIFS('METAS EMPRESAS'!$G$15:$G$320,'METAS EMPRESAS'!$A$15:$A$320,"EJ",'METAS EMPRESAS'!$B$15:$B$320,"VIGAS",'METAS EMPRESAS'!$C$15:$C$320,$A99-WEEKDAY($A99,2)+1)</f>
        <v/>
      </c>
      <c r="K99" s="159">
        <f>SUMIFS('METAS EMPRESAS'!$G$15:$G$320,'METAS EMPRESAS'!$A$15:$A$320,"CMM",'METAS EMPRESAS'!$B$15:$B$320,"PREMONTAGEM",'METAS EMPRESAS'!$C$15:$C$320,$A99-WEEKDAY($A99,2)+1)</f>
        <v/>
      </c>
      <c r="L99" s="159">
        <f>SUMIFS('METAS EMPRESAS'!$G$15:$G$320,'METAS EMPRESAS'!$A$15:$A$320,"CMM",'METAS EMPRESAS'!$B$15:$B$320,"IÇAMENTO JOIST",'METAS EMPRESAS'!$C$15:$C$320,$A99-WEEKDAY($A99,2)+1)</f>
        <v/>
      </c>
      <c r="M99" s="159">
        <f>SUMIFS('METAS EMPRESAS'!$G$15:$G$320,'METAS EMPRESAS'!$A$15:$A$320,"CMM",'METAS EMPRESAS'!$B$15:$B$320,"VIGAS",'METAS EMPRESAS'!$C$15:$C$320,$A99-WEEKDAY($A99,2)+1)</f>
        <v/>
      </c>
      <c r="N99" s="159">
        <f>SUMIFS('METAS EMPRESAS'!$J$15:$J$320,'METAS EMPRESAS'!$A$15:$A$320,"EJ",'METAS EMPRESAS'!$B$15:$B$320,"PREMONTAGEM",'METAS EMPRESAS'!$C$15:$C$320,$A99-WEEKDAY($A99,2)+1)</f>
        <v/>
      </c>
      <c r="O99" s="159">
        <f>SUMIFS('METAS EMPRESAS'!$J$15:$J$320,'METAS EMPRESAS'!$A$15:$A$320,"EJ",'METAS EMPRESAS'!$B$15:$B$320,"IÇAMENTO JOIST",'METAS EMPRESAS'!$C$15:$C$320,$A99-WEEKDAY($A99,2)+1)</f>
        <v/>
      </c>
      <c r="P99" s="159">
        <f>SUMIFS('METAS EMPRESAS'!$J$15:$J$320,'METAS EMPRESAS'!$A$15:$A$320,"EJ",'METAS EMPRESAS'!$B$15:$B$320,"VIGAS",'METAS EMPRESAS'!$C$15:$C$320,$A99-WEEKDAY($A99,2)+1)</f>
        <v/>
      </c>
      <c r="Q99" s="159">
        <f>SUMIFS('METAS EMPRESAS'!$J$15:$J$320,'METAS EMPRESAS'!$A$15:$A$320,"CMM",'METAS EMPRESAS'!$B$15:$B$320,"PREMONTAGEM",'METAS EMPRESAS'!$C$15:$C$320,$A99-WEEKDAY($A99,2)+1)</f>
        <v/>
      </c>
      <c r="R99" s="159">
        <f>SUMIFS('METAS EMPRESAS'!$J$15:$J$320,'METAS EMPRESAS'!$A$15:$A$320,"CMM",'METAS EMPRESAS'!$B$15:$B$320,"IÇAMENTO JOIST",'METAS EMPRESAS'!$C$15:$C$320,$A99-WEEKDAY($A99,2)+1)</f>
        <v/>
      </c>
      <c r="S99" s="159">
        <f>SUMIFS('METAS EMPRESAS'!$J$15:$J$320,'METAS EMPRESAS'!$A$15:$A$320,"CMM",'METAS EMPRESAS'!$B$15:$B$320,"VIGAS",'METAS EMPRESAS'!$C$15:$C$320,$A99-WEEKDAY($A99,2)+1)</f>
        <v/>
      </c>
      <c r="T99">
        <f>--(WEEKDAY(A99,2)&lt;=5)</f>
        <v/>
      </c>
      <c r="U99" t="n">
        <v>19</v>
      </c>
      <c r="V99" t="n">
        <v>7</v>
      </c>
      <c r="W99" t="n">
        <v>0</v>
      </c>
      <c r="X99" t="n">
        <v>5</v>
      </c>
      <c r="Y99" t="n">
        <v>5</v>
      </c>
      <c r="Z99" t="n">
        <v>5</v>
      </c>
      <c r="AA99" t="n">
        <v>95</v>
      </c>
      <c r="AB99" t="n">
        <v>35</v>
      </c>
      <c r="AC99" t="n">
        <v>0</v>
      </c>
    </row>
    <row r="100">
      <c r="A100" s="317" t="n">
        <v>46321</v>
      </c>
      <c r="B100" s="159">
        <f>SUMIFS('METAS EMPRESAS'!$K$15:$K$320,'METAS EMPRESAS'!$A$15:$A$320,"EJ",'METAS EMPRESAS'!$B$15:$B$320,"PREMONTAGEM",'METAS EMPRESAS'!$C$15:$C$320,$A100-WEEKDAY($A100,2)+1)</f>
        <v/>
      </c>
      <c r="C100" s="159">
        <f>SUMIFS('METAS EMPRESAS'!$K$15:$K$320,'METAS EMPRESAS'!$A$15:$A$320,"EJ",'METAS EMPRESAS'!$B$15:$B$320,"IÇAMENTO JOIST",'METAS EMPRESAS'!$C$15:$C$320,$A100-WEEKDAY($A100,2)+1)</f>
        <v/>
      </c>
      <c r="D100" s="159">
        <f>SUMIFS('METAS EMPRESAS'!$K$15:$K$320,'METAS EMPRESAS'!$A$15:$A$320,"EJ",'METAS EMPRESAS'!$B$15:$B$320,"VIGAS",'METAS EMPRESAS'!$C$15:$C$320,$A100-WEEKDAY($A100,2)+1)</f>
        <v/>
      </c>
      <c r="E100" s="159">
        <f>SUMIFS('METAS EMPRESAS'!$K$15:$K$320,'METAS EMPRESAS'!$A$15:$A$320,"CMM",'METAS EMPRESAS'!$B$15:$B$320,"PREMONTAGEM",'METAS EMPRESAS'!$C$15:$C$320,$A100-WEEKDAY($A100,2)+1)</f>
        <v/>
      </c>
      <c r="F100" s="159">
        <f>SUMIFS('METAS EMPRESAS'!$K$15:$K$320,'METAS EMPRESAS'!$A$15:$A$320,"CMM",'METAS EMPRESAS'!$B$15:$B$320,"IÇAMENTO JOIST",'METAS EMPRESAS'!$C$15:$C$320,$A100-WEEKDAY($A100,2)+1)</f>
        <v/>
      </c>
      <c r="G100" s="159">
        <f>SUMIFS('METAS EMPRESAS'!$K$15:$K$320,'METAS EMPRESAS'!$A$15:$A$320,"CMM",'METAS EMPRESAS'!$B$15:$B$320,"VIGAS",'METAS EMPRESAS'!$C$15:$C$320,$A100-WEEKDAY($A100,2)+1)</f>
        <v/>
      </c>
      <c r="H100" s="159">
        <f>SUMIFS('METAS EMPRESAS'!$G$15:$G$320,'METAS EMPRESAS'!$A$15:$A$320,"EJ",'METAS EMPRESAS'!$B$15:$B$320,"PREMONTAGEM",'METAS EMPRESAS'!$C$15:$C$320,$A100-WEEKDAY($A100,2)+1)</f>
        <v/>
      </c>
      <c r="I100" s="159">
        <f>SUMIFS('METAS EMPRESAS'!$G$15:$G$320,'METAS EMPRESAS'!$A$15:$A$320,"EJ",'METAS EMPRESAS'!$B$15:$B$320,"IÇAMENTO JOIST",'METAS EMPRESAS'!$C$15:$C$320,$A100-WEEKDAY($A100,2)+1)</f>
        <v/>
      </c>
      <c r="J100" s="159">
        <f>SUMIFS('METAS EMPRESAS'!$G$15:$G$320,'METAS EMPRESAS'!$A$15:$A$320,"EJ",'METAS EMPRESAS'!$B$15:$B$320,"VIGAS",'METAS EMPRESAS'!$C$15:$C$320,$A100-WEEKDAY($A100,2)+1)</f>
        <v/>
      </c>
      <c r="K100" s="159">
        <f>SUMIFS('METAS EMPRESAS'!$G$15:$G$320,'METAS EMPRESAS'!$A$15:$A$320,"CMM",'METAS EMPRESAS'!$B$15:$B$320,"PREMONTAGEM",'METAS EMPRESAS'!$C$15:$C$320,$A100-WEEKDAY($A100,2)+1)</f>
        <v/>
      </c>
      <c r="L100" s="159">
        <f>SUMIFS('METAS EMPRESAS'!$G$15:$G$320,'METAS EMPRESAS'!$A$15:$A$320,"CMM",'METAS EMPRESAS'!$B$15:$B$320,"IÇAMENTO JOIST",'METAS EMPRESAS'!$C$15:$C$320,$A100-WEEKDAY($A100,2)+1)</f>
        <v/>
      </c>
      <c r="M100" s="159">
        <f>SUMIFS('METAS EMPRESAS'!$G$15:$G$320,'METAS EMPRESAS'!$A$15:$A$320,"CMM",'METAS EMPRESAS'!$B$15:$B$320,"VIGAS",'METAS EMPRESAS'!$C$15:$C$320,$A100-WEEKDAY($A100,2)+1)</f>
        <v/>
      </c>
      <c r="N100" s="159">
        <f>SUMIFS('METAS EMPRESAS'!$J$15:$J$320,'METAS EMPRESAS'!$A$15:$A$320,"EJ",'METAS EMPRESAS'!$B$15:$B$320,"PREMONTAGEM",'METAS EMPRESAS'!$C$15:$C$320,$A100-WEEKDAY($A100,2)+1)</f>
        <v/>
      </c>
      <c r="O100" s="159">
        <f>SUMIFS('METAS EMPRESAS'!$J$15:$J$320,'METAS EMPRESAS'!$A$15:$A$320,"EJ",'METAS EMPRESAS'!$B$15:$B$320,"IÇAMENTO JOIST",'METAS EMPRESAS'!$C$15:$C$320,$A100-WEEKDAY($A100,2)+1)</f>
        <v/>
      </c>
      <c r="P100" s="159">
        <f>SUMIFS('METAS EMPRESAS'!$J$15:$J$320,'METAS EMPRESAS'!$A$15:$A$320,"EJ",'METAS EMPRESAS'!$B$15:$B$320,"VIGAS",'METAS EMPRESAS'!$C$15:$C$320,$A100-WEEKDAY($A100,2)+1)</f>
        <v/>
      </c>
      <c r="Q100" s="159">
        <f>SUMIFS('METAS EMPRESAS'!$J$15:$J$320,'METAS EMPRESAS'!$A$15:$A$320,"CMM",'METAS EMPRESAS'!$B$15:$B$320,"PREMONTAGEM",'METAS EMPRESAS'!$C$15:$C$320,$A100-WEEKDAY($A100,2)+1)</f>
        <v/>
      </c>
      <c r="R100" s="159">
        <f>SUMIFS('METAS EMPRESAS'!$J$15:$J$320,'METAS EMPRESAS'!$A$15:$A$320,"CMM",'METAS EMPRESAS'!$B$15:$B$320,"IÇAMENTO JOIST",'METAS EMPRESAS'!$C$15:$C$320,$A100-WEEKDAY($A100,2)+1)</f>
        <v/>
      </c>
      <c r="S100" s="159">
        <f>SUMIFS('METAS EMPRESAS'!$J$15:$J$320,'METAS EMPRESAS'!$A$15:$A$320,"CMM",'METAS EMPRESAS'!$B$15:$B$320,"VIGAS",'METAS EMPRESAS'!$C$15:$C$320,$A100-WEEKDAY($A100,2)+1)</f>
        <v/>
      </c>
      <c r="T100">
        <f>--(WEEKDAY(A100,2)&lt;=5)</f>
        <v/>
      </c>
      <c r="U100" t="n">
        <v>19</v>
      </c>
      <c r="V100" t="n">
        <v>7</v>
      </c>
      <c r="W100" t="n">
        <v>0</v>
      </c>
      <c r="X100" t="n">
        <v>5</v>
      </c>
      <c r="Y100" t="n">
        <v>5</v>
      </c>
      <c r="Z100" t="n">
        <v>5</v>
      </c>
      <c r="AA100" t="n">
        <v>95</v>
      </c>
      <c r="AB100" t="n">
        <v>35</v>
      </c>
      <c r="AC100" t="n">
        <v>0</v>
      </c>
    </row>
    <row r="101">
      <c r="A101" s="317" t="n">
        <v>46322</v>
      </c>
      <c r="B101" s="159">
        <f>SUMIFS('METAS EMPRESAS'!$K$15:$K$320,'METAS EMPRESAS'!$A$15:$A$320,"EJ",'METAS EMPRESAS'!$B$15:$B$320,"PREMONTAGEM",'METAS EMPRESAS'!$C$15:$C$320,$A101-WEEKDAY($A101,2)+1)</f>
        <v/>
      </c>
      <c r="C101" s="159">
        <f>SUMIFS('METAS EMPRESAS'!$K$15:$K$320,'METAS EMPRESAS'!$A$15:$A$320,"EJ",'METAS EMPRESAS'!$B$15:$B$320,"IÇAMENTO JOIST",'METAS EMPRESAS'!$C$15:$C$320,$A101-WEEKDAY($A101,2)+1)</f>
        <v/>
      </c>
      <c r="D101" s="159">
        <f>SUMIFS('METAS EMPRESAS'!$K$15:$K$320,'METAS EMPRESAS'!$A$15:$A$320,"EJ",'METAS EMPRESAS'!$B$15:$B$320,"VIGAS",'METAS EMPRESAS'!$C$15:$C$320,$A101-WEEKDAY($A101,2)+1)</f>
        <v/>
      </c>
      <c r="E101" s="159">
        <f>SUMIFS('METAS EMPRESAS'!$K$15:$K$320,'METAS EMPRESAS'!$A$15:$A$320,"CMM",'METAS EMPRESAS'!$B$15:$B$320,"PREMONTAGEM",'METAS EMPRESAS'!$C$15:$C$320,$A101-WEEKDAY($A101,2)+1)</f>
        <v/>
      </c>
      <c r="F101" s="159">
        <f>SUMIFS('METAS EMPRESAS'!$K$15:$K$320,'METAS EMPRESAS'!$A$15:$A$320,"CMM",'METAS EMPRESAS'!$B$15:$B$320,"IÇAMENTO JOIST",'METAS EMPRESAS'!$C$15:$C$320,$A101-WEEKDAY($A101,2)+1)</f>
        <v/>
      </c>
      <c r="G101" s="159">
        <f>SUMIFS('METAS EMPRESAS'!$K$15:$K$320,'METAS EMPRESAS'!$A$15:$A$320,"CMM",'METAS EMPRESAS'!$B$15:$B$320,"VIGAS",'METAS EMPRESAS'!$C$15:$C$320,$A101-WEEKDAY($A101,2)+1)</f>
        <v/>
      </c>
      <c r="H101" s="159">
        <f>SUMIFS('METAS EMPRESAS'!$G$15:$G$320,'METAS EMPRESAS'!$A$15:$A$320,"EJ",'METAS EMPRESAS'!$B$15:$B$320,"PREMONTAGEM",'METAS EMPRESAS'!$C$15:$C$320,$A101-WEEKDAY($A101,2)+1)</f>
        <v/>
      </c>
      <c r="I101" s="159">
        <f>SUMIFS('METAS EMPRESAS'!$G$15:$G$320,'METAS EMPRESAS'!$A$15:$A$320,"EJ",'METAS EMPRESAS'!$B$15:$B$320,"IÇAMENTO JOIST",'METAS EMPRESAS'!$C$15:$C$320,$A101-WEEKDAY($A101,2)+1)</f>
        <v/>
      </c>
      <c r="J101" s="159">
        <f>SUMIFS('METAS EMPRESAS'!$G$15:$G$320,'METAS EMPRESAS'!$A$15:$A$320,"EJ",'METAS EMPRESAS'!$B$15:$B$320,"VIGAS",'METAS EMPRESAS'!$C$15:$C$320,$A101-WEEKDAY($A101,2)+1)</f>
        <v/>
      </c>
      <c r="K101" s="159">
        <f>SUMIFS('METAS EMPRESAS'!$G$15:$G$320,'METAS EMPRESAS'!$A$15:$A$320,"CMM",'METAS EMPRESAS'!$B$15:$B$320,"PREMONTAGEM",'METAS EMPRESAS'!$C$15:$C$320,$A101-WEEKDAY($A101,2)+1)</f>
        <v/>
      </c>
      <c r="L101" s="159">
        <f>SUMIFS('METAS EMPRESAS'!$G$15:$G$320,'METAS EMPRESAS'!$A$15:$A$320,"CMM",'METAS EMPRESAS'!$B$15:$B$320,"IÇAMENTO JOIST",'METAS EMPRESAS'!$C$15:$C$320,$A101-WEEKDAY($A101,2)+1)</f>
        <v/>
      </c>
      <c r="M101" s="159">
        <f>SUMIFS('METAS EMPRESAS'!$G$15:$G$320,'METAS EMPRESAS'!$A$15:$A$320,"CMM",'METAS EMPRESAS'!$B$15:$B$320,"VIGAS",'METAS EMPRESAS'!$C$15:$C$320,$A101-WEEKDAY($A101,2)+1)</f>
        <v/>
      </c>
      <c r="N101" s="159">
        <f>SUMIFS('METAS EMPRESAS'!$J$15:$J$320,'METAS EMPRESAS'!$A$15:$A$320,"EJ",'METAS EMPRESAS'!$B$15:$B$320,"PREMONTAGEM",'METAS EMPRESAS'!$C$15:$C$320,$A101-WEEKDAY($A101,2)+1)</f>
        <v/>
      </c>
      <c r="O101" s="159">
        <f>SUMIFS('METAS EMPRESAS'!$J$15:$J$320,'METAS EMPRESAS'!$A$15:$A$320,"EJ",'METAS EMPRESAS'!$B$15:$B$320,"IÇAMENTO JOIST",'METAS EMPRESAS'!$C$15:$C$320,$A101-WEEKDAY($A101,2)+1)</f>
        <v/>
      </c>
      <c r="P101" s="159">
        <f>SUMIFS('METAS EMPRESAS'!$J$15:$J$320,'METAS EMPRESAS'!$A$15:$A$320,"EJ",'METAS EMPRESAS'!$B$15:$B$320,"VIGAS",'METAS EMPRESAS'!$C$15:$C$320,$A101-WEEKDAY($A101,2)+1)</f>
        <v/>
      </c>
      <c r="Q101" s="159">
        <f>SUMIFS('METAS EMPRESAS'!$J$15:$J$320,'METAS EMPRESAS'!$A$15:$A$320,"CMM",'METAS EMPRESAS'!$B$15:$B$320,"PREMONTAGEM",'METAS EMPRESAS'!$C$15:$C$320,$A101-WEEKDAY($A101,2)+1)</f>
        <v/>
      </c>
      <c r="R101" s="159">
        <f>SUMIFS('METAS EMPRESAS'!$J$15:$J$320,'METAS EMPRESAS'!$A$15:$A$320,"CMM",'METAS EMPRESAS'!$B$15:$B$320,"IÇAMENTO JOIST",'METAS EMPRESAS'!$C$15:$C$320,$A101-WEEKDAY($A101,2)+1)</f>
        <v/>
      </c>
      <c r="S101" s="159">
        <f>SUMIFS('METAS EMPRESAS'!$J$15:$J$320,'METAS EMPRESAS'!$A$15:$A$320,"CMM",'METAS EMPRESAS'!$B$15:$B$320,"VIGAS",'METAS EMPRESAS'!$C$15:$C$320,$A101-WEEKDAY($A101,2)+1)</f>
        <v/>
      </c>
      <c r="T101">
        <f>--(WEEKDAY(A101,2)&lt;=5)</f>
        <v/>
      </c>
      <c r="U101" t="n">
        <v>19</v>
      </c>
      <c r="V101" t="n">
        <v>7</v>
      </c>
      <c r="W101" t="n">
        <v>0</v>
      </c>
      <c r="X101" t="n">
        <v>5</v>
      </c>
      <c r="Y101" t="n">
        <v>5</v>
      </c>
      <c r="Z101" t="n">
        <v>5</v>
      </c>
      <c r="AA101" t="n">
        <v>95</v>
      </c>
      <c r="AB101" t="n">
        <v>35</v>
      </c>
      <c r="AC101" t="n">
        <v>0</v>
      </c>
    </row>
    <row r="102">
      <c r="A102" s="317" t="n">
        <v>46323</v>
      </c>
      <c r="B102" s="159">
        <f>SUMIFS('METAS EMPRESAS'!$K$15:$K$320,'METAS EMPRESAS'!$A$15:$A$320,"EJ",'METAS EMPRESAS'!$B$15:$B$320,"PREMONTAGEM",'METAS EMPRESAS'!$C$15:$C$320,$A102-WEEKDAY($A102,2)+1)</f>
        <v/>
      </c>
      <c r="C102" s="159">
        <f>SUMIFS('METAS EMPRESAS'!$K$15:$K$320,'METAS EMPRESAS'!$A$15:$A$320,"EJ",'METAS EMPRESAS'!$B$15:$B$320,"IÇAMENTO JOIST",'METAS EMPRESAS'!$C$15:$C$320,$A102-WEEKDAY($A102,2)+1)</f>
        <v/>
      </c>
      <c r="D102" s="159">
        <f>SUMIFS('METAS EMPRESAS'!$K$15:$K$320,'METAS EMPRESAS'!$A$15:$A$320,"EJ",'METAS EMPRESAS'!$B$15:$B$320,"VIGAS",'METAS EMPRESAS'!$C$15:$C$320,$A102-WEEKDAY($A102,2)+1)</f>
        <v/>
      </c>
      <c r="E102" s="159">
        <f>SUMIFS('METAS EMPRESAS'!$K$15:$K$320,'METAS EMPRESAS'!$A$15:$A$320,"CMM",'METAS EMPRESAS'!$B$15:$B$320,"PREMONTAGEM",'METAS EMPRESAS'!$C$15:$C$320,$A102-WEEKDAY($A102,2)+1)</f>
        <v/>
      </c>
      <c r="F102" s="159">
        <f>SUMIFS('METAS EMPRESAS'!$K$15:$K$320,'METAS EMPRESAS'!$A$15:$A$320,"CMM",'METAS EMPRESAS'!$B$15:$B$320,"IÇAMENTO JOIST",'METAS EMPRESAS'!$C$15:$C$320,$A102-WEEKDAY($A102,2)+1)</f>
        <v/>
      </c>
      <c r="G102" s="159">
        <f>SUMIFS('METAS EMPRESAS'!$K$15:$K$320,'METAS EMPRESAS'!$A$15:$A$320,"CMM",'METAS EMPRESAS'!$B$15:$B$320,"VIGAS",'METAS EMPRESAS'!$C$15:$C$320,$A102-WEEKDAY($A102,2)+1)</f>
        <v/>
      </c>
      <c r="H102" s="159">
        <f>SUMIFS('METAS EMPRESAS'!$G$15:$G$320,'METAS EMPRESAS'!$A$15:$A$320,"EJ",'METAS EMPRESAS'!$B$15:$B$320,"PREMONTAGEM",'METAS EMPRESAS'!$C$15:$C$320,$A102-WEEKDAY($A102,2)+1)</f>
        <v/>
      </c>
      <c r="I102" s="159">
        <f>SUMIFS('METAS EMPRESAS'!$G$15:$G$320,'METAS EMPRESAS'!$A$15:$A$320,"EJ",'METAS EMPRESAS'!$B$15:$B$320,"IÇAMENTO JOIST",'METAS EMPRESAS'!$C$15:$C$320,$A102-WEEKDAY($A102,2)+1)</f>
        <v/>
      </c>
      <c r="J102" s="159">
        <f>SUMIFS('METAS EMPRESAS'!$G$15:$G$320,'METAS EMPRESAS'!$A$15:$A$320,"EJ",'METAS EMPRESAS'!$B$15:$B$320,"VIGAS",'METAS EMPRESAS'!$C$15:$C$320,$A102-WEEKDAY($A102,2)+1)</f>
        <v/>
      </c>
      <c r="K102" s="159">
        <f>SUMIFS('METAS EMPRESAS'!$G$15:$G$320,'METAS EMPRESAS'!$A$15:$A$320,"CMM",'METAS EMPRESAS'!$B$15:$B$320,"PREMONTAGEM",'METAS EMPRESAS'!$C$15:$C$320,$A102-WEEKDAY($A102,2)+1)</f>
        <v/>
      </c>
      <c r="L102" s="159">
        <f>SUMIFS('METAS EMPRESAS'!$G$15:$G$320,'METAS EMPRESAS'!$A$15:$A$320,"CMM",'METAS EMPRESAS'!$B$15:$B$320,"IÇAMENTO JOIST",'METAS EMPRESAS'!$C$15:$C$320,$A102-WEEKDAY($A102,2)+1)</f>
        <v/>
      </c>
      <c r="M102" s="159">
        <f>SUMIFS('METAS EMPRESAS'!$G$15:$G$320,'METAS EMPRESAS'!$A$15:$A$320,"CMM",'METAS EMPRESAS'!$B$15:$B$320,"VIGAS",'METAS EMPRESAS'!$C$15:$C$320,$A102-WEEKDAY($A102,2)+1)</f>
        <v/>
      </c>
      <c r="N102" s="159">
        <f>SUMIFS('METAS EMPRESAS'!$J$15:$J$320,'METAS EMPRESAS'!$A$15:$A$320,"EJ",'METAS EMPRESAS'!$B$15:$B$320,"PREMONTAGEM",'METAS EMPRESAS'!$C$15:$C$320,$A102-WEEKDAY($A102,2)+1)</f>
        <v/>
      </c>
      <c r="O102" s="159">
        <f>SUMIFS('METAS EMPRESAS'!$J$15:$J$320,'METAS EMPRESAS'!$A$15:$A$320,"EJ",'METAS EMPRESAS'!$B$15:$B$320,"IÇAMENTO JOIST",'METAS EMPRESAS'!$C$15:$C$320,$A102-WEEKDAY($A102,2)+1)</f>
        <v/>
      </c>
      <c r="P102" s="159">
        <f>SUMIFS('METAS EMPRESAS'!$J$15:$J$320,'METAS EMPRESAS'!$A$15:$A$320,"EJ",'METAS EMPRESAS'!$B$15:$B$320,"VIGAS",'METAS EMPRESAS'!$C$15:$C$320,$A102-WEEKDAY($A102,2)+1)</f>
        <v/>
      </c>
      <c r="Q102" s="159">
        <f>SUMIFS('METAS EMPRESAS'!$J$15:$J$320,'METAS EMPRESAS'!$A$15:$A$320,"CMM",'METAS EMPRESAS'!$B$15:$B$320,"PREMONTAGEM",'METAS EMPRESAS'!$C$15:$C$320,$A102-WEEKDAY($A102,2)+1)</f>
        <v/>
      </c>
      <c r="R102" s="159">
        <f>SUMIFS('METAS EMPRESAS'!$J$15:$J$320,'METAS EMPRESAS'!$A$15:$A$320,"CMM",'METAS EMPRESAS'!$B$15:$B$320,"IÇAMENTO JOIST",'METAS EMPRESAS'!$C$15:$C$320,$A102-WEEKDAY($A102,2)+1)</f>
        <v/>
      </c>
      <c r="S102" s="159">
        <f>SUMIFS('METAS EMPRESAS'!$J$15:$J$320,'METAS EMPRESAS'!$A$15:$A$320,"CMM",'METAS EMPRESAS'!$B$15:$B$320,"VIGAS",'METAS EMPRESAS'!$C$15:$C$320,$A102-WEEKDAY($A102,2)+1)</f>
        <v/>
      </c>
      <c r="T102">
        <f>--(WEEKDAY(A102,2)&lt;=5)</f>
        <v/>
      </c>
      <c r="U102" t="n">
        <v>19</v>
      </c>
      <c r="V102" t="n">
        <v>7</v>
      </c>
      <c r="W102" t="n">
        <v>0</v>
      </c>
      <c r="X102" t="n">
        <v>5</v>
      </c>
      <c r="Y102" t="n">
        <v>5</v>
      </c>
      <c r="Z102" t="n">
        <v>5</v>
      </c>
      <c r="AA102" t="n">
        <v>95</v>
      </c>
      <c r="AB102" t="n">
        <v>35</v>
      </c>
      <c r="AC102" t="n">
        <v>0</v>
      </c>
    </row>
    <row r="103">
      <c r="A103" s="317" t="n">
        <v>46324</v>
      </c>
      <c r="B103" s="159">
        <f>SUMIFS('METAS EMPRESAS'!$K$15:$K$320,'METAS EMPRESAS'!$A$15:$A$320,"EJ",'METAS EMPRESAS'!$B$15:$B$320,"PREMONTAGEM",'METAS EMPRESAS'!$C$15:$C$320,$A103-WEEKDAY($A103,2)+1)</f>
        <v/>
      </c>
      <c r="C103" s="159">
        <f>SUMIFS('METAS EMPRESAS'!$K$15:$K$320,'METAS EMPRESAS'!$A$15:$A$320,"EJ",'METAS EMPRESAS'!$B$15:$B$320,"IÇAMENTO JOIST",'METAS EMPRESAS'!$C$15:$C$320,$A103-WEEKDAY($A103,2)+1)</f>
        <v/>
      </c>
      <c r="D103" s="159">
        <f>SUMIFS('METAS EMPRESAS'!$K$15:$K$320,'METAS EMPRESAS'!$A$15:$A$320,"EJ",'METAS EMPRESAS'!$B$15:$B$320,"VIGAS",'METAS EMPRESAS'!$C$15:$C$320,$A103-WEEKDAY($A103,2)+1)</f>
        <v/>
      </c>
      <c r="E103" s="159">
        <f>SUMIFS('METAS EMPRESAS'!$K$15:$K$320,'METAS EMPRESAS'!$A$15:$A$320,"CMM",'METAS EMPRESAS'!$B$15:$B$320,"PREMONTAGEM",'METAS EMPRESAS'!$C$15:$C$320,$A103-WEEKDAY($A103,2)+1)</f>
        <v/>
      </c>
      <c r="F103" s="159">
        <f>SUMIFS('METAS EMPRESAS'!$K$15:$K$320,'METAS EMPRESAS'!$A$15:$A$320,"CMM",'METAS EMPRESAS'!$B$15:$B$320,"IÇAMENTO JOIST",'METAS EMPRESAS'!$C$15:$C$320,$A103-WEEKDAY($A103,2)+1)</f>
        <v/>
      </c>
      <c r="G103" s="159">
        <f>SUMIFS('METAS EMPRESAS'!$K$15:$K$320,'METAS EMPRESAS'!$A$15:$A$320,"CMM",'METAS EMPRESAS'!$B$15:$B$320,"VIGAS",'METAS EMPRESAS'!$C$15:$C$320,$A103-WEEKDAY($A103,2)+1)</f>
        <v/>
      </c>
      <c r="H103" s="159">
        <f>SUMIFS('METAS EMPRESAS'!$G$15:$G$320,'METAS EMPRESAS'!$A$15:$A$320,"EJ",'METAS EMPRESAS'!$B$15:$B$320,"PREMONTAGEM",'METAS EMPRESAS'!$C$15:$C$320,$A103-WEEKDAY($A103,2)+1)</f>
        <v/>
      </c>
      <c r="I103" s="159">
        <f>SUMIFS('METAS EMPRESAS'!$G$15:$G$320,'METAS EMPRESAS'!$A$15:$A$320,"EJ",'METAS EMPRESAS'!$B$15:$B$320,"IÇAMENTO JOIST",'METAS EMPRESAS'!$C$15:$C$320,$A103-WEEKDAY($A103,2)+1)</f>
        <v/>
      </c>
      <c r="J103" s="159">
        <f>SUMIFS('METAS EMPRESAS'!$G$15:$G$320,'METAS EMPRESAS'!$A$15:$A$320,"EJ",'METAS EMPRESAS'!$B$15:$B$320,"VIGAS",'METAS EMPRESAS'!$C$15:$C$320,$A103-WEEKDAY($A103,2)+1)</f>
        <v/>
      </c>
      <c r="K103" s="159">
        <f>SUMIFS('METAS EMPRESAS'!$G$15:$G$320,'METAS EMPRESAS'!$A$15:$A$320,"CMM",'METAS EMPRESAS'!$B$15:$B$320,"PREMONTAGEM",'METAS EMPRESAS'!$C$15:$C$320,$A103-WEEKDAY($A103,2)+1)</f>
        <v/>
      </c>
      <c r="L103" s="159">
        <f>SUMIFS('METAS EMPRESAS'!$G$15:$G$320,'METAS EMPRESAS'!$A$15:$A$320,"CMM",'METAS EMPRESAS'!$B$15:$B$320,"IÇAMENTO JOIST",'METAS EMPRESAS'!$C$15:$C$320,$A103-WEEKDAY($A103,2)+1)</f>
        <v/>
      </c>
      <c r="M103" s="159">
        <f>SUMIFS('METAS EMPRESAS'!$G$15:$G$320,'METAS EMPRESAS'!$A$15:$A$320,"CMM",'METAS EMPRESAS'!$B$15:$B$320,"VIGAS",'METAS EMPRESAS'!$C$15:$C$320,$A103-WEEKDAY($A103,2)+1)</f>
        <v/>
      </c>
      <c r="N103" s="159">
        <f>SUMIFS('METAS EMPRESAS'!$J$15:$J$320,'METAS EMPRESAS'!$A$15:$A$320,"EJ",'METAS EMPRESAS'!$B$15:$B$320,"PREMONTAGEM",'METAS EMPRESAS'!$C$15:$C$320,$A103-WEEKDAY($A103,2)+1)</f>
        <v/>
      </c>
      <c r="O103" s="159">
        <f>SUMIFS('METAS EMPRESAS'!$J$15:$J$320,'METAS EMPRESAS'!$A$15:$A$320,"EJ",'METAS EMPRESAS'!$B$15:$B$320,"IÇAMENTO JOIST",'METAS EMPRESAS'!$C$15:$C$320,$A103-WEEKDAY($A103,2)+1)</f>
        <v/>
      </c>
      <c r="P103" s="159">
        <f>SUMIFS('METAS EMPRESAS'!$J$15:$J$320,'METAS EMPRESAS'!$A$15:$A$320,"EJ",'METAS EMPRESAS'!$B$15:$B$320,"VIGAS",'METAS EMPRESAS'!$C$15:$C$320,$A103-WEEKDAY($A103,2)+1)</f>
        <v/>
      </c>
      <c r="Q103" s="159">
        <f>SUMIFS('METAS EMPRESAS'!$J$15:$J$320,'METAS EMPRESAS'!$A$15:$A$320,"CMM",'METAS EMPRESAS'!$B$15:$B$320,"PREMONTAGEM",'METAS EMPRESAS'!$C$15:$C$320,$A103-WEEKDAY($A103,2)+1)</f>
        <v/>
      </c>
      <c r="R103" s="159">
        <f>SUMIFS('METAS EMPRESAS'!$J$15:$J$320,'METAS EMPRESAS'!$A$15:$A$320,"CMM",'METAS EMPRESAS'!$B$15:$B$320,"IÇAMENTO JOIST",'METAS EMPRESAS'!$C$15:$C$320,$A103-WEEKDAY($A103,2)+1)</f>
        <v/>
      </c>
      <c r="S103" s="159">
        <f>SUMIFS('METAS EMPRESAS'!$J$15:$J$320,'METAS EMPRESAS'!$A$15:$A$320,"CMM",'METAS EMPRESAS'!$B$15:$B$320,"VIGAS",'METAS EMPRESAS'!$C$15:$C$320,$A103-WEEKDAY($A103,2)+1)</f>
        <v/>
      </c>
      <c r="T103">
        <f>--(WEEKDAY(A103,2)&lt;=5)</f>
        <v/>
      </c>
      <c r="U103" t="n">
        <v>19</v>
      </c>
      <c r="V103" t="n">
        <v>7</v>
      </c>
      <c r="W103" t="n">
        <v>0</v>
      </c>
      <c r="X103" t="n">
        <v>5</v>
      </c>
      <c r="Y103" t="n">
        <v>5</v>
      </c>
      <c r="Z103" t="n">
        <v>5</v>
      </c>
      <c r="AA103" t="n">
        <v>95</v>
      </c>
      <c r="AB103" t="n">
        <v>35</v>
      </c>
      <c r="AC103" t="n">
        <v>0</v>
      </c>
    </row>
    <row r="104">
      <c r="A104" s="317" t="n">
        <v>46325</v>
      </c>
      <c r="B104" s="159">
        <f>SUMIFS('METAS EMPRESAS'!$K$15:$K$320,'METAS EMPRESAS'!$A$15:$A$320,"EJ",'METAS EMPRESAS'!$B$15:$B$320,"PREMONTAGEM",'METAS EMPRESAS'!$C$15:$C$320,$A104-WEEKDAY($A104,2)+1)</f>
        <v/>
      </c>
      <c r="C104" s="159">
        <f>SUMIFS('METAS EMPRESAS'!$K$15:$K$320,'METAS EMPRESAS'!$A$15:$A$320,"EJ",'METAS EMPRESAS'!$B$15:$B$320,"IÇAMENTO JOIST",'METAS EMPRESAS'!$C$15:$C$320,$A104-WEEKDAY($A104,2)+1)</f>
        <v/>
      </c>
      <c r="D104" s="159">
        <f>SUMIFS('METAS EMPRESAS'!$K$15:$K$320,'METAS EMPRESAS'!$A$15:$A$320,"EJ",'METAS EMPRESAS'!$B$15:$B$320,"VIGAS",'METAS EMPRESAS'!$C$15:$C$320,$A104-WEEKDAY($A104,2)+1)</f>
        <v/>
      </c>
      <c r="E104" s="159">
        <f>SUMIFS('METAS EMPRESAS'!$K$15:$K$320,'METAS EMPRESAS'!$A$15:$A$320,"CMM",'METAS EMPRESAS'!$B$15:$B$320,"PREMONTAGEM",'METAS EMPRESAS'!$C$15:$C$320,$A104-WEEKDAY($A104,2)+1)</f>
        <v/>
      </c>
      <c r="F104" s="159">
        <f>SUMIFS('METAS EMPRESAS'!$K$15:$K$320,'METAS EMPRESAS'!$A$15:$A$320,"CMM",'METAS EMPRESAS'!$B$15:$B$320,"IÇAMENTO JOIST",'METAS EMPRESAS'!$C$15:$C$320,$A104-WEEKDAY($A104,2)+1)</f>
        <v/>
      </c>
      <c r="G104" s="159">
        <f>SUMIFS('METAS EMPRESAS'!$K$15:$K$320,'METAS EMPRESAS'!$A$15:$A$320,"CMM",'METAS EMPRESAS'!$B$15:$B$320,"VIGAS",'METAS EMPRESAS'!$C$15:$C$320,$A104-WEEKDAY($A104,2)+1)</f>
        <v/>
      </c>
      <c r="H104" s="159">
        <f>SUMIFS('METAS EMPRESAS'!$G$15:$G$320,'METAS EMPRESAS'!$A$15:$A$320,"EJ",'METAS EMPRESAS'!$B$15:$B$320,"PREMONTAGEM",'METAS EMPRESAS'!$C$15:$C$320,$A104-WEEKDAY($A104,2)+1)</f>
        <v/>
      </c>
      <c r="I104" s="159">
        <f>SUMIFS('METAS EMPRESAS'!$G$15:$G$320,'METAS EMPRESAS'!$A$15:$A$320,"EJ",'METAS EMPRESAS'!$B$15:$B$320,"IÇAMENTO JOIST",'METAS EMPRESAS'!$C$15:$C$320,$A104-WEEKDAY($A104,2)+1)</f>
        <v/>
      </c>
      <c r="J104" s="159">
        <f>SUMIFS('METAS EMPRESAS'!$G$15:$G$320,'METAS EMPRESAS'!$A$15:$A$320,"EJ",'METAS EMPRESAS'!$B$15:$B$320,"VIGAS",'METAS EMPRESAS'!$C$15:$C$320,$A104-WEEKDAY($A104,2)+1)</f>
        <v/>
      </c>
      <c r="K104" s="159">
        <f>SUMIFS('METAS EMPRESAS'!$G$15:$G$320,'METAS EMPRESAS'!$A$15:$A$320,"CMM",'METAS EMPRESAS'!$B$15:$B$320,"PREMONTAGEM",'METAS EMPRESAS'!$C$15:$C$320,$A104-WEEKDAY($A104,2)+1)</f>
        <v/>
      </c>
      <c r="L104" s="159">
        <f>SUMIFS('METAS EMPRESAS'!$G$15:$G$320,'METAS EMPRESAS'!$A$15:$A$320,"CMM",'METAS EMPRESAS'!$B$15:$B$320,"IÇAMENTO JOIST",'METAS EMPRESAS'!$C$15:$C$320,$A104-WEEKDAY($A104,2)+1)</f>
        <v/>
      </c>
      <c r="M104" s="159">
        <f>SUMIFS('METAS EMPRESAS'!$G$15:$G$320,'METAS EMPRESAS'!$A$15:$A$320,"CMM",'METAS EMPRESAS'!$B$15:$B$320,"VIGAS",'METAS EMPRESAS'!$C$15:$C$320,$A104-WEEKDAY($A104,2)+1)</f>
        <v/>
      </c>
      <c r="N104" s="159">
        <f>SUMIFS('METAS EMPRESAS'!$J$15:$J$320,'METAS EMPRESAS'!$A$15:$A$320,"EJ",'METAS EMPRESAS'!$B$15:$B$320,"PREMONTAGEM",'METAS EMPRESAS'!$C$15:$C$320,$A104-WEEKDAY($A104,2)+1)</f>
        <v/>
      </c>
      <c r="O104" s="159">
        <f>SUMIFS('METAS EMPRESAS'!$J$15:$J$320,'METAS EMPRESAS'!$A$15:$A$320,"EJ",'METAS EMPRESAS'!$B$15:$B$320,"IÇAMENTO JOIST",'METAS EMPRESAS'!$C$15:$C$320,$A104-WEEKDAY($A104,2)+1)</f>
        <v/>
      </c>
      <c r="P104" s="159">
        <f>SUMIFS('METAS EMPRESAS'!$J$15:$J$320,'METAS EMPRESAS'!$A$15:$A$320,"EJ",'METAS EMPRESAS'!$B$15:$B$320,"VIGAS",'METAS EMPRESAS'!$C$15:$C$320,$A104-WEEKDAY($A104,2)+1)</f>
        <v/>
      </c>
      <c r="Q104" s="159">
        <f>SUMIFS('METAS EMPRESAS'!$J$15:$J$320,'METAS EMPRESAS'!$A$15:$A$320,"CMM",'METAS EMPRESAS'!$B$15:$B$320,"PREMONTAGEM",'METAS EMPRESAS'!$C$15:$C$320,$A104-WEEKDAY($A104,2)+1)</f>
        <v/>
      </c>
      <c r="R104" s="159">
        <f>SUMIFS('METAS EMPRESAS'!$J$15:$J$320,'METAS EMPRESAS'!$A$15:$A$320,"CMM",'METAS EMPRESAS'!$B$15:$B$320,"IÇAMENTO JOIST",'METAS EMPRESAS'!$C$15:$C$320,$A104-WEEKDAY($A104,2)+1)</f>
        <v/>
      </c>
      <c r="S104" s="159">
        <f>SUMIFS('METAS EMPRESAS'!$J$15:$J$320,'METAS EMPRESAS'!$A$15:$A$320,"CMM",'METAS EMPRESAS'!$B$15:$B$320,"VIGAS",'METAS EMPRESAS'!$C$15:$C$320,$A104-WEEKDAY($A104,2)+1)</f>
        <v/>
      </c>
      <c r="T104">
        <f>--(WEEKDAY(A104,2)&lt;=5)</f>
        <v/>
      </c>
      <c r="U104" t="n">
        <v>19</v>
      </c>
      <c r="V104" t="n">
        <v>7</v>
      </c>
      <c r="W104" t="n">
        <v>0</v>
      </c>
      <c r="X104" t="n">
        <v>5</v>
      </c>
      <c r="Y104" t="n">
        <v>5</v>
      </c>
      <c r="Z104" t="n">
        <v>5</v>
      </c>
      <c r="AA104" t="n">
        <v>95</v>
      </c>
      <c r="AB104" t="n">
        <v>35</v>
      </c>
      <c r="AC104" t="n">
        <v>0</v>
      </c>
    </row>
    <row r="105">
      <c r="A105" s="317" t="n">
        <v>46326</v>
      </c>
      <c r="B105" s="159">
        <f>SUMIFS('METAS EMPRESAS'!$K$15:$K$320,'METAS EMPRESAS'!$A$15:$A$320,"EJ",'METAS EMPRESAS'!$B$15:$B$320,"PREMONTAGEM",'METAS EMPRESAS'!$C$15:$C$320,$A105-WEEKDAY($A105,2)+1)</f>
        <v/>
      </c>
      <c r="C105" s="159">
        <f>SUMIFS('METAS EMPRESAS'!$K$15:$K$320,'METAS EMPRESAS'!$A$15:$A$320,"EJ",'METAS EMPRESAS'!$B$15:$B$320,"IÇAMENTO JOIST",'METAS EMPRESAS'!$C$15:$C$320,$A105-WEEKDAY($A105,2)+1)</f>
        <v/>
      </c>
      <c r="D105" s="159">
        <f>SUMIFS('METAS EMPRESAS'!$K$15:$K$320,'METAS EMPRESAS'!$A$15:$A$320,"EJ",'METAS EMPRESAS'!$B$15:$B$320,"VIGAS",'METAS EMPRESAS'!$C$15:$C$320,$A105-WEEKDAY($A105,2)+1)</f>
        <v/>
      </c>
      <c r="E105" s="159">
        <f>SUMIFS('METAS EMPRESAS'!$K$15:$K$320,'METAS EMPRESAS'!$A$15:$A$320,"CMM",'METAS EMPRESAS'!$B$15:$B$320,"PREMONTAGEM",'METAS EMPRESAS'!$C$15:$C$320,$A105-WEEKDAY($A105,2)+1)</f>
        <v/>
      </c>
      <c r="F105" s="159">
        <f>SUMIFS('METAS EMPRESAS'!$K$15:$K$320,'METAS EMPRESAS'!$A$15:$A$320,"CMM",'METAS EMPRESAS'!$B$15:$B$320,"IÇAMENTO JOIST",'METAS EMPRESAS'!$C$15:$C$320,$A105-WEEKDAY($A105,2)+1)</f>
        <v/>
      </c>
      <c r="G105" s="159">
        <f>SUMIFS('METAS EMPRESAS'!$K$15:$K$320,'METAS EMPRESAS'!$A$15:$A$320,"CMM",'METAS EMPRESAS'!$B$15:$B$320,"VIGAS",'METAS EMPRESAS'!$C$15:$C$320,$A105-WEEKDAY($A105,2)+1)</f>
        <v/>
      </c>
      <c r="H105" s="159">
        <f>SUMIFS('METAS EMPRESAS'!$G$15:$G$320,'METAS EMPRESAS'!$A$15:$A$320,"EJ",'METAS EMPRESAS'!$B$15:$B$320,"PREMONTAGEM",'METAS EMPRESAS'!$C$15:$C$320,$A105-WEEKDAY($A105,2)+1)</f>
        <v/>
      </c>
      <c r="I105" s="159">
        <f>SUMIFS('METAS EMPRESAS'!$G$15:$G$320,'METAS EMPRESAS'!$A$15:$A$320,"EJ",'METAS EMPRESAS'!$B$15:$B$320,"IÇAMENTO JOIST",'METAS EMPRESAS'!$C$15:$C$320,$A105-WEEKDAY($A105,2)+1)</f>
        <v/>
      </c>
      <c r="J105" s="159">
        <f>SUMIFS('METAS EMPRESAS'!$G$15:$G$320,'METAS EMPRESAS'!$A$15:$A$320,"EJ",'METAS EMPRESAS'!$B$15:$B$320,"VIGAS",'METAS EMPRESAS'!$C$15:$C$320,$A105-WEEKDAY($A105,2)+1)</f>
        <v/>
      </c>
      <c r="K105" s="159">
        <f>SUMIFS('METAS EMPRESAS'!$G$15:$G$320,'METAS EMPRESAS'!$A$15:$A$320,"CMM",'METAS EMPRESAS'!$B$15:$B$320,"PREMONTAGEM",'METAS EMPRESAS'!$C$15:$C$320,$A105-WEEKDAY($A105,2)+1)</f>
        <v/>
      </c>
      <c r="L105" s="159">
        <f>SUMIFS('METAS EMPRESAS'!$G$15:$G$320,'METAS EMPRESAS'!$A$15:$A$320,"CMM",'METAS EMPRESAS'!$B$15:$B$320,"IÇAMENTO JOIST",'METAS EMPRESAS'!$C$15:$C$320,$A105-WEEKDAY($A105,2)+1)</f>
        <v/>
      </c>
      <c r="M105" s="159">
        <f>SUMIFS('METAS EMPRESAS'!$G$15:$G$320,'METAS EMPRESAS'!$A$15:$A$320,"CMM",'METAS EMPRESAS'!$B$15:$B$320,"VIGAS",'METAS EMPRESAS'!$C$15:$C$320,$A105-WEEKDAY($A105,2)+1)</f>
        <v/>
      </c>
      <c r="N105" s="159">
        <f>SUMIFS('METAS EMPRESAS'!$J$15:$J$320,'METAS EMPRESAS'!$A$15:$A$320,"EJ",'METAS EMPRESAS'!$B$15:$B$320,"PREMONTAGEM",'METAS EMPRESAS'!$C$15:$C$320,$A105-WEEKDAY($A105,2)+1)</f>
        <v/>
      </c>
      <c r="O105" s="159">
        <f>SUMIFS('METAS EMPRESAS'!$J$15:$J$320,'METAS EMPRESAS'!$A$15:$A$320,"EJ",'METAS EMPRESAS'!$B$15:$B$320,"IÇAMENTO JOIST",'METAS EMPRESAS'!$C$15:$C$320,$A105-WEEKDAY($A105,2)+1)</f>
        <v/>
      </c>
      <c r="P105" s="159">
        <f>SUMIFS('METAS EMPRESAS'!$J$15:$J$320,'METAS EMPRESAS'!$A$15:$A$320,"EJ",'METAS EMPRESAS'!$B$15:$B$320,"VIGAS",'METAS EMPRESAS'!$C$15:$C$320,$A105-WEEKDAY($A105,2)+1)</f>
        <v/>
      </c>
      <c r="Q105" s="159">
        <f>SUMIFS('METAS EMPRESAS'!$J$15:$J$320,'METAS EMPRESAS'!$A$15:$A$320,"CMM",'METAS EMPRESAS'!$B$15:$B$320,"PREMONTAGEM",'METAS EMPRESAS'!$C$15:$C$320,$A105-WEEKDAY($A105,2)+1)</f>
        <v/>
      </c>
      <c r="R105" s="159">
        <f>SUMIFS('METAS EMPRESAS'!$J$15:$J$320,'METAS EMPRESAS'!$A$15:$A$320,"CMM",'METAS EMPRESAS'!$B$15:$B$320,"IÇAMENTO JOIST",'METAS EMPRESAS'!$C$15:$C$320,$A105-WEEKDAY($A105,2)+1)</f>
        <v/>
      </c>
      <c r="S105" s="159">
        <f>SUMIFS('METAS EMPRESAS'!$J$15:$J$320,'METAS EMPRESAS'!$A$15:$A$320,"CMM",'METAS EMPRESAS'!$B$15:$B$320,"VIGAS",'METAS EMPRESAS'!$C$15:$C$320,$A105-WEEKDAY($A105,2)+1)</f>
        <v/>
      </c>
      <c r="T105">
        <f>--(WEEKDAY(A105,2)&lt;=5)</f>
        <v/>
      </c>
      <c r="U105" t="n">
        <v>19</v>
      </c>
      <c r="V105" t="n">
        <v>7</v>
      </c>
      <c r="W105" t="n">
        <v>0</v>
      </c>
      <c r="X105" t="n">
        <v>5</v>
      </c>
      <c r="Y105" t="n">
        <v>5</v>
      </c>
      <c r="Z105" t="n">
        <v>5</v>
      </c>
      <c r="AA105" t="n">
        <v>95</v>
      </c>
      <c r="AB105" t="n">
        <v>35</v>
      </c>
      <c r="AC105" t="n">
        <v>0</v>
      </c>
    </row>
    <row r="106">
      <c r="A106" s="317" t="n">
        <v>46327</v>
      </c>
      <c r="B106" s="159">
        <f>SUMIFS('METAS EMPRESAS'!$K$15:$K$320,'METAS EMPRESAS'!$A$15:$A$320,"EJ",'METAS EMPRESAS'!$B$15:$B$320,"PREMONTAGEM",'METAS EMPRESAS'!$C$15:$C$320,$A106-WEEKDAY($A106,2)+1)</f>
        <v/>
      </c>
      <c r="C106" s="159">
        <f>SUMIFS('METAS EMPRESAS'!$K$15:$K$320,'METAS EMPRESAS'!$A$15:$A$320,"EJ",'METAS EMPRESAS'!$B$15:$B$320,"IÇAMENTO JOIST",'METAS EMPRESAS'!$C$15:$C$320,$A106-WEEKDAY($A106,2)+1)</f>
        <v/>
      </c>
      <c r="D106" s="159">
        <f>SUMIFS('METAS EMPRESAS'!$K$15:$K$320,'METAS EMPRESAS'!$A$15:$A$320,"EJ",'METAS EMPRESAS'!$B$15:$B$320,"VIGAS",'METAS EMPRESAS'!$C$15:$C$320,$A106-WEEKDAY($A106,2)+1)</f>
        <v/>
      </c>
      <c r="E106" s="159">
        <f>SUMIFS('METAS EMPRESAS'!$K$15:$K$320,'METAS EMPRESAS'!$A$15:$A$320,"CMM",'METAS EMPRESAS'!$B$15:$B$320,"PREMONTAGEM",'METAS EMPRESAS'!$C$15:$C$320,$A106-WEEKDAY($A106,2)+1)</f>
        <v/>
      </c>
      <c r="F106" s="159">
        <f>SUMIFS('METAS EMPRESAS'!$K$15:$K$320,'METAS EMPRESAS'!$A$15:$A$320,"CMM",'METAS EMPRESAS'!$B$15:$B$320,"IÇAMENTO JOIST",'METAS EMPRESAS'!$C$15:$C$320,$A106-WEEKDAY($A106,2)+1)</f>
        <v/>
      </c>
      <c r="G106" s="159">
        <f>SUMIFS('METAS EMPRESAS'!$K$15:$K$320,'METAS EMPRESAS'!$A$15:$A$320,"CMM",'METAS EMPRESAS'!$B$15:$B$320,"VIGAS",'METAS EMPRESAS'!$C$15:$C$320,$A106-WEEKDAY($A106,2)+1)</f>
        <v/>
      </c>
      <c r="H106" s="159">
        <f>SUMIFS('METAS EMPRESAS'!$G$15:$G$320,'METAS EMPRESAS'!$A$15:$A$320,"EJ",'METAS EMPRESAS'!$B$15:$B$320,"PREMONTAGEM",'METAS EMPRESAS'!$C$15:$C$320,$A106-WEEKDAY($A106,2)+1)</f>
        <v/>
      </c>
      <c r="I106" s="159">
        <f>SUMIFS('METAS EMPRESAS'!$G$15:$G$320,'METAS EMPRESAS'!$A$15:$A$320,"EJ",'METAS EMPRESAS'!$B$15:$B$320,"IÇAMENTO JOIST",'METAS EMPRESAS'!$C$15:$C$320,$A106-WEEKDAY($A106,2)+1)</f>
        <v/>
      </c>
      <c r="J106" s="159">
        <f>SUMIFS('METAS EMPRESAS'!$G$15:$G$320,'METAS EMPRESAS'!$A$15:$A$320,"EJ",'METAS EMPRESAS'!$B$15:$B$320,"VIGAS",'METAS EMPRESAS'!$C$15:$C$320,$A106-WEEKDAY($A106,2)+1)</f>
        <v/>
      </c>
      <c r="K106" s="159">
        <f>SUMIFS('METAS EMPRESAS'!$G$15:$G$320,'METAS EMPRESAS'!$A$15:$A$320,"CMM",'METAS EMPRESAS'!$B$15:$B$320,"PREMONTAGEM",'METAS EMPRESAS'!$C$15:$C$320,$A106-WEEKDAY($A106,2)+1)</f>
        <v/>
      </c>
      <c r="L106" s="159">
        <f>SUMIFS('METAS EMPRESAS'!$G$15:$G$320,'METAS EMPRESAS'!$A$15:$A$320,"CMM",'METAS EMPRESAS'!$B$15:$B$320,"IÇAMENTO JOIST",'METAS EMPRESAS'!$C$15:$C$320,$A106-WEEKDAY($A106,2)+1)</f>
        <v/>
      </c>
      <c r="M106" s="159">
        <f>SUMIFS('METAS EMPRESAS'!$G$15:$G$320,'METAS EMPRESAS'!$A$15:$A$320,"CMM",'METAS EMPRESAS'!$B$15:$B$320,"VIGAS",'METAS EMPRESAS'!$C$15:$C$320,$A106-WEEKDAY($A106,2)+1)</f>
        <v/>
      </c>
      <c r="N106" s="159">
        <f>SUMIFS('METAS EMPRESAS'!$J$15:$J$320,'METAS EMPRESAS'!$A$15:$A$320,"EJ",'METAS EMPRESAS'!$B$15:$B$320,"PREMONTAGEM",'METAS EMPRESAS'!$C$15:$C$320,$A106-WEEKDAY($A106,2)+1)</f>
        <v/>
      </c>
      <c r="O106" s="159">
        <f>SUMIFS('METAS EMPRESAS'!$J$15:$J$320,'METAS EMPRESAS'!$A$15:$A$320,"EJ",'METAS EMPRESAS'!$B$15:$B$320,"IÇAMENTO JOIST",'METAS EMPRESAS'!$C$15:$C$320,$A106-WEEKDAY($A106,2)+1)</f>
        <v/>
      </c>
      <c r="P106" s="159">
        <f>SUMIFS('METAS EMPRESAS'!$J$15:$J$320,'METAS EMPRESAS'!$A$15:$A$320,"EJ",'METAS EMPRESAS'!$B$15:$B$320,"VIGAS",'METAS EMPRESAS'!$C$15:$C$320,$A106-WEEKDAY($A106,2)+1)</f>
        <v/>
      </c>
      <c r="Q106" s="159">
        <f>SUMIFS('METAS EMPRESAS'!$J$15:$J$320,'METAS EMPRESAS'!$A$15:$A$320,"CMM",'METAS EMPRESAS'!$B$15:$B$320,"PREMONTAGEM",'METAS EMPRESAS'!$C$15:$C$320,$A106-WEEKDAY($A106,2)+1)</f>
        <v/>
      </c>
      <c r="R106" s="159">
        <f>SUMIFS('METAS EMPRESAS'!$J$15:$J$320,'METAS EMPRESAS'!$A$15:$A$320,"CMM",'METAS EMPRESAS'!$B$15:$B$320,"IÇAMENTO JOIST",'METAS EMPRESAS'!$C$15:$C$320,$A106-WEEKDAY($A106,2)+1)</f>
        <v/>
      </c>
      <c r="S106" s="159">
        <f>SUMIFS('METAS EMPRESAS'!$J$15:$J$320,'METAS EMPRESAS'!$A$15:$A$320,"CMM",'METAS EMPRESAS'!$B$15:$B$320,"VIGAS",'METAS EMPRESAS'!$C$15:$C$320,$A106-WEEKDAY($A106,2)+1)</f>
        <v/>
      </c>
      <c r="T106">
        <f>--(WEEKDAY(A106,2)&lt;=5)</f>
        <v/>
      </c>
      <c r="U106" t="n">
        <v>19</v>
      </c>
      <c r="V106" t="n">
        <v>7</v>
      </c>
      <c r="W106" t="n">
        <v>0</v>
      </c>
      <c r="X106" t="n">
        <v>5</v>
      </c>
      <c r="Y106" t="n">
        <v>5</v>
      </c>
      <c r="Z106" t="n">
        <v>5</v>
      </c>
      <c r="AA106" t="n">
        <v>95</v>
      </c>
      <c r="AB106" t="n">
        <v>35</v>
      </c>
      <c r="AC106" t="n">
        <v>0</v>
      </c>
    </row>
    <row r="107">
      <c r="A107" s="317" t="n">
        <v>46328</v>
      </c>
      <c r="B107" s="159">
        <f>SUMIFS('METAS EMPRESAS'!$K$15:$K$320,'METAS EMPRESAS'!$A$15:$A$320,"EJ",'METAS EMPRESAS'!$B$15:$B$320,"PREMONTAGEM",'METAS EMPRESAS'!$C$15:$C$320,$A107-WEEKDAY($A107,2)+1)</f>
        <v/>
      </c>
      <c r="C107" s="159">
        <f>SUMIFS('METAS EMPRESAS'!$K$15:$K$320,'METAS EMPRESAS'!$A$15:$A$320,"EJ",'METAS EMPRESAS'!$B$15:$B$320,"IÇAMENTO JOIST",'METAS EMPRESAS'!$C$15:$C$320,$A107-WEEKDAY($A107,2)+1)</f>
        <v/>
      </c>
      <c r="D107" s="159">
        <f>SUMIFS('METAS EMPRESAS'!$K$15:$K$320,'METAS EMPRESAS'!$A$15:$A$320,"EJ",'METAS EMPRESAS'!$B$15:$B$320,"VIGAS",'METAS EMPRESAS'!$C$15:$C$320,$A107-WEEKDAY($A107,2)+1)</f>
        <v/>
      </c>
      <c r="E107" s="159">
        <f>SUMIFS('METAS EMPRESAS'!$K$15:$K$320,'METAS EMPRESAS'!$A$15:$A$320,"CMM",'METAS EMPRESAS'!$B$15:$B$320,"PREMONTAGEM",'METAS EMPRESAS'!$C$15:$C$320,$A107-WEEKDAY($A107,2)+1)</f>
        <v/>
      </c>
      <c r="F107" s="159">
        <f>SUMIFS('METAS EMPRESAS'!$K$15:$K$320,'METAS EMPRESAS'!$A$15:$A$320,"CMM",'METAS EMPRESAS'!$B$15:$B$320,"IÇAMENTO JOIST",'METAS EMPRESAS'!$C$15:$C$320,$A107-WEEKDAY($A107,2)+1)</f>
        <v/>
      </c>
      <c r="G107" s="159">
        <f>SUMIFS('METAS EMPRESAS'!$K$15:$K$320,'METAS EMPRESAS'!$A$15:$A$320,"CMM",'METAS EMPRESAS'!$B$15:$B$320,"VIGAS",'METAS EMPRESAS'!$C$15:$C$320,$A107-WEEKDAY($A107,2)+1)</f>
        <v/>
      </c>
      <c r="H107" s="159">
        <f>SUMIFS('METAS EMPRESAS'!$G$15:$G$320,'METAS EMPRESAS'!$A$15:$A$320,"EJ",'METAS EMPRESAS'!$B$15:$B$320,"PREMONTAGEM",'METAS EMPRESAS'!$C$15:$C$320,$A107-WEEKDAY($A107,2)+1)</f>
        <v/>
      </c>
      <c r="I107" s="159">
        <f>SUMIFS('METAS EMPRESAS'!$G$15:$G$320,'METAS EMPRESAS'!$A$15:$A$320,"EJ",'METAS EMPRESAS'!$B$15:$B$320,"IÇAMENTO JOIST",'METAS EMPRESAS'!$C$15:$C$320,$A107-WEEKDAY($A107,2)+1)</f>
        <v/>
      </c>
      <c r="J107" s="159">
        <f>SUMIFS('METAS EMPRESAS'!$G$15:$G$320,'METAS EMPRESAS'!$A$15:$A$320,"EJ",'METAS EMPRESAS'!$B$15:$B$320,"VIGAS",'METAS EMPRESAS'!$C$15:$C$320,$A107-WEEKDAY($A107,2)+1)</f>
        <v/>
      </c>
      <c r="K107" s="159">
        <f>SUMIFS('METAS EMPRESAS'!$G$15:$G$320,'METAS EMPRESAS'!$A$15:$A$320,"CMM",'METAS EMPRESAS'!$B$15:$B$320,"PREMONTAGEM",'METAS EMPRESAS'!$C$15:$C$320,$A107-WEEKDAY($A107,2)+1)</f>
        <v/>
      </c>
      <c r="L107" s="159">
        <f>SUMIFS('METAS EMPRESAS'!$G$15:$G$320,'METAS EMPRESAS'!$A$15:$A$320,"CMM",'METAS EMPRESAS'!$B$15:$B$320,"IÇAMENTO JOIST",'METAS EMPRESAS'!$C$15:$C$320,$A107-WEEKDAY($A107,2)+1)</f>
        <v/>
      </c>
      <c r="M107" s="159">
        <f>SUMIFS('METAS EMPRESAS'!$G$15:$G$320,'METAS EMPRESAS'!$A$15:$A$320,"CMM",'METAS EMPRESAS'!$B$15:$B$320,"VIGAS",'METAS EMPRESAS'!$C$15:$C$320,$A107-WEEKDAY($A107,2)+1)</f>
        <v/>
      </c>
      <c r="N107" s="159">
        <f>SUMIFS('METAS EMPRESAS'!$J$15:$J$320,'METAS EMPRESAS'!$A$15:$A$320,"EJ",'METAS EMPRESAS'!$B$15:$B$320,"PREMONTAGEM",'METAS EMPRESAS'!$C$15:$C$320,$A107-WEEKDAY($A107,2)+1)</f>
        <v/>
      </c>
      <c r="O107" s="159">
        <f>SUMIFS('METAS EMPRESAS'!$J$15:$J$320,'METAS EMPRESAS'!$A$15:$A$320,"EJ",'METAS EMPRESAS'!$B$15:$B$320,"IÇAMENTO JOIST",'METAS EMPRESAS'!$C$15:$C$320,$A107-WEEKDAY($A107,2)+1)</f>
        <v/>
      </c>
      <c r="P107" s="159">
        <f>SUMIFS('METAS EMPRESAS'!$J$15:$J$320,'METAS EMPRESAS'!$A$15:$A$320,"EJ",'METAS EMPRESAS'!$B$15:$B$320,"VIGAS",'METAS EMPRESAS'!$C$15:$C$320,$A107-WEEKDAY($A107,2)+1)</f>
        <v/>
      </c>
      <c r="Q107" s="159">
        <f>SUMIFS('METAS EMPRESAS'!$J$15:$J$320,'METAS EMPRESAS'!$A$15:$A$320,"CMM",'METAS EMPRESAS'!$B$15:$B$320,"PREMONTAGEM",'METAS EMPRESAS'!$C$15:$C$320,$A107-WEEKDAY($A107,2)+1)</f>
        <v/>
      </c>
      <c r="R107" s="159">
        <f>SUMIFS('METAS EMPRESAS'!$J$15:$J$320,'METAS EMPRESAS'!$A$15:$A$320,"CMM",'METAS EMPRESAS'!$B$15:$B$320,"IÇAMENTO JOIST",'METAS EMPRESAS'!$C$15:$C$320,$A107-WEEKDAY($A107,2)+1)</f>
        <v/>
      </c>
      <c r="S107" s="159">
        <f>SUMIFS('METAS EMPRESAS'!$J$15:$J$320,'METAS EMPRESAS'!$A$15:$A$320,"CMM",'METAS EMPRESAS'!$B$15:$B$320,"VIGAS",'METAS EMPRESAS'!$C$15:$C$320,$A107-WEEKDAY($A107,2)+1)</f>
        <v/>
      </c>
      <c r="T107">
        <f>--(WEEKDAY(A107,2)&lt;=5)</f>
        <v/>
      </c>
      <c r="U107" t="n">
        <v>19</v>
      </c>
      <c r="V107" t="n">
        <v>7</v>
      </c>
      <c r="W107" t="n">
        <v>0</v>
      </c>
      <c r="X107" t="n">
        <v>5</v>
      </c>
      <c r="Y107" t="n">
        <v>5</v>
      </c>
      <c r="Z107" t="n">
        <v>5</v>
      </c>
      <c r="AA107" t="n">
        <v>95</v>
      </c>
      <c r="AB107" t="n">
        <v>35</v>
      </c>
      <c r="AC107" t="n">
        <v>0</v>
      </c>
    </row>
    <row r="108">
      <c r="A108" s="317" t="n">
        <v>46329</v>
      </c>
      <c r="B108" s="159">
        <f>SUMIFS('METAS EMPRESAS'!$K$15:$K$320,'METAS EMPRESAS'!$A$15:$A$320,"EJ",'METAS EMPRESAS'!$B$15:$B$320,"PREMONTAGEM",'METAS EMPRESAS'!$C$15:$C$320,$A108-WEEKDAY($A108,2)+1)</f>
        <v/>
      </c>
      <c r="C108" s="159">
        <f>SUMIFS('METAS EMPRESAS'!$K$15:$K$320,'METAS EMPRESAS'!$A$15:$A$320,"EJ",'METAS EMPRESAS'!$B$15:$B$320,"IÇAMENTO JOIST",'METAS EMPRESAS'!$C$15:$C$320,$A108-WEEKDAY($A108,2)+1)</f>
        <v/>
      </c>
      <c r="D108" s="159">
        <f>SUMIFS('METAS EMPRESAS'!$K$15:$K$320,'METAS EMPRESAS'!$A$15:$A$320,"EJ",'METAS EMPRESAS'!$B$15:$B$320,"VIGAS",'METAS EMPRESAS'!$C$15:$C$320,$A108-WEEKDAY($A108,2)+1)</f>
        <v/>
      </c>
      <c r="E108" s="159">
        <f>SUMIFS('METAS EMPRESAS'!$K$15:$K$320,'METAS EMPRESAS'!$A$15:$A$320,"CMM",'METAS EMPRESAS'!$B$15:$B$320,"PREMONTAGEM",'METAS EMPRESAS'!$C$15:$C$320,$A108-WEEKDAY($A108,2)+1)</f>
        <v/>
      </c>
      <c r="F108" s="159">
        <f>SUMIFS('METAS EMPRESAS'!$K$15:$K$320,'METAS EMPRESAS'!$A$15:$A$320,"CMM",'METAS EMPRESAS'!$B$15:$B$320,"IÇAMENTO JOIST",'METAS EMPRESAS'!$C$15:$C$320,$A108-WEEKDAY($A108,2)+1)</f>
        <v/>
      </c>
      <c r="G108" s="159">
        <f>SUMIFS('METAS EMPRESAS'!$K$15:$K$320,'METAS EMPRESAS'!$A$15:$A$320,"CMM",'METAS EMPRESAS'!$B$15:$B$320,"VIGAS",'METAS EMPRESAS'!$C$15:$C$320,$A108-WEEKDAY($A108,2)+1)</f>
        <v/>
      </c>
      <c r="H108" s="159">
        <f>SUMIFS('METAS EMPRESAS'!$G$15:$G$320,'METAS EMPRESAS'!$A$15:$A$320,"EJ",'METAS EMPRESAS'!$B$15:$B$320,"PREMONTAGEM",'METAS EMPRESAS'!$C$15:$C$320,$A108-WEEKDAY($A108,2)+1)</f>
        <v/>
      </c>
      <c r="I108" s="159">
        <f>SUMIFS('METAS EMPRESAS'!$G$15:$G$320,'METAS EMPRESAS'!$A$15:$A$320,"EJ",'METAS EMPRESAS'!$B$15:$B$320,"IÇAMENTO JOIST",'METAS EMPRESAS'!$C$15:$C$320,$A108-WEEKDAY($A108,2)+1)</f>
        <v/>
      </c>
      <c r="J108" s="159">
        <f>SUMIFS('METAS EMPRESAS'!$G$15:$G$320,'METAS EMPRESAS'!$A$15:$A$320,"EJ",'METAS EMPRESAS'!$B$15:$B$320,"VIGAS",'METAS EMPRESAS'!$C$15:$C$320,$A108-WEEKDAY($A108,2)+1)</f>
        <v/>
      </c>
      <c r="K108" s="159">
        <f>SUMIFS('METAS EMPRESAS'!$G$15:$G$320,'METAS EMPRESAS'!$A$15:$A$320,"CMM",'METAS EMPRESAS'!$B$15:$B$320,"PREMONTAGEM",'METAS EMPRESAS'!$C$15:$C$320,$A108-WEEKDAY($A108,2)+1)</f>
        <v/>
      </c>
      <c r="L108" s="159">
        <f>SUMIFS('METAS EMPRESAS'!$G$15:$G$320,'METAS EMPRESAS'!$A$15:$A$320,"CMM",'METAS EMPRESAS'!$B$15:$B$320,"IÇAMENTO JOIST",'METAS EMPRESAS'!$C$15:$C$320,$A108-WEEKDAY($A108,2)+1)</f>
        <v/>
      </c>
      <c r="M108" s="159">
        <f>SUMIFS('METAS EMPRESAS'!$G$15:$G$320,'METAS EMPRESAS'!$A$15:$A$320,"CMM",'METAS EMPRESAS'!$B$15:$B$320,"VIGAS",'METAS EMPRESAS'!$C$15:$C$320,$A108-WEEKDAY($A108,2)+1)</f>
        <v/>
      </c>
      <c r="N108" s="159">
        <f>SUMIFS('METAS EMPRESAS'!$J$15:$J$320,'METAS EMPRESAS'!$A$15:$A$320,"EJ",'METAS EMPRESAS'!$B$15:$B$320,"PREMONTAGEM",'METAS EMPRESAS'!$C$15:$C$320,$A108-WEEKDAY($A108,2)+1)</f>
        <v/>
      </c>
      <c r="O108" s="159">
        <f>SUMIFS('METAS EMPRESAS'!$J$15:$J$320,'METAS EMPRESAS'!$A$15:$A$320,"EJ",'METAS EMPRESAS'!$B$15:$B$320,"IÇAMENTO JOIST",'METAS EMPRESAS'!$C$15:$C$320,$A108-WEEKDAY($A108,2)+1)</f>
        <v/>
      </c>
      <c r="P108" s="159">
        <f>SUMIFS('METAS EMPRESAS'!$J$15:$J$320,'METAS EMPRESAS'!$A$15:$A$320,"EJ",'METAS EMPRESAS'!$B$15:$B$320,"VIGAS",'METAS EMPRESAS'!$C$15:$C$320,$A108-WEEKDAY($A108,2)+1)</f>
        <v/>
      </c>
      <c r="Q108" s="159">
        <f>SUMIFS('METAS EMPRESAS'!$J$15:$J$320,'METAS EMPRESAS'!$A$15:$A$320,"CMM",'METAS EMPRESAS'!$B$15:$B$320,"PREMONTAGEM",'METAS EMPRESAS'!$C$15:$C$320,$A108-WEEKDAY($A108,2)+1)</f>
        <v/>
      </c>
      <c r="R108" s="159">
        <f>SUMIFS('METAS EMPRESAS'!$J$15:$J$320,'METAS EMPRESAS'!$A$15:$A$320,"CMM",'METAS EMPRESAS'!$B$15:$B$320,"IÇAMENTO JOIST",'METAS EMPRESAS'!$C$15:$C$320,$A108-WEEKDAY($A108,2)+1)</f>
        <v/>
      </c>
      <c r="S108" s="159">
        <f>SUMIFS('METAS EMPRESAS'!$J$15:$J$320,'METAS EMPRESAS'!$A$15:$A$320,"CMM",'METAS EMPRESAS'!$B$15:$B$320,"VIGAS",'METAS EMPRESAS'!$C$15:$C$320,$A108-WEEKDAY($A108,2)+1)</f>
        <v/>
      </c>
      <c r="T108">
        <f>--(WEEKDAY(A108,2)&lt;=5)</f>
        <v/>
      </c>
      <c r="U108" t="n">
        <v>19</v>
      </c>
      <c r="V108" t="n">
        <v>7</v>
      </c>
      <c r="W108" t="n">
        <v>0</v>
      </c>
      <c r="X108" t="n">
        <v>5</v>
      </c>
      <c r="Y108" t="n">
        <v>5</v>
      </c>
      <c r="Z108" t="n">
        <v>5</v>
      </c>
      <c r="AA108" t="n">
        <v>95</v>
      </c>
      <c r="AB108" t="n">
        <v>35</v>
      </c>
      <c r="AC108" t="n">
        <v>0</v>
      </c>
    </row>
    <row r="109">
      <c r="A109" s="317" t="n">
        <v>46330</v>
      </c>
      <c r="B109" s="159">
        <f>SUMIFS('METAS EMPRESAS'!$K$15:$K$320,'METAS EMPRESAS'!$A$15:$A$320,"EJ",'METAS EMPRESAS'!$B$15:$B$320,"PREMONTAGEM",'METAS EMPRESAS'!$C$15:$C$320,$A109-WEEKDAY($A109,2)+1)</f>
        <v/>
      </c>
      <c r="C109" s="159">
        <f>SUMIFS('METAS EMPRESAS'!$K$15:$K$320,'METAS EMPRESAS'!$A$15:$A$320,"EJ",'METAS EMPRESAS'!$B$15:$B$320,"IÇAMENTO JOIST",'METAS EMPRESAS'!$C$15:$C$320,$A109-WEEKDAY($A109,2)+1)</f>
        <v/>
      </c>
      <c r="D109" s="159">
        <f>SUMIFS('METAS EMPRESAS'!$K$15:$K$320,'METAS EMPRESAS'!$A$15:$A$320,"EJ",'METAS EMPRESAS'!$B$15:$B$320,"VIGAS",'METAS EMPRESAS'!$C$15:$C$320,$A109-WEEKDAY($A109,2)+1)</f>
        <v/>
      </c>
      <c r="E109" s="159">
        <f>SUMIFS('METAS EMPRESAS'!$K$15:$K$320,'METAS EMPRESAS'!$A$15:$A$320,"CMM",'METAS EMPRESAS'!$B$15:$B$320,"PREMONTAGEM",'METAS EMPRESAS'!$C$15:$C$320,$A109-WEEKDAY($A109,2)+1)</f>
        <v/>
      </c>
      <c r="F109" s="159">
        <f>SUMIFS('METAS EMPRESAS'!$K$15:$K$320,'METAS EMPRESAS'!$A$15:$A$320,"CMM",'METAS EMPRESAS'!$B$15:$B$320,"IÇAMENTO JOIST",'METAS EMPRESAS'!$C$15:$C$320,$A109-WEEKDAY($A109,2)+1)</f>
        <v/>
      </c>
      <c r="G109" s="159">
        <f>SUMIFS('METAS EMPRESAS'!$K$15:$K$320,'METAS EMPRESAS'!$A$15:$A$320,"CMM",'METAS EMPRESAS'!$B$15:$B$320,"VIGAS",'METAS EMPRESAS'!$C$15:$C$320,$A109-WEEKDAY($A109,2)+1)</f>
        <v/>
      </c>
      <c r="H109" s="159">
        <f>SUMIFS('METAS EMPRESAS'!$G$15:$G$320,'METAS EMPRESAS'!$A$15:$A$320,"EJ",'METAS EMPRESAS'!$B$15:$B$320,"PREMONTAGEM",'METAS EMPRESAS'!$C$15:$C$320,$A109-WEEKDAY($A109,2)+1)</f>
        <v/>
      </c>
      <c r="I109" s="159">
        <f>SUMIFS('METAS EMPRESAS'!$G$15:$G$320,'METAS EMPRESAS'!$A$15:$A$320,"EJ",'METAS EMPRESAS'!$B$15:$B$320,"IÇAMENTO JOIST",'METAS EMPRESAS'!$C$15:$C$320,$A109-WEEKDAY($A109,2)+1)</f>
        <v/>
      </c>
      <c r="J109" s="159">
        <f>SUMIFS('METAS EMPRESAS'!$G$15:$G$320,'METAS EMPRESAS'!$A$15:$A$320,"EJ",'METAS EMPRESAS'!$B$15:$B$320,"VIGAS",'METAS EMPRESAS'!$C$15:$C$320,$A109-WEEKDAY($A109,2)+1)</f>
        <v/>
      </c>
      <c r="K109" s="159">
        <f>SUMIFS('METAS EMPRESAS'!$G$15:$G$320,'METAS EMPRESAS'!$A$15:$A$320,"CMM",'METAS EMPRESAS'!$B$15:$B$320,"PREMONTAGEM",'METAS EMPRESAS'!$C$15:$C$320,$A109-WEEKDAY($A109,2)+1)</f>
        <v/>
      </c>
      <c r="L109" s="159">
        <f>SUMIFS('METAS EMPRESAS'!$G$15:$G$320,'METAS EMPRESAS'!$A$15:$A$320,"CMM",'METAS EMPRESAS'!$B$15:$B$320,"IÇAMENTO JOIST",'METAS EMPRESAS'!$C$15:$C$320,$A109-WEEKDAY($A109,2)+1)</f>
        <v/>
      </c>
      <c r="M109" s="159">
        <f>SUMIFS('METAS EMPRESAS'!$G$15:$G$320,'METAS EMPRESAS'!$A$15:$A$320,"CMM",'METAS EMPRESAS'!$B$15:$B$320,"VIGAS",'METAS EMPRESAS'!$C$15:$C$320,$A109-WEEKDAY($A109,2)+1)</f>
        <v/>
      </c>
      <c r="N109" s="159">
        <f>SUMIFS('METAS EMPRESAS'!$J$15:$J$320,'METAS EMPRESAS'!$A$15:$A$320,"EJ",'METAS EMPRESAS'!$B$15:$B$320,"PREMONTAGEM",'METAS EMPRESAS'!$C$15:$C$320,$A109-WEEKDAY($A109,2)+1)</f>
        <v/>
      </c>
      <c r="O109" s="159">
        <f>SUMIFS('METAS EMPRESAS'!$J$15:$J$320,'METAS EMPRESAS'!$A$15:$A$320,"EJ",'METAS EMPRESAS'!$B$15:$B$320,"IÇAMENTO JOIST",'METAS EMPRESAS'!$C$15:$C$320,$A109-WEEKDAY($A109,2)+1)</f>
        <v/>
      </c>
      <c r="P109" s="159">
        <f>SUMIFS('METAS EMPRESAS'!$J$15:$J$320,'METAS EMPRESAS'!$A$15:$A$320,"EJ",'METAS EMPRESAS'!$B$15:$B$320,"VIGAS",'METAS EMPRESAS'!$C$15:$C$320,$A109-WEEKDAY($A109,2)+1)</f>
        <v/>
      </c>
      <c r="Q109" s="159">
        <f>SUMIFS('METAS EMPRESAS'!$J$15:$J$320,'METAS EMPRESAS'!$A$15:$A$320,"CMM",'METAS EMPRESAS'!$B$15:$B$320,"PREMONTAGEM",'METAS EMPRESAS'!$C$15:$C$320,$A109-WEEKDAY($A109,2)+1)</f>
        <v/>
      </c>
      <c r="R109" s="159">
        <f>SUMIFS('METAS EMPRESAS'!$J$15:$J$320,'METAS EMPRESAS'!$A$15:$A$320,"CMM",'METAS EMPRESAS'!$B$15:$B$320,"IÇAMENTO JOIST",'METAS EMPRESAS'!$C$15:$C$320,$A109-WEEKDAY($A109,2)+1)</f>
        <v/>
      </c>
      <c r="S109" s="159">
        <f>SUMIFS('METAS EMPRESAS'!$J$15:$J$320,'METAS EMPRESAS'!$A$15:$A$320,"CMM",'METAS EMPRESAS'!$B$15:$B$320,"VIGAS",'METAS EMPRESAS'!$C$15:$C$320,$A109-WEEKDAY($A109,2)+1)</f>
        <v/>
      </c>
      <c r="T109">
        <f>--(WEEKDAY(A109,2)&lt;=5)</f>
        <v/>
      </c>
      <c r="U109" t="n">
        <v>19</v>
      </c>
      <c r="V109" t="n">
        <v>7</v>
      </c>
      <c r="W109" t="n">
        <v>0</v>
      </c>
      <c r="X109" t="n">
        <v>5</v>
      </c>
      <c r="Y109" t="n">
        <v>5</v>
      </c>
      <c r="Z109" t="n">
        <v>5</v>
      </c>
      <c r="AA109" t="n">
        <v>95</v>
      </c>
      <c r="AB109" t="n">
        <v>35</v>
      </c>
      <c r="AC109" t="n">
        <v>0</v>
      </c>
    </row>
    <row r="110">
      <c r="A110" s="317" t="n">
        <v>46331</v>
      </c>
      <c r="B110" s="159">
        <f>SUMIFS('METAS EMPRESAS'!$K$15:$K$320,'METAS EMPRESAS'!$A$15:$A$320,"EJ",'METAS EMPRESAS'!$B$15:$B$320,"PREMONTAGEM",'METAS EMPRESAS'!$C$15:$C$320,$A110-WEEKDAY($A110,2)+1)</f>
        <v/>
      </c>
      <c r="C110" s="159">
        <f>SUMIFS('METAS EMPRESAS'!$K$15:$K$320,'METAS EMPRESAS'!$A$15:$A$320,"EJ",'METAS EMPRESAS'!$B$15:$B$320,"IÇAMENTO JOIST",'METAS EMPRESAS'!$C$15:$C$320,$A110-WEEKDAY($A110,2)+1)</f>
        <v/>
      </c>
      <c r="D110" s="159">
        <f>SUMIFS('METAS EMPRESAS'!$K$15:$K$320,'METAS EMPRESAS'!$A$15:$A$320,"EJ",'METAS EMPRESAS'!$B$15:$B$320,"VIGAS",'METAS EMPRESAS'!$C$15:$C$320,$A110-WEEKDAY($A110,2)+1)</f>
        <v/>
      </c>
      <c r="E110" s="159">
        <f>SUMIFS('METAS EMPRESAS'!$K$15:$K$320,'METAS EMPRESAS'!$A$15:$A$320,"CMM",'METAS EMPRESAS'!$B$15:$B$320,"PREMONTAGEM",'METAS EMPRESAS'!$C$15:$C$320,$A110-WEEKDAY($A110,2)+1)</f>
        <v/>
      </c>
      <c r="F110" s="159">
        <f>SUMIFS('METAS EMPRESAS'!$K$15:$K$320,'METAS EMPRESAS'!$A$15:$A$320,"CMM",'METAS EMPRESAS'!$B$15:$B$320,"IÇAMENTO JOIST",'METAS EMPRESAS'!$C$15:$C$320,$A110-WEEKDAY($A110,2)+1)</f>
        <v/>
      </c>
      <c r="G110" s="159">
        <f>SUMIFS('METAS EMPRESAS'!$K$15:$K$320,'METAS EMPRESAS'!$A$15:$A$320,"CMM",'METAS EMPRESAS'!$B$15:$B$320,"VIGAS",'METAS EMPRESAS'!$C$15:$C$320,$A110-WEEKDAY($A110,2)+1)</f>
        <v/>
      </c>
      <c r="H110" s="159">
        <f>SUMIFS('METAS EMPRESAS'!$G$15:$G$320,'METAS EMPRESAS'!$A$15:$A$320,"EJ",'METAS EMPRESAS'!$B$15:$B$320,"PREMONTAGEM",'METAS EMPRESAS'!$C$15:$C$320,$A110-WEEKDAY($A110,2)+1)</f>
        <v/>
      </c>
      <c r="I110" s="159">
        <f>SUMIFS('METAS EMPRESAS'!$G$15:$G$320,'METAS EMPRESAS'!$A$15:$A$320,"EJ",'METAS EMPRESAS'!$B$15:$B$320,"IÇAMENTO JOIST",'METAS EMPRESAS'!$C$15:$C$320,$A110-WEEKDAY($A110,2)+1)</f>
        <v/>
      </c>
      <c r="J110" s="159">
        <f>SUMIFS('METAS EMPRESAS'!$G$15:$G$320,'METAS EMPRESAS'!$A$15:$A$320,"EJ",'METAS EMPRESAS'!$B$15:$B$320,"VIGAS",'METAS EMPRESAS'!$C$15:$C$320,$A110-WEEKDAY($A110,2)+1)</f>
        <v/>
      </c>
      <c r="K110" s="159">
        <f>SUMIFS('METAS EMPRESAS'!$G$15:$G$320,'METAS EMPRESAS'!$A$15:$A$320,"CMM",'METAS EMPRESAS'!$B$15:$B$320,"PREMONTAGEM",'METAS EMPRESAS'!$C$15:$C$320,$A110-WEEKDAY($A110,2)+1)</f>
        <v/>
      </c>
      <c r="L110" s="159">
        <f>SUMIFS('METAS EMPRESAS'!$G$15:$G$320,'METAS EMPRESAS'!$A$15:$A$320,"CMM",'METAS EMPRESAS'!$B$15:$B$320,"IÇAMENTO JOIST",'METAS EMPRESAS'!$C$15:$C$320,$A110-WEEKDAY($A110,2)+1)</f>
        <v/>
      </c>
      <c r="M110" s="159">
        <f>SUMIFS('METAS EMPRESAS'!$G$15:$G$320,'METAS EMPRESAS'!$A$15:$A$320,"CMM",'METAS EMPRESAS'!$B$15:$B$320,"VIGAS",'METAS EMPRESAS'!$C$15:$C$320,$A110-WEEKDAY($A110,2)+1)</f>
        <v/>
      </c>
      <c r="N110" s="159">
        <f>SUMIFS('METAS EMPRESAS'!$J$15:$J$320,'METAS EMPRESAS'!$A$15:$A$320,"EJ",'METAS EMPRESAS'!$B$15:$B$320,"PREMONTAGEM",'METAS EMPRESAS'!$C$15:$C$320,$A110-WEEKDAY($A110,2)+1)</f>
        <v/>
      </c>
      <c r="O110" s="159">
        <f>SUMIFS('METAS EMPRESAS'!$J$15:$J$320,'METAS EMPRESAS'!$A$15:$A$320,"EJ",'METAS EMPRESAS'!$B$15:$B$320,"IÇAMENTO JOIST",'METAS EMPRESAS'!$C$15:$C$320,$A110-WEEKDAY($A110,2)+1)</f>
        <v/>
      </c>
      <c r="P110" s="159">
        <f>SUMIFS('METAS EMPRESAS'!$J$15:$J$320,'METAS EMPRESAS'!$A$15:$A$320,"EJ",'METAS EMPRESAS'!$B$15:$B$320,"VIGAS",'METAS EMPRESAS'!$C$15:$C$320,$A110-WEEKDAY($A110,2)+1)</f>
        <v/>
      </c>
      <c r="Q110" s="159">
        <f>SUMIFS('METAS EMPRESAS'!$J$15:$J$320,'METAS EMPRESAS'!$A$15:$A$320,"CMM",'METAS EMPRESAS'!$B$15:$B$320,"PREMONTAGEM",'METAS EMPRESAS'!$C$15:$C$320,$A110-WEEKDAY($A110,2)+1)</f>
        <v/>
      </c>
      <c r="R110" s="159">
        <f>SUMIFS('METAS EMPRESAS'!$J$15:$J$320,'METAS EMPRESAS'!$A$15:$A$320,"CMM",'METAS EMPRESAS'!$B$15:$B$320,"IÇAMENTO JOIST",'METAS EMPRESAS'!$C$15:$C$320,$A110-WEEKDAY($A110,2)+1)</f>
        <v/>
      </c>
      <c r="S110" s="159">
        <f>SUMIFS('METAS EMPRESAS'!$J$15:$J$320,'METAS EMPRESAS'!$A$15:$A$320,"CMM",'METAS EMPRESAS'!$B$15:$B$320,"VIGAS",'METAS EMPRESAS'!$C$15:$C$320,$A110-WEEKDAY($A110,2)+1)</f>
        <v/>
      </c>
      <c r="T110">
        <f>--(WEEKDAY(A110,2)&lt;=5)</f>
        <v/>
      </c>
      <c r="U110" t="n">
        <v>19</v>
      </c>
      <c r="V110" t="n">
        <v>7</v>
      </c>
      <c r="W110" t="n">
        <v>0</v>
      </c>
      <c r="X110" t="n">
        <v>5</v>
      </c>
      <c r="Y110" t="n">
        <v>5</v>
      </c>
      <c r="Z110" t="n">
        <v>5</v>
      </c>
      <c r="AA110" t="n">
        <v>95</v>
      </c>
      <c r="AB110" t="n">
        <v>35</v>
      </c>
      <c r="AC110" t="n">
        <v>0</v>
      </c>
    </row>
    <row r="111">
      <c r="A111" s="317" t="n">
        <v>46332</v>
      </c>
      <c r="B111" s="159">
        <f>SUMIFS('METAS EMPRESAS'!$K$15:$K$320,'METAS EMPRESAS'!$A$15:$A$320,"EJ",'METAS EMPRESAS'!$B$15:$B$320,"PREMONTAGEM",'METAS EMPRESAS'!$C$15:$C$320,$A111-WEEKDAY($A111,2)+1)</f>
        <v/>
      </c>
      <c r="C111" s="159">
        <f>SUMIFS('METAS EMPRESAS'!$K$15:$K$320,'METAS EMPRESAS'!$A$15:$A$320,"EJ",'METAS EMPRESAS'!$B$15:$B$320,"IÇAMENTO JOIST",'METAS EMPRESAS'!$C$15:$C$320,$A111-WEEKDAY($A111,2)+1)</f>
        <v/>
      </c>
      <c r="D111" s="159">
        <f>SUMIFS('METAS EMPRESAS'!$K$15:$K$320,'METAS EMPRESAS'!$A$15:$A$320,"EJ",'METAS EMPRESAS'!$B$15:$B$320,"VIGAS",'METAS EMPRESAS'!$C$15:$C$320,$A111-WEEKDAY($A111,2)+1)</f>
        <v/>
      </c>
      <c r="E111" s="159">
        <f>SUMIFS('METAS EMPRESAS'!$K$15:$K$320,'METAS EMPRESAS'!$A$15:$A$320,"CMM",'METAS EMPRESAS'!$B$15:$B$320,"PREMONTAGEM",'METAS EMPRESAS'!$C$15:$C$320,$A111-WEEKDAY($A111,2)+1)</f>
        <v/>
      </c>
      <c r="F111" s="159">
        <f>SUMIFS('METAS EMPRESAS'!$K$15:$K$320,'METAS EMPRESAS'!$A$15:$A$320,"CMM",'METAS EMPRESAS'!$B$15:$B$320,"IÇAMENTO JOIST",'METAS EMPRESAS'!$C$15:$C$320,$A111-WEEKDAY($A111,2)+1)</f>
        <v/>
      </c>
      <c r="G111" s="159">
        <f>SUMIFS('METAS EMPRESAS'!$K$15:$K$320,'METAS EMPRESAS'!$A$15:$A$320,"CMM",'METAS EMPRESAS'!$B$15:$B$320,"VIGAS",'METAS EMPRESAS'!$C$15:$C$320,$A111-WEEKDAY($A111,2)+1)</f>
        <v/>
      </c>
      <c r="H111" s="159">
        <f>SUMIFS('METAS EMPRESAS'!$G$15:$G$320,'METAS EMPRESAS'!$A$15:$A$320,"EJ",'METAS EMPRESAS'!$B$15:$B$320,"PREMONTAGEM",'METAS EMPRESAS'!$C$15:$C$320,$A111-WEEKDAY($A111,2)+1)</f>
        <v/>
      </c>
      <c r="I111" s="159">
        <f>SUMIFS('METAS EMPRESAS'!$G$15:$G$320,'METAS EMPRESAS'!$A$15:$A$320,"EJ",'METAS EMPRESAS'!$B$15:$B$320,"IÇAMENTO JOIST",'METAS EMPRESAS'!$C$15:$C$320,$A111-WEEKDAY($A111,2)+1)</f>
        <v/>
      </c>
      <c r="J111" s="159">
        <f>SUMIFS('METAS EMPRESAS'!$G$15:$G$320,'METAS EMPRESAS'!$A$15:$A$320,"EJ",'METAS EMPRESAS'!$B$15:$B$320,"VIGAS",'METAS EMPRESAS'!$C$15:$C$320,$A111-WEEKDAY($A111,2)+1)</f>
        <v/>
      </c>
      <c r="K111" s="159">
        <f>SUMIFS('METAS EMPRESAS'!$G$15:$G$320,'METAS EMPRESAS'!$A$15:$A$320,"CMM",'METAS EMPRESAS'!$B$15:$B$320,"PREMONTAGEM",'METAS EMPRESAS'!$C$15:$C$320,$A111-WEEKDAY($A111,2)+1)</f>
        <v/>
      </c>
      <c r="L111" s="159">
        <f>SUMIFS('METAS EMPRESAS'!$G$15:$G$320,'METAS EMPRESAS'!$A$15:$A$320,"CMM",'METAS EMPRESAS'!$B$15:$B$320,"IÇAMENTO JOIST",'METAS EMPRESAS'!$C$15:$C$320,$A111-WEEKDAY($A111,2)+1)</f>
        <v/>
      </c>
      <c r="M111" s="159">
        <f>SUMIFS('METAS EMPRESAS'!$G$15:$G$320,'METAS EMPRESAS'!$A$15:$A$320,"CMM",'METAS EMPRESAS'!$B$15:$B$320,"VIGAS",'METAS EMPRESAS'!$C$15:$C$320,$A111-WEEKDAY($A111,2)+1)</f>
        <v/>
      </c>
      <c r="N111" s="159">
        <f>SUMIFS('METAS EMPRESAS'!$J$15:$J$320,'METAS EMPRESAS'!$A$15:$A$320,"EJ",'METAS EMPRESAS'!$B$15:$B$320,"PREMONTAGEM",'METAS EMPRESAS'!$C$15:$C$320,$A111-WEEKDAY($A111,2)+1)</f>
        <v/>
      </c>
      <c r="O111" s="159">
        <f>SUMIFS('METAS EMPRESAS'!$J$15:$J$320,'METAS EMPRESAS'!$A$15:$A$320,"EJ",'METAS EMPRESAS'!$B$15:$B$320,"IÇAMENTO JOIST",'METAS EMPRESAS'!$C$15:$C$320,$A111-WEEKDAY($A111,2)+1)</f>
        <v/>
      </c>
      <c r="P111" s="159">
        <f>SUMIFS('METAS EMPRESAS'!$J$15:$J$320,'METAS EMPRESAS'!$A$15:$A$320,"EJ",'METAS EMPRESAS'!$B$15:$B$320,"VIGAS",'METAS EMPRESAS'!$C$15:$C$320,$A111-WEEKDAY($A111,2)+1)</f>
        <v/>
      </c>
      <c r="Q111" s="159">
        <f>SUMIFS('METAS EMPRESAS'!$J$15:$J$320,'METAS EMPRESAS'!$A$15:$A$320,"CMM",'METAS EMPRESAS'!$B$15:$B$320,"PREMONTAGEM",'METAS EMPRESAS'!$C$15:$C$320,$A111-WEEKDAY($A111,2)+1)</f>
        <v/>
      </c>
      <c r="R111" s="159">
        <f>SUMIFS('METAS EMPRESAS'!$J$15:$J$320,'METAS EMPRESAS'!$A$15:$A$320,"CMM",'METAS EMPRESAS'!$B$15:$B$320,"IÇAMENTO JOIST",'METAS EMPRESAS'!$C$15:$C$320,$A111-WEEKDAY($A111,2)+1)</f>
        <v/>
      </c>
      <c r="S111" s="159">
        <f>SUMIFS('METAS EMPRESAS'!$J$15:$J$320,'METAS EMPRESAS'!$A$15:$A$320,"CMM",'METAS EMPRESAS'!$B$15:$B$320,"VIGAS",'METAS EMPRESAS'!$C$15:$C$320,$A111-WEEKDAY($A111,2)+1)</f>
        <v/>
      </c>
      <c r="T111">
        <f>--(WEEKDAY(A111,2)&lt;=5)</f>
        <v/>
      </c>
      <c r="U111" t="n">
        <v>19</v>
      </c>
      <c r="V111" t="n">
        <v>7</v>
      </c>
      <c r="W111" t="n">
        <v>0</v>
      </c>
      <c r="X111" t="n">
        <v>5</v>
      </c>
      <c r="Y111" t="n">
        <v>5</v>
      </c>
      <c r="Z111" t="n">
        <v>5</v>
      </c>
      <c r="AA111" t="n">
        <v>95</v>
      </c>
      <c r="AB111" t="n">
        <v>35</v>
      </c>
      <c r="AC111" t="n">
        <v>0</v>
      </c>
    </row>
    <row r="112">
      <c r="A112" s="317" t="n">
        <v>46333</v>
      </c>
      <c r="B112" s="159">
        <f>SUMIFS('METAS EMPRESAS'!$K$15:$K$320,'METAS EMPRESAS'!$A$15:$A$320,"EJ",'METAS EMPRESAS'!$B$15:$B$320,"PREMONTAGEM",'METAS EMPRESAS'!$C$15:$C$320,$A112-WEEKDAY($A112,2)+1)</f>
        <v/>
      </c>
      <c r="C112" s="159">
        <f>SUMIFS('METAS EMPRESAS'!$K$15:$K$320,'METAS EMPRESAS'!$A$15:$A$320,"EJ",'METAS EMPRESAS'!$B$15:$B$320,"IÇAMENTO JOIST",'METAS EMPRESAS'!$C$15:$C$320,$A112-WEEKDAY($A112,2)+1)</f>
        <v/>
      </c>
      <c r="D112" s="159">
        <f>SUMIFS('METAS EMPRESAS'!$K$15:$K$320,'METAS EMPRESAS'!$A$15:$A$320,"EJ",'METAS EMPRESAS'!$B$15:$B$320,"VIGAS",'METAS EMPRESAS'!$C$15:$C$320,$A112-WEEKDAY($A112,2)+1)</f>
        <v/>
      </c>
      <c r="E112" s="159">
        <f>SUMIFS('METAS EMPRESAS'!$K$15:$K$320,'METAS EMPRESAS'!$A$15:$A$320,"CMM",'METAS EMPRESAS'!$B$15:$B$320,"PREMONTAGEM",'METAS EMPRESAS'!$C$15:$C$320,$A112-WEEKDAY($A112,2)+1)</f>
        <v/>
      </c>
      <c r="F112" s="159">
        <f>SUMIFS('METAS EMPRESAS'!$K$15:$K$320,'METAS EMPRESAS'!$A$15:$A$320,"CMM",'METAS EMPRESAS'!$B$15:$B$320,"IÇAMENTO JOIST",'METAS EMPRESAS'!$C$15:$C$320,$A112-WEEKDAY($A112,2)+1)</f>
        <v/>
      </c>
      <c r="G112" s="159">
        <f>SUMIFS('METAS EMPRESAS'!$K$15:$K$320,'METAS EMPRESAS'!$A$15:$A$320,"CMM",'METAS EMPRESAS'!$B$15:$B$320,"VIGAS",'METAS EMPRESAS'!$C$15:$C$320,$A112-WEEKDAY($A112,2)+1)</f>
        <v/>
      </c>
      <c r="H112" s="159">
        <f>SUMIFS('METAS EMPRESAS'!$G$15:$G$320,'METAS EMPRESAS'!$A$15:$A$320,"EJ",'METAS EMPRESAS'!$B$15:$B$320,"PREMONTAGEM",'METAS EMPRESAS'!$C$15:$C$320,$A112-WEEKDAY($A112,2)+1)</f>
        <v/>
      </c>
      <c r="I112" s="159">
        <f>SUMIFS('METAS EMPRESAS'!$G$15:$G$320,'METAS EMPRESAS'!$A$15:$A$320,"EJ",'METAS EMPRESAS'!$B$15:$B$320,"IÇAMENTO JOIST",'METAS EMPRESAS'!$C$15:$C$320,$A112-WEEKDAY($A112,2)+1)</f>
        <v/>
      </c>
      <c r="J112" s="159">
        <f>SUMIFS('METAS EMPRESAS'!$G$15:$G$320,'METAS EMPRESAS'!$A$15:$A$320,"EJ",'METAS EMPRESAS'!$B$15:$B$320,"VIGAS",'METAS EMPRESAS'!$C$15:$C$320,$A112-WEEKDAY($A112,2)+1)</f>
        <v/>
      </c>
      <c r="K112" s="159">
        <f>SUMIFS('METAS EMPRESAS'!$G$15:$G$320,'METAS EMPRESAS'!$A$15:$A$320,"CMM",'METAS EMPRESAS'!$B$15:$B$320,"PREMONTAGEM",'METAS EMPRESAS'!$C$15:$C$320,$A112-WEEKDAY($A112,2)+1)</f>
        <v/>
      </c>
      <c r="L112" s="159">
        <f>SUMIFS('METAS EMPRESAS'!$G$15:$G$320,'METAS EMPRESAS'!$A$15:$A$320,"CMM",'METAS EMPRESAS'!$B$15:$B$320,"IÇAMENTO JOIST",'METAS EMPRESAS'!$C$15:$C$320,$A112-WEEKDAY($A112,2)+1)</f>
        <v/>
      </c>
      <c r="M112" s="159">
        <f>SUMIFS('METAS EMPRESAS'!$G$15:$G$320,'METAS EMPRESAS'!$A$15:$A$320,"CMM",'METAS EMPRESAS'!$B$15:$B$320,"VIGAS",'METAS EMPRESAS'!$C$15:$C$320,$A112-WEEKDAY($A112,2)+1)</f>
        <v/>
      </c>
      <c r="N112" s="159">
        <f>SUMIFS('METAS EMPRESAS'!$J$15:$J$320,'METAS EMPRESAS'!$A$15:$A$320,"EJ",'METAS EMPRESAS'!$B$15:$B$320,"PREMONTAGEM",'METAS EMPRESAS'!$C$15:$C$320,$A112-WEEKDAY($A112,2)+1)</f>
        <v/>
      </c>
      <c r="O112" s="159">
        <f>SUMIFS('METAS EMPRESAS'!$J$15:$J$320,'METAS EMPRESAS'!$A$15:$A$320,"EJ",'METAS EMPRESAS'!$B$15:$B$320,"IÇAMENTO JOIST",'METAS EMPRESAS'!$C$15:$C$320,$A112-WEEKDAY($A112,2)+1)</f>
        <v/>
      </c>
      <c r="P112" s="159">
        <f>SUMIFS('METAS EMPRESAS'!$J$15:$J$320,'METAS EMPRESAS'!$A$15:$A$320,"EJ",'METAS EMPRESAS'!$B$15:$B$320,"VIGAS",'METAS EMPRESAS'!$C$15:$C$320,$A112-WEEKDAY($A112,2)+1)</f>
        <v/>
      </c>
      <c r="Q112" s="159">
        <f>SUMIFS('METAS EMPRESAS'!$J$15:$J$320,'METAS EMPRESAS'!$A$15:$A$320,"CMM",'METAS EMPRESAS'!$B$15:$B$320,"PREMONTAGEM",'METAS EMPRESAS'!$C$15:$C$320,$A112-WEEKDAY($A112,2)+1)</f>
        <v/>
      </c>
      <c r="R112" s="159">
        <f>SUMIFS('METAS EMPRESAS'!$J$15:$J$320,'METAS EMPRESAS'!$A$15:$A$320,"CMM",'METAS EMPRESAS'!$B$15:$B$320,"IÇAMENTO JOIST",'METAS EMPRESAS'!$C$15:$C$320,$A112-WEEKDAY($A112,2)+1)</f>
        <v/>
      </c>
      <c r="S112" s="159">
        <f>SUMIFS('METAS EMPRESAS'!$J$15:$J$320,'METAS EMPRESAS'!$A$15:$A$320,"CMM",'METAS EMPRESAS'!$B$15:$B$320,"VIGAS",'METAS EMPRESAS'!$C$15:$C$320,$A112-WEEKDAY($A112,2)+1)</f>
        <v/>
      </c>
      <c r="T112">
        <f>--(WEEKDAY(A112,2)&lt;=5)</f>
        <v/>
      </c>
      <c r="U112" t="n">
        <v>19</v>
      </c>
      <c r="V112" t="n">
        <v>7</v>
      </c>
      <c r="W112" t="n">
        <v>0</v>
      </c>
      <c r="X112" t="n">
        <v>5</v>
      </c>
      <c r="Y112" t="n">
        <v>5</v>
      </c>
      <c r="Z112" t="n">
        <v>5</v>
      </c>
      <c r="AA112" t="n">
        <v>95</v>
      </c>
      <c r="AB112" t="n">
        <v>35</v>
      </c>
      <c r="AC112" t="n">
        <v>0</v>
      </c>
    </row>
    <row r="113">
      <c r="A113" s="317" t="n">
        <v>46334</v>
      </c>
      <c r="B113" s="159">
        <f>SUMIFS('METAS EMPRESAS'!$K$15:$K$320,'METAS EMPRESAS'!$A$15:$A$320,"EJ",'METAS EMPRESAS'!$B$15:$B$320,"PREMONTAGEM",'METAS EMPRESAS'!$C$15:$C$320,$A113-WEEKDAY($A113,2)+1)</f>
        <v/>
      </c>
      <c r="C113" s="159">
        <f>SUMIFS('METAS EMPRESAS'!$K$15:$K$320,'METAS EMPRESAS'!$A$15:$A$320,"EJ",'METAS EMPRESAS'!$B$15:$B$320,"IÇAMENTO JOIST",'METAS EMPRESAS'!$C$15:$C$320,$A113-WEEKDAY($A113,2)+1)</f>
        <v/>
      </c>
      <c r="D113" s="159">
        <f>SUMIFS('METAS EMPRESAS'!$K$15:$K$320,'METAS EMPRESAS'!$A$15:$A$320,"EJ",'METAS EMPRESAS'!$B$15:$B$320,"VIGAS",'METAS EMPRESAS'!$C$15:$C$320,$A113-WEEKDAY($A113,2)+1)</f>
        <v/>
      </c>
      <c r="E113" s="159">
        <f>SUMIFS('METAS EMPRESAS'!$K$15:$K$320,'METAS EMPRESAS'!$A$15:$A$320,"CMM",'METAS EMPRESAS'!$B$15:$B$320,"PREMONTAGEM",'METAS EMPRESAS'!$C$15:$C$320,$A113-WEEKDAY($A113,2)+1)</f>
        <v/>
      </c>
      <c r="F113" s="159">
        <f>SUMIFS('METAS EMPRESAS'!$K$15:$K$320,'METAS EMPRESAS'!$A$15:$A$320,"CMM",'METAS EMPRESAS'!$B$15:$B$320,"IÇAMENTO JOIST",'METAS EMPRESAS'!$C$15:$C$320,$A113-WEEKDAY($A113,2)+1)</f>
        <v/>
      </c>
      <c r="G113" s="159">
        <f>SUMIFS('METAS EMPRESAS'!$K$15:$K$320,'METAS EMPRESAS'!$A$15:$A$320,"CMM",'METAS EMPRESAS'!$B$15:$B$320,"VIGAS",'METAS EMPRESAS'!$C$15:$C$320,$A113-WEEKDAY($A113,2)+1)</f>
        <v/>
      </c>
      <c r="H113" s="159">
        <f>SUMIFS('METAS EMPRESAS'!$G$15:$G$320,'METAS EMPRESAS'!$A$15:$A$320,"EJ",'METAS EMPRESAS'!$B$15:$B$320,"PREMONTAGEM",'METAS EMPRESAS'!$C$15:$C$320,$A113-WEEKDAY($A113,2)+1)</f>
        <v/>
      </c>
      <c r="I113" s="159">
        <f>SUMIFS('METAS EMPRESAS'!$G$15:$G$320,'METAS EMPRESAS'!$A$15:$A$320,"EJ",'METAS EMPRESAS'!$B$15:$B$320,"IÇAMENTO JOIST",'METAS EMPRESAS'!$C$15:$C$320,$A113-WEEKDAY($A113,2)+1)</f>
        <v/>
      </c>
      <c r="J113" s="159">
        <f>SUMIFS('METAS EMPRESAS'!$G$15:$G$320,'METAS EMPRESAS'!$A$15:$A$320,"EJ",'METAS EMPRESAS'!$B$15:$B$320,"VIGAS",'METAS EMPRESAS'!$C$15:$C$320,$A113-WEEKDAY($A113,2)+1)</f>
        <v/>
      </c>
      <c r="K113" s="159">
        <f>SUMIFS('METAS EMPRESAS'!$G$15:$G$320,'METAS EMPRESAS'!$A$15:$A$320,"CMM",'METAS EMPRESAS'!$B$15:$B$320,"PREMONTAGEM",'METAS EMPRESAS'!$C$15:$C$320,$A113-WEEKDAY($A113,2)+1)</f>
        <v/>
      </c>
      <c r="L113" s="159">
        <f>SUMIFS('METAS EMPRESAS'!$G$15:$G$320,'METAS EMPRESAS'!$A$15:$A$320,"CMM",'METAS EMPRESAS'!$B$15:$B$320,"IÇAMENTO JOIST",'METAS EMPRESAS'!$C$15:$C$320,$A113-WEEKDAY($A113,2)+1)</f>
        <v/>
      </c>
      <c r="M113" s="159">
        <f>SUMIFS('METAS EMPRESAS'!$G$15:$G$320,'METAS EMPRESAS'!$A$15:$A$320,"CMM",'METAS EMPRESAS'!$B$15:$B$320,"VIGAS",'METAS EMPRESAS'!$C$15:$C$320,$A113-WEEKDAY($A113,2)+1)</f>
        <v/>
      </c>
      <c r="N113" s="159">
        <f>SUMIFS('METAS EMPRESAS'!$J$15:$J$320,'METAS EMPRESAS'!$A$15:$A$320,"EJ",'METAS EMPRESAS'!$B$15:$B$320,"PREMONTAGEM",'METAS EMPRESAS'!$C$15:$C$320,$A113-WEEKDAY($A113,2)+1)</f>
        <v/>
      </c>
      <c r="O113" s="159">
        <f>SUMIFS('METAS EMPRESAS'!$J$15:$J$320,'METAS EMPRESAS'!$A$15:$A$320,"EJ",'METAS EMPRESAS'!$B$15:$B$320,"IÇAMENTO JOIST",'METAS EMPRESAS'!$C$15:$C$320,$A113-WEEKDAY($A113,2)+1)</f>
        <v/>
      </c>
      <c r="P113" s="159">
        <f>SUMIFS('METAS EMPRESAS'!$J$15:$J$320,'METAS EMPRESAS'!$A$15:$A$320,"EJ",'METAS EMPRESAS'!$B$15:$B$320,"VIGAS",'METAS EMPRESAS'!$C$15:$C$320,$A113-WEEKDAY($A113,2)+1)</f>
        <v/>
      </c>
      <c r="Q113" s="159">
        <f>SUMIFS('METAS EMPRESAS'!$J$15:$J$320,'METAS EMPRESAS'!$A$15:$A$320,"CMM",'METAS EMPRESAS'!$B$15:$B$320,"PREMONTAGEM",'METAS EMPRESAS'!$C$15:$C$320,$A113-WEEKDAY($A113,2)+1)</f>
        <v/>
      </c>
      <c r="R113" s="159">
        <f>SUMIFS('METAS EMPRESAS'!$J$15:$J$320,'METAS EMPRESAS'!$A$15:$A$320,"CMM",'METAS EMPRESAS'!$B$15:$B$320,"IÇAMENTO JOIST",'METAS EMPRESAS'!$C$15:$C$320,$A113-WEEKDAY($A113,2)+1)</f>
        <v/>
      </c>
      <c r="S113" s="159">
        <f>SUMIFS('METAS EMPRESAS'!$J$15:$J$320,'METAS EMPRESAS'!$A$15:$A$320,"CMM",'METAS EMPRESAS'!$B$15:$B$320,"VIGAS",'METAS EMPRESAS'!$C$15:$C$320,$A113-WEEKDAY($A113,2)+1)</f>
        <v/>
      </c>
      <c r="T113">
        <f>--(WEEKDAY(A113,2)&lt;=5)</f>
        <v/>
      </c>
      <c r="U113" t="n">
        <v>19</v>
      </c>
      <c r="V113" t="n">
        <v>7</v>
      </c>
      <c r="W113" t="n">
        <v>0</v>
      </c>
      <c r="X113" t="n">
        <v>5</v>
      </c>
      <c r="Y113" t="n">
        <v>5</v>
      </c>
      <c r="Z113" t="n">
        <v>5</v>
      </c>
      <c r="AA113" t="n">
        <v>95</v>
      </c>
      <c r="AB113" t="n">
        <v>35</v>
      </c>
      <c r="AC113" t="n">
        <v>0</v>
      </c>
    </row>
    <row r="114">
      <c r="A114" s="317" t="n">
        <v>46335</v>
      </c>
      <c r="B114" s="159">
        <f>SUMIFS('METAS EMPRESAS'!$K$15:$K$320,'METAS EMPRESAS'!$A$15:$A$320,"EJ",'METAS EMPRESAS'!$B$15:$B$320,"PREMONTAGEM",'METAS EMPRESAS'!$C$15:$C$320,$A114-WEEKDAY($A114,2)+1)</f>
        <v/>
      </c>
      <c r="C114" s="159">
        <f>SUMIFS('METAS EMPRESAS'!$K$15:$K$320,'METAS EMPRESAS'!$A$15:$A$320,"EJ",'METAS EMPRESAS'!$B$15:$B$320,"IÇAMENTO JOIST",'METAS EMPRESAS'!$C$15:$C$320,$A114-WEEKDAY($A114,2)+1)</f>
        <v/>
      </c>
      <c r="D114" s="159">
        <f>SUMIFS('METAS EMPRESAS'!$K$15:$K$320,'METAS EMPRESAS'!$A$15:$A$320,"EJ",'METAS EMPRESAS'!$B$15:$B$320,"VIGAS",'METAS EMPRESAS'!$C$15:$C$320,$A114-WEEKDAY($A114,2)+1)</f>
        <v/>
      </c>
      <c r="E114" s="159">
        <f>SUMIFS('METAS EMPRESAS'!$K$15:$K$320,'METAS EMPRESAS'!$A$15:$A$320,"CMM",'METAS EMPRESAS'!$B$15:$B$320,"PREMONTAGEM",'METAS EMPRESAS'!$C$15:$C$320,$A114-WEEKDAY($A114,2)+1)</f>
        <v/>
      </c>
      <c r="F114" s="159">
        <f>SUMIFS('METAS EMPRESAS'!$K$15:$K$320,'METAS EMPRESAS'!$A$15:$A$320,"CMM",'METAS EMPRESAS'!$B$15:$B$320,"IÇAMENTO JOIST",'METAS EMPRESAS'!$C$15:$C$320,$A114-WEEKDAY($A114,2)+1)</f>
        <v/>
      </c>
      <c r="G114" s="159">
        <f>SUMIFS('METAS EMPRESAS'!$K$15:$K$320,'METAS EMPRESAS'!$A$15:$A$320,"CMM",'METAS EMPRESAS'!$B$15:$B$320,"VIGAS",'METAS EMPRESAS'!$C$15:$C$320,$A114-WEEKDAY($A114,2)+1)</f>
        <v/>
      </c>
      <c r="H114" s="159">
        <f>SUMIFS('METAS EMPRESAS'!$G$15:$G$320,'METAS EMPRESAS'!$A$15:$A$320,"EJ",'METAS EMPRESAS'!$B$15:$B$320,"PREMONTAGEM",'METAS EMPRESAS'!$C$15:$C$320,$A114-WEEKDAY($A114,2)+1)</f>
        <v/>
      </c>
      <c r="I114" s="159">
        <f>SUMIFS('METAS EMPRESAS'!$G$15:$G$320,'METAS EMPRESAS'!$A$15:$A$320,"EJ",'METAS EMPRESAS'!$B$15:$B$320,"IÇAMENTO JOIST",'METAS EMPRESAS'!$C$15:$C$320,$A114-WEEKDAY($A114,2)+1)</f>
        <v/>
      </c>
      <c r="J114" s="159">
        <f>SUMIFS('METAS EMPRESAS'!$G$15:$G$320,'METAS EMPRESAS'!$A$15:$A$320,"EJ",'METAS EMPRESAS'!$B$15:$B$320,"VIGAS",'METAS EMPRESAS'!$C$15:$C$320,$A114-WEEKDAY($A114,2)+1)</f>
        <v/>
      </c>
      <c r="K114" s="159">
        <f>SUMIFS('METAS EMPRESAS'!$G$15:$G$320,'METAS EMPRESAS'!$A$15:$A$320,"CMM",'METAS EMPRESAS'!$B$15:$B$320,"PREMONTAGEM",'METAS EMPRESAS'!$C$15:$C$320,$A114-WEEKDAY($A114,2)+1)</f>
        <v/>
      </c>
      <c r="L114" s="159">
        <f>SUMIFS('METAS EMPRESAS'!$G$15:$G$320,'METAS EMPRESAS'!$A$15:$A$320,"CMM",'METAS EMPRESAS'!$B$15:$B$320,"IÇAMENTO JOIST",'METAS EMPRESAS'!$C$15:$C$320,$A114-WEEKDAY($A114,2)+1)</f>
        <v/>
      </c>
      <c r="M114" s="159">
        <f>SUMIFS('METAS EMPRESAS'!$G$15:$G$320,'METAS EMPRESAS'!$A$15:$A$320,"CMM",'METAS EMPRESAS'!$B$15:$B$320,"VIGAS",'METAS EMPRESAS'!$C$15:$C$320,$A114-WEEKDAY($A114,2)+1)</f>
        <v/>
      </c>
      <c r="N114" s="159">
        <f>SUMIFS('METAS EMPRESAS'!$J$15:$J$320,'METAS EMPRESAS'!$A$15:$A$320,"EJ",'METAS EMPRESAS'!$B$15:$B$320,"PREMONTAGEM",'METAS EMPRESAS'!$C$15:$C$320,$A114-WEEKDAY($A114,2)+1)</f>
        <v/>
      </c>
      <c r="O114" s="159">
        <f>SUMIFS('METAS EMPRESAS'!$J$15:$J$320,'METAS EMPRESAS'!$A$15:$A$320,"EJ",'METAS EMPRESAS'!$B$15:$B$320,"IÇAMENTO JOIST",'METAS EMPRESAS'!$C$15:$C$320,$A114-WEEKDAY($A114,2)+1)</f>
        <v/>
      </c>
      <c r="P114" s="159">
        <f>SUMIFS('METAS EMPRESAS'!$J$15:$J$320,'METAS EMPRESAS'!$A$15:$A$320,"EJ",'METAS EMPRESAS'!$B$15:$B$320,"VIGAS",'METAS EMPRESAS'!$C$15:$C$320,$A114-WEEKDAY($A114,2)+1)</f>
        <v/>
      </c>
      <c r="Q114" s="159">
        <f>SUMIFS('METAS EMPRESAS'!$J$15:$J$320,'METAS EMPRESAS'!$A$15:$A$320,"CMM",'METAS EMPRESAS'!$B$15:$B$320,"PREMONTAGEM",'METAS EMPRESAS'!$C$15:$C$320,$A114-WEEKDAY($A114,2)+1)</f>
        <v/>
      </c>
      <c r="R114" s="159">
        <f>SUMIFS('METAS EMPRESAS'!$J$15:$J$320,'METAS EMPRESAS'!$A$15:$A$320,"CMM",'METAS EMPRESAS'!$B$15:$B$320,"IÇAMENTO JOIST",'METAS EMPRESAS'!$C$15:$C$320,$A114-WEEKDAY($A114,2)+1)</f>
        <v/>
      </c>
      <c r="S114" s="159">
        <f>SUMIFS('METAS EMPRESAS'!$J$15:$J$320,'METAS EMPRESAS'!$A$15:$A$320,"CMM",'METAS EMPRESAS'!$B$15:$B$320,"VIGAS",'METAS EMPRESAS'!$C$15:$C$320,$A114-WEEKDAY($A114,2)+1)</f>
        <v/>
      </c>
      <c r="T114">
        <f>--(WEEKDAY(A114,2)&lt;=5)</f>
        <v/>
      </c>
      <c r="U114" t="n">
        <v>19</v>
      </c>
      <c r="V114" t="n">
        <v>7</v>
      </c>
      <c r="W114" t="n">
        <v>0</v>
      </c>
      <c r="X114" t="n">
        <v>5</v>
      </c>
      <c r="Y114" t="n">
        <v>5</v>
      </c>
      <c r="Z114" t="n">
        <v>5</v>
      </c>
      <c r="AA114" t="n">
        <v>95</v>
      </c>
      <c r="AB114" t="n">
        <v>35</v>
      </c>
      <c r="AC114" t="n">
        <v>0</v>
      </c>
    </row>
    <row r="115">
      <c r="A115" s="317" t="n">
        <v>46336</v>
      </c>
      <c r="B115" s="159">
        <f>SUMIFS('METAS EMPRESAS'!$K$15:$K$320,'METAS EMPRESAS'!$A$15:$A$320,"EJ",'METAS EMPRESAS'!$B$15:$B$320,"PREMONTAGEM",'METAS EMPRESAS'!$C$15:$C$320,$A115-WEEKDAY($A115,2)+1)</f>
        <v/>
      </c>
      <c r="C115" s="159">
        <f>SUMIFS('METAS EMPRESAS'!$K$15:$K$320,'METAS EMPRESAS'!$A$15:$A$320,"EJ",'METAS EMPRESAS'!$B$15:$B$320,"IÇAMENTO JOIST",'METAS EMPRESAS'!$C$15:$C$320,$A115-WEEKDAY($A115,2)+1)</f>
        <v/>
      </c>
      <c r="D115" s="159">
        <f>SUMIFS('METAS EMPRESAS'!$K$15:$K$320,'METAS EMPRESAS'!$A$15:$A$320,"EJ",'METAS EMPRESAS'!$B$15:$B$320,"VIGAS",'METAS EMPRESAS'!$C$15:$C$320,$A115-WEEKDAY($A115,2)+1)</f>
        <v/>
      </c>
      <c r="E115" s="159">
        <f>SUMIFS('METAS EMPRESAS'!$K$15:$K$320,'METAS EMPRESAS'!$A$15:$A$320,"CMM",'METAS EMPRESAS'!$B$15:$B$320,"PREMONTAGEM",'METAS EMPRESAS'!$C$15:$C$320,$A115-WEEKDAY($A115,2)+1)</f>
        <v/>
      </c>
      <c r="F115" s="159">
        <f>SUMIFS('METAS EMPRESAS'!$K$15:$K$320,'METAS EMPRESAS'!$A$15:$A$320,"CMM",'METAS EMPRESAS'!$B$15:$B$320,"IÇAMENTO JOIST",'METAS EMPRESAS'!$C$15:$C$320,$A115-WEEKDAY($A115,2)+1)</f>
        <v/>
      </c>
      <c r="G115" s="159">
        <f>SUMIFS('METAS EMPRESAS'!$K$15:$K$320,'METAS EMPRESAS'!$A$15:$A$320,"CMM",'METAS EMPRESAS'!$B$15:$B$320,"VIGAS",'METAS EMPRESAS'!$C$15:$C$320,$A115-WEEKDAY($A115,2)+1)</f>
        <v/>
      </c>
      <c r="H115" s="159">
        <f>SUMIFS('METAS EMPRESAS'!$G$15:$G$320,'METAS EMPRESAS'!$A$15:$A$320,"EJ",'METAS EMPRESAS'!$B$15:$B$320,"PREMONTAGEM",'METAS EMPRESAS'!$C$15:$C$320,$A115-WEEKDAY($A115,2)+1)</f>
        <v/>
      </c>
      <c r="I115" s="159">
        <f>SUMIFS('METAS EMPRESAS'!$G$15:$G$320,'METAS EMPRESAS'!$A$15:$A$320,"EJ",'METAS EMPRESAS'!$B$15:$B$320,"IÇAMENTO JOIST",'METAS EMPRESAS'!$C$15:$C$320,$A115-WEEKDAY($A115,2)+1)</f>
        <v/>
      </c>
      <c r="J115" s="159">
        <f>SUMIFS('METAS EMPRESAS'!$G$15:$G$320,'METAS EMPRESAS'!$A$15:$A$320,"EJ",'METAS EMPRESAS'!$B$15:$B$320,"VIGAS",'METAS EMPRESAS'!$C$15:$C$320,$A115-WEEKDAY($A115,2)+1)</f>
        <v/>
      </c>
      <c r="K115" s="159">
        <f>SUMIFS('METAS EMPRESAS'!$G$15:$G$320,'METAS EMPRESAS'!$A$15:$A$320,"CMM",'METAS EMPRESAS'!$B$15:$B$320,"PREMONTAGEM",'METAS EMPRESAS'!$C$15:$C$320,$A115-WEEKDAY($A115,2)+1)</f>
        <v/>
      </c>
      <c r="L115" s="159">
        <f>SUMIFS('METAS EMPRESAS'!$G$15:$G$320,'METAS EMPRESAS'!$A$15:$A$320,"CMM",'METAS EMPRESAS'!$B$15:$B$320,"IÇAMENTO JOIST",'METAS EMPRESAS'!$C$15:$C$320,$A115-WEEKDAY($A115,2)+1)</f>
        <v/>
      </c>
      <c r="M115" s="159">
        <f>SUMIFS('METAS EMPRESAS'!$G$15:$G$320,'METAS EMPRESAS'!$A$15:$A$320,"CMM",'METAS EMPRESAS'!$B$15:$B$320,"VIGAS",'METAS EMPRESAS'!$C$15:$C$320,$A115-WEEKDAY($A115,2)+1)</f>
        <v/>
      </c>
      <c r="N115" s="159">
        <f>SUMIFS('METAS EMPRESAS'!$J$15:$J$320,'METAS EMPRESAS'!$A$15:$A$320,"EJ",'METAS EMPRESAS'!$B$15:$B$320,"PREMONTAGEM",'METAS EMPRESAS'!$C$15:$C$320,$A115-WEEKDAY($A115,2)+1)</f>
        <v/>
      </c>
      <c r="O115" s="159">
        <f>SUMIFS('METAS EMPRESAS'!$J$15:$J$320,'METAS EMPRESAS'!$A$15:$A$320,"EJ",'METAS EMPRESAS'!$B$15:$B$320,"IÇAMENTO JOIST",'METAS EMPRESAS'!$C$15:$C$320,$A115-WEEKDAY($A115,2)+1)</f>
        <v/>
      </c>
      <c r="P115" s="159">
        <f>SUMIFS('METAS EMPRESAS'!$J$15:$J$320,'METAS EMPRESAS'!$A$15:$A$320,"EJ",'METAS EMPRESAS'!$B$15:$B$320,"VIGAS",'METAS EMPRESAS'!$C$15:$C$320,$A115-WEEKDAY($A115,2)+1)</f>
        <v/>
      </c>
      <c r="Q115" s="159">
        <f>SUMIFS('METAS EMPRESAS'!$J$15:$J$320,'METAS EMPRESAS'!$A$15:$A$320,"CMM",'METAS EMPRESAS'!$B$15:$B$320,"PREMONTAGEM",'METAS EMPRESAS'!$C$15:$C$320,$A115-WEEKDAY($A115,2)+1)</f>
        <v/>
      </c>
      <c r="R115" s="159">
        <f>SUMIFS('METAS EMPRESAS'!$J$15:$J$320,'METAS EMPRESAS'!$A$15:$A$320,"CMM",'METAS EMPRESAS'!$B$15:$B$320,"IÇAMENTO JOIST",'METAS EMPRESAS'!$C$15:$C$320,$A115-WEEKDAY($A115,2)+1)</f>
        <v/>
      </c>
      <c r="S115" s="159">
        <f>SUMIFS('METAS EMPRESAS'!$J$15:$J$320,'METAS EMPRESAS'!$A$15:$A$320,"CMM",'METAS EMPRESAS'!$B$15:$B$320,"VIGAS",'METAS EMPRESAS'!$C$15:$C$320,$A115-WEEKDAY($A115,2)+1)</f>
        <v/>
      </c>
      <c r="T115">
        <f>--(WEEKDAY(A115,2)&lt;=5)</f>
        <v/>
      </c>
      <c r="U115" t="n">
        <v>19</v>
      </c>
      <c r="V115" t="n">
        <v>7</v>
      </c>
      <c r="W115" t="n">
        <v>0</v>
      </c>
      <c r="X115" t="n">
        <v>5</v>
      </c>
      <c r="Y115" t="n">
        <v>5</v>
      </c>
      <c r="Z115" t="n">
        <v>5</v>
      </c>
      <c r="AA115" t="n">
        <v>95</v>
      </c>
      <c r="AB115" t="n">
        <v>35</v>
      </c>
      <c r="AC115" t="n">
        <v>0</v>
      </c>
    </row>
    <row r="116">
      <c r="A116" s="317" t="n">
        <v>46337</v>
      </c>
      <c r="B116" s="159">
        <f>SUMIFS('METAS EMPRESAS'!$K$15:$K$320,'METAS EMPRESAS'!$A$15:$A$320,"EJ",'METAS EMPRESAS'!$B$15:$B$320,"PREMONTAGEM",'METAS EMPRESAS'!$C$15:$C$320,$A116-WEEKDAY($A116,2)+1)</f>
        <v/>
      </c>
      <c r="C116" s="159">
        <f>SUMIFS('METAS EMPRESAS'!$K$15:$K$320,'METAS EMPRESAS'!$A$15:$A$320,"EJ",'METAS EMPRESAS'!$B$15:$B$320,"IÇAMENTO JOIST",'METAS EMPRESAS'!$C$15:$C$320,$A116-WEEKDAY($A116,2)+1)</f>
        <v/>
      </c>
      <c r="D116" s="159">
        <f>SUMIFS('METAS EMPRESAS'!$K$15:$K$320,'METAS EMPRESAS'!$A$15:$A$320,"EJ",'METAS EMPRESAS'!$B$15:$B$320,"VIGAS",'METAS EMPRESAS'!$C$15:$C$320,$A116-WEEKDAY($A116,2)+1)</f>
        <v/>
      </c>
      <c r="E116" s="159">
        <f>SUMIFS('METAS EMPRESAS'!$K$15:$K$320,'METAS EMPRESAS'!$A$15:$A$320,"CMM",'METAS EMPRESAS'!$B$15:$B$320,"PREMONTAGEM",'METAS EMPRESAS'!$C$15:$C$320,$A116-WEEKDAY($A116,2)+1)</f>
        <v/>
      </c>
      <c r="F116" s="159">
        <f>SUMIFS('METAS EMPRESAS'!$K$15:$K$320,'METAS EMPRESAS'!$A$15:$A$320,"CMM",'METAS EMPRESAS'!$B$15:$B$320,"IÇAMENTO JOIST",'METAS EMPRESAS'!$C$15:$C$320,$A116-WEEKDAY($A116,2)+1)</f>
        <v/>
      </c>
      <c r="G116" s="159">
        <f>SUMIFS('METAS EMPRESAS'!$K$15:$K$320,'METAS EMPRESAS'!$A$15:$A$320,"CMM",'METAS EMPRESAS'!$B$15:$B$320,"VIGAS",'METAS EMPRESAS'!$C$15:$C$320,$A116-WEEKDAY($A116,2)+1)</f>
        <v/>
      </c>
      <c r="H116" s="159">
        <f>SUMIFS('METAS EMPRESAS'!$G$15:$G$320,'METAS EMPRESAS'!$A$15:$A$320,"EJ",'METAS EMPRESAS'!$B$15:$B$320,"PREMONTAGEM",'METAS EMPRESAS'!$C$15:$C$320,$A116-WEEKDAY($A116,2)+1)</f>
        <v/>
      </c>
      <c r="I116" s="159">
        <f>SUMIFS('METAS EMPRESAS'!$G$15:$G$320,'METAS EMPRESAS'!$A$15:$A$320,"EJ",'METAS EMPRESAS'!$B$15:$B$320,"IÇAMENTO JOIST",'METAS EMPRESAS'!$C$15:$C$320,$A116-WEEKDAY($A116,2)+1)</f>
        <v/>
      </c>
      <c r="J116" s="159">
        <f>SUMIFS('METAS EMPRESAS'!$G$15:$G$320,'METAS EMPRESAS'!$A$15:$A$320,"EJ",'METAS EMPRESAS'!$B$15:$B$320,"VIGAS",'METAS EMPRESAS'!$C$15:$C$320,$A116-WEEKDAY($A116,2)+1)</f>
        <v/>
      </c>
      <c r="K116" s="159">
        <f>SUMIFS('METAS EMPRESAS'!$G$15:$G$320,'METAS EMPRESAS'!$A$15:$A$320,"CMM",'METAS EMPRESAS'!$B$15:$B$320,"PREMONTAGEM",'METAS EMPRESAS'!$C$15:$C$320,$A116-WEEKDAY($A116,2)+1)</f>
        <v/>
      </c>
      <c r="L116" s="159">
        <f>SUMIFS('METAS EMPRESAS'!$G$15:$G$320,'METAS EMPRESAS'!$A$15:$A$320,"CMM",'METAS EMPRESAS'!$B$15:$B$320,"IÇAMENTO JOIST",'METAS EMPRESAS'!$C$15:$C$320,$A116-WEEKDAY($A116,2)+1)</f>
        <v/>
      </c>
      <c r="M116" s="159">
        <f>SUMIFS('METAS EMPRESAS'!$G$15:$G$320,'METAS EMPRESAS'!$A$15:$A$320,"CMM",'METAS EMPRESAS'!$B$15:$B$320,"VIGAS",'METAS EMPRESAS'!$C$15:$C$320,$A116-WEEKDAY($A116,2)+1)</f>
        <v/>
      </c>
      <c r="N116" s="159">
        <f>SUMIFS('METAS EMPRESAS'!$J$15:$J$320,'METAS EMPRESAS'!$A$15:$A$320,"EJ",'METAS EMPRESAS'!$B$15:$B$320,"PREMONTAGEM",'METAS EMPRESAS'!$C$15:$C$320,$A116-WEEKDAY($A116,2)+1)</f>
        <v/>
      </c>
      <c r="O116" s="159">
        <f>SUMIFS('METAS EMPRESAS'!$J$15:$J$320,'METAS EMPRESAS'!$A$15:$A$320,"EJ",'METAS EMPRESAS'!$B$15:$B$320,"IÇAMENTO JOIST",'METAS EMPRESAS'!$C$15:$C$320,$A116-WEEKDAY($A116,2)+1)</f>
        <v/>
      </c>
      <c r="P116" s="159">
        <f>SUMIFS('METAS EMPRESAS'!$J$15:$J$320,'METAS EMPRESAS'!$A$15:$A$320,"EJ",'METAS EMPRESAS'!$B$15:$B$320,"VIGAS",'METAS EMPRESAS'!$C$15:$C$320,$A116-WEEKDAY($A116,2)+1)</f>
        <v/>
      </c>
      <c r="Q116" s="159">
        <f>SUMIFS('METAS EMPRESAS'!$J$15:$J$320,'METAS EMPRESAS'!$A$15:$A$320,"CMM",'METAS EMPRESAS'!$B$15:$B$320,"PREMONTAGEM",'METAS EMPRESAS'!$C$15:$C$320,$A116-WEEKDAY($A116,2)+1)</f>
        <v/>
      </c>
      <c r="R116" s="159">
        <f>SUMIFS('METAS EMPRESAS'!$J$15:$J$320,'METAS EMPRESAS'!$A$15:$A$320,"CMM",'METAS EMPRESAS'!$B$15:$B$320,"IÇAMENTO JOIST",'METAS EMPRESAS'!$C$15:$C$320,$A116-WEEKDAY($A116,2)+1)</f>
        <v/>
      </c>
      <c r="S116" s="159">
        <f>SUMIFS('METAS EMPRESAS'!$J$15:$J$320,'METAS EMPRESAS'!$A$15:$A$320,"CMM",'METAS EMPRESAS'!$B$15:$B$320,"VIGAS",'METAS EMPRESAS'!$C$15:$C$320,$A116-WEEKDAY($A116,2)+1)</f>
        <v/>
      </c>
      <c r="T116">
        <f>--(WEEKDAY(A116,2)&lt;=5)</f>
        <v/>
      </c>
      <c r="U116" t="n">
        <v>19</v>
      </c>
      <c r="V116" t="n">
        <v>7</v>
      </c>
      <c r="W116" t="n">
        <v>0</v>
      </c>
      <c r="X116" t="n">
        <v>5</v>
      </c>
      <c r="Y116" t="n">
        <v>5</v>
      </c>
      <c r="Z116" t="n">
        <v>5</v>
      </c>
      <c r="AA116" t="n">
        <v>95</v>
      </c>
      <c r="AB116" t="n">
        <v>35</v>
      </c>
      <c r="AC116" t="n">
        <v>0</v>
      </c>
    </row>
    <row r="117">
      <c r="A117" s="317" t="n">
        <v>46338</v>
      </c>
      <c r="B117" s="159">
        <f>SUMIFS('METAS EMPRESAS'!$K$15:$K$320,'METAS EMPRESAS'!$A$15:$A$320,"EJ",'METAS EMPRESAS'!$B$15:$B$320,"PREMONTAGEM",'METAS EMPRESAS'!$C$15:$C$320,$A117-WEEKDAY($A117,2)+1)</f>
        <v/>
      </c>
      <c r="C117" s="159">
        <f>SUMIFS('METAS EMPRESAS'!$K$15:$K$320,'METAS EMPRESAS'!$A$15:$A$320,"EJ",'METAS EMPRESAS'!$B$15:$B$320,"IÇAMENTO JOIST",'METAS EMPRESAS'!$C$15:$C$320,$A117-WEEKDAY($A117,2)+1)</f>
        <v/>
      </c>
      <c r="D117" s="159">
        <f>SUMIFS('METAS EMPRESAS'!$K$15:$K$320,'METAS EMPRESAS'!$A$15:$A$320,"EJ",'METAS EMPRESAS'!$B$15:$B$320,"VIGAS",'METAS EMPRESAS'!$C$15:$C$320,$A117-WEEKDAY($A117,2)+1)</f>
        <v/>
      </c>
      <c r="E117" s="159">
        <f>SUMIFS('METAS EMPRESAS'!$K$15:$K$320,'METAS EMPRESAS'!$A$15:$A$320,"CMM",'METAS EMPRESAS'!$B$15:$B$320,"PREMONTAGEM",'METAS EMPRESAS'!$C$15:$C$320,$A117-WEEKDAY($A117,2)+1)</f>
        <v/>
      </c>
      <c r="F117" s="159">
        <f>SUMIFS('METAS EMPRESAS'!$K$15:$K$320,'METAS EMPRESAS'!$A$15:$A$320,"CMM",'METAS EMPRESAS'!$B$15:$B$320,"IÇAMENTO JOIST",'METAS EMPRESAS'!$C$15:$C$320,$A117-WEEKDAY($A117,2)+1)</f>
        <v/>
      </c>
      <c r="G117" s="159">
        <f>SUMIFS('METAS EMPRESAS'!$K$15:$K$320,'METAS EMPRESAS'!$A$15:$A$320,"CMM",'METAS EMPRESAS'!$B$15:$B$320,"VIGAS",'METAS EMPRESAS'!$C$15:$C$320,$A117-WEEKDAY($A117,2)+1)</f>
        <v/>
      </c>
      <c r="H117" s="159">
        <f>SUMIFS('METAS EMPRESAS'!$G$15:$G$320,'METAS EMPRESAS'!$A$15:$A$320,"EJ",'METAS EMPRESAS'!$B$15:$B$320,"PREMONTAGEM",'METAS EMPRESAS'!$C$15:$C$320,$A117-WEEKDAY($A117,2)+1)</f>
        <v/>
      </c>
      <c r="I117" s="159">
        <f>SUMIFS('METAS EMPRESAS'!$G$15:$G$320,'METAS EMPRESAS'!$A$15:$A$320,"EJ",'METAS EMPRESAS'!$B$15:$B$320,"IÇAMENTO JOIST",'METAS EMPRESAS'!$C$15:$C$320,$A117-WEEKDAY($A117,2)+1)</f>
        <v/>
      </c>
      <c r="J117" s="159">
        <f>SUMIFS('METAS EMPRESAS'!$G$15:$G$320,'METAS EMPRESAS'!$A$15:$A$320,"EJ",'METAS EMPRESAS'!$B$15:$B$320,"VIGAS",'METAS EMPRESAS'!$C$15:$C$320,$A117-WEEKDAY($A117,2)+1)</f>
        <v/>
      </c>
      <c r="K117" s="159">
        <f>SUMIFS('METAS EMPRESAS'!$G$15:$G$320,'METAS EMPRESAS'!$A$15:$A$320,"CMM",'METAS EMPRESAS'!$B$15:$B$320,"PREMONTAGEM",'METAS EMPRESAS'!$C$15:$C$320,$A117-WEEKDAY($A117,2)+1)</f>
        <v/>
      </c>
      <c r="L117" s="159">
        <f>SUMIFS('METAS EMPRESAS'!$G$15:$G$320,'METAS EMPRESAS'!$A$15:$A$320,"CMM",'METAS EMPRESAS'!$B$15:$B$320,"IÇAMENTO JOIST",'METAS EMPRESAS'!$C$15:$C$320,$A117-WEEKDAY($A117,2)+1)</f>
        <v/>
      </c>
      <c r="M117" s="159">
        <f>SUMIFS('METAS EMPRESAS'!$G$15:$G$320,'METAS EMPRESAS'!$A$15:$A$320,"CMM",'METAS EMPRESAS'!$B$15:$B$320,"VIGAS",'METAS EMPRESAS'!$C$15:$C$320,$A117-WEEKDAY($A117,2)+1)</f>
        <v/>
      </c>
      <c r="N117" s="159">
        <f>SUMIFS('METAS EMPRESAS'!$J$15:$J$320,'METAS EMPRESAS'!$A$15:$A$320,"EJ",'METAS EMPRESAS'!$B$15:$B$320,"PREMONTAGEM",'METAS EMPRESAS'!$C$15:$C$320,$A117-WEEKDAY($A117,2)+1)</f>
        <v/>
      </c>
      <c r="O117" s="159">
        <f>SUMIFS('METAS EMPRESAS'!$J$15:$J$320,'METAS EMPRESAS'!$A$15:$A$320,"EJ",'METAS EMPRESAS'!$B$15:$B$320,"IÇAMENTO JOIST",'METAS EMPRESAS'!$C$15:$C$320,$A117-WEEKDAY($A117,2)+1)</f>
        <v/>
      </c>
      <c r="P117" s="159">
        <f>SUMIFS('METAS EMPRESAS'!$J$15:$J$320,'METAS EMPRESAS'!$A$15:$A$320,"EJ",'METAS EMPRESAS'!$B$15:$B$320,"VIGAS",'METAS EMPRESAS'!$C$15:$C$320,$A117-WEEKDAY($A117,2)+1)</f>
        <v/>
      </c>
      <c r="Q117" s="159">
        <f>SUMIFS('METAS EMPRESAS'!$J$15:$J$320,'METAS EMPRESAS'!$A$15:$A$320,"CMM",'METAS EMPRESAS'!$B$15:$B$320,"PREMONTAGEM",'METAS EMPRESAS'!$C$15:$C$320,$A117-WEEKDAY($A117,2)+1)</f>
        <v/>
      </c>
      <c r="R117" s="159">
        <f>SUMIFS('METAS EMPRESAS'!$J$15:$J$320,'METAS EMPRESAS'!$A$15:$A$320,"CMM",'METAS EMPRESAS'!$B$15:$B$320,"IÇAMENTO JOIST",'METAS EMPRESAS'!$C$15:$C$320,$A117-WEEKDAY($A117,2)+1)</f>
        <v/>
      </c>
      <c r="S117" s="159">
        <f>SUMIFS('METAS EMPRESAS'!$J$15:$J$320,'METAS EMPRESAS'!$A$15:$A$320,"CMM",'METAS EMPRESAS'!$B$15:$B$320,"VIGAS",'METAS EMPRESAS'!$C$15:$C$320,$A117-WEEKDAY($A117,2)+1)</f>
        <v/>
      </c>
      <c r="T117">
        <f>--(WEEKDAY(A117,2)&lt;=5)</f>
        <v/>
      </c>
      <c r="U117" t="n">
        <v>19</v>
      </c>
      <c r="V117" t="n">
        <v>7</v>
      </c>
      <c r="W117" t="n">
        <v>0</v>
      </c>
      <c r="X117" t="n">
        <v>5</v>
      </c>
      <c r="Y117" t="n">
        <v>5</v>
      </c>
      <c r="Z117" t="n">
        <v>5</v>
      </c>
      <c r="AA117" t="n">
        <v>95</v>
      </c>
      <c r="AB117" t="n">
        <v>35</v>
      </c>
      <c r="AC117" t="n">
        <v>0</v>
      </c>
    </row>
    <row r="118">
      <c r="A118" s="317" t="n">
        <v>46339</v>
      </c>
      <c r="B118" s="159">
        <f>SUMIFS('METAS EMPRESAS'!$K$15:$K$320,'METAS EMPRESAS'!$A$15:$A$320,"EJ",'METAS EMPRESAS'!$B$15:$B$320,"PREMONTAGEM",'METAS EMPRESAS'!$C$15:$C$320,$A118-WEEKDAY($A118,2)+1)</f>
        <v/>
      </c>
      <c r="C118" s="159">
        <f>SUMIFS('METAS EMPRESAS'!$K$15:$K$320,'METAS EMPRESAS'!$A$15:$A$320,"EJ",'METAS EMPRESAS'!$B$15:$B$320,"IÇAMENTO JOIST",'METAS EMPRESAS'!$C$15:$C$320,$A118-WEEKDAY($A118,2)+1)</f>
        <v/>
      </c>
      <c r="D118" s="159">
        <f>SUMIFS('METAS EMPRESAS'!$K$15:$K$320,'METAS EMPRESAS'!$A$15:$A$320,"EJ",'METAS EMPRESAS'!$B$15:$B$320,"VIGAS",'METAS EMPRESAS'!$C$15:$C$320,$A118-WEEKDAY($A118,2)+1)</f>
        <v/>
      </c>
      <c r="E118" s="159">
        <f>SUMIFS('METAS EMPRESAS'!$K$15:$K$320,'METAS EMPRESAS'!$A$15:$A$320,"CMM",'METAS EMPRESAS'!$B$15:$B$320,"PREMONTAGEM",'METAS EMPRESAS'!$C$15:$C$320,$A118-WEEKDAY($A118,2)+1)</f>
        <v/>
      </c>
      <c r="F118" s="159">
        <f>SUMIFS('METAS EMPRESAS'!$K$15:$K$320,'METAS EMPRESAS'!$A$15:$A$320,"CMM",'METAS EMPRESAS'!$B$15:$B$320,"IÇAMENTO JOIST",'METAS EMPRESAS'!$C$15:$C$320,$A118-WEEKDAY($A118,2)+1)</f>
        <v/>
      </c>
      <c r="G118" s="159">
        <f>SUMIFS('METAS EMPRESAS'!$K$15:$K$320,'METAS EMPRESAS'!$A$15:$A$320,"CMM",'METAS EMPRESAS'!$B$15:$B$320,"VIGAS",'METAS EMPRESAS'!$C$15:$C$320,$A118-WEEKDAY($A118,2)+1)</f>
        <v/>
      </c>
      <c r="H118" s="159">
        <f>SUMIFS('METAS EMPRESAS'!$G$15:$G$320,'METAS EMPRESAS'!$A$15:$A$320,"EJ",'METAS EMPRESAS'!$B$15:$B$320,"PREMONTAGEM",'METAS EMPRESAS'!$C$15:$C$320,$A118-WEEKDAY($A118,2)+1)</f>
        <v/>
      </c>
      <c r="I118" s="159">
        <f>SUMIFS('METAS EMPRESAS'!$G$15:$G$320,'METAS EMPRESAS'!$A$15:$A$320,"EJ",'METAS EMPRESAS'!$B$15:$B$320,"IÇAMENTO JOIST",'METAS EMPRESAS'!$C$15:$C$320,$A118-WEEKDAY($A118,2)+1)</f>
        <v/>
      </c>
      <c r="J118" s="159">
        <f>SUMIFS('METAS EMPRESAS'!$G$15:$G$320,'METAS EMPRESAS'!$A$15:$A$320,"EJ",'METAS EMPRESAS'!$B$15:$B$320,"VIGAS",'METAS EMPRESAS'!$C$15:$C$320,$A118-WEEKDAY($A118,2)+1)</f>
        <v/>
      </c>
      <c r="K118" s="159">
        <f>SUMIFS('METAS EMPRESAS'!$G$15:$G$320,'METAS EMPRESAS'!$A$15:$A$320,"CMM",'METAS EMPRESAS'!$B$15:$B$320,"PREMONTAGEM",'METAS EMPRESAS'!$C$15:$C$320,$A118-WEEKDAY($A118,2)+1)</f>
        <v/>
      </c>
      <c r="L118" s="159">
        <f>SUMIFS('METAS EMPRESAS'!$G$15:$G$320,'METAS EMPRESAS'!$A$15:$A$320,"CMM",'METAS EMPRESAS'!$B$15:$B$320,"IÇAMENTO JOIST",'METAS EMPRESAS'!$C$15:$C$320,$A118-WEEKDAY($A118,2)+1)</f>
        <v/>
      </c>
      <c r="M118" s="159">
        <f>SUMIFS('METAS EMPRESAS'!$G$15:$G$320,'METAS EMPRESAS'!$A$15:$A$320,"CMM",'METAS EMPRESAS'!$B$15:$B$320,"VIGAS",'METAS EMPRESAS'!$C$15:$C$320,$A118-WEEKDAY($A118,2)+1)</f>
        <v/>
      </c>
      <c r="N118" s="159">
        <f>SUMIFS('METAS EMPRESAS'!$J$15:$J$320,'METAS EMPRESAS'!$A$15:$A$320,"EJ",'METAS EMPRESAS'!$B$15:$B$320,"PREMONTAGEM",'METAS EMPRESAS'!$C$15:$C$320,$A118-WEEKDAY($A118,2)+1)</f>
        <v/>
      </c>
      <c r="O118" s="159">
        <f>SUMIFS('METAS EMPRESAS'!$J$15:$J$320,'METAS EMPRESAS'!$A$15:$A$320,"EJ",'METAS EMPRESAS'!$B$15:$B$320,"IÇAMENTO JOIST",'METAS EMPRESAS'!$C$15:$C$320,$A118-WEEKDAY($A118,2)+1)</f>
        <v/>
      </c>
      <c r="P118" s="159">
        <f>SUMIFS('METAS EMPRESAS'!$J$15:$J$320,'METAS EMPRESAS'!$A$15:$A$320,"EJ",'METAS EMPRESAS'!$B$15:$B$320,"VIGAS",'METAS EMPRESAS'!$C$15:$C$320,$A118-WEEKDAY($A118,2)+1)</f>
        <v/>
      </c>
      <c r="Q118" s="159">
        <f>SUMIFS('METAS EMPRESAS'!$J$15:$J$320,'METAS EMPRESAS'!$A$15:$A$320,"CMM",'METAS EMPRESAS'!$B$15:$B$320,"PREMONTAGEM",'METAS EMPRESAS'!$C$15:$C$320,$A118-WEEKDAY($A118,2)+1)</f>
        <v/>
      </c>
      <c r="R118" s="159">
        <f>SUMIFS('METAS EMPRESAS'!$J$15:$J$320,'METAS EMPRESAS'!$A$15:$A$320,"CMM",'METAS EMPRESAS'!$B$15:$B$320,"IÇAMENTO JOIST",'METAS EMPRESAS'!$C$15:$C$320,$A118-WEEKDAY($A118,2)+1)</f>
        <v/>
      </c>
      <c r="S118" s="159">
        <f>SUMIFS('METAS EMPRESAS'!$J$15:$J$320,'METAS EMPRESAS'!$A$15:$A$320,"CMM",'METAS EMPRESAS'!$B$15:$B$320,"VIGAS",'METAS EMPRESAS'!$C$15:$C$320,$A118-WEEKDAY($A118,2)+1)</f>
        <v/>
      </c>
      <c r="T118">
        <f>--(WEEKDAY(A118,2)&lt;=5)</f>
        <v/>
      </c>
      <c r="U118" t="n">
        <v>19</v>
      </c>
      <c r="V118" t="n">
        <v>7</v>
      </c>
      <c r="W118" t="n">
        <v>0</v>
      </c>
      <c r="X118" t="n">
        <v>5</v>
      </c>
      <c r="Y118" t="n">
        <v>5</v>
      </c>
      <c r="Z118" t="n">
        <v>5</v>
      </c>
      <c r="AA118" t="n">
        <v>95</v>
      </c>
      <c r="AB118" t="n">
        <v>35</v>
      </c>
      <c r="AC118" t="n">
        <v>0</v>
      </c>
    </row>
    <row r="119">
      <c r="A119" s="317" t="n">
        <v>46340</v>
      </c>
      <c r="B119" s="159">
        <f>SUMIFS('METAS EMPRESAS'!$K$15:$K$320,'METAS EMPRESAS'!$A$15:$A$320,"EJ",'METAS EMPRESAS'!$B$15:$B$320,"PREMONTAGEM",'METAS EMPRESAS'!$C$15:$C$320,$A119-WEEKDAY($A119,2)+1)</f>
        <v/>
      </c>
      <c r="C119" s="159">
        <f>SUMIFS('METAS EMPRESAS'!$K$15:$K$320,'METAS EMPRESAS'!$A$15:$A$320,"EJ",'METAS EMPRESAS'!$B$15:$B$320,"IÇAMENTO JOIST",'METAS EMPRESAS'!$C$15:$C$320,$A119-WEEKDAY($A119,2)+1)</f>
        <v/>
      </c>
      <c r="D119" s="159">
        <f>SUMIFS('METAS EMPRESAS'!$K$15:$K$320,'METAS EMPRESAS'!$A$15:$A$320,"EJ",'METAS EMPRESAS'!$B$15:$B$320,"VIGAS",'METAS EMPRESAS'!$C$15:$C$320,$A119-WEEKDAY($A119,2)+1)</f>
        <v/>
      </c>
      <c r="E119" s="159">
        <f>SUMIFS('METAS EMPRESAS'!$K$15:$K$320,'METAS EMPRESAS'!$A$15:$A$320,"CMM",'METAS EMPRESAS'!$B$15:$B$320,"PREMONTAGEM",'METAS EMPRESAS'!$C$15:$C$320,$A119-WEEKDAY($A119,2)+1)</f>
        <v/>
      </c>
      <c r="F119" s="159">
        <f>SUMIFS('METAS EMPRESAS'!$K$15:$K$320,'METAS EMPRESAS'!$A$15:$A$320,"CMM",'METAS EMPRESAS'!$B$15:$B$320,"IÇAMENTO JOIST",'METAS EMPRESAS'!$C$15:$C$320,$A119-WEEKDAY($A119,2)+1)</f>
        <v/>
      </c>
      <c r="G119" s="159">
        <f>SUMIFS('METAS EMPRESAS'!$K$15:$K$320,'METAS EMPRESAS'!$A$15:$A$320,"CMM",'METAS EMPRESAS'!$B$15:$B$320,"VIGAS",'METAS EMPRESAS'!$C$15:$C$320,$A119-WEEKDAY($A119,2)+1)</f>
        <v/>
      </c>
      <c r="H119" s="159">
        <f>SUMIFS('METAS EMPRESAS'!$G$15:$G$320,'METAS EMPRESAS'!$A$15:$A$320,"EJ",'METAS EMPRESAS'!$B$15:$B$320,"PREMONTAGEM",'METAS EMPRESAS'!$C$15:$C$320,$A119-WEEKDAY($A119,2)+1)</f>
        <v/>
      </c>
      <c r="I119" s="159">
        <f>SUMIFS('METAS EMPRESAS'!$G$15:$G$320,'METAS EMPRESAS'!$A$15:$A$320,"EJ",'METAS EMPRESAS'!$B$15:$B$320,"IÇAMENTO JOIST",'METAS EMPRESAS'!$C$15:$C$320,$A119-WEEKDAY($A119,2)+1)</f>
        <v/>
      </c>
      <c r="J119" s="159">
        <f>SUMIFS('METAS EMPRESAS'!$G$15:$G$320,'METAS EMPRESAS'!$A$15:$A$320,"EJ",'METAS EMPRESAS'!$B$15:$B$320,"VIGAS",'METAS EMPRESAS'!$C$15:$C$320,$A119-WEEKDAY($A119,2)+1)</f>
        <v/>
      </c>
      <c r="K119" s="159">
        <f>SUMIFS('METAS EMPRESAS'!$G$15:$G$320,'METAS EMPRESAS'!$A$15:$A$320,"CMM",'METAS EMPRESAS'!$B$15:$B$320,"PREMONTAGEM",'METAS EMPRESAS'!$C$15:$C$320,$A119-WEEKDAY($A119,2)+1)</f>
        <v/>
      </c>
      <c r="L119" s="159">
        <f>SUMIFS('METAS EMPRESAS'!$G$15:$G$320,'METAS EMPRESAS'!$A$15:$A$320,"CMM",'METAS EMPRESAS'!$B$15:$B$320,"IÇAMENTO JOIST",'METAS EMPRESAS'!$C$15:$C$320,$A119-WEEKDAY($A119,2)+1)</f>
        <v/>
      </c>
      <c r="M119" s="159">
        <f>SUMIFS('METAS EMPRESAS'!$G$15:$G$320,'METAS EMPRESAS'!$A$15:$A$320,"CMM",'METAS EMPRESAS'!$B$15:$B$320,"VIGAS",'METAS EMPRESAS'!$C$15:$C$320,$A119-WEEKDAY($A119,2)+1)</f>
        <v/>
      </c>
      <c r="N119" s="159">
        <f>SUMIFS('METAS EMPRESAS'!$J$15:$J$320,'METAS EMPRESAS'!$A$15:$A$320,"EJ",'METAS EMPRESAS'!$B$15:$B$320,"PREMONTAGEM",'METAS EMPRESAS'!$C$15:$C$320,$A119-WEEKDAY($A119,2)+1)</f>
        <v/>
      </c>
      <c r="O119" s="159">
        <f>SUMIFS('METAS EMPRESAS'!$J$15:$J$320,'METAS EMPRESAS'!$A$15:$A$320,"EJ",'METAS EMPRESAS'!$B$15:$B$320,"IÇAMENTO JOIST",'METAS EMPRESAS'!$C$15:$C$320,$A119-WEEKDAY($A119,2)+1)</f>
        <v/>
      </c>
      <c r="P119" s="159">
        <f>SUMIFS('METAS EMPRESAS'!$J$15:$J$320,'METAS EMPRESAS'!$A$15:$A$320,"EJ",'METAS EMPRESAS'!$B$15:$B$320,"VIGAS",'METAS EMPRESAS'!$C$15:$C$320,$A119-WEEKDAY($A119,2)+1)</f>
        <v/>
      </c>
      <c r="Q119" s="159">
        <f>SUMIFS('METAS EMPRESAS'!$J$15:$J$320,'METAS EMPRESAS'!$A$15:$A$320,"CMM",'METAS EMPRESAS'!$B$15:$B$320,"PREMONTAGEM",'METAS EMPRESAS'!$C$15:$C$320,$A119-WEEKDAY($A119,2)+1)</f>
        <v/>
      </c>
      <c r="R119" s="159">
        <f>SUMIFS('METAS EMPRESAS'!$J$15:$J$320,'METAS EMPRESAS'!$A$15:$A$320,"CMM",'METAS EMPRESAS'!$B$15:$B$320,"IÇAMENTO JOIST",'METAS EMPRESAS'!$C$15:$C$320,$A119-WEEKDAY($A119,2)+1)</f>
        <v/>
      </c>
      <c r="S119" s="159">
        <f>SUMIFS('METAS EMPRESAS'!$J$15:$J$320,'METAS EMPRESAS'!$A$15:$A$320,"CMM",'METAS EMPRESAS'!$B$15:$B$320,"VIGAS",'METAS EMPRESAS'!$C$15:$C$320,$A119-WEEKDAY($A119,2)+1)</f>
        <v/>
      </c>
      <c r="T119">
        <f>--(WEEKDAY(A119,2)&lt;=5)</f>
        <v/>
      </c>
      <c r="U119" t="n">
        <v>19</v>
      </c>
      <c r="V119" t="n">
        <v>7</v>
      </c>
      <c r="W119" t="n">
        <v>0</v>
      </c>
      <c r="X119" t="n">
        <v>5</v>
      </c>
      <c r="Y119" t="n">
        <v>5</v>
      </c>
      <c r="Z119" t="n">
        <v>5</v>
      </c>
      <c r="AA119" t="n">
        <v>95</v>
      </c>
      <c r="AB119" t="n">
        <v>35</v>
      </c>
      <c r="AC119" t="n">
        <v>0</v>
      </c>
    </row>
    <row r="120">
      <c r="A120" s="317" t="n">
        <v>46341</v>
      </c>
      <c r="B120" s="159">
        <f>SUMIFS('METAS EMPRESAS'!$K$15:$K$320,'METAS EMPRESAS'!$A$15:$A$320,"EJ",'METAS EMPRESAS'!$B$15:$B$320,"PREMONTAGEM",'METAS EMPRESAS'!$C$15:$C$320,$A120-WEEKDAY($A120,2)+1)</f>
        <v/>
      </c>
      <c r="C120" s="159">
        <f>SUMIFS('METAS EMPRESAS'!$K$15:$K$320,'METAS EMPRESAS'!$A$15:$A$320,"EJ",'METAS EMPRESAS'!$B$15:$B$320,"IÇAMENTO JOIST",'METAS EMPRESAS'!$C$15:$C$320,$A120-WEEKDAY($A120,2)+1)</f>
        <v/>
      </c>
      <c r="D120" s="159">
        <f>SUMIFS('METAS EMPRESAS'!$K$15:$K$320,'METAS EMPRESAS'!$A$15:$A$320,"EJ",'METAS EMPRESAS'!$B$15:$B$320,"VIGAS",'METAS EMPRESAS'!$C$15:$C$320,$A120-WEEKDAY($A120,2)+1)</f>
        <v/>
      </c>
      <c r="E120" s="159">
        <f>SUMIFS('METAS EMPRESAS'!$K$15:$K$320,'METAS EMPRESAS'!$A$15:$A$320,"CMM",'METAS EMPRESAS'!$B$15:$B$320,"PREMONTAGEM",'METAS EMPRESAS'!$C$15:$C$320,$A120-WEEKDAY($A120,2)+1)</f>
        <v/>
      </c>
      <c r="F120" s="159">
        <f>SUMIFS('METAS EMPRESAS'!$K$15:$K$320,'METAS EMPRESAS'!$A$15:$A$320,"CMM",'METAS EMPRESAS'!$B$15:$B$320,"IÇAMENTO JOIST",'METAS EMPRESAS'!$C$15:$C$320,$A120-WEEKDAY($A120,2)+1)</f>
        <v/>
      </c>
      <c r="G120" s="159">
        <f>SUMIFS('METAS EMPRESAS'!$K$15:$K$320,'METAS EMPRESAS'!$A$15:$A$320,"CMM",'METAS EMPRESAS'!$B$15:$B$320,"VIGAS",'METAS EMPRESAS'!$C$15:$C$320,$A120-WEEKDAY($A120,2)+1)</f>
        <v/>
      </c>
      <c r="H120" s="159">
        <f>SUMIFS('METAS EMPRESAS'!$G$15:$G$320,'METAS EMPRESAS'!$A$15:$A$320,"EJ",'METAS EMPRESAS'!$B$15:$B$320,"PREMONTAGEM",'METAS EMPRESAS'!$C$15:$C$320,$A120-WEEKDAY($A120,2)+1)</f>
        <v/>
      </c>
      <c r="I120" s="159">
        <f>SUMIFS('METAS EMPRESAS'!$G$15:$G$320,'METAS EMPRESAS'!$A$15:$A$320,"EJ",'METAS EMPRESAS'!$B$15:$B$320,"IÇAMENTO JOIST",'METAS EMPRESAS'!$C$15:$C$320,$A120-WEEKDAY($A120,2)+1)</f>
        <v/>
      </c>
      <c r="J120" s="159">
        <f>SUMIFS('METAS EMPRESAS'!$G$15:$G$320,'METAS EMPRESAS'!$A$15:$A$320,"EJ",'METAS EMPRESAS'!$B$15:$B$320,"VIGAS",'METAS EMPRESAS'!$C$15:$C$320,$A120-WEEKDAY($A120,2)+1)</f>
        <v/>
      </c>
      <c r="K120" s="159">
        <f>SUMIFS('METAS EMPRESAS'!$G$15:$G$320,'METAS EMPRESAS'!$A$15:$A$320,"CMM",'METAS EMPRESAS'!$B$15:$B$320,"PREMONTAGEM",'METAS EMPRESAS'!$C$15:$C$320,$A120-WEEKDAY($A120,2)+1)</f>
        <v/>
      </c>
      <c r="L120" s="159">
        <f>SUMIFS('METAS EMPRESAS'!$G$15:$G$320,'METAS EMPRESAS'!$A$15:$A$320,"CMM",'METAS EMPRESAS'!$B$15:$B$320,"IÇAMENTO JOIST",'METAS EMPRESAS'!$C$15:$C$320,$A120-WEEKDAY($A120,2)+1)</f>
        <v/>
      </c>
      <c r="M120" s="159">
        <f>SUMIFS('METAS EMPRESAS'!$G$15:$G$320,'METAS EMPRESAS'!$A$15:$A$320,"CMM",'METAS EMPRESAS'!$B$15:$B$320,"VIGAS",'METAS EMPRESAS'!$C$15:$C$320,$A120-WEEKDAY($A120,2)+1)</f>
        <v/>
      </c>
      <c r="N120" s="159">
        <f>SUMIFS('METAS EMPRESAS'!$J$15:$J$320,'METAS EMPRESAS'!$A$15:$A$320,"EJ",'METAS EMPRESAS'!$B$15:$B$320,"PREMONTAGEM",'METAS EMPRESAS'!$C$15:$C$320,$A120-WEEKDAY($A120,2)+1)</f>
        <v/>
      </c>
      <c r="O120" s="159">
        <f>SUMIFS('METAS EMPRESAS'!$J$15:$J$320,'METAS EMPRESAS'!$A$15:$A$320,"EJ",'METAS EMPRESAS'!$B$15:$B$320,"IÇAMENTO JOIST",'METAS EMPRESAS'!$C$15:$C$320,$A120-WEEKDAY($A120,2)+1)</f>
        <v/>
      </c>
      <c r="P120" s="159">
        <f>SUMIFS('METAS EMPRESAS'!$J$15:$J$320,'METAS EMPRESAS'!$A$15:$A$320,"EJ",'METAS EMPRESAS'!$B$15:$B$320,"VIGAS",'METAS EMPRESAS'!$C$15:$C$320,$A120-WEEKDAY($A120,2)+1)</f>
        <v/>
      </c>
      <c r="Q120" s="159">
        <f>SUMIFS('METAS EMPRESAS'!$J$15:$J$320,'METAS EMPRESAS'!$A$15:$A$320,"CMM",'METAS EMPRESAS'!$B$15:$B$320,"PREMONTAGEM",'METAS EMPRESAS'!$C$15:$C$320,$A120-WEEKDAY($A120,2)+1)</f>
        <v/>
      </c>
      <c r="R120" s="159">
        <f>SUMIFS('METAS EMPRESAS'!$J$15:$J$320,'METAS EMPRESAS'!$A$15:$A$320,"CMM",'METAS EMPRESAS'!$B$15:$B$320,"IÇAMENTO JOIST",'METAS EMPRESAS'!$C$15:$C$320,$A120-WEEKDAY($A120,2)+1)</f>
        <v/>
      </c>
      <c r="S120" s="159">
        <f>SUMIFS('METAS EMPRESAS'!$J$15:$J$320,'METAS EMPRESAS'!$A$15:$A$320,"CMM",'METAS EMPRESAS'!$B$15:$B$320,"VIGAS",'METAS EMPRESAS'!$C$15:$C$320,$A120-WEEKDAY($A120,2)+1)</f>
        <v/>
      </c>
      <c r="T120">
        <f>--(WEEKDAY(A120,2)&lt;=5)</f>
        <v/>
      </c>
      <c r="U120" t="n">
        <v>19</v>
      </c>
      <c r="V120" t="n">
        <v>7</v>
      </c>
      <c r="W120" t="n">
        <v>0</v>
      </c>
      <c r="X120" t="n">
        <v>5</v>
      </c>
      <c r="Y120" t="n">
        <v>5</v>
      </c>
      <c r="Z120" t="n">
        <v>5</v>
      </c>
      <c r="AA120" t="n">
        <v>95</v>
      </c>
      <c r="AB120" t="n">
        <v>35</v>
      </c>
      <c r="AC120" t="n">
        <v>0</v>
      </c>
    </row>
    <row r="121">
      <c r="A121" s="317" t="n">
        <v>46342</v>
      </c>
      <c r="B121" s="159">
        <f>SUMIFS('METAS EMPRESAS'!$K$15:$K$320,'METAS EMPRESAS'!$A$15:$A$320,"EJ",'METAS EMPRESAS'!$B$15:$B$320,"PREMONTAGEM",'METAS EMPRESAS'!$C$15:$C$320,$A121-WEEKDAY($A121,2)+1)</f>
        <v/>
      </c>
      <c r="C121" s="159">
        <f>SUMIFS('METAS EMPRESAS'!$K$15:$K$320,'METAS EMPRESAS'!$A$15:$A$320,"EJ",'METAS EMPRESAS'!$B$15:$B$320,"IÇAMENTO JOIST",'METAS EMPRESAS'!$C$15:$C$320,$A121-WEEKDAY($A121,2)+1)</f>
        <v/>
      </c>
      <c r="D121" s="159">
        <f>SUMIFS('METAS EMPRESAS'!$K$15:$K$320,'METAS EMPRESAS'!$A$15:$A$320,"EJ",'METAS EMPRESAS'!$B$15:$B$320,"VIGAS",'METAS EMPRESAS'!$C$15:$C$320,$A121-WEEKDAY($A121,2)+1)</f>
        <v/>
      </c>
      <c r="E121" s="159">
        <f>SUMIFS('METAS EMPRESAS'!$K$15:$K$320,'METAS EMPRESAS'!$A$15:$A$320,"CMM",'METAS EMPRESAS'!$B$15:$B$320,"PREMONTAGEM",'METAS EMPRESAS'!$C$15:$C$320,$A121-WEEKDAY($A121,2)+1)</f>
        <v/>
      </c>
      <c r="F121" s="159">
        <f>SUMIFS('METAS EMPRESAS'!$K$15:$K$320,'METAS EMPRESAS'!$A$15:$A$320,"CMM",'METAS EMPRESAS'!$B$15:$B$320,"IÇAMENTO JOIST",'METAS EMPRESAS'!$C$15:$C$320,$A121-WEEKDAY($A121,2)+1)</f>
        <v/>
      </c>
      <c r="G121" s="159">
        <f>SUMIFS('METAS EMPRESAS'!$K$15:$K$320,'METAS EMPRESAS'!$A$15:$A$320,"CMM",'METAS EMPRESAS'!$B$15:$B$320,"VIGAS",'METAS EMPRESAS'!$C$15:$C$320,$A121-WEEKDAY($A121,2)+1)</f>
        <v/>
      </c>
      <c r="H121" s="159">
        <f>SUMIFS('METAS EMPRESAS'!$G$15:$G$320,'METAS EMPRESAS'!$A$15:$A$320,"EJ",'METAS EMPRESAS'!$B$15:$B$320,"PREMONTAGEM",'METAS EMPRESAS'!$C$15:$C$320,$A121-WEEKDAY($A121,2)+1)</f>
        <v/>
      </c>
      <c r="I121" s="159">
        <f>SUMIFS('METAS EMPRESAS'!$G$15:$G$320,'METAS EMPRESAS'!$A$15:$A$320,"EJ",'METAS EMPRESAS'!$B$15:$B$320,"IÇAMENTO JOIST",'METAS EMPRESAS'!$C$15:$C$320,$A121-WEEKDAY($A121,2)+1)</f>
        <v/>
      </c>
      <c r="J121" s="159">
        <f>SUMIFS('METAS EMPRESAS'!$G$15:$G$320,'METAS EMPRESAS'!$A$15:$A$320,"EJ",'METAS EMPRESAS'!$B$15:$B$320,"VIGAS",'METAS EMPRESAS'!$C$15:$C$320,$A121-WEEKDAY($A121,2)+1)</f>
        <v/>
      </c>
      <c r="K121" s="159">
        <f>SUMIFS('METAS EMPRESAS'!$G$15:$G$320,'METAS EMPRESAS'!$A$15:$A$320,"CMM",'METAS EMPRESAS'!$B$15:$B$320,"PREMONTAGEM",'METAS EMPRESAS'!$C$15:$C$320,$A121-WEEKDAY($A121,2)+1)</f>
        <v/>
      </c>
      <c r="L121" s="159">
        <f>SUMIFS('METAS EMPRESAS'!$G$15:$G$320,'METAS EMPRESAS'!$A$15:$A$320,"CMM",'METAS EMPRESAS'!$B$15:$B$320,"IÇAMENTO JOIST",'METAS EMPRESAS'!$C$15:$C$320,$A121-WEEKDAY($A121,2)+1)</f>
        <v/>
      </c>
      <c r="M121" s="159">
        <f>SUMIFS('METAS EMPRESAS'!$G$15:$G$320,'METAS EMPRESAS'!$A$15:$A$320,"CMM",'METAS EMPRESAS'!$B$15:$B$320,"VIGAS",'METAS EMPRESAS'!$C$15:$C$320,$A121-WEEKDAY($A121,2)+1)</f>
        <v/>
      </c>
      <c r="N121" s="159">
        <f>SUMIFS('METAS EMPRESAS'!$J$15:$J$320,'METAS EMPRESAS'!$A$15:$A$320,"EJ",'METAS EMPRESAS'!$B$15:$B$320,"PREMONTAGEM",'METAS EMPRESAS'!$C$15:$C$320,$A121-WEEKDAY($A121,2)+1)</f>
        <v/>
      </c>
      <c r="O121" s="159">
        <f>SUMIFS('METAS EMPRESAS'!$J$15:$J$320,'METAS EMPRESAS'!$A$15:$A$320,"EJ",'METAS EMPRESAS'!$B$15:$B$320,"IÇAMENTO JOIST",'METAS EMPRESAS'!$C$15:$C$320,$A121-WEEKDAY($A121,2)+1)</f>
        <v/>
      </c>
      <c r="P121" s="159">
        <f>SUMIFS('METAS EMPRESAS'!$J$15:$J$320,'METAS EMPRESAS'!$A$15:$A$320,"EJ",'METAS EMPRESAS'!$B$15:$B$320,"VIGAS",'METAS EMPRESAS'!$C$15:$C$320,$A121-WEEKDAY($A121,2)+1)</f>
        <v/>
      </c>
      <c r="Q121" s="159">
        <f>SUMIFS('METAS EMPRESAS'!$J$15:$J$320,'METAS EMPRESAS'!$A$15:$A$320,"CMM",'METAS EMPRESAS'!$B$15:$B$320,"PREMONTAGEM",'METAS EMPRESAS'!$C$15:$C$320,$A121-WEEKDAY($A121,2)+1)</f>
        <v/>
      </c>
      <c r="R121" s="159">
        <f>SUMIFS('METAS EMPRESAS'!$J$15:$J$320,'METAS EMPRESAS'!$A$15:$A$320,"CMM",'METAS EMPRESAS'!$B$15:$B$320,"IÇAMENTO JOIST",'METAS EMPRESAS'!$C$15:$C$320,$A121-WEEKDAY($A121,2)+1)</f>
        <v/>
      </c>
      <c r="S121" s="159">
        <f>SUMIFS('METAS EMPRESAS'!$J$15:$J$320,'METAS EMPRESAS'!$A$15:$A$320,"CMM",'METAS EMPRESAS'!$B$15:$B$320,"VIGAS",'METAS EMPRESAS'!$C$15:$C$320,$A121-WEEKDAY($A121,2)+1)</f>
        <v/>
      </c>
      <c r="T121">
        <f>--(WEEKDAY(A121,2)&lt;=5)</f>
        <v/>
      </c>
      <c r="U121" t="n">
        <v>19</v>
      </c>
      <c r="V121" t="n">
        <v>7</v>
      </c>
      <c r="W121" t="n">
        <v>0</v>
      </c>
      <c r="X121" t="n">
        <v>5</v>
      </c>
      <c r="Y121" t="n">
        <v>5</v>
      </c>
      <c r="Z121" t="n">
        <v>5</v>
      </c>
      <c r="AA121" t="n">
        <v>95</v>
      </c>
      <c r="AB121" t="n">
        <v>35</v>
      </c>
      <c r="AC121" t="n">
        <v>0</v>
      </c>
    </row>
    <row r="122">
      <c r="A122" s="317" t="n">
        <v>46343</v>
      </c>
      <c r="B122" s="159">
        <f>SUMIFS('METAS EMPRESAS'!$K$15:$K$320,'METAS EMPRESAS'!$A$15:$A$320,"EJ",'METAS EMPRESAS'!$B$15:$B$320,"PREMONTAGEM",'METAS EMPRESAS'!$C$15:$C$320,$A122-WEEKDAY($A122,2)+1)</f>
        <v/>
      </c>
      <c r="C122" s="159">
        <f>SUMIFS('METAS EMPRESAS'!$K$15:$K$320,'METAS EMPRESAS'!$A$15:$A$320,"EJ",'METAS EMPRESAS'!$B$15:$B$320,"IÇAMENTO JOIST",'METAS EMPRESAS'!$C$15:$C$320,$A122-WEEKDAY($A122,2)+1)</f>
        <v/>
      </c>
      <c r="D122" s="159">
        <f>SUMIFS('METAS EMPRESAS'!$K$15:$K$320,'METAS EMPRESAS'!$A$15:$A$320,"EJ",'METAS EMPRESAS'!$B$15:$B$320,"VIGAS",'METAS EMPRESAS'!$C$15:$C$320,$A122-WEEKDAY($A122,2)+1)</f>
        <v/>
      </c>
      <c r="E122" s="159">
        <f>SUMIFS('METAS EMPRESAS'!$K$15:$K$320,'METAS EMPRESAS'!$A$15:$A$320,"CMM",'METAS EMPRESAS'!$B$15:$B$320,"PREMONTAGEM",'METAS EMPRESAS'!$C$15:$C$320,$A122-WEEKDAY($A122,2)+1)</f>
        <v/>
      </c>
      <c r="F122" s="159">
        <f>SUMIFS('METAS EMPRESAS'!$K$15:$K$320,'METAS EMPRESAS'!$A$15:$A$320,"CMM",'METAS EMPRESAS'!$B$15:$B$320,"IÇAMENTO JOIST",'METAS EMPRESAS'!$C$15:$C$320,$A122-WEEKDAY($A122,2)+1)</f>
        <v/>
      </c>
      <c r="G122" s="159">
        <f>SUMIFS('METAS EMPRESAS'!$K$15:$K$320,'METAS EMPRESAS'!$A$15:$A$320,"CMM",'METAS EMPRESAS'!$B$15:$B$320,"VIGAS",'METAS EMPRESAS'!$C$15:$C$320,$A122-WEEKDAY($A122,2)+1)</f>
        <v/>
      </c>
      <c r="H122" s="159">
        <f>SUMIFS('METAS EMPRESAS'!$G$15:$G$320,'METAS EMPRESAS'!$A$15:$A$320,"EJ",'METAS EMPRESAS'!$B$15:$B$320,"PREMONTAGEM",'METAS EMPRESAS'!$C$15:$C$320,$A122-WEEKDAY($A122,2)+1)</f>
        <v/>
      </c>
      <c r="I122" s="159">
        <f>SUMIFS('METAS EMPRESAS'!$G$15:$G$320,'METAS EMPRESAS'!$A$15:$A$320,"EJ",'METAS EMPRESAS'!$B$15:$B$320,"IÇAMENTO JOIST",'METAS EMPRESAS'!$C$15:$C$320,$A122-WEEKDAY($A122,2)+1)</f>
        <v/>
      </c>
      <c r="J122" s="159">
        <f>SUMIFS('METAS EMPRESAS'!$G$15:$G$320,'METAS EMPRESAS'!$A$15:$A$320,"EJ",'METAS EMPRESAS'!$B$15:$B$320,"VIGAS",'METAS EMPRESAS'!$C$15:$C$320,$A122-WEEKDAY($A122,2)+1)</f>
        <v/>
      </c>
      <c r="K122" s="159">
        <f>SUMIFS('METAS EMPRESAS'!$G$15:$G$320,'METAS EMPRESAS'!$A$15:$A$320,"CMM",'METAS EMPRESAS'!$B$15:$B$320,"PREMONTAGEM",'METAS EMPRESAS'!$C$15:$C$320,$A122-WEEKDAY($A122,2)+1)</f>
        <v/>
      </c>
      <c r="L122" s="159">
        <f>SUMIFS('METAS EMPRESAS'!$G$15:$G$320,'METAS EMPRESAS'!$A$15:$A$320,"CMM",'METAS EMPRESAS'!$B$15:$B$320,"IÇAMENTO JOIST",'METAS EMPRESAS'!$C$15:$C$320,$A122-WEEKDAY($A122,2)+1)</f>
        <v/>
      </c>
      <c r="M122" s="159">
        <f>SUMIFS('METAS EMPRESAS'!$G$15:$G$320,'METAS EMPRESAS'!$A$15:$A$320,"CMM",'METAS EMPRESAS'!$B$15:$B$320,"VIGAS",'METAS EMPRESAS'!$C$15:$C$320,$A122-WEEKDAY($A122,2)+1)</f>
        <v/>
      </c>
      <c r="N122" s="159">
        <f>SUMIFS('METAS EMPRESAS'!$J$15:$J$320,'METAS EMPRESAS'!$A$15:$A$320,"EJ",'METAS EMPRESAS'!$B$15:$B$320,"PREMONTAGEM",'METAS EMPRESAS'!$C$15:$C$320,$A122-WEEKDAY($A122,2)+1)</f>
        <v/>
      </c>
      <c r="O122" s="159">
        <f>SUMIFS('METAS EMPRESAS'!$J$15:$J$320,'METAS EMPRESAS'!$A$15:$A$320,"EJ",'METAS EMPRESAS'!$B$15:$B$320,"IÇAMENTO JOIST",'METAS EMPRESAS'!$C$15:$C$320,$A122-WEEKDAY($A122,2)+1)</f>
        <v/>
      </c>
      <c r="P122" s="159">
        <f>SUMIFS('METAS EMPRESAS'!$J$15:$J$320,'METAS EMPRESAS'!$A$15:$A$320,"EJ",'METAS EMPRESAS'!$B$15:$B$320,"VIGAS",'METAS EMPRESAS'!$C$15:$C$320,$A122-WEEKDAY($A122,2)+1)</f>
        <v/>
      </c>
      <c r="Q122" s="159">
        <f>SUMIFS('METAS EMPRESAS'!$J$15:$J$320,'METAS EMPRESAS'!$A$15:$A$320,"CMM",'METAS EMPRESAS'!$B$15:$B$320,"PREMONTAGEM",'METAS EMPRESAS'!$C$15:$C$320,$A122-WEEKDAY($A122,2)+1)</f>
        <v/>
      </c>
      <c r="R122" s="159">
        <f>SUMIFS('METAS EMPRESAS'!$J$15:$J$320,'METAS EMPRESAS'!$A$15:$A$320,"CMM",'METAS EMPRESAS'!$B$15:$B$320,"IÇAMENTO JOIST",'METAS EMPRESAS'!$C$15:$C$320,$A122-WEEKDAY($A122,2)+1)</f>
        <v/>
      </c>
      <c r="S122" s="159">
        <f>SUMIFS('METAS EMPRESAS'!$J$15:$J$320,'METAS EMPRESAS'!$A$15:$A$320,"CMM",'METAS EMPRESAS'!$B$15:$B$320,"VIGAS",'METAS EMPRESAS'!$C$15:$C$320,$A122-WEEKDAY($A122,2)+1)</f>
        <v/>
      </c>
      <c r="T122">
        <f>--(WEEKDAY(A122,2)&lt;=5)</f>
        <v/>
      </c>
      <c r="U122" t="n">
        <v>19</v>
      </c>
      <c r="V122" t="n">
        <v>7</v>
      </c>
      <c r="W122" t="n">
        <v>0</v>
      </c>
      <c r="X122" t="n">
        <v>5</v>
      </c>
      <c r="Y122" t="n">
        <v>5</v>
      </c>
      <c r="Z122" t="n">
        <v>5</v>
      </c>
      <c r="AA122" t="n">
        <v>95</v>
      </c>
      <c r="AB122" t="n">
        <v>35</v>
      </c>
      <c r="AC122" t="n">
        <v>0</v>
      </c>
    </row>
    <row r="123">
      <c r="A123" s="317" t="n">
        <v>46344</v>
      </c>
      <c r="B123" s="159">
        <f>SUMIFS('METAS EMPRESAS'!$K$15:$K$320,'METAS EMPRESAS'!$A$15:$A$320,"EJ",'METAS EMPRESAS'!$B$15:$B$320,"PREMONTAGEM",'METAS EMPRESAS'!$C$15:$C$320,$A123-WEEKDAY($A123,2)+1)</f>
        <v/>
      </c>
      <c r="C123" s="159">
        <f>SUMIFS('METAS EMPRESAS'!$K$15:$K$320,'METAS EMPRESAS'!$A$15:$A$320,"EJ",'METAS EMPRESAS'!$B$15:$B$320,"IÇAMENTO JOIST",'METAS EMPRESAS'!$C$15:$C$320,$A123-WEEKDAY($A123,2)+1)</f>
        <v/>
      </c>
      <c r="D123" s="159">
        <f>SUMIFS('METAS EMPRESAS'!$K$15:$K$320,'METAS EMPRESAS'!$A$15:$A$320,"EJ",'METAS EMPRESAS'!$B$15:$B$320,"VIGAS",'METAS EMPRESAS'!$C$15:$C$320,$A123-WEEKDAY($A123,2)+1)</f>
        <v/>
      </c>
      <c r="E123" s="159">
        <f>SUMIFS('METAS EMPRESAS'!$K$15:$K$320,'METAS EMPRESAS'!$A$15:$A$320,"CMM",'METAS EMPRESAS'!$B$15:$B$320,"PREMONTAGEM",'METAS EMPRESAS'!$C$15:$C$320,$A123-WEEKDAY($A123,2)+1)</f>
        <v/>
      </c>
      <c r="F123" s="159">
        <f>SUMIFS('METAS EMPRESAS'!$K$15:$K$320,'METAS EMPRESAS'!$A$15:$A$320,"CMM",'METAS EMPRESAS'!$B$15:$B$320,"IÇAMENTO JOIST",'METAS EMPRESAS'!$C$15:$C$320,$A123-WEEKDAY($A123,2)+1)</f>
        <v/>
      </c>
      <c r="G123" s="159">
        <f>SUMIFS('METAS EMPRESAS'!$K$15:$K$320,'METAS EMPRESAS'!$A$15:$A$320,"CMM",'METAS EMPRESAS'!$B$15:$B$320,"VIGAS",'METAS EMPRESAS'!$C$15:$C$320,$A123-WEEKDAY($A123,2)+1)</f>
        <v/>
      </c>
      <c r="H123" s="159">
        <f>SUMIFS('METAS EMPRESAS'!$G$15:$G$320,'METAS EMPRESAS'!$A$15:$A$320,"EJ",'METAS EMPRESAS'!$B$15:$B$320,"PREMONTAGEM",'METAS EMPRESAS'!$C$15:$C$320,$A123-WEEKDAY($A123,2)+1)</f>
        <v/>
      </c>
      <c r="I123" s="159">
        <f>SUMIFS('METAS EMPRESAS'!$G$15:$G$320,'METAS EMPRESAS'!$A$15:$A$320,"EJ",'METAS EMPRESAS'!$B$15:$B$320,"IÇAMENTO JOIST",'METAS EMPRESAS'!$C$15:$C$320,$A123-WEEKDAY($A123,2)+1)</f>
        <v/>
      </c>
      <c r="J123" s="159">
        <f>SUMIFS('METAS EMPRESAS'!$G$15:$G$320,'METAS EMPRESAS'!$A$15:$A$320,"EJ",'METAS EMPRESAS'!$B$15:$B$320,"VIGAS",'METAS EMPRESAS'!$C$15:$C$320,$A123-WEEKDAY($A123,2)+1)</f>
        <v/>
      </c>
      <c r="K123" s="159">
        <f>SUMIFS('METAS EMPRESAS'!$G$15:$G$320,'METAS EMPRESAS'!$A$15:$A$320,"CMM",'METAS EMPRESAS'!$B$15:$B$320,"PREMONTAGEM",'METAS EMPRESAS'!$C$15:$C$320,$A123-WEEKDAY($A123,2)+1)</f>
        <v/>
      </c>
      <c r="L123" s="159">
        <f>SUMIFS('METAS EMPRESAS'!$G$15:$G$320,'METAS EMPRESAS'!$A$15:$A$320,"CMM",'METAS EMPRESAS'!$B$15:$B$320,"IÇAMENTO JOIST",'METAS EMPRESAS'!$C$15:$C$320,$A123-WEEKDAY($A123,2)+1)</f>
        <v/>
      </c>
      <c r="M123" s="159">
        <f>SUMIFS('METAS EMPRESAS'!$G$15:$G$320,'METAS EMPRESAS'!$A$15:$A$320,"CMM",'METAS EMPRESAS'!$B$15:$B$320,"VIGAS",'METAS EMPRESAS'!$C$15:$C$320,$A123-WEEKDAY($A123,2)+1)</f>
        <v/>
      </c>
      <c r="N123" s="159">
        <f>SUMIFS('METAS EMPRESAS'!$J$15:$J$320,'METAS EMPRESAS'!$A$15:$A$320,"EJ",'METAS EMPRESAS'!$B$15:$B$320,"PREMONTAGEM",'METAS EMPRESAS'!$C$15:$C$320,$A123-WEEKDAY($A123,2)+1)</f>
        <v/>
      </c>
      <c r="O123" s="159">
        <f>SUMIFS('METAS EMPRESAS'!$J$15:$J$320,'METAS EMPRESAS'!$A$15:$A$320,"EJ",'METAS EMPRESAS'!$B$15:$B$320,"IÇAMENTO JOIST",'METAS EMPRESAS'!$C$15:$C$320,$A123-WEEKDAY($A123,2)+1)</f>
        <v/>
      </c>
      <c r="P123" s="159">
        <f>SUMIFS('METAS EMPRESAS'!$J$15:$J$320,'METAS EMPRESAS'!$A$15:$A$320,"EJ",'METAS EMPRESAS'!$B$15:$B$320,"VIGAS",'METAS EMPRESAS'!$C$15:$C$320,$A123-WEEKDAY($A123,2)+1)</f>
        <v/>
      </c>
      <c r="Q123" s="159">
        <f>SUMIFS('METAS EMPRESAS'!$J$15:$J$320,'METAS EMPRESAS'!$A$15:$A$320,"CMM",'METAS EMPRESAS'!$B$15:$B$320,"PREMONTAGEM",'METAS EMPRESAS'!$C$15:$C$320,$A123-WEEKDAY($A123,2)+1)</f>
        <v/>
      </c>
      <c r="R123" s="159">
        <f>SUMIFS('METAS EMPRESAS'!$J$15:$J$320,'METAS EMPRESAS'!$A$15:$A$320,"CMM",'METAS EMPRESAS'!$B$15:$B$320,"IÇAMENTO JOIST",'METAS EMPRESAS'!$C$15:$C$320,$A123-WEEKDAY($A123,2)+1)</f>
        <v/>
      </c>
      <c r="S123" s="159">
        <f>SUMIFS('METAS EMPRESAS'!$J$15:$J$320,'METAS EMPRESAS'!$A$15:$A$320,"CMM",'METAS EMPRESAS'!$B$15:$B$320,"VIGAS",'METAS EMPRESAS'!$C$15:$C$320,$A123-WEEKDAY($A123,2)+1)</f>
        <v/>
      </c>
      <c r="T123">
        <f>--(WEEKDAY(A123,2)&lt;=5)</f>
        <v/>
      </c>
      <c r="U123" t="n">
        <v>19</v>
      </c>
      <c r="V123" t="n">
        <v>7</v>
      </c>
      <c r="W123" t="n">
        <v>0</v>
      </c>
      <c r="X123" t="n">
        <v>5</v>
      </c>
      <c r="Y123" t="n">
        <v>5</v>
      </c>
      <c r="Z123" t="n">
        <v>5</v>
      </c>
      <c r="AA123" t="n">
        <v>95</v>
      </c>
      <c r="AB123" t="n">
        <v>35</v>
      </c>
      <c r="AC123" t="n">
        <v>0</v>
      </c>
    </row>
    <row r="124">
      <c r="A124" s="317" t="n">
        <v>46345</v>
      </c>
      <c r="B124" s="159">
        <f>SUMIFS('METAS EMPRESAS'!$K$15:$K$320,'METAS EMPRESAS'!$A$15:$A$320,"EJ",'METAS EMPRESAS'!$B$15:$B$320,"PREMONTAGEM",'METAS EMPRESAS'!$C$15:$C$320,$A124-WEEKDAY($A124,2)+1)</f>
        <v/>
      </c>
      <c r="C124" s="159">
        <f>SUMIFS('METAS EMPRESAS'!$K$15:$K$320,'METAS EMPRESAS'!$A$15:$A$320,"EJ",'METAS EMPRESAS'!$B$15:$B$320,"IÇAMENTO JOIST",'METAS EMPRESAS'!$C$15:$C$320,$A124-WEEKDAY($A124,2)+1)</f>
        <v/>
      </c>
      <c r="D124" s="159">
        <f>SUMIFS('METAS EMPRESAS'!$K$15:$K$320,'METAS EMPRESAS'!$A$15:$A$320,"EJ",'METAS EMPRESAS'!$B$15:$B$320,"VIGAS",'METAS EMPRESAS'!$C$15:$C$320,$A124-WEEKDAY($A124,2)+1)</f>
        <v/>
      </c>
      <c r="E124" s="159">
        <f>SUMIFS('METAS EMPRESAS'!$K$15:$K$320,'METAS EMPRESAS'!$A$15:$A$320,"CMM",'METAS EMPRESAS'!$B$15:$B$320,"PREMONTAGEM",'METAS EMPRESAS'!$C$15:$C$320,$A124-WEEKDAY($A124,2)+1)</f>
        <v/>
      </c>
      <c r="F124" s="159">
        <f>SUMIFS('METAS EMPRESAS'!$K$15:$K$320,'METAS EMPRESAS'!$A$15:$A$320,"CMM",'METAS EMPRESAS'!$B$15:$B$320,"IÇAMENTO JOIST",'METAS EMPRESAS'!$C$15:$C$320,$A124-WEEKDAY($A124,2)+1)</f>
        <v/>
      </c>
      <c r="G124" s="159">
        <f>SUMIFS('METAS EMPRESAS'!$K$15:$K$320,'METAS EMPRESAS'!$A$15:$A$320,"CMM",'METAS EMPRESAS'!$B$15:$B$320,"VIGAS",'METAS EMPRESAS'!$C$15:$C$320,$A124-WEEKDAY($A124,2)+1)</f>
        <v/>
      </c>
      <c r="H124" s="159">
        <f>SUMIFS('METAS EMPRESAS'!$G$15:$G$320,'METAS EMPRESAS'!$A$15:$A$320,"EJ",'METAS EMPRESAS'!$B$15:$B$320,"PREMONTAGEM",'METAS EMPRESAS'!$C$15:$C$320,$A124-WEEKDAY($A124,2)+1)</f>
        <v/>
      </c>
      <c r="I124" s="159">
        <f>SUMIFS('METAS EMPRESAS'!$G$15:$G$320,'METAS EMPRESAS'!$A$15:$A$320,"EJ",'METAS EMPRESAS'!$B$15:$B$320,"IÇAMENTO JOIST",'METAS EMPRESAS'!$C$15:$C$320,$A124-WEEKDAY($A124,2)+1)</f>
        <v/>
      </c>
      <c r="J124" s="159">
        <f>SUMIFS('METAS EMPRESAS'!$G$15:$G$320,'METAS EMPRESAS'!$A$15:$A$320,"EJ",'METAS EMPRESAS'!$B$15:$B$320,"VIGAS",'METAS EMPRESAS'!$C$15:$C$320,$A124-WEEKDAY($A124,2)+1)</f>
        <v/>
      </c>
      <c r="K124" s="159">
        <f>SUMIFS('METAS EMPRESAS'!$G$15:$G$320,'METAS EMPRESAS'!$A$15:$A$320,"CMM",'METAS EMPRESAS'!$B$15:$B$320,"PREMONTAGEM",'METAS EMPRESAS'!$C$15:$C$320,$A124-WEEKDAY($A124,2)+1)</f>
        <v/>
      </c>
      <c r="L124" s="159">
        <f>SUMIFS('METAS EMPRESAS'!$G$15:$G$320,'METAS EMPRESAS'!$A$15:$A$320,"CMM",'METAS EMPRESAS'!$B$15:$B$320,"IÇAMENTO JOIST",'METAS EMPRESAS'!$C$15:$C$320,$A124-WEEKDAY($A124,2)+1)</f>
        <v/>
      </c>
      <c r="M124" s="159">
        <f>SUMIFS('METAS EMPRESAS'!$G$15:$G$320,'METAS EMPRESAS'!$A$15:$A$320,"CMM",'METAS EMPRESAS'!$B$15:$B$320,"VIGAS",'METAS EMPRESAS'!$C$15:$C$320,$A124-WEEKDAY($A124,2)+1)</f>
        <v/>
      </c>
      <c r="N124" s="159">
        <f>SUMIFS('METAS EMPRESAS'!$J$15:$J$320,'METAS EMPRESAS'!$A$15:$A$320,"EJ",'METAS EMPRESAS'!$B$15:$B$320,"PREMONTAGEM",'METAS EMPRESAS'!$C$15:$C$320,$A124-WEEKDAY($A124,2)+1)</f>
        <v/>
      </c>
      <c r="O124" s="159">
        <f>SUMIFS('METAS EMPRESAS'!$J$15:$J$320,'METAS EMPRESAS'!$A$15:$A$320,"EJ",'METAS EMPRESAS'!$B$15:$B$320,"IÇAMENTO JOIST",'METAS EMPRESAS'!$C$15:$C$320,$A124-WEEKDAY($A124,2)+1)</f>
        <v/>
      </c>
      <c r="P124" s="159">
        <f>SUMIFS('METAS EMPRESAS'!$J$15:$J$320,'METAS EMPRESAS'!$A$15:$A$320,"EJ",'METAS EMPRESAS'!$B$15:$B$320,"VIGAS",'METAS EMPRESAS'!$C$15:$C$320,$A124-WEEKDAY($A124,2)+1)</f>
        <v/>
      </c>
      <c r="Q124" s="159">
        <f>SUMIFS('METAS EMPRESAS'!$J$15:$J$320,'METAS EMPRESAS'!$A$15:$A$320,"CMM",'METAS EMPRESAS'!$B$15:$B$320,"PREMONTAGEM",'METAS EMPRESAS'!$C$15:$C$320,$A124-WEEKDAY($A124,2)+1)</f>
        <v/>
      </c>
      <c r="R124" s="159">
        <f>SUMIFS('METAS EMPRESAS'!$J$15:$J$320,'METAS EMPRESAS'!$A$15:$A$320,"CMM",'METAS EMPRESAS'!$B$15:$B$320,"IÇAMENTO JOIST",'METAS EMPRESAS'!$C$15:$C$320,$A124-WEEKDAY($A124,2)+1)</f>
        <v/>
      </c>
      <c r="S124" s="159">
        <f>SUMIFS('METAS EMPRESAS'!$J$15:$J$320,'METAS EMPRESAS'!$A$15:$A$320,"CMM",'METAS EMPRESAS'!$B$15:$B$320,"VIGAS",'METAS EMPRESAS'!$C$15:$C$320,$A124-WEEKDAY($A124,2)+1)</f>
        <v/>
      </c>
      <c r="T124">
        <f>--(WEEKDAY(A124,2)&lt;=5)</f>
        <v/>
      </c>
      <c r="U124" t="n">
        <v>19</v>
      </c>
      <c r="V124" t="n">
        <v>7</v>
      </c>
      <c r="W124" t="n">
        <v>0</v>
      </c>
      <c r="X124" t="n">
        <v>5</v>
      </c>
      <c r="Y124" t="n">
        <v>5</v>
      </c>
      <c r="Z124" t="n">
        <v>5</v>
      </c>
      <c r="AA124" t="n">
        <v>95</v>
      </c>
      <c r="AB124" t="n">
        <v>35</v>
      </c>
      <c r="AC124" t="n">
        <v>0</v>
      </c>
    </row>
    <row r="125">
      <c r="A125" s="317" t="n">
        <v>46346</v>
      </c>
      <c r="B125" s="159">
        <f>SUMIFS('METAS EMPRESAS'!$K$15:$K$320,'METAS EMPRESAS'!$A$15:$A$320,"EJ",'METAS EMPRESAS'!$B$15:$B$320,"PREMONTAGEM",'METAS EMPRESAS'!$C$15:$C$320,$A125-WEEKDAY($A125,2)+1)</f>
        <v/>
      </c>
      <c r="C125" s="159">
        <f>SUMIFS('METAS EMPRESAS'!$K$15:$K$320,'METAS EMPRESAS'!$A$15:$A$320,"EJ",'METAS EMPRESAS'!$B$15:$B$320,"IÇAMENTO JOIST",'METAS EMPRESAS'!$C$15:$C$320,$A125-WEEKDAY($A125,2)+1)</f>
        <v/>
      </c>
      <c r="D125" s="159">
        <f>SUMIFS('METAS EMPRESAS'!$K$15:$K$320,'METAS EMPRESAS'!$A$15:$A$320,"EJ",'METAS EMPRESAS'!$B$15:$B$320,"VIGAS",'METAS EMPRESAS'!$C$15:$C$320,$A125-WEEKDAY($A125,2)+1)</f>
        <v/>
      </c>
      <c r="E125" s="159">
        <f>SUMIFS('METAS EMPRESAS'!$K$15:$K$320,'METAS EMPRESAS'!$A$15:$A$320,"CMM",'METAS EMPRESAS'!$B$15:$B$320,"PREMONTAGEM",'METAS EMPRESAS'!$C$15:$C$320,$A125-WEEKDAY($A125,2)+1)</f>
        <v/>
      </c>
      <c r="F125" s="159">
        <f>SUMIFS('METAS EMPRESAS'!$K$15:$K$320,'METAS EMPRESAS'!$A$15:$A$320,"CMM",'METAS EMPRESAS'!$B$15:$B$320,"IÇAMENTO JOIST",'METAS EMPRESAS'!$C$15:$C$320,$A125-WEEKDAY($A125,2)+1)</f>
        <v/>
      </c>
      <c r="G125" s="159">
        <f>SUMIFS('METAS EMPRESAS'!$K$15:$K$320,'METAS EMPRESAS'!$A$15:$A$320,"CMM",'METAS EMPRESAS'!$B$15:$B$320,"VIGAS",'METAS EMPRESAS'!$C$15:$C$320,$A125-WEEKDAY($A125,2)+1)</f>
        <v/>
      </c>
      <c r="H125" s="159">
        <f>SUMIFS('METAS EMPRESAS'!$G$15:$G$320,'METAS EMPRESAS'!$A$15:$A$320,"EJ",'METAS EMPRESAS'!$B$15:$B$320,"PREMONTAGEM",'METAS EMPRESAS'!$C$15:$C$320,$A125-WEEKDAY($A125,2)+1)</f>
        <v/>
      </c>
      <c r="I125" s="159">
        <f>SUMIFS('METAS EMPRESAS'!$G$15:$G$320,'METAS EMPRESAS'!$A$15:$A$320,"EJ",'METAS EMPRESAS'!$B$15:$B$320,"IÇAMENTO JOIST",'METAS EMPRESAS'!$C$15:$C$320,$A125-WEEKDAY($A125,2)+1)</f>
        <v/>
      </c>
      <c r="J125" s="159">
        <f>SUMIFS('METAS EMPRESAS'!$G$15:$G$320,'METAS EMPRESAS'!$A$15:$A$320,"EJ",'METAS EMPRESAS'!$B$15:$B$320,"VIGAS",'METAS EMPRESAS'!$C$15:$C$320,$A125-WEEKDAY($A125,2)+1)</f>
        <v/>
      </c>
      <c r="K125" s="159">
        <f>SUMIFS('METAS EMPRESAS'!$G$15:$G$320,'METAS EMPRESAS'!$A$15:$A$320,"CMM",'METAS EMPRESAS'!$B$15:$B$320,"PREMONTAGEM",'METAS EMPRESAS'!$C$15:$C$320,$A125-WEEKDAY($A125,2)+1)</f>
        <v/>
      </c>
      <c r="L125" s="159">
        <f>SUMIFS('METAS EMPRESAS'!$G$15:$G$320,'METAS EMPRESAS'!$A$15:$A$320,"CMM",'METAS EMPRESAS'!$B$15:$B$320,"IÇAMENTO JOIST",'METAS EMPRESAS'!$C$15:$C$320,$A125-WEEKDAY($A125,2)+1)</f>
        <v/>
      </c>
      <c r="M125" s="159">
        <f>SUMIFS('METAS EMPRESAS'!$G$15:$G$320,'METAS EMPRESAS'!$A$15:$A$320,"CMM",'METAS EMPRESAS'!$B$15:$B$320,"VIGAS",'METAS EMPRESAS'!$C$15:$C$320,$A125-WEEKDAY($A125,2)+1)</f>
        <v/>
      </c>
      <c r="N125" s="159">
        <f>SUMIFS('METAS EMPRESAS'!$J$15:$J$320,'METAS EMPRESAS'!$A$15:$A$320,"EJ",'METAS EMPRESAS'!$B$15:$B$320,"PREMONTAGEM",'METAS EMPRESAS'!$C$15:$C$320,$A125-WEEKDAY($A125,2)+1)</f>
        <v/>
      </c>
      <c r="O125" s="159">
        <f>SUMIFS('METAS EMPRESAS'!$J$15:$J$320,'METAS EMPRESAS'!$A$15:$A$320,"EJ",'METAS EMPRESAS'!$B$15:$B$320,"IÇAMENTO JOIST",'METAS EMPRESAS'!$C$15:$C$320,$A125-WEEKDAY($A125,2)+1)</f>
        <v/>
      </c>
      <c r="P125" s="159">
        <f>SUMIFS('METAS EMPRESAS'!$J$15:$J$320,'METAS EMPRESAS'!$A$15:$A$320,"EJ",'METAS EMPRESAS'!$B$15:$B$320,"VIGAS",'METAS EMPRESAS'!$C$15:$C$320,$A125-WEEKDAY($A125,2)+1)</f>
        <v/>
      </c>
      <c r="Q125" s="159">
        <f>SUMIFS('METAS EMPRESAS'!$J$15:$J$320,'METAS EMPRESAS'!$A$15:$A$320,"CMM",'METAS EMPRESAS'!$B$15:$B$320,"PREMONTAGEM",'METAS EMPRESAS'!$C$15:$C$320,$A125-WEEKDAY($A125,2)+1)</f>
        <v/>
      </c>
      <c r="R125" s="159">
        <f>SUMIFS('METAS EMPRESAS'!$J$15:$J$320,'METAS EMPRESAS'!$A$15:$A$320,"CMM",'METAS EMPRESAS'!$B$15:$B$320,"IÇAMENTO JOIST",'METAS EMPRESAS'!$C$15:$C$320,$A125-WEEKDAY($A125,2)+1)</f>
        <v/>
      </c>
      <c r="S125" s="159">
        <f>SUMIFS('METAS EMPRESAS'!$J$15:$J$320,'METAS EMPRESAS'!$A$15:$A$320,"CMM",'METAS EMPRESAS'!$B$15:$B$320,"VIGAS",'METAS EMPRESAS'!$C$15:$C$320,$A125-WEEKDAY($A125,2)+1)</f>
        <v/>
      </c>
      <c r="T125">
        <f>--(WEEKDAY(A125,2)&lt;=5)</f>
        <v/>
      </c>
      <c r="U125" t="n">
        <v>19</v>
      </c>
      <c r="V125" t="n">
        <v>7</v>
      </c>
      <c r="W125" t="n">
        <v>0</v>
      </c>
      <c r="X125" t="n">
        <v>5</v>
      </c>
      <c r="Y125" t="n">
        <v>5</v>
      </c>
      <c r="Z125" t="n">
        <v>5</v>
      </c>
      <c r="AA125" t="n">
        <v>95</v>
      </c>
      <c r="AB125" t="n">
        <v>35</v>
      </c>
      <c r="AC125" t="n">
        <v>0</v>
      </c>
    </row>
    <row r="126">
      <c r="A126" s="317" t="n">
        <v>46347</v>
      </c>
      <c r="B126" s="159">
        <f>SUMIFS('METAS EMPRESAS'!$K$15:$K$320,'METAS EMPRESAS'!$A$15:$A$320,"EJ",'METAS EMPRESAS'!$B$15:$B$320,"PREMONTAGEM",'METAS EMPRESAS'!$C$15:$C$320,$A126-WEEKDAY($A126,2)+1)</f>
        <v/>
      </c>
      <c r="C126" s="159">
        <f>SUMIFS('METAS EMPRESAS'!$K$15:$K$320,'METAS EMPRESAS'!$A$15:$A$320,"EJ",'METAS EMPRESAS'!$B$15:$B$320,"IÇAMENTO JOIST",'METAS EMPRESAS'!$C$15:$C$320,$A126-WEEKDAY($A126,2)+1)</f>
        <v/>
      </c>
      <c r="D126" s="159">
        <f>SUMIFS('METAS EMPRESAS'!$K$15:$K$320,'METAS EMPRESAS'!$A$15:$A$320,"EJ",'METAS EMPRESAS'!$B$15:$B$320,"VIGAS",'METAS EMPRESAS'!$C$15:$C$320,$A126-WEEKDAY($A126,2)+1)</f>
        <v/>
      </c>
      <c r="E126" s="159">
        <f>SUMIFS('METAS EMPRESAS'!$K$15:$K$320,'METAS EMPRESAS'!$A$15:$A$320,"CMM",'METAS EMPRESAS'!$B$15:$B$320,"PREMONTAGEM",'METAS EMPRESAS'!$C$15:$C$320,$A126-WEEKDAY($A126,2)+1)</f>
        <v/>
      </c>
      <c r="F126" s="159">
        <f>SUMIFS('METAS EMPRESAS'!$K$15:$K$320,'METAS EMPRESAS'!$A$15:$A$320,"CMM",'METAS EMPRESAS'!$B$15:$B$320,"IÇAMENTO JOIST",'METAS EMPRESAS'!$C$15:$C$320,$A126-WEEKDAY($A126,2)+1)</f>
        <v/>
      </c>
      <c r="G126" s="159">
        <f>SUMIFS('METAS EMPRESAS'!$K$15:$K$320,'METAS EMPRESAS'!$A$15:$A$320,"CMM",'METAS EMPRESAS'!$B$15:$B$320,"VIGAS",'METAS EMPRESAS'!$C$15:$C$320,$A126-WEEKDAY($A126,2)+1)</f>
        <v/>
      </c>
      <c r="H126" s="159">
        <f>SUMIFS('METAS EMPRESAS'!$G$15:$G$320,'METAS EMPRESAS'!$A$15:$A$320,"EJ",'METAS EMPRESAS'!$B$15:$B$320,"PREMONTAGEM",'METAS EMPRESAS'!$C$15:$C$320,$A126-WEEKDAY($A126,2)+1)</f>
        <v/>
      </c>
      <c r="I126" s="159">
        <f>SUMIFS('METAS EMPRESAS'!$G$15:$G$320,'METAS EMPRESAS'!$A$15:$A$320,"EJ",'METAS EMPRESAS'!$B$15:$B$320,"IÇAMENTO JOIST",'METAS EMPRESAS'!$C$15:$C$320,$A126-WEEKDAY($A126,2)+1)</f>
        <v/>
      </c>
      <c r="J126" s="159">
        <f>SUMIFS('METAS EMPRESAS'!$G$15:$G$320,'METAS EMPRESAS'!$A$15:$A$320,"EJ",'METAS EMPRESAS'!$B$15:$B$320,"VIGAS",'METAS EMPRESAS'!$C$15:$C$320,$A126-WEEKDAY($A126,2)+1)</f>
        <v/>
      </c>
      <c r="K126" s="159">
        <f>SUMIFS('METAS EMPRESAS'!$G$15:$G$320,'METAS EMPRESAS'!$A$15:$A$320,"CMM",'METAS EMPRESAS'!$B$15:$B$320,"PREMONTAGEM",'METAS EMPRESAS'!$C$15:$C$320,$A126-WEEKDAY($A126,2)+1)</f>
        <v/>
      </c>
      <c r="L126" s="159">
        <f>SUMIFS('METAS EMPRESAS'!$G$15:$G$320,'METAS EMPRESAS'!$A$15:$A$320,"CMM",'METAS EMPRESAS'!$B$15:$B$320,"IÇAMENTO JOIST",'METAS EMPRESAS'!$C$15:$C$320,$A126-WEEKDAY($A126,2)+1)</f>
        <v/>
      </c>
      <c r="M126" s="159">
        <f>SUMIFS('METAS EMPRESAS'!$G$15:$G$320,'METAS EMPRESAS'!$A$15:$A$320,"CMM",'METAS EMPRESAS'!$B$15:$B$320,"VIGAS",'METAS EMPRESAS'!$C$15:$C$320,$A126-WEEKDAY($A126,2)+1)</f>
        <v/>
      </c>
      <c r="N126" s="159">
        <f>SUMIFS('METAS EMPRESAS'!$J$15:$J$320,'METAS EMPRESAS'!$A$15:$A$320,"EJ",'METAS EMPRESAS'!$B$15:$B$320,"PREMONTAGEM",'METAS EMPRESAS'!$C$15:$C$320,$A126-WEEKDAY($A126,2)+1)</f>
        <v/>
      </c>
      <c r="O126" s="159">
        <f>SUMIFS('METAS EMPRESAS'!$J$15:$J$320,'METAS EMPRESAS'!$A$15:$A$320,"EJ",'METAS EMPRESAS'!$B$15:$B$320,"IÇAMENTO JOIST",'METAS EMPRESAS'!$C$15:$C$320,$A126-WEEKDAY($A126,2)+1)</f>
        <v/>
      </c>
      <c r="P126" s="159">
        <f>SUMIFS('METAS EMPRESAS'!$J$15:$J$320,'METAS EMPRESAS'!$A$15:$A$320,"EJ",'METAS EMPRESAS'!$B$15:$B$320,"VIGAS",'METAS EMPRESAS'!$C$15:$C$320,$A126-WEEKDAY($A126,2)+1)</f>
        <v/>
      </c>
      <c r="Q126" s="159">
        <f>SUMIFS('METAS EMPRESAS'!$J$15:$J$320,'METAS EMPRESAS'!$A$15:$A$320,"CMM",'METAS EMPRESAS'!$B$15:$B$320,"PREMONTAGEM",'METAS EMPRESAS'!$C$15:$C$320,$A126-WEEKDAY($A126,2)+1)</f>
        <v/>
      </c>
      <c r="R126" s="159">
        <f>SUMIFS('METAS EMPRESAS'!$J$15:$J$320,'METAS EMPRESAS'!$A$15:$A$320,"CMM",'METAS EMPRESAS'!$B$15:$B$320,"IÇAMENTO JOIST",'METAS EMPRESAS'!$C$15:$C$320,$A126-WEEKDAY($A126,2)+1)</f>
        <v/>
      </c>
      <c r="S126" s="159">
        <f>SUMIFS('METAS EMPRESAS'!$J$15:$J$320,'METAS EMPRESAS'!$A$15:$A$320,"CMM",'METAS EMPRESAS'!$B$15:$B$320,"VIGAS",'METAS EMPRESAS'!$C$15:$C$320,$A126-WEEKDAY($A126,2)+1)</f>
        <v/>
      </c>
      <c r="T126">
        <f>--(WEEKDAY(A126,2)&lt;=5)</f>
        <v/>
      </c>
      <c r="U126" t="n">
        <v>19</v>
      </c>
      <c r="V126" t="n">
        <v>7</v>
      </c>
      <c r="W126" t="n">
        <v>0</v>
      </c>
      <c r="X126" t="n">
        <v>5</v>
      </c>
      <c r="Y126" t="n">
        <v>5</v>
      </c>
      <c r="Z126" t="n">
        <v>5</v>
      </c>
      <c r="AA126" t="n">
        <v>95</v>
      </c>
      <c r="AB126" t="n">
        <v>35</v>
      </c>
      <c r="AC126" t="n">
        <v>0</v>
      </c>
    </row>
    <row r="127">
      <c r="A127" s="317" t="n">
        <v>46348</v>
      </c>
      <c r="B127" s="159">
        <f>SUMIFS('METAS EMPRESAS'!$K$15:$K$320,'METAS EMPRESAS'!$A$15:$A$320,"EJ",'METAS EMPRESAS'!$B$15:$B$320,"PREMONTAGEM",'METAS EMPRESAS'!$C$15:$C$320,$A127-WEEKDAY($A127,2)+1)</f>
        <v/>
      </c>
      <c r="C127" s="159">
        <f>SUMIFS('METAS EMPRESAS'!$K$15:$K$320,'METAS EMPRESAS'!$A$15:$A$320,"EJ",'METAS EMPRESAS'!$B$15:$B$320,"IÇAMENTO JOIST",'METAS EMPRESAS'!$C$15:$C$320,$A127-WEEKDAY($A127,2)+1)</f>
        <v/>
      </c>
      <c r="D127" s="159">
        <f>SUMIFS('METAS EMPRESAS'!$K$15:$K$320,'METAS EMPRESAS'!$A$15:$A$320,"EJ",'METAS EMPRESAS'!$B$15:$B$320,"VIGAS",'METAS EMPRESAS'!$C$15:$C$320,$A127-WEEKDAY($A127,2)+1)</f>
        <v/>
      </c>
      <c r="E127" s="159">
        <f>SUMIFS('METAS EMPRESAS'!$K$15:$K$320,'METAS EMPRESAS'!$A$15:$A$320,"CMM",'METAS EMPRESAS'!$B$15:$B$320,"PREMONTAGEM",'METAS EMPRESAS'!$C$15:$C$320,$A127-WEEKDAY($A127,2)+1)</f>
        <v/>
      </c>
      <c r="F127" s="159">
        <f>SUMIFS('METAS EMPRESAS'!$K$15:$K$320,'METAS EMPRESAS'!$A$15:$A$320,"CMM",'METAS EMPRESAS'!$B$15:$B$320,"IÇAMENTO JOIST",'METAS EMPRESAS'!$C$15:$C$320,$A127-WEEKDAY($A127,2)+1)</f>
        <v/>
      </c>
      <c r="G127" s="159">
        <f>SUMIFS('METAS EMPRESAS'!$K$15:$K$320,'METAS EMPRESAS'!$A$15:$A$320,"CMM",'METAS EMPRESAS'!$B$15:$B$320,"VIGAS",'METAS EMPRESAS'!$C$15:$C$320,$A127-WEEKDAY($A127,2)+1)</f>
        <v/>
      </c>
      <c r="H127" s="159">
        <f>SUMIFS('METAS EMPRESAS'!$G$15:$G$320,'METAS EMPRESAS'!$A$15:$A$320,"EJ",'METAS EMPRESAS'!$B$15:$B$320,"PREMONTAGEM",'METAS EMPRESAS'!$C$15:$C$320,$A127-WEEKDAY($A127,2)+1)</f>
        <v/>
      </c>
      <c r="I127" s="159">
        <f>SUMIFS('METAS EMPRESAS'!$G$15:$G$320,'METAS EMPRESAS'!$A$15:$A$320,"EJ",'METAS EMPRESAS'!$B$15:$B$320,"IÇAMENTO JOIST",'METAS EMPRESAS'!$C$15:$C$320,$A127-WEEKDAY($A127,2)+1)</f>
        <v/>
      </c>
      <c r="J127" s="159">
        <f>SUMIFS('METAS EMPRESAS'!$G$15:$G$320,'METAS EMPRESAS'!$A$15:$A$320,"EJ",'METAS EMPRESAS'!$B$15:$B$320,"VIGAS",'METAS EMPRESAS'!$C$15:$C$320,$A127-WEEKDAY($A127,2)+1)</f>
        <v/>
      </c>
      <c r="K127" s="159">
        <f>SUMIFS('METAS EMPRESAS'!$G$15:$G$320,'METAS EMPRESAS'!$A$15:$A$320,"CMM",'METAS EMPRESAS'!$B$15:$B$320,"PREMONTAGEM",'METAS EMPRESAS'!$C$15:$C$320,$A127-WEEKDAY($A127,2)+1)</f>
        <v/>
      </c>
      <c r="L127" s="159">
        <f>SUMIFS('METAS EMPRESAS'!$G$15:$G$320,'METAS EMPRESAS'!$A$15:$A$320,"CMM",'METAS EMPRESAS'!$B$15:$B$320,"IÇAMENTO JOIST",'METAS EMPRESAS'!$C$15:$C$320,$A127-WEEKDAY($A127,2)+1)</f>
        <v/>
      </c>
      <c r="M127" s="159">
        <f>SUMIFS('METAS EMPRESAS'!$G$15:$G$320,'METAS EMPRESAS'!$A$15:$A$320,"CMM",'METAS EMPRESAS'!$B$15:$B$320,"VIGAS",'METAS EMPRESAS'!$C$15:$C$320,$A127-WEEKDAY($A127,2)+1)</f>
        <v/>
      </c>
      <c r="N127" s="159">
        <f>SUMIFS('METAS EMPRESAS'!$J$15:$J$320,'METAS EMPRESAS'!$A$15:$A$320,"EJ",'METAS EMPRESAS'!$B$15:$B$320,"PREMONTAGEM",'METAS EMPRESAS'!$C$15:$C$320,$A127-WEEKDAY($A127,2)+1)</f>
        <v/>
      </c>
      <c r="O127" s="159">
        <f>SUMIFS('METAS EMPRESAS'!$J$15:$J$320,'METAS EMPRESAS'!$A$15:$A$320,"EJ",'METAS EMPRESAS'!$B$15:$B$320,"IÇAMENTO JOIST",'METAS EMPRESAS'!$C$15:$C$320,$A127-WEEKDAY($A127,2)+1)</f>
        <v/>
      </c>
      <c r="P127" s="159">
        <f>SUMIFS('METAS EMPRESAS'!$J$15:$J$320,'METAS EMPRESAS'!$A$15:$A$320,"EJ",'METAS EMPRESAS'!$B$15:$B$320,"VIGAS",'METAS EMPRESAS'!$C$15:$C$320,$A127-WEEKDAY($A127,2)+1)</f>
        <v/>
      </c>
      <c r="Q127" s="159">
        <f>SUMIFS('METAS EMPRESAS'!$J$15:$J$320,'METAS EMPRESAS'!$A$15:$A$320,"CMM",'METAS EMPRESAS'!$B$15:$B$320,"PREMONTAGEM",'METAS EMPRESAS'!$C$15:$C$320,$A127-WEEKDAY($A127,2)+1)</f>
        <v/>
      </c>
      <c r="R127" s="159">
        <f>SUMIFS('METAS EMPRESAS'!$J$15:$J$320,'METAS EMPRESAS'!$A$15:$A$320,"CMM",'METAS EMPRESAS'!$B$15:$B$320,"IÇAMENTO JOIST",'METAS EMPRESAS'!$C$15:$C$320,$A127-WEEKDAY($A127,2)+1)</f>
        <v/>
      </c>
      <c r="S127" s="159">
        <f>SUMIFS('METAS EMPRESAS'!$J$15:$J$320,'METAS EMPRESAS'!$A$15:$A$320,"CMM",'METAS EMPRESAS'!$B$15:$B$320,"VIGAS",'METAS EMPRESAS'!$C$15:$C$320,$A127-WEEKDAY($A127,2)+1)</f>
        <v/>
      </c>
      <c r="T127">
        <f>--(WEEKDAY(A127,2)&lt;=5)</f>
        <v/>
      </c>
      <c r="U127" t="n">
        <v>19</v>
      </c>
      <c r="V127" t="n">
        <v>7</v>
      </c>
      <c r="W127" t="n">
        <v>0</v>
      </c>
      <c r="X127" t="n">
        <v>5</v>
      </c>
      <c r="Y127" t="n">
        <v>5</v>
      </c>
      <c r="Z127" t="n">
        <v>5</v>
      </c>
      <c r="AA127" t="n">
        <v>95</v>
      </c>
      <c r="AB127" t="n">
        <v>35</v>
      </c>
      <c r="AC127" t="n">
        <v>0</v>
      </c>
    </row>
    <row r="128">
      <c r="A128" s="317" t="n">
        <v>46349</v>
      </c>
      <c r="B128" s="159">
        <f>SUMIFS('METAS EMPRESAS'!$K$15:$K$320,'METAS EMPRESAS'!$A$15:$A$320,"EJ",'METAS EMPRESAS'!$B$15:$B$320,"PREMONTAGEM",'METAS EMPRESAS'!$C$15:$C$320,$A128-WEEKDAY($A128,2)+1)</f>
        <v/>
      </c>
      <c r="C128" s="159">
        <f>SUMIFS('METAS EMPRESAS'!$K$15:$K$320,'METAS EMPRESAS'!$A$15:$A$320,"EJ",'METAS EMPRESAS'!$B$15:$B$320,"IÇAMENTO JOIST",'METAS EMPRESAS'!$C$15:$C$320,$A128-WEEKDAY($A128,2)+1)</f>
        <v/>
      </c>
      <c r="D128" s="159">
        <f>SUMIFS('METAS EMPRESAS'!$K$15:$K$320,'METAS EMPRESAS'!$A$15:$A$320,"EJ",'METAS EMPRESAS'!$B$15:$B$320,"VIGAS",'METAS EMPRESAS'!$C$15:$C$320,$A128-WEEKDAY($A128,2)+1)</f>
        <v/>
      </c>
      <c r="E128" s="159">
        <f>SUMIFS('METAS EMPRESAS'!$K$15:$K$320,'METAS EMPRESAS'!$A$15:$A$320,"CMM",'METAS EMPRESAS'!$B$15:$B$320,"PREMONTAGEM",'METAS EMPRESAS'!$C$15:$C$320,$A128-WEEKDAY($A128,2)+1)</f>
        <v/>
      </c>
      <c r="F128" s="159">
        <f>SUMIFS('METAS EMPRESAS'!$K$15:$K$320,'METAS EMPRESAS'!$A$15:$A$320,"CMM",'METAS EMPRESAS'!$B$15:$B$320,"IÇAMENTO JOIST",'METAS EMPRESAS'!$C$15:$C$320,$A128-WEEKDAY($A128,2)+1)</f>
        <v/>
      </c>
      <c r="G128" s="159">
        <f>SUMIFS('METAS EMPRESAS'!$K$15:$K$320,'METAS EMPRESAS'!$A$15:$A$320,"CMM",'METAS EMPRESAS'!$B$15:$B$320,"VIGAS",'METAS EMPRESAS'!$C$15:$C$320,$A128-WEEKDAY($A128,2)+1)</f>
        <v/>
      </c>
      <c r="H128" s="159">
        <f>SUMIFS('METAS EMPRESAS'!$G$15:$G$320,'METAS EMPRESAS'!$A$15:$A$320,"EJ",'METAS EMPRESAS'!$B$15:$B$320,"PREMONTAGEM",'METAS EMPRESAS'!$C$15:$C$320,$A128-WEEKDAY($A128,2)+1)</f>
        <v/>
      </c>
      <c r="I128" s="159">
        <f>SUMIFS('METAS EMPRESAS'!$G$15:$G$320,'METAS EMPRESAS'!$A$15:$A$320,"EJ",'METAS EMPRESAS'!$B$15:$B$320,"IÇAMENTO JOIST",'METAS EMPRESAS'!$C$15:$C$320,$A128-WEEKDAY($A128,2)+1)</f>
        <v/>
      </c>
      <c r="J128" s="159">
        <f>SUMIFS('METAS EMPRESAS'!$G$15:$G$320,'METAS EMPRESAS'!$A$15:$A$320,"EJ",'METAS EMPRESAS'!$B$15:$B$320,"VIGAS",'METAS EMPRESAS'!$C$15:$C$320,$A128-WEEKDAY($A128,2)+1)</f>
        <v/>
      </c>
      <c r="K128" s="159">
        <f>SUMIFS('METAS EMPRESAS'!$G$15:$G$320,'METAS EMPRESAS'!$A$15:$A$320,"CMM",'METAS EMPRESAS'!$B$15:$B$320,"PREMONTAGEM",'METAS EMPRESAS'!$C$15:$C$320,$A128-WEEKDAY($A128,2)+1)</f>
        <v/>
      </c>
      <c r="L128" s="159">
        <f>SUMIFS('METAS EMPRESAS'!$G$15:$G$320,'METAS EMPRESAS'!$A$15:$A$320,"CMM",'METAS EMPRESAS'!$B$15:$B$320,"IÇAMENTO JOIST",'METAS EMPRESAS'!$C$15:$C$320,$A128-WEEKDAY($A128,2)+1)</f>
        <v/>
      </c>
      <c r="M128" s="159">
        <f>SUMIFS('METAS EMPRESAS'!$G$15:$G$320,'METAS EMPRESAS'!$A$15:$A$320,"CMM",'METAS EMPRESAS'!$B$15:$B$320,"VIGAS",'METAS EMPRESAS'!$C$15:$C$320,$A128-WEEKDAY($A128,2)+1)</f>
        <v/>
      </c>
      <c r="N128" s="159">
        <f>SUMIFS('METAS EMPRESAS'!$J$15:$J$320,'METAS EMPRESAS'!$A$15:$A$320,"EJ",'METAS EMPRESAS'!$B$15:$B$320,"PREMONTAGEM",'METAS EMPRESAS'!$C$15:$C$320,$A128-WEEKDAY($A128,2)+1)</f>
        <v/>
      </c>
      <c r="O128" s="159">
        <f>SUMIFS('METAS EMPRESAS'!$J$15:$J$320,'METAS EMPRESAS'!$A$15:$A$320,"EJ",'METAS EMPRESAS'!$B$15:$B$320,"IÇAMENTO JOIST",'METAS EMPRESAS'!$C$15:$C$320,$A128-WEEKDAY($A128,2)+1)</f>
        <v/>
      </c>
      <c r="P128" s="159">
        <f>SUMIFS('METAS EMPRESAS'!$J$15:$J$320,'METAS EMPRESAS'!$A$15:$A$320,"EJ",'METAS EMPRESAS'!$B$15:$B$320,"VIGAS",'METAS EMPRESAS'!$C$15:$C$320,$A128-WEEKDAY($A128,2)+1)</f>
        <v/>
      </c>
      <c r="Q128" s="159">
        <f>SUMIFS('METAS EMPRESAS'!$J$15:$J$320,'METAS EMPRESAS'!$A$15:$A$320,"CMM",'METAS EMPRESAS'!$B$15:$B$320,"PREMONTAGEM",'METAS EMPRESAS'!$C$15:$C$320,$A128-WEEKDAY($A128,2)+1)</f>
        <v/>
      </c>
      <c r="R128" s="159">
        <f>SUMIFS('METAS EMPRESAS'!$J$15:$J$320,'METAS EMPRESAS'!$A$15:$A$320,"CMM",'METAS EMPRESAS'!$B$15:$B$320,"IÇAMENTO JOIST",'METAS EMPRESAS'!$C$15:$C$320,$A128-WEEKDAY($A128,2)+1)</f>
        <v/>
      </c>
      <c r="S128" s="159">
        <f>SUMIFS('METAS EMPRESAS'!$J$15:$J$320,'METAS EMPRESAS'!$A$15:$A$320,"CMM",'METAS EMPRESAS'!$B$15:$B$320,"VIGAS",'METAS EMPRESAS'!$C$15:$C$320,$A128-WEEKDAY($A128,2)+1)</f>
        <v/>
      </c>
      <c r="T128">
        <f>--(WEEKDAY(A128,2)&lt;=5)</f>
        <v/>
      </c>
      <c r="U128" t="n">
        <v>19</v>
      </c>
      <c r="V128" t="n">
        <v>7</v>
      </c>
      <c r="W128" t="n">
        <v>0</v>
      </c>
      <c r="X128" t="n">
        <v>5</v>
      </c>
      <c r="Y128" t="n">
        <v>5</v>
      </c>
      <c r="Z128" t="n">
        <v>5</v>
      </c>
      <c r="AA128" t="n">
        <v>95</v>
      </c>
      <c r="AB128" t="n">
        <v>35</v>
      </c>
      <c r="AC128" t="n">
        <v>0</v>
      </c>
    </row>
    <row r="129">
      <c r="A129" s="317" t="n">
        <v>46350</v>
      </c>
      <c r="B129" s="159">
        <f>SUMIFS('METAS EMPRESAS'!$K$15:$K$320,'METAS EMPRESAS'!$A$15:$A$320,"EJ",'METAS EMPRESAS'!$B$15:$B$320,"PREMONTAGEM",'METAS EMPRESAS'!$C$15:$C$320,$A129-WEEKDAY($A129,2)+1)</f>
        <v/>
      </c>
      <c r="C129" s="159">
        <f>SUMIFS('METAS EMPRESAS'!$K$15:$K$320,'METAS EMPRESAS'!$A$15:$A$320,"EJ",'METAS EMPRESAS'!$B$15:$B$320,"IÇAMENTO JOIST",'METAS EMPRESAS'!$C$15:$C$320,$A129-WEEKDAY($A129,2)+1)</f>
        <v/>
      </c>
      <c r="D129" s="159">
        <f>SUMIFS('METAS EMPRESAS'!$K$15:$K$320,'METAS EMPRESAS'!$A$15:$A$320,"EJ",'METAS EMPRESAS'!$B$15:$B$320,"VIGAS",'METAS EMPRESAS'!$C$15:$C$320,$A129-WEEKDAY($A129,2)+1)</f>
        <v/>
      </c>
      <c r="E129" s="159">
        <f>SUMIFS('METAS EMPRESAS'!$K$15:$K$320,'METAS EMPRESAS'!$A$15:$A$320,"CMM",'METAS EMPRESAS'!$B$15:$B$320,"PREMONTAGEM",'METAS EMPRESAS'!$C$15:$C$320,$A129-WEEKDAY($A129,2)+1)</f>
        <v/>
      </c>
      <c r="F129" s="159">
        <f>SUMIFS('METAS EMPRESAS'!$K$15:$K$320,'METAS EMPRESAS'!$A$15:$A$320,"CMM",'METAS EMPRESAS'!$B$15:$B$320,"IÇAMENTO JOIST",'METAS EMPRESAS'!$C$15:$C$320,$A129-WEEKDAY($A129,2)+1)</f>
        <v/>
      </c>
      <c r="G129" s="159">
        <f>SUMIFS('METAS EMPRESAS'!$K$15:$K$320,'METAS EMPRESAS'!$A$15:$A$320,"CMM",'METAS EMPRESAS'!$B$15:$B$320,"VIGAS",'METAS EMPRESAS'!$C$15:$C$320,$A129-WEEKDAY($A129,2)+1)</f>
        <v/>
      </c>
      <c r="H129" s="159">
        <f>SUMIFS('METAS EMPRESAS'!$G$15:$G$320,'METAS EMPRESAS'!$A$15:$A$320,"EJ",'METAS EMPRESAS'!$B$15:$B$320,"PREMONTAGEM",'METAS EMPRESAS'!$C$15:$C$320,$A129-WEEKDAY($A129,2)+1)</f>
        <v/>
      </c>
      <c r="I129" s="159">
        <f>SUMIFS('METAS EMPRESAS'!$G$15:$G$320,'METAS EMPRESAS'!$A$15:$A$320,"EJ",'METAS EMPRESAS'!$B$15:$B$320,"IÇAMENTO JOIST",'METAS EMPRESAS'!$C$15:$C$320,$A129-WEEKDAY($A129,2)+1)</f>
        <v/>
      </c>
      <c r="J129" s="159">
        <f>SUMIFS('METAS EMPRESAS'!$G$15:$G$320,'METAS EMPRESAS'!$A$15:$A$320,"EJ",'METAS EMPRESAS'!$B$15:$B$320,"VIGAS",'METAS EMPRESAS'!$C$15:$C$320,$A129-WEEKDAY($A129,2)+1)</f>
        <v/>
      </c>
      <c r="K129" s="159">
        <f>SUMIFS('METAS EMPRESAS'!$G$15:$G$320,'METAS EMPRESAS'!$A$15:$A$320,"CMM",'METAS EMPRESAS'!$B$15:$B$320,"PREMONTAGEM",'METAS EMPRESAS'!$C$15:$C$320,$A129-WEEKDAY($A129,2)+1)</f>
        <v/>
      </c>
      <c r="L129" s="159">
        <f>SUMIFS('METAS EMPRESAS'!$G$15:$G$320,'METAS EMPRESAS'!$A$15:$A$320,"CMM",'METAS EMPRESAS'!$B$15:$B$320,"IÇAMENTO JOIST",'METAS EMPRESAS'!$C$15:$C$320,$A129-WEEKDAY($A129,2)+1)</f>
        <v/>
      </c>
      <c r="M129" s="159">
        <f>SUMIFS('METAS EMPRESAS'!$G$15:$G$320,'METAS EMPRESAS'!$A$15:$A$320,"CMM",'METAS EMPRESAS'!$B$15:$B$320,"VIGAS",'METAS EMPRESAS'!$C$15:$C$320,$A129-WEEKDAY($A129,2)+1)</f>
        <v/>
      </c>
      <c r="N129" s="159">
        <f>SUMIFS('METAS EMPRESAS'!$J$15:$J$320,'METAS EMPRESAS'!$A$15:$A$320,"EJ",'METAS EMPRESAS'!$B$15:$B$320,"PREMONTAGEM",'METAS EMPRESAS'!$C$15:$C$320,$A129-WEEKDAY($A129,2)+1)</f>
        <v/>
      </c>
      <c r="O129" s="159">
        <f>SUMIFS('METAS EMPRESAS'!$J$15:$J$320,'METAS EMPRESAS'!$A$15:$A$320,"EJ",'METAS EMPRESAS'!$B$15:$B$320,"IÇAMENTO JOIST",'METAS EMPRESAS'!$C$15:$C$320,$A129-WEEKDAY($A129,2)+1)</f>
        <v/>
      </c>
      <c r="P129" s="159">
        <f>SUMIFS('METAS EMPRESAS'!$J$15:$J$320,'METAS EMPRESAS'!$A$15:$A$320,"EJ",'METAS EMPRESAS'!$B$15:$B$320,"VIGAS",'METAS EMPRESAS'!$C$15:$C$320,$A129-WEEKDAY($A129,2)+1)</f>
        <v/>
      </c>
      <c r="Q129" s="159">
        <f>SUMIFS('METAS EMPRESAS'!$J$15:$J$320,'METAS EMPRESAS'!$A$15:$A$320,"CMM",'METAS EMPRESAS'!$B$15:$B$320,"PREMONTAGEM",'METAS EMPRESAS'!$C$15:$C$320,$A129-WEEKDAY($A129,2)+1)</f>
        <v/>
      </c>
      <c r="R129" s="159">
        <f>SUMIFS('METAS EMPRESAS'!$J$15:$J$320,'METAS EMPRESAS'!$A$15:$A$320,"CMM",'METAS EMPRESAS'!$B$15:$B$320,"IÇAMENTO JOIST",'METAS EMPRESAS'!$C$15:$C$320,$A129-WEEKDAY($A129,2)+1)</f>
        <v/>
      </c>
      <c r="S129" s="159">
        <f>SUMIFS('METAS EMPRESAS'!$J$15:$J$320,'METAS EMPRESAS'!$A$15:$A$320,"CMM",'METAS EMPRESAS'!$B$15:$B$320,"VIGAS",'METAS EMPRESAS'!$C$15:$C$320,$A129-WEEKDAY($A129,2)+1)</f>
        <v/>
      </c>
      <c r="T129">
        <f>--(WEEKDAY(A129,2)&lt;=5)</f>
        <v/>
      </c>
      <c r="U129" t="n">
        <v>19</v>
      </c>
      <c r="V129" t="n">
        <v>7</v>
      </c>
      <c r="W129" t="n">
        <v>0</v>
      </c>
      <c r="X129" t="n">
        <v>5</v>
      </c>
      <c r="Y129" t="n">
        <v>5</v>
      </c>
      <c r="Z129" t="n">
        <v>5</v>
      </c>
      <c r="AA129" t="n">
        <v>95</v>
      </c>
      <c r="AB129" t="n">
        <v>35</v>
      </c>
      <c r="AC129" t="n">
        <v>0</v>
      </c>
    </row>
    <row r="130">
      <c r="A130" s="317" t="n">
        <v>46351</v>
      </c>
      <c r="B130" s="159">
        <f>SUMIFS('METAS EMPRESAS'!$K$15:$K$320,'METAS EMPRESAS'!$A$15:$A$320,"EJ",'METAS EMPRESAS'!$B$15:$B$320,"PREMONTAGEM",'METAS EMPRESAS'!$C$15:$C$320,$A130-WEEKDAY($A130,2)+1)</f>
        <v/>
      </c>
      <c r="C130" s="159">
        <f>SUMIFS('METAS EMPRESAS'!$K$15:$K$320,'METAS EMPRESAS'!$A$15:$A$320,"EJ",'METAS EMPRESAS'!$B$15:$B$320,"IÇAMENTO JOIST",'METAS EMPRESAS'!$C$15:$C$320,$A130-WEEKDAY($A130,2)+1)</f>
        <v/>
      </c>
      <c r="D130" s="159">
        <f>SUMIFS('METAS EMPRESAS'!$K$15:$K$320,'METAS EMPRESAS'!$A$15:$A$320,"EJ",'METAS EMPRESAS'!$B$15:$B$320,"VIGAS",'METAS EMPRESAS'!$C$15:$C$320,$A130-WEEKDAY($A130,2)+1)</f>
        <v/>
      </c>
      <c r="E130" s="159">
        <f>SUMIFS('METAS EMPRESAS'!$K$15:$K$320,'METAS EMPRESAS'!$A$15:$A$320,"CMM",'METAS EMPRESAS'!$B$15:$B$320,"PREMONTAGEM",'METAS EMPRESAS'!$C$15:$C$320,$A130-WEEKDAY($A130,2)+1)</f>
        <v/>
      </c>
      <c r="F130" s="159">
        <f>SUMIFS('METAS EMPRESAS'!$K$15:$K$320,'METAS EMPRESAS'!$A$15:$A$320,"CMM",'METAS EMPRESAS'!$B$15:$B$320,"IÇAMENTO JOIST",'METAS EMPRESAS'!$C$15:$C$320,$A130-WEEKDAY($A130,2)+1)</f>
        <v/>
      </c>
      <c r="G130" s="159">
        <f>SUMIFS('METAS EMPRESAS'!$K$15:$K$320,'METAS EMPRESAS'!$A$15:$A$320,"CMM",'METAS EMPRESAS'!$B$15:$B$320,"VIGAS",'METAS EMPRESAS'!$C$15:$C$320,$A130-WEEKDAY($A130,2)+1)</f>
        <v/>
      </c>
      <c r="H130" s="159">
        <f>SUMIFS('METAS EMPRESAS'!$G$15:$G$320,'METAS EMPRESAS'!$A$15:$A$320,"EJ",'METAS EMPRESAS'!$B$15:$B$320,"PREMONTAGEM",'METAS EMPRESAS'!$C$15:$C$320,$A130-WEEKDAY($A130,2)+1)</f>
        <v/>
      </c>
      <c r="I130" s="159">
        <f>SUMIFS('METAS EMPRESAS'!$G$15:$G$320,'METAS EMPRESAS'!$A$15:$A$320,"EJ",'METAS EMPRESAS'!$B$15:$B$320,"IÇAMENTO JOIST",'METAS EMPRESAS'!$C$15:$C$320,$A130-WEEKDAY($A130,2)+1)</f>
        <v/>
      </c>
      <c r="J130" s="159">
        <f>SUMIFS('METAS EMPRESAS'!$G$15:$G$320,'METAS EMPRESAS'!$A$15:$A$320,"EJ",'METAS EMPRESAS'!$B$15:$B$320,"VIGAS",'METAS EMPRESAS'!$C$15:$C$320,$A130-WEEKDAY($A130,2)+1)</f>
        <v/>
      </c>
      <c r="K130" s="159">
        <f>SUMIFS('METAS EMPRESAS'!$G$15:$G$320,'METAS EMPRESAS'!$A$15:$A$320,"CMM",'METAS EMPRESAS'!$B$15:$B$320,"PREMONTAGEM",'METAS EMPRESAS'!$C$15:$C$320,$A130-WEEKDAY($A130,2)+1)</f>
        <v/>
      </c>
      <c r="L130" s="159">
        <f>SUMIFS('METAS EMPRESAS'!$G$15:$G$320,'METAS EMPRESAS'!$A$15:$A$320,"CMM",'METAS EMPRESAS'!$B$15:$B$320,"IÇAMENTO JOIST",'METAS EMPRESAS'!$C$15:$C$320,$A130-WEEKDAY($A130,2)+1)</f>
        <v/>
      </c>
      <c r="M130" s="159">
        <f>SUMIFS('METAS EMPRESAS'!$G$15:$G$320,'METAS EMPRESAS'!$A$15:$A$320,"CMM",'METAS EMPRESAS'!$B$15:$B$320,"VIGAS",'METAS EMPRESAS'!$C$15:$C$320,$A130-WEEKDAY($A130,2)+1)</f>
        <v/>
      </c>
      <c r="N130" s="159">
        <f>SUMIFS('METAS EMPRESAS'!$J$15:$J$320,'METAS EMPRESAS'!$A$15:$A$320,"EJ",'METAS EMPRESAS'!$B$15:$B$320,"PREMONTAGEM",'METAS EMPRESAS'!$C$15:$C$320,$A130-WEEKDAY($A130,2)+1)</f>
        <v/>
      </c>
      <c r="O130" s="159">
        <f>SUMIFS('METAS EMPRESAS'!$J$15:$J$320,'METAS EMPRESAS'!$A$15:$A$320,"EJ",'METAS EMPRESAS'!$B$15:$B$320,"IÇAMENTO JOIST",'METAS EMPRESAS'!$C$15:$C$320,$A130-WEEKDAY($A130,2)+1)</f>
        <v/>
      </c>
      <c r="P130" s="159">
        <f>SUMIFS('METAS EMPRESAS'!$J$15:$J$320,'METAS EMPRESAS'!$A$15:$A$320,"EJ",'METAS EMPRESAS'!$B$15:$B$320,"VIGAS",'METAS EMPRESAS'!$C$15:$C$320,$A130-WEEKDAY($A130,2)+1)</f>
        <v/>
      </c>
      <c r="Q130" s="159">
        <f>SUMIFS('METAS EMPRESAS'!$J$15:$J$320,'METAS EMPRESAS'!$A$15:$A$320,"CMM",'METAS EMPRESAS'!$B$15:$B$320,"PREMONTAGEM",'METAS EMPRESAS'!$C$15:$C$320,$A130-WEEKDAY($A130,2)+1)</f>
        <v/>
      </c>
      <c r="R130" s="159">
        <f>SUMIFS('METAS EMPRESAS'!$J$15:$J$320,'METAS EMPRESAS'!$A$15:$A$320,"CMM",'METAS EMPRESAS'!$B$15:$B$320,"IÇAMENTO JOIST",'METAS EMPRESAS'!$C$15:$C$320,$A130-WEEKDAY($A130,2)+1)</f>
        <v/>
      </c>
      <c r="S130" s="159">
        <f>SUMIFS('METAS EMPRESAS'!$J$15:$J$320,'METAS EMPRESAS'!$A$15:$A$320,"CMM",'METAS EMPRESAS'!$B$15:$B$320,"VIGAS",'METAS EMPRESAS'!$C$15:$C$320,$A130-WEEKDAY($A130,2)+1)</f>
        <v/>
      </c>
      <c r="T130">
        <f>--(WEEKDAY(A130,2)&lt;=5)</f>
        <v/>
      </c>
      <c r="U130" t="n">
        <v>19</v>
      </c>
      <c r="V130" t="n">
        <v>7</v>
      </c>
      <c r="W130" t="n">
        <v>0</v>
      </c>
      <c r="X130" t="n">
        <v>5</v>
      </c>
      <c r="Y130" t="n">
        <v>5</v>
      </c>
      <c r="Z130" t="n">
        <v>5</v>
      </c>
      <c r="AA130" t="n">
        <v>95</v>
      </c>
      <c r="AB130" t="n">
        <v>35</v>
      </c>
      <c r="AC130" t="n">
        <v>0</v>
      </c>
    </row>
    <row r="131">
      <c r="A131" s="317" t="n">
        <v>46352</v>
      </c>
      <c r="B131" s="159">
        <f>SUMIFS('METAS EMPRESAS'!$K$15:$K$320,'METAS EMPRESAS'!$A$15:$A$320,"EJ",'METAS EMPRESAS'!$B$15:$B$320,"PREMONTAGEM",'METAS EMPRESAS'!$C$15:$C$320,$A131-WEEKDAY($A131,2)+1)</f>
        <v/>
      </c>
      <c r="C131" s="159">
        <f>SUMIFS('METAS EMPRESAS'!$K$15:$K$320,'METAS EMPRESAS'!$A$15:$A$320,"EJ",'METAS EMPRESAS'!$B$15:$B$320,"IÇAMENTO JOIST",'METAS EMPRESAS'!$C$15:$C$320,$A131-WEEKDAY($A131,2)+1)</f>
        <v/>
      </c>
      <c r="D131" s="159">
        <f>SUMIFS('METAS EMPRESAS'!$K$15:$K$320,'METAS EMPRESAS'!$A$15:$A$320,"EJ",'METAS EMPRESAS'!$B$15:$B$320,"VIGAS",'METAS EMPRESAS'!$C$15:$C$320,$A131-WEEKDAY($A131,2)+1)</f>
        <v/>
      </c>
      <c r="E131" s="159">
        <f>SUMIFS('METAS EMPRESAS'!$K$15:$K$320,'METAS EMPRESAS'!$A$15:$A$320,"CMM",'METAS EMPRESAS'!$B$15:$B$320,"PREMONTAGEM",'METAS EMPRESAS'!$C$15:$C$320,$A131-WEEKDAY($A131,2)+1)</f>
        <v/>
      </c>
      <c r="F131" s="159">
        <f>SUMIFS('METAS EMPRESAS'!$K$15:$K$320,'METAS EMPRESAS'!$A$15:$A$320,"CMM",'METAS EMPRESAS'!$B$15:$B$320,"IÇAMENTO JOIST",'METAS EMPRESAS'!$C$15:$C$320,$A131-WEEKDAY($A131,2)+1)</f>
        <v/>
      </c>
      <c r="G131" s="159">
        <f>SUMIFS('METAS EMPRESAS'!$K$15:$K$320,'METAS EMPRESAS'!$A$15:$A$320,"CMM",'METAS EMPRESAS'!$B$15:$B$320,"VIGAS",'METAS EMPRESAS'!$C$15:$C$320,$A131-WEEKDAY($A131,2)+1)</f>
        <v/>
      </c>
      <c r="H131" s="159">
        <f>SUMIFS('METAS EMPRESAS'!$G$15:$G$320,'METAS EMPRESAS'!$A$15:$A$320,"EJ",'METAS EMPRESAS'!$B$15:$B$320,"PREMONTAGEM",'METAS EMPRESAS'!$C$15:$C$320,$A131-WEEKDAY($A131,2)+1)</f>
        <v/>
      </c>
      <c r="I131" s="159">
        <f>SUMIFS('METAS EMPRESAS'!$G$15:$G$320,'METAS EMPRESAS'!$A$15:$A$320,"EJ",'METAS EMPRESAS'!$B$15:$B$320,"IÇAMENTO JOIST",'METAS EMPRESAS'!$C$15:$C$320,$A131-WEEKDAY($A131,2)+1)</f>
        <v/>
      </c>
      <c r="J131" s="159">
        <f>SUMIFS('METAS EMPRESAS'!$G$15:$G$320,'METAS EMPRESAS'!$A$15:$A$320,"EJ",'METAS EMPRESAS'!$B$15:$B$320,"VIGAS",'METAS EMPRESAS'!$C$15:$C$320,$A131-WEEKDAY($A131,2)+1)</f>
        <v/>
      </c>
      <c r="K131" s="159">
        <f>SUMIFS('METAS EMPRESAS'!$G$15:$G$320,'METAS EMPRESAS'!$A$15:$A$320,"CMM",'METAS EMPRESAS'!$B$15:$B$320,"PREMONTAGEM",'METAS EMPRESAS'!$C$15:$C$320,$A131-WEEKDAY($A131,2)+1)</f>
        <v/>
      </c>
      <c r="L131" s="159">
        <f>SUMIFS('METAS EMPRESAS'!$G$15:$G$320,'METAS EMPRESAS'!$A$15:$A$320,"CMM",'METAS EMPRESAS'!$B$15:$B$320,"IÇAMENTO JOIST",'METAS EMPRESAS'!$C$15:$C$320,$A131-WEEKDAY($A131,2)+1)</f>
        <v/>
      </c>
      <c r="M131" s="159">
        <f>SUMIFS('METAS EMPRESAS'!$G$15:$G$320,'METAS EMPRESAS'!$A$15:$A$320,"CMM",'METAS EMPRESAS'!$B$15:$B$320,"VIGAS",'METAS EMPRESAS'!$C$15:$C$320,$A131-WEEKDAY($A131,2)+1)</f>
        <v/>
      </c>
      <c r="N131" s="159">
        <f>SUMIFS('METAS EMPRESAS'!$J$15:$J$320,'METAS EMPRESAS'!$A$15:$A$320,"EJ",'METAS EMPRESAS'!$B$15:$B$320,"PREMONTAGEM",'METAS EMPRESAS'!$C$15:$C$320,$A131-WEEKDAY($A131,2)+1)</f>
        <v/>
      </c>
      <c r="O131" s="159">
        <f>SUMIFS('METAS EMPRESAS'!$J$15:$J$320,'METAS EMPRESAS'!$A$15:$A$320,"EJ",'METAS EMPRESAS'!$B$15:$B$320,"IÇAMENTO JOIST",'METAS EMPRESAS'!$C$15:$C$320,$A131-WEEKDAY($A131,2)+1)</f>
        <v/>
      </c>
      <c r="P131" s="159">
        <f>SUMIFS('METAS EMPRESAS'!$J$15:$J$320,'METAS EMPRESAS'!$A$15:$A$320,"EJ",'METAS EMPRESAS'!$B$15:$B$320,"VIGAS",'METAS EMPRESAS'!$C$15:$C$320,$A131-WEEKDAY($A131,2)+1)</f>
        <v/>
      </c>
      <c r="Q131" s="159">
        <f>SUMIFS('METAS EMPRESAS'!$J$15:$J$320,'METAS EMPRESAS'!$A$15:$A$320,"CMM",'METAS EMPRESAS'!$B$15:$B$320,"PREMONTAGEM",'METAS EMPRESAS'!$C$15:$C$320,$A131-WEEKDAY($A131,2)+1)</f>
        <v/>
      </c>
      <c r="R131" s="159">
        <f>SUMIFS('METAS EMPRESAS'!$J$15:$J$320,'METAS EMPRESAS'!$A$15:$A$320,"CMM",'METAS EMPRESAS'!$B$15:$B$320,"IÇAMENTO JOIST",'METAS EMPRESAS'!$C$15:$C$320,$A131-WEEKDAY($A131,2)+1)</f>
        <v/>
      </c>
      <c r="S131" s="159">
        <f>SUMIFS('METAS EMPRESAS'!$J$15:$J$320,'METAS EMPRESAS'!$A$15:$A$320,"CMM",'METAS EMPRESAS'!$B$15:$B$320,"VIGAS",'METAS EMPRESAS'!$C$15:$C$320,$A131-WEEKDAY($A131,2)+1)</f>
        <v/>
      </c>
      <c r="T131">
        <f>--(WEEKDAY(A131,2)&lt;=5)</f>
        <v/>
      </c>
      <c r="U131" t="n">
        <v>19</v>
      </c>
      <c r="V131" t="n">
        <v>7</v>
      </c>
      <c r="W131" t="n">
        <v>0</v>
      </c>
      <c r="X131" t="n">
        <v>5</v>
      </c>
      <c r="Y131" t="n">
        <v>5</v>
      </c>
      <c r="Z131" t="n">
        <v>5</v>
      </c>
      <c r="AA131" t="n">
        <v>95</v>
      </c>
      <c r="AB131" t="n">
        <v>35</v>
      </c>
      <c r="AC131" t="n">
        <v>0</v>
      </c>
    </row>
    <row r="132">
      <c r="A132" s="317" t="n">
        <v>46353</v>
      </c>
      <c r="B132" s="159">
        <f>SUMIFS('METAS EMPRESAS'!$K$15:$K$320,'METAS EMPRESAS'!$A$15:$A$320,"EJ",'METAS EMPRESAS'!$B$15:$B$320,"PREMONTAGEM",'METAS EMPRESAS'!$C$15:$C$320,$A132-WEEKDAY($A132,2)+1)</f>
        <v/>
      </c>
      <c r="C132" s="159">
        <f>SUMIFS('METAS EMPRESAS'!$K$15:$K$320,'METAS EMPRESAS'!$A$15:$A$320,"EJ",'METAS EMPRESAS'!$B$15:$B$320,"IÇAMENTO JOIST",'METAS EMPRESAS'!$C$15:$C$320,$A132-WEEKDAY($A132,2)+1)</f>
        <v/>
      </c>
      <c r="D132" s="159">
        <f>SUMIFS('METAS EMPRESAS'!$K$15:$K$320,'METAS EMPRESAS'!$A$15:$A$320,"EJ",'METAS EMPRESAS'!$B$15:$B$320,"VIGAS",'METAS EMPRESAS'!$C$15:$C$320,$A132-WEEKDAY($A132,2)+1)</f>
        <v/>
      </c>
      <c r="E132" s="159">
        <f>SUMIFS('METAS EMPRESAS'!$K$15:$K$320,'METAS EMPRESAS'!$A$15:$A$320,"CMM",'METAS EMPRESAS'!$B$15:$B$320,"PREMONTAGEM",'METAS EMPRESAS'!$C$15:$C$320,$A132-WEEKDAY($A132,2)+1)</f>
        <v/>
      </c>
      <c r="F132" s="159">
        <f>SUMIFS('METAS EMPRESAS'!$K$15:$K$320,'METAS EMPRESAS'!$A$15:$A$320,"CMM",'METAS EMPRESAS'!$B$15:$B$320,"IÇAMENTO JOIST",'METAS EMPRESAS'!$C$15:$C$320,$A132-WEEKDAY($A132,2)+1)</f>
        <v/>
      </c>
      <c r="G132" s="159">
        <f>SUMIFS('METAS EMPRESAS'!$K$15:$K$320,'METAS EMPRESAS'!$A$15:$A$320,"CMM",'METAS EMPRESAS'!$B$15:$B$320,"VIGAS",'METAS EMPRESAS'!$C$15:$C$320,$A132-WEEKDAY($A132,2)+1)</f>
        <v/>
      </c>
      <c r="H132" s="159">
        <f>SUMIFS('METAS EMPRESAS'!$G$15:$G$320,'METAS EMPRESAS'!$A$15:$A$320,"EJ",'METAS EMPRESAS'!$B$15:$B$320,"PREMONTAGEM",'METAS EMPRESAS'!$C$15:$C$320,$A132-WEEKDAY($A132,2)+1)</f>
        <v/>
      </c>
      <c r="I132" s="159">
        <f>SUMIFS('METAS EMPRESAS'!$G$15:$G$320,'METAS EMPRESAS'!$A$15:$A$320,"EJ",'METAS EMPRESAS'!$B$15:$B$320,"IÇAMENTO JOIST",'METAS EMPRESAS'!$C$15:$C$320,$A132-WEEKDAY($A132,2)+1)</f>
        <v/>
      </c>
      <c r="J132" s="159">
        <f>SUMIFS('METAS EMPRESAS'!$G$15:$G$320,'METAS EMPRESAS'!$A$15:$A$320,"EJ",'METAS EMPRESAS'!$B$15:$B$320,"VIGAS",'METAS EMPRESAS'!$C$15:$C$320,$A132-WEEKDAY($A132,2)+1)</f>
        <v/>
      </c>
      <c r="K132" s="159">
        <f>SUMIFS('METAS EMPRESAS'!$G$15:$G$320,'METAS EMPRESAS'!$A$15:$A$320,"CMM",'METAS EMPRESAS'!$B$15:$B$320,"PREMONTAGEM",'METAS EMPRESAS'!$C$15:$C$320,$A132-WEEKDAY($A132,2)+1)</f>
        <v/>
      </c>
      <c r="L132" s="159">
        <f>SUMIFS('METAS EMPRESAS'!$G$15:$G$320,'METAS EMPRESAS'!$A$15:$A$320,"CMM",'METAS EMPRESAS'!$B$15:$B$320,"IÇAMENTO JOIST",'METAS EMPRESAS'!$C$15:$C$320,$A132-WEEKDAY($A132,2)+1)</f>
        <v/>
      </c>
      <c r="M132" s="159">
        <f>SUMIFS('METAS EMPRESAS'!$G$15:$G$320,'METAS EMPRESAS'!$A$15:$A$320,"CMM",'METAS EMPRESAS'!$B$15:$B$320,"VIGAS",'METAS EMPRESAS'!$C$15:$C$320,$A132-WEEKDAY($A132,2)+1)</f>
        <v/>
      </c>
      <c r="N132" s="159">
        <f>SUMIFS('METAS EMPRESAS'!$J$15:$J$320,'METAS EMPRESAS'!$A$15:$A$320,"EJ",'METAS EMPRESAS'!$B$15:$B$320,"PREMONTAGEM",'METAS EMPRESAS'!$C$15:$C$320,$A132-WEEKDAY($A132,2)+1)</f>
        <v/>
      </c>
      <c r="O132" s="159">
        <f>SUMIFS('METAS EMPRESAS'!$J$15:$J$320,'METAS EMPRESAS'!$A$15:$A$320,"EJ",'METAS EMPRESAS'!$B$15:$B$320,"IÇAMENTO JOIST",'METAS EMPRESAS'!$C$15:$C$320,$A132-WEEKDAY($A132,2)+1)</f>
        <v/>
      </c>
      <c r="P132" s="159">
        <f>SUMIFS('METAS EMPRESAS'!$J$15:$J$320,'METAS EMPRESAS'!$A$15:$A$320,"EJ",'METAS EMPRESAS'!$B$15:$B$320,"VIGAS",'METAS EMPRESAS'!$C$15:$C$320,$A132-WEEKDAY($A132,2)+1)</f>
        <v/>
      </c>
      <c r="Q132" s="159">
        <f>SUMIFS('METAS EMPRESAS'!$J$15:$J$320,'METAS EMPRESAS'!$A$15:$A$320,"CMM",'METAS EMPRESAS'!$B$15:$B$320,"PREMONTAGEM",'METAS EMPRESAS'!$C$15:$C$320,$A132-WEEKDAY($A132,2)+1)</f>
        <v/>
      </c>
      <c r="R132" s="159">
        <f>SUMIFS('METAS EMPRESAS'!$J$15:$J$320,'METAS EMPRESAS'!$A$15:$A$320,"CMM",'METAS EMPRESAS'!$B$15:$B$320,"IÇAMENTO JOIST",'METAS EMPRESAS'!$C$15:$C$320,$A132-WEEKDAY($A132,2)+1)</f>
        <v/>
      </c>
      <c r="S132" s="159">
        <f>SUMIFS('METAS EMPRESAS'!$J$15:$J$320,'METAS EMPRESAS'!$A$15:$A$320,"CMM",'METAS EMPRESAS'!$B$15:$B$320,"VIGAS",'METAS EMPRESAS'!$C$15:$C$320,$A132-WEEKDAY($A132,2)+1)</f>
        <v/>
      </c>
      <c r="T132">
        <f>--(WEEKDAY(A132,2)&lt;=5)</f>
        <v/>
      </c>
      <c r="U132" t="n">
        <v>19</v>
      </c>
      <c r="V132" t="n">
        <v>7</v>
      </c>
      <c r="W132" t="n">
        <v>0</v>
      </c>
      <c r="X132" t="n">
        <v>5</v>
      </c>
      <c r="Y132" t="n">
        <v>5</v>
      </c>
      <c r="Z132" t="n">
        <v>5</v>
      </c>
      <c r="AA132" t="n">
        <v>95</v>
      </c>
      <c r="AB132" t="n">
        <v>35</v>
      </c>
      <c r="AC132" t="n">
        <v>0</v>
      </c>
    </row>
    <row r="133">
      <c r="A133" s="317" t="n">
        <v>46354</v>
      </c>
      <c r="B133" s="159">
        <f>SUMIFS('METAS EMPRESAS'!$K$15:$K$320,'METAS EMPRESAS'!$A$15:$A$320,"EJ",'METAS EMPRESAS'!$B$15:$B$320,"PREMONTAGEM",'METAS EMPRESAS'!$C$15:$C$320,$A133-WEEKDAY($A133,2)+1)</f>
        <v/>
      </c>
      <c r="C133" s="159">
        <f>SUMIFS('METAS EMPRESAS'!$K$15:$K$320,'METAS EMPRESAS'!$A$15:$A$320,"EJ",'METAS EMPRESAS'!$B$15:$B$320,"IÇAMENTO JOIST",'METAS EMPRESAS'!$C$15:$C$320,$A133-WEEKDAY($A133,2)+1)</f>
        <v/>
      </c>
      <c r="D133" s="159">
        <f>SUMIFS('METAS EMPRESAS'!$K$15:$K$320,'METAS EMPRESAS'!$A$15:$A$320,"EJ",'METAS EMPRESAS'!$B$15:$B$320,"VIGAS",'METAS EMPRESAS'!$C$15:$C$320,$A133-WEEKDAY($A133,2)+1)</f>
        <v/>
      </c>
      <c r="E133" s="159">
        <f>SUMIFS('METAS EMPRESAS'!$K$15:$K$320,'METAS EMPRESAS'!$A$15:$A$320,"CMM",'METAS EMPRESAS'!$B$15:$B$320,"PREMONTAGEM",'METAS EMPRESAS'!$C$15:$C$320,$A133-WEEKDAY($A133,2)+1)</f>
        <v/>
      </c>
      <c r="F133" s="159">
        <f>SUMIFS('METAS EMPRESAS'!$K$15:$K$320,'METAS EMPRESAS'!$A$15:$A$320,"CMM",'METAS EMPRESAS'!$B$15:$B$320,"IÇAMENTO JOIST",'METAS EMPRESAS'!$C$15:$C$320,$A133-WEEKDAY($A133,2)+1)</f>
        <v/>
      </c>
      <c r="G133" s="159">
        <f>SUMIFS('METAS EMPRESAS'!$K$15:$K$320,'METAS EMPRESAS'!$A$15:$A$320,"CMM",'METAS EMPRESAS'!$B$15:$B$320,"VIGAS",'METAS EMPRESAS'!$C$15:$C$320,$A133-WEEKDAY($A133,2)+1)</f>
        <v/>
      </c>
      <c r="H133" s="159">
        <f>SUMIFS('METAS EMPRESAS'!$G$15:$G$320,'METAS EMPRESAS'!$A$15:$A$320,"EJ",'METAS EMPRESAS'!$B$15:$B$320,"PREMONTAGEM",'METAS EMPRESAS'!$C$15:$C$320,$A133-WEEKDAY($A133,2)+1)</f>
        <v/>
      </c>
      <c r="I133" s="159">
        <f>SUMIFS('METAS EMPRESAS'!$G$15:$G$320,'METAS EMPRESAS'!$A$15:$A$320,"EJ",'METAS EMPRESAS'!$B$15:$B$320,"IÇAMENTO JOIST",'METAS EMPRESAS'!$C$15:$C$320,$A133-WEEKDAY($A133,2)+1)</f>
        <v/>
      </c>
      <c r="J133" s="159">
        <f>SUMIFS('METAS EMPRESAS'!$G$15:$G$320,'METAS EMPRESAS'!$A$15:$A$320,"EJ",'METAS EMPRESAS'!$B$15:$B$320,"VIGAS",'METAS EMPRESAS'!$C$15:$C$320,$A133-WEEKDAY($A133,2)+1)</f>
        <v/>
      </c>
      <c r="K133" s="159">
        <f>SUMIFS('METAS EMPRESAS'!$G$15:$G$320,'METAS EMPRESAS'!$A$15:$A$320,"CMM",'METAS EMPRESAS'!$B$15:$B$320,"PREMONTAGEM",'METAS EMPRESAS'!$C$15:$C$320,$A133-WEEKDAY($A133,2)+1)</f>
        <v/>
      </c>
      <c r="L133" s="159">
        <f>SUMIFS('METAS EMPRESAS'!$G$15:$G$320,'METAS EMPRESAS'!$A$15:$A$320,"CMM",'METAS EMPRESAS'!$B$15:$B$320,"IÇAMENTO JOIST",'METAS EMPRESAS'!$C$15:$C$320,$A133-WEEKDAY($A133,2)+1)</f>
        <v/>
      </c>
      <c r="M133" s="159">
        <f>SUMIFS('METAS EMPRESAS'!$G$15:$G$320,'METAS EMPRESAS'!$A$15:$A$320,"CMM",'METAS EMPRESAS'!$B$15:$B$320,"VIGAS",'METAS EMPRESAS'!$C$15:$C$320,$A133-WEEKDAY($A133,2)+1)</f>
        <v/>
      </c>
      <c r="N133" s="159">
        <f>SUMIFS('METAS EMPRESAS'!$J$15:$J$320,'METAS EMPRESAS'!$A$15:$A$320,"EJ",'METAS EMPRESAS'!$B$15:$B$320,"PREMONTAGEM",'METAS EMPRESAS'!$C$15:$C$320,$A133-WEEKDAY($A133,2)+1)</f>
        <v/>
      </c>
      <c r="O133" s="159">
        <f>SUMIFS('METAS EMPRESAS'!$J$15:$J$320,'METAS EMPRESAS'!$A$15:$A$320,"EJ",'METAS EMPRESAS'!$B$15:$B$320,"IÇAMENTO JOIST",'METAS EMPRESAS'!$C$15:$C$320,$A133-WEEKDAY($A133,2)+1)</f>
        <v/>
      </c>
      <c r="P133" s="159">
        <f>SUMIFS('METAS EMPRESAS'!$J$15:$J$320,'METAS EMPRESAS'!$A$15:$A$320,"EJ",'METAS EMPRESAS'!$B$15:$B$320,"VIGAS",'METAS EMPRESAS'!$C$15:$C$320,$A133-WEEKDAY($A133,2)+1)</f>
        <v/>
      </c>
      <c r="Q133" s="159">
        <f>SUMIFS('METAS EMPRESAS'!$J$15:$J$320,'METAS EMPRESAS'!$A$15:$A$320,"CMM",'METAS EMPRESAS'!$B$15:$B$320,"PREMONTAGEM",'METAS EMPRESAS'!$C$15:$C$320,$A133-WEEKDAY($A133,2)+1)</f>
        <v/>
      </c>
      <c r="R133" s="159">
        <f>SUMIFS('METAS EMPRESAS'!$J$15:$J$320,'METAS EMPRESAS'!$A$15:$A$320,"CMM",'METAS EMPRESAS'!$B$15:$B$320,"IÇAMENTO JOIST",'METAS EMPRESAS'!$C$15:$C$320,$A133-WEEKDAY($A133,2)+1)</f>
        <v/>
      </c>
      <c r="S133" s="159">
        <f>SUMIFS('METAS EMPRESAS'!$J$15:$J$320,'METAS EMPRESAS'!$A$15:$A$320,"CMM",'METAS EMPRESAS'!$B$15:$B$320,"VIGAS",'METAS EMPRESAS'!$C$15:$C$320,$A133-WEEKDAY($A133,2)+1)</f>
        <v/>
      </c>
      <c r="T133">
        <f>--(WEEKDAY(A133,2)&lt;=5)</f>
        <v/>
      </c>
      <c r="U133" t="n">
        <v>19</v>
      </c>
      <c r="V133" t="n">
        <v>7</v>
      </c>
      <c r="W133" t="n">
        <v>0</v>
      </c>
      <c r="X133" t="n">
        <v>5</v>
      </c>
      <c r="Y133" t="n">
        <v>5</v>
      </c>
      <c r="Z133" t="n">
        <v>5</v>
      </c>
      <c r="AA133" t="n">
        <v>95</v>
      </c>
      <c r="AB133" t="n">
        <v>35</v>
      </c>
      <c r="AC133" t="n">
        <v>0</v>
      </c>
    </row>
    <row r="134">
      <c r="A134" s="317" t="n">
        <v>46355</v>
      </c>
      <c r="B134" s="159">
        <f>SUMIFS('METAS EMPRESAS'!$K$15:$K$320,'METAS EMPRESAS'!$A$15:$A$320,"EJ",'METAS EMPRESAS'!$B$15:$B$320,"PREMONTAGEM",'METAS EMPRESAS'!$C$15:$C$320,$A134-WEEKDAY($A134,2)+1)</f>
        <v/>
      </c>
      <c r="C134" s="159">
        <f>SUMIFS('METAS EMPRESAS'!$K$15:$K$320,'METAS EMPRESAS'!$A$15:$A$320,"EJ",'METAS EMPRESAS'!$B$15:$B$320,"IÇAMENTO JOIST",'METAS EMPRESAS'!$C$15:$C$320,$A134-WEEKDAY($A134,2)+1)</f>
        <v/>
      </c>
      <c r="D134" s="159">
        <f>SUMIFS('METAS EMPRESAS'!$K$15:$K$320,'METAS EMPRESAS'!$A$15:$A$320,"EJ",'METAS EMPRESAS'!$B$15:$B$320,"VIGAS",'METAS EMPRESAS'!$C$15:$C$320,$A134-WEEKDAY($A134,2)+1)</f>
        <v/>
      </c>
      <c r="E134" s="159">
        <f>SUMIFS('METAS EMPRESAS'!$K$15:$K$320,'METAS EMPRESAS'!$A$15:$A$320,"CMM",'METAS EMPRESAS'!$B$15:$B$320,"PREMONTAGEM",'METAS EMPRESAS'!$C$15:$C$320,$A134-WEEKDAY($A134,2)+1)</f>
        <v/>
      </c>
      <c r="F134" s="159">
        <f>SUMIFS('METAS EMPRESAS'!$K$15:$K$320,'METAS EMPRESAS'!$A$15:$A$320,"CMM",'METAS EMPRESAS'!$B$15:$B$320,"IÇAMENTO JOIST",'METAS EMPRESAS'!$C$15:$C$320,$A134-WEEKDAY($A134,2)+1)</f>
        <v/>
      </c>
      <c r="G134" s="159">
        <f>SUMIFS('METAS EMPRESAS'!$K$15:$K$320,'METAS EMPRESAS'!$A$15:$A$320,"CMM",'METAS EMPRESAS'!$B$15:$B$320,"VIGAS",'METAS EMPRESAS'!$C$15:$C$320,$A134-WEEKDAY($A134,2)+1)</f>
        <v/>
      </c>
      <c r="H134" s="159">
        <f>SUMIFS('METAS EMPRESAS'!$G$15:$G$320,'METAS EMPRESAS'!$A$15:$A$320,"EJ",'METAS EMPRESAS'!$B$15:$B$320,"PREMONTAGEM",'METAS EMPRESAS'!$C$15:$C$320,$A134-WEEKDAY($A134,2)+1)</f>
        <v/>
      </c>
      <c r="I134" s="159">
        <f>SUMIFS('METAS EMPRESAS'!$G$15:$G$320,'METAS EMPRESAS'!$A$15:$A$320,"EJ",'METAS EMPRESAS'!$B$15:$B$320,"IÇAMENTO JOIST",'METAS EMPRESAS'!$C$15:$C$320,$A134-WEEKDAY($A134,2)+1)</f>
        <v/>
      </c>
      <c r="J134" s="159">
        <f>SUMIFS('METAS EMPRESAS'!$G$15:$G$320,'METAS EMPRESAS'!$A$15:$A$320,"EJ",'METAS EMPRESAS'!$B$15:$B$320,"VIGAS",'METAS EMPRESAS'!$C$15:$C$320,$A134-WEEKDAY($A134,2)+1)</f>
        <v/>
      </c>
      <c r="K134" s="159">
        <f>SUMIFS('METAS EMPRESAS'!$G$15:$G$320,'METAS EMPRESAS'!$A$15:$A$320,"CMM",'METAS EMPRESAS'!$B$15:$B$320,"PREMONTAGEM",'METAS EMPRESAS'!$C$15:$C$320,$A134-WEEKDAY($A134,2)+1)</f>
        <v/>
      </c>
      <c r="L134" s="159">
        <f>SUMIFS('METAS EMPRESAS'!$G$15:$G$320,'METAS EMPRESAS'!$A$15:$A$320,"CMM",'METAS EMPRESAS'!$B$15:$B$320,"IÇAMENTO JOIST",'METAS EMPRESAS'!$C$15:$C$320,$A134-WEEKDAY($A134,2)+1)</f>
        <v/>
      </c>
      <c r="M134" s="159">
        <f>SUMIFS('METAS EMPRESAS'!$G$15:$G$320,'METAS EMPRESAS'!$A$15:$A$320,"CMM",'METAS EMPRESAS'!$B$15:$B$320,"VIGAS",'METAS EMPRESAS'!$C$15:$C$320,$A134-WEEKDAY($A134,2)+1)</f>
        <v/>
      </c>
      <c r="N134" s="159">
        <f>SUMIFS('METAS EMPRESAS'!$J$15:$J$320,'METAS EMPRESAS'!$A$15:$A$320,"EJ",'METAS EMPRESAS'!$B$15:$B$320,"PREMONTAGEM",'METAS EMPRESAS'!$C$15:$C$320,$A134-WEEKDAY($A134,2)+1)</f>
        <v/>
      </c>
      <c r="O134" s="159">
        <f>SUMIFS('METAS EMPRESAS'!$J$15:$J$320,'METAS EMPRESAS'!$A$15:$A$320,"EJ",'METAS EMPRESAS'!$B$15:$B$320,"IÇAMENTO JOIST",'METAS EMPRESAS'!$C$15:$C$320,$A134-WEEKDAY($A134,2)+1)</f>
        <v/>
      </c>
      <c r="P134" s="159">
        <f>SUMIFS('METAS EMPRESAS'!$J$15:$J$320,'METAS EMPRESAS'!$A$15:$A$320,"EJ",'METAS EMPRESAS'!$B$15:$B$320,"VIGAS",'METAS EMPRESAS'!$C$15:$C$320,$A134-WEEKDAY($A134,2)+1)</f>
        <v/>
      </c>
      <c r="Q134" s="159">
        <f>SUMIFS('METAS EMPRESAS'!$J$15:$J$320,'METAS EMPRESAS'!$A$15:$A$320,"CMM",'METAS EMPRESAS'!$B$15:$B$320,"PREMONTAGEM",'METAS EMPRESAS'!$C$15:$C$320,$A134-WEEKDAY($A134,2)+1)</f>
        <v/>
      </c>
      <c r="R134" s="159">
        <f>SUMIFS('METAS EMPRESAS'!$J$15:$J$320,'METAS EMPRESAS'!$A$15:$A$320,"CMM",'METAS EMPRESAS'!$B$15:$B$320,"IÇAMENTO JOIST",'METAS EMPRESAS'!$C$15:$C$320,$A134-WEEKDAY($A134,2)+1)</f>
        <v/>
      </c>
      <c r="S134" s="159">
        <f>SUMIFS('METAS EMPRESAS'!$J$15:$J$320,'METAS EMPRESAS'!$A$15:$A$320,"CMM",'METAS EMPRESAS'!$B$15:$B$320,"VIGAS",'METAS EMPRESAS'!$C$15:$C$320,$A134-WEEKDAY($A134,2)+1)</f>
        <v/>
      </c>
      <c r="T134">
        <f>--(WEEKDAY(A134,2)&lt;=5)</f>
        <v/>
      </c>
      <c r="U134" t="n">
        <v>19</v>
      </c>
      <c r="V134" t="n">
        <v>7</v>
      </c>
      <c r="W134" t="n">
        <v>0</v>
      </c>
      <c r="X134" t="n">
        <v>5</v>
      </c>
      <c r="Y134" t="n">
        <v>5</v>
      </c>
      <c r="Z134" t="n">
        <v>5</v>
      </c>
      <c r="AA134" t="n">
        <v>95</v>
      </c>
      <c r="AB134" t="n">
        <v>35</v>
      </c>
      <c r="AC134" t="n">
        <v>0</v>
      </c>
    </row>
    <row r="135">
      <c r="A135" s="317" t="n">
        <v>46356</v>
      </c>
      <c r="B135" s="159">
        <f>SUMIFS('METAS EMPRESAS'!$K$15:$K$320,'METAS EMPRESAS'!$A$15:$A$320,"EJ",'METAS EMPRESAS'!$B$15:$B$320,"PREMONTAGEM",'METAS EMPRESAS'!$C$15:$C$320,$A135-WEEKDAY($A135,2)+1)</f>
        <v/>
      </c>
      <c r="C135" s="159">
        <f>SUMIFS('METAS EMPRESAS'!$K$15:$K$320,'METAS EMPRESAS'!$A$15:$A$320,"EJ",'METAS EMPRESAS'!$B$15:$B$320,"IÇAMENTO JOIST",'METAS EMPRESAS'!$C$15:$C$320,$A135-WEEKDAY($A135,2)+1)</f>
        <v/>
      </c>
      <c r="D135" s="159">
        <f>SUMIFS('METAS EMPRESAS'!$K$15:$K$320,'METAS EMPRESAS'!$A$15:$A$320,"EJ",'METAS EMPRESAS'!$B$15:$B$320,"VIGAS",'METAS EMPRESAS'!$C$15:$C$320,$A135-WEEKDAY($A135,2)+1)</f>
        <v/>
      </c>
      <c r="E135" s="159">
        <f>SUMIFS('METAS EMPRESAS'!$K$15:$K$320,'METAS EMPRESAS'!$A$15:$A$320,"CMM",'METAS EMPRESAS'!$B$15:$B$320,"PREMONTAGEM",'METAS EMPRESAS'!$C$15:$C$320,$A135-WEEKDAY($A135,2)+1)</f>
        <v/>
      </c>
      <c r="F135" s="159">
        <f>SUMIFS('METAS EMPRESAS'!$K$15:$K$320,'METAS EMPRESAS'!$A$15:$A$320,"CMM",'METAS EMPRESAS'!$B$15:$B$320,"IÇAMENTO JOIST",'METAS EMPRESAS'!$C$15:$C$320,$A135-WEEKDAY($A135,2)+1)</f>
        <v/>
      </c>
      <c r="G135" s="159">
        <f>SUMIFS('METAS EMPRESAS'!$K$15:$K$320,'METAS EMPRESAS'!$A$15:$A$320,"CMM",'METAS EMPRESAS'!$B$15:$B$320,"VIGAS",'METAS EMPRESAS'!$C$15:$C$320,$A135-WEEKDAY($A135,2)+1)</f>
        <v/>
      </c>
      <c r="H135" s="159">
        <f>SUMIFS('METAS EMPRESAS'!$G$15:$G$320,'METAS EMPRESAS'!$A$15:$A$320,"EJ",'METAS EMPRESAS'!$B$15:$B$320,"PREMONTAGEM",'METAS EMPRESAS'!$C$15:$C$320,$A135-WEEKDAY($A135,2)+1)</f>
        <v/>
      </c>
      <c r="I135" s="159">
        <f>SUMIFS('METAS EMPRESAS'!$G$15:$G$320,'METAS EMPRESAS'!$A$15:$A$320,"EJ",'METAS EMPRESAS'!$B$15:$B$320,"IÇAMENTO JOIST",'METAS EMPRESAS'!$C$15:$C$320,$A135-WEEKDAY($A135,2)+1)</f>
        <v/>
      </c>
      <c r="J135" s="159">
        <f>SUMIFS('METAS EMPRESAS'!$G$15:$G$320,'METAS EMPRESAS'!$A$15:$A$320,"EJ",'METAS EMPRESAS'!$B$15:$B$320,"VIGAS",'METAS EMPRESAS'!$C$15:$C$320,$A135-WEEKDAY($A135,2)+1)</f>
        <v/>
      </c>
      <c r="K135" s="159">
        <f>SUMIFS('METAS EMPRESAS'!$G$15:$G$320,'METAS EMPRESAS'!$A$15:$A$320,"CMM",'METAS EMPRESAS'!$B$15:$B$320,"PREMONTAGEM",'METAS EMPRESAS'!$C$15:$C$320,$A135-WEEKDAY($A135,2)+1)</f>
        <v/>
      </c>
      <c r="L135" s="159">
        <f>SUMIFS('METAS EMPRESAS'!$G$15:$G$320,'METAS EMPRESAS'!$A$15:$A$320,"CMM",'METAS EMPRESAS'!$B$15:$B$320,"IÇAMENTO JOIST",'METAS EMPRESAS'!$C$15:$C$320,$A135-WEEKDAY($A135,2)+1)</f>
        <v/>
      </c>
      <c r="M135" s="159">
        <f>SUMIFS('METAS EMPRESAS'!$G$15:$G$320,'METAS EMPRESAS'!$A$15:$A$320,"CMM",'METAS EMPRESAS'!$B$15:$B$320,"VIGAS",'METAS EMPRESAS'!$C$15:$C$320,$A135-WEEKDAY($A135,2)+1)</f>
        <v/>
      </c>
      <c r="N135" s="159">
        <f>SUMIFS('METAS EMPRESAS'!$J$15:$J$320,'METAS EMPRESAS'!$A$15:$A$320,"EJ",'METAS EMPRESAS'!$B$15:$B$320,"PREMONTAGEM",'METAS EMPRESAS'!$C$15:$C$320,$A135-WEEKDAY($A135,2)+1)</f>
        <v/>
      </c>
      <c r="O135" s="159">
        <f>SUMIFS('METAS EMPRESAS'!$J$15:$J$320,'METAS EMPRESAS'!$A$15:$A$320,"EJ",'METAS EMPRESAS'!$B$15:$B$320,"IÇAMENTO JOIST",'METAS EMPRESAS'!$C$15:$C$320,$A135-WEEKDAY($A135,2)+1)</f>
        <v/>
      </c>
      <c r="P135" s="159">
        <f>SUMIFS('METAS EMPRESAS'!$J$15:$J$320,'METAS EMPRESAS'!$A$15:$A$320,"EJ",'METAS EMPRESAS'!$B$15:$B$320,"VIGAS",'METAS EMPRESAS'!$C$15:$C$320,$A135-WEEKDAY($A135,2)+1)</f>
        <v/>
      </c>
      <c r="Q135" s="159">
        <f>SUMIFS('METAS EMPRESAS'!$J$15:$J$320,'METAS EMPRESAS'!$A$15:$A$320,"CMM",'METAS EMPRESAS'!$B$15:$B$320,"PREMONTAGEM",'METAS EMPRESAS'!$C$15:$C$320,$A135-WEEKDAY($A135,2)+1)</f>
        <v/>
      </c>
      <c r="R135" s="159">
        <f>SUMIFS('METAS EMPRESAS'!$J$15:$J$320,'METAS EMPRESAS'!$A$15:$A$320,"CMM",'METAS EMPRESAS'!$B$15:$B$320,"IÇAMENTO JOIST",'METAS EMPRESAS'!$C$15:$C$320,$A135-WEEKDAY($A135,2)+1)</f>
        <v/>
      </c>
      <c r="S135" s="159">
        <f>SUMIFS('METAS EMPRESAS'!$J$15:$J$320,'METAS EMPRESAS'!$A$15:$A$320,"CMM",'METAS EMPRESAS'!$B$15:$B$320,"VIGAS",'METAS EMPRESAS'!$C$15:$C$320,$A135-WEEKDAY($A135,2)+1)</f>
        <v/>
      </c>
      <c r="T135">
        <f>--(WEEKDAY(A135,2)&lt;=5)</f>
        <v/>
      </c>
      <c r="U135" t="n">
        <v>19</v>
      </c>
      <c r="V135" t="n">
        <v>7</v>
      </c>
      <c r="W135" t="n">
        <v>0</v>
      </c>
      <c r="X135" t="n">
        <v>5</v>
      </c>
      <c r="Y135" t="n">
        <v>5</v>
      </c>
      <c r="Z135" t="n">
        <v>5</v>
      </c>
      <c r="AA135" t="n">
        <v>95</v>
      </c>
      <c r="AB135" t="n">
        <v>35</v>
      </c>
      <c r="AC135" t="n">
        <v>0</v>
      </c>
    </row>
    <row r="136">
      <c r="A136" s="317" t="n">
        <v>46357</v>
      </c>
      <c r="B136" s="159">
        <f>SUMIFS('METAS EMPRESAS'!$K$15:$K$320,'METAS EMPRESAS'!$A$15:$A$320,"EJ",'METAS EMPRESAS'!$B$15:$B$320,"PREMONTAGEM",'METAS EMPRESAS'!$C$15:$C$320,$A136-WEEKDAY($A136,2)+1)</f>
        <v/>
      </c>
      <c r="C136" s="159">
        <f>SUMIFS('METAS EMPRESAS'!$K$15:$K$320,'METAS EMPRESAS'!$A$15:$A$320,"EJ",'METAS EMPRESAS'!$B$15:$B$320,"IÇAMENTO JOIST",'METAS EMPRESAS'!$C$15:$C$320,$A136-WEEKDAY($A136,2)+1)</f>
        <v/>
      </c>
      <c r="D136" s="159">
        <f>SUMIFS('METAS EMPRESAS'!$K$15:$K$320,'METAS EMPRESAS'!$A$15:$A$320,"EJ",'METAS EMPRESAS'!$B$15:$B$320,"VIGAS",'METAS EMPRESAS'!$C$15:$C$320,$A136-WEEKDAY($A136,2)+1)</f>
        <v/>
      </c>
      <c r="E136" s="159">
        <f>SUMIFS('METAS EMPRESAS'!$K$15:$K$320,'METAS EMPRESAS'!$A$15:$A$320,"CMM",'METAS EMPRESAS'!$B$15:$B$320,"PREMONTAGEM",'METAS EMPRESAS'!$C$15:$C$320,$A136-WEEKDAY($A136,2)+1)</f>
        <v/>
      </c>
      <c r="F136" s="159">
        <f>SUMIFS('METAS EMPRESAS'!$K$15:$K$320,'METAS EMPRESAS'!$A$15:$A$320,"CMM",'METAS EMPRESAS'!$B$15:$B$320,"IÇAMENTO JOIST",'METAS EMPRESAS'!$C$15:$C$320,$A136-WEEKDAY($A136,2)+1)</f>
        <v/>
      </c>
      <c r="G136" s="159">
        <f>SUMIFS('METAS EMPRESAS'!$K$15:$K$320,'METAS EMPRESAS'!$A$15:$A$320,"CMM",'METAS EMPRESAS'!$B$15:$B$320,"VIGAS",'METAS EMPRESAS'!$C$15:$C$320,$A136-WEEKDAY($A136,2)+1)</f>
        <v/>
      </c>
      <c r="H136" s="159">
        <f>SUMIFS('METAS EMPRESAS'!$G$15:$G$320,'METAS EMPRESAS'!$A$15:$A$320,"EJ",'METAS EMPRESAS'!$B$15:$B$320,"PREMONTAGEM",'METAS EMPRESAS'!$C$15:$C$320,$A136-WEEKDAY($A136,2)+1)</f>
        <v/>
      </c>
      <c r="I136" s="159">
        <f>SUMIFS('METAS EMPRESAS'!$G$15:$G$320,'METAS EMPRESAS'!$A$15:$A$320,"EJ",'METAS EMPRESAS'!$B$15:$B$320,"IÇAMENTO JOIST",'METAS EMPRESAS'!$C$15:$C$320,$A136-WEEKDAY($A136,2)+1)</f>
        <v/>
      </c>
      <c r="J136" s="159">
        <f>SUMIFS('METAS EMPRESAS'!$G$15:$G$320,'METAS EMPRESAS'!$A$15:$A$320,"EJ",'METAS EMPRESAS'!$B$15:$B$320,"VIGAS",'METAS EMPRESAS'!$C$15:$C$320,$A136-WEEKDAY($A136,2)+1)</f>
        <v/>
      </c>
      <c r="K136" s="159">
        <f>SUMIFS('METAS EMPRESAS'!$G$15:$G$320,'METAS EMPRESAS'!$A$15:$A$320,"CMM",'METAS EMPRESAS'!$B$15:$B$320,"PREMONTAGEM",'METAS EMPRESAS'!$C$15:$C$320,$A136-WEEKDAY($A136,2)+1)</f>
        <v/>
      </c>
      <c r="L136" s="159">
        <f>SUMIFS('METAS EMPRESAS'!$G$15:$G$320,'METAS EMPRESAS'!$A$15:$A$320,"CMM",'METAS EMPRESAS'!$B$15:$B$320,"IÇAMENTO JOIST",'METAS EMPRESAS'!$C$15:$C$320,$A136-WEEKDAY($A136,2)+1)</f>
        <v/>
      </c>
      <c r="M136" s="159">
        <f>SUMIFS('METAS EMPRESAS'!$G$15:$G$320,'METAS EMPRESAS'!$A$15:$A$320,"CMM",'METAS EMPRESAS'!$B$15:$B$320,"VIGAS",'METAS EMPRESAS'!$C$15:$C$320,$A136-WEEKDAY($A136,2)+1)</f>
        <v/>
      </c>
      <c r="N136" s="159">
        <f>SUMIFS('METAS EMPRESAS'!$J$15:$J$320,'METAS EMPRESAS'!$A$15:$A$320,"EJ",'METAS EMPRESAS'!$B$15:$B$320,"PREMONTAGEM",'METAS EMPRESAS'!$C$15:$C$320,$A136-WEEKDAY($A136,2)+1)</f>
        <v/>
      </c>
      <c r="O136" s="159">
        <f>SUMIFS('METAS EMPRESAS'!$J$15:$J$320,'METAS EMPRESAS'!$A$15:$A$320,"EJ",'METAS EMPRESAS'!$B$15:$B$320,"IÇAMENTO JOIST",'METAS EMPRESAS'!$C$15:$C$320,$A136-WEEKDAY($A136,2)+1)</f>
        <v/>
      </c>
      <c r="P136" s="159">
        <f>SUMIFS('METAS EMPRESAS'!$J$15:$J$320,'METAS EMPRESAS'!$A$15:$A$320,"EJ",'METAS EMPRESAS'!$B$15:$B$320,"VIGAS",'METAS EMPRESAS'!$C$15:$C$320,$A136-WEEKDAY($A136,2)+1)</f>
        <v/>
      </c>
      <c r="Q136" s="159">
        <f>SUMIFS('METAS EMPRESAS'!$J$15:$J$320,'METAS EMPRESAS'!$A$15:$A$320,"CMM",'METAS EMPRESAS'!$B$15:$B$320,"PREMONTAGEM",'METAS EMPRESAS'!$C$15:$C$320,$A136-WEEKDAY($A136,2)+1)</f>
        <v/>
      </c>
      <c r="R136" s="159">
        <f>SUMIFS('METAS EMPRESAS'!$J$15:$J$320,'METAS EMPRESAS'!$A$15:$A$320,"CMM",'METAS EMPRESAS'!$B$15:$B$320,"IÇAMENTO JOIST",'METAS EMPRESAS'!$C$15:$C$320,$A136-WEEKDAY($A136,2)+1)</f>
        <v/>
      </c>
      <c r="S136" s="159">
        <f>SUMIFS('METAS EMPRESAS'!$J$15:$J$320,'METAS EMPRESAS'!$A$15:$A$320,"CMM",'METAS EMPRESAS'!$B$15:$B$320,"VIGAS",'METAS EMPRESAS'!$C$15:$C$320,$A136-WEEKDAY($A136,2)+1)</f>
        <v/>
      </c>
      <c r="T136">
        <f>--(WEEKDAY(A136,2)&lt;=5)</f>
        <v/>
      </c>
      <c r="U136" t="n">
        <v>19</v>
      </c>
      <c r="V136" t="n">
        <v>7</v>
      </c>
      <c r="W136" t="n">
        <v>0</v>
      </c>
      <c r="X136" t="n">
        <v>5</v>
      </c>
      <c r="Y136" t="n">
        <v>5</v>
      </c>
      <c r="Z136" t="n">
        <v>5</v>
      </c>
      <c r="AA136" t="n">
        <v>95</v>
      </c>
      <c r="AB136" t="n">
        <v>35</v>
      </c>
      <c r="AC136" t="n">
        <v>0</v>
      </c>
    </row>
    <row r="137">
      <c r="A137" s="317" t="n">
        <v>46358</v>
      </c>
      <c r="B137" s="159">
        <f>SUMIFS('METAS EMPRESAS'!$K$15:$K$320,'METAS EMPRESAS'!$A$15:$A$320,"EJ",'METAS EMPRESAS'!$B$15:$B$320,"PREMONTAGEM",'METAS EMPRESAS'!$C$15:$C$320,$A137-WEEKDAY($A137,2)+1)</f>
        <v/>
      </c>
      <c r="C137" s="159">
        <f>SUMIFS('METAS EMPRESAS'!$K$15:$K$320,'METAS EMPRESAS'!$A$15:$A$320,"EJ",'METAS EMPRESAS'!$B$15:$B$320,"IÇAMENTO JOIST",'METAS EMPRESAS'!$C$15:$C$320,$A137-WEEKDAY($A137,2)+1)</f>
        <v/>
      </c>
      <c r="D137" s="159">
        <f>SUMIFS('METAS EMPRESAS'!$K$15:$K$320,'METAS EMPRESAS'!$A$15:$A$320,"EJ",'METAS EMPRESAS'!$B$15:$B$320,"VIGAS",'METAS EMPRESAS'!$C$15:$C$320,$A137-WEEKDAY($A137,2)+1)</f>
        <v/>
      </c>
      <c r="E137" s="159">
        <f>SUMIFS('METAS EMPRESAS'!$K$15:$K$320,'METAS EMPRESAS'!$A$15:$A$320,"CMM",'METAS EMPRESAS'!$B$15:$B$320,"PREMONTAGEM",'METAS EMPRESAS'!$C$15:$C$320,$A137-WEEKDAY($A137,2)+1)</f>
        <v/>
      </c>
      <c r="F137" s="159">
        <f>SUMIFS('METAS EMPRESAS'!$K$15:$K$320,'METAS EMPRESAS'!$A$15:$A$320,"CMM",'METAS EMPRESAS'!$B$15:$B$320,"IÇAMENTO JOIST",'METAS EMPRESAS'!$C$15:$C$320,$A137-WEEKDAY($A137,2)+1)</f>
        <v/>
      </c>
      <c r="G137" s="159">
        <f>SUMIFS('METAS EMPRESAS'!$K$15:$K$320,'METAS EMPRESAS'!$A$15:$A$320,"CMM",'METAS EMPRESAS'!$B$15:$B$320,"VIGAS",'METAS EMPRESAS'!$C$15:$C$320,$A137-WEEKDAY($A137,2)+1)</f>
        <v/>
      </c>
      <c r="H137" s="159">
        <f>SUMIFS('METAS EMPRESAS'!$G$15:$G$320,'METAS EMPRESAS'!$A$15:$A$320,"EJ",'METAS EMPRESAS'!$B$15:$B$320,"PREMONTAGEM",'METAS EMPRESAS'!$C$15:$C$320,$A137-WEEKDAY($A137,2)+1)</f>
        <v/>
      </c>
      <c r="I137" s="159">
        <f>SUMIFS('METAS EMPRESAS'!$G$15:$G$320,'METAS EMPRESAS'!$A$15:$A$320,"EJ",'METAS EMPRESAS'!$B$15:$B$320,"IÇAMENTO JOIST",'METAS EMPRESAS'!$C$15:$C$320,$A137-WEEKDAY($A137,2)+1)</f>
        <v/>
      </c>
      <c r="J137" s="159">
        <f>SUMIFS('METAS EMPRESAS'!$G$15:$G$320,'METAS EMPRESAS'!$A$15:$A$320,"EJ",'METAS EMPRESAS'!$B$15:$B$320,"VIGAS",'METAS EMPRESAS'!$C$15:$C$320,$A137-WEEKDAY($A137,2)+1)</f>
        <v/>
      </c>
      <c r="K137" s="159">
        <f>SUMIFS('METAS EMPRESAS'!$G$15:$G$320,'METAS EMPRESAS'!$A$15:$A$320,"CMM",'METAS EMPRESAS'!$B$15:$B$320,"PREMONTAGEM",'METAS EMPRESAS'!$C$15:$C$320,$A137-WEEKDAY($A137,2)+1)</f>
        <v/>
      </c>
      <c r="L137" s="159">
        <f>SUMIFS('METAS EMPRESAS'!$G$15:$G$320,'METAS EMPRESAS'!$A$15:$A$320,"CMM",'METAS EMPRESAS'!$B$15:$B$320,"IÇAMENTO JOIST",'METAS EMPRESAS'!$C$15:$C$320,$A137-WEEKDAY($A137,2)+1)</f>
        <v/>
      </c>
      <c r="M137" s="159">
        <f>SUMIFS('METAS EMPRESAS'!$G$15:$G$320,'METAS EMPRESAS'!$A$15:$A$320,"CMM",'METAS EMPRESAS'!$B$15:$B$320,"VIGAS",'METAS EMPRESAS'!$C$15:$C$320,$A137-WEEKDAY($A137,2)+1)</f>
        <v/>
      </c>
      <c r="N137" s="159">
        <f>SUMIFS('METAS EMPRESAS'!$J$15:$J$320,'METAS EMPRESAS'!$A$15:$A$320,"EJ",'METAS EMPRESAS'!$B$15:$B$320,"PREMONTAGEM",'METAS EMPRESAS'!$C$15:$C$320,$A137-WEEKDAY($A137,2)+1)</f>
        <v/>
      </c>
      <c r="O137" s="159">
        <f>SUMIFS('METAS EMPRESAS'!$J$15:$J$320,'METAS EMPRESAS'!$A$15:$A$320,"EJ",'METAS EMPRESAS'!$B$15:$B$320,"IÇAMENTO JOIST",'METAS EMPRESAS'!$C$15:$C$320,$A137-WEEKDAY($A137,2)+1)</f>
        <v/>
      </c>
      <c r="P137" s="159">
        <f>SUMIFS('METAS EMPRESAS'!$J$15:$J$320,'METAS EMPRESAS'!$A$15:$A$320,"EJ",'METAS EMPRESAS'!$B$15:$B$320,"VIGAS",'METAS EMPRESAS'!$C$15:$C$320,$A137-WEEKDAY($A137,2)+1)</f>
        <v/>
      </c>
      <c r="Q137" s="159">
        <f>SUMIFS('METAS EMPRESAS'!$J$15:$J$320,'METAS EMPRESAS'!$A$15:$A$320,"CMM",'METAS EMPRESAS'!$B$15:$B$320,"PREMONTAGEM",'METAS EMPRESAS'!$C$15:$C$320,$A137-WEEKDAY($A137,2)+1)</f>
        <v/>
      </c>
      <c r="R137" s="159">
        <f>SUMIFS('METAS EMPRESAS'!$J$15:$J$320,'METAS EMPRESAS'!$A$15:$A$320,"CMM",'METAS EMPRESAS'!$B$15:$B$320,"IÇAMENTO JOIST",'METAS EMPRESAS'!$C$15:$C$320,$A137-WEEKDAY($A137,2)+1)</f>
        <v/>
      </c>
      <c r="S137" s="159">
        <f>SUMIFS('METAS EMPRESAS'!$J$15:$J$320,'METAS EMPRESAS'!$A$15:$A$320,"CMM",'METAS EMPRESAS'!$B$15:$B$320,"VIGAS",'METAS EMPRESAS'!$C$15:$C$320,$A137-WEEKDAY($A137,2)+1)</f>
        <v/>
      </c>
      <c r="T137">
        <f>--(WEEKDAY(A137,2)&lt;=5)</f>
        <v/>
      </c>
      <c r="U137" t="n">
        <v>19</v>
      </c>
      <c r="V137" t="n">
        <v>7</v>
      </c>
      <c r="W137" t="n">
        <v>0</v>
      </c>
      <c r="X137" t="n">
        <v>5</v>
      </c>
      <c r="Y137" t="n">
        <v>5</v>
      </c>
      <c r="Z137" t="n">
        <v>5</v>
      </c>
      <c r="AA137" t="n">
        <v>95</v>
      </c>
      <c r="AB137" t="n">
        <v>35</v>
      </c>
      <c r="AC137" t="n">
        <v>0</v>
      </c>
    </row>
    <row r="138">
      <c r="A138" s="317" t="n">
        <v>46359</v>
      </c>
      <c r="B138" s="159">
        <f>SUMIFS('METAS EMPRESAS'!$K$15:$K$320,'METAS EMPRESAS'!$A$15:$A$320,"EJ",'METAS EMPRESAS'!$B$15:$B$320,"PREMONTAGEM",'METAS EMPRESAS'!$C$15:$C$320,$A138-WEEKDAY($A138,2)+1)</f>
        <v/>
      </c>
      <c r="C138" s="159">
        <f>SUMIFS('METAS EMPRESAS'!$K$15:$K$320,'METAS EMPRESAS'!$A$15:$A$320,"EJ",'METAS EMPRESAS'!$B$15:$B$320,"IÇAMENTO JOIST",'METAS EMPRESAS'!$C$15:$C$320,$A138-WEEKDAY($A138,2)+1)</f>
        <v/>
      </c>
      <c r="D138" s="159">
        <f>SUMIFS('METAS EMPRESAS'!$K$15:$K$320,'METAS EMPRESAS'!$A$15:$A$320,"EJ",'METAS EMPRESAS'!$B$15:$B$320,"VIGAS",'METAS EMPRESAS'!$C$15:$C$320,$A138-WEEKDAY($A138,2)+1)</f>
        <v/>
      </c>
      <c r="E138" s="159">
        <f>SUMIFS('METAS EMPRESAS'!$K$15:$K$320,'METAS EMPRESAS'!$A$15:$A$320,"CMM",'METAS EMPRESAS'!$B$15:$B$320,"PREMONTAGEM",'METAS EMPRESAS'!$C$15:$C$320,$A138-WEEKDAY($A138,2)+1)</f>
        <v/>
      </c>
      <c r="F138" s="159">
        <f>SUMIFS('METAS EMPRESAS'!$K$15:$K$320,'METAS EMPRESAS'!$A$15:$A$320,"CMM",'METAS EMPRESAS'!$B$15:$B$320,"IÇAMENTO JOIST",'METAS EMPRESAS'!$C$15:$C$320,$A138-WEEKDAY($A138,2)+1)</f>
        <v/>
      </c>
      <c r="G138" s="159">
        <f>SUMIFS('METAS EMPRESAS'!$K$15:$K$320,'METAS EMPRESAS'!$A$15:$A$320,"CMM",'METAS EMPRESAS'!$B$15:$B$320,"VIGAS",'METAS EMPRESAS'!$C$15:$C$320,$A138-WEEKDAY($A138,2)+1)</f>
        <v/>
      </c>
      <c r="H138" s="159">
        <f>SUMIFS('METAS EMPRESAS'!$G$15:$G$320,'METAS EMPRESAS'!$A$15:$A$320,"EJ",'METAS EMPRESAS'!$B$15:$B$320,"PREMONTAGEM",'METAS EMPRESAS'!$C$15:$C$320,$A138-WEEKDAY($A138,2)+1)</f>
        <v/>
      </c>
      <c r="I138" s="159">
        <f>SUMIFS('METAS EMPRESAS'!$G$15:$G$320,'METAS EMPRESAS'!$A$15:$A$320,"EJ",'METAS EMPRESAS'!$B$15:$B$320,"IÇAMENTO JOIST",'METAS EMPRESAS'!$C$15:$C$320,$A138-WEEKDAY($A138,2)+1)</f>
        <v/>
      </c>
      <c r="J138" s="159">
        <f>SUMIFS('METAS EMPRESAS'!$G$15:$G$320,'METAS EMPRESAS'!$A$15:$A$320,"EJ",'METAS EMPRESAS'!$B$15:$B$320,"VIGAS",'METAS EMPRESAS'!$C$15:$C$320,$A138-WEEKDAY($A138,2)+1)</f>
        <v/>
      </c>
      <c r="K138" s="159">
        <f>SUMIFS('METAS EMPRESAS'!$G$15:$G$320,'METAS EMPRESAS'!$A$15:$A$320,"CMM",'METAS EMPRESAS'!$B$15:$B$320,"PREMONTAGEM",'METAS EMPRESAS'!$C$15:$C$320,$A138-WEEKDAY($A138,2)+1)</f>
        <v/>
      </c>
      <c r="L138" s="159">
        <f>SUMIFS('METAS EMPRESAS'!$G$15:$G$320,'METAS EMPRESAS'!$A$15:$A$320,"CMM",'METAS EMPRESAS'!$B$15:$B$320,"IÇAMENTO JOIST",'METAS EMPRESAS'!$C$15:$C$320,$A138-WEEKDAY($A138,2)+1)</f>
        <v/>
      </c>
      <c r="M138" s="159">
        <f>SUMIFS('METAS EMPRESAS'!$G$15:$G$320,'METAS EMPRESAS'!$A$15:$A$320,"CMM",'METAS EMPRESAS'!$B$15:$B$320,"VIGAS",'METAS EMPRESAS'!$C$15:$C$320,$A138-WEEKDAY($A138,2)+1)</f>
        <v/>
      </c>
      <c r="N138" s="159">
        <f>SUMIFS('METAS EMPRESAS'!$J$15:$J$320,'METAS EMPRESAS'!$A$15:$A$320,"EJ",'METAS EMPRESAS'!$B$15:$B$320,"PREMONTAGEM",'METAS EMPRESAS'!$C$15:$C$320,$A138-WEEKDAY($A138,2)+1)</f>
        <v/>
      </c>
      <c r="O138" s="159">
        <f>SUMIFS('METAS EMPRESAS'!$J$15:$J$320,'METAS EMPRESAS'!$A$15:$A$320,"EJ",'METAS EMPRESAS'!$B$15:$B$320,"IÇAMENTO JOIST",'METAS EMPRESAS'!$C$15:$C$320,$A138-WEEKDAY($A138,2)+1)</f>
        <v/>
      </c>
      <c r="P138" s="159">
        <f>SUMIFS('METAS EMPRESAS'!$J$15:$J$320,'METAS EMPRESAS'!$A$15:$A$320,"EJ",'METAS EMPRESAS'!$B$15:$B$320,"VIGAS",'METAS EMPRESAS'!$C$15:$C$320,$A138-WEEKDAY($A138,2)+1)</f>
        <v/>
      </c>
      <c r="Q138" s="159">
        <f>SUMIFS('METAS EMPRESAS'!$J$15:$J$320,'METAS EMPRESAS'!$A$15:$A$320,"CMM",'METAS EMPRESAS'!$B$15:$B$320,"PREMONTAGEM",'METAS EMPRESAS'!$C$15:$C$320,$A138-WEEKDAY($A138,2)+1)</f>
        <v/>
      </c>
      <c r="R138" s="159">
        <f>SUMIFS('METAS EMPRESAS'!$J$15:$J$320,'METAS EMPRESAS'!$A$15:$A$320,"CMM",'METAS EMPRESAS'!$B$15:$B$320,"IÇAMENTO JOIST",'METAS EMPRESAS'!$C$15:$C$320,$A138-WEEKDAY($A138,2)+1)</f>
        <v/>
      </c>
      <c r="S138" s="159">
        <f>SUMIFS('METAS EMPRESAS'!$J$15:$J$320,'METAS EMPRESAS'!$A$15:$A$320,"CMM",'METAS EMPRESAS'!$B$15:$B$320,"VIGAS",'METAS EMPRESAS'!$C$15:$C$320,$A138-WEEKDAY($A138,2)+1)</f>
        <v/>
      </c>
      <c r="T138">
        <f>--(WEEKDAY(A138,2)&lt;=5)</f>
        <v/>
      </c>
      <c r="U138" t="n">
        <v>19</v>
      </c>
      <c r="V138" t="n">
        <v>7</v>
      </c>
      <c r="W138" t="n">
        <v>0</v>
      </c>
      <c r="X138" t="n">
        <v>5</v>
      </c>
      <c r="Y138" t="n">
        <v>5</v>
      </c>
      <c r="Z138" t="n">
        <v>5</v>
      </c>
      <c r="AA138" t="n">
        <v>95</v>
      </c>
      <c r="AB138" t="n">
        <v>35</v>
      </c>
      <c r="AC138" t="n">
        <v>0</v>
      </c>
    </row>
    <row r="139">
      <c r="A139" s="317" t="n">
        <v>46360</v>
      </c>
      <c r="B139" s="159">
        <f>SUMIFS('METAS EMPRESAS'!$K$15:$K$320,'METAS EMPRESAS'!$A$15:$A$320,"EJ",'METAS EMPRESAS'!$B$15:$B$320,"PREMONTAGEM",'METAS EMPRESAS'!$C$15:$C$320,$A139-WEEKDAY($A139,2)+1)</f>
        <v/>
      </c>
      <c r="C139" s="159">
        <f>SUMIFS('METAS EMPRESAS'!$K$15:$K$320,'METAS EMPRESAS'!$A$15:$A$320,"EJ",'METAS EMPRESAS'!$B$15:$B$320,"IÇAMENTO JOIST",'METAS EMPRESAS'!$C$15:$C$320,$A139-WEEKDAY($A139,2)+1)</f>
        <v/>
      </c>
      <c r="D139" s="159">
        <f>SUMIFS('METAS EMPRESAS'!$K$15:$K$320,'METAS EMPRESAS'!$A$15:$A$320,"EJ",'METAS EMPRESAS'!$B$15:$B$320,"VIGAS",'METAS EMPRESAS'!$C$15:$C$320,$A139-WEEKDAY($A139,2)+1)</f>
        <v/>
      </c>
      <c r="E139" s="159">
        <f>SUMIFS('METAS EMPRESAS'!$K$15:$K$320,'METAS EMPRESAS'!$A$15:$A$320,"CMM",'METAS EMPRESAS'!$B$15:$B$320,"PREMONTAGEM",'METAS EMPRESAS'!$C$15:$C$320,$A139-WEEKDAY($A139,2)+1)</f>
        <v/>
      </c>
      <c r="F139" s="159">
        <f>SUMIFS('METAS EMPRESAS'!$K$15:$K$320,'METAS EMPRESAS'!$A$15:$A$320,"CMM",'METAS EMPRESAS'!$B$15:$B$320,"IÇAMENTO JOIST",'METAS EMPRESAS'!$C$15:$C$320,$A139-WEEKDAY($A139,2)+1)</f>
        <v/>
      </c>
      <c r="G139" s="159">
        <f>SUMIFS('METAS EMPRESAS'!$K$15:$K$320,'METAS EMPRESAS'!$A$15:$A$320,"CMM",'METAS EMPRESAS'!$B$15:$B$320,"VIGAS",'METAS EMPRESAS'!$C$15:$C$320,$A139-WEEKDAY($A139,2)+1)</f>
        <v/>
      </c>
      <c r="H139" s="159">
        <f>SUMIFS('METAS EMPRESAS'!$G$15:$G$320,'METAS EMPRESAS'!$A$15:$A$320,"EJ",'METAS EMPRESAS'!$B$15:$B$320,"PREMONTAGEM",'METAS EMPRESAS'!$C$15:$C$320,$A139-WEEKDAY($A139,2)+1)</f>
        <v/>
      </c>
      <c r="I139" s="159">
        <f>SUMIFS('METAS EMPRESAS'!$G$15:$G$320,'METAS EMPRESAS'!$A$15:$A$320,"EJ",'METAS EMPRESAS'!$B$15:$B$320,"IÇAMENTO JOIST",'METAS EMPRESAS'!$C$15:$C$320,$A139-WEEKDAY($A139,2)+1)</f>
        <v/>
      </c>
      <c r="J139" s="159">
        <f>SUMIFS('METAS EMPRESAS'!$G$15:$G$320,'METAS EMPRESAS'!$A$15:$A$320,"EJ",'METAS EMPRESAS'!$B$15:$B$320,"VIGAS",'METAS EMPRESAS'!$C$15:$C$320,$A139-WEEKDAY($A139,2)+1)</f>
        <v/>
      </c>
      <c r="K139" s="159">
        <f>SUMIFS('METAS EMPRESAS'!$G$15:$G$320,'METAS EMPRESAS'!$A$15:$A$320,"CMM",'METAS EMPRESAS'!$B$15:$B$320,"PREMONTAGEM",'METAS EMPRESAS'!$C$15:$C$320,$A139-WEEKDAY($A139,2)+1)</f>
        <v/>
      </c>
      <c r="L139" s="159">
        <f>SUMIFS('METAS EMPRESAS'!$G$15:$G$320,'METAS EMPRESAS'!$A$15:$A$320,"CMM",'METAS EMPRESAS'!$B$15:$B$320,"IÇAMENTO JOIST",'METAS EMPRESAS'!$C$15:$C$320,$A139-WEEKDAY($A139,2)+1)</f>
        <v/>
      </c>
      <c r="M139" s="159">
        <f>SUMIFS('METAS EMPRESAS'!$G$15:$G$320,'METAS EMPRESAS'!$A$15:$A$320,"CMM",'METAS EMPRESAS'!$B$15:$B$320,"VIGAS",'METAS EMPRESAS'!$C$15:$C$320,$A139-WEEKDAY($A139,2)+1)</f>
        <v/>
      </c>
      <c r="N139" s="159">
        <f>SUMIFS('METAS EMPRESAS'!$J$15:$J$320,'METAS EMPRESAS'!$A$15:$A$320,"EJ",'METAS EMPRESAS'!$B$15:$B$320,"PREMONTAGEM",'METAS EMPRESAS'!$C$15:$C$320,$A139-WEEKDAY($A139,2)+1)</f>
        <v/>
      </c>
      <c r="O139" s="159">
        <f>SUMIFS('METAS EMPRESAS'!$J$15:$J$320,'METAS EMPRESAS'!$A$15:$A$320,"EJ",'METAS EMPRESAS'!$B$15:$B$320,"IÇAMENTO JOIST",'METAS EMPRESAS'!$C$15:$C$320,$A139-WEEKDAY($A139,2)+1)</f>
        <v/>
      </c>
      <c r="P139" s="159">
        <f>SUMIFS('METAS EMPRESAS'!$J$15:$J$320,'METAS EMPRESAS'!$A$15:$A$320,"EJ",'METAS EMPRESAS'!$B$15:$B$320,"VIGAS",'METAS EMPRESAS'!$C$15:$C$320,$A139-WEEKDAY($A139,2)+1)</f>
        <v/>
      </c>
      <c r="Q139" s="159">
        <f>SUMIFS('METAS EMPRESAS'!$J$15:$J$320,'METAS EMPRESAS'!$A$15:$A$320,"CMM",'METAS EMPRESAS'!$B$15:$B$320,"PREMONTAGEM",'METAS EMPRESAS'!$C$15:$C$320,$A139-WEEKDAY($A139,2)+1)</f>
        <v/>
      </c>
      <c r="R139" s="159">
        <f>SUMIFS('METAS EMPRESAS'!$J$15:$J$320,'METAS EMPRESAS'!$A$15:$A$320,"CMM",'METAS EMPRESAS'!$B$15:$B$320,"IÇAMENTO JOIST",'METAS EMPRESAS'!$C$15:$C$320,$A139-WEEKDAY($A139,2)+1)</f>
        <v/>
      </c>
      <c r="S139" s="159">
        <f>SUMIFS('METAS EMPRESAS'!$J$15:$J$320,'METAS EMPRESAS'!$A$15:$A$320,"CMM",'METAS EMPRESAS'!$B$15:$B$320,"VIGAS",'METAS EMPRESAS'!$C$15:$C$320,$A139-WEEKDAY($A139,2)+1)</f>
        <v/>
      </c>
      <c r="T139">
        <f>--(WEEKDAY(A139,2)&lt;=5)</f>
        <v/>
      </c>
      <c r="U139" t="n">
        <v>19</v>
      </c>
      <c r="V139" t="n">
        <v>7</v>
      </c>
      <c r="W139" t="n">
        <v>0</v>
      </c>
      <c r="X139" t="n">
        <v>5</v>
      </c>
      <c r="Y139" t="n">
        <v>5</v>
      </c>
      <c r="Z139" t="n">
        <v>5</v>
      </c>
      <c r="AA139" t="n">
        <v>95</v>
      </c>
      <c r="AB139" t="n">
        <v>35</v>
      </c>
      <c r="AC139" t="n">
        <v>0</v>
      </c>
    </row>
    <row r="140">
      <c r="A140" s="317" t="n">
        <v>46361</v>
      </c>
      <c r="B140" s="159">
        <f>SUMIFS('METAS EMPRESAS'!$K$15:$K$320,'METAS EMPRESAS'!$A$15:$A$320,"EJ",'METAS EMPRESAS'!$B$15:$B$320,"PREMONTAGEM",'METAS EMPRESAS'!$C$15:$C$320,$A140-WEEKDAY($A140,2)+1)</f>
        <v/>
      </c>
      <c r="C140" s="159">
        <f>SUMIFS('METAS EMPRESAS'!$K$15:$K$320,'METAS EMPRESAS'!$A$15:$A$320,"EJ",'METAS EMPRESAS'!$B$15:$B$320,"IÇAMENTO JOIST",'METAS EMPRESAS'!$C$15:$C$320,$A140-WEEKDAY($A140,2)+1)</f>
        <v/>
      </c>
      <c r="D140" s="159">
        <f>SUMIFS('METAS EMPRESAS'!$K$15:$K$320,'METAS EMPRESAS'!$A$15:$A$320,"EJ",'METAS EMPRESAS'!$B$15:$B$320,"VIGAS",'METAS EMPRESAS'!$C$15:$C$320,$A140-WEEKDAY($A140,2)+1)</f>
        <v/>
      </c>
      <c r="E140" s="159">
        <f>SUMIFS('METAS EMPRESAS'!$K$15:$K$320,'METAS EMPRESAS'!$A$15:$A$320,"CMM",'METAS EMPRESAS'!$B$15:$B$320,"PREMONTAGEM",'METAS EMPRESAS'!$C$15:$C$320,$A140-WEEKDAY($A140,2)+1)</f>
        <v/>
      </c>
      <c r="F140" s="159">
        <f>SUMIFS('METAS EMPRESAS'!$K$15:$K$320,'METAS EMPRESAS'!$A$15:$A$320,"CMM",'METAS EMPRESAS'!$B$15:$B$320,"IÇAMENTO JOIST",'METAS EMPRESAS'!$C$15:$C$320,$A140-WEEKDAY($A140,2)+1)</f>
        <v/>
      </c>
      <c r="G140" s="159">
        <f>SUMIFS('METAS EMPRESAS'!$K$15:$K$320,'METAS EMPRESAS'!$A$15:$A$320,"CMM",'METAS EMPRESAS'!$B$15:$B$320,"VIGAS",'METAS EMPRESAS'!$C$15:$C$320,$A140-WEEKDAY($A140,2)+1)</f>
        <v/>
      </c>
      <c r="H140" s="159">
        <f>SUMIFS('METAS EMPRESAS'!$G$15:$G$320,'METAS EMPRESAS'!$A$15:$A$320,"EJ",'METAS EMPRESAS'!$B$15:$B$320,"PREMONTAGEM",'METAS EMPRESAS'!$C$15:$C$320,$A140-WEEKDAY($A140,2)+1)</f>
        <v/>
      </c>
      <c r="I140" s="159">
        <f>SUMIFS('METAS EMPRESAS'!$G$15:$G$320,'METAS EMPRESAS'!$A$15:$A$320,"EJ",'METAS EMPRESAS'!$B$15:$B$320,"IÇAMENTO JOIST",'METAS EMPRESAS'!$C$15:$C$320,$A140-WEEKDAY($A140,2)+1)</f>
        <v/>
      </c>
      <c r="J140" s="159">
        <f>SUMIFS('METAS EMPRESAS'!$G$15:$G$320,'METAS EMPRESAS'!$A$15:$A$320,"EJ",'METAS EMPRESAS'!$B$15:$B$320,"VIGAS",'METAS EMPRESAS'!$C$15:$C$320,$A140-WEEKDAY($A140,2)+1)</f>
        <v/>
      </c>
      <c r="K140" s="159">
        <f>SUMIFS('METAS EMPRESAS'!$G$15:$G$320,'METAS EMPRESAS'!$A$15:$A$320,"CMM",'METAS EMPRESAS'!$B$15:$B$320,"PREMONTAGEM",'METAS EMPRESAS'!$C$15:$C$320,$A140-WEEKDAY($A140,2)+1)</f>
        <v/>
      </c>
      <c r="L140" s="159">
        <f>SUMIFS('METAS EMPRESAS'!$G$15:$G$320,'METAS EMPRESAS'!$A$15:$A$320,"CMM",'METAS EMPRESAS'!$B$15:$B$320,"IÇAMENTO JOIST",'METAS EMPRESAS'!$C$15:$C$320,$A140-WEEKDAY($A140,2)+1)</f>
        <v/>
      </c>
      <c r="M140" s="159">
        <f>SUMIFS('METAS EMPRESAS'!$G$15:$G$320,'METAS EMPRESAS'!$A$15:$A$320,"CMM",'METAS EMPRESAS'!$B$15:$B$320,"VIGAS",'METAS EMPRESAS'!$C$15:$C$320,$A140-WEEKDAY($A140,2)+1)</f>
        <v/>
      </c>
      <c r="N140" s="159">
        <f>SUMIFS('METAS EMPRESAS'!$J$15:$J$320,'METAS EMPRESAS'!$A$15:$A$320,"EJ",'METAS EMPRESAS'!$B$15:$B$320,"PREMONTAGEM",'METAS EMPRESAS'!$C$15:$C$320,$A140-WEEKDAY($A140,2)+1)</f>
        <v/>
      </c>
      <c r="O140" s="159">
        <f>SUMIFS('METAS EMPRESAS'!$J$15:$J$320,'METAS EMPRESAS'!$A$15:$A$320,"EJ",'METAS EMPRESAS'!$B$15:$B$320,"IÇAMENTO JOIST",'METAS EMPRESAS'!$C$15:$C$320,$A140-WEEKDAY($A140,2)+1)</f>
        <v/>
      </c>
      <c r="P140" s="159">
        <f>SUMIFS('METAS EMPRESAS'!$J$15:$J$320,'METAS EMPRESAS'!$A$15:$A$320,"EJ",'METAS EMPRESAS'!$B$15:$B$320,"VIGAS",'METAS EMPRESAS'!$C$15:$C$320,$A140-WEEKDAY($A140,2)+1)</f>
        <v/>
      </c>
      <c r="Q140" s="159">
        <f>SUMIFS('METAS EMPRESAS'!$J$15:$J$320,'METAS EMPRESAS'!$A$15:$A$320,"CMM",'METAS EMPRESAS'!$B$15:$B$320,"PREMONTAGEM",'METAS EMPRESAS'!$C$15:$C$320,$A140-WEEKDAY($A140,2)+1)</f>
        <v/>
      </c>
      <c r="R140" s="159">
        <f>SUMIFS('METAS EMPRESAS'!$J$15:$J$320,'METAS EMPRESAS'!$A$15:$A$320,"CMM",'METAS EMPRESAS'!$B$15:$B$320,"IÇAMENTO JOIST",'METAS EMPRESAS'!$C$15:$C$320,$A140-WEEKDAY($A140,2)+1)</f>
        <v/>
      </c>
      <c r="S140" s="159">
        <f>SUMIFS('METAS EMPRESAS'!$J$15:$J$320,'METAS EMPRESAS'!$A$15:$A$320,"CMM",'METAS EMPRESAS'!$B$15:$B$320,"VIGAS",'METAS EMPRESAS'!$C$15:$C$320,$A140-WEEKDAY($A140,2)+1)</f>
        <v/>
      </c>
      <c r="T140">
        <f>--(WEEKDAY(A140,2)&lt;=5)</f>
        <v/>
      </c>
      <c r="U140" t="n">
        <v>19</v>
      </c>
      <c r="V140" t="n">
        <v>7</v>
      </c>
      <c r="W140" t="n">
        <v>0</v>
      </c>
      <c r="X140" t="n">
        <v>5</v>
      </c>
      <c r="Y140" t="n">
        <v>5</v>
      </c>
      <c r="Z140" t="n">
        <v>5</v>
      </c>
      <c r="AA140" t="n">
        <v>95</v>
      </c>
      <c r="AB140" t="n">
        <v>35</v>
      </c>
      <c r="AC140" t="n">
        <v>0</v>
      </c>
    </row>
    <row r="141">
      <c r="A141" s="317" t="n">
        <v>46362</v>
      </c>
      <c r="B141" s="159">
        <f>SUMIFS('METAS EMPRESAS'!$K$15:$K$320,'METAS EMPRESAS'!$A$15:$A$320,"EJ",'METAS EMPRESAS'!$B$15:$B$320,"PREMONTAGEM",'METAS EMPRESAS'!$C$15:$C$320,$A141-WEEKDAY($A141,2)+1)</f>
        <v/>
      </c>
      <c r="C141" s="159">
        <f>SUMIFS('METAS EMPRESAS'!$K$15:$K$320,'METAS EMPRESAS'!$A$15:$A$320,"EJ",'METAS EMPRESAS'!$B$15:$B$320,"IÇAMENTO JOIST",'METAS EMPRESAS'!$C$15:$C$320,$A141-WEEKDAY($A141,2)+1)</f>
        <v/>
      </c>
      <c r="D141" s="159">
        <f>SUMIFS('METAS EMPRESAS'!$K$15:$K$320,'METAS EMPRESAS'!$A$15:$A$320,"EJ",'METAS EMPRESAS'!$B$15:$B$320,"VIGAS",'METAS EMPRESAS'!$C$15:$C$320,$A141-WEEKDAY($A141,2)+1)</f>
        <v/>
      </c>
      <c r="E141" s="159">
        <f>SUMIFS('METAS EMPRESAS'!$K$15:$K$320,'METAS EMPRESAS'!$A$15:$A$320,"CMM",'METAS EMPRESAS'!$B$15:$B$320,"PREMONTAGEM",'METAS EMPRESAS'!$C$15:$C$320,$A141-WEEKDAY($A141,2)+1)</f>
        <v/>
      </c>
      <c r="F141" s="159">
        <f>SUMIFS('METAS EMPRESAS'!$K$15:$K$320,'METAS EMPRESAS'!$A$15:$A$320,"CMM",'METAS EMPRESAS'!$B$15:$B$320,"IÇAMENTO JOIST",'METAS EMPRESAS'!$C$15:$C$320,$A141-WEEKDAY($A141,2)+1)</f>
        <v/>
      </c>
      <c r="G141" s="159">
        <f>SUMIFS('METAS EMPRESAS'!$K$15:$K$320,'METAS EMPRESAS'!$A$15:$A$320,"CMM",'METAS EMPRESAS'!$B$15:$B$320,"VIGAS",'METAS EMPRESAS'!$C$15:$C$320,$A141-WEEKDAY($A141,2)+1)</f>
        <v/>
      </c>
      <c r="H141" s="159">
        <f>SUMIFS('METAS EMPRESAS'!$G$15:$G$320,'METAS EMPRESAS'!$A$15:$A$320,"EJ",'METAS EMPRESAS'!$B$15:$B$320,"PREMONTAGEM",'METAS EMPRESAS'!$C$15:$C$320,$A141-WEEKDAY($A141,2)+1)</f>
        <v/>
      </c>
      <c r="I141" s="159">
        <f>SUMIFS('METAS EMPRESAS'!$G$15:$G$320,'METAS EMPRESAS'!$A$15:$A$320,"EJ",'METAS EMPRESAS'!$B$15:$B$320,"IÇAMENTO JOIST",'METAS EMPRESAS'!$C$15:$C$320,$A141-WEEKDAY($A141,2)+1)</f>
        <v/>
      </c>
      <c r="J141" s="159">
        <f>SUMIFS('METAS EMPRESAS'!$G$15:$G$320,'METAS EMPRESAS'!$A$15:$A$320,"EJ",'METAS EMPRESAS'!$B$15:$B$320,"VIGAS",'METAS EMPRESAS'!$C$15:$C$320,$A141-WEEKDAY($A141,2)+1)</f>
        <v/>
      </c>
      <c r="K141" s="159">
        <f>SUMIFS('METAS EMPRESAS'!$G$15:$G$320,'METAS EMPRESAS'!$A$15:$A$320,"CMM",'METAS EMPRESAS'!$B$15:$B$320,"PREMONTAGEM",'METAS EMPRESAS'!$C$15:$C$320,$A141-WEEKDAY($A141,2)+1)</f>
        <v/>
      </c>
      <c r="L141" s="159">
        <f>SUMIFS('METAS EMPRESAS'!$G$15:$G$320,'METAS EMPRESAS'!$A$15:$A$320,"CMM",'METAS EMPRESAS'!$B$15:$B$320,"IÇAMENTO JOIST",'METAS EMPRESAS'!$C$15:$C$320,$A141-WEEKDAY($A141,2)+1)</f>
        <v/>
      </c>
      <c r="M141" s="159">
        <f>SUMIFS('METAS EMPRESAS'!$G$15:$G$320,'METAS EMPRESAS'!$A$15:$A$320,"CMM",'METAS EMPRESAS'!$B$15:$B$320,"VIGAS",'METAS EMPRESAS'!$C$15:$C$320,$A141-WEEKDAY($A141,2)+1)</f>
        <v/>
      </c>
      <c r="N141" s="159">
        <f>SUMIFS('METAS EMPRESAS'!$J$15:$J$320,'METAS EMPRESAS'!$A$15:$A$320,"EJ",'METAS EMPRESAS'!$B$15:$B$320,"PREMONTAGEM",'METAS EMPRESAS'!$C$15:$C$320,$A141-WEEKDAY($A141,2)+1)</f>
        <v/>
      </c>
      <c r="O141" s="159">
        <f>SUMIFS('METAS EMPRESAS'!$J$15:$J$320,'METAS EMPRESAS'!$A$15:$A$320,"EJ",'METAS EMPRESAS'!$B$15:$B$320,"IÇAMENTO JOIST",'METAS EMPRESAS'!$C$15:$C$320,$A141-WEEKDAY($A141,2)+1)</f>
        <v/>
      </c>
      <c r="P141" s="159">
        <f>SUMIFS('METAS EMPRESAS'!$J$15:$J$320,'METAS EMPRESAS'!$A$15:$A$320,"EJ",'METAS EMPRESAS'!$B$15:$B$320,"VIGAS",'METAS EMPRESAS'!$C$15:$C$320,$A141-WEEKDAY($A141,2)+1)</f>
        <v/>
      </c>
      <c r="Q141" s="159">
        <f>SUMIFS('METAS EMPRESAS'!$J$15:$J$320,'METAS EMPRESAS'!$A$15:$A$320,"CMM",'METAS EMPRESAS'!$B$15:$B$320,"PREMONTAGEM",'METAS EMPRESAS'!$C$15:$C$320,$A141-WEEKDAY($A141,2)+1)</f>
        <v/>
      </c>
      <c r="R141" s="159">
        <f>SUMIFS('METAS EMPRESAS'!$J$15:$J$320,'METAS EMPRESAS'!$A$15:$A$320,"CMM",'METAS EMPRESAS'!$B$15:$B$320,"IÇAMENTO JOIST",'METAS EMPRESAS'!$C$15:$C$320,$A141-WEEKDAY($A141,2)+1)</f>
        <v/>
      </c>
      <c r="S141" s="159">
        <f>SUMIFS('METAS EMPRESAS'!$J$15:$J$320,'METAS EMPRESAS'!$A$15:$A$320,"CMM",'METAS EMPRESAS'!$B$15:$B$320,"VIGAS",'METAS EMPRESAS'!$C$15:$C$320,$A141-WEEKDAY($A141,2)+1)</f>
        <v/>
      </c>
      <c r="T141">
        <f>--(WEEKDAY(A141,2)&lt;=5)</f>
        <v/>
      </c>
      <c r="U141" t="n">
        <v>19</v>
      </c>
      <c r="V141" t="n">
        <v>7</v>
      </c>
      <c r="W141" t="n">
        <v>0</v>
      </c>
      <c r="X141" t="n">
        <v>5</v>
      </c>
      <c r="Y141" t="n">
        <v>5</v>
      </c>
      <c r="Z141" t="n">
        <v>5</v>
      </c>
      <c r="AA141" t="n">
        <v>95</v>
      </c>
      <c r="AB141" t="n">
        <v>35</v>
      </c>
      <c r="AC141" t="n">
        <v>0</v>
      </c>
    </row>
    <row r="142">
      <c r="A142" s="317" t="n">
        <v>46363</v>
      </c>
      <c r="B142" s="159">
        <f>SUMIFS('METAS EMPRESAS'!$K$15:$K$320,'METAS EMPRESAS'!$A$15:$A$320,"EJ",'METAS EMPRESAS'!$B$15:$B$320,"PREMONTAGEM",'METAS EMPRESAS'!$C$15:$C$320,$A142-WEEKDAY($A142,2)+1)</f>
        <v/>
      </c>
      <c r="C142" s="159">
        <f>SUMIFS('METAS EMPRESAS'!$K$15:$K$320,'METAS EMPRESAS'!$A$15:$A$320,"EJ",'METAS EMPRESAS'!$B$15:$B$320,"IÇAMENTO JOIST",'METAS EMPRESAS'!$C$15:$C$320,$A142-WEEKDAY($A142,2)+1)</f>
        <v/>
      </c>
      <c r="D142" s="159">
        <f>SUMIFS('METAS EMPRESAS'!$K$15:$K$320,'METAS EMPRESAS'!$A$15:$A$320,"EJ",'METAS EMPRESAS'!$B$15:$B$320,"VIGAS",'METAS EMPRESAS'!$C$15:$C$320,$A142-WEEKDAY($A142,2)+1)</f>
        <v/>
      </c>
      <c r="E142" s="159">
        <f>SUMIFS('METAS EMPRESAS'!$K$15:$K$320,'METAS EMPRESAS'!$A$15:$A$320,"CMM",'METAS EMPRESAS'!$B$15:$B$320,"PREMONTAGEM",'METAS EMPRESAS'!$C$15:$C$320,$A142-WEEKDAY($A142,2)+1)</f>
        <v/>
      </c>
      <c r="F142" s="159">
        <f>SUMIFS('METAS EMPRESAS'!$K$15:$K$320,'METAS EMPRESAS'!$A$15:$A$320,"CMM",'METAS EMPRESAS'!$B$15:$B$320,"IÇAMENTO JOIST",'METAS EMPRESAS'!$C$15:$C$320,$A142-WEEKDAY($A142,2)+1)</f>
        <v/>
      </c>
      <c r="G142" s="159">
        <f>SUMIFS('METAS EMPRESAS'!$K$15:$K$320,'METAS EMPRESAS'!$A$15:$A$320,"CMM",'METAS EMPRESAS'!$B$15:$B$320,"VIGAS",'METAS EMPRESAS'!$C$15:$C$320,$A142-WEEKDAY($A142,2)+1)</f>
        <v/>
      </c>
      <c r="H142" s="159">
        <f>SUMIFS('METAS EMPRESAS'!$G$15:$G$320,'METAS EMPRESAS'!$A$15:$A$320,"EJ",'METAS EMPRESAS'!$B$15:$B$320,"PREMONTAGEM",'METAS EMPRESAS'!$C$15:$C$320,$A142-WEEKDAY($A142,2)+1)</f>
        <v/>
      </c>
      <c r="I142" s="159">
        <f>SUMIFS('METAS EMPRESAS'!$G$15:$G$320,'METAS EMPRESAS'!$A$15:$A$320,"EJ",'METAS EMPRESAS'!$B$15:$B$320,"IÇAMENTO JOIST",'METAS EMPRESAS'!$C$15:$C$320,$A142-WEEKDAY($A142,2)+1)</f>
        <v/>
      </c>
      <c r="J142" s="159">
        <f>SUMIFS('METAS EMPRESAS'!$G$15:$G$320,'METAS EMPRESAS'!$A$15:$A$320,"EJ",'METAS EMPRESAS'!$B$15:$B$320,"VIGAS",'METAS EMPRESAS'!$C$15:$C$320,$A142-WEEKDAY($A142,2)+1)</f>
        <v/>
      </c>
      <c r="K142" s="159">
        <f>SUMIFS('METAS EMPRESAS'!$G$15:$G$320,'METAS EMPRESAS'!$A$15:$A$320,"CMM",'METAS EMPRESAS'!$B$15:$B$320,"PREMONTAGEM",'METAS EMPRESAS'!$C$15:$C$320,$A142-WEEKDAY($A142,2)+1)</f>
        <v/>
      </c>
      <c r="L142" s="159">
        <f>SUMIFS('METAS EMPRESAS'!$G$15:$G$320,'METAS EMPRESAS'!$A$15:$A$320,"CMM",'METAS EMPRESAS'!$B$15:$B$320,"IÇAMENTO JOIST",'METAS EMPRESAS'!$C$15:$C$320,$A142-WEEKDAY($A142,2)+1)</f>
        <v/>
      </c>
      <c r="M142" s="159">
        <f>SUMIFS('METAS EMPRESAS'!$G$15:$G$320,'METAS EMPRESAS'!$A$15:$A$320,"CMM",'METAS EMPRESAS'!$B$15:$B$320,"VIGAS",'METAS EMPRESAS'!$C$15:$C$320,$A142-WEEKDAY($A142,2)+1)</f>
        <v/>
      </c>
      <c r="N142" s="159">
        <f>SUMIFS('METAS EMPRESAS'!$J$15:$J$320,'METAS EMPRESAS'!$A$15:$A$320,"EJ",'METAS EMPRESAS'!$B$15:$B$320,"PREMONTAGEM",'METAS EMPRESAS'!$C$15:$C$320,$A142-WEEKDAY($A142,2)+1)</f>
        <v/>
      </c>
      <c r="O142" s="159">
        <f>SUMIFS('METAS EMPRESAS'!$J$15:$J$320,'METAS EMPRESAS'!$A$15:$A$320,"EJ",'METAS EMPRESAS'!$B$15:$B$320,"IÇAMENTO JOIST",'METAS EMPRESAS'!$C$15:$C$320,$A142-WEEKDAY($A142,2)+1)</f>
        <v/>
      </c>
      <c r="P142" s="159">
        <f>SUMIFS('METAS EMPRESAS'!$J$15:$J$320,'METAS EMPRESAS'!$A$15:$A$320,"EJ",'METAS EMPRESAS'!$B$15:$B$320,"VIGAS",'METAS EMPRESAS'!$C$15:$C$320,$A142-WEEKDAY($A142,2)+1)</f>
        <v/>
      </c>
      <c r="Q142" s="159">
        <f>SUMIFS('METAS EMPRESAS'!$J$15:$J$320,'METAS EMPRESAS'!$A$15:$A$320,"CMM",'METAS EMPRESAS'!$B$15:$B$320,"PREMONTAGEM",'METAS EMPRESAS'!$C$15:$C$320,$A142-WEEKDAY($A142,2)+1)</f>
        <v/>
      </c>
      <c r="R142" s="159">
        <f>SUMIFS('METAS EMPRESAS'!$J$15:$J$320,'METAS EMPRESAS'!$A$15:$A$320,"CMM",'METAS EMPRESAS'!$B$15:$B$320,"IÇAMENTO JOIST",'METAS EMPRESAS'!$C$15:$C$320,$A142-WEEKDAY($A142,2)+1)</f>
        <v/>
      </c>
      <c r="S142" s="159">
        <f>SUMIFS('METAS EMPRESAS'!$J$15:$J$320,'METAS EMPRESAS'!$A$15:$A$320,"CMM",'METAS EMPRESAS'!$B$15:$B$320,"VIGAS",'METAS EMPRESAS'!$C$15:$C$320,$A142-WEEKDAY($A142,2)+1)</f>
        <v/>
      </c>
      <c r="T142">
        <f>--(WEEKDAY(A142,2)&lt;=5)</f>
        <v/>
      </c>
      <c r="U142" t="n">
        <v>19</v>
      </c>
      <c r="V142" t="n">
        <v>7</v>
      </c>
      <c r="W142" t="n">
        <v>0</v>
      </c>
      <c r="X142" t="n">
        <v>5</v>
      </c>
      <c r="Y142" t="n">
        <v>5</v>
      </c>
      <c r="Z142" t="n">
        <v>5</v>
      </c>
      <c r="AA142" t="n">
        <v>95</v>
      </c>
      <c r="AB142" t="n">
        <v>35</v>
      </c>
      <c r="AC142" t="n">
        <v>0</v>
      </c>
    </row>
    <row r="143">
      <c r="A143" s="317" t="n">
        <v>46364</v>
      </c>
      <c r="B143" s="159">
        <f>SUMIFS('METAS EMPRESAS'!$K$15:$K$320,'METAS EMPRESAS'!$A$15:$A$320,"EJ",'METAS EMPRESAS'!$B$15:$B$320,"PREMONTAGEM",'METAS EMPRESAS'!$C$15:$C$320,$A143-WEEKDAY($A143,2)+1)</f>
        <v/>
      </c>
      <c r="C143" s="159">
        <f>SUMIFS('METAS EMPRESAS'!$K$15:$K$320,'METAS EMPRESAS'!$A$15:$A$320,"EJ",'METAS EMPRESAS'!$B$15:$B$320,"IÇAMENTO JOIST",'METAS EMPRESAS'!$C$15:$C$320,$A143-WEEKDAY($A143,2)+1)</f>
        <v/>
      </c>
      <c r="D143" s="159">
        <f>SUMIFS('METAS EMPRESAS'!$K$15:$K$320,'METAS EMPRESAS'!$A$15:$A$320,"EJ",'METAS EMPRESAS'!$B$15:$B$320,"VIGAS",'METAS EMPRESAS'!$C$15:$C$320,$A143-WEEKDAY($A143,2)+1)</f>
        <v/>
      </c>
      <c r="E143" s="159">
        <f>SUMIFS('METAS EMPRESAS'!$K$15:$K$320,'METAS EMPRESAS'!$A$15:$A$320,"CMM",'METAS EMPRESAS'!$B$15:$B$320,"PREMONTAGEM",'METAS EMPRESAS'!$C$15:$C$320,$A143-WEEKDAY($A143,2)+1)</f>
        <v/>
      </c>
      <c r="F143" s="159">
        <f>SUMIFS('METAS EMPRESAS'!$K$15:$K$320,'METAS EMPRESAS'!$A$15:$A$320,"CMM",'METAS EMPRESAS'!$B$15:$B$320,"IÇAMENTO JOIST",'METAS EMPRESAS'!$C$15:$C$320,$A143-WEEKDAY($A143,2)+1)</f>
        <v/>
      </c>
      <c r="G143" s="159">
        <f>SUMIFS('METAS EMPRESAS'!$K$15:$K$320,'METAS EMPRESAS'!$A$15:$A$320,"CMM",'METAS EMPRESAS'!$B$15:$B$320,"VIGAS",'METAS EMPRESAS'!$C$15:$C$320,$A143-WEEKDAY($A143,2)+1)</f>
        <v/>
      </c>
      <c r="H143" s="159">
        <f>SUMIFS('METAS EMPRESAS'!$G$15:$G$320,'METAS EMPRESAS'!$A$15:$A$320,"EJ",'METAS EMPRESAS'!$B$15:$B$320,"PREMONTAGEM",'METAS EMPRESAS'!$C$15:$C$320,$A143-WEEKDAY($A143,2)+1)</f>
        <v/>
      </c>
      <c r="I143" s="159">
        <f>SUMIFS('METAS EMPRESAS'!$G$15:$G$320,'METAS EMPRESAS'!$A$15:$A$320,"EJ",'METAS EMPRESAS'!$B$15:$B$320,"IÇAMENTO JOIST",'METAS EMPRESAS'!$C$15:$C$320,$A143-WEEKDAY($A143,2)+1)</f>
        <v/>
      </c>
      <c r="J143" s="159">
        <f>SUMIFS('METAS EMPRESAS'!$G$15:$G$320,'METAS EMPRESAS'!$A$15:$A$320,"EJ",'METAS EMPRESAS'!$B$15:$B$320,"VIGAS",'METAS EMPRESAS'!$C$15:$C$320,$A143-WEEKDAY($A143,2)+1)</f>
        <v/>
      </c>
      <c r="K143" s="159">
        <f>SUMIFS('METAS EMPRESAS'!$G$15:$G$320,'METAS EMPRESAS'!$A$15:$A$320,"CMM",'METAS EMPRESAS'!$B$15:$B$320,"PREMONTAGEM",'METAS EMPRESAS'!$C$15:$C$320,$A143-WEEKDAY($A143,2)+1)</f>
        <v/>
      </c>
      <c r="L143" s="159">
        <f>SUMIFS('METAS EMPRESAS'!$G$15:$G$320,'METAS EMPRESAS'!$A$15:$A$320,"CMM",'METAS EMPRESAS'!$B$15:$B$320,"IÇAMENTO JOIST",'METAS EMPRESAS'!$C$15:$C$320,$A143-WEEKDAY($A143,2)+1)</f>
        <v/>
      </c>
      <c r="M143" s="159">
        <f>SUMIFS('METAS EMPRESAS'!$G$15:$G$320,'METAS EMPRESAS'!$A$15:$A$320,"CMM",'METAS EMPRESAS'!$B$15:$B$320,"VIGAS",'METAS EMPRESAS'!$C$15:$C$320,$A143-WEEKDAY($A143,2)+1)</f>
        <v/>
      </c>
      <c r="N143" s="159">
        <f>SUMIFS('METAS EMPRESAS'!$J$15:$J$320,'METAS EMPRESAS'!$A$15:$A$320,"EJ",'METAS EMPRESAS'!$B$15:$B$320,"PREMONTAGEM",'METAS EMPRESAS'!$C$15:$C$320,$A143-WEEKDAY($A143,2)+1)</f>
        <v/>
      </c>
      <c r="O143" s="159">
        <f>SUMIFS('METAS EMPRESAS'!$J$15:$J$320,'METAS EMPRESAS'!$A$15:$A$320,"EJ",'METAS EMPRESAS'!$B$15:$B$320,"IÇAMENTO JOIST",'METAS EMPRESAS'!$C$15:$C$320,$A143-WEEKDAY($A143,2)+1)</f>
        <v/>
      </c>
      <c r="P143" s="159">
        <f>SUMIFS('METAS EMPRESAS'!$J$15:$J$320,'METAS EMPRESAS'!$A$15:$A$320,"EJ",'METAS EMPRESAS'!$B$15:$B$320,"VIGAS",'METAS EMPRESAS'!$C$15:$C$320,$A143-WEEKDAY($A143,2)+1)</f>
        <v/>
      </c>
      <c r="Q143" s="159">
        <f>SUMIFS('METAS EMPRESAS'!$J$15:$J$320,'METAS EMPRESAS'!$A$15:$A$320,"CMM",'METAS EMPRESAS'!$B$15:$B$320,"PREMONTAGEM",'METAS EMPRESAS'!$C$15:$C$320,$A143-WEEKDAY($A143,2)+1)</f>
        <v/>
      </c>
      <c r="R143" s="159">
        <f>SUMIFS('METAS EMPRESAS'!$J$15:$J$320,'METAS EMPRESAS'!$A$15:$A$320,"CMM",'METAS EMPRESAS'!$B$15:$B$320,"IÇAMENTO JOIST",'METAS EMPRESAS'!$C$15:$C$320,$A143-WEEKDAY($A143,2)+1)</f>
        <v/>
      </c>
      <c r="S143" s="159">
        <f>SUMIFS('METAS EMPRESAS'!$J$15:$J$320,'METAS EMPRESAS'!$A$15:$A$320,"CMM",'METAS EMPRESAS'!$B$15:$B$320,"VIGAS",'METAS EMPRESAS'!$C$15:$C$320,$A143-WEEKDAY($A143,2)+1)</f>
        <v/>
      </c>
      <c r="T143">
        <f>--(WEEKDAY(A143,2)&lt;=5)</f>
        <v/>
      </c>
      <c r="U143" t="n">
        <v>19</v>
      </c>
      <c r="V143" t="n">
        <v>7</v>
      </c>
      <c r="W143" t="n">
        <v>0</v>
      </c>
      <c r="X143" t="n">
        <v>5</v>
      </c>
      <c r="Y143" t="n">
        <v>5</v>
      </c>
      <c r="Z143" t="n">
        <v>5</v>
      </c>
      <c r="AA143" t="n">
        <v>95</v>
      </c>
      <c r="AB143" t="n">
        <v>35</v>
      </c>
      <c r="AC143" t="n">
        <v>0</v>
      </c>
    </row>
    <row r="144">
      <c r="A144" s="317" t="n">
        <v>46365</v>
      </c>
      <c r="B144" s="159">
        <f>SUMIFS('METAS EMPRESAS'!$K$15:$K$320,'METAS EMPRESAS'!$A$15:$A$320,"EJ",'METAS EMPRESAS'!$B$15:$B$320,"PREMONTAGEM",'METAS EMPRESAS'!$C$15:$C$320,$A144-WEEKDAY($A144,2)+1)</f>
        <v/>
      </c>
      <c r="C144" s="159">
        <f>SUMIFS('METAS EMPRESAS'!$K$15:$K$320,'METAS EMPRESAS'!$A$15:$A$320,"EJ",'METAS EMPRESAS'!$B$15:$B$320,"IÇAMENTO JOIST",'METAS EMPRESAS'!$C$15:$C$320,$A144-WEEKDAY($A144,2)+1)</f>
        <v/>
      </c>
      <c r="D144" s="159">
        <f>SUMIFS('METAS EMPRESAS'!$K$15:$K$320,'METAS EMPRESAS'!$A$15:$A$320,"EJ",'METAS EMPRESAS'!$B$15:$B$320,"VIGAS",'METAS EMPRESAS'!$C$15:$C$320,$A144-WEEKDAY($A144,2)+1)</f>
        <v/>
      </c>
      <c r="E144" s="159">
        <f>SUMIFS('METAS EMPRESAS'!$K$15:$K$320,'METAS EMPRESAS'!$A$15:$A$320,"CMM",'METAS EMPRESAS'!$B$15:$B$320,"PREMONTAGEM",'METAS EMPRESAS'!$C$15:$C$320,$A144-WEEKDAY($A144,2)+1)</f>
        <v/>
      </c>
      <c r="F144" s="159">
        <f>SUMIFS('METAS EMPRESAS'!$K$15:$K$320,'METAS EMPRESAS'!$A$15:$A$320,"CMM",'METAS EMPRESAS'!$B$15:$B$320,"IÇAMENTO JOIST",'METAS EMPRESAS'!$C$15:$C$320,$A144-WEEKDAY($A144,2)+1)</f>
        <v/>
      </c>
      <c r="G144" s="159">
        <f>SUMIFS('METAS EMPRESAS'!$K$15:$K$320,'METAS EMPRESAS'!$A$15:$A$320,"CMM",'METAS EMPRESAS'!$B$15:$B$320,"VIGAS",'METAS EMPRESAS'!$C$15:$C$320,$A144-WEEKDAY($A144,2)+1)</f>
        <v/>
      </c>
      <c r="H144" s="159">
        <f>SUMIFS('METAS EMPRESAS'!$G$15:$G$320,'METAS EMPRESAS'!$A$15:$A$320,"EJ",'METAS EMPRESAS'!$B$15:$B$320,"PREMONTAGEM",'METAS EMPRESAS'!$C$15:$C$320,$A144-WEEKDAY($A144,2)+1)</f>
        <v/>
      </c>
      <c r="I144" s="159">
        <f>SUMIFS('METAS EMPRESAS'!$G$15:$G$320,'METAS EMPRESAS'!$A$15:$A$320,"EJ",'METAS EMPRESAS'!$B$15:$B$320,"IÇAMENTO JOIST",'METAS EMPRESAS'!$C$15:$C$320,$A144-WEEKDAY($A144,2)+1)</f>
        <v/>
      </c>
      <c r="J144" s="159">
        <f>SUMIFS('METAS EMPRESAS'!$G$15:$G$320,'METAS EMPRESAS'!$A$15:$A$320,"EJ",'METAS EMPRESAS'!$B$15:$B$320,"VIGAS",'METAS EMPRESAS'!$C$15:$C$320,$A144-WEEKDAY($A144,2)+1)</f>
        <v/>
      </c>
      <c r="K144" s="159">
        <f>SUMIFS('METAS EMPRESAS'!$G$15:$G$320,'METAS EMPRESAS'!$A$15:$A$320,"CMM",'METAS EMPRESAS'!$B$15:$B$320,"PREMONTAGEM",'METAS EMPRESAS'!$C$15:$C$320,$A144-WEEKDAY($A144,2)+1)</f>
        <v/>
      </c>
      <c r="L144" s="159">
        <f>SUMIFS('METAS EMPRESAS'!$G$15:$G$320,'METAS EMPRESAS'!$A$15:$A$320,"CMM",'METAS EMPRESAS'!$B$15:$B$320,"IÇAMENTO JOIST",'METAS EMPRESAS'!$C$15:$C$320,$A144-WEEKDAY($A144,2)+1)</f>
        <v/>
      </c>
      <c r="M144" s="159">
        <f>SUMIFS('METAS EMPRESAS'!$G$15:$G$320,'METAS EMPRESAS'!$A$15:$A$320,"CMM",'METAS EMPRESAS'!$B$15:$B$320,"VIGAS",'METAS EMPRESAS'!$C$15:$C$320,$A144-WEEKDAY($A144,2)+1)</f>
        <v/>
      </c>
      <c r="N144" s="159">
        <f>SUMIFS('METAS EMPRESAS'!$J$15:$J$320,'METAS EMPRESAS'!$A$15:$A$320,"EJ",'METAS EMPRESAS'!$B$15:$B$320,"PREMONTAGEM",'METAS EMPRESAS'!$C$15:$C$320,$A144-WEEKDAY($A144,2)+1)</f>
        <v/>
      </c>
      <c r="O144" s="159">
        <f>SUMIFS('METAS EMPRESAS'!$J$15:$J$320,'METAS EMPRESAS'!$A$15:$A$320,"EJ",'METAS EMPRESAS'!$B$15:$B$320,"IÇAMENTO JOIST",'METAS EMPRESAS'!$C$15:$C$320,$A144-WEEKDAY($A144,2)+1)</f>
        <v/>
      </c>
      <c r="P144" s="159">
        <f>SUMIFS('METAS EMPRESAS'!$J$15:$J$320,'METAS EMPRESAS'!$A$15:$A$320,"EJ",'METAS EMPRESAS'!$B$15:$B$320,"VIGAS",'METAS EMPRESAS'!$C$15:$C$320,$A144-WEEKDAY($A144,2)+1)</f>
        <v/>
      </c>
      <c r="Q144" s="159">
        <f>SUMIFS('METAS EMPRESAS'!$J$15:$J$320,'METAS EMPRESAS'!$A$15:$A$320,"CMM",'METAS EMPRESAS'!$B$15:$B$320,"PREMONTAGEM",'METAS EMPRESAS'!$C$15:$C$320,$A144-WEEKDAY($A144,2)+1)</f>
        <v/>
      </c>
      <c r="R144" s="159">
        <f>SUMIFS('METAS EMPRESAS'!$J$15:$J$320,'METAS EMPRESAS'!$A$15:$A$320,"CMM",'METAS EMPRESAS'!$B$15:$B$320,"IÇAMENTO JOIST",'METAS EMPRESAS'!$C$15:$C$320,$A144-WEEKDAY($A144,2)+1)</f>
        <v/>
      </c>
      <c r="S144" s="159">
        <f>SUMIFS('METAS EMPRESAS'!$J$15:$J$320,'METAS EMPRESAS'!$A$15:$A$320,"CMM",'METAS EMPRESAS'!$B$15:$B$320,"VIGAS",'METAS EMPRESAS'!$C$15:$C$320,$A144-WEEKDAY($A144,2)+1)</f>
        <v/>
      </c>
      <c r="T144">
        <f>--(WEEKDAY(A144,2)&lt;=5)</f>
        <v/>
      </c>
      <c r="U144" t="n">
        <v>19</v>
      </c>
      <c r="V144" t="n">
        <v>7</v>
      </c>
      <c r="W144" t="n">
        <v>0</v>
      </c>
      <c r="X144" t="n">
        <v>5</v>
      </c>
      <c r="Y144" t="n">
        <v>5</v>
      </c>
      <c r="Z144" t="n">
        <v>5</v>
      </c>
      <c r="AA144" t="n">
        <v>95</v>
      </c>
      <c r="AB144" t="n">
        <v>35</v>
      </c>
      <c r="AC144" t="n">
        <v>0</v>
      </c>
    </row>
    <row r="145">
      <c r="A145" s="317" t="n">
        <v>46366</v>
      </c>
      <c r="B145" s="159">
        <f>SUMIFS('METAS EMPRESAS'!$K$15:$K$320,'METAS EMPRESAS'!$A$15:$A$320,"EJ",'METAS EMPRESAS'!$B$15:$B$320,"PREMONTAGEM",'METAS EMPRESAS'!$C$15:$C$320,$A145-WEEKDAY($A145,2)+1)</f>
        <v/>
      </c>
      <c r="C145" s="159">
        <f>SUMIFS('METAS EMPRESAS'!$K$15:$K$320,'METAS EMPRESAS'!$A$15:$A$320,"EJ",'METAS EMPRESAS'!$B$15:$B$320,"IÇAMENTO JOIST",'METAS EMPRESAS'!$C$15:$C$320,$A145-WEEKDAY($A145,2)+1)</f>
        <v/>
      </c>
      <c r="D145" s="159">
        <f>SUMIFS('METAS EMPRESAS'!$K$15:$K$320,'METAS EMPRESAS'!$A$15:$A$320,"EJ",'METAS EMPRESAS'!$B$15:$B$320,"VIGAS",'METAS EMPRESAS'!$C$15:$C$320,$A145-WEEKDAY($A145,2)+1)</f>
        <v/>
      </c>
      <c r="E145" s="159">
        <f>SUMIFS('METAS EMPRESAS'!$K$15:$K$320,'METAS EMPRESAS'!$A$15:$A$320,"CMM",'METAS EMPRESAS'!$B$15:$B$320,"PREMONTAGEM",'METAS EMPRESAS'!$C$15:$C$320,$A145-WEEKDAY($A145,2)+1)</f>
        <v/>
      </c>
      <c r="F145" s="159">
        <f>SUMIFS('METAS EMPRESAS'!$K$15:$K$320,'METAS EMPRESAS'!$A$15:$A$320,"CMM",'METAS EMPRESAS'!$B$15:$B$320,"IÇAMENTO JOIST",'METAS EMPRESAS'!$C$15:$C$320,$A145-WEEKDAY($A145,2)+1)</f>
        <v/>
      </c>
      <c r="G145" s="159">
        <f>SUMIFS('METAS EMPRESAS'!$K$15:$K$320,'METAS EMPRESAS'!$A$15:$A$320,"CMM",'METAS EMPRESAS'!$B$15:$B$320,"VIGAS",'METAS EMPRESAS'!$C$15:$C$320,$A145-WEEKDAY($A145,2)+1)</f>
        <v/>
      </c>
      <c r="H145" s="159">
        <f>SUMIFS('METAS EMPRESAS'!$G$15:$G$320,'METAS EMPRESAS'!$A$15:$A$320,"EJ",'METAS EMPRESAS'!$B$15:$B$320,"PREMONTAGEM",'METAS EMPRESAS'!$C$15:$C$320,$A145-WEEKDAY($A145,2)+1)</f>
        <v/>
      </c>
      <c r="I145" s="159">
        <f>SUMIFS('METAS EMPRESAS'!$G$15:$G$320,'METAS EMPRESAS'!$A$15:$A$320,"EJ",'METAS EMPRESAS'!$B$15:$B$320,"IÇAMENTO JOIST",'METAS EMPRESAS'!$C$15:$C$320,$A145-WEEKDAY($A145,2)+1)</f>
        <v/>
      </c>
      <c r="J145" s="159">
        <f>SUMIFS('METAS EMPRESAS'!$G$15:$G$320,'METAS EMPRESAS'!$A$15:$A$320,"EJ",'METAS EMPRESAS'!$B$15:$B$320,"VIGAS",'METAS EMPRESAS'!$C$15:$C$320,$A145-WEEKDAY($A145,2)+1)</f>
        <v/>
      </c>
      <c r="K145" s="159">
        <f>SUMIFS('METAS EMPRESAS'!$G$15:$G$320,'METAS EMPRESAS'!$A$15:$A$320,"CMM",'METAS EMPRESAS'!$B$15:$B$320,"PREMONTAGEM",'METAS EMPRESAS'!$C$15:$C$320,$A145-WEEKDAY($A145,2)+1)</f>
        <v/>
      </c>
      <c r="L145" s="159">
        <f>SUMIFS('METAS EMPRESAS'!$G$15:$G$320,'METAS EMPRESAS'!$A$15:$A$320,"CMM",'METAS EMPRESAS'!$B$15:$B$320,"IÇAMENTO JOIST",'METAS EMPRESAS'!$C$15:$C$320,$A145-WEEKDAY($A145,2)+1)</f>
        <v/>
      </c>
      <c r="M145" s="159">
        <f>SUMIFS('METAS EMPRESAS'!$G$15:$G$320,'METAS EMPRESAS'!$A$15:$A$320,"CMM",'METAS EMPRESAS'!$B$15:$B$320,"VIGAS",'METAS EMPRESAS'!$C$15:$C$320,$A145-WEEKDAY($A145,2)+1)</f>
        <v/>
      </c>
      <c r="N145" s="159">
        <f>SUMIFS('METAS EMPRESAS'!$J$15:$J$320,'METAS EMPRESAS'!$A$15:$A$320,"EJ",'METAS EMPRESAS'!$B$15:$B$320,"PREMONTAGEM",'METAS EMPRESAS'!$C$15:$C$320,$A145-WEEKDAY($A145,2)+1)</f>
        <v/>
      </c>
      <c r="O145" s="159">
        <f>SUMIFS('METAS EMPRESAS'!$J$15:$J$320,'METAS EMPRESAS'!$A$15:$A$320,"EJ",'METAS EMPRESAS'!$B$15:$B$320,"IÇAMENTO JOIST",'METAS EMPRESAS'!$C$15:$C$320,$A145-WEEKDAY($A145,2)+1)</f>
        <v/>
      </c>
      <c r="P145" s="159">
        <f>SUMIFS('METAS EMPRESAS'!$J$15:$J$320,'METAS EMPRESAS'!$A$15:$A$320,"EJ",'METAS EMPRESAS'!$B$15:$B$320,"VIGAS",'METAS EMPRESAS'!$C$15:$C$320,$A145-WEEKDAY($A145,2)+1)</f>
        <v/>
      </c>
      <c r="Q145" s="159">
        <f>SUMIFS('METAS EMPRESAS'!$J$15:$J$320,'METAS EMPRESAS'!$A$15:$A$320,"CMM",'METAS EMPRESAS'!$B$15:$B$320,"PREMONTAGEM",'METAS EMPRESAS'!$C$15:$C$320,$A145-WEEKDAY($A145,2)+1)</f>
        <v/>
      </c>
      <c r="R145" s="159">
        <f>SUMIFS('METAS EMPRESAS'!$J$15:$J$320,'METAS EMPRESAS'!$A$15:$A$320,"CMM",'METAS EMPRESAS'!$B$15:$B$320,"IÇAMENTO JOIST",'METAS EMPRESAS'!$C$15:$C$320,$A145-WEEKDAY($A145,2)+1)</f>
        <v/>
      </c>
      <c r="S145" s="159">
        <f>SUMIFS('METAS EMPRESAS'!$J$15:$J$320,'METAS EMPRESAS'!$A$15:$A$320,"CMM",'METAS EMPRESAS'!$B$15:$B$320,"VIGAS",'METAS EMPRESAS'!$C$15:$C$320,$A145-WEEKDAY($A145,2)+1)</f>
        <v/>
      </c>
      <c r="T145">
        <f>--(WEEKDAY(A145,2)&lt;=5)</f>
        <v/>
      </c>
      <c r="U145" t="n">
        <v>19</v>
      </c>
      <c r="V145" t="n">
        <v>7</v>
      </c>
      <c r="W145" t="n">
        <v>0</v>
      </c>
      <c r="X145" t="n">
        <v>5</v>
      </c>
      <c r="Y145" t="n">
        <v>5</v>
      </c>
      <c r="Z145" t="n">
        <v>5</v>
      </c>
      <c r="AA145" t="n">
        <v>95</v>
      </c>
      <c r="AB145" t="n">
        <v>35</v>
      </c>
      <c r="AC145" t="n">
        <v>0</v>
      </c>
    </row>
    <row r="146">
      <c r="A146" s="317" t="n">
        <v>46367</v>
      </c>
      <c r="B146" s="159">
        <f>SUMIFS('METAS EMPRESAS'!$K$15:$K$320,'METAS EMPRESAS'!$A$15:$A$320,"EJ",'METAS EMPRESAS'!$B$15:$B$320,"PREMONTAGEM",'METAS EMPRESAS'!$C$15:$C$320,$A146-WEEKDAY($A146,2)+1)</f>
        <v/>
      </c>
      <c r="C146" s="159">
        <f>SUMIFS('METAS EMPRESAS'!$K$15:$K$320,'METAS EMPRESAS'!$A$15:$A$320,"EJ",'METAS EMPRESAS'!$B$15:$B$320,"IÇAMENTO JOIST",'METAS EMPRESAS'!$C$15:$C$320,$A146-WEEKDAY($A146,2)+1)</f>
        <v/>
      </c>
      <c r="D146" s="159">
        <f>SUMIFS('METAS EMPRESAS'!$K$15:$K$320,'METAS EMPRESAS'!$A$15:$A$320,"EJ",'METAS EMPRESAS'!$B$15:$B$320,"VIGAS",'METAS EMPRESAS'!$C$15:$C$320,$A146-WEEKDAY($A146,2)+1)</f>
        <v/>
      </c>
      <c r="E146" s="159">
        <f>SUMIFS('METAS EMPRESAS'!$K$15:$K$320,'METAS EMPRESAS'!$A$15:$A$320,"CMM",'METAS EMPRESAS'!$B$15:$B$320,"PREMONTAGEM",'METAS EMPRESAS'!$C$15:$C$320,$A146-WEEKDAY($A146,2)+1)</f>
        <v/>
      </c>
      <c r="F146" s="159">
        <f>SUMIFS('METAS EMPRESAS'!$K$15:$K$320,'METAS EMPRESAS'!$A$15:$A$320,"CMM",'METAS EMPRESAS'!$B$15:$B$320,"IÇAMENTO JOIST",'METAS EMPRESAS'!$C$15:$C$320,$A146-WEEKDAY($A146,2)+1)</f>
        <v/>
      </c>
      <c r="G146" s="159">
        <f>SUMIFS('METAS EMPRESAS'!$K$15:$K$320,'METAS EMPRESAS'!$A$15:$A$320,"CMM",'METAS EMPRESAS'!$B$15:$B$320,"VIGAS",'METAS EMPRESAS'!$C$15:$C$320,$A146-WEEKDAY($A146,2)+1)</f>
        <v/>
      </c>
      <c r="H146" s="159">
        <f>SUMIFS('METAS EMPRESAS'!$G$15:$G$320,'METAS EMPRESAS'!$A$15:$A$320,"EJ",'METAS EMPRESAS'!$B$15:$B$320,"PREMONTAGEM",'METAS EMPRESAS'!$C$15:$C$320,$A146-WEEKDAY($A146,2)+1)</f>
        <v/>
      </c>
      <c r="I146" s="159">
        <f>SUMIFS('METAS EMPRESAS'!$G$15:$G$320,'METAS EMPRESAS'!$A$15:$A$320,"EJ",'METAS EMPRESAS'!$B$15:$B$320,"IÇAMENTO JOIST",'METAS EMPRESAS'!$C$15:$C$320,$A146-WEEKDAY($A146,2)+1)</f>
        <v/>
      </c>
      <c r="J146" s="159">
        <f>SUMIFS('METAS EMPRESAS'!$G$15:$G$320,'METAS EMPRESAS'!$A$15:$A$320,"EJ",'METAS EMPRESAS'!$B$15:$B$320,"VIGAS",'METAS EMPRESAS'!$C$15:$C$320,$A146-WEEKDAY($A146,2)+1)</f>
        <v/>
      </c>
      <c r="K146" s="159">
        <f>SUMIFS('METAS EMPRESAS'!$G$15:$G$320,'METAS EMPRESAS'!$A$15:$A$320,"CMM",'METAS EMPRESAS'!$B$15:$B$320,"PREMONTAGEM",'METAS EMPRESAS'!$C$15:$C$320,$A146-WEEKDAY($A146,2)+1)</f>
        <v/>
      </c>
      <c r="L146" s="159">
        <f>SUMIFS('METAS EMPRESAS'!$G$15:$G$320,'METAS EMPRESAS'!$A$15:$A$320,"CMM",'METAS EMPRESAS'!$B$15:$B$320,"IÇAMENTO JOIST",'METAS EMPRESAS'!$C$15:$C$320,$A146-WEEKDAY($A146,2)+1)</f>
        <v/>
      </c>
      <c r="M146" s="159">
        <f>SUMIFS('METAS EMPRESAS'!$G$15:$G$320,'METAS EMPRESAS'!$A$15:$A$320,"CMM",'METAS EMPRESAS'!$B$15:$B$320,"VIGAS",'METAS EMPRESAS'!$C$15:$C$320,$A146-WEEKDAY($A146,2)+1)</f>
        <v/>
      </c>
      <c r="N146" s="159">
        <f>SUMIFS('METAS EMPRESAS'!$J$15:$J$320,'METAS EMPRESAS'!$A$15:$A$320,"EJ",'METAS EMPRESAS'!$B$15:$B$320,"PREMONTAGEM",'METAS EMPRESAS'!$C$15:$C$320,$A146-WEEKDAY($A146,2)+1)</f>
        <v/>
      </c>
      <c r="O146" s="159">
        <f>SUMIFS('METAS EMPRESAS'!$J$15:$J$320,'METAS EMPRESAS'!$A$15:$A$320,"EJ",'METAS EMPRESAS'!$B$15:$B$320,"IÇAMENTO JOIST",'METAS EMPRESAS'!$C$15:$C$320,$A146-WEEKDAY($A146,2)+1)</f>
        <v/>
      </c>
      <c r="P146" s="159">
        <f>SUMIFS('METAS EMPRESAS'!$J$15:$J$320,'METAS EMPRESAS'!$A$15:$A$320,"EJ",'METAS EMPRESAS'!$B$15:$B$320,"VIGAS",'METAS EMPRESAS'!$C$15:$C$320,$A146-WEEKDAY($A146,2)+1)</f>
        <v/>
      </c>
      <c r="Q146" s="159">
        <f>SUMIFS('METAS EMPRESAS'!$J$15:$J$320,'METAS EMPRESAS'!$A$15:$A$320,"CMM",'METAS EMPRESAS'!$B$15:$B$320,"PREMONTAGEM",'METAS EMPRESAS'!$C$15:$C$320,$A146-WEEKDAY($A146,2)+1)</f>
        <v/>
      </c>
      <c r="R146" s="159">
        <f>SUMIFS('METAS EMPRESAS'!$J$15:$J$320,'METAS EMPRESAS'!$A$15:$A$320,"CMM",'METAS EMPRESAS'!$B$15:$B$320,"IÇAMENTO JOIST",'METAS EMPRESAS'!$C$15:$C$320,$A146-WEEKDAY($A146,2)+1)</f>
        <v/>
      </c>
      <c r="S146" s="159">
        <f>SUMIFS('METAS EMPRESAS'!$J$15:$J$320,'METAS EMPRESAS'!$A$15:$A$320,"CMM",'METAS EMPRESAS'!$B$15:$B$320,"VIGAS",'METAS EMPRESAS'!$C$15:$C$320,$A146-WEEKDAY($A146,2)+1)</f>
        <v/>
      </c>
      <c r="T146">
        <f>--(WEEKDAY(A146,2)&lt;=5)</f>
        <v/>
      </c>
      <c r="U146" t="n">
        <v>19</v>
      </c>
      <c r="V146" t="n">
        <v>7</v>
      </c>
      <c r="W146" t="n">
        <v>0</v>
      </c>
      <c r="X146" t="n">
        <v>5</v>
      </c>
      <c r="Y146" t="n">
        <v>5</v>
      </c>
      <c r="Z146" t="n">
        <v>5</v>
      </c>
      <c r="AA146" t="n">
        <v>95</v>
      </c>
      <c r="AB146" t="n">
        <v>35</v>
      </c>
      <c r="AC146" t="n">
        <v>0</v>
      </c>
    </row>
    <row r="147">
      <c r="A147" s="317" t="n">
        <v>46368</v>
      </c>
      <c r="B147" s="159">
        <f>SUMIFS('METAS EMPRESAS'!$K$15:$K$320,'METAS EMPRESAS'!$A$15:$A$320,"EJ",'METAS EMPRESAS'!$B$15:$B$320,"PREMONTAGEM",'METAS EMPRESAS'!$C$15:$C$320,$A147-WEEKDAY($A147,2)+1)</f>
        <v/>
      </c>
      <c r="C147" s="159">
        <f>SUMIFS('METAS EMPRESAS'!$K$15:$K$320,'METAS EMPRESAS'!$A$15:$A$320,"EJ",'METAS EMPRESAS'!$B$15:$B$320,"IÇAMENTO JOIST",'METAS EMPRESAS'!$C$15:$C$320,$A147-WEEKDAY($A147,2)+1)</f>
        <v/>
      </c>
      <c r="D147" s="159">
        <f>SUMIFS('METAS EMPRESAS'!$K$15:$K$320,'METAS EMPRESAS'!$A$15:$A$320,"EJ",'METAS EMPRESAS'!$B$15:$B$320,"VIGAS",'METAS EMPRESAS'!$C$15:$C$320,$A147-WEEKDAY($A147,2)+1)</f>
        <v/>
      </c>
      <c r="E147" s="159">
        <f>SUMIFS('METAS EMPRESAS'!$K$15:$K$320,'METAS EMPRESAS'!$A$15:$A$320,"CMM",'METAS EMPRESAS'!$B$15:$B$320,"PREMONTAGEM",'METAS EMPRESAS'!$C$15:$C$320,$A147-WEEKDAY($A147,2)+1)</f>
        <v/>
      </c>
      <c r="F147" s="159">
        <f>SUMIFS('METAS EMPRESAS'!$K$15:$K$320,'METAS EMPRESAS'!$A$15:$A$320,"CMM",'METAS EMPRESAS'!$B$15:$B$320,"IÇAMENTO JOIST",'METAS EMPRESAS'!$C$15:$C$320,$A147-WEEKDAY($A147,2)+1)</f>
        <v/>
      </c>
      <c r="G147" s="159">
        <f>SUMIFS('METAS EMPRESAS'!$K$15:$K$320,'METAS EMPRESAS'!$A$15:$A$320,"CMM",'METAS EMPRESAS'!$B$15:$B$320,"VIGAS",'METAS EMPRESAS'!$C$15:$C$320,$A147-WEEKDAY($A147,2)+1)</f>
        <v/>
      </c>
      <c r="H147" s="159">
        <f>SUMIFS('METAS EMPRESAS'!$G$15:$G$320,'METAS EMPRESAS'!$A$15:$A$320,"EJ",'METAS EMPRESAS'!$B$15:$B$320,"PREMONTAGEM",'METAS EMPRESAS'!$C$15:$C$320,$A147-WEEKDAY($A147,2)+1)</f>
        <v/>
      </c>
      <c r="I147" s="159">
        <f>SUMIFS('METAS EMPRESAS'!$G$15:$G$320,'METAS EMPRESAS'!$A$15:$A$320,"EJ",'METAS EMPRESAS'!$B$15:$B$320,"IÇAMENTO JOIST",'METAS EMPRESAS'!$C$15:$C$320,$A147-WEEKDAY($A147,2)+1)</f>
        <v/>
      </c>
      <c r="J147" s="159">
        <f>SUMIFS('METAS EMPRESAS'!$G$15:$G$320,'METAS EMPRESAS'!$A$15:$A$320,"EJ",'METAS EMPRESAS'!$B$15:$B$320,"VIGAS",'METAS EMPRESAS'!$C$15:$C$320,$A147-WEEKDAY($A147,2)+1)</f>
        <v/>
      </c>
      <c r="K147" s="159">
        <f>SUMIFS('METAS EMPRESAS'!$G$15:$G$320,'METAS EMPRESAS'!$A$15:$A$320,"CMM",'METAS EMPRESAS'!$B$15:$B$320,"PREMONTAGEM",'METAS EMPRESAS'!$C$15:$C$320,$A147-WEEKDAY($A147,2)+1)</f>
        <v/>
      </c>
      <c r="L147" s="159">
        <f>SUMIFS('METAS EMPRESAS'!$G$15:$G$320,'METAS EMPRESAS'!$A$15:$A$320,"CMM",'METAS EMPRESAS'!$B$15:$B$320,"IÇAMENTO JOIST",'METAS EMPRESAS'!$C$15:$C$320,$A147-WEEKDAY($A147,2)+1)</f>
        <v/>
      </c>
      <c r="M147" s="159">
        <f>SUMIFS('METAS EMPRESAS'!$G$15:$G$320,'METAS EMPRESAS'!$A$15:$A$320,"CMM",'METAS EMPRESAS'!$B$15:$B$320,"VIGAS",'METAS EMPRESAS'!$C$15:$C$320,$A147-WEEKDAY($A147,2)+1)</f>
        <v/>
      </c>
      <c r="N147" s="159">
        <f>SUMIFS('METAS EMPRESAS'!$J$15:$J$320,'METAS EMPRESAS'!$A$15:$A$320,"EJ",'METAS EMPRESAS'!$B$15:$B$320,"PREMONTAGEM",'METAS EMPRESAS'!$C$15:$C$320,$A147-WEEKDAY($A147,2)+1)</f>
        <v/>
      </c>
      <c r="O147" s="159">
        <f>SUMIFS('METAS EMPRESAS'!$J$15:$J$320,'METAS EMPRESAS'!$A$15:$A$320,"EJ",'METAS EMPRESAS'!$B$15:$B$320,"IÇAMENTO JOIST",'METAS EMPRESAS'!$C$15:$C$320,$A147-WEEKDAY($A147,2)+1)</f>
        <v/>
      </c>
      <c r="P147" s="159">
        <f>SUMIFS('METAS EMPRESAS'!$J$15:$J$320,'METAS EMPRESAS'!$A$15:$A$320,"EJ",'METAS EMPRESAS'!$B$15:$B$320,"VIGAS",'METAS EMPRESAS'!$C$15:$C$320,$A147-WEEKDAY($A147,2)+1)</f>
        <v/>
      </c>
      <c r="Q147" s="159">
        <f>SUMIFS('METAS EMPRESAS'!$J$15:$J$320,'METAS EMPRESAS'!$A$15:$A$320,"CMM",'METAS EMPRESAS'!$B$15:$B$320,"PREMONTAGEM",'METAS EMPRESAS'!$C$15:$C$320,$A147-WEEKDAY($A147,2)+1)</f>
        <v/>
      </c>
      <c r="R147" s="159">
        <f>SUMIFS('METAS EMPRESAS'!$J$15:$J$320,'METAS EMPRESAS'!$A$15:$A$320,"CMM",'METAS EMPRESAS'!$B$15:$B$320,"IÇAMENTO JOIST",'METAS EMPRESAS'!$C$15:$C$320,$A147-WEEKDAY($A147,2)+1)</f>
        <v/>
      </c>
      <c r="S147" s="159">
        <f>SUMIFS('METAS EMPRESAS'!$J$15:$J$320,'METAS EMPRESAS'!$A$15:$A$320,"CMM",'METAS EMPRESAS'!$B$15:$B$320,"VIGAS",'METAS EMPRESAS'!$C$15:$C$320,$A147-WEEKDAY($A147,2)+1)</f>
        <v/>
      </c>
      <c r="T147">
        <f>--(WEEKDAY(A147,2)&lt;=5)</f>
        <v/>
      </c>
      <c r="U147" t="n">
        <v>19</v>
      </c>
      <c r="V147" t="n">
        <v>7</v>
      </c>
      <c r="W147" t="n">
        <v>0</v>
      </c>
      <c r="X147" t="n">
        <v>5</v>
      </c>
      <c r="Y147" t="n">
        <v>5</v>
      </c>
      <c r="Z147" t="n">
        <v>5</v>
      </c>
      <c r="AA147" t="n">
        <v>95</v>
      </c>
      <c r="AB147" t="n">
        <v>35</v>
      </c>
      <c r="AC147" t="n">
        <v>0</v>
      </c>
    </row>
    <row r="148">
      <c r="A148" s="317" t="n">
        <v>46369</v>
      </c>
      <c r="B148" s="159">
        <f>SUMIFS('METAS EMPRESAS'!$K$15:$K$320,'METAS EMPRESAS'!$A$15:$A$320,"EJ",'METAS EMPRESAS'!$B$15:$B$320,"PREMONTAGEM",'METAS EMPRESAS'!$C$15:$C$320,$A148-WEEKDAY($A148,2)+1)</f>
        <v/>
      </c>
      <c r="C148" s="159">
        <f>SUMIFS('METAS EMPRESAS'!$K$15:$K$320,'METAS EMPRESAS'!$A$15:$A$320,"EJ",'METAS EMPRESAS'!$B$15:$B$320,"IÇAMENTO JOIST",'METAS EMPRESAS'!$C$15:$C$320,$A148-WEEKDAY($A148,2)+1)</f>
        <v/>
      </c>
      <c r="D148" s="159">
        <f>SUMIFS('METAS EMPRESAS'!$K$15:$K$320,'METAS EMPRESAS'!$A$15:$A$320,"EJ",'METAS EMPRESAS'!$B$15:$B$320,"VIGAS",'METAS EMPRESAS'!$C$15:$C$320,$A148-WEEKDAY($A148,2)+1)</f>
        <v/>
      </c>
      <c r="E148" s="159">
        <f>SUMIFS('METAS EMPRESAS'!$K$15:$K$320,'METAS EMPRESAS'!$A$15:$A$320,"CMM",'METAS EMPRESAS'!$B$15:$B$320,"PREMONTAGEM",'METAS EMPRESAS'!$C$15:$C$320,$A148-WEEKDAY($A148,2)+1)</f>
        <v/>
      </c>
      <c r="F148" s="159">
        <f>SUMIFS('METAS EMPRESAS'!$K$15:$K$320,'METAS EMPRESAS'!$A$15:$A$320,"CMM",'METAS EMPRESAS'!$B$15:$B$320,"IÇAMENTO JOIST",'METAS EMPRESAS'!$C$15:$C$320,$A148-WEEKDAY($A148,2)+1)</f>
        <v/>
      </c>
      <c r="G148" s="159">
        <f>SUMIFS('METAS EMPRESAS'!$K$15:$K$320,'METAS EMPRESAS'!$A$15:$A$320,"CMM",'METAS EMPRESAS'!$B$15:$B$320,"VIGAS",'METAS EMPRESAS'!$C$15:$C$320,$A148-WEEKDAY($A148,2)+1)</f>
        <v/>
      </c>
      <c r="H148" s="159">
        <f>SUMIFS('METAS EMPRESAS'!$G$15:$G$320,'METAS EMPRESAS'!$A$15:$A$320,"EJ",'METAS EMPRESAS'!$B$15:$B$320,"PREMONTAGEM",'METAS EMPRESAS'!$C$15:$C$320,$A148-WEEKDAY($A148,2)+1)</f>
        <v/>
      </c>
      <c r="I148" s="159">
        <f>SUMIFS('METAS EMPRESAS'!$G$15:$G$320,'METAS EMPRESAS'!$A$15:$A$320,"EJ",'METAS EMPRESAS'!$B$15:$B$320,"IÇAMENTO JOIST",'METAS EMPRESAS'!$C$15:$C$320,$A148-WEEKDAY($A148,2)+1)</f>
        <v/>
      </c>
      <c r="J148" s="159">
        <f>SUMIFS('METAS EMPRESAS'!$G$15:$G$320,'METAS EMPRESAS'!$A$15:$A$320,"EJ",'METAS EMPRESAS'!$B$15:$B$320,"VIGAS",'METAS EMPRESAS'!$C$15:$C$320,$A148-WEEKDAY($A148,2)+1)</f>
        <v/>
      </c>
      <c r="K148" s="159">
        <f>SUMIFS('METAS EMPRESAS'!$G$15:$G$320,'METAS EMPRESAS'!$A$15:$A$320,"CMM",'METAS EMPRESAS'!$B$15:$B$320,"PREMONTAGEM",'METAS EMPRESAS'!$C$15:$C$320,$A148-WEEKDAY($A148,2)+1)</f>
        <v/>
      </c>
      <c r="L148" s="159">
        <f>SUMIFS('METAS EMPRESAS'!$G$15:$G$320,'METAS EMPRESAS'!$A$15:$A$320,"CMM",'METAS EMPRESAS'!$B$15:$B$320,"IÇAMENTO JOIST",'METAS EMPRESAS'!$C$15:$C$320,$A148-WEEKDAY($A148,2)+1)</f>
        <v/>
      </c>
      <c r="M148" s="159">
        <f>SUMIFS('METAS EMPRESAS'!$G$15:$G$320,'METAS EMPRESAS'!$A$15:$A$320,"CMM",'METAS EMPRESAS'!$B$15:$B$320,"VIGAS",'METAS EMPRESAS'!$C$15:$C$320,$A148-WEEKDAY($A148,2)+1)</f>
        <v/>
      </c>
      <c r="N148" s="159">
        <f>SUMIFS('METAS EMPRESAS'!$J$15:$J$320,'METAS EMPRESAS'!$A$15:$A$320,"EJ",'METAS EMPRESAS'!$B$15:$B$320,"PREMONTAGEM",'METAS EMPRESAS'!$C$15:$C$320,$A148-WEEKDAY($A148,2)+1)</f>
        <v/>
      </c>
      <c r="O148" s="159">
        <f>SUMIFS('METAS EMPRESAS'!$J$15:$J$320,'METAS EMPRESAS'!$A$15:$A$320,"EJ",'METAS EMPRESAS'!$B$15:$B$320,"IÇAMENTO JOIST",'METAS EMPRESAS'!$C$15:$C$320,$A148-WEEKDAY($A148,2)+1)</f>
        <v/>
      </c>
      <c r="P148" s="159">
        <f>SUMIFS('METAS EMPRESAS'!$J$15:$J$320,'METAS EMPRESAS'!$A$15:$A$320,"EJ",'METAS EMPRESAS'!$B$15:$B$320,"VIGAS",'METAS EMPRESAS'!$C$15:$C$320,$A148-WEEKDAY($A148,2)+1)</f>
        <v/>
      </c>
      <c r="Q148" s="159">
        <f>SUMIFS('METAS EMPRESAS'!$J$15:$J$320,'METAS EMPRESAS'!$A$15:$A$320,"CMM",'METAS EMPRESAS'!$B$15:$B$320,"PREMONTAGEM",'METAS EMPRESAS'!$C$15:$C$320,$A148-WEEKDAY($A148,2)+1)</f>
        <v/>
      </c>
      <c r="R148" s="159">
        <f>SUMIFS('METAS EMPRESAS'!$J$15:$J$320,'METAS EMPRESAS'!$A$15:$A$320,"CMM",'METAS EMPRESAS'!$B$15:$B$320,"IÇAMENTO JOIST",'METAS EMPRESAS'!$C$15:$C$320,$A148-WEEKDAY($A148,2)+1)</f>
        <v/>
      </c>
      <c r="S148" s="159">
        <f>SUMIFS('METAS EMPRESAS'!$J$15:$J$320,'METAS EMPRESAS'!$A$15:$A$320,"CMM",'METAS EMPRESAS'!$B$15:$B$320,"VIGAS",'METAS EMPRESAS'!$C$15:$C$320,$A148-WEEKDAY($A148,2)+1)</f>
        <v/>
      </c>
      <c r="T148">
        <f>--(WEEKDAY(A148,2)&lt;=5)</f>
        <v/>
      </c>
      <c r="U148" t="n">
        <v>19</v>
      </c>
      <c r="V148" t="n">
        <v>7</v>
      </c>
      <c r="W148" t="n">
        <v>0</v>
      </c>
      <c r="X148" t="n">
        <v>5</v>
      </c>
      <c r="Y148" t="n">
        <v>5</v>
      </c>
      <c r="Z148" t="n">
        <v>5</v>
      </c>
      <c r="AA148" t="n">
        <v>95</v>
      </c>
      <c r="AB148" t="n">
        <v>35</v>
      </c>
      <c r="AC148" t="n">
        <v>0</v>
      </c>
    </row>
    <row r="149">
      <c r="A149" s="317" t="n">
        <v>46370</v>
      </c>
      <c r="B149" s="159">
        <f>SUMIFS('METAS EMPRESAS'!$K$15:$K$320,'METAS EMPRESAS'!$A$15:$A$320,"EJ",'METAS EMPRESAS'!$B$15:$B$320,"PREMONTAGEM",'METAS EMPRESAS'!$C$15:$C$320,$A149-WEEKDAY($A149,2)+1)</f>
        <v/>
      </c>
      <c r="C149" s="159">
        <f>SUMIFS('METAS EMPRESAS'!$K$15:$K$320,'METAS EMPRESAS'!$A$15:$A$320,"EJ",'METAS EMPRESAS'!$B$15:$B$320,"IÇAMENTO JOIST",'METAS EMPRESAS'!$C$15:$C$320,$A149-WEEKDAY($A149,2)+1)</f>
        <v/>
      </c>
      <c r="D149" s="159">
        <f>SUMIFS('METAS EMPRESAS'!$K$15:$K$320,'METAS EMPRESAS'!$A$15:$A$320,"EJ",'METAS EMPRESAS'!$B$15:$B$320,"VIGAS",'METAS EMPRESAS'!$C$15:$C$320,$A149-WEEKDAY($A149,2)+1)</f>
        <v/>
      </c>
      <c r="E149" s="159">
        <f>SUMIFS('METAS EMPRESAS'!$K$15:$K$320,'METAS EMPRESAS'!$A$15:$A$320,"CMM",'METAS EMPRESAS'!$B$15:$B$320,"PREMONTAGEM",'METAS EMPRESAS'!$C$15:$C$320,$A149-WEEKDAY($A149,2)+1)</f>
        <v/>
      </c>
      <c r="F149" s="159">
        <f>SUMIFS('METAS EMPRESAS'!$K$15:$K$320,'METAS EMPRESAS'!$A$15:$A$320,"CMM",'METAS EMPRESAS'!$B$15:$B$320,"IÇAMENTO JOIST",'METAS EMPRESAS'!$C$15:$C$320,$A149-WEEKDAY($A149,2)+1)</f>
        <v/>
      </c>
      <c r="G149" s="159">
        <f>SUMIFS('METAS EMPRESAS'!$K$15:$K$320,'METAS EMPRESAS'!$A$15:$A$320,"CMM",'METAS EMPRESAS'!$B$15:$B$320,"VIGAS",'METAS EMPRESAS'!$C$15:$C$320,$A149-WEEKDAY($A149,2)+1)</f>
        <v/>
      </c>
      <c r="H149" s="159">
        <f>SUMIFS('METAS EMPRESAS'!$G$15:$G$320,'METAS EMPRESAS'!$A$15:$A$320,"EJ",'METAS EMPRESAS'!$B$15:$B$320,"PREMONTAGEM",'METAS EMPRESAS'!$C$15:$C$320,$A149-WEEKDAY($A149,2)+1)</f>
        <v/>
      </c>
      <c r="I149" s="159">
        <f>SUMIFS('METAS EMPRESAS'!$G$15:$G$320,'METAS EMPRESAS'!$A$15:$A$320,"EJ",'METAS EMPRESAS'!$B$15:$B$320,"IÇAMENTO JOIST",'METAS EMPRESAS'!$C$15:$C$320,$A149-WEEKDAY($A149,2)+1)</f>
        <v/>
      </c>
      <c r="J149" s="159">
        <f>SUMIFS('METAS EMPRESAS'!$G$15:$G$320,'METAS EMPRESAS'!$A$15:$A$320,"EJ",'METAS EMPRESAS'!$B$15:$B$320,"VIGAS",'METAS EMPRESAS'!$C$15:$C$320,$A149-WEEKDAY($A149,2)+1)</f>
        <v/>
      </c>
      <c r="K149" s="159">
        <f>SUMIFS('METAS EMPRESAS'!$G$15:$G$320,'METAS EMPRESAS'!$A$15:$A$320,"CMM",'METAS EMPRESAS'!$B$15:$B$320,"PREMONTAGEM",'METAS EMPRESAS'!$C$15:$C$320,$A149-WEEKDAY($A149,2)+1)</f>
        <v/>
      </c>
      <c r="L149" s="159">
        <f>SUMIFS('METAS EMPRESAS'!$G$15:$G$320,'METAS EMPRESAS'!$A$15:$A$320,"CMM",'METAS EMPRESAS'!$B$15:$B$320,"IÇAMENTO JOIST",'METAS EMPRESAS'!$C$15:$C$320,$A149-WEEKDAY($A149,2)+1)</f>
        <v/>
      </c>
      <c r="M149" s="159">
        <f>SUMIFS('METAS EMPRESAS'!$G$15:$G$320,'METAS EMPRESAS'!$A$15:$A$320,"CMM",'METAS EMPRESAS'!$B$15:$B$320,"VIGAS",'METAS EMPRESAS'!$C$15:$C$320,$A149-WEEKDAY($A149,2)+1)</f>
        <v/>
      </c>
      <c r="N149" s="159">
        <f>SUMIFS('METAS EMPRESAS'!$J$15:$J$320,'METAS EMPRESAS'!$A$15:$A$320,"EJ",'METAS EMPRESAS'!$B$15:$B$320,"PREMONTAGEM",'METAS EMPRESAS'!$C$15:$C$320,$A149-WEEKDAY($A149,2)+1)</f>
        <v/>
      </c>
      <c r="O149" s="159">
        <f>SUMIFS('METAS EMPRESAS'!$J$15:$J$320,'METAS EMPRESAS'!$A$15:$A$320,"EJ",'METAS EMPRESAS'!$B$15:$B$320,"IÇAMENTO JOIST",'METAS EMPRESAS'!$C$15:$C$320,$A149-WEEKDAY($A149,2)+1)</f>
        <v/>
      </c>
      <c r="P149" s="159">
        <f>SUMIFS('METAS EMPRESAS'!$J$15:$J$320,'METAS EMPRESAS'!$A$15:$A$320,"EJ",'METAS EMPRESAS'!$B$15:$B$320,"VIGAS",'METAS EMPRESAS'!$C$15:$C$320,$A149-WEEKDAY($A149,2)+1)</f>
        <v/>
      </c>
      <c r="Q149" s="159">
        <f>SUMIFS('METAS EMPRESAS'!$J$15:$J$320,'METAS EMPRESAS'!$A$15:$A$320,"CMM",'METAS EMPRESAS'!$B$15:$B$320,"PREMONTAGEM",'METAS EMPRESAS'!$C$15:$C$320,$A149-WEEKDAY($A149,2)+1)</f>
        <v/>
      </c>
      <c r="R149" s="159">
        <f>SUMIFS('METAS EMPRESAS'!$J$15:$J$320,'METAS EMPRESAS'!$A$15:$A$320,"CMM",'METAS EMPRESAS'!$B$15:$B$320,"IÇAMENTO JOIST",'METAS EMPRESAS'!$C$15:$C$320,$A149-WEEKDAY($A149,2)+1)</f>
        <v/>
      </c>
      <c r="S149" s="159">
        <f>SUMIFS('METAS EMPRESAS'!$J$15:$J$320,'METAS EMPRESAS'!$A$15:$A$320,"CMM",'METAS EMPRESAS'!$B$15:$B$320,"VIGAS",'METAS EMPRESAS'!$C$15:$C$320,$A149-WEEKDAY($A149,2)+1)</f>
        <v/>
      </c>
      <c r="T149">
        <f>--(WEEKDAY(A149,2)&lt;=5)</f>
        <v/>
      </c>
      <c r="U149" t="n">
        <v>19</v>
      </c>
      <c r="V149" t="n">
        <v>7</v>
      </c>
      <c r="W149" t="n">
        <v>0</v>
      </c>
      <c r="X149" t="n">
        <v>5</v>
      </c>
      <c r="Y149" t="n">
        <v>5</v>
      </c>
      <c r="Z149" t="n">
        <v>5</v>
      </c>
      <c r="AA149" t="n">
        <v>95</v>
      </c>
      <c r="AB149" t="n">
        <v>35</v>
      </c>
      <c r="AC149" t="n">
        <v>0</v>
      </c>
    </row>
    <row r="150">
      <c r="A150" s="317" t="n">
        <v>46371</v>
      </c>
      <c r="B150" s="159">
        <f>SUMIFS('METAS EMPRESAS'!$K$15:$K$320,'METAS EMPRESAS'!$A$15:$A$320,"EJ",'METAS EMPRESAS'!$B$15:$B$320,"PREMONTAGEM",'METAS EMPRESAS'!$C$15:$C$320,$A150-WEEKDAY($A150,2)+1)</f>
        <v/>
      </c>
      <c r="C150" s="159">
        <f>SUMIFS('METAS EMPRESAS'!$K$15:$K$320,'METAS EMPRESAS'!$A$15:$A$320,"EJ",'METAS EMPRESAS'!$B$15:$B$320,"IÇAMENTO JOIST",'METAS EMPRESAS'!$C$15:$C$320,$A150-WEEKDAY($A150,2)+1)</f>
        <v/>
      </c>
      <c r="D150" s="159">
        <f>SUMIFS('METAS EMPRESAS'!$K$15:$K$320,'METAS EMPRESAS'!$A$15:$A$320,"EJ",'METAS EMPRESAS'!$B$15:$B$320,"VIGAS",'METAS EMPRESAS'!$C$15:$C$320,$A150-WEEKDAY($A150,2)+1)</f>
        <v/>
      </c>
      <c r="E150" s="159">
        <f>SUMIFS('METAS EMPRESAS'!$K$15:$K$320,'METAS EMPRESAS'!$A$15:$A$320,"CMM",'METAS EMPRESAS'!$B$15:$B$320,"PREMONTAGEM",'METAS EMPRESAS'!$C$15:$C$320,$A150-WEEKDAY($A150,2)+1)</f>
        <v/>
      </c>
      <c r="F150" s="159">
        <f>SUMIFS('METAS EMPRESAS'!$K$15:$K$320,'METAS EMPRESAS'!$A$15:$A$320,"CMM",'METAS EMPRESAS'!$B$15:$B$320,"IÇAMENTO JOIST",'METAS EMPRESAS'!$C$15:$C$320,$A150-WEEKDAY($A150,2)+1)</f>
        <v/>
      </c>
      <c r="G150" s="159">
        <f>SUMIFS('METAS EMPRESAS'!$K$15:$K$320,'METAS EMPRESAS'!$A$15:$A$320,"CMM",'METAS EMPRESAS'!$B$15:$B$320,"VIGAS",'METAS EMPRESAS'!$C$15:$C$320,$A150-WEEKDAY($A150,2)+1)</f>
        <v/>
      </c>
      <c r="H150" s="159">
        <f>SUMIFS('METAS EMPRESAS'!$G$15:$G$320,'METAS EMPRESAS'!$A$15:$A$320,"EJ",'METAS EMPRESAS'!$B$15:$B$320,"PREMONTAGEM",'METAS EMPRESAS'!$C$15:$C$320,$A150-WEEKDAY($A150,2)+1)</f>
        <v/>
      </c>
      <c r="I150" s="159">
        <f>SUMIFS('METAS EMPRESAS'!$G$15:$G$320,'METAS EMPRESAS'!$A$15:$A$320,"EJ",'METAS EMPRESAS'!$B$15:$B$320,"IÇAMENTO JOIST",'METAS EMPRESAS'!$C$15:$C$320,$A150-WEEKDAY($A150,2)+1)</f>
        <v/>
      </c>
      <c r="J150" s="159">
        <f>SUMIFS('METAS EMPRESAS'!$G$15:$G$320,'METAS EMPRESAS'!$A$15:$A$320,"EJ",'METAS EMPRESAS'!$B$15:$B$320,"VIGAS",'METAS EMPRESAS'!$C$15:$C$320,$A150-WEEKDAY($A150,2)+1)</f>
        <v/>
      </c>
      <c r="K150" s="159">
        <f>SUMIFS('METAS EMPRESAS'!$G$15:$G$320,'METAS EMPRESAS'!$A$15:$A$320,"CMM",'METAS EMPRESAS'!$B$15:$B$320,"PREMONTAGEM",'METAS EMPRESAS'!$C$15:$C$320,$A150-WEEKDAY($A150,2)+1)</f>
        <v/>
      </c>
      <c r="L150" s="159">
        <f>SUMIFS('METAS EMPRESAS'!$G$15:$G$320,'METAS EMPRESAS'!$A$15:$A$320,"CMM",'METAS EMPRESAS'!$B$15:$B$320,"IÇAMENTO JOIST",'METAS EMPRESAS'!$C$15:$C$320,$A150-WEEKDAY($A150,2)+1)</f>
        <v/>
      </c>
      <c r="M150" s="159">
        <f>SUMIFS('METAS EMPRESAS'!$G$15:$G$320,'METAS EMPRESAS'!$A$15:$A$320,"CMM",'METAS EMPRESAS'!$B$15:$B$320,"VIGAS",'METAS EMPRESAS'!$C$15:$C$320,$A150-WEEKDAY($A150,2)+1)</f>
        <v/>
      </c>
      <c r="N150" s="159">
        <f>SUMIFS('METAS EMPRESAS'!$J$15:$J$320,'METAS EMPRESAS'!$A$15:$A$320,"EJ",'METAS EMPRESAS'!$B$15:$B$320,"PREMONTAGEM",'METAS EMPRESAS'!$C$15:$C$320,$A150-WEEKDAY($A150,2)+1)</f>
        <v/>
      </c>
      <c r="O150" s="159">
        <f>SUMIFS('METAS EMPRESAS'!$J$15:$J$320,'METAS EMPRESAS'!$A$15:$A$320,"EJ",'METAS EMPRESAS'!$B$15:$B$320,"IÇAMENTO JOIST",'METAS EMPRESAS'!$C$15:$C$320,$A150-WEEKDAY($A150,2)+1)</f>
        <v/>
      </c>
      <c r="P150" s="159">
        <f>SUMIFS('METAS EMPRESAS'!$J$15:$J$320,'METAS EMPRESAS'!$A$15:$A$320,"EJ",'METAS EMPRESAS'!$B$15:$B$320,"VIGAS",'METAS EMPRESAS'!$C$15:$C$320,$A150-WEEKDAY($A150,2)+1)</f>
        <v/>
      </c>
      <c r="Q150" s="159">
        <f>SUMIFS('METAS EMPRESAS'!$J$15:$J$320,'METAS EMPRESAS'!$A$15:$A$320,"CMM",'METAS EMPRESAS'!$B$15:$B$320,"PREMONTAGEM",'METAS EMPRESAS'!$C$15:$C$320,$A150-WEEKDAY($A150,2)+1)</f>
        <v/>
      </c>
      <c r="R150" s="159">
        <f>SUMIFS('METAS EMPRESAS'!$J$15:$J$320,'METAS EMPRESAS'!$A$15:$A$320,"CMM",'METAS EMPRESAS'!$B$15:$B$320,"IÇAMENTO JOIST",'METAS EMPRESAS'!$C$15:$C$320,$A150-WEEKDAY($A150,2)+1)</f>
        <v/>
      </c>
      <c r="S150" s="159">
        <f>SUMIFS('METAS EMPRESAS'!$J$15:$J$320,'METAS EMPRESAS'!$A$15:$A$320,"CMM",'METAS EMPRESAS'!$B$15:$B$320,"VIGAS",'METAS EMPRESAS'!$C$15:$C$320,$A150-WEEKDAY($A150,2)+1)</f>
        <v/>
      </c>
      <c r="T150">
        <f>--(WEEKDAY(A150,2)&lt;=5)</f>
        <v/>
      </c>
      <c r="U150" t="n">
        <v>19</v>
      </c>
      <c r="V150" t="n">
        <v>7</v>
      </c>
      <c r="W150" t="n">
        <v>0</v>
      </c>
      <c r="X150" t="n">
        <v>5</v>
      </c>
      <c r="Y150" t="n">
        <v>5</v>
      </c>
      <c r="Z150" t="n">
        <v>5</v>
      </c>
      <c r="AA150" t="n">
        <v>95</v>
      </c>
      <c r="AB150" t="n">
        <v>35</v>
      </c>
      <c r="AC150" t="n">
        <v>0</v>
      </c>
    </row>
    <row r="151">
      <c r="A151" s="317" t="n">
        <v>46372</v>
      </c>
      <c r="B151" s="159">
        <f>SUMIFS('METAS EMPRESAS'!$K$15:$K$320,'METAS EMPRESAS'!$A$15:$A$320,"EJ",'METAS EMPRESAS'!$B$15:$B$320,"PREMONTAGEM",'METAS EMPRESAS'!$C$15:$C$320,$A151-WEEKDAY($A151,2)+1)</f>
        <v/>
      </c>
      <c r="C151" s="159">
        <f>SUMIFS('METAS EMPRESAS'!$K$15:$K$320,'METAS EMPRESAS'!$A$15:$A$320,"EJ",'METAS EMPRESAS'!$B$15:$B$320,"IÇAMENTO JOIST",'METAS EMPRESAS'!$C$15:$C$320,$A151-WEEKDAY($A151,2)+1)</f>
        <v/>
      </c>
      <c r="D151" s="159">
        <f>SUMIFS('METAS EMPRESAS'!$K$15:$K$320,'METAS EMPRESAS'!$A$15:$A$320,"EJ",'METAS EMPRESAS'!$B$15:$B$320,"VIGAS",'METAS EMPRESAS'!$C$15:$C$320,$A151-WEEKDAY($A151,2)+1)</f>
        <v/>
      </c>
      <c r="E151" s="159">
        <f>SUMIFS('METAS EMPRESAS'!$K$15:$K$320,'METAS EMPRESAS'!$A$15:$A$320,"CMM",'METAS EMPRESAS'!$B$15:$B$320,"PREMONTAGEM",'METAS EMPRESAS'!$C$15:$C$320,$A151-WEEKDAY($A151,2)+1)</f>
        <v/>
      </c>
      <c r="F151" s="159">
        <f>SUMIFS('METAS EMPRESAS'!$K$15:$K$320,'METAS EMPRESAS'!$A$15:$A$320,"CMM",'METAS EMPRESAS'!$B$15:$B$320,"IÇAMENTO JOIST",'METAS EMPRESAS'!$C$15:$C$320,$A151-WEEKDAY($A151,2)+1)</f>
        <v/>
      </c>
      <c r="G151" s="159">
        <f>SUMIFS('METAS EMPRESAS'!$K$15:$K$320,'METAS EMPRESAS'!$A$15:$A$320,"CMM",'METAS EMPRESAS'!$B$15:$B$320,"VIGAS",'METAS EMPRESAS'!$C$15:$C$320,$A151-WEEKDAY($A151,2)+1)</f>
        <v/>
      </c>
      <c r="H151" s="159">
        <f>SUMIFS('METAS EMPRESAS'!$G$15:$G$320,'METAS EMPRESAS'!$A$15:$A$320,"EJ",'METAS EMPRESAS'!$B$15:$B$320,"PREMONTAGEM",'METAS EMPRESAS'!$C$15:$C$320,$A151-WEEKDAY($A151,2)+1)</f>
        <v/>
      </c>
      <c r="I151" s="159">
        <f>SUMIFS('METAS EMPRESAS'!$G$15:$G$320,'METAS EMPRESAS'!$A$15:$A$320,"EJ",'METAS EMPRESAS'!$B$15:$B$320,"IÇAMENTO JOIST",'METAS EMPRESAS'!$C$15:$C$320,$A151-WEEKDAY($A151,2)+1)</f>
        <v/>
      </c>
      <c r="J151" s="159">
        <f>SUMIFS('METAS EMPRESAS'!$G$15:$G$320,'METAS EMPRESAS'!$A$15:$A$320,"EJ",'METAS EMPRESAS'!$B$15:$B$320,"VIGAS",'METAS EMPRESAS'!$C$15:$C$320,$A151-WEEKDAY($A151,2)+1)</f>
        <v/>
      </c>
      <c r="K151" s="159">
        <f>SUMIFS('METAS EMPRESAS'!$G$15:$G$320,'METAS EMPRESAS'!$A$15:$A$320,"CMM",'METAS EMPRESAS'!$B$15:$B$320,"PREMONTAGEM",'METAS EMPRESAS'!$C$15:$C$320,$A151-WEEKDAY($A151,2)+1)</f>
        <v/>
      </c>
      <c r="L151" s="159">
        <f>SUMIFS('METAS EMPRESAS'!$G$15:$G$320,'METAS EMPRESAS'!$A$15:$A$320,"CMM",'METAS EMPRESAS'!$B$15:$B$320,"IÇAMENTO JOIST",'METAS EMPRESAS'!$C$15:$C$320,$A151-WEEKDAY($A151,2)+1)</f>
        <v/>
      </c>
      <c r="M151" s="159">
        <f>SUMIFS('METAS EMPRESAS'!$G$15:$G$320,'METAS EMPRESAS'!$A$15:$A$320,"CMM",'METAS EMPRESAS'!$B$15:$B$320,"VIGAS",'METAS EMPRESAS'!$C$15:$C$320,$A151-WEEKDAY($A151,2)+1)</f>
        <v/>
      </c>
      <c r="N151" s="159">
        <f>SUMIFS('METAS EMPRESAS'!$J$15:$J$320,'METAS EMPRESAS'!$A$15:$A$320,"EJ",'METAS EMPRESAS'!$B$15:$B$320,"PREMONTAGEM",'METAS EMPRESAS'!$C$15:$C$320,$A151-WEEKDAY($A151,2)+1)</f>
        <v/>
      </c>
      <c r="O151" s="159">
        <f>SUMIFS('METAS EMPRESAS'!$J$15:$J$320,'METAS EMPRESAS'!$A$15:$A$320,"EJ",'METAS EMPRESAS'!$B$15:$B$320,"IÇAMENTO JOIST",'METAS EMPRESAS'!$C$15:$C$320,$A151-WEEKDAY($A151,2)+1)</f>
        <v/>
      </c>
      <c r="P151" s="159">
        <f>SUMIFS('METAS EMPRESAS'!$J$15:$J$320,'METAS EMPRESAS'!$A$15:$A$320,"EJ",'METAS EMPRESAS'!$B$15:$B$320,"VIGAS",'METAS EMPRESAS'!$C$15:$C$320,$A151-WEEKDAY($A151,2)+1)</f>
        <v/>
      </c>
      <c r="Q151" s="159">
        <f>SUMIFS('METAS EMPRESAS'!$J$15:$J$320,'METAS EMPRESAS'!$A$15:$A$320,"CMM",'METAS EMPRESAS'!$B$15:$B$320,"PREMONTAGEM",'METAS EMPRESAS'!$C$15:$C$320,$A151-WEEKDAY($A151,2)+1)</f>
        <v/>
      </c>
      <c r="R151" s="159">
        <f>SUMIFS('METAS EMPRESAS'!$J$15:$J$320,'METAS EMPRESAS'!$A$15:$A$320,"CMM",'METAS EMPRESAS'!$B$15:$B$320,"IÇAMENTO JOIST",'METAS EMPRESAS'!$C$15:$C$320,$A151-WEEKDAY($A151,2)+1)</f>
        <v/>
      </c>
      <c r="S151" s="159">
        <f>SUMIFS('METAS EMPRESAS'!$J$15:$J$320,'METAS EMPRESAS'!$A$15:$A$320,"CMM",'METAS EMPRESAS'!$B$15:$B$320,"VIGAS",'METAS EMPRESAS'!$C$15:$C$320,$A151-WEEKDAY($A151,2)+1)</f>
        <v/>
      </c>
      <c r="T151">
        <f>--(WEEKDAY(A151,2)&lt;=5)</f>
        <v/>
      </c>
      <c r="U151" t="n">
        <v>19</v>
      </c>
      <c r="V151" t="n">
        <v>7</v>
      </c>
      <c r="W151" t="n">
        <v>0</v>
      </c>
      <c r="X151" t="n">
        <v>5</v>
      </c>
      <c r="Y151" t="n">
        <v>5</v>
      </c>
      <c r="Z151" t="n">
        <v>5</v>
      </c>
      <c r="AA151" t="n">
        <v>95</v>
      </c>
      <c r="AB151" t="n">
        <v>35</v>
      </c>
      <c r="AC151" t="n">
        <v>0</v>
      </c>
    </row>
    <row r="152">
      <c r="A152" s="317" t="n">
        <v>46373</v>
      </c>
      <c r="B152" s="159">
        <f>SUMIFS('METAS EMPRESAS'!$K$15:$K$320,'METAS EMPRESAS'!$A$15:$A$320,"EJ",'METAS EMPRESAS'!$B$15:$B$320,"PREMONTAGEM",'METAS EMPRESAS'!$C$15:$C$320,$A152-WEEKDAY($A152,2)+1)</f>
        <v/>
      </c>
      <c r="C152" s="159">
        <f>SUMIFS('METAS EMPRESAS'!$K$15:$K$320,'METAS EMPRESAS'!$A$15:$A$320,"EJ",'METAS EMPRESAS'!$B$15:$B$320,"IÇAMENTO JOIST",'METAS EMPRESAS'!$C$15:$C$320,$A152-WEEKDAY($A152,2)+1)</f>
        <v/>
      </c>
      <c r="D152" s="159">
        <f>SUMIFS('METAS EMPRESAS'!$K$15:$K$320,'METAS EMPRESAS'!$A$15:$A$320,"EJ",'METAS EMPRESAS'!$B$15:$B$320,"VIGAS",'METAS EMPRESAS'!$C$15:$C$320,$A152-WEEKDAY($A152,2)+1)</f>
        <v/>
      </c>
      <c r="E152" s="159">
        <f>SUMIFS('METAS EMPRESAS'!$K$15:$K$320,'METAS EMPRESAS'!$A$15:$A$320,"CMM",'METAS EMPRESAS'!$B$15:$B$320,"PREMONTAGEM",'METAS EMPRESAS'!$C$15:$C$320,$A152-WEEKDAY($A152,2)+1)</f>
        <v/>
      </c>
      <c r="F152" s="159">
        <f>SUMIFS('METAS EMPRESAS'!$K$15:$K$320,'METAS EMPRESAS'!$A$15:$A$320,"CMM",'METAS EMPRESAS'!$B$15:$B$320,"IÇAMENTO JOIST",'METAS EMPRESAS'!$C$15:$C$320,$A152-WEEKDAY($A152,2)+1)</f>
        <v/>
      </c>
      <c r="G152" s="159">
        <f>SUMIFS('METAS EMPRESAS'!$K$15:$K$320,'METAS EMPRESAS'!$A$15:$A$320,"CMM",'METAS EMPRESAS'!$B$15:$B$320,"VIGAS",'METAS EMPRESAS'!$C$15:$C$320,$A152-WEEKDAY($A152,2)+1)</f>
        <v/>
      </c>
      <c r="H152" s="159">
        <f>SUMIFS('METAS EMPRESAS'!$G$15:$G$320,'METAS EMPRESAS'!$A$15:$A$320,"EJ",'METAS EMPRESAS'!$B$15:$B$320,"PREMONTAGEM",'METAS EMPRESAS'!$C$15:$C$320,$A152-WEEKDAY($A152,2)+1)</f>
        <v/>
      </c>
      <c r="I152" s="159">
        <f>SUMIFS('METAS EMPRESAS'!$G$15:$G$320,'METAS EMPRESAS'!$A$15:$A$320,"EJ",'METAS EMPRESAS'!$B$15:$B$320,"IÇAMENTO JOIST",'METAS EMPRESAS'!$C$15:$C$320,$A152-WEEKDAY($A152,2)+1)</f>
        <v/>
      </c>
      <c r="J152" s="159">
        <f>SUMIFS('METAS EMPRESAS'!$G$15:$G$320,'METAS EMPRESAS'!$A$15:$A$320,"EJ",'METAS EMPRESAS'!$B$15:$B$320,"VIGAS",'METAS EMPRESAS'!$C$15:$C$320,$A152-WEEKDAY($A152,2)+1)</f>
        <v/>
      </c>
      <c r="K152" s="159">
        <f>SUMIFS('METAS EMPRESAS'!$G$15:$G$320,'METAS EMPRESAS'!$A$15:$A$320,"CMM",'METAS EMPRESAS'!$B$15:$B$320,"PREMONTAGEM",'METAS EMPRESAS'!$C$15:$C$320,$A152-WEEKDAY($A152,2)+1)</f>
        <v/>
      </c>
      <c r="L152" s="159">
        <f>SUMIFS('METAS EMPRESAS'!$G$15:$G$320,'METAS EMPRESAS'!$A$15:$A$320,"CMM",'METAS EMPRESAS'!$B$15:$B$320,"IÇAMENTO JOIST",'METAS EMPRESAS'!$C$15:$C$320,$A152-WEEKDAY($A152,2)+1)</f>
        <v/>
      </c>
      <c r="M152" s="159">
        <f>SUMIFS('METAS EMPRESAS'!$G$15:$G$320,'METAS EMPRESAS'!$A$15:$A$320,"CMM",'METAS EMPRESAS'!$B$15:$B$320,"VIGAS",'METAS EMPRESAS'!$C$15:$C$320,$A152-WEEKDAY($A152,2)+1)</f>
        <v/>
      </c>
      <c r="N152" s="159">
        <f>SUMIFS('METAS EMPRESAS'!$J$15:$J$320,'METAS EMPRESAS'!$A$15:$A$320,"EJ",'METAS EMPRESAS'!$B$15:$B$320,"PREMONTAGEM",'METAS EMPRESAS'!$C$15:$C$320,$A152-WEEKDAY($A152,2)+1)</f>
        <v/>
      </c>
      <c r="O152" s="159">
        <f>SUMIFS('METAS EMPRESAS'!$J$15:$J$320,'METAS EMPRESAS'!$A$15:$A$320,"EJ",'METAS EMPRESAS'!$B$15:$B$320,"IÇAMENTO JOIST",'METAS EMPRESAS'!$C$15:$C$320,$A152-WEEKDAY($A152,2)+1)</f>
        <v/>
      </c>
      <c r="P152" s="159">
        <f>SUMIFS('METAS EMPRESAS'!$J$15:$J$320,'METAS EMPRESAS'!$A$15:$A$320,"EJ",'METAS EMPRESAS'!$B$15:$B$320,"VIGAS",'METAS EMPRESAS'!$C$15:$C$320,$A152-WEEKDAY($A152,2)+1)</f>
        <v/>
      </c>
      <c r="Q152" s="159">
        <f>SUMIFS('METAS EMPRESAS'!$J$15:$J$320,'METAS EMPRESAS'!$A$15:$A$320,"CMM",'METAS EMPRESAS'!$B$15:$B$320,"PREMONTAGEM",'METAS EMPRESAS'!$C$15:$C$320,$A152-WEEKDAY($A152,2)+1)</f>
        <v/>
      </c>
      <c r="R152" s="159">
        <f>SUMIFS('METAS EMPRESAS'!$J$15:$J$320,'METAS EMPRESAS'!$A$15:$A$320,"CMM",'METAS EMPRESAS'!$B$15:$B$320,"IÇAMENTO JOIST",'METAS EMPRESAS'!$C$15:$C$320,$A152-WEEKDAY($A152,2)+1)</f>
        <v/>
      </c>
      <c r="S152" s="159">
        <f>SUMIFS('METAS EMPRESAS'!$J$15:$J$320,'METAS EMPRESAS'!$A$15:$A$320,"CMM",'METAS EMPRESAS'!$B$15:$B$320,"VIGAS",'METAS EMPRESAS'!$C$15:$C$320,$A152-WEEKDAY($A152,2)+1)</f>
        <v/>
      </c>
      <c r="T152">
        <f>--(WEEKDAY(A152,2)&lt;=5)</f>
        <v/>
      </c>
      <c r="U152" t="n">
        <v>19</v>
      </c>
      <c r="V152" t="n">
        <v>7</v>
      </c>
      <c r="W152" t="n">
        <v>0</v>
      </c>
      <c r="X152" t="n">
        <v>5</v>
      </c>
      <c r="Y152" t="n">
        <v>5</v>
      </c>
      <c r="Z152" t="n">
        <v>5</v>
      </c>
      <c r="AA152" t="n">
        <v>95</v>
      </c>
      <c r="AB152" t="n">
        <v>35</v>
      </c>
      <c r="AC152" t="n">
        <v>0</v>
      </c>
    </row>
    <row r="153">
      <c r="A153" s="317" t="n">
        <v>46374</v>
      </c>
      <c r="B153" s="159">
        <f>SUMIFS('METAS EMPRESAS'!$K$15:$K$320,'METAS EMPRESAS'!$A$15:$A$320,"EJ",'METAS EMPRESAS'!$B$15:$B$320,"PREMONTAGEM",'METAS EMPRESAS'!$C$15:$C$320,$A153-WEEKDAY($A153,2)+1)</f>
        <v/>
      </c>
      <c r="C153" s="159">
        <f>SUMIFS('METAS EMPRESAS'!$K$15:$K$320,'METAS EMPRESAS'!$A$15:$A$320,"EJ",'METAS EMPRESAS'!$B$15:$B$320,"IÇAMENTO JOIST",'METAS EMPRESAS'!$C$15:$C$320,$A153-WEEKDAY($A153,2)+1)</f>
        <v/>
      </c>
      <c r="D153" s="159">
        <f>SUMIFS('METAS EMPRESAS'!$K$15:$K$320,'METAS EMPRESAS'!$A$15:$A$320,"EJ",'METAS EMPRESAS'!$B$15:$B$320,"VIGAS",'METAS EMPRESAS'!$C$15:$C$320,$A153-WEEKDAY($A153,2)+1)</f>
        <v/>
      </c>
      <c r="E153" s="159">
        <f>SUMIFS('METAS EMPRESAS'!$K$15:$K$320,'METAS EMPRESAS'!$A$15:$A$320,"CMM",'METAS EMPRESAS'!$B$15:$B$320,"PREMONTAGEM",'METAS EMPRESAS'!$C$15:$C$320,$A153-WEEKDAY($A153,2)+1)</f>
        <v/>
      </c>
      <c r="F153" s="159">
        <f>SUMIFS('METAS EMPRESAS'!$K$15:$K$320,'METAS EMPRESAS'!$A$15:$A$320,"CMM",'METAS EMPRESAS'!$B$15:$B$320,"IÇAMENTO JOIST",'METAS EMPRESAS'!$C$15:$C$320,$A153-WEEKDAY($A153,2)+1)</f>
        <v/>
      </c>
      <c r="G153" s="159">
        <f>SUMIFS('METAS EMPRESAS'!$K$15:$K$320,'METAS EMPRESAS'!$A$15:$A$320,"CMM",'METAS EMPRESAS'!$B$15:$B$320,"VIGAS",'METAS EMPRESAS'!$C$15:$C$320,$A153-WEEKDAY($A153,2)+1)</f>
        <v/>
      </c>
      <c r="H153" s="159">
        <f>SUMIFS('METAS EMPRESAS'!$G$15:$G$320,'METAS EMPRESAS'!$A$15:$A$320,"EJ",'METAS EMPRESAS'!$B$15:$B$320,"PREMONTAGEM",'METAS EMPRESAS'!$C$15:$C$320,$A153-WEEKDAY($A153,2)+1)</f>
        <v/>
      </c>
      <c r="I153" s="159">
        <f>SUMIFS('METAS EMPRESAS'!$G$15:$G$320,'METAS EMPRESAS'!$A$15:$A$320,"EJ",'METAS EMPRESAS'!$B$15:$B$320,"IÇAMENTO JOIST",'METAS EMPRESAS'!$C$15:$C$320,$A153-WEEKDAY($A153,2)+1)</f>
        <v/>
      </c>
      <c r="J153" s="159">
        <f>SUMIFS('METAS EMPRESAS'!$G$15:$G$320,'METAS EMPRESAS'!$A$15:$A$320,"EJ",'METAS EMPRESAS'!$B$15:$B$320,"VIGAS",'METAS EMPRESAS'!$C$15:$C$320,$A153-WEEKDAY($A153,2)+1)</f>
        <v/>
      </c>
      <c r="K153" s="159">
        <f>SUMIFS('METAS EMPRESAS'!$G$15:$G$320,'METAS EMPRESAS'!$A$15:$A$320,"CMM",'METAS EMPRESAS'!$B$15:$B$320,"PREMONTAGEM",'METAS EMPRESAS'!$C$15:$C$320,$A153-WEEKDAY($A153,2)+1)</f>
        <v/>
      </c>
      <c r="L153" s="159">
        <f>SUMIFS('METAS EMPRESAS'!$G$15:$G$320,'METAS EMPRESAS'!$A$15:$A$320,"CMM",'METAS EMPRESAS'!$B$15:$B$320,"IÇAMENTO JOIST",'METAS EMPRESAS'!$C$15:$C$320,$A153-WEEKDAY($A153,2)+1)</f>
        <v/>
      </c>
      <c r="M153" s="159">
        <f>SUMIFS('METAS EMPRESAS'!$G$15:$G$320,'METAS EMPRESAS'!$A$15:$A$320,"CMM",'METAS EMPRESAS'!$B$15:$B$320,"VIGAS",'METAS EMPRESAS'!$C$15:$C$320,$A153-WEEKDAY($A153,2)+1)</f>
        <v/>
      </c>
      <c r="N153" s="159">
        <f>SUMIFS('METAS EMPRESAS'!$J$15:$J$320,'METAS EMPRESAS'!$A$15:$A$320,"EJ",'METAS EMPRESAS'!$B$15:$B$320,"PREMONTAGEM",'METAS EMPRESAS'!$C$15:$C$320,$A153-WEEKDAY($A153,2)+1)</f>
        <v/>
      </c>
      <c r="O153" s="159">
        <f>SUMIFS('METAS EMPRESAS'!$J$15:$J$320,'METAS EMPRESAS'!$A$15:$A$320,"EJ",'METAS EMPRESAS'!$B$15:$B$320,"IÇAMENTO JOIST",'METAS EMPRESAS'!$C$15:$C$320,$A153-WEEKDAY($A153,2)+1)</f>
        <v/>
      </c>
      <c r="P153" s="159">
        <f>SUMIFS('METAS EMPRESAS'!$J$15:$J$320,'METAS EMPRESAS'!$A$15:$A$320,"EJ",'METAS EMPRESAS'!$B$15:$B$320,"VIGAS",'METAS EMPRESAS'!$C$15:$C$320,$A153-WEEKDAY($A153,2)+1)</f>
        <v/>
      </c>
      <c r="Q153" s="159">
        <f>SUMIFS('METAS EMPRESAS'!$J$15:$J$320,'METAS EMPRESAS'!$A$15:$A$320,"CMM",'METAS EMPRESAS'!$B$15:$B$320,"PREMONTAGEM",'METAS EMPRESAS'!$C$15:$C$320,$A153-WEEKDAY($A153,2)+1)</f>
        <v/>
      </c>
      <c r="R153" s="159">
        <f>SUMIFS('METAS EMPRESAS'!$J$15:$J$320,'METAS EMPRESAS'!$A$15:$A$320,"CMM",'METAS EMPRESAS'!$B$15:$B$320,"IÇAMENTO JOIST",'METAS EMPRESAS'!$C$15:$C$320,$A153-WEEKDAY($A153,2)+1)</f>
        <v/>
      </c>
      <c r="S153" s="159">
        <f>SUMIFS('METAS EMPRESAS'!$J$15:$J$320,'METAS EMPRESAS'!$A$15:$A$320,"CMM",'METAS EMPRESAS'!$B$15:$B$320,"VIGAS",'METAS EMPRESAS'!$C$15:$C$320,$A153-WEEKDAY($A153,2)+1)</f>
        <v/>
      </c>
      <c r="T153">
        <f>--(WEEKDAY(A153,2)&lt;=5)</f>
        <v/>
      </c>
      <c r="U153" t="n">
        <v>19</v>
      </c>
      <c r="V153" t="n">
        <v>7</v>
      </c>
      <c r="W153" t="n">
        <v>0</v>
      </c>
      <c r="X153" t="n">
        <v>5</v>
      </c>
      <c r="Y153" t="n">
        <v>5</v>
      </c>
      <c r="Z153" t="n">
        <v>5</v>
      </c>
      <c r="AA153" t="n">
        <v>95</v>
      </c>
      <c r="AB153" t="n">
        <v>35</v>
      </c>
      <c r="AC153" t="n">
        <v>0</v>
      </c>
    </row>
    <row r="154">
      <c r="A154" s="317" t="n">
        <v>46375</v>
      </c>
      <c r="B154" s="159">
        <f>SUMIFS('METAS EMPRESAS'!$K$15:$K$320,'METAS EMPRESAS'!$A$15:$A$320,"EJ",'METAS EMPRESAS'!$B$15:$B$320,"PREMONTAGEM",'METAS EMPRESAS'!$C$15:$C$320,$A154-WEEKDAY($A154,2)+1)</f>
        <v/>
      </c>
      <c r="C154" s="159">
        <f>SUMIFS('METAS EMPRESAS'!$K$15:$K$320,'METAS EMPRESAS'!$A$15:$A$320,"EJ",'METAS EMPRESAS'!$B$15:$B$320,"IÇAMENTO JOIST",'METAS EMPRESAS'!$C$15:$C$320,$A154-WEEKDAY($A154,2)+1)</f>
        <v/>
      </c>
      <c r="D154" s="159">
        <f>SUMIFS('METAS EMPRESAS'!$K$15:$K$320,'METAS EMPRESAS'!$A$15:$A$320,"EJ",'METAS EMPRESAS'!$B$15:$B$320,"VIGAS",'METAS EMPRESAS'!$C$15:$C$320,$A154-WEEKDAY($A154,2)+1)</f>
        <v/>
      </c>
      <c r="E154" s="159">
        <f>SUMIFS('METAS EMPRESAS'!$K$15:$K$320,'METAS EMPRESAS'!$A$15:$A$320,"CMM",'METAS EMPRESAS'!$B$15:$B$320,"PREMONTAGEM",'METAS EMPRESAS'!$C$15:$C$320,$A154-WEEKDAY($A154,2)+1)</f>
        <v/>
      </c>
      <c r="F154" s="159">
        <f>SUMIFS('METAS EMPRESAS'!$K$15:$K$320,'METAS EMPRESAS'!$A$15:$A$320,"CMM",'METAS EMPRESAS'!$B$15:$B$320,"IÇAMENTO JOIST",'METAS EMPRESAS'!$C$15:$C$320,$A154-WEEKDAY($A154,2)+1)</f>
        <v/>
      </c>
      <c r="G154" s="159">
        <f>SUMIFS('METAS EMPRESAS'!$K$15:$K$320,'METAS EMPRESAS'!$A$15:$A$320,"CMM",'METAS EMPRESAS'!$B$15:$B$320,"VIGAS",'METAS EMPRESAS'!$C$15:$C$320,$A154-WEEKDAY($A154,2)+1)</f>
        <v/>
      </c>
      <c r="H154" s="159">
        <f>SUMIFS('METAS EMPRESAS'!$G$15:$G$320,'METAS EMPRESAS'!$A$15:$A$320,"EJ",'METAS EMPRESAS'!$B$15:$B$320,"PREMONTAGEM",'METAS EMPRESAS'!$C$15:$C$320,$A154-WEEKDAY($A154,2)+1)</f>
        <v/>
      </c>
      <c r="I154" s="159">
        <f>SUMIFS('METAS EMPRESAS'!$G$15:$G$320,'METAS EMPRESAS'!$A$15:$A$320,"EJ",'METAS EMPRESAS'!$B$15:$B$320,"IÇAMENTO JOIST",'METAS EMPRESAS'!$C$15:$C$320,$A154-WEEKDAY($A154,2)+1)</f>
        <v/>
      </c>
      <c r="J154" s="159">
        <f>SUMIFS('METAS EMPRESAS'!$G$15:$G$320,'METAS EMPRESAS'!$A$15:$A$320,"EJ",'METAS EMPRESAS'!$B$15:$B$320,"VIGAS",'METAS EMPRESAS'!$C$15:$C$320,$A154-WEEKDAY($A154,2)+1)</f>
        <v/>
      </c>
      <c r="K154" s="159">
        <f>SUMIFS('METAS EMPRESAS'!$G$15:$G$320,'METAS EMPRESAS'!$A$15:$A$320,"CMM",'METAS EMPRESAS'!$B$15:$B$320,"PREMONTAGEM",'METAS EMPRESAS'!$C$15:$C$320,$A154-WEEKDAY($A154,2)+1)</f>
        <v/>
      </c>
      <c r="L154" s="159">
        <f>SUMIFS('METAS EMPRESAS'!$G$15:$G$320,'METAS EMPRESAS'!$A$15:$A$320,"CMM",'METAS EMPRESAS'!$B$15:$B$320,"IÇAMENTO JOIST",'METAS EMPRESAS'!$C$15:$C$320,$A154-WEEKDAY($A154,2)+1)</f>
        <v/>
      </c>
      <c r="M154" s="159">
        <f>SUMIFS('METAS EMPRESAS'!$G$15:$G$320,'METAS EMPRESAS'!$A$15:$A$320,"CMM",'METAS EMPRESAS'!$B$15:$B$320,"VIGAS",'METAS EMPRESAS'!$C$15:$C$320,$A154-WEEKDAY($A154,2)+1)</f>
        <v/>
      </c>
      <c r="N154" s="159">
        <f>SUMIFS('METAS EMPRESAS'!$J$15:$J$320,'METAS EMPRESAS'!$A$15:$A$320,"EJ",'METAS EMPRESAS'!$B$15:$B$320,"PREMONTAGEM",'METAS EMPRESAS'!$C$15:$C$320,$A154-WEEKDAY($A154,2)+1)</f>
        <v/>
      </c>
      <c r="O154" s="159">
        <f>SUMIFS('METAS EMPRESAS'!$J$15:$J$320,'METAS EMPRESAS'!$A$15:$A$320,"EJ",'METAS EMPRESAS'!$B$15:$B$320,"IÇAMENTO JOIST",'METAS EMPRESAS'!$C$15:$C$320,$A154-WEEKDAY($A154,2)+1)</f>
        <v/>
      </c>
      <c r="P154" s="159">
        <f>SUMIFS('METAS EMPRESAS'!$J$15:$J$320,'METAS EMPRESAS'!$A$15:$A$320,"EJ",'METAS EMPRESAS'!$B$15:$B$320,"VIGAS",'METAS EMPRESAS'!$C$15:$C$320,$A154-WEEKDAY($A154,2)+1)</f>
        <v/>
      </c>
      <c r="Q154" s="159">
        <f>SUMIFS('METAS EMPRESAS'!$J$15:$J$320,'METAS EMPRESAS'!$A$15:$A$320,"CMM",'METAS EMPRESAS'!$B$15:$B$320,"PREMONTAGEM",'METAS EMPRESAS'!$C$15:$C$320,$A154-WEEKDAY($A154,2)+1)</f>
        <v/>
      </c>
      <c r="R154" s="159">
        <f>SUMIFS('METAS EMPRESAS'!$J$15:$J$320,'METAS EMPRESAS'!$A$15:$A$320,"CMM",'METAS EMPRESAS'!$B$15:$B$320,"IÇAMENTO JOIST",'METAS EMPRESAS'!$C$15:$C$320,$A154-WEEKDAY($A154,2)+1)</f>
        <v/>
      </c>
      <c r="S154" s="159">
        <f>SUMIFS('METAS EMPRESAS'!$J$15:$J$320,'METAS EMPRESAS'!$A$15:$A$320,"CMM",'METAS EMPRESAS'!$B$15:$B$320,"VIGAS",'METAS EMPRESAS'!$C$15:$C$320,$A154-WEEKDAY($A154,2)+1)</f>
        <v/>
      </c>
      <c r="T154">
        <f>--(WEEKDAY(A154,2)&lt;=5)</f>
        <v/>
      </c>
      <c r="U154" t="n">
        <v>19</v>
      </c>
      <c r="V154" t="n">
        <v>7</v>
      </c>
      <c r="W154" t="n">
        <v>0</v>
      </c>
      <c r="X154" t="n">
        <v>5</v>
      </c>
      <c r="Y154" t="n">
        <v>5</v>
      </c>
      <c r="Z154" t="n">
        <v>5</v>
      </c>
      <c r="AA154" t="n">
        <v>95</v>
      </c>
      <c r="AB154" t="n">
        <v>35</v>
      </c>
      <c r="AC154" t="n">
        <v>0</v>
      </c>
    </row>
    <row r="155">
      <c r="A155" s="317" t="n">
        <v>46376</v>
      </c>
      <c r="B155" s="159">
        <f>SUMIFS('METAS EMPRESAS'!$K$15:$K$320,'METAS EMPRESAS'!$A$15:$A$320,"EJ",'METAS EMPRESAS'!$B$15:$B$320,"PREMONTAGEM",'METAS EMPRESAS'!$C$15:$C$320,$A155-WEEKDAY($A155,2)+1)</f>
        <v/>
      </c>
      <c r="C155" s="159">
        <f>SUMIFS('METAS EMPRESAS'!$K$15:$K$320,'METAS EMPRESAS'!$A$15:$A$320,"EJ",'METAS EMPRESAS'!$B$15:$B$320,"IÇAMENTO JOIST",'METAS EMPRESAS'!$C$15:$C$320,$A155-WEEKDAY($A155,2)+1)</f>
        <v/>
      </c>
      <c r="D155" s="159">
        <f>SUMIFS('METAS EMPRESAS'!$K$15:$K$320,'METAS EMPRESAS'!$A$15:$A$320,"EJ",'METAS EMPRESAS'!$B$15:$B$320,"VIGAS",'METAS EMPRESAS'!$C$15:$C$320,$A155-WEEKDAY($A155,2)+1)</f>
        <v/>
      </c>
      <c r="E155" s="159">
        <f>SUMIFS('METAS EMPRESAS'!$K$15:$K$320,'METAS EMPRESAS'!$A$15:$A$320,"CMM",'METAS EMPRESAS'!$B$15:$B$320,"PREMONTAGEM",'METAS EMPRESAS'!$C$15:$C$320,$A155-WEEKDAY($A155,2)+1)</f>
        <v/>
      </c>
      <c r="F155" s="159">
        <f>SUMIFS('METAS EMPRESAS'!$K$15:$K$320,'METAS EMPRESAS'!$A$15:$A$320,"CMM",'METAS EMPRESAS'!$B$15:$B$320,"IÇAMENTO JOIST",'METAS EMPRESAS'!$C$15:$C$320,$A155-WEEKDAY($A155,2)+1)</f>
        <v/>
      </c>
      <c r="G155" s="159">
        <f>SUMIFS('METAS EMPRESAS'!$K$15:$K$320,'METAS EMPRESAS'!$A$15:$A$320,"CMM",'METAS EMPRESAS'!$B$15:$B$320,"VIGAS",'METAS EMPRESAS'!$C$15:$C$320,$A155-WEEKDAY($A155,2)+1)</f>
        <v/>
      </c>
      <c r="H155" s="159">
        <f>SUMIFS('METAS EMPRESAS'!$G$15:$G$320,'METAS EMPRESAS'!$A$15:$A$320,"EJ",'METAS EMPRESAS'!$B$15:$B$320,"PREMONTAGEM",'METAS EMPRESAS'!$C$15:$C$320,$A155-WEEKDAY($A155,2)+1)</f>
        <v/>
      </c>
      <c r="I155" s="159">
        <f>SUMIFS('METAS EMPRESAS'!$G$15:$G$320,'METAS EMPRESAS'!$A$15:$A$320,"EJ",'METAS EMPRESAS'!$B$15:$B$320,"IÇAMENTO JOIST",'METAS EMPRESAS'!$C$15:$C$320,$A155-WEEKDAY($A155,2)+1)</f>
        <v/>
      </c>
      <c r="J155" s="159">
        <f>SUMIFS('METAS EMPRESAS'!$G$15:$G$320,'METAS EMPRESAS'!$A$15:$A$320,"EJ",'METAS EMPRESAS'!$B$15:$B$320,"VIGAS",'METAS EMPRESAS'!$C$15:$C$320,$A155-WEEKDAY($A155,2)+1)</f>
        <v/>
      </c>
      <c r="K155" s="159">
        <f>SUMIFS('METAS EMPRESAS'!$G$15:$G$320,'METAS EMPRESAS'!$A$15:$A$320,"CMM",'METAS EMPRESAS'!$B$15:$B$320,"PREMONTAGEM",'METAS EMPRESAS'!$C$15:$C$320,$A155-WEEKDAY($A155,2)+1)</f>
        <v/>
      </c>
      <c r="L155" s="159">
        <f>SUMIFS('METAS EMPRESAS'!$G$15:$G$320,'METAS EMPRESAS'!$A$15:$A$320,"CMM",'METAS EMPRESAS'!$B$15:$B$320,"IÇAMENTO JOIST",'METAS EMPRESAS'!$C$15:$C$320,$A155-WEEKDAY($A155,2)+1)</f>
        <v/>
      </c>
      <c r="M155" s="159">
        <f>SUMIFS('METAS EMPRESAS'!$G$15:$G$320,'METAS EMPRESAS'!$A$15:$A$320,"CMM",'METAS EMPRESAS'!$B$15:$B$320,"VIGAS",'METAS EMPRESAS'!$C$15:$C$320,$A155-WEEKDAY($A155,2)+1)</f>
        <v/>
      </c>
      <c r="N155" s="159">
        <f>SUMIFS('METAS EMPRESAS'!$J$15:$J$320,'METAS EMPRESAS'!$A$15:$A$320,"EJ",'METAS EMPRESAS'!$B$15:$B$320,"PREMONTAGEM",'METAS EMPRESAS'!$C$15:$C$320,$A155-WEEKDAY($A155,2)+1)</f>
        <v/>
      </c>
      <c r="O155" s="159">
        <f>SUMIFS('METAS EMPRESAS'!$J$15:$J$320,'METAS EMPRESAS'!$A$15:$A$320,"EJ",'METAS EMPRESAS'!$B$15:$B$320,"IÇAMENTO JOIST",'METAS EMPRESAS'!$C$15:$C$320,$A155-WEEKDAY($A155,2)+1)</f>
        <v/>
      </c>
      <c r="P155" s="159">
        <f>SUMIFS('METAS EMPRESAS'!$J$15:$J$320,'METAS EMPRESAS'!$A$15:$A$320,"EJ",'METAS EMPRESAS'!$B$15:$B$320,"VIGAS",'METAS EMPRESAS'!$C$15:$C$320,$A155-WEEKDAY($A155,2)+1)</f>
        <v/>
      </c>
      <c r="Q155" s="159">
        <f>SUMIFS('METAS EMPRESAS'!$J$15:$J$320,'METAS EMPRESAS'!$A$15:$A$320,"CMM",'METAS EMPRESAS'!$B$15:$B$320,"PREMONTAGEM",'METAS EMPRESAS'!$C$15:$C$320,$A155-WEEKDAY($A155,2)+1)</f>
        <v/>
      </c>
      <c r="R155" s="159">
        <f>SUMIFS('METAS EMPRESAS'!$J$15:$J$320,'METAS EMPRESAS'!$A$15:$A$320,"CMM",'METAS EMPRESAS'!$B$15:$B$320,"IÇAMENTO JOIST",'METAS EMPRESAS'!$C$15:$C$320,$A155-WEEKDAY($A155,2)+1)</f>
        <v/>
      </c>
      <c r="S155" s="159">
        <f>SUMIFS('METAS EMPRESAS'!$J$15:$J$320,'METAS EMPRESAS'!$A$15:$A$320,"CMM",'METAS EMPRESAS'!$B$15:$B$320,"VIGAS",'METAS EMPRESAS'!$C$15:$C$320,$A155-WEEKDAY($A155,2)+1)</f>
        <v/>
      </c>
      <c r="T155">
        <f>--(WEEKDAY(A155,2)&lt;=5)</f>
        <v/>
      </c>
      <c r="U155" t="n">
        <v>19</v>
      </c>
      <c r="V155" t="n">
        <v>7</v>
      </c>
      <c r="W155" t="n">
        <v>0</v>
      </c>
      <c r="X155" t="n">
        <v>5</v>
      </c>
      <c r="Y155" t="n">
        <v>5</v>
      </c>
      <c r="Z155" t="n">
        <v>5</v>
      </c>
      <c r="AA155" t="n">
        <v>95</v>
      </c>
      <c r="AB155" t="n">
        <v>35</v>
      </c>
      <c r="AC155" t="n">
        <v>0</v>
      </c>
    </row>
    <row r="156">
      <c r="A156" s="317" t="n">
        <v>46377</v>
      </c>
      <c r="B156" s="159">
        <f>SUMIFS('METAS EMPRESAS'!$K$15:$K$320,'METAS EMPRESAS'!$A$15:$A$320,"EJ",'METAS EMPRESAS'!$B$15:$B$320,"PREMONTAGEM",'METAS EMPRESAS'!$C$15:$C$320,$A156-WEEKDAY($A156,2)+1)</f>
        <v/>
      </c>
      <c r="C156" s="159">
        <f>SUMIFS('METAS EMPRESAS'!$K$15:$K$320,'METAS EMPRESAS'!$A$15:$A$320,"EJ",'METAS EMPRESAS'!$B$15:$B$320,"IÇAMENTO JOIST",'METAS EMPRESAS'!$C$15:$C$320,$A156-WEEKDAY($A156,2)+1)</f>
        <v/>
      </c>
      <c r="D156" s="159">
        <f>SUMIFS('METAS EMPRESAS'!$K$15:$K$320,'METAS EMPRESAS'!$A$15:$A$320,"EJ",'METAS EMPRESAS'!$B$15:$B$320,"VIGAS",'METAS EMPRESAS'!$C$15:$C$320,$A156-WEEKDAY($A156,2)+1)</f>
        <v/>
      </c>
      <c r="E156" s="159">
        <f>SUMIFS('METAS EMPRESAS'!$K$15:$K$320,'METAS EMPRESAS'!$A$15:$A$320,"CMM",'METAS EMPRESAS'!$B$15:$B$320,"PREMONTAGEM",'METAS EMPRESAS'!$C$15:$C$320,$A156-WEEKDAY($A156,2)+1)</f>
        <v/>
      </c>
      <c r="F156" s="159">
        <f>SUMIFS('METAS EMPRESAS'!$K$15:$K$320,'METAS EMPRESAS'!$A$15:$A$320,"CMM",'METAS EMPRESAS'!$B$15:$B$320,"IÇAMENTO JOIST",'METAS EMPRESAS'!$C$15:$C$320,$A156-WEEKDAY($A156,2)+1)</f>
        <v/>
      </c>
      <c r="G156" s="159">
        <f>SUMIFS('METAS EMPRESAS'!$K$15:$K$320,'METAS EMPRESAS'!$A$15:$A$320,"CMM",'METAS EMPRESAS'!$B$15:$B$320,"VIGAS",'METAS EMPRESAS'!$C$15:$C$320,$A156-WEEKDAY($A156,2)+1)</f>
        <v/>
      </c>
      <c r="H156" s="159">
        <f>SUMIFS('METAS EMPRESAS'!$G$15:$G$320,'METAS EMPRESAS'!$A$15:$A$320,"EJ",'METAS EMPRESAS'!$B$15:$B$320,"PREMONTAGEM",'METAS EMPRESAS'!$C$15:$C$320,$A156-WEEKDAY($A156,2)+1)</f>
        <v/>
      </c>
      <c r="I156" s="159">
        <f>SUMIFS('METAS EMPRESAS'!$G$15:$G$320,'METAS EMPRESAS'!$A$15:$A$320,"EJ",'METAS EMPRESAS'!$B$15:$B$320,"IÇAMENTO JOIST",'METAS EMPRESAS'!$C$15:$C$320,$A156-WEEKDAY($A156,2)+1)</f>
        <v/>
      </c>
      <c r="J156" s="159">
        <f>SUMIFS('METAS EMPRESAS'!$G$15:$G$320,'METAS EMPRESAS'!$A$15:$A$320,"EJ",'METAS EMPRESAS'!$B$15:$B$320,"VIGAS",'METAS EMPRESAS'!$C$15:$C$320,$A156-WEEKDAY($A156,2)+1)</f>
        <v/>
      </c>
      <c r="K156" s="159">
        <f>SUMIFS('METAS EMPRESAS'!$G$15:$G$320,'METAS EMPRESAS'!$A$15:$A$320,"CMM",'METAS EMPRESAS'!$B$15:$B$320,"PREMONTAGEM",'METAS EMPRESAS'!$C$15:$C$320,$A156-WEEKDAY($A156,2)+1)</f>
        <v/>
      </c>
      <c r="L156" s="159">
        <f>SUMIFS('METAS EMPRESAS'!$G$15:$G$320,'METAS EMPRESAS'!$A$15:$A$320,"CMM",'METAS EMPRESAS'!$B$15:$B$320,"IÇAMENTO JOIST",'METAS EMPRESAS'!$C$15:$C$320,$A156-WEEKDAY($A156,2)+1)</f>
        <v/>
      </c>
      <c r="M156" s="159">
        <f>SUMIFS('METAS EMPRESAS'!$G$15:$G$320,'METAS EMPRESAS'!$A$15:$A$320,"CMM",'METAS EMPRESAS'!$B$15:$B$320,"VIGAS",'METAS EMPRESAS'!$C$15:$C$320,$A156-WEEKDAY($A156,2)+1)</f>
        <v/>
      </c>
      <c r="N156" s="159">
        <f>SUMIFS('METAS EMPRESAS'!$J$15:$J$320,'METAS EMPRESAS'!$A$15:$A$320,"EJ",'METAS EMPRESAS'!$B$15:$B$320,"PREMONTAGEM",'METAS EMPRESAS'!$C$15:$C$320,$A156-WEEKDAY($A156,2)+1)</f>
        <v/>
      </c>
      <c r="O156" s="159">
        <f>SUMIFS('METAS EMPRESAS'!$J$15:$J$320,'METAS EMPRESAS'!$A$15:$A$320,"EJ",'METAS EMPRESAS'!$B$15:$B$320,"IÇAMENTO JOIST",'METAS EMPRESAS'!$C$15:$C$320,$A156-WEEKDAY($A156,2)+1)</f>
        <v/>
      </c>
      <c r="P156" s="159">
        <f>SUMIFS('METAS EMPRESAS'!$J$15:$J$320,'METAS EMPRESAS'!$A$15:$A$320,"EJ",'METAS EMPRESAS'!$B$15:$B$320,"VIGAS",'METAS EMPRESAS'!$C$15:$C$320,$A156-WEEKDAY($A156,2)+1)</f>
        <v/>
      </c>
      <c r="Q156" s="159">
        <f>SUMIFS('METAS EMPRESAS'!$J$15:$J$320,'METAS EMPRESAS'!$A$15:$A$320,"CMM",'METAS EMPRESAS'!$B$15:$B$320,"PREMONTAGEM",'METAS EMPRESAS'!$C$15:$C$320,$A156-WEEKDAY($A156,2)+1)</f>
        <v/>
      </c>
      <c r="R156" s="159">
        <f>SUMIFS('METAS EMPRESAS'!$J$15:$J$320,'METAS EMPRESAS'!$A$15:$A$320,"CMM",'METAS EMPRESAS'!$B$15:$B$320,"IÇAMENTO JOIST",'METAS EMPRESAS'!$C$15:$C$320,$A156-WEEKDAY($A156,2)+1)</f>
        <v/>
      </c>
      <c r="S156" s="159">
        <f>SUMIFS('METAS EMPRESAS'!$J$15:$J$320,'METAS EMPRESAS'!$A$15:$A$320,"CMM",'METAS EMPRESAS'!$B$15:$B$320,"VIGAS",'METAS EMPRESAS'!$C$15:$C$320,$A156-WEEKDAY($A156,2)+1)</f>
        <v/>
      </c>
      <c r="T156">
        <f>--(WEEKDAY(A156,2)&lt;=5)</f>
        <v/>
      </c>
      <c r="U156" t="n">
        <v>19</v>
      </c>
      <c r="V156" t="n">
        <v>7</v>
      </c>
      <c r="W156" t="n">
        <v>0</v>
      </c>
      <c r="X156" t="n">
        <v>5</v>
      </c>
      <c r="Y156" t="n">
        <v>5</v>
      </c>
      <c r="Z156" t="n">
        <v>5</v>
      </c>
      <c r="AA156" t="n">
        <v>95</v>
      </c>
      <c r="AB156" t="n">
        <v>35</v>
      </c>
      <c r="AC156" t="n">
        <v>0</v>
      </c>
    </row>
    <row r="157">
      <c r="A157" s="317" t="n">
        <v>46378</v>
      </c>
      <c r="B157" s="159">
        <f>SUMIFS('METAS EMPRESAS'!$K$15:$K$320,'METAS EMPRESAS'!$A$15:$A$320,"EJ",'METAS EMPRESAS'!$B$15:$B$320,"PREMONTAGEM",'METAS EMPRESAS'!$C$15:$C$320,$A157-WEEKDAY($A157,2)+1)</f>
        <v/>
      </c>
      <c r="C157" s="159">
        <f>SUMIFS('METAS EMPRESAS'!$K$15:$K$320,'METAS EMPRESAS'!$A$15:$A$320,"EJ",'METAS EMPRESAS'!$B$15:$B$320,"IÇAMENTO JOIST",'METAS EMPRESAS'!$C$15:$C$320,$A157-WEEKDAY($A157,2)+1)</f>
        <v/>
      </c>
      <c r="D157" s="159">
        <f>SUMIFS('METAS EMPRESAS'!$K$15:$K$320,'METAS EMPRESAS'!$A$15:$A$320,"EJ",'METAS EMPRESAS'!$B$15:$B$320,"VIGAS",'METAS EMPRESAS'!$C$15:$C$320,$A157-WEEKDAY($A157,2)+1)</f>
        <v/>
      </c>
      <c r="E157" s="159">
        <f>SUMIFS('METAS EMPRESAS'!$K$15:$K$320,'METAS EMPRESAS'!$A$15:$A$320,"CMM",'METAS EMPRESAS'!$B$15:$B$320,"PREMONTAGEM",'METAS EMPRESAS'!$C$15:$C$320,$A157-WEEKDAY($A157,2)+1)</f>
        <v/>
      </c>
      <c r="F157" s="159">
        <f>SUMIFS('METAS EMPRESAS'!$K$15:$K$320,'METAS EMPRESAS'!$A$15:$A$320,"CMM",'METAS EMPRESAS'!$B$15:$B$320,"IÇAMENTO JOIST",'METAS EMPRESAS'!$C$15:$C$320,$A157-WEEKDAY($A157,2)+1)</f>
        <v/>
      </c>
      <c r="G157" s="159">
        <f>SUMIFS('METAS EMPRESAS'!$K$15:$K$320,'METAS EMPRESAS'!$A$15:$A$320,"CMM",'METAS EMPRESAS'!$B$15:$B$320,"VIGAS",'METAS EMPRESAS'!$C$15:$C$320,$A157-WEEKDAY($A157,2)+1)</f>
        <v/>
      </c>
      <c r="H157" s="159">
        <f>SUMIFS('METAS EMPRESAS'!$G$15:$G$320,'METAS EMPRESAS'!$A$15:$A$320,"EJ",'METAS EMPRESAS'!$B$15:$B$320,"PREMONTAGEM",'METAS EMPRESAS'!$C$15:$C$320,$A157-WEEKDAY($A157,2)+1)</f>
        <v/>
      </c>
      <c r="I157" s="159">
        <f>SUMIFS('METAS EMPRESAS'!$G$15:$G$320,'METAS EMPRESAS'!$A$15:$A$320,"EJ",'METAS EMPRESAS'!$B$15:$B$320,"IÇAMENTO JOIST",'METAS EMPRESAS'!$C$15:$C$320,$A157-WEEKDAY($A157,2)+1)</f>
        <v/>
      </c>
      <c r="J157" s="159">
        <f>SUMIFS('METAS EMPRESAS'!$G$15:$G$320,'METAS EMPRESAS'!$A$15:$A$320,"EJ",'METAS EMPRESAS'!$B$15:$B$320,"VIGAS",'METAS EMPRESAS'!$C$15:$C$320,$A157-WEEKDAY($A157,2)+1)</f>
        <v/>
      </c>
      <c r="K157" s="159">
        <f>SUMIFS('METAS EMPRESAS'!$G$15:$G$320,'METAS EMPRESAS'!$A$15:$A$320,"CMM",'METAS EMPRESAS'!$B$15:$B$320,"PREMONTAGEM",'METAS EMPRESAS'!$C$15:$C$320,$A157-WEEKDAY($A157,2)+1)</f>
        <v/>
      </c>
      <c r="L157" s="159">
        <f>SUMIFS('METAS EMPRESAS'!$G$15:$G$320,'METAS EMPRESAS'!$A$15:$A$320,"CMM",'METAS EMPRESAS'!$B$15:$B$320,"IÇAMENTO JOIST",'METAS EMPRESAS'!$C$15:$C$320,$A157-WEEKDAY($A157,2)+1)</f>
        <v/>
      </c>
      <c r="M157" s="159">
        <f>SUMIFS('METAS EMPRESAS'!$G$15:$G$320,'METAS EMPRESAS'!$A$15:$A$320,"CMM",'METAS EMPRESAS'!$B$15:$B$320,"VIGAS",'METAS EMPRESAS'!$C$15:$C$320,$A157-WEEKDAY($A157,2)+1)</f>
        <v/>
      </c>
      <c r="N157" s="159">
        <f>SUMIFS('METAS EMPRESAS'!$J$15:$J$320,'METAS EMPRESAS'!$A$15:$A$320,"EJ",'METAS EMPRESAS'!$B$15:$B$320,"PREMONTAGEM",'METAS EMPRESAS'!$C$15:$C$320,$A157-WEEKDAY($A157,2)+1)</f>
        <v/>
      </c>
      <c r="O157" s="159">
        <f>SUMIFS('METAS EMPRESAS'!$J$15:$J$320,'METAS EMPRESAS'!$A$15:$A$320,"EJ",'METAS EMPRESAS'!$B$15:$B$320,"IÇAMENTO JOIST",'METAS EMPRESAS'!$C$15:$C$320,$A157-WEEKDAY($A157,2)+1)</f>
        <v/>
      </c>
      <c r="P157" s="159">
        <f>SUMIFS('METAS EMPRESAS'!$J$15:$J$320,'METAS EMPRESAS'!$A$15:$A$320,"EJ",'METAS EMPRESAS'!$B$15:$B$320,"VIGAS",'METAS EMPRESAS'!$C$15:$C$320,$A157-WEEKDAY($A157,2)+1)</f>
        <v/>
      </c>
      <c r="Q157" s="159">
        <f>SUMIFS('METAS EMPRESAS'!$J$15:$J$320,'METAS EMPRESAS'!$A$15:$A$320,"CMM",'METAS EMPRESAS'!$B$15:$B$320,"PREMONTAGEM",'METAS EMPRESAS'!$C$15:$C$320,$A157-WEEKDAY($A157,2)+1)</f>
        <v/>
      </c>
      <c r="R157" s="159">
        <f>SUMIFS('METAS EMPRESAS'!$J$15:$J$320,'METAS EMPRESAS'!$A$15:$A$320,"CMM",'METAS EMPRESAS'!$B$15:$B$320,"IÇAMENTO JOIST",'METAS EMPRESAS'!$C$15:$C$320,$A157-WEEKDAY($A157,2)+1)</f>
        <v/>
      </c>
      <c r="S157" s="159">
        <f>SUMIFS('METAS EMPRESAS'!$J$15:$J$320,'METAS EMPRESAS'!$A$15:$A$320,"CMM",'METAS EMPRESAS'!$B$15:$B$320,"VIGAS",'METAS EMPRESAS'!$C$15:$C$320,$A157-WEEKDAY($A157,2)+1)</f>
        <v/>
      </c>
      <c r="T157">
        <f>--(WEEKDAY(A157,2)&lt;=5)</f>
        <v/>
      </c>
      <c r="U157" t="n">
        <v>19</v>
      </c>
      <c r="V157" t="n">
        <v>7</v>
      </c>
      <c r="W157" t="n">
        <v>0</v>
      </c>
      <c r="X157" t="n">
        <v>5</v>
      </c>
      <c r="Y157" t="n">
        <v>5</v>
      </c>
      <c r="Z157" t="n">
        <v>5</v>
      </c>
      <c r="AA157" t="n">
        <v>95</v>
      </c>
      <c r="AB157" t="n">
        <v>35</v>
      </c>
      <c r="AC157" t="n">
        <v>0</v>
      </c>
    </row>
    <row r="158">
      <c r="A158" s="317" t="n">
        <v>46379</v>
      </c>
      <c r="B158" s="159">
        <f>SUMIFS('METAS EMPRESAS'!$K$15:$K$320,'METAS EMPRESAS'!$A$15:$A$320,"EJ",'METAS EMPRESAS'!$B$15:$B$320,"PREMONTAGEM",'METAS EMPRESAS'!$C$15:$C$320,$A158-WEEKDAY($A158,2)+1)</f>
        <v/>
      </c>
      <c r="C158" s="159">
        <f>SUMIFS('METAS EMPRESAS'!$K$15:$K$320,'METAS EMPRESAS'!$A$15:$A$320,"EJ",'METAS EMPRESAS'!$B$15:$B$320,"IÇAMENTO JOIST",'METAS EMPRESAS'!$C$15:$C$320,$A158-WEEKDAY($A158,2)+1)</f>
        <v/>
      </c>
      <c r="D158" s="159">
        <f>SUMIFS('METAS EMPRESAS'!$K$15:$K$320,'METAS EMPRESAS'!$A$15:$A$320,"EJ",'METAS EMPRESAS'!$B$15:$B$320,"VIGAS",'METAS EMPRESAS'!$C$15:$C$320,$A158-WEEKDAY($A158,2)+1)</f>
        <v/>
      </c>
      <c r="E158" s="159">
        <f>SUMIFS('METAS EMPRESAS'!$K$15:$K$320,'METAS EMPRESAS'!$A$15:$A$320,"CMM",'METAS EMPRESAS'!$B$15:$B$320,"PREMONTAGEM",'METAS EMPRESAS'!$C$15:$C$320,$A158-WEEKDAY($A158,2)+1)</f>
        <v/>
      </c>
      <c r="F158" s="159">
        <f>SUMIFS('METAS EMPRESAS'!$K$15:$K$320,'METAS EMPRESAS'!$A$15:$A$320,"CMM",'METAS EMPRESAS'!$B$15:$B$320,"IÇAMENTO JOIST",'METAS EMPRESAS'!$C$15:$C$320,$A158-WEEKDAY($A158,2)+1)</f>
        <v/>
      </c>
      <c r="G158" s="159">
        <f>SUMIFS('METAS EMPRESAS'!$K$15:$K$320,'METAS EMPRESAS'!$A$15:$A$320,"CMM",'METAS EMPRESAS'!$B$15:$B$320,"VIGAS",'METAS EMPRESAS'!$C$15:$C$320,$A158-WEEKDAY($A158,2)+1)</f>
        <v/>
      </c>
      <c r="H158" s="159">
        <f>SUMIFS('METAS EMPRESAS'!$G$15:$G$320,'METAS EMPRESAS'!$A$15:$A$320,"EJ",'METAS EMPRESAS'!$B$15:$B$320,"PREMONTAGEM",'METAS EMPRESAS'!$C$15:$C$320,$A158-WEEKDAY($A158,2)+1)</f>
        <v/>
      </c>
      <c r="I158" s="159">
        <f>SUMIFS('METAS EMPRESAS'!$G$15:$G$320,'METAS EMPRESAS'!$A$15:$A$320,"EJ",'METAS EMPRESAS'!$B$15:$B$320,"IÇAMENTO JOIST",'METAS EMPRESAS'!$C$15:$C$320,$A158-WEEKDAY($A158,2)+1)</f>
        <v/>
      </c>
      <c r="J158" s="159">
        <f>SUMIFS('METAS EMPRESAS'!$G$15:$G$320,'METAS EMPRESAS'!$A$15:$A$320,"EJ",'METAS EMPRESAS'!$B$15:$B$320,"VIGAS",'METAS EMPRESAS'!$C$15:$C$320,$A158-WEEKDAY($A158,2)+1)</f>
        <v/>
      </c>
      <c r="K158" s="159">
        <f>SUMIFS('METAS EMPRESAS'!$G$15:$G$320,'METAS EMPRESAS'!$A$15:$A$320,"CMM",'METAS EMPRESAS'!$B$15:$B$320,"PREMONTAGEM",'METAS EMPRESAS'!$C$15:$C$320,$A158-WEEKDAY($A158,2)+1)</f>
        <v/>
      </c>
      <c r="L158" s="159">
        <f>SUMIFS('METAS EMPRESAS'!$G$15:$G$320,'METAS EMPRESAS'!$A$15:$A$320,"CMM",'METAS EMPRESAS'!$B$15:$B$320,"IÇAMENTO JOIST",'METAS EMPRESAS'!$C$15:$C$320,$A158-WEEKDAY($A158,2)+1)</f>
        <v/>
      </c>
      <c r="M158" s="159">
        <f>SUMIFS('METAS EMPRESAS'!$G$15:$G$320,'METAS EMPRESAS'!$A$15:$A$320,"CMM",'METAS EMPRESAS'!$B$15:$B$320,"VIGAS",'METAS EMPRESAS'!$C$15:$C$320,$A158-WEEKDAY($A158,2)+1)</f>
        <v/>
      </c>
      <c r="N158" s="159">
        <f>SUMIFS('METAS EMPRESAS'!$J$15:$J$320,'METAS EMPRESAS'!$A$15:$A$320,"EJ",'METAS EMPRESAS'!$B$15:$B$320,"PREMONTAGEM",'METAS EMPRESAS'!$C$15:$C$320,$A158-WEEKDAY($A158,2)+1)</f>
        <v/>
      </c>
      <c r="O158" s="159">
        <f>SUMIFS('METAS EMPRESAS'!$J$15:$J$320,'METAS EMPRESAS'!$A$15:$A$320,"EJ",'METAS EMPRESAS'!$B$15:$B$320,"IÇAMENTO JOIST",'METAS EMPRESAS'!$C$15:$C$320,$A158-WEEKDAY($A158,2)+1)</f>
        <v/>
      </c>
      <c r="P158" s="159">
        <f>SUMIFS('METAS EMPRESAS'!$J$15:$J$320,'METAS EMPRESAS'!$A$15:$A$320,"EJ",'METAS EMPRESAS'!$B$15:$B$320,"VIGAS",'METAS EMPRESAS'!$C$15:$C$320,$A158-WEEKDAY($A158,2)+1)</f>
        <v/>
      </c>
      <c r="Q158" s="159">
        <f>SUMIFS('METAS EMPRESAS'!$J$15:$J$320,'METAS EMPRESAS'!$A$15:$A$320,"CMM",'METAS EMPRESAS'!$B$15:$B$320,"PREMONTAGEM",'METAS EMPRESAS'!$C$15:$C$320,$A158-WEEKDAY($A158,2)+1)</f>
        <v/>
      </c>
      <c r="R158" s="159">
        <f>SUMIFS('METAS EMPRESAS'!$J$15:$J$320,'METAS EMPRESAS'!$A$15:$A$320,"CMM",'METAS EMPRESAS'!$B$15:$B$320,"IÇAMENTO JOIST",'METAS EMPRESAS'!$C$15:$C$320,$A158-WEEKDAY($A158,2)+1)</f>
        <v/>
      </c>
      <c r="S158" s="159">
        <f>SUMIFS('METAS EMPRESAS'!$J$15:$J$320,'METAS EMPRESAS'!$A$15:$A$320,"CMM",'METAS EMPRESAS'!$B$15:$B$320,"VIGAS",'METAS EMPRESAS'!$C$15:$C$320,$A158-WEEKDAY($A158,2)+1)</f>
        <v/>
      </c>
      <c r="T158">
        <f>--(WEEKDAY(A158,2)&lt;=5)</f>
        <v/>
      </c>
      <c r="U158" t="n">
        <v>19</v>
      </c>
      <c r="V158" t="n">
        <v>7</v>
      </c>
      <c r="W158" t="n">
        <v>0</v>
      </c>
      <c r="X158" t="n">
        <v>5</v>
      </c>
      <c r="Y158" t="n">
        <v>5</v>
      </c>
      <c r="Z158" t="n">
        <v>5</v>
      </c>
      <c r="AA158" t="n">
        <v>95</v>
      </c>
      <c r="AB158" t="n">
        <v>35</v>
      </c>
      <c r="AC158" t="n">
        <v>0</v>
      </c>
    </row>
    <row r="159">
      <c r="A159" s="317" t="n">
        <v>46380</v>
      </c>
      <c r="B159" s="159">
        <f>SUMIFS('METAS EMPRESAS'!$K$15:$K$320,'METAS EMPRESAS'!$A$15:$A$320,"EJ",'METAS EMPRESAS'!$B$15:$B$320,"PREMONTAGEM",'METAS EMPRESAS'!$C$15:$C$320,$A159-WEEKDAY($A159,2)+1)</f>
        <v/>
      </c>
      <c r="C159" s="159">
        <f>SUMIFS('METAS EMPRESAS'!$K$15:$K$320,'METAS EMPRESAS'!$A$15:$A$320,"EJ",'METAS EMPRESAS'!$B$15:$B$320,"IÇAMENTO JOIST",'METAS EMPRESAS'!$C$15:$C$320,$A159-WEEKDAY($A159,2)+1)</f>
        <v/>
      </c>
      <c r="D159" s="159">
        <f>SUMIFS('METAS EMPRESAS'!$K$15:$K$320,'METAS EMPRESAS'!$A$15:$A$320,"EJ",'METAS EMPRESAS'!$B$15:$B$320,"VIGAS",'METAS EMPRESAS'!$C$15:$C$320,$A159-WEEKDAY($A159,2)+1)</f>
        <v/>
      </c>
      <c r="E159" s="159">
        <f>SUMIFS('METAS EMPRESAS'!$K$15:$K$320,'METAS EMPRESAS'!$A$15:$A$320,"CMM",'METAS EMPRESAS'!$B$15:$B$320,"PREMONTAGEM",'METAS EMPRESAS'!$C$15:$C$320,$A159-WEEKDAY($A159,2)+1)</f>
        <v/>
      </c>
      <c r="F159" s="159">
        <f>SUMIFS('METAS EMPRESAS'!$K$15:$K$320,'METAS EMPRESAS'!$A$15:$A$320,"CMM",'METAS EMPRESAS'!$B$15:$B$320,"IÇAMENTO JOIST",'METAS EMPRESAS'!$C$15:$C$320,$A159-WEEKDAY($A159,2)+1)</f>
        <v/>
      </c>
      <c r="G159" s="159">
        <f>SUMIFS('METAS EMPRESAS'!$K$15:$K$320,'METAS EMPRESAS'!$A$15:$A$320,"CMM",'METAS EMPRESAS'!$B$15:$B$320,"VIGAS",'METAS EMPRESAS'!$C$15:$C$320,$A159-WEEKDAY($A159,2)+1)</f>
        <v/>
      </c>
      <c r="H159" s="159">
        <f>SUMIFS('METAS EMPRESAS'!$G$15:$G$320,'METAS EMPRESAS'!$A$15:$A$320,"EJ",'METAS EMPRESAS'!$B$15:$B$320,"PREMONTAGEM",'METAS EMPRESAS'!$C$15:$C$320,$A159-WEEKDAY($A159,2)+1)</f>
        <v/>
      </c>
      <c r="I159" s="159">
        <f>SUMIFS('METAS EMPRESAS'!$G$15:$G$320,'METAS EMPRESAS'!$A$15:$A$320,"EJ",'METAS EMPRESAS'!$B$15:$B$320,"IÇAMENTO JOIST",'METAS EMPRESAS'!$C$15:$C$320,$A159-WEEKDAY($A159,2)+1)</f>
        <v/>
      </c>
      <c r="J159" s="159">
        <f>SUMIFS('METAS EMPRESAS'!$G$15:$G$320,'METAS EMPRESAS'!$A$15:$A$320,"EJ",'METAS EMPRESAS'!$B$15:$B$320,"VIGAS",'METAS EMPRESAS'!$C$15:$C$320,$A159-WEEKDAY($A159,2)+1)</f>
        <v/>
      </c>
      <c r="K159" s="159">
        <f>SUMIFS('METAS EMPRESAS'!$G$15:$G$320,'METAS EMPRESAS'!$A$15:$A$320,"CMM",'METAS EMPRESAS'!$B$15:$B$320,"PREMONTAGEM",'METAS EMPRESAS'!$C$15:$C$320,$A159-WEEKDAY($A159,2)+1)</f>
        <v/>
      </c>
      <c r="L159" s="159">
        <f>SUMIFS('METAS EMPRESAS'!$G$15:$G$320,'METAS EMPRESAS'!$A$15:$A$320,"CMM",'METAS EMPRESAS'!$B$15:$B$320,"IÇAMENTO JOIST",'METAS EMPRESAS'!$C$15:$C$320,$A159-WEEKDAY($A159,2)+1)</f>
        <v/>
      </c>
      <c r="M159" s="159">
        <f>SUMIFS('METAS EMPRESAS'!$G$15:$G$320,'METAS EMPRESAS'!$A$15:$A$320,"CMM",'METAS EMPRESAS'!$B$15:$B$320,"VIGAS",'METAS EMPRESAS'!$C$15:$C$320,$A159-WEEKDAY($A159,2)+1)</f>
        <v/>
      </c>
      <c r="N159" s="159">
        <f>SUMIFS('METAS EMPRESAS'!$J$15:$J$320,'METAS EMPRESAS'!$A$15:$A$320,"EJ",'METAS EMPRESAS'!$B$15:$B$320,"PREMONTAGEM",'METAS EMPRESAS'!$C$15:$C$320,$A159-WEEKDAY($A159,2)+1)</f>
        <v/>
      </c>
      <c r="O159" s="159">
        <f>SUMIFS('METAS EMPRESAS'!$J$15:$J$320,'METAS EMPRESAS'!$A$15:$A$320,"EJ",'METAS EMPRESAS'!$B$15:$B$320,"IÇAMENTO JOIST",'METAS EMPRESAS'!$C$15:$C$320,$A159-WEEKDAY($A159,2)+1)</f>
        <v/>
      </c>
      <c r="P159" s="159">
        <f>SUMIFS('METAS EMPRESAS'!$J$15:$J$320,'METAS EMPRESAS'!$A$15:$A$320,"EJ",'METAS EMPRESAS'!$B$15:$B$320,"VIGAS",'METAS EMPRESAS'!$C$15:$C$320,$A159-WEEKDAY($A159,2)+1)</f>
        <v/>
      </c>
      <c r="Q159" s="159">
        <f>SUMIFS('METAS EMPRESAS'!$J$15:$J$320,'METAS EMPRESAS'!$A$15:$A$320,"CMM",'METAS EMPRESAS'!$B$15:$B$320,"PREMONTAGEM",'METAS EMPRESAS'!$C$15:$C$320,$A159-WEEKDAY($A159,2)+1)</f>
        <v/>
      </c>
      <c r="R159" s="159">
        <f>SUMIFS('METAS EMPRESAS'!$J$15:$J$320,'METAS EMPRESAS'!$A$15:$A$320,"CMM",'METAS EMPRESAS'!$B$15:$B$320,"IÇAMENTO JOIST",'METAS EMPRESAS'!$C$15:$C$320,$A159-WEEKDAY($A159,2)+1)</f>
        <v/>
      </c>
      <c r="S159" s="159">
        <f>SUMIFS('METAS EMPRESAS'!$J$15:$J$320,'METAS EMPRESAS'!$A$15:$A$320,"CMM",'METAS EMPRESAS'!$B$15:$B$320,"VIGAS",'METAS EMPRESAS'!$C$15:$C$320,$A159-WEEKDAY($A159,2)+1)</f>
        <v/>
      </c>
      <c r="T159">
        <f>--(WEEKDAY(A159,2)&lt;=5)</f>
        <v/>
      </c>
      <c r="U159" t="n">
        <v>19</v>
      </c>
      <c r="V159" t="n">
        <v>7</v>
      </c>
      <c r="W159" t="n">
        <v>0</v>
      </c>
      <c r="X159" t="n">
        <v>5</v>
      </c>
      <c r="Y159" t="n">
        <v>5</v>
      </c>
      <c r="Z159" t="n">
        <v>5</v>
      </c>
      <c r="AA159" t="n">
        <v>95</v>
      </c>
      <c r="AB159" t="n">
        <v>35</v>
      </c>
      <c r="AC159" t="n">
        <v>0</v>
      </c>
    </row>
    <row r="160">
      <c r="A160" s="317" t="n">
        <v>46381</v>
      </c>
      <c r="B160" s="159">
        <f>SUMIFS('METAS EMPRESAS'!$K$15:$K$320,'METAS EMPRESAS'!$A$15:$A$320,"EJ",'METAS EMPRESAS'!$B$15:$B$320,"PREMONTAGEM",'METAS EMPRESAS'!$C$15:$C$320,$A160-WEEKDAY($A160,2)+1)</f>
        <v/>
      </c>
      <c r="C160" s="159">
        <f>SUMIFS('METAS EMPRESAS'!$K$15:$K$320,'METAS EMPRESAS'!$A$15:$A$320,"EJ",'METAS EMPRESAS'!$B$15:$B$320,"IÇAMENTO JOIST",'METAS EMPRESAS'!$C$15:$C$320,$A160-WEEKDAY($A160,2)+1)</f>
        <v/>
      </c>
      <c r="D160" s="159">
        <f>SUMIFS('METAS EMPRESAS'!$K$15:$K$320,'METAS EMPRESAS'!$A$15:$A$320,"EJ",'METAS EMPRESAS'!$B$15:$B$320,"VIGAS",'METAS EMPRESAS'!$C$15:$C$320,$A160-WEEKDAY($A160,2)+1)</f>
        <v/>
      </c>
      <c r="E160" s="159">
        <f>SUMIFS('METAS EMPRESAS'!$K$15:$K$320,'METAS EMPRESAS'!$A$15:$A$320,"CMM",'METAS EMPRESAS'!$B$15:$B$320,"PREMONTAGEM",'METAS EMPRESAS'!$C$15:$C$320,$A160-WEEKDAY($A160,2)+1)</f>
        <v/>
      </c>
      <c r="F160" s="159">
        <f>SUMIFS('METAS EMPRESAS'!$K$15:$K$320,'METAS EMPRESAS'!$A$15:$A$320,"CMM",'METAS EMPRESAS'!$B$15:$B$320,"IÇAMENTO JOIST",'METAS EMPRESAS'!$C$15:$C$320,$A160-WEEKDAY($A160,2)+1)</f>
        <v/>
      </c>
      <c r="G160" s="159">
        <f>SUMIFS('METAS EMPRESAS'!$K$15:$K$320,'METAS EMPRESAS'!$A$15:$A$320,"CMM",'METAS EMPRESAS'!$B$15:$B$320,"VIGAS",'METAS EMPRESAS'!$C$15:$C$320,$A160-WEEKDAY($A160,2)+1)</f>
        <v/>
      </c>
      <c r="H160" s="159">
        <f>SUMIFS('METAS EMPRESAS'!$G$15:$G$320,'METAS EMPRESAS'!$A$15:$A$320,"EJ",'METAS EMPRESAS'!$B$15:$B$320,"PREMONTAGEM",'METAS EMPRESAS'!$C$15:$C$320,$A160-WEEKDAY($A160,2)+1)</f>
        <v/>
      </c>
      <c r="I160" s="159">
        <f>SUMIFS('METAS EMPRESAS'!$G$15:$G$320,'METAS EMPRESAS'!$A$15:$A$320,"EJ",'METAS EMPRESAS'!$B$15:$B$320,"IÇAMENTO JOIST",'METAS EMPRESAS'!$C$15:$C$320,$A160-WEEKDAY($A160,2)+1)</f>
        <v/>
      </c>
      <c r="J160" s="159">
        <f>SUMIFS('METAS EMPRESAS'!$G$15:$G$320,'METAS EMPRESAS'!$A$15:$A$320,"EJ",'METAS EMPRESAS'!$B$15:$B$320,"VIGAS",'METAS EMPRESAS'!$C$15:$C$320,$A160-WEEKDAY($A160,2)+1)</f>
        <v/>
      </c>
      <c r="K160" s="159">
        <f>SUMIFS('METAS EMPRESAS'!$G$15:$G$320,'METAS EMPRESAS'!$A$15:$A$320,"CMM",'METAS EMPRESAS'!$B$15:$B$320,"PREMONTAGEM",'METAS EMPRESAS'!$C$15:$C$320,$A160-WEEKDAY($A160,2)+1)</f>
        <v/>
      </c>
      <c r="L160" s="159">
        <f>SUMIFS('METAS EMPRESAS'!$G$15:$G$320,'METAS EMPRESAS'!$A$15:$A$320,"CMM",'METAS EMPRESAS'!$B$15:$B$320,"IÇAMENTO JOIST",'METAS EMPRESAS'!$C$15:$C$320,$A160-WEEKDAY($A160,2)+1)</f>
        <v/>
      </c>
      <c r="M160" s="159">
        <f>SUMIFS('METAS EMPRESAS'!$G$15:$G$320,'METAS EMPRESAS'!$A$15:$A$320,"CMM",'METAS EMPRESAS'!$B$15:$B$320,"VIGAS",'METAS EMPRESAS'!$C$15:$C$320,$A160-WEEKDAY($A160,2)+1)</f>
        <v/>
      </c>
      <c r="N160" s="159">
        <f>SUMIFS('METAS EMPRESAS'!$J$15:$J$320,'METAS EMPRESAS'!$A$15:$A$320,"EJ",'METAS EMPRESAS'!$B$15:$B$320,"PREMONTAGEM",'METAS EMPRESAS'!$C$15:$C$320,$A160-WEEKDAY($A160,2)+1)</f>
        <v/>
      </c>
      <c r="O160" s="159">
        <f>SUMIFS('METAS EMPRESAS'!$J$15:$J$320,'METAS EMPRESAS'!$A$15:$A$320,"EJ",'METAS EMPRESAS'!$B$15:$B$320,"IÇAMENTO JOIST",'METAS EMPRESAS'!$C$15:$C$320,$A160-WEEKDAY($A160,2)+1)</f>
        <v/>
      </c>
      <c r="P160" s="159">
        <f>SUMIFS('METAS EMPRESAS'!$J$15:$J$320,'METAS EMPRESAS'!$A$15:$A$320,"EJ",'METAS EMPRESAS'!$B$15:$B$320,"VIGAS",'METAS EMPRESAS'!$C$15:$C$320,$A160-WEEKDAY($A160,2)+1)</f>
        <v/>
      </c>
      <c r="Q160" s="159">
        <f>SUMIFS('METAS EMPRESAS'!$J$15:$J$320,'METAS EMPRESAS'!$A$15:$A$320,"CMM",'METAS EMPRESAS'!$B$15:$B$320,"PREMONTAGEM",'METAS EMPRESAS'!$C$15:$C$320,$A160-WEEKDAY($A160,2)+1)</f>
        <v/>
      </c>
      <c r="R160" s="159">
        <f>SUMIFS('METAS EMPRESAS'!$J$15:$J$320,'METAS EMPRESAS'!$A$15:$A$320,"CMM",'METAS EMPRESAS'!$B$15:$B$320,"IÇAMENTO JOIST",'METAS EMPRESAS'!$C$15:$C$320,$A160-WEEKDAY($A160,2)+1)</f>
        <v/>
      </c>
      <c r="S160" s="159">
        <f>SUMIFS('METAS EMPRESAS'!$J$15:$J$320,'METAS EMPRESAS'!$A$15:$A$320,"CMM",'METAS EMPRESAS'!$B$15:$B$320,"VIGAS",'METAS EMPRESAS'!$C$15:$C$320,$A160-WEEKDAY($A160,2)+1)</f>
        <v/>
      </c>
      <c r="T160">
        <f>--(WEEKDAY(A160,2)&lt;=5)</f>
        <v/>
      </c>
      <c r="U160" t="n">
        <v>19</v>
      </c>
      <c r="V160" t="n">
        <v>7</v>
      </c>
      <c r="W160" t="n">
        <v>0</v>
      </c>
      <c r="X160" t="n">
        <v>5</v>
      </c>
      <c r="Y160" t="n">
        <v>5</v>
      </c>
      <c r="Z160" t="n">
        <v>5</v>
      </c>
      <c r="AA160" t="n">
        <v>95</v>
      </c>
      <c r="AB160" t="n">
        <v>35</v>
      </c>
      <c r="AC160" t="n">
        <v>0</v>
      </c>
    </row>
    <row r="161">
      <c r="A161" s="317" t="n">
        <v>46382</v>
      </c>
      <c r="B161" s="159">
        <f>SUMIFS('METAS EMPRESAS'!$K$15:$K$320,'METAS EMPRESAS'!$A$15:$A$320,"EJ",'METAS EMPRESAS'!$B$15:$B$320,"PREMONTAGEM",'METAS EMPRESAS'!$C$15:$C$320,$A161-WEEKDAY($A161,2)+1)</f>
        <v/>
      </c>
      <c r="C161" s="159">
        <f>SUMIFS('METAS EMPRESAS'!$K$15:$K$320,'METAS EMPRESAS'!$A$15:$A$320,"EJ",'METAS EMPRESAS'!$B$15:$B$320,"IÇAMENTO JOIST",'METAS EMPRESAS'!$C$15:$C$320,$A161-WEEKDAY($A161,2)+1)</f>
        <v/>
      </c>
      <c r="D161" s="159">
        <f>SUMIFS('METAS EMPRESAS'!$K$15:$K$320,'METAS EMPRESAS'!$A$15:$A$320,"EJ",'METAS EMPRESAS'!$B$15:$B$320,"VIGAS",'METAS EMPRESAS'!$C$15:$C$320,$A161-WEEKDAY($A161,2)+1)</f>
        <v/>
      </c>
      <c r="E161" s="159">
        <f>SUMIFS('METAS EMPRESAS'!$K$15:$K$320,'METAS EMPRESAS'!$A$15:$A$320,"CMM",'METAS EMPRESAS'!$B$15:$B$320,"PREMONTAGEM",'METAS EMPRESAS'!$C$15:$C$320,$A161-WEEKDAY($A161,2)+1)</f>
        <v/>
      </c>
      <c r="F161" s="159">
        <f>SUMIFS('METAS EMPRESAS'!$K$15:$K$320,'METAS EMPRESAS'!$A$15:$A$320,"CMM",'METAS EMPRESAS'!$B$15:$B$320,"IÇAMENTO JOIST",'METAS EMPRESAS'!$C$15:$C$320,$A161-WEEKDAY($A161,2)+1)</f>
        <v/>
      </c>
      <c r="G161" s="159">
        <f>SUMIFS('METAS EMPRESAS'!$K$15:$K$320,'METAS EMPRESAS'!$A$15:$A$320,"CMM",'METAS EMPRESAS'!$B$15:$B$320,"VIGAS",'METAS EMPRESAS'!$C$15:$C$320,$A161-WEEKDAY($A161,2)+1)</f>
        <v/>
      </c>
      <c r="H161" s="159">
        <f>SUMIFS('METAS EMPRESAS'!$G$15:$G$320,'METAS EMPRESAS'!$A$15:$A$320,"EJ",'METAS EMPRESAS'!$B$15:$B$320,"PREMONTAGEM",'METAS EMPRESAS'!$C$15:$C$320,$A161-WEEKDAY($A161,2)+1)</f>
        <v/>
      </c>
      <c r="I161" s="159">
        <f>SUMIFS('METAS EMPRESAS'!$G$15:$G$320,'METAS EMPRESAS'!$A$15:$A$320,"EJ",'METAS EMPRESAS'!$B$15:$B$320,"IÇAMENTO JOIST",'METAS EMPRESAS'!$C$15:$C$320,$A161-WEEKDAY($A161,2)+1)</f>
        <v/>
      </c>
      <c r="J161" s="159">
        <f>SUMIFS('METAS EMPRESAS'!$G$15:$G$320,'METAS EMPRESAS'!$A$15:$A$320,"EJ",'METAS EMPRESAS'!$B$15:$B$320,"VIGAS",'METAS EMPRESAS'!$C$15:$C$320,$A161-WEEKDAY($A161,2)+1)</f>
        <v/>
      </c>
      <c r="K161" s="159">
        <f>SUMIFS('METAS EMPRESAS'!$G$15:$G$320,'METAS EMPRESAS'!$A$15:$A$320,"CMM",'METAS EMPRESAS'!$B$15:$B$320,"PREMONTAGEM",'METAS EMPRESAS'!$C$15:$C$320,$A161-WEEKDAY($A161,2)+1)</f>
        <v/>
      </c>
      <c r="L161" s="159">
        <f>SUMIFS('METAS EMPRESAS'!$G$15:$G$320,'METAS EMPRESAS'!$A$15:$A$320,"CMM",'METAS EMPRESAS'!$B$15:$B$320,"IÇAMENTO JOIST",'METAS EMPRESAS'!$C$15:$C$320,$A161-WEEKDAY($A161,2)+1)</f>
        <v/>
      </c>
      <c r="M161" s="159">
        <f>SUMIFS('METAS EMPRESAS'!$G$15:$G$320,'METAS EMPRESAS'!$A$15:$A$320,"CMM",'METAS EMPRESAS'!$B$15:$B$320,"VIGAS",'METAS EMPRESAS'!$C$15:$C$320,$A161-WEEKDAY($A161,2)+1)</f>
        <v/>
      </c>
      <c r="N161" s="159">
        <f>SUMIFS('METAS EMPRESAS'!$J$15:$J$320,'METAS EMPRESAS'!$A$15:$A$320,"EJ",'METAS EMPRESAS'!$B$15:$B$320,"PREMONTAGEM",'METAS EMPRESAS'!$C$15:$C$320,$A161-WEEKDAY($A161,2)+1)</f>
        <v/>
      </c>
      <c r="O161" s="159">
        <f>SUMIFS('METAS EMPRESAS'!$J$15:$J$320,'METAS EMPRESAS'!$A$15:$A$320,"EJ",'METAS EMPRESAS'!$B$15:$B$320,"IÇAMENTO JOIST",'METAS EMPRESAS'!$C$15:$C$320,$A161-WEEKDAY($A161,2)+1)</f>
        <v/>
      </c>
      <c r="P161" s="159">
        <f>SUMIFS('METAS EMPRESAS'!$J$15:$J$320,'METAS EMPRESAS'!$A$15:$A$320,"EJ",'METAS EMPRESAS'!$B$15:$B$320,"VIGAS",'METAS EMPRESAS'!$C$15:$C$320,$A161-WEEKDAY($A161,2)+1)</f>
        <v/>
      </c>
      <c r="Q161" s="159">
        <f>SUMIFS('METAS EMPRESAS'!$J$15:$J$320,'METAS EMPRESAS'!$A$15:$A$320,"CMM",'METAS EMPRESAS'!$B$15:$B$320,"PREMONTAGEM",'METAS EMPRESAS'!$C$15:$C$320,$A161-WEEKDAY($A161,2)+1)</f>
        <v/>
      </c>
      <c r="R161" s="159">
        <f>SUMIFS('METAS EMPRESAS'!$J$15:$J$320,'METAS EMPRESAS'!$A$15:$A$320,"CMM",'METAS EMPRESAS'!$B$15:$B$320,"IÇAMENTO JOIST",'METAS EMPRESAS'!$C$15:$C$320,$A161-WEEKDAY($A161,2)+1)</f>
        <v/>
      </c>
      <c r="S161" s="159">
        <f>SUMIFS('METAS EMPRESAS'!$J$15:$J$320,'METAS EMPRESAS'!$A$15:$A$320,"CMM",'METAS EMPRESAS'!$B$15:$B$320,"VIGAS",'METAS EMPRESAS'!$C$15:$C$320,$A161-WEEKDAY($A161,2)+1)</f>
        <v/>
      </c>
      <c r="T161">
        <f>--(WEEKDAY(A161,2)&lt;=5)</f>
        <v/>
      </c>
      <c r="U161" t="n">
        <v>19</v>
      </c>
      <c r="V161" t="n">
        <v>7</v>
      </c>
      <c r="W161" t="n">
        <v>0</v>
      </c>
      <c r="X161" t="n">
        <v>5</v>
      </c>
      <c r="Y161" t="n">
        <v>5</v>
      </c>
      <c r="Z161" t="n">
        <v>5</v>
      </c>
      <c r="AA161" t="n">
        <v>95</v>
      </c>
      <c r="AB161" t="n">
        <v>35</v>
      </c>
      <c r="AC161" t="n">
        <v>0</v>
      </c>
    </row>
    <row r="162">
      <c r="A162" s="317" t="n">
        <v>46383</v>
      </c>
      <c r="B162" s="159">
        <f>SUMIFS('METAS EMPRESAS'!$K$15:$K$320,'METAS EMPRESAS'!$A$15:$A$320,"EJ",'METAS EMPRESAS'!$B$15:$B$320,"PREMONTAGEM",'METAS EMPRESAS'!$C$15:$C$320,$A162-WEEKDAY($A162,2)+1)</f>
        <v/>
      </c>
      <c r="C162" s="159">
        <f>SUMIFS('METAS EMPRESAS'!$K$15:$K$320,'METAS EMPRESAS'!$A$15:$A$320,"EJ",'METAS EMPRESAS'!$B$15:$B$320,"IÇAMENTO JOIST",'METAS EMPRESAS'!$C$15:$C$320,$A162-WEEKDAY($A162,2)+1)</f>
        <v/>
      </c>
      <c r="D162" s="159">
        <f>SUMIFS('METAS EMPRESAS'!$K$15:$K$320,'METAS EMPRESAS'!$A$15:$A$320,"EJ",'METAS EMPRESAS'!$B$15:$B$320,"VIGAS",'METAS EMPRESAS'!$C$15:$C$320,$A162-WEEKDAY($A162,2)+1)</f>
        <v/>
      </c>
      <c r="E162" s="159">
        <f>SUMIFS('METAS EMPRESAS'!$K$15:$K$320,'METAS EMPRESAS'!$A$15:$A$320,"CMM",'METAS EMPRESAS'!$B$15:$B$320,"PREMONTAGEM",'METAS EMPRESAS'!$C$15:$C$320,$A162-WEEKDAY($A162,2)+1)</f>
        <v/>
      </c>
      <c r="F162" s="159">
        <f>SUMIFS('METAS EMPRESAS'!$K$15:$K$320,'METAS EMPRESAS'!$A$15:$A$320,"CMM",'METAS EMPRESAS'!$B$15:$B$320,"IÇAMENTO JOIST",'METAS EMPRESAS'!$C$15:$C$320,$A162-WEEKDAY($A162,2)+1)</f>
        <v/>
      </c>
      <c r="G162" s="159">
        <f>SUMIFS('METAS EMPRESAS'!$K$15:$K$320,'METAS EMPRESAS'!$A$15:$A$320,"CMM",'METAS EMPRESAS'!$B$15:$B$320,"VIGAS",'METAS EMPRESAS'!$C$15:$C$320,$A162-WEEKDAY($A162,2)+1)</f>
        <v/>
      </c>
      <c r="H162" s="159">
        <f>SUMIFS('METAS EMPRESAS'!$G$15:$G$320,'METAS EMPRESAS'!$A$15:$A$320,"EJ",'METAS EMPRESAS'!$B$15:$B$320,"PREMONTAGEM",'METAS EMPRESAS'!$C$15:$C$320,$A162-WEEKDAY($A162,2)+1)</f>
        <v/>
      </c>
      <c r="I162" s="159">
        <f>SUMIFS('METAS EMPRESAS'!$G$15:$G$320,'METAS EMPRESAS'!$A$15:$A$320,"EJ",'METAS EMPRESAS'!$B$15:$B$320,"IÇAMENTO JOIST",'METAS EMPRESAS'!$C$15:$C$320,$A162-WEEKDAY($A162,2)+1)</f>
        <v/>
      </c>
      <c r="J162" s="159">
        <f>SUMIFS('METAS EMPRESAS'!$G$15:$G$320,'METAS EMPRESAS'!$A$15:$A$320,"EJ",'METAS EMPRESAS'!$B$15:$B$320,"VIGAS",'METAS EMPRESAS'!$C$15:$C$320,$A162-WEEKDAY($A162,2)+1)</f>
        <v/>
      </c>
      <c r="K162" s="159">
        <f>SUMIFS('METAS EMPRESAS'!$G$15:$G$320,'METAS EMPRESAS'!$A$15:$A$320,"CMM",'METAS EMPRESAS'!$B$15:$B$320,"PREMONTAGEM",'METAS EMPRESAS'!$C$15:$C$320,$A162-WEEKDAY($A162,2)+1)</f>
        <v/>
      </c>
      <c r="L162" s="159">
        <f>SUMIFS('METAS EMPRESAS'!$G$15:$G$320,'METAS EMPRESAS'!$A$15:$A$320,"CMM",'METAS EMPRESAS'!$B$15:$B$320,"IÇAMENTO JOIST",'METAS EMPRESAS'!$C$15:$C$320,$A162-WEEKDAY($A162,2)+1)</f>
        <v/>
      </c>
      <c r="M162" s="159">
        <f>SUMIFS('METAS EMPRESAS'!$G$15:$G$320,'METAS EMPRESAS'!$A$15:$A$320,"CMM",'METAS EMPRESAS'!$B$15:$B$320,"VIGAS",'METAS EMPRESAS'!$C$15:$C$320,$A162-WEEKDAY($A162,2)+1)</f>
        <v/>
      </c>
      <c r="N162" s="159">
        <f>SUMIFS('METAS EMPRESAS'!$J$15:$J$320,'METAS EMPRESAS'!$A$15:$A$320,"EJ",'METAS EMPRESAS'!$B$15:$B$320,"PREMONTAGEM",'METAS EMPRESAS'!$C$15:$C$320,$A162-WEEKDAY($A162,2)+1)</f>
        <v/>
      </c>
      <c r="O162" s="159">
        <f>SUMIFS('METAS EMPRESAS'!$J$15:$J$320,'METAS EMPRESAS'!$A$15:$A$320,"EJ",'METAS EMPRESAS'!$B$15:$B$320,"IÇAMENTO JOIST",'METAS EMPRESAS'!$C$15:$C$320,$A162-WEEKDAY($A162,2)+1)</f>
        <v/>
      </c>
      <c r="P162" s="159">
        <f>SUMIFS('METAS EMPRESAS'!$J$15:$J$320,'METAS EMPRESAS'!$A$15:$A$320,"EJ",'METAS EMPRESAS'!$B$15:$B$320,"VIGAS",'METAS EMPRESAS'!$C$15:$C$320,$A162-WEEKDAY($A162,2)+1)</f>
        <v/>
      </c>
      <c r="Q162" s="159">
        <f>SUMIFS('METAS EMPRESAS'!$J$15:$J$320,'METAS EMPRESAS'!$A$15:$A$320,"CMM",'METAS EMPRESAS'!$B$15:$B$320,"PREMONTAGEM",'METAS EMPRESAS'!$C$15:$C$320,$A162-WEEKDAY($A162,2)+1)</f>
        <v/>
      </c>
      <c r="R162" s="159">
        <f>SUMIFS('METAS EMPRESAS'!$J$15:$J$320,'METAS EMPRESAS'!$A$15:$A$320,"CMM",'METAS EMPRESAS'!$B$15:$B$320,"IÇAMENTO JOIST",'METAS EMPRESAS'!$C$15:$C$320,$A162-WEEKDAY($A162,2)+1)</f>
        <v/>
      </c>
      <c r="S162" s="159">
        <f>SUMIFS('METAS EMPRESAS'!$J$15:$J$320,'METAS EMPRESAS'!$A$15:$A$320,"CMM",'METAS EMPRESAS'!$B$15:$B$320,"VIGAS",'METAS EMPRESAS'!$C$15:$C$320,$A162-WEEKDAY($A162,2)+1)</f>
        <v/>
      </c>
      <c r="T162">
        <f>--(WEEKDAY(A162,2)&lt;=5)</f>
        <v/>
      </c>
      <c r="U162" t="n">
        <v>19</v>
      </c>
      <c r="V162" t="n">
        <v>7</v>
      </c>
      <c r="W162" t="n">
        <v>0</v>
      </c>
      <c r="X162" t="n">
        <v>5</v>
      </c>
      <c r="Y162" t="n">
        <v>5</v>
      </c>
      <c r="Z162" t="n">
        <v>5</v>
      </c>
      <c r="AA162" t="n">
        <v>95</v>
      </c>
      <c r="AB162" t="n">
        <v>35</v>
      </c>
      <c r="AC162" t="n">
        <v>0</v>
      </c>
    </row>
    <row r="163">
      <c r="A163" s="317" t="n">
        <v>46384</v>
      </c>
      <c r="B163" s="159">
        <f>SUMIFS('METAS EMPRESAS'!$K$15:$K$320,'METAS EMPRESAS'!$A$15:$A$320,"EJ",'METAS EMPRESAS'!$B$15:$B$320,"PREMONTAGEM",'METAS EMPRESAS'!$C$15:$C$320,$A163-WEEKDAY($A163,2)+1)</f>
        <v/>
      </c>
      <c r="C163" s="159">
        <f>SUMIFS('METAS EMPRESAS'!$K$15:$K$320,'METAS EMPRESAS'!$A$15:$A$320,"EJ",'METAS EMPRESAS'!$B$15:$B$320,"IÇAMENTO JOIST",'METAS EMPRESAS'!$C$15:$C$320,$A163-WEEKDAY($A163,2)+1)</f>
        <v/>
      </c>
      <c r="D163" s="159">
        <f>SUMIFS('METAS EMPRESAS'!$K$15:$K$320,'METAS EMPRESAS'!$A$15:$A$320,"EJ",'METAS EMPRESAS'!$B$15:$B$320,"VIGAS",'METAS EMPRESAS'!$C$15:$C$320,$A163-WEEKDAY($A163,2)+1)</f>
        <v/>
      </c>
      <c r="E163" s="159">
        <f>SUMIFS('METAS EMPRESAS'!$K$15:$K$320,'METAS EMPRESAS'!$A$15:$A$320,"CMM",'METAS EMPRESAS'!$B$15:$B$320,"PREMONTAGEM",'METAS EMPRESAS'!$C$15:$C$320,$A163-WEEKDAY($A163,2)+1)</f>
        <v/>
      </c>
      <c r="F163" s="159">
        <f>SUMIFS('METAS EMPRESAS'!$K$15:$K$320,'METAS EMPRESAS'!$A$15:$A$320,"CMM",'METAS EMPRESAS'!$B$15:$B$320,"IÇAMENTO JOIST",'METAS EMPRESAS'!$C$15:$C$320,$A163-WEEKDAY($A163,2)+1)</f>
        <v/>
      </c>
      <c r="G163" s="159">
        <f>SUMIFS('METAS EMPRESAS'!$K$15:$K$320,'METAS EMPRESAS'!$A$15:$A$320,"CMM",'METAS EMPRESAS'!$B$15:$B$320,"VIGAS",'METAS EMPRESAS'!$C$15:$C$320,$A163-WEEKDAY($A163,2)+1)</f>
        <v/>
      </c>
      <c r="H163" s="159">
        <f>SUMIFS('METAS EMPRESAS'!$G$15:$G$320,'METAS EMPRESAS'!$A$15:$A$320,"EJ",'METAS EMPRESAS'!$B$15:$B$320,"PREMONTAGEM",'METAS EMPRESAS'!$C$15:$C$320,$A163-WEEKDAY($A163,2)+1)</f>
        <v/>
      </c>
      <c r="I163" s="159">
        <f>SUMIFS('METAS EMPRESAS'!$G$15:$G$320,'METAS EMPRESAS'!$A$15:$A$320,"EJ",'METAS EMPRESAS'!$B$15:$B$320,"IÇAMENTO JOIST",'METAS EMPRESAS'!$C$15:$C$320,$A163-WEEKDAY($A163,2)+1)</f>
        <v/>
      </c>
      <c r="J163" s="159">
        <f>SUMIFS('METAS EMPRESAS'!$G$15:$G$320,'METAS EMPRESAS'!$A$15:$A$320,"EJ",'METAS EMPRESAS'!$B$15:$B$320,"VIGAS",'METAS EMPRESAS'!$C$15:$C$320,$A163-WEEKDAY($A163,2)+1)</f>
        <v/>
      </c>
      <c r="K163" s="159">
        <f>SUMIFS('METAS EMPRESAS'!$G$15:$G$320,'METAS EMPRESAS'!$A$15:$A$320,"CMM",'METAS EMPRESAS'!$B$15:$B$320,"PREMONTAGEM",'METAS EMPRESAS'!$C$15:$C$320,$A163-WEEKDAY($A163,2)+1)</f>
        <v/>
      </c>
      <c r="L163" s="159">
        <f>SUMIFS('METAS EMPRESAS'!$G$15:$G$320,'METAS EMPRESAS'!$A$15:$A$320,"CMM",'METAS EMPRESAS'!$B$15:$B$320,"IÇAMENTO JOIST",'METAS EMPRESAS'!$C$15:$C$320,$A163-WEEKDAY($A163,2)+1)</f>
        <v/>
      </c>
      <c r="M163" s="159">
        <f>SUMIFS('METAS EMPRESAS'!$G$15:$G$320,'METAS EMPRESAS'!$A$15:$A$320,"CMM",'METAS EMPRESAS'!$B$15:$B$320,"VIGAS",'METAS EMPRESAS'!$C$15:$C$320,$A163-WEEKDAY($A163,2)+1)</f>
        <v/>
      </c>
      <c r="N163" s="159">
        <f>SUMIFS('METAS EMPRESAS'!$J$15:$J$320,'METAS EMPRESAS'!$A$15:$A$320,"EJ",'METAS EMPRESAS'!$B$15:$B$320,"PREMONTAGEM",'METAS EMPRESAS'!$C$15:$C$320,$A163-WEEKDAY($A163,2)+1)</f>
        <v/>
      </c>
      <c r="O163" s="159">
        <f>SUMIFS('METAS EMPRESAS'!$J$15:$J$320,'METAS EMPRESAS'!$A$15:$A$320,"EJ",'METAS EMPRESAS'!$B$15:$B$320,"IÇAMENTO JOIST",'METAS EMPRESAS'!$C$15:$C$320,$A163-WEEKDAY($A163,2)+1)</f>
        <v/>
      </c>
      <c r="P163" s="159">
        <f>SUMIFS('METAS EMPRESAS'!$J$15:$J$320,'METAS EMPRESAS'!$A$15:$A$320,"EJ",'METAS EMPRESAS'!$B$15:$B$320,"VIGAS",'METAS EMPRESAS'!$C$15:$C$320,$A163-WEEKDAY($A163,2)+1)</f>
        <v/>
      </c>
      <c r="Q163" s="159">
        <f>SUMIFS('METAS EMPRESAS'!$J$15:$J$320,'METAS EMPRESAS'!$A$15:$A$320,"CMM",'METAS EMPRESAS'!$B$15:$B$320,"PREMONTAGEM",'METAS EMPRESAS'!$C$15:$C$320,$A163-WEEKDAY($A163,2)+1)</f>
        <v/>
      </c>
      <c r="R163" s="159">
        <f>SUMIFS('METAS EMPRESAS'!$J$15:$J$320,'METAS EMPRESAS'!$A$15:$A$320,"CMM",'METAS EMPRESAS'!$B$15:$B$320,"IÇAMENTO JOIST",'METAS EMPRESAS'!$C$15:$C$320,$A163-WEEKDAY($A163,2)+1)</f>
        <v/>
      </c>
      <c r="S163" s="159">
        <f>SUMIFS('METAS EMPRESAS'!$J$15:$J$320,'METAS EMPRESAS'!$A$15:$A$320,"CMM",'METAS EMPRESAS'!$B$15:$B$320,"VIGAS",'METAS EMPRESAS'!$C$15:$C$320,$A163-WEEKDAY($A163,2)+1)</f>
        <v/>
      </c>
      <c r="T163">
        <f>--(WEEKDAY(A163,2)&lt;=5)</f>
        <v/>
      </c>
      <c r="U163" t="n">
        <v>19</v>
      </c>
      <c r="V163" t="n">
        <v>7</v>
      </c>
      <c r="W163" t="n">
        <v>0</v>
      </c>
      <c r="X163" t="n">
        <v>5</v>
      </c>
      <c r="Y163" t="n">
        <v>5</v>
      </c>
      <c r="Z163" t="n">
        <v>5</v>
      </c>
      <c r="AA163" t="n">
        <v>95</v>
      </c>
      <c r="AB163" t="n">
        <v>35</v>
      </c>
      <c r="AC163" t="n">
        <v>0</v>
      </c>
    </row>
    <row r="164">
      <c r="A164" s="317" t="n">
        <v>46385</v>
      </c>
      <c r="B164" s="159">
        <f>SUMIFS('METAS EMPRESAS'!$K$15:$K$320,'METAS EMPRESAS'!$A$15:$A$320,"EJ",'METAS EMPRESAS'!$B$15:$B$320,"PREMONTAGEM",'METAS EMPRESAS'!$C$15:$C$320,$A164-WEEKDAY($A164,2)+1)</f>
        <v/>
      </c>
      <c r="C164" s="159">
        <f>SUMIFS('METAS EMPRESAS'!$K$15:$K$320,'METAS EMPRESAS'!$A$15:$A$320,"EJ",'METAS EMPRESAS'!$B$15:$B$320,"IÇAMENTO JOIST",'METAS EMPRESAS'!$C$15:$C$320,$A164-WEEKDAY($A164,2)+1)</f>
        <v/>
      </c>
      <c r="D164" s="159">
        <f>SUMIFS('METAS EMPRESAS'!$K$15:$K$320,'METAS EMPRESAS'!$A$15:$A$320,"EJ",'METAS EMPRESAS'!$B$15:$B$320,"VIGAS",'METAS EMPRESAS'!$C$15:$C$320,$A164-WEEKDAY($A164,2)+1)</f>
        <v/>
      </c>
      <c r="E164" s="159">
        <f>SUMIFS('METAS EMPRESAS'!$K$15:$K$320,'METAS EMPRESAS'!$A$15:$A$320,"CMM",'METAS EMPRESAS'!$B$15:$B$320,"PREMONTAGEM",'METAS EMPRESAS'!$C$15:$C$320,$A164-WEEKDAY($A164,2)+1)</f>
        <v/>
      </c>
      <c r="F164" s="159">
        <f>SUMIFS('METAS EMPRESAS'!$K$15:$K$320,'METAS EMPRESAS'!$A$15:$A$320,"CMM",'METAS EMPRESAS'!$B$15:$B$320,"IÇAMENTO JOIST",'METAS EMPRESAS'!$C$15:$C$320,$A164-WEEKDAY($A164,2)+1)</f>
        <v/>
      </c>
      <c r="G164" s="159">
        <f>SUMIFS('METAS EMPRESAS'!$K$15:$K$320,'METAS EMPRESAS'!$A$15:$A$320,"CMM",'METAS EMPRESAS'!$B$15:$B$320,"VIGAS",'METAS EMPRESAS'!$C$15:$C$320,$A164-WEEKDAY($A164,2)+1)</f>
        <v/>
      </c>
      <c r="H164" s="159">
        <f>SUMIFS('METAS EMPRESAS'!$G$15:$G$320,'METAS EMPRESAS'!$A$15:$A$320,"EJ",'METAS EMPRESAS'!$B$15:$B$320,"PREMONTAGEM",'METAS EMPRESAS'!$C$15:$C$320,$A164-WEEKDAY($A164,2)+1)</f>
        <v/>
      </c>
      <c r="I164" s="159">
        <f>SUMIFS('METAS EMPRESAS'!$G$15:$G$320,'METAS EMPRESAS'!$A$15:$A$320,"EJ",'METAS EMPRESAS'!$B$15:$B$320,"IÇAMENTO JOIST",'METAS EMPRESAS'!$C$15:$C$320,$A164-WEEKDAY($A164,2)+1)</f>
        <v/>
      </c>
      <c r="J164" s="159">
        <f>SUMIFS('METAS EMPRESAS'!$G$15:$G$320,'METAS EMPRESAS'!$A$15:$A$320,"EJ",'METAS EMPRESAS'!$B$15:$B$320,"VIGAS",'METAS EMPRESAS'!$C$15:$C$320,$A164-WEEKDAY($A164,2)+1)</f>
        <v/>
      </c>
      <c r="K164" s="159">
        <f>SUMIFS('METAS EMPRESAS'!$G$15:$G$320,'METAS EMPRESAS'!$A$15:$A$320,"CMM",'METAS EMPRESAS'!$B$15:$B$320,"PREMONTAGEM",'METAS EMPRESAS'!$C$15:$C$320,$A164-WEEKDAY($A164,2)+1)</f>
        <v/>
      </c>
      <c r="L164" s="159">
        <f>SUMIFS('METAS EMPRESAS'!$G$15:$G$320,'METAS EMPRESAS'!$A$15:$A$320,"CMM",'METAS EMPRESAS'!$B$15:$B$320,"IÇAMENTO JOIST",'METAS EMPRESAS'!$C$15:$C$320,$A164-WEEKDAY($A164,2)+1)</f>
        <v/>
      </c>
      <c r="M164" s="159">
        <f>SUMIFS('METAS EMPRESAS'!$G$15:$G$320,'METAS EMPRESAS'!$A$15:$A$320,"CMM",'METAS EMPRESAS'!$B$15:$B$320,"VIGAS",'METAS EMPRESAS'!$C$15:$C$320,$A164-WEEKDAY($A164,2)+1)</f>
        <v/>
      </c>
      <c r="N164" s="159">
        <f>SUMIFS('METAS EMPRESAS'!$J$15:$J$320,'METAS EMPRESAS'!$A$15:$A$320,"EJ",'METAS EMPRESAS'!$B$15:$B$320,"PREMONTAGEM",'METAS EMPRESAS'!$C$15:$C$320,$A164-WEEKDAY($A164,2)+1)</f>
        <v/>
      </c>
      <c r="O164" s="159">
        <f>SUMIFS('METAS EMPRESAS'!$J$15:$J$320,'METAS EMPRESAS'!$A$15:$A$320,"EJ",'METAS EMPRESAS'!$B$15:$B$320,"IÇAMENTO JOIST",'METAS EMPRESAS'!$C$15:$C$320,$A164-WEEKDAY($A164,2)+1)</f>
        <v/>
      </c>
      <c r="P164" s="159">
        <f>SUMIFS('METAS EMPRESAS'!$J$15:$J$320,'METAS EMPRESAS'!$A$15:$A$320,"EJ",'METAS EMPRESAS'!$B$15:$B$320,"VIGAS",'METAS EMPRESAS'!$C$15:$C$320,$A164-WEEKDAY($A164,2)+1)</f>
        <v/>
      </c>
      <c r="Q164" s="159">
        <f>SUMIFS('METAS EMPRESAS'!$J$15:$J$320,'METAS EMPRESAS'!$A$15:$A$320,"CMM",'METAS EMPRESAS'!$B$15:$B$320,"PREMONTAGEM",'METAS EMPRESAS'!$C$15:$C$320,$A164-WEEKDAY($A164,2)+1)</f>
        <v/>
      </c>
      <c r="R164" s="159">
        <f>SUMIFS('METAS EMPRESAS'!$J$15:$J$320,'METAS EMPRESAS'!$A$15:$A$320,"CMM",'METAS EMPRESAS'!$B$15:$B$320,"IÇAMENTO JOIST",'METAS EMPRESAS'!$C$15:$C$320,$A164-WEEKDAY($A164,2)+1)</f>
        <v/>
      </c>
      <c r="S164" s="159">
        <f>SUMIFS('METAS EMPRESAS'!$J$15:$J$320,'METAS EMPRESAS'!$A$15:$A$320,"CMM",'METAS EMPRESAS'!$B$15:$B$320,"VIGAS",'METAS EMPRESAS'!$C$15:$C$320,$A164-WEEKDAY($A164,2)+1)</f>
        <v/>
      </c>
      <c r="T164">
        <f>--(WEEKDAY(A164,2)&lt;=5)</f>
        <v/>
      </c>
      <c r="U164" t="n">
        <v>19</v>
      </c>
      <c r="V164" t="n">
        <v>7</v>
      </c>
      <c r="W164" t="n">
        <v>0</v>
      </c>
      <c r="X164" t="n">
        <v>5</v>
      </c>
      <c r="Y164" t="n">
        <v>5</v>
      </c>
      <c r="Z164" t="n">
        <v>5</v>
      </c>
      <c r="AA164" t="n">
        <v>95</v>
      </c>
      <c r="AB164" t="n">
        <v>35</v>
      </c>
      <c r="AC164" t="n">
        <v>0</v>
      </c>
    </row>
    <row r="165">
      <c r="A165" s="317" t="n">
        <v>46386</v>
      </c>
      <c r="B165" s="159">
        <f>SUMIFS('METAS EMPRESAS'!$K$15:$K$320,'METAS EMPRESAS'!$A$15:$A$320,"EJ",'METAS EMPRESAS'!$B$15:$B$320,"PREMONTAGEM",'METAS EMPRESAS'!$C$15:$C$320,$A165-WEEKDAY($A165,2)+1)</f>
        <v/>
      </c>
      <c r="C165" s="159">
        <f>SUMIFS('METAS EMPRESAS'!$K$15:$K$320,'METAS EMPRESAS'!$A$15:$A$320,"EJ",'METAS EMPRESAS'!$B$15:$B$320,"IÇAMENTO JOIST",'METAS EMPRESAS'!$C$15:$C$320,$A165-WEEKDAY($A165,2)+1)</f>
        <v/>
      </c>
      <c r="D165" s="159">
        <f>SUMIFS('METAS EMPRESAS'!$K$15:$K$320,'METAS EMPRESAS'!$A$15:$A$320,"EJ",'METAS EMPRESAS'!$B$15:$B$320,"VIGAS",'METAS EMPRESAS'!$C$15:$C$320,$A165-WEEKDAY($A165,2)+1)</f>
        <v/>
      </c>
      <c r="E165" s="159">
        <f>SUMIFS('METAS EMPRESAS'!$K$15:$K$320,'METAS EMPRESAS'!$A$15:$A$320,"CMM",'METAS EMPRESAS'!$B$15:$B$320,"PREMONTAGEM",'METAS EMPRESAS'!$C$15:$C$320,$A165-WEEKDAY($A165,2)+1)</f>
        <v/>
      </c>
      <c r="F165" s="159">
        <f>SUMIFS('METAS EMPRESAS'!$K$15:$K$320,'METAS EMPRESAS'!$A$15:$A$320,"CMM",'METAS EMPRESAS'!$B$15:$B$320,"IÇAMENTO JOIST",'METAS EMPRESAS'!$C$15:$C$320,$A165-WEEKDAY($A165,2)+1)</f>
        <v/>
      </c>
      <c r="G165" s="159">
        <f>SUMIFS('METAS EMPRESAS'!$K$15:$K$320,'METAS EMPRESAS'!$A$15:$A$320,"CMM",'METAS EMPRESAS'!$B$15:$B$320,"VIGAS",'METAS EMPRESAS'!$C$15:$C$320,$A165-WEEKDAY($A165,2)+1)</f>
        <v/>
      </c>
      <c r="H165" s="159">
        <f>SUMIFS('METAS EMPRESAS'!$G$15:$G$320,'METAS EMPRESAS'!$A$15:$A$320,"EJ",'METAS EMPRESAS'!$B$15:$B$320,"PREMONTAGEM",'METAS EMPRESAS'!$C$15:$C$320,$A165-WEEKDAY($A165,2)+1)</f>
        <v/>
      </c>
      <c r="I165" s="159">
        <f>SUMIFS('METAS EMPRESAS'!$G$15:$G$320,'METAS EMPRESAS'!$A$15:$A$320,"EJ",'METAS EMPRESAS'!$B$15:$B$320,"IÇAMENTO JOIST",'METAS EMPRESAS'!$C$15:$C$320,$A165-WEEKDAY($A165,2)+1)</f>
        <v/>
      </c>
      <c r="J165" s="159">
        <f>SUMIFS('METAS EMPRESAS'!$G$15:$G$320,'METAS EMPRESAS'!$A$15:$A$320,"EJ",'METAS EMPRESAS'!$B$15:$B$320,"VIGAS",'METAS EMPRESAS'!$C$15:$C$320,$A165-WEEKDAY($A165,2)+1)</f>
        <v/>
      </c>
      <c r="K165" s="159">
        <f>SUMIFS('METAS EMPRESAS'!$G$15:$G$320,'METAS EMPRESAS'!$A$15:$A$320,"CMM",'METAS EMPRESAS'!$B$15:$B$320,"PREMONTAGEM",'METAS EMPRESAS'!$C$15:$C$320,$A165-WEEKDAY($A165,2)+1)</f>
        <v/>
      </c>
      <c r="L165" s="159">
        <f>SUMIFS('METAS EMPRESAS'!$G$15:$G$320,'METAS EMPRESAS'!$A$15:$A$320,"CMM",'METAS EMPRESAS'!$B$15:$B$320,"IÇAMENTO JOIST",'METAS EMPRESAS'!$C$15:$C$320,$A165-WEEKDAY($A165,2)+1)</f>
        <v/>
      </c>
      <c r="M165" s="159">
        <f>SUMIFS('METAS EMPRESAS'!$G$15:$G$320,'METAS EMPRESAS'!$A$15:$A$320,"CMM",'METAS EMPRESAS'!$B$15:$B$320,"VIGAS",'METAS EMPRESAS'!$C$15:$C$320,$A165-WEEKDAY($A165,2)+1)</f>
        <v/>
      </c>
      <c r="N165" s="159">
        <f>SUMIFS('METAS EMPRESAS'!$J$15:$J$320,'METAS EMPRESAS'!$A$15:$A$320,"EJ",'METAS EMPRESAS'!$B$15:$B$320,"PREMONTAGEM",'METAS EMPRESAS'!$C$15:$C$320,$A165-WEEKDAY($A165,2)+1)</f>
        <v/>
      </c>
      <c r="O165" s="159">
        <f>SUMIFS('METAS EMPRESAS'!$J$15:$J$320,'METAS EMPRESAS'!$A$15:$A$320,"EJ",'METAS EMPRESAS'!$B$15:$B$320,"IÇAMENTO JOIST",'METAS EMPRESAS'!$C$15:$C$320,$A165-WEEKDAY($A165,2)+1)</f>
        <v/>
      </c>
      <c r="P165" s="159">
        <f>SUMIFS('METAS EMPRESAS'!$J$15:$J$320,'METAS EMPRESAS'!$A$15:$A$320,"EJ",'METAS EMPRESAS'!$B$15:$B$320,"VIGAS",'METAS EMPRESAS'!$C$15:$C$320,$A165-WEEKDAY($A165,2)+1)</f>
        <v/>
      </c>
      <c r="Q165" s="159">
        <f>SUMIFS('METAS EMPRESAS'!$J$15:$J$320,'METAS EMPRESAS'!$A$15:$A$320,"CMM",'METAS EMPRESAS'!$B$15:$B$320,"PREMONTAGEM",'METAS EMPRESAS'!$C$15:$C$320,$A165-WEEKDAY($A165,2)+1)</f>
        <v/>
      </c>
      <c r="R165" s="159">
        <f>SUMIFS('METAS EMPRESAS'!$J$15:$J$320,'METAS EMPRESAS'!$A$15:$A$320,"CMM",'METAS EMPRESAS'!$B$15:$B$320,"IÇAMENTO JOIST",'METAS EMPRESAS'!$C$15:$C$320,$A165-WEEKDAY($A165,2)+1)</f>
        <v/>
      </c>
      <c r="S165" s="159">
        <f>SUMIFS('METAS EMPRESAS'!$J$15:$J$320,'METAS EMPRESAS'!$A$15:$A$320,"CMM",'METAS EMPRESAS'!$B$15:$B$320,"VIGAS",'METAS EMPRESAS'!$C$15:$C$320,$A165-WEEKDAY($A165,2)+1)</f>
        <v/>
      </c>
      <c r="T165">
        <f>--(WEEKDAY(A165,2)&lt;=5)</f>
        <v/>
      </c>
      <c r="U165" t="n">
        <v>19</v>
      </c>
      <c r="V165" t="n">
        <v>7</v>
      </c>
      <c r="W165" t="n">
        <v>0</v>
      </c>
      <c r="X165" t="n">
        <v>5</v>
      </c>
      <c r="Y165" t="n">
        <v>5</v>
      </c>
      <c r="Z165" t="n">
        <v>5</v>
      </c>
      <c r="AA165" t="n">
        <v>95</v>
      </c>
      <c r="AB165" t="n">
        <v>35</v>
      </c>
      <c r="AC165" t="n">
        <v>0</v>
      </c>
    </row>
    <row r="166">
      <c r="A166" s="317" t="n">
        <v>46387</v>
      </c>
      <c r="B166" s="159">
        <f>SUMIFS('METAS EMPRESAS'!$K$15:$K$320,'METAS EMPRESAS'!$A$15:$A$320,"EJ",'METAS EMPRESAS'!$B$15:$B$320,"PREMONTAGEM",'METAS EMPRESAS'!$C$15:$C$320,$A166-WEEKDAY($A166,2)+1)</f>
        <v/>
      </c>
      <c r="C166" s="159">
        <f>SUMIFS('METAS EMPRESAS'!$K$15:$K$320,'METAS EMPRESAS'!$A$15:$A$320,"EJ",'METAS EMPRESAS'!$B$15:$B$320,"IÇAMENTO JOIST",'METAS EMPRESAS'!$C$15:$C$320,$A166-WEEKDAY($A166,2)+1)</f>
        <v/>
      </c>
      <c r="D166" s="159">
        <f>SUMIFS('METAS EMPRESAS'!$K$15:$K$320,'METAS EMPRESAS'!$A$15:$A$320,"EJ",'METAS EMPRESAS'!$B$15:$B$320,"VIGAS",'METAS EMPRESAS'!$C$15:$C$320,$A166-WEEKDAY($A166,2)+1)</f>
        <v/>
      </c>
      <c r="E166" s="159">
        <f>SUMIFS('METAS EMPRESAS'!$K$15:$K$320,'METAS EMPRESAS'!$A$15:$A$320,"CMM",'METAS EMPRESAS'!$B$15:$B$320,"PREMONTAGEM",'METAS EMPRESAS'!$C$15:$C$320,$A166-WEEKDAY($A166,2)+1)</f>
        <v/>
      </c>
      <c r="F166" s="159">
        <f>SUMIFS('METAS EMPRESAS'!$K$15:$K$320,'METAS EMPRESAS'!$A$15:$A$320,"CMM",'METAS EMPRESAS'!$B$15:$B$320,"IÇAMENTO JOIST",'METAS EMPRESAS'!$C$15:$C$320,$A166-WEEKDAY($A166,2)+1)</f>
        <v/>
      </c>
      <c r="G166" s="159">
        <f>SUMIFS('METAS EMPRESAS'!$K$15:$K$320,'METAS EMPRESAS'!$A$15:$A$320,"CMM",'METAS EMPRESAS'!$B$15:$B$320,"VIGAS",'METAS EMPRESAS'!$C$15:$C$320,$A166-WEEKDAY($A166,2)+1)</f>
        <v/>
      </c>
      <c r="H166" s="159">
        <f>SUMIFS('METAS EMPRESAS'!$G$15:$G$320,'METAS EMPRESAS'!$A$15:$A$320,"EJ",'METAS EMPRESAS'!$B$15:$B$320,"PREMONTAGEM",'METAS EMPRESAS'!$C$15:$C$320,$A166-WEEKDAY($A166,2)+1)</f>
        <v/>
      </c>
      <c r="I166" s="159">
        <f>SUMIFS('METAS EMPRESAS'!$G$15:$G$320,'METAS EMPRESAS'!$A$15:$A$320,"EJ",'METAS EMPRESAS'!$B$15:$B$320,"IÇAMENTO JOIST",'METAS EMPRESAS'!$C$15:$C$320,$A166-WEEKDAY($A166,2)+1)</f>
        <v/>
      </c>
      <c r="J166" s="159">
        <f>SUMIFS('METAS EMPRESAS'!$G$15:$G$320,'METAS EMPRESAS'!$A$15:$A$320,"EJ",'METAS EMPRESAS'!$B$15:$B$320,"VIGAS",'METAS EMPRESAS'!$C$15:$C$320,$A166-WEEKDAY($A166,2)+1)</f>
        <v/>
      </c>
      <c r="K166" s="159">
        <f>SUMIFS('METAS EMPRESAS'!$G$15:$G$320,'METAS EMPRESAS'!$A$15:$A$320,"CMM",'METAS EMPRESAS'!$B$15:$B$320,"PREMONTAGEM",'METAS EMPRESAS'!$C$15:$C$320,$A166-WEEKDAY($A166,2)+1)</f>
        <v/>
      </c>
      <c r="L166" s="159">
        <f>SUMIFS('METAS EMPRESAS'!$G$15:$G$320,'METAS EMPRESAS'!$A$15:$A$320,"CMM",'METAS EMPRESAS'!$B$15:$B$320,"IÇAMENTO JOIST",'METAS EMPRESAS'!$C$15:$C$320,$A166-WEEKDAY($A166,2)+1)</f>
        <v/>
      </c>
      <c r="M166" s="159">
        <f>SUMIFS('METAS EMPRESAS'!$G$15:$G$320,'METAS EMPRESAS'!$A$15:$A$320,"CMM",'METAS EMPRESAS'!$B$15:$B$320,"VIGAS",'METAS EMPRESAS'!$C$15:$C$320,$A166-WEEKDAY($A166,2)+1)</f>
        <v/>
      </c>
      <c r="N166" s="159">
        <f>SUMIFS('METAS EMPRESAS'!$J$15:$J$320,'METAS EMPRESAS'!$A$15:$A$320,"EJ",'METAS EMPRESAS'!$B$15:$B$320,"PREMONTAGEM",'METAS EMPRESAS'!$C$15:$C$320,$A166-WEEKDAY($A166,2)+1)</f>
        <v/>
      </c>
      <c r="O166" s="159">
        <f>SUMIFS('METAS EMPRESAS'!$J$15:$J$320,'METAS EMPRESAS'!$A$15:$A$320,"EJ",'METAS EMPRESAS'!$B$15:$B$320,"IÇAMENTO JOIST",'METAS EMPRESAS'!$C$15:$C$320,$A166-WEEKDAY($A166,2)+1)</f>
        <v/>
      </c>
      <c r="P166" s="159">
        <f>SUMIFS('METAS EMPRESAS'!$J$15:$J$320,'METAS EMPRESAS'!$A$15:$A$320,"EJ",'METAS EMPRESAS'!$B$15:$B$320,"VIGAS",'METAS EMPRESAS'!$C$15:$C$320,$A166-WEEKDAY($A166,2)+1)</f>
        <v/>
      </c>
      <c r="Q166" s="159">
        <f>SUMIFS('METAS EMPRESAS'!$J$15:$J$320,'METAS EMPRESAS'!$A$15:$A$320,"CMM",'METAS EMPRESAS'!$B$15:$B$320,"PREMONTAGEM",'METAS EMPRESAS'!$C$15:$C$320,$A166-WEEKDAY($A166,2)+1)</f>
        <v/>
      </c>
      <c r="R166" s="159">
        <f>SUMIFS('METAS EMPRESAS'!$J$15:$J$320,'METAS EMPRESAS'!$A$15:$A$320,"CMM",'METAS EMPRESAS'!$B$15:$B$320,"IÇAMENTO JOIST",'METAS EMPRESAS'!$C$15:$C$320,$A166-WEEKDAY($A166,2)+1)</f>
        <v/>
      </c>
      <c r="S166" s="159">
        <f>SUMIFS('METAS EMPRESAS'!$J$15:$J$320,'METAS EMPRESAS'!$A$15:$A$320,"CMM",'METAS EMPRESAS'!$B$15:$B$320,"VIGAS",'METAS EMPRESAS'!$C$15:$C$320,$A166-WEEKDAY($A166,2)+1)</f>
        <v/>
      </c>
      <c r="T166">
        <f>--(WEEKDAY(A166,2)&lt;=5)</f>
        <v/>
      </c>
      <c r="U166" t="n">
        <v>19</v>
      </c>
      <c r="V166" t="n">
        <v>7</v>
      </c>
      <c r="W166" t="n">
        <v>0</v>
      </c>
      <c r="X166" t="n">
        <v>5</v>
      </c>
      <c r="Y166" t="n">
        <v>5</v>
      </c>
      <c r="Z166" t="n">
        <v>5</v>
      </c>
      <c r="AA166" t="n">
        <v>95</v>
      </c>
      <c r="AB166" t="n">
        <v>35</v>
      </c>
      <c r="AC166" t="n">
        <v>0</v>
      </c>
    </row>
    <row r="167">
      <c r="A167" s="317" t="n">
        <v>46388</v>
      </c>
      <c r="B167" s="159">
        <f>SUMIFS('METAS EMPRESAS'!$K$15:$K$320,'METAS EMPRESAS'!$A$15:$A$320,"EJ",'METAS EMPRESAS'!$B$15:$B$320,"PREMONTAGEM",'METAS EMPRESAS'!$C$15:$C$320,$A167-WEEKDAY($A167,2)+1)</f>
        <v/>
      </c>
      <c r="C167" s="159">
        <f>SUMIFS('METAS EMPRESAS'!$K$15:$K$320,'METAS EMPRESAS'!$A$15:$A$320,"EJ",'METAS EMPRESAS'!$B$15:$B$320,"IÇAMENTO JOIST",'METAS EMPRESAS'!$C$15:$C$320,$A167-WEEKDAY($A167,2)+1)</f>
        <v/>
      </c>
      <c r="D167" s="159">
        <f>SUMIFS('METAS EMPRESAS'!$K$15:$K$320,'METAS EMPRESAS'!$A$15:$A$320,"EJ",'METAS EMPRESAS'!$B$15:$B$320,"VIGAS",'METAS EMPRESAS'!$C$15:$C$320,$A167-WEEKDAY($A167,2)+1)</f>
        <v/>
      </c>
      <c r="E167" s="159">
        <f>SUMIFS('METAS EMPRESAS'!$K$15:$K$320,'METAS EMPRESAS'!$A$15:$A$320,"CMM",'METAS EMPRESAS'!$B$15:$B$320,"PREMONTAGEM",'METAS EMPRESAS'!$C$15:$C$320,$A167-WEEKDAY($A167,2)+1)</f>
        <v/>
      </c>
      <c r="F167" s="159">
        <f>SUMIFS('METAS EMPRESAS'!$K$15:$K$320,'METAS EMPRESAS'!$A$15:$A$320,"CMM",'METAS EMPRESAS'!$B$15:$B$320,"IÇAMENTO JOIST",'METAS EMPRESAS'!$C$15:$C$320,$A167-WEEKDAY($A167,2)+1)</f>
        <v/>
      </c>
      <c r="G167" s="159">
        <f>SUMIFS('METAS EMPRESAS'!$K$15:$K$320,'METAS EMPRESAS'!$A$15:$A$320,"CMM",'METAS EMPRESAS'!$B$15:$B$320,"VIGAS",'METAS EMPRESAS'!$C$15:$C$320,$A167-WEEKDAY($A167,2)+1)</f>
        <v/>
      </c>
      <c r="H167" s="159">
        <f>SUMIFS('METAS EMPRESAS'!$G$15:$G$320,'METAS EMPRESAS'!$A$15:$A$320,"EJ",'METAS EMPRESAS'!$B$15:$B$320,"PREMONTAGEM",'METAS EMPRESAS'!$C$15:$C$320,$A167-WEEKDAY($A167,2)+1)</f>
        <v/>
      </c>
      <c r="I167" s="159">
        <f>SUMIFS('METAS EMPRESAS'!$G$15:$G$320,'METAS EMPRESAS'!$A$15:$A$320,"EJ",'METAS EMPRESAS'!$B$15:$B$320,"IÇAMENTO JOIST",'METAS EMPRESAS'!$C$15:$C$320,$A167-WEEKDAY($A167,2)+1)</f>
        <v/>
      </c>
      <c r="J167" s="159">
        <f>SUMIFS('METAS EMPRESAS'!$G$15:$G$320,'METAS EMPRESAS'!$A$15:$A$320,"EJ",'METAS EMPRESAS'!$B$15:$B$320,"VIGAS",'METAS EMPRESAS'!$C$15:$C$320,$A167-WEEKDAY($A167,2)+1)</f>
        <v/>
      </c>
      <c r="K167" s="159">
        <f>SUMIFS('METAS EMPRESAS'!$G$15:$G$320,'METAS EMPRESAS'!$A$15:$A$320,"CMM",'METAS EMPRESAS'!$B$15:$B$320,"PREMONTAGEM",'METAS EMPRESAS'!$C$15:$C$320,$A167-WEEKDAY($A167,2)+1)</f>
        <v/>
      </c>
      <c r="L167" s="159">
        <f>SUMIFS('METAS EMPRESAS'!$G$15:$G$320,'METAS EMPRESAS'!$A$15:$A$320,"CMM",'METAS EMPRESAS'!$B$15:$B$320,"IÇAMENTO JOIST",'METAS EMPRESAS'!$C$15:$C$320,$A167-WEEKDAY($A167,2)+1)</f>
        <v/>
      </c>
      <c r="M167" s="159">
        <f>SUMIFS('METAS EMPRESAS'!$G$15:$G$320,'METAS EMPRESAS'!$A$15:$A$320,"CMM",'METAS EMPRESAS'!$B$15:$B$320,"VIGAS",'METAS EMPRESAS'!$C$15:$C$320,$A167-WEEKDAY($A167,2)+1)</f>
        <v/>
      </c>
      <c r="N167" s="159">
        <f>SUMIFS('METAS EMPRESAS'!$J$15:$J$320,'METAS EMPRESAS'!$A$15:$A$320,"EJ",'METAS EMPRESAS'!$B$15:$B$320,"PREMONTAGEM",'METAS EMPRESAS'!$C$15:$C$320,$A167-WEEKDAY($A167,2)+1)</f>
        <v/>
      </c>
      <c r="O167" s="159">
        <f>SUMIFS('METAS EMPRESAS'!$J$15:$J$320,'METAS EMPRESAS'!$A$15:$A$320,"EJ",'METAS EMPRESAS'!$B$15:$B$320,"IÇAMENTO JOIST",'METAS EMPRESAS'!$C$15:$C$320,$A167-WEEKDAY($A167,2)+1)</f>
        <v/>
      </c>
      <c r="P167" s="159">
        <f>SUMIFS('METAS EMPRESAS'!$J$15:$J$320,'METAS EMPRESAS'!$A$15:$A$320,"EJ",'METAS EMPRESAS'!$B$15:$B$320,"VIGAS",'METAS EMPRESAS'!$C$15:$C$320,$A167-WEEKDAY($A167,2)+1)</f>
        <v/>
      </c>
      <c r="Q167" s="159">
        <f>SUMIFS('METAS EMPRESAS'!$J$15:$J$320,'METAS EMPRESAS'!$A$15:$A$320,"CMM",'METAS EMPRESAS'!$B$15:$B$320,"PREMONTAGEM",'METAS EMPRESAS'!$C$15:$C$320,$A167-WEEKDAY($A167,2)+1)</f>
        <v/>
      </c>
      <c r="R167" s="159">
        <f>SUMIFS('METAS EMPRESAS'!$J$15:$J$320,'METAS EMPRESAS'!$A$15:$A$320,"CMM",'METAS EMPRESAS'!$B$15:$B$320,"IÇAMENTO JOIST",'METAS EMPRESAS'!$C$15:$C$320,$A167-WEEKDAY($A167,2)+1)</f>
        <v/>
      </c>
      <c r="S167" s="159">
        <f>SUMIFS('METAS EMPRESAS'!$J$15:$J$320,'METAS EMPRESAS'!$A$15:$A$320,"CMM",'METAS EMPRESAS'!$B$15:$B$320,"VIGAS",'METAS EMPRESAS'!$C$15:$C$320,$A167-WEEKDAY($A167,2)+1)</f>
        <v/>
      </c>
      <c r="T167">
        <f>--(WEEKDAY(A167,2)&lt;=5)</f>
        <v/>
      </c>
      <c r="U167" t="n">
        <v>19</v>
      </c>
      <c r="V167" t="n">
        <v>7</v>
      </c>
      <c r="W167" t="n">
        <v>0</v>
      </c>
      <c r="X167" t="n">
        <v>5</v>
      </c>
      <c r="Y167" t="n">
        <v>5</v>
      </c>
      <c r="Z167" t="n">
        <v>5</v>
      </c>
      <c r="AA167" t="n">
        <v>95</v>
      </c>
      <c r="AB167" t="n">
        <v>35</v>
      </c>
      <c r="AC167" t="n">
        <v>0</v>
      </c>
    </row>
    <row r="168">
      <c r="A168" s="317" t="n">
        <v>46389</v>
      </c>
      <c r="B168" s="159">
        <f>SUMIFS('METAS EMPRESAS'!$K$15:$K$320,'METAS EMPRESAS'!$A$15:$A$320,"EJ",'METAS EMPRESAS'!$B$15:$B$320,"PREMONTAGEM",'METAS EMPRESAS'!$C$15:$C$320,$A168-WEEKDAY($A168,2)+1)</f>
        <v/>
      </c>
      <c r="C168" s="159">
        <f>SUMIFS('METAS EMPRESAS'!$K$15:$K$320,'METAS EMPRESAS'!$A$15:$A$320,"EJ",'METAS EMPRESAS'!$B$15:$B$320,"IÇAMENTO JOIST",'METAS EMPRESAS'!$C$15:$C$320,$A168-WEEKDAY($A168,2)+1)</f>
        <v/>
      </c>
      <c r="D168" s="159">
        <f>SUMIFS('METAS EMPRESAS'!$K$15:$K$320,'METAS EMPRESAS'!$A$15:$A$320,"EJ",'METAS EMPRESAS'!$B$15:$B$320,"VIGAS",'METAS EMPRESAS'!$C$15:$C$320,$A168-WEEKDAY($A168,2)+1)</f>
        <v/>
      </c>
      <c r="E168" s="159">
        <f>SUMIFS('METAS EMPRESAS'!$K$15:$K$320,'METAS EMPRESAS'!$A$15:$A$320,"CMM",'METAS EMPRESAS'!$B$15:$B$320,"PREMONTAGEM",'METAS EMPRESAS'!$C$15:$C$320,$A168-WEEKDAY($A168,2)+1)</f>
        <v/>
      </c>
      <c r="F168" s="159">
        <f>SUMIFS('METAS EMPRESAS'!$K$15:$K$320,'METAS EMPRESAS'!$A$15:$A$320,"CMM",'METAS EMPRESAS'!$B$15:$B$320,"IÇAMENTO JOIST",'METAS EMPRESAS'!$C$15:$C$320,$A168-WEEKDAY($A168,2)+1)</f>
        <v/>
      </c>
      <c r="G168" s="159">
        <f>SUMIFS('METAS EMPRESAS'!$K$15:$K$320,'METAS EMPRESAS'!$A$15:$A$320,"CMM",'METAS EMPRESAS'!$B$15:$B$320,"VIGAS",'METAS EMPRESAS'!$C$15:$C$320,$A168-WEEKDAY($A168,2)+1)</f>
        <v/>
      </c>
      <c r="H168" s="159">
        <f>SUMIFS('METAS EMPRESAS'!$G$15:$G$320,'METAS EMPRESAS'!$A$15:$A$320,"EJ",'METAS EMPRESAS'!$B$15:$B$320,"PREMONTAGEM",'METAS EMPRESAS'!$C$15:$C$320,$A168-WEEKDAY($A168,2)+1)</f>
        <v/>
      </c>
      <c r="I168" s="159">
        <f>SUMIFS('METAS EMPRESAS'!$G$15:$G$320,'METAS EMPRESAS'!$A$15:$A$320,"EJ",'METAS EMPRESAS'!$B$15:$B$320,"IÇAMENTO JOIST",'METAS EMPRESAS'!$C$15:$C$320,$A168-WEEKDAY($A168,2)+1)</f>
        <v/>
      </c>
      <c r="J168" s="159">
        <f>SUMIFS('METAS EMPRESAS'!$G$15:$G$320,'METAS EMPRESAS'!$A$15:$A$320,"EJ",'METAS EMPRESAS'!$B$15:$B$320,"VIGAS",'METAS EMPRESAS'!$C$15:$C$320,$A168-WEEKDAY($A168,2)+1)</f>
        <v/>
      </c>
      <c r="K168" s="159">
        <f>SUMIFS('METAS EMPRESAS'!$G$15:$G$320,'METAS EMPRESAS'!$A$15:$A$320,"CMM",'METAS EMPRESAS'!$B$15:$B$320,"PREMONTAGEM",'METAS EMPRESAS'!$C$15:$C$320,$A168-WEEKDAY($A168,2)+1)</f>
        <v/>
      </c>
      <c r="L168" s="159">
        <f>SUMIFS('METAS EMPRESAS'!$G$15:$G$320,'METAS EMPRESAS'!$A$15:$A$320,"CMM",'METAS EMPRESAS'!$B$15:$B$320,"IÇAMENTO JOIST",'METAS EMPRESAS'!$C$15:$C$320,$A168-WEEKDAY($A168,2)+1)</f>
        <v/>
      </c>
      <c r="M168" s="159">
        <f>SUMIFS('METAS EMPRESAS'!$G$15:$G$320,'METAS EMPRESAS'!$A$15:$A$320,"CMM",'METAS EMPRESAS'!$B$15:$B$320,"VIGAS",'METAS EMPRESAS'!$C$15:$C$320,$A168-WEEKDAY($A168,2)+1)</f>
        <v/>
      </c>
      <c r="N168" s="159">
        <f>SUMIFS('METAS EMPRESAS'!$J$15:$J$320,'METAS EMPRESAS'!$A$15:$A$320,"EJ",'METAS EMPRESAS'!$B$15:$B$320,"PREMONTAGEM",'METAS EMPRESAS'!$C$15:$C$320,$A168-WEEKDAY($A168,2)+1)</f>
        <v/>
      </c>
      <c r="O168" s="159">
        <f>SUMIFS('METAS EMPRESAS'!$J$15:$J$320,'METAS EMPRESAS'!$A$15:$A$320,"EJ",'METAS EMPRESAS'!$B$15:$B$320,"IÇAMENTO JOIST",'METAS EMPRESAS'!$C$15:$C$320,$A168-WEEKDAY($A168,2)+1)</f>
        <v/>
      </c>
      <c r="P168" s="159">
        <f>SUMIFS('METAS EMPRESAS'!$J$15:$J$320,'METAS EMPRESAS'!$A$15:$A$320,"EJ",'METAS EMPRESAS'!$B$15:$B$320,"VIGAS",'METAS EMPRESAS'!$C$15:$C$320,$A168-WEEKDAY($A168,2)+1)</f>
        <v/>
      </c>
      <c r="Q168" s="159">
        <f>SUMIFS('METAS EMPRESAS'!$J$15:$J$320,'METAS EMPRESAS'!$A$15:$A$320,"CMM",'METAS EMPRESAS'!$B$15:$B$320,"PREMONTAGEM",'METAS EMPRESAS'!$C$15:$C$320,$A168-WEEKDAY($A168,2)+1)</f>
        <v/>
      </c>
      <c r="R168" s="159">
        <f>SUMIFS('METAS EMPRESAS'!$J$15:$J$320,'METAS EMPRESAS'!$A$15:$A$320,"CMM",'METAS EMPRESAS'!$B$15:$B$320,"IÇAMENTO JOIST",'METAS EMPRESAS'!$C$15:$C$320,$A168-WEEKDAY($A168,2)+1)</f>
        <v/>
      </c>
      <c r="S168" s="159">
        <f>SUMIFS('METAS EMPRESAS'!$J$15:$J$320,'METAS EMPRESAS'!$A$15:$A$320,"CMM",'METAS EMPRESAS'!$B$15:$B$320,"VIGAS",'METAS EMPRESAS'!$C$15:$C$320,$A168-WEEKDAY($A168,2)+1)</f>
        <v/>
      </c>
      <c r="T168">
        <f>--(WEEKDAY(A168,2)&lt;=5)</f>
        <v/>
      </c>
      <c r="U168" t="n">
        <v>19</v>
      </c>
      <c r="V168" t="n">
        <v>7</v>
      </c>
      <c r="W168" t="n">
        <v>0</v>
      </c>
      <c r="X168" t="n">
        <v>5</v>
      </c>
      <c r="Y168" t="n">
        <v>5</v>
      </c>
      <c r="Z168" t="n">
        <v>5</v>
      </c>
      <c r="AA168" t="n">
        <v>95</v>
      </c>
      <c r="AB168" t="n">
        <v>35</v>
      </c>
      <c r="AC168" t="n">
        <v>0</v>
      </c>
    </row>
    <row r="169">
      <c r="A169" s="317" t="n">
        <v>46390</v>
      </c>
      <c r="B169" s="159">
        <f>SUMIFS('METAS EMPRESAS'!$K$15:$K$320,'METAS EMPRESAS'!$A$15:$A$320,"EJ",'METAS EMPRESAS'!$B$15:$B$320,"PREMONTAGEM",'METAS EMPRESAS'!$C$15:$C$320,$A169-WEEKDAY($A169,2)+1)</f>
        <v/>
      </c>
      <c r="C169" s="159">
        <f>SUMIFS('METAS EMPRESAS'!$K$15:$K$320,'METAS EMPRESAS'!$A$15:$A$320,"EJ",'METAS EMPRESAS'!$B$15:$B$320,"IÇAMENTO JOIST",'METAS EMPRESAS'!$C$15:$C$320,$A169-WEEKDAY($A169,2)+1)</f>
        <v/>
      </c>
      <c r="D169" s="159">
        <f>SUMIFS('METAS EMPRESAS'!$K$15:$K$320,'METAS EMPRESAS'!$A$15:$A$320,"EJ",'METAS EMPRESAS'!$B$15:$B$320,"VIGAS",'METAS EMPRESAS'!$C$15:$C$320,$A169-WEEKDAY($A169,2)+1)</f>
        <v/>
      </c>
      <c r="E169" s="159">
        <f>SUMIFS('METAS EMPRESAS'!$K$15:$K$320,'METAS EMPRESAS'!$A$15:$A$320,"CMM",'METAS EMPRESAS'!$B$15:$B$320,"PREMONTAGEM",'METAS EMPRESAS'!$C$15:$C$320,$A169-WEEKDAY($A169,2)+1)</f>
        <v/>
      </c>
      <c r="F169" s="159">
        <f>SUMIFS('METAS EMPRESAS'!$K$15:$K$320,'METAS EMPRESAS'!$A$15:$A$320,"CMM",'METAS EMPRESAS'!$B$15:$B$320,"IÇAMENTO JOIST",'METAS EMPRESAS'!$C$15:$C$320,$A169-WEEKDAY($A169,2)+1)</f>
        <v/>
      </c>
      <c r="G169" s="159">
        <f>SUMIFS('METAS EMPRESAS'!$K$15:$K$320,'METAS EMPRESAS'!$A$15:$A$320,"CMM",'METAS EMPRESAS'!$B$15:$B$320,"VIGAS",'METAS EMPRESAS'!$C$15:$C$320,$A169-WEEKDAY($A169,2)+1)</f>
        <v/>
      </c>
      <c r="H169" s="159">
        <f>SUMIFS('METAS EMPRESAS'!$G$15:$G$320,'METAS EMPRESAS'!$A$15:$A$320,"EJ",'METAS EMPRESAS'!$B$15:$B$320,"PREMONTAGEM",'METAS EMPRESAS'!$C$15:$C$320,$A169-WEEKDAY($A169,2)+1)</f>
        <v/>
      </c>
      <c r="I169" s="159">
        <f>SUMIFS('METAS EMPRESAS'!$G$15:$G$320,'METAS EMPRESAS'!$A$15:$A$320,"EJ",'METAS EMPRESAS'!$B$15:$B$320,"IÇAMENTO JOIST",'METAS EMPRESAS'!$C$15:$C$320,$A169-WEEKDAY($A169,2)+1)</f>
        <v/>
      </c>
      <c r="J169" s="159">
        <f>SUMIFS('METAS EMPRESAS'!$G$15:$G$320,'METAS EMPRESAS'!$A$15:$A$320,"EJ",'METAS EMPRESAS'!$B$15:$B$320,"VIGAS",'METAS EMPRESAS'!$C$15:$C$320,$A169-WEEKDAY($A169,2)+1)</f>
        <v/>
      </c>
      <c r="K169" s="159">
        <f>SUMIFS('METAS EMPRESAS'!$G$15:$G$320,'METAS EMPRESAS'!$A$15:$A$320,"CMM",'METAS EMPRESAS'!$B$15:$B$320,"PREMONTAGEM",'METAS EMPRESAS'!$C$15:$C$320,$A169-WEEKDAY($A169,2)+1)</f>
        <v/>
      </c>
      <c r="L169" s="159">
        <f>SUMIFS('METAS EMPRESAS'!$G$15:$G$320,'METAS EMPRESAS'!$A$15:$A$320,"CMM",'METAS EMPRESAS'!$B$15:$B$320,"IÇAMENTO JOIST",'METAS EMPRESAS'!$C$15:$C$320,$A169-WEEKDAY($A169,2)+1)</f>
        <v/>
      </c>
      <c r="M169" s="159">
        <f>SUMIFS('METAS EMPRESAS'!$G$15:$G$320,'METAS EMPRESAS'!$A$15:$A$320,"CMM",'METAS EMPRESAS'!$B$15:$B$320,"VIGAS",'METAS EMPRESAS'!$C$15:$C$320,$A169-WEEKDAY($A169,2)+1)</f>
        <v/>
      </c>
      <c r="N169" s="159">
        <f>SUMIFS('METAS EMPRESAS'!$J$15:$J$320,'METAS EMPRESAS'!$A$15:$A$320,"EJ",'METAS EMPRESAS'!$B$15:$B$320,"PREMONTAGEM",'METAS EMPRESAS'!$C$15:$C$320,$A169-WEEKDAY($A169,2)+1)</f>
        <v/>
      </c>
      <c r="O169" s="159">
        <f>SUMIFS('METAS EMPRESAS'!$J$15:$J$320,'METAS EMPRESAS'!$A$15:$A$320,"EJ",'METAS EMPRESAS'!$B$15:$B$320,"IÇAMENTO JOIST",'METAS EMPRESAS'!$C$15:$C$320,$A169-WEEKDAY($A169,2)+1)</f>
        <v/>
      </c>
      <c r="P169" s="159">
        <f>SUMIFS('METAS EMPRESAS'!$J$15:$J$320,'METAS EMPRESAS'!$A$15:$A$320,"EJ",'METAS EMPRESAS'!$B$15:$B$320,"VIGAS",'METAS EMPRESAS'!$C$15:$C$320,$A169-WEEKDAY($A169,2)+1)</f>
        <v/>
      </c>
      <c r="Q169" s="159">
        <f>SUMIFS('METAS EMPRESAS'!$J$15:$J$320,'METAS EMPRESAS'!$A$15:$A$320,"CMM",'METAS EMPRESAS'!$B$15:$B$320,"PREMONTAGEM",'METAS EMPRESAS'!$C$15:$C$320,$A169-WEEKDAY($A169,2)+1)</f>
        <v/>
      </c>
      <c r="R169" s="159">
        <f>SUMIFS('METAS EMPRESAS'!$J$15:$J$320,'METAS EMPRESAS'!$A$15:$A$320,"CMM",'METAS EMPRESAS'!$B$15:$B$320,"IÇAMENTO JOIST",'METAS EMPRESAS'!$C$15:$C$320,$A169-WEEKDAY($A169,2)+1)</f>
        <v/>
      </c>
      <c r="S169" s="159">
        <f>SUMIFS('METAS EMPRESAS'!$J$15:$J$320,'METAS EMPRESAS'!$A$15:$A$320,"CMM",'METAS EMPRESAS'!$B$15:$B$320,"VIGAS",'METAS EMPRESAS'!$C$15:$C$320,$A169-WEEKDAY($A169,2)+1)</f>
        <v/>
      </c>
      <c r="T169">
        <f>--(WEEKDAY(A169,2)&lt;=5)</f>
        <v/>
      </c>
      <c r="U169" t="n">
        <v>19</v>
      </c>
      <c r="V169" t="n">
        <v>7</v>
      </c>
      <c r="W169" t="n">
        <v>0</v>
      </c>
      <c r="X169" t="n">
        <v>5</v>
      </c>
      <c r="Y169" t="n">
        <v>5</v>
      </c>
      <c r="Z169" t="n">
        <v>5</v>
      </c>
      <c r="AA169" t="n">
        <v>95</v>
      </c>
      <c r="AB169" t="n">
        <v>35</v>
      </c>
      <c r="AC169" t="n">
        <v>0</v>
      </c>
    </row>
    <row r="170">
      <c r="A170" s="317" t="n">
        <v>46391</v>
      </c>
      <c r="B170" s="159">
        <f>SUMIFS('METAS EMPRESAS'!$K$15:$K$320,'METAS EMPRESAS'!$A$15:$A$320,"EJ",'METAS EMPRESAS'!$B$15:$B$320,"PREMONTAGEM",'METAS EMPRESAS'!$C$15:$C$320,$A170-WEEKDAY($A170,2)+1)</f>
        <v/>
      </c>
      <c r="C170" s="159">
        <f>SUMIFS('METAS EMPRESAS'!$K$15:$K$320,'METAS EMPRESAS'!$A$15:$A$320,"EJ",'METAS EMPRESAS'!$B$15:$B$320,"IÇAMENTO JOIST",'METAS EMPRESAS'!$C$15:$C$320,$A170-WEEKDAY($A170,2)+1)</f>
        <v/>
      </c>
      <c r="D170" s="159">
        <f>SUMIFS('METAS EMPRESAS'!$K$15:$K$320,'METAS EMPRESAS'!$A$15:$A$320,"EJ",'METAS EMPRESAS'!$B$15:$B$320,"VIGAS",'METAS EMPRESAS'!$C$15:$C$320,$A170-WEEKDAY($A170,2)+1)</f>
        <v/>
      </c>
      <c r="E170" s="159">
        <f>SUMIFS('METAS EMPRESAS'!$K$15:$K$320,'METAS EMPRESAS'!$A$15:$A$320,"CMM",'METAS EMPRESAS'!$B$15:$B$320,"PREMONTAGEM",'METAS EMPRESAS'!$C$15:$C$320,$A170-WEEKDAY($A170,2)+1)</f>
        <v/>
      </c>
      <c r="F170" s="159">
        <f>SUMIFS('METAS EMPRESAS'!$K$15:$K$320,'METAS EMPRESAS'!$A$15:$A$320,"CMM",'METAS EMPRESAS'!$B$15:$B$320,"IÇAMENTO JOIST",'METAS EMPRESAS'!$C$15:$C$320,$A170-WEEKDAY($A170,2)+1)</f>
        <v/>
      </c>
      <c r="G170" s="159">
        <f>SUMIFS('METAS EMPRESAS'!$K$15:$K$320,'METAS EMPRESAS'!$A$15:$A$320,"CMM",'METAS EMPRESAS'!$B$15:$B$320,"VIGAS",'METAS EMPRESAS'!$C$15:$C$320,$A170-WEEKDAY($A170,2)+1)</f>
        <v/>
      </c>
      <c r="H170" s="159">
        <f>SUMIFS('METAS EMPRESAS'!$G$15:$G$320,'METAS EMPRESAS'!$A$15:$A$320,"EJ",'METAS EMPRESAS'!$B$15:$B$320,"PREMONTAGEM",'METAS EMPRESAS'!$C$15:$C$320,$A170-WEEKDAY($A170,2)+1)</f>
        <v/>
      </c>
      <c r="I170" s="159">
        <f>SUMIFS('METAS EMPRESAS'!$G$15:$G$320,'METAS EMPRESAS'!$A$15:$A$320,"EJ",'METAS EMPRESAS'!$B$15:$B$320,"IÇAMENTO JOIST",'METAS EMPRESAS'!$C$15:$C$320,$A170-WEEKDAY($A170,2)+1)</f>
        <v/>
      </c>
      <c r="J170" s="159">
        <f>SUMIFS('METAS EMPRESAS'!$G$15:$G$320,'METAS EMPRESAS'!$A$15:$A$320,"EJ",'METAS EMPRESAS'!$B$15:$B$320,"VIGAS",'METAS EMPRESAS'!$C$15:$C$320,$A170-WEEKDAY($A170,2)+1)</f>
        <v/>
      </c>
      <c r="K170" s="159">
        <f>SUMIFS('METAS EMPRESAS'!$G$15:$G$320,'METAS EMPRESAS'!$A$15:$A$320,"CMM",'METAS EMPRESAS'!$B$15:$B$320,"PREMONTAGEM",'METAS EMPRESAS'!$C$15:$C$320,$A170-WEEKDAY($A170,2)+1)</f>
        <v/>
      </c>
      <c r="L170" s="159">
        <f>SUMIFS('METAS EMPRESAS'!$G$15:$G$320,'METAS EMPRESAS'!$A$15:$A$320,"CMM",'METAS EMPRESAS'!$B$15:$B$320,"IÇAMENTO JOIST",'METAS EMPRESAS'!$C$15:$C$320,$A170-WEEKDAY($A170,2)+1)</f>
        <v/>
      </c>
      <c r="M170" s="159">
        <f>SUMIFS('METAS EMPRESAS'!$G$15:$G$320,'METAS EMPRESAS'!$A$15:$A$320,"CMM",'METAS EMPRESAS'!$B$15:$B$320,"VIGAS",'METAS EMPRESAS'!$C$15:$C$320,$A170-WEEKDAY($A170,2)+1)</f>
        <v/>
      </c>
      <c r="N170" s="159">
        <f>SUMIFS('METAS EMPRESAS'!$J$15:$J$320,'METAS EMPRESAS'!$A$15:$A$320,"EJ",'METAS EMPRESAS'!$B$15:$B$320,"PREMONTAGEM",'METAS EMPRESAS'!$C$15:$C$320,$A170-WEEKDAY($A170,2)+1)</f>
        <v/>
      </c>
      <c r="O170" s="159">
        <f>SUMIFS('METAS EMPRESAS'!$J$15:$J$320,'METAS EMPRESAS'!$A$15:$A$320,"EJ",'METAS EMPRESAS'!$B$15:$B$320,"IÇAMENTO JOIST",'METAS EMPRESAS'!$C$15:$C$320,$A170-WEEKDAY($A170,2)+1)</f>
        <v/>
      </c>
      <c r="P170" s="159">
        <f>SUMIFS('METAS EMPRESAS'!$J$15:$J$320,'METAS EMPRESAS'!$A$15:$A$320,"EJ",'METAS EMPRESAS'!$B$15:$B$320,"VIGAS",'METAS EMPRESAS'!$C$15:$C$320,$A170-WEEKDAY($A170,2)+1)</f>
        <v/>
      </c>
      <c r="Q170" s="159">
        <f>SUMIFS('METAS EMPRESAS'!$J$15:$J$320,'METAS EMPRESAS'!$A$15:$A$320,"CMM",'METAS EMPRESAS'!$B$15:$B$320,"PREMONTAGEM",'METAS EMPRESAS'!$C$15:$C$320,$A170-WEEKDAY($A170,2)+1)</f>
        <v/>
      </c>
      <c r="R170" s="159">
        <f>SUMIFS('METAS EMPRESAS'!$J$15:$J$320,'METAS EMPRESAS'!$A$15:$A$320,"CMM",'METAS EMPRESAS'!$B$15:$B$320,"IÇAMENTO JOIST",'METAS EMPRESAS'!$C$15:$C$320,$A170-WEEKDAY($A170,2)+1)</f>
        <v/>
      </c>
      <c r="S170" s="159">
        <f>SUMIFS('METAS EMPRESAS'!$J$15:$J$320,'METAS EMPRESAS'!$A$15:$A$320,"CMM",'METAS EMPRESAS'!$B$15:$B$320,"VIGAS",'METAS EMPRESAS'!$C$15:$C$320,$A170-WEEKDAY($A170,2)+1)</f>
        <v/>
      </c>
      <c r="T170">
        <f>--(WEEKDAY(A170,2)&lt;=5)</f>
        <v/>
      </c>
      <c r="U170" t="n">
        <v>19</v>
      </c>
      <c r="V170" t="n">
        <v>7</v>
      </c>
      <c r="W170" t="n">
        <v>0</v>
      </c>
      <c r="X170" t="n">
        <v>5</v>
      </c>
      <c r="Y170" t="n">
        <v>5</v>
      </c>
      <c r="Z170" t="n">
        <v>5</v>
      </c>
      <c r="AA170" t="n">
        <v>95</v>
      </c>
      <c r="AB170" t="n">
        <v>35</v>
      </c>
      <c r="AC170" t="n">
        <v>0</v>
      </c>
    </row>
    <row r="171">
      <c r="A171" s="317" t="n">
        <v>46392</v>
      </c>
      <c r="B171" s="159">
        <f>SUMIFS('METAS EMPRESAS'!$K$15:$K$320,'METAS EMPRESAS'!$A$15:$A$320,"EJ",'METAS EMPRESAS'!$B$15:$B$320,"PREMONTAGEM",'METAS EMPRESAS'!$C$15:$C$320,$A171-WEEKDAY($A171,2)+1)</f>
        <v/>
      </c>
      <c r="C171" s="159">
        <f>SUMIFS('METAS EMPRESAS'!$K$15:$K$320,'METAS EMPRESAS'!$A$15:$A$320,"EJ",'METAS EMPRESAS'!$B$15:$B$320,"IÇAMENTO JOIST",'METAS EMPRESAS'!$C$15:$C$320,$A171-WEEKDAY($A171,2)+1)</f>
        <v/>
      </c>
      <c r="D171" s="159">
        <f>SUMIFS('METAS EMPRESAS'!$K$15:$K$320,'METAS EMPRESAS'!$A$15:$A$320,"EJ",'METAS EMPRESAS'!$B$15:$B$320,"VIGAS",'METAS EMPRESAS'!$C$15:$C$320,$A171-WEEKDAY($A171,2)+1)</f>
        <v/>
      </c>
      <c r="E171" s="159">
        <f>SUMIFS('METAS EMPRESAS'!$K$15:$K$320,'METAS EMPRESAS'!$A$15:$A$320,"CMM",'METAS EMPRESAS'!$B$15:$B$320,"PREMONTAGEM",'METAS EMPRESAS'!$C$15:$C$320,$A171-WEEKDAY($A171,2)+1)</f>
        <v/>
      </c>
      <c r="F171" s="159">
        <f>SUMIFS('METAS EMPRESAS'!$K$15:$K$320,'METAS EMPRESAS'!$A$15:$A$320,"CMM",'METAS EMPRESAS'!$B$15:$B$320,"IÇAMENTO JOIST",'METAS EMPRESAS'!$C$15:$C$320,$A171-WEEKDAY($A171,2)+1)</f>
        <v/>
      </c>
      <c r="G171" s="159">
        <f>SUMIFS('METAS EMPRESAS'!$K$15:$K$320,'METAS EMPRESAS'!$A$15:$A$320,"CMM",'METAS EMPRESAS'!$B$15:$B$320,"VIGAS",'METAS EMPRESAS'!$C$15:$C$320,$A171-WEEKDAY($A171,2)+1)</f>
        <v/>
      </c>
      <c r="H171" s="159">
        <f>SUMIFS('METAS EMPRESAS'!$G$15:$G$320,'METAS EMPRESAS'!$A$15:$A$320,"EJ",'METAS EMPRESAS'!$B$15:$B$320,"PREMONTAGEM",'METAS EMPRESAS'!$C$15:$C$320,$A171-WEEKDAY($A171,2)+1)</f>
        <v/>
      </c>
      <c r="I171" s="159">
        <f>SUMIFS('METAS EMPRESAS'!$G$15:$G$320,'METAS EMPRESAS'!$A$15:$A$320,"EJ",'METAS EMPRESAS'!$B$15:$B$320,"IÇAMENTO JOIST",'METAS EMPRESAS'!$C$15:$C$320,$A171-WEEKDAY($A171,2)+1)</f>
        <v/>
      </c>
      <c r="J171" s="159">
        <f>SUMIFS('METAS EMPRESAS'!$G$15:$G$320,'METAS EMPRESAS'!$A$15:$A$320,"EJ",'METAS EMPRESAS'!$B$15:$B$320,"VIGAS",'METAS EMPRESAS'!$C$15:$C$320,$A171-WEEKDAY($A171,2)+1)</f>
        <v/>
      </c>
      <c r="K171" s="159">
        <f>SUMIFS('METAS EMPRESAS'!$G$15:$G$320,'METAS EMPRESAS'!$A$15:$A$320,"CMM",'METAS EMPRESAS'!$B$15:$B$320,"PREMONTAGEM",'METAS EMPRESAS'!$C$15:$C$320,$A171-WEEKDAY($A171,2)+1)</f>
        <v/>
      </c>
      <c r="L171" s="159">
        <f>SUMIFS('METAS EMPRESAS'!$G$15:$G$320,'METAS EMPRESAS'!$A$15:$A$320,"CMM",'METAS EMPRESAS'!$B$15:$B$320,"IÇAMENTO JOIST",'METAS EMPRESAS'!$C$15:$C$320,$A171-WEEKDAY($A171,2)+1)</f>
        <v/>
      </c>
      <c r="M171" s="159">
        <f>SUMIFS('METAS EMPRESAS'!$G$15:$G$320,'METAS EMPRESAS'!$A$15:$A$320,"CMM",'METAS EMPRESAS'!$B$15:$B$320,"VIGAS",'METAS EMPRESAS'!$C$15:$C$320,$A171-WEEKDAY($A171,2)+1)</f>
        <v/>
      </c>
      <c r="N171" s="159">
        <f>SUMIFS('METAS EMPRESAS'!$J$15:$J$320,'METAS EMPRESAS'!$A$15:$A$320,"EJ",'METAS EMPRESAS'!$B$15:$B$320,"PREMONTAGEM",'METAS EMPRESAS'!$C$15:$C$320,$A171-WEEKDAY($A171,2)+1)</f>
        <v/>
      </c>
      <c r="O171" s="159">
        <f>SUMIFS('METAS EMPRESAS'!$J$15:$J$320,'METAS EMPRESAS'!$A$15:$A$320,"EJ",'METAS EMPRESAS'!$B$15:$B$320,"IÇAMENTO JOIST",'METAS EMPRESAS'!$C$15:$C$320,$A171-WEEKDAY($A171,2)+1)</f>
        <v/>
      </c>
      <c r="P171" s="159">
        <f>SUMIFS('METAS EMPRESAS'!$J$15:$J$320,'METAS EMPRESAS'!$A$15:$A$320,"EJ",'METAS EMPRESAS'!$B$15:$B$320,"VIGAS",'METAS EMPRESAS'!$C$15:$C$320,$A171-WEEKDAY($A171,2)+1)</f>
        <v/>
      </c>
      <c r="Q171" s="159">
        <f>SUMIFS('METAS EMPRESAS'!$J$15:$J$320,'METAS EMPRESAS'!$A$15:$A$320,"CMM",'METAS EMPRESAS'!$B$15:$B$320,"PREMONTAGEM",'METAS EMPRESAS'!$C$15:$C$320,$A171-WEEKDAY($A171,2)+1)</f>
        <v/>
      </c>
      <c r="R171" s="159">
        <f>SUMIFS('METAS EMPRESAS'!$J$15:$J$320,'METAS EMPRESAS'!$A$15:$A$320,"CMM",'METAS EMPRESAS'!$B$15:$B$320,"IÇAMENTO JOIST",'METAS EMPRESAS'!$C$15:$C$320,$A171-WEEKDAY($A171,2)+1)</f>
        <v/>
      </c>
      <c r="S171" s="159">
        <f>SUMIFS('METAS EMPRESAS'!$J$15:$J$320,'METAS EMPRESAS'!$A$15:$A$320,"CMM",'METAS EMPRESAS'!$B$15:$B$320,"VIGAS",'METAS EMPRESAS'!$C$15:$C$320,$A171-WEEKDAY($A171,2)+1)</f>
        <v/>
      </c>
      <c r="T171">
        <f>--(WEEKDAY(A171,2)&lt;=5)</f>
        <v/>
      </c>
      <c r="U171" t="n">
        <v>19</v>
      </c>
      <c r="V171" t="n">
        <v>7</v>
      </c>
      <c r="W171" t="n">
        <v>0</v>
      </c>
      <c r="X171" t="n">
        <v>5</v>
      </c>
      <c r="Y171" t="n">
        <v>5</v>
      </c>
      <c r="Z171" t="n">
        <v>5</v>
      </c>
      <c r="AA171" t="n">
        <v>95</v>
      </c>
      <c r="AB171" t="n">
        <v>35</v>
      </c>
      <c r="AC171" t="n">
        <v>0</v>
      </c>
    </row>
    <row r="172">
      <c r="A172" s="317" t="n">
        <v>46393</v>
      </c>
      <c r="B172" s="159">
        <f>SUMIFS('METAS EMPRESAS'!$K$15:$K$320,'METAS EMPRESAS'!$A$15:$A$320,"EJ",'METAS EMPRESAS'!$B$15:$B$320,"PREMONTAGEM",'METAS EMPRESAS'!$C$15:$C$320,$A172-WEEKDAY($A172,2)+1)</f>
        <v/>
      </c>
      <c r="C172" s="159">
        <f>SUMIFS('METAS EMPRESAS'!$K$15:$K$320,'METAS EMPRESAS'!$A$15:$A$320,"EJ",'METAS EMPRESAS'!$B$15:$B$320,"IÇAMENTO JOIST",'METAS EMPRESAS'!$C$15:$C$320,$A172-WEEKDAY($A172,2)+1)</f>
        <v/>
      </c>
      <c r="D172" s="159">
        <f>SUMIFS('METAS EMPRESAS'!$K$15:$K$320,'METAS EMPRESAS'!$A$15:$A$320,"EJ",'METAS EMPRESAS'!$B$15:$B$320,"VIGAS",'METAS EMPRESAS'!$C$15:$C$320,$A172-WEEKDAY($A172,2)+1)</f>
        <v/>
      </c>
      <c r="E172" s="159">
        <f>SUMIFS('METAS EMPRESAS'!$K$15:$K$320,'METAS EMPRESAS'!$A$15:$A$320,"CMM",'METAS EMPRESAS'!$B$15:$B$320,"PREMONTAGEM",'METAS EMPRESAS'!$C$15:$C$320,$A172-WEEKDAY($A172,2)+1)</f>
        <v/>
      </c>
      <c r="F172" s="159">
        <f>SUMIFS('METAS EMPRESAS'!$K$15:$K$320,'METAS EMPRESAS'!$A$15:$A$320,"CMM",'METAS EMPRESAS'!$B$15:$B$320,"IÇAMENTO JOIST",'METAS EMPRESAS'!$C$15:$C$320,$A172-WEEKDAY($A172,2)+1)</f>
        <v/>
      </c>
      <c r="G172" s="159">
        <f>SUMIFS('METAS EMPRESAS'!$K$15:$K$320,'METAS EMPRESAS'!$A$15:$A$320,"CMM",'METAS EMPRESAS'!$B$15:$B$320,"VIGAS",'METAS EMPRESAS'!$C$15:$C$320,$A172-WEEKDAY($A172,2)+1)</f>
        <v/>
      </c>
      <c r="H172" s="159">
        <f>SUMIFS('METAS EMPRESAS'!$G$15:$G$320,'METAS EMPRESAS'!$A$15:$A$320,"EJ",'METAS EMPRESAS'!$B$15:$B$320,"PREMONTAGEM",'METAS EMPRESAS'!$C$15:$C$320,$A172-WEEKDAY($A172,2)+1)</f>
        <v/>
      </c>
      <c r="I172" s="159">
        <f>SUMIFS('METAS EMPRESAS'!$G$15:$G$320,'METAS EMPRESAS'!$A$15:$A$320,"EJ",'METAS EMPRESAS'!$B$15:$B$320,"IÇAMENTO JOIST",'METAS EMPRESAS'!$C$15:$C$320,$A172-WEEKDAY($A172,2)+1)</f>
        <v/>
      </c>
      <c r="J172" s="159">
        <f>SUMIFS('METAS EMPRESAS'!$G$15:$G$320,'METAS EMPRESAS'!$A$15:$A$320,"EJ",'METAS EMPRESAS'!$B$15:$B$320,"VIGAS",'METAS EMPRESAS'!$C$15:$C$320,$A172-WEEKDAY($A172,2)+1)</f>
        <v/>
      </c>
      <c r="K172" s="159">
        <f>SUMIFS('METAS EMPRESAS'!$G$15:$G$320,'METAS EMPRESAS'!$A$15:$A$320,"CMM",'METAS EMPRESAS'!$B$15:$B$320,"PREMONTAGEM",'METAS EMPRESAS'!$C$15:$C$320,$A172-WEEKDAY($A172,2)+1)</f>
        <v/>
      </c>
      <c r="L172" s="159">
        <f>SUMIFS('METAS EMPRESAS'!$G$15:$G$320,'METAS EMPRESAS'!$A$15:$A$320,"CMM",'METAS EMPRESAS'!$B$15:$B$320,"IÇAMENTO JOIST",'METAS EMPRESAS'!$C$15:$C$320,$A172-WEEKDAY($A172,2)+1)</f>
        <v/>
      </c>
      <c r="M172" s="159">
        <f>SUMIFS('METAS EMPRESAS'!$G$15:$G$320,'METAS EMPRESAS'!$A$15:$A$320,"CMM",'METAS EMPRESAS'!$B$15:$B$320,"VIGAS",'METAS EMPRESAS'!$C$15:$C$320,$A172-WEEKDAY($A172,2)+1)</f>
        <v/>
      </c>
      <c r="N172" s="159">
        <f>SUMIFS('METAS EMPRESAS'!$J$15:$J$320,'METAS EMPRESAS'!$A$15:$A$320,"EJ",'METAS EMPRESAS'!$B$15:$B$320,"PREMONTAGEM",'METAS EMPRESAS'!$C$15:$C$320,$A172-WEEKDAY($A172,2)+1)</f>
        <v/>
      </c>
      <c r="O172" s="159">
        <f>SUMIFS('METAS EMPRESAS'!$J$15:$J$320,'METAS EMPRESAS'!$A$15:$A$320,"EJ",'METAS EMPRESAS'!$B$15:$B$320,"IÇAMENTO JOIST",'METAS EMPRESAS'!$C$15:$C$320,$A172-WEEKDAY($A172,2)+1)</f>
        <v/>
      </c>
      <c r="P172" s="159">
        <f>SUMIFS('METAS EMPRESAS'!$J$15:$J$320,'METAS EMPRESAS'!$A$15:$A$320,"EJ",'METAS EMPRESAS'!$B$15:$B$320,"VIGAS",'METAS EMPRESAS'!$C$15:$C$320,$A172-WEEKDAY($A172,2)+1)</f>
        <v/>
      </c>
      <c r="Q172" s="159">
        <f>SUMIFS('METAS EMPRESAS'!$J$15:$J$320,'METAS EMPRESAS'!$A$15:$A$320,"CMM",'METAS EMPRESAS'!$B$15:$B$320,"PREMONTAGEM",'METAS EMPRESAS'!$C$15:$C$320,$A172-WEEKDAY($A172,2)+1)</f>
        <v/>
      </c>
      <c r="R172" s="159">
        <f>SUMIFS('METAS EMPRESAS'!$J$15:$J$320,'METAS EMPRESAS'!$A$15:$A$320,"CMM",'METAS EMPRESAS'!$B$15:$B$320,"IÇAMENTO JOIST",'METAS EMPRESAS'!$C$15:$C$320,$A172-WEEKDAY($A172,2)+1)</f>
        <v/>
      </c>
      <c r="S172" s="159">
        <f>SUMIFS('METAS EMPRESAS'!$J$15:$J$320,'METAS EMPRESAS'!$A$15:$A$320,"CMM",'METAS EMPRESAS'!$B$15:$B$320,"VIGAS",'METAS EMPRESAS'!$C$15:$C$320,$A172-WEEKDAY($A172,2)+1)</f>
        <v/>
      </c>
      <c r="T172">
        <f>--(WEEKDAY(A172,2)&lt;=5)</f>
        <v/>
      </c>
      <c r="U172" t="n">
        <v>19</v>
      </c>
      <c r="V172" t="n">
        <v>7</v>
      </c>
      <c r="W172" t="n">
        <v>0</v>
      </c>
      <c r="X172" t="n">
        <v>5</v>
      </c>
      <c r="Y172" t="n">
        <v>5</v>
      </c>
      <c r="Z172" t="n">
        <v>5</v>
      </c>
      <c r="AA172" t="n">
        <v>95</v>
      </c>
      <c r="AB172" t="n">
        <v>35</v>
      </c>
      <c r="AC172" t="n">
        <v>0</v>
      </c>
    </row>
    <row r="173">
      <c r="A173" s="317" t="n">
        <v>46394</v>
      </c>
      <c r="B173" s="159">
        <f>SUMIFS('METAS EMPRESAS'!$K$15:$K$320,'METAS EMPRESAS'!$A$15:$A$320,"EJ",'METAS EMPRESAS'!$B$15:$B$320,"PREMONTAGEM",'METAS EMPRESAS'!$C$15:$C$320,$A173-WEEKDAY($A173,2)+1)</f>
        <v/>
      </c>
      <c r="C173" s="159">
        <f>SUMIFS('METAS EMPRESAS'!$K$15:$K$320,'METAS EMPRESAS'!$A$15:$A$320,"EJ",'METAS EMPRESAS'!$B$15:$B$320,"IÇAMENTO JOIST",'METAS EMPRESAS'!$C$15:$C$320,$A173-WEEKDAY($A173,2)+1)</f>
        <v/>
      </c>
      <c r="D173" s="159">
        <f>SUMIFS('METAS EMPRESAS'!$K$15:$K$320,'METAS EMPRESAS'!$A$15:$A$320,"EJ",'METAS EMPRESAS'!$B$15:$B$320,"VIGAS",'METAS EMPRESAS'!$C$15:$C$320,$A173-WEEKDAY($A173,2)+1)</f>
        <v/>
      </c>
      <c r="E173" s="159">
        <f>SUMIFS('METAS EMPRESAS'!$K$15:$K$320,'METAS EMPRESAS'!$A$15:$A$320,"CMM",'METAS EMPRESAS'!$B$15:$B$320,"PREMONTAGEM",'METAS EMPRESAS'!$C$15:$C$320,$A173-WEEKDAY($A173,2)+1)</f>
        <v/>
      </c>
      <c r="F173" s="159">
        <f>SUMIFS('METAS EMPRESAS'!$K$15:$K$320,'METAS EMPRESAS'!$A$15:$A$320,"CMM",'METAS EMPRESAS'!$B$15:$B$320,"IÇAMENTO JOIST",'METAS EMPRESAS'!$C$15:$C$320,$A173-WEEKDAY($A173,2)+1)</f>
        <v/>
      </c>
      <c r="G173" s="159">
        <f>SUMIFS('METAS EMPRESAS'!$K$15:$K$320,'METAS EMPRESAS'!$A$15:$A$320,"CMM",'METAS EMPRESAS'!$B$15:$B$320,"VIGAS",'METAS EMPRESAS'!$C$15:$C$320,$A173-WEEKDAY($A173,2)+1)</f>
        <v/>
      </c>
      <c r="H173" s="159">
        <f>SUMIFS('METAS EMPRESAS'!$G$15:$G$320,'METAS EMPRESAS'!$A$15:$A$320,"EJ",'METAS EMPRESAS'!$B$15:$B$320,"PREMONTAGEM",'METAS EMPRESAS'!$C$15:$C$320,$A173-WEEKDAY($A173,2)+1)</f>
        <v/>
      </c>
      <c r="I173" s="159">
        <f>SUMIFS('METAS EMPRESAS'!$G$15:$G$320,'METAS EMPRESAS'!$A$15:$A$320,"EJ",'METAS EMPRESAS'!$B$15:$B$320,"IÇAMENTO JOIST",'METAS EMPRESAS'!$C$15:$C$320,$A173-WEEKDAY($A173,2)+1)</f>
        <v/>
      </c>
      <c r="J173" s="159">
        <f>SUMIFS('METAS EMPRESAS'!$G$15:$G$320,'METAS EMPRESAS'!$A$15:$A$320,"EJ",'METAS EMPRESAS'!$B$15:$B$320,"VIGAS",'METAS EMPRESAS'!$C$15:$C$320,$A173-WEEKDAY($A173,2)+1)</f>
        <v/>
      </c>
      <c r="K173" s="159">
        <f>SUMIFS('METAS EMPRESAS'!$G$15:$G$320,'METAS EMPRESAS'!$A$15:$A$320,"CMM",'METAS EMPRESAS'!$B$15:$B$320,"PREMONTAGEM",'METAS EMPRESAS'!$C$15:$C$320,$A173-WEEKDAY($A173,2)+1)</f>
        <v/>
      </c>
      <c r="L173" s="159">
        <f>SUMIFS('METAS EMPRESAS'!$G$15:$G$320,'METAS EMPRESAS'!$A$15:$A$320,"CMM",'METAS EMPRESAS'!$B$15:$B$320,"IÇAMENTO JOIST",'METAS EMPRESAS'!$C$15:$C$320,$A173-WEEKDAY($A173,2)+1)</f>
        <v/>
      </c>
      <c r="M173" s="159">
        <f>SUMIFS('METAS EMPRESAS'!$G$15:$G$320,'METAS EMPRESAS'!$A$15:$A$320,"CMM",'METAS EMPRESAS'!$B$15:$B$320,"VIGAS",'METAS EMPRESAS'!$C$15:$C$320,$A173-WEEKDAY($A173,2)+1)</f>
        <v/>
      </c>
      <c r="N173" s="159">
        <f>SUMIFS('METAS EMPRESAS'!$J$15:$J$320,'METAS EMPRESAS'!$A$15:$A$320,"EJ",'METAS EMPRESAS'!$B$15:$B$320,"PREMONTAGEM",'METAS EMPRESAS'!$C$15:$C$320,$A173-WEEKDAY($A173,2)+1)</f>
        <v/>
      </c>
      <c r="O173" s="159">
        <f>SUMIFS('METAS EMPRESAS'!$J$15:$J$320,'METAS EMPRESAS'!$A$15:$A$320,"EJ",'METAS EMPRESAS'!$B$15:$B$320,"IÇAMENTO JOIST",'METAS EMPRESAS'!$C$15:$C$320,$A173-WEEKDAY($A173,2)+1)</f>
        <v/>
      </c>
      <c r="P173" s="159">
        <f>SUMIFS('METAS EMPRESAS'!$J$15:$J$320,'METAS EMPRESAS'!$A$15:$A$320,"EJ",'METAS EMPRESAS'!$B$15:$B$320,"VIGAS",'METAS EMPRESAS'!$C$15:$C$320,$A173-WEEKDAY($A173,2)+1)</f>
        <v/>
      </c>
      <c r="Q173" s="159">
        <f>SUMIFS('METAS EMPRESAS'!$J$15:$J$320,'METAS EMPRESAS'!$A$15:$A$320,"CMM",'METAS EMPRESAS'!$B$15:$B$320,"PREMONTAGEM",'METAS EMPRESAS'!$C$15:$C$320,$A173-WEEKDAY($A173,2)+1)</f>
        <v/>
      </c>
      <c r="R173" s="159">
        <f>SUMIFS('METAS EMPRESAS'!$J$15:$J$320,'METAS EMPRESAS'!$A$15:$A$320,"CMM",'METAS EMPRESAS'!$B$15:$B$320,"IÇAMENTO JOIST",'METAS EMPRESAS'!$C$15:$C$320,$A173-WEEKDAY($A173,2)+1)</f>
        <v/>
      </c>
      <c r="S173" s="159">
        <f>SUMIFS('METAS EMPRESAS'!$J$15:$J$320,'METAS EMPRESAS'!$A$15:$A$320,"CMM",'METAS EMPRESAS'!$B$15:$B$320,"VIGAS",'METAS EMPRESAS'!$C$15:$C$320,$A173-WEEKDAY($A173,2)+1)</f>
        <v/>
      </c>
      <c r="T173">
        <f>--(WEEKDAY(A173,2)&lt;=5)</f>
        <v/>
      </c>
      <c r="U173" t="n">
        <v>19</v>
      </c>
      <c r="V173" t="n">
        <v>7</v>
      </c>
      <c r="W173" t="n">
        <v>0</v>
      </c>
      <c r="X173" t="n">
        <v>5</v>
      </c>
      <c r="Y173" t="n">
        <v>5</v>
      </c>
      <c r="Z173" t="n">
        <v>5</v>
      </c>
      <c r="AA173" t="n">
        <v>95</v>
      </c>
      <c r="AB173" t="n">
        <v>35</v>
      </c>
      <c r="AC173" t="n">
        <v>0</v>
      </c>
    </row>
    <row r="174">
      <c r="A174" s="317" t="n">
        <v>46395</v>
      </c>
      <c r="B174" s="159">
        <f>SUMIFS('METAS EMPRESAS'!$K$15:$K$320,'METAS EMPRESAS'!$A$15:$A$320,"EJ",'METAS EMPRESAS'!$B$15:$B$320,"PREMONTAGEM",'METAS EMPRESAS'!$C$15:$C$320,$A174-WEEKDAY($A174,2)+1)</f>
        <v/>
      </c>
      <c r="C174" s="159">
        <f>SUMIFS('METAS EMPRESAS'!$K$15:$K$320,'METAS EMPRESAS'!$A$15:$A$320,"EJ",'METAS EMPRESAS'!$B$15:$B$320,"IÇAMENTO JOIST",'METAS EMPRESAS'!$C$15:$C$320,$A174-WEEKDAY($A174,2)+1)</f>
        <v/>
      </c>
      <c r="D174" s="159">
        <f>SUMIFS('METAS EMPRESAS'!$K$15:$K$320,'METAS EMPRESAS'!$A$15:$A$320,"EJ",'METAS EMPRESAS'!$B$15:$B$320,"VIGAS",'METAS EMPRESAS'!$C$15:$C$320,$A174-WEEKDAY($A174,2)+1)</f>
        <v/>
      </c>
      <c r="E174" s="159">
        <f>SUMIFS('METAS EMPRESAS'!$K$15:$K$320,'METAS EMPRESAS'!$A$15:$A$320,"CMM",'METAS EMPRESAS'!$B$15:$B$320,"PREMONTAGEM",'METAS EMPRESAS'!$C$15:$C$320,$A174-WEEKDAY($A174,2)+1)</f>
        <v/>
      </c>
      <c r="F174" s="159">
        <f>SUMIFS('METAS EMPRESAS'!$K$15:$K$320,'METAS EMPRESAS'!$A$15:$A$320,"CMM",'METAS EMPRESAS'!$B$15:$B$320,"IÇAMENTO JOIST",'METAS EMPRESAS'!$C$15:$C$320,$A174-WEEKDAY($A174,2)+1)</f>
        <v/>
      </c>
      <c r="G174" s="159">
        <f>SUMIFS('METAS EMPRESAS'!$K$15:$K$320,'METAS EMPRESAS'!$A$15:$A$320,"CMM",'METAS EMPRESAS'!$B$15:$B$320,"VIGAS",'METAS EMPRESAS'!$C$15:$C$320,$A174-WEEKDAY($A174,2)+1)</f>
        <v/>
      </c>
      <c r="H174" s="159">
        <f>SUMIFS('METAS EMPRESAS'!$G$15:$G$320,'METAS EMPRESAS'!$A$15:$A$320,"EJ",'METAS EMPRESAS'!$B$15:$B$320,"PREMONTAGEM",'METAS EMPRESAS'!$C$15:$C$320,$A174-WEEKDAY($A174,2)+1)</f>
        <v/>
      </c>
      <c r="I174" s="159">
        <f>SUMIFS('METAS EMPRESAS'!$G$15:$G$320,'METAS EMPRESAS'!$A$15:$A$320,"EJ",'METAS EMPRESAS'!$B$15:$B$320,"IÇAMENTO JOIST",'METAS EMPRESAS'!$C$15:$C$320,$A174-WEEKDAY($A174,2)+1)</f>
        <v/>
      </c>
      <c r="J174" s="159">
        <f>SUMIFS('METAS EMPRESAS'!$G$15:$G$320,'METAS EMPRESAS'!$A$15:$A$320,"EJ",'METAS EMPRESAS'!$B$15:$B$320,"VIGAS",'METAS EMPRESAS'!$C$15:$C$320,$A174-WEEKDAY($A174,2)+1)</f>
        <v/>
      </c>
      <c r="K174" s="159">
        <f>SUMIFS('METAS EMPRESAS'!$G$15:$G$320,'METAS EMPRESAS'!$A$15:$A$320,"CMM",'METAS EMPRESAS'!$B$15:$B$320,"PREMONTAGEM",'METAS EMPRESAS'!$C$15:$C$320,$A174-WEEKDAY($A174,2)+1)</f>
        <v/>
      </c>
      <c r="L174" s="159">
        <f>SUMIFS('METAS EMPRESAS'!$G$15:$G$320,'METAS EMPRESAS'!$A$15:$A$320,"CMM",'METAS EMPRESAS'!$B$15:$B$320,"IÇAMENTO JOIST",'METAS EMPRESAS'!$C$15:$C$320,$A174-WEEKDAY($A174,2)+1)</f>
        <v/>
      </c>
      <c r="M174" s="159">
        <f>SUMIFS('METAS EMPRESAS'!$G$15:$G$320,'METAS EMPRESAS'!$A$15:$A$320,"CMM",'METAS EMPRESAS'!$B$15:$B$320,"VIGAS",'METAS EMPRESAS'!$C$15:$C$320,$A174-WEEKDAY($A174,2)+1)</f>
        <v/>
      </c>
      <c r="N174" s="159">
        <f>SUMIFS('METAS EMPRESAS'!$J$15:$J$320,'METAS EMPRESAS'!$A$15:$A$320,"EJ",'METAS EMPRESAS'!$B$15:$B$320,"PREMONTAGEM",'METAS EMPRESAS'!$C$15:$C$320,$A174-WEEKDAY($A174,2)+1)</f>
        <v/>
      </c>
      <c r="O174" s="159">
        <f>SUMIFS('METAS EMPRESAS'!$J$15:$J$320,'METAS EMPRESAS'!$A$15:$A$320,"EJ",'METAS EMPRESAS'!$B$15:$B$320,"IÇAMENTO JOIST",'METAS EMPRESAS'!$C$15:$C$320,$A174-WEEKDAY($A174,2)+1)</f>
        <v/>
      </c>
      <c r="P174" s="159">
        <f>SUMIFS('METAS EMPRESAS'!$J$15:$J$320,'METAS EMPRESAS'!$A$15:$A$320,"EJ",'METAS EMPRESAS'!$B$15:$B$320,"VIGAS",'METAS EMPRESAS'!$C$15:$C$320,$A174-WEEKDAY($A174,2)+1)</f>
        <v/>
      </c>
      <c r="Q174" s="159">
        <f>SUMIFS('METAS EMPRESAS'!$J$15:$J$320,'METAS EMPRESAS'!$A$15:$A$320,"CMM",'METAS EMPRESAS'!$B$15:$B$320,"PREMONTAGEM",'METAS EMPRESAS'!$C$15:$C$320,$A174-WEEKDAY($A174,2)+1)</f>
        <v/>
      </c>
      <c r="R174" s="159">
        <f>SUMIFS('METAS EMPRESAS'!$J$15:$J$320,'METAS EMPRESAS'!$A$15:$A$320,"CMM",'METAS EMPRESAS'!$B$15:$B$320,"IÇAMENTO JOIST",'METAS EMPRESAS'!$C$15:$C$320,$A174-WEEKDAY($A174,2)+1)</f>
        <v/>
      </c>
      <c r="S174" s="159">
        <f>SUMIFS('METAS EMPRESAS'!$J$15:$J$320,'METAS EMPRESAS'!$A$15:$A$320,"CMM",'METAS EMPRESAS'!$B$15:$B$320,"VIGAS",'METAS EMPRESAS'!$C$15:$C$320,$A174-WEEKDAY($A174,2)+1)</f>
        <v/>
      </c>
      <c r="T174">
        <f>--(WEEKDAY(A174,2)&lt;=5)</f>
        <v/>
      </c>
      <c r="U174" t="n">
        <v>19</v>
      </c>
      <c r="V174" t="n">
        <v>7</v>
      </c>
      <c r="W174" t="n">
        <v>0</v>
      </c>
      <c r="X174" t="n">
        <v>5</v>
      </c>
      <c r="Y174" t="n">
        <v>5</v>
      </c>
      <c r="Z174" t="n">
        <v>5</v>
      </c>
      <c r="AA174" t="n">
        <v>95</v>
      </c>
      <c r="AB174" t="n">
        <v>35</v>
      </c>
      <c r="AC174" t="n">
        <v>0</v>
      </c>
    </row>
    <row r="175">
      <c r="A175" s="317" t="n">
        <v>46396</v>
      </c>
      <c r="B175" s="159">
        <f>SUMIFS('METAS EMPRESAS'!$K$15:$K$320,'METAS EMPRESAS'!$A$15:$A$320,"EJ",'METAS EMPRESAS'!$B$15:$B$320,"PREMONTAGEM",'METAS EMPRESAS'!$C$15:$C$320,$A175-WEEKDAY($A175,2)+1)</f>
        <v/>
      </c>
      <c r="C175" s="159">
        <f>SUMIFS('METAS EMPRESAS'!$K$15:$K$320,'METAS EMPRESAS'!$A$15:$A$320,"EJ",'METAS EMPRESAS'!$B$15:$B$320,"IÇAMENTO JOIST",'METAS EMPRESAS'!$C$15:$C$320,$A175-WEEKDAY($A175,2)+1)</f>
        <v/>
      </c>
      <c r="D175" s="159">
        <f>SUMIFS('METAS EMPRESAS'!$K$15:$K$320,'METAS EMPRESAS'!$A$15:$A$320,"EJ",'METAS EMPRESAS'!$B$15:$B$320,"VIGAS",'METAS EMPRESAS'!$C$15:$C$320,$A175-WEEKDAY($A175,2)+1)</f>
        <v/>
      </c>
      <c r="E175" s="159">
        <f>SUMIFS('METAS EMPRESAS'!$K$15:$K$320,'METAS EMPRESAS'!$A$15:$A$320,"CMM",'METAS EMPRESAS'!$B$15:$B$320,"PREMONTAGEM",'METAS EMPRESAS'!$C$15:$C$320,$A175-WEEKDAY($A175,2)+1)</f>
        <v/>
      </c>
      <c r="F175" s="159">
        <f>SUMIFS('METAS EMPRESAS'!$K$15:$K$320,'METAS EMPRESAS'!$A$15:$A$320,"CMM",'METAS EMPRESAS'!$B$15:$B$320,"IÇAMENTO JOIST",'METAS EMPRESAS'!$C$15:$C$320,$A175-WEEKDAY($A175,2)+1)</f>
        <v/>
      </c>
      <c r="G175" s="159">
        <f>SUMIFS('METAS EMPRESAS'!$K$15:$K$320,'METAS EMPRESAS'!$A$15:$A$320,"CMM",'METAS EMPRESAS'!$B$15:$B$320,"VIGAS",'METAS EMPRESAS'!$C$15:$C$320,$A175-WEEKDAY($A175,2)+1)</f>
        <v/>
      </c>
      <c r="H175" s="159">
        <f>SUMIFS('METAS EMPRESAS'!$G$15:$G$320,'METAS EMPRESAS'!$A$15:$A$320,"EJ",'METAS EMPRESAS'!$B$15:$B$320,"PREMONTAGEM",'METAS EMPRESAS'!$C$15:$C$320,$A175-WEEKDAY($A175,2)+1)</f>
        <v/>
      </c>
      <c r="I175" s="159">
        <f>SUMIFS('METAS EMPRESAS'!$G$15:$G$320,'METAS EMPRESAS'!$A$15:$A$320,"EJ",'METAS EMPRESAS'!$B$15:$B$320,"IÇAMENTO JOIST",'METAS EMPRESAS'!$C$15:$C$320,$A175-WEEKDAY($A175,2)+1)</f>
        <v/>
      </c>
      <c r="J175" s="159">
        <f>SUMIFS('METAS EMPRESAS'!$G$15:$G$320,'METAS EMPRESAS'!$A$15:$A$320,"EJ",'METAS EMPRESAS'!$B$15:$B$320,"VIGAS",'METAS EMPRESAS'!$C$15:$C$320,$A175-WEEKDAY($A175,2)+1)</f>
        <v/>
      </c>
      <c r="K175" s="159">
        <f>SUMIFS('METAS EMPRESAS'!$G$15:$G$320,'METAS EMPRESAS'!$A$15:$A$320,"CMM",'METAS EMPRESAS'!$B$15:$B$320,"PREMONTAGEM",'METAS EMPRESAS'!$C$15:$C$320,$A175-WEEKDAY($A175,2)+1)</f>
        <v/>
      </c>
      <c r="L175" s="159">
        <f>SUMIFS('METAS EMPRESAS'!$G$15:$G$320,'METAS EMPRESAS'!$A$15:$A$320,"CMM",'METAS EMPRESAS'!$B$15:$B$320,"IÇAMENTO JOIST",'METAS EMPRESAS'!$C$15:$C$320,$A175-WEEKDAY($A175,2)+1)</f>
        <v/>
      </c>
      <c r="M175" s="159">
        <f>SUMIFS('METAS EMPRESAS'!$G$15:$G$320,'METAS EMPRESAS'!$A$15:$A$320,"CMM",'METAS EMPRESAS'!$B$15:$B$320,"VIGAS",'METAS EMPRESAS'!$C$15:$C$320,$A175-WEEKDAY($A175,2)+1)</f>
        <v/>
      </c>
      <c r="N175" s="159">
        <f>SUMIFS('METAS EMPRESAS'!$J$15:$J$320,'METAS EMPRESAS'!$A$15:$A$320,"EJ",'METAS EMPRESAS'!$B$15:$B$320,"PREMONTAGEM",'METAS EMPRESAS'!$C$15:$C$320,$A175-WEEKDAY($A175,2)+1)</f>
        <v/>
      </c>
      <c r="O175" s="159">
        <f>SUMIFS('METAS EMPRESAS'!$J$15:$J$320,'METAS EMPRESAS'!$A$15:$A$320,"EJ",'METAS EMPRESAS'!$B$15:$B$320,"IÇAMENTO JOIST",'METAS EMPRESAS'!$C$15:$C$320,$A175-WEEKDAY($A175,2)+1)</f>
        <v/>
      </c>
      <c r="P175" s="159">
        <f>SUMIFS('METAS EMPRESAS'!$J$15:$J$320,'METAS EMPRESAS'!$A$15:$A$320,"EJ",'METAS EMPRESAS'!$B$15:$B$320,"VIGAS",'METAS EMPRESAS'!$C$15:$C$320,$A175-WEEKDAY($A175,2)+1)</f>
        <v/>
      </c>
      <c r="Q175" s="159">
        <f>SUMIFS('METAS EMPRESAS'!$J$15:$J$320,'METAS EMPRESAS'!$A$15:$A$320,"CMM",'METAS EMPRESAS'!$B$15:$B$320,"PREMONTAGEM",'METAS EMPRESAS'!$C$15:$C$320,$A175-WEEKDAY($A175,2)+1)</f>
        <v/>
      </c>
      <c r="R175" s="159">
        <f>SUMIFS('METAS EMPRESAS'!$J$15:$J$320,'METAS EMPRESAS'!$A$15:$A$320,"CMM",'METAS EMPRESAS'!$B$15:$B$320,"IÇAMENTO JOIST",'METAS EMPRESAS'!$C$15:$C$320,$A175-WEEKDAY($A175,2)+1)</f>
        <v/>
      </c>
      <c r="S175" s="159">
        <f>SUMIFS('METAS EMPRESAS'!$J$15:$J$320,'METAS EMPRESAS'!$A$15:$A$320,"CMM",'METAS EMPRESAS'!$B$15:$B$320,"VIGAS",'METAS EMPRESAS'!$C$15:$C$320,$A175-WEEKDAY($A175,2)+1)</f>
        <v/>
      </c>
      <c r="T175">
        <f>--(WEEKDAY(A175,2)&lt;=5)</f>
        <v/>
      </c>
      <c r="U175" t="n">
        <v>19</v>
      </c>
      <c r="V175" t="n">
        <v>7</v>
      </c>
      <c r="W175" t="n">
        <v>0</v>
      </c>
      <c r="X175" t="n">
        <v>5</v>
      </c>
      <c r="Y175" t="n">
        <v>5</v>
      </c>
      <c r="Z175" t="n">
        <v>5</v>
      </c>
      <c r="AA175" t="n">
        <v>95</v>
      </c>
      <c r="AB175" t="n">
        <v>35</v>
      </c>
      <c r="AC175" t="n">
        <v>0</v>
      </c>
    </row>
    <row r="176">
      <c r="A176" s="317" t="n">
        <v>46397</v>
      </c>
      <c r="B176" s="159">
        <f>SUMIFS('METAS EMPRESAS'!$K$15:$K$320,'METAS EMPRESAS'!$A$15:$A$320,"EJ",'METAS EMPRESAS'!$B$15:$B$320,"PREMONTAGEM",'METAS EMPRESAS'!$C$15:$C$320,$A176-WEEKDAY($A176,2)+1)</f>
        <v/>
      </c>
      <c r="C176" s="159">
        <f>SUMIFS('METAS EMPRESAS'!$K$15:$K$320,'METAS EMPRESAS'!$A$15:$A$320,"EJ",'METAS EMPRESAS'!$B$15:$B$320,"IÇAMENTO JOIST",'METAS EMPRESAS'!$C$15:$C$320,$A176-WEEKDAY($A176,2)+1)</f>
        <v/>
      </c>
      <c r="D176" s="159">
        <f>SUMIFS('METAS EMPRESAS'!$K$15:$K$320,'METAS EMPRESAS'!$A$15:$A$320,"EJ",'METAS EMPRESAS'!$B$15:$B$320,"VIGAS",'METAS EMPRESAS'!$C$15:$C$320,$A176-WEEKDAY($A176,2)+1)</f>
        <v/>
      </c>
      <c r="E176" s="159">
        <f>SUMIFS('METAS EMPRESAS'!$K$15:$K$320,'METAS EMPRESAS'!$A$15:$A$320,"CMM",'METAS EMPRESAS'!$B$15:$B$320,"PREMONTAGEM",'METAS EMPRESAS'!$C$15:$C$320,$A176-WEEKDAY($A176,2)+1)</f>
        <v/>
      </c>
      <c r="F176" s="159">
        <f>SUMIFS('METAS EMPRESAS'!$K$15:$K$320,'METAS EMPRESAS'!$A$15:$A$320,"CMM",'METAS EMPRESAS'!$B$15:$B$320,"IÇAMENTO JOIST",'METAS EMPRESAS'!$C$15:$C$320,$A176-WEEKDAY($A176,2)+1)</f>
        <v/>
      </c>
      <c r="G176" s="159">
        <f>SUMIFS('METAS EMPRESAS'!$K$15:$K$320,'METAS EMPRESAS'!$A$15:$A$320,"CMM",'METAS EMPRESAS'!$B$15:$B$320,"VIGAS",'METAS EMPRESAS'!$C$15:$C$320,$A176-WEEKDAY($A176,2)+1)</f>
        <v/>
      </c>
      <c r="H176" s="159">
        <f>SUMIFS('METAS EMPRESAS'!$G$15:$G$320,'METAS EMPRESAS'!$A$15:$A$320,"EJ",'METAS EMPRESAS'!$B$15:$B$320,"PREMONTAGEM",'METAS EMPRESAS'!$C$15:$C$320,$A176-WEEKDAY($A176,2)+1)</f>
        <v/>
      </c>
      <c r="I176" s="159">
        <f>SUMIFS('METAS EMPRESAS'!$G$15:$G$320,'METAS EMPRESAS'!$A$15:$A$320,"EJ",'METAS EMPRESAS'!$B$15:$B$320,"IÇAMENTO JOIST",'METAS EMPRESAS'!$C$15:$C$320,$A176-WEEKDAY($A176,2)+1)</f>
        <v/>
      </c>
      <c r="J176" s="159">
        <f>SUMIFS('METAS EMPRESAS'!$G$15:$G$320,'METAS EMPRESAS'!$A$15:$A$320,"EJ",'METAS EMPRESAS'!$B$15:$B$320,"VIGAS",'METAS EMPRESAS'!$C$15:$C$320,$A176-WEEKDAY($A176,2)+1)</f>
        <v/>
      </c>
      <c r="K176" s="159">
        <f>SUMIFS('METAS EMPRESAS'!$G$15:$G$320,'METAS EMPRESAS'!$A$15:$A$320,"CMM",'METAS EMPRESAS'!$B$15:$B$320,"PREMONTAGEM",'METAS EMPRESAS'!$C$15:$C$320,$A176-WEEKDAY($A176,2)+1)</f>
        <v/>
      </c>
      <c r="L176" s="159">
        <f>SUMIFS('METAS EMPRESAS'!$G$15:$G$320,'METAS EMPRESAS'!$A$15:$A$320,"CMM",'METAS EMPRESAS'!$B$15:$B$320,"IÇAMENTO JOIST",'METAS EMPRESAS'!$C$15:$C$320,$A176-WEEKDAY($A176,2)+1)</f>
        <v/>
      </c>
      <c r="M176" s="159">
        <f>SUMIFS('METAS EMPRESAS'!$G$15:$G$320,'METAS EMPRESAS'!$A$15:$A$320,"CMM",'METAS EMPRESAS'!$B$15:$B$320,"VIGAS",'METAS EMPRESAS'!$C$15:$C$320,$A176-WEEKDAY($A176,2)+1)</f>
        <v/>
      </c>
      <c r="N176" s="159">
        <f>SUMIFS('METAS EMPRESAS'!$J$15:$J$320,'METAS EMPRESAS'!$A$15:$A$320,"EJ",'METAS EMPRESAS'!$B$15:$B$320,"PREMONTAGEM",'METAS EMPRESAS'!$C$15:$C$320,$A176-WEEKDAY($A176,2)+1)</f>
        <v/>
      </c>
      <c r="O176" s="159">
        <f>SUMIFS('METAS EMPRESAS'!$J$15:$J$320,'METAS EMPRESAS'!$A$15:$A$320,"EJ",'METAS EMPRESAS'!$B$15:$B$320,"IÇAMENTO JOIST",'METAS EMPRESAS'!$C$15:$C$320,$A176-WEEKDAY($A176,2)+1)</f>
        <v/>
      </c>
      <c r="P176" s="159">
        <f>SUMIFS('METAS EMPRESAS'!$J$15:$J$320,'METAS EMPRESAS'!$A$15:$A$320,"EJ",'METAS EMPRESAS'!$B$15:$B$320,"VIGAS",'METAS EMPRESAS'!$C$15:$C$320,$A176-WEEKDAY($A176,2)+1)</f>
        <v/>
      </c>
      <c r="Q176" s="159">
        <f>SUMIFS('METAS EMPRESAS'!$J$15:$J$320,'METAS EMPRESAS'!$A$15:$A$320,"CMM",'METAS EMPRESAS'!$B$15:$B$320,"PREMONTAGEM",'METAS EMPRESAS'!$C$15:$C$320,$A176-WEEKDAY($A176,2)+1)</f>
        <v/>
      </c>
      <c r="R176" s="159">
        <f>SUMIFS('METAS EMPRESAS'!$J$15:$J$320,'METAS EMPRESAS'!$A$15:$A$320,"CMM",'METAS EMPRESAS'!$B$15:$B$320,"IÇAMENTO JOIST",'METAS EMPRESAS'!$C$15:$C$320,$A176-WEEKDAY($A176,2)+1)</f>
        <v/>
      </c>
      <c r="S176" s="159">
        <f>SUMIFS('METAS EMPRESAS'!$J$15:$J$320,'METAS EMPRESAS'!$A$15:$A$320,"CMM",'METAS EMPRESAS'!$B$15:$B$320,"VIGAS",'METAS EMPRESAS'!$C$15:$C$320,$A176-WEEKDAY($A176,2)+1)</f>
        <v/>
      </c>
      <c r="T176">
        <f>--(WEEKDAY(A176,2)&lt;=5)</f>
        <v/>
      </c>
      <c r="U176" t="n">
        <v>19</v>
      </c>
      <c r="V176" t="n">
        <v>7</v>
      </c>
      <c r="W176" t="n">
        <v>0</v>
      </c>
      <c r="X176" t="n">
        <v>5</v>
      </c>
      <c r="Y176" t="n">
        <v>5</v>
      </c>
      <c r="Z176" t="n">
        <v>5</v>
      </c>
      <c r="AA176" t="n">
        <v>95</v>
      </c>
      <c r="AB176" t="n">
        <v>35</v>
      </c>
      <c r="AC176" t="n">
        <v>0</v>
      </c>
    </row>
    <row r="177">
      <c r="A177" s="317" t="n">
        <v>46398</v>
      </c>
      <c r="B177" s="159">
        <f>SUMIFS('METAS EMPRESAS'!$K$15:$K$320,'METAS EMPRESAS'!$A$15:$A$320,"EJ",'METAS EMPRESAS'!$B$15:$B$320,"PREMONTAGEM",'METAS EMPRESAS'!$C$15:$C$320,$A177-WEEKDAY($A177,2)+1)</f>
        <v/>
      </c>
      <c r="C177" s="159">
        <f>SUMIFS('METAS EMPRESAS'!$K$15:$K$320,'METAS EMPRESAS'!$A$15:$A$320,"EJ",'METAS EMPRESAS'!$B$15:$B$320,"IÇAMENTO JOIST",'METAS EMPRESAS'!$C$15:$C$320,$A177-WEEKDAY($A177,2)+1)</f>
        <v/>
      </c>
      <c r="D177" s="159">
        <f>SUMIFS('METAS EMPRESAS'!$K$15:$K$320,'METAS EMPRESAS'!$A$15:$A$320,"EJ",'METAS EMPRESAS'!$B$15:$B$320,"VIGAS",'METAS EMPRESAS'!$C$15:$C$320,$A177-WEEKDAY($A177,2)+1)</f>
        <v/>
      </c>
      <c r="E177" s="159">
        <f>SUMIFS('METAS EMPRESAS'!$K$15:$K$320,'METAS EMPRESAS'!$A$15:$A$320,"CMM",'METAS EMPRESAS'!$B$15:$B$320,"PREMONTAGEM",'METAS EMPRESAS'!$C$15:$C$320,$A177-WEEKDAY($A177,2)+1)</f>
        <v/>
      </c>
      <c r="F177" s="159">
        <f>SUMIFS('METAS EMPRESAS'!$K$15:$K$320,'METAS EMPRESAS'!$A$15:$A$320,"CMM",'METAS EMPRESAS'!$B$15:$B$320,"IÇAMENTO JOIST",'METAS EMPRESAS'!$C$15:$C$320,$A177-WEEKDAY($A177,2)+1)</f>
        <v/>
      </c>
      <c r="G177" s="159">
        <f>SUMIFS('METAS EMPRESAS'!$K$15:$K$320,'METAS EMPRESAS'!$A$15:$A$320,"CMM",'METAS EMPRESAS'!$B$15:$B$320,"VIGAS",'METAS EMPRESAS'!$C$15:$C$320,$A177-WEEKDAY($A177,2)+1)</f>
        <v/>
      </c>
      <c r="H177" s="159">
        <f>SUMIFS('METAS EMPRESAS'!$G$15:$G$320,'METAS EMPRESAS'!$A$15:$A$320,"EJ",'METAS EMPRESAS'!$B$15:$B$320,"PREMONTAGEM",'METAS EMPRESAS'!$C$15:$C$320,$A177-WEEKDAY($A177,2)+1)</f>
        <v/>
      </c>
      <c r="I177" s="159">
        <f>SUMIFS('METAS EMPRESAS'!$G$15:$G$320,'METAS EMPRESAS'!$A$15:$A$320,"EJ",'METAS EMPRESAS'!$B$15:$B$320,"IÇAMENTO JOIST",'METAS EMPRESAS'!$C$15:$C$320,$A177-WEEKDAY($A177,2)+1)</f>
        <v/>
      </c>
      <c r="J177" s="159">
        <f>SUMIFS('METAS EMPRESAS'!$G$15:$G$320,'METAS EMPRESAS'!$A$15:$A$320,"EJ",'METAS EMPRESAS'!$B$15:$B$320,"VIGAS",'METAS EMPRESAS'!$C$15:$C$320,$A177-WEEKDAY($A177,2)+1)</f>
        <v/>
      </c>
      <c r="K177" s="159">
        <f>SUMIFS('METAS EMPRESAS'!$G$15:$G$320,'METAS EMPRESAS'!$A$15:$A$320,"CMM",'METAS EMPRESAS'!$B$15:$B$320,"PREMONTAGEM",'METAS EMPRESAS'!$C$15:$C$320,$A177-WEEKDAY($A177,2)+1)</f>
        <v/>
      </c>
      <c r="L177" s="159">
        <f>SUMIFS('METAS EMPRESAS'!$G$15:$G$320,'METAS EMPRESAS'!$A$15:$A$320,"CMM",'METAS EMPRESAS'!$B$15:$B$320,"IÇAMENTO JOIST",'METAS EMPRESAS'!$C$15:$C$320,$A177-WEEKDAY($A177,2)+1)</f>
        <v/>
      </c>
      <c r="M177" s="159">
        <f>SUMIFS('METAS EMPRESAS'!$G$15:$G$320,'METAS EMPRESAS'!$A$15:$A$320,"CMM",'METAS EMPRESAS'!$B$15:$B$320,"VIGAS",'METAS EMPRESAS'!$C$15:$C$320,$A177-WEEKDAY($A177,2)+1)</f>
        <v/>
      </c>
      <c r="N177" s="159">
        <f>SUMIFS('METAS EMPRESAS'!$J$15:$J$320,'METAS EMPRESAS'!$A$15:$A$320,"EJ",'METAS EMPRESAS'!$B$15:$B$320,"PREMONTAGEM",'METAS EMPRESAS'!$C$15:$C$320,$A177-WEEKDAY($A177,2)+1)</f>
        <v/>
      </c>
      <c r="O177" s="159">
        <f>SUMIFS('METAS EMPRESAS'!$J$15:$J$320,'METAS EMPRESAS'!$A$15:$A$320,"EJ",'METAS EMPRESAS'!$B$15:$B$320,"IÇAMENTO JOIST",'METAS EMPRESAS'!$C$15:$C$320,$A177-WEEKDAY($A177,2)+1)</f>
        <v/>
      </c>
      <c r="P177" s="159">
        <f>SUMIFS('METAS EMPRESAS'!$J$15:$J$320,'METAS EMPRESAS'!$A$15:$A$320,"EJ",'METAS EMPRESAS'!$B$15:$B$320,"VIGAS",'METAS EMPRESAS'!$C$15:$C$320,$A177-WEEKDAY($A177,2)+1)</f>
        <v/>
      </c>
      <c r="Q177" s="159">
        <f>SUMIFS('METAS EMPRESAS'!$J$15:$J$320,'METAS EMPRESAS'!$A$15:$A$320,"CMM",'METAS EMPRESAS'!$B$15:$B$320,"PREMONTAGEM",'METAS EMPRESAS'!$C$15:$C$320,$A177-WEEKDAY($A177,2)+1)</f>
        <v/>
      </c>
      <c r="R177" s="159">
        <f>SUMIFS('METAS EMPRESAS'!$J$15:$J$320,'METAS EMPRESAS'!$A$15:$A$320,"CMM",'METAS EMPRESAS'!$B$15:$B$320,"IÇAMENTO JOIST",'METAS EMPRESAS'!$C$15:$C$320,$A177-WEEKDAY($A177,2)+1)</f>
        <v/>
      </c>
      <c r="S177" s="159">
        <f>SUMIFS('METAS EMPRESAS'!$J$15:$J$320,'METAS EMPRESAS'!$A$15:$A$320,"CMM",'METAS EMPRESAS'!$B$15:$B$320,"VIGAS",'METAS EMPRESAS'!$C$15:$C$320,$A177-WEEKDAY($A177,2)+1)</f>
        <v/>
      </c>
      <c r="T177">
        <f>--(WEEKDAY(A177,2)&lt;=5)</f>
        <v/>
      </c>
      <c r="U177" t="n">
        <v>19</v>
      </c>
      <c r="V177" t="n">
        <v>7</v>
      </c>
      <c r="W177" t="n">
        <v>0</v>
      </c>
      <c r="X177" t="n">
        <v>5</v>
      </c>
      <c r="Y177" t="n">
        <v>5</v>
      </c>
      <c r="Z177" t="n">
        <v>5</v>
      </c>
      <c r="AA177" t="n">
        <v>95</v>
      </c>
      <c r="AB177" t="n">
        <v>35</v>
      </c>
      <c r="AC177" t="n">
        <v>0</v>
      </c>
    </row>
    <row r="178">
      <c r="A178" s="317" t="n">
        <v>46399</v>
      </c>
      <c r="B178" s="159">
        <f>SUMIFS('METAS EMPRESAS'!$K$15:$K$320,'METAS EMPRESAS'!$A$15:$A$320,"EJ",'METAS EMPRESAS'!$B$15:$B$320,"PREMONTAGEM",'METAS EMPRESAS'!$C$15:$C$320,$A178-WEEKDAY($A178,2)+1)</f>
        <v/>
      </c>
      <c r="C178" s="159">
        <f>SUMIFS('METAS EMPRESAS'!$K$15:$K$320,'METAS EMPRESAS'!$A$15:$A$320,"EJ",'METAS EMPRESAS'!$B$15:$B$320,"IÇAMENTO JOIST",'METAS EMPRESAS'!$C$15:$C$320,$A178-WEEKDAY($A178,2)+1)</f>
        <v/>
      </c>
      <c r="D178" s="159">
        <f>SUMIFS('METAS EMPRESAS'!$K$15:$K$320,'METAS EMPRESAS'!$A$15:$A$320,"EJ",'METAS EMPRESAS'!$B$15:$B$320,"VIGAS",'METAS EMPRESAS'!$C$15:$C$320,$A178-WEEKDAY($A178,2)+1)</f>
        <v/>
      </c>
      <c r="E178" s="159">
        <f>SUMIFS('METAS EMPRESAS'!$K$15:$K$320,'METAS EMPRESAS'!$A$15:$A$320,"CMM",'METAS EMPRESAS'!$B$15:$B$320,"PREMONTAGEM",'METAS EMPRESAS'!$C$15:$C$320,$A178-WEEKDAY($A178,2)+1)</f>
        <v/>
      </c>
      <c r="F178" s="159">
        <f>SUMIFS('METAS EMPRESAS'!$K$15:$K$320,'METAS EMPRESAS'!$A$15:$A$320,"CMM",'METAS EMPRESAS'!$B$15:$B$320,"IÇAMENTO JOIST",'METAS EMPRESAS'!$C$15:$C$320,$A178-WEEKDAY($A178,2)+1)</f>
        <v/>
      </c>
      <c r="G178" s="159">
        <f>SUMIFS('METAS EMPRESAS'!$K$15:$K$320,'METAS EMPRESAS'!$A$15:$A$320,"CMM",'METAS EMPRESAS'!$B$15:$B$320,"VIGAS",'METAS EMPRESAS'!$C$15:$C$320,$A178-WEEKDAY($A178,2)+1)</f>
        <v/>
      </c>
      <c r="H178" s="159">
        <f>SUMIFS('METAS EMPRESAS'!$G$15:$G$320,'METAS EMPRESAS'!$A$15:$A$320,"EJ",'METAS EMPRESAS'!$B$15:$B$320,"PREMONTAGEM",'METAS EMPRESAS'!$C$15:$C$320,$A178-WEEKDAY($A178,2)+1)</f>
        <v/>
      </c>
      <c r="I178" s="159">
        <f>SUMIFS('METAS EMPRESAS'!$G$15:$G$320,'METAS EMPRESAS'!$A$15:$A$320,"EJ",'METAS EMPRESAS'!$B$15:$B$320,"IÇAMENTO JOIST",'METAS EMPRESAS'!$C$15:$C$320,$A178-WEEKDAY($A178,2)+1)</f>
        <v/>
      </c>
      <c r="J178" s="159">
        <f>SUMIFS('METAS EMPRESAS'!$G$15:$G$320,'METAS EMPRESAS'!$A$15:$A$320,"EJ",'METAS EMPRESAS'!$B$15:$B$320,"VIGAS",'METAS EMPRESAS'!$C$15:$C$320,$A178-WEEKDAY($A178,2)+1)</f>
        <v/>
      </c>
      <c r="K178" s="159">
        <f>SUMIFS('METAS EMPRESAS'!$G$15:$G$320,'METAS EMPRESAS'!$A$15:$A$320,"CMM",'METAS EMPRESAS'!$B$15:$B$320,"PREMONTAGEM",'METAS EMPRESAS'!$C$15:$C$320,$A178-WEEKDAY($A178,2)+1)</f>
        <v/>
      </c>
      <c r="L178" s="159">
        <f>SUMIFS('METAS EMPRESAS'!$G$15:$G$320,'METAS EMPRESAS'!$A$15:$A$320,"CMM",'METAS EMPRESAS'!$B$15:$B$320,"IÇAMENTO JOIST",'METAS EMPRESAS'!$C$15:$C$320,$A178-WEEKDAY($A178,2)+1)</f>
        <v/>
      </c>
      <c r="M178" s="159">
        <f>SUMIFS('METAS EMPRESAS'!$G$15:$G$320,'METAS EMPRESAS'!$A$15:$A$320,"CMM",'METAS EMPRESAS'!$B$15:$B$320,"VIGAS",'METAS EMPRESAS'!$C$15:$C$320,$A178-WEEKDAY($A178,2)+1)</f>
        <v/>
      </c>
      <c r="N178" s="159">
        <f>SUMIFS('METAS EMPRESAS'!$J$15:$J$320,'METAS EMPRESAS'!$A$15:$A$320,"EJ",'METAS EMPRESAS'!$B$15:$B$320,"PREMONTAGEM",'METAS EMPRESAS'!$C$15:$C$320,$A178-WEEKDAY($A178,2)+1)</f>
        <v/>
      </c>
      <c r="O178" s="159">
        <f>SUMIFS('METAS EMPRESAS'!$J$15:$J$320,'METAS EMPRESAS'!$A$15:$A$320,"EJ",'METAS EMPRESAS'!$B$15:$B$320,"IÇAMENTO JOIST",'METAS EMPRESAS'!$C$15:$C$320,$A178-WEEKDAY($A178,2)+1)</f>
        <v/>
      </c>
      <c r="P178" s="159">
        <f>SUMIFS('METAS EMPRESAS'!$J$15:$J$320,'METAS EMPRESAS'!$A$15:$A$320,"EJ",'METAS EMPRESAS'!$B$15:$B$320,"VIGAS",'METAS EMPRESAS'!$C$15:$C$320,$A178-WEEKDAY($A178,2)+1)</f>
        <v/>
      </c>
      <c r="Q178" s="159">
        <f>SUMIFS('METAS EMPRESAS'!$J$15:$J$320,'METAS EMPRESAS'!$A$15:$A$320,"CMM",'METAS EMPRESAS'!$B$15:$B$320,"PREMONTAGEM",'METAS EMPRESAS'!$C$15:$C$320,$A178-WEEKDAY($A178,2)+1)</f>
        <v/>
      </c>
      <c r="R178" s="159">
        <f>SUMIFS('METAS EMPRESAS'!$J$15:$J$320,'METAS EMPRESAS'!$A$15:$A$320,"CMM",'METAS EMPRESAS'!$B$15:$B$320,"IÇAMENTO JOIST",'METAS EMPRESAS'!$C$15:$C$320,$A178-WEEKDAY($A178,2)+1)</f>
        <v/>
      </c>
      <c r="S178" s="159">
        <f>SUMIFS('METAS EMPRESAS'!$J$15:$J$320,'METAS EMPRESAS'!$A$15:$A$320,"CMM",'METAS EMPRESAS'!$B$15:$B$320,"VIGAS",'METAS EMPRESAS'!$C$15:$C$320,$A178-WEEKDAY($A178,2)+1)</f>
        <v/>
      </c>
      <c r="T178">
        <f>--(WEEKDAY(A178,2)&lt;=5)</f>
        <v/>
      </c>
      <c r="U178" t="n">
        <v>19</v>
      </c>
      <c r="V178" t="n">
        <v>7</v>
      </c>
      <c r="W178" t="n">
        <v>0</v>
      </c>
      <c r="X178" t="n">
        <v>5</v>
      </c>
      <c r="Y178" t="n">
        <v>5</v>
      </c>
      <c r="Z178" t="n">
        <v>5</v>
      </c>
      <c r="AA178" t="n">
        <v>95</v>
      </c>
      <c r="AB178" t="n">
        <v>35</v>
      </c>
      <c r="AC178" t="n">
        <v>0</v>
      </c>
    </row>
    <row r="179">
      <c r="A179" s="317" t="n">
        <v>46400</v>
      </c>
      <c r="B179" s="159">
        <f>SUMIFS('METAS EMPRESAS'!$K$15:$K$320,'METAS EMPRESAS'!$A$15:$A$320,"EJ",'METAS EMPRESAS'!$B$15:$B$320,"PREMONTAGEM",'METAS EMPRESAS'!$C$15:$C$320,$A179-WEEKDAY($A179,2)+1)</f>
        <v/>
      </c>
      <c r="C179" s="159">
        <f>SUMIFS('METAS EMPRESAS'!$K$15:$K$320,'METAS EMPRESAS'!$A$15:$A$320,"EJ",'METAS EMPRESAS'!$B$15:$B$320,"IÇAMENTO JOIST",'METAS EMPRESAS'!$C$15:$C$320,$A179-WEEKDAY($A179,2)+1)</f>
        <v/>
      </c>
      <c r="D179" s="159">
        <f>SUMIFS('METAS EMPRESAS'!$K$15:$K$320,'METAS EMPRESAS'!$A$15:$A$320,"EJ",'METAS EMPRESAS'!$B$15:$B$320,"VIGAS",'METAS EMPRESAS'!$C$15:$C$320,$A179-WEEKDAY($A179,2)+1)</f>
        <v/>
      </c>
      <c r="E179" s="159">
        <f>SUMIFS('METAS EMPRESAS'!$K$15:$K$320,'METAS EMPRESAS'!$A$15:$A$320,"CMM",'METAS EMPRESAS'!$B$15:$B$320,"PREMONTAGEM",'METAS EMPRESAS'!$C$15:$C$320,$A179-WEEKDAY($A179,2)+1)</f>
        <v/>
      </c>
      <c r="F179" s="159">
        <f>SUMIFS('METAS EMPRESAS'!$K$15:$K$320,'METAS EMPRESAS'!$A$15:$A$320,"CMM",'METAS EMPRESAS'!$B$15:$B$320,"IÇAMENTO JOIST",'METAS EMPRESAS'!$C$15:$C$320,$A179-WEEKDAY($A179,2)+1)</f>
        <v/>
      </c>
      <c r="G179" s="159">
        <f>SUMIFS('METAS EMPRESAS'!$K$15:$K$320,'METAS EMPRESAS'!$A$15:$A$320,"CMM",'METAS EMPRESAS'!$B$15:$B$320,"VIGAS",'METAS EMPRESAS'!$C$15:$C$320,$A179-WEEKDAY($A179,2)+1)</f>
        <v/>
      </c>
      <c r="H179" s="159">
        <f>SUMIFS('METAS EMPRESAS'!$G$15:$G$320,'METAS EMPRESAS'!$A$15:$A$320,"EJ",'METAS EMPRESAS'!$B$15:$B$320,"PREMONTAGEM",'METAS EMPRESAS'!$C$15:$C$320,$A179-WEEKDAY($A179,2)+1)</f>
        <v/>
      </c>
      <c r="I179" s="159">
        <f>SUMIFS('METAS EMPRESAS'!$G$15:$G$320,'METAS EMPRESAS'!$A$15:$A$320,"EJ",'METAS EMPRESAS'!$B$15:$B$320,"IÇAMENTO JOIST",'METAS EMPRESAS'!$C$15:$C$320,$A179-WEEKDAY($A179,2)+1)</f>
        <v/>
      </c>
      <c r="J179" s="159">
        <f>SUMIFS('METAS EMPRESAS'!$G$15:$G$320,'METAS EMPRESAS'!$A$15:$A$320,"EJ",'METAS EMPRESAS'!$B$15:$B$320,"VIGAS",'METAS EMPRESAS'!$C$15:$C$320,$A179-WEEKDAY($A179,2)+1)</f>
        <v/>
      </c>
      <c r="K179" s="159">
        <f>SUMIFS('METAS EMPRESAS'!$G$15:$G$320,'METAS EMPRESAS'!$A$15:$A$320,"CMM",'METAS EMPRESAS'!$B$15:$B$320,"PREMONTAGEM",'METAS EMPRESAS'!$C$15:$C$320,$A179-WEEKDAY($A179,2)+1)</f>
        <v/>
      </c>
      <c r="L179" s="159">
        <f>SUMIFS('METAS EMPRESAS'!$G$15:$G$320,'METAS EMPRESAS'!$A$15:$A$320,"CMM",'METAS EMPRESAS'!$B$15:$B$320,"IÇAMENTO JOIST",'METAS EMPRESAS'!$C$15:$C$320,$A179-WEEKDAY($A179,2)+1)</f>
        <v/>
      </c>
      <c r="M179" s="159">
        <f>SUMIFS('METAS EMPRESAS'!$G$15:$G$320,'METAS EMPRESAS'!$A$15:$A$320,"CMM",'METAS EMPRESAS'!$B$15:$B$320,"VIGAS",'METAS EMPRESAS'!$C$15:$C$320,$A179-WEEKDAY($A179,2)+1)</f>
        <v/>
      </c>
      <c r="N179" s="159">
        <f>SUMIFS('METAS EMPRESAS'!$J$15:$J$320,'METAS EMPRESAS'!$A$15:$A$320,"EJ",'METAS EMPRESAS'!$B$15:$B$320,"PREMONTAGEM",'METAS EMPRESAS'!$C$15:$C$320,$A179-WEEKDAY($A179,2)+1)</f>
        <v/>
      </c>
      <c r="O179" s="159">
        <f>SUMIFS('METAS EMPRESAS'!$J$15:$J$320,'METAS EMPRESAS'!$A$15:$A$320,"EJ",'METAS EMPRESAS'!$B$15:$B$320,"IÇAMENTO JOIST",'METAS EMPRESAS'!$C$15:$C$320,$A179-WEEKDAY($A179,2)+1)</f>
        <v/>
      </c>
      <c r="P179" s="159">
        <f>SUMIFS('METAS EMPRESAS'!$J$15:$J$320,'METAS EMPRESAS'!$A$15:$A$320,"EJ",'METAS EMPRESAS'!$B$15:$B$320,"VIGAS",'METAS EMPRESAS'!$C$15:$C$320,$A179-WEEKDAY($A179,2)+1)</f>
        <v/>
      </c>
      <c r="Q179" s="159">
        <f>SUMIFS('METAS EMPRESAS'!$J$15:$J$320,'METAS EMPRESAS'!$A$15:$A$320,"CMM",'METAS EMPRESAS'!$B$15:$B$320,"PREMONTAGEM",'METAS EMPRESAS'!$C$15:$C$320,$A179-WEEKDAY($A179,2)+1)</f>
        <v/>
      </c>
      <c r="R179" s="159">
        <f>SUMIFS('METAS EMPRESAS'!$J$15:$J$320,'METAS EMPRESAS'!$A$15:$A$320,"CMM",'METAS EMPRESAS'!$B$15:$B$320,"IÇAMENTO JOIST",'METAS EMPRESAS'!$C$15:$C$320,$A179-WEEKDAY($A179,2)+1)</f>
        <v/>
      </c>
      <c r="S179" s="159">
        <f>SUMIFS('METAS EMPRESAS'!$J$15:$J$320,'METAS EMPRESAS'!$A$15:$A$320,"CMM",'METAS EMPRESAS'!$B$15:$B$320,"VIGAS",'METAS EMPRESAS'!$C$15:$C$320,$A179-WEEKDAY($A179,2)+1)</f>
        <v/>
      </c>
      <c r="T179">
        <f>--(WEEKDAY(A179,2)&lt;=5)</f>
        <v/>
      </c>
      <c r="U179" t="n">
        <v>19</v>
      </c>
      <c r="V179" t="n">
        <v>7</v>
      </c>
      <c r="W179" t="n">
        <v>0</v>
      </c>
      <c r="X179" t="n">
        <v>5</v>
      </c>
      <c r="Y179" t="n">
        <v>5</v>
      </c>
      <c r="Z179" t="n">
        <v>5</v>
      </c>
      <c r="AA179" t="n">
        <v>95</v>
      </c>
      <c r="AB179" t="n">
        <v>35</v>
      </c>
      <c r="AC179" t="n">
        <v>0</v>
      </c>
    </row>
    <row r="180">
      <c r="A180" s="317" t="n">
        <v>46401</v>
      </c>
      <c r="B180" s="159">
        <f>SUMIFS('METAS EMPRESAS'!$K$15:$K$320,'METAS EMPRESAS'!$A$15:$A$320,"EJ",'METAS EMPRESAS'!$B$15:$B$320,"PREMONTAGEM",'METAS EMPRESAS'!$C$15:$C$320,$A180-WEEKDAY($A180,2)+1)</f>
        <v/>
      </c>
      <c r="C180" s="159">
        <f>SUMIFS('METAS EMPRESAS'!$K$15:$K$320,'METAS EMPRESAS'!$A$15:$A$320,"EJ",'METAS EMPRESAS'!$B$15:$B$320,"IÇAMENTO JOIST",'METAS EMPRESAS'!$C$15:$C$320,$A180-WEEKDAY($A180,2)+1)</f>
        <v/>
      </c>
      <c r="D180" s="159">
        <f>SUMIFS('METAS EMPRESAS'!$K$15:$K$320,'METAS EMPRESAS'!$A$15:$A$320,"EJ",'METAS EMPRESAS'!$B$15:$B$320,"VIGAS",'METAS EMPRESAS'!$C$15:$C$320,$A180-WEEKDAY($A180,2)+1)</f>
        <v/>
      </c>
      <c r="E180" s="159">
        <f>SUMIFS('METAS EMPRESAS'!$K$15:$K$320,'METAS EMPRESAS'!$A$15:$A$320,"CMM",'METAS EMPRESAS'!$B$15:$B$320,"PREMONTAGEM",'METAS EMPRESAS'!$C$15:$C$320,$A180-WEEKDAY($A180,2)+1)</f>
        <v/>
      </c>
      <c r="F180" s="159">
        <f>SUMIFS('METAS EMPRESAS'!$K$15:$K$320,'METAS EMPRESAS'!$A$15:$A$320,"CMM",'METAS EMPRESAS'!$B$15:$B$320,"IÇAMENTO JOIST",'METAS EMPRESAS'!$C$15:$C$320,$A180-WEEKDAY($A180,2)+1)</f>
        <v/>
      </c>
      <c r="G180" s="159">
        <f>SUMIFS('METAS EMPRESAS'!$K$15:$K$320,'METAS EMPRESAS'!$A$15:$A$320,"CMM",'METAS EMPRESAS'!$B$15:$B$320,"VIGAS",'METAS EMPRESAS'!$C$15:$C$320,$A180-WEEKDAY($A180,2)+1)</f>
        <v/>
      </c>
      <c r="H180" s="159">
        <f>SUMIFS('METAS EMPRESAS'!$G$15:$G$320,'METAS EMPRESAS'!$A$15:$A$320,"EJ",'METAS EMPRESAS'!$B$15:$B$320,"PREMONTAGEM",'METAS EMPRESAS'!$C$15:$C$320,$A180-WEEKDAY($A180,2)+1)</f>
        <v/>
      </c>
      <c r="I180" s="159">
        <f>SUMIFS('METAS EMPRESAS'!$G$15:$G$320,'METAS EMPRESAS'!$A$15:$A$320,"EJ",'METAS EMPRESAS'!$B$15:$B$320,"IÇAMENTO JOIST",'METAS EMPRESAS'!$C$15:$C$320,$A180-WEEKDAY($A180,2)+1)</f>
        <v/>
      </c>
      <c r="J180" s="159">
        <f>SUMIFS('METAS EMPRESAS'!$G$15:$G$320,'METAS EMPRESAS'!$A$15:$A$320,"EJ",'METAS EMPRESAS'!$B$15:$B$320,"VIGAS",'METAS EMPRESAS'!$C$15:$C$320,$A180-WEEKDAY($A180,2)+1)</f>
        <v/>
      </c>
      <c r="K180" s="159">
        <f>SUMIFS('METAS EMPRESAS'!$G$15:$G$320,'METAS EMPRESAS'!$A$15:$A$320,"CMM",'METAS EMPRESAS'!$B$15:$B$320,"PREMONTAGEM",'METAS EMPRESAS'!$C$15:$C$320,$A180-WEEKDAY($A180,2)+1)</f>
        <v/>
      </c>
      <c r="L180" s="159">
        <f>SUMIFS('METAS EMPRESAS'!$G$15:$G$320,'METAS EMPRESAS'!$A$15:$A$320,"CMM",'METAS EMPRESAS'!$B$15:$B$320,"IÇAMENTO JOIST",'METAS EMPRESAS'!$C$15:$C$320,$A180-WEEKDAY($A180,2)+1)</f>
        <v/>
      </c>
      <c r="M180" s="159">
        <f>SUMIFS('METAS EMPRESAS'!$G$15:$G$320,'METAS EMPRESAS'!$A$15:$A$320,"CMM",'METAS EMPRESAS'!$B$15:$B$320,"VIGAS",'METAS EMPRESAS'!$C$15:$C$320,$A180-WEEKDAY($A180,2)+1)</f>
        <v/>
      </c>
      <c r="N180" s="159">
        <f>SUMIFS('METAS EMPRESAS'!$J$15:$J$320,'METAS EMPRESAS'!$A$15:$A$320,"EJ",'METAS EMPRESAS'!$B$15:$B$320,"PREMONTAGEM",'METAS EMPRESAS'!$C$15:$C$320,$A180-WEEKDAY($A180,2)+1)</f>
        <v/>
      </c>
      <c r="O180" s="159">
        <f>SUMIFS('METAS EMPRESAS'!$J$15:$J$320,'METAS EMPRESAS'!$A$15:$A$320,"EJ",'METAS EMPRESAS'!$B$15:$B$320,"IÇAMENTO JOIST",'METAS EMPRESAS'!$C$15:$C$320,$A180-WEEKDAY($A180,2)+1)</f>
        <v/>
      </c>
      <c r="P180" s="159">
        <f>SUMIFS('METAS EMPRESAS'!$J$15:$J$320,'METAS EMPRESAS'!$A$15:$A$320,"EJ",'METAS EMPRESAS'!$B$15:$B$320,"VIGAS",'METAS EMPRESAS'!$C$15:$C$320,$A180-WEEKDAY($A180,2)+1)</f>
        <v/>
      </c>
      <c r="Q180" s="159">
        <f>SUMIFS('METAS EMPRESAS'!$J$15:$J$320,'METAS EMPRESAS'!$A$15:$A$320,"CMM",'METAS EMPRESAS'!$B$15:$B$320,"PREMONTAGEM",'METAS EMPRESAS'!$C$15:$C$320,$A180-WEEKDAY($A180,2)+1)</f>
        <v/>
      </c>
      <c r="R180" s="159">
        <f>SUMIFS('METAS EMPRESAS'!$J$15:$J$320,'METAS EMPRESAS'!$A$15:$A$320,"CMM",'METAS EMPRESAS'!$B$15:$B$320,"IÇAMENTO JOIST",'METAS EMPRESAS'!$C$15:$C$320,$A180-WEEKDAY($A180,2)+1)</f>
        <v/>
      </c>
      <c r="S180" s="159">
        <f>SUMIFS('METAS EMPRESAS'!$J$15:$J$320,'METAS EMPRESAS'!$A$15:$A$320,"CMM",'METAS EMPRESAS'!$B$15:$B$320,"VIGAS",'METAS EMPRESAS'!$C$15:$C$320,$A180-WEEKDAY($A180,2)+1)</f>
        <v/>
      </c>
      <c r="T180">
        <f>--(WEEKDAY(A180,2)&lt;=5)</f>
        <v/>
      </c>
      <c r="U180" t="n">
        <v>19</v>
      </c>
      <c r="V180" t="n">
        <v>7</v>
      </c>
      <c r="W180" t="n">
        <v>0</v>
      </c>
      <c r="X180" t="n">
        <v>5</v>
      </c>
      <c r="Y180" t="n">
        <v>5</v>
      </c>
      <c r="Z180" t="n">
        <v>5</v>
      </c>
      <c r="AA180" t="n">
        <v>95</v>
      </c>
      <c r="AB180" t="n">
        <v>35</v>
      </c>
      <c r="AC180" t="n">
        <v>0</v>
      </c>
    </row>
    <row r="181">
      <c r="A181" s="317" t="n">
        <v>46402</v>
      </c>
      <c r="B181" s="159">
        <f>SUMIFS('METAS EMPRESAS'!$K$15:$K$320,'METAS EMPRESAS'!$A$15:$A$320,"EJ",'METAS EMPRESAS'!$B$15:$B$320,"PREMONTAGEM",'METAS EMPRESAS'!$C$15:$C$320,$A181-WEEKDAY($A181,2)+1)</f>
        <v/>
      </c>
      <c r="C181" s="159">
        <f>SUMIFS('METAS EMPRESAS'!$K$15:$K$320,'METAS EMPRESAS'!$A$15:$A$320,"EJ",'METAS EMPRESAS'!$B$15:$B$320,"IÇAMENTO JOIST",'METAS EMPRESAS'!$C$15:$C$320,$A181-WEEKDAY($A181,2)+1)</f>
        <v/>
      </c>
      <c r="D181" s="159">
        <f>SUMIFS('METAS EMPRESAS'!$K$15:$K$320,'METAS EMPRESAS'!$A$15:$A$320,"EJ",'METAS EMPRESAS'!$B$15:$B$320,"VIGAS",'METAS EMPRESAS'!$C$15:$C$320,$A181-WEEKDAY($A181,2)+1)</f>
        <v/>
      </c>
      <c r="E181" s="159">
        <f>SUMIFS('METAS EMPRESAS'!$K$15:$K$320,'METAS EMPRESAS'!$A$15:$A$320,"CMM",'METAS EMPRESAS'!$B$15:$B$320,"PREMONTAGEM",'METAS EMPRESAS'!$C$15:$C$320,$A181-WEEKDAY($A181,2)+1)</f>
        <v/>
      </c>
      <c r="F181" s="159">
        <f>SUMIFS('METAS EMPRESAS'!$K$15:$K$320,'METAS EMPRESAS'!$A$15:$A$320,"CMM",'METAS EMPRESAS'!$B$15:$B$320,"IÇAMENTO JOIST",'METAS EMPRESAS'!$C$15:$C$320,$A181-WEEKDAY($A181,2)+1)</f>
        <v/>
      </c>
      <c r="G181" s="159">
        <f>SUMIFS('METAS EMPRESAS'!$K$15:$K$320,'METAS EMPRESAS'!$A$15:$A$320,"CMM",'METAS EMPRESAS'!$B$15:$B$320,"VIGAS",'METAS EMPRESAS'!$C$15:$C$320,$A181-WEEKDAY($A181,2)+1)</f>
        <v/>
      </c>
      <c r="H181" s="159">
        <f>SUMIFS('METAS EMPRESAS'!$G$15:$G$320,'METAS EMPRESAS'!$A$15:$A$320,"EJ",'METAS EMPRESAS'!$B$15:$B$320,"PREMONTAGEM",'METAS EMPRESAS'!$C$15:$C$320,$A181-WEEKDAY($A181,2)+1)</f>
        <v/>
      </c>
      <c r="I181" s="159">
        <f>SUMIFS('METAS EMPRESAS'!$G$15:$G$320,'METAS EMPRESAS'!$A$15:$A$320,"EJ",'METAS EMPRESAS'!$B$15:$B$320,"IÇAMENTO JOIST",'METAS EMPRESAS'!$C$15:$C$320,$A181-WEEKDAY($A181,2)+1)</f>
        <v/>
      </c>
      <c r="J181" s="159">
        <f>SUMIFS('METAS EMPRESAS'!$G$15:$G$320,'METAS EMPRESAS'!$A$15:$A$320,"EJ",'METAS EMPRESAS'!$B$15:$B$320,"VIGAS",'METAS EMPRESAS'!$C$15:$C$320,$A181-WEEKDAY($A181,2)+1)</f>
        <v/>
      </c>
      <c r="K181" s="159">
        <f>SUMIFS('METAS EMPRESAS'!$G$15:$G$320,'METAS EMPRESAS'!$A$15:$A$320,"CMM",'METAS EMPRESAS'!$B$15:$B$320,"PREMONTAGEM",'METAS EMPRESAS'!$C$15:$C$320,$A181-WEEKDAY($A181,2)+1)</f>
        <v/>
      </c>
      <c r="L181" s="159">
        <f>SUMIFS('METAS EMPRESAS'!$G$15:$G$320,'METAS EMPRESAS'!$A$15:$A$320,"CMM",'METAS EMPRESAS'!$B$15:$B$320,"IÇAMENTO JOIST",'METAS EMPRESAS'!$C$15:$C$320,$A181-WEEKDAY($A181,2)+1)</f>
        <v/>
      </c>
      <c r="M181" s="159">
        <f>SUMIFS('METAS EMPRESAS'!$G$15:$G$320,'METAS EMPRESAS'!$A$15:$A$320,"CMM",'METAS EMPRESAS'!$B$15:$B$320,"VIGAS",'METAS EMPRESAS'!$C$15:$C$320,$A181-WEEKDAY($A181,2)+1)</f>
        <v/>
      </c>
      <c r="N181" s="159">
        <f>SUMIFS('METAS EMPRESAS'!$J$15:$J$320,'METAS EMPRESAS'!$A$15:$A$320,"EJ",'METAS EMPRESAS'!$B$15:$B$320,"PREMONTAGEM",'METAS EMPRESAS'!$C$15:$C$320,$A181-WEEKDAY($A181,2)+1)</f>
        <v/>
      </c>
      <c r="O181" s="159">
        <f>SUMIFS('METAS EMPRESAS'!$J$15:$J$320,'METAS EMPRESAS'!$A$15:$A$320,"EJ",'METAS EMPRESAS'!$B$15:$B$320,"IÇAMENTO JOIST",'METAS EMPRESAS'!$C$15:$C$320,$A181-WEEKDAY($A181,2)+1)</f>
        <v/>
      </c>
      <c r="P181" s="159">
        <f>SUMIFS('METAS EMPRESAS'!$J$15:$J$320,'METAS EMPRESAS'!$A$15:$A$320,"EJ",'METAS EMPRESAS'!$B$15:$B$320,"VIGAS",'METAS EMPRESAS'!$C$15:$C$320,$A181-WEEKDAY($A181,2)+1)</f>
        <v/>
      </c>
      <c r="Q181" s="159">
        <f>SUMIFS('METAS EMPRESAS'!$J$15:$J$320,'METAS EMPRESAS'!$A$15:$A$320,"CMM",'METAS EMPRESAS'!$B$15:$B$320,"PREMONTAGEM",'METAS EMPRESAS'!$C$15:$C$320,$A181-WEEKDAY($A181,2)+1)</f>
        <v/>
      </c>
      <c r="R181" s="159">
        <f>SUMIFS('METAS EMPRESAS'!$J$15:$J$320,'METAS EMPRESAS'!$A$15:$A$320,"CMM",'METAS EMPRESAS'!$B$15:$B$320,"IÇAMENTO JOIST",'METAS EMPRESAS'!$C$15:$C$320,$A181-WEEKDAY($A181,2)+1)</f>
        <v/>
      </c>
      <c r="S181" s="159">
        <f>SUMIFS('METAS EMPRESAS'!$J$15:$J$320,'METAS EMPRESAS'!$A$15:$A$320,"CMM",'METAS EMPRESAS'!$B$15:$B$320,"VIGAS",'METAS EMPRESAS'!$C$15:$C$320,$A181-WEEKDAY($A181,2)+1)</f>
        <v/>
      </c>
      <c r="T181">
        <f>--(WEEKDAY(A181,2)&lt;=5)</f>
        <v/>
      </c>
      <c r="U181" t="n">
        <v>19</v>
      </c>
      <c r="V181" t="n">
        <v>7</v>
      </c>
      <c r="W181" t="n">
        <v>0</v>
      </c>
      <c r="X181" t="n">
        <v>5</v>
      </c>
      <c r="Y181" t="n">
        <v>5</v>
      </c>
      <c r="Z181" t="n">
        <v>5</v>
      </c>
      <c r="AA181" t="n">
        <v>95</v>
      </c>
      <c r="AB181" t="n">
        <v>35</v>
      </c>
      <c r="AC181" t="n">
        <v>0</v>
      </c>
    </row>
    <row r="182">
      <c r="A182" s="317" t="n">
        <v>46403</v>
      </c>
      <c r="B182" s="159">
        <f>SUMIFS('METAS EMPRESAS'!$K$15:$K$320,'METAS EMPRESAS'!$A$15:$A$320,"EJ",'METAS EMPRESAS'!$B$15:$B$320,"PREMONTAGEM",'METAS EMPRESAS'!$C$15:$C$320,$A182-WEEKDAY($A182,2)+1)</f>
        <v/>
      </c>
      <c r="C182" s="159">
        <f>SUMIFS('METAS EMPRESAS'!$K$15:$K$320,'METAS EMPRESAS'!$A$15:$A$320,"EJ",'METAS EMPRESAS'!$B$15:$B$320,"IÇAMENTO JOIST",'METAS EMPRESAS'!$C$15:$C$320,$A182-WEEKDAY($A182,2)+1)</f>
        <v/>
      </c>
      <c r="D182" s="159">
        <f>SUMIFS('METAS EMPRESAS'!$K$15:$K$320,'METAS EMPRESAS'!$A$15:$A$320,"EJ",'METAS EMPRESAS'!$B$15:$B$320,"VIGAS",'METAS EMPRESAS'!$C$15:$C$320,$A182-WEEKDAY($A182,2)+1)</f>
        <v/>
      </c>
      <c r="E182" s="159">
        <f>SUMIFS('METAS EMPRESAS'!$K$15:$K$320,'METAS EMPRESAS'!$A$15:$A$320,"CMM",'METAS EMPRESAS'!$B$15:$B$320,"PREMONTAGEM",'METAS EMPRESAS'!$C$15:$C$320,$A182-WEEKDAY($A182,2)+1)</f>
        <v/>
      </c>
      <c r="F182" s="159">
        <f>SUMIFS('METAS EMPRESAS'!$K$15:$K$320,'METAS EMPRESAS'!$A$15:$A$320,"CMM",'METAS EMPRESAS'!$B$15:$B$320,"IÇAMENTO JOIST",'METAS EMPRESAS'!$C$15:$C$320,$A182-WEEKDAY($A182,2)+1)</f>
        <v/>
      </c>
      <c r="G182" s="159">
        <f>SUMIFS('METAS EMPRESAS'!$K$15:$K$320,'METAS EMPRESAS'!$A$15:$A$320,"CMM",'METAS EMPRESAS'!$B$15:$B$320,"VIGAS",'METAS EMPRESAS'!$C$15:$C$320,$A182-WEEKDAY($A182,2)+1)</f>
        <v/>
      </c>
      <c r="H182" s="159">
        <f>SUMIFS('METAS EMPRESAS'!$G$15:$G$320,'METAS EMPRESAS'!$A$15:$A$320,"EJ",'METAS EMPRESAS'!$B$15:$B$320,"PREMONTAGEM",'METAS EMPRESAS'!$C$15:$C$320,$A182-WEEKDAY($A182,2)+1)</f>
        <v/>
      </c>
      <c r="I182" s="159">
        <f>SUMIFS('METAS EMPRESAS'!$G$15:$G$320,'METAS EMPRESAS'!$A$15:$A$320,"EJ",'METAS EMPRESAS'!$B$15:$B$320,"IÇAMENTO JOIST",'METAS EMPRESAS'!$C$15:$C$320,$A182-WEEKDAY($A182,2)+1)</f>
        <v/>
      </c>
      <c r="J182" s="159">
        <f>SUMIFS('METAS EMPRESAS'!$G$15:$G$320,'METAS EMPRESAS'!$A$15:$A$320,"EJ",'METAS EMPRESAS'!$B$15:$B$320,"VIGAS",'METAS EMPRESAS'!$C$15:$C$320,$A182-WEEKDAY($A182,2)+1)</f>
        <v/>
      </c>
      <c r="K182" s="159">
        <f>SUMIFS('METAS EMPRESAS'!$G$15:$G$320,'METAS EMPRESAS'!$A$15:$A$320,"CMM",'METAS EMPRESAS'!$B$15:$B$320,"PREMONTAGEM",'METAS EMPRESAS'!$C$15:$C$320,$A182-WEEKDAY($A182,2)+1)</f>
        <v/>
      </c>
      <c r="L182" s="159">
        <f>SUMIFS('METAS EMPRESAS'!$G$15:$G$320,'METAS EMPRESAS'!$A$15:$A$320,"CMM",'METAS EMPRESAS'!$B$15:$B$320,"IÇAMENTO JOIST",'METAS EMPRESAS'!$C$15:$C$320,$A182-WEEKDAY($A182,2)+1)</f>
        <v/>
      </c>
      <c r="M182" s="159">
        <f>SUMIFS('METAS EMPRESAS'!$G$15:$G$320,'METAS EMPRESAS'!$A$15:$A$320,"CMM",'METAS EMPRESAS'!$B$15:$B$320,"VIGAS",'METAS EMPRESAS'!$C$15:$C$320,$A182-WEEKDAY($A182,2)+1)</f>
        <v/>
      </c>
      <c r="N182" s="159">
        <f>SUMIFS('METAS EMPRESAS'!$J$15:$J$320,'METAS EMPRESAS'!$A$15:$A$320,"EJ",'METAS EMPRESAS'!$B$15:$B$320,"PREMONTAGEM",'METAS EMPRESAS'!$C$15:$C$320,$A182-WEEKDAY($A182,2)+1)</f>
        <v/>
      </c>
      <c r="O182" s="159">
        <f>SUMIFS('METAS EMPRESAS'!$J$15:$J$320,'METAS EMPRESAS'!$A$15:$A$320,"EJ",'METAS EMPRESAS'!$B$15:$B$320,"IÇAMENTO JOIST",'METAS EMPRESAS'!$C$15:$C$320,$A182-WEEKDAY($A182,2)+1)</f>
        <v/>
      </c>
      <c r="P182" s="159">
        <f>SUMIFS('METAS EMPRESAS'!$J$15:$J$320,'METAS EMPRESAS'!$A$15:$A$320,"EJ",'METAS EMPRESAS'!$B$15:$B$320,"VIGAS",'METAS EMPRESAS'!$C$15:$C$320,$A182-WEEKDAY($A182,2)+1)</f>
        <v/>
      </c>
      <c r="Q182" s="159">
        <f>SUMIFS('METAS EMPRESAS'!$J$15:$J$320,'METAS EMPRESAS'!$A$15:$A$320,"CMM",'METAS EMPRESAS'!$B$15:$B$320,"PREMONTAGEM",'METAS EMPRESAS'!$C$15:$C$320,$A182-WEEKDAY($A182,2)+1)</f>
        <v/>
      </c>
      <c r="R182" s="159">
        <f>SUMIFS('METAS EMPRESAS'!$J$15:$J$320,'METAS EMPRESAS'!$A$15:$A$320,"CMM",'METAS EMPRESAS'!$B$15:$B$320,"IÇAMENTO JOIST",'METAS EMPRESAS'!$C$15:$C$320,$A182-WEEKDAY($A182,2)+1)</f>
        <v/>
      </c>
      <c r="S182" s="159">
        <f>SUMIFS('METAS EMPRESAS'!$J$15:$J$320,'METAS EMPRESAS'!$A$15:$A$320,"CMM",'METAS EMPRESAS'!$B$15:$B$320,"VIGAS",'METAS EMPRESAS'!$C$15:$C$320,$A182-WEEKDAY($A182,2)+1)</f>
        <v/>
      </c>
      <c r="T182">
        <f>--(WEEKDAY(A182,2)&lt;=5)</f>
        <v/>
      </c>
      <c r="U182" t="n">
        <v>19</v>
      </c>
      <c r="V182" t="n">
        <v>7</v>
      </c>
      <c r="W182" t="n">
        <v>0</v>
      </c>
      <c r="X182" t="n">
        <v>5</v>
      </c>
      <c r="Y182" t="n">
        <v>5</v>
      </c>
      <c r="Z182" t="n">
        <v>5</v>
      </c>
      <c r="AA182" t="n">
        <v>95</v>
      </c>
      <c r="AB182" t="n">
        <v>35</v>
      </c>
      <c r="AC182" t="n">
        <v>0</v>
      </c>
    </row>
    <row r="183">
      <c r="A183" s="317" t="n">
        <v>46404</v>
      </c>
      <c r="B183" s="159">
        <f>SUMIFS('METAS EMPRESAS'!$K$15:$K$320,'METAS EMPRESAS'!$A$15:$A$320,"EJ",'METAS EMPRESAS'!$B$15:$B$320,"PREMONTAGEM",'METAS EMPRESAS'!$C$15:$C$320,$A183-WEEKDAY($A183,2)+1)</f>
        <v/>
      </c>
      <c r="C183" s="159">
        <f>SUMIFS('METAS EMPRESAS'!$K$15:$K$320,'METAS EMPRESAS'!$A$15:$A$320,"EJ",'METAS EMPRESAS'!$B$15:$B$320,"IÇAMENTO JOIST",'METAS EMPRESAS'!$C$15:$C$320,$A183-WEEKDAY($A183,2)+1)</f>
        <v/>
      </c>
      <c r="D183" s="159">
        <f>SUMIFS('METAS EMPRESAS'!$K$15:$K$320,'METAS EMPRESAS'!$A$15:$A$320,"EJ",'METAS EMPRESAS'!$B$15:$B$320,"VIGAS",'METAS EMPRESAS'!$C$15:$C$320,$A183-WEEKDAY($A183,2)+1)</f>
        <v/>
      </c>
      <c r="E183" s="159">
        <f>SUMIFS('METAS EMPRESAS'!$K$15:$K$320,'METAS EMPRESAS'!$A$15:$A$320,"CMM",'METAS EMPRESAS'!$B$15:$B$320,"PREMONTAGEM",'METAS EMPRESAS'!$C$15:$C$320,$A183-WEEKDAY($A183,2)+1)</f>
        <v/>
      </c>
      <c r="F183" s="159">
        <f>SUMIFS('METAS EMPRESAS'!$K$15:$K$320,'METAS EMPRESAS'!$A$15:$A$320,"CMM",'METAS EMPRESAS'!$B$15:$B$320,"IÇAMENTO JOIST",'METAS EMPRESAS'!$C$15:$C$320,$A183-WEEKDAY($A183,2)+1)</f>
        <v/>
      </c>
      <c r="G183" s="159">
        <f>SUMIFS('METAS EMPRESAS'!$K$15:$K$320,'METAS EMPRESAS'!$A$15:$A$320,"CMM",'METAS EMPRESAS'!$B$15:$B$320,"VIGAS",'METAS EMPRESAS'!$C$15:$C$320,$A183-WEEKDAY($A183,2)+1)</f>
        <v/>
      </c>
      <c r="H183" s="159">
        <f>SUMIFS('METAS EMPRESAS'!$G$15:$G$320,'METAS EMPRESAS'!$A$15:$A$320,"EJ",'METAS EMPRESAS'!$B$15:$B$320,"PREMONTAGEM",'METAS EMPRESAS'!$C$15:$C$320,$A183-WEEKDAY($A183,2)+1)</f>
        <v/>
      </c>
      <c r="I183" s="159">
        <f>SUMIFS('METAS EMPRESAS'!$G$15:$G$320,'METAS EMPRESAS'!$A$15:$A$320,"EJ",'METAS EMPRESAS'!$B$15:$B$320,"IÇAMENTO JOIST",'METAS EMPRESAS'!$C$15:$C$320,$A183-WEEKDAY($A183,2)+1)</f>
        <v/>
      </c>
      <c r="J183" s="159">
        <f>SUMIFS('METAS EMPRESAS'!$G$15:$G$320,'METAS EMPRESAS'!$A$15:$A$320,"EJ",'METAS EMPRESAS'!$B$15:$B$320,"VIGAS",'METAS EMPRESAS'!$C$15:$C$320,$A183-WEEKDAY($A183,2)+1)</f>
        <v/>
      </c>
      <c r="K183" s="159">
        <f>SUMIFS('METAS EMPRESAS'!$G$15:$G$320,'METAS EMPRESAS'!$A$15:$A$320,"CMM",'METAS EMPRESAS'!$B$15:$B$320,"PREMONTAGEM",'METAS EMPRESAS'!$C$15:$C$320,$A183-WEEKDAY($A183,2)+1)</f>
        <v/>
      </c>
      <c r="L183" s="159">
        <f>SUMIFS('METAS EMPRESAS'!$G$15:$G$320,'METAS EMPRESAS'!$A$15:$A$320,"CMM",'METAS EMPRESAS'!$B$15:$B$320,"IÇAMENTO JOIST",'METAS EMPRESAS'!$C$15:$C$320,$A183-WEEKDAY($A183,2)+1)</f>
        <v/>
      </c>
      <c r="M183" s="159">
        <f>SUMIFS('METAS EMPRESAS'!$G$15:$G$320,'METAS EMPRESAS'!$A$15:$A$320,"CMM",'METAS EMPRESAS'!$B$15:$B$320,"VIGAS",'METAS EMPRESAS'!$C$15:$C$320,$A183-WEEKDAY($A183,2)+1)</f>
        <v/>
      </c>
      <c r="N183" s="159">
        <f>SUMIFS('METAS EMPRESAS'!$J$15:$J$320,'METAS EMPRESAS'!$A$15:$A$320,"EJ",'METAS EMPRESAS'!$B$15:$B$320,"PREMONTAGEM",'METAS EMPRESAS'!$C$15:$C$320,$A183-WEEKDAY($A183,2)+1)</f>
        <v/>
      </c>
      <c r="O183" s="159">
        <f>SUMIFS('METAS EMPRESAS'!$J$15:$J$320,'METAS EMPRESAS'!$A$15:$A$320,"EJ",'METAS EMPRESAS'!$B$15:$B$320,"IÇAMENTO JOIST",'METAS EMPRESAS'!$C$15:$C$320,$A183-WEEKDAY($A183,2)+1)</f>
        <v/>
      </c>
      <c r="P183" s="159">
        <f>SUMIFS('METAS EMPRESAS'!$J$15:$J$320,'METAS EMPRESAS'!$A$15:$A$320,"EJ",'METAS EMPRESAS'!$B$15:$B$320,"VIGAS",'METAS EMPRESAS'!$C$15:$C$320,$A183-WEEKDAY($A183,2)+1)</f>
        <v/>
      </c>
      <c r="Q183" s="159">
        <f>SUMIFS('METAS EMPRESAS'!$J$15:$J$320,'METAS EMPRESAS'!$A$15:$A$320,"CMM",'METAS EMPRESAS'!$B$15:$B$320,"PREMONTAGEM",'METAS EMPRESAS'!$C$15:$C$320,$A183-WEEKDAY($A183,2)+1)</f>
        <v/>
      </c>
      <c r="R183" s="159">
        <f>SUMIFS('METAS EMPRESAS'!$J$15:$J$320,'METAS EMPRESAS'!$A$15:$A$320,"CMM",'METAS EMPRESAS'!$B$15:$B$320,"IÇAMENTO JOIST",'METAS EMPRESAS'!$C$15:$C$320,$A183-WEEKDAY($A183,2)+1)</f>
        <v/>
      </c>
      <c r="S183" s="159">
        <f>SUMIFS('METAS EMPRESAS'!$J$15:$J$320,'METAS EMPRESAS'!$A$15:$A$320,"CMM",'METAS EMPRESAS'!$B$15:$B$320,"VIGAS",'METAS EMPRESAS'!$C$15:$C$320,$A183-WEEKDAY($A183,2)+1)</f>
        <v/>
      </c>
      <c r="T183">
        <f>--(WEEKDAY(A183,2)&lt;=5)</f>
        <v/>
      </c>
      <c r="U183" t="n">
        <v>19</v>
      </c>
      <c r="V183" t="n">
        <v>7</v>
      </c>
      <c r="W183" t="n">
        <v>0</v>
      </c>
      <c r="X183" t="n">
        <v>5</v>
      </c>
      <c r="Y183" t="n">
        <v>5</v>
      </c>
      <c r="Z183" t="n">
        <v>5</v>
      </c>
      <c r="AA183" t="n">
        <v>95</v>
      </c>
      <c r="AB183" t="n">
        <v>35</v>
      </c>
      <c r="AC183" t="n">
        <v>0</v>
      </c>
    </row>
    <row r="184">
      <c r="A184" s="317" t="n">
        <v>46405</v>
      </c>
      <c r="B184" s="159">
        <f>SUMIFS('METAS EMPRESAS'!$K$15:$K$320,'METAS EMPRESAS'!$A$15:$A$320,"EJ",'METAS EMPRESAS'!$B$15:$B$320,"PREMONTAGEM",'METAS EMPRESAS'!$C$15:$C$320,$A184-WEEKDAY($A184,2)+1)</f>
        <v/>
      </c>
      <c r="C184" s="159">
        <f>SUMIFS('METAS EMPRESAS'!$K$15:$K$320,'METAS EMPRESAS'!$A$15:$A$320,"EJ",'METAS EMPRESAS'!$B$15:$B$320,"IÇAMENTO JOIST",'METAS EMPRESAS'!$C$15:$C$320,$A184-WEEKDAY($A184,2)+1)</f>
        <v/>
      </c>
      <c r="D184" s="159">
        <f>SUMIFS('METAS EMPRESAS'!$K$15:$K$320,'METAS EMPRESAS'!$A$15:$A$320,"EJ",'METAS EMPRESAS'!$B$15:$B$320,"VIGAS",'METAS EMPRESAS'!$C$15:$C$320,$A184-WEEKDAY($A184,2)+1)</f>
        <v/>
      </c>
      <c r="E184" s="159">
        <f>SUMIFS('METAS EMPRESAS'!$K$15:$K$320,'METAS EMPRESAS'!$A$15:$A$320,"CMM",'METAS EMPRESAS'!$B$15:$B$320,"PREMONTAGEM",'METAS EMPRESAS'!$C$15:$C$320,$A184-WEEKDAY($A184,2)+1)</f>
        <v/>
      </c>
      <c r="F184" s="159">
        <f>SUMIFS('METAS EMPRESAS'!$K$15:$K$320,'METAS EMPRESAS'!$A$15:$A$320,"CMM",'METAS EMPRESAS'!$B$15:$B$320,"IÇAMENTO JOIST",'METAS EMPRESAS'!$C$15:$C$320,$A184-WEEKDAY($A184,2)+1)</f>
        <v/>
      </c>
      <c r="G184" s="159">
        <f>SUMIFS('METAS EMPRESAS'!$K$15:$K$320,'METAS EMPRESAS'!$A$15:$A$320,"CMM",'METAS EMPRESAS'!$B$15:$B$320,"VIGAS",'METAS EMPRESAS'!$C$15:$C$320,$A184-WEEKDAY($A184,2)+1)</f>
        <v/>
      </c>
      <c r="H184" s="159">
        <f>SUMIFS('METAS EMPRESAS'!$G$15:$G$320,'METAS EMPRESAS'!$A$15:$A$320,"EJ",'METAS EMPRESAS'!$B$15:$B$320,"PREMONTAGEM",'METAS EMPRESAS'!$C$15:$C$320,$A184-WEEKDAY($A184,2)+1)</f>
        <v/>
      </c>
      <c r="I184" s="159">
        <f>SUMIFS('METAS EMPRESAS'!$G$15:$G$320,'METAS EMPRESAS'!$A$15:$A$320,"EJ",'METAS EMPRESAS'!$B$15:$B$320,"IÇAMENTO JOIST",'METAS EMPRESAS'!$C$15:$C$320,$A184-WEEKDAY($A184,2)+1)</f>
        <v/>
      </c>
      <c r="J184" s="159">
        <f>SUMIFS('METAS EMPRESAS'!$G$15:$G$320,'METAS EMPRESAS'!$A$15:$A$320,"EJ",'METAS EMPRESAS'!$B$15:$B$320,"VIGAS",'METAS EMPRESAS'!$C$15:$C$320,$A184-WEEKDAY($A184,2)+1)</f>
        <v/>
      </c>
      <c r="K184" s="159">
        <f>SUMIFS('METAS EMPRESAS'!$G$15:$G$320,'METAS EMPRESAS'!$A$15:$A$320,"CMM",'METAS EMPRESAS'!$B$15:$B$320,"PREMONTAGEM",'METAS EMPRESAS'!$C$15:$C$320,$A184-WEEKDAY($A184,2)+1)</f>
        <v/>
      </c>
      <c r="L184" s="159">
        <f>SUMIFS('METAS EMPRESAS'!$G$15:$G$320,'METAS EMPRESAS'!$A$15:$A$320,"CMM",'METAS EMPRESAS'!$B$15:$B$320,"IÇAMENTO JOIST",'METAS EMPRESAS'!$C$15:$C$320,$A184-WEEKDAY($A184,2)+1)</f>
        <v/>
      </c>
      <c r="M184" s="159">
        <f>SUMIFS('METAS EMPRESAS'!$G$15:$G$320,'METAS EMPRESAS'!$A$15:$A$320,"CMM",'METAS EMPRESAS'!$B$15:$B$320,"VIGAS",'METAS EMPRESAS'!$C$15:$C$320,$A184-WEEKDAY($A184,2)+1)</f>
        <v/>
      </c>
      <c r="N184" s="159">
        <f>SUMIFS('METAS EMPRESAS'!$J$15:$J$320,'METAS EMPRESAS'!$A$15:$A$320,"EJ",'METAS EMPRESAS'!$B$15:$B$320,"PREMONTAGEM",'METAS EMPRESAS'!$C$15:$C$320,$A184-WEEKDAY($A184,2)+1)</f>
        <v/>
      </c>
      <c r="O184" s="159">
        <f>SUMIFS('METAS EMPRESAS'!$J$15:$J$320,'METAS EMPRESAS'!$A$15:$A$320,"EJ",'METAS EMPRESAS'!$B$15:$B$320,"IÇAMENTO JOIST",'METAS EMPRESAS'!$C$15:$C$320,$A184-WEEKDAY($A184,2)+1)</f>
        <v/>
      </c>
      <c r="P184" s="159">
        <f>SUMIFS('METAS EMPRESAS'!$J$15:$J$320,'METAS EMPRESAS'!$A$15:$A$320,"EJ",'METAS EMPRESAS'!$B$15:$B$320,"VIGAS",'METAS EMPRESAS'!$C$15:$C$320,$A184-WEEKDAY($A184,2)+1)</f>
        <v/>
      </c>
      <c r="Q184" s="159">
        <f>SUMIFS('METAS EMPRESAS'!$J$15:$J$320,'METAS EMPRESAS'!$A$15:$A$320,"CMM",'METAS EMPRESAS'!$B$15:$B$320,"PREMONTAGEM",'METAS EMPRESAS'!$C$15:$C$320,$A184-WEEKDAY($A184,2)+1)</f>
        <v/>
      </c>
      <c r="R184" s="159">
        <f>SUMIFS('METAS EMPRESAS'!$J$15:$J$320,'METAS EMPRESAS'!$A$15:$A$320,"CMM",'METAS EMPRESAS'!$B$15:$B$320,"IÇAMENTO JOIST",'METAS EMPRESAS'!$C$15:$C$320,$A184-WEEKDAY($A184,2)+1)</f>
        <v/>
      </c>
      <c r="S184" s="159">
        <f>SUMIFS('METAS EMPRESAS'!$J$15:$J$320,'METAS EMPRESAS'!$A$15:$A$320,"CMM",'METAS EMPRESAS'!$B$15:$B$320,"VIGAS",'METAS EMPRESAS'!$C$15:$C$320,$A184-WEEKDAY($A184,2)+1)</f>
        <v/>
      </c>
      <c r="T184">
        <f>--(WEEKDAY(A184,2)&lt;=5)</f>
        <v/>
      </c>
      <c r="U184" t="n">
        <v>19</v>
      </c>
      <c r="V184" t="n">
        <v>7</v>
      </c>
      <c r="W184" t="n">
        <v>0</v>
      </c>
      <c r="X184" t="n">
        <v>5</v>
      </c>
      <c r="Y184" t="n">
        <v>5</v>
      </c>
      <c r="Z184" t="n">
        <v>5</v>
      </c>
      <c r="AA184" t="n">
        <v>95</v>
      </c>
      <c r="AB184" t="n">
        <v>35</v>
      </c>
      <c r="AC184" t="n">
        <v>0</v>
      </c>
    </row>
    <row r="185">
      <c r="A185" s="317" t="n">
        <v>46406</v>
      </c>
      <c r="B185" s="159">
        <f>SUMIFS('METAS EMPRESAS'!$K$15:$K$320,'METAS EMPRESAS'!$A$15:$A$320,"EJ",'METAS EMPRESAS'!$B$15:$B$320,"PREMONTAGEM",'METAS EMPRESAS'!$C$15:$C$320,$A185-WEEKDAY($A185,2)+1)</f>
        <v/>
      </c>
      <c r="C185" s="159">
        <f>SUMIFS('METAS EMPRESAS'!$K$15:$K$320,'METAS EMPRESAS'!$A$15:$A$320,"EJ",'METAS EMPRESAS'!$B$15:$B$320,"IÇAMENTO JOIST",'METAS EMPRESAS'!$C$15:$C$320,$A185-WEEKDAY($A185,2)+1)</f>
        <v/>
      </c>
      <c r="D185" s="159">
        <f>SUMIFS('METAS EMPRESAS'!$K$15:$K$320,'METAS EMPRESAS'!$A$15:$A$320,"EJ",'METAS EMPRESAS'!$B$15:$B$320,"VIGAS",'METAS EMPRESAS'!$C$15:$C$320,$A185-WEEKDAY($A185,2)+1)</f>
        <v/>
      </c>
      <c r="E185" s="159">
        <f>SUMIFS('METAS EMPRESAS'!$K$15:$K$320,'METAS EMPRESAS'!$A$15:$A$320,"CMM",'METAS EMPRESAS'!$B$15:$B$320,"PREMONTAGEM",'METAS EMPRESAS'!$C$15:$C$320,$A185-WEEKDAY($A185,2)+1)</f>
        <v/>
      </c>
      <c r="F185" s="159">
        <f>SUMIFS('METAS EMPRESAS'!$K$15:$K$320,'METAS EMPRESAS'!$A$15:$A$320,"CMM",'METAS EMPRESAS'!$B$15:$B$320,"IÇAMENTO JOIST",'METAS EMPRESAS'!$C$15:$C$320,$A185-WEEKDAY($A185,2)+1)</f>
        <v/>
      </c>
      <c r="G185" s="159">
        <f>SUMIFS('METAS EMPRESAS'!$K$15:$K$320,'METAS EMPRESAS'!$A$15:$A$320,"CMM",'METAS EMPRESAS'!$B$15:$B$320,"VIGAS",'METAS EMPRESAS'!$C$15:$C$320,$A185-WEEKDAY($A185,2)+1)</f>
        <v/>
      </c>
      <c r="H185" s="159">
        <f>SUMIFS('METAS EMPRESAS'!$G$15:$G$320,'METAS EMPRESAS'!$A$15:$A$320,"EJ",'METAS EMPRESAS'!$B$15:$B$320,"PREMONTAGEM",'METAS EMPRESAS'!$C$15:$C$320,$A185-WEEKDAY($A185,2)+1)</f>
        <v/>
      </c>
      <c r="I185" s="159">
        <f>SUMIFS('METAS EMPRESAS'!$G$15:$G$320,'METAS EMPRESAS'!$A$15:$A$320,"EJ",'METAS EMPRESAS'!$B$15:$B$320,"IÇAMENTO JOIST",'METAS EMPRESAS'!$C$15:$C$320,$A185-WEEKDAY($A185,2)+1)</f>
        <v/>
      </c>
      <c r="J185" s="159">
        <f>SUMIFS('METAS EMPRESAS'!$G$15:$G$320,'METAS EMPRESAS'!$A$15:$A$320,"EJ",'METAS EMPRESAS'!$B$15:$B$320,"VIGAS",'METAS EMPRESAS'!$C$15:$C$320,$A185-WEEKDAY($A185,2)+1)</f>
        <v/>
      </c>
      <c r="K185" s="159">
        <f>SUMIFS('METAS EMPRESAS'!$G$15:$G$320,'METAS EMPRESAS'!$A$15:$A$320,"CMM",'METAS EMPRESAS'!$B$15:$B$320,"PREMONTAGEM",'METAS EMPRESAS'!$C$15:$C$320,$A185-WEEKDAY($A185,2)+1)</f>
        <v/>
      </c>
      <c r="L185" s="159">
        <f>SUMIFS('METAS EMPRESAS'!$G$15:$G$320,'METAS EMPRESAS'!$A$15:$A$320,"CMM",'METAS EMPRESAS'!$B$15:$B$320,"IÇAMENTO JOIST",'METAS EMPRESAS'!$C$15:$C$320,$A185-WEEKDAY($A185,2)+1)</f>
        <v/>
      </c>
      <c r="M185" s="159">
        <f>SUMIFS('METAS EMPRESAS'!$G$15:$G$320,'METAS EMPRESAS'!$A$15:$A$320,"CMM",'METAS EMPRESAS'!$B$15:$B$320,"VIGAS",'METAS EMPRESAS'!$C$15:$C$320,$A185-WEEKDAY($A185,2)+1)</f>
        <v/>
      </c>
      <c r="N185" s="159">
        <f>SUMIFS('METAS EMPRESAS'!$J$15:$J$320,'METAS EMPRESAS'!$A$15:$A$320,"EJ",'METAS EMPRESAS'!$B$15:$B$320,"PREMONTAGEM",'METAS EMPRESAS'!$C$15:$C$320,$A185-WEEKDAY($A185,2)+1)</f>
        <v/>
      </c>
      <c r="O185" s="159">
        <f>SUMIFS('METAS EMPRESAS'!$J$15:$J$320,'METAS EMPRESAS'!$A$15:$A$320,"EJ",'METAS EMPRESAS'!$B$15:$B$320,"IÇAMENTO JOIST",'METAS EMPRESAS'!$C$15:$C$320,$A185-WEEKDAY($A185,2)+1)</f>
        <v/>
      </c>
      <c r="P185" s="159">
        <f>SUMIFS('METAS EMPRESAS'!$J$15:$J$320,'METAS EMPRESAS'!$A$15:$A$320,"EJ",'METAS EMPRESAS'!$B$15:$B$320,"VIGAS",'METAS EMPRESAS'!$C$15:$C$320,$A185-WEEKDAY($A185,2)+1)</f>
        <v/>
      </c>
      <c r="Q185" s="159">
        <f>SUMIFS('METAS EMPRESAS'!$J$15:$J$320,'METAS EMPRESAS'!$A$15:$A$320,"CMM",'METAS EMPRESAS'!$B$15:$B$320,"PREMONTAGEM",'METAS EMPRESAS'!$C$15:$C$320,$A185-WEEKDAY($A185,2)+1)</f>
        <v/>
      </c>
      <c r="R185" s="159">
        <f>SUMIFS('METAS EMPRESAS'!$J$15:$J$320,'METAS EMPRESAS'!$A$15:$A$320,"CMM",'METAS EMPRESAS'!$B$15:$B$320,"IÇAMENTO JOIST",'METAS EMPRESAS'!$C$15:$C$320,$A185-WEEKDAY($A185,2)+1)</f>
        <v/>
      </c>
      <c r="S185" s="159">
        <f>SUMIFS('METAS EMPRESAS'!$J$15:$J$320,'METAS EMPRESAS'!$A$15:$A$320,"CMM",'METAS EMPRESAS'!$B$15:$B$320,"VIGAS",'METAS EMPRESAS'!$C$15:$C$320,$A185-WEEKDAY($A185,2)+1)</f>
        <v/>
      </c>
      <c r="T185">
        <f>--(WEEKDAY(A185,2)&lt;=5)</f>
        <v/>
      </c>
      <c r="U185" t="n">
        <v>19</v>
      </c>
      <c r="V185" t="n">
        <v>7</v>
      </c>
      <c r="W185" t="n">
        <v>0</v>
      </c>
      <c r="X185" t="n">
        <v>5</v>
      </c>
      <c r="Y185" t="n">
        <v>5</v>
      </c>
      <c r="Z185" t="n">
        <v>5</v>
      </c>
      <c r="AA185" t="n">
        <v>95</v>
      </c>
      <c r="AB185" t="n">
        <v>35</v>
      </c>
      <c r="AC185" t="n">
        <v>0</v>
      </c>
    </row>
    <row r="186">
      <c r="A186" s="317" t="n">
        <v>46407</v>
      </c>
      <c r="B186" s="159">
        <f>SUMIFS('METAS EMPRESAS'!$K$15:$K$320,'METAS EMPRESAS'!$A$15:$A$320,"EJ",'METAS EMPRESAS'!$B$15:$B$320,"PREMONTAGEM",'METAS EMPRESAS'!$C$15:$C$320,$A186-WEEKDAY($A186,2)+1)</f>
        <v/>
      </c>
      <c r="C186" s="159">
        <f>SUMIFS('METAS EMPRESAS'!$K$15:$K$320,'METAS EMPRESAS'!$A$15:$A$320,"EJ",'METAS EMPRESAS'!$B$15:$B$320,"IÇAMENTO JOIST",'METAS EMPRESAS'!$C$15:$C$320,$A186-WEEKDAY($A186,2)+1)</f>
        <v/>
      </c>
      <c r="D186" s="159">
        <f>SUMIFS('METAS EMPRESAS'!$K$15:$K$320,'METAS EMPRESAS'!$A$15:$A$320,"EJ",'METAS EMPRESAS'!$B$15:$B$320,"VIGAS",'METAS EMPRESAS'!$C$15:$C$320,$A186-WEEKDAY($A186,2)+1)</f>
        <v/>
      </c>
      <c r="E186" s="159">
        <f>SUMIFS('METAS EMPRESAS'!$K$15:$K$320,'METAS EMPRESAS'!$A$15:$A$320,"CMM",'METAS EMPRESAS'!$B$15:$B$320,"PREMONTAGEM",'METAS EMPRESAS'!$C$15:$C$320,$A186-WEEKDAY($A186,2)+1)</f>
        <v/>
      </c>
      <c r="F186" s="159">
        <f>SUMIFS('METAS EMPRESAS'!$K$15:$K$320,'METAS EMPRESAS'!$A$15:$A$320,"CMM",'METAS EMPRESAS'!$B$15:$B$320,"IÇAMENTO JOIST",'METAS EMPRESAS'!$C$15:$C$320,$A186-WEEKDAY($A186,2)+1)</f>
        <v/>
      </c>
      <c r="G186" s="159">
        <f>SUMIFS('METAS EMPRESAS'!$K$15:$K$320,'METAS EMPRESAS'!$A$15:$A$320,"CMM",'METAS EMPRESAS'!$B$15:$B$320,"VIGAS",'METAS EMPRESAS'!$C$15:$C$320,$A186-WEEKDAY($A186,2)+1)</f>
        <v/>
      </c>
      <c r="H186" s="159">
        <f>SUMIFS('METAS EMPRESAS'!$G$15:$G$320,'METAS EMPRESAS'!$A$15:$A$320,"EJ",'METAS EMPRESAS'!$B$15:$B$320,"PREMONTAGEM",'METAS EMPRESAS'!$C$15:$C$320,$A186-WEEKDAY($A186,2)+1)</f>
        <v/>
      </c>
      <c r="I186" s="159">
        <f>SUMIFS('METAS EMPRESAS'!$G$15:$G$320,'METAS EMPRESAS'!$A$15:$A$320,"EJ",'METAS EMPRESAS'!$B$15:$B$320,"IÇAMENTO JOIST",'METAS EMPRESAS'!$C$15:$C$320,$A186-WEEKDAY($A186,2)+1)</f>
        <v/>
      </c>
      <c r="J186" s="159">
        <f>SUMIFS('METAS EMPRESAS'!$G$15:$G$320,'METAS EMPRESAS'!$A$15:$A$320,"EJ",'METAS EMPRESAS'!$B$15:$B$320,"VIGAS",'METAS EMPRESAS'!$C$15:$C$320,$A186-WEEKDAY($A186,2)+1)</f>
        <v/>
      </c>
      <c r="K186" s="159">
        <f>SUMIFS('METAS EMPRESAS'!$G$15:$G$320,'METAS EMPRESAS'!$A$15:$A$320,"CMM",'METAS EMPRESAS'!$B$15:$B$320,"PREMONTAGEM",'METAS EMPRESAS'!$C$15:$C$320,$A186-WEEKDAY($A186,2)+1)</f>
        <v/>
      </c>
      <c r="L186" s="159">
        <f>SUMIFS('METAS EMPRESAS'!$G$15:$G$320,'METAS EMPRESAS'!$A$15:$A$320,"CMM",'METAS EMPRESAS'!$B$15:$B$320,"IÇAMENTO JOIST",'METAS EMPRESAS'!$C$15:$C$320,$A186-WEEKDAY($A186,2)+1)</f>
        <v/>
      </c>
      <c r="M186" s="159">
        <f>SUMIFS('METAS EMPRESAS'!$G$15:$G$320,'METAS EMPRESAS'!$A$15:$A$320,"CMM",'METAS EMPRESAS'!$B$15:$B$320,"VIGAS",'METAS EMPRESAS'!$C$15:$C$320,$A186-WEEKDAY($A186,2)+1)</f>
        <v/>
      </c>
      <c r="N186" s="159">
        <f>SUMIFS('METAS EMPRESAS'!$J$15:$J$320,'METAS EMPRESAS'!$A$15:$A$320,"EJ",'METAS EMPRESAS'!$B$15:$B$320,"PREMONTAGEM",'METAS EMPRESAS'!$C$15:$C$320,$A186-WEEKDAY($A186,2)+1)</f>
        <v/>
      </c>
      <c r="O186" s="159">
        <f>SUMIFS('METAS EMPRESAS'!$J$15:$J$320,'METAS EMPRESAS'!$A$15:$A$320,"EJ",'METAS EMPRESAS'!$B$15:$B$320,"IÇAMENTO JOIST",'METAS EMPRESAS'!$C$15:$C$320,$A186-WEEKDAY($A186,2)+1)</f>
        <v/>
      </c>
      <c r="P186" s="159">
        <f>SUMIFS('METAS EMPRESAS'!$J$15:$J$320,'METAS EMPRESAS'!$A$15:$A$320,"EJ",'METAS EMPRESAS'!$B$15:$B$320,"VIGAS",'METAS EMPRESAS'!$C$15:$C$320,$A186-WEEKDAY($A186,2)+1)</f>
        <v/>
      </c>
      <c r="Q186" s="159">
        <f>SUMIFS('METAS EMPRESAS'!$J$15:$J$320,'METAS EMPRESAS'!$A$15:$A$320,"CMM",'METAS EMPRESAS'!$B$15:$B$320,"PREMONTAGEM",'METAS EMPRESAS'!$C$15:$C$320,$A186-WEEKDAY($A186,2)+1)</f>
        <v/>
      </c>
      <c r="R186" s="159">
        <f>SUMIFS('METAS EMPRESAS'!$J$15:$J$320,'METAS EMPRESAS'!$A$15:$A$320,"CMM",'METAS EMPRESAS'!$B$15:$B$320,"IÇAMENTO JOIST",'METAS EMPRESAS'!$C$15:$C$320,$A186-WEEKDAY($A186,2)+1)</f>
        <v/>
      </c>
      <c r="S186" s="159">
        <f>SUMIFS('METAS EMPRESAS'!$J$15:$J$320,'METAS EMPRESAS'!$A$15:$A$320,"CMM",'METAS EMPRESAS'!$B$15:$B$320,"VIGAS",'METAS EMPRESAS'!$C$15:$C$320,$A186-WEEKDAY($A186,2)+1)</f>
        <v/>
      </c>
      <c r="T186">
        <f>--(WEEKDAY(A186,2)&lt;=5)</f>
        <v/>
      </c>
      <c r="U186" t="n">
        <v>19</v>
      </c>
      <c r="V186" t="n">
        <v>7</v>
      </c>
      <c r="W186" t="n">
        <v>0</v>
      </c>
      <c r="X186" t="n">
        <v>5</v>
      </c>
      <c r="Y186" t="n">
        <v>5</v>
      </c>
      <c r="Z186" t="n">
        <v>5</v>
      </c>
      <c r="AA186" t="n">
        <v>95</v>
      </c>
      <c r="AB186" t="n">
        <v>35</v>
      </c>
      <c r="AC186" t="n">
        <v>0</v>
      </c>
    </row>
    <row r="187">
      <c r="A187" s="317" t="n">
        <v>46408</v>
      </c>
      <c r="B187" s="159">
        <f>SUMIFS('METAS EMPRESAS'!$K$15:$K$320,'METAS EMPRESAS'!$A$15:$A$320,"EJ",'METAS EMPRESAS'!$B$15:$B$320,"PREMONTAGEM",'METAS EMPRESAS'!$C$15:$C$320,$A187-WEEKDAY($A187,2)+1)</f>
        <v/>
      </c>
      <c r="C187" s="159">
        <f>SUMIFS('METAS EMPRESAS'!$K$15:$K$320,'METAS EMPRESAS'!$A$15:$A$320,"EJ",'METAS EMPRESAS'!$B$15:$B$320,"IÇAMENTO JOIST",'METAS EMPRESAS'!$C$15:$C$320,$A187-WEEKDAY($A187,2)+1)</f>
        <v/>
      </c>
      <c r="D187" s="159">
        <f>SUMIFS('METAS EMPRESAS'!$K$15:$K$320,'METAS EMPRESAS'!$A$15:$A$320,"EJ",'METAS EMPRESAS'!$B$15:$B$320,"VIGAS",'METAS EMPRESAS'!$C$15:$C$320,$A187-WEEKDAY($A187,2)+1)</f>
        <v/>
      </c>
      <c r="E187" s="159">
        <f>SUMIFS('METAS EMPRESAS'!$K$15:$K$320,'METAS EMPRESAS'!$A$15:$A$320,"CMM",'METAS EMPRESAS'!$B$15:$B$320,"PREMONTAGEM",'METAS EMPRESAS'!$C$15:$C$320,$A187-WEEKDAY($A187,2)+1)</f>
        <v/>
      </c>
      <c r="F187" s="159">
        <f>SUMIFS('METAS EMPRESAS'!$K$15:$K$320,'METAS EMPRESAS'!$A$15:$A$320,"CMM",'METAS EMPRESAS'!$B$15:$B$320,"IÇAMENTO JOIST",'METAS EMPRESAS'!$C$15:$C$320,$A187-WEEKDAY($A187,2)+1)</f>
        <v/>
      </c>
      <c r="G187" s="159">
        <f>SUMIFS('METAS EMPRESAS'!$K$15:$K$320,'METAS EMPRESAS'!$A$15:$A$320,"CMM",'METAS EMPRESAS'!$B$15:$B$320,"VIGAS",'METAS EMPRESAS'!$C$15:$C$320,$A187-WEEKDAY($A187,2)+1)</f>
        <v/>
      </c>
      <c r="H187" s="159">
        <f>SUMIFS('METAS EMPRESAS'!$G$15:$G$320,'METAS EMPRESAS'!$A$15:$A$320,"EJ",'METAS EMPRESAS'!$B$15:$B$320,"PREMONTAGEM",'METAS EMPRESAS'!$C$15:$C$320,$A187-WEEKDAY($A187,2)+1)</f>
        <v/>
      </c>
      <c r="I187" s="159">
        <f>SUMIFS('METAS EMPRESAS'!$G$15:$G$320,'METAS EMPRESAS'!$A$15:$A$320,"EJ",'METAS EMPRESAS'!$B$15:$B$320,"IÇAMENTO JOIST",'METAS EMPRESAS'!$C$15:$C$320,$A187-WEEKDAY($A187,2)+1)</f>
        <v/>
      </c>
      <c r="J187" s="159">
        <f>SUMIFS('METAS EMPRESAS'!$G$15:$G$320,'METAS EMPRESAS'!$A$15:$A$320,"EJ",'METAS EMPRESAS'!$B$15:$B$320,"VIGAS",'METAS EMPRESAS'!$C$15:$C$320,$A187-WEEKDAY($A187,2)+1)</f>
        <v/>
      </c>
      <c r="K187" s="159">
        <f>SUMIFS('METAS EMPRESAS'!$G$15:$G$320,'METAS EMPRESAS'!$A$15:$A$320,"CMM",'METAS EMPRESAS'!$B$15:$B$320,"PREMONTAGEM",'METAS EMPRESAS'!$C$15:$C$320,$A187-WEEKDAY($A187,2)+1)</f>
        <v/>
      </c>
      <c r="L187" s="159">
        <f>SUMIFS('METAS EMPRESAS'!$G$15:$G$320,'METAS EMPRESAS'!$A$15:$A$320,"CMM",'METAS EMPRESAS'!$B$15:$B$320,"IÇAMENTO JOIST",'METAS EMPRESAS'!$C$15:$C$320,$A187-WEEKDAY($A187,2)+1)</f>
        <v/>
      </c>
      <c r="M187" s="159">
        <f>SUMIFS('METAS EMPRESAS'!$G$15:$G$320,'METAS EMPRESAS'!$A$15:$A$320,"CMM",'METAS EMPRESAS'!$B$15:$B$320,"VIGAS",'METAS EMPRESAS'!$C$15:$C$320,$A187-WEEKDAY($A187,2)+1)</f>
        <v/>
      </c>
      <c r="N187" s="159">
        <f>SUMIFS('METAS EMPRESAS'!$J$15:$J$320,'METAS EMPRESAS'!$A$15:$A$320,"EJ",'METAS EMPRESAS'!$B$15:$B$320,"PREMONTAGEM",'METAS EMPRESAS'!$C$15:$C$320,$A187-WEEKDAY($A187,2)+1)</f>
        <v/>
      </c>
      <c r="O187" s="159">
        <f>SUMIFS('METAS EMPRESAS'!$J$15:$J$320,'METAS EMPRESAS'!$A$15:$A$320,"EJ",'METAS EMPRESAS'!$B$15:$B$320,"IÇAMENTO JOIST",'METAS EMPRESAS'!$C$15:$C$320,$A187-WEEKDAY($A187,2)+1)</f>
        <v/>
      </c>
      <c r="P187" s="159">
        <f>SUMIFS('METAS EMPRESAS'!$J$15:$J$320,'METAS EMPRESAS'!$A$15:$A$320,"EJ",'METAS EMPRESAS'!$B$15:$B$320,"VIGAS",'METAS EMPRESAS'!$C$15:$C$320,$A187-WEEKDAY($A187,2)+1)</f>
        <v/>
      </c>
      <c r="Q187" s="159">
        <f>SUMIFS('METAS EMPRESAS'!$J$15:$J$320,'METAS EMPRESAS'!$A$15:$A$320,"CMM",'METAS EMPRESAS'!$B$15:$B$320,"PREMONTAGEM",'METAS EMPRESAS'!$C$15:$C$320,$A187-WEEKDAY($A187,2)+1)</f>
        <v/>
      </c>
      <c r="R187" s="159">
        <f>SUMIFS('METAS EMPRESAS'!$J$15:$J$320,'METAS EMPRESAS'!$A$15:$A$320,"CMM",'METAS EMPRESAS'!$B$15:$B$320,"IÇAMENTO JOIST",'METAS EMPRESAS'!$C$15:$C$320,$A187-WEEKDAY($A187,2)+1)</f>
        <v/>
      </c>
      <c r="S187" s="159">
        <f>SUMIFS('METAS EMPRESAS'!$J$15:$J$320,'METAS EMPRESAS'!$A$15:$A$320,"CMM",'METAS EMPRESAS'!$B$15:$B$320,"VIGAS",'METAS EMPRESAS'!$C$15:$C$320,$A187-WEEKDAY($A187,2)+1)</f>
        <v/>
      </c>
      <c r="T187">
        <f>--(WEEKDAY(A187,2)&lt;=5)</f>
        <v/>
      </c>
      <c r="U187" t="n">
        <v>19</v>
      </c>
      <c r="V187" t="n">
        <v>7</v>
      </c>
      <c r="W187" t="n">
        <v>0</v>
      </c>
      <c r="X187" t="n">
        <v>5</v>
      </c>
      <c r="Y187" t="n">
        <v>5</v>
      </c>
      <c r="Z187" t="n">
        <v>5</v>
      </c>
      <c r="AA187" t="n">
        <v>95</v>
      </c>
      <c r="AB187" t="n">
        <v>35</v>
      </c>
      <c r="AC187" t="n">
        <v>0</v>
      </c>
    </row>
    <row r="188">
      <c r="A188" s="317" t="n">
        <v>46409</v>
      </c>
      <c r="B188" s="159">
        <f>SUMIFS('METAS EMPRESAS'!$K$15:$K$320,'METAS EMPRESAS'!$A$15:$A$320,"EJ",'METAS EMPRESAS'!$B$15:$B$320,"PREMONTAGEM",'METAS EMPRESAS'!$C$15:$C$320,$A188-WEEKDAY($A188,2)+1)</f>
        <v/>
      </c>
      <c r="C188" s="159">
        <f>SUMIFS('METAS EMPRESAS'!$K$15:$K$320,'METAS EMPRESAS'!$A$15:$A$320,"EJ",'METAS EMPRESAS'!$B$15:$B$320,"IÇAMENTO JOIST",'METAS EMPRESAS'!$C$15:$C$320,$A188-WEEKDAY($A188,2)+1)</f>
        <v/>
      </c>
      <c r="D188" s="159">
        <f>SUMIFS('METAS EMPRESAS'!$K$15:$K$320,'METAS EMPRESAS'!$A$15:$A$320,"EJ",'METAS EMPRESAS'!$B$15:$B$320,"VIGAS",'METAS EMPRESAS'!$C$15:$C$320,$A188-WEEKDAY($A188,2)+1)</f>
        <v/>
      </c>
      <c r="E188" s="159">
        <f>SUMIFS('METAS EMPRESAS'!$K$15:$K$320,'METAS EMPRESAS'!$A$15:$A$320,"CMM",'METAS EMPRESAS'!$B$15:$B$320,"PREMONTAGEM",'METAS EMPRESAS'!$C$15:$C$320,$A188-WEEKDAY($A188,2)+1)</f>
        <v/>
      </c>
      <c r="F188" s="159">
        <f>SUMIFS('METAS EMPRESAS'!$K$15:$K$320,'METAS EMPRESAS'!$A$15:$A$320,"CMM",'METAS EMPRESAS'!$B$15:$B$320,"IÇAMENTO JOIST",'METAS EMPRESAS'!$C$15:$C$320,$A188-WEEKDAY($A188,2)+1)</f>
        <v/>
      </c>
      <c r="G188" s="159">
        <f>SUMIFS('METAS EMPRESAS'!$K$15:$K$320,'METAS EMPRESAS'!$A$15:$A$320,"CMM",'METAS EMPRESAS'!$B$15:$B$320,"VIGAS",'METAS EMPRESAS'!$C$15:$C$320,$A188-WEEKDAY($A188,2)+1)</f>
        <v/>
      </c>
      <c r="H188" s="159">
        <f>SUMIFS('METAS EMPRESAS'!$G$15:$G$320,'METAS EMPRESAS'!$A$15:$A$320,"EJ",'METAS EMPRESAS'!$B$15:$B$320,"PREMONTAGEM",'METAS EMPRESAS'!$C$15:$C$320,$A188-WEEKDAY($A188,2)+1)</f>
        <v/>
      </c>
      <c r="I188" s="159">
        <f>SUMIFS('METAS EMPRESAS'!$G$15:$G$320,'METAS EMPRESAS'!$A$15:$A$320,"EJ",'METAS EMPRESAS'!$B$15:$B$320,"IÇAMENTO JOIST",'METAS EMPRESAS'!$C$15:$C$320,$A188-WEEKDAY($A188,2)+1)</f>
        <v/>
      </c>
      <c r="J188" s="159">
        <f>SUMIFS('METAS EMPRESAS'!$G$15:$G$320,'METAS EMPRESAS'!$A$15:$A$320,"EJ",'METAS EMPRESAS'!$B$15:$B$320,"VIGAS",'METAS EMPRESAS'!$C$15:$C$320,$A188-WEEKDAY($A188,2)+1)</f>
        <v/>
      </c>
      <c r="K188" s="159">
        <f>SUMIFS('METAS EMPRESAS'!$G$15:$G$320,'METAS EMPRESAS'!$A$15:$A$320,"CMM",'METAS EMPRESAS'!$B$15:$B$320,"PREMONTAGEM",'METAS EMPRESAS'!$C$15:$C$320,$A188-WEEKDAY($A188,2)+1)</f>
        <v/>
      </c>
      <c r="L188" s="159">
        <f>SUMIFS('METAS EMPRESAS'!$G$15:$G$320,'METAS EMPRESAS'!$A$15:$A$320,"CMM",'METAS EMPRESAS'!$B$15:$B$320,"IÇAMENTO JOIST",'METAS EMPRESAS'!$C$15:$C$320,$A188-WEEKDAY($A188,2)+1)</f>
        <v/>
      </c>
      <c r="M188" s="159">
        <f>SUMIFS('METAS EMPRESAS'!$G$15:$G$320,'METAS EMPRESAS'!$A$15:$A$320,"CMM",'METAS EMPRESAS'!$B$15:$B$320,"VIGAS",'METAS EMPRESAS'!$C$15:$C$320,$A188-WEEKDAY($A188,2)+1)</f>
        <v/>
      </c>
      <c r="N188" s="159">
        <f>SUMIFS('METAS EMPRESAS'!$J$15:$J$320,'METAS EMPRESAS'!$A$15:$A$320,"EJ",'METAS EMPRESAS'!$B$15:$B$320,"PREMONTAGEM",'METAS EMPRESAS'!$C$15:$C$320,$A188-WEEKDAY($A188,2)+1)</f>
        <v/>
      </c>
      <c r="O188" s="159">
        <f>SUMIFS('METAS EMPRESAS'!$J$15:$J$320,'METAS EMPRESAS'!$A$15:$A$320,"EJ",'METAS EMPRESAS'!$B$15:$B$320,"IÇAMENTO JOIST",'METAS EMPRESAS'!$C$15:$C$320,$A188-WEEKDAY($A188,2)+1)</f>
        <v/>
      </c>
      <c r="P188" s="159">
        <f>SUMIFS('METAS EMPRESAS'!$J$15:$J$320,'METAS EMPRESAS'!$A$15:$A$320,"EJ",'METAS EMPRESAS'!$B$15:$B$320,"VIGAS",'METAS EMPRESAS'!$C$15:$C$320,$A188-WEEKDAY($A188,2)+1)</f>
        <v/>
      </c>
      <c r="Q188" s="159">
        <f>SUMIFS('METAS EMPRESAS'!$J$15:$J$320,'METAS EMPRESAS'!$A$15:$A$320,"CMM",'METAS EMPRESAS'!$B$15:$B$320,"PREMONTAGEM",'METAS EMPRESAS'!$C$15:$C$320,$A188-WEEKDAY($A188,2)+1)</f>
        <v/>
      </c>
      <c r="R188" s="159">
        <f>SUMIFS('METAS EMPRESAS'!$J$15:$J$320,'METAS EMPRESAS'!$A$15:$A$320,"CMM",'METAS EMPRESAS'!$B$15:$B$320,"IÇAMENTO JOIST",'METAS EMPRESAS'!$C$15:$C$320,$A188-WEEKDAY($A188,2)+1)</f>
        <v/>
      </c>
      <c r="S188" s="159">
        <f>SUMIFS('METAS EMPRESAS'!$J$15:$J$320,'METAS EMPRESAS'!$A$15:$A$320,"CMM",'METAS EMPRESAS'!$B$15:$B$320,"VIGAS",'METAS EMPRESAS'!$C$15:$C$320,$A188-WEEKDAY($A188,2)+1)</f>
        <v/>
      </c>
      <c r="T188">
        <f>--(WEEKDAY(A188,2)&lt;=5)</f>
        <v/>
      </c>
      <c r="U188" t="n">
        <v>19</v>
      </c>
      <c r="V188" t="n">
        <v>7</v>
      </c>
      <c r="W188" t="n">
        <v>0</v>
      </c>
      <c r="X188" t="n">
        <v>5</v>
      </c>
      <c r="Y188" t="n">
        <v>5</v>
      </c>
      <c r="Z188" t="n">
        <v>5</v>
      </c>
      <c r="AA188" t="n">
        <v>95</v>
      </c>
      <c r="AB188" t="n">
        <v>35</v>
      </c>
      <c r="AC188" t="n">
        <v>0</v>
      </c>
    </row>
    <row r="189">
      <c r="A189" s="317" t="n">
        <v>46410</v>
      </c>
      <c r="B189" s="159">
        <f>SUMIFS('METAS EMPRESAS'!$K$15:$K$320,'METAS EMPRESAS'!$A$15:$A$320,"EJ",'METAS EMPRESAS'!$B$15:$B$320,"PREMONTAGEM",'METAS EMPRESAS'!$C$15:$C$320,$A189-WEEKDAY($A189,2)+1)</f>
        <v/>
      </c>
      <c r="C189" s="159">
        <f>SUMIFS('METAS EMPRESAS'!$K$15:$K$320,'METAS EMPRESAS'!$A$15:$A$320,"EJ",'METAS EMPRESAS'!$B$15:$B$320,"IÇAMENTO JOIST",'METAS EMPRESAS'!$C$15:$C$320,$A189-WEEKDAY($A189,2)+1)</f>
        <v/>
      </c>
      <c r="D189" s="159">
        <f>SUMIFS('METAS EMPRESAS'!$K$15:$K$320,'METAS EMPRESAS'!$A$15:$A$320,"EJ",'METAS EMPRESAS'!$B$15:$B$320,"VIGAS",'METAS EMPRESAS'!$C$15:$C$320,$A189-WEEKDAY($A189,2)+1)</f>
        <v/>
      </c>
      <c r="E189" s="159">
        <f>SUMIFS('METAS EMPRESAS'!$K$15:$K$320,'METAS EMPRESAS'!$A$15:$A$320,"CMM",'METAS EMPRESAS'!$B$15:$B$320,"PREMONTAGEM",'METAS EMPRESAS'!$C$15:$C$320,$A189-WEEKDAY($A189,2)+1)</f>
        <v/>
      </c>
      <c r="F189" s="159">
        <f>SUMIFS('METAS EMPRESAS'!$K$15:$K$320,'METAS EMPRESAS'!$A$15:$A$320,"CMM",'METAS EMPRESAS'!$B$15:$B$320,"IÇAMENTO JOIST",'METAS EMPRESAS'!$C$15:$C$320,$A189-WEEKDAY($A189,2)+1)</f>
        <v/>
      </c>
      <c r="G189" s="159">
        <f>SUMIFS('METAS EMPRESAS'!$K$15:$K$320,'METAS EMPRESAS'!$A$15:$A$320,"CMM",'METAS EMPRESAS'!$B$15:$B$320,"VIGAS",'METAS EMPRESAS'!$C$15:$C$320,$A189-WEEKDAY($A189,2)+1)</f>
        <v/>
      </c>
      <c r="H189" s="159">
        <f>SUMIFS('METAS EMPRESAS'!$G$15:$G$320,'METAS EMPRESAS'!$A$15:$A$320,"EJ",'METAS EMPRESAS'!$B$15:$B$320,"PREMONTAGEM",'METAS EMPRESAS'!$C$15:$C$320,$A189-WEEKDAY($A189,2)+1)</f>
        <v/>
      </c>
      <c r="I189" s="159">
        <f>SUMIFS('METAS EMPRESAS'!$G$15:$G$320,'METAS EMPRESAS'!$A$15:$A$320,"EJ",'METAS EMPRESAS'!$B$15:$B$320,"IÇAMENTO JOIST",'METAS EMPRESAS'!$C$15:$C$320,$A189-WEEKDAY($A189,2)+1)</f>
        <v/>
      </c>
      <c r="J189" s="159">
        <f>SUMIFS('METAS EMPRESAS'!$G$15:$G$320,'METAS EMPRESAS'!$A$15:$A$320,"EJ",'METAS EMPRESAS'!$B$15:$B$320,"VIGAS",'METAS EMPRESAS'!$C$15:$C$320,$A189-WEEKDAY($A189,2)+1)</f>
        <v/>
      </c>
      <c r="K189" s="159">
        <f>SUMIFS('METAS EMPRESAS'!$G$15:$G$320,'METAS EMPRESAS'!$A$15:$A$320,"CMM",'METAS EMPRESAS'!$B$15:$B$320,"PREMONTAGEM",'METAS EMPRESAS'!$C$15:$C$320,$A189-WEEKDAY($A189,2)+1)</f>
        <v/>
      </c>
      <c r="L189" s="159">
        <f>SUMIFS('METAS EMPRESAS'!$G$15:$G$320,'METAS EMPRESAS'!$A$15:$A$320,"CMM",'METAS EMPRESAS'!$B$15:$B$320,"IÇAMENTO JOIST",'METAS EMPRESAS'!$C$15:$C$320,$A189-WEEKDAY($A189,2)+1)</f>
        <v/>
      </c>
      <c r="M189" s="159">
        <f>SUMIFS('METAS EMPRESAS'!$G$15:$G$320,'METAS EMPRESAS'!$A$15:$A$320,"CMM",'METAS EMPRESAS'!$B$15:$B$320,"VIGAS",'METAS EMPRESAS'!$C$15:$C$320,$A189-WEEKDAY($A189,2)+1)</f>
        <v/>
      </c>
      <c r="N189" s="159">
        <f>SUMIFS('METAS EMPRESAS'!$J$15:$J$320,'METAS EMPRESAS'!$A$15:$A$320,"EJ",'METAS EMPRESAS'!$B$15:$B$320,"PREMONTAGEM",'METAS EMPRESAS'!$C$15:$C$320,$A189-WEEKDAY($A189,2)+1)</f>
        <v/>
      </c>
      <c r="O189" s="159">
        <f>SUMIFS('METAS EMPRESAS'!$J$15:$J$320,'METAS EMPRESAS'!$A$15:$A$320,"EJ",'METAS EMPRESAS'!$B$15:$B$320,"IÇAMENTO JOIST",'METAS EMPRESAS'!$C$15:$C$320,$A189-WEEKDAY($A189,2)+1)</f>
        <v/>
      </c>
      <c r="P189" s="159">
        <f>SUMIFS('METAS EMPRESAS'!$J$15:$J$320,'METAS EMPRESAS'!$A$15:$A$320,"EJ",'METAS EMPRESAS'!$B$15:$B$320,"VIGAS",'METAS EMPRESAS'!$C$15:$C$320,$A189-WEEKDAY($A189,2)+1)</f>
        <v/>
      </c>
      <c r="Q189" s="159">
        <f>SUMIFS('METAS EMPRESAS'!$J$15:$J$320,'METAS EMPRESAS'!$A$15:$A$320,"CMM",'METAS EMPRESAS'!$B$15:$B$320,"PREMONTAGEM",'METAS EMPRESAS'!$C$15:$C$320,$A189-WEEKDAY($A189,2)+1)</f>
        <v/>
      </c>
      <c r="R189" s="159">
        <f>SUMIFS('METAS EMPRESAS'!$J$15:$J$320,'METAS EMPRESAS'!$A$15:$A$320,"CMM",'METAS EMPRESAS'!$B$15:$B$320,"IÇAMENTO JOIST",'METAS EMPRESAS'!$C$15:$C$320,$A189-WEEKDAY($A189,2)+1)</f>
        <v/>
      </c>
      <c r="S189" s="159">
        <f>SUMIFS('METAS EMPRESAS'!$J$15:$J$320,'METAS EMPRESAS'!$A$15:$A$320,"CMM",'METAS EMPRESAS'!$B$15:$B$320,"VIGAS",'METAS EMPRESAS'!$C$15:$C$320,$A189-WEEKDAY($A189,2)+1)</f>
        <v/>
      </c>
      <c r="T189">
        <f>--(WEEKDAY(A189,2)&lt;=5)</f>
        <v/>
      </c>
      <c r="U189" t="n">
        <v>19</v>
      </c>
      <c r="V189" t="n">
        <v>7</v>
      </c>
      <c r="W189" t="n">
        <v>0</v>
      </c>
      <c r="X189" t="n">
        <v>5</v>
      </c>
      <c r="Y189" t="n">
        <v>5</v>
      </c>
      <c r="Z189" t="n">
        <v>5</v>
      </c>
      <c r="AA189" t="n">
        <v>95</v>
      </c>
      <c r="AB189" t="n">
        <v>35</v>
      </c>
      <c r="AC189" t="n">
        <v>0</v>
      </c>
    </row>
    <row r="190">
      <c r="A190" s="317" t="n">
        <v>46411</v>
      </c>
      <c r="B190" s="159">
        <f>SUMIFS('METAS EMPRESAS'!$K$15:$K$320,'METAS EMPRESAS'!$A$15:$A$320,"EJ",'METAS EMPRESAS'!$B$15:$B$320,"PREMONTAGEM",'METAS EMPRESAS'!$C$15:$C$320,$A190-WEEKDAY($A190,2)+1)</f>
        <v/>
      </c>
      <c r="C190" s="159">
        <f>SUMIFS('METAS EMPRESAS'!$K$15:$K$320,'METAS EMPRESAS'!$A$15:$A$320,"EJ",'METAS EMPRESAS'!$B$15:$B$320,"IÇAMENTO JOIST",'METAS EMPRESAS'!$C$15:$C$320,$A190-WEEKDAY($A190,2)+1)</f>
        <v/>
      </c>
      <c r="D190" s="159">
        <f>SUMIFS('METAS EMPRESAS'!$K$15:$K$320,'METAS EMPRESAS'!$A$15:$A$320,"EJ",'METAS EMPRESAS'!$B$15:$B$320,"VIGAS",'METAS EMPRESAS'!$C$15:$C$320,$A190-WEEKDAY($A190,2)+1)</f>
        <v/>
      </c>
      <c r="E190" s="159">
        <f>SUMIFS('METAS EMPRESAS'!$K$15:$K$320,'METAS EMPRESAS'!$A$15:$A$320,"CMM",'METAS EMPRESAS'!$B$15:$B$320,"PREMONTAGEM",'METAS EMPRESAS'!$C$15:$C$320,$A190-WEEKDAY($A190,2)+1)</f>
        <v/>
      </c>
      <c r="F190" s="159">
        <f>SUMIFS('METAS EMPRESAS'!$K$15:$K$320,'METAS EMPRESAS'!$A$15:$A$320,"CMM",'METAS EMPRESAS'!$B$15:$B$320,"IÇAMENTO JOIST",'METAS EMPRESAS'!$C$15:$C$320,$A190-WEEKDAY($A190,2)+1)</f>
        <v/>
      </c>
      <c r="G190" s="159">
        <f>SUMIFS('METAS EMPRESAS'!$K$15:$K$320,'METAS EMPRESAS'!$A$15:$A$320,"CMM",'METAS EMPRESAS'!$B$15:$B$320,"VIGAS",'METAS EMPRESAS'!$C$15:$C$320,$A190-WEEKDAY($A190,2)+1)</f>
        <v/>
      </c>
      <c r="H190" s="159">
        <f>SUMIFS('METAS EMPRESAS'!$G$15:$G$320,'METAS EMPRESAS'!$A$15:$A$320,"EJ",'METAS EMPRESAS'!$B$15:$B$320,"PREMONTAGEM",'METAS EMPRESAS'!$C$15:$C$320,$A190-WEEKDAY($A190,2)+1)</f>
        <v/>
      </c>
      <c r="I190" s="159">
        <f>SUMIFS('METAS EMPRESAS'!$G$15:$G$320,'METAS EMPRESAS'!$A$15:$A$320,"EJ",'METAS EMPRESAS'!$B$15:$B$320,"IÇAMENTO JOIST",'METAS EMPRESAS'!$C$15:$C$320,$A190-WEEKDAY($A190,2)+1)</f>
        <v/>
      </c>
      <c r="J190" s="159">
        <f>SUMIFS('METAS EMPRESAS'!$G$15:$G$320,'METAS EMPRESAS'!$A$15:$A$320,"EJ",'METAS EMPRESAS'!$B$15:$B$320,"VIGAS",'METAS EMPRESAS'!$C$15:$C$320,$A190-WEEKDAY($A190,2)+1)</f>
        <v/>
      </c>
      <c r="K190" s="159">
        <f>SUMIFS('METAS EMPRESAS'!$G$15:$G$320,'METAS EMPRESAS'!$A$15:$A$320,"CMM",'METAS EMPRESAS'!$B$15:$B$320,"PREMONTAGEM",'METAS EMPRESAS'!$C$15:$C$320,$A190-WEEKDAY($A190,2)+1)</f>
        <v/>
      </c>
      <c r="L190" s="159">
        <f>SUMIFS('METAS EMPRESAS'!$G$15:$G$320,'METAS EMPRESAS'!$A$15:$A$320,"CMM",'METAS EMPRESAS'!$B$15:$B$320,"IÇAMENTO JOIST",'METAS EMPRESAS'!$C$15:$C$320,$A190-WEEKDAY($A190,2)+1)</f>
        <v/>
      </c>
      <c r="M190" s="159">
        <f>SUMIFS('METAS EMPRESAS'!$G$15:$G$320,'METAS EMPRESAS'!$A$15:$A$320,"CMM",'METAS EMPRESAS'!$B$15:$B$320,"VIGAS",'METAS EMPRESAS'!$C$15:$C$320,$A190-WEEKDAY($A190,2)+1)</f>
        <v/>
      </c>
      <c r="N190" s="159">
        <f>SUMIFS('METAS EMPRESAS'!$J$15:$J$320,'METAS EMPRESAS'!$A$15:$A$320,"EJ",'METAS EMPRESAS'!$B$15:$B$320,"PREMONTAGEM",'METAS EMPRESAS'!$C$15:$C$320,$A190-WEEKDAY($A190,2)+1)</f>
        <v/>
      </c>
      <c r="O190" s="159">
        <f>SUMIFS('METAS EMPRESAS'!$J$15:$J$320,'METAS EMPRESAS'!$A$15:$A$320,"EJ",'METAS EMPRESAS'!$B$15:$B$320,"IÇAMENTO JOIST",'METAS EMPRESAS'!$C$15:$C$320,$A190-WEEKDAY($A190,2)+1)</f>
        <v/>
      </c>
      <c r="P190" s="159">
        <f>SUMIFS('METAS EMPRESAS'!$J$15:$J$320,'METAS EMPRESAS'!$A$15:$A$320,"EJ",'METAS EMPRESAS'!$B$15:$B$320,"VIGAS",'METAS EMPRESAS'!$C$15:$C$320,$A190-WEEKDAY($A190,2)+1)</f>
        <v/>
      </c>
      <c r="Q190" s="159">
        <f>SUMIFS('METAS EMPRESAS'!$J$15:$J$320,'METAS EMPRESAS'!$A$15:$A$320,"CMM",'METAS EMPRESAS'!$B$15:$B$320,"PREMONTAGEM",'METAS EMPRESAS'!$C$15:$C$320,$A190-WEEKDAY($A190,2)+1)</f>
        <v/>
      </c>
      <c r="R190" s="159">
        <f>SUMIFS('METAS EMPRESAS'!$J$15:$J$320,'METAS EMPRESAS'!$A$15:$A$320,"CMM",'METAS EMPRESAS'!$B$15:$B$320,"IÇAMENTO JOIST",'METAS EMPRESAS'!$C$15:$C$320,$A190-WEEKDAY($A190,2)+1)</f>
        <v/>
      </c>
      <c r="S190" s="159">
        <f>SUMIFS('METAS EMPRESAS'!$J$15:$J$320,'METAS EMPRESAS'!$A$15:$A$320,"CMM",'METAS EMPRESAS'!$B$15:$B$320,"VIGAS",'METAS EMPRESAS'!$C$15:$C$320,$A190-WEEKDAY($A190,2)+1)</f>
        <v/>
      </c>
      <c r="T190">
        <f>--(WEEKDAY(A190,2)&lt;=5)</f>
        <v/>
      </c>
      <c r="U190" t="n">
        <v>19</v>
      </c>
      <c r="V190" t="n">
        <v>7</v>
      </c>
      <c r="W190" t="n">
        <v>0</v>
      </c>
      <c r="X190" t="n">
        <v>5</v>
      </c>
      <c r="Y190" t="n">
        <v>5</v>
      </c>
      <c r="Z190" t="n">
        <v>5</v>
      </c>
      <c r="AA190" t="n">
        <v>95</v>
      </c>
      <c r="AB190" t="n">
        <v>35</v>
      </c>
      <c r="AC190" t="n">
        <v>0</v>
      </c>
    </row>
    <row r="191">
      <c r="A191" s="317" t="n">
        <v>46412</v>
      </c>
      <c r="B191" s="159">
        <f>SUMIFS('METAS EMPRESAS'!$K$15:$K$320,'METAS EMPRESAS'!$A$15:$A$320,"EJ",'METAS EMPRESAS'!$B$15:$B$320,"PREMONTAGEM",'METAS EMPRESAS'!$C$15:$C$320,$A191-WEEKDAY($A191,2)+1)</f>
        <v/>
      </c>
      <c r="C191" s="159">
        <f>SUMIFS('METAS EMPRESAS'!$K$15:$K$320,'METAS EMPRESAS'!$A$15:$A$320,"EJ",'METAS EMPRESAS'!$B$15:$B$320,"IÇAMENTO JOIST",'METAS EMPRESAS'!$C$15:$C$320,$A191-WEEKDAY($A191,2)+1)</f>
        <v/>
      </c>
      <c r="D191" s="159">
        <f>SUMIFS('METAS EMPRESAS'!$K$15:$K$320,'METAS EMPRESAS'!$A$15:$A$320,"EJ",'METAS EMPRESAS'!$B$15:$B$320,"VIGAS",'METAS EMPRESAS'!$C$15:$C$320,$A191-WEEKDAY($A191,2)+1)</f>
        <v/>
      </c>
      <c r="E191" s="159">
        <f>SUMIFS('METAS EMPRESAS'!$K$15:$K$320,'METAS EMPRESAS'!$A$15:$A$320,"CMM",'METAS EMPRESAS'!$B$15:$B$320,"PREMONTAGEM",'METAS EMPRESAS'!$C$15:$C$320,$A191-WEEKDAY($A191,2)+1)</f>
        <v/>
      </c>
      <c r="F191" s="159">
        <f>SUMIFS('METAS EMPRESAS'!$K$15:$K$320,'METAS EMPRESAS'!$A$15:$A$320,"CMM",'METAS EMPRESAS'!$B$15:$B$320,"IÇAMENTO JOIST",'METAS EMPRESAS'!$C$15:$C$320,$A191-WEEKDAY($A191,2)+1)</f>
        <v/>
      </c>
      <c r="G191" s="159">
        <f>SUMIFS('METAS EMPRESAS'!$K$15:$K$320,'METAS EMPRESAS'!$A$15:$A$320,"CMM",'METAS EMPRESAS'!$B$15:$B$320,"VIGAS",'METAS EMPRESAS'!$C$15:$C$320,$A191-WEEKDAY($A191,2)+1)</f>
        <v/>
      </c>
      <c r="H191" s="159">
        <f>SUMIFS('METAS EMPRESAS'!$G$15:$G$320,'METAS EMPRESAS'!$A$15:$A$320,"EJ",'METAS EMPRESAS'!$B$15:$B$320,"PREMONTAGEM",'METAS EMPRESAS'!$C$15:$C$320,$A191-WEEKDAY($A191,2)+1)</f>
        <v/>
      </c>
      <c r="I191" s="159">
        <f>SUMIFS('METAS EMPRESAS'!$G$15:$G$320,'METAS EMPRESAS'!$A$15:$A$320,"EJ",'METAS EMPRESAS'!$B$15:$B$320,"IÇAMENTO JOIST",'METAS EMPRESAS'!$C$15:$C$320,$A191-WEEKDAY($A191,2)+1)</f>
        <v/>
      </c>
      <c r="J191" s="159">
        <f>SUMIFS('METAS EMPRESAS'!$G$15:$G$320,'METAS EMPRESAS'!$A$15:$A$320,"EJ",'METAS EMPRESAS'!$B$15:$B$320,"VIGAS",'METAS EMPRESAS'!$C$15:$C$320,$A191-WEEKDAY($A191,2)+1)</f>
        <v/>
      </c>
      <c r="K191" s="159">
        <f>SUMIFS('METAS EMPRESAS'!$G$15:$G$320,'METAS EMPRESAS'!$A$15:$A$320,"CMM",'METAS EMPRESAS'!$B$15:$B$320,"PREMONTAGEM",'METAS EMPRESAS'!$C$15:$C$320,$A191-WEEKDAY($A191,2)+1)</f>
        <v/>
      </c>
      <c r="L191" s="159">
        <f>SUMIFS('METAS EMPRESAS'!$G$15:$G$320,'METAS EMPRESAS'!$A$15:$A$320,"CMM",'METAS EMPRESAS'!$B$15:$B$320,"IÇAMENTO JOIST",'METAS EMPRESAS'!$C$15:$C$320,$A191-WEEKDAY($A191,2)+1)</f>
        <v/>
      </c>
      <c r="M191" s="159">
        <f>SUMIFS('METAS EMPRESAS'!$G$15:$G$320,'METAS EMPRESAS'!$A$15:$A$320,"CMM",'METAS EMPRESAS'!$B$15:$B$320,"VIGAS",'METAS EMPRESAS'!$C$15:$C$320,$A191-WEEKDAY($A191,2)+1)</f>
        <v/>
      </c>
      <c r="N191" s="159">
        <f>SUMIFS('METAS EMPRESAS'!$J$15:$J$320,'METAS EMPRESAS'!$A$15:$A$320,"EJ",'METAS EMPRESAS'!$B$15:$B$320,"PREMONTAGEM",'METAS EMPRESAS'!$C$15:$C$320,$A191-WEEKDAY($A191,2)+1)</f>
        <v/>
      </c>
      <c r="O191" s="159">
        <f>SUMIFS('METAS EMPRESAS'!$J$15:$J$320,'METAS EMPRESAS'!$A$15:$A$320,"EJ",'METAS EMPRESAS'!$B$15:$B$320,"IÇAMENTO JOIST",'METAS EMPRESAS'!$C$15:$C$320,$A191-WEEKDAY($A191,2)+1)</f>
        <v/>
      </c>
      <c r="P191" s="159">
        <f>SUMIFS('METAS EMPRESAS'!$J$15:$J$320,'METAS EMPRESAS'!$A$15:$A$320,"EJ",'METAS EMPRESAS'!$B$15:$B$320,"VIGAS",'METAS EMPRESAS'!$C$15:$C$320,$A191-WEEKDAY($A191,2)+1)</f>
        <v/>
      </c>
      <c r="Q191" s="159">
        <f>SUMIFS('METAS EMPRESAS'!$J$15:$J$320,'METAS EMPRESAS'!$A$15:$A$320,"CMM",'METAS EMPRESAS'!$B$15:$B$320,"PREMONTAGEM",'METAS EMPRESAS'!$C$15:$C$320,$A191-WEEKDAY($A191,2)+1)</f>
        <v/>
      </c>
      <c r="R191" s="159">
        <f>SUMIFS('METAS EMPRESAS'!$J$15:$J$320,'METAS EMPRESAS'!$A$15:$A$320,"CMM",'METAS EMPRESAS'!$B$15:$B$320,"IÇAMENTO JOIST",'METAS EMPRESAS'!$C$15:$C$320,$A191-WEEKDAY($A191,2)+1)</f>
        <v/>
      </c>
      <c r="S191" s="159">
        <f>SUMIFS('METAS EMPRESAS'!$J$15:$J$320,'METAS EMPRESAS'!$A$15:$A$320,"CMM",'METAS EMPRESAS'!$B$15:$B$320,"VIGAS",'METAS EMPRESAS'!$C$15:$C$320,$A191-WEEKDAY($A191,2)+1)</f>
        <v/>
      </c>
      <c r="T191">
        <f>--(WEEKDAY(A191,2)&lt;=5)</f>
        <v/>
      </c>
      <c r="U191" t="n">
        <v>19</v>
      </c>
      <c r="V191" t="n">
        <v>7</v>
      </c>
      <c r="W191" t="n">
        <v>0</v>
      </c>
      <c r="X191" t="n">
        <v>5</v>
      </c>
      <c r="Y191" t="n">
        <v>5</v>
      </c>
      <c r="Z191" t="n">
        <v>5</v>
      </c>
      <c r="AA191" t="n">
        <v>95</v>
      </c>
      <c r="AB191" t="n">
        <v>35</v>
      </c>
      <c r="AC191" t="n">
        <v>0</v>
      </c>
    </row>
    <row r="192">
      <c r="A192" s="317" t="n">
        <v>46413</v>
      </c>
      <c r="B192" s="159">
        <f>SUMIFS('METAS EMPRESAS'!$K$15:$K$320,'METAS EMPRESAS'!$A$15:$A$320,"EJ",'METAS EMPRESAS'!$B$15:$B$320,"PREMONTAGEM",'METAS EMPRESAS'!$C$15:$C$320,$A192-WEEKDAY($A192,2)+1)</f>
        <v/>
      </c>
      <c r="C192" s="159">
        <f>SUMIFS('METAS EMPRESAS'!$K$15:$K$320,'METAS EMPRESAS'!$A$15:$A$320,"EJ",'METAS EMPRESAS'!$B$15:$B$320,"IÇAMENTO JOIST",'METAS EMPRESAS'!$C$15:$C$320,$A192-WEEKDAY($A192,2)+1)</f>
        <v/>
      </c>
      <c r="D192" s="159">
        <f>SUMIFS('METAS EMPRESAS'!$K$15:$K$320,'METAS EMPRESAS'!$A$15:$A$320,"EJ",'METAS EMPRESAS'!$B$15:$B$320,"VIGAS",'METAS EMPRESAS'!$C$15:$C$320,$A192-WEEKDAY($A192,2)+1)</f>
        <v/>
      </c>
      <c r="E192" s="159">
        <f>SUMIFS('METAS EMPRESAS'!$K$15:$K$320,'METAS EMPRESAS'!$A$15:$A$320,"CMM",'METAS EMPRESAS'!$B$15:$B$320,"PREMONTAGEM",'METAS EMPRESAS'!$C$15:$C$320,$A192-WEEKDAY($A192,2)+1)</f>
        <v/>
      </c>
      <c r="F192" s="159">
        <f>SUMIFS('METAS EMPRESAS'!$K$15:$K$320,'METAS EMPRESAS'!$A$15:$A$320,"CMM",'METAS EMPRESAS'!$B$15:$B$320,"IÇAMENTO JOIST",'METAS EMPRESAS'!$C$15:$C$320,$A192-WEEKDAY($A192,2)+1)</f>
        <v/>
      </c>
      <c r="G192" s="159">
        <f>SUMIFS('METAS EMPRESAS'!$K$15:$K$320,'METAS EMPRESAS'!$A$15:$A$320,"CMM",'METAS EMPRESAS'!$B$15:$B$320,"VIGAS",'METAS EMPRESAS'!$C$15:$C$320,$A192-WEEKDAY($A192,2)+1)</f>
        <v/>
      </c>
      <c r="H192" s="159">
        <f>SUMIFS('METAS EMPRESAS'!$G$15:$G$320,'METAS EMPRESAS'!$A$15:$A$320,"EJ",'METAS EMPRESAS'!$B$15:$B$320,"PREMONTAGEM",'METAS EMPRESAS'!$C$15:$C$320,$A192-WEEKDAY($A192,2)+1)</f>
        <v/>
      </c>
      <c r="I192" s="159">
        <f>SUMIFS('METAS EMPRESAS'!$G$15:$G$320,'METAS EMPRESAS'!$A$15:$A$320,"EJ",'METAS EMPRESAS'!$B$15:$B$320,"IÇAMENTO JOIST",'METAS EMPRESAS'!$C$15:$C$320,$A192-WEEKDAY($A192,2)+1)</f>
        <v/>
      </c>
      <c r="J192" s="159">
        <f>SUMIFS('METAS EMPRESAS'!$G$15:$G$320,'METAS EMPRESAS'!$A$15:$A$320,"EJ",'METAS EMPRESAS'!$B$15:$B$320,"VIGAS",'METAS EMPRESAS'!$C$15:$C$320,$A192-WEEKDAY($A192,2)+1)</f>
        <v/>
      </c>
      <c r="K192" s="159">
        <f>SUMIFS('METAS EMPRESAS'!$G$15:$G$320,'METAS EMPRESAS'!$A$15:$A$320,"CMM",'METAS EMPRESAS'!$B$15:$B$320,"PREMONTAGEM",'METAS EMPRESAS'!$C$15:$C$320,$A192-WEEKDAY($A192,2)+1)</f>
        <v/>
      </c>
      <c r="L192" s="159">
        <f>SUMIFS('METAS EMPRESAS'!$G$15:$G$320,'METAS EMPRESAS'!$A$15:$A$320,"CMM",'METAS EMPRESAS'!$B$15:$B$320,"IÇAMENTO JOIST",'METAS EMPRESAS'!$C$15:$C$320,$A192-WEEKDAY($A192,2)+1)</f>
        <v/>
      </c>
      <c r="M192" s="159">
        <f>SUMIFS('METAS EMPRESAS'!$G$15:$G$320,'METAS EMPRESAS'!$A$15:$A$320,"CMM",'METAS EMPRESAS'!$B$15:$B$320,"VIGAS",'METAS EMPRESAS'!$C$15:$C$320,$A192-WEEKDAY($A192,2)+1)</f>
        <v/>
      </c>
      <c r="N192" s="159">
        <f>SUMIFS('METAS EMPRESAS'!$J$15:$J$320,'METAS EMPRESAS'!$A$15:$A$320,"EJ",'METAS EMPRESAS'!$B$15:$B$320,"PREMONTAGEM",'METAS EMPRESAS'!$C$15:$C$320,$A192-WEEKDAY($A192,2)+1)</f>
        <v/>
      </c>
      <c r="O192" s="159">
        <f>SUMIFS('METAS EMPRESAS'!$J$15:$J$320,'METAS EMPRESAS'!$A$15:$A$320,"EJ",'METAS EMPRESAS'!$B$15:$B$320,"IÇAMENTO JOIST",'METAS EMPRESAS'!$C$15:$C$320,$A192-WEEKDAY($A192,2)+1)</f>
        <v/>
      </c>
      <c r="P192" s="159">
        <f>SUMIFS('METAS EMPRESAS'!$J$15:$J$320,'METAS EMPRESAS'!$A$15:$A$320,"EJ",'METAS EMPRESAS'!$B$15:$B$320,"VIGAS",'METAS EMPRESAS'!$C$15:$C$320,$A192-WEEKDAY($A192,2)+1)</f>
        <v/>
      </c>
      <c r="Q192" s="159">
        <f>SUMIFS('METAS EMPRESAS'!$J$15:$J$320,'METAS EMPRESAS'!$A$15:$A$320,"CMM",'METAS EMPRESAS'!$B$15:$B$320,"PREMONTAGEM",'METAS EMPRESAS'!$C$15:$C$320,$A192-WEEKDAY($A192,2)+1)</f>
        <v/>
      </c>
      <c r="R192" s="159">
        <f>SUMIFS('METAS EMPRESAS'!$J$15:$J$320,'METAS EMPRESAS'!$A$15:$A$320,"CMM",'METAS EMPRESAS'!$B$15:$B$320,"IÇAMENTO JOIST",'METAS EMPRESAS'!$C$15:$C$320,$A192-WEEKDAY($A192,2)+1)</f>
        <v/>
      </c>
      <c r="S192" s="159">
        <f>SUMIFS('METAS EMPRESAS'!$J$15:$J$320,'METAS EMPRESAS'!$A$15:$A$320,"CMM",'METAS EMPRESAS'!$B$15:$B$320,"VIGAS",'METAS EMPRESAS'!$C$15:$C$320,$A192-WEEKDAY($A192,2)+1)</f>
        <v/>
      </c>
      <c r="T192">
        <f>--(WEEKDAY(A192,2)&lt;=5)</f>
        <v/>
      </c>
      <c r="U192" t="n">
        <v>19</v>
      </c>
      <c r="V192" t="n">
        <v>7</v>
      </c>
      <c r="W192" t="n">
        <v>0</v>
      </c>
      <c r="X192" t="n">
        <v>5</v>
      </c>
      <c r="Y192" t="n">
        <v>5</v>
      </c>
      <c r="Z192" t="n">
        <v>5</v>
      </c>
      <c r="AA192" t="n">
        <v>95</v>
      </c>
      <c r="AB192" t="n">
        <v>35</v>
      </c>
      <c r="AC192" t="n">
        <v>0</v>
      </c>
    </row>
    <row r="193">
      <c r="A193" s="317" t="n">
        <v>46414</v>
      </c>
      <c r="B193" s="159">
        <f>SUMIFS('METAS EMPRESAS'!$K$15:$K$320,'METAS EMPRESAS'!$A$15:$A$320,"EJ",'METAS EMPRESAS'!$B$15:$B$320,"PREMONTAGEM",'METAS EMPRESAS'!$C$15:$C$320,$A193-WEEKDAY($A193,2)+1)</f>
        <v/>
      </c>
      <c r="C193" s="159">
        <f>SUMIFS('METAS EMPRESAS'!$K$15:$K$320,'METAS EMPRESAS'!$A$15:$A$320,"EJ",'METAS EMPRESAS'!$B$15:$B$320,"IÇAMENTO JOIST",'METAS EMPRESAS'!$C$15:$C$320,$A193-WEEKDAY($A193,2)+1)</f>
        <v/>
      </c>
      <c r="D193" s="159">
        <f>SUMIFS('METAS EMPRESAS'!$K$15:$K$320,'METAS EMPRESAS'!$A$15:$A$320,"EJ",'METAS EMPRESAS'!$B$15:$B$320,"VIGAS",'METAS EMPRESAS'!$C$15:$C$320,$A193-WEEKDAY($A193,2)+1)</f>
        <v/>
      </c>
      <c r="E193" s="159">
        <f>SUMIFS('METAS EMPRESAS'!$K$15:$K$320,'METAS EMPRESAS'!$A$15:$A$320,"CMM",'METAS EMPRESAS'!$B$15:$B$320,"PREMONTAGEM",'METAS EMPRESAS'!$C$15:$C$320,$A193-WEEKDAY($A193,2)+1)</f>
        <v/>
      </c>
      <c r="F193" s="159">
        <f>SUMIFS('METAS EMPRESAS'!$K$15:$K$320,'METAS EMPRESAS'!$A$15:$A$320,"CMM",'METAS EMPRESAS'!$B$15:$B$320,"IÇAMENTO JOIST",'METAS EMPRESAS'!$C$15:$C$320,$A193-WEEKDAY($A193,2)+1)</f>
        <v/>
      </c>
      <c r="G193" s="159">
        <f>SUMIFS('METAS EMPRESAS'!$K$15:$K$320,'METAS EMPRESAS'!$A$15:$A$320,"CMM",'METAS EMPRESAS'!$B$15:$B$320,"VIGAS",'METAS EMPRESAS'!$C$15:$C$320,$A193-WEEKDAY($A193,2)+1)</f>
        <v/>
      </c>
      <c r="H193" s="159">
        <f>SUMIFS('METAS EMPRESAS'!$G$15:$G$320,'METAS EMPRESAS'!$A$15:$A$320,"EJ",'METAS EMPRESAS'!$B$15:$B$320,"PREMONTAGEM",'METAS EMPRESAS'!$C$15:$C$320,$A193-WEEKDAY($A193,2)+1)</f>
        <v/>
      </c>
      <c r="I193" s="159">
        <f>SUMIFS('METAS EMPRESAS'!$G$15:$G$320,'METAS EMPRESAS'!$A$15:$A$320,"EJ",'METAS EMPRESAS'!$B$15:$B$320,"IÇAMENTO JOIST",'METAS EMPRESAS'!$C$15:$C$320,$A193-WEEKDAY($A193,2)+1)</f>
        <v/>
      </c>
      <c r="J193" s="159">
        <f>SUMIFS('METAS EMPRESAS'!$G$15:$G$320,'METAS EMPRESAS'!$A$15:$A$320,"EJ",'METAS EMPRESAS'!$B$15:$B$320,"VIGAS",'METAS EMPRESAS'!$C$15:$C$320,$A193-WEEKDAY($A193,2)+1)</f>
        <v/>
      </c>
      <c r="K193" s="159">
        <f>SUMIFS('METAS EMPRESAS'!$G$15:$G$320,'METAS EMPRESAS'!$A$15:$A$320,"CMM",'METAS EMPRESAS'!$B$15:$B$320,"PREMONTAGEM",'METAS EMPRESAS'!$C$15:$C$320,$A193-WEEKDAY($A193,2)+1)</f>
        <v/>
      </c>
      <c r="L193" s="159">
        <f>SUMIFS('METAS EMPRESAS'!$G$15:$G$320,'METAS EMPRESAS'!$A$15:$A$320,"CMM",'METAS EMPRESAS'!$B$15:$B$320,"IÇAMENTO JOIST",'METAS EMPRESAS'!$C$15:$C$320,$A193-WEEKDAY($A193,2)+1)</f>
        <v/>
      </c>
      <c r="M193" s="159">
        <f>SUMIFS('METAS EMPRESAS'!$G$15:$G$320,'METAS EMPRESAS'!$A$15:$A$320,"CMM",'METAS EMPRESAS'!$B$15:$B$320,"VIGAS",'METAS EMPRESAS'!$C$15:$C$320,$A193-WEEKDAY($A193,2)+1)</f>
        <v/>
      </c>
      <c r="N193" s="159">
        <f>SUMIFS('METAS EMPRESAS'!$J$15:$J$320,'METAS EMPRESAS'!$A$15:$A$320,"EJ",'METAS EMPRESAS'!$B$15:$B$320,"PREMONTAGEM",'METAS EMPRESAS'!$C$15:$C$320,$A193-WEEKDAY($A193,2)+1)</f>
        <v/>
      </c>
      <c r="O193" s="159">
        <f>SUMIFS('METAS EMPRESAS'!$J$15:$J$320,'METAS EMPRESAS'!$A$15:$A$320,"EJ",'METAS EMPRESAS'!$B$15:$B$320,"IÇAMENTO JOIST",'METAS EMPRESAS'!$C$15:$C$320,$A193-WEEKDAY($A193,2)+1)</f>
        <v/>
      </c>
      <c r="P193" s="159">
        <f>SUMIFS('METAS EMPRESAS'!$J$15:$J$320,'METAS EMPRESAS'!$A$15:$A$320,"EJ",'METAS EMPRESAS'!$B$15:$B$320,"VIGAS",'METAS EMPRESAS'!$C$15:$C$320,$A193-WEEKDAY($A193,2)+1)</f>
        <v/>
      </c>
      <c r="Q193" s="159">
        <f>SUMIFS('METAS EMPRESAS'!$J$15:$J$320,'METAS EMPRESAS'!$A$15:$A$320,"CMM",'METAS EMPRESAS'!$B$15:$B$320,"PREMONTAGEM",'METAS EMPRESAS'!$C$15:$C$320,$A193-WEEKDAY($A193,2)+1)</f>
        <v/>
      </c>
      <c r="R193" s="159">
        <f>SUMIFS('METAS EMPRESAS'!$J$15:$J$320,'METAS EMPRESAS'!$A$15:$A$320,"CMM",'METAS EMPRESAS'!$B$15:$B$320,"IÇAMENTO JOIST",'METAS EMPRESAS'!$C$15:$C$320,$A193-WEEKDAY($A193,2)+1)</f>
        <v/>
      </c>
      <c r="S193" s="159">
        <f>SUMIFS('METAS EMPRESAS'!$J$15:$J$320,'METAS EMPRESAS'!$A$15:$A$320,"CMM",'METAS EMPRESAS'!$B$15:$B$320,"VIGAS",'METAS EMPRESAS'!$C$15:$C$320,$A193-WEEKDAY($A193,2)+1)</f>
        <v/>
      </c>
      <c r="T193">
        <f>--(WEEKDAY(A193,2)&lt;=5)</f>
        <v/>
      </c>
      <c r="U193" t="n">
        <v>19</v>
      </c>
      <c r="V193" t="n">
        <v>7</v>
      </c>
      <c r="W193" t="n">
        <v>0</v>
      </c>
      <c r="X193" t="n">
        <v>5</v>
      </c>
      <c r="Y193" t="n">
        <v>5</v>
      </c>
      <c r="Z193" t="n">
        <v>5</v>
      </c>
      <c r="AA193" t="n">
        <v>95</v>
      </c>
      <c r="AB193" t="n">
        <v>35</v>
      </c>
      <c r="AC193" t="n">
        <v>0</v>
      </c>
    </row>
    <row r="194">
      <c r="A194" s="317" t="n">
        <v>46415</v>
      </c>
      <c r="B194" s="159">
        <f>SUMIFS('METAS EMPRESAS'!$K$15:$K$320,'METAS EMPRESAS'!$A$15:$A$320,"EJ",'METAS EMPRESAS'!$B$15:$B$320,"PREMONTAGEM",'METAS EMPRESAS'!$C$15:$C$320,$A194-WEEKDAY($A194,2)+1)</f>
        <v/>
      </c>
      <c r="C194" s="159">
        <f>SUMIFS('METAS EMPRESAS'!$K$15:$K$320,'METAS EMPRESAS'!$A$15:$A$320,"EJ",'METAS EMPRESAS'!$B$15:$B$320,"IÇAMENTO JOIST",'METAS EMPRESAS'!$C$15:$C$320,$A194-WEEKDAY($A194,2)+1)</f>
        <v/>
      </c>
      <c r="D194" s="159">
        <f>SUMIFS('METAS EMPRESAS'!$K$15:$K$320,'METAS EMPRESAS'!$A$15:$A$320,"EJ",'METAS EMPRESAS'!$B$15:$B$320,"VIGAS",'METAS EMPRESAS'!$C$15:$C$320,$A194-WEEKDAY($A194,2)+1)</f>
        <v/>
      </c>
      <c r="E194" s="159">
        <f>SUMIFS('METAS EMPRESAS'!$K$15:$K$320,'METAS EMPRESAS'!$A$15:$A$320,"CMM",'METAS EMPRESAS'!$B$15:$B$320,"PREMONTAGEM",'METAS EMPRESAS'!$C$15:$C$320,$A194-WEEKDAY($A194,2)+1)</f>
        <v/>
      </c>
      <c r="F194" s="159">
        <f>SUMIFS('METAS EMPRESAS'!$K$15:$K$320,'METAS EMPRESAS'!$A$15:$A$320,"CMM",'METAS EMPRESAS'!$B$15:$B$320,"IÇAMENTO JOIST",'METAS EMPRESAS'!$C$15:$C$320,$A194-WEEKDAY($A194,2)+1)</f>
        <v/>
      </c>
      <c r="G194" s="159">
        <f>SUMIFS('METAS EMPRESAS'!$K$15:$K$320,'METAS EMPRESAS'!$A$15:$A$320,"CMM",'METAS EMPRESAS'!$B$15:$B$320,"VIGAS",'METAS EMPRESAS'!$C$15:$C$320,$A194-WEEKDAY($A194,2)+1)</f>
        <v/>
      </c>
      <c r="H194" s="159">
        <f>SUMIFS('METAS EMPRESAS'!$G$15:$G$320,'METAS EMPRESAS'!$A$15:$A$320,"EJ",'METAS EMPRESAS'!$B$15:$B$320,"PREMONTAGEM",'METAS EMPRESAS'!$C$15:$C$320,$A194-WEEKDAY($A194,2)+1)</f>
        <v/>
      </c>
      <c r="I194" s="159">
        <f>SUMIFS('METAS EMPRESAS'!$G$15:$G$320,'METAS EMPRESAS'!$A$15:$A$320,"EJ",'METAS EMPRESAS'!$B$15:$B$320,"IÇAMENTO JOIST",'METAS EMPRESAS'!$C$15:$C$320,$A194-WEEKDAY($A194,2)+1)</f>
        <v/>
      </c>
      <c r="J194" s="159">
        <f>SUMIFS('METAS EMPRESAS'!$G$15:$G$320,'METAS EMPRESAS'!$A$15:$A$320,"EJ",'METAS EMPRESAS'!$B$15:$B$320,"VIGAS",'METAS EMPRESAS'!$C$15:$C$320,$A194-WEEKDAY($A194,2)+1)</f>
        <v/>
      </c>
      <c r="K194" s="159">
        <f>SUMIFS('METAS EMPRESAS'!$G$15:$G$320,'METAS EMPRESAS'!$A$15:$A$320,"CMM",'METAS EMPRESAS'!$B$15:$B$320,"PREMONTAGEM",'METAS EMPRESAS'!$C$15:$C$320,$A194-WEEKDAY($A194,2)+1)</f>
        <v/>
      </c>
      <c r="L194" s="159">
        <f>SUMIFS('METAS EMPRESAS'!$G$15:$G$320,'METAS EMPRESAS'!$A$15:$A$320,"CMM",'METAS EMPRESAS'!$B$15:$B$320,"IÇAMENTO JOIST",'METAS EMPRESAS'!$C$15:$C$320,$A194-WEEKDAY($A194,2)+1)</f>
        <v/>
      </c>
      <c r="M194" s="159">
        <f>SUMIFS('METAS EMPRESAS'!$G$15:$G$320,'METAS EMPRESAS'!$A$15:$A$320,"CMM",'METAS EMPRESAS'!$B$15:$B$320,"VIGAS",'METAS EMPRESAS'!$C$15:$C$320,$A194-WEEKDAY($A194,2)+1)</f>
        <v/>
      </c>
      <c r="N194" s="159">
        <f>SUMIFS('METAS EMPRESAS'!$J$15:$J$320,'METAS EMPRESAS'!$A$15:$A$320,"EJ",'METAS EMPRESAS'!$B$15:$B$320,"PREMONTAGEM",'METAS EMPRESAS'!$C$15:$C$320,$A194-WEEKDAY($A194,2)+1)</f>
        <v/>
      </c>
      <c r="O194" s="159">
        <f>SUMIFS('METAS EMPRESAS'!$J$15:$J$320,'METAS EMPRESAS'!$A$15:$A$320,"EJ",'METAS EMPRESAS'!$B$15:$B$320,"IÇAMENTO JOIST",'METAS EMPRESAS'!$C$15:$C$320,$A194-WEEKDAY($A194,2)+1)</f>
        <v/>
      </c>
      <c r="P194" s="159">
        <f>SUMIFS('METAS EMPRESAS'!$J$15:$J$320,'METAS EMPRESAS'!$A$15:$A$320,"EJ",'METAS EMPRESAS'!$B$15:$B$320,"VIGAS",'METAS EMPRESAS'!$C$15:$C$320,$A194-WEEKDAY($A194,2)+1)</f>
        <v/>
      </c>
      <c r="Q194" s="159">
        <f>SUMIFS('METAS EMPRESAS'!$J$15:$J$320,'METAS EMPRESAS'!$A$15:$A$320,"CMM",'METAS EMPRESAS'!$B$15:$B$320,"PREMONTAGEM",'METAS EMPRESAS'!$C$15:$C$320,$A194-WEEKDAY($A194,2)+1)</f>
        <v/>
      </c>
      <c r="R194" s="159">
        <f>SUMIFS('METAS EMPRESAS'!$J$15:$J$320,'METAS EMPRESAS'!$A$15:$A$320,"CMM",'METAS EMPRESAS'!$B$15:$B$320,"IÇAMENTO JOIST",'METAS EMPRESAS'!$C$15:$C$320,$A194-WEEKDAY($A194,2)+1)</f>
        <v/>
      </c>
      <c r="S194" s="159">
        <f>SUMIFS('METAS EMPRESAS'!$J$15:$J$320,'METAS EMPRESAS'!$A$15:$A$320,"CMM",'METAS EMPRESAS'!$B$15:$B$320,"VIGAS",'METAS EMPRESAS'!$C$15:$C$320,$A194-WEEKDAY($A194,2)+1)</f>
        <v/>
      </c>
      <c r="T194">
        <f>--(WEEKDAY(A194,2)&lt;=5)</f>
        <v/>
      </c>
      <c r="U194" t="n">
        <v>19</v>
      </c>
      <c r="V194" t="n">
        <v>7</v>
      </c>
      <c r="W194" t="n">
        <v>0</v>
      </c>
      <c r="X194" t="n">
        <v>5</v>
      </c>
      <c r="Y194" t="n">
        <v>5</v>
      </c>
      <c r="Z194" t="n">
        <v>5</v>
      </c>
      <c r="AA194" t="n">
        <v>95</v>
      </c>
      <c r="AB194" t="n">
        <v>35</v>
      </c>
      <c r="AC194" t="n">
        <v>0</v>
      </c>
    </row>
    <row r="195">
      <c r="A195" s="317" t="n">
        <v>46416</v>
      </c>
      <c r="B195" s="159">
        <f>SUMIFS('METAS EMPRESAS'!$K$15:$K$320,'METAS EMPRESAS'!$A$15:$A$320,"EJ",'METAS EMPRESAS'!$B$15:$B$320,"PREMONTAGEM",'METAS EMPRESAS'!$C$15:$C$320,$A195-WEEKDAY($A195,2)+1)</f>
        <v/>
      </c>
      <c r="C195" s="159">
        <f>SUMIFS('METAS EMPRESAS'!$K$15:$K$320,'METAS EMPRESAS'!$A$15:$A$320,"EJ",'METAS EMPRESAS'!$B$15:$B$320,"IÇAMENTO JOIST",'METAS EMPRESAS'!$C$15:$C$320,$A195-WEEKDAY($A195,2)+1)</f>
        <v/>
      </c>
      <c r="D195" s="159">
        <f>SUMIFS('METAS EMPRESAS'!$K$15:$K$320,'METAS EMPRESAS'!$A$15:$A$320,"EJ",'METAS EMPRESAS'!$B$15:$B$320,"VIGAS",'METAS EMPRESAS'!$C$15:$C$320,$A195-WEEKDAY($A195,2)+1)</f>
        <v/>
      </c>
      <c r="E195" s="159">
        <f>SUMIFS('METAS EMPRESAS'!$K$15:$K$320,'METAS EMPRESAS'!$A$15:$A$320,"CMM",'METAS EMPRESAS'!$B$15:$B$320,"PREMONTAGEM",'METAS EMPRESAS'!$C$15:$C$320,$A195-WEEKDAY($A195,2)+1)</f>
        <v/>
      </c>
      <c r="F195" s="159">
        <f>SUMIFS('METAS EMPRESAS'!$K$15:$K$320,'METAS EMPRESAS'!$A$15:$A$320,"CMM",'METAS EMPRESAS'!$B$15:$B$320,"IÇAMENTO JOIST",'METAS EMPRESAS'!$C$15:$C$320,$A195-WEEKDAY($A195,2)+1)</f>
        <v/>
      </c>
      <c r="G195" s="159">
        <f>SUMIFS('METAS EMPRESAS'!$K$15:$K$320,'METAS EMPRESAS'!$A$15:$A$320,"CMM",'METAS EMPRESAS'!$B$15:$B$320,"VIGAS",'METAS EMPRESAS'!$C$15:$C$320,$A195-WEEKDAY($A195,2)+1)</f>
        <v/>
      </c>
      <c r="H195" s="159">
        <f>SUMIFS('METAS EMPRESAS'!$G$15:$G$320,'METAS EMPRESAS'!$A$15:$A$320,"EJ",'METAS EMPRESAS'!$B$15:$B$320,"PREMONTAGEM",'METAS EMPRESAS'!$C$15:$C$320,$A195-WEEKDAY($A195,2)+1)</f>
        <v/>
      </c>
      <c r="I195" s="159">
        <f>SUMIFS('METAS EMPRESAS'!$G$15:$G$320,'METAS EMPRESAS'!$A$15:$A$320,"EJ",'METAS EMPRESAS'!$B$15:$B$320,"IÇAMENTO JOIST",'METAS EMPRESAS'!$C$15:$C$320,$A195-WEEKDAY($A195,2)+1)</f>
        <v/>
      </c>
      <c r="J195" s="159">
        <f>SUMIFS('METAS EMPRESAS'!$G$15:$G$320,'METAS EMPRESAS'!$A$15:$A$320,"EJ",'METAS EMPRESAS'!$B$15:$B$320,"VIGAS",'METAS EMPRESAS'!$C$15:$C$320,$A195-WEEKDAY($A195,2)+1)</f>
        <v/>
      </c>
      <c r="K195" s="159">
        <f>SUMIFS('METAS EMPRESAS'!$G$15:$G$320,'METAS EMPRESAS'!$A$15:$A$320,"CMM",'METAS EMPRESAS'!$B$15:$B$320,"PREMONTAGEM",'METAS EMPRESAS'!$C$15:$C$320,$A195-WEEKDAY($A195,2)+1)</f>
        <v/>
      </c>
      <c r="L195" s="159">
        <f>SUMIFS('METAS EMPRESAS'!$G$15:$G$320,'METAS EMPRESAS'!$A$15:$A$320,"CMM",'METAS EMPRESAS'!$B$15:$B$320,"IÇAMENTO JOIST",'METAS EMPRESAS'!$C$15:$C$320,$A195-WEEKDAY($A195,2)+1)</f>
        <v/>
      </c>
      <c r="M195" s="159">
        <f>SUMIFS('METAS EMPRESAS'!$G$15:$G$320,'METAS EMPRESAS'!$A$15:$A$320,"CMM",'METAS EMPRESAS'!$B$15:$B$320,"VIGAS",'METAS EMPRESAS'!$C$15:$C$320,$A195-WEEKDAY($A195,2)+1)</f>
        <v/>
      </c>
      <c r="N195" s="159">
        <f>SUMIFS('METAS EMPRESAS'!$J$15:$J$320,'METAS EMPRESAS'!$A$15:$A$320,"EJ",'METAS EMPRESAS'!$B$15:$B$320,"PREMONTAGEM",'METAS EMPRESAS'!$C$15:$C$320,$A195-WEEKDAY($A195,2)+1)</f>
        <v/>
      </c>
      <c r="O195" s="159">
        <f>SUMIFS('METAS EMPRESAS'!$J$15:$J$320,'METAS EMPRESAS'!$A$15:$A$320,"EJ",'METAS EMPRESAS'!$B$15:$B$320,"IÇAMENTO JOIST",'METAS EMPRESAS'!$C$15:$C$320,$A195-WEEKDAY($A195,2)+1)</f>
        <v/>
      </c>
      <c r="P195" s="159">
        <f>SUMIFS('METAS EMPRESAS'!$J$15:$J$320,'METAS EMPRESAS'!$A$15:$A$320,"EJ",'METAS EMPRESAS'!$B$15:$B$320,"VIGAS",'METAS EMPRESAS'!$C$15:$C$320,$A195-WEEKDAY($A195,2)+1)</f>
        <v/>
      </c>
      <c r="Q195" s="159">
        <f>SUMIFS('METAS EMPRESAS'!$J$15:$J$320,'METAS EMPRESAS'!$A$15:$A$320,"CMM",'METAS EMPRESAS'!$B$15:$B$320,"PREMONTAGEM",'METAS EMPRESAS'!$C$15:$C$320,$A195-WEEKDAY($A195,2)+1)</f>
        <v/>
      </c>
      <c r="R195" s="159">
        <f>SUMIFS('METAS EMPRESAS'!$J$15:$J$320,'METAS EMPRESAS'!$A$15:$A$320,"CMM",'METAS EMPRESAS'!$B$15:$B$320,"IÇAMENTO JOIST",'METAS EMPRESAS'!$C$15:$C$320,$A195-WEEKDAY($A195,2)+1)</f>
        <v/>
      </c>
      <c r="S195" s="159">
        <f>SUMIFS('METAS EMPRESAS'!$J$15:$J$320,'METAS EMPRESAS'!$A$15:$A$320,"CMM",'METAS EMPRESAS'!$B$15:$B$320,"VIGAS",'METAS EMPRESAS'!$C$15:$C$320,$A195-WEEKDAY($A195,2)+1)</f>
        <v/>
      </c>
      <c r="T195">
        <f>--(WEEKDAY(A195,2)&lt;=5)</f>
        <v/>
      </c>
      <c r="U195" t="n">
        <v>19</v>
      </c>
      <c r="V195" t="n">
        <v>7</v>
      </c>
      <c r="W195" t="n">
        <v>0</v>
      </c>
      <c r="X195" t="n">
        <v>5</v>
      </c>
      <c r="Y195" t="n">
        <v>5</v>
      </c>
      <c r="Z195" t="n">
        <v>5</v>
      </c>
      <c r="AA195" t="n">
        <v>95</v>
      </c>
      <c r="AB195" t="n">
        <v>35</v>
      </c>
      <c r="AC195" t="n">
        <v>0</v>
      </c>
    </row>
    <row r="196">
      <c r="A196" s="317" t="n">
        <v>46417</v>
      </c>
      <c r="B196" s="159">
        <f>SUMIFS('METAS EMPRESAS'!$K$15:$K$320,'METAS EMPRESAS'!$A$15:$A$320,"EJ",'METAS EMPRESAS'!$B$15:$B$320,"PREMONTAGEM",'METAS EMPRESAS'!$C$15:$C$320,$A196-WEEKDAY($A196,2)+1)</f>
        <v/>
      </c>
      <c r="C196" s="159">
        <f>SUMIFS('METAS EMPRESAS'!$K$15:$K$320,'METAS EMPRESAS'!$A$15:$A$320,"EJ",'METAS EMPRESAS'!$B$15:$B$320,"IÇAMENTO JOIST",'METAS EMPRESAS'!$C$15:$C$320,$A196-WEEKDAY($A196,2)+1)</f>
        <v/>
      </c>
      <c r="D196" s="159">
        <f>SUMIFS('METAS EMPRESAS'!$K$15:$K$320,'METAS EMPRESAS'!$A$15:$A$320,"EJ",'METAS EMPRESAS'!$B$15:$B$320,"VIGAS",'METAS EMPRESAS'!$C$15:$C$320,$A196-WEEKDAY($A196,2)+1)</f>
        <v/>
      </c>
      <c r="E196" s="159">
        <f>SUMIFS('METAS EMPRESAS'!$K$15:$K$320,'METAS EMPRESAS'!$A$15:$A$320,"CMM",'METAS EMPRESAS'!$B$15:$B$320,"PREMONTAGEM",'METAS EMPRESAS'!$C$15:$C$320,$A196-WEEKDAY($A196,2)+1)</f>
        <v/>
      </c>
      <c r="F196" s="159">
        <f>SUMIFS('METAS EMPRESAS'!$K$15:$K$320,'METAS EMPRESAS'!$A$15:$A$320,"CMM",'METAS EMPRESAS'!$B$15:$B$320,"IÇAMENTO JOIST",'METAS EMPRESAS'!$C$15:$C$320,$A196-WEEKDAY($A196,2)+1)</f>
        <v/>
      </c>
      <c r="G196" s="159">
        <f>SUMIFS('METAS EMPRESAS'!$K$15:$K$320,'METAS EMPRESAS'!$A$15:$A$320,"CMM",'METAS EMPRESAS'!$B$15:$B$320,"VIGAS",'METAS EMPRESAS'!$C$15:$C$320,$A196-WEEKDAY($A196,2)+1)</f>
        <v/>
      </c>
      <c r="H196" s="159">
        <f>SUMIFS('METAS EMPRESAS'!$G$15:$G$320,'METAS EMPRESAS'!$A$15:$A$320,"EJ",'METAS EMPRESAS'!$B$15:$B$320,"PREMONTAGEM",'METAS EMPRESAS'!$C$15:$C$320,$A196-WEEKDAY($A196,2)+1)</f>
        <v/>
      </c>
      <c r="I196" s="159">
        <f>SUMIFS('METAS EMPRESAS'!$G$15:$G$320,'METAS EMPRESAS'!$A$15:$A$320,"EJ",'METAS EMPRESAS'!$B$15:$B$320,"IÇAMENTO JOIST",'METAS EMPRESAS'!$C$15:$C$320,$A196-WEEKDAY($A196,2)+1)</f>
        <v/>
      </c>
      <c r="J196" s="159">
        <f>SUMIFS('METAS EMPRESAS'!$G$15:$G$320,'METAS EMPRESAS'!$A$15:$A$320,"EJ",'METAS EMPRESAS'!$B$15:$B$320,"VIGAS",'METAS EMPRESAS'!$C$15:$C$320,$A196-WEEKDAY($A196,2)+1)</f>
        <v/>
      </c>
      <c r="K196" s="159">
        <f>SUMIFS('METAS EMPRESAS'!$G$15:$G$320,'METAS EMPRESAS'!$A$15:$A$320,"CMM",'METAS EMPRESAS'!$B$15:$B$320,"PREMONTAGEM",'METAS EMPRESAS'!$C$15:$C$320,$A196-WEEKDAY($A196,2)+1)</f>
        <v/>
      </c>
      <c r="L196" s="159">
        <f>SUMIFS('METAS EMPRESAS'!$G$15:$G$320,'METAS EMPRESAS'!$A$15:$A$320,"CMM",'METAS EMPRESAS'!$B$15:$B$320,"IÇAMENTO JOIST",'METAS EMPRESAS'!$C$15:$C$320,$A196-WEEKDAY($A196,2)+1)</f>
        <v/>
      </c>
      <c r="M196" s="159">
        <f>SUMIFS('METAS EMPRESAS'!$G$15:$G$320,'METAS EMPRESAS'!$A$15:$A$320,"CMM",'METAS EMPRESAS'!$B$15:$B$320,"VIGAS",'METAS EMPRESAS'!$C$15:$C$320,$A196-WEEKDAY($A196,2)+1)</f>
        <v/>
      </c>
      <c r="N196" s="159">
        <f>SUMIFS('METAS EMPRESAS'!$J$15:$J$320,'METAS EMPRESAS'!$A$15:$A$320,"EJ",'METAS EMPRESAS'!$B$15:$B$320,"PREMONTAGEM",'METAS EMPRESAS'!$C$15:$C$320,$A196-WEEKDAY($A196,2)+1)</f>
        <v/>
      </c>
      <c r="O196" s="159">
        <f>SUMIFS('METAS EMPRESAS'!$J$15:$J$320,'METAS EMPRESAS'!$A$15:$A$320,"EJ",'METAS EMPRESAS'!$B$15:$B$320,"IÇAMENTO JOIST",'METAS EMPRESAS'!$C$15:$C$320,$A196-WEEKDAY($A196,2)+1)</f>
        <v/>
      </c>
      <c r="P196" s="159">
        <f>SUMIFS('METAS EMPRESAS'!$J$15:$J$320,'METAS EMPRESAS'!$A$15:$A$320,"EJ",'METAS EMPRESAS'!$B$15:$B$320,"VIGAS",'METAS EMPRESAS'!$C$15:$C$320,$A196-WEEKDAY($A196,2)+1)</f>
        <v/>
      </c>
      <c r="Q196" s="159">
        <f>SUMIFS('METAS EMPRESAS'!$J$15:$J$320,'METAS EMPRESAS'!$A$15:$A$320,"CMM",'METAS EMPRESAS'!$B$15:$B$320,"PREMONTAGEM",'METAS EMPRESAS'!$C$15:$C$320,$A196-WEEKDAY($A196,2)+1)</f>
        <v/>
      </c>
      <c r="R196" s="159">
        <f>SUMIFS('METAS EMPRESAS'!$J$15:$J$320,'METAS EMPRESAS'!$A$15:$A$320,"CMM",'METAS EMPRESAS'!$B$15:$B$320,"IÇAMENTO JOIST",'METAS EMPRESAS'!$C$15:$C$320,$A196-WEEKDAY($A196,2)+1)</f>
        <v/>
      </c>
      <c r="S196" s="159">
        <f>SUMIFS('METAS EMPRESAS'!$J$15:$J$320,'METAS EMPRESAS'!$A$15:$A$320,"CMM",'METAS EMPRESAS'!$B$15:$B$320,"VIGAS",'METAS EMPRESAS'!$C$15:$C$320,$A196-WEEKDAY($A196,2)+1)</f>
        <v/>
      </c>
      <c r="T196">
        <f>--(WEEKDAY(A196,2)&lt;=5)</f>
        <v/>
      </c>
      <c r="U196" t="n">
        <v>19</v>
      </c>
      <c r="V196" t="n">
        <v>7</v>
      </c>
      <c r="W196" t="n">
        <v>0</v>
      </c>
      <c r="X196" t="n">
        <v>5</v>
      </c>
      <c r="Y196" t="n">
        <v>5</v>
      </c>
      <c r="Z196" t="n">
        <v>5</v>
      </c>
      <c r="AA196" t="n">
        <v>95</v>
      </c>
      <c r="AB196" t="n">
        <v>35</v>
      </c>
      <c r="AC196" t="n">
        <v>0</v>
      </c>
    </row>
    <row r="197">
      <c r="A197" s="317" t="n">
        <v>46418</v>
      </c>
      <c r="B197" s="159">
        <f>SUMIFS('METAS EMPRESAS'!$K$15:$K$320,'METAS EMPRESAS'!$A$15:$A$320,"EJ",'METAS EMPRESAS'!$B$15:$B$320,"PREMONTAGEM",'METAS EMPRESAS'!$C$15:$C$320,$A197-WEEKDAY($A197,2)+1)</f>
        <v/>
      </c>
      <c r="C197" s="159">
        <f>SUMIFS('METAS EMPRESAS'!$K$15:$K$320,'METAS EMPRESAS'!$A$15:$A$320,"EJ",'METAS EMPRESAS'!$B$15:$B$320,"IÇAMENTO JOIST",'METAS EMPRESAS'!$C$15:$C$320,$A197-WEEKDAY($A197,2)+1)</f>
        <v/>
      </c>
      <c r="D197" s="159">
        <f>SUMIFS('METAS EMPRESAS'!$K$15:$K$320,'METAS EMPRESAS'!$A$15:$A$320,"EJ",'METAS EMPRESAS'!$B$15:$B$320,"VIGAS",'METAS EMPRESAS'!$C$15:$C$320,$A197-WEEKDAY($A197,2)+1)</f>
        <v/>
      </c>
      <c r="E197" s="159">
        <f>SUMIFS('METAS EMPRESAS'!$K$15:$K$320,'METAS EMPRESAS'!$A$15:$A$320,"CMM",'METAS EMPRESAS'!$B$15:$B$320,"PREMONTAGEM",'METAS EMPRESAS'!$C$15:$C$320,$A197-WEEKDAY($A197,2)+1)</f>
        <v/>
      </c>
      <c r="F197" s="159">
        <f>SUMIFS('METAS EMPRESAS'!$K$15:$K$320,'METAS EMPRESAS'!$A$15:$A$320,"CMM",'METAS EMPRESAS'!$B$15:$B$320,"IÇAMENTO JOIST",'METAS EMPRESAS'!$C$15:$C$320,$A197-WEEKDAY($A197,2)+1)</f>
        <v/>
      </c>
      <c r="G197" s="159">
        <f>SUMIFS('METAS EMPRESAS'!$K$15:$K$320,'METAS EMPRESAS'!$A$15:$A$320,"CMM",'METAS EMPRESAS'!$B$15:$B$320,"VIGAS",'METAS EMPRESAS'!$C$15:$C$320,$A197-WEEKDAY($A197,2)+1)</f>
        <v/>
      </c>
      <c r="H197" s="159">
        <f>SUMIFS('METAS EMPRESAS'!$G$15:$G$320,'METAS EMPRESAS'!$A$15:$A$320,"EJ",'METAS EMPRESAS'!$B$15:$B$320,"PREMONTAGEM",'METAS EMPRESAS'!$C$15:$C$320,$A197-WEEKDAY($A197,2)+1)</f>
        <v/>
      </c>
      <c r="I197" s="159">
        <f>SUMIFS('METAS EMPRESAS'!$G$15:$G$320,'METAS EMPRESAS'!$A$15:$A$320,"EJ",'METAS EMPRESAS'!$B$15:$B$320,"IÇAMENTO JOIST",'METAS EMPRESAS'!$C$15:$C$320,$A197-WEEKDAY($A197,2)+1)</f>
        <v/>
      </c>
      <c r="J197" s="159">
        <f>SUMIFS('METAS EMPRESAS'!$G$15:$G$320,'METAS EMPRESAS'!$A$15:$A$320,"EJ",'METAS EMPRESAS'!$B$15:$B$320,"VIGAS",'METAS EMPRESAS'!$C$15:$C$320,$A197-WEEKDAY($A197,2)+1)</f>
        <v/>
      </c>
      <c r="K197" s="159">
        <f>SUMIFS('METAS EMPRESAS'!$G$15:$G$320,'METAS EMPRESAS'!$A$15:$A$320,"CMM",'METAS EMPRESAS'!$B$15:$B$320,"PREMONTAGEM",'METAS EMPRESAS'!$C$15:$C$320,$A197-WEEKDAY($A197,2)+1)</f>
        <v/>
      </c>
      <c r="L197" s="159">
        <f>SUMIFS('METAS EMPRESAS'!$G$15:$G$320,'METAS EMPRESAS'!$A$15:$A$320,"CMM",'METAS EMPRESAS'!$B$15:$B$320,"IÇAMENTO JOIST",'METAS EMPRESAS'!$C$15:$C$320,$A197-WEEKDAY($A197,2)+1)</f>
        <v/>
      </c>
      <c r="M197" s="159">
        <f>SUMIFS('METAS EMPRESAS'!$G$15:$G$320,'METAS EMPRESAS'!$A$15:$A$320,"CMM",'METAS EMPRESAS'!$B$15:$B$320,"VIGAS",'METAS EMPRESAS'!$C$15:$C$320,$A197-WEEKDAY($A197,2)+1)</f>
        <v/>
      </c>
      <c r="N197" s="159">
        <f>SUMIFS('METAS EMPRESAS'!$J$15:$J$320,'METAS EMPRESAS'!$A$15:$A$320,"EJ",'METAS EMPRESAS'!$B$15:$B$320,"PREMONTAGEM",'METAS EMPRESAS'!$C$15:$C$320,$A197-WEEKDAY($A197,2)+1)</f>
        <v/>
      </c>
      <c r="O197" s="159">
        <f>SUMIFS('METAS EMPRESAS'!$J$15:$J$320,'METAS EMPRESAS'!$A$15:$A$320,"EJ",'METAS EMPRESAS'!$B$15:$B$320,"IÇAMENTO JOIST",'METAS EMPRESAS'!$C$15:$C$320,$A197-WEEKDAY($A197,2)+1)</f>
        <v/>
      </c>
      <c r="P197" s="159">
        <f>SUMIFS('METAS EMPRESAS'!$J$15:$J$320,'METAS EMPRESAS'!$A$15:$A$320,"EJ",'METAS EMPRESAS'!$B$15:$B$320,"VIGAS",'METAS EMPRESAS'!$C$15:$C$320,$A197-WEEKDAY($A197,2)+1)</f>
        <v/>
      </c>
      <c r="Q197" s="159">
        <f>SUMIFS('METAS EMPRESAS'!$J$15:$J$320,'METAS EMPRESAS'!$A$15:$A$320,"CMM",'METAS EMPRESAS'!$B$15:$B$320,"PREMONTAGEM",'METAS EMPRESAS'!$C$15:$C$320,$A197-WEEKDAY($A197,2)+1)</f>
        <v/>
      </c>
      <c r="R197" s="159">
        <f>SUMIFS('METAS EMPRESAS'!$J$15:$J$320,'METAS EMPRESAS'!$A$15:$A$320,"CMM",'METAS EMPRESAS'!$B$15:$B$320,"IÇAMENTO JOIST",'METAS EMPRESAS'!$C$15:$C$320,$A197-WEEKDAY($A197,2)+1)</f>
        <v/>
      </c>
      <c r="S197" s="159">
        <f>SUMIFS('METAS EMPRESAS'!$J$15:$J$320,'METAS EMPRESAS'!$A$15:$A$320,"CMM",'METAS EMPRESAS'!$B$15:$B$320,"VIGAS",'METAS EMPRESAS'!$C$15:$C$320,$A197-WEEKDAY($A197,2)+1)</f>
        <v/>
      </c>
      <c r="T197">
        <f>--(WEEKDAY(A197,2)&lt;=5)</f>
        <v/>
      </c>
      <c r="U197" t="n">
        <v>19</v>
      </c>
      <c r="V197" t="n">
        <v>7</v>
      </c>
      <c r="W197" t="n">
        <v>0</v>
      </c>
      <c r="X197" t="n">
        <v>5</v>
      </c>
      <c r="Y197" t="n">
        <v>5</v>
      </c>
      <c r="Z197" t="n">
        <v>5</v>
      </c>
      <c r="AA197" t="n">
        <v>95</v>
      </c>
      <c r="AB197" t="n">
        <v>35</v>
      </c>
      <c r="AC197" t="n">
        <v>0</v>
      </c>
    </row>
    <row r="198">
      <c r="A198" s="317" t="n">
        <v>46419</v>
      </c>
      <c r="B198" s="159">
        <f>SUMIFS('METAS EMPRESAS'!$K$15:$K$320,'METAS EMPRESAS'!$A$15:$A$320,"EJ",'METAS EMPRESAS'!$B$15:$B$320,"PREMONTAGEM",'METAS EMPRESAS'!$C$15:$C$320,$A198-WEEKDAY($A198,2)+1)</f>
        <v/>
      </c>
      <c r="C198" s="159">
        <f>SUMIFS('METAS EMPRESAS'!$K$15:$K$320,'METAS EMPRESAS'!$A$15:$A$320,"EJ",'METAS EMPRESAS'!$B$15:$B$320,"IÇAMENTO JOIST",'METAS EMPRESAS'!$C$15:$C$320,$A198-WEEKDAY($A198,2)+1)</f>
        <v/>
      </c>
      <c r="D198" s="159">
        <f>SUMIFS('METAS EMPRESAS'!$K$15:$K$320,'METAS EMPRESAS'!$A$15:$A$320,"EJ",'METAS EMPRESAS'!$B$15:$B$320,"VIGAS",'METAS EMPRESAS'!$C$15:$C$320,$A198-WEEKDAY($A198,2)+1)</f>
        <v/>
      </c>
      <c r="E198" s="159">
        <f>SUMIFS('METAS EMPRESAS'!$K$15:$K$320,'METAS EMPRESAS'!$A$15:$A$320,"CMM",'METAS EMPRESAS'!$B$15:$B$320,"PREMONTAGEM",'METAS EMPRESAS'!$C$15:$C$320,$A198-WEEKDAY($A198,2)+1)</f>
        <v/>
      </c>
      <c r="F198" s="159">
        <f>SUMIFS('METAS EMPRESAS'!$K$15:$K$320,'METAS EMPRESAS'!$A$15:$A$320,"CMM",'METAS EMPRESAS'!$B$15:$B$320,"IÇAMENTO JOIST",'METAS EMPRESAS'!$C$15:$C$320,$A198-WEEKDAY($A198,2)+1)</f>
        <v/>
      </c>
      <c r="G198" s="159">
        <f>SUMIFS('METAS EMPRESAS'!$K$15:$K$320,'METAS EMPRESAS'!$A$15:$A$320,"CMM",'METAS EMPRESAS'!$B$15:$B$320,"VIGAS",'METAS EMPRESAS'!$C$15:$C$320,$A198-WEEKDAY($A198,2)+1)</f>
        <v/>
      </c>
      <c r="H198" s="159">
        <f>SUMIFS('METAS EMPRESAS'!$G$15:$G$320,'METAS EMPRESAS'!$A$15:$A$320,"EJ",'METAS EMPRESAS'!$B$15:$B$320,"PREMONTAGEM",'METAS EMPRESAS'!$C$15:$C$320,$A198-WEEKDAY($A198,2)+1)</f>
        <v/>
      </c>
      <c r="I198" s="159">
        <f>SUMIFS('METAS EMPRESAS'!$G$15:$G$320,'METAS EMPRESAS'!$A$15:$A$320,"EJ",'METAS EMPRESAS'!$B$15:$B$320,"IÇAMENTO JOIST",'METAS EMPRESAS'!$C$15:$C$320,$A198-WEEKDAY($A198,2)+1)</f>
        <v/>
      </c>
      <c r="J198" s="159">
        <f>SUMIFS('METAS EMPRESAS'!$G$15:$G$320,'METAS EMPRESAS'!$A$15:$A$320,"EJ",'METAS EMPRESAS'!$B$15:$B$320,"VIGAS",'METAS EMPRESAS'!$C$15:$C$320,$A198-WEEKDAY($A198,2)+1)</f>
        <v/>
      </c>
      <c r="K198" s="159">
        <f>SUMIFS('METAS EMPRESAS'!$G$15:$G$320,'METAS EMPRESAS'!$A$15:$A$320,"CMM",'METAS EMPRESAS'!$B$15:$B$320,"PREMONTAGEM",'METAS EMPRESAS'!$C$15:$C$320,$A198-WEEKDAY($A198,2)+1)</f>
        <v/>
      </c>
      <c r="L198" s="159">
        <f>SUMIFS('METAS EMPRESAS'!$G$15:$G$320,'METAS EMPRESAS'!$A$15:$A$320,"CMM",'METAS EMPRESAS'!$B$15:$B$320,"IÇAMENTO JOIST",'METAS EMPRESAS'!$C$15:$C$320,$A198-WEEKDAY($A198,2)+1)</f>
        <v/>
      </c>
      <c r="M198" s="159">
        <f>SUMIFS('METAS EMPRESAS'!$G$15:$G$320,'METAS EMPRESAS'!$A$15:$A$320,"CMM",'METAS EMPRESAS'!$B$15:$B$320,"VIGAS",'METAS EMPRESAS'!$C$15:$C$320,$A198-WEEKDAY($A198,2)+1)</f>
        <v/>
      </c>
      <c r="N198" s="159">
        <f>SUMIFS('METAS EMPRESAS'!$J$15:$J$320,'METAS EMPRESAS'!$A$15:$A$320,"EJ",'METAS EMPRESAS'!$B$15:$B$320,"PREMONTAGEM",'METAS EMPRESAS'!$C$15:$C$320,$A198-WEEKDAY($A198,2)+1)</f>
        <v/>
      </c>
      <c r="O198" s="159">
        <f>SUMIFS('METAS EMPRESAS'!$J$15:$J$320,'METAS EMPRESAS'!$A$15:$A$320,"EJ",'METAS EMPRESAS'!$B$15:$B$320,"IÇAMENTO JOIST",'METAS EMPRESAS'!$C$15:$C$320,$A198-WEEKDAY($A198,2)+1)</f>
        <v/>
      </c>
      <c r="P198" s="159">
        <f>SUMIFS('METAS EMPRESAS'!$J$15:$J$320,'METAS EMPRESAS'!$A$15:$A$320,"EJ",'METAS EMPRESAS'!$B$15:$B$320,"VIGAS",'METAS EMPRESAS'!$C$15:$C$320,$A198-WEEKDAY($A198,2)+1)</f>
        <v/>
      </c>
      <c r="Q198" s="159">
        <f>SUMIFS('METAS EMPRESAS'!$J$15:$J$320,'METAS EMPRESAS'!$A$15:$A$320,"CMM",'METAS EMPRESAS'!$B$15:$B$320,"PREMONTAGEM",'METAS EMPRESAS'!$C$15:$C$320,$A198-WEEKDAY($A198,2)+1)</f>
        <v/>
      </c>
      <c r="R198" s="159">
        <f>SUMIFS('METAS EMPRESAS'!$J$15:$J$320,'METAS EMPRESAS'!$A$15:$A$320,"CMM",'METAS EMPRESAS'!$B$15:$B$320,"IÇAMENTO JOIST",'METAS EMPRESAS'!$C$15:$C$320,$A198-WEEKDAY($A198,2)+1)</f>
        <v/>
      </c>
      <c r="S198" s="159">
        <f>SUMIFS('METAS EMPRESAS'!$J$15:$J$320,'METAS EMPRESAS'!$A$15:$A$320,"CMM",'METAS EMPRESAS'!$B$15:$B$320,"VIGAS",'METAS EMPRESAS'!$C$15:$C$320,$A198-WEEKDAY($A198,2)+1)</f>
        <v/>
      </c>
      <c r="T198">
        <f>--(WEEKDAY(A198,2)&lt;=5)</f>
        <v/>
      </c>
      <c r="U198" t="n">
        <v>19</v>
      </c>
      <c r="V198" t="n">
        <v>7</v>
      </c>
      <c r="W198" t="n">
        <v>0</v>
      </c>
      <c r="X198" t="n">
        <v>5</v>
      </c>
      <c r="Y198" t="n">
        <v>5</v>
      </c>
      <c r="Z198" t="n">
        <v>5</v>
      </c>
      <c r="AA198" t="n">
        <v>95</v>
      </c>
      <c r="AB198" t="n">
        <v>35</v>
      </c>
      <c r="AC198" t="n">
        <v>0</v>
      </c>
    </row>
    <row r="199">
      <c r="A199" s="317" t="n">
        <v>46420</v>
      </c>
      <c r="B199" s="159">
        <f>SUMIFS('METAS EMPRESAS'!$K$15:$K$320,'METAS EMPRESAS'!$A$15:$A$320,"EJ",'METAS EMPRESAS'!$B$15:$B$320,"PREMONTAGEM",'METAS EMPRESAS'!$C$15:$C$320,$A199-WEEKDAY($A199,2)+1)</f>
        <v/>
      </c>
      <c r="C199" s="159">
        <f>SUMIFS('METAS EMPRESAS'!$K$15:$K$320,'METAS EMPRESAS'!$A$15:$A$320,"EJ",'METAS EMPRESAS'!$B$15:$B$320,"IÇAMENTO JOIST",'METAS EMPRESAS'!$C$15:$C$320,$A199-WEEKDAY($A199,2)+1)</f>
        <v/>
      </c>
      <c r="D199" s="159">
        <f>SUMIFS('METAS EMPRESAS'!$K$15:$K$320,'METAS EMPRESAS'!$A$15:$A$320,"EJ",'METAS EMPRESAS'!$B$15:$B$320,"VIGAS",'METAS EMPRESAS'!$C$15:$C$320,$A199-WEEKDAY($A199,2)+1)</f>
        <v/>
      </c>
      <c r="E199" s="159">
        <f>SUMIFS('METAS EMPRESAS'!$K$15:$K$320,'METAS EMPRESAS'!$A$15:$A$320,"CMM",'METAS EMPRESAS'!$B$15:$B$320,"PREMONTAGEM",'METAS EMPRESAS'!$C$15:$C$320,$A199-WEEKDAY($A199,2)+1)</f>
        <v/>
      </c>
      <c r="F199" s="159">
        <f>SUMIFS('METAS EMPRESAS'!$K$15:$K$320,'METAS EMPRESAS'!$A$15:$A$320,"CMM",'METAS EMPRESAS'!$B$15:$B$320,"IÇAMENTO JOIST",'METAS EMPRESAS'!$C$15:$C$320,$A199-WEEKDAY($A199,2)+1)</f>
        <v/>
      </c>
      <c r="G199" s="159">
        <f>SUMIFS('METAS EMPRESAS'!$K$15:$K$320,'METAS EMPRESAS'!$A$15:$A$320,"CMM",'METAS EMPRESAS'!$B$15:$B$320,"VIGAS",'METAS EMPRESAS'!$C$15:$C$320,$A199-WEEKDAY($A199,2)+1)</f>
        <v/>
      </c>
      <c r="H199" s="159">
        <f>SUMIFS('METAS EMPRESAS'!$G$15:$G$320,'METAS EMPRESAS'!$A$15:$A$320,"EJ",'METAS EMPRESAS'!$B$15:$B$320,"PREMONTAGEM",'METAS EMPRESAS'!$C$15:$C$320,$A199-WEEKDAY($A199,2)+1)</f>
        <v/>
      </c>
      <c r="I199" s="159">
        <f>SUMIFS('METAS EMPRESAS'!$G$15:$G$320,'METAS EMPRESAS'!$A$15:$A$320,"EJ",'METAS EMPRESAS'!$B$15:$B$320,"IÇAMENTO JOIST",'METAS EMPRESAS'!$C$15:$C$320,$A199-WEEKDAY($A199,2)+1)</f>
        <v/>
      </c>
      <c r="J199" s="159">
        <f>SUMIFS('METAS EMPRESAS'!$G$15:$G$320,'METAS EMPRESAS'!$A$15:$A$320,"EJ",'METAS EMPRESAS'!$B$15:$B$320,"VIGAS",'METAS EMPRESAS'!$C$15:$C$320,$A199-WEEKDAY($A199,2)+1)</f>
        <v/>
      </c>
      <c r="K199" s="159">
        <f>SUMIFS('METAS EMPRESAS'!$G$15:$G$320,'METAS EMPRESAS'!$A$15:$A$320,"CMM",'METAS EMPRESAS'!$B$15:$B$320,"PREMONTAGEM",'METAS EMPRESAS'!$C$15:$C$320,$A199-WEEKDAY($A199,2)+1)</f>
        <v/>
      </c>
      <c r="L199" s="159">
        <f>SUMIFS('METAS EMPRESAS'!$G$15:$G$320,'METAS EMPRESAS'!$A$15:$A$320,"CMM",'METAS EMPRESAS'!$B$15:$B$320,"IÇAMENTO JOIST",'METAS EMPRESAS'!$C$15:$C$320,$A199-WEEKDAY($A199,2)+1)</f>
        <v/>
      </c>
      <c r="M199" s="159">
        <f>SUMIFS('METAS EMPRESAS'!$G$15:$G$320,'METAS EMPRESAS'!$A$15:$A$320,"CMM",'METAS EMPRESAS'!$B$15:$B$320,"VIGAS",'METAS EMPRESAS'!$C$15:$C$320,$A199-WEEKDAY($A199,2)+1)</f>
        <v/>
      </c>
      <c r="N199" s="159">
        <f>SUMIFS('METAS EMPRESAS'!$J$15:$J$320,'METAS EMPRESAS'!$A$15:$A$320,"EJ",'METAS EMPRESAS'!$B$15:$B$320,"PREMONTAGEM",'METAS EMPRESAS'!$C$15:$C$320,$A199-WEEKDAY($A199,2)+1)</f>
        <v/>
      </c>
      <c r="O199" s="159">
        <f>SUMIFS('METAS EMPRESAS'!$J$15:$J$320,'METAS EMPRESAS'!$A$15:$A$320,"EJ",'METAS EMPRESAS'!$B$15:$B$320,"IÇAMENTO JOIST",'METAS EMPRESAS'!$C$15:$C$320,$A199-WEEKDAY($A199,2)+1)</f>
        <v/>
      </c>
      <c r="P199" s="159">
        <f>SUMIFS('METAS EMPRESAS'!$J$15:$J$320,'METAS EMPRESAS'!$A$15:$A$320,"EJ",'METAS EMPRESAS'!$B$15:$B$320,"VIGAS",'METAS EMPRESAS'!$C$15:$C$320,$A199-WEEKDAY($A199,2)+1)</f>
        <v/>
      </c>
      <c r="Q199" s="159">
        <f>SUMIFS('METAS EMPRESAS'!$J$15:$J$320,'METAS EMPRESAS'!$A$15:$A$320,"CMM",'METAS EMPRESAS'!$B$15:$B$320,"PREMONTAGEM",'METAS EMPRESAS'!$C$15:$C$320,$A199-WEEKDAY($A199,2)+1)</f>
        <v/>
      </c>
      <c r="R199" s="159">
        <f>SUMIFS('METAS EMPRESAS'!$J$15:$J$320,'METAS EMPRESAS'!$A$15:$A$320,"CMM",'METAS EMPRESAS'!$B$15:$B$320,"IÇAMENTO JOIST",'METAS EMPRESAS'!$C$15:$C$320,$A199-WEEKDAY($A199,2)+1)</f>
        <v/>
      </c>
      <c r="S199" s="159">
        <f>SUMIFS('METAS EMPRESAS'!$J$15:$J$320,'METAS EMPRESAS'!$A$15:$A$320,"CMM",'METAS EMPRESAS'!$B$15:$B$320,"VIGAS",'METAS EMPRESAS'!$C$15:$C$320,$A199-WEEKDAY($A199,2)+1)</f>
        <v/>
      </c>
      <c r="T199">
        <f>--(WEEKDAY(A199,2)&lt;=5)</f>
        <v/>
      </c>
      <c r="U199" t="n">
        <v>19</v>
      </c>
      <c r="V199" t="n">
        <v>7</v>
      </c>
      <c r="W199" t="n">
        <v>0</v>
      </c>
      <c r="X199" t="n">
        <v>5</v>
      </c>
      <c r="Y199" t="n">
        <v>5</v>
      </c>
      <c r="Z199" t="n">
        <v>5</v>
      </c>
      <c r="AA199" t="n">
        <v>95</v>
      </c>
      <c r="AB199" t="n">
        <v>35</v>
      </c>
      <c r="AC199" t="n">
        <v>0</v>
      </c>
    </row>
    <row r="200">
      <c r="A200" s="317" t="n">
        <v>46421</v>
      </c>
      <c r="B200" s="159">
        <f>SUMIFS('METAS EMPRESAS'!$K$15:$K$320,'METAS EMPRESAS'!$A$15:$A$320,"EJ",'METAS EMPRESAS'!$B$15:$B$320,"PREMONTAGEM",'METAS EMPRESAS'!$C$15:$C$320,$A200-WEEKDAY($A200,2)+1)</f>
        <v/>
      </c>
      <c r="C200" s="159">
        <f>SUMIFS('METAS EMPRESAS'!$K$15:$K$320,'METAS EMPRESAS'!$A$15:$A$320,"EJ",'METAS EMPRESAS'!$B$15:$B$320,"IÇAMENTO JOIST",'METAS EMPRESAS'!$C$15:$C$320,$A200-WEEKDAY($A200,2)+1)</f>
        <v/>
      </c>
      <c r="D200" s="159">
        <f>SUMIFS('METAS EMPRESAS'!$K$15:$K$320,'METAS EMPRESAS'!$A$15:$A$320,"EJ",'METAS EMPRESAS'!$B$15:$B$320,"VIGAS",'METAS EMPRESAS'!$C$15:$C$320,$A200-WEEKDAY($A200,2)+1)</f>
        <v/>
      </c>
      <c r="E200" s="159">
        <f>SUMIFS('METAS EMPRESAS'!$K$15:$K$320,'METAS EMPRESAS'!$A$15:$A$320,"CMM",'METAS EMPRESAS'!$B$15:$B$320,"PREMONTAGEM",'METAS EMPRESAS'!$C$15:$C$320,$A200-WEEKDAY($A200,2)+1)</f>
        <v/>
      </c>
      <c r="F200" s="159">
        <f>SUMIFS('METAS EMPRESAS'!$K$15:$K$320,'METAS EMPRESAS'!$A$15:$A$320,"CMM",'METAS EMPRESAS'!$B$15:$B$320,"IÇAMENTO JOIST",'METAS EMPRESAS'!$C$15:$C$320,$A200-WEEKDAY($A200,2)+1)</f>
        <v/>
      </c>
      <c r="G200" s="159">
        <f>SUMIFS('METAS EMPRESAS'!$K$15:$K$320,'METAS EMPRESAS'!$A$15:$A$320,"CMM",'METAS EMPRESAS'!$B$15:$B$320,"VIGAS",'METAS EMPRESAS'!$C$15:$C$320,$A200-WEEKDAY($A200,2)+1)</f>
        <v/>
      </c>
      <c r="H200" s="159">
        <f>SUMIFS('METAS EMPRESAS'!$G$15:$G$320,'METAS EMPRESAS'!$A$15:$A$320,"EJ",'METAS EMPRESAS'!$B$15:$B$320,"PREMONTAGEM",'METAS EMPRESAS'!$C$15:$C$320,$A200-WEEKDAY($A200,2)+1)</f>
        <v/>
      </c>
      <c r="I200" s="159">
        <f>SUMIFS('METAS EMPRESAS'!$G$15:$G$320,'METAS EMPRESAS'!$A$15:$A$320,"EJ",'METAS EMPRESAS'!$B$15:$B$320,"IÇAMENTO JOIST",'METAS EMPRESAS'!$C$15:$C$320,$A200-WEEKDAY($A200,2)+1)</f>
        <v/>
      </c>
      <c r="J200" s="159">
        <f>SUMIFS('METAS EMPRESAS'!$G$15:$G$320,'METAS EMPRESAS'!$A$15:$A$320,"EJ",'METAS EMPRESAS'!$B$15:$B$320,"VIGAS",'METAS EMPRESAS'!$C$15:$C$320,$A200-WEEKDAY($A200,2)+1)</f>
        <v/>
      </c>
      <c r="K200" s="159">
        <f>SUMIFS('METAS EMPRESAS'!$G$15:$G$320,'METAS EMPRESAS'!$A$15:$A$320,"CMM",'METAS EMPRESAS'!$B$15:$B$320,"PREMONTAGEM",'METAS EMPRESAS'!$C$15:$C$320,$A200-WEEKDAY($A200,2)+1)</f>
        <v/>
      </c>
      <c r="L200" s="159">
        <f>SUMIFS('METAS EMPRESAS'!$G$15:$G$320,'METAS EMPRESAS'!$A$15:$A$320,"CMM",'METAS EMPRESAS'!$B$15:$B$320,"IÇAMENTO JOIST",'METAS EMPRESAS'!$C$15:$C$320,$A200-WEEKDAY($A200,2)+1)</f>
        <v/>
      </c>
      <c r="M200" s="159">
        <f>SUMIFS('METAS EMPRESAS'!$G$15:$G$320,'METAS EMPRESAS'!$A$15:$A$320,"CMM",'METAS EMPRESAS'!$B$15:$B$320,"VIGAS",'METAS EMPRESAS'!$C$15:$C$320,$A200-WEEKDAY($A200,2)+1)</f>
        <v/>
      </c>
      <c r="N200" s="159">
        <f>SUMIFS('METAS EMPRESAS'!$J$15:$J$320,'METAS EMPRESAS'!$A$15:$A$320,"EJ",'METAS EMPRESAS'!$B$15:$B$320,"PREMONTAGEM",'METAS EMPRESAS'!$C$15:$C$320,$A200-WEEKDAY($A200,2)+1)</f>
        <v/>
      </c>
      <c r="O200" s="159">
        <f>SUMIFS('METAS EMPRESAS'!$J$15:$J$320,'METAS EMPRESAS'!$A$15:$A$320,"EJ",'METAS EMPRESAS'!$B$15:$B$320,"IÇAMENTO JOIST",'METAS EMPRESAS'!$C$15:$C$320,$A200-WEEKDAY($A200,2)+1)</f>
        <v/>
      </c>
      <c r="P200" s="159">
        <f>SUMIFS('METAS EMPRESAS'!$J$15:$J$320,'METAS EMPRESAS'!$A$15:$A$320,"EJ",'METAS EMPRESAS'!$B$15:$B$320,"VIGAS",'METAS EMPRESAS'!$C$15:$C$320,$A200-WEEKDAY($A200,2)+1)</f>
        <v/>
      </c>
      <c r="Q200" s="159">
        <f>SUMIFS('METAS EMPRESAS'!$J$15:$J$320,'METAS EMPRESAS'!$A$15:$A$320,"CMM",'METAS EMPRESAS'!$B$15:$B$320,"PREMONTAGEM",'METAS EMPRESAS'!$C$15:$C$320,$A200-WEEKDAY($A200,2)+1)</f>
        <v/>
      </c>
      <c r="R200" s="159">
        <f>SUMIFS('METAS EMPRESAS'!$J$15:$J$320,'METAS EMPRESAS'!$A$15:$A$320,"CMM",'METAS EMPRESAS'!$B$15:$B$320,"IÇAMENTO JOIST",'METAS EMPRESAS'!$C$15:$C$320,$A200-WEEKDAY($A200,2)+1)</f>
        <v/>
      </c>
      <c r="S200" s="159">
        <f>SUMIFS('METAS EMPRESAS'!$J$15:$J$320,'METAS EMPRESAS'!$A$15:$A$320,"CMM",'METAS EMPRESAS'!$B$15:$B$320,"VIGAS",'METAS EMPRESAS'!$C$15:$C$320,$A200-WEEKDAY($A200,2)+1)</f>
        <v/>
      </c>
      <c r="T200">
        <f>--(WEEKDAY(A200,2)&lt;=5)</f>
        <v/>
      </c>
      <c r="U200" t="n">
        <v>19</v>
      </c>
      <c r="V200" t="n">
        <v>7</v>
      </c>
      <c r="W200" t="n">
        <v>0</v>
      </c>
      <c r="X200" t="n">
        <v>5</v>
      </c>
      <c r="Y200" t="n">
        <v>5</v>
      </c>
      <c r="Z200" t="n">
        <v>5</v>
      </c>
      <c r="AA200" t="n">
        <v>95</v>
      </c>
      <c r="AB200" t="n">
        <v>35</v>
      </c>
      <c r="AC200" t="n">
        <v>0</v>
      </c>
    </row>
    <row r="201">
      <c r="A201" s="317" t="n">
        <v>46422</v>
      </c>
      <c r="B201" s="159">
        <f>SUMIFS('METAS EMPRESAS'!$K$15:$K$320,'METAS EMPRESAS'!$A$15:$A$320,"EJ",'METAS EMPRESAS'!$B$15:$B$320,"PREMONTAGEM",'METAS EMPRESAS'!$C$15:$C$320,$A201-WEEKDAY($A201,2)+1)</f>
        <v/>
      </c>
      <c r="C201" s="159">
        <f>SUMIFS('METAS EMPRESAS'!$K$15:$K$320,'METAS EMPRESAS'!$A$15:$A$320,"EJ",'METAS EMPRESAS'!$B$15:$B$320,"IÇAMENTO JOIST",'METAS EMPRESAS'!$C$15:$C$320,$A201-WEEKDAY($A201,2)+1)</f>
        <v/>
      </c>
      <c r="D201" s="159">
        <f>SUMIFS('METAS EMPRESAS'!$K$15:$K$320,'METAS EMPRESAS'!$A$15:$A$320,"EJ",'METAS EMPRESAS'!$B$15:$B$320,"VIGAS",'METAS EMPRESAS'!$C$15:$C$320,$A201-WEEKDAY($A201,2)+1)</f>
        <v/>
      </c>
      <c r="E201" s="159">
        <f>SUMIFS('METAS EMPRESAS'!$K$15:$K$320,'METAS EMPRESAS'!$A$15:$A$320,"CMM",'METAS EMPRESAS'!$B$15:$B$320,"PREMONTAGEM",'METAS EMPRESAS'!$C$15:$C$320,$A201-WEEKDAY($A201,2)+1)</f>
        <v/>
      </c>
      <c r="F201" s="159">
        <f>SUMIFS('METAS EMPRESAS'!$K$15:$K$320,'METAS EMPRESAS'!$A$15:$A$320,"CMM",'METAS EMPRESAS'!$B$15:$B$320,"IÇAMENTO JOIST",'METAS EMPRESAS'!$C$15:$C$320,$A201-WEEKDAY($A201,2)+1)</f>
        <v/>
      </c>
      <c r="G201" s="159">
        <f>SUMIFS('METAS EMPRESAS'!$K$15:$K$320,'METAS EMPRESAS'!$A$15:$A$320,"CMM",'METAS EMPRESAS'!$B$15:$B$320,"VIGAS",'METAS EMPRESAS'!$C$15:$C$320,$A201-WEEKDAY($A201,2)+1)</f>
        <v/>
      </c>
      <c r="H201" s="159">
        <f>SUMIFS('METAS EMPRESAS'!$G$15:$G$320,'METAS EMPRESAS'!$A$15:$A$320,"EJ",'METAS EMPRESAS'!$B$15:$B$320,"PREMONTAGEM",'METAS EMPRESAS'!$C$15:$C$320,$A201-WEEKDAY($A201,2)+1)</f>
        <v/>
      </c>
      <c r="I201" s="159">
        <f>SUMIFS('METAS EMPRESAS'!$G$15:$G$320,'METAS EMPRESAS'!$A$15:$A$320,"EJ",'METAS EMPRESAS'!$B$15:$B$320,"IÇAMENTO JOIST",'METAS EMPRESAS'!$C$15:$C$320,$A201-WEEKDAY($A201,2)+1)</f>
        <v/>
      </c>
      <c r="J201" s="159">
        <f>SUMIFS('METAS EMPRESAS'!$G$15:$G$320,'METAS EMPRESAS'!$A$15:$A$320,"EJ",'METAS EMPRESAS'!$B$15:$B$320,"VIGAS",'METAS EMPRESAS'!$C$15:$C$320,$A201-WEEKDAY($A201,2)+1)</f>
        <v/>
      </c>
      <c r="K201" s="159">
        <f>SUMIFS('METAS EMPRESAS'!$G$15:$G$320,'METAS EMPRESAS'!$A$15:$A$320,"CMM",'METAS EMPRESAS'!$B$15:$B$320,"PREMONTAGEM",'METAS EMPRESAS'!$C$15:$C$320,$A201-WEEKDAY($A201,2)+1)</f>
        <v/>
      </c>
      <c r="L201" s="159">
        <f>SUMIFS('METAS EMPRESAS'!$G$15:$G$320,'METAS EMPRESAS'!$A$15:$A$320,"CMM",'METAS EMPRESAS'!$B$15:$B$320,"IÇAMENTO JOIST",'METAS EMPRESAS'!$C$15:$C$320,$A201-WEEKDAY($A201,2)+1)</f>
        <v/>
      </c>
      <c r="M201" s="159">
        <f>SUMIFS('METAS EMPRESAS'!$G$15:$G$320,'METAS EMPRESAS'!$A$15:$A$320,"CMM",'METAS EMPRESAS'!$B$15:$B$320,"VIGAS",'METAS EMPRESAS'!$C$15:$C$320,$A201-WEEKDAY($A201,2)+1)</f>
        <v/>
      </c>
      <c r="N201" s="159">
        <f>SUMIFS('METAS EMPRESAS'!$J$15:$J$320,'METAS EMPRESAS'!$A$15:$A$320,"EJ",'METAS EMPRESAS'!$B$15:$B$320,"PREMONTAGEM",'METAS EMPRESAS'!$C$15:$C$320,$A201-WEEKDAY($A201,2)+1)</f>
        <v/>
      </c>
      <c r="O201" s="159">
        <f>SUMIFS('METAS EMPRESAS'!$J$15:$J$320,'METAS EMPRESAS'!$A$15:$A$320,"EJ",'METAS EMPRESAS'!$B$15:$B$320,"IÇAMENTO JOIST",'METAS EMPRESAS'!$C$15:$C$320,$A201-WEEKDAY($A201,2)+1)</f>
        <v/>
      </c>
      <c r="P201" s="159">
        <f>SUMIFS('METAS EMPRESAS'!$J$15:$J$320,'METAS EMPRESAS'!$A$15:$A$320,"EJ",'METAS EMPRESAS'!$B$15:$B$320,"VIGAS",'METAS EMPRESAS'!$C$15:$C$320,$A201-WEEKDAY($A201,2)+1)</f>
        <v/>
      </c>
      <c r="Q201" s="159">
        <f>SUMIFS('METAS EMPRESAS'!$J$15:$J$320,'METAS EMPRESAS'!$A$15:$A$320,"CMM",'METAS EMPRESAS'!$B$15:$B$320,"PREMONTAGEM",'METAS EMPRESAS'!$C$15:$C$320,$A201-WEEKDAY($A201,2)+1)</f>
        <v/>
      </c>
      <c r="R201" s="159">
        <f>SUMIFS('METAS EMPRESAS'!$J$15:$J$320,'METAS EMPRESAS'!$A$15:$A$320,"CMM",'METAS EMPRESAS'!$B$15:$B$320,"IÇAMENTO JOIST",'METAS EMPRESAS'!$C$15:$C$320,$A201-WEEKDAY($A201,2)+1)</f>
        <v/>
      </c>
      <c r="S201" s="159">
        <f>SUMIFS('METAS EMPRESAS'!$J$15:$J$320,'METAS EMPRESAS'!$A$15:$A$320,"CMM",'METAS EMPRESAS'!$B$15:$B$320,"VIGAS",'METAS EMPRESAS'!$C$15:$C$320,$A201-WEEKDAY($A201,2)+1)</f>
        <v/>
      </c>
      <c r="T201">
        <f>--(WEEKDAY(A201,2)&lt;=5)</f>
        <v/>
      </c>
      <c r="U201" t="n">
        <v>19</v>
      </c>
      <c r="V201" t="n">
        <v>7</v>
      </c>
      <c r="W201" t="n">
        <v>0</v>
      </c>
      <c r="X201" t="n">
        <v>5</v>
      </c>
      <c r="Y201" t="n">
        <v>5</v>
      </c>
      <c r="Z201" t="n">
        <v>5</v>
      </c>
      <c r="AA201" t="n">
        <v>95</v>
      </c>
      <c r="AB201" t="n">
        <v>35</v>
      </c>
      <c r="AC201" t="n">
        <v>0</v>
      </c>
    </row>
    <row r="202">
      <c r="A202" s="317" t="n">
        <v>46423</v>
      </c>
      <c r="B202" s="159">
        <f>SUMIFS('METAS EMPRESAS'!$K$15:$K$320,'METAS EMPRESAS'!$A$15:$A$320,"EJ",'METAS EMPRESAS'!$B$15:$B$320,"PREMONTAGEM",'METAS EMPRESAS'!$C$15:$C$320,$A202-WEEKDAY($A202,2)+1)</f>
        <v/>
      </c>
      <c r="C202" s="159">
        <f>SUMIFS('METAS EMPRESAS'!$K$15:$K$320,'METAS EMPRESAS'!$A$15:$A$320,"EJ",'METAS EMPRESAS'!$B$15:$B$320,"IÇAMENTO JOIST",'METAS EMPRESAS'!$C$15:$C$320,$A202-WEEKDAY($A202,2)+1)</f>
        <v/>
      </c>
      <c r="D202" s="159">
        <f>SUMIFS('METAS EMPRESAS'!$K$15:$K$320,'METAS EMPRESAS'!$A$15:$A$320,"EJ",'METAS EMPRESAS'!$B$15:$B$320,"VIGAS",'METAS EMPRESAS'!$C$15:$C$320,$A202-WEEKDAY($A202,2)+1)</f>
        <v/>
      </c>
      <c r="E202" s="159">
        <f>SUMIFS('METAS EMPRESAS'!$K$15:$K$320,'METAS EMPRESAS'!$A$15:$A$320,"CMM",'METAS EMPRESAS'!$B$15:$B$320,"PREMONTAGEM",'METAS EMPRESAS'!$C$15:$C$320,$A202-WEEKDAY($A202,2)+1)</f>
        <v/>
      </c>
      <c r="F202" s="159">
        <f>SUMIFS('METAS EMPRESAS'!$K$15:$K$320,'METAS EMPRESAS'!$A$15:$A$320,"CMM",'METAS EMPRESAS'!$B$15:$B$320,"IÇAMENTO JOIST",'METAS EMPRESAS'!$C$15:$C$320,$A202-WEEKDAY($A202,2)+1)</f>
        <v/>
      </c>
      <c r="G202" s="159">
        <f>SUMIFS('METAS EMPRESAS'!$K$15:$K$320,'METAS EMPRESAS'!$A$15:$A$320,"CMM",'METAS EMPRESAS'!$B$15:$B$320,"VIGAS",'METAS EMPRESAS'!$C$15:$C$320,$A202-WEEKDAY($A202,2)+1)</f>
        <v/>
      </c>
      <c r="H202" s="159">
        <f>SUMIFS('METAS EMPRESAS'!$G$15:$G$320,'METAS EMPRESAS'!$A$15:$A$320,"EJ",'METAS EMPRESAS'!$B$15:$B$320,"PREMONTAGEM",'METAS EMPRESAS'!$C$15:$C$320,$A202-WEEKDAY($A202,2)+1)</f>
        <v/>
      </c>
      <c r="I202" s="159">
        <f>SUMIFS('METAS EMPRESAS'!$G$15:$G$320,'METAS EMPRESAS'!$A$15:$A$320,"EJ",'METAS EMPRESAS'!$B$15:$B$320,"IÇAMENTO JOIST",'METAS EMPRESAS'!$C$15:$C$320,$A202-WEEKDAY($A202,2)+1)</f>
        <v/>
      </c>
      <c r="J202" s="159">
        <f>SUMIFS('METAS EMPRESAS'!$G$15:$G$320,'METAS EMPRESAS'!$A$15:$A$320,"EJ",'METAS EMPRESAS'!$B$15:$B$320,"VIGAS",'METAS EMPRESAS'!$C$15:$C$320,$A202-WEEKDAY($A202,2)+1)</f>
        <v/>
      </c>
      <c r="K202" s="159">
        <f>SUMIFS('METAS EMPRESAS'!$G$15:$G$320,'METAS EMPRESAS'!$A$15:$A$320,"CMM",'METAS EMPRESAS'!$B$15:$B$320,"PREMONTAGEM",'METAS EMPRESAS'!$C$15:$C$320,$A202-WEEKDAY($A202,2)+1)</f>
        <v/>
      </c>
      <c r="L202" s="159">
        <f>SUMIFS('METAS EMPRESAS'!$G$15:$G$320,'METAS EMPRESAS'!$A$15:$A$320,"CMM",'METAS EMPRESAS'!$B$15:$B$320,"IÇAMENTO JOIST",'METAS EMPRESAS'!$C$15:$C$320,$A202-WEEKDAY($A202,2)+1)</f>
        <v/>
      </c>
      <c r="M202" s="159">
        <f>SUMIFS('METAS EMPRESAS'!$G$15:$G$320,'METAS EMPRESAS'!$A$15:$A$320,"CMM",'METAS EMPRESAS'!$B$15:$B$320,"VIGAS",'METAS EMPRESAS'!$C$15:$C$320,$A202-WEEKDAY($A202,2)+1)</f>
        <v/>
      </c>
      <c r="N202" s="159">
        <f>SUMIFS('METAS EMPRESAS'!$J$15:$J$320,'METAS EMPRESAS'!$A$15:$A$320,"EJ",'METAS EMPRESAS'!$B$15:$B$320,"PREMONTAGEM",'METAS EMPRESAS'!$C$15:$C$320,$A202-WEEKDAY($A202,2)+1)</f>
        <v/>
      </c>
      <c r="O202" s="159">
        <f>SUMIFS('METAS EMPRESAS'!$J$15:$J$320,'METAS EMPRESAS'!$A$15:$A$320,"EJ",'METAS EMPRESAS'!$B$15:$B$320,"IÇAMENTO JOIST",'METAS EMPRESAS'!$C$15:$C$320,$A202-WEEKDAY($A202,2)+1)</f>
        <v/>
      </c>
      <c r="P202" s="159">
        <f>SUMIFS('METAS EMPRESAS'!$J$15:$J$320,'METAS EMPRESAS'!$A$15:$A$320,"EJ",'METAS EMPRESAS'!$B$15:$B$320,"VIGAS",'METAS EMPRESAS'!$C$15:$C$320,$A202-WEEKDAY($A202,2)+1)</f>
        <v/>
      </c>
      <c r="Q202" s="159">
        <f>SUMIFS('METAS EMPRESAS'!$J$15:$J$320,'METAS EMPRESAS'!$A$15:$A$320,"CMM",'METAS EMPRESAS'!$B$15:$B$320,"PREMONTAGEM",'METAS EMPRESAS'!$C$15:$C$320,$A202-WEEKDAY($A202,2)+1)</f>
        <v/>
      </c>
      <c r="R202" s="159">
        <f>SUMIFS('METAS EMPRESAS'!$J$15:$J$320,'METAS EMPRESAS'!$A$15:$A$320,"CMM",'METAS EMPRESAS'!$B$15:$B$320,"IÇAMENTO JOIST",'METAS EMPRESAS'!$C$15:$C$320,$A202-WEEKDAY($A202,2)+1)</f>
        <v/>
      </c>
      <c r="S202" s="159">
        <f>SUMIFS('METAS EMPRESAS'!$J$15:$J$320,'METAS EMPRESAS'!$A$15:$A$320,"CMM",'METAS EMPRESAS'!$B$15:$B$320,"VIGAS",'METAS EMPRESAS'!$C$15:$C$320,$A202-WEEKDAY($A202,2)+1)</f>
        <v/>
      </c>
      <c r="T202">
        <f>--(WEEKDAY(A202,2)&lt;=5)</f>
        <v/>
      </c>
      <c r="U202" t="n">
        <v>19</v>
      </c>
      <c r="V202" t="n">
        <v>7</v>
      </c>
      <c r="W202" t="n">
        <v>0</v>
      </c>
      <c r="X202" t="n">
        <v>5</v>
      </c>
      <c r="Y202" t="n">
        <v>5</v>
      </c>
      <c r="Z202" t="n">
        <v>5</v>
      </c>
      <c r="AA202" t="n">
        <v>95</v>
      </c>
      <c r="AB202" t="n">
        <v>35</v>
      </c>
      <c r="AC202" t="n">
        <v>0</v>
      </c>
    </row>
    <row r="203">
      <c r="A203" s="317" t="n">
        <v>46424</v>
      </c>
      <c r="B203" s="159">
        <f>SUMIFS('METAS EMPRESAS'!$K$15:$K$320,'METAS EMPRESAS'!$A$15:$A$320,"EJ",'METAS EMPRESAS'!$B$15:$B$320,"PREMONTAGEM",'METAS EMPRESAS'!$C$15:$C$320,$A203-WEEKDAY($A203,2)+1)</f>
        <v/>
      </c>
      <c r="C203" s="159">
        <f>SUMIFS('METAS EMPRESAS'!$K$15:$K$320,'METAS EMPRESAS'!$A$15:$A$320,"EJ",'METAS EMPRESAS'!$B$15:$B$320,"IÇAMENTO JOIST",'METAS EMPRESAS'!$C$15:$C$320,$A203-WEEKDAY($A203,2)+1)</f>
        <v/>
      </c>
      <c r="D203" s="159">
        <f>SUMIFS('METAS EMPRESAS'!$K$15:$K$320,'METAS EMPRESAS'!$A$15:$A$320,"EJ",'METAS EMPRESAS'!$B$15:$B$320,"VIGAS",'METAS EMPRESAS'!$C$15:$C$320,$A203-WEEKDAY($A203,2)+1)</f>
        <v/>
      </c>
      <c r="E203" s="159">
        <f>SUMIFS('METAS EMPRESAS'!$K$15:$K$320,'METAS EMPRESAS'!$A$15:$A$320,"CMM",'METAS EMPRESAS'!$B$15:$B$320,"PREMONTAGEM",'METAS EMPRESAS'!$C$15:$C$320,$A203-WEEKDAY($A203,2)+1)</f>
        <v/>
      </c>
      <c r="F203" s="159">
        <f>SUMIFS('METAS EMPRESAS'!$K$15:$K$320,'METAS EMPRESAS'!$A$15:$A$320,"CMM",'METAS EMPRESAS'!$B$15:$B$320,"IÇAMENTO JOIST",'METAS EMPRESAS'!$C$15:$C$320,$A203-WEEKDAY($A203,2)+1)</f>
        <v/>
      </c>
      <c r="G203" s="159">
        <f>SUMIFS('METAS EMPRESAS'!$K$15:$K$320,'METAS EMPRESAS'!$A$15:$A$320,"CMM",'METAS EMPRESAS'!$B$15:$B$320,"VIGAS",'METAS EMPRESAS'!$C$15:$C$320,$A203-WEEKDAY($A203,2)+1)</f>
        <v/>
      </c>
      <c r="H203" s="159">
        <f>SUMIFS('METAS EMPRESAS'!$G$15:$G$320,'METAS EMPRESAS'!$A$15:$A$320,"EJ",'METAS EMPRESAS'!$B$15:$B$320,"PREMONTAGEM",'METAS EMPRESAS'!$C$15:$C$320,$A203-WEEKDAY($A203,2)+1)</f>
        <v/>
      </c>
      <c r="I203" s="159">
        <f>SUMIFS('METAS EMPRESAS'!$G$15:$G$320,'METAS EMPRESAS'!$A$15:$A$320,"EJ",'METAS EMPRESAS'!$B$15:$B$320,"IÇAMENTO JOIST",'METAS EMPRESAS'!$C$15:$C$320,$A203-WEEKDAY($A203,2)+1)</f>
        <v/>
      </c>
      <c r="J203" s="159">
        <f>SUMIFS('METAS EMPRESAS'!$G$15:$G$320,'METAS EMPRESAS'!$A$15:$A$320,"EJ",'METAS EMPRESAS'!$B$15:$B$320,"VIGAS",'METAS EMPRESAS'!$C$15:$C$320,$A203-WEEKDAY($A203,2)+1)</f>
        <v/>
      </c>
      <c r="K203" s="159">
        <f>SUMIFS('METAS EMPRESAS'!$G$15:$G$320,'METAS EMPRESAS'!$A$15:$A$320,"CMM",'METAS EMPRESAS'!$B$15:$B$320,"PREMONTAGEM",'METAS EMPRESAS'!$C$15:$C$320,$A203-WEEKDAY($A203,2)+1)</f>
        <v/>
      </c>
      <c r="L203" s="159">
        <f>SUMIFS('METAS EMPRESAS'!$G$15:$G$320,'METAS EMPRESAS'!$A$15:$A$320,"CMM",'METAS EMPRESAS'!$B$15:$B$320,"IÇAMENTO JOIST",'METAS EMPRESAS'!$C$15:$C$320,$A203-WEEKDAY($A203,2)+1)</f>
        <v/>
      </c>
      <c r="M203" s="159">
        <f>SUMIFS('METAS EMPRESAS'!$G$15:$G$320,'METAS EMPRESAS'!$A$15:$A$320,"CMM",'METAS EMPRESAS'!$B$15:$B$320,"VIGAS",'METAS EMPRESAS'!$C$15:$C$320,$A203-WEEKDAY($A203,2)+1)</f>
        <v/>
      </c>
      <c r="N203" s="159">
        <f>SUMIFS('METAS EMPRESAS'!$J$15:$J$320,'METAS EMPRESAS'!$A$15:$A$320,"EJ",'METAS EMPRESAS'!$B$15:$B$320,"PREMONTAGEM",'METAS EMPRESAS'!$C$15:$C$320,$A203-WEEKDAY($A203,2)+1)</f>
        <v/>
      </c>
      <c r="O203" s="159">
        <f>SUMIFS('METAS EMPRESAS'!$J$15:$J$320,'METAS EMPRESAS'!$A$15:$A$320,"EJ",'METAS EMPRESAS'!$B$15:$B$320,"IÇAMENTO JOIST",'METAS EMPRESAS'!$C$15:$C$320,$A203-WEEKDAY($A203,2)+1)</f>
        <v/>
      </c>
      <c r="P203" s="159">
        <f>SUMIFS('METAS EMPRESAS'!$J$15:$J$320,'METAS EMPRESAS'!$A$15:$A$320,"EJ",'METAS EMPRESAS'!$B$15:$B$320,"VIGAS",'METAS EMPRESAS'!$C$15:$C$320,$A203-WEEKDAY($A203,2)+1)</f>
        <v/>
      </c>
      <c r="Q203" s="159">
        <f>SUMIFS('METAS EMPRESAS'!$J$15:$J$320,'METAS EMPRESAS'!$A$15:$A$320,"CMM",'METAS EMPRESAS'!$B$15:$B$320,"PREMONTAGEM",'METAS EMPRESAS'!$C$15:$C$320,$A203-WEEKDAY($A203,2)+1)</f>
        <v/>
      </c>
      <c r="R203" s="159">
        <f>SUMIFS('METAS EMPRESAS'!$J$15:$J$320,'METAS EMPRESAS'!$A$15:$A$320,"CMM",'METAS EMPRESAS'!$B$15:$B$320,"IÇAMENTO JOIST",'METAS EMPRESAS'!$C$15:$C$320,$A203-WEEKDAY($A203,2)+1)</f>
        <v/>
      </c>
      <c r="S203" s="159">
        <f>SUMIFS('METAS EMPRESAS'!$J$15:$J$320,'METAS EMPRESAS'!$A$15:$A$320,"CMM",'METAS EMPRESAS'!$B$15:$B$320,"VIGAS",'METAS EMPRESAS'!$C$15:$C$320,$A203-WEEKDAY($A203,2)+1)</f>
        <v/>
      </c>
      <c r="T203">
        <f>--(WEEKDAY(A203,2)&lt;=5)</f>
        <v/>
      </c>
      <c r="U203" t="n">
        <v>19</v>
      </c>
      <c r="V203" t="n">
        <v>7</v>
      </c>
      <c r="W203" t="n">
        <v>0</v>
      </c>
      <c r="X203" t="n">
        <v>5</v>
      </c>
      <c r="Y203" t="n">
        <v>5</v>
      </c>
      <c r="Z203" t="n">
        <v>5</v>
      </c>
      <c r="AA203" t="n">
        <v>95</v>
      </c>
      <c r="AB203" t="n">
        <v>35</v>
      </c>
      <c r="AC203" t="n">
        <v>0</v>
      </c>
    </row>
    <row r="204">
      <c r="A204" s="317" t="n">
        <v>46425</v>
      </c>
      <c r="B204" s="159">
        <f>SUMIFS('METAS EMPRESAS'!$K$15:$K$320,'METAS EMPRESAS'!$A$15:$A$320,"EJ",'METAS EMPRESAS'!$B$15:$B$320,"PREMONTAGEM",'METAS EMPRESAS'!$C$15:$C$320,$A204-WEEKDAY($A204,2)+1)</f>
        <v/>
      </c>
      <c r="C204" s="159">
        <f>SUMIFS('METAS EMPRESAS'!$K$15:$K$320,'METAS EMPRESAS'!$A$15:$A$320,"EJ",'METAS EMPRESAS'!$B$15:$B$320,"IÇAMENTO JOIST",'METAS EMPRESAS'!$C$15:$C$320,$A204-WEEKDAY($A204,2)+1)</f>
        <v/>
      </c>
      <c r="D204" s="159">
        <f>SUMIFS('METAS EMPRESAS'!$K$15:$K$320,'METAS EMPRESAS'!$A$15:$A$320,"EJ",'METAS EMPRESAS'!$B$15:$B$320,"VIGAS",'METAS EMPRESAS'!$C$15:$C$320,$A204-WEEKDAY($A204,2)+1)</f>
        <v/>
      </c>
      <c r="E204" s="159">
        <f>SUMIFS('METAS EMPRESAS'!$K$15:$K$320,'METAS EMPRESAS'!$A$15:$A$320,"CMM",'METAS EMPRESAS'!$B$15:$B$320,"PREMONTAGEM",'METAS EMPRESAS'!$C$15:$C$320,$A204-WEEKDAY($A204,2)+1)</f>
        <v/>
      </c>
      <c r="F204" s="159">
        <f>SUMIFS('METAS EMPRESAS'!$K$15:$K$320,'METAS EMPRESAS'!$A$15:$A$320,"CMM",'METAS EMPRESAS'!$B$15:$B$320,"IÇAMENTO JOIST",'METAS EMPRESAS'!$C$15:$C$320,$A204-WEEKDAY($A204,2)+1)</f>
        <v/>
      </c>
      <c r="G204" s="159">
        <f>SUMIFS('METAS EMPRESAS'!$K$15:$K$320,'METAS EMPRESAS'!$A$15:$A$320,"CMM",'METAS EMPRESAS'!$B$15:$B$320,"VIGAS",'METAS EMPRESAS'!$C$15:$C$320,$A204-WEEKDAY($A204,2)+1)</f>
        <v/>
      </c>
      <c r="H204" s="159">
        <f>SUMIFS('METAS EMPRESAS'!$G$15:$G$320,'METAS EMPRESAS'!$A$15:$A$320,"EJ",'METAS EMPRESAS'!$B$15:$B$320,"PREMONTAGEM",'METAS EMPRESAS'!$C$15:$C$320,$A204-WEEKDAY($A204,2)+1)</f>
        <v/>
      </c>
      <c r="I204" s="159">
        <f>SUMIFS('METAS EMPRESAS'!$G$15:$G$320,'METAS EMPRESAS'!$A$15:$A$320,"EJ",'METAS EMPRESAS'!$B$15:$B$320,"IÇAMENTO JOIST",'METAS EMPRESAS'!$C$15:$C$320,$A204-WEEKDAY($A204,2)+1)</f>
        <v/>
      </c>
      <c r="J204" s="159">
        <f>SUMIFS('METAS EMPRESAS'!$G$15:$G$320,'METAS EMPRESAS'!$A$15:$A$320,"EJ",'METAS EMPRESAS'!$B$15:$B$320,"VIGAS",'METAS EMPRESAS'!$C$15:$C$320,$A204-WEEKDAY($A204,2)+1)</f>
        <v/>
      </c>
      <c r="K204" s="159">
        <f>SUMIFS('METAS EMPRESAS'!$G$15:$G$320,'METAS EMPRESAS'!$A$15:$A$320,"CMM",'METAS EMPRESAS'!$B$15:$B$320,"PREMONTAGEM",'METAS EMPRESAS'!$C$15:$C$320,$A204-WEEKDAY($A204,2)+1)</f>
        <v/>
      </c>
      <c r="L204" s="159">
        <f>SUMIFS('METAS EMPRESAS'!$G$15:$G$320,'METAS EMPRESAS'!$A$15:$A$320,"CMM",'METAS EMPRESAS'!$B$15:$B$320,"IÇAMENTO JOIST",'METAS EMPRESAS'!$C$15:$C$320,$A204-WEEKDAY($A204,2)+1)</f>
        <v/>
      </c>
      <c r="M204" s="159">
        <f>SUMIFS('METAS EMPRESAS'!$G$15:$G$320,'METAS EMPRESAS'!$A$15:$A$320,"CMM",'METAS EMPRESAS'!$B$15:$B$320,"VIGAS",'METAS EMPRESAS'!$C$15:$C$320,$A204-WEEKDAY($A204,2)+1)</f>
        <v/>
      </c>
      <c r="N204" s="159">
        <f>SUMIFS('METAS EMPRESAS'!$J$15:$J$320,'METAS EMPRESAS'!$A$15:$A$320,"EJ",'METAS EMPRESAS'!$B$15:$B$320,"PREMONTAGEM",'METAS EMPRESAS'!$C$15:$C$320,$A204-WEEKDAY($A204,2)+1)</f>
        <v/>
      </c>
      <c r="O204" s="159">
        <f>SUMIFS('METAS EMPRESAS'!$J$15:$J$320,'METAS EMPRESAS'!$A$15:$A$320,"EJ",'METAS EMPRESAS'!$B$15:$B$320,"IÇAMENTO JOIST",'METAS EMPRESAS'!$C$15:$C$320,$A204-WEEKDAY($A204,2)+1)</f>
        <v/>
      </c>
      <c r="P204" s="159">
        <f>SUMIFS('METAS EMPRESAS'!$J$15:$J$320,'METAS EMPRESAS'!$A$15:$A$320,"EJ",'METAS EMPRESAS'!$B$15:$B$320,"VIGAS",'METAS EMPRESAS'!$C$15:$C$320,$A204-WEEKDAY($A204,2)+1)</f>
        <v/>
      </c>
      <c r="Q204" s="159">
        <f>SUMIFS('METAS EMPRESAS'!$J$15:$J$320,'METAS EMPRESAS'!$A$15:$A$320,"CMM",'METAS EMPRESAS'!$B$15:$B$320,"PREMONTAGEM",'METAS EMPRESAS'!$C$15:$C$320,$A204-WEEKDAY($A204,2)+1)</f>
        <v/>
      </c>
      <c r="R204" s="159">
        <f>SUMIFS('METAS EMPRESAS'!$J$15:$J$320,'METAS EMPRESAS'!$A$15:$A$320,"CMM",'METAS EMPRESAS'!$B$15:$B$320,"IÇAMENTO JOIST",'METAS EMPRESAS'!$C$15:$C$320,$A204-WEEKDAY($A204,2)+1)</f>
        <v/>
      </c>
      <c r="S204" s="159">
        <f>SUMIFS('METAS EMPRESAS'!$J$15:$J$320,'METAS EMPRESAS'!$A$15:$A$320,"CMM",'METAS EMPRESAS'!$B$15:$B$320,"VIGAS",'METAS EMPRESAS'!$C$15:$C$320,$A204-WEEKDAY($A204,2)+1)</f>
        <v/>
      </c>
      <c r="T204">
        <f>--(WEEKDAY(A204,2)&lt;=5)</f>
        <v/>
      </c>
      <c r="U204" t="n">
        <v>19</v>
      </c>
      <c r="V204" t="n">
        <v>7</v>
      </c>
      <c r="W204" t="n">
        <v>0</v>
      </c>
      <c r="X204" t="n">
        <v>5</v>
      </c>
      <c r="Y204" t="n">
        <v>5</v>
      </c>
      <c r="Z204" t="n">
        <v>5</v>
      </c>
      <c r="AA204" t="n">
        <v>95</v>
      </c>
      <c r="AB204" t="n">
        <v>35</v>
      </c>
      <c r="AC204" t="n">
        <v>0</v>
      </c>
    </row>
    <row r="205">
      <c r="A205" s="317" t="n">
        <v>46426</v>
      </c>
      <c r="B205" s="159">
        <f>SUMIFS('METAS EMPRESAS'!$K$15:$K$320,'METAS EMPRESAS'!$A$15:$A$320,"EJ",'METAS EMPRESAS'!$B$15:$B$320,"PREMONTAGEM",'METAS EMPRESAS'!$C$15:$C$320,$A205-WEEKDAY($A205,2)+1)</f>
        <v/>
      </c>
      <c r="C205" s="159">
        <f>SUMIFS('METAS EMPRESAS'!$K$15:$K$320,'METAS EMPRESAS'!$A$15:$A$320,"EJ",'METAS EMPRESAS'!$B$15:$B$320,"IÇAMENTO JOIST",'METAS EMPRESAS'!$C$15:$C$320,$A205-WEEKDAY($A205,2)+1)</f>
        <v/>
      </c>
      <c r="D205" s="159">
        <f>SUMIFS('METAS EMPRESAS'!$K$15:$K$320,'METAS EMPRESAS'!$A$15:$A$320,"EJ",'METAS EMPRESAS'!$B$15:$B$320,"VIGAS",'METAS EMPRESAS'!$C$15:$C$320,$A205-WEEKDAY($A205,2)+1)</f>
        <v/>
      </c>
      <c r="E205" s="159">
        <f>SUMIFS('METAS EMPRESAS'!$K$15:$K$320,'METAS EMPRESAS'!$A$15:$A$320,"CMM",'METAS EMPRESAS'!$B$15:$B$320,"PREMONTAGEM",'METAS EMPRESAS'!$C$15:$C$320,$A205-WEEKDAY($A205,2)+1)</f>
        <v/>
      </c>
      <c r="F205" s="159">
        <f>SUMIFS('METAS EMPRESAS'!$K$15:$K$320,'METAS EMPRESAS'!$A$15:$A$320,"CMM",'METAS EMPRESAS'!$B$15:$B$320,"IÇAMENTO JOIST",'METAS EMPRESAS'!$C$15:$C$320,$A205-WEEKDAY($A205,2)+1)</f>
        <v/>
      </c>
      <c r="G205" s="159">
        <f>SUMIFS('METAS EMPRESAS'!$K$15:$K$320,'METAS EMPRESAS'!$A$15:$A$320,"CMM",'METAS EMPRESAS'!$B$15:$B$320,"VIGAS",'METAS EMPRESAS'!$C$15:$C$320,$A205-WEEKDAY($A205,2)+1)</f>
        <v/>
      </c>
      <c r="H205" s="159">
        <f>SUMIFS('METAS EMPRESAS'!$G$15:$G$320,'METAS EMPRESAS'!$A$15:$A$320,"EJ",'METAS EMPRESAS'!$B$15:$B$320,"PREMONTAGEM",'METAS EMPRESAS'!$C$15:$C$320,$A205-WEEKDAY($A205,2)+1)</f>
        <v/>
      </c>
      <c r="I205" s="159">
        <f>SUMIFS('METAS EMPRESAS'!$G$15:$G$320,'METAS EMPRESAS'!$A$15:$A$320,"EJ",'METAS EMPRESAS'!$B$15:$B$320,"IÇAMENTO JOIST",'METAS EMPRESAS'!$C$15:$C$320,$A205-WEEKDAY($A205,2)+1)</f>
        <v/>
      </c>
      <c r="J205" s="159">
        <f>SUMIFS('METAS EMPRESAS'!$G$15:$G$320,'METAS EMPRESAS'!$A$15:$A$320,"EJ",'METAS EMPRESAS'!$B$15:$B$320,"VIGAS",'METAS EMPRESAS'!$C$15:$C$320,$A205-WEEKDAY($A205,2)+1)</f>
        <v/>
      </c>
      <c r="K205" s="159">
        <f>SUMIFS('METAS EMPRESAS'!$G$15:$G$320,'METAS EMPRESAS'!$A$15:$A$320,"CMM",'METAS EMPRESAS'!$B$15:$B$320,"PREMONTAGEM",'METAS EMPRESAS'!$C$15:$C$320,$A205-WEEKDAY($A205,2)+1)</f>
        <v/>
      </c>
      <c r="L205" s="159">
        <f>SUMIFS('METAS EMPRESAS'!$G$15:$G$320,'METAS EMPRESAS'!$A$15:$A$320,"CMM",'METAS EMPRESAS'!$B$15:$B$320,"IÇAMENTO JOIST",'METAS EMPRESAS'!$C$15:$C$320,$A205-WEEKDAY($A205,2)+1)</f>
        <v/>
      </c>
      <c r="M205" s="159">
        <f>SUMIFS('METAS EMPRESAS'!$G$15:$G$320,'METAS EMPRESAS'!$A$15:$A$320,"CMM",'METAS EMPRESAS'!$B$15:$B$320,"VIGAS",'METAS EMPRESAS'!$C$15:$C$320,$A205-WEEKDAY($A205,2)+1)</f>
        <v/>
      </c>
      <c r="N205" s="159">
        <f>SUMIFS('METAS EMPRESAS'!$J$15:$J$320,'METAS EMPRESAS'!$A$15:$A$320,"EJ",'METAS EMPRESAS'!$B$15:$B$320,"PREMONTAGEM",'METAS EMPRESAS'!$C$15:$C$320,$A205-WEEKDAY($A205,2)+1)</f>
        <v/>
      </c>
      <c r="O205" s="159">
        <f>SUMIFS('METAS EMPRESAS'!$J$15:$J$320,'METAS EMPRESAS'!$A$15:$A$320,"EJ",'METAS EMPRESAS'!$B$15:$B$320,"IÇAMENTO JOIST",'METAS EMPRESAS'!$C$15:$C$320,$A205-WEEKDAY($A205,2)+1)</f>
        <v/>
      </c>
      <c r="P205" s="159">
        <f>SUMIFS('METAS EMPRESAS'!$J$15:$J$320,'METAS EMPRESAS'!$A$15:$A$320,"EJ",'METAS EMPRESAS'!$B$15:$B$320,"VIGAS",'METAS EMPRESAS'!$C$15:$C$320,$A205-WEEKDAY($A205,2)+1)</f>
        <v/>
      </c>
      <c r="Q205" s="159">
        <f>SUMIFS('METAS EMPRESAS'!$J$15:$J$320,'METAS EMPRESAS'!$A$15:$A$320,"CMM",'METAS EMPRESAS'!$B$15:$B$320,"PREMONTAGEM",'METAS EMPRESAS'!$C$15:$C$320,$A205-WEEKDAY($A205,2)+1)</f>
        <v/>
      </c>
      <c r="R205" s="159">
        <f>SUMIFS('METAS EMPRESAS'!$J$15:$J$320,'METAS EMPRESAS'!$A$15:$A$320,"CMM",'METAS EMPRESAS'!$B$15:$B$320,"IÇAMENTO JOIST",'METAS EMPRESAS'!$C$15:$C$320,$A205-WEEKDAY($A205,2)+1)</f>
        <v/>
      </c>
      <c r="S205" s="159">
        <f>SUMIFS('METAS EMPRESAS'!$J$15:$J$320,'METAS EMPRESAS'!$A$15:$A$320,"CMM",'METAS EMPRESAS'!$B$15:$B$320,"VIGAS",'METAS EMPRESAS'!$C$15:$C$320,$A205-WEEKDAY($A205,2)+1)</f>
        <v/>
      </c>
      <c r="T205">
        <f>--(WEEKDAY(A205,2)&lt;=5)</f>
        <v/>
      </c>
      <c r="U205" t="n">
        <v>19</v>
      </c>
      <c r="V205" t="n">
        <v>7</v>
      </c>
      <c r="W205" t="n">
        <v>0</v>
      </c>
      <c r="X205" t="n">
        <v>5</v>
      </c>
      <c r="Y205" t="n">
        <v>5</v>
      </c>
      <c r="Z205" t="n">
        <v>5</v>
      </c>
      <c r="AA205" t="n">
        <v>95</v>
      </c>
      <c r="AB205" t="n">
        <v>35</v>
      </c>
      <c r="AC205" t="n">
        <v>0</v>
      </c>
    </row>
    <row r="206">
      <c r="A206" s="317" t="n">
        <v>46427</v>
      </c>
      <c r="B206" s="159">
        <f>SUMIFS('METAS EMPRESAS'!$K$15:$K$320,'METAS EMPRESAS'!$A$15:$A$320,"EJ",'METAS EMPRESAS'!$B$15:$B$320,"PREMONTAGEM",'METAS EMPRESAS'!$C$15:$C$320,$A206-WEEKDAY($A206,2)+1)</f>
        <v/>
      </c>
      <c r="C206" s="159">
        <f>SUMIFS('METAS EMPRESAS'!$K$15:$K$320,'METAS EMPRESAS'!$A$15:$A$320,"EJ",'METAS EMPRESAS'!$B$15:$B$320,"IÇAMENTO JOIST",'METAS EMPRESAS'!$C$15:$C$320,$A206-WEEKDAY($A206,2)+1)</f>
        <v/>
      </c>
      <c r="D206" s="159">
        <f>SUMIFS('METAS EMPRESAS'!$K$15:$K$320,'METAS EMPRESAS'!$A$15:$A$320,"EJ",'METAS EMPRESAS'!$B$15:$B$320,"VIGAS",'METAS EMPRESAS'!$C$15:$C$320,$A206-WEEKDAY($A206,2)+1)</f>
        <v/>
      </c>
      <c r="E206" s="159">
        <f>SUMIFS('METAS EMPRESAS'!$K$15:$K$320,'METAS EMPRESAS'!$A$15:$A$320,"CMM",'METAS EMPRESAS'!$B$15:$B$320,"PREMONTAGEM",'METAS EMPRESAS'!$C$15:$C$320,$A206-WEEKDAY($A206,2)+1)</f>
        <v/>
      </c>
      <c r="F206" s="159">
        <f>SUMIFS('METAS EMPRESAS'!$K$15:$K$320,'METAS EMPRESAS'!$A$15:$A$320,"CMM",'METAS EMPRESAS'!$B$15:$B$320,"IÇAMENTO JOIST",'METAS EMPRESAS'!$C$15:$C$320,$A206-WEEKDAY($A206,2)+1)</f>
        <v/>
      </c>
      <c r="G206" s="159">
        <f>SUMIFS('METAS EMPRESAS'!$K$15:$K$320,'METAS EMPRESAS'!$A$15:$A$320,"CMM",'METAS EMPRESAS'!$B$15:$B$320,"VIGAS",'METAS EMPRESAS'!$C$15:$C$320,$A206-WEEKDAY($A206,2)+1)</f>
        <v/>
      </c>
      <c r="H206" s="159">
        <f>SUMIFS('METAS EMPRESAS'!$G$15:$G$320,'METAS EMPRESAS'!$A$15:$A$320,"EJ",'METAS EMPRESAS'!$B$15:$B$320,"PREMONTAGEM",'METAS EMPRESAS'!$C$15:$C$320,$A206-WEEKDAY($A206,2)+1)</f>
        <v/>
      </c>
      <c r="I206" s="159">
        <f>SUMIFS('METAS EMPRESAS'!$G$15:$G$320,'METAS EMPRESAS'!$A$15:$A$320,"EJ",'METAS EMPRESAS'!$B$15:$B$320,"IÇAMENTO JOIST",'METAS EMPRESAS'!$C$15:$C$320,$A206-WEEKDAY($A206,2)+1)</f>
        <v/>
      </c>
      <c r="J206" s="159">
        <f>SUMIFS('METAS EMPRESAS'!$G$15:$G$320,'METAS EMPRESAS'!$A$15:$A$320,"EJ",'METAS EMPRESAS'!$B$15:$B$320,"VIGAS",'METAS EMPRESAS'!$C$15:$C$320,$A206-WEEKDAY($A206,2)+1)</f>
        <v/>
      </c>
      <c r="K206" s="159">
        <f>SUMIFS('METAS EMPRESAS'!$G$15:$G$320,'METAS EMPRESAS'!$A$15:$A$320,"CMM",'METAS EMPRESAS'!$B$15:$B$320,"PREMONTAGEM",'METAS EMPRESAS'!$C$15:$C$320,$A206-WEEKDAY($A206,2)+1)</f>
        <v/>
      </c>
      <c r="L206" s="159">
        <f>SUMIFS('METAS EMPRESAS'!$G$15:$G$320,'METAS EMPRESAS'!$A$15:$A$320,"CMM",'METAS EMPRESAS'!$B$15:$B$320,"IÇAMENTO JOIST",'METAS EMPRESAS'!$C$15:$C$320,$A206-WEEKDAY($A206,2)+1)</f>
        <v/>
      </c>
      <c r="M206" s="159">
        <f>SUMIFS('METAS EMPRESAS'!$G$15:$G$320,'METAS EMPRESAS'!$A$15:$A$320,"CMM",'METAS EMPRESAS'!$B$15:$B$320,"VIGAS",'METAS EMPRESAS'!$C$15:$C$320,$A206-WEEKDAY($A206,2)+1)</f>
        <v/>
      </c>
      <c r="N206" s="159">
        <f>SUMIFS('METAS EMPRESAS'!$J$15:$J$320,'METAS EMPRESAS'!$A$15:$A$320,"EJ",'METAS EMPRESAS'!$B$15:$B$320,"PREMONTAGEM",'METAS EMPRESAS'!$C$15:$C$320,$A206-WEEKDAY($A206,2)+1)</f>
        <v/>
      </c>
      <c r="O206" s="159">
        <f>SUMIFS('METAS EMPRESAS'!$J$15:$J$320,'METAS EMPRESAS'!$A$15:$A$320,"EJ",'METAS EMPRESAS'!$B$15:$B$320,"IÇAMENTO JOIST",'METAS EMPRESAS'!$C$15:$C$320,$A206-WEEKDAY($A206,2)+1)</f>
        <v/>
      </c>
      <c r="P206" s="159">
        <f>SUMIFS('METAS EMPRESAS'!$J$15:$J$320,'METAS EMPRESAS'!$A$15:$A$320,"EJ",'METAS EMPRESAS'!$B$15:$B$320,"VIGAS",'METAS EMPRESAS'!$C$15:$C$320,$A206-WEEKDAY($A206,2)+1)</f>
        <v/>
      </c>
      <c r="Q206" s="159">
        <f>SUMIFS('METAS EMPRESAS'!$J$15:$J$320,'METAS EMPRESAS'!$A$15:$A$320,"CMM",'METAS EMPRESAS'!$B$15:$B$320,"PREMONTAGEM",'METAS EMPRESAS'!$C$15:$C$320,$A206-WEEKDAY($A206,2)+1)</f>
        <v/>
      </c>
      <c r="R206" s="159">
        <f>SUMIFS('METAS EMPRESAS'!$J$15:$J$320,'METAS EMPRESAS'!$A$15:$A$320,"CMM",'METAS EMPRESAS'!$B$15:$B$320,"IÇAMENTO JOIST",'METAS EMPRESAS'!$C$15:$C$320,$A206-WEEKDAY($A206,2)+1)</f>
        <v/>
      </c>
      <c r="S206" s="159">
        <f>SUMIFS('METAS EMPRESAS'!$J$15:$J$320,'METAS EMPRESAS'!$A$15:$A$320,"CMM",'METAS EMPRESAS'!$B$15:$B$320,"VIGAS",'METAS EMPRESAS'!$C$15:$C$320,$A206-WEEKDAY($A206,2)+1)</f>
        <v/>
      </c>
      <c r="T206">
        <f>--(WEEKDAY(A206,2)&lt;=5)</f>
        <v/>
      </c>
      <c r="U206" t="n">
        <v>19</v>
      </c>
      <c r="V206" t="n">
        <v>7</v>
      </c>
      <c r="W206" t="n">
        <v>0</v>
      </c>
      <c r="X206" t="n">
        <v>5</v>
      </c>
      <c r="Y206" t="n">
        <v>5</v>
      </c>
      <c r="Z206" t="n">
        <v>5</v>
      </c>
      <c r="AA206" t="n">
        <v>95</v>
      </c>
      <c r="AB206" t="n">
        <v>35</v>
      </c>
      <c r="AC206" t="n">
        <v>0</v>
      </c>
    </row>
    <row r="207">
      <c r="A207" s="317" t="n">
        <v>46428</v>
      </c>
      <c r="B207" s="159">
        <f>SUMIFS('METAS EMPRESAS'!$K$15:$K$320,'METAS EMPRESAS'!$A$15:$A$320,"EJ",'METAS EMPRESAS'!$B$15:$B$320,"PREMONTAGEM",'METAS EMPRESAS'!$C$15:$C$320,$A207-WEEKDAY($A207,2)+1)</f>
        <v/>
      </c>
      <c r="C207" s="159">
        <f>SUMIFS('METAS EMPRESAS'!$K$15:$K$320,'METAS EMPRESAS'!$A$15:$A$320,"EJ",'METAS EMPRESAS'!$B$15:$B$320,"IÇAMENTO JOIST",'METAS EMPRESAS'!$C$15:$C$320,$A207-WEEKDAY($A207,2)+1)</f>
        <v/>
      </c>
      <c r="D207" s="159">
        <f>SUMIFS('METAS EMPRESAS'!$K$15:$K$320,'METAS EMPRESAS'!$A$15:$A$320,"EJ",'METAS EMPRESAS'!$B$15:$B$320,"VIGAS",'METAS EMPRESAS'!$C$15:$C$320,$A207-WEEKDAY($A207,2)+1)</f>
        <v/>
      </c>
      <c r="E207" s="159">
        <f>SUMIFS('METAS EMPRESAS'!$K$15:$K$320,'METAS EMPRESAS'!$A$15:$A$320,"CMM",'METAS EMPRESAS'!$B$15:$B$320,"PREMONTAGEM",'METAS EMPRESAS'!$C$15:$C$320,$A207-WEEKDAY($A207,2)+1)</f>
        <v/>
      </c>
      <c r="F207" s="159">
        <f>SUMIFS('METAS EMPRESAS'!$K$15:$K$320,'METAS EMPRESAS'!$A$15:$A$320,"CMM",'METAS EMPRESAS'!$B$15:$B$320,"IÇAMENTO JOIST",'METAS EMPRESAS'!$C$15:$C$320,$A207-WEEKDAY($A207,2)+1)</f>
        <v/>
      </c>
      <c r="G207" s="159">
        <f>SUMIFS('METAS EMPRESAS'!$K$15:$K$320,'METAS EMPRESAS'!$A$15:$A$320,"CMM",'METAS EMPRESAS'!$B$15:$B$320,"VIGAS",'METAS EMPRESAS'!$C$15:$C$320,$A207-WEEKDAY($A207,2)+1)</f>
        <v/>
      </c>
      <c r="H207" s="159">
        <f>SUMIFS('METAS EMPRESAS'!$G$15:$G$320,'METAS EMPRESAS'!$A$15:$A$320,"EJ",'METAS EMPRESAS'!$B$15:$B$320,"PREMONTAGEM",'METAS EMPRESAS'!$C$15:$C$320,$A207-WEEKDAY($A207,2)+1)</f>
        <v/>
      </c>
      <c r="I207" s="159">
        <f>SUMIFS('METAS EMPRESAS'!$G$15:$G$320,'METAS EMPRESAS'!$A$15:$A$320,"EJ",'METAS EMPRESAS'!$B$15:$B$320,"IÇAMENTO JOIST",'METAS EMPRESAS'!$C$15:$C$320,$A207-WEEKDAY($A207,2)+1)</f>
        <v/>
      </c>
      <c r="J207" s="159">
        <f>SUMIFS('METAS EMPRESAS'!$G$15:$G$320,'METAS EMPRESAS'!$A$15:$A$320,"EJ",'METAS EMPRESAS'!$B$15:$B$320,"VIGAS",'METAS EMPRESAS'!$C$15:$C$320,$A207-WEEKDAY($A207,2)+1)</f>
        <v/>
      </c>
      <c r="K207" s="159">
        <f>SUMIFS('METAS EMPRESAS'!$G$15:$G$320,'METAS EMPRESAS'!$A$15:$A$320,"CMM",'METAS EMPRESAS'!$B$15:$B$320,"PREMONTAGEM",'METAS EMPRESAS'!$C$15:$C$320,$A207-WEEKDAY($A207,2)+1)</f>
        <v/>
      </c>
      <c r="L207" s="159">
        <f>SUMIFS('METAS EMPRESAS'!$G$15:$G$320,'METAS EMPRESAS'!$A$15:$A$320,"CMM",'METAS EMPRESAS'!$B$15:$B$320,"IÇAMENTO JOIST",'METAS EMPRESAS'!$C$15:$C$320,$A207-WEEKDAY($A207,2)+1)</f>
        <v/>
      </c>
      <c r="M207" s="159">
        <f>SUMIFS('METAS EMPRESAS'!$G$15:$G$320,'METAS EMPRESAS'!$A$15:$A$320,"CMM",'METAS EMPRESAS'!$B$15:$B$320,"VIGAS",'METAS EMPRESAS'!$C$15:$C$320,$A207-WEEKDAY($A207,2)+1)</f>
        <v/>
      </c>
      <c r="N207" s="159">
        <f>SUMIFS('METAS EMPRESAS'!$J$15:$J$320,'METAS EMPRESAS'!$A$15:$A$320,"EJ",'METAS EMPRESAS'!$B$15:$B$320,"PREMONTAGEM",'METAS EMPRESAS'!$C$15:$C$320,$A207-WEEKDAY($A207,2)+1)</f>
        <v/>
      </c>
      <c r="O207" s="159">
        <f>SUMIFS('METAS EMPRESAS'!$J$15:$J$320,'METAS EMPRESAS'!$A$15:$A$320,"EJ",'METAS EMPRESAS'!$B$15:$B$320,"IÇAMENTO JOIST",'METAS EMPRESAS'!$C$15:$C$320,$A207-WEEKDAY($A207,2)+1)</f>
        <v/>
      </c>
      <c r="P207" s="159">
        <f>SUMIFS('METAS EMPRESAS'!$J$15:$J$320,'METAS EMPRESAS'!$A$15:$A$320,"EJ",'METAS EMPRESAS'!$B$15:$B$320,"VIGAS",'METAS EMPRESAS'!$C$15:$C$320,$A207-WEEKDAY($A207,2)+1)</f>
        <v/>
      </c>
      <c r="Q207" s="159">
        <f>SUMIFS('METAS EMPRESAS'!$J$15:$J$320,'METAS EMPRESAS'!$A$15:$A$320,"CMM",'METAS EMPRESAS'!$B$15:$B$320,"PREMONTAGEM",'METAS EMPRESAS'!$C$15:$C$320,$A207-WEEKDAY($A207,2)+1)</f>
        <v/>
      </c>
      <c r="R207" s="159">
        <f>SUMIFS('METAS EMPRESAS'!$J$15:$J$320,'METAS EMPRESAS'!$A$15:$A$320,"CMM",'METAS EMPRESAS'!$B$15:$B$320,"IÇAMENTO JOIST",'METAS EMPRESAS'!$C$15:$C$320,$A207-WEEKDAY($A207,2)+1)</f>
        <v/>
      </c>
      <c r="S207" s="159">
        <f>SUMIFS('METAS EMPRESAS'!$J$15:$J$320,'METAS EMPRESAS'!$A$15:$A$320,"CMM",'METAS EMPRESAS'!$B$15:$B$320,"VIGAS",'METAS EMPRESAS'!$C$15:$C$320,$A207-WEEKDAY($A207,2)+1)</f>
        <v/>
      </c>
      <c r="T207">
        <f>--(WEEKDAY(A207,2)&lt;=5)</f>
        <v/>
      </c>
      <c r="U207" t="n">
        <v>19</v>
      </c>
      <c r="V207" t="n">
        <v>7</v>
      </c>
      <c r="W207" t="n">
        <v>0</v>
      </c>
      <c r="X207" t="n">
        <v>5</v>
      </c>
      <c r="Y207" t="n">
        <v>5</v>
      </c>
      <c r="Z207" t="n">
        <v>5</v>
      </c>
      <c r="AA207" t="n">
        <v>95</v>
      </c>
      <c r="AB207" t="n">
        <v>35</v>
      </c>
      <c r="AC207" t="n">
        <v>0</v>
      </c>
    </row>
    <row r="208">
      <c r="A208" s="317" t="n">
        <v>46429</v>
      </c>
      <c r="B208" s="159">
        <f>SUMIFS('METAS EMPRESAS'!$K$15:$K$320,'METAS EMPRESAS'!$A$15:$A$320,"EJ",'METAS EMPRESAS'!$B$15:$B$320,"PREMONTAGEM",'METAS EMPRESAS'!$C$15:$C$320,$A208-WEEKDAY($A208,2)+1)</f>
        <v/>
      </c>
      <c r="C208" s="159">
        <f>SUMIFS('METAS EMPRESAS'!$K$15:$K$320,'METAS EMPRESAS'!$A$15:$A$320,"EJ",'METAS EMPRESAS'!$B$15:$B$320,"IÇAMENTO JOIST",'METAS EMPRESAS'!$C$15:$C$320,$A208-WEEKDAY($A208,2)+1)</f>
        <v/>
      </c>
      <c r="D208" s="159">
        <f>SUMIFS('METAS EMPRESAS'!$K$15:$K$320,'METAS EMPRESAS'!$A$15:$A$320,"EJ",'METAS EMPRESAS'!$B$15:$B$320,"VIGAS",'METAS EMPRESAS'!$C$15:$C$320,$A208-WEEKDAY($A208,2)+1)</f>
        <v/>
      </c>
      <c r="E208" s="159">
        <f>SUMIFS('METAS EMPRESAS'!$K$15:$K$320,'METAS EMPRESAS'!$A$15:$A$320,"CMM",'METAS EMPRESAS'!$B$15:$B$320,"PREMONTAGEM",'METAS EMPRESAS'!$C$15:$C$320,$A208-WEEKDAY($A208,2)+1)</f>
        <v/>
      </c>
      <c r="F208" s="159">
        <f>SUMIFS('METAS EMPRESAS'!$K$15:$K$320,'METAS EMPRESAS'!$A$15:$A$320,"CMM",'METAS EMPRESAS'!$B$15:$B$320,"IÇAMENTO JOIST",'METAS EMPRESAS'!$C$15:$C$320,$A208-WEEKDAY($A208,2)+1)</f>
        <v/>
      </c>
      <c r="G208" s="159">
        <f>SUMIFS('METAS EMPRESAS'!$K$15:$K$320,'METAS EMPRESAS'!$A$15:$A$320,"CMM",'METAS EMPRESAS'!$B$15:$B$320,"VIGAS",'METAS EMPRESAS'!$C$15:$C$320,$A208-WEEKDAY($A208,2)+1)</f>
        <v/>
      </c>
      <c r="H208" s="159">
        <f>SUMIFS('METAS EMPRESAS'!$G$15:$G$320,'METAS EMPRESAS'!$A$15:$A$320,"EJ",'METAS EMPRESAS'!$B$15:$B$320,"PREMONTAGEM",'METAS EMPRESAS'!$C$15:$C$320,$A208-WEEKDAY($A208,2)+1)</f>
        <v/>
      </c>
      <c r="I208" s="159">
        <f>SUMIFS('METAS EMPRESAS'!$G$15:$G$320,'METAS EMPRESAS'!$A$15:$A$320,"EJ",'METAS EMPRESAS'!$B$15:$B$320,"IÇAMENTO JOIST",'METAS EMPRESAS'!$C$15:$C$320,$A208-WEEKDAY($A208,2)+1)</f>
        <v/>
      </c>
      <c r="J208" s="159">
        <f>SUMIFS('METAS EMPRESAS'!$G$15:$G$320,'METAS EMPRESAS'!$A$15:$A$320,"EJ",'METAS EMPRESAS'!$B$15:$B$320,"VIGAS",'METAS EMPRESAS'!$C$15:$C$320,$A208-WEEKDAY($A208,2)+1)</f>
        <v/>
      </c>
      <c r="K208" s="159">
        <f>SUMIFS('METAS EMPRESAS'!$G$15:$G$320,'METAS EMPRESAS'!$A$15:$A$320,"CMM",'METAS EMPRESAS'!$B$15:$B$320,"PREMONTAGEM",'METAS EMPRESAS'!$C$15:$C$320,$A208-WEEKDAY($A208,2)+1)</f>
        <v/>
      </c>
      <c r="L208" s="159">
        <f>SUMIFS('METAS EMPRESAS'!$G$15:$G$320,'METAS EMPRESAS'!$A$15:$A$320,"CMM",'METAS EMPRESAS'!$B$15:$B$320,"IÇAMENTO JOIST",'METAS EMPRESAS'!$C$15:$C$320,$A208-WEEKDAY($A208,2)+1)</f>
        <v/>
      </c>
      <c r="M208" s="159">
        <f>SUMIFS('METAS EMPRESAS'!$G$15:$G$320,'METAS EMPRESAS'!$A$15:$A$320,"CMM",'METAS EMPRESAS'!$B$15:$B$320,"VIGAS",'METAS EMPRESAS'!$C$15:$C$320,$A208-WEEKDAY($A208,2)+1)</f>
        <v/>
      </c>
      <c r="N208" s="159">
        <f>SUMIFS('METAS EMPRESAS'!$J$15:$J$320,'METAS EMPRESAS'!$A$15:$A$320,"EJ",'METAS EMPRESAS'!$B$15:$B$320,"PREMONTAGEM",'METAS EMPRESAS'!$C$15:$C$320,$A208-WEEKDAY($A208,2)+1)</f>
        <v/>
      </c>
      <c r="O208" s="159">
        <f>SUMIFS('METAS EMPRESAS'!$J$15:$J$320,'METAS EMPRESAS'!$A$15:$A$320,"EJ",'METAS EMPRESAS'!$B$15:$B$320,"IÇAMENTO JOIST",'METAS EMPRESAS'!$C$15:$C$320,$A208-WEEKDAY($A208,2)+1)</f>
        <v/>
      </c>
      <c r="P208" s="159">
        <f>SUMIFS('METAS EMPRESAS'!$J$15:$J$320,'METAS EMPRESAS'!$A$15:$A$320,"EJ",'METAS EMPRESAS'!$B$15:$B$320,"VIGAS",'METAS EMPRESAS'!$C$15:$C$320,$A208-WEEKDAY($A208,2)+1)</f>
        <v/>
      </c>
      <c r="Q208" s="159">
        <f>SUMIFS('METAS EMPRESAS'!$J$15:$J$320,'METAS EMPRESAS'!$A$15:$A$320,"CMM",'METAS EMPRESAS'!$B$15:$B$320,"PREMONTAGEM",'METAS EMPRESAS'!$C$15:$C$320,$A208-WEEKDAY($A208,2)+1)</f>
        <v/>
      </c>
      <c r="R208" s="159">
        <f>SUMIFS('METAS EMPRESAS'!$J$15:$J$320,'METAS EMPRESAS'!$A$15:$A$320,"CMM",'METAS EMPRESAS'!$B$15:$B$320,"IÇAMENTO JOIST",'METAS EMPRESAS'!$C$15:$C$320,$A208-WEEKDAY($A208,2)+1)</f>
        <v/>
      </c>
      <c r="S208" s="159">
        <f>SUMIFS('METAS EMPRESAS'!$J$15:$J$320,'METAS EMPRESAS'!$A$15:$A$320,"CMM",'METAS EMPRESAS'!$B$15:$B$320,"VIGAS",'METAS EMPRESAS'!$C$15:$C$320,$A208-WEEKDAY($A208,2)+1)</f>
        <v/>
      </c>
      <c r="T208">
        <f>--(WEEKDAY(A208,2)&lt;=5)</f>
        <v/>
      </c>
      <c r="U208" t="n">
        <v>19</v>
      </c>
      <c r="V208" t="n">
        <v>7</v>
      </c>
      <c r="W208" t="n">
        <v>0</v>
      </c>
      <c r="X208" t="n">
        <v>5</v>
      </c>
      <c r="Y208" t="n">
        <v>5</v>
      </c>
      <c r="Z208" t="n">
        <v>5</v>
      </c>
      <c r="AA208" t="n">
        <v>95</v>
      </c>
      <c r="AB208" t="n">
        <v>35</v>
      </c>
      <c r="AC208" t="n">
        <v>0</v>
      </c>
    </row>
    <row r="209">
      <c r="A209" s="317" t="n">
        <v>46430</v>
      </c>
      <c r="B209" s="159">
        <f>SUMIFS('METAS EMPRESAS'!$K$15:$K$320,'METAS EMPRESAS'!$A$15:$A$320,"EJ",'METAS EMPRESAS'!$B$15:$B$320,"PREMONTAGEM",'METAS EMPRESAS'!$C$15:$C$320,$A209-WEEKDAY($A209,2)+1)</f>
        <v/>
      </c>
      <c r="C209" s="159">
        <f>SUMIFS('METAS EMPRESAS'!$K$15:$K$320,'METAS EMPRESAS'!$A$15:$A$320,"EJ",'METAS EMPRESAS'!$B$15:$B$320,"IÇAMENTO JOIST",'METAS EMPRESAS'!$C$15:$C$320,$A209-WEEKDAY($A209,2)+1)</f>
        <v/>
      </c>
      <c r="D209" s="159">
        <f>SUMIFS('METAS EMPRESAS'!$K$15:$K$320,'METAS EMPRESAS'!$A$15:$A$320,"EJ",'METAS EMPRESAS'!$B$15:$B$320,"VIGAS",'METAS EMPRESAS'!$C$15:$C$320,$A209-WEEKDAY($A209,2)+1)</f>
        <v/>
      </c>
      <c r="E209" s="159">
        <f>SUMIFS('METAS EMPRESAS'!$K$15:$K$320,'METAS EMPRESAS'!$A$15:$A$320,"CMM",'METAS EMPRESAS'!$B$15:$B$320,"PREMONTAGEM",'METAS EMPRESAS'!$C$15:$C$320,$A209-WEEKDAY($A209,2)+1)</f>
        <v/>
      </c>
      <c r="F209" s="159">
        <f>SUMIFS('METAS EMPRESAS'!$K$15:$K$320,'METAS EMPRESAS'!$A$15:$A$320,"CMM",'METAS EMPRESAS'!$B$15:$B$320,"IÇAMENTO JOIST",'METAS EMPRESAS'!$C$15:$C$320,$A209-WEEKDAY($A209,2)+1)</f>
        <v/>
      </c>
      <c r="G209" s="159">
        <f>SUMIFS('METAS EMPRESAS'!$K$15:$K$320,'METAS EMPRESAS'!$A$15:$A$320,"CMM",'METAS EMPRESAS'!$B$15:$B$320,"VIGAS",'METAS EMPRESAS'!$C$15:$C$320,$A209-WEEKDAY($A209,2)+1)</f>
        <v/>
      </c>
      <c r="H209" s="159">
        <f>SUMIFS('METAS EMPRESAS'!$G$15:$G$320,'METAS EMPRESAS'!$A$15:$A$320,"EJ",'METAS EMPRESAS'!$B$15:$B$320,"PREMONTAGEM",'METAS EMPRESAS'!$C$15:$C$320,$A209-WEEKDAY($A209,2)+1)</f>
        <v/>
      </c>
      <c r="I209" s="159">
        <f>SUMIFS('METAS EMPRESAS'!$G$15:$G$320,'METAS EMPRESAS'!$A$15:$A$320,"EJ",'METAS EMPRESAS'!$B$15:$B$320,"IÇAMENTO JOIST",'METAS EMPRESAS'!$C$15:$C$320,$A209-WEEKDAY($A209,2)+1)</f>
        <v/>
      </c>
      <c r="J209" s="159">
        <f>SUMIFS('METAS EMPRESAS'!$G$15:$G$320,'METAS EMPRESAS'!$A$15:$A$320,"EJ",'METAS EMPRESAS'!$B$15:$B$320,"VIGAS",'METAS EMPRESAS'!$C$15:$C$320,$A209-WEEKDAY($A209,2)+1)</f>
        <v/>
      </c>
      <c r="K209" s="159">
        <f>SUMIFS('METAS EMPRESAS'!$G$15:$G$320,'METAS EMPRESAS'!$A$15:$A$320,"CMM",'METAS EMPRESAS'!$B$15:$B$320,"PREMONTAGEM",'METAS EMPRESAS'!$C$15:$C$320,$A209-WEEKDAY($A209,2)+1)</f>
        <v/>
      </c>
      <c r="L209" s="159">
        <f>SUMIFS('METAS EMPRESAS'!$G$15:$G$320,'METAS EMPRESAS'!$A$15:$A$320,"CMM",'METAS EMPRESAS'!$B$15:$B$320,"IÇAMENTO JOIST",'METAS EMPRESAS'!$C$15:$C$320,$A209-WEEKDAY($A209,2)+1)</f>
        <v/>
      </c>
      <c r="M209" s="159">
        <f>SUMIFS('METAS EMPRESAS'!$G$15:$G$320,'METAS EMPRESAS'!$A$15:$A$320,"CMM",'METAS EMPRESAS'!$B$15:$B$320,"VIGAS",'METAS EMPRESAS'!$C$15:$C$320,$A209-WEEKDAY($A209,2)+1)</f>
        <v/>
      </c>
      <c r="N209" s="159">
        <f>SUMIFS('METAS EMPRESAS'!$J$15:$J$320,'METAS EMPRESAS'!$A$15:$A$320,"EJ",'METAS EMPRESAS'!$B$15:$B$320,"PREMONTAGEM",'METAS EMPRESAS'!$C$15:$C$320,$A209-WEEKDAY($A209,2)+1)</f>
        <v/>
      </c>
      <c r="O209" s="159">
        <f>SUMIFS('METAS EMPRESAS'!$J$15:$J$320,'METAS EMPRESAS'!$A$15:$A$320,"EJ",'METAS EMPRESAS'!$B$15:$B$320,"IÇAMENTO JOIST",'METAS EMPRESAS'!$C$15:$C$320,$A209-WEEKDAY($A209,2)+1)</f>
        <v/>
      </c>
      <c r="P209" s="159">
        <f>SUMIFS('METAS EMPRESAS'!$J$15:$J$320,'METAS EMPRESAS'!$A$15:$A$320,"EJ",'METAS EMPRESAS'!$B$15:$B$320,"VIGAS",'METAS EMPRESAS'!$C$15:$C$320,$A209-WEEKDAY($A209,2)+1)</f>
        <v/>
      </c>
      <c r="Q209" s="159">
        <f>SUMIFS('METAS EMPRESAS'!$J$15:$J$320,'METAS EMPRESAS'!$A$15:$A$320,"CMM",'METAS EMPRESAS'!$B$15:$B$320,"PREMONTAGEM",'METAS EMPRESAS'!$C$15:$C$320,$A209-WEEKDAY($A209,2)+1)</f>
        <v/>
      </c>
      <c r="R209" s="159">
        <f>SUMIFS('METAS EMPRESAS'!$J$15:$J$320,'METAS EMPRESAS'!$A$15:$A$320,"CMM",'METAS EMPRESAS'!$B$15:$B$320,"IÇAMENTO JOIST",'METAS EMPRESAS'!$C$15:$C$320,$A209-WEEKDAY($A209,2)+1)</f>
        <v/>
      </c>
      <c r="S209" s="159">
        <f>SUMIFS('METAS EMPRESAS'!$J$15:$J$320,'METAS EMPRESAS'!$A$15:$A$320,"CMM",'METAS EMPRESAS'!$B$15:$B$320,"VIGAS",'METAS EMPRESAS'!$C$15:$C$320,$A209-WEEKDAY($A209,2)+1)</f>
        <v/>
      </c>
      <c r="T209">
        <f>--(WEEKDAY(A209,2)&lt;=5)</f>
        <v/>
      </c>
      <c r="U209" t="n">
        <v>19</v>
      </c>
      <c r="V209" t="n">
        <v>7</v>
      </c>
      <c r="W209" t="n">
        <v>0</v>
      </c>
      <c r="X209" t="n">
        <v>5</v>
      </c>
      <c r="Y209" t="n">
        <v>5</v>
      </c>
      <c r="Z209" t="n">
        <v>5</v>
      </c>
      <c r="AA209" t="n">
        <v>95</v>
      </c>
      <c r="AB209" t="n">
        <v>35</v>
      </c>
      <c r="AC209" t="n">
        <v>0</v>
      </c>
    </row>
    <row r="210">
      <c r="A210" s="317" t="n">
        <v>46431</v>
      </c>
      <c r="B210" s="159">
        <f>SUMIFS('METAS EMPRESAS'!$K$15:$K$320,'METAS EMPRESAS'!$A$15:$A$320,"EJ",'METAS EMPRESAS'!$B$15:$B$320,"PREMONTAGEM",'METAS EMPRESAS'!$C$15:$C$320,$A210-WEEKDAY($A210,2)+1)</f>
        <v/>
      </c>
      <c r="C210" s="159">
        <f>SUMIFS('METAS EMPRESAS'!$K$15:$K$320,'METAS EMPRESAS'!$A$15:$A$320,"EJ",'METAS EMPRESAS'!$B$15:$B$320,"IÇAMENTO JOIST",'METAS EMPRESAS'!$C$15:$C$320,$A210-WEEKDAY($A210,2)+1)</f>
        <v/>
      </c>
      <c r="D210" s="159">
        <f>SUMIFS('METAS EMPRESAS'!$K$15:$K$320,'METAS EMPRESAS'!$A$15:$A$320,"EJ",'METAS EMPRESAS'!$B$15:$B$320,"VIGAS",'METAS EMPRESAS'!$C$15:$C$320,$A210-WEEKDAY($A210,2)+1)</f>
        <v/>
      </c>
      <c r="E210" s="159">
        <f>SUMIFS('METAS EMPRESAS'!$K$15:$K$320,'METAS EMPRESAS'!$A$15:$A$320,"CMM",'METAS EMPRESAS'!$B$15:$B$320,"PREMONTAGEM",'METAS EMPRESAS'!$C$15:$C$320,$A210-WEEKDAY($A210,2)+1)</f>
        <v/>
      </c>
      <c r="F210" s="159">
        <f>SUMIFS('METAS EMPRESAS'!$K$15:$K$320,'METAS EMPRESAS'!$A$15:$A$320,"CMM",'METAS EMPRESAS'!$B$15:$B$320,"IÇAMENTO JOIST",'METAS EMPRESAS'!$C$15:$C$320,$A210-WEEKDAY($A210,2)+1)</f>
        <v/>
      </c>
      <c r="G210" s="159">
        <f>SUMIFS('METAS EMPRESAS'!$K$15:$K$320,'METAS EMPRESAS'!$A$15:$A$320,"CMM",'METAS EMPRESAS'!$B$15:$B$320,"VIGAS",'METAS EMPRESAS'!$C$15:$C$320,$A210-WEEKDAY($A210,2)+1)</f>
        <v/>
      </c>
      <c r="H210" s="159">
        <f>SUMIFS('METAS EMPRESAS'!$G$15:$G$320,'METAS EMPRESAS'!$A$15:$A$320,"EJ",'METAS EMPRESAS'!$B$15:$B$320,"PREMONTAGEM",'METAS EMPRESAS'!$C$15:$C$320,$A210-WEEKDAY($A210,2)+1)</f>
        <v/>
      </c>
      <c r="I210" s="159">
        <f>SUMIFS('METAS EMPRESAS'!$G$15:$G$320,'METAS EMPRESAS'!$A$15:$A$320,"EJ",'METAS EMPRESAS'!$B$15:$B$320,"IÇAMENTO JOIST",'METAS EMPRESAS'!$C$15:$C$320,$A210-WEEKDAY($A210,2)+1)</f>
        <v/>
      </c>
      <c r="J210" s="159">
        <f>SUMIFS('METAS EMPRESAS'!$G$15:$G$320,'METAS EMPRESAS'!$A$15:$A$320,"EJ",'METAS EMPRESAS'!$B$15:$B$320,"VIGAS",'METAS EMPRESAS'!$C$15:$C$320,$A210-WEEKDAY($A210,2)+1)</f>
        <v/>
      </c>
      <c r="K210" s="159">
        <f>SUMIFS('METAS EMPRESAS'!$G$15:$G$320,'METAS EMPRESAS'!$A$15:$A$320,"CMM",'METAS EMPRESAS'!$B$15:$B$320,"PREMONTAGEM",'METAS EMPRESAS'!$C$15:$C$320,$A210-WEEKDAY($A210,2)+1)</f>
        <v/>
      </c>
      <c r="L210" s="159">
        <f>SUMIFS('METAS EMPRESAS'!$G$15:$G$320,'METAS EMPRESAS'!$A$15:$A$320,"CMM",'METAS EMPRESAS'!$B$15:$B$320,"IÇAMENTO JOIST",'METAS EMPRESAS'!$C$15:$C$320,$A210-WEEKDAY($A210,2)+1)</f>
        <v/>
      </c>
      <c r="M210" s="159">
        <f>SUMIFS('METAS EMPRESAS'!$G$15:$G$320,'METAS EMPRESAS'!$A$15:$A$320,"CMM",'METAS EMPRESAS'!$B$15:$B$320,"VIGAS",'METAS EMPRESAS'!$C$15:$C$320,$A210-WEEKDAY($A210,2)+1)</f>
        <v/>
      </c>
      <c r="N210" s="159">
        <f>SUMIFS('METAS EMPRESAS'!$J$15:$J$320,'METAS EMPRESAS'!$A$15:$A$320,"EJ",'METAS EMPRESAS'!$B$15:$B$320,"PREMONTAGEM",'METAS EMPRESAS'!$C$15:$C$320,$A210-WEEKDAY($A210,2)+1)</f>
        <v/>
      </c>
      <c r="O210" s="159">
        <f>SUMIFS('METAS EMPRESAS'!$J$15:$J$320,'METAS EMPRESAS'!$A$15:$A$320,"EJ",'METAS EMPRESAS'!$B$15:$B$320,"IÇAMENTO JOIST",'METAS EMPRESAS'!$C$15:$C$320,$A210-WEEKDAY($A210,2)+1)</f>
        <v/>
      </c>
      <c r="P210" s="159">
        <f>SUMIFS('METAS EMPRESAS'!$J$15:$J$320,'METAS EMPRESAS'!$A$15:$A$320,"EJ",'METAS EMPRESAS'!$B$15:$B$320,"VIGAS",'METAS EMPRESAS'!$C$15:$C$320,$A210-WEEKDAY($A210,2)+1)</f>
        <v/>
      </c>
      <c r="Q210" s="159">
        <f>SUMIFS('METAS EMPRESAS'!$J$15:$J$320,'METAS EMPRESAS'!$A$15:$A$320,"CMM",'METAS EMPRESAS'!$B$15:$B$320,"PREMONTAGEM",'METAS EMPRESAS'!$C$15:$C$320,$A210-WEEKDAY($A210,2)+1)</f>
        <v/>
      </c>
      <c r="R210" s="159">
        <f>SUMIFS('METAS EMPRESAS'!$J$15:$J$320,'METAS EMPRESAS'!$A$15:$A$320,"CMM",'METAS EMPRESAS'!$B$15:$B$320,"IÇAMENTO JOIST",'METAS EMPRESAS'!$C$15:$C$320,$A210-WEEKDAY($A210,2)+1)</f>
        <v/>
      </c>
      <c r="S210" s="159">
        <f>SUMIFS('METAS EMPRESAS'!$J$15:$J$320,'METAS EMPRESAS'!$A$15:$A$320,"CMM",'METAS EMPRESAS'!$B$15:$B$320,"VIGAS",'METAS EMPRESAS'!$C$15:$C$320,$A210-WEEKDAY($A210,2)+1)</f>
        <v/>
      </c>
      <c r="T210">
        <f>--(WEEKDAY(A210,2)&lt;=5)</f>
        <v/>
      </c>
      <c r="U210" t="n">
        <v>19</v>
      </c>
      <c r="V210" t="n">
        <v>7</v>
      </c>
      <c r="W210" t="n">
        <v>0</v>
      </c>
      <c r="X210" t="n">
        <v>5</v>
      </c>
      <c r="Y210" t="n">
        <v>5</v>
      </c>
      <c r="Z210" t="n">
        <v>5</v>
      </c>
      <c r="AA210" t="n">
        <v>95</v>
      </c>
      <c r="AB210" t="n">
        <v>35</v>
      </c>
      <c r="AC210" t="n">
        <v>0</v>
      </c>
    </row>
    <row r="211">
      <c r="A211" s="317" t="n">
        <v>46432</v>
      </c>
      <c r="B211" s="159">
        <f>SUMIFS('METAS EMPRESAS'!$K$15:$K$320,'METAS EMPRESAS'!$A$15:$A$320,"EJ",'METAS EMPRESAS'!$B$15:$B$320,"PREMONTAGEM",'METAS EMPRESAS'!$C$15:$C$320,$A211-WEEKDAY($A211,2)+1)</f>
        <v/>
      </c>
      <c r="C211" s="159">
        <f>SUMIFS('METAS EMPRESAS'!$K$15:$K$320,'METAS EMPRESAS'!$A$15:$A$320,"EJ",'METAS EMPRESAS'!$B$15:$B$320,"IÇAMENTO JOIST",'METAS EMPRESAS'!$C$15:$C$320,$A211-WEEKDAY($A211,2)+1)</f>
        <v/>
      </c>
      <c r="D211" s="159">
        <f>SUMIFS('METAS EMPRESAS'!$K$15:$K$320,'METAS EMPRESAS'!$A$15:$A$320,"EJ",'METAS EMPRESAS'!$B$15:$B$320,"VIGAS",'METAS EMPRESAS'!$C$15:$C$320,$A211-WEEKDAY($A211,2)+1)</f>
        <v/>
      </c>
      <c r="E211" s="159">
        <f>SUMIFS('METAS EMPRESAS'!$K$15:$K$320,'METAS EMPRESAS'!$A$15:$A$320,"CMM",'METAS EMPRESAS'!$B$15:$B$320,"PREMONTAGEM",'METAS EMPRESAS'!$C$15:$C$320,$A211-WEEKDAY($A211,2)+1)</f>
        <v/>
      </c>
      <c r="F211" s="159">
        <f>SUMIFS('METAS EMPRESAS'!$K$15:$K$320,'METAS EMPRESAS'!$A$15:$A$320,"CMM",'METAS EMPRESAS'!$B$15:$B$320,"IÇAMENTO JOIST",'METAS EMPRESAS'!$C$15:$C$320,$A211-WEEKDAY($A211,2)+1)</f>
        <v/>
      </c>
      <c r="G211" s="159">
        <f>SUMIFS('METAS EMPRESAS'!$K$15:$K$320,'METAS EMPRESAS'!$A$15:$A$320,"CMM",'METAS EMPRESAS'!$B$15:$B$320,"VIGAS",'METAS EMPRESAS'!$C$15:$C$320,$A211-WEEKDAY($A211,2)+1)</f>
        <v/>
      </c>
      <c r="H211" s="159">
        <f>SUMIFS('METAS EMPRESAS'!$G$15:$G$320,'METAS EMPRESAS'!$A$15:$A$320,"EJ",'METAS EMPRESAS'!$B$15:$B$320,"PREMONTAGEM",'METAS EMPRESAS'!$C$15:$C$320,$A211-WEEKDAY($A211,2)+1)</f>
        <v/>
      </c>
      <c r="I211" s="159">
        <f>SUMIFS('METAS EMPRESAS'!$G$15:$G$320,'METAS EMPRESAS'!$A$15:$A$320,"EJ",'METAS EMPRESAS'!$B$15:$B$320,"IÇAMENTO JOIST",'METAS EMPRESAS'!$C$15:$C$320,$A211-WEEKDAY($A211,2)+1)</f>
        <v/>
      </c>
      <c r="J211" s="159">
        <f>SUMIFS('METAS EMPRESAS'!$G$15:$G$320,'METAS EMPRESAS'!$A$15:$A$320,"EJ",'METAS EMPRESAS'!$B$15:$B$320,"VIGAS",'METAS EMPRESAS'!$C$15:$C$320,$A211-WEEKDAY($A211,2)+1)</f>
        <v/>
      </c>
      <c r="K211" s="159">
        <f>SUMIFS('METAS EMPRESAS'!$G$15:$G$320,'METAS EMPRESAS'!$A$15:$A$320,"CMM",'METAS EMPRESAS'!$B$15:$B$320,"PREMONTAGEM",'METAS EMPRESAS'!$C$15:$C$320,$A211-WEEKDAY($A211,2)+1)</f>
        <v/>
      </c>
      <c r="L211" s="159">
        <f>SUMIFS('METAS EMPRESAS'!$G$15:$G$320,'METAS EMPRESAS'!$A$15:$A$320,"CMM",'METAS EMPRESAS'!$B$15:$B$320,"IÇAMENTO JOIST",'METAS EMPRESAS'!$C$15:$C$320,$A211-WEEKDAY($A211,2)+1)</f>
        <v/>
      </c>
      <c r="M211" s="159">
        <f>SUMIFS('METAS EMPRESAS'!$G$15:$G$320,'METAS EMPRESAS'!$A$15:$A$320,"CMM",'METAS EMPRESAS'!$B$15:$B$320,"VIGAS",'METAS EMPRESAS'!$C$15:$C$320,$A211-WEEKDAY($A211,2)+1)</f>
        <v/>
      </c>
      <c r="N211" s="159">
        <f>SUMIFS('METAS EMPRESAS'!$J$15:$J$320,'METAS EMPRESAS'!$A$15:$A$320,"EJ",'METAS EMPRESAS'!$B$15:$B$320,"PREMONTAGEM",'METAS EMPRESAS'!$C$15:$C$320,$A211-WEEKDAY($A211,2)+1)</f>
        <v/>
      </c>
      <c r="O211" s="159">
        <f>SUMIFS('METAS EMPRESAS'!$J$15:$J$320,'METAS EMPRESAS'!$A$15:$A$320,"EJ",'METAS EMPRESAS'!$B$15:$B$320,"IÇAMENTO JOIST",'METAS EMPRESAS'!$C$15:$C$320,$A211-WEEKDAY($A211,2)+1)</f>
        <v/>
      </c>
      <c r="P211" s="159">
        <f>SUMIFS('METAS EMPRESAS'!$J$15:$J$320,'METAS EMPRESAS'!$A$15:$A$320,"EJ",'METAS EMPRESAS'!$B$15:$B$320,"VIGAS",'METAS EMPRESAS'!$C$15:$C$320,$A211-WEEKDAY($A211,2)+1)</f>
        <v/>
      </c>
      <c r="Q211" s="159">
        <f>SUMIFS('METAS EMPRESAS'!$J$15:$J$320,'METAS EMPRESAS'!$A$15:$A$320,"CMM",'METAS EMPRESAS'!$B$15:$B$320,"PREMONTAGEM",'METAS EMPRESAS'!$C$15:$C$320,$A211-WEEKDAY($A211,2)+1)</f>
        <v/>
      </c>
      <c r="R211" s="159">
        <f>SUMIFS('METAS EMPRESAS'!$J$15:$J$320,'METAS EMPRESAS'!$A$15:$A$320,"CMM",'METAS EMPRESAS'!$B$15:$B$320,"IÇAMENTO JOIST",'METAS EMPRESAS'!$C$15:$C$320,$A211-WEEKDAY($A211,2)+1)</f>
        <v/>
      </c>
      <c r="S211" s="159">
        <f>SUMIFS('METAS EMPRESAS'!$J$15:$J$320,'METAS EMPRESAS'!$A$15:$A$320,"CMM",'METAS EMPRESAS'!$B$15:$B$320,"VIGAS",'METAS EMPRESAS'!$C$15:$C$320,$A211-WEEKDAY($A211,2)+1)</f>
        <v/>
      </c>
      <c r="T211">
        <f>--(WEEKDAY(A211,2)&lt;=5)</f>
        <v/>
      </c>
      <c r="U211" t="n">
        <v>19</v>
      </c>
      <c r="V211" t="n">
        <v>7</v>
      </c>
      <c r="W211" t="n">
        <v>0</v>
      </c>
      <c r="X211" t="n">
        <v>5</v>
      </c>
      <c r="Y211" t="n">
        <v>5</v>
      </c>
      <c r="Z211" t="n">
        <v>5</v>
      </c>
      <c r="AA211" t="n">
        <v>95</v>
      </c>
      <c r="AB211" t="n">
        <v>35</v>
      </c>
      <c r="AC211" t="n">
        <v>0</v>
      </c>
    </row>
    <row r="212">
      <c r="A212" s="317" t="n">
        <v>46433</v>
      </c>
      <c r="B212" s="159">
        <f>SUMIFS('METAS EMPRESAS'!$K$15:$K$320,'METAS EMPRESAS'!$A$15:$A$320,"EJ",'METAS EMPRESAS'!$B$15:$B$320,"PREMONTAGEM",'METAS EMPRESAS'!$C$15:$C$320,$A212-WEEKDAY($A212,2)+1)</f>
        <v/>
      </c>
      <c r="C212" s="159">
        <f>SUMIFS('METAS EMPRESAS'!$K$15:$K$320,'METAS EMPRESAS'!$A$15:$A$320,"EJ",'METAS EMPRESAS'!$B$15:$B$320,"IÇAMENTO JOIST",'METAS EMPRESAS'!$C$15:$C$320,$A212-WEEKDAY($A212,2)+1)</f>
        <v/>
      </c>
      <c r="D212" s="159">
        <f>SUMIFS('METAS EMPRESAS'!$K$15:$K$320,'METAS EMPRESAS'!$A$15:$A$320,"EJ",'METAS EMPRESAS'!$B$15:$B$320,"VIGAS",'METAS EMPRESAS'!$C$15:$C$320,$A212-WEEKDAY($A212,2)+1)</f>
        <v/>
      </c>
      <c r="E212" s="159">
        <f>SUMIFS('METAS EMPRESAS'!$K$15:$K$320,'METAS EMPRESAS'!$A$15:$A$320,"CMM",'METAS EMPRESAS'!$B$15:$B$320,"PREMONTAGEM",'METAS EMPRESAS'!$C$15:$C$320,$A212-WEEKDAY($A212,2)+1)</f>
        <v/>
      </c>
      <c r="F212" s="159">
        <f>SUMIFS('METAS EMPRESAS'!$K$15:$K$320,'METAS EMPRESAS'!$A$15:$A$320,"CMM",'METAS EMPRESAS'!$B$15:$B$320,"IÇAMENTO JOIST",'METAS EMPRESAS'!$C$15:$C$320,$A212-WEEKDAY($A212,2)+1)</f>
        <v/>
      </c>
      <c r="G212" s="159">
        <f>SUMIFS('METAS EMPRESAS'!$K$15:$K$320,'METAS EMPRESAS'!$A$15:$A$320,"CMM",'METAS EMPRESAS'!$B$15:$B$320,"VIGAS",'METAS EMPRESAS'!$C$15:$C$320,$A212-WEEKDAY($A212,2)+1)</f>
        <v/>
      </c>
      <c r="H212" s="159">
        <f>SUMIFS('METAS EMPRESAS'!$G$15:$G$320,'METAS EMPRESAS'!$A$15:$A$320,"EJ",'METAS EMPRESAS'!$B$15:$B$320,"PREMONTAGEM",'METAS EMPRESAS'!$C$15:$C$320,$A212-WEEKDAY($A212,2)+1)</f>
        <v/>
      </c>
      <c r="I212" s="159">
        <f>SUMIFS('METAS EMPRESAS'!$G$15:$G$320,'METAS EMPRESAS'!$A$15:$A$320,"EJ",'METAS EMPRESAS'!$B$15:$B$320,"IÇAMENTO JOIST",'METAS EMPRESAS'!$C$15:$C$320,$A212-WEEKDAY($A212,2)+1)</f>
        <v/>
      </c>
      <c r="J212" s="159">
        <f>SUMIFS('METAS EMPRESAS'!$G$15:$G$320,'METAS EMPRESAS'!$A$15:$A$320,"EJ",'METAS EMPRESAS'!$B$15:$B$320,"VIGAS",'METAS EMPRESAS'!$C$15:$C$320,$A212-WEEKDAY($A212,2)+1)</f>
        <v/>
      </c>
      <c r="K212" s="159">
        <f>SUMIFS('METAS EMPRESAS'!$G$15:$G$320,'METAS EMPRESAS'!$A$15:$A$320,"CMM",'METAS EMPRESAS'!$B$15:$B$320,"PREMONTAGEM",'METAS EMPRESAS'!$C$15:$C$320,$A212-WEEKDAY($A212,2)+1)</f>
        <v/>
      </c>
      <c r="L212" s="159">
        <f>SUMIFS('METAS EMPRESAS'!$G$15:$G$320,'METAS EMPRESAS'!$A$15:$A$320,"CMM",'METAS EMPRESAS'!$B$15:$B$320,"IÇAMENTO JOIST",'METAS EMPRESAS'!$C$15:$C$320,$A212-WEEKDAY($A212,2)+1)</f>
        <v/>
      </c>
      <c r="M212" s="159">
        <f>SUMIFS('METAS EMPRESAS'!$G$15:$G$320,'METAS EMPRESAS'!$A$15:$A$320,"CMM",'METAS EMPRESAS'!$B$15:$B$320,"VIGAS",'METAS EMPRESAS'!$C$15:$C$320,$A212-WEEKDAY($A212,2)+1)</f>
        <v/>
      </c>
      <c r="N212" s="159">
        <f>SUMIFS('METAS EMPRESAS'!$J$15:$J$320,'METAS EMPRESAS'!$A$15:$A$320,"EJ",'METAS EMPRESAS'!$B$15:$B$320,"PREMONTAGEM",'METAS EMPRESAS'!$C$15:$C$320,$A212-WEEKDAY($A212,2)+1)</f>
        <v/>
      </c>
      <c r="O212" s="159">
        <f>SUMIFS('METAS EMPRESAS'!$J$15:$J$320,'METAS EMPRESAS'!$A$15:$A$320,"EJ",'METAS EMPRESAS'!$B$15:$B$320,"IÇAMENTO JOIST",'METAS EMPRESAS'!$C$15:$C$320,$A212-WEEKDAY($A212,2)+1)</f>
        <v/>
      </c>
      <c r="P212" s="159">
        <f>SUMIFS('METAS EMPRESAS'!$J$15:$J$320,'METAS EMPRESAS'!$A$15:$A$320,"EJ",'METAS EMPRESAS'!$B$15:$B$320,"VIGAS",'METAS EMPRESAS'!$C$15:$C$320,$A212-WEEKDAY($A212,2)+1)</f>
        <v/>
      </c>
      <c r="Q212" s="159">
        <f>SUMIFS('METAS EMPRESAS'!$J$15:$J$320,'METAS EMPRESAS'!$A$15:$A$320,"CMM",'METAS EMPRESAS'!$B$15:$B$320,"PREMONTAGEM",'METAS EMPRESAS'!$C$15:$C$320,$A212-WEEKDAY($A212,2)+1)</f>
        <v/>
      </c>
      <c r="R212" s="159">
        <f>SUMIFS('METAS EMPRESAS'!$J$15:$J$320,'METAS EMPRESAS'!$A$15:$A$320,"CMM",'METAS EMPRESAS'!$B$15:$B$320,"IÇAMENTO JOIST",'METAS EMPRESAS'!$C$15:$C$320,$A212-WEEKDAY($A212,2)+1)</f>
        <v/>
      </c>
      <c r="S212" s="159">
        <f>SUMIFS('METAS EMPRESAS'!$J$15:$J$320,'METAS EMPRESAS'!$A$15:$A$320,"CMM",'METAS EMPRESAS'!$B$15:$B$320,"VIGAS",'METAS EMPRESAS'!$C$15:$C$320,$A212-WEEKDAY($A212,2)+1)</f>
        <v/>
      </c>
      <c r="T212">
        <f>--(WEEKDAY(A212,2)&lt;=5)</f>
        <v/>
      </c>
      <c r="U212" t="n">
        <v>19</v>
      </c>
      <c r="V212" t="n">
        <v>7</v>
      </c>
      <c r="W212" t="n">
        <v>0</v>
      </c>
      <c r="X212" t="n">
        <v>5</v>
      </c>
      <c r="Y212" t="n">
        <v>5</v>
      </c>
      <c r="Z212" t="n">
        <v>5</v>
      </c>
      <c r="AA212" t="n">
        <v>95</v>
      </c>
      <c r="AB212" t="n">
        <v>35</v>
      </c>
      <c r="AC212" t="n">
        <v>0</v>
      </c>
    </row>
    <row r="213">
      <c r="A213" s="317" t="n">
        <v>46434</v>
      </c>
      <c r="B213" s="159">
        <f>SUMIFS('METAS EMPRESAS'!$K$15:$K$320,'METAS EMPRESAS'!$A$15:$A$320,"EJ",'METAS EMPRESAS'!$B$15:$B$320,"PREMONTAGEM",'METAS EMPRESAS'!$C$15:$C$320,$A213-WEEKDAY($A213,2)+1)</f>
        <v/>
      </c>
      <c r="C213" s="159">
        <f>SUMIFS('METAS EMPRESAS'!$K$15:$K$320,'METAS EMPRESAS'!$A$15:$A$320,"EJ",'METAS EMPRESAS'!$B$15:$B$320,"IÇAMENTO JOIST",'METAS EMPRESAS'!$C$15:$C$320,$A213-WEEKDAY($A213,2)+1)</f>
        <v/>
      </c>
      <c r="D213" s="159">
        <f>SUMIFS('METAS EMPRESAS'!$K$15:$K$320,'METAS EMPRESAS'!$A$15:$A$320,"EJ",'METAS EMPRESAS'!$B$15:$B$320,"VIGAS",'METAS EMPRESAS'!$C$15:$C$320,$A213-WEEKDAY($A213,2)+1)</f>
        <v/>
      </c>
      <c r="E213" s="159">
        <f>SUMIFS('METAS EMPRESAS'!$K$15:$K$320,'METAS EMPRESAS'!$A$15:$A$320,"CMM",'METAS EMPRESAS'!$B$15:$B$320,"PREMONTAGEM",'METAS EMPRESAS'!$C$15:$C$320,$A213-WEEKDAY($A213,2)+1)</f>
        <v/>
      </c>
      <c r="F213" s="159">
        <f>SUMIFS('METAS EMPRESAS'!$K$15:$K$320,'METAS EMPRESAS'!$A$15:$A$320,"CMM",'METAS EMPRESAS'!$B$15:$B$320,"IÇAMENTO JOIST",'METAS EMPRESAS'!$C$15:$C$320,$A213-WEEKDAY($A213,2)+1)</f>
        <v/>
      </c>
      <c r="G213" s="159">
        <f>SUMIFS('METAS EMPRESAS'!$K$15:$K$320,'METAS EMPRESAS'!$A$15:$A$320,"CMM",'METAS EMPRESAS'!$B$15:$B$320,"VIGAS",'METAS EMPRESAS'!$C$15:$C$320,$A213-WEEKDAY($A213,2)+1)</f>
        <v/>
      </c>
      <c r="H213" s="159">
        <f>SUMIFS('METAS EMPRESAS'!$G$15:$G$320,'METAS EMPRESAS'!$A$15:$A$320,"EJ",'METAS EMPRESAS'!$B$15:$B$320,"PREMONTAGEM",'METAS EMPRESAS'!$C$15:$C$320,$A213-WEEKDAY($A213,2)+1)</f>
        <v/>
      </c>
      <c r="I213" s="159">
        <f>SUMIFS('METAS EMPRESAS'!$G$15:$G$320,'METAS EMPRESAS'!$A$15:$A$320,"EJ",'METAS EMPRESAS'!$B$15:$B$320,"IÇAMENTO JOIST",'METAS EMPRESAS'!$C$15:$C$320,$A213-WEEKDAY($A213,2)+1)</f>
        <v/>
      </c>
      <c r="J213" s="159">
        <f>SUMIFS('METAS EMPRESAS'!$G$15:$G$320,'METAS EMPRESAS'!$A$15:$A$320,"EJ",'METAS EMPRESAS'!$B$15:$B$320,"VIGAS",'METAS EMPRESAS'!$C$15:$C$320,$A213-WEEKDAY($A213,2)+1)</f>
        <v/>
      </c>
      <c r="K213" s="159">
        <f>SUMIFS('METAS EMPRESAS'!$G$15:$G$320,'METAS EMPRESAS'!$A$15:$A$320,"CMM",'METAS EMPRESAS'!$B$15:$B$320,"PREMONTAGEM",'METAS EMPRESAS'!$C$15:$C$320,$A213-WEEKDAY($A213,2)+1)</f>
        <v/>
      </c>
      <c r="L213" s="159">
        <f>SUMIFS('METAS EMPRESAS'!$G$15:$G$320,'METAS EMPRESAS'!$A$15:$A$320,"CMM",'METAS EMPRESAS'!$B$15:$B$320,"IÇAMENTO JOIST",'METAS EMPRESAS'!$C$15:$C$320,$A213-WEEKDAY($A213,2)+1)</f>
        <v/>
      </c>
      <c r="M213" s="159">
        <f>SUMIFS('METAS EMPRESAS'!$G$15:$G$320,'METAS EMPRESAS'!$A$15:$A$320,"CMM",'METAS EMPRESAS'!$B$15:$B$320,"VIGAS",'METAS EMPRESAS'!$C$15:$C$320,$A213-WEEKDAY($A213,2)+1)</f>
        <v/>
      </c>
      <c r="N213" s="159">
        <f>SUMIFS('METAS EMPRESAS'!$J$15:$J$320,'METAS EMPRESAS'!$A$15:$A$320,"EJ",'METAS EMPRESAS'!$B$15:$B$320,"PREMONTAGEM",'METAS EMPRESAS'!$C$15:$C$320,$A213-WEEKDAY($A213,2)+1)</f>
        <v/>
      </c>
      <c r="O213" s="159">
        <f>SUMIFS('METAS EMPRESAS'!$J$15:$J$320,'METAS EMPRESAS'!$A$15:$A$320,"EJ",'METAS EMPRESAS'!$B$15:$B$320,"IÇAMENTO JOIST",'METAS EMPRESAS'!$C$15:$C$320,$A213-WEEKDAY($A213,2)+1)</f>
        <v/>
      </c>
      <c r="P213" s="159">
        <f>SUMIFS('METAS EMPRESAS'!$J$15:$J$320,'METAS EMPRESAS'!$A$15:$A$320,"EJ",'METAS EMPRESAS'!$B$15:$B$320,"VIGAS",'METAS EMPRESAS'!$C$15:$C$320,$A213-WEEKDAY($A213,2)+1)</f>
        <v/>
      </c>
      <c r="Q213" s="159">
        <f>SUMIFS('METAS EMPRESAS'!$J$15:$J$320,'METAS EMPRESAS'!$A$15:$A$320,"CMM",'METAS EMPRESAS'!$B$15:$B$320,"PREMONTAGEM",'METAS EMPRESAS'!$C$15:$C$320,$A213-WEEKDAY($A213,2)+1)</f>
        <v/>
      </c>
      <c r="R213" s="159">
        <f>SUMIFS('METAS EMPRESAS'!$J$15:$J$320,'METAS EMPRESAS'!$A$15:$A$320,"CMM",'METAS EMPRESAS'!$B$15:$B$320,"IÇAMENTO JOIST",'METAS EMPRESAS'!$C$15:$C$320,$A213-WEEKDAY($A213,2)+1)</f>
        <v/>
      </c>
      <c r="S213" s="159">
        <f>SUMIFS('METAS EMPRESAS'!$J$15:$J$320,'METAS EMPRESAS'!$A$15:$A$320,"CMM",'METAS EMPRESAS'!$B$15:$B$320,"VIGAS",'METAS EMPRESAS'!$C$15:$C$320,$A213-WEEKDAY($A213,2)+1)</f>
        <v/>
      </c>
      <c r="T213">
        <f>--(WEEKDAY(A213,2)&lt;=5)</f>
        <v/>
      </c>
      <c r="U213" t="n">
        <v>19</v>
      </c>
      <c r="V213" t="n">
        <v>7</v>
      </c>
      <c r="W213" t="n">
        <v>0</v>
      </c>
      <c r="X213" t="n">
        <v>5</v>
      </c>
      <c r="Y213" t="n">
        <v>5</v>
      </c>
      <c r="Z213" t="n">
        <v>5</v>
      </c>
      <c r="AA213" t="n">
        <v>95</v>
      </c>
      <c r="AB213" t="n">
        <v>35</v>
      </c>
      <c r="AC213" t="n">
        <v>0</v>
      </c>
    </row>
    <row r="214">
      <c r="A214" s="317" t="n">
        <v>46435</v>
      </c>
      <c r="B214" s="159">
        <f>SUMIFS('METAS EMPRESAS'!$K$15:$K$320,'METAS EMPRESAS'!$A$15:$A$320,"EJ",'METAS EMPRESAS'!$B$15:$B$320,"PREMONTAGEM",'METAS EMPRESAS'!$C$15:$C$320,$A214-WEEKDAY($A214,2)+1)</f>
        <v/>
      </c>
      <c r="C214" s="159">
        <f>SUMIFS('METAS EMPRESAS'!$K$15:$K$320,'METAS EMPRESAS'!$A$15:$A$320,"EJ",'METAS EMPRESAS'!$B$15:$B$320,"IÇAMENTO JOIST",'METAS EMPRESAS'!$C$15:$C$320,$A214-WEEKDAY($A214,2)+1)</f>
        <v/>
      </c>
      <c r="D214" s="159">
        <f>SUMIFS('METAS EMPRESAS'!$K$15:$K$320,'METAS EMPRESAS'!$A$15:$A$320,"EJ",'METAS EMPRESAS'!$B$15:$B$320,"VIGAS",'METAS EMPRESAS'!$C$15:$C$320,$A214-WEEKDAY($A214,2)+1)</f>
        <v/>
      </c>
      <c r="E214" s="159">
        <f>SUMIFS('METAS EMPRESAS'!$K$15:$K$320,'METAS EMPRESAS'!$A$15:$A$320,"CMM",'METAS EMPRESAS'!$B$15:$B$320,"PREMONTAGEM",'METAS EMPRESAS'!$C$15:$C$320,$A214-WEEKDAY($A214,2)+1)</f>
        <v/>
      </c>
      <c r="F214" s="159">
        <f>SUMIFS('METAS EMPRESAS'!$K$15:$K$320,'METAS EMPRESAS'!$A$15:$A$320,"CMM",'METAS EMPRESAS'!$B$15:$B$320,"IÇAMENTO JOIST",'METAS EMPRESAS'!$C$15:$C$320,$A214-WEEKDAY($A214,2)+1)</f>
        <v/>
      </c>
      <c r="G214" s="159">
        <f>SUMIFS('METAS EMPRESAS'!$K$15:$K$320,'METAS EMPRESAS'!$A$15:$A$320,"CMM",'METAS EMPRESAS'!$B$15:$B$320,"VIGAS",'METAS EMPRESAS'!$C$15:$C$320,$A214-WEEKDAY($A214,2)+1)</f>
        <v/>
      </c>
      <c r="H214" s="159">
        <f>SUMIFS('METAS EMPRESAS'!$G$15:$G$320,'METAS EMPRESAS'!$A$15:$A$320,"EJ",'METAS EMPRESAS'!$B$15:$B$320,"PREMONTAGEM",'METAS EMPRESAS'!$C$15:$C$320,$A214-WEEKDAY($A214,2)+1)</f>
        <v/>
      </c>
      <c r="I214" s="159">
        <f>SUMIFS('METAS EMPRESAS'!$G$15:$G$320,'METAS EMPRESAS'!$A$15:$A$320,"EJ",'METAS EMPRESAS'!$B$15:$B$320,"IÇAMENTO JOIST",'METAS EMPRESAS'!$C$15:$C$320,$A214-WEEKDAY($A214,2)+1)</f>
        <v/>
      </c>
      <c r="J214" s="159">
        <f>SUMIFS('METAS EMPRESAS'!$G$15:$G$320,'METAS EMPRESAS'!$A$15:$A$320,"EJ",'METAS EMPRESAS'!$B$15:$B$320,"VIGAS",'METAS EMPRESAS'!$C$15:$C$320,$A214-WEEKDAY($A214,2)+1)</f>
        <v/>
      </c>
      <c r="K214" s="159">
        <f>SUMIFS('METAS EMPRESAS'!$G$15:$G$320,'METAS EMPRESAS'!$A$15:$A$320,"CMM",'METAS EMPRESAS'!$B$15:$B$320,"PREMONTAGEM",'METAS EMPRESAS'!$C$15:$C$320,$A214-WEEKDAY($A214,2)+1)</f>
        <v/>
      </c>
      <c r="L214" s="159">
        <f>SUMIFS('METAS EMPRESAS'!$G$15:$G$320,'METAS EMPRESAS'!$A$15:$A$320,"CMM",'METAS EMPRESAS'!$B$15:$B$320,"IÇAMENTO JOIST",'METAS EMPRESAS'!$C$15:$C$320,$A214-WEEKDAY($A214,2)+1)</f>
        <v/>
      </c>
      <c r="M214" s="159">
        <f>SUMIFS('METAS EMPRESAS'!$G$15:$G$320,'METAS EMPRESAS'!$A$15:$A$320,"CMM",'METAS EMPRESAS'!$B$15:$B$320,"VIGAS",'METAS EMPRESAS'!$C$15:$C$320,$A214-WEEKDAY($A214,2)+1)</f>
        <v/>
      </c>
      <c r="N214" s="159">
        <f>SUMIFS('METAS EMPRESAS'!$J$15:$J$320,'METAS EMPRESAS'!$A$15:$A$320,"EJ",'METAS EMPRESAS'!$B$15:$B$320,"PREMONTAGEM",'METAS EMPRESAS'!$C$15:$C$320,$A214-WEEKDAY($A214,2)+1)</f>
        <v/>
      </c>
      <c r="O214" s="159">
        <f>SUMIFS('METAS EMPRESAS'!$J$15:$J$320,'METAS EMPRESAS'!$A$15:$A$320,"EJ",'METAS EMPRESAS'!$B$15:$B$320,"IÇAMENTO JOIST",'METAS EMPRESAS'!$C$15:$C$320,$A214-WEEKDAY($A214,2)+1)</f>
        <v/>
      </c>
      <c r="P214" s="159">
        <f>SUMIFS('METAS EMPRESAS'!$J$15:$J$320,'METAS EMPRESAS'!$A$15:$A$320,"EJ",'METAS EMPRESAS'!$B$15:$B$320,"VIGAS",'METAS EMPRESAS'!$C$15:$C$320,$A214-WEEKDAY($A214,2)+1)</f>
        <v/>
      </c>
      <c r="Q214" s="159">
        <f>SUMIFS('METAS EMPRESAS'!$J$15:$J$320,'METAS EMPRESAS'!$A$15:$A$320,"CMM",'METAS EMPRESAS'!$B$15:$B$320,"PREMONTAGEM",'METAS EMPRESAS'!$C$15:$C$320,$A214-WEEKDAY($A214,2)+1)</f>
        <v/>
      </c>
      <c r="R214" s="159">
        <f>SUMIFS('METAS EMPRESAS'!$J$15:$J$320,'METAS EMPRESAS'!$A$15:$A$320,"CMM",'METAS EMPRESAS'!$B$15:$B$320,"IÇAMENTO JOIST",'METAS EMPRESAS'!$C$15:$C$320,$A214-WEEKDAY($A214,2)+1)</f>
        <v/>
      </c>
      <c r="S214" s="159">
        <f>SUMIFS('METAS EMPRESAS'!$J$15:$J$320,'METAS EMPRESAS'!$A$15:$A$320,"CMM",'METAS EMPRESAS'!$B$15:$B$320,"VIGAS",'METAS EMPRESAS'!$C$15:$C$320,$A214-WEEKDAY($A214,2)+1)</f>
        <v/>
      </c>
      <c r="T214">
        <f>--(WEEKDAY(A214,2)&lt;=5)</f>
        <v/>
      </c>
      <c r="U214" t="n">
        <v>19</v>
      </c>
      <c r="V214" t="n">
        <v>7</v>
      </c>
      <c r="W214" t="n">
        <v>0</v>
      </c>
      <c r="X214" t="n">
        <v>5</v>
      </c>
      <c r="Y214" t="n">
        <v>5</v>
      </c>
      <c r="Z214" t="n">
        <v>5</v>
      </c>
      <c r="AA214" t="n">
        <v>95</v>
      </c>
      <c r="AB214" t="n">
        <v>35</v>
      </c>
      <c r="AC214" t="n">
        <v>0</v>
      </c>
    </row>
    <row r="215">
      <c r="A215" s="317" t="n">
        <v>46436</v>
      </c>
      <c r="B215" s="159">
        <f>SUMIFS('METAS EMPRESAS'!$K$15:$K$320,'METAS EMPRESAS'!$A$15:$A$320,"EJ",'METAS EMPRESAS'!$B$15:$B$320,"PREMONTAGEM",'METAS EMPRESAS'!$C$15:$C$320,$A215-WEEKDAY($A215,2)+1)</f>
        <v/>
      </c>
      <c r="C215" s="159">
        <f>SUMIFS('METAS EMPRESAS'!$K$15:$K$320,'METAS EMPRESAS'!$A$15:$A$320,"EJ",'METAS EMPRESAS'!$B$15:$B$320,"IÇAMENTO JOIST",'METAS EMPRESAS'!$C$15:$C$320,$A215-WEEKDAY($A215,2)+1)</f>
        <v/>
      </c>
      <c r="D215" s="159">
        <f>SUMIFS('METAS EMPRESAS'!$K$15:$K$320,'METAS EMPRESAS'!$A$15:$A$320,"EJ",'METAS EMPRESAS'!$B$15:$B$320,"VIGAS",'METAS EMPRESAS'!$C$15:$C$320,$A215-WEEKDAY($A215,2)+1)</f>
        <v/>
      </c>
      <c r="E215" s="159">
        <f>SUMIFS('METAS EMPRESAS'!$K$15:$K$320,'METAS EMPRESAS'!$A$15:$A$320,"CMM",'METAS EMPRESAS'!$B$15:$B$320,"PREMONTAGEM",'METAS EMPRESAS'!$C$15:$C$320,$A215-WEEKDAY($A215,2)+1)</f>
        <v/>
      </c>
      <c r="F215" s="159">
        <f>SUMIFS('METAS EMPRESAS'!$K$15:$K$320,'METAS EMPRESAS'!$A$15:$A$320,"CMM",'METAS EMPRESAS'!$B$15:$B$320,"IÇAMENTO JOIST",'METAS EMPRESAS'!$C$15:$C$320,$A215-WEEKDAY($A215,2)+1)</f>
        <v/>
      </c>
      <c r="G215" s="159">
        <f>SUMIFS('METAS EMPRESAS'!$K$15:$K$320,'METAS EMPRESAS'!$A$15:$A$320,"CMM",'METAS EMPRESAS'!$B$15:$B$320,"VIGAS",'METAS EMPRESAS'!$C$15:$C$320,$A215-WEEKDAY($A215,2)+1)</f>
        <v/>
      </c>
      <c r="H215" s="159">
        <f>SUMIFS('METAS EMPRESAS'!$G$15:$G$320,'METAS EMPRESAS'!$A$15:$A$320,"EJ",'METAS EMPRESAS'!$B$15:$B$320,"PREMONTAGEM",'METAS EMPRESAS'!$C$15:$C$320,$A215-WEEKDAY($A215,2)+1)</f>
        <v/>
      </c>
      <c r="I215" s="159">
        <f>SUMIFS('METAS EMPRESAS'!$G$15:$G$320,'METAS EMPRESAS'!$A$15:$A$320,"EJ",'METAS EMPRESAS'!$B$15:$B$320,"IÇAMENTO JOIST",'METAS EMPRESAS'!$C$15:$C$320,$A215-WEEKDAY($A215,2)+1)</f>
        <v/>
      </c>
      <c r="J215" s="159">
        <f>SUMIFS('METAS EMPRESAS'!$G$15:$G$320,'METAS EMPRESAS'!$A$15:$A$320,"EJ",'METAS EMPRESAS'!$B$15:$B$320,"VIGAS",'METAS EMPRESAS'!$C$15:$C$320,$A215-WEEKDAY($A215,2)+1)</f>
        <v/>
      </c>
      <c r="K215" s="159">
        <f>SUMIFS('METAS EMPRESAS'!$G$15:$G$320,'METAS EMPRESAS'!$A$15:$A$320,"CMM",'METAS EMPRESAS'!$B$15:$B$320,"PREMONTAGEM",'METAS EMPRESAS'!$C$15:$C$320,$A215-WEEKDAY($A215,2)+1)</f>
        <v/>
      </c>
      <c r="L215" s="159">
        <f>SUMIFS('METAS EMPRESAS'!$G$15:$G$320,'METAS EMPRESAS'!$A$15:$A$320,"CMM",'METAS EMPRESAS'!$B$15:$B$320,"IÇAMENTO JOIST",'METAS EMPRESAS'!$C$15:$C$320,$A215-WEEKDAY($A215,2)+1)</f>
        <v/>
      </c>
      <c r="M215" s="159">
        <f>SUMIFS('METAS EMPRESAS'!$G$15:$G$320,'METAS EMPRESAS'!$A$15:$A$320,"CMM",'METAS EMPRESAS'!$B$15:$B$320,"VIGAS",'METAS EMPRESAS'!$C$15:$C$320,$A215-WEEKDAY($A215,2)+1)</f>
        <v/>
      </c>
      <c r="N215" s="159">
        <f>SUMIFS('METAS EMPRESAS'!$J$15:$J$320,'METAS EMPRESAS'!$A$15:$A$320,"EJ",'METAS EMPRESAS'!$B$15:$B$320,"PREMONTAGEM",'METAS EMPRESAS'!$C$15:$C$320,$A215-WEEKDAY($A215,2)+1)</f>
        <v/>
      </c>
      <c r="O215" s="159">
        <f>SUMIFS('METAS EMPRESAS'!$J$15:$J$320,'METAS EMPRESAS'!$A$15:$A$320,"EJ",'METAS EMPRESAS'!$B$15:$B$320,"IÇAMENTO JOIST",'METAS EMPRESAS'!$C$15:$C$320,$A215-WEEKDAY($A215,2)+1)</f>
        <v/>
      </c>
      <c r="P215" s="159">
        <f>SUMIFS('METAS EMPRESAS'!$J$15:$J$320,'METAS EMPRESAS'!$A$15:$A$320,"EJ",'METAS EMPRESAS'!$B$15:$B$320,"VIGAS",'METAS EMPRESAS'!$C$15:$C$320,$A215-WEEKDAY($A215,2)+1)</f>
        <v/>
      </c>
      <c r="Q215" s="159">
        <f>SUMIFS('METAS EMPRESAS'!$J$15:$J$320,'METAS EMPRESAS'!$A$15:$A$320,"CMM",'METAS EMPRESAS'!$B$15:$B$320,"PREMONTAGEM",'METAS EMPRESAS'!$C$15:$C$320,$A215-WEEKDAY($A215,2)+1)</f>
        <v/>
      </c>
      <c r="R215" s="159">
        <f>SUMIFS('METAS EMPRESAS'!$J$15:$J$320,'METAS EMPRESAS'!$A$15:$A$320,"CMM",'METAS EMPRESAS'!$B$15:$B$320,"IÇAMENTO JOIST",'METAS EMPRESAS'!$C$15:$C$320,$A215-WEEKDAY($A215,2)+1)</f>
        <v/>
      </c>
      <c r="S215" s="159">
        <f>SUMIFS('METAS EMPRESAS'!$J$15:$J$320,'METAS EMPRESAS'!$A$15:$A$320,"CMM",'METAS EMPRESAS'!$B$15:$B$320,"VIGAS",'METAS EMPRESAS'!$C$15:$C$320,$A215-WEEKDAY($A215,2)+1)</f>
        <v/>
      </c>
      <c r="T215">
        <f>--(WEEKDAY(A215,2)&lt;=5)</f>
        <v/>
      </c>
      <c r="U215" t="n">
        <v>19</v>
      </c>
      <c r="V215" t="n">
        <v>7</v>
      </c>
      <c r="W215" t="n">
        <v>0</v>
      </c>
      <c r="X215" t="n">
        <v>5</v>
      </c>
      <c r="Y215" t="n">
        <v>5</v>
      </c>
      <c r="Z215" t="n">
        <v>5</v>
      </c>
      <c r="AA215" t="n">
        <v>95</v>
      </c>
      <c r="AB215" t="n">
        <v>35</v>
      </c>
      <c r="AC215" t="n">
        <v>0</v>
      </c>
    </row>
    <row r="216">
      <c r="A216" s="317" t="n">
        <v>46437</v>
      </c>
      <c r="B216" s="159">
        <f>SUMIFS('METAS EMPRESAS'!$K$15:$K$320,'METAS EMPRESAS'!$A$15:$A$320,"EJ",'METAS EMPRESAS'!$B$15:$B$320,"PREMONTAGEM",'METAS EMPRESAS'!$C$15:$C$320,$A216-WEEKDAY($A216,2)+1)</f>
        <v/>
      </c>
      <c r="C216" s="159">
        <f>SUMIFS('METAS EMPRESAS'!$K$15:$K$320,'METAS EMPRESAS'!$A$15:$A$320,"EJ",'METAS EMPRESAS'!$B$15:$B$320,"IÇAMENTO JOIST",'METAS EMPRESAS'!$C$15:$C$320,$A216-WEEKDAY($A216,2)+1)</f>
        <v/>
      </c>
      <c r="D216" s="159">
        <f>SUMIFS('METAS EMPRESAS'!$K$15:$K$320,'METAS EMPRESAS'!$A$15:$A$320,"EJ",'METAS EMPRESAS'!$B$15:$B$320,"VIGAS",'METAS EMPRESAS'!$C$15:$C$320,$A216-WEEKDAY($A216,2)+1)</f>
        <v/>
      </c>
      <c r="E216" s="159">
        <f>SUMIFS('METAS EMPRESAS'!$K$15:$K$320,'METAS EMPRESAS'!$A$15:$A$320,"CMM",'METAS EMPRESAS'!$B$15:$B$320,"PREMONTAGEM",'METAS EMPRESAS'!$C$15:$C$320,$A216-WEEKDAY($A216,2)+1)</f>
        <v/>
      </c>
      <c r="F216" s="159">
        <f>SUMIFS('METAS EMPRESAS'!$K$15:$K$320,'METAS EMPRESAS'!$A$15:$A$320,"CMM",'METAS EMPRESAS'!$B$15:$B$320,"IÇAMENTO JOIST",'METAS EMPRESAS'!$C$15:$C$320,$A216-WEEKDAY($A216,2)+1)</f>
        <v/>
      </c>
      <c r="G216" s="159">
        <f>SUMIFS('METAS EMPRESAS'!$K$15:$K$320,'METAS EMPRESAS'!$A$15:$A$320,"CMM",'METAS EMPRESAS'!$B$15:$B$320,"VIGAS",'METAS EMPRESAS'!$C$15:$C$320,$A216-WEEKDAY($A216,2)+1)</f>
        <v/>
      </c>
      <c r="H216" s="159">
        <f>SUMIFS('METAS EMPRESAS'!$G$15:$G$320,'METAS EMPRESAS'!$A$15:$A$320,"EJ",'METAS EMPRESAS'!$B$15:$B$320,"PREMONTAGEM",'METAS EMPRESAS'!$C$15:$C$320,$A216-WEEKDAY($A216,2)+1)</f>
        <v/>
      </c>
      <c r="I216" s="159">
        <f>SUMIFS('METAS EMPRESAS'!$G$15:$G$320,'METAS EMPRESAS'!$A$15:$A$320,"EJ",'METAS EMPRESAS'!$B$15:$B$320,"IÇAMENTO JOIST",'METAS EMPRESAS'!$C$15:$C$320,$A216-WEEKDAY($A216,2)+1)</f>
        <v/>
      </c>
      <c r="J216" s="159">
        <f>SUMIFS('METAS EMPRESAS'!$G$15:$G$320,'METAS EMPRESAS'!$A$15:$A$320,"EJ",'METAS EMPRESAS'!$B$15:$B$320,"VIGAS",'METAS EMPRESAS'!$C$15:$C$320,$A216-WEEKDAY($A216,2)+1)</f>
        <v/>
      </c>
      <c r="K216" s="159">
        <f>SUMIFS('METAS EMPRESAS'!$G$15:$G$320,'METAS EMPRESAS'!$A$15:$A$320,"CMM",'METAS EMPRESAS'!$B$15:$B$320,"PREMONTAGEM",'METAS EMPRESAS'!$C$15:$C$320,$A216-WEEKDAY($A216,2)+1)</f>
        <v/>
      </c>
      <c r="L216" s="159">
        <f>SUMIFS('METAS EMPRESAS'!$G$15:$G$320,'METAS EMPRESAS'!$A$15:$A$320,"CMM",'METAS EMPRESAS'!$B$15:$B$320,"IÇAMENTO JOIST",'METAS EMPRESAS'!$C$15:$C$320,$A216-WEEKDAY($A216,2)+1)</f>
        <v/>
      </c>
      <c r="M216" s="159">
        <f>SUMIFS('METAS EMPRESAS'!$G$15:$G$320,'METAS EMPRESAS'!$A$15:$A$320,"CMM",'METAS EMPRESAS'!$B$15:$B$320,"VIGAS",'METAS EMPRESAS'!$C$15:$C$320,$A216-WEEKDAY($A216,2)+1)</f>
        <v/>
      </c>
      <c r="N216" s="159">
        <f>SUMIFS('METAS EMPRESAS'!$J$15:$J$320,'METAS EMPRESAS'!$A$15:$A$320,"EJ",'METAS EMPRESAS'!$B$15:$B$320,"PREMONTAGEM",'METAS EMPRESAS'!$C$15:$C$320,$A216-WEEKDAY($A216,2)+1)</f>
        <v/>
      </c>
      <c r="O216" s="159">
        <f>SUMIFS('METAS EMPRESAS'!$J$15:$J$320,'METAS EMPRESAS'!$A$15:$A$320,"EJ",'METAS EMPRESAS'!$B$15:$B$320,"IÇAMENTO JOIST",'METAS EMPRESAS'!$C$15:$C$320,$A216-WEEKDAY($A216,2)+1)</f>
        <v/>
      </c>
      <c r="P216" s="159">
        <f>SUMIFS('METAS EMPRESAS'!$J$15:$J$320,'METAS EMPRESAS'!$A$15:$A$320,"EJ",'METAS EMPRESAS'!$B$15:$B$320,"VIGAS",'METAS EMPRESAS'!$C$15:$C$320,$A216-WEEKDAY($A216,2)+1)</f>
        <v/>
      </c>
      <c r="Q216" s="159">
        <f>SUMIFS('METAS EMPRESAS'!$J$15:$J$320,'METAS EMPRESAS'!$A$15:$A$320,"CMM",'METAS EMPRESAS'!$B$15:$B$320,"PREMONTAGEM",'METAS EMPRESAS'!$C$15:$C$320,$A216-WEEKDAY($A216,2)+1)</f>
        <v/>
      </c>
      <c r="R216" s="159">
        <f>SUMIFS('METAS EMPRESAS'!$J$15:$J$320,'METAS EMPRESAS'!$A$15:$A$320,"CMM",'METAS EMPRESAS'!$B$15:$B$320,"IÇAMENTO JOIST",'METAS EMPRESAS'!$C$15:$C$320,$A216-WEEKDAY($A216,2)+1)</f>
        <v/>
      </c>
      <c r="S216" s="159">
        <f>SUMIFS('METAS EMPRESAS'!$J$15:$J$320,'METAS EMPRESAS'!$A$15:$A$320,"CMM",'METAS EMPRESAS'!$B$15:$B$320,"VIGAS",'METAS EMPRESAS'!$C$15:$C$320,$A216-WEEKDAY($A216,2)+1)</f>
        <v/>
      </c>
      <c r="T216">
        <f>--(WEEKDAY(A216,2)&lt;=5)</f>
        <v/>
      </c>
      <c r="U216" t="n">
        <v>19</v>
      </c>
      <c r="V216" t="n">
        <v>7</v>
      </c>
      <c r="W216" t="n">
        <v>0</v>
      </c>
      <c r="X216" t="n">
        <v>5</v>
      </c>
      <c r="Y216" t="n">
        <v>5</v>
      </c>
      <c r="Z216" t="n">
        <v>5</v>
      </c>
      <c r="AA216" t="n">
        <v>95</v>
      </c>
      <c r="AB216" t="n">
        <v>35</v>
      </c>
      <c r="AC216" t="n">
        <v>0</v>
      </c>
    </row>
    <row r="217">
      <c r="A217" s="317" t="n">
        <v>46438</v>
      </c>
      <c r="B217" s="159">
        <f>SUMIFS('METAS EMPRESAS'!$K$15:$K$320,'METAS EMPRESAS'!$A$15:$A$320,"EJ",'METAS EMPRESAS'!$B$15:$B$320,"PREMONTAGEM",'METAS EMPRESAS'!$C$15:$C$320,$A217-WEEKDAY($A217,2)+1)</f>
        <v/>
      </c>
      <c r="C217" s="159">
        <f>SUMIFS('METAS EMPRESAS'!$K$15:$K$320,'METAS EMPRESAS'!$A$15:$A$320,"EJ",'METAS EMPRESAS'!$B$15:$B$320,"IÇAMENTO JOIST",'METAS EMPRESAS'!$C$15:$C$320,$A217-WEEKDAY($A217,2)+1)</f>
        <v/>
      </c>
      <c r="D217" s="159">
        <f>SUMIFS('METAS EMPRESAS'!$K$15:$K$320,'METAS EMPRESAS'!$A$15:$A$320,"EJ",'METAS EMPRESAS'!$B$15:$B$320,"VIGAS",'METAS EMPRESAS'!$C$15:$C$320,$A217-WEEKDAY($A217,2)+1)</f>
        <v/>
      </c>
      <c r="E217" s="159">
        <f>SUMIFS('METAS EMPRESAS'!$K$15:$K$320,'METAS EMPRESAS'!$A$15:$A$320,"CMM",'METAS EMPRESAS'!$B$15:$B$320,"PREMONTAGEM",'METAS EMPRESAS'!$C$15:$C$320,$A217-WEEKDAY($A217,2)+1)</f>
        <v/>
      </c>
      <c r="F217" s="159">
        <f>SUMIFS('METAS EMPRESAS'!$K$15:$K$320,'METAS EMPRESAS'!$A$15:$A$320,"CMM",'METAS EMPRESAS'!$B$15:$B$320,"IÇAMENTO JOIST",'METAS EMPRESAS'!$C$15:$C$320,$A217-WEEKDAY($A217,2)+1)</f>
        <v/>
      </c>
      <c r="G217" s="159">
        <f>SUMIFS('METAS EMPRESAS'!$K$15:$K$320,'METAS EMPRESAS'!$A$15:$A$320,"CMM",'METAS EMPRESAS'!$B$15:$B$320,"VIGAS",'METAS EMPRESAS'!$C$15:$C$320,$A217-WEEKDAY($A217,2)+1)</f>
        <v/>
      </c>
      <c r="H217" s="159">
        <f>SUMIFS('METAS EMPRESAS'!$G$15:$G$320,'METAS EMPRESAS'!$A$15:$A$320,"EJ",'METAS EMPRESAS'!$B$15:$B$320,"PREMONTAGEM",'METAS EMPRESAS'!$C$15:$C$320,$A217-WEEKDAY($A217,2)+1)</f>
        <v/>
      </c>
      <c r="I217" s="159">
        <f>SUMIFS('METAS EMPRESAS'!$G$15:$G$320,'METAS EMPRESAS'!$A$15:$A$320,"EJ",'METAS EMPRESAS'!$B$15:$B$320,"IÇAMENTO JOIST",'METAS EMPRESAS'!$C$15:$C$320,$A217-WEEKDAY($A217,2)+1)</f>
        <v/>
      </c>
      <c r="J217" s="159">
        <f>SUMIFS('METAS EMPRESAS'!$G$15:$G$320,'METAS EMPRESAS'!$A$15:$A$320,"EJ",'METAS EMPRESAS'!$B$15:$B$320,"VIGAS",'METAS EMPRESAS'!$C$15:$C$320,$A217-WEEKDAY($A217,2)+1)</f>
        <v/>
      </c>
      <c r="K217" s="159">
        <f>SUMIFS('METAS EMPRESAS'!$G$15:$G$320,'METAS EMPRESAS'!$A$15:$A$320,"CMM",'METAS EMPRESAS'!$B$15:$B$320,"PREMONTAGEM",'METAS EMPRESAS'!$C$15:$C$320,$A217-WEEKDAY($A217,2)+1)</f>
        <v/>
      </c>
      <c r="L217" s="159">
        <f>SUMIFS('METAS EMPRESAS'!$G$15:$G$320,'METAS EMPRESAS'!$A$15:$A$320,"CMM",'METAS EMPRESAS'!$B$15:$B$320,"IÇAMENTO JOIST",'METAS EMPRESAS'!$C$15:$C$320,$A217-WEEKDAY($A217,2)+1)</f>
        <v/>
      </c>
      <c r="M217" s="159">
        <f>SUMIFS('METAS EMPRESAS'!$G$15:$G$320,'METAS EMPRESAS'!$A$15:$A$320,"CMM",'METAS EMPRESAS'!$B$15:$B$320,"VIGAS",'METAS EMPRESAS'!$C$15:$C$320,$A217-WEEKDAY($A217,2)+1)</f>
        <v/>
      </c>
      <c r="N217" s="159">
        <f>SUMIFS('METAS EMPRESAS'!$J$15:$J$320,'METAS EMPRESAS'!$A$15:$A$320,"EJ",'METAS EMPRESAS'!$B$15:$B$320,"PREMONTAGEM",'METAS EMPRESAS'!$C$15:$C$320,$A217-WEEKDAY($A217,2)+1)</f>
        <v/>
      </c>
      <c r="O217" s="159">
        <f>SUMIFS('METAS EMPRESAS'!$J$15:$J$320,'METAS EMPRESAS'!$A$15:$A$320,"EJ",'METAS EMPRESAS'!$B$15:$B$320,"IÇAMENTO JOIST",'METAS EMPRESAS'!$C$15:$C$320,$A217-WEEKDAY($A217,2)+1)</f>
        <v/>
      </c>
      <c r="P217" s="159">
        <f>SUMIFS('METAS EMPRESAS'!$J$15:$J$320,'METAS EMPRESAS'!$A$15:$A$320,"EJ",'METAS EMPRESAS'!$B$15:$B$320,"VIGAS",'METAS EMPRESAS'!$C$15:$C$320,$A217-WEEKDAY($A217,2)+1)</f>
        <v/>
      </c>
      <c r="Q217" s="159">
        <f>SUMIFS('METAS EMPRESAS'!$J$15:$J$320,'METAS EMPRESAS'!$A$15:$A$320,"CMM",'METAS EMPRESAS'!$B$15:$B$320,"PREMONTAGEM",'METAS EMPRESAS'!$C$15:$C$320,$A217-WEEKDAY($A217,2)+1)</f>
        <v/>
      </c>
      <c r="R217" s="159">
        <f>SUMIFS('METAS EMPRESAS'!$J$15:$J$320,'METAS EMPRESAS'!$A$15:$A$320,"CMM",'METAS EMPRESAS'!$B$15:$B$320,"IÇAMENTO JOIST",'METAS EMPRESAS'!$C$15:$C$320,$A217-WEEKDAY($A217,2)+1)</f>
        <v/>
      </c>
      <c r="S217" s="159">
        <f>SUMIFS('METAS EMPRESAS'!$J$15:$J$320,'METAS EMPRESAS'!$A$15:$A$320,"CMM",'METAS EMPRESAS'!$B$15:$B$320,"VIGAS",'METAS EMPRESAS'!$C$15:$C$320,$A217-WEEKDAY($A217,2)+1)</f>
        <v/>
      </c>
      <c r="T217">
        <f>--(WEEKDAY(A217,2)&lt;=5)</f>
        <v/>
      </c>
      <c r="U217" t="n">
        <v>19</v>
      </c>
      <c r="V217" t="n">
        <v>7</v>
      </c>
      <c r="W217" t="n">
        <v>0</v>
      </c>
      <c r="X217" t="n">
        <v>5</v>
      </c>
      <c r="Y217" t="n">
        <v>5</v>
      </c>
      <c r="Z217" t="n">
        <v>5</v>
      </c>
      <c r="AA217" t="n">
        <v>95</v>
      </c>
      <c r="AB217" t="n">
        <v>35</v>
      </c>
      <c r="AC217" t="n">
        <v>0</v>
      </c>
    </row>
    <row r="218">
      <c r="A218" s="317" t="n">
        <v>46439</v>
      </c>
      <c r="B218" s="159">
        <f>SUMIFS('METAS EMPRESAS'!$K$15:$K$320,'METAS EMPRESAS'!$A$15:$A$320,"EJ",'METAS EMPRESAS'!$B$15:$B$320,"PREMONTAGEM",'METAS EMPRESAS'!$C$15:$C$320,$A218-WEEKDAY($A218,2)+1)</f>
        <v/>
      </c>
      <c r="C218" s="159">
        <f>SUMIFS('METAS EMPRESAS'!$K$15:$K$320,'METAS EMPRESAS'!$A$15:$A$320,"EJ",'METAS EMPRESAS'!$B$15:$B$320,"IÇAMENTO JOIST",'METAS EMPRESAS'!$C$15:$C$320,$A218-WEEKDAY($A218,2)+1)</f>
        <v/>
      </c>
      <c r="D218" s="159">
        <f>SUMIFS('METAS EMPRESAS'!$K$15:$K$320,'METAS EMPRESAS'!$A$15:$A$320,"EJ",'METAS EMPRESAS'!$B$15:$B$320,"VIGAS",'METAS EMPRESAS'!$C$15:$C$320,$A218-WEEKDAY($A218,2)+1)</f>
        <v/>
      </c>
      <c r="E218" s="159">
        <f>SUMIFS('METAS EMPRESAS'!$K$15:$K$320,'METAS EMPRESAS'!$A$15:$A$320,"CMM",'METAS EMPRESAS'!$B$15:$B$320,"PREMONTAGEM",'METAS EMPRESAS'!$C$15:$C$320,$A218-WEEKDAY($A218,2)+1)</f>
        <v/>
      </c>
      <c r="F218" s="159">
        <f>SUMIFS('METAS EMPRESAS'!$K$15:$K$320,'METAS EMPRESAS'!$A$15:$A$320,"CMM",'METAS EMPRESAS'!$B$15:$B$320,"IÇAMENTO JOIST",'METAS EMPRESAS'!$C$15:$C$320,$A218-WEEKDAY($A218,2)+1)</f>
        <v/>
      </c>
      <c r="G218" s="159">
        <f>SUMIFS('METAS EMPRESAS'!$K$15:$K$320,'METAS EMPRESAS'!$A$15:$A$320,"CMM",'METAS EMPRESAS'!$B$15:$B$320,"VIGAS",'METAS EMPRESAS'!$C$15:$C$320,$A218-WEEKDAY($A218,2)+1)</f>
        <v/>
      </c>
      <c r="H218" s="159">
        <f>SUMIFS('METAS EMPRESAS'!$G$15:$G$320,'METAS EMPRESAS'!$A$15:$A$320,"EJ",'METAS EMPRESAS'!$B$15:$B$320,"PREMONTAGEM",'METAS EMPRESAS'!$C$15:$C$320,$A218-WEEKDAY($A218,2)+1)</f>
        <v/>
      </c>
      <c r="I218" s="159">
        <f>SUMIFS('METAS EMPRESAS'!$G$15:$G$320,'METAS EMPRESAS'!$A$15:$A$320,"EJ",'METAS EMPRESAS'!$B$15:$B$320,"IÇAMENTO JOIST",'METAS EMPRESAS'!$C$15:$C$320,$A218-WEEKDAY($A218,2)+1)</f>
        <v/>
      </c>
      <c r="J218" s="159">
        <f>SUMIFS('METAS EMPRESAS'!$G$15:$G$320,'METAS EMPRESAS'!$A$15:$A$320,"EJ",'METAS EMPRESAS'!$B$15:$B$320,"VIGAS",'METAS EMPRESAS'!$C$15:$C$320,$A218-WEEKDAY($A218,2)+1)</f>
        <v/>
      </c>
      <c r="K218" s="159">
        <f>SUMIFS('METAS EMPRESAS'!$G$15:$G$320,'METAS EMPRESAS'!$A$15:$A$320,"CMM",'METAS EMPRESAS'!$B$15:$B$320,"PREMONTAGEM",'METAS EMPRESAS'!$C$15:$C$320,$A218-WEEKDAY($A218,2)+1)</f>
        <v/>
      </c>
      <c r="L218" s="159">
        <f>SUMIFS('METAS EMPRESAS'!$G$15:$G$320,'METAS EMPRESAS'!$A$15:$A$320,"CMM",'METAS EMPRESAS'!$B$15:$B$320,"IÇAMENTO JOIST",'METAS EMPRESAS'!$C$15:$C$320,$A218-WEEKDAY($A218,2)+1)</f>
        <v/>
      </c>
      <c r="M218" s="159">
        <f>SUMIFS('METAS EMPRESAS'!$G$15:$G$320,'METAS EMPRESAS'!$A$15:$A$320,"CMM",'METAS EMPRESAS'!$B$15:$B$320,"VIGAS",'METAS EMPRESAS'!$C$15:$C$320,$A218-WEEKDAY($A218,2)+1)</f>
        <v/>
      </c>
      <c r="N218" s="159">
        <f>SUMIFS('METAS EMPRESAS'!$J$15:$J$320,'METAS EMPRESAS'!$A$15:$A$320,"EJ",'METAS EMPRESAS'!$B$15:$B$320,"PREMONTAGEM",'METAS EMPRESAS'!$C$15:$C$320,$A218-WEEKDAY($A218,2)+1)</f>
        <v/>
      </c>
      <c r="O218" s="159">
        <f>SUMIFS('METAS EMPRESAS'!$J$15:$J$320,'METAS EMPRESAS'!$A$15:$A$320,"EJ",'METAS EMPRESAS'!$B$15:$B$320,"IÇAMENTO JOIST",'METAS EMPRESAS'!$C$15:$C$320,$A218-WEEKDAY($A218,2)+1)</f>
        <v/>
      </c>
      <c r="P218" s="159">
        <f>SUMIFS('METAS EMPRESAS'!$J$15:$J$320,'METAS EMPRESAS'!$A$15:$A$320,"EJ",'METAS EMPRESAS'!$B$15:$B$320,"VIGAS",'METAS EMPRESAS'!$C$15:$C$320,$A218-WEEKDAY($A218,2)+1)</f>
        <v/>
      </c>
      <c r="Q218" s="159">
        <f>SUMIFS('METAS EMPRESAS'!$J$15:$J$320,'METAS EMPRESAS'!$A$15:$A$320,"CMM",'METAS EMPRESAS'!$B$15:$B$320,"PREMONTAGEM",'METAS EMPRESAS'!$C$15:$C$320,$A218-WEEKDAY($A218,2)+1)</f>
        <v/>
      </c>
      <c r="R218" s="159">
        <f>SUMIFS('METAS EMPRESAS'!$J$15:$J$320,'METAS EMPRESAS'!$A$15:$A$320,"CMM",'METAS EMPRESAS'!$B$15:$B$320,"IÇAMENTO JOIST",'METAS EMPRESAS'!$C$15:$C$320,$A218-WEEKDAY($A218,2)+1)</f>
        <v/>
      </c>
      <c r="S218" s="159">
        <f>SUMIFS('METAS EMPRESAS'!$J$15:$J$320,'METAS EMPRESAS'!$A$15:$A$320,"CMM",'METAS EMPRESAS'!$B$15:$B$320,"VIGAS",'METAS EMPRESAS'!$C$15:$C$320,$A218-WEEKDAY($A218,2)+1)</f>
        <v/>
      </c>
      <c r="T218">
        <f>--(WEEKDAY(A218,2)&lt;=5)</f>
        <v/>
      </c>
      <c r="U218" t="n">
        <v>19</v>
      </c>
      <c r="V218" t="n">
        <v>7</v>
      </c>
      <c r="W218" t="n">
        <v>0</v>
      </c>
      <c r="X218" t="n">
        <v>5</v>
      </c>
      <c r="Y218" t="n">
        <v>5</v>
      </c>
      <c r="Z218" t="n">
        <v>5</v>
      </c>
      <c r="AA218" t="n">
        <v>95</v>
      </c>
      <c r="AB218" t="n">
        <v>35</v>
      </c>
      <c r="AC218" t="n">
        <v>0</v>
      </c>
    </row>
    <row r="219">
      <c r="A219" s="317" t="n">
        <v>46440</v>
      </c>
      <c r="B219" s="159">
        <f>SUMIFS('METAS EMPRESAS'!$K$15:$K$320,'METAS EMPRESAS'!$A$15:$A$320,"EJ",'METAS EMPRESAS'!$B$15:$B$320,"PREMONTAGEM",'METAS EMPRESAS'!$C$15:$C$320,$A219-WEEKDAY($A219,2)+1)</f>
        <v/>
      </c>
      <c r="C219" s="159">
        <f>SUMIFS('METAS EMPRESAS'!$K$15:$K$320,'METAS EMPRESAS'!$A$15:$A$320,"EJ",'METAS EMPRESAS'!$B$15:$B$320,"IÇAMENTO JOIST",'METAS EMPRESAS'!$C$15:$C$320,$A219-WEEKDAY($A219,2)+1)</f>
        <v/>
      </c>
      <c r="D219" s="159">
        <f>SUMIFS('METAS EMPRESAS'!$K$15:$K$320,'METAS EMPRESAS'!$A$15:$A$320,"EJ",'METAS EMPRESAS'!$B$15:$B$320,"VIGAS",'METAS EMPRESAS'!$C$15:$C$320,$A219-WEEKDAY($A219,2)+1)</f>
        <v/>
      </c>
      <c r="E219" s="159">
        <f>SUMIFS('METAS EMPRESAS'!$K$15:$K$320,'METAS EMPRESAS'!$A$15:$A$320,"CMM",'METAS EMPRESAS'!$B$15:$B$320,"PREMONTAGEM",'METAS EMPRESAS'!$C$15:$C$320,$A219-WEEKDAY($A219,2)+1)</f>
        <v/>
      </c>
      <c r="F219" s="159">
        <f>SUMIFS('METAS EMPRESAS'!$K$15:$K$320,'METAS EMPRESAS'!$A$15:$A$320,"CMM",'METAS EMPRESAS'!$B$15:$B$320,"IÇAMENTO JOIST",'METAS EMPRESAS'!$C$15:$C$320,$A219-WEEKDAY($A219,2)+1)</f>
        <v/>
      </c>
      <c r="G219" s="159">
        <f>SUMIFS('METAS EMPRESAS'!$K$15:$K$320,'METAS EMPRESAS'!$A$15:$A$320,"CMM",'METAS EMPRESAS'!$B$15:$B$320,"VIGAS",'METAS EMPRESAS'!$C$15:$C$320,$A219-WEEKDAY($A219,2)+1)</f>
        <v/>
      </c>
      <c r="H219" s="159">
        <f>SUMIFS('METAS EMPRESAS'!$G$15:$G$320,'METAS EMPRESAS'!$A$15:$A$320,"EJ",'METAS EMPRESAS'!$B$15:$B$320,"PREMONTAGEM",'METAS EMPRESAS'!$C$15:$C$320,$A219-WEEKDAY($A219,2)+1)</f>
        <v/>
      </c>
      <c r="I219" s="159">
        <f>SUMIFS('METAS EMPRESAS'!$G$15:$G$320,'METAS EMPRESAS'!$A$15:$A$320,"EJ",'METAS EMPRESAS'!$B$15:$B$320,"IÇAMENTO JOIST",'METAS EMPRESAS'!$C$15:$C$320,$A219-WEEKDAY($A219,2)+1)</f>
        <v/>
      </c>
      <c r="J219" s="159">
        <f>SUMIFS('METAS EMPRESAS'!$G$15:$G$320,'METAS EMPRESAS'!$A$15:$A$320,"EJ",'METAS EMPRESAS'!$B$15:$B$320,"VIGAS",'METAS EMPRESAS'!$C$15:$C$320,$A219-WEEKDAY($A219,2)+1)</f>
        <v/>
      </c>
      <c r="K219" s="159">
        <f>SUMIFS('METAS EMPRESAS'!$G$15:$G$320,'METAS EMPRESAS'!$A$15:$A$320,"CMM",'METAS EMPRESAS'!$B$15:$B$320,"PREMONTAGEM",'METAS EMPRESAS'!$C$15:$C$320,$A219-WEEKDAY($A219,2)+1)</f>
        <v/>
      </c>
      <c r="L219" s="159">
        <f>SUMIFS('METAS EMPRESAS'!$G$15:$G$320,'METAS EMPRESAS'!$A$15:$A$320,"CMM",'METAS EMPRESAS'!$B$15:$B$320,"IÇAMENTO JOIST",'METAS EMPRESAS'!$C$15:$C$320,$A219-WEEKDAY($A219,2)+1)</f>
        <v/>
      </c>
      <c r="M219" s="159">
        <f>SUMIFS('METAS EMPRESAS'!$G$15:$G$320,'METAS EMPRESAS'!$A$15:$A$320,"CMM",'METAS EMPRESAS'!$B$15:$B$320,"VIGAS",'METAS EMPRESAS'!$C$15:$C$320,$A219-WEEKDAY($A219,2)+1)</f>
        <v/>
      </c>
      <c r="N219" s="159">
        <f>SUMIFS('METAS EMPRESAS'!$J$15:$J$320,'METAS EMPRESAS'!$A$15:$A$320,"EJ",'METAS EMPRESAS'!$B$15:$B$320,"PREMONTAGEM",'METAS EMPRESAS'!$C$15:$C$320,$A219-WEEKDAY($A219,2)+1)</f>
        <v/>
      </c>
      <c r="O219" s="159">
        <f>SUMIFS('METAS EMPRESAS'!$J$15:$J$320,'METAS EMPRESAS'!$A$15:$A$320,"EJ",'METAS EMPRESAS'!$B$15:$B$320,"IÇAMENTO JOIST",'METAS EMPRESAS'!$C$15:$C$320,$A219-WEEKDAY($A219,2)+1)</f>
        <v/>
      </c>
      <c r="P219" s="159">
        <f>SUMIFS('METAS EMPRESAS'!$J$15:$J$320,'METAS EMPRESAS'!$A$15:$A$320,"EJ",'METAS EMPRESAS'!$B$15:$B$320,"VIGAS",'METAS EMPRESAS'!$C$15:$C$320,$A219-WEEKDAY($A219,2)+1)</f>
        <v/>
      </c>
      <c r="Q219" s="159">
        <f>SUMIFS('METAS EMPRESAS'!$J$15:$J$320,'METAS EMPRESAS'!$A$15:$A$320,"CMM",'METAS EMPRESAS'!$B$15:$B$320,"PREMONTAGEM",'METAS EMPRESAS'!$C$15:$C$320,$A219-WEEKDAY($A219,2)+1)</f>
        <v/>
      </c>
      <c r="R219" s="159">
        <f>SUMIFS('METAS EMPRESAS'!$J$15:$J$320,'METAS EMPRESAS'!$A$15:$A$320,"CMM",'METAS EMPRESAS'!$B$15:$B$320,"IÇAMENTO JOIST",'METAS EMPRESAS'!$C$15:$C$320,$A219-WEEKDAY($A219,2)+1)</f>
        <v/>
      </c>
      <c r="S219" s="159">
        <f>SUMIFS('METAS EMPRESAS'!$J$15:$J$320,'METAS EMPRESAS'!$A$15:$A$320,"CMM",'METAS EMPRESAS'!$B$15:$B$320,"VIGAS",'METAS EMPRESAS'!$C$15:$C$320,$A219-WEEKDAY($A219,2)+1)</f>
        <v/>
      </c>
      <c r="T219">
        <f>--(WEEKDAY(A219,2)&lt;=5)</f>
        <v/>
      </c>
      <c r="U219" t="n">
        <v>19</v>
      </c>
      <c r="V219" t="n">
        <v>7</v>
      </c>
      <c r="W219" t="n">
        <v>0</v>
      </c>
      <c r="X219" t="n">
        <v>5</v>
      </c>
      <c r="Y219" t="n">
        <v>5</v>
      </c>
      <c r="Z219" t="n">
        <v>5</v>
      </c>
      <c r="AA219" t="n">
        <v>95</v>
      </c>
      <c r="AB219" t="n">
        <v>35</v>
      </c>
      <c r="AC219" t="n">
        <v>0</v>
      </c>
    </row>
    <row r="220">
      <c r="A220" s="317" t="n">
        <v>46441</v>
      </c>
      <c r="B220" s="159">
        <f>SUMIFS('METAS EMPRESAS'!$K$15:$K$320,'METAS EMPRESAS'!$A$15:$A$320,"EJ",'METAS EMPRESAS'!$B$15:$B$320,"PREMONTAGEM",'METAS EMPRESAS'!$C$15:$C$320,$A220-WEEKDAY($A220,2)+1)</f>
        <v/>
      </c>
      <c r="C220" s="159">
        <f>SUMIFS('METAS EMPRESAS'!$K$15:$K$320,'METAS EMPRESAS'!$A$15:$A$320,"EJ",'METAS EMPRESAS'!$B$15:$B$320,"IÇAMENTO JOIST",'METAS EMPRESAS'!$C$15:$C$320,$A220-WEEKDAY($A220,2)+1)</f>
        <v/>
      </c>
      <c r="D220" s="159">
        <f>SUMIFS('METAS EMPRESAS'!$K$15:$K$320,'METAS EMPRESAS'!$A$15:$A$320,"EJ",'METAS EMPRESAS'!$B$15:$B$320,"VIGAS",'METAS EMPRESAS'!$C$15:$C$320,$A220-WEEKDAY($A220,2)+1)</f>
        <v/>
      </c>
      <c r="E220" s="159">
        <f>SUMIFS('METAS EMPRESAS'!$K$15:$K$320,'METAS EMPRESAS'!$A$15:$A$320,"CMM",'METAS EMPRESAS'!$B$15:$B$320,"PREMONTAGEM",'METAS EMPRESAS'!$C$15:$C$320,$A220-WEEKDAY($A220,2)+1)</f>
        <v/>
      </c>
      <c r="F220" s="159">
        <f>SUMIFS('METAS EMPRESAS'!$K$15:$K$320,'METAS EMPRESAS'!$A$15:$A$320,"CMM",'METAS EMPRESAS'!$B$15:$B$320,"IÇAMENTO JOIST",'METAS EMPRESAS'!$C$15:$C$320,$A220-WEEKDAY($A220,2)+1)</f>
        <v/>
      </c>
      <c r="G220" s="159">
        <f>SUMIFS('METAS EMPRESAS'!$K$15:$K$320,'METAS EMPRESAS'!$A$15:$A$320,"CMM",'METAS EMPRESAS'!$B$15:$B$320,"VIGAS",'METAS EMPRESAS'!$C$15:$C$320,$A220-WEEKDAY($A220,2)+1)</f>
        <v/>
      </c>
      <c r="H220" s="159">
        <f>SUMIFS('METAS EMPRESAS'!$G$15:$G$320,'METAS EMPRESAS'!$A$15:$A$320,"EJ",'METAS EMPRESAS'!$B$15:$B$320,"PREMONTAGEM",'METAS EMPRESAS'!$C$15:$C$320,$A220-WEEKDAY($A220,2)+1)</f>
        <v/>
      </c>
      <c r="I220" s="159">
        <f>SUMIFS('METAS EMPRESAS'!$G$15:$G$320,'METAS EMPRESAS'!$A$15:$A$320,"EJ",'METAS EMPRESAS'!$B$15:$B$320,"IÇAMENTO JOIST",'METAS EMPRESAS'!$C$15:$C$320,$A220-WEEKDAY($A220,2)+1)</f>
        <v/>
      </c>
      <c r="J220" s="159">
        <f>SUMIFS('METAS EMPRESAS'!$G$15:$G$320,'METAS EMPRESAS'!$A$15:$A$320,"EJ",'METAS EMPRESAS'!$B$15:$B$320,"VIGAS",'METAS EMPRESAS'!$C$15:$C$320,$A220-WEEKDAY($A220,2)+1)</f>
        <v/>
      </c>
      <c r="K220" s="159">
        <f>SUMIFS('METAS EMPRESAS'!$G$15:$G$320,'METAS EMPRESAS'!$A$15:$A$320,"CMM",'METAS EMPRESAS'!$B$15:$B$320,"PREMONTAGEM",'METAS EMPRESAS'!$C$15:$C$320,$A220-WEEKDAY($A220,2)+1)</f>
        <v/>
      </c>
      <c r="L220" s="159">
        <f>SUMIFS('METAS EMPRESAS'!$G$15:$G$320,'METAS EMPRESAS'!$A$15:$A$320,"CMM",'METAS EMPRESAS'!$B$15:$B$320,"IÇAMENTO JOIST",'METAS EMPRESAS'!$C$15:$C$320,$A220-WEEKDAY($A220,2)+1)</f>
        <v/>
      </c>
      <c r="M220" s="159">
        <f>SUMIFS('METAS EMPRESAS'!$G$15:$G$320,'METAS EMPRESAS'!$A$15:$A$320,"CMM",'METAS EMPRESAS'!$B$15:$B$320,"VIGAS",'METAS EMPRESAS'!$C$15:$C$320,$A220-WEEKDAY($A220,2)+1)</f>
        <v/>
      </c>
      <c r="N220" s="159">
        <f>SUMIFS('METAS EMPRESAS'!$J$15:$J$320,'METAS EMPRESAS'!$A$15:$A$320,"EJ",'METAS EMPRESAS'!$B$15:$B$320,"PREMONTAGEM",'METAS EMPRESAS'!$C$15:$C$320,$A220-WEEKDAY($A220,2)+1)</f>
        <v/>
      </c>
      <c r="O220" s="159">
        <f>SUMIFS('METAS EMPRESAS'!$J$15:$J$320,'METAS EMPRESAS'!$A$15:$A$320,"EJ",'METAS EMPRESAS'!$B$15:$B$320,"IÇAMENTO JOIST",'METAS EMPRESAS'!$C$15:$C$320,$A220-WEEKDAY($A220,2)+1)</f>
        <v/>
      </c>
      <c r="P220" s="159">
        <f>SUMIFS('METAS EMPRESAS'!$J$15:$J$320,'METAS EMPRESAS'!$A$15:$A$320,"EJ",'METAS EMPRESAS'!$B$15:$B$320,"VIGAS",'METAS EMPRESAS'!$C$15:$C$320,$A220-WEEKDAY($A220,2)+1)</f>
        <v/>
      </c>
      <c r="Q220" s="159">
        <f>SUMIFS('METAS EMPRESAS'!$J$15:$J$320,'METAS EMPRESAS'!$A$15:$A$320,"CMM",'METAS EMPRESAS'!$B$15:$B$320,"PREMONTAGEM",'METAS EMPRESAS'!$C$15:$C$320,$A220-WEEKDAY($A220,2)+1)</f>
        <v/>
      </c>
      <c r="R220" s="159">
        <f>SUMIFS('METAS EMPRESAS'!$J$15:$J$320,'METAS EMPRESAS'!$A$15:$A$320,"CMM",'METAS EMPRESAS'!$B$15:$B$320,"IÇAMENTO JOIST",'METAS EMPRESAS'!$C$15:$C$320,$A220-WEEKDAY($A220,2)+1)</f>
        <v/>
      </c>
      <c r="S220" s="159">
        <f>SUMIFS('METAS EMPRESAS'!$J$15:$J$320,'METAS EMPRESAS'!$A$15:$A$320,"CMM",'METAS EMPRESAS'!$B$15:$B$320,"VIGAS",'METAS EMPRESAS'!$C$15:$C$320,$A220-WEEKDAY($A220,2)+1)</f>
        <v/>
      </c>
      <c r="T220">
        <f>--(WEEKDAY(A220,2)&lt;=5)</f>
        <v/>
      </c>
      <c r="U220" t="n">
        <v>19</v>
      </c>
      <c r="V220" t="n">
        <v>7</v>
      </c>
      <c r="W220" t="n">
        <v>0</v>
      </c>
      <c r="X220" t="n">
        <v>5</v>
      </c>
      <c r="Y220" t="n">
        <v>5</v>
      </c>
      <c r="Z220" t="n">
        <v>5</v>
      </c>
      <c r="AA220" t="n">
        <v>95</v>
      </c>
      <c r="AB220" t="n">
        <v>35</v>
      </c>
      <c r="AC220" t="n">
        <v>0</v>
      </c>
    </row>
    <row r="221">
      <c r="A221" s="317" t="n">
        <v>46442</v>
      </c>
      <c r="B221" s="159">
        <f>SUMIFS('METAS EMPRESAS'!$K$15:$K$320,'METAS EMPRESAS'!$A$15:$A$320,"EJ",'METAS EMPRESAS'!$B$15:$B$320,"PREMONTAGEM",'METAS EMPRESAS'!$C$15:$C$320,$A221-WEEKDAY($A221,2)+1)</f>
        <v/>
      </c>
      <c r="C221" s="159">
        <f>SUMIFS('METAS EMPRESAS'!$K$15:$K$320,'METAS EMPRESAS'!$A$15:$A$320,"EJ",'METAS EMPRESAS'!$B$15:$B$320,"IÇAMENTO JOIST",'METAS EMPRESAS'!$C$15:$C$320,$A221-WEEKDAY($A221,2)+1)</f>
        <v/>
      </c>
      <c r="D221" s="159">
        <f>SUMIFS('METAS EMPRESAS'!$K$15:$K$320,'METAS EMPRESAS'!$A$15:$A$320,"EJ",'METAS EMPRESAS'!$B$15:$B$320,"VIGAS",'METAS EMPRESAS'!$C$15:$C$320,$A221-WEEKDAY($A221,2)+1)</f>
        <v/>
      </c>
      <c r="E221" s="159">
        <f>SUMIFS('METAS EMPRESAS'!$K$15:$K$320,'METAS EMPRESAS'!$A$15:$A$320,"CMM",'METAS EMPRESAS'!$B$15:$B$320,"PREMONTAGEM",'METAS EMPRESAS'!$C$15:$C$320,$A221-WEEKDAY($A221,2)+1)</f>
        <v/>
      </c>
      <c r="F221" s="159">
        <f>SUMIFS('METAS EMPRESAS'!$K$15:$K$320,'METAS EMPRESAS'!$A$15:$A$320,"CMM",'METAS EMPRESAS'!$B$15:$B$320,"IÇAMENTO JOIST",'METAS EMPRESAS'!$C$15:$C$320,$A221-WEEKDAY($A221,2)+1)</f>
        <v/>
      </c>
      <c r="G221" s="159">
        <f>SUMIFS('METAS EMPRESAS'!$K$15:$K$320,'METAS EMPRESAS'!$A$15:$A$320,"CMM",'METAS EMPRESAS'!$B$15:$B$320,"VIGAS",'METAS EMPRESAS'!$C$15:$C$320,$A221-WEEKDAY($A221,2)+1)</f>
        <v/>
      </c>
      <c r="H221" s="159">
        <f>SUMIFS('METAS EMPRESAS'!$G$15:$G$320,'METAS EMPRESAS'!$A$15:$A$320,"EJ",'METAS EMPRESAS'!$B$15:$B$320,"PREMONTAGEM",'METAS EMPRESAS'!$C$15:$C$320,$A221-WEEKDAY($A221,2)+1)</f>
        <v/>
      </c>
      <c r="I221" s="159">
        <f>SUMIFS('METAS EMPRESAS'!$G$15:$G$320,'METAS EMPRESAS'!$A$15:$A$320,"EJ",'METAS EMPRESAS'!$B$15:$B$320,"IÇAMENTO JOIST",'METAS EMPRESAS'!$C$15:$C$320,$A221-WEEKDAY($A221,2)+1)</f>
        <v/>
      </c>
      <c r="J221" s="159">
        <f>SUMIFS('METAS EMPRESAS'!$G$15:$G$320,'METAS EMPRESAS'!$A$15:$A$320,"EJ",'METAS EMPRESAS'!$B$15:$B$320,"VIGAS",'METAS EMPRESAS'!$C$15:$C$320,$A221-WEEKDAY($A221,2)+1)</f>
        <v/>
      </c>
      <c r="K221" s="159">
        <f>SUMIFS('METAS EMPRESAS'!$G$15:$G$320,'METAS EMPRESAS'!$A$15:$A$320,"CMM",'METAS EMPRESAS'!$B$15:$B$320,"PREMONTAGEM",'METAS EMPRESAS'!$C$15:$C$320,$A221-WEEKDAY($A221,2)+1)</f>
        <v/>
      </c>
      <c r="L221" s="159">
        <f>SUMIFS('METAS EMPRESAS'!$G$15:$G$320,'METAS EMPRESAS'!$A$15:$A$320,"CMM",'METAS EMPRESAS'!$B$15:$B$320,"IÇAMENTO JOIST",'METAS EMPRESAS'!$C$15:$C$320,$A221-WEEKDAY($A221,2)+1)</f>
        <v/>
      </c>
      <c r="M221" s="159">
        <f>SUMIFS('METAS EMPRESAS'!$G$15:$G$320,'METAS EMPRESAS'!$A$15:$A$320,"CMM",'METAS EMPRESAS'!$B$15:$B$320,"VIGAS",'METAS EMPRESAS'!$C$15:$C$320,$A221-WEEKDAY($A221,2)+1)</f>
        <v/>
      </c>
      <c r="N221" s="159">
        <f>SUMIFS('METAS EMPRESAS'!$J$15:$J$320,'METAS EMPRESAS'!$A$15:$A$320,"EJ",'METAS EMPRESAS'!$B$15:$B$320,"PREMONTAGEM",'METAS EMPRESAS'!$C$15:$C$320,$A221-WEEKDAY($A221,2)+1)</f>
        <v/>
      </c>
      <c r="O221" s="159">
        <f>SUMIFS('METAS EMPRESAS'!$J$15:$J$320,'METAS EMPRESAS'!$A$15:$A$320,"EJ",'METAS EMPRESAS'!$B$15:$B$320,"IÇAMENTO JOIST",'METAS EMPRESAS'!$C$15:$C$320,$A221-WEEKDAY($A221,2)+1)</f>
        <v/>
      </c>
      <c r="P221" s="159">
        <f>SUMIFS('METAS EMPRESAS'!$J$15:$J$320,'METAS EMPRESAS'!$A$15:$A$320,"EJ",'METAS EMPRESAS'!$B$15:$B$320,"VIGAS",'METAS EMPRESAS'!$C$15:$C$320,$A221-WEEKDAY($A221,2)+1)</f>
        <v/>
      </c>
      <c r="Q221" s="159">
        <f>SUMIFS('METAS EMPRESAS'!$J$15:$J$320,'METAS EMPRESAS'!$A$15:$A$320,"CMM",'METAS EMPRESAS'!$B$15:$B$320,"PREMONTAGEM",'METAS EMPRESAS'!$C$15:$C$320,$A221-WEEKDAY($A221,2)+1)</f>
        <v/>
      </c>
      <c r="R221" s="159">
        <f>SUMIFS('METAS EMPRESAS'!$J$15:$J$320,'METAS EMPRESAS'!$A$15:$A$320,"CMM",'METAS EMPRESAS'!$B$15:$B$320,"IÇAMENTO JOIST",'METAS EMPRESAS'!$C$15:$C$320,$A221-WEEKDAY($A221,2)+1)</f>
        <v/>
      </c>
      <c r="S221" s="159">
        <f>SUMIFS('METAS EMPRESAS'!$J$15:$J$320,'METAS EMPRESAS'!$A$15:$A$320,"CMM",'METAS EMPRESAS'!$B$15:$B$320,"VIGAS",'METAS EMPRESAS'!$C$15:$C$320,$A221-WEEKDAY($A221,2)+1)</f>
        <v/>
      </c>
      <c r="T221">
        <f>--(WEEKDAY(A221,2)&lt;=5)</f>
        <v/>
      </c>
      <c r="U221" t="n">
        <v>19</v>
      </c>
      <c r="V221" t="n">
        <v>7</v>
      </c>
      <c r="W221" t="n">
        <v>0</v>
      </c>
      <c r="X221" t="n">
        <v>5</v>
      </c>
      <c r="Y221" t="n">
        <v>5</v>
      </c>
      <c r="Z221" t="n">
        <v>5</v>
      </c>
      <c r="AA221" t="n">
        <v>95</v>
      </c>
      <c r="AB221" t="n">
        <v>35</v>
      </c>
      <c r="AC221" t="n">
        <v>0</v>
      </c>
    </row>
    <row r="222">
      <c r="A222" s="317" t="n">
        <v>46443</v>
      </c>
      <c r="B222" s="159">
        <f>SUMIFS('METAS EMPRESAS'!$K$15:$K$320,'METAS EMPRESAS'!$A$15:$A$320,"EJ",'METAS EMPRESAS'!$B$15:$B$320,"PREMONTAGEM",'METAS EMPRESAS'!$C$15:$C$320,$A222-WEEKDAY($A222,2)+1)</f>
        <v/>
      </c>
      <c r="C222" s="159">
        <f>SUMIFS('METAS EMPRESAS'!$K$15:$K$320,'METAS EMPRESAS'!$A$15:$A$320,"EJ",'METAS EMPRESAS'!$B$15:$B$320,"IÇAMENTO JOIST",'METAS EMPRESAS'!$C$15:$C$320,$A222-WEEKDAY($A222,2)+1)</f>
        <v/>
      </c>
      <c r="D222" s="159">
        <f>SUMIFS('METAS EMPRESAS'!$K$15:$K$320,'METAS EMPRESAS'!$A$15:$A$320,"EJ",'METAS EMPRESAS'!$B$15:$B$320,"VIGAS",'METAS EMPRESAS'!$C$15:$C$320,$A222-WEEKDAY($A222,2)+1)</f>
        <v/>
      </c>
      <c r="E222" s="159">
        <f>SUMIFS('METAS EMPRESAS'!$K$15:$K$320,'METAS EMPRESAS'!$A$15:$A$320,"CMM",'METAS EMPRESAS'!$B$15:$B$320,"PREMONTAGEM",'METAS EMPRESAS'!$C$15:$C$320,$A222-WEEKDAY($A222,2)+1)</f>
        <v/>
      </c>
      <c r="F222" s="159">
        <f>SUMIFS('METAS EMPRESAS'!$K$15:$K$320,'METAS EMPRESAS'!$A$15:$A$320,"CMM",'METAS EMPRESAS'!$B$15:$B$320,"IÇAMENTO JOIST",'METAS EMPRESAS'!$C$15:$C$320,$A222-WEEKDAY($A222,2)+1)</f>
        <v/>
      </c>
      <c r="G222" s="159">
        <f>SUMIFS('METAS EMPRESAS'!$K$15:$K$320,'METAS EMPRESAS'!$A$15:$A$320,"CMM",'METAS EMPRESAS'!$B$15:$B$320,"VIGAS",'METAS EMPRESAS'!$C$15:$C$320,$A222-WEEKDAY($A222,2)+1)</f>
        <v/>
      </c>
      <c r="H222" s="159">
        <f>SUMIFS('METAS EMPRESAS'!$G$15:$G$320,'METAS EMPRESAS'!$A$15:$A$320,"EJ",'METAS EMPRESAS'!$B$15:$B$320,"PREMONTAGEM",'METAS EMPRESAS'!$C$15:$C$320,$A222-WEEKDAY($A222,2)+1)</f>
        <v/>
      </c>
      <c r="I222" s="159">
        <f>SUMIFS('METAS EMPRESAS'!$G$15:$G$320,'METAS EMPRESAS'!$A$15:$A$320,"EJ",'METAS EMPRESAS'!$B$15:$B$320,"IÇAMENTO JOIST",'METAS EMPRESAS'!$C$15:$C$320,$A222-WEEKDAY($A222,2)+1)</f>
        <v/>
      </c>
      <c r="J222" s="159">
        <f>SUMIFS('METAS EMPRESAS'!$G$15:$G$320,'METAS EMPRESAS'!$A$15:$A$320,"EJ",'METAS EMPRESAS'!$B$15:$B$320,"VIGAS",'METAS EMPRESAS'!$C$15:$C$320,$A222-WEEKDAY($A222,2)+1)</f>
        <v/>
      </c>
      <c r="K222" s="159">
        <f>SUMIFS('METAS EMPRESAS'!$G$15:$G$320,'METAS EMPRESAS'!$A$15:$A$320,"CMM",'METAS EMPRESAS'!$B$15:$B$320,"PREMONTAGEM",'METAS EMPRESAS'!$C$15:$C$320,$A222-WEEKDAY($A222,2)+1)</f>
        <v/>
      </c>
      <c r="L222" s="159">
        <f>SUMIFS('METAS EMPRESAS'!$G$15:$G$320,'METAS EMPRESAS'!$A$15:$A$320,"CMM",'METAS EMPRESAS'!$B$15:$B$320,"IÇAMENTO JOIST",'METAS EMPRESAS'!$C$15:$C$320,$A222-WEEKDAY($A222,2)+1)</f>
        <v/>
      </c>
      <c r="M222" s="159">
        <f>SUMIFS('METAS EMPRESAS'!$G$15:$G$320,'METAS EMPRESAS'!$A$15:$A$320,"CMM",'METAS EMPRESAS'!$B$15:$B$320,"VIGAS",'METAS EMPRESAS'!$C$15:$C$320,$A222-WEEKDAY($A222,2)+1)</f>
        <v/>
      </c>
      <c r="N222" s="159">
        <f>SUMIFS('METAS EMPRESAS'!$J$15:$J$320,'METAS EMPRESAS'!$A$15:$A$320,"EJ",'METAS EMPRESAS'!$B$15:$B$320,"PREMONTAGEM",'METAS EMPRESAS'!$C$15:$C$320,$A222-WEEKDAY($A222,2)+1)</f>
        <v/>
      </c>
      <c r="O222" s="159">
        <f>SUMIFS('METAS EMPRESAS'!$J$15:$J$320,'METAS EMPRESAS'!$A$15:$A$320,"EJ",'METAS EMPRESAS'!$B$15:$B$320,"IÇAMENTO JOIST",'METAS EMPRESAS'!$C$15:$C$320,$A222-WEEKDAY($A222,2)+1)</f>
        <v/>
      </c>
      <c r="P222" s="159">
        <f>SUMIFS('METAS EMPRESAS'!$J$15:$J$320,'METAS EMPRESAS'!$A$15:$A$320,"EJ",'METAS EMPRESAS'!$B$15:$B$320,"VIGAS",'METAS EMPRESAS'!$C$15:$C$320,$A222-WEEKDAY($A222,2)+1)</f>
        <v/>
      </c>
      <c r="Q222" s="159">
        <f>SUMIFS('METAS EMPRESAS'!$J$15:$J$320,'METAS EMPRESAS'!$A$15:$A$320,"CMM",'METAS EMPRESAS'!$B$15:$B$320,"PREMONTAGEM",'METAS EMPRESAS'!$C$15:$C$320,$A222-WEEKDAY($A222,2)+1)</f>
        <v/>
      </c>
      <c r="R222" s="159">
        <f>SUMIFS('METAS EMPRESAS'!$J$15:$J$320,'METAS EMPRESAS'!$A$15:$A$320,"CMM",'METAS EMPRESAS'!$B$15:$B$320,"IÇAMENTO JOIST",'METAS EMPRESAS'!$C$15:$C$320,$A222-WEEKDAY($A222,2)+1)</f>
        <v/>
      </c>
      <c r="S222" s="159">
        <f>SUMIFS('METAS EMPRESAS'!$J$15:$J$320,'METAS EMPRESAS'!$A$15:$A$320,"CMM",'METAS EMPRESAS'!$B$15:$B$320,"VIGAS",'METAS EMPRESAS'!$C$15:$C$320,$A222-WEEKDAY($A222,2)+1)</f>
        <v/>
      </c>
      <c r="T222">
        <f>--(WEEKDAY(A222,2)&lt;=5)</f>
        <v/>
      </c>
      <c r="U222" t="n">
        <v>19</v>
      </c>
      <c r="V222" t="n">
        <v>7</v>
      </c>
      <c r="W222" t="n">
        <v>0</v>
      </c>
      <c r="X222" t="n">
        <v>5</v>
      </c>
      <c r="Y222" t="n">
        <v>5</v>
      </c>
      <c r="Z222" t="n">
        <v>5</v>
      </c>
      <c r="AA222" t="n">
        <v>95</v>
      </c>
      <c r="AB222" t="n">
        <v>35</v>
      </c>
      <c r="AC222" t="n">
        <v>0</v>
      </c>
    </row>
    <row r="223">
      <c r="A223" s="317" t="n">
        <v>46444</v>
      </c>
      <c r="B223" s="159">
        <f>SUMIFS('METAS EMPRESAS'!$K$15:$K$320,'METAS EMPRESAS'!$A$15:$A$320,"EJ",'METAS EMPRESAS'!$B$15:$B$320,"PREMONTAGEM",'METAS EMPRESAS'!$C$15:$C$320,$A223-WEEKDAY($A223,2)+1)</f>
        <v/>
      </c>
      <c r="C223" s="159">
        <f>SUMIFS('METAS EMPRESAS'!$K$15:$K$320,'METAS EMPRESAS'!$A$15:$A$320,"EJ",'METAS EMPRESAS'!$B$15:$B$320,"IÇAMENTO JOIST",'METAS EMPRESAS'!$C$15:$C$320,$A223-WEEKDAY($A223,2)+1)</f>
        <v/>
      </c>
      <c r="D223" s="159">
        <f>SUMIFS('METAS EMPRESAS'!$K$15:$K$320,'METAS EMPRESAS'!$A$15:$A$320,"EJ",'METAS EMPRESAS'!$B$15:$B$320,"VIGAS",'METAS EMPRESAS'!$C$15:$C$320,$A223-WEEKDAY($A223,2)+1)</f>
        <v/>
      </c>
      <c r="E223" s="159">
        <f>SUMIFS('METAS EMPRESAS'!$K$15:$K$320,'METAS EMPRESAS'!$A$15:$A$320,"CMM",'METAS EMPRESAS'!$B$15:$B$320,"PREMONTAGEM",'METAS EMPRESAS'!$C$15:$C$320,$A223-WEEKDAY($A223,2)+1)</f>
        <v/>
      </c>
      <c r="F223" s="159">
        <f>SUMIFS('METAS EMPRESAS'!$K$15:$K$320,'METAS EMPRESAS'!$A$15:$A$320,"CMM",'METAS EMPRESAS'!$B$15:$B$320,"IÇAMENTO JOIST",'METAS EMPRESAS'!$C$15:$C$320,$A223-WEEKDAY($A223,2)+1)</f>
        <v/>
      </c>
      <c r="G223" s="159">
        <f>SUMIFS('METAS EMPRESAS'!$K$15:$K$320,'METAS EMPRESAS'!$A$15:$A$320,"CMM",'METAS EMPRESAS'!$B$15:$B$320,"VIGAS",'METAS EMPRESAS'!$C$15:$C$320,$A223-WEEKDAY($A223,2)+1)</f>
        <v/>
      </c>
      <c r="H223" s="159">
        <f>SUMIFS('METAS EMPRESAS'!$G$15:$G$320,'METAS EMPRESAS'!$A$15:$A$320,"EJ",'METAS EMPRESAS'!$B$15:$B$320,"PREMONTAGEM",'METAS EMPRESAS'!$C$15:$C$320,$A223-WEEKDAY($A223,2)+1)</f>
        <v/>
      </c>
      <c r="I223" s="159">
        <f>SUMIFS('METAS EMPRESAS'!$G$15:$G$320,'METAS EMPRESAS'!$A$15:$A$320,"EJ",'METAS EMPRESAS'!$B$15:$B$320,"IÇAMENTO JOIST",'METAS EMPRESAS'!$C$15:$C$320,$A223-WEEKDAY($A223,2)+1)</f>
        <v/>
      </c>
      <c r="J223" s="159">
        <f>SUMIFS('METAS EMPRESAS'!$G$15:$G$320,'METAS EMPRESAS'!$A$15:$A$320,"EJ",'METAS EMPRESAS'!$B$15:$B$320,"VIGAS",'METAS EMPRESAS'!$C$15:$C$320,$A223-WEEKDAY($A223,2)+1)</f>
        <v/>
      </c>
      <c r="K223" s="159">
        <f>SUMIFS('METAS EMPRESAS'!$G$15:$G$320,'METAS EMPRESAS'!$A$15:$A$320,"CMM",'METAS EMPRESAS'!$B$15:$B$320,"PREMONTAGEM",'METAS EMPRESAS'!$C$15:$C$320,$A223-WEEKDAY($A223,2)+1)</f>
        <v/>
      </c>
      <c r="L223" s="159">
        <f>SUMIFS('METAS EMPRESAS'!$G$15:$G$320,'METAS EMPRESAS'!$A$15:$A$320,"CMM",'METAS EMPRESAS'!$B$15:$B$320,"IÇAMENTO JOIST",'METAS EMPRESAS'!$C$15:$C$320,$A223-WEEKDAY($A223,2)+1)</f>
        <v/>
      </c>
      <c r="M223" s="159">
        <f>SUMIFS('METAS EMPRESAS'!$G$15:$G$320,'METAS EMPRESAS'!$A$15:$A$320,"CMM",'METAS EMPRESAS'!$B$15:$B$320,"VIGAS",'METAS EMPRESAS'!$C$15:$C$320,$A223-WEEKDAY($A223,2)+1)</f>
        <v/>
      </c>
      <c r="N223" s="159">
        <f>SUMIFS('METAS EMPRESAS'!$J$15:$J$320,'METAS EMPRESAS'!$A$15:$A$320,"EJ",'METAS EMPRESAS'!$B$15:$B$320,"PREMONTAGEM",'METAS EMPRESAS'!$C$15:$C$320,$A223-WEEKDAY($A223,2)+1)</f>
        <v/>
      </c>
      <c r="O223" s="159">
        <f>SUMIFS('METAS EMPRESAS'!$J$15:$J$320,'METAS EMPRESAS'!$A$15:$A$320,"EJ",'METAS EMPRESAS'!$B$15:$B$320,"IÇAMENTO JOIST",'METAS EMPRESAS'!$C$15:$C$320,$A223-WEEKDAY($A223,2)+1)</f>
        <v/>
      </c>
      <c r="P223" s="159">
        <f>SUMIFS('METAS EMPRESAS'!$J$15:$J$320,'METAS EMPRESAS'!$A$15:$A$320,"EJ",'METAS EMPRESAS'!$B$15:$B$320,"VIGAS",'METAS EMPRESAS'!$C$15:$C$320,$A223-WEEKDAY($A223,2)+1)</f>
        <v/>
      </c>
      <c r="Q223" s="159">
        <f>SUMIFS('METAS EMPRESAS'!$J$15:$J$320,'METAS EMPRESAS'!$A$15:$A$320,"CMM",'METAS EMPRESAS'!$B$15:$B$320,"PREMONTAGEM",'METAS EMPRESAS'!$C$15:$C$320,$A223-WEEKDAY($A223,2)+1)</f>
        <v/>
      </c>
      <c r="R223" s="159">
        <f>SUMIFS('METAS EMPRESAS'!$J$15:$J$320,'METAS EMPRESAS'!$A$15:$A$320,"CMM",'METAS EMPRESAS'!$B$15:$B$320,"IÇAMENTO JOIST",'METAS EMPRESAS'!$C$15:$C$320,$A223-WEEKDAY($A223,2)+1)</f>
        <v/>
      </c>
      <c r="S223" s="159">
        <f>SUMIFS('METAS EMPRESAS'!$J$15:$J$320,'METAS EMPRESAS'!$A$15:$A$320,"CMM",'METAS EMPRESAS'!$B$15:$B$320,"VIGAS",'METAS EMPRESAS'!$C$15:$C$320,$A223-WEEKDAY($A223,2)+1)</f>
        <v/>
      </c>
      <c r="T223">
        <f>--(WEEKDAY(A223,2)&lt;=5)</f>
        <v/>
      </c>
      <c r="U223" t="n">
        <v>19</v>
      </c>
      <c r="V223" t="n">
        <v>7</v>
      </c>
      <c r="W223" t="n">
        <v>0</v>
      </c>
      <c r="X223" t="n">
        <v>5</v>
      </c>
      <c r="Y223" t="n">
        <v>5</v>
      </c>
      <c r="Z223" t="n">
        <v>5</v>
      </c>
      <c r="AA223" t="n">
        <v>95</v>
      </c>
      <c r="AB223" t="n">
        <v>35</v>
      </c>
      <c r="AC223" t="n">
        <v>0</v>
      </c>
    </row>
    <row r="224">
      <c r="A224" s="317" t="n">
        <v>46445</v>
      </c>
      <c r="B224" s="159">
        <f>SUMIFS('METAS EMPRESAS'!$K$15:$K$320,'METAS EMPRESAS'!$A$15:$A$320,"EJ",'METAS EMPRESAS'!$B$15:$B$320,"PREMONTAGEM",'METAS EMPRESAS'!$C$15:$C$320,$A224-WEEKDAY($A224,2)+1)</f>
        <v/>
      </c>
      <c r="C224" s="159">
        <f>SUMIFS('METAS EMPRESAS'!$K$15:$K$320,'METAS EMPRESAS'!$A$15:$A$320,"EJ",'METAS EMPRESAS'!$B$15:$B$320,"IÇAMENTO JOIST",'METAS EMPRESAS'!$C$15:$C$320,$A224-WEEKDAY($A224,2)+1)</f>
        <v/>
      </c>
      <c r="D224" s="159">
        <f>SUMIFS('METAS EMPRESAS'!$K$15:$K$320,'METAS EMPRESAS'!$A$15:$A$320,"EJ",'METAS EMPRESAS'!$B$15:$B$320,"VIGAS",'METAS EMPRESAS'!$C$15:$C$320,$A224-WEEKDAY($A224,2)+1)</f>
        <v/>
      </c>
      <c r="E224" s="159">
        <f>SUMIFS('METAS EMPRESAS'!$K$15:$K$320,'METAS EMPRESAS'!$A$15:$A$320,"CMM",'METAS EMPRESAS'!$B$15:$B$320,"PREMONTAGEM",'METAS EMPRESAS'!$C$15:$C$320,$A224-WEEKDAY($A224,2)+1)</f>
        <v/>
      </c>
      <c r="F224" s="159">
        <f>SUMIFS('METAS EMPRESAS'!$K$15:$K$320,'METAS EMPRESAS'!$A$15:$A$320,"CMM",'METAS EMPRESAS'!$B$15:$B$320,"IÇAMENTO JOIST",'METAS EMPRESAS'!$C$15:$C$320,$A224-WEEKDAY($A224,2)+1)</f>
        <v/>
      </c>
      <c r="G224" s="159">
        <f>SUMIFS('METAS EMPRESAS'!$K$15:$K$320,'METAS EMPRESAS'!$A$15:$A$320,"CMM",'METAS EMPRESAS'!$B$15:$B$320,"VIGAS",'METAS EMPRESAS'!$C$15:$C$320,$A224-WEEKDAY($A224,2)+1)</f>
        <v/>
      </c>
      <c r="H224" s="159">
        <f>SUMIFS('METAS EMPRESAS'!$G$15:$G$320,'METAS EMPRESAS'!$A$15:$A$320,"EJ",'METAS EMPRESAS'!$B$15:$B$320,"PREMONTAGEM",'METAS EMPRESAS'!$C$15:$C$320,$A224-WEEKDAY($A224,2)+1)</f>
        <v/>
      </c>
      <c r="I224" s="159">
        <f>SUMIFS('METAS EMPRESAS'!$G$15:$G$320,'METAS EMPRESAS'!$A$15:$A$320,"EJ",'METAS EMPRESAS'!$B$15:$B$320,"IÇAMENTO JOIST",'METAS EMPRESAS'!$C$15:$C$320,$A224-WEEKDAY($A224,2)+1)</f>
        <v/>
      </c>
      <c r="J224" s="159">
        <f>SUMIFS('METAS EMPRESAS'!$G$15:$G$320,'METAS EMPRESAS'!$A$15:$A$320,"EJ",'METAS EMPRESAS'!$B$15:$B$320,"VIGAS",'METAS EMPRESAS'!$C$15:$C$320,$A224-WEEKDAY($A224,2)+1)</f>
        <v/>
      </c>
      <c r="K224" s="159">
        <f>SUMIFS('METAS EMPRESAS'!$G$15:$G$320,'METAS EMPRESAS'!$A$15:$A$320,"CMM",'METAS EMPRESAS'!$B$15:$B$320,"PREMONTAGEM",'METAS EMPRESAS'!$C$15:$C$320,$A224-WEEKDAY($A224,2)+1)</f>
        <v/>
      </c>
      <c r="L224" s="159">
        <f>SUMIFS('METAS EMPRESAS'!$G$15:$G$320,'METAS EMPRESAS'!$A$15:$A$320,"CMM",'METAS EMPRESAS'!$B$15:$B$320,"IÇAMENTO JOIST",'METAS EMPRESAS'!$C$15:$C$320,$A224-WEEKDAY($A224,2)+1)</f>
        <v/>
      </c>
      <c r="M224" s="159">
        <f>SUMIFS('METAS EMPRESAS'!$G$15:$G$320,'METAS EMPRESAS'!$A$15:$A$320,"CMM",'METAS EMPRESAS'!$B$15:$B$320,"VIGAS",'METAS EMPRESAS'!$C$15:$C$320,$A224-WEEKDAY($A224,2)+1)</f>
        <v/>
      </c>
      <c r="N224" s="159">
        <f>SUMIFS('METAS EMPRESAS'!$J$15:$J$320,'METAS EMPRESAS'!$A$15:$A$320,"EJ",'METAS EMPRESAS'!$B$15:$B$320,"PREMONTAGEM",'METAS EMPRESAS'!$C$15:$C$320,$A224-WEEKDAY($A224,2)+1)</f>
        <v/>
      </c>
      <c r="O224" s="159">
        <f>SUMIFS('METAS EMPRESAS'!$J$15:$J$320,'METAS EMPRESAS'!$A$15:$A$320,"EJ",'METAS EMPRESAS'!$B$15:$B$320,"IÇAMENTO JOIST",'METAS EMPRESAS'!$C$15:$C$320,$A224-WEEKDAY($A224,2)+1)</f>
        <v/>
      </c>
      <c r="P224" s="159">
        <f>SUMIFS('METAS EMPRESAS'!$J$15:$J$320,'METAS EMPRESAS'!$A$15:$A$320,"EJ",'METAS EMPRESAS'!$B$15:$B$320,"VIGAS",'METAS EMPRESAS'!$C$15:$C$320,$A224-WEEKDAY($A224,2)+1)</f>
        <v/>
      </c>
      <c r="Q224" s="159">
        <f>SUMIFS('METAS EMPRESAS'!$J$15:$J$320,'METAS EMPRESAS'!$A$15:$A$320,"CMM",'METAS EMPRESAS'!$B$15:$B$320,"PREMONTAGEM",'METAS EMPRESAS'!$C$15:$C$320,$A224-WEEKDAY($A224,2)+1)</f>
        <v/>
      </c>
      <c r="R224" s="159">
        <f>SUMIFS('METAS EMPRESAS'!$J$15:$J$320,'METAS EMPRESAS'!$A$15:$A$320,"CMM",'METAS EMPRESAS'!$B$15:$B$320,"IÇAMENTO JOIST",'METAS EMPRESAS'!$C$15:$C$320,$A224-WEEKDAY($A224,2)+1)</f>
        <v/>
      </c>
      <c r="S224" s="159">
        <f>SUMIFS('METAS EMPRESAS'!$J$15:$J$320,'METAS EMPRESAS'!$A$15:$A$320,"CMM",'METAS EMPRESAS'!$B$15:$B$320,"VIGAS",'METAS EMPRESAS'!$C$15:$C$320,$A224-WEEKDAY($A224,2)+1)</f>
        <v/>
      </c>
      <c r="T224">
        <f>--(WEEKDAY(A224,2)&lt;=5)</f>
        <v/>
      </c>
      <c r="U224" t="n">
        <v>19</v>
      </c>
      <c r="V224" t="n">
        <v>7</v>
      </c>
      <c r="W224" t="n">
        <v>0</v>
      </c>
      <c r="X224" t="n">
        <v>5</v>
      </c>
      <c r="Y224" t="n">
        <v>5</v>
      </c>
      <c r="Z224" t="n">
        <v>5</v>
      </c>
      <c r="AA224" t="n">
        <v>95</v>
      </c>
      <c r="AB224" t="n">
        <v>35</v>
      </c>
      <c r="AC224" t="n">
        <v>0</v>
      </c>
    </row>
    <row r="225">
      <c r="A225" s="317" t="n">
        <v>46446</v>
      </c>
      <c r="B225" s="159">
        <f>SUMIFS('METAS EMPRESAS'!$K$15:$K$320,'METAS EMPRESAS'!$A$15:$A$320,"EJ",'METAS EMPRESAS'!$B$15:$B$320,"PREMONTAGEM",'METAS EMPRESAS'!$C$15:$C$320,$A225-WEEKDAY($A225,2)+1)</f>
        <v/>
      </c>
      <c r="C225" s="159">
        <f>SUMIFS('METAS EMPRESAS'!$K$15:$K$320,'METAS EMPRESAS'!$A$15:$A$320,"EJ",'METAS EMPRESAS'!$B$15:$B$320,"IÇAMENTO JOIST",'METAS EMPRESAS'!$C$15:$C$320,$A225-WEEKDAY($A225,2)+1)</f>
        <v/>
      </c>
      <c r="D225" s="159">
        <f>SUMIFS('METAS EMPRESAS'!$K$15:$K$320,'METAS EMPRESAS'!$A$15:$A$320,"EJ",'METAS EMPRESAS'!$B$15:$B$320,"VIGAS",'METAS EMPRESAS'!$C$15:$C$320,$A225-WEEKDAY($A225,2)+1)</f>
        <v/>
      </c>
      <c r="E225" s="159">
        <f>SUMIFS('METAS EMPRESAS'!$K$15:$K$320,'METAS EMPRESAS'!$A$15:$A$320,"CMM",'METAS EMPRESAS'!$B$15:$B$320,"PREMONTAGEM",'METAS EMPRESAS'!$C$15:$C$320,$A225-WEEKDAY($A225,2)+1)</f>
        <v/>
      </c>
      <c r="F225" s="159">
        <f>SUMIFS('METAS EMPRESAS'!$K$15:$K$320,'METAS EMPRESAS'!$A$15:$A$320,"CMM",'METAS EMPRESAS'!$B$15:$B$320,"IÇAMENTO JOIST",'METAS EMPRESAS'!$C$15:$C$320,$A225-WEEKDAY($A225,2)+1)</f>
        <v/>
      </c>
      <c r="G225" s="159">
        <f>SUMIFS('METAS EMPRESAS'!$K$15:$K$320,'METAS EMPRESAS'!$A$15:$A$320,"CMM",'METAS EMPRESAS'!$B$15:$B$320,"VIGAS",'METAS EMPRESAS'!$C$15:$C$320,$A225-WEEKDAY($A225,2)+1)</f>
        <v/>
      </c>
      <c r="H225" s="159">
        <f>SUMIFS('METAS EMPRESAS'!$G$15:$G$320,'METAS EMPRESAS'!$A$15:$A$320,"EJ",'METAS EMPRESAS'!$B$15:$B$320,"PREMONTAGEM",'METAS EMPRESAS'!$C$15:$C$320,$A225-WEEKDAY($A225,2)+1)</f>
        <v/>
      </c>
      <c r="I225" s="159">
        <f>SUMIFS('METAS EMPRESAS'!$G$15:$G$320,'METAS EMPRESAS'!$A$15:$A$320,"EJ",'METAS EMPRESAS'!$B$15:$B$320,"IÇAMENTO JOIST",'METAS EMPRESAS'!$C$15:$C$320,$A225-WEEKDAY($A225,2)+1)</f>
        <v/>
      </c>
      <c r="J225" s="159">
        <f>SUMIFS('METAS EMPRESAS'!$G$15:$G$320,'METAS EMPRESAS'!$A$15:$A$320,"EJ",'METAS EMPRESAS'!$B$15:$B$320,"VIGAS",'METAS EMPRESAS'!$C$15:$C$320,$A225-WEEKDAY($A225,2)+1)</f>
        <v/>
      </c>
      <c r="K225" s="159">
        <f>SUMIFS('METAS EMPRESAS'!$G$15:$G$320,'METAS EMPRESAS'!$A$15:$A$320,"CMM",'METAS EMPRESAS'!$B$15:$B$320,"PREMONTAGEM",'METAS EMPRESAS'!$C$15:$C$320,$A225-WEEKDAY($A225,2)+1)</f>
        <v/>
      </c>
      <c r="L225" s="159">
        <f>SUMIFS('METAS EMPRESAS'!$G$15:$G$320,'METAS EMPRESAS'!$A$15:$A$320,"CMM",'METAS EMPRESAS'!$B$15:$B$320,"IÇAMENTO JOIST",'METAS EMPRESAS'!$C$15:$C$320,$A225-WEEKDAY($A225,2)+1)</f>
        <v/>
      </c>
      <c r="M225" s="159">
        <f>SUMIFS('METAS EMPRESAS'!$G$15:$G$320,'METAS EMPRESAS'!$A$15:$A$320,"CMM",'METAS EMPRESAS'!$B$15:$B$320,"VIGAS",'METAS EMPRESAS'!$C$15:$C$320,$A225-WEEKDAY($A225,2)+1)</f>
        <v/>
      </c>
      <c r="N225" s="159">
        <f>SUMIFS('METAS EMPRESAS'!$J$15:$J$320,'METAS EMPRESAS'!$A$15:$A$320,"EJ",'METAS EMPRESAS'!$B$15:$B$320,"PREMONTAGEM",'METAS EMPRESAS'!$C$15:$C$320,$A225-WEEKDAY($A225,2)+1)</f>
        <v/>
      </c>
      <c r="O225" s="159">
        <f>SUMIFS('METAS EMPRESAS'!$J$15:$J$320,'METAS EMPRESAS'!$A$15:$A$320,"EJ",'METAS EMPRESAS'!$B$15:$B$320,"IÇAMENTO JOIST",'METAS EMPRESAS'!$C$15:$C$320,$A225-WEEKDAY($A225,2)+1)</f>
        <v/>
      </c>
      <c r="P225" s="159">
        <f>SUMIFS('METAS EMPRESAS'!$J$15:$J$320,'METAS EMPRESAS'!$A$15:$A$320,"EJ",'METAS EMPRESAS'!$B$15:$B$320,"VIGAS",'METAS EMPRESAS'!$C$15:$C$320,$A225-WEEKDAY($A225,2)+1)</f>
        <v/>
      </c>
      <c r="Q225" s="159">
        <f>SUMIFS('METAS EMPRESAS'!$J$15:$J$320,'METAS EMPRESAS'!$A$15:$A$320,"CMM",'METAS EMPRESAS'!$B$15:$B$320,"PREMONTAGEM",'METAS EMPRESAS'!$C$15:$C$320,$A225-WEEKDAY($A225,2)+1)</f>
        <v/>
      </c>
      <c r="R225" s="159">
        <f>SUMIFS('METAS EMPRESAS'!$J$15:$J$320,'METAS EMPRESAS'!$A$15:$A$320,"CMM",'METAS EMPRESAS'!$B$15:$B$320,"IÇAMENTO JOIST",'METAS EMPRESAS'!$C$15:$C$320,$A225-WEEKDAY($A225,2)+1)</f>
        <v/>
      </c>
      <c r="S225" s="159">
        <f>SUMIFS('METAS EMPRESAS'!$J$15:$J$320,'METAS EMPRESAS'!$A$15:$A$320,"CMM",'METAS EMPRESAS'!$B$15:$B$320,"VIGAS",'METAS EMPRESAS'!$C$15:$C$320,$A225-WEEKDAY($A225,2)+1)</f>
        <v/>
      </c>
      <c r="T225">
        <f>--(WEEKDAY(A225,2)&lt;=5)</f>
        <v/>
      </c>
      <c r="U225" t="n">
        <v>19</v>
      </c>
      <c r="V225" t="n">
        <v>7</v>
      </c>
      <c r="W225" t="n">
        <v>0</v>
      </c>
      <c r="X225" t="n">
        <v>5</v>
      </c>
      <c r="Y225" t="n">
        <v>5</v>
      </c>
      <c r="Z225" t="n">
        <v>5</v>
      </c>
      <c r="AA225" t="n">
        <v>95</v>
      </c>
      <c r="AB225" t="n">
        <v>35</v>
      </c>
      <c r="AC225" t="n">
        <v>0</v>
      </c>
    </row>
    <row r="226">
      <c r="A226" s="317" t="n">
        <v>46447</v>
      </c>
      <c r="B226" s="159">
        <f>SUMIFS('METAS EMPRESAS'!$K$15:$K$320,'METAS EMPRESAS'!$A$15:$A$320,"EJ",'METAS EMPRESAS'!$B$15:$B$320,"PREMONTAGEM",'METAS EMPRESAS'!$C$15:$C$320,$A226-WEEKDAY($A226,2)+1)</f>
        <v/>
      </c>
      <c r="C226" s="159">
        <f>SUMIFS('METAS EMPRESAS'!$K$15:$K$320,'METAS EMPRESAS'!$A$15:$A$320,"EJ",'METAS EMPRESAS'!$B$15:$B$320,"IÇAMENTO JOIST",'METAS EMPRESAS'!$C$15:$C$320,$A226-WEEKDAY($A226,2)+1)</f>
        <v/>
      </c>
      <c r="D226" s="159">
        <f>SUMIFS('METAS EMPRESAS'!$K$15:$K$320,'METAS EMPRESAS'!$A$15:$A$320,"EJ",'METAS EMPRESAS'!$B$15:$B$320,"VIGAS",'METAS EMPRESAS'!$C$15:$C$320,$A226-WEEKDAY($A226,2)+1)</f>
        <v/>
      </c>
      <c r="E226" s="159">
        <f>SUMIFS('METAS EMPRESAS'!$K$15:$K$320,'METAS EMPRESAS'!$A$15:$A$320,"CMM",'METAS EMPRESAS'!$B$15:$B$320,"PREMONTAGEM",'METAS EMPRESAS'!$C$15:$C$320,$A226-WEEKDAY($A226,2)+1)</f>
        <v/>
      </c>
      <c r="F226" s="159">
        <f>SUMIFS('METAS EMPRESAS'!$K$15:$K$320,'METAS EMPRESAS'!$A$15:$A$320,"CMM",'METAS EMPRESAS'!$B$15:$B$320,"IÇAMENTO JOIST",'METAS EMPRESAS'!$C$15:$C$320,$A226-WEEKDAY($A226,2)+1)</f>
        <v/>
      </c>
      <c r="G226" s="159">
        <f>SUMIFS('METAS EMPRESAS'!$K$15:$K$320,'METAS EMPRESAS'!$A$15:$A$320,"CMM",'METAS EMPRESAS'!$B$15:$B$320,"VIGAS",'METAS EMPRESAS'!$C$15:$C$320,$A226-WEEKDAY($A226,2)+1)</f>
        <v/>
      </c>
      <c r="H226" s="159">
        <f>SUMIFS('METAS EMPRESAS'!$G$15:$G$320,'METAS EMPRESAS'!$A$15:$A$320,"EJ",'METAS EMPRESAS'!$B$15:$B$320,"PREMONTAGEM",'METAS EMPRESAS'!$C$15:$C$320,$A226-WEEKDAY($A226,2)+1)</f>
        <v/>
      </c>
      <c r="I226" s="159">
        <f>SUMIFS('METAS EMPRESAS'!$G$15:$G$320,'METAS EMPRESAS'!$A$15:$A$320,"EJ",'METAS EMPRESAS'!$B$15:$B$320,"IÇAMENTO JOIST",'METAS EMPRESAS'!$C$15:$C$320,$A226-WEEKDAY($A226,2)+1)</f>
        <v/>
      </c>
      <c r="J226" s="159">
        <f>SUMIFS('METAS EMPRESAS'!$G$15:$G$320,'METAS EMPRESAS'!$A$15:$A$320,"EJ",'METAS EMPRESAS'!$B$15:$B$320,"VIGAS",'METAS EMPRESAS'!$C$15:$C$320,$A226-WEEKDAY($A226,2)+1)</f>
        <v/>
      </c>
      <c r="K226" s="159">
        <f>SUMIFS('METAS EMPRESAS'!$G$15:$G$320,'METAS EMPRESAS'!$A$15:$A$320,"CMM",'METAS EMPRESAS'!$B$15:$B$320,"PREMONTAGEM",'METAS EMPRESAS'!$C$15:$C$320,$A226-WEEKDAY($A226,2)+1)</f>
        <v/>
      </c>
      <c r="L226" s="159">
        <f>SUMIFS('METAS EMPRESAS'!$G$15:$G$320,'METAS EMPRESAS'!$A$15:$A$320,"CMM",'METAS EMPRESAS'!$B$15:$B$320,"IÇAMENTO JOIST",'METAS EMPRESAS'!$C$15:$C$320,$A226-WEEKDAY($A226,2)+1)</f>
        <v/>
      </c>
      <c r="M226" s="159">
        <f>SUMIFS('METAS EMPRESAS'!$G$15:$G$320,'METAS EMPRESAS'!$A$15:$A$320,"CMM",'METAS EMPRESAS'!$B$15:$B$320,"VIGAS",'METAS EMPRESAS'!$C$15:$C$320,$A226-WEEKDAY($A226,2)+1)</f>
        <v/>
      </c>
      <c r="N226" s="159">
        <f>SUMIFS('METAS EMPRESAS'!$J$15:$J$320,'METAS EMPRESAS'!$A$15:$A$320,"EJ",'METAS EMPRESAS'!$B$15:$B$320,"PREMONTAGEM",'METAS EMPRESAS'!$C$15:$C$320,$A226-WEEKDAY($A226,2)+1)</f>
        <v/>
      </c>
      <c r="O226" s="159">
        <f>SUMIFS('METAS EMPRESAS'!$J$15:$J$320,'METAS EMPRESAS'!$A$15:$A$320,"EJ",'METAS EMPRESAS'!$B$15:$B$320,"IÇAMENTO JOIST",'METAS EMPRESAS'!$C$15:$C$320,$A226-WEEKDAY($A226,2)+1)</f>
        <v/>
      </c>
      <c r="P226" s="159">
        <f>SUMIFS('METAS EMPRESAS'!$J$15:$J$320,'METAS EMPRESAS'!$A$15:$A$320,"EJ",'METAS EMPRESAS'!$B$15:$B$320,"VIGAS",'METAS EMPRESAS'!$C$15:$C$320,$A226-WEEKDAY($A226,2)+1)</f>
        <v/>
      </c>
      <c r="Q226" s="159">
        <f>SUMIFS('METAS EMPRESAS'!$J$15:$J$320,'METAS EMPRESAS'!$A$15:$A$320,"CMM",'METAS EMPRESAS'!$B$15:$B$320,"PREMONTAGEM",'METAS EMPRESAS'!$C$15:$C$320,$A226-WEEKDAY($A226,2)+1)</f>
        <v/>
      </c>
      <c r="R226" s="159">
        <f>SUMIFS('METAS EMPRESAS'!$J$15:$J$320,'METAS EMPRESAS'!$A$15:$A$320,"CMM",'METAS EMPRESAS'!$B$15:$B$320,"IÇAMENTO JOIST",'METAS EMPRESAS'!$C$15:$C$320,$A226-WEEKDAY($A226,2)+1)</f>
        <v/>
      </c>
      <c r="S226" s="159">
        <f>SUMIFS('METAS EMPRESAS'!$J$15:$J$320,'METAS EMPRESAS'!$A$15:$A$320,"CMM",'METAS EMPRESAS'!$B$15:$B$320,"VIGAS",'METAS EMPRESAS'!$C$15:$C$320,$A226-WEEKDAY($A226,2)+1)</f>
        <v/>
      </c>
      <c r="T226">
        <f>--(WEEKDAY(A226,2)&lt;=5)</f>
        <v/>
      </c>
      <c r="U226" t="n">
        <v>19</v>
      </c>
      <c r="V226" t="n">
        <v>7</v>
      </c>
      <c r="W226" t="n">
        <v>0</v>
      </c>
      <c r="X226" t="n">
        <v>5</v>
      </c>
      <c r="Y226" t="n">
        <v>5</v>
      </c>
      <c r="Z226" t="n">
        <v>5</v>
      </c>
      <c r="AA226" t="n">
        <v>95</v>
      </c>
      <c r="AB226" t="n">
        <v>35</v>
      </c>
      <c r="AC226" t="n">
        <v>0</v>
      </c>
    </row>
    <row r="227">
      <c r="A227" s="317" t="n">
        <v>46448</v>
      </c>
      <c r="B227" s="159">
        <f>SUMIFS('METAS EMPRESAS'!$K$15:$K$320,'METAS EMPRESAS'!$A$15:$A$320,"EJ",'METAS EMPRESAS'!$B$15:$B$320,"PREMONTAGEM",'METAS EMPRESAS'!$C$15:$C$320,$A227-WEEKDAY($A227,2)+1)</f>
        <v/>
      </c>
      <c r="C227" s="159">
        <f>SUMIFS('METAS EMPRESAS'!$K$15:$K$320,'METAS EMPRESAS'!$A$15:$A$320,"EJ",'METAS EMPRESAS'!$B$15:$B$320,"IÇAMENTO JOIST",'METAS EMPRESAS'!$C$15:$C$320,$A227-WEEKDAY($A227,2)+1)</f>
        <v/>
      </c>
      <c r="D227" s="159">
        <f>SUMIFS('METAS EMPRESAS'!$K$15:$K$320,'METAS EMPRESAS'!$A$15:$A$320,"EJ",'METAS EMPRESAS'!$B$15:$B$320,"VIGAS",'METAS EMPRESAS'!$C$15:$C$320,$A227-WEEKDAY($A227,2)+1)</f>
        <v/>
      </c>
      <c r="E227" s="159">
        <f>SUMIFS('METAS EMPRESAS'!$K$15:$K$320,'METAS EMPRESAS'!$A$15:$A$320,"CMM",'METAS EMPRESAS'!$B$15:$B$320,"PREMONTAGEM",'METAS EMPRESAS'!$C$15:$C$320,$A227-WEEKDAY($A227,2)+1)</f>
        <v/>
      </c>
      <c r="F227" s="159">
        <f>SUMIFS('METAS EMPRESAS'!$K$15:$K$320,'METAS EMPRESAS'!$A$15:$A$320,"CMM",'METAS EMPRESAS'!$B$15:$B$320,"IÇAMENTO JOIST",'METAS EMPRESAS'!$C$15:$C$320,$A227-WEEKDAY($A227,2)+1)</f>
        <v/>
      </c>
      <c r="G227" s="159">
        <f>SUMIFS('METAS EMPRESAS'!$K$15:$K$320,'METAS EMPRESAS'!$A$15:$A$320,"CMM",'METAS EMPRESAS'!$B$15:$B$320,"VIGAS",'METAS EMPRESAS'!$C$15:$C$320,$A227-WEEKDAY($A227,2)+1)</f>
        <v/>
      </c>
      <c r="H227" s="159">
        <f>SUMIFS('METAS EMPRESAS'!$G$15:$G$320,'METAS EMPRESAS'!$A$15:$A$320,"EJ",'METAS EMPRESAS'!$B$15:$B$320,"PREMONTAGEM",'METAS EMPRESAS'!$C$15:$C$320,$A227-WEEKDAY($A227,2)+1)</f>
        <v/>
      </c>
      <c r="I227" s="159">
        <f>SUMIFS('METAS EMPRESAS'!$G$15:$G$320,'METAS EMPRESAS'!$A$15:$A$320,"EJ",'METAS EMPRESAS'!$B$15:$B$320,"IÇAMENTO JOIST",'METAS EMPRESAS'!$C$15:$C$320,$A227-WEEKDAY($A227,2)+1)</f>
        <v/>
      </c>
      <c r="J227" s="159">
        <f>SUMIFS('METAS EMPRESAS'!$G$15:$G$320,'METAS EMPRESAS'!$A$15:$A$320,"EJ",'METAS EMPRESAS'!$B$15:$B$320,"VIGAS",'METAS EMPRESAS'!$C$15:$C$320,$A227-WEEKDAY($A227,2)+1)</f>
        <v/>
      </c>
      <c r="K227" s="159">
        <f>SUMIFS('METAS EMPRESAS'!$G$15:$G$320,'METAS EMPRESAS'!$A$15:$A$320,"CMM",'METAS EMPRESAS'!$B$15:$B$320,"PREMONTAGEM",'METAS EMPRESAS'!$C$15:$C$320,$A227-WEEKDAY($A227,2)+1)</f>
        <v/>
      </c>
      <c r="L227" s="159">
        <f>SUMIFS('METAS EMPRESAS'!$G$15:$G$320,'METAS EMPRESAS'!$A$15:$A$320,"CMM",'METAS EMPRESAS'!$B$15:$B$320,"IÇAMENTO JOIST",'METAS EMPRESAS'!$C$15:$C$320,$A227-WEEKDAY($A227,2)+1)</f>
        <v/>
      </c>
      <c r="M227" s="159">
        <f>SUMIFS('METAS EMPRESAS'!$G$15:$G$320,'METAS EMPRESAS'!$A$15:$A$320,"CMM",'METAS EMPRESAS'!$B$15:$B$320,"VIGAS",'METAS EMPRESAS'!$C$15:$C$320,$A227-WEEKDAY($A227,2)+1)</f>
        <v/>
      </c>
      <c r="N227" s="159">
        <f>SUMIFS('METAS EMPRESAS'!$J$15:$J$320,'METAS EMPRESAS'!$A$15:$A$320,"EJ",'METAS EMPRESAS'!$B$15:$B$320,"PREMONTAGEM",'METAS EMPRESAS'!$C$15:$C$320,$A227-WEEKDAY($A227,2)+1)</f>
        <v/>
      </c>
      <c r="O227" s="159">
        <f>SUMIFS('METAS EMPRESAS'!$J$15:$J$320,'METAS EMPRESAS'!$A$15:$A$320,"EJ",'METAS EMPRESAS'!$B$15:$B$320,"IÇAMENTO JOIST",'METAS EMPRESAS'!$C$15:$C$320,$A227-WEEKDAY($A227,2)+1)</f>
        <v/>
      </c>
      <c r="P227" s="159">
        <f>SUMIFS('METAS EMPRESAS'!$J$15:$J$320,'METAS EMPRESAS'!$A$15:$A$320,"EJ",'METAS EMPRESAS'!$B$15:$B$320,"VIGAS",'METAS EMPRESAS'!$C$15:$C$320,$A227-WEEKDAY($A227,2)+1)</f>
        <v/>
      </c>
      <c r="Q227" s="159">
        <f>SUMIFS('METAS EMPRESAS'!$J$15:$J$320,'METAS EMPRESAS'!$A$15:$A$320,"CMM",'METAS EMPRESAS'!$B$15:$B$320,"PREMONTAGEM",'METAS EMPRESAS'!$C$15:$C$320,$A227-WEEKDAY($A227,2)+1)</f>
        <v/>
      </c>
      <c r="R227" s="159">
        <f>SUMIFS('METAS EMPRESAS'!$J$15:$J$320,'METAS EMPRESAS'!$A$15:$A$320,"CMM",'METAS EMPRESAS'!$B$15:$B$320,"IÇAMENTO JOIST",'METAS EMPRESAS'!$C$15:$C$320,$A227-WEEKDAY($A227,2)+1)</f>
        <v/>
      </c>
      <c r="S227" s="159">
        <f>SUMIFS('METAS EMPRESAS'!$J$15:$J$320,'METAS EMPRESAS'!$A$15:$A$320,"CMM",'METAS EMPRESAS'!$B$15:$B$320,"VIGAS",'METAS EMPRESAS'!$C$15:$C$320,$A227-WEEKDAY($A227,2)+1)</f>
        <v/>
      </c>
      <c r="T227">
        <f>--(WEEKDAY(A227,2)&lt;=5)</f>
        <v/>
      </c>
      <c r="U227" t="n">
        <v>19</v>
      </c>
      <c r="V227" t="n">
        <v>7</v>
      </c>
      <c r="W227" t="n">
        <v>0</v>
      </c>
      <c r="X227" t="n">
        <v>5</v>
      </c>
      <c r="Y227" t="n">
        <v>5</v>
      </c>
      <c r="Z227" t="n">
        <v>5</v>
      </c>
      <c r="AA227" t="n">
        <v>95</v>
      </c>
      <c r="AB227" t="n">
        <v>35</v>
      </c>
      <c r="AC227" t="n">
        <v>0</v>
      </c>
    </row>
    <row r="228">
      <c r="A228" s="317" t="n">
        <v>46449</v>
      </c>
      <c r="B228" s="159">
        <f>SUMIFS('METAS EMPRESAS'!$K$15:$K$320,'METAS EMPRESAS'!$A$15:$A$320,"EJ",'METAS EMPRESAS'!$B$15:$B$320,"PREMONTAGEM",'METAS EMPRESAS'!$C$15:$C$320,$A228-WEEKDAY($A228,2)+1)</f>
        <v/>
      </c>
      <c r="C228" s="159">
        <f>SUMIFS('METAS EMPRESAS'!$K$15:$K$320,'METAS EMPRESAS'!$A$15:$A$320,"EJ",'METAS EMPRESAS'!$B$15:$B$320,"IÇAMENTO JOIST",'METAS EMPRESAS'!$C$15:$C$320,$A228-WEEKDAY($A228,2)+1)</f>
        <v/>
      </c>
      <c r="D228" s="159">
        <f>SUMIFS('METAS EMPRESAS'!$K$15:$K$320,'METAS EMPRESAS'!$A$15:$A$320,"EJ",'METAS EMPRESAS'!$B$15:$B$320,"VIGAS",'METAS EMPRESAS'!$C$15:$C$320,$A228-WEEKDAY($A228,2)+1)</f>
        <v/>
      </c>
      <c r="E228" s="159">
        <f>SUMIFS('METAS EMPRESAS'!$K$15:$K$320,'METAS EMPRESAS'!$A$15:$A$320,"CMM",'METAS EMPRESAS'!$B$15:$B$320,"PREMONTAGEM",'METAS EMPRESAS'!$C$15:$C$320,$A228-WEEKDAY($A228,2)+1)</f>
        <v/>
      </c>
      <c r="F228" s="159">
        <f>SUMIFS('METAS EMPRESAS'!$K$15:$K$320,'METAS EMPRESAS'!$A$15:$A$320,"CMM",'METAS EMPRESAS'!$B$15:$B$320,"IÇAMENTO JOIST",'METAS EMPRESAS'!$C$15:$C$320,$A228-WEEKDAY($A228,2)+1)</f>
        <v/>
      </c>
      <c r="G228" s="159">
        <f>SUMIFS('METAS EMPRESAS'!$K$15:$K$320,'METAS EMPRESAS'!$A$15:$A$320,"CMM",'METAS EMPRESAS'!$B$15:$B$320,"VIGAS",'METAS EMPRESAS'!$C$15:$C$320,$A228-WEEKDAY($A228,2)+1)</f>
        <v/>
      </c>
      <c r="H228" s="159">
        <f>SUMIFS('METAS EMPRESAS'!$G$15:$G$320,'METAS EMPRESAS'!$A$15:$A$320,"EJ",'METAS EMPRESAS'!$B$15:$B$320,"PREMONTAGEM",'METAS EMPRESAS'!$C$15:$C$320,$A228-WEEKDAY($A228,2)+1)</f>
        <v/>
      </c>
      <c r="I228" s="159">
        <f>SUMIFS('METAS EMPRESAS'!$G$15:$G$320,'METAS EMPRESAS'!$A$15:$A$320,"EJ",'METAS EMPRESAS'!$B$15:$B$320,"IÇAMENTO JOIST",'METAS EMPRESAS'!$C$15:$C$320,$A228-WEEKDAY($A228,2)+1)</f>
        <v/>
      </c>
      <c r="J228" s="159">
        <f>SUMIFS('METAS EMPRESAS'!$G$15:$G$320,'METAS EMPRESAS'!$A$15:$A$320,"EJ",'METAS EMPRESAS'!$B$15:$B$320,"VIGAS",'METAS EMPRESAS'!$C$15:$C$320,$A228-WEEKDAY($A228,2)+1)</f>
        <v/>
      </c>
      <c r="K228" s="159">
        <f>SUMIFS('METAS EMPRESAS'!$G$15:$G$320,'METAS EMPRESAS'!$A$15:$A$320,"CMM",'METAS EMPRESAS'!$B$15:$B$320,"PREMONTAGEM",'METAS EMPRESAS'!$C$15:$C$320,$A228-WEEKDAY($A228,2)+1)</f>
        <v/>
      </c>
      <c r="L228" s="159">
        <f>SUMIFS('METAS EMPRESAS'!$G$15:$G$320,'METAS EMPRESAS'!$A$15:$A$320,"CMM",'METAS EMPRESAS'!$B$15:$B$320,"IÇAMENTO JOIST",'METAS EMPRESAS'!$C$15:$C$320,$A228-WEEKDAY($A228,2)+1)</f>
        <v/>
      </c>
      <c r="M228" s="159">
        <f>SUMIFS('METAS EMPRESAS'!$G$15:$G$320,'METAS EMPRESAS'!$A$15:$A$320,"CMM",'METAS EMPRESAS'!$B$15:$B$320,"VIGAS",'METAS EMPRESAS'!$C$15:$C$320,$A228-WEEKDAY($A228,2)+1)</f>
        <v/>
      </c>
      <c r="N228" s="159">
        <f>SUMIFS('METAS EMPRESAS'!$J$15:$J$320,'METAS EMPRESAS'!$A$15:$A$320,"EJ",'METAS EMPRESAS'!$B$15:$B$320,"PREMONTAGEM",'METAS EMPRESAS'!$C$15:$C$320,$A228-WEEKDAY($A228,2)+1)</f>
        <v/>
      </c>
      <c r="O228" s="159">
        <f>SUMIFS('METAS EMPRESAS'!$J$15:$J$320,'METAS EMPRESAS'!$A$15:$A$320,"EJ",'METAS EMPRESAS'!$B$15:$B$320,"IÇAMENTO JOIST",'METAS EMPRESAS'!$C$15:$C$320,$A228-WEEKDAY($A228,2)+1)</f>
        <v/>
      </c>
      <c r="P228" s="159">
        <f>SUMIFS('METAS EMPRESAS'!$J$15:$J$320,'METAS EMPRESAS'!$A$15:$A$320,"EJ",'METAS EMPRESAS'!$B$15:$B$320,"VIGAS",'METAS EMPRESAS'!$C$15:$C$320,$A228-WEEKDAY($A228,2)+1)</f>
        <v/>
      </c>
      <c r="Q228" s="159">
        <f>SUMIFS('METAS EMPRESAS'!$J$15:$J$320,'METAS EMPRESAS'!$A$15:$A$320,"CMM",'METAS EMPRESAS'!$B$15:$B$320,"PREMONTAGEM",'METAS EMPRESAS'!$C$15:$C$320,$A228-WEEKDAY($A228,2)+1)</f>
        <v/>
      </c>
      <c r="R228" s="159">
        <f>SUMIFS('METAS EMPRESAS'!$J$15:$J$320,'METAS EMPRESAS'!$A$15:$A$320,"CMM",'METAS EMPRESAS'!$B$15:$B$320,"IÇAMENTO JOIST",'METAS EMPRESAS'!$C$15:$C$320,$A228-WEEKDAY($A228,2)+1)</f>
        <v/>
      </c>
      <c r="S228" s="159">
        <f>SUMIFS('METAS EMPRESAS'!$J$15:$J$320,'METAS EMPRESAS'!$A$15:$A$320,"CMM",'METAS EMPRESAS'!$B$15:$B$320,"VIGAS",'METAS EMPRESAS'!$C$15:$C$320,$A228-WEEKDAY($A228,2)+1)</f>
        <v/>
      </c>
      <c r="T228">
        <f>--(WEEKDAY(A228,2)&lt;=5)</f>
        <v/>
      </c>
      <c r="U228" t="n">
        <v>19</v>
      </c>
      <c r="V228" t="n">
        <v>7</v>
      </c>
      <c r="W228" t="n">
        <v>0</v>
      </c>
      <c r="X228" t="n">
        <v>5</v>
      </c>
      <c r="Y228" t="n">
        <v>5</v>
      </c>
      <c r="Z228" t="n">
        <v>5</v>
      </c>
      <c r="AA228" t="n">
        <v>95</v>
      </c>
      <c r="AB228" t="n">
        <v>35</v>
      </c>
      <c r="AC228" t="n">
        <v>0</v>
      </c>
    </row>
    <row r="229">
      <c r="A229" s="317" t="n">
        <v>46450</v>
      </c>
      <c r="B229" s="159">
        <f>SUMIFS('METAS EMPRESAS'!$K$15:$K$320,'METAS EMPRESAS'!$A$15:$A$320,"EJ",'METAS EMPRESAS'!$B$15:$B$320,"PREMONTAGEM",'METAS EMPRESAS'!$C$15:$C$320,$A229-WEEKDAY($A229,2)+1)</f>
        <v/>
      </c>
      <c r="C229" s="159">
        <f>SUMIFS('METAS EMPRESAS'!$K$15:$K$320,'METAS EMPRESAS'!$A$15:$A$320,"EJ",'METAS EMPRESAS'!$B$15:$B$320,"IÇAMENTO JOIST",'METAS EMPRESAS'!$C$15:$C$320,$A229-WEEKDAY($A229,2)+1)</f>
        <v/>
      </c>
      <c r="D229" s="159">
        <f>SUMIFS('METAS EMPRESAS'!$K$15:$K$320,'METAS EMPRESAS'!$A$15:$A$320,"EJ",'METAS EMPRESAS'!$B$15:$B$320,"VIGAS",'METAS EMPRESAS'!$C$15:$C$320,$A229-WEEKDAY($A229,2)+1)</f>
        <v/>
      </c>
      <c r="E229" s="159">
        <f>SUMIFS('METAS EMPRESAS'!$K$15:$K$320,'METAS EMPRESAS'!$A$15:$A$320,"CMM",'METAS EMPRESAS'!$B$15:$B$320,"PREMONTAGEM",'METAS EMPRESAS'!$C$15:$C$320,$A229-WEEKDAY($A229,2)+1)</f>
        <v/>
      </c>
      <c r="F229" s="159">
        <f>SUMIFS('METAS EMPRESAS'!$K$15:$K$320,'METAS EMPRESAS'!$A$15:$A$320,"CMM",'METAS EMPRESAS'!$B$15:$B$320,"IÇAMENTO JOIST",'METAS EMPRESAS'!$C$15:$C$320,$A229-WEEKDAY($A229,2)+1)</f>
        <v/>
      </c>
      <c r="G229" s="159">
        <f>SUMIFS('METAS EMPRESAS'!$K$15:$K$320,'METAS EMPRESAS'!$A$15:$A$320,"CMM",'METAS EMPRESAS'!$B$15:$B$320,"VIGAS",'METAS EMPRESAS'!$C$15:$C$320,$A229-WEEKDAY($A229,2)+1)</f>
        <v/>
      </c>
      <c r="H229" s="159">
        <f>SUMIFS('METAS EMPRESAS'!$G$15:$G$320,'METAS EMPRESAS'!$A$15:$A$320,"EJ",'METAS EMPRESAS'!$B$15:$B$320,"PREMONTAGEM",'METAS EMPRESAS'!$C$15:$C$320,$A229-WEEKDAY($A229,2)+1)</f>
        <v/>
      </c>
      <c r="I229" s="159">
        <f>SUMIFS('METAS EMPRESAS'!$G$15:$G$320,'METAS EMPRESAS'!$A$15:$A$320,"EJ",'METAS EMPRESAS'!$B$15:$B$320,"IÇAMENTO JOIST",'METAS EMPRESAS'!$C$15:$C$320,$A229-WEEKDAY($A229,2)+1)</f>
        <v/>
      </c>
      <c r="J229" s="159">
        <f>SUMIFS('METAS EMPRESAS'!$G$15:$G$320,'METAS EMPRESAS'!$A$15:$A$320,"EJ",'METAS EMPRESAS'!$B$15:$B$320,"VIGAS",'METAS EMPRESAS'!$C$15:$C$320,$A229-WEEKDAY($A229,2)+1)</f>
        <v/>
      </c>
      <c r="K229" s="159">
        <f>SUMIFS('METAS EMPRESAS'!$G$15:$G$320,'METAS EMPRESAS'!$A$15:$A$320,"CMM",'METAS EMPRESAS'!$B$15:$B$320,"PREMONTAGEM",'METAS EMPRESAS'!$C$15:$C$320,$A229-WEEKDAY($A229,2)+1)</f>
        <v/>
      </c>
      <c r="L229" s="159">
        <f>SUMIFS('METAS EMPRESAS'!$G$15:$G$320,'METAS EMPRESAS'!$A$15:$A$320,"CMM",'METAS EMPRESAS'!$B$15:$B$320,"IÇAMENTO JOIST",'METAS EMPRESAS'!$C$15:$C$320,$A229-WEEKDAY($A229,2)+1)</f>
        <v/>
      </c>
      <c r="M229" s="159">
        <f>SUMIFS('METAS EMPRESAS'!$G$15:$G$320,'METAS EMPRESAS'!$A$15:$A$320,"CMM",'METAS EMPRESAS'!$B$15:$B$320,"VIGAS",'METAS EMPRESAS'!$C$15:$C$320,$A229-WEEKDAY($A229,2)+1)</f>
        <v/>
      </c>
      <c r="N229" s="159">
        <f>SUMIFS('METAS EMPRESAS'!$J$15:$J$320,'METAS EMPRESAS'!$A$15:$A$320,"EJ",'METAS EMPRESAS'!$B$15:$B$320,"PREMONTAGEM",'METAS EMPRESAS'!$C$15:$C$320,$A229-WEEKDAY($A229,2)+1)</f>
        <v/>
      </c>
      <c r="O229" s="159">
        <f>SUMIFS('METAS EMPRESAS'!$J$15:$J$320,'METAS EMPRESAS'!$A$15:$A$320,"EJ",'METAS EMPRESAS'!$B$15:$B$320,"IÇAMENTO JOIST",'METAS EMPRESAS'!$C$15:$C$320,$A229-WEEKDAY($A229,2)+1)</f>
        <v/>
      </c>
      <c r="P229" s="159">
        <f>SUMIFS('METAS EMPRESAS'!$J$15:$J$320,'METAS EMPRESAS'!$A$15:$A$320,"EJ",'METAS EMPRESAS'!$B$15:$B$320,"VIGAS",'METAS EMPRESAS'!$C$15:$C$320,$A229-WEEKDAY($A229,2)+1)</f>
        <v/>
      </c>
      <c r="Q229" s="159">
        <f>SUMIFS('METAS EMPRESAS'!$J$15:$J$320,'METAS EMPRESAS'!$A$15:$A$320,"CMM",'METAS EMPRESAS'!$B$15:$B$320,"PREMONTAGEM",'METAS EMPRESAS'!$C$15:$C$320,$A229-WEEKDAY($A229,2)+1)</f>
        <v/>
      </c>
      <c r="R229" s="159">
        <f>SUMIFS('METAS EMPRESAS'!$J$15:$J$320,'METAS EMPRESAS'!$A$15:$A$320,"CMM",'METAS EMPRESAS'!$B$15:$B$320,"IÇAMENTO JOIST",'METAS EMPRESAS'!$C$15:$C$320,$A229-WEEKDAY($A229,2)+1)</f>
        <v/>
      </c>
      <c r="S229" s="159">
        <f>SUMIFS('METAS EMPRESAS'!$J$15:$J$320,'METAS EMPRESAS'!$A$15:$A$320,"CMM",'METAS EMPRESAS'!$B$15:$B$320,"VIGAS",'METAS EMPRESAS'!$C$15:$C$320,$A229-WEEKDAY($A229,2)+1)</f>
        <v/>
      </c>
      <c r="T229">
        <f>--(WEEKDAY(A229,2)&lt;=5)</f>
        <v/>
      </c>
      <c r="U229" t="n">
        <v>19</v>
      </c>
      <c r="V229" t="n">
        <v>7</v>
      </c>
      <c r="W229" t="n">
        <v>0</v>
      </c>
      <c r="X229" t="n">
        <v>5</v>
      </c>
      <c r="Y229" t="n">
        <v>5</v>
      </c>
      <c r="Z229" t="n">
        <v>5</v>
      </c>
      <c r="AA229" t="n">
        <v>95</v>
      </c>
      <c r="AB229" t="n">
        <v>35</v>
      </c>
      <c r="AC229" t="n">
        <v>0</v>
      </c>
    </row>
    <row r="230">
      <c r="A230" s="317" t="n">
        <v>46451</v>
      </c>
      <c r="B230" s="159">
        <f>SUMIFS('METAS EMPRESAS'!$K$15:$K$320,'METAS EMPRESAS'!$A$15:$A$320,"EJ",'METAS EMPRESAS'!$B$15:$B$320,"PREMONTAGEM",'METAS EMPRESAS'!$C$15:$C$320,$A230-WEEKDAY($A230,2)+1)</f>
        <v/>
      </c>
      <c r="C230" s="159">
        <f>SUMIFS('METAS EMPRESAS'!$K$15:$K$320,'METAS EMPRESAS'!$A$15:$A$320,"EJ",'METAS EMPRESAS'!$B$15:$B$320,"IÇAMENTO JOIST",'METAS EMPRESAS'!$C$15:$C$320,$A230-WEEKDAY($A230,2)+1)</f>
        <v/>
      </c>
      <c r="D230" s="159">
        <f>SUMIFS('METAS EMPRESAS'!$K$15:$K$320,'METAS EMPRESAS'!$A$15:$A$320,"EJ",'METAS EMPRESAS'!$B$15:$B$320,"VIGAS",'METAS EMPRESAS'!$C$15:$C$320,$A230-WEEKDAY($A230,2)+1)</f>
        <v/>
      </c>
      <c r="E230" s="159">
        <f>SUMIFS('METAS EMPRESAS'!$K$15:$K$320,'METAS EMPRESAS'!$A$15:$A$320,"CMM",'METAS EMPRESAS'!$B$15:$B$320,"PREMONTAGEM",'METAS EMPRESAS'!$C$15:$C$320,$A230-WEEKDAY($A230,2)+1)</f>
        <v/>
      </c>
      <c r="F230" s="159">
        <f>SUMIFS('METAS EMPRESAS'!$K$15:$K$320,'METAS EMPRESAS'!$A$15:$A$320,"CMM",'METAS EMPRESAS'!$B$15:$B$320,"IÇAMENTO JOIST",'METAS EMPRESAS'!$C$15:$C$320,$A230-WEEKDAY($A230,2)+1)</f>
        <v/>
      </c>
      <c r="G230" s="159">
        <f>SUMIFS('METAS EMPRESAS'!$K$15:$K$320,'METAS EMPRESAS'!$A$15:$A$320,"CMM",'METAS EMPRESAS'!$B$15:$B$320,"VIGAS",'METAS EMPRESAS'!$C$15:$C$320,$A230-WEEKDAY($A230,2)+1)</f>
        <v/>
      </c>
      <c r="H230" s="159">
        <f>SUMIFS('METAS EMPRESAS'!$G$15:$G$320,'METAS EMPRESAS'!$A$15:$A$320,"EJ",'METAS EMPRESAS'!$B$15:$B$320,"PREMONTAGEM",'METAS EMPRESAS'!$C$15:$C$320,$A230-WEEKDAY($A230,2)+1)</f>
        <v/>
      </c>
      <c r="I230" s="159">
        <f>SUMIFS('METAS EMPRESAS'!$G$15:$G$320,'METAS EMPRESAS'!$A$15:$A$320,"EJ",'METAS EMPRESAS'!$B$15:$B$320,"IÇAMENTO JOIST",'METAS EMPRESAS'!$C$15:$C$320,$A230-WEEKDAY($A230,2)+1)</f>
        <v/>
      </c>
      <c r="J230" s="159">
        <f>SUMIFS('METAS EMPRESAS'!$G$15:$G$320,'METAS EMPRESAS'!$A$15:$A$320,"EJ",'METAS EMPRESAS'!$B$15:$B$320,"VIGAS",'METAS EMPRESAS'!$C$15:$C$320,$A230-WEEKDAY($A230,2)+1)</f>
        <v/>
      </c>
      <c r="K230" s="159">
        <f>SUMIFS('METAS EMPRESAS'!$G$15:$G$320,'METAS EMPRESAS'!$A$15:$A$320,"CMM",'METAS EMPRESAS'!$B$15:$B$320,"PREMONTAGEM",'METAS EMPRESAS'!$C$15:$C$320,$A230-WEEKDAY($A230,2)+1)</f>
        <v/>
      </c>
      <c r="L230" s="159">
        <f>SUMIFS('METAS EMPRESAS'!$G$15:$G$320,'METAS EMPRESAS'!$A$15:$A$320,"CMM",'METAS EMPRESAS'!$B$15:$B$320,"IÇAMENTO JOIST",'METAS EMPRESAS'!$C$15:$C$320,$A230-WEEKDAY($A230,2)+1)</f>
        <v/>
      </c>
      <c r="M230" s="159">
        <f>SUMIFS('METAS EMPRESAS'!$G$15:$G$320,'METAS EMPRESAS'!$A$15:$A$320,"CMM",'METAS EMPRESAS'!$B$15:$B$320,"VIGAS",'METAS EMPRESAS'!$C$15:$C$320,$A230-WEEKDAY($A230,2)+1)</f>
        <v/>
      </c>
      <c r="N230" s="159">
        <f>SUMIFS('METAS EMPRESAS'!$J$15:$J$320,'METAS EMPRESAS'!$A$15:$A$320,"EJ",'METAS EMPRESAS'!$B$15:$B$320,"PREMONTAGEM",'METAS EMPRESAS'!$C$15:$C$320,$A230-WEEKDAY($A230,2)+1)</f>
        <v/>
      </c>
      <c r="O230" s="159">
        <f>SUMIFS('METAS EMPRESAS'!$J$15:$J$320,'METAS EMPRESAS'!$A$15:$A$320,"EJ",'METAS EMPRESAS'!$B$15:$B$320,"IÇAMENTO JOIST",'METAS EMPRESAS'!$C$15:$C$320,$A230-WEEKDAY($A230,2)+1)</f>
        <v/>
      </c>
      <c r="P230" s="159">
        <f>SUMIFS('METAS EMPRESAS'!$J$15:$J$320,'METAS EMPRESAS'!$A$15:$A$320,"EJ",'METAS EMPRESAS'!$B$15:$B$320,"VIGAS",'METAS EMPRESAS'!$C$15:$C$320,$A230-WEEKDAY($A230,2)+1)</f>
        <v/>
      </c>
      <c r="Q230" s="159">
        <f>SUMIFS('METAS EMPRESAS'!$J$15:$J$320,'METAS EMPRESAS'!$A$15:$A$320,"CMM",'METAS EMPRESAS'!$B$15:$B$320,"PREMONTAGEM",'METAS EMPRESAS'!$C$15:$C$320,$A230-WEEKDAY($A230,2)+1)</f>
        <v/>
      </c>
      <c r="R230" s="159">
        <f>SUMIFS('METAS EMPRESAS'!$J$15:$J$320,'METAS EMPRESAS'!$A$15:$A$320,"CMM",'METAS EMPRESAS'!$B$15:$B$320,"IÇAMENTO JOIST",'METAS EMPRESAS'!$C$15:$C$320,$A230-WEEKDAY($A230,2)+1)</f>
        <v/>
      </c>
      <c r="S230" s="159">
        <f>SUMIFS('METAS EMPRESAS'!$J$15:$J$320,'METAS EMPRESAS'!$A$15:$A$320,"CMM",'METAS EMPRESAS'!$B$15:$B$320,"VIGAS",'METAS EMPRESAS'!$C$15:$C$320,$A230-WEEKDAY($A230,2)+1)</f>
        <v/>
      </c>
      <c r="T230">
        <f>--(WEEKDAY(A230,2)&lt;=5)</f>
        <v/>
      </c>
      <c r="U230" t="n">
        <v>19</v>
      </c>
      <c r="V230" t="n">
        <v>7</v>
      </c>
      <c r="W230" t="n">
        <v>0</v>
      </c>
      <c r="X230" t="n">
        <v>5</v>
      </c>
      <c r="Y230" t="n">
        <v>5</v>
      </c>
      <c r="Z230" t="n">
        <v>5</v>
      </c>
      <c r="AA230" t="n">
        <v>95</v>
      </c>
      <c r="AB230" t="n">
        <v>35</v>
      </c>
      <c r="AC230" t="n">
        <v>0</v>
      </c>
    </row>
    <row r="231">
      <c r="A231" s="317" t="n">
        <v>46452</v>
      </c>
      <c r="B231" s="159">
        <f>SUMIFS('METAS EMPRESAS'!$K$15:$K$320,'METAS EMPRESAS'!$A$15:$A$320,"EJ",'METAS EMPRESAS'!$B$15:$B$320,"PREMONTAGEM",'METAS EMPRESAS'!$C$15:$C$320,$A231-WEEKDAY($A231,2)+1)</f>
        <v/>
      </c>
      <c r="C231" s="159">
        <f>SUMIFS('METAS EMPRESAS'!$K$15:$K$320,'METAS EMPRESAS'!$A$15:$A$320,"EJ",'METAS EMPRESAS'!$B$15:$B$320,"IÇAMENTO JOIST",'METAS EMPRESAS'!$C$15:$C$320,$A231-WEEKDAY($A231,2)+1)</f>
        <v/>
      </c>
      <c r="D231" s="159">
        <f>SUMIFS('METAS EMPRESAS'!$K$15:$K$320,'METAS EMPRESAS'!$A$15:$A$320,"EJ",'METAS EMPRESAS'!$B$15:$B$320,"VIGAS",'METAS EMPRESAS'!$C$15:$C$320,$A231-WEEKDAY($A231,2)+1)</f>
        <v/>
      </c>
      <c r="E231" s="159">
        <f>SUMIFS('METAS EMPRESAS'!$K$15:$K$320,'METAS EMPRESAS'!$A$15:$A$320,"CMM",'METAS EMPRESAS'!$B$15:$B$320,"PREMONTAGEM",'METAS EMPRESAS'!$C$15:$C$320,$A231-WEEKDAY($A231,2)+1)</f>
        <v/>
      </c>
      <c r="F231" s="159">
        <f>SUMIFS('METAS EMPRESAS'!$K$15:$K$320,'METAS EMPRESAS'!$A$15:$A$320,"CMM",'METAS EMPRESAS'!$B$15:$B$320,"IÇAMENTO JOIST",'METAS EMPRESAS'!$C$15:$C$320,$A231-WEEKDAY($A231,2)+1)</f>
        <v/>
      </c>
      <c r="G231" s="159">
        <f>SUMIFS('METAS EMPRESAS'!$K$15:$K$320,'METAS EMPRESAS'!$A$15:$A$320,"CMM",'METAS EMPRESAS'!$B$15:$B$320,"VIGAS",'METAS EMPRESAS'!$C$15:$C$320,$A231-WEEKDAY($A231,2)+1)</f>
        <v/>
      </c>
      <c r="H231" s="159">
        <f>SUMIFS('METAS EMPRESAS'!$G$15:$G$320,'METAS EMPRESAS'!$A$15:$A$320,"EJ",'METAS EMPRESAS'!$B$15:$B$320,"PREMONTAGEM",'METAS EMPRESAS'!$C$15:$C$320,$A231-WEEKDAY($A231,2)+1)</f>
        <v/>
      </c>
      <c r="I231" s="159">
        <f>SUMIFS('METAS EMPRESAS'!$G$15:$G$320,'METAS EMPRESAS'!$A$15:$A$320,"EJ",'METAS EMPRESAS'!$B$15:$B$320,"IÇAMENTO JOIST",'METAS EMPRESAS'!$C$15:$C$320,$A231-WEEKDAY($A231,2)+1)</f>
        <v/>
      </c>
      <c r="J231" s="159">
        <f>SUMIFS('METAS EMPRESAS'!$G$15:$G$320,'METAS EMPRESAS'!$A$15:$A$320,"EJ",'METAS EMPRESAS'!$B$15:$B$320,"VIGAS",'METAS EMPRESAS'!$C$15:$C$320,$A231-WEEKDAY($A231,2)+1)</f>
        <v/>
      </c>
      <c r="K231" s="159">
        <f>SUMIFS('METAS EMPRESAS'!$G$15:$G$320,'METAS EMPRESAS'!$A$15:$A$320,"CMM",'METAS EMPRESAS'!$B$15:$B$320,"PREMONTAGEM",'METAS EMPRESAS'!$C$15:$C$320,$A231-WEEKDAY($A231,2)+1)</f>
        <v/>
      </c>
      <c r="L231" s="159">
        <f>SUMIFS('METAS EMPRESAS'!$G$15:$G$320,'METAS EMPRESAS'!$A$15:$A$320,"CMM",'METAS EMPRESAS'!$B$15:$B$320,"IÇAMENTO JOIST",'METAS EMPRESAS'!$C$15:$C$320,$A231-WEEKDAY($A231,2)+1)</f>
        <v/>
      </c>
      <c r="M231" s="159">
        <f>SUMIFS('METAS EMPRESAS'!$G$15:$G$320,'METAS EMPRESAS'!$A$15:$A$320,"CMM",'METAS EMPRESAS'!$B$15:$B$320,"VIGAS",'METAS EMPRESAS'!$C$15:$C$320,$A231-WEEKDAY($A231,2)+1)</f>
        <v/>
      </c>
      <c r="N231" s="159">
        <f>SUMIFS('METAS EMPRESAS'!$J$15:$J$320,'METAS EMPRESAS'!$A$15:$A$320,"EJ",'METAS EMPRESAS'!$B$15:$B$320,"PREMONTAGEM",'METAS EMPRESAS'!$C$15:$C$320,$A231-WEEKDAY($A231,2)+1)</f>
        <v/>
      </c>
      <c r="O231" s="159">
        <f>SUMIFS('METAS EMPRESAS'!$J$15:$J$320,'METAS EMPRESAS'!$A$15:$A$320,"EJ",'METAS EMPRESAS'!$B$15:$B$320,"IÇAMENTO JOIST",'METAS EMPRESAS'!$C$15:$C$320,$A231-WEEKDAY($A231,2)+1)</f>
        <v/>
      </c>
      <c r="P231" s="159">
        <f>SUMIFS('METAS EMPRESAS'!$J$15:$J$320,'METAS EMPRESAS'!$A$15:$A$320,"EJ",'METAS EMPRESAS'!$B$15:$B$320,"VIGAS",'METAS EMPRESAS'!$C$15:$C$320,$A231-WEEKDAY($A231,2)+1)</f>
        <v/>
      </c>
      <c r="Q231" s="159">
        <f>SUMIFS('METAS EMPRESAS'!$J$15:$J$320,'METAS EMPRESAS'!$A$15:$A$320,"CMM",'METAS EMPRESAS'!$B$15:$B$320,"PREMONTAGEM",'METAS EMPRESAS'!$C$15:$C$320,$A231-WEEKDAY($A231,2)+1)</f>
        <v/>
      </c>
      <c r="R231" s="159">
        <f>SUMIFS('METAS EMPRESAS'!$J$15:$J$320,'METAS EMPRESAS'!$A$15:$A$320,"CMM",'METAS EMPRESAS'!$B$15:$B$320,"IÇAMENTO JOIST",'METAS EMPRESAS'!$C$15:$C$320,$A231-WEEKDAY($A231,2)+1)</f>
        <v/>
      </c>
      <c r="S231" s="159">
        <f>SUMIFS('METAS EMPRESAS'!$J$15:$J$320,'METAS EMPRESAS'!$A$15:$A$320,"CMM",'METAS EMPRESAS'!$B$15:$B$320,"VIGAS",'METAS EMPRESAS'!$C$15:$C$320,$A231-WEEKDAY($A231,2)+1)</f>
        <v/>
      </c>
      <c r="T231">
        <f>--(WEEKDAY(A231,2)&lt;=5)</f>
        <v/>
      </c>
      <c r="U231" t="n">
        <v>19</v>
      </c>
      <c r="V231" t="n">
        <v>7</v>
      </c>
      <c r="W231" t="n">
        <v>0</v>
      </c>
      <c r="X231" t="n">
        <v>5</v>
      </c>
      <c r="Y231" t="n">
        <v>5</v>
      </c>
      <c r="Z231" t="n">
        <v>5</v>
      </c>
      <c r="AA231" t="n">
        <v>95</v>
      </c>
      <c r="AB231" t="n">
        <v>35</v>
      </c>
      <c r="AC231" t="n">
        <v>0</v>
      </c>
    </row>
    <row r="232">
      <c r="A232" s="317" t="n">
        <v>46453</v>
      </c>
      <c r="B232" s="159">
        <f>SUMIFS('METAS EMPRESAS'!$K$15:$K$320,'METAS EMPRESAS'!$A$15:$A$320,"EJ",'METAS EMPRESAS'!$B$15:$B$320,"PREMONTAGEM",'METAS EMPRESAS'!$C$15:$C$320,$A232-WEEKDAY($A232,2)+1)</f>
        <v/>
      </c>
      <c r="C232" s="159">
        <f>SUMIFS('METAS EMPRESAS'!$K$15:$K$320,'METAS EMPRESAS'!$A$15:$A$320,"EJ",'METAS EMPRESAS'!$B$15:$B$320,"IÇAMENTO JOIST",'METAS EMPRESAS'!$C$15:$C$320,$A232-WEEKDAY($A232,2)+1)</f>
        <v/>
      </c>
      <c r="D232" s="159">
        <f>SUMIFS('METAS EMPRESAS'!$K$15:$K$320,'METAS EMPRESAS'!$A$15:$A$320,"EJ",'METAS EMPRESAS'!$B$15:$B$320,"VIGAS",'METAS EMPRESAS'!$C$15:$C$320,$A232-WEEKDAY($A232,2)+1)</f>
        <v/>
      </c>
      <c r="E232" s="159">
        <f>SUMIFS('METAS EMPRESAS'!$K$15:$K$320,'METAS EMPRESAS'!$A$15:$A$320,"CMM",'METAS EMPRESAS'!$B$15:$B$320,"PREMONTAGEM",'METAS EMPRESAS'!$C$15:$C$320,$A232-WEEKDAY($A232,2)+1)</f>
        <v/>
      </c>
      <c r="F232" s="159">
        <f>SUMIFS('METAS EMPRESAS'!$K$15:$K$320,'METAS EMPRESAS'!$A$15:$A$320,"CMM",'METAS EMPRESAS'!$B$15:$B$320,"IÇAMENTO JOIST",'METAS EMPRESAS'!$C$15:$C$320,$A232-WEEKDAY($A232,2)+1)</f>
        <v/>
      </c>
      <c r="G232" s="159">
        <f>SUMIFS('METAS EMPRESAS'!$K$15:$K$320,'METAS EMPRESAS'!$A$15:$A$320,"CMM",'METAS EMPRESAS'!$B$15:$B$320,"VIGAS",'METAS EMPRESAS'!$C$15:$C$320,$A232-WEEKDAY($A232,2)+1)</f>
        <v/>
      </c>
      <c r="H232" s="159">
        <f>SUMIFS('METAS EMPRESAS'!$G$15:$G$320,'METAS EMPRESAS'!$A$15:$A$320,"EJ",'METAS EMPRESAS'!$B$15:$B$320,"PREMONTAGEM",'METAS EMPRESAS'!$C$15:$C$320,$A232-WEEKDAY($A232,2)+1)</f>
        <v/>
      </c>
      <c r="I232" s="159">
        <f>SUMIFS('METAS EMPRESAS'!$G$15:$G$320,'METAS EMPRESAS'!$A$15:$A$320,"EJ",'METAS EMPRESAS'!$B$15:$B$320,"IÇAMENTO JOIST",'METAS EMPRESAS'!$C$15:$C$320,$A232-WEEKDAY($A232,2)+1)</f>
        <v/>
      </c>
      <c r="J232" s="159">
        <f>SUMIFS('METAS EMPRESAS'!$G$15:$G$320,'METAS EMPRESAS'!$A$15:$A$320,"EJ",'METAS EMPRESAS'!$B$15:$B$320,"VIGAS",'METAS EMPRESAS'!$C$15:$C$320,$A232-WEEKDAY($A232,2)+1)</f>
        <v/>
      </c>
      <c r="K232" s="159">
        <f>SUMIFS('METAS EMPRESAS'!$G$15:$G$320,'METAS EMPRESAS'!$A$15:$A$320,"CMM",'METAS EMPRESAS'!$B$15:$B$320,"PREMONTAGEM",'METAS EMPRESAS'!$C$15:$C$320,$A232-WEEKDAY($A232,2)+1)</f>
        <v/>
      </c>
      <c r="L232" s="159">
        <f>SUMIFS('METAS EMPRESAS'!$G$15:$G$320,'METAS EMPRESAS'!$A$15:$A$320,"CMM",'METAS EMPRESAS'!$B$15:$B$320,"IÇAMENTO JOIST",'METAS EMPRESAS'!$C$15:$C$320,$A232-WEEKDAY($A232,2)+1)</f>
        <v/>
      </c>
      <c r="M232" s="159">
        <f>SUMIFS('METAS EMPRESAS'!$G$15:$G$320,'METAS EMPRESAS'!$A$15:$A$320,"CMM",'METAS EMPRESAS'!$B$15:$B$320,"VIGAS",'METAS EMPRESAS'!$C$15:$C$320,$A232-WEEKDAY($A232,2)+1)</f>
        <v/>
      </c>
      <c r="N232" s="159">
        <f>SUMIFS('METAS EMPRESAS'!$J$15:$J$320,'METAS EMPRESAS'!$A$15:$A$320,"EJ",'METAS EMPRESAS'!$B$15:$B$320,"PREMONTAGEM",'METAS EMPRESAS'!$C$15:$C$320,$A232-WEEKDAY($A232,2)+1)</f>
        <v/>
      </c>
      <c r="O232" s="159">
        <f>SUMIFS('METAS EMPRESAS'!$J$15:$J$320,'METAS EMPRESAS'!$A$15:$A$320,"EJ",'METAS EMPRESAS'!$B$15:$B$320,"IÇAMENTO JOIST",'METAS EMPRESAS'!$C$15:$C$320,$A232-WEEKDAY($A232,2)+1)</f>
        <v/>
      </c>
      <c r="P232" s="159">
        <f>SUMIFS('METAS EMPRESAS'!$J$15:$J$320,'METAS EMPRESAS'!$A$15:$A$320,"EJ",'METAS EMPRESAS'!$B$15:$B$320,"VIGAS",'METAS EMPRESAS'!$C$15:$C$320,$A232-WEEKDAY($A232,2)+1)</f>
        <v/>
      </c>
      <c r="Q232" s="159">
        <f>SUMIFS('METAS EMPRESAS'!$J$15:$J$320,'METAS EMPRESAS'!$A$15:$A$320,"CMM",'METAS EMPRESAS'!$B$15:$B$320,"PREMONTAGEM",'METAS EMPRESAS'!$C$15:$C$320,$A232-WEEKDAY($A232,2)+1)</f>
        <v/>
      </c>
      <c r="R232" s="159">
        <f>SUMIFS('METAS EMPRESAS'!$J$15:$J$320,'METAS EMPRESAS'!$A$15:$A$320,"CMM",'METAS EMPRESAS'!$B$15:$B$320,"IÇAMENTO JOIST",'METAS EMPRESAS'!$C$15:$C$320,$A232-WEEKDAY($A232,2)+1)</f>
        <v/>
      </c>
      <c r="S232" s="159">
        <f>SUMIFS('METAS EMPRESAS'!$J$15:$J$320,'METAS EMPRESAS'!$A$15:$A$320,"CMM",'METAS EMPRESAS'!$B$15:$B$320,"VIGAS",'METAS EMPRESAS'!$C$15:$C$320,$A232-WEEKDAY($A232,2)+1)</f>
        <v/>
      </c>
      <c r="T232">
        <f>--(WEEKDAY(A232,2)&lt;=5)</f>
        <v/>
      </c>
      <c r="U232" t="n">
        <v>19</v>
      </c>
      <c r="V232" t="n">
        <v>7</v>
      </c>
      <c r="W232" t="n">
        <v>0</v>
      </c>
      <c r="X232" t="n">
        <v>5</v>
      </c>
      <c r="Y232" t="n">
        <v>5</v>
      </c>
      <c r="Z232" t="n">
        <v>5</v>
      </c>
      <c r="AA232" t="n">
        <v>95</v>
      </c>
      <c r="AB232" t="n">
        <v>35</v>
      </c>
      <c r="AC232" t="n">
        <v>0</v>
      </c>
    </row>
    <row r="233">
      <c r="A233" s="317" t="n">
        <v>46454</v>
      </c>
      <c r="B233" s="159">
        <f>SUMIFS('METAS EMPRESAS'!$K$15:$K$320,'METAS EMPRESAS'!$A$15:$A$320,"EJ",'METAS EMPRESAS'!$B$15:$B$320,"PREMONTAGEM",'METAS EMPRESAS'!$C$15:$C$320,$A233-WEEKDAY($A233,2)+1)</f>
        <v/>
      </c>
      <c r="C233" s="159">
        <f>SUMIFS('METAS EMPRESAS'!$K$15:$K$320,'METAS EMPRESAS'!$A$15:$A$320,"EJ",'METAS EMPRESAS'!$B$15:$B$320,"IÇAMENTO JOIST",'METAS EMPRESAS'!$C$15:$C$320,$A233-WEEKDAY($A233,2)+1)</f>
        <v/>
      </c>
      <c r="D233" s="159">
        <f>SUMIFS('METAS EMPRESAS'!$K$15:$K$320,'METAS EMPRESAS'!$A$15:$A$320,"EJ",'METAS EMPRESAS'!$B$15:$B$320,"VIGAS",'METAS EMPRESAS'!$C$15:$C$320,$A233-WEEKDAY($A233,2)+1)</f>
        <v/>
      </c>
      <c r="E233" s="159">
        <f>SUMIFS('METAS EMPRESAS'!$K$15:$K$320,'METAS EMPRESAS'!$A$15:$A$320,"CMM",'METAS EMPRESAS'!$B$15:$B$320,"PREMONTAGEM",'METAS EMPRESAS'!$C$15:$C$320,$A233-WEEKDAY($A233,2)+1)</f>
        <v/>
      </c>
      <c r="F233" s="159">
        <f>SUMIFS('METAS EMPRESAS'!$K$15:$K$320,'METAS EMPRESAS'!$A$15:$A$320,"CMM",'METAS EMPRESAS'!$B$15:$B$320,"IÇAMENTO JOIST",'METAS EMPRESAS'!$C$15:$C$320,$A233-WEEKDAY($A233,2)+1)</f>
        <v/>
      </c>
      <c r="G233" s="159">
        <f>SUMIFS('METAS EMPRESAS'!$K$15:$K$320,'METAS EMPRESAS'!$A$15:$A$320,"CMM",'METAS EMPRESAS'!$B$15:$B$320,"VIGAS",'METAS EMPRESAS'!$C$15:$C$320,$A233-WEEKDAY($A233,2)+1)</f>
        <v/>
      </c>
      <c r="H233" s="159">
        <f>SUMIFS('METAS EMPRESAS'!$G$15:$G$320,'METAS EMPRESAS'!$A$15:$A$320,"EJ",'METAS EMPRESAS'!$B$15:$B$320,"PREMONTAGEM",'METAS EMPRESAS'!$C$15:$C$320,$A233-WEEKDAY($A233,2)+1)</f>
        <v/>
      </c>
      <c r="I233" s="159">
        <f>SUMIFS('METAS EMPRESAS'!$G$15:$G$320,'METAS EMPRESAS'!$A$15:$A$320,"EJ",'METAS EMPRESAS'!$B$15:$B$320,"IÇAMENTO JOIST",'METAS EMPRESAS'!$C$15:$C$320,$A233-WEEKDAY($A233,2)+1)</f>
        <v/>
      </c>
      <c r="J233" s="159">
        <f>SUMIFS('METAS EMPRESAS'!$G$15:$G$320,'METAS EMPRESAS'!$A$15:$A$320,"EJ",'METAS EMPRESAS'!$B$15:$B$320,"VIGAS",'METAS EMPRESAS'!$C$15:$C$320,$A233-WEEKDAY($A233,2)+1)</f>
        <v/>
      </c>
      <c r="K233" s="159">
        <f>SUMIFS('METAS EMPRESAS'!$G$15:$G$320,'METAS EMPRESAS'!$A$15:$A$320,"CMM",'METAS EMPRESAS'!$B$15:$B$320,"PREMONTAGEM",'METAS EMPRESAS'!$C$15:$C$320,$A233-WEEKDAY($A233,2)+1)</f>
        <v/>
      </c>
      <c r="L233" s="159">
        <f>SUMIFS('METAS EMPRESAS'!$G$15:$G$320,'METAS EMPRESAS'!$A$15:$A$320,"CMM",'METAS EMPRESAS'!$B$15:$B$320,"IÇAMENTO JOIST",'METAS EMPRESAS'!$C$15:$C$320,$A233-WEEKDAY($A233,2)+1)</f>
        <v/>
      </c>
      <c r="M233" s="159">
        <f>SUMIFS('METAS EMPRESAS'!$G$15:$G$320,'METAS EMPRESAS'!$A$15:$A$320,"CMM",'METAS EMPRESAS'!$B$15:$B$320,"VIGAS",'METAS EMPRESAS'!$C$15:$C$320,$A233-WEEKDAY($A233,2)+1)</f>
        <v/>
      </c>
      <c r="N233" s="159">
        <f>SUMIFS('METAS EMPRESAS'!$J$15:$J$320,'METAS EMPRESAS'!$A$15:$A$320,"EJ",'METAS EMPRESAS'!$B$15:$B$320,"PREMONTAGEM",'METAS EMPRESAS'!$C$15:$C$320,$A233-WEEKDAY($A233,2)+1)</f>
        <v/>
      </c>
      <c r="O233" s="159">
        <f>SUMIFS('METAS EMPRESAS'!$J$15:$J$320,'METAS EMPRESAS'!$A$15:$A$320,"EJ",'METAS EMPRESAS'!$B$15:$B$320,"IÇAMENTO JOIST",'METAS EMPRESAS'!$C$15:$C$320,$A233-WEEKDAY($A233,2)+1)</f>
        <v/>
      </c>
      <c r="P233" s="159">
        <f>SUMIFS('METAS EMPRESAS'!$J$15:$J$320,'METAS EMPRESAS'!$A$15:$A$320,"EJ",'METAS EMPRESAS'!$B$15:$B$320,"VIGAS",'METAS EMPRESAS'!$C$15:$C$320,$A233-WEEKDAY($A233,2)+1)</f>
        <v/>
      </c>
      <c r="Q233" s="159">
        <f>SUMIFS('METAS EMPRESAS'!$J$15:$J$320,'METAS EMPRESAS'!$A$15:$A$320,"CMM",'METAS EMPRESAS'!$B$15:$B$320,"PREMONTAGEM",'METAS EMPRESAS'!$C$15:$C$320,$A233-WEEKDAY($A233,2)+1)</f>
        <v/>
      </c>
      <c r="R233" s="159">
        <f>SUMIFS('METAS EMPRESAS'!$J$15:$J$320,'METAS EMPRESAS'!$A$15:$A$320,"CMM",'METAS EMPRESAS'!$B$15:$B$320,"IÇAMENTO JOIST",'METAS EMPRESAS'!$C$15:$C$320,$A233-WEEKDAY($A233,2)+1)</f>
        <v/>
      </c>
      <c r="S233" s="159">
        <f>SUMIFS('METAS EMPRESAS'!$J$15:$J$320,'METAS EMPRESAS'!$A$15:$A$320,"CMM",'METAS EMPRESAS'!$B$15:$B$320,"VIGAS",'METAS EMPRESAS'!$C$15:$C$320,$A233-WEEKDAY($A233,2)+1)</f>
        <v/>
      </c>
      <c r="T233">
        <f>--(WEEKDAY(A233,2)&lt;=5)</f>
        <v/>
      </c>
      <c r="U233" t="n">
        <v>19</v>
      </c>
      <c r="V233" t="n">
        <v>7</v>
      </c>
      <c r="W233" t="n">
        <v>0</v>
      </c>
      <c r="X233" t="n">
        <v>5</v>
      </c>
      <c r="Y233" t="n">
        <v>5</v>
      </c>
      <c r="Z233" t="n">
        <v>5</v>
      </c>
      <c r="AA233" t="n">
        <v>95</v>
      </c>
      <c r="AB233" t="n">
        <v>35</v>
      </c>
      <c r="AC233" t="n">
        <v>0</v>
      </c>
    </row>
    <row r="234">
      <c r="A234" s="317" t="n">
        <v>46455</v>
      </c>
      <c r="B234" s="159">
        <f>SUMIFS('METAS EMPRESAS'!$K$15:$K$320,'METAS EMPRESAS'!$A$15:$A$320,"EJ",'METAS EMPRESAS'!$B$15:$B$320,"PREMONTAGEM",'METAS EMPRESAS'!$C$15:$C$320,$A234-WEEKDAY($A234,2)+1)</f>
        <v/>
      </c>
      <c r="C234" s="159">
        <f>SUMIFS('METAS EMPRESAS'!$K$15:$K$320,'METAS EMPRESAS'!$A$15:$A$320,"EJ",'METAS EMPRESAS'!$B$15:$B$320,"IÇAMENTO JOIST",'METAS EMPRESAS'!$C$15:$C$320,$A234-WEEKDAY($A234,2)+1)</f>
        <v/>
      </c>
      <c r="D234" s="159">
        <f>SUMIFS('METAS EMPRESAS'!$K$15:$K$320,'METAS EMPRESAS'!$A$15:$A$320,"EJ",'METAS EMPRESAS'!$B$15:$B$320,"VIGAS",'METAS EMPRESAS'!$C$15:$C$320,$A234-WEEKDAY($A234,2)+1)</f>
        <v/>
      </c>
      <c r="E234" s="159">
        <f>SUMIFS('METAS EMPRESAS'!$K$15:$K$320,'METAS EMPRESAS'!$A$15:$A$320,"CMM",'METAS EMPRESAS'!$B$15:$B$320,"PREMONTAGEM",'METAS EMPRESAS'!$C$15:$C$320,$A234-WEEKDAY($A234,2)+1)</f>
        <v/>
      </c>
      <c r="F234" s="159">
        <f>SUMIFS('METAS EMPRESAS'!$K$15:$K$320,'METAS EMPRESAS'!$A$15:$A$320,"CMM",'METAS EMPRESAS'!$B$15:$B$320,"IÇAMENTO JOIST",'METAS EMPRESAS'!$C$15:$C$320,$A234-WEEKDAY($A234,2)+1)</f>
        <v/>
      </c>
      <c r="G234" s="159">
        <f>SUMIFS('METAS EMPRESAS'!$K$15:$K$320,'METAS EMPRESAS'!$A$15:$A$320,"CMM",'METAS EMPRESAS'!$B$15:$B$320,"VIGAS",'METAS EMPRESAS'!$C$15:$C$320,$A234-WEEKDAY($A234,2)+1)</f>
        <v/>
      </c>
      <c r="H234" s="159">
        <f>SUMIFS('METAS EMPRESAS'!$G$15:$G$320,'METAS EMPRESAS'!$A$15:$A$320,"EJ",'METAS EMPRESAS'!$B$15:$B$320,"PREMONTAGEM",'METAS EMPRESAS'!$C$15:$C$320,$A234-WEEKDAY($A234,2)+1)</f>
        <v/>
      </c>
      <c r="I234" s="159">
        <f>SUMIFS('METAS EMPRESAS'!$G$15:$G$320,'METAS EMPRESAS'!$A$15:$A$320,"EJ",'METAS EMPRESAS'!$B$15:$B$320,"IÇAMENTO JOIST",'METAS EMPRESAS'!$C$15:$C$320,$A234-WEEKDAY($A234,2)+1)</f>
        <v/>
      </c>
      <c r="J234" s="159">
        <f>SUMIFS('METAS EMPRESAS'!$G$15:$G$320,'METAS EMPRESAS'!$A$15:$A$320,"EJ",'METAS EMPRESAS'!$B$15:$B$320,"VIGAS",'METAS EMPRESAS'!$C$15:$C$320,$A234-WEEKDAY($A234,2)+1)</f>
        <v/>
      </c>
      <c r="K234" s="159">
        <f>SUMIFS('METAS EMPRESAS'!$G$15:$G$320,'METAS EMPRESAS'!$A$15:$A$320,"CMM",'METAS EMPRESAS'!$B$15:$B$320,"PREMONTAGEM",'METAS EMPRESAS'!$C$15:$C$320,$A234-WEEKDAY($A234,2)+1)</f>
        <v/>
      </c>
      <c r="L234" s="159">
        <f>SUMIFS('METAS EMPRESAS'!$G$15:$G$320,'METAS EMPRESAS'!$A$15:$A$320,"CMM",'METAS EMPRESAS'!$B$15:$B$320,"IÇAMENTO JOIST",'METAS EMPRESAS'!$C$15:$C$320,$A234-WEEKDAY($A234,2)+1)</f>
        <v/>
      </c>
      <c r="M234" s="159">
        <f>SUMIFS('METAS EMPRESAS'!$G$15:$G$320,'METAS EMPRESAS'!$A$15:$A$320,"CMM",'METAS EMPRESAS'!$B$15:$B$320,"VIGAS",'METAS EMPRESAS'!$C$15:$C$320,$A234-WEEKDAY($A234,2)+1)</f>
        <v/>
      </c>
      <c r="N234" s="159">
        <f>SUMIFS('METAS EMPRESAS'!$J$15:$J$320,'METAS EMPRESAS'!$A$15:$A$320,"EJ",'METAS EMPRESAS'!$B$15:$B$320,"PREMONTAGEM",'METAS EMPRESAS'!$C$15:$C$320,$A234-WEEKDAY($A234,2)+1)</f>
        <v/>
      </c>
      <c r="O234" s="159">
        <f>SUMIFS('METAS EMPRESAS'!$J$15:$J$320,'METAS EMPRESAS'!$A$15:$A$320,"EJ",'METAS EMPRESAS'!$B$15:$B$320,"IÇAMENTO JOIST",'METAS EMPRESAS'!$C$15:$C$320,$A234-WEEKDAY($A234,2)+1)</f>
        <v/>
      </c>
      <c r="P234" s="159">
        <f>SUMIFS('METAS EMPRESAS'!$J$15:$J$320,'METAS EMPRESAS'!$A$15:$A$320,"EJ",'METAS EMPRESAS'!$B$15:$B$320,"VIGAS",'METAS EMPRESAS'!$C$15:$C$320,$A234-WEEKDAY($A234,2)+1)</f>
        <v/>
      </c>
      <c r="Q234" s="159">
        <f>SUMIFS('METAS EMPRESAS'!$J$15:$J$320,'METAS EMPRESAS'!$A$15:$A$320,"CMM",'METAS EMPRESAS'!$B$15:$B$320,"PREMONTAGEM",'METAS EMPRESAS'!$C$15:$C$320,$A234-WEEKDAY($A234,2)+1)</f>
        <v/>
      </c>
      <c r="R234" s="159">
        <f>SUMIFS('METAS EMPRESAS'!$J$15:$J$320,'METAS EMPRESAS'!$A$15:$A$320,"CMM",'METAS EMPRESAS'!$B$15:$B$320,"IÇAMENTO JOIST",'METAS EMPRESAS'!$C$15:$C$320,$A234-WEEKDAY($A234,2)+1)</f>
        <v/>
      </c>
      <c r="S234" s="159">
        <f>SUMIFS('METAS EMPRESAS'!$J$15:$J$320,'METAS EMPRESAS'!$A$15:$A$320,"CMM",'METAS EMPRESAS'!$B$15:$B$320,"VIGAS",'METAS EMPRESAS'!$C$15:$C$320,$A234-WEEKDAY($A234,2)+1)</f>
        <v/>
      </c>
      <c r="T234">
        <f>--(WEEKDAY(A234,2)&lt;=5)</f>
        <v/>
      </c>
      <c r="U234" t="n">
        <v>19</v>
      </c>
      <c r="V234" t="n">
        <v>7</v>
      </c>
      <c r="W234" t="n">
        <v>0</v>
      </c>
      <c r="X234" t="n">
        <v>5</v>
      </c>
      <c r="Y234" t="n">
        <v>5</v>
      </c>
      <c r="Z234" t="n">
        <v>5</v>
      </c>
      <c r="AA234" t="n">
        <v>95</v>
      </c>
      <c r="AB234" t="n">
        <v>35</v>
      </c>
      <c r="AC234" t="n">
        <v>0</v>
      </c>
    </row>
    <row r="235">
      <c r="A235" s="317" t="n">
        <v>46456</v>
      </c>
      <c r="B235" s="159">
        <f>SUMIFS('METAS EMPRESAS'!$K$15:$K$320,'METAS EMPRESAS'!$A$15:$A$320,"EJ",'METAS EMPRESAS'!$B$15:$B$320,"PREMONTAGEM",'METAS EMPRESAS'!$C$15:$C$320,$A235-WEEKDAY($A235,2)+1)</f>
        <v/>
      </c>
      <c r="C235" s="159">
        <f>SUMIFS('METAS EMPRESAS'!$K$15:$K$320,'METAS EMPRESAS'!$A$15:$A$320,"EJ",'METAS EMPRESAS'!$B$15:$B$320,"IÇAMENTO JOIST",'METAS EMPRESAS'!$C$15:$C$320,$A235-WEEKDAY($A235,2)+1)</f>
        <v/>
      </c>
      <c r="D235" s="159">
        <f>SUMIFS('METAS EMPRESAS'!$K$15:$K$320,'METAS EMPRESAS'!$A$15:$A$320,"EJ",'METAS EMPRESAS'!$B$15:$B$320,"VIGAS",'METAS EMPRESAS'!$C$15:$C$320,$A235-WEEKDAY($A235,2)+1)</f>
        <v/>
      </c>
      <c r="E235" s="159">
        <f>SUMIFS('METAS EMPRESAS'!$K$15:$K$320,'METAS EMPRESAS'!$A$15:$A$320,"CMM",'METAS EMPRESAS'!$B$15:$B$320,"PREMONTAGEM",'METAS EMPRESAS'!$C$15:$C$320,$A235-WEEKDAY($A235,2)+1)</f>
        <v/>
      </c>
      <c r="F235" s="159">
        <f>SUMIFS('METAS EMPRESAS'!$K$15:$K$320,'METAS EMPRESAS'!$A$15:$A$320,"CMM",'METAS EMPRESAS'!$B$15:$B$320,"IÇAMENTO JOIST",'METAS EMPRESAS'!$C$15:$C$320,$A235-WEEKDAY($A235,2)+1)</f>
        <v/>
      </c>
      <c r="G235" s="159">
        <f>SUMIFS('METAS EMPRESAS'!$K$15:$K$320,'METAS EMPRESAS'!$A$15:$A$320,"CMM",'METAS EMPRESAS'!$B$15:$B$320,"VIGAS",'METAS EMPRESAS'!$C$15:$C$320,$A235-WEEKDAY($A235,2)+1)</f>
        <v/>
      </c>
      <c r="H235" s="159">
        <f>SUMIFS('METAS EMPRESAS'!$G$15:$G$320,'METAS EMPRESAS'!$A$15:$A$320,"EJ",'METAS EMPRESAS'!$B$15:$B$320,"PREMONTAGEM",'METAS EMPRESAS'!$C$15:$C$320,$A235-WEEKDAY($A235,2)+1)</f>
        <v/>
      </c>
      <c r="I235" s="159">
        <f>SUMIFS('METAS EMPRESAS'!$G$15:$G$320,'METAS EMPRESAS'!$A$15:$A$320,"EJ",'METAS EMPRESAS'!$B$15:$B$320,"IÇAMENTO JOIST",'METAS EMPRESAS'!$C$15:$C$320,$A235-WEEKDAY($A235,2)+1)</f>
        <v/>
      </c>
      <c r="J235" s="159">
        <f>SUMIFS('METAS EMPRESAS'!$G$15:$G$320,'METAS EMPRESAS'!$A$15:$A$320,"EJ",'METAS EMPRESAS'!$B$15:$B$320,"VIGAS",'METAS EMPRESAS'!$C$15:$C$320,$A235-WEEKDAY($A235,2)+1)</f>
        <v/>
      </c>
      <c r="K235" s="159">
        <f>SUMIFS('METAS EMPRESAS'!$G$15:$G$320,'METAS EMPRESAS'!$A$15:$A$320,"CMM",'METAS EMPRESAS'!$B$15:$B$320,"PREMONTAGEM",'METAS EMPRESAS'!$C$15:$C$320,$A235-WEEKDAY($A235,2)+1)</f>
        <v/>
      </c>
      <c r="L235" s="159">
        <f>SUMIFS('METAS EMPRESAS'!$G$15:$G$320,'METAS EMPRESAS'!$A$15:$A$320,"CMM",'METAS EMPRESAS'!$B$15:$B$320,"IÇAMENTO JOIST",'METAS EMPRESAS'!$C$15:$C$320,$A235-WEEKDAY($A235,2)+1)</f>
        <v/>
      </c>
      <c r="M235" s="159">
        <f>SUMIFS('METAS EMPRESAS'!$G$15:$G$320,'METAS EMPRESAS'!$A$15:$A$320,"CMM",'METAS EMPRESAS'!$B$15:$B$320,"VIGAS",'METAS EMPRESAS'!$C$15:$C$320,$A235-WEEKDAY($A235,2)+1)</f>
        <v/>
      </c>
      <c r="N235" s="159">
        <f>SUMIFS('METAS EMPRESAS'!$J$15:$J$320,'METAS EMPRESAS'!$A$15:$A$320,"EJ",'METAS EMPRESAS'!$B$15:$B$320,"PREMONTAGEM",'METAS EMPRESAS'!$C$15:$C$320,$A235-WEEKDAY($A235,2)+1)</f>
        <v/>
      </c>
      <c r="O235" s="159">
        <f>SUMIFS('METAS EMPRESAS'!$J$15:$J$320,'METAS EMPRESAS'!$A$15:$A$320,"EJ",'METAS EMPRESAS'!$B$15:$B$320,"IÇAMENTO JOIST",'METAS EMPRESAS'!$C$15:$C$320,$A235-WEEKDAY($A235,2)+1)</f>
        <v/>
      </c>
      <c r="P235" s="159">
        <f>SUMIFS('METAS EMPRESAS'!$J$15:$J$320,'METAS EMPRESAS'!$A$15:$A$320,"EJ",'METAS EMPRESAS'!$B$15:$B$320,"VIGAS",'METAS EMPRESAS'!$C$15:$C$320,$A235-WEEKDAY($A235,2)+1)</f>
        <v/>
      </c>
      <c r="Q235" s="159">
        <f>SUMIFS('METAS EMPRESAS'!$J$15:$J$320,'METAS EMPRESAS'!$A$15:$A$320,"CMM",'METAS EMPRESAS'!$B$15:$B$320,"PREMONTAGEM",'METAS EMPRESAS'!$C$15:$C$320,$A235-WEEKDAY($A235,2)+1)</f>
        <v/>
      </c>
      <c r="R235" s="159">
        <f>SUMIFS('METAS EMPRESAS'!$J$15:$J$320,'METAS EMPRESAS'!$A$15:$A$320,"CMM",'METAS EMPRESAS'!$B$15:$B$320,"IÇAMENTO JOIST",'METAS EMPRESAS'!$C$15:$C$320,$A235-WEEKDAY($A235,2)+1)</f>
        <v/>
      </c>
      <c r="S235" s="159">
        <f>SUMIFS('METAS EMPRESAS'!$J$15:$J$320,'METAS EMPRESAS'!$A$15:$A$320,"CMM",'METAS EMPRESAS'!$B$15:$B$320,"VIGAS",'METAS EMPRESAS'!$C$15:$C$320,$A235-WEEKDAY($A235,2)+1)</f>
        <v/>
      </c>
      <c r="T235">
        <f>--(WEEKDAY(A235,2)&lt;=5)</f>
        <v/>
      </c>
      <c r="U235" t="n">
        <v>19</v>
      </c>
      <c r="V235" t="n">
        <v>7</v>
      </c>
      <c r="W235" t="n">
        <v>0</v>
      </c>
      <c r="X235" t="n">
        <v>5</v>
      </c>
      <c r="Y235" t="n">
        <v>5</v>
      </c>
      <c r="Z235" t="n">
        <v>5</v>
      </c>
      <c r="AA235" t="n">
        <v>95</v>
      </c>
      <c r="AB235" t="n">
        <v>35</v>
      </c>
      <c r="AC235" t="n">
        <v>0</v>
      </c>
    </row>
    <row r="236">
      <c r="A236" s="317" t="n">
        <v>46457</v>
      </c>
      <c r="B236" s="159">
        <f>SUMIFS('METAS EMPRESAS'!$K$15:$K$320,'METAS EMPRESAS'!$A$15:$A$320,"EJ",'METAS EMPRESAS'!$B$15:$B$320,"PREMONTAGEM",'METAS EMPRESAS'!$C$15:$C$320,$A236-WEEKDAY($A236,2)+1)</f>
        <v/>
      </c>
      <c r="C236" s="159">
        <f>SUMIFS('METAS EMPRESAS'!$K$15:$K$320,'METAS EMPRESAS'!$A$15:$A$320,"EJ",'METAS EMPRESAS'!$B$15:$B$320,"IÇAMENTO JOIST",'METAS EMPRESAS'!$C$15:$C$320,$A236-WEEKDAY($A236,2)+1)</f>
        <v/>
      </c>
      <c r="D236" s="159">
        <f>SUMIFS('METAS EMPRESAS'!$K$15:$K$320,'METAS EMPRESAS'!$A$15:$A$320,"EJ",'METAS EMPRESAS'!$B$15:$B$320,"VIGAS",'METAS EMPRESAS'!$C$15:$C$320,$A236-WEEKDAY($A236,2)+1)</f>
        <v/>
      </c>
      <c r="E236" s="159">
        <f>SUMIFS('METAS EMPRESAS'!$K$15:$K$320,'METAS EMPRESAS'!$A$15:$A$320,"CMM",'METAS EMPRESAS'!$B$15:$B$320,"PREMONTAGEM",'METAS EMPRESAS'!$C$15:$C$320,$A236-WEEKDAY($A236,2)+1)</f>
        <v/>
      </c>
      <c r="F236" s="159">
        <f>SUMIFS('METAS EMPRESAS'!$K$15:$K$320,'METAS EMPRESAS'!$A$15:$A$320,"CMM",'METAS EMPRESAS'!$B$15:$B$320,"IÇAMENTO JOIST",'METAS EMPRESAS'!$C$15:$C$320,$A236-WEEKDAY($A236,2)+1)</f>
        <v/>
      </c>
      <c r="G236" s="159">
        <f>SUMIFS('METAS EMPRESAS'!$K$15:$K$320,'METAS EMPRESAS'!$A$15:$A$320,"CMM",'METAS EMPRESAS'!$B$15:$B$320,"VIGAS",'METAS EMPRESAS'!$C$15:$C$320,$A236-WEEKDAY($A236,2)+1)</f>
        <v/>
      </c>
      <c r="H236" s="159">
        <f>SUMIFS('METAS EMPRESAS'!$G$15:$G$320,'METAS EMPRESAS'!$A$15:$A$320,"EJ",'METAS EMPRESAS'!$B$15:$B$320,"PREMONTAGEM",'METAS EMPRESAS'!$C$15:$C$320,$A236-WEEKDAY($A236,2)+1)</f>
        <v/>
      </c>
      <c r="I236" s="159">
        <f>SUMIFS('METAS EMPRESAS'!$G$15:$G$320,'METAS EMPRESAS'!$A$15:$A$320,"EJ",'METAS EMPRESAS'!$B$15:$B$320,"IÇAMENTO JOIST",'METAS EMPRESAS'!$C$15:$C$320,$A236-WEEKDAY($A236,2)+1)</f>
        <v/>
      </c>
      <c r="J236" s="159">
        <f>SUMIFS('METAS EMPRESAS'!$G$15:$G$320,'METAS EMPRESAS'!$A$15:$A$320,"EJ",'METAS EMPRESAS'!$B$15:$B$320,"VIGAS",'METAS EMPRESAS'!$C$15:$C$320,$A236-WEEKDAY($A236,2)+1)</f>
        <v/>
      </c>
      <c r="K236" s="159">
        <f>SUMIFS('METAS EMPRESAS'!$G$15:$G$320,'METAS EMPRESAS'!$A$15:$A$320,"CMM",'METAS EMPRESAS'!$B$15:$B$320,"PREMONTAGEM",'METAS EMPRESAS'!$C$15:$C$320,$A236-WEEKDAY($A236,2)+1)</f>
        <v/>
      </c>
      <c r="L236" s="159">
        <f>SUMIFS('METAS EMPRESAS'!$G$15:$G$320,'METAS EMPRESAS'!$A$15:$A$320,"CMM",'METAS EMPRESAS'!$B$15:$B$320,"IÇAMENTO JOIST",'METAS EMPRESAS'!$C$15:$C$320,$A236-WEEKDAY($A236,2)+1)</f>
        <v/>
      </c>
      <c r="M236" s="159">
        <f>SUMIFS('METAS EMPRESAS'!$G$15:$G$320,'METAS EMPRESAS'!$A$15:$A$320,"CMM",'METAS EMPRESAS'!$B$15:$B$320,"VIGAS",'METAS EMPRESAS'!$C$15:$C$320,$A236-WEEKDAY($A236,2)+1)</f>
        <v/>
      </c>
      <c r="N236" s="159">
        <f>SUMIFS('METAS EMPRESAS'!$J$15:$J$320,'METAS EMPRESAS'!$A$15:$A$320,"EJ",'METAS EMPRESAS'!$B$15:$B$320,"PREMONTAGEM",'METAS EMPRESAS'!$C$15:$C$320,$A236-WEEKDAY($A236,2)+1)</f>
        <v/>
      </c>
      <c r="O236" s="159">
        <f>SUMIFS('METAS EMPRESAS'!$J$15:$J$320,'METAS EMPRESAS'!$A$15:$A$320,"EJ",'METAS EMPRESAS'!$B$15:$B$320,"IÇAMENTO JOIST",'METAS EMPRESAS'!$C$15:$C$320,$A236-WEEKDAY($A236,2)+1)</f>
        <v/>
      </c>
      <c r="P236" s="159">
        <f>SUMIFS('METAS EMPRESAS'!$J$15:$J$320,'METAS EMPRESAS'!$A$15:$A$320,"EJ",'METAS EMPRESAS'!$B$15:$B$320,"VIGAS",'METAS EMPRESAS'!$C$15:$C$320,$A236-WEEKDAY($A236,2)+1)</f>
        <v/>
      </c>
      <c r="Q236" s="159">
        <f>SUMIFS('METAS EMPRESAS'!$J$15:$J$320,'METAS EMPRESAS'!$A$15:$A$320,"CMM",'METAS EMPRESAS'!$B$15:$B$320,"PREMONTAGEM",'METAS EMPRESAS'!$C$15:$C$320,$A236-WEEKDAY($A236,2)+1)</f>
        <v/>
      </c>
      <c r="R236" s="159">
        <f>SUMIFS('METAS EMPRESAS'!$J$15:$J$320,'METAS EMPRESAS'!$A$15:$A$320,"CMM",'METAS EMPRESAS'!$B$15:$B$320,"IÇAMENTO JOIST",'METAS EMPRESAS'!$C$15:$C$320,$A236-WEEKDAY($A236,2)+1)</f>
        <v/>
      </c>
      <c r="S236" s="159">
        <f>SUMIFS('METAS EMPRESAS'!$J$15:$J$320,'METAS EMPRESAS'!$A$15:$A$320,"CMM",'METAS EMPRESAS'!$B$15:$B$320,"VIGAS",'METAS EMPRESAS'!$C$15:$C$320,$A236-WEEKDAY($A236,2)+1)</f>
        <v/>
      </c>
      <c r="T236">
        <f>--(WEEKDAY(A236,2)&lt;=5)</f>
        <v/>
      </c>
      <c r="U236" t="n">
        <v>19</v>
      </c>
      <c r="V236" t="n">
        <v>7</v>
      </c>
      <c r="W236" t="n">
        <v>0</v>
      </c>
      <c r="X236" t="n">
        <v>5</v>
      </c>
      <c r="Y236" t="n">
        <v>5</v>
      </c>
      <c r="Z236" t="n">
        <v>5</v>
      </c>
      <c r="AA236" t="n">
        <v>95</v>
      </c>
      <c r="AB236" t="n">
        <v>35</v>
      </c>
      <c r="AC236" t="n">
        <v>0</v>
      </c>
    </row>
    <row r="237">
      <c r="A237" s="317" t="n">
        <v>46458</v>
      </c>
      <c r="B237" s="159">
        <f>SUMIFS('METAS EMPRESAS'!$K$15:$K$320,'METAS EMPRESAS'!$A$15:$A$320,"EJ",'METAS EMPRESAS'!$B$15:$B$320,"PREMONTAGEM",'METAS EMPRESAS'!$C$15:$C$320,$A237-WEEKDAY($A237,2)+1)</f>
        <v/>
      </c>
      <c r="C237" s="159">
        <f>SUMIFS('METAS EMPRESAS'!$K$15:$K$320,'METAS EMPRESAS'!$A$15:$A$320,"EJ",'METAS EMPRESAS'!$B$15:$B$320,"IÇAMENTO JOIST",'METAS EMPRESAS'!$C$15:$C$320,$A237-WEEKDAY($A237,2)+1)</f>
        <v/>
      </c>
      <c r="D237" s="159">
        <f>SUMIFS('METAS EMPRESAS'!$K$15:$K$320,'METAS EMPRESAS'!$A$15:$A$320,"EJ",'METAS EMPRESAS'!$B$15:$B$320,"VIGAS",'METAS EMPRESAS'!$C$15:$C$320,$A237-WEEKDAY($A237,2)+1)</f>
        <v/>
      </c>
      <c r="E237" s="159">
        <f>SUMIFS('METAS EMPRESAS'!$K$15:$K$320,'METAS EMPRESAS'!$A$15:$A$320,"CMM",'METAS EMPRESAS'!$B$15:$B$320,"PREMONTAGEM",'METAS EMPRESAS'!$C$15:$C$320,$A237-WEEKDAY($A237,2)+1)</f>
        <v/>
      </c>
      <c r="F237" s="159">
        <f>SUMIFS('METAS EMPRESAS'!$K$15:$K$320,'METAS EMPRESAS'!$A$15:$A$320,"CMM",'METAS EMPRESAS'!$B$15:$B$320,"IÇAMENTO JOIST",'METAS EMPRESAS'!$C$15:$C$320,$A237-WEEKDAY($A237,2)+1)</f>
        <v/>
      </c>
      <c r="G237" s="159">
        <f>SUMIFS('METAS EMPRESAS'!$K$15:$K$320,'METAS EMPRESAS'!$A$15:$A$320,"CMM",'METAS EMPRESAS'!$B$15:$B$320,"VIGAS",'METAS EMPRESAS'!$C$15:$C$320,$A237-WEEKDAY($A237,2)+1)</f>
        <v/>
      </c>
      <c r="H237" s="159">
        <f>SUMIFS('METAS EMPRESAS'!$G$15:$G$320,'METAS EMPRESAS'!$A$15:$A$320,"EJ",'METAS EMPRESAS'!$B$15:$B$320,"PREMONTAGEM",'METAS EMPRESAS'!$C$15:$C$320,$A237-WEEKDAY($A237,2)+1)</f>
        <v/>
      </c>
      <c r="I237" s="159">
        <f>SUMIFS('METAS EMPRESAS'!$G$15:$G$320,'METAS EMPRESAS'!$A$15:$A$320,"EJ",'METAS EMPRESAS'!$B$15:$B$320,"IÇAMENTO JOIST",'METAS EMPRESAS'!$C$15:$C$320,$A237-WEEKDAY($A237,2)+1)</f>
        <v/>
      </c>
      <c r="J237" s="159">
        <f>SUMIFS('METAS EMPRESAS'!$G$15:$G$320,'METAS EMPRESAS'!$A$15:$A$320,"EJ",'METAS EMPRESAS'!$B$15:$B$320,"VIGAS",'METAS EMPRESAS'!$C$15:$C$320,$A237-WEEKDAY($A237,2)+1)</f>
        <v/>
      </c>
      <c r="K237" s="159">
        <f>SUMIFS('METAS EMPRESAS'!$G$15:$G$320,'METAS EMPRESAS'!$A$15:$A$320,"CMM",'METAS EMPRESAS'!$B$15:$B$320,"PREMONTAGEM",'METAS EMPRESAS'!$C$15:$C$320,$A237-WEEKDAY($A237,2)+1)</f>
        <v/>
      </c>
      <c r="L237" s="159">
        <f>SUMIFS('METAS EMPRESAS'!$G$15:$G$320,'METAS EMPRESAS'!$A$15:$A$320,"CMM",'METAS EMPRESAS'!$B$15:$B$320,"IÇAMENTO JOIST",'METAS EMPRESAS'!$C$15:$C$320,$A237-WEEKDAY($A237,2)+1)</f>
        <v/>
      </c>
      <c r="M237" s="159">
        <f>SUMIFS('METAS EMPRESAS'!$G$15:$G$320,'METAS EMPRESAS'!$A$15:$A$320,"CMM",'METAS EMPRESAS'!$B$15:$B$320,"VIGAS",'METAS EMPRESAS'!$C$15:$C$320,$A237-WEEKDAY($A237,2)+1)</f>
        <v/>
      </c>
      <c r="N237" s="159">
        <f>SUMIFS('METAS EMPRESAS'!$J$15:$J$320,'METAS EMPRESAS'!$A$15:$A$320,"EJ",'METAS EMPRESAS'!$B$15:$B$320,"PREMONTAGEM",'METAS EMPRESAS'!$C$15:$C$320,$A237-WEEKDAY($A237,2)+1)</f>
        <v/>
      </c>
      <c r="O237" s="159">
        <f>SUMIFS('METAS EMPRESAS'!$J$15:$J$320,'METAS EMPRESAS'!$A$15:$A$320,"EJ",'METAS EMPRESAS'!$B$15:$B$320,"IÇAMENTO JOIST",'METAS EMPRESAS'!$C$15:$C$320,$A237-WEEKDAY($A237,2)+1)</f>
        <v/>
      </c>
      <c r="P237" s="159">
        <f>SUMIFS('METAS EMPRESAS'!$J$15:$J$320,'METAS EMPRESAS'!$A$15:$A$320,"EJ",'METAS EMPRESAS'!$B$15:$B$320,"VIGAS",'METAS EMPRESAS'!$C$15:$C$320,$A237-WEEKDAY($A237,2)+1)</f>
        <v/>
      </c>
      <c r="Q237" s="159">
        <f>SUMIFS('METAS EMPRESAS'!$J$15:$J$320,'METAS EMPRESAS'!$A$15:$A$320,"CMM",'METAS EMPRESAS'!$B$15:$B$320,"PREMONTAGEM",'METAS EMPRESAS'!$C$15:$C$320,$A237-WEEKDAY($A237,2)+1)</f>
        <v/>
      </c>
      <c r="R237" s="159">
        <f>SUMIFS('METAS EMPRESAS'!$J$15:$J$320,'METAS EMPRESAS'!$A$15:$A$320,"CMM",'METAS EMPRESAS'!$B$15:$B$320,"IÇAMENTO JOIST",'METAS EMPRESAS'!$C$15:$C$320,$A237-WEEKDAY($A237,2)+1)</f>
        <v/>
      </c>
      <c r="S237" s="159">
        <f>SUMIFS('METAS EMPRESAS'!$J$15:$J$320,'METAS EMPRESAS'!$A$15:$A$320,"CMM",'METAS EMPRESAS'!$B$15:$B$320,"VIGAS",'METAS EMPRESAS'!$C$15:$C$320,$A237-WEEKDAY($A237,2)+1)</f>
        <v/>
      </c>
      <c r="T237">
        <f>--(WEEKDAY(A237,2)&lt;=5)</f>
        <v/>
      </c>
      <c r="U237" t="n">
        <v>19</v>
      </c>
      <c r="V237" t="n">
        <v>7</v>
      </c>
      <c r="W237" t="n">
        <v>0</v>
      </c>
      <c r="X237" t="n">
        <v>5</v>
      </c>
      <c r="Y237" t="n">
        <v>5</v>
      </c>
      <c r="Z237" t="n">
        <v>5</v>
      </c>
      <c r="AA237" t="n">
        <v>95</v>
      </c>
      <c r="AB237" t="n">
        <v>35</v>
      </c>
      <c r="AC237" t="n">
        <v>0</v>
      </c>
    </row>
    <row r="238">
      <c r="A238" s="317" t="n">
        <v>46459</v>
      </c>
      <c r="B238" s="159">
        <f>SUMIFS('METAS EMPRESAS'!$K$15:$K$320,'METAS EMPRESAS'!$A$15:$A$320,"EJ",'METAS EMPRESAS'!$B$15:$B$320,"PREMONTAGEM",'METAS EMPRESAS'!$C$15:$C$320,$A238-WEEKDAY($A238,2)+1)</f>
        <v/>
      </c>
      <c r="C238" s="159">
        <f>SUMIFS('METAS EMPRESAS'!$K$15:$K$320,'METAS EMPRESAS'!$A$15:$A$320,"EJ",'METAS EMPRESAS'!$B$15:$B$320,"IÇAMENTO JOIST",'METAS EMPRESAS'!$C$15:$C$320,$A238-WEEKDAY($A238,2)+1)</f>
        <v/>
      </c>
      <c r="D238" s="159">
        <f>SUMIFS('METAS EMPRESAS'!$K$15:$K$320,'METAS EMPRESAS'!$A$15:$A$320,"EJ",'METAS EMPRESAS'!$B$15:$B$320,"VIGAS",'METAS EMPRESAS'!$C$15:$C$320,$A238-WEEKDAY($A238,2)+1)</f>
        <v/>
      </c>
      <c r="E238" s="159">
        <f>SUMIFS('METAS EMPRESAS'!$K$15:$K$320,'METAS EMPRESAS'!$A$15:$A$320,"CMM",'METAS EMPRESAS'!$B$15:$B$320,"PREMONTAGEM",'METAS EMPRESAS'!$C$15:$C$320,$A238-WEEKDAY($A238,2)+1)</f>
        <v/>
      </c>
      <c r="F238" s="159">
        <f>SUMIFS('METAS EMPRESAS'!$K$15:$K$320,'METAS EMPRESAS'!$A$15:$A$320,"CMM",'METAS EMPRESAS'!$B$15:$B$320,"IÇAMENTO JOIST",'METAS EMPRESAS'!$C$15:$C$320,$A238-WEEKDAY($A238,2)+1)</f>
        <v/>
      </c>
      <c r="G238" s="159">
        <f>SUMIFS('METAS EMPRESAS'!$K$15:$K$320,'METAS EMPRESAS'!$A$15:$A$320,"CMM",'METAS EMPRESAS'!$B$15:$B$320,"VIGAS",'METAS EMPRESAS'!$C$15:$C$320,$A238-WEEKDAY($A238,2)+1)</f>
        <v/>
      </c>
      <c r="H238" s="159">
        <f>SUMIFS('METAS EMPRESAS'!$G$15:$G$320,'METAS EMPRESAS'!$A$15:$A$320,"EJ",'METAS EMPRESAS'!$B$15:$B$320,"PREMONTAGEM",'METAS EMPRESAS'!$C$15:$C$320,$A238-WEEKDAY($A238,2)+1)</f>
        <v/>
      </c>
      <c r="I238" s="159">
        <f>SUMIFS('METAS EMPRESAS'!$G$15:$G$320,'METAS EMPRESAS'!$A$15:$A$320,"EJ",'METAS EMPRESAS'!$B$15:$B$320,"IÇAMENTO JOIST",'METAS EMPRESAS'!$C$15:$C$320,$A238-WEEKDAY($A238,2)+1)</f>
        <v/>
      </c>
      <c r="J238" s="159">
        <f>SUMIFS('METAS EMPRESAS'!$G$15:$G$320,'METAS EMPRESAS'!$A$15:$A$320,"EJ",'METAS EMPRESAS'!$B$15:$B$320,"VIGAS",'METAS EMPRESAS'!$C$15:$C$320,$A238-WEEKDAY($A238,2)+1)</f>
        <v/>
      </c>
      <c r="K238" s="159">
        <f>SUMIFS('METAS EMPRESAS'!$G$15:$G$320,'METAS EMPRESAS'!$A$15:$A$320,"CMM",'METAS EMPRESAS'!$B$15:$B$320,"PREMONTAGEM",'METAS EMPRESAS'!$C$15:$C$320,$A238-WEEKDAY($A238,2)+1)</f>
        <v/>
      </c>
      <c r="L238" s="159">
        <f>SUMIFS('METAS EMPRESAS'!$G$15:$G$320,'METAS EMPRESAS'!$A$15:$A$320,"CMM",'METAS EMPRESAS'!$B$15:$B$320,"IÇAMENTO JOIST",'METAS EMPRESAS'!$C$15:$C$320,$A238-WEEKDAY($A238,2)+1)</f>
        <v/>
      </c>
      <c r="M238" s="159">
        <f>SUMIFS('METAS EMPRESAS'!$G$15:$G$320,'METAS EMPRESAS'!$A$15:$A$320,"CMM",'METAS EMPRESAS'!$B$15:$B$320,"VIGAS",'METAS EMPRESAS'!$C$15:$C$320,$A238-WEEKDAY($A238,2)+1)</f>
        <v/>
      </c>
      <c r="N238" s="159">
        <f>SUMIFS('METAS EMPRESAS'!$J$15:$J$320,'METAS EMPRESAS'!$A$15:$A$320,"EJ",'METAS EMPRESAS'!$B$15:$B$320,"PREMONTAGEM",'METAS EMPRESAS'!$C$15:$C$320,$A238-WEEKDAY($A238,2)+1)</f>
        <v/>
      </c>
      <c r="O238" s="159">
        <f>SUMIFS('METAS EMPRESAS'!$J$15:$J$320,'METAS EMPRESAS'!$A$15:$A$320,"EJ",'METAS EMPRESAS'!$B$15:$B$320,"IÇAMENTO JOIST",'METAS EMPRESAS'!$C$15:$C$320,$A238-WEEKDAY($A238,2)+1)</f>
        <v/>
      </c>
      <c r="P238" s="159">
        <f>SUMIFS('METAS EMPRESAS'!$J$15:$J$320,'METAS EMPRESAS'!$A$15:$A$320,"EJ",'METAS EMPRESAS'!$B$15:$B$320,"VIGAS",'METAS EMPRESAS'!$C$15:$C$320,$A238-WEEKDAY($A238,2)+1)</f>
        <v/>
      </c>
      <c r="Q238" s="159">
        <f>SUMIFS('METAS EMPRESAS'!$J$15:$J$320,'METAS EMPRESAS'!$A$15:$A$320,"CMM",'METAS EMPRESAS'!$B$15:$B$320,"PREMONTAGEM",'METAS EMPRESAS'!$C$15:$C$320,$A238-WEEKDAY($A238,2)+1)</f>
        <v/>
      </c>
      <c r="R238" s="159">
        <f>SUMIFS('METAS EMPRESAS'!$J$15:$J$320,'METAS EMPRESAS'!$A$15:$A$320,"CMM",'METAS EMPRESAS'!$B$15:$B$320,"IÇAMENTO JOIST",'METAS EMPRESAS'!$C$15:$C$320,$A238-WEEKDAY($A238,2)+1)</f>
        <v/>
      </c>
      <c r="S238" s="159">
        <f>SUMIFS('METAS EMPRESAS'!$J$15:$J$320,'METAS EMPRESAS'!$A$15:$A$320,"CMM",'METAS EMPRESAS'!$B$15:$B$320,"VIGAS",'METAS EMPRESAS'!$C$15:$C$320,$A238-WEEKDAY($A238,2)+1)</f>
        <v/>
      </c>
      <c r="T238">
        <f>--(WEEKDAY(A238,2)&lt;=5)</f>
        <v/>
      </c>
      <c r="U238" t="n">
        <v>19</v>
      </c>
      <c r="V238" t="n">
        <v>7</v>
      </c>
      <c r="W238" t="n">
        <v>0</v>
      </c>
      <c r="X238" t="n">
        <v>5</v>
      </c>
      <c r="Y238" t="n">
        <v>5</v>
      </c>
      <c r="Z238" t="n">
        <v>5</v>
      </c>
      <c r="AA238" t="n">
        <v>95</v>
      </c>
      <c r="AB238" t="n">
        <v>35</v>
      </c>
      <c r="AC238" t="n">
        <v>0</v>
      </c>
    </row>
    <row r="239">
      <c r="A239" s="317" t="n">
        <v>46460</v>
      </c>
      <c r="B239" s="159">
        <f>SUMIFS('METAS EMPRESAS'!$K$15:$K$320,'METAS EMPRESAS'!$A$15:$A$320,"EJ",'METAS EMPRESAS'!$B$15:$B$320,"PREMONTAGEM",'METAS EMPRESAS'!$C$15:$C$320,$A239-WEEKDAY($A239,2)+1)</f>
        <v/>
      </c>
      <c r="C239" s="159">
        <f>SUMIFS('METAS EMPRESAS'!$K$15:$K$320,'METAS EMPRESAS'!$A$15:$A$320,"EJ",'METAS EMPRESAS'!$B$15:$B$320,"IÇAMENTO JOIST",'METAS EMPRESAS'!$C$15:$C$320,$A239-WEEKDAY($A239,2)+1)</f>
        <v/>
      </c>
      <c r="D239" s="159">
        <f>SUMIFS('METAS EMPRESAS'!$K$15:$K$320,'METAS EMPRESAS'!$A$15:$A$320,"EJ",'METAS EMPRESAS'!$B$15:$B$320,"VIGAS",'METAS EMPRESAS'!$C$15:$C$320,$A239-WEEKDAY($A239,2)+1)</f>
        <v/>
      </c>
      <c r="E239" s="159">
        <f>SUMIFS('METAS EMPRESAS'!$K$15:$K$320,'METAS EMPRESAS'!$A$15:$A$320,"CMM",'METAS EMPRESAS'!$B$15:$B$320,"PREMONTAGEM",'METAS EMPRESAS'!$C$15:$C$320,$A239-WEEKDAY($A239,2)+1)</f>
        <v/>
      </c>
      <c r="F239" s="159">
        <f>SUMIFS('METAS EMPRESAS'!$K$15:$K$320,'METAS EMPRESAS'!$A$15:$A$320,"CMM",'METAS EMPRESAS'!$B$15:$B$320,"IÇAMENTO JOIST",'METAS EMPRESAS'!$C$15:$C$320,$A239-WEEKDAY($A239,2)+1)</f>
        <v/>
      </c>
      <c r="G239" s="159">
        <f>SUMIFS('METAS EMPRESAS'!$K$15:$K$320,'METAS EMPRESAS'!$A$15:$A$320,"CMM",'METAS EMPRESAS'!$B$15:$B$320,"VIGAS",'METAS EMPRESAS'!$C$15:$C$320,$A239-WEEKDAY($A239,2)+1)</f>
        <v/>
      </c>
      <c r="H239" s="159">
        <f>SUMIFS('METAS EMPRESAS'!$G$15:$G$320,'METAS EMPRESAS'!$A$15:$A$320,"EJ",'METAS EMPRESAS'!$B$15:$B$320,"PREMONTAGEM",'METAS EMPRESAS'!$C$15:$C$320,$A239-WEEKDAY($A239,2)+1)</f>
        <v/>
      </c>
      <c r="I239" s="159">
        <f>SUMIFS('METAS EMPRESAS'!$G$15:$G$320,'METAS EMPRESAS'!$A$15:$A$320,"EJ",'METAS EMPRESAS'!$B$15:$B$320,"IÇAMENTO JOIST",'METAS EMPRESAS'!$C$15:$C$320,$A239-WEEKDAY($A239,2)+1)</f>
        <v/>
      </c>
      <c r="J239" s="159">
        <f>SUMIFS('METAS EMPRESAS'!$G$15:$G$320,'METAS EMPRESAS'!$A$15:$A$320,"EJ",'METAS EMPRESAS'!$B$15:$B$320,"VIGAS",'METAS EMPRESAS'!$C$15:$C$320,$A239-WEEKDAY($A239,2)+1)</f>
        <v/>
      </c>
      <c r="K239" s="159">
        <f>SUMIFS('METAS EMPRESAS'!$G$15:$G$320,'METAS EMPRESAS'!$A$15:$A$320,"CMM",'METAS EMPRESAS'!$B$15:$B$320,"PREMONTAGEM",'METAS EMPRESAS'!$C$15:$C$320,$A239-WEEKDAY($A239,2)+1)</f>
        <v/>
      </c>
      <c r="L239" s="159">
        <f>SUMIFS('METAS EMPRESAS'!$G$15:$G$320,'METAS EMPRESAS'!$A$15:$A$320,"CMM",'METAS EMPRESAS'!$B$15:$B$320,"IÇAMENTO JOIST",'METAS EMPRESAS'!$C$15:$C$320,$A239-WEEKDAY($A239,2)+1)</f>
        <v/>
      </c>
      <c r="M239" s="159">
        <f>SUMIFS('METAS EMPRESAS'!$G$15:$G$320,'METAS EMPRESAS'!$A$15:$A$320,"CMM",'METAS EMPRESAS'!$B$15:$B$320,"VIGAS",'METAS EMPRESAS'!$C$15:$C$320,$A239-WEEKDAY($A239,2)+1)</f>
        <v/>
      </c>
      <c r="N239" s="159">
        <f>SUMIFS('METAS EMPRESAS'!$J$15:$J$320,'METAS EMPRESAS'!$A$15:$A$320,"EJ",'METAS EMPRESAS'!$B$15:$B$320,"PREMONTAGEM",'METAS EMPRESAS'!$C$15:$C$320,$A239-WEEKDAY($A239,2)+1)</f>
        <v/>
      </c>
      <c r="O239" s="159">
        <f>SUMIFS('METAS EMPRESAS'!$J$15:$J$320,'METAS EMPRESAS'!$A$15:$A$320,"EJ",'METAS EMPRESAS'!$B$15:$B$320,"IÇAMENTO JOIST",'METAS EMPRESAS'!$C$15:$C$320,$A239-WEEKDAY($A239,2)+1)</f>
        <v/>
      </c>
      <c r="P239" s="159">
        <f>SUMIFS('METAS EMPRESAS'!$J$15:$J$320,'METAS EMPRESAS'!$A$15:$A$320,"EJ",'METAS EMPRESAS'!$B$15:$B$320,"VIGAS",'METAS EMPRESAS'!$C$15:$C$320,$A239-WEEKDAY($A239,2)+1)</f>
        <v/>
      </c>
      <c r="Q239" s="159">
        <f>SUMIFS('METAS EMPRESAS'!$J$15:$J$320,'METAS EMPRESAS'!$A$15:$A$320,"CMM",'METAS EMPRESAS'!$B$15:$B$320,"PREMONTAGEM",'METAS EMPRESAS'!$C$15:$C$320,$A239-WEEKDAY($A239,2)+1)</f>
        <v/>
      </c>
      <c r="R239" s="159">
        <f>SUMIFS('METAS EMPRESAS'!$J$15:$J$320,'METAS EMPRESAS'!$A$15:$A$320,"CMM",'METAS EMPRESAS'!$B$15:$B$320,"IÇAMENTO JOIST",'METAS EMPRESAS'!$C$15:$C$320,$A239-WEEKDAY($A239,2)+1)</f>
        <v/>
      </c>
      <c r="S239" s="159">
        <f>SUMIFS('METAS EMPRESAS'!$J$15:$J$320,'METAS EMPRESAS'!$A$15:$A$320,"CMM",'METAS EMPRESAS'!$B$15:$B$320,"VIGAS",'METAS EMPRESAS'!$C$15:$C$320,$A239-WEEKDAY($A239,2)+1)</f>
        <v/>
      </c>
      <c r="T239">
        <f>--(WEEKDAY(A239,2)&lt;=5)</f>
        <v/>
      </c>
      <c r="U239" t="n">
        <v>19</v>
      </c>
      <c r="V239" t="n">
        <v>7</v>
      </c>
      <c r="W239" t="n">
        <v>0</v>
      </c>
      <c r="X239" t="n">
        <v>5</v>
      </c>
      <c r="Y239" t="n">
        <v>5</v>
      </c>
      <c r="Z239" t="n">
        <v>5</v>
      </c>
      <c r="AA239" t="n">
        <v>95</v>
      </c>
      <c r="AB239" t="n">
        <v>35</v>
      </c>
      <c r="AC239" t="n">
        <v>0</v>
      </c>
    </row>
    <row r="240">
      <c r="A240" s="317" t="n">
        <v>46461</v>
      </c>
      <c r="B240" s="159">
        <f>SUMIFS('METAS EMPRESAS'!$K$15:$K$320,'METAS EMPRESAS'!$A$15:$A$320,"EJ",'METAS EMPRESAS'!$B$15:$B$320,"PREMONTAGEM",'METAS EMPRESAS'!$C$15:$C$320,$A240-WEEKDAY($A240,2)+1)</f>
        <v/>
      </c>
      <c r="C240" s="159">
        <f>SUMIFS('METAS EMPRESAS'!$K$15:$K$320,'METAS EMPRESAS'!$A$15:$A$320,"EJ",'METAS EMPRESAS'!$B$15:$B$320,"IÇAMENTO JOIST",'METAS EMPRESAS'!$C$15:$C$320,$A240-WEEKDAY($A240,2)+1)</f>
        <v/>
      </c>
      <c r="D240" s="159">
        <f>SUMIFS('METAS EMPRESAS'!$K$15:$K$320,'METAS EMPRESAS'!$A$15:$A$320,"EJ",'METAS EMPRESAS'!$B$15:$B$320,"VIGAS",'METAS EMPRESAS'!$C$15:$C$320,$A240-WEEKDAY($A240,2)+1)</f>
        <v/>
      </c>
      <c r="E240" s="159">
        <f>SUMIFS('METAS EMPRESAS'!$K$15:$K$320,'METAS EMPRESAS'!$A$15:$A$320,"CMM",'METAS EMPRESAS'!$B$15:$B$320,"PREMONTAGEM",'METAS EMPRESAS'!$C$15:$C$320,$A240-WEEKDAY($A240,2)+1)</f>
        <v/>
      </c>
      <c r="F240" s="159">
        <f>SUMIFS('METAS EMPRESAS'!$K$15:$K$320,'METAS EMPRESAS'!$A$15:$A$320,"CMM",'METAS EMPRESAS'!$B$15:$B$320,"IÇAMENTO JOIST",'METAS EMPRESAS'!$C$15:$C$320,$A240-WEEKDAY($A240,2)+1)</f>
        <v/>
      </c>
      <c r="G240" s="159">
        <f>SUMIFS('METAS EMPRESAS'!$K$15:$K$320,'METAS EMPRESAS'!$A$15:$A$320,"CMM",'METAS EMPRESAS'!$B$15:$B$320,"VIGAS",'METAS EMPRESAS'!$C$15:$C$320,$A240-WEEKDAY($A240,2)+1)</f>
        <v/>
      </c>
      <c r="H240" s="159">
        <f>SUMIFS('METAS EMPRESAS'!$G$15:$G$320,'METAS EMPRESAS'!$A$15:$A$320,"EJ",'METAS EMPRESAS'!$B$15:$B$320,"PREMONTAGEM",'METAS EMPRESAS'!$C$15:$C$320,$A240-WEEKDAY($A240,2)+1)</f>
        <v/>
      </c>
      <c r="I240" s="159">
        <f>SUMIFS('METAS EMPRESAS'!$G$15:$G$320,'METAS EMPRESAS'!$A$15:$A$320,"EJ",'METAS EMPRESAS'!$B$15:$B$320,"IÇAMENTO JOIST",'METAS EMPRESAS'!$C$15:$C$320,$A240-WEEKDAY($A240,2)+1)</f>
        <v/>
      </c>
      <c r="J240" s="159">
        <f>SUMIFS('METAS EMPRESAS'!$G$15:$G$320,'METAS EMPRESAS'!$A$15:$A$320,"EJ",'METAS EMPRESAS'!$B$15:$B$320,"VIGAS",'METAS EMPRESAS'!$C$15:$C$320,$A240-WEEKDAY($A240,2)+1)</f>
        <v/>
      </c>
      <c r="K240" s="159">
        <f>SUMIFS('METAS EMPRESAS'!$G$15:$G$320,'METAS EMPRESAS'!$A$15:$A$320,"CMM",'METAS EMPRESAS'!$B$15:$B$320,"PREMONTAGEM",'METAS EMPRESAS'!$C$15:$C$320,$A240-WEEKDAY($A240,2)+1)</f>
        <v/>
      </c>
      <c r="L240" s="159">
        <f>SUMIFS('METAS EMPRESAS'!$G$15:$G$320,'METAS EMPRESAS'!$A$15:$A$320,"CMM",'METAS EMPRESAS'!$B$15:$B$320,"IÇAMENTO JOIST",'METAS EMPRESAS'!$C$15:$C$320,$A240-WEEKDAY($A240,2)+1)</f>
        <v/>
      </c>
      <c r="M240" s="159">
        <f>SUMIFS('METAS EMPRESAS'!$G$15:$G$320,'METAS EMPRESAS'!$A$15:$A$320,"CMM",'METAS EMPRESAS'!$B$15:$B$320,"VIGAS",'METAS EMPRESAS'!$C$15:$C$320,$A240-WEEKDAY($A240,2)+1)</f>
        <v/>
      </c>
      <c r="N240" s="159">
        <f>SUMIFS('METAS EMPRESAS'!$J$15:$J$320,'METAS EMPRESAS'!$A$15:$A$320,"EJ",'METAS EMPRESAS'!$B$15:$B$320,"PREMONTAGEM",'METAS EMPRESAS'!$C$15:$C$320,$A240-WEEKDAY($A240,2)+1)</f>
        <v/>
      </c>
      <c r="O240" s="159">
        <f>SUMIFS('METAS EMPRESAS'!$J$15:$J$320,'METAS EMPRESAS'!$A$15:$A$320,"EJ",'METAS EMPRESAS'!$B$15:$B$320,"IÇAMENTO JOIST",'METAS EMPRESAS'!$C$15:$C$320,$A240-WEEKDAY($A240,2)+1)</f>
        <v/>
      </c>
      <c r="P240" s="159">
        <f>SUMIFS('METAS EMPRESAS'!$J$15:$J$320,'METAS EMPRESAS'!$A$15:$A$320,"EJ",'METAS EMPRESAS'!$B$15:$B$320,"VIGAS",'METAS EMPRESAS'!$C$15:$C$320,$A240-WEEKDAY($A240,2)+1)</f>
        <v/>
      </c>
      <c r="Q240" s="159">
        <f>SUMIFS('METAS EMPRESAS'!$J$15:$J$320,'METAS EMPRESAS'!$A$15:$A$320,"CMM",'METAS EMPRESAS'!$B$15:$B$320,"PREMONTAGEM",'METAS EMPRESAS'!$C$15:$C$320,$A240-WEEKDAY($A240,2)+1)</f>
        <v/>
      </c>
      <c r="R240" s="159">
        <f>SUMIFS('METAS EMPRESAS'!$J$15:$J$320,'METAS EMPRESAS'!$A$15:$A$320,"CMM",'METAS EMPRESAS'!$B$15:$B$320,"IÇAMENTO JOIST",'METAS EMPRESAS'!$C$15:$C$320,$A240-WEEKDAY($A240,2)+1)</f>
        <v/>
      </c>
      <c r="S240" s="159">
        <f>SUMIFS('METAS EMPRESAS'!$J$15:$J$320,'METAS EMPRESAS'!$A$15:$A$320,"CMM",'METAS EMPRESAS'!$B$15:$B$320,"VIGAS",'METAS EMPRESAS'!$C$15:$C$320,$A240-WEEKDAY($A240,2)+1)</f>
        <v/>
      </c>
      <c r="T240">
        <f>--(WEEKDAY(A240,2)&lt;=5)</f>
        <v/>
      </c>
      <c r="U240" t="n">
        <v>19</v>
      </c>
      <c r="V240" t="n">
        <v>7</v>
      </c>
      <c r="W240" t="n">
        <v>0</v>
      </c>
      <c r="X240" t="n">
        <v>5</v>
      </c>
      <c r="Y240" t="n">
        <v>5</v>
      </c>
      <c r="Z240" t="n">
        <v>5</v>
      </c>
      <c r="AA240" t="n">
        <v>95</v>
      </c>
      <c r="AB240" t="n">
        <v>35</v>
      </c>
      <c r="AC240" t="n">
        <v>0</v>
      </c>
    </row>
    <row r="241">
      <c r="A241" s="317" t="n">
        <v>46462</v>
      </c>
      <c r="B241" s="159">
        <f>SUMIFS('METAS EMPRESAS'!$K$15:$K$320,'METAS EMPRESAS'!$A$15:$A$320,"EJ",'METAS EMPRESAS'!$B$15:$B$320,"PREMONTAGEM",'METAS EMPRESAS'!$C$15:$C$320,$A241-WEEKDAY($A241,2)+1)</f>
        <v/>
      </c>
      <c r="C241" s="159">
        <f>SUMIFS('METAS EMPRESAS'!$K$15:$K$320,'METAS EMPRESAS'!$A$15:$A$320,"EJ",'METAS EMPRESAS'!$B$15:$B$320,"IÇAMENTO JOIST",'METAS EMPRESAS'!$C$15:$C$320,$A241-WEEKDAY($A241,2)+1)</f>
        <v/>
      </c>
      <c r="D241" s="159">
        <f>SUMIFS('METAS EMPRESAS'!$K$15:$K$320,'METAS EMPRESAS'!$A$15:$A$320,"EJ",'METAS EMPRESAS'!$B$15:$B$320,"VIGAS",'METAS EMPRESAS'!$C$15:$C$320,$A241-WEEKDAY($A241,2)+1)</f>
        <v/>
      </c>
      <c r="E241" s="159">
        <f>SUMIFS('METAS EMPRESAS'!$K$15:$K$320,'METAS EMPRESAS'!$A$15:$A$320,"CMM",'METAS EMPRESAS'!$B$15:$B$320,"PREMONTAGEM",'METAS EMPRESAS'!$C$15:$C$320,$A241-WEEKDAY($A241,2)+1)</f>
        <v/>
      </c>
      <c r="F241" s="159">
        <f>SUMIFS('METAS EMPRESAS'!$K$15:$K$320,'METAS EMPRESAS'!$A$15:$A$320,"CMM",'METAS EMPRESAS'!$B$15:$B$320,"IÇAMENTO JOIST",'METAS EMPRESAS'!$C$15:$C$320,$A241-WEEKDAY($A241,2)+1)</f>
        <v/>
      </c>
      <c r="G241" s="159">
        <f>SUMIFS('METAS EMPRESAS'!$K$15:$K$320,'METAS EMPRESAS'!$A$15:$A$320,"CMM",'METAS EMPRESAS'!$B$15:$B$320,"VIGAS",'METAS EMPRESAS'!$C$15:$C$320,$A241-WEEKDAY($A241,2)+1)</f>
        <v/>
      </c>
      <c r="H241" s="159">
        <f>SUMIFS('METAS EMPRESAS'!$G$15:$G$320,'METAS EMPRESAS'!$A$15:$A$320,"EJ",'METAS EMPRESAS'!$B$15:$B$320,"PREMONTAGEM",'METAS EMPRESAS'!$C$15:$C$320,$A241-WEEKDAY($A241,2)+1)</f>
        <v/>
      </c>
      <c r="I241" s="159">
        <f>SUMIFS('METAS EMPRESAS'!$G$15:$G$320,'METAS EMPRESAS'!$A$15:$A$320,"EJ",'METAS EMPRESAS'!$B$15:$B$320,"IÇAMENTO JOIST",'METAS EMPRESAS'!$C$15:$C$320,$A241-WEEKDAY($A241,2)+1)</f>
        <v/>
      </c>
      <c r="J241" s="159">
        <f>SUMIFS('METAS EMPRESAS'!$G$15:$G$320,'METAS EMPRESAS'!$A$15:$A$320,"EJ",'METAS EMPRESAS'!$B$15:$B$320,"VIGAS",'METAS EMPRESAS'!$C$15:$C$320,$A241-WEEKDAY($A241,2)+1)</f>
        <v/>
      </c>
      <c r="K241" s="159">
        <f>SUMIFS('METAS EMPRESAS'!$G$15:$G$320,'METAS EMPRESAS'!$A$15:$A$320,"CMM",'METAS EMPRESAS'!$B$15:$B$320,"PREMONTAGEM",'METAS EMPRESAS'!$C$15:$C$320,$A241-WEEKDAY($A241,2)+1)</f>
        <v/>
      </c>
      <c r="L241" s="159">
        <f>SUMIFS('METAS EMPRESAS'!$G$15:$G$320,'METAS EMPRESAS'!$A$15:$A$320,"CMM",'METAS EMPRESAS'!$B$15:$B$320,"IÇAMENTO JOIST",'METAS EMPRESAS'!$C$15:$C$320,$A241-WEEKDAY($A241,2)+1)</f>
        <v/>
      </c>
      <c r="M241" s="159">
        <f>SUMIFS('METAS EMPRESAS'!$G$15:$G$320,'METAS EMPRESAS'!$A$15:$A$320,"CMM",'METAS EMPRESAS'!$B$15:$B$320,"VIGAS",'METAS EMPRESAS'!$C$15:$C$320,$A241-WEEKDAY($A241,2)+1)</f>
        <v/>
      </c>
      <c r="N241" s="159">
        <f>SUMIFS('METAS EMPRESAS'!$J$15:$J$320,'METAS EMPRESAS'!$A$15:$A$320,"EJ",'METAS EMPRESAS'!$B$15:$B$320,"PREMONTAGEM",'METAS EMPRESAS'!$C$15:$C$320,$A241-WEEKDAY($A241,2)+1)</f>
        <v/>
      </c>
      <c r="O241" s="159">
        <f>SUMIFS('METAS EMPRESAS'!$J$15:$J$320,'METAS EMPRESAS'!$A$15:$A$320,"EJ",'METAS EMPRESAS'!$B$15:$B$320,"IÇAMENTO JOIST",'METAS EMPRESAS'!$C$15:$C$320,$A241-WEEKDAY($A241,2)+1)</f>
        <v/>
      </c>
      <c r="P241" s="159">
        <f>SUMIFS('METAS EMPRESAS'!$J$15:$J$320,'METAS EMPRESAS'!$A$15:$A$320,"EJ",'METAS EMPRESAS'!$B$15:$B$320,"VIGAS",'METAS EMPRESAS'!$C$15:$C$320,$A241-WEEKDAY($A241,2)+1)</f>
        <v/>
      </c>
      <c r="Q241" s="159">
        <f>SUMIFS('METAS EMPRESAS'!$J$15:$J$320,'METAS EMPRESAS'!$A$15:$A$320,"CMM",'METAS EMPRESAS'!$B$15:$B$320,"PREMONTAGEM",'METAS EMPRESAS'!$C$15:$C$320,$A241-WEEKDAY($A241,2)+1)</f>
        <v/>
      </c>
      <c r="R241" s="159">
        <f>SUMIFS('METAS EMPRESAS'!$J$15:$J$320,'METAS EMPRESAS'!$A$15:$A$320,"CMM",'METAS EMPRESAS'!$B$15:$B$320,"IÇAMENTO JOIST",'METAS EMPRESAS'!$C$15:$C$320,$A241-WEEKDAY($A241,2)+1)</f>
        <v/>
      </c>
      <c r="S241" s="159">
        <f>SUMIFS('METAS EMPRESAS'!$J$15:$J$320,'METAS EMPRESAS'!$A$15:$A$320,"CMM",'METAS EMPRESAS'!$B$15:$B$320,"VIGAS",'METAS EMPRESAS'!$C$15:$C$320,$A241-WEEKDAY($A241,2)+1)</f>
        <v/>
      </c>
      <c r="T241">
        <f>--(WEEKDAY(A241,2)&lt;=5)</f>
        <v/>
      </c>
      <c r="U241" t="n">
        <v>19</v>
      </c>
      <c r="V241" t="n">
        <v>7</v>
      </c>
      <c r="W241" t="n">
        <v>0</v>
      </c>
      <c r="X241" t="n">
        <v>5</v>
      </c>
      <c r="Y241" t="n">
        <v>5</v>
      </c>
      <c r="Z241" t="n">
        <v>5</v>
      </c>
      <c r="AA241" t="n">
        <v>95</v>
      </c>
      <c r="AB241" t="n">
        <v>35</v>
      </c>
      <c r="AC241" t="n">
        <v>0</v>
      </c>
    </row>
    <row r="242">
      <c r="A242" s="317" t="n">
        <v>46463</v>
      </c>
      <c r="B242" s="159">
        <f>SUMIFS('METAS EMPRESAS'!$K$15:$K$320,'METAS EMPRESAS'!$A$15:$A$320,"EJ",'METAS EMPRESAS'!$B$15:$B$320,"PREMONTAGEM",'METAS EMPRESAS'!$C$15:$C$320,$A242-WEEKDAY($A242,2)+1)</f>
        <v/>
      </c>
      <c r="C242" s="159">
        <f>SUMIFS('METAS EMPRESAS'!$K$15:$K$320,'METAS EMPRESAS'!$A$15:$A$320,"EJ",'METAS EMPRESAS'!$B$15:$B$320,"IÇAMENTO JOIST",'METAS EMPRESAS'!$C$15:$C$320,$A242-WEEKDAY($A242,2)+1)</f>
        <v/>
      </c>
      <c r="D242" s="159">
        <f>SUMIFS('METAS EMPRESAS'!$K$15:$K$320,'METAS EMPRESAS'!$A$15:$A$320,"EJ",'METAS EMPRESAS'!$B$15:$B$320,"VIGAS",'METAS EMPRESAS'!$C$15:$C$320,$A242-WEEKDAY($A242,2)+1)</f>
        <v/>
      </c>
      <c r="E242" s="159">
        <f>SUMIFS('METAS EMPRESAS'!$K$15:$K$320,'METAS EMPRESAS'!$A$15:$A$320,"CMM",'METAS EMPRESAS'!$B$15:$B$320,"PREMONTAGEM",'METAS EMPRESAS'!$C$15:$C$320,$A242-WEEKDAY($A242,2)+1)</f>
        <v/>
      </c>
      <c r="F242" s="159">
        <f>SUMIFS('METAS EMPRESAS'!$K$15:$K$320,'METAS EMPRESAS'!$A$15:$A$320,"CMM",'METAS EMPRESAS'!$B$15:$B$320,"IÇAMENTO JOIST",'METAS EMPRESAS'!$C$15:$C$320,$A242-WEEKDAY($A242,2)+1)</f>
        <v/>
      </c>
      <c r="G242" s="159">
        <f>SUMIFS('METAS EMPRESAS'!$K$15:$K$320,'METAS EMPRESAS'!$A$15:$A$320,"CMM",'METAS EMPRESAS'!$B$15:$B$320,"VIGAS",'METAS EMPRESAS'!$C$15:$C$320,$A242-WEEKDAY($A242,2)+1)</f>
        <v/>
      </c>
      <c r="H242" s="159">
        <f>SUMIFS('METAS EMPRESAS'!$G$15:$G$320,'METAS EMPRESAS'!$A$15:$A$320,"EJ",'METAS EMPRESAS'!$B$15:$B$320,"PREMONTAGEM",'METAS EMPRESAS'!$C$15:$C$320,$A242-WEEKDAY($A242,2)+1)</f>
        <v/>
      </c>
      <c r="I242" s="159">
        <f>SUMIFS('METAS EMPRESAS'!$G$15:$G$320,'METAS EMPRESAS'!$A$15:$A$320,"EJ",'METAS EMPRESAS'!$B$15:$B$320,"IÇAMENTO JOIST",'METAS EMPRESAS'!$C$15:$C$320,$A242-WEEKDAY($A242,2)+1)</f>
        <v/>
      </c>
      <c r="J242" s="159">
        <f>SUMIFS('METAS EMPRESAS'!$G$15:$G$320,'METAS EMPRESAS'!$A$15:$A$320,"EJ",'METAS EMPRESAS'!$B$15:$B$320,"VIGAS",'METAS EMPRESAS'!$C$15:$C$320,$A242-WEEKDAY($A242,2)+1)</f>
        <v/>
      </c>
      <c r="K242" s="159">
        <f>SUMIFS('METAS EMPRESAS'!$G$15:$G$320,'METAS EMPRESAS'!$A$15:$A$320,"CMM",'METAS EMPRESAS'!$B$15:$B$320,"PREMONTAGEM",'METAS EMPRESAS'!$C$15:$C$320,$A242-WEEKDAY($A242,2)+1)</f>
        <v/>
      </c>
      <c r="L242" s="159">
        <f>SUMIFS('METAS EMPRESAS'!$G$15:$G$320,'METAS EMPRESAS'!$A$15:$A$320,"CMM",'METAS EMPRESAS'!$B$15:$B$320,"IÇAMENTO JOIST",'METAS EMPRESAS'!$C$15:$C$320,$A242-WEEKDAY($A242,2)+1)</f>
        <v/>
      </c>
      <c r="M242" s="159">
        <f>SUMIFS('METAS EMPRESAS'!$G$15:$G$320,'METAS EMPRESAS'!$A$15:$A$320,"CMM",'METAS EMPRESAS'!$B$15:$B$320,"VIGAS",'METAS EMPRESAS'!$C$15:$C$320,$A242-WEEKDAY($A242,2)+1)</f>
        <v/>
      </c>
      <c r="N242" s="159">
        <f>SUMIFS('METAS EMPRESAS'!$J$15:$J$320,'METAS EMPRESAS'!$A$15:$A$320,"EJ",'METAS EMPRESAS'!$B$15:$B$320,"PREMONTAGEM",'METAS EMPRESAS'!$C$15:$C$320,$A242-WEEKDAY($A242,2)+1)</f>
        <v/>
      </c>
      <c r="O242" s="159">
        <f>SUMIFS('METAS EMPRESAS'!$J$15:$J$320,'METAS EMPRESAS'!$A$15:$A$320,"EJ",'METAS EMPRESAS'!$B$15:$B$320,"IÇAMENTO JOIST",'METAS EMPRESAS'!$C$15:$C$320,$A242-WEEKDAY($A242,2)+1)</f>
        <v/>
      </c>
      <c r="P242" s="159">
        <f>SUMIFS('METAS EMPRESAS'!$J$15:$J$320,'METAS EMPRESAS'!$A$15:$A$320,"EJ",'METAS EMPRESAS'!$B$15:$B$320,"VIGAS",'METAS EMPRESAS'!$C$15:$C$320,$A242-WEEKDAY($A242,2)+1)</f>
        <v/>
      </c>
      <c r="Q242" s="159">
        <f>SUMIFS('METAS EMPRESAS'!$J$15:$J$320,'METAS EMPRESAS'!$A$15:$A$320,"CMM",'METAS EMPRESAS'!$B$15:$B$320,"PREMONTAGEM",'METAS EMPRESAS'!$C$15:$C$320,$A242-WEEKDAY($A242,2)+1)</f>
        <v/>
      </c>
      <c r="R242" s="159">
        <f>SUMIFS('METAS EMPRESAS'!$J$15:$J$320,'METAS EMPRESAS'!$A$15:$A$320,"CMM",'METAS EMPRESAS'!$B$15:$B$320,"IÇAMENTO JOIST",'METAS EMPRESAS'!$C$15:$C$320,$A242-WEEKDAY($A242,2)+1)</f>
        <v/>
      </c>
      <c r="S242" s="159">
        <f>SUMIFS('METAS EMPRESAS'!$J$15:$J$320,'METAS EMPRESAS'!$A$15:$A$320,"CMM",'METAS EMPRESAS'!$B$15:$B$320,"VIGAS",'METAS EMPRESAS'!$C$15:$C$320,$A242-WEEKDAY($A242,2)+1)</f>
        <v/>
      </c>
      <c r="T242">
        <f>--(WEEKDAY(A242,2)&lt;=5)</f>
        <v/>
      </c>
      <c r="U242" t="n">
        <v>19</v>
      </c>
      <c r="V242" t="n">
        <v>7</v>
      </c>
      <c r="W242" t="n">
        <v>0</v>
      </c>
      <c r="X242" t="n">
        <v>5</v>
      </c>
      <c r="Y242" t="n">
        <v>5</v>
      </c>
      <c r="Z242" t="n">
        <v>5</v>
      </c>
      <c r="AA242" t="n">
        <v>95</v>
      </c>
      <c r="AB242" t="n">
        <v>35</v>
      </c>
      <c r="AC242" t="n">
        <v>0</v>
      </c>
    </row>
    <row r="243">
      <c r="A243" s="317" t="n">
        <v>46464</v>
      </c>
      <c r="B243" s="159">
        <f>SUMIFS('METAS EMPRESAS'!$K$15:$K$320,'METAS EMPRESAS'!$A$15:$A$320,"EJ",'METAS EMPRESAS'!$B$15:$B$320,"PREMONTAGEM",'METAS EMPRESAS'!$C$15:$C$320,$A243-WEEKDAY($A243,2)+1)</f>
        <v/>
      </c>
      <c r="C243" s="159">
        <f>SUMIFS('METAS EMPRESAS'!$K$15:$K$320,'METAS EMPRESAS'!$A$15:$A$320,"EJ",'METAS EMPRESAS'!$B$15:$B$320,"IÇAMENTO JOIST",'METAS EMPRESAS'!$C$15:$C$320,$A243-WEEKDAY($A243,2)+1)</f>
        <v/>
      </c>
      <c r="D243" s="159">
        <f>SUMIFS('METAS EMPRESAS'!$K$15:$K$320,'METAS EMPRESAS'!$A$15:$A$320,"EJ",'METAS EMPRESAS'!$B$15:$B$320,"VIGAS",'METAS EMPRESAS'!$C$15:$C$320,$A243-WEEKDAY($A243,2)+1)</f>
        <v/>
      </c>
      <c r="E243" s="159">
        <f>SUMIFS('METAS EMPRESAS'!$K$15:$K$320,'METAS EMPRESAS'!$A$15:$A$320,"CMM",'METAS EMPRESAS'!$B$15:$B$320,"PREMONTAGEM",'METAS EMPRESAS'!$C$15:$C$320,$A243-WEEKDAY($A243,2)+1)</f>
        <v/>
      </c>
      <c r="F243" s="159">
        <f>SUMIFS('METAS EMPRESAS'!$K$15:$K$320,'METAS EMPRESAS'!$A$15:$A$320,"CMM",'METAS EMPRESAS'!$B$15:$B$320,"IÇAMENTO JOIST",'METAS EMPRESAS'!$C$15:$C$320,$A243-WEEKDAY($A243,2)+1)</f>
        <v/>
      </c>
      <c r="G243" s="159">
        <f>SUMIFS('METAS EMPRESAS'!$K$15:$K$320,'METAS EMPRESAS'!$A$15:$A$320,"CMM",'METAS EMPRESAS'!$B$15:$B$320,"VIGAS",'METAS EMPRESAS'!$C$15:$C$320,$A243-WEEKDAY($A243,2)+1)</f>
        <v/>
      </c>
      <c r="H243" s="159">
        <f>SUMIFS('METAS EMPRESAS'!$G$15:$G$320,'METAS EMPRESAS'!$A$15:$A$320,"EJ",'METAS EMPRESAS'!$B$15:$B$320,"PREMONTAGEM",'METAS EMPRESAS'!$C$15:$C$320,$A243-WEEKDAY($A243,2)+1)</f>
        <v/>
      </c>
      <c r="I243" s="159">
        <f>SUMIFS('METAS EMPRESAS'!$G$15:$G$320,'METAS EMPRESAS'!$A$15:$A$320,"EJ",'METAS EMPRESAS'!$B$15:$B$320,"IÇAMENTO JOIST",'METAS EMPRESAS'!$C$15:$C$320,$A243-WEEKDAY($A243,2)+1)</f>
        <v/>
      </c>
      <c r="J243" s="159">
        <f>SUMIFS('METAS EMPRESAS'!$G$15:$G$320,'METAS EMPRESAS'!$A$15:$A$320,"EJ",'METAS EMPRESAS'!$B$15:$B$320,"VIGAS",'METAS EMPRESAS'!$C$15:$C$320,$A243-WEEKDAY($A243,2)+1)</f>
        <v/>
      </c>
      <c r="K243" s="159">
        <f>SUMIFS('METAS EMPRESAS'!$G$15:$G$320,'METAS EMPRESAS'!$A$15:$A$320,"CMM",'METAS EMPRESAS'!$B$15:$B$320,"PREMONTAGEM",'METAS EMPRESAS'!$C$15:$C$320,$A243-WEEKDAY($A243,2)+1)</f>
        <v/>
      </c>
      <c r="L243" s="159">
        <f>SUMIFS('METAS EMPRESAS'!$G$15:$G$320,'METAS EMPRESAS'!$A$15:$A$320,"CMM",'METAS EMPRESAS'!$B$15:$B$320,"IÇAMENTO JOIST",'METAS EMPRESAS'!$C$15:$C$320,$A243-WEEKDAY($A243,2)+1)</f>
        <v/>
      </c>
      <c r="M243" s="159">
        <f>SUMIFS('METAS EMPRESAS'!$G$15:$G$320,'METAS EMPRESAS'!$A$15:$A$320,"CMM",'METAS EMPRESAS'!$B$15:$B$320,"VIGAS",'METAS EMPRESAS'!$C$15:$C$320,$A243-WEEKDAY($A243,2)+1)</f>
        <v/>
      </c>
      <c r="N243" s="159">
        <f>SUMIFS('METAS EMPRESAS'!$J$15:$J$320,'METAS EMPRESAS'!$A$15:$A$320,"EJ",'METAS EMPRESAS'!$B$15:$B$320,"PREMONTAGEM",'METAS EMPRESAS'!$C$15:$C$320,$A243-WEEKDAY($A243,2)+1)</f>
        <v/>
      </c>
      <c r="O243" s="159">
        <f>SUMIFS('METAS EMPRESAS'!$J$15:$J$320,'METAS EMPRESAS'!$A$15:$A$320,"EJ",'METAS EMPRESAS'!$B$15:$B$320,"IÇAMENTO JOIST",'METAS EMPRESAS'!$C$15:$C$320,$A243-WEEKDAY($A243,2)+1)</f>
        <v/>
      </c>
      <c r="P243" s="159">
        <f>SUMIFS('METAS EMPRESAS'!$J$15:$J$320,'METAS EMPRESAS'!$A$15:$A$320,"EJ",'METAS EMPRESAS'!$B$15:$B$320,"VIGAS",'METAS EMPRESAS'!$C$15:$C$320,$A243-WEEKDAY($A243,2)+1)</f>
        <v/>
      </c>
      <c r="Q243" s="159">
        <f>SUMIFS('METAS EMPRESAS'!$J$15:$J$320,'METAS EMPRESAS'!$A$15:$A$320,"CMM",'METAS EMPRESAS'!$B$15:$B$320,"PREMONTAGEM",'METAS EMPRESAS'!$C$15:$C$320,$A243-WEEKDAY($A243,2)+1)</f>
        <v/>
      </c>
      <c r="R243" s="159">
        <f>SUMIFS('METAS EMPRESAS'!$J$15:$J$320,'METAS EMPRESAS'!$A$15:$A$320,"CMM",'METAS EMPRESAS'!$B$15:$B$320,"IÇAMENTO JOIST",'METAS EMPRESAS'!$C$15:$C$320,$A243-WEEKDAY($A243,2)+1)</f>
        <v/>
      </c>
      <c r="S243" s="159">
        <f>SUMIFS('METAS EMPRESAS'!$J$15:$J$320,'METAS EMPRESAS'!$A$15:$A$320,"CMM",'METAS EMPRESAS'!$B$15:$B$320,"VIGAS",'METAS EMPRESAS'!$C$15:$C$320,$A243-WEEKDAY($A243,2)+1)</f>
        <v/>
      </c>
      <c r="T243">
        <f>--(WEEKDAY(A243,2)&lt;=5)</f>
        <v/>
      </c>
      <c r="U243" t="n">
        <v>19</v>
      </c>
      <c r="V243" t="n">
        <v>7</v>
      </c>
      <c r="W243" t="n">
        <v>0</v>
      </c>
      <c r="X243" t="n">
        <v>5</v>
      </c>
      <c r="Y243" t="n">
        <v>5</v>
      </c>
      <c r="Z243" t="n">
        <v>5</v>
      </c>
      <c r="AA243" t="n">
        <v>95</v>
      </c>
      <c r="AB243" t="n">
        <v>35</v>
      </c>
      <c r="AC243" t="n">
        <v>0</v>
      </c>
    </row>
    <row r="244">
      <c r="A244" s="317" t="n">
        <v>46465</v>
      </c>
      <c r="B244" s="159">
        <f>SUMIFS('METAS EMPRESAS'!$K$15:$K$320,'METAS EMPRESAS'!$A$15:$A$320,"EJ",'METAS EMPRESAS'!$B$15:$B$320,"PREMONTAGEM",'METAS EMPRESAS'!$C$15:$C$320,$A244-WEEKDAY($A244,2)+1)</f>
        <v/>
      </c>
      <c r="C244" s="159">
        <f>SUMIFS('METAS EMPRESAS'!$K$15:$K$320,'METAS EMPRESAS'!$A$15:$A$320,"EJ",'METAS EMPRESAS'!$B$15:$B$320,"IÇAMENTO JOIST",'METAS EMPRESAS'!$C$15:$C$320,$A244-WEEKDAY($A244,2)+1)</f>
        <v/>
      </c>
      <c r="D244" s="159">
        <f>SUMIFS('METAS EMPRESAS'!$K$15:$K$320,'METAS EMPRESAS'!$A$15:$A$320,"EJ",'METAS EMPRESAS'!$B$15:$B$320,"VIGAS",'METAS EMPRESAS'!$C$15:$C$320,$A244-WEEKDAY($A244,2)+1)</f>
        <v/>
      </c>
      <c r="E244" s="159">
        <f>SUMIFS('METAS EMPRESAS'!$K$15:$K$320,'METAS EMPRESAS'!$A$15:$A$320,"CMM",'METAS EMPRESAS'!$B$15:$B$320,"PREMONTAGEM",'METAS EMPRESAS'!$C$15:$C$320,$A244-WEEKDAY($A244,2)+1)</f>
        <v/>
      </c>
      <c r="F244" s="159">
        <f>SUMIFS('METAS EMPRESAS'!$K$15:$K$320,'METAS EMPRESAS'!$A$15:$A$320,"CMM",'METAS EMPRESAS'!$B$15:$B$320,"IÇAMENTO JOIST",'METAS EMPRESAS'!$C$15:$C$320,$A244-WEEKDAY($A244,2)+1)</f>
        <v/>
      </c>
      <c r="G244" s="159">
        <f>SUMIFS('METAS EMPRESAS'!$K$15:$K$320,'METAS EMPRESAS'!$A$15:$A$320,"CMM",'METAS EMPRESAS'!$B$15:$B$320,"VIGAS",'METAS EMPRESAS'!$C$15:$C$320,$A244-WEEKDAY($A244,2)+1)</f>
        <v/>
      </c>
      <c r="H244" s="159">
        <f>SUMIFS('METAS EMPRESAS'!$G$15:$G$320,'METAS EMPRESAS'!$A$15:$A$320,"EJ",'METAS EMPRESAS'!$B$15:$B$320,"PREMONTAGEM",'METAS EMPRESAS'!$C$15:$C$320,$A244-WEEKDAY($A244,2)+1)</f>
        <v/>
      </c>
      <c r="I244" s="159">
        <f>SUMIFS('METAS EMPRESAS'!$G$15:$G$320,'METAS EMPRESAS'!$A$15:$A$320,"EJ",'METAS EMPRESAS'!$B$15:$B$320,"IÇAMENTO JOIST",'METAS EMPRESAS'!$C$15:$C$320,$A244-WEEKDAY($A244,2)+1)</f>
        <v/>
      </c>
      <c r="J244" s="159">
        <f>SUMIFS('METAS EMPRESAS'!$G$15:$G$320,'METAS EMPRESAS'!$A$15:$A$320,"EJ",'METAS EMPRESAS'!$B$15:$B$320,"VIGAS",'METAS EMPRESAS'!$C$15:$C$320,$A244-WEEKDAY($A244,2)+1)</f>
        <v/>
      </c>
      <c r="K244" s="159">
        <f>SUMIFS('METAS EMPRESAS'!$G$15:$G$320,'METAS EMPRESAS'!$A$15:$A$320,"CMM",'METAS EMPRESAS'!$B$15:$B$320,"PREMONTAGEM",'METAS EMPRESAS'!$C$15:$C$320,$A244-WEEKDAY($A244,2)+1)</f>
        <v/>
      </c>
      <c r="L244" s="159">
        <f>SUMIFS('METAS EMPRESAS'!$G$15:$G$320,'METAS EMPRESAS'!$A$15:$A$320,"CMM",'METAS EMPRESAS'!$B$15:$B$320,"IÇAMENTO JOIST",'METAS EMPRESAS'!$C$15:$C$320,$A244-WEEKDAY($A244,2)+1)</f>
        <v/>
      </c>
      <c r="M244" s="159">
        <f>SUMIFS('METAS EMPRESAS'!$G$15:$G$320,'METAS EMPRESAS'!$A$15:$A$320,"CMM",'METAS EMPRESAS'!$B$15:$B$320,"VIGAS",'METAS EMPRESAS'!$C$15:$C$320,$A244-WEEKDAY($A244,2)+1)</f>
        <v/>
      </c>
      <c r="N244" s="159">
        <f>SUMIFS('METAS EMPRESAS'!$J$15:$J$320,'METAS EMPRESAS'!$A$15:$A$320,"EJ",'METAS EMPRESAS'!$B$15:$B$320,"PREMONTAGEM",'METAS EMPRESAS'!$C$15:$C$320,$A244-WEEKDAY($A244,2)+1)</f>
        <v/>
      </c>
      <c r="O244" s="159">
        <f>SUMIFS('METAS EMPRESAS'!$J$15:$J$320,'METAS EMPRESAS'!$A$15:$A$320,"EJ",'METAS EMPRESAS'!$B$15:$B$320,"IÇAMENTO JOIST",'METAS EMPRESAS'!$C$15:$C$320,$A244-WEEKDAY($A244,2)+1)</f>
        <v/>
      </c>
      <c r="P244" s="159">
        <f>SUMIFS('METAS EMPRESAS'!$J$15:$J$320,'METAS EMPRESAS'!$A$15:$A$320,"EJ",'METAS EMPRESAS'!$B$15:$B$320,"VIGAS",'METAS EMPRESAS'!$C$15:$C$320,$A244-WEEKDAY($A244,2)+1)</f>
        <v/>
      </c>
      <c r="Q244" s="159">
        <f>SUMIFS('METAS EMPRESAS'!$J$15:$J$320,'METAS EMPRESAS'!$A$15:$A$320,"CMM",'METAS EMPRESAS'!$B$15:$B$320,"PREMONTAGEM",'METAS EMPRESAS'!$C$15:$C$320,$A244-WEEKDAY($A244,2)+1)</f>
        <v/>
      </c>
      <c r="R244" s="159">
        <f>SUMIFS('METAS EMPRESAS'!$J$15:$J$320,'METAS EMPRESAS'!$A$15:$A$320,"CMM",'METAS EMPRESAS'!$B$15:$B$320,"IÇAMENTO JOIST",'METAS EMPRESAS'!$C$15:$C$320,$A244-WEEKDAY($A244,2)+1)</f>
        <v/>
      </c>
      <c r="S244" s="159">
        <f>SUMIFS('METAS EMPRESAS'!$J$15:$J$320,'METAS EMPRESAS'!$A$15:$A$320,"CMM",'METAS EMPRESAS'!$B$15:$B$320,"VIGAS",'METAS EMPRESAS'!$C$15:$C$320,$A244-WEEKDAY($A244,2)+1)</f>
        <v/>
      </c>
      <c r="T244">
        <f>--(WEEKDAY(A244,2)&lt;=5)</f>
        <v/>
      </c>
      <c r="U244" t="n">
        <v>19</v>
      </c>
      <c r="V244" t="n">
        <v>7</v>
      </c>
      <c r="W244" t="n">
        <v>0</v>
      </c>
      <c r="X244" t="n">
        <v>5</v>
      </c>
      <c r="Y244" t="n">
        <v>5</v>
      </c>
      <c r="Z244" t="n">
        <v>5</v>
      </c>
      <c r="AA244" t="n">
        <v>95</v>
      </c>
      <c r="AB244" t="n">
        <v>35</v>
      </c>
      <c r="AC244" t="n">
        <v>0</v>
      </c>
    </row>
    <row r="245">
      <c r="A245" s="317" t="n">
        <v>46466</v>
      </c>
      <c r="B245" s="159">
        <f>SUMIFS('METAS EMPRESAS'!$K$15:$K$320,'METAS EMPRESAS'!$A$15:$A$320,"EJ",'METAS EMPRESAS'!$B$15:$B$320,"PREMONTAGEM",'METAS EMPRESAS'!$C$15:$C$320,$A245-WEEKDAY($A245,2)+1)</f>
        <v/>
      </c>
      <c r="C245" s="159">
        <f>SUMIFS('METAS EMPRESAS'!$K$15:$K$320,'METAS EMPRESAS'!$A$15:$A$320,"EJ",'METAS EMPRESAS'!$B$15:$B$320,"IÇAMENTO JOIST",'METAS EMPRESAS'!$C$15:$C$320,$A245-WEEKDAY($A245,2)+1)</f>
        <v/>
      </c>
      <c r="D245" s="159">
        <f>SUMIFS('METAS EMPRESAS'!$K$15:$K$320,'METAS EMPRESAS'!$A$15:$A$320,"EJ",'METAS EMPRESAS'!$B$15:$B$320,"VIGAS",'METAS EMPRESAS'!$C$15:$C$320,$A245-WEEKDAY($A245,2)+1)</f>
        <v/>
      </c>
      <c r="E245" s="159">
        <f>SUMIFS('METAS EMPRESAS'!$K$15:$K$320,'METAS EMPRESAS'!$A$15:$A$320,"CMM",'METAS EMPRESAS'!$B$15:$B$320,"PREMONTAGEM",'METAS EMPRESAS'!$C$15:$C$320,$A245-WEEKDAY($A245,2)+1)</f>
        <v/>
      </c>
      <c r="F245" s="159">
        <f>SUMIFS('METAS EMPRESAS'!$K$15:$K$320,'METAS EMPRESAS'!$A$15:$A$320,"CMM",'METAS EMPRESAS'!$B$15:$B$320,"IÇAMENTO JOIST",'METAS EMPRESAS'!$C$15:$C$320,$A245-WEEKDAY($A245,2)+1)</f>
        <v/>
      </c>
      <c r="G245" s="159">
        <f>SUMIFS('METAS EMPRESAS'!$K$15:$K$320,'METAS EMPRESAS'!$A$15:$A$320,"CMM",'METAS EMPRESAS'!$B$15:$B$320,"VIGAS",'METAS EMPRESAS'!$C$15:$C$320,$A245-WEEKDAY($A245,2)+1)</f>
        <v/>
      </c>
      <c r="H245" s="159">
        <f>SUMIFS('METAS EMPRESAS'!$G$15:$G$320,'METAS EMPRESAS'!$A$15:$A$320,"EJ",'METAS EMPRESAS'!$B$15:$B$320,"PREMONTAGEM",'METAS EMPRESAS'!$C$15:$C$320,$A245-WEEKDAY($A245,2)+1)</f>
        <v/>
      </c>
      <c r="I245" s="159">
        <f>SUMIFS('METAS EMPRESAS'!$G$15:$G$320,'METAS EMPRESAS'!$A$15:$A$320,"EJ",'METAS EMPRESAS'!$B$15:$B$320,"IÇAMENTO JOIST",'METAS EMPRESAS'!$C$15:$C$320,$A245-WEEKDAY($A245,2)+1)</f>
        <v/>
      </c>
      <c r="J245" s="159">
        <f>SUMIFS('METAS EMPRESAS'!$G$15:$G$320,'METAS EMPRESAS'!$A$15:$A$320,"EJ",'METAS EMPRESAS'!$B$15:$B$320,"VIGAS",'METAS EMPRESAS'!$C$15:$C$320,$A245-WEEKDAY($A245,2)+1)</f>
        <v/>
      </c>
      <c r="K245" s="159">
        <f>SUMIFS('METAS EMPRESAS'!$G$15:$G$320,'METAS EMPRESAS'!$A$15:$A$320,"CMM",'METAS EMPRESAS'!$B$15:$B$320,"PREMONTAGEM",'METAS EMPRESAS'!$C$15:$C$320,$A245-WEEKDAY($A245,2)+1)</f>
        <v/>
      </c>
      <c r="L245" s="159">
        <f>SUMIFS('METAS EMPRESAS'!$G$15:$G$320,'METAS EMPRESAS'!$A$15:$A$320,"CMM",'METAS EMPRESAS'!$B$15:$B$320,"IÇAMENTO JOIST",'METAS EMPRESAS'!$C$15:$C$320,$A245-WEEKDAY($A245,2)+1)</f>
        <v/>
      </c>
      <c r="M245" s="159">
        <f>SUMIFS('METAS EMPRESAS'!$G$15:$G$320,'METAS EMPRESAS'!$A$15:$A$320,"CMM",'METAS EMPRESAS'!$B$15:$B$320,"VIGAS",'METAS EMPRESAS'!$C$15:$C$320,$A245-WEEKDAY($A245,2)+1)</f>
        <v/>
      </c>
      <c r="N245" s="159">
        <f>SUMIFS('METAS EMPRESAS'!$J$15:$J$320,'METAS EMPRESAS'!$A$15:$A$320,"EJ",'METAS EMPRESAS'!$B$15:$B$320,"PREMONTAGEM",'METAS EMPRESAS'!$C$15:$C$320,$A245-WEEKDAY($A245,2)+1)</f>
        <v/>
      </c>
      <c r="O245" s="159">
        <f>SUMIFS('METAS EMPRESAS'!$J$15:$J$320,'METAS EMPRESAS'!$A$15:$A$320,"EJ",'METAS EMPRESAS'!$B$15:$B$320,"IÇAMENTO JOIST",'METAS EMPRESAS'!$C$15:$C$320,$A245-WEEKDAY($A245,2)+1)</f>
        <v/>
      </c>
      <c r="P245" s="159">
        <f>SUMIFS('METAS EMPRESAS'!$J$15:$J$320,'METAS EMPRESAS'!$A$15:$A$320,"EJ",'METAS EMPRESAS'!$B$15:$B$320,"VIGAS",'METAS EMPRESAS'!$C$15:$C$320,$A245-WEEKDAY($A245,2)+1)</f>
        <v/>
      </c>
      <c r="Q245" s="159">
        <f>SUMIFS('METAS EMPRESAS'!$J$15:$J$320,'METAS EMPRESAS'!$A$15:$A$320,"CMM",'METAS EMPRESAS'!$B$15:$B$320,"PREMONTAGEM",'METAS EMPRESAS'!$C$15:$C$320,$A245-WEEKDAY($A245,2)+1)</f>
        <v/>
      </c>
      <c r="R245" s="159">
        <f>SUMIFS('METAS EMPRESAS'!$J$15:$J$320,'METAS EMPRESAS'!$A$15:$A$320,"CMM",'METAS EMPRESAS'!$B$15:$B$320,"IÇAMENTO JOIST",'METAS EMPRESAS'!$C$15:$C$320,$A245-WEEKDAY($A245,2)+1)</f>
        <v/>
      </c>
      <c r="S245" s="159">
        <f>SUMIFS('METAS EMPRESAS'!$J$15:$J$320,'METAS EMPRESAS'!$A$15:$A$320,"CMM",'METAS EMPRESAS'!$B$15:$B$320,"VIGAS",'METAS EMPRESAS'!$C$15:$C$320,$A245-WEEKDAY($A245,2)+1)</f>
        <v/>
      </c>
      <c r="T245">
        <f>--(WEEKDAY(A245,2)&lt;=5)</f>
        <v/>
      </c>
      <c r="U245" t="n">
        <v>19</v>
      </c>
      <c r="V245" t="n">
        <v>7</v>
      </c>
      <c r="W245" t="n">
        <v>0</v>
      </c>
      <c r="X245" t="n">
        <v>5</v>
      </c>
      <c r="Y245" t="n">
        <v>5</v>
      </c>
      <c r="Z245" t="n">
        <v>5</v>
      </c>
      <c r="AA245" t="n">
        <v>95</v>
      </c>
      <c r="AB245" t="n">
        <v>35</v>
      </c>
      <c r="AC245" t="n">
        <v>0</v>
      </c>
    </row>
    <row r="246">
      <c r="A246" s="317" t="n">
        <v>46467</v>
      </c>
      <c r="B246" s="159">
        <f>SUMIFS('METAS EMPRESAS'!$K$15:$K$320,'METAS EMPRESAS'!$A$15:$A$320,"EJ",'METAS EMPRESAS'!$B$15:$B$320,"PREMONTAGEM",'METAS EMPRESAS'!$C$15:$C$320,$A246-WEEKDAY($A246,2)+1)</f>
        <v/>
      </c>
      <c r="C246" s="159">
        <f>SUMIFS('METAS EMPRESAS'!$K$15:$K$320,'METAS EMPRESAS'!$A$15:$A$320,"EJ",'METAS EMPRESAS'!$B$15:$B$320,"IÇAMENTO JOIST",'METAS EMPRESAS'!$C$15:$C$320,$A246-WEEKDAY($A246,2)+1)</f>
        <v/>
      </c>
      <c r="D246" s="159">
        <f>SUMIFS('METAS EMPRESAS'!$K$15:$K$320,'METAS EMPRESAS'!$A$15:$A$320,"EJ",'METAS EMPRESAS'!$B$15:$B$320,"VIGAS",'METAS EMPRESAS'!$C$15:$C$320,$A246-WEEKDAY($A246,2)+1)</f>
        <v/>
      </c>
      <c r="E246" s="159">
        <f>SUMIFS('METAS EMPRESAS'!$K$15:$K$320,'METAS EMPRESAS'!$A$15:$A$320,"CMM",'METAS EMPRESAS'!$B$15:$B$320,"PREMONTAGEM",'METAS EMPRESAS'!$C$15:$C$320,$A246-WEEKDAY($A246,2)+1)</f>
        <v/>
      </c>
      <c r="F246" s="159">
        <f>SUMIFS('METAS EMPRESAS'!$K$15:$K$320,'METAS EMPRESAS'!$A$15:$A$320,"CMM",'METAS EMPRESAS'!$B$15:$B$320,"IÇAMENTO JOIST",'METAS EMPRESAS'!$C$15:$C$320,$A246-WEEKDAY($A246,2)+1)</f>
        <v/>
      </c>
      <c r="G246" s="159">
        <f>SUMIFS('METAS EMPRESAS'!$K$15:$K$320,'METAS EMPRESAS'!$A$15:$A$320,"CMM",'METAS EMPRESAS'!$B$15:$B$320,"VIGAS",'METAS EMPRESAS'!$C$15:$C$320,$A246-WEEKDAY($A246,2)+1)</f>
        <v/>
      </c>
      <c r="H246" s="159">
        <f>SUMIFS('METAS EMPRESAS'!$G$15:$G$320,'METAS EMPRESAS'!$A$15:$A$320,"EJ",'METAS EMPRESAS'!$B$15:$B$320,"PREMONTAGEM",'METAS EMPRESAS'!$C$15:$C$320,$A246-WEEKDAY($A246,2)+1)</f>
        <v/>
      </c>
      <c r="I246" s="159">
        <f>SUMIFS('METAS EMPRESAS'!$G$15:$G$320,'METAS EMPRESAS'!$A$15:$A$320,"EJ",'METAS EMPRESAS'!$B$15:$B$320,"IÇAMENTO JOIST",'METAS EMPRESAS'!$C$15:$C$320,$A246-WEEKDAY($A246,2)+1)</f>
        <v/>
      </c>
      <c r="J246" s="159">
        <f>SUMIFS('METAS EMPRESAS'!$G$15:$G$320,'METAS EMPRESAS'!$A$15:$A$320,"EJ",'METAS EMPRESAS'!$B$15:$B$320,"VIGAS",'METAS EMPRESAS'!$C$15:$C$320,$A246-WEEKDAY($A246,2)+1)</f>
        <v/>
      </c>
      <c r="K246" s="159">
        <f>SUMIFS('METAS EMPRESAS'!$G$15:$G$320,'METAS EMPRESAS'!$A$15:$A$320,"CMM",'METAS EMPRESAS'!$B$15:$B$320,"PREMONTAGEM",'METAS EMPRESAS'!$C$15:$C$320,$A246-WEEKDAY($A246,2)+1)</f>
        <v/>
      </c>
      <c r="L246" s="159">
        <f>SUMIFS('METAS EMPRESAS'!$G$15:$G$320,'METAS EMPRESAS'!$A$15:$A$320,"CMM",'METAS EMPRESAS'!$B$15:$B$320,"IÇAMENTO JOIST",'METAS EMPRESAS'!$C$15:$C$320,$A246-WEEKDAY($A246,2)+1)</f>
        <v/>
      </c>
      <c r="M246" s="159">
        <f>SUMIFS('METAS EMPRESAS'!$G$15:$G$320,'METAS EMPRESAS'!$A$15:$A$320,"CMM",'METAS EMPRESAS'!$B$15:$B$320,"VIGAS",'METAS EMPRESAS'!$C$15:$C$320,$A246-WEEKDAY($A246,2)+1)</f>
        <v/>
      </c>
      <c r="N246" s="159">
        <f>SUMIFS('METAS EMPRESAS'!$J$15:$J$320,'METAS EMPRESAS'!$A$15:$A$320,"EJ",'METAS EMPRESAS'!$B$15:$B$320,"PREMONTAGEM",'METAS EMPRESAS'!$C$15:$C$320,$A246-WEEKDAY($A246,2)+1)</f>
        <v/>
      </c>
      <c r="O246" s="159">
        <f>SUMIFS('METAS EMPRESAS'!$J$15:$J$320,'METAS EMPRESAS'!$A$15:$A$320,"EJ",'METAS EMPRESAS'!$B$15:$B$320,"IÇAMENTO JOIST",'METAS EMPRESAS'!$C$15:$C$320,$A246-WEEKDAY($A246,2)+1)</f>
        <v/>
      </c>
      <c r="P246" s="159">
        <f>SUMIFS('METAS EMPRESAS'!$J$15:$J$320,'METAS EMPRESAS'!$A$15:$A$320,"EJ",'METAS EMPRESAS'!$B$15:$B$320,"VIGAS",'METAS EMPRESAS'!$C$15:$C$320,$A246-WEEKDAY($A246,2)+1)</f>
        <v/>
      </c>
      <c r="Q246" s="159">
        <f>SUMIFS('METAS EMPRESAS'!$J$15:$J$320,'METAS EMPRESAS'!$A$15:$A$320,"CMM",'METAS EMPRESAS'!$B$15:$B$320,"PREMONTAGEM",'METAS EMPRESAS'!$C$15:$C$320,$A246-WEEKDAY($A246,2)+1)</f>
        <v/>
      </c>
      <c r="R246" s="159">
        <f>SUMIFS('METAS EMPRESAS'!$J$15:$J$320,'METAS EMPRESAS'!$A$15:$A$320,"CMM",'METAS EMPRESAS'!$B$15:$B$320,"IÇAMENTO JOIST",'METAS EMPRESAS'!$C$15:$C$320,$A246-WEEKDAY($A246,2)+1)</f>
        <v/>
      </c>
      <c r="S246" s="159">
        <f>SUMIFS('METAS EMPRESAS'!$J$15:$J$320,'METAS EMPRESAS'!$A$15:$A$320,"CMM",'METAS EMPRESAS'!$B$15:$B$320,"VIGAS",'METAS EMPRESAS'!$C$15:$C$320,$A246-WEEKDAY($A246,2)+1)</f>
        <v/>
      </c>
      <c r="T246">
        <f>--(WEEKDAY(A246,2)&lt;=5)</f>
        <v/>
      </c>
      <c r="U246" t="n">
        <v>19</v>
      </c>
      <c r="V246" t="n">
        <v>7</v>
      </c>
      <c r="W246" t="n">
        <v>0</v>
      </c>
      <c r="X246" t="n">
        <v>5</v>
      </c>
      <c r="Y246" t="n">
        <v>5</v>
      </c>
      <c r="Z246" t="n">
        <v>5</v>
      </c>
      <c r="AA246" t="n">
        <v>95</v>
      </c>
      <c r="AB246" t="n">
        <v>35</v>
      </c>
      <c r="AC246" t="n">
        <v>0</v>
      </c>
    </row>
    <row r="247">
      <c r="A247" s="317" t="n">
        <v>46468</v>
      </c>
      <c r="B247" s="159">
        <f>SUMIFS('METAS EMPRESAS'!$K$15:$K$320,'METAS EMPRESAS'!$A$15:$A$320,"EJ",'METAS EMPRESAS'!$B$15:$B$320,"PREMONTAGEM",'METAS EMPRESAS'!$C$15:$C$320,$A247-WEEKDAY($A247,2)+1)</f>
        <v/>
      </c>
      <c r="C247" s="159">
        <f>SUMIFS('METAS EMPRESAS'!$K$15:$K$320,'METAS EMPRESAS'!$A$15:$A$320,"EJ",'METAS EMPRESAS'!$B$15:$B$320,"IÇAMENTO JOIST",'METAS EMPRESAS'!$C$15:$C$320,$A247-WEEKDAY($A247,2)+1)</f>
        <v/>
      </c>
      <c r="D247" s="159">
        <f>SUMIFS('METAS EMPRESAS'!$K$15:$K$320,'METAS EMPRESAS'!$A$15:$A$320,"EJ",'METAS EMPRESAS'!$B$15:$B$320,"VIGAS",'METAS EMPRESAS'!$C$15:$C$320,$A247-WEEKDAY($A247,2)+1)</f>
        <v/>
      </c>
      <c r="E247" s="159">
        <f>SUMIFS('METAS EMPRESAS'!$K$15:$K$320,'METAS EMPRESAS'!$A$15:$A$320,"CMM",'METAS EMPRESAS'!$B$15:$B$320,"PREMONTAGEM",'METAS EMPRESAS'!$C$15:$C$320,$A247-WEEKDAY($A247,2)+1)</f>
        <v/>
      </c>
      <c r="F247" s="159">
        <f>SUMIFS('METAS EMPRESAS'!$K$15:$K$320,'METAS EMPRESAS'!$A$15:$A$320,"CMM",'METAS EMPRESAS'!$B$15:$B$320,"IÇAMENTO JOIST",'METAS EMPRESAS'!$C$15:$C$320,$A247-WEEKDAY($A247,2)+1)</f>
        <v/>
      </c>
      <c r="G247" s="159">
        <f>SUMIFS('METAS EMPRESAS'!$K$15:$K$320,'METAS EMPRESAS'!$A$15:$A$320,"CMM",'METAS EMPRESAS'!$B$15:$B$320,"VIGAS",'METAS EMPRESAS'!$C$15:$C$320,$A247-WEEKDAY($A247,2)+1)</f>
        <v/>
      </c>
      <c r="H247" s="159">
        <f>SUMIFS('METAS EMPRESAS'!$G$15:$G$320,'METAS EMPRESAS'!$A$15:$A$320,"EJ",'METAS EMPRESAS'!$B$15:$B$320,"PREMONTAGEM",'METAS EMPRESAS'!$C$15:$C$320,$A247-WEEKDAY($A247,2)+1)</f>
        <v/>
      </c>
      <c r="I247" s="159">
        <f>SUMIFS('METAS EMPRESAS'!$G$15:$G$320,'METAS EMPRESAS'!$A$15:$A$320,"EJ",'METAS EMPRESAS'!$B$15:$B$320,"IÇAMENTO JOIST",'METAS EMPRESAS'!$C$15:$C$320,$A247-WEEKDAY($A247,2)+1)</f>
        <v/>
      </c>
      <c r="J247" s="159">
        <f>SUMIFS('METAS EMPRESAS'!$G$15:$G$320,'METAS EMPRESAS'!$A$15:$A$320,"EJ",'METAS EMPRESAS'!$B$15:$B$320,"VIGAS",'METAS EMPRESAS'!$C$15:$C$320,$A247-WEEKDAY($A247,2)+1)</f>
        <v/>
      </c>
      <c r="K247" s="159">
        <f>SUMIFS('METAS EMPRESAS'!$G$15:$G$320,'METAS EMPRESAS'!$A$15:$A$320,"CMM",'METAS EMPRESAS'!$B$15:$B$320,"PREMONTAGEM",'METAS EMPRESAS'!$C$15:$C$320,$A247-WEEKDAY($A247,2)+1)</f>
        <v/>
      </c>
      <c r="L247" s="159">
        <f>SUMIFS('METAS EMPRESAS'!$G$15:$G$320,'METAS EMPRESAS'!$A$15:$A$320,"CMM",'METAS EMPRESAS'!$B$15:$B$320,"IÇAMENTO JOIST",'METAS EMPRESAS'!$C$15:$C$320,$A247-WEEKDAY($A247,2)+1)</f>
        <v/>
      </c>
      <c r="M247" s="159">
        <f>SUMIFS('METAS EMPRESAS'!$G$15:$G$320,'METAS EMPRESAS'!$A$15:$A$320,"CMM",'METAS EMPRESAS'!$B$15:$B$320,"VIGAS",'METAS EMPRESAS'!$C$15:$C$320,$A247-WEEKDAY($A247,2)+1)</f>
        <v/>
      </c>
      <c r="N247" s="159">
        <f>SUMIFS('METAS EMPRESAS'!$J$15:$J$320,'METAS EMPRESAS'!$A$15:$A$320,"EJ",'METAS EMPRESAS'!$B$15:$B$320,"PREMONTAGEM",'METAS EMPRESAS'!$C$15:$C$320,$A247-WEEKDAY($A247,2)+1)</f>
        <v/>
      </c>
      <c r="O247" s="159">
        <f>SUMIFS('METAS EMPRESAS'!$J$15:$J$320,'METAS EMPRESAS'!$A$15:$A$320,"EJ",'METAS EMPRESAS'!$B$15:$B$320,"IÇAMENTO JOIST",'METAS EMPRESAS'!$C$15:$C$320,$A247-WEEKDAY($A247,2)+1)</f>
        <v/>
      </c>
      <c r="P247" s="159">
        <f>SUMIFS('METAS EMPRESAS'!$J$15:$J$320,'METAS EMPRESAS'!$A$15:$A$320,"EJ",'METAS EMPRESAS'!$B$15:$B$320,"VIGAS",'METAS EMPRESAS'!$C$15:$C$320,$A247-WEEKDAY($A247,2)+1)</f>
        <v/>
      </c>
      <c r="Q247" s="159">
        <f>SUMIFS('METAS EMPRESAS'!$J$15:$J$320,'METAS EMPRESAS'!$A$15:$A$320,"CMM",'METAS EMPRESAS'!$B$15:$B$320,"PREMONTAGEM",'METAS EMPRESAS'!$C$15:$C$320,$A247-WEEKDAY($A247,2)+1)</f>
        <v/>
      </c>
      <c r="R247" s="159">
        <f>SUMIFS('METAS EMPRESAS'!$J$15:$J$320,'METAS EMPRESAS'!$A$15:$A$320,"CMM",'METAS EMPRESAS'!$B$15:$B$320,"IÇAMENTO JOIST",'METAS EMPRESAS'!$C$15:$C$320,$A247-WEEKDAY($A247,2)+1)</f>
        <v/>
      </c>
      <c r="S247" s="159">
        <f>SUMIFS('METAS EMPRESAS'!$J$15:$J$320,'METAS EMPRESAS'!$A$15:$A$320,"CMM",'METAS EMPRESAS'!$B$15:$B$320,"VIGAS",'METAS EMPRESAS'!$C$15:$C$320,$A247-WEEKDAY($A247,2)+1)</f>
        <v/>
      </c>
      <c r="T247">
        <f>--(WEEKDAY(A247,2)&lt;=5)</f>
        <v/>
      </c>
      <c r="U247" t="n">
        <v>19</v>
      </c>
      <c r="V247" t="n">
        <v>7</v>
      </c>
      <c r="W247" t="n">
        <v>0</v>
      </c>
      <c r="X247" t="n">
        <v>5</v>
      </c>
      <c r="Y247" t="n">
        <v>5</v>
      </c>
      <c r="Z247" t="n">
        <v>5</v>
      </c>
      <c r="AA247" t="n">
        <v>95</v>
      </c>
      <c r="AB247" t="n">
        <v>35</v>
      </c>
      <c r="AC247" t="n">
        <v>0</v>
      </c>
    </row>
    <row r="248">
      <c r="A248" s="317" t="n">
        <v>46469</v>
      </c>
      <c r="B248" s="159">
        <f>SUMIFS('METAS EMPRESAS'!$K$15:$K$320,'METAS EMPRESAS'!$A$15:$A$320,"EJ",'METAS EMPRESAS'!$B$15:$B$320,"PREMONTAGEM",'METAS EMPRESAS'!$C$15:$C$320,$A248-WEEKDAY($A248,2)+1)</f>
        <v/>
      </c>
      <c r="C248" s="159">
        <f>SUMIFS('METAS EMPRESAS'!$K$15:$K$320,'METAS EMPRESAS'!$A$15:$A$320,"EJ",'METAS EMPRESAS'!$B$15:$B$320,"IÇAMENTO JOIST",'METAS EMPRESAS'!$C$15:$C$320,$A248-WEEKDAY($A248,2)+1)</f>
        <v/>
      </c>
      <c r="D248" s="159">
        <f>SUMIFS('METAS EMPRESAS'!$K$15:$K$320,'METAS EMPRESAS'!$A$15:$A$320,"EJ",'METAS EMPRESAS'!$B$15:$B$320,"VIGAS",'METAS EMPRESAS'!$C$15:$C$320,$A248-WEEKDAY($A248,2)+1)</f>
        <v/>
      </c>
      <c r="E248" s="159">
        <f>SUMIFS('METAS EMPRESAS'!$K$15:$K$320,'METAS EMPRESAS'!$A$15:$A$320,"CMM",'METAS EMPRESAS'!$B$15:$B$320,"PREMONTAGEM",'METAS EMPRESAS'!$C$15:$C$320,$A248-WEEKDAY($A248,2)+1)</f>
        <v/>
      </c>
      <c r="F248" s="159">
        <f>SUMIFS('METAS EMPRESAS'!$K$15:$K$320,'METAS EMPRESAS'!$A$15:$A$320,"CMM",'METAS EMPRESAS'!$B$15:$B$320,"IÇAMENTO JOIST",'METAS EMPRESAS'!$C$15:$C$320,$A248-WEEKDAY($A248,2)+1)</f>
        <v/>
      </c>
      <c r="G248" s="159">
        <f>SUMIFS('METAS EMPRESAS'!$K$15:$K$320,'METAS EMPRESAS'!$A$15:$A$320,"CMM",'METAS EMPRESAS'!$B$15:$B$320,"VIGAS",'METAS EMPRESAS'!$C$15:$C$320,$A248-WEEKDAY($A248,2)+1)</f>
        <v/>
      </c>
      <c r="H248" s="159">
        <f>SUMIFS('METAS EMPRESAS'!$G$15:$G$320,'METAS EMPRESAS'!$A$15:$A$320,"EJ",'METAS EMPRESAS'!$B$15:$B$320,"PREMONTAGEM",'METAS EMPRESAS'!$C$15:$C$320,$A248-WEEKDAY($A248,2)+1)</f>
        <v/>
      </c>
      <c r="I248" s="159">
        <f>SUMIFS('METAS EMPRESAS'!$G$15:$G$320,'METAS EMPRESAS'!$A$15:$A$320,"EJ",'METAS EMPRESAS'!$B$15:$B$320,"IÇAMENTO JOIST",'METAS EMPRESAS'!$C$15:$C$320,$A248-WEEKDAY($A248,2)+1)</f>
        <v/>
      </c>
      <c r="J248" s="159">
        <f>SUMIFS('METAS EMPRESAS'!$G$15:$G$320,'METAS EMPRESAS'!$A$15:$A$320,"EJ",'METAS EMPRESAS'!$B$15:$B$320,"VIGAS",'METAS EMPRESAS'!$C$15:$C$320,$A248-WEEKDAY($A248,2)+1)</f>
        <v/>
      </c>
      <c r="K248" s="159">
        <f>SUMIFS('METAS EMPRESAS'!$G$15:$G$320,'METAS EMPRESAS'!$A$15:$A$320,"CMM",'METAS EMPRESAS'!$B$15:$B$320,"PREMONTAGEM",'METAS EMPRESAS'!$C$15:$C$320,$A248-WEEKDAY($A248,2)+1)</f>
        <v/>
      </c>
      <c r="L248" s="159">
        <f>SUMIFS('METAS EMPRESAS'!$G$15:$G$320,'METAS EMPRESAS'!$A$15:$A$320,"CMM",'METAS EMPRESAS'!$B$15:$B$320,"IÇAMENTO JOIST",'METAS EMPRESAS'!$C$15:$C$320,$A248-WEEKDAY($A248,2)+1)</f>
        <v/>
      </c>
      <c r="M248" s="159">
        <f>SUMIFS('METAS EMPRESAS'!$G$15:$G$320,'METAS EMPRESAS'!$A$15:$A$320,"CMM",'METAS EMPRESAS'!$B$15:$B$320,"VIGAS",'METAS EMPRESAS'!$C$15:$C$320,$A248-WEEKDAY($A248,2)+1)</f>
        <v/>
      </c>
      <c r="N248" s="159">
        <f>SUMIFS('METAS EMPRESAS'!$J$15:$J$320,'METAS EMPRESAS'!$A$15:$A$320,"EJ",'METAS EMPRESAS'!$B$15:$B$320,"PREMONTAGEM",'METAS EMPRESAS'!$C$15:$C$320,$A248-WEEKDAY($A248,2)+1)</f>
        <v/>
      </c>
      <c r="O248" s="159">
        <f>SUMIFS('METAS EMPRESAS'!$J$15:$J$320,'METAS EMPRESAS'!$A$15:$A$320,"EJ",'METAS EMPRESAS'!$B$15:$B$320,"IÇAMENTO JOIST",'METAS EMPRESAS'!$C$15:$C$320,$A248-WEEKDAY($A248,2)+1)</f>
        <v/>
      </c>
      <c r="P248" s="159">
        <f>SUMIFS('METAS EMPRESAS'!$J$15:$J$320,'METAS EMPRESAS'!$A$15:$A$320,"EJ",'METAS EMPRESAS'!$B$15:$B$320,"VIGAS",'METAS EMPRESAS'!$C$15:$C$320,$A248-WEEKDAY($A248,2)+1)</f>
        <v/>
      </c>
      <c r="Q248" s="159">
        <f>SUMIFS('METAS EMPRESAS'!$J$15:$J$320,'METAS EMPRESAS'!$A$15:$A$320,"CMM",'METAS EMPRESAS'!$B$15:$B$320,"PREMONTAGEM",'METAS EMPRESAS'!$C$15:$C$320,$A248-WEEKDAY($A248,2)+1)</f>
        <v/>
      </c>
      <c r="R248" s="159">
        <f>SUMIFS('METAS EMPRESAS'!$J$15:$J$320,'METAS EMPRESAS'!$A$15:$A$320,"CMM",'METAS EMPRESAS'!$B$15:$B$320,"IÇAMENTO JOIST",'METAS EMPRESAS'!$C$15:$C$320,$A248-WEEKDAY($A248,2)+1)</f>
        <v/>
      </c>
      <c r="S248" s="159">
        <f>SUMIFS('METAS EMPRESAS'!$J$15:$J$320,'METAS EMPRESAS'!$A$15:$A$320,"CMM",'METAS EMPRESAS'!$B$15:$B$320,"VIGAS",'METAS EMPRESAS'!$C$15:$C$320,$A248-WEEKDAY($A248,2)+1)</f>
        <v/>
      </c>
      <c r="T248">
        <f>--(WEEKDAY(A248,2)&lt;=5)</f>
        <v/>
      </c>
      <c r="U248" t="n">
        <v>19</v>
      </c>
      <c r="V248" t="n">
        <v>7</v>
      </c>
      <c r="W248" t="n">
        <v>0</v>
      </c>
      <c r="X248" t="n">
        <v>5</v>
      </c>
      <c r="Y248" t="n">
        <v>5</v>
      </c>
      <c r="Z248" t="n">
        <v>5</v>
      </c>
      <c r="AA248" t="n">
        <v>95</v>
      </c>
      <c r="AB248" t="n">
        <v>35</v>
      </c>
      <c r="AC248" t="n">
        <v>0</v>
      </c>
    </row>
    <row r="249">
      <c r="A249" s="317" t="n">
        <v>46470</v>
      </c>
      <c r="B249" s="159">
        <f>SUMIFS('METAS EMPRESAS'!$K$15:$K$320,'METAS EMPRESAS'!$A$15:$A$320,"EJ",'METAS EMPRESAS'!$B$15:$B$320,"PREMONTAGEM",'METAS EMPRESAS'!$C$15:$C$320,$A249-WEEKDAY($A249,2)+1)</f>
        <v/>
      </c>
      <c r="C249" s="159">
        <f>SUMIFS('METAS EMPRESAS'!$K$15:$K$320,'METAS EMPRESAS'!$A$15:$A$320,"EJ",'METAS EMPRESAS'!$B$15:$B$320,"IÇAMENTO JOIST",'METAS EMPRESAS'!$C$15:$C$320,$A249-WEEKDAY($A249,2)+1)</f>
        <v/>
      </c>
      <c r="D249" s="159">
        <f>SUMIFS('METAS EMPRESAS'!$K$15:$K$320,'METAS EMPRESAS'!$A$15:$A$320,"EJ",'METAS EMPRESAS'!$B$15:$B$320,"VIGAS",'METAS EMPRESAS'!$C$15:$C$320,$A249-WEEKDAY($A249,2)+1)</f>
        <v/>
      </c>
      <c r="E249" s="159">
        <f>SUMIFS('METAS EMPRESAS'!$K$15:$K$320,'METAS EMPRESAS'!$A$15:$A$320,"CMM",'METAS EMPRESAS'!$B$15:$B$320,"PREMONTAGEM",'METAS EMPRESAS'!$C$15:$C$320,$A249-WEEKDAY($A249,2)+1)</f>
        <v/>
      </c>
      <c r="F249" s="159">
        <f>SUMIFS('METAS EMPRESAS'!$K$15:$K$320,'METAS EMPRESAS'!$A$15:$A$320,"CMM",'METAS EMPRESAS'!$B$15:$B$320,"IÇAMENTO JOIST",'METAS EMPRESAS'!$C$15:$C$320,$A249-WEEKDAY($A249,2)+1)</f>
        <v/>
      </c>
      <c r="G249" s="159">
        <f>SUMIFS('METAS EMPRESAS'!$K$15:$K$320,'METAS EMPRESAS'!$A$15:$A$320,"CMM",'METAS EMPRESAS'!$B$15:$B$320,"VIGAS",'METAS EMPRESAS'!$C$15:$C$320,$A249-WEEKDAY($A249,2)+1)</f>
        <v/>
      </c>
      <c r="H249" s="159">
        <f>SUMIFS('METAS EMPRESAS'!$G$15:$G$320,'METAS EMPRESAS'!$A$15:$A$320,"EJ",'METAS EMPRESAS'!$B$15:$B$320,"PREMONTAGEM",'METAS EMPRESAS'!$C$15:$C$320,$A249-WEEKDAY($A249,2)+1)</f>
        <v/>
      </c>
      <c r="I249" s="159">
        <f>SUMIFS('METAS EMPRESAS'!$G$15:$G$320,'METAS EMPRESAS'!$A$15:$A$320,"EJ",'METAS EMPRESAS'!$B$15:$B$320,"IÇAMENTO JOIST",'METAS EMPRESAS'!$C$15:$C$320,$A249-WEEKDAY($A249,2)+1)</f>
        <v/>
      </c>
      <c r="J249" s="159">
        <f>SUMIFS('METAS EMPRESAS'!$G$15:$G$320,'METAS EMPRESAS'!$A$15:$A$320,"EJ",'METAS EMPRESAS'!$B$15:$B$320,"VIGAS",'METAS EMPRESAS'!$C$15:$C$320,$A249-WEEKDAY($A249,2)+1)</f>
        <v/>
      </c>
      <c r="K249" s="159">
        <f>SUMIFS('METAS EMPRESAS'!$G$15:$G$320,'METAS EMPRESAS'!$A$15:$A$320,"CMM",'METAS EMPRESAS'!$B$15:$B$320,"PREMONTAGEM",'METAS EMPRESAS'!$C$15:$C$320,$A249-WEEKDAY($A249,2)+1)</f>
        <v/>
      </c>
      <c r="L249" s="159">
        <f>SUMIFS('METAS EMPRESAS'!$G$15:$G$320,'METAS EMPRESAS'!$A$15:$A$320,"CMM",'METAS EMPRESAS'!$B$15:$B$320,"IÇAMENTO JOIST",'METAS EMPRESAS'!$C$15:$C$320,$A249-WEEKDAY($A249,2)+1)</f>
        <v/>
      </c>
      <c r="M249" s="159">
        <f>SUMIFS('METAS EMPRESAS'!$G$15:$G$320,'METAS EMPRESAS'!$A$15:$A$320,"CMM",'METAS EMPRESAS'!$B$15:$B$320,"VIGAS",'METAS EMPRESAS'!$C$15:$C$320,$A249-WEEKDAY($A249,2)+1)</f>
        <v/>
      </c>
      <c r="N249" s="159">
        <f>SUMIFS('METAS EMPRESAS'!$J$15:$J$320,'METAS EMPRESAS'!$A$15:$A$320,"EJ",'METAS EMPRESAS'!$B$15:$B$320,"PREMONTAGEM",'METAS EMPRESAS'!$C$15:$C$320,$A249-WEEKDAY($A249,2)+1)</f>
        <v/>
      </c>
      <c r="O249" s="159">
        <f>SUMIFS('METAS EMPRESAS'!$J$15:$J$320,'METAS EMPRESAS'!$A$15:$A$320,"EJ",'METAS EMPRESAS'!$B$15:$B$320,"IÇAMENTO JOIST",'METAS EMPRESAS'!$C$15:$C$320,$A249-WEEKDAY($A249,2)+1)</f>
        <v/>
      </c>
      <c r="P249" s="159">
        <f>SUMIFS('METAS EMPRESAS'!$J$15:$J$320,'METAS EMPRESAS'!$A$15:$A$320,"EJ",'METAS EMPRESAS'!$B$15:$B$320,"VIGAS",'METAS EMPRESAS'!$C$15:$C$320,$A249-WEEKDAY($A249,2)+1)</f>
        <v/>
      </c>
      <c r="Q249" s="159">
        <f>SUMIFS('METAS EMPRESAS'!$J$15:$J$320,'METAS EMPRESAS'!$A$15:$A$320,"CMM",'METAS EMPRESAS'!$B$15:$B$320,"PREMONTAGEM",'METAS EMPRESAS'!$C$15:$C$320,$A249-WEEKDAY($A249,2)+1)</f>
        <v/>
      </c>
      <c r="R249" s="159">
        <f>SUMIFS('METAS EMPRESAS'!$J$15:$J$320,'METAS EMPRESAS'!$A$15:$A$320,"CMM",'METAS EMPRESAS'!$B$15:$B$320,"IÇAMENTO JOIST",'METAS EMPRESAS'!$C$15:$C$320,$A249-WEEKDAY($A249,2)+1)</f>
        <v/>
      </c>
      <c r="S249" s="159">
        <f>SUMIFS('METAS EMPRESAS'!$J$15:$J$320,'METAS EMPRESAS'!$A$15:$A$320,"CMM",'METAS EMPRESAS'!$B$15:$B$320,"VIGAS",'METAS EMPRESAS'!$C$15:$C$320,$A249-WEEKDAY($A249,2)+1)</f>
        <v/>
      </c>
      <c r="T249">
        <f>--(WEEKDAY(A249,2)&lt;=5)</f>
        <v/>
      </c>
      <c r="U249" t="n">
        <v>19</v>
      </c>
      <c r="V249" t="n">
        <v>7</v>
      </c>
      <c r="W249" t="n">
        <v>0</v>
      </c>
      <c r="X249" t="n">
        <v>5</v>
      </c>
      <c r="Y249" t="n">
        <v>5</v>
      </c>
      <c r="Z249" t="n">
        <v>5</v>
      </c>
      <c r="AA249" t="n">
        <v>95</v>
      </c>
      <c r="AB249" t="n">
        <v>35</v>
      </c>
      <c r="AC249" t="n">
        <v>0</v>
      </c>
    </row>
    <row r="250">
      <c r="A250" s="317" t="n">
        <v>46471</v>
      </c>
      <c r="B250" s="159">
        <f>SUMIFS('METAS EMPRESAS'!$K$15:$K$320,'METAS EMPRESAS'!$A$15:$A$320,"EJ",'METAS EMPRESAS'!$B$15:$B$320,"PREMONTAGEM",'METAS EMPRESAS'!$C$15:$C$320,$A250-WEEKDAY($A250,2)+1)</f>
        <v/>
      </c>
      <c r="C250" s="159">
        <f>SUMIFS('METAS EMPRESAS'!$K$15:$K$320,'METAS EMPRESAS'!$A$15:$A$320,"EJ",'METAS EMPRESAS'!$B$15:$B$320,"IÇAMENTO JOIST",'METAS EMPRESAS'!$C$15:$C$320,$A250-WEEKDAY($A250,2)+1)</f>
        <v/>
      </c>
      <c r="D250" s="159">
        <f>SUMIFS('METAS EMPRESAS'!$K$15:$K$320,'METAS EMPRESAS'!$A$15:$A$320,"EJ",'METAS EMPRESAS'!$B$15:$B$320,"VIGAS",'METAS EMPRESAS'!$C$15:$C$320,$A250-WEEKDAY($A250,2)+1)</f>
        <v/>
      </c>
      <c r="E250" s="159">
        <f>SUMIFS('METAS EMPRESAS'!$K$15:$K$320,'METAS EMPRESAS'!$A$15:$A$320,"CMM",'METAS EMPRESAS'!$B$15:$B$320,"PREMONTAGEM",'METAS EMPRESAS'!$C$15:$C$320,$A250-WEEKDAY($A250,2)+1)</f>
        <v/>
      </c>
      <c r="F250" s="159">
        <f>SUMIFS('METAS EMPRESAS'!$K$15:$K$320,'METAS EMPRESAS'!$A$15:$A$320,"CMM",'METAS EMPRESAS'!$B$15:$B$320,"IÇAMENTO JOIST",'METAS EMPRESAS'!$C$15:$C$320,$A250-WEEKDAY($A250,2)+1)</f>
        <v/>
      </c>
      <c r="G250" s="159">
        <f>SUMIFS('METAS EMPRESAS'!$K$15:$K$320,'METAS EMPRESAS'!$A$15:$A$320,"CMM",'METAS EMPRESAS'!$B$15:$B$320,"VIGAS",'METAS EMPRESAS'!$C$15:$C$320,$A250-WEEKDAY($A250,2)+1)</f>
        <v/>
      </c>
      <c r="H250" s="159">
        <f>SUMIFS('METAS EMPRESAS'!$G$15:$G$320,'METAS EMPRESAS'!$A$15:$A$320,"EJ",'METAS EMPRESAS'!$B$15:$B$320,"PREMONTAGEM",'METAS EMPRESAS'!$C$15:$C$320,$A250-WEEKDAY($A250,2)+1)</f>
        <v/>
      </c>
      <c r="I250" s="159">
        <f>SUMIFS('METAS EMPRESAS'!$G$15:$G$320,'METAS EMPRESAS'!$A$15:$A$320,"EJ",'METAS EMPRESAS'!$B$15:$B$320,"IÇAMENTO JOIST",'METAS EMPRESAS'!$C$15:$C$320,$A250-WEEKDAY($A250,2)+1)</f>
        <v/>
      </c>
      <c r="J250" s="159">
        <f>SUMIFS('METAS EMPRESAS'!$G$15:$G$320,'METAS EMPRESAS'!$A$15:$A$320,"EJ",'METAS EMPRESAS'!$B$15:$B$320,"VIGAS",'METAS EMPRESAS'!$C$15:$C$320,$A250-WEEKDAY($A250,2)+1)</f>
        <v/>
      </c>
      <c r="K250" s="159">
        <f>SUMIFS('METAS EMPRESAS'!$G$15:$G$320,'METAS EMPRESAS'!$A$15:$A$320,"CMM",'METAS EMPRESAS'!$B$15:$B$320,"PREMONTAGEM",'METAS EMPRESAS'!$C$15:$C$320,$A250-WEEKDAY($A250,2)+1)</f>
        <v/>
      </c>
      <c r="L250" s="159">
        <f>SUMIFS('METAS EMPRESAS'!$G$15:$G$320,'METAS EMPRESAS'!$A$15:$A$320,"CMM",'METAS EMPRESAS'!$B$15:$B$320,"IÇAMENTO JOIST",'METAS EMPRESAS'!$C$15:$C$320,$A250-WEEKDAY($A250,2)+1)</f>
        <v/>
      </c>
      <c r="M250" s="159">
        <f>SUMIFS('METAS EMPRESAS'!$G$15:$G$320,'METAS EMPRESAS'!$A$15:$A$320,"CMM",'METAS EMPRESAS'!$B$15:$B$320,"VIGAS",'METAS EMPRESAS'!$C$15:$C$320,$A250-WEEKDAY($A250,2)+1)</f>
        <v/>
      </c>
      <c r="N250" s="159">
        <f>SUMIFS('METAS EMPRESAS'!$J$15:$J$320,'METAS EMPRESAS'!$A$15:$A$320,"EJ",'METAS EMPRESAS'!$B$15:$B$320,"PREMONTAGEM",'METAS EMPRESAS'!$C$15:$C$320,$A250-WEEKDAY($A250,2)+1)</f>
        <v/>
      </c>
      <c r="O250" s="159">
        <f>SUMIFS('METAS EMPRESAS'!$J$15:$J$320,'METAS EMPRESAS'!$A$15:$A$320,"EJ",'METAS EMPRESAS'!$B$15:$B$320,"IÇAMENTO JOIST",'METAS EMPRESAS'!$C$15:$C$320,$A250-WEEKDAY($A250,2)+1)</f>
        <v/>
      </c>
      <c r="P250" s="159">
        <f>SUMIFS('METAS EMPRESAS'!$J$15:$J$320,'METAS EMPRESAS'!$A$15:$A$320,"EJ",'METAS EMPRESAS'!$B$15:$B$320,"VIGAS",'METAS EMPRESAS'!$C$15:$C$320,$A250-WEEKDAY($A250,2)+1)</f>
        <v/>
      </c>
      <c r="Q250" s="159">
        <f>SUMIFS('METAS EMPRESAS'!$J$15:$J$320,'METAS EMPRESAS'!$A$15:$A$320,"CMM",'METAS EMPRESAS'!$B$15:$B$320,"PREMONTAGEM",'METAS EMPRESAS'!$C$15:$C$320,$A250-WEEKDAY($A250,2)+1)</f>
        <v/>
      </c>
      <c r="R250" s="159">
        <f>SUMIFS('METAS EMPRESAS'!$J$15:$J$320,'METAS EMPRESAS'!$A$15:$A$320,"CMM",'METAS EMPRESAS'!$B$15:$B$320,"IÇAMENTO JOIST",'METAS EMPRESAS'!$C$15:$C$320,$A250-WEEKDAY($A250,2)+1)</f>
        <v/>
      </c>
      <c r="S250" s="159">
        <f>SUMIFS('METAS EMPRESAS'!$J$15:$J$320,'METAS EMPRESAS'!$A$15:$A$320,"CMM",'METAS EMPRESAS'!$B$15:$B$320,"VIGAS",'METAS EMPRESAS'!$C$15:$C$320,$A250-WEEKDAY($A250,2)+1)</f>
        <v/>
      </c>
      <c r="T250">
        <f>--(WEEKDAY(A250,2)&lt;=5)</f>
        <v/>
      </c>
      <c r="U250" t="n">
        <v>19</v>
      </c>
      <c r="V250" t="n">
        <v>7</v>
      </c>
      <c r="W250" t="n">
        <v>0</v>
      </c>
      <c r="X250" t="n">
        <v>5</v>
      </c>
      <c r="Y250" t="n">
        <v>5</v>
      </c>
      <c r="Z250" t="n">
        <v>5</v>
      </c>
      <c r="AA250" t="n">
        <v>95</v>
      </c>
      <c r="AB250" t="n">
        <v>35</v>
      </c>
      <c r="AC250" t="n">
        <v>0</v>
      </c>
    </row>
    <row r="251">
      <c r="A251" s="317" t="n">
        <v>46472</v>
      </c>
      <c r="B251" s="159">
        <f>SUMIFS('METAS EMPRESAS'!$K$15:$K$320,'METAS EMPRESAS'!$A$15:$A$320,"EJ",'METAS EMPRESAS'!$B$15:$B$320,"PREMONTAGEM",'METAS EMPRESAS'!$C$15:$C$320,$A251-WEEKDAY($A251,2)+1)</f>
        <v/>
      </c>
      <c r="C251" s="159">
        <f>SUMIFS('METAS EMPRESAS'!$K$15:$K$320,'METAS EMPRESAS'!$A$15:$A$320,"EJ",'METAS EMPRESAS'!$B$15:$B$320,"IÇAMENTO JOIST",'METAS EMPRESAS'!$C$15:$C$320,$A251-WEEKDAY($A251,2)+1)</f>
        <v/>
      </c>
      <c r="D251" s="159">
        <f>SUMIFS('METAS EMPRESAS'!$K$15:$K$320,'METAS EMPRESAS'!$A$15:$A$320,"EJ",'METAS EMPRESAS'!$B$15:$B$320,"VIGAS",'METAS EMPRESAS'!$C$15:$C$320,$A251-WEEKDAY($A251,2)+1)</f>
        <v/>
      </c>
      <c r="E251" s="159">
        <f>SUMIFS('METAS EMPRESAS'!$K$15:$K$320,'METAS EMPRESAS'!$A$15:$A$320,"CMM",'METAS EMPRESAS'!$B$15:$B$320,"PREMONTAGEM",'METAS EMPRESAS'!$C$15:$C$320,$A251-WEEKDAY($A251,2)+1)</f>
        <v/>
      </c>
      <c r="F251" s="159">
        <f>SUMIFS('METAS EMPRESAS'!$K$15:$K$320,'METAS EMPRESAS'!$A$15:$A$320,"CMM",'METAS EMPRESAS'!$B$15:$B$320,"IÇAMENTO JOIST",'METAS EMPRESAS'!$C$15:$C$320,$A251-WEEKDAY($A251,2)+1)</f>
        <v/>
      </c>
      <c r="G251" s="159">
        <f>SUMIFS('METAS EMPRESAS'!$K$15:$K$320,'METAS EMPRESAS'!$A$15:$A$320,"CMM",'METAS EMPRESAS'!$B$15:$B$320,"VIGAS",'METAS EMPRESAS'!$C$15:$C$320,$A251-WEEKDAY($A251,2)+1)</f>
        <v/>
      </c>
      <c r="H251" s="159">
        <f>SUMIFS('METAS EMPRESAS'!$G$15:$G$320,'METAS EMPRESAS'!$A$15:$A$320,"EJ",'METAS EMPRESAS'!$B$15:$B$320,"PREMONTAGEM",'METAS EMPRESAS'!$C$15:$C$320,$A251-WEEKDAY($A251,2)+1)</f>
        <v/>
      </c>
      <c r="I251" s="159">
        <f>SUMIFS('METAS EMPRESAS'!$G$15:$G$320,'METAS EMPRESAS'!$A$15:$A$320,"EJ",'METAS EMPRESAS'!$B$15:$B$320,"IÇAMENTO JOIST",'METAS EMPRESAS'!$C$15:$C$320,$A251-WEEKDAY($A251,2)+1)</f>
        <v/>
      </c>
      <c r="J251" s="159">
        <f>SUMIFS('METAS EMPRESAS'!$G$15:$G$320,'METAS EMPRESAS'!$A$15:$A$320,"EJ",'METAS EMPRESAS'!$B$15:$B$320,"VIGAS",'METAS EMPRESAS'!$C$15:$C$320,$A251-WEEKDAY($A251,2)+1)</f>
        <v/>
      </c>
      <c r="K251" s="159">
        <f>SUMIFS('METAS EMPRESAS'!$G$15:$G$320,'METAS EMPRESAS'!$A$15:$A$320,"CMM",'METAS EMPRESAS'!$B$15:$B$320,"PREMONTAGEM",'METAS EMPRESAS'!$C$15:$C$320,$A251-WEEKDAY($A251,2)+1)</f>
        <v/>
      </c>
      <c r="L251" s="159">
        <f>SUMIFS('METAS EMPRESAS'!$G$15:$G$320,'METAS EMPRESAS'!$A$15:$A$320,"CMM",'METAS EMPRESAS'!$B$15:$B$320,"IÇAMENTO JOIST",'METAS EMPRESAS'!$C$15:$C$320,$A251-WEEKDAY($A251,2)+1)</f>
        <v/>
      </c>
      <c r="M251" s="159">
        <f>SUMIFS('METAS EMPRESAS'!$G$15:$G$320,'METAS EMPRESAS'!$A$15:$A$320,"CMM",'METAS EMPRESAS'!$B$15:$B$320,"VIGAS",'METAS EMPRESAS'!$C$15:$C$320,$A251-WEEKDAY($A251,2)+1)</f>
        <v/>
      </c>
      <c r="N251" s="159">
        <f>SUMIFS('METAS EMPRESAS'!$J$15:$J$320,'METAS EMPRESAS'!$A$15:$A$320,"EJ",'METAS EMPRESAS'!$B$15:$B$320,"PREMONTAGEM",'METAS EMPRESAS'!$C$15:$C$320,$A251-WEEKDAY($A251,2)+1)</f>
        <v/>
      </c>
      <c r="O251" s="159">
        <f>SUMIFS('METAS EMPRESAS'!$J$15:$J$320,'METAS EMPRESAS'!$A$15:$A$320,"EJ",'METAS EMPRESAS'!$B$15:$B$320,"IÇAMENTO JOIST",'METAS EMPRESAS'!$C$15:$C$320,$A251-WEEKDAY($A251,2)+1)</f>
        <v/>
      </c>
      <c r="P251" s="159">
        <f>SUMIFS('METAS EMPRESAS'!$J$15:$J$320,'METAS EMPRESAS'!$A$15:$A$320,"EJ",'METAS EMPRESAS'!$B$15:$B$320,"VIGAS",'METAS EMPRESAS'!$C$15:$C$320,$A251-WEEKDAY($A251,2)+1)</f>
        <v/>
      </c>
      <c r="Q251" s="159">
        <f>SUMIFS('METAS EMPRESAS'!$J$15:$J$320,'METAS EMPRESAS'!$A$15:$A$320,"CMM",'METAS EMPRESAS'!$B$15:$B$320,"PREMONTAGEM",'METAS EMPRESAS'!$C$15:$C$320,$A251-WEEKDAY($A251,2)+1)</f>
        <v/>
      </c>
      <c r="R251" s="159">
        <f>SUMIFS('METAS EMPRESAS'!$J$15:$J$320,'METAS EMPRESAS'!$A$15:$A$320,"CMM",'METAS EMPRESAS'!$B$15:$B$320,"IÇAMENTO JOIST",'METAS EMPRESAS'!$C$15:$C$320,$A251-WEEKDAY($A251,2)+1)</f>
        <v/>
      </c>
      <c r="S251" s="159">
        <f>SUMIFS('METAS EMPRESAS'!$J$15:$J$320,'METAS EMPRESAS'!$A$15:$A$320,"CMM",'METAS EMPRESAS'!$B$15:$B$320,"VIGAS",'METAS EMPRESAS'!$C$15:$C$320,$A251-WEEKDAY($A251,2)+1)</f>
        <v/>
      </c>
      <c r="T251">
        <f>--(WEEKDAY(A251,2)&lt;=5)</f>
        <v/>
      </c>
      <c r="U251" t="n">
        <v>19</v>
      </c>
      <c r="V251" t="n">
        <v>7</v>
      </c>
      <c r="W251" t="n">
        <v>0</v>
      </c>
      <c r="X251" t="n">
        <v>5</v>
      </c>
      <c r="Y251" t="n">
        <v>5</v>
      </c>
      <c r="Z251" t="n">
        <v>5</v>
      </c>
      <c r="AA251" t="n">
        <v>95</v>
      </c>
      <c r="AB251" t="n">
        <v>35</v>
      </c>
      <c r="AC251" t="n">
        <v>0</v>
      </c>
    </row>
    <row r="252">
      <c r="A252" s="317" t="n">
        <v>46473</v>
      </c>
      <c r="B252" s="159">
        <f>SUMIFS('METAS EMPRESAS'!$K$15:$K$320,'METAS EMPRESAS'!$A$15:$A$320,"EJ",'METAS EMPRESAS'!$B$15:$B$320,"PREMONTAGEM",'METAS EMPRESAS'!$C$15:$C$320,$A252-WEEKDAY($A252,2)+1)</f>
        <v/>
      </c>
      <c r="C252" s="159">
        <f>SUMIFS('METAS EMPRESAS'!$K$15:$K$320,'METAS EMPRESAS'!$A$15:$A$320,"EJ",'METAS EMPRESAS'!$B$15:$B$320,"IÇAMENTO JOIST",'METAS EMPRESAS'!$C$15:$C$320,$A252-WEEKDAY($A252,2)+1)</f>
        <v/>
      </c>
      <c r="D252" s="159">
        <f>SUMIFS('METAS EMPRESAS'!$K$15:$K$320,'METAS EMPRESAS'!$A$15:$A$320,"EJ",'METAS EMPRESAS'!$B$15:$B$320,"VIGAS",'METAS EMPRESAS'!$C$15:$C$320,$A252-WEEKDAY($A252,2)+1)</f>
        <v/>
      </c>
      <c r="E252" s="159">
        <f>SUMIFS('METAS EMPRESAS'!$K$15:$K$320,'METAS EMPRESAS'!$A$15:$A$320,"CMM",'METAS EMPRESAS'!$B$15:$B$320,"PREMONTAGEM",'METAS EMPRESAS'!$C$15:$C$320,$A252-WEEKDAY($A252,2)+1)</f>
        <v/>
      </c>
      <c r="F252" s="159">
        <f>SUMIFS('METAS EMPRESAS'!$K$15:$K$320,'METAS EMPRESAS'!$A$15:$A$320,"CMM",'METAS EMPRESAS'!$B$15:$B$320,"IÇAMENTO JOIST",'METAS EMPRESAS'!$C$15:$C$320,$A252-WEEKDAY($A252,2)+1)</f>
        <v/>
      </c>
      <c r="G252" s="159">
        <f>SUMIFS('METAS EMPRESAS'!$K$15:$K$320,'METAS EMPRESAS'!$A$15:$A$320,"CMM",'METAS EMPRESAS'!$B$15:$B$320,"VIGAS",'METAS EMPRESAS'!$C$15:$C$320,$A252-WEEKDAY($A252,2)+1)</f>
        <v/>
      </c>
      <c r="H252" s="159">
        <f>SUMIFS('METAS EMPRESAS'!$G$15:$G$320,'METAS EMPRESAS'!$A$15:$A$320,"EJ",'METAS EMPRESAS'!$B$15:$B$320,"PREMONTAGEM",'METAS EMPRESAS'!$C$15:$C$320,$A252-WEEKDAY($A252,2)+1)</f>
        <v/>
      </c>
      <c r="I252" s="159">
        <f>SUMIFS('METAS EMPRESAS'!$G$15:$G$320,'METAS EMPRESAS'!$A$15:$A$320,"EJ",'METAS EMPRESAS'!$B$15:$B$320,"IÇAMENTO JOIST",'METAS EMPRESAS'!$C$15:$C$320,$A252-WEEKDAY($A252,2)+1)</f>
        <v/>
      </c>
      <c r="J252" s="159">
        <f>SUMIFS('METAS EMPRESAS'!$G$15:$G$320,'METAS EMPRESAS'!$A$15:$A$320,"EJ",'METAS EMPRESAS'!$B$15:$B$320,"VIGAS",'METAS EMPRESAS'!$C$15:$C$320,$A252-WEEKDAY($A252,2)+1)</f>
        <v/>
      </c>
      <c r="K252" s="159">
        <f>SUMIFS('METAS EMPRESAS'!$G$15:$G$320,'METAS EMPRESAS'!$A$15:$A$320,"CMM",'METAS EMPRESAS'!$B$15:$B$320,"PREMONTAGEM",'METAS EMPRESAS'!$C$15:$C$320,$A252-WEEKDAY($A252,2)+1)</f>
        <v/>
      </c>
      <c r="L252" s="159">
        <f>SUMIFS('METAS EMPRESAS'!$G$15:$G$320,'METAS EMPRESAS'!$A$15:$A$320,"CMM",'METAS EMPRESAS'!$B$15:$B$320,"IÇAMENTO JOIST",'METAS EMPRESAS'!$C$15:$C$320,$A252-WEEKDAY($A252,2)+1)</f>
        <v/>
      </c>
      <c r="M252" s="159">
        <f>SUMIFS('METAS EMPRESAS'!$G$15:$G$320,'METAS EMPRESAS'!$A$15:$A$320,"CMM",'METAS EMPRESAS'!$B$15:$B$320,"VIGAS",'METAS EMPRESAS'!$C$15:$C$320,$A252-WEEKDAY($A252,2)+1)</f>
        <v/>
      </c>
      <c r="N252" s="159">
        <f>SUMIFS('METAS EMPRESAS'!$J$15:$J$320,'METAS EMPRESAS'!$A$15:$A$320,"EJ",'METAS EMPRESAS'!$B$15:$B$320,"PREMONTAGEM",'METAS EMPRESAS'!$C$15:$C$320,$A252-WEEKDAY($A252,2)+1)</f>
        <v/>
      </c>
      <c r="O252" s="159">
        <f>SUMIFS('METAS EMPRESAS'!$J$15:$J$320,'METAS EMPRESAS'!$A$15:$A$320,"EJ",'METAS EMPRESAS'!$B$15:$B$320,"IÇAMENTO JOIST",'METAS EMPRESAS'!$C$15:$C$320,$A252-WEEKDAY($A252,2)+1)</f>
        <v/>
      </c>
      <c r="P252" s="159">
        <f>SUMIFS('METAS EMPRESAS'!$J$15:$J$320,'METAS EMPRESAS'!$A$15:$A$320,"EJ",'METAS EMPRESAS'!$B$15:$B$320,"VIGAS",'METAS EMPRESAS'!$C$15:$C$320,$A252-WEEKDAY($A252,2)+1)</f>
        <v/>
      </c>
      <c r="Q252" s="159">
        <f>SUMIFS('METAS EMPRESAS'!$J$15:$J$320,'METAS EMPRESAS'!$A$15:$A$320,"CMM",'METAS EMPRESAS'!$B$15:$B$320,"PREMONTAGEM",'METAS EMPRESAS'!$C$15:$C$320,$A252-WEEKDAY($A252,2)+1)</f>
        <v/>
      </c>
      <c r="R252" s="159">
        <f>SUMIFS('METAS EMPRESAS'!$J$15:$J$320,'METAS EMPRESAS'!$A$15:$A$320,"CMM",'METAS EMPRESAS'!$B$15:$B$320,"IÇAMENTO JOIST",'METAS EMPRESAS'!$C$15:$C$320,$A252-WEEKDAY($A252,2)+1)</f>
        <v/>
      </c>
      <c r="S252" s="159">
        <f>SUMIFS('METAS EMPRESAS'!$J$15:$J$320,'METAS EMPRESAS'!$A$15:$A$320,"CMM",'METAS EMPRESAS'!$B$15:$B$320,"VIGAS",'METAS EMPRESAS'!$C$15:$C$320,$A252-WEEKDAY($A252,2)+1)</f>
        <v/>
      </c>
      <c r="T252">
        <f>--(WEEKDAY(A252,2)&lt;=5)</f>
        <v/>
      </c>
      <c r="U252" t="n">
        <v>19</v>
      </c>
      <c r="V252" t="n">
        <v>7</v>
      </c>
      <c r="W252" t="n">
        <v>0</v>
      </c>
      <c r="X252" t="n">
        <v>5</v>
      </c>
      <c r="Y252" t="n">
        <v>5</v>
      </c>
      <c r="Z252" t="n">
        <v>5</v>
      </c>
      <c r="AA252" t="n">
        <v>95</v>
      </c>
      <c r="AB252" t="n">
        <v>35</v>
      </c>
      <c r="AC252" t="n">
        <v>0</v>
      </c>
    </row>
    <row r="253">
      <c r="A253" s="317" t="n">
        <v>46474</v>
      </c>
      <c r="B253" s="159">
        <f>SUMIFS('METAS EMPRESAS'!$K$15:$K$320,'METAS EMPRESAS'!$A$15:$A$320,"EJ",'METAS EMPRESAS'!$B$15:$B$320,"PREMONTAGEM",'METAS EMPRESAS'!$C$15:$C$320,$A253-WEEKDAY($A253,2)+1)</f>
        <v/>
      </c>
      <c r="C253" s="159">
        <f>SUMIFS('METAS EMPRESAS'!$K$15:$K$320,'METAS EMPRESAS'!$A$15:$A$320,"EJ",'METAS EMPRESAS'!$B$15:$B$320,"IÇAMENTO JOIST",'METAS EMPRESAS'!$C$15:$C$320,$A253-WEEKDAY($A253,2)+1)</f>
        <v/>
      </c>
      <c r="D253" s="159">
        <f>SUMIFS('METAS EMPRESAS'!$K$15:$K$320,'METAS EMPRESAS'!$A$15:$A$320,"EJ",'METAS EMPRESAS'!$B$15:$B$320,"VIGAS",'METAS EMPRESAS'!$C$15:$C$320,$A253-WEEKDAY($A253,2)+1)</f>
        <v/>
      </c>
      <c r="E253" s="159">
        <f>SUMIFS('METAS EMPRESAS'!$K$15:$K$320,'METAS EMPRESAS'!$A$15:$A$320,"CMM",'METAS EMPRESAS'!$B$15:$B$320,"PREMONTAGEM",'METAS EMPRESAS'!$C$15:$C$320,$A253-WEEKDAY($A253,2)+1)</f>
        <v/>
      </c>
      <c r="F253" s="159">
        <f>SUMIFS('METAS EMPRESAS'!$K$15:$K$320,'METAS EMPRESAS'!$A$15:$A$320,"CMM",'METAS EMPRESAS'!$B$15:$B$320,"IÇAMENTO JOIST",'METAS EMPRESAS'!$C$15:$C$320,$A253-WEEKDAY($A253,2)+1)</f>
        <v/>
      </c>
      <c r="G253" s="159">
        <f>SUMIFS('METAS EMPRESAS'!$K$15:$K$320,'METAS EMPRESAS'!$A$15:$A$320,"CMM",'METAS EMPRESAS'!$B$15:$B$320,"VIGAS",'METAS EMPRESAS'!$C$15:$C$320,$A253-WEEKDAY($A253,2)+1)</f>
        <v/>
      </c>
      <c r="H253" s="159">
        <f>SUMIFS('METAS EMPRESAS'!$G$15:$G$320,'METAS EMPRESAS'!$A$15:$A$320,"EJ",'METAS EMPRESAS'!$B$15:$B$320,"PREMONTAGEM",'METAS EMPRESAS'!$C$15:$C$320,$A253-WEEKDAY($A253,2)+1)</f>
        <v/>
      </c>
      <c r="I253" s="159">
        <f>SUMIFS('METAS EMPRESAS'!$G$15:$G$320,'METAS EMPRESAS'!$A$15:$A$320,"EJ",'METAS EMPRESAS'!$B$15:$B$320,"IÇAMENTO JOIST",'METAS EMPRESAS'!$C$15:$C$320,$A253-WEEKDAY($A253,2)+1)</f>
        <v/>
      </c>
      <c r="J253" s="159">
        <f>SUMIFS('METAS EMPRESAS'!$G$15:$G$320,'METAS EMPRESAS'!$A$15:$A$320,"EJ",'METAS EMPRESAS'!$B$15:$B$320,"VIGAS",'METAS EMPRESAS'!$C$15:$C$320,$A253-WEEKDAY($A253,2)+1)</f>
        <v/>
      </c>
      <c r="K253" s="159">
        <f>SUMIFS('METAS EMPRESAS'!$G$15:$G$320,'METAS EMPRESAS'!$A$15:$A$320,"CMM",'METAS EMPRESAS'!$B$15:$B$320,"PREMONTAGEM",'METAS EMPRESAS'!$C$15:$C$320,$A253-WEEKDAY($A253,2)+1)</f>
        <v/>
      </c>
      <c r="L253" s="159">
        <f>SUMIFS('METAS EMPRESAS'!$G$15:$G$320,'METAS EMPRESAS'!$A$15:$A$320,"CMM",'METAS EMPRESAS'!$B$15:$B$320,"IÇAMENTO JOIST",'METAS EMPRESAS'!$C$15:$C$320,$A253-WEEKDAY($A253,2)+1)</f>
        <v/>
      </c>
      <c r="M253" s="159">
        <f>SUMIFS('METAS EMPRESAS'!$G$15:$G$320,'METAS EMPRESAS'!$A$15:$A$320,"CMM",'METAS EMPRESAS'!$B$15:$B$320,"VIGAS",'METAS EMPRESAS'!$C$15:$C$320,$A253-WEEKDAY($A253,2)+1)</f>
        <v/>
      </c>
      <c r="N253" s="159">
        <f>SUMIFS('METAS EMPRESAS'!$J$15:$J$320,'METAS EMPRESAS'!$A$15:$A$320,"EJ",'METAS EMPRESAS'!$B$15:$B$320,"PREMONTAGEM",'METAS EMPRESAS'!$C$15:$C$320,$A253-WEEKDAY($A253,2)+1)</f>
        <v/>
      </c>
      <c r="O253" s="159">
        <f>SUMIFS('METAS EMPRESAS'!$J$15:$J$320,'METAS EMPRESAS'!$A$15:$A$320,"EJ",'METAS EMPRESAS'!$B$15:$B$320,"IÇAMENTO JOIST",'METAS EMPRESAS'!$C$15:$C$320,$A253-WEEKDAY($A253,2)+1)</f>
        <v/>
      </c>
      <c r="P253" s="159">
        <f>SUMIFS('METAS EMPRESAS'!$J$15:$J$320,'METAS EMPRESAS'!$A$15:$A$320,"EJ",'METAS EMPRESAS'!$B$15:$B$320,"VIGAS",'METAS EMPRESAS'!$C$15:$C$320,$A253-WEEKDAY($A253,2)+1)</f>
        <v/>
      </c>
      <c r="Q253" s="159">
        <f>SUMIFS('METAS EMPRESAS'!$J$15:$J$320,'METAS EMPRESAS'!$A$15:$A$320,"CMM",'METAS EMPRESAS'!$B$15:$B$320,"PREMONTAGEM",'METAS EMPRESAS'!$C$15:$C$320,$A253-WEEKDAY($A253,2)+1)</f>
        <v/>
      </c>
      <c r="R253" s="159">
        <f>SUMIFS('METAS EMPRESAS'!$J$15:$J$320,'METAS EMPRESAS'!$A$15:$A$320,"CMM",'METAS EMPRESAS'!$B$15:$B$320,"IÇAMENTO JOIST",'METAS EMPRESAS'!$C$15:$C$320,$A253-WEEKDAY($A253,2)+1)</f>
        <v/>
      </c>
      <c r="S253" s="159">
        <f>SUMIFS('METAS EMPRESAS'!$J$15:$J$320,'METAS EMPRESAS'!$A$15:$A$320,"CMM",'METAS EMPRESAS'!$B$15:$B$320,"VIGAS",'METAS EMPRESAS'!$C$15:$C$320,$A253-WEEKDAY($A253,2)+1)</f>
        <v/>
      </c>
      <c r="T253">
        <f>--(WEEKDAY(A253,2)&lt;=5)</f>
        <v/>
      </c>
      <c r="U253" t="n">
        <v>19</v>
      </c>
      <c r="V253" t="n">
        <v>7</v>
      </c>
      <c r="W253" t="n">
        <v>0</v>
      </c>
      <c r="X253" t="n">
        <v>5</v>
      </c>
      <c r="Y253" t="n">
        <v>5</v>
      </c>
      <c r="Z253" t="n">
        <v>5</v>
      </c>
      <c r="AA253" t="n">
        <v>95</v>
      </c>
      <c r="AB253" t="n">
        <v>35</v>
      </c>
      <c r="AC253" t="n">
        <v>0</v>
      </c>
    </row>
    <row r="254">
      <c r="A254" s="317" t="n">
        <v>46475</v>
      </c>
      <c r="B254" s="159">
        <f>SUMIFS('METAS EMPRESAS'!$K$15:$K$320,'METAS EMPRESAS'!$A$15:$A$320,"EJ",'METAS EMPRESAS'!$B$15:$B$320,"PREMONTAGEM",'METAS EMPRESAS'!$C$15:$C$320,$A254-WEEKDAY($A254,2)+1)</f>
        <v/>
      </c>
      <c r="C254" s="159">
        <f>SUMIFS('METAS EMPRESAS'!$K$15:$K$320,'METAS EMPRESAS'!$A$15:$A$320,"EJ",'METAS EMPRESAS'!$B$15:$B$320,"IÇAMENTO JOIST",'METAS EMPRESAS'!$C$15:$C$320,$A254-WEEKDAY($A254,2)+1)</f>
        <v/>
      </c>
      <c r="D254" s="159">
        <f>SUMIFS('METAS EMPRESAS'!$K$15:$K$320,'METAS EMPRESAS'!$A$15:$A$320,"EJ",'METAS EMPRESAS'!$B$15:$B$320,"VIGAS",'METAS EMPRESAS'!$C$15:$C$320,$A254-WEEKDAY($A254,2)+1)</f>
        <v/>
      </c>
      <c r="E254" s="159">
        <f>SUMIFS('METAS EMPRESAS'!$K$15:$K$320,'METAS EMPRESAS'!$A$15:$A$320,"CMM",'METAS EMPRESAS'!$B$15:$B$320,"PREMONTAGEM",'METAS EMPRESAS'!$C$15:$C$320,$A254-WEEKDAY($A254,2)+1)</f>
        <v/>
      </c>
      <c r="F254" s="159">
        <f>SUMIFS('METAS EMPRESAS'!$K$15:$K$320,'METAS EMPRESAS'!$A$15:$A$320,"CMM",'METAS EMPRESAS'!$B$15:$B$320,"IÇAMENTO JOIST",'METAS EMPRESAS'!$C$15:$C$320,$A254-WEEKDAY($A254,2)+1)</f>
        <v/>
      </c>
      <c r="G254" s="159">
        <f>SUMIFS('METAS EMPRESAS'!$K$15:$K$320,'METAS EMPRESAS'!$A$15:$A$320,"CMM",'METAS EMPRESAS'!$B$15:$B$320,"VIGAS",'METAS EMPRESAS'!$C$15:$C$320,$A254-WEEKDAY($A254,2)+1)</f>
        <v/>
      </c>
      <c r="H254" s="159">
        <f>SUMIFS('METAS EMPRESAS'!$G$15:$G$320,'METAS EMPRESAS'!$A$15:$A$320,"EJ",'METAS EMPRESAS'!$B$15:$B$320,"PREMONTAGEM",'METAS EMPRESAS'!$C$15:$C$320,$A254-WEEKDAY($A254,2)+1)</f>
        <v/>
      </c>
      <c r="I254" s="159">
        <f>SUMIFS('METAS EMPRESAS'!$G$15:$G$320,'METAS EMPRESAS'!$A$15:$A$320,"EJ",'METAS EMPRESAS'!$B$15:$B$320,"IÇAMENTO JOIST",'METAS EMPRESAS'!$C$15:$C$320,$A254-WEEKDAY($A254,2)+1)</f>
        <v/>
      </c>
      <c r="J254" s="159">
        <f>SUMIFS('METAS EMPRESAS'!$G$15:$G$320,'METAS EMPRESAS'!$A$15:$A$320,"EJ",'METAS EMPRESAS'!$B$15:$B$320,"VIGAS",'METAS EMPRESAS'!$C$15:$C$320,$A254-WEEKDAY($A254,2)+1)</f>
        <v/>
      </c>
      <c r="K254" s="159">
        <f>SUMIFS('METAS EMPRESAS'!$G$15:$G$320,'METAS EMPRESAS'!$A$15:$A$320,"CMM",'METAS EMPRESAS'!$B$15:$B$320,"PREMONTAGEM",'METAS EMPRESAS'!$C$15:$C$320,$A254-WEEKDAY($A254,2)+1)</f>
        <v/>
      </c>
      <c r="L254" s="159">
        <f>SUMIFS('METAS EMPRESAS'!$G$15:$G$320,'METAS EMPRESAS'!$A$15:$A$320,"CMM",'METAS EMPRESAS'!$B$15:$B$320,"IÇAMENTO JOIST",'METAS EMPRESAS'!$C$15:$C$320,$A254-WEEKDAY($A254,2)+1)</f>
        <v/>
      </c>
      <c r="M254" s="159">
        <f>SUMIFS('METAS EMPRESAS'!$G$15:$G$320,'METAS EMPRESAS'!$A$15:$A$320,"CMM",'METAS EMPRESAS'!$B$15:$B$320,"VIGAS",'METAS EMPRESAS'!$C$15:$C$320,$A254-WEEKDAY($A254,2)+1)</f>
        <v/>
      </c>
      <c r="N254" s="159">
        <f>SUMIFS('METAS EMPRESAS'!$J$15:$J$320,'METAS EMPRESAS'!$A$15:$A$320,"EJ",'METAS EMPRESAS'!$B$15:$B$320,"PREMONTAGEM",'METAS EMPRESAS'!$C$15:$C$320,$A254-WEEKDAY($A254,2)+1)</f>
        <v/>
      </c>
      <c r="O254" s="159">
        <f>SUMIFS('METAS EMPRESAS'!$J$15:$J$320,'METAS EMPRESAS'!$A$15:$A$320,"EJ",'METAS EMPRESAS'!$B$15:$B$320,"IÇAMENTO JOIST",'METAS EMPRESAS'!$C$15:$C$320,$A254-WEEKDAY($A254,2)+1)</f>
        <v/>
      </c>
      <c r="P254" s="159">
        <f>SUMIFS('METAS EMPRESAS'!$J$15:$J$320,'METAS EMPRESAS'!$A$15:$A$320,"EJ",'METAS EMPRESAS'!$B$15:$B$320,"VIGAS",'METAS EMPRESAS'!$C$15:$C$320,$A254-WEEKDAY($A254,2)+1)</f>
        <v/>
      </c>
      <c r="Q254" s="159">
        <f>SUMIFS('METAS EMPRESAS'!$J$15:$J$320,'METAS EMPRESAS'!$A$15:$A$320,"CMM",'METAS EMPRESAS'!$B$15:$B$320,"PREMONTAGEM",'METAS EMPRESAS'!$C$15:$C$320,$A254-WEEKDAY($A254,2)+1)</f>
        <v/>
      </c>
      <c r="R254" s="159">
        <f>SUMIFS('METAS EMPRESAS'!$J$15:$J$320,'METAS EMPRESAS'!$A$15:$A$320,"CMM",'METAS EMPRESAS'!$B$15:$B$320,"IÇAMENTO JOIST",'METAS EMPRESAS'!$C$15:$C$320,$A254-WEEKDAY($A254,2)+1)</f>
        <v/>
      </c>
      <c r="S254" s="159">
        <f>SUMIFS('METAS EMPRESAS'!$J$15:$J$320,'METAS EMPRESAS'!$A$15:$A$320,"CMM",'METAS EMPRESAS'!$B$15:$B$320,"VIGAS",'METAS EMPRESAS'!$C$15:$C$320,$A254-WEEKDAY($A254,2)+1)</f>
        <v/>
      </c>
      <c r="T254">
        <f>--(WEEKDAY(A254,2)&lt;=5)</f>
        <v/>
      </c>
      <c r="U254" t="n">
        <v>19</v>
      </c>
      <c r="V254" t="n">
        <v>7</v>
      </c>
      <c r="W254" t="n">
        <v>0</v>
      </c>
      <c r="X254" t="n">
        <v>5</v>
      </c>
      <c r="Y254" t="n">
        <v>5</v>
      </c>
      <c r="Z254" t="n">
        <v>5</v>
      </c>
      <c r="AA254" t="n">
        <v>95</v>
      </c>
      <c r="AB254" t="n">
        <v>35</v>
      </c>
      <c r="AC254" t="n">
        <v>0</v>
      </c>
    </row>
    <row r="255">
      <c r="A255" s="317" t="n">
        <v>46476</v>
      </c>
      <c r="B255" s="159">
        <f>SUMIFS('METAS EMPRESAS'!$K$15:$K$320,'METAS EMPRESAS'!$A$15:$A$320,"EJ",'METAS EMPRESAS'!$B$15:$B$320,"PREMONTAGEM",'METAS EMPRESAS'!$C$15:$C$320,$A255-WEEKDAY($A255,2)+1)</f>
        <v/>
      </c>
      <c r="C255" s="159">
        <f>SUMIFS('METAS EMPRESAS'!$K$15:$K$320,'METAS EMPRESAS'!$A$15:$A$320,"EJ",'METAS EMPRESAS'!$B$15:$B$320,"IÇAMENTO JOIST",'METAS EMPRESAS'!$C$15:$C$320,$A255-WEEKDAY($A255,2)+1)</f>
        <v/>
      </c>
      <c r="D255" s="159">
        <f>SUMIFS('METAS EMPRESAS'!$K$15:$K$320,'METAS EMPRESAS'!$A$15:$A$320,"EJ",'METAS EMPRESAS'!$B$15:$B$320,"VIGAS",'METAS EMPRESAS'!$C$15:$C$320,$A255-WEEKDAY($A255,2)+1)</f>
        <v/>
      </c>
      <c r="E255" s="159">
        <f>SUMIFS('METAS EMPRESAS'!$K$15:$K$320,'METAS EMPRESAS'!$A$15:$A$320,"CMM",'METAS EMPRESAS'!$B$15:$B$320,"PREMONTAGEM",'METAS EMPRESAS'!$C$15:$C$320,$A255-WEEKDAY($A255,2)+1)</f>
        <v/>
      </c>
      <c r="F255" s="159">
        <f>SUMIFS('METAS EMPRESAS'!$K$15:$K$320,'METAS EMPRESAS'!$A$15:$A$320,"CMM",'METAS EMPRESAS'!$B$15:$B$320,"IÇAMENTO JOIST",'METAS EMPRESAS'!$C$15:$C$320,$A255-WEEKDAY($A255,2)+1)</f>
        <v/>
      </c>
      <c r="G255" s="159">
        <f>SUMIFS('METAS EMPRESAS'!$K$15:$K$320,'METAS EMPRESAS'!$A$15:$A$320,"CMM",'METAS EMPRESAS'!$B$15:$B$320,"VIGAS",'METAS EMPRESAS'!$C$15:$C$320,$A255-WEEKDAY($A255,2)+1)</f>
        <v/>
      </c>
      <c r="H255" s="159">
        <f>SUMIFS('METAS EMPRESAS'!$G$15:$G$320,'METAS EMPRESAS'!$A$15:$A$320,"EJ",'METAS EMPRESAS'!$B$15:$B$320,"PREMONTAGEM",'METAS EMPRESAS'!$C$15:$C$320,$A255-WEEKDAY($A255,2)+1)</f>
        <v/>
      </c>
      <c r="I255" s="159">
        <f>SUMIFS('METAS EMPRESAS'!$G$15:$G$320,'METAS EMPRESAS'!$A$15:$A$320,"EJ",'METAS EMPRESAS'!$B$15:$B$320,"IÇAMENTO JOIST",'METAS EMPRESAS'!$C$15:$C$320,$A255-WEEKDAY($A255,2)+1)</f>
        <v/>
      </c>
      <c r="J255" s="159">
        <f>SUMIFS('METAS EMPRESAS'!$G$15:$G$320,'METAS EMPRESAS'!$A$15:$A$320,"EJ",'METAS EMPRESAS'!$B$15:$B$320,"VIGAS",'METAS EMPRESAS'!$C$15:$C$320,$A255-WEEKDAY($A255,2)+1)</f>
        <v/>
      </c>
      <c r="K255" s="159">
        <f>SUMIFS('METAS EMPRESAS'!$G$15:$G$320,'METAS EMPRESAS'!$A$15:$A$320,"CMM",'METAS EMPRESAS'!$B$15:$B$320,"PREMONTAGEM",'METAS EMPRESAS'!$C$15:$C$320,$A255-WEEKDAY($A255,2)+1)</f>
        <v/>
      </c>
      <c r="L255" s="159">
        <f>SUMIFS('METAS EMPRESAS'!$G$15:$G$320,'METAS EMPRESAS'!$A$15:$A$320,"CMM",'METAS EMPRESAS'!$B$15:$B$320,"IÇAMENTO JOIST",'METAS EMPRESAS'!$C$15:$C$320,$A255-WEEKDAY($A255,2)+1)</f>
        <v/>
      </c>
      <c r="M255" s="159">
        <f>SUMIFS('METAS EMPRESAS'!$G$15:$G$320,'METAS EMPRESAS'!$A$15:$A$320,"CMM",'METAS EMPRESAS'!$B$15:$B$320,"VIGAS",'METAS EMPRESAS'!$C$15:$C$320,$A255-WEEKDAY($A255,2)+1)</f>
        <v/>
      </c>
      <c r="N255" s="159">
        <f>SUMIFS('METAS EMPRESAS'!$J$15:$J$320,'METAS EMPRESAS'!$A$15:$A$320,"EJ",'METAS EMPRESAS'!$B$15:$B$320,"PREMONTAGEM",'METAS EMPRESAS'!$C$15:$C$320,$A255-WEEKDAY($A255,2)+1)</f>
        <v/>
      </c>
      <c r="O255" s="159">
        <f>SUMIFS('METAS EMPRESAS'!$J$15:$J$320,'METAS EMPRESAS'!$A$15:$A$320,"EJ",'METAS EMPRESAS'!$B$15:$B$320,"IÇAMENTO JOIST",'METAS EMPRESAS'!$C$15:$C$320,$A255-WEEKDAY($A255,2)+1)</f>
        <v/>
      </c>
      <c r="P255" s="159">
        <f>SUMIFS('METAS EMPRESAS'!$J$15:$J$320,'METAS EMPRESAS'!$A$15:$A$320,"EJ",'METAS EMPRESAS'!$B$15:$B$320,"VIGAS",'METAS EMPRESAS'!$C$15:$C$320,$A255-WEEKDAY($A255,2)+1)</f>
        <v/>
      </c>
      <c r="Q255" s="159">
        <f>SUMIFS('METAS EMPRESAS'!$J$15:$J$320,'METAS EMPRESAS'!$A$15:$A$320,"CMM",'METAS EMPRESAS'!$B$15:$B$320,"PREMONTAGEM",'METAS EMPRESAS'!$C$15:$C$320,$A255-WEEKDAY($A255,2)+1)</f>
        <v/>
      </c>
      <c r="R255" s="159">
        <f>SUMIFS('METAS EMPRESAS'!$J$15:$J$320,'METAS EMPRESAS'!$A$15:$A$320,"CMM",'METAS EMPRESAS'!$B$15:$B$320,"IÇAMENTO JOIST",'METAS EMPRESAS'!$C$15:$C$320,$A255-WEEKDAY($A255,2)+1)</f>
        <v/>
      </c>
      <c r="S255" s="159">
        <f>SUMIFS('METAS EMPRESAS'!$J$15:$J$320,'METAS EMPRESAS'!$A$15:$A$320,"CMM",'METAS EMPRESAS'!$B$15:$B$320,"VIGAS",'METAS EMPRESAS'!$C$15:$C$320,$A255-WEEKDAY($A255,2)+1)</f>
        <v/>
      </c>
      <c r="T255">
        <f>--(WEEKDAY(A255,2)&lt;=5)</f>
        <v/>
      </c>
      <c r="U255" t="n">
        <v>19</v>
      </c>
      <c r="V255" t="n">
        <v>7</v>
      </c>
      <c r="W255" t="n">
        <v>0</v>
      </c>
      <c r="X255" t="n">
        <v>5</v>
      </c>
      <c r="Y255" t="n">
        <v>5</v>
      </c>
      <c r="Z255" t="n">
        <v>5</v>
      </c>
      <c r="AA255" t="n">
        <v>95</v>
      </c>
      <c r="AB255" t="n">
        <v>35</v>
      </c>
      <c r="AC255" t="n">
        <v>0</v>
      </c>
    </row>
    <row r="256">
      <c r="A256" s="317" t="n">
        <v>46477</v>
      </c>
      <c r="B256" s="159">
        <f>SUMIFS('METAS EMPRESAS'!$K$15:$K$320,'METAS EMPRESAS'!$A$15:$A$320,"EJ",'METAS EMPRESAS'!$B$15:$B$320,"PREMONTAGEM",'METAS EMPRESAS'!$C$15:$C$320,$A256-WEEKDAY($A256,2)+1)</f>
        <v/>
      </c>
      <c r="C256" s="159">
        <f>SUMIFS('METAS EMPRESAS'!$K$15:$K$320,'METAS EMPRESAS'!$A$15:$A$320,"EJ",'METAS EMPRESAS'!$B$15:$B$320,"IÇAMENTO JOIST",'METAS EMPRESAS'!$C$15:$C$320,$A256-WEEKDAY($A256,2)+1)</f>
        <v/>
      </c>
      <c r="D256" s="159">
        <f>SUMIFS('METAS EMPRESAS'!$K$15:$K$320,'METAS EMPRESAS'!$A$15:$A$320,"EJ",'METAS EMPRESAS'!$B$15:$B$320,"VIGAS",'METAS EMPRESAS'!$C$15:$C$320,$A256-WEEKDAY($A256,2)+1)</f>
        <v/>
      </c>
      <c r="E256" s="159">
        <f>SUMIFS('METAS EMPRESAS'!$K$15:$K$320,'METAS EMPRESAS'!$A$15:$A$320,"CMM",'METAS EMPRESAS'!$B$15:$B$320,"PREMONTAGEM",'METAS EMPRESAS'!$C$15:$C$320,$A256-WEEKDAY($A256,2)+1)</f>
        <v/>
      </c>
      <c r="F256" s="159">
        <f>SUMIFS('METAS EMPRESAS'!$K$15:$K$320,'METAS EMPRESAS'!$A$15:$A$320,"CMM",'METAS EMPRESAS'!$B$15:$B$320,"IÇAMENTO JOIST",'METAS EMPRESAS'!$C$15:$C$320,$A256-WEEKDAY($A256,2)+1)</f>
        <v/>
      </c>
      <c r="G256" s="159">
        <f>SUMIFS('METAS EMPRESAS'!$K$15:$K$320,'METAS EMPRESAS'!$A$15:$A$320,"CMM",'METAS EMPRESAS'!$B$15:$B$320,"VIGAS",'METAS EMPRESAS'!$C$15:$C$320,$A256-WEEKDAY($A256,2)+1)</f>
        <v/>
      </c>
      <c r="H256" s="159">
        <f>SUMIFS('METAS EMPRESAS'!$G$15:$G$320,'METAS EMPRESAS'!$A$15:$A$320,"EJ",'METAS EMPRESAS'!$B$15:$B$320,"PREMONTAGEM",'METAS EMPRESAS'!$C$15:$C$320,$A256-WEEKDAY($A256,2)+1)</f>
        <v/>
      </c>
      <c r="I256" s="159">
        <f>SUMIFS('METAS EMPRESAS'!$G$15:$G$320,'METAS EMPRESAS'!$A$15:$A$320,"EJ",'METAS EMPRESAS'!$B$15:$B$320,"IÇAMENTO JOIST",'METAS EMPRESAS'!$C$15:$C$320,$A256-WEEKDAY($A256,2)+1)</f>
        <v/>
      </c>
      <c r="J256" s="159">
        <f>SUMIFS('METAS EMPRESAS'!$G$15:$G$320,'METAS EMPRESAS'!$A$15:$A$320,"EJ",'METAS EMPRESAS'!$B$15:$B$320,"VIGAS",'METAS EMPRESAS'!$C$15:$C$320,$A256-WEEKDAY($A256,2)+1)</f>
        <v/>
      </c>
      <c r="K256" s="159">
        <f>SUMIFS('METAS EMPRESAS'!$G$15:$G$320,'METAS EMPRESAS'!$A$15:$A$320,"CMM",'METAS EMPRESAS'!$B$15:$B$320,"PREMONTAGEM",'METAS EMPRESAS'!$C$15:$C$320,$A256-WEEKDAY($A256,2)+1)</f>
        <v/>
      </c>
      <c r="L256" s="159">
        <f>SUMIFS('METAS EMPRESAS'!$G$15:$G$320,'METAS EMPRESAS'!$A$15:$A$320,"CMM",'METAS EMPRESAS'!$B$15:$B$320,"IÇAMENTO JOIST",'METAS EMPRESAS'!$C$15:$C$320,$A256-WEEKDAY($A256,2)+1)</f>
        <v/>
      </c>
      <c r="M256" s="159">
        <f>SUMIFS('METAS EMPRESAS'!$G$15:$G$320,'METAS EMPRESAS'!$A$15:$A$320,"CMM",'METAS EMPRESAS'!$B$15:$B$320,"VIGAS",'METAS EMPRESAS'!$C$15:$C$320,$A256-WEEKDAY($A256,2)+1)</f>
        <v/>
      </c>
      <c r="N256" s="159">
        <f>SUMIFS('METAS EMPRESAS'!$J$15:$J$320,'METAS EMPRESAS'!$A$15:$A$320,"EJ",'METAS EMPRESAS'!$B$15:$B$320,"PREMONTAGEM",'METAS EMPRESAS'!$C$15:$C$320,$A256-WEEKDAY($A256,2)+1)</f>
        <v/>
      </c>
      <c r="O256" s="159">
        <f>SUMIFS('METAS EMPRESAS'!$J$15:$J$320,'METAS EMPRESAS'!$A$15:$A$320,"EJ",'METAS EMPRESAS'!$B$15:$B$320,"IÇAMENTO JOIST",'METAS EMPRESAS'!$C$15:$C$320,$A256-WEEKDAY($A256,2)+1)</f>
        <v/>
      </c>
      <c r="P256" s="159">
        <f>SUMIFS('METAS EMPRESAS'!$J$15:$J$320,'METAS EMPRESAS'!$A$15:$A$320,"EJ",'METAS EMPRESAS'!$B$15:$B$320,"VIGAS",'METAS EMPRESAS'!$C$15:$C$320,$A256-WEEKDAY($A256,2)+1)</f>
        <v/>
      </c>
      <c r="Q256" s="159">
        <f>SUMIFS('METAS EMPRESAS'!$J$15:$J$320,'METAS EMPRESAS'!$A$15:$A$320,"CMM",'METAS EMPRESAS'!$B$15:$B$320,"PREMONTAGEM",'METAS EMPRESAS'!$C$15:$C$320,$A256-WEEKDAY($A256,2)+1)</f>
        <v/>
      </c>
      <c r="R256" s="159">
        <f>SUMIFS('METAS EMPRESAS'!$J$15:$J$320,'METAS EMPRESAS'!$A$15:$A$320,"CMM",'METAS EMPRESAS'!$B$15:$B$320,"IÇAMENTO JOIST",'METAS EMPRESAS'!$C$15:$C$320,$A256-WEEKDAY($A256,2)+1)</f>
        <v/>
      </c>
      <c r="S256" s="159">
        <f>SUMIFS('METAS EMPRESAS'!$J$15:$J$320,'METAS EMPRESAS'!$A$15:$A$320,"CMM",'METAS EMPRESAS'!$B$15:$B$320,"VIGAS",'METAS EMPRESAS'!$C$15:$C$320,$A256-WEEKDAY($A256,2)+1)</f>
        <v/>
      </c>
      <c r="T256">
        <f>--(WEEKDAY(A256,2)&lt;=5)</f>
        <v/>
      </c>
      <c r="U256" t="n">
        <v>19</v>
      </c>
      <c r="V256" t="n">
        <v>7</v>
      </c>
      <c r="W256" t="n">
        <v>0</v>
      </c>
      <c r="X256" t="n">
        <v>5</v>
      </c>
      <c r="Y256" t="n">
        <v>5</v>
      </c>
      <c r="Z256" t="n">
        <v>5</v>
      </c>
      <c r="AA256" t="n">
        <v>95</v>
      </c>
      <c r="AB256" t="n">
        <v>35</v>
      </c>
      <c r="AC256" t="n">
        <v>0</v>
      </c>
    </row>
    <row r="257">
      <c r="A257" s="317" t="n">
        <v>46478</v>
      </c>
      <c r="B257" s="159">
        <f>SUMIFS('METAS EMPRESAS'!$K$15:$K$320,'METAS EMPRESAS'!$A$15:$A$320,"EJ",'METAS EMPRESAS'!$B$15:$B$320,"PREMONTAGEM",'METAS EMPRESAS'!$C$15:$C$320,$A257-WEEKDAY($A257,2)+1)</f>
        <v/>
      </c>
      <c r="C257" s="159">
        <f>SUMIFS('METAS EMPRESAS'!$K$15:$K$320,'METAS EMPRESAS'!$A$15:$A$320,"EJ",'METAS EMPRESAS'!$B$15:$B$320,"IÇAMENTO JOIST",'METAS EMPRESAS'!$C$15:$C$320,$A257-WEEKDAY($A257,2)+1)</f>
        <v/>
      </c>
      <c r="D257" s="159">
        <f>SUMIFS('METAS EMPRESAS'!$K$15:$K$320,'METAS EMPRESAS'!$A$15:$A$320,"EJ",'METAS EMPRESAS'!$B$15:$B$320,"VIGAS",'METAS EMPRESAS'!$C$15:$C$320,$A257-WEEKDAY($A257,2)+1)</f>
        <v/>
      </c>
      <c r="E257" s="159">
        <f>SUMIFS('METAS EMPRESAS'!$K$15:$K$320,'METAS EMPRESAS'!$A$15:$A$320,"CMM",'METAS EMPRESAS'!$B$15:$B$320,"PREMONTAGEM",'METAS EMPRESAS'!$C$15:$C$320,$A257-WEEKDAY($A257,2)+1)</f>
        <v/>
      </c>
      <c r="F257" s="159">
        <f>SUMIFS('METAS EMPRESAS'!$K$15:$K$320,'METAS EMPRESAS'!$A$15:$A$320,"CMM",'METAS EMPRESAS'!$B$15:$B$320,"IÇAMENTO JOIST",'METAS EMPRESAS'!$C$15:$C$320,$A257-WEEKDAY($A257,2)+1)</f>
        <v/>
      </c>
      <c r="G257" s="159">
        <f>SUMIFS('METAS EMPRESAS'!$K$15:$K$320,'METAS EMPRESAS'!$A$15:$A$320,"CMM",'METAS EMPRESAS'!$B$15:$B$320,"VIGAS",'METAS EMPRESAS'!$C$15:$C$320,$A257-WEEKDAY($A257,2)+1)</f>
        <v/>
      </c>
      <c r="H257" s="159">
        <f>SUMIFS('METAS EMPRESAS'!$G$15:$G$320,'METAS EMPRESAS'!$A$15:$A$320,"EJ",'METAS EMPRESAS'!$B$15:$B$320,"PREMONTAGEM",'METAS EMPRESAS'!$C$15:$C$320,$A257-WEEKDAY($A257,2)+1)</f>
        <v/>
      </c>
      <c r="I257" s="159">
        <f>SUMIFS('METAS EMPRESAS'!$G$15:$G$320,'METAS EMPRESAS'!$A$15:$A$320,"EJ",'METAS EMPRESAS'!$B$15:$B$320,"IÇAMENTO JOIST",'METAS EMPRESAS'!$C$15:$C$320,$A257-WEEKDAY($A257,2)+1)</f>
        <v/>
      </c>
      <c r="J257" s="159">
        <f>SUMIFS('METAS EMPRESAS'!$G$15:$G$320,'METAS EMPRESAS'!$A$15:$A$320,"EJ",'METAS EMPRESAS'!$B$15:$B$320,"VIGAS",'METAS EMPRESAS'!$C$15:$C$320,$A257-WEEKDAY($A257,2)+1)</f>
        <v/>
      </c>
      <c r="K257" s="159">
        <f>SUMIFS('METAS EMPRESAS'!$G$15:$G$320,'METAS EMPRESAS'!$A$15:$A$320,"CMM",'METAS EMPRESAS'!$B$15:$B$320,"PREMONTAGEM",'METAS EMPRESAS'!$C$15:$C$320,$A257-WEEKDAY($A257,2)+1)</f>
        <v/>
      </c>
      <c r="L257" s="159">
        <f>SUMIFS('METAS EMPRESAS'!$G$15:$G$320,'METAS EMPRESAS'!$A$15:$A$320,"CMM",'METAS EMPRESAS'!$B$15:$B$320,"IÇAMENTO JOIST",'METAS EMPRESAS'!$C$15:$C$320,$A257-WEEKDAY($A257,2)+1)</f>
        <v/>
      </c>
      <c r="M257" s="159">
        <f>SUMIFS('METAS EMPRESAS'!$G$15:$G$320,'METAS EMPRESAS'!$A$15:$A$320,"CMM",'METAS EMPRESAS'!$B$15:$B$320,"VIGAS",'METAS EMPRESAS'!$C$15:$C$320,$A257-WEEKDAY($A257,2)+1)</f>
        <v/>
      </c>
      <c r="N257" s="159">
        <f>SUMIFS('METAS EMPRESAS'!$J$15:$J$320,'METAS EMPRESAS'!$A$15:$A$320,"EJ",'METAS EMPRESAS'!$B$15:$B$320,"PREMONTAGEM",'METAS EMPRESAS'!$C$15:$C$320,$A257-WEEKDAY($A257,2)+1)</f>
        <v/>
      </c>
      <c r="O257" s="159">
        <f>SUMIFS('METAS EMPRESAS'!$J$15:$J$320,'METAS EMPRESAS'!$A$15:$A$320,"EJ",'METAS EMPRESAS'!$B$15:$B$320,"IÇAMENTO JOIST",'METAS EMPRESAS'!$C$15:$C$320,$A257-WEEKDAY($A257,2)+1)</f>
        <v/>
      </c>
      <c r="P257" s="159">
        <f>SUMIFS('METAS EMPRESAS'!$J$15:$J$320,'METAS EMPRESAS'!$A$15:$A$320,"EJ",'METAS EMPRESAS'!$B$15:$B$320,"VIGAS",'METAS EMPRESAS'!$C$15:$C$320,$A257-WEEKDAY($A257,2)+1)</f>
        <v/>
      </c>
      <c r="Q257" s="159">
        <f>SUMIFS('METAS EMPRESAS'!$J$15:$J$320,'METAS EMPRESAS'!$A$15:$A$320,"CMM",'METAS EMPRESAS'!$B$15:$B$320,"PREMONTAGEM",'METAS EMPRESAS'!$C$15:$C$320,$A257-WEEKDAY($A257,2)+1)</f>
        <v/>
      </c>
      <c r="R257" s="159">
        <f>SUMIFS('METAS EMPRESAS'!$J$15:$J$320,'METAS EMPRESAS'!$A$15:$A$320,"CMM",'METAS EMPRESAS'!$B$15:$B$320,"IÇAMENTO JOIST",'METAS EMPRESAS'!$C$15:$C$320,$A257-WEEKDAY($A257,2)+1)</f>
        <v/>
      </c>
      <c r="S257" s="159">
        <f>SUMIFS('METAS EMPRESAS'!$J$15:$J$320,'METAS EMPRESAS'!$A$15:$A$320,"CMM",'METAS EMPRESAS'!$B$15:$B$320,"VIGAS",'METAS EMPRESAS'!$C$15:$C$320,$A257-WEEKDAY($A257,2)+1)</f>
        <v/>
      </c>
      <c r="T257">
        <f>--(WEEKDAY(A257,2)&lt;=5)</f>
        <v/>
      </c>
      <c r="U257" t="n">
        <v>19</v>
      </c>
      <c r="V257" t="n">
        <v>7</v>
      </c>
      <c r="W257" t="n">
        <v>0</v>
      </c>
      <c r="X257" t="n">
        <v>5</v>
      </c>
      <c r="Y257" t="n">
        <v>5</v>
      </c>
      <c r="Z257" t="n">
        <v>5</v>
      </c>
      <c r="AA257" t="n">
        <v>95</v>
      </c>
      <c r="AB257" t="n">
        <v>35</v>
      </c>
      <c r="AC257" t="n">
        <v>0</v>
      </c>
    </row>
    <row r="258">
      <c r="A258" s="317" t="n">
        <v>46479</v>
      </c>
      <c r="B258" s="159">
        <f>SUMIFS('METAS EMPRESAS'!$K$15:$K$320,'METAS EMPRESAS'!$A$15:$A$320,"EJ",'METAS EMPRESAS'!$B$15:$B$320,"PREMONTAGEM",'METAS EMPRESAS'!$C$15:$C$320,$A258-WEEKDAY($A258,2)+1)</f>
        <v/>
      </c>
      <c r="C258" s="159">
        <f>SUMIFS('METAS EMPRESAS'!$K$15:$K$320,'METAS EMPRESAS'!$A$15:$A$320,"EJ",'METAS EMPRESAS'!$B$15:$B$320,"IÇAMENTO JOIST",'METAS EMPRESAS'!$C$15:$C$320,$A258-WEEKDAY($A258,2)+1)</f>
        <v/>
      </c>
      <c r="D258" s="159">
        <f>SUMIFS('METAS EMPRESAS'!$K$15:$K$320,'METAS EMPRESAS'!$A$15:$A$320,"EJ",'METAS EMPRESAS'!$B$15:$B$320,"VIGAS",'METAS EMPRESAS'!$C$15:$C$320,$A258-WEEKDAY($A258,2)+1)</f>
        <v/>
      </c>
      <c r="E258" s="159">
        <f>SUMIFS('METAS EMPRESAS'!$K$15:$K$320,'METAS EMPRESAS'!$A$15:$A$320,"CMM",'METAS EMPRESAS'!$B$15:$B$320,"PREMONTAGEM",'METAS EMPRESAS'!$C$15:$C$320,$A258-WEEKDAY($A258,2)+1)</f>
        <v/>
      </c>
      <c r="F258" s="159">
        <f>SUMIFS('METAS EMPRESAS'!$K$15:$K$320,'METAS EMPRESAS'!$A$15:$A$320,"CMM",'METAS EMPRESAS'!$B$15:$B$320,"IÇAMENTO JOIST",'METAS EMPRESAS'!$C$15:$C$320,$A258-WEEKDAY($A258,2)+1)</f>
        <v/>
      </c>
      <c r="G258" s="159">
        <f>SUMIFS('METAS EMPRESAS'!$K$15:$K$320,'METAS EMPRESAS'!$A$15:$A$320,"CMM",'METAS EMPRESAS'!$B$15:$B$320,"VIGAS",'METAS EMPRESAS'!$C$15:$C$320,$A258-WEEKDAY($A258,2)+1)</f>
        <v/>
      </c>
      <c r="H258" s="159">
        <f>SUMIFS('METAS EMPRESAS'!$G$15:$G$320,'METAS EMPRESAS'!$A$15:$A$320,"EJ",'METAS EMPRESAS'!$B$15:$B$320,"PREMONTAGEM",'METAS EMPRESAS'!$C$15:$C$320,$A258-WEEKDAY($A258,2)+1)</f>
        <v/>
      </c>
      <c r="I258" s="159">
        <f>SUMIFS('METAS EMPRESAS'!$G$15:$G$320,'METAS EMPRESAS'!$A$15:$A$320,"EJ",'METAS EMPRESAS'!$B$15:$B$320,"IÇAMENTO JOIST",'METAS EMPRESAS'!$C$15:$C$320,$A258-WEEKDAY($A258,2)+1)</f>
        <v/>
      </c>
      <c r="J258" s="159">
        <f>SUMIFS('METAS EMPRESAS'!$G$15:$G$320,'METAS EMPRESAS'!$A$15:$A$320,"EJ",'METAS EMPRESAS'!$B$15:$B$320,"VIGAS",'METAS EMPRESAS'!$C$15:$C$320,$A258-WEEKDAY($A258,2)+1)</f>
        <v/>
      </c>
      <c r="K258" s="159">
        <f>SUMIFS('METAS EMPRESAS'!$G$15:$G$320,'METAS EMPRESAS'!$A$15:$A$320,"CMM",'METAS EMPRESAS'!$B$15:$B$320,"PREMONTAGEM",'METAS EMPRESAS'!$C$15:$C$320,$A258-WEEKDAY($A258,2)+1)</f>
        <v/>
      </c>
      <c r="L258" s="159">
        <f>SUMIFS('METAS EMPRESAS'!$G$15:$G$320,'METAS EMPRESAS'!$A$15:$A$320,"CMM",'METAS EMPRESAS'!$B$15:$B$320,"IÇAMENTO JOIST",'METAS EMPRESAS'!$C$15:$C$320,$A258-WEEKDAY($A258,2)+1)</f>
        <v/>
      </c>
      <c r="M258" s="159">
        <f>SUMIFS('METAS EMPRESAS'!$G$15:$G$320,'METAS EMPRESAS'!$A$15:$A$320,"CMM",'METAS EMPRESAS'!$B$15:$B$320,"VIGAS",'METAS EMPRESAS'!$C$15:$C$320,$A258-WEEKDAY($A258,2)+1)</f>
        <v/>
      </c>
      <c r="N258" s="159">
        <f>SUMIFS('METAS EMPRESAS'!$J$15:$J$320,'METAS EMPRESAS'!$A$15:$A$320,"EJ",'METAS EMPRESAS'!$B$15:$B$320,"PREMONTAGEM",'METAS EMPRESAS'!$C$15:$C$320,$A258-WEEKDAY($A258,2)+1)</f>
        <v/>
      </c>
      <c r="O258" s="159">
        <f>SUMIFS('METAS EMPRESAS'!$J$15:$J$320,'METAS EMPRESAS'!$A$15:$A$320,"EJ",'METAS EMPRESAS'!$B$15:$B$320,"IÇAMENTO JOIST",'METAS EMPRESAS'!$C$15:$C$320,$A258-WEEKDAY($A258,2)+1)</f>
        <v/>
      </c>
      <c r="P258" s="159">
        <f>SUMIFS('METAS EMPRESAS'!$J$15:$J$320,'METAS EMPRESAS'!$A$15:$A$320,"EJ",'METAS EMPRESAS'!$B$15:$B$320,"VIGAS",'METAS EMPRESAS'!$C$15:$C$320,$A258-WEEKDAY($A258,2)+1)</f>
        <v/>
      </c>
      <c r="Q258" s="159">
        <f>SUMIFS('METAS EMPRESAS'!$J$15:$J$320,'METAS EMPRESAS'!$A$15:$A$320,"CMM",'METAS EMPRESAS'!$B$15:$B$320,"PREMONTAGEM",'METAS EMPRESAS'!$C$15:$C$320,$A258-WEEKDAY($A258,2)+1)</f>
        <v/>
      </c>
      <c r="R258" s="159">
        <f>SUMIFS('METAS EMPRESAS'!$J$15:$J$320,'METAS EMPRESAS'!$A$15:$A$320,"CMM",'METAS EMPRESAS'!$B$15:$B$320,"IÇAMENTO JOIST",'METAS EMPRESAS'!$C$15:$C$320,$A258-WEEKDAY($A258,2)+1)</f>
        <v/>
      </c>
      <c r="S258" s="159">
        <f>SUMIFS('METAS EMPRESAS'!$J$15:$J$320,'METAS EMPRESAS'!$A$15:$A$320,"CMM",'METAS EMPRESAS'!$B$15:$B$320,"VIGAS",'METAS EMPRESAS'!$C$15:$C$320,$A258-WEEKDAY($A258,2)+1)</f>
        <v/>
      </c>
      <c r="T258">
        <f>--(WEEKDAY(A258,2)&lt;=5)</f>
        <v/>
      </c>
      <c r="U258" t="n">
        <v>19</v>
      </c>
      <c r="V258" t="n">
        <v>7</v>
      </c>
      <c r="W258" t="n">
        <v>0</v>
      </c>
      <c r="X258" t="n">
        <v>5</v>
      </c>
      <c r="Y258" t="n">
        <v>5</v>
      </c>
      <c r="Z258" t="n">
        <v>5</v>
      </c>
      <c r="AA258" t="n">
        <v>95</v>
      </c>
      <c r="AB258" t="n">
        <v>35</v>
      </c>
      <c r="AC258" t="n">
        <v>0</v>
      </c>
    </row>
    <row r="259">
      <c r="A259" s="317" t="n">
        <v>46480</v>
      </c>
      <c r="B259" s="159">
        <f>SUMIFS('METAS EMPRESAS'!$K$15:$K$320,'METAS EMPRESAS'!$A$15:$A$320,"EJ",'METAS EMPRESAS'!$B$15:$B$320,"PREMONTAGEM",'METAS EMPRESAS'!$C$15:$C$320,$A259-WEEKDAY($A259,2)+1)</f>
        <v/>
      </c>
      <c r="C259" s="159">
        <f>SUMIFS('METAS EMPRESAS'!$K$15:$K$320,'METAS EMPRESAS'!$A$15:$A$320,"EJ",'METAS EMPRESAS'!$B$15:$B$320,"IÇAMENTO JOIST",'METAS EMPRESAS'!$C$15:$C$320,$A259-WEEKDAY($A259,2)+1)</f>
        <v/>
      </c>
      <c r="D259" s="159">
        <f>SUMIFS('METAS EMPRESAS'!$K$15:$K$320,'METAS EMPRESAS'!$A$15:$A$320,"EJ",'METAS EMPRESAS'!$B$15:$B$320,"VIGAS",'METAS EMPRESAS'!$C$15:$C$320,$A259-WEEKDAY($A259,2)+1)</f>
        <v/>
      </c>
      <c r="E259" s="159">
        <f>SUMIFS('METAS EMPRESAS'!$K$15:$K$320,'METAS EMPRESAS'!$A$15:$A$320,"CMM",'METAS EMPRESAS'!$B$15:$B$320,"PREMONTAGEM",'METAS EMPRESAS'!$C$15:$C$320,$A259-WEEKDAY($A259,2)+1)</f>
        <v/>
      </c>
      <c r="F259" s="159">
        <f>SUMIFS('METAS EMPRESAS'!$K$15:$K$320,'METAS EMPRESAS'!$A$15:$A$320,"CMM",'METAS EMPRESAS'!$B$15:$B$320,"IÇAMENTO JOIST",'METAS EMPRESAS'!$C$15:$C$320,$A259-WEEKDAY($A259,2)+1)</f>
        <v/>
      </c>
      <c r="G259" s="159">
        <f>SUMIFS('METAS EMPRESAS'!$K$15:$K$320,'METAS EMPRESAS'!$A$15:$A$320,"CMM",'METAS EMPRESAS'!$B$15:$B$320,"VIGAS",'METAS EMPRESAS'!$C$15:$C$320,$A259-WEEKDAY($A259,2)+1)</f>
        <v/>
      </c>
      <c r="H259" s="159">
        <f>SUMIFS('METAS EMPRESAS'!$G$15:$G$320,'METAS EMPRESAS'!$A$15:$A$320,"EJ",'METAS EMPRESAS'!$B$15:$B$320,"PREMONTAGEM",'METAS EMPRESAS'!$C$15:$C$320,$A259-WEEKDAY($A259,2)+1)</f>
        <v/>
      </c>
      <c r="I259" s="159">
        <f>SUMIFS('METAS EMPRESAS'!$G$15:$G$320,'METAS EMPRESAS'!$A$15:$A$320,"EJ",'METAS EMPRESAS'!$B$15:$B$320,"IÇAMENTO JOIST",'METAS EMPRESAS'!$C$15:$C$320,$A259-WEEKDAY($A259,2)+1)</f>
        <v/>
      </c>
      <c r="J259" s="159">
        <f>SUMIFS('METAS EMPRESAS'!$G$15:$G$320,'METAS EMPRESAS'!$A$15:$A$320,"EJ",'METAS EMPRESAS'!$B$15:$B$320,"VIGAS",'METAS EMPRESAS'!$C$15:$C$320,$A259-WEEKDAY($A259,2)+1)</f>
        <v/>
      </c>
      <c r="K259" s="159">
        <f>SUMIFS('METAS EMPRESAS'!$G$15:$G$320,'METAS EMPRESAS'!$A$15:$A$320,"CMM",'METAS EMPRESAS'!$B$15:$B$320,"PREMONTAGEM",'METAS EMPRESAS'!$C$15:$C$320,$A259-WEEKDAY($A259,2)+1)</f>
        <v/>
      </c>
      <c r="L259" s="159">
        <f>SUMIFS('METAS EMPRESAS'!$G$15:$G$320,'METAS EMPRESAS'!$A$15:$A$320,"CMM",'METAS EMPRESAS'!$B$15:$B$320,"IÇAMENTO JOIST",'METAS EMPRESAS'!$C$15:$C$320,$A259-WEEKDAY($A259,2)+1)</f>
        <v/>
      </c>
      <c r="M259" s="159">
        <f>SUMIFS('METAS EMPRESAS'!$G$15:$G$320,'METAS EMPRESAS'!$A$15:$A$320,"CMM",'METAS EMPRESAS'!$B$15:$B$320,"VIGAS",'METAS EMPRESAS'!$C$15:$C$320,$A259-WEEKDAY($A259,2)+1)</f>
        <v/>
      </c>
      <c r="N259" s="159">
        <f>SUMIFS('METAS EMPRESAS'!$J$15:$J$320,'METAS EMPRESAS'!$A$15:$A$320,"EJ",'METAS EMPRESAS'!$B$15:$B$320,"PREMONTAGEM",'METAS EMPRESAS'!$C$15:$C$320,$A259-WEEKDAY($A259,2)+1)</f>
        <v/>
      </c>
      <c r="O259" s="159">
        <f>SUMIFS('METAS EMPRESAS'!$J$15:$J$320,'METAS EMPRESAS'!$A$15:$A$320,"EJ",'METAS EMPRESAS'!$B$15:$B$320,"IÇAMENTO JOIST",'METAS EMPRESAS'!$C$15:$C$320,$A259-WEEKDAY($A259,2)+1)</f>
        <v/>
      </c>
      <c r="P259" s="159">
        <f>SUMIFS('METAS EMPRESAS'!$J$15:$J$320,'METAS EMPRESAS'!$A$15:$A$320,"EJ",'METAS EMPRESAS'!$B$15:$B$320,"VIGAS",'METAS EMPRESAS'!$C$15:$C$320,$A259-WEEKDAY($A259,2)+1)</f>
        <v/>
      </c>
      <c r="Q259" s="159">
        <f>SUMIFS('METAS EMPRESAS'!$J$15:$J$320,'METAS EMPRESAS'!$A$15:$A$320,"CMM",'METAS EMPRESAS'!$B$15:$B$320,"PREMONTAGEM",'METAS EMPRESAS'!$C$15:$C$320,$A259-WEEKDAY($A259,2)+1)</f>
        <v/>
      </c>
      <c r="R259" s="159">
        <f>SUMIFS('METAS EMPRESAS'!$J$15:$J$320,'METAS EMPRESAS'!$A$15:$A$320,"CMM",'METAS EMPRESAS'!$B$15:$B$320,"IÇAMENTO JOIST",'METAS EMPRESAS'!$C$15:$C$320,$A259-WEEKDAY($A259,2)+1)</f>
        <v/>
      </c>
      <c r="S259" s="159">
        <f>SUMIFS('METAS EMPRESAS'!$J$15:$J$320,'METAS EMPRESAS'!$A$15:$A$320,"CMM",'METAS EMPRESAS'!$B$15:$B$320,"VIGAS",'METAS EMPRESAS'!$C$15:$C$320,$A259-WEEKDAY($A259,2)+1)</f>
        <v/>
      </c>
      <c r="T259">
        <f>--(WEEKDAY(A259,2)&lt;=5)</f>
        <v/>
      </c>
      <c r="U259" t="n">
        <v>19</v>
      </c>
      <c r="V259" t="n">
        <v>7</v>
      </c>
      <c r="W259" t="n">
        <v>0</v>
      </c>
      <c r="X259" t="n">
        <v>5</v>
      </c>
      <c r="Y259" t="n">
        <v>5</v>
      </c>
      <c r="Z259" t="n">
        <v>5</v>
      </c>
      <c r="AA259" t="n">
        <v>95</v>
      </c>
      <c r="AB259" t="n">
        <v>35</v>
      </c>
      <c r="AC259" t="n">
        <v>0</v>
      </c>
    </row>
    <row r="260">
      <c r="A260" s="317" t="n">
        <v>46481</v>
      </c>
      <c r="B260" s="159">
        <f>SUMIFS('METAS EMPRESAS'!$K$15:$K$320,'METAS EMPRESAS'!$A$15:$A$320,"EJ",'METAS EMPRESAS'!$B$15:$B$320,"PREMONTAGEM",'METAS EMPRESAS'!$C$15:$C$320,$A260-WEEKDAY($A260,2)+1)</f>
        <v/>
      </c>
      <c r="C260" s="159">
        <f>SUMIFS('METAS EMPRESAS'!$K$15:$K$320,'METAS EMPRESAS'!$A$15:$A$320,"EJ",'METAS EMPRESAS'!$B$15:$B$320,"IÇAMENTO JOIST",'METAS EMPRESAS'!$C$15:$C$320,$A260-WEEKDAY($A260,2)+1)</f>
        <v/>
      </c>
      <c r="D260" s="159">
        <f>SUMIFS('METAS EMPRESAS'!$K$15:$K$320,'METAS EMPRESAS'!$A$15:$A$320,"EJ",'METAS EMPRESAS'!$B$15:$B$320,"VIGAS",'METAS EMPRESAS'!$C$15:$C$320,$A260-WEEKDAY($A260,2)+1)</f>
        <v/>
      </c>
      <c r="E260" s="159">
        <f>SUMIFS('METAS EMPRESAS'!$K$15:$K$320,'METAS EMPRESAS'!$A$15:$A$320,"CMM",'METAS EMPRESAS'!$B$15:$B$320,"PREMONTAGEM",'METAS EMPRESAS'!$C$15:$C$320,$A260-WEEKDAY($A260,2)+1)</f>
        <v/>
      </c>
      <c r="F260" s="159">
        <f>SUMIFS('METAS EMPRESAS'!$K$15:$K$320,'METAS EMPRESAS'!$A$15:$A$320,"CMM",'METAS EMPRESAS'!$B$15:$B$320,"IÇAMENTO JOIST",'METAS EMPRESAS'!$C$15:$C$320,$A260-WEEKDAY($A260,2)+1)</f>
        <v/>
      </c>
      <c r="G260" s="159">
        <f>SUMIFS('METAS EMPRESAS'!$K$15:$K$320,'METAS EMPRESAS'!$A$15:$A$320,"CMM",'METAS EMPRESAS'!$B$15:$B$320,"VIGAS",'METAS EMPRESAS'!$C$15:$C$320,$A260-WEEKDAY($A260,2)+1)</f>
        <v/>
      </c>
      <c r="H260" s="159">
        <f>SUMIFS('METAS EMPRESAS'!$G$15:$G$320,'METAS EMPRESAS'!$A$15:$A$320,"EJ",'METAS EMPRESAS'!$B$15:$B$320,"PREMONTAGEM",'METAS EMPRESAS'!$C$15:$C$320,$A260-WEEKDAY($A260,2)+1)</f>
        <v/>
      </c>
      <c r="I260" s="159">
        <f>SUMIFS('METAS EMPRESAS'!$G$15:$G$320,'METAS EMPRESAS'!$A$15:$A$320,"EJ",'METAS EMPRESAS'!$B$15:$B$320,"IÇAMENTO JOIST",'METAS EMPRESAS'!$C$15:$C$320,$A260-WEEKDAY($A260,2)+1)</f>
        <v/>
      </c>
      <c r="J260" s="159">
        <f>SUMIFS('METAS EMPRESAS'!$G$15:$G$320,'METAS EMPRESAS'!$A$15:$A$320,"EJ",'METAS EMPRESAS'!$B$15:$B$320,"VIGAS",'METAS EMPRESAS'!$C$15:$C$320,$A260-WEEKDAY($A260,2)+1)</f>
        <v/>
      </c>
      <c r="K260" s="159">
        <f>SUMIFS('METAS EMPRESAS'!$G$15:$G$320,'METAS EMPRESAS'!$A$15:$A$320,"CMM",'METAS EMPRESAS'!$B$15:$B$320,"PREMONTAGEM",'METAS EMPRESAS'!$C$15:$C$320,$A260-WEEKDAY($A260,2)+1)</f>
        <v/>
      </c>
      <c r="L260" s="159">
        <f>SUMIFS('METAS EMPRESAS'!$G$15:$G$320,'METAS EMPRESAS'!$A$15:$A$320,"CMM",'METAS EMPRESAS'!$B$15:$B$320,"IÇAMENTO JOIST",'METAS EMPRESAS'!$C$15:$C$320,$A260-WEEKDAY($A260,2)+1)</f>
        <v/>
      </c>
      <c r="M260" s="159">
        <f>SUMIFS('METAS EMPRESAS'!$G$15:$G$320,'METAS EMPRESAS'!$A$15:$A$320,"CMM",'METAS EMPRESAS'!$B$15:$B$320,"VIGAS",'METAS EMPRESAS'!$C$15:$C$320,$A260-WEEKDAY($A260,2)+1)</f>
        <v/>
      </c>
      <c r="N260" s="159">
        <f>SUMIFS('METAS EMPRESAS'!$J$15:$J$320,'METAS EMPRESAS'!$A$15:$A$320,"EJ",'METAS EMPRESAS'!$B$15:$B$320,"PREMONTAGEM",'METAS EMPRESAS'!$C$15:$C$320,$A260-WEEKDAY($A260,2)+1)</f>
        <v/>
      </c>
      <c r="O260" s="159">
        <f>SUMIFS('METAS EMPRESAS'!$J$15:$J$320,'METAS EMPRESAS'!$A$15:$A$320,"EJ",'METAS EMPRESAS'!$B$15:$B$320,"IÇAMENTO JOIST",'METAS EMPRESAS'!$C$15:$C$320,$A260-WEEKDAY($A260,2)+1)</f>
        <v/>
      </c>
      <c r="P260" s="159">
        <f>SUMIFS('METAS EMPRESAS'!$J$15:$J$320,'METAS EMPRESAS'!$A$15:$A$320,"EJ",'METAS EMPRESAS'!$B$15:$B$320,"VIGAS",'METAS EMPRESAS'!$C$15:$C$320,$A260-WEEKDAY($A260,2)+1)</f>
        <v/>
      </c>
      <c r="Q260" s="159">
        <f>SUMIFS('METAS EMPRESAS'!$J$15:$J$320,'METAS EMPRESAS'!$A$15:$A$320,"CMM",'METAS EMPRESAS'!$B$15:$B$320,"PREMONTAGEM",'METAS EMPRESAS'!$C$15:$C$320,$A260-WEEKDAY($A260,2)+1)</f>
        <v/>
      </c>
      <c r="R260" s="159">
        <f>SUMIFS('METAS EMPRESAS'!$J$15:$J$320,'METAS EMPRESAS'!$A$15:$A$320,"CMM",'METAS EMPRESAS'!$B$15:$B$320,"IÇAMENTO JOIST",'METAS EMPRESAS'!$C$15:$C$320,$A260-WEEKDAY($A260,2)+1)</f>
        <v/>
      </c>
      <c r="S260" s="159">
        <f>SUMIFS('METAS EMPRESAS'!$J$15:$J$320,'METAS EMPRESAS'!$A$15:$A$320,"CMM",'METAS EMPRESAS'!$B$15:$B$320,"VIGAS",'METAS EMPRESAS'!$C$15:$C$320,$A260-WEEKDAY($A260,2)+1)</f>
        <v/>
      </c>
      <c r="T260">
        <f>--(WEEKDAY(A260,2)&lt;=5)</f>
        <v/>
      </c>
      <c r="U260" t="n">
        <v>19</v>
      </c>
      <c r="V260" t="n">
        <v>7</v>
      </c>
      <c r="W260" t="n">
        <v>0</v>
      </c>
      <c r="X260" t="n">
        <v>5</v>
      </c>
      <c r="Y260" t="n">
        <v>5</v>
      </c>
      <c r="Z260" t="n">
        <v>5</v>
      </c>
      <c r="AA260" t="n">
        <v>95</v>
      </c>
      <c r="AB260" t="n">
        <v>35</v>
      </c>
      <c r="AC260" t="n">
        <v>0</v>
      </c>
    </row>
    <row r="261">
      <c r="A261" s="317" t="n">
        <v>46482</v>
      </c>
      <c r="B261" s="159">
        <f>SUMIFS('METAS EMPRESAS'!$K$15:$K$320,'METAS EMPRESAS'!$A$15:$A$320,"EJ",'METAS EMPRESAS'!$B$15:$B$320,"PREMONTAGEM",'METAS EMPRESAS'!$C$15:$C$320,$A261-WEEKDAY($A261,2)+1)</f>
        <v/>
      </c>
      <c r="C261" s="159">
        <f>SUMIFS('METAS EMPRESAS'!$K$15:$K$320,'METAS EMPRESAS'!$A$15:$A$320,"EJ",'METAS EMPRESAS'!$B$15:$B$320,"IÇAMENTO JOIST",'METAS EMPRESAS'!$C$15:$C$320,$A261-WEEKDAY($A261,2)+1)</f>
        <v/>
      </c>
      <c r="D261" s="159">
        <f>SUMIFS('METAS EMPRESAS'!$K$15:$K$320,'METAS EMPRESAS'!$A$15:$A$320,"EJ",'METAS EMPRESAS'!$B$15:$B$320,"VIGAS",'METAS EMPRESAS'!$C$15:$C$320,$A261-WEEKDAY($A261,2)+1)</f>
        <v/>
      </c>
      <c r="E261" s="159">
        <f>SUMIFS('METAS EMPRESAS'!$K$15:$K$320,'METAS EMPRESAS'!$A$15:$A$320,"CMM",'METAS EMPRESAS'!$B$15:$B$320,"PREMONTAGEM",'METAS EMPRESAS'!$C$15:$C$320,$A261-WEEKDAY($A261,2)+1)</f>
        <v/>
      </c>
      <c r="F261" s="159">
        <f>SUMIFS('METAS EMPRESAS'!$K$15:$K$320,'METAS EMPRESAS'!$A$15:$A$320,"CMM",'METAS EMPRESAS'!$B$15:$B$320,"IÇAMENTO JOIST",'METAS EMPRESAS'!$C$15:$C$320,$A261-WEEKDAY($A261,2)+1)</f>
        <v/>
      </c>
      <c r="G261" s="159">
        <f>SUMIFS('METAS EMPRESAS'!$K$15:$K$320,'METAS EMPRESAS'!$A$15:$A$320,"CMM",'METAS EMPRESAS'!$B$15:$B$320,"VIGAS",'METAS EMPRESAS'!$C$15:$C$320,$A261-WEEKDAY($A261,2)+1)</f>
        <v/>
      </c>
      <c r="H261" s="159">
        <f>SUMIFS('METAS EMPRESAS'!$G$15:$G$320,'METAS EMPRESAS'!$A$15:$A$320,"EJ",'METAS EMPRESAS'!$B$15:$B$320,"PREMONTAGEM",'METAS EMPRESAS'!$C$15:$C$320,$A261-WEEKDAY($A261,2)+1)</f>
        <v/>
      </c>
      <c r="I261" s="159">
        <f>SUMIFS('METAS EMPRESAS'!$G$15:$G$320,'METAS EMPRESAS'!$A$15:$A$320,"EJ",'METAS EMPRESAS'!$B$15:$B$320,"IÇAMENTO JOIST",'METAS EMPRESAS'!$C$15:$C$320,$A261-WEEKDAY($A261,2)+1)</f>
        <v/>
      </c>
      <c r="J261" s="159">
        <f>SUMIFS('METAS EMPRESAS'!$G$15:$G$320,'METAS EMPRESAS'!$A$15:$A$320,"EJ",'METAS EMPRESAS'!$B$15:$B$320,"VIGAS",'METAS EMPRESAS'!$C$15:$C$320,$A261-WEEKDAY($A261,2)+1)</f>
        <v/>
      </c>
      <c r="K261" s="159">
        <f>SUMIFS('METAS EMPRESAS'!$G$15:$G$320,'METAS EMPRESAS'!$A$15:$A$320,"CMM",'METAS EMPRESAS'!$B$15:$B$320,"PREMONTAGEM",'METAS EMPRESAS'!$C$15:$C$320,$A261-WEEKDAY($A261,2)+1)</f>
        <v/>
      </c>
      <c r="L261" s="159">
        <f>SUMIFS('METAS EMPRESAS'!$G$15:$G$320,'METAS EMPRESAS'!$A$15:$A$320,"CMM",'METAS EMPRESAS'!$B$15:$B$320,"IÇAMENTO JOIST",'METAS EMPRESAS'!$C$15:$C$320,$A261-WEEKDAY($A261,2)+1)</f>
        <v/>
      </c>
      <c r="M261" s="159">
        <f>SUMIFS('METAS EMPRESAS'!$G$15:$G$320,'METAS EMPRESAS'!$A$15:$A$320,"CMM",'METAS EMPRESAS'!$B$15:$B$320,"VIGAS",'METAS EMPRESAS'!$C$15:$C$320,$A261-WEEKDAY($A261,2)+1)</f>
        <v/>
      </c>
      <c r="N261" s="159">
        <f>SUMIFS('METAS EMPRESAS'!$J$15:$J$320,'METAS EMPRESAS'!$A$15:$A$320,"EJ",'METAS EMPRESAS'!$B$15:$B$320,"PREMONTAGEM",'METAS EMPRESAS'!$C$15:$C$320,$A261-WEEKDAY($A261,2)+1)</f>
        <v/>
      </c>
      <c r="O261" s="159">
        <f>SUMIFS('METAS EMPRESAS'!$J$15:$J$320,'METAS EMPRESAS'!$A$15:$A$320,"EJ",'METAS EMPRESAS'!$B$15:$B$320,"IÇAMENTO JOIST",'METAS EMPRESAS'!$C$15:$C$320,$A261-WEEKDAY($A261,2)+1)</f>
        <v/>
      </c>
      <c r="P261" s="159">
        <f>SUMIFS('METAS EMPRESAS'!$J$15:$J$320,'METAS EMPRESAS'!$A$15:$A$320,"EJ",'METAS EMPRESAS'!$B$15:$B$320,"VIGAS",'METAS EMPRESAS'!$C$15:$C$320,$A261-WEEKDAY($A261,2)+1)</f>
        <v/>
      </c>
      <c r="Q261" s="159">
        <f>SUMIFS('METAS EMPRESAS'!$J$15:$J$320,'METAS EMPRESAS'!$A$15:$A$320,"CMM",'METAS EMPRESAS'!$B$15:$B$320,"PREMONTAGEM",'METAS EMPRESAS'!$C$15:$C$320,$A261-WEEKDAY($A261,2)+1)</f>
        <v/>
      </c>
      <c r="R261" s="159">
        <f>SUMIFS('METAS EMPRESAS'!$J$15:$J$320,'METAS EMPRESAS'!$A$15:$A$320,"CMM",'METAS EMPRESAS'!$B$15:$B$320,"IÇAMENTO JOIST",'METAS EMPRESAS'!$C$15:$C$320,$A261-WEEKDAY($A261,2)+1)</f>
        <v/>
      </c>
      <c r="S261" s="159">
        <f>SUMIFS('METAS EMPRESAS'!$J$15:$J$320,'METAS EMPRESAS'!$A$15:$A$320,"CMM",'METAS EMPRESAS'!$B$15:$B$320,"VIGAS",'METAS EMPRESAS'!$C$15:$C$320,$A261-WEEKDAY($A261,2)+1)</f>
        <v/>
      </c>
      <c r="T261">
        <f>--(WEEKDAY(A261,2)&lt;=5)</f>
        <v/>
      </c>
      <c r="U261" t="n">
        <v>19</v>
      </c>
      <c r="V261" t="n">
        <v>7</v>
      </c>
      <c r="W261" t="n">
        <v>0</v>
      </c>
      <c r="X261" t="n">
        <v>5</v>
      </c>
      <c r="Y261" t="n">
        <v>5</v>
      </c>
      <c r="Z261" t="n">
        <v>5</v>
      </c>
      <c r="AA261" t="n">
        <v>95</v>
      </c>
      <c r="AB261" t="n">
        <v>35</v>
      </c>
      <c r="AC261" t="n">
        <v>0</v>
      </c>
    </row>
    <row r="262">
      <c r="A262" s="317" t="n">
        <v>46483</v>
      </c>
      <c r="B262" s="159">
        <f>SUMIFS('METAS EMPRESAS'!$K$15:$K$320,'METAS EMPRESAS'!$A$15:$A$320,"EJ",'METAS EMPRESAS'!$B$15:$B$320,"PREMONTAGEM",'METAS EMPRESAS'!$C$15:$C$320,$A262-WEEKDAY($A262,2)+1)</f>
        <v/>
      </c>
      <c r="C262" s="159">
        <f>SUMIFS('METAS EMPRESAS'!$K$15:$K$320,'METAS EMPRESAS'!$A$15:$A$320,"EJ",'METAS EMPRESAS'!$B$15:$B$320,"IÇAMENTO JOIST",'METAS EMPRESAS'!$C$15:$C$320,$A262-WEEKDAY($A262,2)+1)</f>
        <v/>
      </c>
      <c r="D262" s="159">
        <f>SUMIFS('METAS EMPRESAS'!$K$15:$K$320,'METAS EMPRESAS'!$A$15:$A$320,"EJ",'METAS EMPRESAS'!$B$15:$B$320,"VIGAS",'METAS EMPRESAS'!$C$15:$C$320,$A262-WEEKDAY($A262,2)+1)</f>
        <v/>
      </c>
      <c r="E262" s="159">
        <f>SUMIFS('METAS EMPRESAS'!$K$15:$K$320,'METAS EMPRESAS'!$A$15:$A$320,"CMM",'METAS EMPRESAS'!$B$15:$B$320,"PREMONTAGEM",'METAS EMPRESAS'!$C$15:$C$320,$A262-WEEKDAY($A262,2)+1)</f>
        <v/>
      </c>
      <c r="F262" s="159">
        <f>SUMIFS('METAS EMPRESAS'!$K$15:$K$320,'METAS EMPRESAS'!$A$15:$A$320,"CMM",'METAS EMPRESAS'!$B$15:$B$320,"IÇAMENTO JOIST",'METAS EMPRESAS'!$C$15:$C$320,$A262-WEEKDAY($A262,2)+1)</f>
        <v/>
      </c>
      <c r="G262" s="159">
        <f>SUMIFS('METAS EMPRESAS'!$K$15:$K$320,'METAS EMPRESAS'!$A$15:$A$320,"CMM",'METAS EMPRESAS'!$B$15:$B$320,"VIGAS",'METAS EMPRESAS'!$C$15:$C$320,$A262-WEEKDAY($A262,2)+1)</f>
        <v/>
      </c>
      <c r="H262" s="159">
        <f>SUMIFS('METAS EMPRESAS'!$G$15:$G$320,'METAS EMPRESAS'!$A$15:$A$320,"EJ",'METAS EMPRESAS'!$B$15:$B$320,"PREMONTAGEM",'METAS EMPRESAS'!$C$15:$C$320,$A262-WEEKDAY($A262,2)+1)</f>
        <v/>
      </c>
      <c r="I262" s="159">
        <f>SUMIFS('METAS EMPRESAS'!$G$15:$G$320,'METAS EMPRESAS'!$A$15:$A$320,"EJ",'METAS EMPRESAS'!$B$15:$B$320,"IÇAMENTO JOIST",'METAS EMPRESAS'!$C$15:$C$320,$A262-WEEKDAY($A262,2)+1)</f>
        <v/>
      </c>
      <c r="J262" s="159">
        <f>SUMIFS('METAS EMPRESAS'!$G$15:$G$320,'METAS EMPRESAS'!$A$15:$A$320,"EJ",'METAS EMPRESAS'!$B$15:$B$320,"VIGAS",'METAS EMPRESAS'!$C$15:$C$320,$A262-WEEKDAY($A262,2)+1)</f>
        <v/>
      </c>
      <c r="K262" s="159">
        <f>SUMIFS('METAS EMPRESAS'!$G$15:$G$320,'METAS EMPRESAS'!$A$15:$A$320,"CMM",'METAS EMPRESAS'!$B$15:$B$320,"PREMONTAGEM",'METAS EMPRESAS'!$C$15:$C$320,$A262-WEEKDAY($A262,2)+1)</f>
        <v/>
      </c>
      <c r="L262" s="159">
        <f>SUMIFS('METAS EMPRESAS'!$G$15:$G$320,'METAS EMPRESAS'!$A$15:$A$320,"CMM",'METAS EMPRESAS'!$B$15:$B$320,"IÇAMENTO JOIST",'METAS EMPRESAS'!$C$15:$C$320,$A262-WEEKDAY($A262,2)+1)</f>
        <v/>
      </c>
      <c r="M262" s="159">
        <f>SUMIFS('METAS EMPRESAS'!$G$15:$G$320,'METAS EMPRESAS'!$A$15:$A$320,"CMM",'METAS EMPRESAS'!$B$15:$B$320,"VIGAS",'METAS EMPRESAS'!$C$15:$C$320,$A262-WEEKDAY($A262,2)+1)</f>
        <v/>
      </c>
      <c r="N262" s="159">
        <f>SUMIFS('METAS EMPRESAS'!$J$15:$J$320,'METAS EMPRESAS'!$A$15:$A$320,"EJ",'METAS EMPRESAS'!$B$15:$B$320,"PREMONTAGEM",'METAS EMPRESAS'!$C$15:$C$320,$A262-WEEKDAY($A262,2)+1)</f>
        <v/>
      </c>
      <c r="O262" s="159">
        <f>SUMIFS('METAS EMPRESAS'!$J$15:$J$320,'METAS EMPRESAS'!$A$15:$A$320,"EJ",'METAS EMPRESAS'!$B$15:$B$320,"IÇAMENTO JOIST",'METAS EMPRESAS'!$C$15:$C$320,$A262-WEEKDAY($A262,2)+1)</f>
        <v/>
      </c>
      <c r="P262" s="159">
        <f>SUMIFS('METAS EMPRESAS'!$J$15:$J$320,'METAS EMPRESAS'!$A$15:$A$320,"EJ",'METAS EMPRESAS'!$B$15:$B$320,"VIGAS",'METAS EMPRESAS'!$C$15:$C$320,$A262-WEEKDAY($A262,2)+1)</f>
        <v/>
      </c>
      <c r="Q262" s="159">
        <f>SUMIFS('METAS EMPRESAS'!$J$15:$J$320,'METAS EMPRESAS'!$A$15:$A$320,"CMM",'METAS EMPRESAS'!$B$15:$B$320,"PREMONTAGEM",'METAS EMPRESAS'!$C$15:$C$320,$A262-WEEKDAY($A262,2)+1)</f>
        <v/>
      </c>
      <c r="R262" s="159">
        <f>SUMIFS('METAS EMPRESAS'!$J$15:$J$320,'METAS EMPRESAS'!$A$15:$A$320,"CMM",'METAS EMPRESAS'!$B$15:$B$320,"IÇAMENTO JOIST",'METAS EMPRESAS'!$C$15:$C$320,$A262-WEEKDAY($A262,2)+1)</f>
        <v/>
      </c>
      <c r="S262" s="159">
        <f>SUMIFS('METAS EMPRESAS'!$J$15:$J$320,'METAS EMPRESAS'!$A$15:$A$320,"CMM",'METAS EMPRESAS'!$B$15:$B$320,"VIGAS",'METAS EMPRESAS'!$C$15:$C$320,$A262-WEEKDAY($A262,2)+1)</f>
        <v/>
      </c>
      <c r="T262">
        <f>--(WEEKDAY(A262,2)&lt;=5)</f>
        <v/>
      </c>
      <c r="U262" t="n">
        <v>19</v>
      </c>
      <c r="V262" t="n">
        <v>7</v>
      </c>
      <c r="W262" t="n">
        <v>0</v>
      </c>
      <c r="X262" t="n">
        <v>5</v>
      </c>
      <c r="Y262" t="n">
        <v>5</v>
      </c>
      <c r="Z262" t="n">
        <v>5</v>
      </c>
      <c r="AA262" t="n">
        <v>95</v>
      </c>
      <c r="AB262" t="n">
        <v>35</v>
      </c>
      <c r="AC262" t="n">
        <v>0</v>
      </c>
    </row>
    <row r="263">
      <c r="A263" s="317" t="n">
        <v>46484</v>
      </c>
      <c r="B263" s="159">
        <f>SUMIFS('METAS EMPRESAS'!$K$15:$K$320,'METAS EMPRESAS'!$A$15:$A$320,"EJ",'METAS EMPRESAS'!$B$15:$B$320,"PREMONTAGEM",'METAS EMPRESAS'!$C$15:$C$320,$A263-WEEKDAY($A263,2)+1)</f>
        <v/>
      </c>
      <c r="C263" s="159">
        <f>SUMIFS('METAS EMPRESAS'!$K$15:$K$320,'METAS EMPRESAS'!$A$15:$A$320,"EJ",'METAS EMPRESAS'!$B$15:$B$320,"IÇAMENTO JOIST",'METAS EMPRESAS'!$C$15:$C$320,$A263-WEEKDAY($A263,2)+1)</f>
        <v/>
      </c>
      <c r="D263" s="159">
        <f>SUMIFS('METAS EMPRESAS'!$K$15:$K$320,'METAS EMPRESAS'!$A$15:$A$320,"EJ",'METAS EMPRESAS'!$B$15:$B$320,"VIGAS",'METAS EMPRESAS'!$C$15:$C$320,$A263-WEEKDAY($A263,2)+1)</f>
        <v/>
      </c>
      <c r="E263" s="159">
        <f>SUMIFS('METAS EMPRESAS'!$K$15:$K$320,'METAS EMPRESAS'!$A$15:$A$320,"CMM",'METAS EMPRESAS'!$B$15:$B$320,"PREMONTAGEM",'METAS EMPRESAS'!$C$15:$C$320,$A263-WEEKDAY($A263,2)+1)</f>
        <v/>
      </c>
      <c r="F263" s="159">
        <f>SUMIFS('METAS EMPRESAS'!$K$15:$K$320,'METAS EMPRESAS'!$A$15:$A$320,"CMM",'METAS EMPRESAS'!$B$15:$B$320,"IÇAMENTO JOIST",'METAS EMPRESAS'!$C$15:$C$320,$A263-WEEKDAY($A263,2)+1)</f>
        <v/>
      </c>
      <c r="G263" s="159">
        <f>SUMIFS('METAS EMPRESAS'!$K$15:$K$320,'METAS EMPRESAS'!$A$15:$A$320,"CMM",'METAS EMPRESAS'!$B$15:$B$320,"VIGAS",'METAS EMPRESAS'!$C$15:$C$320,$A263-WEEKDAY($A263,2)+1)</f>
        <v/>
      </c>
      <c r="H263" s="159">
        <f>SUMIFS('METAS EMPRESAS'!$G$15:$G$320,'METAS EMPRESAS'!$A$15:$A$320,"EJ",'METAS EMPRESAS'!$B$15:$B$320,"PREMONTAGEM",'METAS EMPRESAS'!$C$15:$C$320,$A263-WEEKDAY($A263,2)+1)</f>
        <v/>
      </c>
      <c r="I263" s="159">
        <f>SUMIFS('METAS EMPRESAS'!$G$15:$G$320,'METAS EMPRESAS'!$A$15:$A$320,"EJ",'METAS EMPRESAS'!$B$15:$B$320,"IÇAMENTO JOIST",'METAS EMPRESAS'!$C$15:$C$320,$A263-WEEKDAY($A263,2)+1)</f>
        <v/>
      </c>
      <c r="J263" s="159">
        <f>SUMIFS('METAS EMPRESAS'!$G$15:$G$320,'METAS EMPRESAS'!$A$15:$A$320,"EJ",'METAS EMPRESAS'!$B$15:$B$320,"VIGAS",'METAS EMPRESAS'!$C$15:$C$320,$A263-WEEKDAY($A263,2)+1)</f>
        <v/>
      </c>
      <c r="K263" s="159">
        <f>SUMIFS('METAS EMPRESAS'!$G$15:$G$320,'METAS EMPRESAS'!$A$15:$A$320,"CMM",'METAS EMPRESAS'!$B$15:$B$320,"PREMONTAGEM",'METAS EMPRESAS'!$C$15:$C$320,$A263-WEEKDAY($A263,2)+1)</f>
        <v/>
      </c>
      <c r="L263" s="159">
        <f>SUMIFS('METAS EMPRESAS'!$G$15:$G$320,'METAS EMPRESAS'!$A$15:$A$320,"CMM",'METAS EMPRESAS'!$B$15:$B$320,"IÇAMENTO JOIST",'METAS EMPRESAS'!$C$15:$C$320,$A263-WEEKDAY($A263,2)+1)</f>
        <v/>
      </c>
      <c r="M263" s="159">
        <f>SUMIFS('METAS EMPRESAS'!$G$15:$G$320,'METAS EMPRESAS'!$A$15:$A$320,"CMM",'METAS EMPRESAS'!$B$15:$B$320,"VIGAS",'METAS EMPRESAS'!$C$15:$C$320,$A263-WEEKDAY($A263,2)+1)</f>
        <v/>
      </c>
      <c r="N263" s="159">
        <f>SUMIFS('METAS EMPRESAS'!$J$15:$J$320,'METAS EMPRESAS'!$A$15:$A$320,"EJ",'METAS EMPRESAS'!$B$15:$B$320,"PREMONTAGEM",'METAS EMPRESAS'!$C$15:$C$320,$A263-WEEKDAY($A263,2)+1)</f>
        <v/>
      </c>
      <c r="O263" s="159">
        <f>SUMIFS('METAS EMPRESAS'!$J$15:$J$320,'METAS EMPRESAS'!$A$15:$A$320,"EJ",'METAS EMPRESAS'!$B$15:$B$320,"IÇAMENTO JOIST",'METAS EMPRESAS'!$C$15:$C$320,$A263-WEEKDAY($A263,2)+1)</f>
        <v/>
      </c>
      <c r="P263" s="159">
        <f>SUMIFS('METAS EMPRESAS'!$J$15:$J$320,'METAS EMPRESAS'!$A$15:$A$320,"EJ",'METAS EMPRESAS'!$B$15:$B$320,"VIGAS",'METAS EMPRESAS'!$C$15:$C$320,$A263-WEEKDAY($A263,2)+1)</f>
        <v/>
      </c>
      <c r="Q263" s="159">
        <f>SUMIFS('METAS EMPRESAS'!$J$15:$J$320,'METAS EMPRESAS'!$A$15:$A$320,"CMM",'METAS EMPRESAS'!$B$15:$B$320,"PREMONTAGEM",'METAS EMPRESAS'!$C$15:$C$320,$A263-WEEKDAY($A263,2)+1)</f>
        <v/>
      </c>
      <c r="R263" s="159">
        <f>SUMIFS('METAS EMPRESAS'!$J$15:$J$320,'METAS EMPRESAS'!$A$15:$A$320,"CMM",'METAS EMPRESAS'!$B$15:$B$320,"IÇAMENTO JOIST",'METAS EMPRESAS'!$C$15:$C$320,$A263-WEEKDAY($A263,2)+1)</f>
        <v/>
      </c>
      <c r="S263" s="159">
        <f>SUMIFS('METAS EMPRESAS'!$J$15:$J$320,'METAS EMPRESAS'!$A$15:$A$320,"CMM",'METAS EMPRESAS'!$B$15:$B$320,"VIGAS",'METAS EMPRESAS'!$C$15:$C$320,$A263-WEEKDAY($A263,2)+1)</f>
        <v/>
      </c>
      <c r="T263">
        <f>--(WEEKDAY(A263,2)&lt;=5)</f>
        <v/>
      </c>
      <c r="U263" t="n">
        <v>19</v>
      </c>
      <c r="V263" t="n">
        <v>7</v>
      </c>
      <c r="W263" t="n">
        <v>0</v>
      </c>
      <c r="X263" t="n">
        <v>5</v>
      </c>
      <c r="Y263" t="n">
        <v>5</v>
      </c>
      <c r="Z263" t="n">
        <v>5</v>
      </c>
      <c r="AA263" t="n">
        <v>95</v>
      </c>
      <c r="AB263" t="n">
        <v>35</v>
      </c>
      <c r="AC263" t="n">
        <v>0</v>
      </c>
    </row>
    <row r="264">
      <c r="A264" s="317" t="n">
        <v>46485</v>
      </c>
      <c r="B264" s="159">
        <f>SUMIFS('METAS EMPRESAS'!$K$15:$K$320,'METAS EMPRESAS'!$A$15:$A$320,"EJ",'METAS EMPRESAS'!$B$15:$B$320,"PREMONTAGEM",'METAS EMPRESAS'!$C$15:$C$320,$A264-WEEKDAY($A264,2)+1)</f>
        <v/>
      </c>
      <c r="C264" s="159">
        <f>SUMIFS('METAS EMPRESAS'!$K$15:$K$320,'METAS EMPRESAS'!$A$15:$A$320,"EJ",'METAS EMPRESAS'!$B$15:$B$320,"IÇAMENTO JOIST",'METAS EMPRESAS'!$C$15:$C$320,$A264-WEEKDAY($A264,2)+1)</f>
        <v/>
      </c>
      <c r="D264" s="159">
        <f>SUMIFS('METAS EMPRESAS'!$K$15:$K$320,'METAS EMPRESAS'!$A$15:$A$320,"EJ",'METAS EMPRESAS'!$B$15:$B$320,"VIGAS",'METAS EMPRESAS'!$C$15:$C$320,$A264-WEEKDAY($A264,2)+1)</f>
        <v/>
      </c>
      <c r="E264" s="159">
        <f>SUMIFS('METAS EMPRESAS'!$K$15:$K$320,'METAS EMPRESAS'!$A$15:$A$320,"CMM",'METAS EMPRESAS'!$B$15:$B$320,"PREMONTAGEM",'METAS EMPRESAS'!$C$15:$C$320,$A264-WEEKDAY($A264,2)+1)</f>
        <v/>
      </c>
      <c r="F264" s="159">
        <f>SUMIFS('METAS EMPRESAS'!$K$15:$K$320,'METAS EMPRESAS'!$A$15:$A$320,"CMM",'METAS EMPRESAS'!$B$15:$B$320,"IÇAMENTO JOIST",'METAS EMPRESAS'!$C$15:$C$320,$A264-WEEKDAY($A264,2)+1)</f>
        <v/>
      </c>
      <c r="G264" s="159">
        <f>SUMIFS('METAS EMPRESAS'!$K$15:$K$320,'METAS EMPRESAS'!$A$15:$A$320,"CMM",'METAS EMPRESAS'!$B$15:$B$320,"VIGAS",'METAS EMPRESAS'!$C$15:$C$320,$A264-WEEKDAY($A264,2)+1)</f>
        <v/>
      </c>
      <c r="H264" s="159">
        <f>SUMIFS('METAS EMPRESAS'!$G$15:$G$320,'METAS EMPRESAS'!$A$15:$A$320,"EJ",'METAS EMPRESAS'!$B$15:$B$320,"PREMONTAGEM",'METAS EMPRESAS'!$C$15:$C$320,$A264-WEEKDAY($A264,2)+1)</f>
        <v/>
      </c>
      <c r="I264" s="159">
        <f>SUMIFS('METAS EMPRESAS'!$G$15:$G$320,'METAS EMPRESAS'!$A$15:$A$320,"EJ",'METAS EMPRESAS'!$B$15:$B$320,"IÇAMENTO JOIST",'METAS EMPRESAS'!$C$15:$C$320,$A264-WEEKDAY($A264,2)+1)</f>
        <v/>
      </c>
      <c r="J264" s="159">
        <f>SUMIFS('METAS EMPRESAS'!$G$15:$G$320,'METAS EMPRESAS'!$A$15:$A$320,"EJ",'METAS EMPRESAS'!$B$15:$B$320,"VIGAS",'METAS EMPRESAS'!$C$15:$C$320,$A264-WEEKDAY($A264,2)+1)</f>
        <v/>
      </c>
      <c r="K264" s="159">
        <f>SUMIFS('METAS EMPRESAS'!$G$15:$G$320,'METAS EMPRESAS'!$A$15:$A$320,"CMM",'METAS EMPRESAS'!$B$15:$B$320,"PREMONTAGEM",'METAS EMPRESAS'!$C$15:$C$320,$A264-WEEKDAY($A264,2)+1)</f>
        <v/>
      </c>
      <c r="L264" s="159">
        <f>SUMIFS('METAS EMPRESAS'!$G$15:$G$320,'METAS EMPRESAS'!$A$15:$A$320,"CMM",'METAS EMPRESAS'!$B$15:$B$320,"IÇAMENTO JOIST",'METAS EMPRESAS'!$C$15:$C$320,$A264-WEEKDAY($A264,2)+1)</f>
        <v/>
      </c>
      <c r="M264" s="159">
        <f>SUMIFS('METAS EMPRESAS'!$G$15:$G$320,'METAS EMPRESAS'!$A$15:$A$320,"CMM",'METAS EMPRESAS'!$B$15:$B$320,"VIGAS",'METAS EMPRESAS'!$C$15:$C$320,$A264-WEEKDAY($A264,2)+1)</f>
        <v/>
      </c>
      <c r="N264" s="159">
        <f>SUMIFS('METAS EMPRESAS'!$J$15:$J$320,'METAS EMPRESAS'!$A$15:$A$320,"EJ",'METAS EMPRESAS'!$B$15:$B$320,"PREMONTAGEM",'METAS EMPRESAS'!$C$15:$C$320,$A264-WEEKDAY($A264,2)+1)</f>
        <v/>
      </c>
      <c r="O264" s="159">
        <f>SUMIFS('METAS EMPRESAS'!$J$15:$J$320,'METAS EMPRESAS'!$A$15:$A$320,"EJ",'METAS EMPRESAS'!$B$15:$B$320,"IÇAMENTO JOIST",'METAS EMPRESAS'!$C$15:$C$320,$A264-WEEKDAY($A264,2)+1)</f>
        <v/>
      </c>
      <c r="P264" s="159">
        <f>SUMIFS('METAS EMPRESAS'!$J$15:$J$320,'METAS EMPRESAS'!$A$15:$A$320,"EJ",'METAS EMPRESAS'!$B$15:$B$320,"VIGAS",'METAS EMPRESAS'!$C$15:$C$320,$A264-WEEKDAY($A264,2)+1)</f>
        <v/>
      </c>
      <c r="Q264" s="159">
        <f>SUMIFS('METAS EMPRESAS'!$J$15:$J$320,'METAS EMPRESAS'!$A$15:$A$320,"CMM",'METAS EMPRESAS'!$B$15:$B$320,"PREMONTAGEM",'METAS EMPRESAS'!$C$15:$C$320,$A264-WEEKDAY($A264,2)+1)</f>
        <v/>
      </c>
      <c r="R264" s="159">
        <f>SUMIFS('METAS EMPRESAS'!$J$15:$J$320,'METAS EMPRESAS'!$A$15:$A$320,"CMM",'METAS EMPRESAS'!$B$15:$B$320,"IÇAMENTO JOIST",'METAS EMPRESAS'!$C$15:$C$320,$A264-WEEKDAY($A264,2)+1)</f>
        <v/>
      </c>
      <c r="S264" s="159">
        <f>SUMIFS('METAS EMPRESAS'!$J$15:$J$320,'METAS EMPRESAS'!$A$15:$A$320,"CMM",'METAS EMPRESAS'!$B$15:$B$320,"VIGAS",'METAS EMPRESAS'!$C$15:$C$320,$A264-WEEKDAY($A264,2)+1)</f>
        <v/>
      </c>
      <c r="T264">
        <f>--(WEEKDAY(A264,2)&lt;=5)</f>
        <v/>
      </c>
      <c r="U264" t="n">
        <v>19</v>
      </c>
      <c r="V264" t="n">
        <v>7</v>
      </c>
      <c r="W264" t="n">
        <v>0</v>
      </c>
      <c r="X264" t="n">
        <v>5</v>
      </c>
      <c r="Y264" t="n">
        <v>5</v>
      </c>
      <c r="Z264" t="n">
        <v>5</v>
      </c>
      <c r="AA264" t="n">
        <v>95</v>
      </c>
      <c r="AB264" t="n">
        <v>35</v>
      </c>
      <c r="AC264" t="n">
        <v>0</v>
      </c>
    </row>
    <row r="265">
      <c r="A265" s="317" t="n">
        <v>46486</v>
      </c>
      <c r="B265" s="159">
        <f>SUMIFS('METAS EMPRESAS'!$K$15:$K$320,'METAS EMPRESAS'!$A$15:$A$320,"EJ",'METAS EMPRESAS'!$B$15:$B$320,"PREMONTAGEM",'METAS EMPRESAS'!$C$15:$C$320,$A265-WEEKDAY($A265,2)+1)</f>
        <v/>
      </c>
      <c r="C265" s="159">
        <f>SUMIFS('METAS EMPRESAS'!$K$15:$K$320,'METAS EMPRESAS'!$A$15:$A$320,"EJ",'METAS EMPRESAS'!$B$15:$B$320,"IÇAMENTO JOIST",'METAS EMPRESAS'!$C$15:$C$320,$A265-WEEKDAY($A265,2)+1)</f>
        <v/>
      </c>
      <c r="D265" s="159">
        <f>SUMIFS('METAS EMPRESAS'!$K$15:$K$320,'METAS EMPRESAS'!$A$15:$A$320,"EJ",'METAS EMPRESAS'!$B$15:$B$320,"VIGAS",'METAS EMPRESAS'!$C$15:$C$320,$A265-WEEKDAY($A265,2)+1)</f>
        <v/>
      </c>
      <c r="E265" s="159">
        <f>SUMIFS('METAS EMPRESAS'!$K$15:$K$320,'METAS EMPRESAS'!$A$15:$A$320,"CMM",'METAS EMPRESAS'!$B$15:$B$320,"PREMONTAGEM",'METAS EMPRESAS'!$C$15:$C$320,$A265-WEEKDAY($A265,2)+1)</f>
        <v/>
      </c>
      <c r="F265" s="159">
        <f>SUMIFS('METAS EMPRESAS'!$K$15:$K$320,'METAS EMPRESAS'!$A$15:$A$320,"CMM",'METAS EMPRESAS'!$B$15:$B$320,"IÇAMENTO JOIST",'METAS EMPRESAS'!$C$15:$C$320,$A265-WEEKDAY($A265,2)+1)</f>
        <v/>
      </c>
      <c r="G265" s="159">
        <f>SUMIFS('METAS EMPRESAS'!$K$15:$K$320,'METAS EMPRESAS'!$A$15:$A$320,"CMM",'METAS EMPRESAS'!$B$15:$B$320,"VIGAS",'METAS EMPRESAS'!$C$15:$C$320,$A265-WEEKDAY($A265,2)+1)</f>
        <v/>
      </c>
      <c r="H265" s="159">
        <f>SUMIFS('METAS EMPRESAS'!$G$15:$G$320,'METAS EMPRESAS'!$A$15:$A$320,"EJ",'METAS EMPRESAS'!$B$15:$B$320,"PREMONTAGEM",'METAS EMPRESAS'!$C$15:$C$320,$A265-WEEKDAY($A265,2)+1)</f>
        <v/>
      </c>
      <c r="I265" s="159">
        <f>SUMIFS('METAS EMPRESAS'!$G$15:$G$320,'METAS EMPRESAS'!$A$15:$A$320,"EJ",'METAS EMPRESAS'!$B$15:$B$320,"IÇAMENTO JOIST",'METAS EMPRESAS'!$C$15:$C$320,$A265-WEEKDAY($A265,2)+1)</f>
        <v/>
      </c>
      <c r="J265" s="159">
        <f>SUMIFS('METAS EMPRESAS'!$G$15:$G$320,'METAS EMPRESAS'!$A$15:$A$320,"EJ",'METAS EMPRESAS'!$B$15:$B$320,"VIGAS",'METAS EMPRESAS'!$C$15:$C$320,$A265-WEEKDAY($A265,2)+1)</f>
        <v/>
      </c>
      <c r="K265" s="159">
        <f>SUMIFS('METAS EMPRESAS'!$G$15:$G$320,'METAS EMPRESAS'!$A$15:$A$320,"CMM",'METAS EMPRESAS'!$B$15:$B$320,"PREMONTAGEM",'METAS EMPRESAS'!$C$15:$C$320,$A265-WEEKDAY($A265,2)+1)</f>
        <v/>
      </c>
      <c r="L265" s="159">
        <f>SUMIFS('METAS EMPRESAS'!$G$15:$G$320,'METAS EMPRESAS'!$A$15:$A$320,"CMM",'METAS EMPRESAS'!$B$15:$B$320,"IÇAMENTO JOIST",'METAS EMPRESAS'!$C$15:$C$320,$A265-WEEKDAY($A265,2)+1)</f>
        <v/>
      </c>
      <c r="M265" s="159">
        <f>SUMIFS('METAS EMPRESAS'!$G$15:$G$320,'METAS EMPRESAS'!$A$15:$A$320,"CMM",'METAS EMPRESAS'!$B$15:$B$320,"VIGAS",'METAS EMPRESAS'!$C$15:$C$320,$A265-WEEKDAY($A265,2)+1)</f>
        <v/>
      </c>
      <c r="N265" s="159">
        <f>SUMIFS('METAS EMPRESAS'!$J$15:$J$320,'METAS EMPRESAS'!$A$15:$A$320,"EJ",'METAS EMPRESAS'!$B$15:$B$320,"PREMONTAGEM",'METAS EMPRESAS'!$C$15:$C$320,$A265-WEEKDAY($A265,2)+1)</f>
        <v/>
      </c>
      <c r="O265" s="159">
        <f>SUMIFS('METAS EMPRESAS'!$J$15:$J$320,'METAS EMPRESAS'!$A$15:$A$320,"EJ",'METAS EMPRESAS'!$B$15:$B$320,"IÇAMENTO JOIST",'METAS EMPRESAS'!$C$15:$C$320,$A265-WEEKDAY($A265,2)+1)</f>
        <v/>
      </c>
      <c r="P265" s="159">
        <f>SUMIFS('METAS EMPRESAS'!$J$15:$J$320,'METAS EMPRESAS'!$A$15:$A$320,"EJ",'METAS EMPRESAS'!$B$15:$B$320,"VIGAS",'METAS EMPRESAS'!$C$15:$C$320,$A265-WEEKDAY($A265,2)+1)</f>
        <v/>
      </c>
      <c r="Q265" s="159">
        <f>SUMIFS('METAS EMPRESAS'!$J$15:$J$320,'METAS EMPRESAS'!$A$15:$A$320,"CMM",'METAS EMPRESAS'!$B$15:$B$320,"PREMONTAGEM",'METAS EMPRESAS'!$C$15:$C$320,$A265-WEEKDAY($A265,2)+1)</f>
        <v/>
      </c>
      <c r="R265" s="159">
        <f>SUMIFS('METAS EMPRESAS'!$J$15:$J$320,'METAS EMPRESAS'!$A$15:$A$320,"CMM",'METAS EMPRESAS'!$B$15:$B$320,"IÇAMENTO JOIST",'METAS EMPRESAS'!$C$15:$C$320,$A265-WEEKDAY($A265,2)+1)</f>
        <v/>
      </c>
      <c r="S265" s="159">
        <f>SUMIFS('METAS EMPRESAS'!$J$15:$J$320,'METAS EMPRESAS'!$A$15:$A$320,"CMM",'METAS EMPRESAS'!$B$15:$B$320,"VIGAS",'METAS EMPRESAS'!$C$15:$C$320,$A265-WEEKDAY($A265,2)+1)</f>
        <v/>
      </c>
      <c r="T265">
        <f>--(WEEKDAY(A265,2)&lt;=5)</f>
        <v/>
      </c>
      <c r="U265" t="n">
        <v>19</v>
      </c>
      <c r="V265" t="n">
        <v>7</v>
      </c>
      <c r="W265" t="n">
        <v>0</v>
      </c>
      <c r="X265" t="n">
        <v>5</v>
      </c>
      <c r="Y265" t="n">
        <v>5</v>
      </c>
      <c r="Z265" t="n">
        <v>5</v>
      </c>
      <c r="AA265" t="n">
        <v>95</v>
      </c>
      <c r="AB265" t="n">
        <v>35</v>
      </c>
      <c r="AC265" t="n">
        <v>0</v>
      </c>
    </row>
    <row r="266">
      <c r="A266" s="317" t="n">
        <v>46487</v>
      </c>
      <c r="B266" s="159">
        <f>SUMIFS('METAS EMPRESAS'!$K$15:$K$320,'METAS EMPRESAS'!$A$15:$A$320,"EJ",'METAS EMPRESAS'!$B$15:$B$320,"PREMONTAGEM",'METAS EMPRESAS'!$C$15:$C$320,$A266-WEEKDAY($A266,2)+1)</f>
        <v/>
      </c>
      <c r="C266" s="159">
        <f>SUMIFS('METAS EMPRESAS'!$K$15:$K$320,'METAS EMPRESAS'!$A$15:$A$320,"EJ",'METAS EMPRESAS'!$B$15:$B$320,"IÇAMENTO JOIST",'METAS EMPRESAS'!$C$15:$C$320,$A266-WEEKDAY($A266,2)+1)</f>
        <v/>
      </c>
      <c r="D266" s="159">
        <f>SUMIFS('METAS EMPRESAS'!$K$15:$K$320,'METAS EMPRESAS'!$A$15:$A$320,"EJ",'METAS EMPRESAS'!$B$15:$B$320,"VIGAS",'METAS EMPRESAS'!$C$15:$C$320,$A266-WEEKDAY($A266,2)+1)</f>
        <v/>
      </c>
      <c r="E266" s="159">
        <f>SUMIFS('METAS EMPRESAS'!$K$15:$K$320,'METAS EMPRESAS'!$A$15:$A$320,"CMM",'METAS EMPRESAS'!$B$15:$B$320,"PREMONTAGEM",'METAS EMPRESAS'!$C$15:$C$320,$A266-WEEKDAY($A266,2)+1)</f>
        <v/>
      </c>
      <c r="F266" s="159">
        <f>SUMIFS('METAS EMPRESAS'!$K$15:$K$320,'METAS EMPRESAS'!$A$15:$A$320,"CMM",'METAS EMPRESAS'!$B$15:$B$320,"IÇAMENTO JOIST",'METAS EMPRESAS'!$C$15:$C$320,$A266-WEEKDAY($A266,2)+1)</f>
        <v/>
      </c>
      <c r="G266" s="159">
        <f>SUMIFS('METAS EMPRESAS'!$K$15:$K$320,'METAS EMPRESAS'!$A$15:$A$320,"CMM",'METAS EMPRESAS'!$B$15:$B$320,"VIGAS",'METAS EMPRESAS'!$C$15:$C$320,$A266-WEEKDAY($A266,2)+1)</f>
        <v/>
      </c>
      <c r="H266" s="159">
        <f>SUMIFS('METAS EMPRESAS'!$G$15:$G$320,'METAS EMPRESAS'!$A$15:$A$320,"EJ",'METAS EMPRESAS'!$B$15:$B$320,"PREMONTAGEM",'METAS EMPRESAS'!$C$15:$C$320,$A266-WEEKDAY($A266,2)+1)</f>
        <v/>
      </c>
      <c r="I266" s="159">
        <f>SUMIFS('METAS EMPRESAS'!$G$15:$G$320,'METAS EMPRESAS'!$A$15:$A$320,"EJ",'METAS EMPRESAS'!$B$15:$B$320,"IÇAMENTO JOIST",'METAS EMPRESAS'!$C$15:$C$320,$A266-WEEKDAY($A266,2)+1)</f>
        <v/>
      </c>
      <c r="J266" s="159">
        <f>SUMIFS('METAS EMPRESAS'!$G$15:$G$320,'METAS EMPRESAS'!$A$15:$A$320,"EJ",'METAS EMPRESAS'!$B$15:$B$320,"VIGAS",'METAS EMPRESAS'!$C$15:$C$320,$A266-WEEKDAY($A266,2)+1)</f>
        <v/>
      </c>
      <c r="K266" s="159">
        <f>SUMIFS('METAS EMPRESAS'!$G$15:$G$320,'METAS EMPRESAS'!$A$15:$A$320,"CMM",'METAS EMPRESAS'!$B$15:$B$320,"PREMONTAGEM",'METAS EMPRESAS'!$C$15:$C$320,$A266-WEEKDAY($A266,2)+1)</f>
        <v/>
      </c>
      <c r="L266" s="159">
        <f>SUMIFS('METAS EMPRESAS'!$G$15:$G$320,'METAS EMPRESAS'!$A$15:$A$320,"CMM",'METAS EMPRESAS'!$B$15:$B$320,"IÇAMENTO JOIST",'METAS EMPRESAS'!$C$15:$C$320,$A266-WEEKDAY($A266,2)+1)</f>
        <v/>
      </c>
      <c r="M266" s="159">
        <f>SUMIFS('METAS EMPRESAS'!$G$15:$G$320,'METAS EMPRESAS'!$A$15:$A$320,"CMM",'METAS EMPRESAS'!$B$15:$B$320,"VIGAS",'METAS EMPRESAS'!$C$15:$C$320,$A266-WEEKDAY($A266,2)+1)</f>
        <v/>
      </c>
      <c r="N266" s="159">
        <f>SUMIFS('METAS EMPRESAS'!$J$15:$J$320,'METAS EMPRESAS'!$A$15:$A$320,"EJ",'METAS EMPRESAS'!$B$15:$B$320,"PREMONTAGEM",'METAS EMPRESAS'!$C$15:$C$320,$A266-WEEKDAY($A266,2)+1)</f>
        <v/>
      </c>
      <c r="O266" s="159">
        <f>SUMIFS('METAS EMPRESAS'!$J$15:$J$320,'METAS EMPRESAS'!$A$15:$A$320,"EJ",'METAS EMPRESAS'!$B$15:$B$320,"IÇAMENTO JOIST",'METAS EMPRESAS'!$C$15:$C$320,$A266-WEEKDAY($A266,2)+1)</f>
        <v/>
      </c>
      <c r="P266" s="159">
        <f>SUMIFS('METAS EMPRESAS'!$J$15:$J$320,'METAS EMPRESAS'!$A$15:$A$320,"EJ",'METAS EMPRESAS'!$B$15:$B$320,"VIGAS",'METAS EMPRESAS'!$C$15:$C$320,$A266-WEEKDAY($A266,2)+1)</f>
        <v/>
      </c>
      <c r="Q266" s="159">
        <f>SUMIFS('METAS EMPRESAS'!$J$15:$J$320,'METAS EMPRESAS'!$A$15:$A$320,"CMM",'METAS EMPRESAS'!$B$15:$B$320,"PREMONTAGEM",'METAS EMPRESAS'!$C$15:$C$320,$A266-WEEKDAY($A266,2)+1)</f>
        <v/>
      </c>
      <c r="R266" s="159">
        <f>SUMIFS('METAS EMPRESAS'!$J$15:$J$320,'METAS EMPRESAS'!$A$15:$A$320,"CMM",'METAS EMPRESAS'!$B$15:$B$320,"IÇAMENTO JOIST",'METAS EMPRESAS'!$C$15:$C$320,$A266-WEEKDAY($A266,2)+1)</f>
        <v/>
      </c>
      <c r="S266" s="159">
        <f>SUMIFS('METAS EMPRESAS'!$J$15:$J$320,'METAS EMPRESAS'!$A$15:$A$320,"CMM",'METAS EMPRESAS'!$B$15:$B$320,"VIGAS",'METAS EMPRESAS'!$C$15:$C$320,$A266-WEEKDAY($A266,2)+1)</f>
        <v/>
      </c>
      <c r="T266">
        <f>--(WEEKDAY(A266,2)&lt;=5)</f>
        <v/>
      </c>
      <c r="U266" t="n">
        <v>19</v>
      </c>
      <c r="V266" t="n">
        <v>7</v>
      </c>
      <c r="W266" t="n">
        <v>0</v>
      </c>
      <c r="X266" t="n">
        <v>5</v>
      </c>
      <c r="Y266" t="n">
        <v>5</v>
      </c>
      <c r="Z266" t="n">
        <v>5</v>
      </c>
      <c r="AA266" t="n">
        <v>95</v>
      </c>
      <c r="AB266" t="n">
        <v>35</v>
      </c>
      <c r="AC266" t="n">
        <v>0</v>
      </c>
    </row>
    <row r="267">
      <c r="A267" s="317" t="n">
        <v>46488</v>
      </c>
      <c r="B267" s="159">
        <f>SUMIFS('METAS EMPRESAS'!$K$15:$K$320,'METAS EMPRESAS'!$A$15:$A$320,"EJ",'METAS EMPRESAS'!$B$15:$B$320,"PREMONTAGEM",'METAS EMPRESAS'!$C$15:$C$320,$A267-WEEKDAY($A267,2)+1)</f>
        <v/>
      </c>
      <c r="C267" s="159">
        <f>SUMIFS('METAS EMPRESAS'!$K$15:$K$320,'METAS EMPRESAS'!$A$15:$A$320,"EJ",'METAS EMPRESAS'!$B$15:$B$320,"IÇAMENTO JOIST",'METAS EMPRESAS'!$C$15:$C$320,$A267-WEEKDAY($A267,2)+1)</f>
        <v/>
      </c>
      <c r="D267" s="159">
        <f>SUMIFS('METAS EMPRESAS'!$K$15:$K$320,'METAS EMPRESAS'!$A$15:$A$320,"EJ",'METAS EMPRESAS'!$B$15:$B$320,"VIGAS",'METAS EMPRESAS'!$C$15:$C$320,$A267-WEEKDAY($A267,2)+1)</f>
        <v/>
      </c>
      <c r="E267" s="159">
        <f>SUMIFS('METAS EMPRESAS'!$K$15:$K$320,'METAS EMPRESAS'!$A$15:$A$320,"CMM",'METAS EMPRESAS'!$B$15:$B$320,"PREMONTAGEM",'METAS EMPRESAS'!$C$15:$C$320,$A267-WEEKDAY($A267,2)+1)</f>
        <v/>
      </c>
      <c r="F267" s="159">
        <f>SUMIFS('METAS EMPRESAS'!$K$15:$K$320,'METAS EMPRESAS'!$A$15:$A$320,"CMM",'METAS EMPRESAS'!$B$15:$B$320,"IÇAMENTO JOIST",'METAS EMPRESAS'!$C$15:$C$320,$A267-WEEKDAY($A267,2)+1)</f>
        <v/>
      </c>
      <c r="G267" s="159">
        <f>SUMIFS('METAS EMPRESAS'!$K$15:$K$320,'METAS EMPRESAS'!$A$15:$A$320,"CMM",'METAS EMPRESAS'!$B$15:$B$320,"VIGAS",'METAS EMPRESAS'!$C$15:$C$320,$A267-WEEKDAY($A267,2)+1)</f>
        <v/>
      </c>
      <c r="H267" s="159">
        <f>SUMIFS('METAS EMPRESAS'!$G$15:$G$320,'METAS EMPRESAS'!$A$15:$A$320,"EJ",'METAS EMPRESAS'!$B$15:$B$320,"PREMONTAGEM",'METAS EMPRESAS'!$C$15:$C$320,$A267-WEEKDAY($A267,2)+1)</f>
        <v/>
      </c>
      <c r="I267" s="159">
        <f>SUMIFS('METAS EMPRESAS'!$G$15:$G$320,'METAS EMPRESAS'!$A$15:$A$320,"EJ",'METAS EMPRESAS'!$B$15:$B$320,"IÇAMENTO JOIST",'METAS EMPRESAS'!$C$15:$C$320,$A267-WEEKDAY($A267,2)+1)</f>
        <v/>
      </c>
      <c r="J267" s="159">
        <f>SUMIFS('METAS EMPRESAS'!$G$15:$G$320,'METAS EMPRESAS'!$A$15:$A$320,"EJ",'METAS EMPRESAS'!$B$15:$B$320,"VIGAS",'METAS EMPRESAS'!$C$15:$C$320,$A267-WEEKDAY($A267,2)+1)</f>
        <v/>
      </c>
      <c r="K267" s="159">
        <f>SUMIFS('METAS EMPRESAS'!$G$15:$G$320,'METAS EMPRESAS'!$A$15:$A$320,"CMM",'METAS EMPRESAS'!$B$15:$B$320,"PREMONTAGEM",'METAS EMPRESAS'!$C$15:$C$320,$A267-WEEKDAY($A267,2)+1)</f>
        <v/>
      </c>
      <c r="L267" s="159">
        <f>SUMIFS('METAS EMPRESAS'!$G$15:$G$320,'METAS EMPRESAS'!$A$15:$A$320,"CMM",'METAS EMPRESAS'!$B$15:$B$320,"IÇAMENTO JOIST",'METAS EMPRESAS'!$C$15:$C$320,$A267-WEEKDAY($A267,2)+1)</f>
        <v/>
      </c>
      <c r="M267" s="159">
        <f>SUMIFS('METAS EMPRESAS'!$G$15:$G$320,'METAS EMPRESAS'!$A$15:$A$320,"CMM",'METAS EMPRESAS'!$B$15:$B$320,"VIGAS",'METAS EMPRESAS'!$C$15:$C$320,$A267-WEEKDAY($A267,2)+1)</f>
        <v/>
      </c>
      <c r="N267" s="159">
        <f>SUMIFS('METAS EMPRESAS'!$J$15:$J$320,'METAS EMPRESAS'!$A$15:$A$320,"EJ",'METAS EMPRESAS'!$B$15:$B$320,"PREMONTAGEM",'METAS EMPRESAS'!$C$15:$C$320,$A267-WEEKDAY($A267,2)+1)</f>
        <v/>
      </c>
      <c r="O267" s="159">
        <f>SUMIFS('METAS EMPRESAS'!$J$15:$J$320,'METAS EMPRESAS'!$A$15:$A$320,"EJ",'METAS EMPRESAS'!$B$15:$B$320,"IÇAMENTO JOIST",'METAS EMPRESAS'!$C$15:$C$320,$A267-WEEKDAY($A267,2)+1)</f>
        <v/>
      </c>
      <c r="P267" s="159">
        <f>SUMIFS('METAS EMPRESAS'!$J$15:$J$320,'METAS EMPRESAS'!$A$15:$A$320,"EJ",'METAS EMPRESAS'!$B$15:$B$320,"VIGAS",'METAS EMPRESAS'!$C$15:$C$320,$A267-WEEKDAY($A267,2)+1)</f>
        <v/>
      </c>
      <c r="Q267" s="159">
        <f>SUMIFS('METAS EMPRESAS'!$J$15:$J$320,'METAS EMPRESAS'!$A$15:$A$320,"CMM",'METAS EMPRESAS'!$B$15:$B$320,"PREMONTAGEM",'METAS EMPRESAS'!$C$15:$C$320,$A267-WEEKDAY($A267,2)+1)</f>
        <v/>
      </c>
      <c r="R267" s="159">
        <f>SUMIFS('METAS EMPRESAS'!$J$15:$J$320,'METAS EMPRESAS'!$A$15:$A$320,"CMM",'METAS EMPRESAS'!$B$15:$B$320,"IÇAMENTO JOIST",'METAS EMPRESAS'!$C$15:$C$320,$A267-WEEKDAY($A267,2)+1)</f>
        <v/>
      </c>
      <c r="S267" s="159">
        <f>SUMIFS('METAS EMPRESAS'!$J$15:$J$320,'METAS EMPRESAS'!$A$15:$A$320,"CMM",'METAS EMPRESAS'!$B$15:$B$320,"VIGAS",'METAS EMPRESAS'!$C$15:$C$320,$A267-WEEKDAY($A267,2)+1)</f>
        <v/>
      </c>
      <c r="T267">
        <f>--(WEEKDAY(A267,2)&lt;=5)</f>
        <v/>
      </c>
      <c r="U267" t="n">
        <v>19</v>
      </c>
      <c r="V267" t="n">
        <v>7</v>
      </c>
      <c r="W267" t="n">
        <v>0</v>
      </c>
      <c r="X267" t="n">
        <v>5</v>
      </c>
      <c r="Y267" t="n">
        <v>5</v>
      </c>
      <c r="Z267" t="n">
        <v>5</v>
      </c>
      <c r="AA267" t="n">
        <v>95</v>
      </c>
      <c r="AB267" t="n">
        <v>35</v>
      </c>
      <c r="AC267" t="n">
        <v>0</v>
      </c>
    </row>
    <row r="268">
      <c r="A268" s="317" t="n">
        <v>46489</v>
      </c>
      <c r="B268" s="159">
        <f>SUMIFS('METAS EMPRESAS'!$K$15:$K$320,'METAS EMPRESAS'!$A$15:$A$320,"EJ",'METAS EMPRESAS'!$B$15:$B$320,"PREMONTAGEM",'METAS EMPRESAS'!$C$15:$C$320,$A268-WEEKDAY($A268,2)+1)</f>
        <v/>
      </c>
      <c r="C268" s="159">
        <f>SUMIFS('METAS EMPRESAS'!$K$15:$K$320,'METAS EMPRESAS'!$A$15:$A$320,"EJ",'METAS EMPRESAS'!$B$15:$B$320,"IÇAMENTO JOIST",'METAS EMPRESAS'!$C$15:$C$320,$A268-WEEKDAY($A268,2)+1)</f>
        <v/>
      </c>
      <c r="D268" s="159">
        <f>SUMIFS('METAS EMPRESAS'!$K$15:$K$320,'METAS EMPRESAS'!$A$15:$A$320,"EJ",'METAS EMPRESAS'!$B$15:$B$320,"VIGAS",'METAS EMPRESAS'!$C$15:$C$320,$A268-WEEKDAY($A268,2)+1)</f>
        <v/>
      </c>
      <c r="E268" s="159">
        <f>SUMIFS('METAS EMPRESAS'!$K$15:$K$320,'METAS EMPRESAS'!$A$15:$A$320,"CMM",'METAS EMPRESAS'!$B$15:$B$320,"PREMONTAGEM",'METAS EMPRESAS'!$C$15:$C$320,$A268-WEEKDAY($A268,2)+1)</f>
        <v/>
      </c>
      <c r="F268" s="159">
        <f>SUMIFS('METAS EMPRESAS'!$K$15:$K$320,'METAS EMPRESAS'!$A$15:$A$320,"CMM",'METAS EMPRESAS'!$B$15:$B$320,"IÇAMENTO JOIST",'METAS EMPRESAS'!$C$15:$C$320,$A268-WEEKDAY($A268,2)+1)</f>
        <v/>
      </c>
      <c r="G268" s="159">
        <f>SUMIFS('METAS EMPRESAS'!$K$15:$K$320,'METAS EMPRESAS'!$A$15:$A$320,"CMM",'METAS EMPRESAS'!$B$15:$B$320,"VIGAS",'METAS EMPRESAS'!$C$15:$C$320,$A268-WEEKDAY($A268,2)+1)</f>
        <v/>
      </c>
      <c r="H268" s="159">
        <f>SUMIFS('METAS EMPRESAS'!$G$15:$G$320,'METAS EMPRESAS'!$A$15:$A$320,"EJ",'METAS EMPRESAS'!$B$15:$B$320,"PREMONTAGEM",'METAS EMPRESAS'!$C$15:$C$320,$A268-WEEKDAY($A268,2)+1)</f>
        <v/>
      </c>
      <c r="I268" s="159">
        <f>SUMIFS('METAS EMPRESAS'!$G$15:$G$320,'METAS EMPRESAS'!$A$15:$A$320,"EJ",'METAS EMPRESAS'!$B$15:$B$320,"IÇAMENTO JOIST",'METAS EMPRESAS'!$C$15:$C$320,$A268-WEEKDAY($A268,2)+1)</f>
        <v/>
      </c>
      <c r="J268" s="159">
        <f>SUMIFS('METAS EMPRESAS'!$G$15:$G$320,'METAS EMPRESAS'!$A$15:$A$320,"EJ",'METAS EMPRESAS'!$B$15:$B$320,"VIGAS",'METAS EMPRESAS'!$C$15:$C$320,$A268-WEEKDAY($A268,2)+1)</f>
        <v/>
      </c>
      <c r="K268" s="159">
        <f>SUMIFS('METAS EMPRESAS'!$G$15:$G$320,'METAS EMPRESAS'!$A$15:$A$320,"CMM",'METAS EMPRESAS'!$B$15:$B$320,"PREMONTAGEM",'METAS EMPRESAS'!$C$15:$C$320,$A268-WEEKDAY($A268,2)+1)</f>
        <v/>
      </c>
      <c r="L268" s="159">
        <f>SUMIFS('METAS EMPRESAS'!$G$15:$G$320,'METAS EMPRESAS'!$A$15:$A$320,"CMM",'METAS EMPRESAS'!$B$15:$B$320,"IÇAMENTO JOIST",'METAS EMPRESAS'!$C$15:$C$320,$A268-WEEKDAY($A268,2)+1)</f>
        <v/>
      </c>
      <c r="M268" s="159">
        <f>SUMIFS('METAS EMPRESAS'!$G$15:$G$320,'METAS EMPRESAS'!$A$15:$A$320,"CMM",'METAS EMPRESAS'!$B$15:$B$320,"VIGAS",'METAS EMPRESAS'!$C$15:$C$320,$A268-WEEKDAY($A268,2)+1)</f>
        <v/>
      </c>
      <c r="N268" s="159">
        <f>SUMIFS('METAS EMPRESAS'!$J$15:$J$320,'METAS EMPRESAS'!$A$15:$A$320,"EJ",'METAS EMPRESAS'!$B$15:$B$320,"PREMONTAGEM",'METAS EMPRESAS'!$C$15:$C$320,$A268-WEEKDAY($A268,2)+1)</f>
        <v/>
      </c>
      <c r="O268" s="159">
        <f>SUMIFS('METAS EMPRESAS'!$J$15:$J$320,'METAS EMPRESAS'!$A$15:$A$320,"EJ",'METAS EMPRESAS'!$B$15:$B$320,"IÇAMENTO JOIST",'METAS EMPRESAS'!$C$15:$C$320,$A268-WEEKDAY($A268,2)+1)</f>
        <v/>
      </c>
      <c r="P268" s="159">
        <f>SUMIFS('METAS EMPRESAS'!$J$15:$J$320,'METAS EMPRESAS'!$A$15:$A$320,"EJ",'METAS EMPRESAS'!$B$15:$B$320,"VIGAS",'METAS EMPRESAS'!$C$15:$C$320,$A268-WEEKDAY($A268,2)+1)</f>
        <v/>
      </c>
      <c r="Q268" s="159">
        <f>SUMIFS('METAS EMPRESAS'!$J$15:$J$320,'METAS EMPRESAS'!$A$15:$A$320,"CMM",'METAS EMPRESAS'!$B$15:$B$320,"PREMONTAGEM",'METAS EMPRESAS'!$C$15:$C$320,$A268-WEEKDAY($A268,2)+1)</f>
        <v/>
      </c>
      <c r="R268" s="159">
        <f>SUMIFS('METAS EMPRESAS'!$J$15:$J$320,'METAS EMPRESAS'!$A$15:$A$320,"CMM",'METAS EMPRESAS'!$B$15:$B$320,"IÇAMENTO JOIST",'METAS EMPRESAS'!$C$15:$C$320,$A268-WEEKDAY($A268,2)+1)</f>
        <v/>
      </c>
      <c r="S268" s="159">
        <f>SUMIFS('METAS EMPRESAS'!$J$15:$J$320,'METAS EMPRESAS'!$A$15:$A$320,"CMM",'METAS EMPRESAS'!$B$15:$B$320,"VIGAS",'METAS EMPRESAS'!$C$15:$C$320,$A268-WEEKDAY($A268,2)+1)</f>
        <v/>
      </c>
      <c r="T268">
        <f>--(WEEKDAY(A268,2)&lt;=5)</f>
        <v/>
      </c>
      <c r="U268" t="n">
        <v>19</v>
      </c>
      <c r="V268" t="n">
        <v>7</v>
      </c>
      <c r="W268" t="n">
        <v>0</v>
      </c>
      <c r="X268" t="n">
        <v>5</v>
      </c>
      <c r="Y268" t="n">
        <v>5</v>
      </c>
      <c r="Z268" t="n">
        <v>5</v>
      </c>
      <c r="AA268" t="n">
        <v>95</v>
      </c>
      <c r="AB268" t="n">
        <v>35</v>
      </c>
      <c r="AC268" t="n">
        <v>0</v>
      </c>
    </row>
    <row r="269">
      <c r="A269" s="317" t="n">
        <v>46490</v>
      </c>
      <c r="B269" s="159">
        <f>SUMIFS('METAS EMPRESAS'!$K$15:$K$320,'METAS EMPRESAS'!$A$15:$A$320,"EJ",'METAS EMPRESAS'!$B$15:$B$320,"PREMONTAGEM",'METAS EMPRESAS'!$C$15:$C$320,$A269-WEEKDAY($A269,2)+1)</f>
        <v/>
      </c>
      <c r="C269" s="159">
        <f>SUMIFS('METAS EMPRESAS'!$K$15:$K$320,'METAS EMPRESAS'!$A$15:$A$320,"EJ",'METAS EMPRESAS'!$B$15:$B$320,"IÇAMENTO JOIST",'METAS EMPRESAS'!$C$15:$C$320,$A269-WEEKDAY($A269,2)+1)</f>
        <v/>
      </c>
      <c r="D269" s="159">
        <f>SUMIFS('METAS EMPRESAS'!$K$15:$K$320,'METAS EMPRESAS'!$A$15:$A$320,"EJ",'METAS EMPRESAS'!$B$15:$B$320,"VIGAS",'METAS EMPRESAS'!$C$15:$C$320,$A269-WEEKDAY($A269,2)+1)</f>
        <v/>
      </c>
      <c r="E269" s="159">
        <f>SUMIFS('METAS EMPRESAS'!$K$15:$K$320,'METAS EMPRESAS'!$A$15:$A$320,"CMM",'METAS EMPRESAS'!$B$15:$B$320,"PREMONTAGEM",'METAS EMPRESAS'!$C$15:$C$320,$A269-WEEKDAY($A269,2)+1)</f>
        <v/>
      </c>
      <c r="F269" s="159">
        <f>SUMIFS('METAS EMPRESAS'!$K$15:$K$320,'METAS EMPRESAS'!$A$15:$A$320,"CMM",'METAS EMPRESAS'!$B$15:$B$320,"IÇAMENTO JOIST",'METAS EMPRESAS'!$C$15:$C$320,$A269-WEEKDAY($A269,2)+1)</f>
        <v/>
      </c>
      <c r="G269" s="159">
        <f>SUMIFS('METAS EMPRESAS'!$K$15:$K$320,'METAS EMPRESAS'!$A$15:$A$320,"CMM",'METAS EMPRESAS'!$B$15:$B$320,"VIGAS",'METAS EMPRESAS'!$C$15:$C$320,$A269-WEEKDAY($A269,2)+1)</f>
        <v/>
      </c>
      <c r="H269" s="159">
        <f>SUMIFS('METAS EMPRESAS'!$G$15:$G$320,'METAS EMPRESAS'!$A$15:$A$320,"EJ",'METAS EMPRESAS'!$B$15:$B$320,"PREMONTAGEM",'METAS EMPRESAS'!$C$15:$C$320,$A269-WEEKDAY($A269,2)+1)</f>
        <v/>
      </c>
      <c r="I269" s="159">
        <f>SUMIFS('METAS EMPRESAS'!$G$15:$G$320,'METAS EMPRESAS'!$A$15:$A$320,"EJ",'METAS EMPRESAS'!$B$15:$B$320,"IÇAMENTO JOIST",'METAS EMPRESAS'!$C$15:$C$320,$A269-WEEKDAY($A269,2)+1)</f>
        <v/>
      </c>
      <c r="J269" s="159">
        <f>SUMIFS('METAS EMPRESAS'!$G$15:$G$320,'METAS EMPRESAS'!$A$15:$A$320,"EJ",'METAS EMPRESAS'!$B$15:$B$320,"VIGAS",'METAS EMPRESAS'!$C$15:$C$320,$A269-WEEKDAY($A269,2)+1)</f>
        <v/>
      </c>
      <c r="K269" s="159">
        <f>SUMIFS('METAS EMPRESAS'!$G$15:$G$320,'METAS EMPRESAS'!$A$15:$A$320,"CMM",'METAS EMPRESAS'!$B$15:$B$320,"PREMONTAGEM",'METAS EMPRESAS'!$C$15:$C$320,$A269-WEEKDAY($A269,2)+1)</f>
        <v/>
      </c>
      <c r="L269" s="159">
        <f>SUMIFS('METAS EMPRESAS'!$G$15:$G$320,'METAS EMPRESAS'!$A$15:$A$320,"CMM",'METAS EMPRESAS'!$B$15:$B$320,"IÇAMENTO JOIST",'METAS EMPRESAS'!$C$15:$C$320,$A269-WEEKDAY($A269,2)+1)</f>
        <v/>
      </c>
      <c r="M269" s="159">
        <f>SUMIFS('METAS EMPRESAS'!$G$15:$G$320,'METAS EMPRESAS'!$A$15:$A$320,"CMM",'METAS EMPRESAS'!$B$15:$B$320,"VIGAS",'METAS EMPRESAS'!$C$15:$C$320,$A269-WEEKDAY($A269,2)+1)</f>
        <v/>
      </c>
      <c r="N269" s="159">
        <f>SUMIFS('METAS EMPRESAS'!$J$15:$J$320,'METAS EMPRESAS'!$A$15:$A$320,"EJ",'METAS EMPRESAS'!$B$15:$B$320,"PREMONTAGEM",'METAS EMPRESAS'!$C$15:$C$320,$A269-WEEKDAY($A269,2)+1)</f>
        <v/>
      </c>
      <c r="O269" s="159">
        <f>SUMIFS('METAS EMPRESAS'!$J$15:$J$320,'METAS EMPRESAS'!$A$15:$A$320,"EJ",'METAS EMPRESAS'!$B$15:$B$320,"IÇAMENTO JOIST",'METAS EMPRESAS'!$C$15:$C$320,$A269-WEEKDAY($A269,2)+1)</f>
        <v/>
      </c>
      <c r="P269" s="159">
        <f>SUMIFS('METAS EMPRESAS'!$J$15:$J$320,'METAS EMPRESAS'!$A$15:$A$320,"EJ",'METAS EMPRESAS'!$B$15:$B$320,"VIGAS",'METAS EMPRESAS'!$C$15:$C$320,$A269-WEEKDAY($A269,2)+1)</f>
        <v/>
      </c>
      <c r="Q269" s="159">
        <f>SUMIFS('METAS EMPRESAS'!$J$15:$J$320,'METAS EMPRESAS'!$A$15:$A$320,"CMM",'METAS EMPRESAS'!$B$15:$B$320,"PREMONTAGEM",'METAS EMPRESAS'!$C$15:$C$320,$A269-WEEKDAY($A269,2)+1)</f>
        <v/>
      </c>
      <c r="R269" s="159">
        <f>SUMIFS('METAS EMPRESAS'!$J$15:$J$320,'METAS EMPRESAS'!$A$15:$A$320,"CMM",'METAS EMPRESAS'!$B$15:$B$320,"IÇAMENTO JOIST",'METAS EMPRESAS'!$C$15:$C$320,$A269-WEEKDAY($A269,2)+1)</f>
        <v/>
      </c>
      <c r="S269" s="159">
        <f>SUMIFS('METAS EMPRESAS'!$J$15:$J$320,'METAS EMPRESAS'!$A$15:$A$320,"CMM",'METAS EMPRESAS'!$B$15:$B$320,"VIGAS",'METAS EMPRESAS'!$C$15:$C$320,$A269-WEEKDAY($A269,2)+1)</f>
        <v/>
      </c>
      <c r="T269">
        <f>--(WEEKDAY(A269,2)&lt;=5)</f>
        <v/>
      </c>
      <c r="U269" t="n">
        <v>19</v>
      </c>
      <c r="V269" t="n">
        <v>7</v>
      </c>
      <c r="W269" t="n">
        <v>0</v>
      </c>
      <c r="X269" t="n">
        <v>5</v>
      </c>
      <c r="Y269" t="n">
        <v>5</v>
      </c>
      <c r="Z269" t="n">
        <v>5</v>
      </c>
      <c r="AA269" t="n">
        <v>95</v>
      </c>
      <c r="AB269" t="n">
        <v>35</v>
      </c>
      <c r="AC269" t="n">
        <v>0</v>
      </c>
    </row>
    <row r="270">
      <c r="A270" s="317" t="n">
        <v>46491</v>
      </c>
      <c r="B270" s="159">
        <f>SUMIFS('METAS EMPRESAS'!$K$15:$K$320,'METAS EMPRESAS'!$A$15:$A$320,"EJ",'METAS EMPRESAS'!$B$15:$B$320,"PREMONTAGEM",'METAS EMPRESAS'!$C$15:$C$320,$A270-WEEKDAY($A270,2)+1)</f>
        <v/>
      </c>
      <c r="C270" s="159">
        <f>SUMIFS('METAS EMPRESAS'!$K$15:$K$320,'METAS EMPRESAS'!$A$15:$A$320,"EJ",'METAS EMPRESAS'!$B$15:$B$320,"IÇAMENTO JOIST",'METAS EMPRESAS'!$C$15:$C$320,$A270-WEEKDAY($A270,2)+1)</f>
        <v/>
      </c>
      <c r="D270" s="159">
        <f>SUMIFS('METAS EMPRESAS'!$K$15:$K$320,'METAS EMPRESAS'!$A$15:$A$320,"EJ",'METAS EMPRESAS'!$B$15:$B$320,"VIGAS",'METAS EMPRESAS'!$C$15:$C$320,$A270-WEEKDAY($A270,2)+1)</f>
        <v/>
      </c>
      <c r="E270" s="159">
        <f>SUMIFS('METAS EMPRESAS'!$K$15:$K$320,'METAS EMPRESAS'!$A$15:$A$320,"CMM",'METAS EMPRESAS'!$B$15:$B$320,"PREMONTAGEM",'METAS EMPRESAS'!$C$15:$C$320,$A270-WEEKDAY($A270,2)+1)</f>
        <v/>
      </c>
      <c r="F270" s="159">
        <f>SUMIFS('METAS EMPRESAS'!$K$15:$K$320,'METAS EMPRESAS'!$A$15:$A$320,"CMM",'METAS EMPRESAS'!$B$15:$B$320,"IÇAMENTO JOIST",'METAS EMPRESAS'!$C$15:$C$320,$A270-WEEKDAY($A270,2)+1)</f>
        <v/>
      </c>
      <c r="G270" s="159">
        <f>SUMIFS('METAS EMPRESAS'!$K$15:$K$320,'METAS EMPRESAS'!$A$15:$A$320,"CMM",'METAS EMPRESAS'!$B$15:$B$320,"VIGAS",'METAS EMPRESAS'!$C$15:$C$320,$A270-WEEKDAY($A270,2)+1)</f>
        <v/>
      </c>
      <c r="H270" s="159">
        <f>SUMIFS('METAS EMPRESAS'!$G$15:$G$320,'METAS EMPRESAS'!$A$15:$A$320,"EJ",'METAS EMPRESAS'!$B$15:$B$320,"PREMONTAGEM",'METAS EMPRESAS'!$C$15:$C$320,$A270-WEEKDAY($A270,2)+1)</f>
        <v/>
      </c>
      <c r="I270" s="159">
        <f>SUMIFS('METAS EMPRESAS'!$G$15:$G$320,'METAS EMPRESAS'!$A$15:$A$320,"EJ",'METAS EMPRESAS'!$B$15:$B$320,"IÇAMENTO JOIST",'METAS EMPRESAS'!$C$15:$C$320,$A270-WEEKDAY($A270,2)+1)</f>
        <v/>
      </c>
      <c r="J270" s="159">
        <f>SUMIFS('METAS EMPRESAS'!$G$15:$G$320,'METAS EMPRESAS'!$A$15:$A$320,"EJ",'METAS EMPRESAS'!$B$15:$B$320,"VIGAS",'METAS EMPRESAS'!$C$15:$C$320,$A270-WEEKDAY($A270,2)+1)</f>
        <v/>
      </c>
      <c r="K270" s="159">
        <f>SUMIFS('METAS EMPRESAS'!$G$15:$G$320,'METAS EMPRESAS'!$A$15:$A$320,"CMM",'METAS EMPRESAS'!$B$15:$B$320,"PREMONTAGEM",'METAS EMPRESAS'!$C$15:$C$320,$A270-WEEKDAY($A270,2)+1)</f>
        <v/>
      </c>
      <c r="L270" s="159">
        <f>SUMIFS('METAS EMPRESAS'!$G$15:$G$320,'METAS EMPRESAS'!$A$15:$A$320,"CMM",'METAS EMPRESAS'!$B$15:$B$320,"IÇAMENTO JOIST",'METAS EMPRESAS'!$C$15:$C$320,$A270-WEEKDAY($A270,2)+1)</f>
        <v/>
      </c>
      <c r="M270" s="159">
        <f>SUMIFS('METAS EMPRESAS'!$G$15:$G$320,'METAS EMPRESAS'!$A$15:$A$320,"CMM",'METAS EMPRESAS'!$B$15:$B$320,"VIGAS",'METAS EMPRESAS'!$C$15:$C$320,$A270-WEEKDAY($A270,2)+1)</f>
        <v/>
      </c>
      <c r="N270" s="159">
        <f>SUMIFS('METAS EMPRESAS'!$J$15:$J$320,'METAS EMPRESAS'!$A$15:$A$320,"EJ",'METAS EMPRESAS'!$B$15:$B$320,"PREMONTAGEM",'METAS EMPRESAS'!$C$15:$C$320,$A270-WEEKDAY($A270,2)+1)</f>
        <v/>
      </c>
      <c r="O270" s="159">
        <f>SUMIFS('METAS EMPRESAS'!$J$15:$J$320,'METAS EMPRESAS'!$A$15:$A$320,"EJ",'METAS EMPRESAS'!$B$15:$B$320,"IÇAMENTO JOIST",'METAS EMPRESAS'!$C$15:$C$320,$A270-WEEKDAY($A270,2)+1)</f>
        <v/>
      </c>
      <c r="P270" s="159">
        <f>SUMIFS('METAS EMPRESAS'!$J$15:$J$320,'METAS EMPRESAS'!$A$15:$A$320,"EJ",'METAS EMPRESAS'!$B$15:$B$320,"VIGAS",'METAS EMPRESAS'!$C$15:$C$320,$A270-WEEKDAY($A270,2)+1)</f>
        <v/>
      </c>
      <c r="Q270" s="159">
        <f>SUMIFS('METAS EMPRESAS'!$J$15:$J$320,'METAS EMPRESAS'!$A$15:$A$320,"CMM",'METAS EMPRESAS'!$B$15:$B$320,"PREMONTAGEM",'METAS EMPRESAS'!$C$15:$C$320,$A270-WEEKDAY($A270,2)+1)</f>
        <v/>
      </c>
      <c r="R270" s="159">
        <f>SUMIFS('METAS EMPRESAS'!$J$15:$J$320,'METAS EMPRESAS'!$A$15:$A$320,"CMM",'METAS EMPRESAS'!$B$15:$B$320,"IÇAMENTO JOIST",'METAS EMPRESAS'!$C$15:$C$320,$A270-WEEKDAY($A270,2)+1)</f>
        <v/>
      </c>
      <c r="S270" s="159">
        <f>SUMIFS('METAS EMPRESAS'!$J$15:$J$320,'METAS EMPRESAS'!$A$15:$A$320,"CMM",'METAS EMPRESAS'!$B$15:$B$320,"VIGAS",'METAS EMPRESAS'!$C$15:$C$320,$A270-WEEKDAY($A270,2)+1)</f>
        <v/>
      </c>
      <c r="T270">
        <f>--(WEEKDAY(A270,2)&lt;=5)</f>
        <v/>
      </c>
      <c r="U270" t="n">
        <v>19</v>
      </c>
      <c r="V270" t="n">
        <v>7</v>
      </c>
      <c r="W270" t="n">
        <v>0</v>
      </c>
      <c r="X270" t="n">
        <v>5</v>
      </c>
      <c r="Y270" t="n">
        <v>5</v>
      </c>
      <c r="Z270" t="n">
        <v>5</v>
      </c>
      <c r="AA270" t="n">
        <v>95</v>
      </c>
      <c r="AB270" t="n">
        <v>35</v>
      </c>
      <c r="AC270" t="n">
        <v>0</v>
      </c>
    </row>
    <row r="271">
      <c r="A271" s="317" t="n">
        <v>46492</v>
      </c>
      <c r="B271" s="159">
        <f>SUMIFS('METAS EMPRESAS'!$K$15:$K$320,'METAS EMPRESAS'!$A$15:$A$320,"EJ",'METAS EMPRESAS'!$B$15:$B$320,"PREMONTAGEM",'METAS EMPRESAS'!$C$15:$C$320,$A271-WEEKDAY($A271,2)+1)</f>
        <v/>
      </c>
      <c r="C271" s="159">
        <f>SUMIFS('METAS EMPRESAS'!$K$15:$K$320,'METAS EMPRESAS'!$A$15:$A$320,"EJ",'METAS EMPRESAS'!$B$15:$B$320,"IÇAMENTO JOIST",'METAS EMPRESAS'!$C$15:$C$320,$A271-WEEKDAY($A271,2)+1)</f>
        <v/>
      </c>
      <c r="D271" s="159">
        <f>SUMIFS('METAS EMPRESAS'!$K$15:$K$320,'METAS EMPRESAS'!$A$15:$A$320,"EJ",'METAS EMPRESAS'!$B$15:$B$320,"VIGAS",'METAS EMPRESAS'!$C$15:$C$320,$A271-WEEKDAY($A271,2)+1)</f>
        <v/>
      </c>
      <c r="E271" s="159">
        <f>SUMIFS('METAS EMPRESAS'!$K$15:$K$320,'METAS EMPRESAS'!$A$15:$A$320,"CMM",'METAS EMPRESAS'!$B$15:$B$320,"PREMONTAGEM",'METAS EMPRESAS'!$C$15:$C$320,$A271-WEEKDAY($A271,2)+1)</f>
        <v/>
      </c>
      <c r="F271" s="159">
        <f>SUMIFS('METAS EMPRESAS'!$K$15:$K$320,'METAS EMPRESAS'!$A$15:$A$320,"CMM",'METAS EMPRESAS'!$B$15:$B$320,"IÇAMENTO JOIST",'METAS EMPRESAS'!$C$15:$C$320,$A271-WEEKDAY($A271,2)+1)</f>
        <v/>
      </c>
      <c r="G271" s="159">
        <f>SUMIFS('METAS EMPRESAS'!$K$15:$K$320,'METAS EMPRESAS'!$A$15:$A$320,"CMM",'METAS EMPRESAS'!$B$15:$B$320,"VIGAS",'METAS EMPRESAS'!$C$15:$C$320,$A271-WEEKDAY($A271,2)+1)</f>
        <v/>
      </c>
      <c r="H271" s="159">
        <f>SUMIFS('METAS EMPRESAS'!$G$15:$G$320,'METAS EMPRESAS'!$A$15:$A$320,"EJ",'METAS EMPRESAS'!$B$15:$B$320,"PREMONTAGEM",'METAS EMPRESAS'!$C$15:$C$320,$A271-WEEKDAY($A271,2)+1)</f>
        <v/>
      </c>
      <c r="I271" s="159">
        <f>SUMIFS('METAS EMPRESAS'!$G$15:$G$320,'METAS EMPRESAS'!$A$15:$A$320,"EJ",'METAS EMPRESAS'!$B$15:$B$320,"IÇAMENTO JOIST",'METAS EMPRESAS'!$C$15:$C$320,$A271-WEEKDAY($A271,2)+1)</f>
        <v/>
      </c>
      <c r="J271" s="159">
        <f>SUMIFS('METAS EMPRESAS'!$G$15:$G$320,'METAS EMPRESAS'!$A$15:$A$320,"EJ",'METAS EMPRESAS'!$B$15:$B$320,"VIGAS",'METAS EMPRESAS'!$C$15:$C$320,$A271-WEEKDAY($A271,2)+1)</f>
        <v/>
      </c>
      <c r="K271" s="159">
        <f>SUMIFS('METAS EMPRESAS'!$G$15:$G$320,'METAS EMPRESAS'!$A$15:$A$320,"CMM",'METAS EMPRESAS'!$B$15:$B$320,"PREMONTAGEM",'METAS EMPRESAS'!$C$15:$C$320,$A271-WEEKDAY($A271,2)+1)</f>
        <v/>
      </c>
      <c r="L271" s="159">
        <f>SUMIFS('METAS EMPRESAS'!$G$15:$G$320,'METAS EMPRESAS'!$A$15:$A$320,"CMM",'METAS EMPRESAS'!$B$15:$B$320,"IÇAMENTO JOIST",'METAS EMPRESAS'!$C$15:$C$320,$A271-WEEKDAY($A271,2)+1)</f>
        <v/>
      </c>
      <c r="M271" s="159">
        <f>SUMIFS('METAS EMPRESAS'!$G$15:$G$320,'METAS EMPRESAS'!$A$15:$A$320,"CMM",'METAS EMPRESAS'!$B$15:$B$320,"VIGAS",'METAS EMPRESAS'!$C$15:$C$320,$A271-WEEKDAY($A271,2)+1)</f>
        <v/>
      </c>
      <c r="N271" s="159">
        <f>SUMIFS('METAS EMPRESAS'!$J$15:$J$320,'METAS EMPRESAS'!$A$15:$A$320,"EJ",'METAS EMPRESAS'!$B$15:$B$320,"PREMONTAGEM",'METAS EMPRESAS'!$C$15:$C$320,$A271-WEEKDAY($A271,2)+1)</f>
        <v/>
      </c>
      <c r="O271" s="159">
        <f>SUMIFS('METAS EMPRESAS'!$J$15:$J$320,'METAS EMPRESAS'!$A$15:$A$320,"EJ",'METAS EMPRESAS'!$B$15:$B$320,"IÇAMENTO JOIST",'METAS EMPRESAS'!$C$15:$C$320,$A271-WEEKDAY($A271,2)+1)</f>
        <v/>
      </c>
      <c r="P271" s="159">
        <f>SUMIFS('METAS EMPRESAS'!$J$15:$J$320,'METAS EMPRESAS'!$A$15:$A$320,"EJ",'METAS EMPRESAS'!$B$15:$B$320,"VIGAS",'METAS EMPRESAS'!$C$15:$C$320,$A271-WEEKDAY($A271,2)+1)</f>
        <v/>
      </c>
      <c r="Q271" s="159">
        <f>SUMIFS('METAS EMPRESAS'!$J$15:$J$320,'METAS EMPRESAS'!$A$15:$A$320,"CMM",'METAS EMPRESAS'!$B$15:$B$320,"PREMONTAGEM",'METAS EMPRESAS'!$C$15:$C$320,$A271-WEEKDAY($A271,2)+1)</f>
        <v/>
      </c>
      <c r="R271" s="159">
        <f>SUMIFS('METAS EMPRESAS'!$J$15:$J$320,'METAS EMPRESAS'!$A$15:$A$320,"CMM",'METAS EMPRESAS'!$B$15:$B$320,"IÇAMENTO JOIST",'METAS EMPRESAS'!$C$15:$C$320,$A271-WEEKDAY($A271,2)+1)</f>
        <v/>
      </c>
      <c r="S271" s="159">
        <f>SUMIFS('METAS EMPRESAS'!$J$15:$J$320,'METAS EMPRESAS'!$A$15:$A$320,"CMM",'METAS EMPRESAS'!$B$15:$B$320,"VIGAS",'METAS EMPRESAS'!$C$15:$C$320,$A271-WEEKDAY($A271,2)+1)</f>
        <v/>
      </c>
      <c r="T271">
        <f>--(WEEKDAY(A271,2)&lt;=5)</f>
        <v/>
      </c>
      <c r="U271" t="n">
        <v>19</v>
      </c>
      <c r="V271" t="n">
        <v>7</v>
      </c>
      <c r="W271" t="n">
        <v>0</v>
      </c>
      <c r="X271" t="n">
        <v>5</v>
      </c>
      <c r="Y271" t="n">
        <v>5</v>
      </c>
      <c r="Z271" t="n">
        <v>5</v>
      </c>
      <c r="AA271" t="n">
        <v>95</v>
      </c>
      <c r="AB271" t="n">
        <v>35</v>
      </c>
      <c r="AC271" t="n">
        <v>0</v>
      </c>
    </row>
    <row r="272">
      <c r="A272" s="317" t="n">
        <v>46493</v>
      </c>
      <c r="B272" s="159">
        <f>SUMIFS('METAS EMPRESAS'!$K$15:$K$320,'METAS EMPRESAS'!$A$15:$A$320,"EJ",'METAS EMPRESAS'!$B$15:$B$320,"PREMONTAGEM",'METAS EMPRESAS'!$C$15:$C$320,$A272-WEEKDAY($A272,2)+1)</f>
        <v/>
      </c>
      <c r="C272" s="159">
        <f>SUMIFS('METAS EMPRESAS'!$K$15:$K$320,'METAS EMPRESAS'!$A$15:$A$320,"EJ",'METAS EMPRESAS'!$B$15:$B$320,"IÇAMENTO JOIST",'METAS EMPRESAS'!$C$15:$C$320,$A272-WEEKDAY($A272,2)+1)</f>
        <v/>
      </c>
      <c r="D272" s="159">
        <f>SUMIFS('METAS EMPRESAS'!$K$15:$K$320,'METAS EMPRESAS'!$A$15:$A$320,"EJ",'METAS EMPRESAS'!$B$15:$B$320,"VIGAS",'METAS EMPRESAS'!$C$15:$C$320,$A272-WEEKDAY($A272,2)+1)</f>
        <v/>
      </c>
      <c r="E272" s="159">
        <f>SUMIFS('METAS EMPRESAS'!$K$15:$K$320,'METAS EMPRESAS'!$A$15:$A$320,"CMM",'METAS EMPRESAS'!$B$15:$B$320,"PREMONTAGEM",'METAS EMPRESAS'!$C$15:$C$320,$A272-WEEKDAY($A272,2)+1)</f>
        <v/>
      </c>
      <c r="F272" s="159">
        <f>SUMIFS('METAS EMPRESAS'!$K$15:$K$320,'METAS EMPRESAS'!$A$15:$A$320,"CMM",'METAS EMPRESAS'!$B$15:$B$320,"IÇAMENTO JOIST",'METAS EMPRESAS'!$C$15:$C$320,$A272-WEEKDAY($A272,2)+1)</f>
        <v/>
      </c>
      <c r="G272" s="159">
        <f>SUMIFS('METAS EMPRESAS'!$K$15:$K$320,'METAS EMPRESAS'!$A$15:$A$320,"CMM",'METAS EMPRESAS'!$B$15:$B$320,"VIGAS",'METAS EMPRESAS'!$C$15:$C$320,$A272-WEEKDAY($A272,2)+1)</f>
        <v/>
      </c>
      <c r="H272" s="159">
        <f>SUMIFS('METAS EMPRESAS'!$G$15:$G$320,'METAS EMPRESAS'!$A$15:$A$320,"EJ",'METAS EMPRESAS'!$B$15:$B$320,"PREMONTAGEM",'METAS EMPRESAS'!$C$15:$C$320,$A272-WEEKDAY($A272,2)+1)</f>
        <v/>
      </c>
      <c r="I272" s="159">
        <f>SUMIFS('METAS EMPRESAS'!$G$15:$G$320,'METAS EMPRESAS'!$A$15:$A$320,"EJ",'METAS EMPRESAS'!$B$15:$B$320,"IÇAMENTO JOIST",'METAS EMPRESAS'!$C$15:$C$320,$A272-WEEKDAY($A272,2)+1)</f>
        <v/>
      </c>
      <c r="J272" s="159">
        <f>SUMIFS('METAS EMPRESAS'!$G$15:$G$320,'METAS EMPRESAS'!$A$15:$A$320,"EJ",'METAS EMPRESAS'!$B$15:$B$320,"VIGAS",'METAS EMPRESAS'!$C$15:$C$320,$A272-WEEKDAY($A272,2)+1)</f>
        <v/>
      </c>
      <c r="K272" s="159">
        <f>SUMIFS('METAS EMPRESAS'!$G$15:$G$320,'METAS EMPRESAS'!$A$15:$A$320,"CMM",'METAS EMPRESAS'!$B$15:$B$320,"PREMONTAGEM",'METAS EMPRESAS'!$C$15:$C$320,$A272-WEEKDAY($A272,2)+1)</f>
        <v/>
      </c>
      <c r="L272" s="159">
        <f>SUMIFS('METAS EMPRESAS'!$G$15:$G$320,'METAS EMPRESAS'!$A$15:$A$320,"CMM",'METAS EMPRESAS'!$B$15:$B$320,"IÇAMENTO JOIST",'METAS EMPRESAS'!$C$15:$C$320,$A272-WEEKDAY($A272,2)+1)</f>
        <v/>
      </c>
      <c r="M272" s="159">
        <f>SUMIFS('METAS EMPRESAS'!$G$15:$G$320,'METAS EMPRESAS'!$A$15:$A$320,"CMM",'METAS EMPRESAS'!$B$15:$B$320,"VIGAS",'METAS EMPRESAS'!$C$15:$C$320,$A272-WEEKDAY($A272,2)+1)</f>
        <v/>
      </c>
      <c r="N272" s="159">
        <f>SUMIFS('METAS EMPRESAS'!$J$15:$J$320,'METAS EMPRESAS'!$A$15:$A$320,"EJ",'METAS EMPRESAS'!$B$15:$B$320,"PREMONTAGEM",'METAS EMPRESAS'!$C$15:$C$320,$A272-WEEKDAY($A272,2)+1)</f>
        <v/>
      </c>
      <c r="O272" s="159">
        <f>SUMIFS('METAS EMPRESAS'!$J$15:$J$320,'METAS EMPRESAS'!$A$15:$A$320,"EJ",'METAS EMPRESAS'!$B$15:$B$320,"IÇAMENTO JOIST",'METAS EMPRESAS'!$C$15:$C$320,$A272-WEEKDAY($A272,2)+1)</f>
        <v/>
      </c>
      <c r="P272" s="159">
        <f>SUMIFS('METAS EMPRESAS'!$J$15:$J$320,'METAS EMPRESAS'!$A$15:$A$320,"EJ",'METAS EMPRESAS'!$B$15:$B$320,"VIGAS",'METAS EMPRESAS'!$C$15:$C$320,$A272-WEEKDAY($A272,2)+1)</f>
        <v/>
      </c>
      <c r="Q272" s="159">
        <f>SUMIFS('METAS EMPRESAS'!$J$15:$J$320,'METAS EMPRESAS'!$A$15:$A$320,"CMM",'METAS EMPRESAS'!$B$15:$B$320,"PREMONTAGEM",'METAS EMPRESAS'!$C$15:$C$320,$A272-WEEKDAY($A272,2)+1)</f>
        <v/>
      </c>
      <c r="R272" s="159">
        <f>SUMIFS('METAS EMPRESAS'!$J$15:$J$320,'METAS EMPRESAS'!$A$15:$A$320,"CMM",'METAS EMPRESAS'!$B$15:$B$320,"IÇAMENTO JOIST",'METAS EMPRESAS'!$C$15:$C$320,$A272-WEEKDAY($A272,2)+1)</f>
        <v/>
      </c>
      <c r="S272" s="159">
        <f>SUMIFS('METAS EMPRESAS'!$J$15:$J$320,'METAS EMPRESAS'!$A$15:$A$320,"CMM",'METAS EMPRESAS'!$B$15:$B$320,"VIGAS",'METAS EMPRESAS'!$C$15:$C$320,$A272-WEEKDAY($A272,2)+1)</f>
        <v/>
      </c>
      <c r="T272">
        <f>--(WEEKDAY(A272,2)&lt;=5)</f>
        <v/>
      </c>
      <c r="U272" t="n">
        <v>19</v>
      </c>
      <c r="V272" t="n">
        <v>7</v>
      </c>
      <c r="W272" t="n">
        <v>0</v>
      </c>
      <c r="X272" t="n">
        <v>5</v>
      </c>
      <c r="Y272" t="n">
        <v>5</v>
      </c>
      <c r="Z272" t="n">
        <v>5</v>
      </c>
      <c r="AA272" t="n">
        <v>95</v>
      </c>
      <c r="AB272" t="n">
        <v>35</v>
      </c>
      <c r="AC272" t="n">
        <v>0</v>
      </c>
    </row>
    <row r="273">
      <c r="A273" s="317" t="n">
        <v>46494</v>
      </c>
      <c r="B273" s="159">
        <f>SUMIFS('METAS EMPRESAS'!$K$15:$K$320,'METAS EMPRESAS'!$A$15:$A$320,"EJ",'METAS EMPRESAS'!$B$15:$B$320,"PREMONTAGEM",'METAS EMPRESAS'!$C$15:$C$320,$A273-WEEKDAY($A273,2)+1)</f>
        <v/>
      </c>
      <c r="C273" s="159">
        <f>SUMIFS('METAS EMPRESAS'!$K$15:$K$320,'METAS EMPRESAS'!$A$15:$A$320,"EJ",'METAS EMPRESAS'!$B$15:$B$320,"IÇAMENTO JOIST",'METAS EMPRESAS'!$C$15:$C$320,$A273-WEEKDAY($A273,2)+1)</f>
        <v/>
      </c>
      <c r="D273" s="159">
        <f>SUMIFS('METAS EMPRESAS'!$K$15:$K$320,'METAS EMPRESAS'!$A$15:$A$320,"EJ",'METAS EMPRESAS'!$B$15:$B$320,"VIGAS",'METAS EMPRESAS'!$C$15:$C$320,$A273-WEEKDAY($A273,2)+1)</f>
        <v/>
      </c>
      <c r="E273" s="159">
        <f>SUMIFS('METAS EMPRESAS'!$K$15:$K$320,'METAS EMPRESAS'!$A$15:$A$320,"CMM",'METAS EMPRESAS'!$B$15:$B$320,"PREMONTAGEM",'METAS EMPRESAS'!$C$15:$C$320,$A273-WEEKDAY($A273,2)+1)</f>
        <v/>
      </c>
      <c r="F273" s="159">
        <f>SUMIFS('METAS EMPRESAS'!$K$15:$K$320,'METAS EMPRESAS'!$A$15:$A$320,"CMM",'METAS EMPRESAS'!$B$15:$B$320,"IÇAMENTO JOIST",'METAS EMPRESAS'!$C$15:$C$320,$A273-WEEKDAY($A273,2)+1)</f>
        <v/>
      </c>
      <c r="G273" s="159">
        <f>SUMIFS('METAS EMPRESAS'!$K$15:$K$320,'METAS EMPRESAS'!$A$15:$A$320,"CMM",'METAS EMPRESAS'!$B$15:$B$320,"VIGAS",'METAS EMPRESAS'!$C$15:$C$320,$A273-WEEKDAY($A273,2)+1)</f>
        <v/>
      </c>
      <c r="H273" s="159">
        <f>SUMIFS('METAS EMPRESAS'!$G$15:$G$320,'METAS EMPRESAS'!$A$15:$A$320,"EJ",'METAS EMPRESAS'!$B$15:$B$320,"PREMONTAGEM",'METAS EMPRESAS'!$C$15:$C$320,$A273-WEEKDAY($A273,2)+1)</f>
        <v/>
      </c>
      <c r="I273" s="159">
        <f>SUMIFS('METAS EMPRESAS'!$G$15:$G$320,'METAS EMPRESAS'!$A$15:$A$320,"EJ",'METAS EMPRESAS'!$B$15:$B$320,"IÇAMENTO JOIST",'METAS EMPRESAS'!$C$15:$C$320,$A273-WEEKDAY($A273,2)+1)</f>
        <v/>
      </c>
      <c r="J273" s="159">
        <f>SUMIFS('METAS EMPRESAS'!$G$15:$G$320,'METAS EMPRESAS'!$A$15:$A$320,"EJ",'METAS EMPRESAS'!$B$15:$B$320,"VIGAS",'METAS EMPRESAS'!$C$15:$C$320,$A273-WEEKDAY($A273,2)+1)</f>
        <v/>
      </c>
      <c r="K273" s="159">
        <f>SUMIFS('METAS EMPRESAS'!$G$15:$G$320,'METAS EMPRESAS'!$A$15:$A$320,"CMM",'METAS EMPRESAS'!$B$15:$B$320,"PREMONTAGEM",'METAS EMPRESAS'!$C$15:$C$320,$A273-WEEKDAY($A273,2)+1)</f>
        <v/>
      </c>
      <c r="L273" s="159">
        <f>SUMIFS('METAS EMPRESAS'!$G$15:$G$320,'METAS EMPRESAS'!$A$15:$A$320,"CMM",'METAS EMPRESAS'!$B$15:$B$320,"IÇAMENTO JOIST",'METAS EMPRESAS'!$C$15:$C$320,$A273-WEEKDAY($A273,2)+1)</f>
        <v/>
      </c>
      <c r="M273" s="159">
        <f>SUMIFS('METAS EMPRESAS'!$G$15:$G$320,'METAS EMPRESAS'!$A$15:$A$320,"CMM",'METAS EMPRESAS'!$B$15:$B$320,"VIGAS",'METAS EMPRESAS'!$C$15:$C$320,$A273-WEEKDAY($A273,2)+1)</f>
        <v/>
      </c>
      <c r="N273" s="159">
        <f>SUMIFS('METAS EMPRESAS'!$J$15:$J$320,'METAS EMPRESAS'!$A$15:$A$320,"EJ",'METAS EMPRESAS'!$B$15:$B$320,"PREMONTAGEM",'METAS EMPRESAS'!$C$15:$C$320,$A273-WEEKDAY($A273,2)+1)</f>
        <v/>
      </c>
      <c r="O273" s="159">
        <f>SUMIFS('METAS EMPRESAS'!$J$15:$J$320,'METAS EMPRESAS'!$A$15:$A$320,"EJ",'METAS EMPRESAS'!$B$15:$B$320,"IÇAMENTO JOIST",'METAS EMPRESAS'!$C$15:$C$320,$A273-WEEKDAY($A273,2)+1)</f>
        <v/>
      </c>
      <c r="P273" s="159">
        <f>SUMIFS('METAS EMPRESAS'!$J$15:$J$320,'METAS EMPRESAS'!$A$15:$A$320,"EJ",'METAS EMPRESAS'!$B$15:$B$320,"VIGAS",'METAS EMPRESAS'!$C$15:$C$320,$A273-WEEKDAY($A273,2)+1)</f>
        <v/>
      </c>
      <c r="Q273" s="159">
        <f>SUMIFS('METAS EMPRESAS'!$J$15:$J$320,'METAS EMPRESAS'!$A$15:$A$320,"CMM",'METAS EMPRESAS'!$B$15:$B$320,"PREMONTAGEM",'METAS EMPRESAS'!$C$15:$C$320,$A273-WEEKDAY($A273,2)+1)</f>
        <v/>
      </c>
      <c r="R273" s="159">
        <f>SUMIFS('METAS EMPRESAS'!$J$15:$J$320,'METAS EMPRESAS'!$A$15:$A$320,"CMM",'METAS EMPRESAS'!$B$15:$B$320,"IÇAMENTO JOIST",'METAS EMPRESAS'!$C$15:$C$320,$A273-WEEKDAY($A273,2)+1)</f>
        <v/>
      </c>
      <c r="S273" s="159">
        <f>SUMIFS('METAS EMPRESAS'!$J$15:$J$320,'METAS EMPRESAS'!$A$15:$A$320,"CMM",'METAS EMPRESAS'!$B$15:$B$320,"VIGAS",'METAS EMPRESAS'!$C$15:$C$320,$A273-WEEKDAY($A273,2)+1)</f>
        <v/>
      </c>
      <c r="T273">
        <f>--(WEEKDAY(A273,2)&lt;=5)</f>
        <v/>
      </c>
      <c r="U273" t="n">
        <v>19</v>
      </c>
      <c r="V273" t="n">
        <v>7</v>
      </c>
      <c r="W273" t="n">
        <v>0</v>
      </c>
      <c r="X273" t="n">
        <v>5</v>
      </c>
      <c r="Y273" t="n">
        <v>5</v>
      </c>
      <c r="Z273" t="n">
        <v>5</v>
      </c>
      <c r="AA273" t="n">
        <v>95</v>
      </c>
      <c r="AB273" t="n">
        <v>35</v>
      </c>
      <c r="AC273" t="n">
        <v>0</v>
      </c>
    </row>
    <row r="274">
      <c r="A274" s="317" t="n">
        <v>46495</v>
      </c>
      <c r="B274" s="159">
        <f>SUMIFS('METAS EMPRESAS'!$K$15:$K$320,'METAS EMPRESAS'!$A$15:$A$320,"EJ",'METAS EMPRESAS'!$B$15:$B$320,"PREMONTAGEM",'METAS EMPRESAS'!$C$15:$C$320,$A274-WEEKDAY($A274,2)+1)</f>
        <v/>
      </c>
      <c r="C274" s="159">
        <f>SUMIFS('METAS EMPRESAS'!$K$15:$K$320,'METAS EMPRESAS'!$A$15:$A$320,"EJ",'METAS EMPRESAS'!$B$15:$B$320,"IÇAMENTO JOIST",'METAS EMPRESAS'!$C$15:$C$320,$A274-WEEKDAY($A274,2)+1)</f>
        <v/>
      </c>
      <c r="D274" s="159">
        <f>SUMIFS('METAS EMPRESAS'!$K$15:$K$320,'METAS EMPRESAS'!$A$15:$A$320,"EJ",'METAS EMPRESAS'!$B$15:$B$320,"VIGAS",'METAS EMPRESAS'!$C$15:$C$320,$A274-WEEKDAY($A274,2)+1)</f>
        <v/>
      </c>
      <c r="E274" s="159">
        <f>SUMIFS('METAS EMPRESAS'!$K$15:$K$320,'METAS EMPRESAS'!$A$15:$A$320,"CMM",'METAS EMPRESAS'!$B$15:$B$320,"PREMONTAGEM",'METAS EMPRESAS'!$C$15:$C$320,$A274-WEEKDAY($A274,2)+1)</f>
        <v/>
      </c>
      <c r="F274" s="159">
        <f>SUMIFS('METAS EMPRESAS'!$K$15:$K$320,'METAS EMPRESAS'!$A$15:$A$320,"CMM",'METAS EMPRESAS'!$B$15:$B$320,"IÇAMENTO JOIST",'METAS EMPRESAS'!$C$15:$C$320,$A274-WEEKDAY($A274,2)+1)</f>
        <v/>
      </c>
      <c r="G274" s="159">
        <f>SUMIFS('METAS EMPRESAS'!$K$15:$K$320,'METAS EMPRESAS'!$A$15:$A$320,"CMM",'METAS EMPRESAS'!$B$15:$B$320,"VIGAS",'METAS EMPRESAS'!$C$15:$C$320,$A274-WEEKDAY($A274,2)+1)</f>
        <v/>
      </c>
      <c r="H274" s="159">
        <f>SUMIFS('METAS EMPRESAS'!$G$15:$G$320,'METAS EMPRESAS'!$A$15:$A$320,"EJ",'METAS EMPRESAS'!$B$15:$B$320,"PREMONTAGEM",'METAS EMPRESAS'!$C$15:$C$320,$A274-WEEKDAY($A274,2)+1)</f>
        <v/>
      </c>
      <c r="I274" s="159">
        <f>SUMIFS('METAS EMPRESAS'!$G$15:$G$320,'METAS EMPRESAS'!$A$15:$A$320,"EJ",'METAS EMPRESAS'!$B$15:$B$320,"IÇAMENTO JOIST",'METAS EMPRESAS'!$C$15:$C$320,$A274-WEEKDAY($A274,2)+1)</f>
        <v/>
      </c>
      <c r="J274" s="159">
        <f>SUMIFS('METAS EMPRESAS'!$G$15:$G$320,'METAS EMPRESAS'!$A$15:$A$320,"EJ",'METAS EMPRESAS'!$B$15:$B$320,"VIGAS",'METAS EMPRESAS'!$C$15:$C$320,$A274-WEEKDAY($A274,2)+1)</f>
        <v/>
      </c>
      <c r="K274" s="159">
        <f>SUMIFS('METAS EMPRESAS'!$G$15:$G$320,'METAS EMPRESAS'!$A$15:$A$320,"CMM",'METAS EMPRESAS'!$B$15:$B$320,"PREMONTAGEM",'METAS EMPRESAS'!$C$15:$C$320,$A274-WEEKDAY($A274,2)+1)</f>
        <v/>
      </c>
      <c r="L274" s="159">
        <f>SUMIFS('METAS EMPRESAS'!$G$15:$G$320,'METAS EMPRESAS'!$A$15:$A$320,"CMM",'METAS EMPRESAS'!$B$15:$B$320,"IÇAMENTO JOIST",'METAS EMPRESAS'!$C$15:$C$320,$A274-WEEKDAY($A274,2)+1)</f>
        <v/>
      </c>
      <c r="M274" s="159">
        <f>SUMIFS('METAS EMPRESAS'!$G$15:$G$320,'METAS EMPRESAS'!$A$15:$A$320,"CMM",'METAS EMPRESAS'!$B$15:$B$320,"VIGAS",'METAS EMPRESAS'!$C$15:$C$320,$A274-WEEKDAY($A274,2)+1)</f>
        <v/>
      </c>
      <c r="N274" s="159">
        <f>SUMIFS('METAS EMPRESAS'!$J$15:$J$320,'METAS EMPRESAS'!$A$15:$A$320,"EJ",'METAS EMPRESAS'!$B$15:$B$320,"PREMONTAGEM",'METAS EMPRESAS'!$C$15:$C$320,$A274-WEEKDAY($A274,2)+1)</f>
        <v/>
      </c>
      <c r="O274" s="159">
        <f>SUMIFS('METAS EMPRESAS'!$J$15:$J$320,'METAS EMPRESAS'!$A$15:$A$320,"EJ",'METAS EMPRESAS'!$B$15:$B$320,"IÇAMENTO JOIST",'METAS EMPRESAS'!$C$15:$C$320,$A274-WEEKDAY($A274,2)+1)</f>
        <v/>
      </c>
      <c r="P274" s="159">
        <f>SUMIFS('METAS EMPRESAS'!$J$15:$J$320,'METAS EMPRESAS'!$A$15:$A$320,"EJ",'METAS EMPRESAS'!$B$15:$B$320,"VIGAS",'METAS EMPRESAS'!$C$15:$C$320,$A274-WEEKDAY($A274,2)+1)</f>
        <v/>
      </c>
      <c r="Q274" s="159">
        <f>SUMIFS('METAS EMPRESAS'!$J$15:$J$320,'METAS EMPRESAS'!$A$15:$A$320,"CMM",'METAS EMPRESAS'!$B$15:$B$320,"PREMONTAGEM",'METAS EMPRESAS'!$C$15:$C$320,$A274-WEEKDAY($A274,2)+1)</f>
        <v/>
      </c>
      <c r="R274" s="159">
        <f>SUMIFS('METAS EMPRESAS'!$J$15:$J$320,'METAS EMPRESAS'!$A$15:$A$320,"CMM",'METAS EMPRESAS'!$B$15:$B$320,"IÇAMENTO JOIST",'METAS EMPRESAS'!$C$15:$C$320,$A274-WEEKDAY($A274,2)+1)</f>
        <v/>
      </c>
      <c r="S274" s="159">
        <f>SUMIFS('METAS EMPRESAS'!$J$15:$J$320,'METAS EMPRESAS'!$A$15:$A$320,"CMM",'METAS EMPRESAS'!$B$15:$B$320,"VIGAS",'METAS EMPRESAS'!$C$15:$C$320,$A274-WEEKDAY($A274,2)+1)</f>
        <v/>
      </c>
      <c r="T274">
        <f>--(WEEKDAY(A274,2)&lt;=5)</f>
        <v/>
      </c>
      <c r="U274" t="n">
        <v>19</v>
      </c>
      <c r="V274" t="n">
        <v>7</v>
      </c>
      <c r="W274" t="n">
        <v>0</v>
      </c>
      <c r="X274" t="n">
        <v>5</v>
      </c>
      <c r="Y274" t="n">
        <v>5</v>
      </c>
      <c r="Z274" t="n">
        <v>5</v>
      </c>
      <c r="AA274" t="n">
        <v>95</v>
      </c>
      <c r="AB274" t="n">
        <v>35</v>
      </c>
      <c r="AC274" t="n">
        <v>0</v>
      </c>
    </row>
    <row r="275">
      <c r="A275" s="317" t="n">
        <v>46496</v>
      </c>
      <c r="B275" s="159">
        <f>SUMIFS('METAS EMPRESAS'!$K$15:$K$320,'METAS EMPRESAS'!$A$15:$A$320,"EJ",'METAS EMPRESAS'!$B$15:$B$320,"PREMONTAGEM",'METAS EMPRESAS'!$C$15:$C$320,$A275-WEEKDAY($A275,2)+1)</f>
        <v/>
      </c>
      <c r="C275" s="159">
        <f>SUMIFS('METAS EMPRESAS'!$K$15:$K$320,'METAS EMPRESAS'!$A$15:$A$320,"EJ",'METAS EMPRESAS'!$B$15:$B$320,"IÇAMENTO JOIST",'METAS EMPRESAS'!$C$15:$C$320,$A275-WEEKDAY($A275,2)+1)</f>
        <v/>
      </c>
      <c r="D275" s="159">
        <f>SUMIFS('METAS EMPRESAS'!$K$15:$K$320,'METAS EMPRESAS'!$A$15:$A$320,"EJ",'METAS EMPRESAS'!$B$15:$B$320,"VIGAS",'METAS EMPRESAS'!$C$15:$C$320,$A275-WEEKDAY($A275,2)+1)</f>
        <v/>
      </c>
      <c r="E275" s="159">
        <f>SUMIFS('METAS EMPRESAS'!$K$15:$K$320,'METAS EMPRESAS'!$A$15:$A$320,"CMM",'METAS EMPRESAS'!$B$15:$B$320,"PREMONTAGEM",'METAS EMPRESAS'!$C$15:$C$320,$A275-WEEKDAY($A275,2)+1)</f>
        <v/>
      </c>
      <c r="F275" s="159">
        <f>SUMIFS('METAS EMPRESAS'!$K$15:$K$320,'METAS EMPRESAS'!$A$15:$A$320,"CMM",'METAS EMPRESAS'!$B$15:$B$320,"IÇAMENTO JOIST",'METAS EMPRESAS'!$C$15:$C$320,$A275-WEEKDAY($A275,2)+1)</f>
        <v/>
      </c>
      <c r="G275" s="159">
        <f>SUMIFS('METAS EMPRESAS'!$K$15:$K$320,'METAS EMPRESAS'!$A$15:$A$320,"CMM",'METAS EMPRESAS'!$B$15:$B$320,"VIGAS",'METAS EMPRESAS'!$C$15:$C$320,$A275-WEEKDAY($A275,2)+1)</f>
        <v/>
      </c>
      <c r="H275" s="159">
        <f>SUMIFS('METAS EMPRESAS'!$G$15:$G$320,'METAS EMPRESAS'!$A$15:$A$320,"EJ",'METAS EMPRESAS'!$B$15:$B$320,"PREMONTAGEM",'METAS EMPRESAS'!$C$15:$C$320,$A275-WEEKDAY($A275,2)+1)</f>
        <v/>
      </c>
      <c r="I275" s="159">
        <f>SUMIFS('METAS EMPRESAS'!$G$15:$G$320,'METAS EMPRESAS'!$A$15:$A$320,"EJ",'METAS EMPRESAS'!$B$15:$B$320,"IÇAMENTO JOIST",'METAS EMPRESAS'!$C$15:$C$320,$A275-WEEKDAY($A275,2)+1)</f>
        <v/>
      </c>
      <c r="J275" s="159">
        <f>SUMIFS('METAS EMPRESAS'!$G$15:$G$320,'METAS EMPRESAS'!$A$15:$A$320,"EJ",'METAS EMPRESAS'!$B$15:$B$320,"VIGAS",'METAS EMPRESAS'!$C$15:$C$320,$A275-WEEKDAY($A275,2)+1)</f>
        <v/>
      </c>
      <c r="K275" s="159">
        <f>SUMIFS('METAS EMPRESAS'!$G$15:$G$320,'METAS EMPRESAS'!$A$15:$A$320,"CMM",'METAS EMPRESAS'!$B$15:$B$320,"PREMONTAGEM",'METAS EMPRESAS'!$C$15:$C$320,$A275-WEEKDAY($A275,2)+1)</f>
        <v/>
      </c>
      <c r="L275" s="159">
        <f>SUMIFS('METAS EMPRESAS'!$G$15:$G$320,'METAS EMPRESAS'!$A$15:$A$320,"CMM",'METAS EMPRESAS'!$B$15:$B$320,"IÇAMENTO JOIST",'METAS EMPRESAS'!$C$15:$C$320,$A275-WEEKDAY($A275,2)+1)</f>
        <v/>
      </c>
      <c r="M275" s="159">
        <f>SUMIFS('METAS EMPRESAS'!$G$15:$G$320,'METAS EMPRESAS'!$A$15:$A$320,"CMM",'METAS EMPRESAS'!$B$15:$B$320,"VIGAS",'METAS EMPRESAS'!$C$15:$C$320,$A275-WEEKDAY($A275,2)+1)</f>
        <v/>
      </c>
      <c r="N275" s="159">
        <f>SUMIFS('METAS EMPRESAS'!$J$15:$J$320,'METAS EMPRESAS'!$A$15:$A$320,"EJ",'METAS EMPRESAS'!$B$15:$B$320,"PREMONTAGEM",'METAS EMPRESAS'!$C$15:$C$320,$A275-WEEKDAY($A275,2)+1)</f>
        <v/>
      </c>
      <c r="O275" s="159">
        <f>SUMIFS('METAS EMPRESAS'!$J$15:$J$320,'METAS EMPRESAS'!$A$15:$A$320,"EJ",'METAS EMPRESAS'!$B$15:$B$320,"IÇAMENTO JOIST",'METAS EMPRESAS'!$C$15:$C$320,$A275-WEEKDAY($A275,2)+1)</f>
        <v/>
      </c>
      <c r="P275" s="159">
        <f>SUMIFS('METAS EMPRESAS'!$J$15:$J$320,'METAS EMPRESAS'!$A$15:$A$320,"EJ",'METAS EMPRESAS'!$B$15:$B$320,"VIGAS",'METAS EMPRESAS'!$C$15:$C$320,$A275-WEEKDAY($A275,2)+1)</f>
        <v/>
      </c>
      <c r="Q275" s="159">
        <f>SUMIFS('METAS EMPRESAS'!$J$15:$J$320,'METAS EMPRESAS'!$A$15:$A$320,"CMM",'METAS EMPRESAS'!$B$15:$B$320,"PREMONTAGEM",'METAS EMPRESAS'!$C$15:$C$320,$A275-WEEKDAY($A275,2)+1)</f>
        <v/>
      </c>
      <c r="R275" s="159">
        <f>SUMIFS('METAS EMPRESAS'!$J$15:$J$320,'METAS EMPRESAS'!$A$15:$A$320,"CMM",'METAS EMPRESAS'!$B$15:$B$320,"IÇAMENTO JOIST",'METAS EMPRESAS'!$C$15:$C$320,$A275-WEEKDAY($A275,2)+1)</f>
        <v/>
      </c>
      <c r="S275" s="159">
        <f>SUMIFS('METAS EMPRESAS'!$J$15:$J$320,'METAS EMPRESAS'!$A$15:$A$320,"CMM",'METAS EMPRESAS'!$B$15:$B$320,"VIGAS",'METAS EMPRESAS'!$C$15:$C$320,$A275-WEEKDAY($A275,2)+1)</f>
        <v/>
      </c>
      <c r="T275">
        <f>--(WEEKDAY(A275,2)&lt;=5)</f>
        <v/>
      </c>
      <c r="U275" t="n">
        <v>19</v>
      </c>
      <c r="V275" t="n">
        <v>7</v>
      </c>
      <c r="W275" t="n">
        <v>0</v>
      </c>
      <c r="X275" t="n">
        <v>5</v>
      </c>
      <c r="Y275" t="n">
        <v>5</v>
      </c>
      <c r="Z275" t="n">
        <v>5</v>
      </c>
      <c r="AA275" t="n">
        <v>95</v>
      </c>
      <c r="AB275" t="n">
        <v>35</v>
      </c>
      <c r="AC275" t="n">
        <v>0</v>
      </c>
    </row>
    <row r="276">
      <c r="A276" s="317" t="n">
        <v>46497</v>
      </c>
      <c r="B276" s="159">
        <f>SUMIFS('METAS EMPRESAS'!$K$15:$K$320,'METAS EMPRESAS'!$A$15:$A$320,"EJ",'METAS EMPRESAS'!$B$15:$B$320,"PREMONTAGEM",'METAS EMPRESAS'!$C$15:$C$320,$A276-WEEKDAY($A276,2)+1)</f>
        <v/>
      </c>
      <c r="C276" s="159">
        <f>SUMIFS('METAS EMPRESAS'!$K$15:$K$320,'METAS EMPRESAS'!$A$15:$A$320,"EJ",'METAS EMPRESAS'!$B$15:$B$320,"IÇAMENTO JOIST",'METAS EMPRESAS'!$C$15:$C$320,$A276-WEEKDAY($A276,2)+1)</f>
        <v/>
      </c>
      <c r="D276" s="159">
        <f>SUMIFS('METAS EMPRESAS'!$K$15:$K$320,'METAS EMPRESAS'!$A$15:$A$320,"EJ",'METAS EMPRESAS'!$B$15:$B$320,"VIGAS",'METAS EMPRESAS'!$C$15:$C$320,$A276-WEEKDAY($A276,2)+1)</f>
        <v/>
      </c>
      <c r="E276" s="159">
        <f>SUMIFS('METAS EMPRESAS'!$K$15:$K$320,'METAS EMPRESAS'!$A$15:$A$320,"CMM",'METAS EMPRESAS'!$B$15:$B$320,"PREMONTAGEM",'METAS EMPRESAS'!$C$15:$C$320,$A276-WEEKDAY($A276,2)+1)</f>
        <v/>
      </c>
      <c r="F276" s="159">
        <f>SUMIFS('METAS EMPRESAS'!$K$15:$K$320,'METAS EMPRESAS'!$A$15:$A$320,"CMM",'METAS EMPRESAS'!$B$15:$B$320,"IÇAMENTO JOIST",'METAS EMPRESAS'!$C$15:$C$320,$A276-WEEKDAY($A276,2)+1)</f>
        <v/>
      </c>
      <c r="G276" s="159">
        <f>SUMIFS('METAS EMPRESAS'!$K$15:$K$320,'METAS EMPRESAS'!$A$15:$A$320,"CMM",'METAS EMPRESAS'!$B$15:$B$320,"VIGAS",'METAS EMPRESAS'!$C$15:$C$320,$A276-WEEKDAY($A276,2)+1)</f>
        <v/>
      </c>
      <c r="H276" s="159">
        <f>SUMIFS('METAS EMPRESAS'!$G$15:$G$320,'METAS EMPRESAS'!$A$15:$A$320,"EJ",'METAS EMPRESAS'!$B$15:$B$320,"PREMONTAGEM",'METAS EMPRESAS'!$C$15:$C$320,$A276-WEEKDAY($A276,2)+1)</f>
        <v/>
      </c>
      <c r="I276" s="159">
        <f>SUMIFS('METAS EMPRESAS'!$G$15:$G$320,'METAS EMPRESAS'!$A$15:$A$320,"EJ",'METAS EMPRESAS'!$B$15:$B$320,"IÇAMENTO JOIST",'METAS EMPRESAS'!$C$15:$C$320,$A276-WEEKDAY($A276,2)+1)</f>
        <v/>
      </c>
      <c r="J276" s="159">
        <f>SUMIFS('METAS EMPRESAS'!$G$15:$G$320,'METAS EMPRESAS'!$A$15:$A$320,"EJ",'METAS EMPRESAS'!$B$15:$B$320,"VIGAS",'METAS EMPRESAS'!$C$15:$C$320,$A276-WEEKDAY($A276,2)+1)</f>
        <v/>
      </c>
      <c r="K276" s="159">
        <f>SUMIFS('METAS EMPRESAS'!$G$15:$G$320,'METAS EMPRESAS'!$A$15:$A$320,"CMM",'METAS EMPRESAS'!$B$15:$B$320,"PREMONTAGEM",'METAS EMPRESAS'!$C$15:$C$320,$A276-WEEKDAY($A276,2)+1)</f>
        <v/>
      </c>
      <c r="L276" s="159">
        <f>SUMIFS('METAS EMPRESAS'!$G$15:$G$320,'METAS EMPRESAS'!$A$15:$A$320,"CMM",'METAS EMPRESAS'!$B$15:$B$320,"IÇAMENTO JOIST",'METAS EMPRESAS'!$C$15:$C$320,$A276-WEEKDAY($A276,2)+1)</f>
        <v/>
      </c>
      <c r="M276" s="159">
        <f>SUMIFS('METAS EMPRESAS'!$G$15:$G$320,'METAS EMPRESAS'!$A$15:$A$320,"CMM",'METAS EMPRESAS'!$B$15:$B$320,"VIGAS",'METAS EMPRESAS'!$C$15:$C$320,$A276-WEEKDAY($A276,2)+1)</f>
        <v/>
      </c>
      <c r="N276" s="159">
        <f>SUMIFS('METAS EMPRESAS'!$J$15:$J$320,'METAS EMPRESAS'!$A$15:$A$320,"EJ",'METAS EMPRESAS'!$B$15:$B$320,"PREMONTAGEM",'METAS EMPRESAS'!$C$15:$C$320,$A276-WEEKDAY($A276,2)+1)</f>
        <v/>
      </c>
      <c r="O276" s="159">
        <f>SUMIFS('METAS EMPRESAS'!$J$15:$J$320,'METAS EMPRESAS'!$A$15:$A$320,"EJ",'METAS EMPRESAS'!$B$15:$B$320,"IÇAMENTO JOIST",'METAS EMPRESAS'!$C$15:$C$320,$A276-WEEKDAY($A276,2)+1)</f>
        <v/>
      </c>
      <c r="P276" s="159">
        <f>SUMIFS('METAS EMPRESAS'!$J$15:$J$320,'METAS EMPRESAS'!$A$15:$A$320,"EJ",'METAS EMPRESAS'!$B$15:$B$320,"VIGAS",'METAS EMPRESAS'!$C$15:$C$320,$A276-WEEKDAY($A276,2)+1)</f>
        <v/>
      </c>
      <c r="Q276" s="159">
        <f>SUMIFS('METAS EMPRESAS'!$J$15:$J$320,'METAS EMPRESAS'!$A$15:$A$320,"CMM",'METAS EMPRESAS'!$B$15:$B$320,"PREMONTAGEM",'METAS EMPRESAS'!$C$15:$C$320,$A276-WEEKDAY($A276,2)+1)</f>
        <v/>
      </c>
      <c r="R276" s="159">
        <f>SUMIFS('METAS EMPRESAS'!$J$15:$J$320,'METAS EMPRESAS'!$A$15:$A$320,"CMM",'METAS EMPRESAS'!$B$15:$B$320,"IÇAMENTO JOIST",'METAS EMPRESAS'!$C$15:$C$320,$A276-WEEKDAY($A276,2)+1)</f>
        <v/>
      </c>
      <c r="S276" s="159">
        <f>SUMIFS('METAS EMPRESAS'!$J$15:$J$320,'METAS EMPRESAS'!$A$15:$A$320,"CMM",'METAS EMPRESAS'!$B$15:$B$320,"VIGAS",'METAS EMPRESAS'!$C$15:$C$320,$A276-WEEKDAY($A276,2)+1)</f>
        <v/>
      </c>
      <c r="T276">
        <f>--(WEEKDAY(A276,2)&lt;=5)</f>
        <v/>
      </c>
      <c r="U276" t="n">
        <v>19</v>
      </c>
      <c r="V276" t="n">
        <v>7</v>
      </c>
      <c r="W276" t="n">
        <v>0</v>
      </c>
      <c r="X276" t="n">
        <v>5</v>
      </c>
      <c r="Y276" t="n">
        <v>5</v>
      </c>
      <c r="Z276" t="n">
        <v>5</v>
      </c>
      <c r="AA276" t="n">
        <v>95</v>
      </c>
      <c r="AB276" t="n">
        <v>35</v>
      </c>
      <c r="AC276" t="n">
        <v>0</v>
      </c>
    </row>
    <row r="277">
      <c r="A277" s="317" t="n">
        <v>46498</v>
      </c>
      <c r="B277" s="159">
        <f>SUMIFS('METAS EMPRESAS'!$K$15:$K$320,'METAS EMPRESAS'!$A$15:$A$320,"EJ",'METAS EMPRESAS'!$B$15:$B$320,"PREMONTAGEM",'METAS EMPRESAS'!$C$15:$C$320,$A277-WEEKDAY($A277,2)+1)</f>
        <v/>
      </c>
      <c r="C277" s="159">
        <f>SUMIFS('METAS EMPRESAS'!$K$15:$K$320,'METAS EMPRESAS'!$A$15:$A$320,"EJ",'METAS EMPRESAS'!$B$15:$B$320,"IÇAMENTO JOIST",'METAS EMPRESAS'!$C$15:$C$320,$A277-WEEKDAY($A277,2)+1)</f>
        <v/>
      </c>
      <c r="D277" s="159">
        <f>SUMIFS('METAS EMPRESAS'!$K$15:$K$320,'METAS EMPRESAS'!$A$15:$A$320,"EJ",'METAS EMPRESAS'!$B$15:$B$320,"VIGAS",'METAS EMPRESAS'!$C$15:$C$320,$A277-WEEKDAY($A277,2)+1)</f>
        <v/>
      </c>
      <c r="E277" s="159">
        <f>SUMIFS('METAS EMPRESAS'!$K$15:$K$320,'METAS EMPRESAS'!$A$15:$A$320,"CMM",'METAS EMPRESAS'!$B$15:$B$320,"PREMONTAGEM",'METAS EMPRESAS'!$C$15:$C$320,$A277-WEEKDAY($A277,2)+1)</f>
        <v/>
      </c>
      <c r="F277" s="159">
        <f>SUMIFS('METAS EMPRESAS'!$K$15:$K$320,'METAS EMPRESAS'!$A$15:$A$320,"CMM",'METAS EMPRESAS'!$B$15:$B$320,"IÇAMENTO JOIST",'METAS EMPRESAS'!$C$15:$C$320,$A277-WEEKDAY($A277,2)+1)</f>
        <v/>
      </c>
      <c r="G277" s="159">
        <f>SUMIFS('METAS EMPRESAS'!$K$15:$K$320,'METAS EMPRESAS'!$A$15:$A$320,"CMM",'METAS EMPRESAS'!$B$15:$B$320,"VIGAS",'METAS EMPRESAS'!$C$15:$C$320,$A277-WEEKDAY($A277,2)+1)</f>
        <v/>
      </c>
      <c r="H277" s="159">
        <f>SUMIFS('METAS EMPRESAS'!$G$15:$G$320,'METAS EMPRESAS'!$A$15:$A$320,"EJ",'METAS EMPRESAS'!$B$15:$B$320,"PREMONTAGEM",'METAS EMPRESAS'!$C$15:$C$320,$A277-WEEKDAY($A277,2)+1)</f>
        <v/>
      </c>
      <c r="I277" s="159">
        <f>SUMIFS('METAS EMPRESAS'!$G$15:$G$320,'METAS EMPRESAS'!$A$15:$A$320,"EJ",'METAS EMPRESAS'!$B$15:$B$320,"IÇAMENTO JOIST",'METAS EMPRESAS'!$C$15:$C$320,$A277-WEEKDAY($A277,2)+1)</f>
        <v/>
      </c>
      <c r="J277" s="159">
        <f>SUMIFS('METAS EMPRESAS'!$G$15:$G$320,'METAS EMPRESAS'!$A$15:$A$320,"EJ",'METAS EMPRESAS'!$B$15:$B$320,"VIGAS",'METAS EMPRESAS'!$C$15:$C$320,$A277-WEEKDAY($A277,2)+1)</f>
        <v/>
      </c>
      <c r="K277" s="159">
        <f>SUMIFS('METAS EMPRESAS'!$G$15:$G$320,'METAS EMPRESAS'!$A$15:$A$320,"CMM",'METAS EMPRESAS'!$B$15:$B$320,"PREMONTAGEM",'METAS EMPRESAS'!$C$15:$C$320,$A277-WEEKDAY($A277,2)+1)</f>
        <v/>
      </c>
      <c r="L277" s="159">
        <f>SUMIFS('METAS EMPRESAS'!$G$15:$G$320,'METAS EMPRESAS'!$A$15:$A$320,"CMM",'METAS EMPRESAS'!$B$15:$B$320,"IÇAMENTO JOIST",'METAS EMPRESAS'!$C$15:$C$320,$A277-WEEKDAY($A277,2)+1)</f>
        <v/>
      </c>
      <c r="M277" s="159">
        <f>SUMIFS('METAS EMPRESAS'!$G$15:$G$320,'METAS EMPRESAS'!$A$15:$A$320,"CMM",'METAS EMPRESAS'!$B$15:$B$320,"VIGAS",'METAS EMPRESAS'!$C$15:$C$320,$A277-WEEKDAY($A277,2)+1)</f>
        <v/>
      </c>
      <c r="N277" s="159">
        <f>SUMIFS('METAS EMPRESAS'!$J$15:$J$320,'METAS EMPRESAS'!$A$15:$A$320,"EJ",'METAS EMPRESAS'!$B$15:$B$320,"PREMONTAGEM",'METAS EMPRESAS'!$C$15:$C$320,$A277-WEEKDAY($A277,2)+1)</f>
        <v/>
      </c>
      <c r="O277" s="159">
        <f>SUMIFS('METAS EMPRESAS'!$J$15:$J$320,'METAS EMPRESAS'!$A$15:$A$320,"EJ",'METAS EMPRESAS'!$B$15:$B$320,"IÇAMENTO JOIST",'METAS EMPRESAS'!$C$15:$C$320,$A277-WEEKDAY($A277,2)+1)</f>
        <v/>
      </c>
      <c r="P277" s="159">
        <f>SUMIFS('METAS EMPRESAS'!$J$15:$J$320,'METAS EMPRESAS'!$A$15:$A$320,"EJ",'METAS EMPRESAS'!$B$15:$B$320,"VIGAS",'METAS EMPRESAS'!$C$15:$C$320,$A277-WEEKDAY($A277,2)+1)</f>
        <v/>
      </c>
      <c r="Q277" s="159">
        <f>SUMIFS('METAS EMPRESAS'!$J$15:$J$320,'METAS EMPRESAS'!$A$15:$A$320,"CMM",'METAS EMPRESAS'!$B$15:$B$320,"PREMONTAGEM",'METAS EMPRESAS'!$C$15:$C$320,$A277-WEEKDAY($A277,2)+1)</f>
        <v/>
      </c>
      <c r="R277" s="159">
        <f>SUMIFS('METAS EMPRESAS'!$J$15:$J$320,'METAS EMPRESAS'!$A$15:$A$320,"CMM",'METAS EMPRESAS'!$B$15:$B$320,"IÇAMENTO JOIST",'METAS EMPRESAS'!$C$15:$C$320,$A277-WEEKDAY($A277,2)+1)</f>
        <v/>
      </c>
      <c r="S277" s="159">
        <f>SUMIFS('METAS EMPRESAS'!$J$15:$J$320,'METAS EMPRESAS'!$A$15:$A$320,"CMM",'METAS EMPRESAS'!$B$15:$B$320,"VIGAS",'METAS EMPRESAS'!$C$15:$C$320,$A277-WEEKDAY($A277,2)+1)</f>
        <v/>
      </c>
      <c r="T277">
        <f>--(WEEKDAY(A277,2)&lt;=5)</f>
        <v/>
      </c>
      <c r="U277" t="n">
        <v>19</v>
      </c>
      <c r="V277" t="n">
        <v>7</v>
      </c>
      <c r="W277" t="n">
        <v>0</v>
      </c>
      <c r="X277" t="n">
        <v>5</v>
      </c>
      <c r="Y277" t="n">
        <v>5</v>
      </c>
      <c r="Z277" t="n">
        <v>5</v>
      </c>
      <c r="AA277" t="n">
        <v>95</v>
      </c>
      <c r="AB277" t="n">
        <v>35</v>
      </c>
      <c r="AC277" t="n">
        <v>0</v>
      </c>
    </row>
    <row r="278">
      <c r="A278" s="317" t="n">
        <v>46499</v>
      </c>
      <c r="B278" s="159">
        <f>SUMIFS('METAS EMPRESAS'!$K$15:$K$320,'METAS EMPRESAS'!$A$15:$A$320,"EJ",'METAS EMPRESAS'!$B$15:$B$320,"PREMONTAGEM",'METAS EMPRESAS'!$C$15:$C$320,$A278-WEEKDAY($A278,2)+1)</f>
        <v/>
      </c>
      <c r="C278" s="159">
        <f>SUMIFS('METAS EMPRESAS'!$K$15:$K$320,'METAS EMPRESAS'!$A$15:$A$320,"EJ",'METAS EMPRESAS'!$B$15:$B$320,"IÇAMENTO JOIST",'METAS EMPRESAS'!$C$15:$C$320,$A278-WEEKDAY($A278,2)+1)</f>
        <v/>
      </c>
      <c r="D278" s="159">
        <f>SUMIFS('METAS EMPRESAS'!$K$15:$K$320,'METAS EMPRESAS'!$A$15:$A$320,"EJ",'METAS EMPRESAS'!$B$15:$B$320,"VIGAS",'METAS EMPRESAS'!$C$15:$C$320,$A278-WEEKDAY($A278,2)+1)</f>
        <v/>
      </c>
      <c r="E278" s="159">
        <f>SUMIFS('METAS EMPRESAS'!$K$15:$K$320,'METAS EMPRESAS'!$A$15:$A$320,"CMM",'METAS EMPRESAS'!$B$15:$B$320,"PREMONTAGEM",'METAS EMPRESAS'!$C$15:$C$320,$A278-WEEKDAY($A278,2)+1)</f>
        <v/>
      </c>
      <c r="F278" s="159">
        <f>SUMIFS('METAS EMPRESAS'!$K$15:$K$320,'METAS EMPRESAS'!$A$15:$A$320,"CMM",'METAS EMPRESAS'!$B$15:$B$320,"IÇAMENTO JOIST",'METAS EMPRESAS'!$C$15:$C$320,$A278-WEEKDAY($A278,2)+1)</f>
        <v/>
      </c>
      <c r="G278" s="159">
        <f>SUMIFS('METAS EMPRESAS'!$K$15:$K$320,'METAS EMPRESAS'!$A$15:$A$320,"CMM",'METAS EMPRESAS'!$B$15:$B$320,"VIGAS",'METAS EMPRESAS'!$C$15:$C$320,$A278-WEEKDAY($A278,2)+1)</f>
        <v/>
      </c>
      <c r="H278" s="159">
        <f>SUMIFS('METAS EMPRESAS'!$G$15:$G$320,'METAS EMPRESAS'!$A$15:$A$320,"EJ",'METAS EMPRESAS'!$B$15:$B$320,"PREMONTAGEM",'METAS EMPRESAS'!$C$15:$C$320,$A278-WEEKDAY($A278,2)+1)</f>
        <v/>
      </c>
      <c r="I278" s="159">
        <f>SUMIFS('METAS EMPRESAS'!$G$15:$G$320,'METAS EMPRESAS'!$A$15:$A$320,"EJ",'METAS EMPRESAS'!$B$15:$B$320,"IÇAMENTO JOIST",'METAS EMPRESAS'!$C$15:$C$320,$A278-WEEKDAY($A278,2)+1)</f>
        <v/>
      </c>
      <c r="J278" s="159">
        <f>SUMIFS('METAS EMPRESAS'!$G$15:$G$320,'METAS EMPRESAS'!$A$15:$A$320,"EJ",'METAS EMPRESAS'!$B$15:$B$320,"VIGAS",'METAS EMPRESAS'!$C$15:$C$320,$A278-WEEKDAY($A278,2)+1)</f>
        <v/>
      </c>
      <c r="K278" s="159">
        <f>SUMIFS('METAS EMPRESAS'!$G$15:$G$320,'METAS EMPRESAS'!$A$15:$A$320,"CMM",'METAS EMPRESAS'!$B$15:$B$320,"PREMONTAGEM",'METAS EMPRESAS'!$C$15:$C$320,$A278-WEEKDAY($A278,2)+1)</f>
        <v/>
      </c>
      <c r="L278" s="159">
        <f>SUMIFS('METAS EMPRESAS'!$G$15:$G$320,'METAS EMPRESAS'!$A$15:$A$320,"CMM",'METAS EMPRESAS'!$B$15:$B$320,"IÇAMENTO JOIST",'METAS EMPRESAS'!$C$15:$C$320,$A278-WEEKDAY($A278,2)+1)</f>
        <v/>
      </c>
      <c r="M278" s="159">
        <f>SUMIFS('METAS EMPRESAS'!$G$15:$G$320,'METAS EMPRESAS'!$A$15:$A$320,"CMM",'METAS EMPRESAS'!$B$15:$B$320,"VIGAS",'METAS EMPRESAS'!$C$15:$C$320,$A278-WEEKDAY($A278,2)+1)</f>
        <v/>
      </c>
      <c r="N278" s="159">
        <f>SUMIFS('METAS EMPRESAS'!$J$15:$J$320,'METAS EMPRESAS'!$A$15:$A$320,"EJ",'METAS EMPRESAS'!$B$15:$B$320,"PREMONTAGEM",'METAS EMPRESAS'!$C$15:$C$320,$A278-WEEKDAY($A278,2)+1)</f>
        <v/>
      </c>
      <c r="O278" s="159">
        <f>SUMIFS('METAS EMPRESAS'!$J$15:$J$320,'METAS EMPRESAS'!$A$15:$A$320,"EJ",'METAS EMPRESAS'!$B$15:$B$320,"IÇAMENTO JOIST",'METAS EMPRESAS'!$C$15:$C$320,$A278-WEEKDAY($A278,2)+1)</f>
        <v/>
      </c>
      <c r="P278" s="159">
        <f>SUMIFS('METAS EMPRESAS'!$J$15:$J$320,'METAS EMPRESAS'!$A$15:$A$320,"EJ",'METAS EMPRESAS'!$B$15:$B$320,"VIGAS",'METAS EMPRESAS'!$C$15:$C$320,$A278-WEEKDAY($A278,2)+1)</f>
        <v/>
      </c>
      <c r="Q278" s="159">
        <f>SUMIFS('METAS EMPRESAS'!$J$15:$J$320,'METAS EMPRESAS'!$A$15:$A$320,"CMM",'METAS EMPRESAS'!$B$15:$B$320,"PREMONTAGEM",'METAS EMPRESAS'!$C$15:$C$320,$A278-WEEKDAY($A278,2)+1)</f>
        <v/>
      </c>
      <c r="R278" s="159">
        <f>SUMIFS('METAS EMPRESAS'!$J$15:$J$320,'METAS EMPRESAS'!$A$15:$A$320,"CMM",'METAS EMPRESAS'!$B$15:$B$320,"IÇAMENTO JOIST",'METAS EMPRESAS'!$C$15:$C$320,$A278-WEEKDAY($A278,2)+1)</f>
        <v/>
      </c>
      <c r="S278" s="159">
        <f>SUMIFS('METAS EMPRESAS'!$J$15:$J$320,'METAS EMPRESAS'!$A$15:$A$320,"CMM",'METAS EMPRESAS'!$B$15:$B$320,"VIGAS",'METAS EMPRESAS'!$C$15:$C$320,$A278-WEEKDAY($A278,2)+1)</f>
        <v/>
      </c>
      <c r="T278">
        <f>--(WEEKDAY(A278,2)&lt;=5)</f>
        <v/>
      </c>
      <c r="U278" t="n">
        <v>19</v>
      </c>
      <c r="V278" t="n">
        <v>7</v>
      </c>
      <c r="W278" t="n">
        <v>0</v>
      </c>
      <c r="X278" t="n">
        <v>5</v>
      </c>
      <c r="Y278" t="n">
        <v>5</v>
      </c>
      <c r="Z278" t="n">
        <v>5</v>
      </c>
      <c r="AA278" t="n">
        <v>95</v>
      </c>
      <c r="AB278" t="n">
        <v>35</v>
      </c>
      <c r="AC278" t="n">
        <v>0</v>
      </c>
    </row>
    <row r="279">
      <c r="A279" s="317" t="n">
        <v>46500</v>
      </c>
      <c r="B279" s="159">
        <f>SUMIFS('METAS EMPRESAS'!$K$15:$K$320,'METAS EMPRESAS'!$A$15:$A$320,"EJ",'METAS EMPRESAS'!$B$15:$B$320,"PREMONTAGEM",'METAS EMPRESAS'!$C$15:$C$320,$A279-WEEKDAY($A279,2)+1)</f>
        <v/>
      </c>
      <c r="C279" s="159">
        <f>SUMIFS('METAS EMPRESAS'!$K$15:$K$320,'METAS EMPRESAS'!$A$15:$A$320,"EJ",'METAS EMPRESAS'!$B$15:$B$320,"IÇAMENTO JOIST",'METAS EMPRESAS'!$C$15:$C$320,$A279-WEEKDAY($A279,2)+1)</f>
        <v/>
      </c>
      <c r="D279" s="159">
        <f>SUMIFS('METAS EMPRESAS'!$K$15:$K$320,'METAS EMPRESAS'!$A$15:$A$320,"EJ",'METAS EMPRESAS'!$B$15:$B$320,"VIGAS",'METAS EMPRESAS'!$C$15:$C$320,$A279-WEEKDAY($A279,2)+1)</f>
        <v/>
      </c>
      <c r="E279" s="159">
        <f>SUMIFS('METAS EMPRESAS'!$K$15:$K$320,'METAS EMPRESAS'!$A$15:$A$320,"CMM",'METAS EMPRESAS'!$B$15:$B$320,"PREMONTAGEM",'METAS EMPRESAS'!$C$15:$C$320,$A279-WEEKDAY($A279,2)+1)</f>
        <v/>
      </c>
      <c r="F279" s="159">
        <f>SUMIFS('METAS EMPRESAS'!$K$15:$K$320,'METAS EMPRESAS'!$A$15:$A$320,"CMM",'METAS EMPRESAS'!$B$15:$B$320,"IÇAMENTO JOIST",'METAS EMPRESAS'!$C$15:$C$320,$A279-WEEKDAY($A279,2)+1)</f>
        <v/>
      </c>
      <c r="G279" s="159">
        <f>SUMIFS('METAS EMPRESAS'!$K$15:$K$320,'METAS EMPRESAS'!$A$15:$A$320,"CMM",'METAS EMPRESAS'!$B$15:$B$320,"VIGAS",'METAS EMPRESAS'!$C$15:$C$320,$A279-WEEKDAY($A279,2)+1)</f>
        <v/>
      </c>
      <c r="H279" s="159">
        <f>SUMIFS('METAS EMPRESAS'!$G$15:$G$320,'METAS EMPRESAS'!$A$15:$A$320,"EJ",'METAS EMPRESAS'!$B$15:$B$320,"PREMONTAGEM",'METAS EMPRESAS'!$C$15:$C$320,$A279-WEEKDAY($A279,2)+1)</f>
        <v/>
      </c>
      <c r="I279" s="159">
        <f>SUMIFS('METAS EMPRESAS'!$G$15:$G$320,'METAS EMPRESAS'!$A$15:$A$320,"EJ",'METAS EMPRESAS'!$B$15:$B$320,"IÇAMENTO JOIST",'METAS EMPRESAS'!$C$15:$C$320,$A279-WEEKDAY($A279,2)+1)</f>
        <v/>
      </c>
      <c r="J279" s="159">
        <f>SUMIFS('METAS EMPRESAS'!$G$15:$G$320,'METAS EMPRESAS'!$A$15:$A$320,"EJ",'METAS EMPRESAS'!$B$15:$B$320,"VIGAS",'METAS EMPRESAS'!$C$15:$C$320,$A279-WEEKDAY($A279,2)+1)</f>
        <v/>
      </c>
      <c r="K279" s="159">
        <f>SUMIFS('METAS EMPRESAS'!$G$15:$G$320,'METAS EMPRESAS'!$A$15:$A$320,"CMM",'METAS EMPRESAS'!$B$15:$B$320,"PREMONTAGEM",'METAS EMPRESAS'!$C$15:$C$320,$A279-WEEKDAY($A279,2)+1)</f>
        <v/>
      </c>
      <c r="L279" s="159">
        <f>SUMIFS('METAS EMPRESAS'!$G$15:$G$320,'METAS EMPRESAS'!$A$15:$A$320,"CMM",'METAS EMPRESAS'!$B$15:$B$320,"IÇAMENTO JOIST",'METAS EMPRESAS'!$C$15:$C$320,$A279-WEEKDAY($A279,2)+1)</f>
        <v/>
      </c>
      <c r="M279" s="159">
        <f>SUMIFS('METAS EMPRESAS'!$G$15:$G$320,'METAS EMPRESAS'!$A$15:$A$320,"CMM",'METAS EMPRESAS'!$B$15:$B$320,"VIGAS",'METAS EMPRESAS'!$C$15:$C$320,$A279-WEEKDAY($A279,2)+1)</f>
        <v/>
      </c>
      <c r="N279" s="159">
        <f>SUMIFS('METAS EMPRESAS'!$J$15:$J$320,'METAS EMPRESAS'!$A$15:$A$320,"EJ",'METAS EMPRESAS'!$B$15:$B$320,"PREMONTAGEM",'METAS EMPRESAS'!$C$15:$C$320,$A279-WEEKDAY($A279,2)+1)</f>
        <v/>
      </c>
      <c r="O279" s="159">
        <f>SUMIFS('METAS EMPRESAS'!$J$15:$J$320,'METAS EMPRESAS'!$A$15:$A$320,"EJ",'METAS EMPRESAS'!$B$15:$B$320,"IÇAMENTO JOIST",'METAS EMPRESAS'!$C$15:$C$320,$A279-WEEKDAY($A279,2)+1)</f>
        <v/>
      </c>
      <c r="P279" s="159">
        <f>SUMIFS('METAS EMPRESAS'!$J$15:$J$320,'METAS EMPRESAS'!$A$15:$A$320,"EJ",'METAS EMPRESAS'!$B$15:$B$320,"VIGAS",'METAS EMPRESAS'!$C$15:$C$320,$A279-WEEKDAY($A279,2)+1)</f>
        <v/>
      </c>
      <c r="Q279" s="159">
        <f>SUMIFS('METAS EMPRESAS'!$J$15:$J$320,'METAS EMPRESAS'!$A$15:$A$320,"CMM",'METAS EMPRESAS'!$B$15:$B$320,"PREMONTAGEM",'METAS EMPRESAS'!$C$15:$C$320,$A279-WEEKDAY($A279,2)+1)</f>
        <v/>
      </c>
      <c r="R279" s="159">
        <f>SUMIFS('METAS EMPRESAS'!$J$15:$J$320,'METAS EMPRESAS'!$A$15:$A$320,"CMM",'METAS EMPRESAS'!$B$15:$B$320,"IÇAMENTO JOIST",'METAS EMPRESAS'!$C$15:$C$320,$A279-WEEKDAY($A279,2)+1)</f>
        <v/>
      </c>
      <c r="S279" s="159">
        <f>SUMIFS('METAS EMPRESAS'!$J$15:$J$320,'METAS EMPRESAS'!$A$15:$A$320,"CMM",'METAS EMPRESAS'!$B$15:$B$320,"VIGAS",'METAS EMPRESAS'!$C$15:$C$320,$A279-WEEKDAY($A279,2)+1)</f>
        <v/>
      </c>
      <c r="T279">
        <f>--(WEEKDAY(A279,2)&lt;=5)</f>
        <v/>
      </c>
      <c r="U279" t="n">
        <v>19</v>
      </c>
      <c r="V279" t="n">
        <v>7</v>
      </c>
      <c r="W279" t="n">
        <v>0</v>
      </c>
      <c r="X279" t="n">
        <v>5</v>
      </c>
      <c r="Y279" t="n">
        <v>5</v>
      </c>
      <c r="Z279" t="n">
        <v>5</v>
      </c>
      <c r="AA279" t="n">
        <v>95</v>
      </c>
      <c r="AB279" t="n">
        <v>35</v>
      </c>
      <c r="AC279" t="n">
        <v>0</v>
      </c>
    </row>
    <row r="280">
      <c r="A280" s="317" t="n">
        <v>46501</v>
      </c>
      <c r="B280" s="159">
        <f>SUMIFS('METAS EMPRESAS'!$K$15:$K$320,'METAS EMPRESAS'!$A$15:$A$320,"EJ",'METAS EMPRESAS'!$B$15:$B$320,"PREMONTAGEM",'METAS EMPRESAS'!$C$15:$C$320,$A280-WEEKDAY($A280,2)+1)</f>
        <v/>
      </c>
      <c r="C280" s="159">
        <f>SUMIFS('METAS EMPRESAS'!$K$15:$K$320,'METAS EMPRESAS'!$A$15:$A$320,"EJ",'METAS EMPRESAS'!$B$15:$B$320,"IÇAMENTO JOIST",'METAS EMPRESAS'!$C$15:$C$320,$A280-WEEKDAY($A280,2)+1)</f>
        <v/>
      </c>
      <c r="D280" s="159">
        <f>SUMIFS('METAS EMPRESAS'!$K$15:$K$320,'METAS EMPRESAS'!$A$15:$A$320,"EJ",'METAS EMPRESAS'!$B$15:$B$320,"VIGAS",'METAS EMPRESAS'!$C$15:$C$320,$A280-WEEKDAY($A280,2)+1)</f>
        <v/>
      </c>
      <c r="E280" s="159">
        <f>SUMIFS('METAS EMPRESAS'!$K$15:$K$320,'METAS EMPRESAS'!$A$15:$A$320,"CMM",'METAS EMPRESAS'!$B$15:$B$320,"PREMONTAGEM",'METAS EMPRESAS'!$C$15:$C$320,$A280-WEEKDAY($A280,2)+1)</f>
        <v/>
      </c>
      <c r="F280" s="159">
        <f>SUMIFS('METAS EMPRESAS'!$K$15:$K$320,'METAS EMPRESAS'!$A$15:$A$320,"CMM",'METAS EMPRESAS'!$B$15:$B$320,"IÇAMENTO JOIST",'METAS EMPRESAS'!$C$15:$C$320,$A280-WEEKDAY($A280,2)+1)</f>
        <v/>
      </c>
      <c r="G280" s="159">
        <f>SUMIFS('METAS EMPRESAS'!$K$15:$K$320,'METAS EMPRESAS'!$A$15:$A$320,"CMM",'METAS EMPRESAS'!$B$15:$B$320,"VIGAS",'METAS EMPRESAS'!$C$15:$C$320,$A280-WEEKDAY($A280,2)+1)</f>
        <v/>
      </c>
      <c r="H280" s="159">
        <f>SUMIFS('METAS EMPRESAS'!$G$15:$G$320,'METAS EMPRESAS'!$A$15:$A$320,"EJ",'METAS EMPRESAS'!$B$15:$B$320,"PREMONTAGEM",'METAS EMPRESAS'!$C$15:$C$320,$A280-WEEKDAY($A280,2)+1)</f>
        <v/>
      </c>
      <c r="I280" s="159">
        <f>SUMIFS('METAS EMPRESAS'!$G$15:$G$320,'METAS EMPRESAS'!$A$15:$A$320,"EJ",'METAS EMPRESAS'!$B$15:$B$320,"IÇAMENTO JOIST",'METAS EMPRESAS'!$C$15:$C$320,$A280-WEEKDAY($A280,2)+1)</f>
        <v/>
      </c>
      <c r="J280" s="159">
        <f>SUMIFS('METAS EMPRESAS'!$G$15:$G$320,'METAS EMPRESAS'!$A$15:$A$320,"EJ",'METAS EMPRESAS'!$B$15:$B$320,"VIGAS",'METAS EMPRESAS'!$C$15:$C$320,$A280-WEEKDAY($A280,2)+1)</f>
        <v/>
      </c>
      <c r="K280" s="159">
        <f>SUMIFS('METAS EMPRESAS'!$G$15:$G$320,'METAS EMPRESAS'!$A$15:$A$320,"CMM",'METAS EMPRESAS'!$B$15:$B$320,"PREMONTAGEM",'METAS EMPRESAS'!$C$15:$C$320,$A280-WEEKDAY($A280,2)+1)</f>
        <v/>
      </c>
      <c r="L280" s="159">
        <f>SUMIFS('METAS EMPRESAS'!$G$15:$G$320,'METAS EMPRESAS'!$A$15:$A$320,"CMM",'METAS EMPRESAS'!$B$15:$B$320,"IÇAMENTO JOIST",'METAS EMPRESAS'!$C$15:$C$320,$A280-WEEKDAY($A280,2)+1)</f>
        <v/>
      </c>
      <c r="M280" s="159">
        <f>SUMIFS('METAS EMPRESAS'!$G$15:$G$320,'METAS EMPRESAS'!$A$15:$A$320,"CMM",'METAS EMPRESAS'!$B$15:$B$320,"VIGAS",'METAS EMPRESAS'!$C$15:$C$320,$A280-WEEKDAY($A280,2)+1)</f>
        <v/>
      </c>
      <c r="N280" s="159">
        <f>SUMIFS('METAS EMPRESAS'!$J$15:$J$320,'METAS EMPRESAS'!$A$15:$A$320,"EJ",'METAS EMPRESAS'!$B$15:$B$320,"PREMONTAGEM",'METAS EMPRESAS'!$C$15:$C$320,$A280-WEEKDAY($A280,2)+1)</f>
        <v/>
      </c>
      <c r="O280" s="159">
        <f>SUMIFS('METAS EMPRESAS'!$J$15:$J$320,'METAS EMPRESAS'!$A$15:$A$320,"EJ",'METAS EMPRESAS'!$B$15:$B$320,"IÇAMENTO JOIST",'METAS EMPRESAS'!$C$15:$C$320,$A280-WEEKDAY($A280,2)+1)</f>
        <v/>
      </c>
      <c r="P280" s="159">
        <f>SUMIFS('METAS EMPRESAS'!$J$15:$J$320,'METAS EMPRESAS'!$A$15:$A$320,"EJ",'METAS EMPRESAS'!$B$15:$B$320,"VIGAS",'METAS EMPRESAS'!$C$15:$C$320,$A280-WEEKDAY($A280,2)+1)</f>
        <v/>
      </c>
      <c r="Q280" s="159">
        <f>SUMIFS('METAS EMPRESAS'!$J$15:$J$320,'METAS EMPRESAS'!$A$15:$A$320,"CMM",'METAS EMPRESAS'!$B$15:$B$320,"PREMONTAGEM",'METAS EMPRESAS'!$C$15:$C$320,$A280-WEEKDAY($A280,2)+1)</f>
        <v/>
      </c>
      <c r="R280" s="159">
        <f>SUMIFS('METAS EMPRESAS'!$J$15:$J$320,'METAS EMPRESAS'!$A$15:$A$320,"CMM",'METAS EMPRESAS'!$B$15:$B$320,"IÇAMENTO JOIST",'METAS EMPRESAS'!$C$15:$C$320,$A280-WEEKDAY($A280,2)+1)</f>
        <v/>
      </c>
      <c r="S280" s="159">
        <f>SUMIFS('METAS EMPRESAS'!$J$15:$J$320,'METAS EMPRESAS'!$A$15:$A$320,"CMM",'METAS EMPRESAS'!$B$15:$B$320,"VIGAS",'METAS EMPRESAS'!$C$15:$C$320,$A280-WEEKDAY($A280,2)+1)</f>
        <v/>
      </c>
      <c r="T280">
        <f>--(WEEKDAY(A280,2)&lt;=5)</f>
        <v/>
      </c>
      <c r="U280" t="n">
        <v>19</v>
      </c>
      <c r="V280" t="n">
        <v>7</v>
      </c>
      <c r="W280" t="n">
        <v>0</v>
      </c>
      <c r="X280" t="n">
        <v>5</v>
      </c>
      <c r="Y280" t="n">
        <v>5</v>
      </c>
      <c r="Z280" t="n">
        <v>5</v>
      </c>
      <c r="AA280" t="n">
        <v>95</v>
      </c>
      <c r="AB280" t="n">
        <v>35</v>
      </c>
      <c r="AC280" t="n">
        <v>0</v>
      </c>
    </row>
    <row r="281">
      <c r="A281" s="317" t="n">
        <v>46502</v>
      </c>
      <c r="B281" s="159">
        <f>SUMIFS('METAS EMPRESAS'!$K$15:$K$320,'METAS EMPRESAS'!$A$15:$A$320,"EJ",'METAS EMPRESAS'!$B$15:$B$320,"PREMONTAGEM",'METAS EMPRESAS'!$C$15:$C$320,$A281-WEEKDAY($A281,2)+1)</f>
        <v/>
      </c>
      <c r="C281" s="159">
        <f>SUMIFS('METAS EMPRESAS'!$K$15:$K$320,'METAS EMPRESAS'!$A$15:$A$320,"EJ",'METAS EMPRESAS'!$B$15:$B$320,"IÇAMENTO JOIST",'METAS EMPRESAS'!$C$15:$C$320,$A281-WEEKDAY($A281,2)+1)</f>
        <v/>
      </c>
      <c r="D281" s="159">
        <f>SUMIFS('METAS EMPRESAS'!$K$15:$K$320,'METAS EMPRESAS'!$A$15:$A$320,"EJ",'METAS EMPRESAS'!$B$15:$B$320,"VIGAS",'METAS EMPRESAS'!$C$15:$C$320,$A281-WEEKDAY($A281,2)+1)</f>
        <v/>
      </c>
      <c r="E281" s="159">
        <f>SUMIFS('METAS EMPRESAS'!$K$15:$K$320,'METAS EMPRESAS'!$A$15:$A$320,"CMM",'METAS EMPRESAS'!$B$15:$B$320,"PREMONTAGEM",'METAS EMPRESAS'!$C$15:$C$320,$A281-WEEKDAY($A281,2)+1)</f>
        <v/>
      </c>
      <c r="F281" s="159">
        <f>SUMIFS('METAS EMPRESAS'!$K$15:$K$320,'METAS EMPRESAS'!$A$15:$A$320,"CMM",'METAS EMPRESAS'!$B$15:$B$320,"IÇAMENTO JOIST",'METAS EMPRESAS'!$C$15:$C$320,$A281-WEEKDAY($A281,2)+1)</f>
        <v/>
      </c>
      <c r="G281" s="159">
        <f>SUMIFS('METAS EMPRESAS'!$K$15:$K$320,'METAS EMPRESAS'!$A$15:$A$320,"CMM",'METAS EMPRESAS'!$B$15:$B$320,"VIGAS",'METAS EMPRESAS'!$C$15:$C$320,$A281-WEEKDAY($A281,2)+1)</f>
        <v/>
      </c>
      <c r="H281" s="159">
        <f>SUMIFS('METAS EMPRESAS'!$G$15:$G$320,'METAS EMPRESAS'!$A$15:$A$320,"EJ",'METAS EMPRESAS'!$B$15:$B$320,"PREMONTAGEM",'METAS EMPRESAS'!$C$15:$C$320,$A281-WEEKDAY($A281,2)+1)</f>
        <v/>
      </c>
      <c r="I281" s="159">
        <f>SUMIFS('METAS EMPRESAS'!$G$15:$G$320,'METAS EMPRESAS'!$A$15:$A$320,"EJ",'METAS EMPRESAS'!$B$15:$B$320,"IÇAMENTO JOIST",'METAS EMPRESAS'!$C$15:$C$320,$A281-WEEKDAY($A281,2)+1)</f>
        <v/>
      </c>
      <c r="J281" s="159">
        <f>SUMIFS('METAS EMPRESAS'!$G$15:$G$320,'METAS EMPRESAS'!$A$15:$A$320,"EJ",'METAS EMPRESAS'!$B$15:$B$320,"VIGAS",'METAS EMPRESAS'!$C$15:$C$320,$A281-WEEKDAY($A281,2)+1)</f>
        <v/>
      </c>
      <c r="K281" s="159">
        <f>SUMIFS('METAS EMPRESAS'!$G$15:$G$320,'METAS EMPRESAS'!$A$15:$A$320,"CMM",'METAS EMPRESAS'!$B$15:$B$320,"PREMONTAGEM",'METAS EMPRESAS'!$C$15:$C$320,$A281-WEEKDAY($A281,2)+1)</f>
        <v/>
      </c>
      <c r="L281" s="159">
        <f>SUMIFS('METAS EMPRESAS'!$G$15:$G$320,'METAS EMPRESAS'!$A$15:$A$320,"CMM",'METAS EMPRESAS'!$B$15:$B$320,"IÇAMENTO JOIST",'METAS EMPRESAS'!$C$15:$C$320,$A281-WEEKDAY($A281,2)+1)</f>
        <v/>
      </c>
      <c r="M281" s="159">
        <f>SUMIFS('METAS EMPRESAS'!$G$15:$G$320,'METAS EMPRESAS'!$A$15:$A$320,"CMM",'METAS EMPRESAS'!$B$15:$B$320,"VIGAS",'METAS EMPRESAS'!$C$15:$C$320,$A281-WEEKDAY($A281,2)+1)</f>
        <v/>
      </c>
      <c r="N281" s="159">
        <f>SUMIFS('METAS EMPRESAS'!$J$15:$J$320,'METAS EMPRESAS'!$A$15:$A$320,"EJ",'METAS EMPRESAS'!$B$15:$B$320,"PREMONTAGEM",'METAS EMPRESAS'!$C$15:$C$320,$A281-WEEKDAY($A281,2)+1)</f>
        <v/>
      </c>
      <c r="O281" s="159">
        <f>SUMIFS('METAS EMPRESAS'!$J$15:$J$320,'METAS EMPRESAS'!$A$15:$A$320,"EJ",'METAS EMPRESAS'!$B$15:$B$320,"IÇAMENTO JOIST",'METAS EMPRESAS'!$C$15:$C$320,$A281-WEEKDAY($A281,2)+1)</f>
        <v/>
      </c>
      <c r="P281" s="159">
        <f>SUMIFS('METAS EMPRESAS'!$J$15:$J$320,'METAS EMPRESAS'!$A$15:$A$320,"EJ",'METAS EMPRESAS'!$B$15:$B$320,"VIGAS",'METAS EMPRESAS'!$C$15:$C$320,$A281-WEEKDAY($A281,2)+1)</f>
        <v/>
      </c>
      <c r="Q281" s="159">
        <f>SUMIFS('METAS EMPRESAS'!$J$15:$J$320,'METAS EMPRESAS'!$A$15:$A$320,"CMM",'METAS EMPRESAS'!$B$15:$B$320,"PREMONTAGEM",'METAS EMPRESAS'!$C$15:$C$320,$A281-WEEKDAY($A281,2)+1)</f>
        <v/>
      </c>
      <c r="R281" s="159">
        <f>SUMIFS('METAS EMPRESAS'!$J$15:$J$320,'METAS EMPRESAS'!$A$15:$A$320,"CMM",'METAS EMPRESAS'!$B$15:$B$320,"IÇAMENTO JOIST",'METAS EMPRESAS'!$C$15:$C$320,$A281-WEEKDAY($A281,2)+1)</f>
        <v/>
      </c>
      <c r="S281" s="159">
        <f>SUMIFS('METAS EMPRESAS'!$J$15:$J$320,'METAS EMPRESAS'!$A$15:$A$320,"CMM",'METAS EMPRESAS'!$B$15:$B$320,"VIGAS",'METAS EMPRESAS'!$C$15:$C$320,$A281-WEEKDAY($A281,2)+1)</f>
        <v/>
      </c>
      <c r="T281">
        <f>--(WEEKDAY(A281,2)&lt;=5)</f>
        <v/>
      </c>
      <c r="U281" t="n">
        <v>19</v>
      </c>
      <c r="V281" t="n">
        <v>7</v>
      </c>
      <c r="W281" t="n">
        <v>0</v>
      </c>
      <c r="X281" t="n">
        <v>5</v>
      </c>
      <c r="Y281" t="n">
        <v>5</v>
      </c>
      <c r="Z281" t="n">
        <v>5</v>
      </c>
      <c r="AA281" t="n">
        <v>95</v>
      </c>
      <c r="AB281" t="n">
        <v>35</v>
      </c>
      <c r="AC281" t="n">
        <v>0</v>
      </c>
    </row>
    <row r="282">
      <c r="A282" s="317" t="n">
        <v>46503</v>
      </c>
      <c r="B282" s="159">
        <f>SUMIFS('METAS EMPRESAS'!$K$15:$K$320,'METAS EMPRESAS'!$A$15:$A$320,"EJ",'METAS EMPRESAS'!$B$15:$B$320,"PREMONTAGEM",'METAS EMPRESAS'!$C$15:$C$320,$A282-WEEKDAY($A282,2)+1)</f>
        <v/>
      </c>
      <c r="C282" s="159">
        <f>SUMIFS('METAS EMPRESAS'!$K$15:$K$320,'METAS EMPRESAS'!$A$15:$A$320,"EJ",'METAS EMPRESAS'!$B$15:$B$320,"IÇAMENTO JOIST",'METAS EMPRESAS'!$C$15:$C$320,$A282-WEEKDAY($A282,2)+1)</f>
        <v/>
      </c>
      <c r="D282" s="159">
        <f>SUMIFS('METAS EMPRESAS'!$K$15:$K$320,'METAS EMPRESAS'!$A$15:$A$320,"EJ",'METAS EMPRESAS'!$B$15:$B$320,"VIGAS",'METAS EMPRESAS'!$C$15:$C$320,$A282-WEEKDAY($A282,2)+1)</f>
        <v/>
      </c>
      <c r="E282" s="159">
        <f>SUMIFS('METAS EMPRESAS'!$K$15:$K$320,'METAS EMPRESAS'!$A$15:$A$320,"CMM",'METAS EMPRESAS'!$B$15:$B$320,"PREMONTAGEM",'METAS EMPRESAS'!$C$15:$C$320,$A282-WEEKDAY($A282,2)+1)</f>
        <v/>
      </c>
      <c r="F282" s="159">
        <f>SUMIFS('METAS EMPRESAS'!$K$15:$K$320,'METAS EMPRESAS'!$A$15:$A$320,"CMM",'METAS EMPRESAS'!$B$15:$B$320,"IÇAMENTO JOIST",'METAS EMPRESAS'!$C$15:$C$320,$A282-WEEKDAY($A282,2)+1)</f>
        <v/>
      </c>
      <c r="G282" s="159">
        <f>SUMIFS('METAS EMPRESAS'!$K$15:$K$320,'METAS EMPRESAS'!$A$15:$A$320,"CMM",'METAS EMPRESAS'!$B$15:$B$320,"VIGAS",'METAS EMPRESAS'!$C$15:$C$320,$A282-WEEKDAY($A282,2)+1)</f>
        <v/>
      </c>
      <c r="H282" s="159">
        <f>SUMIFS('METAS EMPRESAS'!$G$15:$G$320,'METAS EMPRESAS'!$A$15:$A$320,"EJ",'METAS EMPRESAS'!$B$15:$B$320,"PREMONTAGEM",'METAS EMPRESAS'!$C$15:$C$320,$A282-WEEKDAY($A282,2)+1)</f>
        <v/>
      </c>
      <c r="I282" s="159">
        <f>SUMIFS('METAS EMPRESAS'!$G$15:$G$320,'METAS EMPRESAS'!$A$15:$A$320,"EJ",'METAS EMPRESAS'!$B$15:$B$320,"IÇAMENTO JOIST",'METAS EMPRESAS'!$C$15:$C$320,$A282-WEEKDAY($A282,2)+1)</f>
        <v/>
      </c>
      <c r="J282" s="159">
        <f>SUMIFS('METAS EMPRESAS'!$G$15:$G$320,'METAS EMPRESAS'!$A$15:$A$320,"EJ",'METAS EMPRESAS'!$B$15:$B$320,"VIGAS",'METAS EMPRESAS'!$C$15:$C$320,$A282-WEEKDAY($A282,2)+1)</f>
        <v/>
      </c>
      <c r="K282" s="159">
        <f>SUMIFS('METAS EMPRESAS'!$G$15:$G$320,'METAS EMPRESAS'!$A$15:$A$320,"CMM",'METAS EMPRESAS'!$B$15:$B$320,"PREMONTAGEM",'METAS EMPRESAS'!$C$15:$C$320,$A282-WEEKDAY($A282,2)+1)</f>
        <v/>
      </c>
      <c r="L282" s="159">
        <f>SUMIFS('METAS EMPRESAS'!$G$15:$G$320,'METAS EMPRESAS'!$A$15:$A$320,"CMM",'METAS EMPRESAS'!$B$15:$B$320,"IÇAMENTO JOIST",'METAS EMPRESAS'!$C$15:$C$320,$A282-WEEKDAY($A282,2)+1)</f>
        <v/>
      </c>
      <c r="M282" s="159">
        <f>SUMIFS('METAS EMPRESAS'!$G$15:$G$320,'METAS EMPRESAS'!$A$15:$A$320,"CMM",'METAS EMPRESAS'!$B$15:$B$320,"VIGAS",'METAS EMPRESAS'!$C$15:$C$320,$A282-WEEKDAY($A282,2)+1)</f>
        <v/>
      </c>
      <c r="N282" s="159">
        <f>SUMIFS('METAS EMPRESAS'!$J$15:$J$320,'METAS EMPRESAS'!$A$15:$A$320,"EJ",'METAS EMPRESAS'!$B$15:$B$320,"PREMONTAGEM",'METAS EMPRESAS'!$C$15:$C$320,$A282-WEEKDAY($A282,2)+1)</f>
        <v/>
      </c>
      <c r="O282" s="159">
        <f>SUMIFS('METAS EMPRESAS'!$J$15:$J$320,'METAS EMPRESAS'!$A$15:$A$320,"EJ",'METAS EMPRESAS'!$B$15:$B$320,"IÇAMENTO JOIST",'METAS EMPRESAS'!$C$15:$C$320,$A282-WEEKDAY($A282,2)+1)</f>
        <v/>
      </c>
      <c r="P282" s="159">
        <f>SUMIFS('METAS EMPRESAS'!$J$15:$J$320,'METAS EMPRESAS'!$A$15:$A$320,"EJ",'METAS EMPRESAS'!$B$15:$B$320,"VIGAS",'METAS EMPRESAS'!$C$15:$C$320,$A282-WEEKDAY($A282,2)+1)</f>
        <v/>
      </c>
      <c r="Q282" s="159">
        <f>SUMIFS('METAS EMPRESAS'!$J$15:$J$320,'METAS EMPRESAS'!$A$15:$A$320,"CMM",'METAS EMPRESAS'!$B$15:$B$320,"PREMONTAGEM",'METAS EMPRESAS'!$C$15:$C$320,$A282-WEEKDAY($A282,2)+1)</f>
        <v/>
      </c>
      <c r="R282" s="159">
        <f>SUMIFS('METAS EMPRESAS'!$J$15:$J$320,'METAS EMPRESAS'!$A$15:$A$320,"CMM",'METAS EMPRESAS'!$B$15:$B$320,"IÇAMENTO JOIST",'METAS EMPRESAS'!$C$15:$C$320,$A282-WEEKDAY($A282,2)+1)</f>
        <v/>
      </c>
      <c r="S282" s="159">
        <f>SUMIFS('METAS EMPRESAS'!$J$15:$J$320,'METAS EMPRESAS'!$A$15:$A$320,"CMM",'METAS EMPRESAS'!$B$15:$B$320,"VIGAS",'METAS EMPRESAS'!$C$15:$C$320,$A282-WEEKDAY($A282,2)+1)</f>
        <v/>
      </c>
      <c r="T282">
        <f>--(WEEKDAY(A282,2)&lt;=5)</f>
        <v/>
      </c>
      <c r="U282" t="n">
        <v>19</v>
      </c>
      <c r="V282" t="n">
        <v>7</v>
      </c>
      <c r="W282" t="n">
        <v>0</v>
      </c>
      <c r="X282" t="n">
        <v>5</v>
      </c>
      <c r="Y282" t="n">
        <v>5</v>
      </c>
      <c r="Z282" t="n">
        <v>5</v>
      </c>
      <c r="AA282" t="n">
        <v>95</v>
      </c>
      <c r="AB282" t="n">
        <v>35</v>
      </c>
      <c r="AC282" t="n">
        <v>0</v>
      </c>
    </row>
    <row r="283">
      <c r="A283" s="317" t="n">
        <v>46504</v>
      </c>
      <c r="B283" s="159">
        <f>SUMIFS('METAS EMPRESAS'!$K$15:$K$320,'METAS EMPRESAS'!$A$15:$A$320,"EJ",'METAS EMPRESAS'!$B$15:$B$320,"PREMONTAGEM",'METAS EMPRESAS'!$C$15:$C$320,$A283-WEEKDAY($A283,2)+1)</f>
        <v/>
      </c>
      <c r="C283" s="159">
        <f>SUMIFS('METAS EMPRESAS'!$K$15:$K$320,'METAS EMPRESAS'!$A$15:$A$320,"EJ",'METAS EMPRESAS'!$B$15:$B$320,"IÇAMENTO JOIST",'METAS EMPRESAS'!$C$15:$C$320,$A283-WEEKDAY($A283,2)+1)</f>
        <v/>
      </c>
      <c r="D283" s="159">
        <f>SUMIFS('METAS EMPRESAS'!$K$15:$K$320,'METAS EMPRESAS'!$A$15:$A$320,"EJ",'METAS EMPRESAS'!$B$15:$B$320,"VIGAS",'METAS EMPRESAS'!$C$15:$C$320,$A283-WEEKDAY($A283,2)+1)</f>
        <v/>
      </c>
      <c r="E283" s="159">
        <f>SUMIFS('METAS EMPRESAS'!$K$15:$K$320,'METAS EMPRESAS'!$A$15:$A$320,"CMM",'METAS EMPRESAS'!$B$15:$B$320,"PREMONTAGEM",'METAS EMPRESAS'!$C$15:$C$320,$A283-WEEKDAY($A283,2)+1)</f>
        <v/>
      </c>
      <c r="F283" s="159">
        <f>SUMIFS('METAS EMPRESAS'!$K$15:$K$320,'METAS EMPRESAS'!$A$15:$A$320,"CMM",'METAS EMPRESAS'!$B$15:$B$320,"IÇAMENTO JOIST",'METAS EMPRESAS'!$C$15:$C$320,$A283-WEEKDAY($A283,2)+1)</f>
        <v/>
      </c>
      <c r="G283" s="159">
        <f>SUMIFS('METAS EMPRESAS'!$K$15:$K$320,'METAS EMPRESAS'!$A$15:$A$320,"CMM",'METAS EMPRESAS'!$B$15:$B$320,"VIGAS",'METAS EMPRESAS'!$C$15:$C$320,$A283-WEEKDAY($A283,2)+1)</f>
        <v/>
      </c>
      <c r="H283" s="159">
        <f>SUMIFS('METAS EMPRESAS'!$G$15:$G$320,'METAS EMPRESAS'!$A$15:$A$320,"EJ",'METAS EMPRESAS'!$B$15:$B$320,"PREMONTAGEM",'METAS EMPRESAS'!$C$15:$C$320,$A283-WEEKDAY($A283,2)+1)</f>
        <v/>
      </c>
      <c r="I283" s="159">
        <f>SUMIFS('METAS EMPRESAS'!$G$15:$G$320,'METAS EMPRESAS'!$A$15:$A$320,"EJ",'METAS EMPRESAS'!$B$15:$B$320,"IÇAMENTO JOIST",'METAS EMPRESAS'!$C$15:$C$320,$A283-WEEKDAY($A283,2)+1)</f>
        <v/>
      </c>
      <c r="J283" s="159">
        <f>SUMIFS('METAS EMPRESAS'!$G$15:$G$320,'METAS EMPRESAS'!$A$15:$A$320,"EJ",'METAS EMPRESAS'!$B$15:$B$320,"VIGAS",'METAS EMPRESAS'!$C$15:$C$320,$A283-WEEKDAY($A283,2)+1)</f>
        <v/>
      </c>
      <c r="K283" s="159">
        <f>SUMIFS('METAS EMPRESAS'!$G$15:$G$320,'METAS EMPRESAS'!$A$15:$A$320,"CMM",'METAS EMPRESAS'!$B$15:$B$320,"PREMONTAGEM",'METAS EMPRESAS'!$C$15:$C$320,$A283-WEEKDAY($A283,2)+1)</f>
        <v/>
      </c>
      <c r="L283" s="159">
        <f>SUMIFS('METAS EMPRESAS'!$G$15:$G$320,'METAS EMPRESAS'!$A$15:$A$320,"CMM",'METAS EMPRESAS'!$B$15:$B$320,"IÇAMENTO JOIST",'METAS EMPRESAS'!$C$15:$C$320,$A283-WEEKDAY($A283,2)+1)</f>
        <v/>
      </c>
      <c r="M283" s="159">
        <f>SUMIFS('METAS EMPRESAS'!$G$15:$G$320,'METAS EMPRESAS'!$A$15:$A$320,"CMM",'METAS EMPRESAS'!$B$15:$B$320,"VIGAS",'METAS EMPRESAS'!$C$15:$C$320,$A283-WEEKDAY($A283,2)+1)</f>
        <v/>
      </c>
      <c r="N283" s="159">
        <f>SUMIFS('METAS EMPRESAS'!$J$15:$J$320,'METAS EMPRESAS'!$A$15:$A$320,"EJ",'METAS EMPRESAS'!$B$15:$B$320,"PREMONTAGEM",'METAS EMPRESAS'!$C$15:$C$320,$A283-WEEKDAY($A283,2)+1)</f>
        <v/>
      </c>
      <c r="O283" s="159">
        <f>SUMIFS('METAS EMPRESAS'!$J$15:$J$320,'METAS EMPRESAS'!$A$15:$A$320,"EJ",'METAS EMPRESAS'!$B$15:$B$320,"IÇAMENTO JOIST",'METAS EMPRESAS'!$C$15:$C$320,$A283-WEEKDAY($A283,2)+1)</f>
        <v/>
      </c>
      <c r="P283" s="159">
        <f>SUMIFS('METAS EMPRESAS'!$J$15:$J$320,'METAS EMPRESAS'!$A$15:$A$320,"EJ",'METAS EMPRESAS'!$B$15:$B$320,"VIGAS",'METAS EMPRESAS'!$C$15:$C$320,$A283-WEEKDAY($A283,2)+1)</f>
        <v/>
      </c>
      <c r="Q283" s="159">
        <f>SUMIFS('METAS EMPRESAS'!$J$15:$J$320,'METAS EMPRESAS'!$A$15:$A$320,"CMM",'METAS EMPRESAS'!$B$15:$B$320,"PREMONTAGEM",'METAS EMPRESAS'!$C$15:$C$320,$A283-WEEKDAY($A283,2)+1)</f>
        <v/>
      </c>
      <c r="R283" s="159">
        <f>SUMIFS('METAS EMPRESAS'!$J$15:$J$320,'METAS EMPRESAS'!$A$15:$A$320,"CMM",'METAS EMPRESAS'!$B$15:$B$320,"IÇAMENTO JOIST",'METAS EMPRESAS'!$C$15:$C$320,$A283-WEEKDAY($A283,2)+1)</f>
        <v/>
      </c>
      <c r="S283" s="159">
        <f>SUMIFS('METAS EMPRESAS'!$J$15:$J$320,'METAS EMPRESAS'!$A$15:$A$320,"CMM",'METAS EMPRESAS'!$B$15:$B$320,"VIGAS",'METAS EMPRESAS'!$C$15:$C$320,$A283-WEEKDAY($A283,2)+1)</f>
        <v/>
      </c>
      <c r="T283">
        <f>--(WEEKDAY(A283,2)&lt;=5)</f>
        <v/>
      </c>
      <c r="U283" t="n">
        <v>19</v>
      </c>
      <c r="V283" t="n">
        <v>7</v>
      </c>
      <c r="W283" t="n">
        <v>0</v>
      </c>
      <c r="X283" t="n">
        <v>5</v>
      </c>
      <c r="Y283" t="n">
        <v>5</v>
      </c>
      <c r="Z283" t="n">
        <v>5</v>
      </c>
      <c r="AA283" t="n">
        <v>95</v>
      </c>
      <c r="AB283" t="n">
        <v>35</v>
      </c>
      <c r="AC283" t="n">
        <v>0</v>
      </c>
    </row>
    <row r="284">
      <c r="A284" s="317" t="n">
        <v>46505</v>
      </c>
      <c r="B284" s="159">
        <f>SUMIFS('METAS EMPRESAS'!$K$15:$K$320,'METAS EMPRESAS'!$A$15:$A$320,"EJ",'METAS EMPRESAS'!$B$15:$B$320,"PREMONTAGEM",'METAS EMPRESAS'!$C$15:$C$320,$A284-WEEKDAY($A284,2)+1)</f>
        <v/>
      </c>
      <c r="C284" s="159">
        <f>SUMIFS('METAS EMPRESAS'!$K$15:$K$320,'METAS EMPRESAS'!$A$15:$A$320,"EJ",'METAS EMPRESAS'!$B$15:$B$320,"IÇAMENTO JOIST",'METAS EMPRESAS'!$C$15:$C$320,$A284-WEEKDAY($A284,2)+1)</f>
        <v/>
      </c>
      <c r="D284" s="159">
        <f>SUMIFS('METAS EMPRESAS'!$K$15:$K$320,'METAS EMPRESAS'!$A$15:$A$320,"EJ",'METAS EMPRESAS'!$B$15:$B$320,"VIGAS",'METAS EMPRESAS'!$C$15:$C$320,$A284-WEEKDAY($A284,2)+1)</f>
        <v/>
      </c>
      <c r="E284" s="159">
        <f>SUMIFS('METAS EMPRESAS'!$K$15:$K$320,'METAS EMPRESAS'!$A$15:$A$320,"CMM",'METAS EMPRESAS'!$B$15:$B$320,"PREMONTAGEM",'METAS EMPRESAS'!$C$15:$C$320,$A284-WEEKDAY($A284,2)+1)</f>
        <v/>
      </c>
      <c r="F284" s="159">
        <f>SUMIFS('METAS EMPRESAS'!$K$15:$K$320,'METAS EMPRESAS'!$A$15:$A$320,"CMM",'METAS EMPRESAS'!$B$15:$B$320,"IÇAMENTO JOIST",'METAS EMPRESAS'!$C$15:$C$320,$A284-WEEKDAY($A284,2)+1)</f>
        <v/>
      </c>
      <c r="G284" s="159">
        <f>SUMIFS('METAS EMPRESAS'!$K$15:$K$320,'METAS EMPRESAS'!$A$15:$A$320,"CMM",'METAS EMPRESAS'!$B$15:$B$320,"VIGAS",'METAS EMPRESAS'!$C$15:$C$320,$A284-WEEKDAY($A284,2)+1)</f>
        <v/>
      </c>
      <c r="H284" s="159">
        <f>SUMIFS('METAS EMPRESAS'!$G$15:$G$320,'METAS EMPRESAS'!$A$15:$A$320,"EJ",'METAS EMPRESAS'!$B$15:$B$320,"PREMONTAGEM",'METAS EMPRESAS'!$C$15:$C$320,$A284-WEEKDAY($A284,2)+1)</f>
        <v/>
      </c>
      <c r="I284" s="159">
        <f>SUMIFS('METAS EMPRESAS'!$G$15:$G$320,'METAS EMPRESAS'!$A$15:$A$320,"EJ",'METAS EMPRESAS'!$B$15:$B$320,"IÇAMENTO JOIST",'METAS EMPRESAS'!$C$15:$C$320,$A284-WEEKDAY($A284,2)+1)</f>
        <v/>
      </c>
      <c r="J284" s="159">
        <f>SUMIFS('METAS EMPRESAS'!$G$15:$G$320,'METAS EMPRESAS'!$A$15:$A$320,"EJ",'METAS EMPRESAS'!$B$15:$B$320,"VIGAS",'METAS EMPRESAS'!$C$15:$C$320,$A284-WEEKDAY($A284,2)+1)</f>
        <v/>
      </c>
      <c r="K284" s="159">
        <f>SUMIFS('METAS EMPRESAS'!$G$15:$G$320,'METAS EMPRESAS'!$A$15:$A$320,"CMM",'METAS EMPRESAS'!$B$15:$B$320,"PREMONTAGEM",'METAS EMPRESAS'!$C$15:$C$320,$A284-WEEKDAY($A284,2)+1)</f>
        <v/>
      </c>
      <c r="L284" s="159">
        <f>SUMIFS('METAS EMPRESAS'!$G$15:$G$320,'METAS EMPRESAS'!$A$15:$A$320,"CMM",'METAS EMPRESAS'!$B$15:$B$320,"IÇAMENTO JOIST",'METAS EMPRESAS'!$C$15:$C$320,$A284-WEEKDAY($A284,2)+1)</f>
        <v/>
      </c>
      <c r="M284" s="159">
        <f>SUMIFS('METAS EMPRESAS'!$G$15:$G$320,'METAS EMPRESAS'!$A$15:$A$320,"CMM",'METAS EMPRESAS'!$B$15:$B$320,"VIGAS",'METAS EMPRESAS'!$C$15:$C$320,$A284-WEEKDAY($A284,2)+1)</f>
        <v/>
      </c>
      <c r="N284" s="159">
        <f>SUMIFS('METAS EMPRESAS'!$J$15:$J$320,'METAS EMPRESAS'!$A$15:$A$320,"EJ",'METAS EMPRESAS'!$B$15:$B$320,"PREMONTAGEM",'METAS EMPRESAS'!$C$15:$C$320,$A284-WEEKDAY($A284,2)+1)</f>
        <v/>
      </c>
      <c r="O284" s="159">
        <f>SUMIFS('METAS EMPRESAS'!$J$15:$J$320,'METAS EMPRESAS'!$A$15:$A$320,"EJ",'METAS EMPRESAS'!$B$15:$B$320,"IÇAMENTO JOIST",'METAS EMPRESAS'!$C$15:$C$320,$A284-WEEKDAY($A284,2)+1)</f>
        <v/>
      </c>
      <c r="P284" s="159">
        <f>SUMIFS('METAS EMPRESAS'!$J$15:$J$320,'METAS EMPRESAS'!$A$15:$A$320,"EJ",'METAS EMPRESAS'!$B$15:$B$320,"VIGAS",'METAS EMPRESAS'!$C$15:$C$320,$A284-WEEKDAY($A284,2)+1)</f>
        <v/>
      </c>
      <c r="Q284" s="159">
        <f>SUMIFS('METAS EMPRESAS'!$J$15:$J$320,'METAS EMPRESAS'!$A$15:$A$320,"CMM",'METAS EMPRESAS'!$B$15:$B$320,"PREMONTAGEM",'METAS EMPRESAS'!$C$15:$C$320,$A284-WEEKDAY($A284,2)+1)</f>
        <v/>
      </c>
      <c r="R284" s="159">
        <f>SUMIFS('METAS EMPRESAS'!$J$15:$J$320,'METAS EMPRESAS'!$A$15:$A$320,"CMM",'METAS EMPRESAS'!$B$15:$B$320,"IÇAMENTO JOIST",'METAS EMPRESAS'!$C$15:$C$320,$A284-WEEKDAY($A284,2)+1)</f>
        <v/>
      </c>
      <c r="S284" s="159">
        <f>SUMIFS('METAS EMPRESAS'!$J$15:$J$320,'METAS EMPRESAS'!$A$15:$A$320,"CMM",'METAS EMPRESAS'!$B$15:$B$320,"VIGAS",'METAS EMPRESAS'!$C$15:$C$320,$A284-WEEKDAY($A284,2)+1)</f>
        <v/>
      </c>
      <c r="T284">
        <f>--(WEEKDAY(A284,2)&lt;=5)</f>
        <v/>
      </c>
      <c r="U284" t="n">
        <v>19</v>
      </c>
      <c r="V284" t="n">
        <v>7</v>
      </c>
      <c r="W284" t="n">
        <v>0</v>
      </c>
      <c r="X284" t="n">
        <v>5</v>
      </c>
      <c r="Y284" t="n">
        <v>5</v>
      </c>
      <c r="Z284" t="n">
        <v>5</v>
      </c>
      <c r="AA284" t="n">
        <v>95</v>
      </c>
      <c r="AB284" t="n">
        <v>35</v>
      </c>
      <c r="AC284" t="n">
        <v>0</v>
      </c>
    </row>
    <row r="285">
      <c r="A285" s="317" t="n">
        <v>46506</v>
      </c>
      <c r="B285" s="159">
        <f>SUMIFS('METAS EMPRESAS'!$K$15:$K$320,'METAS EMPRESAS'!$A$15:$A$320,"EJ",'METAS EMPRESAS'!$B$15:$B$320,"PREMONTAGEM",'METAS EMPRESAS'!$C$15:$C$320,$A285-WEEKDAY($A285,2)+1)</f>
        <v/>
      </c>
      <c r="C285" s="159">
        <f>SUMIFS('METAS EMPRESAS'!$K$15:$K$320,'METAS EMPRESAS'!$A$15:$A$320,"EJ",'METAS EMPRESAS'!$B$15:$B$320,"IÇAMENTO JOIST",'METAS EMPRESAS'!$C$15:$C$320,$A285-WEEKDAY($A285,2)+1)</f>
        <v/>
      </c>
      <c r="D285" s="159">
        <f>SUMIFS('METAS EMPRESAS'!$K$15:$K$320,'METAS EMPRESAS'!$A$15:$A$320,"EJ",'METAS EMPRESAS'!$B$15:$B$320,"VIGAS",'METAS EMPRESAS'!$C$15:$C$320,$A285-WEEKDAY($A285,2)+1)</f>
        <v/>
      </c>
      <c r="E285" s="159">
        <f>SUMIFS('METAS EMPRESAS'!$K$15:$K$320,'METAS EMPRESAS'!$A$15:$A$320,"CMM",'METAS EMPRESAS'!$B$15:$B$320,"PREMONTAGEM",'METAS EMPRESAS'!$C$15:$C$320,$A285-WEEKDAY($A285,2)+1)</f>
        <v/>
      </c>
      <c r="F285" s="159">
        <f>SUMIFS('METAS EMPRESAS'!$K$15:$K$320,'METAS EMPRESAS'!$A$15:$A$320,"CMM",'METAS EMPRESAS'!$B$15:$B$320,"IÇAMENTO JOIST",'METAS EMPRESAS'!$C$15:$C$320,$A285-WEEKDAY($A285,2)+1)</f>
        <v/>
      </c>
      <c r="G285" s="159">
        <f>SUMIFS('METAS EMPRESAS'!$K$15:$K$320,'METAS EMPRESAS'!$A$15:$A$320,"CMM",'METAS EMPRESAS'!$B$15:$B$320,"VIGAS",'METAS EMPRESAS'!$C$15:$C$320,$A285-WEEKDAY($A285,2)+1)</f>
        <v/>
      </c>
      <c r="H285" s="159">
        <f>SUMIFS('METAS EMPRESAS'!$G$15:$G$320,'METAS EMPRESAS'!$A$15:$A$320,"EJ",'METAS EMPRESAS'!$B$15:$B$320,"PREMONTAGEM",'METAS EMPRESAS'!$C$15:$C$320,$A285-WEEKDAY($A285,2)+1)</f>
        <v/>
      </c>
      <c r="I285" s="159">
        <f>SUMIFS('METAS EMPRESAS'!$G$15:$G$320,'METAS EMPRESAS'!$A$15:$A$320,"EJ",'METAS EMPRESAS'!$B$15:$B$320,"IÇAMENTO JOIST",'METAS EMPRESAS'!$C$15:$C$320,$A285-WEEKDAY($A285,2)+1)</f>
        <v/>
      </c>
      <c r="J285" s="159">
        <f>SUMIFS('METAS EMPRESAS'!$G$15:$G$320,'METAS EMPRESAS'!$A$15:$A$320,"EJ",'METAS EMPRESAS'!$B$15:$B$320,"VIGAS",'METAS EMPRESAS'!$C$15:$C$320,$A285-WEEKDAY($A285,2)+1)</f>
        <v/>
      </c>
      <c r="K285" s="159">
        <f>SUMIFS('METAS EMPRESAS'!$G$15:$G$320,'METAS EMPRESAS'!$A$15:$A$320,"CMM",'METAS EMPRESAS'!$B$15:$B$320,"PREMONTAGEM",'METAS EMPRESAS'!$C$15:$C$320,$A285-WEEKDAY($A285,2)+1)</f>
        <v/>
      </c>
      <c r="L285" s="159">
        <f>SUMIFS('METAS EMPRESAS'!$G$15:$G$320,'METAS EMPRESAS'!$A$15:$A$320,"CMM",'METAS EMPRESAS'!$B$15:$B$320,"IÇAMENTO JOIST",'METAS EMPRESAS'!$C$15:$C$320,$A285-WEEKDAY($A285,2)+1)</f>
        <v/>
      </c>
      <c r="M285" s="159">
        <f>SUMIFS('METAS EMPRESAS'!$G$15:$G$320,'METAS EMPRESAS'!$A$15:$A$320,"CMM",'METAS EMPRESAS'!$B$15:$B$320,"VIGAS",'METAS EMPRESAS'!$C$15:$C$320,$A285-WEEKDAY($A285,2)+1)</f>
        <v/>
      </c>
      <c r="N285" s="159">
        <f>SUMIFS('METAS EMPRESAS'!$J$15:$J$320,'METAS EMPRESAS'!$A$15:$A$320,"EJ",'METAS EMPRESAS'!$B$15:$B$320,"PREMONTAGEM",'METAS EMPRESAS'!$C$15:$C$320,$A285-WEEKDAY($A285,2)+1)</f>
        <v/>
      </c>
      <c r="O285" s="159">
        <f>SUMIFS('METAS EMPRESAS'!$J$15:$J$320,'METAS EMPRESAS'!$A$15:$A$320,"EJ",'METAS EMPRESAS'!$B$15:$B$320,"IÇAMENTO JOIST",'METAS EMPRESAS'!$C$15:$C$320,$A285-WEEKDAY($A285,2)+1)</f>
        <v/>
      </c>
      <c r="P285" s="159">
        <f>SUMIFS('METAS EMPRESAS'!$J$15:$J$320,'METAS EMPRESAS'!$A$15:$A$320,"EJ",'METAS EMPRESAS'!$B$15:$B$320,"VIGAS",'METAS EMPRESAS'!$C$15:$C$320,$A285-WEEKDAY($A285,2)+1)</f>
        <v/>
      </c>
      <c r="Q285" s="159">
        <f>SUMIFS('METAS EMPRESAS'!$J$15:$J$320,'METAS EMPRESAS'!$A$15:$A$320,"CMM",'METAS EMPRESAS'!$B$15:$B$320,"PREMONTAGEM",'METAS EMPRESAS'!$C$15:$C$320,$A285-WEEKDAY($A285,2)+1)</f>
        <v/>
      </c>
      <c r="R285" s="159">
        <f>SUMIFS('METAS EMPRESAS'!$J$15:$J$320,'METAS EMPRESAS'!$A$15:$A$320,"CMM",'METAS EMPRESAS'!$B$15:$B$320,"IÇAMENTO JOIST",'METAS EMPRESAS'!$C$15:$C$320,$A285-WEEKDAY($A285,2)+1)</f>
        <v/>
      </c>
      <c r="S285" s="159">
        <f>SUMIFS('METAS EMPRESAS'!$J$15:$J$320,'METAS EMPRESAS'!$A$15:$A$320,"CMM",'METAS EMPRESAS'!$B$15:$B$320,"VIGAS",'METAS EMPRESAS'!$C$15:$C$320,$A285-WEEKDAY($A285,2)+1)</f>
        <v/>
      </c>
      <c r="T285">
        <f>--(WEEKDAY(A285,2)&lt;=5)</f>
        <v/>
      </c>
      <c r="U285" t="n">
        <v>19</v>
      </c>
      <c r="V285" t="n">
        <v>7</v>
      </c>
      <c r="W285" t="n">
        <v>0</v>
      </c>
      <c r="X285" t="n">
        <v>5</v>
      </c>
      <c r="Y285" t="n">
        <v>5</v>
      </c>
      <c r="Z285" t="n">
        <v>5</v>
      </c>
      <c r="AA285" t="n">
        <v>95</v>
      </c>
      <c r="AB285" t="n">
        <v>35</v>
      </c>
      <c r="AC285" t="n">
        <v>0</v>
      </c>
    </row>
    <row r="286">
      <c r="A286" s="317" t="n">
        <v>46507</v>
      </c>
      <c r="B286" s="159">
        <f>SUMIFS('METAS EMPRESAS'!$K$15:$K$320,'METAS EMPRESAS'!$A$15:$A$320,"EJ",'METAS EMPRESAS'!$B$15:$B$320,"PREMONTAGEM",'METAS EMPRESAS'!$C$15:$C$320,$A286-WEEKDAY($A286,2)+1)</f>
        <v/>
      </c>
      <c r="C286" s="159">
        <f>SUMIFS('METAS EMPRESAS'!$K$15:$K$320,'METAS EMPRESAS'!$A$15:$A$320,"EJ",'METAS EMPRESAS'!$B$15:$B$320,"IÇAMENTO JOIST",'METAS EMPRESAS'!$C$15:$C$320,$A286-WEEKDAY($A286,2)+1)</f>
        <v/>
      </c>
      <c r="D286" s="159">
        <f>SUMIFS('METAS EMPRESAS'!$K$15:$K$320,'METAS EMPRESAS'!$A$15:$A$320,"EJ",'METAS EMPRESAS'!$B$15:$B$320,"VIGAS",'METAS EMPRESAS'!$C$15:$C$320,$A286-WEEKDAY($A286,2)+1)</f>
        <v/>
      </c>
      <c r="E286" s="159">
        <f>SUMIFS('METAS EMPRESAS'!$K$15:$K$320,'METAS EMPRESAS'!$A$15:$A$320,"CMM",'METAS EMPRESAS'!$B$15:$B$320,"PREMONTAGEM",'METAS EMPRESAS'!$C$15:$C$320,$A286-WEEKDAY($A286,2)+1)</f>
        <v/>
      </c>
      <c r="F286" s="159">
        <f>SUMIFS('METAS EMPRESAS'!$K$15:$K$320,'METAS EMPRESAS'!$A$15:$A$320,"CMM",'METAS EMPRESAS'!$B$15:$B$320,"IÇAMENTO JOIST",'METAS EMPRESAS'!$C$15:$C$320,$A286-WEEKDAY($A286,2)+1)</f>
        <v/>
      </c>
      <c r="G286" s="159">
        <f>SUMIFS('METAS EMPRESAS'!$K$15:$K$320,'METAS EMPRESAS'!$A$15:$A$320,"CMM",'METAS EMPRESAS'!$B$15:$B$320,"VIGAS",'METAS EMPRESAS'!$C$15:$C$320,$A286-WEEKDAY($A286,2)+1)</f>
        <v/>
      </c>
      <c r="H286" s="159">
        <f>SUMIFS('METAS EMPRESAS'!$G$15:$G$320,'METAS EMPRESAS'!$A$15:$A$320,"EJ",'METAS EMPRESAS'!$B$15:$B$320,"PREMONTAGEM",'METAS EMPRESAS'!$C$15:$C$320,$A286-WEEKDAY($A286,2)+1)</f>
        <v/>
      </c>
      <c r="I286" s="159">
        <f>SUMIFS('METAS EMPRESAS'!$G$15:$G$320,'METAS EMPRESAS'!$A$15:$A$320,"EJ",'METAS EMPRESAS'!$B$15:$B$320,"IÇAMENTO JOIST",'METAS EMPRESAS'!$C$15:$C$320,$A286-WEEKDAY($A286,2)+1)</f>
        <v/>
      </c>
      <c r="J286" s="159">
        <f>SUMIFS('METAS EMPRESAS'!$G$15:$G$320,'METAS EMPRESAS'!$A$15:$A$320,"EJ",'METAS EMPRESAS'!$B$15:$B$320,"VIGAS",'METAS EMPRESAS'!$C$15:$C$320,$A286-WEEKDAY($A286,2)+1)</f>
        <v/>
      </c>
      <c r="K286" s="159">
        <f>SUMIFS('METAS EMPRESAS'!$G$15:$G$320,'METAS EMPRESAS'!$A$15:$A$320,"CMM",'METAS EMPRESAS'!$B$15:$B$320,"PREMONTAGEM",'METAS EMPRESAS'!$C$15:$C$320,$A286-WEEKDAY($A286,2)+1)</f>
        <v/>
      </c>
      <c r="L286" s="159">
        <f>SUMIFS('METAS EMPRESAS'!$G$15:$G$320,'METAS EMPRESAS'!$A$15:$A$320,"CMM",'METAS EMPRESAS'!$B$15:$B$320,"IÇAMENTO JOIST",'METAS EMPRESAS'!$C$15:$C$320,$A286-WEEKDAY($A286,2)+1)</f>
        <v/>
      </c>
      <c r="M286" s="159">
        <f>SUMIFS('METAS EMPRESAS'!$G$15:$G$320,'METAS EMPRESAS'!$A$15:$A$320,"CMM",'METAS EMPRESAS'!$B$15:$B$320,"VIGAS",'METAS EMPRESAS'!$C$15:$C$320,$A286-WEEKDAY($A286,2)+1)</f>
        <v/>
      </c>
      <c r="N286" s="159">
        <f>SUMIFS('METAS EMPRESAS'!$J$15:$J$320,'METAS EMPRESAS'!$A$15:$A$320,"EJ",'METAS EMPRESAS'!$B$15:$B$320,"PREMONTAGEM",'METAS EMPRESAS'!$C$15:$C$320,$A286-WEEKDAY($A286,2)+1)</f>
        <v/>
      </c>
      <c r="O286" s="159">
        <f>SUMIFS('METAS EMPRESAS'!$J$15:$J$320,'METAS EMPRESAS'!$A$15:$A$320,"EJ",'METAS EMPRESAS'!$B$15:$B$320,"IÇAMENTO JOIST",'METAS EMPRESAS'!$C$15:$C$320,$A286-WEEKDAY($A286,2)+1)</f>
        <v/>
      </c>
      <c r="P286" s="159">
        <f>SUMIFS('METAS EMPRESAS'!$J$15:$J$320,'METAS EMPRESAS'!$A$15:$A$320,"EJ",'METAS EMPRESAS'!$B$15:$B$320,"VIGAS",'METAS EMPRESAS'!$C$15:$C$320,$A286-WEEKDAY($A286,2)+1)</f>
        <v/>
      </c>
      <c r="Q286" s="159">
        <f>SUMIFS('METAS EMPRESAS'!$J$15:$J$320,'METAS EMPRESAS'!$A$15:$A$320,"CMM",'METAS EMPRESAS'!$B$15:$B$320,"PREMONTAGEM",'METAS EMPRESAS'!$C$15:$C$320,$A286-WEEKDAY($A286,2)+1)</f>
        <v/>
      </c>
      <c r="R286" s="159">
        <f>SUMIFS('METAS EMPRESAS'!$J$15:$J$320,'METAS EMPRESAS'!$A$15:$A$320,"CMM",'METAS EMPRESAS'!$B$15:$B$320,"IÇAMENTO JOIST",'METAS EMPRESAS'!$C$15:$C$320,$A286-WEEKDAY($A286,2)+1)</f>
        <v/>
      </c>
      <c r="S286" s="159">
        <f>SUMIFS('METAS EMPRESAS'!$J$15:$J$320,'METAS EMPRESAS'!$A$15:$A$320,"CMM",'METAS EMPRESAS'!$B$15:$B$320,"VIGAS",'METAS EMPRESAS'!$C$15:$C$320,$A286-WEEKDAY($A286,2)+1)</f>
        <v/>
      </c>
      <c r="T286">
        <f>--(WEEKDAY(A286,2)&lt;=5)</f>
        <v/>
      </c>
      <c r="U286" t="n">
        <v>19</v>
      </c>
      <c r="V286" t="n">
        <v>7</v>
      </c>
      <c r="W286" t="n">
        <v>0</v>
      </c>
      <c r="X286" t="n">
        <v>5</v>
      </c>
      <c r="Y286" t="n">
        <v>5</v>
      </c>
      <c r="Z286" t="n">
        <v>5</v>
      </c>
      <c r="AA286" t="n">
        <v>95</v>
      </c>
      <c r="AB286" t="n">
        <v>35</v>
      </c>
      <c r="AC286" t="n">
        <v>0</v>
      </c>
    </row>
    <row r="287">
      <c r="A287" s="317" t="n">
        <v>46508</v>
      </c>
      <c r="B287" s="159">
        <f>SUMIFS('METAS EMPRESAS'!$K$15:$K$320,'METAS EMPRESAS'!$A$15:$A$320,"EJ",'METAS EMPRESAS'!$B$15:$B$320,"PREMONTAGEM",'METAS EMPRESAS'!$C$15:$C$320,$A287-WEEKDAY($A287,2)+1)</f>
        <v/>
      </c>
      <c r="C287" s="159">
        <f>SUMIFS('METAS EMPRESAS'!$K$15:$K$320,'METAS EMPRESAS'!$A$15:$A$320,"EJ",'METAS EMPRESAS'!$B$15:$B$320,"IÇAMENTO JOIST",'METAS EMPRESAS'!$C$15:$C$320,$A287-WEEKDAY($A287,2)+1)</f>
        <v/>
      </c>
      <c r="D287" s="159">
        <f>SUMIFS('METAS EMPRESAS'!$K$15:$K$320,'METAS EMPRESAS'!$A$15:$A$320,"EJ",'METAS EMPRESAS'!$B$15:$B$320,"VIGAS",'METAS EMPRESAS'!$C$15:$C$320,$A287-WEEKDAY($A287,2)+1)</f>
        <v/>
      </c>
      <c r="E287" s="159">
        <f>SUMIFS('METAS EMPRESAS'!$K$15:$K$320,'METAS EMPRESAS'!$A$15:$A$320,"CMM",'METAS EMPRESAS'!$B$15:$B$320,"PREMONTAGEM",'METAS EMPRESAS'!$C$15:$C$320,$A287-WEEKDAY($A287,2)+1)</f>
        <v/>
      </c>
      <c r="F287" s="159">
        <f>SUMIFS('METAS EMPRESAS'!$K$15:$K$320,'METAS EMPRESAS'!$A$15:$A$320,"CMM",'METAS EMPRESAS'!$B$15:$B$320,"IÇAMENTO JOIST",'METAS EMPRESAS'!$C$15:$C$320,$A287-WEEKDAY($A287,2)+1)</f>
        <v/>
      </c>
      <c r="G287" s="159">
        <f>SUMIFS('METAS EMPRESAS'!$K$15:$K$320,'METAS EMPRESAS'!$A$15:$A$320,"CMM",'METAS EMPRESAS'!$B$15:$B$320,"VIGAS",'METAS EMPRESAS'!$C$15:$C$320,$A287-WEEKDAY($A287,2)+1)</f>
        <v/>
      </c>
      <c r="H287" s="159">
        <f>SUMIFS('METAS EMPRESAS'!$G$15:$G$320,'METAS EMPRESAS'!$A$15:$A$320,"EJ",'METAS EMPRESAS'!$B$15:$B$320,"PREMONTAGEM",'METAS EMPRESAS'!$C$15:$C$320,$A287-WEEKDAY($A287,2)+1)</f>
        <v/>
      </c>
      <c r="I287" s="159">
        <f>SUMIFS('METAS EMPRESAS'!$G$15:$G$320,'METAS EMPRESAS'!$A$15:$A$320,"EJ",'METAS EMPRESAS'!$B$15:$B$320,"IÇAMENTO JOIST",'METAS EMPRESAS'!$C$15:$C$320,$A287-WEEKDAY($A287,2)+1)</f>
        <v/>
      </c>
      <c r="J287" s="159">
        <f>SUMIFS('METAS EMPRESAS'!$G$15:$G$320,'METAS EMPRESAS'!$A$15:$A$320,"EJ",'METAS EMPRESAS'!$B$15:$B$320,"VIGAS",'METAS EMPRESAS'!$C$15:$C$320,$A287-WEEKDAY($A287,2)+1)</f>
        <v/>
      </c>
      <c r="K287" s="159">
        <f>SUMIFS('METAS EMPRESAS'!$G$15:$G$320,'METAS EMPRESAS'!$A$15:$A$320,"CMM",'METAS EMPRESAS'!$B$15:$B$320,"PREMONTAGEM",'METAS EMPRESAS'!$C$15:$C$320,$A287-WEEKDAY($A287,2)+1)</f>
        <v/>
      </c>
      <c r="L287" s="159">
        <f>SUMIFS('METAS EMPRESAS'!$G$15:$G$320,'METAS EMPRESAS'!$A$15:$A$320,"CMM",'METAS EMPRESAS'!$B$15:$B$320,"IÇAMENTO JOIST",'METAS EMPRESAS'!$C$15:$C$320,$A287-WEEKDAY($A287,2)+1)</f>
        <v/>
      </c>
      <c r="M287" s="159">
        <f>SUMIFS('METAS EMPRESAS'!$G$15:$G$320,'METAS EMPRESAS'!$A$15:$A$320,"CMM",'METAS EMPRESAS'!$B$15:$B$320,"VIGAS",'METAS EMPRESAS'!$C$15:$C$320,$A287-WEEKDAY($A287,2)+1)</f>
        <v/>
      </c>
      <c r="N287" s="159">
        <f>SUMIFS('METAS EMPRESAS'!$J$15:$J$320,'METAS EMPRESAS'!$A$15:$A$320,"EJ",'METAS EMPRESAS'!$B$15:$B$320,"PREMONTAGEM",'METAS EMPRESAS'!$C$15:$C$320,$A287-WEEKDAY($A287,2)+1)</f>
        <v/>
      </c>
      <c r="O287" s="159">
        <f>SUMIFS('METAS EMPRESAS'!$J$15:$J$320,'METAS EMPRESAS'!$A$15:$A$320,"EJ",'METAS EMPRESAS'!$B$15:$B$320,"IÇAMENTO JOIST",'METAS EMPRESAS'!$C$15:$C$320,$A287-WEEKDAY($A287,2)+1)</f>
        <v/>
      </c>
      <c r="P287" s="159">
        <f>SUMIFS('METAS EMPRESAS'!$J$15:$J$320,'METAS EMPRESAS'!$A$15:$A$320,"EJ",'METAS EMPRESAS'!$B$15:$B$320,"VIGAS",'METAS EMPRESAS'!$C$15:$C$320,$A287-WEEKDAY($A287,2)+1)</f>
        <v/>
      </c>
      <c r="Q287" s="159">
        <f>SUMIFS('METAS EMPRESAS'!$J$15:$J$320,'METAS EMPRESAS'!$A$15:$A$320,"CMM",'METAS EMPRESAS'!$B$15:$B$320,"PREMONTAGEM",'METAS EMPRESAS'!$C$15:$C$320,$A287-WEEKDAY($A287,2)+1)</f>
        <v/>
      </c>
      <c r="R287" s="159">
        <f>SUMIFS('METAS EMPRESAS'!$J$15:$J$320,'METAS EMPRESAS'!$A$15:$A$320,"CMM",'METAS EMPRESAS'!$B$15:$B$320,"IÇAMENTO JOIST",'METAS EMPRESAS'!$C$15:$C$320,$A287-WEEKDAY($A287,2)+1)</f>
        <v/>
      </c>
      <c r="S287" s="159">
        <f>SUMIFS('METAS EMPRESAS'!$J$15:$J$320,'METAS EMPRESAS'!$A$15:$A$320,"CMM",'METAS EMPRESAS'!$B$15:$B$320,"VIGAS",'METAS EMPRESAS'!$C$15:$C$320,$A287-WEEKDAY($A287,2)+1)</f>
        <v/>
      </c>
      <c r="T287">
        <f>--(WEEKDAY(A287,2)&lt;=5)</f>
        <v/>
      </c>
      <c r="U287" t="n">
        <v>19</v>
      </c>
      <c r="V287" t="n">
        <v>7</v>
      </c>
      <c r="W287" t="n">
        <v>0</v>
      </c>
      <c r="X287" t="n">
        <v>5</v>
      </c>
      <c r="Y287" t="n">
        <v>5</v>
      </c>
      <c r="Z287" t="n">
        <v>5</v>
      </c>
      <c r="AA287" t="n">
        <v>95</v>
      </c>
      <c r="AB287" t="n">
        <v>35</v>
      </c>
      <c r="AC287" t="n">
        <v>0</v>
      </c>
    </row>
    <row r="288">
      <c r="A288" s="317" t="n">
        <v>46509</v>
      </c>
      <c r="B288" s="159">
        <f>SUMIFS('METAS EMPRESAS'!$K$15:$K$320,'METAS EMPRESAS'!$A$15:$A$320,"EJ",'METAS EMPRESAS'!$B$15:$B$320,"PREMONTAGEM",'METAS EMPRESAS'!$C$15:$C$320,$A288-WEEKDAY($A288,2)+1)</f>
        <v/>
      </c>
      <c r="C288" s="159">
        <f>SUMIFS('METAS EMPRESAS'!$K$15:$K$320,'METAS EMPRESAS'!$A$15:$A$320,"EJ",'METAS EMPRESAS'!$B$15:$B$320,"IÇAMENTO JOIST",'METAS EMPRESAS'!$C$15:$C$320,$A288-WEEKDAY($A288,2)+1)</f>
        <v/>
      </c>
      <c r="D288" s="159">
        <f>SUMIFS('METAS EMPRESAS'!$K$15:$K$320,'METAS EMPRESAS'!$A$15:$A$320,"EJ",'METAS EMPRESAS'!$B$15:$B$320,"VIGAS",'METAS EMPRESAS'!$C$15:$C$320,$A288-WEEKDAY($A288,2)+1)</f>
        <v/>
      </c>
      <c r="E288" s="159">
        <f>SUMIFS('METAS EMPRESAS'!$K$15:$K$320,'METAS EMPRESAS'!$A$15:$A$320,"CMM",'METAS EMPRESAS'!$B$15:$B$320,"PREMONTAGEM",'METAS EMPRESAS'!$C$15:$C$320,$A288-WEEKDAY($A288,2)+1)</f>
        <v/>
      </c>
      <c r="F288" s="159">
        <f>SUMIFS('METAS EMPRESAS'!$K$15:$K$320,'METAS EMPRESAS'!$A$15:$A$320,"CMM",'METAS EMPRESAS'!$B$15:$B$320,"IÇAMENTO JOIST",'METAS EMPRESAS'!$C$15:$C$320,$A288-WEEKDAY($A288,2)+1)</f>
        <v/>
      </c>
      <c r="G288" s="159">
        <f>SUMIFS('METAS EMPRESAS'!$K$15:$K$320,'METAS EMPRESAS'!$A$15:$A$320,"CMM",'METAS EMPRESAS'!$B$15:$B$320,"VIGAS",'METAS EMPRESAS'!$C$15:$C$320,$A288-WEEKDAY($A288,2)+1)</f>
        <v/>
      </c>
      <c r="H288" s="159">
        <f>SUMIFS('METAS EMPRESAS'!$G$15:$G$320,'METAS EMPRESAS'!$A$15:$A$320,"EJ",'METAS EMPRESAS'!$B$15:$B$320,"PREMONTAGEM",'METAS EMPRESAS'!$C$15:$C$320,$A288-WEEKDAY($A288,2)+1)</f>
        <v/>
      </c>
      <c r="I288" s="159">
        <f>SUMIFS('METAS EMPRESAS'!$G$15:$G$320,'METAS EMPRESAS'!$A$15:$A$320,"EJ",'METAS EMPRESAS'!$B$15:$B$320,"IÇAMENTO JOIST",'METAS EMPRESAS'!$C$15:$C$320,$A288-WEEKDAY($A288,2)+1)</f>
        <v/>
      </c>
      <c r="J288" s="159">
        <f>SUMIFS('METAS EMPRESAS'!$G$15:$G$320,'METAS EMPRESAS'!$A$15:$A$320,"EJ",'METAS EMPRESAS'!$B$15:$B$320,"VIGAS",'METAS EMPRESAS'!$C$15:$C$320,$A288-WEEKDAY($A288,2)+1)</f>
        <v/>
      </c>
      <c r="K288" s="159">
        <f>SUMIFS('METAS EMPRESAS'!$G$15:$G$320,'METAS EMPRESAS'!$A$15:$A$320,"CMM",'METAS EMPRESAS'!$B$15:$B$320,"PREMONTAGEM",'METAS EMPRESAS'!$C$15:$C$320,$A288-WEEKDAY($A288,2)+1)</f>
        <v/>
      </c>
      <c r="L288" s="159">
        <f>SUMIFS('METAS EMPRESAS'!$G$15:$G$320,'METAS EMPRESAS'!$A$15:$A$320,"CMM",'METAS EMPRESAS'!$B$15:$B$320,"IÇAMENTO JOIST",'METAS EMPRESAS'!$C$15:$C$320,$A288-WEEKDAY($A288,2)+1)</f>
        <v/>
      </c>
      <c r="M288" s="159">
        <f>SUMIFS('METAS EMPRESAS'!$G$15:$G$320,'METAS EMPRESAS'!$A$15:$A$320,"CMM",'METAS EMPRESAS'!$B$15:$B$320,"VIGAS",'METAS EMPRESAS'!$C$15:$C$320,$A288-WEEKDAY($A288,2)+1)</f>
        <v/>
      </c>
      <c r="N288" s="159">
        <f>SUMIFS('METAS EMPRESAS'!$J$15:$J$320,'METAS EMPRESAS'!$A$15:$A$320,"EJ",'METAS EMPRESAS'!$B$15:$B$320,"PREMONTAGEM",'METAS EMPRESAS'!$C$15:$C$320,$A288-WEEKDAY($A288,2)+1)</f>
        <v/>
      </c>
      <c r="O288" s="159">
        <f>SUMIFS('METAS EMPRESAS'!$J$15:$J$320,'METAS EMPRESAS'!$A$15:$A$320,"EJ",'METAS EMPRESAS'!$B$15:$B$320,"IÇAMENTO JOIST",'METAS EMPRESAS'!$C$15:$C$320,$A288-WEEKDAY($A288,2)+1)</f>
        <v/>
      </c>
      <c r="P288" s="159">
        <f>SUMIFS('METAS EMPRESAS'!$J$15:$J$320,'METAS EMPRESAS'!$A$15:$A$320,"EJ",'METAS EMPRESAS'!$B$15:$B$320,"VIGAS",'METAS EMPRESAS'!$C$15:$C$320,$A288-WEEKDAY($A288,2)+1)</f>
        <v/>
      </c>
      <c r="Q288" s="159">
        <f>SUMIFS('METAS EMPRESAS'!$J$15:$J$320,'METAS EMPRESAS'!$A$15:$A$320,"CMM",'METAS EMPRESAS'!$B$15:$B$320,"PREMONTAGEM",'METAS EMPRESAS'!$C$15:$C$320,$A288-WEEKDAY($A288,2)+1)</f>
        <v/>
      </c>
      <c r="R288" s="159">
        <f>SUMIFS('METAS EMPRESAS'!$J$15:$J$320,'METAS EMPRESAS'!$A$15:$A$320,"CMM",'METAS EMPRESAS'!$B$15:$B$320,"IÇAMENTO JOIST",'METAS EMPRESAS'!$C$15:$C$320,$A288-WEEKDAY($A288,2)+1)</f>
        <v/>
      </c>
      <c r="S288" s="159">
        <f>SUMIFS('METAS EMPRESAS'!$J$15:$J$320,'METAS EMPRESAS'!$A$15:$A$320,"CMM",'METAS EMPRESAS'!$B$15:$B$320,"VIGAS",'METAS EMPRESAS'!$C$15:$C$320,$A288-WEEKDAY($A288,2)+1)</f>
        <v/>
      </c>
      <c r="T288">
        <f>--(WEEKDAY(A288,2)&lt;=5)</f>
        <v/>
      </c>
      <c r="U288" t="n">
        <v>19</v>
      </c>
      <c r="V288" t="n">
        <v>7</v>
      </c>
      <c r="W288" t="n">
        <v>0</v>
      </c>
      <c r="X288" t="n">
        <v>5</v>
      </c>
      <c r="Y288" t="n">
        <v>5</v>
      </c>
      <c r="Z288" t="n">
        <v>5</v>
      </c>
      <c r="AA288" t="n">
        <v>95</v>
      </c>
      <c r="AB288" t="n">
        <v>35</v>
      </c>
      <c r="AC288" t="n">
        <v>0</v>
      </c>
    </row>
    <row r="289">
      <c r="A289" s="317" t="n">
        <v>46510</v>
      </c>
      <c r="B289" s="159">
        <f>SUMIFS('METAS EMPRESAS'!$K$15:$K$320,'METAS EMPRESAS'!$A$15:$A$320,"EJ",'METAS EMPRESAS'!$B$15:$B$320,"PREMONTAGEM",'METAS EMPRESAS'!$C$15:$C$320,$A289-WEEKDAY($A289,2)+1)</f>
        <v/>
      </c>
      <c r="C289" s="159">
        <f>SUMIFS('METAS EMPRESAS'!$K$15:$K$320,'METAS EMPRESAS'!$A$15:$A$320,"EJ",'METAS EMPRESAS'!$B$15:$B$320,"IÇAMENTO JOIST",'METAS EMPRESAS'!$C$15:$C$320,$A289-WEEKDAY($A289,2)+1)</f>
        <v/>
      </c>
      <c r="D289" s="159">
        <f>SUMIFS('METAS EMPRESAS'!$K$15:$K$320,'METAS EMPRESAS'!$A$15:$A$320,"EJ",'METAS EMPRESAS'!$B$15:$B$320,"VIGAS",'METAS EMPRESAS'!$C$15:$C$320,$A289-WEEKDAY($A289,2)+1)</f>
        <v/>
      </c>
      <c r="E289" s="159">
        <f>SUMIFS('METAS EMPRESAS'!$K$15:$K$320,'METAS EMPRESAS'!$A$15:$A$320,"CMM",'METAS EMPRESAS'!$B$15:$B$320,"PREMONTAGEM",'METAS EMPRESAS'!$C$15:$C$320,$A289-WEEKDAY($A289,2)+1)</f>
        <v/>
      </c>
      <c r="F289" s="159">
        <f>SUMIFS('METAS EMPRESAS'!$K$15:$K$320,'METAS EMPRESAS'!$A$15:$A$320,"CMM",'METAS EMPRESAS'!$B$15:$B$320,"IÇAMENTO JOIST",'METAS EMPRESAS'!$C$15:$C$320,$A289-WEEKDAY($A289,2)+1)</f>
        <v/>
      </c>
      <c r="G289" s="159">
        <f>SUMIFS('METAS EMPRESAS'!$K$15:$K$320,'METAS EMPRESAS'!$A$15:$A$320,"CMM",'METAS EMPRESAS'!$B$15:$B$320,"VIGAS",'METAS EMPRESAS'!$C$15:$C$320,$A289-WEEKDAY($A289,2)+1)</f>
        <v/>
      </c>
      <c r="H289" s="159">
        <f>SUMIFS('METAS EMPRESAS'!$G$15:$G$320,'METAS EMPRESAS'!$A$15:$A$320,"EJ",'METAS EMPRESAS'!$B$15:$B$320,"PREMONTAGEM",'METAS EMPRESAS'!$C$15:$C$320,$A289-WEEKDAY($A289,2)+1)</f>
        <v/>
      </c>
      <c r="I289" s="159">
        <f>SUMIFS('METAS EMPRESAS'!$G$15:$G$320,'METAS EMPRESAS'!$A$15:$A$320,"EJ",'METAS EMPRESAS'!$B$15:$B$320,"IÇAMENTO JOIST",'METAS EMPRESAS'!$C$15:$C$320,$A289-WEEKDAY($A289,2)+1)</f>
        <v/>
      </c>
      <c r="J289" s="159">
        <f>SUMIFS('METAS EMPRESAS'!$G$15:$G$320,'METAS EMPRESAS'!$A$15:$A$320,"EJ",'METAS EMPRESAS'!$B$15:$B$320,"VIGAS",'METAS EMPRESAS'!$C$15:$C$320,$A289-WEEKDAY($A289,2)+1)</f>
        <v/>
      </c>
      <c r="K289" s="159">
        <f>SUMIFS('METAS EMPRESAS'!$G$15:$G$320,'METAS EMPRESAS'!$A$15:$A$320,"CMM",'METAS EMPRESAS'!$B$15:$B$320,"PREMONTAGEM",'METAS EMPRESAS'!$C$15:$C$320,$A289-WEEKDAY($A289,2)+1)</f>
        <v/>
      </c>
      <c r="L289" s="159">
        <f>SUMIFS('METAS EMPRESAS'!$G$15:$G$320,'METAS EMPRESAS'!$A$15:$A$320,"CMM",'METAS EMPRESAS'!$B$15:$B$320,"IÇAMENTO JOIST",'METAS EMPRESAS'!$C$15:$C$320,$A289-WEEKDAY($A289,2)+1)</f>
        <v/>
      </c>
      <c r="M289" s="159">
        <f>SUMIFS('METAS EMPRESAS'!$G$15:$G$320,'METAS EMPRESAS'!$A$15:$A$320,"CMM",'METAS EMPRESAS'!$B$15:$B$320,"VIGAS",'METAS EMPRESAS'!$C$15:$C$320,$A289-WEEKDAY($A289,2)+1)</f>
        <v/>
      </c>
      <c r="N289" s="159">
        <f>SUMIFS('METAS EMPRESAS'!$J$15:$J$320,'METAS EMPRESAS'!$A$15:$A$320,"EJ",'METAS EMPRESAS'!$B$15:$B$320,"PREMONTAGEM",'METAS EMPRESAS'!$C$15:$C$320,$A289-WEEKDAY($A289,2)+1)</f>
        <v/>
      </c>
      <c r="O289" s="159">
        <f>SUMIFS('METAS EMPRESAS'!$J$15:$J$320,'METAS EMPRESAS'!$A$15:$A$320,"EJ",'METAS EMPRESAS'!$B$15:$B$320,"IÇAMENTO JOIST",'METAS EMPRESAS'!$C$15:$C$320,$A289-WEEKDAY($A289,2)+1)</f>
        <v/>
      </c>
      <c r="P289" s="159">
        <f>SUMIFS('METAS EMPRESAS'!$J$15:$J$320,'METAS EMPRESAS'!$A$15:$A$320,"EJ",'METAS EMPRESAS'!$B$15:$B$320,"VIGAS",'METAS EMPRESAS'!$C$15:$C$320,$A289-WEEKDAY($A289,2)+1)</f>
        <v/>
      </c>
      <c r="Q289" s="159">
        <f>SUMIFS('METAS EMPRESAS'!$J$15:$J$320,'METAS EMPRESAS'!$A$15:$A$320,"CMM",'METAS EMPRESAS'!$B$15:$B$320,"PREMONTAGEM",'METAS EMPRESAS'!$C$15:$C$320,$A289-WEEKDAY($A289,2)+1)</f>
        <v/>
      </c>
      <c r="R289" s="159">
        <f>SUMIFS('METAS EMPRESAS'!$J$15:$J$320,'METAS EMPRESAS'!$A$15:$A$320,"CMM",'METAS EMPRESAS'!$B$15:$B$320,"IÇAMENTO JOIST",'METAS EMPRESAS'!$C$15:$C$320,$A289-WEEKDAY($A289,2)+1)</f>
        <v/>
      </c>
      <c r="S289" s="159">
        <f>SUMIFS('METAS EMPRESAS'!$J$15:$J$320,'METAS EMPRESAS'!$A$15:$A$320,"CMM",'METAS EMPRESAS'!$B$15:$B$320,"VIGAS",'METAS EMPRESAS'!$C$15:$C$320,$A289-WEEKDAY($A289,2)+1)</f>
        <v/>
      </c>
      <c r="T289">
        <f>--(WEEKDAY(A289,2)&lt;=5)</f>
        <v/>
      </c>
      <c r="U289" t="n">
        <v>19</v>
      </c>
      <c r="V289" t="n">
        <v>7</v>
      </c>
      <c r="W289" t="n">
        <v>0</v>
      </c>
      <c r="X289" t="n">
        <v>5</v>
      </c>
      <c r="Y289" t="n">
        <v>5</v>
      </c>
      <c r="Z289" t="n">
        <v>5</v>
      </c>
      <c r="AA289" t="n">
        <v>95</v>
      </c>
      <c r="AB289" t="n">
        <v>35</v>
      </c>
      <c r="AC289" t="n">
        <v>0</v>
      </c>
    </row>
    <row r="290">
      <c r="A290" s="317" t="n">
        <v>46511</v>
      </c>
      <c r="B290" s="159">
        <f>SUMIFS('METAS EMPRESAS'!$K$15:$K$320,'METAS EMPRESAS'!$A$15:$A$320,"EJ",'METAS EMPRESAS'!$B$15:$B$320,"PREMONTAGEM",'METAS EMPRESAS'!$C$15:$C$320,$A290-WEEKDAY($A290,2)+1)</f>
        <v/>
      </c>
      <c r="C290" s="159">
        <f>SUMIFS('METAS EMPRESAS'!$K$15:$K$320,'METAS EMPRESAS'!$A$15:$A$320,"EJ",'METAS EMPRESAS'!$B$15:$B$320,"IÇAMENTO JOIST",'METAS EMPRESAS'!$C$15:$C$320,$A290-WEEKDAY($A290,2)+1)</f>
        <v/>
      </c>
      <c r="D290" s="159">
        <f>SUMIFS('METAS EMPRESAS'!$K$15:$K$320,'METAS EMPRESAS'!$A$15:$A$320,"EJ",'METAS EMPRESAS'!$B$15:$B$320,"VIGAS",'METAS EMPRESAS'!$C$15:$C$320,$A290-WEEKDAY($A290,2)+1)</f>
        <v/>
      </c>
      <c r="E290" s="159">
        <f>SUMIFS('METAS EMPRESAS'!$K$15:$K$320,'METAS EMPRESAS'!$A$15:$A$320,"CMM",'METAS EMPRESAS'!$B$15:$B$320,"PREMONTAGEM",'METAS EMPRESAS'!$C$15:$C$320,$A290-WEEKDAY($A290,2)+1)</f>
        <v/>
      </c>
      <c r="F290" s="159">
        <f>SUMIFS('METAS EMPRESAS'!$K$15:$K$320,'METAS EMPRESAS'!$A$15:$A$320,"CMM",'METAS EMPRESAS'!$B$15:$B$320,"IÇAMENTO JOIST",'METAS EMPRESAS'!$C$15:$C$320,$A290-WEEKDAY($A290,2)+1)</f>
        <v/>
      </c>
      <c r="G290" s="159">
        <f>SUMIFS('METAS EMPRESAS'!$K$15:$K$320,'METAS EMPRESAS'!$A$15:$A$320,"CMM",'METAS EMPRESAS'!$B$15:$B$320,"VIGAS",'METAS EMPRESAS'!$C$15:$C$320,$A290-WEEKDAY($A290,2)+1)</f>
        <v/>
      </c>
      <c r="H290" s="159">
        <f>SUMIFS('METAS EMPRESAS'!$G$15:$G$320,'METAS EMPRESAS'!$A$15:$A$320,"EJ",'METAS EMPRESAS'!$B$15:$B$320,"PREMONTAGEM",'METAS EMPRESAS'!$C$15:$C$320,$A290-WEEKDAY($A290,2)+1)</f>
        <v/>
      </c>
      <c r="I290" s="159">
        <f>SUMIFS('METAS EMPRESAS'!$G$15:$G$320,'METAS EMPRESAS'!$A$15:$A$320,"EJ",'METAS EMPRESAS'!$B$15:$B$320,"IÇAMENTO JOIST",'METAS EMPRESAS'!$C$15:$C$320,$A290-WEEKDAY($A290,2)+1)</f>
        <v/>
      </c>
      <c r="J290" s="159">
        <f>SUMIFS('METAS EMPRESAS'!$G$15:$G$320,'METAS EMPRESAS'!$A$15:$A$320,"EJ",'METAS EMPRESAS'!$B$15:$B$320,"VIGAS",'METAS EMPRESAS'!$C$15:$C$320,$A290-WEEKDAY($A290,2)+1)</f>
        <v/>
      </c>
      <c r="K290" s="159">
        <f>SUMIFS('METAS EMPRESAS'!$G$15:$G$320,'METAS EMPRESAS'!$A$15:$A$320,"CMM",'METAS EMPRESAS'!$B$15:$B$320,"PREMONTAGEM",'METAS EMPRESAS'!$C$15:$C$320,$A290-WEEKDAY($A290,2)+1)</f>
        <v/>
      </c>
      <c r="L290" s="159">
        <f>SUMIFS('METAS EMPRESAS'!$G$15:$G$320,'METAS EMPRESAS'!$A$15:$A$320,"CMM",'METAS EMPRESAS'!$B$15:$B$320,"IÇAMENTO JOIST",'METAS EMPRESAS'!$C$15:$C$320,$A290-WEEKDAY($A290,2)+1)</f>
        <v/>
      </c>
      <c r="M290" s="159">
        <f>SUMIFS('METAS EMPRESAS'!$G$15:$G$320,'METAS EMPRESAS'!$A$15:$A$320,"CMM",'METAS EMPRESAS'!$B$15:$B$320,"VIGAS",'METAS EMPRESAS'!$C$15:$C$320,$A290-WEEKDAY($A290,2)+1)</f>
        <v/>
      </c>
      <c r="N290" s="159">
        <f>SUMIFS('METAS EMPRESAS'!$J$15:$J$320,'METAS EMPRESAS'!$A$15:$A$320,"EJ",'METAS EMPRESAS'!$B$15:$B$320,"PREMONTAGEM",'METAS EMPRESAS'!$C$15:$C$320,$A290-WEEKDAY($A290,2)+1)</f>
        <v/>
      </c>
      <c r="O290" s="159">
        <f>SUMIFS('METAS EMPRESAS'!$J$15:$J$320,'METAS EMPRESAS'!$A$15:$A$320,"EJ",'METAS EMPRESAS'!$B$15:$B$320,"IÇAMENTO JOIST",'METAS EMPRESAS'!$C$15:$C$320,$A290-WEEKDAY($A290,2)+1)</f>
        <v/>
      </c>
      <c r="P290" s="159">
        <f>SUMIFS('METAS EMPRESAS'!$J$15:$J$320,'METAS EMPRESAS'!$A$15:$A$320,"EJ",'METAS EMPRESAS'!$B$15:$B$320,"VIGAS",'METAS EMPRESAS'!$C$15:$C$320,$A290-WEEKDAY($A290,2)+1)</f>
        <v/>
      </c>
      <c r="Q290" s="159">
        <f>SUMIFS('METAS EMPRESAS'!$J$15:$J$320,'METAS EMPRESAS'!$A$15:$A$320,"CMM",'METAS EMPRESAS'!$B$15:$B$320,"PREMONTAGEM",'METAS EMPRESAS'!$C$15:$C$320,$A290-WEEKDAY($A290,2)+1)</f>
        <v/>
      </c>
      <c r="R290" s="159">
        <f>SUMIFS('METAS EMPRESAS'!$J$15:$J$320,'METAS EMPRESAS'!$A$15:$A$320,"CMM",'METAS EMPRESAS'!$B$15:$B$320,"IÇAMENTO JOIST",'METAS EMPRESAS'!$C$15:$C$320,$A290-WEEKDAY($A290,2)+1)</f>
        <v/>
      </c>
      <c r="S290" s="159">
        <f>SUMIFS('METAS EMPRESAS'!$J$15:$J$320,'METAS EMPRESAS'!$A$15:$A$320,"CMM",'METAS EMPRESAS'!$B$15:$B$320,"VIGAS",'METAS EMPRESAS'!$C$15:$C$320,$A290-WEEKDAY($A290,2)+1)</f>
        <v/>
      </c>
      <c r="T290">
        <f>--(WEEKDAY(A290,2)&lt;=5)</f>
        <v/>
      </c>
      <c r="U290" t="n">
        <v>19</v>
      </c>
      <c r="V290" t="n">
        <v>7</v>
      </c>
      <c r="W290" t="n">
        <v>0</v>
      </c>
      <c r="X290" t="n">
        <v>5</v>
      </c>
      <c r="Y290" t="n">
        <v>5</v>
      </c>
      <c r="Z290" t="n">
        <v>5</v>
      </c>
      <c r="AA290" t="n">
        <v>95</v>
      </c>
      <c r="AB290" t="n">
        <v>35</v>
      </c>
      <c r="AC290" t="n">
        <v>0</v>
      </c>
    </row>
    <row r="291">
      <c r="A291" s="317" t="n">
        <v>46512</v>
      </c>
      <c r="B291" s="159">
        <f>SUMIFS('METAS EMPRESAS'!$K$15:$K$320,'METAS EMPRESAS'!$A$15:$A$320,"EJ",'METAS EMPRESAS'!$B$15:$B$320,"PREMONTAGEM",'METAS EMPRESAS'!$C$15:$C$320,$A291-WEEKDAY($A291,2)+1)</f>
        <v/>
      </c>
      <c r="C291" s="159">
        <f>SUMIFS('METAS EMPRESAS'!$K$15:$K$320,'METAS EMPRESAS'!$A$15:$A$320,"EJ",'METAS EMPRESAS'!$B$15:$B$320,"IÇAMENTO JOIST",'METAS EMPRESAS'!$C$15:$C$320,$A291-WEEKDAY($A291,2)+1)</f>
        <v/>
      </c>
      <c r="D291" s="159">
        <f>SUMIFS('METAS EMPRESAS'!$K$15:$K$320,'METAS EMPRESAS'!$A$15:$A$320,"EJ",'METAS EMPRESAS'!$B$15:$B$320,"VIGAS",'METAS EMPRESAS'!$C$15:$C$320,$A291-WEEKDAY($A291,2)+1)</f>
        <v/>
      </c>
      <c r="E291" s="159">
        <f>SUMIFS('METAS EMPRESAS'!$K$15:$K$320,'METAS EMPRESAS'!$A$15:$A$320,"CMM",'METAS EMPRESAS'!$B$15:$B$320,"PREMONTAGEM",'METAS EMPRESAS'!$C$15:$C$320,$A291-WEEKDAY($A291,2)+1)</f>
        <v/>
      </c>
      <c r="F291" s="159">
        <f>SUMIFS('METAS EMPRESAS'!$K$15:$K$320,'METAS EMPRESAS'!$A$15:$A$320,"CMM",'METAS EMPRESAS'!$B$15:$B$320,"IÇAMENTO JOIST",'METAS EMPRESAS'!$C$15:$C$320,$A291-WEEKDAY($A291,2)+1)</f>
        <v/>
      </c>
      <c r="G291" s="159">
        <f>SUMIFS('METAS EMPRESAS'!$K$15:$K$320,'METAS EMPRESAS'!$A$15:$A$320,"CMM",'METAS EMPRESAS'!$B$15:$B$320,"VIGAS",'METAS EMPRESAS'!$C$15:$C$320,$A291-WEEKDAY($A291,2)+1)</f>
        <v/>
      </c>
      <c r="H291" s="159">
        <f>SUMIFS('METAS EMPRESAS'!$G$15:$G$320,'METAS EMPRESAS'!$A$15:$A$320,"EJ",'METAS EMPRESAS'!$B$15:$B$320,"PREMONTAGEM",'METAS EMPRESAS'!$C$15:$C$320,$A291-WEEKDAY($A291,2)+1)</f>
        <v/>
      </c>
      <c r="I291" s="159">
        <f>SUMIFS('METAS EMPRESAS'!$G$15:$G$320,'METAS EMPRESAS'!$A$15:$A$320,"EJ",'METAS EMPRESAS'!$B$15:$B$320,"IÇAMENTO JOIST",'METAS EMPRESAS'!$C$15:$C$320,$A291-WEEKDAY($A291,2)+1)</f>
        <v/>
      </c>
      <c r="J291" s="159">
        <f>SUMIFS('METAS EMPRESAS'!$G$15:$G$320,'METAS EMPRESAS'!$A$15:$A$320,"EJ",'METAS EMPRESAS'!$B$15:$B$320,"VIGAS",'METAS EMPRESAS'!$C$15:$C$320,$A291-WEEKDAY($A291,2)+1)</f>
        <v/>
      </c>
      <c r="K291" s="159">
        <f>SUMIFS('METAS EMPRESAS'!$G$15:$G$320,'METAS EMPRESAS'!$A$15:$A$320,"CMM",'METAS EMPRESAS'!$B$15:$B$320,"PREMONTAGEM",'METAS EMPRESAS'!$C$15:$C$320,$A291-WEEKDAY($A291,2)+1)</f>
        <v/>
      </c>
      <c r="L291" s="159">
        <f>SUMIFS('METAS EMPRESAS'!$G$15:$G$320,'METAS EMPRESAS'!$A$15:$A$320,"CMM",'METAS EMPRESAS'!$B$15:$B$320,"IÇAMENTO JOIST",'METAS EMPRESAS'!$C$15:$C$320,$A291-WEEKDAY($A291,2)+1)</f>
        <v/>
      </c>
      <c r="M291" s="159">
        <f>SUMIFS('METAS EMPRESAS'!$G$15:$G$320,'METAS EMPRESAS'!$A$15:$A$320,"CMM",'METAS EMPRESAS'!$B$15:$B$320,"VIGAS",'METAS EMPRESAS'!$C$15:$C$320,$A291-WEEKDAY($A291,2)+1)</f>
        <v/>
      </c>
      <c r="N291" s="159">
        <f>SUMIFS('METAS EMPRESAS'!$J$15:$J$320,'METAS EMPRESAS'!$A$15:$A$320,"EJ",'METAS EMPRESAS'!$B$15:$B$320,"PREMONTAGEM",'METAS EMPRESAS'!$C$15:$C$320,$A291-WEEKDAY($A291,2)+1)</f>
        <v/>
      </c>
      <c r="O291" s="159">
        <f>SUMIFS('METAS EMPRESAS'!$J$15:$J$320,'METAS EMPRESAS'!$A$15:$A$320,"EJ",'METAS EMPRESAS'!$B$15:$B$320,"IÇAMENTO JOIST",'METAS EMPRESAS'!$C$15:$C$320,$A291-WEEKDAY($A291,2)+1)</f>
        <v/>
      </c>
      <c r="P291" s="159">
        <f>SUMIFS('METAS EMPRESAS'!$J$15:$J$320,'METAS EMPRESAS'!$A$15:$A$320,"EJ",'METAS EMPRESAS'!$B$15:$B$320,"VIGAS",'METAS EMPRESAS'!$C$15:$C$320,$A291-WEEKDAY($A291,2)+1)</f>
        <v/>
      </c>
      <c r="Q291" s="159">
        <f>SUMIFS('METAS EMPRESAS'!$J$15:$J$320,'METAS EMPRESAS'!$A$15:$A$320,"CMM",'METAS EMPRESAS'!$B$15:$B$320,"PREMONTAGEM",'METAS EMPRESAS'!$C$15:$C$320,$A291-WEEKDAY($A291,2)+1)</f>
        <v/>
      </c>
      <c r="R291" s="159">
        <f>SUMIFS('METAS EMPRESAS'!$J$15:$J$320,'METAS EMPRESAS'!$A$15:$A$320,"CMM",'METAS EMPRESAS'!$B$15:$B$320,"IÇAMENTO JOIST",'METAS EMPRESAS'!$C$15:$C$320,$A291-WEEKDAY($A291,2)+1)</f>
        <v/>
      </c>
      <c r="S291" s="159">
        <f>SUMIFS('METAS EMPRESAS'!$J$15:$J$320,'METAS EMPRESAS'!$A$15:$A$320,"CMM",'METAS EMPRESAS'!$B$15:$B$320,"VIGAS",'METAS EMPRESAS'!$C$15:$C$320,$A291-WEEKDAY($A291,2)+1)</f>
        <v/>
      </c>
      <c r="T291">
        <f>--(WEEKDAY(A291,2)&lt;=5)</f>
        <v/>
      </c>
      <c r="U291" t="n">
        <v>19</v>
      </c>
      <c r="V291" t="n">
        <v>7</v>
      </c>
      <c r="W291" t="n">
        <v>0</v>
      </c>
      <c r="X291" t="n">
        <v>5</v>
      </c>
      <c r="Y291" t="n">
        <v>5</v>
      </c>
      <c r="Z291" t="n">
        <v>5</v>
      </c>
      <c r="AA291" t="n">
        <v>95</v>
      </c>
      <c r="AB291" t="n">
        <v>35</v>
      </c>
      <c r="AC291" t="n">
        <v>0</v>
      </c>
    </row>
    <row r="292">
      <c r="A292" s="317" t="n">
        <v>46513</v>
      </c>
      <c r="B292" s="159">
        <f>SUMIFS('METAS EMPRESAS'!$K$15:$K$320,'METAS EMPRESAS'!$A$15:$A$320,"EJ",'METAS EMPRESAS'!$B$15:$B$320,"PREMONTAGEM",'METAS EMPRESAS'!$C$15:$C$320,$A292-WEEKDAY($A292,2)+1)</f>
        <v/>
      </c>
      <c r="C292" s="159">
        <f>SUMIFS('METAS EMPRESAS'!$K$15:$K$320,'METAS EMPRESAS'!$A$15:$A$320,"EJ",'METAS EMPRESAS'!$B$15:$B$320,"IÇAMENTO JOIST",'METAS EMPRESAS'!$C$15:$C$320,$A292-WEEKDAY($A292,2)+1)</f>
        <v/>
      </c>
      <c r="D292" s="159">
        <f>SUMIFS('METAS EMPRESAS'!$K$15:$K$320,'METAS EMPRESAS'!$A$15:$A$320,"EJ",'METAS EMPRESAS'!$B$15:$B$320,"VIGAS",'METAS EMPRESAS'!$C$15:$C$320,$A292-WEEKDAY($A292,2)+1)</f>
        <v/>
      </c>
      <c r="E292" s="159">
        <f>SUMIFS('METAS EMPRESAS'!$K$15:$K$320,'METAS EMPRESAS'!$A$15:$A$320,"CMM",'METAS EMPRESAS'!$B$15:$B$320,"PREMONTAGEM",'METAS EMPRESAS'!$C$15:$C$320,$A292-WEEKDAY($A292,2)+1)</f>
        <v/>
      </c>
      <c r="F292" s="159">
        <f>SUMIFS('METAS EMPRESAS'!$K$15:$K$320,'METAS EMPRESAS'!$A$15:$A$320,"CMM",'METAS EMPRESAS'!$B$15:$B$320,"IÇAMENTO JOIST",'METAS EMPRESAS'!$C$15:$C$320,$A292-WEEKDAY($A292,2)+1)</f>
        <v/>
      </c>
      <c r="G292" s="159">
        <f>SUMIFS('METAS EMPRESAS'!$K$15:$K$320,'METAS EMPRESAS'!$A$15:$A$320,"CMM",'METAS EMPRESAS'!$B$15:$B$320,"VIGAS",'METAS EMPRESAS'!$C$15:$C$320,$A292-WEEKDAY($A292,2)+1)</f>
        <v/>
      </c>
      <c r="H292" s="159">
        <f>SUMIFS('METAS EMPRESAS'!$G$15:$G$320,'METAS EMPRESAS'!$A$15:$A$320,"EJ",'METAS EMPRESAS'!$B$15:$B$320,"PREMONTAGEM",'METAS EMPRESAS'!$C$15:$C$320,$A292-WEEKDAY($A292,2)+1)</f>
        <v/>
      </c>
      <c r="I292" s="159">
        <f>SUMIFS('METAS EMPRESAS'!$G$15:$G$320,'METAS EMPRESAS'!$A$15:$A$320,"EJ",'METAS EMPRESAS'!$B$15:$B$320,"IÇAMENTO JOIST",'METAS EMPRESAS'!$C$15:$C$320,$A292-WEEKDAY($A292,2)+1)</f>
        <v/>
      </c>
      <c r="J292" s="159">
        <f>SUMIFS('METAS EMPRESAS'!$G$15:$G$320,'METAS EMPRESAS'!$A$15:$A$320,"EJ",'METAS EMPRESAS'!$B$15:$B$320,"VIGAS",'METAS EMPRESAS'!$C$15:$C$320,$A292-WEEKDAY($A292,2)+1)</f>
        <v/>
      </c>
      <c r="K292" s="159">
        <f>SUMIFS('METAS EMPRESAS'!$G$15:$G$320,'METAS EMPRESAS'!$A$15:$A$320,"CMM",'METAS EMPRESAS'!$B$15:$B$320,"PREMONTAGEM",'METAS EMPRESAS'!$C$15:$C$320,$A292-WEEKDAY($A292,2)+1)</f>
        <v/>
      </c>
      <c r="L292" s="159">
        <f>SUMIFS('METAS EMPRESAS'!$G$15:$G$320,'METAS EMPRESAS'!$A$15:$A$320,"CMM",'METAS EMPRESAS'!$B$15:$B$320,"IÇAMENTO JOIST",'METAS EMPRESAS'!$C$15:$C$320,$A292-WEEKDAY($A292,2)+1)</f>
        <v/>
      </c>
      <c r="M292" s="159">
        <f>SUMIFS('METAS EMPRESAS'!$G$15:$G$320,'METAS EMPRESAS'!$A$15:$A$320,"CMM",'METAS EMPRESAS'!$B$15:$B$320,"VIGAS",'METAS EMPRESAS'!$C$15:$C$320,$A292-WEEKDAY($A292,2)+1)</f>
        <v/>
      </c>
      <c r="N292" s="159">
        <f>SUMIFS('METAS EMPRESAS'!$J$15:$J$320,'METAS EMPRESAS'!$A$15:$A$320,"EJ",'METAS EMPRESAS'!$B$15:$B$320,"PREMONTAGEM",'METAS EMPRESAS'!$C$15:$C$320,$A292-WEEKDAY($A292,2)+1)</f>
        <v/>
      </c>
      <c r="O292" s="159">
        <f>SUMIFS('METAS EMPRESAS'!$J$15:$J$320,'METAS EMPRESAS'!$A$15:$A$320,"EJ",'METAS EMPRESAS'!$B$15:$B$320,"IÇAMENTO JOIST",'METAS EMPRESAS'!$C$15:$C$320,$A292-WEEKDAY($A292,2)+1)</f>
        <v/>
      </c>
      <c r="P292" s="159">
        <f>SUMIFS('METAS EMPRESAS'!$J$15:$J$320,'METAS EMPRESAS'!$A$15:$A$320,"EJ",'METAS EMPRESAS'!$B$15:$B$320,"VIGAS",'METAS EMPRESAS'!$C$15:$C$320,$A292-WEEKDAY($A292,2)+1)</f>
        <v/>
      </c>
      <c r="Q292" s="159">
        <f>SUMIFS('METAS EMPRESAS'!$J$15:$J$320,'METAS EMPRESAS'!$A$15:$A$320,"CMM",'METAS EMPRESAS'!$B$15:$B$320,"PREMONTAGEM",'METAS EMPRESAS'!$C$15:$C$320,$A292-WEEKDAY($A292,2)+1)</f>
        <v/>
      </c>
      <c r="R292" s="159">
        <f>SUMIFS('METAS EMPRESAS'!$J$15:$J$320,'METAS EMPRESAS'!$A$15:$A$320,"CMM",'METAS EMPRESAS'!$B$15:$B$320,"IÇAMENTO JOIST",'METAS EMPRESAS'!$C$15:$C$320,$A292-WEEKDAY($A292,2)+1)</f>
        <v/>
      </c>
      <c r="S292" s="159">
        <f>SUMIFS('METAS EMPRESAS'!$J$15:$J$320,'METAS EMPRESAS'!$A$15:$A$320,"CMM",'METAS EMPRESAS'!$B$15:$B$320,"VIGAS",'METAS EMPRESAS'!$C$15:$C$320,$A292-WEEKDAY($A292,2)+1)</f>
        <v/>
      </c>
      <c r="T292">
        <f>--(WEEKDAY(A292,2)&lt;=5)</f>
        <v/>
      </c>
      <c r="U292" t="n">
        <v>19</v>
      </c>
      <c r="V292" t="n">
        <v>7</v>
      </c>
      <c r="W292" t="n">
        <v>0</v>
      </c>
      <c r="X292" t="n">
        <v>5</v>
      </c>
      <c r="Y292" t="n">
        <v>5</v>
      </c>
      <c r="Z292" t="n">
        <v>5</v>
      </c>
      <c r="AA292" t="n">
        <v>95</v>
      </c>
      <c r="AB292" t="n">
        <v>35</v>
      </c>
      <c r="AC292" t="n">
        <v>0</v>
      </c>
    </row>
    <row r="293">
      <c r="A293" s="317" t="n">
        <v>46514</v>
      </c>
      <c r="B293" s="159">
        <f>SUMIFS('METAS EMPRESAS'!$K$15:$K$320,'METAS EMPRESAS'!$A$15:$A$320,"EJ",'METAS EMPRESAS'!$B$15:$B$320,"PREMONTAGEM",'METAS EMPRESAS'!$C$15:$C$320,$A293-WEEKDAY($A293,2)+1)</f>
        <v/>
      </c>
      <c r="C293" s="159">
        <f>SUMIFS('METAS EMPRESAS'!$K$15:$K$320,'METAS EMPRESAS'!$A$15:$A$320,"EJ",'METAS EMPRESAS'!$B$15:$B$320,"IÇAMENTO JOIST",'METAS EMPRESAS'!$C$15:$C$320,$A293-WEEKDAY($A293,2)+1)</f>
        <v/>
      </c>
      <c r="D293" s="159">
        <f>SUMIFS('METAS EMPRESAS'!$K$15:$K$320,'METAS EMPRESAS'!$A$15:$A$320,"EJ",'METAS EMPRESAS'!$B$15:$B$320,"VIGAS",'METAS EMPRESAS'!$C$15:$C$320,$A293-WEEKDAY($A293,2)+1)</f>
        <v/>
      </c>
      <c r="E293" s="159">
        <f>SUMIFS('METAS EMPRESAS'!$K$15:$K$320,'METAS EMPRESAS'!$A$15:$A$320,"CMM",'METAS EMPRESAS'!$B$15:$B$320,"PREMONTAGEM",'METAS EMPRESAS'!$C$15:$C$320,$A293-WEEKDAY($A293,2)+1)</f>
        <v/>
      </c>
      <c r="F293" s="159">
        <f>SUMIFS('METAS EMPRESAS'!$K$15:$K$320,'METAS EMPRESAS'!$A$15:$A$320,"CMM",'METAS EMPRESAS'!$B$15:$B$320,"IÇAMENTO JOIST",'METAS EMPRESAS'!$C$15:$C$320,$A293-WEEKDAY($A293,2)+1)</f>
        <v/>
      </c>
      <c r="G293" s="159">
        <f>SUMIFS('METAS EMPRESAS'!$K$15:$K$320,'METAS EMPRESAS'!$A$15:$A$320,"CMM",'METAS EMPRESAS'!$B$15:$B$320,"VIGAS",'METAS EMPRESAS'!$C$15:$C$320,$A293-WEEKDAY($A293,2)+1)</f>
        <v/>
      </c>
      <c r="H293" s="159">
        <f>SUMIFS('METAS EMPRESAS'!$G$15:$G$320,'METAS EMPRESAS'!$A$15:$A$320,"EJ",'METAS EMPRESAS'!$B$15:$B$320,"PREMONTAGEM",'METAS EMPRESAS'!$C$15:$C$320,$A293-WEEKDAY($A293,2)+1)</f>
        <v/>
      </c>
      <c r="I293" s="159">
        <f>SUMIFS('METAS EMPRESAS'!$G$15:$G$320,'METAS EMPRESAS'!$A$15:$A$320,"EJ",'METAS EMPRESAS'!$B$15:$B$320,"IÇAMENTO JOIST",'METAS EMPRESAS'!$C$15:$C$320,$A293-WEEKDAY($A293,2)+1)</f>
        <v/>
      </c>
      <c r="J293" s="159">
        <f>SUMIFS('METAS EMPRESAS'!$G$15:$G$320,'METAS EMPRESAS'!$A$15:$A$320,"EJ",'METAS EMPRESAS'!$B$15:$B$320,"VIGAS",'METAS EMPRESAS'!$C$15:$C$320,$A293-WEEKDAY($A293,2)+1)</f>
        <v/>
      </c>
      <c r="K293" s="159">
        <f>SUMIFS('METAS EMPRESAS'!$G$15:$G$320,'METAS EMPRESAS'!$A$15:$A$320,"CMM",'METAS EMPRESAS'!$B$15:$B$320,"PREMONTAGEM",'METAS EMPRESAS'!$C$15:$C$320,$A293-WEEKDAY($A293,2)+1)</f>
        <v/>
      </c>
      <c r="L293" s="159">
        <f>SUMIFS('METAS EMPRESAS'!$G$15:$G$320,'METAS EMPRESAS'!$A$15:$A$320,"CMM",'METAS EMPRESAS'!$B$15:$B$320,"IÇAMENTO JOIST",'METAS EMPRESAS'!$C$15:$C$320,$A293-WEEKDAY($A293,2)+1)</f>
        <v/>
      </c>
      <c r="M293" s="159">
        <f>SUMIFS('METAS EMPRESAS'!$G$15:$G$320,'METAS EMPRESAS'!$A$15:$A$320,"CMM",'METAS EMPRESAS'!$B$15:$B$320,"VIGAS",'METAS EMPRESAS'!$C$15:$C$320,$A293-WEEKDAY($A293,2)+1)</f>
        <v/>
      </c>
      <c r="N293" s="159">
        <f>SUMIFS('METAS EMPRESAS'!$J$15:$J$320,'METAS EMPRESAS'!$A$15:$A$320,"EJ",'METAS EMPRESAS'!$B$15:$B$320,"PREMONTAGEM",'METAS EMPRESAS'!$C$15:$C$320,$A293-WEEKDAY($A293,2)+1)</f>
        <v/>
      </c>
      <c r="O293" s="159">
        <f>SUMIFS('METAS EMPRESAS'!$J$15:$J$320,'METAS EMPRESAS'!$A$15:$A$320,"EJ",'METAS EMPRESAS'!$B$15:$B$320,"IÇAMENTO JOIST",'METAS EMPRESAS'!$C$15:$C$320,$A293-WEEKDAY($A293,2)+1)</f>
        <v/>
      </c>
      <c r="P293" s="159">
        <f>SUMIFS('METAS EMPRESAS'!$J$15:$J$320,'METAS EMPRESAS'!$A$15:$A$320,"EJ",'METAS EMPRESAS'!$B$15:$B$320,"VIGAS",'METAS EMPRESAS'!$C$15:$C$320,$A293-WEEKDAY($A293,2)+1)</f>
        <v/>
      </c>
      <c r="Q293" s="159">
        <f>SUMIFS('METAS EMPRESAS'!$J$15:$J$320,'METAS EMPRESAS'!$A$15:$A$320,"CMM",'METAS EMPRESAS'!$B$15:$B$320,"PREMONTAGEM",'METAS EMPRESAS'!$C$15:$C$320,$A293-WEEKDAY($A293,2)+1)</f>
        <v/>
      </c>
      <c r="R293" s="159">
        <f>SUMIFS('METAS EMPRESAS'!$J$15:$J$320,'METAS EMPRESAS'!$A$15:$A$320,"CMM",'METAS EMPRESAS'!$B$15:$B$320,"IÇAMENTO JOIST",'METAS EMPRESAS'!$C$15:$C$320,$A293-WEEKDAY($A293,2)+1)</f>
        <v/>
      </c>
      <c r="S293" s="159">
        <f>SUMIFS('METAS EMPRESAS'!$J$15:$J$320,'METAS EMPRESAS'!$A$15:$A$320,"CMM",'METAS EMPRESAS'!$B$15:$B$320,"VIGAS",'METAS EMPRESAS'!$C$15:$C$320,$A293-WEEKDAY($A293,2)+1)</f>
        <v/>
      </c>
      <c r="T293">
        <f>--(WEEKDAY(A293,2)&lt;=5)</f>
        <v/>
      </c>
      <c r="U293" t="n">
        <v>19</v>
      </c>
      <c r="V293" t="n">
        <v>7</v>
      </c>
      <c r="W293" t="n">
        <v>0</v>
      </c>
      <c r="X293" t="n">
        <v>5</v>
      </c>
      <c r="Y293" t="n">
        <v>5</v>
      </c>
      <c r="Z293" t="n">
        <v>5</v>
      </c>
      <c r="AA293" t="n">
        <v>95</v>
      </c>
      <c r="AB293" t="n">
        <v>35</v>
      </c>
      <c r="AC293" t="n">
        <v>0</v>
      </c>
    </row>
    <row r="294">
      <c r="A294" s="317" t="n">
        <v>46515</v>
      </c>
      <c r="B294" s="159">
        <f>SUMIFS('METAS EMPRESAS'!$K$15:$K$320,'METAS EMPRESAS'!$A$15:$A$320,"EJ",'METAS EMPRESAS'!$B$15:$B$320,"PREMONTAGEM",'METAS EMPRESAS'!$C$15:$C$320,$A294-WEEKDAY($A294,2)+1)</f>
        <v/>
      </c>
      <c r="C294" s="159">
        <f>SUMIFS('METAS EMPRESAS'!$K$15:$K$320,'METAS EMPRESAS'!$A$15:$A$320,"EJ",'METAS EMPRESAS'!$B$15:$B$320,"IÇAMENTO JOIST",'METAS EMPRESAS'!$C$15:$C$320,$A294-WEEKDAY($A294,2)+1)</f>
        <v/>
      </c>
      <c r="D294" s="159">
        <f>SUMIFS('METAS EMPRESAS'!$K$15:$K$320,'METAS EMPRESAS'!$A$15:$A$320,"EJ",'METAS EMPRESAS'!$B$15:$B$320,"VIGAS",'METAS EMPRESAS'!$C$15:$C$320,$A294-WEEKDAY($A294,2)+1)</f>
        <v/>
      </c>
      <c r="E294" s="159">
        <f>SUMIFS('METAS EMPRESAS'!$K$15:$K$320,'METAS EMPRESAS'!$A$15:$A$320,"CMM",'METAS EMPRESAS'!$B$15:$B$320,"PREMONTAGEM",'METAS EMPRESAS'!$C$15:$C$320,$A294-WEEKDAY($A294,2)+1)</f>
        <v/>
      </c>
      <c r="F294" s="159">
        <f>SUMIFS('METAS EMPRESAS'!$K$15:$K$320,'METAS EMPRESAS'!$A$15:$A$320,"CMM",'METAS EMPRESAS'!$B$15:$B$320,"IÇAMENTO JOIST",'METAS EMPRESAS'!$C$15:$C$320,$A294-WEEKDAY($A294,2)+1)</f>
        <v/>
      </c>
      <c r="G294" s="159">
        <f>SUMIFS('METAS EMPRESAS'!$K$15:$K$320,'METAS EMPRESAS'!$A$15:$A$320,"CMM",'METAS EMPRESAS'!$B$15:$B$320,"VIGAS",'METAS EMPRESAS'!$C$15:$C$320,$A294-WEEKDAY($A294,2)+1)</f>
        <v/>
      </c>
      <c r="H294" s="159">
        <f>SUMIFS('METAS EMPRESAS'!$G$15:$G$320,'METAS EMPRESAS'!$A$15:$A$320,"EJ",'METAS EMPRESAS'!$B$15:$B$320,"PREMONTAGEM",'METAS EMPRESAS'!$C$15:$C$320,$A294-WEEKDAY($A294,2)+1)</f>
        <v/>
      </c>
      <c r="I294" s="159">
        <f>SUMIFS('METAS EMPRESAS'!$G$15:$G$320,'METAS EMPRESAS'!$A$15:$A$320,"EJ",'METAS EMPRESAS'!$B$15:$B$320,"IÇAMENTO JOIST",'METAS EMPRESAS'!$C$15:$C$320,$A294-WEEKDAY($A294,2)+1)</f>
        <v/>
      </c>
      <c r="J294" s="159">
        <f>SUMIFS('METAS EMPRESAS'!$G$15:$G$320,'METAS EMPRESAS'!$A$15:$A$320,"EJ",'METAS EMPRESAS'!$B$15:$B$320,"VIGAS",'METAS EMPRESAS'!$C$15:$C$320,$A294-WEEKDAY($A294,2)+1)</f>
        <v/>
      </c>
      <c r="K294" s="159">
        <f>SUMIFS('METAS EMPRESAS'!$G$15:$G$320,'METAS EMPRESAS'!$A$15:$A$320,"CMM",'METAS EMPRESAS'!$B$15:$B$320,"PREMONTAGEM",'METAS EMPRESAS'!$C$15:$C$320,$A294-WEEKDAY($A294,2)+1)</f>
        <v/>
      </c>
      <c r="L294" s="159">
        <f>SUMIFS('METAS EMPRESAS'!$G$15:$G$320,'METAS EMPRESAS'!$A$15:$A$320,"CMM",'METAS EMPRESAS'!$B$15:$B$320,"IÇAMENTO JOIST",'METAS EMPRESAS'!$C$15:$C$320,$A294-WEEKDAY($A294,2)+1)</f>
        <v/>
      </c>
      <c r="M294" s="159">
        <f>SUMIFS('METAS EMPRESAS'!$G$15:$G$320,'METAS EMPRESAS'!$A$15:$A$320,"CMM",'METAS EMPRESAS'!$B$15:$B$320,"VIGAS",'METAS EMPRESAS'!$C$15:$C$320,$A294-WEEKDAY($A294,2)+1)</f>
        <v/>
      </c>
      <c r="N294" s="159">
        <f>SUMIFS('METAS EMPRESAS'!$J$15:$J$320,'METAS EMPRESAS'!$A$15:$A$320,"EJ",'METAS EMPRESAS'!$B$15:$B$320,"PREMONTAGEM",'METAS EMPRESAS'!$C$15:$C$320,$A294-WEEKDAY($A294,2)+1)</f>
        <v/>
      </c>
      <c r="O294" s="159">
        <f>SUMIFS('METAS EMPRESAS'!$J$15:$J$320,'METAS EMPRESAS'!$A$15:$A$320,"EJ",'METAS EMPRESAS'!$B$15:$B$320,"IÇAMENTO JOIST",'METAS EMPRESAS'!$C$15:$C$320,$A294-WEEKDAY($A294,2)+1)</f>
        <v/>
      </c>
      <c r="P294" s="159">
        <f>SUMIFS('METAS EMPRESAS'!$J$15:$J$320,'METAS EMPRESAS'!$A$15:$A$320,"EJ",'METAS EMPRESAS'!$B$15:$B$320,"VIGAS",'METAS EMPRESAS'!$C$15:$C$320,$A294-WEEKDAY($A294,2)+1)</f>
        <v/>
      </c>
      <c r="Q294" s="159">
        <f>SUMIFS('METAS EMPRESAS'!$J$15:$J$320,'METAS EMPRESAS'!$A$15:$A$320,"CMM",'METAS EMPRESAS'!$B$15:$B$320,"PREMONTAGEM",'METAS EMPRESAS'!$C$15:$C$320,$A294-WEEKDAY($A294,2)+1)</f>
        <v/>
      </c>
      <c r="R294" s="159">
        <f>SUMIFS('METAS EMPRESAS'!$J$15:$J$320,'METAS EMPRESAS'!$A$15:$A$320,"CMM",'METAS EMPRESAS'!$B$15:$B$320,"IÇAMENTO JOIST",'METAS EMPRESAS'!$C$15:$C$320,$A294-WEEKDAY($A294,2)+1)</f>
        <v/>
      </c>
      <c r="S294" s="159">
        <f>SUMIFS('METAS EMPRESAS'!$J$15:$J$320,'METAS EMPRESAS'!$A$15:$A$320,"CMM",'METAS EMPRESAS'!$B$15:$B$320,"VIGAS",'METAS EMPRESAS'!$C$15:$C$320,$A294-WEEKDAY($A294,2)+1)</f>
        <v/>
      </c>
      <c r="T294">
        <f>--(WEEKDAY(A294,2)&lt;=5)</f>
        <v/>
      </c>
      <c r="U294" t="n">
        <v>19</v>
      </c>
      <c r="V294" t="n">
        <v>7</v>
      </c>
      <c r="W294" t="n">
        <v>0</v>
      </c>
      <c r="X294" t="n">
        <v>5</v>
      </c>
      <c r="Y294" t="n">
        <v>5</v>
      </c>
      <c r="Z294" t="n">
        <v>5</v>
      </c>
      <c r="AA294" t="n">
        <v>95</v>
      </c>
      <c r="AB294" t="n">
        <v>35</v>
      </c>
      <c r="AC294" t="n">
        <v>0</v>
      </c>
    </row>
    <row r="295">
      <c r="A295" s="317" t="n">
        <v>46516</v>
      </c>
      <c r="B295" s="159">
        <f>SUMIFS('METAS EMPRESAS'!$K$15:$K$320,'METAS EMPRESAS'!$A$15:$A$320,"EJ",'METAS EMPRESAS'!$B$15:$B$320,"PREMONTAGEM",'METAS EMPRESAS'!$C$15:$C$320,$A295-WEEKDAY($A295,2)+1)</f>
        <v/>
      </c>
      <c r="C295" s="159">
        <f>SUMIFS('METAS EMPRESAS'!$K$15:$K$320,'METAS EMPRESAS'!$A$15:$A$320,"EJ",'METAS EMPRESAS'!$B$15:$B$320,"IÇAMENTO JOIST",'METAS EMPRESAS'!$C$15:$C$320,$A295-WEEKDAY($A295,2)+1)</f>
        <v/>
      </c>
      <c r="D295" s="159">
        <f>SUMIFS('METAS EMPRESAS'!$K$15:$K$320,'METAS EMPRESAS'!$A$15:$A$320,"EJ",'METAS EMPRESAS'!$B$15:$B$320,"VIGAS",'METAS EMPRESAS'!$C$15:$C$320,$A295-WEEKDAY($A295,2)+1)</f>
        <v/>
      </c>
      <c r="E295" s="159">
        <f>SUMIFS('METAS EMPRESAS'!$K$15:$K$320,'METAS EMPRESAS'!$A$15:$A$320,"CMM",'METAS EMPRESAS'!$B$15:$B$320,"PREMONTAGEM",'METAS EMPRESAS'!$C$15:$C$320,$A295-WEEKDAY($A295,2)+1)</f>
        <v/>
      </c>
      <c r="F295" s="159">
        <f>SUMIFS('METAS EMPRESAS'!$K$15:$K$320,'METAS EMPRESAS'!$A$15:$A$320,"CMM",'METAS EMPRESAS'!$B$15:$B$320,"IÇAMENTO JOIST",'METAS EMPRESAS'!$C$15:$C$320,$A295-WEEKDAY($A295,2)+1)</f>
        <v/>
      </c>
      <c r="G295" s="159">
        <f>SUMIFS('METAS EMPRESAS'!$K$15:$K$320,'METAS EMPRESAS'!$A$15:$A$320,"CMM",'METAS EMPRESAS'!$B$15:$B$320,"VIGAS",'METAS EMPRESAS'!$C$15:$C$320,$A295-WEEKDAY($A295,2)+1)</f>
        <v/>
      </c>
      <c r="H295" s="159">
        <f>SUMIFS('METAS EMPRESAS'!$G$15:$G$320,'METAS EMPRESAS'!$A$15:$A$320,"EJ",'METAS EMPRESAS'!$B$15:$B$320,"PREMONTAGEM",'METAS EMPRESAS'!$C$15:$C$320,$A295-WEEKDAY($A295,2)+1)</f>
        <v/>
      </c>
      <c r="I295" s="159">
        <f>SUMIFS('METAS EMPRESAS'!$G$15:$G$320,'METAS EMPRESAS'!$A$15:$A$320,"EJ",'METAS EMPRESAS'!$B$15:$B$320,"IÇAMENTO JOIST",'METAS EMPRESAS'!$C$15:$C$320,$A295-WEEKDAY($A295,2)+1)</f>
        <v/>
      </c>
      <c r="J295" s="159">
        <f>SUMIFS('METAS EMPRESAS'!$G$15:$G$320,'METAS EMPRESAS'!$A$15:$A$320,"EJ",'METAS EMPRESAS'!$B$15:$B$320,"VIGAS",'METAS EMPRESAS'!$C$15:$C$320,$A295-WEEKDAY($A295,2)+1)</f>
        <v/>
      </c>
      <c r="K295" s="159">
        <f>SUMIFS('METAS EMPRESAS'!$G$15:$G$320,'METAS EMPRESAS'!$A$15:$A$320,"CMM",'METAS EMPRESAS'!$B$15:$B$320,"PREMONTAGEM",'METAS EMPRESAS'!$C$15:$C$320,$A295-WEEKDAY($A295,2)+1)</f>
        <v/>
      </c>
      <c r="L295" s="159">
        <f>SUMIFS('METAS EMPRESAS'!$G$15:$G$320,'METAS EMPRESAS'!$A$15:$A$320,"CMM",'METAS EMPRESAS'!$B$15:$B$320,"IÇAMENTO JOIST",'METAS EMPRESAS'!$C$15:$C$320,$A295-WEEKDAY($A295,2)+1)</f>
        <v/>
      </c>
      <c r="M295" s="159">
        <f>SUMIFS('METAS EMPRESAS'!$G$15:$G$320,'METAS EMPRESAS'!$A$15:$A$320,"CMM",'METAS EMPRESAS'!$B$15:$B$320,"VIGAS",'METAS EMPRESAS'!$C$15:$C$320,$A295-WEEKDAY($A295,2)+1)</f>
        <v/>
      </c>
      <c r="N295" s="159">
        <f>SUMIFS('METAS EMPRESAS'!$J$15:$J$320,'METAS EMPRESAS'!$A$15:$A$320,"EJ",'METAS EMPRESAS'!$B$15:$B$320,"PREMONTAGEM",'METAS EMPRESAS'!$C$15:$C$320,$A295-WEEKDAY($A295,2)+1)</f>
        <v/>
      </c>
      <c r="O295" s="159">
        <f>SUMIFS('METAS EMPRESAS'!$J$15:$J$320,'METAS EMPRESAS'!$A$15:$A$320,"EJ",'METAS EMPRESAS'!$B$15:$B$320,"IÇAMENTO JOIST",'METAS EMPRESAS'!$C$15:$C$320,$A295-WEEKDAY($A295,2)+1)</f>
        <v/>
      </c>
      <c r="P295" s="159">
        <f>SUMIFS('METAS EMPRESAS'!$J$15:$J$320,'METAS EMPRESAS'!$A$15:$A$320,"EJ",'METAS EMPRESAS'!$B$15:$B$320,"VIGAS",'METAS EMPRESAS'!$C$15:$C$320,$A295-WEEKDAY($A295,2)+1)</f>
        <v/>
      </c>
      <c r="Q295" s="159">
        <f>SUMIFS('METAS EMPRESAS'!$J$15:$J$320,'METAS EMPRESAS'!$A$15:$A$320,"CMM",'METAS EMPRESAS'!$B$15:$B$320,"PREMONTAGEM",'METAS EMPRESAS'!$C$15:$C$320,$A295-WEEKDAY($A295,2)+1)</f>
        <v/>
      </c>
      <c r="R295" s="159">
        <f>SUMIFS('METAS EMPRESAS'!$J$15:$J$320,'METAS EMPRESAS'!$A$15:$A$320,"CMM",'METAS EMPRESAS'!$B$15:$B$320,"IÇAMENTO JOIST",'METAS EMPRESAS'!$C$15:$C$320,$A295-WEEKDAY($A295,2)+1)</f>
        <v/>
      </c>
      <c r="S295" s="159">
        <f>SUMIFS('METAS EMPRESAS'!$J$15:$J$320,'METAS EMPRESAS'!$A$15:$A$320,"CMM",'METAS EMPRESAS'!$B$15:$B$320,"VIGAS",'METAS EMPRESAS'!$C$15:$C$320,$A295-WEEKDAY($A295,2)+1)</f>
        <v/>
      </c>
      <c r="T295">
        <f>--(WEEKDAY(A295,2)&lt;=5)</f>
        <v/>
      </c>
      <c r="U295" t="n">
        <v>19</v>
      </c>
      <c r="V295" t="n">
        <v>7</v>
      </c>
      <c r="W295" t="n">
        <v>0</v>
      </c>
      <c r="X295" t="n">
        <v>5</v>
      </c>
      <c r="Y295" t="n">
        <v>5</v>
      </c>
      <c r="Z295" t="n">
        <v>5</v>
      </c>
      <c r="AA295" t="n">
        <v>95</v>
      </c>
      <c r="AB295" t="n">
        <v>35</v>
      </c>
      <c r="AC295" t="n">
        <v>0</v>
      </c>
    </row>
    <row r="296">
      <c r="A296" s="317" t="n">
        <v>46517</v>
      </c>
      <c r="B296" s="159">
        <f>SUMIFS('METAS EMPRESAS'!$K$15:$K$320,'METAS EMPRESAS'!$A$15:$A$320,"EJ",'METAS EMPRESAS'!$B$15:$B$320,"PREMONTAGEM",'METAS EMPRESAS'!$C$15:$C$320,$A296-WEEKDAY($A296,2)+1)</f>
        <v/>
      </c>
      <c r="C296" s="159">
        <f>SUMIFS('METAS EMPRESAS'!$K$15:$K$320,'METAS EMPRESAS'!$A$15:$A$320,"EJ",'METAS EMPRESAS'!$B$15:$B$320,"IÇAMENTO JOIST",'METAS EMPRESAS'!$C$15:$C$320,$A296-WEEKDAY($A296,2)+1)</f>
        <v/>
      </c>
      <c r="D296" s="159">
        <f>SUMIFS('METAS EMPRESAS'!$K$15:$K$320,'METAS EMPRESAS'!$A$15:$A$320,"EJ",'METAS EMPRESAS'!$B$15:$B$320,"VIGAS",'METAS EMPRESAS'!$C$15:$C$320,$A296-WEEKDAY($A296,2)+1)</f>
        <v/>
      </c>
      <c r="E296" s="159">
        <f>SUMIFS('METAS EMPRESAS'!$K$15:$K$320,'METAS EMPRESAS'!$A$15:$A$320,"CMM",'METAS EMPRESAS'!$B$15:$B$320,"PREMONTAGEM",'METAS EMPRESAS'!$C$15:$C$320,$A296-WEEKDAY($A296,2)+1)</f>
        <v/>
      </c>
      <c r="F296" s="159">
        <f>SUMIFS('METAS EMPRESAS'!$K$15:$K$320,'METAS EMPRESAS'!$A$15:$A$320,"CMM",'METAS EMPRESAS'!$B$15:$B$320,"IÇAMENTO JOIST",'METAS EMPRESAS'!$C$15:$C$320,$A296-WEEKDAY($A296,2)+1)</f>
        <v/>
      </c>
      <c r="G296" s="159">
        <f>SUMIFS('METAS EMPRESAS'!$K$15:$K$320,'METAS EMPRESAS'!$A$15:$A$320,"CMM",'METAS EMPRESAS'!$B$15:$B$320,"VIGAS",'METAS EMPRESAS'!$C$15:$C$320,$A296-WEEKDAY($A296,2)+1)</f>
        <v/>
      </c>
      <c r="H296" s="159">
        <f>SUMIFS('METAS EMPRESAS'!$G$15:$G$320,'METAS EMPRESAS'!$A$15:$A$320,"EJ",'METAS EMPRESAS'!$B$15:$B$320,"PREMONTAGEM",'METAS EMPRESAS'!$C$15:$C$320,$A296-WEEKDAY($A296,2)+1)</f>
        <v/>
      </c>
      <c r="I296" s="159">
        <f>SUMIFS('METAS EMPRESAS'!$G$15:$G$320,'METAS EMPRESAS'!$A$15:$A$320,"EJ",'METAS EMPRESAS'!$B$15:$B$320,"IÇAMENTO JOIST",'METAS EMPRESAS'!$C$15:$C$320,$A296-WEEKDAY($A296,2)+1)</f>
        <v/>
      </c>
      <c r="J296" s="159">
        <f>SUMIFS('METAS EMPRESAS'!$G$15:$G$320,'METAS EMPRESAS'!$A$15:$A$320,"EJ",'METAS EMPRESAS'!$B$15:$B$320,"VIGAS",'METAS EMPRESAS'!$C$15:$C$320,$A296-WEEKDAY($A296,2)+1)</f>
        <v/>
      </c>
      <c r="K296" s="159">
        <f>SUMIFS('METAS EMPRESAS'!$G$15:$G$320,'METAS EMPRESAS'!$A$15:$A$320,"CMM",'METAS EMPRESAS'!$B$15:$B$320,"PREMONTAGEM",'METAS EMPRESAS'!$C$15:$C$320,$A296-WEEKDAY($A296,2)+1)</f>
        <v/>
      </c>
      <c r="L296" s="159">
        <f>SUMIFS('METAS EMPRESAS'!$G$15:$G$320,'METAS EMPRESAS'!$A$15:$A$320,"CMM",'METAS EMPRESAS'!$B$15:$B$320,"IÇAMENTO JOIST",'METAS EMPRESAS'!$C$15:$C$320,$A296-WEEKDAY($A296,2)+1)</f>
        <v/>
      </c>
      <c r="M296" s="159">
        <f>SUMIFS('METAS EMPRESAS'!$G$15:$G$320,'METAS EMPRESAS'!$A$15:$A$320,"CMM",'METAS EMPRESAS'!$B$15:$B$320,"VIGAS",'METAS EMPRESAS'!$C$15:$C$320,$A296-WEEKDAY($A296,2)+1)</f>
        <v/>
      </c>
      <c r="N296" s="159">
        <f>SUMIFS('METAS EMPRESAS'!$J$15:$J$320,'METAS EMPRESAS'!$A$15:$A$320,"EJ",'METAS EMPRESAS'!$B$15:$B$320,"PREMONTAGEM",'METAS EMPRESAS'!$C$15:$C$320,$A296-WEEKDAY($A296,2)+1)</f>
        <v/>
      </c>
      <c r="O296" s="159">
        <f>SUMIFS('METAS EMPRESAS'!$J$15:$J$320,'METAS EMPRESAS'!$A$15:$A$320,"EJ",'METAS EMPRESAS'!$B$15:$B$320,"IÇAMENTO JOIST",'METAS EMPRESAS'!$C$15:$C$320,$A296-WEEKDAY($A296,2)+1)</f>
        <v/>
      </c>
      <c r="P296" s="159">
        <f>SUMIFS('METAS EMPRESAS'!$J$15:$J$320,'METAS EMPRESAS'!$A$15:$A$320,"EJ",'METAS EMPRESAS'!$B$15:$B$320,"VIGAS",'METAS EMPRESAS'!$C$15:$C$320,$A296-WEEKDAY($A296,2)+1)</f>
        <v/>
      </c>
      <c r="Q296" s="159">
        <f>SUMIFS('METAS EMPRESAS'!$J$15:$J$320,'METAS EMPRESAS'!$A$15:$A$320,"CMM",'METAS EMPRESAS'!$B$15:$B$320,"PREMONTAGEM",'METAS EMPRESAS'!$C$15:$C$320,$A296-WEEKDAY($A296,2)+1)</f>
        <v/>
      </c>
      <c r="R296" s="159">
        <f>SUMIFS('METAS EMPRESAS'!$J$15:$J$320,'METAS EMPRESAS'!$A$15:$A$320,"CMM",'METAS EMPRESAS'!$B$15:$B$320,"IÇAMENTO JOIST",'METAS EMPRESAS'!$C$15:$C$320,$A296-WEEKDAY($A296,2)+1)</f>
        <v/>
      </c>
      <c r="S296" s="159">
        <f>SUMIFS('METAS EMPRESAS'!$J$15:$J$320,'METAS EMPRESAS'!$A$15:$A$320,"CMM",'METAS EMPRESAS'!$B$15:$B$320,"VIGAS",'METAS EMPRESAS'!$C$15:$C$320,$A296-WEEKDAY($A296,2)+1)</f>
        <v/>
      </c>
      <c r="T296">
        <f>--(WEEKDAY(A296,2)&lt;=5)</f>
        <v/>
      </c>
      <c r="U296" t="n">
        <v>19</v>
      </c>
      <c r="V296" t="n">
        <v>7</v>
      </c>
      <c r="W296" t="n">
        <v>0</v>
      </c>
      <c r="X296" t="n">
        <v>5</v>
      </c>
      <c r="Y296" t="n">
        <v>5</v>
      </c>
      <c r="Z296" t="n">
        <v>5</v>
      </c>
      <c r="AA296" t="n">
        <v>95</v>
      </c>
      <c r="AB296" t="n">
        <v>35</v>
      </c>
      <c r="AC296" t="n">
        <v>0</v>
      </c>
    </row>
    <row r="297">
      <c r="A297" s="317" t="n">
        <v>46518</v>
      </c>
      <c r="B297" s="159">
        <f>SUMIFS('METAS EMPRESAS'!$K$15:$K$320,'METAS EMPRESAS'!$A$15:$A$320,"EJ",'METAS EMPRESAS'!$B$15:$B$320,"PREMONTAGEM",'METAS EMPRESAS'!$C$15:$C$320,$A297-WEEKDAY($A297,2)+1)</f>
        <v/>
      </c>
      <c r="C297" s="159">
        <f>SUMIFS('METAS EMPRESAS'!$K$15:$K$320,'METAS EMPRESAS'!$A$15:$A$320,"EJ",'METAS EMPRESAS'!$B$15:$B$320,"IÇAMENTO JOIST",'METAS EMPRESAS'!$C$15:$C$320,$A297-WEEKDAY($A297,2)+1)</f>
        <v/>
      </c>
      <c r="D297" s="159">
        <f>SUMIFS('METAS EMPRESAS'!$K$15:$K$320,'METAS EMPRESAS'!$A$15:$A$320,"EJ",'METAS EMPRESAS'!$B$15:$B$320,"VIGAS",'METAS EMPRESAS'!$C$15:$C$320,$A297-WEEKDAY($A297,2)+1)</f>
        <v/>
      </c>
      <c r="E297" s="159">
        <f>SUMIFS('METAS EMPRESAS'!$K$15:$K$320,'METAS EMPRESAS'!$A$15:$A$320,"CMM",'METAS EMPRESAS'!$B$15:$B$320,"PREMONTAGEM",'METAS EMPRESAS'!$C$15:$C$320,$A297-WEEKDAY($A297,2)+1)</f>
        <v/>
      </c>
      <c r="F297" s="159">
        <f>SUMIFS('METAS EMPRESAS'!$K$15:$K$320,'METAS EMPRESAS'!$A$15:$A$320,"CMM",'METAS EMPRESAS'!$B$15:$B$320,"IÇAMENTO JOIST",'METAS EMPRESAS'!$C$15:$C$320,$A297-WEEKDAY($A297,2)+1)</f>
        <v/>
      </c>
      <c r="G297" s="159">
        <f>SUMIFS('METAS EMPRESAS'!$K$15:$K$320,'METAS EMPRESAS'!$A$15:$A$320,"CMM",'METAS EMPRESAS'!$B$15:$B$320,"VIGAS",'METAS EMPRESAS'!$C$15:$C$320,$A297-WEEKDAY($A297,2)+1)</f>
        <v/>
      </c>
      <c r="H297" s="159">
        <f>SUMIFS('METAS EMPRESAS'!$G$15:$G$320,'METAS EMPRESAS'!$A$15:$A$320,"EJ",'METAS EMPRESAS'!$B$15:$B$320,"PREMONTAGEM",'METAS EMPRESAS'!$C$15:$C$320,$A297-WEEKDAY($A297,2)+1)</f>
        <v/>
      </c>
      <c r="I297" s="159">
        <f>SUMIFS('METAS EMPRESAS'!$G$15:$G$320,'METAS EMPRESAS'!$A$15:$A$320,"EJ",'METAS EMPRESAS'!$B$15:$B$320,"IÇAMENTO JOIST",'METAS EMPRESAS'!$C$15:$C$320,$A297-WEEKDAY($A297,2)+1)</f>
        <v/>
      </c>
      <c r="J297" s="159">
        <f>SUMIFS('METAS EMPRESAS'!$G$15:$G$320,'METAS EMPRESAS'!$A$15:$A$320,"EJ",'METAS EMPRESAS'!$B$15:$B$320,"VIGAS",'METAS EMPRESAS'!$C$15:$C$320,$A297-WEEKDAY($A297,2)+1)</f>
        <v/>
      </c>
      <c r="K297" s="159">
        <f>SUMIFS('METAS EMPRESAS'!$G$15:$G$320,'METAS EMPRESAS'!$A$15:$A$320,"CMM",'METAS EMPRESAS'!$B$15:$B$320,"PREMONTAGEM",'METAS EMPRESAS'!$C$15:$C$320,$A297-WEEKDAY($A297,2)+1)</f>
        <v/>
      </c>
      <c r="L297" s="159">
        <f>SUMIFS('METAS EMPRESAS'!$G$15:$G$320,'METAS EMPRESAS'!$A$15:$A$320,"CMM",'METAS EMPRESAS'!$B$15:$B$320,"IÇAMENTO JOIST",'METAS EMPRESAS'!$C$15:$C$320,$A297-WEEKDAY($A297,2)+1)</f>
        <v/>
      </c>
      <c r="M297" s="159">
        <f>SUMIFS('METAS EMPRESAS'!$G$15:$G$320,'METAS EMPRESAS'!$A$15:$A$320,"CMM",'METAS EMPRESAS'!$B$15:$B$320,"VIGAS",'METAS EMPRESAS'!$C$15:$C$320,$A297-WEEKDAY($A297,2)+1)</f>
        <v/>
      </c>
      <c r="N297" s="159">
        <f>SUMIFS('METAS EMPRESAS'!$J$15:$J$320,'METAS EMPRESAS'!$A$15:$A$320,"EJ",'METAS EMPRESAS'!$B$15:$B$320,"PREMONTAGEM",'METAS EMPRESAS'!$C$15:$C$320,$A297-WEEKDAY($A297,2)+1)</f>
        <v/>
      </c>
      <c r="O297" s="159">
        <f>SUMIFS('METAS EMPRESAS'!$J$15:$J$320,'METAS EMPRESAS'!$A$15:$A$320,"EJ",'METAS EMPRESAS'!$B$15:$B$320,"IÇAMENTO JOIST",'METAS EMPRESAS'!$C$15:$C$320,$A297-WEEKDAY($A297,2)+1)</f>
        <v/>
      </c>
      <c r="P297" s="159">
        <f>SUMIFS('METAS EMPRESAS'!$J$15:$J$320,'METAS EMPRESAS'!$A$15:$A$320,"EJ",'METAS EMPRESAS'!$B$15:$B$320,"VIGAS",'METAS EMPRESAS'!$C$15:$C$320,$A297-WEEKDAY($A297,2)+1)</f>
        <v/>
      </c>
      <c r="Q297" s="159">
        <f>SUMIFS('METAS EMPRESAS'!$J$15:$J$320,'METAS EMPRESAS'!$A$15:$A$320,"CMM",'METAS EMPRESAS'!$B$15:$B$320,"PREMONTAGEM",'METAS EMPRESAS'!$C$15:$C$320,$A297-WEEKDAY($A297,2)+1)</f>
        <v/>
      </c>
      <c r="R297" s="159">
        <f>SUMIFS('METAS EMPRESAS'!$J$15:$J$320,'METAS EMPRESAS'!$A$15:$A$320,"CMM",'METAS EMPRESAS'!$B$15:$B$320,"IÇAMENTO JOIST",'METAS EMPRESAS'!$C$15:$C$320,$A297-WEEKDAY($A297,2)+1)</f>
        <v/>
      </c>
      <c r="S297" s="159">
        <f>SUMIFS('METAS EMPRESAS'!$J$15:$J$320,'METAS EMPRESAS'!$A$15:$A$320,"CMM",'METAS EMPRESAS'!$B$15:$B$320,"VIGAS",'METAS EMPRESAS'!$C$15:$C$320,$A297-WEEKDAY($A297,2)+1)</f>
        <v/>
      </c>
      <c r="T297">
        <f>--(WEEKDAY(A297,2)&lt;=5)</f>
        <v/>
      </c>
      <c r="U297" t="n">
        <v>19</v>
      </c>
      <c r="V297" t="n">
        <v>7</v>
      </c>
      <c r="W297" t="n">
        <v>0</v>
      </c>
      <c r="X297" t="n">
        <v>5</v>
      </c>
      <c r="Y297" t="n">
        <v>5</v>
      </c>
      <c r="Z297" t="n">
        <v>5</v>
      </c>
      <c r="AA297" t="n">
        <v>95</v>
      </c>
      <c r="AB297" t="n">
        <v>35</v>
      </c>
      <c r="AC297" t="n">
        <v>0</v>
      </c>
    </row>
    <row r="298">
      <c r="A298" s="317" t="n">
        <v>46519</v>
      </c>
      <c r="B298" s="159">
        <f>SUMIFS('METAS EMPRESAS'!$K$15:$K$320,'METAS EMPRESAS'!$A$15:$A$320,"EJ",'METAS EMPRESAS'!$B$15:$B$320,"PREMONTAGEM",'METAS EMPRESAS'!$C$15:$C$320,$A298-WEEKDAY($A298,2)+1)</f>
        <v/>
      </c>
      <c r="C298" s="159">
        <f>SUMIFS('METAS EMPRESAS'!$K$15:$K$320,'METAS EMPRESAS'!$A$15:$A$320,"EJ",'METAS EMPRESAS'!$B$15:$B$320,"IÇAMENTO JOIST",'METAS EMPRESAS'!$C$15:$C$320,$A298-WEEKDAY($A298,2)+1)</f>
        <v/>
      </c>
      <c r="D298" s="159">
        <f>SUMIFS('METAS EMPRESAS'!$K$15:$K$320,'METAS EMPRESAS'!$A$15:$A$320,"EJ",'METAS EMPRESAS'!$B$15:$B$320,"VIGAS",'METAS EMPRESAS'!$C$15:$C$320,$A298-WEEKDAY($A298,2)+1)</f>
        <v/>
      </c>
      <c r="E298" s="159">
        <f>SUMIFS('METAS EMPRESAS'!$K$15:$K$320,'METAS EMPRESAS'!$A$15:$A$320,"CMM",'METAS EMPRESAS'!$B$15:$B$320,"PREMONTAGEM",'METAS EMPRESAS'!$C$15:$C$320,$A298-WEEKDAY($A298,2)+1)</f>
        <v/>
      </c>
      <c r="F298" s="159">
        <f>SUMIFS('METAS EMPRESAS'!$K$15:$K$320,'METAS EMPRESAS'!$A$15:$A$320,"CMM",'METAS EMPRESAS'!$B$15:$B$320,"IÇAMENTO JOIST",'METAS EMPRESAS'!$C$15:$C$320,$A298-WEEKDAY($A298,2)+1)</f>
        <v/>
      </c>
      <c r="G298" s="159">
        <f>SUMIFS('METAS EMPRESAS'!$K$15:$K$320,'METAS EMPRESAS'!$A$15:$A$320,"CMM",'METAS EMPRESAS'!$B$15:$B$320,"VIGAS",'METAS EMPRESAS'!$C$15:$C$320,$A298-WEEKDAY($A298,2)+1)</f>
        <v/>
      </c>
      <c r="H298" s="159">
        <f>SUMIFS('METAS EMPRESAS'!$G$15:$G$320,'METAS EMPRESAS'!$A$15:$A$320,"EJ",'METAS EMPRESAS'!$B$15:$B$320,"PREMONTAGEM",'METAS EMPRESAS'!$C$15:$C$320,$A298-WEEKDAY($A298,2)+1)</f>
        <v/>
      </c>
      <c r="I298" s="159">
        <f>SUMIFS('METAS EMPRESAS'!$G$15:$G$320,'METAS EMPRESAS'!$A$15:$A$320,"EJ",'METAS EMPRESAS'!$B$15:$B$320,"IÇAMENTO JOIST",'METAS EMPRESAS'!$C$15:$C$320,$A298-WEEKDAY($A298,2)+1)</f>
        <v/>
      </c>
      <c r="J298" s="159">
        <f>SUMIFS('METAS EMPRESAS'!$G$15:$G$320,'METAS EMPRESAS'!$A$15:$A$320,"EJ",'METAS EMPRESAS'!$B$15:$B$320,"VIGAS",'METAS EMPRESAS'!$C$15:$C$320,$A298-WEEKDAY($A298,2)+1)</f>
        <v/>
      </c>
      <c r="K298" s="159">
        <f>SUMIFS('METAS EMPRESAS'!$G$15:$G$320,'METAS EMPRESAS'!$A$15:$A$320,"CMM",'METAS EMPRESAS'!$B$15:$B$320,"PREMONTAGEM",'METAS EMPRESAS'!$C$15:$C$320,$A298-WEEKDAY($A298,2)+1)</f>
        <v/>
      </c>
      <c r="L298" s="159">
        <f>SUMIFS('METAS EMPRESAS'!$G$15:$G$320,'METAS EMPRESAS'!$A$15:$A$320,"CMM",'METAS EMPRESAS'!$B$15:$B$320,"IÇAMENTO JOIST",'METAS EMPRESAS'!$C$15:$C$320,$A298-WEEKDAY($A298,2)+1)</f>
        <v/>
      </c>
      <c r="M298" s="159">
        <f>SUMIFS('METAS EMPRESAS'!$G$15:$G$320,'METAS EMPRESAS'!$A$15:$A$320,"CMM",'METAS EMPRESAS'!$B$15:$B$320,"VIGAS",'METAS EMPRESAS'!$C$15:$C$320,$A298-WEEKDAY($A298,2)+1)</f>
        <v/>
      </c>
      <c r="N298" s="159">
        <f>SUMIFS('METAS EMPRESAS'!$J$15:$J$320,'METAS EMPRESAS'!$A$15:$A$320,"EJ",'METAS EMPRESAS'!$B$15:$B$320,"PREMONTAGEM",'METAS EMPRESAS'!$C$15:$C$320,$A298-WEEKDAY($A298,2)+1)</f>
        <v/>
      </c>
      <c r="O298" s="159">
        <f>SUMIFS('METAS EMPRESAS'!$J$15:$J$320,'METAS EMPRESAS'!$A$15:$A$320,"EJ",'METAS EMPRESAS'!$B$15:$B$320,"IÇAMENTO JOIST",'METAS EMPRESAS'!$C$15:$C$320,$A298-WEEKDAY($A298,2)+1)</f>
        <v/>
      </c>
      <c r="P298" s="159">
        <f>SUMIFS('METAS EMPRESAS'!$J$15:$J$320,'METAS EMPRESAS'!$A$15:$A$320,"EJ",'METAS EMPRESAS'!$B$15:$B$320,"VIGAS",'METAS EMPRESAS'!$C$15:$C$320,$A298-WEEKDAY($A298,2)+1)</f>
        <v/>
      </c>
      <c r="Q298" s="159">
        <f>SUMIFS('METAS EMPRESAS'!$J$15:$J$320,'METAS EMPRESAS'!$A$15:$A$320,"CMM",'METAS EMPRESAS'!$B$15:$B$320,"PREMONTAGEM",'METAS EMPRESAS'!$C$15:$C$320,$A298-WEEKDAY($A298,2)+1)</f>
        <v/>
      </c>
      <c r="R298" s="159">
        <f>SUMIFS('METAS EMPRESAS'!$J$15:$J$320,'METAS EMPRESAS'!$A$15:$A$320,"CMM",'METAS EMPRESAS'!$B$15:$B$320,"IÇAMENTO JOIST",'METAS EMPRESAS'!$C$15:$C$320,$A298-WEEKDAY($A298,2)+1)</f>
        <v/>
      </c>
      <c r="S298" s="159">
        <f>SUMIFS('METAS EMPRESAS'!$J$15:$J$320,'METAS EMPRESAS'!$A$15:$A$320,"CMM",'METAS EMPRESAS'!$B$15:$B$320,"VIGAS",'METAS EMPRESAS'!$C$15:$C$320,$A298-WEEKDAY($A298,2)+1)</f>
        <v/>
      </c>
      <c r="T298">
        <f>--(WEEKDAY(A298,2)&lt;=5)</f>
        <v/>
      </c>
      <c r="U298" t="n">
        <v>19</v>
      </c>
      <c r="V298" t="n">
        <v>7</v>
      </c>
      <c r="W298" t="n">
        <v>0</v>
      </c>
      <c r="X298" t="n">
        <v>5</v>
      </c>
      <c r="Y298" t="n">
        <v>5</v>
      </c>
      <c r="Z298" t="n">
        <v>5</v>
      </c>
      <c r="AA298" t="n">
        <v>95</v>
      </c>
      <c r="AB298" t="n">
        <v>35</v>
      </c>
      <c r="AC298" t="n">
        <v>0</v>
      </c>
    </row>
    <row r="299">
      <c r="A299" s="317" t="n">
        <v>46520</v>
      </c>
      <c r="B299" s="159">
        <f>SUMIFS('METAS EMPRESAS'!$K$15:$K$320,'METAS EMPRESAS'!$A$15:$A$320,"EJ",'METAS EMPRESAS'!$B$15:$B$320,"PREMONTAGEM",'METAS EMPRESAS'!$C$15:$C$320,$A299-WEEKDAY($A299,2)+1)</f>
        <v/>
      </c>
      <c r="C299" s="159">
        <f>SUMIFS('METAS EMPRESAS'!$K$15:$K$320,'METAS EMPRESAS'!$A$15:$A$320,"EJ",'METAS EMPRESAS'!$B$15:$B$320,"IÇAMENTO JOIST",'METAS EMPRESAS'!$C$15:$C$320,$A299-WEEKDAY($A299,2)+1)</f>
        <v/>
      </c>
      <c r="D299" s="159">
        <f>SUMIFS('METAS EMPRESAS'!$K$15:$K$320,'METAS EMPRESAS'!$A$15:$A$320,"EJ",'METAS EMPRESAS'!$B$15:$B$320,"VIGAS",'METAS EMPRESAS'!$C$15:$C$320,$A299-WEEKDAY($A299,2)+1)</f>
        <v/>
      </c>
      <c r="E299" s="159">
        <f>SUMIFS('METAS EMPRESAS'!$K$15:$K$320,'METAS EMPRESAS'!$A$15:$A$320,"CMM",'METAS EMPRESAS'!$B$15:$B$320,"PREMONTAGEM",'METAS EMPRESAS'!$C$15:$C$320,$A299-WEEKDAY($A299,2)+1)</f>
        <v/>
      </c>
      <c r="F299" s="159">
        <f>SUMIFS('METAS EMPRESAS'!$K$15:$K$320,'METAS EMPRESAS'!$A$15:$A$320,"CMM",'METAS EMPRESAS'!$B$15:$B$320,"IÇAMENTO JOIST",'METAS EMPRESAS'!$C$15:$C$320,$A299-WEEKDAY($A299,2)+1)</f>
        <v/>
      </c>
      <c r="G299" s="159">
        <f>SUMIFS('METAS EMPRESAS'!$K$15:$K$320,'METAS EMPRESAS'!$A$15:$A$320,"CMM",'METAS EMPRESAS'!$B$15:$B$320,"VIGAS",'METAS EMPRESAS'!$C$15:$C$320,$A299-WEEKDAY($A299,2)+1)</f>
        <v/>
      </c>
      <c r="H299" s="159">
        <f>SUMIFS('METAS EMPRESAS'!$G$15:$G$320,'METAS EMPRESAS'!$A$15:$A$320,"EJ",'METAS EMPRESAS'!$B$15:$B$320,"PREMONTAGEM",'METAS EMPRESAS'!$C$15:$C$320,$A299-WEEKDAY($A299,2)+1)</f>
        <v/>
      </c>
      <c r="I299" s="159">
        <f>SUMIFS('METAS EMPRESAS'!$G$15:$G$320,'METAS EMPRESAS'!$A$15:$A$320,"EJ",'METAS EMPRESAS'!$B$15:$B$320,"IÇAMENTO JOIST",'METAS EMPRESAS'!$C$15:$C$320,$A299-WEEKDAY($A299,2)+1)</f>
        <v/>
      </c>
      <c r="J299" s="159">
        <f>SUMIFS('METAS EMPRESAS'!$G$15:$G$320,'METAS EMPRESAS'!$A$15:$A$320,"EJ",'METAS EMPRESAS'!$B$15:$B$320,"VIGAS",'METAS EMPRESAS'!$C$15:$C$320,$A299-WEEKDAY($A299,2)+1)</f>
        <v/>
      </c>
      <c r="K299" s="159">
        <f>SUMIFS('METAS EMPRESAS'!$G$15:$G$320,'METAS EMPRESAS'!$A$15:$A$320,"CMM",'METAS EMPRESAS'!$B$15:$B$320,"PREMONTAGEM",'METAS EMPRESAS'!$C$15:$C$320,$A299-WEEKDAY($A299,2)+1)</f>
        <v/>
      </c>
      <c r="L299" s="159">
        <f>SUMIFS('METAS EMPRESAS'!$G$15:$G$320,'METAS EMPRESAS'!$A$15:$A$320,"CMM",'METAS EMPRESAS'!$B$15:$B$320,"IÇAMENTO JOIST",'METAS EMPRESAS'!$C$15:$C$320,$A299-WEEKDAY($A299,2)+1)</f>
        <v/>
      </c>
      <c r="M299" s="159">
        <f>SUMIFS('METAS EMPRESAS'!$G$15:$G$320,'METAS EMPRESAS'!$A$15:$A$320,"CMM",'METAS EMPRESAS'!$B$15:$B$320,"VIGAS",'METAS EMPRESAS'!$C$15:$C$320,$A299-WEEKDAY($A299,2)+1)</f>
        <v/>
      </c>
      <c r="N299" s="159">
        <f>SUMIFS('METAS EMPRESAS'!$J$15:$J$320,'METAS EMPRESAS'!$A$15:$A$320,"EJ",'METAS EMPRESAS'!$B$15:$B$320,"PREMONTAGEM",'METAS EMPRESAS'!$C$15:$C$320,$A299-WEEKDAY($A299,2)+1)</f>
        <v/>
      </c>
      <c r="O299" s="159">
        <f>SUMIFS('METAS EMPRESAS'!$J$15:$J$320,'METAS EMPRESAS'!$A$15:$A$320,"EJ",'METAS EMPRESAS'!$B$15:$B$320,"IÇAMENTO JOIST",'METAS EMPRESAS'!$C$15:$C$320,$A299-WEEKDAY($A299,2)+1)</f>
        <v/>
      </c>
      <c r="P299" s="159">
        <f>SUMIFS('METAS EMPRESAS'!$J$15:$J$320,'METAS EMPRESAS'!$A$15:$A$320,"EJ",'METAS EMPRESAS'!$B$15:$B$320,"VIGAS",'METAS EMPRESAS'!$C$15:$C$320,$A299-WEEKDAY($A299,2)+1)</f>
        <v/>
      </c>
      <c r="Q299" s="159">
        <f>SUMIFS('METAS EMPRESAS'!$J$15:$J$320,'METAS EMPRESAS'!$A$15:$A$320,"CMM",'METAS EMPRESAS'!$B$15:$B$320,"PREMONTAGEM",'METAS EMPRESAS'!$C$15:$C$320,$A299-WEEKDAY($A299,2)+1)</f>
        <v/>
      </c>
      <c r="R299" s="159">
        <f>SUMIFS('METAS EMPRESAS'!$J$15:$J$320,'METAS EMPRESAS'!$A$15:$A$320,"CMM",'METAS EMPRESAS'!$B$15:$B$320,"IÇAMENTO JOIST",'METAS EMPRESAS'!$C$15:$C$320,$A299-WEEKDAY($A299,2)+1)</f>
        <v/>
      </c>
      <c r="S299" s="159">
        <f>SUMIFS('METAS EMPRESAS'!$J$15:$J$320,'METAS EMPRESAS'!$A$15:$A$320,"CMM",'METAS EMPRESAS'!$B$15:$B$320,"VIGAS",'METAS EMPRESAS'!$C$15:$C$320,$A299-WEEKDAY($A299,2)+1)</f>
        <v/>
      </c>
      <c r="T299">
        <f>--(WEEKDAY(A299,2)&lt;=5)</f>
        <v/>
      </c>
      <c r="U299" t="n">
        <v>19</v>
      </c>
      <c r="V299" t="n">
        <v>7</v>
      </c>
      <c r="W299" t="n">
        <v>0</v>
      </c>
      <c r="X299" t="n">
        <v>5</v>
      </c>
      <c r="Y299" t="n">
        <v>5</v>
      </c>
      <c r="Z299" t="n">
        <v>5</v>
      </c>
      <c r="AA299" t="n">
        <v>95</v>
      </c>
      <c r="AB299" t="n">
        <v>35</v>
      </c>
      <c r="AC299" t="n">
        <v>0</v>
      </c>
    </row>
    <row r="300">
      <c r="A300" s="317" t="n">
        <v>46521</v>
      </c>
      <c r="B300" s="159">
        <f>SUMIFS('METAS EMPRESAS'!$K$15:$K$320,'METAS EMPRESAS'!$A$15:$A$320,"EJ",'METAS EMPRESAS'!$B$15:$B$320,"PREMONTAGEM",'METAS EMPRESAS'!$C$15:$C$320,$A300-WEEKDAY($A300,2)+1)</f>
        <v/>
      </c>
      <c r="C300" s="159">
        <f>SUMIFS('METAS EMPRESAS'!$K$15:$K$320,'METAS EMPRESAS'!$A$15:$A$320,"EJ",'METAS EMPRESAS'!$B$15:$B$320,"IÇAMENTO JOIST",'METAS EMPRESAS'!$C$15:$C$320,$A300-WEEKDAY($A300,2)+1)</f>
        <v/>
      </c>
      <c r="D300" s="159">
        <f>SUMIFS('METAS EMPRESAS'!$K$15:$K$320,'METAS EMPRESAS'!$A$15:$A$320,"EJ",'METAS EMPRESAS'!$B$15:$B$320,"VIGAS",'METAS EMPRESAS'!$C$15:$C$320,$A300-WEEKDAY($A300,2)+1)</f>
        <v/>
      </c>
      <c r="E300" s="159">
        <f>SUMIFS('METAS EMPRESAS'!$K$15:$K$320,'METAS EMPRESAS'!$A$15:$A$320,"CMM",'METAS EMPRESAS'!$B$15:$B$320,"PREMONTAGEM",'METAS EMPRESAS'!$C$15:$C$320,$A300-WEEKDAY($A300,2)+1)</f>
        <v/>
      </c>
      <c r="F300" s="159">
        <f>SUMIFS('METAS EMPRESAS'!$K$15:$K$320,'METAS EMPRESAS'!$A$15:$A$320,"CMM",'METAS EMPRESAS'!$B$15:$B$320,"IÇAMENTO JOIST",'METAS EMPRESAS'!$C$15:$C$320,$A300-WEEKDAY($A300,2)+1)</f>
        <v/>
      </c>
      <c r="G300" s="159">
        <f>SUMIFS('METAS EMPRESAS'!$K$15:$K$320,'METAS EMPRESAS'!$A$15:$A$320,"CMM",'METAS EMPRESAS'!$B$15:$B$320,"VIGAS",'METAS EMPRESAS'!$C$15:$C$320,$A300-WEEKDAY($A300,2)+1)</f>
        <v/>
      </c>
      <c r="H300" s="159">
        <f>SUMIFS('METAS EMPRESAS'!$G$15:$G$320,'METAS EMPRESAS'!$A$15:$A$320,"EJ",'METAS EMPRESAS'!$B$15:$B$320,"PREMONTAGEM",'METAS EMPRESAS'!$C$15:$C$320,$A300-WEEKDAY($A300,2)+1)</f>
        <v/>
      </c>
      <c r="I300" s="159">
        <f>SUMIFS('METAS EMPRESAS'!$G$15:$G$320,'METAS EMPRESAS'!$A$15:$A$320,"EJ",'METAS EMPRESAS'!$B$15:$B$320,"IÇAMENTO JOIST",'METAS EMPRESAS'!$C$15:$C$320,$A300-WEEKDAY($A300,2)+1)</f>
        <v/>
      </c>
      <c r="J300" s="159">
        <f>SUMIFS('METAS EMPRESAS'!$G$15:$G$320,'METAS EMPRESAS'!$A$15:$A$320,"EJ",'METAS EMPRESAS'!$B$15:$B$320,"VIGAS",'METAS EMPRESAS'!$C$15:$C$320,$A300-WEEKDAY($A300,2)+1)</f>
        <v/>
      </c>
      <c r="K300" s="159">
        <f>SUMIFS('METAS EMPRESAS'!$G$15:$G$320,'METAS EMPRESAS'!$A$15:$A$320,"CMM",'METAS EMPRESAS'!$B$15:$B$320,"PREMONTAGEM",'METAS EMPRESAS'!$C$15:$C$320,$A300-WEEKDAY($A300,2)+1)</f>
        <v/>
      </c>
      <c r="L300" s="159">
        <f>SUMIFS('METAS EMPRESAS'!$G$15:$G$320,'METAS EMPRESAS'!$A$15:$A$320,"CMM",'METAS EMPRESAS'!$B$15:$B$320,"IÇAMENTO JOIST",'METAS EMPRESAS'!$C$15:$C$320,$A300-WEEKDAY($A300,2)+1)</f>
        <v/>
      </c>
      <c r="M300" s="159">
        <f>SUMIFS('METAS EMPRESAS'!$G$15:$G$320,'METAS EMPRESAS'!$A$15:$A$320,"CMM",'METAS EMPRESAS'!$B$15:$B$320,"VIGAS",'METAS EMPRESAS'!$C$15:$C$320,$A300-WEEKDAY($A300,2)+1)</f>
        <v/>
      </c>
      <c r="N300" s="159">
        <f>SUMIFS('METAS EMPRESAS'!$J$15:$J$320,'METAS EMPRESAS'!$A$15:$A$320,"EJ",'METAS EMPRESAS'!$B$15:$B$320,"PREMONTAGEM",'METAS EMPRESAS'!$C$15:$C$320,$A300-WEEKDAY($A300,2)+1)</f>
        <v/>
      </c>
      <c r="O300" s="159">
        <f>SUMIFS('METAS EMPRESAS'!$J$15:$J$320,'METAS EMPRESAS'!$A$15:$A$320,"EJ",'METAS EMPRESAS'!$B$15:$B$320,"IÇAMENTO JOIST",'METAS EMPRESAS'!$C$15:$C$320,$A300-WEEKDAY($A300,2)+1)</f>
        <v/>
      </c>
      <c r="P300" s="159">
        <f>SUMIFS('METAS EMPRESAS'!$J$15:$J$320,'METAS EMPRESAS'!$A$15:$A$320,"EJ",'METAS EMPRESAS'!$B$15:$B$320,"VIGAS",'METAS EMPRESAS'!$C$15:$C$320,$A300-WEEKDAY($A300,2)+1)</f>
        <v/>
      </c>
      <c r="Q300" s="159">
        <f>SUMIFS('METAS EMPRESAS'!$J$15:$J$320,'METAS EMPRESAS'!$A$15:$A$320,"CMM",'METAS EMPRESAS'!$B$15:$B$320,"PREMONTAGEM",'METAS EMPRESAS'!$C$15:$C$320,$A300-WEEKDAY($A300,2)+1)</f>
        <v/>
      </c>
      <c r="R300" s="159">
        <f>SUMIFS('METAS EMPRESAS'!$J$15:$J$320,'METAS EMPRESAS'!$A$15:$A$320,"CMM",'METAS EMPRESAS'!$B$15:$B$320,"IÇAMENTO JOIST",'METAS EMPRESAS'!$C$15:$C$320,$A300-WEEKDAY($A300,2)+1)</f>
        <v/>
      </c>
      <c r="S300" s="159">
        <f>SUMIFS('METAS EMPRESAS'!$J$15:$J$320,'METAS EMPRESAS'!$A$15:$A$320,"CMM",'METAS EMPRESAS'!$B$15:$B$320,"VIGAS",'METAS EMPRESAS'!$C$15:$C$320,$A300-WEEKDAY($A300,2)+1)</f>
        <v/>
      </c>
      <c r="T300">
        <f>--(WEEKDAY(A300,2)&lt;=5)</f>
        <v/>
      </c>
      <c r="U300" t="n">
        <v>19</v>
      </c>
      <c r="V300" t="n">
        <v>7</v>
      </c>
      <c r="W300" t="n">
        <v>0</v>
      </c>
      <c r="X300" t="n">
        <v>5</v>
      </c>
      <c r="Y300" t="n">
        <v>5</v>
      </c>
      <c r="Z300" t="n">
        <v>5</v>
      </c>
      <c r="AA300" t="n">
        <v>95</v>
      </c>
      <c r="AB300" t="n">
        <v>35</v>
      </c>
      <c r="AC300" t="n">
        <v>0</v>
      </c>
    </row>
    <row r="301">
      <c r="A301" s="317" t="n">
        <v>46522</v>
      </c>
      <c r="B301" s="159">
        <f>SUMIFS('METAS EMPRESAS'!$K$15:$K$320,'METAS EMPRESAS'!$A$15:$A$320,"EJ",'METAS EMPRESAS'!$B$15:$B$320,"PREMONTAGEM",'METAS EMPRESAS'!$C$15:$C$320,$A301-WEEKDAY($A301,2)+1)</f>
        <v/>
      </c>
      <c r="C301" s="159">
        <f>SUMIFS('METAS EMPRESAS'!$K$15:$K$320,'METAS EMPRESAS'!$A$15:$A$320,"EJ",'METAS EMPRESAS'!$B$15:$B$320,"IÇAMENTO JOIST",'METAS EMPRESAS'!$C$15:$C$320,$A301-WEEKDAY($A301,2)+1)</f>
        <v/>
      </c>
      <c r="D301" s="159">
        <f>SUMIFS('METAS EMPRESAS'!$K$15:$K$320,'METAS EMPRESAS'!$A$15:$A$320,"EJ",'METAS EMPRESAS'!$B$15:$B$320,"VIGAS",'METAS EMPRESAS'!$C$15:$C$320,$A301-WEEKDAY($A301,2)+1)</f>
        <v/>
      </c>
      <c r="E301" s="159">
        <f>SUMIFS('METAS EMPRESAS'!$K$15:$K$320,'METAS EMPRESAS'!$A$15:$A$320,"CMM",'METAS EMPRESAS'!$B$15:$B$320,"PREMONTAGEM",'METAS EMPRESAS'!$C$15:$C$320,$A301-WEEKDAY($A301,2)+1)</f>
        <v/>
      </c>
      <c r="F301" s="159">
        <f>SUMIFS('METAS EMPRESAS'!$K$15:$K$320,'METAS EMPRESAS'!$A$15:$A$320,"CMM",'METAS EMPRESAS'!$B$15:$B$320,"IÇAMENTO JOIST",'METAS EMPRESAS'!$C$15:$C$320,$A301-WEEKDAY($A301,2)+1)</f>
        <v/>
      </c>
      <c r="G301" s="159">
        <f>SUMIFS('METAS EMPRESAS'!$K$15:$K$320,'METAS EMPRESAS'!$A$15:$A$320,"CMM",'METAS EMPRESAS'!$B$15:$B$320,"VIGAS",'METAS EMPRESAS'!$C$15:$C$320,$A301-WEEKDAY($A301,2)+1)</f>
        <v/>
      </c>
      <c r="H301" s="159">
        <f>SUMIFS('METAS EMPRESAS'!$G$15:$G$320,'METAS EMPRESAS'!$A$15:$A$320,"EJ",'METAS EMPRESAS'!$B$15:$B$320,"PREMONTAGEM",'METAS EMPRESAS'!$C$15:$C$320,$A301-WEEKDAY($A301,2)+1)</f>
        <v/>
      </c>
      <c r="I301" s="159">
        <f>SUMIFS('METAS EMPRESAS'!$G$15:$G$320,'METAS EMPRESAS'!$A$15:$A$320,"EJ",'METAS EMPRESAS'!$B$15:$B$320,"IÇAMENTO JOIST",'METAS EMPRESAS'!$C$15:$C$320,$A301-WEEKDAY($A301,2)+1)</f>
        <v/>
      </c>
      <c r="J301" s="159">
        <f>SUMIFS('METAS EMPRESAS'!$G$15:$G$320,'METAS EMPRESAS'!$A$15:$A$320,"EJ",'METAS EMPRESAS'!$B$15:$B$320,"VIGAS",'METAS EMPRESAS'!$C$15:$C$320,$A301-WEEKDAY($A301,2)+1)</f>
        <v/>
      </c>
      <c r="K301" s="159">
        <f>SUMIFS('METAS EMPRESAS'!$G$15:$G$320,'METAS EMPRESAS'!$A$15:$A$320,"CMM",'METAS EMPRESAS'!$B$15:$B$320,"PREMONTAGEM",'METAS EMPRESAS'!$C$15:$C$320,$A301-WEEKDAY($A301,2)+1)</f>
        <v/>
      </c>
      <c r="L301" s="159">
        <f>SUMIFS('METAS EMPRESAS'!$G$15:$G$320,'METAS EMPRESAS'!$A$15:$A$320,"CMM",'METAS EMPRESAS'!$B$15:$B$320,"IÇAMENTO JOIST",'METAS EMPRESAS'!$C$15:$C$320,$A301-WEEKDAY($A301,2)+1)</f>
        <v/>
      </c>
      <c r="M301" s="159">
        <f>SUMIFS('METAS EMPRESAS'!$G$15:$G$320,'METAS EMPRESAS'!$A$15:$A$320,"CMM",'METAS EMPRESAS'!$B$15:$B$320,"VIGAS",'METAS EMPRESAS'!$C$15:$C$320,$A301-WEEKDAY($A301,2)+1)</f>
        <v/>
      </c>
      <c r="N301" s="159">
        <f>SUMIFS('METAS EMPRESAS'!$J$15:$J$320,'METAS EMPRESAS'!$A$15:$A$320,"EJ",'METAS EMPRESAS'!$B$15:$B$320,"PREMONTAGEM",'METAS EMPRESAS'!$C$15:$C$320,$A301-WEEKDAY($A301,2)+1)</f>
        <v/>
      </c>
      <c r="O301" s="159">
        <f>SUMIFS('METAS EMPRESAS'!$J$15:$J$320,'METAS EMPRESAS'!$A$15:$A$320,"EJ",'METAS EMPRESAS'!$B$15:$B$320,"IÇAMENTO JOIST",'METAS EMPRESAS'!$C$15:$C$320,$A301-WEEKDAY($A301,2)+1)</f>
        <v/>
      </c>
      <c r="P301" s="159">
        <f>SUMIFS('METAS EMPRESAS'!$J$15:$J$320,'METAS EMPRESAS'!$A$15:$A$320,"EJ",'METAS EMPRESAS'!$B$15:$B$320,"VIGAS",'METAS EMPRESAS'!$C$15:$C$320,$A301-WEEKDAY($A301,2)+1)</f>
        <v/>
      </c>
      <c r="Q301" s="159">
        <f>SUMIFS('METAS EMPRESAS'!$J$15:$J$320,'METAS EMPRESAS'!$A$15:$A$320,"CMM",'METAS EMPRESAS'!$B$15:$B$320,"PREMONTAGEM",'METAS EMPRESAS'!$C$15:$C$320,$A301-WEEKDAY($A301,2)+1)</f>
        <v/>
      </c>
      <c r="R301" s="159">
        <f>SUMIFS('METAS EMPRESAS'!$J$15:$J$320,'METAS EMPRESAS'!$A$15:$A$320,"CMM",'METAS EMPRESAS'!$B$15:$B$320,"IÇAMENTO JOIST",'METAS EMPRESAS'!$C$15:$C$320,$A301-WEEKDAY($A301,2)+1)</f>
        <v/>
      </c>
      <c r="S301" s="159">
        <f>SUMIFS('METAS EMPRESAS'!$J$15:$J$320,'METAS EMPRESAS'!$A$15:$A$320,"CMM",'METAS EMPRESAS'!$B$15:$B$320,"VIGAS",'METAS EMPRESAS'!$C$15:$C$320,$A301-WEEKDAY($A301,2)+1)</f>
        <v/>
      </c>
      <c r="T301">
        <f>--(WEEKDAY(A301,2)&lt;=5)</f>
        <v/>
      </c>
      <c r="U301" t="n">
        <v>19</v>
      </c>
      <c r="V301" t="n">
        <v>7</v>
      </c>
      <c r="W301" t="n">
        <v>0</v>
      </c>
      <c r="X301" t="n">
        <v>5</v>
      </c>
      <c r="Y301" t="n">
        <v>5</v>
      </c>
      <c r="Z301" t="n">
        <v>5</v>
      </c>
      <c r="AA301" t="n">
        <v>95</v>
      </c>
      <c r="AB301" t="n">
        <v>35</v>
      </c>
      <c r="AC301" t="n">
        <v>0</v>
      </c>
    </row>
    <row r="302">
      <c r="A302" s="317" t="n">
        <v>46523</v>
      </c>
      <c r="B302" s="159">
        <f>SUMIFS('METAS EMPRESAS'!$K$15:$K$320,'METAS EMPRESAS'!$A$15:$A$320,"EJ",'METAS EMPRESAS'!$B$15:$B$320,"PREMONTAGEM",'METAS EMPRESAS'!$C$15:$C$320,$A302-WEEKDAY($A302,2)+1)</f>
        <v/>
      </c>
      <c r="C302" s="159">
        <f>SUMIFS('METAS EMPRESAS'!$K$15:$K$320,'METAS EMPRESAS'!$A$15:$A$320,"EJ",'METAS EMPRESAS'!$B$15:$B$320,"IÇAMENTO JOIST",'METAS EMPRESAS'!$C$15:$C$320,$A302-WEEKDAY($A302,2)+1)</f>
        <v/>
      </c>
      <c r="D302" s="159">
        <f>SUMIFS('METAS EMPRESAS'!$K$15:$K$320,'METAS EMPRESAS'!$A$15:$A$320,"EJ",'METAS EMPRESAS'!$B$15:$B$320,"VIGAS",'METAS EMPRESAS'!$C$15:$C$320,$A302-WEEKDAY($A302,2)+1)</f>
        <v/>
      </c>
      <c r="E302" s="159">
        <f>SUMIFS('METAS EMPRESAS'!$K$15:$K$320,'METAS EMPRESAS'!$A$15:$A$320,"CMM",'METAS EMPRESAS'!$B$15:$B$320,"PREMONTAGEM",'METAS EMPRESAS'!$C$15:$C$320,$A302-WEEKDAY($A302,2)+1)</f>
        <v/>
      </c>
      <c r="F302" s="159">
        <f>SUMIFS('METAS EMPRESAS'!$K$15:$K$320,'METAS EMPRESAS'!$A$15:$A$320,"CMM",'METAS EMPRESAS'!$B$15:$B$320,"IÇAMENTO JOIST",'METAS EMPRESAS'!$C$15:$C$320,$A302-WEEKDAY($A302,2)+1)</f>
        <v/>
      </c>
      <c r="G302" s="159">
        <f>SUMIFS('METAS EMPRESAS'!$K$15:$K$320,'METAS EMPRESAS'!$A$15:$A$320,"CMM",'METAS EMPRESAS'!$B$15:$B$320,"VIGAS",'METAS EMPRESAS'!$C$15:$C$320,$A302-WEEKDAY($A302,2)+1)</f>
        <v/>
      </c>
      <c r="H302" s="159">
        <f>SUMIFS('METAS EMPRESAS'!$G$15:$G$320,'METAS EMPRESAS'!$A$15:$A$320,"EJ",'METAS EMPRESAS'!$B$15:$B$320,"PREMONTAGEM",'METAS EMPRESAS'!$C$15:$C$320,$A302-WEEKDAY($A302,2)+1)</f>
        <v/>
      </c>
      <c r="I302" s="159">
        <f>SUMIFS('METAS EMPRESAS'!$G$15:$G$320,'METAS EMPRESAS'!$A$15:$A$320,"EJ",'METAS EMPRESAS'!$B$15:$B$320,"IÇAMENTO JOIST",'METAS EMPRESAS'!$C$15:$C$320,$A302-WEEKDAY($A302,2)+1)</f>
        <v/>
      </c>
      <c r="J302" s="159">
        <f>SUMIFS('METAS EMPRESAS'!$G$15:$G$320,'METAS EMPRESAS'!$A$15:$A$320,"EJ",'METAS EMPRESAS'!$B$15:$B$320,"VIGAS",'METAS EMPRESAS'!$C$15:$C$320,$A302-WEEKDAY($A302,2)+1)</f>
        <v/>
      </c>
      <c r="K302" s="159">
        <f>SUMIFS('METAS EMPRESAS'!$G$15:$G$320,'METAS EMPRESAS'!$A$15:$A$320,"CMM",'METAS EMPRESAS'!$B$15:$B$320,"PREMONTAGEM",'METAS EMPRESAS'!$C$15:$C$320,$A302-WEEKDAY($A302,2)+1)</f>
        <v/>
      </c>
      <c r="L302" s="159">
        <f>SUMIFS('METAS EMPRESAS'!$G$15:$G$320,'METAS EMPRESAS'!$A$15:$A$320,"CMM",'METAS EMPRESAS'!$B$15:$B$320,"IÇAMENTO JOIST",'METAS EMPRESAS'!$C$15:$C$320,$A302-WEEKDAY($A302,2)+1)</f>
        <v/>
      </c>
      <c r="M302" s="159">
        <f>SUMIFS('METAS EMPRESAS'!$G$15:$G$320,'METAS EMPRESAS'!$A$15:$A$320,"CMM",'METAS EMPRESAS'!$B$15:$B$320,"VIGAS",'METAS EMPRESAS'!$C$15:$C$320,$A302-WEEKDAY($A302,2)+1)</f>
        <v/>
      </c>
      <c r="N302" s="159">
        <f>SUMIFS('METAS EMPRESAS'!$J$15:$J$320,'METAS EMPRESAS'!$A$15:$A$320,"EJ",'METAS EMPRESAS'!$B$15:$B$320,"PREMONTAGEM",'METAS EMPRESAS'!$C$15:$C$320,$A302-WEEKDAY($A302,2)+1)</f>
        <v/>
      </c>
      <c r="O302" s="159">
        <f>SUMIFS('METAS EMPRESAS'!$J$15:$J$320,'METAS EMPRESAS'!$A$15:$A$320,"EJ",'METAS EMPRESAS'!$B$15:$B$320,"IÇAMENTO JOIST",'METAS EMPRESAS'!$C$15:$C$320,$A302-WEEKDAY($A302,2)+1)</f>
        <v/>
      </c>
      <c r="P302" s="159">
        <f>SUMIFS('METAS EMPRESAS'!$J$15:$J$320,'METAS EMPRESAS'!$A$15:$A$320,"EJ",'METAS EMPRESAS'!$B$15:$B$320,"VIGAS",'METAS EMPRESAS'!$C$15:$C$320,$A302-WEEKDAY($A302,2)+1)</f>
        <v/>
      </c>
      <c r="Q302" s="159">
        <f>SUMIFS('METAS EMPRESAS'!$J$15:$J$320,'METAS EMPRESAS'!$A$15:$A$320,"CMM",'METAS EMPRESAS'!$B$15:$B$320,"PREMONTAGEM",'METAS EMPRESAS'!$C$15:$C$320,$A302-WEEKDAY($A302,2)+1)</f>
        <v/>
      </c>
      <c r="R302" s="159">
        <f>SUMIFS('METAS EMPRESAS'!$J$15:$J$320,'METAS EMPRESAS'!$A$15:$A$320,"CMM",'METAS EMPRESAS'!$B$15:$B$320,"IÇAMENTO JOIST",'METAS EMPRESAS'!$C$15:$C$320,$A302-WEEKDAY($A302,2)+1)</f>
        <v/>
      </c>
      <c r="S302" s="159">
        <f>SUMIFS('METAS EMPRESAS'!$J$15:$J$320,'METAS EMPRESAS'!$A$15:$A$320,"CMM",'METAS EMPRESAS'!$B$15:$B$320,"VIGAS",'METAS EMPRESAS'!$C$15:$C$320,$A302-WEEKDAY($A302,2)+1)</f>
        <v/>
      </c>
      <c r="T302">
        <f>--(WEEKDAY(A302,2)&lt;=5)</f>
        <v/>
      </c>
      <c r="U302" t="n">
        <v>19</v>
      </c>
      <c r="V302" t="n">
        <v>7</v>
      </c>
      <c r="W302" t="n">
        <v>0</v>
      </c>
      <c r="X302" t="n">
        <v>5</v>
      </c>
      <c r="Y302" t="n">
        <v>5</v>
      </c>
      <c r="Z302" t="n">
        <v>5</v>
      </c>
      <c r="AA302" t="n">
        <v>95</v>
      </c>
      <c r="AB302" t="n">
        <v>35</v>
      </c>
      <c r="AC302" t="n">
        <v>0</v>
      </c>
    </row>
    <row r="303">
      <c r="A303" s="317" t="n">
        <v>46524</v>
      </c>
      <c r="B303" s="159">
        <f>SUMIFS('METAS EMPRESAS'!$K$15:$K$320,'METAS EMPRESAS'!$A$15:$A$320,"EJ",'METAS EMPRESAS'!$B$15:$B$320,"PREMONTAGEM",'METAS EMPRESAS'!$C$15:$C$320,$A303-WEEKDAY($A303,2)+1)</f>
        <v/>
      </c>
      <c r="C303" s="159">
        <f>SUMIFS('METAS EMPRESAS'!$K$15:$K$320,'METAS EMPRESAS'!$A$15:$A$320,"EJ",'METAS EMPRESAS'!$B$15:$B$320,"IÇAMENTO JOIST",'METAS EMPRESAS'!$C$15:$C$320,$A303-WEEKDAY($A303,2)+1)</f>
        <v/>
      </c>
      <c r="D303" s="159">
        <f>SUMIFS('METAS EMPRESAS'!$K$15:$K$320,'METAS EMPRESAS'!$A$15:$A$320,"EJ",'METAS EMPRESAS'!$B$15:$B$320,"VIGAS",'METAS EMPRESAS'!$C$15:$C$320,$A303-WEEKDAY($A303,2)+1)</f>
        <v/>
      </c>
      <c r="E303" s="159">
        <f>SUMIFS('METAS EMPRESAS'!$K$15:$K$320,'METAS EMPRESAS'!$A$15:$A$320,"CMM",'METAS EMPRESAS'!$B$15:$B$320,"PREMONTAGEM",'METAS EMPRESAS'!$C$15:$C$320,$A303-WEEKDAY($A303,2)+1)</f>
        <v/>
      </c>
      <c r="F303" s="159">
        <f>SUMIFS('METAS EMPRESAS'!$K$15:$K$320,'METAS EMPRESAS'!$A$15:$A$320,"CMM",'METAS EMPRESAS'!$B$15:$B$320,"IÇAMENTO JOIST",'METAS EMPRESAS'!$C$15:$C$320,$A303-WEEKDAY($A303,2)+1)</f>
        <v/>
      </c>
      <c r="G303" s="159">
        <f>SUMIFS('METAS EMPRESAS'!$K$15:$K$320,'METAS EMPRESAS'!$A$15:$A$320,"CMM",'METAS EMPRESAS'!$B$15:$B$320,"VIGAS",'METAS EMPRESAS'!$C$15:$C$320,$A303-WEEKDAY($A303,2)+1)</f>
        <v/>
      </c>
      <c r="H303" s="159">
        <f>SUMIFS('METAS EMPRESAS'!$G$15:$G$320,'METAS EMPRESAS'!$A$15:$A$320,"EJ",'METAS EMPRESAS'!$B$15:$B$320,"PREMONTAGEM",'METAS EMPRESAS'!$C$15:$C$320,$A303-WEEKDAY($A303,2)+1)</f>
        <v/>
      </c>
      <c r="I303" s="159">
        <f>SUMIFS('METAS EMPRESAS'!$G$15:$G$320,'METAS EMPRESAS'!$A$15:$A$320,"EJ",'METAS EMPRESAS'!$B$15:$B$320,"IÇAMENTO JOIST",'METAS EMPRESAS'!$C$15:$C$320,$A303-WEEKDAY($A303,2)+1)</f>
        <v/>
      </c>
      <c r="J303" s="159">
        <f>SUMIFS('METAS EMPRESAS'!$G$15:$G$320,'METAS EMPRESAS'!$A$15:$A$320,"EJ",'METAS EMPRESAS'!$B$15:$B$320,"VIGAS",'METAS EMPRESAS'!$C$15:$C$320,$A303-WEEKDAY($A303,2)+1)</f>
        <v/>
      </c>
      <c r="K303" s="159">
        <f>SUMIFS('METAS EMPRESAS'!$G$15:$G$320,'METAS EMPRESAS'!$A$15:$A$320,"CMM",'METAS EMPRESAS'!$B$15:$B$320,"PREMONTAGEM",'METAS EMPRESAS'!$C$15:$C$320,$A303-WEEKDAY($A303,2)+1)</f>
        <v/>
      </c>
      <c r="L303" s="159">
        <f>SUMIFS('METAS EMPRESAS'!$G$15:$G$320,'METAS EMPRESAS'!$A$15:$A$320,"CMM",'METAS EMPRESAS'!$B$15:$B$320,"IÇAMENTO JOIST",'METAS EMPRESAS'!$C$15:$C$320,$A303-WEEKDAY($A303,2)+1)</f>
        <v/>
      </c>
      <c r="M303" s="159">
        <f>SUMIFS('METAS EMPRESAS'!$G$15:$G$320,'METAS EMPRESAS'!$A$15:$A$320,"CMM",'METAS EMPRESAS'!$B$15:$B$320,"VIGAS",'METAS EMPRESAS'!$C$15:$C$320,$A303-WEEKDAY($A303,2)+1)</f>
        <v/>
      </c>
      <c r="N303" s="159">
        <f>SUMIFS('METAS EMPRESAS'!$J$15:$J$320,'METAS EMPRESAS'!$A$15:$A$320,"EJ",'METAS EMPRESAS'!$B$15:$B$320,"PREMONTAGEM",'METAS EMPRESAS'!$C$15:$C$320,$A303-WEEKDAY($A303,2)+1)</f>
        <v/>
      </c>
      <c r="O303" s="159">
        <f>SUMIFS('METAS EMPRESAS'!$J$15:$J$320,'METAS EMPRESAS'!$A$15:$A$320,"EJ",'METAS EMPRESAS'!$B$15:$B$320,"IÇAMENTO JOIST",'METAS EMPRESAS'!$C$15:$C$320,$A303-WEEKDAY($A303,2)+1)</f>
        <v/>
      </c>
      <c r="P303" s="159">
        <f>SUMIFS('METAS EMPRESAS'!$J$15:$J$320,'METAS EMPRESAS'!$A$15:$A$320,"EJ",'METAS EMPRESAS'!$B$15:$B$320,"VIGAS",'METAS EMPRESAS'!$C$15:$C$320,$A303-WEEKDAY($A303,2)+1)</f>
        <v/>
      </c>
      <c r="Q303" s="159">
        <f>SUMIFS('METAS EMPRESAS'!$J$15:$J$320,'METAS EMPRESAS'!$A$15:$A$320,"CMM",'METAS EMPRESAS'!$B$15:$B$320,"PREMONTAGEM",'METAS EMPRESAS'!$C$15:$C$320,$A303-WEEKDAY($A303,2)+1)</f>
        <v/>
      </c>
      <c r="R303" s="159">
        <f>SUMIFS('METAS EMPRESAS'!$J$15:$J$320,'METAS EMPRESAS'!$A$15:$A$320,"CMM",'METAS EMPRESAS'!$B$15:$B$320,"IÇAMENTO JOIST",'METAS EMPRESAS'!$C$15:$C$320,$A303-WEEKDAY($A303,2)+1)</f>
        <v/>
      </c>
      <c r="S303" s="159">
        <f>SUMIFS('METAS EMPRESAS'!$J$15:$J$320,'METAS EMPRESAS'!$A$15:$A$320,"CMM",'METAS EMPRESAS'!$B$15:$B$320,"VIGAS",'METAS EMPRESAS'!$C$15:$C$320,$A303-WEEKDAY($A303,2)+1)</f>
        <v/>
      </c>
      <c r="T303">
        <f>--(WEEKDAY(A303,2)&lt;=5)</f>
        <v/>
      </c>
      <c r="U303" t="n">
        <v>19</v>
      </c>
      <c r="V303" t="n">
        <v>7</v>
      </c>
      <c r="W303" t="n">
        <v>0</v>
      </c>
      <c r="X303" t="n">
        <v>5</v>
      </c>
      <c r="Y303" t="n">
        <v>5</v>
      </c>
      <c r="Z303" t="n">
        <v>5</v>
      </c>
      <c r="AA303" t="n">
        <v>95</v>
      </c>
      <c r="AB303" t="n">
        <v>35</v>
      </c>
      <c r="AC303" t="n">
        <v>0</v>
      </c>
    </row>
    <row r="304">
      <c r="A304" s="317" t="n">
        <v>46525</v>
      </c>
      <c r="B304" s="159">
        <f>SUMIFS('METAS EMPRESAS'!$K$15:$K$320,'METAS EMPRESAS'!$A$15:$A$320,"EJ",'METAS EMPRESAS'!$B$15:$B$320,"PREMONTAGEM",'METAS EMPRESAS'!$C$15:$C$320,$A304-WEEKDAY($A304,2)+1)</f>
        <v/>
      </c>
      <c r="C304" s="159">
        <f>SUMIFS('METAS EMPRESAS'!$K$15:$K$320,'METAS EMPRESAS'!$A$15:$A$320,"EJ",'METAS EMPRESAS'!$B$15:$B$320,"IÇAMENTO JOIST",'METAS EMPRESAS'!$C$15:$C$320,$A304-WEEKDAY($A304,2)+1)</f>
        <v/>
      </c>
      <c r="D304" s="159">
        <f>SUMIFS('METAS EMPRESAS'!$K$15:$K$320,'METAS EMPRESAS'!$A$15:$A$320,"EJ",'METAS EMPRESAS'!$B$15:$B$320,"VIGAS",'METAS EMPRESAS'!$C$15:$C$320,$A304-WEEKDAY($A304,2)+1)</f>
        <v/>
      </c>
      <c r="E304" s="159">
        <f>SUMIFS('METAS EMPRESAS'!$K$15:$K$320,'METAS EMPRESAS'!$A$15:$A$320,"CMM",'METAS EMPRESAS'!$B$15:$B$320,"PREMONTAGEM",'METAS EMPRESAS'!$C$15:$C$320,$A304-WEEKDAY($A304,2)+1)</f>
        <v/>
      </c>
      <c r="F304" s="159">
        <f>SUMIFS('METAS EMPRESAS'!$K$15:$K$320,'METAS EMPRESAS'!$A$15:$A$320,"CMM",'METAS EMPRESAS'!$B$15:$B$320,"IÇAMENTO JOIST",'METAS EMPRESAS'!$C$15:$C$320,$A304-WEEKDAY($A304,2)+1)</f>
        <v/>
      </c>
      <c r="G304" s="159">
        <f>SUMIFS('METAS EMPRESAS'!$K$15:$K$320,'METAS EMPRESAS'!$A$15:$A$320,"CMM",'METAS EMPRESAS'!$B$15:$B$320,"VIGAS",'METAS EMPRESAS'!$C$15:$C$320,$A304-WEEKDAY($A304,2)+1)</f>
        <v/>
      </c>
      <c r="H304" s="159">
        <f>SUMIFS('METAS EMPRESAS'!$G$15:$G$320,'METAS EMPRESAS'!$A$15:$A$320,"EJ",'METAS EMPRESAS'!$B$15:$B$320,"PREMONTAGEM",'METAS EMPRESAS'!$C$15:$C$320,$A304-WEEKDAY($A304,2)+1)</f>
        <v/>
      </c>
      <c r="I304" s="159">
        <f>SUMIFS('METAS EMPRESAS'!$G$15:$G$320,'METAS EMPRESAS'!$A$15:$A$320,"EJ",'METAS EMPRESAS'!$B$15:$B$320,"IÇAMENTO JOIST",'METAS EMPRESAS'!$C$15:$C$320,$A304-WEEKDAY($A304,2)+1)</f>
        <v/>
      </c>
      <c r="J304" s="159">
        <f>SUMIFS('METAS EMPRESAS'!$G$15:$G$320,'METAS EMPRESAS'!$A$15:$A$320,"EJ",'METAS EMPRESAS'!$B$15:$B$320,"VIGAS",'METAS EMPRESAS'!$C$15:$C$320,$A304-WEEKDAY($A304,2)+1)</f>
        <v/>
      </c>
      <c r="K304" s="159">
        <f>SUMIFS('METAS EMPRESAS'!$G$15:$G$320,'METAS EMPRESAS'!$A$15:$A$320,"CMM",'METAS EMPRESAS'!$B$15:$B$320,"PREMONTAGEM",'METAS EMPRESAS'!$C$15:$C$320,$A304-WEEKDAY($A304,2)+1)</f>
        <v/>
      </c>
      <c r="L304" s="159">
        <f>SUMIFS('METAS EMPRESAS'!$G$15:$G$320,'METAS EMPRESAS'!$A$15:$A$320,"CMM",'METAS EMPRESAS'!$B$15:$B$320,"IÇAMENTO JOIST",'METAS EMPRESAS'!$C$15:$C$320,$A304-WEEKDAY($A304,2)+1)</f>
        <v/>
      </c>
      <c r="M304" s="159">
        <f>SUMIFS('METAS EMPRESAS'!$G$15:$G$320,'METAS EMPRESAS'!$A$15:$A$320,"CMM",'METAS EMPRESAS'!$B$15:$B$320,"VIGAS",'METAS EMPRESAS'!$C$15:$C$320,$A304-WEEKDAY($A304,2)+1)</f>
        <v/>
      </c>
      <c r="N304" s="159">
        <f>SUMIFS('METAS EMPRESAS'!$J$15:$J$320,'METAS EMPRESAS'!$A$15:$A$320,"EJ",'METAS EMPRESAS'!$B$15:$B$320,"PREMONTAGEM",'METAS EMPRESAS'!$C$15:$C$320,$A304-WEEKDAY($A304,2)+1)</f>
        <v/>
      </c>
      <c r="O304" s="159">
        <f>SUMIFS('METAS EMPRESAS'!$J$15:$J$320,'METAS EMPRESAS'!$A$15:$A$320,"EJ",'METAS EMPRESAS'!$B$15:$B$320,"IÇAMENTO JOIST",'METAS EMPRESAS'!$C$15:$C$320,$A304-WEEKDAY($A304,2)+1)</f>
        <v/>
      </c>
      <c r="P304" s="159">
        <f>SUMIFS('METAS EMPRESAS'!$J$15:$J$320,'METAS EMPRESAS'!$A$15:$A$320,"EJ",'METAS EMPRESAS'!$B$15:$B$320,"VIGAS",'METAS EMPRESAS'!$C$15:$C$320,$A304-WEEKDAY($A304,2)+1)</f>
        <v/>
      </c>
      <c r="Q304" s="159">
        <f>SUMIFS('METAS EMPRESAS'!$J$15:$J$320,'METAS EMPRESAS'!$A$15:$A$320,"CMM",'METAS EMPRESAS'!$B$15:$B$320,"PREMONTAGEM",'METAS EMPRESAS'!$C$15:$C$320,$A304-WEEKDAY($A304,2)+1)</f>
        <v/>
      </c>
      <c r="R304" s="159">
        <f>SUMIFS('METAS EMPRESAS'!$J$15:$J$320,'METAS EMPRESAS'!$A$15:$A$320,"CMM",'METAS EMPRESAS'!$B$15:$B$320,"IÇAMENTO JOIST",'METAS EMPRESAS'!$C$15:$C$320,$A304-WEEKDAY($A304,2)+1)</f>
        <v/>
      </c>
      <c r="S304" s="159">
        <f>SUMIFS('METAS EMPRESAS'!$J$15:$J$320,'METAS EMPRESAS'!$A$15:$A$320,"CMM",'METAS EMPRESAS'!$B$15:$B$320,"VIGAS",'METAS EMPRESAS'!$C$15:$C$320,$A304-WEEKDAY($A304,2)+1)</f>
        <v/>
      </c>
      <c r="T304">
        <f>--(WEEKDAY(A304,2)&lt;=5)</f>
        <v/>
      </c>
      <c r="U304" t="n">
        <v>19</v>
      </c>
      <c r="V304" t="n">
        <v>7</v>
      </c>
      <c r="W304" t="n">
        <v>0</v>
      </c>
      <c r="X304" t="n">
        <v>5</v>
      </c>
      <c r="Y304" t="n">
        <v>5</v>
      </c>
      <c r="Z304" t="n">
        <v>5</v>
      </c>
      <c r="AA304" t="n">
        <v>95</v>
      </c>
      <c r="AB304" t="n">
        <v>35</v>
      </c>
      <c r="AC304" t="n">
        <v>0</v>
      </c>
    </row>
    <row r="305">
      <c r="A305" s="317" t="n">
        <v>46526</v>
      </c>
      <c r="B305" s="159">
        <f>SUMIFS('METAS EMPRESAS'!$K$15:$K$320,'METAS EMPRESAS'!$A$15:$A$320,"EJ",'METAS EMPRESAS'!$B$15:$B$320,"PREMONTAGEM",'METAS EMPRESAS'!$C$15:$C$320,$A305-WEEKDAY($A305,2)+1)</f>
        <v/>
      </c>
      <c r="C305" s="159">
        <f>SUMIFS('METAS EMPRESAS'!$K$15:$K$320,'METAS EMPRESAS'!$A$15:$A$320,"EJ",'METAS EMPRESAS'!$B$15:$B$320,"IÇAMENTO JOIST",'METAS EMPRESAS'!$C$15:$C$320,$A305-WEEKDAY($A305,2)+1)</f>
        <v/>
      </c>
      <c r="D305" s="159">
        <f>SUMIFS('METAS EMPRESAS'!$K$15:$K$320,'METAS EMPRESAS'!$A$15:$A$320,"EJ",'METAS EMPRESAS'!$B$15:$B$320,"VIGAS",'METAS EMPRESAS'!$C$15:$C$320,$A305-WEEKDAY($A305,2)+1)</f>
        <v/>
      </c>
      <c r="E305" s="159">
        <f>SUMIFS('METAS EMPRESAS'!$K$15:$K$320,'METAS EMPRESAS'!$A$15:$A$320,"CMM",'METAS EMPRESAS'!$B$15:$B$320,"PREMONTAGEM",'METAS EMPRESAS'!$C$15:$C$320,$A305-WEEKDAY($A305,2)+1)</f>
        <v/>
      </c>
      <c r="F305" s="159">
        <f>SUMIFS('METAS EMPRESAS'!$K$15:$K$320,'METAS EMPRESAS'!$A$15:$A$320,"CMM",'METAS EMPRESAS'!$B$15:$B$320,"IÇAMENTO JOIST",'METAS EMPRESAS'!$C$15:$C$320,$A305-WEEKDAY($A305,2)+1)</f>
        <v/>
      </c>
      <c r="G305" s="159">
        <f>SUMIFS('METAS EMPRESAS'!$K$15:$K$320,'METAS EMPRESAS'!$A$15:$A$320,"CMM",'METAS EMPRESAS'!$B$15:$B$320,"VIGAS",'METAS EMPRESAS'!$C$15:$C$320,$A305-WEEKDAY($A305,2)+1)</f>
        <v/>
      </c>
      <c r="H305" s="159">
        <f>SUMIFS('METAS EMPRESAS'!$G$15:$G$320,'METAS EMPRESAS'!$A$15:$A$320,"EJ",'METAS EMPRESAS'!$B$15:$B$320,"PREMONTAGEM",'METAS EMPRESAS'!$C$15:$C$320,$A305-WEEKDAY($A305,2)+1)</f>
        <v/>
      </c>
      <c r="I305" s="159">
        <f>SUMIFS('METAS EMPRESAS'!$G$15:$G$320,'METAS EMPRESAS'!$A$15:$A$320,"EJ",'METAS EMPRESAS'!$B$15:$B$320,"IÇAMENTO JOIST",'METAS EMPRESAS'!$C$15:$C$320,$A305-WEEKDAY($A305,2)+1)</f>
        <v/>
      </c>
      <c r="J305" s="159">
        <f>SUMIFS('METAS EMPRESAS'!$G$15:$G$320,'METAS EMPRESAS'!$A$15:$A$320,"EJ",'METAS EMPRESAS'!$B$15:$B$320,"VIGAS",'METAS EMPRESAS'!$C$15:$C$320,$A305-WEEKDAY($A305,2)+1)</f>
        <v/>
      </c>
      <c r="K305" s="159">
        <f>SUMIFS('METAS EMPRESAS'!$G$15:$G$320,'METAS EMPRESAS'!$A$15:$A$320,"CMM",'METAS EMPRESAS'!$B$15:$B$320,"PREMONTAGEM",'METAS EMPRESAS'!$C$15:$C$320,$A305-WEEKDAY($A305,2)+1)</f>
        <v/>
      </c>
      <c r="L305" s="159">
        <f>SUMIFS('METAS EMPRESAS'!$G$15:$G$320,'METAS EMPRESAS'!$A$15:$A$320,"CMM",'METAS EMPRESAS'!$B$15:$B$320,"IÇAMENTO JOIST",'METAS EMPRESAS'!$C$15:$C$320,$A305-WEEKDAY($A305,2)+1)</f>
        <v/>
      </c>
      <c r="M305" s="159">
        <f>SUMIFS('METAS EMPRESAS'!$G$15:$G$320,'METAS EMPRESAS'!$A$15:$A$320,"CMM",'METAS EMPRESAS'!$B$15:$B$320,"VIGAS",'METAS EMPRESAS'!$C$15:$C$320,$A305-WEEKDAY($A305,2)+1)</f>
        <v/>
      </c>
      <c r="N305" s="159">
        <f>SUMIFS('METAS EMPRESAS'!$J$15:$J$320,'METAS EMPRESAS'!$A$15:$A$320,"EJ",'METAS EMPRESAS'!$B$15:$B$320,"PREMONTAGEM",'METAS EMPRESAS'!$C$15:$C$320,$A305-WEEKDAY($A305,2)+1)</f>
        <v/>
      </c>
      <c r="O305" s="159">
        <f>SUMIFS('METAS EMPRESAS'!$J$15:$J$320,'METAS EMPRESAS'!$A$15:$A$320,"EJ",'METAS EMPRESAS'!$B$15:$B$320,"IÇAMENTO JOIST",'METAS EMPRESAS'!$C$15:$C$320,$A305-WEEKDAY($A305,2)+1)</f>
        <v/>
      </c>
      <c r="P305" s="159">
        <f>SUMIFS('METAS EMPRESAS'!$J$15:$J$320,'METAS EMPRESAS'!$A$15:$A$320,"EJ",'METAS EMPRESAS'!$B$15:$B$320,"VIGAS",'METAS EMPRESAS'!$C$15:$C$320,$A305-WEEKDAY($A305,2)+1)</f>
        <v/>
      </c>
      <c r="Q305" s="159">
        <f>SUMIFS('METAS EMPRESAS'!$J$15:$J$320,'METAS EMPRESAS'!$A$15:$A$320,"CMM",'METAS EMPRESAS'!$B$15:$B$320,"PREMONTAGEM",'METAS EMPRESAS'!$C$15:$C$320,$A305-WEEKDAY($A305,2)+1)</f>
        <v/>
      </c>
      <c r="R305" s="159">
        <f>SUMIFS('METAS EMPRESAS'!$J$15:$J$320,'METAS EMPRESAS'!$A$15:$A$320,"CMM",'METAS EMPRESAS'!$B$15:$B$320,"IÇAMENTO JOIST",'METAS EMPRESAS'!$C$15:$C$320,$A305-WEEKDAY($A305,2)+1)</f>
        <v/>
      </c>
      <c r="S305" s="159">
        <f>SUMIFS('METAS EMPRESAS'!$J$15:$J$320,'METAS EMPRESAS'!$A$15:$A$320,"CMM",'METAS EMPRESAS'!$B$15:$B$320,"VIGAS",'METAS EMPRESAS'!$C$15:$C$320,$A305-WEEKDAY($A305,2)+1)</f>
        <v/>
      </c>
      <c r="T305">
        <f>--(WEEKDAY(A305,2)&lt;=5)</f>
        <v/>
      </c>
      <c r="U305" t="n">
        <v>19</v>
      </c>
      <c r="V305" t="n">
        <v>7</v>
      </c>
      <c r="W305" t="n">
        <v>0</v>
      </c>
      <c r="X305" t="n">
        <v>5</v>
      </c>
      <c r="Y305" t="n">
        <v>5</v>
      </c>
      <c r="Z305" t="n">
        <v>5</v>
      </c>
      <c r="AA305" t="n">
        <v>95</v>
      </c>
      <c r="AB305" t="n">
        <v>35</v>
      </c>
      <c r="AC305" t="n">
        <v>0</v>
      </c>
    </row>
    <row r="306">
      <c r="A306" s="317" t="n">
        <v>46527</v>
      </c>
      <c r="B306" s="159">
        <f>SUMIFS('METAS EMPRESAS'!$K$15:$K$320,'METAS EMPRESAS'!$A$15:$A$320,"EJ",'METAS EMPRESAS'!$B$15:$B$320,"PREMONTAGEM",'METAS EMPRESAS'!$C$15:$C$320,$A306-WEEKDAY($A306,2)+1)</f>
        <v/>
      </c>
      <c r="C306" s="159">
        <f>SUMIFS('METAS EMPRESAS'!$K$15:$K$320,'METAS EMPRESAS'!$A$15:$A$320,"EJ",'METAS EMPRESAS'!$B$15:$B$320,"IÇAMENTO JOIST",'METAS EMPRESAS'!$C$15:$C$320,$A306-WEEKDAY($A306,2)+1)</f>
        <v/>
      </c>
      <c r="D306" s="159">
        <f>SUMIFS('METAS EMPRESAS'!$K$15:$K$320,'METAS EMPRESAS'!$A$15:$A$320,"EJ",'METAS EMPRESAS'!$B$15:$B$320,"VIGAS",'METAS EMPRESAS'!$C$15:$C$320,$A306-WEEKDAY($A306,2)+1)</f>
        <v/>
      </c>
      <c r="E306" s="159">
        <f>SUMIFS('METAS EMPRESAS'!$K$15:$K$320,'METAS EMPRESAS'!$A$15:$A$320,"CMM",'METAS EMPRESAS'!$B$15:$B$320,"PREMONTAGEM",'METAS EMPRESAS'!$C$15:$C$320,$A306-WEEKDAY($A306,2)+1)</f>
        <v/>
      </c>
      <c r="F306" s="159">
        <f>SUMIFS('METAS EMPRESAS'!$K$15:$K$320,'METAS EMPRESAS'!$A$15:$A$320,"CMM",'METAS EMPRESAS'!$B$15:$B$320,"IÇAMENTO JOIST",'METAS EMPRESAS'!$C$15:$C$320,$A306-WEEKDAY($A306,2)+1)</f>
        <v/>
      </c>
      <c r="G306" s="159">
        <f>SUMIFS('METAS EMPRESAS'!$K$15:$K$320,'METAS EMPRESAS'!$A$15:$A$320,"CMM",'METAS EMPRESAS'!$B$15:$B$320,"VIGAS",'METAS EMPRESAS'!$C$15:$C$320,$A306-WEEKDAY($A306,2)+1)</f>
        <v/>
      </c>
      <c r="H306" s="159">
        <f>SUMIFS('METAS EMPRESAS'!$G$15:$G$320,'METAS EMPRESAS'!$A$15:$A$320,"EJ",'METAS EMPRESAS'!$B$15:$B$320,"PREMONTAGEM",'METAS EMPRESAS'!$C$15:$C$320,$A306-WEEKDAY($A306,2)+1)</f>
        <v/>
      </c>
      <c r="I306" s="159">
        <f>SUMIFS('METAS EMPRESAS'!$G$15:$G$320,'METAS EMPRESAS'!$A$15:$A$320,"EJ",'METAS EMPRESAS'!$B$15:$B$320,"IÇAMENTO JOIST",'METAS EMPRESAS'!$C$15:$C$320,$A306-WEEKDAY($A306,2)+1)</f>
        <v/>
      </c>
      <c r="J306" s="159">
        <f>SUMIFS('METAS EMPRESAS'!$G$15:$G$320,'METAS EMPRESAS'!$A$15:$A$320,"EJ",'METAS EMPRESAS'!$B$15:$B$320,"VIGAS",'METAS EMPRESAS'!$C$15:$C$320,$A306-WEEKDAY($A306,2)+1)</f>
        <v/>
      </c>
      <c r="K306" s="159">
        <f>SUMIFS('METAS EMPRESAS'!$G$15:$G$320,'METAS EMPRESAS'!$A$15:$A$320,"CMM",'METAS EMPRESAS'!$B$15:$B$320,"PREMONTAGEM",'METAS EMPRESAS'!$C$15:$C$320,$A306-WEEKDAY($A306,2)+1)</f>
        <v/>
      </c>
      <c r="L306" s="159">
        <f>SUMIFS('METAS EMPRESAS'!$G$15:$G$320,'METAS EMPRESAS'!$A$15:$A$320,"CMM",'METAS EMPRESAS'!$B$15:$B$320,"IÇAMENTO JOIST",'METAS EMPRESAS'!$C$15:$C$320,$A306-WEEKDAY($A306,2)+1)</f>
        <v/>
      </c>
      <c r="M306" s="159">
        <f>SUMIFS('METAS EMPRESAS'!$G$15:$G$320,'METAS EMPRESAS'!$A$15:$A$320,"CMM",'METAS EMPRESAS'!$B$15:$B$320,"VIGAS",'METAS EMPRESAS'!$C$15:$C$320,$A306-WEEKDAY($A306,2)+1)</f>
        <v/>
      </c>
      <c r="N306" s="159">
        <f>SUMIFS('METAS EMPRESAS'!$J$15:$J$320,'METAS EMPRESAS'!$A$15:$A$320,"EJ",'METAS EMPRESAS'!$B$15:$B$320,"PREMONTAGEM",'METAS EMPRESAS'!$C$15:$C$320,$A306-WEEKDAY($A306,2)+1)</f>
        <v/>
      </c>
      <c r="O306" s="159">
        <f>SUMIFS('METAS EMPRESAS'!$J$15:$J$320,'METAS EMPRESAS'!$A$15:$A$320,"EJ",'METAS EMPRESAS'!$B$15:$B$320,"IÇAMENTO JOIST",'METAS EMPRESAS'!$C$15:$C$320,$A306-WEEKDAY($A306,2)+1)</f>
        <v/>
      </c>
      <c r="P306" s="159">
        <f>SUMIFS('METAS EMPRESAS'!$J$15:$J$320,'METAS EMPRESAS'!$A$15:$A$320,"EJ",'METAS EMPRESAS'!$B$15:$B$320,"VIGAS",'METAS EMPRESAS'!$C$15:$C$320,$A306-WEEKDAY($A306,2)+1)</f>
        <v/>
      </c>
      <c r="Q306" s="159">
        <f>SUMIFS('METAS EMPRESAS'!$J$15:$J$320,'METAS EMPRESAS'!$A$15:$A$320,"CMM",'METAS EMPRESAS'!$B$15:$B$320,"PREMONTAGEM",'METAS EMPRESAS'!$C$15:$C$320,$A306-WEEKDAY($A306,2)+1)</f>
        <v/>
      </c>
      <c r="R306" s="159">
        <f>SUMIFS('METAS EMPRESAS'!$J$15:$J$320,'METAS EMPRESAS'!$A$15:$A$320,"CMM",'METAS EMPRESAS'!$B$15:$B$320,"IÇAMENTO JOIST",'METAS EMPRESAS'!$C$15:$C$320,$A306-WEEKDAY($A306,2)+1)</f>
        <v/>
      </c>
      <c r="S306" s="159">
        <f>SUMIFS('METAS EMPRESAS'!$J$15:$J$320,'METAS EMPRESAS'!$A$15:$A$320,"CMM",'METAS EMPRESAS'!$B$15:$B$320,"VIGAS",'METAS EMPRESAS'!$C$15:$C$320,$A306-WEEKDAY($A306,2)+1)</f>
        <v/>
      </c>
      <c r="T306">
        <f>--(WEEKDAY(A306,2)&lt;=5)</f>
        <v/>
      </c>
      <c r="U306" t="n">
        <v>19</v>
      </c>
      <c r="V306" t="n">
        <v>7</v>
      </c>
      <c r="W306" t="n">
        <v>0</v>
      </c>
      <c r="X306" t="n">
        <v>5</v>
      </c>
      <c r="Y306" t="n">
        <v>5</v>
      </c>
      <c r="Z306" t="n">
        <v>5</v>
      </c>
      <c r="AA306" t="n">
        <v>95</v>
      </c>
      <c r="AB306" t="n">
        <v>35</v>
      </c>
      <c r="AC306" t="n">
        <v>0</v>
      </c>
    </row>
    <row r="307">
      <c r="A307" s="317" t="n">
        <v>46528</v>
      </c>
      <c r="B307" s="159">
        <f>SUMIFS('METAS EMPRESAS'!$K$15:$K$320,'METAS EMPRESAS'!$A$15:$A$320,"EJ",'METAS EMPRESAS'!$B$15:$B$320,"PREMONTAGEM",'METAS EMPRESAS'!$C$15:$C$320,$A307-WEEKDAY($A307,2)+1)</f>
        <v/>
      </c>
      <c r="C307" s="159">
        <f>SUMIFS('METAS EMPRESAS'!$K$15:$K$320,'METAS EMPRESAS'!$A$15:$A$320,"EJ",'METAS EMPRESAS'!$B$15:$B$320,"IÇAMENTO JOIST",'METAS EMPRESAS'!$C$15:$C$320,$A307-WEEKDAY($A307,2)+1)</f>
        <v/>
      </c>
      <c r="D307" s="159">
        <f>SUMIFS('METAS EMPRESAS'!$K$15:$K$320,'METAS EMPRESAS'!$A$15:$A$320,"EJ",'METAS EMPRESAS'!$B$15:$B$320,"VIGAS",'METAS EMPRESAS'!$C$15:$C$320,$A307-WEEKDAY($A307,2)+1)</f>
        <v/>
      </c>
      <c r="E307" s="159">
        <f>SUMIFS('METAS EMPRESAS'!$K$15:$K$320,'METAS EMPRESAS'!$A$15:$A$320,"CMM",'METAS EMPRESAS'!$B$15:$B$320,"PREMONTAGEM",'METAS EMPRESAS'!$C$15:$C$320,$A307-WEEKDAY($A307,2)+1)</f>
        <v/>
      </c>
      <c r="F307" s="159">
        <f>SUMIFS('METAS EMPRESAS'!$K$15:$K$320,'METAS EMPRESAS'!$A$15:$A$320,"CMM",'METAS EMPRESAS'!$B$15:$B$320,"IÇAMENTO JOIST",'METAS EMPRESAS'!$C$15:$C$320,$A307-WEEKDAY($A307,2)+1)</f>
        <v/>
      </c>
      <c r="G307" s="159">
        <f>SUMIFS('METAS EMPRESAS'!$K$15:$K$320,'METAS EMPRESAS'!$A$15:$A$320,"CMM",'METAS EMPRESAS'!$B$15:$B$320,"VIGAS",'METAS EMPRESAS'!$C$15:$C$320,$A307-WEEKDAY($A307,2)+1)</f>
        <v/>
      </c>
      <c r="H307" s="159">
        <f>SUMIFS('METAS EMPRESAS'!$G$15:$G$320,'METAS EMPRESAS'!$A$15:$A$320,"EJ",'METAS EMPRESAS'!$B$15:$B$320,"PREMONTAGEM",'METAS EMPRESAS'!$C$15:$C$320,$A307-WEEKDAY($A307,2)+1)</f>
        <v/>
      </c>
      <c r="I307" s="159">
        <f>SUMIFS('METAS EMPRESAS'!$G$15:$G$320,'METAS EMPRESAS'!$A$15:$A$320,"EJ",'METAS EMPRESAS'!$B$15:$B$320,"IÇAMENTO JOIST",'METAS EMPRESAS'!$C$15:$C$320,$A307-WEEKDAY($A307,2)+1)</f>
        <v/>
      </c>
      <c r="J307" s="159">
        <f>SUMIFS('METAS EMPRESAS'!$G$15:$G$320,'METAS EMPRESAS'!$A$15:$A$320,"EJ",'METAS EMPRESAS'!$B$15:$B$320,"VIGAS",'METAS EMPRESAS'!$C$15:$C$320,$A307-WEEKDAY($A307,2)+1)</f>
        <v/>
      </c>
      <c r="K307" s="159">
        <f>SUMIFS('METAS EMPRESAS'!$G$15:$G$320,'METAS EMPRESAS'!$A$15:$A$320,"CMM",'METAS EMPRESAS'!$B$15:$B$320,"PREMONTAGEM",'METAS EMPRESAS'!$C$15:$C$320,$A307-WEEKDAY($A307,2)+1)</f>
        <v/>
      </c>
      <c r="L307" s="159">
        <f>SUMIFS('METAS EMPRESAS'!$G$15:$G$320,'METAS EMPRESAS'!$A$15:$A$320,"CMM",'METAS EMPRESAS'!$B$15:$B$320,"IÇAMENTO JOIST",'METAS EMPRESAS'!$C$15:$C$320,$A307-WEEKDAY($A307,2)+1)</f>
        <v/>
      </c>
      <c r="M307" s="159">
        <f>SUMIFS('METAS EMPRESAS'!$G$15:$G$320,'METAS EMPRESAS'!$A$15:$A$320,"CMM",'METAS EMPRESAS'!$B$15:$B$320,"VIGAS",'METAS EMPRESAS'!$C$15:$C$320,$A307-WEEKDAY($A307,2)+1)</f>
        <v/>
      </c>
      <c r="N307" s="159">
        <f>SUMIFS('METAS EMPRESAS'!$J$15:$J$320,'METAS EMPRESAS'!$A$15:$A$320,"EJ",'METAS EMPRESAS'!$B$15:$B$320,"PREMONTAGEM",'METAS EMPRESAS'!$C$15:$C$320,$A307-WEEKDAY($A307,2)+1)</f>
        <v/>
      </c>
      <c r="O307" s="159">
        <f>SUMIFS('METAS EMPRESAS'!$J$15:$J$320,'METAS EMPRESAS'!$A$15:$A$320,"EJ",'METAS EMPRESAS'!$B$15:$B$320,"IÇAMENTO JOIST",'METAS EMPRESAS'!$C$15:$C$320,$A307-WEEKDAY($A307,2)+1)</f>
        <v/>
      </c>
      <c r="P307" s="159">
        <f>SUMIFS('METAS EMPRESAS'!$J$15:$J$320,'METAS EMPRESAS'!$A$15:$A$320,"EJ",'METAS EMPRESAS'!$B$15:$B$320,"VIGAS",'METAS EMPRESAS'!$C$15:$C$320,$A307-WEEKDAY($A307,2)+1)</f>
        <v/>
      </c>
      <c r="Q307" s="159">
        <f>SUMIFS('METAS EMPRESAS'!$J$15:$J$320,'METAS EMPRESAS'!$A$15:$A$320,"CMM",'METAS EMPRESAS'!$B$15:$B$320,"PREMONTAGEM",'METAS EMPRESAS'!$C$15:$C$320,$A307-WEEKDAY($A307,2)+1)</f>
        <v/>
      </c>
      <c r="R307" s="159">
        <f>SUMIFS('METAS EMPRESAS'!$J$15:$J$320,'METAS EMPRESAS'!$A$15:$A$320,"CMM",'METAS EMPRESAS'!$B$15:$B$320,"IÇAMENTO JOIST",'METAS EMPRESAS'!$C$15:$C$320,$A307-WEEKDAY($A307,2)+1)</f>
        <v/>
      </c>
      <c r="S307" s="159">
        <f>SUMIFS('METAS EMPRESAS'!$J$15:$J$320,'METAS EMPRESAS'!$A$15:$A$320,"CMM",'METAS EMPRESAS'!$B$15:$B$320,"VIGAS",'METAS EMPRESAS'!$C$15:$C$320,$A307-WEEKDAY($A307,2)+1)</f>
        <v/>
      </c>
      <c r="T307">
        <f>--(WEEKDAY(A307,2)&lt;=5)</f>
        <v/>
      </c>
      <c r="U307" t="n">
        <v>19</v>
      </c>
      <c r="V307" t="n">
        <v>7</v>
      </c>
      <c r="W307" t="n">
        <v>0</v>
      </c>
      <c r="X307" t="n">
        <v>5</v>
      </c>
      <c r="Y307" t="n">
        <v>5</v>
      </c>
      <c r="Z307" t="n">
        <v>5</v>
      </c>
      <c r="AA307" t="n">
        <v>95</v>
      </c>
      <c r="AB307" t="n">
        <v>35</v>
      </c>
      <c r="AC307" t="n">
        <v>0</v>
      </c>
    </row>
    <row r="308">
      <c r="A308" s="317" t="n">
        <v>46529</v>
      </c>
      <c r="B308" s="159">
        <f>SUMIFS('METAS EMPRESAS'!$K$15:$K$320,'METAS EMPRESAS'!$A$15:$A$320,"EJ",'METAS EMPRESAS'!$B$15:$B$320,"PREMONTAGEM",'METAS EMPRESAS'!$C$15:$C$320,$A308-WEEKDAY($A308,2)+1)</f>
        <v/>
      </c>
      <c r="C308" s="159">
        <f>SUMIFS('METAS EMPRESAS'!$K$15:$K$320,'METAS EMPRESAS'!$A$15:$A$320,"EJ",'METAS EMPRESAS'!$B$15:$B$320,"IÇAMENTO JOIST",'METAS EMPRESAS'!$C$15:$C$320,$A308-WEEKDAY($A308,2)+1)</f>
        <v/>
      </c>
      <c r="D308" s="159">
        <f>SUMIFS('METAS EMPRESAS'!$K$15:$K$320,'METAS EMPRESAS'!$A$15:$A$320,"EJ",'METAS EMPRESAS'!$B$15:$B$320,"VIGAS",'METAS EMPRESAS'!$C$15:$C$320,$A308-WEEKDAY($A308,2)+1)</f>
        <v/>
      </c>
      <c r="E308" s="159">
        <f>SUMIFS('METAS EMPRESAS'!$K$15:$K$320,'METAS EMPRESAS'!$A$15:$A$320,"CMM",'METAS EMPRESAS'!$B$15:$B$320,"PREMONTAGEM",'METAS EMPRESAS'!$C$15:$C$320,$A308-WEEKDAY($A308,2)+1)</f>
        <v/>
      </c>
      <c r="F308" s="159">
        <f>SUMIFS('METAS EMPRESAS'!$K$15:$K$320,'METAS EMPRESAS'!$A$15:$A$320,"CMM",'METAS EMPRESAS'!$B$15:$B$320,"IÇAMENTO JOIST",'METAS EMPRESAS'!$C$15:$C$320,$A308-WEEKDAY($A308,2)+1)</f>
        <v/>
      </c>
      <c r="G308" s="159">
        <f>SUMIFS('METAS EMPRESAS'!$K$15:$K$320,'METAS EMPRESAS'!$A$15:$A$320,"CMM",'METAS EMPRESAS'!$B$15:$B$320,"VIGAS",'METAS EMPRESAS'!$C$15:$C$320,$A308-WEEKDAY($A308,2)+1)</f>
        <v/>
      </c>
      <c r="H308" s="159">
        <f>SUMIFS('METAS EMPRESAS'!$G$15:$G$320,'METAS EMPRESAS'!$A$15:$A$320,"EJ",'METAS EMPRESAS'!$B$15:$B$320,"PREMONTAGEM",'METAS EMPRESAS'!$C$15:$C$320,$A308-WEEKDAY($A308,2)+1)</f>
        <v/>
      </c>
      <c r="I308" s="159">
        <f>SUMIFS('METAS EMPRESAS'!$G$15:$G$320,'METAS EMPRESAS'!$A$15:$A$320,"EJ",'METAS EMPRESAS'!$B$15:$B$320,"IÇAMENTO JOIST",'METAS EMPRESAS'!$C$15:$C$320,$A308-WEEKDAY($A308,2)+1)</f>
        <v/>
      </c>
      <c r="J308" s="159">
        <f>SUMIFS('METAS EMPRESAS'!$G$15:$G$320,'METAS EMPRESAS'!$A$15:$A$320,"EJ",'METAS EMPRESAS'!$B$15:$B$320,"VIGAS",'METAS EMPRESAS'!$C$15:$C$320,$A308-WEEKDAY($A308,2)+1)</f>
        <v/>
      </c>
      <c r="K308" s="159">
        <f>SUMIFS('METAS EMPRESAS'!$G$15:$G$320,'METAS EMPRESAS'!$A$15:$A$320,"CMM",'METAS EMPRESAS'!$B$15:$B$320,"PREMONTAGEM",'METAS EMPRESAS'!$C$15:$C$320,$A308-WEEKDAY($A308,2)+1)</f>
        <v/>
      </c>
      <c r="L308" s="159">
        <f>SUMIFS('METAS EMPRESAS'!$G$15:$G$320,'METAS EMPRESAS'!$A$15:$A$320,"CMM",'METAS EMPRESAS'!$B$15:$B$320,"IÇAMENTO JOIST",'METAS EMPRESAS'!$C$15:$C$320,$A308-WEEKDAY($A308,2)+1)</f>
        <v/>
      </c>
      <c r="M308" s="159">
        <f>SUMIFS('METAS EMPRESAS'!$G$15:$G$320,'METAS EMPRESAS'!$A$15:$A$320,"CMM",'METAS EMPRESAS'!$B$15:$B$320,"VIGAS",'METAS EMPRESAS'!$C$15:$C$320,$A308-WEEKDAY($A308,2)+1)</f>
        <v/>
      </c>
      <c r="N308" s="159">
        <f>SUMIFS('METAS EMPRESAS'!$J$15:$J$320,'METAS EMPRESAS'!$A$15:$A$320,"EJ",'METAS EMPRESAS'!$B$15:$B$320,"PREMONTAGEM",'METAS EMPRESAS'!$C$15:$C$320,$A308-WEEKDAY($A308,2)+1)</f>
        <v/>
      </c>
      <c r="O308" s="159">
        <f>SUMIFS('METAS EMPRESAS'!$J$15:$J$320,'METAS EMPRESAS'!$A$15:$A$320,"EJ",'METAS EMPRESAS'!$B$15:$B$320,"IÇAMENTO JOIST",'METAS EMPRESAS'!$C$15:$C$320,$A308-WEEKDAY($A308,2)+1)</f>
        <v/>
      </c>
      <c r="P308" s="159">
        <f>SUMIFS('METAS EMPRESAS'!$J$15:$J$320,'METAS EMPRESAS'!$A$15:$A$320,"EJ",'METAS EMPRESAS'!$B$15:$B$320,"VIGAS",'METAS EMPRESAS'!$C$15:$C$320,$A308-WEEKDAY($A308,2)+1)</f>
        <v/>
      </c>
      <c r="Q308" s="159">
        <f>SUMIFS('METAS EMPRESAS'!$J$15:$J$320,'METAS EMPRESAS'!$A$15:$A$320,"CMM",'METAS EMPRESAS'!$B$15:$B$320,"PREMONTAGEM",'METAS EMPRESAS'!$C$15:$C$320,$A308-WEEKDAY($A308,2)+1)</f>
        <v/>
      </c>
      <c r="R308" s="159">
        <f>SUMIFS('METAS EMPRESAS'!$J$15:$J$320,'METAS EMPRESAS'!$A$15:$A$320,"CMM",'METAS EMPRESAS'!$B$15:$B$320,"IÇAMENTO JOIST",'METAS EMPRESAS'!$C$15:$C$320,$A308-WEEKDAY($A308,2)+1)</f>
        <v/>
      </c>
      <c r="S308" s="159">
        <f>SUMIFS('METAS EMPRESAS'!$J$15:$J$320,'METAS EMPRESAS'!$A$15:$A$320,"CMM",'METAS EMPRESAS'!$B$15:$B$320,"VIGAS",'METAS EMPRESAS'!$C$15:$C$320,$A308-WEEKDAY($A308,2)+1)</f>
        <v/>
      </c>
      <c r="T308">
        <f>--(WEEKDAY(A308,2)&lt;=5)</f>
        <v/>
      </c>
      <c r="U308" t="n">
        <v>19</v>
      </c>
      <c r="V308" t="n">
        <v>7</v>
      </c>
      <c r="W308" t="n">
        <v>0</v>
      </c>
      <c r="X308" t="n">
        <v>5</v>
      </c>
      <c r="Y308" t="n">
        <v>5</v>
      </c>
      <c r="Z308" t="n">
        <v>5</v>
      </c>
      <c r="AA308" t="n">
        <v>95</v>
      </c>
      <c r="AB308" t="n">
        <v>35</v>
      </c>
      <c r="AC308" t="n">
        <v>0</v>
      </c>
    </row>
    <row r="309">
      <c r="A309" s="317" t="n">
        <v>46530</v>
      </c>
      <c r="B309" s="159">
        <f>SUMIFS('METAS EMPRESAS'!$K$15:$K$320,'METAS EMPRESAS'!$A$15:$A$320,"EJ",'METAS EMPRESAS'!$B$15:$B$320,"PREMONTAGEM",'METAS EMPRESAS'!$C$15:$C$320,$A309-WEEKDAY($A309,2)+1)</f>
        <v/>
      </c>
      <c r="C309" s="159">
        <f>SUMIFS('METAS EMPRESAS'!$K$15:$K$320,'METAS EMPRESAS'!$A$15:$A$320,"EJ",'METAS EMPRESAS'!$B$15:$B$320,"IÇAMENTO JOIST",'METAS EMPRESAS'!$C$15:$C$320,$A309-WEEKDAY($A309,2)+1)</f>
        <v/>
      </c>
      <c r="D309" s="159">
        <f>SUMIFS('METAS EMPRESAS'!$K$15:$K$320,'METAS EMPRESAS'!$A$15:$A$320,"EJ",'METAS EMPRESAS'!$B$15:$B$320,"VIGAS",'METAS EMPRESAS'!$C$15:$C$320,$A309-WEEKDAY($A309,2)+1)</f>
        <v/>
      </c>
      <c r="E309" s="159">
        <f>SUMIFS('METAS EMPRESAS'!$K$15:$K$320,'METAS EMPRESAS'!$A$15:$A$320,"CMM",'METAS EMPRESAS'!$B$15:$B$320,"PREMONTAGEM",'METAS EMPRESAS'!$C$15:$C$320,$A309-WEEKDAY($A309,2)+1)</f>
        <v/>
      </c>
      <c r="F309" s="159">
        <f>SUMIFS('METAS EMPRESAS'!$K$15:$K$320,'METAS EMPRESAS'!$A$15:$A$320,"CMM",'METAS EMPRESAS'!$B$15:$B$320,"IÇAMENTO JOIST",'METAS EMPRESAS'!$C$15:$C$320,$A309-WEEKDAY($A309,2)+1)</f>
        <v/>
      </c>
      <c r="G309" s="159">
        <f>SUMIFS('METAS EMPRESAS'!$K$15:$K$320,'METAS EMPRESAS'!$A$15:$A$320,"CMM",'METAS EMPRESAS'!$B$15:$B$320,"VIGAS",'METAS EMPRESAS'!$C$15:$C$320,$A309-WEEKDAY($A309,2)+1)</f>
        <v/>
      </c>
      <c r="H309" s="159">
        <f>SUMIFS('METAS EMPRESAS'!$G$15:$G$320,'METAS EMPRESAS'!$A$15:$A$320,"EJ",'METAS EMPRESAS'!$B$15:$B$320,"PREMONTAGEM",'METAS EMPRESAS'!$C$15:$C$320,$A309-WEEKDAY($A309,2)+1)</f>
        <v/>
      </c>
      <c r="I309" s="159">
        <f>SUMIFS('METAS EMPRESAS'!$G$15:$G$320,'METAS EMPRESAS'!$A$15:$A$320,"EJ",'METAS EMPRESAS'!$B$15:$B$320,"IÇAMENTO JOIST",'METAS EMPRESAS'!$C$15:$C$320,$A309-WEEKDAY($A309,2)+1)</f>
        <v/>
      </c>
      <c r="J309" s="159">
        <f>SUMIFS('METAS EMPRESAS'!$G$15:$G$320,'METAS EMPRESAS'!$A$15:$A$320,"EJ",'METAS EMPRESAS'!$B$15:$B$320,"VIGAS",'METAS EMPRESAS'!$C$15:$C$320,$A309-WEEKDAY($A309,2)+1)</f>
        <v/>
      </c>
      <c r="K309" s="159">
        <f>SUMIFS('METAS EMPRESAS'!$G$15:$G$320,'METAS EMPRESAS'!$A$15:$A$320,"CMM",'METAS EMPRESAS'!$B$15:$B$320,"PREMONTAGEM",'METAS EMPRESAS'!$C$15:$C$320,$A309-WEEKDAY($A309,2)+1)</f>
        <v/>
      </c>
      <c r="L309" s="159">
        <f>SUMIFS('METAS EMPRESAS'!$G$15:$G$320,'METAS EMPRESAS'!$A$15:$A$320,"CMM",'METAS EMPRESAS'!$B$15:$B$320,"IÇAMENTO JOIST",'METAS EMPRESAS'!$C$15:$C$320,$A309-WEEKDAY($A309,2)+1)</f>
        <v/>
      </c>
      <c r="M309" s="159">
        <f>SUMIFS('METAS EMPRESAS'!$G$15:$G$320,'METAS EMPRESAS'!$A$15:$A$320,"CMM",'METAS EMPRESAS'!$B$15:$B$320,"VIGAS",'METAS EMPRESAS'!$C$15:$C$320,$A309-WEEKDAY($A309,2)+1)</f>
        <v/>
      </c>
      <c r="N309" s="159">
        <f>SUMIFS('METAS EMPRESAS'!$J$15:$J$320,'METAS EMPRESAS'!$A$15:$A$320,"EJ",'METAS EMPRESAS'!$B$15:$B$320,"PREMONTAGEM",'METAS EMPRESAS'!$C$15:$C$320,$A309-WEEKDAY($A309,2)+1)</f>
        <v/>
      </c>
      <c r="O309" s="159">
        <f>SUMIFS('METAS EMPRESAS'!$J$15:$J$320,'METAS EMPRESAS'!$A$15:$A$320,"EJ",'METAS EMPRESAS'!$B$15:$B$320,"IÇAMENTO JOIST",'METAS EMPRESAS'!$C$15:$C$320,$A309-WEEKDAY($A309,2)+1)</f>
        <v/>
      </c>
      <c r="P309" s="159">
        <f>SUMIFS('METAS EMPRESAS'!$J$15:$J$320,'METAS EMPRESAS'!$A$15:$A$320,"EJ",'METAS EMPRESAS'!$B$15:$B$320,"VIGAS",'METAS EMPRESAS'!$C$15:$C$320,$A309-WEEKDAY($A309,2)+1)</f>
        <v/>
      </c>
      <c r="Q309" s="159">
        <f>SUMIFS('METAS EMPRESAS'!$J$15:$J$320,'METAS EMPRESAS'!$A$15:$A$320,"CMM",'METAS EMPRESAS'!$B$15:$B$320,"PREMONTAGEM",'METAS EMPRESAS'!$C$15:$C$320,$A309-WEEKDAY($A309,2)+1)</f>
        <v/>
      </c>
      <c r="R309" s="159">
        <f>SUMIFS('METAS EMPRESAS'!$J$15:$J$320,'METAS EMPRESAS'!$A$15:$A$320,"CMM",'METAS EMPRESAS'!$B$15:$B$320,"IÇAMENTO JOIST",'METAS EMPRESAS'!$C$15:$C$320,$A309-WEEKDAY($A309,2)+1)</f>
        <v/>
      </c>
      <c r="S309" s="159">
        <f>SUMIFS('METAS EMPRESAS'!$J$15:$J$320,'METAS EMPRESAS'!$A$15:$A$320,"CMM",'METAS EMPRESAS'!$B$15:$B$320,"VIGAS",'METAS EMPRESAS'!$C$15:$C$320,$A309-WEEKDAY($A309,2)+1)</f>
        <v/>
      </c>
      <c r="T309">
        <f>--(WEEKDAY(A309,2)&lt;=5)</f>
        <v/>
      </c>
      <c r="U309" t="n">
        <v>19</v>
      </c>
      <c r="V309" t="n">
        <v>7</v>
      </c>
      <c r="W309" t="n">
        <v>0</v>
      </c>
      <c r="X309" t="n">
        <v>5</v>
      </c>
      <c r="Y309" t="n">
        <v>5</v>
      </c>
      <c r="Z309" t="n">
        <v>5</v>
      </c>
      <c r="AA309" t="n">
        <v>95</v>
      </c>
      <c r="AB309" t="n">
        <v>35</v>
      </c>
      <c r="AC309" t="n">
        <v>0</v>
      </c>
    </row>
    <row r="310">
      <c r="A310" s="317" t="n">
        <v>46531</v>
      </c>
      <c r="B310" s="159">
        <f>SUMIFS('METAS EMPRESAS'!$K$15:$K$320,'METAS EMPRESAS'!$A$15:$A$320,"EJ",'METAS EMPRESAS'!$B$15:$B$320,"PREMONTAGEM",'METAS EMPRESAS'!$C$15:$C$320,$A310-WEEKDAY($A310,2)+1)</f>
        <v/>
      </c>
      <c r="C310" s="159">
        <f>SUMIFS('METAS EMPRESAS'!$K$15:$K$320,'METAS EMPRESAS'!$A$15:$A$320,"EJ",'METAS EMPRESAS'!$B$15:$B$320,"IÇAMENTO JOIST",'METAS EMPRESAS'!$C$15:$C$320,$A310-WEEKDAY($A310,2)+1)</f>
        <v/>
      </c>
      <c r="D310" s="159">
        <f>SUMIFS('METAS EMPRESAS'!$K$15:$K$320,'METAS EMPRESAS'!$A$15:$A$320,"EJ",'METAS EMPRESAS'!$B$15:$B$320,"VIGAS",'METAS EMPRESAS'!$C$15:$C$320,$A310-WEEKDAY($A310,2)+1)</f>
        <v/>
      </c>
      <c r="E310" s="159">
        <f>SUMIFS('METAS EMPRESAS'!$K$15:$K$320,'METAS EMPRESAS'!$A$15:$A$320,"CMM",'METAS EMPRESAS'!$B$15:$B$320,"PREMONTAGEM",'METAS EMPRESAS'!$C$15:$C$320,$A310-WEEKDAY($A310,2)+1)</f>
        <v/>
      </c>
      <c r="F310" s="159">
        <f>SUMIFS('METAS EMPRESAS'!$K$15:$K$320,'METAS EMPRESAS'!$A$15:$A$320,"CMM",'METAS EMPRESAS'!$B$15:$B$320,"IÇAMENTO JOIST",'METAS EMPRESAS'!$C$15:$C$320,$A310-WEEKDAY($A310,2)+1)</f>
        <v/>
      </c>
      <c r="G310" s="159">
        <f>SUMIFS('METAS EMPRESAS'!$K$15:$K$320,'METAS EMPRESAS'!$A$15:$A$320,"CMM",'METAS EMPRESAS'!$B$15:$B$320,"VIGAS",'METAS EMPRESAS'!$C$15:$C$320,$A310-WEEKDAY($A310,2)+1)</f>
        <v/>
      </c>
      <c r="H310" s="159">
        <f>SUMIFS('METAS EMPRESAS'!$G$15:$G$320,'METAS EMPRESAS'!$A$15:$A$320,"EJ",'METAS EMPRESAS'!$B$15:$B$320,"PREMONTAGEM",'METAS EMPRESAS'!$C$15:$C$320,$A310-WEEKDAY($A310,2)+1)</f>
        <v/>
      </c>
      <c r="I310" s="159">
        <f>SUMIFS('METAS EMPRESAS'!$G$15:$G$320,'METAS EMPRESAS'!$A$15:$A$320,"EJ",'METAS EMPRESAS'!$B$15:$B$320,"IÇAMENTO JOIST",'METAS EMPRESAS'!$C$15:$C$320,$A310-WEEKDAY($A310,2)+1)</f>
        <v/>
      </c>
      <c r="J310" s="159">
        <f>SUMIFS('METAS EMPRESAS'!$G$15:$G$320,'METAS EMPRESAS'!$A$15:$A$320,"EJ",'METAS EMPRESAS'!$B$15:$B$320,"VIGAS",'METAS EMPRESAS'!$C$15:$C$320,$A310-WEEKDAY($A310,2)+1)</f>
        <v/>
      </c>
      <c r="K310" s="159">
        <f>SUMIFS('METAS EMPRESAS'!$G$15:$G$320,'METAS EMPRESAS'!$A$15:$A$320,"CMM",'METAS EMPRESAS'!$B$15:$B$320,"PREMONTAGEM",'METAS EMPRESAS'!$C$15:$C$320,$A310-WEEKDAY($A310,2)+1)</f>
        <v/>
      </c>
      <c r="L310" s="159">
        <f>SUMIFS('METAS EMPRESAS'!$G$15:$G$320,'METAS EMPRESAS'!$A$15:$A$320,"CMM",'METAS EMPRESAS'!$B$15:$B$320,"IÇAMENTO JOIST",'METAS EMPRESAS'!$C$15:$C$320,$A310-WEEKDAY($A310,2)+1)</f>
        <v/>
      </c>
      <c r="M310" s="159">
        <f>SUMIFS('METAS EMPRESAS'!$G$15:$G$320,'METAS EMPRESAS'!$A$15:$A$320,"CMM",'METAS EMPRESAS'!$B$15:$B$320,"VIGAS",'METAS EMPRESAS'!$C$15:$C$320,$A310-WEEKDAY($A310,2)+1)</f>
        <v/>
      </c>
      <c r="N310" s="159">
        <f>SUMIFS('METAS EMPRESAS'!$J$15:$J$320,'METAS EMPRESAS'!$A$15:$A$320,"EJ",'METAS EMPRESAS'!$B$15:$B$320,"PREMONTAGEM",'METAS EMPRESAS'!$C$15:$C$320,$A310-WEEKDAY($A310,2)+1)</f>
        <v/>
      </c>
      <c r="O310" s="159">
        <f>SUMIFS('METAS EMPRESAS'!$J$15:$J$320,'METAS EMPRESAS'!$A$15:$A$320,"EJ",'METAS EMPRESAS'!$B$15:$B$320,"IÇAMENTO JOIST",'METAS EMPRESAS'!$C$15:$C$320,$A310-WEEKDAY($A310,2)+1)</f>
        <v/>
      </c>
      <c r="P310" s="159">
        <f>SUMIFS('METAS EMPRESAS'!$J$15:$J$320,'METAS EMPRESAS'!$A$15:$A$320,"EJ",'METAS EMPRESAS'!$B$15:$B$320,"VIGAS",'METAS EMPRESAS'!$C$15:$C$320,$A310-WEEKDAY($A310,2)+1)</f>
        <v/>
      </c>
      <c r="Q310" s="159">
        <f>SUMIFS('METAS EMPRESAS'!$J$15:$J$320,'METAS EMPRESAS'!$A$15:$A$320,"CMM",'METAS EMPRESAS'!$B$15:$B$320,"PREMONTAGEM",'METAS EMPRESAS'!$C$15:$C$320,$A310-WEEKDAY($A310,2)+1)</f>
        <v/>
      </c>
      <c r="R310" s="159">
        <f>SUMIFS('METAS EMPRESAS'!$J$15:$J$320,'METAS EMPRESAS'!$A$15:$A$320,"CMM",'METAS EMPRESAS'!$B$15:$B$320,"IÇAMENTO JOIST",'METAS EMPRESAS'!$C$15:$C$320,$A310-WEEKDAY($A310,2)+1)</f>
        <v/>
      </c>
      <c r="S310" s="159">
        <f>SUMIFS('METAS EMPRESAS'!$J$15:$J$320,'METAS EMPRESAS'!$A$15:$A$320,"CMM",'METAS EMPRESAS'!$B$15:$B$320,"VIGAS",'METAS EMPRESAS'!$C$15:$C$320,$A310-WEEKDAY($A310,2)+1)</f>
        <v/>
      </c>
      <c r="T310">
        <f>--(WEEKDAY(A310,2)&lt;=5)</f>
        <v/>
      </c>
      <c r="U310" t="n">
        <v>19</v>
      </c>
      <c r="V310" t="n">
        <v>7</v>
      </c>
      <c r="W310" t="n">
        <v>0</v>
      </c>
      <c r="X310" t="n">
        <v>5</v>
      </c>
      <c r="Y310" t="n">
        <v>5</v>
      </c>
      <c r="Z310" t="n">
        <v>5</v>
      </c>
      <c r="AA310" t="n">
        <v>95</v>
      </c>
      <c r="AB310" t="n">
        <v>35</v>
      </c>
      <c r="AC310" t="n">
        <v>0</v>
      </c>
    </row>
    <row r="311">
      <c r="A311" s="317" t="n">
        <v>46532</v>
      </c>
      <c r="B311" s="159">
        <f>SUMIFS('METAS EMPRESAS'!$K$15:$K$320,'METAS EMPRESAS'!$A$15:$A$320,"EJ",'METAS EMPRESAS'!$B$15:$B$320,"PREMONTAGEM",'METAS EMPRESAS'!$C$15:$C$320,$A311-WEEKDAY($A311,2)+1)</f>
        <v/>
      </c>
      <c r="C311" s="159">
        <f>SUMIFS('METAS EMPRESAS'!$K$15:$K$320,'METAS EMPRESAS'!$A$15:$A$320,"EJ",'METAS EMPRESAS'!$B$15:$B$320,"IÇAMENTO JOIST",'METAS EMPRESAS'!$C$15:$C$320,$A311-WEEKDAY($A311,2)+1)</f>
        <v/>
      </c>
      <c r="D311" s="159">
        <f>SUMIFS('METAS EMPRESAS'!$K$15:$K$320,'METAS EMPRESAS'!$A$15:$A$320,"EJ",'METAS EMPRESAS'!$B$15:$B$320,"VIGAS",'METAS EMPRESAS'!$C$15:$C$320,$A311-WEEKDAY($A311,2)+1)</f>
        <v/>
      </c>
      <c r="E311" s="159">
        <f>SUMIFS('METAS EMPRESAS'!$K$15:$K$320,'METAS EMPRESAS'!$A$15:$A$320,"CMM",'METAS EMPRESAS'!$B$15:$B$320,"PREMONTAGEM",'METAS EMPRESAS'!$C$15:$C$320,$A311-WEEKDAY($A311,2)+1)</f>
        <v/>
      </c>
      <c r="F311" s="159">
        <f>SUMIFS('METAS EMPRESAS'!$K$15:$K$320,'METAS EMPRESAS'!$A$15:$A$320,"CMM",'METAS EMPRESAS'!$B$15:$B$320,"IÇAMENTO JOIST",'METAS EMPRESAS'!$C$15:$C$320,$A311-WEEKDAY($A311,2)+1)</f>
        <v/>
      </c>
      <c r="G311" s="159">
        <f>SUMIFS('METAS EMPRESAS'!$K$15:$K$320,'METAS EMPRESAS'!$A$15:$A$320,"CMM",'METAS EMPRESAS'!$B$15:$B$320,"VIGAS",'METAS EMPRESAS'!$C$15:$C$320,$A311-WEEKDAY($A311,2)+1)</f>
        <v/>
      </c>
      <c r="H311" s="159">
        <f>SUMIFS('METAS EMPRESAS'!$G$15:$G$320,'METAS EMPRESAS'!$A$15:$A$320,"EJ",'METAS EMPRESAS'!$B$15:$B$320,"PREMONTAGEM",'METAS EMPRESAS'!$C$15:$C$320,$A311-WEEKDAY($A311,2)+1)</f>
        <v/>
      </c>
      <c r="I311" s="159">
        <f>SUMIFS('METAS EMPRESAS'!$G$15:$G$320,'METAS EMPRESAS'!$A$15:$A$320,"EJ",'METAS EMPRESAS'!$B$15:$B$320,"IÇAMENTO JOIST",'METAS EMPRESAS'!$C$15:$C$320,$A311-WEEKDAY($A311,2)+1)</f>
        <v/>
      </c>
      <c r="J311" s="159">
        <f>SUMIFS('METAS EMPRESAS'!$G$15:$G$320,'METAS EMPRESAS'!$A$15:$A$320,"EJ",'METAS EMPRESAS'!$B$15:$B$320,"VIGAS",'METAS EMPRESAS'!$C$15:$C$320,$A311-WEEKDAY($A311,2)+1)</f>
        <v/>
      </c>
      <c r="K311" s="159">
        <f>SUMIFS('METAS EMPRESAS'!$G$15:$G$320,'METAS EMPRESAS'!$A$15:$A$320,"CMM",'METAS EMPRESAS'!$B$15:$B$320,"PREMONTAGEM",'METAS EMPRESAS'!$C$15:$C$320,$A311-WEEKDAY($A311,2)+1)</f>
        <v/>
      </c>
      <c r="L311" s="159">
        <f>SUMIFS('METAS EMPRESAS'!$G$15:$G$320,'METAS EMPRESAS'!$A$15:$A$320,"CMM",'METAS EMPRESAS'!$B$15:$B$320,"IÇAMENTO JOIST",'METAS EMPRESAS'!$C$15:$C$320,$A311-WEEKDAY($A311,2)+1)</f>
        <v/>
      </c>
      <c r="M311" s="159">
        <f>SUMIFS('METAS EMPRESAS'!$G$15:$G$320,'METAS EMPRESAS'!$A$15:$A$320,"CMM",'METAS EMPRESAS'!$B$15:$B$320,"VIGAS",'METAS EMPRESAS'!$C$15:$C$320,$A311-WEEKDAY($A311,2)+1)</f>
        <v/>
      </c>
      <c r="N311" s="159">
        <f>SUMIFS('METAS EMPRESAS'!$J$15:$J$320,'METAS EMPRESAS'!$A$15:$A$320,"EJ",'METAS EMPRESAS'!$B$15:$B$320,"PREMONTAGEM",'METAS EMPRESAS'!$C$15:$C$320,$A311-WEEKDAY($A311,2)+1)</f>
        <v/>
      </c>
      <c r="O311" s="159">
        <f>SUMIFS('METAS EMPRESAS'!$J$15:$J$320,'METAS EMPRESAS'!$A$15:$A$320,"EJ",'METAS EMPRESAS'!$B$15:$B$320,"IÇAMENTO JOIST",'METAS EMPRESAS'!$C$15:$C$320,$A311-WEEKDAY($A311,2)+1)</f>
        <v/>
      </c>
      <c r="P311" s="159">
        <f>SUMIFS('METAS EMPRESAS'!$J$15:$J$320,'METAS EMPRESAS'!$A$15:$A$320,"EJ",'METAS EMPRESAS'!$B$15:$B$320,"VIGAS",'METAS EMPRESAS'!$C$15:$C$320,$A311-WEEKDAY($A311,2)+1)</f>
        <v/>
      </c>
      <c r="Q311" s="159">
        <f>SUMIFS('METAS EMPRESAS'!$J$15:$J$320,'METAS EMPRESAS'!$A$15:$A$320,"CMM",'METAS EMPRESAS'!$B$15:$B$320,"PREMONTAGEM",'METAS EMPRESAS'!$C$15:$C$320,$A311-WEEKDAY($A311,2)+1)</f>
        <v/>
      </c>
      <c r="R311" s="159">
        <f>SUMIFS('METAS EMPRESAS'!$J$15:$J$320,'METAS EMPRESAS'!$A$15:$A$320,"CMM",'METAS EMPRESAS'!$B$15:$B$320,"IÇAMENTO JOIST",'METAS EMPRESAS'!$C$15:$C$320,$A311-WEEKDAY($A311,2)+1)</f>
        <v/>
      </c>
      <c r="S311" s="159">
        <f>SUMIFS('METAS EMPRESAS'!$J$15:$J$320,'METAS EMPRESAS'!$A$15:$A$320,"CMM",'METAS EMPRESAS'!$B$15:$B$320,"VIGAS",'METAS EMPRESAS'!$C$15:$C$320,$A311-WEEKDAY($A311,2)+1)</f>
        <v/>
      </c>
      <c r="T311">
        <f>--(WEEKDAY(A311,2)&lt;=5)</f>
        <v/>
      </c>
      <c r="U311" t="n">
        <v>19</v>
      </c>
      <c r="V311" t="n">
        <v>7</v>
      </c>
      <c r="W311" t="n">
        <v>0</v>
      </c>
      <c r="X311" t="n">
        <v>5</v>
      </c>
      <c r="Y311" t="n">
        <v>5</v>
      </c>
      <c r="Z311" t="n">
        <v>5</v>
      </c>
      <c r="AA311" t="n">
        <v>95</v>
      </c>
      <c r="AB311" t="n">
        <v>35</v>
      </c>
      <c r="AC311" t="n">
        <v>0</v>
      </c>
    </row>
    <row r="312">
      <c r="A312" s="317" t="n">
        <v>46533</v>
      </c>
      <c r="B312" s="159">
        <f>SUMIFS('METAS EMPRESAS'!$K$15:$K$320,'METAS EMPRESAS'!$A$15:$A$320,"EJ",'METAS EMPRESAS'!$B$15:$B$320,"PREMONTAGEM",'METAS EMPRESAS'!$C$15:$C$320,$A312-WEEKDAY($A312,2)+1)</f>
        <v/>
      </c>
      <c r="C312" s="159">
        <f>SUMIFS('METAS EMPRESAS'!$K$15:$K$320,'METAS EMPRESAS'!$A$15:$A$320,"EJ",'METAS EMPRESAS'!$B$15:$B$320,"IÇAMENTO JOIST",'METAS EMPRESAS'!$C$15:$C$320,$A312-WEEKDAY($A312,2)+1)</f>
        <v/>
      </c>
      <c r="D312" s="159">
        <f>SUMIFS('METAS EMPRESAS'!$K$15:$K$320,'METAS EMPRESAS'!$A$15:$A$320,"EJ",'METAS EMPRESAS'!$B$15:$B$320,"VIGAS",'METAS EMPRESAS'!$C$15:$C$320,$A312-WEEKDAY($A312,2)+1)</f>
        <v/>
      </c>
      <c r="E312" s="159">
        <f>SUMIFS('METAS EMPRESAS'!$K$15:$K$320,'METAS EMPRESAS'!$A$15:$A$320,"CMM",'METAS EMPRESAS'!$B$15:$B$320,"PREMONTAGEM",'METAS EMPRESAS'!$C$15:$C$320,$A312-WEEKDAY($A312,2)+1)</f>
        <v/>
      </c>
      <c r="F312" s="159">
        <f>SUMIFS('METAS EMPRESAS'!$K$15:$K$320,'METAS EMPRESAS'!$A$15:$A$320,"CMM",'METAS EMPRESAS'!$B$15:$B$320,"IÇAMENTO JOIST",'METAS EMPRESAS'!$C$15:$C$320,$A312-WEEKDAY($A312,2)+1)</f>
        <v/>
      </c>
      <c r="G312" s="159">
        <f>SUMIFS('METAS EMPRESAS'!$K$15:$K$320,'METAS EMPRESAS'!$A$15:$A$320,"CMM",'METAS EMPRESAS'!$B$15:$B$320,"VIGAS",'METAS EMPRESAS'!$C$15:$C$320,$A312-WEEKDAY($A312,2)+1)</f>
        <v/>
      </c>
      <c r="H312" s="159">
        <f>SUMIFS('METAS EMPRESAS'!$G$15:$G$320,'METAS EMPRESAS'!$A$15:$A$320,"EJ",'METAS EMPRESAS'!$B$15:$B$320,"PREMONTAGEM",'METAS EMPRESAS'!$C$15:$C$320,$A312-WEEKDAY($A312,2)+1)</f>
        <v/>
      </c>
      <c r="I312" s="159">
        <f>SUMIFS('METAS EMPRESAS'!$G$15:$G$320,'METAS EMPRESAS'!$A$15:$A$320,"EJ",'METAS EMPRESAS'!$B$15:$B$320,"IÇAMENTO JOIST",'METAS EMPRESAS'!$C$15:$C$320,$A312-WEEKDAY($A312,2)+1)</f>
        <v/>
      </c>
      <c r="J312" s="159">
        <f>SUMIFS('METAS EMPRESAS'!$G$15:$G$320,'METAS EMPRESAS'!$A$15:$A$320,"EJ",'METAS EMPRESAS'!$B$15:$B$320,"VIGAS",'METAS EMPRESAS'!$C$15:$C$320,$A312-WEEKDAY($A312,2)+1)</f>
        <v/>
      </c>
      <c r="K312" s="159">
        <f>SUMIFS('METAS EMPRESAS'!$G$15:$G$320,'METAS EMPRESAS'!$A$15:$A$320,"CMM",'METAS EMPRESAS'!$B$15:$B$320,"PREMONTAGEM",'METAS EMPRESAS'!$C$15:$C$320,$A312-WEEKDAY($A312,2)+1)</f>
        <v/>
      </c>
      <c r="L312" s="159">
        <f>SUMIFS('METAS EMPRESAS'!$G$15:$G$320,'METAS EMPRESAS'!$A$15:$A$320,"CMM",'METAS EMPRESAS'!$B$15:$B$320,"IÇAMENTO JOIST",'METAS EMPRESAS'!$C$15:$C$320,$A312-WEEKDAY($A312,2)+1)</f>
        <v/>
      </c>
      <c r="M312" s="159">
        <f>SUMIFS('METAS EMPRESAS'!$G$15:$G$320,'METAS EMPRESAS'!$A$15:$A$320,"CMM",'METAS EMPRESAS'!$B$15:$B$320,"VIGAS",'METAS EMPRESAS'!$C$15:$C$320,$A312-WEEKDAY($A312,2)+1)</f>
        <v/>
      </c>
      <c r="N312" s="159">
        <f>SUMIFS('METAS EMPRESAS'!$J$15:$J$320,'METAS EMPRESAS'!$A$15:$A$320,"EJ",'METAS EMPRESAS'!$B$15:$B$320,"PREMONTAGEM",'METAS EMPRESAS'!$C$15:$C$320,$A312-WEEKDAY($A312,2)+1)</f>
        <v/>
      </c>
      <c r="O312" s="159">
        <f>SUMIFS('METAS EMPRESAS'!$J$15:$J$320,'METAS EMPRESAS'!$A$15:$A$320,"EJ",'METAS EMPRESAS'!$B$15:$B$320,"IÇAMENTO JOIST",'METAS EMPRESAS'!$C$15:$C$320,$A312-WEEKDAY($A312,2)+1)</f>
        <v/>
      </c>
      <c r="P312" s="159">
        <f>SUMIFS('METAS EMPRESAS'!$J$15:$J$320,'METAS EMPRESAS'!$A$15:$A$320,"EJ",'METAS EMPRESAS'!$B$15:$B$320,"VIGAS",'METAS EMPRESAS'!$C$15:$C$320,$A312-WEEKDAY($A312,2)+1)</f>
        <v/>
      </c>
      <c r="Q312" s="159">
        <f>SUMIFS('METAS EMPRESAS'!$J$15:$J$320,'METAS EMPRESAS'!$A$15:$A$320,"CMM",'METAS EMPRESAS'!$B$15:$B$320,"PREMONTAGEM",'METAS EMPRESAS'!$C$15:$C$320,$A312-WEEKDAY($A312,2)+1)</f>
        <v/>
      </c>
      <c r="R312" s="159">
        <f>SUMIFS('METAS EMPRESAS'!$J$15:$J$320,'METAS EMPRESAS'!$A$15:$A$320,"CMM",'METAS EMPRESAS'!$B$15:$B$320,"IÇAMENTO JOIST",'METAS EMPRESAS'!$C$15:$C$320,$A312-WEEKDAY($A312,2)+1)</f>
        <v/>
      </c>
      <c r="S312" s="159">
        <f>SUMIFS('METAS EMPRESAS'!$J$15:$J$320,'METAS EMPRESAS'!$A$15:$A$320,"CMM",'METAS EMPRESAS'!$B$15:$B$320,"VIGAS",'METAS EMPRESAS'!$C$15:$C$320,$A312-WEEKDAY($A312,2)+1)</f>
        <v/>
      </c>
      <c r="T312">
        <f>--(WEEKDAY(A312,2)&lt;=5)</f>
        <v/>
      </c>
      <c r="U312" t="n">
        <v>19</v>
      </c>
      <c r="V312" t="n">
        <v>7</v>
      </c>
      <c r="W312" t="n">
        <v>0</v>
      </c>
      <c r="X312" t="n">
        <v>5</v>
      </c>
      <c r="Y312" t="n">
        <v>5</v>
      </c>
      <c r="Z312" t="n">
        <v>5</v>
      </c>
      <c r="AA312" t="n">
        <v>95</v>
      </c>
      <c r="AB312" t="n">
        <v>35</v>
      </c>
      <c r="AC312" t="n">
        <v>0</v>
      </c>
    </row>
    <row r="313">
      <c r="A313" s="317" t="n">
        <v>46534</v>
      </c>
      <c r="B313" s="159">
        <f>SUMIFS('METAS EMPRESAS'!$K$15:$K$320,'METAS EMPRESAS'!$A$15:$A$320,"EJ",'METAS EMPRESAS'!$B$15:$B$320,"PREMONTAGEM",'METAS EMPRESAS'!$C$15:$C$320,$A313-WEEKDAY($A313,2)+1)</f>
        <v/>
      </c>
      <c r="C313" s="159">
        <f>SUMIFS('METAS EMPRESAS'!$K$15:$K$320,'METAS EMPRESAS'!$A$15:$A$320,"EJ",'METAS EMPRESAS'!$B$15:$B$320,"IÇAMENTO JOIST",'METAS EMPRESAS'!$C$15:$C$320,$A313-WEEKDAY($A313,2)+1)</f>
        <v/>
      </c>
      <c r="D313" s="159">
        <f>SUMIFS('METAS EMPRESAS'!$K$15:$K$320,'METAS EMPRESAS'!$A$15:$A$320,"EJ",'METAS EMPRESAS'!$B$15:$B$320,"VIGAS",'METAS EMPRESAS'!$C$15:$C$320,$A313-WEEKDAY($A313,2)+1)</f>
        <v/>
      </c>
      <c r="E313" s="159">
        <f>SUMIFS('METAS EMPRESAS'!$K$15:$K$320,'METAS EMPRESAS'!$A$15:$A$320,"CMM",'METAS EMPRESAS'!$B$15:$B$320,"PREMONTAGEM",'METAS EMPRESAS'!$C$15:$C$320,$A313-WEEKDAY($A313,2)+1)</f>
        <v/>
      </c>
      <c r="F313" s="159">
        <f>SUMIFS('METAS EMPRESAS'!$K$15:$K$320,'METAS EMPRESAS'!$A$15:$A$320,"CMM",'METAS EMPRESAS'!$B$15:$B$320,"IÇAMENTO JOIST",'METAS EMPRESAS'!$C$15:$C$320,$A313-WEEKDAY($A313,2)+1)</f>
        <v/>
      </c>
      <c r="G313" s="159">
        <f>SUMIFS('METAS EMPRESAS'!$K$15:$K$320,'METAS EMPRESAS'!$A$15:$A$320,"CMM",'METAS EMPRESAS'!$B$15:$B$320,"VIGAS",'METAS EMPRESAS'!$C$15:$C$320,$A313-WEEKDAY($A313,2)+1)</f>
        <v/>
      </c>
      <c r="H313" s="159">
        <f>SUMIFS('METAS EMPRESAS'!$G$15:$G$320,'METAS EMPRESAS'!$A$15:$A$320,"EJ",'METAS EMPRESAS'!$B$15:$B$320,"PREMONTAGEM",'METAS EMPRESAS'!$C$15:$C$320,$A313-WEEKDAY($A313,2)+1)</f>
        <v/>
      </c>
      <c r="I313" s="159">
        <f>SUMIFS('METAS EMPRESAS'!$G$15:$G$320,'METAS EMPRESAS'!$A$15:$A$320,"EJ",'METAS EMPRESAS'!$B$15:$B$320,"IÇAMENTO JOIST",'METAS EMPRESAS'!$C$15:$C$320,$A313-WEEKDAY($A313,2)+1)</f>
        <v/>
      </c>
      <c r="J313" s="159">
        <f>SUMIFS('METAS EMPRESAS'!$G$15:$G$320,'METAS EMPRESAS'!$A$15:$A$320,"EJ",'METAS EMPRESAS'!$B$15:$B$320,"VIGAS",'METAS EMPRESAS'!$C$15:$C$320,$A313-WEEKDAY($A313,2)+1)</f>
        <v/>
      </c>
      <c r="K313" s="159">
        <f>SUMIFS('METAS EMPRESAS'!$G$15:$G$320,'METAS EMPRESAS'!$A$15:$A$320,"CMM",'METAS EMPRESAS'!$B$15:$B$320,"PREMONTAGEM",'METAS EMPRESAS'!$C$15:$C$320,$A313-WEEKDAY($A313,2)+1)</f>
        <v/>
      </c>
      <c r="L313" s="159">
        <f>SUMIFS('METAS EMPRESAS'!$G$15:$G$320,'METAS EMPRESAS'!$A$15:$A$320,"CMM",'METAS EMPRESAS'!$B$15:$B$320,"IÇAMENTO JOIST",'METAS EMPRESAS'!$C$15:$C$320,$A313-WEEKDAY($A313,2)+1)</f>
        <v/>
      </c>
      <c r="M313" s="159">
        <f>SUMIFS('METAS EMPRESAS'!$G$15:$G$320,'METAS EMPRESAS'!$A$15:$A$320,"CMM",'METAS EMPRESAS'!$B$15:$B$320,"VIGAS",'METAS EMPRESAS'!$C$15:$C$320,$A313-WEEKDAY($A313,2)+1)</f>
        <v/>
      </c>
      <c r="N313" s="159">
        <f>SUMIFS('METAS EMPRESAS'!$J$15:$J$320,'METAS EMPRESAS'!$A$15:$A$320,"EJ",'METAS EMPRESAS'!$B$15:$B$320,"PREMONTAGEM",'METAS EMPRESAS'!$C$15:$C$320,$A313-WEEKDAY($A313,2)+1)</f>
        <v/>
      </c>
      <c r="O313" s="159">
        <f>SUMIFS('METAS EMPRESAS'!$J$15:$J$320,'METAS EMPRESAS'!$A$15:$A$320,"EJ",'METAS EMPRESAS'!$B$15:$B$320,"IÇAMENTO JOIST",'METAS EMPRESAS'!$C$15:$C$320,$A313-WEEKDAY($A313,2)+1)</f>
        <v/>
      </c>
      <c r="P313" s="159">
        <f>SUMIFS('METAS EMPRESAS'!$J$15:$J$320,'METAS EMPRESAS'!$A$15:$A$320,"EJ",'METAS EMPRESAS'!$B$15:$B$320,"VIGAS",'METAS EMPRESAS'!$C$15:$C$320,$A313-WEEKDAY($A313,2)+1)</f>
        <v/>
      </c>
      <c r="Q313" s="159">
        <f>SUMIFS('METAS EMPRESAS'!$J$15:$J$320,'METAS EMPRESAS'!$A$15:$A$320,"CMM",'METAS EMPRESAS'!$B$15:$B$320,"PREMONTAGEM",'METAS EMPRESAS'!$C$15:$C$320,$A313-WEEKDAY($A313,2)+1)</f>
        <v/>
      </c>
      <c r="R313" s="159">
        <f>SUMIFS('METAS EMPRESAS'!$J$15:$J$320,'METAS EMPRESAS'!$A$15:$A$320,"CMM",'METAS EMPRESAS'!$B$15:$B$320,"IÇAMENTO JOIST",'METAS EMPRESAS'!$C$15:$C$320,$A313-WEEKDAY($A313,2)+1)</f>
        <v/>
      </c>
      <c r="S313" s="159">
        <f>SUMIFS('METAS EMPRESAS'!$J$15:$J$320,'METAS EMPRESAS'!$A$15:$A$320,"CMM",'METAS EMPRESAS'!$B$15:$B$320,"VIGAS",'METAS EMPRESAS'!$C$15:$C$320,$A313-WEEKDAY($A313,2)+1)</f>
        <v/>
      </c>
      <c r="T313">
        <f>--(WEEKDAY(A313,2)&lt;=5)</f>
        <v/>
      </c>
      <c r="U313" t="n">
        <v>19</v>
      </c>
      <c r="V313" t="n">
        <v>7</v>
      </c>
      <c r="W313" t="n">
        <v>0</v>
      </c>
      <c r="X313" t="n">
        <v>5</v>
      </c>
      <c r="Y313" t="n">
        <v>5</v>
      </c>
      <c r="Z313" t="n">
        <v>5</v>
      </c>
      <c r="AA313" t="n">
        <v>95</v>
      </c>
      <c r="AB313" t="n">
        <v>35</v>
      </c>
      <c r="AC313" t="n">
        <v>0</v>
      </c>
    </row>
    <row r="314">
      <c r="A314" s="317" t="n">
        <v>46535</v>
      </c>
      <c r="B314" s="159">
        <f>SUMIFS('METAS EMPRESAS'!$K$15:$K$320,'METAS EMPRESAS'!$A$15:$A$320,"EJ",'METAS EMPRESAS'!$B$15:$B$320,"PREMONTAGEM",'METAS EMPRESAS'!$C$15:$C$320,$A314-WEEKDAY($A314,2)+1)</f>
        <v/>
      </c>
      <c r="C314" s="159">
        <f>SUMIFS('METAS EMPRESAS'!$K$15:$K$320,'METAS EMPRESAS'!$A$15:$A$320,"EJ",'METAS EMPRESAS'!$B$15:$B$320,"IÇAMENTO JOIST",'METAS EMPRESAS'!$C$15:$C$320,$A314-WEEKDAY($A314,2)+1)</f>
        <v/>
      </c>
      <c r="D314" s="159">
        <f>SUMIFS('METAS EMPRESAS'!$K$15:$K$320,'METAS EMPRESAS'!$A$15:$A$320,"EJ",'METAS EMPRESAS'!$B$15:$B$320,"VIGAS",'METAS EMPRESAS'!$C$15:$C$320,$A314-WEEKDAY($A314,2)+1)</f>
        <v/>
      </c>
      <c r="E314" s="159">
        <f>SUMIFS('METAS EMPRESAS'!$K$15:$K$320,'METAS EMPRESAS'!$A$15:$A$320,"CMM",'METAS EMPRESAS'!$B$15:$B$320,"PREMONTAGEM",'METAS EMPRESAS'!$C$15:$C$320,$A314-WEEKDAY($A314,2)+1)</f>
        <v/>
      </c>
      <c r="F314" s="159">
        <f>SUMIFS('METAS EMPRESAS'!$K$15:$K$320,'METAS EMPRESAS'!$A$15:$A$320,"CMM",'METAS EMPRESAS'!$B$15:$B$320,"IÇAMENTO JOIST",'METAS EMPRESAS'!$C$15:$C$320,$A314-WEEKDAY($A314,2)+1)</f>
        <v/>
      </c>
      <c r="G314" s="159">
        <f>SUMIFS('METAS EMPRESAS'!$K$15:$K$320,'METAS EMPRESAS'!$A$15:$A$320,"CMM",'METAS EMPRESAS'!$B$15:$B$320,"VIGAS",'METAS EMPRESAS'!$C$15:$C$320,$A314-WEEKDAY($A314,2)+1)</f>
        <v/>
      </c>
      <c r="H314" s="159">
        <f>SUMIFS('METAS EMPRESAS'!$G$15:$G$320,'METAS EMPRESAS'!$A$15:$A$320,"EJ",'METAS EMPRESAS'!$B$15:$B$320,"PREMONTAGEM",'METAS EMPRESAS'!$C$15:$C$320,$A314-WEEKDAY($A314,2)+1)</f>
        <v/>
      </c>
      <c r="I314" s="159">
        <f>SUMIFS('METAS EMPRESAS'!$G$15:$G$320,'METAS EMPRESAS'!$A$15:$A$320,"EJ",'METAS EMPRESAS'!$B$15:$B$320,"IÇAMENTO JOIST",'METAS EMPRESAS'!$C$15:$C$320,$A314-WEEKDAY($A314,2)+1)</f>
        <v/>
      </c>
      <c r="J314" s="159">
        <f>SUMIFS('METAS EMPRESAS'!$G$15:$G$320,'METAS EMPRESAS'!$A$15:$A$320,"EJ",'METAS EMPRESAS'!$B$15:$B$320,"VIGAS",'METAS EMPRESAS'!$C$15:$C$320,$A314-WEEKDAY($A314,2)+1)</f>
        <v/>
      </c>
      <c r="K314" s="159">
        <f>SUMIFS('METAS EMPRESAS'!$G$15:$G$320,'METAS EMPRESAS'!$A$15:$A$320,"CMM",'METAS EMPRESAS'!$B$15:$B$320,"PREMONTAGEM",'METAS EMPRESAS'!$C$15:$C$320,$A314-WEEKDAY($A314,2)+1)</f>
        <v/>
      </c>
      <c r="L314" s="159">
        <f>SUMIFS('METAS EMPRESAS'!$G$15:$G$320,'METAS EMPRESAS'!$A$15:$A$320,"CMM",'METAS EMPRESAS'!$B$15:$B$320,"IÇAMENTO JOIST",'METAS EMPRESAS'!$C$15:$C$320,$A314-WEEKDAY($A314,2)+1)</f>
        <v/>
      </c>
      <c r="M314" s="159">
        <f>SUMIFS('METAS EMPRESAS'!$G$15:$G$320,'METAS EMPRESAS'!$A$15:$A$320,"CMM",'METAS EMPRESAS'!$B$15:$B$320,"VIGAS",'METAS EMPRESAS'!$C$15:$C$320,$A314-WEEKDAY($A314,2)+1)</f>
        <v/>
      </c>
      <c r="N314" s="159">
        <f>SUMIFS('METAS EMPRESAS'!$J$15:$J$320,'METAS EMPRESAS'!$A$15:$A$320,"EJ",'METAS EMPRESAS'!$B$15:$B$320,"PREMONTAGEM",'METAS EMPRESAS'!$C$15:$C$320,$A314-WEEKDAY($A314,2)+1)</f>
        <v/>
      </c>
      <c r="O314" s="159">
        <f>SUMIFS('METAS EMPRESAS'!$J$15:$J$320,'METAS EMPRESAS'!$A$15:$A$320,"EJ",'METAS EMPRESAS'!$B$15:$B$320,"IÇAMENTO JOIST",'METAS EMPRESAS'!$C$15:$C$320,$A314-WEEKDAY($A314,2)+1)</f>
        <v/>
      </c>
      <c r="P314" s="159">
        <f>SUMIFS('METAS EMPRESAS'!$J$15:$J$320,'METAS EMPRESAS'!$A$15:$A$320,"EJ",'METAS EMPRESAS'!$B$15:$B$320,"VIGAS",'METAS EMPRESAS'!$C$15:$C$320,$A314-WEEKDAY($A314,2)+1)</f>
        <v/>
      </c>
      <c r="Q314" s="159">
        <f>SUMIFS('METAS EMPRESAS'!$J$15:$J$320,'METAS EMPRESAS'!$A$15:$A$320,"CMM",'METAS EMPRESAS'!$B$15:$B$320,"PREMONTAGEM",'METAS EMPRESAS'!$C$15:$C$320,$A314-WEEKDAY($A314,2)+1)</f>
        <v/>
      </c>
      <c r="R314" s="159">
        <f>SUMIFS('METAS EMPRESAS'!$J$15:$J$320,'METAS EMPRESAS'!$A$15:$A$320,"CMM",'METAS EMPRESAS'!$B$15:$B$320,"IÇAMENTO JOIST",'METAS EMPRESAS'!$C$15:$C$320,$A314-WEEKDAY($A314,2)+1)</f>
        <v/>
      </c>
      <c r="S314" s="159">
        <f>SUMIFS('METAS EMPRESAS'!$J$15:$J$320,'METAS EMPRESAS'!$A$15:$A$320,"CMM",'METAS EMPRESAS'!$B$15:$B$320,"VIGAS",'METAS EMPRESAS'!$C$15:$C$320,$A314-WEEKDAY($A314,2)+1)</f>
        <v/>
      </c>
      <c r="T314">
        <f>--(WEEKDAY(A314,2)&lt;=5)</f>
        <v/>
      </c>
      <c r="U314" t="n">
        <v>19</v>
      </c>
      <c r="V314" t="n">
        <v>7</v>
      </c>
      <c r="W314" t="n">
        <v>0</v>
      </c>
      <c r="X314" t="n">
        <v>5</v>
      </c>
      <c r="Y314" t="n">
        <v>5</v>
      </c>
      <c r="Z314" t="n">
        <v>5</v>
      </c>
      <c r="AA314" t="n">
        <v>95</v>
      </c>
      <c r="AB314" t="n">
        <v>35</v>
      </c>
      <c r="AC314" t="n">
        <v>0</v>
      </c>
    </row>
    <row r="315">
      <c r="A315" s="317" t="n">
        <v>46536</v>
      </c>
      <c r="B315" s="159">
        <f>SUMIFS('METAS EMPRESAS'!$K$15:$K$320,'METAS EMPRESAS'!$A$15:$A$320,"EJ",'METAS EMPRESAS'!$B$15:$B$320,"PREMONTAGEM",'METAS EMPRESAS'!$C$15:$C$320,$A315-WEEKDAY($A315,2)+1)</f>
        <v/>
      </c>
      <c r="C315" s="159">
        <f>SUMIFS('METAS EMPRESAS'!$K$15:$K$320,'METAS EMPRESAS'!$A$15:$A$320,"EJ",'METAS EMPRESAS'!$B$15:$B$320,"IÇAMENTO JOIST",'METAS EMPRESAS'!$C$15:$C$320,$A315-WEEKDAY($A315,2)+1)</f>
        <v/>
      </c>
      <c r="D315" s="159">
        <f>SUMIFS('METAS EMPRESAS'!$K$15:$K$320,'METAS EMPRESAS'!$A$15:$A$320,"EJ",'METAS EMPRESAS'!$B$15:$B$320,"VIGAS",'METAS EMPRESAS'!$C$15:$C$320,$A315-WEEKDAY($A315,2)+1)</f>
        <v/>
      </c>
      <c r="E315" s="159">
        <f>SUMIFS('METAS EMPRESAS'!$K$15:$K$320,'METAS EMPRESAS'!$A$15:$A$320,"CMM",'METAS EMPRESAS'!$B$15:$B$320,"PREMONTAGEM",'METAS EMPRESAS'!$C$15:$C$320,$A315-WEEKDAY($A315,2)+1)</f>
        <v/>
      </c>
      <c r="F315" s="159">
        <f>SUMIFS('METAS EMPRESAS'!$K$15:$K$320,'METAS EMPRESAS'!$A$15:$A$320,"CMM",'METAS EMPRESAS'!$B$15:$B$320,"IÇAMENTO JOIST",'METAS EMPRESAS'!$C$15:$C$320,$A315-WEEKDAY($A315,2)+1)</f>
        <v/>
      </c>
      <c r="G315" s="159">
        <f>SUMIFS('METAS EMPRESAS'!$K$15:$K$320,'METAS EMPRESAS'!$A$15:$A$320,"CMM",'METAS EMPRESAS'!$B$15:$B$320,"VIGAS",'METAS EMPRESAS'!$C$15:$C$320,$A315-WEEKDAY($A315,2)+1)</f>
        <v/>
      </c>
      <c r="H315" s="159">
        <f>SUMIFS('METAS EMPRESAS'!$G$15:$G$320,'METAS EMPRESAS'!$A$15:$A$320,"EJ",'METAS EMPRESAS'!$B$15:$B$320,"PREMONTAGEM",'METAS EMPRESAS'!$C$15:$C$320,$A315-WEEKDAY($A315,2)+1)</f>
        <v/>
      </c>
      <c r="I315" s="159">
        <f>SUMIFS('METAS EMPRESAS'!$G$15:$G$320,'METAS EMPRESAS'!$A$15:$A$320,"EJ",'METAS EMPRESAS'!$B$15:$B$320,"IÇAMENTO JOIST",'METAS EMPRESAS'!$C$15:$C$320,$A315-WEEKDAY($A315,2)+1)</f>
        <v/>
      </c>
      <c r="J315" s="159">
        <f>SUMIFS('METAS EMPRESAS'!$G$15:$G$320,'METAS EMPRESAS'!$A$15:$A$320,"EJ",'METAS EMPRESAS'!$B$15:$B$320,"VIGAS",'METAS EMPRESAS'!$C$15:$C$320,$A315-WEEKDAY($A315,2)+1)</f>
        <v/>
      </c>
      <c r="K315" s="159">
        <f>SUMIFS('METAS EMPRESAS'!$G$15:$G$320,'METAS EMPRESAS'!$A$15:$A$320,"CMM",'METAS EMPRESAS'!$B$15:$B$320,"PREMONTAGEM",'METAS EMPRESAS'!$C$15:$C$320,$A315-WEEKDAY($A315,2)+1)</f>
        <v/>
      </c>
      <c r="L315" s="159">
        <f>SUMIFS('METAS EMPRESAS'!$G$15:$G$320,'METAS EMPRESAS'!$A$15:$A$320,"CMM",'METAS EMPRESAS'!$B$15:$B$320,"IÇAMENTO JOIST",'METAS EMPRESAS'!$C$15:$C$320,$A315-WEEKDAY($A315,2)+1)</f>
        <v/>
      </c>
      <c r="M315" s="159">
        <f>SUMIFS('METAS EMPRESAS'!$G$15:$G$320,'METAS EMPRESAS'!$A$15:$A$320,"CMM",'METAS EMPRESAS'!$B$15:$B$320,"VIGAS",'METAS EMPRESAS'!$C$15:$C$320,$A315-WEEKDAY($A315,2)+1)</f>
        <v/>
      </c>
      <c r="N315" s="159">
        <f>SUMIFS('METAS EMPRESAS'!$J$15:$J$320,'METAS EMPRESAS'!$A$15:$A$320,"EJ",'METAS EMPRESAS'!$B$15:$B$320,"PREMONTAGEM",'METAS EMPRESAS'!$C$15:$C$320,$A315-WEEKDAY($A315,2)+1)</f>
        <v/>
      </c>
      <c r="O315" s="159">
        <f>SUMIFS('METAS EMPRESAS'!$J$15:$J$320,'METAS EMPRESAS'!$A$15:$A$320,"EJ",'METAS EMPRESAS'!$B$15:$B$320,"IÇAMENTO JOIST",'METAS EMPRESAS'!$C$15:$C$320,$A315-WEEKDAY($A315,2)+1)</f>
        <v/>
      </c>
      <c r="P315" s="159">
        <f>SUMIFS('METAS EMPRESAS'!$J$15:$J$320,'METAS EMPRESAS'!$A$15:$A$320,"EJ",'METAS EMPRESAS'!$B$15:$B$320,"VIGAS",'METAS EMPRESAS'!$C$15:$C$320,$A315-WEEKDAY($A315,2)+1)</f>
        <v/>
      </c>
      <c r="Q315" s="159">
        <f>SUMIFS('METAS EMPRESAS'!$J$15:$J$320,'METAS EMPRESAS'!$A$15:$A$320,"CMM",'METAS EMPRESAS'!$B$15:$B$320,"PREMONTAGEM",'METAS EMPRESAS'!$C$15:$C$320,$A315-WEEKDAY($A315,2)+1)</f>
        <v/>
      </c>
      <c r="R315" s="159">
        <f>SUMIFS('METAS EMPRESAS'!$J$15:$J$320,'METAS EMPRESAS'!$A$15:$A$320,"CMM",'METAS EMPRESAS'!$B$15:$B$320,"IÇAMENTO JOIST",'METAS EMPRESAS'!$C$15:$C$320,$A315-WEEKDAY($A315,2)+1)</f>
        <v/>
      </c>
      <c r="S315" s="159">
        <f>SUMIFS('METAS EMPRESAS'!$J$15:$J$320,'METAS EMPRESAS'!$A$15:$A$320,"CMM",'METAS EMPRESAS'!$B$15:$B$320,"VIGAS",'METAS EMPRESAS'!$C$15:$C$320,$A315-WEEKDAY($A315,2)+1)</f>
        <v/>
      </c>
      <c r="T315">
        <f>--(WEEKDAY(A315,2)&lt;=5)</f>
        <v/>
      </c>
      <c r="U315" t="n">
        <v>19</v>
      </c>
      <c r="V315" t="n">
        <v>7</v>
      </c>
      <c r="W315" t="n">
        <v>0</v>
      </c>
      <c r="X315" t="n">
        <v>5</v>
      </c>
      <c r="Y315" t="n">
        <v>5</v>
      </c>
      <c r="Z315" t="n">
        <v>5</v>
      </c>
      <c r="AA315" t="n">
        <v>95</v>
      </c>
      <c r="AB315" t="n">
        <v>35</v>
      </c>
      <c r="AC315" t="n">
        <v>0</v>
      </c>
    </row>
    <row r="316">
      <c r="A316" s="317" t="n">
        <v>46537</v>
      </c>
      <c r="B316" s="159">
        <f>SUMIFS('METAS EMPRESAS'!$K$15:$K$320,'METAS EMPRESAS'!$A$15:$A$320,"EJ",'METAS EMPRESAS'!$B$15:$B$320,"PREMONTAGEM",'METAS EMPRESAS'!$C$15:$C$320,$A316-WEEKDAY($A316,2)+1)</f>
        <v/>
      </c>
      <c r="C316" s="159">
        <f>SUMIFS('METAS EMPRESAS'!$K$15:$K$320,'METAS EMPRESAS'!$A$15:$A$320,"EJ",'METAS EMPRESAS'!$B$15:$B$320,"IÇAMENTO JOIST",'METAS EMPRESAS'!$C$15:$C$320,$A316-WEEKDAY($A316,2)+1)</f>
        <v/>
      </c>
      <c r="D316" s="159">
        <f>SUMIFS('METAS EMPRESAS'!$K$15:$K$320,'METAS EMPRESAS'!$A$15:$A$320,"EJ",'METAS EMPRESAS'!$B$15:$B$320,"VIGAS",'METAS EMPRESAS'!$C$15:$C$320,$A316-WEEKDAY($A316,2)+1)</f>
        <v/>
      </c>
      <c r="E316" s="159">
        <f>SUMIFS('METAS EMPRESAS'!$K$15:$K$320,'METAS EMPRESAS'!$A$15:$A$320,"CMM",'METAS EMPRESAS'!$B$15:$B$320,"PREMONTAGEM",'METAS EMPRESAS'!$C$15:$C$320,$A316-WEEKDAY($A316,2)+1)</f>
        <v/>
      </c>
      <c r="F316" s="159">
        <f>SUMIFS('METAS EMPRESAS'!$K$15:$K$320,'METAS EMPRESAS'!$A$15:$A$320,"CMM",'METAS EMPRESAS'!$B$15:$B$320,"IÇAMENTO JOIST",'METAS EMPRESAS'!$C$15:$C$320,$A316-WEEKDAY($A316,2)+1)</f>
        <v/>
      </c>
      <c r="G316" s="159">
        <f>SUMIFS('METAS EMPRESAS'!$K$15:$K$320,'METAS EMPRESAS'!$A$15:$A$320,"CMM",'METAS EMPRESAS'!$B$15:$B$320,"VIGAS",'METAS EMPRESAS'!$C$15:$C$320,$A316-WEEKDAY($A316,2)+1)</f>
        <v/>
      </c>
      <c r="H316" s="159">
        <f>SUMIFS('METAS EMPRESAS'!$G$15:$G$320,'METAS EMPRESAS'!$A$15:$A$320,"EJ",'METAS EMPRESAS'!$B$15:$B$320,"PREMONTAGEM",'METAS EMPRESAS'!$C$15:$C$320,$A316-WEEKDAY($A316,2)+1)</f>
        <v/>
      </c>
      <c r="I316" s="159">
        <f>SUMIFS('METAS EMPRESAS'!$G$15:$G$320,'METAS EMPRESAS'!$A$15:$A$320,"EJ",'METAS EMPRESAS'!$B$15:$B$320,"IÇAMENTO JOIST",'METAS EMPRESAS'!$C$15:$C$320,$A316-WEEKDAY($A316,2)+1)</f>
        <v/>
      </c>
      <c r="J316" s="159">
        <f>SUMIFS('METAS EMPRESAS'!$G$15:$G$320,'METAS EMPRESAS'!$A$15:$A$320,"EJ",'METAS EMPRESAS'!$B$15:$B$320,"VIGAS",'METAS EMPRESAS'!$C$15:$C$320,$A316-WEEKDAY($A316,2)+1)</f>
        <v/>
      </c>
      <c r="K316" s="159">
        <f>SUMIFS('METAS EMPRESAS'!$G$15:$G$320,'METAS EMPRESAS'!$A$15:$A$320,"CMM",'METAS EMPRESAS'!$B$15:$B$320,"PREMONTAGEM",'METAS EMPRESAS'!$C$15:$C$320,$A316-WEEKDAY($A316,2)+1)</f>
        <v/>
      </c>
      <c r="L316" s="159">
        <f>SUMIFS('METAS EMPRESAS'!$G$15:$G$320,'METAS EMPRESAS'!$A$15:$A$320,"CMM",'METAS EMPRESAS'!$B$15:$B$320,"IÇAMENTO JOIST",'METAS EMPRESAS'!$C$15:$C$320,$A316-WEEKDAY($A316,2)+1)</f>
        <v/>
      </c>
      <c r="M316" s="159">
        <f>SUMIFS('METAS EMPRESAS'!$G$15:$G$320,'METAS EMPRESAS'!$A$15:$A$320,"CMM",'METAS EMPRESAS'!$B$15:$B$320,"VIGAS",'METAS EMPRESAS'!$C$15:$C$320,$A316-WEEKDAY($A316,2)+1)</f>
        <v/>
      </c>
      <c r="N316" s="159">
        <f>SUMIFS('METAS EMPRESAS'!$J$15:$J$320,'METAS EMPRESAS'!$A$15:$A$320,"EJ",'METAS EMPRESAS'!$B$15:$B$320,"PREMONTAGEM",'METAS EMPRESAS'!$C$15:$C$320,$A316-WEEKDAY($A316,2)+1)</f>
        <v/>
      </c>
      <c r="O316" s="159">
        <f>SUMIFS('METAS EMPRESAS'!$J$15:$J$320,'METAS EMPRESAS'!$A$15:$A$320,"EJ",'METAS EMPRESAS'!$B$15:$B$320,"IÇAMENTO JOIST",'METAS EMPRESAS'!$C$15:$C$320,$A316-WEEKDAY($A316,2)+1)</f>
        <v/>
      </c>
      <c r="P316" s="159">
        <f>SUMIFS('METAS EMPRESAS'!$J$15:$J$320,'METAS EMPRESAS'!$A$15:$A$320,"EJ",'METAS EMPRESAS'!$B$15:$B$320,"VIGAS",'METAS EMPRESAS'!$C$15:$C$320,$A316-WEEKDAY($A316,2)+1)</f>
        <v/>
      </c>
      <c r="Q316" s="159">
        <f>SUMIFS('METAS EMPRESAS'!$J$15:$J$320,'METAS EMPRESAS'!$A$15:$A$320,"CMM",'METAS EMPRESAS'!$B$15:$B$320,"PREMONTAGEM",'METAS EMPRESAS'!$C$15:$C$320,$A316-WEEKDAY($A316,2)+1)</f>
        <v/>
      </c>
      <c r="R316" s="159">
        <f>SUMIFS('METAS EMPRESAS'!$J$15:$J$320,'METAS EMPRESAS'!$A$15:$A$320,"CMM",'METAS EMPRESAS'!$B$15:$B$320,"IÇAMENTO JOIST",'METAS EMPRESAS'!$C$15:$C$320,$A316-WEEKDAY($A316,2)+1)</f>
        <v/>
      </c>
      <c r="S316" s="159">
        <f>SUMIFS('METAS EMPRESAS'!$J$15:$J$320,'METAS EMPRESAS'!$A$15:$A$320,"CMM",'METAS EMPRESAS'!$B$15:$B$320,"VIGAS",'METAS EMPRESAS'!$C$15:$C$320,$A316-WEEKDAY($A316,2)+1)</f>
        <v/>
      </c>
      <c r="T316">
        <f>--(WEEKDAY(A316,2)&lt;=5)</f>
        <v/>
      </c>
      <c r="U316" t="n">
        <v>19</v>
      </c>
      <c r="V316" t="n">
        <v>7</v>
      </c>
      <c r="W316" t="n">
        <v>0</v>
      </c>
      <c r="X316" t="n">
        <v>5</v>
      </c>
      <c r="Y316" t="n">
        <v>5</v>
      </c>
      <c r="Z316" t="n">
        <v>5</v>
      </c>
      <c r="AA316" t="n">
        <v>95</v>
      </c>
      <c r="AB316" t="n">
        <v>35</v>
      </c>
      <c r="AC316" t="n">
        <v>0</v>
      </c>
    </row>
    <row r="317">
      <c r="A317" s="317" t="n">
        <v>46538</v>
      </c>
      <c r="B317" s="159">
        <f>SUMIFS('METAS EMPRESAS'!$K$15:$K$320,'METAS EMPRESAS'!$A$15:$A$320,"EJ",'METAS EMPRESAS'!$B$15:$B$320,"PREMONTAGEM",'METAS EMPRESAS'!$C$15:$C$320,$A317-WEEKDAY($A317,2)+1)</f>
        <v/>
      </c>
      <c r="C317" s="159">
        <f>SUMIFS('METAS EMPRESAS'!$K$15:$K$320,'METAS EMPRESAS'!$A$15:$A$320,"EJ",'METAS EMPRESAS'!$B$15:$B$320,"IÇAMENTO JOIST",'METAS EMPRESAS'!$C$15:$C$320,$A317-WEEKDAY($A317,2)+1)</f>
        <v/>
      </c>
      <c r="D317" s="159">
        <f>SUMIFS('METAS EMPRESAS'!$K$15:$K$320,'METAS EMPRESAS'!$A$15:$A$320,"EJ",'METAS EMPRESAS'!$B$15:$B$320,"VIGAS",'METAS EMPRESAS'!$C$15:$C$320,$A317-WEEKDAY($A317,2)+1)</f>
        <v/>
      </c>
      <c r="E317" s="159">
        <f>SUMIFS('METAS EMPRESAS'!$K$15:$K$320,'METAS EMPRESAS'!$A$15:$A$320,"CMM",'METAS EMPRESAS'!$B$15:$B$320,"PREMONTAGEM",'METAS EMPRESAS'!$C$15:$C$320,$A317-WEEKDAY($A317,2)+1)</f>
        <v/>
      </c>
      <c r="F317" s="159">
        <f>SUMIFS('METAS EMPRESAS'!$K$15:$K$320,'METAS EMPRESAS'!$A$15:$A$320,"CMM",'METAS EMPRESAS'!$B$15:$B$320,"IÇAMENTO JOIST",'METAS EMPRESAS'!$C$15:$C$320,$A317-WEEKDAY($A317,2)+1)</f>
        <v/>
      </c>
      <c r="G317" s="159">
        <f>SUMIFS('METAS EMPRESAS'!$K$15:$K$320,'METAS EMPRESAS'!$A$15:$A$320,"CMM",'METAS EMPRESAS'!$B$15:$B$320,"VIGAS",'METAS EMPRESAS'!$C$15:$C$320,$A317-WEEKDAY($A317,2)+1)</f>
        <v/>
      </c>
      <c r="H317" s="159">
        <f>SUMIFS('METAS EMPRESAS'!$G$15:$G$320,'METAS EMPRESAS'!$A$15:$A$320,"EJ",'METAS EMPRESAS'!$B$15:$B$320,"PREMONTAGEM",'METAS EMPRESAS'!$C$15:$C$320,$A317-WEEKDAY($A317,2)+1)</f>
        <v/>
      </c>
      <c r="I317" s="159">
        <f>SUMIFS('METAS EMPRESAS'!$G$15:$G$320,'METAS EMPRESAS'!$A$15:$A$320,"EJ",'METAS EMPRESAS'!$B$15:$B$320,"IÇAMENTO JOIST",'METAS EMPRESAS'!$C$15:$C$320,$A317-WEEKDAY($A317,2)+1)</f>
        <v/>
      </c>
      <c r="J317" s="159">
        <f>SUMIFS('METAS EMPRESAS'!$G$15:$G$320,'METAS EMPRESAS'!$A$15:$A$320,"EJ",'METAS EMPRESAS'!$B$15:$B$320,"VIGAS",'METAS EMPRESAS'!$C$15:$C$320,$A317-WEEKDAY($A317,2)+1)</f>
        <v/>
      </c>
      <c r="K317" s="159">
        <f>SUMIFS('METAS EMPRESAS'!$G$15:$G$320,'METAS EMPRESAS'!$A$15:$A$320,"CMM",'METAS EMPRESAS'!$B$15:$B$320,"PREMONTAGEM",'METAS EMPRESAS'!$C$15:$C$320,$A317-WEEKDAY($A317,2)+1)</f>
        <v/>
      </c>
      <c r="L317" s="159">
        <f>SUMIFS('METAS EMPRESAS'!$G$15:$G$320,'METAS EMPRESAS'!$A$15:$A$320,"CMM",'METAS EMPRESAS'!$B$15:$B$320,"IÇAMENTO JOIST",'METAS EMPRESAS'!$C$15:$C$320,$A317-WEEKDAY($A317,2)+1)</f>
        <v/>
      </c>
      <c r="M317" s="159">
        <f>SUMIFS('METAS EMPRESAS'!$G$15:$G$320,'METAS EMPRESAS'!$A$15:$A$320,"CMM",'METAS EMPRESAS'!$B$15:$B$320,"VIGAS",'METAS EMPRESAS'!$C$15:$C$320,$A317-WEEKDAY($A317,2)+1)</f>
        <v/>
      </c>
      <c r="N317" s="159">
        <f>SUMIFS('METAS EMPRESAS'!$J$15:$J$320,'METAS EMPRESAS'!$A$15:$A$320,"EJ",'METAS EMPRESAS'!$B$15:$B$320,"PREMONTAGEM",'METAS EMPRESAS'!$C$15:$C$320,$A317-WEEKDAY($A317,2)+1)</f>
        <v/>
      </c>
      <c r="O317" s="159">
        <f>SUMIFS('METAS EMPRESAS'!$J$15:$J$320,'METAS EMPRESAS'!$A$15:$A$320,"EJ",'METAS EMPRESAS'!$B$15:$B$320,"IÇAMENTO JOIST",'METAS EMPRESAS'!$C$15:$C$320,$A317-WEEKDAY($A317,2)+1)</f>
        <v/>
      </c>
      <c r="P317" s="159">
        <f>SUMIFS('METAS EMPRESAS'!$J$15:$J$320,'METAS EMPRESAS'!$A$15:$A$320,"EJ",'METAS EMPRESAS'!$B$15:$B$320,"VIGAS",'METAS EMPRESAS'!$C$15:$C$320,$A317-WEEKDAY($A317,2)+1)</f>
        <v/>
      </c>
      <c r="Q317" s="159">
        <f>SUMIFS('METAS EMPRESAS'!$J$15:$J$320,'METAS EMPRESAS'!$A$15:$A$320,"CMM",'METAS EMPRESAS'!$B$15:$B$320,"PREMONTAGEM",'METAS EMPRESAS'!$C$15:$C$320,$A317-WEEKDAY($A317,2)+1)</f>
        <v/>
      </c>
      <c r="R317" s="159">
        <f>SUMIFS('METAS EMPRESAS'!$J$15:$J$320,'METAS EMPRESAS'!$A$15:$A$320,"CMM",'METAS EMPRESAS'!$B$15:$B$320,"IÇAMENTO JOIST",'METAS EMPRESAS'!$C$15:$C$320,$A317-WEEKDAY($A317,2)+1)</f>
        <v/>
      </c>
      <c r="S317" s="159">
        <f>SUMIFS('METAS EMPRESAS'!$J$15:$J$320,'METAS EMPRESAS'!$A$15:$A$320,"CMM",'METAS EMPRESAS'!$B$15:$B$320,"VIGAS",'METAS EMPRESAS'!$C$15:$C$320,$A317-WEEKDAY($A317,2)+1)</f>
        <v/>
      </c>
      <c r="T317">
        <f>--(WEEKDAY(A317,2)&lt;=5)</f>
        <v/>
      </c>
      <c r="U317" t="n">
        <v>19</v>
      </c>
      <c r="V317" t="n">
        <v>7</v>
      </c>
      <c r="W317" t="n">
        <v>0</v>
      </c>
      <c r="X317" t="n">
        <v>5</v>
      </c>
      <c r="Y317" t="n">
        <v>5</v>
      </c>
      <c r="Z317" t="n">
        <v>5</v>
      </c>
      <c r="AA317" t="n">
        <v>95</v>
      </c>
      <c r="AB317" t="n">
        <v>35</v>
      </c>
      <c r="AC317" t="n">
        <v>0</v>
      </c>
    </row>
    <row r="318">
      <c r="A318" s="317" t="n">
        <v>46539</v>
      </c>
      <c r="B318" s="159">
        <f>SUMIFS('METAS EMPRESAS'!$K$15:$K$320,'METAS EMPRESAS'!$A$15:$A$320,"EJ",'METAS EMPRESAS'!$B$15:$B$320,"PREMONTAGEM",'METAS EMPRESAS'!$C$15:$C$320,$A318-WEEKDAY($A318,2)+1)</f>
        <v/>
      </c>
      <c r="C318" s="159">
        <f>SUMIFS('METAS EMPRESAS'!$K$15:$K$320,'METAS EMPRESAS'!$A$15:$A$320,"EJ",'METAS EMPRESAS'!$B$15:$B$320,"IÇAMENTO JOIST",'METAS EMPRESAS'!$C$15:$C$320,$A318-WEEKDAY($A318,2)+1)</f>
        <v/>
      </c>
      <c r="D318" s="159">
        <f>SUMIFS('METAS EMPRESAS'!$K$15:$K$320,'METAS EMPRESAS'!$A$15:$A$320,"EJ",'METAS EMPRESAS'!$B$15:$B$320,"VIGAS",'METAS EMPRESAS'!$C$15:$C$320,$A318-WEEKDAY($A318,2)+1)</f>
        <v/>
      </c>
      <c r="E318" s="159">
        <f>SUMIFS('METAS EMPRESAS'!$K$15:$K$320,'METAS EMPRESAS'!$A$15:$A$320,"CMM",'METAS EMPRESAS'!$B$15:$B$320,"PREMONTAGEM",'METAS EMPRESAS'!$C$15:$C$320,$A318-WEEKDAY($A318,2)+1)</f>
        <v/>
      </c>
      <c r="F318" s="159">
        <f>SUMIFS('METAS EMPRESAS'!$K$15:$K$320,'METAS EMPRESAS'!$A$15:$A$320,"CMM",'METAS EMPRESAS'!$B$15:$B$320,"IÇAMENTO JOIST",'METAS EMPRESAS'!$C$15:$C$320,$A318-WEEKDAY($A318,2)+1)</f>
        <v/>
      </c>
      <c r="G318" s="159">
        <f>SUMIFS('METAS EMPRESAS'!$K$15:$K$320,'METAS EMPRESAS'!$A$15:$A$320,"CMM",'METAS EMPRESAS'!$B$15:$B$320,"VIGAS",'METAS EMPRESAS'!$C$15:$C$320,$A318-WEEKDAY($A318,2)+1)</f>
        <v/>
      </c>
      <c r="H318" s="159">
        <f>SUMIFS('METAS EMPRESAS'!$G$15:$G$320,'METAS EMPRESAS'!$A$15:$A$320,"EJ",'METAS EMPRESAS'!$B$15:$B$320,"PREMONTAGEM",'METAS EMPRESAS'!$C$15:$C$320,$A318-WEEKDAY($A318,2)+1)</f>
        <v/>
      </c>
      <c r="I318" s="159">
        <f>SUMIFS('METAS EMPRESAS'!$G$15:$G$320,'METAS EMPRESAS'!$A$15:$A$320,"EJ",'METAS EMPRESAS'!$B$15:$B$320,"IÇAMENTO JOIST",'METAS EMPRESAS'!$C$15:$C$320,$A318-WEEKDAY($A318,2)+1)</f>
        <v/>
      </c>
      <c r="J318" s="159">
        <f>SUMIFS('METAS EMPRESAS'!$G$15:$G$320,'METAS EMPRESAS'!$A$15:$A$320,"EJ",'METAS EMPRESAS'!$B$15:$B$320,"VIGAS",'METAS EMPRESAS'!$C$15:$C$320,$A318-WEEKDAY($A318,2)+1)</f>
        <v/>
      </c>
      <c r="K318" s="159">
        <f>SUMIFS('METAS EMPRESAS'!$G$15:$G$320,'METAS EMPRESAS'!$A$15:$A$320,"CMM",'METAS EMPRESAS'!$B$15:$B$320,"PREMONTAGEM",'METAS EMPRESAS'!$C$15:$C$320,$A318-WEEKDAY($A318,2)+1)</f>
        <v/>
      </c>
      <c r="L318" s="159">
        <f>SUMIFS('METAS EMPRESAS'!$G$15:$G$320,'METAS EMPRESAS'!$A$15:$A$320,"CMM",'METAS EMPRESAS'!$B$15:$B$320,"IÇAMENTO JOIST",'METAS EMPRESAS'!$C$15:$C$320,$A318-WEEKDAY($A318,2)+1)</f>
        <v/>
      </c>
      <c r="M318" s="159">
        <f>SUMIFS('METAS EMPRESAS'!$G$15:$G$320,'METAS EMPRESAS'!$A$15:$A$320,"CMM",'METAS EMPRESAS'!$B$15:$B$320,"VIGAS",'METAS EMPRESAS'!$C$15:$C$320,$A318-WEEKDAY($A318,2)+1)</f>
        <v/>
      </c>
      <c r="N318" s="159">
        <f>SUMIFS('METAS EMPRESAS'!$J$15:$J$320,'METAS EMPRESAS'!$A$15:$A$320,"EJ",'METAS EMPRESAS'!$B$15:$B$320,"PREMONTAGEM",'METAS EMPRESAS'!$C$15:$C$320,$A318-WEEKDAY($A318,2)+1)</f>
        <v/>
      </c>
      <c r="O318" s="159">
        <f>SUMIFS('METAS EMPRESAS'!$J$15:$J$320,'METAS EMPRESAS'!$A$15:$A$320,"EJ",'METAS EMPRESAS'!$B$15:$B$320,"IÇAMENTO JOIST",'METAS EMPRESAS'!$C$15:$C$320,$A318-WEEKDAY($A318,2)+1)</f>
        <v/>
      </c>
      <c r="P318" s="159">
        <f>SUMIFS('METAS EMPRESAS'!$J$15:$J$320,'METAS EMPRESAS'!$A$15:$A$320,"EJ",'METAS EMPRESAS'!$B$15:$B$320,"VIGAS",'METAS EMPRESAS'!$C$15:$C$320,$A318-WEEKDAY($A318,2)+1)</f>
        <v/>
      </c>
      <c r="Q318" s="159">
        <f>SUMIFS('METAS EMPRESAS'!$J$15:$J$320,'METAS EMPRESAS'!$A$15:$A$320,"CMM",'METAS EMPRESAS'!$B$15:$B$320,"PREMONTAGEM",'METAS EMPRESAS'!$C$15:$C$320,$A318-WEEKDAY($A318,2)+1)</f>
        <v/>
      </c>
      <c r="R318" s="159">
        <f>SUMIFS('METAS EMPRESAS'!$J$15:$J$320,'METAS EMPRESAS'!$A$15:$A$320,"CMM",'METAS EMPRESAS'!$B$15:$B$320,"IÇAMENTO JOIST",'METAS EMPRESAS'!$C$15:$C$320,$A318-WEEKDAY($A318,2)+1)</f>
        <v/>
      </c>
      <c r="S318" s="159">
        <f>SUMIFS('METAS EMPRESAS'!$J$15:$J$320,'METAS EMPRESAS'!$A$15:$A$320,"CMM",'METAS EMPRESAS'!$B$15:$B$320,"VIGAS",'METAS EMPRESAS'!$C$15:$C$320,$A318-WEEKDAY($A318,2)+1)</f>
        <v/>
      </c>
      <c r="T318">
        <f>--(WEEKDAY(A318,2)&lt;=5)</f>
        <v/>
      </c>
      <c r="U318" t="n">
        <v>19</v>
      </c>
      <c r="V318" t="n">
        <v>7</v>
      </c>
      <c r="W318" t="n">
        <v>0</v>
      </c>
      <c r="X318" t="n">
        <v>5</v>
      </c>
      <c r="Y318" t="n">
        <v>5</v>
      </c>
      <c r="Z318" t="n">
        <v>5</v>
      </c>
      <c r="AA318" t="n">
        <v>95</v>
      </c>
      <c r="AB318" t="n">
        <v>35</v>
      </c>
      <c r="AC318" t="n">
        <v>0</v>
      </c>
    </row>
    <row r="319">
      <c r="A319" s="317" t="n">
        <v>46540</v>
      </c>
      <c r="B319" s="159">
        <f>SUMIFS('METAS EMPRESAS'!$K$15:$K$320,'METAS EMPRESAS'!$A$15:$A$320,"EJ",'METAS EMPRESAS'!$B$15:$B$320,"PREMONTAGEM",'METAS EMPRESAS'!$C$15:$C$320,$A319-WEEKDAY($A319,2)+1)</f>
        <v/>
      </c>
      <c r="C319" s="159">
        <f>SUMIFS('METAS EMPRESAS'!$K$15:$K$320,'METAS EMPRESAS'!$A$15:$A$320,"EJ",'METAS EMPRESAS'!$B$15:$B$320,"IÇAMENTO JOIST",'METAS EMPRESAS'!$C$15:$C$320,$A319-WEEKDAY($A319,2)+1)</f>
        <v/>
      </c>
      <c r="D319" s="159">
        <f>SUMIFS('METAS EMPRESAS'!$K$15:$K$320,'METAS EMPRESAS'!$A$15:$A$320,"EJ",'METAS EMPRESAS'!$B$15:$B$320,"VIGAS",'METAS EMPRESAS'!$C$15:$C$320,$A319-WEEKDAY($A319,2)+1)</f>
        <v/>
      </c>
      <c r="E319" s="159">
        <f>SUMIFS('METAS EMPRESAS'!$K$15:$K$320,'METAS EMPRESAS'!$A$15:$A$320,"CMM",'METAS EMPRESAS'!$B$15:$B$320,"PREMONTAGEM",'METAS EMPRESAS'!$C$15:$C$320,$A319-WEEKDAY($A319,2)+1)</f>
        <v/>
      </c>
      <c r="F319" s="159">
        <f>SUMIFS('METAS EMPRESAS'!$K$15:$K$320,'METAS EMPRESAS'!$A$15:$A$320,"CMM",'METAS EMPRESAS'!$B$15:$B$320,"IÇAMENTO JOIST",'METAS EMPRESAS'!$C$15:$C$320,$A319-WEEKDAY($A319,2)+1)</f>
        <v/>
      </c>
      <c r="G319" s="159">
        <f>SUMIFS('METAS EMPRESAS'!$K$15:$K$320,'METAS EMPRESAS'!$A$15:$A$320,"CMM",'METAS EMPRESAS'!$B$15:$B$320,"VIGAS",'METAS EMPRESAS'!$C$15:$C$320,$A319-WEEKDAY($A319,2)+1)</f>
        <v/>
      </c>
      <c r="H319" s="159">
        <f>SUMIFS('METAS EMPRESAS'!$G$15:$G$320,'METAS EMPRESAS'!$A$15:$A$320,"EJ",'METAS EMPRESAS'!$B$15:$B$320,"PREMONTAGEM",'METAS EMPRESAS'!$C$15:$C$320,$A319-WEEKDAY($A319,2)+1)</f>
        <v/>
      </c>
      <c r="I319" s="159">
        <f>SUMIFS('METAS EMPRESAS'!$G$15:$G$320,'METAS EMPRESAS'!$A$15:$A$320,"EJ",'METAS EMPRESAS'!$B$15:$B$320,"IÇAMENTO JOIST",'METAS EMPRESAS'!$C$15:$C$320,$A319-WEEKDAY($A319,2)+1)</f>
        <v/>
      </c>
      <c r="J319" s="159">
        <f>SUMIFS('METAS EMPRESAS'!$G$15:$G$320,'METAS EMPRESAS'!$A$15:$A$320,"EJ",'METAS EMPRESAS'!$B$15:$B$320,"VIGAS",'METAS EMPRESAS'!$C$15:$C$320,$A319-WEEKDAY($A319,2)+1)</f>
        <v/>
      </c>
      <c r="K319" s="159">
        <f>SUMIFS('METAS EMPRESAS'!$G$15:$G$320,'METAS EMPRESAS'!$A$15:$A$320,"CMM",'METAS EMPRESAS'!$B$15:$B$320,"PREMONTAGEM",'METAS EMPRESAS'!$C$15:$C$320,$A319-WEEKDAY($A319,2)+1)</f>
        <v/>
      </c>
      <c r="L319" s="159">
        <f>SUMIFS('METAS EMPRESAS'!$G$15:$G$320,'METAS EMPRESAS'!$A$15:$A$320,"CMM",'METAS EMPRESAS'!$B$15:$B$320,"IÇAMENTO JOIST",'METAS EMPRESAS'!$C$15:$C$320,$A319-WEEKDAY($A319,2)+1)</f>
        <v/>
      </c>
      <c r="M319" s="159">
        <f>SUMIFS('METAS EMPRESAS'!$G$15:$G$320,'METAS EMPRESAS'!$A$15:$A$320,"CMM",'METAS EMPRESAS'!$B$15:$B$320,"VIGAS",'METAS EMPRESAS'!$C$15:$C$320,$A319-WEEKDAY($A319,2)+1)</f>
        <v/>
      </c>
      <c r="N319" s="159">
        <f>SUMIFS('METAS EMPRESAS'!$J$15:$J$320,'METAS EMPRESAS'!$A$15:$A$320,"EJ",'METAS EMPRESAS'!$B$15:$B$320,"PREMONTAGEM",'METAS EMPRESAS'!$C$15:$C$320,$A319-WEEKDAY($A319,2)+1)</f>
        <v/>
      </c>
      <c r="O319" s="159">
        <f>SUMIFS('METAS EMPRESAS'!$J$15:$J$320,'METAS EMPRESAS'!$A$15:$A$320,"EJ",'METAS EMPRESAS'!$B$15:$B$320,"IÇAMENTO JOIST",'METAS EMPRESAS'!$C$15:$C$320,$A319-WEEKDAY($A319,2)+1)</f>
        <v/>
      </c>
      <c r="P319" s="159">
        <f>SUMIFS('METAS EMPRESAS'!$J$15:$J$320,'METAS EMPRESAS'!$A$15:$A$320,"EJ",'METAS EMPRESAS'!$B$15:$B$320,"VIGAS",'METAS EMPRESAS'!$C$15:$C$320,$A319-WEEKDAY($A319,2)+1)</f>
        <v/>
      </c>
      <c r="Q319" s="159">
        <f>SUMIFS('METAS EMPRESAS'!$J$15:$J$320,'METAS EMPRESAS'!$A$15:$A$320,"CMM",'METAS EMPRESAS'!$B$15:$B$320,"PREMONTAGEM",'METAS EMPRESAS'!$C$15:$C$320,$A319-WEEKDAY($A319,2)+1)</f>
        <v/>
      </c>
      <c r="R319" s="159">
        <f>SUMIFS('METAS EMPRESAS'!$J$15:$J$320,'METAS EMPRESAS'!$A$15:$A$320,"CMM",'METAS EMPRESAS'!$B$15:$B$320,"IÇAMENTO JOIST",'METAS EMPRESAS'!$C$15:$C$320,$A319-WEEKDAY($A319,2)+1)</f>
        <v/>
      </c>
      <c r="S319" s="159">
        <f>SUMIFS('METAS EMPRESAS'!$J$15:$J$320,'METAS EMPRESAS'!$A$15:$A$320,"CMM",'METAS EMPRESAS'!$B$15:$B$320,"VIGAS",'METAS EMPRESAS'!$C$15:$C$320,$A319-WEEKDAY($A319,2)+1)</f>
        <v/>
      </c>
      <c r="T319">
        <f>--(WEEKDAY(A319,2)&lt;=5)</f>
        <v/>
      </c>
      <c r="U319" t="n">
        <v>19</v>
      </c>
      <c r="V319" t="n">
        <v>7</v>
      </c>
      <c r="W319" t="n">
        <v>0</v>
      </c>
      <c r="X319" t="n">
        <v>5</v>
      </c>
      <c r="Y319" t="n">
        <v>5</v>
      </c>
      <c r="Z319" t="n">
        <v>5</v>
      </c>
      <c r="AA319" t="n">
        <v>95</v>
      </c>
      <c r="AB319" t="n">
        <v>35</v>
      </c>
      <c r="AC319" t="n">
        <v>0</v>
      </c>
    </row>
    <row r="320">
      <c r="A320" s="317" t="n">
        <v>46541</v>
      </c>
      <c r="B320" s="159">
        <f>SUMIFS('METAS EMPRESAS'!$K$15:$K$320,'METAS EMPRESAS'!$A$15:$A$320,"EJ",'METAS EMPRESAS'!$B$15:$B$320,"PREMONTAGEM",'METAS EMPRESAS'!$C$15:$C$320,$A320-WEEKDAY($A320,2)+1)</f>
        <v/>
      </c>
      <c r="C320" s="159">
        <f>SUMIFS('METAS EMPRESAS'!$K$15:$K$320,'METAS EMPRESAS'!$A$15:$A$320,"EJ",'METAS EMPRESAS'!$B$15:$B$320,"IÇAMENTO JOIST",'METAS EMPRESAS'!$C$15:$C$320,$A320-WEEKDAY($A320,2)+1)</f>
        <v/>
      </c>
      <c r="D320" s="159">
        <f>SUMIFS('METAS EMPRESAS'!$K$15:$K$320,'METAS EMPRESAS'!$A$15:$A$320,"EJ",'METAS EMPRESAS'!$B$15:$B$320,"VIGAS",'METAS EMPRESAS'!$C$15:$C$320,$A320-WEEKDAY($A320,2)+1)</f>
        <v/>
      </c>
      <c r="E320" s="159">
        <f>SUMIFS('METAS EMPRESAS'!$K$15:$K$320,'METAS EMPRESAS'!$A$15:$A$320,"CMM",'METAS EMPRESAS'!$B$15:$B$320,"PREMONTAGEM",'METAS EMPRESAS'!$C$15:$C$320,$A320-WEEKDAY($A320,2)+1)</f>
        <v/>
      </c>
      <c r="F320" s="159">
        <f>SUMIFS('METAS EMPRESAS'!$K$15:$K$320,'METAS EMPRESAS'!$A$15:$A$320,"CMM",'METAS EMPRESAS'!$B$15:$B$320,"IÇAMENTO JOIST",'METAS EMPRESAS'!$C$15:$C$320,$A320-WEEKDAY($A320,2)+1)</f>
        <v/>
      </c>
      <c r="G320" s="159">
        <f>SUMIFS('METAS EMPRESAS'!$K$15:$K$320,'METAS EMPRESAS'!$A$15:$A$320,"CMM",'METAS EMPRESAS'!$B$15:$B$320,"VIGAS",'METAS EMPRESAS'!$C$15:$C$320,$A320-WEEKDAY($A320,2)+1)</f>
        <v/>
      </c>
      <c r="H320" s="159">
        <f>SUMIFS('METAS EMPRESAS'!$G$15:$G$320,'METAS EMPRESAS'!$A$15:$A$320,"EJ",'METAS EMPRESAS'!$B$15:$B$320,"PREMONTAGEM",'METAS EMPRESAS'!$C$15:$C$320,$A320-WEEKDAY($A320,2)+1)</f>
        <v/>
      </c>
      <c r="I320" s="159">
        <f>SUMIFS('METAS EMPRESAS'!$G$15:$G$320,'METAS EMPRESAS'!$A$15:$A$320,"EJ",'METAS EMPRESAS'!$B$15:$B$320,"IÇAMENTO JOIST",'METAS EMPRESAS'!$C$15:$C$320,$A320-WEEKDAY($A320,2)+1)</f>
        <v/>
      </c>
      <c r="J320" s="159">
        <f>SUMIFS('METAS EMPRESAS'!$G$15:$G$320,'METAS EMPRESAS'!$A$15:$A$320,"EJ",'METAS EMPRESAS'!$B$15:$B$320,"VIGAS",'METAS EMPRESAS'!$C$15:$C$320,$A320-WEEKDAY($A320,2)+1)</f>
        <v/>
      </c>
      <c r="K320" s="159">
        <f>SUMIFS('METAS EMPRESAS'!$G$15:$G$320,'METAS EMPRESAS'!$A$15:$A$320,"CMM",'METAS EMPRESAS'!$B$15:$B$320,"PREMONTAGEM",'METAS EMPRESAS'!$C$15:$C$320,$A320-WEEKDAY($A320,2)+1)</f>
        <v/>
      </c>
      <c r="L320" s="159">
        <f>SUMIFS('METAS EMPRESAS'!$G$15:$G$320,'METAS EMPRESAS'!$A$15:$A$320,"CMM",'METAS EMPRESAS'!$B$15:$B$320,"IÇAMENTO JOIST",'METAS EMPRESAS'!$C$15:$C$320,$A320-WEEKDAY($A320,2)+1)</f>
        <v/>
      </c>
      <c r="M320" s="159">
        <f>SUMIFS('METAS EMPRESAS'!$G$15:$G$320,'METAS EMPRESAS'!$A$15:$A$320,"CMM",'METAS EMPRESAS'!$B$15:$B$320,"VIGAS",'METAS EMPRESAS'!$C$15:$C$320,$A320-WEEKDAY($A320,2)+1)</f>
        <v/>
      </c>
      <c r="N320" s="159">
        <f>SUMIFS('METAS EMPRESAS'!$J$15:$J$320,'METAS EMPRESAS'!$A$15:$A$320,"EJ",'METAS EMPRESAS'!$B$15:$B$320,"PREMONTAGEM",'METAS EMPRESAS'!$C$15:$C$320,$A320-WEEKDAY($A320,2)+1)</f>
        <v/>
      </c>
      <c r="O320" s="159">
        <f>SUMIFS('METAS EMPRESAS'!$J$15:$J$320,'METAS EMPRESAS'!$A$15:$A$320,"EJ",'METAS EMPRESAS'!$B$15:$B$320,"IÇAMENTO JOIST",'METAS EMPRESAS'!$C$15:$C$320,$A320-WEEKDAY($A320,2)+1)</f>
        <v/>
      </c>
      <c r="P320" s="159">
        <f>SUMIFS('METAS EMPRESAS'!$J$15:$J$320,'METAS EMPRESAS'!$A$15:$A$320,"EJ",'METAS EMPRESAS'!$B$15:$B$320,"VIGAS",'METAS EMPRESAS'!$C$15:$C$320,$A320-WEEKDAY($A320,2)+1)</f>
        <v/>
      </c>
      <c r="Q320" s="159">
        <f>SUMIFS('METAS EMPRESAS'!$J$15:$J$320,'METAS EMPRESAS'!$A$15:$A$320,"CMM",'METAS EMPRESAS'!$B$15:$B$320,"PREMONTAGEM",'METAS EMPRESAS'!$C$15:$C$320,$A320-WEEKDAY($A320,2)+1)</f>
        <v/>
      </c>
      <c r="R320" s="159">
        <f>SUMIFS('METAS EMPRESAS'!$J$15:$J$320,'METAS EMPRESAS'!$A$15:$A$320,"CMM",'METAS EMPRESAS'!$B$15:$B$320,"IÇAMENTO JOIST",'METAS EMPRESAS'!$C$15:$C$320,$A320-WEEKDAY($A320,2)+1)</f>
        <v/>
      </c>
      <c r="S320" s="159">
        <f>SUMIFS('METAS EMPRESAS'!$J$15:$J$320,'METAS EMPRESAS'!$A$15:$A$320,"CMM",'METAS EMPRESAS'!$B$15:$B$320,"VIGAS",'METAS EMPRESAS'!$C$15:$C$320,$A320-WEEKDAY($A320,2)+1)</f>
        <v/>
      </c>
      <c r="T320">
        <f>--(WEEKDAY(A320,2)&lt;=5)</f>
        <v/>
      </c>
      <c r="U320" t="n">
        <v>19</v>
      </c>
      <c r="V320" t="n">
        <v>7</v>
      </c>
      <c r="W320" t="n">
        <v>0</v>
      </c>
      <c r="X320" t="n">
        <v>5</v>
      </c>
      <c r="Y320" t="n">
        <v>5</v>
      </c>
      <c r="Z320" t="n">
        <v>5</v>
      </c>
      <c r="AA320" t="n">
        <v>95</v>
      </c>
      <c r="AB320" t="n">
        <v>35</v>
      </c>
      <c r="AC320" t="n">
        <v>0</v>
      </c>
    </row>
    <row r="321">
      <c r="A321" s="317" t="n">
        <v>46542</v>
      </c>
      <c r="B321" s="159">
        <f>SUMIFS('METAS EMPRESAS'!$K$15:$K$320,'METAS EMPRESAS'!$A$15:$A$320,"EJ",'METAS EMPRESAS'!$B$15:$B$320,"PREMONTAGEM",'METAS EMPRESAS'!$C$15:$C$320,$A321-WEEKDAY($A321,2)+1)</f>
        <v/>
      </c>
      <c r="C321" s="159">
        <f>SUMIFS('METAS EMPRESAS'!$K$15:$K$320,'METAS EMPRESAS'!$A$15:$A$320,"EJ",'METAS EMPRESAS'!$B$15:$B$320,"IÇAMENTO JOIST",'METAS EMPRESAS'!$C$15:$C$320,$A321-WEEKDAY($A321,2)+1)</f>
        <v/>
      </c>
      <c r="D321" s="159">
        <f>SUMIFS('METAS EMPRESAS'!$K$15:$K$320,'METAS EMPRESAS'!$A$15:$A$320,"EJ",'METAS EMPRESAS'!$B$15:$B$320,"VIGAS",'METAS EMPRESAS'!$C$15:$C$320,$A321-WEEKDAY($A321,2)+1)</f>
        <v/>
      </c>
      <c r="E321" s="159">
        <f>SUMIFS('METAS EMPRESAS'!$K$15:$K$320,'METAS EMPRESAS'!$A$15:$A$320,"CMM",'METAS EMPRESAS'!$B$15:$B$320,"PREMONTAGEM",'METAS EMPRESAS'!$C$15:$C$320,$A321-WEEKDAY($A321,2)+1)</f>
        <v/>
      </c>
      <c r="F321" s="159">
        <f>SUMIFS('METAS EMPRESAS'!$K$15:$K$320,'METAS EMPRESAS'!$A$15:$A$320,"CMM",'METAS EMPRESAS'!$B$15:$B$320,"IÇAMENTO JOIST",'METAS EMPRESAS'!$C$15:$C$320,$A321-WEEKDAY($A321,2)+1)</f>
        <v/>
      </c>
      <c r="G321" s="159">
        <f>SUMIFS('METAS EMPRESAS'!$K$15:$K$320,'METAS EMPRESAS'!$A$15:$A$320,"CMM",'METAS EMPRESAS'!$B$15:$B$320,"VIGAS",'METAS EMPRESAS'!$C$15:$C$320,$A321-WEEKDAY($A321,2)+1)</f>
        <v/>
      </c>
      <c r="H321" s="159">
        <f>SUMIFS('METAS EMPRESAS'!$G$15:$G$320,'METAS EMPRESAS'!$A$15:$A$320,"EJ",'METAS EMPRESAS'!$B$15:$B$320,"PREMONTAGEM",'METAS EMPRESAS'!$C$15:$C$320,$A321-WEEKDAY($A321,2)+1)</f>
        <v/>
      </c>
      <c r="I321" s="159">
        <f>SUMIFS('METAS EMPRESAS'!$G$15:$G$320,'METAS EMPRESAS'!$A$15:$A$320,"EJ",'METAS EMPRESAS'!$B$15:$B$320,"IÇAMENTO JOIST",'METAS EMPRESAS'!$C$15:$C$320,$A321-WEEKDAY($A321,2)+1)</f>
        <v/>
      </c>
      <c r="J321" s="159">
        <f>SUMIFS('METAS EMPRESAS'!$G$15:$G$320,'METAS EMPRESAS'!$A$15:$A$320,"EJ",'METAS EMPRESAS'!$B$15:$B$320,"VIGAS",'METAS EMPRESAS'!$C$15:$C$320,$A321-WEEKDAY($A321,2)+1)</f>
        <v/>
      </c>
      <c r="K321" s="159">
        <f>SUMIFS('METAS EMPRESAS'!$G$15:$G$320,'METAS EMPRESAS'!$A$15:$A$320,"CMM",'METAS EMPRESAS'!$B$15:$B$320,"PREMONTAGEM",'METAS EMPRESAS'!$C$15:$C$320,$A321-WEEKDAY($A321,2)+1)</f>
        <v/>
      </c>
      <c r="L321" s="159">
        <f>SUMIFS('METAS EMPRESAS'!$G$15:$G$320,'METAS EMPRESAS'!$A$15:$A$320,"CMM",'METAS EMPRESAS'!$B$15:$B$320,"IÇAMENTO JOIST",'METAS EMPRESAS'!$C$15:$C$320,$A321-WEEKDAY($A321,2)+1)</f>
        <v/>
      </c>
      <c r="M321" s="159">
        <f>SUMIFS('METAS EMPRESAS'!$G$15:$G$320,'METAS EMPRESAS'!$A$15:$A$320,"CMM",'METAS EMPRESAS'!$B$15:$B$320,"VIGAS",'METAS EMPRESAS'!$C$15:$C$320,$A321-WEEKDAY($A321,2)+1)</f>
        <v/>
      </c>
      <c r="N321" s="159">
        <f>SUMIFS('METAS EMPRESAS'!$J$15:$J$320,'METAS EMPRESAS'!$A$15:$A$320,"EJ",'METAS EMPRESAS'!$B$15:$B$320,"PREMONTAGEM",'METAS EMPRESAS'!$C$15:$C$320,$A321-WEEKDAY($A321,2)+1)</f>
        <v/>
      </c>
      <c r="O321" s="159">
        <f>SUMIFS('METAS EMPRESAS'!$J$15:$J$320,'METAS EMPRESAS'!$A$15:$A$320,"EJ",'METAS EMPRESAS'!$B$15:$B$320,"IÇAMENTO JOIST",'METAS EMPRESAS'!$C$15:$C$320,$A321-WEEKDAY($A321,2)+1)</f>
        <v/>
      </c>
      <c r="P321" s="159">
        <f>SUMIFS('METAS EMPRESAS'!$J$15:$J$320,'METAS EMPRESAS'!$A$15:$A$320,"EJ",'METAS EMPRESAS'!$B$15:$B$320,"VIGAS",'METAS EMPRESAS'!$C$15:$C$320,$A321-WEEKDAY($A321,2)+1)</f>
        <v/>
      </c>
      <c r="Q321" s="159">
        <f>SUMIFS('METAS EMPRESAS'!$J$15:$J$320,'METAS EMPRESAS'!$A$15:$A$320,"CMM",'METAS EMPRESAS'!$B$15:$B$320,"PREMONTAGEM",'METAS EMPRESAS'!$C$15:$C$320,$A321-WEEKDAY($A321,2)+1)</f>
        <v/>
      </c>
      <c r="R321" s="159">
        <f>SUMIFS('METAS EMPRESAS'!$J$15:$J$320,'METAS EMPRESAS'!$A$15:$A$320,"CMM",'METAS EMPRESAS'!$B$15:$B$320,"IÇAMENTO JOIST",'METAS EMPRESAS'!$C$15:$C$320,$A321-WEEKDAY($A321,2)+1)</f>
        <v/>
      </c>
      <c r="S321" s="159">
        <f>SUMIFS('METAS EMPRESAS'!$J$15:$J$320,'METAS EMPRESAS'!$A$15:$A$320,"CMM",'METAS EMPRESAS'!$B$15:$B$320,"VIGAS",'METAS EMPRESAS'!$C$15:$C$320,$A321-WEEKDAY($A321,2)+1)</f>
        <v/>
      </c>
      <c r="T321">
        <f>--(WEEKDAY(A321,2)&lt;=5)</f>
        <v/>
      </c>
      <c r="U321" t="n">
        <v>19</v>
      </c>
      <c r="V321" t="n">
        <v>7</v>
      </c>
      <c r="W321" t="n">
        <v>0</v>
      </c>
      <c r="X321" t="n">
        <v>5</v>
      </c>
      <c r="Y321" t="n">
        <v>5</v>
      </c>
      <c r="Z321" t="n">
        <v>5</v>
      </c>
      <c r="AA321" t="n">
        <v>95</v>
      </c>
      <c r="AB321" t="n">
        <v>35</v>
      </c>
      <c r="AC321" t="n">
        <v>0</v>
      </c>
    </row>
    <row r="322">
      <c r="A322" s="317" t="n">
        <v>46543</v>
      </c>
      <c r="B322" s="159">
        <f>SUMIFS('METAS EMPRESAS'!$K$15:$K$320,'METAS EMPRESAS'!$A$15:$A$320,"EJ",'METAS EMPRESAS'!$B$15:$B$320,"PREMONTAGEM",'METAS EMPRESAS'!$C$15:$C$320,$A322-WEEKDAY($A322,2)+1)</f>
        <v/>
      </c>
      <c r="C322" s="159">
        <f>SUMIFS('METAS EMPRESAS'!$K$15:$K$320,'METAS EMPRESAS'!$A$15:$A$320,"EJ",'METAS EMPRESAS'!$B$15:$B$320,"IÇAMENTO JOIST",'METAS EMPRESAS'!$C$15:$C$320,$A322-WEEKDAY($A322,2)+1)</f>
        <v/>
      </c>
      <c r="D322" s="159">
        <f>SUMIFS('METAS EMPRESAS'!$K$15:$K$320,'METAS EMPRESAS'!$A$15:$A$320,"EJ",'METAS EMPRESAS'!$B$15:$B$320,"VIGAS",'METAS EMPRESAS'!$C$15:$C$320,$A322-WEEKDAY($A322,2)+1)</f>
        <v/>
      </c>
      <c r="E322" s="159">
        <f>SUMIFS('METAS EMPRESAS'!$K$15:$K$320,'METAS EMPRESAS'!$A$15:$A$320,"CMM",'METAS EMPRESAS'!$B$15:$B$320,"PREMONTAGEM",'METAS EMPRESAS'!$C$15:$C$320,$A322-WEEKDAY($A322,2)+1)</f>
        <v/>
      </c>
      <c r="F322" s="159">
        <f>SUMIFS('METAS EMPRESAS'!$K$15:$K$320,'METAS EMPRESAS'!$A$15:$A$320,"CMM",'METAS EMPRESAS'!$B$15:$B$320,"IÇAMENTO JOIST",'METAS EMPRESAS'!$C$15:$C$320,$A322-WEEKDAY($A322,2)+1)</f>
        <v/>
      </c>
      <c r="G322" s="159">
        <f>SUMIFS('METAS EMPRESAS'!$K$15:$K$320,'METAS EMPRESAS'!$A$15:$A$320,"CMM",'METAS EMPRESAS'!$B$15:$B$320,"VIGAS",'METAS EMPRESAS'!$C$15:$C$320,$A322-WEEKDAY($A322,2)+1)</f>
        <v/>
      </c>
      <c r="H322" s="159">
        <f>SUMIFS('METAS EMPRESAS'!$G$15:$G$320,'METAS EMPRESAS'!$A$15:$A$320,"EJ",'METAS EMPRESAS'!$B$15:$B$320,"PREMONTAGEM",'METAS EMPRESAS'!$C$15:$C$320,$A322-WEEKDAY($A322,2)+1)</f>
        <v/>
      </c>
      <c r="I322" s="159">
        <f>SUMIFS('METAS EMPRESAS'!$G$15:$G$320,'METAS EMPRESAS'!$A$15:$A$320,"EJ",'METAS EMPRESAS'!$B$15:$B$320,"IÇAMENTO JOIST",'METAS EMPRESAS'!$C$15:$C$320,$A322-WEEKDAY($A322,2)+1)</f>
        <v/>
      </c>
      <c r="J322" s="159">
        <f>SUMIFS('METAS EMPRESAS'!$G$15:$G$320,'METAS EMPRESAS'!$A$15:$A$320,"EJ",'METAS EMPRESAS'!$B$15:$B$320,"VIGAS",'METAS EMPRESAS'!$C$15:$C$320,$A322-WEEKDAY($A322,2)+1)</f>
        <v/>
      </c>
      <c r="K322" s="159">
        <f>SUMIFS('METAS EMPRESAS'!$G$15:$G$320,'METAS EMPRESAS'!$A$15:$A$320,"CMM",'METAS EMPRESAS'!$B$15:$B$320,"PREMONTAGEM",'METAS EMPRESAS'!$C$15:$C$320,$A322-WEEKDAY($A322,2)+1)</f>
        <v/>
      </c>
      <c r="L322" s="159">
        <f>SUMIFS('METAS EMPRESAS'!$G$15:$G$320,'METAS EMPRESAS'!$A$15:$A$320,"CMM",'METAS EMPRESAS'!$B$15:$B$320,"IÇAMENTO JOIST",'METAS EMPRESAS'!$C$15:$C$320,$A322-WEEKDAY($A322,2)+1)</f>
        <v/>
      </c>
      <c r="M322" s="159">
        <f>SUMIFS('METAS EMPRESAS'!$G$15:$G$320,'METAS EMPRESAS'!$A$15:$A$320,"CMM",'METAS EMPRESAS'!$B$15:$B$320,"VIGAS",'METAS EMPRESAS'!$C$15:$C$320,$A322-WEEKDAY($A322,2)+1)</f>
        <v/>
      </c>
      <c r="N322" s="159">
        <f>SUMIFS('METAS EMPRESAS'!$J$15:$J$320,'METAS EMPRESAS'!$A$15:$A$320,"EJ",'METAS EMPRESAS'!$B$15:$B$320,"PREMONTAGEM",'METAS EMPRESAS'!$C$15:$C$320,$A322-WEEKDAY($A322,2)+1)</f>
        <v/>
      </c>
      <c r="O322" s="159">
        <f>SUMIFS('METAS EMPRESAS'!$J$15:$J$320,'METAS EMPRESAS'!$A$15:$A$320,"EJ",'METAS EMPRESAS'!$B$15:$B$320,"IÇAMENTO JOIST",'METAS EMPRESAS'!$C$15:$C$320,$A322-WEEKDAY($A322,2)+1)</f>
        <v/>
      </c>
      <c r="P322" s="159">
        <f>SUMIFS('METAS EMPRESAS'!$J$15:$J$320,'METAS EMPRESAS'!$A$15:$A$320,"EJ",'METAS EMPRESAS'!$B$15:$B$320,"VIGAS",'METAS EMPRESAS'!$C$15:$C$320,$A322-WEEKDAY($A322,2)+1)</f>
        <v/>
      </c>
      <c r="Q322" s="159">
        <f>SUMIFS('METAS EMPRESAS'!$J$15:$J$320,'METAS EMPRESAS'!$A$15:$A$320,"CMM",'METAS EMPRESAS'!$B$15:$B$320,"PREMONTAGEM",'METAS EMPRESAS'!$C$15:$C$320,$A322-WEEKDAY($A322,2)+1)</f>
        <v/>
      </c>
      <c r="R322" s="159">
        <f>SUMIFS('METAS EMPRESAS'!$J$15:$J$320,'METAS EMPRESAS'!$A$15:$A$320,"CMM",'METAS EMPRESAS'!$B$15:$B$320,"IÇAMENTO JOIST",'METAS EMPRESAS'!$C$15:$C$320,$A322-WEEKDAY($A322,2)+1)</f>
        <v/>
      </c>
      <c r="S322" s="159">
        <f>SUMIFS('METAS EMPRESAS'!$J$15:$J$320,'METAS EMPRESAS'!$A$15:$A$320,"CMM",'METAS EMPRESAS'!$B$15:$B$320,"VIGAS",'METAS EMPRESAS'!$C$15:$C$320,$A322-WEEKDAY($A322,2)+1)</f>
        <v/>
      </c>
      <c r="T322">
        <f>--(WEEKDAY(A322,2)&lt;=5)</f>
        <v/>
      </c>
      <c r="U322" t="n">
        <v>19</v>
      </c>
      <c r="V322" t="n">
        <v>7</v>
      </c>
      <c r="W322" t="n">
        <v>0</v>
      </c>
      <c r="X322" t="n">
        <v>5</v>
      </c>
      <c r="Y322" t="n">
        <v>5</v>
      </c>
      <c r="Z322" t="n">
        <v>5</v>
      </c>
      <c r="AA322" t="n">
        <v>95</v>
      </c>
      <c r="AB322" t="n">
        <v>35</v>
      </c>
      <c r="AC322" t="n">
        <v>0</v>
      </c>
    </row>
    <row r="323">
      <c r="A323" s="317" t="n">
        <v>46544</v>
      </c>
      <c r="B323" s="159">
        <f>SUMIFS('METAS EMPRESAS'!$K$15:$K$320,'METAS EMPRESAS'!$A$15:$A$320,"EJ",'METAS EMPRESAS'!$B$15:$B$320,"PREMONTAGEM",'METAS EMPRESAS'!$C$15:$C$320,$A323-WEEKDAY($A323,2)+1)</f>
        <v/>
      </c>
      <c r="C323" s="159">
        <f>SUMIFS('METAS EMPRESAS'!$K$15:$K$320,'METAS EMPRESAS'!$A$15:$A$320,"EJ",'METAS EMPRESAS'!$B$15:$B$320,"IÇAMENTO JOIST",'METAS EMPRESAS'!$C$15:$C$320,$A323-WEEKDAY($A323,2)+1)</f>
        <v/>
      </c>
      <c r="D323" s="159">
        <f>SUMIFS('METAS EMPRESAS'!$K$15:$K$320,'METAS EMPRESAS'!$A$15:$A$320,"EJ",'METAS EMPRESAS'!$B$15:$B$320,"VIGAS",'METAS EMPRESAS'!$C$15:$C$320,$A323-WEEKDAY($A323,2)+1)</f>
        <v/>
      </c>
      <c r="E323" s="159">
        <f>SUMIFS('METAS EMPRESAS'!$K$15:$K$320,'METAS EMPRESAS'!$A$15:$A$320,"CMM",'METAS EMPRESAS'!$B$15:$B$320,"PREMONTAGEM",'METAS EMPRESAS'!$C$15:$C$320,$A323-WEEKDAY($A323,2)+1)</f>
        <v/>
      </c>
      <c r="F323" s="159">
        <f>SUMIFS('METAS EMPRESAS'!$K$15:$K$320,'METAS EMPRESAS'!$A$15:$A$320,"CMM",'METAS EMPRESAS'!$B$15:$B$320,"IÇAMENTO JOIST",'METAS EMPRESAS'!$C$15:$C$320,$A323-WEEKDAY($A323,2)+1)</f>
        <v/>
      </c>
      <c r="G323" s="159">
        <f>SUMIFS('METAS EMPRESAS'!$K$15:$K$320,'METAS EMPRESAS'!$A$15:$A$320,"CMM",'METAS EMPRESAS'!$B$15:$B$320,"VIGAS",'METAS EMPRESAS'!$C$15:$C$320,$A323-WEEKDAY($A323,2)+1)</f>
        <v/>
      </c>
      <c r="H323" s="159">
        <f>SUMIFS('METAS EMPRESAS'!$G$15:$G$320,'METAS EMPRESAS'!$A$15:$A$320,"EJ",'METAS EMPRESAS'!$B$15:$B$320,"PREMONTAGEM",'METAS EMPRESAS'!$C$15:$C$320,$A323-WEEKDAY($A323,2)+1)</f>
        <v/>
      </c>
      <c r="I323" s="159">
        <f>SUMIFS('METAS EMPRESAS'!$G$15:$G$320,'METAS EMPRESAS'!$A$15:$A$320,"EJ",'METAS EMPRESAS'!$B$15:$B$320,"IÇAMENTO JOIST",'METAS EMPRESAS'!$C$15:$C$320,$A323-WEEKDAY($A323,2)+1)</f>
        <v/>
      </c>
      <c r="J323" s="159">
        <f>SUMIFS('METAS EMPRESAS'!$G$15:$G$320,'METAS EMPRESAS'!$A$15:$A$320,"EJ",'METAS EMPRESAS'!$B$15:$B$320,"VIGAS",'METAS EMPRESAS'!$C$15:$C$320,$A323-WEEKDAY($A323,2)+1)</f>
        <v/>
      </c>
      <c r="K323" s="159">
        <f>SUMIFS('METAS EMPRESAS'!$G$15:$G$320,'METAS EMPRESAS'!$A$15:$A$320,"CMM",'METAS EMPRESAS'!$B$15:$B$320,"PREMONTAGEM",'METAS EMPRESAS'!$C$15:$C$320,$A323-WEEKDAY($A323,2)+1)</f>
        <v/>
      </c>
      <c r="L323" s="159">
        <f>SUMIFS('METAS EMPRESAS'!$G$15:$G$320,'METAS EMPRESAS'!$A$15:$A$320,"CMM",'METAS EMPRESAS'!$B$15:$B$320,"IÇAMENTO JOIST",'METAS EMPRESAS'!$C$15:$C$320,$A323-WEEKDAY($A323,2)+1)</f>
        <v/>
      </c>
      <c r="M323" s="159">
        <f>SUMIFS('METAS EMPRESAS'!$G$15:$G$320,'METAS EMPRESAS'!$A$15:$A$320,"CMM",'METAS EMPRESAS'!$B$15:$B$320,"VIGAS",'METAS EMPRESAS'!$C$15:$C$320,$A323-WEEKDAY($A323,2)+1)</f>
        <v/>
      </c>
      <c r="N323" s="159">
        <f>SUMIFS('METAS EMPRESAS'!$J$15:$J$320,'METAS EMPRESAS'!$A$15:$A$320,"EJ",'METAS EMPRESAS'!$B$15:$B$320,"PREMONTAGEM",'METAS EMPRESAS'!$C$15:$C$320,$A323-WEEKDAY($A323,2)+1)</f>
        <v/>
      </c>
      <c r="O323" s="159">
        <f>SUMIFS('METAS EMPRESAS'!$J$15:$J$320,'METAS EMPRESAS'!$A$15:$A$320,"EJ",'METAS EMPRESAS'!$B$15:$B$320,"IÇAMENTO JOIST",'METAS EMPRESAS'!$C$15:$C$320,$A323-WEEKDAY($A323,2)+1)</f>
        <v/>
      </c>
      <c r="P323" s="159">
        <f>SUMIFS('METAS EMPRESAS'!$J$15:$J$320,'METAS EMPRESAS'!$A$15:$A$320,"EJ",'METAS EMPRESAS'!$B$15:$B$320,"VIGAS",'METAS EMPRESAS'!$C$15:$C$320,$A323-WEEKDAY($A323,2)+1)</f>
        <v/>
      </c>
      <c r="Q323" s="159">
        <f>SUMIFS('METAS EMPRESAS'!$J$15:$J$320,'METAS EMPRESAS'!$A$15:$A$320,"CMM",'METAS EMPRESAS'!$B$15:$B$320,"PREMONTAGEM",'METAS EMPRESAS'!$C$15:$C$320,$A323-WEEKDAY($A323,2)+1)</f>
        <v/>
      </c>
      <c r="R323" s="159">
        <f>SUMIFS('METAS EMPRESAS'!$J$15:$J$320,'METAS EMPRESAS'!$A$15:$A$320,"CMM",'METAS EMPRESAS'!$B$15:$B$320,"IÇAMENTO JOIST",'METAS EMPRESAS'!$C$15:$C$320,$A323-WEEKDAY($A323,2)+1)</f>
        <v/>
      </c>
      <c r="S323" s="159">
        <f>SUMIFS('METAS EMPRESAS'!$J$15:$J$320,'METAS EMPRESAS'!$A$15:$A$320,"CMM",'METAS EMPRESAS'!$B$15:$B$320,"VIGAS",'METAS EMPRESAS'!$C$15:$C$320,$A323-WEEKDAY($A323,2)+1)</f>
        <v/>
      </c>
      <c r="T323">
        <f>--(WEEKDAY(A323,2)&lt;=5)</f>
        <v/>
      </c>
      <c r="U323" t="n">
        <v>19</v>
      </c>
      <c r="V323" t="n">
        <v>7</v>
      </c>
      <c r="W323" t="n">
        <v>0</v>
      </c>
      <c r="X323" t="n">
        <v>5</v>
      </c>
      <c r="Y323" t="n">
        <v>5</v>
      </c>
      <c r="Z323" t="n">
        <v>5</v>
      </c>
      <c r="AA323" t="n">
        <v>95</v>
      </c>
      <c r="AB323" t="n">
        <v>35</v>
      </c>
      <c r="AC323" t="n">
        <v>0</v>
      </c>
    </row>
    <row r="324">
      <c r="A324" s="317" t="n">
        <v>46545</v>
      </c>
      <c r="B324" s="159">
        <f>SUMIFS('METAS EMPRESAS'!$K$15:$K$320,'METAS EMPRESAS'!$A$15:$A$320,"EJ",'METAS EMPRESAS'!$B$15:$B$320,"PREMONTAGEM",'METAS EMPRESAS'!$C$15:$C$320,$A324-WEEKDAY($A324,2)+1)</f>
        <v/>
      </c>
      <c r="C324" s="159">
        <f>SUMIFS('METAS EMPRESAS'!$K$15:$K$320,'METAS EMPRESAS'!$A$15:$A$320,"EJ",'METAS EMPRESAS'!$B$15:$B$320,"IÇAMENTO JOIST",'METAS EMPRESAS'!$C$15:$C$320,$A324-WEEKDAY($A324,2)+1)</f>
        <v/>
      </c>
      <c r="D324" s="159">
        <f>SUMIFS('METAS EMPRESAS'!$K$15:$K$320,'METAS EMPRESAS'!$A$15:$A$320,"EJ",'METAS EMPRESAS'!$B$15:$B$320,"VIGAS",'METAS EMPRESAS'!$C$15:$C$320,$A324-WEEKDAY($A324,2)+1)</f>
        <v/>
      </c>
      <c r="E324" s="159">
        <f>SUMIFS('METAS EMPRESAS'!$K$15:$K$320,'METAS EMPRESAS'!$A$15:$A$320,"CMM",'METAS EMPRESAS'!$B$15:$B$320,"PREMONTAGEM",'METAS EMPRESAS'!$C$15:$C$320,$A324-WEEKDAY($A324,2)+1)</f>
        <v/>
      </c>
      <c r="F324" s="159">
        <f>SUMIFS('METAS EMPRESAS'!$K$15:$K$320,'METAS EMPRESAS'!$A$15:$A$320,"CMM",'METAS EMPRESAS'!$B$15:$B$320,"IÇAMENTO JOIST",'METAS EMPRESAS'!$C$15:$C$320,$A324-WEEKDAY($A324,2)+1)</f>
        <v/>
      </c>
      <c r="G324" s="159">
        <f>SUMIFS('METAS EMPRESAS'!$K$15:$K$320,'METAS EMPRESAS'!$A$15:$A$320,"CMM",'METAS EMPRESAS'!$B$15:$B$320,"VIGAS",'METAS EMPRESAS'!$C$15:$C$320,$A324-WEEKDAY($A324,2)+1)</f>
        <v/>
      </c>
      <c r="H324" s="159">
        <f>SUMIFS('METAS EMPRESAS'!$G$15:$G$320,'METAS EMPRESAS'!$A$15:$A$320,"EJ",'METAS EMPRESAS'!$B$15:$B$320,"PREMONTAGEM",'METAS EMPRESAS'!$C$15:$C$320,$A324-WEEKDAY($A324,2)+1)</f>
        <v/>
      </c>
      <c r="I324" s="159">
        <f>SUMIFS('METAS EMPRESAS'!$G$15:$G$320,'METAS EMPRESAS'!$A$15:$A$320,"EJ",'METAS EMPRESAS'!$B$15:$B$320,"IÇAMENTO JOIST",'METAS EMPRESAS'!$C$15:$C$320,$A324-WEEKDAY($A324,2)+1)</f>
        <v/>
      </c>
      <c r="J324" s="159">
        <f>SUMIFS('METAS EMPRESAS'!$G$15:$G$320,'METAS EMPRESAS'!$A$15:$A$320,"EJ",'METAS EMPRESAS'!$B$15:$B$320,"VIGAS",'METAS EMPRESAS'!$C$15:$C$320,$A324-WEEKDAY($A324,2)+1)</f>
        <v/>
      </c>
      <c r="K324" s="159">
        <f>SUMIFS('METAS EMPRESAS'!$G$15:$G$320,'METAS EMPRESAS'!$A$15:$A$320,"CMM",'METAS EMPRESAS'!$B$15:$B$320,"PREMONTAGEM",'METAS EMPRESAS'!$C$15:$C$320,$A324-WEEKDAY($A324,2)+1)</f>
        <v/>
      </c>
      <c r="L324" s="159">
        <f>SUMIFS('METAS EMPRESAS'!$G$15:$G$320,'METAS EMPRESAS'!$A$15:$A$320,"CMM",'METAS EMPRESAS'!$B$15:$B$320,"IÇAMENTO JOIST",'METAS EMPRESAS'!$C$15:$C$320,$A324-WEEKDAY($A324,2)+1)</f>
        <v/>
      </c>
      <c r="M324" s="159">
        <f>SUMIFS('METAS EMPRESAS'!$G$15:$G$320,'METAS EMPRESAS'!$A$15:$A$320,"CMM",'METAS EMPRESAS'!$B$15:$B$320,"VIGAS",'METAS EMPRESAS'!$C$15:$C$320,$A324-WEEKDAY($A324,2)+1)</f>
        <v/>
      </c>
      <c r="N324" s="159">
        <f>SUMIFS('METAS EMPRESAS'!$J$15:$J$320,'METAS EMPRESAS'!$A$15:$A$320,"EJ",'METAS EMPRESAS'!$B$15:$B$320,"PREMONTAGEM",'METAS EMPRESAS'!$C$15:$C$320,$A324-WEEKDAY($A324,2)+1)</f>
        <v/>
      </c>
      <c r="O324" s="159">
        <f>SUMIFS('METAS EMPRESAS'!$J$15:$J$320,'METAS EMPRESAS'!$A$15:$A$320,"EJ",'METAS EMPRESAS'!$B$15:$B$320,"IÇAMENTO JOIST",'METAS EMPRESAS'!$C$15:$C$320,$A324-WEEKDAY($A324,2)+1)</f>
        <v/>
      </c>
      <c r="P324" s="159">
        <f>SUMIFS('METAS EMPRESAS'!$J$15:$J$320,'METAS EMPRESAS'!$A$15:$A$320,"EJ",'METAS EMPRESAS'!$B$15:$B$320,"VIGAS",'METAS EMPRESAS'!$C$15:$C$320,$A324-WEEKDAY($A324,2)+1)</f>
        <v/>
      </c>
      <c r="Q324" s="159">
        <f>SUMIFS('METAS EMPRESAS'!$J$15:$J$320,'METAS EMPRESAS'!$A$15:$A$320,"CMM",'METAS EMPRESAS'!$B$15:$B$320,"PREMONTAGEM",'METAS EMPRESAS'!$C$15:$C$320,$A324-WEEKDAY($A324,2)+1)</f>
        <v/>
      </c>
      <c r="R324" s="159">
        <f>SUMIFS('METAS EMPRESAS'!$J$15:$J$320,'METAS EMPRESAS'!$A$15:$A$320,"CMM",'METAS EMPRESAS'!$B$15:$B$320,"IÇAMENTO JOIST",'METAS EMPRESAS'!$C$15:$C$320,$A324-WEEKDAY($A324,2)+1)</f>
        <v/>
      </c>
      <c r="S324" s="159">
        <f>SUMIFS('METAS EMPRESAS'!$J$15:$J$320,'METAS EMPRESAS'!$A$15:$A$320,"CMM",'METAS EMPRESAS'!$B$15:$B$320,"VIGAS",'METAS EMPRESAS'!$C$15:$C$320,$A324-WEEKDAY($A324,2)+1)</f>
        <v/>
      </c>
      <c r="T324">
        <f>--(WEEKDAY(A324,2)&lt;=5)</f>
        <v/>
      </c>
      <c r="U324" t="n">
        <v>19</v>
      </c>
      <c r="V324" t="n">
        <v>7</v>
      </c>
      <c r="W324" t="n">
        <v>0</v>
      </c>
      <c r="X324" t="n">
        <v>5</v>
      </c>
      <c r="Y324" t="n">
        <v>5</v>
      </c>
      <c r="Z324" t="n">
        <v>5</v>
      </c>
      <c r="AA324" t="n">
        <v>95</v>
      </c>
      <c r="AB324" t="n">
        <v>35</v>
      </c>
      <c r="AC324" t="n">
        <v>0</v>
      </c>
    </row>
    <row r="325">
      <c r="A325" s="317" t="n">
        <v>46546</v>
      </c>
      <c r="B325" s="159">
        <f>SUMIFS('METAS EMPRESAS'!$K$15:$K$320,'METAS EMPRESAS'!$A$15:$A$320,"EJ",'METAS EMPRESAS'!$B$15:$B$320,"PREMONTAGEM",'METAS EMPRESAS'!$C$15:$C$320,$A325-WEEKDAY($A325,2)+1)</f>
        <v/>
      </c>
      <c r="C325" s="159">
        <f>SUMIFS('METAS EMPRESAS'!$K$15:$K$320,'METAS EMPRESAS'!$A$15:$A$320,"EJ",'METAS EMPRESAS'!$B$15:$B$320,"IÇAMENTO JOIST",'METAS EMPRESAS'!$C$15:$C$320,$A325-WEEKDAY($A325,2)+1)</f>
        <v/>
      </c>
      <c r="D325" s="159">
        <f>SUMIFS('METAS EMPRESAS'!$K$15:$K$320,'METAS EMPRESAS'!$A$15:$A$320,"EJ",'METAS EMPRESAS'!$B$15:$B$320,"VIGAS",'METAS EMPRESAS'!$C$15:$C$320,$A325-WEEKDAY($A325,2)+1)</f>
        <v/>
      </c>
      <c r="E325" s="159">
        <f>SUMIFS('METAS EMPRESAS'!$K$15:$K$320,'METAS EMPRESAS'!$A$15:$A$320,"CMM",'METAS EMPRESAS'!$B$15:$B$320,"PREMONTAGEM",'METAS EMPRESAS'!$C$15:$C$320,$A325-WEEKDAY($A325,2)+1)</f>
        <v/>
      </c>
      <c r="F325" s="159">
        <f>SUMIFS('METAS EMPRESAS'!$K$15:$K$320,'METAS EMPRESAS'!$A$15:$A$320,"CMM",'METAS EMPRESAS'!$B$15:$B$320,"IÇAMENTO JOIST",'METAS EMPRESAS'!$C$15:$C$320,$A325-WEEKDAY($A325,2)+1)</f>
        <v/>
      </c>
      <c r="G325" s="159">
        <f>SUMIFS('METAS EMPRESAS'!$K$15:$K$320,'METAS EMPRESAS'!$A$15:$A$320,"CMM",'METAS EMPRESAS'!$B$15:$B$320,"VIGAS",'METAS EMPRESAS'!$C$15:$C$320,$A325-WEEKDAY($A325,2)+1)</f>
        <v/>
      </c>
      <c r="H325" s="159">
        <f>SUMIFS('METAS EMPRESAS'!$G$15:$G$320,'METAS EMPRESAS'!$A$15:$A$320,"EJ",'METAS EMPRESAS'!$B$15:$B$320,"PREMONTAGEM",'METAS EMPRESAS'!$C$15:$C$320,$A325-WEEKDAY($A325,2)+1)</f>
        <v/>
      </c>
      <c r="I325" s="159">
        <f>SUMIFS('METAS EMPRESAS'!$G$15:$G$320,'METAS EMPRESAS'!$A$15:$A$320,"EJ",'METAS EMPRESAS'!$B$15:$B$320,"IÇAMENTO JOIST",'METAS EMPRESAS'!$C$15:$C$320,$A325-WEEKDAY($A325,2)+1)</f>
        <v/>
      </c>
      <c r="J325" s="159">
        <f>SUMIFS('METAS EMPRESAS'!$G$15:$G$320,'METAS EMPRESAS'!$A$15:$A$320,"EJ",'METAS EMPRESAS'!$B$15:$B$320,"VIGAS",'METAS EMPRESAS'!$C$15:$C$320,$A325-WEEKDAY($A325,2)+1)</f>
        <v/>
      </c>
      <c r="K325" s="159">
        <f>SUMIFS('METAS EMPRESAS'!$G$15:$G$320,'METAS EMPRESAS'!$A$15:$A$320,"CMM",'METAS EMPRESAS'!$B$15:$B$320,"PREMONTAGEM",'METAS EMPRESAS'!$C$15:$C$320,$A325-WEEKDAY($A325,2)+1)</f>
        <v/>
      </c>
      <c r="L325" s="159">
        <f>SUMIFS('METAS EMPRESAS'!$G$15:$G$320,'METAS EMPRESAS'!$A$15:$A$320,"CMM",'METAS EMPRESAS'!$B$15:$B$320,"IÇAMENTO JOIST",'METAS EMPRESAS'!$C$15:$C$320,$A325-WEEKDAY($A325,2)+1)</f>
        <v/>
      </c>
      <c r="M325" s="159">
        <f>SUMIFS('METAS EMPRESAS'!$G$15:$G$320,'METAS EMPRESAS'!$A$15:$A$320,"CMM",'METAS EMPRESAS'!$B$15:$B$320,"VIGAS",'METAS EMPRESAS'!$C$15:$C$320,$A325-WEEKDAY($A325,2)+1)</f>
        <v/>
      </c>
      <c r="N325" s="159">
        <f>SUMIFS('METAS EMPRESAS'!$J$15:$J$320,'METAS EMPRESAS'!$A$15:$A$320,"EJ",'METAS EMPRESAS'!$B$15:$B$320,"PREMONTAGEM",'METAS EMPRESAS'!$C$15:$C$320,$A325-WEEKDAY($A325,2)+1)</f>
        <v/>
      </c>
      <c r="O325" s="159">
        <f>SUMIFS('METAS EMPRESAS'!$J$15:$J$320,'METAS EMPRESAS'!$A$15:$A$320,"EJ",'METAS EMPRESAS'!$B$15:$B$320,"IÇAMENTO JOIST",'METAS EMPRESAS'!$C$15:$C$320,$A325-WEEKDAY($A325,2)+1)</f>
        <v/>
      </c>
      <c r="P325" s="159">
        <f>SUMIFS('METAS EMPRESAS'!$J$15:$J$320,'METAS EMPRESAS'!$A$15:$A$320,"EJ",'METAS EMPRESAS'!$B$15:$B$320,"VIGAS",'METAS EMPRESAS'!$C$15:$C$320,$A325-WEEKDAY($A325,2)+1)</f>
        <v/>
      </c>
      <c r="Q325" s="159">
        <f>SUMIFS('METAS EMPRESAS'!$J$15:$J$320,'METAS EMPRESAS'!$A$15:$A$320,"CMM",'METAS EMPRESAS'!$B$15:$B$320,"PREMONTAGEM",'METAS EMPRESAS'!$C$15:$C$320,$A325-WEEKDAY($A325,2)+1)</f>
        <v/>
      </c>
      <c r="R325" s="159">
        <f>SUMIFS('METAS EMPRESAS'!$J$15:$J$320,'METAS EMPRESAS'!$A$15:$A$320,"CMM",'METAS EMPRESAS'!$B$15:$B$320,"IÇAMENTO JOIST",'METAS EMPRESAS'!$C$15:$C$320,$A325-WEEKDAY($A325,2)+1)</f>
        <v/>
      </c>
      <c r="S325" s="159">
        <f>SUMIFS('METAS EMPRESAS'!$J$15:$J$320,'METAS EMPRESAS'!$A$15:$A$320,"CMM",'METAS EMPRESAS'!$B$15:$B$320,"VIGAS",'METAS EMPRESAS'!$C$15:$C$320,$A325-WEEKDAY($A325,2)+1)</f>
        <v/>
      </c>
      <c r="T325">
        <f>--(WEEKDAY(A325,2)&lt;=5)</f>
        <v/>
      </c>
      <c r="U325" t="n">
        <v>19</v>
      </c>
      <c r="V325" t="n">
        <v>7</v>
      </c>
      <c r="W325" t="n">
        <v>0</v>
      </c>
      <c r="X325" t="n">
        <v>5</v>
      </c>
      <c r="Y325" t="n">
        <v>5</v>
      </c>
      <c r="Z325" t="n">
        <v>5</v>
      </c>
      <c r="AA325" t="n">
        <v>95</v>
      </c>
      <c r="AB325" t="n">
        <v>35</v>
      </c>
      <c r="AC325" t="n">
        <v>0</v>
      </c>
    </row>
    <row r="326">
      <c r="A326" s="317" t="n">
        <v>46547</v>
      </c>
      <c r="B326" s="159">
        <f>SUMIFS('METAS EMPRESAS'!$K$15:$K$320,'METAS EMPRESAS'!$A$15:$A$320,"EJ",'METAS EMPRESAS'!$B$15:$B$320,"PREMONTAGEM",'METAS EMPRESAS'!$C$15:$C$320,$A326-WEEKDAY($A326,2)+1)</f>
        <v/>
      </c>
      <c r="C326" s="159">
        <f>SUMIFS('METAS EMPRESAS'!$K$15:$K$320,'METAS EMPRESAS'!$A$15:$A$320,"EJ",'METAS EMPRESAS'!$B$15:$B$320,"IÇAMENTO JOIST",'METAS EMPRESAS'!$C$15:$C$320,$A326-WEEKDAY($A326,2)+1)</f>
        <v/>
      </c>
      <c r="D326" s="159">
        <f>SUMIFS('METAS EMPRESAS'!$K$15:$K$320,'METAS EMPRESAS'!$A$15:$A$320,"EJ",'METAS EMPRESAS'!$B$15:$B$320,"VIGAS",'METAS EMPRESAS'!$C$15:$C$320,$A326-WEEKDAY($A326,2)+1)</f>
        <v/>
      </c>
      <c r="E326" s="159">
        <f>SUMIFS('METAS EMPRESAS'!$K$15:$K$320,'METAS EMPRESAS'!$A$15:$A$320,"CMM",'METAS EMPRESAS'!$B$15:$B$320,"PREMONTAGEM",'METAS EMPRESAS'!$C$15:$C$320,$A326-WEEKDAY($A326,2)+1)</f>
        <v/>
      </c>
      <c r="F326" s="159">
        <f>SUMIFS('METAS EMPRESAS'!$K$15:$K$320,'METAS EMPRESAS'!$A$15:$A$320,"CMM",'METAS EMPRESAS'!$B$15:$B$320,"IÇAMENTO JOIST",'METAS EMPRESAS'!$C$15:$C$320,$A326-WEEKDAY($A326,2)+1)</f>
        <v/>
      </c>
      <c r="G326" s="159">
        <f>SUMIFS('METAS EMPRESAS'!$K$15:$K$320,'METAS EMPRESAS'!$A$15:$A$320,"CMM",'METAS EMPRESAS'!$B$15:$B$320,"VIGAS",'METAS EMPRESAS'!$C$15:$C$320,$A326-WEEKDAY($A326,2)+1)</f>
        <v/>
      </c>
      <c r="H326" s="159">
        <f>SUMIFS('METAS EMPRESAS'!$G$15:$G$320,'METAS EMPRESAS'!$A$15:$A$320,"EJ",'METAS EMPRESAS'!$B$15:$B$320,"PREMONTAGEM",'METAS EMPRESAS'!$C$15:$C$320,$A326-WEEKDAY($A326,2)+1)</f>
        <v/>
      </c>
      <c r="I326" s="159">
        <f>SUMIFS('METAS EMPRESAS'!$G$15:$G$320,'METAS EMPRESAS'!$A$15:$A$320,"EJ",'METAS EMPRESAS'!$B$15:$B$320,"IÇAMENTO JOIST",'METAS EMPRESAS'!$C$15:$C$320,$A326-WEEKDAY($A326,2)+1)</f>
        <v/>
      </c>
      <c r="J326" s="159">
        <f>SUMIFS('METAS EMPRESAS'!$G$15:$G$320,'METAS EMPRESAS'!$A$15:$A$320,"EJ",'METAS EMPRESAS'!$B$15:$B$320,"VIGAS",'METAS EMPRESAS'!$C$15:$C$320,$A326-WEEKDAY($A326,2)+1)</f>
        <v/>
      </c>
      <c r="K326" s="159">
        <f>SUMIFS('METAS EMPRESAS'!$G$15:$G$320,'METAS EMPRESAS'!$A$15:$A$320,"CMM",'METAS EMPRESAS'!$B$15:$B$320,"PREMONTAGEM",'METAS EMPRESAS'!$C$15:$C$320,$A326-WEEKDAY($A326,2)+1)</f>
        <v/>
      </c>
      <c r="L326" s="159">
        <f>SUMIFS('METAS EMPRESAS'!$G$15:$G$320,'METAS EMPRESAS'!$A$15:$A$320,"CMM",'METAS EMPRESAS'!$B$15:$B$320,"IÇAMENTO JOIST",'METAS EMPRESAS'!$C$15:$C$320,$A326-WEEKDAY($A326,2)+1)</f>
        <v/>
      </c>
      <c r="M326" s="159">
        <f>SUMIFS('METAS EMPRESAS'!$G$15:$G$320,'METAS EMPRESAS'!$A$15:$A$320,"CMM",'METAS EMPRESAS'!$B$15:$B$320,"VIGAS",'METAS EMPRESAS'!$C$15:$C$320,$A326-WEEKDAY($A326,2)+1)</f>
        <v/>
      </c>
      <c r="N326" s="159">
        <f>SUMIFS('METAS EMPRESAS'!$J$15:$J$320,'METAS EMPRESAS'!$A$15:$A$320,"EJ",'METAS EMPRESAS'!$B$15:$B$320,"PREMONTAGEM",'METAS EMPRESAS'!$C$15:$C$320,$A326-WEEKDAY($A326,2)+1)</f>
        <v/>
      </c>
      <c r="O326" s="159">
        <f>SUMIFS('METAS EMPRESAS'!$J$15:$J$320,'METAS EMPRESAS'!$A$15:$A$320,"EJ",'METAS EMPRESAS'!$B$15:$B$320,"IÇAMENTO JOIST",'METAS EMPRESAS'!$C$15:$C$320,$A326-WEEKDAY($A326,2)+1)</f>
        <v/>
      </c>
      <c r="P326" s="159">
        <f>SUMIFS('METAS EMPRESAS'!$J$15:$J$320,'METAS EMPRESAS'!$A$15:$A$320,"EJ",'METAS EMPRESAS'!$B$15:$B$320,"VIGAS",'METAS EMPRESAS'!$C$15:$C$320,$A326-WEEKDAY($A326,2)+1)</f>
        <v/>
      </c>
      <c r="Q326" s="159">
        <f>SUMIFS('METAS EMPRESAS'!$J$15:$J$320,'METAS EMPRESAS'!$A$15:$A$320,"CMM",'METAS EMPRESAS'!$B$15:$B$320,"PREMONTAGEM",'METAS EMPRESAS'!$C$15:$C$320,$A326-WEEKDAY($A326,2)+1)</f>
        <v/>
      </c>
      <c r="R326" s="159">
        <f>SUMIFS('METAS EMPRESAS'!$J$15:$J$320,'METAS EMPRESAS'!$A$15:$A$320,"CMM",'METAS EMPRESAS'!$B$15:$B$320,"IÇAMENTO JOIST",'METAS EMPRESAS'!$C$15:$C$320,$A326-WEEKDAY($A326,2)+1)</f>
        <v/>
      </c>
      <c r="S326" s="159">
        <f>SUMIFS('METAS EMPRESAS'!$J$15:$J$320,'METAS EMPRESAS'!$A$15:$A$320,"CMM",'METAS EMPRESAS'!$B$15:$B$320,"VIGAS",'METAS EMPRESAS'!$C$15:$C$320,$A326-WEEKDAY($A326,2)+1)</f>
        <v/>
      </c>
      <c r="T326">
        <f>--(WEEKDAY(A326,2)&lt;=5)</f>
        <v/>
      </c>
      <c r="U326" t="n">
        <v>19</v>
      </c>
      <c r="V326" t="n">
        <v>7</v>
      </c>
      <c r="W326" t="n">
        <v>0</v>
      </c>
      <c r="X326" t="n">
        <v>5</v>
      </c>
      <c r="Y326" t="n">
        <v>5</v>
      </c>
      <c r="Z326" t="n">
        <v>5</v>
      </c>
      <c r="AA326" t="n">
        <v>95</v>
      </c>
      <c r="AB326" t="n">
        <v>35</v>
      </c>
      <c r="AC326" t="n">
        <v>0</v>
      </c>
    </row>
    <row r="327">
      <c r="A327" s="317" t="n">
        <v>46548</v>
      </c>
      <c r="B327" s="159">
        <f>SUMIFS('METAS EMPRESAS'!$K$15:$K$320,'METAS EMPRESAS'!$A$15:$A$320,"EJ",'METAS EMPRESAS'!$B$15:$B$320,"PREMONTAGEM",'METAS EMPRESAS'!$C$15:$C$320,$A327-WEEKDAY($A327,2)+1)</f>
        <v/>
      </c>
      <c r="C327" s="159">
        <f>SUMIFS('METAS EMPRESAS'!$K$15:$K$320,'METAS EMPRESAS'!$A$15:$A$320,"EJ",'METAS EMPRESAS'!$B$15:$B$320,"IÇAMENTO JOIST",'METAS EMPRESAS'!$C$15:$C$320,$A327-WEEKDAY($A327,2)+1)</f>
        <v/>
      </c>
      <c r="D327" s="159">
        <f>SUMIFS('METAS EMPRESAS'!$K$15:$K$320,'METAS EMPRESAS'!$A$15:$A$320,"EJ",'METAS EMPRESAS'!$B$15:$B$320,"VIGAS",'METAS EMPRESAS'!$C$15:$C$320,$A327-WEEKDAY($A327,2)+1)</f>
        <v/>
      </c>
      <c r="E327" s="159">
        <f>SUMIFS('METAS EMPRESAS'!$K$15:$K$320,'METAS EMPRESAS'!$A$15:$A$320,"CMM",'METAS EMPRESAS'!$B$15:$B$320,"PREMONTAGEM",'METAS EMPRESAS'!$C$15:$C$320,$A327-WEEKDAY($A327,2)+1)</f>
        <v/>
      </c>
      <c r="F327" s="159">
        <f>SUMIFS('METAS EMPRESAS'!$K$15:$K$320,'METAS EMPRESAS'!$A$15:$A$320,"CMM",'METAS EMPRESAS'!$B$15:$B$320,"IÇAMENTO JOIST",'METAS EMPRESAS'!$C$15:$C$320,$A327-WEEKDAY($A327,2)+1)</f>
        <v/>
      </c>
      <c r="G327" s="159">
        <f>SUMIFS('METAS EMPRESAS'!$K$15:$K$320,'METAS EMPRESAS'!$A$15:$A$320,"CMM",'METAS EMPRESAS'!$B$15:$B$320,"VIGAS",'METAS EMPRESAS'!$C$15:$C$320,$A327-WEEKDAY($A327,2)+1)</f>
        <v/>
      </c>
      <c r="H327" s="159">
        <f>SUMIFS('METAS EMPRESAS'!$G$15:$G$320,'METAS EMPRESAS'!$A$15:$A$320,"EJ",'METAS EMPRESAS'!$B$15:$B$320,"PREMONTAGEM",'METAS EMPRESAS'!$C$15:$C$320,$A327-WEEKDAY($A327,2)+1)</f>
        <v/>
      </c>
      <c r="I327" s="159">
        <f>SUMIFS('METAS EMPRESAS'!$G$15:$G$320,'METAS EMPRESAS'!$A$15:$A$320,"EJ",'METAS EMPRESAS'!$B$15:$B$320,"IÇAMENTO JOIST",'METAS EMPRESAS'!$C$15:$C$320,$A327-WEEKDAY($A327,2)+1)</f>
        <v/>
      </c>
      <c r="J327" s="159">
        <f>SUMIFS('METAS EMPRESAS'!$G$15:$G$320,'METAS EMPRESAS'!$A$15:$A$320,"EJ",'METAS EMPRESAS'!$B$15:$B$320,"VIGAS",'METAS EMPRESAS'!$C$15:$C$320,$A327-WEEKDAY($A327,2)+1)</f>
        <v/>
      </c>
      <c r="K327" s="159">
        <f>SUMIFS('METAS EMPRESAS'!$G$15:$G$320,'METAS EMPRESAS'!$A$15:$A$320,"CMM",'METAS EMPRESAS'!$B$15:$B$320,"PREMONTAGEM",'METAS EMPRESAS'!$C$15:$C$320,$A327-WEEKDAY($A327,2)+1)</f>
        <v/>
      </c>
      <c r="L327" s="159">
        <f>SUMIFS('METAS EMPRESAS'!$G$15:$G$320,'METAS EMPRESAS'!$A$15:$A$320,"CMM",'METAS EMPRESAS'!$B$15:$B$320,"IÇAMENTO JOIST",'METAS EMPRESAS'!$C$15:$C$320,$A327-WEEKDAY($A327,2)+1)</f>
        <v/>
      </c>
      <c r="M327" s="159">
        <f>SUMIFS('METAS EMPRESAS'!$G$15:$G$320,'METAS EMPRESAS'!$A$15:$A$320,"CMM",'METAS EMPRESAS'!$B$15:$B$320,"VIGAS",'METAS EMPRESAS'!$C$15:$C$320,$A327-WEEKDAY($A327,2)+1)</f>
        <v/>
      </c>
      <c r="N327" s="159">
        <f>SUMIFS('METAS EMPRESAS'!$J$15:$J$320,'METAS EMPRESAS'!$A$15:$A$320,"EJ",'METAS EMPRESAS'!$B$15:$B$320,"PREMONTAGEM",'METAS EMPRESAS'!$C$15:$C$320,$A327-WEEKDAY($A327,2)+1)</f>
        <v/>
      </c>
      <c r="O327" s="159">
        <f>SUMIFS('METAS EMPRESAS'!$J$15:$J$320,'METAS EMPRESAS'!$A$15:$A$320,"EJ",'METAS EMPRESAS'!$B$15:$B$320,"IÇAMENTO JOIST",'METAS EMPRESAS'!$C$15:$C$320,$A327-WEEKDAY($A327,2)+1)</f>
        <v/>
      </c>
      <c r="P327" s="159">
        <f>SUMIFS('METAS EMPRESAS'!$J$15:$J$320,'METAS EMPRESAS'!$A$15:$A$320,"EJ",'METAS EMPRESAS'!$B$15:$B$320,"VIGAS",'METAS EMPRESAS'!$C$15:$C$320,$A327-WEEKDAY($A327,2)+1)</f>
        <v/>
      </c>
      <c r="Q327" s="159">
        <f>SUMIFS('METAS EMPRESAS'!$J$15:$J$320,'METAS EMPRESAS'!$A$15:$A$320,"CMM",'METAS EMPRESAS'!$B$15:$B$320,"PREMONTAGEM",'METAS EMPRESAS'!$C$15:$C$320,$A327-WEEKDAY($A327,2)+1)</f>
        <v/>
      </c>
      <c r="R327" s="159">
        <f>SUMIFS('METAS EMPRESAS'!$J$15:$J$320,'METAS EMPRESAS'!$A$15:$A$320,"CMM",'METAS EMPRESAS'!$B$15:$B$320,"IÇAMENTO JOIST",'METAS EMPRESAS'!$C$15:$C$320,$A327-WEEKDAY($A327,2)+1)</f>
        <v/>
      </c>
      <c r="S327" s="159">
        <f>SUMIFS('METAS EMPRESAS'!$J$15:$J$320,'METAS EMPRESAS'!$A$15:$A$320,"CMM",'METAS EMPRESAS'!$B$15:$B$320,"VIGAS",'METAS EMPRESAS'!$C$15:$C$320,$A327-WEEKDAY($A327,2)+1)</f>
        <v/>
      </c>
      <c r="T327">
        <f>--(WEEKDAY(A327,2)&lt;=5)</f>
        <v/>
      </c>
      <c r="U327" t="n">
        <v>19</v>
      </c>
      <c r="V327" t="n">
        <v>7</v>
      </c>
      <c r="W327" t="n">
        <v>0</v>
      </c>
      <c r="X327" t="n">
        <v>5</v>
      </c>
      <c r="Y327" t="n">
        <v>5</v>
      </c>
      <c r="Z327" t="n">
        <v>5</v>
      </c>
      <c r="AA327" t="n">
        <v>95</v>
      </c>
      <c r="AB327" t="n">
        <v>35</v>
      </c>
      <c r="AC327" t="n">
        <v>0</v>
      </c>
    </row>
    <row r="328">
      <c r="A328" s="317" t="n">
        <v>46549</v>
      </c>
      <c r="B328" s="159">
        <f>SUMIFS('METAS EMPRESAS'!$K$15:$K$320,'METAS EMPRESAS'!$A$15:$A$320,"EJ",'METAS EMPRESAS'!$B$15:$B$320,"PREMONTAGEM",'METAS EMPRESAS'!$C$15:$C$320,$A328-WEEKDAY($A328,2)+1)</f>
        <v/>
      </c>
      <c r="C328" s="159">
        <f>SUMIFS('METAS EMPRESAS'!$K$15:$K$320,'METAS EMPRESAS'!$A$15:$A$320,"EJ",'METAS EMPRESAS'!$B$15:$B$320,"IÇAMENTO JOIST",'METAS EMPRESAS'!$C$15:$C$320,$A328-WEEKDAY($A328,2)+1)</f>
        <v/>
      </c>
      <c r="D328" s="159">
        <f>SUMIFS('METAS EMPRESAS'!$K$15:$K$320,'METAS EMPRESAS'!$A$15:$A$320,"EJ",'METAS EMPRESAS'!$B$15:$B$320,"VIGAS",'METAS EMPRESAS'!$C$15:$C$320,$A328-WEEKDAY($A328,2)+1)</f>
        <v/>
      </c>
      <c r="E328" s="159">
        <f>SUMIFS('METAS EMPRESAS'!$K$15:$K$320,'METAS EMPRESAS'!$A$15:$A$320,"CMM",'METAS EMPRESAS'!$B$15:$B$320,"PREMONTAGEM",'METAS EMPRESAS'!$C$15:$C$320,$A328-WEEKDAY($A328,2)+1)</f>
        <v/>
      </c>
      <c r="F328" s="159">
        <f>SUMIFS('METAS EMPRESAS'!$K$15:$K$320,'METAS EMPRESAS'!$A$15:$A$320,"CMM",'METAS EMPRESAS'!$B$15:$B$320,"IÇAMENTO JOIST",'METAS EMPRESAS'!$C$15:$C$320,$A328-WEEKDAY($A328,2)+1)</f>
        <v/>
      </c>
      <c r="G328" s="159">
        <f>SUMIFS('METAS EMPRESAS'!$K$15:$K$320,'METAS EMPRESAS'!$A$15:$A$320,"CMM",'METAS EMPRESAS'!$B$15:$B$320,"VIGAS",'METAS EMPRESAS'!$C$15:$C$320,$A328-WEEKDAY($A328,2)+1)</f>
        <v/>
      </c>
      <c r="H328" s="159">
        <f>SUMIFS('METAS EMPRESAS'!$G$15:$G$320,'METAS EMPRESAS'!$A$15:$A$320,"EJ",'METAS EMPRESAS'!$B$15:$B$320,"PREMONTAGEM",'METAS EMPRESAS'!$C$15:$C$320,$A328-WEEKDAY($A328,2)+1)</f>
        <v/>
      </c>
      <c r="I328" s="159">
        <f>SUMIFS('METAS EMPRESAS'!$G$15:$G$320,'METAS EMPRESAS'!$A$15:$A$320,"EJ",'METAS EMPRESAS'!$B$15:$B$320,"IÇAMENTO JOIST",'METAS EMPRESAS'!$C$15:$C$320,$A328-WEEKDAY($A328,2)+1)</f>
        <v/>
      </c>
      <c r="J328" s="159">
        <f>SUMIFS('METAS EMPRESAS'!$G$15:$G$320,'METAS EMPRESAS'!$A$15:$A$320,"EJ",'METAS EMPRESAS'!$B$15:$B$320,"VIGAS",'METAS EMPRESAS'!$C$15:$C$320,$A328-WEEKDAY($A328,2)+1)</f>
        <v/>
      </c>
      <c r="K328" s="159">
        <f>SUMIFS('METAS EMPRESAS'!$G$15:$G$320,'METAS EMPRESAS'!$A$15:$A$320,"CMM",'METAS EMPRESAS'!$B$15:$B$320,"PREMONTAGEM",'METAS EMPRESAS'!$C$15:$C$320,$A328-WEEKDAY($A328,2)+1)</f>
        <v/>
      </c>
      <c r="L328" s="159">
        <f>SUMIFS('METAS EMPRESAS'!$G$15:$G$320,'METAS EMPRESAS'!$A$15:$A$320,"CMM",'METAS EMPRESAS'!$B$15:$B$320,"IÇAMENTO JOIST",'METAS EMPRESAS'!$C$15:$C$320,$A328-WEEKDAY($A328,2)+1)</f>
        <v/>
      </c>
      <c r="M328" s="159">
        <f>SUMIFS('METAS EMPRESAS'!$G$15:$G$320,'METAS EMPRESAS'!$A$15:$A$320,"CMM",'METAS EMPRESAS'!$B$15:$B$320,"VIGAS",'METAS EMPRESAS'!$C$15:$C$320,$A328-WEEKDAY($A328,2)+1)</f>
        <v/>
      </c>
      <c r="N328" s="159">
        <f>SUMIFS('METAS EMPRESAS'!$J$15:$J$320,'METAS EMPRESAS'!$A$15:$A$320,"EJ",'METAS EMPRESAS'!$B$15:$B$320,"PREMONTAGEM",'METAS EMPRESAS'!$C$15:$C$320,$A328-WEEKDAY($A328,2)+1)</f>
        <v/>
      </c>
      <c r="O328" s="159">
        <f>SUMIFS('METAS EMPRESAS'!$J$15:$J$320,'METAS EMPRESAS'!$A$15:$A$320,"EJ",'METAS EMPRESAS'!$B$15:$B$320,"IÇAMENTO JOIST",'METAS EMPRESAS'!$C$15:$C$320,$A328-WEEKDAY($A328,2)+1)</f>
        <v/>
      </c>
      <c r="P328" s="159">
        <f>SUMIFS('METAS EMPRESAS'!$J$15:$J$320,'METAS EMPRESAS'!$A$15:$A$320,"EJ",'METAS EMPRESAS'!$B$15:$B$320,"VIGAS",'METAS EMPRESAS'!$C$15:$C$320,$A328-WEEKDAY($A328,2)+1)</f>
        <v/>
      </c>
      <c r="Q328" s="159">
        <f>SUMIFS('METAS EMPRESAS'!$J$15:$J$320,'METAS EMPRESAS'!$A$15:$A$320,"CMM",'METAS EMPRESAS'!$B$15:$B$320,"PREMONTAGEM",'METAS EMPRESAS'!$C$15:$C$320,$A328-WEEKDAY($A328,2)+1)</f>
        <v/>
      </c>
      <c r="R328" s="159">
        <f>SUMIFS('METAS EMPRESAS'!$J$15:$J$320,'METAS EMPRESAS'!$A$15:$A$320,"CMM",'METAS EMPRESAS'!$B$15:$B$320,"IÇAMENTO JOIST",'METAS EMPRESAS'!$C$15:$C$320,$A328-WEEKDAY($A328,2)+1)</f>
        <v/>
      </c>
      <c r="S328" s="159">
        <f>SUMIFS('METAS EMPRESAS'!$J$15:$J$320,'METAS EMPRESAS'!$A$15:$A$320,"CMM",'METAS EMPRESAS'!$B$15:$B$320,"VIGAS",'METAS EMPRESAS'!$C$15:$C$320,$A328-WEEKDAY($A328,2)+1)</f>
        <v/>
      </c>
      <c r="T328">
        <f>--(WEEKDAY(A328,2)&lt;=5)</f>
        <v/>
      </c>
      <c r="U328" t="n">
        <v>19</v>
      </c>
      <c r="V328" t="n">
        <v>7</v>
      </c>
      <c r="W328" t="n">
        <v>0</v>
      </c>
      <c r="X328" t="n">
        <v>5</v>
      </c>
      <c r="Y328" t="n">
        <v>5</v>
      </c>
      <c r="Z328" t="n">
        <v>5</v>
      </c>
      <c r="AA328" t="n">
        <v>95</v>
      </c>
      <c r="AB328" t="n">
        <v>35</v>
      </c>
      <c r="AC328" t="n">
        <v>0</v>
      </c>
    </row>
    <row r="329">
      <c r="A329" s="317" t="n">
        <v>46550</v>
      </c>
      <c r="B329" s="159">
        <f>SUMIFS('METAS EMPRESAS'!$K$15:$K$320,'METAS EMPRESAS'!$A$15:$A$320,"EJ",'METAS EMPRESAS'!$B$15:$B$320,"PREMONTAGEM",'METAS EMPRESAS'!$C$15:$C$320,$A329-WEEKDAY($A329,2)+1)</f>
        <v/>
      </c>
      <c r="C329" s="159">
        <f>SUMIFS('METAS EMPRESAS'!$K$15:$K$320,'METAS EMPRESAS'!$A$15:$A$320,"EJ",'METAS EMPRESAS'!$B$15:$B$320,"IÇAMENTO JOIST",'METAS EMPRESAS'!$C$15:$C$320,$A329-WEEKDAY($A329,2)+1)</f>
        <v/>
      </c>
      <c r="D329" s="159">
        <f>SUMIFS('METAS EMPRESAS'!$K$15:$K$320,'METAS EMPRESAS'!$A$15:$A$320,"EJ",'METAS EMPRESAS'!$B$15:$B$320,"VIGAS",'METAS EMPRESAS'!$C$15:$C$320,$A329-WEEKDAY($A329,2)+1)</f>
        <v/>
      </c>
      <c r="E329" s="159">
        <f>SUMIFS('METAS EMPRESAS'!$K$15:$K$320,'METAS EMPRESAS'!$A$15:$A$320,"CMM",'METAS EMPRESAS'!$B$15:$B$320,"PREMONTAGEM",'METAS EMPRESAS'!$C$15:$C$320,$A329-WEEKDAY($A329,2)+1)</f>
        <v/>
      </c>
      <c r="F329" s="159">
        <f>SUMIFS('METAS EMPRESAS'!$K$15:$K$320,'METAS EMPRESAS'!$A$15:$A$320,"CMM",'METAS EMPRESAS'!$B$15:$B$320,"IÇAMENTO JOIST",'METAS EMPRESAS'!$C$15:$C$320,$A329-WEEKDAY($A329,2)+1)</f>
        <v/>
      </c>
      <c r="G329" s="159">
        <f>SUMIFS('METAS EMPRESAS'!$K$15:$K$320,'METAS EMPRESAS'!$A$15:$A$320,"CMM",'METAS EMPRESAS'!$B$15:$B$320,"VIGAS",'METAS EMPRESAS'!$C$15:$C$320,$A329-WEEKDAY($A329,2)+1)</f>
        <v/>
      </c>
      <c r="H329" s="159">
        <f>SUMIFS('METAS EMPRESAS'!$G$15:$G$320,'METAS EMPRESAS'!$A$15:$A$320,"EJ",'METAS EMPRESAS'!$B$15:$B$320,"PREMONTAGEM",'METAS EMPRESAS'!$C$15:$C$320,$A329-WEEKDAY($A329,2)+1)</f>
        <v/>
      </c>
      <c r="I329" s="159">
        <f>SUMIFS('METAS EMPRESAS'!$G$15:$G$320,'METAS EMPRESAS'!$A$15:$A$320,"EJ",'METAS EMPRESAS'!$B$15:$B$320,"IÇAMENTO JOIST",'METAS EMPRESAS'!$C$15:$C$320,$A329-WEEKDAY($A329,2)+1)</f>
        <v/>
      </c>
      <c r="J329" s="159">
        <f>SUMIFS('METAS EMPRESAS'!$G$15:$G$320,'METAS EMPRESAS'!$A$15:$A$320,"EJ",'METAS EMPRESAS'!$B$15:$B$320,"VIGAS",'METAS EMPRESAS'!$C$15:$C$320,$A329-WEEKDAY($A329,2)+1)</f>
        <v/>
      </c>
      <c r="K329" s="159">
        <f>SUMIFS('METAS EMPRESAS'!$G$15:$G$320,'METAS EMPRESAS'!$A$15:$A$320,"CMM",'METAS EMPRESAS'!$B$15:$B$320,"PREMONTAGEM",'METAS EMPRESAS'!$C$15:$C$320,$A329-WEEKDAY($A329,2)+1)</f>
        <v/>
      </c>
      <c r="L329" s="159">
        <f>SUMIFS('METAS EMPRESAS'!$G$15:$G$320,'METAS EMPRESAS'!$A$15:$A$320,"CMM",'METAS EMPRESAS'!$B$15:$B$320,"IÇAMENTO JOIST",'METAS EMPRESAS'!$C$15:$C$320,$A329-WEEKDAY($A329,2)+1)</f>
        <v/>
      </c>
      <c r="M329" s="159">
        <f>SUMIFS('METAS EMPRESAS'!$G$15:$G$320,'METAS EMPRESAS'!$A$15:$A$320,"CMM",'METAS EMPRESAS'!$B$15:$B$320,"VIGAS",'METAS EMPRESAS'!$C$15:$C$320,$A329-WEEKDAY($A329,2)+1)</f>
        <v/>
      </c>
      <c r="N329" s="159">
        <f>SUMIFS('METAS EMPRESAS'!$J$15:$J$320,'METAS EMPRESAS'!$A$15:$A$320,"EJ",'METAS EMPRESAS'!$B$15:$B$320,"PREMONTAGEM",'METAS EMPRESAS'!$C$15:$C$320,$A329-WEEKDAY($A329,2)+1)</f>
        <v/>
      </c>
      <c r="O329" s="159">
        <f>SUMIFS('METAS EMPRESAS'!$J$15:$J$320,'METAS EMPRESAS'!$A$15:$A$320,"EJ",'METAS EMPRESAS'!$B$15:$B$320,"IÇAMENTO JOIST",'METAS EMPRESAS'!$C$15:$C$320,$A329-WEEKDAY($A329,2)+1)</f>
        <v/>
      </c>
      <c r="P329" s="159">
        <f>SUMIFS('METAS EMPRESAS'!$J$15:$J$320,'METAS EMPRESAS'!$A$15:$A$320,"EJ",'METAS EMPRESAS'!$B$15:$B$320,"VIGAS",'METAS EMPRESAS'!$C$15:$C$320,$A329-WEEKDAY($A329,2)+1)</f>
        <v/>
      </c>
      <c r="Q329" s="159">
        <f>SUMIFS('METAS EMPRESAS'!$J$15:$J$320,'METAS EMPRESAS'!$A$15:$A$320,"CMM",'METAS EMPRESAS'!$B$15:$B$320,"PREMONTAGEM",'METAS EMPRESAS'!$C$15:$C$320,$A329-WEEKDAY($A329,2)+1)</f>
        <v/>
      </c>
      <c r="R329" s="159">
        <f>SUMIFS('METAS EMPRESAS'!$J$15:$J$320,'METAS EMPRESAS'!$A$15:$A$320,"CMM",'METAS EMPRESAS'!$B$15:$B$320,"IÇAMENTO JOIST",'METAS EMPRESAS'!$C$15:$C$320,$A329-WEEKDAY($A329,2)+1)</f>
        <v/>
      </c>
      <c r="S329" s="159">
        <f>SUMIFS('METAS EMPRESAS'!$J$15:$J$320,'METAS EMPRESAS'!$A$15:$A$320,"CMM",'METAS EMPRESAS'!$B$15:$B$320,"VIGAS",'METAS EMPRESAS'!$C$15:$C$320,$A329-WEEKDAY($A329,2)+1)</f>
        <v/>
      </c>
      <c r="T329">
        <f>--(WEEKDAY(A329,2)&lt;=5)</f>
        <v/>
      </c>
      <c r="U329" t="n">
        <v>19</v>
      </c>
      <c r="V329" t="n">
        <v>7</v>
      </c>
      <c r="W329" t="n">
        <v>0</v>
      </c>
      <c r="X329" t="n">
        <v>5</v>
      </c>
      <c r="Y329" t="n">
        <v>5</v>
      </c>
      <c r="Z329" t="n">
        <v>5</v>
      </c>
      <c r="AA329" t="n">
        <v>95</v>
      </c>
      <c r="AB329" t="n">
        <v>35</v>
      </c>
      <c r="AC329" t="n">
        <v>0</v>
      </c>
    </row>
    <row r="330">
      <c r="A330" s="317" t="n">
        <v>46551</v>
      </c>
      <c r="B330" s="159">
        <f>SUMIFS('METAS EMPRESAS'!$K$15:$K$320,'METAS EMPRESAS'!$A$15:$A$320,"EJ",'METAS EMPRESAS'!$B$15:$B$320,"PREMONTAGEM",'METAS EMPRESAS'!$C$15:$C$320,$A330-WEEKDAY($A330,2)+1)</f>
        <v/>
      </c>
      <c r="C330" s="159">
        <f>SUMIFS('METAS EMPRESAS'!$K$15:$K$320,'METAS EMPRESAS'!$A$15:$A$320,"EJ",'METAS EMPRESAS'!$B$15:$B$320,"IÇAMENTO JOIST",'METAS EMPRESAS'!$C$15:$C$320,$A330-WEEKDAY($A330,2)+1)</f>
        <v/>
      </c>
      <c r="D330" s="159">
        <f>SUMIFS('METAS EMPRESAS'!$K$15:$K$320,'METAS EMPRESAS'!$A$15:$A$320,"EJ",'METAS EMPRESAS'!$B$15:$B$320,"VIGAS",'METAS EMPRESAS'!$C$15:$C$320,$A330-WEEKDAY($A330,2)+1)</f>
        <v/>
      </c>
      <c r="E330" s="159">
        <f>SUMIFS('METAS EMPRESAS'!$K$15:$K$320,'METAS EMPRESAS'!$A$15:$A$320,"CMM",'METAS EMPRESAS'!$B$15:$B$320,"PREMONTAGEM",'METAS EMPRESAS'!$C$15:$C$320,$A330-WEEKDAY($A330,2)+1)</f>
        <v/>
      </c>
      <c r="F330" s="159">
        <f>SUMIFS('METAS EMPRESAS'!$K$15:$K$320,'METAS EMPRESAS'!$A$15:$A$320,"CMM",'METAS EMPRESAS'!$B$15:$B$320,"IÇAMENTO JOIST",'METAS EMPRESAS'!$C$15:$C$320,$A330-WEEKDAY($A330,2)+1)</f>
        <v/>
      </c>
      <c r="G330" s="159">
        <f>SUMIFS('METAS EMPRESAS'!$K$15:$K$320,'METAS EMPRESAS'!$A$15:$A$320,"CMM",'METAS EMPRESAS'!$B$15:$B$320,"VIGAS",'METAS EMPRESAS'!$C$15:$C$320,$A330-WEEKDAY($A330,2)+1)</f>
        <v/>
      </c>
      <c r="H330" s="159">
        <f>SUMIFS('METAS EMPRESAS'!$G$15:$G$320,'METAS EMPRESAS'!$A$15:$A$320,"EJ",'METAS EMPRESAS'!$B$15:$B$320,"PREMONTAGEM",'METAS EMPRESAS'!$C$15:$C$320,$A330-WEEKDAY($A330,2)+1)</f>
        <v/>
      </c>
      <c r="I330" s="159">
        <f>SUMIFS('METAS EMPRESAS'!$G$15:$G$320,'METAS EMPRESAS'!$A$15:$A$320,"EJ",'METAS EMPRESAS'!$B$15:$B$320,"IÇAMENTO JOIST",'METAS EMPRESAS'!$C$15:$C$320,$A330-WEEKDAY($A330,2)+1)</f>
        <v/>
      </c>
      <c r="J330" s="159">
        <f>SUMIFS('METAS EMPRESAS'!$G$15:$G$320,'METAS EMPRESAS'!$A$15:$A$320,"EJ",'METAS EMPRESAS'!$B$15:$B$320,"VIGAS",'METAS EMPRESAS'!$C$15:$C$320,$A330-WEEKDAY($A330,2)+1)</f>
        <v/>
      </c>
      <c r="K330" s="159">
        <f>SUMIFS('METAS EMPRESAS'!$G$15:$G$320,'METAS EMPRESAS'!$A$15:$A$320,"CMM",'METAS EMPRESAS'!$B$15:$B$320,"PREMONTAGEM",'METAS EMPRESAS'!$C$15:$C$320,$A330-WEEKDAY($A330,2)+1)</f>
        <v/>
      </c>
      <c r="L330" s="159">
        <f>SUMIFS('METAS EMPRESAS'!$G$15:$G$320,'METAS EMPRESAS'!$A$15:$A$320,"CMM",'METAS EMPRESAS'!$B$15:$B$320,"IÇAMENTO JOIST",'METAS EMPRESAS'!$C$15:$C$320,$A330-WEEKDAY($A330,2)+1)</f>
        <v/>
      </c>
      <c r="M330" s="159">
        <f>SUMIFS('METAS EMPRESAS'!$G$15:$G$320,'METAS EMPRESAS'!$A$15:$A$320,"CMM",'METAS EMPRESAS'!$B$15:$B$320,"VIGAS",'METAS EMPRESAS'!$C$15:$C$320,$A330-WEEKDAY($A330,2)+1)</f>
        <v/>
      </c>
      <c r="N330" s="159">
        <f>SUMIFS('METAS EMPRESAS'!$J$15:$J$320,'METAS EMPRESAS'!$A$15:$A$320,"EJ",'METAS EMPRESAS'!$B$15:$B$320,"PREMONTAGEM",'METAS EMPRESAS'!$C$15:$C$320,$A330-WEEKDAY($A330,2)+1)</f>
        <v/>
      </c>
      <c r="O330" s="159">
        <f>SUMIFS('METAS EMPRESAS'!$J$15:$J$320,'METAS EMPRESAS'!$A$15:$A$320,"EJ",'METAS EMPRESAS'!$B$15:$B$320,"IÇAMENTO JOIST",'METAS EMPRESAS'!$C$15:$C$320,$A330-WEEKDAY($A330,2)+1)</f>
        <v/>
      </c>
      <c r="P330" s="159">
        <f>SUMIFS('METAS EMPRESAS'!$J$15:$J$320,'METAS EMPRESAS'!$A$15:$A$320,"EJ",'METAS EMPRESAS'!$B$15:$B$320,"VIGAS",'METAS EMPRESAS'!$C$15:$C$320,$A330-WEEKDAY($A330,2)+1)</f>
        <v/>
      </c>
      <c r="Q330" s="159">
        <f>SUMIFS('METAS EMPRESAS'!$J$15:$J$320,'METAS EMPRESAS'!$A$15:$A$320,"CMM",'METAS EMPRESAS'!$B$15:$B$320,"PREMONTAGEM",'METAS EMPRESAS'!$C$15:$C$320,$A330-WEEKDAY($A330,2)+1)</f>
        <v/>
      </c>
      <c r="R330" s="159">
        <f>SUMIFS('METAS EMPRESAS'!$J$15:$J$320,'METAS EMPRESAS'!$A$15:$A$320,"CMM",'METAS EMPRESAS'!$B$15:$B$320,"IÇAMENTO JOIST",'METAS EMPRESAS'!$C$15:$C$320,$A330-WEEKDAY($A330,2)+1)</f>
        <v/>
      </c>
      <c r="S330" s="159">
        <f>SUMIFS('METAS EMPRESAS'!$J$15:$J$320,'METAS EMPRESAS'!$A$15:$A$320,"CMM",'METAS EMPRESAS'!$B$15:$B$320,"VIGAS",'METAS EMPRESAS'!$C$15:$C$320,$A330-WEEKDAY($A330,2)+1)</f>
        <v/>
      </c>
      <c r="T330">
        <f>--(WEEKDAY(A330,2)&lt;=5)</f>
        <v/>
      </c>
      <c r="U330" t="n">
        <v>19</v>
      </c>
      <c r="V330" t="n">
        <v>7</v>
      </c>
      <c r="W330" t="n">
        <v>0</v>
      </c>
      <c r="X330" t="n">
        <v>5</v>
      </c>
      <c r="Y330" t="n">
        <v>5</v>
      </c>
      <c r="Z330" t="n">
        <v>5</v>
      </c>
      <c r="AA330" t="n">
        <v>95</v>
      </c>
      <c r="AB330" t="n">
        <v>35</v>
      </c>
      <c r="AC330" t="n">
        <v>0</v>
      </c>
    </row>
    <row r="331">
      <c r="A331" s="317" t="n">
        <v>46552</v>
      </c>
      <c r="B331" s="159">
        <f>SUMIFS('METAS EMPRESAS'!$K$15:$K$320,'METAS EMPRESAS'!$A$15:$A$320,"EJ",'METAS EMPRESAS'!$B$15:$B$320,"PREMONTAGEM",'METAS EMPRESAS'!$C$15:$C$320,$A331-WEEKDAY($A331,2)+1)</f>
        <v/>
      </c>
      <c r="C331" s="159">
        <f>SUMIFS('METAS EMPRESAS'!$K$15:$K$320,'METAS EMPRESAS'!$A$15:$A$320,"EJ",'METAS EMPRESAS'!$B$15:$B$320,"IÇAMENTO JOIST",'METAS EMPRESAS'!$C$15:$C$320,$A331-WEEKDAY($A331,2)+1)</f>
        <v/>
      </c>
      <c r="D331" s="159">
        <f>SUMIFS('METAS EMPRESAS'!$K$15:$K$320,'METAS EMPRESAS'!$A$15:$A$320,"EJ",'METAS EMPRESAS'!$B$15:$B$320,"VIGAS",'METAS EMPRESAS'!$C$15:$C$320,$A331-WEEKDAY($A331,2)+1)</f>
        <v/>
      </c>
      <c r="E331" s="159">
        <f>SUMIFS('METAS EMPRESAS'!$K$15:$K$320,'METAS EMPRESAS'!$A$15:$A$320,"CMM",'METAS EMPRESAS'!$B$15:$B$320,"PREMONTAGEM",'METAS EMPRESAS'!$C$15:$C$320,$A331-WEEKDAY($A331,2)+1)</f>
        <v/>
      </c>
      <c r="F331" s="159">
        <f>SUMIFS('METAS EMPRESAS'!$K$15:$K$320,'METAS EMPRESAS'!$A$15:$A$320,"CMM",'METAS EMPRESAS'!$B$15:$B$320,"IÇAMENTO JOIST",'METAS EMPRESAS'!$C$15:$C$320,$A331-WEEKDAY($A331,2)+1)</f>
        <v/>
      </c>
      <c r="G331" s="159">
        <f>SUMIFS('METAS EMPRESAS'!$K$15:$K$320,'METAS EMPRESAS'!$A$15:$A$320,"CMM",'METAS EMPRESAS'!$B$15:$B$320,"VIGAS",'METAS EMPRESAS'!$C$15:$C$320,$A331-WEEKDAY($A331,2)+1)</f>
        <v/>
      </c>
      <c r="H331" s="159">
        <f>SUMIFS('METAS EMPRESAS'!$G$15:$G$320,'METAS EMPRESAS'!$A$15:$A$320,"EJ",'METAS EMPRESAS'!$B$15:$B$320,"PREMONTAGEM",'METAS EMPRESAS'!$C$15:$C$320,$A331-WEEKDAY($A331,2)+1)</f>
        <v/>
      </c>
      <c r="I331" s="159">
        <f>SUMIFS('METAS EMPRESAS'!$G$15:$G$320,'METAS EMPRESAS'!$A$15:$A$320,"EJ",'METAS EMPRESAS'!$B$15:$B$320,"IÇAMENTO JOIST",'METAS EMPRESAS'!$C$15:$C$320,$A331-WEEKDAY($A331,2)+1)</f>
        <v/>
      </c>
      <c r="J331" s="159">
        <f>SUMIFS('METAS EMPRESAS'!$G$15:$G$320,'METAS EMPRESAS'!$A$15:$A$320,"EJ",'METAS EMPRESAS'!$B$15:$B$320,"VIGAS",'METAS EMPRESAS'!$C$15:$C$320,$A331-WEEKDAY($A331,2)+1)</f>
        <v/>
      </c>
      <c r="K331" s="159">
        <f>SUMIFS('METAS EMPRESAS'!$G$15:$G$320,'METAS EMPRESAS'!$A$15:$A$320,"CMM",'METAS EMPRESAS'!$B$15:$B$320,"PREMONTAGEM",'METAS EMPRESAS'!$C$15:$C$320,$A331-WEEKDAY($A331,2)+1)</f>
        <v/>
      </c>
      <c r="L331" s="159">
        <f>SUMIFS('METAS EMPRESAS'!$G$15:$G$320,'METAS EMPRESAS'!$A$15:$A$320,"CMM",'METAS EMPRESAS'!$B$15:$B$320,"IÇAMENTO JOIST",'METAS EMPRESAS'!$C$15:$C$320,$A331-WEEKDAY($A331,2)+1)</f>
        <v/>
      </c>
      <c r="M331" s="159">
        <f>SUMIFS('METAS EMPRESAS'!$G$15:$G$320,'METAS EMPRESAS'!$A$15:$A$320,"CMM",'METAS EMPRESAS'!$B$15:$B$320,"VIGAS",'METAS EMPRESAS'!$C$15:$C$320,$A331-WEEKDAY($A331,2)+1)</f>
        <v/>
      </c>
      <c r="N331" s="159">
        <f>SUMIFS('METAS EMPRESAS'!$J$15:$J$320,'METAS EMPRESAS'!$A$15:$A$320,"EJ",'METAS EMPRESAS'!$B$15:$B$320,"PREMONTAGEM",'METAS EMPRESAS'!$C$15:$C$320,$A331-WEEKDAY($A331,2)+1)</f>
        <v/>
      </c>
      <c r="O331" s="159">
        <f>SUMIFS('METAS EMPRESAS'!$J$15:$J$320,'METAS EMPRESAS'!$A$15:$A$320,"EJ",'METAS EMPRESAS'!$B$15:$B$320,"IÇAMENTO JOIST",'METAS EMPRESAS'!$C$15:$C$320,$A331-WEEKDAY($A331,2)+1)</f>
        <v/>
      </c>
      <c r="P331" s="159">
        <f>SUMIFS('METAS EMPRESAS'!$J$15:$J$320,'METAS EMPRESAS'!$A$15:$A$320,"EJ",'METAS EMPRESAS'!$B$15:$B$320,"VIGAS",'METAS EMPRESAS'!$C$15:$C$320,$A331-WEEKDAY($A331,2)+1)</f>
        <v/>
      </c>
      <c r="Q331" s="159">
        <f>SUMIFS('METAS EMPRESAS'!$J$15:$J$320,'METAS EMPRESAS'!$A$15:$A$320,"CMM",'METAS EMPRESAS'!$B$15:$B$320,"PREMONTAGEM",'METAS EMPRESAS'!$C$15:$C$320,$A331-WEEKDAY($A331,2)+1)</f>
        <v/>
      </c>
      <c r="R331" s="159">
        <f>SUMIFS('METAS EMPRESAS'!$J$15:$J$320,'METAS EMPRESAS'!$A$15:$A$320,"CMM",'METAS EMPRESAS'!$B$15:$B$320,"IÇAMENTO JOIST",'METAS EMPRESAS'!$C$15:$C$320,$A331-WEEKDAY($A331,2)+1)</f>
        <v/>
      </c>
      <c r="S331" s="159">
        <f>SUMIFS('METAS EMPRESAS'!$J$15:$J$320,'METAS EMPRESAS'!$A$15:$A$320,"CMM",'METAS EMPRESAS'!$B$15:$B$320,"VIGAS",'METAS EMPRESAS'!$C$15:$C$320,$A331-WEEKDAY($A331,2)+1)</f>
        <v/>
      </c>
      <c r="T331">
        <f>--(WEEKDAY(A331,2)&lt;=5)</f>
        <v/>
      </c>
      <c r="U331" t="n">
        <v>19</v>
      </c>
      <c r="V331" t="n">
        <v>7</v>
      </c>
      <c r="W331" t="n">
        <v>0</v>
      </c>
      <c r="X331" t="n">
        <v>5</v>
      </c>
      <c r="Y331" t="n">
        <v>5</v>
      </c>
      <c r="Z331" t="n">
        <v>5</v>
      </c>
      <c r="AA331" t="n">
        <v>95</v>
      </c>
      <c r="AB331" t="n">
        <v>35</v>
      </c>
      <c r="AC331" t="n">
        <v>0</v>
      </c>
    </row>
    <row r="332">
      <c r="A332" s="317" t="n">
        <v>46553</v>
      </c>
      <c r="B332" s="159">
        <f>SUMIFS('METAS EMPRESAS'!$K$15:$K$320,'METAS EMPRESAS'!$A$15:$A$320,"EJ",'METAS EMPRESAS'!$B$15:$B$320,"PREMONTAGEM",'METAS EMPRESAS'!$C$15:$C$320,$A332-WEEKDAY($A332,2)+1)</f>
        <v/>
      </c>
      <c r="C332" s="159">
        <f>SUMIFS('METAS EMPRESAS'!$K$15:$K$320,'METAS EMPRESAS'!$A$15:$A$320,"EJ",'METAS EMPRESAS'!$B$15:$B$320,"IÇAMENTO JOIST",'METAS EMPRESAS'!$C$15:$C$320,$A332-WEEKDAY($A332,2)+1)</f>
        <v/>
      </c>
      <c r="D332" s="159">
        <f>SUMIFS('METAS EMPRESAS'!$K$15:$K$320,'METAS EMPRESAS'!$A$15:$A$320,"EJ",'METAS EMPRESAS'!$B$15:$B$320,"VIGAS",'METAS EMPRESAS'!$C$15:$C$320,$A332-WEEKDAY($A332,2)+1)</f>
        <v/>
      </c>
      <c r="E332" s="159">
        <f>SUMIFS('METAS EMPRESAS'!$K$15:$K$320,'METAS EMPRESAS'!$A$15:$A$320,"CMM",'METAS EMPRESAS'!$B$15:$B$320,"PREMONTAGEM",'METAS EMPRESAS'!$C$15:$C$320,$A332-WEEKDAY($A332,2)+1)</f>
        <v/>
      </c>
      <c r="F332" s="159">
        <f>SUMIFS('METAS EMPRESAS'!$K$15:$K$320,'METAS EMPRESAS'!$A$15:$A$320,"CMM",'METAS EMPRESAS'!$B$15:$B$320,"IÇAMENTO JOIST",'METAS EMPRESAS'!$C$15:$C$320,$A332-WEEKDAY($A332,2)+1)</f>
        <v/>
      </c>
      <c r="G332" s="159">
        <f>SUMIFS('METAS EMPRESAS'!$K$15:$K$320,'METAS EMPRESAS'!$A$15:$A$320,"CMM",'METAS EMPRESAS'!$B$15:$B$320,"VIGAS",'METAS EMPRESAS'!$C$15:$C$320,$A332-WEEKDAY($A332,2)+1)</f>
        <v/>
      </c>
      <c r="H332" s="159">
        <f>SUMIFS('METAS EMPRESAS'!$G$15:$G$320,'METAS EMPRESAS'!$A$15:$A$320,"EJ",'METAS EMPRESAS'!$B$15:$B$320,"PREMONTAGEM",'METAS EMPRESAS'!$C$15:$C$320,$A332-WEEKDAY($A332,2)+1)</f>
        <v/>
      </c>
      <c r="I332" s="159">
        <f>SUMIFS('METAS EMPRESAS'!$G$15:$G$320,'METAS EMPRESAS'!$A$15:$A$320,"EJ",'METAS EMPRESAS'!$B$15:$B$320,"IÇAMENTO JOIST",'METAS EMPRESAS'!$C$15:$C$320,$A332-WEEKDAY($A332,2)+1)</f>
        <v/>
      </c>
      <c r="J332" s="159">
        <f>SUMIFS('METAS EMPRESAS'!$G$15:$G$320,'METAS EMPRESAS'!$A$15:$A$320,"EJ",'METAS EMPRESAS'!$B$15:$B$320,"VIGAS",'METAS EMPRESAS'!$C$15:$C$320,$A332-WEEKDAY($A332,2)+1)</f>
        <v/>
      </c>
      <c r="K332" s="159">
        <f>SUMIFS('METAS EMPRESAS'!$G$15:$G$320,'METAS EMPRESAS'!$A$15:$A$320,"CMM",'METAS EMPRESAS'!$B$15:$B$320,"PREMONTAGEM",'METAS EMPRESAS'!$C$15:$C$320,$A332-WEEKDAY($A332,2)+1)</f>
        <v/>
      </c>
      <c r="L332" s="159">
        <f>SUMIFS('METAS EMPRESAS'!$G$15:$G$320,'METAS EMPRESAS'!$A$15:$A$320,"CMM",'METAS EMPRESAS'!$B$15:$B$320,"IÇAMENTO JOIST",'METAS EMPRESAS'!$C$15:$C$320,$A332-WEEKDAY($A332,2)+1)</f>
        <v/>
      </c>
      <c r="M332" s="159">
        <f>SUMIFS('METAS EMPRESAS'!$G$15:$G$320,'METAS EMPRESAS'!$A$15:$A$320,"CMM",'METAS EMPRESAS'!$B$15:$B$320,"VIGAS",'METAS EMPRESAS'!$C$15:$C$320,$A332-WEEKDAY($A332,2)+1)</f>
        <v/>
      </c>
      <c r="N332" s="159">
        <f>SUMIFS('METAS EMPRESAS'!$J$15:$J$320,'METAS EMPRESAS'!$A$15:$A$320,"EJ",'METAS EMPRESAS'!$B$15:$B$320,"PREMONTAGEM",'METAS EMPRESAS'!$C$15:$C$320,$A332-WEEKDAY($A332,2)+1)</f>
        <v/>
      </c>
      <c r="O332" s="159">
        <f>SUMIFS('METAS EMPRESAS'!$J$15:$J$320,'METAS EMPRESAS'!$A$15:$A$320,"EJ",'METAS EMPRESAS'!$B$15:$B$320,"IÇAMENTO JOIST",'METAS EMPRESAS'!$C$15:$C$320,$A332-WEEKDAY($A332,2)+1)</f>
        <v/>
      </c>
      <c r="P332" s="159">
        <f>SUMIFS('METAS EMPRESAS'!$J$15:$J$320,'METAS EMPRESAS'!$A$15:$A$320,"EJ",'METAS EMPRESAS'!$B$15:$B$320,"VIGAS",'METAS EMPRESAS'!$C$15:$C$320,$A332-WEEKDAY($A332,2)+1)</f>
        <v/>
      </c>
      <c r="Q332" s="159">
        <f>SUMIFS('METAS EMPRESAS'!$J$15:$J$320,'METAS EMPRESAS'!$A$15:$A$320,"CMM",'METAS EMPRESAS'!$B$15:$B$320,"PREMONTAGEM",'METAS EMPRESAS'!$C$15:$C$320,$A332-WEEKDAY($A332,2)+1)</f>
        <v/>
      </c>
      <c r="R332" s="159">
        <f>SUMIFS('METAS EMPRESAS'!$J$15:$J$320,'METAS EMPRESAS'!$A$15:$A$320,"CMM",'METAS EMPRESAS'!$B$15:$B$320,"IÇAMENTO JOIST",'METAS EMPRESAS'!$C$15:$C$320,$A332-WEEKDAY($A332,2)+1)</f>
        <v/>
      </c>
      <c r="S332" s="159">
        <f>SUMIFS('METAS EMPRESAS'!$J$15:$J$320,'METAS EMPRESAS'!$A$15:$A$320,"CMM",'METAS EMPRESAS'!$B$15:$B$320,"VIGAS",'METAS EMPRESAS'!$C$15:$C$320,$A332-WEEKDAY($A332,2)+1)</f>
        <v/>
      </c>
      <c r="T332">
        <f>--(WEEKDAY(A332,2)&lt;=5)</f>
        <v/>
      </c>
      <c r="U332" t="n">
        <v>19</v>
      </c>
      <c r="V332" t="n">
        <v>7</v>
      </c>
      <c r="W332" t="n">
        <v>0</v>
      </c>
      <c r="X332" t="n">
        <v>5</v>
      </c>
      <c r="Y332" t="n">
        <v>5</v>
      </c>
      <c r="Z332" t="n">
        <v>5</v>
      </c>
      <c r="AA332" t="n">
        <v>95</v>
      </c>
      <c r="AB332" t="n">
        <v>35</v>
      </c>
      <c r="AC332" t="n">
        <v>0</v>
      </c>
    </row>
    <row r="333">
      <c r="A333" s="317" t="n">
        <v>46554</v>
      </c>
      <c r="B333" s="159">
        <f>SUMIFS('METAS EMPRESAS'!$K$15:$K$320,'METAS EMPRESAS'!$A$15:$A$320,"EJ",'METAS EMPRESAS'!$B$15:$B$320,"PREMONTAGEM",'METAS EMPRESAS'!$C$15:$C$320,$A333-WEEKDAY($A333,2)+1)</f>
        <v/>
      </c>
      <c r="C333" s="159">
        <f>SUMIFS('METAS EMPRESAS'!$K$15:$K$320,'METAS EMPRESAS'!$A$15:$A$320,"EJ",'METAS EMPRESAS'!$B$15:$B$320,"IÇAMENTO JOIST",'METAS EMPRESAS'!$C$15:$C$320,$A333-WEEKDAY($A333,2)+1)</f>
        <v/>
      </c>
      <c r="D333" s="159">
        <f>SUMIFS('METAS EMPRESAS'!$K$15:$K$320,'METAS EMPRESAS'!$A$15:$A$320,"EJ",'METAS EMPRESAS'!$B$15:$B$320,"VIGAS",'METAS EMPRESAS'!$C$15:$C$320,$A333-WEEKDAY($A333,2)+1)</f>
        <v/>
      </c>
      <c r="E333" s="159">
        <f>SUMIFS('METAS EMPRESAS'!$K$15:$K$320,'METAS EMPRESAS'!$A$15:$A$320,"CMM",'METAS EMPRESAS'!$B$15:$B$320,"PREMONTAGEM",'METAS EMPRESAS'!$C$15:$C$320,$A333-WEEKDAY($A333,2)+1)</f>
        <v/>
      </c>
      <c r="F333" s="159">
        <f>SUMIFS('METAS EMPRESAS'!$K$15:$K$320,'METAS EMPRESAS'!$A$15:$A$320,"CMM",'METAS EMPRESAS'!$B$15:$B$320,"IÇAMENTO JOIST",'METAS EMPRESAS'!$C$15:$C$320,$A333-WEEKDAY($A333,2)+1)</f>
        <v/>
      </c>
      <c r="G333" s="159">
        <f>SUMIFS('METAS EMPRESAS'!$K$15:$K$320,'METAS EMPRESAS'!$A$15:$A$320,"CMM",'METAS EMPRESAS'!$B$15:$B$320,"VIGAS",'METAS EMPRESAS'!$C$15:$C$320,$A333-WEEKDAY($A333,2)+1)</f>
        <v/>
      </c>
      <c r="H333" s="159">
        <f>SUMIFS('METAS EMPRESAS'!$G$15:$G$320,'METAS EMPRESAS'!$A$15:$A$320,"EJ",'METAS EMPRESAS'!$B$15:$B$320,"PREMONTAGEM",'METAS EMPRESAS'!$C$15:$C$320,$A333-WEEKDAY($A333,2)+1)</f>
        <v/>
      </c>
      <c r="I333" s="159">
        <f>SUMIFS('METAS EMPRESAS'!$G$15:$G$320,'METAS EMPRESAS'!$A$15:$A$320,"EJ",'METAS EMPRESAS'!$B$15:$B$320,"IÇAMENTO JOIST",'METAS EMPRESAS'!$C$15:$C$320,$A333-WEEKDAY($A333,2)+1)</f>
        <v/>
      </c>
      <c r="J333" s="159">
        <f>SUMIFS('METAS EMPRESAS'!$G$15:$G$320,'METAS EMPRESAS'!$A$15:$A$320,"EJ",'METAS EMPRESAS'!$B$15:$B$320,"VIGAS",'METAS EMPRESAS'!$C$15:$C$320,$A333-WEEKDAY($A333,2)+1)</f>
        <v/>
      </c>
      <c r="K333" s="159">
        <f>SUMIFS('METAS EMPRESAS'!$G$15:$G$320,'METAS EMPRESAS'!$A$15:$A$320,"CMM",'METAS EMPRESAS'!$B$15:$B$320,"PREMONTAGEM",'METAS EMPRESAS'!$C$15:$C$320,$A333-WEEKDAY($A333,2)+1)</f>
        <v/>
      </c>
      <c r="L333" s="159">
        <f>SUMIFS('METAS EMPRESAS'!$G$15:$G$320,'METAS EMPRESAS'!$A$15:$A$320,"CMM",'METAS EMPRESAS'!$B$15:$B$320,"IÇAMENTO JOIST",'METAS EMPRESAS'!$C$15:$C$320,$A333-WEEKDAY($A333,2)+1)</f>
        <v/>
      </c>
      <c r="M333" s="159">
        <f>SUMIFS('METAS EMPRESAS'!$G$15:$G$320,'METAS EMPRESAS'!$A$15:$A$320,"CMM",'METAS EMPRESAS'!$B$15:$B$320,"VIGAS",'METAS EMPRESAS'!$C$15:$C$320,$A333-WEEKDAY($A333,2)+1)</f>
        <v/>
      </c>
      <c r="N333" s="159">
        <f>SUMIFS('METAS EMPRESAS'!$J$15:$J$320,'METAS EMPRESAS'!$A$15:$A$320,"EJ",'METAS EMPRESAS'!$B$15:$B$320,"PREMONTAGEM",'METAS EMPRESAS'!$C$15:$C$320,$A333-WEEKDAY($A333,2)+1)</f>
        <v/>
      </c>
      <c r="O333" s="159">
        <f>SUMIFS('METAS EMPRESAS'!$J$15:$J$320,'METAS EMPRESAS'!$A$15:$A$320,"EJ",'METAS EMPRESAS'!$B$15:$B$320,"IÇAMENTO JOIST",'METAS EMPRESAS'!$C$15:$C$320,$A333-WEEKDAY($A333,2)+1)</f>
        <v/>
      </c>
      <c r="P333" s="159">
        <f>SUMIFS('METAS EMPRESAS'!$J$15:$J$320,'METAS EMPRESAS'!$A$15:$A$320,"EJ",'METAS EMPRESAS'!$B$15:$B$320,"VIGAS",'METAS EMPRESAS'!$C$15:$C$320,$A333-WEEKDAY($A333,2)+1)</f>
        <v/>
      </c>
      <c r="Q333" s="159">
        <f>SUMIFS('METAS EMPRESAS'!$J$15:$J$320,'METAS EMPRESAS'!$A$15:$A$320,"CMM",'METAS EMPRESAS'!$B$15:$B$320,"PREMONTAGEM",'METAS EMPRESAS'!$C$15:$C$320,$A333-WEEKDAY($A333,2)+1)</f>
        <v/>
      </c>
      <c r="R333" s="159">
        <f>SUMIFS('METAS EMPRESAS'!$J$15:$J$320,'METAS EMPRESAS'!$A$15:$A$320,"CMM",'METAS EMPRESAS'!$B$15:$B$320,"IÇAMENTO JOIST",'METAS EMPRESAS'!$C$15:$C$320,$A333-WEEKDAY($A333,2)+1)</f>
        <v/>
      </c>
      <c r="S333" s="159">
        <f>SUMIFS('METAS EMPRESAS'!$J$15:$J$320,'METAS EMPRESAS'!$A$15:$A$320,"CMM",'METAS EMPRESAS'!$B$15:$B$320,"VIGAS",'METAS EMPRESAS'!$C$15:$C$320,$A333-WEEKDAY($A333,2)+1)</f>
        <v/>
      </c>
      <c r="T333">
        <f>--(WEEKDAY(A333,2)&lt;=5)</f>
        <v/>
      </c>
      <c r="U333" t="n">
        <v>19</v>
      </c>
      <c r="V333" t="n">
        <v>7</v>
      </c>
      <c r="W333" t="n">
        <v>0</v>
      </c>
      <c r="X333" t="n">
        <v>5</v>
      </c>
      <c r="Y333" t="n">
        <v>5</v>
      </c>
      <c r="Z333" t="n">
        <v>5</v>
      </c>
      <c r="AA333" t="n">
        <v>95</v>
      </c>
      <c r="AB333" t="n">
        <v>35</v>
      </c>
      <c r="AC333" t="n">
        <v>0</v>
      </c>
    </row>
    <row r="334">
      <c r="A334" s="317" t="n">
        <v>46555</v>
      </c>
      <c r="B334" s="159">
        <f>SUMIFS('METAS EMPRESAS'!$K$15:$K$320,'METAS EMPRESAS'!$A$15:$A$320,"EJ",'METAS EMPRESAS'!$B$15:$B$320,"PREMONTAGEM",'METAS EMPRESAS'!$C$15:$C$320,$A334-WEEKDAY($A334,2)+1)</f>
        <v/>
      </c>
      <c r="C334" s="159">
        <f>SUMIFS('METAS EMPRESAS'!$K$15:$K$320,'METAS EMPRESAS'!$A$15:$A$320,"EJ",'METAS EMPRESAS'!$B$15:$B$320,"IÇAMENTO JOIST",'METAS EMPRESAS'!$C$15:$C$320,$A334-WEEKDAY($A334,2)+1)</f>
        <v/>
      </c>
      <c r="D334" s="159">
        <f>SUMIFS('METAS EMPRESAS'!$K$15:$K$320,'METAS EMPRESAS'!$A$15:$A$320,"EJ",'METAS EMPRESAS'!$B$15:$B$320,"VIGAS",'METAS EMPRESAS'!$C$15:$C$320,$A334-WEEKDAY($A334,2)+1)</f>
        <v/>
      </c>
      <c r="E334" s="159">
        <f>SUMIFS('METAS EMPRESAS'!$K$15:$K$320,'METAS EMPRESAS'!$A$15:$A$320,"CMM",'METAS EMPRESAS'!$B$15:$B$320,"PREMONTAGEM",'METAS EMPRESAS'!$C$15:$C$320,$A334-WEEKDAY($A334,2)+1)</f>
        <v/>
      </c>
      <c r="F334" s="159">
        <f>SUMIFS('METAS EMPRESAS'!$K$15:$K$320,'METAS EMPRESAS'!$A$15:$A$320,"CMM",'METAS EMPRESAS'!$B$15:$B$320,"IÇAMENTO JOIST",'METAS EMPRESAS'!$C$15:$C$320,$A334-WEEKDAY($A334,2)+1)</f>
        <v/>
      </c>
      <c r="G334" s="159">
        <f>SUMIFS('METAS EMPRESAS'!$K$15:$K$320,'METAS EMPRESAS'!$A$15:$A$320,"CMM",'METAS EMPRESAS'!$B$15:$B$320,"VIGAS",'METAS EMPRESAS'!$C$15:$C$320,$A334-WEEKDAY($A334,2)+1)</f>
        <v/>
      </c>
      <c r="H334" s="159">
        <f>SUMIFS('METAS EMPRESAS'!$G$15:$G$320,'METAS EMPRESAS'!$A$15:$A$320,"EJ",'METAS EMPRESAS'!$B$15:$B$320,"PREMONTAGEM",'METAS EMPRESAS'!$C$15:$C$320,$A334-WEEKDAY($A334,2)+1)</f>
        <v/>
      </c>
      <c r="I334" s="159">
        <f>SUMIFS('METAS EMPRESAS'!$G$15:$G$320,'METAS EMPRESAS'!$A$15:$A$320,"EJ",'METAS EMPRESAS'!$B$15:$B$320,"IÇAMENTO JOIST",'METAS EMPRESAS'!$C$15:$C$320,$A334-WEEKDAY($A334,2)+1)</f>
        <v/>
      </c>
      <c r="J334" s="159">
        <f>SUMIFS('METAS EMPRESAS'!$G$15:$G$320,'METAS EMPRESAS'!$A$15:$A$320,"EJ",'METAS EMPRESAS'!$B$15:$B$320,"VIGAS",'METAS EMPRESAS'!$C$15:$C$320,$A334-WEEKDAY($A334,2)+1)</f>
        <v/>
      </c>
      <c r="K334" s="159">
        <f>SUMIFS('METAS EMPRESAS'!$G$15:$G$320,'METAS EMPRESAS'!$A$15:$A$320,"CMM",'METAS EMPRESAS'!$B$15:$B$320,"PREMONTAGEM",'METAS EMPRESAS'!$C$15:$C$320,$A334-WEEKDAY($A334,2)+1)</f>
        <v/>
      </c>
      <c r="L334" s="159">
        <f>SUMIFS('METAS EMPRESAS'!$G$15:$G$320,'METAS EMPRESAS'!$A$15:$A$320,"CMM",'METAS EMPRESAS'!$B$15:$B$320,"IÇAMENTO JOIST",'METAS EMPRESAS'!$C$15:$C$320,$A334-WEEKDAY($A334,2)+1)</f>
        <v/>
      </c>
      <c r="M334" s="159">
        <f>SUMIFS('METAS EMPRESAS'!$G$15:$G$320,'METAS EMPRESAS'!$A$15:$A$320,"CMM",'METAS EMPRESAS'!$B$15:$B$320,"VIGAS",'METAS EMPRESAS'!$C$15:$C$320,$A334-WEEKDAY($A334,2)+1)</f>
        <v/>
      </c>
      <c r="N334" s="159">
        <f>SUMIFS('METAS EMPRESAS'!$J$15:$J$320,'METAS EMPRESAS'!$A$15:$A$320,"EJ",'METAS EMPRESAS'!$B$15:$B$320,"PREMONTAGEM",'METAS EMPRESAS'!$C$15:$C$320,$A334-WEEKDAY($A334,2)+1)</f>
        <v/>
      </c>
      <c r="O334" s="159">
        <f>SUMIFS('METAS EMPRESAS'!$J$15:$J$320,'METAS EMPRESAS'!$A$15:$A$320,"EJ",'METAS EMPRESAS'!$B$15:$B$320,"IÇAMENTO JOIST",'METAS EMPRESAS'!$C$15:$C$320,$A334-WEEKDAY($A334,2)+1)</f>
        <v/>
      </c>
      <c r="P334" s="159">
        <f>SUMIFS('METAS EMPRESAS'!$J$15:$J$320,'METAS EMPRESAS'!$A$15:$A$320,"EJ",'METAS EMPRESAS'!$B$15:$B$320,"VIGAS",'METAS EMPRESAS'!$C$15:$C$320,$A334-WEEKDAY($A334,2)+1)</f>
        <v/>
      </c>
      <c r="Q334" s="159">
        <f>SUMIFS('METAS EMPRESAS'!$J$15:$J$320,'METAS EMPRESAS'!$A$15:$A$320,"CMM",'METAS EMPRESAS'!$B$15:$B$320,"PREMONTAGEM",'METAS EMPRESAS'!$C$15:$C$320,$A334-WEEKDAY($A334,2)+1)</f>
        <v/>
      </c>
      <c r="R334" s="159">
        <f>SUMIFS('METAS EMPRESAS'!$J$15:$J$320,'METAS EMPRESAS'!$A$15:$A$320,"CMM",'METAS EMPRESAS'!$B$15:$B$320,"IÇAMENTO JOIST",'METAS EMPRESAS'!$C$15:$C$320,$A334-WEEKDAY($A334,2)+1)</f>
        <v/>
      </c>
      <c r="S334" s="159">
        <f>SUMIFS('METAS EMPRESAS'!$J$15:$J$320,'METAS EMPRESAS'!$A$15:$A$320,"CMM",'METAS EMPRESAS'!$B$15:$B$320,"VIGAS",'METAS EMPRESAS'!$C$15:$C$320,$A334-WEEKDAY($A334,2)+1)</f>
        <v/>
      </c>
      <c r="T334">
        <f>--(WEEKDAY(A334,2)&lt;=5)</f>
        <v/>
      </c>
      <c r="U334" t="n">
        <v>19</v>
      </c>
      <c r="V334" t="n">
        <v>7</v>
      </c>
      <c r="W334" t="n">
        <v>0</v>
      </c>
      <c r="X334" t="n">
        <v>5</v>
      </c>
      <c r="Y334" t="n">
        <v>5</v>
      </c>
      <c r="Z334" t="n">
        <v>5</v>
      </c>
      <c r="AA334" t="n">
        <v>95</v>
      </c>
      <c r="AB334" t="n">
        <v>35</v>
      </c>
      <c r="AC334" t="n">
        <v>0</v>
      </c>
    </row>
    <row r="335">
      <c r="A335" s="317" t="n">
        <v>46556</v>
      </c>
      <c r="B335" s="159">
        <f>SUMIFS('METAS EMPRESAS'!$K$15:$K$320,'METAS EMPRESAS'!$A$15:$A$320,"EJ",'METAS EMPRESAS'!$B$15:$B$320,"PREMONTAGEM",'METAS EMPRESAS'!$C$15:$C$320,$A335-WEEKDAY($A335,2)+1)</f>
        <v/>
      </c>
      <c r="C335" s="159">
        <f>SUMIFS('METAS EMPRESAS'!$K$15:$K$320,'METAS EMPRESAS'!$A$15:$A$320,"EJ",'METAS EMPRESAS'!$B$15:$B$320,"IÇAMENTO JOIST",'METAS EMPRESAS'!$C$15:$C$320,$A335-WEEKDAY($A335,2)+1)</f>
        <v/>
      </c>
      <c r="D335" s="159">
        <f>SUMIFS('METAS EMPRESAS'!$K$15:$K$320,'METAS EMPRESAS'!$A$15:$A$320,"EJ",'METAS EMPRESAS'!$B$15:$B$320,"VIGAS",'METAS EMPRESAS'!$C$15:$C$320,$A335-WEEKDAY($A335,2)+1)</f>
        <v/>
      </c>
      <c r="E335" s="159">
        <f>SUMIFS('METAS EMPRESAS'!$K$15:$K$320,'METAS EMPRESAS'!$A$15:$A$320,"CMM",'METAS EMPRESAS'!$B$15:$B$320,"PREMONTAGEM",'METAS EMPRESAS'!$C$15:$C$320,$A335-WEEKDAY($A335,2)+1)</f>
        <v/>
      </c>
      <c r="F335" s="159">
        <f>SUMIFS('METAS EMPRESAS'!$K$15:$K$320,'METAS EMPRESAS'!$A$15:$A$320,"CMM",'METAS EMPRESAS'!$B$15:$B$320,"IÇAMENTO JOIST",'METAS EMPRESAS'!$C$15:$C$320,$A335-WEEKDAY($A335,2)+1)</f>
        <v/>
      </c>
      <c r="G335" s="159">
        <f>SUMIFS('METAS EMPRESAS'!$K$15:$K$320,'METAS EMPRESAS'!$A$15:$A$320,"CMM",'METAS EMPRESAS'!$B$15:$B$320,"VIGAS",'METAS EMPRESAS'!$C$15:$C$320,$A335-WEEKDAY($A335,2)+1)</f>
        <v/>
      </c>
      <c r="H335" s="159">
        <f>SUMIFS('METAS EMPRESAS'!$G$15:$G$320,'METAS EMPRESAS'!$A$15:$A$320,"EJ",'METAS EMPRESAS'!$B$15:$B$320,"PREMONTAGEM",'METAS EMPRESAS'!$C$15:$C$320,$A335-WEEKDAY($A335,2)+1)</f>
        <v/>
      </c>
      <c r="I335" s="159">
        <f>SUMIFS('METAS EMPRESAS'!$G$15:$G$320,'METAS EMPRESAS'!$A$15:$A$320,"EJ",'METAS EMPRESAS'!$B$15:$B$320,"IÇAMENTO JOIST",'METAS EMPRESAS'!$C$15:$C$320,$A335-WEEKDAY($A335,2)+1)</f>
        <v/>
      </c>
      <c r="J335" s="159">
        <f>SUMIFS('METAS EMPRESAS'!$G$15:$G$320,'METAS EMPRESAS'!$A$15:$A$320,"EJ",'METAS EMPRESAS'!$B$15:$B$320,"VIGAS",'METAS EMPRESAS'!$C$15:$C$320,$A335-WEEKDAY($A335,2)+1)</f>
        <v/>
      </c>
      <c r="K335" s="159">
        <f>SUMIFS('METAS EMPRESAS'!$G$15:$G$320,'METAS EMPRESAS'!$A$15:$A$320,"CMM",'METAS EMPRESAS'!$B$15:$B$320,"PREMONTAGEM",'METAS EMPRESAS'!$C$15:$C$320,$A335-WEEKDAY($A335,2)+1)</f>
        <v/>
      </c>
      <c r="L335" s="159">
        <f>SUMIFS('METAS EMPRESAS'!$G$15:$G$320,'METAS EMPRESAS'!$A$15:$A$320,"CMM",'METAS EMPRESAS'!$B$15:$B$320,"IÇAMENTO JOIST",'METAS EMPRESAS'!$C$15:$C$320,$A335-WEEKDAY($A335,2)+1)</f>
        <v/>
      </c>
      <c r="M335" s="159">
        <f>SUMIFS('METAS EMPRESAS'!$G$15:$G$320,'METAS EMPRESAS'!$A$15:$A$320,"CMM",'METAS EMPRESAS'!$B$15:$B$320,"VIGAS",'METAS EMPRESAS'!$C$15:$C$320,$A335-WEEKDAY($A335,2)+1)</f>
        <v/>
      </c>
      <c r="N335" s="159">
        <f>SUMIFS('METAS EMPRESAS'!$J$15:$J$320,'METAS EMPRESAS'!$A$15:$A$320,"EJ",'METAS EMPRESAS'!$B$15:$B$320,"PREMONTAGEM",'METAS EMPRESAS'!$C$15:$C$320,$A335-WEEKDAY($A335,2)+1)</f>
        <v/>
      </c>
      <c r="O335" s="159">
        <f>SUMIFS('METAS EMPRESAS'!$J$15:$J$320,'METAS EMPRESAS'!$A$15:$A$320,"EJ",'METAS EMPRESAS'!$B$15:$B$320,"IÇAMENTO JOIST",'METAS EMPRESAS'!$C$15:$C$320,$A335-WEEKDAY($A335,2)+1)</f>
        <v/>
      </c>
      <c r="P335" s="159">
        <f>SUMIFS('METAS EMPRESAS'!$J$15:$J$320,'METAS EMPRESAS'!$A$15:$A$320,"EJ",'METAS EMPRESAS'!$B$15:$B$320,"VIGAS",'METAS EMPRESAS'!$C$15:$C$320,$A335-WEEKDAY($A335,2)+1)</f>
        <v/>
      </c>
      <c r="Q335" s="159">
        <f>SUMIFS('METAS EMPRESAS'!$J$15:$J$320,'METAS EMPRESAS'!$A$15:$A$320,"CMM",'METAS EMPRESAS'!$B$15:$B$320,"PREMONTAGEM",'METAS EMPRESAS'!$C$15:$C$320,$A335-WEEKDAY($A335,2)+1)</f>
        <v/>
      </c>
      <c r="R335" s="159">
        <f>SUMIFS('METAS EMPRESAS'!$J$15:$J$320,'METAS EMPRESAS'!$A$15:$A$320,"CMM",'METAS EMPRESAS'!$B$15:$B$320,"IÇAMENTO JOIST",'METAS EMPRESAS'!$C$15:$C$320,$A335-WEEKDAY($A335,2)+1)</f>
        <v/>
      </c>
      <c r="S335" s="159">
        <f>SUMIFS('METAS EMPRESAS'!$J$15:$J$320,'METAS EMPRESAS'!$A$15:$A$320,"CMM",'METAS EMPRESAS'!$B$15:$B$320,"VIGAS",'METAS EMPRESAS'!$C$15:$C$320,$A335-WEEKDAY($A335,2)+1)</f>
        <v/>
      </c>
      <c r="T335">
        <f>--(WEEKDAY(A335,2)&lt;=5)</f>
        <v/>
      </c>
      <c r="U335" t="n">
        <v>19</v>
      </c>
      <c r="V335" t="n">
        <v>7</v>
      </c>
      <c r="W335" t="n">
        <v>0</v>
      </c>
      <c r="X335" t="n">
        <v>5</v>
      </c>
      <c r="Y335" t="n">
        <v>5</v>
      </c>
      <c r="Z335" t="n">
        <v>5</v>
      </c>
      <c r="AA335" t="n">
        <v>95</v>
      </c>
      <c r="AB335" t="n">
        <v>35</v>
      </c>
      <c r="AC335" t="n">
        <v>0</v>
      </c>
    </row>
    <row r="336">
      <c r="A336" s="317" t="n">
        <v>46557</v>
      </c>
      <c r="B336" s="159">
        <f>SUMIFS('METAS EMPRESAS'!$K$15:$K$320,'METAS EMPRESAS'!$A$15:$A$320,"EJ",'METAS EMPRESAS'!$B$15:$B$320,"PREMONTAGEM",'METAS EMPRESAS'!$C$15:$C$320,$A336-WEEKDAY($A336,2)+1)</f>
        <v/>
      </c>
      <c r="C336" s="159">
        <f>SUMIFS('METAS EMPRESAS'!$K$15:$K$320,'METAS EMPRESAS'!$A$15:$A$320,"EJ",'METAS EMPRESAS'!$B$15:$B$320,"IÇAMENTO JOIST",'METAS EMPRESAS'!$C$15:$C$320,$A336-WEEKDAY($A336,2)+1)</f>
        <v/>
      </c>
      <c r="D336" s="159">
        <f>SUMIFS('METAS EMPRESAS'!$K$15:$K$320,'METAS EMPRESAS'!$A$15:$A$320,"EJ",'METAS EMPRESAS'!$B$15:$B$320,"VIGAS",'METAS EMPRESAS'!$C$15:$C$320,$A336-WEEKDAY($A336,2)+1)</f>
        <v/>
      </c>
      <c r="E336" s="159">
        <f>SUMIFS('METAS EMPRESAS'!$K$15:$K$320,'METAS EMPRESAS'!$A$15:$A$320,"CMM",'METAS EMPRESAS'!$B$15:$B$320,"PREMONTAGEM",'METAS EMPRESAS'!$C$15:$C$320,$A336-WEEKDAY($A336,2)+1)</f>
        <v/>
      </c>
      <c r="F336" s="159">
        <f>SUMIFS('METAS EMPRESAS'!$K$15:$K$320,'METAS EMPRESAS'!$A$15:$A$320,"CMM",'METAS EMPRESAS'!$B$15:$B$320,"IÇAMENTO JOIST",'METAS EMPRESAS'!$C$15:$C$320,$A336-WEEKDAY($A336,2)+1)</f>
        <v/>
      </c>
      <c r="G336" s="159">
        <f>SUMIFS('METAS EMPRESAS'!$K$15:$K$320,'METAS EMPRESAS'!$A$15:$A$320,"CMM",'METAS EMPRESAS'!$B$15:$B$320,"VIGAS",'METAS EMPRESAS'!$C$15:$C$320,$A336-WEEKDAY($A336,2)+1)</f>
        <v/>
      </c>
      <c r="H336" s="159">
        <f>SUMIFS('METAS EMPRESAS'!$G$15:$G$320,'METAS EMPRESAS'!$A$15:$A$320,"EJ",'METAS EMPRESAS'!$B$15:$B$320,"PREMONTAGEM",'METAS EMPRESAS'!$C$15:$C$320,$A336-WEEKDAY($A336,2)+1)</f>
        <v/>
      </c>
      <c r="I336" s="159">
        <f>SUMIFS('METAS EMPRESAS'!$G$15:$G$320,'METAS EMPRESAS'!$A$15:$A$320,"EJ",'METAS EMPRESAS'!$B$15:$B$320,"IÇAMENTO JOIST",'METAS EMPRESAS'!$C$15:$C$320,$A336-WEEKDAY($A336,2)+1)</f>
        <v/>
      </c>
      <c r="J336" s="159">
        <f>SUMIFS('METAS EMPRESAS'!$G$15:$G$320,'METAS EMPRESAS'!$A$15:$A$320,"EJ",'METAS EMPRESAS'!$B$15:$B$320,"VIGAS",'METAS EMPRESAS'!$C$15:$C$320,$A336-WEEKDAY($A336,2)+1)</f>
        <v/>
      </c>
      <c r="K336" s="159">
        <f>SUMIFS('METAS EMPRESAS'!$G$15:$G$320,'METAS EMPRESAS'!$A$15:$A$320,"CMM",'METAS EMPRESAS'!$B$15:$B$320,"PREMONTAGEM",'METAS EMPRESAS'!$C$15:$C$320,$A336-WEEKDAY($A336,2)+1)</f>
        <v/>
      </c>
      <c r="L336" s="159">
        <f>SUMIFS('METAS EMPRESAS'!$G$15:$G$320,'METAS EMPRESAS'!$A$15:$A$320,"CMM",'METAS EMPRESAS'!$B$15:$B$320,"IÇAMENTO JOIST",'METAS EMPRESAS'!$C$15:$C$320,$A336-WEEKDAY($A336,2)+1)</f>
        <v/>
      </c>
      <c r="M336" s="159">
        <f>SUMIFS('METAS EMPRESAS'!$G$15:$G$320,'METAS EMPRESAS'!$A$15:$A$320,"CMM",'METAS EMPRESAS'!$B$15:$B$320,"VIGAS",'METAS EMPRESAS'!$C$15:$C$320,$A336-WEEKDAY($A336,2)+1)</f>
        <v/>
      </c>
      <c r="N336" s="159">
        <f>SUMIFS('METAS EMPRESAS'!$J$15:$J$320,'METAS EMPRESAS'!$A$15:$A$320,"EJ",'METAS EMPRESAS'!$B$15:$B$320,"PREMONTAGEM",'METAS EMPRESAS'!$C$15:$C$320,$A336-WEEKDAY($A336,2)+1)</f>
        <v/>
      </c>
      <c r="O336" s="159">
        <f>SUMIFS('METAS EMPRESAS'!$J$15:$J$320,'METAS EMPRESAS'!$A$15:$A$320,"EJ",'METAS EMPRESAS'!$B$15:$B$320,"IÇAMENTO JOIST",'METAS EMPRESAS'!$C$15:$C$320,$A336-WEEKDAY($A336,2)+1)</f>
        <v/>
      </c>
      <c r="P336" s="159">
        <f>SUMIFS('METAS EMPRESAS'!$J$15:$J$320,'METAS EMPRESAS'!$A$15:$A$320,"EJ",'METAS EMPRESAS'!$B$15:$B$320,"VIGAS",'METAS EMPRESAS'!$C$15:$C$320,$A336-WEEKDAY($A336,2)+1)</f>
        <v/>
      </c>
      <c r="Q336" s="159">
        <f>SUMIFS('METAS EMPRESAS'!$J$15:$J$320,'METAS EMPRESAS'!$A$15:$A$320,"CMM",'METAS EMPRESAS'!$B$15:$B$320,"PREMONTAGEM",'METAS EMPRESAS'!$C$15:$C$320,$A336-WEEKDAY($A336,2)+1)</f>
        <v/>
      </c>
      <c r="R336" s="159">
        <f>SUMIFS('METAS EMPRESAS'!$J$15:$J$320,'METAS EMPRESAS'!$A$15:$A$320,"CMM",'METAS EMPRESAS'!$B$15:$B$320,"IÇAMENTO JOIST",'METAS EMPRESAS'!$C$15:$C$320,$A336-WEEKDAY($A336,2)+1)</f>
        <v/>
      </c>
      <c r="S336" s="159">
        <f>SUMIFS('METAS EMPRESAS'!$J$15:$J$320,'METAS EMPRESAS'!$A$15:$A$320,"CMM",'METAS EMPRESAS'!$B$15:$B$320,"VIGAS",'METAS EMPRESAS'!$C$15:$C$320,$A336-WEEKDAY($A336,2)+1)</f>
        <v/>
      </c>
      <c r="T336">
        <f>--(WEEKDAY(A336,2)&lt;=5)</f>
        <v/>
      </c>
      <c r="U336" t="n">
        <v>19</v>
      </c>
      <c r="V336" t="n">
        <v>7</v>
      </c>
      <c r="W336" t="n">
        <v>0</v>
      </c>
      <c r="X336" t="n">
        <v>5</v>
      </c>
      <c r="Y336" t="n">
        <v>5</v>
      </c>
      <c r="Z336" t="n">
        <v>5</v>
      </c>
      <c r="AA336" t="n">
        <v>95</v>
      </c>
      <c r="AB336" t="n">
        <v>35</v>
      </c>
      <c r="AC336" t="n">
        <v>0</v>
      </c>
    </row>
    <row r="337">
      <c r="A337" s="317" t="n">
        <v>46558</v>
      </c>
      <c r="B337" s="159">
        <f>SUMIFS('METAS EMPRESAS'!$K$15:$K$320,'METAS EMPRESAS'!$A$15:$A$320,"EJ",'METAS EMPRESAS'!$B$15:$B$320,"PREMONTAGEM",'METAS EMPRESAS'!$C$15:$C$320,$A337-WEEKDAY($A337,2)+1)</f>
        <v/>
      </c>
      <c r="C337" s="159">
        <f>SUMIFS('METAS EMPRESAS'!$K$15:$K$320,'METAS EMPRESAS'!$A$15:$A$320,"EJ",'METAS EMPRESAS'!$B$15:$B$320,"IÇAMENTO JOIST",'METAS EMPRESAS'!$C$15:$C$320,$A337-WEEKDAY($A337,2)+1)</f>
        <v/>
      </c>
      <c r="D337" s="159">
        <f>SUMIFS('METAS EMPRESAS'!$K$15:$K$320,'METAS EMPRESAS'!$A$15:$A$320,"EJ",'METAS EMPRESAS'!$B$15:$B$320,"VIGAS",'METAS EMPRESAS'!$C$15:$C$320,$A337-WEEKDAY($A337,2)+1)</f>
        <v/>
      </c>
      <c r="E337" s="159">
        <f>SUMIFS('METAS EMPRESAS'!$K$15:$K$320,'METAS EMPRESAS'!$A$15:$A$320,"CMM",'METAS EMPRESAS'!$B$15:$B$320,"PREMONTAGEM",'METAS EMPRESAS'!$C$15:$C$320,$A337-WEEKDAY($A337,2)+1)</f>
        <v/>
      </c>
      <c r="F337" s="159">
        <f>SUMIFS('METAS EMPRESAS'!$K$15:$K$320,'METAS EMPRESAS'!$A$15:$A$320,"CMM",'METAS EMPRESAS'!$B$15:$B$320,"IÇAMENTO JOIST",'METAS EMPRESAS'!$C$15:$C$320,$A337-WEEKDAY($A337,2)+1)</f>
        <v/>
      </c>
      <c r="G337" s="159">
        <f>SUMIFS('METAS EMPRESAS'!$K$15:$K$320,'METAS EMPRESAS'!$A$15:$A$320,"CMM",'METAS EMPRESAS'!$B$15:$B$320,"VIGAS",'METAS EMPRESAS'!$C$15:$C$320,$A337-WEEKDAY($A337,2)+1)</f>
        <v/>
      </c>
      <c r="H337" s="159">
        <f>SUMIFS('METAS EMPRESAS'!$G$15:$G$320,'METAS EMPRESAS'!$A$15:$A$320,"EJ",'METAS EMPRESAS'!$B$15:$B$320,"PREMONTAGEM",'METAS EMPRESAS'!$C$15:$C$320,$A337-WEEKDAY($A337,2)+1)</f>
        <v/>
      </c>
      <c r="I337" s="159">
        <f>SUMIFS('METAS EMPRESAS'!$G$15:$G$320,'METAS EMPRESAS'!$A$15:$A$320,"EJ",'METAS EMPRESAS'!$B$15:$B$320,"IÇAMENTO JOIST",'METAS EMPRESAS'!$C$15:$C$320,$A337-WEEKDAY($A337,2)+1)</f>
        <v/>
      </c>
      <c r="J337" s="159">
        <f>SUMIFS('METAS EMPRESAS'!$G$15:$G$320,'METAS EMPRESAS'!$A$15:$A$320,"EJ",'METAS EMPRESAS'!$B$15:$B$320,"VIGAS",'METAS EMPRESAS'!$C$15:$C$320,$A337-WEEKDAY($A337,2)+1)</f>
        <v/>
      </c>
      <c r="K337" s="159">
        <f>SUMIFS('METAS EMPRESAS'!$G$15:$G$320,'METAS EMPRESAS'!$A$15:$A$320,"CMM",'METAS EMPRESAS'!$B$15:$B$320,"PREMONTAGEM",'METAS EMPRESAS'!$C$15:$C$320,$A337-WEEKDAY($A337,2)+1)</f>
        <v/>
      </c>
      <c r="L337" s="159">
        <f>SUMIFS('METAS EMPRESAS'!$G$15:$G$320,'METAS EMPRESAS'!$A$15:$A$320,"CMM",'METAS EMPRESAS'!$B$15:$B$320,"IÇAMENTO JOIST",'METAS EMPRESAS'!$C$15:$C$320,$A337-WEEKDAY($A337,2)+1)</f>
        <v/>
      </c>
      <c r="M337" s="159">
        <f>SUMIFS('METAS EMPRESAS'!$G$15:$G$320,'METAS EMPRESAS'!$A$15:$A$320,"CMM",'METAS EMPRESAS'!$B$15:$B$320,"VIGAS",'METAS EMPRESAS'!$C$15:$C$320,$A337-WEEKDAY($A337,2)+1)</f>
        <v/>
      </c>
      <c r="N337" s="159">
        <f>SUMIFS('METAS EMPRESAS'!$J$15:$J$320,'METAS EMPRESAS'!$A$15:$A$320,"EJ",'METAS EMPRESAS'!$B$15:$B$320,"PREMONTAGEM",'METAS EMPRESAS'!$C$15:$C$320,$A337-WEEKDAY($A337,2)+1)</f>
        <v/>
      </c>
      <c r="O337" s="159">
        <f>SUMIFS('METAS EMPRESAS'!$J$15:$J$320,'METAS EMPRESAS'!$A$15:$A$320,"EJ",'METAS EMPRESAS'!$B$15:$B$320,"IÇAMENTO JOIST",'METAS EMPRESAS'!$C$15:$C$320,$A337-WEEKDAY($A337,2)+1)</f>
        <v/>
      </c>
      <c r="P337" s="159">
        <f>SUMIFS('METAS EMPRESAS'!$J$15:$J$320,'METAS EMPRESAS'!$A$15:$A$320,"EJ",'METAS EMPRESAS'!$B$15:$B$320,"VIGAS",'METAS EMPRESAS'!$C$15:$C$320,$A337-WEEKDAY($A337,2)+1)</f>
        <v/>
      </c>
      <c r="Q337" s="159">
        <f>SUMIFS('METAS EMPRESAS'!$J$15:$J$320,'METAS EMPRESAS'!$A$15:$A$320,"CMM",'METAS EMPRESAS'!$B$15:$B$320,"PREMONTAGEM",'METAS EMPRESAS'!$C$15:$C$320,$A337-WEEKDAY($A337,2)+1)</f>
        <v/>
      </c>
      <c r="R337" s="159">
        <f>SUMIFS('METAS EMPRESAS'!$J$15:$J$320,'METAS EMPRESAS'!$A$15:$A$320,"CMM",'METAS EMPRESAS'!$B$15:$B$320,"IÇAMENTO JOIST",'METAS EMPRESAS'!$C$15:$C$320,$A337-WEEKDAY($A337,2)+1)</f>
        <v/>
      </c>
      <c r="S337" s="159">
        <f>SUMIFS('METAS EMPRESAS'!$J$15:$J$320,'METAS EMPRESAS'!$A$15:$A$320,"CMM",'METAS EMPRESAS'!$B$15:$B$320,"VIGAS",'METAS EMPRESAS'!$C$15:$C$320,$A337-WEEKDAY($A337,2)+1)</f>
        <v/>
      </c>
      <c r="T337">
        <f>--(WEEKDAY(A337,2)&lt;=5)</f>
        <v/>
      </c>
      <c r="U337" t="n">
        <v>19</v>
      </c>
      <c r="V337" t="n">
        <v>7</v>
      </c>
      <c r="W337" t="n">
        <v>0</v>
      </c>
      <c r="X337" t="n">
        <v>5</v>
      </c>
      <c r="Y337" t="n">
        <v>5</v>
      </c>
      <c r="Z337" t="n">
        <v>5</v>
      </c>
      <c r="AA337" t="n">
        <v>95</v>
      </c>
      <c r="AB337" t="n">
        <v>35</v>
      </c>
      <c r="AC337" t="n">
        <v>0</v>
      </c>
    </row>
    <row r="338">
      <c r="A338" s="317" t="n">
        <v>46559</v>
      </c>
      <c r="B338" s="159">
        <f>SUMIFS('METAS EMPRESAS'!$K$15:$K$320,'METAS EMPRESAS'!$A$15:$A$320,"EJ",'METAS EMPRESAS'!$B$15:$B$320,"PREMONTAGEM",'METAS EMPRESAS'!$C$15:$C$320,$A338-WEEKDAY($A338,2)+1)</f>
        <v/>
      </c>
      <c r="C338" s="159">
        <f>SUMIFS('METAS EMPRESAS'!$K$15:$K$320,'METAS EMPRESAS'!$A$15:$A$320,"EJ",'METAS EMPRESAS'!$B$15:$B$320,"IÇAMENTO JOIST",'METAS EMPRESAS'!$C$15:$C$320,$A338-WEEKDAY($A338,2)+1)</f>
        <v/>
      </c>
      <c r="D338" s="159">
        <f>SUMIFS('METAS EMPRESAS'!$K$15:$K$320,'METAS EMPRESAS'!$A$15:$A$320,"EJ",'METAS EMPRESAS'!$B$15:$B$320,"VIGAS",'METAS EMPRESAS'!$C$15:$C$320,$A338-WEEKDAY($A338,2)+1)</f>
        <v/>
      </c>
      <c r="E338" s="159">
        <f>SUMIFS('METAS EMPRESAS'!$K$15:$K$320,'METAS EMPRESAS'!$A$15:$A$320,"CMM",'METAS EMPRESAS'!$B$15:$B$320,"PREMONTAGEM",'METAS EMPRESAS'!$C$15:$C$320,$A338-WEEKDAY($A338,2)+1)</f>
        <v/>
      </c>
      <c r="F338" s="159">
        <f>SUMIFS('METAS EMPRESAS'!$K$15:$K$320,'METAS EMPRESAS'!$A$15:$A$320,"CMM",'METAS EMPRESAS'!$B$15:$B$320,"IÇAMENTO JOIST",'METAS EMPRESAS'!$C$15:$C$320,$A338-WEEKDAY($A338,2)+1)</f>
        <v/>
      </c>
      <c r="G338" s="159">
        <f>SUMIFS('METAS EMPRESAS'!$K$15:$K$320,'METAS EMPRESAS'!$A$15:$A$320,"CMM",'METAS EMPRESAS'!$B$15:$B$320,"VIGAS",'METAS EMPRESAS'!$C$15:$C$320,$A338-WEEKDAY($A338,2)+1)</f>
        <v/>
      </c>
      <c r="H338" s="159">
        <f>SUMIFS('METAS EMPRESAS'!$G$15:$G$320,'METAS EMPRESAS'!$A$15:$A$320,"EJ",'METAS EMPRESAS'!$B$15:$B$320,"PREMONTAGEM",'METAS EMPRESAS'!$C$15:$C$320,$A338-WEEKDAY($A338,2)+1)</f>
        <v/>
      </c>
      <c r="I338" s="159">
        <f>SUMIFS('METAS EMPRESAS'!$G$15:$G$320,'METAS EMPRESAS'!$A$15:$A$320,"EJ",'METAS EMPRESAS'!$B$15:$B$320,"IÇAMENTO JOIST",'METAS EMPRESAS'!$C$15:$C$320,$A338-WEEKDAY($A338,2)+1)</f>
        <v/>
      </c>
      <c r="J338" s="159">
        <f>SUMIFS('METAS EMPRESAS'!$G$15:$G$320,'METAS EMPRESAS'!$A$15:$A$320,"EJ",'METAS EMPRESAS'!$B$15:$B$320,"VIGAS",'METAS EMPRESAS'!$C$15:$C$320,$A338-WEEKDAY($A338,2)+1)</f>
        <v/>
      </c>
      <c r="K338" s="159">
        <f>SUMIFS('METAS EMPRESAS'!$G$15:$G$320,'METAS EMPRESAS'!$A$15:$A$320,"CMM",'METAS EMPRESAS'!$B$15:$B$320,"PREMONTAGEM",'METAS EMPRESAS'!$C$15:$C$320,$A338-WEEKDAY($A338,2)+1)</f>
        <v/>
      </c>
      <c r="L338" s="159">
        <f>SUMIFS('METAS EMPRESAS'!$G$15:$G$320,'METAS EMPRESAS'!$A$15:$A$320,"CMM",'METAS EMPRESAS'!$B$15:$B$320,"IÇAMENTO JOIST",'METAS EMPRESAS'!$C$15:$C$320,$A338-WEEKDAY($A338,2)+1)</f>
        <v/>
      </c>
      <c r="M338" s="159">
        <f>SUMIFS('METAS EMPRESAS'!$G$15:$G$320,'METAS EMPRESAS'!$A$15:$A$320,"CMM",'METAS EMPRESAS'!$B$15:$B$320,"VIGAS",'METAS EMPRESAS'!$C$15:$C$320,$A338-WEEKDAY($A338,2)+1)</f>
        <v/>
      </c>
      <c r="N338" s="159">
        <f>SUMIFS('METAS EMPRESAS'!$J$15:$J$320,'METAS EMPRESAS'!$A$15:$A$320,"EJ",'METAS EMPRESAS'!$B$15:$B$320,"PREMONTAGEM",'METAS EMPRESAS'!$C$15:$C$320,$A338-WEEKDAY($A338,2)+1)</f>
        <v/>
      </c>
      <c r="O338" s="159">
        <f>SUMIFS('METAS EMPRESAS'!$J$15:$J$320,'METAS EMPRESAS'!$A$15:$A$320,"EJ",'METAS EMPRESAS'!$B$15:$B$320,"IÇAMENTO JOIST",'METAS EMPRESAS'!$C$15:$C$320,$A338-WEEKDAY($A338,2)+1)</f>
        <v/>
      </c>
      <c r="P338" s="159">
        <f>SUMIFS('METAS EMPRESAS'!$J$15:$J$320,'METAS EMPRESAS'!$A$15:$A$320,"EJ",'METAS EMPRESAS'!$B$15:$B$320,"VIGAS",'METAS EMPRESAS'!$C$15:$C$320,$A338-WEEKDAY($A338,2)+1)</f>
        <v/>
      </c>
      <c r="Q338" s="159">
        <f>SUMIFS('METAS EMPRESAS'!$J$15:$J$320,'METAS EMPRESAS'!$A$15:$A$320,"CMM",'METAS EMPRESAS'!$B$15:$B$320,"PREMONTAGEM",'METAS EMPRESAS'!$C$15:$C$320,$A338-WEEKDAY($A338,2)+1)</f>
        <v/>
      </c>
      <c r="R338" s="159">
        <f>SUMIFS('METAS EMPRESAS'!$J$15:$J$320,'METAS EMPRESAS'!$A$15:$A$320,"CMM",'METAS EMPRESAS'!$B$15:$B$320,"IÇAMENTO JOIST",'METAS EMPRESAS'!$C$15:$C$320,$A338-WEEKDAY($A338,2)+1)</f>
        <v/>
      </c>
      <c r="S338" s="159">
        <f>SUMIFS('METAS EMPRESAS'!$J$15:$J$320,'METAS EMPRESAS'!$A$15:$A$320,"CMM",'METAS EMPRESAS'!$B$15:$B$320,"VIGAS",'METAS EMPRESAS'!$C$15:$C$320,$A338-WEEKDAY($A338,2)+1)</f>
        <v/>
      </c>
      <c r="T338">
        <f>--(WEEKDAY(A338,2)&lt;=5)</f>
        <v/>
      </c>
      <c r="U338" t="n">
        <v>19</v>
      </c>
      <c r="V338" t="n">
        <v>7</v>
      </c>
      <c r="W338" t="n">
        <v>0</v>
      </c>
      <c r="X338" t="n">
        <v>5</v>
      </c>
      <c r="Y338" t="n">
        <v>5</v>
      </c>
      <c r="Z338" t="n">
        <v>5</v>
      </c>
      <c r="AA338" t="n">
        <v>95</v>
      </c>
      <c r="AB338" t="n">
        <v>35</v>
      </c>
      <c r="AC338" t="n">
        <v>0</v>
      </c>
    </row>
    <row r="339">
      <c r="A339" s="317" t="n">
        <v>46560</v>
      </c>
      <c r="B339" s="159">
        <f>SUMIFS('METAS EMPRESAS'!$K$15:$K$320,'METAS EMPRESAS'!$A$15:$A$320,"EJ",'METAS EMPRESAS'!$B$15:$B$320,"PREMONTAGEM",'METAS EMPRESAS'!$C$15:$C$320,$A339-WEEKDAY($A339,2)+1)</f>
        <v/>
      </c>
      <c r="C339" s="159">
        <f>SUMIFS('METAS EMPRESAS'!$K$15:$K$320,'METAS EMPRESAS'!$A$15:$A$320,"EJ",'METAS EMPRESAS'!$B$15:$B$320,"IÇAMENTO JOIST",'METAS EMPRESAS'!$C$15:$C$320,$A339-WEEKDAY($A339,2)+1)</f>
        <v/>
      </c>
      <c r="D339" s="159">
        <f>SUMIFS('METAS EMPRESAS'!$K$15:$K$320,'METAS EMPRESAS'!$A$15:$A$320,"EJ",'METAS EMPRESAS'!$B$15:$B$320,"VIGAS",'METAS EMPRESAS'!$C$15:$C$320,$A339-WEEKDAY($A339,2)+1)</f>
        <v/>
      </c>
      <c r="E339" s="159">
        <f>SUMIFS('METAS EMPRESAS'!$K$15:$K$320,'METAS EMPRESAS'!$A$15:$A$320,"CMM",'METAS EMPRESAS'!$B$15:$B$320,"PREMONTAGEM",'METAS EMPRESAS'!$C$15:$C$320,$A339-WEEKDAY($A339,2)+1)</f>
        <v/>
      </c>
      <c r="F339" s="159">
        <f>SUMIFS('METAS EMPRESAS'!$K$15:$K$320,'METAS EMPRESAS'!$A$15:$A$320,"CMM",'METAS EMPRESAS'!$B$15:$B$320,"IÇAMENTO JOIST",'METAS EMPRESAS'!$C$15:$C$320,$A339-WEEKDAY($A339,2)+1)</f>
        <v/>
      </c>
      <c r="G339" s="159">
        <f>SUMIFS('METAS EMPRESAS'!$K$15:$K$320,'METAS EMPRESAS'!$A$15:$A$320,"CMM",'METAS EMPRESAS'!$B$15:$B$320,"VIGAS",'METAS EMPRESAS'!$C$15:$C$320,$A339-WEEKDAY($A339,2)+1)</f>
        <v/>
      </c>
      <c r="H339" s="159">
        <f>SUMIFS('METAS EMPRESAS'!$G$15:$G$320,'METAS EMPRESAS'!$A$15:$A$320,"EJ",'METAS EMPRESAS'!$B$15:$B$320,"PREMONTAGEM",'METAS EMPRESAS'!$C$15:$C$320,$A339-WEEKDAY($A339,2)+1)</f>
        <v/>
      </c>
      <c r="I339" s="159">
        <f>SUMIFS('METAS EMPRESAS'!$G$15:$G$320,'METAS EMPRESAS'!$A$15:$A$320,"EJ",'METAS EMPRESAS'!$B$15:$B$320,"IÇAMENTO JOIST",'METAS EMPRESAS'!$C$15:$C$320,$A339-WEEKDAY($A339,2)+1)</f>
        <v/>
      </c>
      <c r="J339" s="159">
        <f>SUMIFS('METAS EMPRESAS'!$G$15:$G$320,'METAS EMPRESAS'!$A$15:$A$320,"EJ",'METAS EMPRESAS'!$B$15:$B$320,"VIGAS",'METAS EMPRESAS'!$C$15:$C$320,$A339-WEEKDAY($A339,2)+1)</f>
        <v/>
      </c>
      <c r="K339" s="159">
        <f>SUMIFS('METAS EMPRESAS'!$G$15:$G$320,'METAS EMPRESAS'!$A$15:$A$320,"CMM",'METAS EMPRESAS'!$B$15:$B$320,"PREMONTAGEM",'METAS EMPRESAS'!$C$15:$C$320,$A339-WEEKDAY($A339,2)+1)</f>
        <v/>
      </c>
      <c r="L339" s="159">
        <f>SUMIFS('METAS EMPRESAS'!$G$15:$G$320,'METAS EMPRESAS'!$A$15:$A$320,"CMM",'METAS EMPRESAS'!$B$15:$B$320,"IÇAMENTO JOIST",'METAS EMPRESAS'!$C$15:$C$320,$A339-WEEKDAY($A339,2)+1)</f>
        <v/>
      </c>
      <c r="M339" s="159">
        <f>SUMIFS('METAS EMPRESAS'!$G$15:$G$320,'METAS EMPRESAS'!$A$15:$A$320,"CMM",'METAS EMPRESAS'!$B$15:$B$320,"VIGAS",'METAS EMPRESAS'!$C$15:$C$320,$A339-WEEKDAY($A339,2)+1)</f>
        <v/>
      </c>
      <c r="N339" s="159">
        <f>SUMIFS('METAS EMPRESAS'!$J$15:$J$320,'METAS EMPRESAS'!$A$15:$A$320,"EJ",'METAS EMPRESAS'!$B$15:$B$320,"PREMONTAGEM",'METAS EMPRESAS'!$C$15:$C$320,$A339-WEEKDAY($A339,2)+1)</f>
        <v/>
      </c>
      <c r="O339" s="159">
        <f>SUMIFS('METAS EMPRESAS'!$J$15:$J$320,'METAS EMPRESAS'!$A$15:$A$320,"EJ",'METAS EMPRESAS'!$B$15:$B$320,"IÇAMENTO JOIST",'METAS EMPRESAS'!$C$15:$C$320,$A339-WEEKDAY($A339,2)+1)</f>
        <v/>
      </c>
      <c r="P339" s="159">
        <f>SUMIFS('METAS EMPRESAS'!$J$15:$J$320,'METAS EMPRESAS'!$A$15:$A$320,"EJ",'METAS EMPRESAS'!$B$15:$B$320,"VIGAS",'METAS EMPRESAS'!$C$15:$C$320,$A339-WEEKDAY($A339,2)+1)</f>
        <v/>
      </c>
      <c r="Q339" s="159">
        <f>SUMIFS('METAS EMPRESAS'!$J$15:$J$320,'METAS EMPRESAS'!$A$15:$A$320,"CMM",'METAS EMPRESAS'!$B$15:$B$320,"PREMONTAGEM",'METAS EMPRESAS'!$C$15:$C$320,$A339-WEEKDAY($A339,2)+1)</f>
        <v/>
      </c>
      <c r="R339" s="159">
        <f>SUMIFS('METAS EMPRESAS'!$J$15:$J$320,'METAS EMPRESAS'!$A$15:$A$320,"CMM",'METAS EMPRESAS'!$B$15:$B$320,"IÇAMENTO JOIST",'METAS EMPRESAS'!$C$15:$C$320,$A339-WEEKDAY($A339,2)+1)</f>
        <v/>
      </c>
      <c r="S339" s="159">
        <f>SUMIFS('METAS EMPRESAS'!$J$15:$J$320,'METAS EMPRESAS'!$A$15:$A$320,"CMM",'METAS EMPRESAS'!$B$15:$B$320,"VIGAS",'METAS EMPRESAS'!$C$15:$C$320,$A339-WEEKDAY($A339,2)+1)</f>
        <v/>
      </c>
      <c r="T339">
        <f>--(WEEKDAY(A339,2)&lt;=5)</f>
        <v/>
      </c>
      <c r="U339" t="n">
        <v>19</v>
      </c>
      <c r="V339" t="n">
        <v>7</v>
      </c>
      <c r="W339" t="n">
        <v>0</v>
      </c>
      <c r="X339" t="n">
        <v>5</v>
      </c>
      <c r="Y339" t="n">
        <v>5</v>
      </c>
      <c r="Z339" t="n">
        <v>5</v>
      </c>
      <c r="AA339" t="n">
        <v>95</v>
      </c>
      <c r="AB339" t="n">
        <v>35</v>
      </c>
      <c r="AC339" t="n">
        <v>0</v>
      </c>
    </row>
    <row r="340">
      <c r="A340" s="317" t="n">
        <v>46561</v>
      </c>
      <c r="B340" s="159">
        <f>SUMIFS('METAS EMPRESAS'!$K$15:$K$320,'METAS EMPRESAS'!$A$15:$A$320,"EJ",'METAS EMPRESAS'!$B$15:$B$320,"PREMONTAGEM",'METAS EMPRESAS'!$C$15:$C$320,$A340-WEEKDAY($A340,2)+1)</f>
        <v/>
      </c>
      <c r="C340" s="159">
        <f>SUMIFS('METAS EMPRESAS'!$K$15:$K$320,'METAS EMPRESAS'!$A$15:$A$320,"EJ",'METAS EMPRESAS'!$B$15:$B$320,"IÇAMENTO JOIST",'METAS EMPRESAS'!$C$15:$C$320,$A340-WEEKDAY($A340,2)+1)</f>
        <v/>
      </c>
      <c r="D340" s="159">
        <f>SUMIFS('METAS EMPRESAS'!$K$15:$K$320,'METAS EMPRESAS'!$A$15:$A$320,"EJ",'METAS EMPRESAS'!$B$15:$B$320,"VIGAS",'METAS EMPRESAS'!$C$15:$C$320,$A340-WEEKDAY($A340,2)+1)</f>
        <v/>
      </c>
      <c r="E340" s="159">
        <f>SUMIFS('METAS EMPRESAS'!$K$15:$K$320,'METAS EMPRESAS'!$A$15:$A$320,"CMM",'METAS EMPRESAS'!$B$15:$B$320,"PREMONTAGEM",'METAS EMPRESAS'!$C$15:$C$320,$A340-WEEKDAY($A340,2)+1)</f>
        <v/>
      </c>
      <c r="F340" s="159">
        <f>SUMIFS('METAS EMPRESAS'!$K$15:$K$320,'METAS EMPRESAS'!$A$15:$A$320,"CMM",'METAS EMPRESAS'!$B$15:$B$320,"IÇAMENTO JOIST",'METAS EMPRESAS'!$C$15:$C$320,$A340-WEEKDAY($A340,2)+1)</f>
        <v/>
      </c>
      <c r="G340" s="159">
        <f>SUMIFS('METAS EMPRESAS'!$K$15:$K$320,'METAS EMPRESAS'!$A$15:$A$320,"CMM",'METAS EMPRESAS'!$B$15:$B$320,"VIGAS",'METAS EMPRESAS'!$C$15:$C$320,$A340-WEEKDAY($A340,2)+1)</f>
        <v/>
      </c>
      <c r="H340" s="159">
        <f>SUMIFS('METAS EMPRESAS'!$G$15:$G$320,'METAS EMPRESAS'!$A$15:$A$320,"EJ",'METAS EMPRESAS'!$B$15:$B$320,"PREMONTAGEM",'METAS EMPRESAS'!$C$15:$C$320,$A340-WEEKDAY($A340,2)+1)</f>
        <v/>
      </c>
      <c r="I340" s="159">
        <f>SUMIFS('METAS EMPRESAS'!$G$15:$G$320,'METAS EMPRESAS'!$A$15:$A$320,"EJ",'METAS EMPRESAS'!$B$15:$B$320,"IÇAMENTO JOIST",'METAS EMPRESAS'!$C$15:$C$320,$A340-WEEKDAY($A340,2)+1)</f>
        <v/>
      </c>
      <c r="J340" s="159">
        <f>SUMIFS('METAS EMPRESAS'!$G$15:$G$320,'METAS EMPRESAS'!$A$15:$A$320,"EJ",'METAS EMPRESAS'!$B$15:$B$320,"VIGAS",'METAS EMPRESAS'!$C$15:$C$320,$A340-WEEKDAY($A340,2)+1)</f>
        <v/>
      </c>
      <c r="K340" s="159">
        <f>SUMIFS('METAS EMPRESAS'!$G$15:$G$320,'METAS EMPRESAS'!$A$15:$A$320,"CMM",'METAS EMPRESAS'!$B$15:$B$320,"PREMONTAGEM",'METAS EMPRESAS'!$C$15:$C$320,$A340-WEEKDAY($A340,2)+1)</f>
        <v/>
      </c>
      <c r="L340" s="159">
        <f>SUMIFS('METAS EMPRESAS'!$G$15:$G$320,'METAS EMPRESAS'!$A$15:$A$320,"CMM",'METAS EMPRESAS'!$B$15:$B$320,"IÇAMENTO JOIST",'METAS EMPRESAS'!$C$15:$C$320,$A340-WEEKDAY($A340,2)+1)</f>
        <v/>
      </c>
      <c r="M340" s="159">
        <f>SUMIFS('METAS EMPRESAS'!$G$15:$G$320,'METAS EMPRESAS'!$A$15:$A$320,"CMM",'METAS EMPRESAS'!$B$15:$B$320,"VIGAS",'METAS EMPRESAS'!$C$15:$C$320,$A340-WEEKDAY($A340,2)+1)</f>
        <v/>
      </c>
      <c r="N340" s="159">
        <f>SUMIFS('METAS EMPRESAS'!$J$15:$J$320,'METAS EMPRESAS'!$A$15:$A$320,"EJ",'METAS EMPRESAS'!$B$15:$B$320,"PREMONTAGEM",'METAS EMPRESAS'!$C$15:$C$320,$A340-WEEKDAY($A340,2)+1)</f>
        <v/>
      </c>
      <c r="O340" s="159">
        <f>SUMIFS('METAS EMPRESAS'!$J$15:$J$320,'METAS EMPRESAS'!$A$15:$A$320,"EJ",'METAS EMPRESAS'!$B$15:$B$320,"IÇAMENTO JOIST",'METAS EMPRESAS'!$C$15:$C$320,$A340-WEEKDAY($A340,2)+1)</f>
        <v/>
      </c>
      <c r="P340" s="159">
        <f>SUMIFS('METAS EMPRESAS'!$J$15:$J$320,'METAS EMPRESAS'!$A$15:$A$320,"EJ",'METAS EMPRESAS'!$B$15:$B$320,"VIGAS",'METAS EMPRESAS'!$C$15:$C$320,$A340-WEEKDAY($A340,2)+1)</f>
        <v/>
      </c>
      <c r="Q340" s="159">
        <f>SUMIFS('METAS EMPRESAS'!$J$15:$J$320,'METAS EMPRESAS'!$A$15:$A$320,"CMM",'METAS EMPRESAS'!$B$15:$B$320,"PREMONTAGEM",'METAS EMPRESAS'!$C$15:$C$320,$A340-WEEKDAY($A340,2)+1)</f>
        <v/>
      </c>
      <c r="R340" s="159">
        <f>SUMIFS('METAS EMPRESAS'!$J$15:$J$320,'METAS EMPRESAS'!$A$15:$A$320,"CMM",'METAS EMPRESAS'!$B$15:$B$320,"IÇAMENTO JOIST",'METAS EMPRESAS'!$C$15:$C$320,$A340-WEEKDAY($A340,2)+1)</f>
        <v/>
      </c>
      <c r="S340" s="159">
        <f>SUMIFS('METAS EMPRESAS'!$J$15:$J$320,'METAS EMPRESAS'!$A$15:$A$320,"CMM",'METAS EMPRESAS'!$B$15:$B$320,"VIGAS",'METAS EMPRESAS'!$C$15:$C$320,$A340-WEEKDAY($A340,2)+1)</f>
        <v/>
      </c>
      <c r="T340">
        <f>--(WEEKDAY(A340,2)&lt;=5)</f>
        <v/>
      </c>
      <c r="U340" t="n">
        <v>19</v>
      </c>
      <c r="V340" t="n">
        <v>7</v>
      </c>
      <c r="W340" t="n">
        <v>0</v>
      </c>
      <c r="X340" t="n">
        <v>5</v>
      </c>
      <c r="Y340" t="n">
        <v>5</v>
      </c>
      <c r="Z340" t="n">
        <v>5</v>
      </c>
      <c r="AA340" t="n">
        <v>95</v>
      </c>
      <c r="AB340" t="n">
        <v>35</v>
      </c>
      <c r="AC340" t="n">
        <v>0</v>
      </c>
    </row>
    <row r="341">
      <c r="A341" s="317" t="n">
        <v>46562</v>
      </c>
      <c r="B341" s="159">
        <f>SUMIFS('METAS EMPRESAS'!$K$15:$K$320,'METAS EMPRESAS'!$A$15:$A$320,"EJ",'METAS EMPRESAS'!$B$15:$B$320,"PREMONTAGEM",'METAS EMPRESAS'!$C$15:$C$320,$A341-WEEKDAY($A341,2)+1)</f>
        <v/>
      </c>
      <c r="C341" s="159">
        <f>SUMIFS('METAS EMPRESAS'!$K$15:$K$320,'METAS EMPRESAS'!$A$15:$A$320,"EJ",'METAS EMPRESAS'!$B$15:$B$320,"IÇAMENTO JOIST",'METAS EMPRESAS'!$C$15:$C$320,$A341-WEEKDAY($A341,2)+1)</f>
        <v/>
      </c>
      <c r="D341" s="159">
        <f>SUMIFS('METAS EMPRESAS'!$K$15:$K$320,'METAS EMPRESAS'!$A$15:$A$320,"EJ",'METAS EMPRESAS'!$B$15:$B$320,"VIGAS",'METAS EMPRESAS'!$C$15:$C$320,$A341-WEEKDAY($A341,2)+1)</f>
        <v/>
      </c>
      <c r="E341" s="159">
        <f>SUMIFS('METAS EMPRESAS'!$K$15:$K$320,'METAS EMPRESAS'!$A$15:$A$320,"CMM",'METAS EMPRESAS'!$B$15:$B$320,"PREMONTAGEM",'METAS EMPRESAS'!$C$15:$C$320,$A341-WEEKDAY($A341,2)+1)</f>
        <v/>
      </c>
      <c r="F341" s="159">
        <f>SUMIFS('METAS EMPRESAS'!$K$15:$K$320,'METAS EMPRESAS'!$A$15:$A$320,"CMM",'METAS EMPRESAS'!$B$15:$B$320,"IÇAMENTO JOIST",'METAS EMPRESAS'!$C$15:$C$320,$A341-WEEKDAY($A341,2)+1)</f>
        <v/>
      </c>
      <c r="G341" s="159">
        <f>SUMIFS('METAS EMPRESAS'!$K$15:$K$320,'METAS EMPRESAS'!$A$15:$A$320,"CMM",'METAS EMPRESAS'!$B$15:$B$320,"VIGAS",'METAS EMPRESAS'!$C$15:$C$320,$A341-WEEKDAY($A341,2)+1)</f>
        <v/>
      </c>
      <c r="H341" s="159">
        <f>SUMIFS('METAS EMPRESAS'!$G$15:$G$320,'METAS EMPRESAS'!$A$15:$A$320,"EJ",'METAS EMPRESAS'!$B$15:$B$320,"PREMONTAGEM",'METAS EMPRESAS'!$C$15:$C$320,$A341-WEEKDAY($A341,2)+1)</f>
        <v/>
      </c>
      <c r="I341" s="159">
        <f>SUMIFS('METAS EMPRESAS'!$G$15:$G$320,'METAS EMPRESAS'!$A$15:$A$320,"EJ",'METAS EMPRESAS'!$B$15:$B$320,"IÇAMENTO JOIST",'METAS EMPRESAS'!$C$15:$C$320,$A341-WEEKDAY($A341,2)+1)</f>
        <v/>
      </c>
      <c r="J341" s="159">
        <f>SUMIFS('METAS EMPRESAS'!$G$15:$G$320,'METAS EMPRESAS'!$A$15:$A$320,"EJ",'METAS EMPRESAS'!$B$15:$B$320,"VIGAS",'METAS EMPRESAS'!$C$15:$C$320,$A341-WEEKDAY($A341,2)+1)</f>
        <v/>
      </c>
      <c r="K341" s="159">
        <f>SUMIFS('METAS EMPRESAS'!$G$15:$G$320,'METAS EMPRESAS'!$A$15:$A$320,"CMM",'METAS EMPRESAS'!$B$15:$B$320,"PREMONTAGEM",'METAS EMPRESAS'!$C$15:$C$320,$A341-WEEKDAY($A341,2)+1)</f>
        <v/>
      </c>
      <c r="L341" s="159">
        <f>SUMIFS('METAS EMPRESAS'!$G$15:$G$320,'METAS EMPRESAS'!$A$15:$A$320,"CMM",'METAS EMPRESAS'!$B$15:$B$320,"IÇAMENTO JOIST",'METAS EMPRESAS'!$C$15:$C$320,$A341-WEEKDAY($A341,2)+1)</f>
        <v/>
      </c>
      <c r="M341" s="159">
        <f>SUMIFS('METAS EMPRESAS'!$G$15:$G$320,'METAS EMPRESAS'!$A$15:$A$320,"CMM",'METAS EMPRESAS'!$B$15:$B$320,"VIGAS",'METAS EMPRESAS'!$C$15:$C$320,$A341-WEEKDAY($A341,2)+1)</f>
        <v/>
      </c>
      <c r="N341" s="159">
        <f>SUMIFS('METAS EMPRESAS'!$J$15:$J$320,'METAS EMPRESAS'!$A$15:$A$320,"EJ",'METAS EMPRESAS'!$B$15:$B$320,"PREMONTAGEM",'METAS EMPRESAS'!$C$15:$C$320,$A341-WEEKDAY($A341,2)+1)</f>
        <v/>
      </c>
      <c r="O341" s="159">
        <f>SUMIFS('METAS EMPRESAS'!$J$15:$J$320,'METAS EMPRESAS'!$A$15:$A$320,"EJ",'METAS EMPRESAS'!$B$15:$B$320,"IÇAMENTO JOIST",'METAS EMPRESAS'!$C$15:$C$320,$A341-WEEKDAY($A341,2)+1)</f>
        <v/>
      </c>
      <c r="P341" s="159">
        <f>SUMIFS('METAS EMPRESAS'!$J$15:$J$320,'METAS EMPRESAS'!$A$15:$A$320,"EJ",'METAS EMPRESAS'!$B$15:$B$320,"VIGAS",'METAS EMPRESAS'!$C$15:$C$320,$A341-WEEKDAY($A341,2)+1)</f>
        <v/>
      </c>
      <c r="Q341" s="159">
        <f>SUMIFS('METAS EMPRESAS'!$J$15:$J$320,'METAS EMPRESAS'!$A$15:$A$320,"CMM",'METAS EMPRESAS'!$B$15:$B$320,"PREMONTAGEM",'METAS EMPRESAS'!$C$15:$C$320,$A341-WEEKDAY($A341,2)+1)</f>
        <v/>
      </c>
      <c r="R341" s="159">
        <f>SUMIFS('METAS EMPRESAS'!$J$15:$J$320,'METAS EMPRESAS'!$A$15:$A$320,"CMM",'METAS EMPRESAS'!$B$15:$B$320,"IÇAMENTO JOIST",'METAS EMPRESAS'!$C$15:$C$320,$A341-WEEKDAY($A341,2)+1)</f>
        <v/>
      </c>
      <c r="S341" s="159">
        <f>SUMIFS('METAS EMPRESAS'!$J$15:$J$320,'METAS EMPRESAS'!$A$15:$A$320,"CMM",'METAS EMPRESAS'!$B$15:$B$320,"VIGAS",'METAS EMPRESAS'!$C$15:$C$320,$A341-WEEKDAY($A341,2)+1)</f>
        <v/>
      </c>
      <c r="T341">
        <f>--(WEEKDAY(A341,2)&lt;=5)</f>
        <v/>
      </c>
      <c r="U341" t="n">
        <v>19</v>
      </c>
      <c r="V341" t="n">
        <v>7</v>
      </c>
      <c r="W341" t="n">
        <v>0</v>
      </c>
      <c r="X341" t="n">
        <v>5</v>
      </c>
      <c r="Y341" t="n">
        <v>5</v>
      </c>
      <c r="Z341" t="n">
        <v>5</v>
      </c>
      <c r="AA341" t="n">
        <v>95</v>
      </c>
      <c r="AB341" t="n">
        <v>35</v>
      </c>
      <c r="AC341" t="n">
        <v>0</v>
      </c>
    </row>
    <row r="342">
      <c r="A342" s="317" t="n">
        <v>46563</v>
      </c>
      <c r="B342" s="159">
        <f>SUMIFS('METAS EMPRESAS'!$K$15:$K$320,'METAS EMPRESAS'!$A$15:$A$320,"EJ",'METAS EMPRESAS'!$B$15:$B$320,"PREMONTAGEM",'METAS EMPRESAS'!$C$15:$C$320,$A342-WEEKDAY($A342,2)+1)</f>
        <v/>
      </c>
      <c r="C342" s="159">
        <f>SUMIFS('METAS EMPRESAS'!$K$15:$K$320,'METAS EMPRESAS'!$A$15:$A$320,"EJ",'METAS EMPRESAS'!$B$15:$B$320,"IÇAMENTO JOIST",'METAS EMPRESAS'!$C$15:$C$320,$A342-WEEKDAY($A342,2)+1)</f>
        <v/>
      </c>
      <c r="D342" s="159">
        <f>SUMIFS('METAS EMPRESAS'!$K$15:$K$320,'METAS EMPRESAS'!$A$15:$A$320,"EJ",'METAS EMPRESAS'!$B$15:$B$320,"VIGAS",'METAS EMPRESAS'!$C$15:$C$320,$A342-WEEKDAY($A342,2)+1)</f>
        <v/>
      </c>
      <c r="E342" s="159">
        <f>SUMIFS('METAS EMPRESAS'!$K$15:$K$320,'METAS EMPRESAS'!$A$15:$A$320,"CMM",'METAS EMPRESAS'!$B$15:$B$320,"PREMONTAGEM",'METAS EMPRESAS'!$C$15:$C$320,$A342-WEEKDAY($A342,2)+1)</f>
        <v/>
      </c>
      <c r="F342" s="159">
        <f>SUMIFS('METAS EMPRESAS'!$K$15:$K$320,'METAS EMPRESAS'!$A$15:$A$320,"CMM",'METAS EMPRESAS'!$B$15:$B$320,"IÇAMENTO JOIST",'METAS EMPRESAS'!$C$15:$C$320,$A342-WEEKDAY($A342,2)+1)</f>
        <v/>
      </c>
      <c r="G342" s="159">
        <f>SUMIFS('METAS EMPRESAS'!$K$15:$K$320,'METAS EMPRESAS'!$A$15:$A$320,"CMM",'METAS EMPRESAS'!$B$15:$B$320,"VIGAS",'METAS EMPRESAS'!$C$15:$C$320,$A342-WEEKDAY($A342,2)+1)</f>
        <v/>
      </c>
      <c r="H342" s="159">
        <f>SUMIFS('METAS EMPRESAS'!$G$15:$G$320,'METAS EMPRESAS'!$A$15:$A$320,"EJ",'METAS EMPRESAS'!$B$15:$B$320,"PREMONTAGEM",'METAS EMPRESAS'!$C$15:$C$320,$A342-WEEKDAY($A342,2)+1)</f>
        <v/>
      </c>
      <c r="I342" s="159">
        <f>SUMIFS('METAS EMPRESAS'!$G$15:$G$320,'METAS EMPRESAS'!$A$15:$A$320,"EJ",'METAS EMPRESAS'!$B$15:$B$320,"IÇAMENTO JOIST",'METAS EMPRESAS'!$C$15:$C$320,$A342-WEEKDAY($A342,2)+1)</f>
        <v/>
      </c>
      <c r="J342" s="159">
        <f>SUMIFS('METAS EMPRESAS'!$G$15:$G$320,'METAS EMPRESAS'!$A$15:$A$320,"EJ",'METAS EMPRESAS'!$B$15:$B$320,"VIGAS",'METAS EMPRESAS'!$C$15:$C$320,$A342-WEEKDAY($A342,2)+1)</f>
        <v/>
      </c>
      <c r="K342" s="159">
        <f>SUMIFS('METAS EMPRESAS'!$G$15:$G$320,'METAS EMPRESAS'!$A$15:$A$320,"CMM",'METAS EMPRESAS'!$B$15:$B$320,"PREMONTAGEM",'METAS EMPRESAS'!$C$15:$C$320,$A342-WEEKDAY($A342,2)+1)</f>
        <v/>
      </c>
      <c r="L342" s="159">
        <f>SUMIFS('METAS EMPRESAS'!$G$15:$G$320,'METAS EMPRESAS'!$A$15:$A$320,"CMM",'METAS EMPRESAS'!$B$15:$B$320,"IÇAMENTO JOIST",'METAS EMPRESAS'!$C$15:$C$320,$A342-WEEKDAY($A342,2)+1)</f>
        <v/>
      </c>
      <c r="M342" s="159">
        <f>SUMIFS('METAS EMPRESAS'!$G$15:$G$320,'METAS EMPRESAS'!$A$15:$A$320,"CMM",'METAS EMPRESAS'!$B$15:$B$320,"VIGAS",'METAS EMPRESAS'!$C$15:$C$320,$A342-WEEKDAY($A342,2)+1)</f>
        <v/>
      </c>
      <c r="N342" s="159">
        <f>SUMIFS('METAS EMPRESAS'!$J$15:$J$320,'METAS EMPRESAS'!$A$15:$A$320,"EJ",'METAS EMPRESAS'!$B$15:$B$320,"PREMONTAGEM",'METAS EMPRESAS'!$C$15:$C$320,$A342-WEEKDAY($A342,2)+1)</f>
        <v/>
      </c>
      <c r="O342" s="159">
        <f>SUMIFS('METAS EMPRESAS'!$J$15:$J$320,'METAS EMPRESAS'!$A$15:$A$320,"EJ",'METAS EMPRESAS'!$B$15:$B$320,"IÇAMENTO JOIST",'METAS EMPRESAS'!$C$15:$C$320,$A342-WEEKDAY($A342,2)+1)</f>
        <v/>
      </c>
      <c r="P342" s="159">
        <f>SUMIFS('METAS EMPRESAS'!$J$15:$J$320,'METAS EMPRESAS'!$A$15:$A$320,"EJ",'METAS EMPRESAS'!$B$15:$B$320,"VIGAS",'METAS EMPRESAS'!$C$15:$C$320,$A342-WEEKDAY($A342,2)+1)</f>
        <v/>
      </c>
      <c r="Q342" s="159">
        <f>SUMIFS('METAS EMPRESAS'!$J$15:$J$320,'METAS EMPRESAS'!$A$15:$A$320,"CMM",'METAS EMPRESAS'!$B$15:$B$320,"PREMONTAGEM",'METAS EMPRESAS'!$C$15:$C$320,$A342-WEEKDAY($A342,2)+1)</f>
        <v/>
      </c>
      <c r="R342" s="159">
        <f>SUMIFS('METAS EMPRESAS'!$J$15:$J$320,'METAS EMPRESAS'!$A$15:$A$320,"CMM",'METAS EMPRESAS'!$B$15:$B$320,"IÇAMENTO JOIST",'METAS EMPRESAS'!$C$15:$C$320,$A342-WEEKDAY($A342,2)+1)</f>
        <v/>
      </c>
      <c r="S342" s="159">
        <f>SUMIFS('METAS EMPRESAS'!$J$15:$J$320,'METAS EMPRESAS'!$A$15:$A$320,"CMM",'METAS EMPRESAS'!$B$15:$B$320,"VIGAS",'METAS EMPRESAS'!$C$15:$C$320,$A342-WEEKDAY($A342,2)+1)</f>
        <v/>
      </c>
      <c r="T342">
        <f>--(WEEKDAY(A342,2)&lt;=5)</f>
        <v/>
      </c>
      <c r="U342" t="n">
        <v>19</v>
      </c>
      <c r="V342" t="n">
        <v>7</v>
      </c>
      <c r="W342" t="n">
        <v>0</v>
      </c>
      <c r="X342" t="n">
        <v>5</v>
      </c>
      <c r="Y342" t="n">
        <v>5</v>
      </c>
      <c r="Z342" t="n">
        <v>5</v>
      </c>
      <c r="AA342" t="n">
        <v>95</v>
      </c>
      <c r="AB342" t="n">
        <v>35</v>
      </c>
      <c r="AC342" t="n">
        <v>0</v>
      </c>
    </row>
    <row r="343">
      <c r="A343" s="317" t="n">
        <v>46564</v>
      </c>
      <c r="B343" s="159">
        <f>SUMIFS('METAS EMPRESAS'!$K$15:$K$320,'METAS EMPRESAS'!$A$15:$A$320,"EJ",'METAS EMPRESAS'!$B$15:$B$320,"PREMONTAGEM",'METAS EMPRESAS'!$C$15:$C$320,$A343-WEEKDAY($A343,2)+1)</f>
        <v/>
      </c>
      <c r="C343" s="159">
        <f>SUMIFS('METAS EMPRESAS'!$K$15:$K$320,'METAS EMPRESAS'!$A$15:$A$320,"EJ",'METAS EMPRESAS'!$B$15:$B$320,"IÇAMENTO JOIST",'METAS EMPRESAS'!$C$15:$C$320,$A343-WEEKDAY($A343,2)+1)</f>
        <v/>
      </c>
      <c r="D343" s="159">
        <f>SUMIFS('METAS EMPRESAS'!$K$15:$K$320,'METAS EMPRESAS'!$A$15:$A$320,"EJ",'METAS EMPRESAS'!$B$15:$B$320,"VIGAS",'METAS EMPRESAS'!$C$15:$C$320,$A343-WEEKDAY($A343,2)+1)</f>
        <v/>
      </c>
      <c r="E343" s="159">
        <f>SUMIFS('METAS EMPRESAS'!$K$15:$K$320,'METAS EMPRESAS'!$A$15:$A$320,"CMM",'METAS EMPRESAS'!$B$15:$B$320,"PREMONTAGEM",'METAS EMPRESAS'!$C$15:$C$320,$A343-WEEKDAY($A343,2)+1)</f>
        <v/>
      </c>
      <c r="F343" s="159">
        <f>SUMIFS('METAS EMPRESAS'!$K$15:$K$320,'METAS EMPRESAS'!$A$15:$A$320,"CMM",'METAS EMPRESAS'!$B$15:$B$320,"IÇAMENTO JOIST",'METAS EMPRESAS'!$C$15:$C$320,$A343-WEEKDAY($A343,2)+1)</f>
        <v/>
      </c>
      <c r="G343" s="159">
        <f>SUMIFS('METAS EMPRESAS'!$K$15:$K$320,'METAS EMPRESAS'!$A$15:$A$320,"CMM",'METAS EMPRESAS'!$B$15:$B$320,"VIGAS",'METAS EMPRESAS'!$C$15:$C$320,$A343-WEEKDAY($A343,2)+1)</f>
        <v/>
      </c>
      <c r="H343" s="159">
        <f>SUMIFS('METAS EMPRESAS'!$G$15:$G$320,'METAS EMPRESAS'!$A$15:$A$320,"EJ",'METAS EMPRESAS'!$B$15:$B$320,"PREMONTAGEM",'METAS EMPRESAS'!$C$15:$C$320,$A343-WEEKDAY($A343,2)+1)</f>
        <v/>
      </c>
      <c r="I343" s="159">
        <f>SUMIFS('METAS EMPRESAS'!$G$15:$G$320,'METAS EMPRESAS'!$A$15:$A$320,"EJ",'METAS EMPRESAS'!$B$15:$B$320,"IÇAMENTO JOIST",'METAS EMPRESAS'!$C$15:$C$320,$A343-WEEKDAY($A343,2)+1)</f>
        <v/>
      </c>
      <c r="J343" s="159">
        <f>SUMIFS('METAS EMPRESAS'!$G$15:$G$320,'METAS EMPRESAS'!$A$15:$A$320,"EJ",'METAS EMPRESAS'!$B$15:$B$320,"VIGAS",'METAS EMPRESAS'!$C$15:$C$320,$A343-WEEKDAY($A343,2)+1)</f>
        <v/>
      </c>
      <c r="K343" s="159">
        <f>SUMIFS('METAS EMPRESAS'!$G$15:$G$320,'METAS EMPRESAS'!$A$15:$A$320,"CMM",'METAS EMPRESAS'!$B$15:$B$320,"PREMONTAGEM",'METAS EMPRESAS'!$C$15:$C$320,$A343-WEEKDAY($A343,2)+1)</f>
        <v/>
      </c>
      <c r="L343" s="159">
        <f>SUMIFS('METAS EMPRESAS'!$G$15:$G$320,'METAS EMPRESAS'!$A$15:$A$320,"CMM",'METAS EMPRESAS'!$B$15:$B$320,"IÇAMENTO JOIST",'METAS EMPRESAS'!$C$15:$C$320,$A343-WEEKDAY($A343,2)+1)</f>
        <v/>
      </c>
      <c r="M343" s="159">
        <f>SUMIFS('METAS EMPRESAS'!$G$15:$G$320,'METAS EMPRESAS'!$A$15:$A$320,"CMM",'METAS EMPRESAS'!$B$15:$B$320,"VIGAS",'METAS EMPRESAS'!$C$15:$C$320,$A343-WEEKDAY($A343,2)+1)</f>
        <v/>
      </c>
      <c r="N343" s="159">
        <f>SUMIFS('METAS EMPRESAS'!$J$15:$J$320,'METAS EMPRESAS'!$A$15:$A$320,"EJ",'METAS EMPRESAS'!$B$15:$B$320,"PREMONTAGEM",'METAS EMPRESAS'!$C$15:$C$320,$A343-WEEKDAY($A343,2)+1)</f>
        <v/>
      </c>
      <c r="O343" s="159">
        <f>SUMIFS('METAS EMPRESAS'!$J$15:$J$320,'METAS EMPRESAS'!$A$15:$A$320,"EJ",'METAS EMPRESAS'!$B$15:$B$320,"IÇAMENTO JOIST",'METAS EMPRESAS'!$C$15:$C$320,$A343-WEEKDAY($A343,2)+1)</f>
        <v/>
      </c>
      <c r="P343" s="159">
        <f>SUMIFS('METAS EMPRESAS'!$J$15:$J$320,'METAS EMPRESAS'!$A$15:$A$320,"EJ",'METAS EMPRESAS'!$B$15:$B$320,"VIGAS",'METAS EMPRESAS'!$C$15:$C$320,$A343-WEEKDAY($A343,2)+1)</f>
        <v/>
      </c>
      <c r="Q343" s="159">
        <f>SUMIFS('METAS EMPRESAS'!$J$15:$J$320,'METAS EMPRESAS'!$A$15:$A$320,"CMM",'METAS EMPRESAS'!$B$15:$B$320,"PREMONTAGEM",'METAS EMPRESAS'!$C$15:$C$320,$A343-WEEKDAY($A343,2)+1)</f>
        <v/>
      </c>
      <c r="R343" s="159">
        <f>SUMIFS('METAS EMPRESAS'!$J$15:$J$320,'METAS EMPRESAS'!$A$15:$A$320,"CMM",'METAS EMPRESAS'!$B$15:$B$320,"IÇAMENTO JOIST",'METAS EMPRESAS'!$C$15:$C$320,$A343-WEEKDAY($A343,2)+1)</f>
        <v/>
      </c>
      <c r="S343" s="159">
        <f>SUMIFS('METAS EMPRESAS'!$J$15:$J$320,'METAS EMPRESAS'!$A$15:$A$320,"CMM",'METAS EMPRESAS'!$B$15:$B$320,"VIGAS",'METAS EMPRESAS'!$C$15:$C$320,$A343-WEEKDAY($A343,2)+1)</f>
        <v/>
      </c>
      <c r="T343">
        <f>--(WEEKDAY(A343,2)&lt;=5)</f>
        <v/>
      </c>
      <c r="U343" t="n">
        <v>19</v>
      </c>
      <c r="V343" t="n">
        <v>7</v>
      </c>
      <c r="W343" t="n">
        <v>0</v>
      </c>
      <c r="X343" t="n">
        <v>5</v>
      </c>
      <c r="Y343" t="n">
        <v>5</v>
      </c>
      <c r="Z343" t="n">
        <v>5</v>
      </c>
      <c r="AA343" t="n">
        <v>95</v>
      </c>
      <c r="AB343" t="n">
        <v>35</v>
      </c>
      <c r="AC343" t="n">
        <v>0</v>
      </c>
    </row>
    <row r="344">
      <c r="A344" s="317" t="n">
        <v>46565</v>
      </c>
      <c r="B344" s="159">
        <f>SUMIFS('METAS EMPRESAS'!$K$15:$K$320,'METAS EMPRESAS'!$A$15:$A$320,"EJ",'METAS EMPRESAS'!$B$15:$B$320,"PREMONTAGEM",'METAS EMPRESAS'!$C$15:$C$320,$A344-WEEKDAY($A344,2)+1)</f>
        <v/>
      </c>
      <c r="C344" s="159">
        <f>SUMIFS('METAS EMPRESAS'!$K$15:$K$320,'METAS EMPRESAS'!$A$15:$A$320,"EJ",'METAS EMPRESAS'!$B$15:$B$320,"IÇAMENTO JOIST",'METAS EMPRESAS'!$C$15:$C$320,$A344-WEEKDAY($A344,2)+1)</f>
        <v/>
      </c>
      <c r="D344" s="159">
        <f>SUMIFS('METAS EMPRESAS'!$K$15:$K$320,'METAS EMPRESAS'!$A$15:$A$320,"EJ",'METAS EMPRESAS'!$B$15:$B$320,"VIGAS",'METAS EMPRESAS'!$C$15:$C$320,$A344-WEEKDAY($A344,2)+1)</f>
        <v/>
      </c>
      <c r="E344" s="159">
        <f>SUMIFS('METAS EMPRESAS'!$K$15:$K$320,'METAS EMPRESAS'!$A$15:$A$320,"CMM",'METAS EMPRESAS'!$B$15:$B$320,"PREMONTAGEM",'METAS EMPRESAS'!$C$15:$C$320,$A344-WEEKDAY($A344,2)+1)</f>
        <v/>
      </c>
      <c r="F344" s="159">
        <f>SUMIFS('METAS EMPRESAS'!$K$15:$K$320,'METAS EMPRESAS'!$A$15:$A$320,"CMM",'METAS EMPRESAS'!$B$15:$B$320,"IÇAMENTO JOIST",'METAS EMPRESAS'!$C$15:$C$320,$A344-WEEKDAY($A344,2)+1)</f>
        <v/>
      </c>
      <c r="G344" s="159">
        <f>SUMIFS('METAS EMPRESAS'!$K$15:$K$320,'METAS EMPRESAS'!$A$15:$A$320,"CMM",'METAS EMPRESAS'!$B$15:$B$320,"VIGAS",'METAS EMPRESAS'!$C$15:$C$320,$A344-WEEKDAY($A344,2)+1)</f>
        <v/>
      </c>
      <c r="H344" s="159">
        <f>SUMIFS('METAS EMPRESAS'!$G$15:$G$320,'METAS EMPRESAS'!$A$15:$A$320,"EJ",'METAS EMPRESAS'!$B$15:$B$320,"PREMONTAGEM",'METAS EMPRESAS'!$C$15:$C$320,$A344-WEEKDAY($A344,2)+1)</f>
        <v/>
      </c>
      <c r="I344" s="159">
        <f>SUMIFS('METAS EMPRESAS'!$G$15:$G$320,'METAS EMPRESAS'!$A$15:$A$320,"EJ",'METAS EMPRESAS'!$B$15:$B$320,"IÇAMENTO JOIST",'METAS EMPRESAS'!$C$15:$C$320,$A344-WEEKDAY($A344,2)+1)</f>
        <v/>
      </c>
      <c r="J344" s="159">
        <f>SUMIFS('METAS EMPRESAS'!$G$15:$G$320,'METAS EMPRESAS'!$A$15:$A$320,"EJ",'METAS EMPRESAS'!$B$15:$B$320,"VIGAS",'METAS EMPRESAS'!$C$15:$C$320,$A344-WEEKDAY($A344,2)+1)</f>
        <v/>
      </c>
      <c r="K344" s="159">
        <f>SUMIFS('METAS EMPRESAS'!$G$15:$G$320,'METAS EMPRESAS'!$A$15:$A$320,"CMM",'METAS EMPRESAS'!$B$15:$B$320,"PREMONTAGEM",'METAS EMPRESAS'!$C$15:$C$320,$A344-WEEKDAY($A344,2)+1)</f>
        <v/>
      </c>
      <c r="L344" s="159">
        <f>SUMIFS('METAS EMPRESAS'!$G$15:$G$320,'METAS EMPRESAS'!$A$15:$A$320,"CMM",'METAS EMPRESAS'!$B$15:$B$320,"IÇAMENTO JOIST",'METAS EMPRESAS'!$C$15:$C$320,$A344-WEEKDAY($A344,2)+1)</f>
        <v/>
      </c>
      <c r="M344" s="159">
        <f>SUMIFS('METAS EMPRESAS'!$G$15:$G$320,'METAS EMPRESAS'!$A$15:$A$320,"CMM",'METAS EMPRESAS'!$B$15:$B$320,"VIGAS",'METAS EMPRESAS'!$C$15:$C$320,$A344-WEEKDAY($A344,2)+1)</f>
        <v/>
      </c>
      <c r="N344" s="159">
        <f>SUMIFS('METAS EMPRESAS'!$J$15:$J$320,'METAS EMPRESAS'!$A$15:$A$320,"EJ",'METAS EMPRESAS'!$B$15:$B$320,"PREMONTAGEM",'METAS EMPRESAS'!$C$15:$C$320,$A344-WEEKDAY($A344,2)+1)</f>
        <v/>
      </c>
      <c r="O344" s="159">
        <f>SUMIFS('METAS EMPRESAS'!$J$15:$J$320,'METAS EMPRESAS'!$A$15:$A$320,"EJ",'METAS EMPRESAS'!$B$15:$B$320,"IÇAMENTO JOIST",'METAS EMPRESAS'!$C$15:$C$320,$A344-WEEKDAY($A344,2)+1)</f>
        <v/>
      </c>
      <c r="P344" s="159">
        <f>SUMIFS('METAS EMPRESAS'!$J$15:$J$320,'METAS EMPRESAS'!$A$15:$A$320,"EJ",'METAS EMPRESAS'!$B$15:$B$320,"VIGAS",'METAS EMPRESAS'!$C$15:$C$320,$A344-WEEKDAY($A344,2)+1)</f>
        <v/>
      </c>
      <c r="Q344" s="159">
        <f>SUMIFS('METAS EMPRESAS'!$J$15:$J$320,'METAS EMPRESAS'!$A$15:$A$320,"CMM",'METAS EMPRESAS'!$B$15:$B$320,"PREMONTAGEM",'METAS EMPRESAS'!$C$15:$C$320,$A344-WEEKDAY($A344,2)+1)</f>
        <v/>
      </c>
      <c r="R344" s="159">
        <f>SUMIFS('METAS EMPRESAS'!$J$15:$J$320,'METAS EMPRESAS'!$A$15:$A$320,"CMM",'METAS EMPRESAS'!$B$15:$B$320,"IÇAMENTO JOIST",'METAS EMPRESAS'!$C$15:$C$320,$A344-WEEKDAY($A344,2)+1)</f>
        <v/>
      </c>
      <c r="S344" s="159">
        <f>SUMIFS('METAS EMPRESAS'!$J$15:$J$320,'METAS EMPRESAS'!$A$15:$A$320,"CMM",'METAS EMPRESAS'!$B$15:$B$320,"VIGAS",'METAS EMPRESAS'!$C$15:$C$320,$A344-WEEKDAY($A344,2)+1)</f>
        <v/>
      </c>
      <c r="T344">
        <f>--(WEEKDAY(A344,2)&lt;=5)</f>
        <v/>
      </c>
      <c r="U344" t="n">
        <v>19</v>
      </c>
      <c r="V344" t="n">
        <v>7</v>
      </c>
      <c r="W344" t="n">
        <v>0</v>
      </c>
      <c r="X344" t="n">
        <v>5</v>
      </c>
      <c r="Y344" t="n">
        <v>5</v>
      </c>
      <c r="Z344" t="n">
        <v>5</v>
      </c>
      <c r="AA344" t="n">
        <v>95</v>
      </c>
      <c r="AB344" t="n">
        <v>35</v>
      </c>
      <c r="AC344" t="n">
        <v>0</v>
      </c>
    </row>
    <row r="345">
      <c r="A345" s="317" t="n">
        <v>46566</v>
      </c>
      <c r="B345" s="159">
        <f>SUMIFS('METAS EMPRESAS'!$K$15:$K$320,'METAS EMPRESAS'!$A$15:$A$320,"EJ",'METAS EMPRESAS'!$B$15:$B$320,"PREMONTAGEM",'METAS EMPRESAS'!$C$15:$C$320,$A345-WEEKDAY($A345,2)+1)</f>
        <v/>
      </c>
      <c r="C345" s="159">
        <f>SUMIFS('METAS EMPRESAS'!$K$15:$K$320,'METAS EMPRESAS'!$A$15:$A$320,"EJ",'METAS EMPRESAS'!$B$15:$B$320,"IÇAMENTO JOIST",'METAS EMPRESAS'!$C$15:$C$320,$A345-WEEKDAY($A345,2)+1)</f>
        <v/>
      </c>
      <c r="D345" s="159">
        <f>SUMIFS('METAS EMPRESAS'!$K$15:$K$320,'METAS EMPRESAS'!$A$15:$A$320,"EJ",'METAS EMPRESAS'!$B$15:$B$320,"VIGAS",'METAS EMPRESAS'!$C$15:$C$320,$A345-WEEKDAY($A345,2)+1)</f>
        <v/>
      </c>
      <c r="E345" s="159">
        <f>SUMIFS('METAS EMPRESAS'!$K$15:$K$320,'METAS EMPRESAS'!$A$15:$A$320,"CMM",'METAS EMPRESAS'!$B$15:$B$320,"PREMONTAGEM",'METAS EMPRESAS'!$C$15:$C$320,$A345-WEEKDAY($A345,2)+1)</f>
        <v/>
      </c>
      <c r="F345" s="159">
        <f>SUMIFS('METAS EMPRESAS'!$K$15:$K$320,'METAS EMPRESAS'!$A$15:$A$320,"CMM",'METAS EMPRESAS'!$B$15:$B$320,"IÇAMENTO JOIST",'METAS EMPRESAS'!$C$15:$C$320,$A345-WEEKDAY($A345,2)+1)</f>
        <v/>
      </c>
      <c r="G345" s="159">
        <f>SUMIFS('METAS EMPRESAS'!$K$15:$K$320,'METAS EMPRESAS'!$A$15:$A$320,"CMM",'METAS EMPRESAS'!$B$15:$B$320,"VIGAS",'METAS EMPRESAS'!$C$15:$C$320,$A345-WEEKDAY($A345,2)+1)</f>
        <v/>
      </c>
      <c r="H345" s="159">
        <f>SUMIFS('METAS EMPRESAS'!$G$15:$G$320,'METAS EMPRESAS'!$A$15:$A$320,"EJ",'METAS EMPRESAS'!$B$15:$B$320,"PREMONTAGEM",'METAS EMPRESAS'!$C$15:$C$320,$A345-WEEKDAY($A345,2)+1)</f>
        <v/>
      </c>
      <c r="I345" s="159">
        <f>SUMIFS('METAS EMPRESAS'!$G$15:$G$320,'METAS EMPRESAS'!$A$15:$A$320,"EJ",'METAS EMPRESAS'!$B$15:$B$320,"IÇAMENTO JOIST",'METAS EMPRESAS'!$C$15:$C$320,$A345-WEEKDAY($A345,2)+1)</f>
        <v/>
      </c>
      <c r="J345" s="159">
        <f>SUMIFS('METAS EMPRESAS'!$G$15:$G$320,'METAS EMPRESAS'!$A$15:$A$320,"EJ",'METAS EMPRESAS'!$B$15:$B$320,"VIGAS",'METAS EMPRESAS'!$C$15:$C$320,$A345-WEEKDAY($A345,2)+1)</f>
        <v/>
      </c>
      <c r="K345" s="159">
        <f>SUMIFS('METAS EMPRESAS'!$G$15:$G$320,'METAS EMPRESAS'!$A$15:$A$320,"CMM",'METAS EMPRESAS'!$B$15:$B$320,"PREMONTAGEM",'METAS EMPRESAS'!$C$15:$C$320,$A345-WEEKDAY($A345,2)+1)</f>
        <v/>
      </c>
      <c r="L345" s="159">
        <f>SUMIFS('METAS EMPRESAS'!$G$15:$G$320,'METAS EMPRESAS'!$A$15:$A$320,"CMM",'METAS EMPRESAS'!$B$15:$B$320,"IÇAMENTO JOIST",'METAS EMPRESAS'!$C$15:$C$320,$A345-WEEKDAY($A345,2)+1)</f>
        <v/>
      </c>
      <c r="M345" s="159">
        <f>SUMIFS('METAS EMPRESAS'!$G$15:$G$320,'METAS EMPRESAS'!$A$15:$A$320,"CMM",'METAS EMPRESAS'!$B$15:$B$320,"VIGAS",'METAS EMPRESAS'!$C$15:$C$320,$A345-WEEKDAY($A345,2)+1)</f>
        <v/>
      </c>
      <c r="N345" s="159">
        <f>SUMIFS('METAS EMPRESAS'!$J$15:$J$320,'METAS EMPRESAS'!$A$15:$A$320,"EJ",'METAS EMPRESAS'!$B$15:$B$320,"PREMONTAGEM",'METAS EMPRESAS'!$C$15:$C$320,$A345-WEEKDAY($A345,2)+1)</f>
        <v/>
      </c>
      <c r="O345" s="159">
        <f>SUMIFS('METAS EMPRESAS'!$J$15:$J$320,'METAS EMPRESAS'!$A$15:$A$320,"EJ",'METAS EMPRESAS'!$B$15:$B$320,"IÇAMENTO JOIST",'METAS EMPRESAS'!$C$15:$C$320,$A345-WEEKDAY($A345,2)+1)</f>
        <v/>
      </c>
      <c r="P345" s="159">
        <f>SUMIFS('METAS EMPRESAS'!$J$15:$J$320,'METAS EMPRESAS'!$A$15:$A$320,"EJ",'METAS EMPRESAS'!$B$15:$B$320,"VIGAS",'METAS EMPRESAS'!$C$15:$C$320,$A345-WEEKDAY($A345,2)+1)</f>
        <v/>
      </c>
      <c r="Q345" s="159">
        <f>SUMIFS('METAS EMPRESAS'!$J$15:$J$320,'METAS EMPRESAS'!$A$15:$A$320,"CMM",'METAS EMPRESAS'!$B$15:$B$320,"PREMONTAGEM",'METAS EMPRESAS'!$C$15:$C$320,$A345-WEEKDAY($A345,2)+1)</f>
        <v/>
      </c>
      <c r="R345" s="159">
        <f>SUMIFS('METAS EMPRESAS'!$J$15:$J$320,'METAS EMPRESAS'!$A$15:$A$320,"CMM",'METAS EMPRESAS'!$B$15:$B$320,"IÇAMENTO JOIST",'METAS EMPRESAS'!$C$15:$C$320,$A345-WEEKDAY($A345,2)+1)</f>
        <v/>
      </c>
      <c r="S345" s="159">
        <f>SUMIFS('METAS EMPRESAS'!$J$15:$J$320,'METAS EMPRESAS'!$A$15:$A$320,"CMM",'METAS EMPRESAS'!$B$15:$B$320,"VIGAS",'METAS EMPRESAS'!$C$15:$C$320,$A345-WEEKDAY($A345,2)+1)</f>
        <v/>
      </c>
      <c r="T345">
        <f>--(WEEKDAY(A345,2)&lt;=5)</f>
        <v/>
      </c>
      <c r="U345" t="n">
        <v>19</v>
      </c>
      <c r="V345" t="n">
        <v>7</v>
      </c>
      <c r="W345" t="n">
        <v>0</v>
      </c>
      <c r="X345" t="n">
        <v>5</v>
      </c>
      <c r="Y345" t="n">
        <v>5</v>
      </c>
      <c r="Z345" t="n">
        <v>5</v>
      </c>
      <c r="AA345" t="n">
        <v>95</v>
      </c>
      <c r="AB345" t="n">
        <v>35</v>
      </c>
      <c r="AC345" t="n">
        <v>0</v>
      </c>
    </row>
    <row r="346">
      <c r="A346" s="317" t="n">
        <v>46567</v>
      </c>
      <c r="B346" s="159">
        <f>SUMIFS('METAS EMPRESAS'!$K$15:$K$320,'METAS EMPRESAS'!$A$15:$A$320,"EJ",'METAS EMPRESAS'!$B$15:$B$320,"PREMONTAGEM",'METAS EMPRESAS'!$C$15:$C$320,$A346-WEEKDAY($A346,2)+1)</f>
        <v/>
      </c>
      <c r="C346" s="159">
        <f>SUMIFS('METAS EMPRESAS'!$K$15:$K$320,'METAS EMPRESAS'!$A$15:$A$320,"EJ",'METAS EMPRESAS'!$B$15:$B$320,"IÇAMENTO JOIST",'METAS EMPRESAS'!$C$15:$C$320,$A346-WEEKDAY($A346,2)+1)</f>
        <v/>
      </c>
      <c r="D346" s="159">
        <f>SUMIFS('METAS EMPRESAS'!$K$15:$K$320,'METAS EMPRESAS'!$A$15:$A$320,"EJ",'METAS EMPRESAS'!$B$15:$B$320,"VIGAS",'METAS EMPRESAS'!$C$15:$C$320,$A346-WEEKDAY($A346,2)+1)</f>
        <v/>
      </c>
      <c r="E346" s="159">
        <f>SUMIFS('METAS EMPRESAS'!$K$15:$K$320,'METAS EMPRESAS'!$A$15:$A$320,"CMM",'METAS EMPRESAS'!$B$15:$B$320,"PREMONTAGEM",'METAS EMPRESAS'!$C$15:$C$320,$A346-WEEKDAY($A346,2)+1)</f>
        <v/>
      </c>
      <c r="F346" s="159">
        <f>SUMIFS('METAS EMPRESAS'!$K$15:$K$320,'METAS EMPRESAS'!$A$15:$A$320,"CMM",'METAS EMPRESAS'!$B$15:$B$320,"IÇAMENTO JOIST",'METAS EMPRESAS'!$C$15:$C$320,$A346-WEEKDAY($A346,2)+1)</f>
        <v/>
      </c>
      <c r="G346" s="159">
        <f>SUMIFS('METAS EMPRESAS'!$K$15:$K$320,'METAS EMPRESAS'!$A$15:$A$320,"CMM",'METAS EMPRESAS'!$B$15:$B$320,"VIGAS",'METAS EMPRESAS'!$C$15:$C$320,$A346-WEEKDAY($A346,2)+1)</f>
        <v/>
      </c>
      <c r="H346" s="159">
        <f>SUMIFS('METAS EMPRESAS'!$G$15:$G$320,'METAS EMPRESAS'!$A$15:$A$320,"EJ",'METAS EMPRESAS'!$B$15:$B$320,"PREMONTAGEM",'METAS EMPRESAS'!$C$15:$C$320,$A346-WEEKDAY($A346,2)+1)</f>
        <v/>
      </c>
      <c r="I346" s="159">
        <f>SUMIFS('METAS EMPRESAS'!$G$15:$G$320,'METAS EMPRESAS'!$A$15:$A$320,"EJ",'METAS EMPRESAS'!$B$15:$B$320,"IÇAMENTO JOIST",'METAS EMPRESAS'!$C$15:$C$320,$A346-WEEKDAY($A346,2)+1)</f>
        <v/>
      </c>
      <c r="J346" s="159">
        <f>SUMIFS('METAS EMPRESAS'!$G$15:$G$320,'METAS EMPRESAS'!$A$15:$A$320,"EJ",'METAS EMPRESAS'!$B$15:$B$320,"VIGAS",'METAS EMPRESAS'!$C$15:$C$320,$A346-WEEKDAY($A346,2)+1)</f>
        <v/>
      </c>
      <c r="K346" s="159">
        <f>SUMIFS('METAS EMPRESAS'!$G$15:$G$320,'METAS EMPRESAS'!$A$15:$A$320,"CMM",'METAS EMPRESAS'!$B$15:$B$320,"PREMONTAGEM",'METAS EMPRESAS'!$C$15:$C$320,$A346-WEEKDAY($A346,2)+1)</f>
        <v/>
      </c>
      <c r="L346" s="159">
        <f>SUMIFS('METAS EMPRESAS'!$G$15:$G$320,'METAS EMPRESAS'!$A$15:$A$320,"CMM",'METAS EMPRESAS'!$B$15:$B$320,"IÇAMENTO JOIST",'METAS EMPRESAS'!$C$15:$C$320,$A346-WEEKDAY($A346,2)+1)</f>
        <v/>
      </c>
      <c r="M346" s="159">
        <f>SUMIFS('METAS EMPRESAS'!$G$15:$G$320,'METAS EMPRESAS'!$A$15:$A$320,"CMM",'METAS EMPRESAS'!$B$15:$B$320,"VIGAS",'METAS EMPRESAS'!$C$15:$C$320,$A346-WEEKDAY($A346,2)+1)</f>
        <v/>
      </c>
      <c r="N346" s="159">
        <f>SUMIFS('METAS EMPRESAS'!$J$15:$J$320,'METAS EMPRESAS'!$A$15:$A$320,"EJ",'METAS EMPRESAS'!$B$15:$B$320,"PREMONTAGEM",'METAS EMPRESAS'!$C$15:$C$320,$A346-WEEKDAY($A346,2)+1)</f>
        <v/>
      </c>
      <c r="O346" s="159">
        <f>SUMIFS('METAS EMPRESAS'!$J$15:$J$320,'METAS EMPRESAS'!$A$15:$A$320,"EJ",'METAS EMPRESAS'!$B$15:$B$320,"IÇAMENTO JOIST",'METAS EMPRESAS'!$C$15:$C$320,$A346-WEEKDAY($A346,2)+1)</f>
        <v/>
      </c>
      <c r="P346" s="159">
        <f>SUMIFS('METAS EMPRESAS'!$J$15:$J$320,'METAS EMPRESAS'!$A$15:$A$320,"EJ",'METAS EMPRESAS'!$B$15:$B$320,"VIGAS",'METAS EMPRESAS'!$C$15:$C$320,$A346-WEEKDAY($A346,2)+1)</f>
        <v/>
      </c>
      <c r="Q346" s="159">
        <f>SUMIFS('METAS EMPRESAS'!$J$15:$J$320,'METAS EMPRESAS'!$A$15:$A$320,"CMM",'METAS EMPRESAS'!$B$15:$B$320,"PREMONTAGEM",'METAS EMPRESAS'!$C$15:$C$320,$A346-WEEKDAY($A346,2)+1)</f>
        <v/>
      </c>
      <c r="R346" s="159">
        <f>SUMIFS('METAS EMPRESAS'!$J$15:$J$320,'METAS EMPRESAS'!$A$15:$A$320,"CMM",'METAS EMPRESAS'!$B$15:$B$320,"IÇAMENTO JOIST",'METAS EMPRESAS'!$C$15:$C$320,$A346-WEEKDAY($A346,2)+1)</f>
        <v/>
      </c>
      <c r="S346" s="159">
        <f>SUMIFS('METAS EMPRESAS'!$J$15:$J$320,'METAS EMPRESAS'!$A$15:$A$320,"CMM",'METAS EMPRESAS'!$B$15:$B$320,"VIGAS",'METAS EMPRESAS'!$C$15:$C$320,$A346-WEEKDAY($A346,2)+1)</f>
        <v/>
      </c>
      <c r="T346">
        <f>--(WEEKDAY(A346,2)&lt;=5)</f>
        <v/>
      </c>
      <c r="U346" t="n">
        <v>19</v>
      </c>
      <c r="V346" t="n">
        <v>7</v>
      </c>
      <c r="W346" t="n">
        <v>0</v>
      </c>
      <c r="X346" t="n">
        <v>5</v>
      </c>
      <c r="Y346" t="n">
        <v>5</v>
      </c>
      <c r="Z346" t="n">
        <v>5</v>
      </c>
      <c r="AA346" t="n">
        <v>95</v>
      </c>
      <c r="AB346" t="n">
        <v>35</v>
      </c>
      <c r="AC346" t="n">
        <v>0</v>
      </c>
    </row>
    <row r="347">
      <c r="A347" s="317" t="n">
        <v>46568</v>
      </c>
      <c r="B347" s="159">
        <f>SUMIFS('METAS EMPRESAS'!$K$15:$K$320,'METAS EMPRESAS'!$A$15:$A$320,"EJ",'METAS EMPRESAS'!$B$15:$B$320,"PREMONTAGEM",'METAS EMPRESAS'!$C$15:$C$320,$A347-WEEKDAY($A347,2)+1)</f>
        <v/>
      </c>
      <c r="C347" s="159">
        <f>SUMIFS('METAS EMPRESAS'!$K$15:$K$320,'METAS EMPRESAS'!$A$15:$A$320,"EJ",'METAS EMPRESAS'!$B$15:$B$320,"IÇAMENTO JOIST",'METAS EMPRESAS'!$C$15:$C$320,$A347-WEEKDAY($A347,2)+1)</f>
        <v/>
      </c>
      <c r="D347" s="159">
        <f>SUMIFS('METAS EMPRESAS'!$K$15:$K$320,'METAS EMPRESAS'!$A$15:$A$320,"EJ",'METAS EMPRESAS'!$B$15:$B$320,"VIGAS",'METAS EMPRESAS'!$C$15:$C$320,$A347-WEEKDAY($A347,2)+1)</f>
        <v/>
      </c>
      <c r="E347" s="159">
        <f>SUMIFS('METAS EMPRESAS'!$K$15:$K$320,'METAS EMPRESAS'!$A$15:$A$320,"CMM",'METAS EMPRESAS'!$B$15:$B$320,"PREMONTAGEM",'METAS EMPRESAS'!$C$15:$C$320,$A347-WEEKDAY($A347,2)+1)</f>
        <v/>
      </c>
      <c r="F347" s="159">
        <f>SUMIFS('METAS EMPRESAS'!$K$15:$K$320,'METAS EMPRESAS'!$A$15:$A$320,"CMM",'METAS EMPRESAS'!$B$15:$B$320,"IÇAMENTO JOIST",'METAS EMPRESAS'!$C$15:$C$320,$A347-WEEKDAY($A347,2)+1)</f>
        <v/>
      </c>
      <c r="G347" s="159">
        <f>SUMIFS('METAS EMPRESAS'!$K$15:$K$320,'METAS EMPRESAS'!$A$15:$A$320,"CMM",'METAS EMPRESAS'!$B$15:$B$320,"VIGAS",'METAS EMPRESAS'!$C$15:$C$320,$A347-WEEKDAY($A347,2)+1)</f>
        <v/>
      </c>
      <c r="H347" s="159">
        <f>SUMIFS('METAS EMPRESAS'!$G$15:$G$320,'METAS EMPRESAS'!$A$15:$A$320,"EJ",'METAS EMPRESAS'!$B$15:$B$320,"PREMONTAGEM",'METAS EMPRESAS'!$C$15:$C$320,$A347-WEEKDAY($A347,2)+1)</f>
        <v/>
      </c>
      <c r="I347" s="159">
        <f>SUMIFS('METAS EMPRESAS'!$G$15:$G$320,'METAS EMPRESAS'!$A$15:$A$320,"EJ",'METAS EMPRESAS'!$B$15:$B$320,"IÇAMENTO JOIST",'METAS EMPRESAS'!$C$15:$C$320,$A347-WEEKDAY($A347,2)+1)</f>
        <v/>
      </c>
      <c r="J347" s="159">
        <f>SUMIFS('METAS EMPRESAS'!$G$15:$G$320,'METAS EMPRESAS'!$A$15:$A$320,"EJ",'METAS EMPRESAS'!$B$15:$B$320,"VIGAS",'METAS EMPRESAS'!$C$15:$C$320,$A347-WEEKDAY($A347,2)+1)</f>
        <v/>
      </c>
      <c r="K347" s="159">
        <f>SUMIFS('METAS EMPRESAS'!$G$15:$G$320,'METAS EMPRESAS'!$A$15:$A$320,"CMM",'METAS EMPRESAS'!$B$15:$B$320,"PREMONTAGEM",'METAS EMPRESAS'!$C$15:$C$320,$A347-WEEKDAY($A347,2)+1)</f>
        <v/>
      </c>
      <c r="L347" s="159">
        <f>SUMIFS('METAS EMPRESAS'!$G$15:$G$320,'METAS EMPRESAS'!$A$15:$A$320,"CMM",'METAS EMPRESAS'!$B$15:$B$320,"IÇAMENTO JOIST",'METAS EMPRESAS'!$C$15:$C$320,$A347-WEEKDAY($A347,2)+1)</f>
        <v/>
      </c>
      <c r="M347" s="159">
        <f>SUMIFS('METAS EMPRESAS'!$G$15:$G$320,'METAS EMPRESAS'!$A$15:$A$320,"CMM",'METAS EMPRESAS'!$B$15:$B$320,"VIGAS",'METAS EMPRESAS'!$C$15:$C$320,$A347-WEEKDAY($A347,2)+1)</f>
        <v/>
      </c>
      <c r="N347" s="159">
        <f>SUMIFS('METAS EMPRESAS'!$J$15:$J$320,'METAS EMPRESAS'!$A$15:$A$320,"EJ",'METAS EMPRESAS'!$B$15:$B$320,"PREMONTAGEM",'METAS EMPRESAS'!$C$15:$C$320,$A347-WEEKDAY($A347,2)+1)</f>
        <v/>
      </c>
      <c r="O347" s="159">
        <f>SUMIFS('METAS EMPRESAS'!$J$15:$J$320,'METAS EMPRESAS'!$A$15:$A$320,"EJ",'METAS EMPRESAS'!$B$15:$B$320,"IÇAMENTO JOIST",'METAS EMPRESAS'!$C$15:$C$320,$A347-WEEKDAY($A347,2)+1)</f>
        <v/>
      </c>
      <c r="P347" s="159">
        <f>SUMIFS('METAS EMPRESAS'!$J$15:$J$320,'METAS EMPRESAS'!$A$15:$A$320,"EJ",'METAS EMPRESAS'!$B$15:$B$320,"VIGAS",'METAS EMPRESAS'!$C$15:$C$320,$A347-WEEKDAY($A347,2)+1)</f>
        <v/>
      </c>
      <c r="Q347" s="159">
        <f>SUMIFS('METAS EMPRESAS'!$J$15:$J$320,'METAS EMPRESAS'!$A$15:$A$320,"CMM",'METAS EMPRESAS'!$B$15:$B$320,"PREMONTAGEM",'METAS EMPRESAS'!$C$15:$C$320,$A347-WEEKDAY($A347,2)+1)</f>
        <v/>
      </c>
      <c r="R347" s="159">
        <f>SUMIFS('METAS EMPRESAS'!$J$15:$J$320,'METAS EMPRESAS'!$A$15:$A$320,"CMM",'METAS EMPRESAS'!$B$15:$B$320,"IÇAMENTO JOIST",'METAS EMPRESAS'!$C$15:$C$320,$A347-WEEKDAY($A347,2)+1)</f>
        <v/>
      </c>
      <c r="S347" s="159">
        <f>SUMIFS('METAS EMPRESAS'!$J$15:$J$320,'METAS EMPRESAS'!$A$15:$A$320,"CMM",'METAS EMPRESAS'!$B$15:$B$320,"VIGAS",'METAS EMPRESAS'!$C$15:$C$320,$A347-WEEKDAY($A347,2)+1)</f>
        <v/>
      </c>
      <c r="T347">
        <f>--(WEEKDAY(A347,2)&lt;=5)</f>
        <v/>
      </c>
      <c r="U347" t="n">
        <v>19</v>
      </c>
      <c r="V347" t="n">
        <v>7</v>
      </c>
      <c r="W347" t="n">
        <v>0</v>
      </c>
      <c r="X347" t="n">
        <v>5</v>
      </c>
      <c r="Y347" t="n">
        <v>5</v>
      </c>
      <c r="Z347" t="n">
        <v>5</v>
      </c>
      <c r="AA347" t="n">
        <v>95</v>
      </c>
      <c r="AB347" t="n">
        <v>35</v>
      </c>
      <c r="AC347" t="n">
        <v>0</v>
      </c>
    </row>
    <row r="348">
      <c r="A348" s="317" t="n">
        <v>46569</v>
      </c>
      <c r="B348" s="159">
        <f>SUMIFS('METAS EMPRESAS'!$K$15:$K$320,'METAS EMPRESAS'!$A$15:$A$320,"EJ",'METAS EMPRESAS'!$B$15:$B$320,"PREMONTAGEM",'METAS EMPRESAS'!$C$15:$C$320,$A348-WEEKDAY($A348,2)+1)</f>
        <v/>
      </c>
      <c r="C348" s="159">
        <f>SUMIFS('METAS EMPRESAS'!$K$15:$K$320,'METAS EMPRESAS'!$A$15:$A$320,"EJ",'METAS EMPRESAS'!$B$15:$B$320,"IÇAMENTO JOIST",'METAS EMPRESAS'!$C$15:$C$320,$A348-WEEKDAY($A348,2)+1)</f>
        <v/>
      </c>
      <c r="D348" s="159">
        <f>SUMIFS('METAS EMPRESAS'!$K$15:$K$320,'METAS EMPRESAS'!$A$15:$A$320,"EJ",'METAS EMPRESAS'!$B$15:$B$320,"VIGAS",'METAS EMPRESAS'!$C$15:$C$320,$A348-WEEKDAY($A348,2)+1)</f>
        <v/>
      </c>
      <c r="E348" s="159">
        <f>SUMIFS('METAS EMPRESAS'!$K$15:$K$320,'METAS EMPRESAS'!$A$15:$A$320,"CMM",'METAS EMPRESAS'!$B$15:$B$320,"PREMONTAGEM",'METAS EMPRESAS'!$C$15:$C$320,$A348-WEEKDAY($A348,2)+1)</f>
        <v/>
      </c>
      <c r="F348" s="159">
        <f>SUMIFS('METAS EMPRESAS'!$K$15:$K$320,'METAS EMPRESAS'!$A$15:$A$320,"CMM",'METAS EMPRESAS'!$B$15:$B$320,"IÇAMENTO JOIST",'METAS EMPRESAS'!$C$15:$C$320,$A348-WEEKDAY($A348,2)+1)</f>
        <v/>
      </c>
      <c r="G348" s="159">
        <f>SUMIFS('METAS EMPRESAS'!$K$15:$K$320,'METAS EMPRESAS'!$A$15:$A$320,"CMM",'METAS EMPRESAS'!$B$15:$B$320,"VIGAS",'METAS EMPRESAS'!$C$15:$C$320,$A348-WEEKDAY($A348,2)+1)</f>
        <v/>
      </c>
      <c r="H348" s="159">
        <f>SUMIFS('METAS EMPRESAS'!$G$15:$G$320,'METAS EMPRESAS'!$A$15:$A$320,"EJ",'METAS EMPRESAS'!$B$15:$B$320,"PREMONTAGEM",'METAS EMPRESAS'!$C$15:$C$320,$A348-WEEKDAY($A348,2)+1)</f>
        <v/>
      </c>
      <c r="I348" s="159">
        <f>SUMIFS('METAS EMPRESAS'!$G$15:$G$320,'METAS EMPRESAS'!$A$15:$A$320,"EJ",'METAS EMPRESAS'!$B$15:$B$320,"IÇAMENTO JOIST",'METAS EMPRESAS'!$C$15:$C$320,$A348-WEEKDAY($A348,2)+1)</f>
        <v/>
      </c>
      <c r="J348" s="159">
        <f>SUMIFS('METAS EMPRESAS'!$G$15:$G$320,'METAS EMPRESAS'!$A$15:$A$320,"EJ",'METAS EMPRESAS'!$B$15:$B$320,"VIGAS",'METAS EMPRESAS'!$C$15:$C$320,$A348-WEEKDAY($A348,2)+1)</f>
        <v/>
      </c>
      <c r="K348" s="159">
        <f>SUMIFS('METAS EMPRESAS'!$G$15:$G$320,'METAS EMPRESAS'!$A$15:$A$320,"CMM",'METAS EMPRESAS'!$B$15:$B$320,"PREMONTAGEM",'METAS EMPRESAS'!$C$15:$C$320,$A348-WEEKDAY($A348,2)+1)</f>
        <v/>
      </c>
      <c r="L348" s="159">
        <f>SUMIFS('METAS EMPRESAS'!$G$15:$G$320,'METAS EMPRESAS'!$A$15:$A$320,"CMM",'METAS EMPRESAS'!$B$15:$B$320,"IÇAMENTO JOIST",'METAS EMPRESAS'!$C$15:$C$320,$A348-WEEKDAY($A348,2)+1)</f>
        <v/>
      </c>
      <c r="M348" s="159">
        <f>SUMIFS('METAS EMPRESAS'!$G$15:$G$320,'METAS EMPRESAS'!$A$15:$A$320,"CMM",'METAS EMPRESAS'!$B$15:$B$320,"VIGAS",'METAS EMPRESAS'!$C$15:$C$320,$A348-WEEKDAY($A348,2)+1)</f>
        <v/>
      </c>
      <c r="N348" s="159">
        <f>SUMIFS('METAS EMPRESAS'!$J$15:$J$320,'METAS EMPRESAS'!$A$15:$A$320,"EJ",'METAS EMPRESAS'!$B$15:$B$320,"PREMONTAGEM",'METAS EMPRESAS'!$C$15:$C$320,$A348-WEEKDAY($A348,2)+1)</f>
        <v/>
      </c>
      <c r="O348" s="159">
        <f>SUMIFS('METAS EMPRESAS'!$J$15:$J$320,'METAS EMPRESAS'!$A$15:$A$320,"EJ",'METAS EMPRESAS'!$B$15:$B$320,"IÇAMENTO JOIST",'METAS EMPRESAS'!$C$15:$C$320,$A348-WEEKDAY($A348,2)+1)</f>
        <v/>
      </c>
      <c r="P348" s="159">
        <f>SUMIFS('METAS EMPRESAS'!$J$15:$J$320,'METAS EMPRESAS'!$A$15:$A$320,"EJ",'METAS EMPRESAS'!$B$15:$B$320,"VIGAS",'METAS EMPRESAS'!$C$15:$C$320,$A348-WEEKDAY($A348,2)+1)</f>
        <v/>
      </c>
      <c r="Q348" s="159">
        <f>SUMIFS('METAS EMPRESAS'!$J$15:$J$320,'METAS EMPRESAS'!$A$15:$A$320,"CMM",'METAS EMPRESAS'!$B$15:$B$320,"PREMONTAGEM",'METAS EMPRESAS'!$C$15:$C$320,$A348-WEEKDAY($A348,2)+1)</f>
        <v/>
      </c>
      <c r="R348" s="159">
        <f>SUMIFS('METAS EMPRESAS'!$J$15:$J$320,'METAS EMPRESAS'!$A$15:$A$320,"CMM",'METAS EMPRESAS'!$B$15:$B$320,"IÇAMENTO JOIST",'METAS EMPRESAS'!$C$15:$C$320,$A348-WEEKDAY($A348,2)+1)</f>
        <v/>
      </c>
      <c r="S348" s="159">
        <f>SUMIFS('METAS EMPRESAS'!$J$15:$J$320,'METAS EMPRESAS'!$A$15:$A$320,"CMM",'METAS EMPRESAS'!$B$15:$B$320,"VIGAS",'METAS EMPRESAS'!$C$15:$C$320,$A348-WEEKDAY($A348,2)+1)</f>
        <v/>
      </c>
      <c r="T348">
        <f>--(WEEKDAY(A348,2)&lt;=5)</f>
        <v/>
      </c>
      <c r="U348" t="n">
        <v>19</v>
      </c>
      <c r="V348" t="n">
        <v>7</v>
      </c>
      <c r="W348" t="n">
        <v>0</v>
      </c>
      <c r="X348" t="n">
        <v>5</v>
      </c>
      <c r="Y348" t="n">
        <v>5</v>
      </c>
      <c r="Z348" t="n">
        <v>5</v>
      </c>
      <c r="AA348" t="n">
        <v>95</v>
      </c>
      <c r="AB348" t="n">
        <v>35</v>
      </c>
      <c r="AC348" t="n">
        <v>0</v>
      </c>
    </row>
    <row r="349">
      <c r="A349" s="317" t="n">
        <v>46570</v>
      </c>
      <c r="B349" s="159">
        <f>SUMIFS('METAS EMPRESAS'!$K$15:$K$320,'METAS EMPRESAS'!$A$15:$A$320,"EJ",'METAS EMPRESAS'!$B$15:$B$320,"PREMONTAGEM",'METAS EMPRESAS'!$C$15:$C$320,$A349-WEEKDAY($A349,2)+1)</f>
        <v/>
      </c>
      <c r="C349" s="159">
        <f>SUMIFS('METAS EMPRESAS'!$K$15:$K$320,'METAS EMPRESAS'!$A$15:$A$320,"EJ",'METAS EMPRESAS'!$B$15:$B$320,"IÇAMENTO JOIST",'METAS EMPRESAS'!$C$15:$C$320,$A349-WEEKDAY($A349,2)+1)</f>
        <v/>
      </c>
      <c r="D349" s="159">
        <f>SUMIFS('METAS EMPRESAS'!$K$15:$K$320,'METAS EMPRESAS'!$A$15:$A$320,"EJ",'METAS EMPRESAS'!$B$15:$B$320,"VIGAS",'METAS EMPRESAS'!$C$15:$C$320,$A349-WEEKDAY($A349,2)+1)</f>
        <v/>
      </c>
      <c r="E349" s="159">
        <f>SUMIFS('METAS EMPRESAS'!$K$15:$K$320,'METAS EMPRESAS'!$A$15:$A$320,"CMM",'METAS EMPRESAS'!$B$15:$B$320,"PREMONTAGEM",'METAS EMPRESAS'!$C$15:$C$320,$A349-WEEKDAY($A349,2)+1)</f>
        <v/>
      </c>
      <c r="F349" s="159">
        <f>SUMIFS('METAS EMPRESAS'!$K$15:$K$320,'METAS EMPRESAS'!$A$15:$A$320,"CMM",'METAS EMPRESAS'!$B$15:$B$320,"IÇAMENTO JOIST",'METAS EMPRESAS'!$C$15:$C$320,$A349-WEEKDAY($A349,2)+1)</f>
        <v/>
      </c>
      <c r="G349" s="159">
        <f>SUMIFS('METAS EMPRESAS'!$K$15:$K$320,'METAS EMPRESAS'!$A$15:$A$320,"CMM",'METAS EMPRESAS'!$B$15:$B$320,"VIGAS",'METAS EMPRESAS'!$C$15:$C$320,$A349-WEEKDAY($A349,2)+1)</f>
        <v/>
      </c>
      <c r="H349" s="159">
        <f>SUMIFS('METAS EMPRESAS'!$G$15:$G$320,'METAS EMPRESAS'!$A$15:$A$320,"EJ",'METAS EMPRESAS'!$B$15:$B$320,"PREMONTAGEM",'METAS EMPRESAS'!$C$15:$C$320,$A349-WEEKDAY($A349,2)+1)</f>
        <v/>
      </c>
      <c r="I349" s="159">
        <f>SUMIFS('METAS EMPRESAS'!$G$15:$G$320,'METAS EMPRESAS'!$A$15:$A$320,"EJ",'METAS EMPRESAS'!$B$15:$B$320,"IÇAMENTO JOIST",'METAS EMPRESAS'!$C$15:$C$320,$A349-WEEKDAY($A349,2)+1)</f>
        <v/>
      </c>
      <c r="J349" s="159">
        <f>SUMIFS('METAS EMPRESAS'!$G$15:$G$320,'METAS EMPRESAS'!$A$15:$A$320,"EJ",'METAS EMPRESAS'!$B$15:$B$320,"VIGAS",'METAS EMPRESAS'!$C$15:$C$320,$A349-WEEKDAY($A349,2)+1)</f>
        <v/>
      </c>
      <c r="K349" s="159">
        <f>SUMIFS('METAS EMPRESAS'!$G$15:$G$320,'METAS EMPRESAS'!$A$15:$A$320,"CMM",'METAS EMPRESAS'!$B$15:$B$320,"PREMONTAGEM",'METAS EMPRESAS'!$C$15:$C$320,$A349-WEEKDAY($A349,2)+1)</f>
        <v/>
      </c>
      <c r="L349" s="159">
        <f>SUMIFS('METAS EMPRESAS'!$G$15:$G$320,'METAS EMPRESAS'!$A$15:$A$320,"CMM",'METAS EMPRESAS'!$B$15:$B$320,"IÇAMENTO JOIST",'METAS EMPRESAS'!$C$15:$C$320,$A349-WEEKDAY($A349,2)+1)</f>
        <v/>
      </c>
      <c r="M349" s="159">
        <f>SUMIFS('METAS EMPRESAS'!$G$15:$G$320,'METAS EMPRESAS'!$A$15:$A$320,"CMM",'METAS EMPRESAS'!$B$15:$B$320,"VIGAS",'METAS EMPRESAS'!$C$15:$C$320,$A349-WEEKDAY($A349,2)+1)</f>
        <v/>
      </c>
      <c r="N349" s="159">
        <f>SUMIFS('METAS EMPRESAS'!$J$15:$J$320,'METAS EMPRESAS'!$A$15:$A$320,"EJ",'METAS EMPRESAS'!$B$15:$B$320,"PREMONTAGEM",'METAS EMPRESAS'!$C$15:$C$320,$A349-WEEKDAY($A349,2)+1)</f>
        <v/>
      </c>
      <c r="O349" s="159">
        <f>SUMIFS('METAS EMPRESAS'!$J$15:$J$320,'METAS EMPRESAS'!$A$15:$A$320,"EJ",'METAS EMPRESAS'!$B$15:$B$320,"IÇAMENTO JOIST",'METAS EMPRESAS'!$C$15:$C$320,$A349-WEEKDAY($A349,2)+1)</f>
        <v/>
      </c>
      <c r="P349" s="159">
        <f>SUMIFS('METAS EMPRESAS'!$J$15:$J$320,'METAS EMPRESAS'!$A$15:$A$320,"EJ",'METAS EMPRESAS'!$B$15:$B$320,"VIGAS",'METAS EMPRESAS'!$C$15:$C$320,$A349-WEEKDAY($A349,2)+1)</f>
        <v/>
      </c>
      <c r="Q349" s="159">
        <f>SUMIFS('METAS EMPRESAS'!$J$15:$J$320,'METAS EMPRESAS'!$A$15:$A$320,"CMM",'METAS EMPRESAS'!$B$15:$B$320,"PREMONTAGEM",'METAS EMPRESAS'!$C$15:$C$320,$A349-WEEKDAY($A349,2)+1)</f>
        <v/>
      </c>
      <c r="R349" s="159">
        <f>SUMIFS('METAS EMPRESAS'!$J$15:$J$320,'METAS EMPRESAS'!$A$15:$A$320,"CMM",'METAS EMPRESAS'!$B$15:$B$320,"IÇAMENTO JOIST",'METAS EMPRESAS'!$C$15:$C$320,$A349-WEEKDAY($A349,2)+1)</f>
        <v/>
      </c>
      <c r="S349" s="159">
        <f>SUMIFS('METAS EMPRESAS'!$J$15:$J$320,'METAS EMPRESAS'!$A$15:$A$320,"CMM",'METAS EMPRESAS'!$B$15:$B$320,"VIGAS",'METAS EMPRESAS'!$C$15:$C$320,$A349-WEEKDAY($A349,2)+1)</f>
        <v/>
      </c>
      <c r="T349">
        <f>--(WEEKDAY(A349,2)&lt;=5)</f>
        <v/>
      </c>
      <c r="U349" t="n">
        <v>19</v>
      </c>
      <c r="V349" t="n">
        <v>7</v>
      </c>
      <c r="W349" t="n">
        <v>0</v>
      </c>
      <c r="X349" t="n">
        <v>5</v>
      </c>
      <c r="Y349" t="n">
        <v>5</v>
      </c>
      <c r="Z349" t="n">
        <v>5</v>
      </c>
      <c r="AA349" t="n">
        <v>95</v>
      </c>
      <c r="AB349" t="n">
        <v>35</v>
      </c>
      <c r="AC349" t="n">
        <v>0</v>
      </c>
    </row>
    <row r="350">
      <c r="A350" s="317" t="n">
        <v>46571</v>
      </c>
      <c r="B350" s="159">
        <f>SUMIFS('METAS EMPRESAS'!$K$15:$K$320,'METAS EMPRESAS'!$A$15:$A$320,"EJ",'METAS EMPRESAS'!$B$15:$B$320,"PREMONTAGEM",'METAS EMPRESAS'!$C$15:$C$320,$A350-WEEKDAY($A350,2)+1)</f>
        <v/>
      </c>
      <c r="C350" s="159">
        <f>SUMIFS('METAS EMPRESAS'!$K$15:$K$320,'METAS EMPRESAS'!$A$15:$A$320,"EJ",'METAS EMPRESAS'!$B$15:$B$320,"IÇAMENTO JOIST",'METAS EMPRESAS'!$C$15:$C$320,$A350-WEEKDAY($A350,2)+1)</f>
        <v/>
      </c>
      <c r="D350" s="159">
        <f>SUMIFS('METAS EMPRESAS'!$K$15:$K$320,'METAS EMPRESAS'!$A$15:$A$320,"EJ",'METAS EMPRESAS'!$B$15:$B$320,"VIGAS",'METAS EMPRESAS'!$C$15:$C$320,$A350-WEEKDAY($A350,2)+1)</f>
        <v/>
      </c>
      <c r="E350" s="159">
        <f>SUMIFS('METAS EMPRESAS'!$K$15:$K$320,'METAS EMPRESAS'!$A$15:$A$320,"CMM",'METAS EMPRESAS'!$B$15:$B$320,"PREMONTAGEM",'METAS EMPRESAS'!$C$15:$C$320,$A350-WEEKDAY($A350,2)+1)</f>
        <v/>
      </c>
      <c r="F350" s="159">
        <f>SUMIFS('METAS EMPRESAS'!$K$15:$K$320,'METAS EMPRESAS'!$A$15:$A$320,"CMM",'METAS EMPRESAS'!$B$15:$B$320,"IÇAMENTO JOIST",'METAS EMPRESAS'!$C$15:$C$320,$A350-WEEKDAY($A350,2)+1)</f>
        <v/>
      </c>
      <c r="G350" s="159">
        <f>SUMIFS('METAS EMPRESAS'!$K$15:$K$320,'METAS EMPRESAS'!$A$15:$A$320,"CMM",'METAS EMPRESAS'!$B$15:$B$320,"VIGAS",'METAS EMPRESAS'!$C$15:$C$320,$A350-WEEKDAY($A350,2)+1)</f>
        <v/>
      </c>
      <c r="H350" s="159">
        <f>SUMIFS('METAS EMPRESAS'!$G$15:$G$320,'METAS EMPRESAS'!$A$15:$A$320,"EJ",'METAS EMPRESAS'!$B$15:$B$320,"PREMONTAGEM",'METAS EMPRESAS'!$C$15:$C$320,$A350-WEEKDAY($A350,2)+1)</f>
        <v/>
      </c>
      <c r="I350" s="159">
        <f>SUMIFS('METAS EMPRESAS'!$G$15:$G$320,'METAS EMPRESAS'!$A$15:$A$320,"EJ",'METAS EMPRESAS'!$B$15:$B$320,"IÇAMENTO JOIST",'METAS EMPRESAS'!$C$15:$C$320,$A350-WEEKDAY($A350,2)+1)</f>
        <v/>
      </c>
      <c r="J350" s="159">
        <f>SUMIFS('METAS EMPRESAS'!$G$15:$G$320,'METAS EMPRESAS'!$A$15:$A$320,"EJ",'METAS EMPRESAS'!$B$15:$B$320,"VIGAS",'METAS EMPRESAS'!$C$15:$C$320,$A350-WEEKDAY($A350,2)+1)</f>
        <v/>
      </c>
      <c r="K350" s="159">
        <f>SUMIFS('METAS EMPRESAS'!$G$15:$G$320,'METAS EMPRESAS'!$A$15:$A$320,"CMM",'METAS EMPRESAS'!$B$15:$B$320,"PREMONTAGEM",'METAS EMPRESAS'!$C$15:$C$320,$A350-WEEKDAY($A350,2)+1)</f>
        <v/>
      </c>
      <c r="L350" s="159">
        <f>SUMIFS('METAS EMPRESAS'!$G$15:$G$320,'METAS EMPRESAS'!$A$15:$A$320,"CMM",'METAS EMPRESAS'!$B$15:$B$320,"IÇAMENTO JOIST",'METAS EMPRESAS'!$C$15:$C$320,$A350-WEEKDAY($A350,2)+1)</f>
        <v/>
      </c>
      <c r="M350" s="159">
        <f>SUMIFS('METAS EMPRESAS'!$G$15:$G$320,'METAS EMPRESAS'!$A$15:$A$320,"CMM",'METAS EMPRESAS'!$B$15:$B$320,"VIGAS",'METAS EMPRESAS'!$C$15:$C$320,$A350-WEEKDAY($A350,2)+1)</f>
        <v/>
      </c>
      <c r="N350" s="159">
        <f>SUMIFS('METAS EMPRESAS'!$J$15:$J$320,'METAS EMPRESAS'!$A$15:$A$320,"EJ",'METAS EMPRESAS'!$B$15:$B$320,"PREMONTAGEM",'METAS EMPRESAS'!$C$15:$C$320,$A350-WEEKDAY($A350,2)+1)</f>
        <v/>
      </c>
      <c r="O350" s="159">
        <f>SUMIFS('METAS EMPRESAS'!$J$15:$J$320,'METAS EMPRESAS'!$A$15:$A$320,"EJ",'METAS EMPRESAS'!$B$15:$B$320,"IÇAMENTO JOIST",'METAS EMPRESAS'!$C$15:$C$320,$A350-WEEKDAY($A350,2)+1)</f>
        <v/>
      </c>
      <c r="P350" s="159">
        <f>SUMIFS('METAS EMPRESAS'!$J$15:$J$320,'METAS EMPRESAS'!$A$15:$A$320,"EJ",'METAS EMPRESAS'!$B$15:$B$320,"VIGAS",'METAS EMPRESAS'!$C$15:$C$320,$A350-WEEKDAY($A350,2)+1)</f>
        <v/>
      </c>
      <c r="Q350" s="159">
        <f>SUMIFS('METAS EMPRESAS'!$J$15:$J$320,'METAS EMPRESAS'!$A$15:$A$320,"CMM",'METAS EMPRESAS'!$B$15:$B$320,"PREMONTAGEM",'METAS EMPRESAS'!$C$15:$C$320,$A350-WEEKDAY($A350,2)+1)</f>
        <v/>
      </c>
      <c r="R350" s="159">
        <f>SUMIFS('METAS EMPRESAS'!$J$15:$J$320,'METAS EMPRESAS'!$A$15:$A$320,"CMM",'METAS EMPRESAS'!$B$15:$B$320,"IÇAMENTO JOIST",'METAS EMPRESAS'!$C$15:$C$320,$A350-WEEKDAY($A350,2)+1)</f>
        <v/>
      </c>
      <c r="S350" s="159">
        <f>SUMIFS('METAS EMPRESAS'!$J$15:$J$320,'METAS EMPRESAS'!$A$15:$A$320,"CMM",'METAS EMPRESAS'!$B$15:$B$320,"VIGAS",'METAS EMPRESAS'!$C$15:$C$320,$A350-WEEKDAY($A350,2)+1)</f>
        <v/>
      </c>
      <c r="T350">
        <f>--(WEEKDAY(A350,2)&lt;=5)</f>
        <v/>
      </c>
      <c r="U350" t="n">
        <v>19</v>
      </c>
      <c r="V350" t="n">
        <v>7</v>
      </c>
      <c r="W350" t="n">
        <v>0</v>
      </c>
      <c r="X350" t="n">
        <v>5</v>
      </c>
      <c r="Y350" t="n">
        <v>5</v>
      </c>
      <c r="Z350" t="n">
        <v>5</v>
      </c>
      <c r="AA350" t="n">
        <v>95</v>
      </c>
      <c r="AB350" t="n">
        <v>35</v>
      </c>
      <c r="AC350" t="n">
        <v>0</v>
      </c>
    </row>
    <row r="351">
      <c r="A351" s="317" t="n">
        <v>46572</v>
      </c>
      <c r="B351" s="159">
        <f>SUMIFS('METAS EMPRESAS'!$K$15:$K$320,'METAS EMPRESAS'!$A$15:$A$320,"EJ",'METAS EMPRESAS'!$B$15:$B$320,"PREMONTAGEM",'METAS EMPRESAS'!$C$15:$C$320,$A351-WEEKDAY($A351,2)+1)</f>
        <v/>
      </c>
      <c r="C351" s="159">
        <f>SUMIFS('METAS EMPRESAS'!$K$15:$K$320,'METAS EMPRESAS'!$A$15:$A$320,"EJ",'METAS EMPRESAS'!$B$15:$B$320,"IÇAMENTO JOIST",'METAS EMPRESAS'!$C$15:$C$320,$A351-WEEKDAY($A351,2)+1)</f>
        <v/>
      </c>
      <c r="D351" s="159">
        <f>SUMIFS('METAS EMPRESAS'!$K$15:$K$320,'METAS EMPRESAS'!$A$15:$A$320,"EJ",'METAS EMPRESAS'!$B$15:$B$320,"VIGAS",'METAS EMPRESAS'!$C$15:$C$320,$A351-WEEKDAY($A351,2)+1)</f>
        <v/>
      </c>
      <c r="E351" s="159">
        <f>SUMIFS('METAS EMPRESAS'!$K$15:$K$320,'METAS EMPRESAS'!$A$15:$A$320,"CMM",'METAS EMPRESAS'!$B$15:$B$320,"PREMONTAGEM",'METAS EMPRESAS'!$C$15:$C$320,$A351-WEEKDAY($A351,2)+1)</f>
        <v/>
      </c>
      <c r="F351" s="159">
        <f>SUMIFS('METAS EMPRESAS'!$K$15:$K$320,'METAS EMPRESAS'!$A$15:$A$320,"CMM",'METAS EMPRESAS'!$B$15:$B$320,"IÇAMENTO JOIST",'METAS EMPRESAS'!$C$15:$C$320,$A351-WEEKDAY($A351,2)+1)</f>
        <v/>
      </c>
      <c r="G351" s="159">
        <f>SUMIFS('METAS EMPRESAS'!$K$15:$K$320,'METAS EMPRESAS'!$A$15:$A$320,"CMM",'METAS EMPRESAS'!$B$15:$B$320,"VIGAS",'METAS EMPRESAS'!$C$15:$C$320,$A351-WEEKDAY($A351,2)+1)</f>
        <v/>
      </c>
      <c r="H351" s="159">
        <f>SUMIFS('METAS EMPRESAS'!$G$15:$G$320,'METAS EMPRESAS'!$A$15:$A$320,"EJ",'METAS EMPRESAS'!$B$15:$B$320,"PREMONTAGEM",'METAS EMPRESAS'!$C$15:$C$320,$A351-WEEKDAY($A351,2)+1)</f>
        <v/>
      </c>
      <c r="I351" s="159">
        <f>SUMIFS('METAS EMPRESAS'!$G$15:$G$320,'METAS EMPRESAS'!$A$15:$A$320,"EJ",'METAS EMPRESAS'!$B$15:$B$320,"IÇAMENTO JOIST",'METAS EMPRESAS'!$C$15:$C$320,$A351-WEEKDAY($A351,2)+1)</f>
        <v/>
      </c>
      <c r="J351" s="159">
        <f>SUMIFS('METAS EMPRESAS'!$G$15:$G$320,'METAS EMPRESAS'!$A$15:$A$320,"EJ",'METAS EMPRESAS'!$B$15:$B$320,"VIGAS",'METAS EMPRESAS'!$C$15:$C$320,$A351-WEEKDAY($A351,2)+1)</f>
        <v/>
      </c>
      <c r="K351" s="159">
        <f>SUMIFS('METAS EMPRESAS'!$G$15:$G$320,'METAS EMPRESAS'!$A$15:$A$320,"CMM",'METAS EMPRESAS'!$B$15:$B$320,"PREMONTAGEM",'METAS EMPRESAS'!$C$15:$C$320,$A351-WEEKDAY($A351,2)+1)</f>
        <v/>
      </c>
      <c r="L351" s="159">
        <f>SUMIFS('METAS EMPRESAS'!$G$15:$G$320,'METAS EMPRESAS'!$A$15:$A$320,"CMM",'METAS EMPRESAS'!$B$15:$B$320,"IÇAMENTO JOIST",'METAS EMPRESAS'!$C$15:$C$320,$A351-WEEKDAY($A351,2)+1)</f>
        <v/>
      </c>
      <c r="M351" s="159">
        <f>SUMIFS('METAS EMPRESAS'!$G$15:$G$320,'METAS EMPRESAS'!$A$15:$A$320,"CMM",'METAS EMPRESAS'!$B$15:$B$320,"VIGAS",'METAS EMPRESAS'!$C$15:$C$320,$A351-WEEKDAY($A351,2)+1)</f>
        <v/>
      </c>
      <c r="N351" s="159">
        <f>SUMIFS('METAS EMPRESAS'!$J$15:$J$320,'METAS EMPRESAS'!$A$15:$A$320,"EJ",'METAS EMPRESAS'!$B$15:$B$320,"PREMONTAGEM",'METAS EMPRESAS'!$C$15:$C$320,$A351-WEEKDAY($A351,2)+1)</f>
        <v/>
      </c>
      <c r="O351" s="159">
        <f>SUMIFS('METAS EMPRESAS'!$J$15:$J$320,'METAS EMPRESAS'!$A$15:$A$320,"EJ",'METAS EMPRESAS'!$B$15:$B$320,"IÇAMENTO JOIST",'METAS EMPRESAS'!$C$15:$C$320,$A351-WEEKDAY($A351,2)+1)</f>
        <v/>
      </c>
      <c r="P351" s="159">
        <f>SUMIFS('METAS EMPRESAS'!$J$15:$J$320,'METAS EMPRESAS'!$A$15:$A$320,"EJ",'METAS EMPRESAS'!$B$15:$B$320,"VIGAS",'METAS EMPRESAS'!$C$15:$C$320,$A351-WEEKDAY($A351,2)+1)</f>
        <v/>
      </c>
      <c r="Q351" s="159">
        <f>SUMIFS('METAS EMPRESAS'!$J$15:$J$320,'METAS EMPRESAS'!$A$15:$A$320,"CMM",'METAS EMPRESAS'!$B$15:$B$320,"PREMONTAGEM",'METAS EMPRESAS'!$C$15:$C$320,$A351-WEEKDAY($A351,2)+1)</f>
        <v/>
      </c>
      <c r="R351" s="159">
        <f>SUMIFS('METAS EMPRESAS'!$J$15:$J$320,'METAS EMPRESAS'!$A$15:$A$320,"CMM",'METAS EMPRESAS'!$B$15:$B$320,"IÇAMENTO JOIST",'METAS EMPRESAS'!$C$15:$C$320,$A351-WEEKDAY($A351,2)+1)</f>
        <v/>
      </c>
      <c r="S351" s="159">
        <f>SUMIFS('METAS EMPRESAS'!$J$15:$J$320,'METAS EMPRESAS'!$A$15:$A$320,"CMM",'METAS EMPRESAS'!$B$15:$B$320,"VIGAS",'METAS EMPRESAS'!$C$15:$C$320,$A351-WEEKDAY($A351,2)+1)</f>
        <v/>
      </c>
      <c r="T351">
        <f>--(WEEKDAY(A351,2)&lt;=5)</f>
        <v/>
      </c>
      <c r="U351" t="n">
        <v>19</v>
      </c>
      <c r="V351" t="n">
        <v>7</v>
      </c>
      <c r="W351" t="n">
        <v>0</v>
      </c>
      <c r="X351" t="n">
        <v>5</v>
      </c>
      <c r="Y351" t="n">
        <v>5</v>
      </c>
      <c r="Z351" t="n">
        <v>5</v>
      </c>
      <c r="AA351" t="n">
        <v>95</v>
      </c>
      <c r="AB351" t="n">
        <v>35</v>
      </c>
      <c r="AC351" t="n">
        <v>0</v>
      </c>
    </row>
    <row r="352">
      <c r="A352" s="317" t="n">
        <v>46573</v>
      </c>
      <c r="B352" s="159">
        <f>SUMIFS('METAS EMPRESAS'!$K$15:$K$320,'METAS EMPRESAS'!$A$15:$A$320,"EJ",'METAS EMPRESAS'!$B$15:$B$320,"PREMONTAGEM",'METAS EMPRESAS'!$C$15:$C$320,$A352-WEEKDAY($A352,2)+1)</f>
        <v/>
      </c>
      <c r="C352" s="159">
        <f>SUMIFS('METAS EMPRESAS'!$K$15:$K$320,'METAS EMPRESAS'!$A$15:$A$320,"EJ",'METAS EMPRESAS'!$B$15:$B$320,"IÇAMENTO JOIST",'METAS EMPRESAS'!$C$15:$C$320,$A352-WEEKDAY($A352,2)+1)</f>
        <v/>
      </c>
      <c r="D352" s="159">
        <f>SUMIFS('METAS EMPRESAS'!$K$15:$K$320,'METAS EMPRESAS'!$A$15:$A$320,"EJ",'METAS EMPRESAS'!$B$15:$B$320,"VIGAS",'METAS EMPRESAS'!$C$15:$C$320,$A352-WEEKDAY($A352,2)+1)</f>
        <v/>
      </c>
      <c r="E352" s="159">
        <f>SUMIFS('METAS EMPRESAS'!$K$15:$K$320,'METAS EMPRESAS'!$A$15:$A$320,"CMM",'METAS EMPRESAS'!$B$15:$B$320,"PREMONTAGEM",'METAS EMPRESAS'!$C$15:$C$320,$A352-WEEKDAY($A352,2)+1)</f>
        <v/>
      </c>
      <c r="F352" s="159">
        <f>SUMIFS('METAS EMPRESAS'!$K$15:$K$320,'METAS EMPRESAS'!$A$15:$A$320,"CMM",'METAS EMPRESAS'!$B$15:$B$320,"IÇAMENTO JOIST",'METAS EMPRESAS'!$C$15:$C$320,$A352-WEEKDAY($A352,2)+1)</f>
        <v/>
      </c>
      <c r="G352" s="159">
        <f>SUMIFS('METAS EMPRESAS'!$K$15:$K$320,'METAS EMPRESAS'!$A$15:$A$320,"CMM",'METAS EMPRESAS'!$B$15:$B$320,"VIGAS",'METAS EMPRESAS'!$C$15:$C$320,$A352-WEEKDAY($A352,2)+1)</f>
        <v/>
      </c>
      <c r="H352" s="159">
        <f>SUMIFS('METAS EMPRESAS'!$G$15:$G$320,'METAS EMPRESAS'!$A$15:$A$320,"EJ",'METAS EMPRESAS'!$B$15:$B$320,"PREMONTAGEM",'METAS EMPRESAS'!$C$15:$C$320,$A352-WEEKDAY($A352,2)+1)</f>
        <v/>
      </c>
      <c r="I352" s="159">
        <f>SUMIFS('METAS EMPRESAS'!$G$15:$G$320,'METAS EMPRESAS'!$A$15:$A$320,"EJ",'METAS EMPRESAS'!$B$15:$B$320,"IÇAMENTO JOIST",'METAS EMPRESAS'!$C$15:$C$320,$A352-WEEKDAY($A352,2)+1)</f>
        <v/>
      </c>
      <c r="J352" s="159">
        <f>SUMIFS('METAS EMPRESAS'!$G$15:$G$320,'METAS EMPRESAS'!$A$15:$A$320,"EJ",'METAS EMPRESAS'!$B$15:$B$320,"VIGAS",'METAS EMPRESAS'!$C$15:$C$320,$A352-WEEKDAY($A352,2)+1)</f>
        <v/>
      </c>
      <c r="K352" s="159">
        <f>SUMIFS('METAS EMPRESAS'!$G$15:$G$320,'METAS EMPRESAS'!$A$15:$A$320,"CMM",'METAS EMPRESAS'!$B$15:$B$320,"PREMONTAGEM",'METAS EMPRESAS'!$C$15:$C$320,$A352-WEEKDAY($A352,2)+1)</f>
        <v/>
      </c>
      <c r="L352" s="159">
        <f>SUMIFS('METAS EMPRESAS'!$G$15:$G$320,'METAS EMPRESAS'!$A$15:$A$320,"CMM",'METAS EMPRESAS'!$B$15:$B$320,"IÇAMENTO JOIST",'METAS EMPRESAS'!$C$15:$C$320,$A352-WEEKDAY($A352,2)+1)</f>
        <v/>
      </c>
      <c r="M352" s="159">
        <f>SUMIFS('METAS EMPRESAS'!$G$15:$G$320,'METAS EMPRESAS'!$A$15:$A$320,"CMM",'METAS EMPRESAS'!$B$15:$B$320,"VIGAS",'METAS EMPRESAS'!$C$15:$C$320,$A352-WEEKDAY($A352,2)+1)</f>
        <v/>
      </c>
      <c r="N352" s="159">
        <f>SUMIFS('METAS EMPRESAS'!$J$15:$J$320,'METAS EMPRESAS'!$A$15:$A$320,"EJ",'METAS EMPRESAS'!$B$15:$B$320,"PREMONTAGEM",'METAS EMPRESAS'!$C$15:$C$320,$A352-WEEKDAY($A352,2)+1)</f>
        <v/>
      </c>
      <c r="O352" s="159">
        <f>SUMIFS('METAS EMPRESAS'!$J$15:$J$320,'METAS EMPRESAS'!$A$15:$A$320,"EJ",'METAS EMPRESAS'!$B$15:$B$320,"IÇAMENTO JOIST",'METAS EMPRESAS'!$C$15:$C$320,$A352-WEEKDAY($A352,2)+1)</f>
        <v/>
      </c>
      <c r="P352" s="159">
        <f>SUMIFS('METAS EMPRESAS'!$J$15:$J$320,'METAS EMPRESAS'!$A$15:$A$320,"EJ",'METAS EMPRESAS'!$B$15:$B$320,"VIGAS",'METAS EMPRESAS'!$C$15:$C$320,$A352-WEEKDAY($A352,2)+1)</f>
        <v/>
      </c>
      <c r="Q352" s="159">
        <f>SUMIFS('METAS EMPRESAS'!$J$15:$J$320,'METAS EMPRESAS'!$A$15:$A$320,"CMM",'METAS EMPRESAS'!$B$15:$B$320,"PREMONTAGEM",'METAS EMPRESAS'!$C$15:$C$320,$A352-WEEKDAY($A352,2)+1)</f>
        <v/>
      </c>
      <c r="R352" s="159">
        <f>SUMIFS('METAS EMPRESAS'!$J$15:$J$320,'METAS EMPRESAS'!$A$15:$A$320,"CMM",'METAS EMPRESAS'!$B$15:$B$320,"IÇAMENTO JOIST",'METAS EMPRESAS'!$C$15:$C$320,$A352-WEEKDAY($A352,2)+1)</f>
        <v/>
      </c>
      <c r="S352" s="159">
        <f>SUMIFS('METAS EMPRESAS'!$J$15:$J$320,'METAS EMPRESAS'!$A$15:$A$320,"CMM",'METAS EMPRESAS'!$B$15:$B$320,"VIGAS",'METAS EMPRESAS'!$C$15:$C$320,$A352-WEEKDAY($A352,2)+1)</f>
        <v/>
      </c>
      <c r="T352">
        <f>--(WEEKDAY(A352,2)&lt;=5)</f>
        <v/>
      </c>
      <c r="U352" t="n">
        <v>19</v>
      </c>
      <c r="V352" t="n">
        <v>7</v>
      </c>
      <c r="W352" t="n">
        <v>0</v>
      </c>
      <c r="X352" t="n">
        <v>5</v>
      </c>
      <c r="Y352" t="n">
        <v>5</v>
      </c>
      <c r="Z352" t="n">
        <v>5</v>
      </c>
      <c r="AA352" t="n">
        <v>95</v>
      </c>
      <c r="AB352" t="n">
        <v>35</v>
      </c>
      <c r="AC352" t="n">
        <v>0</v>
      </c>
    </row>
    <row r="353">
      <c r="A353" s="317" t="n">
        <v>46574</v>
      </c>
      <c r="B353" s="159">
        <f>SUMIFS('METAS EMPRESAS'!$K$15:$K$320,'METAS EMPRESAS'!$A$15:$A$320,"EJ",'METAS EMPRESAS'!$B$15:$B$320,"PREMONTAGEM",'METAS EMPRESAS'!$C$15:$C$320,$A353-WEEKDAY($A353,2)+1)</f>
        <v/>
      </c>
      <c r="C353" s="159">
        <f>SUMIFS('METAS EMPRESAS'!$K$15:$K$320,'METAS EMPRESAS'!$A$15:$A$320,"EJ",'METAS EMPRESAS'!$B$15:$B$320,"IÇAMENTO JOIST",'METAS EMPRESAS'!$C$15:$C$320,$A353-WEEKDAY($A353,2)+1)</f>
        <v/>
      </c>
      <c r="D353" s="159">
        <f>SUMIFS('METAS EMPRESAS'!$K$15:$K$320,'METAS EMPRESAS'!$A$15:$A$320,"EJ",'METAS EMPRESAS'!$B$15:$B$320,"VIGAS",'METAS EMPRESAS'!$C$15:$C$320,$A353-WEEKDAY($A353,2)+1)</f>
        <v/>
      </c>
      <c r="E353" s="159">
        <f>SUMIFS('METAS EMPRESAS'!$K$15:$K$320,'METAS EMPRESAS'!$A$15:$A$320,"CMM",'METAS EMPRESAS'!$B$15:$B$320,"PREMONTAGEM",'METAS EMPRESAS'!$C$15:$C$320,$A353-WEEKDAY($A353,2)+1)</f>
        <v/>
      </c>
      <c r="F353" s="159">
        <f>SUMIFS('METAS EMPRESAS'!$K$15:$K$320,'METAS EMPRESAS'!$A$15:$A$320,"CMM",'METAS EMPRESAS'!$B$15:$B$320,"IÇAMENTO JOIST",'METAS EMPRESAS'!$C$15:$C$320,$A353-WEEKDAY($A353,2)+1)</f>
        <v/>
      </c>
      <c r="G353" s="159">
        <f>SUMIFS('METAS EMPRESAS'!$K$15:$K$320,'METAS EMPRESAS'!$A$15:$A$320,"CMM",'METAS EMPRESAS'!$B$15:$B$320,"VIGAS",'METAS EMPRESAS'!$C$15:$C$320,$A353-WEEKDAY($A353,2)+1)</f>
        <v/>
      </c>
      <c r="H353" s="159">
        <f>SUMIFS('METAS EMPRESAS'!$G$15:$G$320,'METAS EMPRESAS'!$A$15:$A$320,"EJ",'METAS EMPRESAS'!$B$15:$B$320,"PREMONTAGEM",'METAS EMPRESAS'!$C$15:$C$320,$A353-WEEKDAY($A353,2)+1)</f>
        <v/>
      </c>
      <c r="I353" s="159">
        <f>SUMIFS('METAS EMPRESAS'!$G$15:$G$320,'METAS EMPRESAS'!$A$15:$A$320,"EJ",'METAS EMPRESAS'!$B$15:$B$320,"IÇAMENTO JOIST",'METAS EMPRESAS'!$C$15:$C$320,$A353-WEEKDAY($A353,2)+1)</f>
        <v/>
      </c>
      <c r="J353" s="159">
        <f>SUMIFS('METAS EMPRESAS'!$G$15:$G$320,'METAS EMPRESAS'!$A$15:$A$320,"EJ",'METAS EMPRESAS'!$B$15:$B$320,"VIGAS",'METAS EMPRESAS'!$C$15:$C$320,$A353-WEEKDAY($A353,2)+1)</f>
        <v/>
      </c>
      <c r="K353" s="159">
        <f>SUMIFS('METAS EMPRESAS'!$G$15:$G$320,'METAS EMPRESAS'!$A$15:$A$320,"CMM",'METAS EMPRESAS'!$B$15:$B$320,"PREMONTAGEM",'METAS EMPRESAS'!$C$15:$C$320,$A353-WEEKDAY($A353,2)+1)</f>
        <v/>
      </c>
      <c r="L353" s="159">
        <f>SUMIFS('METAS EMPRESAS'!$G$15:$G$320,'METAS EMPRESAS'!$A$15:$A$320,"CMM",'METAS EMPRESAS'!$B$15:$B$320,"IÇAMENTO JOIST",'METAS EMPRESAS'!$C$15:$C$320,$A353-WEEKDAY($A353,2)+1)</f>
        <v/>
      </c>
      <c r="M353" s="159">
        <f>SUMIFS('METAS EMPRESAS'!$G$15:$G$320,'METAS EMPRESAS'!$A$15:$A$320,"CMM",'METAS EMPRESAS'!$B$15:$B$320,"VIGAS",'METAS EMPRESAS'!$C$15:$C$320,$A353-WEEKDAY($A353,2)+1)</f>
        <v/>
      </c>
      <c r="N353" s="159">
        <f>SUMIFS('METAS EMPRESAS'!$J$15:$J$320,'METAS EMPRESAS'!$A$15:$A$320,"EJ",'METAS EMPRESAS'!$B$15:$B$320,"PREMONTAGEM",'METAS EMPRESAS'!$C$15:$C$320,$A353-WEEKDAY($A353,2)+1)</f>
        <v/>
      </c>
      <c r="O353" s="159">
        <f>SUMIFS('METAS EMPRESAS'!$J$15:$J$320,'METAS EMPRESAS'!$A$15:$A$320,"EJ",'METAS EMPRESAS'!$B$15:$B$320,"IÇAMENTO JOIST",'METAS EMPRESAS'!$C$15:$C$320,$A353-WEEKDAY($A353,2)+1)</f>
        <v/>
      </c>
      <c r="P353" s="159">
        <f>SUMIFS('METAS EMPRESAS'!$J$15:$J$320,'METAS EMPRESAS'!$A$15:$A$320,"EJ",'METAS EMPRESAS'!$B$15:$B$320,"VIGAS",'METAS EMPRESAS'!$C$15:$C$320,$A353-WEEKDAY($A353,2)+1)</f>
        <v/>
      </c>
      <c r="Q353" s="159">
        <f>SUMIFS('METAS EMPRESAS'!$J$15:$J$320,'METAS EMPRESAS'!$A$15:$A$320,"CMM",'METAS EMPRESAS'!$B$15:$B$320,"PREMONTAGEM",'METAS EMPRESAS'!$C$15:$C$320,$A353-WEEKDAY($A353,2)+1)</f>
        <v/>
      </c>
      <c r="R353" s="159">
        <f>SUMIFS('METAS EMPRESAS'!$J$15:$J$320,'METAS EMPRESAS'!$A$15:$A$320,"CMM",'METAS EMPRESAS'!$B$15:$B$320,"IÇAMENTO JOIST",'METAS EMPRESAS'!$C$15:$C$320,$A353-WEEKDAY($A353,2)+1)</f>
        <v/>
      </c>
      <c r="S353" s="159">
        <f>SUMIFS('METAS EMPRESAS'!$J$15:$J$320,'METAS EMPRESAS'!$A$15:$A$320,"CMM",'METAS EMPRESAS'!$B$15:$B$320,"VIGAS",'METAS EMPRESAS'!$C$15:$C$320,$A353-WEEKDAY($A353,2)+1)</f>
        <v/>
      </c>
      <c r="T353">
        <f>--(WEEKDAY(A353,2)&lt;=5)</f>
        <v/>
      </c>
      <c r="U353" t="n">
        <v>19</v>
      </c>
      <c r="V353" t="n">
        <v>7</v>
      </c>
      <c r="W353" t="n">
        <v>0</v>
      </c>
      <c r="X353" t="n">
        <v>5</v>
      </c>
      <c r="Y353" t="n">
        <v>5</v>
      </c>
      <c r="Z353" t="n">
        <v>5</v>
      </c>
      <c r="AA353" t="n">
        <v>95</v>
      </c>
      <c r="AB353" t="n">
        <v>35</v>
      </c>
      <c r="AC353" t="n">
        <v>0</v>
      </c>
    </row>
    <row r="354">
      <c r="A354" s="317" t="n">
        <v>46575</v>
      </c>
      <c r="B354" s="159">
        <f>SUMIFS('METAS EMPRESAS'!$K$15:$K$320,'METAS EMPRESAS'!$A$15:$A$320,"EJ",'METAS EMPRESAS'!$B$15:$B$320,"PREMONTAGEM",'METAS EMPRESAS'!$C$15:$C$320,$A354-WEEKDAY($A354,2)+1)</f>
        <v/>
      </c>
      <c r="C354" s="159">
        <f>SUMIFS('METAS EMPRESAS'!$K$15:$K$320,'METAS EMPRESAS'!$A$15:$A$320,"EJ",'METAS EMPRESAS'!$B$15:$B$320,"IÇAMENTO JOIST",'METAS EMPRESAS'!$C$15:$C$320,$A354-WEEKDAY($A354,2)+1)</f>
        <v/>
      </c>
      <c r="D354" s="159">
        <f>SUMIFS('METAS EMPRESAS'!$K$15:$K$320,'METAS EMPRESAS'!$A$15:$A$320,"EJ",'METAS EMPRESAS'!$B$15:$B$320,"VIGAS",'METAS EMPRESAS'!$C$15:$C$320,$A354-WEEKDAY($A354,2)+1)</f>
        <v/>
      </c>
      <c r="E354" s="159">
        <f>SUMIFS('METAS EMPRESAS'!$K$15:$K$320,'METAS EMPRESAS'!$A$15:$A$320,"CMM",'METAS EMPRESAS'!$B$15:$B$320,"PREMONTAGEM",'METAS EMPRESAS'!$C$15:$C$320,$A354-WEEKDAY($A354,2)+1)</f>
        <v/>
      </c>
      <c r="F354" s="159">
        <f>SUMIFS('METAS EMPRESAS'!$K$15:$K$320,'METAS EMPRESAS'!$A$15:$A$320,"CMM",'METAS EMPRESAS'!$B$15:$B$320,"IÇAMENTO JOIST",'METAS EMPRESAS'!$C$15:$C$320,$A354-WEEKDAY($A354,2)+1)</f>
        <v/>
      </c>
      <c r="G354" s="159">
        <f>SUMIFS('METAS EMPRESAS'!$K$15:$K$320,'METAS EMPRESAS'!$A$15:$A$320,"CMM",'METAS EMPRESAS'!$B$15:$B$320,"VIGAS",'METAS EMPRESAS'!$C$15:$C$320,$A354-WEEKDAY($A354,2)+1)</f>
        <v/>
      </c>
      <c r="H354" s="159">
        <f>SUMIFS('METAS EMPRESAS'!$G$15:$G$320,'METAS EMPRESAS'!$A$15:$A$320,"EJ",'METAS EMPRESAS'!$B$15:$B$320,"PREMONTAGEM",'METAS EMPRESAS'!$C$15:$C$320,$A354-WEEKDAY($A354,2)+1)</f>
        <v/>
      </c>
      <c r="I354" s="159">
        <f>SUMIFS('METAS EMPRESAS'!$G$15:$G$320,'METAS EMPRESAS'!$A$15:$A$320,"EJ",'METAS EMPRESAS'!$B$15:$B$320,"IÇAMENTO JOIST",'METAS EMPRESAS'!$C$15:$C$320,$A354-WEEKDAY($A354,2)+1)</f>
        <v/>
      </c>
      <c r="J354" s="159">
        <f>SUMIFS('METAS EMPRESAS'!$G$15:$G$320,'METAS EMPRESAS'!$A$15:$A$320,"EJ",'METAS EMPRESAS'!$B$15:$B$320,"VIGAS",'METAS EMPRESAS'!$C$15:$C$320,$A354-WEEKDAY($A354,2)+1)</f>
        <v/>
      </c>
      <c r="K354" s="159">
        <f>SUMIFS('METAS EMPRESAS'!$G$15:$G$320,'METAS EMPRESAS'!$A$15:$A$320,"CMM",'METAS EMPRESAS'!$B$15:$B$320,"PREMONTAGEM",'METAS EMPRESAS'!$C$15:$C$320,$A354-WEEKDAY($A354,2)+1)</f>
        <v/>
      </c>
      <c r="L354" s="159">
        <f>SUMIFS('METAS EMPRESAS'!$G$15:$G$320,'METAS EMPRESAS'!$A$15:$A$320,"CMM",'METAS EMPRESAS'!$B$15:$B$320,"IÇAMENTO JOIST",'METAS EMPRESAS'!$C$15:$C$320,$A354-WEEKDAY($A354,2)+1)</f>
        <v/>
      </c>
      <c r="M354" s="159">
        <f>SUMIFS('METAS EMPRESAS'!$G$15:$G$320,'METAS EMPRESAS'!$A$15:$A$320,"CMM",'METAS EMPRESAS'!$B$15:$B$320,"VIGAS",'METAS EMPRESAS'!$C$15:$C$320,$A354-WEEKDAY($A354,2)+1)</f>
        <v/>
      </c>
      <c r="N354" s="159">
        <f>SUMIFS('METAS EMPRESAS'!$J$15:$J$320,'METAS EMPRESAS'!$A$15:$A$320,"EJ",'METAS EMPRESAS'!$B$15:$B$320,"PREMONTAGEM",'METAS EMPRESAS'!$C$15:$C$320,$A354-WEEKDAY($A354,2)+1)</f>
        <v/>
      </c>
      <c r="O354" s="159">
        <f>SUMIFS('METAS EMPRESAS'!$J$15:$J$320,'METAS EMPRESAS'!$A$15:$A$320,"EJ",'METAS EMPRESAS'!$B$15:$B$320,"IÇAMENTO JOIST",'METAS EMPRESAS'!$C$15:$C$320,$A354-WEEKDAY($A354,2)+1)</f>
        <v/>
      </c>
      <c r="P354" s="159">
        <f>SUMIFS('METAS EMPRESAS'!$J$15:$J$320,'METAS EMPRESAS'!$A$15:$A$320,"EJ",'METAS EMPRESAS'!$B$15:$B$320,"VIGAS",'METAS EMPRESAS'!$C$15:$C$320,$A354-WEEKDAY($A354,2)+1)</f>
        <v/>
      </c>
      <c r="Q354" s="159">
        <f>SUMIFS('METAS EMPRESAS'!$J$15:$J$320,'METAS EMPRESAS'!$A$15:$A$320,"CMM",'METAS EMPRESAS'!$B$15:$B$320,"PREMONTAGEM",'METAS EMPRESAS'!$C$15:$C$320,$A354-WEEKDAY($A354,2)+1)</f>
        <v/>
      </c>
      <c r="R354" s="159">
        <f>SUMIFS('METAS EMPRESAS'!$J$15:$J$320,'METAS EMPRESAS'!$A$15:$A$320,"CMM",'METAS EMPRESAS'!$B$15:$B$320,"IÇAMENTO JOIST",'METAS EMPRESAS'!$C$15:$C$320,$A354-WEEKDAY($A354,2)+1)</f>
        <v/>
      </c>
      <c r="S354" s="159">
        <f>SUMIFS('METAS EMPRESAS'!$J$15:$J$320,'METAS EMPRESAS'!$A$15:$A$320,"CMM",'METAS EMPRESAS'!$B$15:$B$320,"VIGAS",'METAS EMPRESAS'!$C$15:$C$320,$A354-WEEKDAY($A354,2)+1)</f>
        <v/>
      </c>
      <c r="T354">
        <f>--(WEEKDAY(A354,2)&lt;=5)</f>
        <v/>
      </c>
      <c r="U354" t="n">
        <v>19</v>
      </c>
      <c r="V354" t="n">
        <v>7</v>
      </c>
      <c r="W354" t="n">
        <v>0</v>
      </c>
      <c r="X354" t="n">
        <v>5</v>
      </c>
      <c r="Y354" t="n">
        <v>5</v>
      </c>
      <c r="Z354" t="n">
        <v>5</v>
      </c>
      <c r="AA354" t="n">
        <v>95</v>
      </c>
      <c r="AB354" t="n">
        <v>35</v>
      </c>
      <c r="AC354" t="n">
        <v>0</v>
      </c>
    </row>
    <row r="355">
      <c r="A355" s="317" t="n">
        <v>46576</v>
      </c>
      <c r="B355" s="159">
        <f>SUMIFS('METAS EMPRESAS'!$K$15:$K$320,'METAS EMPRESAS'!$A$15:$A$320,"EJ",'METAS EMPRESAS'!$B$15:$B$320,"PREMONTAGEM",'METAS EMPRESAS'!$C$15:$C$320,$A355-WEEKDAY($A355,2)+1)</f>
        <v/>
      </c>
      <c r="C355" s="159">
        <f>SUMIFS('METAS EMPRESAS'!$K$15:$K$320,'METAS EMPRESAS'!$A$15:$A$320,"EJ",'METAS EMPRESAS'!$B$15:$B$320,"IÇAMENTO JOIST",'METAS EMPRESAS'!$C$15:$C$320,$A355-WEEKDAY($A355,2)+1)</f>
        <v/>
      </c>
      <c r="D355" s="159">
        <f>SUMIFS('METAS EMPRESAS'!$K$15:$K$320,'METAS EMPRESAS'!$A$15:$A$320,"EJ",'METAS EMPRESAS'!$B$15:$B$320,"VIGAS",'METAS EMPRESAS'!$C$15:$C$320,$A355-WEEKDAY($A355,2)+1)</f>
        <v/>
      </c>
      <c r="E355" s="159">
        <f>SUMIFS('METAS EMPRESAS'!$K$15:$K$320,'METAS EMPRESAS'!$A$15:$A$320,"CMM",'METAS EMPRESAS'!$B$15:$B$320,"PREMONTAGEM",'METAS EMPRESAS'!$C$15:$C$320,$A355-WEEKDAY($A355,2)+1)</f>
        <v/>
      </c>
      <c r="F355" s="159">
        <f>SUMIFS('METAS EMPRESAS'!$K$15:$K$320,'METAS EMPRESAS'!$A$15:$A$320,"CMM",'METAS EMPRESAS'!$B$15:$B$320,"IÇAMENTO JOIST",'METAS EMPRESAS'!$C$15:$C$320,$A355-WEEKDAY($A355,2)+1)</f>
        <v/>
      </c>
      <c r="G355" s="159">
        <f>SUMIFS('METAS EMPRESAS'!$K$15:$K$320,'METAS EMPRESAS'!$A$15:$A$320,"CMM",'METAS EMPRESAS'!$B$15:$B$320,"VIGAS",'METAS EMPRESAS'!$C$15:$C$320,$A355-WEEKDAY($A355,2)+1)</f>
        <v/>
      </c>
      <c r="H355" s="159">
        <f>SUMIFS('METAS EMPRESAS'!$G$15:$G$320,'METAS EMPRESAS'!$A$15:$A$320,"EJ",'METAS EMPRESAS'!$B$15:$B$320,"PREMONTAGEM",'METAS EMPRESAS'!$C$15:$C$320,$A355-WEEKDAY($A355,2)+1)</f>
        <v/>
      </c>
      <c r="I355" s="159">
        <f>SUMIFS('METAS EMPRESAS'!$G$15:$G$320,'METAS EMPRESAS'!$A$15:$A$320,"EJ",'METAS EMPRESAS'!$B$15:$B$320,"IÇAMENTO JOIST",'METAS EMPRESAS'!$C$15:$C$320,$A355-WEEKDAY($A355,2)+1)</f>
        <v/>
      </c>
      <c r="J355" s="159">
        <f>SUMIFS('METAS EMPRESAS'!$G$15:$G$320,'METAS EMPRESAS'!$A$15:$A$320,"EJ",'METAS EMPRESAS'!$B$15:$B$320,"VIGAS",'METAS EMPRESAS'!$C$15:$C$320,$A355-WEEKDAY($A355,2)+1)</f>
        <v/>
      </c>
      <c r="K355" s="159">
        <f>SUMIFS('METAS EMPRESAS'!$G$15:$G$320,'METAS EMPRESAS'!$A$15:$A$320,"CMM",'METAS EMPRESAS'!$B$15:$B$320,"PREMONTAGEM",'METAS EMPRESAS'!$C$15:$C$320,$A355-WEEKDAY($A355,2)+1)</f>
        <v/>
      </c>
      <c r="L355" s="159">
        <f>SUMIFS('METAS EMPRESAS'!$G$15:$G$320,'METAS EMPRESAS'!$A$15:$A$320,"CMM",'METAS EMPRESAS'!$B$15:$B$320,"IÇAMENTO JOIST",'METAS EMPRESAS'!$C$15:$C$320,$A355-WEEKDAY($A355,2)+1)</f>
        <v/>
      </c>
      <c r="M355" s="159">
        <f>SUMIFS('METAS EMPRESAS'!$G$15:$G$320,'METAS EMPRESAS'!$A$15:$A$320,"CMM",'METAS EMPRESAS'!$B$15:$B$320,"VIGAS",'METAS EMPRESAS'!$C$15:$C$320,$A355-WEEKDAY($A355,2)+1)</f>
        <v/>
      </c>
      <c r="N355" s="159">
        <f>SUMIFS('METAS EMPRESAS'!$J$15:$J$320,'METAS EMPRESAS'!$A$15:$A$320,"EJ",'METAS EMPRESAS'!$B$15:$B$320,"PREMONTAGEM",'METAS EMPRESAS'!$C$15:$C$320,$A355-WEEKDAY($A355,2)+1)</f>
        <v/>
      </c>
      <c r="O355" s="159">
        <f>SUMIFS('METAS EMPRESAS'!$J$15:$J$320,'METAS EMPRESAS'!$A$15:$A$320,"EJ",'METAS EMPRESAS'!$B$15:$B$320,"IÇAMENTO JOIST",'METAS EMPRESAS'!$C$15:$C$320,$A355-WEEKDAY($A355,2)+1)</f>
        <v/>
      </c>
      <c r="P355" s="159">
        <f>SUMIFS('METAS EMPRESAS'!$J$15:$J$320,'METAS EMPRESAS'!$A$15:$A$320,"EJ",'METAS EMPRESAS'!$B$15:$B$320,"VIGAS",'METAS EMPRESAS'!$C$15:$C$320,$A355-WEEKDAY($A355,2)+1)</f>
        <v/>
      </c>
      <c r="Q355" s="159">
        <f>SUMIFS('METAS EMPRESAS'!$J$15:$J$320,'METAS EMPRESAS'!$A$15:$A$320,"CMM",'METAS EMPRESAS'!$B$15:$B$320,"PREMONTAGEM",'METAS EMPRESAS'!$C$15:$C$320,$A355-WEEKDAY($A355,2)+1)</f>
        <v/>
      </c>
      <c r="R355" s="159">
        <f>SUMIFS('METAS EMPRESAS'!$J$15:$J$320,'METAS EMPRESAS'!$A$15:$A$320,"CMM",'METAS EMPRESAS'!$B$15:$B$320,"IÇAMENTO JOIST",'METAS EMPRESAS'!$C$15:$C$320,$A355-WEEKDAY($A355,2)+1)</f>
        <v/>
      </c>
      <c r="S355" s="159">
        <f>SUMIFS('METAS EMPRESAS'!$J$15:$J$320,'METAS EMPRESAS'!$A$15:$A$320,"CMM",'METAS EMPRESAS'!$B$15:$B$320,"VIGAS",'METAS EMPRESAS'!$C$15:$C$320,$A355-WEEKDAY($A355,2)+1)</f>
        <v/>
      </c>
      <c r="T355">
        <f>--(WEEKDAY(A355,2)&lt;=5)</f>
        <v/>
      </c>
      <c r="U355" t="n">
        <v>19</v>
      </c>
      <c r="V355" t="n">
        <v>7</v>
      </c>
      <c r="W355" t="n">
        <v>0</v>
      </c>
      <c r="X355" t="n">
        <v>5</v>
      </c>
      <c r="Y355" t="n">
        <v>5</v>
      </c>
      <c r="Z355" t="n">
        <v>5</v>
      </c>
      <c r="AA355" t="n">
        <v>95</v>
      </c>
      <c r="AB355" t="n">
        <v>35</v>
      </c>
      <c r="AC355" t="n">
        <v>0</v>
      </c>
    </row>
    <row r="356">
      <c r="A356" s="317" t="n">
        <v>46577</v>
      </c>
      <c r="B356" s="159">
        <f>SUMIFS('METAS EMPRESAS'!$K$15:$K$320,'METAS EMPRESAS'!$A$15:$A$320,"EJ",'METAS EMPRESAS'!$B$15:$B$320,"PREMONTAGEM",'METAS EMPRESAS'!$C$15:$C$320,$A356-WEEKDAY($A356,2)+1)</f>
        <v/>
      </c>
      <c r="C356" s="159">
        <f>SUMIFS('METAS EMPRESAS'!$K$15:$K$320,'METAS EMPRESAS'!$A$15:$A$320,"EJ",'METAS EMPRESAS'!$B$15:$B$320,"IÇAMENTO JOIST",'METAS EMPRESAS'!$C$15:$C$320,$A356-WEEKDAY($A356,2)+1)</f>
        <v/>
      </c>
      <c r="D356" s="159">
        <f>SUMIFS('METAS EMPRESAS'!$K$15:$K$320,'METAS EMPRESAS'!$A$15:$A$320,"EJ",'METAS EMPRESAS'!$B$15:$B$320,"VIGAS",'METAS EMPRESAS'!$C$15:$C$320,$A356-WEEKDAY($A356,2)+1)</f>
        <v/>
      </c>
      <c r="E356" s="159">
        <f>SUMIFS('METAS EMPRESAS'!$K$15:$K$320,'METAS EMPRESAS'!$A$15:$A$320,"CMM",'METAS EMPRESAS'!$B$15:$B$320,"PREMONTAGEM",'METAS EMPRESAS'!$C$15:$C$320,$A356-WEEKDAY($A356,2)+1)</f>
        <v/>
      </c>
      <c r="F356" s="159">
        <f>SUMIFS('METAS EMPRESAS'!$K$15:$K$320,'METAS EMPRESAS'!$A$15:$A$320,"CMM",'METAS EMPRESAS'!$B$15:$B$320,"IÇAMENTO JOIST",'METAS EMPRESAS'!$C$15:$C$320,$A356-WEEKDAY($A356,2)+1)</f>
        <v/>
      </c>
      <c r="G356" s="159">
        <f>SUMIFS('METAS EMPRESAS'!$K$15:$K$320,'METAS EMPRESAS'!$A$15:$A$320,"CMM",'METAS EMPRESAS'!$B$15:$B$320,"VIGAS",'METAS EMPRESAS'!$C$15:$C$320,$A356-WEEKDAY($A356,2)+1)</f>
        <v/>
      </c>
      <c r="H356" s="159">
        <f>SUMIFS('METAS EMPRESAS'!$G$15:$G$320,'METAS EMPRESAS'!$A$15:$A$320,"EJ",'METAS EMPRESAS'!$B$15:$B$320,"PREMONTAGEM",'METAS EMPRESAS'!$C$15:$C$320,$A356-WEEKDAY($A356,2)+1)</f>
        <v/>
      </c>
      <c r="I356" s="159">
        <f>SUMIFS('METAS EMPRESAS'!$G$15:$G$320,'METAS EMPRESAS'!$A$15:$A$320,"EJ",'METAS EMPRESAS'!$B$15:$B$320,"IÇAMENTO JOIST",'METAS EMPRESAS'!$C$15:$C$320,$A356-WEEKDAY($A356,2)+1)</f>
        <v/>
      </c>
      <c r="J356" s="159">
        <f>SUMIFS('METAS EMPRESAS'!$G$15:$G$320,'METAS EMPRESAS'!$A$15:$A$320,"EJ",'METAS EMPRESAS'!$B$15:$B$320,"VIGAS",'METAS EMPRESAS'!$C$15:$C$320,$A356-WEEKDAY($A356,2)+1)</f>
        <v/>
      </c>
      <c r="K356" s="159">
        <f>SUMIFS('METAS EMPRESAS'!$G$15:$G$320,'METAS EMPRESAS'!$A$15:$A$320,"CMM",'METAS EMPRESAS'!$B$15:$B$320,"PREMONTAGEM",'METAS EMPRESAS'!$C$15:$C$320,$A356-WEEKDAY($A356,2)+1)</f>
        <v/>
      </c>
      <c r="L356" s="159">
        <f>SUMIFS('METAS EMPRESAS'!$G$15:$G$320,'METAS EMPRESAS'!$A$15:$A$320,"CMM",'METAS EMPRESAS'!$B$15:$B$320,"IÇAMENTO JOIST",'METAS EMPRESAS'!$C$15:$C$320,$A356-WEEKDAY($A356,2)+1)</f>
        <v/>
      </c>
      <c r="M356" s="159">
        <f>SUMIFS('METAS EMPRESAS'!$G$15:$G$320,'METAS EMPRESAS'!$A$15:$A$320,"CMM",'METAS EMPRESAS'!$B$15:$B$320,"VIGAS",'METAS EMPRESAS'!$C$15:$C$320,$A356-WEEKDAY($A356,2)+1)</f>
        <v/>
      </c>
      <c r="N356" s="159">
        <f>SUMIFS('METAS EMPRESAS'!$J$15:$J$320,'METAS EMPRESAS'!$A$15:$A$320,"EJ",'METAS EMPRESAS'!$B$15:$B$320,"PREMONTAGEM",'METAS EMPRESAS'!$C$15:$C$320,$A356-WEEKDAY($A356,2)+1)</f>
        <v/>
      </c>
      <c r="O356" s="159">
        <f>SUMIFS('METAS EMPRESAS'!$J$15:$J$320,'METAS EMPRESAS'!$A$15:$A$320,"EJ",'METAS EMPRESAS'!$B$15:$B$320,"IÇAMENTO JOIST",'METAS EMPRESAS'!$C$15:$C$320,$A356-WEEKDAY($A356,2)+1)</f>
        <v/>
      </c>
      <c r="P356" s="159">
        <f>SUMIFS('METAS EMPRESAS'!$J$15:$J$320,'METAS EMPRESAS'!$A$15:$A$320,"EJ",'METAS EMPRESAS'!$B$15:$B$320,"VIGAS",'METAS EMPRESAS'!$C$15:$C$320,$A356-WEEKDAY($A356,2)+1)</f>
        <v/>
      </c>
      <c r="Q356" s="159">
        <f>SUMIFS('METAS EMPRESAS'!$J$15:$J$320,'METAS EMPRESAS'!$A$15:$A$320,"CMM",'METAS EMPRESAS'!$B$15:$B$320,"PREMONTAGEM",'METAS EMPRESAS'!$C$15:$C$320,$A356-WEEKDAY($A356,2)+1)</f>
        <v/>
      </c>
      <c r="R356" s="159">
        <f>SUMIFS('METAS EMPRESAS'!$J$15:$J$320,'METAS EMPRESAS'!$A$15:$A$320,"CMM",'METAS EMPRESAS'!$B$15:$B$320,"IÇAMENTO JOIST",'METAS EMPRESAS'!$C$15:$C$320,$A356-WEEKDAY($A356,2)+1)</f>
        <v/>
      </c>
      <c r="S356" s="159">
        <f>SUMIFS('METAS EMPRESAS'!$J$15:$J$320,'METAS EMPRESAS'!$A$15:$A$320,"CMM",'METAS EMPRESAS'!$B$15:$B$320,"VIGAS",'METAS EMPRESAS'!$C$15:$C$320,$A356-WEEKDAY($A356,2)+1)</f>
        <v/>
      </c>
      <c r="T356">
        <f>--(WEEKDAY(A356,2)&lt;=5)</f>
        <v/>
      </c>
      <c r="U356" t="n">
        <v>19</v>
      </c>
      <c r="V356" t="n">
        <v>7</v>
      </c>
      <c r="W356" t="n">
        <v>0</v>
      </c>
      <c r="X356" t="n">
        <v>5</v>
      </c>
      <c r="Y356" t="n">
        <v>5</v>
      </c>
      <c r="Z356" t="n">
        <v>5</v>
      </c>
      <c r="AA356" t="n">
        <v>95</v>
      </c>
      <c r="AB356" t="n">
        <v>35</v>
      </c>
      <c r="AC356" t="n">
        <v>0</v>
      </c>
    </row>
    <row r="357">
      <c r="A357" s="317" t="n">
        <v>46578</v>
      </c>
      <c r="B357" s="159">
        <f>SUMIFS('METAS EMPRESAS'!$K$15:$K$320,'METAS EMPRESAS'!$A$15:$A$320,"EJ",'METAS EMPRESAS'!$B$15:$B$320,"PREMONTAGEM",'METAS EMPRESAS'!$C$15:$C$320,$A357-WEEKDAY($A357,2)+1)</f>
        <v/>
      </c>
      <c r="C357" s="159">
        <f>SUMIFS('METAS EMPRESAS'!$K$15:$K$320,'METAS EMPRESAS'!$A$15:$A$320,"EJ",'METAS EMPRESAS'!$B$15:$B$320,"IÇAMENTO JOIST",'METAS EMPRESAS'!$C$15:$C$320,$A357-WEEKDAY($A357,2)+1)</f>
        <v/>
      </c>
      <c r="D357" s="159">
        <f>SUMIFS('METAS EMPRESAS'!$K$15:$K$320,'METAS EMPRESAS'!$A$15:$A$320,"EJ",'METAS EMPRESAS'!$B$15:$B$320,"VIGAS",'METAS EMPRESAS'!$C$15:$C$320,$A357-WEEKDAY($A357,2)+1)</f>
        <v/>
      </c>
      <c r="E357" s="159">
        <f>SUMIFS('METAS EMPRESAS'!$K$15:$K$320,'METAS EMPRESAS'!$A$15:$A$320,"CMM",'METAS EMPRESAS'!$B$15:$B$320,"PREMONTAGEM",'METAS EMPRESAS'!$C$15:$C$320,$A357-WEEKDAY($A357,2)+1)</f>
        <v/>
      </c>
      <c r="F357" s="159">
        <f>SUMIFS('METAS EMPRESAS'!$K$15:$K$320,'METAS EMPRESAS'!$A$15:$A$320,"CMM",'METAS EMPRESAS'!$B$15:$B$320,"IÇAMENTO JOIST",'METAS EMPRESAS'!$C$15:$C$320,$A357-WEEKDAY($A357,2)+1)</f>
        <v/>
      </c>
      <c r="G357" s="159">
        <f>SUMIFS('METAS EMPRESAS'!$K$15:$K$320,'METAS EMPRESAS'!$A$15:$A$320,"CMM",'METAS EMPRESAS'!$B$15:$B$320,"VIGAS",'METAS EMPRESAS'!$C$15:$C$320,$A357-WEEKDAY($A357,2)+1)</f>
        <v/>
      </c>
      <c r="H357" s="159">
        <f>SUMIFS('METAS EMPRESAS'!$G$15:$G$320,'METAS EMPRESAS'!$A$15:$A$320,"EJ",'METAS EMPRESAS'!$B$15:$B$320,"PREMONTAGEM",'METAS EMPRESAS'!$C$15:$C$320,$A357-WEEKDAY($A357,2)+1)</f>
        <v/>
      </c>
      <c r="I357" s="159">
        <f>SUMIFS('METAS EMPRESAS'!$G$15:$G$320,'METAS EMPRESAS'!$A$15:$A$320,"EJ",'METAS EMPRESAS'!$B$15:$B$320,"IÇAMENTO JOIST",'METAS EMPRESAS'!$C$15:$C$320,$A357-WEEKDAY($A357,2)+1)</f>
        <v/>
      </c>
      <c r="J357" s="159">
        <f>SUMIFS('METAS EMPRESAS'!$G$15:$G$320,'METAS EMPRESAS'!$A$15:$A$320,"EJ",'METAS EMPRESAS'!$B$15:$B$320,"VIGAS",'METAS EMPRESAS'!$C$15:$C$320,$A357-WEEKDAY($A357,2)+1)</f>
        <v/>
      </c>
      <c r="K357" s="159">
        <f>SUMIFS('METAS EMPRESAS'!$G$15:$G$320,'METAS EMPRESAS'!$A$15:$A$320,"CMM",'METAS EMPRESAS'!$B$15:$B$320,"PREMONTAGEM",'METAS EMPRESAS'!$C$15:$C$320,$A357-WEEKDAY($A357,2)+1)</f>
        <v/>
      </c>
      <c r="L357" s="159">
        <f>SUMIFS('METAS EMPRESAS'!$G$15:$G$320,'METAS EMPRESAS'!$A$15:$A$320,"CMM",'METAS EMPRESAS'!$B$15:$B$320,"IÇAMENTO JOIST",'METAS EMPRESAS'!$C$15:$C$320,$A357-WEEKDAY($A357,2)+1)</f>
        <v/>
      </c>
      <c r="M357" s="159">
        <f>SUMIFS('METAS EMPRESAS'!$G$15:$G$320,'METAS EMPRESAS'!$A$15:$A$320,"CMM",'METAS EMPRESAS'!$B$15:$B$320,"VIGAS",'METAS EMPRESAS'!$C$15:$C$320,$A357-WEEKDAY($A357,2)+1)</f>
        <v/>
      </c>
      <c r="N357" s="159">
        <f>SUMIFS('METAS EMPRESAS'!$J$15:$J$320,'METAS EMPRESAS'!$A$15:$A$320,"EJ",'METAS EMPRESAS'!$B$15:$B$320,"PREMONTAGEM",'METAS EMPRESAS'!$C$15:$C$320,$A357-WEEKDAY($A357,2)+1)</f>
        <v/>
      </c>
      <c r="O357" s="159">
        <f>SUMIFS('METAS EMPRESAS'!$J$15:$J$320,'METAS EMPRESAS'!$A$15:$A$320,"EJ",'METAS EMPRESAS'!$B$15:$B$320,"IÇAMENTO JOIST",'METAS EMPRESAS'!$C$15:$C$320,$A357-WEEKDAY($A357,2)+1)</f>
        <v/>
      </c>
      <c r="P357" s="159">
        <f>SUMIFS('METAS EMPRESAS'!$J$15:$J$320,'METAS EMPRESAS'!$A$15:$A$320,"EJ",'METAS EMPRESAS'!$B$15:$B$320,"VIGAS",'METAS EMPRESAS'!$C$15:$C$320,$A357-WEEKDAY($A357,2)+1)</f>
        <v/>
      </c>
      <c r="Q357" s="159">
        <f>SUMIFS('METAS EMPRESAS'!$J$15:$J$320,'METAS EMPRESAS'!$A$15:$A$320,"CMM",'METAS EMPRESAS'!$B$15:$B$320,"PREMONTAGEM",'METAS EMPRESAS'!$C$15:$C$320,$A357-WEEKDAY($A357,2)+1)</f>
        <v/>
      </c>
      <c r="R357" s="159">
        <f>SUMIFS('METAS EMPRESAS'!$J$15:$J$320,'METAS EMPRESAS'!$A$15:$A$320,"CMM",'METAS EMPRESAS'!$B$15:$B$320,"IÇAMENTO JOIST",'METAS EMPRESAS'!$C$15:$C$320,$A357-WEEKDAY($A357,2)+1)</f>
        <v/>
      </c>
      <c r="S357" s="159">
        <f>SUMIFS('METAS EMPRESAS'!$J$15:$J$320,'METAS EMPRESAS'!$A$15:$A$320,"CMM",'METAS EMPRESAS'!$B$15:$B$320,"VIGAS",'METAS EMPRESAS'!$C$15:$C$320,$A357-WEEKDAY($A357,2)+1)</f>
        <v/>
      </c>
      <c r="T357">
        <f>--(WEEKDAY(A357,2)&lt;=5)</f>
        <v/>
      </c>
      <c r="U357" t="n">
        <v>19</v>
      </c>
      <c r="V357" t="n">
        <v>7</v>
      </c>
      <c r="W357" t="n">
        <v>0</v>
      </c>
      <c r="X357" t="n">
        <v>5</v>
      </c>
      <c r="Y357" t="n">
        <v>5</v>
      </c>
      <c r="Z357" t="n">
        <v>5</v>
      </c>
      <c r="AA357" t="n">
        <v>95</v>
      </c>
      <c r="AB357" t="n">
        <v>35</v>
      </c>
      <c r="AC357" t="n">
        <v>0</v>
      </c>
    </row>
    <row r="358">
      <c r="A358" s="317" t="n">
        <v>46579</v>
      </c>
      <c r="B358" s="159">
        <f>SUMIFS('METAS EMPRESAS'!$K$15:$K$320,'METAS EMPRESAS'!$A$15:$A$320,"EJ",'METAS EMPRESAS'!$B$15:$B$320,"PREMONTAGEM",'METAS EMPRESAS'!$C$15:$C$320,$A358-WEEKDAY($A358,2)+1)</f>
        <v/>
      </c>
      <c r="C358" s="159">
        <f>SUMIFS('METAS EMPRESAS'!$K$15:$K$320,'METAS EMPRESAS'!$A$15:$A$320,"EJ",'METAS EMPRESAS'!$B$15:$B$320,"IÇAMENTO JOIST",'METAS EMPRESAS'!$C$15:$C$320,$A358-WEEKDAY($A358,2)+1)</f>
        <v/>
      </c>
      <c r="D358" s="159">
        <f>SUMIFS('METAS EMPRESAS'!$K$15:$K$320,'METAS EMPRESAS'!$A$15:$A$320,"EJ",'METAS EMPRESAS'!$B$15:$B$320,"VIGAS",'METAS EMPRESAS'!$C$15:$C$320,$A358-WEEKDAY($A358,2)+1)</f>
        <v/>
      </c>
      <c r="E358" s="159">
        <f>SUMIFS('METAS EMPRESAS'!$K$15:$K$320,'METAS EMPRESAS'!$A$15:$A$320,"CMM",'METAS EMPRESAS'!$B$15:$B$320,"PREMONTAGEM",'METAS EMPRESAS'!$C$15:$C$320,$A358-WEEKDAY($A358,2)+1)</f>
        <v/>
      </c>
      <c r="F358" s="159">
        <f>SUMIFS('METAS EMPRESAS'!$K$15:$K$320,'METAS EMPRESAS'!$A$15:$A$320,"CMM",'METAS EMPRESAS'!$B$15:$B$320,"IÇAMENTO JOIST",'METAS EMPRESAS'!$C$15:$C$320,$A358-WEEKDAY($A358,2)+1)</f>
        <v/>
      </c>
      <c r="G358" s="159">
        <f>SUMIFS('METAS EMPRESAS'!$K$15:$K$320,'METAS EMPRESAS'!$A$15:$A$320,"CMM",'METAS EMPRESAS'!$B$15:$B$320,"VIGAS",'METAS EMPRESAS'!$C$15:$C$320,$A358-WEEKDAY($A358,2)+1)</f>
        <v/>
      </c>
      <c r="H358" s="159">
        <f>SUMIFS('METAS EMPRESAS'!$G$15:$G$320,'METAS EMPRESAS'!$A$15:$A$320,"EJ",'METAS EMPRESAS'!$B$15:$B$320,"PREMONTAGEM",'METAS EMPRESAS'!$C$15:$C$320,$A358-WEEKDAY($A358,2)+1)</f>
        <v/>
      </c>
      <c r="I358" s="159">
        <f>SUMIFS('METAS EMPRESAS'!$G$15:$G$320,'METAS EMPRESAS'!$A$15:$A$320,"EJ",'METAS EMPRESAS'!$B$15:$B$320,"IÇAMENTO JOIST",'METAS EMPRESAS'!$C$15:$C$320,$A358-WEEKDAY($A358,2)+1)</f>
        <v/>
      </c>
      <c r="J358" s="159">
        <f>SUMIFS('METAS EMPRESAS'!$G$15:$G$320,'METAS EMPRESAS'!$A$15:$A$320,"EJ",'METAS EMPRESAS'!$B$15:$B$320,"VIGAS",'METAS EMPRESAS'!$C$15:$C$320,$A358-WEEKDAY($A358,2)+1)</f>
        <v/>
      </c>
      <c r="K358" s="159">
        <f>SUMIFS('METAS EMPRESAS'!$G$15:$G$320,'METAS EMPRESAS'!$A$15:$A$320,"CMM",'METAS EMPRESAS'!$B$15:$B$320,"PREMONTAGEM",'METAS EMPRESAS'!$C$15:$C$320,$A358-WEEKDAY($A358,2)+1)</f>
        <v/>
      </c>
      <c r="L358" s="159">
        <f>SUMIFS('METAS EMPRESAS'!$G$15:$G$320,'METAS EMPRESAS'!$A$15:$A$320,"CMM",'METAS EMPRESAS'!$B$15:$B$320,"IÇAMENTO JOIST",'METAS EMPRESAS'!$C$15:$C$320,$A358-WEEKDAY($A358,2)+1)</f>
        <v/>
      </c>
      <c r="M358" s="159">
        <f>SUMIFS('METAS EMPRESAS'!$G$15:$G$320,'METAS EMPRESAS'!$A$15:$A$320,"CMM",'METAS EMPRESAS'!$B$15:$B$320,"VIGAS",'METAS EMPRESAS'!$C$15:$C$320,$A358-WEEKDAY($A358,2)+1)</f>
        <v/>
      </c>
      <c r="N358" s="159">
        <f>SUMIFS('METAS EMPRESAS'!$J$15:$J$320,'METAS EMPRESAS'!$A$15:$A$320,"EJ",'METAS EMPRESAS'!$B$15:$B$320,"PREMONTAGEM",'METAS EMPRESAS'!$C$15:$C$320,$A358-WEEKDAY($A358,2)+1)</f>
        <v/>
      </c>
      <c r="O358" s="159">
        <f>SUMIFS('METAS EMPRESAS'!$J$15:$J$320,'METAS EMPRESAS'!$A$15:$A$320,"EJ",'METAS EMPRESAS'!$B$15:$B$320,"IÇAMENTO JOIST",'METAS EMPRESAS'!$C$15:$C$320,$A358-WEEKDAY($A358,2)+1)</f>
        <v/>
      </c>
      <c r="P358" s="159">
        <f>SUMIFS('METAS EMPRESAS'!$J$15:$J$320,'METAS EMPRESAS'!$A$15:$A$320,"EJ",'METAS EMPRESAS'!$B$15:$B$320,"VIGAS",'METAS EMPRESAS'!$C$15:$C$320,$A358-WEEKDAY($A358,2)+1)</f>
        <v/>
      </c>
      <c r="Q358" s="159">
        <f>SUMIFS('METAS EMPRESAS'!$J$15:$J$320,'METAS EMPRESAS'!$A$15:$A$320,"CMM",'METAS EMPRESAS'!$B$15:$B$320,"PREMONTAGEM",'METAS EMPRESAS'!$C$15:$C$320,$A358-WEEKDAY($A358,2)+1)</f>
        <v/>
      </c>
      <c r="R358" s="159">
        <f>SUMIFS('METAS EMPRESAS'!$J$15:$J$320,'METAS EMPRESAS'!$A$15:$A$320,"CMM",'METAS EMPRESAS'!$B$15:$B$320,"IÇAMENTO JOIST",'METAS EMPRESAS'!$C$15:$C$320,$A358-WEEKDAY($A358,2)+1)</f>
        <v/>
      </c>
      <c r="S358" s="159">
        <f>SUMIFS('METAS EMPRESAS'!$J$15:$J$320,'METAS EMPRESAS'!$A$15:$A$320,"CMM",'METAS EMPRESAS'!$B$15:$B$320,"VIGAS",'METAS EMPRESAS'!$C$15:$C$320,$A358-WEEKDAY($A358,2)+1)</f>
        <v/>
      </c>
      <c r="T358">
        <f>--(WEEKDAY(A358,2)&lt;=5)</f>
        <v/>
      </c>
      <c r="U358" t="n">
        <v>19</v>
      </c>
      <c r="V358" t="n">
        <v>7</v>
      </c>
      <c r="W358" t="n">
        <v>0</v>
      </c>
      <c r="X358" t="n">
        <v>5</v>
      </c>
      <c r="Y358" t="n">
        <v>5</v>
      </c>
      <c r="Z358" t="n">
        <v>5</v>
      </c>
      <c r="AA358" t="n">
        <v>95</v>
      </c>
      <c r="AB358" t="n">
        <v>35</v>
      </c>
      <c r="AC358" t="n">
        <v>0</v>
      </c>
    </row>
  </sheetData>
  <autoFilter ref="A1:T358"/>
  <pageMargins left="0.7" right="0.7" top="0.75" bottom="0.75" header="0.511811023622047" footer="0.511811023622047"/>
  <pageSetup orientation="portrait" paperSize="9" horizontalDpi="300" verticalDpi="300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V124"/>
  <sheetViews>
    <sheetView tabSelected="1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baseColWidth="8" defaultColWidth="8.5546875" defaultRowHeight="14.4"/>
  <cols>
    <col width="34" customWidth="1" min="1" max="1"/>
    <col width="14" customWidth="1" min="2" max="4"/>
    <col width="12" customWidth="1" min="5" max="5"/>
    <col width="10" customWidth="1" min="6" max="6"/>
    <col width="13" customWidth="1" min="7" max="8"/>
    <col width="16" customWidth="1" min="9" max="9"/>
    <col width="24" customWidth="1" min="10" max="10"/>
    <col width="15" customWidth="1" min="11" max="11"/>
    <col width="12" customWidth="1" min="12" max="12"/>
    <col width="14" customWidth="1" min="13" max="13"/>
    <col width="30" customWidth="1" min="14" max="14"/>
    <col width="10" customWidth="1" min="15" max="15"/>
    <col width="58" customWidth="1" min="16" max="16"/>
    <col width="13" customWidth="1" min="17" max="18"/>
    <col width="9" customWidth="1" min="19" max="19"/>
    <col width="14" customWidth="1" min="20" max="20"/>
    <col width="30" customWidth="1" min="21" max="21"/>
    <col width="10" customWidth="1" min="22" max="22"/>
  </cols>
  <sheetData>
    <row r="1" ht="24" customHeight="1">
      <c r="A1" s="225" t="inlineStr">
        <is>
          <t>METAS DO CLIENTE — PLANEJAMENTO POR SERVIÇO - FASE 1  G200</t>
        </is>
      </c>
    </row>
    <row r="2" ht="28.5" customHeight="1">
      <c r="A2" s="249" t="inlineStr">
        <is>
          <t>Preencha as células amarelas (Quantidade, Meta, Peso, Unidade). Datas do cronograma Rev. 19/08/26 já carregadas. Início Real, Empresa, Status e Término são AUTOMÁTICOS a partir dos lançamentos do CONTROLE.</t>
        </is>
      </c>
    </row>
    <row r="4" ht="42" customHeight="1">
      <c r="A4" s="255" t="inlineStr">
        <is>
          <t>Serviço</t>
        </is>
      </c>
      <c r="B4" s="255" t="inlineStr">
        <is>
          <t>Quantidade Contratada</t>
        </is>
      </c>
      <c r="C4" s="255" t="inlineStr">
        <is>
          <t>Data Início Planejada</t>
        </is>
      </c>
      <c r="D4" s="255" t="inlineStr">
        <is>
          <t>Data Início Real (AUTO)</t>
        </is>
      </c>
      <c r="E4" s="255" t="inlineStr">
        <is>
          <t>Meta Diária Cliente</t>
        </is>
      </c>
      <c r="F4" s="255" t="inlineStr">
        <is>
          <t>Dias Úteis / Semana</t>
        </is>
      </c>
      <c r="G4" s="255" t="inlineStr">
        <is>
          <t>Meta Semanal (AUTO)</t>
        </is>
      </c>
      <c r="H4" s="255" t="inlineStr">
        <is>
          <t>Término pela Meta (AUTO)</t>
        </is>
      </c>
      <c r="I4" s="255" t="inlineStr">
        <is>
          <t>Responsável</t>
        </is>
      </c>
      <c r="J4" s="255" t="inlineStr">
        <is>
          <t>Observação / Evidência</t>
        </is>
      </c>
      <c r="K4" s="255" t="inlineStr">
        <is>
          <t>Status Cadastro</t>
        </is>
      </c>
      <c r="L4" s="255" t="inlineStr">
        <is>
          <t>Peso no Avanço (editável)</t>
        </is>
      </c>
      <c r="M4" s="255" t="inlineStr">
        <is>
          <t>Término Base (Prazo)</t>
        </is>
      </c>
      <c r="N4" s="255" t="inlineStr">
        <is>
          <t>Frente</t>
        </is>
      </c>
      <c r="O4" s="255" t="inlineStr">
        <is>
          <t>ID Cronograma</t>
        </is>
      </c>
      <c r="P4" s="255" t="inlineStr">
        <is>
          <t>Atividade no Cronograma Rev. 19/08/26</t>
        </is>
      </c>
      <c r="Q4" s="255" t="inlineStr">
        <is>
          <t>Início Cronograma</t>
        </is>
      </c>
      <c r="R4" s="255" t="inlineStr">
        <is>
          <t>Término Cronograma</t>
        </is>
      </c>
      <c r="S4" s="255" t="inlineStr">
        <is>
          <t>Unidade</t>
        </is>
      </c>
      <c r="T4" s="255" t="inlineStr">
        <is>
          <t>Responsável (ESCOPO)</t>
        </is>
      </c>
      <c r="U4" s="255" t="inlineStr">
        <is>
          <t>Onde lançar (aba: coluna)</t>
        </is>
      </c>
      <c r="V4" s="255" t="inlineStr">
        <is>
          <t>Nº Coluna (técnico)</t>
        </is>
      </c>
    </row>
    <row r="5">
      <c r="A5" s="62" t="inlineStr">
        <is>
          <t>PREMONTAGEM</t>
        </is>
      </c>
      <c r="B5" s="199" t="n">
        <v>396</v>
      </c>
      <c r="C5" s="328" t="n">
        <v>46223</v>
      </c>
      <c r="D5" s="329">
        <f>IF(MAX(_xlfn.MINIFS('CONTROLE PRODUÇÃO POR EMPRESAS'!$A$6:$A$490,'CONTROLE PRODUÇÃO POR EMPRESAS'!$B$6:$B$490,"&gt;0"),_xlfn.MINIFS('CONTROLE PRODUÇÃO POR EMPRESAS'!$A$6:$A$490,'CONTROLE PRODUÇÃO POR EMPRESAS'!$E$6:$E$490,"&gt;0"))=0,"",IF(MIN(_xlfn.MINIFS('CONTROLE PRODUÇÃO POR EMPRESAS'!$A$6:$A$490,'CONTROLE PRODUÇÃO POR EMPRESAS'!$B$6:$B$490,"&gt;0"),_xlfn.MINIFS('CONTROLE PRODUÇÃO POR EMPRESAS'!$A$6:$A$490,'CONTROLE PRODUÇÃO POR EMPRESAS'!$E$6:$E$490,"&gt;0"))=0,MAX(_xlfn.MINIFS('CONTROLE PRODUÇÃO POR EMPRESAS'!$A$6:$A$490,'CONTROLE PRODUÇÃO POR EMPRESAS'!$B$6:$B$490,"&gt;0"),_xlfn.MINIFS('CONTROLE PRODUÇÃO POR EMPRESAS'!$A$6:$A$490,'CONTROLE PRODUÇÃO POR EMPRESAS'!$E$6:$E$490,"&gt;0")),MIN(_xlfn.MINIFS('CONTROLE PRODUÇÃO POR EMPRESAS'!$A$6:$A$490,'CONTROLE PRODUÇÃO POR EMPRESAS'!$B$6:$B$490,"&gt;0"),_xlfn.MINIFS('CONTROLE PRODUÇÃO POR EMPRESAS'!$A$6:$A$490,'CONTROLE PRODUÇÃO POR EMPRESAS'!$E$6:$E$490,"&gt;0"))))</f>
        <v/>
      </c>
      <c r="E5" s="199" t="n">
        <v>6</v>
      </c>
      <c r="F5" s="202" t="n">
        <v>5</v>
      </c>
      <c r="G5" s="203">
        <f>IF(OR(E5="",F5=""),"",E5*F5)</f>
        <v/>
      </c>
      <c r="H5" s="329">
        <f>IF(OR(B5="",C5="",E5="",N(E5)&lt;=0),"",WORKDAY.INTL(C5-1,ROUNDUP(B5/E5,0),IF(F5=5,"0000011",IF(F5=6,"0000001","0000000"))))</f>
        <v/>
      </c>
      <c r="I5" s="198" t="inlineStr">
        <is>
          <t>Felipe Maciel</t>
        </is>
      </c>
      <c r="J5" s="198" t="inlineStr">
        <is>
          <t>Iniciado</t>
        </is>
      </c>
      <c r="K5" s="81">
        <f>IF(OR(B5="",C5="",E5=""),"PENDENTE","CONFIGURADO")</f>
        <v/>
      </c>
      <c r="L5" s="199" t="n">
        <v>1</v>
      </c>
      <c r="M5" s="328" t="n">
        <v>46366</v>
      </c>
      <c r="N5" s="81" t="inlineStr">
        <is>
          <t>GALPÃO F1 – COBERTURA</t>
        </is>
      </c>
      <c r="O5" s="81" t="n">
        <v>15</v>
      </c>
      <c r="P5" s="198" t="inlineStr">
        <is>
          <t>COBERTURA METÁLICA - PRÉ-MONTAGEM JOIST</t>
        </is>
      </c>
      <c r="Q5" s="329" t="n">
        <v>46226</v>
      </c>
      <c r="R5" s="329" t="n">
        <v>46342</v>
      </c>
      <c r="S5" s="198" t="inlineStr">
        <is>
          <t>un</t>
        </is>
      </c>
      <c r="T5" s="81">
        <f>'ESCOPO POR EMPRESA'!C5</f>
        <v/>
      </c>
      <c r="U5" s="81">
        <f>'ESCOPO POR EMPRESA'!S5</f>
        <v/>
      </c>
      <c r="V5" s="81" t="n">
        <v>0</v>
      </c>
    </row>
    <row r="6">
      <c r="A6" s="62" t="inlineStr">
        <is>
          <t>IÇAMENTO JOIST</t>
        </is>
      </c>
      <c r="B6" s="199" t="n">
        <v>396</v>
      </c>
      <c r="C6" s="328" t="n">
        <v>46254</v>
      </c>
      <c r="D6" s="329">
        <f>IF(MAX(_xlfn.MINIFS('CONTROLE PRODUÇÃO POR EMPRESAS'!$A$6:$A$490,'CONTROLE PRODUÇÃO POR EMPRESAS'!$C$6:$C$490,"&gt;0"),_xlfn.MINIFS('CONTROLE PRODUÇÃO POR EMPRESAS'!$A$6:$A$490,'CONTROLE PRODUÇÃO POR EMPRESAS'!$F$6:$F$490,"&gt;0"))=0,"",IF(MIN(_xlfn.MINIFS('CONTROLE PRODUÇÃO POR EMPRESAS'!$A$6:$A$490,'CONTROLE PRODUÇÃO POR EMPRESAS'!$C$6:$C$490,"&gt;0"),_xlfn.MINIFS('CONTROLE PRODUÇÃO POR EMPRESAS'!$A$6:$A$490,'CONTROLE PRODUÇÃO POR EMPRESAS'!$F$6:$F$490,"&gt;0"))=0,MAX(_xlfn.MINIFS('CONTROLE PRODUÇÃO POR EMPRESAS'!$A$6:$A$490,'CONTROLE PRODUÇÃO POR EMPRESAS'!$C$6:$C$490,"&gt;0"),_xlfn.MINIFS('CONTROLE PRODUÇÃO POR EMPRESAS'!$A$6:$A$490,'CONTROLE PRODUÇÃO POR EMPRESAS'!$F$6:$F$490,"&gt;0")),MIN(_xlfn.MINIFS('CONTROLE PRODUÇÃO POR EMPRESAS'!$A$6:$A$490,'CONTROLE PRODUÇÃO POR EMPRESAS'!$C$6:$C$490,"&gt;0"),_xlfn.MINIFS('CONTROLE PRODUÇÃO POR EMPRESAS'!$A$6:$A$490,'CONTROLE PRODUÇÃO POR EMPRESAS'!$F$6:$F$490,"&gt;0"))))</f>
        <v/>
      </c>
      <c r="E6" s="199" t="n">
        <v>8</v>
      </c>
      <c r="F6" s="202" t="n">
        <v>5</v>
      </c>
      <c r="G6" s="203">
        <f>IF(OR(E6="",F6=""),"",E6*F6)</f>
        <v/>
      </c>
      <c r="H6" s="329">
        <f>IF(OR(B6="",C6="",E6="",N(E6)&lt;=0),"",WORKDAY.INTL(C6-1,ROUNDUP(B6/E6,0),IF(F6=5,"0000011",IF(F6=6,"0000001","0000000"))))</f>
        <v/>
      </c>
      <c r="I6" s="198" t="inlineStr">
        <is>
          <t>Felipe Maciel</t>
        </is>
      </c>
      <c r="J6" s="198" t="inlineStr">
        <is>
          <t>Antecipado</t>
        </is>
      </c>
      <c r="K6" s="81">
        <f>IF(OR(B6="",C6="",E6=""),"PENDENTE","CONFIGURADO")</f>
        <v/>
      </c>
      <c r="L6" s="199" t="n">
        <v>1</v>
      </c>
      <c r="M6" s="328" t="n">
        <v>46371</v>
      </c>
      <c r="N6" s="81" t="inlineStr">
        <is>
          <t>GALPÃO F1 – COBERTURA</t>
        </is>
      </c>
      <c r="O6" s="81" t="n">
        <v>17</v>
      </c>
      <c r="P6" s="198" t="inlineStr">
        <is>
          <t>COBERTURA METÁLICA - MONTAGEM JOIST</t>
        </is>
      </c>
      <c r="Q6" s="329" t="n">
        <v>46231</v>
      </c>
      <c r="R6" s="329" t="n">
        <v>46345</v>
      </c>
      <c r="S6" s="198" t="inlineStr">
        <is>
          <t>un</t>
        </is>
      </c>
      <c r="T6" s="81">
        <f>'ESCOPO POR EMPRESA'!C6</f>
        <v/>
      </c>
      <c r="U6" s="81">
        <f>'ESCOPO POR EMPRESA'!S6</f>
        <v/>
      </c>
      <c r="V6" s="81" t="n">
        <v>0</v>
      </c>
    </row>
    <row r="7">
      <c r="A7" s="62" t="inlineStr">
        <is>
          <t>VIGAS</t>
        </is>
      </c>
      <c r="B7" s="199" t="n">
        <v>121</v>
      </c>
      <c r="C7" s="328" t="n">
        <v>46253</v>
      </c>
      <c r="D7" s="329">
        <f>IF(MAX(_xlfn.MINIFS('CONTROLE PRODUÇÃO POR EMPRESAS'!$A$6:$A$490,'CONTROLE PRODUÇÃO POR EMPRESAS'!$D$6:$D$490,"&gt;0"),_xlfn.MINIFS('CONTROLE PRODUÇÃO POR EMPRESAS'!$A$6:$A$490,'CONTROLE PRODUÇÃO POR EMPRESAS'!$G$6:$G$490,"&gt;0"))=0,"",IF(MIN(_xlfn.MINIFS('CONTROLE PRODUÇÃO POR EMPRESAS'!$A$6:$A$490,'CONTROLE PRODUÇÃO POR EMPRESAS'!$D$6:$D$490,"&gt;0"),_xlfn.MINIFS('CONTROLE PRODUÇÃO POR EMPRESAS'!$A$6:$A$490,'CONTROLE PRODUÇÃO POR EMPRESAS'!$G$6:$G$490,"&gt;0"))=0,MAX(_xlfn.MINIFS('CONTROLE PRODUÇÃO POR EMPRESAS'!$A$6:$A$490,'CONTROLE PRODUÇÃO POR EMPRESAS'!$D$6:$D$490,"&gt;0"),_xlfn.MINIFS('CONTROLE PRODUÇÃO POR EMPRESAS'!$A$6:$A$490,'CONTROLE PRODUÇÃO POR EMPRESAS'!$G$6:$G$490,"&gt;0")),MIN(_xlfn.MINIFS('CONTROLE PRODUÇÃO POR EMPRESAS'!$A$6:$A$490,'CONTROLE PRODUÇÃO POR EMPRESAS'!$D$6:$D$490,"&gt;0"),_xlfn.MINIFS('CONTROLE PRODUÇÃO POR EMPRESAS'!$A$6:$A$490,'CONTROLE PRODUÇÃO POR EMPRESAS'!$G$6:$G$490,"&gt;0"))))</f>
        <v/>
      </c>
      <c r="E7" s="199" t="n">
        <v>3</v>
      </c>
      <c r="F7" s="202" t="n">
        <v>5</v>
      </c>
      <c r="G7" s="203">
        <f>IF(OR(E7="",F7=""),"",E7*F7)</f>
        <v/>
      </c>
      <c r="H7" s="329">
        <f>IF(OR(B7="",C7="",E7="",N(E7)&lt;=0),"",WORKDAY.INTL(C7-1,ROUNDUP(B7/E7,0),IF(F7=5,"0000011",IF(F7=6,"0000001","0000000"))))</f>
        <v/>
      </c>
      <c r="I7" s="198" t="inlineStr">
        <is>
          <t>Felipe Maciel</t>
        </is>
      </c>
      <c r="J7" s="198" t="inlineStr">
        <is>
          <t>Antecipado</t>
        </is>
      </c>
      <c r="K7" s="81">
        <f>IF(OR(B7="",C7="",E7=""),"PENDENTE","CONFIGURADO")</f>
        <v/>
      </c>
      <c r="L7" s="199" t="n">
        <v>1</v>
      </c>
      <c r="M7" s="328" t="n">
        <v>46356</v>
      </c>
      <c r="N7" s="81" t="inlineStr">
        <is>
          <t>GALPÃO F1 – COBERTURA</t>
        </is>
      </c>
      <c r="O7" s="81" t="n">
        <v>16</v>
      </c>
      <c r="P7" s="198" t="inlineStr">
        <is>
          <t>COBERTURA METÁLICA - MONTAGEM VIGAS PRINCIPAIS</t>
        </is>
      </c>
      <c r="Q7" s="329" t="n">
        <v>46231</v>
      </c>
      <c r="R7" s="329" t="n">
        <v>46331</v>
      </c>
      <c r="S7" s="198" t="inlineStr">
        <is>
          <t>un</t>
        </is>
      </c>
      <c r="T7" s="81">
        <f>'ESCOPO POR EMPRESA'!C7</f>
        <v/>
      </c>
      <c r="U7" s="81">
        <f>'ESCOPO POR EMPRESA'!S7</f>
        <v/>
      </c>
      <c r="V7" s="81" t="n">
        <v>0</v>
      </c>
    </row>
    <row r="8">
      <c r="A8" s="62" t="inlineStr">
        <is>
          <t>PERFILAÇÃO</t>
        </is>
      </c>
      <c r="B8" s="199" t="n">
        <v>446</v>
      </c>
      <c r="C8" s="328" t="n">
        <v>46281</v>
      </c>
      <c r="D8" s="329">
        <f>IF(_xlfn.MINIFS('CONTROLE PRODUÇÃO POR EMPRESAS'!$A$6:$A$490,'CONTROLE PRODUÇÃO POR EMPRESAS'!$H$6:$H$490,"&gt;0")=0,"",_xlfn.MINIFS('CONTROLE PRODUÇÃO POR EMPRESAS'!$A$6:$A$490,'CONTROLE PRODUÇÃO POR EMPRESAS'!$H$6:$H$490,"&gt;0"))</f>
        <v/>
      </c>
      <c r="E8" s="199" t="n">
        <v>19</v>
      </c>
      <c r="F8" s="202" t="n">
        <v>5</v>
      </c>
      <c r="G8" s="203">
        <f>IF(OR(E8="",F8=""),"",E8*F8)</f>
        <v/>
      </c>
      <c r="H8" s="329">
        <f>IF(OR(B8="",C8="",E8="",N(E8)&lt;=0),"",WORKDAY.INTL(C8-1,ROUNDUP(B8/E8,0),IF(F8=5,"0000011",IF(F8=6,"0000001","0000000"))))</f>
        <v/>
      </c>
      <c r="I8" s="198" t="inlineStr">
        <is>
          <t>Felipe Maciel</t>
        </is>
      </c>
      <c r="J8" s="198" t="inlineStr">
        <is>
          <t>Atrasado</t>
        </is>
      </c>
      <c r="K8" s="81">
        <f>IF(OR(B8="",C8="",E8=""),"PENDENTE","CONFIGURADO")</f>
        <v/>
      </c>
      <c r="L8" s="199" t="n">
        <v>1</v>
      </c>
      <c r="M8" s="328" t="n">
        <v>46357</v>
      </c>
      <c r="N8" s="81" t="inlineStr">
        <is>
          <t>GALPÃO F1 – COBERTURA</t>
        </is>
      </c>
      <c r="O8" s="81" t="inlineStr">
        <is>
          <t>—</t>
        </is>
      </c>
      <c r="P8" s="198" t="inlineStr">
        <is>
          <t>APOIO À MONTAGEM DE TELHAS (não consta no cronograma)</t>
        </is>
      </c>
      <c r="Q8" s="329" t="n"/>
      <c r="R8" s="329" t="n"/>
      <c r="S8" s="198" t="inlineStr">
        <is>
          <t>un</t>
        </is>
      </c>
      <c r="T8" s="81">
        <f>'ESCOPO POR EMPRESA'!C8</f>
        <v/>
      </c>
      <c r="U8" s="81">
        <f>'ESCOPO POR EMPRESA'!S8</f>
        <v/>
      </c>
      <c r="V8" s="81" t="n">
        <v>8</v>
      </c>
    </row>
    <row r="9">
      <c r="A9" s="62" t="inlineStr">
        <is>
          <t>TELHAR</t>
        </is>
      </c>
      <c r="B9" s="199" t="n">
        <v>446</v>
      </c>
      <c r="C9" s="328" t="n">
        <v>46266</v>
      </c>
      <c r="D9" s="329">
        <f>IF(_xlfn.MINIFS('CONTROLE PRODUÇÃO POR EMPRESAS'!$A$6:$A$490,'CONTROLE PRODUÇÃO POR EMPRESAS'!$I$6:$I$490,"&gt;0")=0,"",_xlfn.MINIFS('CONTROLE PRODUÇÃO POR EMPRESAS'!$A$6:$A$490,'CONTROLE PRODUÇÃO POR EMPRESAS'!$I$6:$I$490,"&gt;0"))</f>
        <v/>
      </c>
      <c r="E9" s="199" t="n">
        <v>7</v>
      </c>
      <c r="F9" s="202" t="n">
        <v>5</v>
      </c>
      <c r="G9" s="203">
        <f>IF(OR(E9="",F9=""),"",E9*F9)</f>
        <v/>
      </c>
      <c r="H9" s="329">
        <f>IF(OR(B9="",C9="",E9="",N(E9)&lt;=0),"",WORKDAY.INTL(C9-1,ROUNDUP(B9/E9,0),IF(F9=5,"0000011",IF(F9=6,"0000001","0000000"))))</f>
        <v/>
      </c>
      <c r="I9" s="198" t="inlineStr">
        <is>
          <t>Felipe Maciel</t>
        </is>
      </c>
      <c r="J9" s="198" t="inlineStr">
        <is>
          <t>Antecipado</t>
        </is>
      </c>
      <c r="K9" s="81">
        <f>IF(OR(B9="",C9="",E9=""),"PENDENTE","CONFIGURADO")</f>
        <v/>
      </c>
      <c r="L9" s="199" t="n">
        <v>1</v>
      </c>
      <c r="M9" s="328" t="n">
        <v>46358</v>
      </c>
      <c r="N9" s="81" t="inlineStr">
        <is>
          <t>GALPÃO F1 – COBERTURA</t>
        </is>
      </c>
      <c r="O9" s="81" t="n">
        <v>18</v>
      </c>
      <c r="P9" s="198" t="inlineStr">
        <is>
          <t>COBERTURA METÁLICA - MONTAGEM TELHAS, COM FACEFELT</t>
        </is>
      </c>
      <c r="Q9" s="329" t="n">
        <v>46274</v>
      </c>
      <c r="R9" s="329" t="n">
        <v>46353</v>
      </c>
      <c r="S9" s="198" t="inlineStr">
        <is>
          <t>un</t>
        </is>
      </c>
      <c r="T9" s="81">
        <f>'ESCOPO POR EMPRESA'!C9</f>
        <v/>
      </c>
      <c r="U9" s="81">
        <f>'ESCOPO POR EMPRESA'!S9</f>
        <v/>
      </c>
      <c r="V9" s="81" t="n">
        <v>9</v>
      </c>
    </row>
    <row r="10">
      <c r="A10" s="62" t="inlineStr">
        <is>
          <t>COBERTURA – CALHAS</t>
        </is>
      </c>
      <c r="B10" s="199" t="n"/>
      <c r="C10" s="328" t="n">
        <v>46281</v>
      </c>
      <c r="D10" s="329">
        <f>IF(_xlfn.MINIFS('CONTROLE PRODUÇÃO POR EMPRESAS'!$A$6:$A$490,'CONTROLE PRODUÇÃO POR EMPRESAS'!$AH$6:$AH$490,"&gt;0")=0,"",_xlfn.MINIFS('CONTROLE PRODUÇÃO POR EMPRESAS'!$A$6:$A$490,'CONTROLE PRODUÇÃO POR EMPRESAS'!$AH$6:$AH$490,"&gt;0"))</f>
        <v/>
      </c>
      <c r="E10" s="199">
        <f>IF(OR(B10="",Q10="",R10=""),"",ROUNDUP(B10/NETWORKDAYS.INTL(Q10,R10,IF(F10=5,"0000011",IF(F10=6,"0000001","0000000"))),1))</f>
        <v/>
      </c>
      <c r="F10" s="202" t="n">
        <v>5</v>
      </c>
      <c r="G10" s="203">
        <f>IF(OR(E10="",F10=""),"",E10*F10)</f>
        <v/>
      </c>
      <c r="H10" s="329">
        <f>IF(OR(B10="",C10="",E10="",N(E10)&lt;=0),"",WORKDAY.INTL(C10-1,ROUNDUP(B10/E10,0),IF(F10=5,"0000011",IF(F10=6,"0000001","0000000"))))</f>
        <v/>
      </c>
      <c r="I10" s="198" t="n"/>
      <c r="J10" s="198" t="n"/>
      <c r="K10" s="81">
        <f>IF(OR(B10="",C10="",E10=""),"PENDENTE","CONFIGURADO")</f>
        <v/>
      </c>
      <c r="L10" s="199" t="n">
        <v>1</v>
      </c>
      <c r="M10" s="328">
        <f>IF(R10="","",R10)</f>
        <v/>
      </c>
      <c r="N10" s="81" t="inlineStr">
        <is>
          <t>GALPÃO F1 – COBERTURA</t>
        </is>
      </c>
      <c r="O10" s="81" t="n">
        <v>19</v>
      </c>
      <c r="P10" s="198" t="inlineStr">
        <is>
          <t>COBERTURA METÁLICA - CALHAS COBERTURA</t>
        </is>
      </c>
      <c r="Q10" s="329" t="n">
        <v>46281</v>
      </c>
      <c r="R10" s="329" t="n">
        <v>46360</v>
      </c>
      <c r="S10" s="198" t="n"/>
      <c r="T10" s="81">
        <f>'ESCOPO POR EMPRESA'!C10</f>
        <v/>
      </c>
      <c r="U10" s="81">
        <f>'ESCOPO POR EMPRESA'!S10</f>
        <v/>
      </c>
      <c r="V10" s="81" t="n">
        <v>34</v>
      </c>
    </row>
    <row r="11">
      <c r="A11" s="62" t="inlineStr">
        <is>
          <t>COBERTURA – ARREMATES</t>
        </is>
      </c>
      <c r="B11" s="199" t="n"/>
      <c r="C11" s="328" t="n">
        <v>46288</v>
      </c>
      <c r="D11" s="329">
        <f>IF(_xlfn.MINIFS('CONTROLE PRODUÇÃO POR EMPRESAS'!$A$6:$A$490,'CONTROLE PRODUÇÃO POR EMPRESAS'!$AI$6:$AI$490,"&gt;0")=0,"",_xlfn.MINIFS('CONTROLE PRODUÇÃO POR EMPRESAS'!$A$6:$A$490,'CONTROLE PRODUÇÃO POR EMPRESAS'!$AI$6:$AI$490,"&gt;0"))</f>
        <v/>
      </c>
      <c r="E11" s="199">
        <f>IF(OR(B11="",Q11="",R11=""),"",ROUNDUP(B11/NETWORKDAYS.INTL(Q11,R11,IF(F11=5,"0000011",IF(F11=6,"0000001","0000000"))),1))</f>
        <v/>
      </c>
      <c r="F11" s="202" t="n">
        <v>5</v>
      </c>
      <c r="G11" s="203">
        <f>IF(OR(E11="",F11=""),"",E11*F11)</f>
        <v/>
      </c>
      <c r="H11" s="329">
        <f>IF(OR(B11="",C11="",E11="",N(E11)&lt;=0),"",WORKDAY.INTL(C11-1,ROUNDUP(B11/E11,0),IF(F11=5,"0000011",IF(F11=6,"0000001","0000000"))))</f>
        <v/>
      </c>
      <c r="I11" s="198" t="n"/>
      <c r="J11" s="198" t="n"/>
      <c r="K11" s="81">
        <f>IF(OR(B11="",C11="",E11=""),"PENDENTE","CONFIGURADO")</f>
        <v/>
      </c>
      <c r="L11" s="199" t="n">
        <v>1</v>
      </c>
      <c r="M11" s="328">
        <f>IF(R11="","",R11)</f>
        <v/>
      </c>
      <c r="N11" s="81" t="inlineStr">
        <is>
          <t>GALPÃO F1 – COBERTURA</t>
        </is>
      </c>
      <c r="O11" s="81" t="n">
        <v>20</v>
      </c>
      <c r="P11" s="198" t="inlineStr">
        <is>
          <t>COBERTURA METÁLICA - ARREMATES COBERTURA</t>
        </is>
      </c>
      <c r="Q11" s="329" t="n">
        <v>46288</v>
      </c>
      <c r="R11" s="329" t="n">
        <v>46367</v>
      </c>
      <c r="S11" s="198" t="n"/>
      <c r="T11" s="81">
        <f>'ESCOPO POR EMPRESA'!C11</f>
        <v/>
      </c>
      <c r="U11" s="81">
        <f>'ESCOPO POR EMPRESA'!S11</f>
        <v/>
      </c>
      <c r="V11" s="81" t="n">
        <v>35</v>
      </c>
    </row>
    <row r="12">
      <c r="A12" s="62" t="inlineStr">
        <is>
          <t>FECH. LATERAL – ESTRUTURA</t>
        </is>
      </c>
      <c r="B12" s="199" t="n"/>
      <c r="C12" s="328" t="n">
        <v>46282</v>
      </c>
      <c r="D12" s="329">
        <f>IF(_xlfn.MINIFS('CONTROLE PRODUÇÃO POR EMPRESAS'!$A$6:$A$490,'CONTROLE PRODUÇÃO POR EMPRESAS'!$AJ$6:$AJ$490,"&gt;0")=0,"",_xlfn.MINIFS('CONTROLE PRODUÇÃO POR EMPRESAS'!$A$6:$A$490,'CONTROLE PRODUÇÃO POR EMPRESAS'!$AJ$6:$AJ$490,"&gt;0"))</f>
        <v/>
      </c>
      <c r="E12" s="199">
        <f>IF(OR(B12="",Q12="",R12=""),"",ROUNDUP(B12/NETWORKDAYS.INTL(Q12,R12,IF(F12=5,"0000011",IF(F12=6,"0000001","0000000"))),1))</f>
        <v/>
      </c>
      <c r="F12" s="202" t="n">
        <v>5</v>
      </c>
      <c r="G12" s="203">
        <f>IF(OR(E12="",F12=""),"",E12*F12)</f>
        <v/>
      </c>
      <c r="H12" s="329">
        <f>IF(OR(B12="",C12="",E12="",N(E12)&lt;=0),"",WORKDAY.INTL(C12-1,ROUNDUP(B12/E12,0),IF(F12=5,"0000011",IF(F12=6,"0000001","0000000"))))</f>
        <v/>
      </c>
      <c r="I12" s="198" t="n"/>
      <c r="J12" s="198" t="n"/>
      <c r="K12" s="81">
        <f>IF(OR(B12="",C12="",E12=""),"PENDENTE","CONFIGURADO")</f>
        <v/>
      </c>
      <c r="L12" s="199" t="n">
        <v>1</v>
      </c>
      <c r="M12" s="328">
        <f>IF(R12="","",R12)</f>
        <v/>
      </c>
      <c r="N12" s="81" t="inlineStr">
        <is>
          <t>GALPÃO F1 – FECHAMENTO LATERAL</t>
        </is>
      </c>
      <c r="O12" s="81" t="n">
        <v>22</v>
      </c>
      <c r="P12" s="198" t="inlineStr">
        <is>
          <t>COBERTURA METÁLICA - FECHAMENTO LATERAL ESTRUTURA</t>
        </is>
      </c>
      <c r="Q12" s="329" t="n">
        <v>46282</v>
      </c>
      <c r="R12" s="329" t="n">
        <v>46363</v>
      </c>
      <c r="S12" s="198" t="n"/>
      <c r="T12" s="81">
        <f>'ESCOPO POR EMPRESA'!C12</f>
        <v/>
      </c>
      <c r="U12" s="81">
        <f>'ESCOPO POR EMPRESA'!S12</f>
        <v/>
      </c>
      <c r="V12" s="81" t="n">
        <v>36</v>
      </c>
    </row>
    <row r="13">
      <c r="A13" s="62" t="inlineStr">
        <is>
          <t>FECHAMENTO</t>
        </is>
      </c>
      <c r="B13" s="199" t="n">
        <v>806</v>
      </c>
      <c r="C13" s="328" t="n">
        <v>46329</v>
      </c>
      <c r="D13" s="329">
        <f>IF(_xlfn.MINIFS('CONTROLE PRODUÇÃO POR EMPRESAS'!$A$6:$A$490,'CONTROLE PRODUÇÃO POR EMPRESAS'!$J$6:$J$490,"&gt;0")=0,"",_xlfn.MINIFS('CONTROLE PRODUÇÃO POR EMPRESAS'!$A$6:$A$490,'CONTROLE PRODUÇÃO POR EMPRESAS'!$J$6:$J$490,"&gt;0"))</f>
        <v/>
      </c>
      <c r="E13" s="199" t="n">
        <v>36</v>
      </c>
      <c r="F13" s="202" t="n">
        <v>5</v>
      </c>
      <c r="G13" s="203">
        <f>IF(OR(E13="",F13=""),"",E13*F13)</f>
        <v/>
      </c>
      <c r="H13" s="329">
        <f>IF(OR(B13="",C13="",E13="",N(E13)&lt;=0),"",WORKDAY.INTL(C13-1,ROUNDUP(B13/E13,0),IF(F13=5,"0000011",IF(F13=6,"0000001","0000000"))))</f>
        <v/>
      </c>
      <c r="I13" s="198" t="inlineStr">
        <is>
          <t>Felipe Maciel</t>
        </is>
      </c>
      <c r="J13" s="198" t="inlineStr">
        <is>
          <t>Antecipado</t>
        </is>
      </c>
      <c r="K13" s="81">
        <f>IF(OR(B13="",C13="",E13=""),"PENDENTE","CONFIGURADO")</f>
        <v/>
      </c>
      <c r="L13" s="199" t="n">
        <v>1</v>
      </c>
      <c r="M13" s="328" t="n">
        <v>46359</v>
      </c>
      <c r="N13" s="81" t="inlineStr">
        <is>
          <t>GALPÃO F1 – FECHAMENTO LATERAL</t>
        </is>
      </c>
      <c r="O13" s="81" t="n">
        <v>23</v>
      </c>
      <c r="P13" s="198" t="inlineStr">
        <is>
          <t>COBERTURA METÁLICA - FECHAMENTO LATERAL TELHA PIR</t>
        </is>
      </c>
      <c r="Q13" s="329" t="n">
        <v>46295</v>
      </c>
      <c r="R13" s="329" t="n">
        <v>46374</v>
      </c>
      <c r="S13" s="198" t="inlineStr">
        <is>
          <t>un</t>
        </is>
      </c>
      <c r="T13" s="81">
        <f>'ESCOPO POR EMPRESA'!C13</f>
        <v/>
      </c>
      <c r="U13" s="81">
        <f>'ESCOPO POR EMPRESA'!S13</f>
        <v/>
      </c>
      <c r="V13" s="81" t="n">
        <v>10</v>
      </c>
    </row>
    <row r="14">
      <c r="A14" s="62" t="inlineStr">
        <is>
          <t>MARQUISE – VIGAS PRINCIPAIS</t>
        </is>
      </c>
      <c r="B14" s="199" t="n"/>
      <c r="C14" s="328" t="n">
        <v>46289</v>
      </c>
      <c r="D14" s="329">
        <f>IF(_xlfn.MINIFS('CONTROLE PRODUÇÃO POR EMPRESAS'!$A$6:$A$490,'CONTROLE PRODUÇÃO POR EMPRESAS'!$AK$6:$AK$490,"&gt;0")=0,"",_xlfn.MINIFS('CONTROLE PRODUÇÃO POR EMPRESAS'!$A$6:$A$490,'CONTROLE PRODUÇÃO POR EMPRESAS'!$AK$6:$AK$490,"&gt;0"))</f>
        <v/>
      </c>
      <c r="E14" s="199">
        <f>IF(OR(B14="",Q14="",R14=""),"",ROUNDUP(B14/NETWORKDAYS.INTL(Q14,R14,IF(F14=5,"0000011",IF(F14=6,"0000001","0000000"))),1))</f>
        <v/>
      </c>
      <c r="F14" s="202" t="n">
        <v>5</v>
      </c>
      <c r="G14" s="203">
        <f>IF(OR(E14="",F14=""),"",E14*F14)</f>
        <v/>
      </c>
      <c r="H14" s="329">
        <f>IF(OR(B14="",C14="",E14="",N(E14)&lt;=0),"",WORKDAY.INTL(C14-1,ROUNDUP(B14/E14,0),IF(F14=5,"0000011",IF(F14=6,"0000001","0000000"))))</f>
        <v/>
      </c>
      <c r="I14" s="198" t="n"/>
      <c r="J14" s="198" t="n"/>
      <c r="K14" s="81">
        <f>IF(OR(B14="",C14="",E14=""),"PENDENTE","CONFIGURADO")</f>
        <v/>
      </c>
      <c r="L14" s="199" t="n">
        <v>1</v>
      </c>
      <c r="M14" s="328">
        <f>IF(R14="","",R14)</f>
        <v/>
      </c>
      <c r="N14" s="81" t="inlineStr">
        <is>
          <t>GALPÃO F1 – MARQUISE</t>
        </is>
      </c>
      <c r="O14" s="81" t="n">
        <v>25</v>
      </c>
      <c r="P14" s="198" t="inlineStr">
        <is>
          <t>MARQUISE - MONTAGEM VIGAS PRINCIPAIS</t>
        </is>
      </c>
      <c r="Q14" s="329" t="n">
        <v>46289</v>
      </c>
      <c r="R14" s="329" t="n">
        <v>46363</v>
      </c>
      <c r="S14" s="198" t="n"/>
      <c r="T14" s="81">
        <f>'ESCOPO POR EMPRESA'!C14</f>
        <v/>
      </c>
      <c r="U14" s="81">
        <f>'ESCOPO POR EMPRESA'!S14</f>
        <v/>
      </c>
      <c r="V14" s="81" t="n">
        <v>37</v>
      </c>
    </row>
    <row r="15">
      <c r="A15" s="62" t="inlineStr">
        <is>
          <t>MARQUISE – PRÉ-MONT. TERÇAS</t>
        </is>
      </c>
      <c r="B15" s="199" t="n"/>
      <c r="C15" s="328" t="n">
        <v>46294</v>
      </c>
      <c r="D15" s="329">
        <f>IF(_xlfn.MINIFS('CONTROLE PRODUÇÃO POR EMPRESAS'!$A$6:$A$490,'CONTROLE PRODUÇÃO POR EMPRESAS'!$AL$6:$AL$490,"&gt;0")=0,"",_xlfn.MINIFS('CONTROLE PRODUÇÃO POR EMPRESAS'!$A$6:$A$490,'CONTROLE PRODUÇÃO POR EMPRESAS'!$AL$6:$AL$490,"&gt;0"))</f>
        <v/>
      </c>
      <c r="E15" s="199">
        <f>IF(OR(B15="",Q15="",R15=""),"",ROUNDUP(B15/NETWORKDAYS.INTL(Q15,R15,IF(F15=5,"0000011",IF(F15=6,"0000001","0000000"))),1))</f>
        <v/>
      </c>
      <c r="F15" s="202" t="n">
        <v>5</v>
      </c>
      <c r="G15" s="203">
        <f>IF(OR(E15="",F15=""),"",E15*F15)</f>
        <v/>
      </c>
      <c r="H15" s="329">
        <f>IF(OR(B15="",C15="",E15="",N(E15)&lt;=0),"",WORKDAY.INTL(C15-1,ROUNDUP(B15/E15,0),IF(F15=5,"0000011",IF(F15=6,"0000001","0000000"))))</f>
        <v/>
      </c>
      <c r="I15" s="198" t="n"/>
      <c r="J15" s="198" t="n"/>
      <c r="K15" s="81">
        <f>IF(OR(B15="",C15="",E15=""),"PENDENTE","CONFIGURADO")</f>
        <v/>
      </c>
      <c r="L15" s="199" t="n">
        <v>1</v>
      </c>
      <c r="M15" s="328">
        <f>IF(R15="","",R15)</f>
        <v/>
      </c>
      <c r="N15" s="81" t="inlineStr">
        <is>
          <t>GALPÃO F1 – MARQUISE</t>
        </is>
      </c>
      <c r="O15" s="81" t="n">
        <v>26</v>
      </c>
      <c r="P15" s="198" t="inlineStr">
        <is>
          <t>MARQUISE - PRÉ-MONTAGEM TERÇAS</t>
        </is>
      </c>
      <c r="Q15" s="329" t="n">
        <v>46294</v>
      </c>
      <c r="R15" s="329" t="n">
        <v>46366</v>
      </c>
      <c r="S15" s="198" t="n"/>
      <c r="T15" s="81">
        <f>'ESCOPO POR EMPRESA'!C15</f>
        <v/>
      </c>
      <c r="U15" s="81">
        <f>'ESCOPO POR EMPRESA'!S15</f>
        <v/>
      </c>
      <c r="V15" s="81" t="n">
        <v>38</v>
      </c>
    </row>
    <row r="16">
      <c r="A16" s="62" t="inlineStr">
        <is>
          <t>MARQUISE – TERÇAS</t>
        </is>
      </c>
      <c r="B16" s="199" t="n"/>
      <c r="C16" s="328" t="n">
        <v>46301</v>
      </c>
      <c r="D16" s="329">
        <f>IF(_xlfn.MINIFS('CONTROLE PRODUÇÃO POR EMPRESAS'!$A$6:$A$490,'CONTROLE PRODUÇÃO POR EMPRESAS'!$AM$6:$AM$490,"&gt;0")=0,"",_xlfn.MINIFS('CONTROLE PRODUÇÃO POR EMPRESAS'!$A$6:$A$490,'CONTROLE PRODUÇÃO POR EMPRESAS'!$AM$6:$AM$490,"&gt;0"))</f>
        <v/>
      </c>
      <c r="E16" s="199">
        <f>IF(OR(B16="",Q16="",R16=""),"",ROUNDUP(B16/NETWORKDAYS.INTL(Q16,R16,IF(F16=5,"0000011",IF(F16=6,"0000001","0000000"))),1))</f>
        <v/>
      </c>
      <c r="F16" s="202" t="n">
        <v>5</v>
      </c>
      <c r="G16" s="203">
        <f>IF(OR(E16="",F16=""),"",E16*F16)</f>
        <v/>
      </c>
      <c r="H16" s="329">
        <f>IF(OR(B16="",C16="",E16="",N(E16)&lt;=0),"",WORKDAY.INTL(C16-1,ROUNDUP(B16/E16,0),IF(F16=5,"0000011",IF(F16=6,"0000001","0000000"))))</f>
        <v/>
      </c>
      <c r="I16" s="198" t="n"/>
      <c r="J16" s="198" t="n"/>
      <c r="K16" s="81">
        <f>IF(OR(B16="",C16="",E16=""),"PENDENTE","CONFIGURADO")</f>
        <v/>
      </c>
      <c r="L16" s="199" t="n">
        <v>1</v>
      </c>
      <c r="M16" s="328">
        <f>IF(R16="","",R16)</f>
        <v/>
      </c>
      <c r="N16" s="81" t="inlineStr">
        <is>
          <t>GALPÃO F1 – MARQUISE</t>
        </is>
      </c>
      <c r="O16" s="81" t="n">
        <v>27</v>
      </c>
      <c r="P16" s="198" t="inlineStr">
        <is>
          <t>MARQUISE - MONTAGEM TERÇAS</t>
        </is>
      </c>
      <c r="Q16" s="329" t="n">
        <v>46301</v>
      </c>
      <c r="R16" s="329" t="n">
        <v>46373</v>
      </c>
      <c r="S16" s="198" t="n"/>
      <c r="T16" s="81">
        <f>'ESCOPO POR EMPRESA'!C16</f>
        <v/>
      </c>
      <c r="U16" s="81">
        <f>'ESCOPO POR EMPRESA'!S16</f>
        <v/>
      </c>
      <c r="V16" s="81" t="n">
        <v>39</v>
      </c>
    </row>
    <row r="17">
      <c r="A17" s="62" t="inlineStr">
        <is>
          <t>MARQUISE – CALHAS</t>
        </is>
      </c>
      <c r="B17" s="199" t="n"/>
      <c r="C17" s="328" t="n">
        <v>46302</v>
      </c>
      <c r="D17" s="329">
        <f>IF(_xlfn.MINIFS('CONTROLE PRODUÇÃO POR EMPRESAS'!$A$6:$A$490,'CONTROLE PRODUÇÃO POR EMPRESAS'!$AN$6:$AN$490,"&gt;0")=0,"",_xlfn.MINIFS('CONTROLE PRODUÇÃO POR EMPRESAS'!$A$6:$A$490,'CONTROLE PRODUÇÃO POR EMPRESAS'!$AN$6:$AN$490,"&gt;0"))</f>
        <v/>
      </c>
      <c r="E17" s="199">
        <f>IF(OR(B17="",Q17="",R17=""),"",ROUNDUP(B17/NETWORKDAYS.INTL(Q17,R17,IF(F17=5,"0000011",IF(F17=6,"0000001","0000000"))),1))</f>
        <v/>
      </c>
      <c r="F17" s="202" t="n">
        <v>5</v>
      </c>
      <c r="G17" s="203">
        <f>IF(OR(E17="",F17=""),"",E17*F17)</f>
        <v/>
      </c>
      <c r="H17" s="329">
        <f>IF(OR(B17="",C17="",E17="",N(E17)&lt;=0),"",WORKDAY.INTL(C17-1,ROUNDUP(B17/E17,0),IF(F17=5,"0000011",IF(F17=6,"0000001","0000000"))))</f>
        <v/>
      </c>
      <c r="I17" s="198" t="n"/>
      <c r="J17" s="198" t="n"/>
      <c r="K17" s="81">
        <f>IF(OR(B17="",C17="",E17=""),"PENDENTE","CONFIGURADO")</f>
        <v/>
      </c>
      <c r="L17" s="199" t="n">
        <v>1</v>
      </c>
      <c r="M17" s="328">
        <f>IF(R17="","",R17)</f>
        <v/>
      </c>
      <c r="N17" s="81" t="inlineStr">
        <is>
          <t>GALPÃO F1 – MARQUISE</t>
        </is>
      </c>
      <c r="O17" s="81" t="n">
        <v>28</v>
      </c>
      <c r="P17" s="198" t="inlineStr">
        <is>
          <t>MARQUISE - MONTAGEM CALHAS</t>
        </is>
      </c>
      <c r="Q17" s="329" t="n">
        <v>46302</v>
      </c>
      <c r="R17" s="329" t="n">
        <v>46374</v>
      </c>
      <c r="S17" s="198" t="n"/>
      <c r="T17" s="81">
        <f>'ESCOPO POR EMPRESA'!C17</f>
        <v/>
      </c>
      <c r="U17" s="81">
        <f>'ESCOPO POR EMPRESA'!S17</f>
        <v/>
      </c>
      <c r="V17" s="81" t="n">
        <v>40</v>
      </c>
    </row>
    <row r="18">
      <c r="A18" s="62" t="inlineStr">
        <is>
          <t>MARQUISE – TELHAS</t>
        </is>
      </c>
      <c r="B18" s="199" t="n"/>
      <c r="C18" s="328" t="n">
        <v>46310</v>
      </c>
      <c r="D18" s="329">
        <f>IF(_xlfn.MINIFS('CONTROLE PRODUÇÃO POR EMPRESAS'!$A$6:$A$490,'CONTROLE PRODUÇÃO POR EMPRESAS'!$AO$6:$AO$490,"&gt;0")=0,"",_xlfn.MINIFS('CONTROLE PRODUÇÃO POR EMPRESAS'!$A$6:$A$490,'CONTROLE PRODUÇÃO POR EMPRESAS'!$AO$6:$AO$490,"&gt;0"))</f>
        <v/>
      </c>
      <c r="E18" s="199">
        <f>IF(OR(B18="",Q18="",R18=""),"",ROUNDUP(B18/NETWORKDAYS.INTL(Q18,R18,IF(F18=5,"0000011",IF(F18=6,"0000001","0000000"))),1))</f>
        <v/>
      </c>
      <c r="F18" s="202" t="n">
        <v>5</v>
      </c>
      <c r="G18" s="203">
        <f>IF(OR(E18="",F18=""),"",E18*F18)</f>
        <v/>
      </c>
      <c r="H18" s="329">
        <f>IF(OR(B18="",C18="",E18="",N(E18)&lt;=0),"",WORKDAY.INTL(C18-1,ROUNDUP(B18/E18,0),IF(F18=5,"0000011",IF(F18=6,"0000001","0000000"))))</f>
        <v/>
      </c>
      <c r="I18" s="198" t="n"/>
      <c r="J18" s="198" t="n"/>
      <c r="K18" s="81">
        <f>IF(OR(B18="",C18="",E18=""),"PENDENTE","CONFIGURADO")</f>
        <v/>
      </c>
      <c r="L18" s="199" t="n">
        <v>1</v>
      </c>
      <c r="M18" s="328">
        <f>IF(R18="","",R18)</f>
        <v/>
      </c>
      <c r="N18" s="81" t="inlineStr">
        <is>
          <t>GALPÃO F1 – MARQUISE</t>
        </is>
      </c>
      <c r="O18" s="81" t="n">
        <v>29</v>
      </c>
      <c r="P18" s="198" t="inlineStr">
        <is>
          <t>MARQUISE - MONTAGEM TELHAS</t>
        </is>
      </c>
      <c r="Q18" s="329" t="n">
        <v>46310</v>
      </c>
      <c r="R18" s="329" t="n">
        <v>46384</v>
      </c>
      <c r="S18" s="198" t="n"/>
      <c r="T18" s="81">
        <f>'ESCOPO POR EMPRESA'!C18</f>
        <v/>
      </c>
      <c r="U18" s="81">
        <f>'ESCOPO POR EMPRESA'!S18</f>
        <v/>
      </c>
      <c r="V18" s="81" t="n">
        <v>41</v>
      </c>
    </row>
    <row r="19">
      <c r="A19" s="62" t="inlineStr">
        <is>
          <t>MARQUISE – TESTEIRA</t>
        </is>
      </c>
      <c r="B19" s="199" t="n"/>
      <c r="C19" s="328" t="n">
        <v>46314</v>
      </c>
      <c r="D19" s="329">
        <f>IF(_xlfn.MINIFS('CONTROLE PRODUÇÃO POR EMPRESAS'!$A$6:$A$490,'CONTROLE PRODUÇÃO POR EMPRESAS'!$AP$6:$AP$490,"&gt;0")=0,"",_xlfn.MINIFS('CONTROLE PRODUÇÃO POR EMPRESAS'!$A$6:$A$490,'CONTROLE PRODUÇÃO POR EMPRESAS'!$AP$6:$AP$490,"&gt;0"))</f>
        <v/>
      </c>
      <c r="E19" s="199">
        <f>IF(OR(B19="",Q19="",R19=""),"",ROUNDUP(B19/NETWORKDAYS.INTL(Q19,R19,IF(F19=5,"0000011",IF(F19=6,"0000001","0000000"))),1))</f>
        <v/>
      </c>
      <c r="F19" s="202" t="n">
        <v>5</v>
      </c>
      <c r="G19" s="203">
        <f>IF(OR(E19="",F19=""),"",E19*F19)</f>
        <v/>
      </c>
      <c r="H19" s="329">
        <f>IF(OR(B19="",C19="",E19="",N(E19)&lt;=0),"",WORKDAY.INTL(C19-1,ROUNDUP(B19/E19,0),IF(F19=5,"0000011",IF(F19=6,"0000001","0000000"))))</f>
        <v/>
      </c>
      <c r="I19" s="198" t="n"/>
      <c r="J19" s="198" t="n"/>
      <c r="K19" s="81">
        <f>IF(OR(B19="",C19="",E19=""),"PENDENTE","CONFIGURADO")</f>
        <v/>
      </c>
      <c r="L19" s="199" t="n">
        <v>1</v>
      </c>
      <c r="M19" s="328">
        <f>IF(R19="","",R19)</f>
        <v/>
      </c>
      <c r="N19" s="81" t="inlineStr">
        <is>
          <t>GALPÃO F1 – MARQUISE</t>
        </is>
      </c>
      <c r="O19" s="81" t="n">
        <v>30</v>
      </c>
      <c r="P19" s="198" t="inlineStr">
        <is>
          <t>MARQUISE - MONTAGEM TESTEIRA</t>
        </is>
      </c>
      <c r="Q19" s="329" t="n">
        <v>46314</v>
      </c>
      <c r="R19" s="329" t="n">
        <v>46386</v>
      </c>
      <c r="S19" s="198" t="n"/>
      <c r="T19" s="81">
        <f>'ESCOPO POR EMPRESA'!C19</f>
        <v/>
      </c>
      <c r="U19" s="81">
        <f>'ESCOPO POR EMPRESA'!S19</f>
        <v/>
      </c>
      <c r="V19" s="81" t="n">
        <v>42</v>
      </c>
    </row>
    <row r="20">
      <c r="A20" s="62" t="inlineStr">
        <is>
          <t>ECLUSA – VIGAS E JOISTS</t>
        </is>
      </c>
      <c r="B20" s="199" t="n"/>
      <c r="C20" s="328" t="n">
        <v>46273</v>
      </c>
      <c r="D20" s="329">
        <f>IF(_xlfn.MINIFS('CONTROLE PRODUÇÃO POR EMPRESAS'!$A$6:$A$490,'CONTROLE PRODUÇÃO POR EMPRESAS'!$AQ$6:$AQ$490,"&gt;0")=0,"",_xlfn.MINIFS('CONTROLE PRODUÇÃO POR EMPRESAS'!$A$6:$A$490,'CONTROLE PRODUÇÃO POR EMPRESAS'!$AQ$6:$AQ$490,"&gt;0"))</f>
        <v/>
      </c>
      <c r="E20" s="199">
        <f>IF(OR(B20="",Q20="",R20=""),"",ROUNDUP(B20/NETWORKDAYS.INTL(Q20,R20,IF(F20=5,"0000011",IF(F20=6,"0000001","0000000"))),1))</f>
        <v/>
      </c>
      <c r="F20" s="202" t="n">
        <v>5</v>
      </c>
      <c r="G20" s="203">
        <f>IF(OR(E20="",F20=""),"",E20*F20)</f>
        <v/>
      </c>
      <c r="H20" s="329">
        <f>IF(OR(B20="",C20="",E20="",N(E20)&lt;=0),"",WORKDAY.INTL(C20-1,ROUNDUP(B20/E20,0),IF(F20=5,"0000011",IF(F20=6,"0000001","0000000"))))</f>
        <v/>
      </c>
      <c r="I20" s="198" t="n"/>
      <c r="J20" s="198" t="n"/>
      <c r="K20" s="81">
        <f>IF(OR(B20="",C20="",E20=""),"PENDENTE","CONFIGURADO")</f>
        <v/>
      </c>
      <c r="L20" s="199" t="n">
        <v>1</v>
      </c>
      <c r="M20" s="328">
        <f>IF(R20="","",R20)</f>
        <v/>
      </c>
      <c r="N20" s="81" t="inlineStr">
        <is>
          <t>ECLUSA</t>
        </is>
      </c>
      <c r="O20" s="81" t="n">
        <v>39</v>
      </c>
      <c r="P20" s="198" t="inlineStr">
        <is>
          <t>MONTAGEM DE VIGAS E JOISTS METÁLICAS – ECLUSA</t>
        </is>
      </c>
      <c r="Q20" s="329" t="n">
        <v>46273</v>
      </c>
      <c r="R20" s="329" t="n">
        <v>46281</v>
      </c>
      <c r="S20" s="198" t="n"/>
      <c r="T20" s="81">
        <f>'ESCOPO POR EMPRESA'!C20</f>
        <v/>
      </c>
      <c r="U20" s="81">
        <f>'ESCOPO POR EMPRESA'!S20</f>
        <v/>
      </c>
      <c r="V20" s="81" t="n">
        <v>43</v>
      </c>
    </row>
    <row r="21">
      <c r="A21" s="62" t="inlineStr">
        <is>
          <t>ECLUSA – CALHAS</t>
        </is>
      </c>
      <c r="B21" s="199" t="n"/>
      <c r="C21" s="328" t="n">
        <v>46282</v>
      </c>
      <c r="D21" s="329">
        <f>IF(_xlfn.MINIFS('CONTROLE PRODUÇÃO POR EMPRESAS'!$A$6:$A$490,'CONTROLE PRODUÇÃO POR EMPRESAS'!$AR$6:$AR$490,"&gt;0")=0,"",_xlfn.MINIFS('CONTROLE PRODUÇÃO POR EMPRESAS'!$A$6:$A$490,'CONTROLE PRODUÇÃO POR EMPRESAS'!$AR$6:$AR$490,"&gt;0"))</f>
        <v/>
      </c>
      <c r="E21" s="199">
        <f>IF(OR(B21="",Q21="",R21=""),"",ROUNDUP(B21/NETWORKDAYS.INTL(Q21,R21,IF(F21=5,"0000011",IF(F21=6,"0000001","0000000"))),1))</f>
        <v/>
      </c>
      <c r="F21" s="202" t="n">
        <v>5</v>
      </c>
      <c r="G21" s="203">
        <f>IF(OR(E21="",F21=""),"",E21*F21)</f>
        <v/>
      </c>
      <c r="H21" s="329">
        <f>IF(OR(B21="",C21="",E21="",N(E21)&lt;=0),"",WORKDAY.INTL(C21-1,ROUNDUP(B21/E21,0),IF(F21=5,"0000011",IF(F21=6,"0000001","0000000"))))</f>
        <v/>
      </c>
      <c r="I21" s="198" t="n"/>
      <c r="J21" s="198" t="n"/>
      <c r="K21" s="81">
        <f>IF(OR(B21="",C21="",E21=""),"PENDENTE","CONFIGURADO")</f>
        <v/>
      </c>
      <c r="L21" s="199" t="n">
        <v>1</v>
      </c>
      <c r="M21" s="328">
        <f>IF(R21="","",R21)</f>
        <v/>
      </c>
      <c r="N21" s="81" t="inlineStr">
        <is>
          <t>ECLUSA</t>
        </is>
      </c>
      <c r="O21" s="81" t="n">
        <v>40</v>
      </c>
      <c r="P21" s="198" t="inlineStr">
        <is>
          <t>MONTAGEM DE CALHAS METÁLICAS – ECLUSA</t>
        </is>
      </c>
      <c r="Q21" s="329" t="n">
        <v>46282</v>
      </c>
      <c r="R21" s="329" t="n">
        <v>46288</v>
      </c>
      <c r="S21" s="198" t="n"/>
      <c r="T21" s="81">
        <f>'ESCOPO POR EMPRESA'!C21</f>
        <v/>
      </c>
      <c r="U21" s="81">
        <f>'ESCOPO POR EMPRESA'!S21</f>
        <v/>
      </c>
      <c r="V21" s="81" t="n">
        <v>44</v>
      </c>
    </row>
    <row r="22">
      <c r="A22" s="62" t="inlineStr">
        <is>
          <t>ECLUSA – TELHAS COBERTURA</t>
        </is>
      </c>
      <c r="B22" s="199" t="n"/>
      <c r="C22" s="328" t="n">
        <v>46289</v>
      </c>
      <c r="D22" s="329">
        <f>IF(_xlfn.MINIFS('CONTROLE PRODUÇÃO POR EMPRESAS'!$A$6:$A$490,'CONTROLE PRODUÇÃO POR EMPRESAS'!$AS$6:$AS$490,"&gt;0")=0,"",_xlfn.MINIFS('CONTROLE PRODUÇÃO POR EMPRESAS'!$A$6:$A$490,'CONTROLE PRODUÇÃO POR EMPRESAS'!$AS$6:$AS$490,"&gt;0"))</f>
        <v/>
      </c>
      <c r="E22" s="199">
        <f>IF(OR(B22="",Q22="",R22=""),"",ROUNDUP(B22/NETWORKDAYS.INTL(Q22,R22,IF(F22=5,"0000011",IF(F22=6,"0000001","0000000"))),1))</f>
        <v/>
      </c>
      <c r="F22" s="202" t="n">
        <v>5</v>
      </c>
      <c r="G22" s="203">
        <f>IF(OR(E22="",F22=""),"",E22*F22)</f>
        <v/>
      </c>
      <c r="H22" s="329">
        <f>IF(OR(B22="",C22="",E22="",N(E22)&lt;=0),"",WORKDAY.INTL(C22-1,ROUNDUP(B22/E22,0),IF(F22=5,"0000011",IF(F22=6,"0000001","0000000"))))</f>
        <v/>
      </c>
      <c r="I22" s="198" t="n"/>
      <c r="J22" s="198" t="n"/>
      <c r="K22" s="81">
        <f>IF(OR(B22="",C22="",E22=""),"PENDENTE","CONFIGURADO")</f>
        <v/>
      </c>
      <c r="L22" s="199" t="n">
        <v>1</v>
      </c>
      <c r="M22" s="328">
        <f>IF(R22="","",R22)</f>
        <v/>
      </c>
      <c r="N22" s="81" t="inlineStr">
        <is>
          <t>ECLUSA</t>
        </is>
      </c>
      <c r="O22" s="81" t="n">
        <v>41</v>
      </c>
      <c r="P22" s="198" t="inlineStr">
        <is>
          <t>MONTAGEM DE TELHAS METÁLICAS – ECLUSA</t>
        </is>
      </c>
      <c r="Q22" s="329" t="n">
        <v>46289</v>
      </c>
      <c r="R22" s="329" t="n">
        <v>46304</v>
      </c>
      <c r="S22" s="198" t="n"/>
      <c r="T22" s="81">
        <f>'ESCOPO POR EMPRESA'!C22</f>
        <v/>
      </c>
      <c r="U22" s="81">
        <f>'ESCOPO POR EMPRESA'!S22</f>
        <v/>
      </c>
      <c r="V22" s="81" t="n">
        <v>45</v>
      </c>
    </row>
    <row r="23">
      <c r="A23" s="62" t="inlineStr">
        <is>
          <t>ECLUSA – FECHAMENTO ACM H=2,00m</t>
        </is>
      </c>
      <c r="B23" s="199" t="n"/>
      <c r="C23" s="328" t="n">
        <v>46329</v>
      </c>
      <c r="D23" s="329">
        <f>IF(_xlfn.MINIFS('CONTROLE PRODUÇÃO POR EMPRESAS'!$A$6:$A$490,'CONTROLE PRODUÇÃO POR EMPRESAS'!$AT$6:$AT$490,"&gt;0")=0,"",_xlfn.MINIFS('CONTROLE PRODUÇÃO POR EMPRESAS'!$A$6:$A$490,'CONTROLE PRODUÇÃO POR EMPRESAS'!$AT$6:$AT$490,"&gt;0"))</f>
        <v/>
      </c>
      <c r="E23" s="199">
        <f>IF(OR(B23="",Q23="",R23=""),"",ROUNDUP(B23/NETWORKDAYS.INTL(Q23,R23,IF(F23=5,"0000011",IF(F23=6,"0000001","0000000"))),1))</f>
        <v/>
      </c>
      <c r="F23" s="202" t="n">
        <v>5</v>
      </c>
      <c r="G23" s="203">
        <f>IF(OR(E23="",F23=""),"",E23*F23)</f>
        <v/>
      </c>
      <c r="H23" s="329">
        <f>IF(OR(B23="",C23="",E23="",N(E23)&lt;=0),"",WORKDAY.INTL(C23-1,ROUNDUP(B23/E23,0),IF(F23=5,"0000011",IF(F23=6,"0000001","0000000"))))</f>
        <v/>
      </c>
      <c r="I23" s="198" t="n"/>
      <c r="J23" s="198" t="n"/>
      <c r="K23" s="81">
        <f>IF(OR(B23="",C23="",E23=""),"PENDENTE","CONFIGURADO")</f>
        <v/>
      </c>
      <c r="L23" s="199" t="n">
        <v>1</v>
      </c>
      <c r="M23" s="328">
        <f>IF(R23="","",R23)</f>
        <v/>
      </c>
      <c r="N23" s="81" t="inlineStr">
        <is>
          <t>ECLUSA</t>
        </is>
      </c>
      <c r="O23" s="81" t="n">
        <v>42</v>
      </c>
      <c r="P23" s="198" t="inlineStr">
        <is>
          <t>INSTALAÇÃO DE FECHAMENTO EM ACM H=2,00m – ECLUSA</t>
        </is>
      </c>
      <c r="Q23" s="329" t="n">
        <v>46329</v>
      </c>
      <c r="R23" s="329" t="n">
        <v>46338</v>
      </c>
      <c r="S23" s="198" t="n"/>
      <c r="T23" s="81">
        <f>'ESCOPO POR EMPRESA'!C23</f>
        <v/>
      </c>
      <c r="U23" s="81">
        <f>'ESCOPO POR EMPRESA'!S23</f>
        <v/>
      </c>
      <c r="V23" s="81" t="n">
        <v>46</v>
      </c>
    </row>
    <row r="24">
      <c r="A24" s="62" t="inlineStr">
        <is>
          <t>ECLUSA – RUFOS E ARREMATES</t>
        </is>
      </c>
      <c r="B24" s="199" t="n"/>
      <c r="C24" s="328" t="n">
        <v>46329</v>
      </c>
      <c r="D24" s="329">
        <f>IF(_xlfn.MINIFS('CONTROLE PRODUÇÃO POR EMPRESAS'!$A$6:$A$490,'CONTROLE PRODUÇÃO POR EMPRESAS'!$AU$6:$AU$490,"&gt;0")=0,"",_xlfn.MINIFS('CONTROLE PRODUÇÃO POR EMPRESAS'!$A$6:$A$490,'CONTROLE PRODUÇÃO POR EMPRESAS'!$AU$6:$AU$490,"&gt;0"))</f>
        <v/>
      </c>
      <c r="E24" s="199">
        <f>IF(OR(B24="",Q24="",R24=""),"",ROUNDUP(B24/NETWORKDAYS.INTL(Q24,R24,IF(F24=5,"0000011",IF(F24=6,"0000001","0000000"))),1))</f>
        <v/>
      </c>
      <c r="F24" s="202" t="n">
        <v>5</v>
      </c>
      <c r="G24" s="203">
        <f>IF(OR(E24="",F24=""),"",E24*F24)</f>
        <v/>
      </c>
      <c r="H24" s="329">
        <f>IF(OR(B24="",C24="",E24="",N(E24)&lt;=0),"",WORKDAY.INTL(C24-1,ROUNDUP(B24/E24,0),IF(F24=5,"0000011",IF(F24=6,"0000001","0000000"))))</f>
        <v/>
      </c>
      <c r="I24" s="198" t="n"/>
      <c r="J24" s="198" t="n"/>
      <c r="K24" s="81">
        <f>IF(OR(B24="",C24="",E24=""),"PENDENTE","CONFIGURADO")</f>
        <v/>
      </c>
      <c r="L24" s="199" t="n">
        <v>1</v>
      </c>
      <c r="M24" s="328">
        <f>IF(R24="","",R24)</f>
        <v/>
      </c>
      <c r="N24" s="81" t="inlineStr">
        <is>
          <t>ECLUSA</t>
        </is>
      </c>
      <c r="O24" s="81" t="n">
        <v>43</v>
      </c>
      <c r="P24" s="198" t="inlineStr">
        <is>
          <t>RUFOS E ARREMATES METÁLICOS – ECLUSA</t>
        </is>
      </c>
      <c r="Q24" s="329" t="n">
        <v>46329</v>
      </c>
      <c r="R24" s="329" t="n">
        <v>46342</v>
      </c>
      <c r="S24" s="198" t="n"/>
      <c r="T24" s="81">
        <f>'ESCOPO POR EMPRESA'!C24</f>
        <v/>
      </c>
      <c r="U24" s="81">
        <f>'ESCOPO POR EMPRESA'!S24</f>
        <v/>
      </c>
      <c r="V24" s="81" t="n">
        <v>47</v>
      </c>
    </row>
    <row r="25">
      <c r="A25" s="62" t="inlineStr">
        <is>
          <t>ECLUSA – PLATIBANDA – ESTRUTURA</t>
        </is>
      </c>
      <c r="B25" s="199" t="n"/>
      <c r="C25" s="328" t="n">
        <v>46308</v>
      </c>
      <c r="D25" s="329">
        <f>IF(_xlfn.MINIFS('CONTROLE PRODUÇÃO POR EMPRESAS'!$A$6:$A$490,'CONTROLE PRODUÇÃO POR EMPRESAS'!$AV$6:$AV$490,"&gt;0")=0,"",_xlfn.MINIFS('CONTROLE PRODUÇÃO POR EMPRESAS'!$A$6:$A$490,'CONTROLE PRODUÇÃO POR EMPRESAS'!$AV$6:$AV$490,"&gt;0"))</f>
        <v/>
      </c>
      <c r="E25" s="199">
        <f>IF(OR(B25="",Q25="",R25=""),"",ROUNDUP(B25/NETWORKDAYS.INTL(Q25,R25,IF(F25=5,"0000011",IF(F25=6,"0000001","0000000"))),1))</f>
        <v/>
      </c>
      <c r="F25" s="202" t="n">
        <v>5</v>
      </c>
      <c r="G25" s="203">
        <f>IF(OR(E25="",F25=""),"",E25*F25)</f>
        <v/>
      </c>
      <c r="H25" s="329">
        <f>IF(OR(B25="",C25="",E25="",N(E25)&lt;=0),"",WORKDAY.INTL(C25-1,ROUNDUP(B25/E25,0),IF(F25=5,"0000011",IF(F25=6,"0000001","0000000"))))</f>
        <v/>
      </c>
      <c r="I25" s="198" t="n"/>
      <c r="J25" s="198" t="n"/>
      <c r="K25" s="81">
        <f>IF(OR(B25="",C25="",E25=""),"PENDENTE","CONFIGURADO")</f>
        <v/>
      </c>
      <c r="L25" s="199" t="n">
        <v>1</v>
      </c>
      <c r="M25" s="328">
        <f>IF(R25="","",R25)</f>
        <v/>
      </c>
      <c r="N25" s="81" t="inlineStr">
        <is>
          <t>ECLUSA</t>
        </is>
      </c>
      <c r="O25" s="81" t="n">
        <v>45</v>
      </c>
      <c r="P25" s="198" t="inlineStr">
        <is>
          <t>PLATIBANDA - MONTAGEM DE ESTRUTURA METÁLICA – ECLUSA</t>
        </is>
      </c>
      <c r="Q25" s="329" t="n">
        <v>46308</v>
      </c>
      <c r="R25" s="329" t="n">
        <v>46316</v>
      </c>
      <c r="S25" s="198" t="n"/>
      <c r="T25" s="81">
        <f>'ESCOPO POR EMPRESA'!C25</f>
        <v/>
      </c>
      <c r="U25" s="81">
        <f>'ESCOPO POR EMPRESA'!S25</f>
        <v/>
      </c>
      <c r="V25" s="81" t="n">
        <v>48</v>
      </c>
    </row>
    <row r="26">
      <c r="A26" s="62" t="inlineStr">
        <is>
          <t>ECLUSA – PLATIBANDA – TELHAS</t>
        </is>
      </c>
      <c r="B26" s="199" t="n"/>
      <c r="C26" s="328" t="n">
        <v>46317</v>
      </c>
      <c r="D26" s="329">
        <f>IF(_xlfn.MINIFS('CONTROLE PRODUÇÃO POR EMPRESAS'!$A$6:$A$490,'CONTROLE PRODUÇÃO POR EMPRESAS'!$AW$6:$AW$490,"&gt;0")=0,"",_xlfn.MINIFS('CONTROLE PRODUÇÃO POR EMPRESAS'!$A$6:$A$490,'CONTROLE PRODUÇÃO POR EMPRESAS'!$AW$6:$AW$490,"&gt;0"))</f>
        <v/>
      </c>
      <c r="E26" s="199">
        <f>IF(OR(B26="",Q26="",R26=""),"",ROUNDUP(B26/NETWORKDAYS.INTL(Q26,R26,IF(F26=5,"0000011",IF(F26=6,"0000001","0000000"))),1))</f>
        <v/>
      </c>
      <c r="F26" s="202" t="n">
        <v>5</v>
      </c>
      <c r="G26" s="203">
        <f>IF(OR(E26="",F26=""),"",E26*F26)</f>
        <v/>
      </c>
      <c r="H26" s="329">
        <f>IF(OR(B26="",C26="",E26="",N(E26)&lt;=0),"",WORKDAY.INTL(C26-1,ROUNDUP(B26/E26,0),IF(F26=5,"0000011",IF(F26=6,"0000001","0000000"))))</f>
        <v/>
      </c>
      <c r="I26" s="198" t="n"/>
      <c r="J26" s="198" t="n"/>
      <c r="K26" s="81">
        <f>IF(OR(B26="",C26="",E26=""),"PENDENTE","CONFIGURADO")</f>
        <v/>
      </c>
      <c r="L26" s="199" t="n">
        <v>1</v>
      </c>
      <c r="M26" s="328">
        <f>IF(R26="","",R26)</f>
        <v/>
      </c>
      <c r="N26" s="81" t="inlineStr">
        <is>
          <t>ECLUSA</t>
        </is>
      </c>
      <c r="O26" s="81" t="n">
        <v>46</v>
      </c>
      <c r="P26" s="198" t="inlineStr">
        <is>
          <t>PLATIBANDA - MONTAGEM DE TELHAS METÁLICAS – ECLUSA</t>
        </is>
      </c>
      <c r="Q26" s="329" t="n">
        <v>46317</v>
      </c>
      <c r="R26" s="329" t="n">
        <v>46325</v>
      </c>
      <c r="S26" s="198" t="n"/>
      <c r="T26" s="81">
        <f>'ESCOPO POR EMPRESA'!C26</f>
        <v/>
      </c>
      <c r="U26" s="81">
        <f>'ESCOPO POR EMPRESA'!S26</f>
        <v/>
      </c>
      <c r="V26" s="81" t="n">
        <v>49</v>
      </c>
    </row>
    <row r="27">
      <c r="A27" s="62" t="inlineStr">
        <is>
          <t>PORTARIA – VIGAS E TERÇAS</t>
        </is>
      </c>
      <c r="B27" s="199" t="n"/>
      <c r="C27" s="328" t="n">
        <v>46282</v>
      </c>
      <c r="D27" s="329">
        <f>IF(_xlfn.MINIFS('CONTROLE PRODUÇÃO POR EMPRESAS'!$A$6:$A$490,'CONTROLE PRODUÇÃO POR EMPRESAS'!$AX$6:$AX$490,"&gt;0")=0,"",_xlfn.MINIFS('CONTROLE PRODUÇÃO POR EMPRESAS'!$A$6:$A$490,'CONTROLE PRODUÇÃO POR EMPRESAS'!$AX$6:$AX$490,"&gt;0"))</f>
        <v/>
      </c>
      <c r="E27" s="199">
        <f>IF(OR(B27="",Q27="",R27=""),"",ROUNDUP(B27/NETWORKDAYS.INTL(Q27,R27,IF(F27=5,"0000011",IF(F27=6,"0000001","0000000"))),1))</f>
        <v/>
      </c>
      <c r="F27" s="202" t="n">
        <v>5</v>
      </c>
      <c r="G27" s="203">
        <f>IF(OR(E27="",F27=""),"",E27*F27)</f>
        <v/>
      </c>
      <c r="H27" s="329">
        <f>IF(OR(B27="",C27="",E27="",N(E27)&lt;=0),"",WORKDAY.INTL(C27-1,ROUNDUP(B27/E27,0),IF(F27=5,"0000011",IF(F27=6,"0000001","0000000"))))</f>
        <v/>
      </c>
      <c r="I27" s="198" t="n"/>
      <c r="J27" s="198" t="n"/>
      <c r="K27" s="81">
        <f>IF(OR(B27="",C27="",E27=""),"PENDENTE","CONFIGURADO")</f>
        <v/>
      </c>
      <c r="L27" s="199" t="n">
        <v>1</v>
      </c>
      <c r="M27" s="328">
        <f>IF(R27="","",R27)</f>
        <v/>
      </c>
      <c r="N27" s="81" t="inlineStr">
        <is>
          <t>PORTARIA</t>
        </is>
      </c>
      <c r="O27" s="81" t="n">
        <v>53</v>
      </c>
      <c r="P27" s="198" t="inlineStr">
        <is>
          <t>MONTAGEM DE VIGAS E TERÇAS METÁLICAS – PORTARIA</t>
        </is>
      </c>
      <c r="Q27" s="329" t="n">
        <v>46282</v>
      </c>
      <c r="R27" s="329" t="n">
        <v>46293</v>
      </c>
      <c r="S27" s="198" t="n"/>
      <c r="T27" s="81">
        <f>'ESCOPO POR EMPRESA'!C27</f>
        <v/>
      </c>
      <c r="U27" s="81">
        <f>'ESCOPO POR EMPRESA'!S27</f>
        <v/>
      </c>
      <c r="V27" s="81" t="n">
        <v>50</v>
      </c>
    </row>
    <row r="28">
      <c r="A28" s="62" t="inlineStr">
        <is>
          <t>PORTARIA – CALHAS</t>
        </is>
      </c>
      <c r="B28" s="199" t="n"/>
      <c r="C28" s="328" t="n">
        <v>46294</v>
      </c>
      <c r="D28" s="329">
        <f>IF(_xlfn.MINIFS('CONTROLE PRODUÇÃO POR EMPRESAS'!$A$6:$A$490,'CONTROLE PRODUÇÃO POR EMPRESAS'!$AY$6:$AY$490,"&gt;0")=0,"",_xlfn.MINIFS('CONTROLE PRODUÇÃO POR EMPRESAS'!$A$6:$A$490,'CONTROLE PRODUÇÃO POR EMPRESAS'!$AY$6:$AY$490,"&gt;0"))</f>
        <v/>
      </c>
      <c r="E28" s="199">
        <f>IF(OR(B28="",Q28="",R28=""),"",ROUNDUP(B28/NETWORKDAYS.INTL(Q28,R28,IF(F28=5,"0000011",IF(F28=6,"0000001","0000000"))),1))</f>
        <v/>
      </c>
      <c r="F28" s="202" t="n">
        <v>5</v>
      </c>
      <c r="G28" s="203">
        <f>IF(OR(E28="",F28=""),"",E28*F28)</f>
        <v/>
      </c>
      <c r="H28" s="329">
        <f>IF(OR(B28="",C28="",E28="",N(E28)&lt;=0),"",WORKDAY.INTL(C28-1,ROUNDUP(B28/E28,0),IF(F28=5,"0000011",IF(F28=6,"0000001","0000000"))))</f>
        <v/>
      </c>
      <c r="I28" s="198" t="n"/>
      <c r="J28" s="198" t="n"/>
      <c r="K28" s="81">
        <f>IF(OR(B28="",C28="",E28=""),"PENDENTE","CONFIGURADO")</f>
        <v/>
      </c>
      <c r="L28" s="199" t="n">
        <v>1</v>
      </c>
      <c r="M28" s="328">
        <f>IF(R28="","",R28)</f>
        <v/>
      </c>
      <c r="N28" s="81" t="inlineStr">
        <is>
          <t>PORTARIA</t>
        </is>
      </c>
      <c r="O28" s="81" t="n">
        <v>54</v>
      </c>
      <c r="P28" s="198" t="inlineStr">
        <is>
          <t>MONTAGEM DE CALHAS METÁLICAS – PORTARIA</t>
        </is>
      </c>
      <c r="Q28" s="329" t="n">
        <v>46294</v>
      </c>
      <c r="R28" s="329" t="n">
        <v>46296</v>
      </c>
      <c r="S28" s="198" t="n"/>
      <c r="T28" s="81">
        <f>'ESCOPO POR EMPRESA'!C28</f>
        <v/>
      </c>
      <c r="U28" s="81">
        <f>'ESCOPO POR EMPRESA'!S28</f>
        <v/>
      </c>
      <c r="V28" s="81" t="n">
        <v>51</v>
      </c>
    </row>
    <row r="29">
      <c r="A29" s="62" t="inlineStr">
        <is>
          <t>PORTARIA – TELHAS</t>
        </is>
      </c>
      <c r="B29" s="199" t="n"/>
      <c r="C29" s="328" t="n">
        <v>46308</v>
      </c>
      <c r="D29" s="329">
        <f>IF(_xlfn.MINIFS('CONTROLE PRODUÇÃO POR EMPRESAS'!$A$6:$A$490,'CONTROLE PRODUÇÃO POR EMPRESAS'!$AZ$6:$AZ$490,"&gt;0")=0,"",_xlfn.MINIFS('CONTROLE PRODUÇÃO POR EMPRESAS'!$A$6:$A$490,'CONTROLE PRODUÇÃO POR EMPRESAS'!$AZ$6:$AZ$490,"&gt;0"))</f>
        <v/>
      </c>
      <c r="E29" s="199">
        <f>IF(OR(B29="",Q29="",R29=""),"",ROUNDUP(B29/NETWORKDAYS.INTL(Q29,R29,IF(F29=5,"0000011",IF(F29=6,"0000001","0000000"))),1))</f>
        <v/>
      </c>
      <c r="F29" s="202" t="n">
        <v>5</v>
      </c>
      <c r="G29" s="203">
        <f>IF(OR(E29="",F29=""),"",E29*F29)</f>
        <v/>
      </c>
      <c r="H29" s="329">
        <f>IF(OR(B29="",C29="",E29="",N(E29)&lt;=0),"",WORKDAY.INTL(C29-1,ROUNDUP(B29/E29,0),IF(F29=5,"0000011",IF(F29=6,"0000001","0000000"))))</f>
        <v/>
      </c>
      <c r="I29" s="198" t="n"/>
      <c r="J29" s="198" t="n"/>
      <c r="K29" s="81">
        <f>IF(OR(B29="",C29="",E29=""),"PENDENTE","CONFIGURADO")</f>
        <v/>
      </c>
      <c r="L29" s="199" t="n">
        <v>1</v>
      </c>
      <c r="M29" s="328">
        <f>IF(R29="","",R29)</f>
        <v/>
      </c>
      <c r="N29" s="81" t="inlineStr">
        <is>
          <t>PORTARIA</t>
        </is>
      </c>
      <c r="O29" s="81" t="n">
        <v>55</v>
      </c>
      <c r="P29" s="198" t="inlineStr">
        <is>
          <t>MONTAGEM DE TELHAS METÁLICAS – PORTARIA</t>
        </is>
      </c>
      <c r="Q29" s="329" t="n">
        <v>46308</v>
      </c>
      <c r="R29" s="329" t="n">
        <v>46321</v>
      </c>
      <c r="S29" s="198" t="n"/>
      <c r="T29" s="81">
        <f>'ESCOPO POR EMPRESA'!C29</f>
        <v/>
      </c>
      <c r="U29" s="81">
        <f>'ESCOPO POR EMPRESA'!S29</f>
        <v/>
      </c>
      <c r="V29" s="81" t="n">
        <v>52</v>
      </c>
    </row>
    <row r="30">
      <c r="A30" s="62" t="inlineStr">
        <is>
          <t>PORTARIA – PLATIBANDA H=1,90m</t>
        </is>
      </c>
      <c r="B30" s="199" t="n"/>
      <c r="C30" s="328" t="n">
        <v>46322</v>
      </c>
      <c r="D30" s="329">
        <f>IF(_xlfn.MINIFS('CONTROLE PRODUÇÃO POR EMPRESAS'!$A$6:$A$490,'CONTROLE PRODUÇÃO POR EMPRESAS'!$BA$6:$BA$490,"&gt;0")=0,"",_xlfn.MINIFS('CONTROLE PRODUÇÃO POR EMPRESAS'!$A$6:$A$490,'CONTROLE PRODUÇÃO POR EMPRESAS'!$BA$6:$BA$490,"&gt;0"))</f>
        <v/>
      </c>
      <c r="E30" s="199">
        <f>IF(OR(B30="",Q30="",R30=""),"",ROUNDUP(B30/NETWORKDAYS.INTL(Q30,R30,IF(F30=5,"0000011",IF(F30=6,"0000001","0000000"))),1))</f>
        <v/>
      </c>
      <c r="F30" s="202" t="n">
        <v>5</v>
      </c>
      <c r="G30" s="203">
        <f>IF(OR(E30="",F30=""),"",E30*F30)</f>
        <v/>
      </c>
      <c r="H30" s="329">
        <f>IF(OR(B30="",C30="",E30="",N(E30)&lt;=0),"",WORKDAY.INTL(C30-1,ROUNDUP(B30/E30,0),IF(F30=5,"0000011",IF(F30=6,"0000001","0000000"))))</f>
        <v/>
      </c>
      <c r="I30" s="198" t="n"/>
      <c r="J30" s="198" t="n"/>
      <c r="K30" s="81">
        <f>IF(OR(B30="",C30="",E30=""),"PENDENTE","CONFIGURADO")</f>
        <v/>
      </c>
      <c r="L30" s="199" t="n">
        <v>1</v>
      </c>
      <c r="M30" s="328">
        <f>IF(R30="","",R30)</f>
        <v/>
      </c>
      <c r="N30" s="81" t="inlineStr">
        <is>
          <t>PORTARIA</t>
        </is>
      </c>
      <c r="O30" s="81" t="n">
        <v>56</v>
      </c>
      <c r="P30" s="198" t="inlineStr">
        <is>
          <t>PLATIBANDA METÁLICA H=1,90m – PORTARIA</t>
        </is>
      </c>
      <c r="Q30" s="329" t="n">
        <v>46322</v>
      </c>
      <c r="R30" s="329" t="n">
        <v>46331</v>
      </c>
      <c r="S30" s="198" t="n"/>
      <c r="T30" s="81">
        <f>'ESCOPO POR EMPRESA'!C30</f>
        <v/>
      </c>
      <c r="U30" s="81">
        <f>'ESCOPO POR EMPRESA'!S30</f>
        <v/>
      </c>
      <c r="V30" s="81" t="n">
        <v>53</v>
      </c>
    </row>
    <row r="31">
      <c r="A31" s="62" t="inlineStr">
        <is>
          <t>PORTARIA – FECHAMENTO ACM H=2,00m</t>
        </is>
      </c>
      <c r="B31" s="199" t="n"/>
      <c r="C31" s="328" t="n">
        <v>46342</v>
      </c>
      <c r="D31" s="329">
        <f>IF(_xlfn.MINIFS('CONTROLE PRODUÇÃO POR EMPRESAS'!$A$6:$A$490,'CONTROLE PRODUÇÃO POR EMPRESAS'!$BB$6:$BB$490,"&gt;0")=0,"",_xlfn.MINIFS('CONTROLE PRODUÇÃO POR EMPRESAS'!$A$6:$A$490,'CONTROLE PRODUÇÃO POR EMPRESAS'!$BB$6:$BB$490,"&gt;0"))</f>
        <v/>
      </c>
      <c r="E31" s="199">
        <f>IF(OR(B31="",Q31="",R31=""),"",ROUNDUP(B31/NETWORKDAYS.INTL(Q31,R31,IF(F31=5,"0000011",IF(F31=6,"0000001","0000000"))),1))</f>
        <v/>
      </c>
      <c r="F31" s="202" t="n">
        <v>5</v>
      </c>
      <c r="G31" s="203">
        <f>IF(OR(E31="",F31=""),"",E31*F31)</f>
        <v/>
      </c>
      <c r="H31" s="329">
        <f>IF(OR(B31="",C31="",E31="",N(E31)&lt;=0),"",WORKDAY.INTL(C31-1,ROUNDUP(B31/E31,0),IF(F31=5,"0000011",IF(F31=6,"0000001","0000000"))))</f>
        <v/>
      </c>
      <c r="I31" s="198" t="n"/>
      <c r="J31" s="198" t="n"/>
      <c r="K31" s="81">
        <f>IF(OR(B31="",C31="",E31=""),"PENDENTE","CONFIGURADO")</f>
        <v/>
      </c>
      <c r="L31" s="199" t="n">
        <v>1</v>
      </c>
      <c r="M31" s="328">
        <f>IF(R31="","",R31)</f>
        <v/>
      </c>
      <c r="N31" s="81" t="inlineStr">
        <is>
          <t>PORTARIA</t>
        </is>
      </c>
      <c r="O31" s="81" t="n">
        <v>57</v>
      </c>
      <c r="P31" s="198" t="inlineStr">
        <is>
          <t>INSTALAÇÃO DE FECHAMENTO EM ACM H=2,00m – PORTARIA</t>
        </is>
      </c>
      <c r="Q31" s="329" t="n">
        <v>46342</v>
      </c>
      <c r="R31" s="329" t="n">
        <v>46350</v>
      </c>
      <c r="S31" s="198" t="n"/>
      <c r="T31" s="81">
        <f>'ESCOPO POR EMPRESA'!C31</f>
        <v/>
      </c>
      <c r="U31" s="81">
        <f>'ESCOPO POR EMPRESA'!S31</f>
        <v/>
      </c>
      <c r="V31" s="81" t="n">
        <v>54</v>
      </c>
    </row>
    <row r="32">
      <c r="A32" s="62" t="inlineStr">
        <is>
          <t>PORTARIA – RUFOS E ARREMATES</t>
        </is>
      </c>
      <c r="B32" s="199" t="n"/>
      <c r="C32" s="328" t="n">
        <v>46342</v>
      </c>
      <c r="D32" s="329">
        <f>IF(_xlfn.MINIFS('CONTROLE PRODUÇÃO POR EMPRESAS'!$A$6:$A$490,'CONTROLE PRODUÇÃO POR EMPRESAS'!$BC$6:$BC$490,"&gt;0")=0,"",_xlfn.MINIFS('CONTROLE PRODUÇÃO POR EMPRESAS'!$A$6:$A$490,'CONTROLE PRODUÇÃO POR EMPRESAS'!$BC$6:$BC$490,"&gt;0"))</f>
        <v/>
      </c>
      <c r="E32" s="199">
        <f>IF(OR(B32="",Q32="",R32=""),"",ROUNDUP(B32/NETWORKDAYS.INTL(Q32,R32,IF(F32=5,"0000011",IF(F32=6,"0000001","0000000"))),1))</f>
        <v/>
      </c>
      <c r="F32" s="202" t="n">
        <v>5</v>
      </c>
      <c r="G32" s="203">
        <f>IF(OR(E32="",F32=""),"",E32*F32)</f>
        <v/>
      </c>
      <c r="H32" s="329">
        <f>IF(OR(B32="",C32="",E32="",N(E32)&lt;=0),"",WORKDAY.INTL(C32-1,ROUNDUP(B32/E32,0),IF(F32=5,"0000011",IF(F32=6,"0000001","0000000"))))</f>
        <v/>
      </c>
      <c r="I32" s="198" t="n"/>
      <c r="J32" s="198" t="n"/>
      <c r="K32" s="81">
        <f>IF(OR(B32="",C32="",E32=""),"PENDENTE","CONFIGURADO")</f>
        <v/>
      </c>
      <c r="L32" s="199" t="n">
        <v>1</v>
      </c>
      <c r="M32" s="328">
        <f>IF(R32="","",R32)</f>
        <v/>
      </c>
      <c r="N32" s="81" t="inlineStr">
        <is>
          <t>PORTARIA</t>
        </is>
      </c>
      <c r="O32" s="81" t="n">
        <v>58</v>
      </c>
      <c r="P32" s="198" t="inlineStr">
        <is>
          <t>INSTALAÇÃO DE RUFOS E ARREMATES – PORTARIA</t>
        </is>
      </c>
      <c r="Q32" s="329" t="n">
        <v>46342</v>
      </c>
      <c r="R32" s="329" t="n">
        <v>46351</v>
      </c>
      <c r="S32" s="198" t="n"/>
      <c r="T32" s="81">
        <f>'ESCOPO POR EMPRESA'!C32</f>
        <v/>
      </c>
      <c r="U32" s="81">
        <f>'ESCOPO POR EMPRESA'!S32</f>
        <v/>
      </c>
      <c r="V32" s="81" t="n">
        <v>55</v>
      </c>
    </row>
    <row r="33">
      <c r="A33" s="62" t="inlineStr">
        <is>
          <t>REFEITÓRIO – VIGAS E TERÇAS</t>
        </is>
      </c>
      <c r="B33" s="199" t="n"/>
      <c r="C33" s="328" t="n">
        <v>46294</v>
      </c>
      <c r="D33" s="329">
        <f>IF(_xlfn.MINIFS('CONTROLE PRODUÇÃO POR EMPRESAS'!$A$6:$A$490,'CONTROLE PRODUÇÃO POR EMPRESAS'!$BD$6:$BD$490,"&gt;0")=0,"",_xlfn.MINIFS('CONTROLE PRODUÇÃO POR EMPRESAS'!$A$6:$A$490,'CONTROLE PRODUÇÃO POR EMPRESAS'!$BD$6:$BD$490,"&gt;0"))</f>
        <v/>
      </c>
      <c r="E33" s="199">
        <f>IF(OR(B33="",Q33="",R33=""),"",ROUNDUP(B33/NETWORKDAYS.INTL(Q33,R33,IF(F33=5,"0000011",IF(F33=6,"0000001","0000000"))),1))</f>
        <v/>
      </c>
      <c r="F33" s="202" t="n">
        <v>5</v>
      </c>
      <c r="G33" s="203">
        <f>IF(OR(E33="",F33=""),"",E33*F33)</f>
        <v/>
      </c>
      <c r="H33" s="329">
        <f>IF(OR(B33="",C33="",E33="",N(E33)&lt;=0),"",WORKDAY.INTL(C33-1,ROUNDUP(B33/E33,0),IF(F33=5,"0000011",IF(F33=6,"0000001","0000000"))))</f>
        <v/>
      </c>
      <c r="I33" s="198" t="n"/>
      <c r="J33" s="198" t="n"/>
      <c r="K33" s="81">
        <f>IF(OR(B33="",C33="",E33=""),"PENDENTE","CONFIGURADO")</f>
        <v/>
      </c>
      <c r="L33" s="199" t="n">
        <v>1</v>
      </c>
      <c r="M33" s="328">
        <f>IF(R33="","",R33)</f>
        <v/>
      </c>
      <c r="N33" s="81" t="inlineStr">
        <is>
          <t>REFEITÓRIO</t>
        </is>
      </c>
      <c r="O33" s="81" t="n">
        <v>65</v>
      </c>
      <c r="P33" s="198" t="inlineStr">
        <is>
          <t>MONTAGEM DE VIGAS E TERÇAS METÁLICAS – REFEITÓRIO</t>
        </is>
      </c>
      <c r="Q33" s="329" t="n">
        <v>46294</v>
      </c>
      <c r="R33" s="329" t="n">
        <v>46302</v>
      </c>
      <c r="S33" s="198" t="n"/>
      <c r="T33" s="81">
        <f>'ESCOPO POR EMPRESA'!C33</f>
        <v/>
      </c>
      <c r="U33" s="81">
        <f>'ESCOPO POR EMPRESA'!S33</f>
        <v/>
      </c>
      <c r="V33" s="81" t="n">
        <v>56</v>
      </c>
    </row>
    <row r="34">
      <c r="A34" s="62" t="inlineStr">
        <is>
          <t>REFEITÓRIO – CALHAS</t>
        </is>
      </c>
      <c r="B34" s="199" t="n"/>
      <c r="C34" s="328" t="n">
        <v>46303</v>
      </c>
      <c r="D34" s="329">
        <f>IF(_xlfn.MINIFS('CONTROLE PRODUÇÃO POR EMPRESAS'!$A$6:$A$490,'CONTROLE PRODUÇÃO POR EMPRESAS'!$BE$6:$BE$490,"&gt;0")=0,"",_xlfn.MINIFS('CONTROLE PRODUÇÃO POR EMPRESAS'!$A$6:$A$490,'CONTROLE PRODUÇÃO POR EMPRESAS'!$BE$6:$BE$490,"&gt;0"))</f>
        <v/>
      </c>
      <c r="E34" s="199">
        <f>IF(OR(B34="",Q34="",R34=""),"",ROUNDUP(B34/NETWORKDAYS.INTL(Q34,R34,IF(F34=5,"0000011",IF(F34=6,"0000001","0000000"))),1))</f>
        <v/>
      </c>
      <c r="F34" s="202" t="n">
        <v>5</v>
      </c>
      <c r="G34" s="203">
        <f>IF(OR(E34="",F34=""),"",E34*F34)</f>
        <v/>
      </c>
      <c r="H34" s="329">
        <f>IF(OR(B34="",C34="",E34="",N(E34)&lt;=0),"",WORKDAY.INTL(C34-1,ROUNDUP(B34/E34,0),IF(F34=5,"0000011",IF(F34=6,"0000001","0000000"))))</f>
        <v/>
      </c>
      <c r="I34" s="198" t="n"/>
      <c r="J34" s="198" t="n"/>
      <c r="K34" s="81">
        <f>IF(OR(B34="",C34="",E34=""),"PENDENTE","CONFIGURADO")</f>
        <v/>
      </c>
      <c r="L34" s="199" t="n">
        <v>1</v>
      </c>
      <c r="M34" s="328">
        <f>IF(R34="","",R34)</f>
        <v/>
      </c>
      <c r="N34" s="81" t="inlineStr">
        <is>
          <t>REFEITÓRIO</t>
        </is>
      </c>
      <c r="O34" s="81" t="n">
        <v>66</v>
      </c>
      <c r="P34" s="198" t="inlineStr">
        <is>
          <t>MONTAGEM DE CALHAS METÁLICAS – REFEITÓRIO</t>
        </is>
      </c>
      <c r="Q34" s="329" t="n">
        <v>46303</v>
      </c>
      <c r="R34" s="329" t="n">
        <v>46309</v>
      </c>
      <c r="S34" s="198" t="n"/>
      <c r="T34" s="81">
        <f>'ESCOPO POR EMPRESA'!C34</f>
        <v/>
      </c>
      <c r="U34" s="81">
        <f>'ESCOPO POR EMPRESA'!S34</f>
        <v/>
      </c>
      <c r="V34" s="81" t="n">
        <v>57</v>
      </c>
    </row>
    <row r="35">
      <c r="A35" s="62" t="inlineStr">
        <is>
          <t>REFEITÓRIO – TELHAS</t>
        </is>
      </c>
      <c r="B35" s="199" t="n"/>
      <c r="C35" s="328" t="n">
        <v>46304</v>
      </c>
      <c r="D35" s="329">
        <f>IF(_xlfn.MINIFS('CONTROLE PRODUÇÃO POR EMPRESAS'!$A$6:$A$490,'CONTROLE PRODUÇÃO POR EMPRESAS'!$BF$6:$BF$490,"&gt;0")=0,"",_xlfn.MINIFS('CONTROLE PRODUÇÃO POR EMPRESAS'!$A$6:$A$490,'CONTROLE PRODUÇÃO POR EMPRESAS'!$BF$6:$BF$490,"&gt;0"))</f>
        <v/>
      </c>
      <c r="E35" s="199">
        <f>IF(OR(B35="",Q35="",R35=""),"",ROUNDUP(B35/NETWORKDAYS.INTL(Q35,R35,IF(F35=5,"0000011",IF(F35=6,"0000001","0000000"))),1))</f>
        <v/>
      </c>
      <c r="F35" s="202" t="n">
        <v>5</v>
      </c>
      <c r="G35" s="203">
        <f>IF(OR(E35="",F35=""),"",E35*F35)</f>
        <v/>
      </c>
      <c r="H35" s="329">
        <f>IF(OR(B35="",C35="",E35="",N(E35)&lt;=0),"",WORKDAY.INTL(C35-1,ROUNDUP(B35/E35,0),IF(F35=5,"0000011",IF(F35=6,"0000001","0000000"))))</f>
        <v/>
      </c>
      <c r="I35" s="198" t="n"/>
      <c r="J35" s="198" t="n"/>
      <c r="K35" s="81">
        <f>IF(OR(B35="",C35="",E35=""),"PENDENTE","CONFIGURADO")</f>
        <v/>
      </c>
      <c r="L35" s="199" t="n">
        <v>1</v>
      </c>
      <c r="M35" s="328">
        <f>IF(R35="","",R35)</f>
        <v/>
      </c>
      <c r="N35" s="81" t="inlineStr">
        <is>
          <t>REFEITÓRIO</t>
        </is>
      </c>
      <c r="O35" s="81" t="n">
        <v>67</v>
      </c>
      <c r="P35" s="198" t="inlineStr">
        <is>
          <t>MONTAGEM DE TELHAS METÁLICAS – REFEITÓRIO</t>
        </is>
      </c>
      <c r="Q35" s="329" t="n">
        <v>46304</v>
      </c>
      <c r="R35" s="329" t="n">
        <v>46316</v>
      </c>
      <c r="S35" s="198" t="n"/>
      <c r="T35" s="81">
        <f>'ESCOPO POR EMPRESA'!C35</f>
        <v/>
      </c>
      <c r="U35" s="81">
        <f>'ESCOPO POR EMPRESA'!S35</f>
        <v/>
      </c>
      <c r="V35" s="81" t="n">
        <v>58</v>
      </c>
    </row>
    <row r="36">
      <c r="A36" s="62" t="inlineStr">
        <is>
          <t>REFEITÓRIO – RUFOS E ARREMATES</t>
        </is>
      </c>
      <c r="B36" s="199" t="n"/>
      <c r="C36" s="328" t="n">
        <v>46349</v>
      </c>
      <c r="D36" s="329">
        <f>IF(_xlfn.MINIFS('CONTROLE PRODUÇÃO POR EMPRESAS'!$A$6:$A$490,'CONTROLE PRODUÇÃO POR EMPRESAS'!$BG$6:$BG$490,"&gt;0")=0,"",_xlfn.MINIFS('CONTROLE PRODUÇÃO POR EMPRESAS'!$A$6:$A$490,'CONTROLE PRODUÇÃO POR EMPRESAS'!$BG$6:$BG$490,"&gt;0"))</f>
        <v/>
      </c>
      <c r="E36" s="199">
        <f>IF(OR(B36="",Q36="",R36=""),"",ROUNDUP(B36/NETWORKDAYS.INTL(Q36,R36,IF(F36=5,"0000011",IF(F36=6,"0000001","0000000"))),1))</f>
        <v/>
      </c>
      <c r="F36" s="202" t="n">
        <v>5</v>
      </c>
      <c r="G36" s="203">
        <f>IF(OR(E36="",F36=""),"",E36*F36)</f>
        <v/>
      </c>
      <c r="H36" s="329">
        <f>IF(OR(B36="",C36="",E36="",N(E36)&lt;=0),"",WORKDAY.INTL(C36-1,ROUNDUP(B36/E36,0),IF(F36=5,"0000011",IF(F36=6,"0000001","0000000"))))</f>
        <v/>
      </c>
      <c r="I36" s="198" t="n"/>
      <c r="J36" s="198" t="n"/>
      <c r="K36" s="81">
        <f>IF(OR(B36="",C36="",E36=""),"PENDENTE","CONFIGURADO")</f>
        <v/>
      </c>
      <c r="L36" s="199" t="n">
        <v>1</v>
      </c>
      <c r="M36" s="328">
        <f>IF(R36="","",R36)</f>
        <v/>
      </c>
      <c r="N36" s="81" t="inlineStr">
        <is>
          <t>REFEITÓRIO</t>
        </is>
      </c>
      <c r="O36" s="81" t="n">
        <v>68</v>
      </c>
      <c r="P36" s="198" t="inlineStr">
        <is>
          <t>MONTAGEM DE RUFOS E ARREMATES METÁLICOS – REFEITÓRIO</t>
        </is>
      </c>
      <c r="Q36" s="329" t="n">
        <v>46349</v>
      </c>
      <c r="R36" s="329" t="n">
        <v>46358</v>
      </c>
      <c r="S36" s="198" t="n"/>
      <c r="T36" s="81">
        <f>'ESCOPO POR EMPRESA'!C36</f>
        <v/>
      </c>
      <c r="U36" s="81">
        <f>'ESCOPO POR EMPRESA'!S36</f>
        <v/>
      </c>
      <c r="V36" s="81" t="n">
        <v>59</v>
      </c>
    </row>
    <row r="37">
      <c r="A37" s="62" t="inlineStr">
        <is>
          <t>VESTIÁRIO – VIGAS E TERÇAS</t>
        </is>
      </c>
      <c r="B37" s="199" t="n"/>
      <c r="C37" s="328" t="n">
        <v>46303</v>
      </c>
      <c r="D37" s="329">
        <f>IF(_xlfn.MINIFS('CONTROLE PRODUÇÃO POR EMPRESAS'!$A$6:$A$490,'CONTROLE PRODUÇÃO POR EMPRESAS'!$BH$6:$BH$490,"&gt;0")=0,"",_xlfn.MINIFS('CONTROLE PRODUÇÃO POR EMPRESAS'!$A$6:$A$490,'CONTROLE PRODUÇÃO POR EMPRESAS'!$BH$6:$BH$490,"&gt;0"))</f>
        <v/>
      </c>
      <c r="E37" s="199">
        <f>IF(OR(B37="",Q37="",R37=""),"",ROUNDUP(B37/NETWORKDAYS.INTL(Q37,R37,IF(F37=5,"0000011",IF(F37=6,"0000001","0000000"))),1))</f>
        <v/>
      </c>
      <c r="F37" s="202" t="n">
        <v>5</v>
      </c>
      <c r="G37" s="203">
        <f>IF(OR(E37="",F37=""),"",E37*F37)</f>
        <v/>
      </c>
      <c r="H37" s="329">
        <f>IF(OR(B37="",C37="",E37="",N(E37)&lt;=0),"",WORKDAY.INTL(C37-1,ROUNDUP(B37/E37,0),IF(F37=5,"0000011",IF(F37=6,"0000001","0000000"))))</f>
        <v/>
      </c>
      <c r="I37" s="198" t="n"/>
      <c r="J37" s="198" t="n"/>
      <c r="K37" s="81">
        <f>IF(OR(B37="",C37="",E37=""),"PENDENTE","CONFIGURADO")</f>
        <v/>
      </c>
      <c r="L37" s="199" t="n">
        <v>1</v>
      </c>
      <c r="M37" s="328">
        <f>IF(R37="","",R37)</f>
        <v/>
      </c>
      <c r="N37" s="81" t="inlineStr">
        <is>
          <t>VESTIÁRIO</t>
        </is>
      </c>
      <c r="O37" s="81" t="n">
        <v>75</v>
      </c>
      <c r="P37" s="198" t="inlineStr">
        <is>
          <t>MONTAGEM DE VIGAS E TERÇAS METÁLICAS – VESTIÁRIO</t>
        </is>
      </c>
      <c r="Q37" s="329" t="n">
        <v>46303</v>
      </c>
      <c r="R37" s="329" t="n">
        <v>46310</v>
      </c>
      <c r="S37" s="198" t="n"/>
      <c r="T37" s="81">
        <f>'ESCOPO POR EMPRESA'!C37</f>
        <v/>
      </c>
      <c r="U37" s="81">
        <f>'ESCOPO POR EMPRESA'!S37</f>
        <v/>
      </c>
      <c r="V37" s="81" t="n">
        <v>60</v>
      </c>
    </row>
    <row r="38">
      <c r="A38" s="62" t="inlineStr">
        <is>
          <t>VESTIÁRIO – CALHAS</t>
        </is>
      </c>
      <c r="B38" s="199" t="n"/>
      <c r="C38" s="328" t="n">
        <v>46311</v>
      </c>
      <c r="D38" s="329">
        <f>IF(_xlfn.MINIFS('CONTROLE PRODUÇÃO POR EMPRESAS'!$A$6:$A$490,'CONTROLE PRODUÇÃO POR EMPRESAS'!$BI$6:$BI$490,"&gt;0")=0,"",_xlfn.MINIFS('CONTROLE PRODUÇÃO POR EMPRESAS'!$A$6:$A$490,'CONTROLE PRODUÇÃO POR EMPRESAS'!$BI$6:$BI$490,"&gt;0"))</f>
        <v/>
      </c>
      <c r="E38" s="199">
        <f>IF(OR(B38="",Q38="",R38=""),"",ROUNDUP(B38/NETWORKDAYS.INTL(Q38,R38,IF(F38=5,"0000011",IF(F38=6,"0000001","0000000"))),1))</f>
        <v/>
      </c>
      <c r="F38" s="202" t="n">
        <v>5</v>
      </c>
      <c r="G38" s="203">
        <f>IF(OR(E38="",F38=""),"",E38*F38)</f>
        <v/>
      </c>
      <c r="H38" s="329">
        <f>IF(OR(B38="",C38="",E38="",N(E38)&lt;=0),"",WORKDAY.INTL(C38-1,ROUNDUP(B38/E38,0),IF(F38=5,"0000011",IF(F38=6,"0000001","0000000"))))</f>
        <v/>
      </c>
      <c r="I38" s="198" t="n"/>
      <c r="J38" s="198" t="n"/>
      <c r="K38" s="81">
        <f>IF(OR(B38="",C38="",E38=""),"PENDENTE","CONFIGURADO")</f>
        <v/>
      </c>
      <c r="L38" s="199" t="n">
        <v>1</v>
      </c>
      <c r="M38" s="328">
        <f>IF(R38="","",R38)</f>
        <v/>
      </c>
      <c r="N38" s="81" t="inlineStr">
        <is>
          <t>VESTIÁRIO</t>
        </is>
      </c>
      <c r="O38" s="81" t="n">
        <v>76</v>
      </c>
      <c r="P38" s="198" t="inlineStr">
        <is>
          <t>MONTAGEM DE CALHAS METÁLICAS – VESTIÁRIO</t>
        </is>
      </c>
      <c r="Q38" s="329" t="n">
        <v>46311</v>
      </c>
      <c r="R38" s="329" t="n">
        <v>46315</v>
      </c>
      <c r="S38" s="198" t="n"/>
      <c r="T38" s="81">
        <f>'ESCOPO POR EMPRESA'!C38</f>
        <v/>
      </c>
      <c r="U38" s="81">
        <f>'ESCOPO POR EMPRESA'!S38</f>
        <v/>
      </c>
      <c r="V38" s="81" t="n">
        <v>61</v>
      </c>
    </row>
    <row r="39">
      <c r="A39" s="62" t="inlineStr">
        <is>
          <t>VESTIÁRIO – TELHAS</t>
        </is>
      </c>
      <c r="B39" s="199" t="n"/>
      <c r="C39" s="328" t="n">
        <v>46316</v>
      </c>
      <c r="D39" s="329">
        <f>IF(_xlfn.MINIFS('CONTROLE PRODUÇÃO POR EMPRESAS'!$A$6:$A$490,'CONTROLE PRODUÇÃO POR EMPRESAS'!$BJ$6:$BJ$490,"&gt;0")=0,"",_xlfn.MINIFS('CONTROLE PRODUÇÃO POR EMPRESAS'!$A$6:$A$490,'CONTROLE PRODUÇÃO POR EMPRESAS'!$BJ$6:$BJ$490,"&gt;0"))</f>
        <v/>
      </c>
      <c r="E39" s="199">
        <f>IF(OR(B39="",Q39="",R39=""),"",ROUNDUP(B39/NETWORKDAYS.INTL(Q39,R39,IF(F39=5,"0000011",IF(F39=6,"0000001","0000000"))),1))</f>
        <v/>
      </c>
      <c r="F39" s="202" t="n">
        <v>5</v>
      </c>
      <c r="G39" s="203">
        <f>IF(OR(E39="",F39=""),"",E39*F39)</f>
        <v/>
      </c>
      <c r="H39" s="329">
        <f>IF(OR(B39="",C39="",E39="",N(E39)&lt;=0),"",WORKDAY.INTL(C39-1,ROUNDUP(B39/E39,0),IF(F39=5,"0000011",IF(F39=6,"0000001","0000000"))))</f>
        <v/>
      </c>
      <c r="I39" s="198" t="n"/>
      <c r="J39" s="198" t="n"/>
      <c r="K39" s="81">
        <f>IF(OR(B39="",C39="",E39=""),"PENDENTE","CONFIGURADO")</f>
        <v/>
      </c>
      <c r="L39" s="199" t="n">
        <v>1</v>
      </c>
      <c r="M39" s="328">
        <f>IF(R39="","",R39)</f>
        <v/>
      </c>
      <c r="N39" s="81" t="inlineStr">
        <is>
          <t>VESTIÁRIO</t>
        </is>
      </c>
      <c r="O39" s="81" t="n">
        <v>77</v>
      </c>
      <c r="P39" s="198" t="inlineStr">
        <is>
          <t>MONTAGEM DE TELHAS METÁLICAS – VESTIÁRIO</t>
        </is>
      </c>
      <c r="Q39" s="329" t="n">
        <v>46316</v>
      </c>
      <c r="R39" s="329" t="n">
        <v>46332</v>
      </c>
      <c r="S39" s="198" t="n"/>
      <c r="T39" s="81">
        <f>'ESCOPO POR EMPRESA'!C39</f>
        <v/>
      </c>
      <c r="U39" s="81">
        <f>'ESCOPO POR EMPRESA'!S39</f>
        <v/>
      </c>
      <c r="V39" s="81" t="n">
        <v>62</v>
      </c>
    </row>
    <row r="40">
      <c r="A40" s="62" t="inlineStr">
        <is>
          <t>VESTIÁRIO – RUFOS E ARREMATES</t>
        </is>
      </c>
      <c r="B40" s="199" t="n"/>
      <c r="C40" s="328" t="n">
        <v>46364</v>
      </c>
      <c r="D40" s="329">
        <f>IF(_xlfn.MINIFS('CONTROLE PRODUÇÃO POR EMPRESAS'!$A$6:$A$490,'CONTROLE PRODUÇÃO POR EMPRESAS'!$BK$6:$BK$490,"&gt;0")=0,"",_xlfn.MINIFS('CONTROLE PRODUÇÃO POR EMPRESAS'!$A$6:$A$490,'CONTROLE PRODUÇÃO POR EMPRESAS'!$BK$6:$BK$490,"&gt;0"))</f>
        <v/>
      </c>
      <c r="E40" s="199">
        <f>IF(OR(B40="",Q40="",R40=""),"",ROUNDUP(B40/NETWORKDAYS.INTL(Q40,R40,IF(F40=5,"0000011",IF(F40=6,"0000001","0000000"))),1))</f>
        <v/>
      </c>
      <c r="F40" s="202" t="n">
        <v>5</v>
      </c>
      <c r="G40" s="203">
        <f>IF(OR(E40="",F40=""),"",E40*F40)</f>
        <v/>
      </c>
      <c r="H40" s="329">
        <f>IF(OR(B40="",C40="",E40="",N(E40)&lt;=0),"",WORKDAY.INTL(C40-1,ROUNDUP(B40/E40,0),IF(F40=5,"0000011",IF(F40=6,"0000001","0000000"))))</f>
        <v/>
      </c>
      <c r="I40" s="198" t="n"/>
      <c r="J40" s="198" t="n"/>
      <c r="K40" s="81">
        <f>IF(OR(B40="",C40="",E40=""),"PENDENTE","CONFIGURADO")</f>
        <v/>
      </c>
      <c r="L40" s="199" t="n">
        <v>1</v>
      </c>
      <c r="M40" s="328">
        <f>IF(R40="","",R40)</f>
        <v/>
      </c>
      <c r="N40" s="81" t="inlineStr">
        <is>
          <t>VESTIÁRIO</t>
        </is>
      </c>
      <c r="O40" s="81" t="n">
        <v>78</v>
      </c>
      <c r="P40" s="198" t="inlineStr">
        <is>
          <t>RUFOS E ARREMATES METÁLICOS – VESTIÁRIO</t>
        </is>
      </c>
      <c r="Q40" s="329" t="n">
        <v>46364</v>
      </c>
      <c r="R40" s="329" t="n">
        <v>46377</v>
      </c>
      <c r="S40" s="198" t="n"/>
      <c r="T40" s="81">
        <f>'ESCOPO POR EMPRESA'!C40</f>
        <v/>
      </c>
      <c r="U40" s="81">
        <f>'ESCOPO POR EMPRESA'!S40</f>
        <v/>
      </c>
      <c r="V40" s="81" t="n">
        <v>63</v>
      </c>
    </row>
    <row r="41">
      <c r="A41" s="62" t="inlineStr">
        <is>
          <t>COB. PEDESTRES – PILARES</t>
        </is>
      </c>
      <c r="B41" s="199" t="n"/>
      <c r="C41" s="328" t="n">
        <v>46311</v>
      </c>
      <c r="D41" s="329">
        <f>IF(_xlfn.MINIFS('CONTROLE PRODUÇÃO POR EMPRESAS'!$A$6:$A$490,'CONTROLE PRODUÇÃO POR EMPRESAS'!$BL$6:$BL$490,"&gt;0")=0,"",_xlfn.MINIFS('CONTROLE PRODUÇÃO POR EMPRESAS'!$A$6:$A$490,'CONTROLE PRODUÇÃO POR EMPRESAS'!$BL$6:$BL$490,"&gt;0"))</f>
        <v/>
      </c>
      <c r="E41" s="199">
        <f>IF(OR(B41="",Q41="",R41=""),"",ROUNDUP(B41/NETWORKDAYS.INTL(Q41,R41,IF(F41=5,"0000011",IF(F41=6,"0000001","0000000"))),1))</f>
        <v/>
      </c>
      <c r="F41" s="202" t="n">
        <v>5</v>
      </c>
      <c r="G41" s="203">
        <f>IF(OR(E41="",F41=""),"",E41*F41)</f>
        <v/>
      </c>
      <c r="H41" s="329">
        <f>IF(OR(B41="",C41="",E41="",N(E41)&lt;=0),"",WORKDAY.INTL(C41-1,ROUNDUP(B41/E41,0),IF(F41=5,"0000011",IF(F41=6,"0000001","0000000"))))</f>
        <v/>
      </c>
      <c r="I41" s="198" t="n"/>
      <c r="J41" s="198" t="n"/>
      <c r="K41" s="81">
        <f>IF(OR(B41="",C41="",E41=""),"PENDENTE","CONFIGURADO")</f>
        <v/>
      </c>
      <c r="L41" s="199" t="n">
        <v>1</v>
      </c>
      <c r="M41" s="328">
        <f>IF(R41="","",R41)</f>
        <v/>
      </c>
      <c r="N41" s="81" t="inlineStr">
        <is>
          <t>COB. PEDESTRES / ESTAC. ÔNIBUS</t>
        </is>
      </c>
      <c r="O41" s="81" t="n">
        <v>86</v>
      </c>
      <c r="P41" s="198" t="inlineStr">
        <is>
          <t>MONTAGEM DE PILARES METÁLICOS – COBERTURA DE PEDESTRES / ESTAC. ÔNIBUS</t>
        </is>
      </c>
      <c r="Q41" s="329" t="n">
        <v>46311</v>
      </c>
      <c r="R41" s="329" t="n">
        <v>46336</v>
      </c>
      <c r="S41" s="198" t="n"/>
      <c r="T41" s="81">
        <f>'ESCOPO POR EMPRESA'!C41</f>
        <v/>
      </c>
      <c r="U41" s="81">
        <f>'ESCOPO POR EMPRESA'!S41</f>
        <v/>
      </c>
      <c r="V41" s="81" t="n">
        <v>64</v>
      </c>
    </row>
    <row r="42">
      <c r="A42" s="62" t="inlineStr">
        <is>
          <t>COB. PEDESTRES – VIGAS E TERÇAS</t>
        </is>
      </c>
      <c r="B42" s="199" t="n"/>
      <c r="C42" s="328" t="n">
        <v>46318</v>
      </c>
      <c r="D42" s="329">
        <f>IF(_xlfn.MINIFS('CONTROLE PRODUÇÃO POR EMPRESAS'!$A$6:$A$490,'CONTROLE PRODUÇÃO POR EMPRESAS'!$BM$6:$BM$490,"&gt;0")=0,"",_xlfn.MINIFS('CONTROLE PRODUÇÃO POR EMPRESAS'!$A$6:$A$490,'CONTROLE PRODUÇÃO POR EMPRESAS'!$BM$6:$BM$490,"&gt;0"))</f>
        <v/>
      </c>
      <c r="E42" s="199">
        <f>IF(OR(B42="",Q42="",R42=""),"",ROUNDUP(B42/NETWORKDAYS.INTL(Q42,R42,IF(F42=5,"0000011",IF(F42=6,"0000001","0000000"))),1))</f>
        <v/>
      </c>
      <c r="F42" s="202" t="n">
        <v>5</v>
      </c>
      <c r="G42" s="203">
        <f>IF(OR(E42="",F42=""),"",E42*F42)</f>
        <v/>
      </c>
      <c r="H42" s="329">
        <f>IF(OR(B42="",C42="",E42="",N(E42)&lt;=0),"",WORKDAY.INTL(C42-1,ROUNDUP(B42/E42,0),IF(F42=5,"0000011",IF(F42=6,"0000001","0000000"))))</f>
        <v/>
      </c>
      <c r="I42" s="198" t="n"/>
      <c r="J42" s="198" t="n"/>
      <c r="K42" s="81">
        <f>IF(OR(B42="",C42="",E42=""),"PENDENTE","CONFIGURADO")</f>
        <v/>
      </c>
      <c r="L42" s="199" t="n">
        <v>1</v>
      </c>
      <c r="M42" s="328">
        <f>IF(R42="","",R42)</f>
        <v/>
      </c>
      <c r="N42" s="81" t="inlineStr">
        <is>
          <t>COB. PEDESTRES / ESTAC. ÔNIBUS</t>
        </is>
      </c>
      <c r="O42" s="81" t="n">
        <v>87</v>
      </c>
      <c r="P42" s="198" t="inlineStr">
        <is>
          <t>MONTAGEM DE VIGAS E TERÇAS METÁLICAS – COBERTURA DE PEDESTRES / ESTAC. ÔNIBUS</t>
        </is>
      </c>
      <c r="Q42" s="329" t="n">
        <v>46318</v>
      </c>
      <c r="R42" s="329" t="n">
        <v>46343</v>
      </c>
      <c r="S42" s="198" t="n"/>
      <c r="T42" s="81">
        <f>'ESCOPO POR EMPRESA'!C42</f>
        <v/>
      </c>
      <c r="U42" s="81">
        <f>'ESCOPO POR EMPRESA'!S42</f>
        <v/>
      </c>
      <c r="V42" s="81" t="n">
        <v>65</v>
      </c>
    </row>
    <row r="43">
      <c r="A43" s="62" t="inlineStr">
        <is>
          <t>COB. PEDESTRES – TELHAS</t>
        </is>
      </c>
      <c r="B43" s="199" t="n"/>
      <c r="C43" s="328" t="n">
        <v>46342</v>
      </c>
      <c r="D43" s="329">
        <f>IF(_xlfn.MINIFS('CONTROLE PRODUÇÃO POR EMPRESAS'!$A$6:$A$490,'CONTROLE PRODUÇÃO POR EMPRESAS'!$BN$6:$BN$490,"&gt;0")=0,"",_xlfn.MINIFS('CONTROLE PRODUÇÃO POR EMPRESAS'!$A$6:$A$490,'CONTROLE PRODUÇÃO POR EMPRESAS'!$BN$6:$BN$490,"&gt;0"))</f>
        <v/>
      </c>
      <c r="E43" s="199">
        <f>IF(OR(B43="",Q43="",R43=""),"",ROUNDUP(B43/NETWORKDAYS.INTL(Q43,R43,IF(F43=5,"0000011",IF(F43=6,"0000001","0000000"))),1))</f>
        <v/>
      </c>
      <c r="F43" s="202" t="n">
        <v>5</v>
      </c>
      <c r="G43" s="203">
        <f>IF(OR(E43="",F43=""),"",E43*F43)</f>
        <v/>
      </c>
      <c r="H43" s="329">
        <f>IF(OR(B43="",C43="",E43="",N(E43)&lt;=0),"",WORKDAY.INTL(C43-1,ROUNDUP(B43/E43,0),IF(F43=5,"0000011",IF(F43=6,"0000001","0000000"))))</f>
        <v/>
      </c>
      <c r="I43" s="198" t="n"/>
      <c r="J43" s="198" t="n"/>
      <c r="K43" s="81">
        <f>IF(OR(B43="",C43="",E43=""),"PENDENTE","CONFIGURADO")</f>
        <v/>
      </c>
      <c r="L43" s="199" t="n">
        <v>1</v>
      </c>
      <c r="M43" s="328">
        <f>IF(R43="","",R43)</f>
        <v/>
      </c>
      <c r="N43" s="81" t="inlineStr">
        <is>
          <t>COB. PEDESTRES / ESTAC. ÔNIBUS</t>
        </is>
      </c>
      <c r="O43" s="81" t="n">
        <v>88</v>
      </c>
      <c r="P43" s="198" t="inlineStr">
        <is>
          <t>MONTAGEM DE TELHAS METÁLICAS – COBERTURA DE PEDESTRES / ESTAC. ÔNIBUS</t>
        </is>
      </c>
      <c r="Q43" s="329" t="n">
        <v>46342</v>
      </c>
      <c r="R43" s="329" t="n">
        <v>46365</v>
      </c>
      <c r="S43" s="198" t="n"/>
      <c r="T43" s="81">
        <f>'ESCOPO POR EMPRESA'!C43</f>
        <v/>
      </c>
      <c r="U43" s="81">
        <f>'ESCOPO POR EMPRESA'!S43</f>
        <v/>
      </c>
      <c r="V43" s="81" t="n">
        <v>66</v>
      </c>
    </row>
    <row r="44">
      <c r="A44" s="62" t="inlineStr">
        <is>
          <t>COB. PEDESTRES – CALHAS E DESCIDAS</t>
        </is>
      </c>
      <c r="B44" s="199" t="n"/>
      <c r="C44" s="328" t="n">
        <v>46353</v>
      </c>
      <c r="D44" s="329">
        <f>IF(_xlfn.MINIFS('CONTROLE PRODUÇÃO POR EMPRESAS'!$A$6:$A$490,'CONTROLE PRODUÇÃO POR EMPRESAS'!$BO$6:$BO$490,"&gt;0")=0,"",_xlfn.MINIFS('CONTROLE PRODUÇÃO POR EMPRESAS'!$A$6:$A$490,'CONTROLE PRODUÇÃO POR EMPRESAS'!$BO$6:$BO$490,"&gt;0"))</f>
        <v/>
      </c>
      <c r="E44" s="199">
        <f>IF(OR(B44="",Q44="",R44=""),"",ROUNDUP(B44/NETWORKDAYS.INTL(Q44,R44,IF(F44=5,"0000011",IF(F44=6,"0000001","0000000"))),1))</f>
        <v/>
      </c>
      <c r="F44" s="202" t="n">
        <v>5</v>
      </c>
      <c r="G44" s="203">
        <f>IF(OR(E44="",F44=""),"",E44*F44)</f>
        <v/>
      </c>
      <c r="H44" s="329">
        <f>IF(OR(B44="",C44="",E44="",N(E44)&lt;=0),"",WORKDAY.INTL(C44-1,ROUNDUP(B44/E44,0),IF(F44=5,"0000011",IF(F44=6,"0000001","0000000"))))</f>
        <v/>
      </c>
      <c r="I44" s="198" t="n"/>
      <c r="J44" s="198" t="n"/>
      <c r="K44" s="81">
        <f>IF(OR(B44="",C44="",E44=""),"PENDENTE","CONFIGURADO")</f>
        <v/>
      </c>
      <c r="L44" s="199" t="n">
        <v>1</v>
      </c>
      <c r="M44" s="328">
        <f>IF(R44="","",R44)</f>
        <v/>
      </c>
      <c r="N44" s="81" t="inlineStr">
        <is>
          <t>COB. PEDESTRES / ESTAC. ÔNIBUS</t>
        </is>
      </c>
      <c r="O44" s="81" t="n">
        <v>89</v>
      </c>
      <c r="P44" s="198" t="inlineStr">
        <is>
          <t>INSTALAÇÃO DE CALHAS E DESCIDAS PLUVIAIS – COBERTURA DE PEDESTRES / ESTAC. ÔNIBUS</t>
        </is>
      </c>
      <c r="Q44" s="329" t="n">
        <v>46353</v>
      </c>
      <c r="R44" s="329" t="n">
        <v>46370</v>
      </c>
      <c r="S44" s="198" t="n"/>
      <c r="T44" s="81">
        <f>'ESCOPO POR EMPRESA'!C44</f>
        <v/>
      </c>
      <c r="U44" s="81">
        <f>'ESCOPO POR EMPRESA'!S44</f>
        <v/>
      </c>
      <c r="V44" s="81" t="n">
        <v>67</v>
      </c>
    </row>
    <row r="45">
      <c r="A45" s="62" t="inlineStr">
        <is>
          <t>COB. PEDESTRES – TESTEIRA</t>
        </is>
      </c>
      <c r="B45" s="199" t="n"/>
      <c r="C45" s="328" t="n">
        <v>46353</v>
      </c>
      <c r="D45" s="329">
        <f>IF(_xlfn.MINIFS('CONTROLE PRODUÇÃO POR EMPRESAS'!$A$6:$A$490,'CONTROLE PRODUÇÃO POR EMPRESAS'!$BP$6:$BP$490,"&gt;0")=0,"",_xlfn.MINIFS('CONTROLE PRODUÇÃO POR EMPRESAS'!$A$6:$A$490,'CONTROLE PRODUÇÃO POR EMPRESAS'!$BP$6:$BP$490,"&gt;0"))</f>
        <v/>
      </c>
      <c r="E45" s="199">
        <f>IF(OR(B45="",Q45="",R45=""),"",ROUNDUP(B45/NETWORKDAYS.INTL(Q45,R45,IF(F45=5,"0000011",IF(F45=6,"0000001","0000000"))),1))</f>
        <v/>
      </c>
      <c r="F45" s="202" t="n">
        <v>5</v>
      </c>
      <c r="G45" s="203">
        <f>IF(OR(E45="",F45=""),"",E45*F45)</f>
        <v/>
      </c>
      <c r="H45" s="329">
        <f>IF(OR(B45="",C45="",E45="",N(E45)&lt;=0),"",WORKDAY.INTL(C45-1,ROUNDUP(B45/E45,0),IF(F45=5,"0000011",IF(F45=6,"0000001","0000000"))))</f>
        <v/>
      </c>
      <c r="I45" s="198" t="n"/>
      <c r="J45" s="198" t="n"/>
      <c r="K45" s="81">
        <f>IF(OR(B45="",C45="",E45=""),"PENDENTE","CONFIGURADO")</f>
        <v/>
      </c>
      <c r="L45" s="199" t="n">
        <v>1</v>
      </c>
      <c r="M45" s="328">
        <f>IF(R45="","",R45)</f>
        <v/>
      </c>
      <c r="N45" s="81" t="inlineStr">
        <is>
          <t>COB. PEDESTRES / ESTAC. ÔNIBUS</t>
        </is>
      </c>
      <c r="O45" s="81" t="n">
        <v>90</v>
      </c>
      <c r="P45" s="198" t="inlineStr">
        <is>
          <t>INSTALAÇÃO DE TESTEIRA METÁLICA – COBERTURA DE PEDESTRES / ESTAC. ÔNIBUS</t>
        </is>
      </c>
      <c r="Q45" s="329" t="n">
        <v>46353</v>
      </c>
      <c r="R45" s="329" t="n">
        <v>46370</v>
      </c>
      <c r="S45" s="198" t="n"/>
      <c r="T45" s="81">
        <f>'ESCOPO POR EMPRESA'!C45</f>
        <v/>
      </c>
      <c r="U45" s="81">
        <f>'ESCOPO POR EMPRESA'!S45</f>
        <v/>
      </c>
      <c r="V45" s="81" t="n">
        <v>68</v>
      </c>
    </row>
    <row r="46">
      <c r="A46" s="62" t="inlineStr">
        <is>
          <t>COB. PEDESTRES – COBERTURA ÁREA VIVÊNCIA</t>
        </is>
      </c>
      <c r="B46" s="199" t="n"/>
      <c r="C46" s="328" t="n">
        <v>46344</v>
      </c>
      <c r="D46" s="329">
        <f>IF(_xlfn.MINIFS('CONTROLE PRODUÇÃO POR EMPRESAS'!$A$6:$A$490,'CONTROLE PRODUÇÃO POR EMPRESAS'!$BQ$6:$BQ$490,"&gt;0")=0,"",_xlfn.MINIFS('CONTROLE PRODUÇÃO POR EMPRESAS'!$A$6:$A$490,'CONTROLE PRODUÇÃO POR EMPRESAS'!$BQ$6:$BQ$490,"&gt;0"))</f>
        <v/>
      </c>
      <c r="E46" s="199">
        <f>IF(OR(B46="",Q46="",R46=""),"",ROUNDUP(B46/NETWORKDAYS.INTL(Q46,R46,IF(F46=5,"0000011",IF(F46=6,"0000001","0000000"))),1))</f>
        <v/>
      </c>
      <c r="F46" s="202" t="n">
        <v>5</v>
      </c>
      <c r="G46" s="203">
        <f>IF(OR(E46="",F46=""),"",E46*F46)</f>
        <v/>
      </c>
      <c r="H46" s="329">
        <f>IF(OR(B46="",C46="",E46="",N(E46)&lt;=0),"",WORKDAY.INTL(C46-1,ROUNDUP(B46/E46,0),IF(F46=5,"0000011",IF(F46=6,"0000001","0000000"))))</f>
        <v/>
      </c>
      <c r="I46" s="198" t="n"/>
      <c r="J46" s="198" t="n"/>
      <c r="K46" s="81">
        <f>IF(OR(B46="",C46="",E46=""),"PENDENTE","CONFIGURADO")</f>
        <v/>
      </c>
      <c r="L46" s="199" t="n">
        <v>1</v>
      </c>
      <c r="M46" s="328">
        <f>IF(R46="","",R46)</f>
        <v/>
      </c>
      <c r="N46" s="81" t="inlineStr">
        <is>
          <t>COB. PEDESTRES / ESTAC. ÔNIBUS</t>
        </is>
      </c>
      <c r="O46" s="81" t="n">
        <v>91</v>
      </c>
      <c r="P46" s="198" t="inlineStr">
        <is>
          <t>COBERTURA ÁREA DE VIVÊNCIA – COBERTURA DE PEDESTRES / ESTAC. ÔNIBUS</t>
        </is>
      </c>
      <c r="Q46" s="329" t="n">
        <v>46344</v>
      </c>
      <c r="R46" s="329" t="n">
        <v>46372</v>
      </c>
      <c r="S46" s="198" t="n"/>
      <c r="T46" s="81">
        <f>'ESCOPO POR EMPRESA'!C46</f>
        <v/>
      </c>
      <c r="U46" s="81">
        <f>'ESCOPO POR EMPRESA'!S46</f>
        <v/>
      </c>
      <c r="V46" s="81" t="n">
        <v>69</v>
      </c>
    </row>
    <row r="47">
      <c r="A47" s="62" t="inlineStr">
        <is>
          <t>COB. PRAÇA VIVÊNCIA – PILARES</t>
        </is>
      </c>
      <c r="B47" s="199" t="n"/>
      <c r="C47" s="328" t="n">
        <v>46338</v>
      </c>
      <c r="D47" s="329">
        <f>IF(_xlfn.MINIFS('CONTROLE PRODUÇÃO POR EMPRESAS'!$A$6:$A$490,'CONTROLE PRODUÇÃO POR EMPRESAS'!$BR$6:$BR$490,"&gt;0")=0,"",_xlfn.MINIFS('CONTROLE PRODUÇÃO POR EMPRESAS'!$A$6:$A$490,'CONTROLE PRODUÇÃO POR EMPRESAS'!$BR$6:$BR$490,"&gt;0"))</f>
        <v/>
      </c>
      <c r="E47" s="199">
        <f>IF(OR(B47="",Q47="",R47=""),"",ROUNDUP(B47/NETWORKDAYS.INTL(Q47,R47,IF(F47=5,"0000011",IF(F47=6,"0000001","0000000"))),1))</f>
        <v/>
      </c>
      <c r="F47" s="202" t="n">
        <v>5</v>
      </c>
      <c r="G47" s="203">
        <f>IF(OR(E47="",F47=""),"",E47*F47)</f>
        <v/>
      </c>
      <c r="H47" s="329">
        <f>IF(OR(B47="",C47="",E47="",N(E47)&lt;=0),"",WORKDAY.INTL(C47-1,ROUNDUP(B47/E47,0),IF(F47=5,"0000011",IF(F47=6,"0000001","0000000"))))</f>
        <v/>
      </c>
      <c r="I47" s="198" t="n"/>
      <c r="J47" s="198" t="n"/>
      <c r="K47" s="81">
        <f>IF(OR(B47="",C47="",E47=""),"PENDENTE","CONFIGURADO")</f>
        <v/>
      </c>
      <c r="L47" s="199" t="n">
        <v>1</v>
      </c>
      <c r="M47" s="328">
        <f>IF(R47="","",R47)</f>
        <v/>
      </c>
      <c r="N47" s="81" t="inlineStr">
        <is>
          <t>COB. PRAÇA / ÁREA DE VIVÊNCIA</t>
        </is>
      </c>
      <c r="O47" s="81" t="n">
        <v>98</v>
      </c>
      <c r="P47" s="198" t="inlineStr">
        <is>
          <t>MONTAGEM DE PILARES METÁLICOS – COBERTURA PRAÇA / ÁREA DE VIVÊNCIA</t>
        </is>
      </c>
      <c r="Q47" s="329" t="n">
        <v>46338</v>
      </c>
      <c r="R47" s="329" t="n">
        <v>46366</v>
      </c>
      <c r="S47" s="198" t="n"/>
      <c r="T47" s="81">
        <f>'ESCOPO POR EMPRESA'!C47</f>
        <v/>
      </c>
      <c r="U47" s="81">
        <f>'ESCOPO POR EMPRESA'!S47</f>
        <v/>
      </c>
      <c r="V47" s="81" t="n">
        <v>70</v>
      </c>
    </row>
    <row r="48">
      <c r="A48" s="62" t="inlineStr">
        <is>
          <t>COB. PRAÇA VIVÊNCIA – VIGAS E TERÇAS</t>
        </is>
      </c>
      <c r="B48" s="199" t="n"/>
      <c r="C48" s="328" t="n">
        <v>46344</v>
      </c>
      <c r="D48" s="329">
        <f>IF(_xlfn.MINIFS('CONTROLE PRODUÇÃO POR EMPRESAS'!$A$6:$A$490,'CONTROLE PRODUÇÃO POR EMPRESAS'!$BS$6:$BS$490,"&gt;0")=0,"",_xlfn.MINIFS('CONTROLE PRODUÇÃO POR EMPRESAS'!$A$6:$A$490,'CONTROLE PRODUÇÃO POR EMPRESAS'!$BS$6:$BS$490,"&gt;0"))</f>
        <v/>
      </c>
      <c r="E48" s="199">
        <f>IF(OR(B48="",Q48="",R48=""),"",ROUNDUP(B48/NETWORKDAYS.INTL(Q48,R48,IF(F48=5,"0000011",IF(F48=6,"0000001","0000000"))),1))</f>
        <v/>
      </c>
      <c r="F48" s="202" t="n">
        <v>5</v>
      </c>
      <c r="G48" s="203">
        <f>IF(OR(E48="",F48=""),"",E48*F48)</f>
        <v/>
      </c>
      <c r="H48" s="329">
        <f>IF(OR(B48="",C48="",E48="",N(E48)&lt;=0),"",WORKDAY.INTL(C48-1,ROUNDUP(B48/E48,0),IF(F48=5,"0000011",IF(F48=6,"0000001","0000000"))))</f>
        <v/>
      </c>
      <c r="I48" s="198" t="n"/>
      <c r="J48" s="198" t="n"/>
      <c r="K48" s="81">
        <f>IF(OR(B48="",C48="",E48=""),"PENDENTE","CONFIGURADO")</f>
        <v/>
      </c>
      <c r="L48" s="199" t="n">
        <v>1</v>
      </c>
      <c r="M48" s="328">
        <f>IF(R48="","",R48)</f>
        <v/>
      </c>
      <c r="N48" s="81" t="inlineStr">
        <is>
          <t>COB. PRAÇA / ÁREA DE VIVÊNCIA</t>
        </is>
      </c>
      <c r="O48" s="81" t="n">
        <v>99</v>
      </c>
      <c r="P48" s="198" t="inlineStr">
        <is>
          <t>MONTAGEM DE VIGAS E TERÇAS METÁLICAS – COBERTURA PRAÇA / ÁREA DE VIVÊNCIA</t>
        </is>
      </c>
      <c r="Q48" s="329" t="n">
        <v>46344</v>
      </c>
      <c r="R48" s="329" t="n">
        <v>46372</v>
      </c>
      <c r="S48" s="198" t="n"/>
      <c r="T48" s="81">
        <f>'ESCOPO POR EMPRESA'!C48</f>
        <v/>
      </c>
      <c r="U48" s="81">
        <f>'ESCOPO POR EMPRESA'!S48</f>
        <v/>
      </c>
      <c r="V48" s="81" t="n">
        <v>71</v>
      </c>
    </row>
    <row r="49">
      <c r="A49" s="62" t="inlineStr">
        <is>
          <t>COB. PRAÇA VIVÊNCIA – TELHAS</t>
        </is>
      </c>
      <c r="B49" s="199" t="n"/>
      <c r="C49" s="328" t="n">
        <v>46359</v>
      </c>
      <c r="D49" s="329">
        <f>IF(_xlfn.MINIFS('CONTROLE PRODUÇÃO POR EMPRESAS'!$A$6:$A$490,'CONTROLE PRODUÇÃO POR EMPRESAS'!$BT$6:$BT$490,"&gt;0")=0,"",_xlfn.MINIFS('CONTROLE PRODUÇÃO POR EMPRESAS'!$A$6:$A$490,'CONTROLE PRODUÇÃO POR EMPRESAS'!$BT$6:$BT$490,"&gt;0"))</f>
        <v/>
      </c>
      <c r="E49" s="199">
        <f>IF(OR(B49="",Q49="",R49=""),"",ROUNDUP(B49/NETWORKDAYS.INTL(Q49,R49,IF(F49=5,"0000011",IF(F49=6,"0000001","0000000"))),1))</f>
        <v/>
      </c>
      <c r="F49" s="202" t="n">
        <v>5</v>
      </c>
      <c r="G49" s="203">
        <f>IF(OR(E49="",F49=""),"",E49*F49)</f>
        <v/>
      </c>
      <c r="H49" s="329">
        <f>IF(OR(B49="",C49="",E49="",N(E49)&lt;=0),"",WORKDAY.INTL(C49-1,ROUNDUP(B49/E49,0),IF(F49=5,"0000011",IF(F49=6,"0000001","0000000"))))</f>
        <v/>
      </c>
      <c r="I49" s="198" t="n"/>
      <c r="J49" s="198" t="n"/>
      <c r="K49" s="81">
        <f>IF(OR(B49="",C49="",E49=""),"PENDENTE","CONFIGURADO")</f>
        <v/>
      </c>
      <c r="L49" s="199" t="n">
        <v>1</v>
      </c>
      <c r="M49" s="328">
        <f>IF(R49="","",R49)</f>
        <v/>
      </c>
      <c r="N49" s="81" t="inlineStr">
        <is>
          <t>COB. PRAÇA / ÁREA DE VIVÊNCIA</t>
        </is>
      </c>
      <c r="O49" s="81" t="n">
        <v>100</v>
      </c>
      <c r="P49" s="198" t="inlineStr">
        <is>
          <t>MONTAGEM DE TELHAS METÁLICAS – COBERTURA PRAÇA / ÁREA DE VIVÊNCIA</t>
        </is>
      </c>
      <c r="Q49" s="329" t="n">
        <v>46359</v>
      </c>
      <c r="R49" s="329" t="n">
        <v>46391</v>
      </c>
      <c r="S49" s="198" t="n"/>
      <c r="T49" s="81">
        <f>'ESCOPO POR EMPRESA'!C49</f>
        <v/>
      </c>
      <c r="U49" s="81">
        <f>'ESCOPO POR EMPRESA'!S49</f>
        <v/>
      </c>
      <c r="V49" s="81" t="n">
        <v>72</v>
      </c>
    </row>
    <row r="50">
      <c r="A50" s="62" t="inlineStr">
        <is>
          <t>COB. PRAÇA VIVÊNCIA – CALHAS E DESCIDAS</t>
        </is>
      </c>
      <c r="B50" s="199" t="n"/>
      <c r="C50" s="328" t="n">
        <v>46371</v>
      </c>
      <c r="D50" s="329">
        <f>IF(_xlfn.MINIFS('CONTROLE PRODUÇÃO POR EMPRESAS'!$A$6:$A$490,'CONTROLE PRODUÇÃO POR EMPRESAS'!$BU$6:$BU$490,"&gt;0")=0,"",_xlfn.MINIFS('CONTROLE PRODUÇÃO POR EMPRESAS'!$A$6:$A$490,'CONTROLE PRODUÇÃO POR EMPRESAS'!$BU$6:$BU$490,"&gt;0"))</f>
        <v/>
      </c>
      <c r="E50" s="199">
        <f>IF(OR(B50="",Q50="",R50=""),"",ROUNDUP(B50/NETWORKDAYS.INTL(Q50,R50,IF(F50=5,"0000011",IF(F50=6,"0000001","0000000"))),1))</f>
        <v/>
      </c>
      <c r="F50" s="202" t="n">
        <v>5</v>
      </c>
      <c r="G50" s="203">
        <f>IF(OR(E50="",F50=""),"",E50*F50)</f>
        <v/>
      </c>
      <c r="H50" s="329">
        <f>IF(OR(B50="",C50="",E50="",N(E50)&lt;=0),"",WORKDAY.INTL(C50-1,ROUNDUP(B50/E50,0),IF(F50=5,"0000011",IF(F50=6,"0000001","0000000"))))</f>
        <v/>
      </c>
      <c r="I50" s="198" t="n"/>
      <c r="J50" s="198" t="n"/>
      <c r="K50" s="81">
        <f>IF(OR(B50="",C50="",E50=""),"PENDENTE","CONFIGURADO")</f>
        <v/>
      </c>
      <c r="L50" s="199" t="n">
        <v>1</v>
      </c>
      <c r="M50" s="328">
        <f>IF(R50="","",R50)</f>
        <v/>
      </c>
      <c r="N50" s="81" t="inlineStr">
        <is>
          <t>COB. PRAÇA / ÁREA DE VIVÊNCIA</t>
        </is>
      </c>
      <c r="O50" s="81" t="n">
        <v>101</v>
      </c>
      <c r="P50" s="198" t="inlineStr">
        <is>
          <t>INSTALAÇÃO DE CALHAS E DESCIDAS PLUVIAIS – COBERTURA PRAÇA / ÁREA DE VIVÊNCIA</t>
        </is>
      </c>
      <c r="Q50" s="329" t="n">
        <v>46371</v>
      </c>
      <c r="R50" s="329" t="n">
        <v>46394</v>
      </c>
      <c r="S50" s="198" t="n"/>
      <c r="T50" s="81">
        <f>'ESCOPO POR EMPRESA'!C50</f>
        <v/>
      </c>
      <c r="U50" s="81">
        <f>'ESCOPO POR EMPRESA'!S50</f>
        <v/>
      </c>
      <c r="V50" s="81" t="n">
        <v>73</v>
      </c>
    </row>
    <row r="51">
      <c r="A51" s="62" t="inlineStr">
        <is>
          <t>COB. PRAÇA VIVÊNCIA – TESTEIRA</t>
        </is>
      </c>
      <c r="B51" s="199" t="n"/>
      <c r="C51" s="328" t="n">
        <v>46371</v>
      </c>
      <c r="D51" s="329">
        <f>IF(_xlfn.MINIFS('CONTROLE PRODUÇÃO POR EMPRESAS'!$A$6:$A$490,'CONTROLE PRODUÇÃO POR EMPRESAS'!$BV$6:$BV$490,"&gt;0")=0,"",_xlfn.MINIFS('CONTROLE PRODUÇÃO POR EMPRESAS'!$A$6:$A$490,'CONTROLE PRODUÇÃO POR EMPRESAS'!$BV$6:$BV$490,"&gt;0"))</f>
        <v/>
      </c>
      <c r="E51" s="199">
        <f>IF(OR(B51="",Q51="",R51=""),"",ROUNDUP(B51/NETWORKDAYS.INTL(Q51,R51,IF(F51=5,"0000011",IF(F51=6,"0000001","0000000"))),1))</f>
        <v/>
      </c>
      <c r="F51" s="202" t="n">
        <v>5</v>
      </c>
      <c r="G51" s="203">
        <f>IF(OR(E51="",F51=""),"",E51*F51)</f>
        <v/>
      </c>
      <c r="H51" s="329">
        <f>IF(OR(B51="",C51="",E51="",N(E51)&lt;=0),"",WORKDAY.INTL(C51-1,ROUNDUP(B51/E51,0),IF(F51=5,"0000011",IF(F51=6,"0000001","0000000"))))</f>
        <v/>
      </c>
      <c r="I51" s="198" t="n"/>
      <c r="J51" s="198" t="n"/>
      <c r="K51" s="81">
        <f>IF(OR(B51="",C51="",E51=""),"PENDENTE","CONFIGURADO")</f>
        <v/>
      </c>
      <c r="L51" s="199" t="n">
        <v>1</v>
      </c>
      <c r="M51" s="328">
        <f>IF(R51="","",R51)</f>
        <v/>
      </c>
      <c r="N51" s="81" t="inlineStr">
        <is>
          <t>COB. PRAÇA / ÁREA DE VIVÊNCIA</t>
        </is>
      </c>
      <c r="O51" s="81" t="n">
        <v>102</v>
      </c>
      <c r="P51" s="198" t="inlineStr">
        <is>
          <t>INSTALAÇÃO DE TESTEIRA METÁLICA – COBERTURA PRAÇA / ÁREA DE VIVÊNCIA</t>
        </is>
      </c>
      <c r="Q51" s="329" t="n">
        <v>46371</v>
      </c>
      <c r="R51" s="329" t="n">
        <v>46394</v>
      </c>
      <c r="S51" s="198" t="n"/>
      <c r="T51" s="81">
        <f>'ESCOPO POR EMPRESA'!C51</f>
        <v/>
      </c>
      <c r="U51" s="81">
        <f>'ESCOPO POR EMPRESA'!S51</f>
        <v/>
      </c>
      <c r="V51" s="81" t="n">
        <v>74</v>
      </c>
    </row>
    <row r="52">
      <c r="A52" s="62" t="inlineStr">
        <is>
          <t>COB. PRAÇA VIVÊNCIA – COBERTURA ÁREA VIVÊNCIA</t>
        </is>
      </c>
      <c r="B52" s="199" t="n"/>
      <c r="C52" s="328" t="n">
        <v>46364</v>
      </c>
      <c r="D52" s="329">
        <f>IF(_xlfn.MINIFS('CONTROLE PRODUÇÃO POR EMPRESAS'!$A$6:$A$490,'CONTROLE PRODUÇÃO POR EMPRESAS'!$BW$6:$BW$490,"&gt;0")=0,"",_xlfn.MINIFS('CONTROLE PRODUÇÃO POR EMPRESAS'!$A$6:$A$490,'CONTROLE PRODUÇÃO POR EMPRESAS'!$BW$6:$BW$490,"&gt;0"))</f>
        <v/>
      </c>
      <c r="E52" s="199">
        <f>IF(OR(B52="",Q52="",R52=""),"",ROUNDUP(B52/NETWORKDAYS.INTL(Q52,R52,IF(F52=5,"0000011",IF(F52=6,"0000001","0000000"))),1))</f>
        <v/>
      </c>
      <c r="F52" s="202" t="n">
        <v>5</v>
      </c>
      <c r="G52" s="203">
        <f>IF(OR(E52="",F52=""),"",E52*F52)</f>
        <v/>
      </c>
      <c r="H52" s="329">
        <f>IF(OR(B52="",C52="",E52="",N(E52)&lt;=0),"",WORKDAY.INTL(C52-1,ROUNDUP(B52/E52,0),IF(F52=5,"0000011",IF(F52=6,"0000001","0000000"))))</f>
        <v/>
      </c>
      <c r="I52" s="198" t="n"/>
      <c r="J52" s="198" t="n"/>
      <c r="K52" s="81">
        <f>IF(OR(B52="",C52="",E52=""),"PENDENTE","CONFIGURADO")</f>
        <v/>
      </c>
      <c r="L52" s="199" t="n">
        <v>1</v>
      </c>
      <c r="M52" s="328">
        <f>IF(R52="","",R52)</f>
        <v/>
      </c>
      <c r="N52" s="81" t="inlineStr">
        <is>
          <t>COB. PRAÇA / ÁREA DE VIVÊNCIA</t>
        </is>
      </c>
      <c r="O52" s="81" t="n">
        <v>103</v>
      </c>
      <c r="P52" s="198" t="inlineStr">
        <is>
          <t>COBERTURA ÁREA DE VIVÊNCIA – COBERTURA PRAÇA / ÁREA DE VIVÊNCIA</t>
        </is>
      </c>
      <c r="Q52" s="329" t="n">
        <v>46364</v>
      </c>
      <c r="R52" s="329" t="n">
        <v>46394</v>
      </c>
      <c r="S52" s="198" t="n"/>
      <c r="T52" s="81">
        <f>'ESCOPO POR EMPRESA'!C52</f>
        <v/>
      </c>
      <c r="U52" s="81">
        <f>'ESCOPO POR EMPRESA'!S52</f>
        <v/>
      </c>
      <c r="V52" s="81" t="n">
        <v>75</v>
      </c>
    </row>
    <row r="54">
      <c r="A54" s="250" t="inlineStr">
        <is>
          <t>REGRAS DA META DO CLIENTE E FLUXO DE ALIMENTAÇÃO</t>
        </is>
      </c>
    </row>
    <row r="55" ht="24" customHeight="1">
      <c r="A55" s="204" t="inlineStr">
        <is>
          <t>Previsto</t>
        </is>
      </c>
      <c r="B55" s="251" t="inlineStr">
        <is>
          <t>A meta acumulada começa na Data Início Planejada e cresce somente nos dias úteis configurados.</t>
        </is>
      </c>
    </row>
    <row r="56" ht="24" customHeight="1">
      <c r="A56" s="204" t="inlineStr">
        <is>
          <t>Crédito pré-início</t>
        </is>
      </c>
      <c r="B56" s="251" t="inlineStr">
        <is>
          <t>Tudo que foi realizado antes do início planejado é crédito positivo e entra no Realizado Total.</t>
        </is>
      </c>
    </row>
    <row r="57" ht="24" customHeight="1">
      <c r="A57" s="204" t="inlineStr">
        <is>
          <t>GAP</t>
        </is>
      </c>
      <c r="B57" s="251" t="inlineStr">
        <is>
          <t>Realizado Total − Previsto acumulado. Positivo = adiantado; negativo = atrás da curva.</t>
        </is>
      </c>
    </row>
    <row r="58" ht="24" customHeight="1">
      <c r="A58" s="204" t="inlineStr">
        <is>
          <t>Previsão atual</t>
        </is>
      </c>
      <c r="B58" s="251" t="inlineStr">
        <is>
          <t>Saldo ÷ ritmo real desde o Início Real (usa a meta enquanto houver menos de 5 dias úteis de histórico).</t>
        </is>
      </c>
    </row>
    <row r="59" ht="24" customHeight="1">
      <c r="A59" s="204" t="inlineStr">
        <is>
          <t>Prazo</t>
        </is>
      </c>
      <c r="B59" s="251" t="inlineStr">
        <is>
          <t>Término Base (coluna M) = prazo usado para status. Serviços novos já vêm com o término do cronograma Rev. 19/08/26.</t>
        </is>
      </c>
    </row>
    <row r="60" ht="24" customHeight="1">
      <c r="A60" s="204" t="inlineStr">
        <is>
          <t>Meta sugerida</t>
        </is>
      </c>
      <c r="B60" s="251" t="inlineStr">
        <is>
          <t>Serviços novos: Meta Diária = Quantidade ÷ dias úteis do cronograma (pode ser sobrescrita).</t>
        </is>
      </c>
    </row>
    <row r="61" ht="24" customHeight="1">
      <c r="A61" s="204" t="inlineStr">
        <is>
          <t>Alimentação</t>
        </is>
      </c>
      <c r="B61" s="251" t="inlineStr">
        <is>
          <t>Só lance produção diária no CONTROLE PRODUÇÃO POR EMPRESAS. Todo o resto é automático. Ver aba PROCEDIMENTO.</t>
        </is>
      </c>
    </row>
    <row r="63" ht="15" customHeight="1">
      <c r="A63" s="252" t="inlineStr">
        <is>
          <t>HISTÓRICO DE ALTERAÇÕES DAS METAS DO CLIENTE</t>
        </is>
      </c>
      <c r="G63" s="253" t="inlineStr">
        <is>
          <t>Histórico manual: antes de alterar Quantidade Contratada, Data Início Planejada ou Meta Diária Cliente, registre os valores anteriores aqui.</t>
        </is>
      </c>
    </row>
    <row r="64" ht="28.5" customHeight="1">
      <c r="A64" s="206" t="inlineStr">
        <is>
          <t>Serviço</t>
        </is>
      </c>
      <c r="B64" s="207" t="inlineStr">
        <is>
          <t>Data de Início</t>
        </is>
      </c>
      <c r="C64" s="207" t="inlineStr">
        <is>
          <t>Meta Diária</t>
        </is>
      </c>
      <c r="D64" s="207" t="inlineStr">
        <is>
          <t>Quantidade Contratada</t>
        </is>
      </c>
      <c r="E64" s="207" t="inlineStr">
        <is>
          <t>Usuário</t>
        </is>
      </c>
      <c r="F64" s="208" t="inlineStr">
        <is>
          <t>Data da Alteração</t>
        </is>
      </c>
    </row>
    <row r="65">
      <c r="B65" s="317" t="n"/>
      <c r="C65" s="159" t="n"/>
      <c r="D65" s="159" t="n"/>
      <c r="F65" s="330" t="n"/>
    </row>
    <row r="66">
      <c r="B66" s="317" t="n"/>
      <c r="C66" s="159" t="n"/>
      <c r="D66" s="159" t="n"/>
      <c r="F66" s="330" t="n"/>
    </row>
    <row r="67">
      <c r="B67" s="317" t="n"/>
      <c r="C67" s="159" t="n"/>
      <c r="D67" s="159" t="n"/>
      <c r="F67" s="330" t="n"/>
    </row>
    <row r="68">
      <c r="B68" s="317" t="n"/>
      <c r="C68" s="159" t="n"/>
      <c r="D68" s="159" t="n"/>
      <c r="F68" s="330" t="n"/>
    </row>
    <row r="69">
      <c r="B69" s="317" t="n"/>
      <c r="C69" s="159" t="n"/>
      <c r="D69" s="159" t="n"/>
      <c r="F69" s="330" t="n"/>
    </row>
    <row r="70">
      <c r="B70" s="317" t="n"/>
      <c r="C70" s="159" t="n"/>
      <c r="D70" s="159" t="n"/>
      <c r="F70" s="330" t="n"/>
    </row>
    <row r="71">
      <c r="B71" s="317" t="n"/>
      <c r="C71" s="159" t="n"/>
      <c r="D71" s="159" t="n"/>
      <c r="F71" s="330" t="n"/>
    </row>
    <row r="72">
      <c r="B72" s="317" t="n"/>
      <c r="C72" s="159" t="n"/>
      <c r="D72" s="159" t="n"/>
      <c r="F72" s="330" t="n"/>
    </row>
    <row r="73">
      <c r="B73" s="317" t="n"/>
      <c r="C73" s="159" t="n"/>
      <c r="D73" s="159" t="n"/>
      <c r="F73" s="330" t="n"/>
    </row>
    <row r="74">
      <c r="B74" s="317" t="n"/>
      <c r="C74" s="159" t="n"/>
      <c r="D74" s="159" t="n"/>
      <c r="F74" s="330" t="n"/>
    </row>
    <row r="75">
      <c r="B75" s="317" t="n"/>
      <c r="C75" s="159" t="n"/>
      <c r="D75" s="159" t="n"/>
      <c r="F75" s="330" t="n"/>
    </row>
    <row r="76">
      <c r="B76" s="317" t="n"/>
      <c r="C76" s="159" t="n"/>
      <c r="D76" s="159" t="n"/>
      <c r="F76" s="330" t="n"/>
    </row>
    <row r="77">
      <c r="B77" s="317" t="n"/>
      <c r="C77" s="159" t="n"/>
      <c r="D77" s="159" t="n"/>
      <c r="F77" s="330" t="n"/>
    </row>
    <row r="78">
      <c r="B78" s="317" t="n"/>
      <c r="C78" s="159" t="n"/>
      <c r="D78" s="159" t="n"/>
      <c r="F78" s="330" t="n"/>
    </row>
    <row r="79">
      <c r="B79" s="317" t="n"/>
      <c r="C79" s="159" t="n"/>
      <c r="D79" s="159" t="n"/>
      <c r="F79" s="330" t="n"/>
    </row>
    <row r="80">
      <c r="B80" s="317" t="n"/>
      <c r="C80" s="159" t="n"/>
      <c r="D80" s="159" t="n"/>
      <c r="F80" s="330" t="n"/>
    </row>
    <row r="81">
      <c r="B81" s="317" t="n"/>
      <c r="C81" s="159" t="n"/>
      <c r="D81" s="159" t="n"/>
      <c r="F81" s="330" t="n"/>
    </row>
    <row r="82">
      <c r="B82" s="317" t="n"/>
      <c r="C82" s="159" t="n"/>
      <c r="D82" s="159" t="n"/>
      <c r="F82" s="330" t="n"/>
    </row>
    <row r="83">
      <c r="B83" s="317" t="n"/>
      <c r="C83" s="159" t="n"/>
      <c r="D83" s="159" t="n"/>
      <c r="F83" s="330" t="n"/>
    </row>
    <row r="84">
      <c r="B84" s="317" t="n"/>
      <c r="C84" s="159" t="n"/>
      <c r="D84" s="159" t="n"/>
      <c r="F84" s="330" t="n"/>
    </row>
    <row r="85">
      <c r="B85" s="317" t="n"/>
      <c r="C85" s="159" t="n"/>
      <c r="D85" s="159" t="n"/>
      <c r="F85" s="330" t="n"/>
    </row>
    <row r="86">
      <c r="B86" s="317" t="n"/>
      <c r="C86" s="159" t="n"/>
      <c r="D86" s="159" t="n"/>
      <c r="F86" s="330" t="n"/>
    </row>
    <row r="87">
      <c r="B87" s="317" t="n"/>
      <c r="C87" s="159" t="n"/>
      <c r="D87" s="159" t="n"/>
      <c r="F87" s="330" t="n"/>
    </row>
    <row r="88">
      <c r="B88" s="317" t="n"/>
      <c r="C88" s="159" t="n"/>
      <c r="D88" s="159" t="n"/>
      <c r="F88" s="330" t="n"/>
    </row>
    <row r="89">
      <c r="B89" s="317" t="n"/>
      <c r="C89" s="159" t="n"/>
      <c r="D89" s="159" t="n"/>
      <c r="F89" s="330" t="n"/>
    </row>
    <row r="90">
      <c r="B90" s="317" t="n"/>
      <c r="C90" s="159" t="n"/>
      <c r="D90" s="159" t="n"/>
      <c r="F90" s="330" t="n"/>
    </row>
    <row r="91">
      <c r="B91" s="317" t="n"/>
      <c r="C91" s="159" t="n"/>
      <c r="D91" s="159" t="n"/>
      <c r="F91" s="330" t="n"/>
    </row>
    <row r="92">
      <c r="B92" s="317" t="n"/>
      <c r="C92" s="159" t="n"/>
      <c r="D92" s="159" t="n"/>
      <c r="F92" s="330" t="n"/>
    </row>
    <row r="93">
      <c r="B93" s="317" t="n"/>
      <c r="C93" s="159" t="n"/>
      <c r="D93" s="159" t="n"/>
      <c r="F93" s="330" t="n"/>
    </row>
    <row r="94">
      <c r="B94" s="317" t="n"/>
      <c r="C94" s="159" t="n"/>
      <c r="D94" s="159" t="n"/>
      <c r="F94" s="330" t="n"/>
    </row>
    <row r="95">
      <c r="B95" s="317" t="n"/>
      <c r="C95" s="159" t="n"/>
      <c r="D95" s="159" t="n"/>
      <c r="F95" s="330" t="n"/>
    </row>
    <row r="96">
      <c r="B96" s="317" t="n"/>
      <c r="C96" s="159" t="n"/>
      <c r="D96" s="159" t="n"/>
      <c r="F96" s="330" t="n"/>
    </row>
    <row r="97">
      <c r="B97" s="317" t="n"/>
      <c r="C97" s="159" t="n"/>
      <c r="D97" s="159" t="n"/>
      <c r="F97" s="330" t="n"/>
    </row>
    <row r="98">
      <c r="B98" s="317" t="n"/>
      <c r="C98" s="159" t="n"/>
      <c r="D98" s="159" t="n"/>
      <c r="F98" s="330" t="n"/>
    </row>
    <row r="99">
      <c r="B99" s="317" t="n"/>
      <c r="C99" s="159" t="n"/>
      <c r="D99" s="159" t="n"/>
      <c r="F99" s="330" t="n"/>
    </row>
    <row r="100">
      <c r="B100" s="317" t="n"/>
      <c r="C100" s="159" t="n"/>
      <c r="D100" s="159" t="n"/>
      <c r="F100" s="330" t="n"/>
    </row>
    <row r="101">
      <c r="B101" s="317" t="n"/>
      <c r="C101" s="159" t="n"/>
      <c r="D101" s="159" t="n"/>
      <c r="F101" s="330" t="n"/>
    </row>
    <row r="102">
      <c r="B102" s="317" t="n"/>
      <c r="C102" s="159" t="n"/>
      <c r="D102" s="159" t="n"/>
      <c r="F102" s="330" t="n"/>
    </row>
    <row r="103">
      <c r="B103" s="317" t="n"/>
      <c r="C103" s="159" t="n"/>
      <c r="D103" s="159" t="n"/>
      <c r="F103" s="330" t="n"/>
    </row>
    <row r="104">
      <c r="B104" s="317" t="n"/>
      <c r="C104" s="159" t="n"/>
      <c r="D104" s="159" t="n"/>
      <c r="F104" s="330" t="n"/>
    </row>
    <row r="105">
      <c r="B105" s="317" t="n"/>
      <c r="C105" s="159" t="n"/>
      <c r="D105" s="159" t="n"/>
      <c r="F105" s="330" t="n"/>
    </row>
    <row r="106">
      <c r="B106" s="317" t="n"/>
      <c r="C106" s="159" t="n"/>
      <c r="D106" s="159" t="n"/>
      <c r="F106" s="330" t="n"/>
    </row>
    <row r="107">
      <c r="B107" s="317" t="n"/>
      <c r="C107" s="159" t="n"/>
      <c r="D107" s="159" t="n"/>
      <c r="F107" s="330" t="n"/>
    </row>
    <row r="108">
      <c r="B108" s="317" t="n"/>
      <c r="C108" s="159" t="n"/>
      <c r="D108" s="159" t="n"/>
      <c r="F108" s="330" t="n"/>
    </row>
    <row r="109">
      <c r="B109" s="317" t="n"/>
      <c r="C109" s="159" t="n"/>
      <c r="D109" s="159" t="n"/>
      <c r="F109" s="330" t="n"/>
    </row>
    <row r="110">
      <c r="B110" s="317" t="n"/>
      <c r="C110" s="159" t="n"/>
      <c r="D110" s="159" t="n"/>
      <c r="F110" s="330" t="n"/>
    </row>
    <row r="111">
      <c r="B111" s="317" t="n"/>
      <c r="C111" s="159" t="n"/>
      <c r="D111" s="159" t="n"/>
      <c r="F111" s="330" t="n"/>
    </row>
    <row r="112">
      <c r="B112" s="317" t="n"/>
      <c r="C112" s="159" t="n"/>
      <c r="D112" s="159" t="n"/>
      <c r="F112" s="330" t="n"/>
    </row>
    <row r="113">
      <c r="B113" s="317" t="n"/>
      <c r="C113" s="159" t="n"/>
      <c r="D113" s="159" t="n"/>
      <c r="F113" s="330" t="n"/>
    </row>
    <row r="114">
      <c r="B114" s="317" t="n"/>
      <c r="C114" s="159" t="n"/>
      <c r="D114" s="159" t="n"/>
      <c r="F114" s="330" t="n"/>
    </row>
    <row r="115">
      <c r="B115" s="317" t="n"/>
      <c r="C115" s="159" t="n"/>
      <c r="D115" s="159" t="n"/>
      <c r="F115" s="330" t="n"/>
    </row>
    <row r="116">
      <c r="B116" s="317" t="n"/>
      <c r="C116" s="159" t="n"/>
      <c r="D116" s="159" t="n"/>
      <c r="F116" s="330" t="n"/>
    </row>
    <row r="117">
      <c r="B117" s="317" t="n"/>
      <c r="C117" s="159" t="n"/>
      <c r="D117" s="159" t="n"/>
      <c r="F117" s="330" t="n"/>
    </row>
    <row r="118">
      <c r="B118" s="317" t="n"/>
      <c r="C118" s="159" t="n"/>
      <c r="D118" s="159" t="n"/>
      <c r="F118" s="330" t="n"/>
    </row>
    <row r="119">
      <c r="B119" s="317" t="n"/>
      <c r="C119" s="159" t="n"/>
      <c r="D119" s="159" t="n"/>
      <c r="F119" s="330" t="n"/>
    </row>
    <row r="120">
      <c r="B120" s="317" t="n"/>
      <c r="C120" s="159" t="n"/>
      <c r="D120" s="159" t="n"/>
      <c r="F120" s="330" t="n"/>
    </row>
    <row r="121">
      <c r="B121" s="317" t="n"/>
      <c r="C121" s="159" t="n"/>
      <c r="D121" s="159" t="n"/>
      <c r="F121" s="330" t="n"/>
    </row>
    <row r="122">
      <c r="B122" s="317" t="n"/>
      <c r="C122" s="159" t="n"/>
      <c r="D122" s="159" t="n"/>
      <c r="F122" s="330" t="n"/>
    </row>
    <row r="123">
      <c r="B123" s="317" t="n"/>
      <c r="C123" s="159" t="n"/>
      <c r="D123" s="159" t="n"/>
      <c r="F123" s="330" t="n"/>
    </row>
    <row r="124">
      <c r="B124" s="317" t="n"/>
      <c r="C124" s="159" t="n"/>
      <c r="D124" s="159" t="n"/>
      <c r="F124" s="330" t="n"/>
    </row>
  </sheetData>
  <mergeCells count="12">
    <mergeCell ref="A2:V2"/>
    <mergeCell ref="A63:F63"/>
    <mergeCell ref="B61:K61"/>
    <mergeCell ref="B57:K57"/>
    <mergeCell ref="A54:K54"/>
    <mergeCell ref="B58:K58"/>
    <mergeCell ref="A1:V1"/>
    <mergeCell ref="B56:K56"/>
    <mergeCell ref="B55:K55"/>
    <mergeCell ref="G63:K64"/>
    <mergeCell ref="B59:K59"/>
    <mergeCell ref="B60:K60"/>
  </mergeCells>
  <conditionalFormatting sqref="K5:K52">
    <cfRule type="expression" priority="2" dxfId="1">
      <formula>K5="CONFIGURADO"</formula>
    </cfRule>
    <cfRule type="expression" priority="3" dxfId="2">
      <formula>K5="PENDENTE"</formula>
    </cfRule>
  </conditionalFormatting>
  <dataValidations count="2">
    <dataValidation sqref="F5:F52" showDropDown="0" showInputMessage="0" showErrorMessage="1" allowBlank="1" type="list">
      <formula1>"5,6,7"</formula1>
      <formula2>0</formula2>
    </dataValidation>
    <dataValidation sqref="S5:S52" showDropDown="0" showInputMessage="0" showErrorMessage="1" allowBlank="1" type="list">
      <formula1>"un,m,m²,kg,t,pç,cj,vb"</formula1>
      <formula2>0</formula2>
    </dataValidation>
  </dataValidations>
  <pageMargins left="0.7" right="0.7" top="0.75" bottom="0.75" header="0.511811023622047" footer="0.511811023622047"/>
  <pageSetup orientation="portrait" paperSize="9" horizontalDpi="300" verticalDpi="300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AA67"/>
  <sheetViews>
    <sheetView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3" sqref="F3"/>
    </sheetView>
  </sheetViews>
  <sheetFormatPr baseColWidth="8" defaultColWidth="8.5546875" defaultRowHeight="14.4"/>
  <cols>
    <col width="34" customWidth="1" min="1" max="1"/>
    <col width="15" customWidth="1" min="2" max="3"/>
    <col width="14" customWidth="1" min="4" max="4"/>
    <col width="11" customWidth="1" min="5" max="5"/>
    <col width="10" customWidth="1" min="6" max="6"/>
    <col width="16" customWidth="1" min="7" max="10"/>
    <col width="15" customWidth="1" min="11" max="11"/>
    <col width="16" customWidth="1" min="12" max="12"/>
    <col width="12" customWidth="1" min="13" max="13"/>
    <col width="13" customWidth="1" min="14" max="14"/>
    <col width="14" customWidth="1" min="15" max="15"/>
    <col width="12" customWidth="1" min="16" max="16"/>
    <col width="18" customWidth="1" min="17" max="17"/>
    <col width="16" customWidth="1" min="18" max="18"/>
    <col width="14" customWidth="1" min="19" max="19"/>
    <col width="27" customWidth="1" min="20" max="20"/>
    <col width="22" customWidth="1" min="21" max="21"/>
    <col width="28" customWidth="1" min="22" max="22"/>
    <col width="14" customWidth="1" min="23" max="24"/>
    <col width="9" customWidth="1" min="25" max="27"/>
  </cols>
  <sheetData>
    <row r="1" ht="24" customHeight="1">
      <c r="A1" s="225" t="inlineStr">
        <is>
          <t>CLIENTE — PREVISTO × REALIZADO E PREVISÃO DE TÉRMINO</t>
        </is>
      </c>
    </row>
    <row r="2" ht="27" customHeight="1">
      <c r="A2" s="254" t="inlineStr">
        <is>
          <t>Consolidado Fase 1 por serviço (Galpão, Marquise e Prédios Anexos). O realizado anterior ao início planejado vira crédito positivo. Previsão de término recalculada pelo ritmo real. Tudo é alimentado pelo CONTROLE PRODUÇÃO.</t>
        </is>
      </c>
    </row>
    <row r="3" ht="45" customHeight="1">
      <c r="A3" s="255" t="inlineStr">
        <is>
          <t>DATA DA CONSULTA</t>
        </is>
      </c>
      <c r="C3" t="inlineStr">
        <is>
          <t>IÇAMENTO JOIST</t>
        </is>
      </c>
      <c r="D3" s="255" t="inlineStr">
        <is>
          <t>VIGAS</t>
        </is>
      </c>
      <c r="G3" s="255" t="inlineStr">
        <is>
          <t>PREVISÃO TÉRMINO ATUAL</t>
        </is>
      </c>
      <c r="K3" s="255" t="inlineStr">
        <is>
          <t>DESVIO GERAL (D.U.)</t>
        </is>
      </c>
      <c r="N3" s="255" t="inlineStr">
        <is>
          <t>GAP TOTAL</t>
        </is>
      </c>
      <c r="Q3" s="255" t="inlineStr">
        <is>
          <t>% CONCLUÍDO</t>
        </is>
      </c>
    </row>
    <row r="4" ht="17.25" customHeight="1">
      <c r="A4" s="331" t="n">
        <v>46291</v>
      </c>
      <c r="D4" s="332">
        <f>IF(COUNT(G7:G54)=0,"",MAX(G7:G54))</f>
        <v/>
      </c>
      <c r="F4" s="317" t="n"/>
      <c r="G4" s="332">
        <f>IF(COUNT(Q7:Q54)=0,"",MAX(Q7:Q54))</f>
        <v/>
      </c>
      <c r="K4" s="258">
        <f>IF(OR(D4="",G4=""),"",IF(G4=D4,0,IF(G4&gt;D4,NETWORKDAYS.INTL(D4,G4,1)-1,-(NETWORKDAYS.INTL(G4,D4,1)-1))))</f>
        <v/>
      </c>
      <c r="N4" s="259">
        <f>IF(COUNT(B7:B54)=0,"",SUM(M7:M54))</f>
        <v/>
      </c>
      <c r="Q4" s="333">
        <f>IFERROR(SUMPRODUCT(Y7:Y54,AA7:AA54)/SUM(Y7:Y54),"")</f>
        <v/>
      </c>
    </row>
    <row r="6" ht="33" customHeight="1">
      <c r="A6" s="255" t="inlineStr">
        <is>
          <t>Serviço</t>
        </is>
      </c>
      <c r="B6" s="255" t="inlineStr">
        <is>
          <t>Qtd Contratada</t>
        </is>
      </c>
      <c r="C6" s="255" t="inlineStr">
        <is>
          <t>Início Planejado</t>
        </is>
      </c>
      <c r="D6" s="255" t="inlineStr">
        <is>
          <t>Início Real</t>
        </is>
      </c>
      <c r="E6" s="255" t="inlineStr">
        <is>
          <t>Meta/Dia</t>
        </is>
      </c>
      <c r="F6" s="255" t="inlineStr">
        <is>
          <t>Dias/Sem</t>
        </is>
      </c>
      <c r="G6" s="255" t="inlineStr">
        <is>
          <t>Término Planejado</t>
        </is>
      </c>
      <c r="H6" s="255" t="inlineStr">
        <is>
          <t>Previsão Término Atual</t>
        </is>
      </c>
      <c r="I6" s="255" t="inlineStr">
        <is>
          <t>Crédito Pré-Início</t>
        </is>
      </c>
      <c r="J6" s="255" t="inlineStr">
        <is>
          <t>Realizado Pós-Início</t>
        </is>
      </c>
      <c r="K6" s="255" t="inlineStr">
        <is>
          <t>Realizado Total</t>
        </is>
      </c>
      <c r="L6" s="255" t="inlineStr">
        <is>
          <t>Previsto até Consulta</t>
        </is>
      </c>
      <c r="M6" s="255" t="inlineStr">
        <is>
          <t>GAP (+/-)</t>
        </is>
      </c>
      <c r="N6" s="255" t="inlineStr">
        <is>
          <t>% Concluído</t>
        </is>
      </c>
      <c r="O6" s="255" t="inlineStr">
        <is>
          <t>Ritmo Real/Dia</t>
        </is>
      </c>
      <c r="P6" s="255" t="inlineStr">
        <is>
          <t>Saldo</t>
        </is>
      </c>
      <c r="Q6" s="255" t="inlineStr">
        <is>
          <t>Previsão Término Atual</t>
        </is>
      </c>
      <c r="R6" s="255" t="inlineStr">
        <is>
          <t>Desvio Prazo (D.U.)</t>
        </is>
      </c>
      <c r="S6" s="255" t="inlineStr">
        <is>
          <t>Status</t>
        </is>
      </c>
      <c r="T6" s="255" t="inlineStr">
        <is>
          <t>Leitura Executiva</t>
        </is>
      </c>
      <c r="U6" s="255" t="inlineStr">
        <is>
          <t>Ritmo Necessário/Dia p/ Término Planejado</t>
        </is>
      </c>
      <c r="V6" s="255" t="inlineStr">
        <is>
          <t>Frente</t>
        </is>
      </c>
      <c r="W6" s="255" t="inlineStr">
        <is>
          <t>Término Cronograma</t>
        </is>
      </c>
      <c r="X6" s="255" t="inlineStr">
        <is>
          <t>Desvio Previsão × Cronograma (D.U.)</t>
        </is>
      </c>
      <c r="Y6" s="255" t="inlineStr">
        <is>
          <t>AUX Peso</t>
        </is>
      </c>
      <c r="Z6" s="255" t="inlineStr">
        <is>
          <t>AUX % Previsto</t>
        </is>
      </c>
      <c r="AA6" s="255" t="inlineStr">
        <is>
          <t>AUX % Realizado</t>
        </is>
      </c>
    </row>
    <row r="7" ht="21.75" customHeight="1">
      <c r="A7" s="62">
        <f>'METAS CLIENTE'!A5</f>
        <v/>
      </c>
      <c r="B7" s="159">
        <f>IF('METAS CLIENTE'!B5="","",'METAS CLIENTE'!B5)</f>
        <v/>
      </c>
      <c r="C7" s="317">
        <f>IF('METAS CLIENTE'!C5="","",'METAS CLIENTE'!C5)</f>
        <v/>
      </c>
      <c r="D7" s="317">
        <f>IF('METAS CLIENTE'!D5="","",'METAS CLIENTE'!D5)</f>
        <v/>
      </c>
      <c r="E7" s="159">
        <f>IF('METAS CLIENTE'!E5="","",'METAS CLIENTE'!E5)</f>
        <v/>
      </c>
      <c r="F7" s="159">
        <f>IF('METAS CLIENTE'!F5="","",'METAS CLIENTE'!F5)</f>
        <v/>
      </c>
      <c r="G7" s="317">
        <f>IF('METAS CLIENTE'!M5="","",'METAS CLIENTE'!M5)</f>
        <v/>
      </c>
      <c r="H7" s="317">
        <f>Q7</f>
        <v/>
      </c>
      <c r="I7" s="159">
        <f>IF(C7="","",SUMIFS('CONTROLE PRODUÇÃO POR EMPRESAS'!$B$6:$B$5000,'CONTROLE PRODUÇÃO POR EMPRESAS'!$A$6:$A$5000,"&lt;"&amp;C7,'CONTROLE PRODUÇÃO POR EMPRESAS'!$A$6:$A$5000,"&lt;="&amp;$A$4)+SUMIFS('CONTROLE PRODUÇÃO POR EMPRESAS'!$E$6:$E$5000,'CONTROLE PRODUÇÃO POR EMPRESAS'!$A$6:$A$5000,"&lt;"&amp;C7,'CONTROLE PRODUÇÃO POR EMPRESAS'!$A$6:$A$5000,"&lt;="&amp;$A$4))</f>
        <v/>
      </c>
      <c r="J7" s="159">
        <f>IF(C7="","",SUMIFS('CONTROLE PRODUÇÃO POR EMPRESAS'!$B$6:$B$5000,'CONTROLE PRODUÇÃO POR EMPRESAS'!$A$6:$A$5000,"&gt;="&amp;C7,'CONTROLE PRODUÇÃO POR EMPRESAS'!$A$6:$A$5000,"&lt;="&amp;$A$4)+SUMIFS('CONTROLE PRODUÇÃO POR EMPRESAS'!$E$6:$E$5000,'CONTROLE PRODUÇÃO POR EMPRESAS'!$A$6:$A$5000,"&gt;="&amp;C7,'CONTROLE PRODUÇÃO POR EMPRESAS'!$A$6:$A$5000,"&lt;="&amp;$A$4))</f>
        <v/>
      </c>
      <c r="K7" s="159">
        <f>IF(C7="","",I7+J7)</f>
        <v/>
      </c>
      <c r="L7" s="159">
        <f>IF(OR(B7="",C7="",E7=""),"",IF($A$4&lt;C7,0,MIN(B7,E7*NETWORKDAYS.INTL(C7,$A$4,IF(F7=5,"0000011",IF(F7=6,"0000001","0000000"))))))</f>
        <v/>
      </c>
      <c r="M7" s="159">
        <f>IF(L7="","",K7-L7)</f>
        <v/>
      </c>
      <c r="N7" s="319">
        <f>IFERROR(K7/B7,"")</f>
        <v/>
      </c>
      <c r="O7" s="159">
        <f>IF(OR(D7="",$A$4&lt;D7),"",IFERROR((SUMIFS('CONTROLE PRODUÇÃO POR EMPRESAS'!$B$6:$B$5000,'CONTROLE PRODUÇÃO POR EMPRESAS'!$A$6:$A$5000,"&gt;="&amp;D7,'CONTROLE PRODUÇÃO POR EMPRESAS'!$A$6:$A$5000,"&lt;="&amp;$A$4)+SUMIFS('CONTROLE PRODUÇÃO POR EMPRESAS'!$E$6:$E$5000,'CONTROLE PRODUÇÃO POR EMPRESAS'!$A$6:$A$5000,"&gt;="&amp;D7,'CONTROLE PRODUÇÃO POR EMPRESAS'!$A$6:$A$5000,"&lt;="&amp;$A$4))/MAX(1,NETWORKDAYS.INTL(D7,$A$4,IF(F7=5,"0000011",IF(F7=6,"0000001","0000000")))),0))</f>
        <v/>
      </c>
      <c r="P7" s="159">
        <f>IF(B7="","",MAX(B7-K7,0))</f>
        <v/>
      </c>
      <c r="Q7" s="317">
        <f>IF(OR(B7="",C7="",E7=""),"",IF(P7=0,$A$4,IF(AND($A$4&lt;C7,K7=0),G7,WORKDAY.INTL($A$4,ROUNDUP(P7/IF(N(O7)&gt;0,IF(NETWORKDAYS.INTL(D7,$A$4,IF(F7=5,"0000011",IF(F7=6,"0000001","0000000")))&gt;=5,O7,E7),E7),0),IF(F7=5,"0000011",IF(F7=6,"0000001","0000000"))))))</f>
        <v/>
      </c>
      <c r="R7" s="97">
        <f>IF(OR(G7="",Q7=""),"",IF(Q7=G7,0,IF(Q7&gt;G7,NETWORKDAYS.INTL(G7,Q7,IF(F7=5,"0000011",IF(F7=6,"0000001","0000000")))-1,-(NETWORKDAYS.INTL(Q7,G7,IF(F7=5,"0000011",IF(F7=6,"0000001","0000000")))-1))))</f>
        <v/>
      </c>
      <c r="S7">
        <f>IF(B7="","CONFIGURAR",IF(K7&gt;=B7,"CONCLUÍDO",IF(Q7&lt;G7,"ADIANTADO",IF(Q7=G7,"NO PRAZO","ATRASO"))))</f>
        <v/>
      </c>
      <c r="T7" s="162">
        <f>IF(B7="","Informe a quantidade em METAS CLIENTE",IF(M7&gt;0,"Crédito / produção acima do previsto",IF(M7&lt;0,"Produção abaixo do previsto","Aderente ao previsto")))</f>
        <v/>
      </c>
      <c r="U7" s="159">
        <f>IF(OR(P7="",G7="",C7=""),"",IF(P7=0,0,IF($A$4&gt;=G7,P7,P7/MAX(1,NETWORKDAYS.INTL(MAX($A$4+1,C7),G7,IF(F7=5,"0000011",IF(F7=6,"0000001","0000000")))))))</f>
        <v/>
      </c>
      <c r="V7" s="62">
        <f>'METAS CLIENTE'!N5</f>
        <v/>
      </c>
      <c r="W7" s="317">
        <f>IF('METAS CLIENTE'!R5="","",'METAS CLIENTE'!R5)</f>
        <v/>
      </c>
      <c r="X7" s="97">
        <f>IF(OR(Q7="",W7=""),"",IF(Q7=W7,0,IF(Q7&gt;W7,NETWORKDAYS.INTL(W7,Q7,IF(F7=5,"0000011",IF(F7=6,"0000001","0000000")))-1,-(NETWORKDAYS.INTL(Q7,W7,IF(F7=5,"0000011",IF(F7=6,"0000001","0000000")))-1))))</f>
        <v/>
      </c>
      <c r="Y7" s="159">
        <f>IF(N(B7)&gt;0,'METAS CLIENTE'!L5,0)</f>
        <v/>
      </c>
      <c r="Z7" s="319">
        <f>IF(N(B7)&gt;0,N(L7)/B7,0)</f>
        <v/>
      </c>
      <c r="AA7" s="319">
        <f>IF(N(B7)&gt;0,N(K7)/B7,0)</f>
        <v/>
      </c>
    </row>
    <row r="8" ht="21.75" customHeight="1">
      <c r="A8" s="62">
        <f>'METAS CLIENTE'!A6</f>
        <v/>
      </c>
      <c r="B8" s="159">
        <f>IF('METAS CLIENTE'!B6="","",'METAS CLIENTE'!B6)</f>
        <v/>
      </c>
      <c r="C8" s="317">
        <f>IF('METAS CLIENTE'!C6="","",'METAS CLIENTE'!C6)</f>
        <v/>
      </c>
      <c r="D8" s="317">
        <f>IF('METAS CLIENTE'!D6="","",'METAS CLIENTE'!D6)</f>
        <v/>
      </c>
      <c r="E8" s="159">
        <f>IF('METAS CLIENTE'!E6="","",'METAS CLIENTE'!E6)</f>
        <v/>
      </c>
      <c r="F8" s="159">
        <f>IF('METAS CLIENTE'!F6="","",'METAS CLIENTE'!F6)</f>
        <v/>
      </c>
      <c r="G8" s="317">
        <f>IF('METAS CLIENTE'!M6="","",'METAS CLIENTE'!M6)</f>
        <v/>
      </c>
      <c r="H8" s="317">
        <f>Q8</f>
        <v/>
      </c>
      <c r="I8" s="159">
        <f>IF(C8="","",SUMIFS('CONTROLE PRODUÇÃO POR EMPRESAS'!$C$6:$C$5000,'CONTROLE PRODUÇÃO POR EMPRESAS'!$A$6:$A$5000,"&lt;"&amp;C8,'CONTROLE PRODUÇÃO POR EMPRESAS'!$A$6:$A$5000,"&lt;="&amp;$A$4)+SUMIFS('CONTROLE PRODUÇÃO POR EMPRESAS'!$F$6:$F$5000,'CONTROLE PRODUÇÃO POR EMPRESAS'!$A$6:$A$5000,"&lt;"&amp;C8,'CONTROLE PRODUÇÃO POR EMPRESAS'!$A$6:$A$5000,"&lt;="&amp;$A$4))</f>
        <v/>
      </c>
      <c r="J8" s="159">
        <f>IF(C8="","",SUMIFS('CONTROLE PRODUÇÃO POR EMPRESAS'!$C$6:$C$5000,'CONTROLE PRODUÇÃO POR EMPRESAS'!$A$6:$A$5000,"&gt;="&amp;C8,'CONTROLE PRODUÇÃO POR EMPRESAS'!$A$6:$A$5000,"&lt;="&amp;$A$4)+SUMIFS('CONTROLE PRODUÇÃO POR EMPRESAS'!$F$6:$F$5000,'CONTROLE PRODUÇÃO POR EMPRESAS'!$A$6:$A$5000,"&gt;="&amp;C8,'CONTROLE PRODUÇÃO POR EMPRESAS'!$A$6:$A$5000,"&lt;="&amp;$A$4))</f>
        <v/>
      </c>
      <c r="K8" s="159">
        <f>IF(C8="","",I8+J8)</f>
        <v/>
      </c>
      <c r="L8" s="159">
        <f>IF(OR(B8="",C8="",E8=""),"",IF($A$4&lt;C8,0,MIN(B8,E8*NETWORKDAYS.INTL(C8,$A$4,IF(F8=5,"0000011",IF(F8=6,"0000001","0000000"))))))</f>
        <v/>
      </c>
      <c r="M8" s="159">
        <f>IF(L8="","",K8-L8)</f>
        <v/>
      </c>
      <c r="N8" s="319">
        <f>IFERROR(K8/B8,"")</f>
        <v/>
      </c>
      <c r="O8" s="159">
        <f>IF(OR(D8="",$A$4&lt;D8),"",IFERROR((SUMIFS('CONTROLE PRODUÇÃO POR EMPRESAS'!$C$6:$C$5000,'CONTROLE PRODUÇÃO POR EMPRESAS'!$A$6:$A$5000,"&gt;="&amp;D8,'CONTROLE PRODUÇÃO POR EMPRESAS'!$A$6:$A$5000,"&lt;="&amp;$A$4)+SUMIFS('CONTROLE PRODUÇÃO POR EMPRESAS'!$F$6:$F$5000,'CONTROLE PRODUÇÃO POR EMPRESAS'!$A$6:$A$5000,"&gt;="&amp;D8,'CONTROLE PRODUÇÃO POR EMPRESAS'!$A$6:$A$5000,"&lt;="&amp;$A$4))/MAX(1,NETWORKDAYS.INTL(D8,$A$4,IF(F8=5,"0000011",IF(F8=6,"0000001","0000000")))),0))</f>
        <v/>
      </c>
      <c r="P8" s="159">
        <f>IF(B8="","",MAX(B8-K8,0))</f>
        <v/>
      </c>
      <c r="Q8" s="317">
        <f>IF(OR(B8="",C8="",E8=""),"",IF(P8=0,$A$4,IF(AND($A$4&lt;C8,K8=0),G8,WORKDAY.INTL($A$4,ROUNDUP(P8/IF(N(O8)&gt;0,IF(NETWORKDAYS.INTL(D8,$A$4,IF(F8=5,"0000011",IF(F8=6,"0000001","0000000")))&gt;=5,O8,E8),E8),0),IF(F8=5,"0000011",IF(F8=6,"0000001","0000000"))))))</f>
        <v/>
      </c>
      <c r="R8" s="97">
        <f>IF(OR(G8="",Q8=""),"",IF(Q8=G8,0,IF(Q8&gt;G8,NETWORKDAYS.INTL(G8,Q8,IF(F8=5,"0000011",IF(F8=6,"0000001","0000000")))-1,-(NETWORKDAYS.INTL(Q8,G8,IF(F8=5,"0000011",IF(F8=6,"0000001","0000000")))-1))))</f>
        <v/>
      </c>
      <c r="S8">
        <f>IF(B8="","CONFIGURAR",IF(K8&gt;=B8,"CONCLUÍDO",IF(Q8&lt;G8,"ADIANTADO",IF(Q8=G8,"NO PRAZO","ATRASO"))))</f>
        <v/>
      </c>
      <c r="T8" s="162">
        <f>IF(B8="","Informe a quantidade em METAS CLIENTE",IF(M8&gt;0,"Crédito / produção acima do previsto",IF(M8&lt;0,"Produção abaixo do previsto","Aderente ao previsto")))</f>
        <v/>
      </c>
      <c r="U8" s="159">
        <f>IF(OR(P8="",G8="",C8=""),"",IF(P8=0,0,IF($A$4&gt;=G8,P8,P8/MAX(1,NETWORKDAYS.INTL(MAX($A$4+1,C8),G8,IF(F8=5,"0000011",IF(F8=6,"0000001","0000000")))))))</f>
        <v/>
      </c>
      <c r="V8" s="62">
        <f>'METAS CLIENTE'!N6</f>
        <v/>
      </c>
      <c r="W8" s="317">
        <f>IF('METAS CLIENTE'!R6="","",'METAS CLIENTE'!R6)</f>
        <v/>
      </c>
      <c r="X8" s="97">
        <f>IF(OR(Q8="",W8=""),"",IF(Q8=W8,0,IF(Q8&gt;W8,NETWORKDAYS.INTL(W8,Q8,IF(F8=5,"0000011",IF(F8=6,"0000001","0000000")))-1,-(NETWORKDAYS.INTL(Q8,W8,IF(F8=5,"0000011",IF(F8=6,"0000001","0000000")))-1))))</f>
        <v/>
      </c>
      <c r="Y8" s="159">
        <f>IF(N(B8)&gt;0,'METAS CLIENTE'!L6,0)</f>
        <v/>
      </c>
      <c r="Z8" s="319">
        <f>IF(N(B8)&gt;0,N(L8)/B8,0)</f>
        <v/>
      </c>
      <c r="AA8" s="319">
        <f>IF(N(B8)&gt;0,N(K8)/B8,0)</f>
        <v/>
      </c>
    </row>
    <row r="9" ht="21.75" customHeight="1">
      <c r="A9" s="62">
        <f>'METAS CLIENTE'!A7</f>
        <v/>
      </c>
      <c r="B9" s="159">
        <f>IF('METAS CLIENTE'!B7="","",'METAS CLIENTE'!B7)</f>
        <v/>
      </c>
      <c r="C9" s="317">
        <f>IF('METAS CLIENTE'!C7="","",'METAS CLIENTE'!C7)</f>
        <v/>
      </c>
      <c r="D9" s="317">
        <f>IF('METAS CLIENTE'!D7="","",'METAS CLIENTE'!D7)</f>
        <v/>
      </c>
      <c r="E9" s="159">
        <f>IF('METAS CLIENTE'!E7="","",'METAS CLIENTE'!E7)</f>
        <v/>
      </c>
      <c r="F9" s="159">
        <f>IF('METAS CLIENTE'!F7="","",'METAS CLIENTE'!F7)</f>
        <v/>
      </c>
      <c r="G9" s="317">
        <f>IF('METAS CLIENTE'!M7="","",'METAS CLIENTE'!M7)</f>
        <v/>
      </c>
      <c r="H9" s="317">
        <f>Q9</f>
        <v/>
      </c>
      <c r="I9" s="159">
        <f>IF(C9="","",SUMIFS('CONTROLE PRODUÇÃO POR EMPRESAS'!$D$6:$D$5000,'CONTROLE PRODUÇÃO POR EMPRESAS'!$A$6:$A$5000,"&lt;"&amp;C9,'CONTROLE PRODUÇÃO POR EMPRESAS'!$A$6:$A$5000,"&lt;="&amp;$A$4)+SUMIFS('CONTROLE PRODUÇÃO POR EMPRESAS'!$G$6:$G$5000,'CONTROLE PRODUÇÃO POR EMPRESAS'!$A$6:$A$5000,"&lt;"&amp;C9,'CONTROLE PRODUÇÃO POR EMPRESAS'!$A$6:$A$5000,"&lt;="&amp;$A$4))</f>
        <v/>
      </c>
      <c r="J9" s="159">
        <f>IF(C9="","",SUMIFS('CONTROLE PRODUÇÃO POR EMPRESAS'!$D$6:$D$5000,'CONTROLE PRODUÇÃO POR EMPRESAS'!$A$6:$A$5000,"&gt;="&amp;C9,'CONTROLE PRODUÇÃO POR EMPRESAS'!$A$6:$A$5000,"&lt;="&amp;$A$4)+SUMIFS('CONTROLE PRODUÇÃO POR EMPRESAS'!$G$6:$G$5000,'CONTROLE PRODUÇÃO POR EMPRESAS'!$A$6:$A$5000,"&gt;="&amp;C9,'CONTROLE PRODUÇÃO POR EMPRESAS'!$A$6:$A$5000,"&lt;="&amp;$A$4))</f>
        <v/>
      </c>
      <c r="K9" s="159">
        <f>IF(C9="","",I9+J9)</f>
        <v/>
      </c>
      <c r="L9" s="159">
        <f>IF(OR(B9="",C9="",E9=""),"",IF($A$4&lt;C9,0,MIN(B9,E9*NETWORKDAYS.INTL(C9,$A$4,IF(F9=5,"0000011",IF(F9=6,"0000001","0000000"))))))</f>
        <v/>
      </c>
      <c r="M9" s="159">
        <f>IF(L9="","",K9-L9)</f>
        <v/>
      </c>
      <c r="N9" s="319">
        <f>IFERROR(K9/B9,"")</f>
        <v/>
      </c>
      <c r="O9" s="159">
        <f>IF(OR(D9="",$A$4&lt;D9),"",IFERROR((SUMIFS('CONTROLE PRODUÇÃO POR EMPRESAS'!$D$6:$D$5000,'CONTROLE PRODUÇÃO POR EMPRESAS'!$A$6:$A$5000,"&gt;="&amp;D9,'CONTROLE PRODUÇÃO POR EMPRESAS'!$A$6:$A$5000,"&lt;="&amp;$A$4)+SUMIFS('CONTROLE PRODUÇÃO POR EMPRESAS'!$G$6:$G$5000,'CONTROLE PRODUÇÃO POR EMPRESAS'!$A$6:$A$5000,"&gt;="&amp;D9,'CONTROLE PRODUÇÃO POR EMPRESAS'!$A$6:$A$5000,"&lt;="&amp;$A$4))/MAX(1,NETWORKDAYS.INTL(D9,$A$4,IF(F9=5,"0000011",IF(F9=6,"0000001","0000000")))),0))</f>
        <v/>
      </c>
      <c r="P9" s="159">
        <f>IF(B9="","",MAX(B9-K9,0))</f>
        <v/>
      </c>
      <c r="Q9" s="317">
        <f>IF(OR(B9="",C9="",E9=""),"",IF(P9=0,$A$4,IF(AND($A$4&lt;C9,K9=0),G9,WORKDAY.INTL($A$4,ROUNDUP(P9/IF(N(O9)&gt;0,IF(NETWORKDAYS.INTL(D9,$A$4,IF(F9=5,"0000011",IF(F9=6,"0000001","0000000")))&gt;=5,O9,E9),E9),0),IF(F9=5,"0000011",IF(F9=6,"0000001","0000000"))))))</f>
        <v/>
      </c>
      <c r="R9" s="97">
        <f>IF(OR(G9="",Q9=""),"",IF(Q9=G9,0,IF(Q9&gt;G9,NETWORKDAYS.INTL(G9,Q9,IF(F9=5,"0000011",IF(F9=6,"0000001","0000000")))-1,-(NETWORKDAYS.INTL(Q9,G9,IF(F9=5,"0000011",IF(F9=6,"0000001","0000000")))-1))))</f>
        <v/>
      </c>
      <c r="S9">
        <f>IF(B9="","CONFIGURAR",IF(K9&gt;=B9,"CONCLUÍDO",IF(Q9&lt;G9,"ADIANTADO",IF(Q9=G9,"NO PRAZO","ATRASO"))))</f>
        <v/>
      </c>
      <c r="T9" s="162">
        <f>IF(B9="","Informe a quantidade em METAS CLIENTE",IF(M9&gt;0,"Crédito / produção acima do previsto",IF(M9&lt;0,"Produção abaixo do previsto","Aderente ao previsto")))</f>
        <v/>
      </c>
      <c r="U9" s="159">
        <f>IF(OR(P9="",G9="",C9=""),"",IF(P9=0,0,IF($A$4&gt;=G9,P9,P9/MAX(1,NETWORKDAYS.INTL(MAX($A$4+1,C9),G9,IF(F9=5,"0000011",IF(F9=6,"0000001","0000000")))))))</f>
        <v/>
      </c>
      <c r="V9" s="62">
        <f>'METAS CLIENTE'!N7</f>
        <v/>
      </c>
      <c r="W9" s="317">
        <f>IF('METAS CLIENTE'!R7="","",'METAS CLIENTE'!R7)</f>
        <v/>
      </c>
      <c r="X9" s="97">
        <f>IF(OR(Q9="",W9=""),"",IF(Q9=W9,0,IF(Q9&gt;W9,NETWORKDAYS.INTL(W9,Q9,IF(F9=5,"0000011",IF(F9=6,"0000001","0000000")))-1,-(NETWORKDAYS.INTL(Q9,W9,IF(F9=5,"0000011",IF(F9=6,"0000001","0000000")))-1))))</f>
        <v/>
      </c>
      <c r="Y9" s="159">
        <f>IF(N(B9)&gt;0,'METAS CLIENTE'!L7,0)</f>
        <v/>
      </c>
      <c r="Z9" s="319">
        <f>IF(N(B9)&gt;0,N(L9)/B9,0)</f>
        <v/>
      </c>
      <c r="AA9" s="319">
        <f>IF(N(B9)&gt;0,N(K9)/B9,0)</f>
        <v/>
      </c>
    </row>
    <row r="10" ht="21.75" customHeight="1">
      <c r="A10" s="62">
        <f>'METAS CLIENTE'!A8</f>
        <v/>
      </c>
      <c r="B10" s="159">
        <f>IF('METAS CLIENTE'!B8="","",'METAS CLIENTE'!B8)</f>
        <v/>
      </c>
      <c r="C10" s="317">
        <f>IF('METAS CLIENTE'!C8="","",'METAS CLIENTE'!C8)</f>
        <v/>
      </c>
      <c r="D10" s="317">
        <f>IF('METAS CLIENTE'!D8="","",'METAS CLIENTE'!D8)</f>
        <v/>
      </c>
      <c r="E10" s="159">
        <f>IF('METAS CLIENTE'!E8="","",'METAS CLIENTE'!E8)</f>
        <v/>
      </c>
      <c r="F10" s="159">
        <f>IF('METAS CLIENTE'!F8="","",'METAS CLIENTE'!F8)</f>
        <v/>
      </c>
      <c r="G10" s="317">
        <f>IF('METAS CLIENTE'!M8="","",'METAS CLIENTE'!M8)</f>
        <v/>
      </c>
      <c r="H10" s="317">
        <f>Q10</f>
        <v/>
      </c>
      <c r="I10" s="159">
        <f>IF(C10="","",SUMIFS('CONTROLE PRODUÇÃO POR EMPRESAS'!$H$6:$H$5000,'CONTROLE PRODUÇÃO POR EMPRESAS'!$A$6:$A$5000,"&lt;"&amp;C10,'CONTROLE PRODUÇÃO POR EMPRESAS'!$A$6:$A$5000,"&lt;="&amp;$A$4))</f>
        <v/>
      </c>
      <c r="J10" s="159">
        <f>IF(C10="","",SUMIFS('CONTROLE PRODUÇÃO POR EMPRESAS'!$H$6:$H$5000,'CONTROLE PRODUÇÃO POR EMPRESAS'!$A$6:$A$5000,"&gt;="&amp;C10,'CONTROLE PRODUÇÃO POR EMPRESAS'!$A$6:$A$5000,"&lt;="&amp;$A$4))</f>
        <v/>
      </c>
      <c r="K10" s="159">
        <f>IF(C10="","",I10+J10)</f>
        <v/>
      </c>
      <c r="L10" s="159">
        <f>IF(OR(B10="",C10="",E10=""),"",IF($A$4&lt;C10,0,MIN(B10,E10*NETWORKDAYS.INTL(C10,$A$4,IF(F10=5,"0000011",IF(F10=6,"0000001","0000000"))))))</f>
        <v/>
      </c>
      <c r="M10" s="159">
        <f>IF(L10="","",K10-L10)</f>
        <v/>
      </c>
      <c r="N10" s="319">
        <f>IFERROR(K10/B10,"")</f>
        <v/>
      </c>
      <c r="O10" s="159">
        <f>IF(OR(D10="",$A$4&lt;D10),"",IFERROR((SUMIFS('CONTROLE PRODUÇÃO POR EMPRESAS'!$H$6:$H$5000,'CONTROLE PRODUÇÃO POR EMPRESAS'!$A$6:$A$5000,"&gt;="&amp;D10,'CONTROLE PRODUÇÃO POR EMPRESAS'!$A$6:$A$5000,"&lt;="&amp;$A$4))/MAX(1,NETWORKDAYS.INTL(D10,$A$4,IF(F10=5,"0000011",IF(F10=6,"0000001","0000000")))),0))</f>
        <v/>
      </c>
      <c r="P10" s="159">
        <f>IF(B10="","",MAX(B10-K10,0))</f>
        <v/>
      </c>
      <c r="Q10" s="317">
        <f>IF(OR(B10="",C10="",E10=""),"",IF(P10=0,$A$4,IF(AND($A$4&lt;C10,K10=0),G10,WORKDAY.INTL($A$4,ROUNDUP(P10/IF(N(O10)&gt;0,IF(NETWORKDAYS.INTL(D10,$A$4,IF(F10=5,"0000011",IF(F10=6,"0000001","0000000")))&gt;=5,O10,E10),E10),0),IF(F10=5,"0000011",IF(F10=6,"0000001","0000000"))))))</f>
        <v/>
      </c>
      <c r="R10" s="97">
        <f>IF(OR(G10="",Q10=""),"",IF(Q10=G10,0,IF(Q10&gt;G10,NETWORKDAYS.INTL(G10,Q10,IF(F10=5,"0000011",IF(F10=6,"0000001","0000000")))-1,-(NETWORKDAYS.INTL(Q10,G10,IF(F10=5,"0000011",IF(F10=6,"0000001","0000000")))-1))))</f>
        <v/>
      </c>
      <c r="S10">
        <f>IF(B10="","CONFIGURAR",IF(K10&gt;=B10,"CONCLUÍDO",IF(Q10&lt;G10,"ADIANTADO",IF(Q10=G10,"NO PRAZO","ATRASO"))))</f>
        <v/>
      </c>
      <c r="T10" s="162">
        <f>IF(B10="","Informe a quantidade em METAS CLIENTE",IF(M10&gt;0,"Crédito / produção acima do previsto",IF(M10&lt;0,"Produção abaixo do previsto","Aderente ao previsto")))</f>
        <v/>
      </c>
      <c r="U10" s="159">
        <f>IF(OR(P10="",G10="",C10=""),"",IF(P10=0,0,IF($A$4&gt;=G10,P10,P10/MAX(1,NETWORKDAYS.INTL(MAX($A$4+1,C10),G10,IF(F10=5,"0000011",IF(F10=6,"0000001","0000000")))))))</f>
        <v/>
      </c>
      <c r="V10" s="62">
        <f>'METAS CLIENTE'!N8</f>
        <v/>
      </c>
      <c r="W10" s="317">
        <f>IF('METAS CLIENTE'!R8="","",'METAS CLIENTE'!R8)</f>
        <v/>
      </c>
      <c r="X10" s="97">
        <f>IF(OR(Q10="",W10=""),"",IF(Q10=W10,0,IF(Q10&gt;W10,NETWORKDAYS.INTL(W10,Q10,IF(F10=5,"0000011",IF(F10=6,"0000001","0000000")))-1,-(NETWORKDAYS.INTL(Q10,W10,IF(F10=5,"0000011",IF(F10=6,"0000001","0000000")))-1))))</f>
        <v/>
      </c>
      <c r="Y10" s="159">
        <f>IF(N(B10)&gt;0,'METAS CLIENTE'!L8,0)</f>
        <v/>
      </c>
      <c r="Z10" s="319">
        <f>IF(N(B10)&gt;0,N(L10)/B10,0)</f>
        <v/>
      </c>
      <c r="AA10" s="319">
        <f>IF(N(B10)&gt;0,N(K10)/B10,0)</f>
        <v/>
      </c>
    </row>
    <row r="11" ht="21.75" customHeight="1">
      <c r="A11" s="62">
        <f>'METAS CLIENTE'!A9</f>
        <v/>
      </c>
      <c r="B11" s="159">
        <f>IF('METAS CLIENTE'!B9="","",'METAS CLIENTE'!B9)</f>
        <v/>
      </c>
      <c r="C11" s="317">
        <f>IF('METAS CLIENTE'!C9="","",'METAS CLIENTE'!C9)</f>
        <v/>
      </c>
      <c r="D11" s="317">
        <f>IF('METAS CLIENTE'!D9="","",'METAS CLIENTE'!D9)</f>
        <v/>
      </c>
      <c r="E11" s="159">
        <f>IF('METAS CLIENTE'!E9="","",'METAS CLIENTE'!E9)</f>
        <v/>
      </c>
      <c r="F11" s="159">
        <f>IF('METAS CLIENTE'!F9="","",'METAS CLIENTE'!F9)</f>
        <v/>
      </c>
      <c r="G11" s="317">
        <f>IF('METAS CLIENTE'!M9="","",'METAS CLIENTE'!M9)</f>
        <v/>
      </c>
      <c r="H11" s="317">
        <f>Q11</f>
        <v/>
      </c>
      <c r="I11" s="159">
        <f>IF(C11="","",SUMIFS('CONTROLE PRODUÇÃO POR EMPRESAS'!$I$6:$I$5000,'CONTROLE PRODUÇÃO POR EMPRESAS'!$A$6:$A$5000,"&lt;"&amp;C11,'CONTROLE PRODUÇÃO POR EMPRESAS'!$A$6:$A$5000,"&lt;="&amp;$A$4))</f>
        <v/>
      </c>
      <c r="J11" s="159">
        <f>IF(C11="","",SUMIFS('CONTROLE PRODUÇÃO POR EMPRESAS'!$I$6:$I$5000,'CONTROLE PRODUÇÃO POR EMPRESAS'!$A$6:$A$5000,"&gt;="&amp;C11,'CONTROLE PRODUÇÃO POR EMPRESAS'!$A$6:$A$5000,"&lt;="&amp;$A$4))</f>
        <v/>
      </c>
      <c r="K11" s="159">
        <f>IF(C11="","",I11+J11)</f>
        <v/>
      </c>
      <c r="L11" s="159">
        <f>IF(OR(B11="",C11="",E11=""),"",IF($A$4&lt;C11,0,MIN(B11,E11*NETWORKDAYS.INTL(C11,$A$4,IF(F11=5,"0000011",IF(F11=6,"0000001","0000000"))))))</f>
        <v/>
      </c>
      <c r="M11" s="159">
        <f>IF(L11="","",K11-L11)</f>
        <v/>
      </c>
      <c r="N11" s="319">
        <f>IFERROR(K11/B11,"")</f>
        <v/>
      </c>
      <c r="O11" s="159">
        <f>IF(OR(D11="",$A$4&lt;D11),"",IFERROR((SUMIFS('CONTROLE PRODUÇÃO POR EMPRESAS'!$I$6:$I$5000,'CONTROLE PRODUÇÃO POR EMPRESAS'!$A$6:$A$5000,"&gt;="&amp;D11,'CONTROLE PRODUÇÃO POR EMPRESAS'!$A$6:$A$5000,"&lt;="&amp;$A$4))/MAX(1,NETWORKDAYS.INTL(D11,$A$4,IF(F11=5,"0000011",IF(F11=6,"0000001","0000000")))),0))</f>
        <v/>
      </c>
      <c r="P11" s="159">
        <f>IF(B11="","",MAX(B11-K11,0))</f>
        <v/>
      </c>
      <c r="Q11" s="317">
        <f>IF(OR(B11="",C11="",E11=""),"",IF(P11=0,$A$4,IF(AND($A$4&lt;C11,K11=0),G11,WORKDAY.INTL($A$4,ROUNDUP(P11/IF(N(O11)&gt;0,IF(NETWORKDAYS.INTL(D11,$A$4,IF(F11=5,"0000011",IF(F11=6,"0000001","0000000")))&gt;=5,O11,E11),E11),0),IF(F11=5,"0000011",IF(F11=6,"0000001","0000000"))))))</f>
        <v/>
      </c>
      <c r="R11" s="97">
        <f>IF(OR(G11="",Q11=""),"",IF(Q11=G11,0,IF(Q11&gt;G11,NETWORKDAYS.INTL(G11,Q11,IF(F11=5,"0000011",IF(F11=6,"0000001","0000000")))-1,-(NETWORKDAYS.INTL(Q11,G11,IF(F11=5,"0000011",IF(F11=6,"0000001","0000000")))-1))))</f>
        <v/>
      </c>
      <c r="S11">
        <f>IF(B11="","CONFIGURAR",IF(K11&gt;=B11,"CONCLUÍDO",IF(Q11&lt;G11,"ADIANTADO",IF(Q11=G11,"NO PRAZO","ATRASO"))))</f>
        <v/>
      </c>
      <c r="T11" s="162">
        <f>IF(B11="","Informe a quantidade em METAS CLIENTE",IF(M11&gt;0,"Crédito / produção acima do previsto",IF(M11&lt;0,"Produção abaixo do previsto","Aderente ao previsto")))</f>
        <v/>
      </c>
      <c r="U11" s="159">
        <f>IF(OR(P11="",G11="",C11=""),"",IF(P11=0,0,IF($A$4&gt;=G11,P11,P11/MAX(1,NETWORKDAYS.INTL(MAX($A$4+1,C11),G11,IF(F11=5,"0000011",IF(F11=6,"0000001","0000000")))))))</f>
        <v/>
      </c>
      <c r="V11" s="62">
        <f>'METAS CLIENTE'!N9</f>
        <v/>
      </c>
      <c r="W11" s="317">
        <f>IF('METAS CLIENTE'!R9="","",'METAS CLIENTE'!R9)</f>
        <v/>
      </c>
      <c r="X11" s="97">
        <f>IF(OR(Q11="",W11=""),"",IF(Q11=W11,0,IF(Q11&gt;W11,NETWORKDAYS.INTL(W11,Q11,IF(F11=5,"0000011",IF(F11=6,"0000001","0000000")))-1,-(NETWORKDAYS.INTL(Q11,W11,IF(F11=5,"0000011",IF(F11=6,"0000001","0000000")))-1))))</f>
        <v/>
      </c>
      <c r="Y11" s="159">
        <f>IF(N(B11)&gt;0,'METAS CLIENTE'!L9,0)</f>
        <v/>
      </c>
      <c r="Z11" s="319">
        <f>IF(N(B11)&gt;0,N(L11)/B11,0)</f>
        <v/>
      </c>
      <c r="AA11" s="319">
        <f>IF(N(B11)&gt;0,N(K11)/B11,0)</f>
        <v/>
      </c>
    </row>
    <row r="12" ht="21.75" customHeight="1">
      <c r="A12" s="62">
        <f>'METAS CLIENTE'!A10</f>
        <v/>
      </c>
      <c r="B12" s="159">
        <f>IF('METAS CLIENTE'!B10="","",'METAS CLIENTE'!B10)</f>
        <v/>
      </c>
      <c r="C12" s="317">
        <f>IF('METAS CLIENTE'!C10="","",'METAS CLIENTE'!C10)</f>
        <v/>
      </c>
      <c r="D12" s="317">
        <f>IF('METAS CLIENTE'!D10="","",'METAS CLIENTE'!D10)</f>
        <v/>
      </c>
      <c r="E12" s="159">
        <f>IF('METAS CLIENTE'!E10="","",'METAS CLIENTE'!E10)</f>
        <v/>
      </c>
      <c r="F12" s="159">
        <f>IF('METAS CLIENTE'!F10="","",'METAS CLIENTE'!F10)</f>
        <v/>
      </c>
      <c r="G12" s="317">
        <f>IF('METAS CLIENTE'!M10="","",'METAS CLIENTE'!M10)</f>
        <v/>
      </c>
      <c r="H12" s="317">
        <f>Q12</f>
        <v/>
      </c>
      <c r="I12" s="159">
        <f>IF(C12="","",SUMIFS('CONTROLE PRODUÇÃO POR EMPRESAS'!$AH$6:$AH$5000,'CONTROLE PRODUÇÃO POR EMPRESAS'!$A$6:$A$5000,"&lt;"&amp;C12,'CONTROLE PRODUÇÃO POR EMPRESAS'!$A$6:$A$5000,"&lt;="&amp;$A$4))</f>
        <v/>
      </c>
      <c r="J12" s="159">
        <f>IF(C12="","",SUMIFS('CONTROLE PRODUÇÃO POR EMPRESAS'!$AH$6:$AH$5000,'CONTROLE PRODUÇÃO POR EMPRESAS'!$A$6:$A$5000,"&gt;="&amp;C12,'CONTROLE PRODUÇÃO POR EMPRESAS'!$A$6:$A$5000,"&lt;="&amp;$A$4))</f>
        <v/>
      </c>
      <c r="K12" s="159">
        <f>IF(C12="","",I12+J12)</f>
        <v/>
      </c>
      <c r="L12" s="159">
        <f>IF(OR(B12="",C12="",E12=""),"",IF($A$4&lt;C12,0,MIN(B12,E12*NETWORKDAYS.INTL(C12,$A$4,IF(F12=5,"0000011",IF(F12=6,"0000001","0000000"))))))</f>
        <v/>
      </c>
      <c r="M12" s="159">
        <f>IF(L12="","",K12-L12)</f>
        <v/>
      </c>
      <c r="N12" s="319">
        <f>IFERROR(K12/B12,"")</f>
        <v/>
      </c>
      <c r="O12" s="159">
        <f>IF(OR(D12="",$A$4&lt;D12),"",IFERROR((SUMIFS('CONTROLE PRODUÇÃO POR EMPRESAS'!$AH$6:$AH$5000,'CONTROLE PRODUÇÃO POR EMPRESAS'!$A$6:$A$5000,"&gt;="&amp;D12,'CONTROLE PRODUÇÃO POR EMPRESAS'!$A$6:$A$5000,"&lt;="&amp;$A$4))/MAX(1,NETWORKDAYS.INTL(D12,$A$4,IF(F12=5,"0000011",IF(F12=6,"0000001","0000000")))),0))</f>
        <v/>
      </c>
      <c r="P12" s="159">
        <f>IF(B12="","",MAX(B12-K12,0))</f>
        <v/>
      </c>
      <c r="Q12" s="317">
        <f>IF(OR(B12="",C12="",E12=""),"",IF(P12=0,$A$4,IF(AND($A$4&lt;C12,K12=0),G12,WORKDAY.INTL($A$4,ROUNDUP(P12/IF(N(O12)&gt;0,IF(NETWORKDAYS.INTL(D12,$A$4,IF(F12=5,"0000011",IF(F12=6,"0000001","0000000")))&gt;=5,O12,E12),E12),0),IF(F12=5,"0000011",IF(F12=6,"0000001","0000000"))))))</f>
        <v/>
      </c>
      <c r="R12" s="97">
        <f>IF(OR(G12="",Q12=""),"",IF(Q12=G12,0,IF(Q12&gt;G12,NETWORKDAYS.INTL(G12,Q12,IF(F12=5,"0000011",IF(F12=6,"0000001","0000000")))-1,-(NETWORKDAYS.INTL(Q12,G12,IF(F12=5,"0000011",IF(F12=6,"0000001","0000000")))-1))))</f>
        <v/>
      </c>
      <c r="S12">
        <f>IF(B12="","CONFIGURAR",IF(K12&gt;=B12,"CONCLUÍDO",IF(Q12&lt;G12,"ADIANTADO",IF(Q12=G12,"NO PRAZO","ATRASO"))))</f>
        <v/>
      </c>
      <c r="T12" s="162">
        <f>IF(B12="","Informe a quantidade em METAS CLIENTE",IF(M12&gt;0,"Crédito / produção acima do previsto",IF(M12&lt;0,"Produção abaixo do previsto","Aderente ao previsto")))</f>
        <v/>
      </c>
      <c r="U12" s="159">
        <f>IF(OR(P12="",G12="",C12=""),"",IF(P12=0,0,IF($A$4&gt;=G12,P12,P12/MAX(1,NETWORKDAYS.INTL(MAX($A$4+1,C12),G12,IF(F12=5,"0000011",IF(F12=6,"0000001","0000000")))))))</f>
        <v/>
      </c>
      <c r="V12" s="62">
        <f>'METAS CLIENTE'!N10</f>
        <v/>
      </c>
      <c r="W12" s="317">
        <f>IF('METAS CLIENTE'!R10="","",'METAS CLIENTE'!R10)</f>
        <v/>
      </c>
      <c r="X12" s="97">
        <f>IF(OR(Q12="",W12=""),"",IF(Q12=W12,0,IF(Q12&gt;W12,NETWORKDAYS.INTL(W12,Q12,IF(F12=5,"0000011",IF(F12=6,"0000001","0000000")))-1,-(NETWORKDAYS.INTL(Q12,W12,IF(F12=5,"0000011",IF(F12=6,"0000001","0000000")))-1))))</f>
        <v/>
      </c>
      <c r="Y12" s="159">
        <f>IF(N(B12)&gt;0,'METAS CLIENTE'!L10,0)</f>
        <v/>
      </c>
      <c r="Z12" s="319">
        <f>IF(N(B12)&gt;0,N(L12)/B12,0)</f>
        <v/>
      </c>
      <c r="AA12" s="319">
        <f>IF(N(B12)&gt;0,N(K12)/B12,0)</f>
        <v/>
      </c>
    </row>
    <row r="13" ht="21.75" customHeight="1">
      <c r="A13" s="62">
        <f>'METAS CLIENTE'!A11</f>
        <v/>
      </c>
      <c r="B13" s="159">
        <f>IF('METAS CLIENTE'!B11="","",'METAS CLIENTE'!B11)</f>
        <v/>
      </c>
      <c r="C13" s="317">
        <f>IF('METAS CLIENTE'!C11="","",'METAS CLIENTE'!C11)</f>
        <v/>
      </c>
      <c r="D13" s="317">
        <f>IF('METAS CLIENTE'!D11="","",'METAS CLIENTE'!D11)</f>
        <v/>
      </c>
      <c r="E13" s="159">
        <f>IF('METAS CLIENTE'!E11="","",'METAS CLIENTE'!E11)</f>
        <v/>
      </c>
      <c r="F13" s="159">
        <f>IF('METAS CLIENTE'!F11="","",'METAS CLIENTE'!F11)</f>
        <v/>
      </c>
      <c r="G13" s="317">
        <f>IF('METAS CLIENTE'!M11="","",'METAS CLIENTE'!M11)</f>
        <v/>
      </c>
      <c r="H13" s="317">
        <f>Q13</f>
        <v/>
      </c>
      <c r="I13" s="159">
        <f>IF(C13="","",SUMIFS('CONTROLE PRODUÇÃO POR EMPRESAS'!$AI$6:$AI$5000,'CONTROLE PRODUÇÃO POR EMPRESAS'!$A$6:$A$5000,"&lt;"&amp;C13,'CONTROLE PRODUÇÃO POR EMPRESAS'!$A$6:$A$5000,"&lt;="&amp;$A$4))</f>
        <v/>
      </c>
      <c r="J13" s="159">
        <f>IF(C13="","",SUMIFS('CONTROLE PRODUÇÃO POR EMPRESAS'!$AI$6:$AI$5000,'CONTROLE PRODUÇÃO POR EMPRESAS'!$A$6:$A$5000,"&gt;="&amp;C13,'CONTROLE PRODUÇÃO POR EMPRESAS'!$A$6:$A$5000,"&lt;="&amp;$A$4))</f>
        <v/>
      </c>
      <c r="K13" s="159">
        <f>IF(C13="","",I13+J13)</f>
        <v/>
      </c>
      <c r="L13" s="159">
        <f>IF(OR(B13="",C13="",E13=""),"",IF($A$4&lt;C13,0,MIN(B13,E13*NETWORKDAYS.INTL(C13,$A$4,IF(F13=5,"0000011",IF(F13=6,"0000001","0000000"))))))</f>
        <v/>
      </c>
      <c r="M13" s="159">
        <f>IF(L13="","",K13-L13)</f>
        <v/>
      </c>
      <c r="N13" s="319">
        <f>IFERROR(K13/B13,"")</f>
        <v/>
      </c>
      <c r="O13" s="159">
        <f>IF(OR(D13="",$A$4&lt;D13),"",IFERROR((SUMIFS('CONTROLE PRODUÇÃO POR EMPRESAS'!$AI$6:$AI$5000,'CONTROLE PRODUÇÃO POR EMPRESAS'!$A$6:$A$5000,"&gt;="&amp;D13,'CONTROLE PRODUÇÃO POR EMPRESAS'!$A$6:$A$5000,"&lt;="&amp;$A$4))/MAX(1,NETWORKDAYS.INTL(D13,$A$4,IF(F13=5,"0000011",IF(F13=6,"0000001","0000000")))),0))</f>
        <v/>
      </c>
      <c r="P13" s="159">
        <f>IF(B13="","",MAX(B13-K13,0))</f>
        <v/>
      </c>
      <c r="Q13" s="317">
        <f>IF(OR(B13="",C13="",E13=""),"",IF(P13=0,$A$4,IF(AND($A$4&lt;C13,K13=0),G13,WORKDAY.INTL($A$4,ROUNDUP(P13/IF(N(O13)&gt;0,IF(NETWORKDAYS.INTL(D13,$A$4,IF(F13=5,"0000011",IF(F13=6,"0000001","0000000")))&gt;=5,O13,E13),E13),0),IF(F13=5,"0000011",IF(F13=6,"0000001","0000000"))))))</f>
        <v/>
      </c>
      <c r="R13" s="97">
        <f>IF(OR(G13="",Q13=""),"",IF(Q13=G13,0,IF(Q13&gt;G13,NETWORKDAYS.INTL(G13,Q13,IF(F13=5,"0000011",IF(F13=6,"0000001","0000000")))-1,-(NETWORKDAYS.INTL(Q13,G13,IF(F13=5,"0000011",IF(F13=6,"0000001","0000000")))-1))))</f>
        <v/>
      </c>
      <c r="S13">
        <f>IF(B13="","CONFIGURAR",IF(K13&gt;=B13,"CONCLUÍDO",IF(Q13&lt;G13,"ADIANTADO",IF(Q13=G13,"NO PRAZO","ATRASO"))))</f>
        <v/>
      </c>
      <c r="T13" s="162">
        <f>IF(B13="","Informe a quantidade em METAS CLIENTE",IF(M13&gt;0,"Crédito / produção acima do previsto",IF(M13&lt;0,"Produção abaixo do previsto","Aderente ao previsto")))</f>
        <v/>
      </c>
      <c r="U13" s="159">
        <f>IF(OR(P13="",G13="",C13=""),"",IF(P13=0,0,IF($A$4&gt;=G13,P13,P13/MAX(1,NETWORKDAYS.INTL(MAX($A$4+1,C13),G13,IF(F13=5,"0000011",IF(F13=6,"0000001","0000000")))))))</f>
        <v/>
      </c>
      <c r="V13" s="62">
        <f>'METAS CLIENTE'!N11</f>
        <v/>
      </c>
      <c r="W13" s="317">
        <f>IF('METAS CLIENTE'!R11="","",'METAS CLIENTE'!R11)</f>
        <v/>
      </c>
      <c r="X13" s="97">
        <f>IF(OR(Q13="",W13=""),"",IF(Q13=W13,0,IF(Q13&gt;W13,NETWORKDAYS.INTL(W13,Q13,IF(F13=5,"0000011",IF(F13=6,"0000001","0000000")))-1,-(NETWORKDAYS.INTL(Q13,W13,IF(F13=5,"0000011",IF(F13=6,"0000001","0000000")))-1))))</f>
        <v/>
      </c>
      <c r="Y13" s="159">
        <f>IF(N(B13)&gt;0,'METAS CLIENTE'!L11,0)</f>
        <v/>
      </c>
      <c r="Z13" s="319">
        <f>IF(N(B13)&gt;0,N(L13)/B13,0)</f>
        <v/>
      </c>
      <c r="AA13" s="319">
        <f>IF(N(B13)&gt;0,N(K13)/B13,0)</f>
        <v/>
      </c>
    </row>
    <row r="14" ht="21.75" customHeight="1">
      <c r="A14" s="62">
        <f>'METAS CLIENTE'!A12</f>
        <v/>
      </c>
      <c r="B14" s="159">
        <f>IF('METAS CLIENTE'!B12="","",'METAS CLIENTE'!B12)</f>
        <v/>
      </c>
      <c r="C14" s="317">
        <f>IF('METAS CLIENTE'!C12="","",'METAS CLIENTE'!C12)</f>
        <v/>
      </c>
      <c r="D14" s="317">
        <f>IF('METAS CLIENTE'!D12="","",'METAS CLIENTE'!D12)</f>
        <v/>
      </c>
      <c r="E14" s="159">
        <f>IF('METAS CLIENTE'!E12="","",'METAS CLIENTE'!E12)</f>
        <v/>
      </c>
      <c r="F14" s="159">
        <f>IF('METAS CLIENTE'!F12="","",'METAS CLIENTE'!F12)</f>
        <v/>
      </c>
      <c r="G14" s="317">
        <f>IF('METAS CLIENTE'!M12="","",'METAS CLIENTE'!M12)</f>
        <v/>
      </c>
      <c r="H14" s="317">
        <f>Q14</f>
        <v/>
      </c>
      <c r="I14" s="159">
        <f>IF(C14="","",SUMIFS('CONTROLE PRODUÇÃO POR EMPRESAS'!$AJ$6:$AJ$5000,'CONTROLE PRODUÇÃO POR EMPRESAS'!$A$6:$A$5000,"&lt;"&amp;C14,'CONTROLE PRODUÇÃO POR EMPRESAS'!$A$6:$A$5000,"&lt;="&amp;$A$4))</f>
        <v/>
      </c>
      <c r="J14" s="159">
        <f>IF(C14="","",SUMIFS('CONTROLE PRODUÇÃO POR EMPRESAS'!$AJ$6:$AJ$5000,'CONTROLE PRODUÇÃO POR EMPRESAS'!$A$6:$A$5000,"&gt;="&amp;C14,'CONTROLE PRODUÇÃO POR EMPRESAS'!$A$6:$A$5000,"&lt;="&amp;$A$4))</f>
        <v/>
      </c>
      <c r="K14" s="159">
        <f>IF(C14="","",I14+J14)</f>
        <v/>
      </c>
      <c r="L14" s="159">
        <f>IF(OR(B14="",C14="",E14=""),"",IF($A$4&lt;C14,0,MIN(B14,E14*NETWORKDAYS.INTL(C14,$A$4,IF(F14=5,"0000011",IF(F14=6,"0000001","0000000"))))))</f>
        <v/>
      </c>
      <c r="M14" s="159">
        <f>IF(L14="","",K14-L14)</f>
        <v/>
      </c>
      <c r="N14" s="319">
        <f>IFERROR(K14/B14,"")</f>
        <v/>
      </c>
      <c r="O14" s="159">
        <f>IF(OR(D14="",$A$4&lt;D14),"",IFERROR((SUMIFS('CONTROLE PRODUÇÃO POR EMPRESAS'!$AJ$6:$AJ$5000,'CONTROLE PRODUÇÃO POR EMPRESAS'!$A$6:$A$5000,"&gt;="&amp;D14,'CONTROLE PRODUÇÃO POR EMPRESAS'!$A$6:$A$5000,"&lt;="&amp;$A$4))/MAX(1,NETWORKDAYS.INTL(D14,$A$4,IF(F14=5,"0000011",IF(F14=6,"0000001","0000000")))),0))</f>
        <v/>
      </c>
      <c r="P14" s="159">
        <f>IF(B14="","",MAX(B14-K14,0))</f>
        <v/>
      </c>
      <c r="Q14" s="317">
        <f>IF(OR(B14="",C14="",E14=""),"",IF(P14=0,$A$4,IF(AND($A$4&lt;C14,K14=0),G14,WORKDAY.INTL($A$4,ROUNDUP(P14/IF(N(O14)&gt;0,IF(NETWORKDAYS.INTL(D14,$A$4,IF(F14=5,"0000011",IF(F14=6,"0000001","0000000")))&gt;=5,O14,E14),E14),0),IF(F14=5,"0000011",IF(F14=6,"0000001","0000000"))))))</f>
        <v/>
      </c>
      <c r="R14" s="97">
        <f>IF(OR(G14="",Q14=""),"",IF(Q14=G14,0,IF(Q14&gt;G14,NETWORKDAYS.INTL(G14,Q14,IF(F14=5,"0000011",IF(F14=6,"0000001","0000000")))-1,-(NETWORKDAYS.INTL(Q14,G14,IF(F14=5,"0000011",IF(F14=6,"0000001","0000000")))-1))))</f>
        <v/>
      </c>
      <c r="S14">
        <f>IF(B14="","CONFIGURAR",IF(K14&gt;=B14,"CONCLUÍDO",IF(Q14&lt;G14,"ADIANTADO",IF(Q14=G14,"NO PRAZO","ATRASO"))))</f>
        <v/>
      </c>
      <c r="T14" s="162">
        <f>IF(B14="","Informe a quantidade em METAS CLIENTE",IF(M14&gt;0,"Crédito / produção acima do previsto",IF(M14&lt;0,"Produção abaixo do previsto","Aderente ao previsto")))</f>
        <v/>
      </c>
      <c r="U14" s="159">
        <f>IF(OR(P14="",G14="",C14=""),"",IF(P14=0,0,IF($A$4&gt;=G14,P14,P14/MAX(1,NETWORKDAYS.INTL(MAX($A$4+1,C14),G14,IF(F14=5,"0000011",IF(F14=6,"0000001","0000000")))))))</f>
        <v/>
      </c>
      <c r="V14" s="62">
        <f>'METAS CLIENTE'!N12</f>
        <v/>
      </c>
      <c r="W14" s="317">
        <f>IF('METAS CLIENTE'!R12="","",'METAS CLIENTE'!R12)</f>
        <v/>
      </c>
      <c r="X14" s="97">
        <f>IF(OR(Q14="",W14=""),"",IF(Q14=W14,0,IF(Q14&gt;W14,NETWORKDAYS.INTL(W14,Q14,IF(F14=5,"0000011",IF(F14=6,"0000001","0000000")))-1,-(NETWORKDAYS.INTL(Q14,W14,IF(F14=5,"0000011",IF(F14=6,"0000001","0000000")))-1))))</f>
        <v/>
      </c>
      <c r="Y14" s="159">
        <f>IF(N(B14)&gt;0,'METAS CLIENTE'!L12,0)</f>
        <v/>
      </c>
      <c r="Z14" s="319">
        <f>IF(N(B14)&gt;0,N(L14)/B14,0)</f>
        <v/>
      </c>
      <c r="AA14" s="319">
        <f>IF(N(B14)&gt;0,N(K14)/B14,0)</f>
        <v/>
      </c>
    </row>
    <row r="15" ht="21.75" customHeight="1">
      <c r="A15" s="62">
        <f>'METAS CLIENTE'!A13</f>
        <v/>
      </c>
      <c r="B15" s="159">
        <f>IF('METAS CLIENTE'!B13="","",'METAS CLIENTE'!B13)</f>
        <v/>
      </c>
      <c r="C15" s="317">
        <f>IF('METAS CLIENTE'!C13="","",'METAS CLIENTE'!C13)</f>
        <v/>
      </c>
      <c r="D15" s="317">
        <f>IF('METAS CLIENTE'!D13="","",'METAS CLIENTE'!D13)</f>
        <v/>
      </c>
      <c r="E15" s="159">
        <f>IF('METAS CLIENTE'!E13="","",'METAS CLIENTE'!E13)</f>
        <v/>
      </c>
      <c r="F15" s="159">
        <f>IF('METAS CLIENTE'!F13="","",'METAS CLIENTE'!F13)</f>
        <v/>
      </c>
      <c r="G15" s="317">
        <f>IF('METAS CLIENTE'!M13="","",'METAS CLIENTE'!M13)</f>
        <v/>
      </c>
      <c r="H15" s="317">
        <f>Q15</f>
        <v/>
      </c>
      <c r="I15" s="159">
        <f>IF(C15="","",SUMIFS('CONTROLE PRODUÇÃO POR EMPRESAS'!$J$6:$J$5000,'CONTROLE PRODUÇÃO POR EMPRESAS'!$A$6:$A$5000,"&lt;"&amp;C15,'CONTROLE PRODUÇÃO POR EMPRESAS'!$A$6:$A$5000,"&lt;="&amp;$A$4))</f>
        <v/>
      </c>
      <c r="J15" s="159">
        <f>IF(C15="","",SUMIFS('CONTROLE PRODUÇÃO POR EMPRESAS'!$J$6:$J$5000,'CONTROLE PRODUÇÃO POR EMPRESAS'!$A$6:$A$5000,"&gt;="&amp;C15,'CONTROLE PRODUÇÃO POR EMPRESAS'!$A$6:$A$5000,"&lt;="&amp;$A$4))</f>
        <v/>
      </c>
      <c r="K15" s="159">
        <f>IF(C15="","",I15+J15)</f>
        <v/>
      </c>
      <c r="L15" s="159">
        <f>IF(OR(B15="",C15="",E15=""),"",IF($A$4&lt;C15,0,MIN(B15,E15*NETWORKDAYS.INTL(C15,$A$4,IF(F15=5,"0000011",IF(F15=6,"0000001","0000000"))))))</f>
        <v/>
      </c>
      <c r="M15" s="159">
        <f>IF(L15="","",K15-L15)</f>
        <v/>
      </c>
      <c r="N15" s="319">
        <f>IFERROR(K15/B15,"")</f>
        <v/>
      </c>
      <c r="O15" s="159">
        <f>IF(OR(D15="",$A$4&lt;D15),"",IFERROR((SUMIFS('CONTROLE PRODUÇÃO POR EMPRESAS'!$J$6:$J$5000,'CONTROLE PRODUÇÃO POR EMPRESAS'!$A$6:$A$5000,"&gt;="&amp;D15,'CONTROLE PRODUÇÃO POR EMPRESAS'!$A$6:$A$5000,"&lt;="&amp;$A$4))/MAX(1,NETWORKDAYS.INTL(D15,$A$4,IF(F15=5,"0000011",IF(F15=6,"0000001","0000000")))),0))</f>
        <v/>
      </c>
      <c r="P15" s="159">
        <f>IF(B15="","",MAX(B15-K15,0))</f>
        <v/>
      </c>
      <c r="Q15" s="317">
        <f>IF(OR(B15="",C15="",E15=""),"",IF(P15=0,$A$4,IF(AND($A$4&lt;C15,K15=0),G15,WORKDAY.INTL($A$4,ROUNDUP(P15/IF(N(O15)&gt;0,IF(NETWORKDAYS.INTL(D15,$A$4,IF(F15=5,"0000011",IF(F15=6,"0000001","0000000")))&gt;=5,O15,E15),E15),0),IF(F15=5,"0000011",IF(F15=6,"0000001","0000000"))))))</f>
        <v/>
      </c>
      <c r="R15" s="97">
        <f>IF(OR(G15="",Q15=""),"",IF(Q15=G15,0,IF(Q15&gt;G15,NETWORKDAYS.INTL(G15,Q15,IF(F15=5,"0000011",IF(F15=6,"0000001","0000000")))-1,-(NETWORKDAYS.INTL(Q15,G15,IF(F15=5,"0000011",IF(F15=6,"0000001","0000000")))-1))))</f>
        <v/>
      </c>
      <c r="S15">
        <f>IF(B15="","CONFIGURAR",IF(K15&gt;=B15,"CONCLUÍDO",IF(Q15&lt;G15,"ADIANTADO",IF(Q15=G15,"NO PRAZO","ATRASO"))))</f>
        <v/>
      </c>
      <c r="T15" s="162">
        <f>IF(B15="","Informe a quantidade em METAS CLIENTE",IF(M15&gt;0,"Crédito / produção acima do previsto",IF(M15&lt;0,"Produção abaixo do previsto","Aderente ao previsto")))</f>
        <v/>
      </c>
      <c r="U15" s="159">
        <f>IF(OR(P15="",G15="",C15=""),"",IF(P15=0,0,IF($A$4&gt;=G15,P15,P15/MAX(1,NETWORKDAYS.INTL(MAX($A$4+1,C15),G15,IF(F15=5,"0000011",IF(F15=6,"0000001","0000000")))))))</f>
        <v/>
      </c>
      <c r="V15" s="62">
        <f>'METAS CLIENTE'!N13</f>
        <v/>
      </c>
      <c r="W15" s="317">
        <f>IF('METAS CLIENTE'!R13="","",'METAS CLIENTE'!R13)</f>
        <v/>
      </c>
      <c r="X15" s="97">
        <f>IF(OR(Q15="",W15=""),"",IF(Q15=W15,0,IF(Q15&gt;W15,NETWORKDAYS.INTL(W15,Q15,IF(F15=5,"0000011",IF(F15=6,"0000001","0000000")))-1,-(NETWORKDAYS.INTL(Q15,W15,IF(F15=5,"0000011",IF(F15=6,"0000001","0000000")))-1))))</f>
        <v/>
      </c>
      <c r="Y15" s="159">
        <f>IF(N(B15)&gt;0,'METAS CLIENTE'!L13,0)</f>
        <v/>
      </c>
      <c r="Z15" s="319">
        <f>IF(N(B15)&gt;0,N(L15)/B15,0)</f>
        <v/>
      </c>
      <c r="AA15" s="319">
        <f>IF(N(B15)&gt;0,N(K15)/B15,0)</f>
        <v/>
      </c>
    </row>
    <row r="16" ht="21.75" customHeight="1">
      <c r="A16" s="62">
        <f>'METAS CLIENTE'!A14</f>
        <v/>
      </c>
      <c r="B16" s="159">
        <f>IF('METAS CLIENTE'!B14="","",'METAS CLIENTE'!B14)</f>
        <v/>
      </c>
      <c r="C16" s="317">
        <f>IF('METAS CLIENTE'!C14="","",'METAS CLIENTE'!C14)</f>
        <v/>
      </c>
      <c r="D16" s="317">
        <f>IF('METAS CLIENTE'!D14="","",'METAS CLIENTE'!D14)</f>
        <v/>
      </c>
      <c r="E16" s="159">
        <f>IF('METAS CLIENTE'!E14="","",'METAS CLIENTE'!E14)</f>
        <v/>
      </c>
      <c r="F16" s="159">
        <f>IF('METAS CLIENTE'!F14="","",'METAS CLIENTE'!F14)</f>
        <v/>
      </c>
      <c r="G16" s="317">
        <f>IF('METAS CLIENTE'!M14="","",'METAS CLIENTE'!M14)</f>
        <v/>
      </c>
      <c r="H16" s="317">
        <f>Q16</f>
        <v/>
      </c>
      <c r="I16" s="159">
        <f>IF(C16="","",SUMIFS('CONTROLE PRODUÇÃO POR EMPRESAS'!$AK$6:$AK$5000,'CONTROLE PRODUÇÃO POR EMPRESAS'!$A$6:$A$5000,"&lt;"&amp;C16,'CONTROLE PRODUÇÃO POR EMPRESAS'!$A$6:$A$5000,"&lt;="&amp;$A$4))</f>
        <v/>
      </c>
      <c r="J16" s="159">
        <f>IF(C16="","",SUMIFS('CONTROLE PRODUÇÃO POR EMPRESAS'!$AK$6:$AK$5000,'CONTROLE PRODUÇÃO POR EMPRESAS'!$A$6:$A$5000,"&gt;="&amp;C16,'CONTROLE PRODUÇÃO POR EMPRESAS'!$A$6:$A$5000,"&lt;="&amp;$A$4))</f>
        <v/>
      </c>
      <c r="K16" s="159">
        <f>IF(C16="","",I16+J16)</f>
        <v/>
      </c>
      <c r="L16" s="159">
        <f>IF(OR(B16="",C16="",E16=""),"",IF($A$4&lt;C16,0,MIN(B16,E16*NETWORKDAYS.INTL(C16,$A$4,IF(F16=5,"0000011",IF(F16=6,"0000001","0000000"))))))</f>
        <v/>
      </c>
      <c r="M16" s="159">
        <f>IF(L16="","",K16-L16)</f>
        <v/>
      </c>
      <c r="N16" s="319">
        <f>IFERROR(K16/B16,"")</f>
        <v/>
      </c>
      <c r="O16" s="159">
        <f>IF(OR(D16="",$A$4&lt;D16),"",IFERROR((SUMIFS('CONTROLE PRODUÇÃO POR EMPRESAS'!$AK$6:$AK$5000,'CONTROLE PRODUÇÃO POR EMPRESAS'!$A$6:$A$5000,"&gt;="&amp;D16,'CONTROLE PRODUÇÃO POR EMPRESAS'!$A$6:$A$5000,"&lt;="&amp;$A$4))/MAX(1,NETWORKDAYS.INTL(D16,$A$4,IF(F16=5,"0000011",IF(F16=6,"0000001","0000000")))),0))</f>
        <v/>
      </c>
      <c r="P16" s="159">
        <f>IF(B16="","",MAX(B16-K16,0))</f>
        <v/>
      </c>
      <c r="Q16" s="317">
        <f>IF(OR(B16="",C16="",E16=""),"",IF(P16=0,$A$4,IF(AND($A$4&lt;C16,K16=0),G16,WORKDAY.INTL($A$4,ROUNDUP(P16/IF(N(O16)&gt;0,IF(NETWORKDAYS.INTL(D16,$A$4,IF(F16=5,"0000011",IF(F16=6,"0000001","0000000")))&gt;=5,O16,E16),E16),0),IF(F16=5,"0000011",IF(F16=6,"0000001","0000000"))))))</f>
        <v/>
      </c>
      <c r="R16" s="97">
        <f>IF(OR(G16="",Q16=""),"",IF(Q16=G16,0,IF(Q16&gt;G16,NETWORKDAYS.INTL(G16,Q16,IF(F16=5,"0000011",IF(F16=6,"0000001","0000000")))-1,-(NETWORKDAYS.INTL(Q16,G16,IF(F16=5,"0000011",IF(F16=6,"0000001","0000000")))-1))))</f>
        <v/>
      </c>
      <c r="S16">
        <f>IF(B16="","CONFIGURAR",IF(K16&gt;=B16,"CONCLUÍDO",IF(Q16&lt;G16,"ADIANTADO",IF(Q16=G16,"NO PRAZO","ATRASO"))))</f>
        <v/>
      </c>
      <c r="T16" s="162">
        <f>IF(B16="","Informe a quantidade em METAS CLIENTE",IF(M16&gt;0,"Crédito / produção acima do previsto",IF(M16&lt;0,"Produção abaixo do previsto","Aderente ao previsto")))</f>
        <v/>
      </c>
      <c r="U16" s="159">
        <f>IF(OR(P16="",G16="",C16=""),"",IF(P16=0,0,IF($A$4&gt;=G16,P16,P16/MAX(1,NETWORKDAYS.INTL(MAX($A$4+1,C16),G16,IF(F16=5,"0000011",IF(F16=6,"0000001","0000000")))))))</f>
        <v/>
      </c>
      <c r="V16" s="62">
        <f>'METAS CLIENTE'!N14</f>
        <v/>
      </c>
      <c r="W16" s="317">
        <f>IF('METAS CLIENTE'!R14="","",'METAS CLIENTE'!R14)</f>
        <v/>
      </c>
      <c r="X16" s="97">
        <f>IF(OR(Q16="",W16=""),"",IF(Q16=W16,0,IF(Q16&gt;W16,NETWORKDAYS.INTL(W16,Q16,IF(F16=5,"0000011",IF(F16=6,"0000001","0000000")))-1,-(NETWORKDAYS.INTL(Q16,W16,IF(F16=5,"0000011",IF(F16=6,"0000001","0000000")))-1))))</f>
        <v/>
      </c>
      <c r="Y16" s="159">
        <f>IF(N(B16)&gt;0,'METAS CLIENTE'!L14,0)</f>
        <v/>
      </c>
      <c r="Z16" s="319">
        <f>IF(N(B16)&gt;0,N(L16)/B16,0)</f>
        <v/>
      </c>
      <c r="AA16" s="319">
        <f>IF(N(B16)&gt;0,N(K16)/B16,0)</f>
        <v/>
      </c>
    </row>
    <row r="17" ht="21.75" customHeight="1">
      <c r="A17" s="62">
        <f>'METAS CLIENTE'!A15</f>
        <v/>
      </c>
      <c r="B17" s="159">
        <f>IF('METAS CLIENTE'!B15="","",'METAS CLIENTE'!B15)</f>
        <v/>
      </c>
      <c r="C17" s="317">
        <f>IF('METAS CLIENTE'!C15="","",'METAS CLIENTE'!C15)</f>
        <v/>
      </c>
      <c r="D17" s="317">
        <f>IF('METAS CLIENTE'!D15="","",'METAS CLIENTE'!D15)</f>
        <v/>
      </c>
      <c r="E17" s="159">
        <f>IF('METAS CLIENTE'!E15="","",'METAS CLIENTE'!E15)</f>
        <v/>
      </c>
      <c r="F17" s="159">
        <f>IF('METAS CLIENTE'!F15="","",'METAS CLIENTE'!F15)</f>
        <v/>
      </c>
      <c r="G17" s="317">
        <f>IF('METAS CLIENTE'!M15="","",'METAS CLIENTE'!M15)</f>
        <v/>
      </c>
      <c r="H17" s="317">
        <f>Q17</f>
        <v/>
      </c>
      <c r="I17" s="159">
        <f>IF(C17="","",SUMIFS('CONTROLE PRODUÇÃO POR EMPRESAS'!$AL$6:$AL$5000,'CONTROLE PRODUÇÃO POR EMPRESAS'!$A$6:$A$5000,"&lt;"&amp;C17,'CONTROLE PRODUÇÃO POR EMPRESAS'!$A$6:$A$5000,"&lt;="&amp;$A$4))</f>
        <v/>
      </c>
      <c r="J17" s="159">
        <f>IF(C17="","",SUMIFS('CONTROLE PRODUÇÃO POR EMPRESAS'!$AL$6:$AL$5000,'CONTROLE PRODUÇÃO POR EMPRESAS'!$A$6:$A$5000,"&gt;="&amp;C17,'CONTROLE PRODUÇÃO POR EMPRESAS'!$A$6:$A$5000,"&lt;="&amp;$A$4))</f>
        <v/>
      </c>
      <c r="K17" s="159">
        <f>IF(C17="","",I17+J17)</f>
        <v/>
      </c>
      <c r="L17" s="159">
        <f>IF(OR(B17="",C17="",E17=""),"",IF($A$4&lt;C17,0,MIN(B17,E17*NETWORKDAYS.INTL(C17,$A$4,IF(F17=5,"0000011",IF(F17=6,"0000001","0000000"))))))</f>
        <v/>
      </c>
      <c r="M17" s="159">
        <f>IF(L17="","",K17-L17)</f>
        <v/>
      </c>
      <c r="N17" s="319">
        <f>IFERROR(K17/B17,"")</f>
        <v/>
      </c>
      <c r="O17" s="159">
        <f>IF(OR(D17="",$A$4&lt;D17),"",IFERROR((SUMIFS('CONTROLE PRODUÇÃO POR EMPRESAS'!$AL$6:$AL$5000,'CONTROLE PRODUÇÃO POR EMPRESAS'!$A$6:$A$5000,"&gt;="&amp;D17,'CONTROLE PRODUÇÃO POR EMPRESAS'!$A$6:$A$5000,"&lt;="&amp;$A$4))/MAX(1,NETWORKDAYS.INTL(D17,$A$4,IF(F17=5,"0000011",IF(F17=6,"0000001","0000000")))),0))</f>
        <v/>
      </c>
      <c r="P17" s="159">
        <f>IF(B17="","",MAX(B17-K17,0))</f>
        <v/>
      </c>
      <c r="Q17" s="317">
        <f>IF(OR(B17="",C17="",E17=""),"",IF(P17=0,$A$4,IF(AND($A$4&lt;C17,K17=0),G17,WORKDAY.INTL($A$4,ROUNDUP(P17/IF(N(O17)&gt;0,IF(NETWORKDAYS.INTL(D17,$A$4,IF(F17=5,"0000011",IF(F17=6,"0000001","0000000")))&gt;=5,O17,E17),E17),0),IF(F17=5,"0000011",IF(F17=6,"0000001","0000000"))))))</f>
        <v/>
      </c>
      <c r="R17" s="97">
        <f>IF(OR(G17="",Q17=""),"",IF(Q17=G17,0,IF(Q17&gt;G17,NETWORKDAYS.INTL(G17,Q17,IF(F17=5,"0000011",IF(F17=6,"0000001","0000000")))-1,-(NETWORKDAYS.INTL(Q17,G17,IF(F17=5,"0000011",IF(F17=6,"0000001","0000000")))-1))))</f>
        <v/>
      </c>
      <c r="S17">
        <f>IF(B17="","CONFIGURAR",IF(K17&gt;=B17,"CONCLUÍDO",IF(Q17&lt;G17,"ADIANTADO",IF(Q17=G17,"NO PRAZO","ATRASO"))))</f>
        <v/>
      </c>
      <c r="T17" s="162">
        <f>IF(B17="","Informe a quantidade em METAS CLIENTE",IF(M17&gt;0,"Crédito / produção acima do previsto",IF(M17&lt;0,"Produção abaixo do previsto","Aderente ao previsto")))</f>
        <v/>
      </c>
      <c r="U17" s="159">
        <f>IF(OR(P17="",G17="",C17=""),"",IF(P17=0,0,IF($A$4&gt;=G17,P17,P17/MAX(1,NETWORKDAYS.INTL(MAX($A$4+1,C17),G17,IF(F17=5,"0000011",IF(F17=6,"0000001","0000000")))))))</f>
        <v/>
      </c>
      <c r="V17" s="62">
        <f>'METAS CLIENTE'!N15</f>
        <v/>
      </c>
      <c r="W17" s="317">
        <f>IF('METAS CLIENTE'!R15="","",'METAS CLIENTE'!R15)</f>
        <v/>
      </c>
      <c r="X17" s="97">
        <f>IF(OR(Q17="",W17=""),"",IF(Q17=W17,0,IF(Q17&gt;W17,NETWORKDAYS.INTL(W17,Q17,IF(F17=5,"0000011",IF(F17=6,"0000001","0000000")))-1,-(NETWORKDAYS.INTL(Q17,W17,IF(F17=5,"0000011",IF(F17=6,"0000001","0000000")))-1))))</f>
        <v/>
      </c>
      <c r="Y17" s="159">
        <f>IF(N(B17)&gt;0,'METAS CLIENTE'!L15,0)</f>
        <v/>
      </c>
      <c r="Z17" s="319">
        <f>IF(N(B17)&gt;0,N(L17)/B17,0)</f>
        <v/>
      </c>
      <c r="AA17" s="319">
        <f>IF(N(B17)&gt;0,N(K17)/B17,0)</f>
        <v/>
      </c>
    </row>
    <row r="18" ht="21.75" customHeight="1">
      <c r="A18" s="62">
        <f>'METAS CLIENTE'!A16</f>
        <v/>
      </c>
      <c r="B18" s="159">
        <f>IF('METAS CLIENTE'!B16="","",'METAS CLIENTE'!B16)</f>
        <v/>
      </c>
      <c r="C18" s="317">
        <f>IF('METAS CLIENTE'!C16="","",'METAS CLIENTE'!C16)</f>
        <v/>
      </c>
      <c r="D18" s="317">
        <f>IF('METAS CLIENTE'!D16="","",'METAS CLIENTE'!D16)</f>
        <v/>
      </c>
      <c r="E18" s="159">
        <f>IF('METAS CLIENTE'!E16="","",'METAS CLIENTE'!E16)</f>
        <v/>
      </c>
      <c r="F18" s="159">
        <f>IF('METAS CLIENTE'!F16="","",'METAS CLIENTE'!F16)</f>
        <v/>
      </c>
      <c r="G18" s="317">
        <f>IF('METAS CLIENTE'!M16="","",'METAS CLIENTE'!M16)</f>
        <v/>
      </c>
      <c r="H18" s="317">
        <f>Q18</f>
        <v/>
      </c>
      <c r="I18" s="159">
        <f>IF(C18="","",SUMIFS('CONTROLE PRODUÇÃO POR EMPRESAS'!$AM$6:$AM$5000,'CONTROLE PRODUÇÃO POR EMPRESAS'!$A$6:$A$5000,"&lt;"&amp;C18,'CONTROLE PRODUÇÃO POR EMPRESAS'!$A$6:$A$5000,"&lt;="&amp;$A$4))</f>
        <v/>
      </c>
      <c r="J18" s="159">
        <f>IF(C18="","",SUMIFS('CONTROLE PRODUÇÃO POR EMPRESAS'!$AM$6:$AM$5000,'CONTROLE PRODUÇÃO POR EMPRESAS'!$A$6:$A$5000,"&gt;="&amp;C18,'CONTROLE PRODUÇÃO POR EMPRESAS'!$A$6:$A$5000,"&lt;="&amp;$A$4))</f>
        <v/>
      </c>
      <c r="K18" s="159">
        <f>IF(C18="","",I18+J18)</f>
        <v/>
      </c>
      <c r="L18" s="159">
        <f>IF(OR(B18="",C18="",E18=""),"",IF($A$4&lt;C18,0,MIN(B18,E18*NETWORKDAYS.INTL(C18,$A$4,IF(F18=5,"0000011",IF(F18=6,"0000001","0000000"))))))</f>
        <v/>
      </c>
      <c r="M18" s="159">
        <f>IF(L18="","",K18-L18)</f>
        <v/>
      </c>
      <c r="N18" s="319">
        <f>IFERROR(K18/B18,"")</f>
        <v/>
      </c>
      <c r="O18" s="159">
        <f>IF(OR(D18="",$A$4&lt;D18),"",IFERROR((SUMIFS('CONTROLE PRODUÇÃO POR EMPRESAS'!$AM$6:$AM$5000,'CONTROLE PRODUÇÃO POR EMPRESAS'!$A$6:$A$5000,"&gt;="&amp;D18,'CONTROLE PRODUÇÃO POR EMPRESAS'!$A$6:$A$5000,"&lt;="&amp;$A$4))/MAX(1,NETWORKDAYS.INTL(D18,$A$4,IF(F18=5,"0000011",IF(F18=6,"0000001","0000000")))),0))</f>
        <v/>
      </c>
      <c r="P18" s="159">
        <f>IF(B18="","",MAX(B18-K18,0))</f>
        <v/>
      </c>
      <c r="Q18" s="317">
        <f>IF(OR(B18="",C18="",E18=""),"",IF(P18=0,$A$4,IF(AND($A$4&lt;C18,K18=0),G18,WORKDAY.INTL($A$4,ROUNDUP(P18/IF(N(O18)&gt;0,IF(NETWORKDAYS.INTL(D18,$A$4,IF(F18=5,"0000011",IF(F18=6,"0000001","0000000")))&gt;=5,O18,E18),E18),0),IF(F18=5,"0000011",IF(F18=6,"0000001","0000000"))))))</f>
        <v/>
      </c>
      <c r="R18" s="97">
        <f>IF(OR(G18="",Q18=""),"",IF(Q18=G18,0,IF(Q18&gt;G18,NETWORKDAYS.INTL(G18,Q18,IF(F18=5,"0000011",IF(F18=6,"0000001","0000000")))-1,-(NETWORKDAYS.INTL(Q18,G18,IF(F18=5,"0000011",IF(F18=6,"0000001","0000000")))-1))))</f>
        <v/>
      </c>
      <c r="S18">
        <f>IF(B18="","CONFIGURAR",IF(K18&gt;=B18,"CONCLUÍDO",IF(Q18&lt;G18,"ADIANTADO",IF(Q18=G18,"NO PRAZO","ATRASO"))))</f>
        <v/>
      </c>
      <c r="T18" s="162">
        <f>IF(B18="","Informe a quantidade em METAS CLIENTE",IF(M18&gt;0,"Crédito / produção acima do previsto",IF(M18&lt;0,"Produção abaixo do previsto","Aderente ao previsto")))</f>
        <v/>
      </c>
      <c r="U18" s="159">
        <f>IF(OR(P18="",G18="",C18=""),"",IF(P18=0,0,IF($A$4&gt;=G18,P18,P18/MAX(1,NETWORKDAYS.INTL(MAX($A$4+1,C18),G18,IF(F18=5,"0000011",IF(F18=6,"0000001","0000000")))))))</f>
        <v/>
      </c>
      <c r="V18" s="62">
        <f>'METAS CLIENTE'!N16</f>
        <v/>
      </c>
      <c r="W18" s="317">
        <f>IF('METAS CLIENTE'!R16="","",'METAS CLIENTE'!R16)</f>
        <v/>
      </c>
      <c r="X18" s="97">
        <f>IF(OR(Q18="",W18=""),"",IF(Q18=W18,0,IF(Q18&gt;W18,NETWORKDAYS.INTL(W18,Q18,IF(F18=5,"0000011",IF(F18=6,"0000001","0000000")))-1,-(NETWORKDAYS.INTL(Q18,W18,IF(F18=5,"0000011",IF(F18=6,"0000001","0000000")))-1))))</f>
        <v/>
      </c>
      <c r="Y18" s="159">
        <f>IF(N(B18)&gt;0,'METAS CLIENTE'!L16,0)</f>
        <v/>
      </c>
      <c r="Z18" s="319">
        <f>IF(N(B18)&gt;0,N(L18)/B18,0)</f>
        <v/>
      </c>
      <c r="AA18" s="319">
        <f>IF(N(B18)&gt;0,N(K18)/B18,0)</f>
        <v/>
      </c>
    </row>
    <row r="19" ht="21.75" customHeight="1">
      <c r="A19" s="62">
        <f>'METAS CLIENTE'!A17</f>
        <v/>
      </c>
      <c r="B19" s="159">
        <f>IF('METAS CLIENTE'!B17="","",'METAS CLIENTE'!B17)</f>
        <v/>
      </c>
      <c r="C19" s="317">
        <f>IF('METAS CLIENTE'!C17="","",'METAS CLIENTE'!C17)</f>
        <v/>
      </c>
      <c r="D19" s="317">
        <f>IF('METAS CLIENTE'!D17="","",'METAS CLIENTE'!D17)</f>
        <v/>
      </c>
      <c r="E19" s="159">
        <f>IF('METAS CLIENTE'!E17="","",'METAS CLIENTE'!E17)</f>
        <v/>
      </c>
      <c r="F19" s="159">
        <f>IF('METAS CLIENTE'!F17="","",'METAS CLIENTE'!F17)</f>
        <v/>
      </c>
      <c r="G19" s="317">
        <f>IF('METAS CLIENTE'!M17="","",'METAS CLIENTE'!M17)</f>
        <v/>
      </c>
      <c r="H19" s="317">
        <f>Q19</f>
        <v/>
      </c>
      <c r="I19" s="159">
        <f>IF(C19="","",SUMIFS('CONTROLE PRODUÇÃO POR EMPRESAS'!$AN$6:$AN$5000,'CONTROLE PRODUÇÃO POR EMPRESAS'!$A$6:$A$5000,"&lt;"&amp;C19,'CONTROLE PRODUÇÃO POR EMPRESAS'!$A$6:$A$5000,"&lt;="&amp;$A$4))</f>
        <v/>
      </c>
      <c r="J19" s="159">
        <f>IF(C19="","",SUMIFS('CONTROLE PRODUÇÃO POR EMPRESAS'!$AN$6:$AN$5000,'CONTROLE PRODUÇÃO POR EMPRESAS'!$A$6:$A$5000,"&gt;="&amp;C19,'CONTROLE PRODUÇÃO POR EMPRESAS'!$A$6:$A$5000,"&lt;="&amp;$A$4))</f>
        <v/>
      </c>
      <c r="K19" s="159">
        <f>IF(C19="","",I19+J19)</f>
        <v/>
      </c>
      <c r="L19" s="159">
        <f>IF(OR(B19="",C19="",E19=""),"",IF($A$4&lt;C19,0,MIN(B19,E19*NETWORKDAYS.INTL(C19,$A$4,IF(F19=5,"0000011",IF(F19=6,"0000001","0000000"))))))</f>
        <v/>
      </c>
      <c r="M19" s="159">
        <f>IF(L19="","",K19-L19)</f>
        <v/>
      </c>
      <c r="N19" s="319">
        <f>IFERROR(K19/B19,"")</f>
        <v/>
      </c>
      <c r="O19" s="159">
        <f>IF(OR(D19="",$A$4&lt;D19),"",IFERROR((SUMIFS('CONTROLE PRODUÇÃO POR EMPRESAS'!$AN$6:$AN$5000,'CONTROLE PRODUÇÃO POR EMPRESAS'!$A$6:$A$5000,"&gt;="&amp;D19,'CONTROLE PRODUÇÃO POR EMPRESAS'!$A$6:$A$5000,"&lt;="&amp;$A$4))/MAX(1,NETWORKDAYS.INTL(D19,$A$4,IF(F19=5,"0000011",IF(F19=6,"0000001","0000000")))),0))</f>
        <v/>
      </c>
      <c r="P19" s="159">
        <f>IF(B19="","",MAX(B19-K19,0))</f>
        <v/>
      </c>
      <c r="Q19" s="317">
        <f>IF(OR(B19="",C19="",E19=""),"",IF(P19=0,$A$4,IF(AND($A$4&lt;C19,K19=0),G19,WORKDAY.INTL($A$4,ROUNDUP(P19/IF(N(O19)&gt;0,IF(NETWORKDAYS.INTL(D19,$A$4,IF(F19=5,"0000011",IF(F19=6,"0000001","0000000")))&gt;=5,O19,E19),E19),0),IF(F19=5,"0000011",IF(F19=6,"0000001","0000000"))))))</f>
        <v/>
      </c>
      <c r="R19" s="97">
        <f>IF(OR(G19="",Q19=""),"",IF(Q19=G19,0,IF(Q19&gt;G19,NETWORKDAYS.INTL(G19,Q19,IF(F19=5,"0000011",IF(F19=6,"0000001","0000000")))-1,-(NETWORKDAYS.INTL(Q19,G19,IF(F19=5,"0000011",IF(F19=6,"0000001","0000000")))-1))))</f>
        <v/>
      </c>
      <c r="S19">
        <f>IF(B19="","CONFIGURAR",IF(K19&gt;=B19,"CONCLUÍDO",IF(Q19&lt;G19,"ADIANTADO",IF(Q19=G19,"NO PRAZO","ATRASO"))))</f>
        <v/>
      </c>
      <c r="T19" s="162">
        <f>IF(B19="","Informe a quantidade em METAS CLIENTE",IF(M19&gt;0,"Crédito / produção acima do previsto",IF(M19&lt;0,"Produção abaixo do previsto","Aderente ao previsto")))</f>
        <v/>
      </c>
      <c r="U19" s="159">
        <f>IF(OR(P19="",G19="",C19=""),"",IF(P19=0,0,IF($A$4&gt;=G19,P19,P19/MAX(1,NETWORKDAYS.INTL(MAX($A$4+1,C19),G19,IF(F19=5,"0000011",IF(F19=6,"0000001","0000000")))))))</f>
        <v/>
      </c>
      <c r="V19" s="62">
        <f>'METAS CLIENTE'!N17</f>
        <v/>
      </c>
      <c r="W19" s="317">
        <f>IF('METAS CLIENTE'!R17="","",'METAS CLIENTE'!R17)</f>
        <v/>
      </c>
      <c r="X19" s="97">
        <f>IF(OR(Q19="",W19=""),"",IF(Q19=W19,0,IF(Q19&gt;W19,NETWORKDAYS.INTL(W19,Q19,IF(F19=5,"0000011",IF(F19=6,"0000001","0000000")))-1,-(NETWORKDAYS.INTL(Q19,W19,IF(F19=5,"0000011",IF(F19=6,"0000001","0000000")))-1))))</f>
        <v/>
      </c>
      <c r="Y19" s="159">
        <f>IF(N(B19)&gt;0,'METAS CLIENTE'!L17,0)</f>
        <v/>
      </c>
      <c r="Z19" s="319">
        <f>IF(N(B19)&gt;0,N(L19)/B19,0)</f>
        <v/>
      </c>
      <c r="AA19" s="319">
        <f>IF(N(B19)&gt;0,N(K19)/B19,0)</f>
        <v/>
      </c>
    </row>
    <row r="20" ht="21.75" customHeight="1">
      <c r="A20" s="62">
        <f>'METAS CLIENTE'!A18</f>
        <v/>
      </c>
      <c r="B20" s="159">
        <f>IF('METAS CLIENTE'!B18="","",'METAS CLIENTE'!B18)</f>
        <v/>
      </c>
      <c r="C20" s="317">
        <f>IF('METAS CLIENTE'!C18="","",'METAS CLIENTE'!C18)</f>
        <v/>
      </c>
      <c r="D20" s="317">
        <f>IF('METAS CLIENTE'!D18="","",'METAS CLIENTE'!D18)</f>
        <v/>
      </c>
      <c r="E20" s="159">
        <f>IF('METAS CLIENTE'!E18="","",'METAS CLIENTE'!E18)</f>
        <v/>
      </c>
      <c r="F20" s="159">
        <f>IF('METAS CLIENTE'!F18="","",'METAS CLIENTE'!F18)</f>
        <v/>
      </c>
      <c r="G20" s="317">
        <f>IF('METAS CLIENTE'!M18="","",'METAS CLIENTE'!M18)</f>
        <v/>
      </c>
      <c r="H20" s="317">
        <f>Q20</f>
        <v/>
      </c>
      <c r="I20" s="159">
        <f>IF(C20="","",SUMIFS('CONTROLE PRODUÇÃO POR EMPRESAS'!$AO$6:$AO$5000,'CONTROLE PRODUÇÃO POR EMPRESAS'!$A$6:$A$5000,"&lt;"&amp;C20,'CONTROLE PRODUÇÃO POR EMPRESAS'!$A$6:$A$5000,"&lt;="&amp;$A$4))</f>
        <v/>
      </c>
      <c r="J20" s="159">
        <f>IF(C20="","",SUMIFS('CONTROLE PRODUÇÃO POR EMPRESAS'!$AO$6:$AO$5000,'CONTROLE PRODUÇÃO POR EMPRESAS'!$A$6:$A$5000,"&gt;="&amp;C20,'CONTROLE PRODUÇÃO POR EMPRESAS'!$A$6:$A$5000,"&lt;="&amp;$A$4))</f>
        <v/>
      </c>
      <c r="K20" s="159">
        <f>IF(C20="","",I20+J20)</f>
        <v/>
      </c>
      <c r="L20" s="159">
        <f>IF(OR(B20="",C20="",E20=""),"",IF($A$4&lt;C20,0,MIN(B20,E20*NETWORKDAYS.INTL(C20,$A$4,IF(F20=5,"0000011",IF(F20=6,"0000001","0000000"))))))</f>
        <v/>
      </c>
      <c r="M20" s="159">
        <f>IF(L20="","",K20-L20)</f>
        <v/>
      </c>
      <c r="N20" s="319">
        <f>IFERROR(K20/B20,"")</f>
        <v/>
      </c>
      <c r="O20" s="159">
        <f>IF(OR(D20="",$A$4&lt;D20),"",IFERROR((SUMIFS('CONTROLE PRODUÇÃO POR EMPRESAS'!$AO$6:$AO$5000,'CONTROLE PRODUÇÃO POR EMPRESAS'!$A$6:$A$5000,"&gt;="&amp;D20,'CONTROLE PRODUÇÃO POR EMPRESAS'!$A$6:$A$5000,"&lt;="&amp;$A$4))/MAX(1,NETWORKDAYS.INTL(D20,$A$4,IF(F20=5,"0000011",IF(F20=6,"0000001","0000000")))),0))</f>
        <v/>
      </c>
      <c r="P20" s="159">
        <f>IF(B20="","",MAX(B20-K20,0))</f>
        <v/>
      </c>
      <c r="Q20" s="317">
        <f>IF(OR(B20="",C20="",E20=""),"",IF(P20=0,$A$4,IF(AND($A$4&lt;C20,K20=0),G20,WORKDAY.INTL($A$4,ROUNDUP(P20/IF(N(O20)&gt;0,IF(NETWORKDAYS.INTL(D20,$A$4,IF(F20=5,"0000011",IF(F20=6,"0000001","0000000")))&gt;=5,O20,E20),E20),0),IF(F20=5,"0000011",IF(F20=6,"0000001","0000000"))))))</f>
        <v/>
      </c>
      <c r="R20" s="97">
        <f>IF(OR(G20="",Q20=""),"",IF(Q20=G20,0,IF(Q20&gt;G20,NETWORKDAYS.INTL(G20,Q20,IF(F20=5,"0000011",IF(F20=6,"0000001","0000000")))-1,-(NETWORKDAYS.INTL(Q20,G20,IF(F20=5,"0000011",IF(F20=6,"0000001","0000000")))-1))))</f>
        <v/>
      </c>
      <c r="S20">
        <f>IF(B20="","CONFIGURAR",IF(K20&gt;=B20,"CONCLUÍDO",IF(Q20&lt;G20,"ADIANTADO",IF(Q20=G20,"NO PRAZO","ATRASO"))))</f>
        <v/>
      </c>
      <c r="T20" s="162">
        <f>IF(B20="","Informe a quantidade em METAS CLIENTE",IF(M20&gt;0,"Crédito / produção acima do previsto",IF(M20&lt;0,"Produção abaixo do previsto","Aderente ao previsto")))</f>
        <v/>
      </c>
      <c r="U20" s="159">
        <f>IF(OR(P20="",G20="",C20=""),"",IF(P20=0,0,IF($A$4&gt;=G20,P20,P20/MAX(1,NETWORKDAYS.INTL(MAX($A$4+1,C20),G20,IF(F20=5,"0000011",IF(F20=6,"0000001","0000000")))))))</f>
        <v/>
      </c>
      <c r="V20" s="62">
        <f>'METAS CLIENTE'!N18</f>
        <v/>
      </c>
      <c r="W20" s="317">
        <f>IF('METAS CLIENTE'!R18="","",'METAS CLIENTE'!R18)</f>
        <v/>
      </c>
      <c r="X20" s="97">
        <f>IF(OR(Q20="",W20=""),"",IF(Q20=W20,0,IF(Q20&gt;W20,NETWORKDAYS.INTL(W20,Q20,IF(F20=5,"0000011",IF(F20=6,"0000001","0000000")))-1,-(NETWORKDAYS.INTL(Q20,W20,IF(F20=5,"0000011",IF(F20=6,"0000001","0000000")))-1))))</f>
        <v/>
      </c>
      <c r="Y20" s="159">
        <f>IF(N(B20)&gt;0,'METAS CLIENTE'!L18,0)</f>
        <v/>
      </c>
      <c r="Z20" s="319">
        <f>IF(N(B20)&gt;0,N(L20)/B20,0)</f>
        <v/>
      </c>
      <c r="AA20" s="319">
        <f>IF(N(B20)&gt;0,N(K20)/B20,0)</f>
        <v/>
      </c>
    </row>
    <row r="21" ht="21.75" customHeight="1">
      <c r="A21" s="62">
        <f>'METAS CLIENTE'!A19</f>
        <v/>
      </c>
      <c r="B21" s="159">
        <f>IF('METAS CLIENTE'!B19="","",'METAS CLIENTE'!B19)</f>
        <v/>
      </c>
      <c r="C21" s="317">
        <f>IF('METAS CLIENTE'!C19="","",'METAS CLIENTE'!C19)</f>
        <v/>
      </c>
      <c r="D21" s="317">
        <f>IF('METAS CLIENTE'!D19="","",'METAS CLIENTE'!D19)</f>
        <v/>
      </c>
      <c r="E21" s="159">
        <f>IF('METAS CLIENTE'!E19="","",'METAS CLIENTE'!E19)</f>
        <v/>
      </c>
      <c r="F21" s="159">
        <f>IF('METAS CLIENTE'!F19="","",'METAS CLIENTE'!F19)</f>
        <v/>
      </c>
      <c r="G21" s="317">
        <f>IF('METAS CLIENTE'!M19="","",'METAS CLIENTE'!M19)</f>
        <v/>
      </c>
      <c r="H21" s="317">
        <f>Q21</f>
        <v/>
      </c>
      <c r="I21" s="159">
        <f>IF(C21="","",SUMIFS('CONTROLE PRODUÇÃO POR EMPRESAS'!$AP$6:$AP$5000,'CONTROLE PRODUÇÃO POR EMPRESAS'!$A$6:$A$5000,"&lt;"&amp;C21,'CONTROLE PRODUÇÃO POR EMPRESAS'!$A$6:$A$5000,"&lt;="&amp;$A$4))</f>
        <v/>
      </c>
      <c r="J21" s="159">
        <f>IF(C21="","",SUMIFS('CONTROLE PRODUÇÃO POR EMPRESAS'!$AP$6:$AP$5000,'CONTROLE PRODUÇÃO POR EMPRESAS'!$A$6:$A$5000,"&gt;="&amp;C21,'CONTROLE PRODUÇÃO POR EMPRESAS'!$A$6:$A$5000,"&lt;="&amp;$A$4))</f>
        <v/>
      </c>
      <c r="K21" s="159">
        <f>IF(C21="","",I21+J21)</f>
        <v/>
      </c>
      <c r="L21" s="159">
        <f>IF(OR(B21="",C21="",E21=""),"",IF($A$4&lt;C21,0,MIN(B21,E21*NETWORKDAYS.INTL(C21,$A$4,IF(F21=5,"0000011",IF(F21=6,"0000001","0000000"))))))</f>
        <v/>
      </c>
      <c r="M21" s="159">
        <f>IF(L21="","",K21-L21)</f>
        <v/>
      </c>
      <c r="N21" s="319">
        <f>IFERROR(K21/B21,"")</f>
        <v/>
      </c>
      <c r="O21" s="159">
        <f>IF(OR(D21="",$A$4&lt;D21),"",IFERROR((SUMIFS('CONTROLE PRODUÇÃO POR EMPRESAS'!$AP$6:$AP$5000,'CONTROLE PRODUÇÃO POR EMPRESAS'!$A$6:$A$5000,"&gt;="&amp;D21,'CONTROLE PRODUÇÃO POR EMPRESAS'!$A$6:$A$5000,"&lt;="&amp;$A$4))/MAX(1,NETWORKDAYS.INTL(D21,$A$4,IF(F21=5,"0000011",IF(F21=6,"0000001","0000000")))),0))</f>
        <v/>
      </c>
      <c r="P21" s="159">
        <f>IF(B21="","",MAX(B21-K21,0))</f>
        <v/>
      </c>
      <c r="Q21" s="317">
        <f>IF(OR(B21="",C21="",E21=""),"",IF(P21=0,$A$4,IF(AND($A$4&lt;C21,K21=0),G21,WORKDAY.INTL($A$4,ROUNDUP(P21/IF(N(O21)&gt;0,IF(NETWORKDAYS.INTL(D21,$A$4,IF(F21=5,"0000011",IF(F21=6,"0000001","0000000")))&gt;=5,O21,E21),E21),0),IF(F21=5,"0000011",IF(F21=6,"0000001","0000000"))))))</f>
        <v/>
      </c>
      <c r="R21" s="97">
        <f>IF(OR(G21="",Q21=""),"",IF(Q21=G21,0,IF(Q21&gt;G21,NETWORKDAYS.INTL(G21,Q21,IF(F21=5,"0000011",IF(F21=6,"0000001","0000000")))-1,-(NETWORKDAYS.INTL(Q21,G21,IF(F21=5,"0000011",IF(F21=6,"0000001","0000000")))-1))))</f>
        <v/>
      </c>
      <c r="S21">
        <f>IF(B21="","CONFIGURAR",IF(K21&gt;=B21,"CONCLUÍDO",IF(Q21&lt;G21,"ADIANTADO",IF(Q21=G21,"NO PRAZO","ATRASO"))))</f>
        <v/>
      </c>
      <c r="T21" s="162">
        <f>IF(B21="","Informe a quantidade em METAS CLIENTE",IF(M21&gt;0,"Crédito / produção acima do previsto",IF(M21&lt;0,"Produção abaixo do previsto","Aderente ao previsto")))</f>
        <v/>
      </c>
      <c r="U21" s="159">
        <f>IF(OR(P21="",G21="",C21=""),"",IF(P21=0,0,IF($A$4&gt;=G21,P21,P21/MAX(1,NETWORKDAYS.INTL(MAX($A$4+1,C21),G21,IF(F21=5,"0000011",IF(F21=6,"0000001","0000000")))))))</f>
        <v/>
      </c>
      <c r="V21" s="62">
        <f>'METAS CLIENTE'!N19</f>
        <v/>
      </c>
      <c r="W21" s="317">
        <f>IF('METAS CLIENTE'!R19="","",'METAS CLIENTE'!R19)</f>
        <v/>
      </c>
      <c r="X21" s="97">
        <f>IF(OR(Q21="",W21=""),"",IF(Q21=W21,0,IF(Q21&gt;W21,NETWORKDAYS.INTL(W21,Q21,IF(F21=5,"0000011",IF(F21=6,"0000001","0000000")))-1,-(NETWORKDAYS.INTL(Q21,W21,IF(F21=5,"0000011",IF(F21=6,"0000001","0000000")))-1))))</f>
        <v/>
      </c>
      <c r="Y21" s="159">
        <f>IF(N(B21)&gt;0,'METAS CLIENTE'!L19,0)</f>
        <v/>
      </c>
      <c r="Z21" s="319">
        <f>IF(N(B21)&gt;0,N(L21)/B21,0)</f>
        <v/>
      </c>
      <c r="AA21" s="319">
        <f>IF(N(B21)&gt;0,N(K21)/B21,0)</f>
        <v/>
      </c>
    </row>
    <row r="22" ht="21.75" customHeight="1">
      <c r="A22" s="62">
        <f>'METAS CLIENTE'!A20</f>
        <v/>
      </c>
      <c r="B22" s="159">
        <f>IF('METAS CLIENTE'!B20="","",'METAS CLIENTE'!B20)</f>
        <v/>
      </c>
      <c r="C22" s="317">
        <f>IF('METAS CLIENTE'!C20="","",'METAS CLIENTE'!C20)</f>
        <v/>
      </c>
      <c r="D22" s="317">
        <f>IF('METAS CLIENTE'!D20="","",'METAS CLIENTE'!D20)</f>
        <v/>
      </c>
      <c r="E22" s="159">
        <f>IF('METAS CLIENTE'!E20="","",'METAS CLIENTE'!E20)</f>
        <v/>
      </c>
      <c r="F22" s="159">
        <f>IF('METAS CLIENTE'!F20="","",'METAS CLIENTE'!F20)</f>
        <v/>
      </c>
      <c r="G22" s="317">
        <f>IF('METAS CLIENTE'!M20="","",'METAS CLIENTE'!M20)</f>
        <v/>
      </c>
      <c r="H22" s="317">
        <f>Q22</f>
        <v/>
      </c>
      <c r="I22" s="159">
        <f>IF(C22="","",SUMIFS('CONTROLE PRODUÇÃO POR EMPRESAS'!$AQ$6:$AQ$5000,'CONTROLE PRODUÇÃO POR EMPRESAS'!$A$6:$A$5000,"&lt;"&amp;C22,'CONTROLE PRODUÇÃO POR EMPRESAS'!$A$6:$A$5000,"&lt;="&amp;$A$4))</f>
        <v/>
      </c>
      <c r="J22" s="159">
        <f>IF(C22="","",SUMIFS('CONTROLE PRODUÇÃO POR EMPRESAS'!$AQ$6:$AQ$5000,'CONTROLE PRODUÇÃO POR EMPRESAS'!$A$6:$A$5000,"&gt;="&amp;C22,'CONTROLE PRODUÇÃO POR EMPRESAS'!$A$6:$A$5000,"&lt;="&amp;$A$4))</f>
        <v/>
      </c>
      <c r="K22" s="159">
        <f>IF(C22="","",I22+J22)</f>
        <v/>
      </c>
      <c r="L22" s="159">
        <f>IF(OR(B22="",C22="",E22=""),"",IF($A$4&lt;C22,0,MIN(B22,E22*NETWORKDAYS.INTL(C22,$A$4,IF(F22=5,"0000011",IF(F22=6,"0000001","0000000"))))))</f>
        <v/>
      </c>
      <c r="M22" s="159">
        <f>IF(L22="","",K22-L22)</f>
        <v/>
      </c>
      <c r="N22" s="319">
        <f>IFERROR(K22/B22,"")</f>
        <v/>
      </c>
      <c r="O22" s="159">
        <f>IF(OR(D22="",$A$4&lt;D22),"",IFERROR((SUMIFS('CONTROLE PRODUÇÃO POR EMPRESAS'!$AQ$6:$AQ$5000,'CONTROLE PRODUÇÃO POR EMPRESAS'!$A$6:$A$5000,"&gt;="&amp;D22,'CONTROLE PRODUÇÃO POR EMPRESAS'!$A$6:$A$5000,"&lt;="&amp;$A$4))/MAX(1,NETWORKDAYS.INTL(D22,$A$4,IF(F22=5,"0000011",IF(F22=6,"0000001","0000000")))),0))</f>
        <v/>
      </c>
      <c r="P22" s="159">
        <f>IF(B22="","",MAX(B22-K22,0))</f>
        <v/>
      </c>
      <c r="Q22" s="317">
        <f>IF(OR(B22="",C22="",E22=""),"",IF(P22=0,$A$4,IF(AND($A$4&lt;C22,K22=0),G22,WORKDAY.INTL($A$4,ROUNDUP(P22/IF(N(O22)&gt;0,IF(NETWORKDAYS.INTL(D22,$A$4,IF(F22=5,"0000011",IF(F22=6,"0000001","0000000")))&gt;=5,O22,E22),E22),0),IF(F22=5,"0000011",IF(F22=6,"0000001","0000000"))))))</f>
        <v/>
      </c>
      <c r="R22" s="97">
        <f>IF(OR(G22="",Q22=""),"",IF(Q22=G22,0,IF(Q22&gt;G22,NETWORKDAYS.INTL(G22,Q22,IF(F22=5,"0000011",IF(F22=6,"0000001","0000000")))-1,-(NETWORKDAYS.INTL(Q22,G22,IF(F22=5,"0000011",IF(F22=6,"0000001","0000000")))-1))))</f>
        <v/>
      </c>
      <c r="S22">
        <f>IF(B22="","CONFIGURAR",IF(K22&gt;=B22,"CONCLUÍDO",IF(Q22&lt;G22,"ADIANTADO",IF(Q22=G22,"NO PRAZO","ATRASO"))))</f>
        <v/>
      </c>
      <c r="T22" s="162">
        <f>IF(B22="","Informe a quantidade em METAS CLIENTE",IF(M22&gt;0,"Crédito / produção acima do previsto",IF(M22&lt;0,"Produção abaixo do previsto","Aderente ao previsto")))</f>
        <v/>
      </c>
      <c r="U22" s="159">
        <f>IF(OR(P22="",G22="",C22=""),"",IF(P22=0,0,IF($A$4&gt;=G22,P22,P22/MAX(1,NETWORKDAYS.INTL(MAX($A$4+1,C22),G22,IF(F22=5,"0000011",IF(F22=6,"0000001","0000000")))))))</f>
        <v/>
      </c>
      <c r="V22" s="62">
        <f>'METAS CLIENTE'!N20</f>
        <v/>
      </c>
      <c r="W22" s="317">
        <f>IF('METAS CLIENTE'!R20="","",'METAS CLIENTE'!R20)</f>
        <v/>
      </c>
      <c r="X22" s="97">
        <f>IF(OR(Q22="",W22=""),"",IF(Q22=W22,0,IF(Q22&gt;W22,NETWORKDAYS.INTL(W22,Q22,IF(F22=5,"0000011",IF(F22=6,"0000001","0000000")))-1,-(NETWORKDAYS.INTL(Q22,W22,IF(F22=5,"0000011",IF(F22=6,"0000001","0000000")))-1))))</f>
        <v/>
      </c>
      <c r="Y22" s="159">
        <f>IF(N(B22)&gt;0,'METAS CLIENTE'!L20,0)</f>
        <v/>
      </c>
      <c r="Z22" s="319">
        <f>IF(N(B22)&gt;0,N(L22)/B22,0)</f>
        <v/>
      </c>
      <c r="AA22" s="319">
        <f>IF(N(B22)&gt;0,N(K22)/B22,0)</f>
        <v/>
      </c>
    </row>
    <row r="23" ht="21.75" customHeight="1">
      <c r="A23" s="62">
        <f>'METAS CLIENTE'!A21</f>
        <v/>
      </c>
      <c r="B23" s="159">
        <f>IF('METAS CLIENTE'!B21="","",'METAS CLIENTE'!B21)</f>
        <v/>
      </c>
      <c r="C23" s="317">
        <f>IF('METAS CLIENTE'!C21="","",'METAS CLIENTE'!C21)</f>
        <v/>
      </c>
      <c r="D23" s="317">
        <f>IF('METAS CLIENTE'!D21="","",'METAS CLIENTE'!D21)</f>
        <v/>
      </c>
      <c r="E23" s="159">
        <f>IF('METAS CLIENTE'!E21="","",'METAS CLIENTE'!E21)</f>
        <v/>
      </c>
      <c r="F23" s="159">
        <f>IF('METAS CLIENTE'!F21="","",'METAS CLIENTE'!F21)</f>
        <v/>
      </c>
      <c r="G23" s="317">
        <f>IF('METAS CLIENTE'!M21="","",'METAS CLIENTE'!M21)</f>
        <v/>
      </c>
      <c r="H23" s="317">
        <f>Q23</f>
        <v/>
      </c>
      <c r="I23" s="159">
        <f>IF(C23="","",SUMIFS('CONTROLE PRODUÇÃO POR EMPRESAS'!$AR$6:$AR$5000,'CONTROLE PRODUÇÃO POR EMPRESAS'!$A$6:$A$5000,"&lt;"&amp;C23,'CONTROLE PRODUÇÃO POR EMPRESAS'!$A$6:$A$5000,"&lt;="&amp;$A$4))</f>
        <v/>
      </c>
      <c r="J23" s="159">
        <f>IF(C23="","",SUMIFS('CONTROLE PRODUÇÃO POR EMPRESAS'!$AR$6:$AR$5000,'CONTROLE PRODUÇÃO POR EMPRESAS'!$A$6:$A$5000,"&gt;="&amp;C23,'CONTROLE PRODUÇÃO POR EMPRESAS'!$A$6:$A$5000,"&lt;="&amp;$A$4))</f>
        <v/>
      </c>
      <c r="K23" s="159">
        <f>IF(C23="","",I23+J23)</f>
        <v/>
      </c>
      <c r="L23" s="159">
        <f>IF(OR(B23="",C23="",E23=""),"",IF($A$4&lt;C23,0,MIN(B23,E23*NETWORKDAYS.INTL(C23,$A$4,IF(F23=5,"0000011",IF(F23=6,"0000001","0000000"))))))</f>
        <v/>
      </c>
      <c r="M23" s="159">
        <f>IF(L23="","",K23-L23)</f>
        <v/>
      </c>
      <c r="N23" s="319">
        <f>IFERROR(K23/B23,"")</f>
        <v/>
      </c>
      <c r="O23" s="159">
        <f>IF(OR(D23="",$A$4&lt;D23),"",IFERROR((SUMIFS('CONTROLE PRODUÇÃO POR EMPRESAS'!$AR$6:$AR$5000,'CONTROLE PRODUÇÃO POR EMPRESAS'!$A$6:$A$5000,"&gt;="&amp;D23,'CONTROLE PRODUÇÃO POR EMPRESAS'!$A$6:$A$5000,"&lt;="&amp;$A$4))/MAX(1,NETWORKDAYS.INTL(D23,$A$4,IF(F23=5,"0000011",IF(F23=6,"0000001","0000000")))),0))</f>
        <v/>
      </c>
      <c r="P23" s="159">
        <f>IF(B23="","",MAX(B23-K23,0))</f>
        <v/>
      </c>
      <c r="Q23" s="317">
        <f>IF(OR(B23="",C23="",E23=""),"",IF(P23=0,$A$4,IF(AND($A$4&lt;C23,K23=0),G23,WORKDAY.INTL($A$4,ROUNDUP(P23/IF(N(O23)&gt;0,IF(NETWORKDAYS.INTL(D23,$A$4,IF(F23=5,"0000011",IF(F23=6,"0000001","0000000")))&gt;=5,O23,E23),E23),0),IF(F23=5,"0000011",IF(F23=6,"0000001","0000000"))))))</f>
        <v/>
      </c>
      <c r="R23" s="97">
        <f>IF(OR(G23="",Q23=""),"",IF(Q23=G23,0,IF(Q23&gt;G23,NETWORKDAYS.INTL(G23,Q23,IF(F23=5,"0000011",IF(F23=6,"0000001","0000000")))-1,-(NETWORKDAYS.INTL(Q23,G23,IF(F23=5,"0000011",IF(F23=6,"0000001","0000000")))-1))))</f>
        <v/>
      </c>
      <c r="S23">
        <f>IF(B23="","CONFIGURAR",IF(K23&gt;=B23,"CONCLUÍDO",IF(Q23&lt;G23,"ADIANTADO",IF(Q23=G23,"NO PRAZO","ATRASO"))))</f>
        <v/>
      </c>
      <c r="T23" s="162">
        <f>IF(B23="","Informe a quantidade em METAS CLIENTE",IF(M23&gt;0,"Crédito / produção acima do previsto",IF(M23&lt;0,"Produção abaixo do previsto","Aderente ao previsto")))</f>
        <v/>
      </c>
      <c r="U23" s="159">
        <f>IF(OR(P23="",G23="",C23=""),"",IF(P23=0,0,IF($A$4&gt;=G23,P23,P23/MAX(1,NETWORKDAYS.INTL(MAX($A$4+1,C23),G23,IF(F23=5,"0000011",IF(F23=6,"0000001","0000000")))))))</f>
        <v/>
      </c>
      <c r="V23" s="62">
        <f>'METAS CLIENTE'!N21</f>
        <v/>
      </c>
      <c r="W23" s="317">
        <f>IF('METAS CLIENTE'!R21="","",'METAS CLIENTE'!R21)</f>
        <v/>
      </c>
      <c r="X23" s="97">
        <f>IF(OR(Q23="",W23=""),"",IF(Q23=W23,0,IF(Q23&gt;W23,NETWORKDAYS.INTL(W23,Q23,IF(F23=5,"0000011",IF(F23=6,"0000001","0000000")))-1,-(NETWORKDAYS.INTL(Q23,W23,IF(F23=5,"0000011",IF(F23=6,"0000001","0000000")))-1))))</f>
        <v/>
      </c>
      <c r="Y23" s="159">
        <f>IF(N(B23)&gt;0,'METAS CLIENTE'!L21,0)</f>
        <v/>
      </c>
      <c r="Z23" s="319">
        <f>IF(N(B23)&gt;0,N(L23)/B23,0)</f>
        <v/>
      </c>
      <c r="AA23" s="319">
        <f>IF(N(B23)&gt;0,N(K23)/B23,0)</f>
        <v/>
      </c>
    </row>
    <row r="24" ht="21.75" customHeight="1">
      <c r="A24" s="62">
        <f>'METAS CLIENTE'!A22</f>
        <v/>
      </c>
      <c r="B24" s="159">
        <f>IF('METAS CLIENTE'!B22="","",'METAS CLIENTE'!B22)</f>
        <v/>
      </c>
      <c r="C24" s="317">
        <f>IF('METAS CLIENTE'!C22="","",'METAS CLIENTE'!C22)</f>
        <v/>
      </c>
      <c r="D24" s="317">
        <f>IF('METAS CLIENTE'!D22="","",'METAS CLIENTE'!D22)</f>
        <v/>
      </c>
      <c r="E24" s="159">
        <f>IF('METAS CLIENTE'!E22="","",'METAS CLIENTE'!E22)</f>
        <v/>
      </c>
      <c r="F24" s="159">
        <f>IF('METAS CLIENTE'!F22="","",'METAS CLIENTE'!F22)</f>
        <v/>
      </c>
      <c r="G24" s="317">
        <f>IF('METAS CLIENTE'!M22="","",'METAS CLIENTE'!M22)</f>
        <v/>
      </c>
      <c r="H24" s="317">
        <f>Q24</f>
        <v/>
      </c>
      <c r="I24" s="159">
        <f>IF(C24="","",SUMIFS('CONTROLE PRODUÇÃO POR EMPRESAS'!$AS$6:$AS$5000,'CONTROLE PRODUÇÃO POR EMPRESAS'!$A$6:$A$5000,"&lt;"&amp;C24,'CONTROLE PRODUÇÃO POR EMPRESAS'!$A$6:$A$5000,"&lt;="&amp;$A$4))</f>
        <v/>
      </c>
      <c r="J24" s="159">
        <f>IF(C24="","",SUMIFS('CONTROLE PRODUÇÃO POR EMPRESAS'!$AS$6:$AS$5000,'CONTROLE PRODUÇÃO POR EMPRESAS'!$A$6:$A$5000,"&gt;="&amp;C24,'CONTROLE PRODUÇÃO POR EMPRESAS'!$A$6:$A$5000,"&lt;="&amp;$A$4))</f>
        <v/>
      </c>
      <c r="K24" s="159">
        <f>IF(C24="","",I24+J24)</f>
        <v/>
      </c>
      <c r="L24" s="159">
        <f>IF(OR(B24="",C24="",E24=""),"",IF($A$4&lt;C24,0,MIN(B24,E24*NETWORKDAYS.INTL(C24,$A$4,IF(F24=5,"0000011",IF(F24=6,"0000001","0000000"))))))</f>
        <v/>
      </c>
      <c r="M24" s="159">
        <f>IF(L24="","",K24-L24)</f>
        <v/>
      </c>
      <c r="N24" s="319">
        <f>IFERROR(K24/B24,"")</f>
        <v/>
      </c>
      <c r="O24" s="159">
        <f>IF(OR(D24="",$A$4&lt;D24),"",IFERROR((SUMIFS('CONTROLE PRODUÇÃO POR EMPRESAS'!$AS$6:$AS$5000,'CONTROLE PRODUÇÃO POR EMPRESAS'!$A$6:$A$5000,"&gt;="&amp;D24,'CONTROLE PRODUÇÃO POR EMPRESAS'!$A$6:$A$5000,"&lt;="&amp;$A$4))/MAX(1,NETWORKDAYS.INTL(D24,$A$4,IF(F24=5,"0000011",IF(F24=6,"0000001","0000000")))),0))</f>
        <v/>
      </c>
      <c r="P24" s="159">
        <f>IF(B24="","",MAX(B24-K24,0))</f>
        <v/>
      </c>
      <c r="Q24" s="317">
        <f>IF(OR(B24="",C24="",E24=""),"",IF(P24=0,$A$4,IF(AND($A$4&lt;C24,K24=0),G24,WORKDAY.INTL($A$4,ROUNDUP(P24/IF(N(O24)&gt;0,IF(NETWORKDAYS.INTL(D24,$A$4,IF(F24=5,"0000011",IF(F24=6,"0000001","0000000")))&gt;=5,O24,E24),E24),0),IF(F24=5,"0000011",IF(F24=6,"0000001","0000000"))))))</f>
        <v/>
      </c>
      <c r="R24" s="97">
        <f>IF(OR(G24="",Q24=""),"",IF(Q24=G24,0,IF(Q24&gt;G24,NETWORKDAYS.INTL(G24,Q24,IF(F24=5,"0000011",IF(F24=6,"0000001","0000000")))-1,-(NETWORKDAYS.INTL(Q24,G24,IF(F24=5,"0000011",IF(F24=6,"0000001","0000000")))-1))))</f>
        <v/>
      </c>
      <c r="S24">
        <f>IF(B24="","CONFIGURAR",IF(K24&gt;=B24,"CONCLUÍDO",IF(Q24&lt;G24,"ADIANTADO",IF(Q24=G24,"NO PRAZO","ATRASO"))))</f>
        <v/>
      </c>
      <c r="T24" s="162">
        <f>IF(B24="","Informe a quantidade em METAS CLIENTE",IF(M24&gt;0,"Crédito / produção acima do previsto",IF(M24&lt;0,"Produção abaixo do previsto","Aderente ao previsto")))</f>
        <v/>
      </c>
      <c r="U24" s="159">
        <f>IF(OR(P24="",G24="",C24=""),"",IF(P24=0,0,IF($A$4&gt;=G24,P24,P24/MAX(1,NETWORKDAYS.INTL(MAX($A$4+1,C24),G24,IF(F24=5,"0000011",IF(F24=6,"0000001","0000000")))))))</f>
        <v/>
      </c>
      <c r="V24" s="62">
        <f>'METAS CLIENTE'!N22</f>
        <v/>
      </c>
      <c r="W24" s="317">
        <f>IF('METAS CLIENTE'!R22="","",'METAS CLIENTE'!R22)</f>
        <v/>
      </c>
      <c r="X24" s="97">
        <f>IF(OR(Q24="",W24=""),"",IF(Q24=W24,0,IF(Q24&gt;W24,NETWORKDAYS.INTL(W24,Q24,IF(F24=5,"0000011",IF(F24=6,"0000001","0000000")))-1,-(NETWORKDAYS.INTL(Q24,W24,IF(F24=5,"0000011",IF(F24=6,"0000001","0000000")))-1))))</f>
        <v/>
      </c>
      <c r="Y24" s="159">
        <f>IF(N(B24)&gt;0,'METAS CLIENTE'!L22,0)</f>
        <v/>
      </c>
      <c r="Z24" s="319">
        <f>IF(N(B24)&gt;0,N(L24)/B24,0)</f>
        <v/>
      </c>
      <c r="AA24" s="319">
        <f>IF(N(B24)&gt;0,N(K24)/B24,0)</f>
        <v/>
      </c>
    </row>
    <row r="25" ht="21.75" customHeight="1">
      <c r="A25" s="62">
        <f>'METAS CLIENTE'!A23</f>
        <v/>
      </c>
      <c r="B25" s="159">
        <f>IF('METAS CLIENTE'!B23="","",'METAS CLIENTE'!B23)</f>
        <v/>
      </c>
      <c r="C25" s="317">
        <f>IF('METAS CLIENTE'!C23="","",'METAS CLIENTE'!C23)</f>
        <v/>
      </c>
      <c r="D25" s="317">
        <f>IF('METAS CLIENTE'!D23="","",'METAS CLIENTE'!D23)</f>
        <v/>
      </c>
      <c r="E25" s="159">
        <f>IF('METAS CLIENTE'!E23="","",'METAS CLIENTE'!E23)</f>
        <v/>
      </c>
      <c r="F25" s="159">
        <f>IF('METAS CLIENTE'!F23="","",'METAS CLIENTE'!F23)</f>
        <v/>
      </c>
      <c r="G25" s="317">
        <f>IF('METAS CLIENTE'!M23="","",'METAS CLIENTE'!M23)</f>
        <v/>
      </c>
      <c r="H25" s="317">
        <f>Q25</f>
        <v/>
      </c>
      <c r="I25" s="159">
        <f>IF(C25="","",SUMIFS('CONTROLE PRODUÇÃO POR EMPRESAS'!$AT$6:$AT$5000,'CONTROLE PRODUÇÃO POR EMPRESAS'!$A$6:$A$5000,"&lt;"&amp;C25,'CONTROLE PRODUÇÃO POR EMPRESAS'!$A$6:$A$5000,"&lt;="&amp;$A$4))</f>
        <v/>
      </c>
      <c r="J25" s="159">
        <f>IF(C25="","",SUMIFS('CONTROLE PRODUÇÃO POR EMPRESAS'!$AT$6:$AT$5000,'CONTROLE PRODUÇÃO POR EMPRESAS'!$A$6:$A$5000,"&gt;="&amp;C25,'CONTROLE PRODUÇÃO POR EMPRESAS'!$A$6:$A$5000,"&lt;="&amp;$A$4))</f>
        <v/>
      </c>
      <c r="K25" s="159">
        <f>IF(C25="","",I25+J25)</f>
        <v/>
      </c>
      <c r="L25" s="159">
        <f>IF(OR(B25="",C25="",E25=""),"",IF($A$4&lt;C25,0,MIN(B25,E25*NETWORKDAYS.INTL(C25,$A$4,IF(F25=5,"0000011",IF(F25=6,"0000001","0000000"))))))</f>
        <v/>
      </c>
      <c r="M25" s="159">
        <f>IF(L25="","",K25-L25)</f>
        <v/>
      </c>
      <c r="N25" s="319">
        <f>IFERROR(K25/B25,"")</f>
        <v/>
      </c>
      <c r="O25" s="159">
        <f>IF(OR(D25="",$A$4&lt;D25),"",IFERROR((SUMIFS('CONTROLE PRODUÇÃO POR EMPRESAS'!$AT$6:$AT$5000,'CONTROLE PRODUÇÃO POR EMPRESAS'!$A$6:$A$5000,"&gt;="&amp;D25,'CONTROLE PRODUÇÃO POR EMPRESAS'!$A$6:$A$5000,"&lt;="&amp;$A$4))/MAX(1,NETWORKDAYS.INTL(D25,$A$4,IF(F25=5,"0000011",IF(F25=6,"0000001","0000000")))),0))</f>
        <v/>
      </c>
      <c r="P25" s="159">
        <f>IF(B25="","",MAX(B25-K25,0))</f>
        <v/>
      </c>
      <c r="Q25" s="317">
        <f>IF(OR(B25="",C25="",E25=""),"",IF(P25=0,$A$4,IF(AND($A$4&lt;C25,K25=0),G25,WORKDAY.INTL($A$4,ROUNDUP(P25/IF(N(O25)&gt;0,IF(NETWORKDAYS.INTL(D25,$A$4,IF(F25=5,"0000011",IF(F25=6,"0000001","0000000")))&gt;=5,O25,E25),E25),0),IF(F25=5,"0000011",IF(F25=6,"0000001","0000000"))))))</f>
        <v/>
      </c>
      <c r="R25" s="97">
        <f>IF(OR(G25="",Q25=""),"",IF(Q25=G25,0,IF(Q25&gt;G25,NETWORKDAYS.INTL(G25,Q25,IF(F25=5,"0000011",IF(F25=6,"0000001","0000000")))-1,-(NETWORKDAYS.INTL(Q25,G25,IF(F25=5,"0000011",IF(F25=6,"0000001","0000000")))-1))))</f>
        <v/>
      </c>
      <c r="S25">
        <f>IF(B25="","CONFIGURAR",IF(K25&gt;=B25,"CONCLUÍDO",IF(Q25&lt;G25,"ADIANTADO",IF(Q25=G25,"NO PRAZO","ATRASO"))))</f>
        <v/>
      </c>
      <c r="T25" s="162">
        <f>IF(B25="","Informe a quantidade em METAS CLIENTE",IF(M25&gt;0,"Crédito / produção acima do previsto",IF(M25&lt;0,"Produção abaixo do previsto","Aderente ao previsto")))</f>
        <v/>
      </c>
      <c r="U25" s="159">
        <f>IF(OR(P25="",G25="",C25=""),"",IF(P25=0,0,IF($A$4&gt;=G25,P25,P25/MAX(1,NETWORKDAYS.INTL(MAX($A$4+1,C25),G25,IF(F25=5,"0000011",IF(F25=6,"0000001","0000000")))))))</f>
        <v/>
      </c>
      <c r="V25" s="62">
        <f>'METAS CLIENTE'!N23</f>
        <v/>
      </c>
      <c r="W25" s="317">
        <f>IF('METAS CLIENTE'!R23="","",'METAS CLIENTE'!R23)</f>
        <v/>
      </c>
      <c r="X25" s="97">
        <f>IF(OR(Q25="",W25=""),"",IF(Q25=W25,0,IF(Q25&gt;W25,NETWORKDAYS.INTL(W25,Q25,IF(F25=5,"0000011",IF(F25=6,"0000001","0000000")))-1,-(NETWORKDAYS.INTL(Q25,W25,IF(F25=5,"0000011",IF(F25=6,"0000001","0000000")))-1))))</f>
        <v/>
      </c>
      <c r="Y25" s="159">
        <f>IF(N(B25)&gt;0,'METAS CLIENTE'!L23,0)</f>
        <v/>
      </c>
      <c r="Z25" s="319">
        <f>IF(N(B25)&gt;0,N(L25)/B25,0)</f>
        <v/>
      </c>
      <c r="AA25" s="319">
        <f>IF(N(B25)&gt;0,N(K25)/B25,0)</f>
        <v/>
      </c>
    </row>
    <row r="26" ht="21.75" customHeight="1">
      <c r="A26" s="62">
        <f>'METAS CLIENTE'!A24</f>
        <v/>
      </c>
      <c r="B26" s="159">
        <f>IF('METAS CLIENTE'!B24="","",'METAS CLIENTE'!B24)</f>
        <v/>
      </c>
      <c r="C26" s="317">
        <f>IF('METAS CLIENTE'!C24="","",'METAS CLIENTE'!C24)</f>
        <v/>
      </c>
      <c r="D26" s="317">
        <f>IF('METAS CLIENTE'!D24="","",'METAS CLIENTE'!D24)</f>
        <v/>
      </c>
      <c r="E26" s="159">
        <f>IF('METAS CLIENTE'!E24="","",'METAS CLIENTE'!E24)</f>
        <v/>
      </c>
      <c r="F26" s="159">
        <f>IF('METAS CLIENTE'!F24="","",'METAS CLIENTE'!F24)</f>
        <v/>
      </c>
      <c r="G26" s="317">
        <f>IF('METAS CLIENTE'!M24="","",'METAS CLIENTE'!M24)</f>
        <v/>
      </c>
      <c r="H26" s="317">
        <f>Q26</f>
        <v/>
      </c>
      <c r="I26" s="159">
        <f>IF(C26="","",SUMIFS('CONTROLE PRODUÇÃO POR EMPRESAS'!$AU$6:$AU$5000,'CONTROLE PRODUÇÃO POR EMPRESAS'!$A$6:$A$5000,"&lt;"&amp;C26,'CONTROLE PRODUÇÃO POR EMPRESAS'!$A$6:$A$5000,"&lt;="&amp;$A$4))</f>
        <v/>
      </c>
      <c r="J26" s="159">
        <f>IF(C26="","",SUMIFS('CONTROLE PRODUÇÃO POR EMPRESAS'!$AU$6:$AU$5000,'CONTROLE PRODUÇÃO POR EMPRESAS'!$A$6:$A$5000,"&gt;="&amp;C26,'CONTROLE PRODUÇÃO POR EMPRESAS'!$A$6:$A$5000,"&lt;="&amp;$A$4))</f>
        <v/>
      </c>
      <c r="K26" s="159">
        <f>IF(C26="","",I26+J26)</f>
        <v/>
      </c>
      <c r="L26" s="159">
        <f>IF(OR(B26="",C26="",E26=""),"",IF($A$4&lt;C26,0,MIN(B26,E26*NETWORKDAYS.INTL(C26,$A$4,IF(F26=5,"0000011",IF(F26=6,"0000001","0000000"))))))</f>
        <v/>
      </c>
      <c r="M26" s="159">
        <f>IF(L26="","",K26-L26)</f>
        <v/>
      </c>
      <c r="N26" s="319">
        <f>IFERROR(K26/B26,"")</f>
        <v/>
      </c>
      <c r="O26" s="159">
        <f>IF(OR(D26="",$A$4&lt;D26),"",IFERROR((SUMIFS('CONTROLE PRODUÇÃO POR EMPRESAS'!$AU$6:$AU$5000,'CONTROLE PRODUÇÃO POR EMPRESAS'!$A$6:$A$5000,"&gt;="&amp;D26,'CONTROLE PRODUÇÃO POR EMPRESAS'!$A$6:$A$5000,"&lt;="&amp;$A$4))/MAX(1,NETWORKDAYS.INTL(D26,$A$4,IF(F26=5,"0000011",IF(F26=6,"0000001","0000000")))),0))</f>
        <v/>
      </c>
      <c r="P26" s="159">
        <f>IF(B26="","",MAX(B26-K26,0))</f>
        <v/>
      </c>
      <c r="Q26" s="317">
        <f>IF(OR(B26="",C26="",E26=""),"",IF(P26=0,$A$4,IF(AND($A$4&lt;C26,K26=0),G26,WORKDAY.INTL($A$4,ROUNDUP(P26/IF(N(O26)&gt;0,IF(NETWORKDAYS.INTL(D26,$A$4,IF(F26=5,"0000011",IF(F26=6,"0000001","0000000")))&gt;=5,O26,E26),E26),0),IF(F26=5,"0000011",IF(F26=6,"0000001","0000000"))))))</f>
        <v/>
      </c>
      <c r="R26" s="97">
        <f>IF(OR(G26="",Q26=""),"",IF(Q26=G26,0,IF(Q26&gt;G26,NETWORKDAYS.INTL(G26,Q26,IF(F26=5,"0000011",IF(F26=6,"0000001","0000000")))-1,-(NETWORKDAYS.INTL(Q26,G26,IF(F26=5,"0000011",IF(F26=6,"0000001","0000000")))-1))))</f>
        <v/>
      </c>
      <c r="S26">
        <f>IF(B26="","CONFIGURAR",IF(K26&gt;=B26,"CONCLUÍDO",IF(Q26&lt;G26,"ADIANTADO",IF(Q26=G26,"NO PRAZO","ATRASO"))))</f>
        <v/>
      </c>
      <c r="T26" s="162">
        <f>IF(B26="","Informe a quantidade em METAS CLIENTE",IF(M26&gt;0,"Crédito / produção acima do previsto",IF(M26&lt;0,"Produção abaixo do previsto","Aderente ao previsto")))</f>
        <v/>
      </c>
      <c r="U26" s="159">
        <f>IF(OR(P26="",G26="",C26=""),"",IF(P26=0,0,IF($A$4&gt;=G26,P26,P26/MAX(1,NETWORKDAYS.INTL(MAX($A$4+1,C26),G26,IF(F26=5,"0000011",IF(F26=6,"0000001","0000000")))))))</f>
        <v/>
      </c>
      <c r="V26" s="62">
        <f>'METAS CLIENTE'!N24</f>
        <v/>
      </c>
      <c r="W26" s="317">
        <f>IF('METAS CLIENTE'!R24="","",'METAS CLIENTE'!R24)</f>
        <v/>
      </c>
      <c r="X26" s="97">
        <f>IF(OR(Q26="",W26=""),"",IF(Q26=W26,0,IF(Q26&gt;W26,NETWORKDAYS.INTL(W26,Q26,IF(F26=5,"0000011",IF(F26=6,"0000001","0000000")))-1,-(NETWORKDAYS.INTL(Q26,W26,IF(F26=5,"0000011",IF(F26=6,"0000001","0000000")))-1))))</f>
        <v/>
      </c>
      <c r="Y26" s="159">
        <f>IF(N(B26)&gt;0,'METAS CLIENTE'!L24,0)</f>
        <v/>
      </c>
      <c r="Z26" s="319">
        <f>IF(N(B26)&gt;0,N(L26)/B26,0)</f>
        <v/>
      </c>
      <c r="AA26" s="319">
        <f>IF(N(B26)&gt;0,N(K26)/B26,0)</f>
        <v/>
      </c>
    </row>
    <row r="27" ht="21.75" customHeight="1">
      <c r="A27" s="62">
        <f>'METAS CLIENTE'!A25</f>
        <v/>
      </c>
      <c r="B27" s="159">
        <f>IF('METAS CLIENTE'!B25="","",'METAS CLIENTE'!B25)</f>
        <v/>
      </c>
      <c r="C27" s="317">
        <f>IF('METAS CLIENTE'!C25="","",'METAS CLIENTE'!C25)</f>
        <v/>
      </c>
      <c r="D27" s="317">
        <f>IF('METAS CLIENTE'!D25="","",'METAS CLIENTE'!D25)</f>
        <v/>
      </c>
      <c r="E27" s="159">
        <f>IF('METAS CLIENTE'!E25="","",'METAS CLIENTE'!E25)</f>
        <v/>
      </c>
      <c r="F27" s="159">
        <f>IF('METAS CLIENTE'!F25="","",'METAS CLIENTE'!F25)</f>
        <v/>
      </c>
      <c r="G27" s="317">
        <f>IF('METAS CLIENTE'!M25="","",'METAS CLIENTE'!M25)</f>
        <v/>
      </c>
      <c r="H27" s="317">
        <f>Q27</f>
        <v/>
      </c>
      <c r="I27" s="159">
        <f>IF(C27="","",SUMIFS('CONTROLE PRODUÇÃO POR EMPRESAS'!$AV$6:$AV$5000,'CONTROLE PRODUÇÃO POR EMPRESAS'!$A$6:$A$5000,"&lt;"&amp;C27,'CONTROLE PRODUÇÃO POR EMPRESAS'!$A$6:$A$5000,"&lt;="&amp;$A$4))</f>
        <v/>
      </c>
      <c r="J27" s="159">
        <f>IF(C27="","",SUMIFS('CONTROLE PRODUÇÃO POR EMPRESAS'!$AV$6:$AV$5000,'CONTROLE PRODUÇÃO POR EMPRESAS'!$A$6:$A$5000,"&gt;="&amp;C27,'CONTROLE PRODUÇÃO POR EMPRESAS'!$A$6:$A$5000,"&lt;="&amp;$A$4))</f>
        <v/>
      </c>
      <c r="K27" s="159">
        <f>IF(C27="","",I27+J27)</f>
        <v/>
      </c>
      <c r="L27" s="159">
        <f>IF(OR(B27="",C27="",E27=""),"",IF($A$4&lt;C27,0,MIN(B27,E27*NETWORKDAYS.INTL(C27,$A$4,IF(F27=5,"0000011",IF(F27=6,"0000001","0000000"))))))</f>
        <v/>
      </c>
      <c r="M27" s="159">
        <f>IF(L27="","",K27-L27)</f>
        <v/>
      </c>
      <c r="N27" s="319">
        <f>IFERROR(K27/B27,"")</f>
        <v/>
      </c>
      <c r="O27" s="159">
        <f>IF(OR(D27="",$A$4&lt;D27),"",IFERROR((SUMIFS('CONTROLE PRODUÇÃO POR EMPRESAS'!$AV$6:$AV$5000,'CONTROLE PRODUÇÃO POR EMPRESAS'!$A$6:$A$5000,"&gt;="&amp;D27,'CONTROLE PRODUÇÃO POR EMPRESAS'!$A$6:$A$5000,"&lt;="&amp;$A$4))/MAX(1,NETWORKDAYS.INTL(D27,$A$4,IF(F27=5,"0000011",IF(F27=6,"0000001","0000000")))),0))</f>
        <v/>
      </c>
      <c r="P27" s="159">
        <f>IF(B27="","",MAX(B27-K27,0))</f>
        <v/>
      </c>
      <c r="Q27" s="317">
        <f>IF(OR(B27="",C27="",E27=""),"",IF(P27=0,$A$4,IF(AND($A$4&lt;C27,K27=0),G27,WORKDAY.INTL($A$4,ROUNDUP(P27/IF(N(O27)&gt;0,IF(NETWORKDAYS.INTL(D27,$A$4,IF(F27=5,"0000011",IF(F27=6,"0000001","0000000")))&gt;=5,O27,E27),E27),0),IF(F27=5,"0000011",IF(F27=6,"0000001","0000000"))))))</f>
        <v/>
      </c>
      <c r="R27" s="97">
        <f>IF(OR(G27="",Q27=""),"",IF(Q27=G27,0,IF(Q27&gt;G27,NETWORKDAYS.INTL(G27,Q27,IF(F27=5,"0000011",IF(F27=6,"0000001","0000000")))-1,-(NETWORKDAYS.INTL(Q27,G27,IF(F27=5,"0000011",IF(F27=6,"0000001","0000000")))-1))))</f>
        <v/>
      </c>
      <c r="S27">
        <f>IF(B27="","CONFIGURAR",IF(K27&gt;=B27,"CONCLUÍDO",IF(Q27&lt;G27,"ADIANTADO",IF(Q27=G27,"NO PRAZO","ATRASO"))))</f>
        <v/>
      </c>
      <c r="T27" s="162">
        <f>IF(B27="","Informe a quantidade em METAS CLIENTE",IF(M27&gt;0,"Crédito / produção acima do previsto",IF(M27&lt;0,"Produção abaixo do previsto","Aderente ao previsto")))</f>
        <v/>
      </c>
      <c r="U27" s="159">
        <f>IF(OR(P27="",G27="",C27=""),"",IF(P27=0,0,IF($A$4&gt;=G27,P27,P27/MAX(1,NETWORKDAYS.INTL(MAX($A$4+1,C27),G27,IF(F27=5,"0000011",IF(F27=6,"0000001","0000000")))))))</f>
        <v/>
      </c>
      <c r="V27" s="62">
        <f>'METAS CLIENTE'!N25</f>
        <v/>
      </c>
      <c r="W27" s="317">
        <f>IF('METAS CLIENTE'!R25="","",'METAS CLIENTE'!R25)</f>
        <v/>
      </c>
      <c r="X27" s="97">
        <f>IF(OR(Q27="",W27=""),"",IF(Q27=W27,0,IF(Q27&gt;W27,NETWORKDAYS.INTL(W27,Q27,IF(F27=5,"0000011",IF(F27=6,"0000001","0000000")))-1,-(NETWORKDAYS.INTL(Q27,W27,IF(F27=5,"0000011",IF(F27=6,"0000001","0000000")))-1))))</f>
        <v/>
      </c>
      <c r="Y27" s="159">
        <f>IF(N(B27)&gt;0,'METAS CLIENTE'!L25,0)</f>
        <v/>
      </c>
      <c r="Z27" s="319">
        <f>IF(N(B27)&gt;0,N(L27)/B27,0)</f>
        <v/>
      </c>
      <c r="AA27" s="319">
        <f>IF(N(B27)&gt;0,N(K27)/B27,0)</f>
        <v/>
      </c>
    </row>
    <row r="28" ht="21.75" customHeight="1">
      <c r="A28" s="62">
        <f>'METAS CLIENTE'!A26</f>
        <v/>
      </c>
      <c r="B28" s="159">
        <f>IF('METAS CLIENTE'!B26="","",'METAS CLIENTE'!B26)</f>
        <v/>
      </c>
      <c r="C28" s="317">
        <f>IF('METAS CLIENTE'!C26="","",'METAS CLIENTE'!C26)</f>
        <v/>
      </c>
      <c r="D28" s="317">
        <f>IF('METAS CLIENTE'!D26="","",'METAS CLIENTE'!D26)</f>
        <v/>
      </c>
      <c r="E28" s="159">
        <f>IF('METAS CLIENTE'!E26="","",'METAS CLIENTE'!E26)</f>
        <v/>
      </c>
      <c r="F28" s="159">
        <f>IF('METAS CLIENTE'!F26="","",'METAS CLIENTE'!F26)</f>
        <v/>
      </c>
      <c r="G28" s="317">
        <f>IF('METAS CLIENTE'!M26="","",'METAS CLIENTE'!M26)</f>
        <v/>
      </c>
      <c r="H28" s="317">
        <f>Q28</f>
        <v/>
      </c>
      <c r="I28" s="159">
        <f>IF(C28="","",SUMIFS('CONTROLE PRODUÇÃO POR EMPRESAS'!$AW$6:$AW$5000,'CONTROLE PRODUÇÃO POR EMPRESAS'!$A$6:$A$5000,"&lt;"&amp;C28,'CONTROLE PRODUÇÃO POR EMPRESAS'!$A$6:$A$5000,"&lt;="&amp;$A$4))</f>
        <v/>
      </c>
      <c r="J28" s="159">
        <f>IF(C28="","",SUMIFS('CONTROLE PRODUÇÃO POR EMPRESAS'!$AW$6:$AW$5000,'CONTROLE PRODUÇÃO POR EMPRESAS'!$A$6:$A$5000,"&gt;="&amp;C28,'CONTROLE PRODUÇÃO POR EMPRESAS'!$A$6:$A$5000,"&lt;="&amp;$A$4))</f>
        <v/>
      </c>
      <c r="K28" s="159">
        <f>IF(C28="","",I28+J28)</f>
        <v/>
      </c>
      <c r="L28" s="159">
        <f>IF(OR(B28="",C28="",E28=""),"",IF($A$4&lt;C28,0,MIN(B28,E28*NETWORKDAYS.INTL(C28,$A$4,IF(F28=5,"0000011",IF(F28=6,"0000001","0000000"))))))</f>
        <v/>
      </c>
      <c r="M28" s="159">
        <f>IF(L28="","",K28-L28)</f>
        <v/>
      </c>
      <c r="N28" s="319">
        <f>IFERROR(K28/B28,"")</f>
        <v/>
      </c>
      <c r="O28" s="159">
        <f>IF(OR(D28="",$A$4&lt;D28),"",IFERROR((SUMIFS('CONTROLE PRODUÇÃO POR EMPRESAS'!$AW$6:$AW$5000,'CONTROLE PRODUÇÃO POR EMPRESAS'!$A$6:$A$5000,"&gt;="&amp;D28,'CONTROLE PRODUÇÃO POR EMPRESAS'!$A$6:$A$5000,"&lt;="&amp;$A$4))/MAX(1,NETWORKDAYS.INTL(D28,$A$4,IF(F28=5,"0000011",IF(F28=6,"0000001","0000000")))),0))</f>
        <v/>
      </c>
      <c r="P28" s="159">
        <f>IF(B28="","",MAX(B28-K28,0))</f>
        <v/>
      </c>
      <c r="Q28" s="317">
        <f>IF(OR(B28="",C28="",E28=""),"",IF(P28=0,$A$4,IF(AND($A$4&lt;C28,K28=0),G28,WORKDAY.INTL($A$4,ROUNDUP(P28/IF(N(O28)&gt;0,IF(NETWORKDAYS.INTL(D28,$A$4,IF(F28=5,"0000011",IF(F28=6,"0000001","0000000")))&gt;=5,O28,E28),E28),0),IF(F28=5,"0000011",IF(F28=6,"0000001","0000000"))))))</f>
        <v/>
      </c>
      <c r="R28" s="97">
        <f>IF(OR(G28="",Q28=""),"",IF(Q28=G28,0,IF(Q28&gt;G28,NETWORKDAYS.INTL(G28,Q28,IF(F28=5,"0000011",IF(F28=6,"0000001","0000000")))-1,-(NETWORKDAYS.INTL(Q28,G28,IF(F28=5,"0000011",IF(F28=6,"0000001","0000000")))-1))))</f>
        <v/>
      </c>
      <c r="S28">
        <f>IF(B28="","CONFIGURAR",IF(K28&gt;=B28,"CONCLUÍDO",IF(Q28&lt;G28,"ADIANTADO",IF(Q28=G28,"NO PRAZO","ATRASO"))))</f>
        <v/>
      </c>
      <c r="T28" s="162">
        <f>IF(B28="","Informe a quantidade em METAS CLIENTE",IF(M28&gt;0,"Crédito / produção acima do previsto",IF(M28&lt;0,"Produção abaixo do previsto","Aderente ao previsto")))</f>
        <v/>
      </c>
      <c r="U28" s="159">
        <f>IF(OR(P28="",G28="",C28=""),"",IF(P28=0,0,IF($A$4&gt;=G28,P28,P28/MAX(1,NETWORKDAYS.INTL(MAX($A$4+1,C28),G28,IF(F28=5,"0000011",IF(F28=6,"0000001","0000000")))))))</f>
        <v/>
      </c>
      <c r="V28" s="62">
        <f>'METAS CLIENTE'!N26</f>
        <v/>
      </c>
      <c r="W28" s="317">
        <f>IF('METAS CLIENTE'!R26="","",'METAS CLIENTE'!R26)</f>
        <v/>
      </c>
      <c r="X28" s="97">
        <f>IF(OR(Q28="",W28=""),"",IF(Q28=W28,0,IF(Q28&gt;W28,NETWORKDAYS.INTL(W28,Q28,IF(F28=5,"0000011",IF(F28=6,"0000001","0000000")))-1,-(NETWORKDAYS.INTL(Q28,W28,IF(F28=5,"0000011",IF(F28=6,"0000001","0000000")))-1))))</f>
        <v/>
      </c>
      <c r="Y28" s="159">
        <f>IF(N(B28)&gt;0,'METAS CLIENTE'!L26,0)</f>
        <v/>
      </c>
      <c r="Z28" s="319">
        <f>IF(N(B28)&gt;0,N(L28)/B28,0)</f>
        <v/>
      </c>
      <c r="AA28" s="319">
        <f>IF(N(B28)&gt;0,N(K28)/B28,0)</f>
        <v/>
      </c>
    </row>
    <row r="29" ht="21.75" customHeight="1">
      <c r="A29" s="62">
        <f>'METAS CLIENTE'!A27</f>
        <v/>
      </c>
      <c r="B29" s="159">
        <f>IF('METAS CLIENTE'!B27="","",'METAS CLIENTE'!B27)</f>
        <v/>
      </c>
      <c r="C29" s="317">
        <f>IF('METAS CLIENTE'!C27="","",'METAS CLIENTE'!C27)</f>
        <v/>
      </c>
      <c r="D29" s="317">
        <f>IF('METAS CLIENTE'!D27="","",'METAS CLIENTE'!D27)</f>
        <v/>
      </c>
      <c r="E29" s="159">
        <f>IF('METAS CLIENTE'!E27="","",'METAS CLIENTE'!E27)</f>
        <v/>
      </c>
      <c r="F29" s="159">
        <f>IF('METAS CLIENTE'!F27="","",'METAS CLIENTE'!F27)</f>
        <v/>
      </c>
      <c r="G29" s="317">
        <f>IF('METAS CLIENTE'!M27="","",'METAS CLIENTE'!M27)</f>
        <v/>
      </c>
      <c r="H29" s="317">
        <f>Q29</f>
        <v/>
      </c>
      <c r="I29" s="159">
        <f>IF(C29="","",SUMIFS('CONTROLE PRODUÇÃO POR EMPRESAS'!$AX$6:$AX$5000,'CONTROLE PRODUÇÃO POR EMPRESAS'!$A$6:$A$5000,"&lt;"&amp;C29,'CONTROLE PRODUÇÃO POR EMPRESAS'!$A$6:$A$5000,"&lt;="&amp;$A$4))</f>
        <v/>
      </c>
      <c r="J29" s="159">
        <f>IF(C29="","",SUMIFS('CONTROLE PRODUÇÃO POR EMPRESAS'!$AX$6:$AX$5000,'CONTROLE PRODUÇÃO POR EMPRESAS'!$A$6:$A$5000,"&gt;="&amp;C29,'CONTROLE PRODUÇÃO POR EMPRESAS'!$A$6:$A$5000,"&lt;="&amp;$A$4))</f>
        <v/>
      </c>
      <c r="K29" s="159">
        <f>IF(C29="","",I29+J29)</f>
        <v/>
      </c>
      <c r="L29" s="159">
        <f>IF(OR(B29="",C29="",E29=""),"",IF($A$4&lt;C29,0,MIN(B29,E29*NETWORKDAYS.INTL(C29,$A$4,IF(F29=5,"0000011",IF(F29=6,"0000001","0000000"))))))</f>
        <v/>
      </c>
      <c r="M29" s="159">
        <f>IF(L29="","",K29-L29)</f>
        <v/>
      </c>
      <c r="N29" s="319">
        <f>IFERROR(K29/B29,"")</f>
        <v/>
      </c>
      <c r="O29" s="159">
        <f>IF(OR(D29="",$A$4&lt;D29),"",IFERROR((SUMIFS('CONTROLE PRODUÇÃO POR EMPRESAS'!$AX$6:$AX$5000,'CONTROLE PRODUÇÃO POR EMPRESAS'!$A$6:$A$5000,"&gt;="&amp;D29,'CONTROLE PRODUÇÃO POR EMPRESAS'!$A$6:$A$5000,"&lt;="&amp;$A$4))/MAX(1,NETWORKDAYS.INTL(D29,$A$4,IF(F29=5,"0000011",IF(F29=6,"0000001","0000000")))),0))</f>
        <v/>
      </c>
      <c r="P29" s="159">
        <f>IF(B29="","",MAX(B29-K29,0))</f>
        <v/>
      </c>
      <c r="Q29" s="317">
        <f>IF(OR(B29="",C29="",E29=""),"",IF(P29=0,$A$4,IF(AND($A$4&lt;C29,K29=0),G29,WORKDAY.INTL($A$4,ROUNDUP(P29/IF(N(O29)&gt;0,IF(NETWORKDAYS.INTL(D29,$A$4,IF(F29=5,"0000011",IF(F29=6,"0000001","0000000")))&gt;=5,O29,E29),E29),0),IF(F29=5,"0000011",IF(F29=6,"0000001","0000000"))))))</f>
        <v/>
      </c>
      <c r="R29" s="97">
        <f>IF(OR(G29="",Q29=""),"",IF(Q29=G29,0,IF(Q29&gt;G29,NETWORKDAYS.INTL(G29,Q29,IF(F29=5,"0000011",IF(F29=6,"0000001","0000000")))-1,-(NETWORKDAYS.INTL(Q29,G29,IF(F29=5,"0000011",IF(F29=6,"0000001","0000000")))-1))))</f>
        <v/>
      </c>
      <c r="S29">
        <f>IF(B29="","CONFIGURAR",IF(K29&gt;=B29,"CONCLUÍDO",IF(Q29&lt;G29,"ADIANTADO",IF(Q29=G29,"NO PRAZO","ATRASO"))))</f>
        <v/>
      </c>
      <c r="T29" s="162">
        <f>IF(B29="","Informe a quantidade em METAS CLIENTE",IF(M29&gt;0,"Crédito / produção acima do previsto",IF(M29&lt;0,"Produção abaixo do previsto","Aderente ao previsto")))</f>
        <v/>
      </c>
      <c r="U29" s="159">
        <f>IF(OR(P29="",G29="",C29=""),"",IF(P29=0,0,IF($A$4&gt;=G29,P29,P29/MAX(1,NETWORKDAYS.INTL(MAX($A$4+1,C29),G29,IF(F29=5,"0000011",IF(F29=6,"0000001","0000000")))))))</f>
        <v/>
      </c>
      <c r="V29" s="62">
        <f>'METAS CLIENTE'!N27</f>
        <v/>
      </c>
      <c r="W29" s="317">
        <f>IF('METAS CLIENTE'!R27="","",'METAS CLIENTE'!R27)</f>
        <v/>
      </c>
      <c r="X29" s="97">
        <f>IF(OR(Q29="",W29=""),"",IF(Q29=W29,0,IF(Q29&gt;W29,NETWORKDAYS.INTL(W29,Q29,IF(F29=5,"0000011",IF(F29=6,"0000001","0000000")))-1,-(NETWORKDAYS.INTL(Q29,W29,IF(F29=5,"0000011",IF(F29=6,"0000001","0000000")))-1))))</f>
        <v/>
      </c>
      <c r="Y29" s="159">
        <f>IF(N(B29)&gt;0,'METAS CLIENTE'!L27,0)</f>
        <v/>
      </c>
      <c r="Z29" s="319">
        <f>IF(N(B29)&gt;0,N(L29)/B29,0)</f>
        <v/>
      </c>
      <c r="AA29" s="319">
        <f>IF(N(B29)&gt;0,N(K29)/B29,0)</f>
        <v/>
      </c>
    </row>
    <row r="30" ht="21.75" customHeight="1">
      <c r="A30" s="62">
        <f>'METAS CLIENTE'!A28</f>
        <v/>
      </c>
      <c r="B30" s="159">
        <f>IF('METAS CLIENTE'!B28="","",'METAS CLIENTE'!B28)</f>
        <v/>
      </c>
      <c r="C30" s="317">
        <f>IF('METAS CLIENTE'!C28="","",'METAS CLIENTE'!C28)</f>
        <v/>
      </c>
      <c r="D30" s="317">
        <f>IF('METAS CLIENTE'!D28="","",'METAS CLIENTE'!D28)</f>
        <v/>
      </c>
      <c r="E30" s="159">
        <f>IF('METAS CLIENTE'!E28="","",'METAS CLIENTE'!E28)</f>
        <v/>
      </c>
      <c r="F30" s="159">
        <f>IF('METAS CLIENTE'!F28="","",'METAS CLIENTE'!F28)</f>
        <v/>
      </c>
      <c r="G30" s="317">
        <f>IF('METAS CLIENTE'!M28="","",'METAS CLIENTE'!M28)</f>
        <v/>
      </c>
      <c r="H30" s="317">
        <f>Q30</f>
        <v/>
      </c>
      <c r="I30" s="159">
        <f>IF(C30="","",SUMIFS('CONTROLE PRODUÇÃO POR EMPRESAS'!$AY$6:$AY$5000,'CONTROLE PRODUÇÃO POR EMPRESAS'!$A$6:$A$5000,"&lt;"&amp;C30,'CONTROLE PRODUÇÃO POR EMPRESAS'!$A$6:$A$5000,"&lt;="&amp;$A$4))</f>
        <v/>
      </c>
      <c r="J30" s="159">
        <f>IF(C30="","",SUMIFS('CONTROLE PRODUÇÃO POR EMPRESAS'!$AY$6:$AY$5000,'CONTROLE PRODUÇÃO POR EMPRESAS'!$A$6:$A$5000,"&gt;="&amp;C30,'CONTROLE PRODUÇÃO POR EMPRESAS'!$A$6:$A$5000,"&lt;="&amp;$A$4))</f>
        <v/>
      </c>
      <c r="K30" s="159">
        <f>IF(C30="","",I30+J30)</f>
        <v/>
      </c>
      <c r="L30" s="159">
        <f>IF(OR(B30="",C30="",E30=""),"",IF($A$4&lt;C30,0,MIN(B30,E30*NETWORKDAYS.INTL(C30,$A$4,IF(F30=5,"0000011",IF(F30=6,"0000001","0000000"))))))</f>
        <v/>
      </c>
      <c r="M30" s="159">
        <f>IF(L30="","",K30-L30)</f>
        <v/>
      </c>
      <c r="N30" s="319">
        <f>IFERROR(K30/B30,"")</f>
        <v/>
      </c>
      <c r="O30" s="159">
        <f>IF(OR(D30="",$A$4&lt;D30),"",IFERROR((SUMIFS('CONTROLE PRODUÇÃO POR EMPRESAS'!$AY$6:$AY$5000,'CONTROLE PRODUÇÃO POR EMPRESAS'!$A$6:$A$5000,"&gt;="&amp;D30,'CONTROLE PRODUÇÃO POR EMPRESAS'!$A$6:$A$5000,"&lt;="&amp;$A$4))/MAX(1,NETWORKDAYS.INTL(D30,$A$4,IF(F30=5,"0000011",IF(F30=6,"0000001","0000000")))),0))</f>
        <v/>
      </c>
      <c r="P30" s="159">
        <f>IF(B30="","",MAX(B30-K30,0))</f>
        <v/>
      </c>
      <c r="Q30" s="317">
        <f>IF(OR(B30="",C30="",E30=""),"",IF(P30=0,$A$4,IF(AND($A$4&lt;C30,K30=0),G30,WORKDAY.INTL($A$4,ROUNDUP(P30/IF(N(O30)&gt;0,IF(NETWORKDAYS.INTL(D30,$A$4,IF(F30=5,"0000011",IF(F30=6,"0000001","0000000")))&gt;=5,O30,E30),E30),0),IF(F30=5,"0000011",IF(F30=6,"0000001","0000000"))))))</f>
        <v/>
      </c>
      <c r="R30" s="97">
        <f>IF(OR(G30="",Q30=""),"",IF(Q30=G30,0,IF(Q30&gt;G30,NETWORKDAYS.INTL(G30,Q30,IF(F30=5,"0000011",IF(F30=6,"0000001","0000000")))-1,-(NETWORKDAYS.INTL(Q30,G30,IF(F30=5,"0000011",IF(F30=6,"0000001","0000000")))-1))))</f>
        <v/>
      </c>
      <c r="S30">
        <f>IF(B30="","CONFIGURAR",IF(K30&gt;=B30,"CONCLUÍDO",IF(Q30&lt;G30,"ADIANTADO",IF(Q30=G30,"NO PRAZO","ATRASO"))))</f>
        <v/>
      </c>
      <c r="T30" s="162">
        <f>IF(B30="","Informe a quantidade em METAS CLIENTE",IF(M30&gt;0,"Crédito / produção acima do previsto",IF(M30&lt;0,"Produção abaixo do previsto","Aderente ao previsto")))</f>
        <v/>
      </c>
      <c r="U30" s="159">
        <f>IF(OR(P30="",G30="",C30=""),"",IF(P30=0,0,IF($A$4&gt;=G30,P30,P30/MAX(1,NETWORKDAYS.INTL(MAX($A$4+1,C30),G30,IF(F30=5,"0000011",IF(F30=6,"0000001","0000000")))))))</f>
        <v/>
      </c>
      <c r="V30" s="62">
        <f>'METAS CLIENTE'!N28</f>
        <v/>
      </c>
      <c r="W30" s="317">
        <f>IF('METAS CLIENTE'!R28="","",'METAS CLIENTE'!R28)</f>
        <v/>
      </c>
      <c r="X30" s="97">
        <f>IF(OR(Q30="",W30=""),"",IF(Q30=W30,0,IF(Q30&gt;W30,NETWORKDAYS.INTL(W30,Q30,IF(F30=5,"0000011",IF(F30=6,"0000001","0000000")))-1,-(NETWORKDAYS.INTL(Q30,W30,IF(F30=5,"0000011",IF(F30=6,"0000001","0000000")))-1))))</f>
        <v/>
      </c>
      <c r="Y30" s="159">
        <f>IF(N(B30)&gt;0,'METAS CLIENTE'!L28,0)</f>
        <v/>
      </c>
      <c r="Z30" s="319">
        <f>IF(N(B30)&gt;0,N(L30)/B30,0)</f>
        <v/>
      </c>
      <c r="AA30" s="319">
        <f>IF(N(B30)&gt;0,N(K30)/B30,0)</f>
        <v/>
      </c>
    </row>
    <row r="31" ht="21.75" customHeight="1">
      <c r="A31" s="62">
        <f>'METAS CLIENTE'!A29</f>
        <v/>
      </c>
      <c r="B31" s="159">
        <f>IF('METAS CLIENTE'!B29="","",'METAS CLIENTE'!B29)</f>
        <v/>
      </c>
      <c r="C31" s="317">
        <f>IF('METAS CLIENTE'!C29="","",'METAS CLIENTE'!C29)</f>
        <v/>
      </c>
      <c r="D31" s="317">
        <f>IF('METAS CLIENTE'!D29="","",'METAS CLIENTE'!D29)</f>
        <v/>
      </c>
      <c r="E31" s="159">
        <f>IF('METAS CLIENTE'!E29="","",'METAS CLIENTE'!E29)</f>
        <v/>
      </c>
      <c r="F31" s="159">
        <f>IF('METAS CLIENTE'!F29="","",'METAS CLIENTE'!F29)</f>
        <v/>
      </c>
      <c r="G31" s="317">
        <f>IF('METAS CLIENTE'!M29="","",'METAS CLIENTE'!M29)</f>
        <v/>
      </c>
      <c r="H31" s="317">
        <f>Q31</f>
        <v/>
      </c>
      <c r="I31" s="159">
        <f>IF(C31="","",SUMIFS('CONTROLE PRODUÇÃO POR EMPRESAS'!$AZ$6:$AZ$5000,'CONTROLE PRODUÇÃO POR EMPRESAS'!$A$6:$A$5000,"&lt;"&amp;C31,'CONTROLE PRODUÇÃO POR EMPRESAS'!$A$6:$A$5000,"&lt;="&amp;$A$4))</f>
        <v/>
      </c>
      <c r="J31" s="159">
        <f>IF(C31="","",SUMIFS('CONTROLE PRODUÇÃO POR EMPRESAS'!$AZ$6:$AZ$5000,'CONTROLE PRODUÇÃO POR EMPRESAS'!$A$6:$A$5000,"&gt;="&amp;C31,'CONTROLE PRODUÇÃO POR EMPRESAS'!$A$6:$A$5000,"&lt;="&amp;$A$4))</f>
        <v/>
      </c>
      <c r="K31" s="159">
        <f>IF(C31="","",I31+J31)</f>
        <v/>
      </c>
      <c r="L31" s="159">
        <f>IF(OR(B31="",C31="",E31=""),"",IF($A$4&lt;C31,0,MIN(B31,E31*NETWORKDAYS.INTL(C31,$A$4,IF(F31=5,"0000011",IF(F31=6,"0000001","0000000"))))))</f>
        <v/>
      </c>
      <c r="M31" s="159">
        <f>IF(L31="","",K31-L31)</f>
        <v/>
      </c>
      <c r="N31" s="319">
        <f>IFERROR(K31/B31,"")</f>
        <v/>
      </c>
      <c r="O31" s="159">
        <f>IF(OR(D31="",$A$4&lt;D31),"",IFERROR((SUMIFS('CONTROLE PRODUÇÃO POR EMPRESAS'!$AZ$6:$AZ$5000,'CONTROLE PRODUÇÃO POR EMPRESAS'!$A$6:$A$5000,"&gt;="&amp;D31,'CONTROLE PRODUÇÃO POR EMPRESAS'!$A$6:$A$5000,"&lt;="&amp;$A$4))/MAX(1,NETWORKDAYS.INTL(D31,$A$4,IF(F31=5,"0000011",IF(F31=6,"0000001","0000000")))),0))</f>
        <v/>
      </c>
      <c r="P31" s="159">
        <f>IF(B31="","",MAX(B31-K31,0))</f>
        <v/>
      </c>
      <c r="Q31" s="317">
        <f>IF(OR(B31="",C31="",E31=""),"",IF(P31=0,$A$4,IF(AND($A$4&lt;C31,K31=0),G31,WORKDAY.INTL($A$4,ROUNDUP(P31/IF(N(O31)&gt;0,IF(NETWORKDAYS.INTL(D31,$A$4,IF(F31=5,"0000011",IF(F31=6,"0000001","0000000")))&gt;=5,O31,E31),E31),0),IF(F31=5,"0000011",IF(F31=6,"0000001","0000000"))))))</f>
        <v/>
      </c>
      <c r="R31" s="97">
        <f>IF(OR(G31="",Q31=""),"",IF(Q31=G31,0,IF(Q31&gt;G31,NETWORKDAYS.INTL(G31,Q31,IF(F31=5,"0000011",IF(F31=6,"0000001","0000000")))-1,-(NETWORKDAYS.INTL(Q31,G31,IF(F31=5,"0000011",IF(F31=6,"0000001","0000000")))-1))))</f>
        <v/>
      </c>
      <c r="S31">
        <f>IF(B31="","CONFIGURAR",IF(K31&gt;=B31,"CONCLUÍDO",IF(Q31&lt;G31,"ADIANTADO",IF(Q31=G31,"NO PRAZO","ATRASO"))))</f>
        <v/>
      </c>
      <c r="T31" s="162">
        <f>IF(B31="","Informe a quantidade em METAS CLIENTE",IF(M31&gt;0,"Crédito / produção acima do previsto",IF(M31&lt;0,"Produção abaixo do previsto","Aderente ao previsto")))</f>
        <v/>
      </c>
      <c r="U31" s="159">
        <f>IF(OR(P31="",G31="",C31=""),"",IF(P31=0,0,IF($A$4&gt;=G31,P31,P31/MAX(1,NETWORKDAYS.INTL(MAX($A$4+1,C31),G31,IF(F31=5,"0000011",IF(F31=6,"0000001","0000000")))))))</f>
        <v/>
      </c>
      <c r="V31" s="62">
        <f>'METAS CLIENTE'!N29</f>
        <v/>
      </c>
      <c r="W31" s="317">
        <f>IF('METAS CLIENTE'!R29="","",'METAS CLIENTE'!R29)</f>
        <v/>
      </c>
      <c r="X31" s="97">
        <f>IF(OR(Q31="",W31=""),"",IF(Q31=W31,0,IF(Q31&gt;W31,NETWORKDAYS.INTL(W31,Q31,IF(F31=5,"0000011",IF(F31=6,"0000001","0000000")))-1,-(NETWORKDAYS.INTL(Q31,W31,IF(F31=5,"0000011",IF(F31=6,"0000001","0000000")))-1))))</f>
        <v/>
      </c>
      <c r="Y31" s="159">
        <f>IF(N(B31)&gt;0,'METAS CLIENTE'!L29,0)</f>
        <v/>
      </c>
      <c r="Z31" s="319">
        <f>IF(N(B31)&gt;0,N(L31)/B31,0)</f>
        <v/>
      </c>
      <c r="AA31" s="319">
        <f>IF(N(B31)&gt;0,N(K31)/B31,0)</f>
        <v/>
      </c>
    </row>
    <row r="32" ht="21.75" customHeight="1">
      <c r="A32" s="62">
        <f>'METAS CLIENTE'!A30</f>
        <v/>
      </c>
      <c r="B32" s="159">
        <f>IF('METAS CLIENTE'!B30="","",'METAS CLIENTE'!B30)</f>
        <v/>
      </c>
      <c r="C32" s="317">
        <f>IF('METAS CLIENTE'!C30="","",'METAS CLIENTE'!C30)</f>
        <v/>
      </c>
      <c r="D32" s="317">
        <f>IF('METAS CLIENTE'!D30="","",'METAS CLIENTE'!D30)</f>
        <v/>
      </c>
      <c r="E32" s="159">
        <f>IF('METAS CLIENTE'!E30="","",'METAS CLIENTE'!E30)</f>
        <v/>
      </c>
      <c r="F32" s="159">
        <f>IF('METAS CLIENTE'!F30="","",'METAS CLIENTE'!F30)</f>
        <v/>
      </c>
      <c r="G32" s="317">
        <f>IF('METAS CLIENTE'!M30="","",'METAS CLIENTE'!M30)</f>
        <v/>
      </c>
      <c r="H32" s="317">
        <f>Q32</f>
        <v/>
      </c>
      <c r="I32" s="159">
        <f>IF(C32="","",SUMIFS('CONTROLE PRODUÇÃO POR EMPRESAS'!$BA$6:$BA$5000,'CONTROLE PRODUÇÃO POR EMPRESAS'!$A$6:$A$5000,"&lt;"&amp;C32,'CONTROLE PRODUÇÃO POR EMPRESAS'!$A$6:$A$5000,"&lt;="&amp;$A$4))</f>
        <v/>
      </c>
      <c r="J32" s="159">
        <f>IF(C32="","",SUMIFS('CONTROLE PRODUÇÃO POR EMPRESAS'!$BA$6:$BA$5000,'CONTROLE PRODUÇÃO POR EMPRESAS'!$A$6:$A$5000,"&gt;="&amp;C32,'CONTROLE PRODUÇÃO POR EMPRESAS'!$A$6:$A$5000,"&lt;="&amp;$A$4))</f>
        <v/>
      </c>
      <c r="K32" s="159">
        <f>IF(C32="","",I32+J32)</f>
        <v/>
      </c>
      <c r="L32" s="159">
        <f>IF(OR(B32="",C32="",E32=""),"",IF($A$4&lt;C32,0,MIN(B32,E32*NETWORKDAYS.INTL(C32,$A$4,IF(F32=5,"0000011",IF(F32=6,"0000001","0000000"))))))</f>
        <v/>
      </c>
      <c r="M32" s="159">
        <f>IF(L32="","",K32-L32)</f>
        <v/>
      </c>
      <c r="N32" s="319">
        <f>IFERROR(K32/B32,"")</f>
        <v/>
      </c>
      <c r="O32" s="159">
        <f>IF(OR(D32="",$A$4&lt;D32),"",IFERROR((SUMIFS('CONTROLE PRODUÇÃO POR EMPRESAS'!$BA$6:$BA$5000,'CONTROLE PRODUÇÃO POR EMPRESAS'!$A$6:$A$5000,"&gt;="&amp;D32,'CONTROLE PRODUÇÃO POR EMPRESAS'!$A$6:$A$5000,"&lt;="&amp;$A$4))/MAX(1,NETWORKDAYS.INTL(D32,$A$4,IF(F32=5,"0000011",IF(F32=6,"0000001","0000000")))),0))</f>
        <v/>
      </c>
      <c r="P32" s="159">
        <f>IF(B32="","",MAX(B32-K32,0))</f>
        <v/>
      </c>
      <c r="Q32" s="317">
        <f>IF(OR(B32="",C32="",E32=""),"",IF(P32=0,$A$4,IF(AND($A$4&lt;C32,K32=0),G32,WORKDAY.INTL($A$4,ROUNDUP(P32/IF(N(O32)&gt;0,IF(NETWORKDAYS.INTL(D32,$A$4,IF(F32=5,"0000011",IF(F32=6,"0000001","0000000")))&gt;=5,O32,E32),E32),0),IF(F32=5,"0000011",IF(F32=6,"0000001","0000000"))))))</f>
        <v/>
      </c>
      <c r="R32" s="97">
        <f>IF(OR(G32="",Q32=""),"",IF(Q32=G32,0,IF(Q32&gt;G32,NETWORKDAYS.INTL(G32,Q32,IF(F32=5,"0000011",IF(F32=6,"0000001","0000000")))-1,-(NETWORKDAYS.INTL(Q32,G32,IF(F32=5,"0000011",IF(F32=6,"0000001","0000000")))-1))))</f>
        <v/>
      </c>
      <c r="S32">
        <f>IF(B32="","CONFIGURAR",IF(K32&gt;=B32,"CONCLUÍDO",IF(Q32&lt;G32,"ADIANTADO",IF(Q32=G32,"NO PRAZO","ATRASO"))))</f>
        <v/>
      </c>
      <c r="T32" s="162">
        <f>IF(B32="","Informe a quantidade em METAS CLIENTE",IF(M32&gt;0,"Crédito / produção acima do previsto",IF(M32&lt;0,"Produção abaixo do previsto","Aderente ao previsto")))</f>
        <v/>
      </c>
      <c r="U32" s="159">
        <f>IF(OR(P32="",G32="",C32=""),"",IF(P32=0,0,IF($A$4&gt;=G32,P32,P32/MAX(1,NETWORKDAYS.INTL(MAX($A$4+1,C32),G32,IF(F32=5,"0000011",IF(F32=6,"0000001","0000000")))))))</f>
        <v/>
      </c>
      <c r="V32" s="62">
        <f>'METAS CLIENTE'!N30</f>
        <v/>
      </c>
      <c r="W32" s="317">
        <f>IF('METAS CLIENTE'!R30="","",'METAS CLIENTE'!R30)</f>
        <v/>
      </c>
      <c r="X32" s="97">
        <f>IF(OR(Q32="",W32=""),"",IF(Q32=W32,0,IF(Q32&gt;W32,NETWORKDAYS.INTL(W32,Q32,IF(F32=5,"0000011",IF(F32=6,"0000001","0000000")))-1,-(NETWORKDAYS.INTL(Q32,W32,IF(F32=5,"0000011",IF(F32=6,"0000001","0000000")))-1))))</f>
        <v/>
      </c>
      <c r="Y32" s="159">
        <f>IF(N(B32)&gt;0,'METAS CLIENTE'!L30,0)</f>
        <v/>
      </c>
      <c r="Z32" s="319">
        <f>IF(N(B32)&gt;0,N(L32)/B32,0)</f>
        <v/>
      </c>
      <c r="AA32" s="319">
        <f>IF(N(B32)&gt;0,N(K32)/B32,0)</f>
        <v/>
      </c>
    </row>
    <row r="33" ht="21.75" customHeight="1">
      <c r="A33" s="62">
        <f>'METAS CLIENTE'!A31</f>
        <v/>
      </c>
      <c r="B33" s="159">
        <f>IF('METAS CLIENTE'!B31="","",'METAS CLIENTE'!B31)</f>
        <v/>
      </c>
      <c r="C33" s="317">
        <f>IF('METAS CLIENTE'!C31="","",'METAS CLIENTE'!C31)</f>
        <v/>
      </c>
      <c r="D33" s="317">
        <f>IF('METAS CLIENTE'!D31="","",'METAS CLIENTE'!D31)</f>
        <v/>
      </c>
      <c r="E33" s="159">
        <f>IF('METAS CLIENTE'!E31="","",'METAS CLIENTE'!E31)</f>
        <v/>
      </c>
      <c r="F33" s="159">
        <f>IF('METAS CLIENTE'!F31="","",'METAS CLIENTE'!F31)</f>
        <v/>
      </c>
      <c r="G33" s="317">
        <f>IF('METAS CLIENTE'!M31="","",'METAS CLIENTE'!M31)</f>
        <v/>
      </c>
      <c r="H33" s="317">
        <f>Q33</f>
        <v/>
      </c>
      <c r="I33" s="159">
        <f>IF(C33="","",SUMIFS('CONTROLE PRODUÇÃO POR EMPRESAS'!$BB$6:$BB$5000,'CONTROLE PRODUÇÃO POR EMPRESAS'!$A$6:$A$5000,"&lt;"&amp;C33,'CONTROLE PRODUÇÃO POR EMPRESAS'!$A$6:$A$5000,"&lt;="&amp;$A$4))</f>
        <v/>
      </c>
      <c r="J33" s="159">
        <f>IF(C33="","",SUMIFS('CONTROLE PRODUÇÃO POR EMPRESAS'!$BB$6:$BB$5000,'CONTROLE PRODUÇÃO POR EMPRESAS'!$A$6:$A$5000,"&gt;="&amp;C33,'CONTROLE PRODUÇÃO POR EMPRESAS'!$A$6:$A$5000,"&lt;="&amp;$A$4))</f>
        <v/>
      </c>
      <c r="K33" s="159">
        <f>IF(C33="","",I33+J33)</f>
        <v/>
      </c>
      <c r="L33" s="159">
        <f>IF(OR(B33="",C33="",E33=""),"",IF($A$4&lt;C33,0,MIN(B33,E33*NETWORKDAYS.INTL(C33,$A$4,IF(F33=5,"0000011",IF(F33=6,"0000001","0000000"))))))</f>
        <v/>
      </c>
      <c r="M33" s="159">
        <f>IF(L33="","",K33-L33)</f>
        <v/>
      </c>
      <c r="N33" s="319">
        <f>IFERROR(K33/B33,"")</f>
        <v/>
      </c>
      <c r="O33" s="159">
        <f>IF(OR(D33="",$A$4&lt;D33),"",IFERROR((SUMIFS('CONTROLE PRODUÇÃO POR EMPRESAS'!$BB$6:$BB$5000,'CONTROLE PRODUÇÃO POR EMPRESAS'!$A$6:$A$5000,"&gt;="&amp;D33,'CONTROLE PRODUÇÃO POR EMPRESAS'!$A$6:$A$5000,"&lt;="&amp;$A$4))/MAX(1,NETWORKDAYS.INTL(D33,$A$4,IF(F33=5,"0000011",IF(F33=6,"0000001","0000000")))),0))</f>
        <v/>
      </c>
      <c r="P33" s="159">
        <f>IF(B33="","",MAX(B33-K33,0))</f>
        <v/>
      </c>
      <c r="Q33" s="317">
        <f>IF(OR(B33="",C33="",E33=""),"",IF(P33=0,$A$4,IF(AND($A$4&lt;C33,K33=0),G33,WORKDAY.INTL($A$4,ROUNDUP(P33/IF(N(O33)&gt;0,IF(NETWORKDAYS.INTL(D33,$A$4,IF(F33=5,"0000011",IF(F33=6,"0000001","0000000")))&gt;=5,O33,E33),E33),0),IF(F33=5,"0000011",IF(F33=6,"0000001","0000000"))))))</f>
        <v/>
      </c>
      <c r="R33" s="97">
        <f>IF(OR(G33="",Q33=""),"",IF(Q33=G33,0,IF(Q33&gt;G33,NETWORKDAYS.INTL(G33,Q33,IF(F33=5,"0000011",IF(F33=6,"0000001","0000000")))-1,-(NETWORKDAYS.INTL(Q33,G33,IF(F33=5,"0000011",IF(F33=6,"0000001","0000000")))-1))))</f>
        <v/>
      </c>
      <c r="S33">
        <f>IF(B33="","CONFIGURAR",IF(K33&gt;=B33,"CONCLUÍDO",IF(Q33&lt;G33,"ADIANTADO",IF(Q33=G33,"NO PRAZO","ATRASO"))))</f>
        <v/>
      </c>
      <c r="T33" s="162">
        <f>IF(B33="","Informe a quantidade em METAS CLIENTE",IF(M33&gt;0,"Crédito / produção acima do previsto",IF(M33&lt;0,"Produção abaixo do previsto","Aderente ao previsto")))</f>
        <v/>
      </c>
      <c r="U33" s="159">
        <f>IF(OR(P33="",G33="",C33=""),"",IF(P33=0,0,IF($A$4&gt;=G33,P33,P33/MAX(1,NETWORKDAYS.INTL(MAX($A$4+1,C33),G33,IF(F33=5,"0000011",IF(F33=6,"0000001","0000000")))))))</f>
        <v/>
      </c>
      <c r="V33" s="62">
        <f>'METAS CLIENTE'!N31</f>
        <v/>
      </c>
      <c r="W33" s="317">
        <f>IF('METAS CLIENTE'!R31="","",'METAS CLIENTE'!R31)</f>
        <v/>
      </c>
      <c r="X33" s="97">
        <f>IF(OR(Q33="",W33=""),"",IF(Q33=W33,0,IF(Q33&gt;W33,NETWORKDAYS.INTL(W33,Q33,IF(F33=5,"0000011",IF(F33=6,"0000001","0000000")))-1,-(NETWORKDAYS.INTL(Q33,W33,IF(F33=5,"0000011",IF(F33=6,"0000001","0000000")))-1))))</f>
        <v/>
      </c>
      <c r="Y33" s="159">
        <f>IF(N(B33)&gt;0,'METAS CLIENTE'!L31,0)</f>
        <v/>
      </c>
      <c r="Z33" s="319">
        <f>IF(N(B33)&gt;0,N(L33)/B33,0)</f>
        <v/>
      </c>
      <c r="AA33" s="319">
        <f>IF(N(B33)&gt;0,N(K33)/B33,0)</f>
        <v/>
      </c>
    </row>
    <row r="34" ht="21.75" customHeight="1">
      <c r="A34" s="62">
        <f>'METAS CLIENTE'!A32</f>
        <v/>
      </c>
      <c r="B34" s="159">
        <f>IF('METAS CLIENTE'!B32="","",'METAS CLIENTE'!B32)</f>
        <v/>
      </c>
      <c r="C34" s="317">
        <f>IF('METAS CLIENTE'!C32="","",'METAS CLIENTE'!C32)</f>
        <v/>
      </c>
      <c r="D34" s="317">
        <f>IF('METAS CLIENTE'!D32="","",'METAS CLIENTE'!D32)</f>
        <v/>
      </c>
      <c r="E34" s="159">
        <f>IF('METAS CLIENTE'!E32="","",'METAS CLIENTE'!E32)</f>
        <v/>
      </c>
      <c r="F34" s="159">
        <f>IF('METAS CLIENTE'!F32="","",'METAS CLIENTE'!F32)</f>
        <v/>
      </c>
      <c r="G34" s="317">
        <f>IF('METAS CLIENTE'!M32="","",'METAS CLIENTE'!M32)</f>
        <v/>
      </c>
      <c r="H34" s="317">
        <f>Q34</f>
        <v/>
      </c>
      <c r="I34" s="159">
        <f>IF(C34="","",SUMIFS('CONTROLE PRODUÇÃO POR EMPRESAS'!$BC$6:$BC$5000,'CONTROLE PRODUÇÃO POR EMPRESAS'!$A$6:$A$5000,"&lt;"&amp;C34,'CONTROLE PRODUÇÃO POR EMPRESAS'!$A$6:$A$5000,"&lt;="&amp;$A$4))</f>
        <v/>
      </c>
      <c r="J34" s="159">
        <f>IF(C34="","",SUMIFS('CONTROLE PRODUÇÃO POR EMPRESAS'!$BC$6:$BC$5000,'CONTROLE PRODUÇÃO POR EMPRESAS'!$A$6:$A$5000,"&gt;="&amp;C34,'CONTROLE PRODUÇÃO POR EMPRESAS'!$A$6:$A$5000,"&lt;="&amp;$A$4))</f>
        <v/>
      </c>
      <c r="K34" s="159">
        <f>IF(C34="","",I34+J34)</f>
        <v/>
      </c>
      <c r="L34" s="159">
        <f>IF(OR(B34="",C34="",E34=""),"",IF($A$4&lt;C34,0,MIN(B34,E34*NETWORKDAYS.INTL(C34,$A$4,IF(F34=5,"0000011",IF(F34=6,"0000001","0000000"))))))</f>
        <v/>
      </c>
      <c r="M34" s="159">
        <f>IF(L34="","",K34-L34)</f>
        <v/>
      </c>
      <c r="N34" s="319">
        <f>IFERROR(K34/B34,"")</f>
        <v/>
      </c>
      <c r="O34" s="159">
        <f>IF(OR(D34="",$A$4&lt;D34),"",IFERROR((SUMIFS('CONTROLE PRODUÇÃO POR EMPRESAS'!$BC$6:$BC$5000,'CONTROLE PRODUÇÃO POR EMPRESAS'!$A$6:$A$5000,"&gt;="&amp;D34,'CONTROLE PRODUÇÃO POR EMPRESAS'!$A$6:$A$5000,"&lt;="&amp;$A$4))/MAX(1,NETWORKDAYS.INTL(D34,$A$4,IF(F34=5,"0000011",IF(F34=6,"0000001","0000000")))),0))</f>
        <v/>
      </c>
      <c r="P34" s="159">
        <f>IF(B34="","",MAX(B34-K34,0))</f>
        <v/>
      </c>
      <c r="Q34" s="317">
        <f>IF(OR(B34="",C34="",E34=""),"",IF(P34=0,$A$4,IF(AND($A$4&lt;C34,K34=0),G34,WORKDAY.INTL($A$4,ROUNDUP(P34/IF(N(O34)&gt;0,IF(NETWORKDAYS.INTL(D34,$A$4,IF(F34=5,"0000011",IF(F34=6,"0000001","0000000")))&gt;=5,O34,E34),E34),0),IF(F34=5,"0000011",IF(F34=6,"0000001","0000000"))))))</f>
        <v/>
      </c>
      <c r="R34" s="97">
        <f>IF(OR(G34="",Q34=""),"",IF(Q34=G34,0,IF(Q34&gt;G34,NETWORKDAYS.INTL(G34,Q34,IF(F34=5,"0000011",IF(F34=6,"0000001","0000000")))-1,-(NETWORKDAYS.INTL(Q34,G34,IF(F34=5,"0000011",IF(F34=6,"0000001","0000000")))-1))))</f>
        <v/>
      </c>
      <c r="S34">
        <f>IF(B34="","CONFIGURAR",IF(K34&gt;=B34,"CONCLUÍDO",IF(Q34&lt;G34,"ADIANTADO",IF(Q34=G34,"NO PRAZO","ATRASO"))))</f>
        <v/>
      </c>
      <c r="T34" s="162">
        <f>IF(B34="","Informe a quantidade em METAS CLIENTE",IF(M34&gt;0,"Crédito / produção acima do previsto",IF(M34&lt;0,"Produção abaixo do previsto","Aderente ao previsto")))</f>
        <v/>
      </c>
      <c r="U34" s="159">
        <f>IF(OR(P34="",G34="",C34=""),"",IF(P34=0,0,IF($A$4&gt;=G34,P34,P34/MAX(1,NETWORKDAYS.INTL(MAX($A$4+1,C34),G34,IF(F34=5,"0000011",IF(F34=6,"0000001","0000000")))))))</f>
        <v/>
      </c>
      <c r="V34" s="62">
        <f>'METAS CLIENTE'!N32</f>
        <v/>
      </c>
      <c r="W34" s="317">
        <f>IF('METAS CLIENTE'!R32="","",'METAS CLIENTE'!R32)</f>
        <v/>
      </c>
      <c r="X34" s="97">
        <f>IF(OR(Q34="",W34=""),"",IF(Q34=W34,0,IF(Q34&gt;W34,NETWORKDAYS.INTL(W34,Q34,IF(F34=5,"0000011",IF(F34=6,"0000001","0000000")))-1,-(NETWORKDAYS.INTL(Q34,W34,IF(F34=5,"0000011",IF(F34=6,"0000001","0000000")))-1))))</f>
        <v/>
      </c>
      <c r="Y34" s="159">
        <f>IF(N(B34)&gt;0,'METAS CLIENTE'!L32,0)</f>
        <v/>
      </c>
      <c r="Z34" s="319">
        <f>IF(N(B34)&gt;0,N(L34)/B34,0)</f>
        <v/>
      </c>
      <c r="AA34" s="319">
        <f>IF(N(B34)&gt;0,N(K34)/B34,0)</f>
        <v/>
      </c>
    </row>
    <row r="35" ht="21.75" customHeight="1">
      <c r="A35" s="62">
        <f>'METAS CLIENTE'!A33</f>
        <v/>
      </c>
      <c r="B35" s="159">
        <f>IF('METAS CLIENTE'!B33="","",'METAS CLIENTE'!B33)</f>
        <v/>
      </c>
      <c r="C35" s="317">
        <f>IF('METAS CLIENTE'!C33="","",'METAS CLIENTE'!C33)</f>
        <v/>
      </c>
      <c r="D35" s="317">
        <f>IF('METAS CLIENTE'!D33="","",'METAS CLIENTE'!D33)</f>
        <v/>
      </c>
      <c r="E35" s="159">
        <f>IF('METAS CLIENTE'!E33="","",'METAS CLIENTE'!E33)</f>
        <v/>
      </c>
      <c r="F35" s="159">
        <f>IF('METAS CLIENTE'!F33="","",'METAS CLIENTE'!F33)</f>
        <v/>
      </c>
      <c r="G35" s="317">
        <f>IF('METAS CLIENTE'!M33="","",'METAS CLIENTE'!M33)</f>
        <v/>
      </c>
      <c r="H35" s="317">
        <f>Q35</f>
        <v/>
      </c>
      <c r="I35" s="159">
        <f>IF(C35="","",SUMIFS('CONTROLE PRODUÇÃO POR EMPRESAS'!$BD$6:$BD$5000,'CONTROLE PRODUÇÃO POR EMPRESAS'!$A$6:$A$5000,"&lt;"&amp;C35,'CONTROLE PRODUÇÃO POR EMPRESAS'!$A$6:$A$5000,"&lt;="&amp;$A$4))</f>
        <v/>
      </c>
      <c r="J35" s="159">
        <f>IF(C35="","",SUMIFS('CONTROLE PRODUÇÃO POR EMPRESAS'!$BD$6:$BD$5000,'CONTROLE PRODUÇÃO POR EMPRESAS'!$A$6:$A$5000,"&gt;="&amp;C35,'CONTROLE PRODUÇÃO POR EMPRESAS'!$A$6:$A$5000,"&lt;="&amp;$A$4))</f>
        <v/>
      </c>
      <c r="K35" s="159">
        <f>IF(C35="","",I35+J35)</f>
        <v/>
      </c>
      <c r="L35" s="159">
        <f>IF(OR(B35="",C35="",E35=""),"",IF($A$4&lt;C35,0,MIN(B35,E35*NETWORKDAYS.INTL(C35,$A$4,IF(F35=5,"0000011",IF(F35=6,"0000001","0000000"))))))</f>
        <v/>
      </c>
      <c r="M35" s="159">
        <f>IF(L35="","",K35-L35)</f>
        <v/>
      </c>
      <c r="N35" s="319">
        <f>IFERROR(K35/B35,"")</f>
        <v/>
      </c>
      <c r="O35" s="159">
        <f>IF(OR(D35="",$A$4&lt;D35),"",IFERROR((SUMIFS('CONTROLE PRODUÇÃO POR EMPRESAS'!$BD$6:$BD$5000,'CONTROLE PRODUÇÃO POR EMPRESAS'!$A$6:$A$5000,"&gt;="&amp;D35,'CONTROLE PRODUÇÃO POR EMPRESAS'!$A$6:$A$5000,"&lt;="&amp;$A$4))/MAX(1,NETWORKDAYS.INTL(D35,$A$4,IF(F35=5,"0000011",IF(F35=6,"0000001","0000000")))),0))</f>
        <v/>
      </c>
      <c r="P35" s="159">
        <f>IF(B35="","",MAX(B35-K35,0))</f>
        <v/>
      </c>
      <c r="Q35" s="317">
        <f>IF(OR(B35="",C35="",E35=""),"",IF(P35=0,$A$4,IF(AND($A$4&lt;C35,K35=0),G35,WORKDAY.INTL($A$4,ROUNDUP(P35/IF(N(O35)&gt;0,IF(NETWORKDAYS.INTL(D35,$A$4,IF(F35=5,"0000011",IF(F35=6,"0000001","0000000")))&gt;=5,O35,E35),E35),0),IF(F35=5,"0000011",IF(F35=6,"0000001","0000000"))))))</f>
        <v/>
      </c>
      <c r="R35" s="97">
        <f>IF(OR(G35="",Q35=""),"",IF(Q35=G35,0,IF(Q35&gt;G35,NETWORKDAYS.INTL(G35,Q35,IF(F35=5,"0000011",IF(F35=6,"0000001","0000000")))-1,-(NETWORKDAYS.INTL(Q35,G35,IF(F35=5,"0000011",IF(F35=6,"0000001","0000000")))-1))))</f>
        <v/>
      </c>
      <c r="S35">
        <f>IF(B35="","CONFIGURAR",IF(K35&gt;=B35,"CONCLUÍDO",IF(Q35&lt;G35,"ADIANTADO",IF(Q35=G35,"NO PRAZO","ATRASO"))))</f>
        <v/>
      </c>
      <c r="T35" s="162">
        <f>IF(B35="","Informe a quantidade em METAS CLIENTE",IF(M35&gt;0,"Crédito / produção acima do previsto",IF(M35&lt;0,"Produção abaixo do previsto","Aderente ao previsto")))</f>
        <v/>
      </c>
      <c r="U35" s="159">
        <f>IF(OR(P35="",G35="",C35=""),"",IF(P35=0,0,IF($A$4&gt;=G35,P35,P35/MAX(1,NETWORKDAYS.INTL(MAX($A$4+1,C35),G35,IF(F35=5,"0000011",IF(F35=6,"0000001","0000000")))))))</f>
        <v/>
      </c>
      <c r="V35" s="62">
        <f>'METAS CLIENTE'!N33</f>
        <v/>
      </c>
      <c r="W35" s="317">
        <f>IF('METAS CLIENTE'!R33="","",'METAS CLIENTE'!R33)</f>
        <v/>
      </c>
      <c r="X35" s="97">
        <f>IF(OR(Q35="",W35=""),"",IF(Q35=W35,0,IF(Q35&gt;W35,NETWORKDAYS.INTL(W35,Q35,IF(F35=5,"0000011",IF(F35=6,"0000001","0000000")))-1,-(NETWORKDAYS.INTL(Q35,W35,IF(F35=5,"0000011",IF(F35=6,"0000001","0000000")))-1))))</f>
        <v/>
      </c>
      <c r="Y35" s="159">
        <f>IF(N(B35)&gt;0,'METAS CLIENTE'!L33,0)</f>
        <v/>
      </c>
      <c r="Z35" s="319">
        <f>IF(N(B35)&gt;0,N(L35)/B35,0)</f>
        <v/>
      </c>
      <c r="AA35" s="319">
        <f>IF(N(B35)&gt;0,N(K35)/B35,0)</f>
        <v/>
      </c>
    </row>
    <row r="36" ht="21.75" customHeight="1">
      <c r="A36" s="62">
        <f>'METAS CLIENTE'!A34</f>
        <v/>
      </c>
      <c r="B36" s="159">
        <f>IF('METAS CLIENTE'!B34="","",'METAS CLIENTE'!B34)</f>
        <v/>
      </c>
      <c r="C36" s="317">
        <f>IF('METAS CLIENTE'!C34="","",'METAS CLIENTE'!C34)</f>
        <v/>
      </c>
      <c r="D36" s="317">
        <f>IF('METAS CLIENTE'!D34="","",'METAS CLIENTE'!D34)</f>
        <v/>
      </c>
      <c r="E36" s="159">
        <f>IF('METAS CLIENTE'!E34="","",'METAS CLIENTE'!E34)</f>
        <v/>
      </c>
      <c r="F36" s="159">
        <f>IF('METAS CLIENTE'!F34="","",'METAS CLIENTE'!F34)</f>
        <v/>
      </c>
      <c r="G36" s="317">
        <f>IF('METAS CLIENTE'!M34="","",'METAS CLIENTE'!M34)</f>
        <v/>
      </c>
      <c r="H36" s="317">
        <f>Q36</f>
        <v/>
      </c>
      <c r="I36" s="159">
        <f>IF(C36="","",SUMIFS('CONTROLE PRODUÇÃO POR EMPRESAS'!$BE$6:$BE$5000,'CONTROLE PRODUÇÃO POR EMPRESAS'!$A$6:$A$5000,"&lt;"&amp;C36,'CONTROLE PRODUÇÃO POR EMPRESAS'!$A$6:$A$5000,"&lt;="&amp;$A$4))</f>
        <v/>
      </c>
      <c r="J36" s="159">
        <f>IF(C36="","",SUMIFS('CONTROLE PRODUÇÃO POR EMPRESAS'!$BE$6:$BE$5000,'CONTROLE PRODUÇÃO POR EMPRESAS'!$A$6:$A$5000,"&gt;="&amp;C36,'CONTROLE PRODUÇÃO POR EMPRESAS'!$A$6:$A$5000,"&lt;="&amp;$A$4))</f>
        <v/>
      </c>
      <c r="K36" s="159">
        <f>IF(C36="","",I36+J36)</f>
        <v/>
      </c>
      <c r="L36" s="159">
        <f>IF(OR(B36="",C36="",E36=""),"",IF($A$4&lt;C36,0,MIN(B36,E36*NETWORKDAYS.INTL(C36,$A$4,IF(F36=5,"0000011",IF(F36=6,"0000001","0000000"))))))</f>
        <v/>
      </c>
      <c r="M36" s="159">
        <f>IF(L36="","",K36-L36)</f>
        <v/>
      </c>
      <c r="N36" s="319">
        <f>IFERROR(K36/B36,"")</f>
        <v/>
      </c>
      <c r="O36" s="159">
        <f>IF(OR(D36="",$A$4&lt;D36),"",IFERROR((SUMIFS('CONTROLE PRODUÇÃO POR EMPRESAS'!$BE$6:$BE$5000,'CONTROLE PRODUÇÃO POR EMPRESAS'!$A$6:$A$5000,"&gt;="&amp;D36,'CONTROLE PRODUÇÃO POR EMPRESAS'!$A$6:$A$5000,"&lt;="&amp;$A$4))/MAX(1,NETWORKDAYS.INTL(D36,$A$4,IF(F36=5,"0000011",IF(F36=6,"0000001","0000000")))),0))</f>
        <v/>
      </c>
      <c r="P36" s="159">
        <f>IF(B36="","",MAX(B36-K36,0))</f>
        <v/>
      </c>
      <c r="Q36" s="317">
        <f>IF(OR(B36="",C36="",E36=""),"",IF(P36=0,$A$4,IF(AND($A$4&lt;C36,K36=0),G36,WORKDAY.INTL($A$4,ROUNDUP(P36/IF(N(O36)&gt;0,IF(NETWORKDAYS.INTL(D36,$A$4,IF(F36=5,"0000011",IF(F36=6,"0000001","0000000")))&gt;=5,O36,E36),E36),0),IF(F36=5,"0000011",IF(F36=6,"0000001","0000000"))))))</f>
        <v/>
      </c>
      <c r="R36" s="97">
        <f>IF(OR(G36="",Q36=""),"",IF(Q36=G36,0,IF(Q36&gt;G36,NETWORKDAYS.INTL(G36,Q36,IF(F36=5,"0000011",IF(F36=6,"0000001","0000000")))-1,-(NETWORKDAYS.INTL(Q36,G36,IF(F36=5,"0000011",IF(F36=6,"0000001","0000000")))-1))))</f>
        <v/>
      </c>
      <c r="S36">
        <f>IF(B36="","CONFIGURAR",IF(K36&gt;=B36,"CONCLUÍDO",IF(Q36&lt;G36,"ADIANTADO",IF(Q36=G36,"NO PRAZO","ATRASO"))))</f>
        <v/>
      </c>
      <c r="T36" s="162">
        <f>IF(B36="","Informe a quantidade em METAS CLIENTE",IF(M36&gt;0,"Crédito / produção acima do previsto",IF(M36&lt;0,"Produção abaixo do previsto","Aderente ao previsto")))</f>
        <v/>
      </c>
      <c r="U36" s="159">
        <f>IF(OR(P36="",G36="",C36=""),"",IF(P36=0,0,IF($A$4&gt;=G36,P36,P36/MAX(1,NETWORKDAYS.INTL(MAX($A$4+1,C36),G36,IF(F36=5,"0000011",IF(F36=6,"0000001","0000000")))))))</f>
        <v/>
      </c>
      <c r="V36" s="62">
        <f>'METAS CLIENTE'!N34</f>
        <v/>
      </c>
      <c r="W36" s="317">
        <f>IF('METAS CLIENTE'!R34="","",'METAS CLIENTE'!R34)</f>
        <v/>
      </c>
      <c r="X36" s="97">
        <f>IF(OR(Q36="",W36=""),"",IF(Q36=W36,0,IF(Q36&gt;W36,NETWORKDAYS.INTL(W36,Q36,IF(F36=5,"0000011",IF(F36=6,"0000001","0000000")))-1,-(NETWORKDAYS.INTL(Q36,W36,IF(F36=5,"0000011",IF(F36=6,"0000001","0000000")))-1))))</f>
        <v/>
      </c>
      <c r="Y36" s="159">
        <f>IF(N(B36)&gt;0,'METAS CLIENTE'!L34,0)</f>
        <v/>
      </c>
      <c r="Z36" s="319">
        <f>IF(N(B36)&gt;0,N(L36)/B36,0)</f>
        <v/>
      </c>
      <c r="AA36" s="319">
        <f>IF(N(B36)&gt;0,N(K36)/B36,0)</f>
        <v/>
      </c>
    </row>
    <row r="37" ht="21.75" customHeight="1">
      <c r="A37" s="62">
        <f>'METAS CLIENTE'!A35</f>
        <v/>
      </c>
      <c r="B37" s="159">
        <f>IF('METAS CLIENTE'!B35="","",'METAS CLIENTE'!B35)</f>
        <v/>
      </c>
      <c r="C37" s="317">
        <f>IF('METAS CLIENTE'!C35="","",'METAS CLIENTE'!C35)</f>
        <v/>
      </c>
      <c r="D37" s="317">
        <f>IF('METAS CLIENTE'!D35="","",'METAS CLIENTE'!D35)</f>
        <v/>
      </c>
      <c r="E37" s="159">
        <f>IF('METAS CLIENTE'!E35="","",'METAS CLIENTE'!E35)</f>
        <v/>
      </c>
      <c r="F37" s="159">
        <f>IF('METAS CLIENTE'!F35="","",'METAS CLIENTE'!F35)</f>
        <v/>
      </c>
      <c r="G37" s="317">
        <f>IF('METAS CLIENTE'!M35="","",'METAS CLIENTE'!M35)</f>
        <v/>
      </c>
      <c r="H37" s="317">
        <f>Q37</f>
        <v/>
      </c>
      <c r="I37" s="159">
        <f>IF(C37="","",SUMIFS('CONTROLE PRODUÇÃO POR EMPRESAS'!$BF$6:$BF$5000,'CONTROLE PRODUÇÃO POR EMPRESAS'!$A$6:$A$5000,"&lt;"&amp;C37,'CONTROLE PRODUÇÃO POR EMPRESAS'!$A$6:$A$5000,"&lt;="&amp;$A$4))</f>
        <v/>
      </c>
      <c r="J37" s="159">
        <f>IF(C37="","",SUMIFS('CONTROLE PRODUÇÃO POR EMPRESAS'!$BF$6:$BF$5000,'CONTROLE PRODUÇÃO POR EMPRESAS'!$A$6:$A$5000,"&gt;="&amp;C37,'CONTROLE PRODUÇÃO POR EMPRESAS'!$A$6:$A$5000,"&lt;="&amp;$A$4))</f>
        <v/>
      </c>
      <c r="K37" s="159">
        <f>IF(C37="","",I37+J37)</f>
        <v/>
      </c>
      <c r="L37" s="159">
        <f>IF(OR(B37="",C37="",E37=""),"",IF($A$4&lt;C37,0,MIN(B37,E37*NETWORKDAYS.INTL(C37,$A$4,IF(F37=5,"0000011",IF(F37=6,"0000001","0000000"))))))</f>
        <v/>
      </c>
      <c r="M37" s="159">
        <f>IF(L37="","",K37-L37)</f>
        <v/>
      </c>
      <c r="N37" s="319">
        <f>IFERROR(K37/B37,"")</f>
        <v/>
      </c>
      <c r="O37" s="159">
        <f>IF(OR(D37="",$A$4&lt;D37),"",IFERROR((SUMIFS('CONTROLE PRODUÇÃO POR EMPRESAS'!$BF$6:$BF$5000,'CONTROLE PRODUÇÃO POR EMPRESAS'!$A$6:$A$5000,"&gt;="&amp;D37,'CONTROLE PRODUÇÃO POR EMPRESAS'!$A$6:$A$5000,"&lt;="&amp;$A$4))/MAX(1,NETWORKDAYS.INTL(D37,$A$4,IF(F37=5,"0000011",IF(F37=6,"0000001","0000000")))),0))</f>
        <v/>
      </c>
      <c r="P37" s="159">
        <f>IF(B37="","",MAX(B37-K37,0))</f>
        <v/>
      </c>
      <c r="Q37" s="317">
        <f>IF(OR(B37="",C37="",E37=""),"",IF(P37=0,$A$4,IF(AND($A$4&lt;C37,K37=0),G37,WORKDAY.INTL($A$4,ROUNDUP(P37/IF(N(O37)&gt;0,IF(NETWORKDAYS.INTL(D37,$A$4,IF(F37=5,"0000011",IF(F37=6,"0000001","0000000")))&gt;=5,O37,E37),E37),0),IF(F37=5,"0000011",IF(F37=6,"0000001","0000000"))))))</f>
        <v/>
      </c>
      <c r="R37" s="97">
        <f>IF(OR(G37="",Q37=""),"",IF(Q37=G37,0,IF(Q37&gt;G37,NETWORKDAYS.INTL(G37,Q37,IF(F37=5,"0000011",IF(F37=6,"0000001","0000000")))-1,-(NETWORKDAYS.INTL(Q37,G37,IF(F37=5,"0000011",IF(F37=6,"0000001","0000000")))-1))))</f>
        <v/>
      </c>
      <c r="S37">
        <f>IF(B37="","CONFIGURAR",IF(K37&gt;=B37,"CONCLUÍDO",IF(Q37&lt;G37,"ADIANTADO",IF(Q37=G37,"NO PRAZO","ATRASO"))))</f>
        <v/>
      </c>
      <c r="T37" s="162">
        <f>IF(B37="","Informe a quantidade em METAS CLIENTE",IF(M37&gt;0,"Crédito / produção acima do previsto",IF(M37&lt;0,"Produção abaixo do previsto","Aderente ao previsto")))</f>
        <v/>
      </c>
      <c r="U37" s="159">
        <f>IF(OR(P37="",G37="",C37=""),"",IF(P37=0,0,IF($A$4&gt;=G37,P37,P37/MAX(1,NETWORKDAYS.INTL(MAX($A$4+1,C37),G37,IF(F37=5,"0000011",IF(F37=6,"0000001","0000000")))))))</f>
        <v/>
      </c>
      <c r="V37" s="62">
        <f>'METAS CLIENTE'!N35</f>
        <v/>
      </c>
      <c r="W37" s="317">
        <f>IF('METAS CLIENTE'!R35="","",'METAS CLIENTE'!R35)</f>
        <v/>
      </c>
      <c r="X37" s="97">
        <f>IF(OR(Q37="",W37=""),"",IF(Q37=W37,0,IF(Q37&gt;W37,NETWORKDAYS.INTL(W37,Q37,IF(F37=5,"0000011",IF(F37=6,"0000001","0000000")))-1,-(NETWORKDAYS.INTL(Q37,W37,IF(F37=5,"0000011",IF(F37=6,"0000001","0000000")))-1))))</f>
        <v/>
      </c>
      <c r="Y37" s="159">
        <f>IF(N(B37)&gt;0,'METAS CLIENTE'!L35,0)</f>
        <v/>
      </c>
      <c r="Z37" s="319">
        <f>IF(N(B37)&gt;0,N(L37)/B37,0)</f>
        <v/>
      </c>
      <c r="AA37" s="319">
        <f>IF(N(B37)&gt;0,N(K37)/B37,0)</f>
        <v/>
      </c>
    </row>
    <row r="38" ht="21.75" customHeight="1">
      <c r="A38" s="62">
        <f>'METAS CLIENTE'!A36</f>
        <v/>
      </c>
      <c r="B38" s="159">
        <f>IF('METAS CLIENTE'!B36="","",'METAS CLIENTE'!B36)</f>
        <v/>
      </c>
      <c r="C38" s="317">
        <f>IF('METAS CLIENTE'!C36="","",'METAS CLIENTE'!C36)</f>
        <v/>
      </c>
      <c r="D38" s="317">
        <f>IF('METAS CLIENTE'!D36="","",'METAS CLIENTE'!D36)</f>
        <v/>
      </c>
      <c r="E38" s="159">
        <f>IF('METAS CLIENTE'!E36="","",'METAS CLIENTE'!E36)</f>
        <v/>
      </c>
      <c r="F38" s="159">
        <f>IF('METAS CLIENTE'!F36="","",'METAS CLIENTE'!F36)</f>
        <v/>
      </c>
      <c r="G38" s="317">
        <f>IF('METAS CLIENTE'!M36="","",'METAS CLIENTE'!M36)</f>
        <v/>
      </c>
      <c r="H38" s="317">
        <f>Q38</f>
        <v/>
      </c>
      <c r="I38" s="159">
        <f>IF(C38="","",SUMIFS('CONTROLE PRODUÇÃO POR EMPRESAS'!$BG$6:$BG$5000,'CONTROLE PRODUÇÃO POR EMPRESAS'!$A$6:$A$5000,"&lt;"&amp;C38,'CONTROLE PRODUÇÃO POR EMPRESAS'!$A$6:$A$5000,"&lt;="&amp;$A$4))</f>
        <v/>
      </c>
      <c r="J38" s="159">
        <f>IF(C38="","",SUMIFS('CONTROLE PRODUÇÃO POR EMPRESAS'!$BG$6:$BG$5000,'CONTROLE PRODUÇÃO POR EMPRESAS'!$A$6:$A$5000,"&gt;="&amp;C38,'CONTROLE PRODUÇÃO POR EMPRESAS'!$A$6:$A$5000,"&lt;="&amp;$A$4))</f>
        <v/>
      </c>
      <c r="K38" s="159">
        <f>IF(C38="","",I38+J38)</f>
        <v/>
      </c>
      <c r="L38" s="159">
        <f>IF(OR(B38="",C38="",E38=""),"",IF($A$4&lt;C38,0,MIN(B38,E38*NETWORKDAYS.INTL(C38,$A$4,IF(F38=5,"0000011",IF(F38=6,"0000001","0000000"))))))</f>
        <v/>
      </c>
      <c r="M38" s="159">
        <f>IF(L38="","",K38-L38)</f>
        <v/>
      </c>
      <c r="N38" s="319">
        <f>IFERROR(K38/B38,"")</f>
        <v/>
      </c>
      <c r="O38" s="159">
        <f>IF(OR(D38="",$A$4&lt;D38),"",IFERROR((SUMIFS('CONTROLE PRODUÇÃO POR EMPRESAS'!$BG$6:$BG$5000,'CONTROLE PRODUÇÃO POR EMPRESAS'!$A$6:$A$5000,"&gt;="&amp;D38,'CONTROLE PRODUÇÃO POR EMPRESAS'!$A$6:$A$5000,"&lt;="&amp;$A$4))/MAX(1,NETWORKDAYS.INTL(D38,$A$4,IF(F38=5,"0000011",IF(F38=6,"0000001","0000000")))),0))</f>
        <v/>
      </c>
      <c r="P38" s="159">
        <f>IF(B38="","",MAX(B38-K38,0))</f>
        <v/>
      </c>
      <c r="Q38" s="317">
        <f>IF(OR(B38="",C38="",E38=""),"",IF(P38=0,$A$4,IF(AND($A$4&lt;C38,K38=0),G38,WORKDAY.INTL($A$4,ROUNDUP(P38/IF(N(O38)&gt;0,IF(NETWORKDAYS.INTL(D38,$A$4,IF(F38=5,"0000011",IF(F38=6,"0000001","0000000")))&gt;=5,O38,E38),E38),0),IF(F38=5,"0000011",IF(F38=6,"0000001","0000000"))))))</f>
        <v/>
      </c>
      <c r="R38" s="97">
        <f>IF(OR(G38="",Q38=""),"",IF(Q38=G38,0,IF(Q38&gt;G38,NETWORKDAYS.INTL(G38,Q38,IF(F38=5,"0000011",IF(F38=6,"0000001","0000000")))-1,-(NETWORKDAYS.INTL(Q38,G38,IF(F38=5,"0000011",IF(F38=6,"0000001","0000000")))-1))))</f>
        <v/>
      </c>
      <c r="S38">
        <f>IF(B38="","CONFIGURAR",IF(K38&gt;=B38,"CONCLUÍDO",IF(Q38&lt;G38,"ADIANTADO",IF(Q38=G38,"NO PRAZO","ATRASO"))))</f>
        <v/>
      </c>
      <c r="T38" s="162">
        <f>IF(B38="","Informe a quantidade em METAS CLIENTE",IF(M38&gt;0,"Crédito / produção acima do previsto",IF(M38&lt;0,"Produção abaixo do previsto","Aderente ao previsto")))</f>
        <v/>
      </c>
      <c r="U38" s="159">
        <f>IF(OR(P38="",G38="",C38=""),"",IF(P38=0,0,IF($A$4&gt;=G38,P38,P38/MAX(1,NETWORKDAYS.INTL(MAX($A$4+1,C38),G38,IF(F38=5,"0000011",IF(F38=6,"0000001","0000000")))))))</f>
        <v/>
      </c>
      <c r="V38" s="62">
        <f>'METAS CLIENTE'!N36</f>
        <v/>
      </c>
      <c r="W38" s="317">
        <f>IF('METAS CLIENTE'!R36="","",'METAS CLIENTE'!R36)</f>
        <v/>
      </c>
      <c r="X38" s="97">
        <f>IF(OR(Q38="",W38=""),"",IF(Q38=W38,0,IF(Q38&gt;W38,NETWORKDAYS.INTL(W38,Q38,IF(F38=5,"0000011",IF(F38=6,"0000001","0000000")))-1,-(NETWORKDAYS.INTL(Q38,W38,IF(F38=5,"0000011",IF(F38=6,"0000001","0000000")))-1))))</f>
        <v/>
      </c>
      <c r="Y38" s="159">
        <f>IF(N(B38)&gt;0,'METAS CLIENTE'!L36,0)</f>
        <v/>
      </c>
      <c r="Z38" s="319">
        <f>IF(N(B38)&gt;0,N(L38)/B38,0)</f>
        <v/>
      </c>
      <c r="AA38" s="319">
        <f>IF(N(B38)&gt;0,N(K38)/B38,0)</f>
        <v/>
      </c>
    </row>
    <row r="39" ht="21.75" customHeight="1">
      <c r="A39" s="62">
        <f>'METAS CLIENTE'!A37</f>
        <v/>
      </c>
      <c r="B39" s="159">
        <f>IF('METAS CLIENTE'!B37="","",'METAS CLIENTE'!B37)</f>
        <v/>
      </c>
      <c r="C39" s="317">
        <f>IF('METAS CLIENTE'!C37="","",'METAS CLIENTE'!C37)</f>
        <v/>
      </c>
      <c r="D39" s="317">
        <f>IF('METAS CLIENTE'!D37="","",'METAS CLIENTE'!D37)</f>
        <v/>
      </c>
      <c r="E39" s="159">
        <f>IF('METAS CLIENTE'!E37="","",'METAS CLIENTE'!E37)</f>
        <v/>
      </c>
      <c r="F39" s="159">
        <f>IF('METAS CLIENTE'!F37="","",'METAS CLIENTE'!F37)</f>
        <v/>
      </c>
      <c r="G39" s="317">
        <f>IF('METAS CLIENTE'!M37="","",'METAS CLIENTE'!M37)</f>
        <v/>
      </c>
      <c r="H39" s="317">
        <f>Q39</f>
        <v/>
      </c>
      <c r="I39" s="159">
        <f>IF(C39="","",SUMIFS('CONTROLE PRODUÇÃO POR EMPRESAS'!$BH$6:$BH$5000,'CONTROLE PRODUÇÃO POR EMPRESAS'!$A$6:$A$5000,"&lt;"&amp;C39,'CONTROLE PRODUÇÃO POR EMPRESAS'!$A$6:$A$5000,"&lt;="&amp;$A$4))</f>
        <v/>
      </c>
      <c r="J39" s="159">
        <f>IF(C39="","",SUMIFS('CONTROLE PRODUÇÃO POR EMPRESAS'!$BH$6:$BH$5000,'CONTROLE PRODUÇÃO POR EMPRESAS'!$A$6:$A$5000,"&gt;="&amp;C39,'CONTROLE PRODUÇÃO POR EMPRESAS'!$A$6:$A$5000,"&lt;="&amp;$A$4))</f>
        <v/>
      </c>
      <c r="K39" s="159">
        <f>IF(C39="","",I39+J39)</f>
        <v/>
      </c>
      <c r="L39" s="159">
        <f>IF(OR(B39="",C39="",E39=""),"",IF($A$4&lt;C39,0,MIN(B39,E39*NETWORKDAYS.INTL(C39,$A$4,IF(F39=5,"0000011",IF(F39=6,"0000001","0000000"))))))</f>
        <v/>
      </c>
      <c r="M39" s="159">
        <f>IF(L39="","",K39-L39)</f>
        <v/>
      </c>
      <c r="N39" s="319">
        <f>IFERROR(K39/B39,"")</f>
        <v/>
      </c>
      <c r="O39" s="159">
        <f>IF(OR(D39="",$A$4&lt;D39),"",IFERROR((SUMIFS('CONTROLE PRODUÇÃO POR EMPRESAS'!$BH$6:$BH$5000,'CONTROLE PRODUÇÃO POR EMPRESAS'!$A$6:$A$5000,"&gt;="&amp;D39,'CONTROLE PRODUÇÃO POR EMPRESAS'!$A$6:$A$5000,"&lt;="&amp;$A$4))/MAX(1,NETWORKDAYS.INTL(D39,$A$4,IF(F39=5,"0000011",IF(F39=6,"0000001","0000000")))),0))</f>
        <v/>
      </c>
      <c r="P39" s="159">
        <f>IF(B39="","",MAX(B39-K39,0))</f>
        <v/>
      </c>
      <c r="Q39" s="317">
        <f>IF(OR(B39="",C39="",E39=""),"",IF(P39=0,$A$4,IF(AND($A$4&lt;C39,K39=0),G39,WORKDAY.INTL($A$4,ROUNDUP(P39/IF(N(O39)&gt;0,IF(NETWORKDAYS.INTL(D39,$A$4,IF(F39=5,"0000011",IF(F39=6,"0000001","0000000")))&gt;=5,O39,E39),E39),0),IF(F39=5,"0000011",IF(F39=6,"0000001","0000000"))))))</f>
        <v/>
      </c>
      <c r="R39" s="97">
        <f>IF(OR(G39="",Q39=""),"",IF(Q39=G39,0,IF(Q39&gt;G39,NETWORKDAYS.INTL(G39,Q39,IF(F39=5,"0000011",IF(F39=6,"0000001","0000000")))-1,-(NETWORKDAYS.INTL(Q39,G39,IF(F39=5,"0000011",IF(F39=6,"0000001","0000000")))-1))))</f>
        <v/>
      </c>
      <c r="S39">
        <f>IF(B39="","CONFIGURAR",IF(K39&gt;=B39,"CONCLUÍDO",IF(Q39&lt;G39,"ADIANTADO",IF(Q39=G39,"NO PRAZO","ATRASO"))))</f>
        <v/>
      </c>
      <c r="T39" s="162">
        <f>IF(B39="","Informe a quantidade em METAS CLIENTE",IF(M39&gt;0,"Crédito / produção acima do previsto",IF(M39&lt;0,"Produção abaixo do previsto","Aderente ao previsto")))</f>
        <v/>
      </c>
      <c r="U39" s="159">
        <f>IF(OR(P39="",G39="",C39=""),"",IF(P39=0,0,IF($A$4&gt;=G39,P39,P39/MAX(1,NETWORKDAYS.INTL(MAX($A$4+1,C39),G39,IF(F39=5,"0000011",IF(F39=6,"0000001","0000000")))))))</f>
        <v/>
      </c>
      <c r="V39" s="62">
        <f>'METAS CLIENTE'!N37</f>
        <v/>
      </c>
      <c r="W39" s="317">
        <f>IF('METAS CLIENTE'!R37="","",'METAS CLIENTE'!R37)</f>
        <v/>
      </c>
      <c r="X39" s="97">
        <f>IF(OR(Q39="",W39=""),"",IF(Q39=W39,0,IF(Q39&gt;W39,NETWORKDAYS.INTL(W39,Q39,IF(F39=5,"0000011",IF(F39=6,"0000001","0000000")))-1,-(NETWORKDAYS.INTL(Q39,W39,IF(F39=5,"0000011",IF(F39=6,"0000001","0000000")))-1))))</f>
        <v/>
      </c>
      <c r="Y39" s="159">
        <f>IF(N(B39)&gt;0,'METAS CLIENTE'!L37,0)</f>
        <v/>
      </c>
      <c r="Z39" s="319">
        <f>IF(N(B39)&gt;0,N(L39)/B39,0)</f>
        <v/>
      </c>
      <c r="AA39" s="319">
        <f>IF(N(B39)&gt;0,N(K39)/B39,0)</f>
        <v/>
      </c>
    </row>
    <row r="40" ht="21.75" customHeight="1">
      <c r="A40" s="62">
        <f>'METAS CLIENTE'!A38</f>
        <v/>
      </c>
      <c r="B40" s="159">
        <f>IF('METAS CLIENTE'!B38="","",'METAS CLIENTE'!B38)</f>
        <v/>
      </c>
      <c r="C40" s="317">
        <f>IF('METAS CLIENTE'!C38="","",'METAS CLIENTE'!C38)</f>
        <v/>
      </c>
      <c r="D40" s="317">
        <f>IF('METAS CLIENTE'!D38="","",'METAS CLIENTE'!D38)</f>
        <v/>
      </c>
      <c r="E40" s="159">
        <f>IF('METAS CLIENTE'!E38="","",'METAS CLIENTE'!E38)</f>
        <v/>
      </c>
      <c r="F40" s="159">
        <f>IF('METAS CLIENTE'!F38="","",'METAS CLIENTE'!F38)</f>
        <v/>
      </c>
      <c r="G40" s="317">
        <f>IF('METAS CLIENTE'!M38="","",'METAS CLIENTE'!M38)</f>
        <v/>
      </c>
      <c r="H40" s="317">
        <f>Q40</f>
        <v/>
      </c>
      <c r="I40" s="159">
        <f>IF(C40="","",SUMIFS('CONTROLE PRODUÇÃO POR EMPRESAS'!$BI$6:$BI$5000,'CONTROLE PRODUÇÃO POR EMPRESAS'!$A$6:$A$5000,"&lt;"&amp;C40,'CONTROLE PRODUÇÃO POR EMPRESAS'!$A$6:$A$5000,"&lt;="&amp;$A$4))</f>
        <v/>
      </c>
      <c r="J40" s="159">
        <f>IF(C40="","",SUMIFS('CONTROLE PRODUÇÃO POR EMPRESAS'!$BI$6:$BI$5000,'CONTROLE PRODUÇÃO POR EMPRESAS'!$A$6:$A$5000,"&gt;="&amp;C40,'CONTROLE PRODUÇÃO POR EMPRESAS'!$A$6:$A$5000,"&lt;="&amp;$A$4))</f>
        <v/>
      </c>
      <c r="K40" s="159">
        <f>IF(C40="","",I40+J40)</f>
        <v/>
      </c>
      <c r="L40" s="159">
        <f>IF(OR(B40="",C40="",E40=""),"",IF($A$4&lt;C40,0,MIN(B40,E40*NETWORKDAYS.INTL(C40,$A$4,IF(F40=5,"0000011",IF(F40=6,"0000001","0000000"))))))</f>
        <v/>
      </c>
      <c r="M40" s="159">
        <f>IF(L40="","",K40-L40)</f>
        <v/>
      </c>
      <c r="N40" s="319">
        <f>IFERROR(K40/B40,"")</f>
        <v/>
      </c>
      <c r="O40" s="159">
        <f>IF(OR(D40="",$A$4&lt;D40),"",IFERROR((SUMIFS('CONTROLE PRODUÇÃO POR EMPRESAS'!$BI$6:$BI$5000,'CONTROLE PRODUÇÃO POR EMPRESAS'!$A$6:$A$5000,"&gt;="&amp;D40,'CONTROLE PRODUÇÃO POR EMPRESAS'!$A$6:$A$5000,"&lt;="&amp;$A$4))/MAX(1,NETWORKDAYS.INTL(D40,$A$4,IF(F40=5,"0000011",IF(F40=6,"0000001","0000000")))),0))</f>
        <v/>
      </c>
      <c r="P40" s="159">
        <f>IF(B40="","",MAX(B40-K40,0))</f>
        <v/>
      </c>
      <c r="Q40" s="317">
        <f>IF(OR(B40="",C40="",E40=""),"",IF(P40=0,$A$4,IF(AND($A$4&lt;C40,K40=0),G40,WORKDAY.INTL($A$4,ROUNDUP(P40/IF(N(O40)&gt;0,IF(NETWORKDAYS.INTL(D40,$A$4,IF(F40=5,"0000011",IF(F40=6,"0000001","0000000")))&gt;=5,O40,E40),E40),0),IF(F40=5,"0000011",IF(F40=6,"0000001","0000000"))))))</f>
        <v/>
      </c>
      <c r="R40" s="97">
        <f>IF(OR(G40="",Q40=""),"",IF(Q40=G40,0,IF(Q40&gt;G40,NETWORKDAYS.INTL(G40,Q40,IF(F40=5,"0000011",IF(F40=6,"0000001","0000000")))-1,-(NETWORKDAYS.INTL(Q40,G40,IF(F40=5,"0000011",IF(F40=6,"0000001","0000000")))-1))))</f>
        <v/>
      </c>
      <c r="S40">
        <f>IF(B40="","CONFIGURAR",IF(K40&gt;=B40,"CONCLUÍDO",IF(Q40&lt;G40,"ADIANTADO",IF(Q40=G40,"NO PRAZO","ATRASO"))))</f>
        <v/>
      </c>
      <c r="T40" s="162">
        <f>IF(B40="","Informe a quantidade em METAS CLIENTE",IF(M40&gt;0,"Crédito / produção acima do previsto",IF(M40&lt;0,"Produção abaixo do previsto","Aderente ao previsto")))</f>
        <v/>
      </c>
      <c r="U40" s="159">
        <f>IF(OR(P40="",G40="",C40=""),"",IF(P40=0,0,IF($A$4&gt;=G40,P40,P40/MAX(1,NETWORKDAYS.INTL(MAX($A$4+1,C40),G40,IF(F40=5,"0000011",IF(F40=6,"0000001","0000000")))))))</f>
        <v/>
      </c>
      <c r="V40" s="62">
        <f>'METAS CLIENTE'!N38</f>
        <v/>
      </c>
      <c r="W40" s="317">
        <f>IF('METAS CLIENTE'!R38="","",'METAS CLIENTE'!R38)</f>
        <v/>
      </c>
      <c r="X40" s="97">
        <f>IF(OR(Q40="",W40=""),"",IF(Q40=W40,0,IF(Q40&gt;W40,NETWORKDAYS.INTL(W40,Q40,IF(F40=5,"0000011",IF(F40=6,"0000001","0000000")))-1,-(NETWORKDAYS.INTL(Q40,W40,IF(F40=5,"0000011",IF(F40=6,"0000001","0000000")))-1))))</f>
        <v/>
      </c>
      <c r="Y40" s="159">
        <f>IF(N(B40)&gt;0,'METAS CLIENTE'!L38,0)</f>
        <v/>
      </c>
      <c r="Z40" s="319">
        <f>IF(N(B40)&gt;0,N(L40)/B40,0)</f>
        <v/>
      </c>
      <c r="AA40" s="319">
        <f>IF(N(B40)&gt;0,N(K40)/B40,0)</f>
        <v/>
      </c>
    </row>
    <row r="41" ht="21.75" customHeight="1">
      <c r="A41" s="62">
        <f>'METAS CLIENTE'!A39</f>
        <v/>
      </c>
      <c r="B41" s="159">
        <f>IF('METAS CLIENTE'!B39="","",'METAS CLIENTE'!B39)</f>
        <v/>
      </c>
      <c r="C41" s="317">
        <f>IF('METAS CLIENTE'!C39="","",'METAS CLIENTE'!C39)</f>
        <v/>
      </c>
      <c r="D41" s="317">
        <f>IF('METAS CLIENTE'!D39="","",'METAS CLIENTE'!D39)</f>
        <v/>
      </c>
      <c r="E41" s="159">
        <f>IF('METAS CLIENTE'!E39="","",'METAS CLIENTE'!E39)</f>
        <v/>
      </c>
      <c r="F41" s="159">
        <f>IF('METAS CLIENTE'!F39="","",'METAS CLIENTE'!F39)</f>
        <v/>
      </c>
      <c r="G41" s="317">
        <f>IF('METAS CLIENTE'!M39="","",'METAS CLIENTE'!M39)</f>
        <v/>
      </c>
      <c r="H41" s="317">
        <f>Q41</f>
        <v/>
      </c>
      <c r="I41" s="159">
        <f>IF(C41="","",SUMIFS('CONTROLE PRODUÇÃO POR EMPRESAS'!$BJ$6:$BJ$5000,'CONTROLE PRODUÇÃO POR EMPRESAS'!$A$6:$A$5000,"&lt;"&amp;C41,'CONTROLE PRODUÇÃO POR EMPRESAS'!$A$6:$A$5000,"&lt;="&amp;$A$4))</f>
        <v/>
      </c>
      <c r="J41" s="159">
        <f>IF(C41="","",SUMIFS('CONTROLE PRODUÇÃO POR EMPRESAS'!$BJ$6:$BJ$5000,'CONTROLE PRODUÇÃO POR EMPRESAS'!$A$6:$A$5000,"&gt;="&amp;C41,'CONTROLE PRODUÇÃO POR EMPRESAS'!$A$6:$A$5000,"&lt;="&amp;$A$4))</f>
        <v/>
      </c>
      <c r="K41" s="159">
        <f>IF(C41="","",I41+J41)</f>
        <v/>
      </c>
      <c r="L41" s="159">
        <f>IF(OR(B41="",C41="",E41=""),"",IF($A$4&lt;C41,0,MIN(B41,E41*NETWORKDAYS.INTL(C41,$A$4,IF(F41=5,"0000011",IF(F41=6,"0000001","0000000"))))))</f>
        <v/>
      </c>
      <c r="M41" s="159">
        <f>IF(L41="","",K41-L41)</f>
        <v/>
      </c>
      <c r="N41" s="319">
        <f>IFERROR(K41/B41,"")</f>
        <v/>
      </c>
      <c r="O41" s="159">
        <f>IF(OR(D41="",$A$4&lt;D41),"",IFERROR((SUMIFS('CONTROLE PRODUÇÃO POR EMPRESAS'!$BJ$6:$BJ$5000,'CONTROLE PRODUÇÃO POR EMPRESAS'!$A$6:$A$5000,"&gt;="&amp;D41,'CONTROLE PRODUÇÃO POR EMPRESAS'!$A$6:$A$5000,"&lt;="&amp;$A$4))/MAX(1,NETWORKDAYS.INTL(D41,$A$4,IF(F41=5,"0000011",IF(F41=6,"0000001","0000000")))),0))</f>
        <v/>
      </c>
      <c r="P41" s="159">
        <f>IF(B41="","",MAX(B41-K41,0))</f>
        <v/>
      </c>
      <c r="Q41" s="317">
        <f>IF(OR(B41="",C41="",E41=""),"",IF(P41=0,$A$4,IF(AND($A$4&lt;C41,K41=0),G41,WORKDAY.INTL($A$4,ROUNDUP(P41/IF(N(O41)&gt;0,IF(NETWORKDAYS.INTL(D41,$A$4,IF(F41=5,"0000011",IF(F41=6,"0000001","0000000")))&gt;=5,O41,E41),E41),0),IF(F41=5,"0000011",IF(F41=6,"0000001","0000000"))))))</f>
        <v/>
      </c>
      <c r="R41" s="97">
        <f>IF(OR(G41="",Q41=""),"",IF(Q41=G41,0,IF(Q41&gt;G41,NETWORKDAYS.INTL(G41,Q41,IF(F41=5,"0000011",IF(F41=6,"0000001","0000000")))-1,-(NETWORKDAYS.INTL(Q41,G41,IF(F41=5,"0000011",IF(F41=6,"0000001","0000000")))-1))))</f>
        <v/>
      </c>
      <c r="S41">
        <f>IF(B41="","CONFIGURAR",IF(K41&gt;=B41,"CONCLUÍDO",IF(Q41&lt;G41,"ADIANTADO",IF(Q41=G41,"NO PRAZO","ATRASO"))))</f>
        <v/>
      </c>
      <c r="T41" s="162">
        <f>IF(B41="","Informe a quantidade em METAS CLIENTE",IF(M41&gt;0,"Crédito / produção acima do previsto",IF(M41&lt;0,"Produção abaixo do previsto","Aderente ao previsto")))</f>
        <v/>
      </c>
      <c r="U41" s="159">
        <f>IF(OR(P41="",G41="",C41=""),"",IF(P41=0,0,IF($A$4&gt;=G41,P41,P41/MAX(1,NETWORKDAYS.INTL(MAX($A$4+1,C41),G41,IF(F41=5,"0000011",IF(F41=6,"0000001","0000000")))))))</f>
        <v/>
      </c>
      <c r="V41" s="62">
        <f>'METAS CLIENTE'!N39</f>
        <v/>
      </c>
      <c r="W41" s="317">
        <f>IF('METAS CLIENTE'!R39="","",'METAS CLIENTE'!R39)</f>
        <v/>
      </c>
      <c r="X41" s="97">
        <f>IF(OR(Q41="",W41=""),"",IF(Q41=W41,0,IF(Q41&gt;W41,NETWORKDAYS.INTL(W41,Q41,IF(F41=5,"0000011",IF(F41=6,"0000001","0000000")))-1,-(NETWORKDAYS.INTL(Q41,W41,IF(F41=5,"0000011",IF(F41=6,"0000001","0000000")))-1))))</f>
        <v/>
      </c>
      <c r="Y41" s="159">
        <f>IF(N(B41)&gt;0,'METAS CLIENTE'!L39,0)</f>
        <v/>
      </c>
      <c r="Z41" s="319">
        <f>IF(N(B41)&gt;0,N(L41)/B41,0)</f>
        <v/>
      </c>
      <c r="AA41" s="319">
        <f>IF(N(B41)&gt;0,N(K41)/B41,0)</f>
        <v/>
      </c>
    </row>
    <row r="42" ht="21.75" customHeight="1">
      <c r="A42" s="62">
        <f>'METAS CLIENTE'!A40</f>
        <v/>
      </c>
      <c r="B42" s="159">
        <f>IF('METAS CLIENTE'!B40="","",'METAS CLIENTE'!B40)</f>
        <v/>
      </c>
      <c r="C42" s="317">
        <f>IF('METAS CLIENTE'!C40="","",'METAS CLIENTE'!C40)</f>
        <v/>
      </c>
      <c r="D42" s="317">
        <f>IF('METAS CLIENTE'!D40="","",'METAS CLIENTE'!D40)</f>
        <v/>
      </c>
      <c r="E42" s="159">
        <f>IF('METAS CLIENTE'!E40="","",'METAS CLIENTE'!E40)</f>
        <v/>
      </c>
      <c r="F42" s="159">
        <f>IF('METAS CLIENTE'!F40="","",'METAS CLIENTE'!F40)</f>
        <v/>
      </c>
      <c r="G42" s="317">
        <f>IF('METAS CLIENTE'!M40="","",'METAS CLIENTE'!M40)</f>
        <v/>
      </c>
      <c r="H42" s="317">
        <f>Q42</f>
        <v/>
      </c>
      <c r="I42" s="159">
        <f>IF(C42="","",SUMIFS('CONTROLE PRODUÇÃO POR EMPRESAS'!$BK$6:$BK$5000,'CONTROLE PRODUÇÃO POR EMPRESAS'!$A$6:$A$5000,"&lt;"&amp;C42,'CONTROLE PRODUÇÃO POR EMPRESAS'!$A$6:$A$5000,"&lt;="&amp;$A$4))</f>
        <v/>
      </c>
      <c r="J42" s="159">
        <f>IF(C42="","",SUMIFS('CONTROLE PRODUÇÃO POR EMPRESAS'!$BK$6:$BK$5000,'CONTROLE PRODUÇÃO POR EMPRESAS'!$A$6:$A$5000,"&gt;="&amp;C42,'CONTROLE PRODUÇÃO POR EMPRESAS'!$A$6:$A$5000,"&lt;="&amp;$A$4))</f>
        <v/>
      </c>
      <c r="K42" s="159">
        <f>IF(C42="","",I42+J42)</f>
        <v/>
      </c>
      <c r="L42" s="159">
        <f>IF(OR(B42="",C42="",E42=""),"",IF($A$4&lt;C42,0,MIN(B42,E42*NETWORKDAYS.INTL(C42,$A$4,IF(F42=5,"0000011",IF(F42=6,"0000001","0000000"))))))</f>
        <v/>
      </c>
      <c r="M42" s="159">
        <f>IF(L42="","",K42-L42)</f>
        <v/>
      </c>
      <c r="N42" s="319">
        <f>IFERROR(K42/B42,"")</f>
        <v/>
      </c>
      <c r="O42" s="159">
        <f>IF(OR(D42="",$A$4&lt;D42),"",IFERROR((SUMIFS('CONTROLE PRODUÇÃO POR EMPRESAS'!$BK$6:$BK$5000,'CONTROLE PRODUÇÃO POR EMPRESAS'!$A$6:$A$5000,"&gt;="&amp;D42,'CONTROLE PRODUÇÃO POR EMPRESAS'!$A$6:$A$5000,"&lt;="&amp;$A$4))/MAX(1,NETWORKDAYS.INTL(D42,$A$4,IF(F42=5,"0000011",IF(F42=6,"0000001","0000000")))),0))</f>
        <v/>
      </c>
      <c r="P42" s="159">
        <f>IF(B42="","",MAX(B42-K42,0))</f>
        <v/>
      </c>
      <c r="Q42" s="317">
        <f>IF(OR(B42="",C42="",E42=""),"",IF(P42=0,$A$4,IF(AND($A$4&lt;C42,K42=0),G42,WORKDAY.INTL($A$4,ROUNDUP(P42/IF(N(O42)&gt;0,IF(NETWORKDAYS.INTL(D42,$A$4,IF(F42=5,"0000011",IF(F42=6,"0000001","0000000")))&gt;=5,O42,E42),E42),0),IF(F42=5,"0000011",IF(F42=6,"0000001","0000000"))))))</f>
        <v/>
      </c>
      <c r="R42" s="97">
        <f>IF(OR(G42="",Q42=""),"",IF(Q42=G42,0,IF(Q42&gt;G42,NETWORKDAYS.INTL(G42,Q42,IF(F42=5,"0000011",IF(F42=6,"0000001","0000000")))-1,-(NETWORKDAYS.INTL(Q42,G42,IF(F42=5,"0000011",IF(F42=6,"0000001","0000000")))-1))))</f>
        <v/>
      </c>
      <c r="S42">
        <f>IF(B42="","CONFIGURAR",IF(K42&gt;=B42,"CONCLUÍDO",IF(Q42&lt;G42,"ADIANTADO",IF(Q42=G42,"NO PRAZO","ATRASO"))))</f>
        <v/>
      </c>
      <c r="T42" s="162">
        <f>IF(B42="","Informe a quantidade em METAS CLIENTE",IF(M42&gt;0,"Crédito / produção acima do previsto",IF(M42&lt;0,"Produção abaixo do previsto","Aderente ao previsto")))</f>
        <v/>
      </c>
      <c r="U42" s="159">
        <f>IF(OR(P42="",G42="",C42=""),"",IF(P42=0,0,IF($A$4&gt;=G42,P42,P42/MAX(1,NETWORKDAYS.INTL(MAX($A$4+1,C42),G42,IF(F42=5,"0000011",IF(F42=6,"0000001","0000000")))))))</f>
        <v/>
      </c>
      <c r="V42" s="62">
        <f>'METAS CLIENTE'!N40</f>
        <v/>
      </c>
      <c r="W42" s="317">
        <f>IF('METAS CLIENTE'!R40="","",'METAS CLIENTE'!R40)</f>
        <v/>
      </c>
      <c r="X42" s="97">
        <f>IF(OR(Q42="",W42=""),"",IF(Q42=W42,0,IF(Q42&gt;W42,NETWORKDAYS.INTL(W42,Q42,IF(F42=5,"0000011",IF(F42=6,"0000001","0000000")))-1,-(NETWORKDAYS.INTL(Q42,W42,IF(F42=5,"0000011",IF(F42=6,"0000001","0000000")))-1))))</f>
        <v/>
      </c>
      <c r="Y42" s="159">
        <f>IF(N(B42)&gt;0,'METAS CLIENTE'!L40,0)</f>
        <v/>
      </c>
      <c r="Z42" s="319">
        <f>IF(N(B42)&gt;0,N(L42)/B42,0)</f>
        <v/>
      </c>
      <c r="AA42" s="319">
        <f>IF(N(B42)&gt;0,N(K42)/B42,0)</f>
        <v/>
      </c>
    </row>
    <row r="43" ht="21.75" customHeight="1">
      <c r="A43" s="62">
        <f>'METAS CLIENTE'!A41</f>
        <v/>
      </c>
      <c r="B43" s="159">
        <f>IF('METAS CLIENTE'!B41="","",'METAS CLIENTE'!B41)</f>
        <v/>
      </c>
      <c r="C43" s="317">
        <f>IF('METAS CLIENTE'!C41="","",'METAS CLIENTE'!C41)</f>
        <v/>
      </c>
      <c r="D43" s="317">
        <f>IF('METAS CLIENTE'!D41="","",'METAS CLIENTE'!D41)</f>
        <v/>
      </c>
      <c r="E43" s="159">
        <f>IF('METAS CLIENTE'!E41="","",'METAS CLIENTE'!E41)</f>
        <v/>
      </c>
      <c r="F43" s="159">
        <f>IF('METAS CLIENTE'!F41="","",'METAS CLIENTE'!F41)</f>
        <v/>
      </c>
      <c r="G43" s="317">
        <f>IF('METAS CLIENTE'!M41="","",'METAS CLIENTE'!M41)</f>
        <v/>
      </c>
      <c r="H43" s="317">
        <f>Q43</f>
        <v/>
      </c>
      <c r="I43" s="159">
        <f>IF(C43="","",SUMIFS('CONTROLE PRODUÇÃO POR EMPRESAS'!$BL$6:$BL$5000,'CONTROLE PRODUÇÃO POR EMPRESAS'!$A$6:$A$5000,"&lt;"&amp;C43,'CONTROLE PRODUÇÃO POR EMPRESAS'!$A$6:$A$5000,"&lt;="&amp;$A$4))</f>
        <v/>
      </c>
      <c r="J43" s="159">
        <f>IF(C43="","",SUMIFS('CONTROLE PRODUÇÃO POR EMPRESAS'!$BL$6:$BL$5000,'CONTROLE PRODUÇÃO POR EMPRESAS'!$A$6:$A$5000,"&gt;="&amp;C43,'CONTROLE PRODUÇÃO POR EMPRESAS'!$A$6:$A$5000,"&lt;="&amp;$A$4))</f>
        <v/>
      </c>
      <c r="K43" s="159">
        <f>IF(C43="","",I43+J43)</f>
        <v/>
      </c>
      <c r="L43" s="159">
        <f>IF(OR(B43="",C43="",E43=""),"",IF($A$4&lt;C43,0,MIN(B43,E43*NETWORKDAYS.INTL(C43,$A$4,IF(F43=5,"0000011",IF(F43=6,"0000001","0000000"))))))</f>
        <v/>
      </c>
      <c r="M43" s="159">
        <f>IF(L43="","",K43-L43)</f>
        <v/>
      </c>
      <c r="N43" s="319">
        <f>IFERROR(K43/B43,"")</f>
        <v/>
      </c>
      <c r="O43" s="159">
        <f>IF(OR(D43="",$A$4&lt;D43),"",IFERROR((SUMIFS('CONTROLE PRODUÇÃO POR EMPRESAS'!$BL$6:$BL$5000,'CONTROLE PRODUÇÃO POR EMPRESAS'!$A$6:$A$5000,"&gt;="&amp;D43,'CONTROLE PRODUÇÃO POR EMPRESAS'!$A$6:$A$5000,"&lt;="&amp;$A$4))/MAX(1,NETWORKDAYS.INTL(D43,$A$4,IF(F43=5,"0000011",IF(F43=6,"0000001","0000000")))),0))</f>
        <v/>
      </c>
      <c r="P43" s="159">
        <f>IF(B43="","",MAX(B43-K43,0))</f>
        <v/>
      </c>
      <c r="Q43" s="317">
        <f>IF(OR(B43="",C43="",E43=""),"",IF(P43=0,$A$4,IF(AND($A$4&lt;C43,K43=0),G43,WORKDAY.INTL($A$4,ROUNDUP(P43/IF(N(O43)&gt;0,IF(NETWORKDAYS.INTL(D43,$A$4,IF(F43=5,"0000011",IF(F43=6,"0000001","0000000")))&gt;=5,O43,E43),E43),0),IF(F43=5,"0000011",IF(F43=6,"0000001","0000000"))))))</f>
        <v/>
      </c>
      <c r="R43" s="97">
        <f>IF(OR(G43="",Q43=""),"",IF(Q43=G43,0,IF(Q43&gt;G43,NETWORKDAYS.INTL(G43,Q43,IF(F43=5,"0000011",IF(F43=6,"0000001","0000000")))-1,-(NETWORKDAYS.INTL(Q43,G43,IF(F43=5,"0000011",IF(F43=6,"0000001","0000000")))-1))))</f>
        <v/>
      </c>
      <c r="S43">
        <f>IF(B43="","CONFIGURAR",IF(K43&gt;=B43,"CONCLUÍDO",IF(Q43&lt;G43,"ADIANTADO",IF(Q43=G43,"NO PRAZO","ATRASO"))))</f>
        <v/>
      </c>
      <c r="T43" s="162">
        <f>IF(B43="","Informe a quantidade em METAS CLIENTE",IF(M43&gt;0,"Crédito / produção acima do previsto",IF(M43&lt;0,"Produção abaixo do previsto","Aderente ao previsto")))</f>
        <v/>
      </c>
      <c r="U43" s="159">
        <f>IF(OR(P43="",G43="",C43=""),"",IF(P43=0,0,IF($A$4&gt;=G43,P43,P43/MAX(1,NETWORKDAYS.INTL(MAX($A$4+1,C43),G43,IF(F43=5,"0000011",IF(F43=6,"0000001","0000000")))))))</f>
        <v/>
      </c>
      <c r="V43" s="62">
        <f>'METAS CLIENTE'!N41</f>
        <v/>
      </c>
      <c r="W43" s="317">
        <f>IF('METAS CLIENTE'!R41="","",'METAS CLIENTE'!R41)</f>
        <v/>
      </c>
      <c r="X43" s="97">
        <f>IF(OR(Q43="",W43=""),"",IF(Q43=W43,0,IF(Q43&gt;W43,NETWORKDAYS.INTL(W43,Q43,IF(F43=5,"0000011",IF(F43=6,"0000001","0000000")))-1,-(NETWORKDAYS.INTL(Q43,W43,IF(F43=5,"0000011",IF(F43=6,"0000001","0000000")))-1))))</f>
        <v/>
      </c>
      <c r="Y43" s="159">
        <f>IF(N(B43)&gt;0,'METAS CLIENTE'!L41,0)</f>
        <v/>
      </c>
      <c r="Z43" s="319">
        <f>IF(N(B43)&gt;0,N(L43)/B43,0)</f>
        <v/>
      </c>
      <c r="AA43" s="319">
        <f>IF(N(B43)&gt;0,N(K43)/B43,0)</f>
        <v/>
      </c>
    </row>
    <row r="44" ht="21.75" customHeight="1">
      <c r="A44" s="62">
        <f>'METAS CLIENTE'!A42</f>
        <v/>
      </c>
      <c r="B44" s="159">
        <f>IF('METAS CLIENTE'!B42="","",'METAS CLIENTE'!B42)</f>
        <v/>
      </c>
      <c r="C44" s="317">
        <f>IF('METAS CLIENTE'!C42="","",'METAS CLIENTE'!C42)</f>
        <v/>
      </c>
      <c r="D44" s="317">
        <f>IF('METAS CLIENTE'!D42="","",'METAS CLIENTE'!D42)</f>
        <v/>
      </c>
      <c r="E44" s="159">
        <f>IF('METAS CLIENTE'!E42="","",'METAS CLIENTE'!E42)</f>
        <v/>
      </c>
      <c r="F44" s="159">
        <f>IF('METAS CLIENTE'!F42="","",'METAS CLIENTE'!F42)</f>
        <v/>
      </c>
      <c r="G44" s="317">
        <f>IF('METAS CLIENTE'!M42="","",'METAS CLIENTE'!M42)</f>
        <v/>
      </c>
      <c r="H44" s="317">
        <f>Q44</f>
        <v/>
      </c>
      <c r="I44" s="159">
        <f>IF(C44="","",SUMIFS('CONTROLE PRODUÇÃO POR EMPRESAS'!$BM$6:$BM$5000,'CONTROLE PRODUÇÃO POR EMPRESAS'!$A$6:$A$5000,"&lt;"&amp;C44,'CONTROLE PRODUÇÃO POR EMPRESAS'!$A$6:$A$5000,"&lt;="&amp;$A$4))</f>
        <v/>
      </c>
      <c r="J44" s="159">
        <f>IF(C44="","",SUMIFS('CONTROLE PRODUÇÃO POR EMPRESAS'!$BM$6:$BM$5000,'CONTROLE PRODUÇÃO POR EMPRESAS'!$A$6:$A$5000,"&gt;="&amp;C44,'CONTROLE PRODUÇÃO POR EMPRESAS'!$A$6:$A$5000,"&lt;="&amp;$A$4))</f>
        <v/>
      </c>
      <c r="K44" s="159">
        <f>IF(C44="","",I44+J44)</f>
        <v/>
      </c>
      <c r="L44" s="159">
        <f>IF(OR(B44="",C44="",E44=""),"",IF($A$4&lt;C44,0,MIN(B44,E44*NETWORKDAYS.INTL(C44,$A$4,IF(F44=5,"0000011",IF(F44=6,"0000001","0000000"))))))</f>
        <v/>
      </c>
      <c r="M44" s="159">
        <f>IF(L44="","",K44-L44)</f>
        <v/>
      </c>
      <c r="N44" s="319">
        <f>IFERROR(K44/B44,"")</f>
        <v/>
      </c>
      <c r="O44" s="159">
        <f>IF(OR(D44="",$A$4&lt;D44),"",IFERROR((SUMIFS('CONTROLE PRODUÇÃO POR EMPRESAS'!$BM$6:$BM$5000,'CONTROLE PRODUÇÃO POR EMPRESAS'!$A$6:$A$5000,"&gt;="&amp;D44,'CONTROLE PRODUÇÃO POR EMPRESAS'!$A$6:$A$5000,"&lt;="&amp;$A$4))/MAX(1,NETWORKDAYS.INTL(D44,$A$4,IF(F44=5,"0000011",IF(F44=6,"0000001","0000000")))),0))</f>
        <v/>
      </c>
      <c r="P44" s="159">
        <f>IF(B44="","",MAX(B44-K44,0))</f>
        <v/>
      </c>
      <c r="Q44" s="317">
        <f>IF(OR(B44="",C44="",E44=""),"",IF(P44=0,$A$4,IF(AND($A$4&lt;C44,K44=0),G44,WORKDAY.INTL($A$4,ROUNDUP(P44/IF(N(O44)&gt;0,IF(NETWORKDAYS.INTL(D44,$A$4,IF(F44=5,"0000011",IF(F44=6,"0000001","0000000")))&gt;=5,O44,E44),E44),0),IF(F44=5,"0000011",IF(F44=6,"0000001","0000000"))))))</f>
        <v/>
      </c>
      <c r="R44" s="97">
        <f>IF(OR(G44="",Q44=""),"",IF(Q44=G44,0,IF(Q44&gt;G44,NETWORKDAYS.INTL(G44,Q44,IF(F44=5,"0000011",IF(F44=6,"0000001","0000000")))-1,-(NETWORKDAYS.INTL(Q44,G44,IF(F44=5,"0000011",IF(F44=6,"0000001","0000000")))-1))))</f>
        <v/>
      </c>
      <c r="S44">
        <f>IF(B44="","CONFIGURAR",IF(K44&gt;=B44,"CONCLUÍDO",IF(Q44&lt;G44,"ADIANTADO",IF(Q44=G44,"NO PRAZO","ATRASO"))))</f>
        <v/>
      </c>
      <c r="T44" s="162">
        <f>IF(B44="","Informe a quantidade em METAS CLIENTE",IF(M44&gt;0,"Crédito / produção acima do previsto",IF(M44&lt;0,"Produção abaixo do previsto","Aderente ao previsto")))</f>
        <v/>
      </c>
      <c r="U44" s="159">
        <f>IF(OR(P44="",G44="",C44=""),"",IF(P44=0,0,IF($A$4&gt;=G44,P44,P44/MAX(1,NETWORKDAYS.INTL(MAX($A$4+1,C44),G44,IF(F44=5,"0000011",IF(F44=6,"0000001","0000000")))))))</f>
        <v/>
      </c>
      <c r="V44" s="62">
        <f>'METAS CLIENTE'!N42</f>
        <v/>
      </c>
      <c r="W44" s="317">
        <f>IF('METAS CLIENTE'!R42="","",'METAS CLIENTE'!R42)</f>
        <v/>
      </c>
      <c r="X44" s="97">
        <f>IF(OR(Q44="",W44=""),"",IF(Q44=W44,0,IF(Q44&gt;W44,NETWORKDAYS.INTL(W44,Q44,IF(F44=5,"0000011",IF(F44=6,"0000001","0000000")))-1,-(NETWORKDAYS.INTL(Q44,W44,IF(F44=5,"0000011",IF(F44=6,"0000001","0000000")))-1))))</f>
        <v/>
      </c>
      <c r="Y44" s="159">
        <f>IF(N(B44)&gt;0,'METAS CLIENTE'!L42,0)</f>
        <v/>
      </c>
      <c r="Z44" s="319">
        <f>IF(N(B44)&gt;0,N(L44)/B44,0)</f>
        <v/>
      </c>
      <c r="AA44" s="319">
        <f>IF(N(B44)&gt;0,N(K44)/B44,0)</f>
        <v/>
      </c>
    </row>
    <row r="45" ht="21.75" customHeight="1">
      <c r="A45" s="62">
        <f>'METAS CLIENTE'!A43</f>
        <v/>
      </c>
      <c r="B45" s="159">
        <f>IF('METAS CLIENTE'!B43="","",'METAS CLIENTE'!B43)</f>
        <v/>
      </c>
      <c r="C45" s="317">
        <f>IF('METAS CLIENTE'!C43="","",'METAS CLIENTE'!C43)</f>
        <v/>
      </c>
      <c r="D45" s="317">
        <f>IF('METAS CLIENTE'!D43="","",'METAS CLIENTE'!D43)</f>
        <v/>
      </c>
      <c r="E45" s="159">
        <f>IF('METAS CLIENTE'!E43="","",'METAS CLIENTE'!E43)</f>
        <v/>
      </c>
      <c r="F45" s="159">
        <f>IF('METAS CLIENTE'!F43="","",'METAS CLIENTE'!F43)</f>
        <v/>
      </c>
      <c r="G45" s="317">
        <f>IF('METAS CLIENTE'!M43="","",'METAS CLIENTE'!M43)</f>
        <v/>
      </c>
      <c r="H45" s="317">
        <f>Q45</f>
        <v/>
      </c>
      <c r="I45" s="159">
        <f>IF(C45="","",SUMIFS('CONTROLE PRODUÇÃO POR EMPRESAS'!$BN$6:$BN$5000,'CONTROLE PRODUÇÃO POR EMPRESAS'!$A$6:$A$5000,"&lt;"&amp;C45,'CONTROLE PRODUÇÃO POR EMPRESAS'!$A$6:$A$5000,"&lt;="&amp;$A$4))</f>
        <v/>
      </c>
      <c r="J45" s="159">
        <f>IF(C45="","",SUMIFS('CONTROLE PRODUÇÃO POR EMPRESAS'!$BN$6:$BN$5000,'CONTROLE PRODUÇÃO POR EMPRESAS'!$A$6:$A$5000,"&gt;="&amp;C45,'CONTROLE PRODUÇÃO POR EMPRESAS'!$A$6:$A$5000,"&lt;="&amp;$A$4))</f>
        <v/>
      </c>
      <c r="K45" s="159">
        <f>IF(C45="","",I45+J45)</f>
        <v/>
      </c>
      <c r="L45" s="159">
        <f>IF(OR(B45="",C45="",E45=""),"",IF($A$4&lt;C45,0,MIN(B45,E45*NETWORKDAYS.INTL(C45,$A$4,IF(F45=5,"0000011",IF(F45=6,"0000001","0000000"))))))</f>
        <v/>
      </c>
      <c r="M45" s="159">
        <f>IF(L45="","",K45-L45)</f>
        <v/>
      </c>
      <c r="N45" s="319">
        <f>IFERROR(K45/B45,"")</f>
        <v/>
      </c>
      <c r="O45" s="159">
        <f>IF(OR(D45="",$A$4&lt;D45),"",IFERROR((SUMIFS('CONTROLE PRODUÇÃO POR EMPRESAS'!$BN$6:$BN$5000,'CONTROLE PRODUÇÃO POR EMPRESAS'!$A$6:$A$5000,"&gt;="&amp;D45,'CONTROLE PRODUÇÃO POR EMPRESAS'!$A$6:$A$5000,"&lt;="&amp;$A$4))/MAX(1,NETWORKDAYS.INTL(D45,$A$4,IF(F45=5,"0000011",IF(F45=6,"0000001","0000000")))),0))</f>
        <v/>
      </c>
      <c r="P45" s="159">
        <f>IF(B45="","",MAX(B45-K45,0))</f>
        <v/>
      </c>
      <c r="Q45" s="317">
        <f>IF(OR(B45="",C45="",E45=""),"",IF(P45=0,$A$4,IF(AND($A$4&lt;C45,K45=0),G45,WORKDAY.INTL($A$4,ROUNDUP(P45/IF(N(O45)&gt;0,IF(NETWORKDAYS.INTL(D45,$A$4,IF(F45=5,"0000011",IF(F45=6,"0000001","0000000")))&gt;=5,O45,E45),E45),0),IF(F45=5,"0000011",IF(F45=6,"0000001","0000000"))))))</f>
        <v/>
      </c>
      <c r="R45" s="97">
        <f>IF(OR(G45="",Q45=""),"",IF(Q45=G45,0,IF(Q45&gt;G45,NETWORKDAYS.INTL(G45,Q45,IF(F45=5,"0000011",IF(F45=6,"0000001","0000000")))-1,-(NETWORKDAYS.INTL(Q45,G45,IF(F45=5,"0000011",IF(F45=6,"0000001","0000000")))-1))))</f>
        <v/>
      </c>
      <c r="S45">
        <f>IF(B45="","CONFIGURAR",IF(K45&gt;=B45,"CONCLUÍDO",IF(Q45&lt;G45,"ADIANTADO",IF(Q45=G45,"NO PRAZO","ATRASO"))))</f>
        <v/>
      </c>
      <c r="T45" s="162">
        <f>IF(B45="","Informe a quantidade em METAS CLIENTE",IF(M45&gt;0,"Crédito / produção acima do previsto",IF(M45&lt;0,"Produção abaixo do previsto","Aderente ao previsto")))</f>
        <v/>
      </c>
      <c r="U45" s="159">
        <f>IF(OR(P45="",G45="",C45=""),"",IF(P45=0,0,IF($A$4&gt;=G45,P45,P45/MAX(1,NETWORKDAYS.INTL(MAX($A$4+1,C45),G45,IF(F45=5,"0000011",IF(F45=6,"0000001","0000000")))))))</f>
        <v/>
      </c>
      <c r="V45" s="62">
        <f>'METAS CLIENTE'!N43</f>
        <v/>
      </c>
      <c r="W45" s="317">
        <f>IF('METAS CLIENTE'!R43="","",'METAS CLIENTE'!R43)</f>
        <v/>
      </c>
      <c r="X45" s="97">
        <f>IF(OR(Q45="",W45=""),"",IF(Q45=W45,0,IF(Q45&gt;W45,NETWORKDAYS.INTL(W45,Q45,IF(F45=5,"0000011",IF(F45=6,"0000001","0000000")))-1,-(NETWORKDAYS.INTL(Q45,W45,IF(F45=5,"0000011",IF(F45=6,"0000001","0000000")))-1))))</f>
        <v/>
      </c>
      <c r="Y45" s="159">
        <f>IF(N(B45)&gt;0,'METAS CLIENTE'!L43,0)</f>
        <v/>
      </c>
      <c r="Z45" s="319">
        <f>IF(N(B45)&gt;0,N(L45)/B45,0)</f>
        <v/>
      </c>
      <c r="AA45" s="319">
        <f>IF(N(B45)&gt;0,N(K45)/B45,0)</f>
        <v/>
      </c>
    </row>
    <row r="46" ht="21.75" customHeight="1">
      <c r="A46" s="62">
        <f>'METAS CLIENTE'!A44</f>
        <v/>
      </c>
      <c r="B46" s="159">
        <f>IF('METAS CLIENTE'!B44="","",'METAS CLIENTE'!B44)</f>
        <v/>
      </c>
      <c r="C46" s="317">
        <f>IF('METAS CLIENTE'!C44="","",'METAS CLIENTE'!C44)</f>
        <v/>
      </c>
      <c r="D46" s="317">
        <f>IF('METAS CLIENTE'!D44="","",'METAS CLIENTE'!D44)</f>
        <v/>
      </c>
      <c r="E46" s="159">
        <f>IF('METAS CLIENTE'!E44="","",'METAS CLIENTE'!E44)</f>
        <v/>
      </c>
      <c r="F46" s="159">
        <f>IF('METAS CLIENTE'!F44="","",'METAS CLIENTE'!F44)</f>
        <v/>
      </c>
      <c r="G46" s="317">
        <f>IF('METAS CLIENTE'!M44="","",'METAS CLIENTE'!M44)</f>
        <v/>
      </c>
      <c r="H46" s="317">
        <f>Q46</f>
        <v/>
      </c>
      <c r="I46" s="159">
        <f>IF(C46="","",SUMIFS('CONTROLE PRODUÇÃO POR EMPRESAS'!$BO$6:$BO$5000,'CONTROLE PRODUÇÃO POR EMPRESAS'!$A$6:$A$5000,"&lt;"&amp;C46,'CONTROLE PRODUÇÃO POR EMPRESAS'!$A$6:$A$5000,"&lt;="&amp;$A$4))</f>
        <v/>
      </c>
      <c r="J46" s="159">
        <f>IF(C46="","",SUMIFS('CONTROLE PRODUÇÃO POR EMPRESAS'!$BO$6:$BO$5000,'CONTROLE PRODUÇÃO POR EMPRESAS'!$A$6:$A$5000,"&gt;="&amp;C46,'CONTROLE PRODUÇÃO POR EMPRESAS'!$A$6:$A$5000,"&lt;="&amp;$A$4))</f>
        <v/>
      </c>
      <c r="K46" s="159">
        <f>IF(C46="","",I46+J46)</f>
        <v/>
      </c>
      <c r="L46" s="159">
        <f>IF(OR(B46="",C46="",E46=""),"",IF($A$4&lt;C46,0,MIN(B46,E46*NETWORKDAYS.INTL(C46,$A$4,IF(F46=5,"0000011",IF(F46=6,"0000001","0000000"))))))</f>
        <v/>
      </c>
      <c r="M46" s="159">
        <f>IF(L46="","",K46-L46)</f>
        <v/>
      </c>
      <c r="N46" s="319">
        <f>IFERROR(K46/B46,"")</f>
        <v/>
      </c>
      <c r="O46" s="159">
        <f>IF(OR(D46="",$A$4&lt;D46),"",IFERROR((SUMIFS('CONTROLE PRODUÇÃO POR EMPRESAS'!$BO$6:$BO$5000,'CONTROLE PRODUÇÃO POR EMPRESAS'!$A$6:$A$5000,"&gt;="&amp;D46,'CONTROLE PRODUÇÃO POR EMPRESAS'!$A$6:$A$5000,"&lt;="&amp;$A$4))/MAX(1,NETWORKDAYS.INTL(D46,$A$4,IF(F46=5,"0000011",IF(F46=6,"0000001","0000000")))),0))</f>
        <v/>
      </c>
      <c r="P46" s="159">
        <f>IF(B46="","",MAX(B46-K46,0))</f>
        <v/>
      </c>
      <c r="Q46" s="317">
        <f>IF(OR(B46="",C46="",E46=""),"",IF(P46=0,$A$4,IF(AND($A$4&lt;C46,K46=0),G46,WORKDAY.INTL($A$4,ROUNDUP(P46/IF(N(O46)&gt;0,IF(NETWORKDAYS.INTL(D46,$A$4,IF(F46=5,"0000011",IF(F46=6,"0000001","0000000")))&gt;=5,O46,E46),E46),0),IF(F46=5,"0000011",IF(F46=6,"0000001","0000000"))))))</f>
        <v/>
      </c>
      <c r="R46" s="97">
        <f>IF(OR(G46="",Q46=""),"",IF(Q46=G46,0,IF(Q46&gt;G46,NETWORKDAYS.INTL(G46,Q46,IF(F46=5,"0000011",IF(F46=6,"0000001","0000000")))-1,-(NETWORKDAYS.INTL(Q46,G46,IF(F46=5,"0000011",IF(F46=6,"0000001","0000000")))-1))))</f>
        <v/>
      </c>
      <c r="S46">
        <f>IF(B46="","CONFIGURAR",IF(K46&gt;=B46,"CONCLUÍDO",IF(Q46&lt;G46,"ADIANTADO",IF(Q46=G46,"NO PRAZO","ATRASO"))))</f>
        <v/>
      </c>
      <c r="T46" s="162">
        <f>IF(B46="","Informe a quantidade em METAS CLIENTE",IF(M46&gt;0,"Crédito / produção acima do previsto",IF(M46&lt;0,"Produção abaixo do previsto","Aderente ao previsto")))</f>
        <v/>
      </c>
      <c r="U46" s="159">
        <f>IF(OR(P46="",G46="",C46=""),"",IF(P46=0,0,IF($A$4&gt;=G46,P46,P46/MAX(1,NETWORKDAYS.INTL(MAX($A$4+1,C46),G46,IF(F46=5,"0000011",IF(F46=6,"0000001","0000000")))))))</f>
        <v/>
      </c>
      <c r="V46" s="62">
        <f>'METAS CLIENTE'!N44</f>
        <v/>
      </c>
      <c r="W46" s="317">
        <f>IF('METAS CLIENTE'!R44="","",'METAS CLIENTE'!R44)</f>
        <v/>
      </c>
      <c r="X46" s="97">
        <f>IF(OR(Q46="",W46=""),"",IF(Q46=W46,0,IF(Q46&gt;W46,NETWORKDAYS.INTL(W46,Q46,IF(F46=5,"0000011",IF(F46=6,"0000001","0000000")))-1,-(NETWORKDAYS.INTL(Q46,W46,IF(F46=5,"0000011",IF(F46=6,"0000001","0000000")))-1))))</f>
        <v/>
      </c>
      <c r="Y46" s="159">
        <f>IF(N(B46)&gt;0,'METAS CLIENTE'!L44,0)</f>
        <v/>
      </c>
      <c r="Z46" s="319">
        <f>IF(N(B46)&gt;0,N(L46)/B46,0)</f>
        <v/>
      </c>
      <c r="AA46" s="319">
        <f>IF(N(B46)&gt;0,N(K46)/B46,0)</f>
        <v/>
      </c>
    </row>
    <row r="47" ht="21.75" customHeight="1">
      <c r="A47" s="62">
        <f>'METAS CLIENTE'!A45</f>
        <v/>
      </c>
      <c r="B47" s="159">
        <f>IF('METAS CLIENTE'!B45="","",'METAS CLIENTE'!B45)</f>
        <v/>
      </c>
      <c r="C47" s="317">
        <f>IF('METAS CLIENTE'!C45="","",'METAS CLIENTE'!C45)</f>
        <v/>
      </c>
      <c r="D47" s="317">
        <f>IF('METAS CLIENTE'!D45="","",'METAS CLIENTE'!D45)</f>
        <v/>
      </c>
      <c r="E47" s="159">
        <f>IF('METAS CLIENTE'!E45="","",'METAS CLIENTE'!E45)</f>
        <v/>
      </c>
      <c r="F47" s="159">
        <f>IF('METAS CLIENTE'!F45="","",'METAS CLIENTE'!F45)</f>
        <v/>
      </c>
      <c r="G47" s="317">
        <f>IF('METAS CLIENTE'!M45="","",'METAS CLIENTE'!M45)</f>
        <v/>
      </c>
      <c r="H47" s="317">
        <f>Q47</f>
        <v/>
      </c>
      <c r="I47" s="159">
        <f>IF(C47="","",SUMIFS('CONTROLE PRODUÇÃO POR EMPRESAS'!$BP$6:$BP$5000,'CONTROLE PRODUÇÃO POR EMPRESAS'!$A$6:$A$5000,"&lt;"&amp;C47,'CONTROLE PRODUÇÃO POR EMPRESAS'!$A$6:$A$5000,"&lt;="&amp;$A$4))</f>
        <v/>
      </c>
      <c r="J47" s="159">
        <f>IF(C47="","",SUMIFS('CONTROLE PRODUÇÃO POR EMPRESAS'!$BP$6:$BP$5000,'CONTROLE PRODUÇÃO POR EMPRESAS'!$A$6:$A$5000,"&gt;="&amp;C47,'CONTROLE PRODUÇÃO POR EMPRESAS'!$A$6:$A$5000,"&lt;="&amp;$A$4))</f>
        <v/>
      </c>
      <c r="K47" s="159">
        <f>IF(C47="","",I47+J47)</f>
        <v/>
      </c>
      <c r="L47" s="159">
        <f>IF(OR(B47="",C47="",E47=""),"",IF($A$4&lt;C47,0,MIN(B47,E47*NETWORKDAYS.INTL(C47,$A$4,IF(F47=5,"0000011",IF(F47=6,"0000001","0000000"))))))</f>
        <v/>
      </c>
      <c r="M47" s="159">
        <f>IF(L47="","",K47-L47)</f>
        <v/>
      </c>
      <c r="N47" s="319">
        <f>IFERROR(K47/B47,"")</f>
        <v/>
      </c>
      <c r="O47" s="159">
        <f>IF(OR(D47="",$A$4&lt;D47),"",IFERROR((SUMIFS('CONTROLE PRODUÇÃO POR EMPRESAS'!$BP$6:$BP$5000,'CONTROLE PRODUÇÃO POR EMPRESAS'!$A$6:$A$5000,"&gt;="&amp;D47,'CONTROLE PRODUÇÃO POR EMPRESAS'!$A$6:$A$5000,"&lt;="&amp;$A$4))/MAX(1,NETWORKDAYS.INTL(D47,$A$4,IF(F47=5,"0000011",IF(F47=6,"0000001","0000000")))),0))</f>
        <v/>
      </c>
      <c r="P47" s="159">
        <f>IF(B47="","",MAX(B47-K47,0))</f>
        <v/>
      </c>
      <c r="Q47" s="317">
        <f>IF(OR(B47="",C47="",E47=""),"",IF(P47=0,$A$4,IF(AND($A$4&lt;C47,K47=0),G47,WORKDAY.INTL($A$4,ROUNDUP(P47/IF(N(O47)&gt;0,IF(NETWORKDAYS.INTL(D47,$A$4,IF(F47=5,"0000011",IF(F47=6,"0000001","0000000")))&gt;=5,O47,E47),E47),0),IF(F47=5,"0000011",IF(F47=6,"0000001","0000000"))))))</f>
        <v/>
      </c>
      <c r="R47" s="97">
        <f>IF(OR(G47="",Q47=""),"",IF(Q47=G47,0,IF(Q47&gt;G47,NETWORKDAYS.INTL(G47,Q47,IF(F47=5,"0000011",IF(F47=6,"0000001","0000000")))-1,-(NETWORKDAYS.INTL(Q47,G47,IF(F47=5,"0000011",IF(F47=6,"0000001","0000000")))-1))))</f>
        <v/>
      </c>
      <c r="S47">
        <f>IF(B47="","CONFIGURAR",IF(K47&gt;=B47,"CONCLUÍDO",IF(Q47&lt;G47,"ADIANTADO",IF(Q47=G47,"NO PRAZO","ATRASO"))))</f>
        <v/>
      </c>
      <c r="T47" s="162">
        <f>IF(B47="","Informe a quantidade em METAS CLIENTE",IF(M47&gt;0,"Crédito / produção acima do previsto",IF(M47&lt;0,"Produção abaixo do previsto","Aderente ao previsto")))</f>
        <v/>
      </c>
      <c r="U47" s="159">
        <f>IF(OR(P47="",G47="",C47=""),"",IF(P47=0,0,IF($A$4&gt;=G47,P47,P47/MAX(1,NETWORKDAYS.INTL(MAX($A$4+1,C47),G47,IF(F47=5,"0000011",IF(F47=6,"0000001","0000000")))))))</f>
        <v/>
      </c>
      <c r="V47" s="62">
        <f>'METAS CLIENTE'!N45</f>
        <v/>
      </c>
      <c r="W47" s="317">
        <f>IF('METAS CLIENTE'!R45="","",'METAS CLIENTE'!R45)</f>
        <v/>
      </c>
      <c r="X47" s="97">
        <f>IF(OR(Q47="",W47=""),"",IF(Q47=W47,0,IF(Q47&gt;W47,NETWORKDAYS.INTL(W47,Q47,IF(F47=5,"0000011",IF(F47=6,"0000001","0000000")))-1,-(NETWORKDAYS.INTL(Q47,W47,IF(F47=5,"0000011",IF(F47=6,"0000001","0000000")))-1))))</f>
        <v/>
      </c>
      <c r="Y47" s="159">
        <f>IF(N(B47)&gt;0,'METAS CLIENTE'!L45,0)</f>
        <v/>
      </c>
      <c r="Z47" s="319">
        <f>IF(N(B47)&gt;0,N(L47)/B47,0)</f>
        <v/>
      </c>
      <c r="AA47" s="319">
        <f>IF(N(B47)&gt;0,N(K47)/B47,0)</f>
        <v/>
      </c>
    </row>
    <row r="48" ht="21.75" customHeight="1">
      <c r="A48" s="62">
        <f>'METAS CLIENTE'!A46</f>
        <v/>
      </c>
      <c r="B48" s="159">
        <f>IF('METAS CLIENTE'!B46="","",'METAS CLIENTE'!B46)</f>
        <v/>
      </c>
      <c r="C48" s="317">
        <f>IF('METAS CLIENTE'!C46="","",'METAS CLIENTE'!C46)</f>
        <v/>
      </c>
      <c r="D48" s="317">
        <f>IF('METAS CLIENTE'!D46="","",'METAS CLIENTE'!D46)</f>
        <v/>
      </c>
      <c r="E48" s="159">
        <f>IF('METAS CLIENTE'!E46="","",'METAS CLIENTE'!E46)</f>
        <v/>
      </c>
      <c r="F48" s="159">
        <f>IF('METAS CLIENTE'!F46="","",'METAS CLIENTE'!F46)</f>
        <v/>
      </c>
      <c r="G48" s="317">
        <f>IF('METAS CLIENTE'!M46="","",'METAS CLIENTE'!M46)</f>
        <v/>
      </c>
      <c r="H48" s="317">
        <f>Q48</f>
        <v/>
      </c>
      <c r="I48" s="159">
        <f>IF(C48="","",SUMIFS('CONTROLE PRODUÇÃO POR EMPRESAS'!$BQ$6:$BQ$5000,'CONTROLE PRODUÇÃO POR EMPRESAS'!$A$6:$A$5000,"&lt;"&amp;C48,'CONTROLE PRODUÇÃO POR EMPRESAS'!$A$6:$A$5000,"&lt;="&amp;$A$4))</f>
        <v/>
      </c>
      <c r="J48" s="159">
        <f>IF(C48="","",SUMIFS('CONTROLE PRODUÇÃO POR EMPRESAS'!$BQ$6:$BQ$5000,'CONTROLE PRODUÇÃO POR EMPRESAS'!$A$6:$A$5000,"&gt;="&amp;C48,'CONTROLE PRODUÇÃO POR EMPRESAS'!$A$6:$A$5000,"&lt;="&amp;$A$4))</f>
        <v/>
      </c>
      <c r="K48" s="159">
        <f>IF(C48="","",I48+J48)</f>
        <v/>
      </c>
      <c r="L48" s="159">
        <f>IF(OR(B48="",C48="",E48=""),"",IF($A$4&lt;C48,0,MIN(B48,E48*NETWORKDAYS.INTL(C48,$A$4,IF(F48=5,"0000011",IF(F48=6,"0000001","0000000"))))))</f>
        <v/>
      </c>
      <c r="M48" s="159">
        <f>IF(L48="","",K48-L48)</f>
        <v/>
      </c>
      <c r="N48" s="319">
        <f>IFERROR(K48/B48,"")</f>
        <v/>
      </c>
      <c r="O48" s="159">
        <f>IF(OR(D48="",$A$4&lt;D48),"",IFERROR((SUMIFS('CONTROLE PRODUÇÃO POR EMPRESAS'!$BQ$6:$BQ$5000,'CONTROLE PRODUÇÃO POR EMPRESAS'!$A$6:$A$5000,"&gt;="&amp;D48,'CONTROLE PRODUÇÃO POR EMPRESAS'!$A$6:$A$5000,"&lt;="&amp;$A$4))/MAX(1,NETWORKDAYS.INTL(D48,$A$4,IF(F48=5,"0000011",IF(F48=6,"0000001","0000000")))),0))</f>
        <v/>
      </c>
      <c r="P48" s="159">
        <f>IF(B48="","",MAX(B48-K48,0))</f>
        <v/>
      </c>
      <c r="Q48" s="317">
        <f>IF(OR(B48="",C48="",E48=""),"",IF(P48=0,$A$4,IF(AND($A$4&lt;C48,K48=0),G48,WORKDAY.INTL($A$4,ROUNDUP(P48/IF(N(O48)&gt;0,IF(NETWORKDAYS.INTL(D48,$A$4,IF(F48=5,"0000011",IF(F48=6,"0000001","0000000")))&gt;=5,O48,E48),E48),0),IF(F48=5,"0000011",IF(F48=6,"0000001","0000000"))))))</f>
        <v/>
      </c>
      <c r="R48" s="97">
        <f>IF(OR(G48="",Q48=""),"",IF(Q48=G48,0,IF(Q48&gt;G48,NETWORKDAYS.INTL(G48,Q48,IF(F48=5,"0000011",IF(F48=6,"0000001","0000000")))-1,-(NETWORKDAYS.INTL(Q48,G48,IF(F48=5,"0000011",IF(F48=6,"0000001","0000000")))-1))))</f>
        <v/>
      </c>
      <c r="S48">
        <f>IF(B48="","CONFIGURAR",IF(K48&gt;=B48,"CONCLUÍDO",IF(Q48&lt;G48,"ADIANTADO",IF(Q48=G48,"NO PRAZO","ATRASO"))))</f>
        <v/>
      </c>
      <c r="T48" s="162">
        <f>IF(B48="","Informe a quantidade em METAS CLIENTE",IF(M48&gt;0,"Crédito / produção acima do previsto",IF(M48&lt;0,"Produção abaixo do previsto","Aderente ao previsto")))</f>
        <v/>
      </c>
      <c r="U48" s="159">
        <f>IF(OR(P48="",G48="",C48=""),"",IF(P48=0,0,IF($A$4&gt;=G48,P48,P48/MAX(1,NETWORKDAYS.INTL(MAX($A$4+1,C48),G48,IF(F48=5,"0000011",IF(F48=6,"0000001","0000000")))))))</f>
        <v/>
      </c>
      <c r="V48" s="62">
        <f>'METAS CLIENTE'!N46</f>
        <v/>
      </c>
      <c r="W48" s="317">
        <f>IF('METAS CLIENTE'!R46="","",'METAS CLIENTE'!R46)</f>
        <v/>
      </c>
      <c r="X48" s="97">
        <f>IF(OR(Q48="",W48=""),"",IF(Q48=W48,0,IF(Q48&gt;W48,NETWORKDAYS.INTL(W48,Q48,IF(F48=5,"0000011",IF(F48=6,"0000001","0000000")))-1,-(NETWORKDAYS.INTL(Q48,W48,IF(F48=5,"0000011",IF(F48=6,"0000001","0000000")))-1))))</f>
        <v/>
      </c>
      <c r="Y48" s="159">
        <f>IF(N(B48)&gt;0,'METAS CLIENTE'!L46,0)</f>
        <v/>
      </c>
      <c r="Z48" s="319">
        <f>IF(N(B48)&gt;0,N(L48)/B48,0)</f>
        <v/>
      </c>
      <c r="AA48" s="319">
        <f>IF(N(B48)&gt;0,N(K48)/B48,0)</f>
        <v/>
      </c>
    </row>
    <row r="49" ht="21.75" customHeight="1">
      <c r="A49" s="62">
        <f>'METAS CLIENTE'!A47</f>
        <v/>
      </c>
      <c r="B49" s="159">
        <f>IF('METAS CLIENTE'!B47="","",'METAS CLIENTE'!B47)</f>
        <v/>
      </c>
      <c r="C49" s="317">
        <f>IF('METAS CLIENTE'!C47="","",'METAS CLIENTE'!C47)</f>
        <v/>
      </c>
      <c r="D49" s="317">
        <f>IF('METAS CLIENTE'!D47="","",'METAS CLIENTE'!D47)</f>
        <v/>
      </c>
      <c r="E49" s="159">
        <f>IF('METAS CLIENTE'!E47="","",'METAS CLIENTE'!E47)</f>
        <v/>
      </c>
      <c r="F49" s="159">
        <f>IF('METAS CLIENTE'!F47="","",'METAS CLIENTE'!F47)</f>
        <v/>
      </c>
      <c r="G49" s="317">
        <f>IF('METAS CLIENTE'!M47="","",'METAS CLIENTE'!M47)</f>
        <v/>
      </c>
      <c r="H49" s="317">
        <f>Q49</f>
        <v/>
      </c>
      <c r="I49" s="159">
        <f>IF(C49="","",SUMIFS('CONTROLE PRODUÇÃO POR EMPRESAS'!$BR$6:$BR$5000,'CONTROLE PRODUÇÃO POR EMPRESAS'!$A$6:$A$5000,"&lt;"&amp;C49,'CONTROLE PRODUÇÃO POR EMPRESAS'!$A$6:$A$5000,"&lt;="&amp;$A$4))</f>
        <v/>
      </c>
      <c r="J49" s="159">
        <f>IF(C49="","",SUMIFS('CONTROLE PRODUÇÃO POR EMPRESAS'!$BR$6:$BR$5000,'CONTROLE PRODUÇÃO POR EMPRESAS'!$A$6:$A$5000,"&gt;="&amp;C49,'CONTROLE PRODUÇÃO POR EMPRESAS'!$A$6:$A$5000,"&lt;="&amp;$A$4))</f>
        <v/>
      </c>
      <c r="K49" s="159">
        <f>IF(C49="","",I49+J49)</f>
        <v/>
      </c>
      <c r="L49" s="159">
        <f>IF(OR(B49="",C49="",E49=""),"",IF($A$4&lt;C49,0,MIN(B49,E49*NETWORKDAYS.INTL(C49,$A$4,IF(F49=5,"0000011",IF(F49=6,"0000001","0000000"))))))</f>
        <v/>
      </c>
      <c r="M49" s="159">
        <f>IF(L49="","",K49-L49)</f>
        <v/>
      </c>
      <c r="N49" s="319">
        <f>IFERROR(K49/B49,"")</f>
        <v/>
      </c>
      <c r="O49" s="159">
        <f>IF(OR(D49="",$A$4&lt;D49),"",IFERROR((SUMIFS('CONTROLE PRODUÇÃO POR EMPRESAS'!$BR$6:$BR$5000,'CONTROLE PRODUÇÃO POR EMPRESAS'!$A$6:$A$5000,"&gt;="&amp;D49,'CONTROLE PRODUÇÃO POR EMPRESAS'!$A$6:$A$5000,"&lt;="&amp;$A$4))/MAX(1,NETWORKDAYS.INTL(D49,$A$4,IF(F49=5,"0000011",IF(F49=6,"0000001","0000000")))),0))</f>
        <v/>
      </c>
      <c r="P49" s="159">
        <f>IF(B49="","",MAX(B49-K49,0))</f>
        <v/>
      </c>
      <c r="Q49" s="317">
        <f>IF(OR(B49="",C49="",E49=""),"",IF(P49=0,$A$4,IF(AND($A$4&lt;C49,K49=0),G49,WORKDAY.INTL($A$4,ROUNDUP(P49/IF(N(O49)&gt;0,IF(NETWORKDAYS.INTL(D49,$A$4,IF(F49=5,"0000011",IF(F49=6,"0000001","0000000")))&gt;=5,O49,E49),E49),0),IF(F49=5,"0000011",IF(F49=6,"0000001","0000000"))))))</f>
        <v/>
      </c>
      <c r="R49" s="97">
        <f>IF(OR(G49="",Q49=""),"",IF(Q49=G49,0,IF(Q49&gt;G49,NETWORKDAYS.INTL(G49,Q49,IF(F49=5,"0000011",IF(F49=6,"0000001","0000000")))-1,-(NETWORKDAYS.INTL(Q49,G49,IF(F49=5,"0000011",IF(F49=6,"0000001","0000000")))-1))))</f>
        <v/>
      </c>
      <c r="S49">
        <f>IF(B49="","CONFIGURAR",IF(K49&gt;=B49,"CONCLUÍDO",IF(Q49&lt;G49,"ADIANTADO",IF(Q49=G49,"NO PRAZO","ATRASO"))))</f>
        <v/>
      </c>
      <c r="T49" s="162">
        <f>IF(B49="","Informe a quantidade em METAS CLIENTE",IF(M49&gt;0,"Crédito / produção acima do previsto",IF(M49&lt;0,"Produção abaixo do previsto","Aderente ao previsto")))</f>
        <v/>
      </c>
      <c r="U49" s="159">
        <f>IF(OR(P49="",G49="",C49=""),"",IF(P49=0,0,IF($A$4&gt;=G49,P49,P49/MAX(1,NETWORKDAYS.INTL(MAX($A$4+1,C49),G49,IF(F49=5,"0000011",IF(F49=6,"0000001","0000000")))))))</f>
        <v/>
      </c>
      <c r="V49" s="62">
        <f>'METAS CLIENTE'!N47</f>
        <v/>
      </c>
      <c r="W49" s="317">
        <f>IF('METAS CLIENTE'!R47="","",'METAS CLIENTE'!R47)</f>
        <v/>
      </c>
      <c r="X49" s="97">
        <f>IF(OR(Q49="",W49=""),"",IF(Q49=W49,0,IF(Q49&gt;W49,NETWORKDAYS.INTL(W49,Q49,IF(F49=5,"0000011",IF(F49=6,"0000001","0000000")))-1,-(NETWORKDAYS.INTL(Q49,W49,IF(F49=5,"0000011",IF(F49=6,"0000001","0000000")))-1))))</f>
        <v/>
      </c>
      <c r="Y49" s="159">
        <f>IF(N(B49)&gt;0,'METAS CLIENTE'!L47,0)</f>
        <v/>
      </c>
      <c r="Z49" s="319">
        <f>IF(N(B49)&gt;0,N(L49)/B49,0)</f>
        <v/>
      </c>
      <c r="AA49" s="319">
        <f>IF(N(B49)&gt;0,N(K49)/B49,0)</f>
        <v/>
      </c>
    </row>
    <row r="50" ht="21.75" customHeight="1">
      <c r="A50" s="62">
        <f>'METAS CLIENTE'!A48</f>
        <v/>
      </c>
      <c r="B50" s="159">
        <f>IF('METAS CLIENTE'!B48="","",'METAS CLIENTE'!B48)</f>
        <v/>
      </c>
      <c r="C50" s="317">
        <f>IF('METAS CLIENTE'!C48="","",'METAS CLIENTE'!C48)</f>
        <v/>
      </c>
      <c r="D50" s="317">
        <f>IF('METAS CLIENTE'!D48="","",'METAS CLIENTE'!D48)</f>
        <v/>
      </c>
      <c r="E50" s="159">
        <f>IF('METAS CLIENTE'!E48="","",'METAS CLIENTE'!E48)</f>
        <v/>
      </c>
      <c r="F50" s="159">
        <f>IF('METAS CLIENTE'!F48="","",'METAS CLIENTE'!F48)</f>
        <v/>
      </c>
      <c r="G50" s="317">
        <f>IF('METAS CLIENTE'!M48="","",'METAS CLIENTE'!M48)</f>
        <v/>
      </c>
      <c r="H50" s="317">
        <f>Q50</f>
        <v/>
      </c>
      <c r="I50" s="159">
        <f>IF(C50="","",SUMIFS('CONTROLE PRODUÇÃO POR EMPRESAS'!$BS$6:$BS$5000,'CONTROLE PRODUÇÃO POR EMPRESAS'!$A$6:$A$5000,"&lt;"&amp;C50,'CONTROLE PRODUÇÃO POR EMPRESAS'!$A$6:$A$5000,"&lt;="&amp;$A$4))</f>
        <v/>
      </c>
      <c r="J50" s="159">
        <f>IF(C50="","",SUMIFS('CONTROLE PRODUÇÃO POR EMPRESAS'!$BS$6:$BS$5000,'CONTROLE PRODUÇÃO POR EMPRESAS'!$A$6:$A$5000,"&gt;="&amp;C50,'CONTROLE PRODUÇÃO POR EMPRESAS'!$A$6:$A$5000,"&lt;="&amp;$A$4))</f>
        <v/>
      </c>
      <c r="K50" s="159">
        <f>IF(C50="","",I50+J50)</f>
        <v/>
      </c>
      <c r="L50" s="159">
        <f>IF(OR(B50="",C50="",E50=""),"",IF($A$4&lt;C50,0,MIN(B50,E50*NETWORKDAYS.INTL(C50,$A$4,IF(F50=5,"0000011",IF(F50=6,"0000001","0000000"))))))</f>
        <v/>
      </c>
      <c r="M50" s="159">
        <f>IF(L50="","",K50-L50)</f>
        <v/>
      </c>
      <c r="N50" s="319">
        <f>IFERROR(K50/B50,"")</f>
        <v/>
      </c>
      <c r="O50" s="159">
        <f>IF(OR(D50="",$A$4&lt;D50),"",IFERROR((SUMIFS('CONTROLE PRODUÇÃO POR EMPRESAS'!$BS$6:$BS$5000,'CONTROLE PRODUÇÃO POR EMPRESAS'!$A$6:$A$5000,"&gt;="&amp;D50,'CONTROLE PRODUÇÃO POR EMPRESAS'!$A$6:$A$5000,"&lt;="&amp;$A$4))/MAX(1,NETWORKDAYS.INTL(D50,$A$4,IF(F50=5,"0000011",IF(F50=6,"0000001","0000000")))),0))</f>
        <v/>
      </c>
      <c r="P50" s="159">
        <f>IF(B50="","",MAX(B50-K50,0))</f>
        <v/>
      </c>
      <c r="Q50" s="317">
        <f>IF(OR(B50="",C50="",E50=""),"",IF(P50=0,$A$4,IF(AND($A$4&lt;C50,K50=0),G50,WORKDAY.INTL($A$4,ROUNDUP(P50/IF(N(O50)&gt;0,IF(NETWORKDAYS.INTL(D50,$A$4,IF(F50=5,"0000011",IF(F50=6,"0000001","0000000")))&gt;=5,O50,E50),E50),0),IF(F50=5,"0000011",IF(F50=6,"0000001","0000000"))))))</f>
        <v/>
      </c>
      <c r="R50" s="97">
        <f>IF(OR(G50="",Q50=""),"",IF(Q50=G50,0,IF(Q50&gt;G50,NETWORKDAYS.INTL(G50,Q50,IF(F50=5,"0000011",IF(F50=6,"0000001","0000000")))-1,-(NETWORKDAYS.INTL(Q50,G50,IF(F50=5,"0000011",IF(F50=6,"0000001","0000000")))-1))))</f>
        <v/>
      </c>
      <c r="S50">
        <f>IF(B50="","CONFIGURAR",IF(K50&gt;=B50,"CONCLUÍDO",IF(Q50&lt;G50,"ADIANTADO",IF(Q50=G50,"NO PRAZO","ATRASO"))))</f>
        <v/>
      </c>
      <c r="T50" s="162">
        <f>IF(B50="","Informe a quantidade em METAS CLIENTE",IF(M50&gt;0,"Crédito / produção acima do previsto",IF(M50&lt;0,"Produção abaixo do previsto","Aderente ao previsto")))</f>
        <v/>
      </c>
      <c r="U50" s="159">
        <f>IF(OR(P50="",G50="",C50=""),"",IF(P50=0,0,IF($A$4&gt;=G50,P50,P50/MAX(1,NETWORKDAYS.INTL(MAX($A$4+1,C50),G50,IF(F50=5,"0000011",IF(F50=6,"0000001","0000000")))))))</f>
        <v/>
      </c>
      <c r="V50" s="62">
        <f>'METAS CLIENTE'!N48</f>
        <v/>
      </c>
      <c r="W50" s="317">
        <f>IF('METAS CLIENTE'!R48="","",'METAS CLIENTE'!R48)</f>
        <v/>
      </c>
      <c r="X50" s="97">
        <f>IF(OR(Q50="",W50=""),"",IF(Q50=W50,0,IF(Q50&gt;W50,NETWORKDAYS.INTL(W50,Q50,IF(F50=5,"0000011",IF(F50=6,"0000001","0000000")))-1,-(NETWORKDAYS.INTL(Q50,W50,IF(F50=5,"0000011",IF(F50=6,"0000001","0000000")))-1))))</f>
        <v/>
      </c>
      <c r="Y50" s="159">
        <f>IF(N(B50)&gt;0,'METAS CLIENTE'!L48,0)</f>
        <v/>
      </c>
      <c r="Z50" s="319">
        <f>IF(N(B50)&gt;0,N(L50)/B50,0)</f>
        <v/>
      </c>
      <c r="AA50" s="319">
        <f>IF(N(B50)&gt;0,N(K50)/B50,0)</f>
        <v/>
      </c>
    </row>
    <row r="51" ht="21.75" customHeight="1">
      <c r="A51" s="62">
        <f>'METAS CLIENTE'!A49</f>
        <v/>
      </c>
      <c r="B51" s="159">
        <f>IF('METAS CLIENTE'!B49="","",'METAS CLIENTE'!B49)</f>
        <v/>
      </c>
      <c r="C51" s="317">
        <f>IF('METAS CLIENTE'!C49="","",'METAS CLIENTE'!C49)</f>
        <v/>
      </c>
      <c r="D51" s="317">
        <f>IF('METAS CLIENTE'!D49="","",'METAS CLIENTE'!D49)</f>
        <v/>
      </c>
      <c r="E51" s="159">
        <f>IF('METAS CLIENTE'!E49="","",'METAS CLIENTE'!E49)</f>
        <v/>
      </c>
      <c r="F51" s="159">
        <f>IF('METAS CLIENTE'!F49="","",'METAS CLIENTE'!F49)</f>
        <v/>
      </c>
      <c r="G51" s="317">
        <f>IF('METAS CLIENTE'!M49="","",'METAS CLIENTE'!M49)</f>
        <v/>
      </c>
      <c r="H51" s="317">
        <f>Q51</f>
        <v/>
      </c>
      <c r="I51" s="159">
        <f>IF(C51="","",SUMIFS('CONTROLE PRODUÇÃO POR EMPRESAS'!$BT$6:$BT$5000,'CONTROLE PRODUÇÃO POR EMPRESAS'!$A$6:$A$5000,"&lt;"&amp;C51,'CONTROLE PRODUÇÃO POR EMPRESAS'!$A$6:$A$5000,"&lt;="&amp;$A$4))</f>
        <v/>
      </c>
      <c r="J51" s="159">
        <f>IF(C51="","",SUMIFS('CONTROLE PRODUÇÃO POR EMPRESAS'!$BT$6:$BT$5000,'CONTROLE PRODUÇÃO POR EMPRESAS'!$A$6:$A$5000,"&gt;="&amp;C51,'CONTROLE PRODUÇÃO POR EMPRESAS'!$A$6:$A$5000,"&lt;="&amp;$A$4))</f>
        <v/>
      </c>
      <c r="K51" s="159">
        <f>IF(C51="","",I51+J51)</f>
        <v/>
      </c>
      <c r="L51" s="159">
        <f>IF(OR(B51="",C51="",E51=""),"",IF($A$4&lt;C51,0,MIN(B51,E51*NETWORKDAYS.INTL(C51,$A$4,IF(F51=5,"0000011",IF(F51=6,"0000001","0000000"))))))</f>
        <v/>
      </c>
      <c r="M51" s="159">
        <f>IF(L51="","",K51-L51)</f>
        <v/>
      </c>
      <c r="N51" s="319">
        <f>IFERROR(K51/B51,"")</f>
        <v/>
      </c>
      <c r="O51" s="159">
        <f>IF(OR(D51="",$A$4&lt;D51),"",IFERROR((SUMIFS('CONTROLE PRODUÇÃO POR EMPRESAS'!$BT$6:$BT$5000,'CONTROLE PRODUÇÃO POR EMPRESAS'!$A$6:$A$5000,"&gt;="&amp;D51,'CONTROLE PRODUÇÃO POR EMPRESAS'!$A$6:$A$5000,"&lt;="&amp;$A$4))/MAX(1,NETWORKDAYS.INTL(D51,$A$4,IF(F51=5,"0000011",IF(F51=6,"0000001","0000000")))),0))</f>
        <v/>
      </c>
      <c r="P51" s="159">
        <f>IF(B51="","",MAX(B51-K51,0))</f>
        <v/>
      </c>
      <c r="Q51" s="317">
        <f>IF(OR(B51="",C51="",E51=""),"",IF(P51=0,$A$4,IF(AND($A$4&lt;C51,K51=0),G51,WORKDAY.INTL($A$4,ROUNDUP(P51/IF(N(O51)&gt;0,IF(NETWORKDAYS.INTL(D51,$A$4,IF(F51=5,"0000011",IF(F51=6,"0000001","0000000")))&gt;=5,O51,E51),E51),0),IF(F51=5,"0000011",IF(F51=6,"0000001","0000000"))))))</f>
        <v/>
      </c>
      <c r="R51" s="97">
        <f>IF(OR(G51="",Q51=""),"",IF(Q51=G51,0,IF(Q51&gt;G51,NETWORKDAYS.INTL(G51,Q51,IF(F51=5,"0000011",IF(F51=6,"0000001","0000000")))-1,-(NETWORKDAYS.INTL(Q51,G51,IF(F51=5,"0000011",IF(F51=6,"0000001","0000000")))-1))))</f>
        <v/>
      </c>
      <c r="S51">
        <f>IF(B51="","CONFIGURAR",IF(K51&gt;=B51,"CONCLUÍDO",IF(Q51&lt;G51,"ADIANTADO",IF(Q51=G51,"NO PRAZO","ATRASO"))))</f>
        <v/>
      </c>
      <c r="T51" s="162">
        <f>IF(B51="","Informe a quantidade em METAS CLIENTE",IF(M51&gt;0,"Crédito / produção acima do previsto",IF(M51&lt;0,"Produção abaixo do previsto","Aderente ao previsto")))</f>
        <v/>
      </c>
      <c r="U51" s="159">
        <f>IF(OR(P51="",G51="",C51=""),"",IF(P51=0,0,IF($A$4&gt;=G51,P51,P51/MAX(1,NETWORKDAYS.INTL(MAX($A$4+1,C51),G51,IF(F51=5,"0000011",IF(F51=6,"0000001","0000000")))))))</f>
        <v/>
      </c>
      <c r="V51" s="62">
        <f>'METAS CLIENTE'!N49</f>
        <v/>
      </c>
      <c r="W51" s="317">
        <f>IF('METAS CLIENTE'!R49="","",'METAS CLIENTE'!R49)</f>
        <v/>
      </c>
      <c r="X51" s="97">
        <f>IF(OR(Q51="",W51=""),"",IF(Q51=W51,0,IF(Q51&gt;W51,NETWORKDAYS.INTL(W51,Q51,IF(F51=5,"0000011",IF(F51=6,"0000001","0000000")))-1,-(NETWORKDAYS.INTL(Q51,W51,IF(F51=5,"0000011",IF(F51=6,"0000001","0000000")))-1))))</f>
        <v/>
      </c>
      <c r="Y51" s="159">
        <f>IF(N(B51)&gt;0,'METAS CLIENTE'!L49,0)</f>
        <v/>
      </c>
      <c r="Z51" s="319">
        <f>IF(N(B51)&gt;0,N(L51)/B51,0)</f>
        <v/>
      </c>
      <c r="AA51" s="319">
        <f>IF(N(B51)&gt;0,N(K51)/B51,0)</f>
        <v/>
      </c>
    </row>
    <row r="52" ht="21.75" customHeight="1">
      <c r="A52" s="62">
        <f>'METAS CLIENTE'!A50</f>
        <v/>
      </c>
      <c r="B52" s="159">
        <f>IF('METAS CLIENTE'!B50="","",'METAS CLIENTE'!B50)</f>
        <v/>
      </c>
      <c r="C52" s="317">
        <f>IF('METAS CLIENTE'!C50="","",'METAS CLIENTE'!C50)</f>
        <v/>
      </c>
      <c r="D52" s="317">
        <f>IF('METAS CLIENTE'!D50="","",'METAS CLIENTE'!D50)</f>
        <v/>
      </c>
      <c r="E52" s="159">
        <f>IF('METAS CLIENTE'!E50="","",'METAS CLIENTE'!E50)</f>
        <v/>
      </c>
      <c r="F52" s="159">
        <f>IF('METAS CLIENTE'!F50="","",'METAS CLIENTE'!F50)</f>
        <v/>
      </c>
      <c r="G52" s="317">
        <f>IF('METAS CLIENTE'!M50="","",'METAS CLIENTE'!M50)</f>
        <v/>
      </c>
      <c r="H52" s="317">
        <f>Q52</f>
        <v/>
      </c>
      <c r="I52" s="159">
        <f>IF(C52="","",SUMIFS('CONTROLE PRODUÇÃO POR EMPRESAS'!$BU$6:$BU$5000,'CONTROLE PRODUÇÃO POR EMPRESAS'!$A$6:$A$5000,"&lt;"&amp;C52,'CONTROLE PRODUÇÃO POR EMPRESAS'!$A$6:$A$5000,"&lt;="&amp;$A$4))</f>
        <v/>
      </c>
      <c r="J52" s="159">
        <f>IF(C52="","",SUMIFS('CONTROLE PRODUÇÃO POR EMPRESAS'!$BU$6:$BU$5000,'CONTROLE PRODUÇÃO POR EMPRESAS'!$A$6:$A$5000,"&gt;="&amp;C52,'CONTROLE PRODUÇÃO POR EMPRESAS'!$A$6:$A$5000,"&lt;="&amp;$A$4))</f>
        <v/>
      </c>
      <c r="K52" s="159">
        <f>IF(C52="","",I52+J52)</f>
        <v/>
      </c>
      <c r="L52" s="159">
        <f>IF(OR(B52="",C52="",E52=""),"",IF($A$4&lt;C52,0,MIN(B52,E52*NETWORKDAYS.INTL(C52,$A$4,IF(F52=5,"0000011",IF(F52=6,"0000001","0000000"))))))</f>
        <v/>
      </c>
      <c r="M52" s="159">
        <f>IF(L52="","",K52-L52)</f>
        <v/>
      </c>
      <c r="N52" s="319">
        <f>IFERROR(K52/B52,"")</f>
        <v/>
      </c>
      <c r="O52" s="159">
        <f>IF(OR(D52="",$A$4&lt;D52),"",IFERROR((SUMIFS('CONTROLE PRODUÇÃO POR EMPRESAS'!$BU$6:$BU$5000,'CONTROLE PRODUÇÃO POR EMPRESAS'!$A$6:$A$5000,"&gt;="&amp;D52,'CONTROLE PRODUÇÃO POR EMPRESAS'!$A$6:$A$5000,"&lt;="&amp;$A$4))/MAX(1,NETWORKDAYS.INTL(D52,$A$4,IF(F52=5,"0000011",IF(F52=6,"0000001","0000000")))),0))</f>
        <v/>
      </c>
      <c r="P52" s="159">
        <f>IF(B52="","",MAX(B52-K52,0))</f>
        <v/>
      </c>
      <c r="Q52" s="317">
        <f>IF(OR(B52="",C52="",E52=""),"",IF(P52=0,$A$4,IF(AND($A$4&lt;C52,K52=0),G52,WORKDAY.INTL($A$4,ROUNDUP(P52/IF(N(O52)&gt;0,IF(NETWORKDAYS.INTL(D52,$A$4,IF(F52=5,"0000011",IF(F52=6,"0000001","0000000")))&gt;=5,O52,E52),E52),0),IF(F52=5,"0000011",IF(F52=6,"0000001","0000000"))))))</f>
        <v/>
      </c>
      <c r="R52" s="97">
        <f>IF(OR(G52="",Q52=""),"",IF(Q52=G52,0,IF(Q52&gt;G52,NETWORKDAYS.INTL(G52,Q52,IF(F52=5,"0000011",IF(F52=6,"0000001","0000000")))-1,-(NETWORKDAYS.INTL(Q52,G52,IF(F52=5,"0000011",IF(F52=6,"0000001","0000000")))-1))))</f>
        <v/>
      </c>
      <c r="S52">
        <f>IF(B52="","CONFIGURAR",IF(K52&gt;=B52,"CONCLUÍDO",IF(Q52&lt;G52,"ADIANTADO",IF(Q52=G52,"NO PRAZO","ATRASO"))))</f>
        <v/>
      </c>
      <c r="T52" s="162">
        <f>IF(B52="","Informe a quantidade em METAS CLIENTE",IF(M52&gt;0,"Crédito / produção acima do previsto",IF(M52&lt;0,"Produção abaixo do previsto","Aderente ao previsto")))</f>
        <v/>
      </c>
      <c r="U52" s="159">
        <f>IF(OR(P52="",G52="",C52=""),"",IF(P52=0,0,IF($A$4&gt;=G52,P52,P52/MAX(1,NETWORKDAYS.INTL(MAX($A$4+1,C52),G52,IF(F52=5,"0000011",IF(F52=6,"0000001","0000000")))))))</f>
        <v/>
      </c>
      <c r="V52" s="62">
        <f>'METAS CLIENTE'!N50</f>
        <v/>
      </c>
      <c r="W52" s="317">
        <f>IF('METAS CLIENTE'!R50="","",'METAS CLIENTE'!R50)</f>
        <v/>
      </c>
      <c r="X52" s="97">
        <f>IF(OR(Q52="",W52=""),"",IF(Q52=W52,0,IF(Q52&gt;W52,NETWORKDAYS.INTL(W52,Q52,IF(F52=5,"0000011",IF(F52=6,"0000001","0000000")))-1,-(NETWORKDAYS.INTL(Q52,W52,IF(F52=5,"0000011",IF(F52=6,"0000001","0000000")))-1))))</f>
        <v/>
      </c>
      <c r="Y52" s="159">
        <f>IF(N(B52)&gt;0,'METAS CLIENTE'!L50,0)</f>
        <v/>
      </c>
      <c r="Z52" s="319">
        <f>IF(N(B52)&gt;0,N(L52)/B52,0)</f>
        <v/>
      </c>
      <c r="AA52" s="319">
        <f>IF(N(B52)&gt;0,N(K52)/B52,0)</f>
        <v/>
      </c>
    </row>
    <row r="53" ht="21.75" customHeight="1">
      <c r="A53" s="62">
        <f>'METAS CLIENTE'!A51</f>
        <v/>
      </c>
      <c r="B53" s="159">
        <f>IF('METAS CLIENTE'!B51="","",'METAS CLIENTE'!B51)</f>
        <v/>
      </c>
      <c r="C53" s="317">
        <f>IF('METAS CLIENTE'!C51="","",'METAS CLIENTE'!C51)</f>
        <v/>
      </c>
      <c r="D53" s="317">
        <f>IF('METAS CLIENTE'!D51="","",'METAS CLIENTE'!D51)</f>
        <v/>
      </c>
      <c r="E53" s="159">
        <f>IF('METAS CLIENTE'!E51="","",'METAS CLIENTE'!E51)</f>
        <v/>
      </c>
      <c r="F53" s="159">
        <f>IF('METAS CLIENTE'!F51="","",'METAS CLIENTE'!F51)</f>
        <v/>
      </c>
      <c r="G53" s="317">
        <f>IF('METAS CLIENTE'!M51="","",'METAS CLIENTE'!M51)</f>
        <v/>
      </c>
      <c r="H53" s="317">
        <f>Q53</f>
        <v/>
      </c>
      <c r="I53" s="159">
        <f>IF(C53="","",SUMIFS('CONTROLE PRODUÇÃO POR EMPRESAS'!$BV$6:$BV$5000,'CONTROLE PRODUÇÃO POR EMPRESAS'!$A$6:$A$5000,"&lt;"&amp;C53,'CONTROLE PRODUÇÃO POR EMPRESAS'!$A$6:$A$5000,"&lt;="&amp;$A$4))</f>
        <v/>
      </c>
      <c r="J53" s="159">
        <f>IF(C53="","",SUMIFS('CONTROLE PRODUÇÃO POR EMPRESAS'!$BV$6:$BV$5000,'CONTROLE PRODUÇÃO POR EMPRESAS'!$A$6:$A$5000,"&gt;="&amp;C53,'CONTROLE PRODUÇÃO POR EMPRESAS'!$A$6:$A$5000,"&lt;="&amp;$A$4))</f>
        <v/>
      </c>
      <c r="K53" s="159">
        <f>IF(C53="","",I53+J53)</f>
        <v/>
      </c>
      <c r="L53" s="159">
        <f>IF(OR(B53="",C53="",E53=""),"",IF($A$4&lt;C53,0,MIN(B53,E53*NETWORKDAYS.INTL(C53,$A$4,IF(F53=5,"0000011",IF(F53=6,"0000001","0000000"))))))</f>
        <v/>
      </c>
      <c r="M53" s="159">
        <f>IF(L53="","",K53-L53)</f>
        <v/>
      </c>
      <c r="N53" s="319">
        <f>IFERROR(K53/B53,"")</f>
        <v/>
      </c>
      <c r="O53" s="159">
        <f>IF(OR(D53="",$A$4&lt;D53),"",IFERROR((SUMIFS('CONTROLE PRODUÇÃO POR EMPRESAS'!$BV$6:$BV$5000,'CONTROLE PRODUÇÃO POR EMPRESAS'!$A$6:$A$5000,"&gt;="&amp;D53,'CONTROLE PRODUÇÃO POR EMPRESAS'!$A$6:$A$5000,"&lt;="&amp;$A$4))/MAX(1,NETWORKDAYS.INTL(D53,$A$4,IF(F53=5,"0000011",IF(F53=6,"0000001","0000000")))),0))</f>
        <v/>
      </c>
      <c r="P53" s="159">
        <f>IF(B53="","",MAX(B53-K53,0))</f>
        <v/>
      </c>
      <c r="Q53" s="317">
        <f>IF(OR(B53="",C53="",E53=""),"",IF(P53=0,$A$4,IF(AND($A$4&lt;C53,K53=0),G53,WORKDAY.INTL($A$4,ROUNDUP(P53/IF(N(O53)&gt;0,IF(NETWORKDAYS.INTL(D53,$A$4,IF(F53=5,"0000011",IF(F53=6,"0000001","0000000")))&gt;=5,O53,E53),E53),0),IF(F53=5,"0000011",IF(F53=6,"0000001","0000000"))))))</f>
        <v/>
      </c>
      <c r="R53" s="97">
        <f>IF(OR(G53="",Q53=""),"",IF(Q53=G53,0,IF(Q53&gt;G53,NETWORKDAYS.INTL(G53,Q53,IF(F53=5,"0000011",IF(F53=6,"0000001","0000000")))-1,-(NETWORKDAYS.INTL(Q53,G53,IF(F53=5,"0000011",IF(F53=6,"0000001","0000000")))-1))))</f>
        <v/>
      </c>
      <c r="S53">
        <f>IF(B53="","CONFIGURAR",IF(K53&gt;=B53,"CONCLUÍDO",IF(Q53&lt;G53,"ADIANTADO",IF(Q53=G53,"NO PRAZO","ATRASO"))))</f>
        <v/>
      </c>
      <c r="T53" s="162">
        <f>IF(B53="","Informe a quantidade em METAS CLIENTE",IF(M53&gt;0,"Crédito / produção acima do previsto",IF(M53&lt;0,"Produção abaixo do previsto","Aderente ao previsto")))</f>
        <v/>
      </c>
      <c r="U53" s="159">
        <f>IF(OR(P53="",G53="",C53=""),"",IF(P53=0,0,IF($A$4&gt;=G53,P53,P53/MAX(1,NETWORKDAYS.INTL(MAX($A$4+1,C53),G53,IF(F53=5,"0000011",IF(F53=6,"0000001","0000000")))))))</f>
        <v/>
      </c>
      <c r="V53" s="62">
        <f>'METAS CLIENTE'!N51</f>
        <v/>
      </c>
      <c r="W53" s="317">
        <f>IF('METAS CLIENTE'!R51="","",'METAS CLIENTE'!R51)</f>
        <v/>
      </c>
      <c r="X53" s="97">
        <f>IF(OR(Q53="",W53=""),"",IF(Q53=W53,0,IF(Q53&gt;W53,NETWORKDAYS.INTL(W53,Q53,IF(F53=5,"0000011",IF(F53=6,"0000001","0000000")))-1,-(NETWORKDAYS.INTL(Q53,W53,IF(F53=5,"0000011",IF(F53=6,"0000001","0000000")))-1))))</f>
        <v/>
      </c>
      <c r="Y53" s="159">
        <f>IF(N(B53)&gt;0,'METAS CLIENTE'!L51,0)</f>
        <v/>
      </c>
      <c r="Z53" s="319">
        <f>IF(N(B53)&gt;0,N(L53)/B53,0)</f>
        <v/>
      </c>
      <c r="AA53" s="319">
        <f>IF(N(B53)&gt;0,N(K53)/B53,0)</f>
        <v/>
      </c>
    </row>
    <row r="54" ht="21.75" customHeight="1">
      <c r="A54" s="62">
        <f>'METAS CLIENTE'!A52</f>
        <v/>
      </c>
      <c r="B54" s="159">
        <f>IF('METAS CLIENTE'!B52="","",'METAS CLIENTE'!B52)</f>
        <v/>
      </c>
      <c r="C54" s="317">
        <f>IF('METAS CLIENTE'!C52="","",'METAS CLIENTE'!C52)</f>
        <v/>
      </c>
      <c r="D54" s="317">
        <f>IF('METAS CLIENTE'!D52="","",'METAS CLIENTE'!D52)</f>
        <v/>
      </c>
      <c r="E54" s="159">
        <f>IF('METAS CLIENTE'!E52="","",'METAS CLIENTE'!E52)</f>
        <v/>
      </c>
      <c r="F54" s="159">
        <f>IF('METAS CLIENTE'!F52="","",'METAS CLIENTE'!F52)</f>
        <v/>
      </c>
      <c r="G54" s="317">
        <f>IF('METAS CLIENTE'!M52="","",'METAS CLIENTE'!M52)</f>
        <v/>
      </c>
      <c r="H54" s="317">
        <f>Q54</f>
        <v/>
      </c>
      <c r="I54" s="159">
        <f>IF(C54="","",SUMIFS('CONTROLE PRODUÇÃO POR EMPRESAS'!$BW$6:$BW$5000,'CONTROLE PRODUÇÃO POR EMPRESAS'!$A$6:$A$5000,"&lt;"&amp;C54,'CONTROLE PRODUÇÃO POR EMPRESAS'!$A$6:$A$5000,"&lt;="&amp;$A$4))</f>
        <v/>
      </c>
      <c r="J54" s="159">
        <f>IF(C54="","",SUMIFS('CONTROLE PRODUÇÃO POR EMPRESAS'!$BW$6:$BW$5000,'CONTROLE PRODUÇÃO POR EMPRESAS'!$A$6:$A$5000,"&gt;="&amp;C54,'CONTROLE PRODUÇÃO POR EMPRESAS'!$A$6:$A$5000,"&lt;="&amp;$A$4))</f>
        <v/>
      </c>
      <c r="K54" s="159">
        <f>IF(C54="","",I54+J54)</f>
        <v/>
      </c>
      <c r="L54" s="159">
        <f>IF(OR(B54="",C54="",E54=""),"",IF($A$4&lt;C54,0,MIN(B54,E54*NETWORKDAYS.INTL(C54,$A$4,IF(F54=5,"0000011",IF(F54=6,"0000001","0000000"))))))</f>
        <v/>
      </c>
      <c r="M54" s="159">
        <f>IF(L54="","",K54-L54)</f>
        <v/>
      </c>
      <c r="N54" s="319">
        <f>IFERROR(K54/B54,"")</f>
        <v/>
      </c>
      <c r="O54" s="159">
        <f>IF(OR(D54="",$A$4&lt;D54),"",IFERROR((SUMIFS('CONTROLE PRODUÇÃO POR EMPRESAS'!$BW$6:$BW$5000,'CONTROLE PRODUÇÃO POR EMPRESAS'!$A$6:$A$5000,"&gt;="&amp;D54,'CONTROLE PRODUÇÃO POR EMPRESAS'!$A$6:$A$5000,"&lt;="&amp;$A$4))/MAX(1,NETWORKDAYS.INTL(D54,$A$4,IF(F54=5,"0000011",IF(F54=6,"0000001","0000000")))),0))</f>
        <v/>
      </c>
      <c r="P54" s="159">
        <f>IF(B54="","",MAX(B54-K54,0))</f>
        <v/>
      </c>
      <c r="Q54" s="317">
        <f>IF(OR(B54="",C54="",E54=""),"",IF(P54=0,$A$4,IF(AND($A$4&lt;C54,K54=0),G54,WORKDAY.INTL($A$4,ROUNDUP(P54/IF(N(O54)&gt;0,IF(NETWORKDAYS.INTL(D54,$A$4,IF(F54=5,"0000011",IF(F54=6,"0000001","0000000")))&gt;=5,O54,E54),E54),0),IF(F54=5,"0000011",IF(F54=6,"0000001","0000000"))))))</f>
        <v/>
      </c>
      <c r="R54" s="97">
        <f>IF(OR(G54="",Q54=""),"",IF(Q54=G54,0,IF(Q54&gt;G54,NETWORKDAYS.INTL(G54,Q54,IF(F54=5,"0000011",IF(F54=6,"0000001","0000000")))-1,-(NETWORKDAYS.INTL(Q54,G54,IF(F54=5,"0000011",IF(F54=6,"0000001","0000000")))-1))))</f>
        <v/>
      </c>
      <c r="S54">
        <f>IF(B54="","CONFIGURAR",IF(K54&gt;=B54,"CONCLUÍDO",IF(Q54&lt;G54,"ADIANTADO",IF(Q54=G54,"NO PRAZO","ATRASO"))))</f>
        <v/>
      </c>
      <c r="T54" s="162">
        <f>IF(B54="","Informe a quantidade em METAS CLIENTE",IF(M54&gt;0,"Crédito / produção acima do previsto",IF(M54&lt;0,"Produção abaixo do previsto","Aderente ao previsto")))</f>
        <v/>
      </c>
      <c r="U54" s="159">
        <f>IF(OR(P54="",G54="",C54=""),"",IF(P54=0,0,IF($A$4&gt;=G54,P54,P54/MAX(1,NETWORKDAYS.INTL(MAX($A$4+1,C54),G54,IF(F54=5,"0000011",IF(F54=6,"0000001","0000000")))))))</f>
        <v/>
      </c>
      <c r="V54" s="62">
        <f>'METAS CLIENTE'!N52</f>
        <v/>
      </c>
      <c r="W54" s="317">
        <f>IF('METAS CLIENTE'!R52="","",'METAS CLIENTE'!R52)</f>
        <v/>
      </c>
      <c r="X54" s="97">
        <f>IF(OR(Q54="",W54=""),"",IF(Q54=W54,0,IF(Q54&gt;W54,NETWORKDAYS.INTL(W54,Q54,IF(F54=5,"0000011",IF(F54=6,"0000001","0000000")))-1,-(NETWORKDAYS.INTL(Q54,W54,IF(F54=5,"0000011",IF(F54=6,"0000001","0000000")))-1))))</f>
        <v/>
      </c>
      <c r="Y54" s="159">
        <f>IF(N(B54)&gt;0,'METAS CLIENTE'!L52,0)</f>
        <v/>
      </c>
      <c r="Z54" s="319">
        <f>IF(N(B54)&gt;0,N(L54)/B54,0)</f>
        <v/>
      </c>
      <c r="AA54" s="319">
        <f>IF(N(B54)&gt;0,N(K54)/B54,0)</f>
        <v/>
      </c>
    </row>
    <row r="56">
      <c r="A56" s="250" t="inlineStr">
        <is>
          <t>VISÃO GRÁFICA — % PREVISTO × % REALIZADO POR FRENTE (ponderado pelo peso, só serviços com quantidade)</t>
        </is>
      </c>
    </row>
    <row r="58" ht="28.35" customHeight="1">
      <c r="A58" s="255" t="inlineStr">
        <is>
          <t>Frente</t>
        </is>
      </c>
      <c r="B58" s="255" t="inlineStr">
        <is>
          <t>% Previsto</t>
        </is>
      </c>
      <c r="C58" s="255" t="inlineStr">
        <is>
          <t>% Realizado</t>
        </is>
      </c>
      <c r="D58" s="255" t="inlineStr">
        <is>
          <t>Serviços c/ qtd</t>
        </is>
      </c>
      <c r="O58" s="261" t="inlineStr">
        <is>
          <t>LEITURA: o gráfico compara, por frente, o % previsto (meta do cliente até a data da consulta) com o % realizado. Frentes sem quantidade contratada aparecem zeradas até o cadastro em METAS CLIENTE. O crédito pré-início entra no realizado.</t>
        </is>
      </c>
    </row>
    <row r="59">
      <c r="A59" s="62" t="inlineStr">
        <is>
          <t>GALPÃO F1 – COBERTURA</t>
        </is>
      </c>
      <c r="B59" s="319">
        <f>IFERROR(SUMPRODUCT(($V$7:$V$54=A59)*$Y$7:$Y$54*$Z$7:$Z$54)/SUMIFS($Y$7:$Y$54,$V$7:$V$54,A59),0)</f>
        <v/>
      </c>
      <c r="C59" s="319">
        <f>IFERROR(SUMPRODUCT(($V$7:$V$54=A59)*$Y$7:$Y$54*$AA$7:$AA$54)/SUMIFS($Y$7:$Y$54,$V$7:$V$54,A59),0)</f>
        <v/>
      </c>
      <c r="D59" s="162">
        <f>COUNTIFS($V$7:$V$54,A59,$Y$7:$Y$54,"&gt;0")&amp;" / "&amp;COUNTIF($V$7:$V$54,A59)</f>
        <v/>
      </c>
    </row>
    <row r="60">
      <c r="A60" s="62" t="inlineStr">
        <is>
          <t>GALPÃO F1 – FECHAMENTO LATERAL</t>
        </is>
      </c>
      <c r="B60" s="319">
        <f>IFERROR(SUMPRODUCT(($V$7:$V$54=A60)*$Y$7:$Y$54*$Z$7:$Z$54)/SUMIFS($Y$7:$Y$54,$V$7:$V$54,A60),0)</f>
        <v/>
      </c>
      <c r="C60" s="319">
        <f>IFERROR(SUMPRODUCT(($V$7:$V$54=A60)*$Y$7:$Y$54*$AA$7:$AA$54)/SUMIFS($Y$7:$Y$54,$V$7:$V$54,A60),0)</f>
        <v/>
      </c>
      <c r="D60" s="162">
        <f>COUNTIFS($V$7:$V$54,A60,$Y$7:$Y$54,"&gt;0")&amp;" / "&amp;COUNTIF($V$7:$V$54,A60)</f>
        <v/>
      </c>
    </row>
    <row r="61">
      <c r="A61" s="62" t="inlineStr">
        <is>
          <t>GALPÃO F1 – MARQUISE</t>
        </is>
      </c>
      <c r="B61" s="319">
        <f>IFERROR(SUMPRODUCT(($V$7:$V$54=A61)*$Y$7:$Y$54*$Z$7:$Z$54)/SUMIFS($Y$7:$Y$54,$V$7:$V$54,A61),0)</f>
        <v/>
      </c>
      <c r="C61" s="319">
        <f>IFERROR(SUMPRODUCT(($V$7:$V$54=A61)*$Y$7:$Y$54*$AA$7:$AA$54)/SUMIFS($Y$7:$Y$54,$V$7:$V$54,A61),0)</f>
        <v/>
      </c>
      <c r="D61" s="162">
        <f>COUNTIFS($V$7:$V$54,A61,$Y$7:$Y$54,"&gt;0")&amp;" / "&amp;COUNTIF($V$7:$V$54,A61)</f>
        <v/>
      </c>
    </row>
    <row r="62">
      <c r="A62" s="62" t="inlineStr">
        <is>
          <t>ECLUSA</t>
        </is>
      </c>
      <c r="B62" s="319">
        <f>IFERROR(SUMPRODUCT(($V$7:$V$54=A62)*$Y$7:$Y$54*$Z$7:$Z$54)/SUMIFS($Y$7:$Y$54,$V$7:$V$54,A62),0)</f>
        <v/>
      </c>
      <c r="C62" s="319">
        <f>IFERROR(SUMPRODUCT(($V$7:$V$54=A62)*$Y$7:$Y$54*$AA$7:$AA$54)/SUMIFS($Y$7:$Y$54,$V$7:$V$54,A62),0)</f>
        <v/>
      </c>
      <c r="D62" s="162">
        <f>COUNTIFS($V$7:$V$54,A62,$Y$7:$Y$54,"&gt;0")&amp;" / "&amp;COUNTIF($V$7:$V$54,A62)</f>
        <v/>
      </c>
    </row>
    <row r="63">
      <c r="A63" s="62" t="inlineStr">
        <is>
          <t>PORTARIA</t>
        </is>
      </c>
      <c r="B63" s="319">
        <f>IFERROR(SUMPRODUCT(($V$7:$V$54=A63)*$Y$7:$Y$54*$Z$7:$Z$54)/SUMIFS($Y$7:$Y$54,$V$7:$V$54,A63),0)</f>
        <v/>
      </c>
      <c r="C63" s="319">
        <f>IFERROR(SUMPRODUCT(($V$7:$V$54=A63)*$Y$7:$Y$54*$AA$7:$AA$54)/SUMIFS($Y$7:$Y$54,$V$7:$V$54,A63),0)</f>
        <v/>
      </c>
      <c r="D63" s="162">
        <f>COUNTIFS($V$7:$V$54,A63,$Y$7:$Y$54,"&gt;0")&amp;" / "&amp;COUNTIF($V$7:$V$54,A63)</f>
        <v/>
      </c>
    </row>
    <row r="64">
      <c r="A64" s="62" t="inlineStr">
        <is>
          <t>REFEITÓRIO</t>
        </is>
      </c>
      <c r="B64" s="319">
        <f>IFERROR(SUMPRODUCT(($V$7:$V$54=A64)*$Y$7:$Y$54*$Z$7:$Z$54)/SUMIFS($Y$7:$Y$54,$V$7:$V$54,A64),0)</f>
        <v/>
      </c>
      <c r="C64" s="319">
        <f>IFERROR(SUMPRODUCT(($V$7:$V$54=A64)*$Y$7:$Y$54*$AA$7:$AA$54)/SUMIFS($Y$7:$Y$54,$V$7:$V$54,A64),0)</f>
        <v/>
      </c>
      <c r="D64" s="162">
        <f>COUNTIFS($V$7:$V$54,A64,$Y$7:$Y$54,"&gt;0")&amp;" / "&amp;COUNTIF($V$7:$V$54,A64)</f>
        <v/>
      </c>
    </row>
    <row r="65">
      <c r="A65" s="62" t="inlineStr">
        <is>
          <t>VESTIÁRIO</t>
        </is>
      </c>
      <c r="B65" s="319">
        <f>IFERROR(SUMPRODUCT(($V$7:$V$54=A65)*$Y$7:$Y$54*$Z$7:$Z$54)/SUMIFS($Y$7:$Y$54,$V$7:$V$54,A65),0)</f>
        <v/>
      </c>
      <c r="C65" s="319">
        <f>IFERROR(SUMPRODUCT(($V$7:$V$54=A65)*$Y$7:$Y$54*$AA$7:$AA$54)/SUMIFS($Y$7:$Y$54,$V$7:$V$54,A65),0)</f>
        <v/>
      </c>
      <c r="D65" s="162">
        <f>COUNTIFS($V$7:$V$54,A65,$Y$7:$Y$54,"&gt;0")&amp;" / "&amp;COUNTIF($V$7:$V$54,A65)</f>
        <v/>
      </c>
    </row>
    <row r="66">
      <c r="A66" s="62" t="inlineStr">
        <is>
          <t>COB. PEDESTRES / ESTAC. ÔNIBUS</t>
        </is>
      </c>
      <c r="B66" s="319">
        <f>IFERROR(SUMPRODUCT(($V$7:$V$54=A66)*$Y$7:$Y$54*$Z$7:$Z$54)/SUMIFS($Y$7:$Y$54,$V$7:$V$54,A66),0)</f>
        <v/>
      </c>
      <c r="C66" s="319">
        <f>IFERROR(SUMPRODUCT(($V$7:$V$54=A66)*$Y$7:$Y$54*$AA$7:$AA$54)/SUMIFS($Y$7:$Y$54,$V$7:$V$54,A66),0)</f>
        <v/>
      </c>
      <c r="D66" s="162">
        <f>COUNTIFS($V$7:$V$54,A66,$Y$7:$Y$54,"&gt;0")&amp;" / "&amp;COUNTIF($V$7:$V$54,A66)</f>
        <v/>
      </c>
    </row>
    <row r="67">
      <c r="A67" s="62" t="inlineStr">
        <is>
          <t>COB. PRAÇA / ÁREA DE VIVÊNCIA</t>
        </is>
      </c>
      <c r="B67" s="319">
        <f>IFERROR(SUMPRODUCT(($V$7:$V$54=A67)*$Y$7:$Y$54*$Z$7:$Z$54)/SUMIFS($Y$7:$Y$54,$V$7:$V$54,A67),0)</f>
        <v/>
      </c>
      <c r="C67" s="319">
        <f>IFERROR(SUMPRODUCT(($V$7:$V$54=A67)*$Y$7:$Y$54*$AA$7:$AA$54)/SUMIFS($Y$7:$Y$54,$V$7:$V$54,A67),0)</f>
        <v/>
      </c>
      <c r="D67" s="162">
        <f>COUNTIFS($V$7:$V$54,A67,$Y$7:$Y$54,"&gt;0")&amp;" / "&amp;COUNTIF($V$7:$V$54,A67)</f>
        <v/>
      </c>
    </row>
  </sheetData>
  <mergeCells count="16">
    <mergeCell ref="A4:B4"/>
    <mergeCell ref="A1:T1"/>
    <mergeCell ref="N3:O3"/>
    <mergeCell ref="Q3:R3"/>
    <mergeCell ref="A56:T56"/>
    <mergeCell ref="O58:T67"/>
    <mergeCell ref="N4:O4"/>
    <mergeCell ref="G4:I4"/>
    <mergeCell ref="D4:E4"/>
    <mergeCell ref="A2:T2"/>
    <mergeCell ref="G3:I3"/>
    <mergeCell ref="K4:L4"/>
    <mergeCell ref="D3:E3"/>
    <mergeCell ref="A3:B3"/>
    <mergeCell ref="Q4:R4"/>
    <mergeCell ref="K3:L3"/>
  </mergeCells>
  <conditionalFormatting sqref="M7:M54">
    <cfRule type="cellIs" priority="2" operator="greaterThan" dxfId="1">
      <formula>0</formula>
    </cfRule>
    <cfRule type="cellIs" priority="3" operator="lessThan" dxfId="2">
      <formula>0</formula>
    </cfRule>
  </conditionalFormatting>
  <conditionalFormatting sqref="S7:S54">
    <cfRule type="expression" priority="4" dxfId="2">
      <formula>S7="ATRASO"</formula>
    </cfRule>
    <cfRule type="expression" priority="5" dxfId="1">
      <formula>OR(S7="ADIANTADO",S7="CONCLUÍDO")</formula>
    </cfRule>
    <cfRule type="expression" priority="6" dxfId="0">
      <formula>S7="NO PRAZO"</formula>
    </cfRule>
  </conditionalFormatting>
  <conditionalFormatting sqref="X7:X54">
    <cfRule type="cellIs" priority="7" operator="greaterThan" dxfId="2">
      <formula>0</formula>
    </cfRule>
  </conditionalFormatting>
  <pageMargins left="0.7" right="0.7" top="0.75" bottom="0.75" header="0.511811023622047" footer="0.511811023622047"/>
  <pageSetup orientation="portrait" paperSize="9" horizontalDpi="300" verticalDpi="300"/>
  <drawing xmlns:r="http://schemas.openxmlformats.org/officeDocument/2006/relationships" r:id="rId1"/>
</worksheet>
</file>

<file path=xl/worksheets/sheet18.xml><?xml version="1.0" encoding="utf-8"?>
<worksheet xmlns="http://schemas.openxmlformats.org/spreadsheetml/2006/main">
  <sheetPr>
    <outlinePr summaryBelow="1" summaryRight="1"/>
    <pageSetUpPr/>
  </sheetPr>
  <dimension ref="A1:Y72"/>
  <sheetViews>
    <sheetView zoomScale="70" zoomScaleNormal="70" workbookViewId="0">
      <selection activeCell="D14" sqref="D14"/>
    </sheetView>
  </sheetViews>
  <sheetFormatPr baseColWidth="8" defaultColWidth="8.5546875" defaultRowHeight="14.4"/>
  <cols>
    <col width="34" customWidth="1" min="1" max="1"/>
    <col width="18.33203125" customWidth="1" min="2" max="2"/>
    <col width="14" customWidth="1" min="3" max="3"/>
    <col width="21.5546875" customWidth="1" min="4" max="4"/>
    <col width="16" customWidth="1" min="5" max="5"/>
    <col width="14" customWidth="1" min="6" max="9"/>
    <col width="12" customWidth="1" min="10" max="10"/>
    <col width="15" customWidth="1" min="11" max="11"/>
    <col width="16" customWidth="1" min="12" max="14"/>
    <col width="14" customWidth="1" min="15" max="15"/>
    <col width="11.33203125" customWidth="1" min="16" max="16"/>
    <col width="16" customWidth="1" min="17" max="17"/>
    <col width="28" customWidth="1" min="18" max="18"/>
    <col width="8" customWidth="1" min="19" max="19"/>
    <col width="9" customWidth="1" min="20" max="25"/>
  </cols>
  <sheetData>
    <row r="1" ht="21" customHeight="1">
      <c r="A1" s="14" t="inlineStr">
        <is>
          <t>DASHBOARD — PREVISTO DO CLIENTE × REALIZADO DAS EMPRESAS</t>
        </is>
      </c>
    </row>
    <row r="2" ht="14.25" customHeight="1">
      <c r="A2" s="262" t="inlineStr">
        <is>
          <t>Informe DATA INICIAL e DATA FINAL. Previsto do cliente × produção lançada nas abas de controle (EJ, CMM, GLOBO AÇOS, OUTROS). Realizado Total inclui todas as empresas; colunas EJ e CMM mostram a parcela de estrutura de cada uma.</t>
        </is>
      </c>
    </row>
    <row r="4" ht="14.25" customHeight="1">
      <c r="A4" s="72" t="inlineStr">
        <is>
          <t>DATA INICIAL</t>
        </is>
      </c>
      <c r="B4" s="334" t="n">
        <v>46223</v>
      </c>
      <c r="C4" s="72" t="inlineStr">
        <is>
          <t>DATA FINAL</t>
        </is>
      </c>
      <c r="D4" s="334" t="n">
        <v>46291</v>
      </c>
      <c r="E4" s="72" t="n"/>
      <c r="F4" s="211" t="inlineStr">
        <is>
          <t>DIAS CORRIDOS</t>
        </is>
      </c>
      <c r="G4" s="211">
        <f>IF(OR(B4="",D4=""),"",MAX(D4-B4+1,0))</f>
        <v/>
      </c>
      <c r="H4" s="212" t="inlineStr">
        <is>
          <t>DIAS ÚTEIS (SEG-SEX)</t>
        </is>
      </c>
      <c r="I4" s="212">
        <f>IF(OR(B4="",D4=""),"",IF(D4&lt;B4,0,NETWORKDAYS.INTL(B4,D4,1)))</f>
        <v/>
      </c>
      <c r="J4" s="72" t="n"/>
      <c r="K4" s="263" t="inlineStr">
        <is>
          <t>ALTERE O PERÍODO EM B4 E D4</t>
        </is>
      </c>
    </row>
    <row r="6">
      <c r="A6" s="89" t="inlineStr">
        <is>
          <t>PREVISTO CLIENTE</t>
        </is>
      </c>
      <c r="C6" s="89" t="inlineStr">
        <is>
          <t>REALIZADO EJ</t>
        </is>
      </c>
      <c r="E6" s="89" t="inlineStr">
        <is>
          <t>REALIZADO CMM</t>
        </is>
      </c>
      <c r="G6" s="89" t="inlineStr">
        <is>
          <t>REALIZADO TOTAL</t>
        </is>
      </c>
      <c r="I6" s="89" t="inlineStr">
        <is>
          <t>GAP DO PERÍODO</t>
        </is>
      </c>
      <c r="K6" s="89" t="inlineStr">
        <is>
          <t>% ATINGIMENTO</t>
        </is>
      </c>
      <c r="M6" s="89" t="inlineStr">
        <is>
          <t>GAP ACUMULADO</t>
        </is>
      </c>
    </row>
    <row r="7" ht="14.25" customHeight="1">
      <c r="A7" s="264">
        <f>E59</f>
        <v/>
      </c>
      <c r="C7" s="264">
        <f>F59</f>
        <v/>
      </c>
      <c r="E7" s="264">
        <f>G59</f>
        <v/>
      </c>
      <c r="G7" s="264">
        <f>H59</f>
        <v/>
      </c>
      <c r="I7" s="264">
        <f>I59</f>
        <v/>
      </c>
      <c r="K7" s="335">
        <f>J59</f>
        <v/>
      </c>
      <c r="M7" s="264">
        <f>O59</f>
        <v/>
      </c>
    </row>
    <row r="8"/>
    <row r="10" ht="30" customHeight="1">
      <c r="A10" s="73" t="inlineStr">
        <is>
          <t>Serviço</t>
        </is>
      </c>
      <c r="B10" s="73" t="inlineStr">
        <is>
          <t>Qtd Contratada</t>
        </is>
      </c>
      <c r="C10" s="73" t="inlineStr">
        <is>
          <t>Início Cliente</t>
        </is>
      </c>
      <c r="D10" s="73" t="inlineStr">
        <is>
          <t>Meta Cliente/Dia</t>
        </is>
      </c>
      <c r="E10" s="73" t="inlineStr">
        <is>
          <t>Previsto Período</t>
        </is>
      </c>
      <c r="F10" s="73" t="inlineStr">
        <is>
          <t>Realizado EJ</t>
        </is>
      </c>
      <c r="G10" s="73" t="inlineStr">
        <is>
          <t>Realizado CMM</t>
        </is>
      </c>
      <c r="H10" s="73" t="inlineStr">
        <is>
          <t>Realizado Total</t>
        </is>
      </c>
      <c r="I10" s="73" t="inlineStr">
        <is>
          <t>GAP Período</t>
        </is>
      </c>
      <c r="J10" s="73" t="inlineStr">
        <is>
          <t>% Ating.</t>
        </is>
      </c>
      <c r="K10" s="73" t="inlineStr">
        <is>
          <t>Previsto Acum.</t>
        </is>
      </c>
      <c r="L10" s="73" t="inlineStr">
        <is>
          <t>Realizado Acum.</t>
        </is>
      </c>
      <c r="M10" s="73" t="inlineStr">
        <is>
          <t>Saldo a executar</t>
        </is>
      </c>
      <c r="N10" s="73" t="inlineStr">
        <is>
          <t>Término Previsto</t>
        </is>
      </c>
      <c r="O10" s="73" t="inlineStr">
        <is>
          <t>GAP Acum.</t>
        </is>
      </c>
      <c r="P10" s="73" t="inlineStr">
        <is>
          <t>GAP/DIA</t>
        </is>
      </c>
      <c r="Q10" s="73" t="inlineStr">
        <is>
          <t>Status Período</t>
        </is>
      </c>
      <c r="R10" s="73" t="inlineStr">
        <is>
          <t>Frente</t>
        </is>
      </c>
      <c r="S10" s="73" t="inlineStr">
        <is>
          <t>AUX Peso</t>
        </is>
      </c>
      <c r="T10" s="73" t="inlineStr">
        <is>
          <t>AUX %Prev Per.</t>
        </is>
      </c>
      <c r="U10" s="73" t="inlineStr">
        <is>
          <t>AUX %EJ</t>
        </is>
      </c>
      <c r="V10" s="73" t="inlineStr">
        <is>
          <t>AUX %CMM</t>
        </is>
      </c>
      <c r="W10" s="73" t="inlineStr">
        <is>
          <t>AUX %Total</t>
        </is>
      </c>
      <c r="X10" s="73" t="inlineStr">
        <is>
          <t>AUX %Prev Acum</t>
        </is>
      </c>
      <c r="Y10" s="73" t="inlineStr">
        <is>
          <t>AUX %Real Acum</t>
        </is>
      </c>
    </row>
    <row r="11">
      <c r="A11" s="62">
        <f>'METAS CLIENTE'!A5</f>
        <v/>
      </c>
      <c r="B11" s="159">
        <f>IF('METAS CLIENTE'!B5="","",'METAS CLIENTE'!B5)</f>
        <v/>
      </c>
      <c r="C11" s="317">
        <f>IF('METAS CLIENTE'!C5="","",'METAS CLIENTE'!C5)</f>
        <v/>
      </c>
      <c r="D11" s="159">
        <f>IF('METAS CLIENTE'!E5="","",'METAS CLIENTE'!E5)</f>
        <v/>
      </c>
      <c r="E11" s="159">
        <f>IF(OR($B$4="",$D$4="",B11="",C11="",D11=""),"",MAX(0,IF($D$4&lt;C11,0,MIN(B11,D11*NETWORKDAYS.INTL(C11,$D$4,IF('METAS CLIENTE'!F5=5,"0000011",IF('METAS CLIENTE'!F5=6,"0000001","0000000")))))-IF($B$4&lt;=C11,0,MIN(B11,D11*NETWORKDAYS.INTL(C11,$B$4-1,IF('METAS CLIENTE'!F5=5,"0000011",IF('METAS CLIENTE'!F5=6,"0000001","0000000")))))))</f>
        <v/>
      </c>
      <c r="F11" s="159">
        <f>IF(OR($B$4="",$D$4=""),"",SUMIFS('CONTROLE EJ'!$B$8:$B$5000,'CONTROLE EJ'!$A$8:$A$5000,"&gt;="&amp;$B$4,'CONTROLE EJ'!$A$8:$A$5000,"&lt;="&amp;$D$4))</f>
        <v/>
      </c>
      <c r="G11" s="159">
        <f>IF(OR($B$4="",$D$4=""),"",SUMIFS('CONTROLE CMM'!$B$8:$B$5000,'CONTROLE CMM'!$A$8:$A$5000,"&gt;="&amp;$B$4,'CONTROLE CMM'!$A$8:$A$5000,"&lt;="&amp;$D$4))</f>
        <v/>
      </c>
      <c r="H11" s="159">
        <f>IF(OR(F11="",G11=""),"",F11+G11)</f>
        <v/>
      </c>
      <c r="I11" s="159">
        <f>IF(OR(E11="",H11=""),"",H11-E11)</f>
        <v/>
      </c>
      <c r="J11" s="319">
        <f>IFERROR(H11/E11,"")</f>
        <v/>
      </c>
      <c r="K11" s="159">
        <f>IF(OR($D$4="",B11="",C11="",D11=""),"",IF($D$4&lt;C11,0,MIN(B11,D11*NETWORKDAYS.INTL(C11,$D$4,IF('METAS CLIENTE'!F5=5,"0000011",IF('METAS CLIENTE'!F5=6,"0000001","0000000"))))))</f>
        <v/>
      </c>
      <c r="L11" s="159">
        <f>IF($D$4="","",SUMIFS('CONTROLE PRODUÇÃO POR EMPRESAS'!$B$6:$B$5000,'CONTROLE PRODUÇÃO POR EMPRESAS'!$A$6:$A$5000,"&lt;="&amp;$D$4)+SUMIFS('CONTROLE PRODUÇÃO POR EMPRESAS'!$E$6:$E$5000,'CONTROLE PRODUÇÃO POR EMPRESAS'!$A$6:$A$5000,"&lt;="&amp;$D$4))</f>
        <v/>
      </c>
      <c r="M11" s="159">
        <f>IF(OR(B11="",L11=""),"",MAX(B11-L11,0))</f>
        <v/>
      </c>
      <c r="N11" s="317">
        <f>'CLIENTE - PREV X REAL'!Q7</f>
        <v/>
      </c>
      <c r="O11" s="159">
        <f>IF(OR(K11="",L11=""),"",L11-K11)</f>
        <v/>
      </c>
      <c r="P11" s="336">
        <f>IFERROR(IF(O11&gt;0,TEXT(O11/D11,"0,0")&amp;" DIAS ",IF(O11&lt;0,TEXT(ABS(O11/D11),"0,0")&amp;" DIAS ","NO PRAZO")),"")</f>
        <v/>
      </c>
      <c r="Q11">
        <f>IF(B11="","CONFIGURAR",IF(E11="","SEM META",IF(I11&gt;0,"ADIANTADO",IF(I11&lt;0,"ATRASO","NO ALVO"))))</f>
        <v/>
      </c>
      <c r="R11" s="62">
        <f>'METAS CLIENTE'!N5</f>
        <v/>
      </c>
      <c r="S11" s="159">
        <f>IF(N(B11)&gt;0,'METAS CLIENTE'!L5,0)</f>
        <v/>
      </c>
      <c r="T11" s="319">
        <f>IF(N(B11)&gt;0,N(E11)/B11,0)</f>
        <v/>
      </c>
      <c r="U11" s="319">
        <f>IF(N(B11)&gt;0,N(F11)/B11,0)</f>
        <v/>
      </c>
      <c r="V11" s="319">
        <f>IF(N(B11)&gt;0,N(G11)/B11,0)</f>
        <v/>
      </c>
      <c r="W11" s="319">
        <f>IF(N(B11)&gt;0,N(H11)/B11,0)</f>
        <v/>
      </c>
      <c r="X11" s="319">
        <f>IF(N(B11)&gt;0,N(K11)/B11,0)</f>
        <v/>
      </c>
      <c r="Y11" s="319">
        <f>IF(N(B11)&gt;0,N(L11)/B11,0)</f>
        <v/>
      </c>
    </row>
    <row r="12">
      <c r="A12" s="62">
        <f>'METAS CLIENTE'!A6</f>
        <v/>
      </c>
      <c r="B12" s="159">
        <f>IF('METAS CLIENTE'!B6="","",'METAS CLIENTE'!B6)</f>
        <v/>
      </c>
      <c r="C12" s="317">
        <f>IF('METAS CLIENTE'!C6="","",'METAS CLIENTE'!C6)</f>
        <v/>
      </c>
      <c r="D12" s="159">
        <f>IF('METAS CLIENTE'!E6="","",'METAS CLIENTE'!E6)</f>
        <v/>
      </c>
      <c r="E12" s="159">
        <f>IF(OR($B$4="",$D$4="",B12="",C12="",D12=""),"",MAX(0,IF($D$4&lt;C12,0,MIN(B12,D12*NETWORKDAYS.INTL(C12,$D$4,IF('METAS CLIENTE'!F6=5,"0000011",IF('METAS CLIENTE'!F6=6,"0000001","0000000")))))-IF($B$4&lt;=C12,0,MIN(B12,D12*NETWORKDAYS.INTL(C12,$B$4-1,IF('METAS CLIENTE'!F6=5,"0000011",IF('METAS CLIENTE'!F6=6,"0000001","0000000")))))))</f>
        <v/>
      </c>
      <c r="F12" s="159">
        <f>IF(OR($B$4="",$D$4=""),"",SUMIFS('CONTROLE EJ'!$C$8:$C$5000,'CONTROLE EJ'!$A$8:$A$5000,"&gt;="&amp;$B$4,'CONTROLE EJ'!$A$8:$A$5000,"&lt;="&amp;$D$4))</f>
        <v/>
      </c>
      <c r="G12" s="159">
        <f>IF(OR($B$4="",$D$4=""),"",SUMIFS('CONTROLE CMM'!$C$8:$C$5000,'CONTROLE CMM'!$A$8:$A$5000,"&gt;="&amp;$B$4,'CONTROLE CMM'!$A$8:$A$5000,"&lt;="&amp;$D$4))</f>
        <v/>
      </c>
      <c r="H12" s="159">
        <f>IF(OR(F12="",G12=""),"",F12+G12)</f>
        <v/>
      </c>
      <c r="I12" s="159">
        <f>IF(OR(E12="",H12=""),"",H12-E12)</f>
        <v/>
      </c>
      <c r="J12" s="319">
        <f>IFERROR(H12/E12,"")</f>
        <v/>
      </c>
      <c r="K12" s="159">
        <f>IF(OR($D$4="",B12="",C12="",D12=""),"",IF($D$4&lt;C12,0,MIN(B12,D12*NETWORKDAYS.INTL(C12,$D$4,IF('METAS CLIENTE'!F6=5,"0000011",IF('METAS CLIENTE'!F6=6,"0000001","0000000"))))))</f>
        <v/>
      </c>
      <c r="L12" s="159">
        <f>IF($D$4="","",SUMIFS('CONTROLE PRODUÇÃO POR EMPRESAS'!$C$6:$C$5000,'CONTROLE PRODUÇÃO POR EMPRESAS'!$A$6:$A$5000,"&lt;="&amp;$D$4)+SUMIFS('CONTROLE PRODUÇÃO POR EMPRESAS'!$F$6:$F$5000,'CONTROLE PRODUÇÃO POR EMPRESAS'!$A$6:$A$5000,"&lt;="&amp;$D$4))</f>
        <v/>
      </c>
      <c r="M12" s="159">
        <f>IF(OR(B12="",L12=""),"",MAX(B12-L12,0))</f>
        <v/>
      </c>
      <c r="N12" s="317">
        <f>'CLIENTE - PREV X REAL'!Q8</f>
        <v/>
      </c>
      <c r="O12" s="159">
        <f>IF(OR(K12="",L12=""),"",L12-K12)</f>
        <v/>
      </c>
      <c r="P12" s="336">
        <f>IFERROR(IF(O12&gt;0,TEXT(O12/D12,"0,0")&amp;" DIAS ",IF(O12&lt;0,TEXT(ABS(O12/D12),"0,0")&amp;" DIAS ","NO PRAZO")),"")</f>
        <v/>
      </c>
      <c r="Q12">
        <f>IF(B12="","CONFIGURAR",IF(E12="","SEM META",IF(I12&gt;0,"ADIANTADO",IF(I12&lt;0,"ATRASO","NO ALVO"))))</f>
        <v/>
      </c>
      <c r="R12" s="62">
        <f>'METAS CLIENTE'!N6</f>
        <v/>
      </c>
      <c r="S12" s="159">
        <f>IF(N(B12)&gt;0,'METAS CLIENTE'!L6,0)</f>
        <v/>
      </c>
      <c r="T12" s="319">
        <f>IF(N(B12)&gt;0,N(E12)/B12,0)</f>
        <v/>
      </c>
      <c r="U12" s="319">
        <f>IF(N(B12)&gt;0,N(F12)/B12,0)</f>
        <v/>
      </c>
      <c r="V12" s="319">
        <f>IF(N(B12)&gt;0,N(G12)/B12,0)</f>
        <v/>
      </c>
      <c r="W12" s="319">
        <f>IF(N(B12)&gt;0,N(H12)/B12,0)</f>
        <v/>
      </c>
      <c r="X12" s="319">
        <f>IF(N(B12)&gt;0,N(K12)/B12,0)</f>
        <v/>
      </c>
      <c r="Y12" s="319">
        <f>IF(N(B12)&gt;0,N(L12)/B12,0)</f>
        <v/>
      </c>
    </row>
    <row r="13">
      <c r="A13" s="62">
        <f>'METAS CLIENTE'!A7</f>
        <v/>
      </c>
      <c r="B13" s="159">
        <f>IF('METAS CLIENTE'!B7="","",'METAS CLIENTE'!B7)</f>
        <v/>
      </c>
      <c r="C13" s="317">
        <f>IF('METAS CLIENTE'!C7="","",'METAS CLIENTE'!C7)</f>
        <v/>
      </c>
      <c r="D13" s="159">
        <f>IF('METAS CLIENTE'!E7="","",'METAS CLIENTE'!E7)</f>
        <v/>
      </c>
      <c r="E13" s="159">
        <f>IF(OR($B$4="",$D$4="",B13="",C13="",D13=""),"",MAX(0,IF($D$4&lt;C13,0,MIN(B13,D13*NETWORKDAYS.INTL(C13,$D$4,IF('METAS CLIENTE'!F7=5,"0000011",IF('METAS CLIENTE'!F7=6,"0000001","0000000")))))-IF($B$4&lt;=C13,0,MIN(B13,D13*NETWORKDAYS.INTL(C13,$B$4-1,IF('METAS CLIENTE'!F7=5,"0000011",IF('METAS CLIENTE'!F7=6,"0000001","0000000")))))))</f>
        <v/>
      </c>
      <c r="F13" s="159">
        <f>IF(OR($B$4="",$D$4=""),"",SUMIFS('CONTROLE EJ'!$D$8:$D$5000,'CONTROLE EJ'!$A$8:$A$5000,"&gt;="&amp;$B$4,'CONTROLE EJ'!$A$8:$A$5000,"&lt;="&amp;$D$4))</f>
        <v/>
      </c>
      <c r="G13" s="159">
        <f>IF(OR($B$4="",$D$4=""),"",SUMIFS('CONTROLE CMM'!$D$8:$D$5000,'CONTROLE CMM'!$A$8:$A$5000,"&gt;="&amp;$B$4,'CONTROLE CMM'!$A$8:$A$5000,"&lt;="&amp;$D$4))</f>
        <v/>
      </c>
      <c r="H13" s="159">
        <f>IF(OR(F13="",G13=""),"",F13+G13)</f>
        <v/>
      </c>
      <c r="I13" s="159">
        <f>IF(OR(E13="",H13=""),"",H13-E13)</f>
        <v/>
      </c>
      <c r="J13" s="319">
        <f>IFERROR(H13/E13,"")</f>
        <v/>
      </c>
      <c r="K13" s="159">
        <f>IF(OR($D$4="",B13="",C13="",D13=""),"",IF($D$4&lt;C13,0,MIN(B13,D13*NETWORKDAYS.INTL(C13,$D$4,IF('METAS CLIENTE'!F7=5,"0000011",IF('METAS CLIENTE'!F7=6,"0000001","0000000"))))))</f>
        <v/>
      </c>
      <c r="L13" s="159">
        <f>IF($D$4="","",SUMIFS('CONTROLE PRODUÇÃO POR EMPRESAS'!$D$6:$D$5000,'CONTROLE PRODUÇÃO POR EMPRESAS'!$A$6:$A$5000,"&lt;="&amp;$D$4)+SUMIFS('CONTROLE PRODUÇÃO POR EMPRESAS'!$G$6:$G$5000,'CONTROLE PRODUÇÃO POR EMPRESAS'!$A$6:$A$5000,"&lt;="&amp;$D$4))</f>
        <v/>
      </c>
      <c r="M13" s="159">
        <f>IF(OR(B13="",L13=""),"",MAX(B13-L13,0))</f>
        <v/>
      </c>
      <c r="N13" s="317">
        <f>'CLIENTE - PREV X REAL'!Q9</f>
        <v/>
      </c>
      <c r="O13" s="159">
        <f>IF(OR(K13="",L13=""),"",L13-K13)</f>
        <v/>
      </c>
      <c r="P13" s="336">
        <f>IFERROR(IF(O13&gt;0,TEXT(O13/D13,"0,0")&amp;" DIAS ",IF(O13&lt;0,TEXT(ABS(O13/D13),"0,0")&amp;" DIAS ","NO PRAZO")),"")</f>
        <v/>
      </c>
      <c r="Q13">
        <f>IF(B13="","CONFIGURAR",IF(E13="","SEM META",IF(I13&gt;0,"ADIANTADO",IF(I13&lt;0,"ATRASO","NO ALVO"))))</f>
        <v/>
      </c>
      <c r="R13" s="62">
        <f>'METAS CLIENTE'!N7</f>
        <v/>
      </c>
      <c r="S13" s="159">
        <f>IF(N(B13)&gt;0,'METAS CLIENTE'!L7,0)</f>
        <v/>
      </c>
      <c r="T13" s="319">
        <f>IF(N(B13)&gt;0,N(E13)/B13,0)</f>
        <v/>
      </c>
      <c r="U13" s="319">
        <f>IF(N(B13)&gt;0,N(F13)/B13,0)</f>
        <v/>
      </c>
      <c r="V13" s="319">
        <f>IF(N(B13)&gt;0,N(G13)/B13,0)</f>
        <v/>
      </c>
      <c r="W13" s="319">
        <f>IF(N(B13)&gt;0,N(H13)/B13,0)</f>
        <v/>
      </c>
      <c r="X13" s="319">
        <f>IF(N(B13)&gt;0,N(K13)/B13,0)</f>
        <v/>
      </c>
      <c r="Y13" s="319">
        <f>IF(N(B13)&gt;0,N(L13)/B13,0)</f>
        <v/>
      </c>
    </row>
    <row r="14">
      <c r="A14" s="62">
        <f>'METAS CLIENTE'!A8</f>
        <v/>
      </c>
      <c r="B14" s="159">
        <f>IF('METAS CLIENTE'!B8="","",'METAS CLIENTE'!B8)</f>
        <v/>
      </c>
      <c r="C14" s="317">
        <f>IF('METAS CLIENTE'!C8="","",'METAS CLIENTE'!C8)</f>
        <v/>
      </c>
      <c r="D14" s="159">
        <f>IF('METAS CLIENTE'!E8="","",'METAS CLIENTE'!E8)</f>
        <v/>
      </c>
      <c r="E14" s="159">
        <f>IF(OR($B$4="",$D$4="",B14="",C14="",D14=""),"",MAX(0,IF($D$4&lt;C14,0,MIN(B14,D14*NETWORKDAYS.INTL(C14,$D$4,IF('METAS CLIENTE'!F8=5,"0000011",IF('METAS CLIENTE'!F8=6,"0000001","0000000")))))-IF($B$4&lt;=C14,0,MIN(B14,D14*NETWORKDAYS.INTL(C14,$B$4-1,IF('METAS CLIENTE'!F8=5,"0000011",IF('METAS CLIENTE'!F8=6,"0000001","0000000")))))))</f>
        <v/>
      </c>
      <c r="F14" s="159">
        <f>IF(H14="","",0)</f>
        <v/>
      </c>
      <c r="G14" s="159">
        <f>IF(H14="","",0)</f>
        <v/>
      </c>
      <c r="H14" s="159">
        <f>IF(OR($B$4="",$D$4=""),"",SUMIFS('CONTROLE PRODUÇÃO POR EMPRESAS'!$H$6:$H$5000,'CONTROLE PRODUÇÃO POR EMPRESAS'!$A$6:$A$5000,"&gt;="&amp;$B$4,'CONTROLE PRODUÇÃO POR EMPRESAS'!$A$6:$A$5000,"&lt;="&amp;$D$4))</f>
        <v/>
      </c>
      <c r="I14" s="159">
        <f>IF(OR(E14="",H14=""),"",H14-E14)</f>
        <v/>
      </c>
      <c r="J14" s="319">
        <f>IFERROR(H14/E14,"")</f>
        <v/>
      </c>
      <c r="K14" s="159">
        <f>IF(OR($D$4="",B14="",C14="",D14=""),"",IF($D$4&lt;C14,0,MIN(B14,D14*NETWORKDAYS.INTL(C14,$D$4,IF('METAS CLIENTE'!F8=5,"0000011",IF('METAS CLIENTE'!F8=6,"0000001","0000000"))))))</f>
        <v/>
      </c>
      <c r="L14" s="159">
        <f>IF($D$4="","",SUMIFS('CONTROLE PRODUÇÃO POR EMPRESAS'!$H$6:$H$5000,'CONTROLE PRODUÇÃO POR EMPRESAS'!$A$6:$A$5000,"&lt;="&amp;$D$4))</f>
        <v/>
      </c>
      <c r="M14" s="159">
        <f>IF(OR(B14="",L14=""),"",MAX(B14-L14,0))</f>
        <v/>
      </c>
      <c r="N14" s="317">
        <f>'CLIENTE - PREV X REAL'!Q10</f>
        <v/>
      </c>
      <c r="O14" s="159">
        <f>IF(OR(K14="",L14=""),"",L14-K14)</f>
        <v/>
      </c>
      <c r="P14" s="336">
        <f>IFERROR(IF(O14&gt;0,TEXT(O14/D14,"0,0")&amp;" DIAS ",IF(O14&lt;0,TEXT(ABS(O14/D14),"0,0")&amp;" DIAS ","NO PRAZO")),"")</f>
        <v/>
      </c>
      <c r="Q14">
        <f>IF(B14="","CONFIGURAR",IF(E14="","SEM META",IF(I14&gt;0,"ADIANTADO",IF(I14&lt;0,"ATRASO","NO ALVO"))))</f>
        <v/>
      </c>
      <c r="R14" s="62">
        <f>'METAS CLIENTE'!N8</f>
        <v/>
      </c>
      <c r="S14" s="159">
        <f>IF(N(B14)&gt;0,'METAS CLIENTE'!L8,0)</f>
        <v/>
      </c>
      <c r="T14" s="319">
        <f>IF(N(B14)&gt;0,N(E14)/B14,0)</f>
        <v/>
      </c>
      <c r="U14" s="319">
        <f>IF(N(B14)&gt;0,N(F14)/B14,0)</f>
        <v/>
      </c>
      <c r="V14" s="319">
        <f>IF(N(B14)&gt;0,N(G14)/B14,0)</f>
        <v/>
      </c>
      <c r="W14" s="319">
        <f>IF(N(B14)&gt;0,N(H14)/B14,0)</f>
        <v/>
      </c>
      <c r="X14" s="319">
        <f>IF(N(B14)&gt;0,N(K14)/B14,0)</f>
        <v/>
      </c>
      <c r="Y14" s="319">
        <f>IF(N(B14)&gt;0,N(L14)/B14,0)</f>
        <v/>
      </c>
    </row>
    <row r="15">
      <c r="A15" s="62">
        <f>'METAS CLIENTE'!A9</f>
        <v/>
      </c>
      <c r="B15" s="159">
        <f>IF('METAS CLIENTE'!B9="","",'METAS CLIENTE'!B9)</f>
        <v/>
      </c>
      <c r="C15" s="317">
        <f>IF('METAS CLIENTE'!C9="","",'METAS CLIENTE'!C9)</f>
        <v/>
      </c>
      <c r="D15" s="159">
        <f>IF('METAS CLIENTE'!E9="","",'METAS CLIENTE'!E9)</f>
        <v/>
      </c>
      <c r="E15" s="159">
        <f>IF(OR($B$4="",$D$4="",B15="",C15="",D15=""),"",MAX(0,IF($D$4&lt;C15,0,MIN(B15,D15*NETWORKDAYS.INTL(C15,$D$4,IF('METAS CLIENTE'!F9=5,"0000011",IF('METAS CLIENTE'!F9=6,"0000001","0000000")))))-IF($B$4&lt;=C15,0,MIN(B15,D15*NETWORKDAYS.INTL(C15,$B$4-1,IF('METAS CLIENTE'!F9=5,"0000011",IF('METAS CLIENTE'!F9=6,"0000001","0000000")))))))</f>
        <v/>
      </c>
      <c r="F15" s="159">
        <f>IF(H15="","",0)</f>
        <v/>
      </c>
      <c r="G15" s="159">
        <f>IF(H15="","",0)</f>
        <v/>
      </c>
      <c r="H15" s="159">
        <f>IF(OR($B$4="",$D$4=""),"",SUMIFS('CONTROLE PRODUÇÃO POR EMPRESAS'!$I$6:$I$5000,'CONTROLE PRODUÇÃO POR EMPRESAS'!$A$6:$A$5000,"&gt;="&amp;$B$4,'CONTROLE PRODUÇÃO POR EMPRESAS'!$A$6:$A$5000,"&lt;="&amp;$D$4))</f>
        <v/>
      </c>
      <c r="I15" s="159">
        <f>IF(OR(E15="",H15=""),"",H15-E15)</f>
        <v/>
      </c>
      <c r="J15" s="319">
        <f>IFERROR(H15/E15,"")</f>
        <v/>
      </c>
      <c r="K15" s="159">
        <f>IF(OR($D$4="",B15="",C15="",D15=""),"",IF($D$4&lt;C15,0,MIN(B15,D15*NETWORKDAYS.INTL(C15,$D$4,IF('METAS CLIENTE'!F9=5,"0000011",IF('METAS CLIENTE'!F9=6,"0000001","0000000"))))))</f>
        <v/>
      </c>
      <c r="L15" s="159">
        <f>IF($D$4="","",SUMIFS('CONTROLE PRODUÇÃO POR EMPRESAS'!$I$6:$I$5000,'CONTROLE PRODUÇÃO POR EMPRESAS'!$A$6:$A$5000,"&lt;="&amp;$D$4))</f>
        <v/>
      </c>
      <c r="M15" s="159">
        <f>IF(OR(B15="",L15=""),"",MAX(B15-L15,0))</f>
        <v/>
      </c>
      <c r="N15" s="317">
        <f>'CLIENTE - PREV X REAL'!Q11</f>
        <v/>
      </c>
      <c r="O15" s="159">
        <f>IF(OR(K15="",L15=""),"",L15-K15)</f>
        <v/>
      </c>
      <c r="P15" s="336">
        <f>IFERROR(IF(O15&gt;0,TEXT(O15/D15,"0,0")&amp;" DIAS ",IF(O15&lt;0,TEXT(ABS(O15/D15),"0,0")&amp;" DIAS ","NO PRAZO")),"")</f>
        <v/>
      </c>
      <c r="Q15">
        <f>IF(B15="","CONFIGURAR",IF(E15="","SEM META",IF(I15&gt;0,"ADIANTADO",IF(I15&lt;0,"ATRASO","NO ALVO"))))</f>
        <v/>
      </c>
      <c r="R15" s="62">
        <f>'METAS CLIENTE'!N9</f>
        <v/>
      </c>
      <c r="S15" s="159">
        <f>IF(N(B15)&gt;0,'METAS CLIENTE'!L9,0)</f>
        <v/>
      </c>
      <c r="T15" s="319">
        <f>IF(N(B15)&gt;0,N(E15)/B15,0)</f>
        <v/>
      </c>
      <c r="U15" s="319">
        <f>IF(N(B15)&gt;0,N(F15)/B15,0)</f>
        <v/>
      </c>
      <c r="V15" s="319">
        <f>IF(N(B15)&gt;0,N(G15)/B15,0)</f>
        <v/>
      </c>
      <c r="W15" s="319">
        <f>IF(N(B15)&gt;0,N(H15)/B15,0)</f>
        <v/>
      </c>
      <c r="X15" s="319">
        <f>IF(N(B15)&gt;0,N(K15)/B15,0)</f>
        <v/>
      </c>
      <c r="Y15" s="319">
        <f>IF(N(B15)&gt;0,N(L15)/B15,0)</f>
        <v/>
      </c>
    </row>
    <row r="16">
      <c r="A16" s="62">
        <f>'METAS CLIENTE'!A10</f>
        <v/>
      </c>
      <c r="B16" s="159">
        <f>IF('METAS CLIENTE'!B10="","",'METAS CLIENTE'!B10)</f>
        <v/>
      </c>
      <c r="C16" s="317">
        <f>IF('METAS CLIENTE'!C10="","",'METAS CLIENTE'!C10)</f>
        <v/>
      </c>
      <c r="D16" s="159">
        <f>IF('METAS CLIENTE'!E10="","",'METAS CLIENTE'!E10)</f>
        <v/>
      </c>
      <c r="E16" s="159">
        <f>IF(OR($B$4="",$D$4="",B16="",C16="",D16=""),"",MAX(0,IF($D$4&lt;C16,0,MIN(B16,D16*NETWORKDAYS.INTL(C16,$D$4,IF('METAS CLIENTE'!F10=5,"0000011",IF('METAS CLIENTE'!F10=6,"0000001","0000000")))))-IF($B$4&lt;=C16,0,MIN(B16,D16*NETWORKDAYS.INTL(C16,$B$4-1,IF('METAS CLIENTE'!F10=5,"0000011",IF('METAS CLIENTE'!F10=6,"0000001","0000000")))))))</f>
        <v/>
      </c>
      <c r="F16" s="159">
        <f>IF(H16="","",0)</f>
        <v/>
      </c>
      <c r="G16" s="159">
        <f>IF(H16="","",0)</f>
        <v/>
      </c>
      <c r="H16" s="159">
        <f>IF(OR($B$4="",$D$4=""),"",SUMIFS('CONTROLE PRODUÇÃO POR EMPRESAS'!$AH$6:$AH$5000,'CONTROLE PRODUÇÃO POR EMPRESAS'!$A$6:$A$5000,"&gt;="&amp;$B$4,'CONTROLE PRODUÇÃO POR EMPRESAS'!$A$6:$A$5000,"&lt;="&amp;$D$4))</f>
        <v/>
      </c>
      <c r="I16" s="159">
        <f>IF(OR(E16="",H16=""),"",H16-E16)</f>
        <v/>
      </c>
      <c r="J16" s="319">
        <f>IFERROR(H16/E16,"")</f>
        <v/>
      </c>
      <c r="K16" s="159">
        <f>IF(OR($D$4="",B16="",C16="",D16=""),"",IF($D$4&lt;C16,0,MIN(B16,D16*NETWORKDAYS.INTL(C16,$D$4,IF('METAS CLIENTE'!F10=5,"0000011",IF('METAS CLIENTE'!F10=6,"0000001","0000000"))))))</f>
        <v/>
      </c>
      <c r="L16" s="159">
        <f>IF($D$4="","",SUMIFS('CONTROLE PRODUÇÃO POR EMPRESAS'!$AH$6:$AH$5000,'CONTROLE PRODUÇÃO POR EMPRESAS'!$A$6:$A$5000,"&lt;="&amp;$D$4))</f>
        <v/>
      </c>
      <c r="M16" s="159">
        <f>IF(OR(B16="",L16=""),"",MAX(B16-L16,0))</f>
        <v/>
      </c>
      <c r="N16" s="317">
        <f>'CLIENTE - PREV X REAL'!Q12</f>
        <v/>
      </c>
      <c r="O16" s="159">
        <f>IF(OR(K16="",L16=""),"",L16-K16)</f>
        <v/>
      </c>
      <c r="P16" s="336">
        <f>IFERROR(IF(O16&gt;0,TEXT(O16/D16,"0,0")&amp;" DIAS ",IF(O16&lt;0,TEXT(ABS(O16/D16),"0,0")&amp;" DIAS ","NO PRAZO")),"")</f>
        <v/>
      </c>
      <c r="Q16">
        <f>IF(B16="","CONFIGURAR",IF(E16="","SEM META",IF(I16&gt;0,"ADIANTADO",IF(I16&lt;0,"ATRASO","NO ALVO"))))</f>
        <v/>
      </c>
      <c r="R16" s="62">
        <f>'METAS CLIENTE'!N10</f>
        <v/>
      </c>
      <c r="S16" s="159">
        <f>IF(N(B16)&gt;0,'METAS CLIENTE'!L10,0)</f>
        <v/>
      </c>
      <c r="T16" s="319">
        <f>IF(N(B16)&gt;0,N(E16)/B16,0)</f>
        <v/>
      </c>
      <c r="U16" s="319">
        <f>IF(N(B16)&gt;0,N(F16)/B16,0)</f>
        <v/>
      </c>
      <c r="V16" s="319">
        <f>IF(N(B16)&gt;0,N(G16)/B16,0)</f>
        <v/>
      </c>
      <c r="W16" s="319">
        <f>IF(N(B16)&gt;0,N(H16)/B16,0)</f>
        <v/>
      </c>
      <c r="X16" s="319">
        <f>IF(N(B16)&gt;0,N(K16)/B16,0)</f>
        <v/>
      </c>
      <c r="Y16" s="319">
        <f>IF(N(B16)&gt;0,N(L16)/B16,0)</f>
        <v/>
      </c>
    </row>
    <row r="17">
      <c r="A17" s="62">
        <f>'METAS CLIENTE'!A11</f>
        <v/>
      </c>
      <c r="B17" s="159">
        <f>IF('METAS CLIENTE'!B11="","",'METAS CLIENTE'!B11)</f>
        <v/>
      </c>
      <c r="C17" s="317">
        <f>IF('METAS CLIENTE'!C11="","",'METAS CLIENTE'!C11)</f>
        <v/>
      </c>
      <c r="D17" s="159">
        <f>IF('METAS CLIENTE'!E11="","",'METAS CLIENTE'!E11)</f>
        <v/>
      </c>
      <c r="E17" s="159">
        <f>IF(OR($B$4="",$D$4="",B17="",C17="",D17=""),"",MAX(0,IF($D$4&lt;C17,0,MIN(B17,D17*NETWORKDAYS.INTL(C17,$D$4,IF('METAS CLIENTE'!F11=5,"0000011",IF('METAS CLIENTE'!F11=6,"0000001","0000000")))))-IF($B$4&lt;=C17,0,MIN(B17,D17*NETWORKDAYS.INTL(C17,$B$4-1,IF('METAS CLIENTE'!F11=5,"0000011",IF('METAS CLIENTE'!F11=6,"0000001","0000000")))))))</f>
        <v/>
      </c>
      <c r="F17" s="159">
        <f>IF(H17="","",0)</f>
        <v/>
      </c>
      <c r="G17" s="159">
        <f>IF(H17="","",0)</f>
        <v/>
      </c>
      <c r="H17" s="159">
        <f>IF(OR($B$4="",$D$4=""),"",SUMIFS('CONTROLE PRODUÇÃO POR EMPRESAS'!$AI$6:$AI$5000,'CONTROLE PRODUÇÃO POR EMPRESAS'!$A$6:$A$5000,"&gt;="&amp;$B$4,'CONTROLE PRODUÇÃO POR EMPRESAS'!$A$6:$A$5000,"&lt;="&amp;$D$4))</f>
        <v/>
      </c>
      <c r="I17" s="159">
        <f>IF(OR(E17="",H17=""),"",H17-E17)</f>
        <v/>
      </c>
      <c r="J17" s="319">
        <f>IFERROR(H17/E17,"")</f>
        <v/>
      </c>
      <c r="K17" s="159">
        <f>IF(OR($D$4="",B17="",C17="",D17=""),"",IF($D$4&lt;C17,0,MIN(B17,D17*NETWORKDAYS.INTL(C17,$D$4,IF('METAS CLIENTE'!F11=5,"0000011",IF('METAS CLIENTE'!F11=6,"0000001","0000000"))))))</f>
        <v/>
      </c>
      <c r="L17" s="159">
        <f>IF($D$4="","",SUMIFS('CONTROLE PRODUÇÃO POR EMPRESAS'!$AI$6:$AI$5000,'CONTROLE PRODUÇÃO POR EMPRESAS'!$A$6:$A$5000,"&lt;="&amp;$D$4))</f>
        <v/>
      </c>
      <c r="M17" s="159">
        <f>IF(OR(B17="",L17=""),"",MAX(B17-L17,0))</f>
        <v/>
      </c>
      <c r="N17" s="317">
        <f>'CLIENTE - PREV X REAL'!Q13</f>
        <v/>
      </c>
      <c r="O17" s="159">
        <f>IF(OR(K17="",L17=""),"",L17-K17)</f>
        <v/>
      </c>
      <c r="P17" s="336">
        <f>IFERROR(IF(O17&gt;0,TEXT(O17/D17,"0,0")&amp;" DIAS ",IF(O17&lt;0,TEXT(ABS(O17/D17),"0,0")&amp;" DIAS ","NO PRAZO")),"")</f>
        <v/>
      </c>
      <c r="Q17">
        <f>IF(B17="","CONFIGURAR",IF(E17="","SEM META",IF(I17&gt;0,"ADIANTADO",IF(I17&lt;0,"ATRASO","NO ALVO"))))</f>
        <v/>
      </c>
      <c r="R17" s="62">
        <f>'METAS CLIENTE'!N11</f>
        <v/>
      </c>
      <c r="S17" s="159">
        <f>IF(N(B17)&gt;0,'METAS CLIENTE'!L11,0)</f>
        <v/>
      </c>
      <c r="T17" s="319">
        <f>IF(N(B17)&gt;0,N(E17)/B17,0)</f>
        <v/>
      </c>
      <c r="U17" s="319">
        <f>IF(N(B17)&gt;0,N(F17)/B17,0)</f>
        <v/>
      </c>
      <c r="V17" s="319">
        <f>IF(N(B17)&gt;0,N(G17)/B17,0)</f>
        <v/>
      </c>
      <c r="W17" s="319">
        <f>IF(N(B17)&gt;0,N(H17)/B17,0)</f>
        <v/>
      </c>
      <c r="X17" s="319">
        <f>IF(N(B17)&gt;0,N(K17)/B17,0)</f>
        <v/>
      </c>
      <c r="Y17" s="319">
        <f>IF(N(B17)&gt;0,N(L17)/B17,0)</f>
        <v/>
      </c>
    </row>
    <row r="18">
      <c r="A18" s="62">
        <f>'METAS CLIENTE'!A12</f>
        <v/>
      </c>
      <c r="B18" s="159">
        <f>IF('METAS CLIENTE'!B12="","",'METAS CLIENTE'!B12)</f>
        <v/>
      </c>
      <c r="C18" s="317">
        <f>IF('METAS CLIENTE'!C12="","",'METAS CLIENTE'!C12)</f>
        <v/>
      </c>
      <c r="D18" s="159">
        <f>IF('METAS CLIENTE'!E12="","",'METAS CLIENTE'!E12)</f>
        <v/>
      </c>
      <c r="E18" s="159">
        <f>IF(OR($B$4="",$D$4="",B18="",C18="",D18=""),"",MAX(0,IF($D$4&lt;C18,0,MIN(B18,D18*NETWORKDAYS.INTL(C18,$D$4,IF('METAS CLIENTE'!F12=5,"0000011",IF('METAS CLIENTE'!F12=6,"0000001","0000000")))))-IF($B$4&lt;=C18,0,MIN(B18,D18*NETWORKDAYS.INTL(C18,$B$4-1,IF('METAS CLIENTE'!F12=5,"0000011",IF('METAS CLIENTE'!F12=6,"0000001","0000000")))))))</f>
        <v/>
      </c>
      <c r="F18" s="159">
        <f>IF(OR($B$4="",$D$4=""),"",SUMIFS('CONTROLE EJ'!$E$8:$E$5000,'CONTROLE EJ'!$A$8:$A$5000,"&gt;="&amp;$B$4,'CONTROLE EJ'!$A$8:$A$5000,"&lt;="&amp;$D$4))</f>
        <v/>
      </c>
      <c r="G18" s="159">
        <f>IF(OR($B$4="",$D$4=""),"",SUMIFS('CONTROLE CMM'!$E$8:$E$5000,'CONTROLE CMM'!$A$8:$A$5000,"&gt;="&amp;$B$4,'CONTROLE CMM'!$A$8:$A$5000,"&lt;="&amp;$D$4))</f>
        <v/>
      </c>
      <c r="H18" s="159">
        <f>IF(OR($B$4="",$D$4=""),"",SUMIFS('CONTROLE PRODUÇÃO POR EMPRESAS'!$AJ$6:$AJ$5000,'CONTROLE PRODUÇÃO POR EMPRESAS'!$A$6:$A$5000,"&gt;="&amp;$B$4,'CONTROLE PRODUÇÃO POR EMPRESAS'!$A$6:$A$5000,"&lt;="&amp;$D$4))</f>
        <v/>
      </c>
      <c r="I18" s="159">
        <f>IF(OR(E18="",H18=""),"",H18-E18)</f>
        <v/>
      </c>
      <c r="J18" s="319">
        <f>IFERROR(H18/E18,"")</f>
        <v/>
      </c>
      <c r="K18" s="159">
        <f>IF(OR($D$4="",B18="",C18="",D18=""),"",IF($D$4&lt;C18,0,MIN(B18,D18*NETWORKDAYS.INTL(C18,$D$4,IF('METAS CLIENTE'!F12=5,"0000011",IF('METAS CLIENTE'!F12=6,"0000001","0000000"))))))</f>
        <v/>
      </c>
      <c r="L18" s="159">
        <f>IF($D$4="","",SUMIFS('CONTROLE PRODUÇÃO POR EMPRESAS'!$AJ$6:$AJ$5000,'CONTROLE PRODUÇÃO POR EMPRESAS'!$A$6:$A$5000,"&lt;="&amp;$D$4))</f>
        <v/>
      </c>
      <c r="M18" s="159">
        <f>IF(OR(B18="",L18=""),"",MAX(B18-L18,0))</f>
        <v/>
      </c>
      <c r="N18" s="317">
        <f>'CLIENTE - PREV X REAL'!Q14</f>
        <v/>
      </c>
      <c r="O18" s="159">
        <f>IF(OR(K18="",L18=""),"",L18-K18)</f>
        <v/>
      </c>
      <c r="P18" s="336">
        <f>IFERROR(IF(O18&gt;0,TEXT(O18/D18,"0,0")&amp;" DIAS ",IF(O18&lt;0,TEXT(ABS(O18/D18),"0,0")&amp;" DIAS ","NO PRAZO")),"")</f>
        <v/>
      </c>
      <c r="Q18">
        <f>IF(B18="","CONFIGURAR",IF(E18="","SEM META",IF(I18&gt;0,"ADIANTADO",IF(I18&lt;0,"ATRASO","NO ALVO"))))</f>
        <v/>
      </c>
      <c r="R18" s="62">
        <f>'METAS CLIENTE'!N12</f>
        <v/>
      </c>
      <c r="S18" s="159">
        <f>IF(N(B18)&gt;0,'METAS CLIENTE'!L12,0)</f>
        <v/>
      </c>
      <c r="T18" s="319">
        <f>IF(N(B18)&gt;0,N(E18)/B18,0)</f>
        <v/>
      </c>
      <c r="U18" s="319">
        <f>IF(N(B18)&gt;0,N(F18)/B18,0)</f>
        <v/>
      </c>
      <c r="V18" s="319">
        <f>IF(N(B18)&gt;0,N(G18)/B18,0)</f>
        <v/>
      </c>
      <c r="W18" s="319">
        <f>IF(N(B18)&gt;0,N(H18)/B18,0)</f>
        <v/>
      </c>
      <c r="X18" s="319">
        <f>IF(N(B18)&gt;0,N(K18)/B18,0)</f>
        <v/>
      </c>
      <c r="Y18" s="319">
        <f>IF(N(B18)&gt;0,N(L18)/B18,0)</f>
        <v/>
      </c>
    </row>
    <row r="19">
      <c r="A19" s="62">
        <f>'METAS CLIENTE'!A13</f>
        <v/>
      </c>
      <c r="B19" s="159">
        <f>IF('METAS CLIENTE'!B13="","",'METAS CLIENTE'!B13)</f>
        <v/>
      </c>
      <c r="C19" s="317">
        <f>IF('METAS CLIENTE'!C13="","",'METAS CLIENTE'!C13)</f>
        <v/>
      </c>
      <c r="D19" s="159">
        <f>IF('METAS CLIENTE'!E13="","",'METAS CLIENTE'!E13)</f>
        <v/>
      </c>
      <c r="E19" s="159">
        <f>IF(OR($B$4="",$D$4="",B19="",C19="",D19=""),"",MAX(0,IF($D$4&lt;C19,0,MIN(B19,D19*NETWORKDAYS.INTL(C19,$D$4,IF('METAS CLIENTE'!F13=5,"0000011",IF('METAS CLIENTE'!F13=6,"0000001","0000000")))))-IF($B$4&lt;=C19,0,MIN(B19,D19*NETWORKDAYS.INTL(C19,$B$4-1,IF('METAS CLIENTE'!F13=5,"0000011",IF('METAS CLIENTE'!F13=6,"0000001","0000000")))))))</f>
        <v/>
      </c>
      <c r="F19" s="159">
        <f>IF(H19="","",0)</f>
        <v/>
      </c>
      <c r="G19" s="159">
        <f>IF(H19="","",0)</f>
        <v/>
      </c>
      <c r="H19" s="159">
        <f>IF(OR($B$4="",$D$4=""),"",SUMIFS('CONTROLE PRODUÇÃO POR EMPRESAS'!$J$6:$J$5000,'CONTROLE PRODUÇÃO POR EMPRESAS'!$A$6:$A$5000,"&gt;="&amp;$B$4,'CONTROLE PRODUÇÃO POR EMPRESAS'!$A$6:$A$5000,"&lt;="&amp;$D$4))</f>
        <v/>
      </c>
      <c r="I19" s="159">
        <f>IF(OR(E19="",H19=""),"",H19-E19)</f>
        <v/>
      </c>
      <c r="J19" s="319">
        <f>IFERROR(H19/E19,"")</f>
        <v/>
      </c>
      <c r="K19" s="159">
        <f>IF(OR($D$4="",B19="",C19="",D19=""),"",IF($D$4&lt;C19,0,MIN(B19,D19*NETWORKDAYS.INTL(C19,$D$4,IF('METAS CLIENTE'!F13=5,"0000011",IF('METAS CLIENTE'!F13=6,"0000001","0000000"))))))</f>
        <v/>
      </c>
      <c r="L19" s="159">
        <f>IF($D$4="","",SUMIFS('CONTROLE PRODUÇÃO POR EMPRESAS'!$J$6:$J$5000,'CONTROLE PRODUÇÃO POR EMPRESAS'!$A$6:$A$5000,"&lt;="&amp;$D$4))</f>
        <v/>
      </c>
      <c r="M19" s="159">
        <f>IF(OR(B19="",L19=""),"",MAX(B19-L19,0))</f>
        <v/>
      </c>
      <c r="N19" s="317">
        <f>'CLIENTE - PREV X REAL'!Q15</f>
        <v/>
      </c>
      <c r="O19" s="159">
        <f>IF(OR(K19="",L19=""),"",L19-K19)</f>
        <v/>
      </c>
      <c r="P19" s="336">
        <f>IFERROR(IF(O19&gt;0,TEXT(O19/D19,"0,0")&amp;" DIAS ",IF(O19&lt;0,TEXT(ABS(O19/D19),"0,0")&amp;" DIAS ","NO PRAZO")),"")</f>
        <v/>
      </c>
      <c r="Q19">
        <f>IF(B19="","CONFIGURAR",IF(E19="","SEM META",IF(I19&gt;0,"ADIANTADO",IF(I19&lt;0,"ATRASO","NO ALVO"))))</f>
        <v/>
      </c>
      <c r="R19" s="62">
        <f>'METAS CLIENTE'!N13</f>
        <v/>
      </c>
      <c r="S19" s="159">
        <f>IF(N(B19)&gt;0,'METAS CLIENTE'!L13,0)</f>
        <v/>
      </c>
      <c r="T19" s="319">
        <f>IF(N(B19)&gt;0,N(E19)/B19,0)</f>
        <v/>
      </c>
      <c r="U19" s="319">
        <f>IF(N(B19)&gt;0,N(F19)/B19,0)</f>
        <v/>
      </c>
      <c r="V19" s="319">
        <f>IF(N(B19)&gt;0,N(G19)/B19,0)</f>
        <v/>
      </c>
      <c r="W19" s="319">
        <f>IF(N(B19)&gt;0,N(H19)/B19,0)</f>
        <v/>
      </c>
      <c r="X19" s="319">
        <f>IF(N(B19)&gt;0,N(K19)/B19,0)</f>
        <v/>
      </c>
      <c r="Y19" s="319">
        <f>IF(N(B19)&gt;0,N(L19)/B19,0)</f>
        <v/>
      </c>
    </row>
    <row r="20">
      <c r="A20" s="62">
        <f>'METAS CLIENTE'!A14</f>
        <v/>
      </c>
      <c r="B20" s="159">
        <f>IF('METAS CLIENTE'!B14="","",'METAS CLIENTE'!B14)</f>
        <v/>
      </c>
      <c r="C20" s="317">
        <f>IF('METAS CLIENTE'!C14="","",'METAS CLIENTE'!C14)</f>
        <v/>
      </c>
      <c r="D20" s="159">
        <f>IF('METAS CLIENTE'!E14="","",'METAS CLIENTE'!E14)</f>
        <v/>
      </c>
      <c r="E20" s="159">
        <f>IF(OR($B$4="",$D$4="",B20="",C20="",D20=""),"",MAX(0,IF($D$4&lt;C20,0,MIN(B20,D20*NETWORKDAYS.INTL(C20,$D$4,IF('METAS CLIENTE'!F14=5,"0000011",IF('METAS CLIENTE'!F14=6,"0000001","0000000")))))-IF($B$4&lt;=C20,0,MIN(B20,D20*NETWORKDAYS.INTL(C20,$B$4-1,IF('METAS CLIENTE'!F14=5,"0000011",IF('METAS CLIENTE'!F14=6,"0000001","0000000")))))))</f>
        <v/>
      </c>
      <c r="F20" s="159">
        <f>IF(OR($B$4="",$D$4=""),"",SUMIFS('CONTROLE EJ'!$F$8:$F$5000,'CONTROLE EJ'!$A$8:$A$5000,"&gt;="&amp;$B$4,'CONTROLE EJ'!$A$8:$A$5000,"&lt;="&amp;$D$4))</f>
        <v/>
      </c>
      <c r="G20" s="159">
        <f>IF(OR($B$4="",$D$4=""),"",SUMIFS('CONTROLE CMM'!$F$8:$F$5000,'CONTROLE CMM'!$A$8:$A$5000,"&gt;="&amp;$B$4,'CONTROLE CMM'!$A$8:$A$5000,"&lt;="&amp;$D$4))</f>
        <v/>
      </c>
      <c r="H20" s="159">
        <f>IF(OR($B$4="",$D$4=""),"",SUMIFS('CONTROLE PRODUÇÃO POR EMPRESAS'!$AK$6:$AK$5000,'CONTROLE PRODUÇÃO POR EMPRESAS'!$A$6:$A$5000,"&gt;="&amp;$B$4,'CONTROLE PRODUÇÃO POR EMPRESAS'!$A$6:$A$5000,"&lt;="&amp;$D$4))</f>
        <v/>
      </c>
      <c r="I20" s="159">
        <f>IF(OR(E20="",H20=""),"",H20-E20)</f>
        <v/>
      </c>
      <c r="J20" s="319">
        <f>IFERROR(H20/E20,"")</f>
        <v/>
      </c>
      <c r="K20" s="159">
        <f>IF(OR($D$4="",B20="",C20="",D20=""),"",IF($D$4&lt;C20,0,MIN(B20,D20*NETWORKDAYS.INTL(C20,$D$4,IF('METAS CLIENTE'!F14=5,"0000011",IF('METAS CLIENTE'!F14=6,"0000001","0000000"))))))</f>
        <v/>
      </c>
      <c r="L20" s="159">
        <f>IF($D$4="","",SUMIFS('CONTROLE PRODUÇÃO POR EMPRESAS'!$AK$6:$AK$5000,'CONTROLE PRODUÇÃO POR EMPRESAS'!$A$6:$A$5000,"&lt;="&amp;$D$4))</f>
        <v/>
      </c>
      <c r="M20" s="159">
        <f>IF(OR(B20="",L20=""),"",MAX(B20-L20,0))</f>
        <v/>
      </c>
      <c r="N20" s="317">
        <f>'CLIENTE - PREV X REAL'!Q16</f>
        <v/>
      </c>
      <c r="O20" s="159">
        <f>IF(OR(K20="",L20=""),"",L20-K20)</f>
        <v/>
      </c>
      <c r="P20" s="336">
        <f>IFERROR(IF(O20&gt;0,TEXT(O20/D20,"0,0")&amp;" DIAS ",IF(O20&lt;0,TEXT(ABS(O20/D20),"0,0")&amp;" DIAS ","NO PRAZO")),"")</f>
        <v/>
      </c>
      <c r="Q20">
        <f>IF(B20="","CONFIGURAR",IF(E20="","SEM META",IF(I20&gt;0,"ADIANTADO",IF(I20&lt;0,"ATRASO","NO ALVO"))))</f>
        <v/>
      </c>
      <c r="R20" s="62">
        <f>'METAS CLIENTE'!N14</f>
        <v/>
      </c>
      <c r="S20" s="159">
        <f>IF(N(B20)&gt;0,'METAS CLIENTE'!L14,0)</f>
        <v/>
      </c>
      <c r="T20" s="319">
        <f>IF(N(B20)&gt;0,N(E20)/B20,0)</f>
        <v/>
      </c>
      <c r="U20" s="319">
        <f>IF(N(B20)&gt;0,N(F20)/B20,0)</f>
        <v/>
      </c>
      <c r="V20" s="319">
        <f>IF(N(B20)&gt;0,N(G20)/B20,0)</f>
        <v/>
      </c>
      <c r="W20" s="319">
        <f>IF(N(B20)&gt;0,N(H20)/B20,0)</f>
        <v/>
      </c>
      <c r="X20" s="319">
        <f>IF(N(B20)&gt;0,N(K20)/B20,0)</f>
        <v/>
      </c>
      <c r="Y20" s="319">
        <f>IF(N(B20)&gt;0,N(L20)/B20,0)</f>
        <v/>
      </c>
    </row>
    <row r="21">
      <c r="A21" s="62">
        <f>'METAS CLIENTE'!A15</f>
        <v/>
      </c>
      <c r="B21" s="159">
        <f>IF('METAS CLIENTE'!B15="","",'METAS CLIENTE'!B15)</f>
        <v/>
      </c>
      <c r="C21" s="317">
        <f>IF('METAS CLIENTE'!C15="","",'METAS CLIENTE'!C15)</f>
        <v/>
      </c>
      <c r="D21" s="159">
        <f>IF('METAS CLIENTE'!E15="","",'METAS CLIENTE'!E15)</f>
        <v/>
      </c>
      <c r="E21" s="159">
        <f>IF(OR($B$4="",$D$4="",B21="",C21="",D21=""),"",MAX(0,IF($D$4&lt;C21,0,MIN(B21,D21*NETWORKDAYS.INTL(C21,$D$4,IF('METAS CLIENTE'!F15=5,"0000011",IF('METAS CLIENTE'!F15=6,"0000001","0000000")))))-IF($B$4&lt;=C21,0,MIN(B21,D21*NETWORKDAYS.INTL(C21,$B$4-1,IF('METAS CLIENTE'!F15=5,"0000011",IF('METAS CLIENTE'!F15=6,"0000001","0000000")))))))</f>
        <v/>
      </c>
      <c r="F21" s="159">
        <f>IF(OR($B$4="",$D$4=""),"",SUMIFS('CONTROLE EJ'!$G$8:$G$5000,'CONTROLE EJ'!$A$8:$A$5000,"&gt;="&amp;$B$4,'CONTROLE EJ'!$A$8:$A$5000,"&lt;="&amp;$D$4))</f>
        <v/>
      </c>
      <c r="G21" s="159">
        <f>IF(OR($B$4="",$D$4=""),"",SUMIFS('CONTROLE CMM'!$G$8:$G$5000,'CONTROLE CMM'!$A$8:$A$5000,"&gt;="&amp;$B$4,'CONTROLE CMM'!$A$8:$A$5000,"&lt;="&amp;$D$4))</f>
        <v/>
      </c>
      <c r="H21" s="159">
        <f>IF(OR($B$4="",$D$4=""),"",SUMIFS('CONTROLE PRODUÇÃO POR EMPRESAS'!$AL$6:$AL$5000,'CONTROLE PRODUÇÃO POR EMPRESAS'!$A$6:$A$5000,"&gt;="&amp;$B$4,'CONTROLE PRODUÇÃO POR EMPRESAS'!$A$6:$A$5000,"&lt;="&amp;$D$4))</f>
        <v/>
      </c>
      <c r="I21" s="159">
        <f>IF(OR(E21="",H21=""),"",H21-E21)</f>
        <v/>
      </c>
      <c r="J21" s="319">
        <f>IFERROR(H21/E21,"")</f>
        <v/>
      </c>
      <c r="K21" s="159">
        <f>IF(OR($D$4="",B21="",C21="",D21=""),"",IF($D$4&lt;C21,0,MIN(B21,D21*NETWORKDAYS.INTL(C21,$D$4,IF('METAS CLIENTE'!F15=5,"0000011",IF('METAS CLIENTE'!F15=6,"0000001","0000000"))))))</f>
        <v/>
      </c>
      <c r="L21" s="159">
        <f>IF($D$4="","",SUMIFS('CONTROLE PRODUÇÃO POR EMPRESAS'!$AL$6:$AL$5000,'CONTROLE PRODUÇÃO POR EMPRESAS'!$A$6:$A$5000,"&lt;="&amp;$D$4))</f>
        <v/>
      </c>
      <c r="M21" s="159">
        <f>IF(OR(B21="",L21=""),"",MAX(B21-L21,0))</f>
        <v/>
      </c>
      <c r="N21" s="317">
        <f>'CLIENTE - PREV X REAL'!Q17</f>
        <v/>
      </c>
      <c r="O21" s="159">
        <f>IF(OR(K21="",L21=""),"",L21-K21)</f>
        <v/>
      </c>
      <c r="P21" s="336">
        <f>IFERROR(IF(O21&gt;0,TEXT(O21/D21,"0,0")&amp;" DIAS ",IF(O21&lt;0,TEXT(ABS(O21/D21),"0,0")&amp;" DIAS ","NO PRAZO")),"")</f>
        <v/>
      </c>
      <c r="Q21">
        <f>IF(B21="","CONFIGURAR",IF(E21="","SEM META",IF(I21&gt;0,"ADIANTADO",IF(I21&lt;0,"ATRASO","NO ALVO"))))</f>
        <v/>
      </c>
      <c r="R21" s="62">
        <f>'METAS CLIENTE'!N15</f>
        <v/>
      </c>
      <c r="S21" s="159">
        <f>IF(N(B21)&gt;0,'METAS CLIENTE'!L15,0)</f>
        <v/>
      </c>
      <c r="T21" s="319">
        <f>IF(N(B21)&gt;0,N(E21)/B21,0)</f>
        <v/>
      </c>
      <c r="U21" s="319">
        <f>IF(N(B21)&gt;0,N(F21)/B21,0)</f>
        <v/>
      </c>
      <c r="V21" s="319">
        <f>IF(N(B21)&gt;0,N(G21)/B21,0)</f>
        <v/>
      </c>
      <c r="W21" s="319">
        <f>IF(N(B21)&gt;0,N(H21)/B21,0)</f>
        <v/>
      </c>
      <c r="X21" s="319">
        <f>IF(N(B21)&gt;0,N(K21)/B21,0)</f>
        <v/>
      </c>
      <c r="Y21" s="319">
        <f>IF(N(B21)&gt;0,N(L21)/B21,0)</f>
        <v/>
      </c>
    </row>
    <row r="22">
      <c r="A22" s="62">
        <f>'METAS CLIENTE'!A16</f>
        <v/>
      </c>
      <c r="B22" s="159">
        <f>IF('METAS CLIENTE'!B16="","",'METAS CLIENTE'!B16)</f>
        <v/>
      </c>
      <c r="C22" s="317">
        <f>IF('METAS CLIENTE'!C16="","",'METAS CLIENTE'!C16)</f>
        <v/>
      </c>
      <c r="D22" s="159">
        <f>IF('METAS CLIENTE'!E16="","",'METAS CLIENTE'!E16)</f>
        <v/>
      </c>
      <c r="E22" s="159">
        <f>IF(OR($B$4="",$D$4="",B22="",C22="",D22=""),"",MAX(0,IF($D$4&lt;C22,0,MIN(B22,D22*NETWORKDAYS.INTL(C22,$D$4,IF('METAS CLIENTE'!F16=5,"0000011",IF('METAS CLIENTE'!F16=6,"0000001","0000000")))))-IF($B$4&lt;=C22,0,MIN(B22,D22*NETWORKDAYS.INTL(C22,$B$4-1,IF('METAS CLIENTE'!F16=5,"0000011",IF('METAS CLIENTE'!F16=6,"0000001","0000000")))))))</f>
        <v/>
      </c>
      <c r="F22" s="159">
        <f>IF(OR($B$4="",$D$4=""),"",SUMIFS('CONTROLE EJ'!$H$8:$H$5000,'CONTROLE EJ'!$A$8:$A$5000,"&gt;="&amp;$B$4,'CONTROLE EJ'!$A$8:$A$5000,"&lt;="&amp;$D$4))</f>
        <v/>
      </c>
      <c r="G22" s="159">
        <f>IF(OR($B$4="",$D$4=""),"",SUMIFS('CONTROLE CMM'!$H$8:$H$5000,'CONTROLE CMM'!$A$8:$A$5000,"&gt;="&amp;$B$4,'CONTROLE CMM'!$A$8:$A$5000,"&lt;="&amp;$D$4))</f>
        <v/>
      </c>
      <c r="H22" s="159">
        <f>IF(OR($B$4="",$D$4=""),"",SUMIFS('CONTROLE PRODUÇÃO POR EMPRESAS'!$AM$6:$AM$5000,'CONTROLE PRODUÇÃO POR EMPRESAS'!$A$6:$A$5000,"&gt;="&amp;$B$4,'CONTROLE PRODUÇÃO POR EMPRESAS'!$A$6:$A$5000,"&lt;="&amp;$D$4))</f>
        <v/>
      </c>
      <c r="I22" s="159">
        <f>IF(OR(E22="",H22=""),"",H22-E22)</f>
        <v/>
      </c>
      <c r="J22" s="319">
        <f>IFERROR(H22/E22,"")</f>
        <v/>
      </c>
      <c r="K22" s="159">
        <f>IF(OR($D$4="",B22="",C22="",D22=""),"",IF($D$4&lt;C22,0,MIN(B22,D22*NETWORKDAYS.INTL(C22,$D$4,IF('METAS CLIENTE'!F16=5,"0000011",IF('METAS CLIENTE'!F16=6,"0000001","0000000"))))))</f>
        <v/>
      </c>
      <c r="L22" s="159">
        <f>IF($D$4="","",SUMIFS('CONTROLE PRODUÇÃO POR EMPRESAS'!$AM$6:$AM$5000,'CONTROLE PRODUÇÃO POR EMPRESAS'!$A$6:$A$5000,"&lt;="&amp;$D$4))</f>
        <v/>
      </c>
      <c r="M22" s="159">
        <f>IF(OR(B22="",L22=""),"",MAX(B22-L22,0))</f>
        <v/>
      </c>
      <c r="N22" s="317">
        <f>'CLIENTE - PREV X REAL'!Q18</f>
        <v/>
      </c>
      <c r="O22" s="159">
        <f>IF(OR(K22="",L22=""),"",L22-K22)</f>
        <v/>
      </c>
      <c r="P22" s="336">
        <f>IFERROR(IF(O22&gt;0,TEXT(O22/D22,"0,0")&amp;" DIAS ",IF(O22&lt;0,TEXT(ABS(O22/D22),"0,0")&amp;" DIAS ","NO PRAZO")),"")</f>
        <v/>
      </c>
      <c r="Q22">
        <f>IF(B22="","CONFIGURAR",IF(E22="","SEM META",IF(I22&gt;0,"ADIANTADO",IF(I22&lt;0,"ATRASO","NO ALVO"))))</f>
        <v/>
      </c>
      <c r="R22" s="62">
        <f>'METAS CLIENTE'!N16</f>
        <v/>
      </c>
      <c r="S22" s="159">
        <f>IF(N(B22)&gt;0,'METAS CLIENTE'!L16,0)</f>
        <v/>
      </c>
      <c r="T22" s="319">
        <f>IF(N(B22)&gt;0,N(E22)/B22,0)</f>
        <v/>
      </c>
      <c r="U22" s="319">
        <f>IF(N(B22)&gt;0,N(F22)/B22,0)</f>
        <v/>
      </c>
      <c r="V22" s="319">
        <f>IF(N(B22)&gt;0,N(G22)/B22,0)</f>
        <v/>
      </c>
      <c r="W22" s="319">
        <f>IF(N(B22)&gt;0,N(H22)/B22,0)</f>
        <v/>
      </c>
      <c r="X22" s="319">
        <f>IF(N(B22)&gt;0,N(K22)/B22,0)</f>
        <v/>
      </c>
      <c r="Y22" s="319">
        <f>IF(N(B22)&gt;0,N(L22)/B22,0)</f>
        <v/>
      </c>
    </row>
    <row r="23">
      <c r="A23" s="62">
        <f>'METAS CLIENTE'!A17</f>
        <v/>
      </c>
      <c r="B23" s="159">
        <f>IF('METAS CLIENTE'!B17="","",'METAS CLIENTE'!B17)</f>
        <v/>
      </c>
      <c r="C23" s="317">
        <f>IF('METAS CLIENTE'!C17="","",'METAS CLIENTE'!C17)</f>
        <v/>
      </c>
      <c r="D23" s="159">
        <f>IF('METAS CLIENTE'!E17="","",'METAS CLIENTE'!E17)</f>
        <v/>
      </c>
      <c r="E23" s="159">
        <f>IF(OR($B$4="",$D$4="",B23="",C23="",D23=""),"",MAX(0,IF($D$4&lt;C23,0,MIN(B23,D23*NETWORKDAYS.INTL(C23,$D$4,IF('METAS CLIENTE'!F17=5,"0000011",IF('METAS CLIENTE'!F17=6,"0000001","0000000")))))-IF($B$4&lt;=C23,0,MIN(B23,D23*NETWORKDAYS.INTL(C23,$B$4-1,IF('METAS CLIENTE'!F17=5,"0000011",IF('METAS CLIENTE'!F17=6,"0000001","0000000")))))))</f>
        <v/>
      </c>
      <c r="F23" s="159">
        <f>IF(H23="","",0)</f>
        <v/>
      </c>
      <c r="G23" s="159">
        <f>IF(H23="","",0)</f>
        <v/>
      </c>
      <c r="H23" s="159">
        <f>IF(OR($B$4="",$D$4=""),"",SUMIFS('CONTROLE PRODUÇÃO POR EMPRESAS'!$AN$6:$AN$5000,'CONTROLE PRODUÇÃO POR EMPRESAS'!$A$6:$A$5000,"&gt;="&amp;$B$4,'CONTROLE PRODUÇÃO POR EMPRESAS'!$A$6:$A$5000,"&lt;="&amp;$D$4))</f>
        <v/>
      </c>
      <c r="I23" s="159">
        <f>IF(OR(E23="",H23=""),"",H23-E23)</f>
        <v/>
      </c>
      <c r="J23" s="319">
        <f>IFERROR(H23/E23,"")</f>
        <v/>
      </c>
      <c r="K23" s="159">
        <f>IF(OR($D$4="",B23="",C23="",D23=""),"",IF($D$4&lt;C23,0,MIN(B23,D23*NETWORKDAYS.INTL(C23,$D$4,IF('METAS CLIENTE'!F17=5,"0000011",IF('METAS CLIENTE'!F17=6,"0000001","0000000"))))))</f>
        <v/>
      </c>
      <c r="L23" s="159">
        <f>IF($D$4="","",SUMIFS('CONTROLE PRODUÇÃO POR EMPRESAS'!$AN$6:$AN$5000,'CONTROLE PRODUÇÃO POR EMPRESAS'!$A$6:$A$5000,"&lt;="&amp;$D$4))</f>
        <v/>
      </c>
      <c r="M23" s="159">
        <f>IF(OR(B23="",L23=""),"",MAX(B23-L23,0))</f>
        <v/>
      </c>
      <c r="N23" s="317">
        <f>'CLIENTE - PREV X REAL'!Q19</f>
        <v/>
      </c>
      <c r="O23" s="159">
        <f>IF(OR(K23="",L23=""),"",L23-K23)</f>
        <v/>
      </c>
      <c r="P23" s="336">
        <f>IFERROR(IF(O23&gt;0,TEXT(O23/D23,"0,0")&amp;" DIAS ",IF(O23&lt;0,TEXT(ABS(O23/D23),"0,0")&amp;" DIAS ","NO PRAZO")),"")</f>
        <v/>
      </c>
      <c r="Q23">
        <f>IF(B23="","CONFIGURAR",IF(E23="","SEM META",IF(I23&gt;0,"ADIANTADO",IF(I23&lt;0,"ATRASO","NO ALVO"))))</f>
        <v/>
      </c>
      <c r="R23" s="62">
        <f>'METAS CLIENTE'!N17</f>
        <v/>
      </c>
      <c r="S23" s="159">
        <f>IF(N(B23)&gt;0,'METAS CLIENTE'!L17,0)</f>
        <v/>
      </c>
      <c r="T23" s="319">
        <f>IF(N(B23)&gt;0,N(E23)/B23,0)</f>
        <v/>
      </c>
      <c r="U23" s="319">
        <f>IF(N(B23)&gt;0,N(F23)/B23,0)</f>
        <v/>
      </c>
      <c r="V23" s="319">
        <f>IF(N(B23)&gt;0,N(G23)/B23,0)</f>
        <v/>
      </c>
      <c r="W23" s="319">
        <f>IF(N(B23)&gt;0,N(H23)/B23,0)</f>
        <v/>
      </c>
      <c r="X23" s="319">
        <f>IF(N(B23)&gt;0,N(K23)/B23,0)</f>
        <v/>
      </c>
      <c r="Y23" s="319">
        <f>IF(N(B23)&gt;0,N(L23)/B23,0)</f>
        <v/>
      </c>
    </row>
    <row r="24">
      <c r="A24" s="62">
        <f>'METAS CLIENTE'!A18</f>
        <v/>
      </c>
      <c r="B24" s="159">
        <f>IF('METAS CLIENTE'!B18="","",'METAS CLIENTE'!B18)</f>
        <v/>
      </c>
      <c r="C24" s="317">
        <f>IF('METAS CLIENTE'!C18="","",'METAS CLIENTE'!C18)</f>
        <v/>
      </c>
      <c r="D24" s="159">
        <f>IF('METAS CLIENTE'!E18="","",'METAS CLIENTE'!E18)</f>
        <v/>
      </c>
      <c r="E24" s="159">
        <f>IF(OR($B$4="",$D$4="",B24="",C24="",D24=""),"",MAX(0,IF($D$4&lt;C24,0,MIN(B24,D24*NETWORKDAYS.INTL(C24,$D$4,IF('METAS CLIENTE'!F18=5,"0000011",IF('METAS CLIENTE'!F18=6,"0000001","0000000")))))-IF($B$4&lt;=C24,0,MIN(B24,D24*NETWORKDAYS.INTL(C24,$B$4-1,IF('METAS CLIENTE'!F18=5,"0000011",IF('METAS CLIENTE'!F18=6,"0000001","0000000")))))))</f>
        <v/>
      </c>
      <c r="F24" s="159">
        <f>IF(H24="","",0)</f>
        <v/>
      </c>
      <c r="G24" s="159">
        <f>IF(H24="","",0)</f>
        <v/>
      </c>
      <c r="H24" s="159">
        <f>IF(OR($B$4="",$D$4=""),"",SUMIFS('CONTROLE PRODUÇÃO POR EMPRESAS'!$AO$6:$AO$5000,'CONTROLE PRODUÇÃO POR EMPRESAS'!$A$6:$A$5000,"&gt;="&amp;$B$4,'CONTROLE PRODUÇÃO POR EMPRESAS'!$A$6:$A$5000,"&lt;="&amp;$D$4))</f>
        <v/>
      </c>
      <c r="I24" s="159">
        <f>IF(OR(E24="",H24=""),"",H24-E24)</f>
        <v/>
      </c>
      <c r="J24" s="319">
        <f>IFERROR(H24/E24,"")</f>
        <v/>
      </c>
      <c r="K24" s="159">
        <f>IF(OR($D$4="",B24="",C24="",D24=""),"",IF($D$4&lt;C24,0,MIN(B24,D24*NETWORKDAYS.INTL(C24,$D$4,IF('METAS CLIENTE'!F18=5,"0000011",IF('METAS CLIENTE'!F18=6,"0000001","0000000"))))))</f>
        <v/>
      </c>
      <c r="L24" s="159">
        <f>IF($D$4="","",SUMIFS('CONTROLE PRODUÇÃO POR EMPRESAS'!$AO$6:$AO$5000,'CONTROLE PRODUÇÃO POR EMPRESAS'!$A$6:$A$5000,"&lt;="&amp;$D$4))</f>
        <v/>
      </c>
      <c r="M24" s="159">
        <f>IF(OR(B24="",L24=""),"",MAX(B24-L24,0))</f>
        <v/>
      </c>
      <c r="N24" s="317">
        <f>'CLIENTE - PREV X REAL'!Q20</f>
        <v/>
      </c>
      <c r="O24" s="159">
        <f>IF(OR(K24="",L24=""),"",L24-K24)</f>
        <v/>
      </c>
      <c r="P24" s="336">
        <f>IFERROR(IF(O24&gt;0,TEXT(O24/D24,"0,0")&amp;" DIAS ",IF(O24&lt;0,TEXT(ABS(O24/D24),"0,0")&amp;" DIAS ","NO PRAZO")),"")</f>
        <v/>
      </c>
      <c r="Q24">
        <f>IF(B24="","CONFIGURAR",IF(E24="","SEM META",IF(I24&gt;0,"ADIANTADO",IF(I24&lt;0,"ATRASO","NO ALVO"))))</f>
        <v/>
      </c>
      <c r="R24" s="62">
        <f>'METAS CLIENTE'!N18</f>
        <v/>
      </c>
      <c r="S24" s="159">
        <f>IF(N(B24)&gt;0,'METAS CLIENTE'!L18,0)</f>
        <v/>
      </c>
      <c r="T24" s="319">
        <f>IF(N(B24)&gt;0,N(E24)/B24,0)</f>
        <v/>
      </c>
      <c r="U24" s="319">
        <f>IF(N(B24)&gt;0,N(F24)/B24,0)</f>
        <v/>
      </c>
      <c r="V24" s="319">
        <f>IF(N(B24)&gt;0,N(G24)/B24,0)</f>
        <v/>
      </c>
      <c r="W24" s="319">
        <f>IF(N(B24)&gt;0,N(H24)/B24,0)</f>
        <v/>
      </c>
      <c r="X24" s="319">
        <f>IF(N(B24)&gt;0,N(K24)/B24,0)</f>
        <v/>
      </c>
      <c r="Y24" s="319">
        <f>IF(N(B24)&gt;0,N(L24)/B24,0)</f>
        <v/>
      </c>
    </row>
    <row r="25">
      <c r="A25" s="62">
        <f>'METAS CLIENTE'!A19</f>
        <v/>
      </c>
      <c r="B25" s="159">
        <f>IF('METAS CLIENTE'!B19="","",'METAS CLIENTE'!B19)</f>
        <v/>
      </c>
      <c r="C25" s="317">
        <f>IF('METAS CLIENTE'!C19="","",'METAS CLIENTE'!C19)</f>
        <v/>
      </c>
      <c r="D25" s="159">
        <f>IF('METAS CLIENTE'!E19="","",'METAS CLIENTE'!E19)</f>
        <v/>
      </c>
      <c r="E25" s="159">
        <f>IF(OR($B$4="",$D$4="",B25="",C25="",D25=""),"",MAX(0,IF($D$4&lt;C25,0,MIN(B25,D25*NETWORKDAYS.INTL(C25,$D$4,IF('METAS CLIENTE'!F19=5,"0000011",IF('METAS CLIENTE'!F19=6,"0000001","0000000")))))-IF($B$4&lt;=C25,0,MIN(B25,D25*NETWORKDAYS.INTL(C25,$B$4-1,IF('METAS CLIENTE'!F19=5,"0000011",IF('METAS CLIENTE'!F19=6,"0000001","0000000")))))))</f>
        <v/>
      </c>
      <c r="F25" s="159">
        <f>IF(OR($B$4="",$D$4=""),"",SUMIFS('CONTROLE EJ'!$I$8:$I$5000,'CONTROLE EJ'!$A$8:$A$5000,"&gt;="&amp;$B$4,'CONTROLE EJ'!$A$8:$A$5000,"&lt;="&amp;$D$4))</f>
        <v/>
      </c>
      <c r="G25" s="159">
        <f>IF(OR($B$4="",$D$4=""),"",SUMIFS('CONTROLE CMM'!$I$8:$I$5000,'CONTROLE CMM'!$A$8:$A$5000,"&gt;="&amp;$B$4,'CONTROLE CMM'!$A$8:$A$5000,"&lt;="&amp;$D$4))</f>
        <v/>
      </c>
      <c r="H25" s="159">
        <f>IF(OR($B$4="",$D$4=""),"",SUMIFS('CONTROLE PRODUÇÃO POR EMPRESAS'!$AP$6:$AP$5000,'CONTROLE PRODUÇÃO POR EMPRESAS'!$A$6:$A$5000,"&gt;="&amp;$B$4,'CONTROLE PRODUÇÃO POR EMPRESAS'!$A$6:$A$5000,"&lt;="&amp;$D$4))</f>
        <v/>
      </c>
      <c r="I25" s="159">
        <f>IF(OR(E25="",H25=""),"",H25-E25)</f>
        <v/>
      </c>
      <c r="J25" s="319">
        <f>IFERROR(H25/E25,"")</f>
        <v/>
      </c>
      <c r="K25" s="159">
        <f>IF(OR($D$4="",B25="",C25="",D25=""),"",IF($D$4&lt;C25,0,MIN(B25,D25*NETWORKDAYS.INTL(C25,$D$4,IF('METAS CLIENTE'!F19=5,"0000011",IF('METAS CLIENTE'!F19=6,"0000001","0000000"))))))</f>
        <v/>
      </c>
      <c r="L25" s="159">
        <f>IF($D$4="","",SUMIFS('CONTROLE PRODUÇÃO POR EMPRESAS'!$AP$6:$AP$5000,'CONTROLE PRODUÇÃO POR EMPRESAS'!$A$6:$A$5000,"&lt;="&amp;$D$4))</f>
        <v/>
      </c>
      <c r="M25" s="159">
        <f>IF(OR(B25="",L25=""),"",MAX(B25-L25,0))</f>
        <v/>
      </c>
      <c r="N25" s="317">
        <f>'CLIENTE - PREV X REAL'!Q21</f>
        <v/>
      </c>
      <c r="O25" s="159">
        <f>IF(OR(K25="",L25=""),"",L25-K25)</f>
        <v/>
      </c>
      <c r="P25" s="336">
        <f>IFERROR(IF(O25&gt;0,TEXT(O25/D25,"0,0")&amp;" DIAS ",IF(O25&lt;0,TEXT(ABS(O25/D25),"0,0")&amp;" DIAS ","NO PRAZO")),"")</f>
        <v/>
      </c>
      <c r="Q25">
        <f>IF(B25="","CONFIGURAR",IF(E25="","SEM META",IF(I25&gt;0,"ADIANTADO",IF(I25&lt;0,"ATRASO","NO ALVO"))))</f>
        <v/>
      </c>
      <c r="R25" s="62">
        <f>'METAS CLIENTE'!N19</f>
        <v/>
      </c>
      <c r="S25" s="159">
        <f>IF(N(B25)&gt;0,'METAS CLIENTE'!L19,0)</f>
        <v/>
      </c>
      <c r="T25" s="319">
        <f>IF(N(B25)&gt;0,N(E25)/B25,0)</f>
        <v/>
      </c>
      <c r="U25" s="319">
        <f>IF(N(B25)&gt;0,N(F25)/B25,0)</f>
        <v/>
      </c>
      <c r="V25" s="319">
        <f>IF(N(B25)&gt;0,N(G25)/B25,0)</f>
        <v/>
      </c>
      <c r="W25" s="319">
        <f>IF(N(B25)&gt;0,N(H25)/B25,0)</f>
        <v/>
      </c>
      <c r="X25" s="319">
        <f>IF(N(B25)&gt;0,N(K25)/B25,0)</f>
        <v/>
      </c>
      <c r="Y25" s="319">
        <f>IF(N(B25)&gt;0,N(L25)/B25,0)</f>
        <v/>
      </c>
    </row>
    <row r="26">
      <c r="A26" s="62">
        <f>'METAS CLIENTE'!A20</f>
        <v/>
      </c>
      <c r="B26" s="159">
        <f>IF('METAS CLIENTE'!B20="","",'METAS CLIENTE'!B20)</f>
        <v/>
      </c>
      <c r="C26" s="317">
        <f>IF('METAS CLIENTE'!C20="","",'METAS CLIENTE'!C20)</f>
        <v/>
      </c>
      <c r="D26" s="159">
        <f>IF('METAS CLIENTE'!E20="","",'METAS CLIENTE'!E20)</f>
        <v/>
      </c>
      <c r="E26" s="159">
        <f>IF(OR($B$4="",$D$4="",B26="",C26="",D26=""),"",MAX(0,IF($D$4&lt;C26,0,MIN(B26,D26*NETWORKDAYS.INTL(C26,$D$4,IF('METAS CLIENTE'!F20=5,"0000011",IF('METAS CLIENTE'!F20=6,"0000001","0000000")))))-IF($B$4&lt;=C26,0,MIN(B26,D26*NETWORKDAYS.INTL(C26,$B$4-1,IF('METAS CLIENTE'!F20=5,"0000011",IF('METAS CLIENTE'!F20=6,"0000001","0000000")))))))</f>
        <v/>
      </c>
      <c r="F26" s="159">
        <f>IF(OR($B$4="",$D$4=""),"",SUMIFS('CONTROLE EJ'!$J$8:$J$5000,'CONTROLE EJ'!$A$8:$A$5000,"&gt;="&amp;$B$4,'CONTROLE EJ'!$A$8:$A$5000,"&lt;="&amp;$D$4))</f>
        <v/>
      </c>
      <c r="G26" s="159">
        <f>IF(OR($B$4="",$D$4=""),"",SUMIFS('CONTROLE CMM'!#REF!,'CONTROLE CMM'!$A$8:$A$5000,"&gt;="&amp;$B$4,'CONTROLE CMM'!$A$8:$A$5000,"&lt;="&amp;$D$4))</f>
        <v/>
      </c>
      <c r="H26" s="159">
        <f>IF(OR($B$4="",$D$4=""),"",SUMIFS('CONTROLE PRODUÇÃO POR EMPRESAS'!$AQ$6:$AQ$5000,'CONTROLE PRODUÇÃO POR EMPRESAS'!$A$6:$A$5000,"&gt;="&amp;$B$4,'CONTROLE PRODUÇÃO POR EMPRESAS'!$A$6:$A$5000,"&lt;="&amp;$D$4))</f>
        <v/>
      </c>
      <c r="I26" s="159">
        <f>IF(OR(E26="",H26=""),"",H26-E26)</f>
        <v/>
      </c>
      <c r="J26" s="319">
        <f>IFERROR(H26/E26,"")</f>
        <v/>
      </c>
      <c r="K26" s="159">
        <f>IF(OR($D$4="",B26="",C26="",D26=""),"",IF($D$4&lt;C26,0,MIN(B26,D26*NETWORKDAYS.INTL(C26,$D$4,IF('METAS CLIENTE'!F20=5,"0000011",IF('METAS CLIENTE'!F20=6,"0000001","0000000"))))))</f>
        <v/>
      </c>
      <c r="L26" s="159">
        <f>IF($D$4="","",SUMIFS('CONTROLE PRODUÇÃO POR EMPRESAS'!$AQ$6:$AQ$5000,'CONTROLE PRODUÇÃO POR EMPRESAS'!$A$6:$A$5000,"&lt;="&amp;$D$4))</f>
        <v/>
      </c>
      <c r="M26" s="159">
        <f>IF(OR(B26="",L26=""),"",MAX(B26-L26,0))</f>
        <v/>
      </c>
      <c r="N26" s="317">
        <f>'CLIENTE - PREV X REAL'!Q22</f>
        <v/>
      </c>
      <c r="O26" s="159">
        <f>IF(OR(K26="",L26=""),"",L26-K26)</f>
        <v/>
      </c>
      <c r="P26" s="336">
        <f>IFERROR(IF(O26&gt;0,TEXT(O26/D26,"0,0")&amp;" DIAS ",IF(O26&lt;0,TEXT(ABS(O26/D26),"0,0")&amp;" DIAS ","NO PRAZO")),"")</f>
        <v/>
      </c>
      <c r="Q26">
        <f>IF(B26="","CONFIGURAR",IF(E26="","SEM META",IF(I26&gt;0,"ADIANTADO",IF(I26&lt;0,"ATRASO","NO ALVO"))))</f>
        <v/>
      </c>
      <c r="R26" s="62">
        <f>'METAS CLIENTE'!N20</f>
        <v/>
      </c>
      <c r="S26" s="159">
        <f>IF(N(B26)&gt;0,'METAS CLIENTE'!L20,0)</f>
        <v/>
      </c>
      <c r="T26" s="319">
        <f>IF(N(B26)&gt;0,N(E26)/B26,0)</f>
        <v/>
      </c>
      <c r="U26" s="319">
        <f>IF(N(B26)&gt;0,N(F26)/B26,0)</f>
        <v/>
      </c>
      <c r="V26" s="319">
        <f>IF(N(B26)&gt;0,N(G26)/B26,0)</f>
        <v/>
      </c>
      <c r="W26" s="319">
        <f>IF(N(B26)&gt;0,N(H26)/B26,0)</f>
        <v/>
      </c>
      <c r="X26" s="319">
        <f>IF(N(B26)&gt;0,N(K26)/B26,0)</f>
        <v/>
      </c>
      <c r="Y26" s="319">
        <f>IF(N(B26)&gt;0,N(L26)/B26,0)</f>
        <v/>
      </c>
    </row>
    <row r="27">
      <c r="A27" s="62">
        <f>'METAS CLIENTE'!A21</f>
        <v/>
      </c>
      <c r="B27" s="159">
        <f>IF('METAS CLIENTE'!B21="","",'METAS CLIENTE'!B21)</f>
        <v/>
      </c>
      <c r="C27" s="317">
        <f>IF('METAS CLIENTE'!C21="","",'METAS CLIENTE'!C21)</f>
        <v/>
      </c>
      <c r="D27" s="159">
        <f>IF('METAS CLIENTE'!E21="","",'METAS CLIENTE'!E21)</f>
        <v/>
      </c>
      <c r="E27" s="159">
        <f>IF(OR($B$4="",$D$4="",B27="",C27="",D27=""),"",MAX(0,IF($D$4&lt;C27,0,MIN(B27,D27*NETWORKDAYS.INTL(C27,$D$4,IF('METAS CLIENTE'!F21=5,"0000011",IF('METAS CLIENTE'!F21=6,"0000001","0000000")))))-IF($B$4&lt;=C27,0,MIN(B27,D27*NETWORKDAYS.INTL(C27,$B$4-1,IF('METAS CLIENTE'!F21=5,"0000011",IF('METAS CLIENTE'!F21=6,"0000001","0000000")))))))</f>
        <v/>
      </c>
      <c r="F27" s="159">
        <f>IF(H27="","",0)</f>
        <v/>
      </c>
      <c r="G27" s="159">
        <f>IF(H27="","",0)</f>
        <v/>
      </c>
      <c r="H27" s="159">
        <f>IF(OR($B$4="",$D$4=""),"",SUMIFS('CONTROLE PRODUÇÃO POR EMPRESAS'!$AR$6:$AR$5000,'CONTROLE PRODUÇÃO POR EMPRESAS'!$A$6:$A$5000,"&gt;="&amp;$B$4,'CONTROLE PRODUÇÃO POR EMPRESAS'!$A$6:$A$5000,"&lt;="&amp;$D$4))</f>
        <v/>
      </c>
      <c r="I27" s="159">
        <f>IF(OR(E27="",H27=""),"",H27-E27)</f>
        <v/>
      </c>
      <c r="J27" s="319">
        <f>IFERROR(H27/E27,"")</f>
        <v/>
      </c>
      <c r="K27" s="159">
        <f>IF(OR($D$4="",B27="",C27="",D27=""),"",IF($D$4&lt;C27,0,MIN(B27,D27*NETWORKDAYS.INTL(C27,$D$4,IF('METAS CLIENTE'!F21=5,"0000011",IF('METAS CLIENTE'!F21=6,"0000001","0000000"))))))</f>
        <v/>
      </c>
      <c r="L27" s="159">
        <f>IF($D$4="","",SUMIFS('CONTROLE PRODUÇÃO POR EMPRESAS'!$AR$6:$AR$5000,'CONTROLE PRODUÇÃO POR EMPRESAS'!$A$6:$A$5000,"&lt;="&amp;$D$4))</f>
        <v/>
      </c>
      <c r="M27" s="159">
        <f>IF(OR(B27="",L27=""),"",MAX(B27-L27,0))</f>
        <v/>
      </c>
      <c r="N27" s="317">
        <f>'CLIENTE - PREV X REAL'!Q23</f>
        <v/>
      </c>
      <c r="O27" s="159">
        <f>IF(OR(K27="",L27=""),"",L27-K27)</f>
        <v/>
      </c>
      <c r="P27" s="336">
        <f>IFERROR(IF(O27&gt;0,TEXT(O27/D27,"0,0")&amp;" DIAS ",IF(O27&lt;0,TEXT(ABS(O27/D27),"0,0")&amp;" DIAS ","NO PRAZO")),"")</f>
        <v/>
      </c>
      <c r="Q27">
        <f>IF(B27="","CONFIGURAR",IF(E27="","SEM META",IF(I27&gt;0,"ADIANTADO",IF(I27&lt;0,"ATRASO","NO ALVO"))))</f>
        <v/>
      </c>
      <c r="R27" s="62">
        <f>'METAS CLIENTE'!N21</f>
        <v/>
      </c>
      <c r="S27" s="159">
        <f>IF(N(B27)&gt;0,'METAS CLIENTE'!L21,0)</f>
        <v/>
      </c>
      <c r="T27" s="319">
        <f>IF(N(B27)&gt;0,N(E27)/B27,0)</f>
        <v/>
      </c>
      <c r="U27" s="319">
        <f>IF(N(B27)&gt;0,N(F27)/B27,0)</f>
        <v/>
      </c>
      <c r="V27" s="319">
        <f>IF(N(B27)&gt;0,N(G27)/B27,0)</f>
        <v/>
      </c>
      <c r="W27" s="319">
        <f>IF(N(B27)&gt;0,N(H27)/B27,0)</f>
        <v/>
      </c>
      <c r="X27" s="319">
        <f>IF(N(B27)&gt;0,N(K27)/B27,0)</f>
        <v/>
      </c>
      <c r="Y27" s="319">
        <f>IF(N(B27)&gt;0,N(L27)/B27,0)</f>
        <v/>
      </c>
    </row>
    <row r="28">
      <c r="A28" s="62">
        <f>'METAS CLIENTE'!A22</f>
        <v/>
      </c>
      <c r="B28" s="159">
        <f>IF('METAS CLIENTE'!B22="","",'METAS CLIENTE'!B22)</f>
        <v/>
      </c>
      <c r="C28" s="317">
        <f>IF('METAS CLIENTE'!C22="","",'METAS CLIENTE'!C22)</f>
        <v/>
      </c>
      <c r="D28" s="159">
        <f>IF('METAS CLIENTE'!E22="","",'METAS CLIENTE'!E22)</f>
        <v/>
      </c>
      <c r="E28" s="159">
        <f>IF(OR($B$4="",$D$4="",B28="",C28="",D28=""),"",MAX(0,IF($D$4&lt;C28,0,MIN(B28,D28*NETWORKDAYS.INTL(C28,$D$4,IF('METAS CLIENTE'!F22=5,"0000011",IF('METAS CLIENTE'!F22=6,"0000001","0000000")))))-IF($B$4&lt;=C28,0,MIN(B28,D28*NETWORKDAYS.INTL(C28,$B$4-1,IF('METAS CLIENTE'!F22=5,"0000011",IF('METAS CLIENTE'!F22=6,"0000001","0000000")))))))</f>
        <v/>
      </c>
      <c r="F28" s="159">
        <f>IF(H28="","",0)</f>
        <v/>
      </c>
      <c r="G28" s="159">
        <f>IF(H28="","",0)</f>
        <v/>
      </c>
      <c r="H28" s="159">
        <f>IF(OR($B$4="",$D$4=""),"",SUMIFS('CONTROLE PRODUÇÃO POR EMPRESAS'!$AS$6:$AS$5000,'CONTROLE PRODUÇÃO POR EMPRESAS'!$A$6:$A$5000,"&gt;="&amp;$B$4,'CONTROLE PRODUÇÃO POR EMPRESAS'!$A$6:$A$5000,"&lt;="&amp;$D$4))</f>
        <v/>
      </c>
      <c r="I28" s="159">
        <f>IF(OR(E28="",H28=""),"",H28-E28)</f>
        <v/>
      </c>
      <c r="J28" s="319">
        <f>IFERROR(H28/E28,"")</f>
        <v/>
      </c>
      <c r="K28" s="159">
        <f>IF(OR($D$4="",B28="",C28="",D28=""),"",IF($D$4&lt;C28,0,MIN(B28,D28*NETWORKDAYS.INTL(C28,$D$4,IF('METAS CLIENTE'!F22=5,"0000011",IF('METAS CLIENTE'!F22=6,"0000001","0000000"))))))</f>
        <v/>
      </c>
      <c r="L28" s="159">
        <f>IF($D$4="","",SUMIFS('CONTROLE PRODUÇÃO POR EMPRESAS'!$AS$6:$AS$5000,'CONTROLE PRODUÇÃO POR EMPRESAS'!$A$6:$A$5000,"&lt;="&amp;$D$4))</f>
        <v/>
      </c>
      <c r="M28" s="159">
        <f>IF(OR(B28="",L28=""),"",MAX(B28-L28,0))</f>
        <v/>
      </c>
      <c r="N28" s="317">
        <f>'CLIENTE - PREV X REAL'!Q24</f>
        <v/>
      </c>
      <c r="O28" s="159">
        <f>IF(OR(K28="",L28=""),"",L28-K28)</f>
        <v/>
      </c>
      <c r="P28" s="336">
        <f>IFERROR(IF(O28&gt;0,TEXT(O28/D28,"0,0")&amp;" DIAS ",IF(O28&lt;0,TEXT(ABS(O28/D28),"0,0")&amp;" DIAS ","NO PRAZO")),"")</f>
        <v/>
      </c>
      <c r="Q28">
        <f>IF(B28="","CONFIGURAR",IF(E28="","SEM META",IF(I28&gt;0,"ADIANTADO",IF(I28&lt;0,"ATRASO","NO ALVO"))))</f>
        <v/>
      </c>
      <c r="R28" s="62">
        <f>'METAS CLIENTE'!N22</f>
        <v/>
      </c>
      <c r="S28" s="159">
        <f>IF(N(B28)&gt;0,'METAS CLIENTE'!L22,0)</f>
        <v/>
      </c>
      <c r="T28" s="319">
        <f>IF(N(B28)&gt;0,N(E28)/B28,0)</f>
        <v/>
      </c>
      <c r="U28" s="319">
        <f>IF(N(B28)&gt;0,N(F28)/B28,0)</f>
        <v/>
      </c>
      <c r="V28" s="319">
        <f>IF(N(B28)&gt;0,N(G28)/B28,0)</f>
        <v/>
      </c>
      <c r="W28" s="319">
        <f>IF(N(B28)&gt;0,N(H28)/B28,0)</f>
        <v/>
      </c>
      <c r="X28" s="319">
        <f>IF(N(B28)&gt;0,N(K28)/B28,0)</f>
        <v/>
      </c>
      <c r="Y28" s="319">
        <f>IF(N(B28)&gt;0,N(L28)/B28,0)</f>
        <v/>
      </c>
    </row>
    <row r="29">
      <c r="A29" s="62">
        <f>'METAS CLIENTE'!A23</f>
        <v/>
      </c>
      <c r="B29" s="159">
        <f>IF('METAS CLIENTE'!B23="","",'METAS CLIENTE'!B23)</f>
        <v/>
      </c>
      <c r="C29" s="317">
        <f>IF('METAS CLIENTE'!C23="","",'METAS CLIENTE'!C23)</f>
        <v/>
      </c>
      <c r="D29" s="159">
        <f>IF('METAS CLIENTE'!E23="","",'METAS CLIENTE'!E23)</f>
        <v/>
      </c>
      <c r="E29" s="159">
        <f>IF(OR($B$4="",$D$4="",B29="",C29="",D29=""),"",MAX(0,IF($D$4&lt;C29,0,MIN(B29,D29*NETWORKDAYS.INTL(C29,$D$4,IF('METAS CLIENTE'!F23=5,"0000011",IF('METAS CLIENTE'!F23=6,"0000001","0000000")))))-IF($B$4&lt;=C29,0,MIN(B29,D29*NETWORKDAYS.INTL(C29,$B$4-1,IF('METAS CLIENTE'!F23=5,"0000011",IF('METAS CLIENTE'!F23=6,"0000001","0000000")))))))</f>
        <v/>
      </c>
      <c r="F29" s="159">
        <f>IF(H29="","",0)</f>
        <v/>
      </c>
      <c r="G29" s="159">
        <f>IF(H29="","",0)</f>
        <v/>
      </c>
      <c r="H29" s="159">
        <f>IF(OR($B$4="",$D$4=""),"",SUMIFS('CONTROLE PRODUÇÃO POR EMPRESAS'!$AT$6:$AT$5000,'CONTROLE PRODUÇÃO POR EMPRESAS'!$A$6:$A$5000,"&gt;="&amp;$B$4,'CONTROLE PRODUÇÃO POR EMPRESAS'!$A$6:$A$5000,"&lt;="&amp;$D$4))</f>
        <v/>
      </c>
      <c r="I29" s="159">
        <f>IF(OR(E29="",H29=""),"",H29-E29)</f>
        <v/>
      </c>
      <c r="J29" s="319">
        <f>IFERROR(H29/E29,"")</f>
        <v/>
      </c>
      <c r="K29" s="159">
        <f>IF(OR($D$4="",B29="",C29="",D29=""),"",IF($D$4&lt;C29,0,MIN(B29,D29*NETWORKDAYS.INTL(C29,$D$4,IF('METAS CLIENTE'!F23=5,"0000011",IF('METAS CLIENTE'!F23=6,"0000001","0000000"))))))</f>
        <v/>
      </c>
      <c r="L29" s="159">
        <f>IF($D$4="","",SUMIFS('CONTROLE PRODUÇÃO POR EMPRESAS'!$AT$6:$AT$5000,'CONTROLE PRODUÇÃO POR EMPRESAS'!$A$6:$A$5000,"&lt;="&amp;$D$4))</f>
        <v/>
      </c>
      <c r="M29" s="159">
        <f>IF(OR(B29="",L29=""),"",MAX(B29-L29,0))</f>
        <v/>
      </c>
      <c r="N29" s="317">
        <f>'CLIENTE - PREV X REAL'!Q25</f>
        <v/>
      </c>
      <c r="O29" s="159">
        <f>IF(OR(K29="",L29=""),"",L29-K29)</f>
        <v/>
      </c>
      <c r="P29" s="336">
        <f>IFERROR(IF(O29&gt;0,TEXT(O29/D29,"0,0")&amp;" DIAS ",IF(O29&lt;0,TEXT(ABS(O29/D29),"0,0")&amp;" DIAS ","NO PRAZO")),"")</f>
        <v/>
      </c>
      <c r="Q29">
        <f>IF(B29="","CONFIGURAR",IF(E29="","SEM META",IF(I29&gt;0,"ADIANTADO",IF(I29&lt;0,"ATRASO","NO ALVO"))))</f>
        <v/>
      </c>
      <c r="R29" s="62">
        <f>'METAS CLIENTE'!N23</f>
        <v/>
      </c>
      <c r="S29" s="159">
        <f>IF(N(B29)&gt;0,'METAS CLIENTE'!L23,0)</f>
        <v/>
      </c>
      <c r="T29" s="319">
        <f>IF(N(B29)&gt;0,N(E29)/B29,0)</f>
        <v/>
      </c>
      <c r="U29" s="319">
        <f>IF(N(B29)&gt;0,N(F29)/B29,0)</f>
        <v/>
      </c>
      <c r="V29" s="319">
        <f>IF(N(B29)&gt;0,N(G29)/B29,0)</f>
        <v/>
      </c>
      <c r="W29" s="319">
        <f>IF(N(B29)&gt;0,N(H29)/B29,0)</f>
        <v/>
      </c>
      <c r="X29" s="319">
        <f>IF(N(B29)&gt;0,N(K29)/B29,0)</f>
        <v/>
      </c>
      <c r="Y29" s="319">
        <f>IF(N(B29)&gt;0,N(L29)/B29,0)</f>
        <v/>
      </c>
    </row>
    <row r="30">
      <c r="A30" s="62">
        <f>'METAS CLIENTE'!A24</f>
        <v/>
      </c>
      <c r="B30" s="159">
        <f>IF('METAS CLIENTE'!B24="","",'METAS CLIENTE'!B24)</f>
        <v/>
      </c>
      <c r="C30" s="317">
        <f>IF('METAS CLIENTE'!C24="","",'METAS CLIENTE'!C24)</f>
        <v/>
      </c>
      <c r="D30" s="159">
        <f>IF('METAS CLIENTE'!E24="","",'METAS CLIENTE'!E24)</f>
        <v/>
      </c>
      <c r="E30" s="159">
        <f>IF(OR($B$4="",$D$4="",B30="",C30="",D30=""),"",MAX(0,IF($D$4&lt;C30,0,MIN(B30,D30*NETWORKDAYS.INTL(C30,$D$4,IF('METAS CLIENTE'!F24=5,"0000011",IF('METAS CLIENTE'!F24=6,"0000001","0000000")))))-IF($B$4&lt;=C30,0,MIN(B30,D30*NETWORKDAYS.INTL(C30,$B$4-1,IF('METAS CLIENTE'!F24=5,"0000011",IF('METAS CLIENTE'!F24=6,"0000001","0000000")))))))</f>
        <v/>
      </c>
      <c r="F30" s="159">
        <f>IF(H30="","",0)</f>
        <v/>
      </c>
      <c r="G30" s="159">
        <f>IF(H30="","",0)</f>
        <v/>
      </c>
      <c r="H30" s="159">
        <f>IF(OR($B$4="",$D$4=""),"",SUMIFS('CONTROLE PRODUÇÃO POR EMPRESAS'!$AU$6:$AU$5000,'CONTROLE PRODUÇÃO POR EMPRESAS'!$A$6:$A$5000,"&gt;="&amp;$B$4,'CONTROLE PRODUÇÃO POR EMPRESAS'!$A$6:$A$5000,"&lt;="&amp;$D$4))</f>
        <v/>
      </c>
      <c r="I30" s="159">
        <f>IF(OR(E30="",H30=""),"",H30-E30)</f>
        <v/>
      </c>
      <c r="J30" s="319">
        <f>IFERROR(H30/E30,"")</f>
        <v/>
      </c>
      <c r="K30" s="159">
        <f>IF(OR($D$4="",B30="",C30="",D30=""),"",IF($D$4&lt;C30,0,MIN(B30,D30*NETWORKDAYS.INTL(C30,$D$4,IF('METAS CLIENTE'!F24=5,"0000011",IF('METAS CLIENTE'!F24=6,"0000001","0000000"))))))</f>
        <v/>
      </c>
      <c r="L30" s="159">
        <f>IF($D$4="","",SUMIFS('CONTROLE PRODUÇÃO POR EMPRESAS'!$AU$6:$AU$5000,'CONTROLE PRODUÇÃO POR EMPRESAS'!$A$6:$A$5000,"&lt;="&amp;$D$4))</f>
        <v/>
      </c>
      <c r="M30" s="159">
        <f>IF(OR(B30="",L30=""),"",MAX(B30-L30,0))</f>
        <v/>
      </c>
      <c r="N30" s="317">
        <f>'CLIENTE - PREV X REAL'!Q26</f>
        <v/>
      </c>
      <c r="O30" s="159">
        <f>IF(OR(K30="",L30=""),"",L30-K30)</f>
        <v/>
      </c>
      <c r="P30" s="336">
        <f>IFERROR(IF(O30&gt;0,TEXT(O30/D30,"0,0")&amp;" DIAS ",IF(O30&lt;0,TEXT(ABS(O30/D30),"0,0")&amp;" DIAS ","NO PRAZO")),"")</f>
        <v/>
      </c>
      <c r="Q30">
        <f>IF(B30="","CONFIGURAR",IF(E30="","SEM META",IF(I30&gt;0,"ADIANTADO",IF(I30&lt;0,"ATRASO","NO ALVO"))))</f>
        <v/>
      </c>
      <c r="R30" s="62">
        <f>'METAS CLIENTE'!N24</f>
        <v/>
      </c>
      <c r="S30" s="159">
        <f>IF(N(B30)&gt;0,'METAS CLIENTE'!L24,0)</f>
        <v/>
      </c>
      <c r="T30" s="319">
        <f>IF(N(B30)&gt;0,N(E30)/B30,0)</f>
        <v/>
      </c>
      <c r="U30" s="319">
        <f>IF(N(B30)&gt;0,N(F30)/B30,0)</f>
        <v/>
      </c>
      <c r="V30" s="319">
        <f>IF(N(B30)&gt;0,N(G30)/B30,0)</f>
        <v/>
      </c>
      <c r="W30" s="319">
        <f>IF(N(B30)&gt;0,N(H30)/B30,0)</f>
        <v/>
      </c>
      <c r="X30" s="319">
        <f>IF(N(B30)&gt;0,N(K30)/B30,0)</f>
        <v/>
      </c>
      <c r="Y30" s="319">
        <f>IF(N(B30)&gt;0,N(L30)/B30,0)</f>
        <v/>
      </c>
    </row>
    <row r="31">
      <c r="A31" s="62">
        <f>'METAS CLIENTE'!A25</f>
        <v/>
      </c>
      <c r="B31" s="159">
        <f>IF('METAS CLIENTE'!B25="","",'METAS CLIENTE'!B25)</f>
        <v/>
      </c>
      <c r="C31" s="317">
        <f>IF('METAS CLIENTE'!C25="","",'METAS CLIENTE'!C25)</f>
        <v/>
      </c>
      <c r="D31" s="159">
        <f>IF('METAS CLIENTE'!E25="","",'METAS CLIENTE'!E25)</f>
        <v/>
      </c>
      <c r="E31" s="159">
        <f>IF(OR($B$4="",$D$4="",B31="",C31="",D31=""),"",MAX(0,IF($D$4&lt;C31,0,MIN(B31,D31*NETWORKDAYS.INTL(C31,$D$4,IF('METAS CLIENTE'!F25=5,"0000011",IF('METAS CLIENTE'!F25=6,"0000001","0000000")))))-IF($B$4&lt;=C31,0,MIN(B31,D31*NETWORKDAYS.INTL(C31,$B$4-1,IF('METAS CLIENTE'!F25=5,"0000011",IF('METAS CLIENTE'!F25=6,"0000001","0000000")))))))</f>
        <v/>
      </c>
      <c r="F31" s="159">
        <f>IF(OR($B$4="",$D$4=""),"",SUMIFS('CONTROLE EJ'!$K$8:$K$5000,'CONTROLE EJ'!$A$8:$A$5000,"&gt;="&amp;$B$4,'CONTROLE EJ'!$A$8:$A$5000,"&lt;="&amp;$D$4))</f>
        <v/>
      </c>
      <c r="G31" s="159">
        <f>IF(OR($B$4="",$D$4=""),"",SUMIFS('CONTROLE CMM'!#REF!,'CONTROLE CMM'!$A$8:$A$5000,"&gt;="&amp;$B$4,'CONTROLE CMM'!$A$8:$A$5000,"&lt;="&amp;$D$4))</f>
        <v/>
      </c>
      <c r="H31" s="159">
        <f>IF(OR($B$4="",$D$4=""),"",SUMIFS('CONTROLE PRODUÇÃO POR EMPRESAS'!$AV$6:$AV$5000,'CONTROLE PRODUÇÃO POR EMPRESAS'!$A$6:$A$5000,"&gt;="&amp;$B$4,'CONTROLE PRODUÇÃO POR EMPRESAS'!$A$6:$A$5000,"&lt;="&amp;$D$4))</f>
        <v/>
      </c>
      <c r="I31" s="159">
        <f>IF(OR(E31="",H31=""),"",H31-E31)</f>
        <v/>
      </c>
      <c r="J31" s="319">
        <f>IFERROR(H31/E31,"")</f>
        <v/>
      </c>
      <c r="K31" s="159">
        <f>IF(OR($D$4="",B31="",C31="",D31=""),"",IF($D$4&lt;C31,0,MIN(B31,D31*NETWORKDAYS.INTL(C31,$D$4,IF('METAS CLIENTE'!F25=5,"0000011",IF('METAS CLIENTE'!F25=6,"0000001","0000000"))))))</f>
        <v/>
      </c>
      <c r="L31" s="159">
        <f>IF($D$4="","",SUMIFS('CONTROLE PRODUÇÃO POR EMPRESAS'!$AV$6:$AV$5000,'CONTROLE PRODUÇÃO POR EMPRESAS'!$A$6:$A$5000,"&lt;="&amp;$D$4))</f>
        <v/>
      </c>
      <c r="M31" s="159">
        <f>IF(OR(B31="",L31=""),"",MAX(B31-L31,0))</f>
        <v/>
      </c>
      <c r="N31" s="317">
        <f>'CLIENTE - PREV X REAL'!Q27</f>
        <v/>
      </c>
      <c r="O31" s="159">
        <f>IF(OR(K31="",L31=""),"",L31-K31)</f>
        <v/>
      </c>
      <c r="P31" s="336">
        <f>IFERROR(IF(O31&gt;0,TEXT(O31/D31,"0,0")&amp;" DIAS ",IF(O31&lt;0,TEXT(ABS(O31/D31),"0,0")&amp;" DIAS ","NO PRAZO")),"")</f>
        <v/>
      </c>
      <c r="Q31">
        <f>IF(B31="","CONFIGURAR",IF(E31="","SEM META",IF(I31&gt;0,"ADIANTADO",IF(I31&lt;0,"ATRASO","NO ALVO"))))</f>
        <v/>
      </c>
      <c r="R31" s="62">
        <f>'METAS CLIENTE'!N25</f>
        <v/>
      </c>
      <c r="S31" s="159">
        <f>IF(N(B31)&gt;0,'METAS CLIENTE'!L25,0)</f>
        <v/>
      </c>
      <c r="T31" s="319">
        <f>IF(N(B31)&gt;0,N(E31)/B31,0)</f>
        <v/>
      </c>
      <c r="U31" s="319">
        <f>IF(N(B31)&gt;0,N(F31)/B31,0)</f>
        <v/>
      </c>
      <c r="V31" s="319">
        <f>IF(N(B31)&gt;0,N(G31)/B31,0)</f>
        <v/>
      </c>
      <c r="W31" s="319">
        <f>IF(N(B31)&gt;0,N(H31)/B31,0)</f>
        <v/>
      </c>
      <c r="X31" s="319">
        <f>IF(N(B31)&gt;0,N(K31)/B31,0)</f>
        <v/>
      </c>
      <c r="Y31" s="319">
        <f>IF(N(B31)&gt;0,N(L31)/B31,0)</f>
        <v/>
      </c>
    </row>
    <row r="32">
      <c r="A32" s="62">
        <f>'METAS CLIENTE'!A26</f>
        <v/>
      </c>
      <c r="B32" s="159">
        <f>IF('METAS CLIENTE'!B26="","",'METAS CLIENTE'!B26)</f>
        <v/>
      </c>
      <c r="C32" s="317">
        <f>IF('METAS CLIENTE'!C26="","",'METAS CLIENTE'!C26)</f>
        <v/>
      </c>
      <c r="D32" s="159">
        <f>IF('METAS CLIENTE'!E26="","",'METAS CLIENTE'!E26)</f>
        <v/>
      </c>
      <c r="E32" s="159">
        <f>IF(OR($B$4="",$D$4="",B32="",C32="",D32=""),"",MAX(0,IF($D$4&lt;C32,0,MIN(B32,D32*NETWORKDAYS.INTL(C32,$D$4,IF('METAS CLIENTE'!F26=5,"0000011",IF('METAS CLIENTE'!F26=6,"0000001","0000000")))))-IF($B$4&lt;=C32,0,MIN(B32,D32*NETWORKDAYS.INTL(C32,$B$4-1,IF('METAS CLIENTE'!F26=5,"0000011",IF('METAS CLIENTE'!F26=6,"0000001","0000000")))))))</f>
        <v/>
      </c>
      <c r="F32" s="159">
        <f>IF(H32="","",0)</f>
        <v/>
      </c>
      <c r="G32" s="159">
        <f>IF(H32="","",0)</f>
        <v/>
      </c>
      <c r="H32" s="159">
        <f>IF(OR($B$4="",$D$4=""),"",SUMIFS('CONTROLE PRODUÇÃO POR EMPRESAS'!$AW$6:$AW$5000,'CONTROLE PRODUÇÃO POR EMPRESAS'!$A$6:$A$5000,"&gt;="&amp;$B$4,'CONTROLE PRODUÇÃO POR EMPRESAS'!$A$6:$A$5000,"&lt;="&amp;$D$4))</f>
        <v/>
      </c>
      <c r="I32" s="159">
        <f>IF(OR(E32="",H32=""),"",H32-E32)</f>
        <v/>
      </c>
      <c r="J32" s="319">
        <f>IFERROR(H32/E32,"")</f>
        <v/>
      </c>
      <c r="K32" s="159">
        <f>IF(OR($D$4="",B32="",C32="",D32=""),"",IF($D$4&lt;C32,0,MIN(B32,D32*NETWORKDAYS.INTL(C32,$D$4,IF('METAS CLIENTE'!F26=5,"0000011",IF('METAS CLIENTE'!F26=6,"0000001","0000000"))))))</f>
        <v/>
      </c>
      <c r="L32" s="159">
        <f>IF($D$4="","",SUMIFS('CONTROLE PRODUÇÃO POR EMPRESAS'!$AW$6:$AW$5000,'CONTROLE PRODUÇÃO POR EMPRESAS'!$A$6:$A$5000,"&lt;="&amp;$D$4))</f>
        <v/>
      </c>
      <c r="M32" s="159">
        <f>IF(OR(B32="",L32=""),"",MAX(B32-L32,0))</f>
        <v/>
      </c>
      <c r="N32" s="317">
        <f>'CLIENTE - PREV X REAL'!Q28</f>
        <v/>
      </c>
      <c r="O32" s="159">
        <f>IF(OR(K32="",L32=""),"",L32-K32)</f>
        <v/>
      </c>
      <c r="P32" s="336">
        <f>IFERROR(IF(O32&gt;0,TEXT(O32/D32,"0,0")&amp;" DIAS ",IF(O32&lt;0,TEXT(ABS(O32/D32),"0,0")&amp;" DIAS ","NO PRAZO")),"")</f>
        <v/>
      </c>
      <c r="Q32">
        <f>IF(B32="","CONFIGURAR",IF(E32="","SEM META",IF(I32&gt;0,"ADIANTADO",IF(I32&lt;0,"ATRASO","NO ALVO"))))</f>
        <v/>
      </c>
      <c r="R32" s="62">
        <f>'METAS CLIENTE'!N26</f>
        <v/>
      </c>
      <c r="S32" s="159">
        <f>IF(N(B32)&gt;0,'METAS CLIENTE'!L26,0)</f>
        <v/>
      </c>
      <c r="T32" s="319">
        <f>IF(N(B32)&gt;0,N(E32)/B32,0)</f>
        <v/>
      </c>
      <c r="U32" s="319">
        <f>IF(N(B32)&gt;0,N(F32)/B32,0)</f>
        <v/>
      </c>
      <c r="V32" s="319">
        <f>IF(N(B32)&gt;0,N(G32)/B32,0)</f>
        <v/>
      </c>
      <c r="W32" s="319">
        <f>IF(N(B32)&gt;0,N(H32)/B32,0)</f>
        <v/>
      </c>
      <c r="X32" s="319">
        <f>IF(N(B32)&gt;0,N(K32)/B32,0)</f>
        <v/>
      </c>
      <c r="Y32" s="319">
        <f>IF(N(B32)&gt;0,N(L32)/B32,0)</f>
        <v/>
      </c>
    </row>
    <row r="33">
      <c r="A33" s="62">
        <f>'METAS CLIENTE'!A27</f>
        <v/>
      </c>
      <c r="B33" s="159">
        <f>IF('METAS CLIENTE'!B27="","",'METAS CLIENTE'!B27)</f>
        <v/>
      </c>
      <c r="C33" s="317">
        <f>IF('METAS CLIENTE'!C27="","",'METAS CLIENTE'!C27)</f>
        <v/>
      </c>
      <c r="D33" s="159">
        <f>IF('METAS CLIENTE'!E27="","",'METAS CLIENTE'!E27)</f>
        <v/>
      </c>
      <c r="E33" s="159">
        <f>IF(OR($B$4="",$D$4="",B33="",C33="",D33=""),"",MAX(0,IF($D$4&lt;C33,0,MIN(B33,D33*NETWORKDAYS.INTL(C33,$D$4,IF('METAS CLIENTE'!F27=5,"0000011",IF('METAS CLIENTE'!F27=6,"0000001","0000000")))))-IF($B$4&lt;=C33,0,MIN(B33,D33*NETWORKDAYS.INTL(C33,$B$4-1,IF('METAS CLIENTE'!F27=5,"0000011",IF('METAS CLIENTE'!F27=6,"0000001","0000000")))))))</f>
        <v/>
      </c>
      <c r="F33" s="159">
        <f>IF(OR($B$4="",$D$4=""),"",SUMIFS('CONTROLE EJ'!$L$8:$L$5000,'CONTROLE EJ'!$A$8:$A$5000,"&gt;="&amp;$B$4,'CONTROLE EJ'!$A$8:$A$5000,"&lt;="&amp;$D$4))</f>
        <v/>
      </c>
      <c r="G33" s="159">
        <f>IF(OR($B$4="",$D$4=""),"",SUMIFS('CONTROLE CMM'!#REF!,'CONTROLE CMM'!$A$8:$A$5000,"&gt;="&amp;$B$4,'CONTROLE CMM'!$A$8:$A$5000,"&lt;="&amp;$D$4))</f>
        <v/>
      </c>
      <c r="H33" s="159">
        <f>IF(OR($B$4="",$D$4=""),"",SUMIFS('CONTROLE PRODUÇÃO POR EMPRESAS'!$AX$6:$AX$5000,'CONTROLE PRODUÇÃO POR EMPRESAS'!$A$6:$A$5000,"&gt;="&amp;$B$4,'CONTROLE PRODUÇÃO POR EMPRESAS'!$A$6:$A$5000,"&lt;="&amp;$D$4))</f>
        <v/>
      </c>
      <c r="I33" s="159">
        <f>IF(OR(E33="",H33=""),"",H33-E33)</f>
        <v/>
      </c>
      <c r="J33" s="319">
        <f>IFERROR(H33/E33,"")</f>
        <v/>
      </c>
      <c r="K33" s="159">
        <f>IF(OR($D$4="",B33="",C33="",D33=""),"",IF($D$4&lt;C33,0,MIN(B33,D33*NETWORKDAYS.INTL(C33,$D$4,IF('METAS CLIENTE'!F27=5,"0000011",IF('METAS CLIENTE'!F27=6,"0000001","0000000"))))))</f>
        <v/>
      </c>
      <c r="L33" s="159">
        <f>IF($D$4="","",SUMIFS('CONTROLE PRODUÇÃO POR EMPRESAS'!$AX$6:$AX$5000,'CONTROLE PRODUÇÃO POR EMPRESAS'!$A$6:$A$5000,"&lt;="&amp;$D$4))</f>
        <v/>
      </c>
      <c r="M33" s="159">
        <f>IF(OR(B33="",L33=""),"",MAX(B33-L33,0))</f>
        <v/>
      </c>
      <c r="N33" s="317">
        <f>'CLIENTE - PREV X REAL'!Q29</f>
        <v/>
      </c>
      <c r="O33" s="159">
        <f>IF(OR(K33="",L33=""),"",L33-K33)</f>
        <v/>
      </c>
      <c r="P33" s="336">
        <f>IFERROR(IF(O33&gt;0,TEXT(O33/D33,"0,0")&amp;" DIAS ",IF(O33&lt;0,TEXT(ABS(O33/D33),"0,0")&amp;" DIAS ","NO PRAZO")),"")</f>
        <v/>
      </c>
      <c r="Q33">
        <f>IF(B33="","CONFIGURAR",IF(E33="","SEM META",IF(I33&gt;0,"ADIANTADO",IF(I33&lt;0,"ATRASO","NO ALVO"))))</f>
        <v/>
      </c>
      <c r="R33" s="62">
        <f>'METAS CLIENTE'!N27</f>
        <v/>
      </c>
      <c r="S33" s="159">
        <f>IF(N(B33)&gt;0,'METAS CLIENTE'!L27,0)</f>
        <v/>
      </c>
      <c r="T33" s="319">
        <f>IF(N(B33)&gt;0,N(E33)/B33,0)</f>
        <v/>
      </c>
      <c r="U33" s="319">
        <f>IF(N(B33)&gt;0,N(F33)/B33,0)</f>
        <v/>
      </c>
      <c r="V33" s="319">
        <f>IF(N(B33)&gt;0,N(G33)/B33,0)</f>
        <v/>
      </c>
      <c r="W33" s="319">
        <f>IF(N(B33)&gt;0,N(H33)/B33,0)</f>
        <v/>
      </c>
      <c r="X33" s="319">
        <f>IF(N(B33)&gt;0,N(K33)/B33,0)</f>
        <v/>
      </c>
      <c r="Y33" s="319">
        <f>IF(N(B33)&gt;0,N(L33)/B33,0)</f>
        <v/>
      </c>
    </row>
    <row r="34">
      <c r="A34" s="62">
        <f>'METAS CLIENTE'!A28</f>
        <v/>
      </c>
      <c r="B34" s="159">
        <f>IF('METAS CLIENTE'!B28="","",'METAS CLIENTE'!B28)</f>
        <v/>
      </c>
      <c r="C34" s="317">
        <f>IF('METAS CLIENTE'!C28="","",'METAS CLIENTE'!C28)</f>
        <v/>
      </c>
      <c r="D34" s="159">
        <f>IF('METAS CLIENTE'!E28="","",'METAS CLIENTE'!E28)</f>
        <v/>
      </c>
      <c r="E34" s="159">
        <f>IF(OR($B$4="",$D$4="",B34="",C34="",D34=""),"",MAX(0,IF($D$4&lt;C34,0,MIN(B34,D34*NETWORKDAYS.INTL(C34,$D$4,IF('METAS CLIENTE'!F28=5,"0000011",IF('METAS CLIENTE'!F28=6,"0000001","0000000")))))-IF($B$4&lt;=C34,0,MIN(B34,D34*NETWORKDAYS.INTL(C34,$B$4-1,IF('METAS CLIENTE'!F28=5,"0000011",IF('METAS CLIENTE'!F28=6,"0000001","0000000")))))))</f>
        <v/>
      </c>
      <c r="F34" s="159">
        <f>IF(H34="","",0)</f>
        <v/>
      </c>
      <c r="G34" s="159">
        <f>IF(H34="","",0)</f>
        <v/>
      </c>
      <c r="H34" s="159">
        <f>IF(OR($B$4="",$D$4=""),"",SUMIFS('CONTROLE PRODUÇÃO POR EMPRESAS'!$AY$6:$AY$5000,'CONTROLE PRODUÇÃO POR EMPRESAS'!$A$6:$A$5000,"&gt;="&amp;$B$4,'CONTROLE PRODUÇÃO POR EMPRESAS'!$A$6:$A$5000,"&lt;="&amp;$D$4))</f>
        <v/>
      </c>
      <c r="I34" s="159">
        <f>IF(OR(E34="",H34=""),"",H34-E34)</f>
        <v/>
      </c>
      <c r="J34" s="319">
        <f>IFERROR(H34/E34,"")</f>
        <v/>
      </c>
      <c r="K34" s="159">
        <f>IF(OR($D$4="",B34="",C34="",D34=""),"",IF($D$4&lt;C34,0,MIN(B34,D34*NETWORKDAYS.INTL(C34,$D$4,IF('METAS CLIENTE'!F28=5,"0000011",IF('METAS CLIENTE'!F28=6,"0000001","0000000"))))))</f>
        <v/>
      </c>
      <c r="L34" s="159">
        <f>IF($D$4="","",SUMIFS('CONTROLE PRODUÇÃO POR EMPRESAS'!$AY$6:$AY$5000,'CONTROLE PRODUÇÃO POR EMPRESAS'!$A$6:$A$5000,"&lt;="&amp;$D$4))</f>
        <v/>
      </c>
      <c r="M34" s="159">
        <f>IF(OR(B34="",L34=""),"",MAX(B34-L34,0))</f>
        <v/>
      </c>
      <c r="N34" s="317">
        <f>'CLIENTE - PREV X REAL'!Q30</f>
        <v/>
      </c>
      <c r="O34" s="159">
        <f>IF(OR(K34="",L34=""),"",L34-K34)</f>
        <v/>
      </c>
      <c r="P34" s="336">
        <f>IFERROR(IF(O34&gt;0,TEXT(O34/D34,"0,0")&amp;" DIAS ",IF(O34&lt;0,TEXT(ABS(O34/D34),"0,0")&amp;" DIAS ","NO PRAZO")),"")</f>
        <v/>
      </c>
      <c r="Q34">
        <f>IF(B34="","CONFIGURAR",IF(E34="","SEM META",IF(I34&gt;0,"ADIANTADO",IF(I34&lt;0,"ATRASO","NO ALVO"))))</f>
        <v/>
      </c>
      <c r="R34" s="62">
        <f>'METAS CLIENTE'!N28</f>
        <v/>
      </c>
      <c r="S34" s="159">
        <f>IF(N(B34)&gt;0,'METAS CLIENTE'!L28,0)</f>
        <v/>
      </c>
      <c r="T34" s="319">
        <f>IF(N(B34)&gt;0,N(E34)/B34,0)</f>
        <v/>
      </c>
      <c r="U34" s="319">
        <f>IF(N(B34)&gt;0,N(F34)/B34,0)</f>
        <v/>
      </c>
      <c r="V34" s="319">
        <f>IF(N(B34)&gt;0,N(G34)/B34,0)</f>
        <v/>
      </c>
      <c r="W34" s="319">
        <f>IF(N(B34)&gt;0,N(H34)/B34,0)</f>
        <v/>
      </c>
      <c r="X34" s="319">
        <f>IF(N(B34)&gt;0,N(K34)/B34,0)</f>
        <v/>
      </c>
      <c r="Y34" s="319">
        <f>IF(N(B34)&gt;0,N(L34)/B34,0)</f>
        <v/>
      </c>
    </row>
    <row r="35">
      <c r="A35" s="62">
        <f>'METAS CLIENTE'!A29</f>
        <v/>
      </c>
      <c r="B35" s="159">
        <f>IF('METAS CLIENTE'!B29="","",'METAS CLIENTE'!B29)</f>
        <v/>
      </c>
      <c r="C35" s="317">
        <f>IF('METAS CLIENTE'!C29="","",'METAS CLIENTE'!C29)</f>
        <v/>
      </c>
      <c r="D35" s="159">
        <f>IF('METAS CLIENTE'!E29="","",'METAS CLIENTE'!E29)</f>
        <v/>
      </c>
      <c r="E35" s="159">
        <f>IF(OR($B$4="",$D$4="",B35="",C35="",D35=""),"",MAX(0,IF($D$4&lt;C35,0,MIN(B35,D35*NETWORKDAYS.INTL(C35,$D$4,IF('METAS CLIENTE'!F29=5,"0000011",IF('METAS CLIENTE'!F29=6,"0000001","0000000")))))-IF($B$4&lt;=C35,0,MIN(B35,D35*NETWORKDAYS.INTL(C35,$B$4-1,IF('METAS CLIENTE'!F29=5,"0000011",IF('METAS CLIENTE'!F29=6,"0000001","0000000")))))))</f>
        <v/>
      </c>
      <c r="F35" s="159">
        <f>IF(H35="","",0)</f>
        <v/>
      </c>
      <c r="G35" s="159">
        <f>IF(H35="","",0)</f>
        <v/>
      </c>
      <c r="H35" s="159">
        <f>IF(OR($B$4="",$D$4=""),"",SUMIFS('CONTROLE PRODUÇÃO POR EMPRESAS'!$AZ$6:$AZ$5000,'CONTROLE PRODUÇÃO POR EMPRESAS'!$A$6:$A$5000,"&gt;="&amp;$B$4,'CONTROLE PRODUÇÃO POR EMPRESAS'!$A$6:$A$5000,"&lt;="&amp;$D$4))</f>
        <v/>
      </c>
      <c r="I35" s="159">
        <f>IF(OR(E35="",H35=""),"",H35-E35)</f>
        <v/>
      </c>
      <c r="J35" s="319">
        <f>IFERROR(H35/E35,"")</f>
        <v/>
      </c>
      <c r="K35" s="159">
        <f>IF(OR($D$4="",B35="",C35="",D35=""),"",IF($D$4&lt;C35,0,MIN(B35,D35*NETWORKDAYS.INTL(C35,$D$4,IF('METAS CLIENTE'!F29=5,"0000011",IF('METAS CLIENTE'!F29=6,"0000001","0000000"))))))</f>
        <v/>
      </c>
      <c r="L35" s="159">
        <f>IF($D$4="","",SUMIFS('CONTROLE PRODUÇÃO POR EMPRESAS'!$AZ$6:$AZ$5000,'CONTROLE PRODUÇÃO POR EMPRESAS'!$A$6:$A$5000,"&lt;="&amp;$D$4))</f>
        <v/>
      </c>
      <c r="M35" s="159">
        <f>IF(OR(B35="",L35=""),"",MAX(B35-L35,0))</f>
        <v/>
      </c>
      <c r="N35" s="317">
        <f>'CLIENTE - PREV X REAL'!Q31</f>
        <v/>
      </c>
      <c r="O35" s="159">
        <f>IF(OR(K35="",L35=""),"",L35-K35)</f>
        <v/>
      </c>
      <c r="P35" s="336">
        <f>IFERROR(IF(O35&gt;0,TEXT(O35/D35,"0,0")&amp;" DIAS ",IF(O35&lt;0,TEXT(ABS(O35/D35),"0,0")&amp;" DIAS ","NO PRAZO")),"")</f>
        <v/>
      </c>
      <c r="Q35">
        <f>IF(B35="","CONFIGURAR",IF(E35="","SEM META",IF(I35&gt;0,"ADIANTADO",IF(I35&lt;0,"ATRASO","NO ALVO"))))</f>
        <v/>
      </c>
      <c r="R35" s="62">
        <f>'METAS CLIENTE'!N29</f>
        <v/>
      </c>
      <c r="S35" s="159">
        <f>IF(N(B35)&gt;0,'METAS CLIENTE'!L29,0)</f>
        <v/>
      </c>
      <c r="T35" s="319">
        <f>IF(N(B35)&gt;0,N(E35)/B35,0)</f>
        <v/>
      </c>
      <c r="U35" s="319">
        <f>IF(N(B35)&gt;0,N(F35)/B35,0)</f>
        <v/>
      </c>
      <c r="V35" s="319">
        <f>IF(N(B35)&gt;0,N(G35)/B35,0)</f>
        <v/>
      </c>
      <c r="W35" s="319">
        <f>IF(N(B35)&gt;0,N(H35)/B35,0)</f>
        <v/>
      </c>
      <c r="X35" s="319">
        <f>IF(N(B35)&gt;0,N(K35)/B35,0)</f>
        <v/>
      </c>
      <c r="Y35" s="319">
        <f>IF(N(B35)&gt;0,N(L35)/B35,0)</f>
        <v/>
      </c>
    </row>
    <row r="36">
      <c r="A36" s="62">
        <f>'METAS CLIENTE'!A30</f>
        <v/>
      </c>
      <c r="B36" s="159">
        <f>IF('METAS CLIENTE'!B30="","",'METAS CLIENTE'!B30)</f>
        <v/>
      </c>
      <c r="C36" s="317">
        <f>IF('METAS CLIENTE'!C30="","",'METAS CLIENTE'!C30)</f>
        <v/>
      </c>
      <c r="D36" s="159">
        <f>IF('METAS CLIENTE'!E30="","",'METAS CLIENTE'!E30)</f>
        <v/>
      </c>
      <c r="E36" s="159">
        <f>IF(OR($B$4="",$D$4="",B36="",C36="",D36=""),"",MAX(0,IF($D$4&lt;C36,0,MIN(B36,D36*NETWORKDAYS.INTL(C36,$D$4,IF('METAS CLIENTE'!F30=5,"0000011",IF('METAS CLIENTE'!F30=6,"0000001","0000000")))))-IF($B$4&lt;=C36,0,MIN(B36,D36*NETWORKDAYS.INTL(C36,$B$4-1,IF('METAS CLIENTE'!F30=5,"0000011",IF('METAS CLIENTE'!F30=6,"0000001","0000000")))))))</f>
        <v/>
      </c>
      <c r="F36" s="159">
        <f>IF(OR($B$4="",$D$4=""),"",SUMIFS('CONTROLE EJ'!$M$8:$M$5000,'CONTROLE EJ'!$A$8:$A$5000,"&gt;="&amp;$B$4,'CONTROLE EJ'!$A$8:$A$5000,"&lt;="&amp;$D$4))</f>
        <v/>
      </c>
      <c r="G36" s="159">
        <f>IF(OR($B$4="",$D$4=""),"",SUMIFS('CONTROLE CMM'!#REF!,'CONTROLE CMM'!$A$8:$A$5000,"&gt;="&amp;$B$4,'CONTROLE CMM'!$A$8:$A$5000,"&lt;="&amp;$D$4))</f>
        <v/>
      </c>
      <c r="H36" s="159">
        <f>IF(OR($B$4="",$D$4=""),"",SUMIFS('CONTROLE PRODUÇÃO POR EMPRESAS'!$BA$6:$BA$5000,'CONTROLE PRODUÇÃO POR EMPRESAS'!$A$6:$A$5000,"&gt;="&amp;$B$4,'CONTROLE PRODUÇÃO POR EMPRESAS'!$A$6:$A$5000,"&lt;="&amp;$D$4))</f>
        <v/>
      </c>
      <c r="I36" s="159">
        <f>IF(OR(E36="",H36=""),"",H36-E36)</f>
        <v/>
      </c>
      <c r="J36" s="319">
        <f>IFERROR(H36/E36,"")</f>
        <v/>
      </c>
      <c r="K36" s="159">
        <f>IF(OR($D$4="",B36="",C36="",D36=""),"",IF($D$4&lt;C36,0,MIN(B36,D36*NETWORKDAYS.INTL(C36,$D$4,IF('METAS CLIENTE'!F30=5,"0000011",IF('METAS CLIENTE'!F30=6,"0000001","0000000"))))))</f>
        <v/>
      </c>
      <c r="L36" s="159">
        <f>IF($D$4="","",SUMIFS('CONTROLE PRODUÇÃO POR EMPRESAS'!$BA$6:$BA$5000,'CONTROLE PRODUÇÃO POR EMPRESAS'!$A$6:$A$5000,"&lt;="&amp;$D$4))</f>
        <v/>
      </c>
      <c r="M36" s="159">
        <f>IF(OR(B36="",L36=""),"",MAX(B36-L36,0))</f>
        <v/>
      </c>
      <c r="N36" s="317">
        <f>'CLIENTE - PREV X REAL'!Q32</f>
        <v/>
      </c>
      <c r="O36" s="159">
        <f>IF(OR(K36="",L36=""),"",L36-K36)</f>
        <v/>
      </c>
      <c r="P36" s="336">
        <f>IFERROR(IF(O36&gt;0,TEXT(O36/D36,"0,0")&amp;" DIAS ",IF(O36&lt;0,TEXT(ABS(O36/D36),"0,0")&amp;" DIAS ","NO PRAZO")),"")</f>
        <v/>
      </c>
      <c r="Q36">
        <f>IF(B36="","CONFIGURAR",IF(E36="","SEM META",IF(I36&gt;0,"ADIANTADO",IF(I36&lt;0,"ATRASO","NO ALVO"))))</f>
        <v/>
      </c>
      <c r="R36" s="62">
        <f>'METAS CLIENTE'!N30</f>
        <v/>
      </c>
      <c r="S36" s="159">
        <f>IF(N(B36)&gt;0,'METAS CLIENTE'!L30,0)</f>
        <v/>
      </c>
      <c r="T36" s="319">
        <f>IF(N(B36)&gt;0,N(E36)/B36,0)</f>
        <v/>
      </c>
      <c r="U36" s="319">
        <f>IF(N(B36)&gt;0,N(F36)/B36,0)</f>
        <v/>
      </c>
      <c r="V36" s="319">
        <f>IF(N(B36)&gt;0,N(G36)/B36,0)</f>
        <v/>
      </c>
      <c r="W36" s="319">
        <f>IF(N(B36)&gt;0,N(H36)/B36,0)</f>
        <v/>
      </c>
      <c r="X36" s="319">
        <f>IF(N(B36)&gt;0,N(K36)/B36,0)</f>
        <v/>
      </c>
      <c r="Y36" s="319">
        <f>IF(N(B36)&gt;0,N(L36)/B36,0)</f>
        <v/>
      </c>
    </row>
    <row r="37">
      <c r="A37" s="62">
        <f>'METAS CLIENTE'!A31</f>
        <v/>
      </c>
      <c r="B37" s="159">
        <f>IF('METAS CLIENTE'!B31="","",'METAS CLIENTE'!B31)</f>
        <v/>
      </c>
      <c r="C37" s="317">
        <f>IF('METAS CLIENTE'!C31="","",'METAS CLIENTE'!C31)</f>
        <v/>
      </c>
      <c r="D37" s="159">
        <f>IF('METAS CLIENTE'!E31="","",'METAS CLIENTE'!E31)</f>
        <v/>
      </c>
      <c r="E37" s="159">
        <f>IF(OR($B$4="",$D$4="",B37="",C37="",D37=""),"",MAX(0,IF($D$4&lt;C37,0,MIN(B37,D37*NETWORKDAYS.INTL(C37,$D$4,IF('METAS CLIENTE'!F31=5,"0000011",IF('METAS CLIENTE'!F31=6,"0000001","0000000")))))-IF($B$4&lt;=C37,0,MIN(B37,D37*NETWORKDAYS.INTL(C37,$B$4-1,IF('METAS CLIENTE'!F31=5,"0000011",IF('METAS CLIENTE'!F31=6,"0000001","0000000")))))))</f>
        <v/>
      </c>
      <c r="F37" s="159">
        <f>IF(H37="","",0)</f>
        <v/>
      </c>
      <c r="G37" s="159">
        <f>IF(H37="","",0)</f>
        <v/>
      </c>
      <c r="H37" s="159">
        <f>IF(OR($B$4="",$D$4=""),"",SUMIFS('CONTROLE PRODUÇÃO POR EMPRESAS'!$BB$6:$BB$5000,'CONTROLE PRODUÇÃO POR EMPRESAS'!$A$6:$A$5000,"&gt;="&amp;$B$4,'CONTROLE PRODUÇÃO POR EMPRESAS'!$A$6:$A$5000,"&lt;="&amp;$D$4))</f>
        <v/>
      </c>
      <c r="I37" s="159">
        <f>IF(OR(E37="",H37=""),"",H37-E37)</f>
        <v/>
      </c>
      <c r="J37" s="319">
        <f>IFERROR(H37/E37,"")</f>
        <v/>
      </c>
      <c r="K37" s="159">
        <f>IF(OR($D$4="",B37="",C37="",D37=""),"",IF($D$4&lt;C37,0,MIN(B37,D37*NETWORKDAYS.INTL(C37,$D$4,IF('METAS CLIENTE'!F31=5,"0000011",IF('METAS CLIENTE'!F31=6,"0000001","0000000"))))))</f>
        <v/>
      </c>
      <c r="L37" s="159">
        <f>IF($D$4="","",SUMIFS('CONTROLE PRODUÇÃO POR EMPRESAS'!$BB$6:$BB$5000,'CONTROLE PRODUÇÃO POR EMPRESAS'!$A$6:$A$5000,"&lt;="&amp;$D$4))</f>
        <v/>
      </c>
      <c r="M37" s="159">
        <f>IF(OR(B37="",L37=""),"",MAX(B37-L37,0))</f>
        <v/>
      </c>
      <c r="N37" s="317">
        <f>'CLIENTE - PREV X REAL'!Q33</f>
        <v/>
      </c>
      <c r="O37" s="159">
        <f>IF(OR(K37="",L37=""),"",L37-K37)</f>
        <v/>
      </c>
      <c r="P37" s="336">
        <f>IFERROR(IF(O37&gt;0,TEXT(O37/D37,"0,0")&amp;" DIAS ",IF(O37&lt;0,TEXT(ABS(O37/D37),"0,0")&amp;" DIAS ","NO PRAZO")),"")</f>
        <v/>
      </c>
      <c r="Q37">
        <f>IF(B37="","CONFIGURAR",IF(E37="","SEM META",IF(I37&gt;0,"ADIANTADO",IF(I37&lt;0,"ATRASO","NO ALVO"))))</f>
        <v/>
      </c>
      <c r="R37" s="62">
        <f>'METAS CLIENTE'!N31</f>
        <v/>
      </c>
      <c r="S37" s="159">
        <f>IF(N(B37)&gt;0,'METAS CLIENTE'!L31,0)</f>
        <v/>
      </c>
      <c r="T37" s="319">
        <f>IF(N(B37)&gt;0,N(E37)/B37,0)</f>
        <v/>
      </c>
      <c r="U37" s="319">
        <f>IF(N(B37)&gt;0,N(F37)/B37,0)</f>
        <v/>
      </c>
      <c r="V37" s="319">
        <f>IF(N(B37)&gt;0,N(G37)/B37,0)</f>
        <v/>
      </c>
      <c r="W37" s="319">
        <f>IF(N(B37)&gt;0,N(H37)/B37,0)</f>
        <v/>
      </c>
      <c r="X37" s="319">
        <f>IF(N(B37)&gt;0,N(K37)/B37,0)</f>
        <v/>
      </c>
      <c r="Y37" s="319">
        <f>IF(N(B37)&gt;0,N(L37)/B37,0)</f>
        <v/>
      </c>
    </row>
    <row r="38">
      <c r="A38" s="62">
        <f>'METAS CLIENTE'!A32</f>
        <v/>
      </c>
      <c r="B38" s="159">
        <f>IF('METAS CLIENTE'!B32="","",'METAS CLIENTE'!B32)</f>
        <v/>
      </c>
      <c r="C38" s="317">
        <f>IF('METAS CLIENTE'!C32="","",'METAS CLIENTE'!C32)</f>
        <v/>
      </c>
      <c r="D38" s="159">
        <f>IF('METAS CLIENTE'!E32="","",'METAS CLIENTE'!E32)</f>
        <v/>
      </c>
      <c r="E38" s="159">
        <f>IF(OR($B$4="",$D$4="",B38="",C38="",D38=""),"",MAX(0,IF($D$4&lt;C38,0,MIN(B38,D38*NETWORKDAYS.INTL(C38,$D$4,IF('METAS CLIENTE'!F32=5,"0000011",IF('METAS CLIENTE'!F32=6,"0000001","0000000")))))-IF($B$4&lt;=C38,0,MIN(B38,D38*NETWORKDAYS.INTL(C38,$B$4-1,IF('METAS CLIENTE'!F32=5,"0000011",IF('METAS CLIENTE'!F32=6,"0000001","0000000")))))))</f>
        <v/>
      </c>
      <c r="F38" s="159">
        <f>IF(H38="","",0)</f>
        <v/>
      </c>
      <c r="G38" s="159">
        <f>IF(H38="","",0)</f>
        <v/>
      </c>
      <c r="H38" s="159">
        <f>IF(OR($B$4="",$D$4=""),"",SUMIFS('CONTROLE PRODUÇÃO POR EMPRESAS'!$BC$6:$BC$5000,'CONTROLE PRODUÇÃO POR EMPRESAS'!$A$6:$A$5000,"&gt;="&amp;$B$4,'CONTROLE PRODUÇÃO POR EMPRESAS'!$A$6:$A$5000,"&lt;="&amp;$D$4))</f>
        <v/>
      </c>
      <c r="I38" s="159">
        <f>IF(OR(E38="",H38=""),"",H38-E38)</f>
        <v/>
      </c>
      <c r="J38" s="319">
        <f>IFERROR(H38/E38,"")</f>
        <v/>
      </c>
      <c r="K38" s="159">
        <f>IF(OR($D$4="",B38="",C38="",D38=""),"",IF($D$4&lt;C38,0,MIN(B38,D38*NETWORKDAYS.INTL(C38,$D$4,IF('METAS CLIENTE'!F32=5,"0000011",IF('METAS CLIENTE'!F32=6,"0000001","0000000"))))))</f>
        <v/>
      </c>
      <c r="L38" s="159">
        <f>IF($D$4="","",SUMIFS('CONTROLE PRODUÇÃO POR EMPRESAS'!$BC$6:$BC$5000,'CONTROLE PRODUÇÃO POR EMPRESAS'!$A$6:$A$5000,"&lt;="&amp;$D$4))</f>
        <v/>
      </c>
      <c r="M38" s="159">
        <f>IF(OR(B38="",L38=""),"",MAX(B38-L38,0))</f>
        <v/>
      </c>
      <c r="N38" s="317">
        <f>'CLIENTE - PREV X REAL'!Q34</f>
        <v/>
      </c>
      <c r="O38" s="159">
        <f>IF(OR(K38="",L38=""),"",L38-K38)</f>
        <v/>
      </c>
      <c r="P38" s="336">
        <f>IFERROR(IF(O38&gt;0,TEXT(O38/D38,"0,0")&amp;" DIAS ",IF(O38&lt;0,TEXT(ABS(O38/D38),"0,0")&amp;" DIAS ","NO PRAZO")),"")</f>
        <v/>
      </c>
      <c r="Q38">
        <f>IF(B38="","CONFIGURAR",IF(E38="","SEM META",IF(I38&gt;0,"ADIANTADO",IF(I38&lt;0,"ATRASO","NO ALVO"))))</f>
        <v/>
      </c>
      <c r="R38" s="62">
        <f>'METAS CLIENTE'!N32</f>
        <v/>
      </c>
      <c r="S38" s="159">
        <f>IF(N(B38)&gt;0,'METAS CLIENTE'!L32,0)</f>
        <v/>
      </c>
      <c r="T38" s="319">
        <f>IF(N(B38)&gt;0,N(E38)/B38,0)</f>
        <v/>
      </c>
      <c r="U38" s="319">
        <f>IF(N(B38)&gt;0,N(F38)/B38,0)</f>
        <v/>
      </c>
      <c r="V38" s="319">
        <f>IF(N(B38)&gt;0,N(G38)/B38,0)</f>
        <v/>
      </c>
      <c r="W38" s="319">
        <f>IF(N(B38)&gt;0,N(H38)/B38,0)</f>
        <v/>
      </c>
      <c r="X38" s="319">
        <f>IF(N(B38)&gt;0,N(K38)/B38,0)</f>
        <v/>
      </c>
      <c r="Y38" s="319">
        <f>IF(N(B38)&gt;0,N(L38)/B38,0)</f>
        <v/>
      </c>
    </row>
    <row r="39">
      <c r="A39" s="62">
        <f>'METAS CLIENTE'!A33</f>
        <v/>
      </c>
      <c r="B39" s="159">
        <f>IF('METAS CLIENTE'!B33="","",'METAS CLIENTE'!B33)</f>
        <v/>
      </c>
      <c r="C39" s="317">
        <f>IF('METAS CLIENTE'!C33="","",'METAS CLIENTE'!C33)</f>
        <v/>
      </c>
      <c r="D39" s="159">
        <f>IF('METAS CLIENTE'!E33="","",'METAS CLIENTE'!E33)</f>
        <v/>
      </c>
      <c r="E39" s="159">
        <f>IF(OR($B$4="",$D$4="",B39="",C39="",D39=""),"",MAX(0,IF($D$4&lt;C39,0,MIN(B39,D39*NETWORKDAYS.INTL(C39,$D$4,IF('METAS CLIENTE'!F33=5,"0000011",IF('METAS CLIENTE'!F33=6,"0000001","0000000")))))-IF($B$4&lt;=C39,0,MIN(B39,D39*NETWORKDAYS.INTL(C39,$B$4-1,IF('METAS CLIENTE'!F33=5,"0000011",IF('METAS CLIENTE'!F33=6,"0000001","0000000")))))))</f>
        <v/>
      </c>
      <c r="F39" s="159">
        <f>IF(OR($B$4="",$D$4=""),"",SUMIFS('CONTROLE EJ'!$N$8:$N$5000,'CONTROLE EJ'!$A$8:$A$5000,"&gt;="&amp;$B$4,'CONTROLE EJ'!$A$8:$A$5000,"&lt;="&amp;$D$4))</f>
        <v/>
      </c>
      <c r="G39" s="159">
        <f>IF(OR($B$4="",$D$4=""),"",SUMIFS('CONTROLE CMM'!#REF!,'CONTROLE CMM'!$A$8:$A$5000,"&gt;="&amp;$B$4,'CONTROLE CMM'!$A$8:$A$5000,"&lt;="&amp;$D$4))</f>
        <v/>
      </c>
      <c r="H39" s="159">
        <f>IF(OR($B$4="",$D$4=""),"",SUMIFS('CONTROLE PRODUÇÃO POR EMPRESAS'!$BD$6:$BD$5000,'CONTROLE PRODUÇÃO POR EMPRESAS'!$A$6:$A$5000,"&gt;="&amp;$B$4,'CONTROLE PRODUÇÃO POR EMPRESAS'!$A$6:$A$5000,"&lt;="&amp;$D$4))</f>
        <v/>
      </c>
      <c r="I39" s="159">
        <f>IF(OR(E39="",H39=""),"",H39-E39)</f>
        <v/>
      </c>
      <c r="J39" s="319">
        <f>IFERROR(H39/E39,"")</f>
        <v/>
      </c>
      <c r="K39" s="159">
        <f>IF(OR($D$4="",B39="",C39="",D39=""),"",IF($D$4&lt;C39,0,MIN(B39,D39*NETWORKDAYS.INTL(C39,$D$4,IF('METAS CLIENTE'!F33=5,"0000011",IF('METAS CLIENTE'!F33=6,"0000001","0000000"))))))</f>
        <v/>
      </c>
      <c r="L39" s="159">
        <f>IF($D$4="","",SUMIFS('CONTROLE PRODUÇÃO POR EMPRESAS'!$BD$6:$BD$5000,'CONTROLE PRODUÇÃO POR EMPRESAS'!$A$6:$A$5000,"&lt;="&amp;$D$4))</f>
        <v/>
      </c>
      <c r="M39" s="159">
        <f>IF(OR(B39="",L39=""),"",MAX(B39-L39,0))</f>
        <v/>
      </c>
      <c r="N39" s="317">
        <f>'CLIENTE - PREV X REAL'!Q35</f>
        <v/>
      </c>
      <c r="O39" s="159">
        <f>IF(OR(K39="",L39=""),"",L39-K39)</f>
        <v/>
      </c>
      <c r="P39" s="336">
        <f>IFERROR(IF(O39&gt;0,TEXT(O39/D39,"0,0")&amp;" DIAS ",IF(O39&lt;0,TEXT(ABS(O39/D39),"0,0")&amp;" DIAS ","NO PRAZO")),"")</f>
        <v/>
      </c>
      <c r="Q39">
        <f>IF(B39="","CONFIGURAR",IF(E39="","SEM META",IF(I39&gt;0,"ADIANTADO",IF(I39&lt;0,"ATRASO","NO ALVO"))))</f>
        <v/>
      </c>
      <c r="R39" s="62">
        <f>'METAS CLIENTE'!N33</f>
        <v/>
      </c>
      <c r="S39" s="159">
        <f>IF(N(B39)&gt;0,'METAS CLIENTE'!L33,0)</f>
        <v/>
      </c>
      <c r="T39" s="319">
        <f>IF(N(B39)&gt;0,N(E39)/B39,0)</f>
        <v/>
      </c>
      <c r="U39" s="319">
        <f>IF(N(B39)&gt;0,N(F39)/B39,0)</f>
        <v/>
      </c>
      <c r="V39" s="319">
        <f>IF(N(B39)&gt;0,N(G39)/B39,0)</f>
        <v/>
      </c>
      <c r="W39" s="319">
        <f>IF(N(B39)&gt;0,N(H39)/B39,0)</f>
        <v/>
      </c>
      <c r="X39" s="319">
        <f>IF(N(B39)&gt;0,N(K39)/B39,0)</f>
        <v/>
      </c>
      <c r="Y39" s="319">
        <f>IF(N(B39)&gt;0,N(L39)/B39,0)</f>
        <v/>
      </c>
    </row>
    <row r="40">
      <c r="A40" s="62">
        <f>'METAS CLIENTE'!A34</f>
        <v/>
      </c>
      <c r="B40" s="159">
        <f>IF('METAS CLIENTE'!B34="","",'METAS CLIENTE'!B34)</f>
        <v/>
      </c>
      <c r="C40" s="317">
        <f>IF('METAS CLIENTE'!C34="","",'METAS CLIENTE'!C34)</f>
        <v/>
      </c>
      <c r="D40" s="159">
        <f>IF('METAS CLIENTE'!E34="","",'METAS CLIENTE'!E34)</f>
        <v/>
      </c>
      <c r="E40" s="159">
        <f>IF(OR($B$4="",$D$4="",B40="",C40="",D40=""),"",MAX(0,IF($D$4&lt;C40,0,MIN(B40,D40*NETWORKDAYS.INTL(C40,$D$4,IF('METAS CLIENTE'!F34=5,"0000011",IF('METAS CLIENTE'!F34=6,"0000001","0000000")))))-IF($B$4&lt;=C40,0,MIN(B40,D40*NETWORKDAYS.INTL(C40,$B$4-1,IF('METAS CLIENTE'!F34=5,"0000011",IF('METAS CLIENTE'!F34=6,"0000001","0000000")))))))</f>
        <v/>
      </c>
      <c r="F40" s="159">
        <f>IF(H40="","",0)</f>
        <v/>
      </c>
      <c r="G40" s="159">
        <f>IF(H40="","",0)</f>
        <v/>
      </c>
      <c r="H40" s="159">
        <f>IF(OR($B$4="",$D$4=""),"",SUMIFS('CONTROLE PRODUÇÃO POR EMPRESAS'!$BE$6:$BE$5000,'CONTROLE PRODUÇÃO POR EMPRESAS'!$A$6:$A$5000,"&gt;="&amp;$B$4,'CONTROLE PRODUÇÃO POR EMPRESAS'!$A$6:$A$5000,"&lt;="&amp;$D$4))</f>
        <v/>
      </c>
      <c r="I40" s="159">
        <f>IF(OR(E40="",H40=""),"",H40-E40)</f>
        <v/>
      </c>
      <c r="J40" s="319">
        <f>IFERROR(H40/E40,"")</f>
        <v/>
      </c>
      <c r="K40" s="159">
        <f>IF(OR($D$4="",B40="",C40="",D40=""),"",IF($D$4&lt;C40,0,MIN(B40,D40*NETWORKDAYS.INTL(C40,$D$4,IF('METAS CLIENTE'!F34=5,"0000011",IF('METAS CLIENTE'!F34=6,"0000001","0000000"))))))</f>
        <v/>
      </c>
      <c r="L40" s="159">
        <f>IF($D$4="","",SUMIFS('CONTROLE PRODUÇÃO POR EMPRESAS'!$BE$6:$BE$5000,'CONTROLE PRODUÇÃO POR EMPRESAS'!$A$6:$A$5000,"&lt;="&amp;$D$4))</f>
        <v/>
      </c>
      <c r="M40" s="159">
        <f>IF(OR(B40="",L40=""),"",MAX(B40-L40,0))</f>
        <v/>
      </c>
      <c r="N40" s="317">
        <f>'CLIENTE - PREV X REAL'!Q36</f>
        <v/>
      </c>
      <c r="O40" s="159">
        <f>IF(OR(K40="",L40=""),"",L40-K40)</f>
        <v/>
      </c>
      <c r="P40" s="336">
        <f>IFERROR(IF(O40&gt;0,TEXT(O40/D40,"0,0")&amp;" DIAS ",IF(O40&lt;0,TEXT(ABS(O40/D40),"0,0")&amp;" DIAS ","NO PRAZO")),"")</f>
        <v/>
      </c>
      <c r="Q40">
        <f>IF(B40="","CONFIGURAR",IF(E40="","SEM META",IF(I40&gt;0,"ADIANTADO",IF(I40&lt;0,"ATRASO","NO ALVO"))))</f>
        <v/>
      </c>
      <c r="R40" s="62">
        <f>'METAS CLIENTE'!N34</f>
        <v/>
      </c>
      <c r="S40" s="159">
        <f>IF(N(B40)&gt;0,'METAS CLIENTE'!L34,0)</f>
        <v/>
      </c>
      <c r="T40" s="319">
        <f>IF(N(B40)&gt;0,N(E40)/B40,0)</f>
        <v/>
      </c>
      <c r="U40" s="319">
        <f>IF(N(B40)&gt;0,N(F40)/B40,0)</f>
        <v/>
      </c>
      <c r="V40" s="319">
        <f>IF(N(B40)&gt;0,N(G40)/B40,0)</f>
        <v/>
      </c>
      <c r="W40" s="319">
        <f>IF(N(B40)&gt;0,N(H40)/B40,0)</f>
        <v/>
      </c>
      <c r="X40" s="319">
        <f>IF(N(B40)&gt;0,N(K40)/B40,0)</f>
        <v/>
      </c>
      <c r="Y40" s="319">
        <f>IF(N(B40)&gt;0,N(L40)/B40,0)</f>
        <v/>
      </c>
    </row>
    <row r="41">
      <c r="A41" s="62">
        <f>'METAS CLIENTE'!A35</f>
        <v/>
      </c>
      <c r="B41" s="159">
        <f>IF('METAS CLIENTE'!B35="","",'METAS CLIENTE'!B35)</f>
        <v/>
      </c>
      <c r="C41" s="317">
        <f>IF('METAS CLIENTE'!C35="","",'METAS CLIENTE'!C35)</f>
        <v/>
      </c>
      <c r="D41" s="159">
        <f>IF('METAS CLIENTE'!E35="","",'METAS CLIENTE'!E35)</f>
        <v/>
      </c>
      <c r="E41" s="159">
        <f>IF(OR($B$4="",$D$4="",B41="",C41="",D41=""),"",MAX(0,IF($D$4&lt;C41,0,MIN(B41,D41*NETWORKDAYS.INTL(C41,$D$4,IF('METAS CLIENTE'!F35=5,"0000011",IF('METAS CLIENTE'!F35=6,"0000001","0000000")))))-IF($B$4&lt;=C41,0,MIN(B41,D41*NETWORKDAYS.INTL(C41,$B$4-1,IF('METAS CLIENTE'!F35=5,"0000011",IF('METAS CLIENTE'!F35=6,"0000001","0000000")))))))</f>
        <v/>
      </c>
      <c r="F41" s="159">
        <f>IF(H41="","",0)</f>
        <v/>
      </c>
      <c r="G41" s="159">
        <f>IF(H41="","",0)</f>
        <v/>
      </c>
      <c r="H41" s="159">
        <f>IF(OR($B$4="",$D$4=""),"",SUMIFS('CONTROLE PRODUÇÃO POR EMPRESAS'!$BF$6:$BF$5000,'CONTROLE PRODUÇÃO POR EMPRESAS'!$A$6:$A$5000,"&gt;="&amp;$B$4,'CONTROLE PRODUÇÃO POR EMPRESAS'!$A$6:$A$5000,"&lt;="&amp;$D$4))</f>
        <v/>
      </c>
      <c r="I41" s="159">
        <f>IF(OR(E41="",H41=""),"",H41-E41)</f>
        <v/>
      </c>
      <c r="J41" s="319">
        <f>IFERROR(H41/E41,"")</f>
        <v/>
      </c>
      <c r="K41" s="159">
        <f>IF(OR($D$4="",B41="",C41="",D41=""),"",IF($D$4&lt;C41,0,MIN(B41,D41*NETWORKDAYS.INTL(C41,$D$4,IF('METAS CLIENTE'!F35=5,"0000011",IF('METAS CLIENTE'!F35=6,"0000001","0000000"))))))</f>
        <v/>
      </c>
      <c r="L41" s="159">
        <f>IF($D$4="","",SUMIFS('CONTROLE PRODUÇÃO POR EMPRESAS'!$BF$6:$BF$5000,'CONTROLE PRODUÇÃO POR EMPRESAS'!$A$6:$A$5000,"&lt;="&amp;$D$4))</f>
        <v/>
      </c>
      <c r="M41" s="159">
        <f>IF(OR(B41="",L41=""),"",MAX(B41-L41,0))</f>
        <v/>
      </c>
      <c r="N41" s="317">
        <f>'CLIENTE - PREV X REAL'!Q37</f>
        <v/>
      </c>
      <c r="O41" s="159">
        <f>IF(OR(K41="",L41=""),"",L41-K41)</f>
        <v/>
      </c>
      <c r="P41" s="336">
        <f>IFERROR(IF(O41&gt;0,TEXT(O41/D41,"0,0")&amp;" DIAS ",IF(O41&lt;0,TEXT(ABS(O41/D41),"0,0")&amp;" DIAS ","NO PRAZO")),"")</f>
        <v/>
      </c>
      <c r="Q41">
        <f>IF(B41="","CONFIGURAR",IF(E41="","SEM META",IF(I41&gt;0,"ADIANTADO",IF(I41&lt;0,"ATRASO","NO ALVO"))))</f>
        <v/>
      </c>
      <c r="R41" s="62">
        <f>'METAS CLIENTE'!N35</f>
        <v/>
      </c>
      <c r="S41" s="159">
        <f>IF(N(B41)&gt;0,'METAS CLIENTE'!L35,0)</f>
        <v/>
      </c>
      <c r="T41" s="319">
        <f>IF(N(B41)&gt;0,N(E41)/B41,0)</f>
        <v/>
      </c>
      <c r="U41" s="319">
        <f>IF(N(B41)&gt;0,N(F41)/B41,0)</f>
        <v/>
      </c>
      <c r="V41" s="319">
        <f>IF(N(B41)&gt;0,N(G41)/B41,0)</f>
        <v/>
      </c>
      <c r="W41" s="319">
        <f>IF(N(B41)&gt;0,N(H41)/B41,0)</f>
        <v/>
      </c>
      <c r="X41" s="319">
        <f>IF(N(B41)&gt;0,N(K41)/B41,0)</f>
        <v/>
      </c>
      <c r="Y41" s="319">
        <f>IF(N(B41)&gt;0,N(L41)/B41,0)</f>
        <v/>
      </c>
    </row>
    <row r="42">
      <c r="A42" s="62">
        <f>'METAS CLIENTE'!A36</f>
        <v/>
      </c>
      <c r="B42" s="159">
        <f>IF('METAS CLIENTE'!B36="","",'METAS CLIENTE'!B36)</f>
        <v/>
      </c>
      <c r="C42" s="317">
        <f>IF('METAS CLIENTE'!C36="","",'METAS CLIENTE'!C36)</f>
        <v/>
      </c>
      <c r="D42" s="159">
        <f>IF('METAS CLIENTE'!E36="","",'METAS CLIENTE'!E36)</f>
        <v/>
      </c>
      <c r="E42" s="159">
        <f>IF(OR($B$4="",$D$4="",B42="",C42="",D42=""),"",MAX(0,IF($D$4&lt;C42,0,MIN(B42,D42*NETWORKDAYS.INTL(C42,$D$4,IF('METAS CLIENTE'!F36=5,"0000011",IF('METAS CLIENTE'!F36=6,"0000001","0000000")))))-IF($B$4&lt;=C42,0,MIN(B42,D42*NETWORKDAYS.INTL(C42,$B$4-1,IF('METAS CLIENTE'!F36=5,"0000011",IF('METAS CLIENTE'!F36=6,"0000001","0000000")))))))</f>
        <v/>
      </c>
      <c r="F42" s="159">
        <f>IF(H42="","",0)</f>
        <v/>
      </c>
      <c r="G42" s="159">
        <f>IF(H42="","",0)</f>
        <v/>
      </c>
      <c r="H42" s="159">
        <f>IF(OR($B$4="",$D$4=""),"",SUMIFS('CONTROLE PRODUÇÃO POR EMPRESAS'!$BG$6:$BG$5000,'CONTROLE PRODUÇÃO POR EMPRESAS'!$A$6:$A$5000,"&gt;="&amp;$B$4,'CONTROLE PRODUÇÃO POR EMPRESAS'!$A$6:$A$5000,"&lt;="&amp;$D$4))</f>
        <v/>
      </c>
      <c r="I42" s="159">
        <f>IF(OR(E42="",H42=""),"",H42-E42)</f>
        <v/>
      </c>
      <c r="J42" s="319">
        <f>IFERROR(H42/E42,"")</f>
        <v/>
      </c>
      <c r="K42" s="159">
        <f>IF(OR($D$4="",B42="",C42="",D42=""),"",IF($D$4&lt;C42,0,MIN(B42,D42*NETWORKDAYS.INTL(C42,$D$4,IF('METAS CLIENTE'!F36=5,"0000011",IF('METAS CLIENTE'!F36=6,"0000001","0000000"))))))</f>
        <v/>
      </c>
      <c r="L42" s="159">
        <f>IF($D$4="","",SUMIFS('CONTROLE PRODUÇÃO POR EMPRESAS'!$BG$6:$BG$5000,'CONTROLE PRODUÇÃO POR EMPRESAS'!$A$6:$A$5000,"&lt;="&amp;$D$4))</f>
        <v/>
      </c>
      <c r="M42" s="159">
        <f>IF(OR(B42="",L42=""),"",MAX(B42-L42,0))</f>
        <v/>
      </c>
      <c r="N42" s="317">
        <f>'CLIENTE - PREV X REAL'!Q38</f>
        <v/>
      </c>
      <c r="O42" s="159">
        <f>IF(OR(K42="",L42=""),"",L42-K42)</f>
        <v/>
      </c>
      <c r="P42" s="336">
        <f>IFERROR(IF(O42&gt;0,TEXT(O42/D42,"0,0")&amp;" DIAS ",IF(O42&lt;0,TEXT(ABS(O42/D42),"0,0")&amp;" DIAS ","NO PRAZO")),"")</f>
        <v/>
      </c>
      <c r="Q42">
        <f>IF(B42="","CONFIGURAR",IF(E42="","SEM META",IF(I42&gt;0,"ADIANTADO",IF(I42&lt;0,"ATRASO","NO ALVO"))))</f>
        <v/>
      </c>
      <c r="R42" s="62">
        <f>'METAS CLIENTE'!N36</f>
        <v/>
      </c>
      <c r="S42" s="159">
        <f>IF(N(B42)&gt;0,'METAS CLIENTE'!L36,0)</f>
        <v/>
      </c>
      <c r="T42" s="319">
        <f>IF(N(B42)&gt;0,N(E42)/B42,0)</f>
        <v/>
      </c>
      <c r="U42" s="319">
        <f>IF(N(B42)&gt;0,N(F42)/B42,0)</f>
        <v/>
      </c>
      <c r="V42" s="319">
        <f>IF(N(B42)&gt;0,N(G42)/B42,0)</f>
        <v/>
      </c>
      <c r="W42" s="319">
        <f>IF(N(B42)&gt;0,N(H42)/B42,0)</f>
        <v/>
      </c>
      <c r="X42" s="319">
        <f>IF(N(B42)&gt;0,N(K42)/B42,0)</f>
        <v/>
      </c>
      <c r="Y42" s="319">
        <f>IF(N(B42)&gt;0,N(L42)/B42,0)</f>
        <v/>
      </c>
    </row>
    <row r="43">
      <c r="A43" s="62">
        <f>'METAS CLIENTE'!A37</f>
        <v/>
      </c>
      <c r="B43" s="159">
        <f>IF('METAS CLIENTE'!B37="","",'METAS CLIENTE'!B37)</f>
        <v/>
      </c>
      <c r="C43" s="317">
        <f>IF('METAS CLIENTE'!C37="","",'METAS CLIENTE'!C37)</f>
        <v/>
      </c>
      <c r="D43" s="159">
        <f>IF('METAS CLIENTE'!E37="","",'METAS CLIENTE'!E37)</f>
        <v/>
      </c>
      <c r="E43" s="159">
        <f>IF(OR($B$4="",$D$4="",B43="",C43="",D43=""),"",MAX(0,IF($D$4&lt;C43,0,MIN(B43,D43*NETWORKDAYS.INTL(C43,$D$4,IF('METAS CLIENTE'!F37=5,"0000011",IF('METAS CLIENTE'!F37=6,"0000001","0000000")))))-IF($B$4&lt;=C43,0,MIN(B43,D43*NETWORKDAYS.INTL(C43,$B$4-1,IF('METAS CLIENTE'!F37=5,"0000011",IF('METAS CLIENTE'!F37=6,"0000001","0000000")))))))</f>
        <v/>
      </c>
      <c r="F43" s="159">
        <f>IF(OR($B$4="",$D$4=""),"",SUMIFS('CONTROLE EJ'!$O$8:$O$5000,'CONTROLE EJ'!$A$8:$A$5000,"&gt;="&amp;$B$4,'CONTROLE EJ'!$A$8:$A$5000,"&lt;="&amp;$D$4))</f>
        <v/>
      </c>
      <c r="G43" s="159">
        <f>IF(OR($B$4="",$D$4=""),"",SUMIFS('CONTROLE CMM'!#REF!,'CONTROLE CMM'!$A$8:$A$5000,"&gt;="&amp;$B$4,'CONTROLE CMM'!$A$8:$A$5000,"&lt;="&amp;$D$4))</f>
        <v/>
      </c>
      <c r="H43" s="159">
        <f>IF(OR($B$4="",$D$4=""),"",SUMIFS('CONTROLE PRODUÇÃO POR EMPRESAS'!$BH$6:$BH$5000,'CONTROLE PRODUÇÃO POR EMPRESAS'!$A$6:$A$5000,"&gt;="&amp;$B$4,'CONTROLE PRODUÇÃO POR EMPRESAS'!$A$6:$A$5000,"&lt;="&amp;$D$4))</f>
        <v/>
      </c>
      <c r="I43" s="159">
        <f>IF(OR(E43="",H43=""),"",H43-E43)</f>
        <v/>
      </c>
      <c r="J43" s="319">
        <f>IFERROR(H43/E43,"")</f>
        <v/>
      </c>
      <c r="K43" s="159">
        <f>IF(OR($D$4="",B43="",C43="",D43=""),"",IF($D$4&lt;C43,0,MIN(B43,D43*NETWORKDAYS.INTL(C43,$D$4,IF('METAS CLIENTE'!F37=5,"0000011",IF('METAS CLIENTE'!F37=6,"0000001","0000000"))))))</f>
        <v/>
      </c>
      <c r="L43" s="159">
        <f>IF($D$4="","",SUMIFS('CONTROLE PRODUÇÃO POR EMPRESAS'!$BH$6:$BH$5000,'CONTROLE PRODUÇÃO POR EMPRESAS'!$A$6:$A$5000,"&lt;="&amp;$D$4))</f>
        <v/>
      </c>
      <c r="M43" s="159">
        <f>IF(OR(B43="",L43=""),"",MAX(B43-L43,0))</f>
        <v/>
      </c>
      <c r="N43" s="317">
        <f>'CLIENTE - PREV X REAL'!Q39</f>
        <v/>
      </c>
      <c r="O43" s="159">
        <f>IF(OR(K43="",L43=""),"",L43-K43)</f>
        <v/>
      </c>
      <c r="P43" s="336">
        <f>IFERROR(IF(O43&gt;0,TEXT(O43/D43,"0,0")&amp;" DIAS ",IF(O43&lt;0,TEXT(ABS(O43/D43),"0,0")&amp;" DIAS ","NO PRAZO")),"")</f>
        <v/>
      </c>
      <c r="Q43">
        <f>IF(B43="","CONFIGURAR",IF(E43="","SEM META",IF(I43&gt;0,"ADIANTADO",IF(I43&lt;0,"ATRASO","NO ALVO"))))</f>
        <v/>
      </c>
      <c r="R43" s="62">
        <f>'METAS CLIENTE'!N37</f>
        <v/>
      </c>
      <c r="S43" s="159">
        <f>IF(N(B43)&gt;0,'METAS CLIENTE'!L37,0)</f>
        <v/>
      </c>
      <c r="T43" s="319">
        <f>IF(N(B43)&gt;0,N(E43)/B43,0)</f>
        <v/>
      </c>
      <c r="U43" s="319">
        <f>IF(N(B43)&gt;0,N(F43)/B43,0)</f>
        <v/>
      </c>
      <c r="V43" s="319">
        <f>IF(N(B43)&gt;0,N(G43)/B43,0)</f>
        <v/>
      </c>
      <c r="W43" s="319">
        <f>IF(N(B43)&gt;0,N(H43)/B43,0)</f>
        <v/>
      </c>
      <c r="X43" s="319">
        <f>IF(N(B43)&gt;0,N(K43)/B43,0)</f>
        <v/>
      </c>
      <c r="Y43" s="319">
        <f>IF(N(B43)&gt;0,N(L43)/B43,0)</f>
        <v/>
      </c>
    </row>
    <row r="44">
      <c r="A44" s="62">
        <f>'METAS CLIENTE'!A38</f>
        <v/>
      </c>
      <c r="B44" s="159">
        <f>IF('METAS CLIENTE'!B38="","",'METAS CLIENTE'!B38)</f>
        <v/>
      </c>
      <c r="C44" s="317">
        <f>IF('METAS CLIENTE'!C38="","",'METAS CLIENTE'!C38)</f>
        <v/>
      </c>
      <c r="D44" s="159">
        <f>IF('METAS CLIENTE'!E38="","",'METAS CLIENTE'!E38)</f>
        <v/>
      </c>
      <c r="E44" s="159">
        <f>IF(OR($B$4="",$D$4="",B44="",C44="",D44=""),"",MAX(0,IF($D$4&lt;C44,0,MIN(B44,D44*NETWORKDAYS.INTL(C44,$D$4,IF('METAS CLIENTE'!F38=5,"0000011",IF('METAS CLIENTE'!F38=6,"0000001","0000000")))))-IF($B$4&lt;=C44,0,MIN(B44,D44*NETWORKDAYS.INTL(C44,$B$4-1,IF('METAS CLIENTE'!F38=5,"0000011",IF('METAS CLIENTE'!F38=6,"0000001","0000000")))))))</f>
        <v/>
      </c>
      <c r="F44" s="159">
        <f>IF(H44="","",0)</f>
        <v/>
      </c>
      <c r="G44" s="159">
        <f>IF(H44="","",0)</f>
        <v/>
      </c>
      <c r="H44" s="159">
        <f>IF(OR($B$4="",$D$4=""),"",SUMIFS('CONTROLE PRODUÇÃO POR EMPRESAS'!$BI$6:$BI$5000,'CONTROLE PRODUÇÃO POR EMPRESAS'!$A$6:$A$5000,"&gt;="&amp;$B$4,'CONTROLE PRODUÇÃO POR EMPRESAS'!$A$6:$A$5000,"&lt;="&amp;$D$4))</f>
        <v/>
      </c>
      <c r="I44" s="159">
        <f>IF(OR(E44="",H44=""),"",H44-E44)</f>
        <v/>
      </c>
      <c r="J44" s="319">
        <f>IFERROR(H44/E44,"")</f>
        <v/>
      </c>
      <c r="K44" s="159">
        <f>IF(OR($D$4="",B44="",C44="",D44=""),"",IF($D$4&lt;C44,0,MIN(B44,D44*NETWORKDAYS.INTL(C44,$D$4,IF('METAS CLIENTE'!F38=5,"0000011",IF('METAS CLIENTE'!F38=6,"0000001","0000000"))))))</f>
        <v/>
      </c>
      <c r="L44" s="159">
        <f>IF($D$4="","",SUMIFS('CONTROLE PRODUÇÃO POR EMPRESAS'!$BI$6:$BI$5000,'CONTROLE PRODUÇÃO POR EMPRESAS'!$A$6:$A$5000,"&lt;="&amp;$D$4))</f>
        <v/>
      </c>
      <c r="M44" s="159">
        <f>IF(OR(B44="",L44=""),"",MAX(B44-L44,0))</f>
        <v/>
      </c>
      <c r="N44" s="317">
        <f>'CLIENTE - PREV X REAL'!Q40</f>
        <v/>
      </c>
      <c r="O44" s="159">
        <f>IF(OR(K44="",L44=""),"",L44-K44)</f>
        <v/>
      </c>
      <c r="P44" s="336">
        <f>IFERROR(IF(O44&gt;0,TEXT(O44/D44,"0,0")&amp;" DIAS ",IF(O44&lt;0,TEXT(ABS(O44/D44),"0,0")&amp;" DIAS ","NO PRAZO")),"")</f>
        <v/>
      </c>
      <c r="Q44">
        <f>IF(B44="","CONFIGURAR",IF(E44="","SEM META",IF(I44&gt;0,"ADIANTADO",IF(I44&lt;0,"ATRASO","NO ALVO"))))</f>
        <v/>
      </c>
      <c r="R44" s="62">
        <f>'METAS CLIENTE'!N38</f>
        <v/>
      </c>
      <c r="S44" s="159">
        <f>IF(N(B44)&gt;0,'METAS CLIENTE'!L38,0)</f>
        <v/>
      </c>
      <c r="T44" s="319">
        <f>IF(N(B44)&gt;0,N(E44)/B44,0)</f>
        <v/>
      </c>
      <c r="U44" s="319">
        <f>IF(N(B44)&gt;0,N(F44)/B44,0)</f>
        <v/>
      </c>
      <c r="V44" s="319">
        <f>IF(N(B44)&gt;0,N(G44)/B44,0)</f>
        <v/>
      </c>
      <c r="W44" s="319">
        <f>IF(N(B44)&gt;0,N(H44)/B44,0)</f>
        <v/>
      </c>
      <c r="X44" s="319">
        <f>IF(N(B44)&gt;0,N(K44)/B44,0)</f>
        <v/>
      </c>
      <c r="Y44" s="319">
        <f>IF(N(B44)&gt;0,N(L44)/B44,0)</f>
        <v/>
      </c>
    </row>
    <row r="45">
      <c r="A45" s="62">
        <f>'METAS CLIENTE'!A39</f>
        <v/>
      </c>
      <c r="B45" s="159">
        <f>IF('METAS CLIENTE'!B39="","",'METAS CLIENTE'!B39)</f>
        <v/>
      </c>
      <c r="C45" s="317">
        <f>IF('METAS CLIENTE'!C39="","",'METAS CLIENTE'!C39)</f>
        <v/>
      </c>
      <c r="D45" s="159">
        <f>IF('METAS CLIENTE'!E39="","",'METAS CLIENTE'!E39)</f>
        <v/>
      </c>
      <c r="E45" s="159">
        <f>IF(OR($B$4="",$D$4="",B45="",C45="",D45=""),"",MAX(0,IF($D$4&lt;C45,0,MIN(B45,D45*NETWORKDAYS.INTL(C45,$D$4,IF('METAS CLIENTE'!F39=5,"0000011",IF('METAS CLIENTE'!F39=6,"0000001","0000000")))))-IF($B$4&lt;=C45,0,MIN(B45,D45*NETWORKDAYS.INTL(C45,$B$4-1,IF('METAS CLIENTE'!F39=5,"0000011",IF('METAS CLIENTE'!F39=6,"0000001","0000000")))))))</f>
        <v/>
      </c>
      <c r="F45" s="159">
        <f>IF(H45="","",0)</f>
        <v/>
      </c>
      <c r="G45" s="159">
        <f>IF(H45="","",0)</f>
        <v/>
      </c>
      <c r="H45" s="159">
        <f>IF(OR($B$4="",$D$4=""),"",SUMIFS('CONTROLE PRODUÇÃO POR EMPRESAS'!$BJ$6:$BJ$5000,'CONTROLE PRODUÇÃO POR EMPRESAS'!$A$6:$A$5000,"&gt;="&amp;$B$4,'CONTROLE PRODUÇÃO POR EMPRESAS'!$A$6:$A$5000,"&lt;="&amp;$D$4))</f>
        <v/>
      </c>
      <c r="I45" s="159">
        <f>IF(OR(E45="",H45=""),"",H45-E45)</f>
        <v/>
      </c>
      <c r="J45" s="319">
        <f>IFERROR(H45/E45,"")</f>
        <v/>
      </c>
      <c r="K45" s="159">
        <f>IF(OR($D$4="",B45="",C45="",D45=""),"",IF($D$4&lt;C45,0,MIN(B45,D45*NETWORKDAYS.INTL(C45,$D$4,IF('METAS CLIENTE'!F39=5,"0000011",IF('METAS CLIENTE'!F39=6,"0000001","0000000"))))))</f>
        <v/>
      </c>
      <c r="L45" s="159">
        <f>IF($D$4="","",SUMIFS('CONTROLE PRODUÇÃO POR EMPRESAS'!$BJ$6:$BJ$5000,'CONTROLE PRODUÇÃO POR EMPRESAS'!$A$6:$A$5000,"&lt;="&amp;$D$4))</f>
        <v/>
      </c>
      <c r="M45" s="159">
        <f>IF(OR(B45="",L45=""),"",MAX(B45-L45,0))</f>
        <v/>
      </c>
      <c r="N45" s="317">
        <f>'CLIENTE - PREV X REAL'!Q41</f>
        <v/>
      </c>
      <c r="O45" s="159">
        <f>IF(OR(K45="",L45=""),"",L45-K45)</f>
        <v/>
      </c>
      <c r="P45" s="336">
        <f>IFERROR(IF(O45&gt;0,TEXT(O45/D45,"0,0")&amp;" DIAS ",IF(O45&lt;0,TEXT(ABS(O45/D45),"0,0")&amp;" DIAS ","NO PRAZO")),"")</f>
        <v/>
      </c>
      <c r="Q45">
        <f>IF(B45="","CONFIGURAR",IF(E45="","SEM META",IF(I45&gt;0,"ADIANTADO",IF(I45&lt;0,"ATRASO","NO ALVO"))))</f>
        <v/>
      </c>
      <c r="R45" s="62">
        <f>'METAS CLIENTE'!N39</f>
        <v/>
      </c>
      <c r="S45" s="159">
        <f>IF(N(B45)&gt;0,'METAS CLIENTE'!L39,0)</f>
        <v/>
      </c>
      <c r="T45" s="319">
        <f>IF(N(B45)&gt;0,N(E45)/B45,0)</f>
        <v/>
      </c>
      <c r="U45" s="319">
        <f>IF(N(B45)&gt;0,N(F45)/B45,0)</f>
        <v/>
      </c>
      <c r="V45" s="319">
        <f>IF(N(B45)&gt;0,N(G45)/B45,0)</f>
        <v/>
      </c>
      <c r="W45" s="319">
        <f>IF(N(B45)&gt;0,N(H45)/B45,0)</f>
        <v/>
      </c>
      <c r="X45" s="319">
        <f>IF(N(B45)&gt;0,N(K45)/B45,0)</f>
        <v/>
      </c>
      <c r="Y45" s="319">
        <f>IF(N(B45)&gt;0,N(L45)/B45,0)</f>
        <v/>
      </c>
    </row>
    <row r="46">
      <c r="A46" s="62">
        <f>'METAS CLIENTE'!A40</f>
        <v/>
      </c>
      <c r="B46" s="159">
        <f>IF('METAS CLIENTE'!B40="","",'METAS CLIENTE'!B40)</f>
        <v/>
      </c>
      <c r="C46" s="317">
        <f>IF('METAS CLIENTE'!C40="","",'METAS CLIENTE'!C40)</f>
        <v/>
      </c>
      <c r="D46" s="159">
        <f>IF('METAS CLIENTE'!E40="","",'METAS CLIENTE'!E40)</f>
        <v/>
      </c>
      <c r="E46" s="159">
        <f>IF(OR($B$4="",$D$4="",B46="",C46="",D46=""),"",MAX(0,IF($D$4&lt;C46,0,MIN(B46,D46*NETWORKDAYS.INTL(C46,$D$4,IF('METAS CLIENTE'!F40=5,"0000011",IF('METAS CLIENTE'!F40=6,"0000001","0000000")))))-IF($B$4&lt;=C46,0,MIN(B46,D46*NETWORKDAYS.INTL(C46,$B$4-1,IF('METAS CLIENTE'!F40=5,"0000011",IF('METAS CLIENTE'!F40=6,"0000001","0000000")))))))</f>
        <v/>
      </c>
      <c r="F46" s="159">
        <f>IF(H46="","",0)</f>
        <v/>
      </c>
      <c r="G46" s="159">
        <f>IF(H46="","",0)</f>
        <v/>
      </c>
      <c r="H46" s="159">
        <f>IF(OR($B$4="",$D$4=""),"",SUMIFS('CONTROLE PRODUÇÃO POR EMPRESAS'!$BK$6:$BK$5000,'CONTROLE PRODUÇÃO POR EMPRESAS'!$A$6:$A$5000,"&gt;="&amp;$B$4,'CONTROLE PRODUÇÃO POR EMPRESAS'!$A$6:$A$5000,"&lt;="&amp;$D$4))</f>
        <v/>
      </c>
      <c r="I46" s="159">
        <f>IF(OR(E46="",H46=""),"",H46-E46)</f>
        <v/>
      </c>
      <c r="J46" s="319">
        <f>IFERROR(H46/E46,"")</f>
        <v/>
      </c>
      <c r="K46" s="159">
        <f>IF(OR($D$4="",B46="",C46="",D46=""),"",IF($D$4&lt;C46,0,MIN(B46,D46*NETWORKDAYS.INTL(C46,$D$4,IF('METAS CLIENTE'!F40=5,"0000011",IF('METAS CLIENTE'!F40=6,"0000001","0000000"))))))</f>
        <v/>
      </c>
      <c r="L46" s="159">
        <f>IF($D$4="","",SUMIFS('CONTROLE PRODUÇÃO POR EMPRESAS'!$BK$6:$BK$5000,'CONTROLE PRODUÇÃO POR EMPRESAS'!$A$6:$A$5000,"&lt;="&amp;$D$4))</f>
        <v/>
      </c>
      <c r="M46" s="159">
        <f>IF(OR(B46="",L46=""),"",MAX(B46-L46,0))</f>
        <v/>
      </c>
      <c r="N46" s="317">
        <f>'CLIENTE - PREV X REAL'!Q42</f>
        <v/>
      </c>
      <c r="O46" s="159">
        <f>IF(OR(K46="",L46=""),"",L46-K46)</f>
        <v/>
      </c>
      <c r="P46" s="336">
        <f>IFERROR(IF(O46&gt;0,TEXT(O46/D46,"0,0")&amp;" DIAS ",IF(O46&lt;0,TEXT(ABS(O46/D46),"0,0")&amp;" DIAS ","NO PRAZO")),"")</f>
        <v/>
      </c>
      <c r="Q46">
        <f>IF(B46="","CONFIGURAR",IF(E46="","SEM META",IF(I46&gt;0,"ADIANTADO",IF(I46&lt;0,"ATRASO","NO ALVO"))))</f>
        <v/>
      </c>
      <c r="R46" s="62">
        <f>'METAS CLIENTE'!N40</f>
        <v/>
      </c>
      <c r="S46" s="159">
        <f>IF(N(B46)&gt;0,'METAS CLIENTE'!L40,0)</f>
        <v/>
      </c>
      <c r="T46" s="319">
        <f>IF(N(B46)&gt;0,N(E46)/B46,0)</f>
        <v/>
      </c>
      <c r="U46" s="319">
        <f>IF(N(B46)&gt;0,N(F46)/B46,0)</f>
        <v/>
      </c>
      <c r="V46" s="319">
        <f>IF(N(B46)&gt;0,N(G46)/B46,0)</f>
        <v/>
      </c>
      <c r="W46" s="319">
        <f>IF(N(B46)&gt;0,N(H46)/B46,0)</f>
        <v/>
      </c>
      <c r="X46" s="319">
        <f>IF(N(B46)&gt;0,N(K46)/B46,0)</f>
        <v/>
      </c>
      <c r="Y46" s="319">
        <f>IF(N(B46)&gt;0,N(L46)/B46,0)</f>
        <v/>
      </c>
    </row>
    <row r="47">
      <c r="A47" s="62">
        <f>'METAS CLIENTE'!A41</f>
        <v/>
      </c>
      <c r="B47" s="159">
        <f>IF('METAS CLIENTE'!B41="","",'METAS CLIENTE'!B41)</f>
        <v/>
      </c>
      <c r="C47" s="317">
        <f>IF('METAS CLIENTE'!C41="","",'METAS CLIENTE'!C41)</f>
        <v/>
      </c>
      <c r="D47" s="159">
        <f>IF('METAS CLIENTE'!E41="","",'METAS CLIENTE'!E41)</f>
        <v/>
      </c>
      <c r="E47" s="159">
        <f>IF(OR($B$4="",$D$4="",B47="",C47="",D47=""),"",MAX(0,IF($D$4&lt;C47,0,MIN(B47,D47*NETWORKDAYS.INTL(C47,$D$4,IF('METAS CLIENTE'!F41=5,"0000011",IF('METAS CLIENTE'!F41=6,"0000001","0000000")))))-IF($B$4&lt;=C47,0,MIN(B47,D47*NETWORKDAYS.INTL(C47,$B$4-1,IF('METAS CLIENTE'!F41=5,"0000011",IF('METAS CLIENTE'!F41=6,"0000001","0000000")))))))</f>
        <v/>
      </c>
      <c r="F47" s="159">
        <f>IF(OR($B$4="",$D$4=""),"",SUMIFS('CONTROLE EJ'!$P$8:$P$5000,'CONTROLE EJ'!$A$8:$A$5000,"&gt;="&amp;$B$4,'CONTROLE EJ'!$A$8:$A$5000,"&lt;="&amp;$D$4))</f>
        <v/>
      </c>
      <c r="G47" s="159">
        <f>IF(OR($B$4="",$D$4=""),"",SUMIFS('CONTROLE CMM'!#REF!,'CONTROLE CMM'!$A$8:$A$5000,"&gt;="&amp;$B$4,'CONTROLE CMM'!$A$8:$A$5000,"&lt;="&amp;$D$4))</f>
        <v/>
      </c>
      <c r="H47" s="159">
        <f>IF(OR($B$4="",$D$4=""),"",SUMIFS('CONTROLE PRODUÇÃO POR EMPRESAS'!$BL$6:$BL$5000,'CONTROLE PRODUÇÃO POR EMPRESAS'!$A$6:$A$5000,"&gt;="&amp;$B$4,'CONTROLE PRODUÇÃO POR EMPRESAS'!$A$6:$A$5000,"&lt;="&amp;$D$4))</f>
        <v/>
      </c>
      <c r="I47" s="159">
        <f>IF(OR(E47="",H47=""),"",H47-E47)</f>
        <v/>
      </c>
      <c r="J47" s="319">
        <f>IFERROR(H47/E47,"")</f>
        <v/>
      </c>
      <c r="K47" s="159">
        <f>IF(OR($D$4="",B47="",C47="",D47=""),"",IF($D$4&lt;C47,0,MIN(B47,D47*NETWORKDAYS.INTL(C47,$D$4,IF('METAS CLIENTE'!F41=5,"0000011",IF('METAS CLIENTE'!F41=6,"0000001","0000000"))))))</f>
        <v/>
      </c>
      <c r="L47" s="159">
        <f>IF($D$4="","",SUMIFS('CONTROLE PRODUÇÃO POR EMPRESAS'!$BL$6:$BL$5000,'CONTROLE PRODUÇÃO POR EMPRESAS'!$A$6:$A$5000,"&lt;="&amp;$D$4))</f>
        <v/>
      </c>
      <c r="M47" s="159">
        <f>IF(OR(B47="",L47=""),"",MAX(B47-L47,0))</f>
        <v/>
      </c>
      <c r="N47" s="317">
        <f>'CLIENTE - PREV X REAL'!Q43</f>
        <v/>
      </c>
      <c r="O47" s="159">
        <f>IF(OR(K47="",L47=""),"",L47-K47)</f>
        <v/>
      </c>
      <c r="P47" s="336">
        <f>IFERROR(IF(O47&gt;0,TEXT(O47/D47,"0,0")&amp;" DIAS ",IF(O47&lt;0,TEXT(ABS(O47/D47),"0,0")&amp;" DIAS ","NO PRAZO")),"")</f>
        <v/>
      </c>
      <c r="Q47">
        <f>IF(B47="","CONFIGURAR",IF(E47="","SEM META",IF(I47&gt;0,"ADIANTADO",IF(I47&lt;0,"ATRASO","NO ALVO"))))</f>
        <v/>
      </c>
      <c r="R47" s="62">
        <f>'METAS CLIENTE'!N41</f>
        <v/>
      </c>
      <c r="S47" s="159">
        <f>IF(N(B47)&gt;0,'METAS CLIENTE'!L41,0)</f>
        <v/>
      </c>
      <c r="T47" s="319">
        <f>IF(N(B47)&gt;0,N(E47)/B47,0)</f>
        <v/>
      </c>
      <c r="U47" s="319">
        <f>IF(N(B47)&gt;0,N(F47)/B47,0)</f>
        <v/>
      </c>
      <c r="V47" s="319">
        <f>IF(N(B47)&gt;0,N(G47)/B47,0)</f>
        <v/>
      </c>
      <c r="W47" s="319">
        <f>IF(N(B47)&gt;0,N(H47)/B47,0)</f>
        <v/>
      </c>
      <c r="X47" s="319">
        <f>IF(N(B47)&gt;0,N(K47)/B47,0)</f>
        <v/>
      </c>
      <c r="Y47" s="319">
        <f>IF(N(B47)&gt;0,N(L47)/B47,0)</f>
        <v/>
      </c>
    </row>
    <row r="48">
      <c r="A48" s="62">
        <f>'METAS CLIENTE'!A42</f>
        <v/>
      </c>
      <c r="B48" s="159">
        <f>IF('METAS CLIENTE'!B42="","",'METAS CLIENTE'!B42)</f>
        <v/>
      </c>
      <c r="C48" s="317">
        <f>IF('METAS CLIENTE'!C42="","",'METAS CLIENTE'!C42)</f>
        <v/>
      </c>
      <c r="D48" s="159">
        <f>IF('METAS CLIENTE'!E42="","",'METAS CLIENTE'!E42)</f>
        <v/>
      </c>
      <c r="E48" s="159">
        <f>IF(OR($B$4="",$D$4="",B48="",C48="",D48=""),"",MAX(0,IF($D$4&lt;C48,0,MIN(B48,D48*NETWORKDAYS.INTL(C48,$D$4,IF('METAS CLIENTE'!F42=5,"0000011",IF('METAS CLIENTE'!F42=6,"0000001","0000000")))))-IF($B$4&lt;=C48,0,MIN(B48,D48*NETWORKDAYS.INTL(C48,$B$4-1,IF('METAS CLIENTE'!F42=5,"0000011",IF('METAS CLIENTE'!F42=6,"0000001","0000000")))))))</f>
        <v/>
      </c>
      <c r="F48" s="159">
        <f>IF(OR($B$4="",$D$4=""),"",SUMIFS('CONTROLE EJ'!$Q$8:$Q$5000,'CONTROLE EJ'!$A$8:$A$5000,"&gt;="&amp;$B$4,'CONTROLE EJ'!$A$8:$A$5000,"&lt;="&amp;$D$4))</f>
        <v/>
      </c>
      <c r="G48" s="159">
        <f>IF(OR($B$4="",$D$4=""),"",SUMIFS('CONTROLE CMM'!#REF!,'CONTROLE CMM'!$A$8:$A$5000,"&gt;="&amp;$B$4,'CONTROLE CMM'!$A$8:$A$5000,"&lt;="&amp;$D$4))</f>
        <v/>
      </c>
      <c r="H48" s="159">
        <f>IF(OR($B$4="",$D$4=""),"",SUMIFS('CONTROLE PRODUÇÃO POR EMPRESAS'!$BM$6:$BM$5000,'CONTROLE PRODUÇÃO POR EMPRESAS'!$A$6:$A$5000,"&gt;="&amp;$B$4,'CONTROLE PRODUÇÃO POR EMPRESAS'!$A$6:$A$5000,"&lt;="&amp;$D$4))</f>
        <v/>
      </c>
      <c r="I48" s="159">
        <f>IF(OR(E48="",H48=""),"",H48-E48)</f>
        <v/>
      </c>
      <c r="J48" s="319">
        <f>IFERROR(H48/E48,"")</f>
        <v/>
      </c>
      <c r="K48" s="159">
        <f>IF(OR($D$4="",B48="",C48="",D48=""),"",IF($D$4&lt;C48,0,MIN(B48,D48*NETWORKDAYS.INTL(C48,$D$4,IF('METAS CLIENTE'!F42=5,"0000011",IF('METAS CLIENTE'!F42=6,"0000001","0000000"))))))</f>
        <v/>
      </c>
      <c r="L48" s="159">
        <f>IF($D$4="","",SUMIFS('CONTROLE PRODUÇÃO POR EMPRESAS'!$BM$6:$BM$5000,'CONTROLE PRODUÇÃO POR EMPRESAS'!$A$6:$A$5000,"&lt;="&amp;$D$4))</f>
        <v/>
      </c>
      <c r="M48" s="159">
        <f>IF(OR(B48="",L48=""),"",MAX(B48-L48,0))</f>
        <v/>
      </c>
      <c r="N48" s="317">
        <f>'CLIENTE - PREV X REAL'!Q44</f>
        <v/>
      </c>
      <c r="O48" s="159">
        <f>IF(OR(K48="",L48=""),"",L48-K48)</f>
        <v/>
      </c>
      <c r="P48" s="336">
        <f>IFERROR(IF(O48&gt;0,TEXT(O48/D48,"0,0")&amp;" DIAS ",IF(O48&lt;0,TEXT(ABS(O48/D48),"0,0")&amp;" DIAS ","NO PRAZO")),"")</f>
        <v/>
      </c>
      <c r="Q48">
        <f>IF(B48="","CONFIGURAR",IF(E48="","SEM META",IF(I48&gt;0,"ADIANTADO",IF(I48&lt;0,"ATRASO","NO ALVO"))))</f>
        <v/>
      </c>
      <c r="R48" s="62">
        <f>'METAS CLIENTE'!N42</f>
        <v/>
      </c>
      <c r="S48" s="159">
        <f>IF(N(B48)&gt;0,'METAS CLIENTE'!L42,0)</f>
        <v/>
      </c>
      <c r="T48" s="319">
        <f>IF(N(B48)&gt;0,N(E48)/B48,0)</f>
        <v/>
      </c>
      <c r="U48" s="319">
        <f>IF(N(B48)&gt;0,N(F48)/B48,0)</f>
        <v/>
      </c>
      <c r="V48" s="319">
        <f>IF(N(B48)&gt;0,N(G48)/B48,0)</f>
        <v/>
      </c>
      <c r="W48" s="319">
        <f>IF(N(B48)&gt;0,N(H48)/B48,0)</f>
        <v/>
      </c>
      <c r="X48" s="319">
        <f>IF(N(B48)&gt;0,N(K48)/B48,0)</f>
        <v/>
      </c>
      <c r="Y48" s="319">
        <f>IF(N(B48)&gt;0,N(L48)/B48,0)</f>
        <v/>
      </c>
    </row>
    <row r="49">
      <c r="A49" s="62">
        <f>'METAS CLIENTE'!A43</f>
        <v/>
      </c>
      <c r="B49" s="159">
        <f>IF('METAS CLIENTE'!B43="","",'METAS CLIENTE'!B43)</f>
        <v/>
      </c>
      <c r="C49" s="317">
        <f>IF('METAS CLIENTE'!C43="","",'METAS CLIENTE'!C43)</f>
        <v/>
      </c>
      <c r="D49" s="159">
        <f>IF('METAS CLIENTE'!E43="","",'METAS CLIENTE'!E43)</f>
        <v/>
      </c>
      <c r="E49" s="159">
        <f>IF(OR($B$4="",$D$4="",B49="",C49="",D49=""),"",MAX(0,IF($D$4&lt;C49,0,MIN(B49,D49*NETWORKDAYS.INTL(C49,$D$4,IF('METAS CLIENTE'!F43=5,"0000011",IF('METAS CLIENTE'!F43=6,"0000001","0000000")))))-IF($B$4&lt;=C49,0,MIN(B49,D49*NETWORKDAYS.INTL(C49,$B$4-1,IF('METAS CLIENTE'!F43=5,"0000011",IF('METAS CLIENTE'!F43=6,"0000001","0000000")))))))</f>
        <v/>
      </c>
      <c r="F49" s="159">
        <f>IF(H49="","",0)</f>
        <v/>
      </c>
      <c r="G49" s="159">
        <f>IF(H49="","",0)</f>
        <v/>
      </c>
      <c r="H49" s="159">
        <f>IF(OR($B$4="",$D$4=""),"",SUMIFS('CONTROLE PRODUÇÃO POR EMPRESAS'!$BN$6:$BN$5000,'CONTROLE PRODUÇÃO POR EMPRESAS'!$A$6:$A$5000,"&gt;="&amp;$B$4,'CONTROLE PRODUÇÃO POR EMPRESAS'!$A$6:$A$5000,"&lt;="&amp;$D$4))</f>
        <v/>
      </c>
      <c r="I49" s="159">
        <f>IF(OR(E49="",H49=""),"",H49-E49)</f>
        <v/>
      </c>
      <c r="J49" s="319">
        <f>IFERROR(H49/E49,"")</f>
        <v/>
      </c>
      <c r="K49" s="159">
        <f>IF(OR($D$4="",B49="",C49="",D49=""),"",IF($D$4&lt;C49,0,MIN(B49,D49*NETWORKDAYS.INTL(C49,$D$4,IF('METAS CLIENTE'!F43=5,"0000011",IF('METAS CLIENTE'!F43=6,"0000001","0000000"))))))</f>
        <v/>
      </c>
      <c r="L49" s="159">
        <f>IF($D$4="","",SUMIFS('CONTROLE PRODUÇÃO POR EMPRESAS'!$BN$6:$BN$5000,'CONTROLE PRODUÇÃO POR EMPRESAS'!$A$6:$A$5000,"&lt;="&amp;$D$4))</f>
        <v/>
      </c>
      <c r="M49" s="159">
        <f>IF(OR(B49="",L49=""),"",MAX(B49-L49,0))</f>
        <v/>
      </c>
      <c r="N49" s="317">
        <f>'CLIENTE - PREV X REAL'!Q45</f>
        <v/>
      </c>
      <c r="O49" s="159">
        <f>IF(OR(K49="",L49=""),"",L49-K49)</f>
        <v/>
      </c>
      <c r="P49" s="336">
        <f>IFERROR(IF(O49&gt;0,TEXT(O49/D49,"0,0")&amp;" DIAS ",IF(O49&lt;0,TEXT(ABS(O49/D49),"0,0")&amp;" DIAS ","NO PRAZO")),"")</f>
        <v/>
      </c>
      <c r="Q49">
        <f>IF(B49="","CONFIGURAR",IF(E49="","SEM META",IF(I49&gt;0,"ADIANTADO",IF(I49&lt;0,"ATRASO","NO ALVO"))))</f>
        <v/>
      </c>
      <c r="R49" s="62">
        <f>'METAS CLIENTE'!N43</f>
        <v/>
      </c>
      <c r="S49" s="159">
        <f>IF(N(B49)&gt;0,'METAS CLIENTE'!L43,0)</f>
        <v/>
      </c>
      <c r="T49" s="319">
        <f>IF(N(B49)&gt;0,N(E49)/B49,0)</f>
        <v/>
      </c>
      <c r="U49" s="319">
        <f>IF(N(B49)&gt;0,N(F49)/B49,0)</f>
        <v/>
      </c>
      <c r="V49" s="319">
        <f>IF(N(B49)&gt;0,N(G49)/B49,0)</f>
        <v/>
      </c>
      <c r="W49" s="319">
        <f>IF(N(B49)&gt;0,N(H49)/B49,0)</f>
        <v/>
      </c>
      <c r="X49" s="319">
        <f>IF(N(B49)&gt;0,N(K49)/B49,0)</f>
        <v/>
      </c>
      <c r="Y49" s="319">
        <f>IF(N(B49)&gt;0,N(L49)/B49,0)</f>
        <v/>
      </c>
    </row>
    <row r="50">
      <c r="A50" s="62">
        <f>'METAS CLIENTE'!A44</f>
        <v/>
      </c>
      <c r="B50" s="159">
        <f>IF('METAS CLIENTE'!B44="","",'METAS CLIENTE'!B44)</f>
        <v/>
      </c>
      <c r="C50" s="317">
        <f>IF('METAS CLIENTE'!C44="","",'METAS CLIENTE'!C44)</f>
        <v/>
      </c>
      <c r="D50" s="159">
        <f>IF('METAS CLIENTE'!E44="","",'METAS CLIENTE'!E44)</f>
        <v/>
      </c>
      <c r="E50" s="159">
        <f>IF(OR($B$4="",$D$4="",B50="",C50="",D50=""),"",MAX(0,IF($D$4&lt;C50,0,MIN(B50,D50*NETWORKDAYS.INTL(C50,$D$4,IF('METAS CLIENTE'!F44=5,"0000011",IF('METAS CLIENTE'!F44=6,"0000001","0000000")))))-IF($B$4&lt;=C50,0,MIN(B50,D50*NETWORKDAYS.INTL(C50,$B$4-1,IF('METAS CLIENTE'!F44=5,"0000011",IF('METAS CLIENTE'!F44=6,"0000001","0000000")))))))</f>
        <v/>
      </c>
      <c r="F50" s="159">
        <f>IF(H50="","",0)</f>
        <v/>
      </c>
      <c r="G50" s="159">
        <f>IF(H50="","",0)</f>
        <v/>
      </c>
      <c r="H50" s="159">
        <f>IF(OR($B$4="",$D$4=""),"",SUMIFS('CONTROLE PRODUÇÃO POR EMPRESAS'!$BO$6:$BO$5000,'CONTROLE PRODUÇÃO POR EMPRESAS'!$A$6:$A$5000,"&gt;="&amp;$B$4,'CONTROLE PRODUÇÃO POR EMPRESAS'!$A$6:$A$5000,"&lt;="&amp;$D$4))</f>
        <v/>
      </c>
      <c r="I50" s="159">
        <f>IF(OR(E50="",H50=""),"",H50-E50)</f>
        <v/>
      </c>
      <c r="J50" s="319">
        <f>IFERROR(H50/E50,"")</f>
        <v/>
      </c>
      <c r="K50" s="159">
        <f>IF(OR($D$4="",B50="",C50="",D50=""),"",IF($D$4&lt;C50,0,MIN(B50,D50*NETWORKDAYS.INTL(C50,$D$4,IF('METAS CLIENTE'!F44=5,"0000011",IF('METAS CLIENTE'!F44=6,"0000001","0000000"))))))</f>
        <v/>
      </c>
      <c r="L50" s="159">
        <f>IF($D$4="","",SUMIFS('CONTROLE PRODUÇÃO POR EMPRESAS'!$BO$6:$BO$5000,'CONTROLE PRODUÇÃO POR EMPRESAS'!$A$6:$A$5000,"&lt;="&amp;$D$4))</f>
        <v/>
      </c>
      <c r="M50" s="159">
        <f>IF(OR(B50="",L50=""),"",MAX(B50-L50,0))</f>
        <v/>
      </c>
      <c r="N50" s="317">
        <f>'CLIENTE - PREV X REAL'!Q46</f>
        <v/>
      </c>
      <c r="O50" s="159">
        <f>IF(OR(K50="",L50=""),"",L50-K50)</f>
        <v/>
      </c>
      <c r="P50" s="336">
        <f>IFERROR(IF(O50&gt;0,TEXT(O50/D50,"0,0")&amp;" DIAS ",IF(O50&lt;0,TEXT(ABS(O50/D50),"0,0")&amp;" DIAS ","NO PRAZO")),"")</f>
        <v/>
      </c>
      <c r="Q50">
        <f>IF(B50="","CONFIGURAR",IF(E50="","SEM META",IF(I50&gt;0,"ADIANTADO",IF(I50&lt;0,"ATRASO","NO ALVO"))))</f>
        <v/>
      </c>
      <c r="R50" s="62">
        <f>'METAS CLIENTE'!N44</f>
        <v/>
      </c>
      <c r="S50" s="159">
        <f>IF(N(B50)&gt;0,'METAS CLIENTE'!L44,0)</f>
        <v/>
      </c>
      <c r="T50" s="319">
        <f>IF(N(B50)&gt;0,N(E50)/B50,0)</f>
        <v/>
      </c>
      <c r="U50" s="319">
        <f>IF(N(B50)&gt;0,N(F50)/B50,0)</f>
        <v/>
      </c>
      <c r="V50" s="319">
        <f>IF(N(B50)&gt;0,N(G50)/B50,0)</f>
        <v/>
      </c>
      <c r="W50" s="319">
        <f>IF(N(B50)&gt;0,N(H50)/B50,0)</f>
        <v/>
      </c>
      <c r="X50" s="319">
        <f>IF(N(B50)&gt;0,N(K50)/B50,0)</f>
        <v/>
      </c>
      <c r="Y50" s="319">
        <f>IF(N(B50)&gt;0,N(L50)/B50,0)</f>
        <v/>
      </c>
    </row>
    <row r="51">
      <c r="A51" s="62">
        <f>'METAS CLIENTE'!A45</f>
        <v/>
      </c>
      <c r="B51" s="159">
        <f>IF('METAS CLIENTE'!B45="","",'METAS CLIENTE'!B45)</f>
        <v/>
      </c>
      <c r="C51" s="317">
        <f>IF('METAS CLIENTE'!C45="","",'METAS CLIENTE'!C45)</f>
        <v/>
      </c>
      <c r="D51" s="159">
        <f>IF('METAS CLIENTE'!E45="","",'METAS CLIENTE'!E45)</f>
        <v/>
      </c>
      <c r="E51" s="159">
        <f>IF(OR($B$4="",$D$4="",B51="",C51="",D51=""),"",MAX(0,IF($D$4&lt;C51,0,MIN(B51,D51*NETWORKDAYS.INTL(C51,$D$4,IF('METAS CLIENTE'!F45=5,"0000011",IF('METAS CLIENTE'!F45=6,"0000001","0000000")))))-IF($B$4&lt;=C51,0,MIN(B51,D51*NETWORKDAYS.INTL(C51,$B$4-1,IF('METAS CLIENTE'!F45=5,"0000011",IF('METAS CLIENTE'!F45=6,"0000001","0000000")))))))</f>
        <v/>
      </c>
      <c r="F51" s="159">
        <f>IF(OR($B$4="",$D$4=""),"",SUMIFS('CONTROLE EJ'!$R$8:$R$5000,'CONTROLE EJ'!$A$8:$A$5000,"&gt;="&amp;$B$4,'CONTROLE EJ'!$A$8:$A$5000,"&lt;="&amp;$D$4))</f>
        <v/>
      </c>
      <c r="G51" s="159">
        <f>IF(OR($B$4="",$D$4=""),"",SUMIFS('CONTROLE CMM'!#REF!,'CONTROLE CMM'!$A$8:$A$5000,"&gt;="&amp;$B$4,'CONTROLE CMM'!$A$8:$A$5000,"&lt;="&amp;$D$4))</f>
        <v/>
      </c>
      <c r="H51" s="159">
        <f>IF(OR($B$4="",$D$4=""),"",SUMIFS('CONTROLE PRODUÇÃO POR EMPRESAS'!$BP$6:$BP$5000,'CONTROLE PRODUÇÃO POR EMPRESAS'!$A$6:$A$5000,"&gt;="&amp;$B$4,'CONTROLE PRODUÇÃO POR EMPRESAS'!$A$6:$A$5000,"&lt;="&amp;$D$4))</f>
        <v/>
      </c>
      <c r="I51" s="159">
        <f>IF(OR(E51="",H51=""),"",H51-E51)</f>
        <v/>
      </c>
      <c r="J51" s="319">
        <f>IFERROR(H51/E51,"")</f>
        <v/>
      </c>
      <c r="K51" s="159">
        <f>IF(OR($D$4="",B51="",C51="",D51=""),"",IF($D$4&lt;C51,0,MIN(B51,D51*NETWORKDAYS.INTL(C51,$D$4,IF('METAS CLIENTE'!F45=5,"0000011",IF('METAS CLIENTE'!F45=6,"0000001","0000000"))))))</f>
        <v/>
      </c>
      <c r="L51" s="159">
        <f>IF($D$4="","",SUMIFS('CONTROLE PRODUÇÃO POR EMPRESAS'!$BP$6:$BP$5000,'CONTROLE PRODUÇÃO POR EMPRESAS'!$A$6:$A$5000,"&lt;="&amp;$D$4))</f>
        <v/>
      </c>
      <c r="M51" s="159">
        <f>IF(OR(B51="",L51=""),"",MAX(B51-L51,0))</f>
        <v/>
      </c>
      <c r="N51" s="317">
        <f>'CLIENTE - PREV X REAL'!Q47</f>
        <v/>
      </c>
      <c r="O51" s="159">
        <f>IF(OR(K51="",L51=""),"",L51-K51)</f>
        <v/>
      </c>
      <c r="P51" s="336">
        <f>IFERROR(IF(O51&gt;0,TEXT(O51/D51,"0,0")&amp;" DIAS ",IF(O51&lt;0,TEXT(ABS(O51/D51),"0,0")&amp;" DIAS ","NO PRAZO")),"")</f>
        <v/>
      </c>
      <c r="Q51">
        <f>IF(B51="","CONFIGURAR",IF(E51="","SEM META",IF(I51&gt;0,"ADIANTADO",IF(I51&lt;0,"ATRASO","NO ALVO"))))</f>
        <v/>
      </c>
      <c r="R51" s="62">
        <f>'METAS CLIENTE'!N45</f>
        <v/>
      </c>
      <c r="S51" s="159">
        <f>IF(N(B51)&gt;0,'METAS CLIENTE'!L45,0)</f>
        <v/>
      </c>
      <c r="T51" s="319">
        <f>IF(N(B51)&gt;0,N(E51)/B51,0)</f>
        <v/>
      </c>
      <c r="U51" s="319">
        <f>IF(N(B51)&gt;0,N(F51)/B51,0)</f>
        <v/>
      </c>
      <c r="V51" s="319">
        <f>IF(N(B51)&gt;0,N(G51)/B51,0)</f>
        <v/>
      </c>
      <c r="W51" s="319">
        <f>IF(N(B51)&gt;0,N(H51)/B51,0)</f>
        <v/>
      </c>
      <c r="X51" s="319">
        <f>IF(N(B51)&gt;0,N(K51)/B51,0)</f>
        <v/>
      </c>
      <c r="Y51" s="319">
        <f>IF(N(B51)&gt;0,N(L51)/B51,0)</f>
        <v/>
      </c>
    </row>
    <row r="52">
      <c r="A52" s="62">
        <f>'METAS CLIENTE'!A46</f>
        <v/>
      </c>
      <c r="B52" s="159">
        <f>IF('METAS CLIENTE'!B46="","",'METAS CLIENTE'!B46)</f>
        <v/>
      </c>
      <c r="C52" s="317">
        <f>IF('METAS CLIENTE'!C46="","",'METAS CLIENTE'!C46)</f>
        <v/>
      </c>
      <c r="D52" s="159">
        <f>IF('METAS CLIENTE'!E46="","",'METAS CLIENTE'!E46)</f>
        <v/>
      </c>
      <c r="E52" s="159">
        <f>IF(OR($B$4="",$D$4="",B52="",C52="",D52=""),"",MAX(0,IF($D$4&lt;C52,0,MIN(B52,D52*NETWORKDAYS.INTL(C52,$D$4,IF('METAS CLIENTE'!F46=5,"0000011",IF('METAS CLIENTE'!F46=6,"0000001","0000000")))))-IF($B$4&lt;=C52,0,MIN(B52,D52*NETWORKDAYS.INTL(C52,$B$4-1,IF('METAS CLIENTE'!F46=5,"0000011",IF('METAS CLIENTE'!F46=6,"0000001","0000000")))))))</f>
        <v/>
      </c>
      <c r="F52" s="159">
        <f>IF(H52="","",0)</f>
        <v/>
      </c>
      <c r="G52" s="159">
        <f>IF(H52="","",0)</f>
        <v/>
      </c>
      <c r="H52" s="159">
        <f>IF(OR($B$4="",$D$4=""),"",SUMIFS('CONTROLE PRODUÇÃO POR EMPRESAS'!$BQ$6:$BQ$5000,'CONTROLE PRODUÇÃO POR EMPRESAS'!$A$6:$A$5000,"&gt;="&amp;$B$4,'CONTROLE PRODUÇÃO POR EMPRESAS'!$A$6:$A$5000,"&lt;="&amp;$D$4))</f>
        <v/>
      </c>
      <c r="I52" s="159">
        <f>IF(OR(E52="",H52=""),"",H52-E52)</f>
        <v/>
      </c>
      <c r="J52" s="319">
        <f>IFERROR(H52/E52,"")</f>
        <v/>
      </c>
      <c r="K52" s="159">
        <f>IF(OR($D$4="",B52="",C52="",D52=""),"",IF($D$4&lt;C52,0,MIN(B52,D52*NETWORKDAYS.INTL(C52,$D$4,IF('METAS CLIENTE'!F46=5,"0000011",IF('METAS CLIENTE'!F46=6,"0000001","0000000"))))))</f>
        <v/>
      </c>
      <c r="L52" s="159">
        <f>IF($D$4="","",SUMIFS('CONTROLE PRODUÇÃO POR EMPRESAS'!$BQ$6:$BQ$5000,'CONTROLE PRODUÇÃO POR EMPRESAS'!$A$6:$A$5000,"&lt;="&amp;$D$4))</f>
        <v/>
      </c>
      <c r="M52" s="159">
        <f>IF(OR(B52="",L52=""),"",MAX(B52-L52,0))</f>
        <v/>
      </c>
      <c r="N52" s="317">
        <f>'CLIENTE - PREV X REAL'!Q48</f>
        <v/>
      </c>
      <c r="O52" s="159">
        <f>IF(OR(K52="",L52=""),"",L52-K52)</f>
        <v/>
      </c>
      <c r="P52" s="336">
        <f>IFERROR(IF(O52&gt;0,TEXT(O52/D52,"0,0")&amp;" DIAS ",IF(O52&lt;0,TEXT(ABS(O52/D52),"0,0")&amp;" DIAS ","NO PRAZO")),"")</f>
        <v/>
      </c>
      <c r="Q52">
        <f>IF(B52="","CONFIGURAR",IF(E52="","SEM META",IF(I52&gt;0,"ADIANTADO",IF(I52&lt;0,"ATRASO","NO ALVO"))))</f>
        <v/>
      </c>
      <c r="R52" s="62">
        <f>'METAS CLIENTE'!N46</f>
        <v/>
      </c>
      <c r="S52" s="159">
        <f>IF(N(B52)&gt;0,'METAS CLIENTE'!L46,0)</f>
        <v/>
      </c>
      <c r="T52" s="319">
        <f>IF(N(B52)&gt;0,N(E52)/B52,0)</f>
        <v/>
      </c>
      <c r="U52" s="319">
        <f>IF(N(B52)&gt;0,N(F52)/B52,0)</f>
        <v/>
      </c>
      <c r="V52" s="319">
        <f>IF(N(B52)&gt;0,N(G52)/B52,0)</f>
        <v/>
      </c>
      <c r="W52" s="319">
        <f>IF(N(B52)&gt;0,N(H52)/B52,0)</f>
        <v/>
      </c>
      <c r="X52" s="319">
        <f>IF(N(B52)&gt;0,N(K52)/B52,0)</f>
        <v/>
      </c>
      <c r="Y52" s="319">
        <f>IF(N(B52)&gt;0,N(L52)/B52,0)</f>
        <v/>
      </c>
    </row>
    <row r="53">
      <c r="A53" s="62">
        <f>'METAS CLIENTE'!A47</f>
        <v/>
      </c>
      <c r="B53" s="159">
        <f>IF('METAS CLIENTE'!B47="","",'METAS CLIENTE'!B47)</f>
        <v/>
      </c>
      <c r="C53" s="317">
        <f>IF('METAS CLIENTE'!C47="","",'METAS CLIENTE'!C47)</f>
        <v/>
      </c>
      <c r="D53" s="159">
        <f>IF('METAS CLIENTE'!E47="","",'METAS CLIENTE'!E47)</f>
        <v/>
      </c>
      <c r="E53" s="159">
        <f>IF(OR($B$4="",$D$4="",B53="",C53="",D53=""),"",MAX(0,IF($D$4&lt;C53,0,MIN(B53,D53*NETWORKDAYS.INTL(C53,$D$4,IF('METAS CLIENTE'!F47=5,"0000011",IF('METAS CLIENTE'!F47=6,"0000001","0000000")))))-IF($B$4&lt;=C53,0,MIN(B53,D53*NETWORKDAYS.INTL(C53,$B$4-1,IF('METAS CLIENTE'!F47=5,"0000011",IF('METAS CLIENTE'!F47=6,"0000001","0000000")))))))</f>
        <v/>
      </c>
      <c r="F53" s="159">
        <f>IF(OR($B$4="",$D$4=""),"",SUMIFS('CONTROLE EJ'!$S$8:$S$5000,'CONTROLE EJ'!$A$8:$A$5000,"&gt;="&amp;$B$4,'CONTROLE EJ'!$A$8:$A$5000,"&lt;="&amp;$D$4))</f>
        <v/>
      </c>
      <c r="G53" s="159">
        <f>IF(OR($B$4="",$D$4=""),"",SUMIFS('CONTROLE CMM'!#REF!,'CONTROLE CMM'!$A$8:$A$5000,"&gt;="&amp;$B$4,'CONTROLE CMM'!$A$8:$A$5000,"&lt;="&amp;$D$4))</f>
        <v/>
      </c>
      <c r="H53" s="159">
        <f>IF(OR($B$4="",$D$4=""),"",SUMIFS('CONTROLE PRODUÇÃO POR EMPRESAS'!$BR$6:$BR$5000,'CONTROLE PRODUÇÃO POR EMPRESAS'!$A$6:$A$5000,"&gt;="&amp;$B$4,'CONTROLE PRODUÇÃO POR EMPRESAS'!$A$6:$A$5000,"&lt;="&amp;$D$4))</f>
        <v/>
      </c>
      <c r="I53" s="159">
        <f>IF(OR(E53="",H53=""),"",H53-E53)</f>
        <v/>
      </c>
      <c r="J53" s="319">
        <f>IFERROR(H53/E53,"")</f>
        <v/>
      </c>
      <c r="K53" s="159">
        <f>IF(OR($D$4="",B53="",C53="",D53=""),"",IF($D$4&lt;C53,0,MIN(B53,D53*NETWORKDAYS.INTL(C53,$D$4,IF('METAS CLIENTE'!F47=5,"0000011",IF('METAS CLIENTE'!F47=6,"0000001","0000000"))))))</f>
        <v/>
      </c>
      <c r="L53" s="159">
        <f>IF($D$4="","",SUMIFS('CONTROLE PRODUÇÃO POR EMPRESAS'!$BR$6:$BR$5000,'CONTROLE PRODUÇÃO POR EMPRESAS'!$A$6:$A$5000,"&lt;="&amp;$D$4))</f>
        <v/>
      </c>
      <c r="M53" s="159">
        <f>IF(OR(B53="",L53=""),"",MAX(B53-L53,0))</f>
        <v/>
      </c>
      <c r="N53" s="317">
        <f>'CLIENTE - PREV X REAL'!Q49</f>
        <v/>
      </c>
      <c r="O53" s="159">
        <f>IF(OR(K53="",L53=""),"",L53-K53)</f>
        <v/>
      </c>
      <c r="P53" s="336">
        <f>IFERROR(IF(O53&gt;0,TEXT(O53/D53,"0,0")&amp;" DIAS ",IF(O53&lt;0,TEXT(ABS(O53/D53),"0,0")&amp;" DIAS ","NO PRAZO")),"")</f>
        <v/>
      </c>
      <c r="Q53">
        <f>IF(B53="","CONFIGURAR",IF(E53="","SEM META",IF(I53&gt;0,"ADIANTADO",IF(I53&lt;0,"ATRASO","NO ALVO"))))</f>
        <v/>
      </c>
      <c r="R53" s="62">
        <f>'METAS CLIENTE'!N47</f>
        <v/>
      </c>
      <c r="S53" s="159">
        <f>IF(N(B53)&gt;0,'METAS CLIENTE'!L47,0)</f>
        <v/>
      </c>
      <c r="T53" s="319">
        <f>IF(N(B53)&gt;0,N(E53)/B53,0)</f>
        <v/>
      </c>
      <c r="U53" s="319">
        <f>IF(N(B53)&gt;0,N(F53)/B53,0)</f>
        <v/>
      </c>
      <c r="V53" s="319">
        <f>IF(N(B53)&gt;0,N(G53)/B53,0)</f>
        <v/>
      </c>
      <c r="W53" s="319">
        <f>IF(N(B53)&gt;0,N(H53)/B53,0)</f>
        <v/>
      </c>
      <c r="X53" s="319">
        <f>IF(N(B53)&gt;0,N(K53)/B53,0)</f>
        <v/>
      </c>
      <c r="Y53" s="319">
        <f>IF(N(B53)&gt;0,N(L53)/B53,0)</f>
        <v/>
      </c>
    </row>
    <row r="54">
      <c r="A54" s="62">
        <f>'METAS CLIENTE'!A48</f>
        <v/>
      </c>
      <c r="B54" s="159">
        <f>IF('METAS CLIENTE'!B48="","",'METAS CLIENTE'!B48)</f>
        <v/>
      </c>
      <c r="C54" s="317">
        <f>IF('METAS CLIENTE'!C48="","",'METAS CLIENTE'!C48)</f>
        <v/>
      </c>
      <c r="D54" s="159">
        <f>IF('METAS CLIENTE'!E48="","",'METAS CLIENTE'!E48)</f>
        <v/>
      </c>
      <c r="E54" s="159">
        <f>IF(OR($B$4="",$D$4="",B54="",C54="",D54=""),"",MAX(0,IF($D$4&lt;C54,0,MIN(B54,D54*NETWORKDAYS.INTL(C54,$D$4,IF('METAS CLIENTE'!F48=5,"0000011",IF('METAS CLIENTE'!F48=6,"0000001","0000000")))))-IF($B$4&lt;=C54,0,MIN(B54,D54*NETWORKDAYS.INTL(C54,$B$4-1,IF('METAS CLIENTE'!F48=5,"0000011",IF('METAS CLIENTE'!F48=6,"0000001","0000000")))))))</f>
        <v/>
      </c>
      <c r="F54" s="159">
        <f>IF(OR($B$4="",$D$4=""),"",SUMIFS('CONTROLE EJ'!$T$8:$T$5000,'CONTROLE EJ'!$A$8:$A$5000,"&gt;="&amp;$B$4,'CONTROLE EJ'!$A$8:$A$5000,"&lt;="&amp;$D$4))</f>
        <v/>
      </c>
      <c r="G54" s="159">
        <f>IF(OR($B$4="",$D$4=""),"",SUMIFS('CONTROLE CMM'!#REF!,'CONTROLE CMM'!$A$8:$A$5000,"&gt;="&amp;$B$4,'CONTROLE CMM'!$A$8:$A$5000,"&lt;="&amp;$D$4))</f>
        <v/>
      </c>
      <c r="H54" s="159">
        <f>IF(OR($B$4="",$D$4=""),"",SUMIFS('CONTROLE PRODUÇÃO POR EMPRESAS'!$BS$6:$BS$5000,'CONTROLE PRODUÇÃO POR EMPRESAS'!$A$6:$A$5000,"&gt;="&amp;$B$4,'CONTROLE PRODUÇÃO POR EMPRESAS'!$A$6:$A$5000,"&lt;="&amp;$D$4))</f>
        <v/>
      </c>
      <c r="I54" s="159">
        <f>IF(OR(E54="",H54=""),"",H54-E54)</f>
        <v/>
      </c>
      <c r="J54" s="319">
        <f>IFERROR(H54/E54,"")</f>
        <v/>
      </c>
      <c r="K54" s="159">
        <f>IF(OR($D$4="",B54="",C54="",D54=""),"",IF($D$4&lt;C54,0,MIN(B54,D54*NETWORKDAYS.INTL(C54,$D$4,IF('METAS CLIENTE'!F48=5,"0000011",IF('METAS CLIENTE'!F48=6,"0000001","0000000"))))))</f>
        <v/>
      </c>
      <c r="L54" s="159">
        <f>IF($D$4="","",SUMIFS('CONTROLE PRODUÇÃO POR EMPRESAS'!$BS$6:$BS$5000,'CONTROLE PRODUÇÃO POR EMPRESAS'!$A$6:$A$5000,"&lt;="&amp;$D$4))</f>
        <v/>
      </c>
      <c r="M54" s="159">
        <f>IF(OR(B54="",L54=""),"",MAX(B54-L54,0))</f>
        <v/>
      </c>
      <c r="N54" s="317">
        <f>'CLIENTE - PREV X REAL'!Q50</f>
        <v/>
      </c>
      <c r="O54" s="159">
        <f>IF(OR(K54="",L54=""),"",L54-K54)</f>
        <v/>
      </c>
      <c r="P54" s="336">
        <f>IFERROR(IF(O54&gt;0,TEXT(O54/D54,"0,0")&amp;" DIAS ",IF(O54&lt;0,TEXT(ABS(O54/D54),"0,0")&amp;" DIAS ","NO PRAZO")),"")</f>
        <v/>
      </c>
      <c r="Q54">
        <f>IF(B54="","CONFIGURAR",IF(E54="","SEM META",IF(I54&gt;0,"ADIANTADO",IF(I54&lt;0,"ATRASO","NO ALVO"))))</f>
        <v/>
      </c>
      <c r="R54" s="62">
        <f>'METAS CLIENTE'!N48</f>
        <v/>
      </c>
      <c r="S54" s="159">
        <f>IF(N(B54)&gt;0,'METAS CLIENTE'!L48,0)</f>
        <v/>
      </c>
      <c r="T54" s="319">
        <f>IF(N(B54)&gt;0,N(E54)/B54,0)</f>
        <v/>
      </c>
      <c r="U54" s="319">
        <f>IF(N(B54)&gt;0,N(F54)/B54,0)</f>
        <v/>
      </c>
      <c r="V54" s="319">
        <f>IF(N(B54)&gt;0,N(G54)/B54,0)</f>
        <v/>
      </c>
      <c r="W54" s="319">
        <f>IF(N(B54)&gt;0,N(H54)/B54,0)</f>
        <v/>
      </c>
      <c r="X54" s="319">
        <f>IF(N(B54)&gt;0,N(K54)/B54,0)</f>
        <v/>
      </c>
      <c r="Y54" s="319">
        <f>IF(N(B54)&gt;0,N(L54)/B54,0)</f>
        <v/>
      </c>
    </row>
    <row r="55">
      <c r="A55" s="62">
        <f>'METAS CLIENTE'!A49</f>
        <v/>
      </c>
      <c r="B55" s="159">
        <f>IF('METAS CLIENTE'!B49="","",'METAS CLIENTE'!B49)</f>
        <v/>
      </c>
      <c r="C55" s="317">
        <f>IF('METAS CLIENTE'!C49="","",'METAS CLIENTE'!C49)</f>
        <v/>
      </c>
      <c r="D55" s="159">
        <f>IF('METAS CLIENTE'!E49="","",'METAS CLIENTE'!E49)</f>
        <v/>
      </c>
      <c r="E55" s="159">
        <f>IF(OR($B$4="",$D$4="",B55="",C55="",D55=""),"",MAX(0,IF($D$4&lt;C55,0,MIN(B55,D55*NETWORKDAYS.INTL(C55,$D$4,IF('METAS CLIENTE'!F49=5,"0000011",IF('METAS CLIENTE'!F49=6,"0000001","0000000")))))-IF($B$4&lt;=C55,0,MIN(B55,D55*NETWORKDAYS.INTL(C55,$B$4-1,IF('METAS CLIENTE'!F49=5,"0000011",IF('METAS CLIENTE'!F49=6,"0000001","0000000")))))))</f>
        <v/>
      </c>
      <c r="F55" s="159">
        <f>IF(H55="","",0)</f>
        <v/>
      </c>
      <c r="G55" s="159">
        <f>IF(H55="","",0)</f>
        <v/>
      </c>
      <c r="H55" s="159">
        <f>IF(OR($B$4="",$D$4=""),"",SUMIFS('CONTROLE PRODUÇÃO POR EMPRESAS'!$BT$6:$BT$5000,'CONTROLE PRODUÇÃO POR EMPRESAS'!$A$6:$A$5000,"&gt;="&amp;$B$4,'CONTROLE PRODUÇÃO POR EMPRESAS'!$A$6:$A$5000,"&lt;="&amp;$D$4))</f>
        <v/>
      </c>
      <c r="I55" s="159">
        <f>IF(OR(E55="",H55=""),"",H55-E55)</f>
        <v/>
      </c>
      <c r="J55" s="319">
        <f>IFERROR(H55/E55,"")</f>
        <v/>
      </c>
      <c r="K55" s="159">
        <f>IF(OR($D$4="",B55="",C55="",D55=""),"",IF($D$4&lt;C55,0,MIN(B55,D55*NETWORKDAYS.INTL(C55,$D$4,IF('METAS CLIENTE'!F49=5,"0000011",IF('METAS CLIENTE'!F49=6,"0000001","0000000"))))))</f>
        <v/>
      </c>
      <c r="L55" s="159">
        <f>IF($D$4="","",SUMIFS('CONTROLE PRODUÇÃO POR EMPRESAS'!$BT$6:$BT$5000,'CONTROLE PRODUÇÃO POR EMPRESAS'!$A$6:$A$5000,"&lt;="&amp;$D$4))</f>
        <v/>
      </c>
      <c r="M55" s="159">
        <f>IF(OR(B55="",L55=""),"",MAX(B55-L55,0))</f>
        <v/>
      </c>
      <c r="N55" s="317">
        <f>'CLIENTE - PREV X REAL'!Q51</f>
        <v/>
      </c>
      <c r="O55" s="159">
        <f>IF(OR(K55="",L55=""),"",L55-K55)</f>
        <v/>
      </c>
      <c r="P55" s="336">
        <f>IFERROR(IF(O55&gt;0,TEXT(O55/D55,"0,0")&amp;" DIAS ",IF(O55&lt;0,TEXT(ABS(O55/D55),"0,0")&amp;" DIAS ","NO PRAZO")),"")</f>
        <v/>
      </c>
      <c r="Q55">
        <f>IF(B55="","CONFIGURAR",IF(E55="","SEM META",IF(I55&gt;0,"ADIANTADO",IF(I55&lt;0,"ATRASO","NO ALVO"))))</f>
        <v/>
      </c>
      <c r="R55" s="62">
        <f>'METAS CLIENTE'!N49</f>
        <v/>
      </c>
      <c r="S55" s="159">
        <f>IF(N(B55)&gt;0,'METAS CLIENTE'!L49,0)</f>
        <v/>
      </c>
      <c r="T55" s="319">
        <f>IF(N(B55)&gt;0,N(E55)/B55,0)</f>
        <v/>
      </c>
      <c r="U55" s="319">
        <f>IF(N(B55)&gt;0,N(F55)/B55,0)</f>
        <v/>
      </c>
      <c r="V55" s="319">
        <f>IF(N(B55)&gt;0,N(G55)/B55,0)</f>
        <v/>
      </c>
      <c r="W55" s="319">
        <f>IF(N(B55)&gt;0,N(H55)/B55,0)</f>
        <v/>
      </c>
      <c r="X55" s="319">
        <f>IF(N(B55)&gt;0,N(K55)/B55,0)</f>
        <v/>
      </c>
      <c r="Y55" s="319">
        <f>IF(N(B55)&gt;0,N(L55)/B55,0)</f>
        <v/>
      </c>
    </row>
    <row r="56">
      <c r="A56" s="62">
        <f>'METAS CLIENTE'!A50</f>
        <v/>
      </c>
      <c r="B56" s="159">
        <f>IF('METAS CLIENTE'!B50="","",'METAS CLIENTE'!B50)</f>
        <v/>
      </c>
      <c r="C56" s="317">
        <f>IF('METAS CLIENTE'!C50="","",'METAS CLIENTE'!C50)</f>
        <v/>
      </c>
      <c r="D56" s="159">
        <f>IF('METAS CLIENTE'!E50="","",'METAS CLIENTE'!E50)</f>
        <v/>
      </c>
      <c r="E56" s="159">
        <f>IF(OR($B$4="",$D$4="",B56="",C56="",D56=""),"",MAX(0,IF($D$4&lt;C56,0,MIN(B56,D56*NETWORKDAYS.INTL(C56,$D$4,IF('METAS CLIENTE'!F50=5,"0000011",IF('METAS CLIENTE'!F50=6,"0000001","0000000")))))-IF($B$4&lt;=C56,0,MIN(B56,D56*NETWORKDAYS.INTL(C56,$B$4-1,IF('METAS CLIENTE'!F50=5,"0000011",IF('METAS CLIENTE'!F50=6,"0000001","0000000")))))))</f>
        <v/>
      </c>
      <c r="F56" s="159">
        <f>IF(H56="","",0)</f>
        <v/>
      </c>
      <c r="G56" s="159">
        <f>IF(H56="","",0)</f>
        <v/>
      </c>
      <c r="H56" s="159">
        <f>IF(OR($B$4="",$D$4=""),"",SUMIFS('CONTROLE PRODUÇÃO POR EMPRESAS'!$BU$6:$BU$5000,'CONTROLE PRODUÇÃO POR EMPRESAS'!$A$6:$A$5000,"&gt;="&amp;$B$4,'CONTROLE PRODUÇÃO POR EMPRESAS'!$A$6:$A$5000,"&lt;="&amp;$D$4))</f>
        <v/>
      </c>
      <c r="I56" s="159">
        <f>IF(OR(E56="",H56=""),"",H56-E56)</f>
        <v/>
      </c>
      <c r="J56" s="319">
        <f>IFERROR(H56/E56,"")</f>
        <v/>
      </c>
      <c r="K56" s="159">
        <f>IF(OR($D$4="",B56="",C56="",D56=""),"",IF($D$4&lt;C56,0,MIN(B56,D56*NETWORKDAYS.INTL(C56,$D$4,IF('METAS CLIENTE'!F50=5,"0000011",IF('METAS CLIENTE'!F50=6,"0000001","0000000"))))))</f>
        <v/>
      </c>
      <c r="L56" s="159">
        <f>IF($D$4="","",SUMIFS('CONTROLE PRODUÇÃO POR EMPRESAS'!$BU$6:$BU$5000,'CONTROLE PRODUÇÃO POR EMPRESAS'!$A$6:$A$5000,"&lt;="&amp;$D$4))</f>
        <v/>
      </c>
      <c r="M56" s="159">
        <f>IF(OR(B56="",L56=""),"",MAX(B56-L56,0))</f>
        <v/>
      </c>
      <c r="N56" s="317">
        <f>'CLIENTE - PREV X REAL'!Q52</f>
        <v/>
      </c>
      <c r="O56" s="159">
        <f>IF(OR(K56="",L56=""),"",L56-K56)</f>
        <v/>
      </c>
      <c r="P56" s="336">
        <f>IFERROR(IF(O56&gt;0,TEXT(O56/D56,"0,0")&amp;" DIAS ",IF(O56&lt;0,TEXT(ABS(O56/D56),"0,0")&amp;" DIAS ","NO PRAZO")),"")</f>
        <v/>
      </c>
      <c r="Q56">
        <f>IF(B56="","CONFIGURAR",IF(E56="","SEM META",IF(I56&gt;0,"ADIANTADO",IF(I56&lt;0,"ATRASO","NO ALVO"))))</f>
        <v/>
      </c>
      <c r="R56" s="62">
        <f>'METAS CLIENTE'!N50</f>
        <v/>
      </c>
      <c r="S56" s="159">
        <f>IF(N(B56)&gt;0,'METAS CLIENTE'!L50,0)</f>
        <v/>
      </c>
      <c r="T56" s="319">
        <f>IF(N(B56)&gt;0,N(E56)/B56,0)</f>
        <v/>
      </c>
      <c r="U56" s="319">
        <f>IF(N(B56)&gt;0,N(F56)/B56,0)</f>
        <v/>
      </c>
      <c r="V56" s="319">
        <f>IF(N(B56)&gt;0,N(G56)/B56,0)</f>
        <v/>
      </c>
      <c r="W56" s="319">
        <f>IF(N(B56)&gt;0,N(H56)/B56,0)</f>
        <v/>
      </c>
      <c r="X56" s="319">
        <f>IF(N(B56)&gt;0,N(K56)/B56,0)</f>
        <v/>
      </c>
      <c r="Y56" s="319">
        <f>IF(N(B56)&gt;0,N(L56)/B56,0)</f>
        <v/>
      </c>
    </row>
    <row r="57">
      <c r="A57" s="62">
        <f>'METAS CLIENTE'!A51</f>
        <v/>
      </c>
      <c r="B57" s="159">
        <f>IF('METAS CLIENTE'!B51="","",'METAS CLIENTE'!B51)</f>
        <v/>
      </c>
      <c r="C57" s="317">
        <f>IF('METAS CLIENTE'!C51="","",'METAS CLIENTE'!C51)</f>
        <v/>
      </c>
      <c r="D57" s="159">
        <f>IF('METAS CLIENTE'!E51="","",'METAS CLIENTE'!E51)</f>
        <v/>
      </c>
      <c r="E57" s="159">
        <f>IF(OR($B$4="",$D$4="",B57="",C57="",D57=""),"",MAX(0,IF($D$4&lt;C57,0,MIN(B57,D57*NETWORKDAYS.INTL(C57,$D$4,IF('METAS CLIENTE'!F51=5,"0000011",IF('METAS CLIENTE'!F51=6,"0000001","0000000")))))-IF($B$4&lt;=C57,0,MIN(B57,D57*NETWORKDAYS.INTL(C57,$B$4-1,IF('METAS CLIENTE'!F51=5,"0000011",IF('METAS CLIENTE'!F51=6,"0000001","0000000")))))))</f>
        <v/>
      </c>
      <c r="F57" s="159">
        <f>IF(OR($B$4="",$D$4=""),"",SUMIFS('CONTROLE EJ'!$U$8:$U$5000,'CONTROLE EJ'!$A$8:$A$5000,"&gt;="&amp;$B$4,'CONTROLE EJ'!$A$8:$A$5000,"&lt;="&amp;$D$4))</f>
        <v/>
      </c>
      <c r="G57" s="159">
        <f>IF(OR($B$4="",$D$4=""),"",SUMIFS('CONTROLE CMM'!#REF!,'CONTROLE CMM'!$A$8:$A$5000,"&gt;="&amp;$B$4,'CONTROLE CMM'!$A$8:$A$5000,"&lt;="&amp;$D$4))</f>
        <v/>
      </c>
      <c r="H57" s="159">
        <f>IF(OR($B$4="",$D$4=""),"",SUMIFS('CONTROLE PRODUÇÃO POR EMPRESAS'!$BV$6:$BV$5000,'CONTROLE PRODUÇÃO POR EMPRESAS'!$A$6:$A$5000,"&gt;="&amp;$B$4,'CONTROLE PRODUÇÃO POR EMPRESAS'!$A$6:$A$5000,"&lt;="&amp;$D$4))</f>
        <v/>
      </c>
      <c r="I57" s="159">
        <f>IF(OR(E57="",H57=""),"",H57-E57)</f>
        <v/>
      </c>
      <c r="J57" s="319">
        <f>IFERROR(H57/E57,"")</f>
        <v/>
      </c>
      <c r="K57" s="159">
        <f>IF(OR($D$4="",B57="",C57="",D57=""),"",IF($D$4&lt;C57,0,MIN(B57,D57*NETWORKDAYS.INTL(C57,$D$4,IF('METAS CLIENTE'!F51=5,"0000011",IF('METAS CLIENTE'!F51=6,"0000001","0000000"))))))</f>
        <v/>
      </c>
      <c r="L57" s="159">
        <f>IF($D$4="","",SUMIFS('CONTROLE PRODUÇÃO POR EMPRESAS'!$BV$6:$BV$5000,'CONTROLE PRODUÇÃO POR EMPRESAS'!$A$6:$A$5000,"&lt;="&amp;$D$4))</f>
        <v/>
      </c>
      <c r="M57" s="159">
        <f>IF(OR(B57="",L57=""),"",MAX(B57-L57,0))</f>
        <v/>
      </c>
      <c r="N57" s="317">
        <f>'CLIENTE - PREV X REAL'!Q53</f>
        <v/>
      </c>
      <c r="O57" s="159">
        <f>IF(OR(K57="",L57=""),"",L57-K57)</f>
        <v/>
      </c>
      <c r="P57" s="336">
        <f>IFERROR(IF(O57&gt;0,TEXT(O57/D57,"0,0")&amp;" DIAS ",IF(O57&lt;0,TEXT(ABS(O57/D57),"0,0")&amp;" DIAS ","NO PRAZO")),"")</f>
        <v/>
      </c>
      <c r="Q57">
        <f>IF(B57="","CONFIGURAR",IF(E57="","SEM META",IF(I57&gt;0,"ADIANTADO",IF(I57&lt;0,"ATRASO","NO ALVO"))))</f>
        <v/>
      </c>
      <c r="R57" s="62">
        <f>'METAS CLIENTE'!N51</f>
        <v/>
      </c>
      <c r="S57" s="159">
        <f>IF(N(B57)&gt;0,'METAS CLIENTE'!L51,0)</f>
        <v/>
      </c>
      <c r="T57" s="319">
        <f>IF(N(B57)&gt;0,N(E57)/B57,0)</f>
        <v/>
      </c>
      <c r="U57" s="319">
        <f>IF(N(B57)&gt;0,N(F57)/B57,0)</f>
        <v/>
      </c>
      <c r="V57" s="319">
        <f>IF(N(B57)&gt;0,N(G57)/B57,0)</f>
        <v/>
      </c>
      <c r="W57" s="319">
        <f>IF(N(B57)&gt;0,N(H57)/B57,0)</f>
        <v/>
      </c>
      <c r="X57" s="319">
        <f>IF(N(B57)&gt;0,N(K57)/B57,0)</f>
        <v/>
      </c>
      <c r="Y57" s="319">
        <f>IF(N(B57)&gt;0,N(L57)/B57,0)</f>
        <v/>
      </c>
    </row>
    <row r="58">
      <c r="A58" s="62">
        <f>'METAS CLIENTE'!A52</f>
        <v/>
      </c>
      <c r="B58" s="159">
        <f>IF('METAS CLIENTE'!B52="","",'METAS CLIENTE'!B52)</f>
        <v/>
      </c>
      <c r="C58" s="317">
        <f>IF('METAS CLIENTE'!C52="","",'METAS CLIENTE'!C52)</f>
        <v/>
      </c>
      <c r="D58" s="159">
        <f>IF('METAS CLIENTE'!E52="","",'METAS CLIENTE'!E52)</f>
        <v/>
      </c>
      <c r="E58" s="159">
        <f>IF(OR($B$4="",$D$4="",B58="",C58="",D58=""),"",MAX(0,IF($D$4&lt;C58,0,MIN(B58,D58*NETWORKDAYS.INTL(C58,$D$4,IF('METAS CLIENTE'!F52=5,"0000011",IF('METAS CLIENTE'!F52=6,"0000001","0000000")))))-IF($B$4&lt;=C58,0,MIN(B58,D58*NETWORKDAYS.INTL(C58,$B$4-1,IF('METAS CLIENTE'!F52=5,"0000011",IF('METAS CLIENTE'!F52=6,"0000001","0000000")))))))</f>
        <v/>
      </c>
      <c r="F58" s="159">
        <f>IF(H58="","",0)</f>
        <v/>
      </c>
      <c r="G58" s="159">
        <f>IF(H58="","",0)</f>
        <v/>
      </c>
      <c r="H58" s="159">
        <f>IF(OR($B$4="",$D$4=""),"",SUMIFS('CONTROLE PRODUÇÃO POR EMPRESAS'!$BW$6:$BW$5000,'CONTROLE PRODUÇÃO POR EMPRESAS'!$A$6:$A$5000,"&gt;="&amp;$B$4,'CONTROLE PRODUÇÃO POR EMPRESAS'!$A$6:$A$5000,"&lt;="&amp;$D$4))</f>
        <v/>
      </c>
      <c r="I58" s="159">
        <f>IF(OR(E58="",H58=""),"",H58-E58)</f>
        <v/>
      </c>
      <c r="J58" s="319">
        <f>IFERROR(H58/E58,"")</f>
        <v/>
      </c>
      <c r="K58" s="159">
        <f>IF(OR($D$4="",B58="",C58="",D58=""),"",IF($D$4&lt;C58,0,MIN(B58,D58*NETWORKDAYS.INTL(C58,$D$4,IF('METAS CLIENTE'!F52=5,"0000011",IF('METAS CLIENTE'!F52=6,"0000001","0000000"))))))</f>
        <v/>
      </c>
      <c r="L58" s="159">
        <f>IF($D$4="","",SUMIFS('CONTROLE PRODUÇÃO POR EMPRESAS'!$BW$6:$BW$5000,'CONTROLE PRODUÇÃO POR EMPRESAS'!$A$6:$A$5000,"&lt;="&amp;$D$4))</f>
        <v/>
      </c>
      <c r="M58" s="159">
        <f>IF(OR(B58="",L58=""),"",MAX(B58-L58,0))</f>
        <v/>
      </c>
      <c r="N58" s="317">
        <f>'CLIENTE - PREV X REAL'!Q54</f>
        <v/>
      </c>
      <c r="O58" s="159">
        <f>IF(OR(K58="",L58=""),"",L58-K58)</f>
        <v/>
      </c>
      <c r="P58" s="336">
        <f>IFERROR(IF(O58&gt;0,TEXT(O58/D58,"0,0")&amp;" DIAS ",IF(O58&lt;0,TEXT(ABS(O58/D58),"0,0")&amp;" DIAS ","NO PRAZO")),"")</f>
        <v/>
      </c>
      <c r="Q58">
        <f>IF(B58="","CONFIGURAR",IF(E58="","SEM META",IF(I58&gt;0,"ADIANTADO",IF(I58&lt;0,"ATRASO","NO ALVO"))))</f>
        <v/>
      </c>
      <c r="R58" s="62">
        <f>'METAS CLIENTE'!N52</f>
        <v/>
      </c>
      <c r="S58" s="159">
        <f>IF(N(B58)&gt;0,'METAS CLIENTE'!L52,0)</f>
        <v/>
      </c>
      <c r="T58" s="319">
        <f>IF(N(B58)&gt;0,N(E58)/B58,0)</f>
        <v/>
      </c>
      <c r="U58" s="319">
        <f>IF(N(B58)&gt;0,N(F58)/B58,0)</f>
        <v/>
      </c>
      <c r="V58" s="319">
        <f>IF(N(B58)&gt;0,N(G58)/B58,0)</f>
        <v/>
      </c>
      <c r="W58" s="319">
        <f>IF(N(B58)&gt;0,N(H58)/B58,0)</f>
        <v/>
      </c>
      <c r="X58" s="319">
        <f>IF(N(B58)&gt;0,N(K58)/B58,0)</f>
        <v/>
      </c>
      <c r="Y58" s="319">
        <f>IF(N(B58)&gt;0,N(L58)/B58,0)</f>
        <v/>
      </c>
    </row>
    <row r="59">
      <c r="A59" s="214" t="inlineStr">
        <is>
          <t>TOTAL</t>
        </is>
      </c>
      <c r="B59" s="75">
        <f>SUM(B11:B58)</f>
        <v/>
      </c>
      <c r="C59" s="75" t="n"/>
      <c r="D59" s="75" t="n"/>
      <c r="E59" s="75">
        <f>SUM(E11:E58)</f>
        <v/>
      </c>
      <c r="F59" s="75">
        <f>SUM(F11:F58)</f>
        <v/>
      </c>
      <c r="G59" s="75">
        <f>SUM(G11:G58)</f>
        <v/>
      </c>
      <c r="H59" s="75">
        <f>SUM(H11:H58)</f>
        <v/>
      </c>
      <c r="I59" s="75">
        <f>SUM(I11:I58)</f>
        <v/>
      </c>
      <c r="J59" s="286">
        <f>IFERROR(H59/E59,"")</f>
        <v/>
      </c>
      <c r="K59" s="75">
        <f>SUM(K11:K58)</f>
        <v/>
      </c>
      <c r="L59" s="75">
        <f>SUM(L11:L58)</f>
        <v/>
      </c>
      <c r="M59" s="75">
        <f>SUM(M11:M58)</f>
        <v/>
      </c>
      <c r="N59" s="75" t="n"/>
      <c r="O59" s="75">
        <f>SUM(O11:O58)</f>
        <v/>
      </c>
      <c r="P59" s="75" t="n"/>
      <c r="Q59" s="214">
        <f>IF(N(E59)=0,"SEM META",IF(I59&gt;0,"ADIANTADO",IF(I59&lt;0,"ATRASO","NO ALVO")))</f>
        <v/>
      </c>
    </row>
    <row r="60">
      <c r="A60" s="214" t="inlineStr">
        <is>
          <t>MÉDIA X DIA ÚTIL</t>
        </is>
      </c>
      <c r="E60" s="75">
        <f>IFERROR(E59/$I$4,"")</f>
        <v/>
      </c>
      <c r="H60" s="75">
        <f>IFERROR(H59/$I$4,"")</f>
        <v/>
      </c>
    </row>
    <row r="62">
      <c r="A62" s="89" t="inlineStr">
        <is>
          <t>COMPARATIVO DO PERÍODO POR FRENTE (% da qtd contratada)</t>
        </is>
      </c>
      <c r="G62" s="89" t="inlineStr">
        <is>
          <t>POSIÇÃO ACUMULADA POR FRENTE ATÉ DATA FINAL (%)</t>
        </is>
      </c>
    </row>
    <row r="63" ht="30" customHeight="1">
      <c r="A63" s="74" t="inlineStr">
        <is>
          <t>Frente</t>
        </is>
      </c>
      <c r="B63" s="74" t="inlineStr">
        <is>
          <t>% Previsto Período</t>
        </is>
      </c>
      <c r="C63" s="74" t="inlineStr">
        <is>
          <t>% Realizado EJ</t>
        </is>
      </c>
      <c r="D63" s="74" t="inlineStr">
        <is>
          <t>% Realizado CMM</t>
        </is>
      </c>
      <c r="E63" s="74" t="inlineStr">
        <is>
          <t>% Realizado Total</t>
        </is>
      </c>
      <c r="G63" s="74" t="inlineStr">
        <is>
          <t>Frente</t>
        </is>
      </c>
      <c r="H63" s="74" t="inlineStr">
        <is>
          <t>% Previsto Acum.</t>
        </is>
      </c>
      <c r="I63" s="74" t="inlineStr">
        <is>
          <t>% Realizado Acum.</t>
        </is>
      </c>
      <c r="J63" s="74" t="inlineStr">
        <is>
          <t>GAP Acum. (p.p.)</t>
        </is>
      </c>
    </row>
    <row r="64">
      <c r="A64" s="62" t="inlineStr">
        <is>
          <t>GALPÃO F1 – COBERTURA</t>
        </is>
      </c>
      <c r="B64" s="319">
        <f>IFERROR(SUMPRODUCT(($R$11:$R$58=$A64)*$S$11:$S$58*$T$11:$T$58)/SUMIFS($S$11:$S$58,$R$11:$R$58,$A64),0)</f>
        <v/>
      </c>
      <c r="C64" s="319">
        <f>IFERROR(SUMPRODUCT(($R$11:$R$58=$A64)*$S$11:$S$58*$U$11:$U$58)/SUMIFS($S$11:$S$58,$R$11:$R$58,$A64),0)</f>
        <v/>
      </c>
      <c r="D64" s="319">
        <f>IFERROR(SUMPRODUCT(($R$11:$R$58=$A64)*$S$11:$S$58*$V$11:$V$58)/SUMIFS($S$11:$S$58,$R$11:$R$58,$A64),0)</f>
        <v/>
      </c>
      <c r="E64" s="319">
        <f>IFERROR(SUMPRODUCT(($R$11:$R$58=$A64)*$S$11:$S$58*$W$11:$W$58)/SUMIFS($S$11:$S$58,$R$11:$R$58,$A64),0)</f>
        <v/>
      </c>
      <c r="G64" s="62">
        <f>A64</f>
        <v/>
      </c>
      <c r="H64" s="319">
        <f>IFERROR(SUMPRODUCT(($R$11:$R$58=$A64)*$S$11:$S$58*$X$11:$X$58)/SUMIFS($S$11:$S$58,$R$11:$R$58,$A64),0)</f>
        <v/>
      </c>
      <c r="I64" s="319">
        <f>IFERROR(SUMPRODUCT(($R$11:$R$58=$A64)*$S$11:$S$58*$Y$11:$Y$58)/SUMIFS($S$11:$S$58,$R$11:$R$58,$A64),0)</f>
        <v/>
      </c>
      <c r="J64" s="319">
        <f>I64-H64</f>
        <v/>
      </c>
    </row>
    <row r="65">
      <c r="A65" s="62" t="inlineStr">
        <is>
          <t>GALPÃO F1 – FECHAMENTO LATERAL</t>
        </is>
      </c>
      <c r="B65" s="319">
        <f>IFERROR(SUMPRODUCT(($R$11:$R$58=$A65)*$S$11:$S$58*$T$11:$T$58)/SUMIFS($S$11:$S$58,$R$11:$R$58,$A65),0)</f>
        <v/>
      </c>
      <c r="C65" s="319">
        <f>IFERROR(SUMPRODUCT(($R$11:$R$58=$A65)*$S$11:$S$58*$U$11:$U$58)/SUMIFS($S$11:$S$58,$R$11:$R$58,$A65),0)</f>
        <v/>
      </c>
      <c r="D65" s="319">
        <f>IFERROR(SUMPRODUCT(($R$11:$R$58=$A65)*$S$11:$S$58*$V$11:$V$58)/SUMIFS($S$11:$S$58,$R$11:$R$58,$A65),0)</f>
        <v/>
      </c>
      <c r="E65" s="319">
        <f>IFERROR(SUMPRODUCT(($R$11:$R$58=$A65)*$S$11:$S$58*$W$11:$W$58)/SUMIFS($S$11:$S$58,$R$11:$R$58,$A65),0)</f>
        <v/>
      </c>
      <c r="G65" s="62">
        <f>A65</f>
        <v/>
      </c>
      <c r="H65" s="319">
        <f>IFERROR(SUMPRODUCT(($R$11:$R$58=$A65)*$S$11:$S$58*$X$11:$X$58)/SUMIFS($S$11:$S$58,$R$11:$R$58,$A65),0)</f>
        <v/>
      </c>
      <c r="I65" s="319">
        <f>IFERROR(SUMPRODUCT(($R$11:$R$58=$A65)*$S$11:$S$58*$Y$11:$Y$58)/SUMIFS($S$11:$S$58,$R$11:$R$58,$A65),0)</f>
        <v/>
      </c>
      <c r="J65" s="319">
        <f>I65-H65</f>
        <v/>
      </c>
    </row>
    <row r="66">
      <c r="A66" s="62" t="inlineStr">
        <is>
          <t>GALPÃO F1 – MARQUISE</t>
        </is>
      </c>
      <c r="B66" s="319">
        <f>IFERROR(SUMPRODUCT(($R$11:$R$58=$A66)*$S$11:$S$58*$T$11:$T$58)/SUMIFS($S$11:$S$58,$R$11:$R$58,$A66),0)</f>
        <v/>
      </c>
      <c r="C66" s="319">
        <f>IFERROR(SUMPRODUCT(($R$11:$R$58=$A66)*$S$11:$S$58*$U$11:$U$58)/SUMIFS($S$11:$S$58,$R$11:$R$58,$A66),0)</f>
        <v/>
      </c>
      <c r="D66" s="319">
        <f>IFERROR(SUMPRODUCT(($R$11:$R$58=$A66)*$S$11:$S$58*$V$11:$V$58)/SUMIFS($S$11:$S$58,$R$11:$R$58,$A66),0)</f>
        <v/>
      </c>
      <c r="E66" s="319">
        <f>IFERROR(SUMPRODUCT(($R$11:$R$58=$A66)*$S$11:$S$58*$W$11:$W$58)/SUMIFS($S$11:$S$58,$R$11:$R$58,$A66),0)</f>
        <v/>
      </c>
      <c r="G66" s="62">
        <f>A66</f>
        <v/>
      </c>
      <c r="H66" s="319">
        <f>IFERROR(SUMPRODUCT(($R$11:$R$58=$A66)*$S$11:$S$58*$X$11:$X$58)/SUMIFS($S$11:$S$58,$R$11:$R$58,$A66),0)</f>
        <v/>
      </c>
      <c r="I66" s="319">
        <f>IFERROR(SUMPRODUCT(($R$11:$R$58=$A66)*$S$11:$S$58*$Y$11:$Y$58)/SUMIFS($S$11:$S$58,$R$11:$R$58,$A66),0)</f>
        <v/>
      </c>
      <c r="J66" s="319">
        <f>I66-H66</f>
        <v/>
      </c>
    </row>
    <row r="67">
      <c r="A67" s="62" t="inlineStr">
        <is>
          <t>ECLUSA</t>
        </is>
      </c>
      <c r="B67" s="319">
        <f>IFERROR(SUMPRODUCT(($R$11:$R$58=$A67)*$S$11:$S$58*$T$11:$T$58)/SUMIFS($S$11:$S$58,$R$11:$R$58,$A67),0)</f>
        <v/>
      </c>
      <c r="C67" s="319">
        <f>IFERROR(SUMPRODUCT(($R$11:$R$58=$A67)*$S$11:$S$58*$U$11:$U$58)/SUMIFS($S$11:$S$58,$R$11:$R$58,$A67),0)</f>
        <v/>
      </c>
      <c r="D67" s="319">
        <f>IFERROR(SUMPRODUCT(($R$11:$R$58=$A67)*$S$11:$S$58*$V$11:$V$58)/SUMIFS($S$11:$S$58,$R$11:$R$58,$A67),0)</f>
        <v/>
      </c>
      <c r="E67" s="319">
        <f>IFERROR(SUMPRODUCT(($R$11:$R$58=$A67)*$S$11:$S$58*$W$11:$W$58)/SUMIFS($S$11:$S$58,$R$11:$R$58,$A67),0)</f>
        <v/>
      </c>
      <c r="G67" s="62">
        <f>A67</f>
        <v/>
      </c>
      <c r="H67" s="319">
        <f>IFERROR(SUMPRODUCT(($R$11:$R$58=$A67)*$S$11:$S$58*$X$11:$X$58)/SUMIFS($S$11:$S$58,$R$11:$R$58,$A67),0)</f>
        <v/>
      </c>
      <c r="I67" s="319">
        <f>IFERROR(SUMPRODUCT(($R$11:$R$58=$A67)*$S$11:$S$58*$Y$11:$Y$58)/SUMIFS($S$11:$S$58,$R$11:$R$58,$A67),0)</f>
        <v/>
      </c>
      <c r="J67" s="319">
        <f>I67-H67</f>
        <v/>
      </c>
    </row>
    <row r="68">
      <c r="A68" s="62" t="inlineStr">
        <is>
          <t>PORTARIA</t>
        </is>
      </c>
      <c r="B68" s="319">
        <f>IFERROR(SUMPRODUCT(($R$11:$R$58=$A68)*$S$11:$S$58*$T$11:$T$58)/SUMIFS($S$11:$S$58,$R$11:$R$58,$A68),0)</f>
        <v/>
      </c>
      <c r="C68" s="319">
        <f>IFERROR(SUMPRODUCT(($R$11:$R$58=$A68)*$S$11:$S$58*$U$11:$U$58)/SUMIFS($S$11:$S$58,$R$11:$R$58,$A68),0)</f>
        <v/>
      </c>
      <c r="D68" s="319">
        <f>IFERROR(SUMPRODUCT(($R$11:$R$58=$A68)*$S$11:$S$58*$V$11:$V$58)/SUMIFS($S$11:$S$58,$R$11:$R$58,$A68),0)</f>
        <v/>
      </c>
      <c r="E68" s="319">
        <f>IFERROR(SUMPRODUCT(($R$11:$R$58=$A68)*$S$11:$S$58*$W$11:$W$58)/SUMIFS($S$11:$S$58,$R$11:$R$58,$A68),0)</f>
        <v/>
      </c>
      <c r="G68" s="62">
        <f>A68</f>
        <v/>
      </c>
      <c r="H68" s="319">
        <f>IFERROR(SUMPRODUCT(($R$11:$R$58=$A68)*$S$11:$S$58*$X$11:$X$58)/SUMIFS($S$11:$S$58,$R$11:$R$58,$A68),0)</f>
        <v/>
      </c>
      <c r="I68" s="319">
        <f>IFERROR(SUMPRODUCT(($R$11:$R$58=$A68)*$S$11:$S$58*$Y$11:$Y$58)/SUMIFS($S$11:$S$58,$R$11:$R$58,$A68),0)</f>
        <v/>
      </c>
      <c r="J68" s="319">
        <f>I68-H68</f>
        <v/>
      </c>
    </row>
    <row r="69">
      <c r="A69" s="62" t="inlineStr">
        <is>
          <t>REFEITÓRIO</t>
        </is>
      </c>
      <c r="B69" s="319">
        <f>IFERROR(SUMPRODUCT(($R$11:$R$58=$A69)*$S$11:$S$58*$T$11:$T$58)/SUMIFS($S$11:$S$58,$R$11:$R$58,$A69),0)</f>
        <v/>
      </c>
      <c r="C69" s="319">
        <f>IFERROR(SUMPRODUCT(($R$11:$R$58=$A69)*$S$11:$S$58*$U$11:$U$58)/SUMIFS($S$11:$S$58,$R$11:$R$58,$A69),0)</f>
        <v/>
      </c>
      <c r="D69" s="319">
        <f>IFERROR(SUMPRODUCT(($R$11:$R$58=$A69)*$S$11:$S$58*$V$11:$V$58)/SUMIFS($S$11:$S$58,$R$11:$R$58,$A69),0)</f>
        <v/>
      </c>
      <c r="E69" s="319">
        <f>IFERROR(SUMPRODUCT(($R$11:$R$58=$A69)*$S$11:$S$58*$W$11:$W$58)/SUMIFS($S$11:$S$58,$R$11:$R$58,$A69),0)</f>
        <v/>
      </c>
      <c r="G69" s="62">
        <f>A69</f>
        <v/>
      </c>
      <c r="H69" s="319">
        <f>IFERROR(SUMPRODUCT(($R$11:$R$58=$A69)*$S$11:$S$58*$X$11:$X$58)/SUMIFS($S$11:$S$58,$R$11:$R$58,$A69),0)</f>
        <v/>
      </c>
      <c r="I69" s="319">
        <f>IFERROR(SUMPRODUCT(($R$11:$R$58=$A69)*$S$11:$S$58*$Y$11:$Y$58)/SUMIFS($S$11:$S$58,$R$11:$R$58,$A69),0)</f>
        <v/>
      </c>
      <c r="J69" s="319">
        <f>I69-H69</f>
        <v/>
      </c>
    </row>
    <row r="70">
      <c r="A70" s="62" t="inlineStr">
        <is>
          <t>VESTIÁRIO</t>
        </is>
      </c>
      <c r="B70" s="319">
        <f>IFERROR(SUMPRODUCT(($R$11:$R$58=$A70)*$S$11:$S$58*$T$11:$T$58)/SUMIFS($S$11:$S$58,$R$11:$R$58,$A70),0)</f>
        <v/>
      </c>
      <c r="C70" s="319">
        <f>IFERROR(SUMPRODUCT(($R$11:$R$58=$A70)*$S$11:$S$58*$U$11:$U$58)/SUMIFS($S$11:$S$58,$R$11:$R$58,$A70),0)</f>
        <v/>
      </c>
      <c r="D70" s="319">
        <f>IFERROR(SUMPRODUCT(($R$11:$R$58=$A70)*$S$11:$S$58*$V$11:$V$58)/SUMIFS($S$11:$S$58,$R$11:$R$58,$A70),0)</f>
        <v/>
      </c>
      <c r="E70" s="319">
        <f>IFERROR(SUMPRODUCT(($R$11:$R$58=$A70)*$S$11:$S$58*$W$11:$W$58)/SUMIFS($S$11:$S$58,$R$11:$R$58,$A70),0)</f>
        <v/>
      </c>
      <c r="G70" s="62">
        <f>A70</f>
        <v/>
      </c>
      <c r="H70" s="319">
        <f>IFERROR(SUMPRODUCT(($R$11:$R$58=$A70)*$S$11:$S$58*$X$11:$X$58)/SUMIFS($S$11:$S$58,$R$11:$R$58,$A70),0)</f>
        <v/>
      </c>
      <c r="I70" s="319">
        <f>IFERROR(SUMPRODUCT(($R$11:$R$58=$A70)*$S$11:$S$58*$Y$11:$Y$58)/SUMIFS($S$11:$S$58,$R$11:$R$58,$A70),0)</f>
        <v/>
      </c>
      <c r="J70" s="319">
        <f>I70-H70</f>
        <v/>
      </c>
    </row>
    <row r="71">
      <c r="A71" s="62" t="inlineStr">
        <is>
          <t>COB. PEDESTRES / ESTAC. ÔNIBUS</t>
        </is>
      </c>
      <c r="B71" s="319">
        <f>IFERROR(SUMPRODUCT(($R$11:$R$58=$A71)*$S$11:$S$58*$T$11:$T$58)/SUMIFS($S$11:$S$58,$R$11:$R$58,$A71),0)</f>
        <v/>
      </c>
      <c r="C71" s="319">
        <f>IFERROR(SUMPRODUCT(($R$11:$R$58=$A71)*$S$11:$S$58*$U$11:$U$58)/SUMIFS($S$11:$S$58,$R$11:$R$58,$A71),0)</f>
        <v/>
      </c>
      <c r="D71" s="319">
        <f>IFERROR(SUMPRODUCT(($R$11:$R$58=$A71)*$S$11:$S$58*$V$11:$V$58)/SUMIFS($S$11:$S$58,$R$11:$R$58,$A71),0)</f>
        <v/>
      </c>
      <c r="E71" s="319">
        <f>IFERROR(SUMPRODUCT(($R$11:$R$58=$A71)*$S$11:$S$58*$W$11:$W$58)/SUMIFS($S$11:$S$58,$R$11:$R$58,$A71),0)</f>
        <v/>
      </c>
      <c r="G71" s="62">
        <f>A71</f>
        <v/>
      </c>
      <c r="H71" s="319">
        <f>IFERROR(SUMPRODUCT(($R$11:$R$58=$A71)*$S$11:$S$58*$X$11:$X$58)/SUMIFS($S$11:$S$58,$R$11:$R$58,$A71),0)</f>
        <v/>
      </c>
      <c r="I71" s="319">
        <f>IFERROR(SUMPRODUCT(($R$11:$R$58=$A71)*$S$11:$S$58*$Y$11:$Y$58)/SUMIFS($S$11:$S$58,$R$11:$R$58,$A71),0)</f>
        <v/>
      </c>
      <c r="J71" s="319">
        <f>I71-H71</f>
        <v/>
      </c>
    </row>
    <row r="72">
      <c r="A72" s="62" t="inlineStr">
        <is>
          <t>COB. PRAÇA / ÁREA DE VIVÊNCIA</t>
        </is>
      </c>
      <c r="B72" s="319">
        <f>IFERROR(SUMPRODUCT(($R$11:$R$58=$A72)*$S$11:$S$58*$T$11:$T$58)/SUMIFS($S$11:$S$58,$R$11:$R$58,$A72),0)</f>
        <v/>
      </c>
      <c r="C72" s="319">
        <f>IFERROR(SUMPRODUCT(($R$11:$R$58=$A72)*$S$11:$S$58*$U$11:$U$58)/SUMIFS($S$11:$S$58,$R$11:$R$58,$A72),0)</f>
        <v/>
      </c>
      <c r="D72" s="319">
        <f>IFERROR(SUMPRODUCT(($R$11:$R$58=$A72)*$S$11:$S$58*$V$11:$V$58)/SUMIFS($S$11:$S$58,$R$11:$R$58,$A72),0)</f>
        <v/>
      </c>
      <c r="E72" s="319">
        <f>IFERROR(SUMPRODUCT(($R$11:$R$58=$A72)*$S$11:$S$58*$W$11:$W$58)/SUMIFS($S$11:$S$58,$R$11:$R$58,$A72),0)</f>
        <v/>
      </c>
      <c r="G72" s="62">
        <f>A72</f>
        <v/>
      </c>
      <c r="H72" s="319">
        <f>IFERROR(SUMPRODUCT(($R$11:$R$58=$A72)*$S$11:$S$58*$X$11:$X$58)/SUMIFS($S$11:$S$58,$R$11:$R$58,$A72),0)</f>
        <v/>
      </c>
      <c r="I72" s="319">
        <f>IFERROR(SUMPRODUCT(($R$11:$R$58=$A72)*$S$11:$S$58*$Y$11:$Y$58)/SUMIFS($S$11:$S$58,$R$11:$R$58,$A72),0)</f>
        <v/>
      </c>
      <c r="J72" s="319">
        <f>I72-H72</f>
        <v/>
      </c>
    </row>
  </sheetData>
  <mergeCells count="19">
    <mergeCell ref="C6:D6"/>
    <mergeCell ref="I6:J6"/>
    <mergeCell ref="A6:B6"/>
    <mergeCell ref="A1:Q1"/>
    <mergeCell ref="K7:L8"/>
    <mergeCell ref="K4:Q4"/>
    <mergeCell ref="C7:D8"/>
    <mergeCell ref="E7:F8"/>
    <mergeCell ref="G6:H6"/>
    <mergeCell ref="E6:F6"/>
    <mergeCell ref="M6:Q6"/>
    <mergeCell ref="A2:Q2"/>
    <mergeCell ref="G62:J62"/>
    <mergeCell ref="G7:H8"/>
    <mergeCell ref="A62:E62"/>
    <mergeCell ref="I7:J8"/>
    <mergeCell ref="A7:B8"/>
    <mergeCell ref="M7:Q8"/>
    <mergeCell ref="K6:L6"/>
  </mergeCells>
  <conditionalFormatting sqref="J11:J59">
    <cfRule type="expression" priority="5" dxfId="1">
      <formula>AND(ISNUMBER(J11),J11&gt;=1)</formula>
    </cfRule>
    <cfRule type="expression" priority="6" dxfId="13">
      <formula>AND(ISNUMBER(J11),J11&gt;=0.9,J11&lt;1)</formula>
    </cfRule>
    <cfRule type="expression" priority="7" dxfId="5">
      <formula>AND(ISNUMBER(J11),J11&lt;0.9)</formula>
    </cfRule>
  </conditionalFormatting>
  <conditionalFormatting sqref="Q11:Q58">
    <cfRule type="containsText" priority="2" operator="containsText" dxfId="11" text="NO ALVO">
      <formula>NOT(ISERROR(SEARCH("NO ALVO",Q11)))</formula>
    </cfRule>
    <cfRule type="containsText" priority="3" operator="containsText" dxfId="10" text="ADIANTADO">
      <formula>NOT(ISERROR(SEARCH("ADIANTADO",Q11)))</formula>
    </cfRule>
    <cfRule type="containsText" priority="4" operator="containsText" dxfId="9" text="ATRASO">
      <formula>NOT(ISERROR(SEARCH("ATRASO",Q11)))</formula>
    </cfRule>
  </conditionalFormatting>
  <dataValidations count="1">
    <dataValidation sqref="B4 D4" showDropDown="0" showInputMessage="1" showErrorMessage="1" allowBlank="1" type="date">
      <formula1>46223</formula1>
      <formula2>46579</formula2>
    </dataValidation>
  </dataValidations>
  <pageMargins left="0.7" right="0.7" top="0.75" bottom="0.75" header="0.511811023622047" footer="0.511811023622047"/>
  <pageSetup orientation="portrait" paperSize="9" horizontalDpi="300" verticalDpi="300"/>
  <drawing xmlns:r="http://schemas.openxmlformats.org/officeDocument/2006/relationships" r:id="rId1"/>
</worksheet>
</file>

<file path=xl/worksheets/sheet19.xml><?xml version="1.0" encoding="utf-8"?>
<worksheet xmlns="http://schemas.openxmlformats.org/spreadsheetml/2006/main">
  <sheetPr>
    <tabColor rgb="FF1F4E78"/>
    <outlinePr summaryBelow="1" summaryRight="1"/>
    <pageSetUpPr/>
  </sheetPr>
  <dimension ref="A1:W52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baseColWidth="8" defaultColWidth="8.5546875" defaultRowHeight="14.4"/>
  <cols>
    <col width="40" customWidth="1" min="1" max="1"/>
    <col width="30" customWidth="1" min="2" max="2"/>
    <col width="15" customWidth="1" min="3" max="3"/>
    <col width="11" customWidth="1" min="4" max="8"/>
    <col width="13" customWidth="1" min="9" max="9"/>
    <col width="10" customWidth="1" min="10" max="14"/>
    <col width="8" customWidth="1" min="15" max="18"/>
    <col width="30" customWidth="1" min="19" max="19"/>
    <col width="8" customWidth="1" min="20" max="23"/>
  </cols>
  <sheetData>
    <row r="1" ht="24" customHeight="1">
      <c r="A1" s="225" t="inlineStr">
        <is>
          <t>ESCOPO E QUANTIDADES POR EMPRESA — FASE 1</t>
        </is>
      </c>
    </row>
    <row r="2" ht="43.5" customHeight="1">
      <c r="A2" s="249" t="inlineStr">
        <is>
          <t>EJ e CMM têm o mesmo escopo de estrutura, com a quantidade do contrato dividida igualmente (sobrescreva a coluna E se a divisão for outra — a CMM recebe o saldo e o total do contrato é mantido). GLOBO AÇOS: telhas, calhas e rufos. A coluna I confere se a soma das empresas bate com o contrato.</t>
        </is>
      </c>
    </row>
    <row r="4" ht="43.5" customHeight="1">
      <c r="A4" s="255" t="inlineStr">
        <is>
          <t>Serviço</t>
        </is>
      </c>
      <c r="B4" s="255" t="inlineStr">
        <is>
          <t>Frente</t>
        </is>
      </c>
      <c r="C4" s="255" t="inlineStr">
        <is>
          <t>Responsável (escopo)</t>
        </is>
      </c>
      <c r="D4" s="255" t="inlineStr">
        <is>
          <t>Qtd Contrato (METAS CLIENTE)</t>
        </is>
      </c>
      <c r="E4" s="255" t="inlineStr">
        <is>
          <t>Qtd EJ</t>
        </is>
      </c>
      <c r="F4" s="255" t="inlineStr">
        <is>
          <t>Qtd CMM</t>
        </is>
      </c>
      <c r="G4" s="255" t="inlineStr">
        <is>
          <t>Qtd GLOBO AÇOS</t>
        </is>
      </c>
      <c r="H4" s="255" t="inlineStr">
        <is>
          <t>Qtd OUTROS</t>
        </is>
      </c>
      <c r="I4" s="255" t="inlineStr">
        <is>
          <t>Conferência</t>
        </is>
      </c>
      <c r="J4" s="255" t="inlineStr">
        <is>
          <t>Meta Dia Cliente</t>
        </is>
      </c>
      <c r="K4" s="255" t="inlineStr">
        <is>
          <t>Meta Dia EJ</t>
        </is>
      </c>
      <c r="L4" s="255" t="inlineStr">
        <is>
          <t>Meta Dia CMM</t>
        </is>
      </c>
      <c r="M4" s="255" t="inlineStr">
        <is>
          <t>Meta Dia GLOBO</t>
        </is>
      </c>
      <c r="N4" s="255" t="inlineStr">
        <is>
          <t>Meta Dia OUTROS</t>
        </is>
      </c>
      <c r="O4" s="255" t="inlineStr">
        <is>
          <t>Col. aba EJ</t>
        </is>
      </c>
      <c r="P4" s="255" t="inlineStr">
        <is>
          <t>Col. aba CMM</t>
        </is>
      </c>
      <c r="Q4" s="255" t="inlineStr">
        <is>
          <t>Col. aba GLOBO</t>
        </is>
      </c>
      <c r="R4" s="255" t="inlineStr">
        <is>
          <t>Col. aba OUTROS</t>
        </is>
      </c>
      <c r="S4" s="255" t="inlineStr">
        <is>
          <t>Onde lançar</t>
        </is>
      </c>
      <c r="T4" s="255" t="inlineStr">
        <is>
          <t>Unidade</t>
        </is>
      </c>
      <c r="U4" s="255" t="inlineStr">
        <is>
          <t>Ordem EJ/CMM</t>
        </is>
      </c>
      <c r="V4" s="255" t="inlineStr">
        <is>
          <t>Ordem GLOBO</t>
        </is>
      </c>
      <c r="W4" s="255" t="inlineStr">
        <is>
          <t>Ordem OUTROS</t>
        </is>
      </c>
    </row>
    <row r="5">
      <c r="A5" s="62">
        <f>'METAS CLIENTE'!A5</f>
        <v/>
      </c>
      <c r="B5" s="62">
        <f>'METAS CLIENTE'!N5</f>
        <v/>
      </c>
      <c r="C5" s="81" t="inlineStr">
        <is>
          <t>EJ + CMM</t>
        </is>
      </c>
      <c r="D5" s="159">
        <f>IF('METAS CLIENTE'!B5="","",'METAS CLIENTE'!B5)</f>
        <v/>
      </c>
      <c r="E5" s="199">
        <f>IF(D5="","",ROUNDUP(D5/2,0))</f>
        <v/>
      </c>
      <c r="F5" s="159">
        <f>IF(D5="","",D5-N(E5))</f>
        <v/>
      </c>
      <c r="G5" s="159" t="n">
        <v>0</v>
      </c>
      <c r="H5" s="159" t="n">
        <v>0</v>
      </c>
      <c r="I5" s="81">
        <f>IF(D5="","SEM QTD",IF(N(E5)+N(F5)+N(G5)+N(H5)=D5,"OK","DIVERGE "&amp;TEXT(N(E5)+N(F5)+N(G5)+N(H5)-D5,"+0;-0")))</f>
        <v/>
      </c>
      <c r="J5" s="159">
        <f>IF('METAS CLIENTE'!E5="","",'METAS CLIENTE'!E5)</f>
        <v/>
      </c>
      <c r="K5" s="159">
        <f>IF(OR(N($D5)=0,$J5="",N(E5)=0),"",ROUND($J5*E5/$D5,2))</f>
        <v/>
      </c>
      <c r="L5" s="159">
        <f>IF(OR(N($D5)=0,$J5="",N(F5)=0),"",ROUND($J5*F5/$D5,2))</f>
        <v/>
      </c>
      <c r="M5" s="159">
        <f>IF(OR(N($D5)=0,$J5="",N(G5)=0),"",ROUND($J5*G5/$D5,2))</f>
        <v/>
      </c>
      <c r="N5" s="159">
        <f>IF(OR(N($D5)=0,$J5="",N(H5)=0),"",ROUND($J5*H5/$D5,2))</f>
        <v/>
      </c>
      <c r="O5" s="81" t="n">
        <v>2</v>
      </c>
      <c r="P5" s="81" t="n">
        <v>2</v>
      </c>
      <c r="Q5" s="81" t="n">
        <v>0</v>
      </c>
      <c r="R5" s="81" t="n">
        <v>0</v>
      </c>
      <c r="S5" s="81" t="inlineStr">
        <is>
          <t>EJ: col B | CMM: col B</t>
        </is>
      </c>
      <c r="T5" s="81">
        <f>IF('METAS CLIENTE'!S5="","",'METAS CLIENTE'!S5)</f>
        <v/>
      </c>
      <c r="U5" s="81">
        <f>IF($C5="EJ + CMM",COUNTIF($C$5:$C5,"EJ + CMM"),"")</f>
        <v/>
      </c>
      <c r="V5" s="81">
        <f>IF($C5="GLOBO AÇOS",COUNTIF($C$5:$C5,"GLOBO AÇOS"),"")</f>
        <v/>
      </c>
      <c r="W5" s="81">
        <f>IF($C5="A DEFINIR",COUNTIF($C$5:$C5,"A DEFINIR"),"")</f>
        <v/>
      </c>
    </row>
    <row r="6">
      <c r="A6" s="62">
        <f>'METAS CLIENTE'!A6</f>
        <v/>
      </c>
      <c r="B6" s="62">
        <f>'METAS CLIENTE'!N6</f>
        <v/>
      </c>
      <c r="C6" s="81" t="inlineStr">
        <is>
          <t>EJ + CMM</t>
        </is>
      </c>
      <c r="D6" s="159">
        <f>IF('METAS CLIENTE'!B6="","",'METAS CLIENTE'!B6)</f>
        <v/>
      </c>
      <c r="E6" s="199">
        <f>IF(D6="","",ROUNDUP(D6/2,0))</f>
        <v/>
      </c>
      <c r="F6" s="159">
        <f>IF(D6="","",D6-N(E6))</f>
        <v/>
      </c>
      <c r="G6" s="159" t="n">
        <v>0</v>
      </c>
      <c r="H6" s="159" t="n">
        <v>0</v>
      </c>
      <c r="I6" s="81">
        <f>IF(D6="","SEM QTD",IF(N(E6)+N(F6)+N(G6)+N(H6)=D6,"OK","DIVERGE "&amp;TEXT(N(E6)+N(F6)+N(G6)+N(H6)-D6,"+0;-0")))</f>
        <v/>
      </c>
      <c r="J6" s="159">
        <f>IF('METAS CLIENTE'!E6="","",'METAS CLIENTE'!E6)</f>
        <v/>
      </c>
      <c r="K6" s="159">
        <f>IF(OR(N($D6)=0,$J6="",N(E6)=0),"",ROUND($J6*E6/$D6,2))</f>
        <v/>
      </c>
      <c r="L6" s="159">
        <f>IF(OR(N($D6)=0,$J6="",N(F6)=0),"",ROUND($J6*F6/$D6,2))</f>
        <v/>
      </c>
      <c r="M6" s="159">
        <f>IF(OR(N($D6)=0,$J6="",N(G6)=0),"",ROUND($J6*G6/$D6,2))</f>
        <v/>
      </c>
      <c r="N6" s="159">
        <f>IF(OR(N($D6)=0,$J6="",N(H6)=0),"",ROUND($J6*H6/$D6,2))</f>
        <v/>
      </c>
      <c r="O6" s="81" t="n">
        <v>3</v>
      </c>
      <c r="P6" s="81" t="n">
        <v>3</v>
      </c>
      <c r="Q6" s="81" t="n">
        <v>0</v>
      </c>
      <c r="R6" s="81" t="n">
        <v>0</v>
      </c>
      <c r="S6" s="81" t="inlineStr">
        <is>
          <t>EJ: col C | CMM: col C</t>
        </is>
      </c>
      <c r="T6" s="81">
        <f>IF('METAS CLIENTE'!S6="","",'METAS CLIENTE'!S6)</f>
        <v/>
      </c>
      <c r="U6" s="81">
        <f>IF($C6="EJ + CMM",COUNTIF($C$5:$C6,"EJ + CMM"),"")</f>
        <v/>
      </c>
      <c r="V6" s="81">
        <f>IF($C6="GLOBO AÇOS",COUNTIF($C$5:$C6,"GLOBO AÇOS"),"")</f>
        <v/>
      </c>
      <c r="W6" s="81">
        <f>IF($C6="A DEFINIR",COUNTIF($C$5:$C6,"A DEFINIR"),"")</f>
        <v/>
      </c>
    </row>
    <row r="7">
      <c r="A7" s="62">
        <f>'METAS CLIENTE'!A7</f>
        <v/>
      </c>
      <c r="B7" s="62">
        <f>'METAS CLIENTE'!N7</f>
        <v/>
      </c>
      <c r="C7" s="81" t="inlineStr">
        <is>
          <t>EJ + CMM</t>
        </is>
      </c>
      <c r="D7" s="159">
        <f>IF('METAS CLIENTE'!B7="","",'METAS CLIENTE'!B7)</f>
        <v/>
      </c>
      <c r="E7" s="199">
        <f>IF(D7="","",ROUNDUP(D7/2,0))</f>
        <v/>
      </c>
      <c r="F7" s="159">
        <f>IF(D7="","",D7-N(E7))</f>
        <v/>
      </c>
      <c r="G7" s="159" t="n">
        <v>0</v>
      </c>
      <c r="H7" s="159" t="n">
        <v>0</v>
      </c>
      <c r="I7" s="81">
        <f>IF(D7="","SEM QTD",IF(N(E7)+N(F7)+N(G7)+N(H7)=D7,"OK","DIVERGE "&amp;TEXT(N(E7)+N(F7)+N(G7)+N(H7)-D7,"+0;-0")))</f>
        <v/>
      </c>
      <c r="J7" s="159">
        <f>IF('METAS CLIENTE'!E7="","",'METAS CLIENTE'!E7)</f>
        <v/>
      </c>
      <c r="K7" s="159">
        <f>IF(OR(N($D7)=0,$J7="",N(E7)=0),"",ROUND($J7*E7/$D7,2))</f>
        <v/>
      </c>
      <c r="L7" s="159">
        <f>IF(OR(N($D7)=0,$J7="",N(F7)=0),"",ROUND($J7*F7/$D7,2))</f>
        <v/>
      </c>
      <c r="M7" s="159">
        <f>IF(OR(N($D7)=0,$J7="",N(G7)=0),"",ROUND($J7*G7/$D7,2))</f>
        <v/>
      </c>
      <c r="N7" s="159">
        <f>IF(OR(N($D7)=0,$J7="",N(H7)=0),"",ROUND($J7*H7/$D7,2))</f>
        <v/>
      </c>
      <c r="O7" s="81" t="n">
        <v>4</v>
      </c>
      <c r="P7" s="81" t="n">
        <v>4</v>
      </c>
      <c r="Q7" s="81" t="n">
        <v>0</v>
      </c>
      <c r="R7" s="81" t="n">
        <v>0</v>
      </c>
      <c r="S7" s="81" t="inlineStr">
        <is>
          <t>EJ: col D | CMM: col D</t>
        </is>
      </c>
      <c r="T7" s="81">
        <f>IF('METAS CLIENTE'!S7="","",'METAS CLIENTE'!S7)</f>
        <v/>
      </c>
      <c r="U7" s="81">
        <f>IF($C7="EJ + CMM",COUNTIF($C$5:$C7,"EJ + CMM"),"")</f>
        <v/>
      </c>
      <c r="V7" s="81">
        <f>IF($C7="GLOBO AÇOS",COUNTIF($C$5:$C7,"GLOBO AÇOS"),"")</f>
        <v/>
      </c>
      <c r="W7" s="81">
        <f>IF($C7="A DEFINIR",COUNTIF($C$5:$C7,"A DEFINIR"),"")</f>
        <v/>
      </c>
    </row>
    <row r="8">
      <c r="A8" s="62">
        <f>'METAS CLIENTE'!A8</f>
        <v/>
      </c>
      <c r="B8" s="62">
        <f>'METAS CLIENTE'!N8</f>
        <v/>
      </c>
      <c r="C8" s="81" t="inlineStr">
        <is>
          <t>GLOBO AÇOS</t>
        </is>
      </c>
      <c r="D8" s="159">
        <f>IF('METAS CLIENTE'!B8="","",'METAS CLIENTE'!B8)</f>
        <v/>
      </c>
      <c r="E8" s="159" t="n">
        <v>0</v>
      </c>
      <c r="F8" s="159" t="n">
        <v>0</v>
      </c>
      <c r="G8" s="159">
        <f>D8</f>
        <v/>
      </c>
      <c r="H8" s="159" t="n">
        <v>0</v>
      </c>
      <c r="I8" s="81">
        <f>IF(D8="","SEM QTD",IF(N(E8)+N(F8)+N(G8)+N(H8)=D8,"OK","DIVERGE "&amp;TEXT(N(E8)+N(F8)+N(G8)+N(H8)-D8,"+0;-0")))</f>
        <v/>
      </c>
      <c r="J8" s="159">
        <f>IF('METAS CLIENTE'!E8="","",'METAS CLIENTE'!E8)</f>
        <v/>
      </c>
      <c r="K8" s="159">
        <f>IF(OR(N($D8)=0,$J8="",N(E8)=0),"",ROUND($J8*E8/$D8,2))</f>
        <v/>
      </c>
      <c r="L8" s="159">
        <f>IF(OR(N($D8)=0,$J8="",N(F8)=0),"",ROUND($J8*F8/$D8,2))</f>
        <v/>
      </c>
      <c r="M8" s="159">
        <f>IF(OR(N($D8)=0,$J8="",N(G8)=0),"",ROUND($J8*G8/$D8,2))</f>
        <v/>
      </c>
      <c r="N8" s="159">
        <f>IF(OR(N($D8)=0,$J8="",N(H8)=0),"",ROUND($J8*H8/$D8,2))</f>
        <v/>
      </c>
      <c r="O8" s="81" t="n">
        <v>0</v>
      </c>
      <c r="P8" s="81" t="n">
        <v>0</v>
      </c>
      <c r="Q8" s="81" t="n">
        <v>2</v>
      </c>
      <c r="R8" s="81" t="n">
        <v>0</v>
      </c>
      <c r="S8" s="81" t="inlineStr">
        <is>
          <t>GLOBO AÇOS: col B</t>
        </is>
      </c>
      <c r="T8" s="81">
        <f>IF('METAS CLIENTE'!S8="","",'METAS CLIENTE'!S8)</f>
        <v/>
      </c>
      <c r="U8" s="81">
        <f>IF($C8="EJ + CMM",COUNTIF($C$5:$C8,"EJ + CMM"),"")</f>
        <v/>
      </c>
      <c r="V8" s="81">
        <f>IF($C8="GLOBO AÇOS",COUNTIF($C$5:$C8,"GLOBO AÇOS"),"")</f>
        <v/>
      </c>
      <c r="W8" s="81">
        <f>IF($C8="A DEFINIR",COUNTIF($C$5:$C8,"A DEFINIR"),"")</f>
        <v/>
      </c>
    </row>
    <row r="9">
      <c r="A9" s="62">
        <f>'METAS CLIENTE'!A9</f>
        <v/>
      </c>
      <c r="B9" s="62">
        <f>'METAS CLIENTE'!N9</f>
        <v/>
      </c>
      <c r="C9" s="81" t="inlineStr">
        <is>
          <t>GLOBO AÇOS</t>
        </is>
      </c>
      <c r="D9" s="159">
        <f>IF('METAS CLIENTE'!B9="","",'METAS CLIENTE'!B9)</f>
        <v/>
      </c>
      <c r="E9" s="159" t="n">
        <v>0</v>
      </c>
      <c r="F9" s="159" t="n">
        <v>0</v>
      </c>
      <c r="G9" s="159">
        <f>D9</f>
        <v/>
      </c>
      <c r="H9" s="159" t="n">
        <v>0</v>
      </c>
      <c r="I9" s="81">
        <f>IF(D9="","SEM QTD",IF(N(E9)+N(F9)+N(G9)+N(H9)=D9,"OK","DIVERGE "&amp;TEXT(N(E9)+N(F9)+N(G9)+N(H9)-D9,"+0;-0")))</f>
        <v/>
      </c>
      <c r="J9" s="159">
        <f>IF('METAS CLIENTE'!E9="","",'METAS CLIENTE'!E9)</f>
        <v/>
      </c>
      <c r="K9" s="159">
        <f>IF(OR(N($D9)=0,$J9="",N(E9)=0),"",ROUND($J9*E9/$D9,2))</f>
        <v/>
      </c>
      <c r="L9" s="159">
        <f>IF(OR(N($D9)=0,$J9="",N(F9)=0),"",ROUND($J9*F9/$D9,2))</f>
        <v/>
      </c>
      <c r="M9" s="159">
        <f>IF(OR(N($D9)=0,$J9="",N(G9)=0),"",ROUND($J9*G9/$D9,2))</f>
        <v/>
      </c>
      <c r="N9" s="159">
        <f>IF(OR(N($D9)=0,$J9="",N(H9)=0),"",ROUND($J9*H9/$D9,2))</f>
        <v/>
      </c>
      <c r="O9" s="81" t="n">
        <v>0</v>
      </c>
      <c r="P9" s="81" t="n">
        <v>0</v>
      </c>
      <c r="Q9" s="81" t="n">
        <v>3</v>
      </c>
      <c r="R9" s="81" t="n">
        <v>0</v>
      </c>
      <c r="S9" s="81" t="inlineStr">
        <is>
          <t>GLOBO AÇOS: col C</t>
        </is>
      </c>
      <c r="T9" s="81">
        <f>IF('METAS CLIENTE'!S9="","",'METAS CLIENTE'!S9)</f>
        <v/>
      </c>
      <c r="U9" s="81">
        <f>IF($C9="EJ + CMM",COUNTIF($C$5:$C9,"EJ + CMM"),"")</f>
        <v/>
      </c>
      <c r="V9" s="81">
        <f>IF($C9="GLOBO AÇOS",COUNTIF($C$5:$C9,"GLOBO AÇOS"),"")</f>
        <v/>
      </c>
      <c r="W9" s="81">
        <f>IF($C9="A DEFINIR",COUNTIF($C$5:$C9,"A DEFINIR"),"")</f>
        <v/>
      </c>
    </row>
    <row r="10">
      <c r="A10" s="62">
        <f>'METAS CLIENTE'!A10</f>
        <v/>
      </c>
      <c r="B10" s="62">
        <f>'METAS CLIENTE'!N10</f>
        <v/>
      </c>
      <c r="C10" s="81" t="inlineStr">
        <is>
          <t>GLOBO AÇOS</t>
        </is>
      </c>
      <c r="D10" s="159">
        <f>IF('METAS CLIENTE'!B10="","",'METAS CLIENTE'!B10)</f>
        <v/>
      </c>
      <c r="E10" s="159" t="n">
        <v>0</v>
      </c>
      <c r="F10" s="159" t="n">
        <v>0</v>
      </c>
      <c r="G10" s="159">
        <f>D10</f>
        <v/>
      </c>
      <c r="H10" s="159" t="n">
        <v>0</v>
      </c>
      <c r="I10" s="81">
        <f>IF(D10="","SEM QTD",IF(N(E10)+N(F10)+N(G10)+N(H10)=D10,"OK","DIVERGE "&amp;TEXT(N(E10)+N(F10)+N(G10)+N(H10)-D10,"+0;-0")))</f>
        <v/>
      </c>
      <c r="J10" s="159">
        <f>IF('METAS CLIENTE'!E10="","",'METAS CLIENTE'!E10)</f>
        <v/>
      </c>
      <c r="K10" s="159">
        <f>IF(OR(N($D10)=0,$J10="",N(E10)=0),"",ROUND($J10*E10/$D10,2))</f>
        <v/>
      </c>
      <c r="L10" s="159">
        <f>IF(OR(N($D10)=0,$J10="",N(F10)=0),"",ROUND($J10*F10/$D10,2))</f>
        <v/>
      </c>
      <c r="M10" s="159">
        <f>IF(OR(N($D10)=0,$J10="",N(G10)=0),"",ROUND($J10*G10/$D10,2))</f>
        <v/>
      </c>
      <c r="N10" s="159">
        <f>IF(OR(N($D10)=0,$J10="",N(H10)=0),"",ROUND($J10*H10/$D10,2))</f>
        <v/>
      </c>
      <c r="O10" s="81" t="n">
        <v>0</v>
      </c>
      <c r="P10" s="81" t="n">
        <v>0</v>
      </c>
      <c r="Q10" s="81" t="n">
        <v>5</v>
      </c>
      <c r="R10" s="81" t="n">
        <v>0</v>
      </c>
      <c r="S10" s="81" t="inlineStr">
        <is>
          <t>GLOBO AÇOS: col E</t>
        </is>
      </c>
      <c r="T10" s="81">
        <f>IF('METAS CLIENTE'!S10="","",'METAS CLIENTE'!S10)</f>
        <v/>
      </c>
      <c r="U10" s="81">
        <f>IF($C10="EJ + CMM",COUNTIF($C$5:$C10,"EJ + CMM"),"")</f>
        <v/>
      </c>
      <c r="V10" s="81">
        <f>IF($C10="GLOBO AÇOS",COUNTIF($C$5:$C10,"GLOBO AÇOS"),"")</f>
        <v/>
      </c>
      <c r="W10" s="81">
        <f>IF($C10="A DEFINIR",COUNTIF($C$5:$C10,"A DEFINIR"),"")</f>
        <v/>
      </c>
    </row>
    <row r="11">
      <c r="A11" s="62">
        <f>'METAS CLIENTE'!A11</f>
        <v/>
      </c>
      <c r="B11" s="62">
        <f>'METAS CLIENTE'!N11</f>
        <v/>
      </c>
      <c r="C11" s="81" t="inlineStr">
        <is>
          <t>GLOBO AÇOS</t>
        </is>
      </c>
      <c r="D11" s="159">
        <f>IF('METAS CLIENTE'!B11="","",'METAS CLIENTE'!B11)</f>
        <v/>
      </c>
      <c r="E11" s="159" t="n">
        <v>0</v>
      </c>
      <c r="F11" s="159" t="n">
        <v>0</v>
      </c>
      <c r="G11" s="159">
        <f>D11</f>
        <v/>
      </c>
      <c r="H11" s="159" t="n">
        <v>0</v>
      </c>
      <c r="I11" s="81">
        <f>IF(D11="","SEM QTD",IF(N(E11)+N(F11)+N(G11)+N(H11)=D11,"OK","DIVERGE "&amp;TEXT(N(E11)+N(F11)+N(G11)+N(H11)-D11,"+0;-0")))</f>
        <v/>
      </c>
      <c r="J11" s="159">
        <f>IF('METAS CLIENTE'!E11="","",'METAS CLIENTE'!E11)</f>
        <v/>
      </c>
      <c r="K11" s="159">
        <f>IF(OR(N($D11)=0,$J11="",N(E11)=0),"",ROUND($J11*E11/$D11,2))</f>
        <v/>
      </c>
      <c r="L11" s="159">
        <f>IF(OR(N($D11)=0,$J11="",N(F11)=0),"",ROUND($J11*F11/$D11,2))</f>
        <v/>
      </c>
      <c r="M11" s="159">
        <f>IF(OR(N($D11)=0,$J11="",N(G11)=0),"",ROUND($J11*G11/$D11,2))</f>
        <v/>
      </c>
      <c r="N11" s="159">
        <f>IF(OR(N($D11)=0,$J11="",N(H11)=0),"",ROUND($J11*H11/$D11,2))</f>
        <v/>
      </c>
      <c r="O11" s="81" t="n">
        <v>0</v>
      </c>
      <c r="P11" s="81" t="n">
        <v>0</v>
      </c>
      <c r="Q11" s="81" t="n">
        <v>6</v>
      </c>
      <c r="R11" s="81" t="n">
        <v>0</v>
      </c>
      <c r="S11" s="81" t="inlineStr">
        <is>
          <t>GLOBO AÇOS: col F</t>
        </is>
      </c>
      <c r="T11" s="81">
        <f>IF('METAS CLIENTE'!S11="","",'METAS CLIENTE'!S11)</f>
        <v/>
      </c>
      <c r="U11" s="81">
        <f>IF($C11="EJ + CMM",COUNTIF($C$5:$C11,"EJ + CMM"),"")</f>
        <v/>
      </c>
      <c r="V11" s="81">
        <f>IF($C11="GLOBO AÇOS",COUNTIF($C$5:$C11,"GLOBO AÇOS"),"")</f>
        <v/>
      </c>
      <c r="W11" s="81">
        <f>IF($C11="A DEFINIR",COUNTIF($C$5:$C11,"A DEFINIR"),"")</f>
        <v/>
      </c>
    </row>
    <row r="12">
      <c r="A12" s="62">
        <f>'METAS CLIENTE'!A12</f>
        <v/>
      </c>
      <c r="B12" s="62">
        <f>'METAS CLIENTE'!N12</f>
        <v/>
      </c>
      <c r="C12" s="81" t="inlineStr">
        <is>
          <t>EJ + CMM</t>
        </is>
      </c>
      <c r="D12" s="159">
        <f>IF('METAS CLIENTE'!B12="","",'METAS CLIENTE'!B12)</f>
        <v/>
      </c>
      <c r="E12" s="199">
        <f>IF(D12="","",ROUNDUP(D12/2,0))</f>
        <v/>
      </c>
      <c r="F12" s="159">
        <f>IF(D12="","",D12-N(E12))</f>
        <v/>
      </c>
      <c r="G12" s="159" t="n">
        <v>0</v>
      </c>
      <c r="H12" s="159" t="n">
        <v>0</v>
      </c>
      <c r="I12" s="81">
        <f>IF(D12="","SEM QTD",IF(N(E12)+N(F12)+N(G12)+N(H12)=D12,"OK","DIVERGE "&amp;TEXT(N(E12)+N(F12)+N(G12)+N(H12)-D12,"+0;-0")))</f>
        <v/>
      </c>
      <c r="J12" s="159">
        <f>IF('METAS CLIENTE'!E12="","",'METAS CLIENTE'!E12)</f>
        <v/>
      </c>
      <c r="K12" s="159">
        <f>IF(OR(N($D12)=0,$J12="",N(E12)=0),"",ROUND($J12*E12/$D12,2))</f>
        <v/>
      </c>
      <c r="L12" s="159">
        <f>IF(OR(N($D12)=0,$J12="",N(F12)=0),"",ROUND($J12*F12/$D12,2))</f>
        <v/>
      </c>
      <c r="M12" s="159">
        <f>IF(OR(N($D12)=0,$J12="",N(G12)=0),"",ROUND($J12*G12/$D12,2))</f>
        <v/>
      </c>
      <c r="N12" s="159">
        <f>IF(OR(N($D12)=0,$J12="",N(H12)=0),"",ROUND($J12*H12/$D12,2))</f>
        <v/>
      </c>
      <c r="O12" s="81" t="n">
        <v>5</v>
      </c>
      <c r="P12" s="81" t="n">
        <v>5</v>
      </c>
      <c r="Q12" s="81" t="n">
        <v>0</v>
      </c>
      <c r="R12" s="81" t="n">
        <v>0</v>
      </c>
      <c r="S12" s="81" t="inlineStr">
        <is>
          <t>EJ: col E | CMM: col E</t>
        </is>
      </c>
      <c r="T12" s="81">
        <f>IF('METAS CLIENTE'!S12="","",'METAS CLIENTE'!S12)</f>
        <v/>
      </c>
      <c r="U12" s="81">
        <f>IF($C12="EJ + CMM",COUNTIF($C$5:$C12,"EJ + CMM"),"")</f>
        <v/>
      </c>
      <c r="V12" s="81">
        <f>IF($C12="GLOBO AÇOS",COUNTIF($C$5:$C12,"GLOBO AÇOS"),"")</f>
        <v/>
      </c>
      <c r="W12" s="81">
        <f>IF($C12="A DEFINIR",COUNTIF($C$5:$C12,"A DEFINIR"),"")</f>
        <v/>
      </c>
    </row>
    <row r="13">
      <c r="A13" s="62">
        <f>'METAS CLIENTE'!A13</f>
        <v/>
      </c>
      <c r="B13" s="62">
        <f>'METAS CLIENTE'!N13</f>
        <v/>
      </c>
      <c r="C13" s="81" t="inlineStr">
        <is>
          <t>GLOBO AÇOS</t>
        </is>
      </c>
      <c r="D13" s="159">
        <f>IF('METAS CLIENTE'!B13="","",'METAS CLIENTE'!B13)</f>
        <v/>
      </c>
      <c r="E13" s="159" t="n">
        <v>0</v>
      </c>
      <c r="F13" s="159" t="n">
        <v>0</v>
      </c>
      <c r="G13" s="159">
        <f>D13</f>
        <v/>
      </c>
      <c r="H13" s="159" t="n">
        <v>0</v>
      </c>
      <c r="I13" s="81">
        <f>IF(D13="","SEM QTD",IF(N(E13)+N(F13)+N(G13)+N(H13)=D13,"OK","DIVERGE "&amp;TEXT(N(E13)+N(F13)+N(G13)+N(H13)-D13,"+0;-0")))</f>
        <v/>
      </c>
      <c r="J13" s="159">
        <f>IF('METAS CLIENTE'!E13="","",'METAS CLIENTE'!E13)</f>
        <v/>
      </c>
      <c r="K13" s="159">
        <f>IF(OR(N($D13)=0,$J13="",N(E13)=0),"",ROUND($J13*E13/$D13,2))</f>
        <v/>
      </c>
      <c r="L13" s="159">
        <f>IF(OR(N($D13)=0,$J13="",N(F13)=0),"",ROUND($J13*F13/$D13,2))</f>
        <v/>
      </c>
      <c r="M13" s="159">
        <f>IF(OR(N($D13)=0,$J13="",N(G13)=0),"",ROUND($J13*G13/$D13,2))</f>
        <v/>
      </c>
      <c r="N13" s="159">
        <f>IF(OR(N($D13)=0,$J13="",N(H13)=0),"",ROUND($J13*H13/$D13,2))</f>
        <v/>
      </c>
      <c r="O13" s="81" t="n">
        <v>0</v>
      </c>
      <c r="P13" s="81" t="n">
        <v>0</v>
      </c>
      <c r="Q13" s="81" t="n">
        <v>4</v>
      </c>
      <c r="R13" s="81" t="n">
        <v>0</v>
      </c>
      <c r="S13" s="81" t="inlineStr">
        <is>
          <t>GLOBO AÇOS: col D</t>
        </is>
      </c>
      <c r="T13" s="81">
        <f>IF('METAS CLIENTE'!S13="","",'METAS CLIENTE'!S13)</f>
        <v/>
      </c>
      <c r="U13" s="81">
        <f>IF($C13="EJ + CMM",COUNTIF($C$5:$C13,"EJ + CMM"),"")</f>
        <v/>
      </c>
      <c r="V13" s="81">
        <f>IF($C13="GLOBO AÇOS",COUNTIF($C$5:$C13,"GLOBO AÇOS"),"")</f>
        <v/>
      </c>
      <c r="W13" s="81">
        <f>IF($C13="A DEFINIR",COUNTIF($C$5:$C13,"A DEFINIR"),"")</f>
        <v/>
      </c>
    </row>
    <row r="14">
      <c r="A14" s="62">
        <f>'METAS CLIENTE'!A14</f>
        <v/>
      </c>
      <c r="B14" s="62">
        <f>'METAS CLIENTE'!N14</f>
        <v/>
      </c>
      <c r="C14" s="81" t="inlineStr">
        <is>
          <t>EJ + CMM</t>
        </is>
      </c>
      <c r="D14" s="159">
        <f>IF('METAS CLIENTE'!B14="","",'METAS CLIENTE'!B14)</f>
        <v/>
      </c>
      <c r="E14" s="199">
        <f>IF(D14="","",ROUNDUP(D14/2,0))</f>
        <v/>
      </c>
      <c r="F14" s="159">
        <f>IF(D14="","",D14-N(E14))</f>
        <v/>
      </c>
      <c r="G14" s="159" t="n">
        <v>0</v>
      </c>
      <c r="H14" s="159" t="n">
        <v>0</v>
      </c>
      <c r="I14" s="81">
        <f>IF(D14="","SEM QTD",IF(N(E14)+N(F14)+N(G14)+N(H14)=D14,"OK","DIVERGE "&amp;TEXT(N(E14)+N(F14)+N(G14)+N(H14)-D14,"+0;-0")))</f>
        <v/>
      </c>
      <c r="J14" s="159">
        <f>IF('METAS CLIENTE'!E14="","",'METAS CLIENTE'!E14)</f>
        <v/>
      </c>
      <c r="K14" s="159">
        <f>IF(OR(N($D14)=0,$J14="",N(E14)=0),"",ROUND($J14*E14/$D14,2))</f>
        <v/>
      </c>
      <c r="L14" s="159">
        <f>IF(OR(N($D14)=0,$J14="",N(F14)=0),"",ROUND($J14*F14/$D14,2))</f>
        <v/>
      </c>
      <c r="M14" s="159">
        <f>IF(OR(N($D14)=0,$J14="",N(G14)=0),"",ROUND($J14*G14/$D14,2))</f>
        <v/>
      </c>
      <c r="N14" s="159">
        <f>IF(OR(N($D14)=0,$J14="",N(H14)=0),"",ROUND($J14*H14/$D14,2))</f>
        <v/>
      </c>
      <c r="O14" s="81" t="n">
        <v>6</v>
      </c>
      <c r="P14" s="81" t="n">
        <v>6</v>
      </c>
      <c r="Q14" s="81" t="n">
        <v>0</v>
      </c>
      <c r="R14" s="81" t="n">
        <v>0</v>
      </c>
      <c r="S14" s="81" t="inlineStr">
        <is>
          <t>EJ: col F | CMM: col F</t>
        </is>
      </c>
      <c r="T14" s="81">
        <f>IF('METAS CLIENTE'!S14="","",'METAS CLIENTE'!S14)</f>
        <v/>
      </c>
      <c r="U14" s="81">
        <f>IF($C14="EJ + CMM",COUNTIF($C$5:$C14,"EJ + CMM"),"")</f>
        <v/>
      </c>
      <c r="V14" s="81">
        <f>IF($C14="GLOBO AÇOS",COUNTIF($C$5:$C14,"GLOBO AÇOS"),"")</f>
        <v/>
      </c>
      <c r="W14" s="81">
        <f>IF($C14="A DEFINIR",COUNTIF($C$5:$C14,"A DEFINIR"),"")</f>
        <v/>
      </c>
    </row>
    <row r="15">
      <c r="A15" s="62">
        <f>'METAS CLIENTE'!A15</f>
        <v/>
      </c>
      <c r="B15" s="62">
        <f>'METAS CLIENTE'!N15</f>
        <v/>
      </c>
      <c r="C15" s="81" t="inlineStr">
        <is>
          <t>EJ + CMM</t>
        </is>
      </c>
      <c r="D15" s="159">
        <f>IF('METAS CLIENTE'!B15="","",'METAS CLIENTE'!B15)</f>
        <v/>
      </c>
      <c r="E15" s="199">
        <f>IF(D15="","",ROUNDUP(D15/2,0))</f>
        <v/>
      </c>
      <c r="F15" s="159">
        <f>IF(D15="","",D15-N(E15))</f>
        <v/>
      </c>
      <c r="G15" s="159" t="n">
        <v>0</v>
      </c>
      <c r="H15" s="159" t="n">
        <v>0</v>
      </c>
      <c r="I15" s="81">
        <f>IF(D15="","SEM QTD",IF(N(E15)+N(F15)+N(G15)+N(H15)=D15,"OK","DIVERGE "&amp;TEXT(N(E15)+N(F15)+N(G15)+N(H15)-D15,"+0;-0")))</f>
        <v/>
      </c>
      <c r="J15" s="159">
        <f>IF('METAS CLIENTE'!E15="","",'METAS CLIENTE'!E15)</f>
        <v/>
      </c>
      <c r="K15" s="159">
        <f>IF(OR(N($D15)=0,$J15="",N(E15)=0),"",ROUND($J15*E15/$D15,2))</f>
        <v/>
      </c>
      <c r="L15" s="159">
        <f>IF(OR(N($D15)=0,$J15="",N(F15)=0),"",ROUND($J15*F15/$D15,2))</f>
        <v/>
      </c>
      <c r="M15" s="159">
        <f>IF(OR(N($D15)=0,$J15="",N(G15)=0),"",ROUND($J15*G15/$D15,2))</f>
        <v/>
      </c>
      <c r="N15" s="159">
        <f>IF(OR(N($D15)=0,$J15="",N(H15)=0),"",ROUND($J15*H15/$D15,2))</f>
        <v/>
      </c>
      <c r="O15" s="81" t="n">
        <v>7</v>
      </c>
      <c r="P15" s="81" t="n">
        <v>7</v>
      </c>
      <c r="Q15" s="81" t="n">
        <v>0</v>
      </c>
      <c r="R15" s="81" t="n">
        <v>0</v>
      </c>
      <c r="S15" s="81" t="inlineStr">
        <is>
          <t>EJ: col G | CMM: col G</t>
        </is>
      </c>
      <c r="T15" s="81">
        <f>IF('METAS CLIENTE'!S15="","",'METAS CLIENTE'!S15)</f>
        <v/>
      </c>
      <c r="U15" s="81">
        <f>IF($C15="EJ + CMM",COUNTIF($C$5:$C15,"EJ + CMM"),"")</f>
        <v/>
      </c>
      <c r="V15" s="81">
        <f>IF($C15="GLOBO AÇOS",COUNTIF($C$5:$C15,"GLOBO AÇOS"),"")</f>
        <v/>
      </c>
      <c r="W15" s="81">
        <f>IF($C15="A DEFINIR",COUNTIF($C$5:$C15,"A DEFINIR"),"")</f>
        <v/>
      </c>
    </row>
    <row r="16">
      <c r="A16" s="62">
        <f>'METAS CLIENTE'!A16</f>
        <v/>
      </c>
      <c r="B16" s="62">
        <f>'METAS CLIENTE'!N16</f>
        <v/>
      </c>
      <c r="C16" s="81" t="inlineStr">
        <is>
          <t>EJ + CMM</t>
        </is>
      </c>
      <c r="D16" s="159">
        <f>IF('METAS CLIENTE'!B16="","",'METAS CLIENTE'!B16)</f>
        <v/>
      </c>
      <c r="E16" s="199">
        <f>IF(D16="","",ROUNDUP(D16/2,0))</f>
        <v/>
      </c>
      <c r="F16" s="159">
        <f>IF(D16="","",D16-N(E16))</f>
        <v/>
      </c>
      <c r="G16" s="159" t="n">
        <v>0</v>
      </c>
      <c r="H16" s="159" t="n">
        <v>0</v>
      </c>
      <c r="I16" s="81">
        <f>IF(D16="","SEM QTD",IF(N(E16)+N(F16)+N(G16)+N(H16)=D16,"OK","DIVERGE "&amp;TEXT(N(E16)+N(F16)+N(G16)+N(H16)-D16,"+0;-0")))</f>
        <v/>
      </c>
      <c r="J16" s="159">
        <f>IF('METAS CLIENTE'!E16="","",'METAS CLIENTE'!E16)</f>
        <v/>
      </c>
      <c r="K16" s="159">
        <f>IF(OR(N($D16)=0,$J16="",N(E16)=0),"",ROUND($J16*E16/$D16,2))</f>
        <v/>
      </c>
      <c r="L16" s="159">
        <f>IF(OR(N($D16)=0,$J16="",N(F16)=0),"",ROUND($J16*F16/$D16,2))</f>
        <v/>
      </c>
      <c r="M16" s="159">
        <f>IF(OR(N($D16)=0,$J16="",N(G16)=0),"",ROUND($J16*G16/$D16,2))</f>
        <v/>
      </c>
      <c r="N16" s="159">
        <f>IF(OR(N($D16)=0,$J16="",N(H16)=0),"",ROUND($J16*H16/$D16,2))</f>
        <v/>
      </c>
      <c r="O16" s="81" t="n">
        <v>8</v>
      </c>
      <c r="P16" s="81" t="n">
        <v>8</v>
      </c>
      <c r="Q16" s="81" t="n">
        <v>0</v>
      </c>
      <c r="R16" s="81" t="n">
        <v>0</v>
      </c>
      <c r="S16" s="81" t="inlineStr">
        <is>
          <t>EJ: col H | CMM: col H</t>
        </is>
      </c>
      <c r="T16" s="81">
        <f>IF('METAS CLIENTE'!S16="","",'METAS CLIENTE'!S16)</f>
        <v/>
      </c>
      <c r="U16" s="81">
        <f>IF($C16="EJ + CMM",COUNTIF($C$5:$C16,"EJ + CMM"),"")</f>
        <v/>
      </c>
      <c r="V16" s="81">
        <f>IF($C16="GLOBO AÇOS",COUNTIF($C$5:$C16,"GLOBO AÇOS"),"")</f>
        <v/>
      </c>
      <c r="W16" s="81">
        <f>IF($C16="A DEFINIR",COUNTIF($C$5:$C16,"A DEFINIR"),"")</f>
        <v/>
      </c>
    </row>
    <row r="17">
      <c r="A17" s="62">
        <f>'METAS CLIENTE'!A17</f>
        <v/>
      </c>
      <c r="B17" s="62">
        <f>'METAS CLIENTE'!N17</f>
        <v/>
      </c>
      <c r="C17" s="81" t="inlineStr">
        <is>
          <t>GLOBO AÇOS</t>
        </is>
      </c>
      <c r="D17" s="159">
        <f>IF('METAS CLIENTE'!B17="","",'METAS CLIENTE'!B17)</f>
        <v/>
      </c>
      <c r="E17" s="159" t="n">
        <v>0</v>
      </c>
      <c r="F17" s="159" t="n">
        <v>0</v>
      </c>
      <c r="G17" s="159">
        <f>D17</f>
        <v/>
      </c>
      <c r="H17" s="159" t="n">
        <v>0</v>
      </c>
      <c r="I17" s="81">
        <f>IF(D17="","SEM QTD",IF(N(E17)+N(F17)+N(G17)+N(H17)=D17,"OK","DIVERGE "&amp;TEXT(N(E17)+N(F17)+N(G17)+N(H17)-D17,"+0;-0")))</f>
        <v/>
      </c>
      <c r="J17" s="159">
        <f>IF('METAS CLIENTE'!E17="","",'METAS CLIENTE'!E17)</f>
        <v/>
      </c>
      <c r="K17" s="159">
        <f>IF(OR(N($D17)=0,$J17="",N(E17)=0),"",ROUND($J17*E17/$D17,2))</f>
        <v/>
      </c>
      <c r="L17" s="159">
        <f>IF(OR(N($D17)=0,$J17="",N(F17)=0),"",ROUND($J17*F17/$D17,2))</f>
        <v/>
      </c>
      <c r="M17" s="159">
        <f>IF(OR(N($D17)=0,$J17="",N(G17)=0),"",ROUND($J17*G17/$D17,2))</f>
        <v/>
      </c>
      <c r="N17" s="159">
        <f>IF(OR(N($D17)=0,$J17="",N(H17)=0),"",ROUND($J17*H17/$D17,2))</f>
        <v/>
      </c>
      <c r="O17" s="81" t="n">
        <v>0</v>
      </c>
      <c r="P17" s="81" t="n">
        <v>0</v>
      </c>
      <c r="Q17" s="81" t="n">
        <v>7</v>
      </c>
      <c r="R17" s="81" t="n">
        <v>0</v>
      </c>
      <c r="S17" s="81" t="inlineStr">
        <is>
          <t>GLOBO AÇOS: col G</t>
        </is>
      </c>
      <c r="T17" s="81">
        <f>IF('METAS CLIENTE'!S17="","",'METAS CLIENTE'!S17)</f>
        <v/>
      </c>
      <c r="U17" s="81">
        <f>IF($C17="EJ + CMM",COUNTIF($C$5:$C17,"EJ + CMM"),"")</f>
        <v/>
      </c>
      <c r="V17" s="81">
        <f>IF($C17="GLOBO AÇOS",COUNTIF($C$5:$C17,"GLOBO AÇOS"),"")</f>
        <v/>
      </c>
      <c r="W17" s="81">
        <f>IF($C17="A DEFINIR",COUNTIF($C$5:$C17,"A DEFINIR"),"")</f>
        <v/>
      </c>
    </row>
    <row r="18">
      <c r="A18" s="62">
        <f>'METAS CLIENTE'!A18</f>
        <v/>
      </c>
      <c r="B18" s="62">
        <f>'METAS CLIENTE'!N18</f>
        <v/>
      </c>
      <c r="C18" s="81" t="inlineStr">
        <is>
          <t>GLOBO AÇOS</t>
        </is>
      </c>
      <c r="D18" s="159">
        <f>IF('METAS CLIENTE'!B18="","",'METAS CLIENTE'!B18)</f>
        <v/>
      </c>
      <c r="E18" s="159" t="n">
        <v>0</v>
      </c>
      <c r="F18" s="159" t="n">
        <v>0</v>
      </c>
      <c r="G18" s="159">
        <f>D18</f>
        <v/>
      </c>
      <c r="H18" s="159" t="n">
        <v>0</v>
      </c>
      <c r="I18" s="81">
        <f>IF(D18="","SEM QTD",IF(N(E18)+N(F18)+N(G18)+N(H18)=D18,"OK","DIVERGE "&amp;TEXT(N(E18)+N(F18)+N(G18)+N(H18)-D18,"+0;-0")))</f>
        <v/>
      </c>
      <c r="J18" s="159">
        <f>IF('METAS CLIENTE'!E18="","",'METAS CLIENTE'!E18)</f>
        <v/>
      </c>
      <c r="K18" s="159">
        <f>IF(OR(N($D18)=0,$J18="",N(E18)=0),"",ROUND($J18*E18/$D18,2))</f>
        <v/>
      </c>
      <c r="L18" s="159">
        <f>IF(OR(N($D18)=0,$J18="",N(F18)=0),"",ROUND($J18*F18/$D18,2))</f>
        <v/>
      </c>
      <c r="M18" s="159">
        <f>IF(OR(N($D18)=0,$J18="",N(G18)=0),"",ROUND($J18*G18/$D18,2))</f>
        <v/>
      </c>
      <c r="N18" s="159">
        <f>IF(OR(N($D18)=0,$J18="",N(H18)=0),"",ROUND($J18*H18/$D18,2))</f>
        <v/>
      </c>
      <c r="O18" s="81" t="n">
        <v>0</v>
      </c>
      <c r="P18" s="81" t="n">
        <v>0</v>
      </c>
      <c r="Q18" s="81" t="n">
        <v>8</v>
      </c>
      <c r="R18" s="81" t="n">
        <v>0</v>
      </c>
      <c r="S18" s="81" t="inlineStr">
        <is>
          <t>GLOBO AÇOS: col H</t>
        </is>
      </c>
      <c r="T18" s="81">
        <f>IF('METAS CLIENTE'!S18="","",'METAS CLIENTE'!S18)</f>
        <v/>
      </c>
      <c r="U18" s="81">
        <f>IF($C18="EJ + CMM",COUNTIF($C$5:$C18,"EJ + CMM"),"")</f>
        <v/>
      </c>
      <c r="V18" s="81">
        <f>IF($C18="GLOBO AÇOS",COUNTIF($C$5:$C18,"GLOBO AÇOS"),"")</f>
        <v/>
      </c>
      <c r="W18" s="81">
        <f>IF($C18="A DEFINIR",COUNTIF($C$5:$C18,"A DEFINIR"),"")</f>
        <v/>
      </c>
    </row>
    <row r="19">
      <c r="A19" s="62">
        <f>'METAS CLIENTE'!A19</f>
        <v/>
      </c>
      <c r="B19" s="62">
        <f>'METAS CLIENTE'!N19</f>
        <v/>
      </c>
      <c r="C19" s="81" t="inlineStr">
        <is>
          <t>EJ + CMM</t>
        </is>
      </c>
      <c r="D19" s="159">
        <f>IF('METAS CLIENTE'!B19="","",'METAS CLIENTE'!B19)</f>
        <v/>
      </c>
      <c r="E19" s="199">
        <f>IF(D19="","",ROUNDUP(D19/2,0))</f>
        <v/>
      </c>
      <c r="F19" s="159">
        <f>IF(D19="","",D19-N(E19))</f>
        <v/>
      </c>
      <c r="G19" s="159" t="n">
        <v>0</v>
      </c>
      <c r="H19" s="159" t="n">
        <v>0</v>
      </c>
      <c r="I19" s="81">
        <f>IF(D19="","SEM QTD",IF(N(E19)+N(F19)+N(G19)+N(H19)=D19,"OK","DIVERGE "&amp;TEXT(N(E19)+N(F19)+N(G19)+N(H19)-D19,"+0;-0")))</f>
        <v/>
      </c>
      <c r="J19" s="159">
        <f>IF('METAS CLIENTE'!E19="","",'METAS CLIENTE'!E19)</f>
        <v/>
      </c>
      <c r="K19" s="159">
        <f>IF(OR(N($D19)=0,$J19="",N(E19)=0),"",ROUND($J19*E19/$D19,2))</f>
        <v/>
      </c>
      <c r="L19" s="159">
        <f>IF(OR(N($D19)=0,$J19="",N(F19)=0),"",ROUND($J19*F19/$D19,2))</f>
        <v/>
      </c>
      <c r="M19" s="159">
        <f>IF(OR(N($D19)=0,$J19="",N(G19)=0),"",ROUND($J19*G19/$D19,2))</f>
        <v/>
      </c>
      <c r="N19" s="159">
        <f>IF(OR(N($D19)=0,$J19="",N(H19)=0),"",ROUND($J19*H19/$D19,2))</f>
        <v/>
      </c>
      <c r="O19" s="81" t="n">
        <v>9</v>
      </c>
      <c r="P19" s="81" t="n">
        <v>9</v>
      </c>
      <c r="Q19" s="81" t="n">
        <v>0</v>
      </c>
      <c r="R19" s="81" t="n">
        <v>0</v>
      </c>
      <c r="S19" s="81" t="inlineStr">
        <is>
          <t>EJ: col I | CMM: col I</t>
        </is>
      </c>
      <c r="T19" s="81">
        <f>IF('METAS CLIENTE'!S19="","",'METAS CLIENTE'!S19)</f>
        <v/>
      </c>
      <c r="U19" s="81">
        <f>IF($C19="EJ + CMM",COUNTIF($C$5:$C19,"EJ + CMM"),"")</f>
        <v/>
      </c>
      <c r="V19" s="81">
        <f>IF($C19="GLOBO AÇOS",COUNTIF($C$5:$C19,"GLOBO AÇOS"),"")</f>
        <v/>
      </c>
      <c r="W19" s="81">
        <f>IF($C19="A DEFINIR",COUNTIF($C$5:$C19,"A DEFINIR"),"")</f>
        <v/>
      </c>
    </row>
    <row r="20">
      <c r="A20" s="62">
        <f>'METAS CLIENTE'!A20</f>
        <v/>
      </c>
      <c r="B20" s="62">
        <f>'METAS CLIENTE'!N20</f>
        <v/>
      </c>
      <c r="C20" s="81" t="inlineStr">
        <is>
          <t>EJ + CMM</t>
        </is>
      </c>
      <c r="D20" s="159">
        <f>IF('METAS CLIENTE'!B20="","",'METAS CLIENTE'!B20)</f>
        <v/>
      </c>
      <c r="E20" s="199">
        <f>IF(D20="","",ROUNDUP(D20/2,0))</f>
        <v/>
      </c>
      <c r="F20" s="159">
        <f>IF(D20="","",D20-N(E20))</f>
        <v/>
      </c>
      <c r="G20" s="159" t="n">
        <v>0</v>
      </c>
      <c r="H20" s="159" t="n">
        <v>0</v>
      </c>
      <c r="I20" s="81">
        <f>IF(D20="","SEM QTD",IF(N(E20)+N(F20)+N(G20)+N(H20)=D20,"OK","DIVERGE "&amp;TEXT(N(E20)+N(F20)+N(G20)+N(H20)-D20,"+0;-0")))</f>
        <v/>
      </c>
      <c r="J20" s="159">
        <f>IF('METAS CLIENTE'!E20="","",'METAS CLIENTE'!E20)</f>
        <v/>
      </c>
      <c r="K20" s="159">
        <f>IF(OR(N($D20)=0,$J20="",N(E20)=0),"",ROUND($J20*E20/$D20,2))</f>
        <v/>
      </c>
      <c r="L20" s="159">
        <f>IF(OR(N($D20)=0,$J20="",N(F20)=0),"",ROUND($J20*F20/$D20,2))</f>
        <v/>
      </c>
      <c r="M20" s="159">
        <f>IF(OR(N($D20)=0,$J20="",N(G20)=0),"",ROUND($J20*G20/$D20,2))</f>
        <v/>
      </c>
      <c r="N20" s="159">
        <f>IF(OR(N($D20)=0,$J20="",N(H20)=0),"",ROUND($J20*H20/$D20,2))</f>
        <v/>
      </c>
      <c r="O20" s="81" t="n">
        <v>10</v>
      </c>
      <c r="P20" s="81" t="n">
        <v>10</v>
      </c>
      <c r="Q20" s="81" t="n">
        <v>0</v>
      </c>
      <c r="R20" s="81" t="n">
        <v>0</v>
      </c>
      <c r="S20" s="81" t="inlineStr">
        <is>
          <t>EJ: col J | CMM: col J</t>
        </is>
      </c>
      <c r="T20" s="81">
        <f>IF('METAS CLIENTE'!S20="","",'METAS CLIENTE'!S20)</f>
        <v/>
      </c>
      <c r="U20" s="81">
        <f>IF($C20="EJ + CMM",COUNTIF($C$5:$C20,"EJ + CMM"),"")</f>
        <v/>
      </c>
      <c r="V20" s="81">
        <f>IF($C20="GLOBO AÇOS",COUNTIF($C$5:$C20,"GLOBO AÇOS"),"")</f>
        <v/>
      </c>
      <c r="W20" s="81">
        <f>IF($C20="A DEFINIR",COUNTIF($C$5:$C20,"A DEFINIR"),"")</f>
        <v/>
      </c>
    </row>
    <row r="21">
      <c r="A21" s="62">
        <f>'METAS CLIENTE'!A21</f>
        <v/>
      </c>
      <c r="B21" s="62">
        <f>'METAS CLIENTE'!N21</f>
        <v/>
      </c>
      <c r="C21" s="81" t="inlineStr">
        <is>
          <t>GLOBO AÇOS</t>
        </is>
      </c>
      <c r="D21" s="159">
        <f>IF('METAS CLIENTE'!B21="","",'METAS CLIENTE'!B21)</f>
        <v/>
      </c>
      <c r="E21" s="159" t="n">
        <v>0</v>
      </c>
      <c r="F21" s="159" t="n">
        <v>0</v>
      </c>
      <c r="G21" s="159">
        <f>D21</f>
        <v/>
      </c>
      <c r="H21" s="159" t="n">
        <v>0</v>
      </c>
      <c r="I21" s="81">
        <f>IF(D21="","SEM QTD",IF(N(E21)+N(F21)+N(G21)+N(H21)=D21,"OK","DIVERGE "&amp;TEXT(N(E21)+N(F21)+N(G21)+N(H21)-D21,"+0;-0")))</f>
        <v/>
      </c>
      <c r="J21" s="159">
        <f>IF('METAS CLIENTE'!E21="","",'METAS CLIENTE'!E21)</f>
        <v/>
      </c>
      <c r="K21" s="159">
        <f>IF(OR(N($D21)=0,$J21="",N(E21)=0),"",ROUND($J21*E21/$D21,2))</f>
        <v/>
      </c>
      <c r="L21" s="159">
        <f>IF(OR(N($D21)=0,$J21="",N(F21)=0),"",ROUND($J21*F21/$D21,2))</f>
        <v/>
      </c>
      <c r="M21" s="159">
        <f>IF(OR(N($D21)=0,$J21="",N(G21)=0),"",ROUND($J21*G21/$D21,2))</f>
        <v/>
      </c>
      <c r="N21" s="159">
        <f>IF(OR(N($D21)=0,$J21="",N(H21)=0),"",ROUND($J21*H21/$D21,2))</f>
        <v/>
      </c>
      <c r="O21" s="81" t="n">
        <v>0</v>
      </c>
      <c r="P21" s="81" t="n">
        <v>0</v>
      </c>
      <c r="Q21" s="81" t="n">
        <v>9</v>
      </c>
      <c r="R21" s="81" t="n">
        <v>0</v>
      </c>
      <c r="S21" s="81" t="inlineStr">
        <is>
          <t>GLOBO AÇOS: col I</t>
        </is>
      </c>
      <c r="T21" s="81">
        <f>IF('METAS CLIENTE'!S21="","",'METAS CLIENTE'!S21)</f>
        <v/>
      </c>
      <c r="U21" s="81">
        <f>IF($C21="EJ + CMM",COUNTIF($C$5:$C21,"EJ + CMM"),"")</f>
        <v/>
      </c>
      <c r="V21" s="81">
        <f>IF($C21="GLOBO AÇOS",COUNTIF($C$5:$C21,"GLOBO AÇOS"),"")</f>
        <v/>
      </c>
      <c r="W21" s="81">
        <f>IF($C21="A DEFINIR",COUNTIF($C$5:$C21,"A DEFINIR"),"")</f>
        <v/>
      </c>
    </row>
    <row r="22">
      <c r="A22" s="62">
        <f>'METAS CLIENTE'!A22</f>
        <v/>
      </c>
      <c r="B22" s="62">
        <f>'METAS CLIENTE'!N22</f>
        <v/>
      </c>
      <c r="C22" s="81" t="inlineStr">
        <is>
          <t>GLOBO AÇOS</t>
        </is>
      </c>
      <c r="D22" s="159">
        <f>IF('METAS CLIENTE'!B22="","",'METAS CLIENTE'!B22)</f>
        <v/>
      </c>
      <c r="E22" s="159" t="n">
        <v>0</v>
      </c>
      <c r="F22" s="159" t="n">
        <v>0</v>
      </c>
      <c r="G22" s="159">
        <f>D22</f>
        <v/>
      </c>
      <c r="H22" s="159" t="n">
        <v>0</v>
      </c>
      <c r="I22" s="81">
        <f>IF(D22="","SEM QTD",IF(N(E22)+N(F22)+N(G22)+N(H22)=D22,"OK","DIVERGE "&amp;TEXT(N(E22)+N(F22)+N(G22)+N(H22)-D22,"+0;-0")))</f>
        <v/>
      </c>
      <c r="J22" s="159">
        <f>IF('METAS CLIENTE'!E22="","",'METAS CLIENTE'!E22)</f>
        <v/>
      </c>
      <c r="K22" s="159">
        <f>IF(OR(N($D22)=0,$J22="",N(E22)=0),"",ROUND($J22*E22/$D22,2))</f>
        <v/>
      </c>
      <c r="L22" s="159">
        <f>IF(OR(N($D22)=0,$J22="",N(F22)=0),"",ROUND($J22*F22/$D22,2))</f>
        <v/>
      </c>
      <c r="M22" s="159">
        <f>IF(OR(N($D22)=0,$J22="",N(G22)=0),"",ROUND($J22*G22/$D22,2))</f>
        <v/>
      </c>
      <c r="N22" s="159">
        <f>IF(OR(N($D22)=0,$J22="",N(H22)=0),"",ROUND($J22*H22/$D22,2))</f>
        <v/>
      </c>
      <c r="O22" s="81" t="n">
        <v>0</v>
      </c>
      <c r="P22" s="81" t="n">
        <v>0</v>
      </c>
      <c r="Q22" s="81" t="n">
        <v>10</v>
      </c>
      <c r="R22" s="81" t="n">
        <v>0</v>
      </c>
      <c r="S22" s="81" t="inlineStr">
        <is>
          <t>GLOBO AÇOS: col J</t>
        </is>
      </c>
      <c r="T22" s="81">
        <f>IF('METAS CLIENTE'!S22="","",'METAS CLIENTE'!S22)</f>
        <v/>
      </c>
      <c r="U22" s="81">
        <f>IF($C22="EJ + CMM",COUNTIF($C$5:$C22,"EJ + CMM"),"")</f>
        <v/>
      </c>
      <c r="V22" s="81">
        <f>IF($C22="GLOBO AÇOS",COUNTIF($C$5:$C22,"GLOBO AÇOS"),"")</f>
        <v/>
      </c>
      <c r="W22" s="81">
        <f>IF($C22="A DEFINIR",COUNTIF($C$5:$C22,"A DEFINIR"),"")</f>
        <v/>
      </c>
    </row>
    <row r="23">
      <c r="A23" s="62">
        <f>'METAS CLIENTE'!A23</f>
        <v/>
      </c>
      <c r="B23" s="62">
        <f>'METAS CLIENTE'!N23</f>
        <v/>
      </c>
      <c r="C23" s="81" t="inlineStr">
        <is>
          <t>A DEFINIR</t>
        </is>
      </c>
      <c r="D23" s="159">
        <f>IF('METAS CLIENTE'!B23="","",'METAS CLIENTE'!B23)</f>
        <v/>
      </c>
      <c r="E23" s="159" t="n">
        <v>0</v>
      </c>
      <c r="F23" s="159" t="n">
        <v>0</v>
      </c>
      <c r="G23" s="159" t="n">
        <v>0</v>
      </c>
      <c r="H23" s="159">
        <f>D23</f>
        <v/>
      </c>
      <c r="I23" s="81">
        <f>IF(D23="","SEM QTD",IF(N(E23)+N(F23)+N(G23)+N(H23)=D23,"OK","DIVERGE "&amp;TEXT(N(E23)+N(F23)+N(G23)+N(H23)-D23,"+0;-0")))</f>
        <v/>
      </c>
      <c r="J23" s="159">
        <f>IF('METAS CLIENTE'!E23="","",'METAS CLIENTE'!E23)</f>
        <v/>
      </c>
      <c r="K23" s="159">
        <f>IF(OR(N($D23)=0,$J23="",N(E23)=0),"",ROUND($J23*E23/$D23,2))</f>
        <v/>
      </c>
      <c r="L23" s="159">
        <f>IF(OR(N($D23)=0,$J23="",N(F23)=0),"",ROUND($J23*F23/$D23,2))</f>
        <v/>
      </c>
      <c r="M23" s="159">
        <f>IF(OR(N($D23)=0,$J23="",N(G23)=0),"",ROUND($J23*G23/$D23,2))</f>
        <v/>
      </c>
      <c r="N23" s="159">
        <f>IF(OR(N($D23)=0,$J23="",N(H23)=0),"",ROUND($J23*H23/$D23,2))</f>
        <v/>
      </c>
      <c r="O23" s="81" t="n">
        <v>0</v>
      </c>
      <c r="P23" s="81" t="n">
        <v>0</v>
      </c>
      <c r="Q23" s="81" t="n">
        <v>0</v>
      </c>
      <c r="R23" s="81" t="n">
        <v>2</v>
      </c>
      <c r="S23" s="81" t="inlineStr">
        <is>
          <t>OUTROS: col B</t>
        </is>
      </c>
      <c r="T23" s="81">
        <f>IF('METAS CLIENTE'!S23="","",'METAS CLIENTE'!S23)</f>
        <v/>
      </c>
      <c r="U23" s="81">
        <f>IF($C23="EJ + CMM",COUNTIF($C$5:$C23,"EJ + CMM"),"")</f>
        <v/>
      </c>
      <c r="V23" s="81">
        <f>IF($C23="GLOBO AÇOS",COUNTIF($C$5:$C23,"GLOBO AÇOS"),"")</f>
        <v/>
      </c>
      <c r="W23" s="81">
        <f>IF($C23="A DEFINIR",COUNTIF($C$5:$C23,"A DEFINIR"),"")</f>
        <v/>
      </c>
    </row>
    <row r="24">
      <c r="A24" s="62">
        <f>'METAS CLIENTE'!A24</f>
        <v/>
      </c>
      <c r="B24" s="62">
        <f>'METAS CLIENTE'!N24</f>
        <v/>
      </c>
      <c r="C24" s="81" t="inlineStr">
        <is>
          <t>GLOBO AÇOS</t>
        </is>
      </c>
      <c r="D24" s="159">
        <f>IF('METAS CLIENTE'!B24="","",'METAS CLIENTE'!B24)</f>
        <v/>
      </c>
      <c r="E24" s="159" t="n">
        <v>0</v>
      </c>
      <c r="F24" s="159" t="n">
        <v>0</v>
      </c>
      <c r="G24" s="159">
        <f>D24</f>
        <v/>
      </c>
      <c r="H24" s="159" t="n">
        <v>0</v>
      </c>
      <c r="I24" s="81">
        <f>IF(D24="","SEM QTD",IF(N(E24)+N(F24)+N(G24)+N(H24)=D24,"OK","DIVERGE "&amp;TEXT(N(E24)+N(F24)+N(G24)+N(H24)-D24,"+0;-0")))</f>
        <v/>
      </c>
      <c r="J24" s="159">
        <f>IF('METAS CLIENTE'!E24="","",'METAS CLIENTE'!E24)</f>
        <v/>
      </c>
      <c r="K24" s="159">
        <f>IF(OR(N($D24)=0,$J24="",N(E24)=0),"",ROUND($J24*E24/$D24,2))</f>
        <v/>
      </c>
      <c r="L24" s="159">
        <f>IF(OR(N($D24)=0,$J24="",N(F24)=0),"",ROUND($J24*F24/$D24,2))</f>
        <v/>
      </c>
      <c r="M24" s="159">
        <f>IF(OR(N($D24)=0,$J24="",N(G24)=0),"",ROUND($J24*G24/$D24,2))</f>
        <v/>
      </c>
      <c r="N24" s="159">
        <f>IF(OR(N($D24)=0,$J24="",N(H24)=0),"",ROUND($J24*H24/$D24,2))</f>
        <v/>
      </c>
      <c r="O24" s="81" t="n">
        <v>0</v>
      </c>
      <c r="P24" s="81" t="n">
        <v>0</v>
      </c>
      <c r="Q24" s="81" t="n">
        <v>11</v>
      </c>
      <c r="R24" s="81" t="n">
        <v>0</v>
      </c>
      <c r="S24" s="81" t="inlineStr">
        <is>
          <t>GLOBO AÇOS: col K</t>
        </is>
      </c>
      <c r="T24" s="81">
        <f>IF('METAS CLIENTE'!S24="","",'METAS CLIENTE'!S24)</f>
        <v/>
      </c>
      <c r="U24" s="81">
        <f>IF($C24="EJ + CMM",COUNTIF($C$5:$C24,"EJ + CMM"),"")</f>
        <v/>
      </c>
      <c r="V24" s="81">
        <f>IF($C24="GLOBO AÇOS",COUNTIF($C$5:$C24,"GLOBO AÇOS"),"")</f>
        <v/>
      </c>
      <c r="W24" s="81">
        <f>IF($C24="A DEFINIR",COUNTIF($C$5:$C24,"A DEFINIR"),"")</f>
        <v/>
      </c>
    </row>
    <row r="25">
      <c r="A25" s="62">
        <f>'METAS CLIENTE'!A25</f>
        <v/>
      </c>
      <c r="B25" s="62">
        <f>'METAS CLIENTE'!N25</f>
        <v/>
      </c>
      <c r="C25" s="81" t="inlineStr">
        <is>
          <t>EJ + CMM</t>
        </is>
      </c>
      <c r="D25" s="159">
        <f>IF('METAS CLIENTE'!B25="","",'METAS CLIENTE'!B25)</f>
        <v/>
      </c>
      <c r="E25" s="199">
        <f>IF(D25="","",ROUNDUP(D25/2,0))</f>
        <v/>
      </c>
      <c r="F25" s="159">
        <f>IF(D25="","",D25-N(E25))</f>
        <v/>
      </c>
      <c r="G25" s="159" t="n">
        <v>0</v>
      </c>
      <c r="H25" s="159" t="n">
        <v>0</v>
      </c>
      <c r="I25" s="81">
        <f>IF(D25="","SEM QTD",IF(N(E25)+N(F25)+N(G25)+N(H25)=D25,"OK","DIVERGE "&amp;TEXT(N(E25)+N(F25)+N(G25)+N(H25)-D25,"+0;-0")))</f>
        <v/>
      </c>
      <c r="J25" s="159">
        <f>IF('METAS CLIENTE'!E25="","",'METAS CLIENTE'!E25)</f>
        <v/>
      </c>
      <c r="K25" s="159">
        <f>IF(OR(N($D25)=0,$J25="",N(E25)=0),"",ROUND($J25*E25/$D25,2))</f>
        <v/>
      </c>
      <c r="L25" s="159">
        <f>IF(OR(N($D25)=0,$J25="",N(F25)=0),"",ROUND($J25*F25/$D25,2))</f>
        <v/>
      </c>
      <c r="M25" s="159">
        <f>IF(OR(N($D25)=0,$J25="",N(G25)=0),"",ROUND($J25*G25/$D25,2))</f>
        <v/>
      </c>
      <c r="N25" s="159">
        <f>IF(OR(N($D25)=0,$J25="",N(H25)=0),"",ROUND($J25*H25/$D25,2))</f>
        <v/>
      </c>
      <c r="O25" s="81" t="n">
        <v>11</v>
      </c>
      <c r="P25" s="81" t="n">
        <v>11</v>
      </c>
      <c r="Q25" s="81" t="n">
        <v>0</v>
      </c>
      <c r="R25" s="81" t="n">
        <v>0</v>
      </c>
      <c r="S25" s="81" t="inlineStr">
        <is>
          <t>EJ: col K | CMM: col K</t>
        </is>
      </c>
      <c r="T25" s="81">
        <f>IF('METAS CLIENTE'!S25="","",'METAS CLIENTE'!S25)</f>
        <v/>
      </c>
      <c r="U25" s="81">
        <f>IF($C25="EJ + CMM",COUNTIF($C$5:$C25,"EJ + CMM"),"")</f>
        <v/>
      </c>
      <c r="V25" s="81">
        <f>IF($C25="GLOBO AÇOS",COUNTIF($C$5:$C25,"GLOBO AÇOS"),"")</f>
        <v/>
      </c>
      <c r="W25" s="81">
        <f>IF($C25="A DEFINIR",COUNTIF($C$5:$C25,"A DEFINIR"),"")</f>
        <v/>
      </c>
    </row>
    <row r="26">
      <c r="A26" s="62">
        <f>'METAS CLIENTE'!A26</f>
        <v/>
      </c>
      <c r="B26" s="62">
        <f>'METAS CLIENTE'!N26</f>
        <v/>
      </c>
      <c r="C26" s="81" t="inlineStr">
        <is>
          <t>GLOBO AÇOS</t>
        </is>
      </c>
      <c r="D26" s="159">
        <f>IF('METAS CLIENTE'!B26="","",'METAS CLIENTE'!B26)</f>
        <v/>
      </c>
      <c r="E26" s="159" t="n">
        <v>0</v>
      </c>
      <c r="F26" s="159" t="n">
        <v>0</v>
      </c>
      <c r="G26" s="159">
        <f>D26</f>
        <v/>
      </c>
      <c r="H26" s="159" t="n">
        <v>0</v>
      </c>
      <c r="I26" s="81">
        <f>IF(D26="","SEM QTD",IF(N(E26)+N(F26)+N(G26)+N(H26)=D26,"OK","DIVERGE "&amp;TEXT(N(E26)+N(F26)+N(G26)+N(H26)-D26,"+0;-0")))</f>
        <v/>
      </c>
      <c r="J26" s="159">
        <f>IF('METAS CLIENTE'!E26="","",'METAS CLIENTE'!E26)</f>
        <v/>
      </c>
      <c r="K26" s="159">
        <f>IF(OR(N($D26)=0,$J26="",N(E26)=0),"",ROUND($J26*E26/$D26,2))</f>
        <v/>
      </c>
      <c r="L26" s="159">
        <f>IF(OR(N($D26)=0,$J26="",N(F26)=0),"",ROUND($J26*F26/$D26,2))</f>
        <v/>
      </c>
      <c r="M26" s="159">
        <f>IF(OR(N($D26)=0,$J26="",N(G26)=0),"",ROUND($J26*G26/$D26,2))</f>
        <v/>
      </c>
      <c r="N26" s="159">
        <f>IF(OR(N($D26)=0,$J26="",N(H26)=0),"",ROUND($J26*H26/$D26,2))</f>
        <v/>
      </c>
      <c r="O26" s="81" t="n">
        <v>0</v>
      </c>
      <c r="P26" s="81" t="n">
        <v>0</v>
      </c>
      <c r="Q26" s="81" t="n">
        <v>12</v>
      </c>
      <c r="R26" s="81" t="n">
        <v>0</v>
      </c>
      <c r="S26" s="81" t="inlineStr">
        <is>
          <t>GLOBO AÇOS: col L</t>
        </is>
      </c>
      <c r="T26" s="81">
        <f>IF('METAS CLIENTE'!S26="","",'METAS CLIENTE'!S26)</f>
        <v/>
      </c>
      <c r="U26" s="81">
        <f>IF($C26="EJ + CMM",COUNTIF($C$5:$C26,"EJ + CMM"),"")</f>
        <v/>
      </c>
      <c r="V26" s="81">
        <f>IF($C26="GLOBO AÇOS",COUNTIF($C$5:$C26,"GLOBO AÇOS"),"")</f>
        <v/>
      </c>
      <c r="W26" s="81">
        <f>IF($C26="A DEFINIR",COUNTIF($C$5:$C26,"A DEFINIR"),"")</f>
        <v/>
      </c>
    </row>
    <row r="27">
      <c r="A27" s="62">
        <f>'METAS CLIENTE'!A27</f>
        <v/>
      </c>
      <c r="B27" s="62">
        <f>'METAS CLIENTE'!N27</f>
        <v/>
      </c>
      <c r="C27" s="81" t="inlineStr">
        <is>
          <t>EJ + CMM</t>
        </is>
      </c>
      <c r="D27" s="159">
        <f>IF('METAS CLIENTE'!B27="","",'METAS CLIENTE'!B27)</f>
        <v/>
      </c>
      <c r="E27" s="199">
        <f>IF(D27="","",ROUNDUP(D27/2,0))</f>
        <v/>
      </c>
      <c r="F27" s="159">
        <f>IF(D27="","",D27-N(E27))</f>
        <v/>
      </c>
      <c r="G27" s="159" t="n">
        <v>0</v>
      </c>
      <c r="H27" s="159" t="n">
        <v>0</v>
      </c>
      <c r="I27" s="81">
        <f>IF(D27="","SEM QTD",IF(N(E27)+N(F27)+N(G27)+N(H27)=D27,"OK","DIVERGE "&amp;TEXT(N(E27)+N(F27)+N(G27)+N(H27)-D27,"+0;-0")))</f>
        <v/>
      </c>
      <c r="J27" s="159">
        <f>IF('METAS CLIENTE'!E27="","",'METAS CLIENTE'!E27)</f>
        <v/>
      </c>
      <c r="K27" s="159">
        <f>IF(OR(N($D27)=0,$J27="",N(E27)=0),"",ROUND($J27*E27/$D27,2))</f>
        <v/>
      </c>
      <c r="L27" s="159">
        <f>IF(OR(N($D27)=0,$J27="",N(F27)=0),"",ROUND($J27*F27/$D27,2))</f>
        <v/>
      </c>
      <c r="M27" s="159">
        <f>IF(OR(N($D27)=0,$J27="",N(G27)=0),"",ROUND($J27*G27/$D27,2))</f>
        <v/>
      </c>
      <c r="N27" s="159">
        <f>IF(OR(N($D27)=0,$J27="",N(H27)=0),"",ROUND($J27*H27/$D27,2))</f>
        <v/>
      </c>
      <c r="O27" s="81" t="n">
        <v>12</v>
      </c>
      <c r="P27" s="81" t="n">
        <v>12</v>
      </c>
      <c r="Q27" s="81" t="n">
        <v>0</v>
      </c>
      <c r="R27" s="81" t="n">
        <v>0</v>
      </c>
      <c r="S27" s="81" t="inlineStr">
        <is>
          <t>EJ: col L | CMM: col L</t>
        </is>
      </c>
      <c r="T27" s="81">
        <f>IF('METAS CLIENTE'!S27="","",'METAS CLIENTE'!S27)</f>
        <v/>
      </c>
      <c r="U27" s="81">
        <f>IF($C27="EJ + CMM",COUNTIF($C$5:$C27,"EJ + CMM"),"")</f>
        <v/>
      </c>
      <c r="V27" s="81">
        <f>IF($C27="GLOBO AÇOS",COUNTIF($C$5:$C27,"GLOBO AÇOS"),"")</f>
        <v/>
      </c>
      <c r="W27" s="81">
        <f>IF($C27="A DEFINIR",COUNTIF($C$5:$C27,"A DEFINIR"),"")</f>
        <v/>
      </c>
    </row>
    <row r="28">
      <c r="A28" s="62">
        <f>'METAS CLIENTE'!A28</f>
        <v/>
      </c>
      <c r="B28" s="62">
        <f>'METAS CLIENTE'!N28</f>
        <v/>
      </c>
      <c r="C28" s="81" t="inlineStr">
        <is>
          <t>GLOBO AÇOS</t>
        </is>
      </c>
      <c r="D28" s="159">
        <f>IF('METAS CLIENTE'!B28="","",'METAS CLIENTE'!B28)</f>
        <v/>
      </c>
      <c r="E28" s="159" t="n">
        <v>0</v>
      </c>
      <c r="F28" s="159" t="n">
        <v>0</v>
      </c>
      <c r="G28" s="159">
        <f>D28</f>
        <v/>
      </c>
      <c r="H28" s="159" t="n">
        <v>0</v>
      </c>
      <c r="I28" s="81">
        <f>IF(D28="","SEM QTD",IF(N(E28)+N(F28)+N(G28)+N(H28)=D28,"OK","DIVERGE "&amp;TEXT(N(E28)+N(F28)+N(G28)+N(H28)-D28,"+0;-0")))</f>
        <v/>
      </c>
      <c r="J28" s="159">
        <f>IF('METAS CLIENTE'!E28="","",'METAS CLIENTE'!E28)</f>
        <v/>
      </c>
      <c r="K28" s="159">
        <f>IF(OR(N($D28)=0,$J28="",N(E28)=0),"",ROUND($J28*E28/$D28,2))</f>
        <v/>
      </c>
      <c r="L28" s="159">
        <f>IF(OR(N($D28)=0,$J28="",N(F28)=0),"",ROUND($J28*F28/$D28,2))</f>
        <v/>
      </c>
      <c r="M28" s="159">
        <f>IF(OR(N($D28)=0,$J28="",N(G28)=0),"",ROUND($J28*G28/$D28,2))</f>
        <v/>
      </c>
      <c r="N28" s="159">
        <f>IF(OR(N($D28)=0,$J28="",N(H28)=0),"",ROUND($J28*H28/$D28,2))</f>
        <v/>
      </c>
      <c r="O28" s="81" t="n">
        <v>0</v>
      </c>
      <c r="P28" s="81" t="n">
        <v>0</v>
      </c>
      <c r="Q28" s="81" t="n">
        <v>13</v>
      </c>
      <c r="R28" s="81" t="n">
        <v>0</v>
      </c>
      <c r="S28" s="81" t="inlineStr">
        <is>
          <t>GLOBO AÇOS: col M</t>
        </is>
      </c>
      <c r="T28" s="81">
        <f>IF('METAS CLIENTE'!S28="","",'METAS CLIENTE'!S28)</f>
        <v/>
      </c>
      <c r="U28" s="81">
        <f>IF($C28="EJ + CMM",COUNTIF($C$5:$C28,"EJ + CMM"),"")</f>
        <v/>
      </c>
      <c r="V28" s="81">
        <f>IF($C28="GLOBO AÇOS",COUNTIF($C$5:$C28,"GLOBO AÇOS"),"")</f>
        <v/>
      </c>
      <c r="W28" s="81">
        <f>IF($C28="A DEFINIR",COUNTIF($C$5:$C28,"A DEFINIR"),"")</f>
        <v/>
      </c>
    </row>
    <row r="29">
      <c r="A29" s="62">
        <f>'METAS CLIENTE'!A29</f>
        <v/>
      </c>
      <c r="B29" s="62">
        <f>'METAS CLIENTE'!N29</f>
        <v/>
      </c>
      <c r="C29" s="81" t="inlineStr">
        <is>
          <t>GLOBO AÇOS</t>
        </is>
      </c>
      <c r="D29" s="159">
        <f>IF('METAS CLIENTE'!B29="","",'METAS CLIENTE'!B29)</f>
        <v/>
      </c>
      <c r="E29" s="159" t="n">
        <v>0</v>
      </c>
      <c r="F29" s="159" t="n">
        <v>0</v>
      </c>
      <c r="G29" s="159">
        <f>D29</f>
        <v/>
      </c>
      <c r="H29" s="159" t="n">
        <v>0</v>
      </c>
      <c r="I29" s="81">
        <f>IF(D29="","SEM QTD",IF(N(E29)+N(F29)+N(G29)+N(H29)=D29,"OK","DIVERGE "&amp;TEXT(N(E29)+N(F29)+N(G29)+N(H29)-D29,"+0;-0")))</f>
        <v/>
      </c>
      <c r="J29" s="159">
        <f>IF('METAS CLIENTE'!E29="","",'METAS CLIENTE'!E29)</f>
        <v/>
      </c>
      <c r="K29" s="159">
        <f>IF(OR(N($D29)=0,$J29="",N(E29)=0),"",ROUND($J29*E29/$D29,2))</f>
        <v/>
      </c>
      <c r="L29" s="159">
        <f>IF(OR(N($D29)=0,$J29="",N(F29)=0),"",ROUND($J29*F29/$D29,2))</f>
        <v/>
      </c>
      <c r="M29" s="159">
        <f>IF(OR(N($D29)=0,$J29="",N(G29)=0),"",ROUND($J29*G29/$D29,2))</f>
        <v/>
      </c>
      <c r="N29" s="159">
        <f>IF(OR(N($D29)=0,$J29="",N(H29)=0),"",ROUND($J29*H29/$D29,2))</f>
        <v/>
      </c>
      <c r="O29" s="81" t="n">
        <v>0</v>
      </c>
      <c r="P29" s="81" t="n">
        <v>0</v>
      </c>
      <c r="Q29" s="81" t="n">
        <v>14</v>
      </c>
      <c r="R29" s="81" t="n">
        <v>0</v>
      </c>
      <c r="S29" s="81" t="inlineStr">
        <is>
          <t>GLOBO AÇOS: col N</t>
        </is>
      </c>
      <c r="T29" s="81">
        <f>IF('METAS CLIENTE'!S29="","",'METAS CLIENTE'!S29)</f>
        <v/>
      </c>
      <c r="U29" s="81">
        <f>IF($C29="EJ + CMM",COUNTIF($C$5:$C29,"EJ + CMM"),"")</f>
        <v/>
      </c>
      <c r="V29" s="81">
        <f>IF($C29="GLOBO AÇOS",COUNTIF($C$5:$C29,"GLOBO AÇOS"),"")</f>
        <v/>
      </c>
      <c r="W29" s="81">
        <f>IF($C29="A DEFINIR",COUNTIF($C$5:$C29,"A DEFINIR"),"")</f>
        <v/>
      </c>
    </row>
    <row r="30">
      <c r="A30" s="62">
        <f>'METAS CLIENTE'!A30</f>
        <v/>
      </c>
      <c r="B30" s="62">
        <f>'METAS CLIENTE'!N30</f>
        <v/>
      </c>
      <c r="C30" s="81" t="inlineStr">
        <is>
          <t>EJ + CMM</t>
        </is>
      </c>
      <c r="D30" s="159">
        <f>IF('METAS CLIENTE'!B30="","",'METAS CLIENTE'!B30)</f>
        <v/>
      </c>
      <c r="E30" s="199">
        <f>IF(D30="","",ROUNDUP(D30/2,0))</f>
        <v/>
      </c>
      <c r="F30" s="159">
        <f>IF(D30="","",D30-N(E30))</f>
        <v/>
      </c>
      <c r="G30" s="159" t="n">
        <v>0</v>
      </c>
      <c r="H30" s="159" t="n">
        <v>0</v>
      </c>
      <c r="I30" s="81">
        <f>IF(D30="","SEM QTD",IF(N(E30)+N(F30)+N(G30)+N(H30)=D30,"OK","DIVERGE "&amp;TEXT(N(E30)+N(F30)+N(G30)+N(H30)-D30,"+0;-0")))</f>
        <v/>
      </c>
      <c r="J30" s="159">
        <f>IF('METAS CLIENTE'!E30="","",'METAS CLIENTE'!E30)</f>
        <v/>
      </c>
      <c r="K30" s="159">
        <f>IF(OR(N($D30)=0,$J30="",N(E30)=0),"",ROUND($J30*E30/$D30,2))</f>
        <v/>
      </c>
      <c r="L30" s="159">
        <f>IF(OR(N($D30)=0,$J30="",N(F30)=0),"",ROUND($J30*F30/$D30,2))</f>
        <v/>
      </c>
      <c r="M30" s="159">
        <f>IF(OR(N($D30)=0,$J30="",N(G30)=0),"",ROUND($J30*G30/$D30,2))</f>
        <v/>
      </c>
      <c r="N30" s="159">
        <f>IF(OR(N($D30)=0,$J30="",N(H30)=0),"",ROUND($J30*H30/$D30,2))</f>
        <v/>
      </c>
      <c r="O30" s="81" t="n">
        <v>13</v>
      </c>
      <c r="P30" s="81" t="n">
        <v>13</v>
      </c>
      <c r="Q30" s="81" t="n">
        <v>0</v>
      </c>
      <c r="R30" s="81" t="n">
        <v>0</v>
      </c>
      <c r="S30" s="81" t="inlineStr">
        <is>
          <t>EJ: col M | CMM: col M</t>
        </is>
      </c>
      <c r="T30" s="81">
        <f>IF('METAS CLIENTE'!S30="","",'METAS CLIENTE'!S30)</f>
        <v/>
      </c>
      <c r="U30" s="81">
        <f>IF($C30="EJ + CMM",COUNTIF($C$5:$C30,"EJ + CMM"),"")</f>
        <v/>
      </c>
      <c r="V30" s="81">
        <f>IF($C30="GLOBO AÇOS",COUNTIF($C$5:$C30,"GLOBO AÇOS"),"")</f>
        <v/>
      </c>
      <c r="W30" s="81">
        <f>IF($C30="A DEFINIR",COUNTIF($C$5:$C30,"A DEFINIR"),"")</f>
        <v/>
      </c>
    </row>
    <row r="31">
      <c r="A31" s="62">
        <f>'METAS CLIENTE'!A31</f>
        <v/>
      </c>
      <c r="B31" s="62">
        <f>'METAS CLIENTE'!N31</f>
        <v/>
      </c>
      <c r="C31" s="81" t="inlineStr">
        <is>
          <t>A DEFINIR</t>
        </is>
      </c>
      <c r="D31" s="159">
        <f>IF('METAS CLIENTE'!B31="","",'METAS CLIENTE'!B31)</f>
        <v/>
      </c>
      <c r="E31" s="159" t="n">
        <v>0</v>
      </c>
      <c r="F31" s="159" t="n">
        <v>0</v>
      </c>
      <c r="G31" s="159" t="n">
        <v>0</v>
      </c>
      <c r="H31" s="159">
        <f>D31</f>
        <v/>
      </c>
      <c r="I31" s="81">
        <f>IF(D31="","SEM QTD",IF(N(E31)+N(F31)+N(G31)+N(H31)=D31,"OK","DIVERGE "&amp;TEXT(N(E31)+N(F31)+N(G31)+N(H31)-D31,"+0;-0")))</f>
        <v/>
      </c>
      <c r="J31" s="159">
        <f>IF('METAS CLIENTE'!E31="","",'METAS CLIENTE'!E31)</f>
        <v/>
      </c>
      <c r="K31" s="159">
        <f>IF(OR(N($D31)=0,$J31="",N(E31)=0),"",ROUND($J31*E31/$D31,2))</f>
        <v/>
      </c>
      <c r="L31" s="159">
        <f>IF(OR(N($D31)=0,$J31="",N(F31)=0),"",ROUND($J31*F31/$D31,2))</f>
        <v/>
      </c>
      <c r="M31" s="159">
        <f>IF(OR(N($D31)=0,$J31="",N(G31)=0),"",ROUND($J31*G31/$D31,2))</f>
        <v/>
      </c>
      <c r="N31" s="159">
        <f>IF(OR(N($D31)=0,$J31="",N(H31)=0),"",ROUND($J31*H31/$D31,2))</f>
        <v/>
      </c>
      <c r="O31" s="81" t="n">
        <v>0</v>
      </c>
      <c r="P31" s="81" t="n">
        <v>0</v>
      </c>
      <c r="Q31" s="81" t="n">
        <v>0</v>
      </c>
      <c r="R31" s="81" t="n">
        <v>3</v>
      </c>
      <c r="S31" s="81" t="inlineStr">
        <is>
          <t>OUTROS: col C</t>
        </is>
      </c>
      <c r="T31" s="81">
        <f>IF('METAS CLIENTE'!S31="","",'METAS CLIENTE'!S31)</f>
        <v/>
      </c>
      <c r="U31" s="81">
        <f>IF($C31="EJ + CMM",COUNTIF($C$5:$C31,"EJ + CMM"),"")</f>
        <v/>
      </c>
      <c r="V31" s="81">
        <f>IF($C31="GLOBO AÇOS",COUNTIF($C$5:$C31,"GLOBO AÇOS"),"")</f>
        <v/>
      </c>
      <c r="W31" s="81">
        <f>IF($C31="A DEFINIR",COUNTIF($C$5:$C31,"A DEFINIR"),"")</f>
        <v/>
      </c>
    </row>
    <row r="32">
      <c r="A32" s="62">
        <f>'METAS CLIENTE'!A32</f>
        <v/>
      </c>
      <c r="B32" s="62">
        <f>'METAS CLIENTE'!N32</f>
        <v/>
      </c>
      <c r="C32" s="81" t="inlineStr">
        <is>
          <t>GLOBO AÇOS</t>
        </is>
      </c>
      <c r="D32" s="159">
        <f>IF('METAS CLIENTE'!B32="","",'METAS CLIENTE'!B32)</f>
        <v/>
      </c>
      <c r="E32" s="159" t="n">
        <v>0</v>
      </c>
      <c r="F32" s="159" t="n">
        <v>0</v>
      </c>
      <c r="G32" s="159">
        <f>D32</f>
        <v/>
      </c>
      <c r="H32" s="159" t="n">
        <v>0</v>
      </c>
      <c r="I32" s="81">
        <f>IF(D32="","SEM QTD",IF(N(E32)+N(F32)+N(G32)+N(H32)=D32,"OK","DIVERGE "&amp;TEXT(N(E32)+N(F32)+N(G32)+N(H32)-D32,"+0;-0")))</f>
        <v/>
      </c>
      <c r="J32" s="159">
        <f>IF('METAS CLIENTE'!E32="","",'METAS CLIENTE'!E32)</f>
        <v/>
      </c>
      <c r="K32" s="159">
        <f>IF(OR(N($D32)=0,$J32="",N(E32)=0),"",ROUND($J32*E32/$D32,2))</f>
        <v/>
      </c>
      <c r="L32" s="159">
        <f>IF(OR(N($D32)=0,$J32="",N(F32)=0),"",ROUND($J32*F32/$D32,2))</f>
        <v/>
      </c>
      <c r="M32" s="159">
        <f>IF(OR(N($D32)=0,$J32="",N(G32)=0),"",ROUND($J32*G32/$D32,2))</f>
        <v/>
      </c>
      <c r="N32" s="159">
        <f>IF(OR(N($D32)=0,$J32="",N(H32)=0),"",ROUND($J32*H32/$D32,2))</f>
        <v/>
      </c>
      <c r="O32" s="81" t="n">
        <v>0</v>
      </c>
      <c r="P32" s="81" t="n">
        <v>0</v>
      </c>
      <c r="Q32" s="81" t="n">
        <v>15</v>
      </c>
      <c r="R32" s="81" t="n">
        <v>0</v>
      </c>
      <c r="S32" s="81" t="inlineStr">
        <is>
          <t>GLOBO AÇOS: col O</t>
        </is>
      </c>
      <c r="T32" s="81">
        <f>IF('METAS CLIENTE'!S32="","",'METAS CLIENTE'!S32)</f>
        <v/>
      </c>
      <c r="U32" s="81">
        <f>IF($C32="EJ + CMM",COUNTIF($C$5:$C32,"EJ + CMM"),"")</f>
        <v/>
      </c>
      <c r="V32" s="81">
        <f>IF($C32="GLOBO AÇOS",COUNTIF($C$5:$C32,"GLOBO AÇOS"),"")</f>
        <v/>
      </c>
      <c r="W32" s="81">
        <f>IF($C32="A DEFINIR",COUNTIF($C$5:$C32,"A DEFINIR"),"")</f>
        <v/>
      </c>
    </row>
    <row r="33">
      <c r="A33" s="62">
        <f>'METAS CLIENTE'!A33</f>
        <v/>
      </c>
      <c r="B33" s="62">
        <f>'METAS CLIENTE'!N33</f>
        <v/>
      </c>
      <c r="C33" s="81" t="inlineStr">
        <is>
          <t>EJ + CMM</t>
        </is>
      </c>
      <c r="D33" s="159">
        <f>IF('METAS CLIENTE'!B33="","",'METAS CLIENTE'!B33)</f>
        <v/>
      </c>
      <c r="E33" s="199">
        <f>IF(D33="","",ROUNDUP(D33/2,0))</f>
        <v/>
      </c>
      <c r="F33" s="159">
        <f>IF(D33="","",D33-N(E33))</f>
        <v/>
      </c>
      <c r="G33" s="159" t="n">
        <v>0</v>
      </c>
      <c r="H33" s="159" t="n">
        <v>0</v>
      </c>
      <c r="I33" s="81">
        <f>IF(D33="","SEM QTD",IF(N(E33)+N(F33)+N(G33)+N(H33)=D33,"OK","DIVERGE "&amp;TEXT(N(E33)+N(F33)+N(G33)+N(H33)-D33,"+0;-0")))</f>
        <v/>
      </c>
      <c r="J33" s="159">
        <f>IF('METAS CLIENTE'!E33="","",'METAS CLIENTE'!E33)</f>
        <v/>
      </c>
      <c r="K33" s="159">
        <f>IF(OR(N($D33)=0,$J33="",N(E33)=0),"",ROUND($J33*E33/$D33,2))</f>
        <v/>
      </c>
      <c r="L33" s="159">
        <f>IF(OR(N($D33)=0,$J33="",N(F33)=0),"",ROUND($J33*F33/$D33,2))</f>
        <v/>
      </c>
      <c r="M33" s="159">
        <f>IF(OR(N($D33)=0,$J33="",N(G33)=0),"",ROUND($J33*G33/$D33,2))</f>
        <v/>
      </c>
      <c r="N33" s="159">
        <f>IF(OR(N($D33)=0,$J33="",N(H33)=0),"",ROUND($J33*H33/$D33,2))</f>
        <v/>
      </c>
      <c r="O33" s="81" t="n">
        <v>14</v>
      </c>
      <c r="P33" s="81" t="n">
        <v>14</v>
      </c>
      <c r="Q33" s="81" t="n">
        <v>0</v>
      </c>
      <c r="R33" s="81" t="n">
        <v>0</v>
      </c>
      <c r="S33" s="81" t="inlineStr">
        <is>
          <t>EJ: col N | CMM: col N</t>
        </is>
      </c>
      <c r="T33" s="81">
        <f>IF('METAS CLIENTE'!S33="","",'METAS CLIENTE'!S33)</f>
        <v/>
      </c>
      <c r="U33" s="81">
        <f>IF($C33="EJ + CMM",COUNTIF($C$5:$C33,"EJ + CMM"),"")</f>
        <v/>
      </c>
      <c r="V33" s="81">
        <f>IF($C33="GLOBO AÇOS",COUNTIF($C$5:$C33,"GLOBO AÇOS"),"")</f>
        <v/>
      </c>
      <c r="W33" s="81">
        <f>IF($C33="A DEFINIR",COUNTIF($C$5:$C33,"A DEFINIR"),"")</f>
        <v/>
      </c>
    </row>
    <row r="34">
      <c r="A34" s="62">
        <f>'METAS CLIENTE'!A34</f>
        <v/>
      </c>
      <c r="B34" s="62">
        <f>'METAS CLIENTE'!N34</f>
        <v/>
      </c>
      <c r="C34" s="81" t="inlineStr">
        <is>
          <t>GLOBO AÇOS</t>
        </is>
      </c>
      <c r="D34" s="159">
        <f>IF('METAS CLIENTE'!B34="","",'METAS CLIENTE'!B34)</f>
        <v/>
      </c>
      <c r="E34" s="159" t="n">
        <v>0</v>
      </c>
      <c r="F34" s="159" t="n">
        <v>0</v>
      </c>
      <c r="G34" s="159">
        <f>D34</f>
        <v/>
      </c>
      <c r="H34" s="159" t="n">
        <v>0</v>
      </c>
      <c r="I34" s="81">
        <f>IF(D34="","SEM QTD",IF(N(E34)+N(F34)+N(G34)+N(H34)=D34,"OK","DIVERGE "&amp;TEXT(N(E34)+N(F34)+N(G34)+N(H34)-D34,"+0;-0")))</f>
        <v/>
      </c>
      <c r="J34" s="159">
        <f>IF('METAS CLIENTE'!E34="","",'METAS CLIENTE'!E34)</f>
        <v/>
      </c>
      <c r="K34" s="159">
        <f>IF(OR(N($D34)=0,$J34="",N(E34)=0),"",ROUND($J34*E34/$D34,2))</f>
        <v/>
      </c>
      <c r="L34" s="159">
        <f>IF(OR(N($D34)=0,$J34="",N(F34)=0),"",ROUND($J34*F34/$D34,2))</f>
        <v/>
      </c>
      <c r="M34" s="159">
        <f>IF(OR(N($D34)=0,$J34="",N(G34)=0),"",ROUND($J34*G34/$D34,2))</f>
        <v/>
      </c>
      <c r="N34" s="159">
        <f>IF(OR(N($D34)=0,$J34="",N(H34)=0),"",ROUND($J34*H34/$D34,2))</f>
        <v/>
      </c>
      <c r="O34" s="81" t="n">
        <v>0</v>
      </c>
      <c r="P34" s="81" t="n">
        <v>0</v>
      </c>
      <c r="Q34" s="81" t="n">
        <v>16</v>
      </c>
      <c r="R34" s="81" t="n">
        <v>0</v>
      </c>
      <c r="S34" s="81" t="inlineStr">
        <is>
          <t>GLOBO AÇOS: col P</t>
        </is>
      </c>
      <c r="T34" s="81">
        <f>IF('METAS CLIENTE'!S34="","",'METAS CLIENTE'!S34)</f>
        <v/>
      </c>
      <c r="U34" s="81">
        <f>IF($C34="EJ + CMM",COUNTIF($C$5:$C34,"EJ + CMM"),"")</f>
        <v/>
      </c>
      <c r="V34" s="81">
        <f>IF($C34="GLOBO AÇOS",COUNTIF($C$5:$C34,"GLOBO AÇOS"),"")</f>
        <v/>
      </c>
      <c r="W34" s="81">
        <f>IF($C34="A DEFINIR",COUNTIF($C$5:$C34,"A DEFINIR"),"")</f>
        <v/>
      </c>
    </row>
    <row r="35">
      <c r="A35" s="62">
        <f>'METAS CLIENTE'!A35</f>
        <v/>
      </c>
      <c r="B35" s="62">
        <f>'METAS CLIENTE'!N35</f>
        <v/>
      </c>
      <c r="C35" s="81" t="inlineStr">
        <is>
          <t>GLOBO AÇOS</t>
        </is>
      </c>
      <c r="D35" s="159">
        <f>IF('METAS CLIENTE'!B35="","",'METAS CLIENTE'!B35)</f>
        <v/>
      </c>
      <c r="E35" s="159" t="n">
        <v>0</v>
      </c>
      <c r="F35" s="159" t="n">
        <v>0</v>
      </c>
      <c r="G35" s="159">
        <f>D35</f>
        <v/>
      </c>
      <c r="H35" s="159" t="n">
        <v>0</v>
      </c>
      <c r="I35" s="81">
        <f>IF(D35="","SEM QTD",IF(N(E35)+N(F35)+N(G35)+N(H35)=D35,"OK","DIVERGE "&amp;TEXT(N(E35)+N(F35)+N(G35)+N(H35)-D35,"+0;-0")))</f>
        <v/>
      </c>
      <c r="J35" s="159">
        <f>IF('METAS CLIENTE'!E35="","",'METAS CLIENTE'!E35)</f>
        <v/>
      </c>
      <c r="K35" s="159">
        <f>IF(OR(N($D35)=0,$J35="",N(E35)=0),"",ROUND($J35*E35/$D35,2))</f>
        <v/>
      </c>
      <c r="L35" s="159">
        <f>IF(OR(N($D35)=0,$J35="",N(F35)=0),"",ROUND($J35*F35/$D35,2))</f>
        <v/>
      </c>
      <c r="M35" s="159">
        <f>IF(OR(N($D35)=0,$J35="",N(G35)=0),"",ROUND($J35*G35/$D35,2))</f>
        <v/>
      </c>
      <c r="N35" s="159">
        <f>IF(OR(N($D35)=0,$J35="",N(H35)=0),"",ROUND($J35*H35/$D35,2))</f>
        <v/>
      </c>
      <c r="O35" s="81" t="n">
        <v>0</v>
      </c>
      <c r="P35" s="81" t="n">
        <v>0</v>
      </c>
      <c r="Q35" s="81" t="n">
        <v>17</v>
      </c>
      <c r="R35" s="81" t="n">
        <v>0</v>
      </c>
      <c r="S35" s="81" t="inlineStr">
        <is>
          <t>GLOBO AÇOS: col Q</t>
        </is>
      </c>
      <c r="T35" s="81">
        <f>IF('METAS CLIENTE'!S35="","",'METAS CLIENTE'!S35)</f>
        <v/>
      </c>
      <c r="U35" s="81">
        <f>IF($C35="EJ + CMM",COUNTIF($C$5:$C35,"EJ + CMM"),"")</f>
        <v/>
      </c>
      <c r="V35" s="81">
        <f>IF($C35="GLOBO AÇOS",COUNTIF($C$5:$C35,"GLOBO AÇOS"),"")</f>
        <v/>
      </c>
      <c r="W35" s="81">
        <f>IF($C35="A DEFINIR",COUNTIF($C$5:$C35,"A DEFINIR"),"")</f>
        <v/>
      </c>
    </row>
    <row r="36">
      <c r="A36" s="62">
        <f>'METAS CLIENTE'!A36</f>
        <v/>
      </c>
      <c r="B36" s="62">
        <f>'METAS CLIENTE'!N36</f>
        <v/>
      </c>
      <c r="C36" s="81" t="inlineStr">
        <is>
          <t>GLOBO AÇOS</t>
        </is>
      </c>
      <c r="D36" s="159">
        <f>IF('METAS CLIENTE'!B36="","",'METAS CLIENTE'!B36)</f>
        <v/>
      </c>
      <c r="E36" s="159" t="n">
        <v>0</v>
      </c>
      <c r="F36" s="159" t="n">
        <v>0</v>
      </c>
      <c r="G36" s="159">
        <f>D36</f>
        <v/>
      </c>
      <c r="H36" s="159" t="n">
        <v>0</v>
      </c>
      <c r="I36" s="81">
        <f>IF(D36="","SEM QTD",IF(N(E36)+N(F36)+N(G36)+N(H36)=D36,"OK","DIVERGE "&amp;TEXT(N(E36)+N(F36)+N(G36)+N(H36)-D36,"+0;-0")))</f>
        <v/>
      </c>
      <c r="J36" s="159">
        <f>IF('METAS CLIENTE'!E36="","",'METAS CLIENTE'!E36)</f>
        <v/>
      </c>
      <c r="K36" s="159">
        <f>IF(OR(N($D36)=0,$J36="",N(E36)=0),"",ROUND($J36*E36/$D36,2))</f>
        <v/>
      </c>
      <c r="L36" s="159">
        <f>IF(OR(N($D36)=0,$J36="",N(F36)=0),"",ROUND($J36*F36/$D36,2))</f>
        <v/>
      </c>
      <c r="M36" s="159">
        <f>IF(OR(N($D36)=0,$J36="",N(G36)=0),"",ROUND($J36*G36/$D36,2))</f>
        <v/>
      </c>
      <c r="N36" s="159">
        <f>IF(OR(N($D36)=0,$J36="",N(H36)=0),"",ROUND($J36*H36/$D36,2))</f>
        <v/>
      </c>
      <c r="O36" s="81" t="n">
        <v>0</v>
      </c>
      <c r="P36" s="81" t="n">
        <v>0</v>
      </c>
      <c r="Q36" s="81" t="n">
        <v>18</v>
      </c>
      <c r="R36" s="81" t="n">
        <v>0</v>
      </c>
      <c r="S36" s="81" t="inlineStr">
        <is>
          <t>GLOBO AÇOS: col R</t>
        </is>
      </c>
      <c r="T36" s="81">
        <f>IF('METAS CLIENTE'!S36="","",'METAS CLIENTE'!S36)</f>
        <v/>
      </c>
      <c r="U36" s="81">
        <f>IF($C36="EJ + CMM",COUNTIF($C$5:$C36,"EJ + CMM"),"")</f>
        <v/>
      </c>
      <c r="V36" s="81">
        <f>IF($C36="GLOBO AÇOS",COUNTIF($C$5:$C36,"GLOBO AÇOS"),"")</f>
        <v/>
      </c>
      <c r="W36" s="81">
        <f>IF($C36="A DEFINIR",COUNTIF($C$5:$C36,"A DEFINIR"),"")</f>
        <v/>
      </c>
    </row>
    <row r="37">
      <c r="A37" s="62">
        <f>'METAS CLIENTE'!A37</f>
        <v/>
      </c>
      <c r="B37" s="62">
        <f>'METAS CLIENTE'!N37</f>
        <v/>
      </c>
      <c r="C37" s="81" t="inlineStr">
        <is>
          <t>EJ + CMM</t>
        </is>
      </c>
      <c r="D37" s="159">
        <f>IF('METAS CLIENTE'!B37="","",'METAS CLIENTE'!B37)</f>
        <v/>
      </c>
      <c r="E37" s="199">
        <f>IF(D37="","",ROUNDUP(D37/2,0))</f>
        <v/>
      </c>
      <c r="F37" s="159">
        <f>IF(D37="","",D37-N(E37))</f>
        <v/>
      </c>
      <c r="G37" s="159" t="n">
        <v>0</v>
      </c>
      <c r="H37" s="159" t="n">
        <v>0</v>
      </c>
      <c r="I37" s="81">
        <f>IF(D37="","SEM QTD",IF(N(E37)+N(F37)+N(G37)+N(H37)=D37,"OK","DIVERGE "&amp;TEXT(N(E37)+N(F37)+N(G37)+N(H37)-D37,"+0;-0")))</f>
        <v/>
      </c>
      <c r="J37" s="159">
        <f>IF('METAS CLIENTE'!E37="","",'METAS CLIENTE'!E37)</f>
        <v/>
      </c>
      <c r="K37" s="159">
        <f>IF(OR(N($D37)=0,$J37="",N(E37)=0),"",ROUND($J37*E37/$D37,2))</f>
        <v/>
      </c>
      <c r="L37" s="159">
        <f>IF(OR(N($D37)=0,$J37="",N(F37)=0),"",ROUND($J37*F37/$D37,2))</f>
        <v/>
      </c>
      <c r="M37" s="159">
        <f>IF(OR(N($D37)=0,$J37="",N(G37)=0),"",ROUND($J37*G37/$D37,2))</f>
        <v/>
      </c>
      <c r="N37" s="159">
        <f>IF(OR(N($D37)=0,$J37="",N(H37)=0),"",ROUND($J37*H37/$D37,2))</f>
        <v/>
      </c>
      <c r="O37" s="81" t="n">
        <v>15</v>
      </c>
      <c r="P37" s="81" t="n">
        <v>15</v>
      </c>
      <c r="Q37" s="81" t="n">
        <v>0</v>
      </c>
      <c r="R37" s="81" t="n">
        <v>0</v>
      </c>
      <c r="S37" s="81" t="inlineStr">
        <is>
          <t>EJ: col O | CMM: col O</t>
        </is>
      </c>
      <c r="T37" s="81">
        <f>IF('METAS CLIENTE'!S37="","",'METAS CLIENTE'!S37)</f>
        <v/>
      </c>
      <c r="U37" s="81">
        <f>IF($C37="EJ + CMM",COUNTIF($C$5:$C37,"EJ + CMM"),"")</f>
        <v/>
      </c>
      <c r="V37" s="81">
        <f>IF($C37="GLOBO AÇOS",COUNTIF($C$5:$C37,"GLOBO AÇOS"),"")</f>
        <v/>
      </c>
      <c r="W37" s="81">
        <f>IF($C37="A DEFINIR",COUNTIF($C$5:$C37,"A DEFINIR"),"")</f>
        <v/>
      </c>
    </row>
    <row r="38">
      <c r="A38" s="62">
        <f>'METAS CLIENTE'!A38</f>
        <v/>
      </c>
      <c r="B38" s="62">
        <f>'METAS CLIENTE'!N38</f>
        <v/>
      </c>
      <c r="C38" s="81" t="inlineStr">
        <is>
          <t>GLOBO AÇOS</t>
        </is>
      </c>
      <c r="D38" s="159">
        <f>IF('METAS CLIENTE'!B38="","",'METAS CLIENTE'!B38)</f>
        <v/>
      </c>
      <c r="E38" s="159" t="n">
        <v>0</v>
      </c>
      <c r="F38" s="159" t="n">
        <v>0</v>
      </c>
      <c r="G38" s="159">
        <f>D38</f>
        <v/>
      </c>
      <c r="H38" s="159" t="n">
        <v>0</v>
      </c>
      <c r="I38" s="81">
        <f>IF(D38="","SEM QTD",IF(N(E38)+N(F38)+N(G38)+N(H38)=D38,"OK","DIVERGE "&amp;TEXT(N(E38)+N(F38)+N(G38)+N(H38)-D38,"+0;-0")))</f>
        <v/>
      </c>
      <c r="J38" s="159">
        <f>IF('METAS CLIENTE'!E38="","",'METAS CLIENTE'!E38)</f>
        <v/>
      </c>
      <c r="K38" s="159">
        <f>IF(OR(N($D38)=0,$J38="",N(E38)=0),"",ROUND($J38*E38/$D38,2))</f>
        <v/>
      </c>
      <c r="L38" s="159">
        <f>IF(OR(N($D38)=0,$J38="",N(F38)=0),"",ROUND($J38*F38/$D38,2))</f>
        <v/>
      </c>
      <c r="M38" s="159">
        <f>IF(OR(N($D38)=0,$J38="",N(G38)=0),"",ROUND($J38*G38/$D38,2))</f>
        <v/>
      </c>
      <c r="N38" s="159">
        <f>IF(OR(N($D38)=0,$J38="",N(H38)=0),"",ROUND($J38*H38/$D38,2))</f>
        <v/>
      </c>
      <c r="O38" s="81" t="n">
        <v>0</v>
      </c>
      <c r="P38" s="81" t="n">
        <v>0</v>
      </c>
      <c r="Q38" s="81" t="n">
        <v>19</v>
      </c>
      <c r="R38" s="81" t="n">
        <v>0</v>
      </c>
      <c r="S38" s="81" t="inlineStr">
        <is>
          <t>GLOBO AÇOS: col S</t>
        </is>
      </c>
      <c r="T38" s="81">
        <f>IF('METAS CLIENTE'!S38="","",'METAS CLIENTE'!S38)</f>
        <v/>
      </c>
      <c r="U38" s="81">
        <f>IF($C38="EJ + CMM",COUNTIF($C$5:$C38,"EJ + CMM"),"")</f>
        <v/>
      </c>
      <c r="V38" s="81">
        <f>IF($C38="GLOBO AÇOS",COUNTIF($C$5:$C38,"GLOBO AÇOS"),"")</f>
        <v/>
      </c>
      <c r="W38" s="81">
        <f>IF($C38="A DEFINIR",COUNTIF($C$5:$C38,"A DEFINIR"),"")</f>
        <v/>
      </c>
    </row>
    <row r="39">
      <c r="A39" s="62">
        <f>'METAS CLIENTE'!A39</f>
        <v/>
      </c>
      <c r="B39" s="62">
        <f>'METAS CLIENTE'!N39</f>
        <v/>
      </c>
      <c r="C39" s="81" t="inlineStr">
        <is>
          <t>GLOBO AÇOS</t>
        </is>
      </c>
      <c r="D39" s="159">
        <f>IF('METAS CLIENTE'!B39="","",'METAS CLIENTE'!B39)</f>
        <v/>
      </c>
      <c r="E39" s="159" t="n">
        <v>0</v>
      </c>
      <c r="F39" s="159" t="n">
        <v>0</v>
      </c>
      <c r="G39" s="159">
        <f>D39</f>
        <v/>
      </c>
      <c r="H39" s="159" t="n">
        <v>0</v>
      </c>
      <c r="I39" s="81">
        <f>IF(D39="","SEM QTD",IF(N(E39)+N(F39)+N(G39)+N(H39)=D39,"OK","DIVERGE "&amp;TEXT(N(E39)+N(F39)+N(G39)+N(H39)-D39,"+0;-0")))</f>
        <v/>
      </c>
      <c r="J39" s="159">
        <f>IF('METAS CLIENTE'!E39="","",'METAS CLIENTE'!E39)</f>
        <v/>
      </c>
      <c r="K39" s="159">
        <f>IF(OR(N($D39)=0,$J39="",N(E39)=0),"",ROUND($J39*E39/$D39,2))</f>
        <v/>
      </c>
      <c r="L39" s="159">
        <f>IF(OR(N($D39)=0,$J39="",N(F39)=0),"",ROUND($J39*F39/$D39,2))</f>
        <v/>
      </c>
      <c r="M39" s="159">
        <f>IF(OR(N($D39)=0,$J39="",N(G39)=0),"",ROUND($J39*G39/$D39,2))</f>
        <v/>
      </c>
      <c r="N39" s="159">
        <f>IF(OR(N($D39)=0,$J39="",N(H39)=0),"",ROUND($J39*H39/$D39,2))</f>
        <v/>
      </c>
      <c r="O39" s="81" t="n">
        <v>0</v>
      </c>
      <c r="P39" s="81" t="n">
        <v>0</v>
      </c>
      <c r="Q39" s="81" t="n">
        <v>20</v>
      </c>
      <c r="R39" s="81" t="n">
        <v>0</v>
      </c>
      <c r="S39" s="81" t="inlineStr">
        <is>
          <t>GLOBO AÇOS: col T</t>
        </is>
      </c>
      <c r="T39" s="81">
        <f>IF('METAS CLIENTE'!S39="","",'METAS CLIENTE'!S39)</f>
        <v/>
      </c>
      <c r="U39" s="81">
        <f>IF($C39="EJ + CMM",COUNTIF($C$5:$C39,"EJ + CMM"),"")</f>
        <v/>
      </c>
      <c r="V39" s="81">
        <f>IF($C39="GLOBO AÇOS",COUNTIF($C$5:$C39,"GLOBO AÇOS"),"")</f>
        <v/>
      </c>
      <c r="W39" s="81">
        <f>IF($C39="A DEFINIR",COUNTIF($C$5:$C39,"A DEFINIR"),"")</f>
        <v/>
      </c>
    </row>
    <row r="40">
      <c r="A40" s="62">
        <f>'METAS CLIENTE'!A40</f>
        <v/>
      </c>
      <c r="B40" s="62">
        <f>'METAS CLIENTE'!N40</f>
        <v/>
      </c>
      <c r="C40" s="81" t="inlineStr">
        <is>
          <t>GLOBO AÇOS</t>
        </is>
      </c>
      <c r="D40" s="159">
        <f>IF('METAS CLIENTE'!B40="","",'METAS CLIENTE'!B40)</f>
        <v/>
      </c>
      <c r="E40" s="159" t="n">
        <v>0</v>
      </c>
      <c r="F40" s="159" t="n">
        <v>0</v>
      </c>
      <c r="G40" s="159">
        <f>D40</f>
        <v/>
      </c>
      <c r="H40" s="159" t="n">
        <v>0</v>
      </c>
      <c r="I40" s="81">
        <f>IF(D40="","SEM QTD",IF(N(E40)+N(F40)+N(G40)+N(H40)=D40,"OK","DIVERGE "&amp;TEXT(N(E40)+N(F40)+N(G40)+N(H40)-D40,"+0;-0")))</f>
        <v/>
      </c>
      <c r="J40" s="159">
        <f>IF('METAS CLIENTE'!E40="","",'METAS CLIENTE'!E40)</f>
        <v/>
      </c>
      <c r="K40" s="159">
        <f>IF(OR(N($D40)=0,$J40="",N(E40)=0),"",ROUND($J40*E40/$D40,2))</f>
        <v/>
      </c>
      <c r="L40" s="159">
        <f>IF(OR(N($D40)=0,$J40="",N(F40)=0),"",ROUND($J40*F40/$D40,2))</f>
        <v/>
      </c>
      <c r="M40" s="159">
        <f>IF(OR(N($D40)=0,$J40="",N(G40)=0),"",ROUND($J40*G40/$D40,2))</f>
        <v/>
      </c>
      <c r="N40" s="159">
        <f>IF(OR(N($D40)=0,$J40="",N(H40)=0),"",ROUND($J40*H40/$D40,2))</f>
        <v/>
      </c>
      <c r="O40" s="81" t="n">
        <v>0</v>
      </c>
      <c r="P40" s="81" t="n">
        <v>0</v>
      </c>
      <c r="Q40" s="81" t="n">
        <v>21</v>
      </c>
      <c r="R40" s="81" t="n">
        <v>0</v>
      </c>
      <c r="S40" s="81" t="inlineStr">
        <is>
          <t>GLOBO AÇOS: col U</t>
        </is>
      </c>
      <c r="T40" s="81">
        <f>IF('METAS CLIENTE'!S40="","",'METAS CLIENTE'!S40)</f>
        <v/>
      </c>
      <c r="U40" s="81">
        <f>IF($C40="EJ + CMM",COUNTIF($C$5:$C40,"EJ + CMM"),"")</f>
        <v/>
      </c>
      <c r="V40" s="81">
        <f>IF($C40="GLOBO AÇOS",COUNTIF($C$5:$C40,"GLOBO AÇOS"),"")</f>
        <v/>
      </c>
      <c r="W40" s="81">
        <f>IF($C40="A DEFINIR",COUNTIF($C$5:$C40,"A DEFINIR"),"")</f>
        <v/>
      </c>
    </row>
    <row r="41">
      <c r="A41" s="62">
        <f>'METAS CLIENTE'!A41</f>
        <v/>
      </c>
      <c r="B41" s="62">
        <f>'METAS CLIENTE'!N41</f>
        <v/>
      </c>
      <c r="C41" s="81" t="inlineStr">
        <is>
          <t>EJ + CMM</t>
        </is>
      </c>
      <c r="D41" s="159">
        <f>IF('METAS CLIENTE'!B41="","",'METAS CLIENTE'!B41)</f>
        <v/>
      </c>
      <c r="E41" s="199">
        <f>IF(D41="","",ROUNDUP(D41/2,0))</f>
        <v/>
      </c>
      <c r="F41" s="159">
        <f>IF(D41="","",D41-N(E41))</f>
        <v/>
      </c>
      <c r="G41" s="159" t="n">
        <v>0</v>
      </c>
      <c r="H41" s="159" t="n">
        <v>0</v>
      </c>
      <c r="I41" s="81">
        <f>IF(D41="","SEM QTD",IF(N(E41)+N(F41)+N(G41)+N(H41)=D41,"OK","DIVERGE "&amp;TEXT(N(E41)+N(F41)+N(G41)+N(H41)-D41,"+0;-0")))</f>
        <v/>
      </c>
      <c r="J41" s="159">
        <f>IF('METAS CLIENTE'!E41="","",'METAS CLIENTE'!E41)</f>
        <v/>
      </c>
      <c r="K41" s="159">
        <f>IF(OR(N($D41)=0,$J41="",N(E41)=0),"",ROUND($J41*E41/$D41,2))</f>
        <v/>
      </c>
      <c r="L41" s="159">
        <f>IF(OR(N($D41)=0,$J41="",N(F41)=0),"",ROUND($J41*F41/$D41,2))</f>
        <v/>
      </c>
      <c r="M41" s="159">
        <f>IF(OR(N($D41)=0,$J41="",N(G41)=0),"",ROUND($J41*G41/$D41,2))</f>
        <v/>
      </c>
      <c r="N41" s="159">
        <f>IF(OR(N($D41)=0,$J41="",N(H41)=0),"",ROUND($J41*H41/$D41,2))</f>
        <v/>
      </c>
      <c r="O41" s="81" t="n">
        <v>16</v>
      </c>
      <c r="P41" s="81" t="n">
        <v>16</v>
      </c>
      <c r="Q41" s="81" t="n">
        <v>0</v>
      </c>
      <c r="R41" s="81" t="n">
        <v>0</v>
      </c>
      <c r="S41" s="81" t="inlineStr">
        <is>
          <t>EJ: col P | CMM: col P</t>
        </is>
      </c>
      <c r="T41" s="81">
        <f>IF('METAS CLIENTE'!S41="","",'METAS CLIENTE'!S41)</f>
        <v/>
      </c>
      <c r="U41" s="81">
        <f>IF($C41="EJ + CMM",COUNTIF($C$5:$C41,"EJ + CMM"),"")</f>
        <v/>
      </c>
      <c r="V41" s="81">
        <f>IF($C41="GLOBO AÇOS",COUNTIF($C$5:$C41,"GLOBO AÇOS"),"")</f>
        <v/>
      </c>
      <c r="W41" s="81">
        <f>IF($C41="A DEFINIR",COUNTIF($C$5:$C41,"A DEFINIR"),"")</f>
        <v/>
      </c>
    </row>
    <row r="42">
      <c r="A42" s="62">
        <f>'METAS CLIENTE'!A42</f>
        <v/>
      </c>
      <c r="B42" s="62">
        <f>'METAS CLIENTE'!N42</f>
        <v/>
      </c>
      <c r="C42" s="81" t="inlineStr">
        <is>
          <t>EJ + CMM</t>
        </is>
      </c>
      <c r="D42" s="159">
        <f>IF('METAS CLIENTE'!B42="","",'METAS CLIENTE'!B42)</f>
        <v/>
      </c>
      <c r="E42" s="199">
        <f>IF(D42="","",ROUNDUP(D42/2,0))</f>
        <v/>
      </c>
      <c r="F42" s="159">
        <f>IF(D42="","",D42-N(E42))</f>
        <v/>
      </c>
      <c r="G42" s="159" t="n">
        <v>0</v>
      </c>
      <c r="H42" s="159" t="n">
        <v>0</v>
      </c>
      <c r="I42" s="81">
        <f>IF(D42="","SEM QTD",IF(N(E42)+N(F42)+N(G42)+N(H42)=D42,"OK","DIVERGE "&amp;TEXT(N(E42)+N(F42)+N(G42)+N(H42)-D42,"+0;-0")))</f>
        <v/>
      </c>
      <c r="J42" s="159">
        <f>IF('METAS CLIENTE'!E42="","",'METAS CLIENTE'!E42)</f>
        <v/>
      </c>
      <c r="K42" s="159">
        <f>IF(OR(N($D42)=0,$J42="",N(E42)=0),"",ROUND($J42*E42/$D42,2))</f>
        <v/>
      </c>
      <c r="L42" s="159">
        <f>IF(OR(N($D42)=0,$J42="",N(F42)=0),"",ROUND($J42*F42/$D42,2))</f>
        <v/>
      </c>
      <c r="M42" s="159">
        <f>IF(OR(N($D42)=0,$J42="",N(G42)=0),"",ROUND($J42*G42/$D42,2))</f>
        <v/>
      </c>
      <c r="N42" s="159">
        <f>IF(OR(N($D42)=0,$J42="",N(H42)=0),"",ROUND($J42*H42/$D42,2))</f>
        <v/>
      </c>
      <c r="O42" s="81" t="n">
        <v>17</v>
      </c>
      <c r="P42" s="81" t="n">
        <v>17</v>
      </c>
      <c r="Q42" s="81" t="n">
        <v>0</v>
      </c>
      <c r="R42" s="81" t="n">
        <v>0</v>
      </c>
      <c r="S42" s="81" t="inlineStr">
        <is>
          <t>EJ: col Q | CMM: col Q</t>
        </is>
      </c>
      <c r="T42" s="81">
        <f>IF('METAS CLIENTE'!S42="","",'METAS CLIENTE'!S42)</f>
        <v/>
      </c>
      <c r="U42" s="81">
        <f>IF($C42="EJ + CMM",COUNTIF($C$5:$C42,"EJ + CMM"),"")</f>
        <v/>
      </c>
      <c r="V42" s="81">
        <f>IF($C42="GLOBO AÇOS",COUNTIF($C$5:$C42,"GLOBO AÇOS"),"")</f>
        <v/>
      </c>
      <c r="W42" s="81">
        <f>IF($C42="A DEFINIR",COUNTIF($C$5:$C42,"A DEFINIR"),"")</f>
        <v/>
      </c>
    </row>
    <row r="43">
      <c r="A43" s="62">
        <f>'METAS CLIENTE'!A43</f>
        <v/>
      </c>
      <c r="B43" s="62">
        <f>'METAS CLIENTE'!N43</f>
        <v/>
      </c>
      <c r="C43" s="81" t="inlineStr">
        <is>
          <t>GLOBO AÇOS</t>
        </is>
      </c>
      <c r="D43" s="159">
        <f>IF('METAS CLIENTE'!B43="","",'METAS CLIENTE'!B43)</f>
        <v/>
      </c>
      <c r="E43" s="159" t="n">
        <v>0</v>
      </c>
      <c r="F43" s="159" t="n">
        <v>0</v>
      </c>
      <c r="G43" s="159">
        <f>D43</f>
        <v/>
      </c>
      <c r="H43" s="159" t="n">
        <v>0</v>
      </c>
      <c r="I43" s="81">
        <f>IF(D43="","SEM QTD",IF(N(E43)+N(F43)+N(G43)+N(H43)=D43,"OK","DIVERGE "&amp;TEXT(N(E43)+N(F43)+N(G43)+N(H43)-D43,"+0;-0")))</f>
        <v/>
      </c>
      <c r="J43" s="159">
        <f>IF('METAS CLIENTE'!E43="","",'METAS CLIENTE'!E43)</f>
        <v/>
      </c>
      <c r="K43" s="159">
        <f>IF(OR(N($D43)=0,$J43="",N(E43)=0),"",ROUND($J43*E43/$D43,2))</f>
        <v/>
      </c>
      <c r="L43" s="159">
        <f>IF(OR(N($D43)=0,$J43="",N(F43)=0),"",ROUND($J43*F43/$D43,2))</f>
        <v/>
      </c>
      <c r="M43" s="159">
        <f>IF(OR(N($D43)=0,$J43="",N(G43)=0),"",ROUND($J43*G43/$D43,2))</f>
        <v/>
      </c>
      <c r="N43" s="159">
        <f>IF(OR(N($D43)=0,$J43="",N(H43)=0),"",ROUND($J43*H43/$D43,2))</f>
        <v/>
      </c>
      <c r="O43" s="81" t="n">
        <v>0</v>
      </c>
      <c r="P43" s="81" t="n">
        <v>0</v>
      </c>
      <c r="Q43" s="81" t="n">
        <v>22</v>
      </c>
      <c r="R43" s="81" t="n">
        <v>0</v>
      </c>
      <c r="S43" s="81" t="inlineStr">
        <is>
          <t>GLOBO AÇOS: col V</t>
        </is>
      </c>
      <c r="T43" s="81">
        <f>IF('METAS CLIENTE'!S43="","",'METAS CLIENTE'!S43)</f>
        <v/>
      </c>
      <c r="U43" s="81">
        <f>IF($C43="EJ + CMM",COUNTIF($C$5:$C43,"EJ + CMM"),"")</f>
        <v/>
      </c>
      <c r="V43" s="81">
        <f>IF($C43="GLOBO AÇOS",COUNTIF($C$5:$C43,"GLOBO AÇOS"),"")</f>
        <v/>
      </c>
      <c r="W43" s="81">
        <f>IF($C43="A DEFINIR",COUNTIF($C$5:$C43,"A DEFINIR"),"")</f>
        <v/>
      </c>
    </row>
    <row r="44">
      <c r="A44" s="62">
        <f>'METAS CLIENTE'!A44</f>
        <v/>
      </c>
      <c r="B44" s="62">
        <f>'METAS CLIENTE'!N44</f>
        <v/>
      </c>
      <c r="C44" s="81" t="inlineStr">
        <is>
          <t>GLOBO AÇOS</t>
        </is>
      </c>
      <c r="D44" s="159">
        <f>IF('METAS CLIENTE'!B44="","",'METAS CLIENTE'!B44)</f>
        <v/>
      </c>
      <c r="E44" s="159" t="n">
        <v>0</v>
      </c>
      <c r="F44" s="159" t="n">
        <v>0</v>
      </c>
      <c r="G44" s="159">
        <f>D44</f>
        <v/>
      </c>
      <c r="H44" s="159" t="n">
        <v>0</v>
      </c>
      <c r="I44" s="81">
        <f>IF(D44="","SEM QTD",IF(N(E44)+N(F44)+N(G44)+N(H44)=D44,"OK","DIVERGE "&amp;TEXT(N(E44)+N(F44)+N(G44)+N(H44)-D44,"+0;-0")))</f>
        <v/>
      </c>
      <c r="J44" s="159">
        <f>IF('METAS CLIENTE'!E44="","",'METAS CLIENTE'!E44)</f>
        <v/>
      </c>
      <c r="K44" s="159">
        <f>IF(OR(N($D44)=0,$J44="",N(E44)=0),"",ROUND($J44*E44/$D44,2))</f>
        <v/>
      </c>
      <c r="L44" s="159">
        <f>IF(OR(N($D44)=0,$J44="",N(F44)=0),"",ROUND($J44*F44/$D44,2))</f>
        <v/>
      </c>
      <c r="M44" s="159">
        <f>IF(OR(N($D44)=0,$J44="",N(G44)=0),"",ROUND($J44*G44/$D44,2))</f>
        <v/>
      </c>
      <c r="N44" s="159">
        <f>IF(OR(N($D44)=0,$J44="",N(H44)=0),"",ROUND($J44*H44/$D44,2))</f>
        <v/>
      </c>
      <c r="O44" s="81" t="n">
        <v>0</v>
      </c>
      <c r="P44" s="81" t="n">
        <v>0</v>
      </c>
      <c r="Q44" s="81" t="n">
        <v>23</v>
      </c>
      <c r="R44" s="81" t="n">
        <v>0</v>
      </c>
      <c r="S44" s="81" t="inlineStr">
        <is>
          <t>GLOBO AÇOS: col W</t>
        </is>
      </c>
      <c r="T44" s="81">
        <f>IF('METAS CLIENTE'!S44="","",'METAS CLIENTE'!S44)</f>
        <v/>
      </c>
      <c r="U44" s="81">
        <f>IF($C44="EJ + CMM",COUNTIF($C$5:$C44,"EJ + CMM"),"")</f>
        <v/>
      </c>
      <c r="V44" s="81">
        <f>IF($C44="GLOBO AÇOS",COUNTIF($C$5:$C44,"GLOBO AÇOS"),"")</f>
        <v/>
      </c>
      <c r="W44" s="81">
        <f>IF($C44="A DEFINIR",COUNTIF($C$5:$C44,"A DEFINIR"),"")</f>
        <v/>
      </c>
    </row>
    <row r="45">
      <c r="A45" s="62">
        <f>'METAS CLIENTE'!A45</f>
        <v/>
      </c>
      <c r="B45" s="62">
        <f>'METAS CLIENTE'!N45</f>
        <v/>
      </c>
      <c r="C45" s="81" t="inlineStr">
        <is>
          <t>EJ + CMM</t>
        </is>
      </c>
      <c r="D45" s="159">
        <f>IF('METAS CLIENTE'!B45="","",'METAS CLIENTE'!B45)</f>
        <v/>
      </c>
      <c r="E45" s="199">
        <f>IF(D45="","",ROUNDUP(D45/2,0))</f>
        <v/>
      </c>
      <c r="F45" s="159">
        <f>IF(D45="","",D45-N(E45))</f>
        <v/>
      </c>
      <c r="G45" s="159" t="n">
        <v>0</v>
      </c>
      <c r="H45" s="159" t="n">
        <v>0</v>
      </c>
      <c r="I45" s="81">
        <f>IF(D45="","SEM QTD",IF(N(E45)+N(F45)+N(G45)+N(H45)=D45,"OK","DIVERGE "&amp;TEXT(N(E45)+N(F45)+N(G45)+N(H45)-D45,"+0;-0")))</f>
        <v/>
      </c>
      <c r="J45" s="159">
        <f>IF('METAS CLIENTE'!E45="","",'METAS CLIENTE'!E45)</f>
        <v/>
      </c>
      <c r="K45" s="159">
        <f>IF(OR(N($D45)=0,$J45="",N(E45)=0),"",ROUND($J45*E45/$D45,2))</f>
        <v/>
      </c>
      <c r="L45" s="159">
        <f>IF(OR(N($D45)=0,$J45="",N(F45)=0),"",ROUND($J45*F45/$D45,2))</f>
        <v/>
      </c>
      <c r="M45" s="159">
        <f>IF(OR(N($D45)=0,$J45="",N(G45)=0),"",ROUND($J45*G45/$D45,2))</f>
        <v/>
      </c>
      <c r="N45" s="159">
        <f>IF(OR(N($D45)=0,$J45="",N(H45)=0),"",ROUND($J45*H45/$D45,2))</f>
        <v/>
      </c>
      <c r="O45" s="81" t="n">
        <v>18</v>
      </c>
      <c r="P45" s="81" t="n">
        <v>18</v>
      </c>
      <c r="Q45" s="81" t="n">
        <v>0</v>
      </c>
      <c r="R45" s="81" t="n">
        <v>0</v>
      </c>
      <c r="S45" s="81" t="inlineStr">
        <is>
          <t>EJ: col R | CMM: col R</t>
        </is>
      </c>
      <c r="T45" s="81">
        <f>IF('METAS CLIENTE'!S45="","",'METAS CLIENTE'!S45)</f>
        <v/>
      </c>
      <c r="U45" s="81">
        <f>IF($C45="EJ + CMM",COUNTIF($C$5:$C45,"EJ + CMM"),"")</f>
        <v/>
      </c>
      <c r="V45" s="81">
        <f>IF($C45="GLOBO AÇOS",COUNTIF($C$5:$C45,"GLOBO AÇOS"),"")</f>
        <v/>
      </c>
      <c r="W45" s="81">
        <f>IF($C45="A DEFINIR",COUNTIF($C$5:$C45,"A DEFINIR"),"")</f>
        <v/>
      </c>
    </row>
    <row r="46">
      <c r="A46" s="62">
        <f>'METAS CLIENTE'!A46</f>
        <v/>
      </c>
      <c r="B46" s="62">
        <f>'METAS CLIENTE'!N46</f>
        <v/>
      </c>
      <c r="C46" s="81" t="inlineStr">
        <is>
          <t>A DEFINIR</t>
        </is>
      </c>
      <c r="D46" s="159">
        <f>IF('METAS CLIENTE'!B46="","",'METAS CLIENTE'!B46)</f>
        <v/>
      </c>
      <c r="E46" s="159" t="n">
        <v>0</v>
      </c>
      <c r="F46" s="159" t="n">
        <v>0</v>
      </c>
      <c r="G46" s="159" t="n">
        <v>0</v>
      </c>
      <c r="H46" s="159">
        <f>D46</f>
        <v/>
      </c>
      <c r="I46" s="81">
        <f>IF(D46="","SEM QTD",IF(N(E46)+N(F46)+N(G46)+N(H46)=D46,"OK","DIVERGE "&amp;TEXT(N(E46)+N(F46)+N(G46)+N(H46)-D46,"+0;-0")))</f>
        <v/>
      </c>
      <c r="J46" s="159">
        <f>IF('METAS CLIENTE'!E46="","",'METAS CLIENTE'!E46)</f>
        <v/>
      </c>
      <c r="K46" s="159">
        <f>IF(OR(N($D46)=0,$J46="",N(E46)=0),"",ROUND($J46*E46/$D46,2))</f>
        <v/>
      </c>
      <c r="L46" s="159">
        <f>IF(OR(N($D46)=0,$J46="",N(F46)=0),"",ROUND($J46*F46/$D46,2))</f>
        <v/>
      </c>
      <c r="M46" s="159">
        <f>IF(OR(N($D46)=0,$J46="",N(G46)=0),"",ROUND($J46*G46/$D46,2))</f>
        <v/>
      </c>
      <c r="N46" s="159">
        <f>IF(OR(N($D46)=0,$J46="",N(H46)=0),"",ROUND($J46*H46/$D46,2))</f>
        <v/>
      </c>
      <c r="O46" s="81" t="n">
        <v>0</v>
      </c>
      <c r="P46" s="81" t="n">
        <v>0</v>
      </c>
      <c r="Q46" s="81" t="n">
        <v>0</v>
      </c>
      <c r="R46" s="81" t="n">
        <v>4</v>
      </c>
      <c r="S46" s="81" t="inlineStr">
        <is>
          <t>OUTROS: col D</t>
        </is>
      </c>
      <c r="T46" s="81">
        <f>IF('METAS CLIENTE'!S46="","",'METAS CLIENTE'!S46)</f>
        <v/>
      </c>
      <c r="U46" s="81">
        <f>IF($C46="EJ + CMM",COUNTIF($C$5:$C46,"EJ + CMM"),"")</f>
        <v/>
      </c>
      <c r="V46" s="81">
        <f>IF($C46="GLOBO AÇOS",COUNTIF($C$5:$C46,"GLOBO AÇOS"),"")</f>
        <v/>
      </c>
      <c r="W46" s="81">
        <f>IF($C46="A DEFINIR",COUNTIF($C$5:$C46,"A DEFINIR"),"")</f>
        <v/>
      </c>
    </row>
    <row r="47">
      <c r="A47" s="62">
        <f>'METAS CLIENTE'!A47</f>
        <v/>
      </c>
      <c r="B47" s="62">
        <f>'METAS CLIENTE'!N47</f>
        <v/>
      </c>
      <c r="C47" s="81" t="inlineStr">
        <is>
          <t>EJ + CMM</t>
        </is>
      </c>
      <c r="D47" s="159">
        <f>IF('METAS CLIENTE'!B47="","",'METAS CLIENTE'!B47)</f>
        <v/>
      </c>
      <c r="E47" s="199">
        <f>IF(D47="","",ROUNDUP(D47/2,0))</f>
        <v/>
      </c>
      <c r="F47" s="159">
        <f>IF(D47="","",D47-N(E47))</f>
        <v/>
      </c>
      <c r="G47" s="159" t="n">
        <v>0</v>
      </c>
      <c r="H47" s="159" t="n">
        <v>0</v>
      </c>
      <c r="I47" s="81">
        <f>IF(D47="","SEM QTD",IF(N(E47)+N(F47)+N(G47)+N(H47)=D47,"OK","DIVERGE "&amp;TEXT(N(E47)+N(F47)+N(G47)+N(H47)-D47,"+0;-0")))</f>
        <v/>
      </c>
      <c r="J47" s="159">
        <f>IF('METAS CLIENTE'!E47="","",'METAS CLIENTE'!E47)</f>
        <v/>
      </c>
      <c r="K47" s="159">
        <f>IF(OR(N($D47)=0,$J47="",N(E47)=0),"",ROUND($J47*E47/$D47,2))</f>
        <v/>
      </c>
      <c r="L47" s="159">
        <f>IF(OR(N($D47)=0,$J47="",N(F47)=0),"",ROUND($J47*F47/$D47,2))</f>
        <v/>
      </c>
      <c r="M47" s="159">
        <f>IF(OR(N($D47)=0,$J47="",N(G47)=0),"",ROUND($J47*G47/$D47,2))</f>
        <v/>
      </c>
      <c r="N47" s="159">
        <f>IF(OR(N($D47)=0,$J47="",N(H47)=0),"",ROUND($J47*H47/$D47,2))</f>
        <v/>
      </c>
      <c r="O47" s="81" t="n">
        <v>19</v>
      </c>
      <c r="P47" s="81" t="n">
        <v>19</v>
      </c>
      <c r="Q47" s="81" t="n">
        <v>0</v>
      </c>
      <c r="R47" s="81" t="n">
        <v>0</v>
      </c>
      <c r="S47" s="81" t="inlineStr">
        <is>
          <t>EJ: col S | CMM: col S</t>
        </is>
      </c>
      <c r="T47" s="81">
        <f>IF('METAS CLIENTE'!S47="","",'METAS CLIENTE'!S47)</f>
        <v/>
      </c>
      <c r="U47" s="81">
        <f>IF($C47="EJ + CMM",COUNTIF($C$5:$C47,"EJ + CMM"),"")</f>
        <v/>
      </c>
      <c r="V47" s="81">
        <f>IF($C47="GLOBO AÇOS",COUNTIF($C$5:$C47,"GLOBO AÇOS"),"")</f>
        <v/>
      </c>
      <c r="W47" s="81">
        <f>IF($C47="A DEFINIR",COUNTIF($C$5:$C47,"A DEFINIR"),"")</f>
        <v/>
      </c>
    </row>
    <row r="48">
      <c r="A48" s="62">
        <f>'METAS CLIENTE'!A48</f>
        <v/>
      </c>
      <c r="B48" s="62">
        <f>'METAS CLIENTE'!N48</f>
        <v/>
      </c>
      <c r="C48" s="81" t="inlineStr">
        <is>
          <t>EJ + CMM</t>
        </is>
      </c>
      <c r="D48" s="159">
        <f>IF('METAS CLIENTE'!B48="","",'METAS CLIENTE'!B48)</f>
        <v/>
      </c>
      <c r="E48" s="199">
        <f>IF(D48="","",ROUNDUP(D48/2,0))</f>
        <v/>
      </c>
      <c r="F48" s="159">
        <f>IF(D48="","",D48-N(E48))</f>
        <v/>
      </c>
      <c r="G48" s="159" t="n">
        <v>0</v>
      </c>
      <c r="H48" s="159" t="n">
        <v>0</v>
      </c>
      <c r="I48" s="81">
        <f>IF(D48="","SEM QTD",IF(N(E48)+N(F48)+N(G48)+N(H48)=D48,"OK","DIVERGE "&amp;TEXT(N(E48)+N(F48)+N(G48)+N(H48)-D48,"+0;-0")))</f>
        <v/>
      </c>
      <c r="J48" s="159">
        <f>IF('METAS CLIENTE'!E48="","",'METAS CLIENTE'!E48)</f>
        <v/>
      </c>
      <c r="K48" s="159">
        <f>IF(OR(N($D48)=0,$J48="",N(E48)=0),"",ROUND($J48*E48/$D48,2))</f>
        <v/>
      </c>
      <c r="L48" s="159">
        <f>IF(OR(N($D48)=0,$J48="",N(F48)=0),"",ROUND($J48*F48/$D48,2))</f>
        <v/>
      </c>
      <c r="M48" s="159">
        <f>IF(OR(N($D48)=0,$J48="",N(G48)=0),"",ROUND($J48*G48/$D48,2))</f>
        <v/>
      </c>
      <c r="N48" s="159">
        <f>IF(OR(N($D48)=0,$J48="",N(H48)=0),"",ROUND($J48*H48/$D48,2))</f>
        <v/>
      </c>
      <c r="O48" s="81" t="n">
        <v>20</v>
      </c>
      <c r="P48" s="81" t="n">
        <v>20</v>
      </c>
      <c r="Q48" s="81" t="n">
        <v>0</v>
      </c>
      <c r="R48" s="81" t="n">
        <v>0</v>
      </c>
      <c r="S48" s="81" t="inlineStr">
        <is>
          <t>EJ: col T | CMM: col T</t>
        </is>
      </c>
      <c r="T48" s="81">
        <f>IF('METAS CLIENTE'!S48="","",'METAS CLIENTE'!S48)</f>
        <v/>
      </c>
      <c r="U48" s="81">
        <f>IF($C48="EJ + CMM",COUNTIF($C$5:$C48,"EJ + CMM"),"")</f>
        <v/>
      </c>
      <c r="V48" s="81">
        <f>IF($C48="GLOBO AÇOS",COUNTIF($C$5:$C48,"GLOBO AÇOS"),"")</f>
        <v/>
      </c>
      <c r="W48" s="81">
        <f>IF($C48="A DEFINIR",COUNTIF($C$5:$C48,"A DEFINIR"),"")</f>
        <v/>
      </c>
    </row>
    <row r="49">
      <c r="A49" s="62">
        <f>'METAS CLIENTE'!A49</f>
        <v/>
      </c>
      <c r="B49" s="62">
        <f>'METAS CLIENTE'!N49</f>
        <v/>
      </c>
      <c r="C49" s="81" t="inlineStr">
        <is>
          <t>GLOBO AÇOS</t>
        </is>
      </c>
      <c r="D49" s="159">
        <f>IF('METAS CLIENTE'!B49="","",'METAS CLIENTE'!B49)</f>
        <v/>
      </c>
      <c r="E49" s="159" t="n">
        <v>0</v>
      </c>
      <c r="F49" s="159" t="n">
        <v>0</v>
      </c>
      <c r="G49" s="159">
        <f>D49</f>
        <v/>
      </c>
      <c r="H49" s="159" t="n">
        <v>0</v>
      </c>
      <c r="I49" s="81">
        <f>IF(D49="","SEM QTD",IF(N(E49)+N(F49)+N(G49)+N(H49)=D49,"OK","DIVERGE "&amp;TEXT(N(E49)+N(F49)+N(G49)+N(H49)-D49,"+0;-0")))</f>
        <v/>
      </c>
      <c r="J49" s="159">
        <f>IF('METAS CLIENTE'!E49="","",'METAS CLIENTE'!E49)</f>
        <v/>
      </c>
      <c r="K49" s="159">
        <f>IF(OR(N($D49)=0,$J49="",N(E49)=0),"",ROUND($J49*E49/$D49,2))</f>
        <v/>
      </c>
      <c r="L49" s="159">
        <f>IF(OR(N($D49)=0,$J49="",N(F49)=0),"",ROUND($J49*F49/$D49,2))</f>
        <v/>
      </c>
      <c r="M49" s="159">
        <f>IF(OR(N($D49)=0,$J49="",N(G49)=0),"",ROUND($J49*G49/$D49,2))</f>
        <v/>
      </c>
      <c r="N49" s="159">
        <f>IF(OR(N($D49)=0,$J49="",N(H49)=0),"",ROUND($J49*H49/$D49,2))</f>
        <v/>
      </c>
      <c r="O49" s="81" t="n">
        <v>0</v>
      </c>
      <c r="P49" s="81" t="n">
        <v>0</v>
      </c>
      <c r="Q49" s="81" t="n">
        <v>24</v>
      </c>
      <c r="R49" s="81" t="n">
        <v>0</v>
      </c>
      <c r="S49" s="81" t="inlineStr">
        <is>
          <t>GLOBO AÇOS: col X</t>
        </is>
      </c>
      <c r="T49" s="81">
        <f>IF('METAS CLIENTE'!S49="","",'METAS CLIENTE'!S49)</f>
        <v/>
      </c>
      <c r="U49" s="81">
        <f>IF($C49="EJ + CMM",COUNTIF($C$5:$C49,"EJ + CMM"),"")</f>
        <v/>
      </c>
      <c r="V49" s="81">
        <f>IF($C49="GLOBO AÇOS",COUNTIF($C$5:$C49,"GLOBO AÇOS"),"")</f>
        <v/>
      </c>
      <c r="W49" s="81">
        <f>IF($C49="A DEFINIR",COUNTIF($C$5:$C49,"A DEFINIR"),"")</f>
        <v/>
      </c>
    </row>
    <row r="50">
      <c r="A50" s="62">
        <f>'METAS CLIENTE'!A50</f>
        <v/>
      </c>
      <c r="B50" s="62">
        <f>'METAS CLIENTE'!N50</f>
        <v/>
      </c>
      <c r="C50" s="81" t="inlineStr">
        <is>
          <t>GLOBO AÇOS</t>
        </is>
      </c>
      <c r="D50" s="159">
        <f>IF('METAS CLIENTE'!B50="","",'METAS CLIENTE'!B50)</f>
        <v/>
      </c>
      <c r="E50" s="159" t="n">
        <v>0</v>
      </c>
      <c r="F50" s="159" t="n">
        <v>0</v>
      </c>
      <c r="G50" s="159">
        <f>D50</f>
        <v/>
      </c>
      <c r="H50" s="159" t="n">
        <v>0</v>
      </c>
      <c r="I50" s="81">
        <f>IF(D50="","SEM QTD",IF(N(E50)+N(F50)+N(G50)+N(H50)=D50,"OK","DIVERGE "&amp;TEXT(N(E50)+N(F50)+N(G50)+N(H50)-D50,"+0;-0")))</f>
        <v/>
      </c>
      <c r="J50" s="159">
        <f>IF('METAS CLIENTE'!E50="","",'METAS CLIENTE'!E50)</f>
        <v/>
      </c>
      <c r="K50" s="159">
        <f>IF(OR(N($D50)=0,$J50="",N(E50)=0),"",ROUND($J50*E50/$D50,2))</f>
        <v/>
      </c>
      <c r="L50" s="159">
        <f>IF(OR(N($D50)=0,$J50="",N(F50)=0),"",ROUND($J50*F50/$D50,2))</f>
        <v/>
      </c>
      <c r="M50" s="159">
        <f>IF(OR(N($D50)=0,$J50="",N(G50)=0),"",ROUND($J50*G50/$D50,2))</f>
        <v/>
      </c>
      <c r="N50" s="159">
        <f>IF(OR(N($D50)=0,$J50="",N(H50)=0),"",ROUND($J50*H50/$D50,2))</f>
        <v/>
      </c>
      <c r="O50" s="81" t="n">
        <v>0</v>
      </c>
      <c r="P50" s="81" t="n">
        <v>0</v>
      </c>
      <c r="Q50" s="81" t="n">
        <v>25</v>
      </c>
      <c r="R50" s="81" t="n">
        <v>0</v>
      </c>
      <c r="S50" s="81" t="inlineStr">
        <is>
          <t>GLOBO AÇOS: col Y</t>
        </is>
      </c>
      <c r="T50" s="81">
        <f>IF('METAS CLIENTE'!S50="","",'METAS CLIENTE'!S50)</f>
        <v/>
      </c>
      <c r="U50" s="81">
        <f>IF($C50="EJ + CMM",COUNTIF($C$5:$C50,"EJ + CMM"),"")</f>
        <v/>
      </c>
      <c r="V50" s="81">
        <f>IF($C50="GLOBO AÇOS",COUNTIF($C$5:$C50,"GLOBO AÇOS"),"")</f>
        <v/>
      </c>
      <c r="W50" s="81">
        <f>IF($C50="A DEFINIR",COUNTIF($C$5:$C50,"A DEFINIR"),"")</f>
        <v/>
      </c>
    </row>
    <row r="51">
      <c r="A51" s="62">
        <f>'METAS CLIENTE'!A51</f>
        <v/>
      </c>
      <c r="B51" s="62">
        <f>'METAS CLIENTE'!N51</f>
        <v/>
      </c>
      <c r="C51" s="81" t="inlineStr">
        <is>
          <t>EJ + CMM</t>
        </is>
      </c>
      <c r="D51" s="159">
        <f>IF('METAS CLIENTE'!B51="","",'METAS CLIENTE'!B51)</f>
        <v/>
      </c>
      <c r="E51" s="199">
        <f>IF(D51="","",ROUNDUP(D51/2,0))</f>
        <v/>
      </c>
      <c r="F51" s="159">
        <f>IF(D51="","",D51-N(E51))</f>
        <v/>
      </c>
      <c r="G51" s="159" t="n">
        <v>0</v>
      </c>
      <c r="H51" s="159" t="n">
        <v>0</v>
      </c>
      <c r="I51" s="81">
        <f>IF(D51="","SEM QTD",IF(N(E51)+N(F51)+N(G51)+N(H51)=D51,"OK","DIVERGE "&amp;TEXT(N(E51)+N(F51)+N(G51)+N(H51)-D51,"+0;-0")))</f>
        <v/>
      </c>
      <c r="J51" s="159">
        <f>IF('METAS CLIENTE'!E51="","",'METAS CLIENTE'!E51)</f>
        <v/>
      </c>
      <c r="K51" s="159">
        <f>IF(OR(N($D51)=0,$J51="",N(E51)=0),"",ROUND($J51*E51/$D51,2))</f>
        <v/>
      </c>
      <c r="L51" s="159">
        <f>IF(OR(N($D51)=0,$J51="",N(F51)=0),"",ROUND($J51*F51/$D51,2))</f>
        <v/>
      </c>
      <c r="M51" s="159">
        <f>IF(OR(N($D51)=0,$J51="",N(G51)=0),"",ROUND($J51*G51/$D51,2))</f>
        <v/>
      </c>
      <c r="N51" s="159">
        <f>IF(OR(N($D51)=0,$J51="",N(H51)=0),"",ROUND($J51*H51/$D51,2))</f>
        <v/>
      </c>
      <c r="O51" s="81" t="n">
        <v>21</v>
      </c>
      <c r="P51" s="81" t="n">
        <v>21</v>
      </c>
      <c r="Q51" s="81" t="n">
        <v>0</v>
      </c>
      <c r="R51" s="81" t="n">
        <v>0</v>
      </c>
      <c r="S51" s="81" t="inlineStr">
        <is>
          <t>EJ: col U | CMM: col U</t>
        </is>
      </c>
      <c r="T51" s="81">
        <f>IF('METAS CLIENTE'!S51="","",'METAS CLIENTE'!S51)</f>
        <v/>
      </c>
      <c r="U51" s="81">
        <f>IF($C51="EJ + CMM",COUNTIF($C$5:$C51,"EJ + CMM"),"")</f>
        <v/>
      </c>
      <c r="V51" s="81">
        <f>IF($C51="GLOBO AÇOS",COUNTIF($C$5:$C51,"GLOBO AÇOS"),"")</f>
        <v/>
      </c>
      <c r="W51" s="81">
        <f>IF($C51="A DEFINIR",COUNTIF($C$5:$C51,"A DEFINIR"),"")</f>
        <v/>
      </c>
    </row>
    <row r="52">
      <c r="A52" s="62">
        <f>'METAS CLIENTE'!A52</f>
        <v/>
      </c>
      <c r="B52" s="62">
        <f>'METAS CLIENTE'!N52</f>
        <v/>
      </c>
      <c r="C52" s="81" t="inlineStr">
        <is>
          <t>A DEFINIR</t>
        </is>
      </c>
      <c r="D52" s="159">
        <f>IF('METAS CLIENTE'!B52="","",'METAS CLIENTE'!B52)</f>
        <v/>
      </c>
      <c r="E52" s="159" t="n">
        <v>0</v>
      </c>
      <c r="F52" s="159" t="n">
        <v>0</v>
      </c>
      <c r="G52" s="159" t="n">
        <v>0</v>
      </c>
      <c r="H52" s="159">
        <f>D52</f>
        <v/>
      </c>
      <c r="I52" s="81">
        <f>IF(D52="","SEM QTD",IF(N(E52)+N(F52)+N(G52)+N(H52)=D52,"OK","DIVERGE "&amp;TEXT(N(E52)+N(F52)+N(G52)+N(H52)-D52,"+0;-0")))</f>
        <v/>
      </c>
      <c r="J52" s="159">
        <f>IF('METAS CLIENTE'!E52="","",'METAS CLIENTE'!E52)</f>
        <v/>
      </c>
      <c r="K52" s="159">
        <f>IF(OR(N($D52)=0,$J52="",N(E52)=0),"",ROUND($J52*E52/$D52,2))</f>
        <v/>
      </c>
      <c r="L52" s="159">
        <f>IF(OR(N($D52)=0,$J52="",N(F52)=0),"",ROUND($J52*F52/$D52,2))</f>
        <v/>
      </c>
      <c r="M52" s="159">
        <f>IF(OR(N($D52)=0,$J52="",N(G52)=0),"",ROUND($J52*G52/$D52,2))</f>
        <v/>
      </c>
      <c r="N52" s="159">
        <f>IF(OR(N($D52)=0,$J52="",N(H52)=0),"",ROUND($J52*H52/$D52,2))</f>
        <v/>
      </c>
      <c r="O52" s="81" t="n">
        <v>0</v>
      </c>
      <c r="P52" s="81" t="n">
        <v>0</v>
      </c>
      <c r="Q52" s="81" t="n">
        <v>0</v>
      </c>
      <c r="R52" s="81" t="n">
        <v>5</v>
      </c>
      <c r="S52" s="81" t="inlineStr">
        <is>
          <t>OUTROS: col E</t>
        </is>
      </c>
      <c r="T52" s="81">
        <f>IF('METAS CLIENTE'!S52="","",'METAS CLIENTE'!S52)</f>
        <v/>
      </c>
      <c r="U52" s="81">
        <f>IF($C52="EJ + CMM",COUNTIF($C$5:$C52,"EJ + CMM"),"")</f>
        <v/>
      </c>
      <c r="V52" s="81">
        <f>IF($C52="GLOBO AÇOS",COUNTIF($C$5:$C52,"GLOBO AÇOS"),"")</f>
        <v/>
      </c>
      <c r="W52" s="81">
        <f>IF($C52="A DEFINIR",COUNTIF($C$5:$C52,"A DEFINIR"),"")</f>
        <v/>
      </c>
    </row>
  </sheetData>
  <mergeCells count="2">
    <mergeCell ref="A2:W2"/>
    <mergeCell ref="A1:W1"/>
  </mergeCells>
  <conditionalFormatting sqref="I5:I52">
    <cfRule type="expression" priority="2" dxfId="1">
      <formula>I5="OK"</formula>
    </cfRule>
    <cfRule type="expression" priority="3" dxfId="2">
      <formula>LEFT(I5,7)="DIVERGE"</formula>
    </cfRule>
  </conditionalFormatting>
  <pageMargins left="0.7" right="0.7" top="0.75" bottom="0.75" header="0.511811023622047" footer="0.511811023622047"/>
  <pageSetup orientation="portrait" paperSize="9" horizontalDpi="300" verticalDpi="300"/>
</worksheet>
</file>

<file path=xl/worksheets/sheet20.xml><?xml version="1.0" encoding="utf-8"?>
<worksheet xmlns="http://schemas.openxmlformats.org/spreadsheetml/2006/main">
  <sheetPr>
    <tabColor rgb="FF7030A0"/>
    <outlinePr summaryBelow="1" summaryRight="1"/>
    <pageSetUpPr/>
  </sheetPr>
  <dimension ref="A1:X39"/>
  <sheetViews>
    <sheetView showGridLines="0" zoomScaleNormal="100" workbookViewId="0">
      <pane ySplit="9" topLeftCell="A10" activePane="bottomLeft" state="frozen"/>
      <selection pane="bottomLeft" activeCell="B4" sqref="B4"/>
    </sheetView>
  </sheetViews>
  <sheetFormatPr baseColWidth="8" defaultColWidth="8.5546875" defaultRowHeight="14.4"/>
  <cols>
    <col width="5" customWidth="1" min="1" max="1"/>
    <col width="38" customWidth="1" min="2" max="2"/>
    <col width="21.109375" customWidth="1" min="3" max="3"/>
    <col width="13.5546875" customWidth="1" min="4" max="4"/>
    <col width="11" customWidth="1" min="5" max="17"/>
    <col width="12" customWidth="1" min="18" max="18"/>
    <col width="13" customWidth="1" min="19" max="19"/>
    <col width="8" customWidth="1" min="20" max="24"/>
  </cols>
  <sheetData>
    <row r="1" ht="24" customHeight="1">
      <c r="A1" s="14" t="inlineStr">
        <is>
          <t>DASHBOARD POR EMPRESA — ESCOPO, PREVISTO × REALIZADO, RITMO E PREVISÃO</t>
        </is>
      </c>
    </row>
    <row r="2" ht="31.5" customHeight="1">
      <c r="A2" s="262" t="inlineStr">
        <is>
          <t>Selecione a EMPRESA e o PERÍODO. A lista mostra só o escopo da empresa (ESCOPO POR EMPRESA) com a produção lançada na aba de controle dela. Previsto = meta diária da empresa (fração da meta do cliente) desde o início planejado.</t>
        </is>
      </c>
    </row>
    <row r="4">
      <c r="A4" s="72" t="inlineStr">
        <is>
          <t>EMPRESA</t>
        </is>
      </c>
      <c r="B4" s="334" t="inlineStr">
        <is>
          <t>CMM</t>
        </is>
      </c>
      <c r="C4" s="72" t="inlineStr">
        <is>
          <t>DATA INICIAL</t>
        </is>
      </c>
      <c r="D4" s="334" t="n">
        <v>46286</v>
      </c>
      <c r="E4" s="72" t="inlineStr">
        <is>
          <t>DATA FINAL</t>
        </is>
      </c>
      <c r="F4" s="334" t="n">
        <v>46291</v>
      </c>
      <c r="G4" s="72" t="inlineStr">
        <is>
          <t>DIAS ÚTEIS</t>
        </is>
      </c>
      <c r="H4" s="334">
        <f>IF(OR(D4="",F4=""),"",NETWORKDAYS.INTL(D4,F4,"0000011"))</f>
        <v/>
      </c>
      <c r="I4" s="62" t="inlineStr">
        <is>
          <t>escopo / índice →</t>
        </is>
      </c>
      <c r="J4" s="81">
        <f>IF(OR(B4="EJ",B4="CMM"),"EJ + CMM",IF(B4="GLOBO AÇOS","GLOBO AÇOS","A DEFINIR"))</f>
        <v/>
      </c>
      <c r="K4" s="81">
        <f>IFERROR(MATCH(B4,{"EJ","CMM","GLOBO AÇOS","OUTROS"},0),1)</f>
        <v/>
      </c>
      <c r="L4" s="81">
        <f>IF(K4&lt;=2,1,K4-1)</f>
        <v/>
      </c>
    </row>
    <row r="6">
      <c r="A6" s="89" t="inlineStr">
        <is>
          <t>SERVIÇOS NO ESCOPO</t>
        </is>
      </c>
      <c r="C6" s="89" t="inlineStr">
        <is>
          <t>COM QUANTIDADE</t>
        </is>
      </c>
      <c r="E6" s="89" t="inlineStr">
        <is>
          <t>AVANÇO FÍSICO (PONDERADO)</t>
        </is>
      </c>
      <c r="G6" s="89" t="inlineStr">
        <is>
          <t>PREVISTO NO PERÍODO</t>
        </is>
      </c>
      <c r="I6" s="89" t="inlineStr">
        <is>
          <t>REALIZADO NO PERÍODO</t>
        </is>
      </c>
      <c r="K6" s="89" t="inlineStr">
        <is>
          <t>% ATINGIMENTO PERÍODO</t>
        </is>
      </c>
      <c r="M6" s="89" t="inlineStr">
        <is>
          <t>SERVIÇOS EM ATRASO</t>
        </is>
      </c>
      <c r="O6" s="89" t="inlineStr">
        <is>
          <t>PREVISÃO TÉRMINO ESCOPO</t>
        </is>
      </c>
      <c r="Q6" s="89" t="inlineStr">
        <is>
          <t>TÉRMINO BASE ESCOPO</t>
        </is>
      </c>
    </row>
    <row r="7" ht="25.5" customHeight="1">
      <c r="A7" s="264">
        <f>COUNTIF('ESCOPO POR EMPRESA'!$C$5:$C$52,$J$4)</f>
        <v/>
      </c>
      <c r="C7" s="264">
        <f>COUNT(E10:E39)</f>
        <v/>
      </c>
      <c r="E7" s="335">
        <f>IFERROR(SUMPRODUCT(V10:V39,N10:N39)/SUM(V10:V39),"")</f>
        <v/>
      </c>
      <c r="G7" s="264">
        <f>SUM(I10:I39)</f>
        <v/>
      </c>
      <c r="I7" s="264">
        <f>SUM(J10:J39)</f>
        <v/>
      </c>
      <c r="K7" s="335">
        <f>IFERROR(I7/G7,"")</f>
        <v/>
      </c>
      <c r="M7" s="264">
        <f>COUNTIF(S10:S39,"ATRASO")</f>
        <v/>
      </c>
      <c r="O7" s="317">
        <f>IF(COUNT(R10:R39)=0,"",MAX(R10:R39))</f>
        <v/>
      </c>
      <c r="Q7" s="317">
        <f>IF(COUNT(H10:H39)=0,"",MAX(H10:H39))</f>
        <v/>
      </c>
    </row>
    <row r="9" ht="31.5" customHeight="1">
      <c r="A9" s="73" t="inlineStr">
        <is>
          <t>#</t>
        </is>
      </c>
      <c r="B9" s="73" t="inlineStr">
        <is>
          <t>Serviço</t>
        </is>
      </c>
      <c r="C9" s="73" t="inlineStr">
        <is>
          <t>Frente</t>
        </is>
      </c>
      <c r="D9" s="73" t="inlineStr">
        <is>
          <t>Unid.</t>
        </is>
      </c>
      <c r="E9" s="73" t="inlineStr">
        <is>
          <t>Qtd Escopo</t>
        </is>
      </c>
      <c r="F9" s="73" t="inlineStr">
        <is>
          <t>Meta Dia Empresa</t>
        </is>
      </c>
      <c r="G9" s="73" t="inlineStr">
        <is>
          <t>Início Planejado</t>
        </is>
      </c>
      <c r="H9" s="73" t="inlineStr">
        <is>
          <t>Término Base</t>
        </is>
      </c>
      <c r="I9" s="73" t="inlineStr">
        <is>
          <t>Previsto Período</t>
        </is>
      </c>
      <c r="J9" s="73" t="inlineStr">
        <is>
          <t>Realizado Período</t>
        </is>
      </c>
      <c r="K9" s="73" t="inlineStr">
        <is>
          <t>% Ating. Período</t>
        </is>
      </c>
      <c r="L9" s="73" t="inlineStr">
        <is>
          <t>Previsto Acum.</t>
        </is>
      </c>
      <c r="M9" s="73" t="inlineStr">
        <is>
          <t>Realizado Acum.</t>
        </is>
      </c>
      <c r="N9" s="73" t="inlineStr">
        <is>
          <t>% Executado</t>
        </is>
      </c>
      <c r="O9" s="73" t="inlineStr">
        <is>
          <t>GAP Acum.</t>
        </is>
      </c>
      <c r="P9" s="73" t="inlineStr">
        <is>
          <t>Ritmo Real/Dia</t>
        </is>
      </c>
      <c r="Q9" s="73" t="inlineStr">
        <is>
          <t>Ritmo Necessário/Dia</t>
        </is>
      </c>
      <c r="R9" s="73" t="inlineStr">
        <is>
          <t>Previsão Término</t>
        </is>
      </c>
      <c r="S9" s="73" t="inlineStr">
        <is>
          <t>Status</t>
        </is>
      </c>
      <c r="T9" s="73" t="inlineStr">
        <is>
          <t>AUX idx</t>
        </is>
      </c>
      <c r="U9" s="73" t="inlineStr">
        <is>
          <t>AUX col</t>
        </is>
      </c>
      <c r="V9" s="73" t="inlineStr">
        <is>
          <t>AUX peso</t>
        </is>
      </c>
      <c r="W9" s="73" t="inlineStr">
        <is>
          <t>AUX início real</t>
        </is>
      </c>
      <c r="X9" s="73" t="inlineStr">
        <is>
          <t>AUX % prev</t>
        </is>
      </c>
    </row>
    <row r="10">
      <c r="A10" s="81">
        <f>IF(T10="","",1)</f>
        <v/>
      </c>
      <c r="B10" s="62">
        <f>IF(T10="","",INDEX('ESCOPO POR EMPRESA'!$A$5:$A$52,T10))</f>
        <v/>
      </c>
      <c r="C10" s="62">
        <f>IF(T10="","",INDEX('ESCOPO POR EMPRESA'!$B$5:$B$52,T10))</f>
        <v/>
      </c>
      <c r="D10" s="81">
        <f>IF(T10="","",INDEX('ESCOPO POR EMPRESA'!$T$5:$T$52,T10))</f>
        <v/>
      </c>
      <c r="E10" s="159">
        <f>IF(T10="","",IF(N(INDEX('ESCOPO POR EMPRESA'!$E$5:$H$52,T10,$K$4))=0,"",INDEX('ESCOPO POR EMPRESA'!$E$5:$H$52,T10,$K$4)))</f>
        <v/>
      </c>
      <c r="F10" s="159">
        <f>IF(T10="","",INDEX('ESCOPO POR EMPRESA'!$K$5:$N$52,T10,$K$4))</f>
        <v/>
      </c>
      <c r="G10" s="317">
        <f>IF(T10="","",INDEX('METAS CLIENTE'!$C$5:$C$52,T10))</f>
        <v/>
      </c>
      <c r="H10" s="317">
        <f>IF(T10="","",INDEX('METAS CLIENTE'!$M$5:$M$52,T10))</f>
        <v/>
      </c>
      <c r="I10" s="159">
        <f>IF(L10="","",MAX(0,L10-IF(OR($D$4="",$D$4&lt;=G10),0,MIN(E10,F10*NETWORKDAYS.INTL(G10,$D$4-1,"0000011")))))</f>
        <v/>
      </c>
      <c r="J10" s="159">
        <f>IF(OR(T10="",N(U10)=0,$D$4="",$F$4=""),"",SUMIFS(INDEX(CHOOSE($K$4,'CONTROLE EJ'!$A$8:$Z$364,'CONTROLE CMM'!$A$8:$N$364,'CONTROLE GLOBO AÇOS'!$A$8:$Z$364,#REF!),0,$U10),'CONTROLE EJ'!$A$8:$A$364,"&gt;="&amp;$D$4,'CONTROLE EJ'!$A$8:$A$364,"&lt;="&amp;$F$4))</f>
        <v/>
      </c>
      <c r="K10" s="319">
        <f>IFERROR(J10/I10,"")</f>
        <v/>
      </c>
      <c r="L10" s="159">
        <f>IF(OR(E10="",F10="",G10="",$F$4=""),"",IF($F$4&lt;G10,0,MIN(E10,F10*NETWORKDAYS.INTL(G10,$F$4,"0000011"))))</f>
        <v/>
      </c>
      <c r="M10" s="159">
        <f>IF(OR(T10="",N(U10)=0,$F$4=""),"",SUMIFS(INDEX(CHOOSE($K$4,'CONTROLE EJ'!$A$8:$Z$364,'CONTROLE CMM'!$A$8:$N$364,'CONTROLE GLOBO AÇOS'!$A$8:$Z$364,#REF!),0,$U10),'CONTROLE EJ'!$A$8:$A$364,"&lt;="&amp;$F$4))</f>
        <v/>
      </c>
      <c r="N10" s="319">
        <f>IFERROR(M10/E10,"")</f>
        <v/>
      </c>
      <c r="O10" s="159">
        <f>IF(OR(L10="",M10=""),"",M10-L10)</f>
        <v/>
      </c>
      <c r="P10" s="159">
        <f>IF(OR(W10="",M10=""),"",IF($F$4&lt;W10,"",M10/MAX(1,NETWORKDAYS.INTL(W10,$F$4,"0000011"))))</f>
        <v/>
      </c>
      <c r="Q10" s="159">
        <f>IF(OR(E10="",M10="",H10=""),"",IF(E10-M10&lt;=0,0,IF($F$4&gt;=H10,E10-M10,(E10-M10)/MAX(1,NETWORKDAYS.INTL($F$4+1,H10,"0000011")))))</f>
        <v/>
      </c>
      <c r="R10" s="317">
        <f>IF(OR(E10="",F10="",M10=""),"",IF(E10-M10&lt;=0,$F$4,WORKDAY.INTL(MAX($F$4,G10-1),ROUNDUP((E10-M10)/IF(N(P10)&gt;0,IF(NETWORKDAYS.INTL(W10,$F$4,"0000011")&gt;=5,P10,F10),F10),0),"0000011")))</f>
        <v/>
      </c>
      <c r="S10" s="81">
        <f>IF(T10="","",IF(E10="","CONFIGURAR",IF(M10&gt;=E10,"CONCLUÍDO",IF(R10="","",IF(R10&lt;H10,"ADIANTADO",IF(R10=H10,"NO PRAZO","ATRASO"))))))</f>
        <v/>
      </c>
      <c r="T10" s="81">
        <f>IFERROR(MATCH(1,INDEX('ESCOPO POR EMPRESA'!$U$5:$W$52,0,$L$4),0),"")</f>
        <v/>
      </c>
      <c r="U10" s="81">
        <f>IF(T10="","",INDEX('ESCOPO POR EMPRESA'!$O$5:$R$52,T10,$K$4))</f>
        <v/>
      </c>
      <c r="V10" s="159">
        <f>IF(OR(T10="",E10=""),0,INDEX('METAS CLIENTE'!$L$5:$L$52,T10))</f>
        <v/>
      </c>
      <c r="W10" s="317">
        <f>IF(OR(T10="",N(U10)=0),"",IFERROR(1/(1/_xlfn.MINIFS('CONTROLE EJ'!$A$8:$A$364,INDEX(CHOOSE($K$4,'CONTROLE EJ'!$A$8:$Z$364,'CONTROLE CMM'!$A$8:$N$364,'CONTROLE GLOBO AÇOS'!$A$8:$Z$364,#REF!),0,$U10),"&gt;0")),""))</f>
        <v/>
      </c>
      <c r="X10" s="319">
        <f>IFERROR(L10/E10,"")</f>
        <v/>
      </c>
    </row>
    <row r="11">
      <c r="A11" s="81">
        <f>IF(T11="","",2)</f>
        <v/>
      </c>
      <c r="B11" s="62">
        <f>IF(T11="","",INDEX('ESCOPO POR EMPRESA'!$A$5:$A$52,T11))</f>
        <v/>
      </c>
      <c r="C11" s="62">
        <f>IF(T11="","",INDEX('ESCOPO POR EMPRESA'!$B$5:$B$52,T11))</f>
        <v/>
      </c>
      <c r="D11" s="81">
        <f>IF(T11="","",INDEX('ESCOPO POR EMPRESA'!$T$5:$T$52,T11))</f>
        <v/>
      </c>
      <c r="E11" s="159">
        <f>IF(T11="","",IF(N(INDEX('ESCOPO POR EMPRESA'!$E$5:$H$52,T11,$K$4))=0,"",INDEX('ESCOPO POR EMPRESA'!$E$5:$H$52,T11,$K$4)))</f>
        <v/>
      </c>
      <c r="F11" s="159">
        <f>IF(T11="","",INDEX('ESCOPO POR EMPRESA'!$K$5:$N$52,T11,$K$4))</f>
        <v/>
      </c>
      <c r="G11" s="317">
        <f>IF(T11="","",INDEX('METAS CLIENTE'!$C$5:$C$52,T11))</f>
        <v/>
      </c>
      <c r="H11" s="317">
        <f>IF(T11="","",INDEX('METAS CLIENTE'!$M$5:$M$52,T11))</f>
        <v/>
      </c>
      <c r="I11" s="159">
        <f>IF(L11="","",MAX(0,L11-IF(OR($D$4="",$D$4&lt;=G11),0,MIN(E11,F11*NETWORKDAYS.INTL(G11,$D$4-1,"0000011")))))</f>
        <v/>
      </c>
      <c r="J11" s="159">
        <f>IF(OR(T11="",N(U11)=0,$D$4="",$F$4=""),"",SUMIFS(INDEX(CHOOSE($K$4,'CONTROLE EJ'!$A$8:$Z$364,'CONTROLE CMM'!$A$8:$N$364,'CONTROLE GLOBO AÇOS'!$A$8:$Z$364,#REF!),0,$U11),'CONTROLE EJ'!$A$8:$A$364,"&gt;="&amp;$D$4,'CONTROLE EJ'!$A$8:$A$364,"&lt;="&amp;$F$4))</f>
        <v/>
      </c>
      <c r="K11" s="319">
        <f>IFERROR(J11/I11,"")</f>
        <v/>
      </c>
      <c r="L11" s="159">
        <f>IF(OR(E11="",F11="",G11="",$F$4=""),"",IF($F$4&lt;G11,0,MIN(E11,F11*NETWORKDAYS.INTL(G11,$F$4,"0000011"))))</f>
        <v/>
      </c>
      <c r="M11" s="159">
        <f>IF(OR(T11="",N(U11)=0,$F$4=""),"",SUMIFS(INDEX(CHOOSE($K$4,'CONTROLE EJ'!$A$8:$Z$364,'CONTROLE CMM'!$A$8:$N$364,'CONTROLE GLOBO AÇOS'!$A$8:$Z$364,#REF!),0,$U11),'CONTROLE EJ'!$A$8:$A$364,"&lt;="&amp;$F$4))</f>
        <v/>
      </c>
      <c r="N11" s="319">
        <f>IFERROR(M11/E11,"")</f>
        <v/>
      </c>
      <c r="O11" s="159">
        <f>IF(OR(L11="",M11=""),"",M11-L11)</f>
        <v/>
      </c>
      <c r="P11" s="159">
        <f>IF(OR(W11="",M11=""),"",IF($F$4&lt;W11,"",M11/MAX(1,NETWORKDAYS.INTL(W11,$F$4,"0000011"))))</f>
        <v/>
      </c>
      <c r="Q11" s="159">
        <f>IF(OR(E11="",M11="",H11=""),"",IF(E11-M11&lt;=0,0,IF($F$4&gt;=H11,E11-M11,(E11-M11)/MAX(1,NETWORKDAYS.INTL($F$4+1,H11,"0000011")))))</f>
        <v/>
      </c>
      <c r="R11" s="317">
        <f>IF(OR(E11="",F11="",M11=""),"",IF(E11-M11&lt;=0,$F$4,WORKDAY.INTL(MAX($F$4,G11-1),ROUNDUP((E11-M11)/IF(N(P11)&gt;0,IF(NETWORKDAYS.INTL(W11,$F$4,"0000011")&gt;=5,P11,F11),F11),0),"0000011")))</f>
        <v/>
      </c>
      <c r="S11" s="81">
        <f>IF(T11="","",IF(E11="","CONFIGURAR",IF(M11&gt;=E11,"CONCLUÍDO",IF(R11="","",IF(R11&lt;H11,"ADIANTADO",IF(R11=H11,"NO PRAZO","ATRASO"))))))</f>
        <v/>
      </c>
      <c r="T11" s="81">
        <f>IFERROR(MATCH(2,INDEX('ESCOPO POR EMPRESA'!$U$5:$W$52,0,$L$4),0),"")</f>
        <v/>
      </c>
      <c r="U11" s="81">
        <f>IF(T11="","",INDEX('ESCOPO POR EMPRESA'!$O$5:$R$52,T11,$K$4))</f>
        <v/>
      </c>
      <c r="V11" s="159">
        <f>IF(OR(T11="",E11=""),0,INDEX('METAS CLIENTE'!$L$5:$L$52,T11))</f>
        <v/>
      </c>
      <c r="W11" s="317">
        <f>IF(OR(T11="",N(U11)=0),"",IFERROR(1/(1/_xlfn.MINIFS('CONTROLE EJ'!$A$8:$A$364,INDEX(CHOOSE($K$4,'CONTROLE EJ'!$A$8:$Z$364,'CONTROLE CMM'!$A$8:$N$364,'CONTROLE GLOBO AÇOS'!$A$8:$Z$364,#REF!),0,$U11),"&gt;0")),""))</f>
        <v/>
      </c>
      <c r="X11" s="319">
        <f>IFERROR(L11/E11,"")</f>
        <v/>
      </c>
    </row>
    <row r="12">
      <c r="A12" s="81">
        <f>IF(T12="","",3)</f>
        <v/>
      </c>
      <c r="B12" s="62">
        <f>IF(T12="","",INDEX('ESCOPO POR EMPRESA'!$A$5:$A$52,T12))</f>
        <v/>
      </c>
      <c r="C12" s="62">
        <f>IF(T12="","",INDEX('ESCOPO POR EMPRESA'!$B$5:$B$52,T12))</f>
        <v/>
      </c>
      <c r="D12" s="81">
        <f>IF(T12="","",INDEX('ESCOPO POR EMPRESA'!$T$5:$T$52,T12))</f>
        <v/>
      </c>
      <c r="E12" s="159">
        <f>IF(T12="","",IF(N(INDEX('ESCOPO POR EMPRESA'!$E$5:$H$52,T12,$K$4))=0,"",INDEX('ESCOPO POR EMPRESA'!$E$5:$H$52,T12,$K$4)))</f>
        <v/>
      </c>
      <c r="F12" s="159">
        <f>IF(T12="","",INDEX('ESCOPO POR EMPRESA'!$K$5:$N$52,T12,$K$4))</f>
        <v/>
      </c>
      <c r="G12" s="317">
        <f>IF(T12="","",INDEX('METAS CLIENTE'!$C$5:$C$52,T12))</f>
        <v/>
      </c>
      <c r="H12" s="317">
        <f>IF(T12="","",INDEX('METAS CLIENTE'!$M$5:$M$52,T12))</f>
        <v/>
      </c>
      <c r="I12" s="159">
        <f>IF(L12="","",MAX(0,L12-IF(OR($D$4="",$D$4&lt;=G12),0,MIN(E12,F12*NETWORKDAYS.INTL(G12,$D$4-1,"0000011")))))</f>
        <v/>
      </c>
      <c r="J12" s="159">
        <f>IF(OR(T12="",N(U12)=0,$D$4="",$F$4=""),"",SUMIFS(INDEX(CHOOSE($K$4,'CONTROLE EJ'!$A$8:$Z$364,'CONTROLE CMM'!$A$8:$N$364,'CONTROLE GLOBO AÇOS'!$A$8:$Z$364,#REF!),0,$U12),'CONTROLE EJ'!$A$8:$A$364,"&gt;="&amp;$D$4,'CONTROLE EJ'!$A$8:$A$364,"&lt;="&amp;$F$4))</f>
        <v/>
      </c>
      <c r="K12" s="319">
        <f>IFERROR(J12/I12,"")</f>
        <v/>
      </c>
      <c r="L12" s="159">
        <f>IF(OR(E12="",F12="",G12="",$F$4=""),"",IF($F$4&lt;G12,0,MIN(E12,F12*NETWORKDAYS.INTL(G12,$F$4,"0000011"))))</f>
        <v/>
      </c>
      <c r="M12" s="159">
        <f>IF(OR(T12="",N(U12)=0,$F$4=""),"",SUMIFS(INDEX(CHOOSE($K$4,'CONTROLE EJ'!$A$8:$Z$364,'CONTROLE CMM'!$A$8:$N$364,'CONTROLE GLOBO AÇOS'!$A$8:$Z$364,#REF!),0,$U12),'CONTROLE EJ'!$A$8:$A$364,"&lt;="&amp;$F$4))</f>
        <v/>
      </c>
      <c r="N12" s="319">
        <f>IFERROR(M12/E12,"")</f>
        <v/>
      </c>
      <c r="O12" s="159">
        <f>IF(OR(L12="",M12=""),"",M12-L12)</f>
        <v/>
      </c>
      <c r="P12" s="159">
        <f>IF(OR(W12="",M12=""),"",IF($F$4&lt;W12,"",M12/MAX(1,NETWORKDAYS.INTL(W12,$F$4,"0000011"))))</f>
        <v/>
      </c>
      <c r="Q12" s="159">
        <f>IF(OR(E12="",M12="",H12=""),"",IF(E12-M12&lt;=0,0,IF($F$4&gt;=H12,E12-M12,(E12-M12)/MAX(1,NETWORKDAYS.INTL($F$4+1,H12,"0000011")))))</f>
        <v/>
      </c>
      <c r="R12" s="317">
        <f>IF(OR(E12="",F12="",M12=""),"",IF(E12-M12&lt;=0,$F$4,WORKDAY.INTL(MAX($F$4,G12-1),ROUNDUP((E12-M12)/IF(N(P12)&gt;0,IF(NETWORKDAYS.INTL(W12,$F$4,"0000011")&gt;=5,P12,F12),F12),0),"0000011")))</f>
        <v/>
      </c>
      <c r="S12" s="81">
        <f>IF(T12="","",IF(E12="","CONFIGURAR",IF(M12&gt;=E12,"CONCLUÍDO",IF(R12="","",IF(R12&lt;H12,"ADIANTADO",IF(R12=H12,"NO PRAZO","ATRASO"))))))</f>
        <v/>
      </c>
      <c r="T12" s="81">
        <f>IFERROR(MATCH(3,INDEX('ESCOPO POR EMPRESA'!$U$5:$W$52,0,$L$4),0),"")</f>
        <v/>
      </c>
      <c r="U12" s="81">
        <f>IF(T12="","",INDEX('ESCOPO POR EMPRESA'!$O$5:$R$52,T12,$K$4))</f>
        <v/>
      </c>
      <c r="V12" s="159">
        <f>IF(OR(T12="",E12=""),0,INDEX('METAS CLIENTE'!$L$5:$L$52,T12))</f>
        <v/>
      </c>
      <c r="W12" s="317">
        <f>IF(OR(T12="",N(U12)=0),"",IFERROR(1/(1/_xlfn.MINIFS('CONTROLE EJ'!$A$8:$A$364,INDEX(CHOOSE($K$4,'CONTROLE EJ'!$A$8:$Z$364,'CONTROLE CMM'!$A$8:$N$364,'CONTROLE GLOBO AÇOS'!$A$8:$Z$364,#REF!),0,$U12),"&gt;0")),""))</f>
        <v/>
      </c>
      <c r="X12" s="319">
        <f>IFERROR(L12/E12,"")</f>
        <v/>
      </c>
    </row>
    <row r="13">
      <c r="A13" s="81">
        <f>IF(T13="","",4)</f>
        <v/>
      </c>
      <c r="B13" s="62">
        <f>IF(T13="","",INDEX('ESCOPO POR EMPRESA'!$A$5:$A$52,T13))</f>
        <v/>
      </c>
      <c r="C13" s="62">
        <f>IF(T13="","",INDEX('ESCOPO POR EMPRESA'!$B$5:$B$52,T13))</f>
        <v/>
      </c>
      <c r="D13" s="81">
        <f>IF(T13="","",INDEX('ESCOPO POR EMPRESA'!$T$5:$T$52,T13))</f>
        <v/>
      </c>
      <c r="E13" s="159">
        <f>IF(T13="","",IF(N(INDEX('ESCOPO POR EMPRESA'!$E$5:$H$52,T13,$K$4))=0,"",INDEX('ESCOPO POR EMPRESA'!$E$5:$H$52,T13,$K$4)))</f>
        <v/>
      </c>
      <c r="F13" s="159">
        <f>IF(T13="","",INDEX('ESCOPO POR EMPRESA'!$K$5:$N$52,T13,$K$4))</f>
        <v/>
      </c>
      <c r="G13" s="317">
        <f>IF(T13="","",INDEX('METAS CLIENTE'!$C$5:$C$52,T13))</f>
        <v/>
      </c>
      <c r="H13" s="317">
        <f>IF(T13="","",INDEX('METAS CLIENTE'!$M$5:$M$52,T13))</f>
        <v/>
      </c>
      <c r="I13" s="159">
        <f>IF(L13="","",MAX(0,L13-IF(OR($D$4="",$D$4&lt;=G13),0,MIN(E13,F13*NETWORKDAYS.INTL(G13,$D$4-1,"0000011")))))</f>
        <v/>
      </c>
      <c r="J13" s="159">
        <f>IF(OR(T13="",N(U13)=0,$D$4="",$F$4=""),"",SUMIFS(INDEX(CHOOSE($K$4,'CONTROLE EJ'!$A$8:$Z$364,'CONTROLE CMM'!$A$8:$N$364,'CONTROLE GLOBO AÇOS'!$A$8:$Z$364,#REF!),0,$U13),'CONTROLE EJ'!$A$8:$A$364,"&gt;="&amp;$D$4,'CONTROLE EJ'!$A$8:$A$364,"&lt;="&amp;$F$4))</f>
        <v/>
      </c>
      <c r="K13" s="319">
        <f>IFERROR(J13/I13,"")</f>
        <v/>
      </c>
      <c r="L13" s="159">
        <f>IF(OR(E13="",F13="",G13="",$F$4=""),"",IF($F$4&lt;G13,0,MIN(E13,F13*NETWORKDAYS.INTL(G13,$F$4,"0000011"))))</f>
        <v/>
      </c>
      <c r="M13" s="159">
        <f>IF(OR(T13="",N(U13)=0,$F$4=""),"",SUMIFS(INDEX(CHOOSE($K$4,'CONTROLE EJ'!$A$8:$Z$364,'CONTROLE CMM'!$A$8:$N$364,'CONTROLE GLOBO AÇOS'!$A$8:$Z$364,#REF!),0,$U13),'CONTROLE EJ'!$A$8:$A$364,"&lt;="&amp;$F$4))</f>
        <v/>
      </c>
      <c r="N13" s="319">
        <f>IFERROR(M13/E13,"")</f>
        <v/>
      </c>
      <c r="O13" s="159">
        <f>IF(OR(L13="",M13=""),"",M13-L13)</f>
        <v/>
      </c>
      <c r="P13" s="159">
        <f>IF(OR(W13="",M13=""),"",IF($F$4&lt;W13,"",M13/MAX(1,NETWORKDAYS.INTL(W13,$F$4,"0000011"))))</f>
        <v/>
      </c>
      <c r="Q13" s="159">
        <f>IF(OR(E13="",M13="",H13=""),"",IF(E13-M13&lt;=0,0,IF($F$4&gt;=H13,E13-M13,(E13-M13)/MAX(1,NETWORKDAYS.INTL($F$4+1,H13,"0000011")))))</f>
        <v/>
      </c>
      <c r="R13" s="317">
        <f>IF(OR(E13="",F13="",M13=""),"",IF(E13-M13&lt;=0,$F$4,WORKDAY.INTL(MAX($F$4,G13-1),ROUNDUP((E13-M13)/IF(N(P13)&gt;0,IF(NETWORKDAYS.INTL(W13,$F$4,"0000011")&gt;=5,P13,F13),F13),0),"0000011")))</f>
        <v/>
      </c>
      <c r="S13" s="81">
        <f>IF(T13="","",IF(E13="","CONFIGURAR",IF(M13&gt;=E13,"CONCLUÍDO",IF(R13="","",IF(R13&lt;H13,"ADIANTADO",IF(R13=H13,"NO PRAZO","ATRASO"))))))</f>
        <v/>
      </c>
      <c r="T13" s="81">
        <f>IFERROR(MATCH(4,INDEX('ESCOPO POR EMPRESA'!$U$5:$W$52,0,$L$4),0),"")</f>
        <v/>
      </c>
      <c r="U13" s="81">
        <f>IF(T13="","",INDEX('ESCOPO POR EMPRESA'!$O$5:$R$52,T13,$K$4))</f>
        <v/>
      </c>
      <c r="V13" s="159">
        <f>IF(OR(T13="",E13=""),0,INDEX('METAS CLIENTE'!$L$5:$L$52,T13))</f>
        <v/>
      </c>
      <c r="W13" s="317">
        <f>IF(OR(T13="",N(U13)=0),"",IFERROR(1/(1/_xlfn.MINIFS('CONTROLE EJ'!$A$8:$A$364,INDEX(CHOOSE($K$4,'CONTROLE EJ'!$A$8:$Z$364,'CONTROLE CMM'!$A$8:$N$364,'CONTROLE GLOBO AÇOS'!$A$8:$Z$364,#REF!),0,$U13),"&gt;0")),""))</f>
        <v/>
      </c>
      <c r="X13" s="319">
        <f>IFERROR(L13/E13,"")</f>
        <v/>
      </c>
    </row>
    <row r="14">
      <c r="A14" s="81">
        <f>IF(T14="","",5)</f>
        <v/>
      </c>
      <c r="B14" s="62">
        <f>IF(T14="","",INDEX('ESCOPO POR EMPRESA'!$A$5:$A$52,T14))</f>
        <v/>
      </c>
      <c r="C14" s="62">
        <f>IF(T14="","",INDEX('ESCOPO POR EMPRESA'!$B$5:$B$52,T14))</f>
        <v/>
      </c>
      <c r="D14" s="81">
        <f>IF(T14="","",INDEX('ESCOPO POR EMPRESA'!$T$5:$T$52,T14))</f>
        <v/>
      </c>
      <c r="E14" s="159">
        <f>IF(T14="","",IF(N(INDEX('ESCOPO POR EMPRESA'!$E$5:$H$52,T14,$K$4))=0,"",INDEX('ESCOPO POR EMPRESA'!$E$5:$H$52,T14,$K$4)))</f>
        <v/>
      </c>
      <c r="F14" s="159">
        <f>IF(T14="","",INDEX('ESCOPO POR EMPRESA'!$K$5:$N$52,T14,$K$4))</f>
        <v/>
      </c>
      <c r="G14" s="317">
        <f>IF(T14="","",INDEX('METAS CLIENTE'!$C$5:$C$52,T14))</f>
        <v/>
      </c>
      <c r="H14" s="317">
        <f>IF(T14="","",INDEX('METAS CLIENTE'!$M$5:$M$52,T14))</f>
        <v/>
      </c>
      <c r="I14" s="159">
        <f>IF(L14="","",MAX(0,L14-IF(OR($D$4="",$D$4&lt;=G14),0,MIN(E14,F14*NETWORKDAYS.INTL(G14,$D$4-1,"0000011")))))</f>
        <v/>
      </c>
      <c r="J14" s="159">
        <f>IF(OR(T14="",N(U14)=0,$D$4="",$F$4=""),"",SUMIFS(INDEX(CHOOSE($K$4,'CONTROLE EJ'!$A$8:$Z$364,'CONTROLE CMM'!$A$8:$N$364,'CONTROLE GLOBO AÇOS'!$A$8:$Z$364,#REF!),0,$U14),'CONTROLE EJ'!$A$8:$A$364,"&gt;="&amp;$D$4,'CONTROLE EJ'!$A$8:$A$364,"&lt;="&amp;$F$4))</f>
        <v/>
      </c>
      <c r="K14" s="319">
        <f>IFERROR(J14/I14,"")</f>
        <v/>
      </c>
      <c r="L14" s="159">
        <f>IF(OR(E14="",F14="",G14="",$F$4=""),"",IF($F$4&lt;G14,0,MIN(E14,F14*NETWORKDAYS.INTL(G14,$F$4,"0000011"))))</f>
        <v/>
      </c>
      <c r="M14" s="159">
        <f>IF(OR(T14="",N(U14)=0,$F$4=""),"",SUMIFS(INDEX(CHOOSE($K$4,'CONTROLE EJ'!$A$8:$Z$364,'CONTROLE CMM'!$A$8:$N$364,'CONTROLE GLOBO AÇOS'!$A$8:$Z$364,#REF!),0,$U14),'CONTROLE EJ'!$A$8:$A$364,"&lt;="&amp;$F$4))</f>
        <v/>
      </c>
      <c r="N14" s="319">
        <f>IFERROR(M14/E14,"")</f>
        <v/>
      </c>
      <c r="O14" s="159">
        <f>IF(OR(L14="",M14=""),"",M14-L14)</f>
        <v/>
      </c>
      <c r="P14" s="159">
        <f>IF(OR(W14="",M14=""),"",IF($F$4&lt;W14,"",M14/MAX(1,NETWORKDAYS.INTL(W14,$F$4,"0000011"))))</f>
        <v/>
      </c>
      <c r="Q14" s="159">
        <f>IF(OR(E14="",M14="",H14=""),"",IF(E14-M14&lt;=0,0,IF($F$4&gt;=H14,E14-M14,(E14-M14)/MAX(1,NETWORKDAYS.INTL($F$4+1,H14,"0000011")))))</f>
        <v/>
      </c>
      <c r="R14" s="317">
        <f>IF(OR(E14="",F14="",M14=""),"",IF(E14-M14&lt;=0,$F$4,WORKDAY.INTL(MAX($F$4,G14-1),ROUNDUP((E14-M14)/IF(N(P14)&gt;0,IF(NETWORKDAYS.INTL(W14,$F$4,"0000011")&gt;=5,P14,F14),F14),0),"0000011")))</f>
        <v/>
      </c>
      <c r="S14" s="81">
        <f>IF(T14="","",IF(E14="","CONFIGURAR",IF(M14&gt;=E14,"CONCLUÍDO",IF(R14="","",IF(R14&lt;H14,"ADIANTADO",IF(R14=H14,"NO PRAZO","ATRASO"))))))</f>
        <v/>
      </c>
      <c r="T14" s="81">
        <f>IFERROR(MATCH(5,INDEX('ESCOPO POR EMPRESA'!$U$5:$W$52,0,$L$4),0),"")</f>
        <v/>
      </c>
      <c r="U14" s="81">
        <f>IF(T14="","",INDEX('ESCOPO POR EMPRESA'!$O$5:$R$52,T14,$K$4))</f>
        <v/>
      </c>
      <c r="V14" s="159">
        <f>IF(OR(T14="",E14=""),0,INDEX('METAS CLIENTE'!$L$5:$L$52,T14))</f>
        <v/>
      </c>
      <c r="W14" s="317">
        <f>IF(OR(T14="",N(U14)=0),"",IFERROR(1/(1/_xlfn.MINIFS('CONTROLE EJ'!$A$8:$A$364,INDEX(CHOOSE($K$4,'CONTROLE EJ'!$A$8:$Z$364,'CONTROLE CMM'!$A$8:$N$364,'CONTROLE GLOBO AÇOS'!$A$8:$Z$364,#REF!),0,$U14),"&gt;0")),""))</f>
        <v/>
      </c>
      <c r="X14" s="319">
        <f>IFERROR(L14/E14,"")</f>
        <v/>
      </c>
    </row>
    <row r="15">
      <c r="A15" s="81">
        <f>IF(T15="","",6)</f>
        <v/>
      </c>
      <c r="B15" s="62">
        <f>IF(T15="","",INDEX('ESCOPO POR EMPRESA'!$A$5:$A$52,T15))</f>
        <v/>
      </c>
      <c r="C15" s="62">
        <f>IF(T15="","",INDEX('ESCOPO POR EMPRESA'!$B$5:$B$52,T15))</f>
        <v/>
      </c>
      <c r="D15" s="81">
        <f>IF(T15="","",INDEX('ESCOPO POR EMPRESA'!$T$5:$T$52,T15))</f>
        <v/>
      </c>
      <c r="E15" s="159">
        <f>IF(T15="","",IF(N(INDEX('ESCOPO POR EMPRESA'!$E$5:$H$52,T15,$K$4))=0,"",INDEX('ESCOPO POR EMPRESA'!$E$5:$H$52,T15,$K$4)))</f>
        <v/>
      </c>
      <c r="F15" s="159">
        <f>IF(T15="","",INDEX('ESCOPO POR EMPRESA'!$K$5:$N$52,T15,$K$4))</f>
        <v/>
      </c>
      <c r="G15" s="317">
        <f>IF(T15="","",INDEX('METAS CLIENTE'!$C$5:$C$52,T15))</f>
        <v/>
      </c>
      <c r="H15" s="317">
        <f>IF(T15="","",INDEX('METAS CLIENTE'!$M$5:$M$52,T15))</f>
        <v/>
      </c>
      <c r="I15" s="159">
        <f>IF(L15="","",MAX(0,L15-IF(OR($D$4="",$D$4&lt;=G15),0,MIN(E15,F15*NETWORKDAYS.INTL(G15,$D$4-1,"0000011")))))</f>
        <v/>
      </c>
      <c r="J15" s="159">
        <f>IF(OR(T15="",N(U15)=0,$D$4="",$F$4=""),"",SUMIFS(INDEX(CHOOSE($K$4,'CONTROLE EJ'!$A$8:$Z$364,'CONTROLE CMM'!$A$8:$N$364,'CONTROLE GLOBO AÇOS'!$A$8:$Z$364,#REF!),0,$U15),'CONTROLE EJ'!$A$8:$A$364,"&gt;="&amp;$D$4,'CONTROLE EJ'!$A$8:$A$364,"&lt;="&amp;$F$4))</f>
        <v/>
      </c>
      <c r="K15" s="319">
        <f>IFERROR(J15/I15,"")</f>
        <v/>
      </c>
      <c r="L15" s="159">
        <f>IF(OR(E15="",F15="",G15="",$F$4=""),"",IF($F$4&lt;G15,0,MIN(E15,F15*NETWORKDAYS.INTL(G15,$F$4,"0000011"))))</f>
        <v/>
      </c>
      <c r="M15" s="159">
        <f>IF(OR(T15="",N(U15)=0,$F$4=""),"",SUMIFS(INDEX(CHOOSE($K$4,'CONTROLE EJ'!$A$8:$Z$364,'CONTROLE CMM'!$A$8:$N$364,'CONTROLE GLOBO AÇOS'!$A$8:$Z$364,#REF!),0,$U15),'CONTROLE EJ'!$A$8:$A$364,"&lt;="&amp;$F$4))</f>
        <v/>
      </c>
      <c r="N15" s="319">
        <f>IFERROR(M15/E15,"")</f>
        <v/>
      </c>
      <c r="O15" s="159">
        <f>IF(OR(L15="",M15=""),"",M15-L15)</f>
        <v/>
      </c>
      <c r="P15" s="159">
        <f>IF(OR(W15="",M15=""),"",IF($F$4&lt;W15,"",M15/MAX(1,NETWORKDAYS.INTL(W15,$F$4,"0000011"))))</f>
        <v/>
      </c>
      <c r="Q15" s="159">
        <f>IF(OR(E15="",M15="",H15=""),"",IF(E15-M15&lt;=0,0,IF($F$4&gt;=H15,E15-M15,(E15-M15)/MAX(1,NETWORKDAYS.INTL($F$4+1,H15,"0000011")))))</f>
        <v/>
      </c>
      <c r="R15" s="317">
        <f>IF(OR(E15="",F15="",M15=""),"",IF(E15-M15&lt;=0,$F$4,WORKDAY.INTL(MAX($F$4,G15-1),ROUNDUP((E15-M15)/IF(N(P15)&gt;0,IF(NETWORKDAYS.INTL(W15,$F$4,"0000011")&gt;=5,P15,F15),F15),0),"0000011")))</f>
        <v/>
      </c>
      <c r="S15" s="81">
        <f>IF(T15="","",IF(E15="","CONFIGURAR",IF(M15&gt;=E15,"CONCLUÍDO",IF(R15="","",IF(R15&lt;H15,"ADIANTADO",IF(R15=H15,"NO PRAZO","ATRASO"))))))</f>
        <v/>
      </c>
      <c r="T15" s="81">
        <f>IFERROR(MATCH(6,INDEX('ESCOPO POR EMPRESA'!$U$5:$W$52,0,$L$4),0),"")</f>
        <v/>
      </c>
      <c r="U15" s="81">
        <f>IF(T15="","",INDEX('ESCOPO POR EMPRESA'!$O$5:$R$52,T15,$K$4))</f>
        <v/>
      </c>
      <c r="V15" s="159">
        <f>IF(OR(T15="",E15=""),0,INDEX('METAS CLIENTE'!$L$5:$L$52,T15))</f>
        <v/>
      </c>
      <c r="W15" s="317">
        <f>IF(OR(T15="",N(U15)=0),"",IFERROR(1/(1/_xlfn.MINIFS('CONTROLE EJ'!$A$8:$A$364,INDEX(CHOOSE($K$4,'CONTROLE EJ'!$A$8:$Z$364,'CONTROLE CMM'!$A$8:$N$364,'CONTROLE GLOBO AÇOS'!$A$8:$Z$364,#REF!),0,$U15),"&gt;0")),""))</f>
        <v/>
      </c>
      <c r="X15" s="319">
        <f>IFERROR(L15/E15,"")</f>
        <v/>
      </c>
    </row>
    <row r="16">
      <c r="A16" s="81">
        <f>IF(T16="","",7)</f>
        <v/>
      </c>
      <c r="B16" s="62">
        <f>IF(T16="","",INDEX('ESCOPO POR EMPRESA'!$A$5:$A$52,T16))</f>
        <v/>
      </c>
      <c r="C16" s="62">
        <f>IF(T16="","",INDEX('ESCOPO POR EMPRESA'!$B$5:$B$52,T16))</f>
        <v/>
      </c>
      <c r="D16" s="81">
        <f>IF(T16="","",INDEX('ESCOPO POR EMPRESA'!$T$5:$T$52,T16))</f>
        <v/>
      </c>
      <c r="E16" s="159">
        <f>IF(T16="","",IF(N(INDEX('ESCOPO POR EMPRESA'!$E$5:$H$52,T16,$K$4))=0,"",INDEX('ESCOPO POR EMPRESA'!$E$5:$H$52,T16,$K$4)))</f>
        <v/>
      </c>
      <c r="F16" s="159">
        <f>IF(T16="","",INDEX('ESCOPO POR EMPRESA'!$K$5:$N$52,T16,$K$4))</f>
        <v/>
      </c>
      <c r="G16" s="317">
        <f>IF(T16="","",INDEX('METAS CLIENTE'!$C$5:$C$52,T16))</f>
        <v/>
      </c>
      <c r="H16" s="317">
        <f>IF(T16="","",INDEX('METAS CLIENTE'!$M$5:$M$52,T16))</f>
        <v/>
      </c>
      <c r="I16" s="159">
        <f>IF(L16="","",MAX(0,L16-IF(OR($D$4="",$D$4&lt;=G16),0,MIN(E16,F16*NETWORKDAYS.INTL(G16,$D$4-1,"0000011")))))</f>
        <v/>
      </c>
      <c r="J16" s="159">
        <f>IF(OR(T16="",N(U16)=0,$D$4="",$F$4=""),"",SUMIFS(INDEX(CHOOSE($K$4,'CONTROLE EJ'!$A$8:$Z$364,'CONTROLE CMM'!$A$8:$N$364,'CONTROLE GLOBO AÇOS'!$A$8:$Z$364,#REF!),0,$U16),'CONTROLE EJ'!$A$8:$A$364,"&gt;="&amp;$D$4,'CONTROLE EJ'!$A$8:$A$364,"&lt;="&amp;$F$4))</f>
        <v/>
      </c>
      <c r="K16" s="319">
        <f>IFERROR(J16/I16,"")</f>
        <v/>
      </c>
      <c r="L16" s="159">
        <f>IF(OR(E16="",F16="",G16="",$F$4=""),"",IF($F$4&lt;G16,0,MIN(E16,F16*NETWORKDAYS.INTL(G16,$F$4,"0000011"))))</f>
        <v/>
      </c>
      <c r="M16" s="159">
        <f>IF(OR(T16="",N(U16)=0,$F$4=""),"",SUMIFS(INDEX(CHOOSE($K$4,'CONTROLE EJ'!$A$8:$Z$364,'CONTROLE CMM'!$A$8:$N$364,'CONTROLE GLOBO AÇOS'!$A$8:$Z$364,#REF!),0,$U16),'CONTROLE EJ'!$A$8:$A$364,"&lt;="&amp;$F$4))</f>
        <v/>
      </c>
      <c r="N16" s="319">
        <f>IFERROR(M16/E16,"")</f>
        <v/>
      </c>
      <c r="O16" s="159">
        <f>IF(OR(L16="",M16=""),"",M16-L16)</f>
        <v/>
      </c>
      <c r="P16" s="159">
        <f>IF(OR(W16="",M16=""),"",IF($F$4&lt;W16,"",M16/MAX(1,NETWORKDAYS.INTL(W16,$F$4,"0000011"))))</f>
        <v/>
      </c>
      <c r="Q16" s="159">
        <f>IF(OR(E16="",M16="",H16=""),"",IF(E16-M16&lt;=0,0,IF($F$4&gt;=H16,E16-M16,(E16-M16)/MAX(1,NETWORKDAYS.INTL($F$4+1,H16,"0000011")))))</f>
        <v/>
      </c>
      <c r="R16" s="317">
        <f>IF(OR(E16="",F16="",M16=""),"",IF(E16-M16&lt;=0,$F$4,WORKDAY.INTL(MAX($F$4,G16-1),ROUNDUP((E16-M16)/IF(N(P16)&gt;0,IF(NETWORKDAYS.INTL(W16,$F$4,"0000011")&gt;=5,P16,F16),F16),0),"0000011")))</f>
        <v/>
      </c>
      <c r="S16" s="81">
        <f>IF(T16="","",IF(E16="","CONFIGURAR",IF(M16&gt;=E16,"CONCLUÍDO",IF(R16="","",IF(R16&lt;H16,"ADIANTADO",IF(R16=H16,"NO PRAZO","ATRASO"))))))</f>
        <v/>
      </c>
      <c r="T16" s="81">
        <f>IFERROR(MATCH(7,INDEX('ESCOPO POR EMPRESA'!$U$5:$W$52,0,$L$4),0),"")</f>
        <v/>
      </c>
      <c r="U16" s="81">
        <f>IF(T16="","",INDEX('ESCOPO POR EMPRESA'!$O$5:$R$52,T16,$K$4))</f>
        <v/>
      </c>
      <c r="V16" s="159">
        <f>IF(OR(T16="",E16=""),0,INDEX('METAS CLIENTE'!$L$5:$L$52,T16))</f>
        <v/>
      </c>
      <c r="W16" s="317">
        <f>IF(OR(T16="",N(U16)=0),"",IFERROR(1/(1/_xlfn.MINIFS('CONTROLE EJ'!$A$8:$A$364,INDEX(CHOOSE($K$4,'CONTROLE EJ'!$A$8:$Z$364,'CONTROLE CMM'!$A$8:$N$364,'CONTROLE GLOBO AÇOS'!$A$8:$Z$364,#REF!),0,$U16),"&gt;0")),""))</f>
        <v/>
      </c>
      <c r="X16" s="319">
        <f>IFERROR(L16/E16,"")</f>
        <v/>
      </c>
    </row>
    <row r="17">
      <c r="A17" s="81">
        <f>IF(T17="","",8)</f>
        <v/>
      </c>
      <c r="B17" s="62">
        <f>IF(T17="","",INDEX('ESCOPO POR EMPRESA'!$A$5:$A$52,T17))</f>
        <v/>
      </c>
      <c r="C17" s="62">
        <f>IF(T17="","",INDEX('ESCOPO POR EMPRESA'!$B$5:$B$52,T17))</f>
        <v/>
      </c>
      <c r="D17" s="81">
        <f>IF(T17="","",INDEX('ESCOPO POR EMPRESA'!$T$5:$T$52,T17))</f>
        <v/>
      </c>
      <c r="E17" s="159">
        <f>IF(T17="","",IF(N(INDEX('ESCOPO POR EMPRESA'!$E$5:$H$52,T17,$K$4))=0,"",INDEX('ESCOPO POR EMPRESA'!$E$5:$H$52,T17,$K$4)))</f>
        <v/>
      </c>
      <c r="F17" s="159">
        <f>IF(T17="","",INDEX('ESCOPO POR EMPRESA'!$K$5:$N$52,T17,$K$4))</f>
        <v/>
      </c>
      <c r="G17" s="317">
        <f>IF(T17="","",INDEX('METAS CLIENTE'!$C$5:$C$52,T17))</f>
        <v/>
      </c>
      <c r="H17" s="317">
        <f>IF(T17="","",INDEX('METAS CLIENTE'!$M$5:$M$52,T17))</f>
        <v/>
      </c>
      <c r="I17" s="159">
        <f>IF(L17="","",MAX(0,L17-IF(OR($D$4="",$D$4&lt;=G17),0,MIN(E17,F17*NETWORKDAYS.INTL(G17,$D$4-1,"0000011")))))</f>
        <v/>
      </c>
      <c r="J17" s="159">
        <f>IF(OR(T17="",N(U17)=0,$D$4="",$F$4=""),"",SUMIFS(INDEX(CHOOSE($K$4,'CONTROLE EJ'!$A$8:$Z$364,'CONTROLE CMM'!$A$8:$N$364,'CONTROLE GLOBO AÇOS'!$A$8:$Z$364,#REF!),0,$U17),'CONTROLE EJ'!$A$8:$A$364,"&gt;="&amp;$D$4,'CONTROLE EJ'!$A$8:$A$364,"&lt;="&amp;$F$4))</f>
        <v/>
      </c>
      <c r="K17" s="319">
        <f>IFERROR(J17/I17,"")</f>
        <v/>
      </c>
      <c r="L17" s="159">
        <f>IF(OR(E17="",F17="",G17="",$F$4=""),"",IF($F$4&lt;G17,0,MIN(E17,F17*NETWORKDAYS.INTL(G17,$F$4,"0000011"))))</f>
        <v/>
      </c>
      <c r="M17" s="159">
        <f>IF(OR(T17="",N(U17)=0,$F$4=""),"",SUMIFS(INDEX(CHOOSE($K$4,'CONTROLE EJ'!$A$8:$Z$364,'CONTROLE CMM'!$A$8:$N$364,'CONTROLE GLOBO AÇOS'!$A$8:$Z$364,#REF!),0,$U17),'CONTROLE EJ'!$A$8:$A$364,"&lt;="&amp;$F$4))</f>
        <v/>
      </c>
      <c r="N17" s="319">
        <f>IFERROR(M17/E17,"")</f>
        <v/>
      </c>
      <c r="O17" s="159">
        <f>IF(OR(L17="",M17=""),"",M17-L17)</f>
        <v/>
      </c>
      <c r="P17" s="159">
        <f>IF(OR(W17="",M17=""),"",IF($F$4&lt;W17,"",M17/MAX(1,NETWORKDAYS.INTL(W17,$F$4,"0000011"))))</f>
        <v/>
      </c>
      <c r="Q17" s="159">
        <f>IF(OR(E17="",M17="",H17=""),"",IF(E17-M17&lt;=0,0,IF($F$4&gt;=H17,E17-M17,(E17-M17)/MAX(1,NETWORKDAYS.INTL($F$4+1,H17,"0000011")))))</f>
        <v/>
      </c>
      <c r="R17" s="317">
        <f>IF(OR(E17="",F17="",M17=""),"",IF(E17-M17&lt;=0,$F$4,WORKDAY.INTL(MAX($F$4,G17-1),ROUNDUP((E17-M17)/IF(N(P17)&gt;0,IF(NETWORKDAYS.INTL(W17,$F$4,"0000011")&gt;=5,P17,F17),F17),0),"0000011")))</f>
        <v/>
      </c>
      <c r="S17" s="81">
        <f>IF(T17="","",IF(E17="","CONFIGURAR",IF(M17&gt;=E17,"CONCLUÍDO",IF(R17="","",IF(R17&lt;H17,"ADIANTADO",IF(R17=H17,"NO PRAZO","ATRASO"))))))</f>
        <v/>
      </c>
      <c r="T17" s="81">
        <f>IFERROR(MATCH(8,INDEX('ESCOPO POR EMPRESA'!$U$5:$W$52,0,$L$4),0),"")</f>
        <v/>
      </c>
      <c r="U17" s="81">
        <f>IF(T17="","",INDEX('ESCOPO POR EMPRESA'!$O$5:$R$52,T17,$K$4))</f>
        <v/>
      </c>
      <c r="V17" s="159">
        <f>IF(OR(T17="",E17=""),0,INDEX('METAS CLIENTE'!$L$5:$L$52,T17))</f>
        <v/>
      </c>
      <c r="W17" s="317">
        <f>IF(OR(T17="",N(U17)=0),"",IFERROR(1/(1/_xlfn.MINIFS('CONTROLE EJ'!$A$8:$A$364,INDEX(CHOOSE($K$4,'CONTROLE EJ'!$A$8:$Z$364,'CONTROLE CMM'!$A$8:$N$364,'CONTROLE GLOBO AÇOS'!$A$8:$Z$364,#REF!),0,$U17),"&gt;0")),""))</f>
        <v/>
      </c>
      <c r="X17" s="319">
        <f>IFERROR(L17/E17,"")</f>
        <v/>
      </c>
    </row>
    <row r="18">
      <c r="A18" s="81">
        <f>IF(T18="","",9)</f>
        <v/>
      </c>
      <c r="B18" s="62">
        <f>IF(T18="","",INDEX('ESCOPO POR EMPRESA'!$A$5:$A$52,T18))</f>
        <v/>
      </c>
      <c r="C18" s="62">
        <f>IF(T18="","",INDEX('ESCOPO POR EMPRESA'!$B$5:$B$52,T18))</f>
        <v/>
      </c>
      <c r="D18" s="81">
        <f>IF(T18="","",INDEX('ESCOPO POR EMPRESA'!$T$5:$T$52,T18))</f>
        <v/>
      </c>
      <c r="E18" s="159">
        <f>IF(T18="","",IF(N(INDEX('ESCOPO POR EMPRESA'!$E$5:$H$52,T18,$K$4))=0,"",INDEX('ESCOPO POR EMPRESA'!$E$5:$H$52,T18,$K$4)))</f>
        <v/>
      </c>
      <c r="F18" s="159">
        <f>IF(T18="","",INDEX('ESCOPO POR EMPRESA'!$K$5:$N$52,T18,$K$4))</f>
        <v/>
      </c>
      <c r="G18" s="317">
        <f>IF(T18="","",INDEX('METAS CLIENTE'!$C$5:$C$52,T18))</f>
        <v/>
      </c>
      <c r="H18" s="317">
        <f>IF(T18="","",INDEX('METAS CLIENTE'!$M$5:$M$52,T18))</f>
        <v/>
      </c>
      <c r="I18" s="159">
        <f>IF(L18="","",MAX(0,L18-IF(OR($D$4="",$D$4&lt;=G18),0,MIN(E18,F18*NETWORKDAYS.INTL(G18,$D$4-1,"0000011")))))</f>
        <v/>
      </c>
      <c r="J18" s="159">
        <f>IF(OR(T18="",N(U18)=0,$D$4="",$F$4=""),"",SUMIFS(INDEX(CHOOSE($K$4,'CONTROLE EJ'!$A$8:$Z$364,'CONTROLE CMM'!$A$8:$N$364,'CONTROLE GLOBO AÇOS'!$A$8:$Z$364,#REF!),0,$U18),'CONTROLE EJ'!$A$8:$A$364,"&gt;="&amp;$D$4,'CONTROLE EJ'!$A$8:$A$364,"&lt;="&amp;$F$4))</f>
        <v/>
      </c>
      <c r="K18" s="319">
        <f>IFERROR(J18/I18,"")</f>
        <v/>
      </c>
      <c r="L18" s="159">
        <f>IF(OR(E18="",F18="",G18="",$F$4=""),"",IF($F$4&lt;G18,0,MIN(E18,F18*NETWORKDAYS.INTL(G18,$F$4,"0000011"))))</f>
        <v/>
      </c>
      <c r="M18" s="159">
        <f>IF(OR(T18="",N(U18)=0,$F$4=""),"",SUMIFS(INDEX(CHOOSE($K$4,'CONTROLE EJ'!$A$8:$Z$364,'CONTROLE CMM'!$A$8:$N$364,'CONTROLE GLOBO AÇOS'!$A$8:$Z$364,#REF!),0,$U18),'CONTROLE EJ'!$A$8:$A$364,"&lt;="&amp;$F$4))</f>
        <v/>
      </c>
      <c r="N18" s="319">
        <f>IFERROR(M18/E18,"")</f>
        <v/>
      </c>
      <c r="O18" s="159">
        <f>IF(OR(L18="",M18=""),"",M18-L18)</f>
        <v/>
      </c>
      <c r="P18" s="159">
        <f>IF(OR(W18="",M18=""),"",IF($F$4&lt;W18,"",M18/MAX(1,NETWORKDAYS.INTL(W18,$F$4,"0000011"))))</f>
        <v/>
      </c>
      <c r="Q18" s="159">
        <f>IF(OR(E18="",M18="",H18=""),"",IF(E18-M18&lt;=0,0,IF($F$4&gt;=H18,E18-M18,(E18-M18)/MAX(1,NETWORKDAYS.INTL($F$4+1,H18,"0000011")))))</f>
        <v/>
      </c>
      <c r="R18" s="317">
        <f>IF(OR(E18="",F18="",M18=""),"",IF(E18-M18&lt;=0,$F$4,WORKDAY.INTL(MAX($F$4,G18-1),ROUNDUP((E18-M18)/IF(N(P18)&gt;0,IF(NETWORKDAYS.INTL(W18,$F$4,"0000011")&gt;=5,P18,F18),F18),0),"0000011")))</f>
        <v/>
      </c>
      <c r="S18" s="81">
        <f>IF(T18="","",IF(E18="","CONFIGURAR",IF(M18&gt;=E18,"CONCLUÍDO",IF(R18="","",IF(R18&lt;H18,"ADIANTADO",IF(R18=H18,"NO PRAZO","ATRASO"))))))</f>
        <v/>
      </c>
      <c r="T18" s="81">
        <f>IFERROR(MATCH(9,INDEX('ESCOPO POR EMPRESA'!$U$5:$W$52,0,$L$4),0),"")</f>
        <v/>
      </c>
      <c r="U18" s="81">
        <f>IF(T18="","",INDEX('ESCOPO POR EMPRESA'!$O$5:$R$52,T18,$K$4))</f>
        <v/>
      </c>
      <c r="V18" s="159">
        <f>IF(OR(T18="",E18=""),0,INDEX('METAS CLIENTE'!$L$5:$L$52,T18))</f>
        <v/>
      </c>
      <c r="W18" s="317">
        <f>IF(OR(T18="",N(U18)=0),"",IFERROR(1/(1/_xlfn.MINIFS('CONTROLE EJ'!$A$8:$A$364,INDEX(CHOOSE($K$4,'CONTROLE EJ'!$A$8:$Z$364,'CONTROLE CMM'!$A$8:$N$364,'CONTROLE GLOBO AÇOS'!$A$8:$Z$364,#REF!),0,$U18),"&gt;0")),""))</f>
        <v/>
      </c>
      <c r="X18" s="319">
        <f>IFERROR(L18/E18,"")</f>
        <v/>
      </c>
    </row>
    <row r="19">
      <c r="A19" s="81">
        <f>IF(T19="","",10)</f>
        <v/>
      </c>
      <c r="B19" s="62">
        <f>IF(T19="","",INDEX('ESCOPO POR EMPRESA'!$A$5:$A$52,T19))</f>
        <v/>
      </c>
      <c r="C19" s="62">
        <f>IF(T19="","",INDEX('ESCOPO POR EMPRESA'!$B$5:$B$52,T19))</f>
        <v/>
      </c>
      <c r="D19" s="81">
        <f>IF(T19="","",INDEX('ESCOPO POR EMPRESA'!$T$5:$T$52,T19))</f>
        <v/>
      </c>
      <c r="E19" s="159">
        <f>IF(T19="","",IF(N(INDEX('ESCOPO POR EMPRESA'!$E$5:$H$52,T19,$K$4))=0,"",INDEX('ESCOPO POR EMPRESA'!$E$5:$H$52,T19,$K$4)))</f>
        <v/>
      </c>
      <c r="F19" s="159">
        <f>IF(T19="","",INDEX('ESCOPO POR EMPRESA'!$K$5:$N$52,T19,$K$4))</f>
        <v/>
      </c>
      <c r="G19" s="317">
        <f>IF(T19="","",INDEX('METAS CLIENTE'!$C$5:$C$52,T19))</f>
        <v/>
      </c>
      <c r="H19" s="317">
        <f>IF(T19="","",INDEX('METAS CLIENTE'!$M$5:$M$52,T19))</f>
        <v/>
      </c>
      <c r="I19" s="159">
        <f>IF(L19="","",MAX(0,L19-IF(OR($D$4="",$D$4&lt;=G19),0,MIN(E19,F19*NETWORKDAYS.INTL(G19,$D$4-1,"0000011")))))</f>
        <v/>
      </c>
      <c r="J19" s="159">
        <f>IF(OR(T19="",N(U19)=0,$D$4="",$F$4=""),"",SUMIFS(INDEX(CHOOSE($K$4,'CONTROLE EJ'!$A$8:$Z$364,'CONTROLE CMM'!$A$8:$N$364,'CONTROLE GLOBO AÇOS'!$A$8:$Z$364,#REF!),0,$U19),'CONTROLE EJ'!$A$8:$A$364,"&gt;="&amp;$D$4,'CONTROLE EJ'!$A$8:$A$364,"&lt;="&amp;$F$4))</f>
        <v/>
      </c>
      <c r="K19" s="319">
        <f>IFERROR(J19/I19,"")</f>
        <v/>
      </c>
      <c r="L19" s="159">
        <f>IF(OR(E19="",F19="",G19="",$F$4=""),"",IF($F$4&lt;G19,0,MIN(E19,F19*NETWORKDAYS.INTL(G19,$F$4,"0000011"))))</f>
        <v/>
      </c>
      <c r="M19" s="159">
        <f>IF(OR(T19="",N(U19)=0,$F$4=""),"",SUMIFS(INDEX(CHOOSE($K$4,'CONTROLE EJ'!$A$8:$Z$364,'CONTROLE CMM'!$A$8:$N$364,'CONTROLE GLOBO AÇOS'!$A$8:$Z$364,#REF!),0,$U19),'CONTROLE EJ'!$A$8:$A$364,"&lt;="&amp;$F$4))</f>
        <v/>
      </c>
      <c r="N19" s="319">
        <f>IFERROR(M19/E19,"")</f>
        <v/>
      </c>
      <c r="O19" s="159">
        <f>IF(OR(L19="",M19=""),"",M19-L19)</f>
        <v/>
      </c>
      <c r="P19" s="159">
        <f>IF(OR(W19="",M19=""),"",IF($F$4&lt;W19,"",M19/MAX(1,NETWORKDAYS.INTL(W19,$F$4,"0000011"))))</f>
        <v/>
      </c>
      <c r="Q19" s="159">
        <f>IF(OR(E19="",M19="",H19=""),"",IF(E19-M19&lt;=0,0,IF($F$4&gt;=H19,E19-M19,(E19-M19)/MAX(1,NETWORKDAYS.INTL($F$4+1,H19,"0000011")))))</f>
        <v/>
      </c>
      <c r="R19" s="317">
        <f>IF(OR(E19="",F19="",M19=""),"",IF(E19-M19&lt;=0,$F$4,WORKDAY.INTL(MAX($F$4,G19-1),ROUNDUP((E19-M19)/IF(N(P19)&gt;0,IF(NETWORKDAYS.INTL(W19,$F$4,"0000011")&gt;=5,P19,F19),F19),0),"0000011")))</f>
        <v/>
      </c>
      <c r="S19" s="81">
        <f>IF(T19="","",IF(E19="","CONFIGURAR",IF(M19&gt;=E19,"CONCLUÍDO",IF(R19="","",IF(R19&lt;H19,"ADIANTADO",IF(R19=H19,"NO PRAZO","ATRASO"))))))</f>
        <v/>
      </c>
      <c r="T19" s="81">
        <f>IFERROR(MATCH(10,INDEX('ESCOPO POR EMPRESA'!$U$5:$W$52,0,$L$4),0),"")</f>
        <v/>
      </c>
      <c r="U19" s="81">
        <f>IF(T19="","",INDEX('ESCOPO POR EMPRESA'!$O$5:$R$52,T19,$K$4))</f>
        <v/>
      </c>
      <c r="V19" s="159">
        <f>IF(OR(T19="",E19=""),0,INDEX('METAS CLIENTE'!$L$5:$L$52,T19))</f>
        <v/>
      </c>
      <c r="W19" s="317">
        <f>IF(OR(T19="",N(U19)=0),"",IFERROR(1/(1/_xlfn.MINIFS('CONTROLE EJ'!$A$8:$A$364,INDEX(CHOOSE($K$4,'CONTROLE EJ'!$A$8:$Z$364,'CONTROLE CMM'!$A$8:$N$364,'CONTROLE GLOBO AÇOS'!$A$8:$Z$364,#REF!),0,$U19),"&gt;0")),""))</f>
        <v/>
      </c>
      <c r="X19" s="319">
        <f>IFERROR(L19/E19,"")</f>
        <v/>
      </c>
    </row>
    <row r="20">
      <c r="A20" s="81">
        <f>IF(T20="","",11)</f>
        <v/>
      </c>
      <c r="B20" s="62">
        <f>IF(T20="","",INDEX('ESCOPO POR EMPRESA'!$A$5:$A$52,T20))</f>
        <v/>
      </c>
      <c r="C20" s="62">
        <f>IF(T20="","",INDEX('ESCOPO POR EMPRESA'!$B$5:$B$52,T20))</f>
        <v/>
      </c>
      <c r="D20" s="81">
        <f>IF(T20="","",INDEX('ESCOPO POR EMPRESA'!$T$5:$T$52,T20))</f>
        <v/>
      </c>
      <c r="E20" s="159">
        <f>IF(T20="","",IF(N(INDEX('ESCOPO POR EMPRESA'!$E$5:$H$52,T20,$K$4))=0,"",INDEX('ESCOPO POR EMPRESA'!$E$5:$H$52,T20,$K$4)))</f>
        <v/>
      </c>
      <c r="F20" s="159">
        <f>IF(T20="","",INDEX('ESCOPO POR EMPRESA'!$K$5:$N$52,T20,$K$4))</f>
        <v/>
      </c>
      <c r="G20" s="317">
        <f>IF(T20="","",INDEX('METAS CLIENTE'!$C$5:$C$52,T20))</f>
        <v/>
      </c>
      <c r="H20" s="317">
        <f>IF(T20="","",INDEX('METAS CLIENTE'!$M$5:$M$52,T20))</f>
        <v/>
      </c>
      <c r="I20" s="159">
        <f>IF(L20="","",MAX(0,L20-IF(OR($D$4="",$D$4&lt;=G20),0,MIN(E20,F20*NETWORKDAYS.INTL(G20,$D$4-1,"0000011")))))</f>
        <v/>
      </c>
      <c r="J20" s="159">
        <f>IF(OR(T20="",N(U20)=0,$D$4="",$F$4=""),"",SUMIFS(INDEX(CHOOSE($K$4,'CONTROLE EJ'!$A$8:$Z$364,'CONTROLE CMM'!$A$8:$N$364,'CONTROLE GLOBO AÇOS'!$A$8:$Z$364,#REF!),0,$U20),'CONTROLE EJ'!$A$8:$A$364,"&gt;="&amp;$D$4,'CONTROLE EJ'!$A$8:$A$364,"&lt;="&amp;$F$4))</f>
        <v/>
      </c>
      <c r="K20" s="319">
        <f>IFERROR(J20/I20,"")</f>
        <v/>
      </c>
      <c r="L20" s="159">
        <f>IF(OR(E20="",F20="",G20="",$F$4=""),"",IF($F$4&lt;G20,0,MIN(E20,F20*NETWORKDAYS.INTL(G20,$F$4,"0000011"))))</f>
        <v/>
      </c>
      <c r="M20" s="159">
        <f>IF(OR(T20="",N(U20)=0,$F$4=""),"",SUMIFS(INDEX(CHOOSE($K$4,'CONTROLE EJ'!$A$8:$Z$364,'CONTROLE CMM'!$A$8:$N$364,'CONTROLE GLOBO AÇOS'!$A$8:$Z$364,#REF!),0,$U20),'CONTROLE EJ'!$A$8:$A$364,"&lt;="&amp;$F$4))</f>
        <v/>
      </c>
      <c r="N20" s="319">
        <f>IFERROR(M20/E20,"")</f>
        <v/>
      </c>
      <c r="O20" s="159">
        <f>IF(OR(L20="",M20=""),"",M20-L20)</f>
        <v/>
      </c>
      <c r="P20" s="159">
        <f>IF(OR(W20="",M20=""),"",IF($F$4&lt;W20,"",M20/MAX(1,NETWORKDAYS.INTL(W20,$F$4,"0000011"))))</f>
        <v/>
      </c>
      <c r="Q20" s="159">
        <f>IF(OR(E20="",M20="",H20=""),"",IF(E20-M20&lt;=0,0,IF($F$4&gt;=H20,E20-M20,(E20-M20)/MAX(1,NETWORKDAYS.INTL($F$4+1,H20,"0000011")))))</f>
        <v/>
      </c>
      <c r="R20" s="317">
        <f>IF(OR(E20="",F20="",M20=""),"",IF(E20-M20&lt;=0,$F$4,WORKDAY.INTL(MAX($F$4,G20-1),ROUNDUP((E20-M20)/IF(N(P20)&gt;0,IF(NETWORKDAYS.INTL(W20,$F$4,"0000011")&gt;=5,P20,F20),F20),0),"0000011")))</f>
        <v/>
      </c>
      <c r="S20" s="81">
        <f>IF(T20="","",IF(E20="","CONFIGURAR",IF(M20&gt;=E20,"CONCLUÍDO",IF(R20="","",IF(R20&lt;H20,"ADIANTADO",IF(R20=H20,"NO PRAZO","ATRASO"))))))</f>
        <v/>
      </c>
      <c r="T20" s="81">
        <f>IFERROR(MATCH(11,INDEX('ESCOPO POR EMPRESA'!$U$5:$W$52,0,$L$4),0),"")</f>
        <v/>
      </c>
      <c r="U20" s="81">
        <f>IF(T20="","",INDEX('ESCOPO POR EMPRESA'!$O$5:$R$52,T20,$K$4))</f>
        <v/>
      </c>
      <c r="V20" s="159">
        <f>IF(OR(T20="",E20=""),0,INDEX('METAS CLIENTE'!$L$5:$L$52,T20))</f>
        <v/>
      </c>
      <c r="W20" s="317">
        <f>IF(OR(T20="",N(U20)=0),"",IFERROR(1/(1/_xlfn.MINIFS('CONTROLE EJ'!$A$8:$A$364,INDEX(CHOOSE($K$4,'CONTROLE EJ'!$A$8:$Z$364,'CONTROLE CMM'!$A$8:$N$364,'CONTROLE GLOBO AÇOS'!$A$8:$Z$364,#REF!),0,$U20),"&gt;0")),""))</f>
        <v/>
      </c>
      <c r="X20" s="319">
        <f>IFERROR(L20/E20,"")</f>
        <v/>
      </c>
    </row>
    <row r="21">
      <c r="A21" s="81">
        <f>IF(T21="","",12)</f>
        <v/>
      </c>
      <c r="B21" s="62">
        <f>IF(T21="","",INDEX('ESCOPO POR EMPRESA'!$A$5:$A$52,T21))</f>
        <v/>
      </c>
      <c r="C21" s="62">
        <f>IF(T21="","",INDEX('ESCOPO POR EMPRESA'!$B$5:$B$52,T21))</f>
        <v/>
      </c>
      <c r="D21" s="81">
        <f>IF(T21="","",INDEX('ESCOPO POR EMPRESA'!$T$5:$T$52,T21))</f>
        <v/>
      </c>
      <c r="E21" s="159">
        <f>IF(T21="","",IF(N(INDEX('ESCOPO POR EMPRESA'!$E$5:$H$52,T21,$K$4))=0,"",INDEX('ESCOPO POR EMPRESA'!$E$5:$H$52,T21,$K$4)))</f>
        <v/>
      </c>
      <c r="F21" s="159">
        <f>IF(T21="","",INDEX('ESCOPO POR EMPRESA'!$K$5:$N$52,T21,$K$4))</f>
        <v/>
      </c>
      <c r="G21" s="317">
        <f>IF(T21="","",INDEX('METAS CLIENTE'!$C$5:$C$52,T21))</f>
        <v/>
      </c>
      <c r="H21" s="317">
        <f>IF(T21="","",INDEX('METAS CLIENTE'!$M$5:$M$52,T21))</f>
        <v/>
      </c>
      <c r="I21" s="159">
        <f>IF(L21="","",MAX(0,L21-IF(OR($D$4="",$D$4&lt;=G21),0,MIN(E21,F21*NETWORKDAYS.INTL(G21,$D$4-1,"0000011")))))</f>
        <v/>
      </c>
      <c r="J21" s="159">
        <f>IF(OR(T21="",N(U21)=0,$D$4="",$F$4=""),"",SUMIFS(INDEX(CHOOSE($K$4,'CONTROLE EJ'!$A$8:$Z$364,'CONTROLE CMM'!$A$8:$N$364,'CONTROLE GLOBO AÇOS'!$A$8:$Z$364,#REF!),0,$U21),'CONTROLE EJ'!$A$8:$A$364,"&gt;="&amp;$D$4,'CONTROLE EJ'!$A$8:$A$364,"&lt;="&amp;$F$4))</f>
        <v/>
      </c>
      <c r="K21" s="319">
        <f>IFERROR(J21/I21,"")</f>
        <v/>
      </c>
      <c r="L21" s="159">
        <f>IF(OR(E21="",F21="",G21="",$F$4=""),"",IF($F$4&lt;G21,0,MIN(E21,F21*NETWORKDAYS.INTL(G21,$F$4,"0000011"))))</f>
        <v/>
      </c>
      <c r="M21" s="159">
        <f>IF(OR(T21="",N(U21)=0,$F$4=""),"",SUMIFS(INDEX(CHOOSE($K$4,'CONTROLE EJ'!$A$8:$Z$364,'CONTROLE CMM'!$A$8:$N$364,'CONTROLE GLOBO AÇOS'!$A$8:$Z$364,#REF!),0,$U21),'CONTROLE EJ'!$A$8:$A$364,"&lt;="&amp;$F$4))</f>
        <v/>
      </c>
      <c r="N21" s="319">
        <f>IFERROR(M21/E21,"")</f>
        <v/>
      </c>
      <c r="O21" s="159">
        <f>IF(OR(L21="",M21=""),"",M21-L21)</f>
        <v/>
      </c>
      <c r="P21" s="159">
        <f>IF(OR(W21="",M21=""),"",IF($F$4&lt;W21,"",M21/MAX(1,NETWORKDAYS.INTL(W21,$F$4,"0000011"))))</f>
        <v/>
      </c>
      <c r="Q21" s="159">
        <f>IF(OR(E21="",M21="",H21=""),"",IF(E21-M21&lt;=0,0,IF($F$4&gt;=H21,E21-M21,(E21-M21)/MAX(1,NETWORKDAYS.INTL($F$4+1,H21,"0000011")))))</f>
        <v/>
      </c>
      <c r="R21" s="317">
        <f>IF(OR(E21="",F21="",M21=""),"",IF(E21-M21&lt;=0,$F$4,WORKDAY.INTL(MAX($F$4,G21-1),ROUNDUP((E21-M21)/IF(N(P21)&gt;0,IF(NETWORKDAYS.INTL(W21,$F$4,"0000011")&gt;=5,P21,F21),F21),0),"0000011")))</f>
        <v/>
      </c>
      <c r="S21" s="81">
        <f>IF(T21="","",IF(E21="","CONFIGURAR",IF(M21&gt;=E21,"CONCLUÍDO",IF(R21="","",IF(R21&lt;H21,"ADIANTADO",IF(R21=H21,"NO PRAZO","ATRASO"))))))</f>
        <v/>
      </c>
      <c r="T21" s="81">
        <f>IFERROR(MATCH(12,INDEX('ESCOPO POR EMPRESA'!$U$5:$W$52,0,$L$4),0),"")</f>
        <v/>
      </c>
      <c r="U21" s="81">
        <f>IF(T21="","",INDEX('ESCOPO POR EMPRESA'!$O$5:$R$52,T21,$K$4))</f>
        <v/>
      </c>
      <c r="V21" s="159">
        <f>IF(OR(T21="",E21=""),0,INDEX('METAS CLIENTE'!$L$5:$L$52,T21))</f>
        <v/>
      </c>
      <c r="W21" s="317">
        <f>IF(OR(T21="",N(U21)=0),"",IFERROR(1/(1/_xlfn.MINIFS('CONTROLE EJ'!$A$8:$A$364,INDEX(CHOOSE($K$4,'CONTROLE EJ'!$A$8:$Z$364,'CONTROLE CMM'!$A$8:$N$364,'CONTROLE GLOBO AÇOS'!$A$8:$Z$364,#REF!),0,$U21),"&gt;0")),""))</f>
        <v/>
      </c>
      <c r="X21" s="319">
        <f>IFERROR(L21/E21,"")</f>
        <v/>
      </c>
    </row>
    <row r="22">
      <c r="A22" s="81">
        <f>IF(T22="","",13)</f>
        <v/>
      </c>
      <c r="B22" s="62">
        <f>IF(T22="","",INDEX('ESCOPO POR EMPRESA'!$A$5:$A$52,T22))</f>
        <v/>
      </c>
      <c r="C22" s="62">
        <f>IF(T22="","",INDEX('ESCOPO POR EMPRESA'!$B$5:$B$52,T22))</f>
        <v/>
      </c>
      <c r="D22" s="81">
        <f>IF(T22="","",INDEX('ESCOPO POR EMPRESA'!$T$5:$T$52,T22))</f>
        <v/>
      </c>
      <c r="E22" s="159">
        <f>IF(T22="","",IF(N(INDEX('ESCOPO POR EMPRESA'!$E$5:$H$52,T22,$K$4))=0,"",INDEX('ESCOPO POR EMPRESA'!$E$5:$H$52,T22,$K$4)))</f>
        <v/>
      </c>
      <c r="F22" s="159">
        <f>IF(T22="","",INDEX('ESCOPO POR EMPRESA'!$K$5:$N$52,T22,$K$4))</f>
        <v/>
      </c>
      <c r="G22" s="317">
        <f>IF(T22="","",INDEX('METAS CLIENTE'!$C$5:$C$52,T22))</f>
        <v/>
      </c>
      <c r="H22" s="317">
        <f>IF(T22="","",INDEX('METAS CLIENTE'!$M$5:$M$52,T22))</f>
        <v/>
      </c>
      <c r="I22" s="159">
        <f>IF(L22="","",MAX(0,L22-IF(OR($D$4="",$D$4&lt;=G22),0,MIN(E22,F22*NETWORKDAYS.INTL(G22,$D$4-1,"0000011")))))</f>
        <v/>
      </c>
      <c r="J22" s="159">
        <f>IF(OR(T22="",N(U22)=0,$D$4="",$F$4=""),"",SUMIFS(INDEX(CHOOSE($K$4,'CONTROLE EJ'!$A$8:$Z$364,'CONTROLE CMM'!$A$8:$N$364,'CONTROLE GLOBO AÇOS'!$A$8:$Z$364,#REF!),0,$U22),'CONTROLE EJ'!$A$8:$A$364,"&gt;="&amp;$D$4,'CONTROLE EJ'!$A$8:$A$364,"&lt;="&amp;$F$4))</f>
        <v/>
      </c>
      <c r="K22" s="319">
        <f>IFERROR(J22/I22,"")</f>
        <v/>
      </c>
      <c r="L22" s="159">
        <f>IF(OR(E22="",F22="",G22="",$F$4=""),"",IF($F$4&lt;G22,0,MIN(E22,F22*NETWORKDAYS.INTL(G22,$F$4,"0000011"))))</f>
        <v/>
      </c>
      <c r="M22" s="159">
        <f>IF(OR(T22="",N(U22)=0,$F$4=""),"",SUMIFS(INDEX(CHOOSE($K$4,'CONTROLE EJ'!$A$8:$Z$364,'CONTROLE CMM'!$A$8:$N$364,'CONTROLE GLOBO AÇOS'!$A$8:$Z$364,#REF!),0,$U22),'CONTROLE EJ'!$A$8:$A$364,"&lt;="&amp;$F$4))</f>
        <v/>
      </c>
      <c r="N22" s="319">
        <f>IFERROR(M22/E22,"")</f>
        <v/>
      </c>
      <c r="O22" s="159">
        <f>IF(OR(L22="",M22=""),"",M22-L22)</f>
        <v/>
      </c>
      <c r="P22" s="159">
        <f>IF(OR(W22="",M22=""),"",IF($F$4&lt;W22,"",M22/MAX(1,NETWORKDAYS.INTL(W22,$F$4,"0000011"))))</f>
        <v/>
      </c>
      <c r="Q22" s="159">
        <f>IF(OR(E22="",M22="",H22=""),"",IF(E22-M22&lt;=0,0,IF($F$4&gt;=H22,E22-M22,(E22-M22)/MAX(1,NETWORKDAYS.INTL($F$4+1,H22,"0000011")))))</f>
        <v/>
      </c>
      <c r="R22" s="317">
        <f>IF(OR(E22="",F22="",M22=""),"",IF(E22-M22&lt;=0,$F$4,WORKDAY.INTL(MAX($F$4,G22-1),ROUNDUP((E22-M22)/IF(N(P22)&gt;0,IF(NETWORKDAYS.INTL(W22,$F$4,"0000011")&gt;=5,P22,F22),F22),0),"0000011")))</f>
        <v/>
      </c>
      <c r="S22" s="81">
        <f>IF(T22="","",IF(E22="","CONFIGURAR",IF(M22&gt;=E22,"CONCLUÍDO",IF(R22="","",IF(R22&lt;H22,"ADIANTADO",IF(R22=H22,"NO PRAZO","ATRASO"))))))</f>
        <v/>
      </c>
      <c r="T22" s="81">
        <f>IFERROR(MATCH(13,INDEX('ESCOPO POR EMPRESA'!$U$5:$W$52,0,$L$4),0),"")</f>
        <v/>
      </c>
      <c r="U22" s="81">
        <f>IF(T22="","",INDEX('ESCOPO POR EMPRESA'!$O$5:$R$52,T22,$K$4))</f>
        <v/>
      </c>
      <c r="V22" s="159">
        <f>IF(OR(T22="",E22=""),0,INDEX('METAS CLIENTE'!$L$5:$L$52,T22))</f>
        <v/>
      </c>
      <c r="W22" s="317">
        <f>IF(OR(T22="",N(U22)=0),"",IFERROR(1/(1/_xlfn.MINIFS('CONTROLE EJ'!$A$8:$A$364,INDEX(CHOOSE($K$4,'CONTROLE EJ'!$A$8:$Z$364,'CONTROLE CMM'!$A$8:$N$364,'CONTROLE GLOBO AÇOS'!$A$8:$Z$364,#REF!),0,$U22),"&gt;0")),""))</f>
        <v/>
      </c>
      <c r="X22" s="319">
        <f>IFERROR(L22/E22,"")</f>
        <v/>
      </c>
    </row>
    <row r="23">
      <c r="A23" s="81">
        <f>IF(T23="","",14)</f>
        <v/>
      </c>
      <c r="B23" s="62">
        <f>IF(T23="","",INDEX('ESCOPO POR EMPRESA'!$A$5:$A$52,T23))</f>
        <v/>
      </c>
      <c r="C23" s="62">
        <f>IF(T23="","",INDEX('ESCOPO POR EMPRESA'!$B$5:$B$52,T23))</f>
        <v/>
      </c>
      <c r="D23" s="81">
        <f>IF(T23="","",INDEX('ESCOPO POR EMPRESA'!$T$5:$T$52,T23))</f>
        <v/>
      </c>
      <c r="E23" s="159">
        <f>IF(T23="","",IF(N(INDEX('ESCOPO POR EMPRESA'!$E$5:$H$52,T23,$K$4))=0,"",INDEX('ESCOPO POR EMPRESA'!$E$5:$H$52,T23,$K$4)))</f>
        <v/>
      </c>
      <c r="F23" s="159">
        <f>IF(T23="","",INDEX('ESCOPO POR EMPRESA'!$K$5:$N$52,T23,$K$4))</f>
        <v/>
      </c>
      <c r="G23" s="317">
        <f>IF(T23="","",INDEX('METAS CLIENTE'!$C$5:$C$52,T23))</f>
        <v/>
      </c>
      <c r="H23" s="317">
        <f>IF(T23="","",INDEX('METAS CLIENTE'!$M$5:$M$52,T23))</f>
        <v/>
      </c>
      <c r="I23" s="159">
        <f>IF(L23="","",MAX(0,L23-IF(OR($D$4="",$D$4&lt;=G23),0,MIN(E23,F23*NETWORKDAYS.INTL(G23,$D$4-1,"0000011")))))</f>
        <v/>
      </c>
      <c r="J23" s="159">
        <f>IF(OR(T23="",N(U23)=0,$D$4="",$F$4=""),"",SUMIFS(INDEX(CHOOSE($K$4,'CONTROLE EJ'!$A$8:$Z$364,'CONTROLE CMM'!$A$8:$N$364,'CONTROLE GLOBO AÇOS'!$A$8:$Z$364,#REF!),0,$U23),'CONTROLE EJ'!$A$8:$A$364,"&gt;="&amp;$D$4,'CONTROLE EJ'!$A$8:$A$364,"&lt;="&amp;$F$4))</f>
        <v/>
      </c>
      <c r="K23" s="319">
        <f>IFERROR(J23/I23,"")</f>
        <v/>
      </c>
      <c r="L23" s="159">
        <f>IF(OR(E23="",F23="",G23="",$F$4=""),"",IF($F$4&lt;G23,0,MIN(E23,F23*NETWORKDAYS.INTL(G23,$F$4,"0000011"))))</f>
        <v/>
      </c>
      <c r="M23" s="159">
        <f>IF(OR(T23="",N(U23)=0,$F$4=""),"",SUMIFS(INDEX(CHOOSE($K$4,'CONTROLE EJ'!$A$8:$Z$364,'CONTROLE CMM'!$A$8:$N$364,'CONTROLE GLOBO AÇOS'!$A$8:$Z$364,#REF!),0,$U23),'CONTROLE EJ'!$A$8:$A$364,"&lt;="&amp;$F$4))</f>
        <v/>
      </c>
      <c r="N23" s="319">
        <f>IFERROR(M23/E23,"")</f>
        <v/>
      </c>
      <c r="O23" s="159">
        <f>IF(OR(L23="",M23=""),"",M23-L23)</f>
        <v/>
      </c>
      <c r="P23" s="159">
        <f>IF(OR(W23="",M23=""),"",IF($F$4&lt;W23,"",M23/MAX(1,NETWORKDAYS.INTL(W23,$F$4,"0000011"))))</f>
        <v/>
      </c>
      <c r="Q23" s="159">
        <f>IF(OR(E23="",M23="",H23=""),"",IF(E23-M23&lt;=0,0,IF($F$4&gt;=H23,E23-M23,(E23-M23)/MAX(1,NETWORKDAYS.INTL($F$4+1,H23,"0000011")))))</f>
        <v/>
      </c>
      <c r="R23" s="317">
        <f>IF(OR(E23="",F23="",M23=""),"",IF(E23-M23&lt;=0,$F$4,WORKDAY.INTL(MAX($F$4,G23-1),ROUNDUP((E23-M23)/IF(N(P23)&gt;0,IF(NETWORKDAYS.INTL(W23,$F$4,"0000011")&gt;=5,P23,F23),F23),0),"0000011")))</f>
        <v/>
      </c>
      <c r="S23" s="81">
        <f>IF(T23="","",IF(E23="","CONFIGURAR",IF(M23&gt;=E23,"CONCLUÍDO",IF(R23="","",IF(R23&lt;H23,"ADIANTADO",IF(R23=H23,"NO PRAZO","ATRASO"))))))</f>
        <v/>
      </c>
      <c r="T23" s="81">
        <f>IFERROR(MATCH(14,INDEX('ESCOPO POR EMPRESA'!$U$5:$W$52,0,$L$4),0),"")</f>
        <v/>
      </c>
      <c r="U23" s="81">
        <f>IF(T23="","",INDEX('ESCOPO POR EMPRESA'!$O$5:$R$52,T23,$K$4))</f>
        <v/>
      </c>
      <c r="V23" s="159">
        <f>IF(OR(T23="",E23=""),0,INDEX('METAS CLIENTE'!$L$5:$L$52,T23))</f>
        <v/>
      </c>
      <c r="W23" s="317">
        <f>IF(OR(T23="",N(U23)=0),"",IFERROR(1/(1/_xlfn.MINIFS('CONTROLE EJ'!$A$8:$A$364,INDEX(CHOOSE($K$4,'CONTROLE EJ'!$A$8:$Z$364,'CONTROLE CMM'!$A$8:$N$364,'CONTROLE GLOBO AÇOS'!$A$8:$Z$364,#REF!),0,$U23),"&gt;0")),""))</f>
        <v/>
      </c>
      <c r="X23" s="319">
        <f>IFERROR(L23/E23,"")</f>
        <v/>
      </c>
    </row>
    <row r="24">
      <c r="A24" s="81">
        <f>IF(T24="","",15)</f>
        <v/>
      </c>
      <c r="B24" s="62">
        <f>IF(T24="","",INDEX('ESCOPO POR EMPRESA'!$A$5:$A$52,T24))</f>
        <v/>
      </c>
      <c r="C24" s="62">
        <f>IF(T24="","",INDEX('ESCOPO POR EMPRESA'!$B$5:$B$52,T24))</f>
        <v/>
      </c>
      <c r="D24" s="81">
        <f>IF(T24="","",INDEX('ESCOPO POR EMPRESA'!$T$5:$T$52,T24))</f>
        <v/>
      </c>
      <c r="E24" s="159">
        <f>IF(T24="","",IF(N(INDEX('ESCOPO POR EMPRESA'!$E$5:$H$52,T24,$K$4))=0,"",INDEX('ESCOPO POR EMPRESA'!$E$5:$H$52,T24,$K$4)))</f>
        <v/>
      </c>
      <c r="F24" s="159">
        <f>IF(T24="","",INDEX('ESCOPO POR EMPRESA'!$K$5:$N$52,T24,$K$4))</f>
        <v/>
      </c>
      <c r="G24" s="317">
        <f>IF(T24="","",INDEX('METAS CLIENTE'!$C$5:$C$52,T24))</f>
        <v/>
      </c>
      <c r="H24" s="317">
        <f>IF(T24="","",INDEX('METAS CLIENTE'!$M$5:$M$52,T24))</f>
        <v/>
      </c>
      <c r="I24" s="159">
        <f>IF(L24="","",MAX(0,L24-IF(OR($D$4="",$D$4&lt;=G24),0,MIN(E24,F24*NETWORKDAYS.INTL(G24,$D$4-1,"0000011")))))</f>
        <v/>
      </c>
      <c r="J24" s="159">
        <f>IF(OR(T24="",N(U24)=0,$D$4="",$F$4=""),"",SUMIFS(INDEX(CHOOSE($K$4,'CONTROLE EJ'!$A$8:$Z$364,'CONTROLE CMM'!$A$8:$N$364,'CONTROLE GLOBO AÇOS'!$A$8:$Z$364,#REF!),0,$U24),'CONTROLE EJ'!$A$8:$A$364,"&gt;="&amp;$D$4,'CONTROLE EJ'!$A$8:$A$364,"&lt;="&amp;$F$4))</f>
        <v/>
      </c>
      <c r="K24" s="319">
        <f>IFERROR(J24/I24,"")</f>
        <v/>
      </c>
      <c r="L24" s="159">
        <f>IF(OR(E24="",F24="",G24="",$F$4=""),"",IF($F$4&lt;G24,0,MIN(E24,F24*NETWORKDAYS.INTL(G24,$F$4,"0000011"))))</f>
        <v/>
      </c>
      <c r="M24" s="159">
        <f>IF(OR(T24="",N(U24)=0,$F$4=""),"",SUMIFS(INDEX(CHOOSE($K$4,'CONTROLE EJ'!$A$8:$Z$364,'CONTROLE CMM'!$A$8:$N$364,'CONTROLE GLOBO AÇOS'!$A$8:$Z$364,#REF!),0,$U24),'CONTROLE EJ'!$A$8:$A$364,"&lt;="&amp;$F$4))</f>
        <v/>
      </c>
      <c r="N24" s="319">
        <f>IFERROR(M24/E24,"")</f>
        <v/>
      </c>
      <c r="O24" s="159">
        <f>IF(OR(L24="",M24=""),"",M24-L24)</f>
        <v/>
      </c>
      <c r="P24" s="159">
        <f>IF(OR(W24="",M24=""),"",IF($F$4&lt;W24,"",M24/MAX(1,NETWORKDAYS.INTL(W24,$F$4,"0000011"))))</f>
        <v/>
      </c>
      <c r="Q24" s="159">
        <f>IF(OR(E24="",M24="",H24=""),"",IF(E24-M24&lt;=0,0,IF($F$4&gt;=H24,E24-M24,(E24-M24)/MAX(1,NETWORKDAYS.INTL($F$4+1,H24,"0000011")))))</f>
        <v/>
      </c>
      <c r="R24" s="317">
        <f>IF(OR(E24="",F24="",M24=""),"",IF(E24-M24&lt;=0,$F$4,WORKDAY.INTL(MAX($F$4,G24-1),ROUNDUP((E24-M24)/IF(N(P24)&gt;0,IF(NETWORKDAYS.INTL(W24,$F$4,"0000011")&gt;=5,P24,F24),F24),0),"0000011")))</f>
        <v/>
      </c>
      <c r="S24" s="81">
        <f>IF(T24="","",IF(E24="","CONFIGURAR",IF(M24&gt;=E24,"CONCLUÍDO",IF(R24="","",IF(R24&lt;H24,"ADIANTADO",IF(R24=H24,"NO PRAZO","ATRASO"))))))</f>
        <v/>
      </c>
      <c r="T24" s="81">
        <f>IFERROR(MATCH(15,INDEX('ESCOPO POR EMPRESA'!$U$5:$W$52,0,$L$4),0),"")</f>
        <v/>
      </c>
      <c r="U24" s="81">
        <f>IF(T24="","",INDEX('ESCOPO POR EMPRESA'!$O$5:$R$52,T24,$K$4))</f>
        <v/>
      </c>
      <c r="V24" s="159">
        <f>IF(OR(T24="",E24=""),0,INDEX('METAS CLIENTE'!$L$5:$L$52,T24))</f>
        <v/>
      </c>
      <c r="W24" s="317">
        <f>IF(OR(T24="",N(U24)=0),"",IFERROR(1/(1/_xlfn.MINIFS('CONTROLE EJ'!$A$8:$A$364,INDEX(CHOOSE($K$4,'CONTROLE EJ'!$A$8:$Z$364,'CONTROLE CMM'!$A$8:$N$364,'CONTROLE GLOBO AÇOS'!$A$8:$Z$364,#REF!),0,$U24),"&gt;0")),""))</f>
        <v/>
      </c>
      <c r="X24" s="319">
        <f>IFERROR(L24/E24,"")</f>
        <v/>
      </c>
    </row>
    <row r="25">
      <c r="A25" s="81">
        <f>IF(T25="","",16)</f>
        <v/>
      </c>
      <c r="B25" s="62">
        <f>IF(T25="","",INDEX('ESCOPO POR EMPRESA'!$A$5:$A$52,T25))</f>
        <v/>
      </c>
      <c r="C25" s="62">
        <f>IF(T25="","",INDEX('ESCOPO POR EMPRESA'!$B$5:$B$52,T25))</f>
        <v/>
      </c>
      <c r="D25" s="81">
        <f>IF(T25="","",INDEX('ESCOPO POR EMPRESA'!$T$5:$T$52,T25))</f>
        <v/>
      </c>
      <c r="E25" s="159">
        <f>IF(T25="","",IF(N(INDEX('ESCOPO POR EMPRESA'!$E$5:$H$52,T25,$K$4))=0,"",INDEX('ESCOPO POR EMPRESA'!$E$5:$H$52,T25,$K$4)))</f>
        <v/>
      </c>
      <c r="F25" s="159">
        <f>IF(T25="","",INDEX('ESCOPO POR EMPRESA'!$K$5:$N$52,T25,$K$4))</f>
        <v/>
      </c>
      <c r="G25" s="317">
        <f>IF(T25="","",INDEX('METAS CLIENTE'!$C$5:$C$52,T25))</f>
        <v/>
      </c>
      <c r="H25" s="317">
        <f>IF(T25="","",INDEX('METAS CLIENTE'!$M$5:$M$52,T25))</f>
        <v/>
      </c>
      <c r="I25" s="159">
        <f>IF(L25="","",MAX(0,L25-IF(OR($D$4="",$D$4&lt;=G25),0,MIN(E25,F25*NETWORKDAYS.INTL(G25,$D$4-1,"0000011")))))</f>
        <v/>
      </c>
      <c r="J25" s="159">
        <f>IF(OR(T25="",N(U25)=0,$D$4="",$F$4=""),"",SUMIFS(INDEX(CHOOSE($K$4,'CONTROLE EJ'!$A$8:$Z$364,'CONTROLE CMM'!$A$8:$N$364,'CONTROLE GLOBO AÇOS'!$A$8:$Z$364,#REF!),0,$U25),'CONTROLE EJ'!$A$8:$A$364,"&gt;="&amp;$D$4,'CONTROLE EJ'!$A$8:$A$364,"&lt;="&amp;$F$4))</f>
        <v/>
      </c>
      <c r="K25" s="319">
        <f>IFERROR(J25/I25,"")</f>
        <v/>
      </c>
      <c r="L25" s="159">
        <f>IF(OR(E25="",F25="",G25="",$F$4=""),"",IF($F$4&lt;G25,0,MIN(E25,F25*NETWORKDAYS.INTL(G25,$F$4,"0000011"))))</f>
        <v/>
      </c>
      <c r="M25" s="159">
        <f>IF(OR(T25="",N(U25)=0,$F$4=""),"",SUMIFS(INDEX(CHOOSE($K$4,'CONTROLE EJ'!$A$8:$Z$364,'CONTROLE CMM'!$A$8:$N$364,'CONTROLE GLOBO AÇOS'!$A$8:$Z$364,#REF!),0,$U25),'CONTROLE EJ'!$A$8:$A$364,"&lt;="&amp;$F$4))</f>
        <v/>
      </c>
      <c r="N25" s="319">
        <f>IFERROR(M25/E25,"")</f>
        <v/>
      </c>
      <c r="O25" s="159">
        <f>IF(OR(L25="",M25=""),"",M25-L25)</f>
        <v/>
      </c>
      <c r="P25" s="159">
        <f>IF(OR(W25="",M25=""),"",IF($F$4&lt;W25,"",M25/MAX(1,NETWORKDAYS.INTL(W25,$F$4,"0000011"))))</f>
        <v/>
      </c>
      <c r="Q25" s="159">
        <f>IF(OR(E25="",M25="",H25=""),"",IF(E25-M25&lt;=0,0,IF($F$4&gt;=H25,E25-M25,(E25-M25)/MAX(1,NETWORKDAYS.INTL($F$4+1,H25,"0000011")))))</f>
        <v/>
      </c>
      <c r="R25" s="317">
        <f>IF(OR(E25="",F25="",M25=""),"",IF(E25-M25&lt;=0,$F$4,WORKDAY.INTL(MAX($F$4,G25-1),ROUNDUP((E25-M25)/IF(N(P25)&gt;0,IF(NETWORKDAYS.INTL(W25,$F$4,"0000011")&gt;=5,P25,F25),F25),0),"0000011")))</f>
        <v/>
      </c>
      <c r="S25" s="81">
        <f>IF(T25="","",IF(E25="","CONFIGURAR",IF(M25&gt;=E25,"CONCLUÍDO",IF(R25="","",IF(R25&lt;H25,"ADIANTADO",IF(R25=H25,"NO PRAZO","ATRASO"))))))</f>
        <v/>
      </c>
      <c r="T25" s="81">
        <f>IFERROR(MATCH(16,INDEX('ESCOPO POR EMPRESA'!$U$5:$W$52,0,$L$4),0),"")</f>
        <v/>
      </c>
      <c r="U25" s="81">
        <f>IF(T25="","",INDEX('ESCOPO POR EMPRESA'!$O$5:$R$52,T25,$K$4))</f>
        <v/>
      </c>
      <c r="V25" s="159">
        <f>IF(OR(T25="",E25=""),0,INDEX('METAS CLIENTE'!$L$5:$L$52,T25))</f>
        <v/>
      </c>
      <c r="W25" s="317">
        <f>IF(OR(T25="",N(U25)=0),"",IFERROR(1/(1/_xlfn.MINIFS('CONTROLE EJ'!$A$8:$A$364,INDEX(CHOOSE($K$4,'CONTROLE EJ'!$A$8:$Z$364,'CONTROLE CMM'!$A$8:$N$364,'CONTROLE GLOBO AÇOS'!$A$8:$Z$364,#REF!),0,$U25),"&gt;0")),""))</f>
        <v/>
      </c>
      <c r="X25" s="319">
        <f>IFERROR(L25/E25,"")</f>
        <v/>
      </c>
    </row>
    <row r="26">
      <c r="A26" s="81">
        <f>IF(T26="","",17)</f>
        <v/>
      </c>
      <c r="B26" s="62">
        <f>IF(T26="","",INDEX('ESCOPO POR EMPRESA'!$A$5:$A$52,T26))</f>
        <v/>
      </c>
      <c r="C26" s="62">
        <f>IF(T26="","",INDEX('ESCOPO POR EMPRESA'!$B$5:$B$52,T26))</f>
        <v/>
      </c>
      <c r="D26" s="81">
        <f>IF(T26="","",INDEX('ESCOPO POR EMPRESA'!$T$5:$T$52,T26))</f>
        <v/>
      </c>
      <c r="E26" s="159">
        <f>IF(T26="","",IF(N(INDEX('ESCOPO POR EMPRESA'!$E$5:$H$52,T26,$K$4))=0,"",INDEX('ESCOPO POR EMPRESA'!$E$5:$H$52,T26,$K$4)))</f>
        <v/>
      </c>
      <c r="F26" s="159">
        <f>IF(T26="","",INDEX('ESCOPO POR EMPRESA'!$K$5:$N$52,T26,$K$4))</f>
        <v/>
      </c>
      <c r="G26" s="317">
        <f>IF(T26="","",INDEX('METAS CLIENTE'!$C$5:$C$52,T26))</f>
        <v/>
      </c>
      <c r="H26" s="317">
        <f>IF(T26="","",INDEX('METAS CLIENTE'!$M$5:$M$52,T26))</f>
        <v/>
      </c>
      <c r="I26" s="159">
        <f>IF(L26="","",MAX(0,L26-IF(OR($D$4="",$D$4&lt;=G26),0,MIN(E26,F26*NETWORKDAYS.INTL(G26,$D$4-1,"0000011")))))</f>
        <v/>
      </c>
      <c r="J26" s="159">
        <f>IF(OR(T26="",N(U26)=0,$D$4="",$F$4=""),"",SUMIFS(INDEX(CHOOSE($K$4,'CONTROLE EJ'!$A$8:$Z$364,'CONTROLE CMM'!$A$8:$N$364,'CONTROLE GLOBO AÇOS'!$A$8:$Z$364,#REF!),0,$U26),'CONTROLE EJ'!$A$8:$A$364,"&gt;="&amp;$D$4,'CONTROLE EJ'!$A$8:$A$364,"&lt;="&amp;$F$4))</f>
        <v/>
      </c>
      <c r="K26" s="319">
        <f>IFERROR(J26/I26,"")</f>
        <v/>
      </c>
      <c r="L26" s="159">
        <f>IF(OR(E26="",F26="",G26="",$F$4=""),"",IF($F$4&lt;G26,0,MIN(E26,F26*NETWORKDAYS.INTL(G26,$F$4,"0000011"))))</f>
        <v/>
      </c>
      <c r="M26" s="159">
        <f>IF(OR(T26="",N(U26)=0,$F$4=""),"",SUMIFS(INDEX(CHOOSE($K$4,'CONTROLE EJ'!$A$8:$Z$364,'CONTROLE CMM'!$A$8:$N$364,'CONTROLE GLOBO AÇOS'!$A$8:$Z$364,#REF!),0,$U26),'CONTROLE EJ'!$A$8:$A$364,"&lt;="&amp;$F$4))</f>
        <v/>
      </c>
      <c r="N26" s="319">
        <f>IFERROR(M26/E26,"")</f>
        <v/>
      </c>
      <c r="O26" s="159">
        <f>IF(OR(L26="",M26=""),"",M26-L26)</f>
        <v/>
      </c>
      <c r="P26" s="159">
        <f>IF(OR(W26="",M26=""),"",IF($F$4&lt;W26,"",M26/MAX(1,NETWORKDAYS.INTL(W26,$F$4,"0000011"))))</f>
        <v/>
      </c>
      <c r="Q26" s="159">
        <f>IF(OR(E26="",M26="",H26=""),"",IF(E26-M26&lt;=0,0,IF($F$4&gt;=H26,E26-M26,(E26-M26)/MAX(1,NETWORKDAYS.INTL($F$4+1,H26,"0000011")))))</f>
        <v/>
      </c>
      <c r="R26" s="317">
        <f>IF(OR(E26="",F26="",M26=""),"",IF(E26-M26&lt;=0,$F$4,WORKDAY.INTL(MAX($F$4,G26-1),ROUNDUP((E26-M26)/IF(N(P26)&gt;0,IF(NETWORKDAYS.INTL(W26,$F$4,"0000011")&gt;=5,P26,F26),F26),0),"0000011")))</f>
        <v/>
      </c>
      <c r="S26" s="81">
        <f>IF(T26="","",IF(E26="","CONFIGURAR",IF(M26&gt;=E26,"CONCLUÍDO",IF(R26="","",IF(R26&lt;H26,"ADIANTADO",IF(R26=H26,"NO PRAZO","ATRASO"))))))</f>
        <v/>
      </c>
      <c r="T26" s="81">
        <f>IFERROR(MATCH(17,INDEX('ESCOPO POR EMPRESA'!$U$5:$W$52,0,$L$4),0),"")</f>
        <v/>
      </c>
      <c r="U26" s="81">
        <f>IF(T26="","",INDEX('ESCOPO POR EMPRESA'!$O$5:$R$52,T26,$K$4))</f>
        <v/>
      </c>
      <c r="V26" s="159">
        <f>IF(OR(T26="",E26=""),0,INDEX('METAS CLIENTE'!$L$5:$L$52,T26))</f>
        <v/>
      </c>
      <c r="W26" s="317">
        <f>IF(OR(T26="",N(U26)=0),"",IFERROR(1/(1/_xlfn.MINIFS('CONTROLE EJ'!$A$8:$A$364,INDEX(CHOOSE($K$4,'CONTROLE EJ'!$A$8:$Z$364,'CONTROLE CMM'!$A$8:$N$364,'CONTROLE GLOBO AÇOS'!$A$8:$Z$364,#REF!),0,$U26),"&gt;0")),""))</f>
        <v/>
      </c>
      <c r="X26" s="319">
        <f>IFERROR(L26/E26,"")</f>
        <v/>
      </c>
    </row>
    <row r="27">
      <c r="A27" s="81">
        <f>IF(T27="","",18)</f>
        <v/>
      </c>
      <c r="B27" s="62">
        <f>IF(T27="","",INDEX('ESCOPO POR EMPRESA'!$A$5:$A$52,T27))</f>
        <v/>
      </c>
      <c r="C27" s="62">
        <f>IF(T27="","",INDEX('ESCOPO POR EMPRESA'!$B$5:$B$52,T27))</f>
        <v/>
      </c>
      <c r="D27" s="81">
        <f>IF(T27="","",INDEX('ESCOPO POR EMPRESA'!$T$5:$T$52,T27))</f>
        <v/>
      </c>
      <c r="E27" s="159">
        <f>IF(T27="","",IF(N(INDEX('ESCOPO POR EMPRESA'!$E$5:$H$52,T27,$K$4))=0,"",INDEX('ESCOPO POR EMPRESA'!$E$5:$H$52,T27,$K$4)))</f>
        <v/>
      </c>
      <c r="F27" s="159">
        <f>IF(T27="","",INDEX('ESCOPO POR EMPRESA'!$K$5:$N$52,T27,$K$4))</f>
        <v/>
      </c>
      <c r="G27" s="317">
        <f>IF(T27="","",INDEX('METAS CLIENTE'!$C$5:$C$52,T27))</f>
        <v/>
      </c>
      <c r="H27" s="317">
        <f>IF(T27="","",INDEX('METAS CLIENTE'!$M$5:$M$52,T27))</f>
        <v/>
      </c>
      <c r="I27" s="159">
        <f>IF(L27="","",MAX(0,L27-IF(OR($D$4="",$D$4&lt;=G27),0,MIN(E27,F27*NETWORKDAYS.INTL(G27,$D$4-1,"0000011")))))</f>
        <v/>
      </c>
      <c r="J27" s="159">
        <f>IF(OR(T27="",N(U27)=0,$D$4="",$F$4=""),"",SUMIFS(INDEX(CHOOSE($K$4,'CONTROLE EJ'!$A$8:$Z$364,'CONTROLE CMM'!$A$8:$N$364,'CONTROLE GLOBO AÇOS'!$A$8:$Z$364,#REF!),0,$U27),'CONTROLE EJ'!$A$8:$A$364,"&gt;="&amp;$D$4,'CONTROLE EJ'!$A$8:$A$364,"&lt;="&amp;$F$4))</f>
        <v/>
      </c>
      <c r="K27" s="319">
        <f>IFERROR(J27/I27,"")</f>
        <v/>
      </c>
      <c r="L27" s="159">
        <f>IF(OR(E27="",F27="",G27="",$F$4=""),"",IF($F$4&lt;G27,0,MIN(E27,F27*NETWORKDAYS.INTL(G27,$F$4,"0000011"))))</f>
        <v/>
      </c>
      <c r="M27" s="159">
        <f>IF(OR(T27="",N(U27)=0,$F$4=""),"",SUMIFS(INDEX(CHOOSE($K$4,'CONTROLE EJ'!$A$8:$Z$364,'CONTROLE CMM'!$A$8:$N$364,'CONTROLE GLOBO AÇOS'!$A$8:$Z$364,#REF!),0,$U27),'CONTROLE EJ'!$A$8:$A$364,"&lt;="&amp;$F$4))</f>
        <v/>
      </c>
      <c r="N27" s="319">
        <f>IFERROR(M27/E27,"")</f>
        <v/>
      </c>
      <c r="O27" s="159">
        <f>IF(OR(L27="",M27=""),"",M27-L27)</f>
        <v/>
      </c>
      <c r="P27" s="159">
        <f>IF(OR(W27="",M27=""),"",IF($F$4&lt;W27,"",M27/MAX(1,NETWORKDAYS.INTL(W27,$F$4,"0000011"))))</f>
        <v/>
      </c>
      <c r="Q27" s="159">
        <f>IF(OR(E27="",M27="",H27=""),"",IF(E27-M27&lt;=0,0,IF($F$4&gt;=H27,E27-M27,(E27-M27)/MAX(1,NETWORKDAYS.INTL($F$4+1,H27,"0000011")))))</f>
        <v/>
      </c>
      <c r="R27" s="317">
        <f>IF(OR(E27="",F27="",M27=""),"",IF(E27-M27&lt;=0,$F$4,WORKDAY.INTL(MAX($F$4,G27-1),ROUNDUP((E27-M27)/IF(N(P27)&gt;0,IF(NETWORKDAYS.INTL(W27,$F$4,"0000011")&gt;=5,P27,F27),F27),0),"0000011")))</f>
        <v/>
      </c>
      <c r="S27" s="81">
        <f>IF(T27="","",IF(E27="","CONFIGURAR",IF(M27&gt;=E27,"CONCLUÍDO",IF(R27="","",IF(R27&lt;H27,"ADIANTADO",IF(R27=H27,"NO PRAZO","ATRASO"))))))</f>
        <v/>
      </c>
      <c r="T27" s="81">
        <f>IFERROR(MATCH(18,INDEX('ESCOPO POR EMPRESA'!$U$5:$W$52,0,$L$4),0),"")</f>
        <v/>
      </c>
      <c r="U27" s="81">
        <f>IF(T27="","",INDEX('ESCOPO POR EMPRESA'!$O$5:$R$52,T27,$K$4))</f>
        <v/>
      </c>
      <c r="V27" s="159">
        <f>IF(OR(T27="",E27=""),0,INDEX('METAS CLIENTE'!$L$5:$L$52,T27))</f>
        <v/>
      </c>
      <c r="W27" s="317">
        <f>IF(OR(T27="",N(U27)=0),"",IFERROR(1/(1/_xlfn.MINIFS('CONTROLE EJ'!$A$8:$A$364,INDEX(CHOOSE($K$4,'CONTROLE EJ'!$A$8:$Z$364,'CONTROLE CMM'!$A$8:$N$364,'CONTROLE GLOBO AÇOS'!$A$8:$Z$364,#REF!),0,$U27),"&gt;0")),""))</f>
        <v/>
      </c>
      <c r="X27" s="319">
        <f>IFERROR(L27/E27,"")</f>
        <v/>
      </c>
    </row>
    <row r="28">
      <c r="A28" s="81">
        <f>IF(T28="","",19)</f>
        <v/>
      </c>
      <c r="B28" s="62">
        <f>IF(T28="","",INDEX('ESCOPO POR EMPRESA'!$A$5:$A$52,T28))</f>
        <v/>
      </c>
      <c r="C28" s="62">
        <f>IF(T28="","",INDEX('ESCOPO POR EMPRESA'!$B$5:$B$52,T28))</f>
        <v/>
      </c>
      <c r="D28" s="81">
        <f>IF(T28="","",INDEX('ESCOPO POR EMPRESA'!$T$5:$T$52,T28))</f>
        <v/>
      </c>
      <c r="E28" s="159">
        <f>IF(T28="","",IF(N(INDEX('ESCOPO POR EMPRESA'!$E$5:$H$52,T28,$K$4))=0,"",INDEX('ESCOPO POR EMPRESA'!$E$5:$H$52,T28,$K$4)))</f>
        <v/>
      </c>
      <c r="F28" s="159">
        <f>IF(T28="","",INDEX('ESCOPO POR EMPRESA'!$K$5:$N$52,T28,$K$4))</f>
        <v/>
      </c>
      <c r="G28" s="317">
        <f>IF(T28="","",INDEX('METAS CLIENTE'!$C$5:$C$52,T28))</f>
        <v/>
      </c>
      <c r="H28" s="317">
        <f>IF(T28="","",INDEX('METAS CLIENTE'!$M$5:$M$52,T28))</f>
        <v/>
      </c>
      <c r="I28" s="159">
        <f>IF(L28="","",MAX(0,L28-IF(OR($D$4="",$D$4&lt;=G28),0,MIN(E28,F28*NETWORKDAYS.INTL(G28,$D$4-1,"0000011")))))</f>
        <v/>
      </c>
      <c r="J28" s="159">
        <f>IF(OR(T28="",N(U28)=0,$D$4="",$F$4=""),"",SUMIFS(INDEX(CHOOSE($K$4,'CONTROLE EJ'!$A$8:$Z$364,'CONTROLE CMM'!$A$8:$N$364,'CONTROLE GLOBO AÇOS'!$A$8:$Z$364,#REF!),0,$U28),'CONTROLE EJ'!$A$8:$A$364,"&gt;="&amp;$D$4,'CONTROLE EJ'!$A$8:$A$364,"&lt;="&amp;$F$4))</f>
        <v/>
      </c>
      <c r="K28" s="319">
        <f>IFERROR(J28/I28,"")</f>
        <v/>
      </c>
      <c r="L28" s="159">
        <f>IF(OR(E28="",F28="",G28="",$F$4=""),"",IF($F$4&lt;G28,0,MIN(E28,F28*NETWORKDAYS.INTL(G28,$F$4,"0000011"))))</f>
        <v/>
      </c>
      <c r="M28" s="159">
        <f>IF(OR(T28="",N(U28)=0,$F$4=""),"",SUMIFS(INDEX(CHOOSE($K$4,'CONTROLE EJ'!$A$8:$Z$364,'CONTROLE CMM'!$A$8:$N$364,'CONTROLE GLOBO AÇOS'!$A$8:$Z$364,#REF!),0,$U28),'CONTROLE EJ'!$A$8:$A$364,"&lt;="&amp;$F$4))</f>
        <v/>
      </c>
      <c r="N28" s="319">
        <f>IFERROR(M28/E28,"")</f>
        <v/>
      </c>
      <c r="O28" s="159">
        <f>IF(OR(L28="",M28=""),"",M28-L28)</f>
        <v/>
      </c>
      <c r="P28" s="159">
        <f>IF(OR(W28="",M28=""),"",IF($F$4&lt;W28,"",M28/MAX(1,NETWORKDAYS.INTL(W28,$F$4,"0000011"))))</f>
        <v/>
      </c>
      <c r="Q28" s="159">
        <f>IF(OR(E28="",M28="",H28=""),"",IF(E28-M28&lt;=0,0,IF($F$4&gt;=H28,E28-M28,(E28-M28)/MAX(1,NETWORKDAYS.INTL($F$4+1,H28,"0000011")))))</f>
        <v/>
      </c>
      <c r="R28" s="317">
        <f>IF(OR(E28="",F28="",M28=""),"",IF(E28-M28&lt;=0,$F$4,WORKDAY.INTL(MAX($F$4,G28-1),ROUNDUP((E28-M28)/IF(N(P28)&gt;0,IF(NETWORKDAYS.INTL(W28,$F$4,"0000011")&gt;=5,P28,F28),F28),0),"0000011")))</f>
        <v/>
      </c>
      <c r="S28" s="81">
        <f>IF(T28="","",IF(E28="","CONFIGURAR",IF(M28&gt;=E28,"CONCLUÍDO",IF(R28="","",IF(R28&lt;H28,"ADIANTADO",IF(R28=H28,"NO PRAZO","ATRASO"))))))</f>
        <v/>
      </c>
      <c r="T28" s="81">
        <f>IFERROR(MATCH(19,INDEX('ESCOPO POR EMPRESA'!$U$5:$W$52,0,$L$4),0),"")</f>
        <v/>
      </c>
      <c r="U28" s="81">
        <f>IF(T28="","",INDEX('ESCOPO POR EMPRESA'!$O$5:$R$52,T28,$K$4))</f>
        <v/>
      </c>
      <c r="V28" s="159">
        <f>IF(OR(T28="",E28=""),0,INDEX('METAS CLIENTE'!$L$5:$L$52,T28))</f>
        <v/>
      </c>
      <c r="W28" s="317">
        <f>IF(OR(T28="",N(U28)=0),"",IFERROR(1/(1/_xlfn.MINIFS('CONTROLE EJ'!$A$8:$A$364,INDEX(CHOOSE($K$4,'CONTROLE EJ'!$A$8:$Z$364,'CONTROLE CMM'!$A$8:$N$364,'CONTROLE GLOBO AÇOS'!$A$8:$Z$364,#REF!),0,$U28),"&gt;0")),""))</f>
        <v/>
      </c>
      <c r="X28" s="319">
        <f>IFERROR(L28/E28,"")</f>
        <v/>
      </c>
    </row>
    <row r="29">
      <c r="A29" s="81">
        <f>IF(T29="","",20)</f>
        <v/>
      </c>
      <c r="B29" s="62">
        <f>IF(T29="","",INDEX('ESCOPO POR EMPRESA'!$A$5:$A$52,T29))</f>
        <v/>
      </c>
      <c r="C29" s="62">
        <f>IF(T29="","",INDEX('ESCOPO POR EMPRESA'!$B$5:$B$52,T29))</f>
        <v/>
      </c>
      <c r="D29" s="81">
        <f>IF(T29="","",INDEX('ESCOPO POR EMPRESA'!$T$5:$T$52,T29))</f>
        <v/>
      </c>
      <c r="E29" s="159">
        <f>IF(T29="","",IF(N(INDEX('ESCOPO POR EMPRESA'!$E$5:$H$52,T29,$K$4))=0,"",INDEX('ESCOPO POR EMPRESA'!$E$5:$H$52,T29,$K$4)))</f>
        <v/>
      </c>
      <c r="F29" s="159">
        <f>IF(T29="","",INDEX('ESCOPO POR EMPRESA'!$K$5:$N$52,T29,$K$4))</f>
        <v/>
      </c>
      <c r="G29" s="317">
        <f>IF(T29="","",INDEX('METAS CLIENTE'!$C$5:$C$52,T29))</f>
        <v/>
      </c>
      <c r="H29" s="317">
        <f>IF(T29="","",INDEX('METAS CLIENTE'!$M$5:$M$52,T29))</f>
        <v/>
      </c>
      <c r="I29" s="159">
        <f>IF(L29="","",MAX(0,L29-IF(OR($D$4="",$D$4&lt;=G29),0,MIN(E29,F29*NETWORKDAYS.INTL(G29,$D$4-1,"0000011")))))</f>
        <v/>
      </c>
      <c r="J29" s="159">
        <f>IF(OR(T29="",N(U29)=0,$D$4="",$F$4=""),"",SUMIFS(INDEX(CHOOSE($K$4,'CONTROLE EJ'!$A$8:$Z$364,'CONTROLE CMM'!$A$8:$N$364,'CONTROLE GLOBO AÇOS'!$A$8:$Z$364,#REF!),0,$U29),'CONTROLE EJ'!$A$8:$A$364,"&gt;="&amp;$D$4,'CONTROLE EJ'!$A$8:$A$364,"&lt;="&amp;$F$4))</f>
        <v/>
      </c>
      <c r="K29" s="319">
        <f>IFERROR(J29/I29,"")</f>
        <v/>
      </c>
      <c r="L29" s="159">
        <f>IF(OR(E29="",F29="",G29="",$F$4=""),"",IF($F$4&lt;G29,0,MIN(E29,F29*NETWORKDAYS.INTL(G29,$F$4,"0000011"))))</f>
        <v/>
      </c>
      <c r="M29" s="159">
        <f>IF(OR(T29="",N(U29)=0,$F$4=""),"",SUMIFS(INDEX(CHOOSE($K$4,'CONTROLE EJ'!$A$8:$Z$364,'CONTROLE CMM'!$A$8:$N$364,'CONTROLE GLOBO AÇOS'!$A$8:$Z$364,#REF!),0,$U29),'CONTROLE EJ'!$A$8:$A$364,"&lt;="&amp;$F$4))</f>
        <v/>
      </c>
      <c r="N29" s="319">
        <f>IFERROR(M29/E29,"")</f>
        <v/>
      </c>
      <c r="O29" s="159">
        <f>IF(OR(L29="",M29=""),"",M29-L29)</f>
        <v/>
      </c>
      <c r="P29" s="159">
        <f>IF(OR(W29="",M29=""),"",IF($F$4&lt;W29,"",M29/MAX(1,NETWORKDAYS.INTL(W29,$F$4,"0000011"))))</f>
        <v/>
      </c>
      <c r="Q29" s="159">
        <f>IF(OR(E29="",M29="",H29=""),"",IF(E29-M29&lt;=0,0,IF($F$4&gt;=H29,E29-M29,(E29-M29)/MAX(1,NETWORKDAYS.INTL($F$4+1,H29,"0000011")))))</f>
        <v/>
      </c>
      <c r="R29" s="317">
        <f>IF(OR(E29="",F29="",M29=""),"",IF(E29-M29&lt;=0,$F$4,WORKDAY.INTL(MAX($F$4,G29-1),ROUNDUP((E29-M29)/IF(N(P29)&gt;0,IF(NETWORKDAYS.INTL(W29,$F$4,"0000011")&gt;=5,P29,F29),F29),0),"0000011")))</f>
        <v/>
      </c>
      <c r="S29" s="81">
        <f>IF(T29="","",IF(E29="","CONFIGURAR",IF(M29&gt;=E29,"CONCLUÍDO",IF(R29="","",IF(R29&lt;H29,"ADIANTADO",IF(R29=H29,"NO PRAZO","ATRASO"))))))</f>
        <v/>
      </c>
      <c r="T29" s="81">
        <f>IFERROR(MATCH(20,INDEX('ESCOPO POR EMPRESA'!$U$5:$W$52,0,$L$4),0),"")</f>
        <v/>
      </c>
      <c r="U29" s="81">
        <f>IF(T29="","",INDEX('ESCOPO POR EMPRESA'!$O$5:$R$52,T29,$K$4))</f>
        <v/>
      </c>
      <c r="V29" s="159">
        <f>IF(OR(T29="",E29=""),0,INDEX('METAS CLIENTE'!$L$5:$L$52,T29))</f>
        <v/>
      </c>
      <c r="W29" s="317">
        <f>IF(OR(T29="",N(U29)=0),"",IFERROR(1/(1/_xlfn.MINIFS('CONTROLE EJ'!$A$8:$A$364,INDEX(CHOOSE($K$4,'CONTROLE EJ'!$A$8:$Z$364,'CONTROLE CMM'!$A$8:$N$364,'CONTROLE GLOBO AÇOS'!$A$8:$Z$364,#REF!),0,$U29),"&gt;0")),""))</f>
        <v/>
      </c>
      <c r="X29" s="319">
        <f>IFERROR(L29/E29,"")</f>
        <v/>
      </c>
    </row>
    <row r="30">
      <c r="A30" s="81">
        <f>IF(T30="","",21)</f>
        <v/>
      </c>
      <c r="B30" s="62">
        <f>IF(T30="","",INDEX('ESCOPO POR EMPRESA'!$A$5:$A$52,T30))</f>
        <v/>
      </c>
      <c r="C30" s="62">
        <f>IF(T30="","",INDEX('ESCOPO POR EMPRESA'!$B$5:$B$52,T30))</f>
        <v/>
      </c>
      <c r="D30" s="81">
        <f>IF(T30="","",INDEX('ESCOPO POR EMPRESA'!$T$5:$T$52,T30))</f>
        <v/>
      </c>
      <c r="E30" s="159">
        <f>IF(T30="","",IF(N(INDEX('ESCOPO POR EMPRESA'!$E$5:$H$52,T30,$K$4))=0,"",INDEX('ESCOPO POR EMPRESA'!$E$5:$H$52,T30,$K$4)))</f>
        <v/>
      </c>
      <c r="F30" s="159">
        <f>IF(T30="","",INDEX('ESCOPO POR EMPRESA'!$K$5:$N$52,T30,$K$4))</f>
        <v/>
      </c>
      <c r="G30" s="317">
        <f>IF(T30="","",INDEX('METAS CLIENTE'!$C$5:$C$52,T30))</f>
        <v/>
      </c>
      <c r="H30" s="317">
        <f>IF(T30="","",INDEX('METAS CLIENTE'!$M$5:$M$52,T30))</f>
        <v/>
      </c>
      <c r="I30" s="159">
        <f>IF(L30="","",MAX(0,L30-IF(OR($D$4="",$D$4&lt;=G30),0,MIN(E30,F30*NETWORKDAYS.INTL(G30,$D$4-1,"0000011")))))</f>
        <v/>
      </c>
      <c r="J30" s="159">
        <f>IF(OR(T30="",N(U30)=0,$D$4="",$F$4=""),"",SUMIFS(INDEX(CHOOSE($K$4,'CONTROLE EJ'!$A$8:$Z$364,'CONTROLE CMM'!$A$8:$N$364,'CONTROLE GLOBO AÇOS'!$A$8:$Z$364,#REF!),0,$U30),'CONTROLE EJ'!$A$8:$A$364,"&gt;="&amp;$D$4,'CONTROLE EJ'!$A$8:$A$364,"&lt;="&amp;$F$4))</f>
        <v/>
      </c>
      <c r="K30" s="319">
        <f>IFERROR(J30/I30,"")</f>
        <v/>
      </c>
      <c r="L30" s="159">
        <f>IF(OR(E30="",F30="",G30="",$F$4=""),"",IF($F$4&lt;G30,0,MIN(E30,F30*NETWORKDAYS.INTL(G30,$F$4,"0000011"))))</f>
        <v/>
      </c>
      <c r="M30" s="159">
        <f>IF(OR(T30="",N(U30)=0,$F$4=""),"",SUMIFS(INDEX(CHOOSE($K$4,'CONTROLE EJ'!$A$8:$Z$364,'CONTROLE CMM'!$A$8:$N$364,'CONTROLE GLOBO AÇOS'!$A$8:$Z$364,#REF!),0,$U30),'CONTROLE EJ'!$A$8:$A$364,"&lt;="&amp;$F$4))</f>
        <v/>
      </c>
      <c r="N30" s="319">
        <f>IFERROR(M30/E30,"")</f>
        <v/>
      </c>
      <c r="O30" s="159">
        <f>IF(OR(L30="",M30=""),"",M30-L30)</f>
        <v/>
      </c>
      <c r="P30" s="159">
        <f>IF(OR(W30="",M30=""),"",IF($F$4&lt;W30,"",M30/MAX(1,NETWORKDAYS.INTL(W30,$F$4,"0000011"))))</f>
        <v/>
      </c>
      <c r="Q30" s="159">
        <f>IF(OR(E30="",M30="",H30=""),"",IF(E30-M30&lt;=0,0,IF($F$4&gt;=H30,E30-M30,(E30-M30)/MAX(1,NETWORKDAYS.INTL($F$4+1,H30,"0000011")))))</f>
        <v/>
      </c>
      <c r="R30" s="317">
        <f>IF(OR(E30="",F30="",M30=""),"",IF(E30-M30&lt;=0,$F$4,WORKDAY.INTL(MAX($F$4,G30-1),ROUNDUP((E30-M30)/IF(N(P30)&gt;0,IF(NETWORKDAYS.INTL(W30,$F$4,"0000011")&gt;=5,P30,F30),F30),0),"0000011")))</f>
        <v/>
      </c>
      <c r="S30" s="81">
        <f>IF(T30="","",IF(E30="","CONFIGURAR",IF(M30&gt;=E30,"CONCLUÍDO",IF(R30="","",IF(R30&lt;H30,"ADIANTADO",IF(R30=H30,"NO PRAZO","ATRASO"))))))</f>
        <v/>
      </c>
      <c r="T30" s="81">
        <f>IFERROR(MATCH(21,INDEX('ESCOPO POR EMPRESA'!$U$5:$W$52,0,$L$4),0),"")</f>
        <v/>
      </c>
      <c r="U30" s="81">
        <f>IF(T30="","",INDEX('ESCOPO POR EMPRESA'!$O$5:$R$52,T30,$K$4))</f>
        <v/>
      </c>
      <c r="V30" s="159">
        <f>IF(OR(T30="",E30=""),0,INDEX('METAS CLIENTE'!$L$5:$L$52,T30))</f>
        <v/>
      </c>
      <c r="W30" s="317">
        <f>IF(OR(T30="",N(U30)=0),"",IFERROR(1/(1/_xlfn.MINIFS('CONTROLE EJ'!$A$8:$A$364,INDEX(CHOOSE($K$4,'CONTROLE EJ'!$A$8:$Z$364,'CONTROLE CMM'!$A$8:$N$364,'CONTROLE GLOBO AÇOS'!$A$8:$Z$364,#REF!),0,$U30),"&gt;0")),""))</f>
        <v/>
      </c>
      <c r="X30" s="319">
        <f>IFERROR(L30/E30,"")</f>
        <v/>
      </c>
    </row>
    <row r="31">
      <c r="A31" s="81">
        <f>IF(T31="","",22)</f>
        <v/>
      </c>
      <c r="B31" s="62">
        <f>IF(T31="","",INDEX('ESCOPO POR EMPRESA'!$A$5:$A$52,T31))</f>
        <v/>
      </c>
      <c r="C31" s="62">
        <f>IF(T31="","",INDEX('ESCOPO POR EMPRESA'!$B$5:$B$52,T31))</f>
        <v/>
      </c>
      <c r="D31" s="81">
        <f>IF(T31="","",INDEX('ESCOPO POR EMPRESA'!$T$5:$T$52,T31))</f>
        <v/>
      </c>
      <c r="E31" s="159">
        <f>IF(T31="","",IF(N(INDEX('ESCOPO POR EMPRESA'!$E$5:$H$52,T31,$K$4))=0,"",INDEX('ESCOPO POR EMPRESA'!$E$5:$H$52,T31,$K$4)))</f>
        <v/>
      </c>
      <c r="F31" s="159">
        <f>IF(T31="","",INDEX('ESCOPO POR EMPRESA'!$K$5:$N$52,T31,$K$4))</f>
        <v/>
      </c>
      <c r="G31" s="317">
        <f>IF(T31="","",INDEX('METAS CLIENTE'!$C$5:$C$52,T31))</f>
        <v/>
      </c>
      <c r="H31" s="317">
        <f>IF(T31="","",INDEX('METAS CLIENTE'!$M$5:$M$52,T31))</f>
        <v/>
      </c>
      <c r="I31" s="159">
        <f>IF(L31="","",MAX(0,L31-IF(OR($D$4="",$D$4&lt;=G31),0,MIN(E31,F31*NETWORKDAYS.INTL(G31,$D$4-1,"0000011")))))</f>
        <v/>
      </c>
      <c r="J31" s="159">
        <f>IF(OR(T31="",N(U31)=0,$D$4="",$F$4=""),"",SUMIFS(INDEX(CHOOSE($K$4,'CONTROLE EJ'!$A$8:$Z$364,'CONTROLE CMM'!$A$8:$N$364,'CONTROLE GLOBO AÇOS'!$A$8:$Z$364,#REF!),0,$U31),'CONTROLE EJ'!$A$8:$A$364,"&gt;="&amp;$D$4,'CONTROLE EJ'!$A$8:$A$364,"&lt;="&amp;$F$4))</f>
        <v/>
      </c>
      <c r="K31" s="319">
        <f>IFERROR(J31/I31,"")</f>
        <v/>
      </c>
      <c r="L31" s="159">
        <f>IF(OR(E31="",F31="",G31="",$F$4=""),"",IF($F$4&lt;G31,0,MIN(E31,F31*NETWORKDAYS.INTL(G31,$F$4,"0000011"))))</f>
        <v/>
      </c>
      <c r="M31" s="159">
        <f>IF(OR(T31="",N(U31)=0,$F$4=""),"",SUMIFS(INDEX(CHOOSE($K$4,'CONTROLE EJ'!$A$8:$Z$364,'CONTROLE CMM'!$A$8:$N$364,'CONTROLE GLOBO AÇOS'!$A$8:$Z$364,#REF!),0,$U31),'CONTROLE EJ'!$A$8:$A$364,"&lt;="&amp;$F$4))</f>
        <v/>
      </c>
      <c r="N31" s="319">
        <f>IFERROR(M31/E31,"")</f>
        <v/>
      </c>
      <c r="O31" s="159">
        <f>IF(OR(L31="",M31=""),"",M31-L31)</f>
        <v/>
      </c>
      <c r="P31" s="159">
        <f>IF(OR(W31="",M31=""),"",IF($F$4&lt;W31,"",M31/MAX(1,NETWORKDAYS.INTL(W31,$F$4,"0000011"))))</f>
        <v/>
      </c>
      <c r="Q31" s="159">
        <f>IF(OR(E31="",M31="",H31=""),"",IF(E31-M31&lt;=0,0,IF($F$4&gt;=H31,E31-M31,(E31-M31)/MAX(1,NETWORKDAYS.INTL($F$4+1,H31,"0000011")))))</f>
        <v/>
      </c>
      <c r="R31" s="317">
        <f>IF(OR(E31="",F31="",M31=""),"",IF(E31-M31&lt;=0,$F$4,WORKDAY.INTL(MAX($F$4,G31-1),ROUNDUP((E31-M31)/IF(N(P31)&gt;0,IF(NETWORKDAYS.INTL(W31,$F$4,"0000011")&gt;=5,P31,F31),F31),0),"0000011")))</f>
        <v/>
      </c>
      <c r="S31" s="81">
        <f>IF(T31="","",IF(E31="","CONFIGURAR",IF(M31&gt;=E31,"CONCLUÍDO",IF(R31="","",IF(R31&lt;H31,"ADIANTADO",IF(R31=H31,"NO PRAZO","ATRASO"))))))</f>
        <v/>
      </c>
      <c r="T31" s="81">
        <f>IFERROR(MATCH(22,INDEX('ESCOPO POR EMPRESA'!$U$5:$W$52,0,$L$4),0),"")</f>
        <v/>
      </c>
      <c r="U31" s="81">
        <f>IF(T31="","",INDEX('ESCOPO POR EMPRESA'!$O$5:$R$52,T31,$K$4))</f>
        <v/>
      </c>
      <c r="V31" s="159">
        <f>IF(OR(T31="",E31=""),0,INDEX('METAS CLIENTE'!$L$5:$L$52,T31))</f>
        <v/>
      </c>
      <c r="W31" s="317">
        <f>IF(OR(T31="",N(U31)=0),"",IFERROR(1/(1/_xlfn.MINIFS('CONTROLE EJ'!$A$8:$A$364,INDEX(CHOOSE($K$4,'CONTROLE EJ'!$A$8:$Z$364,'CONTROLE CMM'!$A$8:$N$364,'CONTROLE GLOBO AÇOS'!$A$8:$Z$364,#REF!),0,$U31),"&gt;0")),""))</f>
        <v/>
      </c>
      <c r="X31" s="319">
        <f>IFERROR(L31/E31,"")</f>
        <v/>
      </c>
    </row>
    <row r="32">
      <c r="A32" s="81">
        <f>IF(T32="","",23)</f>
        <v/>
      </c>
      <c r="B32" s="62">
        <f>IF(T32="","",INDEX('ESCOPO POR EMPRESA'!$A$5:$A$52,T32))</f>
        <v/>
      </c>
      <c r="C32" s="62">
        <f>IF(T32="","",INDEX('ESCOPO POR EMPRESA'!$B$5:$B$52,T32))</f>
        <v/>
      </c>
      <c r="D32" s="81">
        <f>IF(T32="","",INDEX('ESCOPO POR EMPRESA'!$T$5:$T$52,T32))</f>
        <v/>
      </c>
      <c r="E32" s="159">
        <f>IF(T32="","",IF(N(INDEX('ESCOPO POR EMPRESA'!$E$5:$H$52,T32,$K$4))=0,"",INDEX('ESCOPO POR EMPRESA'!$E$5:$H$52,T32,$K$4)))</f>
        <v/>
      </c>
      <c r="F32" s="159">
        <f>IF(T32="","",INDEX('ESCOPO POR EMPRESA'!$K$5:$N$52,T32,$K$4))</f>
        <v/>
      </c>
      <c r="G32" s="317">
        <f>IF(T32="","",INDEX('METAS CLIENTE'!$C$5:$C$52,T32))</f>
        <v/>
      </c>
      <c r="H32" s="317">
        <f>IF(T32="","",INDEX('METAS CLIENTE'!$M$5:$M$52,T32))</f>
        <v/>
      </c>
      <c r="I32" s="159">
        <f>IF(L32="","",MAX(0,L32-IF(OR($D$4="",$D$4&lt;=G32),0,MIN(E32,F32*NETWORKDAYS.INTL(G32,$D$4-1,"0000011")))))</f>
        <v/>
      </c>
      <c r="J32" s="159">
        <f>IF(OR(T32="",N(U32)=0,$D$4="",$F$4=""),"",SUMIFS(INDEX(CHOOSE($K$4,'CONTROLE EJ'!$A$8:$Z$364,'CONTROLE CMM'!$A$8:$N$364,'CONTROLE GLOBO AÇOS'!$A$8:$Z$364,#REF!),0,$U32),'CONTROLE EJ'!$A$8:$A$364,"&gt;="&amp;$D$4,'CONTROLE EJ'!$A$8:$A$364,"&lt;="&amp;$F$4))</f>
        <v/>
      </c>
      <c r="K32" s="319">
        <f>IFERROR(J32/I32,"")</f>
        <v/>
      </c>
      <c r="L32" s="159">
        <f>IF(OR(E32="",F32="",G32="",$F$4=""),"",IF($F$4&lt;G32,0,MIN(E32,F32*NETWORKDAYS.INTL(G32,$F$4,"0000011"))))</f>
        <v/>
      </c>
      <c r="M32" s="159">
        <f>IF(OR(T32="",N(U32)=0,$F$4=""),"",SUMIFS(INDEX(CHOOSE($K$4,'CONTROLE EJ'!$A$8:$Z$364,'CONTROLE CMM'!$A$8:$N$364,'CONTROLE GLOBO AÇOS'!$A$8:$Z$364,#REF!),0,$U32),'CONTROLE EJ'!$A$8:$A$364,"&lt;="&amp;$F$4))</f>
        <v/>
      </c>
      <c r="N32" s="319">
        <f>IFERROR(M32/E32,"")</f>
        <v/>
      </c>
      <c r="O32" s="159">
        <f>IF(OR(L32="",M32=""),"",M32-L32)</f>
        <v/>
      </c>
      <c r="P32" s="159">
        <f>IF(OR(W32="",M32=""),"",IF($F$4&lt;W32,"",M32/MAX(1,NETWORKDAYS.INTL(W32,$F$4,"0000011"))))</f>
        <v/>
      </c>
      <c r="Q32" s="159">
        <f>IF(OR(E32="",M32="",H32=""),"",IF(E32-M32&lt;=0,0,IF($F$4&gt;=H32,E32-M32,(E32-M32)/MAX(1,NETWORKDAYS.INTL($F$4+1,H32,"0000011")))))</f>
        <v/>
      </c>
      <c r="R32" s="317">
        <f>IF(OR(E32="",F32="",M32=""),"",IF(E32-M32&lt;=0,$F$4,WORKDAY.INTL(MAX($F$4,G32-1),ROUNDUP((E32-M32)/IF(N(P32)&gt;0,IF(NETWORKDAYS.INTL(W32,$F$4,"0000011")&gt;=5,P32,F32),F32),0),"0000011")))</f>
        <v/>
      </c>
      <c r="S32" s="81">
        <f>IF(T32="","",IF(E32="","CONFIGURAR",IF(M32&gt;=E32,"CONCLUÍDO",IF(R32="","",IF(R32&lt;H32,"ADIANTADO",IF(R32=H32,"NO PRAZO","ATRASO"))))))</f>
        <v/>
      </c>
      <c r="T32" s="81">
        <f>IFERROR(MATCH(23,INDEX('ESCOPO POR EMPRESA'!$U$5:$W$52,0,$L$4),0),"")</f>
        <v/>
      </c>
      <c r="U32" s="81">
        <f>IF(T32="","",INDEX('ESCOPO POR EMPRESA'!$O$5:$R$52,T32,$K$4))</f>
        <v/>
      </c>
      <c r="V32" s="159">
        <f>IF(OR(T32="",E32=""),0,INDEX('METAS CLIENTE'!$L$5:$L$52,T32))</f>
        <v/>
      </c>
      <c r="W32" s="317">
        <f>IF(OR(T32="",N(U32)=0),"",IFERROR(1/(1/_xlfn.MINIFS('CONTROLE EJ'!$A$8:$A$364,INDEX(CHOOSE($K$4,'CONTROLE EJ'!$A$8:$Z$364,'CONTROLE CMM'!$A$8:$N$364,'CONTROLE GLOBO AÇOS'!$A$8:$Z$364,#REF!),0,$U32),"&gt;0")),""))</f>
        <v/>
      </c>
      <c r="X32" s="319">
        <f>IFERROR(L32/E32,"")</f>
        <v/>
      </c>
    </row>
    <row r="33">
      <c r="A33" s="81">
        <f>IF(T33="","",24)</f>
        <v/>
      </c>
      <c r="B33" s="62">
        <f>IF(T33="","",INDEX('ESCOPO POR EMPRESA'!$A$5:$A$52,T33))</f>
        <v/>
      </c>
      <c r="C33" s="62">
        <f>IF(T33="","",INDEX('ESCOPO POR EMPRESA'!$B$5:$B$52,T33))</f>
        <v/>
      </c>
      <c r="D33" s="81">
        <f>IF(T33="","",INDEX('ESCOPO POR EMPRESA'!$T$5:$T$52,T33))</f>
        <v/>
      </c>
      <c r="E33" s="159">
        <f>IF(T33="","",IF(N(INDEX('ESCOPO POR EMPRESA'!$E$5:$H$52,T33,$K$4))=0,"",INDEX('ESCOPO POR EMPRESA'!$E$5:$H$52,T33,$K$4)))</f>
        <v/>
      </c>
      <c r="F33" s="159">
        <f>IF(T33="","",INDEX('ESCOPO POR EMPRESA'!$K$5:$N$52,T33,$K$4))</f>
        <v/>
      </c>
      <c r="G33" s="317">
        <f>IF(T33="","",INDEX('METAS CLIENTE'!$C$5:$C$52,T33))</f>
        <v/>
      </c>
      <c r="H33" s="317">
        <f>IF(T33="","",INDEX('METAS CLIENTE'!$M$5:$M$52,T33))</f>
        <v/>
      </c>
      <c r="I33" s="159">
        <f>IF(L33="","",MAX(0,L33-IF(OR($D$4="",$D$4&lt;=G33),0,MIN(E33,F33*NETWORKDAYS.INTL(G33,$D$4-1,"0000011")))))</f>
        <v/>
      </c>
      <c r="J33" s="159">
        <f>IF(OR(T33="",N(U33)=0,$D$4="",$F$4=""),"",SUMIFS(INDEX(CHOOSE($K$4,'CONTROLE EJ'!$A$8:$Z$364,'CONTROLE CMM'!$A$8:$N$364,'CONTROLE GLOBO AÇOS'!$A$8:$Z$364,#REF!),0,$U33),'CONTROLE EJ'!$A$8:$A$364,"&gt;="&amp;$D$4,'CONTROLE EJ'!$A$8:$A$364,"&lt;="&amp;$F$4))</f>
        <v/>
      </c>
      <c r="K33" s="319">
        <f>IFERROR(J33/I33,"")</f>
        <v/>
      </c>
      <c r="L33" s="159">
        <f>IF(OR(E33="",F33="",G33="",$F$4=""),"",IF($F$4&lt;G33,0,MIN(E33,F33*NETWORKDAYS.INTL(G33,$F$4,"0000011"))))</f>
        <v/>
      </c>
      <c r="M33" s="159">
        <f>IF(OR(T33="",N(U33)=0,$F$4=""),"",SUMIFS(INDEX(CHOOSE($K$4,'CONTROLE EJ'!$A$8:$Z$364,'CONTROLE CMM'!$A$8:$N$364,'CONTROLE GLOBO AÇOS'!$A$8:$Z$364,#REF!),0,$U33),'CONTROLE EJ'!$A$8:$A$364,"&lt;="&amp;$F$4))</f>
        <v/>
      </c>
      <c r="N33" s="319">
        <f>IFERROR(M33/E33,"")</f>
        <v/>
      </c>
      <c r="O33" s="159">
        <f>IF(OR(L33="",M33=""),"",M33-L33)</f>
        <v/>
      </c>
      <c r="P33" s="159">
        <f>IF(OR(W33="",M33=""),"",IF($F$4&lt;W33,"",M33/MAX(1,NETWORKDAYS.INTL(W33,$F$4,"0000011"))))</f>
        <v/>
      </c>
      <c r="Q33" s="159">
        <f>IF(OR(E33="",M33="",H33=""),"",IF(E33-M33&lt;=0,0,IF($F$4&gt;=H33,E33-M33,(E33-M33)/MAX(1,NETWORKDAYS.INTL($F$4+1,H33,"0000011")))))</f>
        <v/>
      </c>
      <c r="R33" s="317">
        <f>IF(OR(E33="",F33="",M33=""),"",IF(E33-M33&lt;=0,$F$4,WORKDAY.INTL(MAX($F$4,G33-1),ROUNDUP((E33-M33)/IF(N(P33)&gt;0,IF(NETWORKDAYS.INTL(W33,$F$4,"0000011")&gt;=5,P33,F33),F33),0),"0000011")))</f>
        <v/>
      </c>
      <c r="S33" s="81">
        <f>IF(T33="","",IF(E33="","CONFIGURAR",IF(M33&gt;=E33,"CONCLUÍDO",IF(R33="","",IF(R33&lt;H33,"ADIANTADO",IF(R33=H33,"NO PRAZO","ATRASO"))))))</f>
        <v/>
      </c>
      <c r="T33" s="81">
        <f>IFERROR(MATCH(24,INDEX('ESCOPO POR EMPRESA'!$U$5:$W$52,0,$L$4),0),"")</f>
        <v/>
      </c>
      <c r="U33" s="81">
        <f>IF(T33="","",INDEX('ESCOPO POR EMPRESA'!$O$5:$R$52,T33,$K$4))</f>
        <v/>
      </c>
      <c r="V33" s="159">
        <f>IF(OR(T33="",E33=""),0,INDEX('METAS CLIENTE'!$L$5:$L$52,T33))</f>
        <v/>
      </c>
      <c r="W33" s="317">
        <f>IF(OR(T33="",N(U33)=0),"",IFERROR(1/(1/_xlfn.MINIFS('CONTROLE EJ'!$A$8:$A$364,INDEX(CHOOSE($K$4,'CONTROLE EJ'!$A$8:$Z$364,'CONTROLE CMM'!$A$8:$N$364,'CONTROLE GLOBO AÇOS'!$A$8:$Z$364,#REF!),0,$U33),"&gt;0")),""))</f>
        <v/>
      </c>
      <c r="X33" s="319">
        <f>IFERROR(L33/E33,"")</f>
        <v/>
      </c>
    </row>
    <row r="34">
      <c r="A34" s="81">
        <f>IF(T34="","",25)</f>
        <v/>
      </c>
      <c r="B34" s="62">
        <f>IF(T34="","",INDEX('ESCOPO POR EMPRESA'!$A$5:$A$52,T34))</f>
        <v/>
      </c>
      <c r="C34" s="62">
        <f>IF(T34="","",INDEX('ESCOPO POR EMPRESA'!$B$5:$B$52,T34))</f>
        <v/>
      </c>
      <c r="D34" s="81">
        <f>IF(T34="","",INDEX('ESCOPO POR EMPRESA'!$T$5:$T$52,T34))</f>
        <v/>
      </c>
      <c r="E34" s="159">
        <f>IF(T34="","",IF(N(INDEX('ESCOPO POR EMPRESA'!$E$5:$H$52,T34,$K$4))=0,"",INDEX('ESCOPO POR EMPRESA'!$E$5:$H$52,T34,$K$4)))</f>
        <v/>
      </c>
      <c r="F34" s="159">
        <f>IF(T34="","",INDEX('ESCOPO POR EMPRESA'!$K$5:$N$52,T34,$K$4))</f>
        <v/>
      </c>
      <c r="G34" s="317">
        <f>IF(T34="","",INDEX('METAS CLIENTE'!$C$5:$C$52,T34))</f>
        <v/>
      </c>
      <c r="H34" s="317">
        <f>IF(T34="","",INDEX('METAS CLIENTE'!$M$5:$M$52,T34))</f>
        <v/>
      </c>
      <c r="I34" s="159">
        <f>IF(L34="","",MAX(0,L34-IF(OR($D$4="",$D$4&lt;=G34),0,MIN(E34,F34*NETWORKDAYS.INTL(G34,$D$4-1,"0000011")))))</f>
        <v/>
      </c>
      <c r="J34" s="159">
        <f>IF(OR(T34="",N(U34)=0,$D$4="",$F$4=""),"",SUMIFS(INDEX(CHOOSE($K$4,'CONTROLE EJ'!$A$8:$Z$364,'CONTROLE CMM'!$A$8:$N$364,'CONTROLE GLOBO AÇOS'!$A$8:$Z$364,#REF!),0,$U34),'CONTROLE EJ'!$A$8:$A$364,"&gt;="&amp;$D$4,'CONTROLE EJ'!$A$8:$A$364,"&lt;="&amp;$F$4))</f>
        <v/>
      </c>
      <c r="K34" s="319">
        <f>IFERROR(J34/I34,"")</f>
        <v/>
      </c>
      <c r="L34" s="159">
        <f>IF(OR(E34="",F34="",G34="",$F$4=""),"",IF($F$4&lt;G34,0,MIN(E34,F34*NETWORKDAYS.INTL(G34,$F$4,"0000011"))))</f>
        <v/>
      </c>
      <c r="M34" s="159">
        <f>IF(OR(T34="",N(U34)=0,$F$4=""),"",SUMIFS(INDEX(CHOOSE($K$4,'CONTROLE EJ'!$A$8:$Z$364,'CONTROLE CMM'!$A$8:$N$364,'CONTROLE GLOBO AÇOS'!$A$8:$Z$364,#REF!),0,$U34),'CONTROLE EJ'!$A$8:$A$364,"&lt;="&amp;$F$4))</f>
        <v/>
      </c>
      <c r="N34" s="319">
        <f>IFERROR(M34/E34,"")</f>
        <v/>
      </c>
      <c r="O34" s="159">
        <f>IF(OR(L34="",M34=""),"",M34-L34)</f>
        <v/>
      </c>
      <c r="P34" s="159">
        <f>IF(OR(W34="",M34=""),"",IF($F$4&lt;W34,"",M34/MAX(1,NETWORKDAYS.INTL(W34,$F$4,"0000011"))))</f>
        <v/>
      </c>
      <c r="Q34" s="159">
        <f>IF(OR(E34="",M34="",H34=""),"",IF(E34-M34&lt;=0,0,IF($F$4&gt;=H34,E34-M34,(E34-M34)/MAX(1,NETWORKDAYS.INTL($F$4+1,H34,"0000011")))))</f>
        <v/>
      </c>
      <c r="R34" s="317">
        <f>IF(OR(E34="",F34="",M34=""),"",IF(E34-M34&lt;=0,$F$4,WORKDAY.INTL(MAX($F$4,G34-1),ROUNDUP((E34-M34)/IF(N(P34)&gt;0,IF(NETWORKDAYS.INTL(W34,$F$4,"0000011")&gt;=5,P34,F34),F34),0),"0000011")))</f>
        <v/>
      </c>
      <c r="S34" s="81">
        <f>IF(T34="","",IF(E34="","CONFIGURAR",IF(M34&gt;=E34,"CONCLUÍDO",IF(R34="","",IF(R34&lt;H34,"ADIANTADO",IF(R34=H34,"NO PRAZO","ATRASO"))))))</f>
        <v/>
      </c>
      <c r="T34" s="81">
        <f>IFERROR(MATCH(25,INDEX('ESCOPO POR EMPRESA'!$U$5:$W$52,0,$L$4),0),"")</f>
        <v/>
      </c>
      <c r="U34" s="81">
        <f>IF(T34="","",INDEX('ESCOPO POR EMPRESA'!$O$5:$R$52,T34,$K$4))</f>
        <v/>
      </c>
      <c r="V34" s="159">
        <f>IF(OR(T34="",E34=""),0,INDEX('METAS CLIENTE'!$L$5:$L$52,T34))</f>
        <v/>
      </c>
      <c r="W34" s="317">
        <f>IF(OR(T34="",N(U34)=0),"",IFERROR(1/(1/_xlfn.MINIFS('CONTROLE EJ'!$A$8:$A$364,INDEX(CHOOSE($K$4,'CONTROLE EJ'!$A$8:$Z$364,'CONTROLE CMM'!$A$8:$N$364,'CONTROLE GLOBO AÇOS'!$A$8:$Z$364,#REF!),0,$U34),"&gt;0")),""))</f>
        <v/>
      </c>
      <c r="X34" s="319">
        <f>IFERROR(L34/E34,"")</f>
        <v/>
      </c>
    </row>
    <row r="35">
      <c r="A35" s="81">
        <f>IF(T35="","",26)</f>
        <v/>
      </c>
      <c r="B35" s="62">
        <f>IF(T35="","",INDEX('ESCOPO POR EMPRESA'!$A$5:$A$52,T35))</f>
        <v/>
      </c>
      <c r="C35" s="62">
        <f>IF(T35="","",INDEX('ESCOPO POR EMPRESA'!$B$5:$B$52,T35))</f>
        <v/>
      </c>
      <c r="D35" s="81">
        <f>IF(T35="","",INDEX('ESCOPO POR EMPRESA'!$T$5:$T$52,T35))</f>
        <v/>
      </c>
      <c r="E35" s="159">
        <f>IF(T35="","",IF(N(INDEX('ESCOPO POR EMPRESA'!$E$5:$H$52,T35,$K$4))=0,"",INDEX('ESCOPO POR EMPRESA'!$E$5:$H$52,T35,$K$4)))</f>
        <v/>
      </c>
      <c r="F35" s="159">
        <f>IF(T35="","",INDEX('ESCOPO POR EMPRESA'!$K$5:$N$52,T35,$K$4))</f>
        <v/>
      </c>
      <c r="G35" s="317">
        <f>IF(T35="","",INDEX('METAS CLIENTE'!$C$5:$C$52,T35))</f>
        <v/>
      </c>
      <c r="H35" s="317">
        <f>IF(T35="","",INDEX('METAS CLIENTE'!$M$5:$M$52,T35))</f>
        <v/>
      </c>
      <c r="I35" s="159">
        <f>IF(L35="","",MAX(0,L35-IF(OR($D$4="",$D$4&lt;=G35),0,MIN(E35,F35*NETWORKDAYS.INTL(G35,$D$4-1,"0000011")))))</f>
        <v/>
      </c>
      <c r="J35" s="159">
        <f>IF(OR(T35="",N(U35)=0,$D$4="",$F$4=""),"",SUMIFS(INDEX(CHOOSE($K$4,'CONTROLE EJ'!$A$8:$Z$364,'CONTROLE CMM'!$A$8:$N$364,'CONTROLE GLOBO AÇOS'!$A$8:$Z$364,#REF!),0,$U35),'CONTROLE EJ'!$A$8:$A$364,"&gt;="&amp;$D$4,'CONTROLE EJ'!$A$8:$A$364,"&lt;="&amp;$F$4))</f>
        <v/>
      </c>
      <c r="K35" s="319">
        <f>IFERROR(J35/I35,"")</f>
        <v/>
      </c>
      <c r="L35" s="159">
        <f>IF(OR(E35="",F35="",G35="",$F$4=""),"",IF($F$4&lt;G35,0,MIN(E35,F35*NETWORKDAYS.INTL(G35,$F$4,"0000011"))))</f>
        <v/>
      </c>
      <c r="M35" s="159">
        <f>IF(OR(T35="",N(U35)=0,$F$4=""),"",SUMIFS(INDEX(CHOOSE($K$4,'CONTROLE EJ'!$A$8:$Z$364,'CONTROLE CMM'!$A$8:$N$364,'CONTROLE GLOBO AÇOS'!$A$8:$Z$364,#REF!),0,$U35),'CONTROLE EJ'!$A$8:$A$364,"&lt;="&amp;$F$4))</f>
        <v/>
      </c>
      <c r="N35" s="319">
        <f>IFERROR(M35/E35,"")</f>
        <v/>
      </c>
      <c r="O35" s="159">
        <f>IF(OR(L35="",M35=""),"",M35-L35)</f>
        <v/>
      </c>
      <c r="P35" s="159">
        <f>IF(OR(W35="",M35=""),"",IF($F$4&lt;W35,"",M35/MAX(1,NETWORKDAYS.INTL(W35,$F$4,"0000011"))))</f>
        <v/>
      </c>
      <c r="Q35" s="159">
        <f>IF(OR(E35="",M35="",H35=""),"",IF(E35-M35&lt;=0,0,IF($F$4&gt;=H35,E35-M35,(E35-M35)/MAX(1,NETWORKDAYS.INTL($F$4+1,H35,"0000011")))))</f>
        <v/>
      </c>
      <c r="R35" s="317">
        <f>IF(OR(E35="",F35="",M35=""),"",IF(E35-M35&lt;=0,$F$4,WORKDAY.INTL(MAX($F$4,G35-1),ROUNDUP((E35-M35)/IF(N(P35)&gt;0,IF(NETWORKDAYS.INTL(W35,$F$4,"0000011")&gt;=5,P35,F35),F35),0),"0000011")))</f>
        <v/>
      </c>
      <c r="S35" s="81">
        <f>IF(T35="","",IF(E35="","CONFIGURAR",IF(M35&gt;=E35,"CONCLUÍDO",IF(R35="","",IF(R35&lt;H35,"ADIANTADO",IF(R35=H35,"NO PRAZO","ATRASO"))))))</f>
        <v/>
      </c>
      <c r="T35" s="81">
        <f>IFERROR(MATCH(26,INDEX('ESCOPO POR EMPRESA'!$U$5:$W$52,0,$L$4),0),"")</f>
        <v/>
      </c>
      <c r="U35" s="81">
        <f>IF(T35="","",INDEX('ESCOPO POR EMPRESA'!$O$5:$R$52,T35,$K$4))</f>
        <v/>
      </c>
      <c r="V35" s="159">
        <f>IF(OR(T35="",E35=""),0,INDEX('METAS CLIENTE'!$L$5:$L$52,T35))</f>
        <v/>
      </c>
      <c r="W35" s="317">
        <f>IF(OR(T35="",N(U35)=0),"",IFERROR(1/(1/_xlfn.MINIFS('CONTROLE EJ'!$A$8:$A$364,INDEX(CHOOSE($K$4,'CONTROLE EJ'!$A$8:$Z$364,'CONTROLE CMM'!$A$8:$N$364,'CONTROLE GLOBO AÇOS'!$A$8:$Z$364,#REF!),0,$U35),"&gt;0")),""))</f>
        <v/>
      </c>
      <c r="X35" s="319">
        <f>IFERROR(L35/E35,"")</f>
        <v/>
      </c>
    </row>
    <row r="36">
      <c r="A36" s="81">
        <f>IF(T36="","",27)</f>
        <v/>
      </c>
      <c r="B36" s="62">
        <f>IF(T36="","",INDEX('ESCOPO POR EMPRESA'!$A$5:$A$52,T36))</f>
        <v/>
      </c>
      <c r="C36" s="62">
        <f>IF(T36="","",INDEX('ESCOPO POR EMPRESA'!$B$5:$B$52,T36))</f>
        <v/>
      </c>
      <c r="D36" s="81">
        <f>IF(T36="","",INDEX('ESCOPO POR EMPRESA'!$T$5:$T$52,T36))</f>
        <v/>
      </c>
      <c r="E36" s="159">
        <f>IF(T36="","",IF(N(INDEX('ESCOPO POR EMPRESA'!$E$5:$H$52,T36,$K$4))=0,"",INDEX('ESCOPO POR EMPRESA'!$E$5:$H$52,T36,$K$4)))</f>
        <v/>
      </c>
      <c r="F36" s="159">
        <f>IF(T36="","",INDEX('ESCOPO POR EMPRESA'!$K$5:$N$52,T36,$K$4))</f>
        <v/>
      </c>
      <c r="G36" s="317">
        <f>IF(T36="","",INDEX('METAS CLIENTE'!$C$5:$C$52,T36))</f>
        <v/>
      </c>
      <c r="H36" s="317">
        <f>IF(T36="","",INDEX('METAS CLIENTE'!$M$5:$M$52,T36))</f>
        <v/>
      </c>
      <c r="I36" s="159">
        <f>IF(L36="","",MAX(0,L36-IF(OR($D$4="",$D$4&lt;=G36),0,MIN(E36,F36*NETWORKDAYS.INTL(G36,$D$4-1,"0000011")))))</f>
        <v/>
      </c>
      <c r="J36" s="159">
        <f>IF(OR(T36="",N(U36)=0,$D$4="",$F$4=""),"",SUMIFS(INDEX(CHOOSE($K$4,'CONTROLE EJ'!$A$8:$Z$364,'CONTROLE CMM'!$A$8:$N$364,'CONTROLE GLOBO AÇOS'!$A$8:$Z$364,#REF!),0,$U36),'CONTROLE EJ'!$A$8:$A$364,"&gt;="&amp;$D$4,'CONTROLE EJ'!$A$8:$A$364,"&lt;="&amp;$F$4))</f>
        <v/>
      </c>
      <c r="K36" s="319">
        <f>IFERROR(J36/I36,"")</f>
        <v/>
      </c>
      <c r="L36" s="159">
        <f>IF(OR(E36="",F36="",G36="",$F$4=""),"",IF($F$4&lt;G36,0,MIN(E36,F36*NETWORKDAYS.INTL(G36,$F$4,"0000011"))))</f>
        <v/>
      </c>
      <c r="M36" s="159">
        <f>IF(OR(T36="",N(U36)=0,$F$4=""),"",SUMIFS(INDEX(CHOOSE($K$4,'CONTROLE EJ'!$A$8:$Z$364,'CONTROLE CMM'!$A$8:$N$364,'CONTROLE GLOBO AÇOS'!$A$8:$Z$364,#REF!),0,$U36),'CONTROLE EJ'!$A$8:$A$364,"&lt;="&amp;$F$4))</f>
        <v/>
      </c>
      <c r="N36" s="319">
        <f>IFERROR(M36/E36,"")</f>
        <v/>
      </c>
      <c r="O36" s="159">
        <f>IF(OR(L36="",M36=""),"",M36-L36)</f>
        <v/>
      </c>
      <c r="P36" s="159">
        <f>IF(OR(W36="",M36=""),"",IF($F$4&lt;W36,"",M36/MAX(1,NETWORKDAYS.INTL(W36,$F$4,"0000011"))))</f>
        <v/>
      </c>
      <c r="Q36" s="159">
        <f>IF(OR(E36="",M36="",H36=""),"",IF(E36-M36&lt;=0,0,IF($F$4&gt;=H36,E36-M36,(E36-M36)/MAX(1,NETWORKDAYS.INTL($F$4+1,H36,"0000011")))))</f>
        <v/>
      </c>
      <c r="R36" s="317">
        <f>IF(OR(E36="",F36="",M36=""),"",IF(E36-M36&lt;=0,$F$4,WORKDAY.INTL(MAX($F$4,G36-1),ROUNDUP((E36-M36)/IF(N(P36)&gt;0,IF(NETWORKDAYS.INTL(W36,$F$4,"0000011")&gt;=5,P36,F36),F36),0),"0000011")))</f>
        <v/>
      </c>
      <c r="S36" s="81">
        <f>IF(T36="","",IF(E36="","CONFIGURAR",IF(M36&gt;=E36,"CONCLUÍDO",IF(R36="","",IF(R36&lt;H36,"ADIANTADO",IF(R36=H36,"NO PRAZO","ATRASO"))))))</f>
        <v/>
      </c>
      <c r="T36" s="81">
        <f>IFERROR(MATCH(27,INDEX('ESCOPO POR EMPRESA'!$U$5:$W$52,0,$L$4),0),"")</f>
        <v/>
      </c>
      <c r="U36" s="81">
        <f>IF(T36="","",INDEX('ESCOPO POR EMPRESA'!$O$5:$R$52,T36,$K$4))</f>
        <v/>
      </c>
      <c r="V36" s="159">
        <f>IF(OR(T36="",E36=""),0,INDEX('METAS CLIENTE'!$L$5:$L$52,T36))</f>
        <v/>
      </c>
      <c r="W36" s="317">
        <f>IF(OR(T36="",N(U36)=0),"",IFERROR(1/(1/_xlfn.MINIFS('CONTROLE EJ'!$A$8:$A$364,INDEX(CHOOSE($K$4,'CONTROLE EJ'!$A$8:$Z$364,'CONTROLE CMM'!$A$8:$N$364,'CONTROLE GLOBO AÇOS'!$A$8:$Z$364,#REF!),0,$U36),"&gt;0")),""))</f>
        <v/>
      </c>
      <c r="X36" s="319">
        <f>IFERROR(L36/E36,"")</f>
        <v/>
      </c>
    </row>
    <row r="37">
      <c r="A37" s="81">
        <f>IF(T37="","",28)</f>
        <v/>
      </c>
      <c r="B37" s="62">
        <f>IF(T37="","",INDEX('ESCOPO POR EMPRESA'!$A$5:$A$52,T37))</f>
        <v/>
      </c>
      <c r="C37" s="62">
        <f>IF(T37="","",INDEX('ESCOPO POR EMPRESA'!$B$5:$B$52,T37))</f>
        <v/>
      </c>
      <c r="D37" s="81">
        <f>IF(T37="","",INDEX('ESCOPO POR EMPRESA'!$T$5:$T$52,T37))</f>
        <v/>
      </c>
      <c r="E37" s="159">
        <f>IF(T37="","",IF(N(INDEX('ESCOPO POR EMPRESA'!$E$5:$H$52,T37,$K$4))=0,"",INDEX('ESCOPO POR EMPRESA'!$E$5:$H$52,T37,$K$4)))</f>
        <v/>
      </c>
      <c r="F37" s="159">
        <f>IF(T37="","",INDEX('ESCOPO POR EMPRESA'!$K$5:$N$52,T37,$K$4))</f>
        <v/>
      </c>
      <c r="G37" s="317">
        <f>IF(T37="","",INDEX('METAS CLIENTE'!$C$5:$C$52,T37))</f>
        <v/>
      </c>
      <c r="H37" s="317">
        <f>IF(T37="","",INDEX('METAS CLIENTE'!$M$5:$M$52,T37))</f>
        <v/>
      </c>
      <c r="I37" s="159">
        <f>IF(L37="","",MAX(0,L37-IF(OR($D$4="",$D$4&lt;=G37),0,MIN(E37,F37*NETWORKDAYS.INTL(G37,$D$4-1,"0000011")))))</f>
        <v/>
      </c>
      <c r="J37" s="159">
        <f>IF(OR(T37="",N(U37)=0,$D$4="",$F$4=""),"",SUMIFS(INDEX(CHOOSE($K$4,'CONTROLE EJ'!$A$8:$Z$364,'CONTROLE CMM'!$A$8:$N$364,'CONTROLE GLOBO AÇOS'!$A$8:$Z$364,#REF!),0,$U37),'CONTROLE EJ'!$A$8:$A$364,"&gt;="&amp;$D$4,'CONTROLE EJ'!$A$8:$A$364,"&lt;="&amp;$F$4))</f>
        <v/>
      </c>
      <c r="K37" s="319">
        <f>IFERROR(J37/I37,"")</f>
        <v/>
      </c>
      <c r="L37" s="159">
        <f>IF(OR(E37="",F37="",G37="",$F$4=""),"",IF($F$4&lt;G37,0,MIN(E37,F37*NETWORKDAYS.INTL(G37,$F$4,"0000011"))))</f>
        <v/>
      </c>
      <c r="M37" s="159">
        <f>IF(OR(T37="",N(U37)=0,$F$4=""),"",SUMIFS(INDEX(CHOOSE($K$4,'CONTROLE EJ'!$A$8:$Z$364,'CONTROLE CMM'!$A$8:$N$364,'CONTROLE GLOBO AÇOS'!$A$8:$Z$364,#REF!),0,$U37),'CONTROLE EJ'!$A$8:$A$364,"&lt;="&amp;$F$4))</f>
        <v/>
      </c>
      <c r="N37" s="319">
        <f>IFERROR(M37/E37,"")</f>
        <v/>
      </c>
      <c r="O37" s="159">
        <f>IF(OR(L37="",M37=""),"",M37-L37)</f>
        <v/>
      </c>
      <c r="P37" s="159">
        <f>IF(OR(W37="",M37=""),"",IF($F$4&lt;W37,"",M37/MAX(1,NETWORKDAYS.INTL(W37,$F$4,"0000011"))))</f>
        <v/>
      </c>
      <c r="Q37" s="159">
        <f>IF(OR(E37="",M37="",H37=""),"",IF(E37-M37&lt;=0,0,IF($F$4&gt;=H37,E37-M37,(E37-M37)/MAX(1,NETWORKDAYS.INTL($F$4+1,H37,"0000011")))))</f>
        <v/>
      </c>
      <c r="R37" s="317">
        <f>IF(OR(E37="",F37="",M37=""),"",IF(E37-M37&lt;=0,$F$4,WORKDAY.INTL(MAX($F$4,G37-1),ROUNDUP((E37-M37)/IF(N(P37)&gt;0,IF(NETWORKDAYS.INTL(W37,$F$4,"0000011")&gt;=5,P37,F37),F37),0),"0000011")))</f>
        <v/>
      </c>
      <c r="S37" s="81">
        <f>IF(T37="","",IF(E37="","CONFIGURAR",IF(M37&gt;=E37,"CONCLUÍDO",IF(R37="","",IF(R37&lt;H37,"ADIANTADO",IF(R37=H37,"NO PRAZO","ATRASO"))))))</f>
        <v/>
      </c>
      <c r="T37" s="81">
        <f>IFERROR(MATCH(28,INDEX('ESCOPO POR EMPRESA'!$U$5:$W$52,0,$L$4),0),"")</f>
        <v/>
      </c>
      <c r="U37" s="81">
        <f>IF(T37="","",INDEX('ESCOPO POR EMPRESA'!$O$5:$R$52,T37,$K$4))</f>
        <v/>
      </c>
      <c r="V37" s="159">
        <f>IF(OR(T37="",E37=""),0,INDEX('METAS CLIENTE'!$L$5:$L$52,T37))</f>
        <v/>
      </c>
      <c r="W37" s="317">
        <f>IF(OR(T37="",N(U37)=0),"",IFERROR(1/(1/_xlfn.MINIFS('CONTROLE EJ'!$A$8:$A$364,INDEX(CHOOSE($K$4,'CONTROLE EJ'!$A$8:$Z$364,'CONTROLE CMM'!$A$8:$N$364,'CONTROLE GLOBO AÇOS'!$A$8:$Z$364,#REF!),0,$U37),"&gt;0")),""))</f>
        <v/>
      </c>
      <c r="X37" s="319">
        <f>IFERROR(L37/E37,"")</f>
        <v/>
      </c>
    </row>
    <row r="38">
      <c r="A38" s="81">
        <f>IF(T38="","",29)</f>
        <v/>
      </c>
      <c r="B38" s="62">
        <f>IF(T38="","",INDEX('ESCOPO POR EMPRESA'!$A$5:$A$52,T38))</f>
        <v/>
      </c>
      <c r="C38" s="62">
        <f>IF(T38="","",INDEX('ESCOPO POR EMPRESA'!$B$5:$B$52,T38))</f>
        <v/>
      </c>
      <c r="D38" s="81">
        <f>IF(T38="","",INDEX('ESCOPO POR EMPRESA'!$T$5:$T$52,T38))</f>
        <v/>
      </c>
      <c r="E38" s="159">
        <f>IF(T38="","",IF(N(INDEX('ESCOPO POR EMPRESA'!$E$5:$H$52,T38,$K$4))=0,"",INDEX('ESCOPO POR EMPRESA'!$E$5:$H$52,T38,$K$4)))</f>
        <v/>
      </c>
      <c r="F38" s="159">
        <f>IF(T38="","",INDEX('ESCOPO POR EMPRESA'!$K$5:$N$52,T38,$K$4))</f>
        <v/>
      </c>
      <c r="G38" s="317">
        <f>IF(T38="","",INDEX('METAS CLIENTE'!$C$5:$C$52,T38))</f>
        <v/>
      </c>
      <c r="H38" s="317">
        <f>IF(T38="","",INDEX('METAS CLIENTE'!$M$5:$M$52,T38))</f>
        <v/>
      </c>
      <c r="I38" s="159">
        <f>IF(L38="","",MAX(0,L38-IF(OR($D$4="",$D$4&lt;=G38),0,MIN(E38,F38*NETWORKDAYS.INTL(G38,$D$4-1,"0000011")))))</f>
        <v/>
      </c>
      <c r="J38" s="159">
        <f>IF(OR(T38="",N(U38)=0,$D$4="",$F$4=""),"",SUMIFS(INDEX(CHOOSE($K$4,'CONTROLE EJ'!$A$8:$Z$364,'CONTROLE CMM'!$A$8:$N$364,'CONTROLE GLOBO AÇOS'!$A$8:$Z$364,#REF!),0,$U38),'CONTROLE EJ'!$A$8:$A$364,"&gt;="&amp;$D$4,'CONTROLE EJ'!$A$8:$A$364,"&lt;="&amp;$F$4))</f>
        <v/>
      </c>
      <c r="K38" s="319">
        <f>IFERROR(J38/I38,"")</f>
        <v/>
      </c>
      <c r="L38" s="159">
        <f>IF(OR(E38="",F38="",G38="",$F$4=""),"",IF($F$4&lt;G38,0,MIN(E38,F38*NETWORKDAYS.INTL(G38,$F$4,"0000011"))))</f>
        <v/>
      </c>
      <c r="M38" s="159">
        <f>IF(OR(T38="",N(U38)=0,$F$4=""),"",SUMIFS(INDEX(CHOOSE($K$4,'CONTROLE EJ'!$A$8:$Z$364,'CONTROLE CMM'!$A$8:$N$364,'CONTROLE GLOBO AÇOS'!$A$8:$Z$364,#REF!),0,$U38),'CONTROLE EJ'!$A$8:$A$364,"&lt;="&amp;$F$4))</f>
        <v/>
      </c>
      <c r="N38" s="319">
        <f>IFERROR(M38/E38,"")</f>
        <v/>
      </c>
      <c r="O38" s="159">
        <f>IF(OR(L38="",M38=""),"",M38-L38)</f>
        <v/>
      </c>
      <c r="P38" s="159">
        <f>IF(OR(W38="",M38=""),"",IF($F$4&lt;W38,"",M38/MAX(1,NETWORKDAYS.INTL(W38,$F$4,"0000011"))))</f>
        <v/>
      </c>
      <c r="Q38" s="159">
        <f>IF(OR(E38="",M38="",H38=""),"",IF(E38-M38&lt;=0,0,IF($F$4&gt;=H38,E38-M38,(E38-M38)/MAX(1,NETWORKDAYS.INTL($F$4+1,H38,"0000011")))))</f>
        <v/>
      </c>
      <c r="R38" s="317">
        <f>IF(OR(E38="",F38="",M38=""),"",IF(E38-M38&lt;=0,$F$4,WORKDAY.INTL(MAX($F$4,G38-1),ROUNDUP((E38-M38)/IF(N(P38)&gt;0,IF(NETWORKDAYS.INTL(W38,$F$4,"0000011")&gt;=5,P38,F38),F38),0),"0000011")))</f>
        <v/>
      </c>
      <c r="S38" s="81">
        <f>IF(T38="","",IF(E38="","CONFIGURAR",IF(M38&gt;=E38,"CONCLUÍDO",IF(R38="","",IF(R38&lt;H38,"ADIANTADO",IF(R38=H38,"NO PRAZO","ATRASO"))))))</f>
        <v/>
      </c>
      <c r="T38" s="81">
        <f>IFERROR(MATCH(29,INDEX('ESCOPO POR EMPRESA'!$U$5:$W$52,0,$L$4),0),"")</f>
        <v/>
      </c>
      <c r="U38" s="81">
        <f>IF(T38="","",INDEX('ESCOPO POR EMPRESA'!$O$5:$R$52,T38,$K$4))</f>
        <v/>
      </c>
      <c r="V38" s="159">
        <f>IF(OR(T38="",E38=""),0,INDEX('METAS CLIENTE'!$L$5:$L$52,T38))</f>
        <v/>
      </c>
      <c r="W38" s="317">
        <f>IF(OR(T38="",N(U38)=0),"",IFERROR(1/(1/_xlfn.MINIFS('CONTROLE EJ'!$A$8:$A$364,INDEX(CHOOSE($K$4,'CONTROLE EJ'!$A$8:$Z$364,'CONTROLE CMM'!$A$8:$N$364,'CONTROLE GLOBO AÇOS'!$A$8:$Z$364,#REF!),0,$U38),"&gt;0")),""))</f>
        <v/>
      </c>
      <c r="X38" s="319">
        <f>IFERROR(L38/E38,"")</f>
        <v/>
      </c>
    </row>
    <row r="39">
      <c r="A39" s="81">
        <f>IF(T39="","",30)</f>
        <v/>
      </c>
      <c r="B39" s="62">
        <f>IF(T39="","",INDEX('ESCOPO POR EMPRESA'!$A$5:$A$52,T39))</f>
        <v/>
      </c>
      <c r="C39" s="62">
        <f>IF(T39="","",INDEX('ESCOPO POR EMPRESA'!$B$5:$B$52,T39))</f>
        <v/>
      </c>
      <c r="D39" s="81">
        <f>IF(T39="","",INDEX('ESCOPO POR EMPRESA'!$T$5:$T$52,T39))</f>
        <v/>
      </c>
      <c r="E39" s="159">
        <f>IF(T39="","",IF(N(INDEX('ESCOPO POR EMPRESA'!$E$5:$H$52,T39,$K$4))=0,"",INDEX('ESCOPO POR EMPRESA'!$E$5:$H$52,T39,$K$4)))</f>
        <v/>
      </c>
      <c r="F39" s="159">
        <f>IF(T39="","",INDEX('ESCOPO POR EMPRESA'!$K$5:$N$52,T39,$K$4))</f>
        <v/>
      </c>
      <c r="G39" s="317">
        <f>IF(T39="","",INDEX('METAS CLIENTE'!$C$5:$C$52,T39))</f>
        <v/>
      </c>
      <c r="H39" s="317">
        <f>IF(T39="","",INDEX('METAS CLIENTE'!$M$5:$M$52,T39))</f>
        <v/>
      </c>
      <c r="I39" s="159">
        <f>IF(L39="","",MAX(0,L39-IF(OR($D$4="",$D$4&lt;=G39),0,MIN(E39,F39*NETWORKDAYS.INTL(G39,$D$4-1,"0000011")))))</f>
        <v/>
      </c>
      <c r="J39" s="159">
        <f>IF(OR(T39="",N(U39)=0,$D$4="",$F$4=""),"",SUMIFS(INDEX(CHOOSE($K$4,'CONTROLE EJ'!$A$8:$Z$364,'CONTROLE CMM'!$A$8:$N$364,'CONTROLE GLOBO AÇOS'!$A$8:$Z$364,#REF!),0,$U39),'CONTROLE EJ'!$A$8:$A$364,"&gt;="&amp;$D$4,'CONTROLE EJ'!$A$8:$A$364,"&lt;="&amp;$F$4))</f>
        <v/>
      </c>
      <c r="K39" s="319">
        <f>IFERROR(J39/I39,"")</f>
        <v/>
      </c>
      <c r="L39" s="159">
        <f>IF(OR(E39="",F39="",G39="",$F$4=""),"",IF($F$4&lt;G39,0,MIN(E39,F39*NETWORKDAYS.INTL(G39,$F$4,"0000011"))))</f>
        <v/>
      </c>
      <c r="M39" s="159">
        <f>IF(OR(T39="",N(U39)=0,$F$4=""),"",SUMIFS(INDEX(CHOOSE($K$4,'CONTROLE EJ'!$A$8:$Z$364,'CONTROLE CMM'!$A$8:$N$364,'CONTROLE GLOBO AÇOS'!$A$8:$Z$364,#REF!),0,$U39),'CONTROLE EJ'!$A$8:$A$364,"&lt;="&amp;$F$4))</f>
        <v/>
      </c>
      <c r="N39" s="319">
        <f>IFERROR(M39/E39,"")</f>
        <v/>
      </c>
      <c r="O39" s="159">
        <f>IF(OR(L39="",M39=""),"",M39-L39)</f>
        <v/>
      </c>
      <c r="P39" s="159">
        <f>IF(OR(W39="",M39=""),"",IF($F$4&lt;W39,"",M39/MAX(1,NETWORKDAYS.INTL(W39,$F$4,"0000011"))))</f>
        <v/>
      </c>
      <c r="Q39" s="159">
        <f>IF(OR(E39="",M39="",H39=""),"",IF(E39-M39&lt;=0,0,IF($F$4&gt;=H39,E39-M39,(E39-M39)/MAX(1,NETWORKDAYS.INTL($F$4+1,H39,"0000011")))))</f>
        <v/>
      </c>
      <c r="R39" s="317">
        <f>IF(OR(E39="",F39="",M39=""),"",IF(E39-M39&lt;=0,$F$4,WORKDAY.INTL(MAX($F$4,G39-1),ROUNDUP((E39-M39)/IF(N(P39)&gt;0,IF(NETWORKDAYS.INTL(W39,$F$4,"0000011")&gt;=5,P39,F39),F39),0),"0000011")))</f>
        <v/>
      </c>
      <c r="S39" s="81">
        <f>IF(T39="","",IF(E39="","CONFIGURAR",IF(M39&gt;=E39,"CONCLUÍDO",IF(R39="","",IF(R39&lt;H39,"ADIANTADO",IF(R39=H39,"NO PRAZO","ATRASO"))))))</f>
        <v/>
      </c>
      <c r="T39" s="81">
        <f>IFERROR(MATCH(30,INDEX('ESCOPO POR EMPRESA'!$U$5:$W$52,0,$L$4),0),"")</f>
        <v/>
      </c>
      <c r="U39" s="81">
        <f>IF(T39="","",INDEX('ESCOPO POR EMPRESA'!$O$5:$R$52,T39,$K$4))</f>
        <v/>
      </c>
      <c r="V39" s="159">
        <f>IF(OR(T39="",E39=""),0,INDEX('METAS CLIENTE'!$L$5:$L$52,T39))</f>
        <v/>
      </c>
      <c r="W39" s="317">
        <f>IF(OR(T39="",N(U39)=0),"",IFERROR(1/(1/_xlfn.MINIFS('CONTROLE EJ'!$A$8:$A$364,INDEX(CHOOSE($K$4,'CONTROLE EJ'!$A$8:$Z$364,'CONTROLE CMM'!$A$8:$N$364,'CONTROLE GLOBO AÇOS'!$A$8:$Z$364,#REF!),0,$U39),"&gt;0")),""))</f>
        <v/>
      </c>
      <c r="X39" s="319">
        <f>IFERROR(L39/E39,"")</f>
        <v/>
      </c>
    </row>
  </sheetData>
  <mergeCells count="20">
    <mergeCell ref="O7:P7"/>
    <mergeCell ref="Q7:R7"/>
    <mergeCell ref="C6:D6"/>
    <mergeCell ref="I6:J6"/>
    <mergeCell ref="O6:P6"/>
    <mergeCell ref="A6:B6"/>
    <mergeCell ref="A7:B7"/>
    <mergeCell ref="G7:H7"/>
    <mergeCell ref="I7:J7"/>
    <mergeCell ref="G6:H6"/>
    <mergeCell ref="M7:N7"/>
    <mergeCell ref="E6:F6"/>
    <mergeCell ref="M6:N6"/>
    <mergeCell ref="Q6:R6"/>
    <mergeCell ref="A1:S1"/>
    <mergeCell ref="K7:L7"/>
    <mergeCell ref="C7:D7"/>
    <mergeCell ref="E7:F7"/>
    <mergeCell ref="K6:L6"/>
    <mergeCell ref="A2:S2"/>
  </mergeCells>
  <conditionalFormatting sqref="K10:K39">
    <cfRule type="expression" priority="7" dxfId="1">
      <formula>AND(ISNUMBER(K10),K10&gt;=1)</formula>
    </cfRule>
    <cfRule type="expression" priority="8" dxfId="5">
      <formula>AND(ISNUMBER(K10),K10&lt;0.9)</formula>
    </cfRule>
  </conditionalFormatting>
  <conditionalFormatting sqref="O10:O39">
    <cfRule type="cellIs" priority="5" operator="greaterThan" dxfId="1">
      <formula>0</formula>
    </cfRule>
    <cfRule type="cellIs" priority="6" operator="lessThan" dxfId="2">
      <formula>0</formula>
    </cfRule>
  </conditionalFormatting>
  <conditionalFormatting sqref="S10:S39">
    <cfRule type="expression" priority="2" dxfId="2">
      <formula>S10="ATRASO"</formula>
    </cfRule>
    <cfRule type="expression" priority="3" dxfId="1">
      <formula>OR(S10="ADIANTADO",S10="CONCLUÍDO")</formula>
    </cfRule>
    <cfRule type="expression" priority="4" dxfId="0">
      <formula>S10="NO PRAZO"</formula>
    </cfRule>
  </conditionalFormatting>
  <dataValidations count="1">
    <dataValidation sqref="B4" showDropDown="0" showInputMessage="0" showErrorMessage="1" allowBlank="1" type="list">
      <formula1>"EJ,CMM,GLOBO AÇOS,OUTROS"</formula1>
      <formula2>0</formula2>
    </dataValidation>
  </dataValidations>
  <pageMargins left="0.7" right="0.7" top="0.75" bottom="0.75" header="0.511811023622047" footer="0.511811023622047"/>
  <pageSetup orientation="portrait" paperSize="9" horizontalDpi="300" verticalDpi="300"/>
  <drawing xmlns:r="http://schemas.openxmlformats.org/officeDocument/2006/relationships" r:id="rId1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E8:O31"/>
  <sheetViews>
    <sheetView zoomScaleNormal="100" workbookViewId="0">
      <selection activeCell="J31" sqref="J31"/>
    </sheetView>
  </sheetViews>
  <sheetFormatPr baseColWidth="8" defaultColWidth="8.5546875" defaultRowHeight="14.4"/>
  <cols>
    <col width="15" customWidth="1" min="6" max="6"/>
    <col width="14.33203125" customWidth="1" min="7" max="7"/>
    <col width="15.44140625" customWidth="1" min="8" max="8"/>
    <col width="14.6640625" customWidth="1" min="9" max="9"/>
    <col width="15.5546875" customWidth="1" min="10" max="10"/>
    <col width="10" customWidth="1" min="11" max="11"/>
    <col width="13" customWidth="1" min="12" max="12"/>
    <col width="26.33203125" customWidth="1" min="14" max="14"/>
    <col width="50" customWidth="1" min="15" max="15"/>
  </cols>
  <sheetData>
    <row r="8">
      <c r="F8" s="223" t="inlineStr">
        <is>
          <t>EQUIPAMENTO</t>
        </is>
      </c>
      <c r="G8" s="131" t="n"/>
      <c r="H8" s="131" t="n"/>
      <c r="I8" s="131" t="n"/>
      <c r="J8" s="131" t="n"/>
      <c r="K8" s="131" t="n"/>
      <c r="L8" s="131" t="n"/>
      <c r="M8" s="131" t="n"/>
      <c r="N8" s="131" t="n"/>
      <c r="O8" s="71" t="n"/>
    </row>
    <row r="9">
      <c r="F9" s="18" t="n"/>
      <c r="G9" s="18" t="n"/>
      <c r="H9" s="18" t="n"/>
      <c r="I9" s="223" t="inlineStr">
        <is>
          <t>CUSTO PREVISTO</t>
        </is>
      </c>
      <c r="J9" s="71" t="n"/>
      <c r="K9" s="223" t="inlineStr">
        <is>
          <t>CUSTO REALIZADO</t>
        </is>
      </c>
      <c r="L9" s="71" t="n"/>
      <c r="M9" s="223" t="inlineStr">
        <is>
          <t>OBSERVAÇÃO</t>
        </is>
      </c>
      <c r="N9" s="82" t="n"/>
      <c r="O9" s="337" t="n"/>
    </row>
    <row r="10">
      <c r="F10" s="18" t="n"/>
      <c r="G10" s="18" t="inlineStr">
        <is>
          <t>VALOR</t>
        </is>
      </c>
      <c r="H10" s="18" t="inlineStr">
        <is>
          <t>FRENTE</t>
        </is>
      </c>
      <c r="I10" s="18" t="inlineStr">
        <is>
          <t>DIARIA</t>
        </is>
      </c>
      <c r="J10" s="18" t="inlineStr">
        <is>
          <t>VALOR</t>
        </is>
      </c>
      <c r="K10" s="18" t="inlineStr">
        <is>
          <t>DIÁRIA</t>
        </is>
      </c>
      <c r="L10" s="18" t="inlineStr">
        <is>
          <t>VALOR</t>
        </is>
      </c>
      <c r="M10" s="33" t="n"/>
      <c r="N10" s="338" t="n"/>
      <c r="O10" s="339" t="n"/>
    </row>
    <row r="11" ht="28.5" customHeight="1">
      <c r="E11" s="215" t="n"/>
      <c r="F11" s="216" t="inlineStr">
        <is>
          <t>MUNCK</t>
        </is>
      </c>
      <c r="G11" s="340" t="n">
        <v>1200</v>
      </c>
      <c r="H11" s="340" t="inlineStr">
        <is>
          <t>MONTAGEM</t>
        </is>
      </c>
      <c r="I11" s="218" t="n">
        <v>8</v>
      </c>
      <c r="J11" s="340">
        <f>I11*G11</f>
        <v/>
      </c>
      <c r="K11" s="218" t="n">
        <v>15</v>
      </c>
      <c r="L11" s="341">
        <f>K11*G11</f>
        <v/>
      </c>
      <c r="M11" s="267" t="inlineStr">
        <is>
          <t>DIFERENÇA DEVIDA A MOVIMENTAÇÃO DE CARGA PARA POSICIONAMENTO DE IÇAMENTO DUPLO NÃO PREVISTO</t>
        </is>
      </c>
      <c r="N11" s="131" t="n"/>
      <c r="O11" s="71" t="n"/>
    </row>
    <row r="12" ht="30.75" customHeight="1">
      <c r="F12" s="18" t="inlineStr">
        <is>
          <t>GUINDASTE</t>
        </is>
      </c>
      <c r="G12" s="292" t="n">
        <v>3000</v>
      </c>
      <c r="H12" s="292" t="inlineStr">
        <is>
          <t>MONTAGEM</t>
        </is>
      </c>
      <c r="I12" s="220" t="n">
        <v>6</v>
      </c>
      <c r="J12" s="340">
        <f>I12*G12</f>
        <v/>
      </c>
      <c r="K12" s="223" t="n">
        <v>11</v>
      </c>
      <c r="L12" s="341">
        <f>K12*G12</f>
        <v/>
      </c>
      <c r="M12" s="267" t="inlineStr">
        <is>
          <t>IÇAMENTO LENTO, COM MÉDIA DE PRODUÇÃO 12/ DIA, utilizando 4 dias para bater a meta, por conta de limitação na montagem.</t>
        </is>
      </c>
      <c r="N12" s="131" t="n"/>
      <c r="O12" s="71" t="n"/>
    </row>
    <row r="13">
      <c r="F13" s="18" t="inlineStr">
        <is>
          <t>PLATAFORMA</t>
        </is>
      </c>
      <c r="G13" s="292" t="n">
        <v>10000</v>
      </c>
      <c r="H13" s="18" t="inlineStr">
        <is>
          <t>MONTAGEM</t>
        </is>
      </c>
      <c r="I13" s="28" t="n">
        <v>1</v>
      </c>
      <c r="J13" s="340">
        <f>I13*G13</f>
        <v/>
      </c>
      <c r="K13" s="223" t="n">
        <v>1</v>
      </c>
      <c r="L13" s="341">
        <f>K13*G13</f>
        <v/>
      </c>
      <c r="M13" s="223" t="inlineStr">
        <is>
          <t>Uso de PTA continua com mesmo cenário.</t>
        </is>
      </c>
      <c r="N13" s="131" t="n"/>
      <c r="O13" s="71" t="n"/>
    </row>
    <row r="17">
      <c r="F17" s="18" t="inlineStr">
        <is>
          <t>MÃO DE OBRA</t>
        </is>
      </c>
      <c r="G17" s="18" t="n"/>
      <c r="H17" s="18" t="n"/>
      <c r="I17" s="18" t="n"/>
      <c r="J17" s="18" t="n"/>
      <c r="K17" s="18" t="n"/>
      <c r="L17" s="18" t="n"/>
    </row>
    <row r="18">
      <c r="F18" s="18" t="n"/>
      <c r="G18" s="18" t="n"/>
      <c r="H18" s="18" t="n"/>
      <c r="I18" s="268" t="inlineStr">
        <is>
          <t>CUSTO PREVISTO</t>
        </is>
      </c>
      <c r="J18" s="82" t="n"/>
      <c r="K18" s="82" t="n"/>
      <c r="L18" s="337" t="n"/>
      <c r="M18" s="223" t="inlineStr">
        <is>
          <t>OBSERVAÇÃO</t>
        </is>
      </c>
      <c r="N18" s="131" t="n"/>
      <c r="O18" s="71" t="n"/>
    </row>
    <row r="19">
      <c r="F19" s="18" t="n"/>
      <c r="G19" s="18" t="inlineStr">
        <is>
          <t>VALOR</t>
        </is>
      </c>
      <c r="H19" s="18" t="inlineStr">
        <is>
          <t>QTD PESSOAS</t>
        </is>
      </c>
      <c r="I19" s="18" t="inlineStr">
        <is>
          <t>MÊS</t>
        </is>
      </c>
      <c r="J19" s="18" t="inlineStr">
        <is>
          <t>VALOR</t>
        </is>
      </c>
      <c r="K19" s="18" t="inlineStr">
        <is>
          <t>PRODUÇÃO</t>
        </is>
      </c>
      <c r="L19" s="18" t="inlineStr">
        <is>
          <t>R$/PROD</t>
        </is>
      </c>
      <c r="M19" s="223" t="n"/>
      <c r="N19" s="131" t="n"/>
      <c r="O19" s="71" t="n"/>
    </row>
    <row r="20" ht="14.25" customHeight="1">
      <c r="F20" s="216" t="inlineStr">
        <is>
          <t>CMM</t>
        </is>
      </c>
      <c r="G20" s="340" t="n">
        <v>5000</v>
      </c>
      <c r="H20" s="218" t="n">
        <v>18</v>
      </c>
      <c r="I20" s="218" t="n">
        <v>1</v>
      </c>
      <c r="J20" s="340">
        <f>H20*G20</f>
        <v/>
      </c>
      <c r="K20" s="18" t="n">
        <v>9000</v>
      </c>
      <c r="L20" s="342">
        <f>J20/K20*29</f>
        <v/>
      </c>
      <c r="M20" s="223" t="inlineStr">
        <is>
          <t>CUSTO DEVIDO  POR METRO QUADRADO POR COLABORADOR</t>
        </is>
      </c>
      <c r="N20" s="131" t="n"/>
      <c r="O20" s="71" t="n"/>
    </row>
    <row r="21" ht="14.25" customHeight="1">
      <c r="F21" s="18" t="inlineStr">
        <is>
          <t>EJ</t>
        </is>
      </c>
      <c r="G21" s="292" t="n">
        <v>5800</v>
      </c>
      <c r="H21" s="220" t="n">
        <v>14</v>
      </c>
      <c r="I21" s="220" t="n">
        <v>1</v>
      </c>
      <c r="J21" s="340">
        <f>H21*G21</f>
        <v/>
      </c>
      <c r="K21" s="18" t="n">
        <v>9000</v>
      </c>
      <c r="L21" s="342">
        <f>J21/K21*29</f>
        <v/>
      </c>
      <c r="M21" s="223" t="inlineStr">
        <is>
          <t>CUSTO DEVIDO  POR METRO QUADRADO POR COLABORADOR</t>
        </is>
      </c>
      <c r="N21" s="131" t="n"/>
      <c r="O21" s="71" t="n"/>
    </row>
    <row r="22">
      <c r="F22" s="18" t="n"/>
      <c r="G22" s="292" t="n"/>
      <c r="H22" s="18" t="n"/>
      <c r="I22" s="28" t="n"/>
      <c r="J22" s="340" t="n"/>
      <c r="K22" s="18" t="n"/>
      <c r="L22" s="342" t="n"/>
      <c r="M22" s="223" t="inlineStr">
        <is>
          <t>OBSERVAÇÃO</t>
        </is>
      </c>
      <c r="N22" s="131" t="n"/>
      <c r="O22" s="71" t="n"/>
    </row>
    <row r="23">
      <c r="F23" s="18" t="n"/>
      <c r="G23" s="18" t="n"/>
      <c r="H23" s="18" t="n"/>
      <c r="I23" s="268" t="inlineStr">
        <is>
          <t>CUSTO REALIZADO</t>
        </is>
      </c>
      <c r="J23" s="82" t="n"/>
      <c r="K23" s="82" t="n"/>
      <c r="L23" s="337" t="n"/>
      <c r="M23" s="223" t="n"/>
      <c r="N23" s="131" t="n"/>
      <c r="O23" s="71" t="n"/>
    </row>
    <row r="24">
      <c r="F24" s="18" t="n"/>
      <c r="G24" s="18" t="inlineStr">
        <is>
          <t>VALOR</t>
        </is>
      </c>
      <c r="H24" s="18" t="inlineStr">
        <is>
          <t>QTD PESSOAS</t>
        </is>
      </c>
      <c r="I24" s="18" t="inlineStr">
        <is>
          <t>MÊS</t>
        </is>
      </c>
      <c r="J24" s="18" t="inlineStr">
        <is>
          <t>VALOR</t>
        </is>
      </c>
      <c r="K24" s="18" t="inlineStr">
        <is>
          <t>PRODUÇÃO</t>
        </is>
      </c>
      <c r="L24" s="18" t="inlineStr">
        <is>
          <t>R$/PROD</t>
        </is>
      </c>
      <c r="M24" s="223" t="n"/>
      <c r="N24" s="131" t="n"/>
      <c r="O24" s="71" t="n"/>
    </row>
    <row r="25">
      <c r="F25" s="216" t="inlineStr">
        <is>
          <t>CMM</t>
        </is>
      </c>
      <c r="G25" s="340" t="n">
        <v>5000</v>
      </c>
      <c r="H25" s="218" t="n">
        <v>18</v>
      </c>
      <c r="I25" s="218" t="n">
        <v>1</v>
      </c>
      <c r="J25" s="340">
        <f>H25*G25</f>
        <v/>
      </c>
      <c r="K25" s="18" t="n">
        <v>9000</v>
      </c>
      <c r="L25" s="342">
        <f>J25/K25*29</f>
        <v/>
      </c>
      <c r="M25" s="223" t="inlineStr">
        <is>
          <t>CUSTO POR METRO QUADRADO POR CADA OPERADOR</t>
        </is>
      </c>
      <c r="N25" s="131" t="n"/>
      <c r="O25" s="71" t="n"/>
    </row>
    <row r="26">
      <c r="F26" s="18" t="inlineStr">
        <is>
          <t>EJ</t>
        </is>
      </c>
      <c r="G26" s="292" t="n">
        <v>5800</v>
      </c>
      <c r="H26" s="220" t="n">
        <v>14</v>
      </c>
      <c r="I26" s="220" t="n">
        <v>1</v>
      </c>
      <c r="J26" s="340">
        <f>H26*G26</f>
        <v/>
      </c>
      <c r="K26" s="18" t="n">
        <v>7500</v>
      </c>
      <c r="L26" s="342">
        <f>J26/K26*29</f>
        <v/>
      </c>
      <c r="M26" s="223" t="inlineStr">
        <is>
          <t>CUSTO POR METRO QUADRADO POR CADA OPERADOR</t>
        </is>
      </c>
      <c r="N26" s="131" t="n"/>
      <c r="O26" s="71" t="n"/>
    </row>
    <row r="30">
      <c r="H30" t="inlineStr">
        <is>
          <t>CUSTO REALIZADO</t>
        </is>
      </c>
      <c r="I30" t="inlineStr">
        <is>
          <t>CUSTO PREVISTO</t>
        </is>
      </c>
      <c r="J30" t="inlineStr">
        <is>
          <t>PRODUÇÃO NECESSÃRIA</t>
        </is>
      </c>
    </row>
    <row r="31">
      <c r="G31" t="inlineStr">
        <is>
          <t xml:space="preserve">CMM </t>
        </is>
      </c>
      <c r="H31" s="314">
        <f>L11+L12+L13+J25</f>
        <v/>
      </c>
      <c r="I31" s="314">
        <f>J11+J12+J13+J20</f>
        <v/>
      </c>
      <c r="J31" s="314">
        <f>H31/29*(1.3)</f>
        <v/>
      </c>
    </row>
  </sheetData>
  <mergeCells count="18">
    <mergeCell ref="M11:O11"/>
    <mergeCell ref="M23:O23"/>
    <mergeCell ref="M19:O19"/>
    <mergeCell ref="I18:L18"/>
    <mergeCell ref="M20:O20"/>
    <mergeCell ref="F8:O8"/>
    <mergeCell ref="M18:O18"/>
    <mergeCell ref="M22:O22"/>
    <mergeCell ref="K9:L9"/>
    <mergeCell ref="M13:O13"/>
    <mergeCell ref="M25:O25"/>
    <mergeCell ref="M26:O26"/>
    <mergeCell ref="M9:O10"/>
    <mergeCell ref="M12:O12"/>
    <mergeCell ref="M24:O24"/>
    <mergeCell ref="I9:J9"/>
    <mergeCell ref="M21:O21"/>
    <mergeCell ref="I23:L23"/>
  </mergeCells>
  <pageMargins left="0.511805555555556" right="0.511805555555556" top="0.7875" bottom="0.7875" header="0.511811023622047" footer="0.511811023622047"/>
  <pageSetup orientation="portrait" paperSize="9" horizontalDpi="300" verticalDpi="300"/>
</worksheet>
</file>

<file path=xl/worksheets/sheet22.xml><?xml version="1.0" encoding="utf-8"?>
<worksheet xmlns="http://schemas.openxmlformats.org/spreadsheetml/2006/main">
  <sheetPr>
    <tabColor rgb="FF1F4E78"/>
    <outlinePr summaryBelow="1" summaryRight="1"/>
    <pageSetUpPr/>
  </sheetPr>
  <dimension ref="A1:B72"/>
  <sheetViews>
    <sheetView showGridLines="0" zoomScaleNormal="100" workbookViewId="0">
      <selection activeCell="A1" sqref="A1"/>
    </sheetView>
  </sheetViews>
  <sheetFormatPr baseColWidth="8" defaultColWidth="8.5546875" defaultRowHeight="14.4"/>
  <cols>
    <col width="34" customWidth="1" min="1" max="1"/>
    <col width="120" customWidth="1" min="2" max="2"/>
  </cols>
  <sheetData>
    <row r="1" ht="25.5" customHeight="1">
      <c r="A1" s="225" t="inlineStr">
        <is>
          <t>FLUXO E PROCEDIMENTO — CONTROLE DE PRODUÇÃO POR EMPRESA · FASE 1 · OF.198 LYON G200</t>
        </is>
      </c>
    </row>
    <row r="2" ht="30" customHeight="1">
      <c r="A2" s="249" t="inlineStr">
        <is>
          <t>Cada subempreiteira tem a sua aba de lançamento. Consolidado, metas do cliente, consultas e dashboards são 100% automáticos.</t>
        </is>
      </c>
    </row>
    <row r="4" ht="19.5" customHeight="1">
      <c r="A4" s="255" t="inlineStr">
        <is>
          <t>FLUXO DA INFORMAÇÃO</t>
        </is>
      </c>
    </row>
    <row r="5" ht="36" customHeight="1">
      <c r="A5" s="204" t="inlineStr">
        <is>
          <t>1. CADASTRAR (uma vez)</t>
        </is>
      </c>
      <c r="B5" s="251" t="inlineStr">
        <is>
          <t>METAS CLIENTE → Quantidade, Unidade, Meta Diária, Peso. ESCOPO POR EMPRESA → confira a divisão EJ × CMM (coluna E; a CMM recebe o saldo) e a coluna Conferência = OK.</t>
        </is>
      </c>
    </row>
    <row r="6" ht="36" customHeight="1">
      <c r="A6" s="204" t="inlineStr">
        <is>
          <t>2. LANÇAR (todo dia)</t>
        </is>
      </c>
      <c r="B6" s="251" t="inlineStr">
        <is>
          <t>CONTROLE EJ · CONTROLE CMM (estrutura) · CONTROLE GLOBO AÇOS (telhas, calhas, rufos) · CONTROLE OUTROS (ACM e coberturas de vivência — a definir). Linha da data × coluna do serviço.</t>
        </is>
      </c>
    </row>
    <row r="7" ht="36" customHeight="1">
      <c r="A7" s="204" t="inlineStr">
        <is>
          <t>3. CONSOLIDAR (automático)</t>
        </is>
      </c>
      <c r="B7" s="251" t="inlineStr">
        <is>
          <t>CONTROLE PRODUÇÃO POR EMPRESAS soma as abas (EJ + CMM no mesmo serviço) e alimenta METAS CLIENTE, CLIENTE - PREV X REAL, DASHBOARD CLIENTE, PAINEL/CONTROLE KPI e METAS EMPRESAS.</t>
        </is>
      </c>
    </row>
    <row r="8" ht="36" customHeight="1">
      <c r="A8" s="204" t="inlineStr">
        <is>
          <t>4. ANALISAR</t>
        </is>
      </c>
      <c r="B8" s="251" t="inlineStr">
        <is>
          <t>DASHBOARD EMPRESAS (escolha a empresa: escopo, previsto × realizado, ritmo, previsão, status) · DASHBOARD CLIENTE · CONSULTA PRODUÇÃO (dia a dia por empresa e serviço).</t>
        </is>
      </c>
    </row>
    <row r="9" ht="36" customHeight="1">
      <c r="A9" s="204" t="inlineStr">
        <is>
          <t>5. DECIDIR</t>
        </is>
      </c>
      <c r="B9" s="251" t="inlineStr">
        <is>
          <t>Ritmo Necessário/Dia × Ritmo Real/Dia de cada empresa mostra quem precisa reforçar equipe, equipamento ou suprimento.</t>
        </is>
      </c>
    </row>
    <row r="11" ht="19.5" customHeight="1">
      <c r="A11" s="255" t="inlineStr">
        <is>
          <t>ROTINA DIÁRIA (por empresa)</t>
        </is>
      </c>
    </row>
    <row r="12" ht="33.75" customHeight="1">
      <c r="A12" s="204" t="inlineStr">
        <is>
          <t>Passo 1</t>
        </is>
      </c>
      <c r="B12" s="251" t="inlineStr">
        <is>
          <t>Abra a aba da empresa. Linhas 1–7 e coluna A estão congeladas; a linha 4 mostra a quantidade do escopo e a 6 o % executado.</t>
        </is>
      </c>
    </row>
    <row r="13" ht="33.75" customHeight="1">
      <c r="A13" s="204" t="inlineStr">
        <is>
          <t>Passo 2</t>
        </is>
      </c>
      <c r="B13" s="251" t="inlineStr">
        <is>
          <t>Na linha da data, digite a quantidade executada no dia em cada serviço. Dia sem produção: em branco. Use 0 só se a equipe estava mobilizada e não produziu.</t>
        </is>
      </c>
    </row>
    <row r="14" ht="33.75" customHeight="1">
      <c r="A14" s="204" t="inlineStr">
        <is>
          <t>Passo 3</t>
        </is>
      </c>
      <c r="B14" s="251" t="inlineStr">
        <is>
          <t>Textos (INTEGRAÇÃO, CHUVA, PARADA) apenas nas 3 primeiras colunas de serviço, como já era feito. Nas demais, use a última coluna: OBSERVAÇÃO / Nº RDO / FOTO.</t>
        </is>
      </c>
    </row>
    <row r="15" ht="33.75" customHeight="1">
      <c r="A15" s="204" t="inlineStr">
        <is>
          <t>Passo 4</t>
        </is>
      </c>
      <c r="B15" s="251" t="inlineStr">
        <is>
          <t>Atualize a data em CLIENTE - PREV X REAL (A4), o período em DASHBOARD CLIENTE (B4/D4) e em DASHBOARD EMPRESAS (D4/F4).</t>
        </is>
      </c>
    </row>
    <row r="17" ht="19.5" customHeight="1">
      <c r="A17" s="255" t="inlineStr">
        <is>
          <t>REGRAS DE INTEGRIDADE</t>
        </is>
      </c>
    </row>
    <row r="18" ht="33.75" customHeight="1">
      <c r="A18" s="204" t="inlineStr">
        <is>
          <t>Não fazer</t>
        </is>
      </c>
      <c r="B18" s="251" t="inlineStr">
        <is>
          <t>Não digitar no CONTROLE PRODUÇÃO POR EMPRESAS (é fórmula). Não inserir/excluir linhas ou colunas nas abas de controle.</t>
        </is>
      </c>
    </row>
    <row r="19" ht="33.75" customHeight="1">
      <c r="A19" s="204" t="inlineStr">
        <is>
          <t>Escopo</t>
        </is>
      </c>
      <c r="B19" s="251" t="inlineStr">
        <is>
          <t>A coluna "Responsável" do ESCOPO POR EMPRESA é fixa (define em qual aba o serviço existe). Mudança de responsável = solicitar ajuste de estrutura.</t>
        </is>
      </c>
    </row>
    <row r="20" ht="33.75" customHeight="1">
      <c r="A20" s="204" t="inlineStr">
        <is>
          <t>Quantidades</t>
        </is>
      </c>
      <c r="B20" s="251" t="inlineStr">
        <is>
          <t>Qtd EJ + Qtd CMM (+ GLOBO/OUTROS) deve fechar com o contrato: acompanhe a coluna Conferência.</t>
        </is>
      </c>
    </row>
    <row r="21" ht="33.75" customHeight="1">
      <c r="A21" s="204" t="inlineStr">
        <is>
          <t>Evidência</t>
        </is>
      </c>
      <c r="B21" s="251" t="inlineStr">
        <is>
          <t>Todo lançamento deve ter lastro no RDO e foto do dia (coluna OBSERVAÇÃO da aba da empresa).</t>
        </is>
      </c>
    </row>
    <row r="23" ht="19.5" customHeight="1">
      <c r="A23" s="255" t="inlineStr">
        <is>
          <t>MAPA — ONDE LANÇAR CADA SERVIÇO</t>
        </is>
      </c>
    </row>
    <row r="24" ht="19.5" customHeight="1">
      <c r="A24" s="255" t="inlineStr">
        <is>
          <t>Serviço</t>
        </is>
      </c>
      <c r="B24" s="255" t="inlineStr">
        <is>
          <t>Responsável  |  Onde lançar  |  Qtd contrato  |  Divisão (EJ / CMM / GLOBO / OUTROS)</t>
        </is>
      </c>
    </row>
    <row r="25">
      <c r="A25" s="251">
        <f>'ESCOPO POR EMPRESA'!A5</f>
        <v/>
      </c>
      <c r="B25" s="251">
        <f>'ESCOPO POR EMPRESA'!C5&amp;"  |  "&amp;'ESCOPO POR EMPRESA'!S5&amp;"  |  "&amp;IF('ESCOPO POR EMPRESA'!D5="","informar",TEXT('ESCOPO POR EMPRESA'!D5,"0"))&amp;"  |  "&amp;TEXT(N('ESCOPO POR EMPRESA'!E5),"0")&amp;" / "&amp;TEXT(N('ESCOPO POR EMPRESA'!F5),"0")&amp;" / "&amp;TEXT(N('ESCOPO POR EMPRESA'!G5),"0")&amp;" / "&amp;TEXT(N('ESCOPO POR EMPRESA'!H5),"0")</f>
        <v/>
      </c>
    </row>
    <row r="26">
      <c r="A26" s="251">
        <f>'ESCOPO POR EMPRESA'!A6</f>
        <v/>
      </c>
      <c r="B26" s="251">
        <f>'ESCOPO POR EMPRESA'!C6&amp;"  |  "&amp;'ESCOPO POR EMPRESA'!S6&amp;"  |  "&amp;IF('ESCOPO POR EMPRESA'!D6="","informar",TEXT('ESCOPO POR EMPRESA'!D6,"0"))&amp;"  |  "&amp;TEXT(N('ESCOPO POR EMPRESA'!E6),"0")&amp;" / "&amp;TEXT(N('ESCOPO POR EMPRESA'!F6),"0")&amp;" / "&amp;TEXT(N('ESCOPO POR EMPRESA'!G6),"0")&amp;" / "&amp;TEXT(N('ESCOPO POR EMPRESA'!H6),"0")</f>
        <v/>
      </c>
    </row>
    <row r="27">
      <c r="A27" s="251">
        <f>'ESCOPO POR EMPRESA'!A7</f>
        <v/>
      </c>
      <c r="B27" s="251">
        <f>'ESCOPO POR EMPRESA'!C7&amp;"  |  "&amp;'ESCOPO POR EMPRESA'!S7&amp;"  |  "&amp;IF('ESCOPO POR EMPRESA'!D7="","informar",TEXT('ESCOPO POR EMPRESA'!D7,"0"))&amp;"  |  "&amp;TEXT(N('ESCOPO POR EMPRESA'!E7),"0")&amp;" / "&amp;TEXT(N('ESCOPO POR EMPRESA'!F7),"0")&amp;" / "&amp;TEXT(N('ESCOPO POR EMPRESA'!G7),"0")&amp;" / "&amp;TEXT(N('ESCOPO POR EMPRESA'!H7),"0")</f>
        <v/>
      </c>
    </row>
    <row r="28">
      <c r="A28" s="251">
        <f>'ESCOPO POR EMPRESA'!A8</f>
        <v/>
      </c>
      <c r="B28" s="251">
        <f>'ESCOPO POR EMPRESA'!C8&amp;"  |  "&amp;'ESCOPO POR EMPRESA'!S8&amp;"  |  "&amp;IF('ESCOPO POR EMPRESA'!D8="","informar",TEXT('ESCOPO POR EMPRESA'!D8,"0"))&amp;"  |  "&amp;TEXT(N('ESCOPO POR EMPRESA'!E8),"0")&amp;" / "&amp;TEXT(N('ESCOPO POR EMPRESA'!F8),"0")&amp;" / "&amp;TEXT(N('ESCOPO POR EMPRESA'!G8),"0")&amp;" / "&amp;TEXT(N('ESCOPO POR EMPRESA'!H8),"0")</f>
        <v/>
      </c>
    </row>
    <row r="29">
      <c r="A29" s="251">
        <f>'ESCOPO POR EMPRESA'!A9</f>
        <v/>
      </c>
      <c r="B29" s="251">
        <f>'ESCOPO POR EMPRESA'!C9&amp;"  |  "&amp;'ESCOPO POR EMPRESA'!S9&amp;"  |  "&amp;IF('ESCOPO POR EMPRESA'!D9="","informar",TEXT('ESCOPO POR EMPRESA'!D9,"0"))&amp;"  |  "&amp;TEXT(N('ESCOPO POR EMPRESA'!E9),"0")&amp;" / "&amp;TEXT(N('ESCOPO POR EMPRESA'!F9),"0")&amp;" / "&amp;TEXT(N('ESCOPO POR EMPRESA'!G9),"0")&amp;" / "&amp;TEXT(N('ESCOPO POR EMPRESA'!H9),"0")</f>
        <v/>
      </c>
    </row>
    <row r="30">
      <c r="A30" s="251">
        <f>'ESCOPO POR EMPRESA'!A10</f>
        <v/>
      </c>
      <c r="B30" s="251">
        <f>'ESCOPO POR EMPRESA'!C10&amp;"  |  "&amp;'ESCOPO POR EMPRESA'!S10&amp;"  |  "&amp;IF('ESCOPO POR EMPRESA'!D10="","informar",TEXT('ESCOPO POR EMPRESA'!D10,"0"))&amp;"  |  "&amp;TEXT(N('ESCOPO POR EMPRESA'!E10),"0")&amp;" / "&amp;TEXT(N('ESCOPO POR EMPRESA'!F10),"0")&amp;" / "&amp;TEXT(N('ESCOPO POR EMPRESA'!G10),"0")&amp;" / "&amp;TEXT(N('ESCOPO POR EMPRESA'!H10),"0")</f>
        <v/>
      </c>
    </row>
    <row r="31">
      <c r="A31" s="251">
        <f>'ESCOPO POR EMPRESA'!A11</f>
        <v/>
      </c>
      <c r="B31" s="251">
        <f>'ESCOPO POR EMPRESA'!C11&amp;"  |  "&amp;'ESCOPO POR EMPRESA'!S11&amp;"  |  "&amp;IF('ESCOPO POR EMPRESA'!D11="","informar",TEXT('ESCOPO POR EMPRESA'!D11,"0"))&amp;"  |  "&amp;TEXT(N('ESCOPO POR EMPRESA'!E11),"0")&amp;" / "&amp;TEXT(N('ESCOPO POR EMPRESA'!F11),"0")&amp;" / "&amp;TEXT(N('ESCOPO POR EMPRESA'!G11),"0")&amp;" / "&amp;TEXT(N('ESCOPO POR EMPRESA'!H11),"0")</f>
        <v/>
      </c>
    </row>
    <row r="32">
      <c r="A32" s="251">
        <f>'ESCOPO POR EMPRESA'!A12</f>
        <v/>
      </c>
      <c r="B32" s="251">
        <f>'ESCOPO POR EMPRESA'!C12&amp;"  |  "&amp;'ESCOPO POR EMPRESA'!S12&amp;"  |  "&amp;IF('ESCOPO POR EMPRESA'!D12="","informar",TEXT('ESCOPO POR EMPRESA'!D12,"0"))&amp;"  |  "&amp;TEXT(N('ESCOPO POR EMPRESA'!E12),"0")&amp;" / "&amp;TEXT(N('ESCOPO POR EMPRESA'!F12),"0")&amp;" / "&amp;TEXT(N('ESCOPO POR EMPRESA'!G12),"0")&amp;" / "&amp;TEXT(N('ESCOPO POR EMPRESA'!H12),"0")</f>
        <v/>
      </c>
    </row>
    <row r="33">
      <c r="A33" s="251">
        <f>'ESCOPO POR EMPRESA'!A13</f>
        <v/>
      </c>
      <c r="B33" s="251">
        <f>'ESCOPO POR EMPRESA'!C13&amp;"  |  "&amp;'ESCOPO POR EMPRESA'!S13&amp;"  |  "&amp;IF('ESCOPO POR EMPRESA'!D13="","informar",TEXT('ESCOPO POR EMPRESA'!D13,"0"))&amp;"  |  "&amp;TEXT(N('ESCOPO POR EMPRESA'!E13),"0")&amp;" / "&amp;TEXT(N('ESCOPO POR EMPRESA'!F13),"0")&amp;" / "&amp;TEXT(N('ESCOPO POR EMPRESA'!G13),"0")&amp;" / "&amp;TEXT(N('ESCOPO POR EMPRESA'!H13),"0")</f>
        <v/>
      </c>
    </row>
    <row r="34">
      <c r="A34" s="251">
        <f>'ESCOPO POR EMPRESA'!A14</f>
        <v/>
      </c>
      <c r="B34" s="251">
        <f>'ESCOPO POR EMPRESA'!C14&amp;"  |  "&amp;'ESCOPO POR EMPRESA'!S14&amp;"  |  "&amp;IF('ESCOPO POR EMPRESA'!D14="","informar",TEXT('ESCOPO POR EMPRESA'!D14,"0"))&amp;"  |  "&amp;TEXT(N('ESCOPO POR EMPRESA'!E14),"0")&amp;" / "&amp;TEXT(N('ESCOPO POR EMPRESA'!F14),"0")&amp;" / "&amp;TEXT(N('ESCOPO POR EMPRESA'!G14),"0")&amp;" / "&amp;TEXT(N('ESCOPO POR EMPRESA'!H14),"0")</f>
        <v/>
      </c>
    </row>
    <row r="35">
      <c r="A35" s="251">
        <f>'ESCOPO POR EMPRESA'!A15</f>
        <v/>
      </c>
      <c r="B35" s="251">
        <f>'ESCOPO POR EMPRESA'!C15&amp;"  |  "&amp;'ESCOPO POR EMPRESA'!S15&amp;"  |  "&amp;IF('ESCOPO POR EMPRESA'!D15="","informar",TEXT('ESCOPO POR EMPRESA'!D15,"0"))&amp;"  |  "&amp;TEXT(N('ESCOPO POR EMPRESA'!E15),"0")&amp;" / "&amp;TEXT(N('ESCOPO POR EMPRESA'!F15),"0")&amp;" / "&amp;TEXT(N('ESCOPO POR EMPRESA'!G15),"0")&amp;" / "&amp;TEXT(N('ESCOPO POR EMPRESA'!H15),"0")</f>
        <v/>
      </c>
    </row>
    <row r="36">
      <c r="A36" s="251">
        <f>'ESCOPO POR EMPRESA'!A16</f>
        <v/>
      </c>
      <c r="B36" s="251">
        <f>'ESCOPO POR EMPRESA'!C16&amp;"  |  "&amp;'ESCOPO POR EMPRESA'!S16&amp;"  |  "&amp;IF('ESCOPO POR EMPRESA'!D16="","informar",TEXT('ESCOPO POR EMPRESA'!D16,"0"))&amp;"  |  "&amp;TEXT(N('ESCOPO POR EMPRESA'!E16),"0")&amp;" / "&amp;TEXT(N('ESCOPO POR EMPRESA'!F16),"0")&amp;" / "&amp;TEXT(N('ESCOPO POR EMPRESA'!G16),"0")&amp;" / "&amp;TEXT(N('ESCOPO POR EMPRESA'!H16),"0")</f>
        <v/>
      </c>
    </row>
    <row r="37">
      <c r="A37" s="251">
        <f>'ESCOPO POR EMPRESA'!A17</f>
        <v/>
      </c>
      <c r="B37" s="251">
        <f>'ESCOPO POR EMPRESA'!C17&amp;"  |  "&amp;'ESCOPO POR EMPRESA'!S17&amp;"  |  "&amp;IF('ESCOPO POR EMPRESA'!D17="","informar",TEXT('ESCOPO POR EMPRESA'!D17,"0"))&amp;"  |  "&amp;TEXT(N('ESCOPO POR EMPRESA'!E17),"0")&amp;" / "&amp;TEXT(N('ESCOPO POR EMPRESA'!F17),"0")&amp;" / "&amp;TEXT(N('ESCOPO POR EMPRESA'!G17),"0")&amp;" / "&amp;TEXT(N('ESCOPO POR EMPRESA'!H17),"0")</f>
        <v/>
      </c>
    </row>
    <row r="38">
      <c r="A38" s="251">
        <f>'ESCOPO POR EMPRESA'!A18</f>
        <v/>
      </c>
      <c r="B38" s="251">
        <f>'ESCOPO POR EMPRESA'!C18&amp;"  |  "&amp;'ESCOPO POR EMPRESA'!S18&amp;"  |  "&amp;IF('ESCOPO POR EMPRESA'!D18="","informar",TEXT('ESCOPO POR EMPRESA'!D18,"0"))&amp;"  |  "&amp;TEXT(N('ESCOPO POR EMPRESA'!E18),"0")&amp;" / "&amp;TEXT(N('ESCOPO POR EMPRESA'!F18),"0")&amp;" / "&amp;TEXT(N('ESCOPO POR EMPRESA'!G18),"0")&amp;" / "&amp;TEXT(N('ESCOPO POR EMPRESA'!H18),"0")</f>
        <v/>
      </c>
    </row>
    <row r="39">
      <c r="A39" s="251">
        <f>'ESCOPO POR EMPRESA'!A19</f>
        <v/>
      </c>
      <c r="B39" s="251">
        <f>'ESCOPO POR EMPRESA'!C19&amp;"  |  "&amp;'ESCOPO POR EMPRESA'!S19&amp;"  |  "&amp;IF('ESCOPO POR EMPRESA'!D19="","informar",TEXT('ESCOPO POR EMPRESA'!D19,"0"))&amp;"  |  "&amp;TEXT(N('ESCOPO POR EMPRESA'!E19),"0")&amp;" / "&amp;TEXT(N('ESCOPO POR EMPRESA'!F19),"0")&amp;" / "&amp;TEXT(N('ESCOPO POR EMPRESA'!G19),"0")&amp;" / "&amp;TEXT(N('ESCOPO POR EMPRESA'!H19),"0")</f>
        <v/>
      </c>
    </row>
    <row r="40">
      <c r="A40" s="251">
        <f>'ESCOPO POR EMPRESA'!A20</f>
        <v/>
      </c>
      <c r="B40" s="251">
        <f>'ESCOPO POR EMPRESA'!C20&amp;"  |  "&amp;'ESCOPO POR EMPRESA'!S20&amp;"  |  "&amp;IF('ESCOPO POR EMPRESA'!D20="","informar",TEXT('ESCOPO POR EMPRESA'!D20,"0"))&amp;"  |  "&amp;TEXT(N('ESCOPO POR EMPRESA'!E20),"0")&amp;" / "&amp;TEXT(N('ESCOPO POR EMPRESA'!F20),"0")&amp;" / "&amp;TEXT(N('ESCOPO POR EMPRESA'!G20),"0")&amp;" / "&amp;TEXT(N('ESCOPO POR EMPRESA'!H20),"0")</f>
        <v/>
      </c>
    </row>
    <row r="41">
      <c r="A41" s="251">
        <f>'ESCOPO POR EMPRESA'!A21</f>
        <v/>
      </c>
      <c r="B41" s="251">
        <f>'ESCOPO POR EMPRESA'!C21&amp;"  |  "&amp;'ESCOPO POR EMPRESA'!S21&amp;"  |  "&amp;IF('ESCOPO POR EMPRESA'!D21="","informar",TEXT('ESCOPO POR EMPRESA'!D21,"0"))&amp;"  |  "&amp;TEXT(N('ESCOPO POR EMPRESA'!E21),"0")&amp;" / "&amp;TEXT(N('ESCOPO POR EMPRESA'!F21),"0")&amp;" / "&amp;TEXT(N('ESCOPO POR EMPRESA'!G21),"0")&amp;" / "&amp;TEXT(N('ESCOPO POR EMPRESA'!H21),"0")</f>
        <v/>
      </c>
    </row>
    <row r="42">
      <c r="A42" s="251">
        <f>'ESCOPO POR EMPRESA'!A22</f>
        <v/>
      </c>
      <c r="B42" s="251">
        <f>'ESCOPO POR EMPRESA'!C22&amp;"  |  "&amp;'ESCOPO POR EMPRESA'!S22&amp;"  |  "&amp;IF('ESCOPO POR EMPRESA'!D22="","informar",TEXT('ESCOPO POR EMPRESA'!D22,"0"))&amp;"  |  "&amp;TEXT(N('ESCOPO POR EMPRESA'!E22),"0")&amp;" / "&amp;TEXT(N('ESCOPO POR EMPRESA'!F22),"0")&amp;" / "&amp;TEXT(N('ESCOPO POR EMPRESA'!G22),"0")&amp;" / "&amp;TEXT(N('ESCOPO POR EMPRESA'!H22),"0")</f>
        <v/>
      </c>
    </row>
    <row r="43">
      <c r="A43" s="251">
        <f>'ESCOPO POR EMPRESA'!A23</f>
        <v/>
      </c>
      <c r="B43" s="251">
        <f>'ESCOPO POR EMPRESA'!C23&amp;"  |  "&amp;'ESCOPO POR EMPRESA'!S23&amp;"  |  "&amp;IF('ESCOPO POR EMPRESA'!D23="","informar",TEXT('ESCOPO POR EMPRESA'!D23,"0"))&amp;"  |  "&amp;TEXT(N('ESCOPO POR EMPRESA'!E23),"0")&amp;" / "&amp;TEXT(N('ESCOPO POR EMPRESA'!F23),"0")&amp;" / "&amp;TEXT(N('ESCOPO POR EMPRESA'!G23),"0")&amp;" / "&amp;TEXT(N('ESCOPO POR EMPRESA'!H23),"0")</f>
        <v/>
      </c>
    </row>
    <row r="44">
      <c r="A44" s="251">
        <f>'ESCOPO POR EMPRESA'!A24</f>
        <v/>
      </c>
      <c r="B44" s="251">
        <f>'ESCOPO POR EMPRESA'!C24&amp;"  |  "&amp;'ESCOPO POR EMPRESA'!S24&amp;"  |  "&amp;IF('ESCOPO POR EMPRESA'!D24="","informar",TEXT('ESCOPO POR EMPRESA'!D24,"0"))&amp;"  |  "&amp;TEXT(N('ESCOPO POR EMPRESA'!E24),"0")&amp;" / "&amp;TEXT(N('ESCOPO POR EMPRESA'!F24),"0")&amp;" / "&amp;TEXT(N('ESCOPO POR EMPRESA'!G24),"0")&amp;" / "&amp;TEXT(N('ESCOPO POR EMPRESA'!H24),"0")</f>
        <v/>
      </c>
    </row>
    <row r="45">
      <c r="A45" s="251">
        <f>'ESCOPO POR EMPRESA'!A25</f>
        <v/>
      </c>
      <c r="B45" s="251">
        <f>'ESCOPO POR EMPRESA'!C25&amp;"  |  "&amp;'ESCOPO POR EMPRESA'!S25&amp;"  |  "&amp;IF('ESCOPO POR EMPRESA'!D25="","informar",TEXT('ESCOPO POR EMPRESA'!D25,"0"))&amp;"  |  "&amp;TEXT(N('ESCOPO POR EMPRESA'!E25),"0")&amp;" / "&amp;TEXT(N('ESCOPO POR EMPRESA'!F25),"0")&amp;" / "&amp;TEXT(N('ESCOPO POR EMPRESA'!G25),"0")&amp;" / "&amp;TEXT(N('ESCOPO POR EMPRESA'!H25),"0")</f>
        <v/>
      </c>
    </row>
    <row r="46">
      <c r="A46" s="251">
        <f>'ESCOPO POR EMPRESA'!A26</f>
        <v/>
      </c>
      <c r="B46" s="251">
        <f>'ESCOPO POR EMPRESA'!C26&amp;"  |  "&amp;'ESCOPO POR EMPRESA'!S26&amp;"  |  "&amp;IF('ESCOPO POR EMPRESA'!D26="","informar",TEXT('ESCOPO POR EMPRESA'!D26,"0"))&amp;"  |  "&amp;TEXT(N('ESCOPO POR EMPRESA'!E26),"0")&amp;" / "&amp;TEXT(N('ESCOPO POR EMPRESA'!F26),"0")&amp;" / "&amp;TEXT(N('ESCOPO POR EMPRESA'!G26),"0")&amp;" / "&amp;TEXT(N('ESCOPO POR EMPRESA'!H26),"0")</f>
        <v/>
      </c>
    </row>
    <row r="47">
      <c r="A47" s="251">
        <f>'ESCOPO POR EMPRESA'!A27</f>
        <v/>
      </c>
      <c r="B47" s="251">
        <f>'ESCOPO POR EMPRESA'!C27&amp;"  |  "&amp;'ESCOPO POR EMPRESA'!S27&amp;"  |  "&amp;IF('ESCOPO POR EMPRESA'!D27="","informar",TEXT('ESCOPO POR EMPRESA'!D27,"0"))&amp;"  |  "&amp;TEXT(N('ESCOPO POR EMPRESA'!E27),"0")&amp;" / "&amp;TEXT(N('ESCOPO POR EMPRESA'!F27),"0")&amp;" / "&amp;TEXT(N('ESCOPO POR EMPRESA'!G27),"0")&amp;" / "&amp;TEXT(N('ESCOPO POR EMPRESA'!H27),"0")</f>
        <v/>
      </c>
    </row>
    <row r="48">
      <c r="A48" s="251">
        <f>'ESCOPO POR EMPRESA'!A28</f>
        <v/>
      </c>
      <c r="B48" s="251">
        <f>'ESCOPO POR EMPRESA'!C28&amp;"  |  "&amp;'ESCOPO POR EMPRESA'!S28&amp;"  |  "&amp;IF('ESCOPO POR EMPRESA'!D28="","informar",TEXT('ESCOPO POR EMPRESA'!D28,"0"))&amp;"  |  "&amp;TEXT(N('ESCOPO POR EMPRESA'!E28),"0")&amp;" / "&amp;TEXT(N('ESCOPO POR EMPRESA'!F28),"0")&amp;" / "&amp;TEXT(N('ESCOPO POR EMPRESA'!G28),"0")&amp;" / "&amp;TEXT(N('ESCOPO POR EMPRESA'!H28),"0")</f>
        <v/>
      </c>
    </row>
    <row r="49">
      <c r="A49" s="251">
        <f>'ESCOPO POR EMPRESA'!A29</f>
        <v/>
      </c>
      <c r="B49" s="251">
        <f>'ESCOPO POR EMPRESA'!C29&amp;"  |  "&amp;'ESCOPO POR EMPRESA'!S29&amp;"  |  "&amp;IF('ESCOPO POR EMPRESA'!D29="","informar",TEXT('ESCOPO POR EMPRESA'!D29,"0"))&amp;"  |  "&amp;TEXT(N('ESCOPO POR EMPRESA'!E29),"0")&amp;" / "&amp;TEXT(N('ESCOPO POR EMPRESA'!F29),"0")&amp;" / "&amp;TEXT(N('ESCOPO POR EMPRESA'!G29),"0")&amp;" / "&amp;TEXT(N('ESCOPO POR EMPRESA'!H29),"0")</f>
        <v/>
      </c>
    </row>
    <row r="50">
      <c r="A50" s="251">
        <f>'ESCOPO POR EMPRESA'!A30</f>
        <v/>
      </c>
      <c r="B50" s="251">
        <f>'ESCOPO POR EMPRESA'!C30&amp;"  |  "&amp;'ESCOPO POR EMPRESA'!S30&amp;"  |  "&amp;IF('ESCOPO POR EMPRESA'!D30="","informar",TEXT('ESCOPO POR EMPRESA'!D30,"0"))&amp;"  |  "&amp;TEXT(N('ESCOPO POR EMPRESA'!E30),"0")&amp;" / "&amp;TEXT(N('ESCOPO POR EMPRESA'!F30),"0")&amp;" / "&amp;TEXT(N('ESCOPO POR EMPRESA'!G30),"0")&amp;" / "&amp;TEXT(N('ESCOPO POR EMPRESA'!H30),"0")</f>
        <v/>
      </c>
    </row>
    <row r="51" ht="28.5" customHeight="1">
      <c r="A51" s="251">
        <f>'ESCOPO POR EMPRESA'!A31</f>
        <v/>
      </c>
      <c r="B51" s="251">
        <f>'ESCOPO POR EMPRESA'!C31&amp;"  |  "&amp;'ESCOPO POR EMPRESA'!S31&amp;"  |  "&amp;IF('ESCOPO POR EMPRESA'!D31="","informar",TEXT('ESCOPO POR EMPRESA'!D31,"0"))&amp;"  |  "&amp;TEXT(N('ESCOPO POR EMPRESA'!E31),"0")&amp;" / "&amp;TEXT(N('ESCOPO POR EMPRESA'!F31),"0")&amp;" / "&amp;TEXT(N('ESCOPO POR EMPRESA'!G31),"0")&amp;" / "&amp;TEXT(N('ESCOPO POR EMPRESA'!H31),"0")</f>
        <v/>
      </c>
    </row>
    <row r="52">
      <c r="A52" s="251">
        <f>'ESCOPO POR EMPRESA'!A32</f>
        <v/>
      </c>
      <c r="B52" s="251">
        <f>'ESCOPO POR EMPRESA'!C32&amp;"  |  "&amp;'ESCOPO POR EMPRESA'!S32&amp;"  |  "&amp;IF('ESCOPO POR EMPRESA'!D32="","informar",TEXT('ESCOPO POR EMPRESA'!D32,"0"))&amp;"  |  "&amp;TEXT(N('ESCOPO POR EMPRESA'!E32),"0")&amp;" / "&amp;TEXT(N('ESCOPO POR EMPRESA'!F32),"0")&amp;" / "&amp;TEXT(N('ESCOPO POR EMPRESA'!G32),"0")&amp;" / "&amp;TEXT(N('ESCOPO POR EMPRESA'!H32),"0")</f>
        <v/>
      </c>
    </row>
    <row r="53">
      <c r="A53" s="251">
        <f>'ESCOPO POR EMPRESA'!A33</f>
        <v/>
      </c>
      <c r="B53" s="251">
        <f>'ESCOPO POR EMPRESA'!C33&amp;"  |  "&amp;'ESCOPO POR EMPRESA'!S33&amp;"  |  "&amp;IF('ESCOPO POR EMPRESA'!D33="","informar",TEXT('ESCOPO POR EMPRESA'!D33,"0"))&amp;"  |  "&amp;TEXT(N('ESCOPO POR EMPRESA'!E33),"0")&amp;" / "&amp;TEXT(N('ESCOPO POR EMPRESA'!F33),"0")&amp;" / "&amp;TEXT(N('ESCOPO POR EMPRESA'!G33),"0")&amp;" / "&amp;TEXT(N('ESCOPO POR EMPRESA'!H33),"0")</f>
        <v/>
      </c>
    </row>
    <row r="54">
      <c r="A54" s="251">
        <f>'ESCOPO POR EMPRESA'!A34</f>
        <v/>
      </c>
      <c r="B54" s="251">
        <f>'ESCOPO POR EMPRESA'!C34&amp;"  |  "&amp;'ESCOPO POR EMPRESA'!S34&amp;"  |  "&amp;IF('ESCOPO POR EMPRESA'!D34="","informar",TEXT('ESCOPO POR EMPRESA'!D34,"0"))&amp;"  |  "&amp;TEXT(N('ESCOPO POR EMPRESA'!E34),"0")&amp;" / "&amp;TEXT(N('ESCOPO POR EMPRESA'!F34),"0")&amp;" / "&amp;TEXT(N('ESCOPO POR EMPRESA'!G34),"0")&amp;" / "&amp;TEXT(N('ESCOPO POR EMPRESA'!H34),"0")</f>
        <v/>
      </c>
    </row>
    <row r="55">
      <c r="A55" s="251">
        <f>'ESCOPO POR EMPRESA'!A35</f>
        <v/>
      </c>
      <c r="B55" s="251">
        <f>'ESCOPO POR EMPRESA'!C35&amp;"  |  "&amp;'ESCOPO POR EMPRESA'!S35&amp;"  |  "&amp;IF('ESCOPO POR EMPRESA'!D35="","informar",TEXT('ESCOPO POR EMPRESA'!D35,"0"))&amp;"  |  "&amp;TEXT(N('ESCOPO POR EMPRESA'!E35),"0")&amp;" / "&amp;TEXT(N('ESCOPO POR EMPRESA'!F35),"0")&amp;" / "&amp;TEXT(N('ESCOPO POR EMPRESA'!G35),"0")&amp;" / "&amp;TEXT(N('ESCOPO POR EMPRESA'!H35),"0")</f>
        <v/>
      </c>
    </row>
    <row r="56">
      <c r="A56" s="251">
        <f>'ESCOPO POR EMPRESA'!A36</f>
        <v/>
      </c>
      <c r="B56" s="251">
        <f>'ESCOPO POR EMPRESA'!C36&amp;"  |  "&amp;'ESCOPO POR EMPRESA'!S36&amp;"  |  "&amp;IF('ESCOPO POR EMPRESA'!D36="","informar",TEXT('ESCOPO POR EMPRESA'!D36,"0"))&amp;"  |  "&amp;TEXT(N('ESCOPO POR EMPRESA'!E36),"0")&amp;" / "&amp;TEXT(N('ESCOPO POR EMPRESA'!F36),"0")&amp;" / "&amp;TEXT(N('ESCOPO POR EMPRESA'!G36),"0")&amp;" / "&amp;TEXT(N('ESCOPO POR EMPRESA'!H36),"0")</f>
        <v/>
      </c>
    </row>
    <row r="57">
      <c r="A57" s="251">
        <f>'ESCOPO POR EMPRESA'!A37</f>
        <v/>
      </c>
      <c r="B57" s="251">
        <f>'ESCOPO POR EMPRESA'!C37&amp;"  |  "&amp;'ESCOPO POR EMPRESA'!S37&amp;"  |  "&amp;IF('ESCOPO POR EMPRESA'!D37="","informar",TEXT('ESCOPO POR EMPRESA'!D37,"0"))&amp;"  |  "&amp;TEXT(N('ESCOPO POR EMPRESA'!E37),"0")&amp;" / "&amp;TEXT(N('ESCOPO POR EMPRESA'!F37),"0")&amp;" / "&amp;TEXT(N('ESCOPO POR EMPRESA'!G37),"0")&amp;" / "&amp;TEXT(N('ESCOPO POR EMPRESA'!H37),"0")</f>
        <v/>
      </c>
    </row>
    <row r="58">
      <c r="A58" s="251">
        <f>'ESCOPO POR EMPRESA'!A38</f>
        <v/>
      </c>
      <c r="B58" s="251">
        <f>'ESCOPO POR EMPRESA'!C38&amp;"  |  "&amp;'ESCOPO POR EMPRESA'!S38&amp;"  |  "&amp;IF('ESCOPO POR EMPRESA'!D38="","informar",TEXT('ESCOPO POR EMPRESA'!D38,"0"))&amp;"  |  "&amp;TEXT(N('ESCOPO POR EMPRESA'!E38),"0")&amp;" / "&amp;TEXT(N('ESCOPO POR EMPRESA'!F38),"0")&amp;" / "&amp;TEXT(N('ESCOPO POR EMPRESA'!G38),"0")&amp;" / "&amp;TEXT(N('ESCOPO POR EMPRESA'!H38),"0")</f>
        <v/>
      </c>
    </row>
    <row r="59">
      <c r="A59" s="251">
        <f>'ESCOPO POR EMPRESA'!A39</f>
        <v/>
      </c>
      <c r="B59" s="251">
        <f>'ESCOPO POR EMPRESA'!C39&amp;"  |  "&amp;'ESCOPO POR EMPRESA'!S39&amp;"  |  "&amp;IF('ESCOPO POR EMPRESA'!D39="","informar",TEXT('ESCOPO POR EMPRESA'!D39,"0"))&amp;"  |  "&amp;TEXT(N('ESCOPO POR EMPRESA'!E39),"0")&amp;" / "&amp;TEXT(N('ESCOPO POR EMPRESA'!F39),"0")&amp;" / "&amp;TEXT(N('ESCOPO POR EMPRESA'!G39),"0")&amp;" / "&amp;TEXT(N('ESCOPO POR EMPRESA'!H39),"0")</f>
        <v/>
      </c>
    </row>
    <row r="60">
      <c r="A60" s="251">
        <f>'ESCOPO POR EMPRESA'!A40</f>
        <v/>
      </c>
      <c r="B60" s="251">
        <f>'ESCOPO POR EMPRESA'!C40&amp;"  |  "&amp;'ESCOPO POR EMPRESA'!S40&amp;"  |  "&amp;IF('ESCOPO POR EMPRESA'!D40="","informar",TEXT('ESCOPO POR EMPRESA'!D40,"0"))&amp;"  |  "&amp;TEXT(N('ESCOPO POR EMPRESA'!E40),"0")&amp;" / "&amp;TEXT(N('ESCOPO POR EMPRESA'!F40),"0")&amp;" / "&amp;TEXT(N('ESCOPO POR EMPRESA'!G40),"0")&amp;" / "&amp;TEXT(N('ESCOPO POR EMPRESA'!H40),"0")</f>
        <v/>
      </c>
    </row>
    <row r="61">
      <c r="A61" s="251">
        <f>'ESCOPO POR EMPRESA'!A41</f>
        <v/>
      </c>
      <c r="B61" s="251">
        <f>'ESCOPO POR EMPRESA'!C41&amp;"  |  "&amp;'ESCOPO POR EMPRESA'!S41&amp;"  |  "&amp;IF('ESCOPO POR EMPRESA'!D41="","informar",TEXT('ESCOPO POR EMPRESA'!D41,"0"))&amp;"  |  "&amp;TEXT(N('ESCOPO POR EMPRESA'!E41),"0")&amp;" / "&amp;TEXT(N('ESCOPO POR EMPRESA'!F41),"0")&amp;" / "&amp;TEXT(N('ESCOPO POR EMPRESA'!G41),"0")&amp;" / "&amp;TEXT(N('ESCOPO POR EMPRESA'!H41),"0")</f>
        <v/>
      </c>
    </row>
    <row r="62">
      <c r="A62" s="251">
        <f>'ESCOPO POR EMPRESA'!A42</f>
        <v/>
      </c>
      <c r="B62" s="251">
        <f>'ESCOPO POR EMPRESA'!C42&amp;"  |  "&amp;'ESCOPO POR EMPRESA'!S42&amp;"  |  "&amp;IF('ESCOPO POR EMPRESA'!D42="","informar",TEXT('ESCOPO POR EMPRESA'!D42,"0"))&amp;"  |  "&amp;TEXT(N('ESCOPO POR EMPRESA'!E42),"0")&amp;" / "&amp;TEXT(N('ESCOPO POR EMPRESA'!F42),"0")&amp;" / "&amp;TEXT(N('ESCOPO POR EMPRESA'!G42),"0")&amp;" / "&amp;TEXT(N('ESCOPO POR EMPRESA'!H42),"0")</f>
        <v/>
      </c>
    </row>
    <row r="63">
      <c r="A63" s="251">
        <f>'ESCOPO POR EMPRESA'!A43</f>
        <v/>
      </c>
      <c r="B63" s="251">
        <f>'ESCOPO POR EMPRESA'!C43&amp;"  |  "&amp;'ESCOPO POR EMPRESA'!S43&amp;"  |  "&amp;IF('ESCOPO POR EMPRESA'!D43="","informar",TEXT('ESCOPO POR EMPRESA'!D43,"0"))&amp;"  |  "&amp;TEXT(N('ESCOPO POR EMPRESA'!E43),"0")&amp;" / "&amp;TEXT(N('ESCOPO POR EMPRESA'!F43),"0")&amp;" / "&amp;TEXT(N('ESCOPO POR EMPRESA'!G43),"0")&amp;" / "&amp;TEXT(N('ESCOPO POR EMPRESA'!H43),"0")</f>
        <v/>
      </c>
    </row>
    <row r="64">
      <c r="A64" s="251">
        <f>'ESCOPO POR EMPRESA'!A44</f>
        <v/>
      </c>
      <c r="B64" s="251">
        <f>'ESCOPO POR EMPRESA'!C44&amp;"  |  "&amp;'ESCOPO POR EMPRESA'!S44&amp;"  |  "&amp;IF('ESCOPO POR EMPRESA'!D44="","informar",TEXT('ESCOPO POR EMPRESA'!D44,"0"))&amp;"  |  "&amp;TEXT(N('ESCOPO POR EMPRESA'!E44),"0")&amp;" / "&amp;TEXT(N('ESCOPO POR EMPRESA'!F44),"0")&amp;" / "&amp;TEXT(N('ESCOPO POR EMPRESA'!G44),"0")&amp;" / "&amp;TEXT(N('ESCOPO POR EMPRESA'!H44),"0")</f>
        <v/>
      </c>
    </row>
    <row r="65">
      <c r="A65" s="251">
        <f>'ESCOPO POR EMPRESA'!A45</f>
        <v/>
      </c>
      <c r="B65" s="251">
        <f>'ESCOPO POR EMPRESA'!C45&amp;"  |  "&amp;'ESCOPO POR EMPRESA'!S45&amp;"  |  "&amp;IF('ESCOPO POR EMPRESA'!D45="","informar",TEXT('ESCOPO POR EMPRESA'!D45,"0"))&amp;"  |  "&amp;TEXT(N('ESCOPO POR EMPRESA'!E45),"0")&amp;" / "&amp;TEXT(N('ESCOPO POR EMPRESA'!F45),"0")&amp;" / "&amp;TEXT(N('ESCOPO POR EMPRESA'!G45),"0")&amp;" / "&amp;TEXT(N('ESCOPO POR EMPRESA'!H45),"0")</f>
        <v/>
      </c>
    </row>
    <row r="66" ht="28.5" customHeight="1">
      <c r="A66" s="251">
        <f>'ESCOPO POR EMPRESA'!A46</f>
        <v/>
      </c>
      <c r="B66" s="251">
        <f>'ESCOPO POR EMPRESA'!C46&amp;"  |  "&amp;'ESCOPO POR EMPRESA'!S46&amp;"  |  "&amp;IF('ESCOPO POR EMPRESA'!D46="","informar",TEXT('ESCOPO POR EMPRESA'!D46,"0"))&amp;"  |  "&amp;TEXT(N('ESCOPO POR EMPRESA'!E46),"0")&amp;" / "&amp;TEXT(N('ESCOPO POR EMPRESA'!F46),"0")&amp;" / "&amp;TEXT(N('ESCOPO POR EMPRESA'!G46),"0")&amp;" / "&amp;TEXT(N('ESCOPO POR EMPRESA'!H46),"0")</f>
        <v/>
      </c>
    </row>
    <row r="67">
      <c r="A67" s="251">
        <f>'ESCOPO POR EMPRESA'!A47</f>
        <v/>
      </c>
      <c r="B67" s="251">
        <f>'ESCOPO POR EMPRESA'!C47&amp;"  |  "&amp;'ESCOPO POR EMPRESA'!S47&amp;"  |  "&amp;IF('ESCOPO POR EMPRESA'!D47="","informar",TEXT('ESCOPO POR EMPRESA'!D47,"0"))&amp;"  |  "&amp;TEXT(N('ESCOPO POR EMPRESA'!E47),"0")&amp;" / "&amp;TEXT(N('ESCOPO POR EMPRESA'!F47),"0")&amp;" / "&amp;TEXT(N('ESCOPO POR EMPRESA'!G47),"0")&amp;" / "&amp;TEXT(N('ESCOPO POR EMPRESA'!H47),"0")</f>
        <v/>
      </c>
    </row>
    <row r="68" ht="28.5" customHeight="1">
      <c r="A68" s="251">
        <f>'ESCOPO POR EMPRESA'!A48</f>
        <v/>
      </c>
      <c r="B68" s="251">
        <f>'ESCOPO POR EMPRESA'!C48&amp;"  |  "&amp;'ESCOPO POR EMPRESA'!S48&amp;"  |  "&amp;IF('ESCOPO POR EMPRESA'!D48="","informar",TEXT('ESCOPO POR EMPRESA'!D48,"0"))&amp;"  |  "&amp;TEXT(N('ESCOPO POR EMPRESA'!E48),"0")&amp;" / "&amp;TEXT(N('ESCOPO POR EMPRESA'!F48),"0")&amp;" / "&amp;TEXT(N('ESCOPO POR EMPRESA'!G48),"0")&amp;" / "&amp;TEXT(N('ESCOPO POR EMPRESA'!H48),"0")</f>
        <v/>
      </c>
    </row>
    <row r="69">
      <c r="A69" s="251">
        <f>'ESCOPO POR EMPRESA'!A49</f>
        <v/>
      </c>
      <c r="B69" s="251">
        <f>'ESCOPO POR EMPRESA'!C49&amp;"  |  "&amp;'ESCOPO POR EMPRESA'!S49&amp;"  |  "&amp;IF('ESCOPO POR EMPRESA'!D49="","informar",TEXT('ESCOPO POR EMPRESA'!D49,"0"))&amp;"  |  "&amp;TEXT(N('ESCOPO POR EMPRESA'!E49),"0")&amp;" / "&amp;TEXT(N('ESCOPO POR EMPRESA'!F49),"0")&amp;" / "&amp;TEXT(N('ESCOPO POR EMPRESA'!G49),"0")&amp;" / "&amp;TEXT(N('ESCOPO POR EMPRESA'!H49),"0")</f>
        <v/>
      </c>
    </row>
    <row r="70" ht="28.5" customHeight="1">
      <c r="A70" s="251">
        <f>'ESCOPO POR EMPRESA'!A50</f>
        <v/>
      </c>
      <c r="B70" s="251">
        <f>'ESCOPO POR EMPRESA'!C50&amp;"  |  "&amp;'ESCOPO POR EMPRESA'!S50&amp;"  |  "&amp;IF('ESCOPO POR EMPRESA'!D50="","informar",TEXT('ESCOPO POR EMPRESA'!D50,"0"))&amp;"  |  "&amp;TEXT(N('ESCOPO POR EMPRESA'!E50),"0")&amp;" / "&amp;TEXT(N('ESCOPO POR EMPRESA'!F50),"0")&amp;" / "&amp;TEXT(N('ESCOPO POR EMPRESA'!G50),"0")&amp;" / "&amp;TEXT(N('ESCOPO POR EMPRESA'!H50),"0")</f>
        <v/>
      </c>
    </row>
    <row r="71">
      <c r="A71" s="251">
        <f>'ESCOPO POR EMPRESA'!A51</f>
        <v/>
      </c>
      <c r="B71" s="251">
        <f>'ESCOPO POR EMPRESA'!C51&amp;"  |  "&amp;'ESCOPO POR EMPRESA'!S51&amp;"  |  "&amp;IF('ESCOPO POR EMPRESA'!D51="","informar",TEXT('ESCOPO POR EMPRESA'!D51,"0"))&amp;"  |  "&amp;TEXT(N('ESCOPO POR EMPRESA'!E51),"0")&amp;" / "&amp;TEXT(N('ESCOPO POR EMPRESA'!F51),"0")&amp;" / "&amp;TEXT(N('ESCOPO POR EMPRESA'!G51),"0")&amp;" / "&amp;TEXT(N('ESCOPO POR EMPRESA'!H51),"0")</f>
        <v/>
      </c>
    </row>
    <row r="72" ht="28.5" customHeight="1">
      <c r="A72" s="251">
        <f>'ESCOPO POR EMPRESA'!A52</f>
        <v/>
      </c>
      <c r="B72" s="251">
        <f>'ESCOPO POR EMPRESA'!C52&amp;"  |  "&amp;'ESCOPO POR EMPRESA'!S52&amp;"  |  "&amp;IF('ESCOPO POR EMPRESA'!D52="","informar",TEXT('ESCOPO POR EMPRESA'!D52,"0"))&amp;"  |  "&amp;TEXT(N('ESCOPO POR EMPRESA'!E52),"0")&amp;" / "&amp;TEXT(N('ESCOPO POR EMPRESA'!F52),"0")&amp;" / "&amp;TEXT(N('ESCOPO POR EMPRESA'!G52),"0")&amp;" / "&amp;TEXT(N('ESCOPO POR EMPRESA'!H52),"0")</f>
        <v/>
      </c>
    </row>
  </sheetData>
  <mergeCells count="6">
    <mergeCell ref="A4:B4"/>
    <mergeCell ref="A2:B2"/>
    <mergeCell ref="A11:B11"/>
    <mergeCell ref="A1:B1"/>
    <mergeCell ref="A23:B23"/>
    <mergeCell ref="A17:B17"/>
  </mergeCells>
  <pageMargins left="0.7" right="0.7" top="0.75" bottom="0.75" header="0.511811023622047" footer="0.511811023622047"/>
  <pageSetup orientation="portrait" paperSize="9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Felipe Paixao</dc:creator>
  <dc:language>en-US</dc:language>
  <dcterms:created xsi:type="dcterms:W3CDTF">2026-09-08T17:26:25Z</dcterms:created>
  <dcterms:modified xsi:type="dcterms:W3CDTF">2026-09-29T11:10:06Z</dcterms:modified>
  <cp:lastModifiedBy>Felipe Paixao</cp:lastModifiedBy>
  <cp:revision>3</cp:revision>
</cp:coreProperties>
</file>